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ca09f7e3ecec53b0/Desktop/"/>
    </mc:Choice>
  </mc:AlternateContent>
  <xr:revisionPtr revIDLastSave="3" documentId="14_{6B799181-2028-4E0A-B56A-D8376E3180DE}" xr6:coauthVersionLast="47" xr6:coauthVersionMax="47" xr10:uidLastSave="{05E66F47-8BDE-463D-806D-181217A47C6A}"/>
  <bookViews>
    <workbookView xWindow="-120" yWindow="-120" windowWidth="29040" windowHeight="15840" firstSheet="10" activeTab="15" xr2:uid="{802E51EB-C9B4-46CE-B018-91ABD113746D}"/>
  </bookViews>
  <sheets>
    <sheet name="FOLHA dezembro" sheetId="1" r:id="rId1"/>
    <sheet name="13º whats " sheetId="6" state="hidden" r:id="rId2"/>
    <sheet name="FOLHA janeiro" sheetId="7" r:id="rId3"/>
    <sheet name="FOLHA FEV" sheetId="8" r:id="rId4"/>
    <sheet name="FOLHA MAR" sheetId="9" r:id="rId5"/>
    <sheet name="FOLHA ABR" sheetId="11" r:id="rId6"/>
    <sheet name="FOLHA MAIO" sheetId="14" r:id="rId7"/>
    <sheet name="FOLHA JUNHO" sheetId="15" r:id="rId8"/>
    <sheet name="FOLHA JULHO" sheetId="16" r:id="rId9"/>
    <sheet name="FOLHA AGOSTO" sheetId="17" r:id="rId10"/>
    <sheet name="SETEMBRO" sheetId="19" r:id="rId11"/>
    <sheet name="OUTUBRO" sheetId="20" r:id="rId12"/>
    <sheet name="NOV" sheetId="22" r:id="rId13"/>
    <sheet name="DEZ" sheetId="23" r:id="rId14"/>
    <sheet name="JAN -26" sheetId="24" r:id="rId15"/>
    <sheet name="FEV - 26 " sheetId="25" r:id="rId16"/>
    <sheet name="VALE TRANSPORTE" sheetId="4" r:id="rId17"/>
    <sheet name="Planilha2" sheetId="13" r:id="rId18"/>
    <sheet name="Planilha1" sheetId="10" r:id="rId19"/>
    <sheet name="AJUDA CUSTO TIM" sheetId="5" r:id="rId20"/>
    <sheet name="HORARIOS " sheetId="2" r:id="rId21"/>
  </sheets>
  <definedNames>
    <definedName name="_xlnm._FilterDatabase" localSheetId="1" hidden="1">'13º whats '!$A$2:$U$29</definedName>
    <definedName name="_xlnm._FilterDatabase" localSheetId="13" hidden="1">DEZ!$H$1:$H$35</definedName>
    <definedName name="_xlnm._FilterDatabase" localSheetId="15" hidden="1">'FEV - 26 '!$H$1:$H$26</definedName>
    <definedName name="_xlnm._FilterDatabase" localSheetId="5" hidden="1">'FOLHA ABR'!$G$1:$G$32</definedName>
    <definedName name="_xlnm._FilterDatabase" localSheetId="9" hidden="1">'FOLHA AGOSTO'!$G$1:$G$31</definedName>
    <definedName name="_xlnm._FilterDatabase" localSheetId="0" hidden="1">'FOLHA dezembro'!$F$1:$F$35</definedName>
    <definedName name="_xlnm._FilterDatabase" localSheetId="3" hidden="1">'FOLHA FEV'!$A$3:$W$25</definedName>
    <definedName name="_xlnm._FilterDatabase" localSheetId="2" hidden="1">'FOLHA janeiro'!$G$1:$G$26</definedName>
    <definedName name="_xlnm._FilterDatabase" localSheetId="8" hidden="1">'FOLHA JULHO'!$G$1:$G$38</definedName>
    <definedName name="_xlnm._FilterDatabase" localSheetId="7" hidden="1">'FOLHA JUNHO'!$G$1:$G$31</definedName>
    <definedName name="_xlnm._FilterDatabase" localSheetId="6" hidden="1">'FOLHA MAIO'!$G$1:$G$31</definedName>
    <definedName name="_xlnm._FilterDatabase" localSheetId="4" hidden="1">'FOLHA MAR'!$G$1:$G$25</definedName>
    <definedName name="_xlnm._FilterDatabase" localSheetId="14" hidden="1">'JAN -26'!$H$1:$H$26</definedName>
    <definedName name="_xlnm._FilterDatabase" localSheetId="12" hidden="1">NOV!$H$1:$H$32</definedName>
    <definedName name="_xlnm._FilterDatabase" localSheetId="11" hidden="1">OUTUBRO!$H$1:$H$31</definedName>
    <definedName name="_xlnm._FilterDatabase" localSheetId="10" hidden="1">SETEMBRO!$G$1:$G$30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5" l="1"/>
  <c r="O6" i="24"/>
  <c r="T8" i="24" l="1"/>
  <c r="T13" i="25"/>
  <c r="S6" i="25"/>
  <c r="T6" i="24" l="1"/>
  <c r="M79" i="4" l="1"/>
  <c r="T14" i="24"/>
  <c r="O9" i="25" l="1"/>
  <c r="T26" i="25"/>
  <c r="L78" i="4"/>
  <c r="O8" i="24" l="1"/>
  <c r="M89" i="4"/>
  <c r="T26" i="24" l="1"/>
  <c r="M63" i="4" l="1"/>
  <c r="L64" i="4"/>
  <c r="M64" i="4" s="1"/>
  <c r="M65" i="4"/>
  <c r="L66" i="4"/>
  <c r="M66" i="4" s="1"/>
  <c r="L67" i="4"/>
  <c r="M67" i="4" s="1"/>
  <c r="L70" i="4"/>
  <c r="M70" i="4" s="1"/>
  <c r="L71" i="4"/>
  <c r="M71" i="4" s="1"/>
  <c r="M73" i="4"/>
  <c r="M74" i="4"/>
  <c r="L77" i="4"/>
  <c r="M77" i="4" s="1"/>
  <c r="L80" i="4"/>
  <c r="M80" i="4" s="1"/>
  <c r="M81" i="4"/>
  <c r="L82" i="4"/>
  <c r="M82" i="4" s="1"/>
  <c r="L83" i="4"/>
  <c r="M83" i="4" s="1"/>
  <c r="M85" i="4"/>
  <c r="M87" i="4"/>
  <c r="M88" i="4"/>
  <c r="B69" i="4"/>
  <c r="M69" i="4" s="1"/>
  <c r="B68" i="4"/>
  <c r="L68" i="4" s="1"/>
  <c r="M68" i="4" s="1"/>
  <c r="B86" i="4" l="1"/>
  <c r="L86" i="4" s="1"/>
  <c r="M86" i="4" s="1"/>
  <c r="B76" i="4"/>
  <c r="M76" i="4" s="1"/>
  <c r="B75" i="4"/>
  <c r="B79" i="4"/>
  <c r="O9" i="24"/>
  <c r="V6" i="23"/>
  <c r="V19" i="23"/>
  <c r="V22" i="23"/>
  <c r="V18" i="23"/>
  <c r="V21" i="23"/>
  <c r="V10" i="23"/>
  <c r="V16" i="23"/>
  <c r="V29" i="23"/>
  <c r="R8" i="23"/>
  <c r="R30" i="23"/>
  <c r="R29" i="23"/>
  <c r="R34" i="23"/>
  <c r="Z29" i="23"/>
  <c r="Z7" i="23"/>
  <c r="O3" i="23"/>
  <c r="R31" i="22"/>
  <c r="B84" i="4"/>
  <c r="L84" i="4" s="1"/>
  <c r="M84" i="4" s="1"/>
  <c r="Z26" i="22"/>
  <c r="J20" i="22"/>
  <c r="J15" i="22"/>
  <c r="Z7" i="22"/>
  <c r="O3" i="22"/>
  <c r="Y7" i="20"/>
  <c r="Y21" i="20"/>
  <c r="Y23" i="20"/>
  <c r="Y11" i="20"/>
  <c r="Y13" i="20"/>
  <c r="AC8" i="20"/>
  <c r="Y18" i="20"/>
  <c r="Y4" i="20"/>
  <c r="Y27" i="20"/>
  <c r="Y28" i="20"/>
  <c r="AC27" i="20"/>
  <c r="U7" i="20"/>
  <c r="T7" i="20"/>
  <c r="L75" i="4" l="1"/>
  <c r="M75" i="4" s="1"/>
  <c r="U6" i="20"/>
  <c r="U17" i="20" l="1"/>
  <c r="U28" i="20"/>
  <c r="U13" i="20"/>
  <c r="W10" i="19"/>
  <c r="W24" i="19"/>
  <c r="V24" i="19"/>
  <c r="W9" i="19"/>
  <c r="W6" i="19"/>
  <c r="J19" i="20"/>
  <c r="J16" i="20"/>
  <c r="R6" i="20"/>
  <c r="M6" i="20"/>
  <c r="O3" i="20"/>
  <c r="W25" i="19"/>
  <c r="W17" i="19"/>
  <c r="W21" i="19"/>
  <c r="W29" i="19"/>
  <c r="W26" i="19"/>
  <c r="W28" i="19"/>
  <c r="W23" i="19"/>
  <c r="W20" i="19"/>
  <c r="W15" i="19"/>
  <c r="W3" i="19"/>
  <c r="W4" i="19"/>
  <c r="I20" i="19" l="1"/>
  <c r="M62" i="4" l="1"/>
  <c r="E69" i="4"/>
  <c r="B72" i="4"/>
  <c r="L72" i="4" s="1"/>
  <c r="M72" i="4" s="1"/>
  <c r="H77" i="4" l="1"/>
  <c r="S27" i="19"/>
  <c r="S26" i="19"/>
  <c r="S25" i="19"/>
  <c r="S24" i="19"/>
  <c r="S20" i="19"/>
  <c r="S21" i="19"/>
  <c r="S23" i="19"/>
  <c r="S19" i="19"/>
  <c r="S18" i="19"/>
  <c r="S16" i="19"/>
  <c r="S17" i="19"/>
  <c r="S15" i="19"/>
  <c r="S10" i="19"/>
  <c r="S4" i="19" l="1"/>
  <c r="S5" i="19"/>
  <c r="S6" i="19"/>
  <c r="S3" i="19"/>
  <c r="S12" i="19"/>
  <c r="U5" i="17" l="1"/>
  <c r="U6" i="17"/>
  <c r="U25" i="17"/>
  <c r="T25" i="17"/>
  <c r="I18" i="19"/>
  <c r="I10" i="19"/>
  <c r="Q6" i="19"/>
  <c r="L6" i="19"/>
  <c r="N3" i="19"/>
  <c r="U21" i="17"/>
  <c r="U15" i="17"/>
  <c r="U26" i="17"/>
  <c r="H76" i="4"/>
  <c r="T6" i="17"/>
  <c r="H75" i="4"/>
  <c r="R6" i="17" l="1"/>
  <c r="Q6" i="17"/>
  <c r="N3" i="17"/>
  <c r="I10" i="17"/>
  <c r="L6" i="17"/>
  <c r="I31" i="16" l="1"/>
  <c r="I32" i="16"/>
  <c r="T27" i="16"/>
  <c r="T17" i="16"/>
  <c r="T26" i="16"/>
  <c r="V15" i="16"/>
  <c r="T15" i="16"/>
  <c r="W17" i="16"/>
  <c r="T21" i="16"/>
  <c r="V19" i="16"/>
  <c r="T32" i="16"/>
  <c r="T20" i="16"/>
  <c r="T11" i="16"/>
  <c r="S6" i="16"/>
  <c r="T6" i="16" s="1"/>
  <c r="I21" i="17"/>
  <c r="I19" i="17"/>
  <c r="R16" i="17"/>
  <c r="R10" i="17"/>
  <c r="T33" i="16"/>
  <c r="T30" i="16"/>
  <c r="T31" i="16"/>
  <c r="T12" i="16"/>
  <c r="S8" i="16"/>
  <c r="T8" i="16" s="1"/>
  <c r="H67" i="4"/>
  <c r="R6" i="16" l="1"/>
  <c r="R17" i="16"/>
  <c r="Q6" i="16"/>
  <c r="H63" i="4"/>
  <c r="H64" i="4"/>
  <c r="H66" i="4"/>
  <c r="H68" i="4"/>
  <c r="H70" i="4"/>
  <c r="H71" i="4"/>
  <c r="H72" i="4"/>
  <c r="H73" i="4"/>
  <c r="H74" i="4"/>
  <c r="H69" i="4"/>
  <c r="H62" i="4"/>
  <c r="R23" i="16"/>
  <c r="R12" i="16"/>
  <c r="X15" i="15"/>
  <c r="AB20" i="15" l="1"/>
  <c r="X20" i="15"/>
  <c r="N22" i="16" l="1"/>
  <c r="I21" i="16"/>
  <c r="N21" i="16" s="1"/>
  <c r="I19" i="16"/>
  <c r="N19" i="16" s="1"/>
  <c r="N17" i="16"/>
  <c r="N16" i="16"/>
  <c r="I10" i="16"/>
  <c r="L9" i="16"/>
  <c r="L8" i="16"/>
  <c r="L7" i="16"/>
  <c r="L6" i="16"/>
  <c r="L5" i="16"/>
  <c r="L26" i="16" l="1"/>
  <c r="X21" i="15"/>
  <c r="X22" i="15"/>
  <c r="X18" i="15"/>
  <c r="T34" i="15"/>
  <c r="X26" i="15"/>
  <c r="X16" i="15"/>
  <c r="W10" i="15"/>
  <c r="X10" i="15" s="1"/>
  <c r="X27" i="15" l="1"/>
  <c r="X4" i="15"/>
  <c r="Z15" i="15"/>
  <c r="Z22" i="15"/>
  <c r="X17" i="15"/>
  <c r="Z17" i="15"/>
  <c r="X13" i="15"/>
  <c r="O22" i="15"/>
  <c r="O20" i="15"/>
  <c r="I20" i="15"/>
  <c r="V18" i="15" l="1"/>
  <c r="U6" i="15"/>
  <c r="V6" i="15" s="1"/>
  <c r="V16" i="15"/>
  <c r="V15" i="15"/>
  <c r="V10" i="15"/>
  <c r="V8" i="15"/>
  <c r="V17" i="15"/>
  <c r="V4" i="15"/>
  <c r="V7" i="15"/>
  <c r="V9" i="15"/>
  <c r="V11" i="15"/>
  <c r="V22" i="15"/>
  <c r="V24" i="15"/>
  <c r="V3" i="15"/>
  <c r="U5" i="15"/>
  <c r="V5" i="15" s="1"/>
  <c r="N23" i="15"/>
  <c r="N20" i="15"/>
  <c r="N38" i="4"/>
  <c r="G52" i="4" l="1"/>
  <c r="F52" i="4"/>
  <c r="O28" i="15"/>
  <c r="I22" i="15"/>
  <c r="N22" i="15" s="1"/>
  <c r="N18" i="15"/>
  <c r="N17" i="15"/>
  <c r="I10" i="15"/>
  <c r="L9" i="15"/>
  <c r="L8" i="15"/>
  <c r="L7" i="15"/>
  <c r="L6" i="15"/>
  <c r="L5" i="15"/>
  <c r="X10" i="14"/>
  <c r="X22" i="14"/>
  <c r="X26" i="14"/>
  <c r="F51" i="4"/>
  <c r="F50" i="4"/>
  <c r="X6" i="14"/>
  <c r="X25" i="14"/>
  <c r="X5" i="14"/>
  <c r="X15" i="14"/>
  <c r="X4" i="14"/>
  <c r="W6" i="14"/>
  <c r="N44" i="4"/>
  <c r="X20" i="14"/>
  <c r="X13" i="14"/>
  <c r="X18" i="14"/>
  <c r="N18" i="14"/>
  <c r="N19" i="14"/>
  <c r="N20" i="14"/>
  <c r="L28" i="15" l="1"/>
  <c r="F39" i="4"/>
  <c r="I49" i="4" l="1"/>
  <c r="F48" i="4"/>
  <c r="F47" i="4"/>
  <c r="F46" i="4"/>
  <c r="F45" i="4"/>
  <c r="I44" i="4"/>
  <c r="F43" i="4"/>
  <c r="F42" i="4"/>
  <c r="F40" i="4"/>
  <c r="I39" i="4"/>
  <c r="I37" i="4"/>
  <c r="F35" i="4"/>
  <c r="F33" i="4"/>
  <c r="F32" i="4"/>
  <c r="F31" i="4"/>
  <c r="I32" i="4" l="1"/>
  <c r="I38" i="4"/>
  <c r="I43" i="4"/>
  <c r="I33" i="4"/>
  <c r="I48" i="4"/>
  <c r="I35" i="4"/>
  <c r="I40" i="4"/>
  <c r="I42" i="4"/>
  <c r="I46" i="4"/>
  <c r="I45" i="4"/>
  <c r="I47" i="4"/>
  <c r="I31" i="4"/>
  <c r="I23" i="14" l="1"/>
  <c r="X23" i="14" s="1"/>
  <c r="V6" i="14" l="1"/>
  <c r="V5" i="14"/>
  <c r="U7" i="14" l="1"/>
  <c r="V7" i="14" s="1"/>
  <c r="O28" i="14"/>
  <c r="O14" i="14"/>
  <c r="N10" i="14"/>
  <c r="I10" i="14"/>
  <c r="O9" i="14"/>
  <c r="L9" i="14"/>
  <c r="M9" i="14" s="1"/>
  <c r="O8" i="14"/>
  <c r="L8" i="14"/>
  <c r="M8" i="14" s="1"/>
  <c r="O7" i="14"/>
  <c r="L7" i="14"/>
  <c r="M7" i="14" s="1"/>
  <c r="O6" i="14"/>
  <c r="L6" i="14"/>
  <c r="M6" i="14" s="1"/>
  <c r="L5" i="14"/>
  <c r="M4" i="14"/>
  <c r="M3" i="14"/>
  <c r="X16" i="11"/>
  <c r="W16" i="11"/>
  <c r="L28" i="14" l="1"/>
  <c r="M5" i="14"/>
  <c r="O5" i="14" s="1"/>
  <c r="X23" i="11"/>
  <c r="X26" i="11"/>
  <c r="X19" i="11"/>
  <c r="X10" i="11"/>
  <c r="I24" i="4" l="1"/>
  <c r="I23" i="4"/>
  <c r="X25" i="11"/>
  <c r="X7" i="11"/>
  <c r="X29" i="11"/>
  <c r="X22" i="11"/>
  <c r="X24" i="11"/>
  <c r="I22" i="4" l="1"/>
  <c r="X20" i="11" l="1"/>
  <c r="F3" i="4"/>
  <c r="I6" i="4" l="1"/>
  <c r="I8" i="4"/>
  <c r="I9" i="4"/>
  <c r="I16" i="4"/>
  <c r="I21" i="4"/>
  <c r="F20" i="4"/>
  <c r="I20" i="4" s="1"/>
  <c r="F19" i="4"/>
  <c r="F5" i="4"/>
  <c r="I5" i="4" s="1"/>
  <c r="F4" i="4"/>
  <c r="I4" i="4" s="1"/>
  <c r="F17" i="4"/>
  <c r="F18" i="4"/>
  <c r="I18" i="4" s="1"/>
  <c r="I19" i="4" l="1"/>
  <c r="I17" i="4"/>
  <c r="U9" i="11"/>
  <c r="U10" i="11"/>
  <c r="V17" i="11"/>
  <c r="V16" i="11"/>
  <c r="V29" i="11" l="1"/>
  <c r="N16" i="11"/>
  <c r="X22" i="9"/>
  <c r="X8" i="9"/>
  <c r="X3" i="9" l="1"/>
  <c r="X7" i="9"/>
  <c r="X13" i="9"/>
  <c r="F11" i="4" l="1"/>
  <c r="I11" i="4" s="1"/>
  <c r="O29" i="11" l="1"/>
  <c r="O21" i="11"/>
  <c r="I16" i="11"/>
  <c r="L15" i="11"/>
  <c r="O14" i="11"/>
  <c r="L14" i="11"/>
  <c r="O13" i="11"/>
  <c r="L13" i="11"/>
  <c r="O12" i="11"/>
  <c r="L12" i="11"/>
  <c r="M12" i="11" s="1"/>
  <c r="O11" i="11"/>
  <c r="L11" i="11"/>
  <c r="M11" i="11" s="1"/>
  <c r="O10" i="11"/>
  <c r="L10" i="11"/>
  <c r="M10" i="11" s="1"/>
  <c r="O9" i="11"/>
  <c r="L9" i="11"/>
  <c r="M9" i="11" s="1"/>
  <c r="L8" i="11"/>
  <c r="M7" i="11"/>
  <c r="M6" i="11"/>
  <c r="O5" i="11"/>
  <c r="L5" i="11"/>
  <c r="M5" i="11" s="1"/>
  <c r="O4" i="11"/>
  <c r="L4" i="11"/>
  <c r="O3" i="11"/>
  <c r="L3" i="11"/>
  <c r="L29" i="11" l="1"/>
  <c r="M3" i="11"/>
  <c r="M8" i="11"/>
  <c r="O8" i="11" s="1"/>
  <c r="V9" i="9" l="1"/>
  <c r="V11" i="9" l="1"/>
  <c r="V12" i="9"/>
  <c r="V13" i="9"/>
  <c r="V14" i="9"/>
  <c r="V15" i="9"/>
  <c r="V16" i="9"/>
  <c r="V17" i="9"/>
  <c r="V19" i="9"/>
  <c r="V10" i="9"/>
  <c r="V4" i="9"/>
  <c r="V5" i="9"/>
  <c r="V6" i="9"/>
  <c r="V8" i="9"/>
  <c r="V3" i="9"/>
  <c r="V7" i="9"/>
  <c r="N18" i="9"/>
  <c r="V18" i="9" s="1"/>
  <c r="F15" i="4"/>
  <c r="I15" i="4" s="1"/>
  <c r="V22" i="9" l="1"/>
  <c r="N22" i="9"/>
  <c r="X18" i="8"/>
  <c r="X23" i="8" s="1"/>
  <c r="V14" i="8"/>
  <c r="V10" i="8"/>
  <c r="V13" i="8"/>
  <c r="U13" i="8"/>
  <c r="V9" i="8"/>
  <c r="U9" i="8"/>
  <c r="U18" i="8"/>
  <c r="I3" i="4"/>
  <c r="V23" i="8" l="1"/>
  <c r="F10" i="4"/>
  <c r="I10" i="4" s="1"/>
  <c r="F14" i="4"/>
  <c r="I14" i="4" s="1"/>
  <c r="L22" i="8" l="1"/>
  <c r="M22" i="8" s="1"/>
  <c r="M24" i="8"/>
  <c r="L16" i="8"/>
  <c r="M16" i="8" s="1"/>
  <c r="L18" i="8"/>
  <c r="M18" i="8" s="1"/>
  <c r="L23" i="8"/>
  <c r="M23" i="8" s="1"/>
  <c r="N3" i="8" l="1"/>
  <c r="N25" i="8" l="1"/>
  <c r="O22" i="9"/>
  <c r="O21" i="9"/>
  <c r="I16" i="9"/>
  <c r="L15" i="9"/>
  <c r="O14" i="9"/>
  <c r="L14" i="9"/>
  <c r="O13" i="9"/>
  <c r="L13" i="9"/>
  <c r="O12" i="9"/>
  <c r="L12" i="9"/>
  <c r="M12" i="9" s="1"/>
  <c r="O11" i="9"/>
  <c r="L11" i="9"/>
  <c r="M11" i="9" s="1"/>
  <c r="O10" i="9"/>
  <c r="L10" i="9"/>
  <c r="M10" i="9" s="1"/>
  <c r="O9" i="9"/>
  <c r="L9" i="9"/>
  <c r="M9" i="9" s="1"/>
  <c r="L8" i="9"/>
  <c r="M8" i="9" s="1"/>
  <c r="O8" i="9" s="1"/>
  <c r="M7" i="9"/>
  <c r="M6" i="9"/>
  <c r="O5" i="9"/>
  <c r="L5" i="9"/>
  <c r="M5" i="9" s="1"/>
  <c r="O4" i="9"/>
  <c r="L4" i="9"/>
  <c r="O3" i="9"/>
  <c r="L3" i="9"/>
  <c r="L22" i="9" l="1"/>
  <c r="M3" i="9"/>
  <c r="V11" i="7"/>
  <c r="X23" i="7" l="1"/>
  <c r="X20" i="7" l="1"/>
  <c r="V23" i="7"/>
  <c r="W27" i="7" s="1"/>
  <c r="V16" i="7"/>
  <c r="V9" i="7"/>
  <c r="V13" i="7"/>
  <c r="V6" i="7"/>
  <c r="U5" i="7"/>
  <c r="O25" i="8" l="1"/>
  <c r="O24" i="8"/>
  <c r="I17" i="8"/>
  <c r="L17" i="8" s="1"/>
  <c r="M17" i="8" s="1"/>
  <c r="O15" i="8"/>
  <c r="L15" i="8"/>
  <c r="M15" i="8" s="1"/>
  <c r="O14" i="8"/>
  <c r="L14" i="8"/>
  <c r="M14" i="8" s="1"/>
  <c r="O13" i="8"/>
  <c r="L13" i="8"/>
  <c r="M13" i="8" s="1"/>
  <c r="O12" i="8"/>
  <c r="L12" i="8"/>
  <c r="M12" i="8" s="1"/>
  <c r="O11" i="8"/>
  <c r="L11" i="8"/>
  <c r="M11" i="8" s="1"/>
  <c r="O10" i="8"/>
  <c r="L10" i="8"/>
  <c r="M10" i="8" s="1"/>
  <c r="L9" i="8"/>
  <c r="M9" i="8" s="1"/>
  <c r="M8" i="8"/>
  <c r="M7" i="8"/>
  <c r="L6" i="8"/>
  <c r="M6" i="8" s="1"/>
  <c r="O5" i="8"/>
  <c r="L5" i="8"/>
  <c r="M5" i="8" s="1"/>
  <c r="O4" i="8"/>
  <c r="L4" i="8"/>
  <c r="O3" i="8"/>
  <c r="L3" i="8"/>
  <c r="M3" i="8" s="1"/>
  <c r="O9" i="8" l="1"/>
  <c r="L25" i="8"/>
  <c r="N19" i="7" l="1"/>
  <c r="N15" i="7"/>
  <c r="N9" i="7"/>
  <c r="N11" i="7"/>
  <c r="U22" i="1" l="1"/>
  <c r="T22" i="1"/>
  <c r="U7" i="1"/>
  <c r="U10" i="1"/>
  <c r="U15" i="1"/>
  <c r="U11" i="1"/>
  <c r="U9" i="1"/>
  <c r="U8" i="1"/>
  <c r="U16" i="1"/>
  <c r="F7" i="4"/>
  <c r="I7" i="4" s="1"/>
  <c r="U25" i="1" l="1"/>
  <c r="F8" i="5"/>
  <c r="F6" i="5"/>
  <c r="F4" i="5"/>
  <c r="L3" i="7"/>
  <c r="L4" i="7"/>
  <c r="L5" i="7"/>
  <c r="L6" i="7"/>
  <c r="L9" i="7"/>
  <c r="L10" i="7"/>
  <c r="L11" i="7"/>
  <c r="L12" i="7"/>
  <c r="L13" i="7"/>
  <c r="L14" i="7"/>
  <c r="L15" i="7"/>
  <c r="L16" i="7"/>
  <c r="L17" i="7"/>
  <c r="L19" i="7"/>
  <c r="L20" i="7"/>
  <c r="O23" i="7" l="1"/>
  <c r="O18" i="7"/>
  <c r="L18" i="7" s="1"/>
  <c r="L23" i="7" s="1"/>
  <c r="O17" i="7"/>
  <c r="O16" i="7"/>
  <c r="O15" i="7"/>
  <c r="M15" i="7"/>
  <c r="O14" i="7"/>
  <c r="M14" i="7"/>
  <c r="O13" i="7"/>
  <c r="M13" i="7"/>
  <c r="O12" i="7"/>
  <c r="M12" i="7"/>
  <c r="O11" i="7"/>
  <c r="M11" i="7"/>
  <c r="O10" i="7"/>
  <c r="M10" i="7"/>
  <c r="M9" i="7"/>
  <c r="O9" i="7" s="1"/>
  <c r="M8" i="7"/>
  <c r="M7" i="7"/>
  <c r="M6" i="7"/>
  <c r="O5" i="7"/>
  <c r="M5" i="7"/>
  <c r="O4" i="7"/>
  <c r="O3" i="7"/>
  <c r="M3" i="7"/>
  <c r="F13" i="4"/>
  <c r="I13" i="4" s="1"/>
  <c r="K23" i="1"/>
  <c r="N23" i="1"/>
  <c r="F12" i="4" l="1"/>
  <c r="I12" i="4" l="1"/>
  <c r="I25" i="4" s="1"/>
  <c r="T29" i="6"/>
  <c r="F9" i="5"/>
  <c r="E4" i="5"/>
  <c r="E5" i="5"/>
  <c r="F5" i="5" s="1"/>
  <c r="E6" i="5"/>
  <c r="E7" i="5"/>
  <c r="F7" i="5" s="1"/>
  <c r="E8" i="5"/>
  <c r="E9" i="5"/>
  <c r="E3" i="5" l="1"/>
  <c r="F3" i="5" s="1"/>
  <c r="T19" i="6" l="1"/>
  <c r="T22" i="6"/>
  <c r="N29" i="6"/>
  <c r="N28" i="6"/>
  <c r="N27" i="6"/>
  <c r="M27" i="6"/>
  <c r="N26" i="6"/>
  <c r="M26" i="6"/>
  <c r="N25" i="6"/>
  <c r="M25" i="6"/>
  <c r="K25" i="6"/>
  <c r="N24" i="6"/>
  <c r="M24" i="6"/>
  <c r="K24" i="6"/>
  <c r="N23" i="6"/>
  <c r="M23" i="6"/>
  <c r="K23" i="6"/>
  <c r="K22" i="6"/>
  <c r="K21" i="6"/>
  <c r="K20" i="6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K12" i="6"/>
  <c r="L12" i="6" s="1"/>
  <c r="K11" i="6"/>
  <c r="L10" i="6"/>
  <c r="L9" i="6"/>
  <c r="K8" i="6"/>
  <c r="L8" i="6" s="1"/>
  <c r="Q7" i="6"/>
  <c r="K7" i="6"/>
  <c r="L7" i="6" s="1"/>
  <c r="K6" i="6"/>
  <c r="L6" i="6" s="1"/>
  <c r="K5" i="6"/>
  <c r="L5" i="6" s="1"/>
  <c r="K4" i="6"/>
  <c r="P3" i="6"/>
  <c r="K3" i="6"/>
  <c r="K29" i="6" l="1"/>
  <c r="L11" i="6"/>
  <c r="L13" i="6"/>
  <c r="L3" i="6"/>
  <c r="N32" i="1" l="1"/>
  <c r="N31" i="1"/>
  <c r="N30" i="1"/>
  <c r="N29" i="1"/>
  <c r="N28" i="1"/>
  <c r="K28" i="1"/>
  <c r="N27" i="1"/>
  <c r="K27" i="1"/>
  <c r="N26" i="1"/>
  <c r="K26" i="1"/>
  <c r="N22" i="1"/>
  <c r="K22" i="1"/>
  <c r="N21" i="1"/>
  <c r="K21" i="1" s="1"/>
  <c r="N20" i="1"/>
  <c r="K20" i="1"/>
  <c r="N19" i="1"/>
  <c r="K19" i="1"/>
  <c r="N18" i="1"/>
  <c r="M18" i="1"/>
  <c r="K18" i="1"/>
  <c r="L18" i="1" s="1"/>
  <c r="N17" i="1"/>
  <c r="K17" i="1"/>
  <c r="L17" i="1" s="1"/>
  <c r="K16" i="1"/>
  <c r="N15" i="1"/>
  <c r="K15" i="1"/>
  <c r="L15" i="1" s="1"/>
  <c r="N14" i="1"/>
  <c r="K14" i="1"/>
  <c r="L14" i="1" s="1"/>
  <c r="N13" i="1"/>
  <c r="M13" i="1"/>
  <c r="K13" i="1"/>
  <c r="L13" i="1" s="1"/>
  <c r="N12" i="1"/>
  <c r="K12" i="1"/>
  <c r="L12" i="1" s="1"/>
  <c r="K11" i="1"/>
  <c r="L11" i="1" s="1"/>
  <c r="N11" i="1" s="1"/>
  <c r="M10" i="1"/>
  <c r="M9" i="1"/>
  <c r="N8" i="1"/>
  <c r="M8" i="1"/>
  <c r="K8" i="1"/>
  <c r="L8" i="1" s="1"/>
  <c r="M7" i="1"/>
  <c r="K7" i="1"/>
  <c r="L7" i="1" s="1"/>
  <c r="N6" i="1"/>
  <c r="M6" i="1"/>
  <c r="K6" i="1"/>
  <c r="L6" i="1" s="1"/>
  <c r="N5" i="1"/>
  <c r="M5" i="1"/>
  <c r="K5" i="1"/>
  <c r="L5" i="1" s="1"/>
  <c r="N4" i="1"/>
  <c r="K4" i="1"/>
  <c r="N3" i="1"/>
  <c r="K3" i="1"/>
  <c r="K32" i="1" l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Q2" authorId="0" shapeId="0" xr:uid="{9EA34C9C-953A-43A2-8D4D-19B09D8B8AE0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  <comment ref="A4" authorId="0" shapeId="0" xr:uid="{5D61126B-D5B6-4540-A4C6-EC1E25DF61EA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  <comment ref="A15" authorId="0" shapeId="0" xr:uid="{E1484BA3-4909-4BD6-B668-FC7C5F120826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em 01/12 - 1600,00
ajuda de custo 20,00 dia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Q2" authorId="0" shapeId="0" xr:uid="{3AFAAC0E-A3D1-4A47-B52C-561C8E4E15EB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  <comment ref="A4" authorId="0" shapeId="0" xr:uid="{48101067-1919-4CBE-91AE-7D91E6B3D9F6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  <comment ref="A16" authorId="0" shapeId="0" xr:uid="{FA01B775-816A-4FE8-86D3-F282475631AE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em 01/12 - 1600,00
ajuda de custo 20,00 dia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R2" authorId="0" shapeId="0" xr:uid="{FA373174-3B77-4196-AC98-DB459371A4CD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  <comment ref="A4" authorId="0" shapeId="0" xr:uid="{6B6BFC3D-8439-4337-B1D3-CBCF4FFA480F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  <comment ref="A13" authorId="0" shapeId="0" xr:uid="{3B908EEB-3A20-49AA-9D46-9899F7D061F2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em 01/12 - 1600,00
ajuda de custo 20,00 dia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R2" authorId="0" shapeId="0" xr:uid="{A7AB51B0-4B10-4038-8D8C-E714FE69594E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  <comment ref="A4" authorId="0" shapeId="0" xr:uid="{74CA2C42-A966-4AEE-9F14-9B545F6CDF34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R2" authorId="0" shapeId="0" xr:uid="{61761C75-5654-4C3F-BF7D-E7CEA2D003E3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  <comment ref="A4" authorId="0" shapeId="0" xr:uid="{08397BB2-F17C-4591-831C-955040004ECB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R2" authorId="0" shapeId="0" xr:uid="{8CEF9EF1-D9D9-48A1-934F-799E6A4F2C57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  <comment ref="A4" authorId="0" shapeId="0" xr:uid="{6E66C6E1-BF4D-4609-979B-944224DAC6A5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R2" authorId="0" shapeId="0" xr:uid="{961DC7FE-D916-435F-87B5-6BA42E232988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R2" authorId="0" shapeId="0" xr:uid="{55266A42-3BA7-45AB-B19F-8D96DFAA7A4C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14,84 A HORA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A5" authorId="0" shapeId="0" xr:uid="{6B917AED-6076-4D20-A2B9-79C5DC042F00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em 01/12 - 1600,00
ajuda de custo 20,00 dia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</author>
  </authors>
  <commentList>
    <comment ref="A8" authorId="0" shapeId="0" xr:uid="{A5034629-AD65-46E8-BFFA-5CAD2CDB9C27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em 01/12 - 1600,00
ajuda de custo 20,00 dia</t>
        </r>
      </text>
    </comment>
    <comment ref="A24" authorId="0" shapeId="0" xr:uid="{30268A38-DB21-4213-A4BA-4F6C57D8A444}">
      <text>
        <r>
          <rPr>
            <b/>
            <sz val="9"/>
            <color indexed="81"/>
            <rFont val="Segoe UI"/>
            <family val="2"/>
          </rPr>
          <t>TIM:</t>
        </r>
        <r>
          <rPr>
            <sz val="9"/>
            <color indexed="81"/>
            <rFont val="Segoe UI"/>
            <family val="2"/>
          </rPr>
          <t xml:space="preserve">
vale 600 reais 
descontar dez, jan, feve
</t>
        </r>
      </text>
    </comment>
  </commentList>
</comments>
</file>

<file path=xl/sharedStrings.xml><?xml version="1.0" encoding="utf-8"?>
<sst xmlns="http://schemas.openxmlformats.org/spreadsheetml/2006/main" count="230487" uniqueCount="382">
  <si>
    <t>PAGAMENTO DE SALARIO</t>
  </si>
  <si>
    <t>NOME</t>
  </si>
  <si>
    <t>INICIO</t>
  </si>
  <si>
    <t>ADMISSAO</t>
  </si>
  <si>
    <t xml:space="preserve">EXPERIENCIA </t>
  </si>
  <si>
    <t>DESLIGAMENTO</t>
  </si>
  <si>
    <t>LOJA</t>
  </si>
  <si>
    <t>FUNÇÃO</t>
  </si>
  <si>
    <t>SALARIO</t>
  </si>
  <si>
    <t>bonificação</t>
  </si>
  <si>
    <t xml:space="preserve">DIAS </t>
  </si>
  <si>
    <t>BRUTO</t>
  </si>
  <si>
    <t>VT</t>
  </si>
  <si>
    <t xml:space="preserve">ADIANTAMENTO </t>
  </si>
  <si>
    <t>INSS</t>
  </si>
  <si>
    <t xml:space="preserve">SALARIO FAMILIA </t>
  </si>
  <si>
    <t>EXTRA DSR</t>
  </si>
  <si>
    <t>EXTRA 100%</t>
  </si>
  <si>
    <t>FALTAS</t>
  </si>
  <si>
    <t>DSR</t>
  </si>
  <si>
    <t>VALE</t>
  </si>
  <si>
    <t>LIQUIDO</t>
  </si>
  <si>
    <t>PIX</t>
  </si>
  <si>
    <t>Jhenyfer Heloisa Lidogario Da Silva</t>
  </si>
  <si>
    <t>MINAS</t>
  </si>
  <si>
    <t xml:space="preserve">VENDEDOR </t>
  </si>
  <si>
    <t>Leonardo Roberto Scalabrini</t>
  </si>
  <si>
    <t>14/08,2024</t>
  </si>
  <si>
    <t>31 99319-0424</t>
  </si>
  <si>
    <t>Kayllaine Jhovana Morais De Oliveira</t>
  </si>
  <si>
    <t>Luiz Gustavo De Oliveira Ribeiro</t>
  </si>
  <si>
    <t>luizoolivier@gmail.com</t>
  </si>
  <si>
    <t>Jessica Ferreira Pardinho</t>
  </si>
  <si>
    <t xml:space="preserve">NOVA LIMA </t>
  </si>
  <si>
    <t>Gabriel Ferraz Rodrigues Rocha</t>
  </si>
  <si>
    <t>WPI COMERCIO</t>
  </si>
  <si>
    <t>08/12 e 22/12</t>
  </si>
  <si>
    <t>sim</t>
  </si>
  <si>
    <t>Mariana Marques Goda</t>
  </si>
  <si>
    <t>Daiana Gerard Bastos Silva</t>
  </si>
  <si>
    <t>140.294.766-60</t>
  </si>
  <si>
    <t xml:space="preserve">Thiago Freitas dos Santos </t>
  </si>
  <si>
    <t xml:space="preserve">CARREFOUR </t>
  </si>
  <si>
    <t>Lauro Fernando Ferreira Silva Filho</t>
  </si>
  <si>
    <t>MANTIQUEIRA TIM</t>
  </si>
  <si>
    <t>aux administratyivo</t>
  </si>
  <si>
    <t>Lucas Acacio Moura Dos Anjos</t>
  </si>
  <si>
    <t>VENDEDOR</t>
  </si>
  <si>
    <t xml:space="preserve"> 16/12 E 17/12</t>
  </si>
  <si>
    <t>Keith Silva Barreto</t>
  </si>
  <si>
    <t>Cristiane Esther Barcelos Baptista Pereira</t>
  </si>
  <si>
    <t>AUX ADM</t>
  </si>
  <si>
    <t>Pither Bryan Oliveira Pereira</t>
  </si>
  <si>
    <t>Emily Pereira Cardoso</t>
  </si>
  <si>
    <t xml:space="preserve">MANTIQUEIRA </t>
  </si>
  <si>
    <t xml:space="preserve">estoquista </t>
  </si>
  <si>
    <t>31989250467 nubank</t>
  </si>
  <si>
    <t>Wesley Junio Gomes Albuquerque</t>
  </si>
  <si>
    <t>31985320495/12511273632</t>
  </si>
  <si>
    <t>Helena de Jesus Neves Dias</t>
  </si>
  <si>
    <t>GERENTE ADM</t>
  </si>
  <si>
    <t>(31)997879671</t>
  </si>
  <si>
    <t>Vitor Sido Ventura</t>
  </si>
  <si>
    <t>Renato De Melo Gomes Prates</t>
  </si>
  <si>
    <t xml:space="preserve">Natalia Drummond </t>
  </si>
  <si>
    <t>GERENTE COMERCIAL</t>
  </si>
  <si>
    <t>066.590.846-65</t>
  </si>
  <si>
    <t xml:space="preserve">Marcus Vinicius Soares Diniz </t>
  </si>
  <si>
    <t>WPI ITAU</t>
  </si>
  <si>
    <t xml:space="preserve">SOMA </t>
  </si>
  <si>
    <t>,</t>
  </si>
  <si>
    <t xml:space="preserve">TOTAL FOLHA </t>
  </si>
  <si>
    <t>13º SALARIO</t>
  </si>
  <si>
    <t xml:space="preserve">meses trabalhados </t>
  </si>
  <si>
    <t>atendente de balcao</t>
  </si>
  <si>
    <t xml:space="preserve">gerente de loja </t>
  </si>
  <si>
    <t>Izayne Jener Ribeiro</t>
  </si>
  <si>
    <t xml:space="preserve">vendedor </t>
  </si>
  <si>
    <t>vendedor</t>
  </si>
  <si>
    <t xml:space="preserve">aux escritorio </t>
  </si>
  <si>
    <t xml:space="preserve">gerente administrativo </t>
  </si>
  <si>
    <t xml:space="preserve"> SALARIO</t>
  </si>
  <si>
    <t xml:space="preserve">experiencia </t>
  </si>
  <si>
    <t>CAMPANHA</t>
  </si>
  <si>
    <t>DINHEIRO</t>
  </si>
  <si>
    <t>10 á 15/01</t>
  </si>
  <si>
    <t xml:space="preserve">falta 02 e 03/01 falta 11/01 </t>
  </si>
  <si>
    <t>O8604324674</t>
  </si>
  <si>
    <t>701.462.566-70</t>
  </si>
  <si>
    <t xml:space="preserve">Igor Xavier Lima </t>
  </si>
  <si>
    <t>pagamento  SALARIO</t>
  </si>
  <si>
    <t>EXPERIENCIA</t>
  </si>
  <si>
    <t>BONIFICAÇÃO</t>
  </si>
  <si>
    <t>x</t>
  </si>
  <si>
    <t>falta 60,00</t>
  </si>
  <si>
    <t>Michele cristina pereira lourenço</t>
  </si>
  <si>
    <t>MANTIQUEIRA</t>
  </si>
  <si>
    <t xml:space="preserve">micrispereira04@gmail.com </t>
  </si>
  <si>
    <t>ADIANTAMENTO DE SALARIO</t>
  </si>
  <si>
    <t>vale adiantamento</t>
  </si>
  <si>
    <t xml:space="preserve">adiantamento </t>
  </si>
  <si>
    <t>vale pagamento</t>
  </si>
  <si>
    <t>pasgamento</t>
  </si>
  <si>
    <t>UNIAO</t>
  </si>
  <si>
    <t>BOULEVARD</t>
  </si>
  <si>
    <t>NOVO RIACHO</t>
  </si>
  <si>
    <t>277 ( felipe / caixa de som/ vale jennifer / pety)</t>
  </si>
  <si>
    <t>ESTOQUISTA</t>
  </si>
  <si>
    <t xml:space="preserve">Hugo Ribeiro Costa </t>
  </si>
  <si>
    <t>magalu</t>
  </si>
  <si>
    <t>167.422.626-80</t>
  </si>
  <si>
    <t>já paguei os 11 dias sem carteira</t>
  </si>
  <si>
    <t>Patrick Ferreira Soares</t>
  </si>
  <si>
    <t xml:space="preserve">já paguei 10 dias </t>
  </si>
  <si>
    <t>VALOR DIA</t>
  </si>
  <si>
    <t>DIAS TRABALHADOS</t>
  </si>
  <si>
    <t>VALOR TOTAL</t>
  </si>
  <si>
    <t>Emily Pereira</t>
  </si>
  <si>
    <t>dinheiro</t>
  </si>
  <si>
    <t>Lucas Acacio</t>
  </si>
  <si>
    <t>CARREFOUR</t>
  </si>
  <si>
    <t xml:space="preserve">CENTRO </t>
  </si>
  <si>
    <t>Luiz gustavo</t>
  </si>
  <si>
    <t>NOVA LIMA</t>
  </si>
  <si>
    <t>CARTAO OTIMO</t>
  </si>
  <si>
    <t>Leonardo Roberto</t>
  </si>
  <si>
    <t>Mariana Marques</t>
  </si>
  <si>
    <t>Felipe Fernandes</t>
  </si>
  <si>
    <t>ITAU</t>
  </si>
  <si>
    <t>Hugo</t>
  </si>
  <si>
    <t>patrick</t>
  </si>
  <si>
    <t>TOTAL</t>
  </si>
  <si>
    <t>AJUDA CUSTO TIM</t>
  </si>
  <si>
    <t xml:space="preserve">VALOR DIA </t>
  </si>
  <si>
    <t xml:space="preserve">DIAS TRABALHADOS </t>
  </si>
  <si>
    <t xml:space="preserve">DAIS DE FALTA </t>
  </si>
  <si>
    <t xml:space="preserve">VALOR EM FALTA </t>
  </si>
  <si>
    <t xml:space="preserve">Juliana </t>
  </si>
  <si>
    <t>12x36</t>
  </si>
  <si>
    <t>Igor Xavier Lima</t>
  </si>
  <si>
    <t>SEGUNDA A DOMINGO</t>
  </si>
  <si>
    <t>8:00 ÁS 18:00</t>
  </si>
  <si>
    <t>08 AS 18:00</t>
  </si>
  <si>
    <t>Keit Silva Barreto</t>
  </si>
  <si>
    <t>8 ás 18:00</t>
  </si>
  <si>
    <t xml:space="preserve">Camila Gomes Silva </t>
  </si>
  <si>
    <t>sexta 8:00 ás 17:00 - todos com 1 hr de almoço</t>
  </si>
  <si>
    <t>MANTIQUEIRA ESTOQUE</t>
  </si>
  <si>
    <t>8 as 18:00</t>
  </si>
  <si>
    <t>SEXTA 08:00 ÁS 17:00</t>
  </si>
  <si>
    <t>SABADO 8:00 ÁS 14:00</t>
  </si>
  <si>
    <t>Julia Rafaela Rocha Silva</t>
  </si>
  <si>
    <t xml:space="preserve">MANTIQUEIRA LOJA </t>
  </si>
  <si>
    <t>10:30 ÁS 19:30</t>
  </si>
  <si>
    <t>08:00 ÁS 17:30</t>
  </si>
  <si>
    <t>SABADO REVEZAMENTO 09:00 ÁS 18:00</t>
  </si>
  <si>
    <t xml:space="preserve">MINAS SHOPPING </t>
  </si>
  <si>
    <t>6x1 - 13:45 ás 22:00hrs</t>
  </si>
  <si>
    <t xml:space="preserve">14:00 ás 22:00 - gerente </t>
  </si>
  <si>
    <t xml:space="preserve">12x36 - 10:00 ás 22:00hrs  - segunda a domingo </t>
  </si>
  <si>
    <t xml:space="preserve">SEGUNDA A SABADO 09 AS 19 HRS  - RECEBE 500,00 A MAIS POR ISSO </t>
  </si>
  <si>
    <t>WPI - ITAU</t>
  </si>
  <si>
    <t>12X36</t>
  </si>
  <si>
    <t xml:space="preserve">Mariana Marques Coda </t>
  </si>
  <si>
    <t>13:40 ÁS 22:00</t>
  </si>
  <si>
    <t xml:space="preserve">não trabalha domingo </t>
  </si>
  <si>
    <t xml:space="preserve">Camila Gomes </t>
  </si>
  <si>
    <t xml:space="preserve">Ana Vitória Maria De Jesus </t>
  </si>
  <si>
    <t xml:space="preserve">Alessandra da Silva Pereira </t>
  </si>
  <si>
    <t xml:space="preserve">BOULEVARD </t>
  </si>
  <si>
    <t>financeiro</t>
  </si>
  <si>
    <t>estoque</t>
  </si>
  <si>
    <t>o8337573694</t>
  </si>
  <si>
    <t xml:space="preserve">Wesley </t>
  </si>
  <si>
    <t xml:space="preserve">MINAS </t>
  </si>
  <si>
    <t>Izaine Jener</t>
  </si>
  <si>
    <t>TEM NO CARTAO</t>
  </si>
  <si>
    <t>A PAGAR</t>
  </si>
  <si>
    <t>SIM</t>
  </si>
  <si>
    <t>Título - Fornecedor/Cliente</t>
  </si>
  <si>
    <t>Aberto</t>
  </si>
  <si>
    <t>Vencimento (dia da semana)</t>
  </si>
  <si>
    <t>FINANCIAMENTO SICOOB QUITAR MOTO</t>
  </si>
  <si>
    <t>G DISTRIBUICAO E COMERCIO DE PRODUTOS LTDA</t>
  </si>
  <si>
    <t>SANTANA CENTRO DAS ANTGENAS</t>
  </si>
  <si>
    <t>ACTEC DO BRASIL</t>
  </si>
  <si>
    <t xml:space="preserve">MULTA TRANSITO AUGUSTO </t>
  </si>
  <si>
    <t>descontar 247,82</t>
  </si>
  <si>
    <t>Rhafaella Quitéria</t>
  </si>
  <si>
    <t>87 999469899</t>
  </si>
  <si>
    <t xml:space="preserve"> Rhafaella Quitéria Amorim Pereira Lima</t>
  </si>
  <si>
    <t>Ronan Martins Oliveira</t>
  </si>
  <si>
    <t xml:space="preserve">Ronan Martins </t>
  </si>
  <si>
    <t xml:space="preserve">Jhonatan </t>
  </si>
  <si>
    <t xml:space="preserve">Jhonatan Gabriel Ferreira </t>
  </si>
  <si>
    <t>jhonycortes169@icloud.com</t>
  </si>
  <si>
    <t>106.570.476-35</t>
  </si>
  <si>
    <t>pagar 3 dias por fora</t>
  </si>
  <si>
    <t xml:space="preserve">isac </t>
  </si>
  <si>
    <t>560 pendente</t>
  </si>
  <si>
    <t>150 enviar que faltou no pagamento</t>
  </si>
  <si>
    <t>Ricardo Henrique da Silva</t>
  </si>
  <si>
    <t>Thalita Costa Aguiar</t>
  </si>
  <si>
    <t>Danielle kethellin Pires</t>
  </si>
  <si>
    <t>O2098281617</t>
  </si>
  <si>
    <t xml:space="preserve">Ana Lucia Castro </t>
  </si>
  <si>
    <t>vendedora</t>
  </si>
  <si>
    <t xml:space="preserve">Thamara Reis da Silva Oliveira </t>
  </si>
  <si>
    <t>gerente</t>
  </si>
  <si>
    <t>O1963328698</t>
  </si>
  <si>
    <t>VALE TRANSPORTE HORARIO CENTRAL junho</t>
  </si>
  <si>
    <t>VALE TRANSPORTE HORARIO CENTRAL maio</t>
  </si>
  <si>
    <t>Danielle</t>
  </si>
  <si>
    <t>BETIM</t>
  </si>
  <si>
    <t>maio</t>
  </si>
  <si>
    <t>junho</t>
  </si>
  <si>
    <t>WP UNIAO</t>
  </si>
  <si>
    <t>WP NOVO RIACHO</t>
  </si>
  <si>
    <t>X</t>
  </si>
  <si>
    <t xml:space="preserve">Augusto </t>
  </si>
  <si>
    <t>betim</t>
  </si>
  <si>
    <t>tecnico</t>
  </si>
  <si>
    <t>motoboy</t>
  </si>
  <si>
    <t xml:space="preserve">Victor Hugo Magalhães Castro </t>
  </si>
  <si>
    <t>2,5 sobre dia de inicio</t>
  </si>
  <si>
    <t xml:space="preserve">João Vitor cordeiro da silva Almeida </t>
  </si>
  <si>
    <t>WP CARREFOUR</t>
  </si>
  <si>
    <t xml:space="preserve">:João Vitor cordeiro da silva Almeida </t>
  </si>
  <si>
    <t>passagem ate 14/06</t>
  </si>
  <si>
    <t xml:space="preserve">Franciane Aparecida Marques Nascimento </t>
  </si>
  <si>
    <t>WP ITAU</t>
  </si>
  <si>
    <t>enviar para Thalita 607</t>
  </si>
  <si>
    <t>Isac Bruno</t>
  </si>
  <si>
    <t xml:space="preserve">Maísa pegoritti marques </t>
  </si>
  <si>
    <t>GERENTE</t>
  </si>
  <si>
    <t>TECNICO</t>
  </si>
  <si>
    <t>ATENDENTE DE BALCÃO</t>
  </si>
  <si>
    <t>MOTOBOY</t>
  </si>
  <si>
    <t>WP RJ</t>
  </si>
  <si>
    <t xml:space="preserve">Yasmin vitória costa Alves </t>
  </si>
  <si>
    <t>23-24-25</t>
  </si>
  <si>
    <t xml:space="preserve">ITAU </t>
  </si>
  <si>
    <t>GENTE</t>
  </si>
  <si>
    <t>tem 200 de lider</t>
  </si>
  <si>
    <t>Isabela Mendonça de Oliveira Andrade</t>
  </si>
  <si>
    <t>RECEBE</t>
  </si>
  <si>
    <t>26/06/2025  -  28/06 e 30/06</t>
  </si>
  <si>
    <t>26/06/2025 e 29/06</t>
  </si>
  <si>
    <t>falta 450,00 Julho</t>
  </si>
  <si>
    <t xml:space="preserve">Ana clara Ferreira Gomes </t>
  </si>
  <si>
    <t>VENDEDORA</t>
  </si>
  <si>
    <t>isabelaandradecont@gmail.com</t>
  </si>
  <si>
    <t>31 975045666</t>
  </si>
  <si>
    <t>NÃO TEM PIX</t>
  </si>
  <si>
    <t xml:space="preserve">Anthony Gabriel de Paula Santos </t>
  </si>
  <si>
    <t>01 á 17/07</t>
  </si>
  <si>
    <t>Ricardo caldeiraro</t>
  </si>
  <si>
    <t>carrefour</t>
  </si>
  <si>
    <t>31 994318035</t>
  </si>
  <si>
    <t>Victor Mendes Alves Pereira</t>
  </si>
  <si>
    <t xml:space="preserve"> vitormendes7171@gmail.com</t>
  </si>
  <si>
    <t xml:space="preserve">Daniele Fernanda da Silva </t>
  </si>
  <si>
    <t>Gustavo Enrique wiermann valdes</t>
  </si>
  <si>
    <t>rio de janeiro</t>
  </si>
  <si>
    <t xml:space="preserve">Jehnnifer </t>
  </si>
  <si>
    <t xml:space="preserve"> Anthony Gabriel de Paula Santos </t>
  </si>
  <si>
    <t>del rey</t>
  </si>
  <si>
    <t>joao vitor</t>
  </si>
  <si>
    <t xml:space="preserve">Gustavo </t>
  </si>
  <si>
    <t>bh bus</t>
  </si>
  <si>
    <t xml:space="preserve">Jhenyfer Heloisa Lidogario Da Silva </t>
  </si>
  <si>
    <t>otimo</t>
  </si>
  <si>
    <t xml:space="preserve">Juliana Carvalho da Silva </t>
  </si>
  <si>
    <t>31/07,</t>
  </si>
  <si>
    <t>lidenraça</t>
  </si>
  <si>
    <t>total</t>
  </si>
  <si>
    <t>Carrefour</t>
  </si>
  <si>
    <t> 04473075680</t>
  </si>
  <si>
    <t>diferença salarial</t>
  </si>
  <si>
    <t xml:space="preserve">Gustavo Enrique wiermann valdes </t>
  </si>
  <si>
    <t>O6547336603</t>
  </si>
  <si>
    <t xml:space="preserve">loja nova </t>
  </si>
  <si>
    <t>wp contagem</t>
  </si>
  <si>
    <t>Gustavo Lancaster Oliveira</t>
  </si>
  <si>
    <t xml:space="preserve">Ana Clara Fernandes Souza 
</t>
  </si>
  <si>
    <t xml:space="preserve">tupinambas </t>
  </si>
  <si>
    <t xml:space="preserve">Elizabete Silva Gomes Nunes </t>
  </si>
  <si>
    <t>01 á 31/08</t>
  </si>
  <si>
    <t xml:space="preserve">Emanuely Fernanda Dias Souza Nunes </t>
  </si>
  <si>
    <t>emanuelyfernandasouzanunes@gmail.com</t>
  </si>
  <si>
    <t>15 e 22</t>
  </si>
  <si>
    <t xml:space="preserve"> Victor Hugo Morais Braga de Almeida</t>
  </si>
  <si>
    <t xml:space="preserve">02143236689
</t>
  </si>
  <si>
    <t>TERÇA FEIRA 09/09</t>
  </si>
  <si>
    <t>ok</t>
  </si>
  <si>
    <t xml:space="preserve">Vitória Luiza Soares Pereira </t>
  </si>
  <si>
    <t>VALE ADIANTAMENTO</t>
  </si>
  <si>
    <t>ADIANTAMENTO</t>
  </si>
  <si>
    <t xml:space="preserve"> Vitória Luiza Soares Pereira </t>
  </si>
  <si>
    <t xml:space="preserve">Suellen Elaine da Silva brito </t>
  </si>
  <si>
    <t xml:space="preserve">145.863.486-82 </t>
  </si>
  <si>
    <t>Debora Alves</t>
  </si>
  <si>
    <t>cartao do thiago</t>
  </si>
  <si>
    <t>Joao Vitor</t>
  </si>
  <si>
    <t>COLABORADOR</t>
  </si>
  <si>
    <t>TIPO DE PAGAMENTO</t>
  </si>
  <si>
    <t>VALE TRANSPORTE HORARIO CENTRAL</t>
  </si>
  <si>
    <t>CARREGAR</t>
  </si>
  <si>
    <t>31 9987900125</t>
  </si>
  <si>
    <t xml:space="preserve"> Karynne Barbosa Pires De Souza </t>
  </si>
  <si>
    <t>curitiba</t>
  </si>
  <si>
    <t xml:space="preserve">Karynne Barbosa Pires De Souza </t>
  </si>
  <si>
    <t>falta</t>
  </si>
  <si>
    <t>dsr</t>
  </si>
  <si>
    <t>semana</t>
  </si>
  <si>
    <t>mês</t>
  </si>
  <si>
    <t>Augusto  Fagundes</t>
  </si>
  <si>
    <t>passagem 103,987</t>
  </si>
  <si>
    <t>dia 57,77</t>
  </si>
  <si>
    <t>adiantamento 694,00</t>
  </si>
  <si>
    <t xml:space="preserve">10 dias </t>
  </si>
  <si>
    <t>ELDORADO</t>
  </si>
  <si>
    <t>Debora Alves dos Santos - 17/09</t>
  </si>
  <si>
    <t>Kaylaine vitória Castro</t>
  </si>
  <si>
    <t xml:space="preserve"> kaylainevitoria40@gmail.com</t>
  </si>
  <si>
    <t>Debora Alves dos Santos - 16/09</t>
  </si>
  <si>
    <t>Mariana Gomes da Silva Cássia.</t>
  </si>
  <si>
    <t>Maria Eduarda Reis dos Santos</t>
  </si>
  <si>
    <t>termino</t>
  </si>
  <si>
    <t xml:space="preserve">kallebe de limas Lacerda 
</t>
  </si>
  <si>
    <t xml:space="preserve">kallebe de limas Lacerda </t>
  </si>
  <si>
    <t xml:space="preserve">14177020605
</t>
  </si>
  <si>
    <t>wp rj</t>
  </si>
  <si>
    <t>kaylaine</t>
  </si>
  <si>
    <t>Luiz Gustavo de Lima Braga</t>
  </si>
  <si>
    <t>02/10/2025 e 23/10 e 24 á 31/10</t>
  </si>
  <si>
    <t>luana</t>
  </si>
  <si>
    <t>pagamento</t>
  </si>
  <si>
    <t>Edilson</t>
  </si>
  <si>
    <t>mantiqueira</t>
  </si>
  <si>
    <t>Financeiro</t>
  </si>
  <si>
    <t>Evellyn Pereira Cardoso 03/11</t>
  </si>
  <si>
    <t>Henrique 06/11</t>
  </si>
  <si>
    <t>Henrique</t>
  </si>
  <si>
    <t>cartao do Savio</t>
  </si>
  <si>
    <t>Layla</t>
  </si>
  <si>
    <t>e00c2948-fe5c-4c06-b970-575a7d89c53d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</si>
  <si>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</si>
  <si>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cartão</t>
  </si>
  <si>
    <t xml:space="preserve">Laylla </t>
  </si>
  <si>
    <t>Lorraine Estefani Martins Mendes</t>
  </si>
  <si>
    <t xml:space="preserve">12/11 - </t>
  </si>
  <si>
    <t>Nataly</t>
  </si>
  <si>
    <t>(31) 993586522</t>
  </si>
  <si>
    <t>Lorraine Estefani Martins</t>
  </si>
  <si>
    <t xml:space="preserve">Crystofer </t>
  </si>
  <si>
    <t xml:space="preserve">Eldorado </t>
  </si>
  <si>
    <t xml:space="preserve">Ellen Diana </t>
  </si>
  <si>
    <t>03/12-13/12</t>
  </si>
  <si>
    <t>02/12-03/12-16/12</t>
  </si>
  <si>
    <t>Evelyn Cardoso</t>
  </si>
  <si>
    <t>Kamily</t>
  </si>
  <si>
    <t>Edilson Dener</t>
  </si>
  <si>
    <t xml:space="preserve">Debora Alves dos Santos </t>
  </si>
  <si>
    <t>cartao maria eduarda</t>
  </si>
  <si>
    <t>atestado</t>
  </si>
  <si>
    <t>06 á 09</t>
  </si>
  <si>
    <t>06/02/2026 e 12/01</t>
  </si>
  <si>
    <t>folga de domingo 12/01</t>
  </si>
  <si>
    <t>05/01/2026 - 06/01 - 15/01</t>
  </si>
  <si>
    <t>lider</t>
  </si>
  <si>
    <t>02/01/2026 e 16/01</t>
  </si>
  <si>
    <t>21 e 22/01</t>
  </si>
  <si>
    <t>12/01/2026 e 13/01 e 26/01</t>
  </si>
  <si>
    <t xml:space="preserve">não quer </t>
  </si>
  <si>
    <t>3x</t>
  </si>
  <si>
    <t>4x69</t>
  </si>
  <si>
    <t>férias de 22 á 05/02</t>
  </si>
  <si>
    <t>02 e 03/02</t>
  </si>
  <si>
    <t>não quer</t>
  </si>
  <si>
    <t>65587753092867300 mudou para o cartao do savinho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</si>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</sst>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u/>
      <sz val="9"/>
      <color rgb="FF0563C1"/>
      <name val="Arial"/>
      <family val="2"/>
    </font>
    <font>
      <b/>
      <sz val="6"/>
      <color theme="1"/>
      <name val="Arial"/>
      <family val="2"/>
    </font>
    <font>
      <sz val="9"/>
      <color theme="1"/>
      <name val="Aptos Display"/>
      <family val="2"/>
    </font>
    <font>
      <sz val="10"/>
      <color theme="1"/>
      <name val="Aptos"/>
      <family val="2"/>
    </font>
    <font>
      <sz val="9"/>
      <color theme="1"/>
      <name val="Aptos"/>
      <family val="2"/>
    </font>
    <font>
      <b/>
      <sz val="9"/>
      <color rgb="FFFF0000"/>
      <name val="Times New Roman"/>
      <family val="1"/>
    </font>
    <font>
      <b/>
      <sz val="9"/>
      <color theme="1"/>
      <name val="Aptos"/>
      <family val="2"/>
    </font>
    <font>
      <sz val="8"/>
      <color theme="1"/>
      <name val="Arial"/>
      <family val="2"/>
    </font>
    <font>
      <sz val="7"/>
      <color theme="1"/>
      <name val="Times New Roman"/>
      <family val="1"/>
    </font>
    <font>
      <sz val="7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9"/>
      <color theme="1"/>
      <name val="Aptos Display"/>
      <family val="2"/>
    </font>
    <font>
      <sz val="8"/>
      <color theme="1"/>
      <name val="Aptos"/>
      <family val="2"/>
    </font>
    <font>
      <sz val="7"/>
      <color theme="1"/>
      <name val="Aptos"/>
      <family val="2"/>
    </font>
    <font>
      <u/>
      <sz val="9"/>
      <color rgb="FF0563C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9"/>
      <color theme="1"/>
      <name val="Aptos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815">
    <xf numFmtId="0" fontId="0" fillId="0" borderId="0" xfId="0"/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4" fontId="5" fillId="2" borderId="2" xfId="1" applyFont="1" applyFill="1" applyBorder="1" applyAlignment="1">
      <alignment horizontal="center"/>
    </xf>
    <xf numFmtId="44" fontId="5" fillId="0" borderId="2" xfId="0" applyNumberFormat="1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16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44" fontId="5" fillId="3" borderId="2" xfId="1" applyFont="1" applyFill="1" applyBorder="1" applyAlignment="1">
      <alignment horizontal="center"/>
    </xf>
    <xf numFmtId="44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14" fontId="5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/>
    <xf numFmtId="14" fontId="6" fillId="0" borderId="2" xfId="0" applyNumberFormat="1" applyFont="1" applyBorder="1"/>
    <xf numFmtId="0" fontId="6" fillId="0" borderId="2" xfId="0" applyFont="1" applyBorder="1" applyAlignment="1">
      <alignment horizontal="center"/>
    </xf>
    <xf numFmtId="44" fontId="6" fillId="0" borderId="2" xfId="1" applyFont="1" applyBorder="1" applyAlignment="1"/>
    <xf numFmtId="0" fontId="0" fillId="0" borderId="4" xfId="0" applyBorder="1"/>
    <xf numFmtId="0" fontId="0" fillId="0" borderId="6" xfId="0" applyBorder="1"/>
    <xf numFmtId="0" fontId="0" fillId="0" borderId="7" xfId="0" applyBorder="1"/>
    <xf numFmtId="44" fontId="0" fillId="0" borderId="4" xfId="1" applyFont="1" applyBorder="1" applyAlignment="1"/>
    <xf numFmtId="44" fontId="0" fillId="0" borderId="2" xfId="1" applyFont="1" applyBorder="1" applyAlignment="1"/>
    <xf numFmtId="0" fontId="0" fillId="0" borderId="2" xfId="0" applyBorder="1"/>
    <xf numFmtId="44" fontId="7" fillId="0" borderId="2" xfId="0" applyNumberFormat="1" applyFont="1" applyBorder="1" applyAlignment="1">
      <alignment horizontal="center"/>
    </xf>
    <xf numFmtId="44" fontId="0" fillId="0" borderId="0" xfId="0" applyNumberFormat="1"/>
    <xf numFmtId="14" fontId="0" fillId="0" borderId="2" xfId="0" applyNumberFormat="1" applyBorder="1"/>
    <xf numFmtId="44" fontId="0" fillId="0" borderId="2" xfId="0" applyNumberFormat="1" applyBorder="1" applyAlignment="1">
      <alignment horizontal="center"/>
    </xf>
    <xf numFmtId="44" fontId="5" fillId="0" borderId="0" xfId="0" applyNumberFormat="1" applyFo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2" xfId="0" applyNumberFormat="1" applyBorder="1"/>
    <xf numFmtId="0" fontId="2" fillId="4" borderId="2" xfId="0" applyFont="1" applyFill="1" applyBorder="1"/>
    <xf numFmtId="0" fontId="2" fillId="6" borderId="2" xfId="0" applyFont="1" applyFill="1" applyBorder="1"/>
    <xf numFmtId="0" fontId="2" fillId="4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 wrapText="1"/>
    </xf>
    <xf numFmtId="0" fontId="10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left" wrapText="1"/>
    </xf>
    <xf numFmtId="0" fontId="2" fillId="10" borderId="2" xfId="0" applyFont="1" applyFill="1" applyBorder="1"/>
    <xf numFmtId="0" fontId="10" fillId="6" borderId="2" xfId="0" applyFont="1" applyFill="1" applyBorder="1" applyAlignment="1">
      <alignment horizontal="left"/>
    </xf>
    <xf numFmtId="0" fontId="10" fillId="11" borderId="2" xfId="0" applyFont="1" applyFill="1" applyBorder="1" applyAlignment="1">
      <alignment horizontal="left" wrapText="1"/>
    </xf>
    <xf numFmtId="0" fontId="2" fillId="11" borderId="2" xfId="0" applyFont="1" applyFill="1" applyBorder="1"/>
    <xf numFmtId="0" fontId="10" fillId="11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44" fontId="11" fillId="0" borderId="2" xfId="1" applyFont="1" applyBorder="1"/>
    <xf numFmtId="0" fontId="4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44" fontId="5" fillId="6" borderId="2" xfId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7" fillId="6" borderId="2" xfId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44" fontId="13" fillId="0" borderId="2" xfId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44" fontId="14" fillId="0" borderId="2" xfId="0" applyNumberFormat="1" applyFont="1" applyBorder="1" applyAlignment="1">
      <alignment horizontal="center"/>
    </xf>
    <xf numFmtId="14" fontId="14" fillId="0" borderId="2" xfId="0" applyNumberFormat="1" applyFont="1" applyBorder="1"/>
    <xf numFmtId="0" fontId="14" fillId="0" borderId="2" xfId="0" applyFont="1" applyBorder="1"/>
    <xf numFmtId="44" fontId="14" fillId="0" borderId="2" xfId="1" applyFont="1" applyBorder="1" applyAlignment="1"/>
    <xf numFmtId="44" fontId="14" fillId="0" borderId="2" xfId="0" applyNumberFormat="1" applyFont="1" applyBorder="1"/>
    <xf numFmtId="0" fontId="15" fillId="0" borderId="0" xfId="0" applyFont="1"/>
    <xf numFmtId="14" fontId="16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44" fontId="16" fillId="2" borderId="2" xfId="1" applyFont="1" applyFill="1" applyBorder="1" applyAlignment="1">
      <alignment horizontal="center"/>
    </xf>
    <xf numFmtId="44" fontId="16" fillId="0" borderId="2" xfId="0" applyNumberFormat="1" applyFont="1" applyBorder="1" applyAlignment="1">
      <alignment horizontal="center"/>
    </xf>
    <xf numFmtId="44" fontId="16" fillId="0" borderId="2" xfId="1" applyFont="1" applyBorder="1" applyAlignment="1">
      <alignment horizontal="center"/>
    </xf>
    <xf numFmtId="16" fontId="16" fillId="0" borderId="2" xfId="0" applyNumberFormat="1" applyFont="1" applyBorder="1" applyAlignment="1">
      <alignment horizontal="center"/>
    </xf>
    <xf numFmtId="14" fontId="16" fillId="3" borderId="2" xfId="0" applyNumberFormat="1" applyFont="1" applyFill="1" applyBorder="1" applyAlignment="1">
      <alignment horizontal="center"/>
    </xf>
    <xf numFmtId="16" fontId="16" fillId="3" borderId="2" xfId="0" applyNumberFormat="1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44" fontId="16" fillId="3" borderId="2" xfId="1" applyFont="1" applyFill="1" applyBorder="1" applyAlignment="1">
      <alignment horizontal="center"/>
    </xf>
    <xf numFmtId="44" fontId="16" fillId="3" borderId="2" xfId="0" applyNumberFormat="1" applyFont="1" applyFill="1" applyBorder="1" applyAlignment="1">
      <alignment horizontal="center"/>
    </xf>
    <xf numFmtId="0" fontId="16" fillId="3" borderId="2" xfId="0" applyFont="1" applyFill="1" applyBorder="1" applyAlignment="1">
      <alignment horizontal="left"/>
    </xf>
    <xf numFmtId="14" fontId="16" fillId="0" borderId="2" xfId="0" applyNumberFormat="1" applyFont="1" applyBorder="1"/>
    <xf numFmtId="0" fontId="16" fillId="0" borderId="2" xfId="0" applyFont="1" applyBorder="1"/>
    <xf numFmtId="44" fontId="16" fillId="0" borderId="2" xfId="1" applyFont="1" applyBorder="1"/>
    <xf numFmtId="44" fontId="16" fillId="0" borderId="2" xfId="1" applyFont="1" applyBorder="1" applyAlignment="1"/>
    <xf numFmtId="0" fontId="14" fillId="3" borderId="2" xfId="0" applyFont="1" applyFill="1" applyBorder="1" applyAlignment="1">
      <alignment horizontal="center"/>
    </xf>
    <xf numFmtId="44" fontId="16" fillId="0" borderId="2" xfId="0" applyNumberFormat="1" applyFont="1" applyBorder="1"/>
    <xf numFmtId="14" fontId="16" fillId="7" borderId="2" xfId="0" applyNumberFormat="1" applyFont="1" applyFill="1" applyBorder="1" applyAlignment="1">
      <alignment horizontal="center"/>
    </xf>
    <xf numFmtId="16" fontId="16" fillId="7" borderId="2" xfId="0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44" fontId="16" fillId="7" borderId="2" xfId="1" applyFont="1" applyFill="1" applyBorder="1" applyAlignment="1">
      <alignment horizontal="center"/>
    </xf>
    <xf numFmtId="44" fontId="16" fillId="7" borderId="2" xfId="0" applyNumberFormat="1" applyFont="1" applyFill="1" applyBorder="1" applyAlignment="1">
      <alignment horizontal="center"/>
    </xf>
    <xf numFmtId="0" fontId="16" fillId="7" borderId="2" xfId="0" applyFont="1" applyFill="1" applyBorder="1"/>
    <xf numFmtId="14" fontId="16" fillId="7" borderId="2" xfId="0" applyNumberFormat="1" applyFont="1" applyFill="1" applyBorder="1"/>
    <xf numFmtId="0" fontId="14" fillId="7" borderId="2" xfId="0" applyFont="1" applyFill="1" applyBorder="1"/>
    <xf numFmtId="44" fontId="16" fillId="7" borderId="2" xfId="1" applyFont="1" applyFill="1" applyBorder="1" applyAlignment="1"/>
    <xf numFmtId="44" fontId="16" fillId="7" borderId="2" xfId="1" applyFont="1" applyFill="1" applyBorder="1"/>
    <xf numFmtId="0" fontId="16" fillId="0" borderId="2" xfId="0" applyFont="1" applyBorder="1" applyAlignment="1">
      <alignment horizontal="left"/>
    </xf>
    <xf numFmtId="0" fontId="16" fillId="7" borderId="2" xfId="0" applyFont="1" applyFill="1" applyBorder="1" applyAlignment="1">
      <alignment horizontal="left"/>
    </xf>
    <xf numFmtId="44" fontId="16" fillId="0" borderId="2" xfId="1" applyFont="1" applyFill="1" applyBorder="1" applyAlignment="1"/>
    <xf numFmtId="44" fontId="16" fillId="0" borderId="2" xfId="1" applyFont="1" applyFill="1" applyBorder="1"/>
    <xf numFmtId="44" fontId="14" fillId="0" borderId="2" xfId="1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44" fontId="16" fillId="0" borderId="2" xfId="0" applyNumberFormat="1" applyFont="1" applyBorder="1" applyAlignment="1">
      <alignment horizontal="center" wrapText="1"/>
    </xf>
    <xf numFmtId="44" fontId="16" fillId="3" borderId="2" xfId="0" applyNumberFormat="1" applyFont="1" applyFill="1" applyBorder="1" applyAlignment="1">
      <alignment horizontal="center" wrapText="1"/>
    </xf>
    <xf numFmtId="44" fontId="16" fillId="7" borderId="2" xfId="0" applyNumberFormat="1" applyFont="1" applyFill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6" fillId="7" borderId="2" xfId="0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14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44" fontId="19" fillId="2" borderId="2" xfId="1" applyFont="1" applyFill="1" applyBorder="1" applyAlignment="1">
      <alignment horizontal="center"/>
    </xf>
    <xf numFmtId="44" fontId="19" fillId="0" borderId="2" xfId="1" applyFont="1" applyBorder="1" applyAlignment="1">
      <alignment horizontal="center"/>
    </xf>
    <xf numFmtId="16" fontId="19" fillId="0" borderId="2" xfId="0" applyNumberFormat="1" applyFont="1" applyBorder="1" applyAlignment="1">
      <alignment horizontal="center"/>
    </xf>
    <xf numFmtId="14" fontId="19" fillId="3" borderId="2" xfId="0" applyNumberFormat="1" applyFont="1" applyFill="1" applyBorder="1" applyAlignment="1">
      <alignment horizontal="center"/>
    </xf>
    <xf numFmtId="16" fontId="19" fillId="3" borderId="2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44" fontId="19" fillId="3" borderId="2" xfId="1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44" fontId="19" fillId="3" borderId="2" xfId="0" applyNumberFormat="1" applyFont="1" applyFill="1" applyBorder="1" applyAlignment="1">
      <alignment horizontal="center"/>
    </xf>
    <xf numFmtId="14" fontId="19" fillId="7" borderId="2" xfId="0" applyNumberFormat="1" applyFont="1" applyFill="1" applyBorder="1" applyAlignment="1">
      <alignment horizontal="center"/>
    </xf>
    <xf numFmtId="16" fontId="19" fillId="7" borderId="2" xfId="0" applyNumberFormat="1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44" fontId="19" fillId="7" borderId="2" xfId="1" applyFont="1" applyFill="1" applyBorder="1" applyAlignment="1">
      <alignment horizontal="center"/>
    </xf>
    <xf numFmtId="44" fontId="19" fillId="7" borderId="2" xfId="0" applyNumberFormat="1" applyFont="1" applyFill="1" applyBorder="1" applyAlignment="1">
      <alignment horizontal="center"/>
    </xf>
    <xf numFmtId="14" fontId="19" fillId="0" borderId="2" xfId="0" applyNumberFormat="1" applyFont="1" applyBorder="1"/>
    <xf numFmtId="0" fontId="19" fillId="0" borderId="2" xfId="0" applyFont="1" applyBorder="1"/>
    <xf numFmtId="44" fontId="19" fillId="0" borderId="2" xfId="1" applyFont="1" applyBorder="1"/>
    <xf numFmtId="0" fontId="19" fillId="7" borderId="2" xfId="0" applyFont="1" applyFill="1" applyBorder="1"/>
    <xf numFmtId="14" fontId="19" fillId="7" borderId="2" xfId="0" applyNumberFormat="1" applyFont="1" applyFill="1" applyBorder="1"/>
    <xf numFmtId="0" fontId="13" fillId="7" borderId="2" xfId="0" applyFont="1" applyFill="1" applyBorder="1"/>
    <xf numFmtId="44" fontId="19" fillId="7" borderId="2" xfId="1" applyFont="1" applyFill="1" applyBorder="1" applyAlignment="1"/>
    <xf numFmtId="44" fontId="19" fillId="7" borderId="2" xfId="1" applyFont="1" applyFill="1" applyBorder="1"/>
    <xf numFmtId="0" fontId="13" fillId="0" borderId="2" xfId="0" applyFont="1" applyBorder="1"/>
    <xf numFmtId="44" fontId="19" fillId="0" borderId="2" xfId="1" applyFont="1" applyFill="1" applyBorder="1" applyAlignment="1"/>
    <xf numFmtId="44" fontId="19" fillId="0" borderId="2" xfId="1" applyFont="1" applyFill="1" applyBorder="1"/>
    <xf numFmtId="44" fontId="19" fillId="0" borderId="2" xfId="1" applyFont="1" applyBorder="1" applyAlignment="1"/>
    <xf numFmtId="44" fontId="19" fillId="0" borderId="2" xfId="0" applyNumberFormat="1" applyFont="1" applyBorder="1"/>
    <xf numFmtId="0" fontId="19" fillId="0" borderId="2" xfId="0" applyFont="1" applyBorder="1" applyAlignment="1">
      <alignment horizontal="left" wrapText="1"/>
    </xf>
    <xf numFmtId="0" fontId="19" fillId="3" borderId="2" xfId="0" applyFont="1" applyFill="1" applyBorder="1" applyAlignment="1">
      <alignment horizontal="left" wrapText="1"/>
    </xf>
    <xf numFmtId="0" fontId="19" fillId="7" borderId="2" xfId="0" applyFont="1" applyFill="1" applyBorder="1" applyAlignment="1">
      <alignment horizontal="left" wrapText="1"/>
    </xf>
    <xf numFmtId="0" fontId="19" fillId="7" borderId="2" xfId="0" applyFont="1" applyFill="1" applyBorder="1" applyAlignment="1">
      <alignment wrapText="1"/>
    </xf>
    <xf numFmtId="0" fontId="19" fillId="0" borderId="2" xfId="0" applyFont="1" applyBorder="1" applyAlignment="1">
      <alignment wrapText="1"/>
    </xf>
    <xf numFmtId="44" fontId="19" fillId="0" borderId="2" xfId="0" applyNumberFormat="1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44" fontId="19" fillId="3" borderId="2" xfId="0" applyNumberFormat="1" applyFont="1" applyFill="1" applyBorder="1" applyAlignment="1">
      <alignment horizontal="center" wrapText="1"/>
    </xf>
    <xf numFmtId="44" fontId="19" fillId="7" borderId="2" xfId="0" applyNumberFormat="1" applyFont="1" applyFill="1" applyBorder="1" applyAlignment="1">
      <alignment horizontal="center" wrapText="1"/>
    </xf>
    <xf numFmtId="0" fontId="11" fillId="0" borderId="0" xfId="0" applyFont="1"/>
    <xf numFmtId="16" fontId="16" fillId="0" borderId="2" xfId="0" applyNumberFormat="1" applyFont="1" applyBorder="1"/>
    <xf numFmtId="16" fontId="14" fillId="0" borderId="2" xfId="0" applyNumberFormat="1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16" fillId="0" borderId="1" xfId="0" applyNumberFormat="1" applyFont="1" applyBorder="1"/>
    <xf numFmtId="16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4" fontId="16" fillId="0" borderId="1" xfId="1" applyFont="1" applyBorder="1" applyAlignment="1"/>
    <xf numFmtId="4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wrapText="1"/>
    </xf>
    <xf numFmtId="44" fontId="16" fillId="0" borderId="1" xfId="1" applyFont="1" applyBorder="1"/>
    <xf numFmtId="0" fontId="16" fillId="0" borderId="1" xfId="0" applyFont="1" applyBorder="1" applyAlignment="1">
      <alignment horizontal="center"/>
    </xf>
    <xf numFmtId="0" fontId="11" fillId="0" borderId="2" xfId="0" applyFont="1" applyBorder="1"/>
    <xf numFmtId="0" fontId="12" fillId="0" borderId="0" xfId="0" applyFont="1" applyAlignment="1">
      <alignment horizontal="center"/>
    </xf>
    <xf numFmtId="44" fontId="14" fillId="0" borderId="2" xfId="1" applyFont="1" applyBorder="1"/>
    <xf numFmtId="12" fontId="16" fillId="0" borderId="2" xfId="0" applyNumberFormat="1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14" fontId="16" fillId="0" borderId="2" xfId="0" applyNumberFormat="1" applyFont="1" applyBorder="1" applyAlignment="1">
      <alignment horizontal="center" wrapText="1"/>
    </xf>
    <xf numFmtId="14" fontId="16" fillId="3" borderId="2" xfId="0" applyNumberFormat="1" applyFont="1" applyFill="1" applyBorder="1" applyAlignment="1">
      <alignment horizontal="center" wrapText="1"/>
    </xf>
    <xf numFmtId="14" fontId="16" fillId="7" borderId="2" xfId="0" applyNumberFormat="1" applyFont="1" applyFill="1" applyBorder="1" applyAlignment="1">
      <alignment horizontal="center" wrapText="1"/>
    </xf>
    <xf numFmtId="14" fontId="16" fillId="0" borderId="2" xfId="0" applyNumberFormat="1" applyFont="1" applyBorder="1" applyAlignment="1">
      <alignment wrapText="1"/>
    </xf>
    <xf numFmtId="14" fontId="14" fillId="0" borderId="2" xfId="0" applyNumberFormat="1" applyFont="1" applyBorder="1" applyAlignment="1">
      <alignment wrapText="1"/>
    </xf>
    <xf numFmtId="14" fontId="14" fillId="0" borderId="2" xfId="0" applyNumberFormat="1" applyFont="1" applyBorder="1" applyAlignment="1">
      <alignment horizontal="center" wrapText="1"/>
    </xf>
    <xf numFmtId="44" fontId="0" fillId="0" borderId="2" xfId="1" applyFont="1" applyBorder="1"/>
    <xf numFmtId="44" fontId="0" fillId="0" borderId="2" xfId="1" applyFont="1" applyBorder="1" applyAlignment="1">
      <alignment wrapText="1"/>
    </xf>
    <xf numFmtId="0" fontId="10" fillId="3" borderId="2" xfId="0" applyFont="1" applyFill="1" applyBorder="1" applyAlignment="1">
      <alignment horizontal="center"/>
    </xf>
    <xf numFmtId="14" fontId="10" fillId="3" borderId="2" xfId="0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5" fillId="3" borderId="2" xfId="1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5" fillId="2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22" fillId="0" borderId="2" xfId="0" applyFont="1" applyBorder="1" applyAlignment="1">
      <alignment horizontal="center"/>
    </xf>
    <xf numFmtId="44" fontId="0" fillId="12" borderId="2" xfId="1" applyFont="1" applyFill="1" applyBorder="1"/>
    <xf numFmtId="0" fontId="16" fillId="13" borderId="2" xfId="0" applyFont="1" applyFill="1" applyBorder="1" applyAlignment="1">
      <alignment horizontal="left"/>
    </xf>
    <xf numFmtId="14" fontId="16" fillId="13" borderId="2" xfId="0" applyNumberFormat="1" applyFont="1" applyFill="1" applyBorder="1" applyAlignment="1">
      <alignment horizontal="center"/>
    </xf>
    <xf numFmtId="44" fontId="16" fillId="13" borderId="2" xfId="1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44" fontId="16" fillId="13" borderId="2" xfId="0" applyNumberFormat="1" applyFont="1" applyFill="1" applyBorder="1" applyAlignment="1">
      <alignment horizontal="center"/>
    </xf>
    <xf numFmtId="14" fontId="16" fillId="13" borderId="2" xfId="0" applyNumberFormat="1" applyFont="1" applyFill="1" applyBorder="1" applyAlignment="1">
      <alignment horizontal="center" wrapText="1"/>
    </xf>
    <xf numFmtId="44" fontId="19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5" fillId="0" borderId="0" xfId="0" applyFont="1"/>
    <xf numFmtId="0" fontId="5" fillId="3" borderId="2" xfId="0" applyFont="1" applyFill="1" applyBorder="1" applyAlignment="1">
      <alignment horizontal="left" wrapText="1"/>
    </xf>
    <xf numFmtId="44" fontId="18" fillId="3" borderId="2" xfId="1" applyFont="1" applyFill="1" applyBorder="1" applyAlignment="1"/>
    <xf numFmtId="44" fontId="16" fillId="3" borderId="2" xfId="1" applyFont="1" applyFill="1" applyBorder="1" applyAlignment="1"/>
    <xf numFmtId="0" fontId="16" fillId="3" borderId="2" xfId="0" applyFont="1" applyFill="1" applyBorder="1" applyAlignment="1">
      <alignment vertical="center"/>
    </xf>
    <xf numFmtId="0" fontId="16" fillId="3" borderId="2" xfId="0" applyFont="1" applyFill="1" applyBorder="1"/>
    <xf numFmtId="0" fontId="14" fillId="3" borderId="2" xfId="0" applyFont="1" applyFill="1" applyBorder="1"/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wrapText="1"/>
    </xf>
    <xf numFmtId="0" fontId="17" fillId="3" borderId="2" xfId="1" applyNumberFormat="1" applyFont="1" applyFill="1" applyBorder="1" applyAlignment="1">
      <alignment horizontal="center"/>
    </xf>
    <xf numFmtId="44" fontId="11" fillId="3" borderId="2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4" fontId="0" fillId="3" borderId="2" xfId="0" applyNumberFormat="1" applyFill="1" applyBorder="1"/>
    <xf numFmtId="0" fontId="23" fillId="3" borderId="2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17" fillId="3" borderId="2" xfId="0" applyFont="1" applyFill="1" applyBorder="1"/>
    <xf numFmtId="0" fontId="11" fillId="3" borderId="2" xfId="0" applyFont="1" applyFill="1" applyBorder="1"/>
    <xf numFmtId="0" fontId="11" fillId="3" borderId="5" xfId="0" applyFont="1" applyFill="1" applyBorder="1" applyAlignment="1">
      <alignment vertical="center"/>
    </xf>
    <xf numFmtId="0" fontId="11" fillId="3" borderId="0" xfId="0" applyFont="1" applyFill="1"/>
    <xf numFmtId="0" fontId="18" fillId="3" borderId="2" xfId="0" applyFont="1" applyFill="1" applyBorder="1"/>
    <xf numFmtId="0" fontId="0" fillId="3" borderId="5" xfId="0" applyFill="1" applyBorder="1" applyAlignment="1">
      <alignment vertical="center"/>
    </xf>
    <xf numFmtId="44" fontId="17" fillId="3" borderId="2" xfId="1" applyFont="1" applyFill="1" applyBorder="1" applyAlignment="1">
      <alignment horizontal="center"/>
    </xf>
    <xf numFmtId="44" fontId="17" fillId="3" borderId="2" xfId="0" applyNumberFormat="1" applyFont="1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14" borderId="2" xfId="0" applyFont="1" applyFill="1" applyBorder="1"/>
    <xf numFmtId="0" fontId="23" fillId="14" borderId="2" xfId="0" applyFont="1" applyFill="1" applyBorder="1" applyAlignment="1">
      <alignment horizontal="center" vertical="center"/>
    </xf>
    <xf numFmtId="44" fontId="17" fillId="14" borderId="2" xfId="1" applyFont="1" applyFill="1" applyBorder="1" applyAlignment="1">
      <alignment horizontal="center"/>
    </xf>
    <xf numFmtId="0" fontId="17" fillId="14" borderId="2" xfId="1" applyNumberFormat="1" applyFont="1" applyFill="1" applyBorder="1" applyAlignment="1">
      <alignment horizontal="center"/>
    </xf>
    <xf numFmtId="44" fontId="17" fillId="14" borderId="2" xfId="0" applyNumberFormat="1" applyFont="1" applyFill="1" applyBorder="1" applyAlignment="1">
      <alignment horizontal="center"/>
    </xf>
    <xf numFmtId="0" fontId="11" fillId="14" borderId="11" xfId="0" applyFont="1" applyFill="1" applyBorder="1" applyAlignment="1">
      <alignment vertical="center"/>
    </xf>
    <xf numFmtId="44" fontId="11" fillId="14" borderId="2" xfId="1" applyFont="1" applyFill="1" applyBorder="1" applyAlignment="1">
      <alignment horizontal="center"/>
    </xf>
    <xf numFmtId="0" fontId="17" fillId="14" borderId="1" xfId="1" applyNumberFormat="1" applyFont="1" applyFill="1" applyBorder="1" applyAlignment="1">
      <alignment horizontal="center" vertical="center" wrapText="1"/>
    </xf>
    <xf numFmtId="44" fontId="0" fillId="14" borderId="2" xfId="1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5" fillId="14" borderId="2" xfId="0" applyFont="1" applyFill="1" applyBorder="1" applyAlignment="1">
      <alignment wrapText="1"/>
    </xf>
    <xf numFmtId="0" fontId="23" fillId="14" borderId="5" xfId="0" applyFont="1" applyFill="1" applyBorder="1" applyAlignment="1">
      <alignment horizontal="center"/>
    </xf>
    <xf numFmtId="0" fontId="0" fillId="14" borderId="2" xfId="0" applyFill="1" applyBorder="1"/>
    <xf numFmtId="0" fontId="23" fillId="14" borderId="2" xfId="0" applyFont="1" applyFill="1" applyBorder="1" applyAlignment="1">
      <alignment horizontal="center"/>
    </xf>
    <xf numFmtId="4" fontId="0" fillId="0" borderId="2" xfId="0" applyNumberFormat="1" applyBorder="1"/>
    <xf numFmtId="16" fontId="0" fillId="0" borderId="2" xfId="0" applyNumberFormat="1" applyBorder="1"/>
    <xf numFmtId="0" fontId="5" fillId="3" borderId="2" xfId="0" applyFont="1" applyFill="1" applyBorder="1" applyAlignment="1">
      <alignment wrapText="1"/>
    </xf>
    <xf numFmtId="0" fontId="23" fillId="3" borderId="5" xfId="0" applyFont="1" applyFill="1" applyBorder="1" applyAlignment="1">
      <alignment horizontal="center"/>
    </xf>
    <xf numFmtId="16" fontId="14" fillId="0" borderId="2" xfId="0" applyNumberFormat="1" applyFont="1" applyBorder="1"/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center"/>
    </xf>
    <xf numFmtId="0" fontId="24" fillId="9" borderId="2" xfId="0" applyFont="1" applyFill="1" applyBorder="1" applyAlignment="1">
      <alignment horizontal="left"/>
    </xf>
    <xf numFmtId="16" fontId="14" fillId="9" borderId="2" xfId="0" applyNumberFormat="1" applyFont="1" applyFill="1" applyBorder="1"/>
    <xf numFmtId="14" fontId="14" fillId="9" borderId="2" xfId="0" applyNumberFormat="1" applyFont="1" applyFill="1" applyBorder="1"/>
    <xf numFmtId="14" fontId="14" fillId="9" borderId="2" xfId="0" applyNumberFormat="1" applyFont="1" applyFill="1" applyBorder="1" applyAlignment="1">
      <alignment horizontal="center"/>
    </xf>
    <xf numFmtId="0" fontId="14" fillId="9" borderId="2" xfId="0" applyFont="1" applyFill="1" applyBorder="1"/>
    <xf numFmtId="0" fontId="14" fillId="9" borderId="2" xfId="0" applyFont="1" applyFill="1" applyBorder="1" applyAlignment="1">
      <alignment horizontal="center"/>
    </xf>
    <xf numFmtId="44" fontId="14" fillId="9" borderId="2" xfId="1" applyFont="1" applyFill="1" applyBorder="1" applyAlignment="1"/>
    <xf numFmtId="44" fontId="14" fillId="9" borderId="2" xfId="0" applyNumberFormat="1" applyFont="1" applyFill="1" applyBorder="1" applyAlignment="1">
      <alignment horizontal="center"/>
    </xf>
    <xf numFmtId="14" fontId="14" fillId="9" borderId="2" xfId="0" applyNumberFormat="1" applyFont="1" applyFill="1" applyBorder="1" applyAlignment="1">
      <alignment wrapText="1"/>
    </xf>
    <xf numFmtId="44" fontId="14" fillId="9" borderId="2" xfId="1" applyFont="1" applyFill="1" applyBorder="1"/>
    <xf numFmtId="0" fontId="24" fillId="9" borderId="2" xfId="0" applyFont="1" applyFill="1" applyBorder="1" applyAlignment="1">
      <alignment horizontal="center"/>
    </xf>
    <xf numFmtId="44" fontId="0" fillId="0" borderId="0" xfId="1" applyFont="1"/>
    <xf numFmtId="164" fontId="16" fillId="0" borderId="2" xfId="1" applyNumberFormat="1" applyFont="1" applyBorder="1" applyAlignment="1"/>
    <xf numFmtId="164" fontId="16" fillId="2" borderId="2" xfId="1" applyNumberFormat="1" applyFont="1" applyFill="1" applyBorder="1" applyAlignment="1"/>
    <xf numFmtId="164" fontId="16" fillId="3" borderId="2" xfId="1" applyNumberFormat="1" applyFont="1" applyFill="1" applyBorder="1" applyAlignment="1"/>
    <xf numFmtId="44" fontId="5" fillId="0" borderId="2" xfId="1" applyFont="1" applyBorder="1"/>
    <xf numFmtId="16" fontId="16" fillId="9" borderId="2" xfId="0" applyNumberFormat="1" applyFont="1" applyFill="1" applyBorder="1"/>
    <xf numFmtId="14" fontId="16" fillId="9" borderId="2" xfId="0" applyNumberFormat="1" applyFont="1" applyFill="1" applyBorder="1"/>
    <xf numFmtId="14" fontId="16" fillId="9" borderId="2" xfId="0" applyNumberFormat="1" applyFont="1" applyFill="1" applyBorder="1" applyAlignment="1">
      <alignment horizontal="center"/>
    </xf>
    <xf numFmtId="0" fontId="16" fillId="9" borderId="2" xfId="0" applyFont="1" applyFill="1" applyBorder="1"/>
    <xf numFmtId="0" fontId="16" fillId="9" borderId="2" xfId="0" applyFont="1" applyFill="1" applyBorder="1" applyAlignment="1">
      <alignment horizontal="center"/>
    </xf>
    <xf numFmtId="44" fontId="16" fillId="9" borderId="2" xfId="1" applyFont="1" applyFill="1" applyBorder="1" applyAlignment="1"/>
    <xf numFmtId="44" fontId="16" fillId="9" borderId="2" xfId="0" applyNumberFormat="1" applyFont="1" applyFill="1" applyBorder="1" applyAlignment="1">
      <alignment horizontal="center"/>
    </xf>
    <xf numFmtId="44" fontId="16" fillId="9" borderId="2" xfId="1" applyFont="1" applyFill="1" applyBorder="1"/>
    <xf numFmtId="44" fontId="16" fillId="3" borderId="2" xfId="0" applyNumberFormat="1" applyFont="1" applyFill="1" applyBorder="1"/>
    <xf numFmtId="0" fontId="11" fillId="15" borderId="2" xfId="0" applyFont="1" applyFill="1" applyBorder="1" applyAlignment="1">
      <alignment horizontal="center" wrapText="1"/>
    </xf>
    <xf numFmtId="0" fontId="0" fillId="15" borderId="2" xfId="0" applyFill="1" applyBorder="1"/>
    <xf numFmtId="0" fontId="0" fillId="0" borderId="2" xfId="1" applyNumberFormat="1" applyFont="1" applyBorder="1"/>
    <xf numFmtId="0" fontId="0" fillId="3" borderId="2" xfId="0" applyFill="1" applyBorder="1"/>
    <xf numFmtId="0" fontId="23" fillId="3" borderId="2" xfId="0" applyFont="1" applyFill="1" applyBorder="1" applyAlignment="1">
      <alignment horizontal="center"/>
    </xf>
    <xf numFmtId="2" fontId="16" fillId="9" borderId="2" xfId="0" applyNumberFormat="1" applyFont="1" applyFill="1" applyBorder="1" applyAlignment="1">
      <alignment wrapText="1"/>
    </xf>
    <xf numFmtId="2" fontId="14" fillId="0" borderId="2" xfId="0" applyNumberFormat="1" applyFont="1" applyBorder="1" applyAlignment="1">
      <alignment horizontal="center" wrapText="1"/>
    </xf>
    <xf numFmtId="0" fontId="16" fillId="16" borderId="2" xfId="0" applyFont="1" applyFill="1" applyBorder="1"/>
    <xf numFmtId="14" fontId="16" fillId="16" borderId="2" xfId="0" applyNumberFormat="1" applyFont="1" applyFill="1" applyBorder="1" applyAlignment="1">
      <alignment horizontal="center"/>
    </xf>
    <xf numFmtId="44" fontId="16" fillId="16" borderId="2" xfId="1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164" fontId="16" fillId="16" borderId="2" xfId="1" applyNumberFormat="1" applyFont="1" applyFill="1" applyBorder="1" applyAlignment="1"/>
    <xf numFmtId="44" fontId="16" fillId="16" borderId="2" xfId="0" applyNumberFormat="1" applyFont="1" applyFill="1" applyBorder="1" applyAlignment="1">
      <alignment horizontal="center"/>
    </xf>
    <xf numFmtId="44" fontId="16" fillId="16" borderId="2" xfId="0" applyNumberFormat="1" applyFont="1" applyFill="1" applyBorder="1"/>
    <xf numFmtId="44" fontId="16" fillId="16" borderId="2" xfId="1" applyFont="1" applyFill="1" applyBorder="1"/>
    <xf numFmtId="0" fontId="5" fillId="16" borderId="2" xfId="0" applyFont="1" applyFill="1" applyBorder="1"/>
    <xf numFmtId="14" fontId="16" fillId="16" borderId="2" xfId="0" applyNumberFormat="1" applyFont="1" applyFill="1" applyBorder="1"/>
    <xf numFmtId="44" fontId="16" fillId="16" borderId="2" xfId="1" applyFont="1" applyFill="1" applyBorder="1" applyAlignment="1"/>
    <xf numFmtId="0" fontId="5" fillId="16" borderId="2" xfId="0" applyFont="1" applyFill="1" applyBorder="1" applyAlignment="1">
      <alignment wrapText="1"/>
    </xf>
    <xf numFmtId="16" fontId="16" fillId="16" borderId="2" xfId="0" applyNumberFormat="1" applyFont="1" applyFill="1" applyBorder="1"/>
    <xf numFmtId="0" fontId="5" fillId="16" borderId="2" xfId="0" applyFont="1" applyFill="1" applyBorder="1" applyAlignment="1">
      <alignment horizontal="center" wrapText="1"/>
    </xf>
    <xf numFmtId="164" fontId="5" fillId="16" borderId="2" xfId="1" applyNumberFormat="1" applyFont="1" applyFill="1" applyBorder="1" applyAlignment="1">
      <alignment wrapText="1"/>
    </xf>
    <xf numFmtId="44" fontId="5" fillId="16" borderId="2" xfId="1" applyFont="1" applyFill="1" applyBorder="1" applyAlignment="1">
      <alignment horizontal="center" wrapText="1"/>
    </xf>
    <xf numFmtId="0" fontId="16" fillId="16" borderId="2" xfId="0" applyFont="1" applyFill="1" applyBorder="1" applyAlignment="1">
      <alignment horizontal="center" vertical="center"/>
    </xf>
    <xf numFmtId="0" fontId="11" fillId="16" borderId="0" xfId="0" applyFont="1" applyFill="1" applyAlignment="1">
      <alignment horizontal="center" wrapText="1"/>
    </xf>
    <xf numFmtId="0" fontId="5" fillId="16" borderId="2" xfId="0" applyFont="1" applyFill="1" applyBorder="1" applyAlignment="1">
      <alignment horizontal="center"/>
    </xf>
    <xf numFmtId="164" fontId="5" fillId="16" borderId="2" xfId="1" applyNumberFormat="1" applyFont="1" applyFill="1" applyBorder="1" applyAlignment="1"/>
    <xf numFmtId="44" fontId="5" fillId="16" borderId="2" xfId="1" applyFont="1" applyFill="1" applyBorder="1" applyAlignment="1">
      <alignment horizontal="center"/>
    </xf>
    <xf numFmtId="0" fontId="11" fillId="16" borderId="0" xfId="0" applyFont="1" applyFill="1" applyAlignment="1">
      <alignment horizontal="center"/>
    </xf>
    <xf numFmtId="0" fontId="24" fillId="3" borderId="2" xfId="0" applyFont="1" applyFill="1" applyBorder="1" applyAlignment="1">
      <alignment horizontal="left"/>
    </xf>
    <xf numFmtId="16" fontId="16" fillId="3" borderId="2" xfId="0" applyNumberFormat="1" applyFont="1" applyFill="1" applyBorder="1"/>
    <xf numFmtId="14" fontId="16" fillId="3" borderId="2" xfId="0" applyNumberFormat="1" applyFont="1" applyFill="1" applyBorder="1"/>
    <xf numFmtId="44" fontId="16" fillId="3" borderId="2" xfId="1" applyFont="1" applyFill="1" applyBorder="1"/>
    <xf numFmtId="0" fontId="0" fillId="3" borderId="0" xfId="0" applyFill="1"/>
    <xf numFmtId="0" fontId="24" fillId="16" borderId="2" xfId="0" applyFont="1" applyFill="1" applyBorder="1" applyAlignment="1">
      <alignment horizontal="left"/>
    </xf>
    <xf numFmtId="0" fontId="24" fillId="16" borderId="2" xfId="0" applyFont="1" applyFill="1" applyBorder="1" applyAlignment="1">
      <alignment horizontal="center"/>
    </xf>
    <xf numFmtId="0" fontId="11" fillId="3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/>
    </xf>
    <xf numFmtId="14" fontId="16" fillId="16" borderId="2" xfId="0" applyNumberFormat="1" applyFont="1" applyFill="1" applyBorder="1" applyAlignment="1">
      <alignment horizontal="center" wrapText="1"/>
    </xf>
    <xf numFmtId="14" fontId="16" fillId="16" borderId="2" xfId="0" applyNumberFormat="1" applyFont="1" applyFill="1" applyBorder="1" applyAlignment="1">
      <alignment wrapText="1"/>
    </xf>
    <xf numFmtId="14" fontId="5" fillId="16" borderId="2" xfId="0" applyNumberFormat="1" applyFont="1" applyFill="1" applyBorder="1" applyAlignment="1">
      <alignment horizontal="center" wrapText="1"/>
    </xf>
    <xf numFmtId="14" fontId="5" fillId="16" borderId="2" xfId="0" applyNumberFormat="1" applyFont="1" applyFill="1" applyBorder="1" applyAlignment="1">
      <alignment horizontal="center"/>
    </xf>
    <xf numFmtId="14" fontId="16" fillId="3" borderId="2" xfId="0" applyNumberFormat="1" applyFont="1" applyFill="1" applyBorder="1" applyAlignment="1">
      <alignment wrapText="1"/>
    </xf>
    <xf numFmtId="44" fontId="5" fillId="16" borderId="2" xfId="1" applyFont="1" applyFill="1" applyBorder="1"/>
    <xf numFmtId="0" fontId="20" fillId="16" borderId="2" xfId="0" applyFont="1" applyFill="1" applyBorder="1" applyAlignment="1">
      <alignment horizontal="center"/>
    </xf>
    <xf numFmtId="0" fontId="0" fillId="16" borderId="0" xfId="0" applyFill="1"/>
    <xf numFmtId="0" fontId="13" fillId="9" borderId="2" xfId="0" applyFont="1" applyFill="1" applyBorder="1" applyAlignment="1">
      <alignment horizontal="center"/>
    </xf>
    <xf numFmtId="16" fontId="14" fillId="9" borderId="2" xfId="0" applyNumberFormat="1" applyFont="1" applyFill="1" applyBorder="1" applyAlignment="1">
      <alignment horizontal="center"/>
    </xf>
    <xf numFmtId="44" fontId="14" fillId="3" borderId="2" xfId="1" applyFont="1" applyFill="1" applyBorder="1" applyAlignment="1">
      <alignment horizontal="center"/>
    </xf>
    <xf numFmtId="14" fontId="16" fillId="9" borderId="2" xfId="0" applyNumberFormat="1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left"/>
    </xf>
    <xf numFmtId="0" fontId="19" fillId="16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0" fillId="16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44" fontId="19" fillId="16" borderId="2" xfId="0" applyNumberFormat="1" applyFont="1" applyFill="1" applyBorder="1" applyAlignment="1">
      <alignment horizontal="left"/>
    </xf>
    <xf numFmtId="0" fontId="10" fillId="16" borderId="2" xfId="0" applyFont="1" applyFill="1" applyBorder="1" applyAlignment="1">
      <alignment horizontal="left" wrapText="1"/>
    </xf>
    <xf numFmtId="0" fontId="26" fillId="16" borderId="2" xfId="0" applyFont="1" applyFill="1" applyBorder="1" applyAlignment="1">
      <alignment horizontal="left"/>
    </xf>
    <xf numFmtId="0" fontId="26" fillId="3" borderId="2" xfId="0" applyFont="1" applyFill="1" applyBorder="1" applyAlignment="1">
      <alignment horizontal="left"/>
    </xf>
    <xf numFmtId="0" fontId="26" fillId="9" borderId="2" xfId="0" applyFont="1" applyFill="1" applyBorder="1" applyAlignment="1">
      <alignment horizontal="left"/>
    </xf>
    <xf numFmtId="0" fontId="24" fillId="3" borderId="2" xfId="0" applyFont="1" applyFill="1" applyBorder="1" applyAlignment="1">
      <alignment horizontal="center"/>
    </xf>
    <xf numFmtId="10" fontId="0" fillId="3" borderId="0" xfId="0" applyNumberFormat="1" applyFill="1"/>
    <xf numFmtId="0" fontId="14" fillId="16" borderId="2" xfId="0" applyFont="1" applyFill="1" applyBorder="1" applyAlignment="1">
      <alignment horizontal="center"/>
    </xf>
    <xf numFmtId="44" fontId="14" fillId="16" borderId="2" xfId="0" applyNumberFormat="1" applyFont="1" applyFill="1" applyBorder="1" applyAlignment="1">
      <alignment horizontal="center"/>
    </xf>
    <xf numFmtId="0" fontId="27" fillId="16" borderId="2" xfId="0" applyFont="1" applyFill="1" applyBorder="1" applyAlignment="1">
      <alignment horizontal="center" wrapText="1"/>
    </xf>
    <xf numFmtId="0" fontId="27" fillId="16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16" borderId="2" xfId="0" applyFont="1" applyFill="1" applyBorder="1" applyAlignment="1">
      <alignment horizontal="center"/>
    </xf>
    <xf numFmtId="44" fontId="28" fillId="16" borderId="2" xfId="0" applyNumberFormat="1" applyFont="1" applyFill="1" applyBorder="1"/>
    <xf numFmtId="0" fontId="29" fillId="16" borderId="2" xfId="0" applyFont="1" applyFill="1" applyBorder="1" applyAlignment="1">
      <alignment horizontal="center" wrapText="1"/>
    </xf>
    <xf numFmtId="0" fontId="29" fillId="16" borderId="2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8" fillId="9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16" borderId="2" xfId="0" applyFill="1" applyBorder="1"/>
    <xf numFmtId="14" fontId="18" fillId="3" borderId="2" xfId="0" applyNumberFormat="1" applyFont="1" applyFill="1" applyBorder="1" applyAlignment="1">
      <alignment horizontal="center"/>
    </xf>
    <xf numFmtId="14" fontId="18" fillId="16" borderId="2" xfId="0" applyNumberFormat="1" applyFont="1" applyFill="1" applyBorder="1" applyAlignment="1">
      <alignment horizontal="center"/>
    </xf>
    <xf numFmtId="14" fontId="18" fillId="0" borderId="2" xfId="0" applyNumberFormat="1" applyFont="1" applyBorder="1" applyAlignment="1">
      <alignment horizontal="center"/>
    </xf>
    <xf numFmtId="44" fontId="18" fillId="16" borderId="2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 wrapText="1"/>
    </xf>
    <xf numFmtId="0" fontId="11" fillId="16" borderId="2" xfId="0" applyFont="1" applyFill="1" applyBorder="1" applyAlignment="1">
      <alignment horizontal="center"/>
    </xf>
    <xf numFmtId="16" fontId="18" fillId="16" borderId="2" xfId="0" applyNumberFormat="1" applyFont="1" applyFill="1" applyBorder="1" applyAlignment="1">
      <alignment horizontal="center"/>
    </xf>
    <xf numFmtId="16" fontId="18" fillId="3" borderId="2" xfId="0" applyNumberFormat="1" applyFont="1" applyFill="1" applyBorder="1" applyAlignment="1">
      <alignment horizontal="center"/>
    </xf>
    <xf numFmtId="16" fontId="18" fillId="9" borderId="2" xfId="0" applyNumberFormat="1" applyFont="1" applyFill="1" applyBorder="1" applyAlignment="1">
      <alignment horizontal="center"/>
    </xf>
    <xf numFmtId="16" fontId="17" fillId="0" borderId="2" xfId="0" applyNumberFormat="1" applyFont="1" applyBorder="1" applyAlignment="1">
      <alignment horizontal="center"/>
    </xf>
    <xf numFmtId="44" fontId="14" fillId="3" borderId="2" xfId="1" applyFont="1" applyFill="1" applyBorder="1" applyAlignment="1"/>
    <xf numFmtId="44" fontId="14" fillId="16" borderId="2" xfId="1" applyFont="1" applyFill="1" applyBorder="1" applyAlignment="1"/>
    <xf numFmtId="44" fontId="14" fillId="2" borderId="2" xfId="1" applyFont="1" applyFill="1" applyBorder="1" applyAlignment="1"/>
    <xf numFmtId="44" fontId="27" fillId="16" borderId="2" xfId="1" applyFont="1" applyFill="1" applyBorder="1" applyAlignment="1">
      <alignment wrapText="1"/>
    </xf>
    <xf numFmtId="44" fontId="27" fillId="16" borderId="2" xfId="1" applyFont="1" applyFill="1" applyBorder="1" applyAlignment="1"/>
    <xf numFmtId="44" fontId="30" fillId="0" borderId="2" xfId="1" applyFont="1" applyBorder="1"/>
    <xf numFmtId="44" fontId="7" fillId="0" borderId="2" xfId="1" applyFont="1" applyBorder="1"/>
    <xf numFmtId="0" fontId="7" fillId="0" borderId="2" xfId="0" applyFont="1" applyBorder="1"/>
    <xf numFmtId="0" fontId="5" fillId="9" borderId="2" xfId="0" applyFont="1" applyFill="1" applyBorder="1"/>
    <xf numFmtId="0" fontId="10" fillId="3" borderId="2" xfId="0" applyFont="1" applyFill="1" applyBorder="1" applyAlignment="1">
      <alignment horizontal="left"/>
    </xf>
    <xf numFmtId="164" fontId="5" fillId="3" borderId="2" xfId="1" applyNumberFormat="1" applyFont="1" applyFill="1" applyBorder="1" applyAlignment="1"/>
    <xf numFmtId="14" fontId="5" fillId="3" borderId="2" xfId="0" applyNumberFormat="1" applyFont="1" applyFill="1" applyBorder="1" applyAlignment="1">
      <alignment horizontal="center" wrapText="1"/>
    </xf>
    <xf numFmtId="44" fontId="5" fillId="16" borderId="2" xfId="0" applyNumberFormat="1" applyFont="1" applyFill="1" applyBorder="1" applyAlignment="1">
      <alignment horizontal="center"/>
    </xf>
    <xf numFmtId="164" fontId="5" fillId="2" borderId="2" xfId="1" applyNumberFormat="1" applyFont="1" applyFill="1" applyBorder="1" applyAlignment="1"/>
    <xf numFmtId="14" fontId="5" fillId="0" borderId="2" xfId="0" applyNumberFormat="1" applyFont="1" applyBorder="1" applyAlignment="1">
      <alignment horizontal="center" wrapText="1"/>
    </xf>
    <xf numFmtId="164" fontId="5" fillId="0" borderId="2" xfId="1" applyNumberFormat="1" applyFont="1" applyBorder="1" applyAlignment="1"/>
    <xf numFmtId="44" fontId="10" fillId="16" borderId="2" xfId="0" applyNumberFormat="1" applyFont="1" applyFill="1" applyBorder="1" applyAlignment="1">
      <alignment horizontal="left"/>
    </xf>
    <xf numFmtId="44" fontId="5" fillId="16" borderId="2" xfId="0" applyNumberFormat="1" applyFont="1" applyFill="1" applyBorder="1"/>
    <xf numFmtId="44" fontId="5" fillId="0" borderId="2" xfId="1" applyFont="1" applyBorder="1" applyAlignment="1"/>
    <xf numFmtId="14" fontId="5" fillId="16" borderId="2" xfId="0" applyNumberFormat="1" applyFont="1" applyFill="1" applyBorder="1"/>
    <xf numFmtId="44" fontId="5" fillId="16" borderId="2" xfId="1" applyFont="1" applyFill="1" applyBorder="1" applyAlignment="1"/>
    <xf numFmtId="0" fontId="5" fillId="16" borderId="2" xfId="0" applyFont="1" applyFill="1" applyBorder="1" applyAlignment="1">
      <alignment horizontal="center" vertical="center"/>
    </xf>
    <xf numFmtId="16" fontId="5" fillId="16" borderId="2" xfId="0" applyNumberFormat="1" applyFont="1" applyFill="1" applyBorder="1" applyAlignment="1">
      <alignment horizontal="center"/>
    </xf>
    <xf numFmtId="14" fontId="5" fillId="3" borderId="2" xfId="0" applyNumberFormat="1" applyFont="1" applyFill="1" applyBorder="1"/>
    <xf numFmtId="0" fontId="5" fillId="3" borderId="2" xfId="0" applyFont="1" applyFill="1" applyBorder="1"/>
    <xf numFmtId="44" fontId="5" fillId="3" borderId="2" xfId="1" applyFont="1" applyFill="1" applyBorder="1" applyAlignment="1"/>
    <xf numFmtId="44" fontId="5" fillId="3" borderId="2" xfId="0" applyNumberFormat="1" applyFont="1" applyFill="1" applyBorder="1"/>
    <xf numFmtId="44" fontId="5" fillId="3" borderId="2" xfId="1" applyFont="1" applyFill="1" applyBorder="1"/>
    <xf numFmtId="0" fontId="10" fillId="9" borderId="2" xfId="0" applyFont="1" applyFill="1" applyBorder="1" applyAlignment="1">
      <alignment horizontal="left"/>
    </xf>
    <xf numFmtId="16" fontId="5" fillId="9" borderId="2" xfId="0" applyNumberFormat="1" applyFont="1" applyFill="1" applyBorder="1" applyAlignment="1">
      <alignment horizontal="center"/>
    </xf>
    <xf numFmtId="14" fontId="5" fillId="9" borderId="2" xfId="0" applyNumberFormat="1" applyFont="1" applyFill="1" applyBorder="1"/>
    <xf numFmtId="14" fontId="5" fillId="9" borderId="2" xfId="0" applyNumberFormat="1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44" fontId="5" fillId="9" borderId="2" xfId="1" applyFont="1" applyFill="1" applyBorder="1" applyAlignment="1"/>
    <xf numFmtId="44" fontId="5" fillId="9" borderId="2" xfId="0" applyNumberFormat="1" applyFont="1" applyFill="1" applyBorder="1"/>
    <xf numFmtId="44" fontId="5" fillId="9" borderId="2" xfId="0" applyNumberFormat="1" applyFont="1" applyFill="1" applyBorder="1" applyAlignment="1">
      <alignment horizontal="center"/>
    </xf>
    <xf numFmtId="14" fontId="5" fillId="9" borderId="2" xfId="0" applyNumberFormat="1" applyFont="1" applyFill="1" applyBorder="1" applyAlignment="1">
      <alignment horizontal="center" wrapText="1"/>
    </xf>
    <xf numFmtId="44" fontId="5" fillId="9" borderId="2" xfId="1" applyFont="1" applyFill="1" applyBorder="1"/>
    <xf numFmtId="12" fontId="5" fillId="9" borderId="2" xfId="0" applyNumberFormat="1" applyFont="1" applyFill="1" applyBorder="1" applyAlignment="1">
      <alignment horizontal="center" wrapText="1"/>
    </xf>
    <xf numFmtId="44" fontId="5" fillId="0" borderId="2" xfId="0" applyNumberFormat="1" applyFont="1" applyBorder="1"/>
    <xf numFmtId="2" fontId="5" fillId="0" borderId="2" xfId="0" applyNumberFormat="1" applyFont="1" applyBorder="1" applyAlignment="1">
      <alignment horizontal="center" wrapText="1"/>
    </xf>
    <xf numFmtId="16" fontId="5" fillId="0" borderId="2" xfId="0" applyNumberFormat="1" applyFont="1" applyBorder="1"/>
    <xf numFmtId="0" fontId="5" fillId="0" borderId="2" xfId="0" applyFont="1" applyBorder="1" applyAlignment="1">
      <alignment wrapText="1"/>
    </xf>
    <xf numFmtId="0" fontId="18" fillId="3" borderId="2" xfId="0" applyFont="1" applyFill="1" applyBorder="1" applyAlignment="1">
      <alignment horizontal="center"/>
    </xf>
    <xf numFmtId="16" fontId="14" fillId="3" borderId="2" xfId="0" applyNumberFormat="1" applyFont="1" applyFill="1" applyBorder="1" applyAlignment="1">
      <alignment horizontal="center"/>
    </xf>
    <xf numFmtId="14" fontId="14" fillId="3" borderId="2" xfId="0" applyNumberFormat="1" applyFont="1" applyFill="1" applyBorder="1" applyAlignment="1">
      <alignment horizontal="center"/>
    </xf>
    <xf numFmtId="14" fontId="14" fillId="16" borderId="2" xfId="0" applyNumberFormat="1" applyFont="1" applyFill="1" applyBorder="1" applyAlignment="1">
      <alignment horizontal="center"/>
    </xf>
    <xf numFmtId="16" fontId="14" fillId="16" borderId="2" xfId="0" applyNumberFormat="1" applyFont="1" applyFill="1" applyBorder="1" applyAlignment="1">
      <alignment horizontal="center"/>
    </xf>
    <xf numFmtId="44" fontId="14" fillId="16" borderId="2" xfId="1" applyFont="1" applyFill="1" applyBorder="1" applyAlignment="1">
      <alignment horizontal="center"/>
    </xf>
    <xf numFmtId="44" fontId="14" fillId="16" borderId="2" xfId="0" applyNumberFormat="1" applyFont="1" applyFill="1" applyBorder="1"/>
    <xf numFmtId="2" fontId="14" fillId="16" borderId="2" xfId="0" applyNumberFormat="1" applyFont="1" applyFill="1" applyBorder="1" applyAlignment="1">
      <alignment horizontal="center" wrapText="1"/>
    </xf>
    <xf numFmtId="16" fontId="17" fillId="16" borderId="2" xfId="0" applyNumberFormat="1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14" fontId="0" fillId="16" borderId="2" xfId="0" applyNumberFormat="1" applyFill="1" applyBorder="1" applyAlignment="1">
      <alignment horizontal="center"/>
    </xf>
    <xf numFmtId="0" fontId="0" fillId="16" borderId="2" xfId="0" applyFill="1" applyBorder="1" applyAlignment="1">
      <alignment wrapText="1"/>
    </xf>
    <xf numFmtId="44" fontId="7" fillId="16" borderId="2" xfId="1" applyFont="1" applyFill="1" applyBorder="1"/>
    <xf numFmtId="44" fontId="30" fillId="16" borderId="2" xfId="1" applyFont="1" applyFill="1" applyBorder="1"/>
    <xf numFmtId="0" fontId="7" fillId="16" borderId="2" xfId="0" applyFont="1" applyFill="1" applyBorder="1"/>
    <xf numFmtId="0" fontId="11" fillId="16" borderId="2" xfId="0" applyFont="1" applyFill="1" applyBorder="1"/>
    <xf numFmtId="0" fontId="10" fillId="16" borderId="2" xfId="0" applyFont="1" applyFill="1" applyBorder="1"/>
    <xf numFmtId="16" fontId="5" fillId="16" borderId="2" xfId="0" applyNumberFormat="1" applyFont="1" applyFill="1" applyBorder="1" applyAlignment="1">
      <alignment horizontal="center" wrapText="1"/>
    </xf>
    <xf numFmtId="44" fontId="0" fillId="16" borderId="2" xfId="1" applyFont="1" applyFill="1" applyBorder="1"/>
    <xf numFmtId="44" fontId="0" fillId="3" borderId="2" xfId="1" applyFont="1" applyFill="1" applyBorder="1"/>
    <xf numFmtId="44" fontId="11" fillId="3" borderId="2" xfId="1" applyFont="1" applyFill="1" applyBorder="1" applyAlignment="1">
      <alignment horizontal="center" wrapText="1"/>
    </xf>
    <xf numFmtId="14" fontId="30" fillId="0" borderId="2" xfId="0" applyNumberFormat="1" applyFont="1" applyBorder="1" applyAlignment="1">
      <alignment horizontal="center" wrapText="1"/>
    </xf>
    <xf numFmtId="0" fontId="31" fillId="0" borderId="2" xfId="0" applyFont="1" applyBorder="1" applyAlignment="1">
      <alignment horizontal="center"/>
    </xf>
    <xf numFmtId="14" fontId="31" fillId="0" borderId="2" xfId="0" applyNumberFormat="1" applyFont="1" applyBorder="1" applyAlignment="1">
      <alignment horizontal="center"/>
    </xf>
    <xf numFmtId="44" fontId="31" fillId="0" borderId="2" xfId="1" applyFont="1" applyBorder="1" applyAlignment="1">
      <alignment horizontal="center"/>
    </xf>
    <xf numFmtId="0" fontId="31" fillId="0" borderId="2" xfId="0" applyFont="1" applyBorder="1" applyAlignment="1">
      <alignment horizontal="center" wrapText="1"/>
    </xf>
    <xf numFmtId="0" fontId="26" fillId="12" borderId="2" xfId="0" applyFont="1" applyFill="1" applyBorder="1" applyAlignment="1">
      <alignment horizontal="left"/>
    </xf>
    <xf numFmtId="0" fontId="26" fillId="13" borderId="2" xfId="0" applyFont="1" applyFill="1" applyBorder="1" applyAlignment="1">
      <alignment horizontal="left"/>
    </xf>
    <xf numFmtId="0" fontId="26" fillId="8" borderId="2" xfId="0" applyFont="1" applyFill="1" applyBorder="1" applyAlignment="1">
      <alignment horizontal="left"/>
    </xf>
    <xf numFmtId="0" fontId="26" fillId="10" borderId="2" xfId="0" applyFont="1" applyFill="1" applyBorder="1" applyAlignment="1">
      <alignment horizontal="left"/>
    </xf>
    <xf numFmtId="0" fontId="24" fillId="10" borderId="2" xfId="0" applyFont="1" applyFill="1" applyBorder="1" applyAlignment="1">
      <alignment horizontal="left"/>
    </xf>
    <xf numFmtId="14" fontId="24" fillId="13" borderId="2" xfId="0" applyNumberFormat="1" applyFont="1" applyFill="1" applyBorder="1" applyAlignment="1">
      <alignment horizontal="center"/>
    </xf>
    <xf numFmtId="44" fontId="24" fillId="13" borderId="2" xfId="1" applyFont="1" applyFill="1" applyBorder="1" applyAlignment="1">
      <alignment horizontal="center"/>
    </xf>
    <xf numFmtId="16" fontId="24" fillId="13" borderId="2" xfId="0" applyNumberFormat="1" applyFont="1" applyFill="1" applyBorder="1" applyAlignment="1">
      <alignment horizontal="center"/>
    </xf>
    <xf numFmtId="0" fontId="32" fillId="13" borderId="2" xfId="0" applyFont="1" applyFill="1" applyBorder="1" applyAlignment="1">
      <alignment horizontal="center"/>
    </xf>
    <xf numFmtId="0" fontId="33" fillId="13" borderId="2" xfId="0" applyFont="1" applyFill="1" applyBorder="1" applyAlignment="1">
      <alignment horizontal="center"/>
    </xf>
    <xf numFmtId="44" fontId="32" fillId="13" borderId="2" xfId="1" applyFont="1" applyFill="1" applyBorder="1" applyAlignment="1"/>
    <xf numFmtId="44" fontId="23" fillId="13" borderId="0" xfId="1" applyFont="1" applyFill="1"/>
    <xf numFmtId="44" fontId="23" fillId="13" borderId="2" xfId="1" applyFont="1" applyFill="1" applyBorder="1" applyAlignment="1">
      <alignment horizontal="center"/>
    </xf>
    <xf numFmtId="14" fontId="23" fillId="13" borderId="2" xfId="0" applyNumberFormat="1" applyFont="1" applyFill="1" applyBorder="1" applyAlignment="1">
      <alignment horizontal="center" wrapText="1"/>
    </xf>
    <xf numFmtId="44" fontId="24" fillId="13" borderId="2" xfId="0" applyNumberFormat="1" applyFont="1" applyFill="1" applyBorder="1" applyAlignment="1">
      <alignment horizontal="center"/>
    </xf>
    <xf numFmtId="0" fontId="24" fillId="13" borderId="2" xfId="0" applyFont="1" applyFill="1" applyBorder="1" applyAlignment="1">
      <alignment horizontal="center"/>
    </xf>
    <xf numFmtId="0" fontId="24" fillId="13" borderId="2" xfId="0" applyFont="1" applyFill="1" applyBorder="1"/>
    <xf numFmtId="44" fontId="24" fillId="13" borderId="2" xfId="1" applyFont="1" applyFill="1" applyBorder="1" applyAlignment="1"/>
    <xf numFmtId="44" fontId="23" fillId="13" borderId="2" xfId="1" applyFont="1" applyFill="1" applyBorder="1"/>
    <xf numFmtId="0" fontId="23" fillId="13" borderId="2" xfId="0" applyFont="1" applyFill="1" applyBorder="1"/>
    <xf numFmtId="44" fontId="24" fillId="13" borderId="2" xfId="1" applyFont="1" applyFill="1" applyBorder="1"/>
    <xf numFmtId="0" fontId="26" fillId="0" borderId="2" xfId="0" applyFont="1" applyBorder="1" applyAlignment="1">
      <alignment horizontal="left"/>
    </xf>
    <xf numFmtId="14" fontId="24" fillId="0" borderId="2" xfId="0" applyNumberFormat="1" applyFont="1" applyBorder="1" applyAlignment="1">
      <alignment horizontal="center"/>
    </xf>
    <xf numFmtId="44" fontId="24" fillId="0" borderId="2" xfId="1" applyFont="1" applyBorder="1" applyAlignment="1">
      <alignment horizontal="center"/>
    </xf>
    <xf numFmtId="16" fontId="24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44" fontId="32" fillId="2" borderId="2" xfId="1" applyFont="1" applyFill="1" applyBorder="1" applyAlignment="1"/>
    <xf numFmtId="44" fontId="24" fillId="2" borderId="2" xfId="1" applyFont="1" applyFill="1" applyBorder="1" applyAlignment="1">
      <alignment horizontal="center"/>
    </xf>
    <xf numFmtId="44" fontId="23" fillId="0" borderId="2" xfId="1" applyFont="1" applyBorder="1" applyAlignment="1">
      <alignment horizontal="center"/>
    </xf>
    <xf numFmtId="14" fontId="23" fillId="0" borderId="2" xfId="0" applyNumberFormat="1" applyFont="1" applyBorder="1" applyAlignment="1">
      <alignment horizontal="center" wrapText="1"/>
    </xf>
    <xf numFmtId="44" fontId="24" fillId="0" borderId="2" xfId="0" applyNumberFormat="1" applyFont="1" applyBorder="1" applyAlignment="1">
      <alignment horizontal="center"/>
    </xf>
    <xf numFmtId="44" fontId="24" fillId="3" borderId="2" xfId="1" applyFont="1" applyFill="1" applyBorder="1" applyAlignment="1">
      <alignment horizontal="center"/>
    </xf>
    <xf numFmtId="14" fontId="24" fillId="3" borderId="2" xfId="0" applyNumberFormat="1" applyFont="1" applyFill="1" applyBorder="1" applyAlignment="1">
      <alignment horizontal="center"/>
    </xf>
    <xf numFmtId="44" fontId="24" fillId="3" borderId="2" xfId="1" applyFont="1" applyFill="1" applyBorder="1"/>
    <xf numFmtId="0" fontId="24" fillId="3" borderId="2" xfId="0" applyFont="1" applyFill="1" applyBorder="1"/>
    <xf numFmtId="0" fontId="32" fillId="3" borderId="2" xfId="0" applyFont="1" applyFill="1" applyBorder="1" applyAlignment="1">
      <alignment horizontal="center"/>
    </xf>
    <xf numFmtId="0" fontId="33" fillId="3" borderId="2" xfId="0" applyFont="1" applyFill="1" applyBorder="1" applyAlignment="1">
      <alignment horizontal="center"/>
    </xf>
    <xf numFmtId="44" fontId="32" fillId="3" borderId="2" xfId="1" applyFont="1" applyFill="1" applyBorder="1" applyAlignment="1"/>
    <xf numFmtId="44" fontId="23" fillId="3" borderId="2" xfId="1" applyFont="1" applyFill="1" applyBorder="1" applyAlignment="1">
      <alignment horizontal="center"/>
    </xf>
    <xf numFmtId="44" fontId="23" fillId="3" borderId="2" xfId="1" applyFont="1" applyFill="1" applyBorder="1"/>
    <xf numFmtId="14" fontId="23" fillId="3" borderId="2" xfId="0" applyNumberFormat="1" applyFont="1" applyFill="1" applyBorder="1" applyAlignment="1">
      <alignment horizontal="center" wrapText="1"/>
    </xf>
    <xf numFmtId="0" fontId="34" fillId="3" borderId="2" xfId="0" applyFont="1" applyFill="1" applyBorder="1" applyAlignment="1">
      <alignment horizontal="center"/>
    </xf>
    <xf numFmtId="44" fontId="26" fillId="3" borderId="2" xfId="0" applyNumberFormat="1" applyFont="1" applyFill="1" applyBorder="1" applyAlignment="1">
      <alignment horizontal="left"/>
    </xf>
    <xf numFmtId="44" fontId="24" fillId="3" borderId="2" xfId="0" applyNumberFormat="1" applyFont="1" applyFill="1" applyBorder="1" applyAlignment="1">
      <alignment horizontal="center"/>
    </xf>
    <xf numFmtId="44" fontId="24" fillId="3" borderId="2" xfId="0" applyNumberFormat="1" applyFont="1" applyFill="1" applyBorder="1"/>
    <xf numFmtId="44" fontId="32" fillId="3" borderId="2" xfId="0" applyNumberFormat="1" applyFont="1" applyFill="1" applyBorder="1" applyAlignment="1">
      <alignment horizontal="center"/>
    </xf>
    <xf numFmtId="44" fontId="33" fillId="3" borderId="2" xfId="0" applyNumberFormat="1" applyFont="1" applyFill="1" applyBorder="1"/>
    <xf numFmtId="44" fontId="23" fillId="3" borderId="2" xfId="0" applyNumberFormat="1" applyFont="1" applyFill="1" applyBorder="1"/>
    <xf numFmtId="14" fontId="23" fillId="3" borderId="2" xfId="0" applyNumberFormat="1" applyFont="1" applyFill="1" applyBorder="1" applyAlignment="1">
      <alignment horizontal="center"/>
    </xf>
    <xf numFmtId="0" fontId="24" fillId="0" borderId="2" xfId="0" applyFont="1" applyBorder="1"/>
    <xf numFmtId="44" fontId="32" fillId="0" borderId="2" xfId="1" applyFont="1" applyBorder="1" applyAlignment="1"/>
    <xf numFmtId="44" fontId="24" fillId="0" borderId="2" xfId="1" applyFont="1" applyBorder="1" applyAlignment="1"/>
    <xf numFmtId="44" fontId="23" fillId="0" borderId="2" xfId="1" applyFont="1" applyBorder="1"/>
    <xf numFmtId="0" fontId="23" fillId="0" borderId="2" xfId="0" applyFont="1" applyBorder="1"/>
    <xf numFmtId="44" fontId="24" fillId="0" borderId="2" xfId="1" applyFont="1" applyBorder="1"/>
    <xf numFmtId="44" fontId="24" fillId="3" borderId="2" xfId="1" applyFont="1" applyFill="1" applyBorder="1" applyAlignment="1"/>
    <xf numFmtId="0" fontId="23" fillId="3" borderId="2" xfId="0" applyFont="1" applyFill="1" applyBorder="1"/>
    <xf numFmtId="0" fontId="26" fillId="12" borderId="2" xfId="0" applyFont="1" applyFill="1" applyBorder="1" applyAlignment="1">
      <alignment horizontal="left" wrapText="1"/>
    </xf>
    <xf numFmtId="0" fontId="24" fillId="12" borderId="2" xfId="0" applyFont="1" applyFill="1" applyBorder="1" applyAlignment="1">
      <alignment horizontal="center"/>
    </xf>
    <xf numFmtId="14" fontId="24" fillId="12" borderId="2" xfId="0" applyNumberFormat="1" applyFont="1" applyFill="1" applyBorder="1" applyAlignment="1">
      <alignment horizontal="center"/>
    </xf>
    <xf numFmtId="0" fontId="24" fillId="12" borderId="2" xfId="0" applyFont="1" applyFill="1" applyBorder="1"/>
    <xf numFmtId="0" fontId="32" fillId="12" borderId="2" xfId="0" applyFont="1" applyFill="1" applyBorder="1" applyAlignment="1">
      <alignment horizontal="center"/>
    </xf>
    <xf numFmtId="0" fontId="33" fillId="12" borderId="2" xfId="0" applyFont="1" applyFill="1" applyBorder="1" applyAlignment="1">
      <alignment horizontal="center"/>
    </xf>
    <xf numFmtId="44" fontId="32" fillId="12" borderId="2" xfId="1" applyFont="1" applyFill="1" applyBorder="1" applyAlignment="1"/>
    <xf numFmtId="44" fontId="24" fillId="12" borderId="2" xfId="1" applyFont="1" applyFill="1" applyBorder="1" applyAlignment="1"/>
    <xf numFmtId="44" fontId="23" fillId="12" borderId="2" xfId="1" applyFont="1" applyFill="1" applyBorder="1"/>
    <xf numFmtId="0" fontId="23" fillId="12" borderId="2" xfId="0" applyFont="1" applyFill="1" applyBorder="1"/>
    <xf numFmtId="14" fontId="23" fillId="12" borderId="2" xfId="0" applyNumberFormat="1" applyFont="1" applyFill="1" applyBorder="1" applyAlignment="1">
      <alignment horizontal="center" wrapText="1"/>
    </xf>
    <xf numFmtId="44" fontId="24" fillId="12" borderId="2" xfId="1" applyFont="1" applyFill="1" applyBorder="1"/>
    <xf numFmtId="44" fontId="24" fillId="12" borderId="2" xfId="1" applyFont="1" applyFill="1" applyBorder="1" applyAlignment="1">
      <alignment horizontal="center"/>
    </xf>
    <xf numFmtId="16" fontId="24" fillId="12" borderId="2" xfId="0" applyNumberFormat="1" applyFont="1" applyFill="1" applyBorder="1" applyAlignment="1">
      <alignment horizontal="center"/>
    </xf>
    <xf numFmtId="14" fontId="32" fillId="12" borderId="2" xfId="0" applyNumberFormat="1" applyFont="1" applyFill="1" applyBorder="1" applyAlignment="1">
      <alignment horizontal="center"/>
    </xf>
    <xf numFmtId="16" fontId="32" fillId="12" borderId="2" xfId="0" applyNumberFormat="1" applyFont="1" applyFill="1" applyBorder="1" applyAlignment="1">
      <alignment horizontal="center"/>
    </xf>
    <xf numFmtId="44" fontId="23" fillId="12" borderId="2" xfId="1" applyFont="1" applyFill="1" applyBorder="1" applyAlignment="1">
      <alignment horizontal="center"/>
    </xf>
    <xf numFmtId="0" fontId="26" fillId="6" borderId="2" xfId="0" applyFont="1" applyFill="1" applyBorder="1" applyAlignment="1">
      <alignment horizontal="left"/>
    </xf>
    <xf numFmtId="0" fontId="24" fillId="6" borderId="2" xfId="0" applyFont="1" applyFill="1" applyBorder="1" applyAlignment="1">
      <alignment horizontal="center"/>
    </xf>
    <xf numFmtId="16" fontId="24" fillId="6" borderId="2" xfId="0" applyNumberFormat="1" applyFont="1" applyFill="1" applyBorder="1" applyAlignment="1">
      <alignment horizontal="center"/>
    </xf>
    <xf numFmtId="0" fontId="32" fillId="6" borderId="2" xfId="0" applyFont="1" applyFill="1" applyBorder="1" applyAlignment="1">
      <alignment horizontal="center"/>
    </xf>
    <xf numFmtId="0" fontId="33" fillId="6" borderId="2" xfId="0" applyFont="1" applyFill="1" applyBorder="1" applyAlignment="1">
      <alignment horizontal="center"/>
    </xf>
    <xf numFmtId="44" fontId="32" fillId="6" borderId="2" xfId="1" applyFont="1" applyFill="1" applyBorder="1" applyAlignment="1"/>
    <xf numFmtId="44" fontId="23" fillId="6" borderId="2" xfId="1" applyFont="1" applyFill="1" applyBorder="1" applyAlignment="1">
      <alignment horizontal="center"/>
    </xf>
    <xf numFmtId="0" fontId="23" fillId="6" borderId="2" xfId="0" applyFont="1" applyFill="1" applyBorder="1" applyAlignment="1">
      <alignment horizontal="center"/>
    </xf>
    <xf numFmtId="44" fontId="23" fillId="6" borderId="2" xfId="1" applyFont="1" applyFill="1" applyBorder="1"/>
    <xf numFmtId="14" fontId="23" fillId="6" borderId="2" xfId="0" applyNumberFormat="1" applyFont="1" applyFill="1" applyBorder="1" applyAlignment="1">
      <alignment horizontal="center"/>
    </xf>
    <xf numFmtId="44" fontId="24" fillId="6" borderId="2" xfId="1" applyFont="1" applyFill="1" applyBorder="1" applyAlignment="1">
      <alignment horizontal="center"/>
    </xf>
    <xf numFmtId="0" fontId="24" fillId="6" borderId="2" xfId="0" applyFont="1" applyFill="1" applyBorder="1" applyAlignment="1">
      <alignment horizontal="center" vertical="center"/>
    </xf>
    <xf numFmtId="14" fontId="32" fillId="6" borderId="2" xfId="0" applyNumberFormat="1" applyFont="1" applyFill="1" applyBorder="1" applyAlignment="1">
      <alignment horizontal="center"/>
    </xf>
    <xf numFmtId="16" fontId="32" fillId="6" borderId="2" xfId="0" applyNumberFormat="1" applyFont="1" applyFill="1" applyBorder="1" applyAlignment="1">
      <alignment horizontal="center"/>
    </xf>
    <xf numFmtId="44" fontId="32" fillId="6" borderId="2" xfId="1" applyFont="1" applyFill="1" applyBorder="1" applyAlignment="1">
      <alignment horizontal="center"/>
    </xf>
    <xf numFmtId="14" fontId="23" fillId="6" borderId="2" xfId="0" applyNumberFormat="1" applyFont="1" applyFill="1" applyBorder="1" applyAlignment="1">
      <alignment horizontal="center" wrapText="1"/>
    </xf>
    <xf numFmtId="44" fontId="24" fillId="6" borderId="2" xfId="1" applyFont="1" applyFill="1" applyBorder="1"/>
    <xf numFmtId="16" fontId="24" fillId="16" borderId="2" xfId="0" applyNumberFormat="1" applyFont="1" applyFill="1" applyBorder="1" applyAlignment="1">
      <alignment horizontal="center"/>
    </xf>
    <xf numFmtId="14" fontId="24" fillId="16" borderId="2" xfId="0" applyNumberFormat="1" applyFont="1" applyFill="1" applyBorder="1" applyAlignment="1">
      <alignment horizontal="center"/>
    </xf>
    <xf numFmtId="0" fontId="24" fillId="16" borderId="2" xfId="0" applyFont="1" applyFill="1" applyBorder="1"/>
    <xf numFmtId="0" fontId="32" fillId="16" borderId="2" xfId="0" applyFont="1" applyFill="1" applyBorder="1" applyAlignment="1">
      <alignment horizontal="center"/>
    </xf>
    <xf numFmtId="0" fontId="33" fillId="16" borderId="2" xfId="0" applyFont="1" applyFill="1" applyBorder="1" applyAlignment="1">
      <alignment horizontal="center"/>
    </xf>
    <xf numFmtId="44" fontId="32" fillId="16" borderId="2" xfId="1" applyFont="1" applyFill="1" applyBorder="1" applyAlignment="1"/>
    <xf numFmtId="44" fontId="24" fillId="16" borderId="2" xfId="1" applyFont="1" applyFill="1" applyBorder="1" applyAlignment="1"/>
    <xf numFmtId="44" fontId="23" fillId="16" borderId="2" xfId="1" applyFont="1" applyFill="1" applyBorder="1"/>
    <xf numFmtId="0" fontId="23" fillId="16" borderId="2" xfId="0" applyFont="1" applyFill="1" applyBorder="1"/>
    <xf numFmtId="14" fontId="23" fillId="16" borderId="2" xfId="0" applyNumberFormat="1" applyFont="1" applyFill="1" applyBorder="1" applyAlignment="1">
      <alignment horizontal="center" wrapText="1"/>
    </xf>
    <xf numFmtId="44" fontId="24" fillId="16" borderId="2" xfId="1" applyFont="1" applyFill="1" applyBorder="1"/>
    <xf numFmtId="16" fontId="24" fillId="8" borderId="2" xfId="0" applyNumberFormat="1" applyFont="1" applyFill="1" applyBorder="1" applyAlignment="1">
      <alignment horizontal="center"/>
    </xf>
    <xf numFmtId="14" fontId="24" fillId="8" borderId="2" xfId="0" applyNumberFormat="1" applyFont="1" applyFill="1" applyBorder="1" applyAlignment="1">
      <alignment horizontal="center"/>
    </xf>
    <xf numFmtId="0" fontId="24" fillId="8" borderId="2" xfId="0" applyFont="1" applyFill="1" applyBorder="1"/>
    <xf numFmtId="0" fontId="32" fillId="8" borderId="2" xfId="0" applyFont="1" applyFill="1" applyBorder="1" applyAlignment="1">
      <alignment horizontal="center"/>
    </xf>
    <xf numFmtId="0" fontId="33" fillId="8" borderId="2" xfId="0" applyFont="1" applyFill="1" applyBorder="1" applyAlignment="1">
      <alignment horizontal="center"/>
    </xf>
    <xf numFmtId="44" fontId="32" fillId="8" borderId="2" xfId="1" applyFont="1" applyFill="1" applyBorder="1" applyAlignment="1"/>
    <xf numFmtId="44" fontId="24" fillId="8" borderId="2" xfId="1" applyFont="1" applyFill="1" applyBorder="1" applyAlignment="1"/>
    <xf numFmtId="44" fontId="23" fillId="8" borderId="2" xfId="1" applyFont="1" applyFill="1" applyBorder="1"/>
    <xf numFmtId="0" fontId="23" fillId="8" borderId="2" xfId="0" applyFont="1" applyFill="1" applyBorder="1"/>
    <xf numFmtId="14" fontId="23" fillId="8" borderId="2" xfId="0" applyNumberFormat="1" applyFont="1" applyFill="1" applyBorder="1" applyAlignment="1">
      <alignment horizontal="center" wrapText="1"/>
    </xf>
    <xf numFmtId="44" fontId="24" fillId="8" borderId="2" xfId="1" applyFont="1" applyFill="1" applyBorder="1"/>
    <xf numFmtId="44" fontId="24" fillId="8" borderId="2" xfId="1" applyFont="1" applyFill="1" applyBorder="1" applyAlignment="1">
      <alignment horizontal="center"/>
    </xf>
    <xf numFmtId="0" fontId="24" fillId="8" borderId="2" xfId="0" applyFont="1" applyFill="1" applyBorder="1" applyAlignment="1">
      <alignment horizontal="center"/>
    </xf>
    <xf numFmtId="44" fontId="23" fillId="8" borderId="2" xfId="1" applyFont="1" applyFill="1" applyBorder="1" applyAlignment="1">
      <alignment horizontal="center"/>
    </xf>
    <xf numFmtId="0" fontId="34" fillId="8" borderId="2" xfId="0" applyFont="1" applyFill="1" applyBorder="1" applyAlignment="1">
      <alignment horizontal="center"/>
    </xf>
    <xf numFmtId="16" fontId="24" fillId="10" borderId="2" xfId="0" applyNumberFormat="1" applyFont="1" applyFill="1" applyBorder="1" applyAlignment="1">
      <alignment horizontal="center"/>
    </xf>
    <xf numFmtId="14" fontId="24" fillId="10" borderId="2" xfId="0" applyNumberFormat="1" applyFont="1" applyFill="1" applyBorder="1" applyAlignment="1">
      <alignment horizontal="center"/>
    </xf>
    <xf numFmtId="0" fontId="24" fillId="10" borderId="2" xfId="0" applyFont="1" applyFill="1" applyBorder="1"/>
    <xf numFmtId="0" fontId="32" fillId="10" borderId="2" xfId="0" applyFont="1" applyFill="1" applyBorder="1" applyAlignment="1">
      <alignment horizontal="center"/>
    </xf>
    <xf numFmtId="0" fontId="33" fillId="10" borderId="2" xfId="0" applyFont="1" applyFill="1" applyBorder="1" applyAlignment="1">
      <alignment horizontal="center"/>
    </xf>
    <xf numFmtId="44" fontId="32" fillId="10" borderId="2" xfId="1" applyFont="1" applyFill="1" applyBorder="1" applyAlignment="1"/>
    <xf numFmtId="44" fontId="24" fillId="10" borderId="2" xfId="1" applyFont="1" applyFill="1" applyBorder="1" applyAlignment="1"/>
    <xf numFmtId="44" fontId="23" fillId="10" borderId="2" xfId="1" applyFont="1" applyFill="1" applyBorder="1"/>
    <xf numFmtId="0" fontId="23" fillId="10" borderId="2" xfId="0" applyFont="1" applyFill="1" applyBorder="1"/>
    <xf numFmtId="14" fontId="23" fillId="10" borderId="2" xfId="0" applyNumberFormat="1" applyFont="1" applyFill="1" applyBorder="1" applyAlignment="1">
      <alignment horizontal="center" wrapText="1"/>
    </xf>
    <xf numFmtId="44" fontId="24" fillId="10" borderId="2" xfId="1" applyFont="1" applyFill="1" applyBorder="1"/>
    <xf numFmtId="44" fontId="24" fillId="10" borderId="2" xfId="1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35" fillId="10" borderId="2" xfId="0" applyFont="1" applyFill="1" applyBorder="1"/>
    <xf numFmtId="14" fontId="35" fillId="10" borderId="2" xfId="0" applyNumberFormat="1" applyFont="1" applyFill="1" applyBorder="1" applyAlignment="1">
      <alignment horizontal="center"/>
    </xf>
    <xf numFmtId="0" fontId="35" fillId="10" borderId="2" xfId="0" applyFont="1" applyFill="1" applyBorder="1" applyAlignment="1">
      <alignment horizontal="center"/>
    </xf>
    <xf numFmtId="44" fontId="32" fillId="10" borderId="2" xfId="1" applyFont="1" applyFill="1" applyBorder="1"/>
    <xf numFmtId="44" fontId="35" fillId="10" borderId="2" xfId="1" applyFont="1" applyFill="1" applyBorder="1"/>
    <xf numFmtId="14" fontId="32" fillId="10" borderId="2" xfId="0" applyNumberFormat="1" applyFont="1" applyFill="1" applyBorder="1" applyAlignment="1">
      <alignment horizontal="center" wrapText="1"/>
    </xf>
    <xf numFmtId="0" fontId="35" fillId="16" borderId="2" xfId="0" applyFont="1" applyFill="1" applyBorder="1"/>
    <xf numFmtId="14" fontId="35" fillId="16" borderId="2" xfId="0" applyNumberFormat="1" applyFont="1" applyFill="1" applyBorder="1" applyAlignment="1">
      <alignment horizontal="center"/>
    </xf>
    <xf numFmtId="0" fontId="35" fillId="16" borderId="2" xfId="0" applyFont="1" applyFill="1" applyBorder="1" applyAlignment="1">
      <alignment horizontal="center"/>
    </xf>
    <xf numFmtId="44" fontId="32" fillId="16" borderId="2" xfId="1" applyFont="1" applyFill="1" applyBorder="1"/>
    <xf numFmtId="14" fontId="24" fillId="6" borderId="2" xfId="0" applyNumberFormat="1" applyFont="1" applyFill="1" applyBorder="1" applyAlignment="1">
      <alignment horizontal="center"/>
    </xf>
    <xf numFmtId="0" fontId="11" fillId="16" borderId="2" xfId="0" applyFont="1" applyFill="1" applyBorder="1" applyAlignment="1">
      <alignment wrapText="1"/>
    </xf>
    <xf numFmtId="14" fontId="30" fillId="16" borderId="2" xfId="0" applyNumberFormat="1" applyFont="1" applyFill="1" applyBorder="1" applyAlignment="1">
      <alignment horizontal="center" wrapText="1"/>
    </xf>
    <xf numFmtId="16" fontId="0" fillId="1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6" borderId="2" xfId="1" applyFont="1" applyFill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44" fontId="24" fillId="16" borderId="2" xfId="1" applyFont="1" applyFill="1" applyBorder="1" applyAlignment="1">
      <alignment horizontal="center"/>
    </xf>
    <xf numFmtId="14" fontId="24" fillId="13" borderId="2" xfId="0" applyNumberFormat="1" applyFont="1" applyFill="1" applyBorder="1" applyAlignment="1">
      <alignment horizontal="center" wrapText="1"/>
    </xf>
    <xf numFmtId="44" fontId="24" fillId="2" borderId="2" xfId="1" applyFont="1" applyFill="1" applyBorder="1" applyAlignment="1"/>
    <xf numFmtId="14" fontId="24" fillId="0" borderId="2" xfId="0" applyNumberFormat="1" applyFont="1" applyBorder="1" applyAlignment="1">
      <alignment horizontal="center" wrapText="1"/>
    </xf>
    <xf numFmtId="14" fontId="24" fillId="3" borderId="2" xfId="0" applyNumberFormat="1" applyFont="1" applyFill="1" applyBorder="1" applyAlignment="1">
      <alignment horizontal="center" wrapText="1"/>
    </xf>
    <xf numFmtId="14" fontId="24" fillId="12" borderId="2" xfId="0" applyNumberFormat="1" applyFont="1" applyFill="1" applyBorder="1" applyAlignment="1">
      <alignment horizontal="center" wrapText="1"/>
    </xf>
    <xf numFmtId="44" fontId="24" fillId="6" borderId="2" xfId="1" applyFont="1" applyFill="1" applyBorder="1" applyAlignment="1"/>
    <xf numFmtId="14" fontId="24" fillId="6" borderId="2" xfId="0" applyNumberFormat="1" applyFont="1" applyFill="1" applyBorder="1" applyAlignment="1">
      <alignment horizontal="center" wrapText="1"/>
    </xf>
    <xf numFmtId="14" fontId="24" fillId="16" borderId="2" xfId="0" applyNumberFormat="1" applyFont="1" applyFill="1" applyBorder="1" applyAlignment="1">
      <alignment horizontal="center" wrapText="1"/>
    </xf>
    <xf numFmtId="14" fontId="24" fillId="8" borderId="2" xfId="0" applyNumberFormat="1" applyFont="1" applyFill="1" applyBorder="1" applyAlignment="1">
      <alignment horizontal="center" wrapText="1"/>
    </xf>
    <xf numFmtId="14" fontId="24" fillId="10" borderId="2" xfId="0" applyNumberFormat="1" applyFont="1" applyFill="1" applyBorder="1" applyAlignment="1">
      <alignment horizontal="center" wrapText="1"/>
    </xf>
    <xf numFmtId="0" fontId="24" fillId="16" borderId="2" xfId="0" applyFont="1" applyFill="1" applyBorder="1" applyAlignment="1">
      <alignment wrapText="1"/>
    </xf>
    <xf numFmtId="0" fontId="36" fillId="10" borderId="2" xfId="3" applyFill="1" applyBorder="1" applyAlignment="1">
      <alignment horizontal="center"/>
    </xf>
    <xf numFmtId="0" fontId="11" fillId="16" borderId="2" xfId="0" applyFont="1" applyFill="1" applyBorder="1" applyAlignment="1">
      <alignment vertical="top" wrapText="1"/>
    </xf>
    <xf numFmtId="0" fontId="26" fillId="6" borderId="2" xfId="0" applyFont="1" applyFill="1" applyBorder="1" applyAlignment="1">
      <alignment horizontal="left" vertical="top"/>
    </xf>
    <xf numFmtId="16" fontId="24" fillId="6" borderId="2" xfId="0" applyNumberFormat="1" applyFont="1" applyFill="1" applyBorder="1" applyAlignment="1">
      <alignment horizontal="center" vertical="top"/>
    </xf>
    <xf numFmtId="14" fontId="24" fillId="6" borderId="2" xfId="0" applyNumberFormat="1" applyFont="1" applyFill="1" applyBorder="1" applyAlignment="1">
      <alignment horizontal="center" vertical="top"/>
    </xf>
    <xf numFmtId="0" fontId="24" fillId="6" borderId="2" xfId="0" applyFont="1" applyFill="1" applyBorder="1" applyAlignment="1">
      <alignment horizontal="center" vertical="top"/>
    </xf>
    <xf numFmtId="44" fontId="24" fillId="6" borderId="2" xfId="1" applyFont="1" applyFill="1" applyBorder="1" applyAlignment="1">
      <alignment horizontal="center" vertical="top"/>
    </xf>
    <xf numFmtId="44" fontId="24" fillId="6" borderId="2" xfId="1" applyFont="1" applyFill="1" applyBorder="1" applyAlignment="1">
      <alignment vertical="top"/>
    </xf>
    <xf numFmtId="14" fontId="24" fillId="6" borderId="2" xfId="0" applyNumberFormat="1" applyFont="1" applyFill="1" applyBorder="1" applyAlignment="1">
      <alignment horizontal="center" vertical="top" wrapText="1"/>
    </xf>
    <xf numFmtId="0" fontId="24" fillId="6" borderId="2" xfId="0" applyFont="1" applyFill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0" fillId="0" borderId="0" xfId="0" applyNumberFormat="1"/>
    <xf numFmtId="44" fontId="26" fillId="12" borderId="2" xfId="1" applyFont="1" applyFill="1" applyBorder="1" applyAlignment="1">
      <alignment horizontal="center" wrapText="1"/>
    </xf>
    <xf numFmtId="44" fontId="26" fillId="12" borderId="2" xfId="1" applyFont="1" applyFill="1" applyBorder="1" applyAlignment="1">
      <alignment horizontal="center"/>
    </xf>
    <xf numFmtId="44" fontId="26" fillId="6" borderId="2" xfId="1" applyFont="1" applyFill="1" applyBorder="1" applyAlignment="1">
      <alignment horizontal="center"/>
    </xf>
    <xf numFmtId="44" fontId="26" fillId="16" borderId="2" xfId="1" applyFont="1" applyFill="1" applyBorder="1" applyAlignment="1">
      <alignment horizontal="center"/>
    </xf>
    <xf numFmtId="44" fontId="24" fillId="16" borderId="2" xfId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left"/>
    </xf>
    <xf numFmtId="44" fontId="26" fillId="15" borderId="2" xfId="1" applyFont="1" applyFill="1" applyBorder="1" applyAlignment="1">
      <alignment horizontal="center"/>
    </xf>
    <xf numFmtId="0" fontId="0" fillId="15" borderId="2" xfId="0" applyFill="1" applyBorder="1" applyAlignment="1">
      <alignment horizontal="center" vertical="center"/>
    </xf>
    <xf numFmtId="44" fontId="0" fillId="15" borderId="2" xfId="1" applyFont="1" applyFill="1" applyBorder="1" applyAlignment="1">
      <alignment horizontal="center" vertical="center"/>
    </xf>
    <xf numFmtId="0" fontId="0" fillId="15" borderId="2" xfId="1" applyNumberFormat="1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left"/>
    </xf>
    <xf numFmtId="44" fontId="26" fillId="14" borderId="2" xfId="1" applyFont="1" applyFill="1" applyBorder="1" applyAlignment="1">
      <alignment horizontal="center"/>
    </xf>
    <xf numFmtId="44" fontId="0" fillId="14" borderId="2" xfId="1" applyFont="1" applyFill="1" applyBorder="1" applyAlignment="1">
      <alignment horizontal="center" vertical="center"/>
    </xf>
    <xf numFmtId="0" fontId="0" fillId="14" borderId="2" xfId="1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 vertical="center"/>
    </xf>
    <xf numFmtId="44" fontId="0" fillId="16" borderId="2" xfId="1" applyFont="1" applyFill="1" applyBorder="1" applyAlignment="1">
      <alignment horizontal="center" vertical="center"/>
    </xf>
    <xf numFmtId="0" fontId="0" fillId="16" borderId="2" xfId="1" applyNumberFormat="1" applyFont="1" applyFill="1" applyBorder="1" applyAlignment="1">
      <alignment horizontal="center" vertical="center"/>
    </xf>
    <xf numFmtId="44" fontId="26" fillId="16" borderId="2" xfId="0" applyNumberFormat="1" applyFont="1" applyFill="1" applyBorder="1" applyAlignment="1">
      <alignment horizontal="left"/>
    </xf>
    <xf numFmtId="0" fontId="0" fillId="12" borderId="2" xfId="0" applyFill="1" applyBorder="1" applyAlignment="1">
      <alignment horizontal="center" vertical="center"/>
    </xf>
    <xf numFmtId="44" fontId="0" fillId="12" borderId="2" xfId="1" applyFont="1" applyFill="1" applyBorder="1" applyAlignment="1">
      <alignment horizontal="center" vertical="center"/>
    </xf>
    <xf numFmtId="0" fontId="0" fillId="12" borderId="2" xfId="1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" fontId="0" fillId="6" borderId="2" xfId="2" applyNumberFormat="1" applyFont="1" applyFill="1" applyBorder="1" applyAlignment="1">
      <alignment horizontal="center" vertical="center"/>
    </xf>
    <xf numFmtId="0" fontId="0" fillId="6" borderId="2" xfId="1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44" fontId="0" fillId="17" borderId="2" xfId="1" applyFont="1" applyFill="1" applyBorder="1" applyAlignment="1">
      <alignment horizontal="center" vertical="center"/>
    </xf>
    <xf numFmtId="0" fontId="0" fillId="17" borderId="2" xfId="1" applyNumberFormat="1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/>
    </xf>
    <xf numFmtId="0" fontId="24" fillId="17" borderId="2" xfId="0" applyFont="1" applyFill="1" applyBorder="1" applyAlignment="1">
      <alignment horizontal="left"/>
    </xf>
    <xf numFmtId="44" fontId="24" fillId="17" borderId="2" xfId="1" applyFont="1" applyFill="1" applyBorder="1" applyAlignment="1">
      <alignment horizontal="center"/>
    </xf>
    <xf numFmtId="2" fontId="26" fillId="14" borderId="2" xfId="0" applyNumberFormat="1" applyFont="1" applyFill="1" applyBorder="1" applyAlignment="1">
      <alignment horizontal="center"/>
    </xf>
    <xf numFmtId="2" fontId="26" fillId="15" borderId="2" xfId="0" applyNumberFormat="1" applyFont="1" applyFill="1" applyBorder="1" applyAlignment="1">
      <alignment horizontal="center"/>
    </xf>
    <xf numFmtId="2" fontId="26" fillId="16" borderId="2" xfId="0" applyNumberFormat="1" applyFont="1" applyFill="1" applyBorder="1" applyAlignment="1">
      <alignment horizontal="center"/>
    </xf>
    <xf numFmtId="2" fontId="26" fillId="12" borderId="2" xfId="0" applyNumberFormat="1" applyFont="1" applyFill="1" applyBorder="1" applyAlignment="1">
      <alignment horizontal="center" wrapText="1"/>
    </xf>
    <xf numFmtId="2" fontId="26" fillId="12" borderId="2" xfId="0" applyNumberFormat="1" applyFont="1" applyFill="1" applyBorder="1" applyAlignment="1">
      <alignment horizontal="center"/>
    </xf>
    <xf numFmtId="2" fontId="26" fillId="6" borderId="2" xfId="0" applyNumberFormat="1" applyFont="1" applyFill="1" applyBorder="1" applyAlignment="1">
      <alignment horizontal="center"/>
    </xf>
    <xf numFmtId="2" fontId="24" fillId="17" borderId="2" xfId="0" applyNumberFormat="1" applyFont="1" applyFill="1" applyBorder="1" applyAlignment="1">
      <alignment horizontal="center"/>
    </xf>
    <xf numFmtId="2" fontId="24" fillId="16" borderId="2" xfId="0" applyNumberFormat="1" applyFont="1" applyFill="1" applyBorder="1" applyAlignment="1">
      <alignment horizontal="center"/>
    </xf>
    <xf numFmtId="2" fontId="24" fillId="16" borderId="2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14" fontId="24" fillId="13" borderId="2" xfId="1" applyNumberFormat="1" applyFont="1" applyFill="1" applyBorder="1" applyAlignment="1">
      <alignment horizontal="center"/>
    </xf>
    <xf numFmtId="14" fontId="24" fillId="3" borderId="2" xfId="1" applyNumberFormat="1" applyFont="1" applyFill="1" applyBorder="1" applyAlignment="1">
      <alignment horizontal="center"/>
    </xf>
    <xf numFmtId="14" fontId="24" fillId="16" borderId="2" xfId="1" applyNumberFormat="1" applyFont="1" applyFill="1" applyBorder="1"/>
    <xf numFmtId="0" fontId="26" fillId="18" borderId="2" xfId="0" applyFont="1" applyFill="1" applyBorder="1" applyAlignment="1">
      <alignment horizontal="left"/>
    </xf>
    <xf numFmtId="14" fontId="24" fillId="18" borderId="2" xfId="0" applyNumberFormat="1" applyFont="1" applyFill="1" applyBorder="1" applyAlignment="1">
      <alignment horizontal="center"/>
    </xf>
    <xf numFmtId="44" fontId="24" fillId="18" borderId="2" xfId="1" applyFont="1" applyFill="1" applyBorder="1" applyAlignment="1">
      <alignment horizontal="center"/>
    </xf>
    <xf numFmtId="16" fontId="24" fillId="18" borderId="2" xfId="0" applyNumberFormat="1" applyFont="1" applyFill="1" applyBorder="1" applyAlignment="1">
      <alignment horizontal="center"/>
    </xf>
    <xf numFmtId="0" fontId="24" fillId="18" borderId="2" xfId="0" applyFont="1" applyFill="1" applyBorder="1" applyAlignment="1">
      <alignment horizontal="center"/>
    </xf>
    <xf numFmtId="44" fontId="24" fillId="18" borderId="2" xfId="1" applyFont="1" applyFill="1" applyBorder="1" applyAlignment="1"/>
    <xf numFmtId="14" fontId="24" fillId="18" borderId="2" xfId="0" applyNumberFormat="1" applyFont="1" applyFill="1" applyBorder="1" applyAlignment="1">
      <alignment horizontal="center" wrapText="1"/>
    </xf>
    <xf numFmtId="44" fontId="24" fillId="18" borderId="2" xfId="0" applyNumberFormat="1" applyFont="1" applyFill="1" applyBorder="1" applyAlignment="1">
      <alignment horizontal="center"/>
    </xf>
    <xf numFmtId="14" fontId="24" fillId="18" borderId="2" xfId="1" applyNumberFormat="1" applyFont="1" applyFill="1" applyBorder="1" applyAlignment="1">
      <alignment horizontal="center"/>
    </xf>
    <xf numFmtId="14" fontId="24" fillId="12" borderId="2" xfId="1" applyNumberFormat="1" applyFont="1" applyFill="1" applyBorder="1" applyAlignment="1">
      <alignment horizontal="center"/>
    </xf>
    <xf numFmtId="14" fontId="24" fillId="6" borderId="2" xfId="1" applyNumberFormat="1" applyFont="1" applyFill="1" applyBorder="1" applyAlignment="1">
      <alignment horizontal="center"/>
    </xf>
    <xf numFmtId="14" fontId="24" fillId="8" borderId="2" xfId="1" applyNumberFormat="1" applyFont="1" applyFill="1" applyBorder="1" applyAlignment="1">
      <alignment horizontal="center"/>
    </xf>
    <xf numFmtId="14" fontId="24" fillId="10" borderId="2" xfId="1" applyNumberFormat="1" applyFont="1" applyFill="1" applyBorder="1" applyAlignment="1">
      <alignment horizontal="center"/>
    </xf>
    <xf numFmtId="0" fontId="38" fillId="10" borderId="2" xfId="3" applyFont="1" applyFill="1" applyBorder="1" applyAlignment="1">
      <alignment horizontal="center"/>
    </xf>
    <xf numFmtId="0" fontId="26" fillId="19" borderId="2" xfId="0" applyFont="1" applyFill="1" applyBorder="1" applyAlignment="1">
      <alignment horizontal="left"/>
    </xf>
    <xf numFmtId="16" fontId="24" fillId="19" borderId="2" xfId="0" applyNumberFormat="1" applyFont="1" applyFill="1" applyBorder="1" applyAlignment="1">
      <alignment horizontal="center"/>
    </xf>
    <xf numFmtId="14" fontId="24" fillId="19" borderId="2" xfId="0" applyNumberFormat="1" applyFont="1" applyFill="1" applyBorder="1" applyAlignment="1">
      <alignment horizontal="center"/>
    </xf>
    <xf numFmtId="0" fontId="24" fillId="19" borderId="2" xfId="0" applyFont="1" applyFill="1" applyBorder="1"/>
    <xf numFmtId="16" fontId="24" fillId="19" borderId="2" xfId="0" applyNumberFormat="1" applyFont="1" applyFill="1" applyBorder="1"/>
    <xf numFmtId="0" fontId="24" fillId="19" borderId="2" xfId="0" applyFont="1" applyFill="1" applyBorder="1" applyAlignment="1">
      <alignment horizontal="center"/>
    </xf>
    <xf numFmtId="44" fontId="24" fillId="19" borderId="2" xfId="1" applyFont="1" applyFill="1" applyBorder="1" applyAlignment="1"/>
    <xf numFmtId="44" fontId="24" fillId="19" borderId="2" xfId="1" applyFont="1" applyFill="1" applyBorder="1"/>
    <xf numFmtId="14" fontId="24" fillId="19" borderId="2" xfId="0" applyNumberFormat="1" applyFont="1" applyFill="1" applyBorder="1" applyAlignment="1">
      <alignment horizontal="center" wrapText="1"/>
    </xf>
    <xf numFmtId="44" fontId="24" fillId="19" borderId="2" xfId="1" applyFont="1" applyFill="1" applyBorder="1" applyAlignment="1">
      <alignment horizontal="center"/>
    </xf>
    <xf numFmtId="14" fontId="24" fillId="19" borderId="2" xfId="1" applyNumberFormat="1" applyFont="1" applyFill="1" applyBorder="1" applyAlignment="1">
      <alignment horizontal="center"/>
    </xf>
    <xf numFmtId="0" fontId="0" fillId="19" borderId="2" xfId="0" applyFill="1" applyBorder="1"/>
    <xf numFmtId="13" fontId="24" fillId="19" borderId="2" xfId="1" applyNumberFormat="1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 vertical="top" wrapText="1"/>
    </xf>
    <xf numFmtId="14" fontId="24" fillId="16" borderId="2" xfId="1" applyNumberFormat="1" applyFont="1" applyFill="1" applyBorder="1" applyAlignment="1">
      <alignment horizontal="center"/>
    </xf>
    <xf numFmtId="14" fontId="24" fillId="16" borderId="2" xfId="1" applyNumberFormat="1" applyFont="1" applyFill="1" applyBorder="1" applyAlignment="1">
      <alignment horizontal="center" wrapText="1"/>
    </xf>
    <xf numFmtId="44" fontId="7" fillId="0" borderId="2" xfId="1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1" fillId="3" borderId="18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0" fillId="3" borderId="18" xfId="0" applyFill="1" applyBorder="1"/>
    <xf numFmtId="0" fontId="0" fillId="3" borderId="19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center"/>
    </xf>
    <xf numFmtId="44" fontId="31" fillId="0" borderId="2" xfId="0" applyNumberFormat="1" applyFont="1" applyBorder="1" applyAlignment="1">
      <alignment horizontal="center"/>
    </xf>
    <xf numFmtId="0" fontId="12" fillId="0" borderId="2" xfId="0" applyFont="1" applyBorder="1"/>
    <xf numFmtId="0" fontId="11" fillId="0" borderId="4" xfId="0" applyFont="1" applyBorder="1"/>
    <xf numFmtId="0" fontId="11" fillId="0" borderId="6" xfId="0" applyFont="1" applyBorder="1"/>
    <xf numFmtId="0" fontId="11" fillId="0" borderId="7" xfId="0" applyFont="1" applyBorder="1"/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2" fontId="24" fillId="9" borderId="2" xfId="0" applyNumberFormat="1" applyFont="1" applyFill="1" applyBorder="1" applyAlignment="1">
      <alignment horizontal="center" wrapText="1"/>
    </xf>
    <xf numFmtId="0" fontId="24" fillId="9" borderId="2" xfId="0" applyFont="1" applyFill="1" applyBorder="1" applyAlignment="1">
      <alignment wrapText="1"/>
    </xf>
    <xf numFmtId="44" fontId="24" fillId="9" borderId="2" xfId="1" applyFont="1" applyFill="1" applyBorder="1" applyAlignment="1">
      <alignment horizontal="center" wrapText="1"/>
    </xf>
    <xf numFmtId="0" fontId="24" fillId="10" borderId="2" xfId="0" applyFont="1" applyFill="1" applyBorder="1" applyAlignment="1">
      <alignment wrapText="1"/>
    </xf>
    <xf numFmtId="0" fontId="24" fillId="16" borderId="6" xfId="0" applyFont="1" applyFill="1" applyBorder="1"/>
    <xf numFmtId="44" fontId="24" fillId="16" borderId="7" xfId="1" applyFont="1" applyFill="1" applyBorder="1"/>
    <xf numFmtId="0" fontId="24" fillId="9" borderId="23" xfId="0" applyFont="1" applyFill="1" applyBorder="1" applyAlignment="1">
      <alignment wrapText="1"/>
    </xf>
    <xf numFmtId="0" fontId="0" fillId="9" borderId="23" xfId="0" applyFill="1" applyBorder="1" applyAlignment="1">
      <alignment horizontal="center"/>
    </xf>
    <xf numFmtId="44" fontId="24" fillId="16" borderId="6" xfId="1" applyFont="1" applyFill="1" applyBorder="1"/>
    <xf numFmtId="44" fontId="0" fillId="9" borderId="2" xfId="1" applyFont="1" applyFill="1" applyBorder="1"/>
    <xf numFmtId="0" fontId="24" fillId="13" borderId="2" xfId="0" applyFont="1" applyFill="1" applyBorder="1" applyAlignment="1">
      <alignment horizontal="left"/>
    </xf>
    <xf numFmtId="0" fontId="24" fillId="18" borderId="2" xfId="0" applyFont="1" applyFill="1" applyBorder="1" applyAlignment="1">
      <alignment horizontal="left"/>
    </xf>
    <xf numFmtId="44" fontId="24" fillId="3" borderId="2" xfId="0" applyNumberFormat="1" applyFont="1" applyFill="1" applyBorder="1" applyAlignment="1">
      <alignment horizontal="left"/>
    </xf>
    <xf numFmtId="0" fontId="24" fillId="6" borderId="2" xfId="0" applyFont="1" applyFill="1" applyBorder="1" applyAlignment="1">
      <alignment horizontal="left"/>
    </xf>
    <xf numFmtId="0" fontId="24" fillId="6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center"/>
    </xf>
    <xf numFmtId="44" fontId="0" fillId="9" borderId="14" xfId="1" applyFont="1" applyFill="1" applyBorder="1"/>
    <xf numFmtId="44" fontId="0" fillId="14" borderId="23" xfId="1" applyFont="1" applyFill="1" applyBorder="1" applyAlignment="1">
      <alignment horizontal="center" vertical="center"/>
    </xf>
    <xf numFmtId="14" fontId="24" fillId="10" borderId="2" xfId="1" applyNumberFormat="1" applyFont="1" applyFill="1" applyBorder="1" applyAlignment="1">
      <alignment horizontal="center" wrapText="1"/>
    </xf>
    <xf numFmtId="14" fontId="39" fillId="3" borderId="2" xfId="1" applyNumberFormat="1" applyFont="1" applyFill="1" applyBorder="1" applyAlignment="1">
      <alignment horizontal="center"/>
    </xf>
    <xf numFmtId="44" fontId="0" fillId="9" borderId="2" xfId="0" applyNumberFormat="1" applyFill="1" applyBorder="1"/>
    <xf numFmtId="0" fontId="24" fillId="6" borderId="2" xfId="0" applyFont="1" applyFill="1" applyBorder="1" applyAlignment="1">
      <alignment wrapText="1"/>
    </xf>
    <xf numFmtId="44" fontId="0" fillId="6" borderId="2" xfId="1" applyFont="1" applyFill="1" applyBorder="1"/>
    <xf numFmtId="2" fontId="24" fillId="6" borderId="2" xfId="0" applyNumberFormat="1" applyFont="1" applyFill="1" applyBorder="1" applyAlignment="1">
      <alignment horizontal="center" wrapText="1"/>
    </xf>
    <xf numFmtId="0" fontId="0" fillId="6" borderId="2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17" borderId="2" xfId="0" applyFill="1" applyBorder="1" applyAlignment="1">
      <alignment vertical="top" wrapText="1"/>
    </xf>
    <xf numFmtId="44" fontId="0" fillId="17" borderId="2" xfId="1" applyFont="1" applyFill="1" applyBorder="1"/>
    <xf numFmtId="2" fontId="24" fillId="17" borderId="2" xfId="0" applyNumberFormat="1" applyFont="1" applyFill="1" applyBorder="1" applyAlignment="1">
      <alignment horizontal="center" wrapText="1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/>
    <xf numFmtId="0" fontId="24" fillId="17" borderId="2" xfId="0" applyFont="1" applyFill="1" applyBorder="1" applyAlignment="1">
      <alignment wrapText="1"/>
    </xf>
    <xf numFmtId="9" fontId="0" fillId="17" borderId="0" xfId="0" applyNumberFormat="1" applyFill="1"/>
    <xf numFmtId="0" fontId="26" fillId="20" borderId="2" xfId="0" applyFont="1" applyFill="1" applyBorder="1" applyAlignment="1">
      <alignment horizontal="left"/>
    </xf>
    <xf numFmtId="44" fontId="26" fillId="20" borderId="2" xfId="1" applyFont="1" applyFill="1" applyBorder="1" applyAlignment="1">
      <alignment horizontal="center"/>
    </xf>
    <xf numFmtId="2" fontId="26" fillId="20" borderId="2" xfId="0" applyNumberFormat="1" applyFont="1" applyFill="1" applyBorder="1" applyAlignment="1">
      <alignment horizontal="center"/>
    </xf>
    <xf numFmtId="0" fontId="11" fillId="20" borderId="2" xfId="0" applyFont="1" applyFill="1" applyBorder="1" applyAlignment="1">
      <alignment horizontal="center" vertical="center"/>
    </xf>
    <xf numFmtId="44" fontId="0" fillId="20" borderId="2" xfId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2" xfId="1" applyNumberFormat="1" applyFont="1" applyFill="1" applyBorder="1" applyAlignment="1">
      <alignment horizontal="center" vertical="center"/>
    </xf>
    <xf numFmtId="0" fontId="36" fillId="20" borderId="2" xfId="3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/>
    <xf numFmtId="14" fontId="24" fillId="13" borderId="2" xfId="1" applyNumberFormat="1" applyFont="1" applyFill="1" applyBorder="1" applyAlignment="1">
      <alignment horizontal="center" wrapText="1"/>
    </xf>
    <xf numFmtId="14" fontId="24" fillId="18" borderId="2" xfId="1" applyNumberFormat="1" applyFont="1" applyFill="1" applyBorder="1" applyAlignment="1">
      <alignment horizontal="center" wrapText="1"/>
    </xf>
    <xf numFmtId="14" fontId="39" fillId="3" borderId="2" xfId="1" applyNumberFormat="1" applyFont="1" applyFill="1" applyBorder="1" applyAlignment="1">
      <alignment horizontal="center" wrapText="1"/>
    </xf>
    <xf numFmtId="14" fontId="24" fillId="3" borderId="2" xfId="1" applyNumberFormat="1" applyFont="1" applyFill="1" applyBorder="1" applyAlignment="1">
      <alignment horizontal="center" wrapText="1"/>
    </xf>
    <xf numFmtId="14" fontId="24" fillId="6" borderId="2" xfId="1" applyNumberFormat="1" applyFont="1" applyFill="1" applyBorder="1" applyAlignment="1">
      <alignment horizontal="center" wrapText="1"/>
    </xf>
    <xf numFmtId="0" fontId="24" fillId="13" borderId="2" xfId="0" applyFont="1" applyFill="1" applyBorder="1" applyAlignment="1">
      <alignment horizontal="left" wrapText="1"/>
    </xf>
    <xf numFmtId="0" fontId="24" fillId="18" borderId="2" xfId="0" applyFont="1" applyFill="1" applyBorder="1" applyAlignment="1">
      <alignment horizontal="left" wrapText="1"/>
    </xf>
    <xf numFmtId="0" fontId="24" fillId="0" borderId="2" xfId="0" applyFont="1" applyBorder="1" applyAlignment="1">
      <alignment horizontal="left" wrapText="1"/>
    </xf>
    <xf numFmtId="0" fontId="24" fillId="3" borderId="2" xfId="0" applyFont="1" applyFill="1" applyBorder="1" applyAlignment="1">
      <alignment horizontal="left" wrapText="1"/>
    </xf>
    <xf numFmtId="44" fontId="24" fillId="3" borderId="2" xfId="0" applyNumberFormat="1" applyFont="1" applyFill="1" applyBorder="1" applyAlignment="1">
      <alignment horizontal="left" wrapText="1"/>
    </xf>
    <xf numFmtId="0" fontId="24" fillId="6" borderId="2" xfId="0" applyFont="1" applyFill="1" applyBorder="1" applyAlignment="1">
      <alignment horizontal="left" wrapText="1"/>
    </xf>
    <xf numFmtId="0" fontId="24" fillId="6" borderId="2" xfId="0" applyFont="1" applyFill="1" applyBorder="1" applyAlignment="1">
      <alignment horizontal="left" vertical="top" wrapText="1"/>
    </xf>
    <xf numFmtId="0" fontId="24" fillId="10" borderId="2" xfId="0" applyFont="1" applyFill="1" applyBorder="1" applyAlignment="1">
      <alignment horizontal="left" wrapText="1"/>
    </xf>
    <xf numFmtId="44" fontId="19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1" fillId="6" borderId="14" xfId="0" applyFont="1" applyFill="1" applyBorder="1" applyAlignment="1">
      <alignment horizontal="center" wrapText="1"/>
    </xf>
    <xf numFmtId="0" fontId="11" fillId="6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0" fillId="10" borderId="4" xfId="0" applyFont="1" applyFill="1" applyBorder="1" applyAlignment="1">
      <alignment horizontal="center" wrapText="1"/>
    </xf>
    <xf numFmtId="0" fontId="10" fillId="10" borderId="6" xfId="0" applyFont="1" applyFill="1" applyBorder="1" applyAlignment="1">
      <alignment horizontal="center" wrapText="1"/>
    </xf>
    <xf numFmtId="0" fontId="10" fillId="10" borderId="7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emanuelyfernandasouzanunes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emanuelyfernandasouzanunes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emanuelyfernandasouzanunes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emanuelyfernandasouzanunes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emanuelyfernandasouzanunes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emanuelyfernandasouzanunes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emanuelyfernandasouzanunes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68D6-0352-4335-B761-8EDFFD58BAE7}">
  <sheetPr codeName="Planilha1"/>
  <dimension ref="A1:V35"/>
  <sheetViews>
    <sheetView workbookViewId="0">
      <selection activeCell="Z23" sqref="Z23"/>
    </sheetView>
  </sheetViews>
  <sheetFormatPr defaultRowHeight="15" x14ac:dyDescent="0.25"/>
  <cols>
    <col min="1" max="1" width="28.28515625" customWidth="1"/>
    <col min="2" max="3" width="9.85546875" customWidth="1"/>
    <col min="4" max="4" width="10.85546875" hidden="1" customWidth="1"/>
    <col min="5" max="5" width="16.7109375" hidden="1" customWidth="1"/>
    <col min="6" max="6" width="16.140625" bestFit="1" customWidth="1"/>
    <col min="7" max="7" width="19.140625" customWidth="1"/>
    <col min="8" max="8" width="11.7109375" hidden="1" customWidth="1"/>
    <col min="9" max="9" width="10.42578125" hidden="1" customWidth="1"/>
    <col min="10" max="10" width="9.140625" hidden="1" customWidth="1"/>
    <col min="11" max="11" width="13.28515625" customWidth="1"/>
    <col min="12" max="12" width="9.140625" customWidth="1"/>
    <col min="13" max="13" width="12.85546875" customWidth="1"/>
    <col min="14" max="14" width="10.28515625" customWidth="1"/>
    <col min="15" max="15" width="9" hidden="1" customWidth="1"/>
    <col min="16" max="16" width="9.7109375" hidden="1" customWidth="1"/>
    <col min="17" max="17" width="10.28515625" hidden="1" customWidth="1"/>
    <col min="18" max="18" width="7.140625" style="118" customWidth="1"/>
    <col min="19" max="19" width="4.5703125" customWidth="1"/>
    <col min="20" max="20" width="10.28515625" customWidth="1"/>
    <col min="21" max="21" width="15" customWidth="1"/>
    <col min="22" max="22" width="20.5703125" bestFit="1" customWidth="1"/>
  </cols>
  <sheetData>
    <row r="1" spans="1:22" ht="24" x14ac:dyDescent="0.4">
      <c r="A1" s="775" t="s">
        <v>0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</row>
    <row r="2" spans="1:22" x14ac:dyDescent="0.25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7" t="s">
        <v>6</v>
      </c>
      <c r="G2" s="67" t="s">
        <v>7</v>
      </c>
      <c r="H2" s="68" t="s">
        <v>8</v>
      </c>
      <c r="I2" s="68" t="s">
        <v>9</v>
      </c>
      <c r="J2" s="67" t="s">
        <v>10</v>
      </c>
      <c r="K2" s="67" t="s">
        <v>11</v>
      </c>
      <c r="L2" s="67" t="s">
        <v>12</v>
      </c>
      <c r="M2" s="67" t="s">
        <v>13</v>
      </c>
      <c r="N2" s="67" t="s">
        <v>14</v>
      </c>
      <c r="O2" s="67" t="s">
        <v>15</v>
      </c>
      <c r="P2" s="67" t="s">
        <v>16</v>
      </c>
      <c r="Q2" s="67" t="s">
        <v>17</v>
      </c>
      <c r="R2" s="110" t="s">
        <v>18</v>
      </c>
      <c r="S2" s="67" t="s">
        <v>19</v>
      </c>
      <c r="T2" s="67" t="s">
        <v>20</v>
      </c>
      <c r="U2" s="67" t="s">
        <v>21</v>
      </c>
      <c r="V2" s="67" t="s">
        <v>22</v>
      </c>
    </row>
    <row r="3" spans="1:22" ht="24.75" x14ac:dyDescent="0.25">
      <c r="A3" s="149" t="s">
        <v>23</v>
      </c>
      <c r="B3" s="119">
        <v>45240</v>
      </c>
      <c r="C3" s="119">
        <v>45240</v>
      </c>
      <c r="D3" s="120"/>
      <c r="E3" s="120"/>
      <c r="F3" s="67" t="s">
        <v>24</v>
      </c>
      <c r="G3" s="67" t="s">
        <v>25</v>
      </c>
      <c r="H3" s="121">
        <v>1634.96</v>
      </c>
      <c r="I3" s="121"/>
      <c r="J3" s="120"/>
      <c r="K3" s="207">
        <f>H3/30*J3</f>
        <v>0</v>
      </c>
      <c r="L3" s="207">
        <f>K3*6%</f>
        <v>0</v>
      </c>
      <c r="M3" s="207">
        <v>443.02</v>
      </c>
      <c r="N3" s="207">
        <f>H3*7.7%</f>
        <v>125.89192</v>
      </c>
      <c r="O3" s="207"/>
      <c r="P3" s="207"/>
      <c r="Q3" s="207"/>
      <c r="R3" s="154"/>
      <c r="S3" s="207"/>
      <c r="T3" s="122"/>
      <c r="U3" s="207">
        <v>512.51</v>
      </c>
      <c r="V3" s="120">
        <v>31991488310</v>
      </c>
    </row>
    <row r="4" spans="1:22" x14ac:dyDescent="0.25">
      <c r="A4" s="149" t="s">
        <v>26</v>
      </c>
      <c r="B4" s="119" t="s">
        <v>27</v>
      </c>
      <c r="C4" s="119" t="s">
        <v>27</v>
      </c>
      <c r="D4" s="120"/>
      <c r="E4" s="120"/>
      <c r="F4" s="67" t="s">
        <v>24</v>
      </c>
      <c r="G4" s="67" t="s">
        <v>25</v>
      </c>
      <c r="H4" s="121">
        <v>2289.4299999999998</v>
      </c>
      <c r="I4" s="121"/>
      <c r="J4" s="120"/>
      <c r="K4" s="207">
        <f>1634.96+653.98</f>
        <v>2288.94</v>
      </c>
      <c r="L4" s="207">
        <v>98.29</v>
      </c>
      <c r="M4" s="207">
        <v>653.98</v>
      </c>
      <c r="N4" s="207">
        <f>H4*8.07%</f>
        <v>184.757001</v>
      </c>
      <c r="O4" s="207"/>
      <c r="P4" s="207"/>
      <c r="Q4" s="207"/>
      <c r="R4" s="154"/>
      <c r="S4" s="207"/>
      <c r="T4" s="122">
        <v>200</v>
      </c>
      <c r="U4" s="207">
        <v>1152.04</v>
      </c>
      <c r="V4" s="120" t="s">
        <v>28</v>
      </c>
    </row>
    <row r="5" spans="1:22" ht="24.75" x14ac:dyDescent="0.25">
      <c r="A5" s="149" t="s">
        <v>29</v>
      </c>
      <c r="B5" s="119">
        <v>45537</v>
      </c>
      <c r="C5" s="119">
        <v>45537</v>
      </c>
      <c r="D5" s="120"/>
      <c r="E5" s="120"/>
      <c r="F5" s="67" t="s">
        <v>24</v>
      </c>
      <c r="G5" s="67" t="s">
        <v>25</v>
      </c>
      <c r="H5" s="121">
        <v>1634.96</v>
      </c>
      <c r="I5" s="121"/>
      <c r="J5" s="120"/>
      <c r="K5" s="207">
        <f>H5/30*J5</f>
        <v>0</v>
      </c>
      <c r="L5" s="207">
        <f t="shared" ref="L5:L18" si="0">K5*6%</f>
        <v>0</v>
      </c>
      <c r="M5" s="207">
        <f t="shared" ref="M5:M10" si="1">H5*40%</f>
        <v>653.98400000000004</v>
      </c>
      <c r="N5" s="207">
        <f t="shared" ref="N5:N32" si="2">H5*7.7%</f>
        <v>125.89192</v>
      </c>
      <c r="O5" s="207"/>
      <c r="P5" s="207"/>
      <c r="Q5" s="207"/>
      <c r="R5" s="154"/>
      <c r="S5" s="207"/>
      <c r="T5" s="122"/>
      <c r="U5" s="207">
        <v>818.96</v>
      </c>
      <c r="V5" s="120">
        <v>31984119908</v>
      </c>
    </row>
    <row r="6" spans="1:22" x14ac:dyDescent="0.25">
      <c r="A6" s="149" t="s">
        <v>30</v>
      </c>
      <c r="B6" s="119"/>
      <c r="C6" s="123"/>
      <c r="D6" s="120"/>
      <c r="E6" s="120"/>
      <c r="F6" s="67" t="s">
        <v>24</v>
      </c>
      <c r="G6" s="67" t="s">
        <v>25</v>
      </c>
      <c r="H6" s="121">
        <v>1634.96</v>
      </c>
      <c r="I6" s="121"/>
      <c r="J6" s="120"/>
      <c r="K6" s="207">
        <f>H6/30*J6</f>
        <v>0</v>
      </c>
      <c r="L6" s="207">
        <f t="shared" si="0"/>
        <v>0</v>
      </c>
      <c r="M6" s="207">
        <f t="shared" si="1"/>
        <v>653.98400000000004</v>
      </c>
      <c r="N6" s="207">
        <f t="shared" si="2"/>
        <v>125.89192</v>
      </c>
      <c r="O6" s="207"/>
      <c r="P6" s="207"/>
      <c r="Q6" s="207"/>
      <c r="R6" s="154"/>
      <c r="S6" s="207"/>
      <c r="T6" s="122"/>
      <c r="U6" s="207">
        <v>756.92</v>
      </c>
      <c r="V6" s="120" t="s">
        <v>31</v>
      </c>
    </row>
    <row r="7" spans="1:22" x14ac:dyDescent="0.25">
      <c r="A7" s="149" t="s">
        <v>32</v>
      </c>
      <c r="B7" s="119">
        <v>44953</v>
      </c>
      <c r="C7" s="119">
        <v>44953</v>
      </c>
      <c r="D7" s="123"/>
      <c r="E7" s="120"/>
      <c r="F7" s="67" t="s">
        <v>33</v>
      </c>
      <c r="G7" s="67" t="s">
        <v>25</v>
      </c>
      <c r="H7" s="122">
        <v>1634.96</v>
      </c>
      <c r="I7" s="122">
        <v>500</v>
      </c>
      <c r="J7" s="120"/>
      <c r="K7" s="207">
        <f>H7/30*J7</f>
        <v>0</v>
      </c>
      <c r="L7" s="207">
        <f t="shared" si="0"/>
        <v>0</v>
      </c>
      <c r="M7" s="207">
        <f t="shared" si="1"/>
        <v>653.98400000000004</v>
      </c>
      <c r="N7" s="207">
        <v>167.84</v>
      </c>
      <c r="O7" s="207"/>
      <c r="P7" s="207"/>
      <c r="Q7" s="207"/>
      <c r="R7" s="154"/>
      <c r="S7" s="207"/>
      <c r="T7" s="122"/>
      <c r="U7" s="207">
        <f>756.92</f>
        <v>756.92</v>
      </c>
      <c r="V7" s="120">
        <v>17417557600</v>
      </c>
    </row>
    <row r="8" spans="1:22" ht="24.75" x14ac:dyDescent="0.25">
      <c r="A8" s="149" t="s">
        <v>34</v>
      </c>
      <c r="B8" s="119">
        <v>45370</v>
      </c>
      <c r="C8" s="119">
        <v>45370</v>
      </c>
      <c r="D8" s="123"/>
      <c r="E8" s="123"/>
      <c r="F8" s="67" t="s">
        <v>35</v>
      </c>
      <c r="G8" s="67" t="s">
        <v>25</v>
      </c>
      <c r="H8" s="122">
        <v>1634.96</v>
      </c>
      <c r="I8" s="122"/>
      <c r="J8" s="120"/>
      <c r="K8" s="207">
        <f>H8/30*J8</f>
        <v>0</v>
      </c>
      <c r="L8" s="207">
        <f t="shared" si="0"/>
        <v>0</v>
      </c>
      <c r="M8" s="207">
        <f t="shared" si="1"/>
        <v>653.98400000000004</v>
      </c>
      <c r="N8" s="207">
        <f t="shared" si="2"/>
        <v>125.89192</v>
      </c>
      <c r="O8" s="207"/>
      <c r="P8" s="207"/>
      <c r="Q8" s="207"/>
      <c r="R8" s="155" t="s">
        <v>36</v>
      </c>
      <c r="S8" s="207" t="s">
        <v>37</v>
      </c>
      <c r="T8" s="122"/>
      <c r="U8" s="207">
        <f>564.94-40</f>
        <v>524.94000000000005</v>
      </c>
      <c r="V8" s="120">
        <v>16651003623</v>
      </c>
    </row>
    <row r="9" spans="1:22" x14ac:dyDescent="0.25">
      <c r="A9" s="150" t="s">
        <v>38</v>
      </c>
      <c r="B9" s="124"/>
      <c r="C9" s="125">
        <v>45632</v>
      </c>
      <c r="D9" s="125"/>
      <c r="E9" s="125"/>
      <c r="F9" s="126" t="s">
        <v>35</v>
      </c>
      <c r="G9" s="67" t="s">
        <v>25</v>
      </c>
      <c r="H9" s="127">
        <v>1634.96</v>
      </c>
      <c r="I9" s="127"/>
      <c r="J9" s="128"/>
      <c r="K9" s="129">
        <v>1478.75</v>
      </c>
      <c r="L9" s="129">
        <v>82.28</v>
      </c>
      <c r="M9" s="129">
        <f t="shared" si="1"/>
        <v>653.98400000000004</v>
      </c>
      <c r="N9" s="129"/>
      <c r="O9" s="129"/>
      <c r="P9" s="129"/>
      <c r="Q9" s="129"/>
      <c r="R9" s="156"/>
      <c r="S9" s="129"/>
      <c r="T9" s="127"/>
      <c r="U9" s="207">
        <f>1634.98-98.1-654-102.84-40</f>
        <v>740.04000000000008</v>
      </c>
      <c r="V9" s="128">
        <v>31981052930</v>
      </c>
    </row>
    <row r="10" spans="1:22" x14ac:dyDescent="0.25">
      <c r="A10" s="151" t="s">
        <v>39</v>
      </c>
      <c r="B10" s="130">
        <v>45293</v>
      </c>
      <c r="C10" s="131"/>
      <c r="D10" s="131"/>
      <c r="E10" s="132"/>
      <c r="F10" s="133" t="s">
        <v>35</v>
      </c>
      <c r="G10" s="133" t="s">
        <v>25</v>
      </c>
      <c r="H10" s="134">
        <v>1634.96</v>
      </c>
      <c r="I10" s="134"/>
      <c r="J10" s="132"/>
      <c r="K10" s="135">
        <v>1478.75</v>
      </c>
      <c r="L10" s="135">
        <v>82.28</v>
      </c>
      <c r="M10" s="135">
        <f t="shared" si="1"/>
        <v>653.98400000000004</v>
      </c>
      <c r="N10" s="135"/>
      <c r="O10" s="135"/>
      <c r="P10" s="135"/>
      <c r="Q10" s="135"/>
      <c r="R10" s="157"/>
      <c r="S10" s="135"/>
      <c r="T10" s="134"/>
      <c r="U10" s="135">
        <f>882.88-40</f>
        <v>842.88</v>
      </c>
      <c r="V10" s="132" t="s">
        <v>40</v>
      </c>
    </row>
    <row r="11" spans="1:22" x14ac:dyDescent="0.25">
      <c r="A11" s="150" t="s">
        <v>41</v>
      </c>
      <c r="B11" s="124">
        <v>45621</v>
      </c>
      <c r="C11" s="125">
        <v>45643</v>
      </c>
      <c r="D11" s="125"/>
      <c r="E11" s="125"/>
      <c r="F11" s="126" t="s">
        <v>42</v>
      </c>
      <c r="G11" s="67" t="s">
        <v>25</v>
      </c>
      <c r="H11" s="127">
        <v>1634.96</v>
      </c>
      <c r="I11" s="127"/>
      <c r="J11" s="128"/>
      <c r="K11" s="129">
        <f t="shared" ref="K11:K20" si="3">H11/30*J11</f>
        <v>0</v>
      </c>
      <c r="L11" s="129">
        <f>K11*6%</f>
        <v>0</v>
      </c>
      <c r="M11" s="127"/>
      <c r="N11" s="129">
        <f t="shared" ref="N11" si="4">K11-L11-M11</f>
        <v>0</v>
      </c>
      <c r="O11" s="128"/>
      <c r="P11" s="128"/>
      <c r="Q11" s="129"/>
      <c r="R11" s="156"/>
      <c r="S11" s="129"/>
      <c r="T11" s="127">
        <v>160</v>
      </c>
      <c r="U11" s="207">
        <f>327.01+454.92-40</f>
        <v>741.93000000000006</v>
      </c>
      <c r="V11" s="128">
        <v>10105933660</v>
      </c>
    </row>
    <row r="12" spans="1:22" ht="24.75" x14ac:dyDescent="0.25">
      <c r="A12" s="149" t="s">
        <v>43</v>
      </c>
      <c r="B12" s="119"/>
      <c r="C12" s="123">
        <v>45474</v>
      </c>
      <c r="D12" s="123"/>
      <c r="E12" s="120"/>
      <c r="F12" s="67" t="s">
        <v>44</v>
      </c>
      <c r="G12" s="67" t="s">
        <v>45</v>
      </c>
      <c r="H12" s="121">
        <v>1600</v>
      </c>
      <c r="I12" s="121"/>
      <c r="J12" s="120"/>
      <c r="K12" s="207">
        <f t="shared" si="3"/>
        <v>0</v>
      </c>
      <c r="L12" s="207">
        <f t="shared" si="0"/>
        <v>0</v>
      </c>
      <c r="M12" s="207">
        <v>640</v>
      </c>
      <c r="N12" s="207">
        <f t="shared" si="2"/>
        <v>123.2</v>
      </c>
      <c r="O12" s="207"/>
      <c r="P12" s="207"/>
      <c r="Q12" s="207"/>
      <c r="R12" s="154"/>
      <c r="S12" s="207"/>
      <c r="T12" s="122">
        <v>200</v>
      </c>
      <c r="U12" s="207">
        <v>541.17999999999995</v>
      </c>
      <c r="V12" s="120">
        <v>70554723697</v>
      </c>
    </row>
    <row r="13" spans="1:22" ht="24.75" x14ac:dyDescent="0.25">
      <c r="A13" s="149" t="s">
        <v>46</v>
      </c>
      <c r="B13" s="119"/>
      <c r="C13" s="123">
        <v>45497</v>
      </c>
      <c r="D13" s="123"/>
      <c r="E13" s="123"/>
      <c r="F13" s="67" t="s">
        <v>42</v>
      </c>
      <c r="G13" s="67" t="s">
        <v>47</v>
      </c>
      <c r="H13" s="121">
        <v>1634.96</v>
      </c>
      <c r="I13" s="121"/>
      <c r="J13" s="120"/>
      <c r="K13" s="207">
        <f t="shared" si="3"/>
        <v>0</v>
      </c>
      <c r="L13" s="207">
        <f t="shared" si="0"/>
        <v>0</v>
      </c>
      <c r="M13" s="207">
        <f t="shared" ref="M13" si="5">H13*40%</f>
        <v>653.98400000000004</v>
      </c>
      <c r="N13" s="207">
        <f t="shared" si="2"/>
        <v>125.89192</v>
      </c>
      <c r="O13" s="207"/>
      <c r="P13" s="207"/>
      <c r="Q13" s="207"/>
      <c r="R13" s="154" t="s">
        <v>48</v>
      </c>
      <c r="S13" s="207" t="s">
        <v>37</v>
      </c>
      <c r="T13" s="122">
        <v>616.23</v>
      </c>
      <c r="U13" s="207">
        <v>58.75</v>
      </c>
      <c r="V13" s="120">
        <v>11282952617</v>
      </c>
    </row>
    <row r="14" spans="1:22" x14ac:dyDescent="0.25">
      <c r="A14" s="149" t="s">
        <v>49</v>
      </c>
      <c r="B14" s="119"/>
      <c r="C14" s="123">
        <v>45472</v>
      </c>
      <c r="D14" s="120"/>
      <c r="E14" s="120"/>
      <c r="F14" s="67" t="s">
        <v>44</v>
      </c>
      <c r="G14" s="67" t="s">
        <v>47</v>
      </c>
      <c r="H14" s="121">
        <v>1634.96</v>
      </c>
      <c r="I14" s="121"/>
      <c r="J14" s="120"/>
      <c r="K14" s="207">
        <f t="shared" si="3"/>
        <v>0</v>
      </c>
      <c r="L14" s="207">
        <f t="shared" si="0"/>
        <v>0</v>
      </c>
      <c r="M14" s="207">
        <v>653.98</v>
      </c>
      <c r="N14" s="207">
        <f t="shared" si="2"/>
        <v>125.89192</v>
      </c>
      <c r="O14" s="207"/>
      <c r="P14" s="207"/>
      <c r="Q14" s="207"/>
      <c r="R14" s="154"/>
      <c r="S14" s="207"/>
      <c r="T14" s="122">
        <v>59</v>
      </c>
      <c r="U14" s="207">
        <v>884.04</v>
      </c>
      <c r="V14" s="120"/>
    </row>
    <row r="15" spans="1:22" ht="24.75" x14ac:dyDescent="0.25">
      <c r="A15" s="149" t="s">
        <v>50</v>
      </c>
      <c r="B15" s="119"/>
      <c r="C15" s="123">
        <v>45534</v>
      </c>
      <c r="D15" s="120"/>
      <c r="E15" s="120"/>
      <c r="F15" s="67" t="s">
        <v>44</v>
      </c>
      <c r="G15" s="67" t="s">
        <v>51</v>
      </c>
      <c r="H15" s="121">
        <v>1600</v>
      </c>
      <c r="I15" s="121"/>
      <c r="J15" s="120"/>
      <c r="K15" s="207">
        <f t="shared" si="3"/>
        <v>0</v>
      </c>
      <c r="L15" s="207">
        <f t="shared" si="0"/>
        <v>0</v>
      </c>
      <c r="M15" s="207">
        <v>640</v>
      </c>
      <c r="N15" s="207">
        <f t="shared" si="2"/>
        <v>123.2</v>
      </c>
      <c r="O15" s="207"/>
      <c r="P15" s="207"/>
      <c r="Q15" s="207"/>
      <c r="R15" s="154"/>
      <c r="S15" s="207"/>
      <c r="T15" s="122">
        <v>200.6</v>
      </c>
      <c r="U15" s="207">
        <f>541.18-40</f>
        <v>501.17999999999995</v>
      </c>
      <c r="V15" s="120">
        <v>31993083878</v>
      </c>
    </row>
    <row r="16" spans="1:22" x14ac:dyDescent="0.25">
      <c r="A16" s="149" t="s">
        <v>52</v>
      </c>
      <c r="B16" s="119"/>
      <c r="C16" s="120"/>
      <c r="D16" s="120"/>
      <c r="E16" s="120"/>
      <c r="F16" s="67" t="s">
        <v>44</v>
      </c>
      <c r="G16" s="67" t="s">
        <v>25</v>
      </c>
      <c r="H16" s="121">
        <v>2000</v>
      </c>
      <c r="I16" s="121"/>
      <c r="J16" s="120"/>
      <c r="K16" s="207">
        <f t="shared" si="3"/>
        <v>0</v>
      </c>
      <c r="L16" s="207"/>
      <c r="M16" s="207"/>
      <c r="N16" s="207"/>
      <c r="O16" s="207"/>
      <c r="P16" s="207"/>
      <c r="Q16" s="207"/>
      <c r="R16" s="154"/>
      <c r="S16" s="207"/>
      <c r="T16" s="122">
        <v>100</v>
      </c>
      <c r="U16" s="207">
        <f>H16-T16</f>
        <v>1900</v>
      </c>
      <c r="V16" s="120">
        <v>1978293682</v>
      </c>
    </row>
    <row r="17" spans="1:22" x14ac:dyDescent="0.25">
      <c r="A17" s="149" t="s">
        <v>53</v>
      </c>
      <c r="B17" s="119"/>
      <c r="C17" s="123">
        <v>45527</v>
      </c>
      <c r="D17" s="120"/>
      <c r="E17" s="120"/>
      <c r="F17" s="67" t="s">
        <v>54</v>
      </c>
      <c r="G17" s="67" t="s">
        <v>55</v>
      </c>
      <c r="H17" s="121">
        <v>1478.76</v>
      </c>
      <c r="I17" s="121">
        <v>400</v>
      </c>
      <c r="J17" s="120"/>
      <c r="K17" s="207">
        <f t="shared" si="3"/>
        <v>0</v>
      </c>
      <c r="L17" s="207">
        <f t="shared" si="0"/>
        <v>0</v>
      </c>
      <c r="M17" s="207">
        <v>591.5</v>
      </c>
      <c r="N17" s="207">
        <f t="shared" si="2"/>
        <v>113.86452</v>
      </c>
      <c r="O17" s="207"/>
      <c r="P17" s="207"/>
      <c r="Q17" s="207"/>
      <c r="R17" s="154"/>
      <c r="S17" s="207"/>
      <c r="T17" s="122">
        <v>58</v>
      </c>
      <c r="U17" s="207">
        <v>690.67</v>
      </c>
      <c r="V17" s="120" t="s">
        <v>56</v>
      </c>
    </row>
    <row r="18" spans="1:22" x14ac:dyDescent="0.25">
      <c r="A18" s="149" t="s">
        <v>57</v>
      </c>
      <c r="B18" s="119"/>
      <c r="C18" s="123">
        <v>45569</v>
      </c>
      <c r="D18" s="120"/>
      <c r="E18" s="120"/>
      <c r="F18" s="67" t="s">
        <v>42</v>
      </c>
      <c r="G18" s="67" t="s">
        <v>25</v>
      </c>
      <c r="H18" s="121">
        <v>1634.96</v>
      </c>
      <c r="I18" s="121"/>
      <c r="J18" s="120"/>
      <c r="K18" s="207">
        <f t="shared" si="3"/>
        <v>0</v>
      </c>
      <c r="L18" s="207">
        <f t="shared" si="0"/>
        <v>0</v>
      </c>
      <c r="M18" s="207">
        <f>H18*40%</f>
        <v>653.98400000000004</v>
      </c>
      <c r="N18" s="207">
        <f t="shared" si="2"/>
        <v>125.89192</v>
      </c>
      <c r="O18" s="207"/>
      <c r="P18" s="207"/>
      <c r="Q18" s="207"/>
      <c r="R18" s="154"/>
      <c r="S18" s="207"/>
      <c r="T18" s="122">
        <v>100</v>
      </c>
      <c r="U18" s="207">
        <v>656.92</v>
      </c>
      <c r="V18" s="120" t="s">
        <v>58</v>
      </c>
    </row>
    <row r="19" spans="1:22" x14ac:dyDescent="0.25">
      <c r="A19" s="149" t="s">
        <v>59</v>
      </c>
      <c r="B19" s="119"/>
      <c r="C19" s="123">
        <v>45618</v>
      </c>
      <c r="D19" s="120"/>
      <c r="E19" s="120"/>
      <c r="F19" s="67" t="s">
        <v>54</v>
      </c>
      <c r="G19" s="67" t="s">
        <v>60</v>
      </c>
      <c r="H19" s="121">
        <v>2500</v>
      </c>
      <c r="I19" s="121"/>
      <c r="J19" s="120"/>
      <c r="K19" s="207">
        <f t="shared" si="3"/>
        <v>0</v>
      </c>
      <c r="L19" s="207"/>
      <c r="M19" s="207">
        <v>1000</v>
      </c>
      <c r="N19" s="207">
        <f t="shared" si="2"/>
        <v>192.5</v>
      </c>
      <c r="O19" s="207"/>
      <c r="P19" s="207"/>
      <c r="Q19" s="207"/>
      <c r="R19" s="154"/>
      <c r="S19" s="207"/>
      <c r="T19" s="122">
        <v>25.8</v>
      </c>
      <c r="U19" s="207">
        <v>1030.4000000000001</v>
      </c>
      <c r="V19" s="120" t="s">
        <v>61</v>
      </c>
    </row>
    <row r="20" spans="1:22" x14ac:dyDescent="0.25">
      <c r="A20" s="149" t="s">
        <v>62</v>
      </c>
      <c r="B20" s="136"/>
      <c r="C20" s="123">
        <v>45420</v>
      </c>
      <c r="D20" s="137"/>
      <c r="E20" s="137"/>
      <c r="F20" s="67" t="s">
        <v>54</v>
      </c>
      <c r="G20" s="67" t="s">
        <v>47</v>
      </c>
      <c r="H20" s="121">
        <v>1634.96</v>
      </c>
      <c r="I20" s="121"/>
      <c r="J20" s="120"/>
      <c r="K20" s="207">
        <f t="shared" si="3"/>
        <v>0</v>
      </c>
      <c r="L20" s="137"/>
      <c r="M20" s="207"/>
      <c r="N20" s="207">
        <f t="shared" si="2"/>
        <v>125.89192</v>
      </c>
      <c r="O20" s="137"/>
      <c r="P20" s="137"/>
      <c r="Q20" s="137"/>
      <c r="R20" s="153"/>
      <c r="S20" s="137"/>
      <c r="T20" s="138"/>
      <c r="U20" s="207">
        <v>1509</v>
      </c>
      <c r="V20" s="120">
        <v>31984452857</v>
      </c>
    </row>
    <row r="21" spans="1:22" x14ac:dyDescent="0.25">
      <c r="A21" s="149" t="s">
        <v>63</v>
      </c>
      <c r="B21" s="136"/>
      <c r="C21" s="123">
        <v>45472</v>
      </c>
      <c r="D21" s="137"/>
      <c r="E21" s="137"/>
      <c r="F21" s="67" t="s">
        <v>44</v>
      </c>
      <c r="G21" s="67" t="s">
        <v>47</v>
      </c>
      <c r="H21" s="122">
        <v>1634.96</v>
      </c>
      <c r="I21" s="122"/>
      <c r="J21" s="120"/>
      <c r="K21" s="207">
        <f>-N21-T21</f>
        <v>-325.89192000000003</v>
      </c>
      <c r="L21" s="137"/>
      <c r="M21" s="207"/>
      <c r="N21" s="207">
        <f t="shared" si="2"/>
        <v>125.89192</v>
      </c>
      <c r="O21" s="137"/>
      <c r="P21" s="137"/>
      <c r="Q21" s="137"/>
      <c r="R21" s="153"/>
      <c r="S21" s="137"/>
      <c r="T21" s="138">
        <v>200</v>
      </c>
      <c r="U21" s="207">
        <v>1210.9000000000001</v>
      </c>
      <c r="V21" s="120">
        <v>31995671213</v>
      </c>
    </row>
    <row r="22" spans="1:22" x14ac:dyDescent="0.25">
      <c r="A22" s="152" t="s">
        <v>64</v>
      </c>
      <c r="B22" s="140"/>
      <c r="C22" s="139"/>
      <c r="D22" s="139"/>
      <c r="E22" s="139"/>
      <c r="F22" s="141" t="s">
        <v>44</v>
      </c>
      <c r="G22" s="133" t="s">
        <v>65</v>
      </c>
      <c r="H22" s="142">
        <v>4000</v>
      </c>
      <c r="I22" s="142"/>
      <c r="J22" s="139"/>
      <c r="K22" s="135">
        <f t="shared" ref="K22:K28" si="6">H22/30*J22</f>
        <v>0</v>
      </c>
      <c r="L22" s="139"/>
      <c r="M22" s="135">
        <v>1600</v>
      </c>
      <c r="N22" s="135">
        <f t="shared" si="2"/>
        <v>308</v>
      </c>
      <c r="O22" s="139"/>
      <c r="P22" s="139"/>
      <c r="Q22" s="139"/>
      <c r="R22" s="152"/>
      <c r="S22" s="139"/>
      <c r="T22" s="143">
        <f>51+150</f>
        <v>201</v>
      </c>
      <c r="U22" s="135">
        <f>2348.5-150</f>
        <v>2198.5</v>
      </c>
      <c r="V22" s="120" t="s">
        <v>66</v>
      </c>
    </row>
    <row r="23" spans="1:22" x14ac:dyDescent="0.25">
      <c r="A23" s="153" t="s">
        <v>67</v>
      </c>
      <c r="B23" s="136">
        <v>46018</v>
      </c>
      <c r="C23" s="137"/>
      <c r="D23" s="137"/>
      <c r="E23" s="137"/>
      <c r="F23" s="144" t="s">
        <v>68</v>
      </c>
      <c r="G23" s="67" t="s">
        <v>25</v>
      </c>
      <c r="H23" s="145">
        <v>1634.96</v>
      </c>
      <c r="I23" s="145"/>
      <c r="J23" s="137"/>
      <c r="K23" s="207">
        <f t="shared" si="6"/>
        <v>0</v>
      </c>
      <c r="L23" s="137"/>
      <c r="M23" s="207"/>
      <c r="N23" s="207">
        <f t="shared" si="2"/>
        <v>125.89192</v>
      </c>
      <c r="O23" s="137"/>
      <c r="P23" s="137"/>
      <c r="Q23" s="137"/>
      <c r="R23" s="153"/>
      <c r="S23" s="137"/>
      <c r="T23" s="146"/>
      <c r="U23" s="207">
        <v>247.88</v>
      </c>
      <c r="V23" s="120"/>
    </row>
    <row r="24" spans="1:22" x14ac:dyDescent="0.25">
      <c r="A24" s="137"/>
      <c r="B24" s="136"/>
      <c r="C24" s="137"/>
      <c r="D24" s="137"/>
      <c r="E24" s="137"/>
      <c r="F24" s="144"/>
      <c r="G24" s="67"/>
      <c r="H24" s="147"/>
      <c r="I24" s="147"/>
      <c r="J24" s="137"/>
      <c r="K24" s="207"/>
      <c r="L24" s="137"/>
      <c r="M24" s="207"/>
      <c r="N24" s="207"/>
      <c r="O24" s="137"/>
      <c r="P24" s="137"/>
      <c r="Q24" s="137"/>
      <c r="R24" s="153"/>
      <c r="S24" s="137"/>
      <c r="T24" s="138"/>
      <c r="U24" s="207"/>
      <c r="V24" s="137"/>
    </row>
    <row r="25" spans="1:22" x14ac:dyDescent="0.25">
      <c r="A25" s="774" t="s">
        <v>69</v>
      </c>
      <c r="B25" s="774"/>
      <c r="C25" s="774"/>
      <c r="D25" s="774"/>
      <c r="E25" s="774"/>
      <c r="F25" s="774"/>
      <c r="G25" s="774"/>
      <c r="H25" s="774"/>
      <c r="I25" s="774"/>
      <c r="J25" s="774"/>
      <c r="K25" s="774"/>
      <c r="L25" s="774"/>
      <c r="M25" s="774"/>
      <c r="N25" s="774"/>
      <c r="O25" s="774"/>
      <c r="P25" s="774"/>
      <c r="Q25" s="774"/>
      <c r="R25" s="774"/>
      <c r="S25" s="774"/>
      <c r="T25" s="774"/>
      <c r="U25" s="148">
        <f>SUM(U3+U4+U5+U6+U7+U8+U9+U10+U11+U12+U13+U14+U15+U16+U17+U18+U19+U20+U21+U22+U23)</f>
        <v>18276.560000000001</v>
      </c>
      <c r="V25" s="137"/>
    </row>
    <row r="26" spans="1:22" x14ac:dyDescent="0.25">
      <c r="A26" s="89"/>
      <c r="B26" s="89"/>
      <c r="C26" s="89"/>
      <c r="D26" s="89"/>
      <c r="E26" s="89"/>
      <c r="F26" s="89"/>
      <c r="G26" s="89"/>
      <c r="H26" s="91"/>
      <c r="I26" s="91"/>
      <c r="J26" s="89"/>
      <c r="K26" s="79">
        <f t="shared" si="6"/>
        <v>0</v>
      </c>
      <c r="L26" s="89"/>
      <c r="M26" s="79"/>
      <c r="N26" s="79">
        <f t="shared" si="2"/>
        <v>0</v>
      </c>
      <c r="O26" s="89"/>
      <c r="P26" s="89"/>
      <c r="Q26" s="89"/>
      <c r="R26" s="114"/>
      <c r="S26" s="89"/>
      <c r="T26" s="89"/>
      <c r="U26" s="93" t="s">
        <v>70</v>
      </c>
      <c r="V26" s="89"/>
    </row>
    <row r="27" spans="1:22" x14ac:dyDescent="0.25">
      <c r="A27" s="89"/>
      <c r="B27" s="88"/>
      <c r="C27" s="89"/>
      <c r="D27" s="89"/>
      <c r="E27" s="89"/>
      <c r="F27" s="89"/>
      <c r="G27" s="77"/>
      <c r="H27" s="91"/>
      <c r="I27" s="91"/>
      <c r="J27" s="89"/>
      <c r="K27" s="79">
        <f t="shared" si="6"/>
        <v>0</v>
      </c>
      <c r="L27" s="89"/>
      <c r="M27" s="79"/>
      <c r="N27" s="79">
        <f t="shared" si="2"/>
        <v>0</v>
      </c>
      <c r="O27" s="89"/>
      <c r="P27" s="89"/>
      <c r="Q27" s="89"/>
      <c r="R27" s="114"/>
      <c r="S27" s="89"/>
      <c r="T27" s="89"/>
      <c r="U27" s="89"/>
      <c r="V27" s="89"/>
    </row>
    <row r="28" spans="1:22" x14ac:dyDescent="0.25">
      <c r="A28" s="89"/>
      <c r="B28" s="88"/>
      <c r="C28" s="89"/>
      <c r="D28" s="89"/>
      <c r="E28" s="89"/>
      <c r="F28" s="89"/>
      <c r="G28" s="77"/>
      <c r="H28" s="91"/>
      <c r="I28" s="91"/>
      <c r="J28" s="89"/>
      <c r="K28" s="79">
        <f t="shared" si="6"/>
        <v>0</v>
      </c>
      <c r="L28" s="89"/>
      <c r="M28" s="79"/>
      <c r="N28" s="79">
        <f t="shared" si="2"/>
        <v>0</v>
      </c>
      <c r="O28" s="89"/>
      <c r="P28" s="89"/>
      <c r="Q28" s="89"/>
      <c r="R28" s="114"/>
      <c r="S28" s="89"/>
      <c r="T28" s="89"/>
      <c r="U28" s="89"/>
      <c r="V28" s="89"/>
    </row>
    <row r="29" spans="1:22" x14ac:dyDescent="0.25">
      <c r="A29" s="72"/>
      <c r="B29" s="71"/>
      <c r="C29" s="72"/>
      <c r="D29" s="72"/>
      <c r="E29" s="72"/>
      <c r="F29" s="72"/>
      <c r="G29" s="69"/>
      <c r="H29" s="73"/>
      <c r="I29" s="73"/>
      <c r="J29" s="72"/>
      <c r="K29" s="72"/>
      <c r="L29" s="72"/>
      <c r="M29" s="70"/>
      <c r="N29" s="70">
        <f t="shared" si="2"/>
        <v>0</v>
      </c>
      <c r="O29" s="72"/>
      <c r="P29" s="72"/>
      <c r="Q29" s="72"/>
      <c r="R29" s="116"/>
      <c r="S29" s="72"/>
      <c r="T29" s="72"/>
      <c r="U29" s="72"/>
      <c r="V29" s="72"/>
    </row>
    <row r="30" spans="1:22" x14ac:dyDescent="0.25">
      <c r="A30" s="72"/>
      <c r="B30" s="71"/>
      <c r="C30" s="72"/>
      <c r="D30" s="72"/>
      <c r="E30" s="72"/>
      <c r="F30" s="72"/>
      <c r="G30" s="69"/>
      <c r="H30" s="73"/>
      <c r="I30" s="73"/>
      <c r="J30" s="72"/>
      <c r="K30" s="72"/>
      <c r="L30" s="72"/>
      <c r="M30" s="70"/>
      <c r="N30" s="70">
        <f t="shared" si="2"/>
        <v>0</v>
      </c>
      <c r="O30" s="72"/>
      <c r="P30" s="72"/>
      <c r="Q30" s="72"/>
      <c r="R30" s="116"/>
      <c r="S30" s="72"/>
      <c r="T30" s="72"/>
      <c r="U30" s="74"/>
      <c r="V30" s="72"/>
    </row>
    <row r="31" spans="1:22" x14ac:dyDescent="0.25">
      <c r="A31" s="72"/>
      <c r="B31" s="72"/>
      <c r="C31" s="72"/>
      <c r="D31" s="72"/>
      <c r="E31" s="72"/>
      <c r="F31" s="72"/>
      <c r="G31" s="69"/>
      <c r="H31" s="73"/>
      <c r="I31" s="73"/>
      <c r="J31" s="72"/>
      <c r="K31" s="72"/>
      <c r="L31" s="72"/>
      <c r="M31" s="72"/>
      <c r="N31" s="70">
        <f t="shared" si="2"/>
        <v>0</v>
      </c>
      <c r="O31" s="72"/>
      <c r="P31" s="72"/>
      <c r="Q31" s="72"/>
      <c r="R31" s="116"/>
      <c r="S31" s="72"/>
      <c r="T31" s="72"/>
      <c r="U31" s="72"/>
      <c r="V31" s="72"/>
    </row>
    <row r="32" spans="1:22" x14ac:dyDescent="0.25">
      <c r="A32" s="69" t="s">
        <v>71</v>
      </c>
      <c r="B32" s="69"/>
      <c r="C32" s="69"/>
      <c r="D32" s="69"/>
      <c r="E32" s="69"/>
      <c r="F32" s="69"/>
      <c r="G32" s="69"/>
      <c r="H32" s="109"/>
      <c r="I32" s="109"/>
      <c r="J32" s="69"/>
      <c r="K32" s="74">
        <f>SUM(K3:K30)</f>
        <v>4920.5480800000005</v>
      </c>
      <c r="L32" s="69"/>
      <c r="M32" s="69"/>
      <c r="N32" s="70">
        <f t="shared" si="2"/>
        <v>0</v>
      </c>
      <c r="O32" s="69"/>
      <c r="P32" s="69"/>
      <c r="Q32" s="69"/>
      <c r="R32" s="117"/>
      <c r="S32" s="69"/>
      <c r="T32" s="69"/>
      <c r="U32" s="74"/>
      <c r="V32" s="72"/>
    </row>
    <row r="35" spans="6:6" x14ac:dyDescent="0.25">
      <c r="F35" s="75"/>
    </row>
  </sheetData>
  <mergeCells count="2">
    <mergeCell ref="A25:T25"/>
    <mergeCell ref="A1:V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3B8A-6571-4540-9C52-82CFC0359687}">
  <sheetPr codeName="Planilha2"/>
  <dimension ref="A1:U29"/>
  <sheetViews>
    <sheetView workbookViewId="0">
      <selection activeCell="A16" sqref="A16"/>
    </sheetView>
  </sheetViews>
  <sheetFormatPr defaultRowHeight="15" x14ac:dyDescent="0.25"/>
  <cols>
    <col min="1" max="1" width="35" bestFit="1" customWidth="1"/>
    <col min="2" max="3" width="9.85546875" hidden="1" customWidth="1"/>
    <col min="4" max="4" width="10.85546875" hidden="1" customWidth="1"/>
    <col min="5" max="5" width="12.42578125" hidden="1" customWidth="1"/>
    <col min="6" max="6" width="14" bestFit="1" customWidth="1"/>
    <col min="7" max="7" width="19.140625" bestFit="1" customWidth="1"/>
    <col min="8" max="8" width="11.7109375" bestFit="1" customWidth="1"/>
    <col min="9" max="9" width="10.42578125" hidden="1" customWidth="1"/>
    <col min="11" max="11" width="13.28515625" hidden="1" customWidth="1"/>
    <col min="12" max="12" width="0" hidden="1" customWidth="1"/>
    <col min="13" max="13" width="12.85546875" hidden="1" customWidth="1"/>
    <col min="14" max="14" width="10.28515625" hidden="1" customWidth="1"/>
    <col min="15" max="15" width="0" hidden="1" customWidth="1"/>
    <col min="16" max="17" width="10.28515625" hidden="1" customWidth="1"/>
    <col min="18" max="18" width="0" hidden="1" customWidth="1"/>
    <col min="19" max="19" width="10.28515625" hidden="1" customWidth="1"/>
    <col min="20" max="20" width="13.28515625" bestFit="1" customWidth="1"/>
    <col min="21" max="21" width="23.85546875" bestFit="1" customWidth="1"/>
  </cols>
  <sheetData>
    <row r="1" spans="1:21" ht="15.75" x14ac:dyDescent="0.25">
      <c r="A1" s="776" t="s">
        <v>72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  <c r="O1" s="777"/>
      <c r="P1" s="777"/>
      <c r="Q1" s="777"/>
      <c r="R1" s="777"/>
      <c r="S1" s="777"/>
      <c r="T1" s="777"/>
      <c r="U1" s="778"/>
    </row>
    <row r="2" spans="1:21" ht="36.75" x14ac:dyDescent="0.25">
      <c r="A2" s="63" t="s">
        <v>1</v>
      </c>
      <c r="B2" s="63" t="s">
        <v>2</v>
      </c>
      <c r="C2" s="63" t="s">
        <v>3</v>
      </c>
      <c r="D2" s="63" t="s">
        <v>4</v>
      </c>
      <c r="E2" s="63" t="s">
        <v>5</v>
      </c>
      <c r="F2" s="63" t="s">
        <v>6</v>
      </c>
      <c r="G2" s="63" t="s">
        <v>7</v>
      </c>
      <c r="H2" s="64" t="s">
        <v>8</v>
      </c>
      <c r="I2" s="64" t="s">
        <v>9</v>
      </c>
      <c r="J2" s="65" t="s">
        <v>73</v>
      </c>
      <c r="K2" s="63" t="s">
        <v>11</v>
      </c>
      <c r="L2" s="63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20</v>
      </c>
      <c r="T2" s="63" t="s">
        <v>21</v>
      </c>
      <c r="U2" s="63" t="s">
        <v>22</v>
      </c>
    </row>
    <row r="3" spans="1:21" x14ac:dyDescent="0.25">
      <c r="A3" s="66" t="s">
        <v>23</v>
      </c>
      <c r="B3" s="1">
        <v>45240</v>
      </c>
      <c r="C3" s="1">
        <v>45240</v>
      </c>
      <c r="D3" s="2"/>
      <c r="E3" s="2"/>
      <c r="F3" s="2" t="s">
        <v>24</v>
      </c>
      <c r="G3" s="2" t="s">
        <v>74</v>
      </c>
      <c r="H3" s="3">
        <v>1634.96</v>
      </c>
      <c r="I3" s="3"/>
      <c r="J3" s="2">
        <v>12</v>
      </c>
      <c r="K3" s="4">
        <f>H3/30*J3</f>
        <v>653.98399999999992</v>
      </c>
      <c r="L3" s="4">
        <f>K3*6%</f>
        <v>39.239039999999996</v>
      </c>
      <c r="M3" s="4"/>
      <c r="N3" s="4"/>
      <c r="O3" s="4"/>
      <c r="P3" s="4">
        <f>7.5</f>
        <v>7.5</v>
      </c>
      <c r="Q3" s="4"/>
      <c r="R3" s="4"/>
      <c r="S3" s="5"/>
      <c r="T3" s="4">
        <v>691.52</v>
      </c>
      <c r="U3" s="2">
        <v>31991488310</v>
      </c>
    </row>
    <row r="4" spans="1:21" x14ac:dyDescent="0.25">
      <c r="A4" s="66" t="s">
        <v>26</v>
      </c>
      <c r="B4" s="1" t="s">
        <v>27</v>
      </c>
      <c r="C4" s="1" t="s">
        <v>27</v>
      </c>
      <c r="D4" s="2"/>
      <c r="E4" s="2"/>
      <c r="F4" s="2" t="s">
        <v>24</v>
      </c>
      <c r="G4" s="2" t="s">
        <v>75</v>
      </c>
      <c r="H4" s="3">
        <v>2289.4299999999998</v>
      </c>
      <c r="I4" s="3"/>
      <c r="J4" s="2">
        <v>5</v>
      </c>
      <c r="K4" s="4">
        <f>1634.96+653.98</f>
        <v>2288.94</v>
      </c>
      <c r="L4" s="4">
        <v>98.29</v>
      </c>
      <c r="M4" s="4"/>
      <c r="N4" s="4"/>
      <c r="O4" s="4"/>
      <c r="P4" s="4"/>
      <c r="Q4" s="4"/>
      <c r="R4" s="4"/>
      <c r="S4" s="5"/>
      <c r="T4" s="4">
        <v>405.33</v>
      </c>
      <c r="U4" s="2" t="s">
        <v>28</v>
      </c>
    </row>
    <row r="5" spans="1:21" x14ac:dyDescent="0.25">
      <c r="A5" s="66" t="s">
        <v>29</v>
      </c>
      <c r="B5" s="1">
        <v>45537</v>
      </c>
      <c r="C5" s="1">
        <v>45537</v>
      </c>
      <c r="D5" s="2"/>
      <c r="E5" s="2"/>
      <c r="F5" s="2" t="s">
        <v>24</v>
      </c>
      <c r="G5" s="2" t="s">
        <v>74</v>
      </c>
      <c r="H5" s="3">
        <v>1634.96</v>
      </c>
      <c r="I5" s="3"/>
      <c r="J5" s="2">
        <v>4</v>
      </c>
      <c r="K5" s="4">
        <f>H5/30*J5</f>
        <v>217.99466666666666</v>
      </c>
      <c r="L5" s="4">
        <f t="shared" ref="L5:L19" si="0">K5*6%</f>
        <v>13.07968</v>
      </c>
      <c r="M5" s="4"/>
      <c r="N5" s="4"/>
      <c r="O5" s="4"/>
      <c r="P5" s="4"/>
      <c r="Q5" s="4"/>
      <c r="R5" s="4"/>
      <c r="S5" s="5"/>
      <c r="T5" s="4">
        <v>231.63</v>
      </c>
      <c r="U5" s="2">
        <v>31984119908</v>
      </c>
    </row>
    <row r="6" spans="1:21" x14ac:dyDescent="0.25">
      <c r="A6" s="66" t="s">
        <v>30</v>
      </c>
      <c r="B6" s="1"/>
      <c r="C6" s="7"/>
      <c r="D6" s="2"/>
      <c r="E6" s="2"/>
      <c r="F6" s="2" t="s">
        <v>24</v>
      </c>
      <c r="G6" s="2" t="s">
        <v>74</v>
      </c>
      <c r="H6" s="3">
        <v>1634.96</v>
      </c>
      <c r="I6" s="3"/>
      <c r="J6" s="2">
        <v>3</v>
      </c>
      <c r="K6" s="4">
        <f>H6/30*J6</f>
        <v>163.49599999999998</v>
      </c>
      <c r="L6" s="4">
        <f t="shared" si="0"/>
        <v>9.8097599999999989</v>
      </c>
      <c r="M6" s="4"/>
      <c r="N6" s="4"/>
      <c r="O6" s="4"/>
      <c r="P6" s="4"/>
      <c r="Q6" s="4"/>
      <c r="R6" s="4"/>
      <c r="S6" s="5"/>
      <c r="T6" s="4">
        <v>173.72</v>
      </c>
      <c r="U6" s="2" t="s">
        <v>31</v>
      </c>
    </row>
    <row r="7" spans="1:21" x14ac:dyDescent="0.25">
      <c r="A7" s="66" t="s">
        <v>32</v>
      </c>
      <c r="B7" s="1">
        <v>44953</v>
      </c>
      <c r="C7" s="1">
        <v>44953</v>
      </c>
      <c r="D7" s="7"/>
      <c r="E7" s="2"/>
      <c r="F7" s="2" t="s">
        <v>33</v>
      </c>
      <c r="G7" s="2" t="s">
        <v>74</v>
      </c>
      <c r="H7" s="5">
        <v>1634.96</v>
      </c>
      <c r="I7" s="5">
        <v>500</v>
      </c>
      <c r="J7" s="2">
        <v>12</v>
      </c>
      <c r="K7" s="4">
        <f>H7/30*J7</f>
        <v>653.98399999999992</v>
      </c>
      <c r="L7" s="4">
        <f t="shared" si="0"/>
        <v>39.239039999999996</v>
      </c>
      <c r="M7" s="4"/>
      <c r="N7" s="4"/>
      <c r="O7" s="4"/>
      <c r="P7" s="4">
        <v>108.56</v>
      </c>
      <c r="Q7" s="4">
        <f>14.864*24</f>
        <v>356.73599999999999</v>
      </c>
      <c r="R7" s="4"/>
      <c r="S7" s="5"/>
      <c r="T7" s="4">
        <v>730</v>
      </c>
      <c r="U7" s="2">
        <v>17417557600</v>
      </c>
    </row>
    <row r="8" spans="1:21" x14ac:dyDescent="0.25">
      <c r="A8" s="66" t="s">
        <v>34</v>
      </c>
      <c r="B8" s="1">
        <v>45370</v>
      </c>
      <c r="C8" s="1">
        <v>45370</v>
      </c>
      <c r="D8" s="7"/>
      <c r="E8" s="7"/>
      <c r="F8" s="2" t="s">
        <v>35</v>
      </c>
      <c r="G8" s="2" t="s">
        <v>74</v>
      </c>
      <c r="H8" s="5">
        <v>1634.96</v>
      </c>
      <c r="I8" s="5"/>
      <c r="J8" s="2">
        <v>9</v>
      </c>
      <c r="K8" s="4">
        <f>H8/30*J8</f>
        <v>490.488</v>
      </c>
      <c r="L8" s="4">
        <f t="shared" si="0"/>
        <v>29.429279999999999</v>
      </c>
      <c r="M8" s="4"/>
      <c r="N8" s="4"/>
      <c r="O8" s="4"/>
      <c r="P8" s="4"/>
      <c r="Q8" s="4"/>
      <c r="R8" s="4"/>
      <c r="S8" s="5"/>
      <c r="T8" s="4">
        <v>521.15</v>
      </c>
      <c r="U8" s="2">
        <v>16651003623</v>
      </c>
    </row>
    <row r="9" spans="1:21" x14ac:dyDescent="0.25">
      <c r="A9" s="13" t="s">
        <v>38</v>
      </c>
      <c r="B9" s="8"/>
      <c r="C9" s="9">
        <v>45632</v>
      </c>
      <c r="D9" s="9"/>
      <c r="E9" s="9"/>
      <c r="F9" s="10" t="s">
        <v>35</v>
      </c>
      <c r="G9" s="10" t="s">
        <v>74</v>
      </c>
      <c r="H9" s="11">
        <v>1634.96</v>
      </c>
      <c r="I9" s="11"/>
      <c r="J9" s="10">
        <v>1</v>
      </c>
      <c r="K9" s="12">
        <v>1478.75</v>
      </c>
      <c r="L9" s="12">
        <f t="shared" si="0"/>
        <v>88.724999999999994</v>
      </c>
      <c r="M9" s="12"/>
      <c r="N9" s="12"/>
      <c r="O9" s="12"/>
      <c r="P9" s="12"/>
      <c r="Q9" s="12"/>
      <c r="R9" s="12"/>
      <c r="S9" s="11"/>
      <c r="T9" s="4">
        <v>126.04</v>
      </c>
      <c r="U9" s="10">
        <v>31981052930</v>
      </c>
    </row>
    <row r="10" spans="1:21" x14ac:dyDescent="0.25">
      <c r="A10" s="13" t="s">
        <v>39</v>
      </c>
      <c r="B10" s="8"/>
      <c r="C10" s="9"/>
      <c r="D10" s="9"/>
      <c r="E10" s="10"/>
      <c r="F10" s="10" t="s">
        <v>35</v>
      </c>
      <c r="G10" s="10" t="s">
        <v>74</v>
      </c>
      <c r="H10" s="11">
        <v>1498</v>
      </c>
      <c r="I10" s="11"/>
      <c r="J10" s="10">
        <v>12</v>
      </c>
      <c r="K10" s="12">
        <v>1478.75</v>
      </c>
      <c r="L10" s="12">
        <f t="shared" si="0"/>
        <v>88.724999999999994</v>
      </c>
      <c r="M10" s="12"/>
      <c r="N10" s="12"/>
      <c r="O10" s="12"/>
      <c r="P10" s="12"/>
      <c r="Q10" s="12"/>
      <c r="R10" s="12"/>
      <c r="S10" s="11"/>
      <c r="T10" s="4">
        <v>749</v>
      </c>
      <c r="U10" s="10" t="s">
        <v>40</v>
      </c>
    </row>
    <row r="11" spans="1:21" x14ac:dyDescent="0.25">
      <c r="A11" s="13" t="s">
        <v>41</v>
      </c>
      <c r="B11" s="8">
        <v>45621</v>
      </c>
      <c r="C11" s="9"/>
      <c r="D11" s="9"/>
      <c r="E11" s="9"/>
      <c r="F11" s="10" t="s">
        <v>42</v>
      </c>
      <c r="G11" s="10" t="s">
        <v>74</v>
      </c>
      <c r="H11" s="11">
        <v>1634.96</v>
      </c>
      <c r="I11" s="11"/>
      <c r="J11" s="10">
        <v>1</v>
      </c>
      <c r="K11" s="12">
        <f t="shared" ref="K11:K20" si="1">H11/30*J11</f>
        <v>54.498666666666665</v>
      </c>
      <c r="L11" s="12">
        <f>K11*6%</f>
        <v>3.2699199999999999</v>
      </c>
      <c r="M11" s="11"/>
      <c r="N11" s="12"/>
      <c r="O11" s="10"/>
      <c r="P11" s="10"/>
      <c r="Q11" s="12"/>
      <c r="R11" s="12"/>
      <c r="S11" s="11"/>
      <c r="T11" s="4">
        <v>126.04</v>
      </c>
      <c r="U11" s="10">
        <v>10105933660</v>
      </c>
    </row>
    <row r="12" spans="1:21" x14ac:dyDescent="0.25">
      <c r="A12" s="66" t="s">
        <v>43</v>
      </c>
      <c r="B12" s="1"/>
      <c r="C12" s="7">
        <v>45474</v>
      </c>
      <c r="D12" s="7"/>
      <c r="E12" s="2"/>
      <c r="F12" s="2" t="s">
        <v>54</v>
      </c>
      <c r="G12" s="2" t="s">
        <v>45</v>
      </c>
      <c r="H12" s="3">
        <v>1600</v>
      </c>
      <c r="I12" s="3"/>
      <c r="J12" s="2">
        <v>6</v>
      </c>
      <c r="K12" s="4">
        <f t="shared" si="1"/>
        <v>320</v>
      </c>
      <c r="L12" s="4">
        <f t="shared" si="0"/>
        <v>19.2</v>
      </c>
      <c r="M12" s="4"/>
      <c r="N12" s="4"/>
      <c r="O12" s="4"/>
      <c r="P12" s="4"/>
      <c r="Q12" s="4"/>
      <c r="R12" s="4"/>
      <c r="S12" s="5"/>
      <c r="T12" s="4">
        <v>340</v>
      </c>
      <c r="U12" s="2">
        <v>70554723697</v>
      </c>
    </row>
    <row r="13" spans="1:21" x14ac:dyDescent="0.25">
      <c r="A13" s="66" t="s">
        <v>76</v>
      </c>
      <c r="B13" s="1"/>
      <c r="C13" s="7">
        <v>45566</v>
      </c>
      <c r="D13" s="7"/>
      <c r="E13" s="7"/>
      <c r="F13" s="2" t="s">
        <v>54</v>
      </c>
      <c r="G13" s="2" t="s">
        <v>77</v>
      </c>
      <c r="H13" s="3">
        <v>1634.96</v>
      </c>
      <c r="I13" s="3">
        <v>400</v>
      </c>
      <c r="J13" s="2">
        <v>3</v>
      </c>
      <c r="K13" s="4">
        <f t="shared" si="1"/>
        <v>163.49599999999998</v>
      </c>
      <c r="L13" s="4">
        <f t="shared" si="0"/>
        <v>9.8097599999999989</v>
      </c>
      <c r="M13" s="4"/>
      <c r="N13" s="4"/>
      <c r="O13" s="4"/>
      <c r="P13" s="4"/>
      <c r="Q13" s="4"/>
      <c r="R13" s="4"/>
      <c r="S13" s="5"/>
      <c r="T13" s="4">
        <v>173.72</v>
      </c>
      <c r="U13" s="2">
        <v>8931557566</v>
      </c>
    </row>
    <row r="14" spans="1:21" x14ac:dyDescent="0.25">
      <c r="A14" s="66" t="s">
        <v>46</v>
      </c>
      <c r="B14" s="1"/>
      <c r="C14" s="7">
        <v>45497</v>
      </c>
      <c r="D14" s="7"/>
      <c r="E14" s="7"/>
      <c r="F14" s="2" t="s">
        <v>42</v>
      </c>
      <c r="G14" s="2" t="s">
        <v>78</v>
      </c>
      <c r="H14" s="3">
        <v>1634.96</v>
      </c>
      <c r="I14" s="3"/>
      <c r="J14" s="2">
        <v>5</v>
      </c>
      <c r="K14" s="4">
        <f t="shared" si="1"/>
        <v>272.49333333333334</v>
      </c>
      <c r="L14" s="4">
        <f t="shared" si="0"/>
        <v>16.349599999999999</v>
      </c>
      <c r="M14" s="4"/>
      <c r="N14" s="4"/>
      <c r="O14" s="4"/>
      <c r="P14" s="4"/>
      <c r="Q14" s="4"/>
      <c r="R14" s="4"/>
      <c r="S14" s="5"/>
      <c r="T14" s="4">
        <v>289.52</v>
      </c>
      <c r="U14" s="2">
        <v>11282952617</v>
      </c>
    </row>
    <row r="15" spans="1:21" x14ac:dyDescent="0.25">
      <c r="A15" s="66" t="s">
        <v>49</v>
      </c>
      <c r="B15" s="1"/>
      <c r="C15" s="7">
        <v>45472</v>
      </c>
      <c r="D15" s="2"/>
      <c r="E15" s="2"/>
      <c r="F15" s="2" t="s">
        <v>54</v>
      </c>
      <c r="G15" s="2" t="s">
        <v>78</v>
      </c>
      <c r="H15" s="3">
        <v>1634.96</v>
      </c>
      <c r="I15" s="3"/>
      <c r="J15" s="2">
        <v>6</v>
      </c>
      <c r="K15" s="4">
        <f t="shared" si="1"/>
        <v>326.99199999999996</v>
      </c>
      <c r="L15" s="4">
        <f t="shared" si="0"/>
        <v>19.619519999999998</v>
      </c>
      <c r="M15" s="4"/>
      <c r="N15" s="4"/>
      <c r="O15" s="4"/>
      <c r="P15" s="4"/>
      <c r="Q15" s="4"/>
      <c r="R15" s="4"/>
      <c r="S15" s="5"/>
      <c r="T15" s="4">
        <v>347.43</v>
      </c>
      <c r="U15" s="2"/>
    </row>
    <row r="16" spans="1:21" x14ac:dyDescent="0.25">
      <c r="A16" s="66" t="s">
        <v>50</v>
      </c>
      <c r="B16" s="1"/>
      <c r="C16" s="7">
        <v>45534</v>
      </c>
      <c r="D16" s="2"/>
      <c r="E16" s="2"/>
      <c r="F16" s="2" t="s">
        <v>54</v>
      </c>
      <c r="G16" s="2" t="s">
        <v>79</v>
      </c>
      <c r="H16" s="3">
        <v>1600</v>
      </c>
      <c r="I16" s="3"/>
      <c r="J16" s="2">
        <v>4</v>
      </c>
      <c r="K16" s="4">
        <f t="shared" si="1"/>
        <v>213.33333333333334</v>
      </c>
      <c r="L16" s="4">
        <f t="shared" si="0"/>
        <v>12.8</v>
      </c>
      <c r="M16" s="4"/>
      <c r="N16" s="4"/>
      <c r="O16" s="4"/>
      <c r="P16" s="4"/>
      <c r="Q16" s="4"/>
      <c r="R16" s="4"/>
      <c r="S16" s="5"/>
      <c r="T16" s="4">
        <v>246.88</v>
      </c>
      <c r="U16" s="2">
        <v>31993083878</v>
      </c>
    </row>
    <row r="17" spans="1:21" x14ac:dyDescent="0.25">
      <c r="A17" s="66" t="s">
        <v>53</v>
      </c>
      <c r="B17" s="1"/>
      <c r="C17" s="7">
        <v>45527</v>
      </c>
      <c r="D17" s="2"/>
      <c r="E17" s="2"/>
      <c r="F17" s="2" t="s">
        <v>54</v>
      </c>
      <c r="G17" s="2" t="s">
        <v>55</v>
      </c>
      <c r="H17" s="3">
        <v>1478.76</v>
      </c>
      <c r="I17" s="3">
        <v>400</v>
      </c>
      <c r="J17" s="2">
        <v>4</v>
      </c>
      <c r="K17" s="4">
        <f t="shared" si="1"/>
        <v>197.16800000000001</v>
      </c>
      <c r="L17" s="4">
        <f t="shared" si="0"/>
        <v>11.830080000000001</v>
      </c>
      <c r="M17" s="4"/>
      <c r="N17" s="4"/>
      <c r="O17" s="4"/>
      <c r="P17" s="4"/>
      <c r="Q17" s="4"/>
      <c r="R17" s="4"/>
      <c r="S17" s="5"/>
      <c r="T17" s="4">
        <v>209.5</v>
      </c>
      <c r="U17" s="2" t="s">
        <v>56</v>
      </c>
    </row>
    <row r="18" spans="1:21" x14ac:dyDescent="0.25">
      <c r="A18" s="66" t="s">
        <v>57</v>
      </c>
      <c r="B18" s="1"/>
      <c r="C18" s="7">
        <v>45569</v>
      </c>
      <c r="D18" s="2"/>
      <c r="E18" s="2"/>
      <c r="F18" s="2" t="s">
        <v>42</v>
      </c>
      <c r="G18" s="2" t="s">
        <v>77</v>
      </c>
      <c r="H18" s="3">
        <v>1634.96</v>
      </c>
      <c r="I18" s="3"/>
      <c r="J18" s="2">
        <v>3</v>
      </c>
      <c r="K18" s="4">
        <f t="shared" si="1"/>
        <v>163.49599999999998</v>
      </c>
      <c r="L18" s="4">
        <f t="shared" si="0"/>
        <v>9.8097599999999989</v>
      </c>
      <c r="M18" s="4"/>
      <c r="N18" s="4"/>
      <c r="O18" s="4"/>
      <c r="P18" s="4"/>
      <c r="Q18" s="4"/>
      <c r="R18" s="4"/>
      <c r="S18" s="5"/>
      <c r="T18" s="4">
        <v>173.72</v>
      </c>
      <c r="U18" s="2" t="s">
        <v>58</v>
      </c>
    </row>
    <row r="19" spans="1:21" x14ac:dyDescent="0.25">
      <c r="A19" s="66" t="s">
        <v>59</v>
      </c>
      <c r="B19" s="1"/>
      <c r="C19" s="7">
        <v>45618</v>
      </c>
      <c r="D19" s="2"/>
      <c r="E19" s="2"/>
      <c r="F19" s="2" t="s">
        <v>54</v>
      </c>
      <c r="G19" s="2" t="s">
        <v>80</v>
      </c>
      <c r="H19" s="3">
        <v>2500</v>
      </c>
      <c r="I19" s="3"/>
      <c r="J19" s="2">
        <v>1</v>
      </c>
      <c r="K19" s="4">
        <f t="shared" si="1"/>
        <v>83.333333333333329</v>
      </c>
      <c r="L19" s="4">
        <f t="shared" si="0"/>
        <v>4.9999999999999991</v>
      </c>
      <c r="M19" s="4"/>
      <c r="N19" s="4"/>
      <c r="O19" s="4"/>
      <c r="P19" s="4"/>
      <c r="Q19" s="4"/>
      <c r="R19" s="4"/>
      <c r="S19" s="2"/>
      <c r="T19" s="4">
        <f t="shared" ref="T19:T22" si="2">H19/30*J19</f>
        <v>83.333333333333329</v>
      </c>
      <c r="U19" s="2" t="s">
        <v>61</v>
      </c>
    </row>
    <row r="20" spans="1:21" x14ac:dyDescent="0.25">
      <c r="A20" s="66" t="s">
        <v>62</v>
      </c>
      <c r="B20" s="14"/>
      <c r="C20" s="7">
        <v>45420</v>
      </c>
      <c r="D20" s="15"/>
      <c r="E20" s="15"/>
      <c r="F20" s="2" t="s">
        <v>54</v>
      </c>
      <c r="G20" s="2" t="s">
        <v>77</v>
      </c>
      <c r="H20" s="3">
        <v>1634.96</v>
      </c>
      <c r="I20" s="3"/>
      <c r="J20" s="2">
        <v>12</v>
      </c>
      <c r="K20" s="4">
        <f t="shared" si="1"/>
        <v>653.98399999999992</v>
      </c>
      <c r="L20" s="15"/>
      <c r="M20" s="4"/>
      <c r="N20" s="4"/>
      <c r="O20" s="15"/>
      <c r="P20" s="15"/>
      <c r="Q20" s="15"/>
      <c r="R20" s="15"/>
      <c r="S20" s="15"/>
      <c r="T20" s="4">
        <v>691.52</v>
      </c>
      <c r="U20" s="2">
        <v>31984452857</v>
      </c>
    </row>
    <row r="21" spans="1:21" x14ac:dyDescent="0.25">
      <c r="A21" s="66" t="s">
        <v>63</v>
      </c>
      <c r="B21" s="14"/>
      <c r="C21" s="7">
        <v>45472</v>
      </c>
      <c r="D21" s="15"/>
      <c r="E21" s="15"/>
      <c r="F21" s="2" t="s">
        <v>54</v>
      </c>
      <c r="G21" s="2" t="s">
        <v>77</v>
      </c>
      <c r="H21" s="5">
        <v>1634.96</v>
      </c>
      <c r="I21" s="5"/>
      <c r="J21" s="2">
        <v>6</v>
      </c>
      <c r="K21" s="4">
        <f>-N21-S21</f>
        <v>0</v>
      </c>
      <c r="L21" s="15"/>
      <c r="M21" s="4"/>
      <c r="N21" s="4"/>
      <c r="O21" s="15"/>
      <c r="P21" s="15"/>
      <c r="Q21" s="15"/>
      <c r="R21" s="15"/>
      <c r="S21" s="15"/>
      <c r="T21" s="4">
        <v>347.43</v>
      </c>
      <c r="U21" s="2">
        <v>31995671213</v>
      </c>
    </row>
    <row r="22" spans="1:21" x14ac:dyDescent="0.25">
      <c r="A22" s="16"/>
      <c r="B22" s="17"/>
      <c r="C22" s="16"/>
      <c r="D22" s="16"/>
      <c r="E22" s="16"/>
      <c r="F22" s="16"/>
      <c r="G22" s="18"/>
      <c r="H22" s="19"/>
      <c r="I22" s="19"/>
      <c r="J22" s="16"/>
      <c r="K22" s="4">
        <f t="shared" ref="K22:K25" si="3">H22/30*J22</f>
        <v>0</v>
      </c>
      <c r="L22" s="16"/>
      <c r="M22" s="4"/>
      <c r="N22" s="4"/>
      <c r="O22" s="16"/>
      <c r="P22" s="16"/>
      <c r="Q22" s="16"/>
      <c r="R22" s="16"/>
      <c r="S22" s="16"/>
      <c r="T22" s="4">
        <f t="shared" si="2"/>
        <v>0</v>
      </c>
      <c r="U22" s="16"/>
    </row>
    <row r="23" spans="1:21" x14ac:dyDescent="0.25">
      <c r="A23" s="20"/>
      <c r="B23" s="21"/>
      <c r="C23" s="21"/>
      <c r="D23" s="21"/>
      <c r="E23" s="21"/>
      <c r="F23" s="21"/>
      <c r="G23" s="22"/>
      <c r="H23" s="23"/>
      <c r="I23" s="24"/>
      <c r="J23" s="25"/>
      <c r="K23" s="26">
        <f t="shared" si="3"/>
        <v>0</v>
      </c>
      <c r="L23" s="25"/>
      <c r="M23" s="26">
        <f t="shared" ref="M23:M27" si="4">H23*40%</f>
        <v>0</v>
      </c>
      <c r="N23" s="26">
        <f t="shared" ref="N23:N29" si="5">H23*7.7%</f>
        <v>0</v>
      </c>
      <c r="O23" s="25"/>
      <c r="P23" s="25"/>
      <c r="Q23" s="25"/>
      <c r="R23" s="25"/>
      <c r="S23" s="25"/>
      <c r="T23" s="27"/>
      <c r="U23" s="25"/>
    </row>
    <row r="24" spans="1:21" x14ac:dyDescent="0.25">
      <c r="A24" s="25"/>
      <c r="B24" s="28"/>
      <c r="C24" s="25"/>
      <c r="D24" s="25"/>
      <c r="E24" s="25"/>
      <c r="F24" s="25"/>
      <c r="G24" s="208"/>
      <c r="H24" s="23"/>
      <c r="I24" s="24"/>
      <c r="J24" s="25"/>
      <c r="K24" s="26">
        <f t="shared" si="3"/>
        <v>0</v>
      </c>
      <c r="L24" s="25"/>
      <c r="M24" s="26">
        <f t="shared" si="4"/>
        <v>0</v>
      </c>
      <c r="N24" s="26">
        <f t="shared" si="5"/>
        <v>0</v>
      </c>
      <c r="O24" s="25"/>
      <c r="P24" s="25"/>
      <c r="Q24" s="25"/>
      <c r="R24" s="25"/>
      <c r="S24" s="25"/>
      <c r="U24" s="25"/>
    </row>
    <row r="25" spans="1:21" x14ac:dyDescent="0.25">
      <c r="A25" s="25"/>
      <c r="B25" s="28"/>
      <c r="C25" s="25"/>
      <c r="D25" s="25"/>
      <c r="E25" s="25"/>
      <c r="F25" s="25"/>
      <c r="G25" s="208"/>
      <c r="H25" s="23"/>
      <c r="I25" s="24"/>
      <c r="J25" s="25"/>
      <c r="K25" s="29">
        <f t="shared" si="3"/>
        <v>0</v>
      </c>
      <c r="L25" s="25"/>
      <c r="M25" s="26">
        <f t="shared" si="4"/>
        <v>0</v>
      </c>
      <c r="N25" s="26">
        <f t="shared" si="5"/>
        <v>0</v>
      </c>
      <c r="O25" s="25"/>
      <c r="P25" s="25"/>
      <c r="Q25" s="25"/>
      <c r="R25" s="25"/>
      <c r="S25" s="25"/>
      <c r="U25" s="25"/>
    </row>
    <row r="26" spans="1:21" x14ac:dyDescent="0.25">
      <c r="A26" s="25"/>
      <c r="B26" s="28"/>
      <c r="C26" s="25"/>
      <c r="D26" s="25"/>
      <c r="E26" s="25"/>
      <c r="F26" s="25"/>
      <c r="G26" s="208"/>
      <c r="H26" s="23"/>
      <c r="I26" s="24"/>
      <c r="J26" s="25"/>
      <c r="K26" s="25"/>
      <c r="L26" s="25"/>
      <c r="M26" s="26">
        <f t="shared" si="4"/>
        <v>0</v>
      </c>
      <c r="N26" s="26">
        <f t="shared" si="5"/>
        <v>0</v>
      </c>
      <c r="O26" s="25"/>
      <c r="P26" s="25"/>
      <c r="Q26" s="25"/>
      <c r="R26" s="25"/>
      <c r="S26" s="25"/>
      <c r="U26" s="25"/>
    </row>
    <row r="27" spans="1:21" x14ac:dyDescent="0.25">
      <c r="A27" s="25"/>
      <c r="B27" s="28"/>
      <c r="C27" s="25"/>
      <c r="D27" s="25"/>
      <c r="E27" s="25"/>
      <c r="F27" s="25"/>
      <c r="G27" s="208"/>
      <c r="H27" s="23"/>
      <c r="I27" s="24"/>
      <c r="J27" s="25"/>
      <c r="K27" s="25"/>
      <c r="L27" s="25"/>
      <c r="M27" s="26">
        <f t="shared" si="4"/>
        <v>0</v>
      </c>
      <c r="N27" s="26">
        <f t="shared" si="5"/>
        <v>0</v>
      </c>
      <c r="O27" s="25"/>
      <c r="P27" s="25"/>
      <c r="Q27" s="25"/>
      <c r="R27" s="25"/>
      <c r="S27" s="25"/>
      <c r="T27" s="30"/>
      <c r="U27" s="25"/>
    </row>
    <row r="28" spans="1:21" x14ac:dyDescent="0.25">
      <c r="A28" s="25"/>
      <c r="B28" s="25"/>
      <c r="C28" s="25"/>
      <c r="D28" s="25"/>
      <c r="E28" s="25"/>
      <c r="F28" s="25"/>
      <c r="G28" s="208"/>
      <c r="H28" s="23"/>
      <c r="I28" s="24"/>
      <c r="J28" s="25"/>
      <c r="K28" s="25"/>
      <c r="L28" s="25"/>
      <c r="M28" s="25"/>
      <c r="N28" s="26">
        <f t="shared" si="5"/>
        <v>0</v>
      </c>
      <c r="O28" s="25"/>
      <c r="P28" s="25"/>
      <c r="Q28" s="25"/>
      <c r="R28" s="25"/>
      <c r="S28" s="25"/>
      <c r="U28" s="25"/>
    </row>
    <row r="29" spans="1:21" x14ac:dyDescent="0.25">
      <c r="A29" s="31" t="s">
        <v>71</v>
      </c>
      <c r="B29" s="32"/>
      <c r="C29" s="32"/>
      <c r="D29" s="32"/>
      <c r="E29" s="32"/>
      <c r="F29" s="32"/>
      <c r="G29" s="32"/>
      <c r="H29" s="33"/>
      <c r="I29" s="33"/>
      <c r="J29" s="34"/>
      <c r="K29" s="35">
        <f>SUM(K3:K27)</f>
        <v>9875.1813333333339</v>
      </c>
      <c r="L29" s="34"/>
      <c r="M29" s="32"/>
      <c r="N29" s="26">
        <f t="shared" si="5"/>
        <v>0</v>
      </c>
      <c r="O29" s="32"/>
      <c r="P29" s="32"/>
      <c r="Q29" s="32"/>
      <c r="R29" s="32"/>
      <c r="S29" s="32"/>
      <c r="T29" s="35">
        <f>SUM(T3:T21)</f>
        <v>6657.4833333333336</v>
      </c>
      <c r="U29" s="25"/>
    </row>
  </sheetData>
  <autoFilter ref="A2:U29" xr:uid="{12DC3B8A-6571-4540-9C52-82CFC0359687}"/>
  <mergeCells count="1">
    <mergeCell ref="A1:U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047E-EEC9-4EB5-8E39-790574A310E0}">
  <sheetPr codeName="Planilha3"/>
  <dimension ref="A1:Y27"/>
  <sheetViews>
    <sheetView workbookViewId="0">
      <selection activeCell="A2" sqref="A2:I21"/>
    </sheetView>
  </sheetViews>
  <sheetFormatPr defaultRowHeight="15" x14ac:dyDescent="0.25"/>
  <cols>
    <col min="1" max="1" width="35" bestFit="1" customWidth="1"/>
    <col min="2" max="3" width="9.85546875" hidden="1" customWidth="1"/>
    <col min="4" max="4" width="9.85546875" style="163" hidden="1" customWidth="1"/>
    <col min="5" max="5" width="10.85546875" hidden="1" customWidth="1"/>
    <col min="6" max="6" width="16.7109375" hidden="1" customWidth="1"/>
    <col min="7" max="7" width="16.140625" customWidth="1"/>
    <col min="8" max="8" width="19.140625" customWidth="1"/>
    <col min="9" max="9" width="11.7109375" customWidth="1"/>
    <col min="10" max="10" width="10.42578125" customWidth="1"/>
    <col min="11" max="11" width="9.140625" customWidth="1"/>
    <col min="12" max="12" width="13.28515625" customWidth="1"/>
    <col min="13" max="13" width="9.140625" customWidth="1"/>
    <col min="14" max="14" width="12.85546875" customWidth="1"/>
    <col min="15" max="15" width="10.28515625" customWidth="1"/>
    <col min="16" max="16" width="9.140625" customWidth="1"/>
    <col min="17" max="17" width="9.7109375" customWidth="1"/>
    <col min="18" max="18" width="10.28515625" customWidth="1"/>
    <col min="19" max="19" width="20" style="118" customWidth="1"/>
    <col min="20" max="20" width="4.5703125" bestFit="1" customWidth="1"/>
    <col min="21" max="21" width="10.28515625" customWidth="1"/>
    <col min="22" max="22" width="15" customWidth="1"/>
    <col min="23" max="23" width="20" customWidth="1"/>
    <col min="24" max="24" width="13" customWidth="1"/>
  </cols>
  <sheetData>
    <row r="1" spans="1:25" ht="24" x14ac:dyDescent="0.4">
      <c r="A1" s="775" t="s">
        <v>81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176"/>
    </row>
    <row r="2" spans="1:25" x14ac:dyDescent="0.25">
      <c r="A2" s="67" t="s">
        <v>1</v>
      </c>
      <c r="B2" s="67" t="s">
        <v>2</v>
      </c>
      <c r="C2" s="67" t="s">
        <v>3</v>
      </c>
      <c r="D2" s="161" t="s">
        <v>82</v>
      </c>
      <c r="E2" s="67" t="s">
        <v>83</v>
      </c>
      <c r="F2" s="67" t="s">
        <v>5</v>
      </c>
      <c r="G2" s="67" t="s">
        <v>6</v>
      </c>
      <c r="H2" s="67" t="s">
        <v>7</v>
      </c>
      <c r="I2" s="68" t="s">
        <v>8</v>
      </c>
      <c r="J2" s="68" t="s">
        <v>9</v>
      </c>
      <c r="K2" s="67" t="s">
        <v>10</v>
      </c>
      <c r="L2" s="67" t="s">
        <v>11</v>
      </c>
      <c r="M2" s="67" t="s">
        <v>12</v>
      </c>
      <c r="N2" s="67" t="s">
        <v>13</v>
      </c>
      <c r="O2" s="67" t="s">
        <v>14</v>
      </c>
      <c r="P2" s="67" t="s">
        <v>15</v>
      </c>
      <c r="Q2" s="67" t="s">
        <v>16</v>
      </c>
      <c r="R2" s="67" t="s">
        <v>17</v>
      </c>
      <c r="S2" s="110" t="s">
        <v>18</v>
      </c>
      <c r="T2" s="67" t="s">
        <v>19</v>
      </c>
      <c r="U2" s="67" t="s">
        <v>20</v>
      </c>
      <c r="V2" s="67" t="s">
        <v>21</v>
      </c>
      <c r="W2" s="67" t="s">
        <v>22</v>
      </c>
      <c r="X2" s="68" t="s">
        <v>84</v>
      </c>
    </row>
    <row r="3" spans="1:25" x14ac:dyDescent="0.25">
      <c r="A3" s="105" t="s">
        <v>23</v>
      </c>
      <c r="B3" s="76">
        <v>45240</v>
      </c>
      <c r="C3" s="76">
        <v>45240</v>
      </c>
      <c r="D3" s="76"/>
      <c r="E3" s="80">
        <v>300</v>
      </c>
      <c r="F3" s="77"/>
      <c r="G3" s="69" t="s">
        <v>24</v>
      </c>
      <c r="H3" s="69" t="s">
        <v>25</v>
      </c>
      <c r="I3" s="78">
        <v>1634.96</v>
      </c>
      <c r="J3" s="78">
        <v>300</v>
      </c>
      <c r="K3" s="77"/>
      <c r="L3" s="79">
        <f>I3/30*K3</f>
        <v>0</v>
      </c>
      <c r="M3" s="79">
        <f>L3*6%</f>
        <v>0</v>
      </c>
      <c r="N3" s="79">
        <v>653.98</v>
      </c>
      <c r="O3" s="79">
        <f>I3*7.7%</f>
        <v>125.89192</v>
      </c>
      <c r="P3" s="79"/>
      <c r="Q3" s="79"/>
      <c r="R3" s="79"/>
      <c r="S3" s="111"/>
      <c r="T3" s="79"/>
      <c r="U3" s="80"/>
      <c r="V3" s="79">
        <v>758.51</v>
      </c>
      <c r="W3" s="77">
        <v>31991488310</v>
      </c>
      <c r="X3" s="80"/>
    </row>
    <row r="4" spans="1:25" x14ac:dyDescent="0.25">
      <c r="A4" s="105" t="s">
        <v>26</v>
      </c>
      <c r="B4" s="76" t="s">
        <v>27</v>
      </c>
      <c r="C4" s="76" t="s">
        <v>27</v>
      </c>
      <c r="D4" s="76"/>
      <c r="E4" s="80"/>
      <c r="F4" s="77"/>
      <c r="G4" s="69" t="s">
        <v>24</v>
      </c>
      <c r="H4" s="69" t="s">
        <v>25</v>
      </c>
      <c r="I4" s="78">
        <v>2289.4299999999998</v>
      </c>
      <c r="J4" s="78"/>
      <c r="K4" s="77"/>
      <c r="L4" s="79">
        <f>1634.96+653.98</f>
        <v>2288.94</v>
      </c>
      <c r="M4" s="79">
        <v>98.29</v>
      </c>
      <c r="N4" s="79">
        <v>653.98</v>
      </c>
      <c r="O4" s="79">
        <f>I4*8.07%</f>
        <v>184.757001</v>
      </c>
      <c r="P4" s="79"/>
      <c r="Q4" s="79"/>
      <c r="R4" s="79"/>
      <c r="S4" s="111"/>
      <c r="T4" s="79"/>
      <c r="U4" s="80">
        <v>60</v>
      </c>
      <c r="V4" s="79">
        <v>1293.6300000000001</v>
      </c>
      <c r="W4" s="77" t="s">
        <v>28</v>
      </c>
      <c r="X4" s="80"/>
    </row>
    <row r="5" spans="1:25" x14ac:dyDescent="0.25">
      <c r="A5" s="105" t="s">
        <v>30</v>
      </c>
      <c r="B5" s="76"/>
      <c r="C5" s="81"/>
      <c r="D5" s="76"/>
      <c r="E5" s="80"/>
      <c r="F5" s="77"/>
      <c r="G5" s="69" t="s">
        <v>24</v>
      </c>
      <c r="H5" s="69" t="s">
        <v>25</v>
      </c>
      <c r="I5" s="78">
        <v>1634.96</v>
      </c>
      <c r="J5" s="78"/>
      <c r="K5" s="77"/>
      <c r="L5" s="79">
        <f>I5/30*K5</f>
        <v>0</v>
      </c>
      <c r="M5" s="79">
        <f t="shared" ref="M5:M13" si="0">L5*6%</f>
        <v>0</v>
      </c>
      <c r="N5" s="79">
        <v>653.98</v>
      </c>
      <c r="O5" s="79">
        <f>I5*7.7%</f>
        <v>125.89192</v>
      </c>
      <c r="P5" s="79"/>
      <c r="Q5" s="79"/>
      <c r="R5" s="79"/>
      <c r="S5" s="178">
        <v>12</v>
      </c>
      <c r="T5" s="79"/>
      <c r="U5" s="80">
        <f>125+150</f>
        <v>275</v>
      </c>
      <c r="V5" s="79">
        <v>435.52</v>
      </c>
      <c r="W5" s="77" t="s">
        <v>31</v>
      </c>
      <c r="X5" s="80"/>
    </row>
    <row r="6" spans="1:25" x14ac:dyDescent="0.25">
      <c r="A6" s="105" t="s">
        <v>32</v>
      </c>
      <c r="B6" s="76">
        <v>44953</v>
      </c>
      <c r="C6" s="76">
        <v>44953</v>
      </c>
      <c r="D6" s="76"/>
      <c r="E6" s="80"/>
      <c r="F6" s="77"/>
      <c r="G6" s="69" t="s">
        <v>33</v>
      </c>
      <c r="H6" s="69" t="s">
        <v>25</v>
      </c>
      <c r="I6" s="80">
        <v>1634.96</v>
      </c>
      <c r="J6" s="80">
        <v>500</v>
      </c>
      <c r="K6" s="77"/>
      <c r="L6" s="79">
        <f>I6/30*K6</f>
        <v>0</v>
      </c>
      <c r="M6" s="79">
        <f t="shared" si="0"/>
        <v>0</v>
      </c>
      <c r="N6" s="79">
        <v>653.98</v>
      </c>
      <c r="O6" s="79">
        <v>167.84</v>
      </c>
      <c r="P6" s="79"/>
      <c r="Q6" s="79"/>
      <c r="R6" s="79"/>
      <c r="S6" s="111"/>
      <c r="T6" s="79"/>
      <c r="U6" s="80"/>
      <c r="V6" s="79">
        <f>758.51</f>
        <v>758.51</v>
      </c>
      <c r="W6" s="77">
        <v>17417557600</v>
      </c>
      <c r="X6" s="80">
        <v>500</v>
      </c>
    </row>
    <row r="7" spans="1:25" x14ac:dyDescent="0.25">
      <c r="A7" s="87" t="s">
        <v>38</v>
      </c>
      <c r="B7" s="82"/>
      <c r="C7" s="83">
        <v>45632</v>
      </c>
      <c r="D7" s="82"/>
      <c r="E7" s="85">
        <v>300</v>
      </c>
      <c r="F7" s="83"/>
      <c r="G7" s="92" t="s">
        <v>35</v>
      </c>
      <c r="H7" s="69" t="s">
        <v>25</v>
      </c>
      <c r="I7" s="85">
        <v>1634.96</v>
      </c>
      <c r="J7" s="85">
        <v>300</v>
      </c>
      <c r="K7" s="84"/>
      <c r="L7" s="86">
        <v>1478.75</v>
      </c>
      <c r="M7" s="86">
        <f t="shared" si="0"/>
        <v>88.724999999999994</v>
      </c>
      <c r="N7" s="86">
        <v>653.98</v>
      </c>
      <c r="O7" s="86"/>
      <c r="P7" s="86"/>
      <c r="Q7" s="86"/>
      <c r="R7" s="86"/>
      <c r="S7" s="112"/>
      <c r="T7" s="86"/>
      <c r="U7" s="85"/>
      <c r="V7" s="79">
        <v>758.51</v>
      </c>
      <c r="W7" s="84">
        <v>31981052930</v>
      </c>
      <c r="X7" s="85"/>
    </row>
    <row r="8" spans="1:25" x14ac:dyDescent="0.25">
      <c r="A8" s="106" t="s">
        <v>39</v>
      </c>
      <c r="B8" s="94">
        <v>45293</v>
      </c>
      <c r="C8" s="95"/>
      <c r="D8" s="94"/>
      <c r="E8" s="98">
        <v>300</v>
      </c>
      <c r="F8" s="96"/>
      <c r="G8" s="97" t="s">
        <v>35</v>
      </c>
      <c r="H8" s="97" t="s">
        <v>25</v>
      </c>
      <c r="I8" s="98">
        <v>1634.96</v>
      </c>
      <c r="J8" s="98">
        <v>300</v>
      </c>
      <c r="K8" s="96"/>
      <c r="L8" s="99">
        <v>1478.75</v>
      </c>
      <c r="M8" s="99">
        <f t="shared" si="0"/>
        <v>88.724999999999994</v>
      </c>
      <c r="N8" s="99">
        <v>653.98</v>
      </c>
      <c r="O8" s="99"/>
      <c r="P8" s="99"/>
      <c r="Q8" s="99"/>
      <c r="R8" s="99"/>
      <c r="S8" s="113"/>
      <c r="T8" s="99"/>
      <c r="U8" s="98"/>
      <c r="V8" s="99"/>
      <c r="W8" s="96" t="s">
        <v>40</v>
      </c>
      <c r="X8" s="98">
        <v>882.86</v>
      </c>
    </row>
    <row r="9" spans="1:25" x14ac:dyDescent="0.25">
      <c r="A9" s="87" t="s">
        <v>41</v>
      </c>
      <c r="B9" s="82">
        <v>45621</v>
      </c>
      <c r="C9" s="83">
        <v>45643</v>
      </c>
      <c r="D9" s="82"/>
      <c r="E9" s="85">
        <v>300</v>
      </c>
      <c r="F9" s="83"/>
      <c r="G9" s="92" t="s">
        <v>42</v>
      </c>
      <c r="H9" s="69" t="s">
        <v>25</v>
      </c>
      <c r="I9" s="85">
        <v>1634.96</v>
      </c>
      <c r="J9" s="85">
        <v>300</v>
      </c>
      <c r="K9" s="84"/>
      <c r="L9" s="86">
        <f t="shared" ref="L9:L17" si="1">I9/30*K9</f>
        <v>0</v>
      </c>
      <c r="M9" s="86">
        <f t="shared" si="0"/>
        <v>0</v>
      </c>
      <c r="N9" s="85">
        <f>653.98-60</f>
        <v>593.98</v>
      </c>
      <c r="O9" s="86">
        <f>L9-M9-N9</f>
        <v>-593.98</v>
      </c>
      <c r="P9" s="84"/>
      <c r="Q9" s="84"/>
      <c r="R9" s="86"/>
      <c r="S9" s="112"/>
      <c r="T9" s="86"/>
      <c r="U9" s="85"/>
      <c r="V9" s="79">
        <f>1051.61-98.1</f>
        <v>953.50999999999988</v>
      </c>
      <c r="W9" s="84">
        <v>10105933660</v>
      </c>
      <c r="X9" s="85"/>
    </row>
    <row r="10" spans="1:25" x14ac:dyDescent="0.25">
      <c r="A10" s="105" t="s">
        <v>43</v>
      </c>
      <c r="B10" s="76"/>
      <c r="C10" s="81">
        <v>45474</v>
      </c>
      <c r="D10" s="76">
        <v>45694</v>
      </c>
      <c r="E10" s="80"/>
      <c r="F10" s="77"/>
      <c r="G10" s="69" t="s">
        <v>44</v>
      </c>
      <c r="H10" s="69" t="s">
        <v>45</v>
      </c>
      <c r="I10" s="78">
        <v>1600</v>
      </c>
      <c r="J10" s="78"/>
      <c r="K10" s="77"/>
      <c r="L10" s="79">
        <f t="shared" si="1"/>
        <v>0</v>
      </c>
      <c r="M10" s="79">
        <f t="shared" si="0"/>
        <v>0</v>
      </c>
      <c r="N10" s="79">
        <v>640</v>
      </c>
      <c r="O10" s="79">
        <f>I10*7.7%</f>
        <v>123.2</v>
      </c>
      <c r="P10" s="79"/>
      <c r="Q10" s="79"/>
      <c r="R10" s="79"/>
      <c r="S10" s="111" t="s">
        <v>85</v>
      </c>
      <c r="T10" s="79"/>
      <c r="U10" s="80"/>
      <c r="V10" s="79">
        <v>362.06</v>
      </c>
      <c r="W10" s="77">
        <v>70554723697</v>
      </c>
      <c r="X10" s="80"/>
    </row>
    <row r="11" spans="1:25" x14ac:dyDescent="0.25">
      <c r="A11" s="105" t="s">
        <v>46</v>
      </c>
      <c r="B11" s="76"/>
      <c r="C11" s="81">
        <v>45497</v>
      </c>
      <c r="D11" s="76"/>
      <c r="E11" s="80"/>
      <c r="F11" s="81"/>
      <c r="G11" s="69" t="s">
        <v>54</v>
      </c>
      <c r="H11" s="69" t="s">
        <v>47</v>
      </c>
      <c r="I11" s="78">
        <v>1634.96</v>
      </c>
      <c r="J11" s="78"/>
      <c r="K11" s="77"/>
      <c r="L11" s="79">
        <f t="shared" si="1"/>
        <v>0</v>
      </c>
      <c r="M11" s="79">
        <f t="shared" si="0"/>
        <v>0</v>
      </c>
      <c r="N11" s="79">
        <f>653.98-650</f>
        <v>3.9800000000000182</v>
      </c>
      <c r="O11" s="79">
        <f>I11*7.7%</f>
        <v>125.89192</v>
      </c>
      <c r="P11" s="79"/>
      <c r="Q11" s="79"/>
      <c r="R11" s="79"/>
      <c r="S11" s="111" t="s">
        <v>86</v>
      </c>
      <c r="T11" s="79" t="s">
        <v>37</v>
      </c>
      <c r="U11" s="80">
        <v>222</v>
      </c>
      <c r="V11" s="79">
        <f>581.34-222-100-11.32</f>
        <v>248.02000000000004</v>
      </c>
      <c r="W11" s="77">
        <v>11282952617</v>
      </c>
      <c r="X11" s="80"/>
    </row>
    <row r="12" spans="1:25" x14ac:dyDescent="0.25">
      <c r="A12" s="105" t="s">
        <v>49</v>
      </c>
      <c r="B12" s="76"/>
      <c r="C12" s="81">
        <v>45472</v>
      </c>
      <c r="D12" s="76"/>
      <c r="E12" s="80"/>
      <c r="F12" s="77"/>
      <c r="G12" s="69" t="s">
        <v>44</v>
      </c>
      <c r="H12" s="69" t="s">
        <v>47</v>
      </c>
      <c r="I12" s="78">
        <v>1634.96</v>
      </c>
      <c r="J12" s="78"/>
      <c r="K12" s="77"/>
      <c r="L12" s="79">
        <f t="shared" si="1"/>
        <v>0</v>
      </c>
      <c r="M12" s="79">
        <f t="shared" si="0"/>
        <v>0</v>
      </c>
      <c r="N12" s="79">
        <v>653.98</v>
      </c>
      <c r="O12" s="79">
        <f>I12*7.7%</f>
        <v>125.89192</v>
      </c>
      <c r="P12" s="79"/>
      <c r="Q12" s="79"/>
      <c r="R12" s="79"/>
      <c r="S12" s="111"/>
      <c r="T12" s="79"/>
      <c r="U12" s="80">
        <v>17</v>
      </c>
      <c r="V12" s="79">
        <v>1034.6099999999999</v>
      </c>
      <c r="W12" s="77" t="s">
        <v>87</v>
      </c>
      <c r="X12" s="80"/>
    </row>
    <row r="13" spans="1:25" x14ac:dyDescent="0.25">
      <c r="A13" s="105" t="s">
        <v>50</v>
      </c>
      <c r="B13" s="76"/>
      <c r="C13" s="81">
        <v>45534</v>
      </c>
      <c r="D13" s="76">
        <v>45693</v>
      </c>
      <c r="E13" s="80"/>
      <c r="F13" s="77"/>
      <c r="G13" s="69" t="s">
        <v>44</v>
      </c>
      <c r="H13" s="69" t="s">
        <v>51</v>
      </c>
      <c r="I13" s="78">
        <v>1600</v>
      </c>
      <c r="J13" s="78"/>
      <c r="K13" s="77"/>
      <c r="L13" s="79">
        <f t="shared" si="1"/>
        <v>0</v>
      </c>
      <c r="M13" s="79">
        <f t="shared" si="0"/>
        <v>0</v>
      </c>
      <c r="N13" s="79">
        <v>640</v>
      </c>
      <c r="O13" s="79">
        <f>I13*7.7%</f>
        <v>123.2</v>
      </c>
      <c r="P13" s="79"/>
      <c r="Q13" s="79"/>
      <c r="R13" s="79"/>
      <c r="S13" s="111"/>
      <c r="T13" s="79"/>
      <c r="U13" s="80">
        <v>7</v>
      </c>
      <c r="V13" s="79">
        <f>742.77-7</f>
        <v>735.77</v>
      </c>
      <c r="W13" s="77">
        <v>31993083878</v>
      </c>
      <c r="X13" s="80"/>
    </row>
    <row r="14" spans="1:25" x14ac:dyDescent="0.25">
      <c r="A14" s="105" t="s">
        <v>53</v>
      </c>
      <c r="B14" s="76"/>
      <c r="C14" s="81">
        <v>45527</v>
      </c>
      <c r="D14" s="76"/>
      <c r="E14" s="80">
        <v>400</v>
      </c>
      <c r="F14" s="77"/>
      <c r="G14" s="69" t="s">
        <v>54</v>
      </c>
      <c r="H14" s="69" t="s">
        <v>55</v>
      </c>
      <c r="I14" s="78">
        <v>1478.76</v>
      </c>
      <c r="J14" s="78">
        <v>400</v>
      </c>
      <c r="K14" s="77"/>
      <c r="L14" s="79">
        <f t="shared" si="1"/>
        <v>0</v>
      </c>
      <c r="M14" s="79">
        <f>L14*6%</f>
        <v>0</v>
      </c>
      <c r="N14" s="79">
        <v>591</v>
      </c>
      <c r="O14" s="79">
        <f t="shared" ref="O14:O18" si="2">I14*7.7%</f>
        <v>113.86452</v>
      </c>
      <c r="P14" s="79"/>
      <c r="Q14" s="79"/>
      <c r="R14" s="79"/>
      <c r="S14" s="111"/>
      <c r="T14" s="79"/>
      <c r="U14" s="80">
        <v>8</v>
      </c>
      <c r="V14" s="79">
        <v>778.57</v>
      </c>
      <c r="W14" s="77" t="s">
        <v>56</v>
      </c>
      <c r="X14" s="80"/>
    </row>
    <row r="15" spans="1:25" x14ac:dyDescent="0.25">
      <c r="A15" s="105" t="s">
        <v>57</v>
      </c>
      <c r="B15" s="76"/>
      <c r="C15" s="81">
        <v>45569</v>
      </c>
      <c r="D15" s="76"/>
      <c r="E15" s="80">
        <v>300</v>
      </c>
      <c r="F15" s="77"/>
      <c r="G15" s="69" t="s">
        <v>42</v>
      </c>
      <c r="H15" s="69" t="s">
        <v>25</v>
      </c>
      <c r="I15" s="78">
        <v>1518</v>
      </c>
      <c r="J15" s="78">
        <v>300</v>
      </c>
      <c r="K15" s="77"/>
      <c r="L15" s="79">
        <f t="shared" si="1"/>
        <v>0</v>
      </c>
      <c r="M15" s="79">
        <f>L15*6%</f>
        <v>0</v>
      </c>
      <c r="N15" s="79">
        <f>653.98-212</f>
        <v>441.98</v>
      </c>
      <c r="O15" s="79">
        <f t="shared" si="2"/>
        <v>116.886</v>
      </c>
      <c r="P15" s="79"/>
      <c r="Q15" s="79"/>
      <c r="R15" s="79"/>
      <c r="S15" s="111"/>
      <c r="T15" s="79"/>
      <c r="U15" s="80"/>
      <c r="V15" s="79">
        <v>758.51</v>
      </c>
      <c r="W15" s="77">
        <v>31985320495</v>
      </c>
      <c r="X15" s="80"/>
    </row>
    <row r="16" spans="1:25" x14ac:dyDescent="0.25">
      <c r="A16" s="105" t="s">
        <v>59</v>
      </c>
      <c r="B16" s="76"/>
      <c r="C16" s="81">
        <v>45618</v>
      </c>
      <c r="D16" s="76"/>
      <c r="E16" s="80"/>
      <c r="F16" s="77"/>
      <c r="G16" s="69" t="s">
        <v>54</v>
      </c>
      <c r="H16" s="69" t="s">
        <v>60</v>
      </c>
      <c r="I16" s="78">
        <v>2500</v>
      </c>
      <c r="J16" s="78"/>
      <c r="K16" s="77"/>
      <c r="L16" s="79">
        <f t="shared" si="1"/>
        <v>0</v>
      </c>
      <c r="M16" s="79"/>
      <c r="N16" s="79">
        <v>1200</v>
      </c>
      <c r="O16" s="79">
        <f t="shared" si="2"/>
        <v>192.5</v>
      </c>
      <c r="P16" s="79"/>
      <c r="Q16" s="79"/>
      <c r="R16" s="79"/>
      <c r="S16" s="111"/>
      <c r="T16" s="79"/>
      <c r="U16" s="80"/>
      <c r="V16" s="79">
        <f>1277.77-200+20</f>
        <v>1097.77</v>
      </c>
      <c r="W16" s="77" t="s">
        <v>61</v>
      </c>
      <c r="X16" s="80"/>
      <c r="Y16">
        <v>20</v>
      </c>
    </row>
    <row r="17" spans="1:25" x14ac:dyDescent="0.25">
      <c r="A17" s="105" t="s">
        <v>62</v>
      </c>
      <c r="B17" s="88"/>
      <c r="C17" s="81">
        <v>45420</v>
      </c>
      <c r="D17" s="76"/>
      <c r="E17" s="90"/>
      <c r="F17" s="89"/>
      <c r="G17" s="69" t="s">
        <v>54</v>
      </c>
      <c r="H17" s="69" t="s">
        <v>47</v>
      </c>
      <c r="I17" s="78">
        <v>1634.96</v>
      </c>
      <c r="J17" s="78"/>
      <c r="K17" s="77"/>
      <c r="L17" s="79">
        <f t="shared" si="1"/>
        <v>0</v>
      </c>
      <c r="M17" s="89"/>
      <c r="N17" s="79">
        <v>0</v>
      </c>
      <c r="O17" s="79">
        <f t="shared" si="2"/>
        <v>125.89192</v>
      </c>
      <c r="P17" s="89"/>
      <c r="Q17" s="89"/>
      <c r="R17" s="89"/>
      <c r="S17" s="114"/>
      <c r="T17" s="89"/>
      <c r="U17" s="90">
        <v>8</v>
      </c>
      <c r="V17" s="79">
        <v>1502.59</v>
      </c>
      <c r="W17" s="77">
        <v>31984452857</v>
      </c>
      <c r="X17" s="80"/>
    </row>
    <row r="18" spans="1:25" x14ac:dyDescent="0.25">
      <c r="A18" s="105" t="s">
        <v>63</v>
      </c>
      <c r="B18" s="88"/>
      <c r="C18" s="81">
        <v>45472</v>
      </c>
      <c r="D18" s="76">
        <v>45693</v>
      </c>
      <c r="E18" s="90"/>
      <c r="F18" s="89"/>
      <c r="G18" s="69" t="s">
        <v>44</v>
      </c>
      <c r="H18" s="69" t="s">
        <v>47</v>
      </c>
      <c r="I18" s="80">
        <v>1634.96</v>
      </c>
      <c r="J18" s="80"/>
      <c r="K18" s="77"/>
      <c r="L18" s="79">
        <f>-O18-U18</f>
        <v>-125.89192</v>
      </c>
      <c r="M18" s="89"/>
      <c r="N18" s="79"/>
      <c r="O18" s="79">
        <f t="shared" si="2"/>
        <v>125.89192</v>
      </c>
      <c r="P18" s="89"/>
      <c r="Q18" s="89"/>
      <c r="R18" s="89"/>
      <c r="S18" s="114"/>
      <c r="T18" s="89"/>
      <c r="U18" s="90"/>
      <c r="V18" s="79">
        <v>1412.49</v>
      </c>
      <c r="W18" s="77">
        <v>31995671213</v>
      </c>
      <c r="X18" s="80"/>
      <c r="Y18">
        <v>350</v>
      </c>
    </row>
    <row r="19" spans="1:25" x14ac:dyDescent="0.25">
      <c r="A19" s="100" t="s">
        <v>64</v>
      </c>
      <c r="B19" s="101"/>
      <c r="C19" s="100"/>
      <c r="D19" s="94"/>
      <c r="E19" s="104"/>
      <c r="F19" s="100"/>
      <c r="G19" s="102" t="s">
        <v>44</v>
      </c>
      <c r="H19" s="97" t="s">
        <v>65</v>
      </c>
      <c r="I19" s="103">
        <v>4000</v>
      </c>
      <c r="J19" s="103"/>
      <c r="K19" s="100"/>
      <c r="L19" s="99">
        <f t="shared" ref="L19:L20" si="3">I19/30*K19</f>
        <v>0</v>
      </c>
      <c r="M19" s="100"/>
      <c r="N19" s="99">
        <f>4000*40%</f>
        <v>1600</v>
      </c>
      <c r="O19" s="99"/>
      <c r="P19" s="100"/>
      <c r="Q19" s="100"/>
      <c r="R19" s="100"/>
      <c r="S19" s="115"/>
      <c r="T19" s="100"/>
      <c r="U19" s="104"/>
      <c r="V19" s="99"/>
      <c r="W19" s="77">
        <v>6659084665</v>
      </c>
      <c r="X19" s="80">
        <v>2400</v>
      </c>
    </row>
    <row r="20" spans="1:25" x14ac:dyDescent="0.25">
      <c r="A20" s="89" t="s">
        <v>67</v>
      </c>
      <c r="B20" s="88">
        <v>46018</v>
      </c>
      <c r="C20" s="159">
        <v>45685</v>
      </c>
      <c r="D20" s="76">
        <v>45714</v>
      </c>
      <c r="E20" s="90"/>
      <c r="F20" s="89"/>
      <c r="G20" s="72" t="s">
        <v>35</v>
      </c>
      <c r="H20" s="69" t="s">
        <v>25</v>
      </c>
      <c r="I20" s="107">
        <v>1634.96</v>
      </c>
      <c r="J20" s="107"/>
      <c r="K20" s="89"/>
      <c r="L20" s="79">
        <f t="shared" si="3"/>
        <v>0</v>
      </c>
      <c r="M20" s="89"/>
      <c r="N20" s="79">
        <v>653.98</v>
      </c>
      <c r="O20" s="79"/>
      <c r="P20" s="89"/>
      <c r="Q20" s="89"/>
      <c r="R20" s="89"/>
      <c r="S20" s="114"/>
      <c r="T20" s="89"/>
      <c r="U20" s="108"/>
      <c r="V20" s="79">
        <v>182.5</v>
      </c>
      <c r="W20" s="77" t="s">
        <v>88</v>
      </c>
      <c r="X20" s="80">
        <f>1338.56-653.98</f>
        <v>684.57999999999993</v>
      </c>
    </row>
    <row r="21" spans="1:25" x14ac:dyDescent="0.25">
      <c r="A21" s="158" t="s">
        <v>89</v>
      </c>
      <c r="B21" s="164">
        <v>45663</v>
      </c>
      <c r="C21" s="165"/>
      <c r="D21" s="166"/>
      <c r="E21" s="167"/>
      <c r="F21" s="167"/>
      <c r="G21" s="168" t="s">
        <v>42</v>
      </c>
      <c r="H21" s="169" t="s">
        <v>47</v>
      </c>
      <c r="I21" s="170">
        <v>3000</v>
      </c>
      <c r="J21" s="158"/>
      <c r="K21" s="167"/>
      <c r="L21" s="171"/>
      <c r="M21" s="167"/>
      <c r="N21" s="171">
        <v>1000</v>
      </c>
      <c r="O21" s="171"/>
      <c r="P21" s="167"/>
      <c r="Q21" s="167"/>
      <c r="R21" s="167"/>
      <c r="S21" s="172"/>
      <c r="T21" s="167"/>
      <c r="U21" s="173"/>
      <c r="V21" s="171"/>
      <c r="W21" s="174"/>
      <c r="X21" s="80">
        <v>1000</v>
      </c>
    </row>
    <row r="22" spans="1:25" x14ac:dyDescent="0.25">
      <c r="A22" s="175"/>
      <c r="B22" s="88"/>
      <c r="C22" s="81"/>
      <c r="D22" s="76"/>
      <c r="E22" s="89"/>
      <c r="F22" s="89"/>
      <c r="G22" s="72"/>
      <c r="H22" s="69"/>
      <c r="I22" s="91"/>
      <c r="J22" s="175"/>
      <c r="K22" s="89"/>
      <c r="L22" s="79"/>
      <c r="M22" s="89"/>
      <c r="N22" s="79"/>
      <c r="O22" s="79"/>
      <c r="P22" s="89"/>
      <c r="Q22" s="89"/>
      <c r="R22" s="89"/>
      <c r="S22" s="114"/>
      <c r="T22" s="89"/>
      <c r="U22" s="90"/>
      <c r="V22" s="79"/>
      <c r="W22" s="77"/>
      <c r="X22" s="80"/>
    </row>
    <row r="23" spans="1:25" x14ac:dyDescent="0.25">
      <c r="A23" s="69" t="s">
        <v>71</v>
      </c>
      <c r="B23" s="69"/>
      <c r="C23" s="69"/>
      <c r="D23" s="162"/>
      <c r="E23" s="69"/>
      <c r="F23" s="69"/>
      <c r="G23" s="160"/>
      <c r="H23" s="69"/>
      <c r="I23" s="109"/>
      <c r="J23" s="109"/>
      <c r="K23" s="69"/>
      <c r="L23" s="74">
        <f>SUM(L3:L22)</f>
        <v>5120.5480800000005</v>
      </c>
      <c r="M23" s="69"/>
      <c r="N23" s="69"/>
      <c r="O23" s="70">
        <f t="shared" ref="O23" si="4">I23*7.7%</f>
        <v>0</v>
      </c>
      <c r="P23" s="69"/>
      <c r="Q23" s="69"/>
      <c r="R23" s="69"/>
      <c r="S23" s="117"/>
      <c r="T23" s="69"/>
      <c r="U23" s="69"/>
      <c r="V23" s="74">
        <f>SUM(V3+V4+V5+V6+V7+V8+V9+V10+V11+V12+V13+V14+V15+V16+V17+V18+V19+V20)</f>
        <v>13071.080000000002</v>
      </c>
      <c r="W23" s="72"/>
      <c r="X23" s="177">
        <f>SUM(X3:X22)</f>
        <v>5467.4400000000005</v>
      </c>
    </row>
    <row r="26" spans="1:25" x14ac:dyDescent="0.25">
      <c r="G26" s="75"/>
    </row>
    <row r="27" spans="1:25" x14ac:dyDescent="0.25">
      <c r="W27" s="27">
        <f>V23+X23</f>
        <v>18538.520000000004</v>
      </c>
    </row>
  </sheetData>
  <autoFilter ref="G1:G26" xr:uid="{6A25047E-EEC9-4EB5-8E39-790574A310E0}"/>
  <mergeCells count="1">
    <mergeCell ref="A1:W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E19F-A644-42E2-B85D-76A2CC9B0C7A}">
  <sheetPr codeName="Planilha4"/>
  <dimension ref="A1:Y28"/>
  <sheetViews>
    <sheetView topLeftCell="B1" workbookViewId="0">
      <selection activeCell="Q36" sqref="Q36"/>
    </sheetView>
  </sheetViews>
  <sheetFormatPr defaultRowHeight="15" x14ac:dyDescent="0.25"/>
  <cols>
    <col min="1" max="1" width="28.28515625" bestFit="1" customWidth="1"/>
    <col min="2" max="3" width="9.85546875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6.140625" customWidth="1"/>
    <col min="8" max="8" width="19.140625" customWidth="1"/>
    <col min="9" max="9" width="11.7109375" customWidth="1"/>
    <col min="10" max="10" width="10.42578125" customWidth="1"/>
    <col min="11" max="11" width="9.140625" customWidth="1"/>
    <col min="12" max="12" width="13.28515625" customWidth="1"/>
    <col min="13" max="13" width="9.140625" customWidth="1"/>
    <col min="14" max="14" width="14.42578125" customWidth="1"/>
    <col min="15" max="15" width="10.28515625" customWidth="1"/>
    <col min="16" max="16" width="9.140625" customWidth="1"/>
    <col min="17" max="17" width="9.7109375" customWidth="1"/>
    <col min="18" max="18" width="10.28515625" customWidth="1"/>
    <col min="19" max="19" width="13.140625" style="118" customWidth="1"/>
    <col min="20" max="20" width="13.140625" customWidth="1"/>
    <col min="21" max="21" width="10.28515625" customWidth="1"/>
    <col min="22" max="22" width="17.42578125" customWidth="1"/>
    <col min="23" max="23" width="23.85546875" customWidth="1"/>
    <col min="24" max="24" width="12.140625" bestFit="1" customWidth="1"/>
    <col min="25" max="25" width="10.5703125" bestFit="1" customWidth="1"/>
  </cols>
  <sheetData>
    <row r="1" spans="1:25" ht="24" x14ac:dyDescent="0.4">
      <c r="A1" s="775" t="s">
        <v>90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</row>
    <row r="2" spans="1:25" x14ac:dyDescent="0.25">
      <c r="A2" s="67" t="s">
        <v>1</v>
      </c>
      <c r="B2" s="67" t="s">
        <v>2</v>
      </c>
      <c r="C2" s="67" t="s">
        <v>3</v>
      </c>
      <c r="D2" s="161" t="s">
        <v>91</v>
      </c>
      <c r="E2" s="67" t="s">
        <v>83</v>
      </c>
      <c r="F2" s="67" t="s">
        <v>5</v>
      </c>
      <c r="G2" s="67" t="s">
        <v>6</v>
      </c>
      <c r="H2" s="67" t="s">
        <v>7</v>
      </c>
      <c r="I2" s="68" t="s">
        <v>8</v>
      </c>
      <c r="J2" s="68" t="s">
        <v>92</v>
      </c>
      <c r="K2" s="67" t="s">
        <v>10</v>
      </c>
      <c r="L2" s="67" t="s">
        <v>11</v>
      </c>
      <c r="M2" s="67" t="s">
        <v>12</v>
      </c>
      <c r="N2" s="67" t="s">
        <v>13</v>
      </c>
      <c r="O2" s="67" t="s">
        <v>14</v>
      </c>
      <c r="P2" s="67" t="s">
        <v>15</v>
      </c>
      <c r="Q2" s="67" t="s">
        <v>16</v>
      </c>
      <c r="R2" s="67" t="s">
        <v>17</v>
      </c>
      <c r="S2" s="110" t="s">
        <v>18</v>
      </c>
      <c r="T2" s="67" t="s">
        <v>19</v>
      </c>
      <c r="U2" s="67" t="s">
        <v>20</v>
      </c>
      <c r="V2" s="67" t="s">
        <v>21</v>
      </c>
      <c r="W2" s="67" t="s">
        <v>22</v>
      </c>
      <c r="X2" s="67" t="s">
        <v>84</v>
      </c>
    </row>
    <row r="3" spans="1:25" x14ac:dyDescent="0.25">
      <c r="A3" s="105" t="s">
        <v>23</v>
      </c>
      <c r="B3" s="76">
        <v>45240</v>
      </c>
      <c r="C3" s="76">
        <v>45240</v>
      </c>
      <c r="D3" s="76"/>
      <c r="E3" s="80">
        <v>300</v>
      </c>
      <c r="F3" s="77"/>
      <c r="G3" s="69" t="s">
        <v>24</v>
      </c>
      <c r="H3" s="69" t="s">
        <v>25</v>
      </c>
      <c r="I3" s="78">
        <v>1634.96</v>
      </c>
      <c r="J3" s="78">
        <v>300</v>
      </c>
      <c r="K3" s="80"/>
      <c r="L3" s="80">
        <f>I3/30*K3</f>
        <v>0</v>
      </c>
      <c r="M3" s="80">
        <f>L3*6%</f>
        <v>0</v>
      </c>
      <c r="N3" s="80">
        <f>653.98-U3</f>
        <v>653.98</v>
      </c>
      <c r="O3" s="80">
        <f>I3*7.7%</f>
        <v>125.89192</v>
      </c>
      <c r="P3" s="79"/>
      <c r="Q3" s="79"/>
      <c r="R3" s="79"/>
      <c r="S3" s="180"/>
      <c r="T3" s="79"/>
      <c r="U3" s="80"/>
      <c r="V3" s="80">
        <v>758.51</v>
      </c>
      <c r="W3" s="77">
        <v>31991488310</v>
      </c>
      <c r="X3" s="199">
        <v>344.93</v>
      </c>
      <c r="Y3" s="27"/>
    </row>
    <row r="4" spans="1:25" x14ac:dyDescent="0.25">
      <c r="A4" s="105" t="s">
        <v>26</v>
      </c>
      <c r="B4" s="76" t="s">
        <v>27</v>
      </c>
      <c r="C4" s="76" t="s">
        <v>27</v>
      </c>
      <c r="D4" s="76"/>
      <c r="E4" s="80"/>
      <c r="F4" s="77"/>
      <c r="G4" s="69" t="s">
        <v>24</v>
      </c>
      <c r="H4" s="69" t="s">
        <v>25</v>
      </c>
      <c r="I4" s="78">
        <v>2289.4299999999998</v>
      </c>
      <c r="J4" s="78"/>
      <c r="K4" s="80"/>
      <c r="L4" s="80">
        <f>1634.96+653.98</f>
        <v>2288.94</v>
      </c>
      <c r="M4" s="80">
        <v>98.29</v>
      </c>
      <c r="N4" s="80">
        <v>653.98</v>
      </c>
      <c r="O4" s="80">
        <f>I4*8.07%</f>
        <v>184.757001</v>
      </c>
      <c r="P4" s="79"/>
      <c r="Q4" s="79"/>
      <c r="R4" s="79"/>
      <c r="S4" s="180"/>
      <c r="T4" s="79"/>
      <c r="U4" s="80"/>
      <c r="V4" s="80">
        <v>1353.63</v>
      </c>
      <c r="W4" s="77" t="s">
        <v>28</v>
      </c>
      <c r="X4" s="186"/>
    </row>
    <row r="5" spans="1:25" x14ac:dyDescent="0.25">
      <c r="A5" s="105" t="s">
        <v>30</v>
      </c>
      <c r="B5" s="76"/>
      <c r="C5" s="76"/>
      <c r="D5" s="76"/>
      <c r="E5" s="80"/>
      <c r="F5" s="77"/>
      <c r="G5" s="69" t="s">
        <v>24</v>
      </c>
      <c r="H5" s="69" t="s">
        <v>25</v>
      </c>
      <c r="I5" s="78">
        <v>1634.96</v>
      </c>
      <c r="J5" s="78"/>
      <c r="K5" s="80"/>
      <c r="L5" s="80">
        <f>I5/30*K5</f>
        <v>0</v>
      </c>
      <c r="M5" s="80">
        <f t="shared" ref="M5:M11" si="0">L5*6%</f>
        <v>0</v>
      </c>
      <c r="N5" s="80">
        <v>653.98</v>
      </c>
      <c r="O5" s="80">
        <f>I5*7.7%</f>
        <v>125.89192</v>
      </c>
      <c r="P5" s="79"/>
      <c r="Q5" s="79"/>
      <c r="R5" s="79"/>
      <c r="S5" s="180">
        <v>45705</v>
      </c>
      <c r="T5" s="79" t="s">
        <v>93</v>
      </c>
      <c r="U5" s="80"/>
      <c r="V5" s="80">
        <v>652.24</v>
      </c>
      <c r="W5" s="77" t="s">
        <v>31</v>
      </c>
      <c r="X5" s="186"/>
    </row>
    <row r="6" spans="1:25" x14ac:dyDescent="0.25">
      <c r="A6" s="105" t="s">
        <v>32</v>
      </c>
      <c r="B6" s="76">
        <v>44953</v>
      </c>
      <c r="C6" s="76">
        <v>44953</v>
      </c>
      <c r="D6" s="76"/>
      <c r="E6" s="80"/>
      <c r="F6" s="77"/>
      <c r="G6" s="69" t="s">
        <v>33</v>
      </c>
      <c r="H6" s="69" t="s">
        <v>25</v>
      </c>
      <c r="I6" s="80">
        <v>1634.96</v>
      </c>
      <c r="J6" s="80">
        <v>500</v>
      </c>
      <c r="K6" s="80"/>
      <c r="L6" s="80">
        <f>I6/30*K6</f>
        <v>0</v>
      </c>
      <c r="M6" s="80">
        <f t="shared" si="0"/>
        <v>0</v>
      </c>
      <c r="N6" s="80">
        <v>653.98</v>
      </c>
      <c r="O6" s="80">
        <v>167.84</v>
      </c>
      <c r="P6" s="79"/>
      <c r="Q6" s="79"/>
      <c r="R6" s="79"/>
      <c r="S6" s="180"/>
      <c r="T6" s="79"/>
      <c r="U6" s="80"/>
      <c r="V6" s="80">
        <v>758.51</v>
      </c>
      <c r="W6" s="77">
        <v>17417557600</v>
      </c>
      <c r="X6" s="199">
        <v>233.56</v>
      </c>
    </row>
    <row r="7" spans="1:25" x14ac:dyDescent="0.25">
      <c r="A7" s="87" t="s">
        <v>38</v>
      </c>
      <c r="B7" s="82"/>
      <c r="C7" s="82">
        <v>45632</v>
      </c>
      <c r="D7" s="82"/>
      <c r="E7" s="85">
        <v>300</v>
      </c>
      <c r="F7" s="83"/>
      <c r="G7" s="92" t="s">
        <v>35</v>
      </c>
      <c r="H7" s="69" t="s">
        <v>25</v>
      </c>
      <c r="I7" s="85">
        <v>1634.96</v>
      </c>
      <c r="J7" s="85">
        <v>300</v>
      </c>
      <c r="K7" s="85"/>
      <c r="L7" s="85">
        <v>1478.75</v>
      </c>
      <c r="M7" s="85">
        <f t="shared" si="0"/>
        <v>88.724999999999994</v>
      </c>
      <c r="N7" s="85">
        <v>653.98</v>
      </c>
      <c r="O7" s="85"/>
      <c r="P7" s="86"/>
      <c r="Q7" s="86"/>
      <c r="R7" s="86"/>
      <c r="S7" s="181"/>
      <c r="T7" s="86"/>
      <c r="U7" s="85"/>
      <c r="V7" s="80">
        <v>758.51</v>
      </c>
      <c r="W7" s="84">
        <v>31981052930</v>
      </c>
      <c r="X7" s="186"/>
    </row>
    <row r="8" spans="1:25" x14ac:dyDescent="0.25">
      <c r="A8" s="106" t="s">
        <v>39</v>
      </c>
      <c r="B8" s="94">
        <v>45293</v>
      </c>
      <c r="C8" s="94"/>
      <c r="D8" s="94"/>
      <c r="E8" s="98">
        <v>300</v>
      </c>
      <c r="F8" s="96"/>
      <c r="G8" s="97" t="s">
        <v>35</v>
      </c>
      <c r="H8" s="97" t="s">
        <v>25</v>
      </c>
      <c r="I8" s="98">
        <v>1634.96</v>
      </c>
      <c r="J8" s="98">
        <v>300</v>
      </c>
      <c r="K8" s="98"/>
      <c r="L8" s="98">
        <v>1478.75</v>
      </c>
      <c r="M8" s="98">
        <f t="shared" si="0"/>
        <v>88.724999999999994</v>
      </c>
      <c r="N8" s="98">
        <v>654</v>
      </c>
      <c r="O8" s="98"/>
      <c r="P8" s="99"/>
      <c r="Q8" s="99"/>
      <c r="R8" s="99"/>
      <c r="S8" s="182"/>
      <c r="T8" s="99"/>
      <c r="U8" s="98"/>
      <c r="V8" s="98"/>
      <c r="W8" s="96" t="s">
        <v>40</v>
      </c>
      <c r="X8" s="186">
        <v>882.86</v>
      </c>
      <c r="Y8" t="s">
        <v>94</v>
      </c>
    </row>
    <row r="9" spans="1:25" x14ac:dyDescent="0.25">
      <c r="A9" s="87" t="s">
        <v>41</v>
      </c>
      <c r="B9" s="82">
        <v>45621</v>
      </c>
      <c r="C9" s="82">
        <v>45643</v>
      </c>
      <c r="D9" s="82"/>
      <c r="E9" s="85">
        <v>300</v>
      </c>
      <c r="F9" s="83"/>
      <c r="G9" s="92" t="s">
        <v>42</v>
      </c>
      <c r="H9" s="69" t="s">
        <v>25</v>
      </c>
      <c r="I9" s="85">
        <v>1634.96</v>
      </c>
      <c r="J9" s="85">
        <v>300</v>
      </c>
      <c r="K9" s="85"/>
      <c r="L9" s="85">
        <f t="shared" ref="L9:L23" si="1">I9/30*K9</f>
        <v>0</v>
      </c>
      <c r="M9" s="85">
        <f t="shared" si="0"/>
        <v>0</v>
      </c>
      <c r="N9" s="85">
        <v>653.98</v>
      </c>
      <c r="O9" s="85">
        <f>L9-M9-N9</f>
        <v>-653.98</v>
      </c>
      <c r="P9" s="84"/>
      <c r="Q9" s="84"/>
      <c r="R9" s="86"/>
      <c r="S9" s="181"/>
      <c r="T9" s="86"/>
      <c r="U9" s="85">
        <f>160</f>
        <v>160</v>
      </c>
      <c r="V9" s="80">
        <f>953.51-160</f>
        <v>793.51</v>
      </c>
      <c r="W9" s="84">
        <v>10105933660</v>
      </c>
      <c r="X9" s="186"/>
    </row>
    <row r="10" spans="1:25" x14ac:dyDescent="0.25">
      <c r="A10" s="105" t="s">
        <v>46</v>
      </c>
      <c r="B10" s="76"/>
      <c r="C10" s="76">
        <v>45497</v>
      </c>
      <c r="D10" s="76"/>
      <c r="E10" s="80"/>
      <c r="F10" s="81"/>
      <c r="G10" s="69" t="s">
        <v>42</v>
      </c>
      <c r="H10" s="69" t="s">
        <v>47</v>
      </c>
      <c r="I10" s="78">
        <v>1634.96</v>
      </c>
      <c r="J10" s="78"/>
      <c r="K10" s="80"/>
      <c r="L10" s="80">
        <f t="shared" si="1"/>
        <v>0</v>
      </c>
      <c r="M10" s="80">
        <f t="shared" si="0"/>
        <v>0</v>
      </c>
      <c r="N10" s="80">
        <v>654</v>
      </c>
      <c r="O10" s="80">
        <f>I10*7.7%</f>
        <v>125.89192</v>
      </c>
      <c r="P10" s="79"/>
      <c r="Q10" s="79"/>
      <c r="R10" s="79"/>
      <c r="S10" s="180">
        <v>45700</v>
      </c>
      <c r="T10" s="79"/>
      <c r="U10" s="80">
        <v>250</v>
      </c>
      <c r="V10" s="80">
        <f>640.37-250</f>
        <v>390.37</v>
      </c>
      <c r="W10" s="77">
        <v>11282952617</v>
      </c>
      <c r="X10" s="186"/>
    </row>
    <row r="11" spans="1:25" x14ac:dyDescent="0.25">
      <c r="A11" s="105" t="s">
        <v>49</v>
      </c>
      <c r="B11" s="76"/>
      <c r="C11" s="76">
        <v>45472</v>
      </c>
      <c r="D11" s="76"/>
      <c r="E11" s="80"/>
      <c r="F11" s="77"/>
      <c r="G11" s="69" t="s">
        <v>44</v>
      </c>
      <c r="H11" s="69" t="s">
        <v>47</v>
      </c>
      <c r="I11" s="78">
        <v>1634.96</v>
      </c>
      <c r="J11" s="78"/>
      <c r="K11" s="80"/>
      <c r="L11" s="80">
        <f t="shared" si="1"/>
        <v>0</v>
      </c>
      <c r="M11" s="80">
        <f t="shared" si="0"/>
        <v>0</v>
      </c>
      <c r="N11" s="80">
        <v>653.98</v>
      </c>
      <c r="O11" s="80">
        <f>I11*7.7%</f>
        <v>125.89192</v>
      </c>
      <c r="P11" s="79"/>
      <c r="Q11" s="79"/>
      <c r="R11" s="79"/>
      <c r="S11" s="180"/>
      <c r="T11" s="79"/>
      <c r="U11" s="80">
        <v>75</v>
      </c>
      <c r="V11" s="80">
        <v>976.61</v>
      </c>
      <c r="W11" s="77" t="s">
        <v>87</v>
      </c>
      <c r="X11" s="186"/>
    </row>
    <row r="12" spans="1:25" x14ac:dyDescent="0.25">
      <c r="A12" s="105" t="s">
        <v>53</v>
      </c>
      <c r="B12" s="76"/>
      <c r="C12" s="76">
        <v>45527</v>
      </c>
      <c r="D12" s="76"/>
      <c r="E12" s="80">
        <v>400</v>
      </c>
      <c r="F12" s="77"/>
      <c r="G12" s="69" t="s">
        <v>54</v>
      </c>
      <c r="H12" s="69" t="s">
        <v>55</v>
      </c>
      <c r="I12" s="78">
        <v>1518</v>
      </c>
      <c r="J12" s="78">
        <v>400</v>
      </c>
      <c r="K12" s="80"/>
      <c r="L12" s="80">
        <f t="shared" si="1"/>
        <v>0</v>
      </c>
      <c r="M12" s="80">
        <f>L12*6%</f>
        <v>0</v>
      </c>
      <c r="N12" s="80">
        <v>607.20000000000005</v>
      </c>
      <c r="O12" s="80">
        <f t="shared" ref="O12:O15" si="2">I12*7.7%</f>
        <v>116.886</v>
      </c>
      <c r="P12" s="79"/>
      <c r="Q12" s="79"/>
      <c r="R12" s="79"/>
      <c r="S12" s="180"/>
      <c r="T12" s="79"/>
      <c r="U12" s="80"/>
      <c r="V12" s="80">
        <v>770.87</v>
      </c>
      <c r="W12" s="77" t="s">
        <v>56</v>
      </c>
      <c r="X12" s="186"/>
    </row>
    <row r="13" spans="1:25" x14ac:dyDescent="0.25">
      <c r="A13" s="105" t="s">
        <v>57</v>
      </c>
      <c r="B13" s="76"/>
      <c r="C13" s="76">
        <v>45569</v>
      </c>
      <c r="D13" s="76"/>
      <c r="E13" s="80">
        <v>300</v>
      </c>
      <c r="F13" s="77"/>
      <c r="G13" s="69" t="s">
        <v>42</v>
      </c>
      <c r="H13" s="69" t="s">
        <v>25</v>
      </c>
      <c r="I13" s="78">
        <v>1634.96</v>
      </c>
      <c r="J13" s="78">
        <v>300</v>
      </c>
      <c r="K13" s="80"/>
      <c r="L13" s="80">
        <f t="shared" si="1"/>
        <v>0</v>
      </c>
      <c r="M13" s="80">
        <f>L13*6%</f>
        <v>0</v>
      </c>
      <c r="N13" s="80">
        <v>654</v>
      </c>
      <c r="O13" s="80">
        <f t="shared" si="2"/>
        <v>125.89192</v>
      </c>
      <c r="P13" s="79"/>
      <c r="Q13" s="79"/>
      <c r="R13" s="79"/>
      <c r="S13" s="180"/>
      <c r="T13" s="79"/>
      <c r="U13" s="80">
        <f>92+50</f>
        <v>142</v>
      </c>
      <c r="V13" s="80">
        <f>666.51-50</f>
        <v>616.51</v>
      </c>
      <c r="W13" s="77" t="s">
        <v>58</v>
      </c>
      <c r="X13" s="186"/>
    </row>
    <row r="14" spans="1:25" x14ac:dyDescent="0.25">
      <c r="A14" s="105" t="s">
        <v>59</v>
      </c>
      <c r="B14" s="76"/>
      <c r="C14" s="76">
        <v>45618</v>
      </c>
      <c r="D14" s="76"/>
      <c r="E14" s="80"/>
      <c r="F14" s="77"/>
      <c r="G14" s="69" t="s">
        <v>54</v>
      </c>
      <c r="H14" s="69" t="s">
        <v>60</v>
      </c>
      <c r="I14" s="78">
        <v>2500</v>
      </c>
      <c r="J14" s="78"/>
      <c r="K14" s="80"/>
      <c r="L14" s="80">
        <f t="shared" si="1"/>
        <v>0</v>
      </c>
      <c r="M14" s="80">
        <f t="shared" ref="M14:M24" si="3">L14*6%</f>
        <v>0</v>
      </c>
      <c r="N14" s="80">
        <v>1200</v>
      </c>
      <c r="O14" s="80">
        <f t="shared" si="2"/>
        <v>192.5</v>
      </c>
      <c r="P14" s="79"/>
      <c r="Q14" s="79"/>
      <c r="R14" s="79"/>
      <c r="S14" s="180"/>
      <c r="T14" s="79"/>
      <c r="U14" s="80"/>
      <c r="V14" s="80">
        <f>1097.77-20</f>
        <v>1077.77</v>
      </c>
      <c r="W14" s="77" t="s">
        <v>61</v>
      </c>
      <c r="X14" s="186"/>
    </row>
    <row r="15" spans="1:25" x14ac:dyDescent="0.25">
      <c r="A15" s="105" t="s">
        <v>62</v>
      </c>
      <c r="B15" s="76"/>
      <c r="C15" s="76">
        <v>45420</v>
      </c>
      <c r="D15" s="76"/>
      <c r="E15" s="90"/>
      <c r="F15" s="89"/>
      <c r="G15" s="69" t="s">
        <v>54</v>
      </c>
      <c r="H15" s="69" t="s">
        <v>47</v>
      </c>
      <c r="I15" s="78">
        <v>1634.96</v>
      </c>
      <c r="J15" s="78"/>
      <c r="K15" s="80"/>
      <c r="L15" s="80">
        <f t="shared" si="1"/>
        <v>0</v>
      </c>
      <c r="M15" s="80">
        <f t="shared" si="3"/>
        <v>0</v>
      </c>
      <c r="N15" s="80"/>
      <c r="O15" s="80">
        <f t="shared" si="2"/>
        <v>125.89192</v>
      </c>
      <c r="P15" s="89"/>
      <c r="Q15" s="89"/>
      <c r="R15" s="89"/>
      <c r="S15" s="183"/>
      <c r="T15" s="77"/>
      <c r="U15" s="90"/>
      <c r="V15" s="80">
        <v>1510.59</v>
      </c>
      <c r="W15" s="77">
        <v>31984452857</v>
      </c>
      <c r="X15" s="186"/>
    </row>
    <row r="16" spans="1:25" x14ac:dyDescent="0.25">
      <c r="A16" s="89" t="s">
        <v>67</v>
      </c>
      <c r="B16" s="76">
        <v>46018</v>
      </c>
      <c r="C16" s="76">
        <v>45685</v>
      </c>
      <c r="D16" s="76">
        <v>45740</v>
      </c>
      <c r="E16" s="90"/>
      <c r="F16" s="89"/>
      <c r="G16" s="72" t="s">
        <v>68</v>
      </c>
      <c r="H16" s="69" t="s">
        <v>25</v>
      </c>
      <c r="I16" s="107">
        <v>1634.96</v>
      </c>
      <c r="J16" s="107"/>
      <c r="K16" s="90"/>
      <c r="L16" s="80">
        <f t="shared" si="1"/>
        <v>0</v>
      </c>
      <c r="M16" s="80">
        <f t="shared" si="3"/>
        <v>0</v>
      </c>
      <c r="N16" s="80">
        <v>653.98</v>
      </c>
      <c r="O16" s="80"/>
      <c r="P16" s="89"/>
      <c r="Q16" s="89"/>
      <c r="R16" s="89"/>
      <c r="S16" s="183">
        <v>45710</v>
      </c>
      <c r="T16" s="77" t="s">
        <v>93</v>
      </c>
      <c r="U16" s="108"/>
      <c r="V16" s="80">
        <v>652.24</v>
      </c>
      <c r="W16" s="77" t="s">
        <v>88</v>
      </c>
      <c r="X16" s="186"/>
    </row>
    <row r="17" spans="1:24" x14ac:dyDescent="0.25">
      <c r="A17" s="175" t="s">
        <v>89</v>
      </c>
      <c r="B17" s="76">
        <v>45663</v>
      </c>
      <c r="C17" s="76">
        <v>45809</v>
      </c>
      <c r="D17" s="76"/>
      <c r="E17" s="90"/>
      <c r="F17" s="89"/>
      <c r="G17" s="72" t="s">
        <v>42</v>
      </c>
      <c r="H17" s="69" t="s">
        <v>47</v>
      </c>
      <c r="I17" s="91">
        <f>3000/31*26</f>
        <v>2516.1290322580649</v>
      </c>
      <c r="J17" s="54"/>
      <c r="K17" s="90"/>
      <c r="L17" s="80">
        <f t="shared" si="1"/>
        <v>0</v>
      </c>
      <c r="M17" s="80">
        <f t="shared" si="3"/>
        <v>0</v>
      </c>
      <c r="N17" s="80">
        <v>1000</v>
      </c>
      <c r="O17" s="80"/>
      <c r="P17" s="89"/>
      <c r="Q17" s="89"/>
      <c r="R17" s="89"/>
      <c r="S17" s="183"/>
      <c r="T17" s="77"/>
      <c r="U17" s="90"/>
      <c r="V17" s="80"/>
      <c r="W17" s="179">
        <v>13196831698</v>
      </c>
      <c r="X17" s="186">
        <v>1000</v>
      </c>
    </row>
    <row r="18" spans="1:24" x14ac:dyDescent="0.25">
      <c r="A18" s="175" t="s">
        <v>95</v>
      </c>
      <c r="B18" s="76">
        <v>45698</v>
      </c>
      <c r="C18" s="76">
        <v>45713</v>
      </c>
      <c r="D18" s="76">
        <v>45740</v>
      </c>
      <c r="E18" s="90"/>
      <c r="F18" s="89"/>
      <c r="G18" s="72" t="s">
        <v>96</v>
      </c>
      <c r="H18" s="69" t="s">
        <v>47</v>
      </c>
      <c r="I18" s="91">
        <v>1634.96</v>
      </c>
      <c r="J18" s="54"/>
      <c r="K18" s="90"/>
      <c r="L18" s="80">
        <f t="shared" si="1"/>
        <v>0</v>
      </c>
      <c r="M18" s="80">
        <f t="shared" si="3"/>
        <v>0</v>
      </c>
      <c r="N18" s="80">
        <v>654</v>
      </c>
      <c r="O18" s="80"/>
      <c r="P18" s="89"/>
      <c r="Q18" s="89"/>
      <c r="R18" s="89"/>
      <c r="S18" s="183"/>
      <c r="T18" s="77"/>
      <c r="U18" s="90">
        <f>180+60</f>
        <v>240</v>
      </c>
      <c r="V18" s="80">
        <v>202.05</v>
      </c>
      <c r="W18" s="179" t="s">
        <v>97</v>
      </c>
      <c r="X18" s="187">
        <f>768.41-240+40</f>
        <v>568.41</v>
      </c>
    </row>
    <row r="19" spans="1:24" x14ac:dyDescent="0.25">
      <c r="A19" s="188"/>
      <c r="B19" s="82"/>
      <c r="C19" s="82"/>
      <c r="D19" s="8"/>
      <c r="E19" s="189"/>
      <c r="F19" s="190"/>
      <c r="G19" s="10"/>
      <c r="H19" s="11"/>
      <c r="I19" s="191"/>
      <c r="J19" s="85"/>
      <c r="K19" s="12"/>
      <c r="L19" s="192"/>
      <c r="M19" s="10"/>
      <c r="N19" s="85"/>
      <c r="O19" s="11"/>
      <c r="P19" s="86"/>
      <c r="Q19" s="10"/>
      <c r="R19" s="89"/>
      <c r="S19" s="183"/>
      <c r="T19" s="77"/>
      <c r="U19" s="90"/>
      <c r="V19" s="80"/>
      <c r="W19" s="179"/>
      <c r="X19" s="186"/>
    </row>
    <row r="20" spans="1:24" x14ac:dyDescent="0.25">
      <c r="A20" s="193"/>
      <c r="B20" s="76"/>
      <c r="C20" s="76"/>
      <c r="D20" s="1"/>
      <c r="E20" s="194"/>
      <c r="F20" s="195"/>
      <c r="G20" s="2"/>
      <c r="H20" s="3"/>
      <c r="I20" s="196"/>
      <c r="J20" s="80"/>
      <c r="K20" s="4"/>
      <c r="L20" s="197"/>
      <c r="M20" s="2"/>
      <c r="N20" s="80"/>
      <c r="O20" s="5"/>
      <c r="P20" s="79"/>
      <c r="Q20" s="198"/>
      <c r="R20" s="89"/>
      <c r="S20" s="183"/>
      <c r="T20" s="77"/>
      <c r="U20" s="90"/>
      <c r="V20" s="80"/>
      <c r="W20" s="179"/>
      <c r="X20" s="186"/>
    </row>
    <row r="21" spans="1:24" x14ac:dyDescent="0.25">
      <c r="A21" s="175"/>
      <c r="B21" s="76"/>
      <c r="C21" s="76"/>
      <c r="D21" s="76"/>
      <c r="E21" s="90"/>
      <c r="F21" s="89"/>
      <c r="G21" s="72"/>
      <c r="H21" s="69"/>
      <c r="I21" s="91"/>
      <c r="J21" s="54"/>
      <c r="K21" s="90"/>
      <c r="L21" s="80"/>
      <c r="M21" s="80"/>
      <c r="N21" s="80"/>
      <c r="O21" s="80"/>
      <c r="P21" s="89"/>
      <c r="Q21" s="89"/>
      <c r="R21" s="89"/>
      <c r="S21" s="183"/>
      <c r="T21" s="77"/>
      <c r="U21" s="90"/>
      <c r="V21" s="80"/>
      <c r="W21" s="179"/>
      <c r="X21" s="186"/>
    </row>
    <row r="22" spans="1:24" x14ac:dyDescent="0.25">
      <c r="A22" s="175"/>
      <c r="B22" s="76"/>
      <c r="C22" s="76"/>
      <c r="D22" s="76"/>
      <c r="E22" s="90"/>
      <c r="F22" s="89"/>
      <c r="G22" s="72"/>
      <c r="H22" s="69"/>
      <c r="I22" s="91"/>
      <c r="J22" s="54"/>
      <c r="K22" s="90"/>
      <c r="L22" s="80">
        <f t="shared" si="1"/>
        <v>0</v>
      </c>
      <c r="M22" s="80">
        <f t="shared" si="3"/>
        <v>0</v>
      </c>
      <c r="N22" s="80"/>
      <c r="O22" s="80"/>
      <c r="P22" s="89"/>
      <c r="Q22" s="89"/>
      <c r="R22" s="89"/>
      <c r="S22" s="183"/>
      <c r="T22" s="77"/>
      <c r="U22" s="90"/>
      <c r="V22" s="80"/>
      <c r="W22" s="179"/>
      <c r="X22" s="25"/>
    </row>
    <row r="23" spans="1:24" x14ac:dyDescent="0.25">
      <c r="A23" s="93" t="s">
        <v>69</v>
      </c>
      <c r="B23" s="79"/>
      <c r="C23" s="79"/>
      <c r="D23" s="79"/>
      <c r="E23" s="93"/>
      <c r="F23" s="93"/>
      <c r="G23" s="93"/>
      <c r="H23" s="93"/>
      <c r="I23" s="93"/>
      <c r="J23" s="93"/>
      <c r="K23" s="93"/>
      <c r="L23" s="80">
        <f t="shared" si="1"/>
        <v>0</v>
      </c>
      <c r="M23" s="80">
        <f t="shared" si="3"/>
        <v>0</v>
      </c>
      <c r="N23" s="93"/>
      <c r="O23" s="93"/>
      <c r="P23" s="93"/>
      <c r="Q23" s="93"/>
      <c r="R23" s="93"/>
      <c r="S23" s="88"/>
      <c r="T23" s="79"/>
      <c r="U23" s="90"/>
      <c r="V23" s="90">
        <f>SUM(V3+V5+V4+V6+V7+V8+V9+V10+V11+V12+V13+V14+V15+V16+V17+V18)</f>
        <v>11271.92</v>
      </c>
      <c r="W23" s="77"/>
      <c r="X23" s="186">
        <f>SUM(X3:X21)</f>
        <v>3029.7599999999998</v>
      </c>
    </row>
    <row r="24" spans="1:24" x14ac:dyDescent="0.25">
      <c r="A24" s="72"/>
      <c r="B24" s="72"/>
      <c r="C24" s="72"/>
      <c r="D24" s="162"/>
      <c r="E24" s="72"/>
      <c r="F24" s="72"/>
      <c r="G24" s="72"/>
      <c r="H24" s="69"/>
      <c r="I24" s="73"/>
      <c r="J24" s="73"/>
      <c r="K24" s="72"/>
      <c r="L24" s="72"/>
      <c r="M24" s="80">
        <f t="shared" si="3"/>
        <v>0</v>
      </c>
      <c r="N24" s="72"/>
      <c r="O24" s="70">
        <f t="shared" ref="O24:O25" si="4">I24*7.7%</f>
        <v>0</v>
      </c>
      <c r="P24" s="72"/>
      <c r="Q24" s="72"/>
      <c r="R24" s="72"/>
      <c r="S24" s="184"/>
      <c r="T24" s="69"/>
      <c r="U24" s="72"/>
      <c r="V24" s="72"/>
      <c r="W24" s="72"/>
      <c r="X24" s="25"/>
    </row>
    <row r="25" spans="1:24" x14ac:dyDescent="0.25">
      <c r="A25" s="69" t="s">
        <v>71</v>
      </c>
      <c r="B25" s="69"/>
      <c r="C25" s="69"/>
      <c r="D25" s="162"/>
      <c r="E25" s="69"/>
      <c r="F25" s="69"/>
      <c r="G25" s="160"/>
      <c r="H25" s="69"/>
      <c r="I25" s="109"/>
      <c r="J25" s="109"/>
      <c r="K25" s="69"/>
      <c r="L25" s="74">
        <f>SUM(L3:L23)</f>
        <v>5246.4400000000005</v>
      </c>
      <c r="M25" s="69"/>
      <c r="N25" s="70">
        <f>SUM(N3:N24)</f>
        <v>10655.04</v>
      </c>
      <c r="O25" s="70">
        <f t="shared" si="4"/>
        <v>0</v>
      </c>
      <c r="P25" s="69"/>
      <c r="Q25" s="69"/>
      <c r="R25" s="69"/>
      <c r="S25" s="185"/>
      <c r="T25" s="69"/>
      <c r="U25" s="69"/>
      <c r="V25" s="74"/>
      <c r="W25" s="72"/>
      <c r="X25" s="25"/>
    </row>
    <row r="28" spans="1:24" x14ac:dyDescent="0.25">
      <c r="G28" s="75"/>
    </row>
  </sheetData>
  <mergeCells count="1">
    <mergeCell ref="A1:W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B66C-B363-4B7E-9F7F-D5FB266EB85B}">
  <sheetPr codeName="Planilha5"/>
  <dimension ref="A1:Z25"/>
  <sheetViews>
    <sheetView workbookViewId="0">
      <selection activeCell="Y30" sqref="Y30"/>
    </sheetView>
  </sheetViews>
  <sheetFormatPr defaultRowHeight="15" x14ac:dyDescent="0.25"/>
  <cols>
    <col min="1" max="1" width="35" bestFit="1" customWidth="1"/>
    <col min="2" max="2" width="9.85546875" hidden="1" customWidth="1"/>
    <col min="3" max="3" width="9.85546875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6.140625" customWidth="1"/>
    <col min="8" max="8" width="19.140625" hidden="1" customWidth="1"/>
    <col min="9" max="9" width="11.7109375" hidden="1" customWidth="1"/>
    <col min="10" max="10" width="10.42578125" customWidth="1"/>
    <col min="11" max="11" width="9.140625" hidden="1" customWidth="1"/>
    <col min="12" max="12" width="13.28515625" hidden="1" customWidth="1"/>
    <col min="13" max="13" width="9.140625" hidden="1" customWidth="1"/>
    <col min="14" max="14" width="14.42578125" hidden="1" customWidth="1"/>
    <col min="15" max="15" width="10.28515625" hidden="1" customWidth="1"/>
    <col min="16" max="16" width="9.140625" hidden="1" customWidth="1"/>
    <col min="17" max="17" width="9.7109375" hidden="1" customWidth="1"/>
    <col min="18" max="18" width="10.28515625" hidden="1" customWidth="1"/>
    <col min="19" max="19" width="13.140625" style="118" hidden="1" customWidth="1"/>
    <col min="20" max="20" width="13.140625" hidden="1" customWidth="1"/>
    <col min="21" max="21" width="14.5703125" hidden="1" customWidth="1"/>
    <col min="22" max="22" width="15" hidden="1" customWidth="1"/>
    <col min="23" max="24" width="15" customWidth="1"/>
    <col min="25" max="25" width="23.85546875" customWidth="1"/>
  </cols>
  <sheetData>
    <row r="1" spans="1:25" ht="24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</row>
    <row r="2" spans="1:25" x14ac:dyDescent="0.25">
      <c r="A2" s="67" t="s">
        <v>1</v>
      </c>
      <c r="B2" s="67" t="s">
        <v>2</v>
      </c>
      <c r="C2" s="67" t="s">
        <v>3</v>
      </c>
      <c r="D2" s="161" t="s">
        <v>91</v>
      </c>
      <c r="E2" s="67" t="s">
        <v>9</v>
      </c>
      <c r="F2" s="67" t="s">
        <v>5</v>
      </c>
      <c r="G2" s="67" t="s">
        <v>6</v>
      </c>
      <c r="H2" s="67" t="s">
        <v>7</v>
      </c>
      <c r="I2" s="68" t="s">
        <v>8</v>
      </c>
      <c r="J2" s="68" t="s">
        <v>92</v>
      </c>
      <c r="K2" s="67" t="s">
        <v>10</v>
      </c>
      <c r="L2" s="67" t="s">
        <v>11</v>
      </c>
      <c r="M2" s="67" t="s">
        <v>12</v>
      </c>
      <c r="N2" s="67" t="s">
        <v>13</v>
      </c>
      <c r="O2" s="67" t="s">
        <v>14</v>
      </c>
      <c r="P2" s="67" t="s">
        <v>15</v>
      </c>
      <c r="Q2" s="67" t="s">
        <v>16</v>
      </c>
      <c r="R2" s="67" t="s">
        <v>17</v>
      </c>
      <c r="S2" s="110" t="s">
        <v>18</v>
      </c>
      <c r="T2" s="67" t="s">
        <v>19</v>
      </c>
      <c r="U2" s="67" t="s">
        <v>99</v>
      </c>
      <c r="V2" s="67" t="s">
        <v>100</v>
      </c>
      <c r="W2" s="67" t="s">
        <v>101</v>
      </c>
      <c r="X2" s="67" t="s">
        <v>102</v>
      </c>
      <c r="Y2" s="67" t="s">
        <v>22</v>
      </c>
    </row>
    <row r="3" spans="1:25" x14ac:dyDescent="0.25">
      <c r="A3" s="200" t="s">
        <v>23</v>
      </c>
      <c r="B3" s="201">
        <v>45240</v>
      </c>
      <c r="C3" s="201">
        <v>45240</v>
      </c>
      <c r="D3" s="201"/>
      <c r="E3" s="202"/>
      <c r="F3" s="203"/>
      <c r="G3" s="204" t="s">
        <v>24</v>
      </c>
      <c r="H3" s="204" t="s">
        <v>25</v>
      </c>
      <c r="I3" s="202">
        <v>1634.96</v>
      </c>
      <c r="J3" s="202">
        <v>300</v>
      </c>
      <c r="K3" s="202"/>
      <c r="L3" s="202">
        <f>I3/30*K3</f>
        <v>0</v>
      </c>
      <c r="M3" s="202">
        <f>L3*6%</f>
        <v>0</v>
      </c>
      <c r="N3" s="202">
        <v>653.98</v>
      </c>
      <c r="O3" s="202">
        <f>I3*7.7%</f>
        <v>125.89192</v>
      </c>
      <c r="P3" s="205"/>
      <c r="Q3" s="205"/>
      <c r="R3" s="205"/>
      <c r="S3" s="206"/>
      <c r="T3" s="205"/>
      <c r="U3" s="202"/>
      <c r="V3" s="202">
        <f>N3-U3</f>
        <v>653.98</v>
      </c>
      <c r="W3" s="202"/>
      <c r="X3" s="202">
        <f>1634.96-653.98</f>
        <v>980.98</v>
      </c>
      <c r="Y3" s="203">
        <v>31991488310</v>
      </c>
    </row>
    <row r="4" spans="1:25" x14ac:dyDescent="0.25">
      <c r="A4" s="105" t="s">
        <v>26</v>
      </c>
      <c r="B4" s="76" t="s">
        <v>27</v>
      </c>
      <c r="C4" s="76" t="s">
        <v>27</v>
      </c>
      <c r="D4" s="76"/>
      <c r="E4" s="80"/>
      <c r="F4" s="77"/>
      <c r="G4" s="69" t="s">
        <v>103</v>
      </c>
      <c r="H4" s="69" t="s">
        <v>25</v>
      </c>
      <c r="I4" s="78">
        <v>2289.4299999999998</v>
      </c>
      <c r="J4" s="78"/>
      <c r="K4" s="80"/>
      <c r="L4" s="80">
        <f>1634.96+653.98</f>
        <v>2288.94</v>
      </c>
      <c r="M4" s="80">
        <v>98.29</v>
      </c>
      <c r="N4" s="80">
        <v>653.98</v>
      </c>
      <c r="O4" s="80">
        <f>I4*8.07%</f>
        <v>184.757001</v>
      </c>
      <c r="P4" s="79"/>
      <c r="Q4" s="79"/>
      <c r="R4" s="79"/>
      <c r="S4" s="180"/>
      <c r="T4" s="79"/>
      <c r="U4" s="80"/>
      <c r="V4" s="80">
        <f t="shared" ref="V4:V8" si="0">N4-U4</f>
        <v>653.98</v>
      </c>
      <c r="W4" s="80"/>
      <c r="X4" s="80">
        <v>1353.63</v>
      </c>
      <c r="Y4" s="77" t="s">
        <v>28</v>
      </c>
    </row>
    <row r="5" spans="1:25" x14ac:dyDescent="0.25">
      <c r="A5" s="105" t="s">
        <v>30</v>
      </c>
      <c r="B5" s="76"/>
      <c r="C5" s="76"/>
      <c r="D5" s="76"/>
      <c r="E5" s="80"/>
      <c r="F5" s="77"/>
      <c r="G5" s="69" t="s">
        <v>104</v>
      </c>
      <c r="H5" s="69" t="s">
        <v>25</v>
      </c>
      <c r="I5" s="78">
        <v>1634.96</v>
      </c>
      <c r="J5" s="78"/>
      <c r="K5" s="80"/>
      <c r="L5" s="80">
        <f>I5/30*K5</f>
        <v>0</v>
      </c>
      <c r="M5" s="80">
        <f t="shared" ref="M5:M10" si="1">L5*6%</f>
        <v>0</v>
      </c>
      <c r="N5" s="80">
        <v>653.98</v>
      </c>
      <c r="O5" s="80">
        <f>I5*7.7%</f>
        <v>125.89192</v>
      </c>
      <c r="P5" s="79"/>
      <c r="Q5" s="79"/>
      <c r="R5" s="79"/>
      <c r="S5" s="180"/>
      <c r="T5" s="79"/>
      <c r="U5" s="80"/>
      <c r="V5" s="80">
        <f t="shared" si="0"/>
        <v>653.98</v>
      </c>
      <c r="W5" s="80"/>
      <c r="X5" s="80">
        <v>758.51</v>
      </c>
      <c r="Y5" s="77" t="s">
        <v>31</v>
      </c>
    </row>
    <row r="6" spans="1:25" x14ac:dyDescent="0.25">
      <c r="A6" s="87" t="s">
        <v>38</v>
      </c>
      <c r="B6" s="82"/>
      <c r="C6" s="82">
        <v>45632</v>
      </c>
      <c r="D6" s="82"/>
      <c r="E6" s="85"/>
      <c r="F6" s="83"/>
      <c r="G6" s="92" t="s">
        <v>35</v>
      </c>
      <c r="H6" s="69" t="s">
        <v>25</v>
      </c>
      <c r="I6" s="85">
        <v>1634.96</v>
      </c>
      <c r="J6" s="85">
        <v>300</v>
      </c>
      <c r="K6" s="85"/>
      <c r="L6" s="85">
        <v>1478.75</v>
      </c>
      <c r="M6" s="85">
        <f t="shared" si="1"/>
        <v>88.724999999999994</v>
      </c>
      <c r="N6" s="85">
        <v>653.98</v>
      </c>
      <c r="O6" s="85"/>
      <c r="P6" s="86"/>
      <c r="Q6" s="86"/>
      <c r="R6" s="86"/>
      <c r="S6" s="181"/>
      <c r="T6" s="86"/>
      <c r="U6" s="85"/>
      <c r="V6" s="80">
        <f t="shared" si="0"/>
        <v>653.98</v>
      </c>
      <c r="W6" s="80"/>
      <c r="X6" s="80">
        <v>758.51</v>
      </c>
      <c r="Y6" s="84">
        <v>31981052930</v>
      </c>
    </row>
    <row r="7" spans="1:25" x14ac:dyDescent="0.25">
      <c r="A7" s="200" t="s">
        <v>39</v>
      </c>
      <c r="B7" s="201">
        <v>45293</v>
      </c>
      <c r="C7" s="201"/>
      <c r="D7" s="201"/>
      <c r="E7" s="202"/>
      <c r="F7" s="203"/>
      <c r="G7" s="204" t="s">
        <v>35</v>
      </c>
      <c r="H7" s="204" t="s">
        <v>25</v>
      </c>
      <c r="I7" s="202">
        <v>1634.96</v>
      </c>
      <c r="J7" s="202">
        <v>300</v>
      </c>
      <c r="K7" s="202"/>
      <c r="L7" s="202">
        <v>1478.75</v>
      </c>
      <c r="M7" s="202">
        <f t="shared" si="1"/>
        <v>88.724999999999994</v>
      </c>
      <c r="N7" s="202">
        <v>653.98</v>
      </c>
      <c r="O7" s="202"/>
      <c r="P7" s="205"/>
      <c r="Q7" s="205"/>
      <c r="R7" s="205"/>
      <c r="S7" s="206"/>
      <c r="T7" s="205"/>
      <c r="U7" s="202"/>
      <c r="V7" s="202">
        <f t="shared" si="0"/>
        <v>653.98</v>
      </c>
      <c r="W7" s="202"/>
      <c r="X7" s="202">
        <f>1634.96-653.98-98.1</f>
        <v>882.88</v>
      </c>
      <c r="Y7" s="203" t="s">
        <v>40</v>
      </c>
    </row>
    <row r="8" spans="1:25" x14ac:dyDescent="0.25">
      <c r="A8" s="87" t="s">
        <v>41</v>
      </c>
      <c r="B8" s="82">
        <v>45621</v>
      </c>
      <c r="C8" s="82">
        <v>45643</v>
      </c>
      <c r="D8" s="82"/>
      <c r="E8" s="85"/>
      <c r="F8" s="83"/>
      <c r="G8" s="92" t="s">
        <v>105</v>
      </c>
      <c r="H8" s="69" t="s">
        <v>25</v>
      </c>
      <c r="I8" s="85">
        <v>1634.96</v>
      </c>
      <c r="J8" s="85">
        <v>300</v>
      </c>
      <c r="K8" s="85"/>
      <c r="L8" s="85">
        <f t="shared" ref="L8:L15" si="2">I8/30*K8</f>
        <v>0</v>
      </c>
      <c r="M8" s="85">
        <f t="shared" si="1"/>
        <v>0</v>
      </c>
      <c r="N8" s="85">
        <v>653.98</v>
      </c>
      <c r="O8" s="85">
        <f>L8-M8-N8</f>
        <v>-653.98</v>
      </c>
      <c r="P8" s="84"/>
      <c r="Q8" s="84"/>
      <c r="R8" s="86"/>
      <c r="S8" s="181"/>
      <c r="T8" s="86"/>
      <c r="U8" s="85">
        <v>20</v>
      </c>
      <c r="V8" s="80">
        <f t="shared" si="0"/>
        <v>633.98</v>
      </c>
      <c r="W8" s="80">
        <v>50</v>
      </c>
      <c r="X8" s="80">
        <f>953.51-50</f>
        <v>903.51</v>
      </c>
      <c r="Y8" s="84">
        <v>10105933660</v>
      </c>
    </row>
    <row r="9" spans="1:25" x14ac:dyDescent="0.25">
      <c r="A9" s="105" t="s">
        <v>46</v>
      </c>
      <c r="B9" s="76"/>
      <c r="C9" s="76">
        <v>45497</v>
      </c>
      <c r="D9" s="76"/>
      <c r="E9" s="80"/>
      <c r="F9" s="81"/>
      <c r="G9" s="69" t="s">
        <v>105</v>
      </c>
      <c r="H9" s="69" t="s">
        <v>25</v>
      </c>
      <c r="I9" s="78">
        <v>1634.96</v>
      </c>
      <c r="J9" s="78"/>
      <c r="K9" s="80"/>
      <c r="L9" s="80">
        <f t="shared" si="2"/>
        <v>0</v>
      </c>
      <c r="M9" s="80">
        <f t="shared" si="1"/>
        <v>0</v>
      </c>
      <c r="N9" s="80">
        <v>653.98</v>
      </c>
      <c r="O9" s="80">
        <f>I9*7.7%</f>
        <v>125.89192</v>
      </c>
      <c r="P9" s="79"/>
      <c r="Q9" s="79"/>
      <c r="R9" s="79"/>
      <c r="S9" s="180"/>
      <c r="T9" s="79"/>
      <c r="U9" s="80" t="s">
        <v>106</v>
      </c>
      <c r="V9" s="80">
        <f>N9-277-50</f>
        <v>326.98</v>
      </c>
      <c r="W9" s="80">
        <v>700</v>
      </c>
      <c r="X9" s="80">
        <v>123.51</v>
      </c>
      <c r="Y9" s="77">
        <v>11282952617</v>
      </c>
    </row>
    <row r="10" spans="1:25" x14ac:dyDescent="0.25">
      <c r="A10" s="105" t="s">
        <v>49</v>
      </c>
      <c r="B10" s="76"/>
      <c r="C10" s="76">
        <v>45472</v>
      </c>
      <c r="D10" s="76"/>
      <c r="E10" s="80"/>
      <c r="F10" s="77"/>
      <c r="G10" s="69" t="s">
        <v>105</v>
      </c>
      <c r="H10" s="69" t="s">
        <v>25</v>
      </c>
      <c r="I10" s="78">
        <v>1634.96</v>
      </c>
      <c r="J10" s="78"/>
      <c r="K10" s="80"/>
      <c r="L10" s="80">
        <f t="shared" si="2"/>
        <v>0</v>
      </c>
      <c r="M10" s="80">
        <f t="shared" si="1"/>
        <v>0</v>
      </c>
      <c r="N10" s="80">
        <v>653.98</v>
      </c>
      <c r="O10" s="80">
        <f>I10*7.7%</f>
        <v>125.89192</v>
      </c>
      <c r="P10" s="79"/>
      <c r="Q10" s="79"/>
      <c r="R10" s="79"/>
      <c r="S10" s="180"/>
      <c r="T10" s="79"/>
      <c r="U10" s="80"/>
      <c r="V10" s="80">
        <f>N10-U10</f>
        <v>653.98</v>
      </c>
      <c r="W10" s="80"/>
      <c r="X10" s="80">
        <v>1051.6099999999999</v>
      </c>
      <c r="Y10" s="77" t="s">
        <v>87</v>
      </c>
    </row>
    <row r="11" spans="1:25" x14ac:dyDescent="0.25">
      <c r="A11" s="105" t="s">
        <v>53</v>
      </c>
      <c r="B11" s="76"/>
      <c r="C11" s="76">
        <v>45527</v>
      </c>
      <c r="D11" s="76"/>
      <c r="E11" s="80"/>
      <c r="F11" s="77"/>
      <c r="G11" s="69" t="s">
        <v>105</v>
      </c>
      <c r="H11" s="69" t="s">
        <v>107</v>
      </c>
      <c r="I11" s="78">
        <v>1478.76</v>
      </c>
      <c r="J11" s="78">
        <v>400</v>
      </c>
      <c r="K11" s="80"/>
      <c r="L11" s="80">
        <f t="shared" si="2"/>
        <v>0</v>
      </c>
      <c r="M11" s="80">
        <f>L11*6%</f>
        <v>0</v>
      </c>
      <c r="N11" s="80">
        <v>607.20000000000005</v>
      </c>
      <c r="O11" s="80">
        <f t="shared" ref="O11:O14" si="3">I11*7.7%</f>
        <v>113.86452</v>
      </c>
      <c r="P11" s="79"/>
      <c r="Q11" s="79"/>
      <c r="R11" s="79"/>
      <c r="S11" s="180"/>
      <c r="T11" s="79"/>
      <c r="U11" s="80"/>
      <c r="V11" s="80">
        <f t="shared" ref="V11:V19" si="4">N11-U11</f>
        <v>607.20000000000005</v>
      </c>
      <c r="W11" s="80"/>
      <c r="X11" s="80">
        <v>770.87</v>
      </c>
      <c r="Y11" s="77" t="s">
        <v>56</v>
      </c>
    </row>
    <row r="12" spans="1:25" x14ac:dyDescent="0.25">
      <c r="A12" s="105" t="s">
        <v>57</v>
      </c>
      <c r="B12" s="76"/>
      <c r="C12" s="76">
        <v>45569</v>
      </c>
      <c r="D12" s="76"/>
      <c r="E12" s="80"/>
      <c r="F12" s="77"/>
      <c r="G12" s="69" t="s">
        <v>105</v>
      </c>
      <c r="H12" s="69" t="s">
        <v>25</v>
      </c>
      <c r="I12" s="78">
        <v>1634.96</v>
      </c>
      <c r="J12" s="78">
        <v>300</v>
      </c>
      <c r="K12" s="80"/>
      <c r="L12" s="80">
        <f t="shared" si="2"/>
        <v>0</v>
      </c>
      <c r="M12" s="80">
        <f>L12*6%</f>
        <v>0</v>
      </c>
      <c r="N12" s="80">
        <v>653.98</v>
      </c>
      <c r="O12" s="80">
        <f t="shared" si="3"/>
        <v>125.89192</v>
      </c>
      <c r="P12" s="79"/>
      <c r="Q12" s="79"/>
      <c r="R12" s="79"/>
      <c r="S12" s="180"/>
      <c r="T12" s="79"/>
      <c r="U12" s="80"/>
      <c r="V12" s="80">
        <f t="shared" si="4"/>
        <v>653.98</v>
      </c>
      <c r="W12" s="80">
        <v>100</v>
      </c>
      <c r="X12" s="80">
        <v>658.51</v>
      </c>
      <c r="Y12" s="77" t="s">
        <v>58</v>
      </c>
    </row>
    <row r="13" spans="1:25" x14ac:dyDescent="0.25">
      <c r="A13" s="105" t="s">
        <v>59</v>
      </c>
      <c r="B13" s="76"/>
      <c r="C13" s="76">
        <v>45618</v>
      </c>
      <c r="D13" s="76"/>
      <c r="E13" s="80"/>
      <c r="F13" s="77"/>
      <c r="G13" s="69" t="s">
        <v>105</v>
      </c>
      <c r="H13" s="69" t="s">
        <v>60</v>
      </c>
      <c r="I13" s="78">
        <v>2500</v>
      </c>
      <c r="J13" s="78"/>
      <c r="K13" s="80"/>
      <c r="L13" s="80">
        <f t="shared" si="2"/>
        <v>0</v>
      </c>
      <c r="M13" s="80"/>
      <c r="N13" s="80">
        <v>1200</v>
      </c>
      <c r="O13" s="80">
        <f t="shared" si="3"/>
        <v>192.5</v>
      </c>
      <c r="P13" s="79"/>
      <c r="Q13" s="79"/>
      <c r="R13" s="79"/>
      <c r="S13" s="180"/>
      <c r="T13" s="79"/>
      <c r="U13" s="80"/>
      <c r="V13" s="80">
        <f t="shared" si="4"/>
        <v>1200</v>
      </c>
      <c r="W13" s="80"/>
      <c r="X13" s="80">
        <f>1297.77-200</f>
        <v>1097.77</v>
      </c>
      <c r="Y13" s="77" t="s">
        <v>61</v>
      </c>
    </row>
    <row r="14" spans="1:25" x14ac:dyDescent="0.25">
      <c r="A14" s="105" t="s">
        <v>62</v>
      </c>
      <c r="B14" s="76"/>
      <c r="C14" s="76">
        <v>45420</v>
      </c>
      <c r="D14" s="76"/>
      <c r="E14" s="90"/>
      <c r="F14" s="89"/>
      <c r="G14" s="69" t="s">
        <v>105</v>
      </c>
      <c r="H14" s="69" t="s">
        <v>25</v>
      </c>
      <c r="I14" s="78">
        <v>1634.96</v>
      </c>
      <c r="J14" s="78"/>
      <c r="K14" s="80"/>
      <c r="L14" s="80">
        <f t="shared" si="2"/>
        <v>0</v>
      </c>
      <c r="M14" s="90"/>
      <c r="N14" s="80"/>
      <c r="O14" s="80">
        <f t="shared" si="3"/>
        <v>125.89192</v>
      </c>
      <c r="P14" s="89"/>
      <c r="Q14" s="89"/>
      <c r="R14" s="89"/>
      <c r="S14" s="183"/>
      <c r="T14" s="89"/>
      <c r="U14" s="90"/>
      <c r="V14" s="80">
        <f t="shared" si="4"/>
        <v>0</v>
      </c>
      <c r="W14" s="80"/>
      <c r="X14" s="80">
        <v>1510.59</v>
      </c>
      <c r="Y14" s="77">
        <v>31984452857</v>
      </c>
    </row>
    <row r="15" spans="1:25" x14ac:dyDescent="0.25">
      <c r="A15" s="89" t="s">
        <v>67</v>
      </c>
      <c r="B15" s="76">
        <v>46018</v>
      </c>
      <c r="C15" s="76">
        <v>45685</v>
      </c>
      <c r="D15" s="76">
        <v>45744</v>
      </c>
      <c r="E15" s="90"/>
      <c r="F15" s="89"/>
      <c r="G15" s="69" t="s">
        <v>68</v>
      </c>
      <c r="H15" s="69" t="s">
        <v>25</v>
      </c>
      <c r="I15" s="107">
        <v>1634.96</v>
      </c>
      <c r="J15" s="107"/>
      <c r="K15" s="90"/>
      <c r="L15" s="80">
        <f t="shared" si="2"/>
        <v>0</v>
      </c>
      <c r="M15" s="90"/>
      <c r="N15" s="80">
        <v>653.98</v>
      </c>
      <c r="O15" s="80"/>
      <c r="P15" s="89"/>
      <c r="Q15" s="89"/>
      <c r="R15" s="89"/>
      <c r="S15" s="183"/>
      <c r="T15" s="89"/>
      <c r="U15" s="108"/>
      <c r="V15" s="80">
        <f t="shared" si="4"/>
        <v>653.98</v>
      </c>
      <c r="W15" s="80"/>
      <c r="X15" s="80">
        <v>758.51</v>
      </c>
      <c r="Y15" s="77" t="s">
        <v>88</v>
      </c>
    </row>
    <row r="16" spans="1:25" x14ac:dyDescent="0.25">
      <c r="A16" s="175" t="s">
        <v>89</v>
      </c>
      <c r="B16" s="76">
        <v>45663</v>
      </c>
      <c r="C16" s="76"/>
      <c r="D16" s="76"/>
      <c r="E16" s="90"/>
      <c r="F16" s="89"/>
      <c r="G16" s="69" t="s">
        <v>96</v>
      </c>
      <c r="H16" s="69" t="s">
        <v>25</v>
      </c>
      <c r="I16" s="91">
        <f>3000/31*26</f>
        <v>2516.1290322580649</v>
      </c>
      <c r="J16" s="54"/>
      <c r="K16" s="90"/>
      <c r="L16" s="80"/>
      <c r="M16" s="90"/>
      <c r="N16" s="80">
        <v>1000</v>
      </c>
      <c r="O16" s="80"/>
      <c r="P16" s="89"/>
      <c r="Q16" s="89"/>
      <c r="R16" s="89"/>
      <c r="S16" s="183"/>
      <c r="T16" s="89"/>
      <c r="U16" s="90"/>
      <c r="V16" s="80">
        <f t="shared" si="4"/>
        <v>1000</v>
      </c>
      <c r="W16" s="80"/>
      <c r="X16" s="80">
        <v>1000</v>
      </c>
      <c r="Y16" s="179">
        <v>13196831698</v>
      </c>
    </row>
    <row r="17" spans="1:26" x14ac:dyDescent="0.25">
      <c r="A17" s="175" t="s">
        <v>95</v>
      </c>
      <c r="B17" s="76">
        <v>45698</v>
      </c>
      <c r="C17" s="76">
        <v>45713</v>
      </c>
      <c r="D17" s="76">
        <v>45742</v>
      </c>
      <c r="E17" s="90"/>
      <c r="F17" s="89"/>
      <c r="G17" s="69" t="s">
        <v>105</v>
      </c>
      <c r="H17" s="69" t="s">
        <v>25</v>
      </c>
      <c r="I17" s="91">
        <v>1634.96</v>
      </c>
      <c r="J17" s="54"/>
      <c r="K17" s="90"/>
      <c r="L17" s="80"/>
      <c r="M17" s="90"/>
      <c r="N17" s="80">
        <v>653.98</v>
      </c>
      <c r="O17" s="80"/>
      <c r="P17" s="89"/>
      <c r="Q17" s="89"/>
      <c r="R17" s="89"/>
      <c r="S17" s="180">
        <v>45729</v>
      </c>
      <c r="T17" s="89"/>
      <c r="U17" s="90">
        <v>233</v>
      </c>
      <c r="V17" s="80">
        <f t="shared" si="4"/>
        <v>420.98</v>
      </c>
      <c r="W17" s="80">
        <v>233</v>
      </c>
      <c r="X17" s="80">
        <v>429.52</v>
      </c>
      <c r="Y17" s="179" t="s">
        <v>97</v>
      </c>
    </row>
    <row r="18" spans="1:26" x14ac:dyDescent="0.25">
      <c r="A18" s="175" t="s">
        <v>108</v>
      </c>
      <c r="B18" s="76">
        <v>45716</v>
      </c>
      <c r="C18" s="76">
        <v>45728</v>
      </c>
      <c r="D18" s="76">
        <v>45757</v>
      </c>
      <c r="E18" s="90"/>
      <c r="F18" s="89"/>
      <c r="G18" s="69" t="s">
        <v>109</v>
      </c>
      <c r="H18" s="69" t="s">
        <v>25</v>
      </c>
      <c r="I18" s="91">
        <v>1634.96</v>
      </c>
      <c r="J18" s="54"/>
      <c r="K18" s="90"/>
      <c r="L18" s="80"/>
      <c r="M18" s="90"/>
      <c r="N18" s="80">
        <f>580.15-34.81</f>
        <v>545.33999999999992</v>
      </c>
      <c r="O18" s="80"/>
      <c r="P18" s="89"/>
      <c r="Q18" s="89"/>
      <c r="R18" s="89"/>
      <c r="S18" s="183"/>
      <c r="T18" s="89"/>
      <c r="U18" s="90"/>
      <c r="V18" s="80">
        <f t="shared" si="4"/>
        <v>545.33999999999992</v>
      </c>
      <c r="W18" s="80"/>
      <c r="X18" s="80">
        <v>912.41</v>
      </c>
      <c r="Y18" s="179" t="s">
        <v>110</v>
      </c>
      <c r="Z18" t="s">
        <v>111</v>
      </c>
    </row>
    <row r="19" spans="1:26" x14ac:dyDescent="0.25">
      <c r="A19" s="175" t="s">
        <v>112</v>
      </c>
      <c r="B19" s="76">
        <v>45726</v>
      </c>
      <c r="C19" s="76">
        <v>45736</v>
      </c>
      <c r="D19" s="76"/>
      <c r="E19" s="90"/>
      <c r="F19" s="89"/>
      <c r="G19" s="69" t="s">
        <v>24</v>
      </c>
      <c r="H19" s="69" t="s">
        <v>25</v>
      </c>
      <c r="I19" s="91"/>
      <c r="J19" s="54"/>
      <c r="K19" s="90"/>
      <c r="L19" s="80"/>
      <c r="M19" s="90"/>
      <c r="N19" s="80">
        <v>495.75</v>
      </c>
      <c r="O19" s="80"/>
      <c r="P19" s="89"/>
      <c r="Q19" s="89"/>
      <c r="R19" s="89"/>
      <c r="S19" s="183"/>
      <c r="T19" s="89"/>
      <c r="U19" s="90"/>
      <c r="V19" s="80">
        <f t="shared" si="4"/>
        <v>495.75</v>
      </c>
      <c r="W19" s="80"/>
      <c r="X19" s="80">
        <v>545.28</v>
      </c>
      <c r="Y19" s="179">
        <v>31971919264</v>
      </c>
      <c r="Z19" t="s">
        <v>113</v>
      </c>
    </row>
    <row r="20" spans="1:26" x14ac:dyDescent="0.25">
      <c r="A20" s="93"/>
      <c r="B20" s="79"/>
      <c r="C20" s="79"/>
      <c r="D20" s="79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88"/>
      <c r="T20" s="93"/>
      <c r="U20" s="90"/>
      <c r="V20" s="90"/>
      <c r="W20" s="90"/>
      <c r="X20" s="90"/>
      <c r="Y20" s="77"/>
    </row>
    <row r="21" spans="1:26" x14ac:dyDescent="0.25">
      <c r="A21" s="72"/>
      <c r="B21" s="72"/>
      <c r="C21" s="72"/>
      <c r="D21" s="162"/>
      <c r="E21" s="72"/>
      <c r="F21" s="72"/>
      <c r="G21" s="72"/>
      <c r="H21" s="69"/>
      <c r="I21" s="73"/>
      <c r="J21" s="73"/>
      <c r="K21" s="72"/>
      <c r="L21" s="72"/>
      <c r="M21" s="72"/>
      <c r="N21" s="72"/>
      <c r="O21" s="70">
        <f t="shared" ref="O21:O22" si="5">I21*7.7%</f>
        <v>0</v>
      </c>
      <c r="P21" s="72"/>
      <c r="Q21" s="72"/>
      <c r="R21" s="72"/>
      <c r="S21" s="184"/>
      <c r="T21" s="72"/>
      <c r="U21" s="72"/>
      <c r="V21" s="72"/>
      <c r="W21" s="177"/>
      <c r="X21" s="177"/>
      <c r="Y21" s="72"/>
    </row>
    <row r="22" spans="1:26" x14ac:dyDescent="0.25">
      <c r="A22" s="69" t="s">
        <v>71</v>
      </c>
      <c r="B22" s="69"/>
      <c r="C22" s="69"/>
      <c r="D22" s="162"/>
      <c r="E22" s="69"/>
      <c r="F22" s="69"/>
      <c r="G22" s="160"/>
      <c r="H22" s="69"/>
      <c r="I22" s="109"/>
      <c r="J22" s="109"/>
      <c r="K22" s="69"/>
      <c r="L22" s="74">
        <f>SUM(L3:L20)</f>
        <v>5246.4400000000005</v>
      </c>
      <c r="M22" s="69"/>
      <c r="N22" s="70">
        <f>SUM(N3:N21)</f>
        <v>11042.07</v>
      </c>
      <c r="O22" s="70">
        <f t="shared" si="5"/>
        <v>0</v>
      </c>
      <c r="P22" s="69"/>
      <c r="Q22" s="69"/>
      <c r="R22" s="69"/>
      <c r="S22" s="185"/>
      <c r="T22" s="69"/>
      <c r="U22" s="69"/>
      <c r="V22" s="74">
        <f>SUM(V3:V19)</f>
        <v>10462.07</v>
      </c>
      <c r="W22" s="177"/>
      <c r="X22" s="177">
        <f>SUM(X3+X4+X5+X6+X7+X8+X9+X10+X11+X12+X13+X14+X15+X16+X17+X18+X19)</f>
        <v>14496.600000000002</v>
      </c>
      <c r="Y22" s="72"/>
    </row>
    <row r="25" spans="1:26" x14ac:dyDescent="0.25">
      <c r="G25" s="75"/>
    </row>
  </sheetData>
  <autoFilter ref="G1:G25" xr:uid="{6A25047E-EEC9-4EB5-8E39-790574A310E0}"/>
  <mergeCells count="1">
    <mergeCell ref="A1:Y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D5EE-37B7-48F7-B4C6-4C790CEAACC3}">
  <sheetPr codeName="Planilha6"/>
  <dimension ref="A1:Z32"/>
  <sheetViews>
    <sheetView workbookViewId="0">
      <selection activeCell="A8" sqref="A8"/>
    </sheetView>
  </sheetViews>
  <sheetFormatPr defaultRowHeight="15" x14ac:dyDescent="0.25"/>
  <cols>
    <col min="1" max="1" width="35" bestFit="1" customWidth="1"/>
    <col min="2" max="3" width="9.85546875" customWidth="1"/>
    <col min="4" max="4" width="11.42578125" style="163" customWidth="1"/>
    <col min="5" max="5" width="10.85546875" customWidth="1"/>
    <col min="6" max="6" width="16.7109375" customWidth="1"/>
    <col min="7" max="7" width="16.140625" customWidth="1"/>
    <col min="8" max="8" width="19.140625" customWidth="1"/>
    <col min="9" max="9" width="11.7109375" customWidth="1"/>
    <col min="10" max="10" width="10.42578125" customWidth="1"/>
    <col min="11" max="11" width="9.140625" customWidth="1"/>
    <col min="12" max="12" width="13.28515625" customWidth="1"/>
    <col min="13" max="13" width="9.140625" customWidth="1"/>
    <col min="14" max="14" width="14.42578125" customWidth="1"/>
    <col min="15" max="15" width="10.28515625" customWidth="1"/>
    <col min="16" max="16" width="16.140625" customWidth="1"/>
    <col min="17" max="17" width="9.7109375" customWidth="1"/>
    <col min="18" max="18" width="10.28515625" customWidth="1"/>
    <col min="19" max="19" width="13.140625" style="118" customWidth="1"/>
    <col min="20" max="20" width="13.140625" customWidth="1"/>
    <col min="21" max="21" width="14.5703125" customWidth="1"/>
    <col min="22" max="24" width="15" customWidth="1"/>
    <col min="25" max="25" width="23.85546875" customWidth="1"/>
  </cols>
  <sheetData>
    <row r="1" spans="1:26" ht="24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</row>
    <row r="2" spans="1:26" x14ac:dyDescent="0.25">
      <c r="A2" s="67" t="s">
        <v>1</v>
      </c>
      <c r="B2" s="67" t="s">
        <v>2</v>
      </c>
      <c r="C2" s="67" t="s">
        <v>3</v>
      </c>
      <c r="D2" s="161" t="s">
        <v>91</v>
      </c>
      <c r="E2" s="67" t="s">
        <v>9</v>
      </c>
      <c r="F2" s="67" t="s">
        <v>5</v>
      </c>
      <c r="G2" s="67" t="s">
        <v>6</v>
      </c>
      <c r="H2" s="67" t="s">
        <v>7</v>
      </c>
      <c r="I2" s="68" t="s">
        <v>8</v>
      </c>
      <c r="J2" s="68" t="s">
        <v>92</v>
      </c>
      <c r="K2" s="67" t="s">
        <v>10</v>
      </c>
      <c r="L2" s="67" t="s">
        <v>11</v>
      </c>
      <c r="M2" s="67" t="s">
        <v>12</v>
      </c>
      <c r="N2" s="67" t="s">
        <v>13</v>
      </c>
      <c r="O2" s="67" t="s">
        <v>14</v>
      </c>
      <c r="P2" s="67" t="s">
        <v>15</v>
      </c>
      <c r="Q2" s="67" t="s">
        <v>16</v>
      </c>
      <c r="R2" s="67" t="s">
        <v>17</v>
      </c>
      <c r="S2" s="110" t="s">
        <v>18</v>
      </c>
      <c r="T2" s="67" t="s">
        <v>19</v>
      </c>
      <c r="U2" s="67" t="s">
        <v>99</v>
      </c>
      <c r="V2" s="67" t="s">
        <v>100</v>
      </c>
      <c r="W2" s="67" t="s">
        <v>101</v>
      </c>
      <c r="X2" s="67" t="s">
        <v>102</v>
      </c>
      <c r="Y2" s="67" t="s">
        <v>22</v>
      </c>
    </row>
    <row r="3" spans="1:26" x14ac:dyDescent="0.25">
      <c r="A3" s="105" t="s">
        <v>23</v>
      </c>
      <c r="B3" s="76">
        <v>45240</v>
      </c>
      <c r="C3" s="76">
        <v>45240</v>
      </c>
      <c r="D3" s="76"/>
      <c r="E3" s="80"/>
      <c r="F3" s="81">
        <v>45773</v>
      </c>
      <c r="G3" s="69" t="s">
        <v>24</v>
      </c>
      <c r="H3" s="69" t="s">
        <v>25</v>
      </c>
      <c r="I3" s="78">
        <v>1634.96</v>
      </c>
      <c r="J3" s="78">
        <v>300</v>
      </c>
      <c r="K3" s="80"/>
      <c r="L3" s="80">
        <f>I3/30*K3</f>
        <v>0</v>
      </c>
      <c r="M3" s="80">
        <f>L3*6%</f>
        <v>0</v>
      </c>
      <c r="N3" s="80">
        <v>653.98</v>
      </c>
      <c r="O3" s="80">
        <f>I3*7.7%</f>
        <v>125.89192</v>
      </c>
      <c r="P3" s="79"/>
      <c r="Q3" s="79"/>
      <c r="R3" s="79"/>
      <c r="S3" s="180"/>
      <c r="T3" s="79"/>
      <c r="U3" s="80"/>
      <c r="V3" s="80">
        <v>653.98</v>
      </c>
      <c r="W3" s="80"/>
      <c r="X3" s="80"/>
      <c r="Y3" s="77">
        <v>31991488310</v>
      </c>
      <c r="Z3">
        <v>344.96</v>
      </c>
    </row>
    <row r="4" spans="1:26" x14ac:dyDescent="0.25">
      <c r="A4" s="105" t="s">
        <v>26</v>
      </c>
      <c r="B4" s="76" t="s">
        <v>27</v>
      </c>
      <c r="C4" s="76" t="s">
        <v>27</v>
      </c>
      <c r="D4" s="76"/>
      <c r="E4" s="80"/>
      <c r="F4" s="77"/>
      <c r="G4" s="69" t="s">
        <v>103</v>
      </c>
      <c r="H4" s="69" t="s">
        <v>25</v>
      </c>
      <c r="I4" s="78">
        <v>2289.4299999999998</v>
      </c>
      <c r="J4" s="78"/>
      <c r="K4" s="80"/>
      <c r="L4" s="80">
        <f>1634.96+653.98</f>
        <v>2288.94</v>
      </c>
      <c r="M4" s="80">
        <v>98.29</v>
      </c>
      <c r="N4" s="80">
        <v>653.98</v>
      </c>
      <c r="O4" s="80">
        <f>I4*8.07%</f>
        <v>184.757001</v>
      </c>
      <c r="P4" s="79"/>
      <c r="Q4" s="79"/>
      <c r="R4" s="79"/>
      <c r="S4" s="180"/>
      <c r="T4" s="79"/>
      <c r="U4" s="80"/>
      <c r="V4" s="80">
        <v>653.98</v>
      </c>
      <c r="W4" s="80"/>
      <c r="X4" s="80">
        <v>1605</v>
      </c>
      <c r="Y4" s="77" t="s">
        <v>28</v>
      </c>
    </row>
    <row r="5" spans="1:26" x14ac:dyDescent="0.25">
      <c r="A5" s="105" t="s">
        <v>30</v>
      </c>
      <c r="B5" s="76"/>
      <c r="C5" s="76"/>
      <c r="D5" s="76">
        <v>45785</v>
      </c>
      <c r="E5" s="80"/>
      <c r="F5" s="77"/>
      <c r="G5" s="69" t="s">
        <v>104</v>
      </c>
      <c r="H5" s="69" t="s">
        <v>25</v>
      </c>
      <c r="I5" s="78">
        <v>1634.96</v>
      </c>
      <c r="J5" s="78"/>
      <c r="K5" s="80"/>
      <c r="L5" s="80">
        <f>I5/30*K5</f>
        <v>0</v>
      </c>
      <c r="M5" s="80">
        <f t="shared" ref="M5:M10" si="0">L5*6%</f>
        <v>0</v>
      </c>
      <c r="N5" s="80">
        <v>653.98</v>
      </c>
      <c r="O5" s="80">
        <f>I5*7.7%</f>
        <v>125.89192</v>
      </c>
      <c r="P5" s="79"/>
      <c r="Q5" s="79"/>
      <c r="R5" s="79"/>
      <c r="S5" s="180"/>
      <c r="T5" s="79"/>
      <c r="U5" s="80"/>
      <c r="V5" s="80">
        <v>653.98</v>
      </c>
      <c r="W5" s="80"/>
      <c r="X5" s="80">
        <v>920</v>
      </c>
      <c r="Y5" s="77" t="s">
        <v>31</v>
      </c>
    </row>
    <row r="6" spans="1:26" x14ac:dyDescent="0.25">
      <c r="A6" s="87" t="s">
        <v>38</v>
      </c>
      <c r="B6" s="82"/>
      <c r="C6" s="82">
        <v>45632</v>
      </c>
      <c r="D6" s="82"/>
      <c r="E6" s="85"/>
      <c r="F6" s="83"/>
      <c r="G6" s="92" t="s">
        <v>35</v>
      </c>
      <c r="H6" s="69" t="s">
        <v>25</v>
      </c>
      <c r="I6" s="85">
        <v>1634.96</v>
      </c>
      <c r="J6" s="85">
        <v>300</v>
      </c>
      <c r="K6" s="85"/>
      <c r="L6" s="85">
        <v>1478.75</v>
      </c>
      <c r="M6" s="85">
        <f t="shared" si="0"/>
        <v>88.724999999999994</v>
      </c>
      <c r="N6" s="85">
        <v>653.98</v>
      </c>
      <c r="O6" s="85"/>
      <c r="P6" s="86"/>
      <c r="Q6" s="86"/>
      <c r="R6" s="86"/>
      <c r="S6" s="181"/>
      <c r="T6" s="86"/>
      <c r="U6" s="85"/>
      <c r="V6" s="85">
        <v>653.98</v>
      </c>
      <c r="W6" s="80"/>
      <c r="X6" s="80">
        <v>857</v>
      </c>
      <c r="Y6" s="84">
        <v>31981052930</v>
      </c>
    </row>
    <row r="7" spans="1:26" x14ac:dyDescent="0.25">
      <c r="A7" s="106" t="s">
        <v>39</v>
      </c>
      <c r="B7" s="94">
        <v>45293</v>
      </c>
      <c r="C7" s="94"/>
      <c r="D7" s="94"/>
      <c r="E7" s="98"/>
      <c r="F7" s="96"/>
      <c r="G7" s="97" t="s">
        <v>35</v>
      </c>
      <c r="H7" s="69" t="s">
        <v>25</v>
      </c>
      <c r="I7" s="98">
        <v>1634.96</v>
      </c>
      <c r="J7" s="98">
        <v>300</v>
      </c>
      <c r="K7" s="98"/>
      <c r="L7" s="98">
        <v>1478.75</v>
      </c>
      <c r="M7" s="98">
        <f t="shared" si="0"/>
        <v>88.724999999999994</v>
      </c>
      <c r="N7" s="98">
        <v>653.98</v>
      </c>
      <c r="O7" s="98"/>
      <c r="P7" s="99"/>
      <c r="Q7" s="99"/>
      <c r="R7" s="99"/>
      <c r="S7" s="182"/>
      <c r="T7" s="99"/>
      <c r="U7" s="98"/>
      <c r="V7" s="98">
        <v>653.98</v>
      </c>
      <c r="W7" s="80"/>
      <c r="X7" s="80">
        <f>1634.96-98.1-653.98</f>
        <v>882.88000000000011</v>
      </c>
      <c r="Y7" s="96" t="s">
        <v>40</v>
      </c>
    </row>
    <row r="8" spans="1:26" x14ac:dyDescent="0.25">
      <c r="A8" s="87" t="s">
        <v>41</v>
      </c>
      <c r="B8" s="82">
        <v>45621</v>
      </c>
      <c r="C8" s="82">
        <v>45643</v>
      </c>
      <c r="D8" s="82"/>
      <c r="E8" s="85"/>
      <c r="F8" s="83"/>
      <c r="G8" s="92" t="s">
        <v>105</v>
      </c>
      <c r="H8" s="69" t="s">
        <v>25</v>
      </c>
      <c r="I8" s="85">
        <v>1634.96</v>
      </c>
      <c r="J8" s="85">
        <v>300</v>
      </c>
      <c r="K8" s="85"/>
      <c r="L8" s="85">
        <f t="shared" ref="L8:L15" si="1">I8/30*K8</f>
        <v>0</v>
      </c>
      <c r="M8" s="85">
        <f t="shared" si="0"/>
        <v>0</v>
      </c>
      <c r="N8" s="85">
        <v>653.98</v>
      </c>
      <c r="O8" s="85">
        <f>L8-M8-N8</f>
        <v>-653.98</v>
      </c>
      <c r="P8" s="84"/>
      <c r="Q8" s="84"/>
      <c r="R8" s="86"/>
      <c r="S8" s="181"/>
      <c r="T8" s="86"/>
      <c r="U8" s="85">
        <v>200</v>
      </c>
      <c r="V8" s="85">
        <v>653.98</v>
      </c>
      <c r="W8" s="80"/>
      <c r="X8" s="80">
        <v>953</v>
      </c>
      <c r="Y8" s="84">
        <v>10105933660</v>
      </c>
      <c r="Z8" t="s">
        <v>197</v>
      </c>
    </row>
    <row r="9" spans="1:26" x14ac:dyDescent="0.25">
      <c r="A9" s="105" t="s">
        <v>46</v>
      </c>
      <c r="B9" s="76"/>
      <c r="C9" s="76">
        <v>45497</v>
      </c>
      <c r="D9" s="76"/>
      <c r="E9" s="80"/>
      <c r="F9" s="81"/>
      <c r="G9" s="69" t="s">
        <v>105</v>
      </c>
      <c r="H9" s="69" t="s">
        <v>25</v>
      </c>
      <c r="I9" s="78">
        <v>1634.96</v>
      </c>
      <c r="J9" s="78"/>
      <c r="K9" s="80"/>
      <c r="L9" s="80">
        <f t="shared" si="1"/>
        <v>0</v>
      </c>
      <c r="M9" s="80">
        <f t="shared" si="0"/>
        <v>0</v>
      </c>
      <c r="N9" s="80">
        <v>433.98</v>
      </c>
      <c r="O9" s="80">
        <f>I9*7.7%</f>
        <v>125.89192</v>
      </c>
      <c r="P9" s="79"/>
      <c r="Q9" s="79"/>
      <c r="R9" s="79"/>
      <c r="S9" s="180">
        <v>45765</v>
      </c>
      <c r="T9" s="79" t="s">
        <v>178</v>
      </c>
      <c r="U9" s="80">
        <f>140+80</f>
        <v>220</v>
      </c>
      <c r="V9" s="80">
        <v>653.98</v>
      </c>
      <c r="W9" s="80">
        <v>286</v>
      </c>
      <c r="X9" s="80">
        <v>438</v>
      </c>
      <c r="Y9" s="77">
        <v>11282952617</v>
      </c>
    </row>
    <row r="10" spans="1:26" x14ac:dyDescent="0.25">
      <c r="A10" s="105" t="s">
        <v>49</v>
      </c>
      <c r="B10" s="76"/>
      <c r="C10" s="76">
        <v>45472</v>
      </c>
      <c r="D10" s="76"/>
      <c r="E10" s="80"/>
      <c r="F10" s="77"/>
      <c r="G10" s="69" t="s">
        <v>105</v>
      </c>
      <c r="H10" s="69" t="s">
        <v>25</v>
      </c>
      <c r="I10" s="78">
        <v>1634.96</v>
      </c>
      <c r="J10" s="78"/>
      <c r="K10" s="80"/>
      <c r="L10" s="80">
        <f t="shared" si="1"/>
        <v>0</v>
      </c>
      <c r="M10" s="80">
        <f t="shared" si="0"/>
        <v>0</v>
      </c>
      <c r="N10" s="80">
        <v>653.98</v>
      </c>
      <c r="O10" s="80">
        <f>I10*7.7%</f>
        <v>125.89192</v>
      </c>
      <c r="P10" s="79"/>
      <c r="Q10" s="79"/>
      <c r="R10" s="79"/>
      <c r="S10" s="180"/>
      <c r="T10" s="79"/>
      <c r="U10" s="80">
        <f>35+75</f>
        <v>110</v>
      </c>
      <c r="V10" s="80">
        <v>653.98</v>
      </c>
      <c r="W10" s="80">
        <v>120</v>
      </c>
      <c r="X10" s="80">
        <f>987-120</f>
        <v>867</v>
      </c>
      <c r="Y10" s="77" t="s">
        <v>87</v>
      </c>
    </row>
    <row r="11" spans="1:26" x14ac:dyDescent="0.25">
      <c r="A11" s="105" t="s">
        <v>53</v>
      </c>
      <c r="B11" s="76"/>
      <c r="C11" s="76">
        <v>45527</v>
      </c>
      <c r="D11" s="76"/>
      <c r="E11" s="80"/>
      <c r="F11" s="77"/>
      <c r="G11" s="69" t="s">
        <v>105</v>
      </c>
      <c r="H11" s="69" t="s">
        <v>107</v>
      </c>
      <c r="I11" s="78">
        <v>1478.76</v>
      </c>
      <c r="J11" s="78">
        <v>400</v>
      </c>
      <c r="K11" s="80"/>
      <c r="L11" s="80">
        <f t="shared" si="1"/>
        <v>0</v>
      </c>
      <c r="M11" s="80">
        <f>L11*6%</f>
        <v>0</v>
      </c>
      <c r="N11" s="80">
        <v>607.20000000000005</v>
      </c>
      <c r="O11" s="80">
        <f t="shared" ref="O11:O14" si="2">I11*7.7%</f>
        <v>113.86452</v>
      </c>
      <c r="P11" s="79"/>
      <c r="Q11" s="79"/>
      <c r="R11" s="79"/>
      <c r="S11" s="180"/>
      <c r="T11" s="79"/>
      <c r="U11" s="80"/>
      <c r="V11" s="80">
        <v>607.20000000000005</v>
      </c>
      <c r="W11" s="80">
        <v>115</v>
      </c>
      <c r="X11" s="80">
        <v>655</v>
      </c>
      <c r="Y11" s="77" t="s">
        <v>56</v>
      </c>
    </row>
    <row r="12" spans="1:26" x14ac:dyDescent="0.25">
      <c r="A12" s="105" t="s">
        <v>57</v>
      </c>
      <c r="B12" s="76"/>
      <c r="C12" s="76">
        <v>45569</v>
      </c>
      <c r="D12" s="76"/>
      <c r="E12" s="80"/>
      <c r="F12" s="77"/>
      <c r="G12" s="69" t="s">
        <v>105</v>
      </c>
      <c r="H12" s="69" t="s">
        <v>25</v>
      </c>
      <c r="I12" s="78">
        <v>1634.96</v>
      </c>
      <c r="J12" s="78">
        <v>300</v>
      </c>
      <c r="K12" s="80"/>
      <c r="L12" s="80">
        <f t="shared" si="1"/>
        <v>0</v>
      </c>
      <c r="M12" s="80">
        <f>L12*6%</f>
        <v>0</v>
      </c>
      <c r="N12" s="80">
        <v>653.98</v>
      </c>
      <c r="O12" s="80">
        <f t="shared" si="2"/>
        <v>125.89192</v>
      </c>
      <c r="P12" s="79"/>
      <c r="Q12" s="79"/>
      <c r="R12" s="79"/>
      <c r="S12" s="180"/>
      <c r="T12" s="79"/>
      <c r="U12" s="80"/>
      <c r="V12" s="80">
        <v>653.98</v>
      </c>
      <c r="W12" s="80">
        <v>36</v>
      </c>
      <c r="X12" s="80">
        <v>722</v>
      </c>
      <c r="Y12" s="77" t="s">
        <v>58</v>
      </c>
    </row>
    <row r="13" spans="1:26" x14ac:dyDescent="0.25">
      <c r="A13" s="105" t="s">
        <v>59</v>
      </c>
      <c r="B13" s="76"/>
      <c r="C13" s="76">
        <v>45618</v>
      </c>
      <c r="D13" s="76"/>
      <c r="E13" s="80"/>
      <c r="F13" s="77"/>
      <c r="G13" s="69" t="s">
        <v>105</v>
      </c>
      <c r="H13" s="69" t="s">
        <v>60</v>
      </c>
      <c r="I13" s="78">
        <v>2500</v>
      </c>
      <c r="J13" s="78"/>
      <c r="K13" s="80"/>
      <c r="L13" s="80">
        <f t="shared" si="1"/>
        <v>0</v>
      </c>
      <c r="M13" s="80"/>
      <c r="N13" s="80">
        <v>1200</v>
      </c>
      <c r="O13" s="80">
        <f t="shared" si="2"/>
        <v>192.5</v>
      </c>
      <c r="P13" s="79"/>
      <c r="Q13" s="79"/>
      <c r="R13" s="79"/>
      <c r="S13" s="180"/>
      <c r="T13" s="79"/>
      <c r="U13" s="80"/>
      <c r="V13" s="80">
        <v>1200</v>
      </c>
      <c r="W13" s="80"/>
      <c r="X13" s="80"/>
      <c r="Y13" s="77" t="s">
        <v>61</v>
      </c>
    </row>
    <row r="14" spans="1:26" x14ac:dyDescent="0.25">
      <c r="A14" s="105" t="s">
        <v>62</v>
      </c>
      <c r="B14" s="76"/>
      <c r="C14" s="76">
        <v>45420</v>
      </c>
      <c r="D14" s="76"/>
      <c r="E14" s="90"/>
      <c r="F14" s="159">
        <v>45779</v>
      </c>
      <c r="G14" s="69" t="s">
        <v>105</v>
      </c>
      <c r="H14" s="69" t="s">
        <v>25</v>
      </c>
      <c r="I14" s="78">
        <v>1634.96</v>
      </c>
      <c r="J14" s="78"/>
      <c r="K14" s="80"/>
      <c r="L14" s="80">
        <f t="shared" si="1"/>
        <v>0</v>
      </c>
      <c r="M14" s="90"/>
      <c r="N14" s="80"/>
      <c r="O14" s="80">
        <f t="shared" si="2"/>
        <v>125.89192</v>
      </c>
      <c r="P14" s="89"/>
      <c r="Q14" s="89"/>
      <c r="R14" s="89"/>
      <c r="S14" s="183"/>
      <c r="T14" s="89"/>
      <c r="U14" s="90"/>
      <c r="V14" s="80"/>
      <c r="W14" s="80"/>
      <c r="X14" s="80">
        <v>1511</v>
      </c>
      <c r="Y14" s="77">
        <v>31984452857</v>
      </c>
    </row>
    <row r="15" spans="1:26" x14ac:dyDescent="0.25">
      <c r="A15" s="89" t="s">
        <v>67</v>
      </c>
      <c r="B15" s="76">
        <v>46018</v>
      </c>
      <c r="C15" s="76">
        <v>45685</v>
      </c>
      <c r="D15" s="76">
        <v>45744</v>
      </c>
      <c r="E15" s="90"/>
      <c r="F15" s="159">
        <v>45777</v>
      </c>
      <c r="G15" s="69" t="s">
        <v>68</v>
      </c>
      <c r="H15" s="69" t="s">
        <v>25</v>
      </c>
      <c r="I15" s="107">
        <v>1634.96</v>
      </c>
      <c r="J15" s="107"/>
      <c r="K15" s="90"/>
      <c r="L15" s="80">
        <f t="shared" si="1"/>
        <v>0</v>
      </c>
      <c r="M15" s="90"/>
      <c r="N15" s="80">
        <v>653.98</v>
      </c>
      <c r="O15" s="80"/>
      <c r="P15" s="89"/>
      <c r="Q15" s="89"/>
      <c r="R15" s="89"/>
      <c r="S15" s="183">
        <v>45773</v>
      </c>
      <c r="T15" s="89" t="s">
        <v>37</v>
      </c>
      <c r="U15" s="108"/>
      <c r="V15" s="80">
        <v>653.98</v>
      </c>
      <c r="W15" s="80"/>
      <c r="X15" s="80">
        <v>0</v>
      </c>
      <c r="Y15" s="77" t="s">
        <v>88</v>
      </c>
    </row>
    <row r="16" spans="1:26" x14ac:dyDescent="0.25">
      <c r="A16" s="15" t="s">
        <v>89</v>
      </c>
      <c r="B16" s="76">
        <v>45663</v>
      </c>
      <c r="C16" s="76"/>
      <c r="D16" s="76"/>
      <c r="E16" s="90"/>
      <c r="F16" s="89"/>
      <c r="G16" s="69" t="s">
        <v>96</v>
      </c>
      <c r="H16" s="69" t="s">
        <v>25</v>
      </c>
      <c r="I16" s="91">
        <f>3000/31*26</f>
        <v>2516.1290322580649</v>
      </c>
      <c r="J16" s="54"/>
      <c r="K16" s="90"/>
      <c r="L16" s="80"/>
      <c r="M16" s="90"/>
      <c r="N16" s="80">
        <f>1000-415</f>
        <v>585</v>
      </c>
      <c r="O16" s="80"/>
      <c r="P16" s="89"/>
      <c r="Q16" s="89"/>
      <c r="R16" s="89"/>
      <c r="S16" s="183"/>
      <c r="T16" s="89"/>
      <c r="U16" s="90">
        <v>415</v>
      </c>
      <c r="V16" s="80">
        <f>1000-415</f>
        <v>585</v>
      </c>
      <c r="W16" s="80">
        <f>136+60</f>
        <v>196</v>
      </c>
      <c r="X16" s="80">
        <f>1000-W16</f>
        <v>804</v>
      </c>
      <c r="Y16" s="179">
        <v>13196831698</v>
      </c>
      <c r="Z16">
        <v>200</v>
      </c>
    </row>
    <row r="17" spans="1:26" x14ac:dyDescent="0.25">
      <c r="A17" s="15" t="s">
        <v>95</v>
      </c>
      <c r="B17" s="76">
        <v>45698</v>
      </c>
      <c r="C17" s="76">
        <v>45713</v>
      </c>
      <c r="D17" s="76">
        <v>45742</v>
      </c>
      <c r="E17" s="90"/>
      <c r="F17" s="89"/>
      <c r="G17" s="69" t="s">
        <v>105</v>
      </c>
      <c r="H17" s="69" t="s">
        <v>25</v>
      </c>
      <c r="I17" s="91">
        <v>1634.96</v>
      </c>
      <c r="J17" s="54"/>
      <c r="K17" s="90"/>
      <c r="L17" s="80"/>
      <c r="M17" s="90"/>
      <c r="N17" s="80">
        <v>420.98</v>
      </c>
      <c r="O17" s="80"/>
      <c r="P17" s="89"/>
      <c r="Q17" s="89"/>
      <c r="R17" s="89"/>
      <c r="S17" s="180"/>
      <c r="T17" s="89"/>
      <c r="U17" s="90">
        <v>233</v>
      </c>
      <c r="V17" s="80">
        <f>653.98-U17</f>
        <v>420.98</v>
      </c>
      <c r="W17" s="80"/>
      <c r="X17" s="80">
        <v>824</v>
      </c>
      <c r="Y17" s="179" t="s">
        <v>97</v>
      </c>
    </row>
    <row r="18" spans="1:26" x14ac:dyDescent="0.25">
      <c r="A18" s="15" t="s">
        <v>108</v>
      </c>
      <c r="B18" s="76">
        <v>45716</v>
      </c>
      <c r="C18" s="76">
        <v>45728</v>
      </c>
      <c r="D18" s="76">
        <v>45786</v>
      </c>
      <c r="E18" s="90"/>
      <c r="F18" s="89"/>
      <c r="G18" s="69" t="s">
        <v>24</v>
      </c>
      <c r="H18" s="69" t="s">
        <v>25</v>
      </c>
      <c r="I18" s="91">
        <v>1634.96</v>
      </c>
      <c r="J18" s="54"/>
      <c r="K18" s="90"/>
      <c r="L18" s="80"/>
      <c r="M18" s="90"/>
      <c r="N18" s="80">
        <v>653.98</v>
      </c>
      <c r="O18" s="80"/>
      <c r="P18" s="89"/>
      <c r="Q18" s="89"/>
      <c r="R18" s="89"/>
      <c r="S18" s="183"/>
      <c r="T18" s="89"/>
      <c r="U18" s="90"/>
      <c r="V18" s="80">
        <v>653.98</v>
      </c>
      <c r="W18" s="80"/>
      <c r="X18" s="80">
        <v>881</v>
      </c>
      <c r="Y18" s="179" t="s">
        <v>110</v>
      </c>
    </row>
    <row r="19" spans="1:26" x14ac:dyDescent="0.25">
      <c r="A19" s="15" t="s">
        <v>112</v>
      </c>
      <c r="B19" s="76">
        <v>45726</v>
      </c>
      <c r="C19" s="76">
        <v>45751</v>
      </c>
      <c r="D19" s="76"/>
      <c r="E19" s="90"/>
      <c r="F19" s="89"/>
      <c r="G19" s="69" t="s">
        <v>24</v>
      </c>
      <c r="H19" s="69" t="s">
        <v>25</v>
      </c>
      <c r="I19" s="91">
        <v>1634.96</v>
      </c>
      <c r="J19" s="54"/>
      <c r="K19" s="90"/>
      <c r="L19" s="80"/>
      <c r="M19" s="90"/>
      <c r="N19" s="80">
        <v>653.98</v>
      </c>
      <c r="O19" s="80"/>
      <c r="P19" s="89"/>
      <c r="Q19" s="89"/>
      <c r="R19" s="89"/>
      <c r="S19" s="183">
        <v>45776</v>
      </c>
      <c r="T19" s="89" t="s">
        <v>37</v>
      </c>
      <c r="U19" s="90"/>
      <c r="V19" s="80">
        <v>653.98</v>
      </c>
      <c r="W19" s="80"/>
      <c r="X19" s="80">
        <f>1634.96/30*3-9.81+562</f>
        <v>715.68599999999992</v>
      </c>
      <c r="Y19" s="179">
        <v>31971919264</v>
      </c>
    </row>
    <row r="20" spans="1:26" x14ac:dyDescent="0.25">
      <c r="A20" s="93" t="s">
        <v>166</v>
      </c>
      <c r="B20" s="79"/>
      <c r="C20" s="76">
        <v>45628</v>
      </c>
      <c r="D20" s="79"/>
      <c r="E20" s="93"/>
      <c r="F20" s="93"/>
      <c r="G20" s="79" t="s">
        <v>96</v>
      </c>
      <c r="H20" s="93" t="s">
        <v>170</v>
      </c>
      <c r="I20" s="93">
        <v>2500</v>
      </c>
      <c r="J20" s="93"/>
      <c r="K20" s="93"/>
      <c r="L20" s="93"/>
      <c r="M20" s="93"/>
      <c r="N20" s="93">
        <v>400</v>
      </c>
      <c r="O20" s="93"/>
      <c r="P20" s="93"/>
      <c r="Q20" s="93"/>
      <c r="R20" s="93"/>
      <c r="S20" s="88"/>
      <c r="T20" s="93"/>
      <c r="U20" s="90">
        <v>200</v>
      </c>
      <c r="V20" s="93">
        <v>200</v>
      </c>
      <c r="W20" s="90"/>
      <c r="X20" s="90">
        <f>2500-400</f>
        <v>2100</v>
      </c>
      <c r="Y20" s="77" t="s">
        <v>172</v>
      </c>
    </row>
    <row r="21" spans="1:26" x14ac:dyDescent="0.25">
      <c r="A21" s="212" t="s">
        <v>76</v>
      </c>
      <c r="B21" s="72"/>
      <c r="C21" s="71">
        <v>45566</v>
      </c>
      <c r="D21" s="162"/>
      <c r="E21" s="72"/>
      <c r="F21" s="72"/>
      <c r="G21" s="69" t="s">
        <v>96</v>
      </c>
      <c r="H21" s="69" t="s">
        <v>171</v>
      </c>
      <c r="I21" s="73">
        <v>1634.96</v>
      </c>
      <c r="J21" s="73"/>
      <c r="K21" s="72"/>
      <c r="L21" s="72"/>
      <c r="M21" s="72"/>
      <c r="N21" s="72"/>
      <c r="O21" s="70">
        <f t="shared" ref="O21:O29" si="3">I21*7.7%</f>
        <v>125.89192</v>
      </c>
      <c r="P21" s="72"/>
      <c r="Q21" s="72"/>
      <c r="R21" s="72"/>
      <c r="S21" s="184"/>
      <c r="T21" s="72"/>
      <c r="U21" s="72"/>
      <c r="V21" s="72"/>
      <c r="W21" s="177">
        <v>40</v>
      </c>
      <c r="X21" s="177">
        <v>1372</v>
      </c>
      <c r="Y21" s="198">
        <v>31982078680</v>
      </c>
    </row>
    <row r="22" spans="1:26" x14ac:dyDescent="0.25">
      <c r="A22" s="212" t="s">
        <v>167</v>
      </c>
      <c r="B22" s="72"/>
      <c r="C22" s="71">
        <v>45980</v>
      </c>
      <c r="D22" s="162"/>
      <c r="E22" s="72"/>
      <c r="F22" s="72"/>
      <c r="G22" s="69" t="s">
        <v>104</v>
      </c>
      <c r="H22" s="69" t="s">
        <v>74</v>
      </c>
      <c r="I22" s="73">
        <v>1634.96</v>
      </c>
      <c r="J22" s="73"/>
      <c r="K22" s="72"/>
      <c r="L22" s="72"/>
      <c r="M22" s="72"/>
      <c r="N22" s="72">
        <v>653.98</v>
      </c>
      <c r="O22" s="70"/>
      <c r="P22" s="72"/>
      <c r="Q22" s="72"/>
      <c r="R22" s="72"/>
      <c r="S22" s="184"/>
      <c r="T22" s="72"/>
      <c r="U22" s="72"/>
      <c r="V22" s="72">
        <v>653.98</v>
      </c>
      <c r="W22" s="177"/>
      <c r="X22" s="177">
        <f>1634.96-653.98-98.1</f>
        <v>882.88</v>
      </c>
      <c r="Y22" s="96">
        <v>14760536698</v>
      </c>
    </row>
    <row r="23" spans="1:26" x14ac:dyDescent="0.25">
      <c r="A23" s="213" t="s">
        <v>168</v>
      </c>
      <c r="B23" s="72"/>
      <c r="C23" s="71">
        <v>45723</v>
      </c>
      <c r="D23" s="162"/>
      <c r="E23" s="72"/>
      <c r="F23" s="72"/>
      <c r="G23" s="69" t="s">
        <v>169</v>
      </c>
      <c r="H23" s="69" t="s">
        <v>74</v>
      </c>
      <c r="I23" s="73">
        <v>1634.96</v>
      </c>
      <c r="J23" s="73"/>
      <c r="K23" s="72"/>
      <c r="L23" s="72"/>
      <c r="M23" s="72"/>
      <c r="N23" s="72">
        <v>653.98</v>
      </c>
      <c r="O23" s="70"/>
      <c r="P23" s="72"/>
      <c r="Q23" s="72"/>
      <c r="R23" s="72"/>
      <c r="S23" s="184"/>
      <c r="T23" s="72"/>
      <c r="U23" s="72"/>
      <c r="V23" s="72">
        <v>653.98</v>
      </c>
      <c r="W23" s="177">
        <v>100</v>
      </c>
      <c r="X23" s="177">
        <f>913-100</f>
        <v>813</v>
      </c>
      <c r="Y23" s="84">
        <v>70278968694</v>
      </c>
    </row>
    <row r="24" spans="1:26" x14ac:dyDescent="0.25">
      <c r="A24" s="213" t="s">
        <v>190</v>
      </c>
      <c r="B24" s="258">
        <v>45777</v>
      </c>
      <c r="C24" s="71"/>
      <c r="D24" s="162"/>
      <c r="E24" s="72"/>
      <c r="F24" s="72"/>
      <c r="G24" s="69" t="s">
        <v>96</v>
      </c>
      <c r="H24" s="69"/>
      <c r="I24" s="73">
        <v>1634.96</v>
      </c>
      <c r="J24" s="73"/>
      <c r="K24" s="72"/>
      <c r="L24" s="72"/>
      <c r="M24" s="72"/>
      <c r="N24" s="72"/>
      <c r="O24" s="70"/>
      <c r="P24" s="72"/>
      <c r="Q24" s="72"/>
      <c r="R24" s="72"/>
      <c r="S24" s="184"/>
      <c r="T24" s="72"/>
      <c r="U24" s="72"/>
      <c r="V24" s="72"/>
      <c r="W24" s="177"/>
      <c r="X24" s="177">
        <f>1634.96/30</f>
        <v>54.498666666666665</v>
      </c>
      <c r="Y24" s="84" t="s">
        <v>189</v>
      </c>
    </row>
    <row r="25" spans="1:26" x14ac:dyDescent="0.25">
      <c r="A25" s="213" t="s">
        <v>191</v>
      </c>
      <c r="B25" s="258">
        <v>45772</v>
      </c>
      <c r="C25" s="71"/>
      <c r="D25" s="162"/>
      <c r="E25" s="72"/>
      <c r="F25" s="72"/>
      <c r="G25" s="69" t="s">
        <v>174</v>
      </c>
      <c r="H25" s="69"/>
      <c r="I25" s="73">
        <v>1634.96</v>
      </c>
      <c r="J25" s="73"/>
      <c r="K25" s="72"/>
      <c r="L25" s="72"/>
      <c r="M25" s="72"/>
      <c r="N25" s="72"/>
      <c r="O25" s="70"/>
      <c r="P25" s="72"/>
      <c r="Q25" s="72"/>
      <c r="R25" s="72"/>
      <c r="S25" s="184"/>
      <c r="T25" s="72"/>
      <c r="U25" s="72"/>
      <c r="V25" s="72"/>
      <c r="W25" s="177"/>
      <c r="X25" s="177">
        <f>1634.96/30*4-13.07</f>
        <v>204.92466666666667</v>
      </c>
      <c r="Y25" s="84" t="s">
        <v>196</v>
      </c>
      <c r="Z25" t="s">
        <v>200</v>
      </c>
    </row>
    <row r="26" spans="1:26" x14ac:dyDescent="0.25">
      <c r="A26" s="259" t="s">
        <v>194</v>
      </c>
      <c r="B26" s="258"/>
      <c r="C26" s="71"/>
      <c r="D26" s="162"/>
      <c r="E26" s="72"/>
      <c r="F26" s="72"/>
      <c r="G26" s="69" t="s">
        <v>169</v>
      </c>
      <c r="H26" s="69" t="s">
        <v>74</v>
      </c>
      <c r="I26" s="73">
        <v>1634.96</v>
      </c>
      <c r="J26" s="73"/>
      <c r="K26" s="72"/>
      <c r="L26" s="72"/>
      <c r="M26" s="72"/>
      <c r="N26" s="72"/>
      <c r="O26" s="70"/>
      <c r="P26" s="72"/>
      <c r="Q26" s="72"/>
      <c r="R26" s="72"/>
      <c r="S26" s="184"/>
      <c r="T26" s="72"/>
      <c r="U26" s="72"/>
      <c r="V26" s="72">
        <v>653.98</v>
      </c>
      <c r="W26" s="177">
        <v>20</v>
      </c>
      <c r="X26" s="177">
        <f>758-20</f>
        <v>738</v>
      </c>
      <c r="Y26" s="260" t="s">
        <v>195</v>
      </c>
    </row>
    <row r="27" spans="1:26" x14ac:dyDescent="0.25">
      <c r="A27" s="261" t="s">
        <v>59</v>
      </c>
      <c r="B27" s="262"/>
      <c r="C27" s="263"/>
      <c r="D27" s="264"/>
      <c r="E27" s="265"/>
      <c r="F27" s="265"/>
      <c r="G27" s="266"/>
      <c r="H27" s="266"/>
      <c r="I27" s="267"/>
      <c r="J27" s="267"/>
      <c r="K27" s="265"/>
      <c r="L27" s="265"/>
      <c r="M27" s="265"/>
      <c r="N27" s="265"/>
      <c r="O27" s="268"/>
      <c r="P27" s="265"/>
      <c r="Q27" s="265"/>
      <c r="R27" s="265"/>
      <c r="S27" s="269"/>
      <c r="T27" s="265"/>
      <c r="U27" s="265"/>
      <c r="V27" s="265"/>
      <c r="W27" s="270"/>
      <c r="X27" s="270">
        <v>1000</v>
      </c>
      <c r="Y27" s="271"/>
      <c r="Z27" t="s">
        <v>199</v>
      </c>
    </row>
    <row r="28" spans="1:26" x14ac:dyDescent="0.25">
      <c r="A28" s="261" t="s">
        <v>198</v>
      </c>
      <c r="B28" s="262"/>
      <c r="C28" s="263"/>
      <c r="D28" s="264"/>
      <c r="E28" s="265"/>
      <c r="F28" s="265"/>
      <c r="G28" s="266"/>
      <c r="H28" s="266"/>
      <c r="I28" s="267"/>
      <c r="J28" s="267"/>
      <c r="K28" s="265"/>
      <c r="L28" s="265"/>
      <c r="M28" s="265"/>
      <c r="N28" s="265"/>
      <c r="O28" s="268"/>
      <c r="P28" s="265"/>
      <c r="Q28" s="265"/>
      <c r="R28" s="265"/>
      <c r="S28" s="269"/>
      <c r="T28" s="265"/>
      <c r="U28" s="265"/>
      <c r="V28" s="265"/>
      <c r="W28" s="270"/>
      <c r="X28" s="270">
        <v>2000</v>
      </c>
      <c r="Y28" s="271"/>
    </row>
    <row r="29" spans="1:26" x14ac:dyDescent="0.25">
      <c r="A29" s="67"/>
      <c r="B29" s="69"/>
      <c r="C29" s="69"/>
      <c r="D29" s="162"/>
      <c r="E29" s="69"/>
      <c r="F29" s="69"/>
      <c r="G29" s="160"/>
      <c r="H29" s="69"/>
      <c r="I29" s="109"/>
      <c r="J29" s="109"/>
      <c r="K29" s="69"/>
      <c r="L29" s="74">
        <f>SUM(L3:L20)</f>
        <v>5246.4400000000005</v>
      </c>
      <c r="M29" s="69"/>
      <c r="N29" s="70">
        <v>11401.9</v>
      </c>
      <c r="O29" s="70">
        <f t="shared" si="3"/>
        <v>0</v>
      </c>
      <c r="P29" s="69"/>
      <c r="Q29" s="69"/>
      <c r="R29" s="69"/>
      <c r="S29" s="185"/>
      <c r="T29" s="69"/>
      <c r="U29" s="69"/>
      <c r="V29" s="74">
        <f>SUM(V3-V4-V5-V6-V7-V8-V9-V10-V11-V12-V15-V16-V17-V18-V19-V21-V20-V22-V23)</f>
        <v>-9660.9399999999969</v>
      </c>
      <c r="W29" s="177"/>
      <c r="X29" s="177">
        <f>SUM(X3+X4+X5+X6+X7+X8+X9+X10+X11+X12+X14+X15+X16+X17+X18+X19+X20+X21+X22+X24+X23+X25+X26+X27+X28)-738</f>
        <v>21062.869333333332</v>
      </c>
      <c r="Y29" s="72"/>
    </row>
    <row r="32" spans="1:26" x14ac:dyDescent="0.25">
      <c r="G32" s="75"/>
    </row>
  </sheetData>
  <autoFilter ref="G1:G32" xr:uid="{6A25047E-EEC9-4EB5-8E39-790574A310E0}"/>
  <mergeCells count="1">
    <mergeCell ref="A1:Y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EA6F-A98F-4BBE-864C-6988CF15197D}">
  <dimension ref="A1:XFD35"/>
  <sheetViews>
    <sheetView topLeftCell="G1" workbookViewId="0">
      <selection activeCell="Y25" sqref="Y25"/>
    </sheetView>
  </sheetViews>
  <sheetFormatPr defaultRowHeight="15" x14ac:dyDescent="0.25"/>
  <cols>
    <col min="1" max="1" width="35" bestFit="1" customWidth="1"/>
    <col min="2" max="3" width="9.85546875" hidden="1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6.140625" customWidth="1"/>
    <col min="8" max="8" width="19.140625" customWidth="1"/>
    <col min="9" max="9" width="11.7109375" customWidth="1"/>
    <col min="10" max="10" width="10.42578125" customWidth="1"/>
    <col min="11" max="11" width="9.140625" customWidth="1"/>
    <col min="12" max="12" width="13.28515625" customWidth="1"/>
    <col min="13" max="13" width="9.140625" customWidth="1"/>
    <col min="14" max="14" width="14.42578125" customWidth="1"/>
    <col min="15" max="15" width="10.28515625" customWidth="1"/>
    <col min="16" max="16" width="16.140625" customWidth="1"/>
    <col min="17" max="17" width="9.7109375" customWidth="1"/>
    <col min="18" max="18" width="10.28515625" customWidth="1"/>
    <col min="19" max="19" width="13.140625" style="118" customWidth="1"/>
    <col min="20" max="20" width="13.140625" customWidth="1"/>
    <col min="21" max="21" width="14.5703125" customWidth="1"/>
    <col min="22" max="24" width="15" customWidth="1"/>
    <col min="25" max="25" width="23.85546875" customWidth="1"/>
    <col min="27" max="27" width="10.140625" bestFit="1" customWidth="1"/>
  </cols>
  <sheetData>
    <row r="1" spans="1:26" ht="24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</row>
    <row r="2" spans="1:26" x14ac:dyDescent="0.25">
      <c r="A2" s="120" t="s">
        <v>1</v>
      </c>
      <c r="B2" s="120" t="s">
        <v>2</v>
      </c>
      <c r="C2" s="120" t="s">
        <v>3</v>
      </c>
      <c r="D2" s="119" t="s">
        <v>91</v>
      </c>
      <c r="E2" s="120" t="s">
        <v>9</v>
      </c>
      <c r="F2" s="120" t="s">
        <v>5</v>
      </c>
      <c r="G2" s="120" t="s">
        <v>6</v>
      </c>
      <c r="H2" s="120" t="s">
        <v>7</v>
      </c>
      <c r="I2" s="122" t="s">
        <v>8</v>
      </c>
      <c r="J2" s="122" t="s">
        <v>92</v>
      </c>
      <c r="K2" s="120" t="s">
        <v>10</v>
      </c>
      <c r="L2" s="120" t="s">
        <v>11</v>
      </c>
      <c r="M2" s="120" t="s">
        <v>12</v>
      </c>
      <c r="N2" s="120" t="s">
        <v>13</v>
      </c>
      <c r="O2" s="120" t="s">
        <v>14</v>
      </c>
      <c r="P2" s="120" t="s">
        <v>15</v>
      </c>
      <c r="Q2" s="120" t="s">
        <v>16</v>
      </c>
      <c r="R2" s="120" t="s">
        <v>17</v>
      </c>
      <c r="S2" s="155" t="s">
        <v>18</v>
      </c>
      <c r="T2" s="120" t="s">
        <v>19</v>
      </c>
      <c r="U2" s="120" t="s">
        <v>99</v>
      </c>
      <c r="V2" s="120" t="s">
        <v>100</v>
      </c>
      <c r="W2" s="120" t="s">
        <v>101</v>
      </c>
      <c r="X2" s="120" t="s">
        <v>102</v>
      </c>
      <c r="Y2" s="120" t="s">
        <v>22</v>
      </c>
    </row>
    <row r="3" spans="1:26" x14ac:dyDescent="0.25">
      <c r="A3" s="217" t="s">
        <v>38</v>
      </c>
      <c r="B3" s="82"/>
      <c r="C3" s="82">
        <v>45632</v>
      </c>
      <c r="D3" s="82"/>
      <c r="E3" s="85"/>
      <c r="F3" s="83"/>
      <c r="G3" s="84" t="s">
        <v>35</v>
      </c>
      <c r="H3" s="77" t="s">
        <v>25</v>
      </c>
      <c r="I3" s="275">
        <v>1634.96</v>
      </c>
      <c r="J3" s="85">
        <v>300</v>
      </c>
      <c r="K3" s="85"/>
      <c r="L3" s="85">
        <v>1478.75</v>
      </c>
      <c r="M3" s="85">
        <f t="shared" ref="M3:M7" si="0">L3*6%</f>
        <v>88.724999999999994</v>
      </c>
      <c r="N3" s="85">
        <v>653.98</v>
      </c>
      <c r="O3" s="85"/>
      <c r="P3" s="86"/>
      <c r="Q3" s="86"/>
      <c r="R3" s="86"/>
      <c r="S3" s="181"/>
      <c r="T3" s="86"/>
      <c r="U3" s="85"/>
      <c r="V3" s="85">
        <v>654</v>
      </c>
      <c r="W3" s="80"/>
      <c r="X3" s="80">
        <v>758</v>
      </c>
      <c r="Y3" s="84">
        <v>31981052930</v>
      </c>
    </row>
    <row r="4" spans="1:26" x14ac:dyDescent="0.25">
      <c r="A4" s="293" t="s">
        <v>39</v>
      </c>
      <c r="B4" s="294">
        <v>45293</v>
      </c>
      <c r="C4" s="294"/>
      <c r="D4" s="294"/>
      <c r="E4" s="295"/>
      <c r="F4" s="296"/>
      <c r="G4" s="296" t="s">
        <v>35</v>
      </c>
      <c r="H4" s="296" t="s">
        <v>25</v>
      </c>
      <c r="I4" s="297">
        <v>1634.96</v>
      </c>
      <c r="J4" s="295">
        <v>300</v>
      </c>
      <c r="K4" s="295"/>
      <c r="L4" s="295">
        <v>1478.75</v>
      </c>
      <c r="M4" s="295">
        <f t="shared" si="0"/>
        <v>88.724999999999994</v>
      </c>
      <c r="N4" s="295">
        <v>653.98</v>
      </c>
      <c r="O4" s="295"/>
      <c r="P4" s="298"/>
      <c r="Q4" s="298"/>
      <c r="R4" s="298"/>
      <c r="S4" s="324"/>
      <c r="T4" s="298"/>
      <c r="U4" s="295"/>
      <c r="V4" s="295">
        <v>654</v>
      </c>
      <c r="W4" s="295"/>
      <c r="X4" s="295">
        <f>1634.96-654-98.1</f>
        <v>882.86</v>
      </c>
      <c r="Y4" s="296" t="s">
        <v>40</v>
      </c>
    </row>
    <row r="5" spans="1:26" x14ac:dyDescent="0.25">
      <c r="A5" s="217" t="s">
        <v>41</v>
      </c>
      <c r="B5" s="82">
        <v>45621</v>
      </c>
      <c r="C5" s="82">
        <v>45643</v>
      </c>
      <c r="D5" s="82"/>
      <c r="E5" s="85"/>
      <c r="F5" s="83"/>
      <c r="G5" s="84" t="s">
        <v>105</v>
      </c>
      <c r="H5" s="77" t="s">
        <v>25</v>
      </c>
      <c r="I5" s="275">
        <v>1634.96</v>
      </c>
      <c r="J5" s="85">
        <v>300</v>
      </c>
      <c r="K5" s="85"/>
      <c r="L5" s="85">
        <f t="shared" ref="L5:L9" si="1">I5/30*K5</f>
        <v>0</v>
      </c>
      <c r="M5" s="85">
        <f t="shared" si="0"/>
        <v>0</v>
      </c>
      <c r="N5" s="85">
        <v>653.98</v>
      </c>
      <c r="O5" s="85">
        <f>L5-M5-N5</f>
        <v>-653.98</v>
      </c>
      <c r="P5" s="84"/>
      <c r="Q5" s="84"/>
      <c r="R5" s="86"/>
      <c r="S5" s="181"/>
      <c r="T5" s="86"/>
      <c r="U5" s="85">
        <v>100</v>
      </c>
      <c r="V5" s="85">
        <f>653.98-U5</f>
        <v>553.98</v>
      </c>
      <c r="W5" s="80">
        <v>100</v>
      </c>
      <c r="X5" s="80">
        <f>954-100</f>
        <v>854</v>
      </c>
      <c r="Y5" s="84">
        <v>10105933660</v>
      </c>
    </row>
    <row r="6" spans="1:26" x14ac:dyDescent="0.25">
      <c r="A6" s="89" t="s">
        <v>46</v>
      </c>
      <c r="B6" s="76"/>
      <c r="C6" s="76">
        <v>45497</v>
      </c>
      <c r="D6" s="76"/>
      <c r="E6" s="80"/>
      <c r="F6" s="81"/>
      <c r="G6" s="77" t="s">
        <v>105</v>
      </c>
      <c r="H6" s="77" t="s">
        <v>25</v>
      </c>
      <c r="I6" s="274">
        <v>1634.96</v>
      </c>
      <c r="J6" s="78"/>
      <c r="K6" s="80"/>
      <c r="L6" s="80">
        <f t="shared" si="1"/>
        <v>0</v>
      </c>
      <c r="M6" s="80">
        <f t="shared" si="0"/>
        <v>0</v>
      </c>
      <c r="N6" s="80">
        <v>433.98</v>
      </c>
      <c r="O6" s="80">
        <f>I6*7.7%</f>
        <v>125.89192</v>
      </c>
      <c r="P6" s="79"/>
      <c r="Q6" s="79"/>
      <c r="R6" s="79"/>
      <c r="S6" s="180">
        <v>45792</v>
      </c>
      <c r="T6" s="79" t="s">
        <v>218</v>
      </c>
      <c r="U6" s="80">
        <v>104</v>
      </c>
      <c r="V6" s="80">
        <f>653.98-U6</f>
        <v>549.98</v>
      </c>
      <c r="W6" s="80">
        <f>70+50</f>
        <v>120</v>
      </c>
      <c r="X6" s="80">
        <f>608-190-55</f>
        <v>363</v>
      </c>
      <c r="Y6" s="77">
        <v>11282952617</v>
      </c>
    </row>
    <row r="7" spans="1:26" x14ac:dyDescent="0.25">
      <c r="A7" s="89" t="s">
        <v>49</v>
      </c>
      <c r="B7" s="76"/>
      <c r="C7" s="76">
        <v>45472</v>
      </c>
      <c r="D7" s="76"/>
      <c r="E7" s="80"/>
      <c r="F7" s="77"/>
      <c r="G7" s="77" t="s">
        <v>105</v>
      </c>
      <c r="H7" s="77" t="s">
        <v>25</v>
      </c>
      <c r="I7" s="274">
        <v>1634.96</v>
      </c>
      <c r="J7" s="78"/>
      <c r="K7" s="80"/>
      <c r="L7" s="80">
        <f t="shared" si="1"/>
        <v>0</v>
      </c>
      <c r="M7" s="80">
        <f t="shared" si="0"/>
        <v>0</v>
      </c>
      <c r="N7" s="80">
        <v>653.98</v>
      </c>
      <c r="O7" s="80">
        <f>I7*7.7%</f>
        <v>125.89192</v>
      </c>
      <c r="P7" s="79"/>
      <c r="Q7" s="79"/>
      <c r="R7" s="79"/>
      <c r="S7" s="180"/>
      <c r="T7" s="79"/>
      <c r="U7" s="80">
        <f>35+49.9</f>
        <v>84.9</v>
      </c>
      <c r="V7" s="80">
        <f>653.98-U7</f>
        <v>569.08000000000004</v>
      </c>
      <c r="W7" s="80"/>
      <c r="X7" s="80">
        <v>986</v>
      </c>
      <c r="Y7" s="77" t="s">
        <v>87</v>
      </c>
    </row>
    <row r="8" spans="1:26" x14ac:dyDescent="0.25">
      <c r="A8" s="89" t="s">
        <v>53</v>
      </c>
      <c r="B8" s="76"/>
      <c r="C8" s="76">
        <v>45527</v>
      </c>
      <c r="D8" s="76"/>
      <c r="E8" s="80"/>
      <c r="F8" s="77"/>
      <c r="G8" s="77" t="s">
        <v>105</v>
      </c>
      <c r="H8" s="77" t="s">
        <v>107</v>
      </c>
      <c r="I8" s="274">
        <v>1478.76</v>
      </c>
      <c r="J8" s="78">
        <v>400</v>
      </c>
      <c r="K8" s="80"/>
      <c r="L8" s="80">
        <f t="shared" si="1"/>
        <v>0</v>
      </c>
      <c r="M8" s="80">
        <f>L8*6%</f>
        <v>0</v>
      </c>
      <c r="N8" s="80">
        <v>607.20000000000005</v>
      </c>
      <c r="O8" s="80">
        <f t="shared" ref="O8:O9" si="2">I8*7.7%</f>
        <v>113.86452</v>
      </c>
      <c r="P8" s="79"/>
      <c r="Q8" s="79"/>
      <c r="R8" s="79"/>
      <c r="S8" s="180"/>
      <c r="T8" s="79"/>
      <c r="U8" s="80"/>
      <c r="V8" s="80">
        <v>607.20000000000005</v>
      </c>
      <c r="W8" s="80">
        <v>66.7</v>
      </c>
      <c r="X8" s="80">
        <v>407</v>
      </c>
      <c r="Y8" s="77" t="s">
        <v>56</v>
      </c>
    </row>
    <row r="9" spans="1:26" x14ac:dyDescent="0.25">
      <c r="A9" s="89" t="s">
        <v>57</v>
      </c>
      <c r="B9" s="76"/>
      <c r="C9" s="76">
        <v>45569</v>
      </c>
      <c r="D9" s="76"/>
      <c r="E9" s="80"/>
      <c r="F9" s="77"/>
      <c r="G9" s="77" t="s">
        <v>105</v>
      </c>
      <c r="H9" s="77" t="s">
        <v>25</v>
      </c>
      <c r="I9" s="274">
        <v>1634.96</v>
      </c>
      <c r="J9" s="78">
        <v>300</v>
      </c>
      <c r="K9" s="80"/>
      <c r="L9" s="80">
        <f t="shared" si="1"/>
        <v>0</v>
      </c>
      <c r="M9" s="80">
        <f>L9*6%</f>
        <v>0</v>
      </c>
      <c r="N9" s="80">
        <v>653.98</v>
      </c>
      <c r="O9" s="80">
        <f t="shared" si="2"/>
        <v>125.89192</v>
      </c>
      <c r="P9" s="79"/>
      <c r="Q9" s="79"/>
      <c r="R9" s="79"/>
      <c r="S9" s="180"/>
      <c r="T9" s="79"/>
      <c r="U9" s="80"/>
      <c r="V9" s="80">
        <v>653.98</v>
      </c>
      <c r="W9" s="80"/>
      <c r="X9" s="80">
        <v>759</v>
      </c>
      <c r="Y9" s="77" t="s">
        <v>58</v>
      </c>
    </row>
    <row r="10" spans="1:26" s="331" customFormat="1" x14ac:dyDescent="0.25">
      <c r="A10" s="301" t="s">
        <v>89</v>
      </c>
      <c r="B10" s="294">
        <v>45663</v>
      </c>
      <c r="C10" s="294"/>
      <c r="D10" s="294"/>
      <c r="E10" s="300"/>
      <c r="F10" s="293"/>
      <c r="G10" s="296" t="s">
        <v>96</v>
      </c>
      <c r="H10" s="296" t="s">
        <v>25</v>
      </c>
      <c r="I10" s="297">
        <f>3000/31*26</f>
        <v>2516.1290322580649</v>
      </c>
      <c r="J10" s="329"/>
      <c r="K10" s="300"/>
      <c r="L10" s="295"/>
      <c r="M10" s="300"/>
      <c r="N10" s="295">
        <f>1000-415</f>
        <v>585</v>
      </c>
      <c r="O10" s="295"/>
      <c r="P10" s="293"/>
      <c r="Q10" s="293"/>
      <c r="R10" s="293"/>
      <c r="S10" s="325"/>
      <c r="T10" s="293"/>
      <c r="U10" s="300"/>
      <c r="V10" s="295">
        <v>1000</v>
      </c>
      <c r="W10" s="295"/>
      <c r="X10" s="295">
        <f>1000-55-150</f>
        <v>795</v>
      </c>
      <c r="Y10" s="330">
        <v>13196831698</v>
      </c>
    </row>
    <row r="11" spans="1:26" x14ac:dyDescent="0.25">
      <c r="A11" s="15" t="s">
        <v>95</v>
      </c>
      <c r="B11" s="76">
        <v>45698</v>
      </c>
      <c r="C11" s="76">
        <v>45713</v>
      </c>
      <c r="D11" s="76">
        <v>45742</v>
      </c>
      <c r="E11" s="90"/>
      <c r="F11" s="89"/>
      <c r="G11" s="77" t="s">
        <v>105</v>
      </c>
      <c r="H11" s="77" t="s">
        <v>25</v>
      </c>
      <c r="I11" s="273">
        <v>1634.96</v>
      </c>
      <c r="J11" s="276"/>
      <c r="K11" s="90"/>
      <c r="L11" s="80"/>
      <c r="M11" s="90"/>
      <c r="N11" s="80">
        <v>420.98</v>
      </c>
      <c r="O11" s="80"/>
      <c r="P11" s="89"/>
      <c r="Q11" s="89"/>
      <c r="R11" s="89"/>
      <c r="S11" s="180">
        <v>45793</v>
      </c>
      <c r="T11" s="89" t="s">
        <v>218</v>
      </c>
      <c r="U11" s="90"/>
      <c r="V11" s="80">
        <v>653.98</v>
      </c>
      <c r="W11" s="80">
        <v>50</v>
      </c>
      <c r="X11" s="80">
        <v>677</v>
      </c>
      <c r="Y11" s="179" t="s">
        <v>97</v>
      </c>
    </row>
    <row r="12" spans="1:26" x14ac:dyDescent="0.25">
      <c r="A12" s="15" t="s">
        <v>108</v>
      </c>
      <c r="B12" s="76">
        <v>45716</v>
      </c>
      <c r="C12" s="76">
        <v>45728</v>
      </c>
      <c r="D12" s="76">
        <v>45786</v>
      </c>
      <c r="E12" s="90"/>
      <c r="F12" s="89"/>
      <c r="G12" s="77" t="s">
        <v>216</v>
      </c>
      <c r="H12" s="77" t="s">
        <v>25</v>
      </c>
      <c r="I12" s="273">
        <v>1758</v>
      </c>
      <c r="J12" s="276"/>
      <c r="K12" s="90"/>
      <c r="L12" s="80"/>
      <c r="M12" s="90"/>
      <c r="N12" s="80">
        <v>653.98</v>
      </c>
      <c r="O12" s="80"/>
      <c r="P12" s="89"/>
      <c r="Q12" s="89"/>
      <c r="R12" s="89"/>
      <c r="S12" s="183"/>
      <c r="T12" s="89"/>
      <c r="U12" s="90"/>
      <c r="V12" s="80">
        <v>704</v>
      </c>
      <c r="W12" s="80"/>
      <c r="X12" s="80">
        <v>813</v>
      </c>
      <c r="Y12" s="179" t="s">
        <v>110</v>
      </c>
    </row>
    <row r="13" spans="1:26" x14ac:dyDescent="0.25">
      <c r="A13" s="299" t="s">
        <v>166</v>
      </c>
      <c r="B13" s="298"/>
      <c r="C13" s="294">
        <v>45628</v>
      </c>
      <c r="D13" s="298"/>
      <c r="E13" s="299"/>
      <c r="F13" s="299"/>
      <c r="G13" s="298" t="s">
        <v>96</v>
      </c>
      <c r="H13" s="299" t="s">
        <v>170</v>
      </c>
      <c r="I13" s="297">
        <v>2500</v>
      </c>
      <c r="J13" s="299"/>
      <c r="K13" s="299"/>
      <c r="L13" s="299"/>
      <c r="M13" s="299"/>
      <c r="N13" s="299">
        <v>300</v>
      </c>
      <c r="O13" s="299"/>
      <c r="P13" s="299"/>
      <c r="Q13" s="299"/>
      <c r="R13" s="299"/>
      <c r="S13" s="302"/>
      <c r="T13" s="299"/>
      <c r="U13" s="300"/>
      <c r="V13" s="300">
        <v>300</v>
      </c>
      <c r="W13" s="300">
        <v>50</v>
      </c>
      <c r="X13" s="300">
        <f>2500-300-50</f>
        <v>2150</v>
      </c>
      <c r="Y13" s="296" t="s">
        <v>172</v>
      </c>
    </row>
    <row r="14" spans="1:26" x14ac:dyDescent="0.25">
      <c r="A14" s="15" t="s">
        <v>76</v>
      </c>
      <c r="B14" s="89"/>
      <c r="C14" s="88">
        <v>45566</v>
      </c>
      <c r="D14" s="76"/>
      <c r="E14" s="89"/>
      <c r="F14" s="89"/>
      <c r="G14" s="77" t="s">
        <v>217</v>
      </c>
      <c r="H14" s="77" t="s">
        <v>171</v>
      </c>
      <c r="I14" s="273">
        <v>1634.96</v>
      </c>
      <c r="J14" s="91"/>
      <c r="K14" s="89"/>
      <c r="L14" s="89"/>
      <c r="M14" s="89"/>
      <c r="N14" s="89"/>
      <c r="O14" s="79">
        <f t="shared" ref="O14:O28" si="3">I14*7.7%</f>
        <v>125.89192</v>
      </c>
      <c r="P14" s="89"/>
      <c r="Q14" s="89"/>
      <c r="R14" s="89"/>
      <c r="S14" s="183"/>
      <c r="T14" s="89"/>
      <c r="U14" s="89"/>
      <c r="V14" s="90"/>
      <c r="W14" s="90"/>
      <c r="X14" s="90">
        <v>1413</v>
      </c>
      <c r="Y14" s="198">
        <v>31982078680</v>
      </c>
    </row>
    <row r="15" spans="1:26" x14ac:dyDescent="0.25">
      <c r="A15" s="301" t="s">
        <v>167</v>
      </c>
      <c r="B15" s="293"/>
      <c r="C15" s="302">
        <v>45980</v>
      </c>
      <c r="D15" s="294"/>
      <c r="E15" s="293"/>
      <c r="F15" s="293"/>
      <c r="G15" s="296" t="s">
        <v>104</v>
      </c>
      <c r="H15" s="296" t="s">
        <v>74</v>
      </c>
      <c r="I15" s="297">
        <v>1758</v>
      </c>
      <c r="J15" s="303"/>
      <c r="K15" s="293"/>
      <c r="L15" s="293"/>
      <c r="M15" s="293"/>
      <c r="N15" s="293">
        <v>703.2</v>
      </c>
      <c r="O15" s="298"/>
      <c r="P15" s="293"/>
      <c r="Q15" s="293"/>
      <c r="R15" s="293"/>
      <c r="S15" s="325"/>
      <c r="T15" s="293"/>
      <c r="U15" s="293"/>
      <c r="V15" s="300">
        <v>704</v>
      </c>
      <c r="W15" s="300"/>
      <c r="X15" s="300">
        <f>1758-704-98.1</f>
        <v>955.9</v>
      </c>
      <c r="Y15" s="296">
        <v>14760536698</v>
      </c>
    </row>
    <row r="16" spans="1:26" x14ac:dyDescent="0.25">
      <c r="A16" s="304" t="s">
        <v>168</v>
      </c>
      <c r="B16" s="293"/>
      <c r="C16" s="302">
        <v>45723</v>
      </c>
      <c r="D16" s="294"/>
      <c r="E16" s="293"/>
      <c r="F16" s="293"/>
      <c r="G16" s="296"/>
      <c r="H16" s="296" t="s">
        <v>74</v>
      </c>
      <c r="I16" s="297">
        <v>1758</v>
      </c>
      <c r="J16" s="303"/>
      <c r="K16" s="293"/>
      <c r="L16" s="293"/>
      <c r="M16" s="293"/>
      <c r="N16" s="293">
        <v>703.2</v>
      </c>
      <c r="O16" s="298"/>
      <c r="P16" s="293"/>
      <c r="Q16" s="293"/>
      <c r="R16" s="293"/>
      <c r="S16" s="325"/>
      <c r="T16" s="293"/>
      <c r="U16" s="293"/>
      <c r="V16" s="300">
        <v>704</v>
      </c>
      <c r="W16" s="300"/>
      <c r="X16" s="300"/>
      <c r="Y16" s="296">
        <v>70278968694</v>
      </c>
      <c r="Z16">
        <v>1439.47</v>
      </c>
    </row>
    <row r="17" spans="1:16384" x14ac:dyDescent="0.25">
      <c r="A17" s="304" t="s">
        <v>190</v>
      </c>
      <c r="B17" s="305">
        <v>45777</v>
      </c>
      <c r="C17" s="302"/>
      <c r="D17" s="294">
        <v>45806</v>
      </c>
      <c r="E17" s="293"/>
      <c r="F17" s="293"/>
      <c r="G17" s="296" t="s">
        <v>96</v>
      </c>
      <c r="H17" s="296" t="s">
        <v>206</v>
      </c>
      <c r="I17" s="297">
        <v>1634.96</v>
      </c>
      <c r="J17" s="303"/>
      <c r="K17" s="293"/>
      <c r="L17" s="293"/>
      <c r="M17" s="293"/>
      <c r="N17" s="293">
        <v>653.98</v>
      </c>
      <c r="O17" s="298"/>
      <c r="P17" s="293"/>
      <c r="Q17" s="293"/>
      <c r="R17" s="293"/>
      <c r="S17" s="325"/>
      <c r="T17" s="293"/>
      <c r="U17" s="293"/>
      <c r="V17" s="300">
        <v>653.98</v>
      </c>
      <c r="W17" s="300"/>
      <c r="X17" s="300"/>
      <c r="Y17" s="296" t="s">
        <v>189</v>
      </c>
      <c r="Z17">
        <v>882.72</v>
      </c>
    </row>
    <row r="18" spans="1:16384" s="310" customFormat="1" ht="13.5" customHeight="1" x14ac:dyDescent="0.2">
      <c r="A18" s="304" t="s">
        <v>201</v>
      </c>
      <c r="B18" s="306"/>
      <c r="C18" s="306"/>
      <c r="D18" s="306"/>
      <c r="E18" s="306"/>
      <c r="F18" s="306"/>
      <c r="G18" s="306" t="s">
        <v>213</v>
      </c>
      <c r="H18" s="306" t="s">
        <v>78</v>
      </c>
      <c r="I18" s="307">
        <v>1518</v>
      </c>
      <c r="J18" s="306"/>
      <c r="K18" s="306"/>
      <c r="L18" s="306"/>
      <c r="M18" s="306"/>
      <c r="N18" s="293">
        <f t="shared" ref="N18:N20" si="4">1518*40%</f>
        <v>607.20000000000005</v>
      </c>
      <c r="O18" s="306"/>
      <c r="P18" s="306"/>
      <c r="Q18" s="306"/>
      <c r="R18" s="306"/>
      <c r="S18" s="326"/>
      <c r="T18" s="306"/>
      <c r="U18" s="306"/>
      <c r="V18" s="308">
        <v>607.20000000000005</v>
      </c>
      <c r="W18" s="308"/>
      <c r="X18" s="308">
        <f>1518-91.08-607.2</f>
        <v>819.72</v>
      </c>
      <c r="Y18" s="309">
        <v>12098720645</v>
      </c>
      <c r="Z18" s="322"/>
      <c r="AA18" s="322"/>
      <c r="AB18" s="322"/>
      <c r="AC18" s="322"/>
      <c r="AD18" s="322"/>
      <c r="AE18" s="322"/>
      <c r="AF18" s="322"/>
      <c r="AG18" s="322"/>
      <c r="AH18" s="322"/>
      <c r="AI18" s="322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  <c r="AX18" s="322"/>
      <c r="AY18" s="322"/>
      <c r="BP18" s="310" t="s">
        <v>201</v>
      </c>
      <c r="BQ18" s="310" t="s">
        <v>201</v>
      </c>
      <c r="BR18" s="310" t="s">
        <v>201</v>
      </c>
      <c r="BS18" s="310" t="s">
        <v>201</v>
      </c>
      <c r="BT18" s="310" t="s">
        <v>201</v>
      </c>
      <c r="BU18" s="310" t="s">
        <v>201</v>
      </c>
      <c r="BV18" s="310" t="s">
        <v>201</v>
      </c>
      <c r="BW18" s="310" t="s">
        <v>201</v>
      </c>
      <c r="BX18" s="310" t="s">
        <v>201</v>
      </c>
      <c r="BY18" s="310" t="s">
        <v>201</v>
      </c>
      <c r="BZ18" s="310" t="s">
        <v>201</v>
      </c>
      <c r="CA18" s="310" t="s">
        <v>201</v>
      </c>
      <c r="CB18" s="310" t="s">
        <v>201</v>
      </c>
      <c r="CC18" s="310" t="s">
        <v>201</v>
      </c>
      <c r="CD18" s="310" t="s">
        <v>201</v>
      </c>
      <c r="CE18" s="310" t="s">
        <v>201</v>
      </c>
      <c r="CF18" s="310" t="s">
        <v>201</v>
      </c>
      <c r="CG18" s="310" t="s">
        <v>201</v>
      </c>
      <c r="CH18" s="310" t="s">
        <v>201</v>
      </c>
      <c r="CI18" s="310" t="s">
        <v>201</v>
      </c>
      <c r="CJ18" s="310" t="s">
        <v>201</v>
      </c>
      <c r="CK18" s="310" t="s">
        <v>201</v>
      </c>
      <c r="CL18" s="310" t="s">
        <v>201</v>
      </c>
      <c r="CM18" s="310" t="s">
        <v>201</v>
      </c>
      <c r="CN18" s="310" t="s">
        <v>201</v>
      </c>
      <c r="CO18" s="310" t="s">
        <v>201</v>
      </c>
      <c r="CP18" s="310" t="s">
        <v>201</v>
      </c>
      <c r="CQ18" s="310" t="s">
        <v>201</v>
      </c>
      <c r="CR18" s="310" t="s">
        <v>201</v>
      </c>
      <c r="CS18" s="310" t="s">
        <v>201</v>
      </c>
      <c r="CT18" s="310" t="s">
        <v>201</v>
      </c>
      <c r="CU18" s="310" t="s">
        <v>201</v>
      </c>
      <c r="CV18" s="310" t="s">
        <v>201</v>
      </c>
      <c r="CW18" s="310" t="s">
        <v>201</v>
      </c>
      <c r="CX18" s="310" t="s">
        <v>201</v>
      </c>
      <c r="CY18" s="310" t="s">
        <v>201</v>
      </c>
      <c r="CZ18" s="310" t="s">
        <v>201</v>
      </c>
      <c r="DA18" s="310" t="s">
        <v>201</v>
      </c>
      <c r="DB18" s="310" t="s">
        <v>201</v>
      </c>
      <c r="DC18" s="310" t="s">
        <v>201</v>
      </c>
      <c r="DD18" s="310" t="s">
        <v>201</v>
      </c>
      <c r="DE18" s="310" t="s">
        <v>201</v>
      </c>
      <c r="DF18" s="310" t="s">
        <v>201</v>
      </c>
      <c r="DG18" s="310" t="s">
        <v>201</v>
      </c>
      <c r="DH18" s="310" t="s">
        <v>201</v>
      </c>
      <c r="DI18" s="310" t="s">
        <v>201</v>
      </c>
      <c r="DJ18" s="310" t="s">
        <v>201</v>
      </c>
      <c r="DK18" s="310" t="s">
        <v>201</v>
      </c>
      <c r="DL18" s="310" t="s">
        <v>201</v>
      </c>
      <c r="DM18" s="310" t="s">
        <v>201</v>
      </c>
      <c r="DN18" s="310" t="s">
        <v>201</v>
      </c>
      <c r="DO18" s="310" t="s">
        <v>201</v>
      </c>
      <c r="DP18" s="310" t="s">
        <v>201</v>
      </c>
      <c r="DQ18" s="310" t="s">
        <v>201</v>
      </c>
      <c r="DR18" s="310" t="s">
        <v>201</v>
      </c>
      <c r="DS18" s="310" t="s">
        <v>201</v>
      </c>
      <c r="DT18" s="310" t="s">
        <v>201</v>
      </c>
      <c r="DU18" s="310" t="s">
        <v>201</v>
      </c>
      <c r="DV18" s="310" t="s">
        <v>201</v>
      </c>
      <c r="DW18" s="310" t="s">
        <v>201</v>
      </c>
      <c r="DX18" s="310" t="s">
        <v>201</v>
      </c>
      <c r="DY18" s="310" t="s">
        <v>201</v>
      </c>
      <c r="DZ18" s="310" t="s">
        <v>201</v>
      </c>
      <c r="EA18" s="310" t="s">
        <v>201</v>
      </c>
      <c r="EB18" s="310" t="s">
        <v>201</v>
      </c>
      <c r="EC18" s="310" t="s">
        <v>201</v>
      </c>
      <c r="ED18" s="310" t="s">
        <v>201</v>
      </c>
      <c r="EE18" s="310" t="s">
        <v>201</v>
      </c>
      <c r="EF18" s="310" t="s">
        <v>201</v>
      </c>
      <c r="EG18" s="310" t="s">
        <v>201</v>
      </c>
      <c r="EH18" s="310" t="s">
        <v>201</v>
      </c>
      <c r="EI18" s="310" t="s">
        <v>201</v>
      </c>
      <c r="EJ18" s="310" t="s">
        <v>201</v>
      </c>
      <c r="EK18" s="310" t="s">
        <v>201</v>
      </c>
      <c r="EL18" s="310" t="s">
        <v>201</v>
      </c>
      <c r="EM18" s="310" t="s">
        <v>201</v>
      </c>
      <c r="EN18" s="310" t="s">
        <v>201</v>
      </c>
      <c r="EO18" s="310" t="s">
        <v>201</v>
      </c>
      <c r="EP18" s="310" t="s">
        <v>201</v>
      </c>
      <c r="EQ18" s="310" t="s">
        <v>201</v>
      </c>
      <c r="ER18" s="310" t="s">
        <v>201</v>
      </c>
      <c r="ES18" s="310" t="s">
        <v>201</v>
      </c>
      <c r="ET18" s="310" t="s">
        <v>201</v>
      </c>
      <c r="EU18" s="310" t="s">
        <v>201</v>
      </c>
      <c r="EV18" s="310" t="s">
        <v>201</v>
      </c>
      <c r="EW18" s="310" t="s">
        <v>201</v>
      </c>
      <c r="EX18" s="310" t="s">
        <v>201</v>
      </c>
      <c r="EY18" s="310" t="s">
        <v>201</v>
      </c>
      <c r="EZ18" s="310" t="s">
        <v>201</v>
      </c>
      <c r="FA18" s="310" t="s">
        <v>201</v>
      </c>
      <c r="FB18" s="310" t="s">
        <v>201</v>
      </c>
      <c r="FC18" s="310" t="s">
        <v>201</v>
      </c>
      <c r="FD18" s="310" t="s">
        <v>201</v>
      </c>
      <c r="FE18" s="310" t="s">
        <v>201</v>
      </c>
      <c r="FF18" s="310" t="s">
        <v>201</v>
      </c>
      <c r="FG18" s="310" t="s">
        <v>201</v>
      </c>
      <c r="FH18" s="310" t="s">
        <v>201</v>
      </c>
      <c r="FI18" s="310" t="s">
        <v>201</v>
      </c>
      <c r="FJ18" s="310" t="s">
        <v>201</v>
      </c>
      <c r="FK18" s="310" t="s">
        <v>201</v>
      </c>
      <c r="FL18" s="310" t="s">
        <v>201</v>
      </c>
      <c r="FM18" s="310" t="s">
        <v>201</v>
      </c>
      <c r="FN18" s="310" t="s">
        <v>201</v>
      </c>
      <c r="FO18" s="310" t="s">
        <v>201</v>
      </c>
      <c r="FP18" s="310" t="s">
        <v>201</v>
      </c>
      <c r="FQ18" s="310" t="s">
        <v>201</v>
      </c>
      <c r="FR18" s="310" t="s">
        <v>201</v>
      </c>
      <c r="FS18" s="310" t="s">
        <v>201</v>
      </c>
      <c r="FT18" s="310" t="s">
        <v>201</v>
      </c>
      <c r="FU18" s="310" t="s">
        <v>201</v>
      </c>
      <c r="FV18" s="310" t="s">
        <v>201</v>
      </c>
      <c r="FW18" s="310" t="s">
        <v>201</v>
      </c>
      <c r="FX18" s="310" t="s">
        <v>201</v>
      </c>
      <c r="FY18" s="310" t="s">
        <v>201</v>
      </c>
      <c r="FZ18" s="310" t="s">
        <v>201</v>
      </c>
      <c r="GA18" s="310" t="s">
        <v>201</v>
      </c>
      <c r="GB18" s="310" t="s">
        <v>201</v>
      </c>
      <c r="GC18" s="310" t="s">
        <v>201</v>
      </c>
      <c r="GD18" s="310" t="s">
        <v>201</v>
      </c>
      <c r="GE18" s="310" t="s">
        <v>201</v>
      </c>
      <c r="GF18" s="310" t="s">
        <v>201</v>
      </c>
      <c r="GG18" s="310" t="s">
        <v>201</v>
      </c>
      <c r="GH18" s="310" t="s">
        <v>201</v>
      </c>
      <c r="GI18" s="310" t="s">
        <v>201</v>
      </c>
      <c r="GJ18" s="310" t="s">
        <v>201</v>
      </c>
      <c r="GK18" s="310" t="s">
        <v>201</v>
      </c>
      <c r="GL18" s="310" t="s">
        <v>201</v>
      </c>
      <c r="GM18" s="310" t="s">
        <v>201</v>
      </c>
      <c r="GN18" s="310" t="s">
        <v>201</v>
      </c>
      <c r="GO18" s="310" t="s">
        <v>201</v>
      </c>
      <c r="GP18" s="310" t="s">
        <v>201</v>
      </c>
      <c r="GQ18" s="310" t="s">
        <v>201</v>
      </c>
      <c r="GR18" s="310" t="s">
        <v>201</v>
      </c>
      <c r="GS18" s="310" t="s">
        <v>201</v>
      </c>
      <c r="GT18" s="310" t="s">
        <v>201</v>
      </c>
      <c r="GU18" s="310" t="s">
        <v>201</v>
      </c>
      <c r="GV18" s="310" t="s">
        <v>201</v>
      </c>
      <c r="GW18" s="310" t="s">
        <v>201</v>
      </c>
      <c r="GX18" s="310" t="s">
        <v>201</v>
      </c>
      <c r="GY18" s="310" t="s">
        <v>201</v>
      </c>
      <c r="GZ18" s="310" t="s">
        <v>201</v>
      </c>
      <c r="HA18" s="310" t="s">
        <v>201</v>
      </c>
      <c r="HB18" s="310" t="s">
        <v>201</v>
      </c>
      <c r="HC18" s="310" t="s">
        <v>201</v>
      </c>
      <c r="HD18" s="310" t="s">
        <v>201</v>
      </c>
      <c r="HE18" s="310" t="s">
        <v>201</v>
      </c>
      <c r="HF18" s="310" t="s">
        <v>201</v>
      </c>
      <c r="HG18" s="310" t="s">
        <v>201</v>
      </c>
      <c r="HH18" s="310" t="s">
        <v>201</v>
      </c>
      <c r="HI18" s="310" t="s">
        <v>201</v>
      </c>
      <c r="HJ18" s="310" t="s">
        <v>201</v>
      </c>
      <c r="HK18" s="310" t="s">
        <v>201</v>
      </c>
      <c r="HL18" s="310" t="s">
        <v>201</v>
      </c>
      <c r="HM18" s="310" t="s">
        <v>201</v>
      </c>
      <c r="HN18" s="310" t="s">
        <v>201</v>
      </c>
      <c r="HO18" s="310" t="s">
        <v>201</v>
      </c>
      <c r="HP18" s="310" t="s">
        <v>201</v>
      </c>
      <c r="HQ18" s="310" t="s">
        <v>201</v>
      </c>
      <c r="HR18" s="310" t="s">
        <v>201</v>
      </c>
      <c r="HS18" s="310" t="s">
        <v>201</v>
      </c>
      <c r="HT18" s="310" t="s">
        <v>201</v>
      </c>
      <c r="HU18" s="310" t="s">
        <v>201</v>
      </c>
      <c r="HV18" s="310" t="s">
        <v>201</v>
      </c>
      <c r="HW18" s="310" t="s">
        <v>201</v>
      </c>
      <c r="HX18" s="310" t="s">
        <v>201</v>
      </c>
      <c r="HY18" s="310" t="s">
        <v>201</v>
      </c>
      <c r="HZ18" s="310" t="s">
        <v>201</v>
      </c>
      <c r="IA18" s="310" t="s">
        <v>201</v>
      </c>
      <c r="IB18" s="310" t="s">
        <v>201</v>
      </c>
      <c r="IC18" s="310" t="s">
        <v>201</v>
      </c>
      <c r="ID18" s="310" t="s">
        <v>201</v>
      </c>
      <c r="IE18" s="310" t="s">
        <v>201</v>
      </c>
      <c r="IF18" s="310" t="s">
        <v>201</v>
      </c>
      <c r="IG18" s="310" t="s">
        <v>201</v>
      </c>
      <c r="IH18" s="310" t="s">
        <v>201</v>
      </c>
      <c r="II18" s="310" t="s">
        <v>201</v>
      </c>
      <c r="IJ18" s="310" t="s">
        <v>201</v>
      </c>
      <c r="IK18" s="310" t="s">
        <v>201</v>
      </c>
      <c r="IL18" s="310" t="s">
        <v>201</v>
      </c>
      <c r="IM18" s="310" t="s">
        <v>201</v>
      </c>
      <c r="IN18" s="310" t="s">
        <v>201</v>
      </c>
      <c r="IO18" s="310" t="s">
        <v>201</v>
      </c>
      <c r="IP18" s="310" t="s">
        <v>201</v>
      </c>
      <c r="IQ18" s="310" t="s">
        <v>201</v>
      </c>
      <c r="IR18" s="310" t="s">
        <v>201</v>
      </c>
      <c r="IS18" s="310" t="s">
        <v>201</v>
      </c>
      <c r="IT18" s="310" t="s">
        <v>201</v>
      </c>
      <c r="IU18" s="310" t="s">
        <v>201</v>
      </c>
      <c r="IV18" s="310" t="s">
        <v>201</v>
      </c>
      <c r="IW18" s="310" t="s">
        <v>201</v>
      </c>
      <c r="IX18" s="310" t="s">
        <v>201</v>
      </c>
      <c r="IY18" s="310" t="s">
        <v>201</v>
      </c>
      <c r="IZ18" s="310" t="s">
        <v>201</v>
      </c>
      <c r="JA18" s="310" t="s">
        <v>201</v>
      </c>
      <c r="JB18" s="310" t="s">
        <v>201</v>
      </c>
      <c r="JC18" s="310" t="s">
        <v>201</v>
      </c>
      <c r="JD18" s="310" t="s">
        <v>201</v>
      </c>
      <c r="JE18" s="310" t="s">
        <v>201</v>
      </c>
      <c r="JF18" s="310" t="s">
        <v>201</v>
      </c>
      <c r="JG18" s="310" t="s">
        <v>201</v>
      </c>
      <c r="JH18" s="310" t="s">
        <v>201</v>
      </c>
      <c r="JI18" s="310" t="s">
        <v>201</v>
      </c>
      <c r="JJ18" s="310" t="s">
        <v>201</v>
      </c>
      <c r="JK18" s="310" t="s">
        <v>201</v>
      </c>
      <c r="JL18" s="310" t="s">
        <v>201</v>
      </c>
      <c r="JM18" s="310" t="s">
        <v>201</v>
      </c>
      <c r="JN18" s="310" t="s">
        <v>201</v>
      </c>
      <c r="JO18" s="310" t="s">
        <v>201</v>
      </c>
      <c r="JP18" s="310" t="s">
        <v>201</v>
      </c>
      <c r="JQ18" s="310" t="s">
        <v>201</v>
      </c>
      <c r="JR18" s="310" t="s">
        <v>201</v>
      </c>
      <c r="JS18" s="310" t="s">
        <v>201</v>
      </c>
      <c r="JT18" s="310" t="s">
        <v>201</v>
      </c>
      <c r="JU18" s="310" t="s">
        <v>201</v>
      </c>
      <c r="JV18" s="310" t="s">
        <v>201</v>
      </c>
      <c r="JW18" s="310" t="s">
        <v>201</v>
      </c>
      <c r="JX18" s="310" t="s">
        <v>201</v>
      </c>
      <c r="JY18" s="310" t="s">
        <v>201</v>
      </c>
      <c r="JZ18" s="310" t="s">
        <v>201</v>
      </c>
      <c r="KA18" s="310" t="s">
        <v>201</v>
      </c>
      <c r="KB18" s="310" t="s">
        <v>201</v>
      </c>
      <c r="KC18" s="310" t="s">
        <v>201</v>
      </c>
      <c r="KD18" s="310" t="s">
        <v>201</v>
      </c>
      <c r="KE18" s="310" t="s">
        <v>201</v>
      </c>
      <c r="KF18" s="310" t="s">
        <v>201</v>
      </c>
      <c r="KG18" s="310" t="s">
        <v>201</v>
      </c>
      <c r="KH18" s="310" t="s">
        <v>201</v>
      </c>
      <c r="KI18" s="310" t="s">
        <v>201</v>
      </c>
      <c r="KJ18" s="310" t="s">
        <v>201</v>
      </c>
      <c r="KK18" s="310" t="s">
        <v>201</v>
      </c>
      <c r="KL18" s="310" t="s">
        <v>201</v>
      </c>
      <c r="KM18" s="310" t="s">
        <v>201</v>
      </c>
      <c r="KN18" s="310" t="s">
        <v>201</v>
      </c>
      <c r="KO18" s="310" t="s">
        <v>201</v>
      </c>
      <c r="KP18" s="310" t="s">
        <v>201</v>
      </c>
      <c r="KQ18" s="310" t="s">
        <v>201</v>
      </c>
      <c r="KR18" s="310" t="s">
        <v>201</v>
      </c>
      <c r="KS18" s="310" t="s">
        <v>201</v>
      </c>
      <c r="KT18" s="310" t="s">
        <v>201</v>
      </c>
      <c r="KU18" s="310" t="s">
        <v>201</v>
      </c>
      <c r="KV18" s="310" t="s">
        <v>201</v>
      </c>
      <c r="KW18" s="310" t="s">
        <v>201</v>
      </c>
      <c r="KX18" s="310" t="s">
        <v>201</v>
      </c>
      <c r="KY18" s="310" t="s">
        <v>201</v>
      </c>
      <c r="KZ18" s="310" t="s">
        <v>201</v>
      </c>
      <c r="LA18" s="310" t="s">
        <v>201</v>
      </c>
      <c r="LB18" s="310" t="s">
        <v>201</v>
      </c>
      <c r="LC18" s="310" t="s">
        <v>201</v>
      </c>
      <c r="LD18" s="310" t="s">
        <v>201</v>
      </c>
      <c r="LE18" s="310" t="s">
        <v>201</v>
      </c>
      <c r="LF18" s="310" t="s">
        <v>201</v>
      </c>
      <c r="LG18" s="310" t="s">
        <v>201</v>
      </c>
      <c r="LH18" s="310" t="s">
        <v>201</v>
      </c>
      <c r="LI18" s="310" t="s">
        <v>201</v>
      </c>
      <c r="LJ18" s="310" t="s">
        <v>201</v>
      </c>
      <c r="LK18" s="310" t="s">
        <v>201</v>
      </c>
      <c r="LL18" s="310" t="s">
        <v>201</v>
      </c>
      <c r="LM18" s="310" t="s">
        <v>201</v>
      </c>
      <c r="LN18" s="310" t="s">
        <v>201</v>
      </c>
      <c r="LO18" s="310" t="s">
        <v>201</v>
      </c>
      <c r="LP18" s="310" t="s">
        <v>201</v>
      </c>
      <c r="LQ18" s="310" t="s">
        <v>201</v>
      </c>
      <c r="LR18" s="310" t="s">
        <v>201</v>
      </c>
      <c r="LS18" s="310" t="s">
        <v>201</v>
      </c>
      <c r="LT18" s="310" t="s">
        <v>201</v>
      </c>
      <c r="LU18" s="310" t="s">
        <v>201</v>
      </c>
      <c r="LV18" s="310" t="s">
        <v>201</v>
      </c>
      <c r="LW18" s="310" t="s">
        <v>201</v>
      </c>
      <c r="LX18" s="310" t="s">
        <v>201</v>
      </c>
      <c r="LY18" s="310" t="s">
        <v>201</v>
      </c>
      <c r="LZ18" s="310" t="s">
        <v>201</v>
      </c>
      <c r="MA18" s="310" t="s">
        <v>201</v>
      </c>
      <c r="MB18" s="310" t="s">
        <v>201</v>
      </c>
      <c r="MC18" s="310" t="s">
        <v>201</v>
      </c>
      <c r="MD18" s="310" t="s">
        <v>201</v>
      </c>
      <c r="ME18" s="310" t="s">
        <v>201</v>
      </c>
      <c r="MF18" s="310" t="s">
        <v>201</v>
      </c>
      <c r="MG18" s="310" t="s">
        <v>201</v>
      </c>
      <c r="MH18" s="310" t="s">
        <v>201</v>
      </c>
      <c r="MI18" s="310" t="s">
        <v>201</v>
      </c>
      <c r="MJ18" s="310" t="s">
        <v>201</v>
      </c>
      <c r="MK18" s="310" t="s">
        <v>201</v>
      </c>
      <c r="ML18" s="310" t="s">
        <v>201</v>
      </c>
      <c r="MM18" s="310" t="s">
        <v>201</v>
      </c>
      <c r="MN18" s="310" t="s">
        <v>201</v>
      </c>
      <c r="MO18" s="310" t="s">
        <v>201</v>
      </c>
      <c r="MP18" s="310" t="s">
        <v>201</v>
      </c>
      <c r="MQ18" s="310" t="s">
        <v>201</v>
      </c>
      <c r="MR18" s="310" t="s">
        <v>201</v>
      </c>
      <c r="MS18" s="310" t="s">
        <v>201</v>
      </c>
      <c r="MT18" s="310" t="s">
        <v>201</v>
      </c>
      <c r="MU18" s="310" t="s">
        <v>201</v>
      </c>
      <c r="MV18" s="310" t="s">
        <v>201</v>
      </c>
      <c r="MW18" s="310" t="s">
        <v>201</v>
      </c>
      <c r="MX18" s="310" t="s">
        <v>201</v>
      </c>
      <c r="MY18" s="310" t="s">
        <v>201</v>
      </c>
      <c r="MZ18" s="310" t="s">
        <v>201</v>
      </c>
      <c r="NA18" s="310" t="s">
        <v>201</v>
      </c>
      <c r="NB18" s="310" t="s">
        <v>201</v>
      </c>
      <c r="NC18" s="310" t="s">
        <v>201</v>
      </c>
      <c r="ND18" s="310" t="s">
        <v>201</v>
      </c>
      <c r="NE18" s="310" t="s">
        <v>201</v>
      </c>
      <c r="NF18" s="310" t="s">
        <v>201</v>
      </c>
      <c r="NG18" s="310" t="s">
        <v>201</v>
      </c>
      <c r="NH18" s="310" t="s">
        <v>201</v>
      </c>
      <c r="NI18" s="310" t="s">
        <v>201</v>
      </c>
      <c r="NJ18" s="310" t="s">
        <v>201</v>
      </c>
      <c r="NK18" s="310" t="s">
        <v>201</v>
      </c>
      <c r="NL18" s="310" t="s">
        <v>201</v>
      </c>
      <c r="NM18" s="310" t="s">
        <v>201</v>
      </c>
      <c r="NN18" s="310" t="s">
        <v>201</v>
      </c>
      <c r="NO18" s="310" t="s">
        <v>201</v>
      </c>
      <c r="NP18" s="310" t="s">
        <v>201</v>
      </c>
      <c r="NQ18" s="310" t="s">
        <v>201</v>
      </c>
      <c r="NR18" s="310" t="s">
        <v>201</v>
      </c>
      <c r="NS18" s="310" t="s">
        <v>201</v>
      </c>
      <c r="NT18" s="310" t="s">
        <v>201</v>
      </c>
      <c r="NU18" s="310" t="s">
        <v>201</v>
      </c>
      <c r="NV18" s="310" t="s">
        <v>201</v>
      </c>
      <c r="NW18" s="310" t="s">
        <v>201</v>
      </c>
      <c r="NX18" s="310" t="s">
        <v>201</v>
      </c>
      <c r="NY18" s="310" t="s">
        <v>201</v>
      </c>
      <c r="NZ18" s="310" t="s">
        <v>201</v>
      </c>
      <c r="OA18" s="310" t="s">
        <v>201</v>
      </c>
      <c r="OB18" s="310" t="s">
        <v>201</v>
      </c>
      <c r="OC18" s="310" t="s">
        <v>201</v>
      </c>
      <c r="OD18" s="310" t="s">
        <v>201</v>
      </c>
      <c r="OE18" s="310" t="s">
        <v>201</v>
      </c>
      <c r="OF18" s="310" t="s">
        <v>201</v>
      </c>
      <c r="OG18" s="310" t="s">
        <v>201</v>
      </c>
      <c r="OH18" s="310" t="s">
        <v>201</v>
      </c>
      <c r="OI18" s="310" t="s">
        <v>201</v>
      </c>
      <c r="OJ18" s="310" t="s">
        <v>201</v>
      </c>
      <c r="OK18" s="310" t="s">
        <v>201</v>
      </c>
      <c r="OL18" s="310" t="s">
        <v>201</v>
      </c>
      <c r="OM18" s="310" t="s">
        <v>201</v>
      </c>
      <c r="ON18" s="310" t="s">
        <v>201</v>
      </c>
      <c r="OO18" s="310" t="s">
        <v>201</v>
      </c>
      <c r="OP18" s="310" t="s">
        <v>201</v>
      </c>
      <c r="OQ18" s="310" t="s">
        <v>201</v>
      </c>
      <c r="OR18" s="310" t="s">
        <v>201</v>
      </c>
      <c r="OS18" s="310" t="s">
        <v>201</v>
      </c>
      <c r="OT18" s="310" t="s">
        <v>201</v>
      </c>
      <c r="OU18" s="310" t="s">
        <v>201</v>
      </c>
      <c r="OV18" s="310" t="s">
        <v>201</v>
      </c>
      <c r="OW18" s="310" t="s">
        <v>201</v>
      </c>
      <c r="OX18" s="310" t="s">
        <v>201</v>
      </c>
      <c r="OY18" s="310" t="s">
        <v>201</v>
      </c>
      <c r="OZ18" s="310" t="s">
        <v>201</v>
      </c>
      <c r="PA18" s="310" t="s">
        <v>201</v>
      </c>
      <c r="PB18" s="310" t="s">
        <v>201</v>
      </c>
      <c r="PC18" s="310" t="s">
        <v>201</v>
      </c>
      <c r="PD18" s="310" t="s">
        <v>201</v>
      </c>
      <c r="PE18" s="310" t="s">
        <v>201</v>
      </c>
      <c r="PF18" s="310" t="s">
        <v>201</v>
      </c>
      <c r="PG18" s="310" t="s">
        <v>201</v>
      </c>
      <c r="PH18" s="310" t="s">
        <v>201</v>
      </c>
      <c r="PI18" s="310" t="s">
        <v>201</v>
      </c>
      <c r="PJ18" s="310" t="s">
        <v>201</v>
      </c>
      <c r="PK18" s="310" t="s">
        <v>201</v>
      </c>
      <c r="PL18" s="310" t="s">
        <v>201</v>
      </c>
      <c r="PM18" s="310" t="s">
        <v>201</v>
      </c>
      <c r="PN18" s="310" t="s">
        <v>201</v>
      </c>
      <c r="PO18" s="310" t="s">
        <v>201</v>
      </c>
      <c r="PP18" s="310" t="s">
        <v>201</v>
      </c>
      <c r="PQ18" s="310" t="s">
        <v>201</v>
      </c>
      <c r="PR18" s="310" t="s">
        <v>201</v>
      </c>
      <c r="PS18" s="310" t="s">
        <v>201</v>
      </c>
      <c r="PT18" s="310" t="s">
        <v>201</v>
      </c>
      <c r="PU18" s="310" t="s">
        <v>201</v>
      </c>
      <c r="PV18" s="310" t="s">
        <v>201</v>
      </c>
      <c r="PW18" s="310" t="s">
        <v>201</v>
      </c>
      <c r="PX18" s="310" t="s">
        <v>201</v>
      </c>
      <c r="PY18" s="310" t="s">
        <v>201</v>
      </c>
      <c r="PZ18" s="310" t="s">
        <v>201</v>
      </c>
      <c r="QA18" s="310" t="s">
        <v>201</v>
      </c>
      <c r="QB18" s="310" t="s">
        <v>201</v>
      </c>
      <c r="QC18" s="310" t="s">
        <v>201</v>
      </c>
      <c r="QD18" s="310" t="s">
        <v>201</v>
      </c>
      <c r="QE18" s="310" t="s">
        <v>201</v>
      </c>
      <c r="QF18" s="310" t="s">
        <v>201</v>
      </c>
      <c r="QG18" s="310" t="s">
        <v>201</v>
      </c>
      <c r="QH18" s="310" t="s">
        <v>201</v>
      </c>
      <c r="QI18" s="310" t="s">
        <v>201</v>
      </c>
      <c r="QJ18" s="310" t="s">
        <v>201</v>
      </c>
      <c r="QK18" s="310" t="s">
        <v>201</v>
      </c>
      <c r="QL18" s="310" t="s">
        <v>201</v>
      </c>
      <c r="QM18" s="310" t="s">
        <v>201</v>
      </c>
      <c r="QN18" s="310" t="s">
        <v>201</v>
      </c>
      <c r="QO18" s="310" t="s">
        <v>201</v>
      </c>
      <c r="QP18" s="310" t="s">
        <v>201</v>
      </c>
      <c r="QQ18" s="310" t="s">
        <v>201</v>
      </c>
      <c r="QR18" s="310" t="s">
        <v>201</v>
      </c>
      <c r="QS18" s="310" t="s">
        <v>201</v>
      </c>
      <c r="QT18" s="310" t="s">
        <v>201</v>
      </c>
      <c r="QU18" s="310" t="s">
        <v>201</v>
      </c>
      <c r="QV18" s="310" t="s">
        <v>201</v>
      </c>
      <c r="QW18" s="310" t="s">
        <v>201</v>
      </c>
      <c r="QX18" s="310" t="s">
        <v>201</v>
      </c>
      <c r="QY18" s="310" t="s">
        <v>201</v>
      </c>
      <c r="QZ18" s="310" t="s">
        <v>201</v>
      </c>
      <c r="RA18" s="310" t="s">
        <v>201</v>
      </c>
      <c r="RB18" s="310" t="s">
        <v>201</v>
      </c>
      <c r="RC18" s="310" t="s">
        <v>201</v>
      </c>
      <c r="RD18" s="310" t="s">
        <v>201</v>
      </c>
      <c r="RE18" s="310" t="s">
        <v>201</v>
      </c>
      <c r="RF18" s="310" t="s">
        <v>201</v>
      </c>
      <c r="RG18" s="310" t="s">
        <v>201</v>
      </c>
      <c r="RH18" s="310" t="s">
        <v>201</v>
      </c>
      <c r="RI18" s="310" t="s">
        <v>201</v>
      </c>
      <c r="RJ18" s="310" t="s">
        <v>201</v>
      </c>
      <c r="RK18" s="310" t="s">
        <v>201</v>
      </c>
      <c r="RL18" s="310" t="s">
        <v>201</v>
      </c>
      <c r="RM18" s="310" t="s">
        <v>201</v>
      </c>
      <c r="RN18" s="310" t="s">
        <v>201</v>
      </c>
      <c r="RO18" s="310" t="s">
        <v>201</v>
      </c>
      <c r="RP18" s="310" t="s">
        <v>201</v>
      </c>
      <c r="RQ18" s="310" t="s">
        <v>201</v>
      </c>
      <c r="RR18" s="310" t="s">
        <v>201</v>
      </c>
      <c r="RS18" s="310" t="s">
        <v>201</v>
      </c>
      <c r="RT18" s="310" t="s">
        <v>201</v>
      </c>
      <c r="RU18" s="310" t="s">
        <v>201</v>
      </c>
      <c r="RV18" s="310" t="s">
        <v>201</v>
      </c>
      <c r="RW18" s="310" t="s">
        <v>201</v>
      </c>
      <c r="RX18" s="310" t="s">
        <v>201</v>
      </c>
      <c r="RY18" s="310" t="s">
        <v>201</v>
      </c>
      <c r="RZ18" s="310" t="s">
        <v>201</v>
      </c>
      <c r="SA18" s="310" t="s">
        <v>201</v>
      </c>
      <c r="SB18" s="310" t="s">
        <v>201</v>
      </c>
      <c r="SC18" s="310" t="s">
        <v>201</v>
      </c>
      <c r="SD18" s="310" t="s">
        <v>201</v>
      </c>
      <c r="SE18" s="310" t="s">
        <v>201</v>
      </c>
      <c r="SF18" s="310" t="s">
        <v>201</v>
      </c>
      <c r="SG18" s="310" t="s">
        <v>201</v>
      </c>
      <c r="SH18" s="310" t="s">
        <v>201</v>
      </c>
      <c r="SI18" s="310" t="s">
        <v>201</v>
      </c>
      <c r="SJ18" s="310" t="s">
        <v>201</v>
      </c>
      <c r="SK18" s="310" t="s">
        <v>201</v>
      </c>
      <c r="SL18" s="310" t="s">
        <v>201</v>
      </c>
      <c r="SM18" s="310" t="s">
        <v>201</v>
      </c>
      <c r="SN18" s="310" t="s">
        <v>201</v>
      </c>
      <c r="SO18" s="310" t="s">
        <v>201</v>
      </c>
      <c r="SP18" s="310" t="s">
        <v>201</v>
      </c>
      <c r="SQ18" s="310" t="s">
        <v>201</v>
      </c>
      <c r="SR18" s="310" t="s">
        <v>201</v>
      </c>
      <c r="SS18" s="310" t="s">
        <v>201</v>
      </c>
      <c r="ST18" s="310" t="s">
        <v>201</v>
      </c>
      <c r="SU18" s="310" t="s">
        <v>201</v>
      </c>
      <c r="SV18" s="310" t="s">
        <v>201</v>
      </c>
      <c r="SW18" s="310" t="s">
        <v>201</v>
      </c>
      <c r="SX18" s="310" t="s">
        <v>201</v>
      </c>
      <c r="SY18" s="310" t="s">
        <v>201</v>
      </c>
      <c r="SZ18" s="310" t="s">
        <v>201</v>
      </c>
      <c r="TA18" s="310" t="s">
        <v>201</v>
      </c>
      <c r="TB18" s="310" t="s">
        <v>201</v>
      </c>
      <c r="TC18" s="310" t="s">
        <v>201</v>
      </c>
      <c r="TD18" s="310" t="s">
        <v>201</v>
      </c>
      <c r="TE18" s="310" t="s">
        <v>201</v>
      </c>
      <c r="TF18" s="310" t="s">
        <v>201</v>
      </c>
      <c r="TG18" s="310" t="s">
        <v>201</v>
      </c>
      <c r="TH18" s="310" t="s">
        <v>201</v>
      </c>
      <c r="TI18" s="310" t="s">
        <v>201</v>
      </c>
      <c r="TJ18" s="310" t="s">
        <v>201</v>
      </c>
      <c r="TK18" s="310" t="s">
        <v>201</v>
      </c>
      <c r="TL18" s="310" t="s">
        <v>201</v>
      </c>
      <c r="TM18" s="310" t="s">
        <v>201</v>
      </c>
      <c r="TN18" s="310" t="s">
        <v>201</v>
      </c>
      <c r="TO18" s="310" t="s">
        <v>201</v>
      </c>
      <c r="TP18" s="310" t="s">
        <v>201</v>
      </c>
      <c r="TQ18" s="310" t="s">
        <v>201</v>
      </c>
      <c r="TR18" s="310" t="s">
        <v>201</v>
      </c>
      <c r="TS18" s="310" t="s">
        <v>201</v>
      </c>
      <c r="TT18" s="310" t="s">
        <v>201</v>
      </c>
      <c r="TU18" s="310" t="s">
        <v>201</v>
      </c>
      <c r="TV18" s="310" t="s">
        <v>201</v>
      </c>
      <c r="TW18" s="310" t="s">
        <v>201</v>
      </c>
      <c r="TX18" s="310" t="s">
        <v>201</v>
      </c>
      <c r="TY18" s="310" t="s">
        <v>201</v>
      </c>
      <c r="TZ18" s="310" t="s">
        <v>201</v>
      </c>
      <c r="UA18" s="310" t="s">
        <v>201</v>
      </c>
      <c r="UB18" s="310" t="s">
        <v>201</v>
      </c>
      <c r="UC18" s="310" t="s">
        <v>201</v>
      </c>
      <c r="UD18" s="310" t="s">
        <v>201</v>
      </c>
      <c r="UE18" s="310" t="s">
        <v>201</v>
      </c>
      <c r="UF18" s="310" t="s">
        <v>201</v>
      </c>
      <c r="UG18" s="310" t="s">
        <v>201</v>
      </c>
      <c r="UH18" s="310" t="s">
        <v>201</v>
      </c>
      <c r="UI18" s="310" t="s">
        <v>201</v>
      </c>
      <c r="UJ18" s="310" t="s">
        <v>201</v>
      </c>
      <c r="UK18" s="310" t="s">
        <v>201</v>
      </c>
      <c r="UL18" s="310" t="s">
        <v>201</v>
      </c>
      <c r="UM18" s="310" t="s">
        <v>201</v>
      </c>
      <c r="UN18" s="310" t="s">
        <v>201</v>
      </c>
      <c r="UO18" s="310" t="s">
        <v>201</v>
      </c>
      <c r="UP18" s="310" t="s">
        <v>201</v>
      </c>
      <c r="UQ18" s="310" t="s">
        <v>201</v>
      </c>
      <c r="UR18" s="310" t="s">
        <v>201</v>
      </c>
      <c r="US18" s="310" t="s">
        <v>201</v>
      </c>
      <c r="UT18" s="310" t="s">
        <v>201</v>
      </c>
      <c r="UU18" s="310" t="s">
        <v>201</v>
      </c>
      <c r="UV18" s="310" t="s">
        <v>201</v>
      </c>
      <c r="UW18" s="310" t="s">
        <v>201</v>
      </c>
      <c r="UX18" s="310" t="s">
        <v>201</v>
      </c>
      <c r="UY18" s="310" t="s">
        <v>201</v>
      </c>
      <c r="UZ18" s="310" t="s">
        <v>201</v>
      </c>
      <c r="VA18" s="310" t="s">
        <v>201</v>
      </c>
      <c r="VB18" s="310" t="s">
        <v>201</v>
      </c>
      <c r="VC18" s="310" t="s">
        <v>201</v>
      </c>
      <c r="VD18" s="310" t="s">
        <v>201</v>
      </c>
      <c r="VE18" s="310" t="s">
        <v>201</v>
      </c>
      <c r="VF18" s="310" t="s">
        <v>201</v>
      </c>
      <c r="VG18" s="310" t="s">
        <v>201</v>
      </c>
      <c r="VH18" s="310" t="s">
        <v>201</v>
      </c>
      <c r="VI18" s="310" t="s">
        <v>201</v>
      </c>
      <c r="VJ18" s="310" t="s">
        <v>201</v>
      </c>
      <c r="VK18" s="310" t="s">
        <v>201</v>
      </c>
      <c r="VL18" s="310" t="s">
        <v>201</v>
      </c>
      <c r="VM18" s="310" t="s">
        <v>201</v>
      </c>
      <c r="VN18" s="310" t="s">
        <v>201</v>
      </c>
      <c r="VO18" s="310" t="s">
        <v>201</v>
      </c>
      <c r="VP18" s="310" t="s">
        <v>201</v>
      </c>
      <c r="VQ18" s="310" t="s">
        <v>201</v>
      </c>
      <c r="VR18" s="310" t="s">
        <v>201</v>
      </c>
      <c r="VS18" s="310" t="s">
        <v>201</v>
      </c>
      <c r="VT18" s="310" t="s">
        <v>201</v>
      </c>
      <c r="VU18" s="310" t="s">
        <v>201</v>
      </c>
      <c r="VV18" s="310" t="s">
        <v>201</v>
      </c>
      <c r="VW18" s="310" t="s">
        <v>201</v>
      </c>
      <c r="VX18" s="310" t="s">
        <v>201</v>
      </c>
      <c r="VY18" s="310" t="s">
        <v>201</v>
      </c>
      <c r="VZ18" s="310" t="s">
        <v>201</v>
      </c>
      <c r="WA18" s="310" t="s">
        <v>201</v>
      </c>
      <c r="WB18" s="310" t="s">
        <v>201</v>
      </c>
      <c r="WC18" s="310" t="s">
        <v>201</v>
      </c>
      <c r="WD18" s="310" t="s">
        <v>201</v>
      </c>
      <c r="WE18" s="310" t="s">
        <v>201</v>
      </c>
      <c r="WF18" s="310" t="s">
        <v>201</v>
      </c>
      <c r="WG18" s="310" t="s">
        <v>201</v>
      </c>
      <c r="WH18" s="310" t="s">
        <v>201</v>
      </c>
      <c r="WI18" s="310" t="s">
        <v>201</v>
      </c>
      <c r="WJ18" s="310" t="s">
        <v>201</v>
      </c>
      <c r="WK18" s="310" t="s">
        <v>201</v>
      </c>
      <c r="WL18" s="310" t="s">
        <v>201</v>
      </c>
      <c r="WM18" s="310" t="s">
        <v>201</v>
      </c>
      <c r="WN18" s="310" t="s">
        <v>201</v>
      </c>
      <c r="WO18" s="310" t="s">
        <v>201</v>
      </c>
      <c r="WP18" s="310" t="s">
        <v>201</v>
      </c>
      <c r="WQ18" s="310" t="s">
        <v>201</v>
      </c>
      <c r="WR18" s="310" t="s">
        <v>201</v>
      </c>
      <c r="WS18" s="310" t="s">
        <v>201</v>
      </c>
      <c r="WT18" s="310" t="s">
        <v>201</v>
      </c>
      <c r="WU18" s="310" t="s">
        <v>201</v>
      </c>
      <c r="WV18" s="310" t="s">
        <v>201</v>
      </c>
      <c r="WW18" s="310" t="s">
        <v>201</v>
      </c>
      <c r="WX18" s="310" t="s">
        <v>201</v>
      </c>
      <c r="WY18" s="310" t="s">
        <v>201</v>
      </c>
      <c r="WZ18" s="310" t="s">
        <v>201</v>
      </c>
      <c r="XA18" s="310" t="s">
        <v>201</v>
      </c>
      <c r="XB18" s="310" t="s">
        <v>201</v>
      </c>
      <c r="XC18" s="310" t="s">
        <v>201</v>
      </c>
      <c r="XD18" s="310" t="s">
        <v>201</v>
      </c>
      <c r="XE18" s="310" t="s">
        <v>201</v>
      </c>
      <c r="XF18" s="310" t="s">
        <v>201</v>
      </c>
      <c r="XG18" s="310" t="s">
        <v>201</v>
      </c>
      <c r="XH18" s="310" t="s">
        <v>201</v>
      </c>
      <c r="XI18" s="310" t="s">
        <v>201</v>
      </c>
      <c r="XJ18" s="310" t="s">
        <v>201</v>
      </c>
      <c r="XK18" s="310" t="s">
        <v>201</v>
      </c>
      <c r="XL18" s="310" t="s">
        <v>201</v>
      </c>
      <c r="XM18" s="310" t="s">
        <v>201</v>
      </c>
      <c r="XN18" s="310" t="s">
        <v>201</v>
      </c>
      <c r="XO18" s="310" t="s">
        <v>201</v>
      </c>
      <c r="XP18" s="310" t="s">
        <v>201</v>
      </c>
      <c r="XQ18" s="310" t="s">
        <v>201</v>
      </c>
      <c r="XR18" s="310" t="s">
        <v>201</v>
      </c>
      <c r="XS18" s="310" t="s">
        <v>201</v>
      </c>
      <c r="XT18" s="310" t="s">
        <v>201</v>
      </c>
      <c r="XU18" s="310" t="s">
        <v>201</v>
      </c>
      <c r="XV18" s="310" t="s">
        <v>201</v>
      </c>
      <c r="XW18" s="310" t="s">
        <v>201</v>
      </c>
      <c r="XX18" s="310" t="s">
        <v>201</v>
      </c>
      <c r="XY18" s="310" t="s">
        <v>201</v>
      </c>
      <c r="XZ18" s="310" t="s">
        <v>201</v>
      </c>
      <c r="YA18" s="310" t="s">
        <v>201</v>
      </c>
      <c r="YB18" s="310" t="s">
        <v>201</v>
      </c>
      <c r="YC18" s="310" t="s">
        <v>201</v>
      </c>
      <c r="YD18" s="310" t="s">
        <v>201</v>
      </c>
      <c r="YE18" s="310" t="s">
        <v>201</v>
      </c>
      <c r="YF18" s="310" t="s">
        <v>201</v>
      </c>
      <c r="YG18" s="310" t="s">
        <v>201</v>
      </c>
      <c r="YH18" s="310" t="s">
        <v>201</v>
      </c>
      <c r="YI18" s="310" t="s">
        <v>201</v>
      </c>
      <c r="YJ18" s="310" t="s">
        <v>201</v>
      </c>
      <c r="YK18" s="310" t="s">
        <v>201</v>
      </c>
      <c r="YL18" s="310" t="s">
        <v>201</v>
      </c>
      <c r="YM18" s="310" t="s">
        <v>201</v>
      </c>
      <c r="YN18" s="310" t="s">
        <v>201</v>
      </c>
      <c r="YO18" s="310" t="s">
        <v>201</v>
      </c>
      <c r="YP18" s="310" t="s">
        <v>201</v>
      </c>
      <c r="YQ18" s="310" t="s">
        <v>201</v>
      </c>
      <c r="YR18" s="310" t="s">
        <v>201</v>
      </c>
      <c r="YS18" s="310" t="s">
        <v>201</v>
      </c>
      <c r="YT18" s="310" t="s">
        <v>201</v>
      </c>
      <c r="YU18" s="310" t="s">
        <v>201</v>
      </c>
      <c r="YV18" s="310" t="s">
        <v>201</v>
      </c>
      <c r="YW18" s="310" t="s">
        <v>201</v>
      </c>
      <c r="YX18" s="310" t="s">
        <v>201</v>
      </c>
      <c r="YY18" s="310" t="s">
        <v>201</v>
      </c>
      <c r="YZ18" s="310" t="s">
        <v>201</v>
      </c>
      <c r="ZA18" s="310" t="s">
        <v>201</v>
      </c>
      <c r="ZB18" s="310" t="s">
        <v>201</v>
      </c>
      <c r="ZC18" s="310" t="s">
        <v>201</v>
      </c>
      <c r="ZD18" s="310" t="s">
        <v>201</v>
      </c>
      <c r="ZE18" s="310" t="s">
        <v>201</v>
      </c>
      <c r="ZF18" s="310" t="s">
        <v>201</v>
      </c>
      <c r="ZG18" s="310" t="s">
        <v>201</v>
      </c>
      <c r="ZH18" s="310" t="s">
        <v>201</v>
      </c>
      <c r="ZI18" s="310" t="s">
        <v>201</v>
      </c>
      <c r="ZJ18" s="310" t="s">
        <v>201</v>
      </c>
      <c r="ZK18" s="310" t="s">
        <v>201</v>
      </c>
      <c r="ZL18" s="310" t="s">
        <v>201</v>
      </c>
      <c r="ZM18" s="310" t="s">
        <v>201</v>
      </c>
      <c r="ZN18" s="310" t="s">
        <v>201</v>
      </c>
      <c r="ZO18" s="310" t="s">
        <v>201</v>
      </c>
      <c r="ZP18" s="310" t="s">
        <v>201</v>
      </c>
      <c r="ZQ18" s="310" t="s">
        <v>201</v>
      </c>
      <c r="ZR18" s="310" t="s">
        <v>201</v>
      </c>
      <c r="ZS18" s="310" t="s">
        <v>201</v>
      </c>
      <c r="ZT18" s="310" t="s">
        <v>201</v>
      </c>
      <c r="ZU18" s="310" t="s">
        <v>201</v>
      </c>
      <c r="ZV18" s="310" t="s">
        <v>201</v>
      </c>
      <c r="ZW18" s="310" t="s">
        <v>201</v>
      </c>
      <c r="ZX18" s="310" t="s">
        <v>201</v>
      </c>
      <c r="ZY18" s="310" t="s">
        <v>201</v>
      </c>
      <c r="ZZ18" s="310" t="s">
        <v>201</v>
      </c>
      <c r="AAA18" s="310" t="s">
        <v>201</v>
      </c>
      <c r="AAB18" s="310" t="s">
        <v>201</v>
      </c>
      <c r="AAC18" s="310" t="s">
        <v>201</v>
      </c>
      <c r="AAD18" s="310" t="s">
        <v>201</v>
      </c>
      <c r="AAE18" s="310" t="s">
        <v>201</v>
      </c>
      <c r="AAF18" s="310" t="s">
        <v>201</v>
      </c>
      <c r="AAG18" s="310" t="s">
        <v>201</v>
      </c>
      <c r="AAH18" s="310" t="s">
        <v>201</v>
      </c>
      <c r="AAI18" s="310" t="s">
        <v>201</v>
      </c>
      <c r="AAJ18" s="310" t="s">
        <v>201</v>
      </c>
      <c r="AAK18" s="310" t="s">
        <v>201</v>
      </c>
      <c r="AAL18" s="310" t="s">
        <v>201</v>
      </c>
      <c r="AAM18" s="310" t="s">
        <v>201</v>
      </c>
      <c r="AAN18" s="310" t="s">
        <v>201</v>
      </c>
      <c r="AAO18" s="310" t="s">
        <v>201</v>
      </c>
      <c r="AAP18" s="310" t="s">
        <v>201</v>
      </c>
      <c r="AAQ18" s="310" t="s">
        <v>201</v>
      </c>
      <c r="AAR18" s="310" t="s">
        <v>201</v>
      </c>
      <c r="AAS18" s="310" t="s">
        <v>201</v>
      </c>
      <c r="AAT18" s="310" t="s">
        <v>201</v>
      </c>
      <c r="AAU18" s="310" t="s">
        <v>201</v>
      </c>
      <c r="AAV18" s="310" t="s">
        <v>201</v>
      </c>
      <c r="AAW18" s="310" t="s">
        <v>201</v>
      </c>
      <c r="AAX18" s="310" t="s">
        <v>201</v>
      </c>
      <c r="AAY18" s="310" t="s">
        <v>201</v>
      </c>
      <c r="AAZ18" s="310" t="s">
        <v>201</v>
      </c>
      <c r="ABA18" s="310" t="s">
        <v>201</v>
      </c>
      <c r="ABB18" s="310" t="s">
        <v>201</v>
      </c>
      <c r="ABC18" s="310" t="s">
        <v>201</v>
      </c>
      <c r="ABD18" s="310" t="s">
        <v>201</v>
      </c>
      <c r="ABE18" s="310" t="s">
        <v>201</v>
      </c>
      <c r="ABF18" s="310" t="s">
        <v>201</v>
      </c>
      <c r="ABG18" s="310" t="s">
        <v>201</v>
      </c>
      <c r="ABH18" s="310" t="s">
        <v>201</v>
      </c>
      <c r="ABI18" s="310" t="s">
        <v>201</v>
      </c>
      <c r="ABJ18" s="310" t="s">
        <v>201</v>
      </c>
      <c r="ABK18" s="310" t="s">
        <v>201</v>
      </c>
      <c r="ABL18" s="310" t="s">
        <v>201</v>
      </c>
      <c r="ABM18" s="310" t="s">
        <v>201</v>
      </c>
      <c r="ABN18" s="310" t="s">
        <v>201</v>
      </c>
      <c r="ABO18" s="310" t="s">
        <v>201</v>
      </c>
      <c r="ABP18" s="310" t="s">
        <v>201</v>
      </c>
      <c r="ABQ18" s="310" t="s">
        <v>201</v>
      </c>
      <c r="ABR18" s="310" t="s">
        <v>201</v>
      </c>
      <c r="ABS18" s="310" t="s">
        <v>201</v>
      </c>
      <c r="ABT18" s="310" t="s">
        <v>201</v>
      </c>
      <c r="ABU18" s="310" t="s">
        <v>201</v>
      </c>
      <c r="ABV18" s="310" t="s">
        <v>201</v>
      </c>
      <c r="ABW18" s="310" t="s">
        <v>201</v>
      </c>
      <c r="ABX18" s="310" t="s">
        <v>201</v>
      </c>
      <c r="ABY18" s="310" t="s">
        <v>201</v>
      </c>
      <c r="ABZ18" s="310" t="s">
        <v>201</v>
      </c>
      <c r="ACA18" s="310" t="s">
        <v>201</v>
      </c>
      <c r="ACB18" s="310" t="s">
        <v>201</v>
      </c>
      <c r="ACC18" s="310" t="s">
        <v>201</v>
      </c>
      <c r="ACD18" s="310" t="s">
        <v>201</v>
      </c>
      <c r="ACE18" s="310" t="s">
        <v>201</v>
      </c>
      <c r="ACF18" s="310" t="s">
        <v>201</v>
      </c>
      <c r="ACG18" s="310" t="s">
        <v>201</v>
      </c>
      <c r="ACH18" s="310" t="s">
        <v>201</v>
      </c>
      <c r="ACI18" s="310" t="s">
        <v>201</v>
      </c>
      <c r="ACJ18" s="310" t="s">
        <v>201</v>
      </c>
      <c r="ACK18" s="310" t="s">
        <v>201</v>
      </c>
      <c r="ACL18" s="310" t="s">
        <v>201</v>
      </c>
      <c r="ACM18" s="310" t="s">
        <v>201</v>
      </c>
      <c r="ACN18" s="310" t="s">
        <v>201</v>
      </c>
      <c r="ACO18" s="310" t="s">
        <v>201</v>
      </c>
      <c r="ACP18" s="310" t="s">
        <v>201</v>
      </c>
      <c r="ACQ18" s="310" t="s">
        <v>201</v>
      </c>
      <c r="ACR18" s="310" t="s">
        <v>201</v>
      </c>
      <c r="ACS18" s="310" t="s">
        <v>201</v>
      </c>
      <c r="ACT18" s="310" t="s">
        <v>201</v>
      </c>
      <c r="ACU18" s="310" t="s">
        <v>201</v>
      </c>
      <c r="ACV18" s="310" t="s">
        <v>201</v>
      </c>
      <c r="ACW18" s="310" t="s">
        <v>201</v>
      </c>
      <c r="ACX18" s="310" t="s">
        <v>201</v>
      </c>
      <c r="ACY18" s="310" t="s">
        <v>201</v>
      </c>
      <c r="ACZ18" s="310" t="s">
        <v>201</v>
      </c>
      <c r="ADA18" s="310" t="s">
        <v>201</v>
      </c>
      <c r="ADB18" s="310" t="s">
        <v>201</v>
      </c>
      <c r="ADC18" s="310" t="s">
        <v>201</v>
      </c>
      <c r="ADD18" s="310" t="s">
        <v>201</v>
      </c>
      <c r="ADE18" s="310" t="s">
        <v>201</v>
      </c>
      <c r="ADF18" s="310" t="s">
        <v>201</v>
      </c>
      <c r="ADG18" s="310" t="s">
        <v>201</v>
      </c>
      <c r="ADH18" s="310" t="s">
        <v>201</v>
      </c>
      <c r="ADI18" s="310" t="s">
        <v>201</v>
      </c>
      <c r="ADJ18" s="310" t="s">
        <v>201</v>
      </c>
      <c r="ADK18" s="310" t="s">
        <v>201</v>
      </c>
      <c r="ADL18" s="310" t="s">
        <v>201</v>
      </c>
      <c r="ADM18" s="310" t="s">
        <v>201</v>
      </c>
      <c r="ADN18" s="310" t="s">
        <v>201</v>
      </c>
      <c r="ADO18" s="310" t="s">
        <v>201</v>
      </c>
      <c r="ADP18" s="310" t="s">
        <v>201</v>
      </c>
      <c r="ADQ18" s="310" t="s">
        <v>201</v>
      </c>
      <c r="ADR18" s="310" t="s">
        <v>201</v>
      </c>
      <c r="ADS18" s="310" t="s">
        <v>201</v>
      </c>
      <c r="ADT18" s="310" t="s">
        <v>201</v>
      </c>
      <c r="ADU18" s="310" t="s">
        <v>201</v>
      </c>
      <c r="ADV18" s="310" t="s">
        <v>201</v>
      </c>
      <c r="ADW18" s="310" t="s">
        <v>201</v>
      </c>
      <c r="ADX18" s="310" t="s">
        <v>201</v>
      </c>
      <c r="ADY18" s="310" t="s">
        <v>201</v>
      </c>
      <c r="ADZ18" s="310" t="s">
        <v>201</v>
      </c>
      <c r="AEA18" s="310" t="s">
        <v>201</v>
      </c>
      <c r="AEB18" s="310" t="s">
        <v>201</v>
      </c>
      <c r="AEC18" s="310" t="s">
        <v>201</v>
      </c>
      <c r="AED18" s="310" t="s">
        <v>201</v>
      </c>
      <c r="AEE18" s="310" t="s">
        <v>201</v>
      </c>
      <c r="AEF18" s="310" t="s">
        <v>201</v>
      </c>
      <c r="AEG18" s="310" t="s">
        <v>201</v>
      </c>
      <c r="AEH18" s="310" t="s">
        <v>201</v>
      </c>
      <c r="AEI18" s="310" t="s">
        <v>201</v>
      </c>
      <c r="AEJ18" s="310" t="s">
        <v>201</v>
      </c>
      <c r="AEK18" s="310" t="s">
        <v>201</v>
      </c>
      <c r="AEL18" s="310" t="s">
        <v>201</v>
      </c>
      <c r="AEM18" s="310" t="s">
        <v>201</v>
      </c>
      <c r="AEN18" s="310" t="s">
        <v>201</v>
      </c>
      <c r="AEO18" s="310" t="s">
        <v>201</v>
      </c>
      <c r="AEP18" s="310" t="s">
        <v>201</v>
      </c>
      <c r="AEQ18" s="310" t="s">
        <v>201</v>
      </c>
      <c r="AER18" s="310" t="s">
        <v>201</v>
      </c>
      <c r="AES18" s="310" t="s">
        <v>201</v>
      </c>
      <c r="AET18" s="310" t="s">
        <v>201</v>
      </c>
      <c r="AEU18" s="310" t="s">
        <v>201</v>
      </c>
      <c r="AEV18" s="310" t="s">
        <v>201</v>
      </c>
      <c r="AEW18" s="310" t="s">
        <v>201</v>
      </c>
      <c r="AEX18" s="310" t="s">
        <v>201</v>
      </c>
      <c r="AEY18" s="310" t="s">
        <v>201</v>
      </c>
      <c r="AEZ18" s="310" t="s">
        <v>201</v>
      </c>
      <c r="AFA18" s="310" t="s">
        <v>201</v>
      </c>
      <c r="AFB18" s="310" t="s">
        <v>201</v>
      </c>
      <c r="AFC18" s="310" t="s">
        <v>201</v>
      </c>
      <c r="AFD18" s="310" t="s">
        <v>201</v>
      </c>
      <c r="AFE18" s="310" t="s">
        <v>201</v>
      </c>
      <c r="AFF18" s="310" t="s">
        <v>201</v>
      </c>
      <c r="AFG18" s="310" t="s">
        <v>201</v>
      </c>
      <c r="AFH18" s="310" t="s">
        <v>201</v>
      </c>
      <c r="AFI18" s="310" t="s">
        <v>201</v>
      </c>
      <c r="AFJ18" s="310" t="s">
        <v>201</v>
      </c>
      <c r="AFK18" s="310" t="s">
        <v>201</v>
      </c>
      <c r="AFL18" s="310" t="s">
        <v>201</v>
      </c>
      <c r="AFM18" s="310" t="s">
        <v>201</v>
      </c>
      <c r="AFN18" s="310" t="s">
        <v>201</v>
      </c>
      <c r="AFO18" s="310" t="s">
        <v>201</v>
      </c>
      <c r="AFP18" s="310" t="s">
        <v>201</v>
      </c>
      <c r="AFQ18" s="310" t="s">
        <v>201</v>
      </c>
      <c r="AFR18" s="310" t="s">
        <v>201</v>
      </c>
      <c r="AFS18" s="310" t="s">
        <v>201</v>
      </c>
      <c r="AFT18" s="310" t="s">
        <v>201</v>
      </c>
      <c r="AFU18" s="310" t="s">
        <v>201</v>
      </c>
      <c r="AFV18" s="310" t="s">
        <v>201</v>
      </c>
      <c r="AFW18" s="310" t="s">
        <v>201</v>
      </c>
      <c r="AFX18" s="310" t="s">
        <v>201</v>
      </c>
      <c r="AFY18" s="310" t="s">
        <v>201</v>
      </c>
      <c r="AFZ18" s="310" t="s">
        <v>201</v>
      </c>
      <c r="AGA18" s="310" t="s">
        <v>201</v>
      </c>
      <c r="AGB18" s="310" t="s">
        <v>201</v>
      </c>
      <c r="AGC18" s="310" t="s">
        <v>201</v>
      </c>
      <c r="AGD18" s="310" t="s">
        <v>201</v>
      </c>
      <c r="AGE18" s="310" t="s">
        <v>201</v>
      </c>
      <c r="AGF18" s="310" t="s">
        <v>201</v>
      </c>
      <c r="AGG18" s="310" t="s">
        <v>201</v>
      </c>
      <c r="AGH18" s="310" t="s">
        <v>201</v>
      </c>
      <c r="AGI18" s="310" t="s">
        <v>201</v>
      </c>
      <c r="AGJ18" s="310" t="s">
        <v>201</v>
      </c>
      <c r="AGK18" s="310" t="s">
        <v>201</v>
      </c>
      <c r="AGL18" s="310" t="s">
        <v>201</v>
      </c>
      <c r="AGM18" s="310" t="s">
        <v>201</v>
      </c>
      <c r="AGN18" s="310" t="s">
        <v>201</v>
      </c>
      <c r="AGO18" s="310" t="s">
        <v>201</v>
      </c>
      <c r="AGP18" s="310" t="s">
        <v>201</v>
      </c>
      <c r="AGQ18" s="310" t="s">
        <v>201</v>
      </c>
      <c r="AGR18" s="310" t="s">
        <v>201</v>
      </c>
      <c r="AGS18" s="310" t="s">
        <v>201</v>
      </c>
      <c r="AGT18" s="310" t="s">
        <v>201</v>
      </c>
      <c r="AGU18" s="310" t="s">
        <v>201</v>
      </c>
      <c r="AGV18" s="310" t="s">
        <v>201</v>
      </c>
      <c r="AGW18" s="310" t="s">
        <v>201</v>
      </c>
      <c r="AGX18" s="310" t="s">
        <v>201</v>
      </c>
      <c r="AGY18" s="310" t="s">
        <v>201</v>
      </c>
      <c r="AGZ18" s="310" t="s">
        <v>201</v>
      </c>
      <c r="AHA18" s="310" t="s">
        <v>201</v>
      </c>
      <c r="AHB18" s="310" t="s">
        <v>201</v>
      </c>
      <c r="AHC18" s="310" t="s">
        <v>201</v>
      </c>
      <c r="AHD18" s="310" t="s">
        <v>201</v>
      </c>
      <c r="AHE18" s="310" t="s">
        <v>201</v>
      </c>
      <c r="AHF18" s="310" t="s">
        <v>201</v>
      </c>
      <c r="AHG18" s="310" t="s">
        <v>201</v>
      </c>
      <c r="AHH18" s="310" t="s">
        <v>201</v>
      </c>
      <c r="AHI18" s="310" t="s">
        <v>201</v>
      </c>
      <c r="AHJ18" s="310" t="s">
        <v>201</v>
      </c>
      <c r="AHK18" s="310" t="s">
        <v>201</v>
      </c>
      <c r="AHL18" s="310" t="s">
        <v>201</v>
      </c>
      <c r="AHM18" s="310" t="s">
        <v>201</v>
      </c>
      <c r="AHN18" s="310" t="s">
        <v>201</v>
      </c>
      <c r="AHO18" s="310" t="s">
        <v>201</v>
      </c>
      <c r="AHP18" s="310" t="s">
        <v>201</v>
      </c>
      <c r="AHQ18" s="310" t="s">
        <v>201</v>
      </c>
      <c r="AHR18" s="310" t="s">
        <v>201</v>
      </c>
      <c r="AHS18" s="310" t="s">
        <v>201</v>
      </c>
      <c r="AHT18" s="310" t="s">
        <v>201</v>
      </c>
      <c r="AHU18" s="310" t="s">
        <v>201</v>
      </c>
      <c r="AHV18" s="310" t="s">
        <v>201</v>
      </c>
      <c r="AHW18" s="310" t="s">
        <v>201</v>
      </c>
      <c r="AHX18" s="310" t="s">
        <v>201</v>
      </c>
      <c r="AHY18" s="310" t="s">
        <v>201</v>
      </c>
      <c r="AHZ18" s="310" t="s">
        <v>201</v>
      </c>
      <c r="AIA18" s="310" t="s">
        <v>201</v>
      </c>
      <c r="AIB18" s="310" t="s">
        <v>201</v>
      </c>
      <c r="AIC18" s="310" t="s">
        <v>201</v>
      </c>
      <c r="AID18" s="310" t="s">
        <v>201</v>
      </c>
      <c r="AIE18" s="310" t="s">
        <v>201</v>
      </c>
      <c r="AIF18" s="310" t="s">
        <v>201</v>
      </c>
      <c r="AIG18" s="310" t="s">
        <v>201</v>
      </c>
      <c r="AIH18" s="310" t="s">
        <v>201</v>
      </c>
      <c r="AII18" s="310" t="s">
        <v>201</v>
      </c>
      <c r="AIJ18" s="310" t="s">
        <v>201</v>
      </c>
      <c r="AIK18" s="310" t="s">
        <v>201</v>
      </c>
      <c r="AIL18" s="310" t="s">
        <v>201</v>
      </c>
      <c r="AIM18" s="310" t="s">
        <v>201</v>
      </c>
      <c r="AIN18" s="310" t="s">
        <v>201</v>
      </c>
      <c r="AIO18" s="310" t="s">
        <v>201</v>
      </c>
      <c r="AIP18" s="310" t="s">
        <v>201</v>
      </c>
      <c r="AIQ18" s="310" t="s">
        <v>201</v>
      </c>
      <c r="AIR18" s="310" t="s">
        <v>201</v>
      </c>
      <c r="AIS18" s="310" t="s">
        <v>201</v>
      </c>
      <c r="AIT18" s="310" t="s">
        <v>201</v>
      </c>
      <c r="AIU18" s="310" t="s">
        <v>201</v>
      </c>
      <c r="AIV18" s="310" t="s">
        <v>201</v>
      </c>
      <c r="AIW18" s="310" t="s">
        <v>201</v>
      </c>
      <c r="AIX18" s="310" t="s">
        <v>201</v>
      </c>
      <c r="AIY18" s="310" t="s">
        <v>201</v>
      </c>
      <c r="AIZ18" s="310" t="s">
        <v>201</v>
      </c>
      <c r="AJA18" s="310" t="s">
        <v>201</v>
      </c>
      <c r="AJB18" s="310" t="s">
        <v>201</v>
      </c>
      <c r="AJC18" s="310" t="s">
        <v>201</v>
      </c>
      <c r="AJD18" s="310" t="s">
        <v>201</v>
      </c>
      <c r="AJE18" s="310" t="s">
        <v>201</v>
      </c>
      <c r="AJF18" s="310" t="s">
        <v>201</v>
      </c>
      <c r="AJG18" s="310" t="s">
        <v>201</v>
      </c>
      <c r="AJH18" s="310" t="s">
        <v>201</v>
      </c>
      <c r="AJI18" s="310" t="s">
        <v>201</v>
      </c>
      <c r="AJJ18" s="310" t="s">
        <v>201</v>
      </c>
      <c r="AJK18" s="310" t="s">
        <v>201</v>
      </c>
      <c r="AJL18" s="310" t="s">
        <v>201</v>
      </c>
      <c r="AJM18" s="310" t="s">
        <v>201</v>
      </c>
      <c r="AJN18" s="310" t="s">
        <v>201</v>
      </c>
      <c r="AJO18" s="310" t="s">
        <v>201</v>
      </c>
      <c r="AJP18" s="310" t="s">
        <v>201</v>
      </c>
      <c r="AJQ18" s="310" t="s">
        <v>201</v>
      </c>
      <c r="AJR18" s="310" t="s">
        <v>201</v>
      </c>
      <c r="AJS18" s="310" t="s">
        <v>201</v>
      </c>
      <c r="AJT18" s="310" t="s">
        <v>201</v>
      </c>
      <c r="AJU18" s="310" t="s">
        <v>201</v>
      </c>
      <c r="AJV18" s="310" t="s">
        <v>201</v>
      </c>
      <c r="AJW18" s="310" t="s">
        <v>201</v>
      </c>
      <c r="AJX18" s="310" t="s">
        <v>201</v>
      </c>
      <c r="AJY18" s="310" t="s">
        <v>201</v>
      </c>
      <c r="AJZ18" s="310" t="s">
        <v>201</v>
      </c>
      <c r="AKA18" s="310" t="s">
        <v>201</v>
      </c>
      <c r="AKB18" s="310" t="s">
        <v>201</v>
      </c>
      <c r="AKC18" s="310" t="s">
        <v>201</v>
      </c>
      <c r="AKD18" s="310" t="s">
        <v>201</v>
      </c>
      <c r="AKE18" s="310" t="s">
        <v>201</v>
      </c>
      <c r="AKF18" s="310" t="s">
        <v>201</v>
      </c>
      <c r="AKG18" s="310" t="s">
        <v>201</v>
      </c>
      <c r="AKH18" s="310" t="s">
        <v>201</v>
      </c>
      <c r="AKI18" s="310" t="s">
        <v>201</v>
      </c>
      <c r="AKJ18" s="310" t="s">
        <v>201</v>
      </c>
      <c r="AKK18" s="310" t="s">
        <v>201</v>
      </c>
      <c r="AKL18" s="310" t="s">
        <v>201</v>
      </c>
      <c r="AKM18" s="310" t="s">
        <v>201</v>
      </c>
      <c r="AKN18" s="310" t="s">
        <v>201</v>
      </c>
      <c r="AKO18" s="310" t="s">
        <v>201</v>
      </c>
      <c r="AKP18" s="310" t="s">
        <v>201</v>
      </c>
      <c r="AKQ18" s="310" t="s">
        <v>201</v>
      </c>
      <c r="AKR18" s="310" t="s">
        <v>201</v>
      </c>
      <c r="AKS18" s="310" t="s">
        <v>201</v>
      </c>
      <c r="AKT18" s="310" t="s">
        <v>201</v>
      </c>
      <c r="AKU18" s="310" t="s">
        <v>201</v>
      </c>
      <c r="AKV18" s="310" t="s">
        <v>201</v>
      </c>
      <c r="AKW18" s="310" t="s">
        <v>201</v>
      </c>
      <c r="AKX18" s="310" t="s">
        <v>201</v>
      </c>
      <c r="AKY18" s="310" t="s">
        <v>201</v>
      </c>
      <c r="AKZ18" s="310" t="s">
        <v>201</v>
      </c>
      <c r="ALA18" s="310" t="s">
        <v>201</v>
      </c>
      <c r="ALB18" s="310" t="s">
        <v>201</v>
      </c>
      <c r="ALC18" s="310" t="s">
        <v>201</v>
      </c>
      <c r="ALD18" s="310" t="s">
        <v>201</v>
      </c>
      <c r="ALE18" s="310" t="s">
        <v>201</v>
      </c>
      <c r="ALF18" s="310" t="s">
        <v>201</v>
      </c>
      <c r="ALG18" s="310" t="s">
        <v>201</v>
      </c>
      <c r="ALH18" s="310" t="s">
        <v>201</v>
      </c>
      <c r="ALI18" s="310" t="s">
        <v>201</v>
      </c>
      <c r="ALJ18" s="310" t="s">
        <v>201</v>
      </c>
      <c r="ALK18" s="310" t="s">
        <v>201</v>
      </c>
      <c r="ALL18" s="310" t="s">
        <v>201</v>
      </c>
      <c r="ALM18" s="310" t="s">
        <v>201</v>
      </c>
      <c r="ALN18" s="310" t="s">
        <v>201</v>
      </c>
      <c r="ALO18" s="310" t="s">
        <v>201</v>
      </c>
      <c r="ALP18" s="310" t="s">
        <v>201</v>
      </c>
      <c r="ALQ18" s="310" t="s">
        <v>201</v>
      </c>
      <c r="ALR18" s="310" t="s">
        <v>201</v>
      </c>
      <c r="ALS18" s="310" t="s">
        <v>201</v>
      </c>
      <c r="ALT18" s="310" t="s">
        <v>201</v>
      </c>
      <c r="ALU18" s="310" t="s">
        <v>201</v>
      </c>
      <c r="ALV18" s="310" t="s">
        <v>201</v>
      </c>
      <c r="ALW18" s="310" t="s">
        <v>201</v>
      </c>
      <c r="ALX18" s="310" t="s">
        <v>201</v>
      </c>
      <c r="ALY18" s="310" t="s">
        <v>201</v>
      </c>
      <c r="ALZ18" s="310" t="s">
        <v>201</v>
      </c>
      <c r="AMA18" s="310" t="s">
        <v>201</v>
      </c>
      <c r="AMB18" s="310" t="s">
        <v>201</v>
      </c>
      <c r="AMC18" s="310" t="s">
        <v>201</v>
      </c>
      <c r="AMD18" s="310" t="s">
        <v>201</v>
      </c>
      <c r="AME18" s="310" t="s">
        <v>201</v>
      </c>
      <c r="AMF18" s="310" t="s">
        <v>201</v>
      </c>
      <c r="AMG18" s="310" t="s">
        <v>201</v>
      </c>
      <c r="AMH18" s="310" t="s">
        <v>201</v>
      </c>
      <c r="AMI18" s="310" t="s">
        <v>201</v>
      </c>
      <c r="AMJ18" s="310" t="s">
        <v>201</v>
      </c>
      <c r="AMK18" s="310" t="s">
        <v>201</v>
      </c>
      <c r="AML18" s="310" t="s">
        <v>201</v>
      </c>
      <c r="AMM18" s="310" t="s">
        <v>201</v>
      </c>
      <c r="AMN18" s="310" t="s">
        <v>201</v>
      </c>
      <c r="AMO18" s="310" t="s">
        <v>201</v>
      </c>
      <c r="AMP18" s="310" t="s">
        <v>201</v>
      </c>
      <c r="AMQ18" s="310" t="s">
        <v>201</v>
      </c>
      <c r="AMR18" s="310" t="s">
        <v>201</v>
      </c>
      <c r="AMS18" s="310" t="s">
        <v>201</v>
      </c>
      <c r="AMT18" s="310" t="s">
        <v>201</v>
      </c>
      <c r="AMU18" s="310" t="s">
        <v>201</v>
      </c>
      <c r="AMV18" s="310" t="s">
        <v>201</v>
      </c>
      <c r="AMW18" s="310" t="s">
        <v>201</v>
      </c>
      <c r="AMX18" s="310" t="s">
        <v>201</v>
      </c>
      <c r="AMY18" s="310" t="s">
        <v>201</v>
      </c>
      <c r="AMZ18" s="310" t="s">
        <v>201</v>
      </c>
      <c r="ANA18" s="310" t="s">
        <v>201</v>
      </c>
      <c r="ANB18" s="310" t="s">
        <v>201</v>
      </c>
      <c r="ANC18" s="310" t="s">
        <v>201</v>
      </c>
      <c r="AND18" s="310" t="s">
        <v>201</v>
      </c>
      <c r="ANE18" s="310" t="s">
        <v>201</v>
      </c>
      <c r="ANF18" s="310" t="s">
        <v>201</v>
      </c>
      <c r="ANG18" s="310" t="s">
        <v>201</v>
      </c>
      <c r="ANH18" s="310" t="s">
        <v>201</v>
      </c>
      <c r="ANI18" s="310" t="s">
        <v>201</v>
      </c>
      <c r="ANJ18" s="310" t="s">
        <v>201</v>
      </c>
      <c r="ANK18" s="310" t="s">
        <v>201</v>
      </c>
      <c r="ANL18" s="310" t="s">
        <v>201</v>
      </c>
      <c r="ANM18" s="310" t="s">
        <v>201</v>
      </c>
      <c r="ANN18" s="310" t="s">
        <v>201</v>
      </c>
      <c r="ANO18" s="310" t="s">
        <v>201</v>
      </c>
      <c r="ANP18" s="310" t="s">
        <v>201</v>
      </c>
      <c r="ANQ18" s="310" t="s">
        <v>201</v>
      </c>
      <c r="ANR18" s="310" t="s">
        <v>201</v>
      </c>
      <c r="ANS18" s="310" t="s">
        <v>201</v>
      </c>
      <c r="ANT18" s="310" t="s">
        <v>201</v>
      </c>
      <c r="ANU18" s="310" t="s">
        <v>201</v>
      </c>
      <c r="ANV18" s="310" t="s">
        <v>201</v>
      </c>
      <c r="ANW18" s="310" t="s">
        <v>201</v>
      </c>
      <c r="ANX18" s="310" t="s">
        <v>201</v>
      </c>
      <c r="ANY18" s="310" t="s">
        <v>201</v>
      </c>
      <c r="ANZ18" s="310" t="s">
        <v>201</v>
      </c>
      <c r="AOA18" s="310" t="s">
        <v>201</v>
      </c>
      <c r="AOB18" s="310" t="s">
        <v>201</v>
      </c>
      <c r="AOC18" s="310" t="s">
        <v>201</v>
      </c>
      <c r="AOD18" s="310" t="s">
        <v>201</v>
      </c>
      <c r="AOE18" s="310" t="s">
        <v>201</v>
      </c>
      <c r="AOF18" s="310" t="s">
        <v>201</v>
      </c>
      <c r="AOG18" s="310" t="s">
        <v>201</v>
      </c>
      <c r="AOH18" s="310" t="s">
        <v>201</v>
      </c>
      <c r="AOI18" s="310" t="s">
        <v>201</v>
      </c>
      <c r="AOJ18" s="310" t="s">
        <v>201</v>
      </c>
      <c r="AOK18" s="310" t="s">
        <v>201</v>
      </c>
      <c r="AOL18" s="310" t="s">
        <v>201</v>
      </c>
      <c r="AOM18" s="310" t="s">
        <v>201</v>
      </c>
      <c r="AON18" s="310" t="s">
        <v>201</v>
      </c>
      <c r="AOO18" s="310" t="s">
        <v>201</v>
      </c>
      <c r="AOP18" s="310" t="s">
        <v>201</v>
      </c>
      <c r="AOQ18" s="310" t="s">
        <v>201</v>
      </c>
      <c r="AOR18" s="310" t="s">
        <v>201</v>
      </c>
      <c r="AOS18" s="310" t="s">
        <v>201</v>
      </c>
      <c r="AOT18" s="310" t="s">
        <v>201</v>
      </c>
      <c r="AOU18" s="310" t="s">
        <v>201</v>
      </c>
      <c r="AOV18" s="310" t="s">
        <v>201</v>
      </c>
      <c r="AOW18" s="310" t="s">
        <v>201</v>
      </c>
      <c r="AOX18" s="310" t="s">
        <v>201</v>
      </c>
      <c r="AOY18" s="310" t="s">
        <v>201</v>
      </c>
      <c r="AOZ18" s="310" t="s">
        <v>201</v>
      </c>
      <c r="APA18" s="310" t="s">
        <v>201</v>
      </c>
      <c r="APB18" s="310" t="s">
        <v>201</v>
      </c>
      <c r="APC18" s="310" t="s">
        <v>201</v>
      </c>
      <c r="APD18" s="310" t="s">
        <v>201</v>
      </c>
      <c r="APE18" s="310" t="s">
        <v>201</v>
      </c>
      <c r="APF18" s="310" t="s">
        <v>201</v>
      </c>
      <c r="APG18" s="310" t="s">
        <v>201</v>
      </c>
      <c r="APH18" s="310" t="s">
        <v>201</v>
      </c>
      <c r="API18" s="310" t="s">
        <v>201</v>
      </c>
      <c r="APJ18" s="310" t="s">
        <v>201</v>
      </c>
      <c r="APK18" s="310" t="s">
        <v>201</v>
      </c>
      <c r="APL18" s="310" t="s">
        <v>201</v>
      </c>
      <c r="APM18" s="310" t="s">
        <v>201</v>
      </c>
      <c r="APN18" s="310" t="s">
        <v>201</v>
      </c>
      <c r="APO18" s="310" t="s">
        <v>201</v>
      </c>
      <c r="APP18" s="310" t="s">
        <v>201</v>
      </c>
      <c r="APQ18" s="310" t="s">
        <v>201</v>
      </c>
      <c r="APR18" s="310" t="s">
        <v>201</v>
      </c>
      <c r="APS18" s="310" t="s">
        <v>201</v>
      </c>
      <c r="APT18" s="310" t="s">
        <v>201</v>
      </c>
      <c r="APU18" s="310" t="s">
        <v>201</v>
      </c>
      <c r="APV18" s="310" t="s">
        <v>201</v>
      </c>
      <c r="APW18" s="310" t="s">
        <v>201</v>
      </c>
      <c r="APX18" s="310" t="s">
        <v>201</v>
      </c>
      <c r="APY18" s="310" t="s">
        <v>201</v>
      </c>
      <c r="APZ18" s="310" t="s">
        <v>201</v>
      </c>
      <c r="AQA18" s="310" t="s">
        <v>201</v>
      </c>
      <c r="AQB18" s="310" t="s">
        <v>201</v>
      </c>
      <c r="AQC18" s="310" t="s">
        <v>201</v>
      </c>
      <c r="AQD18" s="310" t="s">
        <v>201</v>
      </c>
      <c r="AQE18" s="310" t="s">
        <v>201</v>
      </c>
      <c r="AQF18" s="310" t="s">
        <v>201</v>
      </c>
      <c r="AQG18" s="310" t="s">
        <v>201</v>
      </c>
      <c r="AQH18" s="310" t="s">
        <v>201</v>
      </c>
      <c r="AQI18" s="310" t="s">
        <v>201</v>
      </c>
      <c r="AQJ18" s="310" t="s">
        <v>201</v>
      </c>
      <c r="AQK18" s="310" t="s">
        <v>201</v>
      </c>
      <c r="AQL18" s="310" t="s">
        <v>201</v>
      </c>
      <c r="AQM18" s="310" t="s">
        <v>201</v>
      </c>
      <c r="AQN18" s="310" t="s">
        <v>201</v>
      </c>
      <c r="AQO18" s="310" t="s">
        <v>201</v>
      </c>
      <c r="AQP18" s="310" t="s">
        <v>201</v>
      </c>
      <c r="AQQ18" s="310" t="s">
        <v>201</v>
      </c>
      <c r="AQR18" s="310" t="s">
        <v>201</v>
      </c>
      <c r="AQS18" s="310" t="s">
        <v>201</v>
      </c>
      <c r="AQT18" s="310" t="s">
        <v>201</v>
      </c>
      <c r="AQU18" s="310" t="s">
        <v>201</v>
      </c>
      <c r="AQV18" s="310" t="s">
        <v>201</v>
      </c>
      <c r="AQW18" s="310" t="s">
        <v>201</v>
      </c>
      <c r="AQX18" s="310" t="s">
        <v>201</v>
      </c>
      <c r="AQY18" s="310" t="s">
        <v>201</v>
      </c>
      <c r="AQZ18" s="310" t="s">
        <v>201</v>
      </c>
      <c r="ARA18" s="310" t="s">
        <v>201</v>
      </c>
      <c r="ARB18" s="310" t="s">
        <v>201</v>
      </c>
      <c r="ARC18" s="310" t="s">
        <v>201</v>
      </c>
      <c r="ARD18" s="310" t="s">
        <v>201</v>
      </c>
      <c r="ARE18" s="310" t="s">
        <v>201</v>
      </c>
      <c r="ARF18" s="310" t="s">
        <v>201</v>
      </c>
      <c r="ARG18" s="310" t="s">
        <v>201</v>
      </c>
      <c r="ARH18" s="310" t="s">
        <v>201</v>
      </c>
      <c r="ARI18" s="310" t="s">
        <v>201</v>
      </c>
      <c r="ARJ18" s="310" t="s">
        <v>201</v>
      </c>
      <c r="ARK18" s="310" t="s">
        <v>201</v>
      </c>
      <c r="ARL18" s="310" t="s">
        <v>201</v>
      </c>
      <c r="ARM18" s="310" t="s">
        <v>201</v>
      </c>
      <c r="ARN18" s="310" t="s">
        <v>201</v>
      </c>
      <c r="ARO18" s="310" t="s">
        <v>201</v>
      </c>
      <c r="ARP18" s="310" t="s">
        <v>201</v>
      </c>
      <c r="ARQ18" s="310" t="s">
        <v>201</v>
      </c>
      <c r="ARR18" s="310" t="s">
        <v>201</v>
      </c>
      <c r="ARS18" s="310" t="s">
        <v>201</v>
      </c>
      <c r="ART18" s="310" t="s">
        <v>201</v>
      </c>
      <c r="ARU18" s="310" t="s">
        <v>201</v>
      </c>
      <c r="ARV18" s="310" t="s">
        <v>201</v>
      </c>
      <c r="ARW18" s="310" t="s">
        <v>201</v>
      </c>
      <c r="ARX18" s="310" t="s">
        <v>201</v>
      </c>
      <c r="ARY18" s="310" t="s">
        <v>201</v>
      </c>
      <c r="ARZ18" s="310" t="s">
        <v>201</v>
      </c>
      <c r="ASA18" s="310" t="s">
        <v>201</v>
      </c>
      <c r="ASB18" s="310" t="s">
        <v>201</v>
      </c>
      <c r="ASC18" s="310" t="s">
        <v>201</v>
      </c>
      <c r="ASD18" s="310" t="s">
        <v>201</v>
      </c>
      <c r="ASE18" s="310" t="s">
        <v>201</v>
      </c>
      <c r="ASF18" s="310" t="s">
        <v>201</v>
      </c>
      <c r="ASG18" s="310" t="s">
        <v>201</v>
      </c>
      <c r="ASH18" s="310" t="s">
        <v>201</v>
      </c>
      <c r="ASI18" s="310" t="s">
        <v>201</v>
      </c>
      <c r="ASJ18" s="310" t="s">
        <v>201</v>
      </c>
      <c r="ASK18" s="310" t="s">
        <v>201</v>
      </c>
      <c r="ASL18" s="310" t="s">
        <v>201</v>
      </c>
      <c r="ASM18" s="310" t="s">
        <v>201</v>
      </c>
      <c r="ASN18" s="310" t="s">
        <v>201</v>
      </c>
      <c r="ASO18" s="310" t="s">
        <v>201</v>
      </c>
      <c r="ASP18" s="310" t="s">
        <v>201</v>
      </c>
      <c r="ASQ18" s="310" t="s">
        <v>201</v>
      </c>
      <c r="ASR18" s="310" t="s">
        <v>201</v>
      </c>
      <c r="ASS18" s="310" t="s">
        <v>201</v>
      </c>
      <c r="AST18" s="310" t="s">
        <v>201</v>
      </c>
      <c r="ASU18" s="310" t="s">
        <v>201</v>
      </c>
      <c r="ASV18" s="310" t="s">
        <v>201</v>
      </c>
      <c r="ASW18" s="310" t="s">
        <v>201</v>
      </c>
      <c r="ASX18" s="310" t="s">
        <v>201</v>
      </c>
      <c r="ASY18" s="310" t="s">
        <v>201</v>
      </c>
      <c r="ASZ18" s="310" t="s">
        <v>201</v>
      </c>
      <c r="ATA18" s="310" t="s">
        <v>201</v>
      </c>
      <c r="ATB18" s="310" t="s">
        <v>201</v>
      </c>
      <c r="ATC18" s="310" t="s">
        <v>201</v>
      </c>
      <c r="ATD18" s="310" t="s">
        <v>201</v>
      </c>
      <c r="ATE18" s="310" t="s">
        <v>201</v>
      </c>
      <c r="ATF18" s="310" t="s">
        <v>201</v>
      </c>
      <c r="ATG18" s="310" t="s">
        <v>201</v>
      </c>
      <c r="ATH18" s="310" t="s">
        <v>201</v>
      </c>
      <c r="ATI18" s="310" t="s">
        <v>201</v>
      </c>
      <c r="ATJ18" s="310" t="s">
        <v>201</v>
      </c>
      <c r="ATK18" s="310" t="s">
        <v>201</v>
      </c>
      <c r="ATL18" s="310" t="s">
        <v>201</v>
      </c>
      <c r="ATM18" s="310" t="s">
        <v>201</v>
      </c>
      <c r="ATN18" s="310" t="s">
        <v>201</v>
      </c>
      <c r="ATO18" s="310" t="s">
        <v>201</v>
      </c>
      <c r="ATP18" s="310" t="s">
        <v>201</v>
      </c>
      <c r="ATQ18" s="310" t="s">
        <v>201</v>
      </c>
      <c r="ATR18" s="310" t="s">
        <v>201</v>
      </c>
      <c r="ATS18" s="310" t="s">
        <v>201</v>
      </c>
      <c r="ATT18" s="310" t="s">
        <v>201</v>
      </c>
      <c r="ATU18" s="310" t="s">
        <v>201</v>
      </c>
      <c r="ATV18" s="310" t="s">
        <v>201</v>
      </c>
      <c r="ATW18" s="310" t="s">
        <v>201</v>
      </c>
      <c r="ATX18" s="310" t="s">
        <v>201</v>
      </c>
      <c r="ATY18" s="310" t="s">
        <v>201</v>
      </c>
      <c r="ATZ18" s="310" t="s">
        <v>201</v>
      </c>
      <c r="AUA18" s="310" t="s">
        <v>201</v>
      </c>
      <c r="AUB18" s="310" t="s">
        <v>201</v>
      </c>
      <c r="AUC18" s="310" t="s">
        <v>201</v>
      </c>
      <c r="AUD18" s="310" t="s">
        <v>201</v>
      </c>
      <c r="AUE18" s="310" t="s">
        <v>201</v>
      </c>
      <c r="AUF18" s="310" t="s">
        <v>201</v>
      </c>
      <c r="AUG18" s="310" t="s">
        <v>201</v>
      </c>
      <c r="AUH18" s="310" t="s">
        <v>201</v>
      </c>
      <c r="AUI18" s="310" t="s">
        <v>201</v>
      </c>
      <c r="AUJ18" s="310" t="s">
        <v>201</v>
      </c>
      <c r="AUK18" s="310" t="s">
        <v>201</v>
      </c>
      <c r="AUL18" s="310" t="s">
        <v>201</v>
      </c>
      <c r="AUM18" s="310" t="s">
        <v>201</v>
      </c>
      <c r="AUN18" s="310" t="s">
        <v>201</v>
      </c>
      <c r="AUO18" s="310" t="s">
        <v>201</v>
      </c>
      <c r="AUP18" s="310" t="s">
        <v>201</v>
      </c>
      <c r="AUQ18" s="310" t="s">
        <v>201</v>
      </c>
      <c r="AUR18" s="310" t="s">
        <v>201</v>
      </c>
      <c r="AUS18" s="310" t="s">
        <v>201</v>
      </c>
      <c r="AUT18" s="310" t="s">
        <v>201</v>
      </c>
      <c r="AUU18" s="310" t="s">
        <v>201</v>
      </c>
      <c r="AUV18" s="310" t="s">
        <v>201</v>
      </c>
      <c r="AUW18" s="310" t="s">
        <v>201</v>
      </c>
      <c r="AUX18" s="310" t="s">
        <v>201</v>
      </c>
      <c r="AUY18" s="310" t="s">
        <v>201</v>
      </c>
      <c r="AUZ18" s="310" t="s">
        <v>201</v>
      </c>
      <c r="AVA18" s="310" t="s">
        <v>201</v>
      </c>
      <c r="AVB18" s="310" t="s">
        <v>201</v>
      </c>
      <c r="AVC18" s="310" t="s">
        <v>201</v>
      </c>
      <c r="AVD18" s="310" t="s">
        <v>201</v>
      </c>
      <c r="AVE18" s="310" t="s">
        <v>201</v>
      </c>
      <c r="AVF18" s="310" t="s">
        <v>201</v>
      </c>
      <c r="AVG18" s="310" t="s">
        <v>201</v>
      </c>
      <c r="AVH18" s="310" t="s">
        <v>201</v>
      </c>
      <c r="AVI18" s="310" t="s">
        <v>201</v>
      </c>
      <c r="AVJ18" s="310" t="s">
        <v>201</v>
      </c>
      <c r="AVK18" s="310" t="s">
        <v>201</v>
      </c>
      <c r="AVL18" s="310" t="s">
        <v>201</v>
      </c>
      <c r="AVM18" s="310" t="s">
        <v>201</v>
      </c>
      <c r="AVN18" s="310" t="s">
        <v>201</v>
      </c>
      <c r="AVO18" s="310" t="s">
        <v>201</v>
      </c>
      <c r="AVP18" s="310" t="s">
        <v>201</v>
      </c>
      <c r="AVQ18" s="310" t="s">
        <v>201</v>
      </c>
      <c r="AVR18" s="310" t="s">
        <v>201</v>
      </c>
      <c r="AVS18" s="310" t="s">
        <v>201</v>
      </c>
      <c r="AVT18" s="310" t="s">
        <v>201</v>
      </c>
      <c r="AVU18" s="310" t="s">
        <v>201</v>
      </c>
      <c r="AVV18" s="310" t="s">
        <v>201</v>
      </c>
      <c r="AVW18" s="310" t="s">
        <v>201</v>
      </c>
      <c r="AVX18" s="310" t="s">
        <v>201</v>
      </c>
      <c r="AVY18" s="310" t="s">
        <v>201</v>
      </c>
      <c r="AVZ18" s="310" t="s">
        <v>201</v>
      </c>
      <c r="AWA18" s="310" t="s">
        <v>201</v>
      </c>
      <c r="AWB18" s="310" t="s">
        <v>201</v>
      </c>
      <c r="AWC18" s="310" t="s">
        <v>201</v>
      </c>
      <c r="AWD18" s="310" t="s">
        <v>201</v>
      </c>
      <c r="AWE18" s="310" t="s">
        <v>201</v>
      </c>
      <c r="AWF18" s="310" t="s">
        <v>201</v>
      </c>
      <c r="AWG18" s="310" t="s">
        <v>201</v>
      </c>
      <c r="AWH18" s="310" t="s">
        <v>201</v>
      </c>
      <c r="AWI18" s="310" t="s">
        <v>201</v>
      </c>
      <c r="AWJ18" s="310" t="s">
        <v>201</v>
      </c>
      <c r="AWK18" s="310" t="s">
        <v>201</v>
      </c>
      <c r="AWL18" s="310" t="s">
        <v>201</v>
      </c>
      <c r="AWM18" s="310" t="s">
        <v>201</v>
      </c>
      <c r="AWN18" s="310" t="s">
        <v>201</v>
      </c>
      <c r="AWO18" s="310" t="s">
        <v>201</v>
      </c>
      <c r="AWP18" s="310" t="s">
        <v>201</v>
      </c>
      <c r="AWQ18" s="310" t="s">
        <v>201</v>
      </c>
      <c r="AWR18" s="310" t="s">
        <v>201</v>
      </c>
      <c r="AWS18" s="310" t="s">
        <v>201</v>
      </c>
      <c r="AWT18" s="310" t="s">
        <v>201</v>
      </c>
      <c r="AWU18" s="310" t="s">
        <v>201</v>
      </c>
      <c r="AWV18" s="310" t="s">
        <v>201</v>
      </c>
      <c r="AWW18" s="310" t="s">
        <v>201</v>
      </c>
      <c r="AWX18" s="310" t="s">
        <v>201</v>
      </c>
      <c r="AWY18" s="310" t="s">
        <v>201</v>
      </c>
      <c r="AWZ18" s="310" t="s">
        <v>201</v>
      </c>
      <c r="AXA18" s="310" t="s">
        <v>201</v>
      </c>
      <c r="AXB18" s="310" t="s">
        <v>201</v>
      </c>
      <c r="AXC18" s="310" t="s">
        <v>201</v>
      </c>
      <c r="AXD18" s="310" t="s">
        <v>201</v>
      </c>
      <c r="AXE18" s="310" t="s">
        <v>201</v>
      </c>
      <c r="AXF18" s="310" t="s">
        <v>201</v>
      </c>
      <c r="AXG18" s="310" t="s">
        <v>201</v>
      </c>
      <c r="AXH18" s="310" t="s">
        <v>201</v>
      </c>
      <c r="AXI18" s="310" t="s">
        <v>201</v>
      </c>
      <c r="AXJ18" s="310" t="s">
        <v>201</v>
      </c>
      <c r="AXK18" s="310" t="s">
        <v>201</v>
      </c>
      <c r="AXL18" s="310" t="s">
        <v>201</v>
      </c>
      <c r="AXM18" s="310" t="s">
        <v>201</v>
      </c>
      <c r="AXN18" s="310" t="s">
        <v>201</v>
      </c>
      <c r="AXO18" s="310" t="s">
        <v>201</v>
      </c>
      <c r="AXP18" s="310" t="s">
        <v>201</v>
      </c>
      <c r="AXQ18" s="310" t="s">
        <v>201</v>
      </c>
      <c r="AXR18" s="310" t="s">
        <v>201</v>
      </c>
      <c r="AXS18" s="310" t="s">
        <v>201</v>
      </c>
      <c r="AXT18" s="310" t="s">
        <v>201</v>
      </c>
      <c r="AXU18" s="310" t="s">
        <v>201</v>
      </c>
      <c r="AXV18" s="310" t="s">
        <v>201</v>
      </c>
      <c r="AXW18" s="310" t="s">
        <v>201</v>
      </c>
      <c r="AXX18" s="310" t="s">
        <v>201</v>
      </c>
      <c r="AXY18" s="310" t="s">
        <v>201</v>
      </c>
      <c r="AXZ18" s="310" t="s">
        <v>201</v>
      </c>
      <c r="AYA18" s="310" t="s">
        <v>201</v>
      </c>
      <c r="AYB18" s="310" t="s">
        <v>201</v>
      </c>
      <c r="AYC18" s="310" t="s">
        <v>201</v>
      </c>
      <c r="AYD18" s="310" t="s">
        <v>201</v>
      </c>
      <c r="AYE18" s="310" t="s">
        <v>201</v>
      </c>
      <c r="AYF18" s="310" t="s">
        <v>201</v>
      </c>
      <c r="AYG18" s="310" t="s">
        <v>201</v>
      </c>
      <c r="AYH18" s="310" t="s">
        <v>201</v>
      </c>
      <c r="AYI18" s="310" t="s">
        <v>201</v>
      </c>
      <c r="AYJ18" s="310" t="s">
        <v>201</v>
      </c>
      <c r="AYK18" s="310" t="s">
        <v>201</v>
      </c>
      <c r="AYL18" s="310" t="s">
        <v>201</v>
      </c>
      <c r="AYM18" s="310" t="s">
        <v>201</v>
      </c>
      <c r="AYN18" s="310" t="s">
        <v>201</v>
      </c>
      <c r="AYO18" s="310" t="s">
        <v>201</v>
      </c>
      <c r="AYP18" s="310" t="s">
        <v>201</v>
      </c>
      <c r="AYQ18" s="310" t="s">
        <v>201</v>
      </c>
      <c r="AYR18" s="310" t="s">
        <v>201</v>
      </c>
      <c r="AYS18" s="310" t="s">
        <v>201</v>
      </c>
      <c r="AYT18" s="310" t="s">
        <v>201</v>
      </c>
      <c r="AYU18" s="310" t="s">
        <v>201</v>
      </c>
      <c r="AYV18" s="310" t="s">
        <v>201</v>
      </c>
      <c r="AYW18" s="310" t="s">
        <v>201</v>
      </c>
      <c r="AYX18" s="310" t="s">
        <v>201</v>
      </c>
      <c r="AYY18" s="310" t="s">
        <v>201</v>
      </c>
      <c r="AYZ18" s="310" t="s">
        <v>201</v>
      </c>
      <c r="AZA18" s="310" t="s">
        <v>201</v>
      </c>
      <c r="AZB18" s="310" t="s">
        <v>201</v>
      </c>
      <c r="AZC18" s="310" t="s">
        <v>201</v>
      </c>
      <c r="AZD18" s="310" t="s">
        <v>201</v>
      </c>
      <c r="AZE18" s="310" t="s">
        <v>201</v>
      </c>
      <c r="AZF18" s="310" t="s">
        <v>201</v>
      </c>
      <c r="AZG18" s="310" t="s">
        <v>201</v>
      </c>
      <c r="AZH18" s="310" t="s">
        <v>201</v>
      </c>
      <c r="AZI18" s="310" t="s">
        <v>201</v>
      </c>
      <c r="AZJ18" s="310" t="s">
        <v>201</v>
      </c>
      <c r="AZK18" s="310" t="s">
        <v>201</v>
      </c>
      <c r="AZL18" s="310" t="s">
        <v>201</v>
      </c>
      <c r="AZM18" s="310" t="s">
        <v>201</v>
      </c>
      <c r="AZN18" s="310" t="s">
        <v>201</v>
      </c>
      <c r="AZO18" s="310" t="s">
        <v>201</v>
      </c>
      <c r="AZP18" s="310" t="s">
        <v>201</v>
      </c>
      <c r="AZQ18" s="310" t="s">
        <v>201</v>
      </c>
      <c r="AZR18" s="310" t="s">
        <v>201</v>
      </c>
      <c r="AZS18" s="310" t="s">
        <v>201</v>
      </c>
      <c r="AZT18" s="310" t="s">
        <v>201</v>
      </c>
      <c r="AZU18" s="310" t="s">
        <v>201</v>
      </c>
      <c r="AZV18" s="310" t="s">
        <v>201</v>
      </c>
      <c r="AZW18" s="310" t="s">
        <v>201</v>
      </c>
      <c r="AZX18" s="310" t="s">
        <v>201</v>
      </c>
      <c r="AZY18" s="310" t="s">
        <v>201</v>
      </c>
      <c r="AZZ18" s="310" t="s">
        <v>201</v>
      </c>
      <c r="BAA18" s="310" t="s">
        <v>201</v>
      </c>
      <c r="BAB18" s="310" t="s">
        <v>201</v>
      </c>
      <c r="BAC18" s="310" t="s">
        <v>201</v>
      </c>
      <c r="BAD18" s="310" t="s">
        <v>201</v>
      </c>
      <c r="BAE18" s="310" t="s">
        <v>201</v>
      </c>
      <c r="BAF18" s="310" t="s">
        <v>201</v>
      </c>
      <c r="BAG18" s="310" t="s">
        <v>201</v>
      </c>
      <c r="BAH18" s="310" t="s">
        <v>201</v>
      </c>
      <c r="BAI18" s="310" t="s">
        <v>201</v>
      </c>
      <c r="BAJ18" s="310" t="s">
        <v>201</v>
      </c>
      <c r="BAK18" s="310" t="s">
        <v>201</v>
      </c>
      <c r="BAL18" s="310" t="s">
        <v>201</v>
      </c>
      <c r="BAM18" s="310" t="s">
        <v>201</v>
      </c>
      <c r="BAN18" s="310" t="s">
        <v>201</v>
      </c>
      <c r="BAO18" s="310" t="s">
        <v>201</v>
      </c>
      <c r="BAP18" s="310" t="s">
        <v>201</v>
      </c>
      <c r="BAQ18" s="310" t="s">
        <v>201</v>
      </c>
      <c r="BAR18" s="310" t="s">
        <v>201</v>
      </c>
      <c r="BAS18" s="310" t="s">
        <v>201</v>
      </c>
      <c r="BAT18" s="310" t="s">
        <v>201</v>
      </c>
      <c r="BAU18" s="310" t="s">
        <v>201</v>
      </c>
      <c r="BAV18" s="310" t="s">
        <v>201</v>
      </c>
      <c r="BAW18" s="310" t="s">
        <v>201</v>
      </c>
      <c r="BAX18" s="310" t="s">
        <v>201</v>
      </c>
      <c r="BAY18" s="310" t="s">
        <v>201</v>
      </c>
      <c r="BAZ18" s="310" t="s">
        <v>201</v>
      </c>
      <c r="BBA18" s="310" t="s">
        <v>201</v>
      </c>
      <c r="BBB18" s="310" t="s">
        <v>201</v>
      </c>
      <c r="BBC18" s="310" t="s">
        <v>201</v>
      </c>
      <c r="BBD18" s="310" t="s">
        <v>201</v>
      </c>
      <c r="BBE18" s="310" t="s">
        <v>201</v>
      </c>
      <c r="BBF18" s="310" t="s">
        <v>201</v>
      </c>
      <c r="BBG18" s="310" t="s">
        <v>201</v>
      </c>
      <c r="BBH18" s="310" t="s">
        <v>201</v>
      </c>
      <c r="BBI18" s="310" t="s">
        <v>201</v>
      </c>
      <c r="BBJ18" s="310" t="s">
        <v>201</v>
      </c>
      <c r="BBK18" s="310" t="s">
        <v>201</v>
      </c>
      <c r="BBL18" s="310" t="s">
        <v>201</v>
      </c>
      <c r="BBM18" s="310" t="s">
        <v>201</v>
      </c>
      <c r="BBN18" s="310" t="s">
        <v>201</v>
      </c>
      <c r="BBO18" s="310" t="s">
        <v>201</v>
      </c>
      <c r="BBP18" s="310" t="s">
        <v>201</v>
      </c>
      <c r="BBQ18" s="310" t="s">
        <v>201</v>
      </c>
      <c r="BBR18" s="310" t="s">
        <v>201</v>
      </c>
      <c r="BBS18" s="310" t="s">
        <v>201</v>
      </c>
      <c r="BBT18" s="310" t="s">
        <v>201</v>
      </c>
      <c r="BBU18" s="310" t="s">
        <v>201</v>
      </c>
      <c r="BBV18" s="310" t="s">
        <v>201</v>
      </c>
      <c r="BBW18" s="310" t="s">
        <v>201</v>
      </c>
      <c r="BBX18" s="310" t="s">
        <v>201</v>
      </c>
      <c r="BBY18" s="310" t="s">
        <v>201</v>
      </c>
      <c r="BBZ18" s="310" t="s">
        <v>201</v>
      </c>
      <c r="BCA18" s="310" t="s">
        <v>201</v>
      </c>
      <c r="BCB18" s="310" t="s">
        <v>201</v>
      </c>
      <c r="BCC18" s="310" t="s">
        <v>201</v>
      </c>
      <c r="BCD18" s="310" t="s">
        <v>201</v>
      </c>
      <c r="BCE18" s="310" t="s">
        <v>201</v>
      </c>
      <c r="BCF18" s="310" t="s">
        <v>201</v>
      </c>
      <c r="BCG18" s="310" t="s">
        <v>201</v>
      </c>
      <c r="BCH18" s="310" t="s">
        <v>201</v>
      </c>
      <c r="BCI18" s="310" t="s">
        <v>201</v>
      </c>
      <c r="BCJ18" s="310" t="s">
        <v>201</v>
      </c>
      <c r="BCK18" s="310" t="s">
        <v>201</v>
      </c>
      <c r="BCL18" s="310" t="s">
        <v>201</v>
      </c>
      <c r="BCM18" s="310" t="s">
        <v>201</v>
      </c>
      <c r="BCN18" s="310" t="s">
        <v>201</v>
      </c>
      <c r="BCO18" s="310" t="s">
        <v>201</v>
      </c>
      <c r="BCP18" s="310" t="s">
        <v>201</v>
      </c>
      <c r="BCQ18" s="310" t="s">
        <v>201</v>
      </c>
      <c r="BCR18" s="310" t="s">
        <v>201</v>
      </c>
      <c r="BCS18" s="310" t="s">
        <v>201</v>
      </c>
      <c r="BCT18" s="310" t="s">
        <v>201</v>
      </c>
      <c r="BCU18" s="310" t="s">
        <v>201</v>
      </c>
      <c r="BCV18" s="310" t="s">
        <v>201</v>
      </c>
      <c r="BCW18" s="310" t="s">
        <v>201</v>
      </c>
      <c r="BCX18" s="310" t="s">
        <v>201</v>
      </c>
      <c r="BCY18" s="310" t="s">
        <v>201</v>
      </c>
      <c r="BCZ18" s="310" t="s">
        <v>201</v>
      </c>
      <c r="BDA18" s="310" t="s">
        <v>201</v>
      </c>
      <c r="BDB18" s="310" t="s">
        <v>201</v>
      </c>
      <c r="BDC18" s="310" t="s">
        <v>201</v>
      </c>
      <c r="BDD18" s="310" t="s">
        <v>201</v>
      </c>
      <c r="BDE18" s="310" t="s">
        <v>201</v>
      </c>
      <c r="BDF18" s="310" t="s">
        <v>201</v>
      </c>
      <c r="BDG18" s="310" t="s">
        <v>201</v>
      </c>
      <c r="BDH18" s="310" t="s">
        <v>201</v>
      </c>
      <c r="BDI18" s="310" t="s">
        <v>201</v>
      </c>
      <c r="BDJ18" s="310" t="s">
        <v>201</v>
      </c>
      <c r="BDK18" s="310" t="s">
        <v>201</v>
      </c>
      <c r="BDL18" s="310" t="s">
        <v>201</v>
      </c>
      <c r="BDM18" s="310" t="s">
        <v>201</v>
      </c>
      <c r="BDN18" s="310" t="s">
        <v>201</v>
      </c>
      <c r="BDO18" s="310" t="s">
        <v>201</v>
      </c>
      <c r="BDP18" s="310" t="s">
        <v>201</v>
      </c>
      <c r="BDQ18" s="310" t="s">
        <v>201</v>
      </c>
      <c r="BDR18" s="310" t="s">
        <v>201</v>
      </c>
      <c r="BDS18" s="310" t="s">
        <v>201</v>
      </c>
      <c r="BDT18" s="310" t="s">
        <v>201</v>
      </c>
      <c r="BDU18" s="310" t="s">
        <v>201</v>
      </c>
      <c r="BDV18" s="310" t="s">
        <v>201</v>
      </c>
      <c r="BDW18" s="310" t="s">
        <v>201</v>
      </c>
      <c r="BDX18" s="310" t="s">
        <v>201</v>
      </c>
      <c r="BDY18" s="310" t="s">
        <v>201</v>
      </c>
      <c r="BDZ18" s="310" t="s">
        <v>201</v>
      </c>
      <c r="BEA18" s="310" t="s">
        <v>201</v>
      </c>
      <c r="BEB18" s="310" t="s">
        <v>201</v>
      </c>
      <c r="BEC18" s="310" t="s">
        <v>201</v>
      </c>
      <c r="BED18" s="310" t="s">
        <v>201</v>
      </c>
      <c r="BEE18" s="310" t="s">
        <v>201</v>
      </c>
      <c r="BEF18" s="310" t="s">
        <v>201</v>
      </c>
      <c r="BEG18" s="310" t="s">
        <v>201</v>
      </c>
      <c r="BEH18" s="310" t="s">
        <v>201</v>
      </c>
      <c r="BEI18" s="310" t="s">
        <v>201</v>
      </c>
      <c r="BEJ18" s="310" t="s">
        <v>201</v>
      </c>
      <c r="BEK18" s="310" t="s">
        <v>201</v>
      </c>
      <c r="BEL18" s="310" t="s">
        <v>201</v>
      </c>
      <c r="BEM18" s="310" t="s">
        <v>201</v>
      </c>
      <c r="BEN18" s="310" t="s">
        <v>201</v>
      </c>
      <c r="BEO18" s="310" t="s">
        <v>201</v>
      </c>
      <c r="BEP18" s="310" t="s">
        <v>201</v>
      </c>
      <c r="BEQ18" s="310" t="s">
        <v>201</v>
      </c>
      <c r="BER18" s="310" t="s">
        <v>201</v>
      </c>
      <c r="BES18" s="310" t="s">
        <v>201</v>
      </c>
      <c r="BET18" s="310" t="s">
        <v>201</v>
      </c>
      <c r="BEU18" s="310" t="s">
        <v>201</v>
      </c>
      <c r="BEV18" s="310" t="s">
        <v>201</v>
      </c>
      <c r="BEW18" s="310" t="s">
        <v>201</v>
      </c>
      <c r="BEX18" s="310" t="s">
        <v>201</v>
      </c>
      <c r="BEY18" s="310" t="s">
        <v>201</v>
      </c>
      <c r="BEZ18" s="310" t="s">
        <v>201</v>
      </c>
      <c r="BFA18" s="310" t="s">
        <v>201</v>
      </c>
      <c r="BFB18" s="310" t="s">
        <v>201</v>
      </c>
      <c r="BFC18" s="310" t="s">
        <v>201</v>
      </c>
      <c r="BFD18" s="310" t="s">
        <v>201</v>
      </c>
      <c r="BFE18" s="310" t="s">
        <v>201</v>
      </c>
      <c r="BFF18" s="310" t="s">
        <v>201</v>
      </c>
      <c r="BFG18" s="310" t="s">
        <v>201</v>
      </c>
      <c r="BFH18" s="310" t="s">
        <v>201</v>
      </c>
      <c r="BFI18" s="310" t="s">
        <v>201</v>
      </c>
      <c r="BFJ18" s="310" t="s">
        <v>201</v>
      </c>
      <c r="BFK18" s="310" t="s">
        <v>201</v>
      </c>
      <c r="BFL18" s="310" t="s">
        <v>201</v>
      </c>
      <c r="BFM18" s="310" t="s">
        <v>201</v>
      </c>
      <c r="BFN18" s="310" t="s">
        <v>201</v>
      </c>
      <c r="BFO18" s="310" t="s">
        <v>201</v>
      </c>
      <c r="BFP18" s="310" t="s">
        <v>201</v>
      </c>
      <c r="BFQ18" s="310" t="s">
        <v>201</v>
      </c>
      <c r="BFR18" s="310" t="s">
        <v>201</v>
      </c>
      <c r="BFS18" s="310" t="s">
        <v>201</v>
      </c>
      <c r="BFT18" s="310" t="s">
        <v>201</v>
      </c>
      <c r="BFU18" s="310" t="s">
        <v>201</v>
      </c>
      <c r="BFV18" s="310" t="s">
        <v>201</v>
      </c>
      <c r="BFW18" s="310" t="s">
        <v>201</v>
      </c>
      <c r="BFX18" s="310" t="s">
        <v>201</v>
      </c>
      <c r="BFY18" s="310" t="s">
        <v>201</v>
      </c>
      <c r="BFZ18" s="310" t="s">
        <v>201</v>
      </c>
      <c r="BGA18" s="310" t="s">
        <v>201</v>
      </c>
      <c r="BGB18" s="310" t="s">
        <v>201</v>
      </c>
      <c r="BGC18" s="310" t="s">
        <v>201</v>
      </c>
      <c r="BGD18" s="310" t="s">
        <v>201</v>
      </c>
      <c r="BGE18" s="310" t="s">
        <v>201</v>
      </c>
      <c r="BGF18" s="310" t="s">
        <v>201</v>
      </c>
      <c r="BGG18" s="310" t="s">
        <v>201</v>
      </c>
      <c r="BGH18" s="310" t="s">
        <v>201</v>
      </c>
      <c r="BGI18" s="310" t="s">
        <v>201</v>
      </c>
      <c r="BGJ18" s="310" t="s">
        <v>201</v>
      </c>
      <c r="BGK18" s="310" t="s">
        <v>201</v>
      </c>
      <c r="BGL18" s="310" t="s">
        <v>201</v>
      </c>
      <c r="BGM18" s="310" t="s">
        <v>201</v>
      </c>
      <c r="BGN18" s="310" t="s">
        <v>201</v>
      </c>
      <c r="BGO18" s="310" t="s">
        <v>201</v>
      </c>
      <c r="BGP18" s="310" t="s">
        <v>201</v>
      </c>
      <c r="BGQ18" s="310" t="s">
        <v>201</v>
      </c>
      <c r="BGR18" s="310" t="s">
        <v>201</v>
      </c>
      <c r="BGS18" s="310" t="s">
        <v>201</v>
      </c>
      <c r="BGT18" s="310" t="s">
        <v>201</v>
      </c>
      <c r="BGU18" s="310" t="s">
        <v>201</v>
      </c>
      <c r="BGV18" s="310" t="s">
        <v>201</v>
      </c>
      <c r="BGW18" s="310" t="s">
        <v>201</v>
      </c>
      <c r="BGX18" s="310" t="s">
        <v>201</v>
      </c>
      <c r="BGY18" s="310" t="s">
        <v>201</v>
      </c>
      <c r="BGZ18" s="310" t="s">
        <v>201</v>
      </c>
      <c r="BHA18" s="310" t="s">
        <v>201</v>
      </c>
      <c r="BHB18" s="310" t="s">
        <v>201</v>
      </c>
      <c r="BHC18" s="310" t="s">
        <v>201</v>
      </c>
      <c r="BHD18" s="310" t="s">
        <v>201</v>
      </c>
      <c r="BHE18" s="310" t="s">
        <v>201</v>
      </c>
      <c r="BHF18" s="310" t="s">
        <v>201</v>
      </c>
      <c r="BHG18" s="310" t="s">
        <v>201</v>
      </c>
      <c r="BHH18" s="310" t="s">
        <v>201</v>
      </c>
      <c r="BHI18" s="310" t="s">
        <v>201</v>
      </c>
      <c r="BHJ18" s="310" t="s">
        <v>201</v>
      </c>
      <c r="BHK18" s="310" t="s">
        <v>201</v>
      </c>
      <c r="BHL18" s="310" t="s">
        <v>201</v>
      </c>
      <c r="BHM18" s="310" t="s">
        <v>201</v>
      </c>
      <c r="BHN18" s="310" t="s">
        <v>201</v>
      </c>
      <c r="BHO18" s="310" t="s">
        <v>201</v>
      </c>
      <c r="BHP18" s="310" t="s">
        <v>201</v>
      </c>
      <c r="BHQ18" s="310" t="s">
        <v>201</v>
      </c>
      <c r="BHR18" s="310" t="s">
        <v>201</v>
      </c>
      <c r="BHS18" s="310" t="s">
        <v>201</v>
      </c>
      <c r="BHT18" s="310" t="s">
        <v>201</v>
      </c>
      <c r="BHU18" s="310" t="s">
        <v>201</v>
      </c>
      <c r="BHV18" s="310" t="s">
        <v>201</v>
      </c>
      <c r="BHW18" s="310" t="s">
        <v>201</v>
      </c>
      <c r="BHX18" s="310" t="s">
        <v>201</v>
      </c>
      <c r="BHY18" s="310" t="s">
        <v>201</v>
      </c>
      <c r="BHZ18" s="310" t="s">
        <v>201</v>
      </c>
      <c r="BIA18" s="310" t="s">
        <v>201</v>
      </c>
      <c r="BIB18" s="310" t="s">
        <v>201</v>
      </c>
      <c r="BIC18" s="310" t="s">
        <v>201</v>
      </c>
      <c r="BID18" s="310" t="s">
        <v>201</v>
      </c>
      <c r="BIE18" s="310" t="s">
        <v>201</v>
      </c>
      <c r="BIF18" s="310" t="s">
        <v>201</v>
      </c>
      <c r="BIG18" s="310" t="s">
        <v>201</v>
      </c>
      <c r="BIH18" s="310" t="s">
        <v>201</v>
      </c>
      <c r="BII18" s="310" t="s">
        <v>201</v>
      </c>
      <c r="BIJ18" s="310" t="s">
        <v>201</v>
      </c>
      <c r="BIK18" s="310" t="s">
        <v>201</v>
      </c>
      <c r="BIL18" s="310" t="s">
        <v>201</v>
      </c>
      <c r="BIM18" s="310" t="s">
        <v>201</v>
      </c>
      <c r="BIN18" s="310" t="s">
        <v>201</v>
      </c>
      <c r="BIO18" s="310" t="s">
        <v>201</v>
      </c>
      <c r="BIP18" s="310" t="s">
        <v>201</v>
      </c>
      <c r="BIQ18" s="310" t="s">
        <v>201</v>
      </c>
      <c r="BIR18" s="310" t="s">
        <v>201</v>
      </c>
      <c r="BIS18" s="310" t="s">
        <v>201</v>
      </c>
      <c r="BIT18" s="310" t="s">
        <v>201</v>
      </c>
      <c r="BIU18" s="310" t="s">
        <v>201</v>
      </c>
      <c r="BIV18" s="310" t="s">
        <v>201</v>
      </c>
      <c r="BIW18" s="310" t="s">
        <v>201</v>
      </c>
      <c r="BIX18" s="310" t="s">
        <v>201</v>
      </c>
      <c r="BIY18" s="310" t="s">
        <v>201</v>
      </c>
      <c r="BIZ18" s="310" t="s">
        <v>201</v>
      </c>
      <c r="BJA18" s="310" t="s">
        <v>201</v>
      </c>
      <c r="BJB18" s="310" t="s">
        <v>201</v>
      </c>
      <c r="BJC18" s="310" t="s">
        <v>201</v>
      </c>
      <c r="BJD18" s="310" t="s">
        <v>201</v>
      </c>
      <c r="BJE18" s="310" t="s">
        <v>201</v>
      </c>
      <c r="BJF18" s="310" t="s">
        <v>201</v>
      </c>
      <c r="BJG18" s="310" t="s">
        <v>201</v>
      </c>
      <c r="BJH18" s="310" t="s">
        <v>201</v>
      </c>
      <c r="BJI18" s="310" t="s">
        <v>201</v>
      </c>
      <c r="BJJ18" s="310" t="s">
        <v>201</v>
      </c>
      <c r="BJK18" s="310" t="s">
        <v>201</v>
      </c>
      <c r="BJL18" s="310" t="s">
        <v>201</v>
      </c>
      <c r="BJM18" s="310" t="s">
        <v>201</v>
      </c>
      <c r="BJN18" s="310" t="s">
        <v>201</v>
      </c>
      <c r="BJO18" s="310" t="s">
        <v>201</v>
      </c>
      <c r="BJP18" s="310" t="s">
        <v>201</v>
      </c>
      <c r="BJQ18" s="310" t="s">
        <v>201</v>
      </c>
      <c r="BJR18" s="310" t="s">
        <v>201</v>
      </c>
      <c r="BJS18" s="310" t="s">
        <v>201</v>
      </c>
      <c r="BJT18" s="310" t="s">
        <v>201</v>
      </c>
      <c r="BJU18" s="310" t="s">
        <v>201</v>
      </c>
      <c r="BJV18" s="310" t="s">
        <v>201</v>
      </c>
      <c r="BJW18" s="310" t="s">
        <v>201</v>
      </c>
      <c r="BJX18" s="310" t="s">
        <v>201</v>
      </c>
      <c r="BJY18" s="310" t="s">
        <v>201</v>
      </c>
      <c r="BJZ18" s="310" t="s">
        <v>201</v>
      </c>
      <c r="BKA18" s="310" t="s">
        <v>201</v>
      </c>
      <c r="BKB18" s="310" t="s">
        <v>201</v>
      </c>
      <c r="BKC18" s="310" t="s">
        <v>201</v>
      </c>
      <c r="BKD18" s="310" t="s">
        <v>201</v>
      </c>
      <c r="BKE18" s="310" t="s">
        <v>201</v>
      </c>
      <c r="BKF18" s="310" t="s">
        <v>201</v>
      </c>
      <c r="BKG18" s="310" t="s">
        <v>201</v>
      </c>
      <c r="BKH18" s="310" t="s">
        <v>201</v>
      </c>
      <c r="BKI18" s="310" t="s">
        <v>201</v>
      </c>
      <c r="BKJ18" s="310" t="s">
        <v>201</v>
      </c>
      <c r="BKK18" s="310" t="s">
        <v>201</v>
      </c>
      <c r="BKL18" s="310" t="s">
        <v>201</v>
      </c>
      <c r="BKM18" s="310" t="s">
        <v>201</v>
      </c>
      <c r="BKN18" s="310" t="s">
        <v>201</v>
      </c>
      <c r="BKO18" s="310" t="s">
        <v>201</v>
      </c>
      <c r="BKP18" s="310" t="s">
        <v>201</v>
      </c>
      <c r="BKQ18" s="310" t="s">
        <v>201</v>
      </c>
      <c r="BKR18" s="310" t="s">
        <v>201</v>
      </c>
      <c r="BKS18" s="310" t="s">
        <v>201</v>
      </c>
      <c r="BKT18" s="310" t="s">
        <v>201</v>
      </c>
      <c r="BKU18" s="310" t="s">
        <v>201</v>
      </c>
      <c r="BKV18" s="310" t="s">
        <v>201</v>
      </c>
      <c r="BKW18" s="310" t="s">
        <v>201</v>
      </c>
      <c r="BKX18" s="310" t="s">
        <v>201</v>
      </c>
      <c r="BKY18" s="310" t="s">
        <v>201</v>
      </c>
      <c r="BKZ18" s="310" t="s">
        <v>201</v>
      </c>
      <c r="BLA18" s="310" t="s">
        <v>201</v>
      </c>
      <c r="BLB18" s="310" t="s">
        <v>201</v>
      </c>
      <c r="BLC18" s="310" t="s">
        <v>201</v>
      </c>
      <c r="BLD18" s="310" t="s">
        <v>201</v>
      </c>
      <c r="BLE18" s="310" t="s">
        <v>201</v>
      </c>
      <c r="BLF18" s="310" t="s">
        <v>201</v>
      </c>
      <c r="BLG18" s="310" t="s">
        <v>201</v>
      </c>
      <c r="BLH18" s="310" t="s">
        <v>201</v>
      </c>
      <c r="BLI18" s="310" t="s">
        <v>201</v>
      </c>
      <c r="BLJ18" s="310" t="s">
        <v>201</v>
      </c>
      <c r="BLK18" s="310" t="s">
        <v>201</v>
      </c>
      <c r="BLL18" s="310" t="s">
        <v>201</v>
      </c>
      <c r="BLM18" s="310" t="s">
        <v>201</v>
      </c>
      <c r="BLN18" s="310" t="s">
        <v>201</v>
      </c>
      <c r="BLO18" s="310" t="s">
        <v>201</v>
      </c>
      <c r="BLP18" s="310" t="s">
        <v>201</v>
      </c>
      <c r="BLQ18" s="310" t="s">
        <v>201</v>
      </c>
      <c r="BLR18" s="310" t="s">
        <v>201</v>
      </c>
      <c r="BLS18" s="310" t="s">
        <v>201</v>
      </c>
      <c r="BLT18" s="310" t="s">
        <v>201</v>
      </c>
      <c r="BLU18" s="310" t="s">
        <v>201</v>
      </c>
      <c r="BLV18" s="310" t="s">
        <v>201</v>
      </c>
      <c r="BLW18" s="310" t="s">
        <v>201</v>
      </c>
      <c r="BLX18" s="310" t="s">
        <v>201</v>
      </c>
      <c r="BLY18" s="310" t="s">
        <v>201</v>
      </c>
      <c r="BLZ18" s="310" t="s">
        <v>201</v>
      </c>
      <c r="BMA18" s="310" t="s">
        <v>201</v>
      </c>
      <c r="BMB18" s="310" t="s">
        <v>201</v>
      </c>
      <c r="BMC18" s="310" t="s">
        <v>201</v>
      </c>
      <c r="BMD18" s="310" t="s">
        <v>201</v>
      </c>
      <c r="BME18" s="310" t="s">
        <v>201</v>
      </c>
      <c r="BMF18" s="310" t="s">
        <v>201</v>
      </c>
      <c r="BMG18" s="310" t="s">
        <v>201</v>
      </c>
      <c r="BMH18" s="310" t="s">
        <v>201</v>
      </c>
      <c r="BMI18" s="310" t="s">
        <v>201</v>
      </c>
      <c r="BMJ18" s="310" t="s">
        <v>201</v>
      </c>
      <c r="BMK18" s="310" t="s">
        <v>201</v>
      </c>
      <c r="BML18" s="310" t="s">
        <v>201</v>
      </c>
      <c r="BMM18" s="310" t="s">
        <v>201</v>
      </c>
      <c r="BMN18" s="310" t="s">
        <v>201</v>
      </c>
      <c r="BMO18" s="310" t="s">
        <v>201</v>
      </c>
      <c r="BMP18" s="310" t="s">
        <v>201</v>
      </c>
      <c r="BMQ18" s="310" t="s">
        <v>201</v>
      </c>
      <c r="BMR18" s="310" t="s">
        <v>201</v>
      </c>
      <c r="BMS18" s="310" t="s">
        <v>201</v>
      </c>
      <c r="BMT18" s="310" t="s">
        <v>201</v>
      </c>
      <c r="BMU18" s="310" t="s">
        <v>201</v>
      </c>
      <c r="BMV18" s="310" t="s">
        <v>201</v>
      </c>
      <c r="BMW18" s="310" t="s">
        <v>201</v>
      </c>
      <c r="BMX18" s="310" t="s">
        <v>201</v>
      </c>
      <c r="BMY18" s="310" t="s">
        <v>201</v>
      </c>
      <c r="BMZ18" s="310" t="s">
        <v>201</v>
      </c>
      <c r="BNA18" s="310" t="s">
        <v>201</v>
      </c>
      <c r="BNB18" s="310" t="s">
        <v>201</v>
      </c>
      <c r="BNC18" s="310" t="s">
        <v>201</v>
      </c>
      <c r="BND18" s="310" t="s">
        <v>201</v>
      </c>
      <c r="BNE18" s="310" t="s">
        <v>201</v>
      </c>
      <c r="BNF18" s="310" t="s">
        <v>201</v>
      </c>
      <c r="BNG18" s="310" t="s">
        <v>201</v>
      </c>
      <c r="BNH18" s="310" t="s">
        <v>201</v>
      </c>
      <c r="BNI18" s="310" t="s">
        <v>201</v>
      </c>
      <c r="BNJ18" s="310" t="s">
        <v>201</v>
      </c>
      <c r="BNK18" s="310" t="s">
        <v>201</v>
      </c>
      <c r="BNL18" s="310" t="s">
        <v>201</v>
      </c>
      <c r="BNM18" s="310" t="s">
        <v>201</v>
      </c>
      <c r="BNN18" s="310" t="s">
        <v>201</v>
      </c>
      <c r="BNO18" s="310" t="s">
        <v>201</v>
      </c>
      <c r="BNP18" s="310" t="s">
        <v>201</v>
      </c>
      <c r="BNQ18" s="310" t="s">
        <v>201</v>
      </c>
      <c r="BNR18" s="310" t="s">
        <v>201</v>
      </c>
      <c r="BNS18" s="310" t="s">
        <v>201</v>
      </c>
      <c r="BNT18" s="310" t="s">
        <v>201</v>
      </c>
      <c r="BNU18" s="310" t="s">
        <v>201</v>
      </c>
      <c r="BNV18" s="310" t="s">
        <v>201</v>
      </c>
      <c r="BNW18" s="310" t="s">
        <v>201</v>
      </c>
      <c r="BNX18" s="310" t="s">
        <v>201</v>
      </c>
      <c r="BNY18" s="310" t="s">
        <v>201</v>
      </c>
      <c r="BNZ18" s="310" t="s">
        <v>201</v>
      </c>
      <c r="BOA18" s="310" t="s">
        <v>201</v>
      </c>
      <c r="BOB18" s="310" t="s">
        <v>201</v>
      </c>
      <c r="BOC18" s="310" t="s">
        <v>201</v>
      </c>
      <c r="BOD18" s="310" t="s">
        <v>201</v>
      </c>
      <c r="BOE18" s="310" t="s">
        <v>201</v>
      </c>
      <c r="BOF18" s="310" t="s">
        <v>201</v>
      </c>
      <c r="BOG18" s="310" t="s">
        <v>201</v>
      </c>
      <c r="BOH18" s="310" t="s">
        <v>201</v>
      </c>
      <c r="BOI18" s="310" t="s">
        <v>201</v>
      </c>
      <c r="BOJ18" s="310" t="s">
        <v>201</v>
      </c>
      <c r="BOK18" s="310" t="s">
        <v>201</v>
      </c>
      <c r="BOL18" s="310" t="s">
        <v>201</v>
      </c>
      <c r="BOM18" s="310" t="s">
        <v>201</v>
      </c>
      <c r="BON18" s="310" t="s">
        <v>201</v>
      </c>
      <c r="BOO18" s="310" t="s">
        <v>201</v>
      </c>
      <c r="BOP18" s="310" t="s">
        <v>201</v>
      </c>
      <c r="BOQ18" s="310" t="s">
        <v>201</v>
      </c>
      <c r="BOR18" s="310" t="s">
        <v>201</v>
      </c>
      <c r="BOS18" s="310" t="s">
        <v>201</v>
      </c>
      <c r="BOT18" s="310" t="s">
        <v>201</v>
      </c>
      <c r="BOU18" s="310" t="s">
        <v>201</v>
      </c>
      <c r="BOV18" s="310" t="s">
        <v>201</v>
      </c>
      <c r="BOW18" s="310" t="s">
        <v>201</v>
      </c>
      <c r="BOX18" s="310" t="s">
        <v>201</v>
      </c>
      <c r="BOY18" s="310" t="s">
        <v>201</v>
      </c>
      <c r="BOZ18" s="310" t="s">
        <v>201</v>
      </c>
      <c r="BPA18" s="310" t="s">
        <v>201</v>
      </c>
      <c r="BPB18" s="310" t="s">
        <v>201</v>
      </c>
      <c r="BPC18" s="310" t="s">
        <v>201</v>
      </c>
      <c r="BPD18" s="310" t="s">
        <v>201</v>
      </c>
      <c r="BPE18" s="310" t="s">
        <v>201</v>
      </c>
      <c r="BPF18" s="310" t="s">
        <v>201</v>
      </c>
      <c r="BPG18" s="310" t="s">
        <v>201</v>
      </c>
      <c r="BPH18" s="310" t="s">
        <v>201</v>
      </c>
      <c r="BPI18" s="310" t="s">
        <v>201</v>
      </c>
      <c r="BPJ18" s="310" t="s">
        <v>201</v>
      </c>
      <c r="BPK18" s="310" t="s">
        <v>201</v>
      </c>
      <c r="BPL18" s="310" t="s">
        <v>201</v>
      </c>
      <c r="BPM18" s="310" t="s">
        <v>201</v>
      </c>
      <c r="BPN18" s="310" t="s">
        <v>201</v>
      </c>
      <c r="BPO18" s="310" t="s">
        <v>201</v>
      </c>
      <c r="BPP18" s="310" t="s">
        <v>201</v>
      </c>
      <c r="BPQ18" s="310" t="s">
        <v>201</v>
      </c>
      <c r="BPR18" s="310" t="s">
        <v>201</v>
      </c>
      <c r="BPS18" s="310" t="s">
        <v>201</v>
      </c>
      <c r="BPT18" s="310" t="s">
        <v>201</v>
      </c>
      <c r="BPU18" s="310" t="s">
        <v>201</v>
      </c>
      <c r="BPV18" s="310" t="s">
        <v>201</v>
      </c>
      <c r="BPW18" s="310" t="s">
        <v>201</v>
      </c>
      <c r="BPX18" s="310" t="s">
        <v>201</v>
      </c>
      <c r="BPY18" s="310" t="s">
        <v>201</v>
      </c>
      <c r="BPZ18" s="310" t="s">
        <v>201</v>
      </c>
      <c r="BQA18" s="310" t="s">
        <v>201</v>
      </c>
      <c r="BQB18" s="310" t="s">
        <v>201</v>
      </c>
      <c r="BQC18" s="310" t="s">
        <v>201</v>
      </c>
      <c r="BQD18" s="310" t="s">
        <v>201</v>
      </c>
      <c r="BQE18" s="310" t="s">
        <v>201</v>
      </c>
      <c r="BQF18" s="310" t="s">
        <v>201</v>
      </c>
      <c r="BQG18" s="310" t="s">
        <v>201</v>
      </c>
      <c r="BQH18" s="310" t="s">
        <v>201</v>
      </c>
      <c r="BQI18" s="310" t="s">
        <v>201</v>
      </c>
      <c r="BQJ18" s="310" t="s">
        <v>201</v>
      </c>
      <c r="BQK18" s="310" t="s">
        <v>201</v>
      </c>
      <c r="BQL18" s="310" t="s">
        <v>201</v>
      </c>
      <c r="BQM18" s="310" t="s">
        <v>201</v>
      </c>
      <c r="BQN18" s="310" t="s">
        <v>201</v>
      </c>
      <c r="BQO18" s="310" t="s">
        <v>201</v>
      </c>
      <c r="BQP18" s="310" t="s">
        <v>201</v>
      </c>
      <c r="BQQ18" s="310" t="s">
        <v>201</v>
      </c>
      <c r="BQR18" s="310" t="s">
        <v>201</v>
      </c>
      <c r="BQS18" s="310" t="s">
        <v>201</v>
      </c>
      <c r="BQT18" s="310" t="s">
        <v>201</v>
      </c>
      <c r="BQU18" s="310" t="s">
        <v>201</v>
      </c>
      <c r="BQV18" s="310" t="s">
        <v>201</v>
      </c>
      <c r="BQW18" s="310" t="s">
        <v>201</v>
      </c>
      <c r="BQX18" s="310" t="s">
        <v>201</v>
      </c>
      <c r="BQY18" s="310" t="s">
        <v>201</v>
      </c>
      <c r="BQZ18" s="310" t="s">
        <v>201</v>
      </c>
      <c r="BRA18" s="310" t="s">
        <v>201</v>
      </c>
      <c r="BRB18" s="310" t="s">
        <v>201</v>
      </c>
      <c r="BRC18" s="310" t="s">
        <v>201</v>
      </c>
      <c r="BRD18" s="310" t="s">
        <v>201</v>
      </c>
      <c r="BRE18" s="310" t="s">
        <v>201</v>
      </c>
      <c r="BRF18" s="310" t="s">
        <v>201</v>
      </c>
      <c r="BRG18" s="310" t="s">
        <v>201</v>
      </c>
      <c r="BRH18" s="310" t="s">
        <v>201</v>
      </c>
      <c r="BRI18" s="310" t="s">
        <v>201</v>
      </c>
      <c r="BRJ18" s="310" t="s">
        <v>201</v>
      </c>
      <c r="BRK18" s="310" t="s">
        <v>201</v>
      </c>
      <c r="BRL18" s="310" t="s">
        <v>201</v>
      </c>
      <c r="BRM18" s="310" t="s">
        <v>201</v>
      </c>
      <c r="BRN18" s="310" t="s">
        <v>201</v>
      </c>
      <c r="BRO18" s="310" t="s">
        <v>201</v>
      </c>
      <c r="BRP18" s="310" t="s">
        <v>201</v>
      </c>
      <c r="BRQ18" s="310" t="s">
        <v>201</v>
      </c>
      <c r="BRR18" s="310" t="s">
        <v>201</v>
      </c>
      <c r="BRS18" s="310" t="s">
        <v>201</v>
      </c>
      <c r="BRT18" s="310" t="s">
        <v>201</v>
      </c>
      <c r="BRU18" s="310" t="s">
        <v>201</v>
      </c>
      <c r="BRV18" s="310" t="s">
        <v>201</v>
      </c>
      <c r="BRW18" s="310" t="s">
        <v>201</v>
      </c>
      <c r="BRX18" s="310" t="s">
        <v>201</v>
      </c>
      <c r="BRY18" s="310" t="s">
        <v>201</v>
      </c>
      <c r="BRZ18" s="310" t="s">
        <v>201</v>
      </c>
      <c r="BSA18" s="310" t="s">
        <v>201</v>
      </c>
      <c r="BSB18" s="310" t="s">
        <v>201</v>
      </c>
      <c r="BSC18" s="310" t="s">
        <v>201</v>
      </c>
      <c r="BSD18" s="310" t="s">
        <v>201</v>
      </c>
      <c r="BSE18" s="310" t="s">
        <v>201</v>
      </c>
      <c r="BSF18" s="310" t="s">
        <v>201</v>
      </c>
      <c r="BSG18" s="310" t="s">
        <v>201</v>
      </c>
      <c r="BSH18" s="310" t="s">
        <v>201</v>
      </c>
      <c r="BSI18" s="310" t="s">
        <v>201</v>
      </c>
      <c r="BSJ18" s="310" t="s">
        <v>201</v>
      </c>
      <c r="BSK18" s="310" t="s">
        <v>201</v>
      </c>
      <c r="BSL18" s="310" t="s">
        <v>201</v>
      </c>
      <c r="BSM18" s="310" t="s">
        <v>201</v>
      </c>
      <c r="BSN18" s="310" t="s">
        <v>201</v>
      </c>
      <c r="BSO18" s="310" t="s">
        <v>201</v>
      </c>
      <c r="BSP18" s="310" t="s">
        <v>201</v>
      </c>
      <c r="BSQ18" s="310" t="s">
        <v>201</v>
      </c>
      <c r="BSR18" s="310" t="s">
        <v>201</v>
      </c>
      <c r="BSS18" s="310" t="s">
        <v>201</v>
      </c>
      <c r="BST18" s="310" t="s">
        <v>201</v>
      </c>
      <c r="BSU18" s="310" t="s">
        <v>201</v>
      </c>
      <c r="BSV18" s="310" t="s">
        <v>201</v>
      </c>
      <c r="BSW18" s="310" t="s">
        <v>201</v>
      </c>
      <c r="BSX18" s="310" t="s">
        <v>201</v>
      </c>
      <c r="BSY18" s="310" t="s">
        <v>201</v>
      </c>
      <c r="BSZ18" s="310" t="s">
        <v>201</v>
      </c>
      <c r="BTA18" s="310" t="s">
        <v>201</v>
      </c>
      <c r="BTB18" s="310" t="s">
        <v>201</v>
      </c>
      <c r="BTC18" s="310" t="s">
        <v>201</v>
      </c>
      <c r="BTD18" s="310" t="s">
        <v>201</v>
      </c>
      <c r="BTE18" s="310" t="s">
        <v>201</v>
      </c>
      <c r="BTF18" s="310" t="s">
        <v>201</v>
      </c>
      <c r="BTG18" s="310" t="s">
        <v>201</v>
      </c>
      <c r="BTH18" s="310" t="s">
        <v>201</v>
      </c>
      <c r="BTI18" s="310" t="s">
        <v>201</v>
      </c>
      <c r="BTJ18" s="310" t="s">
        <v>201</v>
      </c>
      <c r="BTK18" s="310" t="s">
        <v>201</v>
      </c>
      <c r="BTL18" s="310" t="s">
        <v>201</v>
      </c>
      <c r="BTM18" s="310" t="s">
        <v>201</v>
      </c>
      <c r="BTN18" s="310" t="s">
        <v>201</v>
      </c>
      <c r="BTO18" s="310" t="s">
        <v>201</v>
      </c>
      <c r="BTP18" s="310" t="s">
        <v>201</v>
      </c>
      <c r="BTQ18" s="310" t="s">
        <v>201</v>
      </c>
      <c r="BTR18" s="310" t="s">
        <v>201</v>
      </c>
      <c r="BTS18" s="310" t="s">
        <v>201</v>
      </c>
      <c r="BTT18" s="310" t="s">
        <v>201</v>
      </c>
      <c r="BTU18" s="310" t="s">
        <v>201</v>
      </c>
      <c r="BTV18" s="310" t="s">
        <v>201</v>
      </c>
      <c r="BTW18" s="310" t="s">
        <v>201</v>
      </c>
      <c r="BTX18" s="310" t="s">
        <v>201</v>
      </c>
      <c r="BTY18" s="310" t="s">
        <v>201</v>
      </c>
      <c r="BTZ18" s="310" t="s">
        <v>201</v>
      </c>
      <c r="BUA18" s="310" t="s">
        <v>201</v>
      </c>
      <c r="BUB18" s="310" t="s">
        <v>201</v>
      </c>
      <c r="BUC18" s="310" t="s">
        <v>201</v>
      </c>
      <c r="BUD18" s="310" t="s">
        <v>201</v>
      </c>
      <c r="BUE18" s="310" t="s">
        <v>201</v>
      </c>
      <c r="BUF18" s="310" t="s">
        <v>201</v>
      </c>
      <c r="BUG18" s="310" t="s">
        <v>201</v>
      </c>
      <c r="BUH18" s="310" t="s">
        <v>201</v>
      </c>
      <c r="BUI18" s="310" t="s">
        <v>201</v>
      </c>
      <c r="BUJ18" s="310" t="s">
        <v>201</v>
      </c>
      <c r="BUK18" s="310" t="s">
        <v>201</v>
      </c>
      <c r="BUL18" s="310" t="s">
        <v>201</v>
      </c>
      <c r="BUM18" s="310" t="s">
        <v>201</v>
      </c>
      <c r="BUN18" s="310" t="s">
        <v>201</v>
      </c>
      <c r="BUO18" s="310" t="s">
        <v>201</v>
      </c>
      <c r="BUP18" s="310" t="s">
        <v>201</v>
      </c>
      <c r="BUQ18" s="310" t="s">
        <v>201</v>
      </c>
      <c r="BUR18" s="310" t="s">
        <v>201</v>
      </c>
      <c r="BUS18" s="310" t="s">
        <v>201</v>
      </c>
      <c r="BUT18" s="310" t="s">
        <v>201</v>
      </c>
      <c r="BUU18" s="310" t="s">
        <v>201</v>
      </c>
      <c r="BUV18" s="310" t="s">
        <v>201</v>
      </c>
      <c r="BUW18" s="310" t="s">
        <v>201</v>
      </c>
      <c r="BUX18" s="310" t="s">
        <v>201</v>
      </c>
      <c r="BUY18" s="310" t="s">
        <v>201</v>
      </c>
      <c r="BUZ18" s="310" t="s">
        <v>201</v>
      </c>
      <c r="BVA18" s="310" t="s">
        <v>201</v>
      </c>
      <c r="BVB18" s="310" t="s">
        <v>201</v>
      </c>
      <c r="BVC18" s="310" t="s">
        <v>201</v>
      </c>
      <c r="BVD18" s="310" t="s">
        <v>201</v>
      </c>
      <c r="BVE18" s="310" t="s">
        <v>201</v>
      </c>
      <c r="BVF18" s="310" t="s">
        <v>201</v>
      </c>
      <c r="BVG18" s="310" t="s">
        <v>201</v>
      </c>
      <c r="BVH18" s="310" t="s">
        <v>201</v>
      </c>
      <c r="BVI18" s="310" t="s">
        <v>201</v>
      </c>
      <c r="BVJ18" s="310" t="s">
        <v>201</v>
      </c>
      <c r="BVK18" s="310" t="s">
        <v>201</v>
      </c>
      <c r="BVL18" s="310" t="s">
        <v>201</v>
      </c>
      <c r="BVM18" s="310" t="s">
        <v>201</v>
      </c>
      <c r="BVN18" s="310" t="s">
        <v>201</v>
      </c>
      <c r="BVO18" s="310" t="s">
        <v>201</v>
      </c>
      <c r="BVP18" s="310" t="s">
        <v>201</v>
      </c>
      <c r="BVQ18" s="310" t="s">
        <v>201</v>
      </c>
      <c r="BVR18" s="310" t="s">
        <v>201</v>
      </c>
      <c r="BVS18" s="310" t="s">
        <v>201</v>
      </c>
      <c r="BVT18" s="310" t="s">
        <v>201</v>
      </c>
      <c r="BVU18" s="310" t="s">
        <v>201</v>
      </c>
      <c r="BVV18" s="310" t="s">
        <v>201</v>
      </c>
      <c r="BVW18" s="310" t="s">
        <v>201</v>
      </c>
      <c r="BVX18" s="310" t="s">
        <v>201</v>
      </c>
      <c r="BVY18" s="310" t="s">
        <v>201</v>
      </c>
      <c r="BVZ18" s="310" t="s">
        <v>201</v>
      </c>
      <c r="BWA18" s="310" t="s">
        <v>201</v>
      </c>
      <c r="BWB18" s="310" t="s">
        <v>201</v>
      </c>
      <c r="BWC18" s="310" t="s">
        <v>201</v>
      </c>
      <c r="BWD18" s="310" t="s">
        <v>201</v>
      </c>
      <c r="BWE18" s="310" t="s">
        <v>201</v>
      </c>
      <c r="BWF18" s="310" t="s">
        <v>201</v>
      </c>
      <c r="BWG18" s="310" t="s">
        <v>201</v>
      </c>
      <c r="BWH18" s="310" t="s">
        <v>201</v>
      </c>
      <c r="BWI18" s="310" t="s">
        <v>201</v>
      </c>
      <c r="BWJ18" s="310" t="s">
        <v>201</v>
      </c>
      <c r="BWK18" s="310" t="s">
        <v>201</v>
      </c>
      <c r="BWL18" s="310" t="s">
        <v>201</v>
      </c>
      <c r="BWM18" s="310" t="s">
        <v>201</v>
      </c>
      <c r="BWN18" s="310" t="s">
        <v>201</v>
      </c>
      <c r="BWO18" s="310" t="s">
        <v>201</v>
      </c>
      <c r="BWP18" s="310" t="s">
        <v>201</v>
      </c>
      <c r="BWQ18" s="310" t="s">
        <v>201</v>
      </c>
      <c r="BWR18" s="310" t="s">
        <v>201</v>
      </c>
      <c r="BWS18" s="310" t="s">
        <v>201</v>
      </c>
      <c r="BWT18" s="310" t="s">
        <v>201</v>
      </c>
      <c r="BWU18" s="310" t="s">
        <v>201</v>
      </c>
      <c r="BWV18" s="310" t="s">
        <v>201</v>
      </c>
      <c r="BWW18" s="310" t="s">
        <v>201</v>
      </c>
      <c r="BWX18" s="310" t="s">
        <v>201</v>
      </c>
      <c r="BWY18" s="310" t="s">
        <v>201</v>
      </c>
      <c r="BWZ18" s="310" t="s">
        <v>201</v>
      </c>
      <c r="BXA18" s="310" t="s">
        <v>201</v>
      </c>
      <c r="BXB18" s="310" t="s">
        <v>201</v>
      </c>
      <c r="BXC18" s="310" t="s">
        <v>201</v>
      </c>
      <c r="BXD18" s="310" t="s">
        <v>201</v>
      </c>
      <c r="BXE18" s="310" t="s">
        <v>201</v>
      </c>
      <c r="BXF18" s="310" t="s">
        <v>201</v>
      </c>
      <c r="BXG18" s="310" t="s">
        <v>201</v>
      </c>
      <c r="BXH18" s="310" t="s">
        <v>201</v>
      </c>
      <c r="BXI18" s="310" t="s">
        <v>201</v>
      </c>
      <c r="BXJ18" s="310" t="s">
        <v>201</v>
      </c>
      <c r="BXK18" s="310" t="s">
        <v>201</v>
      </c>
      <c r="BXL18" s="310" t="s">
        <v>201</v>
      </c>
      <c r="BXM18" s="310" t="s">
        <v>201</v>
      </c>
      <c r="BXN18" s="310" t="s">
        <v>201</v>
      </c>
      <c r="BXO18" s="310" t="s">
        <v>201</v>
      </c>
      <c r="BXP18" s="310" t="s">
        <v>201</v>
      </c>
      <c r="BXQ18" s="310" t="s">
        <v>201</v>
      </c>
      <c r="BXR18" s="310" t="s">
        <v>201</v>
      </c>
      <c r="BXS18" s="310" t="s">
        <v>201</v>
      </c>
      <c r="BXT18" s="310" t="s">
        <v>201</v>
      </c>
      <c r="BXU18" s="310" t="s">
        <v>201</v>
      </c>
      <c r="BXV18" s="310" t="s">
        <v>201</v>
      </c>
      <c r="BXW18" s="310" t="s">
        <v>201</v>
      </c>
      <c r="BXX18" s="310" t="s">
        <v>201</v>
      </c>
      <c r="BXY18" s="310" t="s">
        <v>201</v>
      </c>
      <c r="BXZ18" s="310" t="s">
        <v>201</v>
      </c>
      <c r="BYA18" s="310" t="s">
        <v>201</v>
      </c>
      <c r="BYB18" s="310" t="s">
        <v>201</v>
      </c>
      <c r="BYC18" s="310" t="s">
        <v>201</v>
      </c>
      <c r="BYD18" s="310" t="s">
        <v>201</v>
      </c>
      <c r="BYE18" s="310" t="s">
        <v>201</v>
      </c>
      <c r="BYF18" s="310" t="s">
        <v>201</v>
      </c>
      <c r="BYG18" s="310" t="s">
        <v>201</v>
      </c>
      <c r="BYH18" s="310" t="s">
        <v>201</v>
      </c>
      <c r="BYI18" s="310" t="s">
        <v>201</v>
      </c>
      <c r="BYJ18" s="310" t="s">
        <v>201</v>
      </c>
      <c r="BYK18" s="310" t="s">
        <v>201</v>
      </c>
      <c r="BYL18" s="310" t="s">
        <v>201</v>
      </c>
      <c r="BYM18" s="310" t="s">
        <v>201</v>
      </c>
      <c r="BYN18" s="310" t="s">
        <v>201</v>
      </c>
      <c r="BYO18" s="310" t="s">
        <v>201</v>
      </c>
      <c r="BYP18" s="310" t="s">
        <v>201</v>
      </c>
      <c r="BYQ18" s="310" t="s">
        <v>201</v>
      </c>
      <c r="BYR18" s="310" t="s">
        <v>201</v>
      </c>
      <c r="BYS18" s="310" t="s">
        <v>201</v>
      </c>
      <c r="BYT18" s="310" t="s">
        <v>201</v>
      </c>
      <c r="BYU18" s="310" t="s">
        <v>201</v>
      </c>
      <c r="BYV18" s="310" t="s">
        <v>201</v>
      </c>
      <c r="BYW18" s="310" t="s">
        <v>201</v>
      </c>
      <c r="BYX18" s="310" t="s">
        <v>201</v>
      </c>
      <c r="BYY18" s="310" t="s">
        <v>201</v>
      </c>
      <c r="BYZ18" s="310" t="s">
        <v>201</v>
      </c>
      <c r="BZA18" s="310" t="s">
        <v>201</v>
      </c>
      <c r="BZB18" s="310" t="s">
        <v>201</v>
      </c>
      <c r="BZC18" s="310" t="s">
        <v>201</v>
      </c>
      <c r="BZD18" s="310" t="s">
        <v>201</v>
      </c>
      <c r="BZE18" s="310" t="s">
        <v>201</v>
      </c>
      <c r="BZF18" s="310" t="s">
        <v>201</v>
      </c>
      <c r="BZG18" s="310" t="s">
        <v>201</v>
      </c>
      <c r="BZH18" s="310" t="s">
        <v>201</v>
      </c>
      <c r="BZI18" s="310" t="s">
        <v>201</v>
      </c>
      <c r="BZJ18" s="310" t="s">
        <v>201</v>
      </c>
      <c r="BZK18" s="310" t="s">
        <v>201</v>
      </c>
      <c r="BZL18" s="310" t="s">
        <v>201</v>
      </c>
      <c r="BZM18" s="310" t="s">
        <v>201</v>
      </c>
      <c r="BZN18" s="310" t="s">
        <v>201</v>
      </c>
      <c r="BZO18" s="310" t="s">
        <v>201</v>
      </c>
      <c r="BZP18" s="310" t="s">
        <v>201</v>
      </c>
      <c r="BZQ18" s="310" t="s">
        <v>201</v>
      </c>
      <c r="BZR18" s="310" t="s">
        <v>201</v>
      </c>
      <c r="BZS18" s="310" t="s">
        <v>201</v>
      </c>
      <c r="BZT18" s="310" t="s">
        <v>201</v>
      </c>
      <c r="BZU18" s="310" t="s">
        <v>201</v>
      </c>
      <c r="BZV18" s="310" t="s">
        <v>201</v>
      </c>
      <c r="BZW18" s="310" t="s">
        <v>201</v>
      </c>
      <c r="BZX18" s="310" t="s">
        <v>201</v>
      </c>
      <c r="BZY18" s="310" t="s">
        <v>201</v>
      </c>
      <c r="BZZ18" s="310" t="s">
        <v>201</v>
      </c>
      <c r="CAA18" s="310" t="s">
        <v>201</v>
      </c>
      <c r="CAB18" s="310" t="s">
        <v>201</v>
      </c>
      <c r="CAC18" s="310" t="s">
        <v>201</v>
      </c>
      <c r="CAD18" s="310" t="s">
        <v>201</v>
      </c>
      <c r="CAE18" s="310" t="s">
        <v>201</v>
      </c>
      <c r="CAF18" s="310" t="s">
        <v>201</v>
      </c>
      <c r="CAG18" s="310" t="s">
        <v>201</v>
      </c>
      <c r="CAH18" s="310" t="s">
        <v>201</v>
      </c>
      <c r="CAI18" s="310" t="s">
        <v>201</v>
      </c>
      <c r="CAJ18" s="310" t="s">
        <v>201</v>
      </c>
      <c r="CAK18" s="310" t="s">
        <v>201</v>
      </c>
      <c r="CAL18" s="310" t="s">
        <v>201</v>
      </c>
      <c r="CAM18" s="310" t="s">
        <v>201</v>
      </c>
      <c r="CAN18" s="310" t="s">
        <v>201</v>
      </c>
      <c r="CAO18" s="310" t="s">
        <v>201</v>
      </c>
      <c r="CAP18" s="310" t="s">
        <v>201</v>
      </c>
      <c r="CAQ18" s="310" t="s">
        <v>201</v>
      </c>
      <c r="CAR18" s="310" t="s">
        <v>201</v>
      </c>
      <c r="CAS18" s="310" t="s">
        <v>201</v>
      </c>
      <c r="CAT18" s="310" t="s">
        <v>201</v>
      </c>
      <c r="CAU18" s="310" t="s">
        <v>201</v>
      </c>
      <c r="CAV18" s="310" t="s">
        <v>201</v>
      </c>
      <c r="CAW18" s="310" t="s">
        <v>201</v>
      </c>
      <c r="CAX18" s="310" t="s">
        <v>201</v>
      </c>
      <c r="CAY18" s="310" t="s">
        <v>201</v>
      </c>
      <c r="CAZ18" s="310" t="s">
        <v>201</v>
      </c>
      <c r="CBA18" s="310" t="s">
        <v>201</v>
      </c>
      <c r="CBB18" s="310" t="s">
        <v>201</v>
      </c>
      <c r="CBC18" s="310" t="s">
        <v>201</v>
      </c>
      <c r="CBD18" s="310" t="s">
        <v>201</v>
      </c>
      <c r="CBE18" s="310" t="s">
        <v>201</v>
      </c>
      <c r="CBF18" s="310" t="s">
        <v>201</v>
      </c>
      <c r="CBG18" s="310" t="s">
        <v>201</v>
      </c>
      <c r="CBH18" s="310" t="s">
        <v>201</v>
      </c>
      <c r="CBI18" s="310" t="s">
        <v>201</v>
      </c>
      <c r="CBJ18" s="310" t="s">
        <v>201</v>
      </c>
      <c r="CBK18" s="310" t="s">
        <v>201</v>
      </c>
      <c r="CBL18" s="310" t="s">
        <v>201</v>
      </c>
      <c r="CBM18" s="310" t="s">
        <v>201</v>
      </c>
      <c r="CBN18" s="310" t="s">
        <v>201</v>
      </c>
      <c r="CBO18" s="310" t="s">
        <v>201</v>
      </c>
      <c r="CBP18" s="310" t="s">
        <v>201</v>
      </c>
      <c r="CBQ18" s="310" t="s">
        <v>201</v>
      </c>
      <c r="CBR18" s="310" t="s">
        <v>201</v>
      </c>
      <c r="CBS18" s="310" t="s">
        <v>201</v>
      </c>
      <c r="CBT18" s="310" t="s">
        <v>201</v>
      </c>
      <c r="CBU18" s="310" t="s">
        <v>201</v>
      </c>
      <c r="CBV18" s="310" t="s">
        <v>201</v>
      </c>
      <c r="CBW18" s="310" t="s">
        <v>201</v>
      </c>
      <c r="CBX18" s="310" t="s">
        <v>201</v>
      </c>
      <c r="CBY18" s="310" t="s">
        <v>201</v>
      </c>
      <c r="CBZ18" s="310" t="s">
        <v>201</v>
      </c>
      <c r="CCA18" s="310" t="s">
        <v>201</v>
      </c>
      <c r="CCB18" s="310" t="s">
        <v>201</v>
      </c>
      <c r="CCC18" s="310" t="s">
        <v>201</v>
      </c>
      <c r="CCD18" s="310" t="s">
        <v>201</v>
      </c>
      <c r="CCE18" s="310" t="s">
        <v>201</v>
      </c>
      <c r="CCF18" s="310" t="s">
        <v>201</v>
      </c>
      <c r="CCG18" s="310" t="s">
        <v>201</v>
      </c>
      <c r="CCH18" s="310" t="s">
        <v>201</v>
      </c>
      <c r="CCI18" s="310" t="s">
        <v>201</v>
      </c>
      <c r="CCJ18" s="310" t="s">
        <v>201</v>
      </c>
      <c r="CCK18" s="310" t="s">
        <v>201</v>
      </c>
      <c r="CCL18" s="310" t="s">
        <v>201</v>
      </c>
      <c r="CCM18" s="310" t="s">
        <v>201</v>
      </c>
      <c r="CCN18" s="310" t="s">
        <v>201</v>
      </c>
      <c r="CCO18" s="310" t="s">
        <v>201</v>
      </c>
      <c r="CCP18" s="310" t="s">
        <v>201</v>
      </c>
      <c r="CCQ18" s="310" t="s">
        <v>201</v>
      </c>
      <c r="CCR18" s="310" t="s">
        <v>201</v>
      </c>
      <c r="CCS18" s="310" t="s">
        <v>201</v>
      </c>
      <c r="CCT18" s="310" t="s">
        <v>201</v>
      </c>
      <c r="CCU18" s="310" t="s">
        <v>201</v>
      </c>
      <c r="CCV18" s="310" t="s">
        <v>201</v>
      </c>
      <c r="CCW18" s="310" t="s">
        <v>201</v>
      </c>
      <c r="CCX18" s="310" t="s">
        <v>201</v>
      </c>
      <c r="CCY18" s="310" t="s">
        <v>201</v>
      </c>
      <c r="CCZ18" s="310" t="s">
        <v>201</v>
      </c>
      <c r="CDA18" s="310" t="s">
        <v>201</v>
      </c>
      <c r="CDB18" s="310" t="s">
        <v>201</v>
      </c>
      <c r="CDC18" s="310" t="s">
        <v>201</v>
      </c>
      <c r="CDD18" s="310" t="s">
        <v>201</v>
      </c>
      <c r="CDE18" s="310" t="s">
        <v>201</v>
      </c>
      <c r="CDF18" s="310" t="s">
        <v>201</v>
      </c>
      <c r="CDG18" s="310" t="s">
        <v>201</v>
      </c>
      <c r="CDH18" s="310" t="s">
        <v>201</v>
      </c>
      <c r="CDI18" s="310" t="s">
        <v>201</v>
      </c>
      <c r="CDJ18" s="310" t="s">
        <v>201</v>
      </c>
      <c r="CDK18" s="310" t="s">
        <v>201</v>
      </c>
      <c r="CDL18" s="310" t="s">
        <v>201</v>
      </c>
      <c r="CDM18" s="310" t="s">
        <v>201</v>
      </c>
      <c r="CDN18" s="310" t="s">
        <v>201</v>
      </c>
      <c r="CDO18" s="310" t="s">
        <v>201</v>
      </c>
      <c r="CDP18" s="310" t="s">
        <v>201</v>
      </c>
      <c r="CDQ18" s="310" t="s">
        <v>201</v>
      </c>
      <c r="CDR18" s="310" t="s">
        <v>201</v>
      </c>
      <c r="CDS18" s="310" t="s">
        <v>201</v>
      </c>
      <c r="CDT18" s="310" t="s">
        <v>201</v>
      </c>
      <c r="CDU18" s="310" t="s">
        <v>201</v>
      </c>
      <c r="CDV18" s="310" t="s">
        <v>201</v>
      </c>
      <c r="CDW18" s="310" t="s">
        <v>201</v>
      </c>
      <c r="CDX18" s="310" t="s">
        <v>201</v>
      </c>
      <c r="CDY18" s="310" t="s">
        <v>201</v>
      </c>
      <c r="CDZ18" s="310" t="s">
        <v>201</v>
      </c>
      <c r="CEA18" s="310" t="s">
        <v>201</v>
      </c>
      <c r="CEB18" s="310" t="s">
        <v>201</v>
      </c>
      <c r="CEC18" s="310" t="s">
        <v>201</v>
      </c>
      <c r="CED18" s="310" t="s">
        <v>201</v>
      </c>
      <c r="CEE18" s="310" t="s">
        <v>201</v>
      </c>
      <c r="CEF18" s="310" t="s">
        <v>201</v>
      </c>
      <c r="CEG18" s="310" t="s">
        <v>201</v>
      </c>
      <c r="CEH18" s="310" t="s">
        <v>201</v>
      </c>
      <c r="CEI18" s="310" t="s">
        <v>201</v>
      </c>
      <c r="CEJ18" s="310" t="s">
        <v>201</v>
      </c>
      <c r="CEK18" s="310" t="s">
        <v>201</v>
      </c>
      <c r="CEL18" s="310" t="s">
        <v>201</v>
      </c>
      <c r="CEM18" s="310" t="s">
        <v>201</v>
      </c>
      <c r="CEN18" s="310" t="s">
        <v>201</v>
      </c>
      <c r="CEO18" s="310" t="s">
        <v>201</v>
      </c>
      <c r="CEP18" s="310" t="s">
        <v>201</v>
      </c>
      <c r="CEQ18" s="310" t="s">
        <v>201</v>
      </c>
      <c r="CER18" s="310" t="s">
        <v>201</v>
      </c>
      <c r="CES18" s="310" t="s">
        <v>201</v>
      </c>
      <c r="CET18" s="310" t="s">
        <v>201</v>
      </c>
      <c r="CEU18" s="310" t="s">
        <v>201</v>
      </c>
      <c r="CEV18" s="310" t="s">
        <v>201</v>
      </c>
      <c r="CEW18" s="310" t="s">
        <v>201</v>
      </c>
      <c r="CEX18" s="310" t="s">
        <v>201</v>
      </c>
      <c r="CEY18" s="310" t="s">
        <v>201</v>
      </c>
      <c r="CEZ18" s="310" t="s">
        <v>201</v>
      </c>
      <c r="CFA18" s="310" t="s">
        <v>201</v>
      </c>
      <c r="CFB18" s="310" t="s">
        <v>201</v>
      </c>
      <c r="CFC18" s="310" t="s">
        <v>201</v>
      </c>
      <c r="CFD18" s="310" t="s">
        <v>201</v>
      </c>
      <c r="CFE18" s="310" t="s">
        <v>201</v>
      </c>
      <c r="CFF18" s="310" t="s">
        <v>201</v>
      </c>
      <c r="CFG18" s="310" t="s">
        <v>201</v>
      </c>
      <c r="CFH18" s="310" t="s">
        <v>201</v>
      </c>
      <c r="CFI18" s="310" t="s">
        <v>201</v>
      </c>
      <c r="CFJ18" s="310" t="s">
        <v>201</v>
      </c>
      <c r="CFK18" s="310" t="s">
        <v>201</v>
      </c>
      <c r="CFL18" s="310" t="s">
        <v>201</v>
      </c>
      <c r="CFM18" s="310" t="s">
        <v>201</v>
      </c>
      <c r="CFN18" s="310" t="s">
        <v>201</v>
      </c>
      <c r="CFO18" s="310" t="s">
        <v>201</v>
      </c>
      <c r="CFP18" s="310" t="s">
        <v>201</v>
      </c>
      <c r="CFQ18" s="310" t="s">
        <v>201</v>
      </c>
      <c r="CFR18" s="310" t="s">
        <v>201</v>
      </c>
      <c r="CFS18" s="310" t="s">
        <v>201</v>
      </c>
      <c r="CFT18" s="310" t="s">
        <v>201</v>
      </c>
      <c r="CFU18" s="310" t="s">
        <v>201</v>
      </c>
      <c r="CFV18" s="310" t="s">
        <v>201</v>
      </c>
      <c r="CFW18" s="310" t="s">
        <v>201</v>
      </c>
      <c r="CFX18" s="310" t="s">
        <v>201</v>
      </c>
      <c r="CFY18" s="310" t="s">
        <v>201</v>
      </c>
      <c r="CFZ18" s="310" t="s">
        <v>201</v>
      </c>
      <c r="CGA18" s="310" t="s">
        <v>201</v>
      </c>
      <c r="CGB18" s="310" t="s">
        <v>201</v>
      </c>
      <c r="CGC18" s="310" t="s">
        <v>201</v>
      </c>
      <c r="CGD18" s="310" t="s">
        <v>201</v>
      </c>
      <c r="CGE18" s="310" t="s">
        <v>201</v>
      </c>
      <c r="CGF18" s="310" t="s">
        <v>201</v>
      </c>
      <c r="CGG18" s="310" t="s">
        <v>201</v>
      </c>
      <c r="CGH18" s="310" t="s">
        <v>201</v>
      </c>
      <c r="CGI18" s="310" t="s">
        <v>201</v>
      </c>
      <c r="CGJ18" s="310" t="s">
        <v>201</v>
      </c>
      <c r="CGK18" s="310" t="s">
        <v>201</v>
      </c>
      <c r="CGL18" s="310" t="s">
        <v>201</v>
      </c>
      <c r="CGM18" s="310" t="s">
        <v>201</v>
      </c>
      <c r="CGN18" s="310" t="s">
        <v>201</v>
      </c>
      <c r="CGO18" s="310" t="s">
        <v>201</v>
      </c>
      <c r="CGP18" s="310" t="s">
        <v>201</v>
      </c>
      <c r="CGQ18" s="310" t="s">
        <v>201</v>
      </c>
      <c r="CGR18" s="310" t="s">
        <v>201</v>
      </c>
      <c r="CGS18" s="310" t="s">
        <v>201</v>
      </c>
      <c r="CGT18" s="310" t="s">
        <v>201</v>
      </c>
      <c r="CGU18" s="310" t="s">
        <v>201</v>
      </c>
      <c r="CGV18" s="310" t="s">
        <v>201</v>
      </c>
      <c r="CGW18" s="310" t="s">
        <v>201</v>
      </c>
      <c r="CGX18" s="310" t="s">
        <v>201</v>
      </c>
      <c r="CGY18" s="310" t="s">
        <v>201</v>
      </c>
      <c r="CGZ18" s="310" t="s">
        <v>201</v>
      </c>
      <c r="CHA18" s="310" t="s">
        <v>201</v>
      </c>
      <c r="CHB18" s="310" t="s">
        <v>201</v>
      </c>
      <c r="CHC18" s="310" t="s">
        <v>201</v>
      </c>
      <c r="CHD18" s="310" t="s">
        <v>201</v>
      </c>
      <c r="CHE18" s="310" t="s">
        <v>201</v>
      </c>
      <c r="CHF18" s="310" t="s">
        <v>201</v>
      </c>
      <c r="CHG18" s="310" t="s">
        <v>201</v>
      </c>
      <c r="CHH18" s="310" t="s">
        <v>201</v>
      </c>
      <c r="CHI18" s="310" t="s">
        <v>201</v>
      </c>
      <c r="CHJ18" s="310" t="s">
        <v>201</v>
      </c>
      <c r="CHK18" s="310" t="s">
        <v>201</v>
      </c>
      <c r="CHL18" s="310" t="s">
        <v>201</v>
      </c>
      <c r="CHM18" s="310" t="s">
        <v>201</v>
      </c>
      <c r="CHN18" s="310" t="s">
        <v>201</v>
      </c>
      <c r="CHO18" s="310" t="s">
        <v>201</v>
      </c>
      <c r="CHP18" s="310" t="s">
        <v>201</v>
      </c>
      <c r="CHQ18" s="310" t="s">
        <v>201</v>
      </c>
      <c r="CHR18" s="310" t="s">
        <v>201</v>
      </c>
      <c r="CHS18" s="310" t="s">
        <v>201</v>
      </c>
      <c r="CHT18" s="310" t="s">
        <v>201</v>
      </c>
      <c r="CHU18" s="310" t="s">
        <v>201</v>
      </c>
      <c r="CHV18" s="310" t="s">
        <v>201</v>
      </c>
      <c r="CHW18" s="310" t="s">
        <v>201</v>
      </c>
      <c r="CHX18" s="310" t="s">
        <v>201</v>
      </c>
      <c r="CHY18" s="310" t="s">
        <v>201</v>
      </c>
      <c r="CHZ18" s="310" t="s">
        <v>201</v>
      </c>
      <c r="CIA18" s="310" t="s">
        <v>201</v>
      </c>
      <c r="CIB18" s="310" t="s">
        <v>201</v>
      </c>
      <c r="CIC18" s="310" t="s">
        <v>201</v>
      </c>
      <c r="CID18" s="310" t="s">
        <v>201</v>
      </c>
      <c r="CIE18" s="310" t="s">
        <v>201</v>
      </c>
      <c r="CIF18" s="310" t="s">
        <v>201</v>
      </c>
      <c r="CIG18" s="310" t="s">
        <v>201</v>
      </c>
      <c r="CIH18" s="310" t="s">
        <v>201</v>
      </c>
      <c r="CII18" s="310" t="s">
        <v>201</v>
      </c>
      <c r="CIJ18" s="310" t="s">
        <v>201</v>
      </c>
      <c r="CIK18" s="310" t="s">
        <v>201</v>
      </c>
      <c r="CIL18" s="310" t="s">
        <v>201</v>
      </c>
      <c r="CIM18" s="310" t="s">
        <v>201</v>
      </c>
      <c r="CIN18" s="310" t="s">
        <v>201</v>
      </c>
      <c r="CIO18" s="310" t="s">
        <v>201</v>
      </c>
      <c r="CIP18" s="310" t="s">
        <v>201</v>
      </c>
      <c r="CIQ18" s="310" t="s">
        <v>201</v>
      </c>
      <c r="CIR18" s="310" t="s">
        <v>201</v>
      </c>
      <c r="CIS18" s="310" t="s">
        <v>201</v>
      </c>
      <c r="CIT18" s="310" t="s">
        <v>201</v>
      </c>
      <c r="CIU18" s="310" t="s">
        <v>201</v>
      </c>
      <c r="CIV18" s="310" t="s">
        <v>201</v>
      </c>
      <c r="CIW18" s="310" t="s">
        <v>201</v>
      </c>
      <c r="CIX18" s="310" t="s">
        <v>201</v>
      </c>
      <c r="CIY18" s="310" t="s">
        <v>201</v>
      </c>
      <c r="CIZ18" s="310" t="s">
        <v>201</v>
      </c>
      <c r="CJA18" s="310" t="s">
        <v>201</v>
      </c>
      <c r="CJB18" s="310" t="s">
        <v>201</v>
      </c>
      <c r="CJC18" s="310" t="s">
        <v>201</v>
      </c>
      <c r="CJD18" s="310" t="s">
        <v>201</v>
      </c>
      <c r="CJE18" s="310" t="s">
        <v>201</v>
      </c>
      <c r="CJF18" s="310" t="s">
        <v>201</v>
      </c>
      <c r="CJG18" s="310" t="s">
        <v>201</v>
      </c>
      <c r="CJH18" s="310" t="s">
        <v>201</v>
      </c>
      <c r="CJI18" s="310" t="s">
        <v>201</v>
      </c>
      <c r="CJJ18" s="310" t="s">
        <v>201</v>
      </c>
      <c r="CJK18" s="310" t="s">
        <v>201</v>
      </c>
      <c r="CJL18" s="310" t="s">
        <v>201</v>
      </c>
      <c r="CJM18" s="310" t="s">
        <v>201</v>
      </c>
      <c r="CJN18" s="310" t="s">
        <v>201</v>
      </c>
      <c r="CJO18" s="310" t="s">
        <v>201</v>
      </c>
      <c r="CJP18" s="310" t="s">
        <v>201</v>
      </c>
      <c r="CJQ18" s="310" t="s">
        <v>201</v>
      </c>
      <c r="CJR18" s="310" t="s">
        <v>201</v>
      </c>
      <c r="CJS18" s="310" t="s">
        <v>201</v>
      </c>
      <c r="CJT18" s="310" t="s">
        <v>201</v>
      </c>
      <c r="CJU18" s="310" t="s">
        <v>201</v>
      </c>
      <c r="CJV18" s="310" t="s">
        <v>201</v>
      </c>
      <c r="CJW18" s="310" t="s">
        <v>201</v>
      </c>
      <c r="CJX18" s="310" t="s">
        <v>201</v>
      </c>
      <c r="CJY18" s="310" t="s">
        <v>201</v>
      </c>
      <c r="CJZ18" s="310" t="s">
        <v>201</v>
      </c>
      <c r="CKA18" s="310" t="s">
        <v>201</v>
      </c>
      <c r="CKB18" s="310" t="s">
        <v>201</v>
      </c>
      <c r="CKC18" s="310" t="s">
        <v>201</v>
      </c>
      <c r="CKD18" s="310" t="s">
        <v>201</v>
      </c>
      <c r="CKE18" s="310" t="s">
        <v>201</v>
      </c>
      <c r="CKF18" s="310" t="s">
        <v>201</v>
      </c>
      <c r="CKG18" s="310" t="s">
        <v>201</v>
      </c>
      <c r="CKH18" s="310" t="s">
        <v>201</v>
      </c>
      <c r="CKI18" s="310" t="s">
        <v>201</v>
      </c>
      <c r="CKJ18" s="310" t="s">
        <v>201</v>
      </c>
      <c r="CKK18" s="310" t="s">
        <v>201</v>
      </c>
      <c r="CKL18" s="310" t="s">
        <v>201</v>
      </c>
      <c r="CKM18" s="310" t="s">
        <v>201</v>
      </c>
      <c r="CKN18" s="310" t="s">
        <v>201</v>
      </c>
      <c r="CKO18" s="310" t="s">
        <v>201</v>
      </c>
      <c r="CKP18" s="310" t="s">
        <v>201</v>
      </c>
      <c r="CKQ18" s="310" t="s">
        <v>201</v>
      </c>
      <c r="CKR18" s="310" t="s">
        <v>201</v>
      </c>
      <c r="CKS18" s="310" t="s">
        <v>201</v>
      </c>
      <c r="CKT18" s="310" t="s">
        <v>201</v>
      </c>
      <c r="CKU18" s="310" t="s">
        <v>201</v>
      </c>
      <c r="CKV18" s="310" t="s">
        <v>201</v>
      </c>
      <c r="CKW18" s="310" t="s">
        <v>201</v>
      </c>
      <c r="CKX18" s="310" t="s">
        <v>201</v>
      </c>
      <c r="CKY18" s="310" t="s">
        <v>201</v>
      </c>
      <c r="CKZ18" s="310" t="s">
        <v>201</v>
      </c>
      <c r="CLA18" s="310" t="s">
        <v>201</v>
      </c>
      <c r="CLB18" s="310" t="s">
        <v>201</v>
      </c>
      <c r="CLC18" s="310" t="s">
        <v>201</v>
      </c>
      <c r="CLD18" s="310" t="s">
        <v>201</v>
      </c>
      <c r="CLE18" s="310" t="s">
        <v>201</v>
      </c>
      <c r="CLF18" s="310" t="s">
        <v>201</v>
      </c>
      <c r="CLG18" s="310" t="s">
        <v>201</v>
      </c>
      <c r="CLH18" s="310" t="s">
        <v>201</v>
      </c>
      <c r="CLI18" s="310" t="s">
        <v>201</v>
      </c>
      <c r="CLJ18" s="310" t="s">
        <v>201</v>
      </c>
      <c r="CLK18" s="310" t="s">
        <v>201</v>
      </c>
      <c r="CLL18" s="310" t="s">
        <v>201</v>
      </c>
      <c r="CLM18" s="310" t="s">
        <v>201</v>
      </c>
      <c r="CLN18" s="310" t="s">
        <v>201</v>
      </c>
      <c r="CLO18" s="310" t="s">
        <v>201</v>
      </c>
      <c r="CLP18" s="310" t="s">
        <v>201</v>
      </c>
      <c r="CLQ18" s="310" t="s">
        <v>201</v>
      </c>
      <c r="CLR18" s="310" t="s">
        <v>201</v>
      </c>
      <c r="CLS18" s="310" t="s">
        <v>201</v>
      </c>
      <c r="CLT18" s="310" t="s">
        <v>201</v>
      </c>
      <c r="CLU18" s="310" t="s">
        <v>201</v>
      </c>
      <c r="CLV18" s="310" t="s">
        <v>201</v>
      </c>
      <c r="CLW18" s="310" t="s">
        <v>201</v>
      </c>
      <c r="CLX18" s="310" t="s">
        <v>201</v>
      </c>
      <c r="CLY18" s="310" t="s">
        <v>201</v>
      </c>
      <c r="CLZ18" s="310" t="s">
        <v>201</v>
      </c>
      <c r="CMA18" s="310" t="s">
        <v>201</v>
      </c>
      <c r="CMB18" s="310" t="s">
        <v>201</v>
      </c>
      <c r="CMC18" s="310" t="s">
        <v>201</v>
      </c>
      <c r="CMD18" s="310" t="s">
        <v>201</v>
      </c>
      <c r="CME18" s="310" t="s">
        <v>201</v>
      </c>
      <c r="CMF18" s="310" t="s">
        <v>201</v>
      </c>
      <c r="CMG18" s="310" t="s">
        <v>201</v>
      </c>
      <c r="CMH18" s="310" t="s">
        <v>201</v>
      </c>
      <c r="CMI18" s="310" t="s">
        <v>201</v>
      </c>
      <c r="CMJ18" s="310" t="s">
        <v>201</v>
      </c>
      <c r="CMK18" s="310" t="s">
        <v>201</v>
      </c>
      <c r="CML18" s="310" t="s">
        <v>201</v>
      </c>
      <c r="CMM18" s="310" t="s">
        <v>201</v>
      </c>
      <c r="CMN18" s="310" t="s">
        <v>201</v>
      </c>
      <c r="CMO18" s="310" t="s">
        <v>201</v>
      </c>
      <c r="CMP18" s="310" t="s">
        <v>201</v>
      </c>
      <c r="CMQ18" s="310" t="s">
        <v>201</v>
      </c>
      <c r="CMR18" s="310" t="s">
        <v>201</v>
      </c>
      <c r="CMS18" s="310" t="s">
        <v>201</v>
      </c>
      <c r="CMT18" s="310" t="s">
        <v>201</v>
      </c>
      <c r="CMU18" s="310" t="s">
        <v>201</v>
      </c>
      <c r="CMV18" s="310" t="s">
        <v>201</v>
      </c>
      <c r="CMW18" s="310" t="s">
        <v>201</v>
      </c>
      <c r="CMX18" s="310" t="s">
        <v>201</v>
      </c>
      <c r="CMY18" s="310" t="s">
        <v>201</v>
      </c>
      <c r="CMZ18" s="310" t="s">
        <v>201</v>
      </c>
      <c r="CNA18" s="310" t="s">
        <v>201</v>
      </c>
      <c r="CNB18" s="310" t="s">
        <v>201</v>
      </c>
      <c r="CNC18" s="310" t="s">
        <v>201</v>
      </c>
      <c r="CND18" s="310" t="s">
        <v>201</v>
      </c>
      <c r="CNE18" s="310" t="s">
        <v>201</v>
      </c>
      <c r="CNF18" s="310" t="s">
        <v>201</v>
      </c>
      <c r="CNG18" s="310" t="s">
        <v>201</v>
      </c>
      <c r="CNH18" s="310" t="s">
        <v>201</v>
      </c>
      <c r="CNI18" s="310" t="s">
        <v>201</v>
      </c>
      <c r="CNJ18" s="310" t="s">
        <v>201</v>
      </c>
      <c r="CNK18" s="310" t="s">
        <v>201</v>
      </c>
      <c r="CNL18" s="310" t="s">
        <v>201</v>
      </c>
      <c r="CNM18" s="310" t="s">
        <v>201</v>
      </c>
      <c r="CNN18" s="310" t="s">
        <v>201</v>
      </c>
      <c r="CNO18" s="310" t="s">
        <v>201</v>
      </c>
      <c r="CNP18" s="310" t="s">
        <v>201</v>
      </c>
      <c r="CNQ18" s="310" t="s">
        <v>201</v>
      </c>
      <c r="CNR18" s="310" t="s">
        <v>201</v>
      </c>
      <c r="CNS18" s="310" t="s">
        <v>201</v>
      </c>
      <c r="CNT18" s="310" t="s">
        <v>201</v>
      </c>
      <c r="CNU18" s="310" t="s">
        <v>201</v>
      </c>
      <c r="CNV18" s="310" t="s">
        <v>201</v>
      </c>
      <c r="CNW18" s="310" t="s">
        <v>201</v>
      </c>
      <c r="CNX18" s="310" t="s">
        <v>201</v>
      </c>
      <c r="CNY18" s="310" t="s">
        <v>201</v>
      </c>
      <c r="CNZ18" s="310" t="s">
        <v>201</v>
      </c>
      <c r="COA18" s="310" t="s">
        <v>201</v>
      </c>
      <c r="COB18" s="310" t="s">
        <v>201</v>
      </c>
      <c r="COC18" s="310" t="s">
        <v>201</v>
      </c>
      <c r="COD18" s="310" t="s">
        <v>201</v>
      </c>
      <c r="COE18" s="310" t="s">
        <v>201</v>
      </c>
      <c r="COF18" s="310" t="s">
        <v>201</v>
      </c>
      <c r="COG18" s="310" t="s">
        <v>201</v>
      </c>
      <c r="COH18" s="310" t="s">
        <v>201</v>
      </c>
      <c r="COI18" s="310" t="s">
        <v>201</v>
      </c>
      <c r="COJ18" s="310" t="s">
        <v>201</v>
      </c>
      <c r="COK18" s="310" t="s">
        <v>201</v>
      </c>
      <c r="COL18" s="310" t="s">
        <v>201</v>
      </c>
      <c r="COM18" s="310" t="s">
        <v>201</v>
      </c>
      <c r="CON18" s="310" t="s">
        <v>201</v>
      </c>
      <c r="COO18" s="310" t="s">
        <v>201</v>
      </c>
      <c r="COP18" s="310" t="s">
        <v>201</v>
      </c>
      <c r="COQ18" s="310" t="s">
        <v>201</v>
      </c>
      <c r="COR18" s="310" t="s">
        <v>201</v>
      </c>
      <c r="COS18" s="310" t="s">
        <v>201</v>
      </c>
      <c r="COT18" s="310" t="s">
        <v>201</v>
      </c>
      <c r="COU18" s="310" t="s">
        <v>201</v>
      </c>
      <c r="COV18" s="310" t="s">
        <v>201</v>
      </c>
      <c r="COW18" s="310" t="s">
        <v>201</v>
      </c>
      <c r="COX18" s="310" t="s">
        <v>201</v>
      </c>
      <c r="COY18" s="310" t="s">
        <v>201</v>
      </c>
      <c r="COZ18" s="310" t="s">
        <v>201</v>
      </c>
      <c r="CPA18" s="310" t="s">
        <v>201</v>
      </c>
      <c r="CPB18" s="310" t="s">
        <v>201</v>
      </c>
      <c r="CPC18" s="310" t="s">
        <v>201</v>
      </c>
      <c r="CPD18" s="310" t="s">
        <v>201</v>
      </c>
      <c r="CPE18" s="310" t="s">
        <v>201</v>
      </c>
      <c r="CPF18" s="310" t="s">
        <v>201</v>
      </c>
      <c r="CPG18" s="310" t="s">
        <v>201</v>
      </c>
      <c r="CPH18" s="310" t="s">
        <v>201</v>
      </c>
      <c r="CPI18" s="310" t="s">
        <v>201</v>
      </c>
      <c r="CPJ18" s="310" t="s">
        <v>201</v>
      </c>
      <c r="CPK18" s="310" t="s">
        <v>201</v>
      </c>
      <c r="CPL18" s="310" t="s">
        <v>201</v>
      </c>
      <c r="CPM18" s="310" t="s">
        <v>201</v>
      </c>
      <c r="CPN18" s="310" t="s">
        <v>201</v>
      </c>
      <c r="CPO18" s="310" t="s">
        <v>201</v>
      </c>
      <c r="CPP18" s="310" t="s">
        <v>201</v>
      </c>
      <c r="CPQ18" s="310" t="s">
        <v>201</v>
      </c>
      <c r="CPR18" s="310" t="s">
        <v>201</v>
      </c>
      <c r="CPS18" s="310" t="s">
        <v>201</v>
      </c>
      <c r="CPT18" s="310" t="s">
        <v>201</v>
      </c>
      <c r="CPU18" s="310" t="s">
        <v>201</v>
      </c>
      <c r="CPV18" s="310" t="s">
        <v>201</v>
      </c>
      <c r="CPW18" s="310" t="s">
        <v>201</v>
      </c>
      <c r="CPX18" s="310" t="s">
        <v>201</v>
      </c>
      <c r="CPY18" s="310" t="s">
        <v>201</v>
      </c>
      <c r="CPZ18" s="310" t="s">
        <v>201</v>
      </c>
      <c r="CQA18" s="310" t="s">
        <v>201</v>
      </c>
      <c r="CQB18" s="310" t="s">
        <v>201</v>
      </c>
      <c r="CQC18" s="310" t="s">
        <v>201</v>
      </c>
      <c r="CQD18" s="310" t="s">
        <v>201</v>
      </c>
      <c r="CQE18" s="310" t="s">
        <v>201</v>
      </c>
      <c r="CQF18" s="310" t="s">
        <v>201</v>
      </c>
      <c r="CQG18" s="310" t="s">
        <v>201</v>
      </c>
      <c r="CQH18" s="310" t="s">
        <v>201</v>
      </c>
      <c r="CQI18" s="310" t="s">
        <v>201</v>
      </c>
      <c r="CQJ18" s="310" t="s">
        <v>201</v>
      </c>
      <c r="CQK18" s="310" t="s">
        <v>201</v>
      </c>
      <c r="CQL18" s="310" t="s">
        <v>201</v>
      </c>
      <c r="CQM18" s="310" t="s">
        <v>201</v>
      </c>
      <c r="CQN18" s="310" t="s">
        <v>201</v>
      </c>
      <c r="CQO18" s="310" t="s">
        <v>201</v>
      </c>
      <c r="CQP18" s="310" t="s">
        <v>201</v>
      </c>
      <c r="CQQ18" s="310" t="s">
        <v>201</v>
      </c>
      <c r="CQR18" s="310" t="s">
        <v>201</v>
      </c>
      <c r="CQS18" s="310" t="s">
        <v>201</v>
      </c>
      <c r="CQT18" s="310" t="s">
        <v>201</v>
      </c>
      <c r="CQU18" s="310" t="s">
        <v>201</v>
      </c>
      <c r="CQV18" s="310" t="s">
        <v>201</v>
      </c>
      <c r="CQW18" s="310" t="s">
        <v>201</v>
      </c>
      <c r="CQX18" s="310" t="s">
        <v>201</v>
      </c>
      <c r="CQY18" s="310" t="s">
        <v>201</v>
      </c>
      <c r="CQZ18" s="310" t="s">
        <v>201</v>
      </c>
      <c r="CRA18" s="310" t="s">
        <v>201</v>
      </c>
      <c r="CRB18" s="310" t="s">
        <v>201</v>
      </c>
      <c r="CRC18" s="310" t="s">
        <v>201</v>
      </c>
      <c r="CRD18" s="310" t="s">
        <v>201</v>
      </c>
      <c r="CRE18" s="310" t="s">
        <v>201</v>
      </c>
      <c r="CRF18" s="310" t="s">
        <v>201</v>
      </c>
      <c r="CRG18" s="310" t="s">
        <v>201</v>
      </c>
      <c r="CRH18" s="310" t="s">
        <v>201</v>
      </c>
      <c r="CRI18" s="310" t="s">
        <v>201</v>
      </c>
      <c r="CRJ18" s="310" t="s">
        <v>201</v>
      </c>
      <c r="CRK18" s="310" t="s">
        <v>201</v>
      </c>
      <c r="CRL18" s="310" t="s">
        <v>201</v>
      </c>
      <c r="CRM18" s="310" t="s">
        <v>201</v>
      </c>
      <c r="CRN18" s="310" t="s">
        <v>201</v>
      </c>
      <c r="CRO18" s="310" t="s">
        <v>201</v>
      </c>
      <c r="CRP18" s="310" t="s">
        <v>201</v>
      </c>
      <c r="CRQ18" s="310" t="s">
        <v>201</v>
      </c>
      <c r="CRR18" s="310" t="s">
        <v>201</v>
      </c>
      <c r="CRS18" s="310" t="s">
        <v>201</v>
      </c>
      <c r="CRT18" s="310" t="s">
        <v>201</v>
      </c>
      <c r="CRU18" s="310" t="s">
        <v>201</v>
      </c>
      <c r="CRV18" s="310" t="s">
        <v>201</v>
      </c>
      <c r="CRW18" s="310" t="s">
        <v>201</v>
      </c>
      <c r="CRX18" s="310" t="s">
        <v>201</v>
      </c>
      <c r="CRY18" s="310" t="s">
        <v>201</v>
      </c>
      <c r="CRZ18" s="310" t="s">
        <v>201</v>
      </c>
      <c r="CSA18" s="310" t="s">
        <v>201</v>
      </c>
      <c r="CSB18" s="310" t="s">
        <v>201</v>
      </c>
      <c r="CSC18" s="310" t="s">
        <v>201</v>
      </c>
      <c r="CSD18" s="310" t="s">
        <v>201</v>
      </c>
      <c r="CSE18" s="310" t="s">
        <v>201</v>
      </c>
      <c r="CSF18" s="310" t="s">
        <v>201</v>
      </c>
      <c r="CSG18" s="310" t="s">
        <v>201</v>
      </c>
      <c r="CSH18" s="310" t="s">
        <v>201</v>
      </c>
      <c r="CSI18" s="310" t="s">
        <v>201</v>
      </c>
      <c r="CSJ18" s="310" t="s">
        <v>201</v>
      </c>
      <c r="CSK18" s="310" t="s">
        <v>201</v>
      </c>
      <c r="CSL18" s="310" t="s">
        <v>201</v>
      </c>
      <c r="CSM18" s="310" t="s">
        <v>201</v>
      </c>
      <c r="CSN18" s="310" t="s">
        <v>201</v>
      </c>
      <c r="CSO18" s="310" t="s">
        <v>201</v>
      </c>
      <c r="CSP18" s="310" t="s">
        <v>201</v>
      </c>
      <c r="CSQ18" s="310" t="s">
        <v>201</v>
      </c>
      <c r="CSR18" s="310" t="s">
        <v>201</v>
      </c>
      <c r="CSS18" s="310" t="s">
        <v>201</v>
      </c>
      <c r="CST18" s="310" t="s">
        <v>201</v>
      </c>
      <c r="CSU18" s="310" t="s">
        <v>201</v>
      </c>
      <c r="CSV18" s="310" t="s">
        <v>201</v>
      </c>
      <c r="CSW18" s="310" t="s">
        <v>201</v>
      </c>
      <c r="CSX18" s="310" t="s">
        <v>201</v>
      </c>
      <c r="CSY18" s="310" t="s">
        <v>201</v>
      </c>
      <c r="CSZ18" s="310" t="s">
        <v>201</v>
      </c>
      <c r="CTA18" s="310" t="s">
        <v>201</v>
      </c>
      <c r="CTB18" s="310" t="s">
        <v>201</v>
      </c>
      <c r="CTC18" s="310" t="s">
        <v>201</v>
      </c>
      <c r="CTD18" s="310" t="s">
        <v>201</v>
      </c>
      <c r="CTE18" s="310" t="s">
        <v>201</v>
      </c>
      <c r="CTF18" s="310" t="s">
        <v>201</v>
      </c>
      <c r="CTG18" s="310" t="s">
        <v>201</v>
      </c>
      <c r="CTH18" s="310" t="s">
        <v>201</v>
      </c>
      <c r="CTI18" s="310" t="s">
        <v>201</v>
      </c>
      <c r="CTJ18" s="310" t="s">
        <v>201</v>
      </c>
      <c r="CTK18" s="310" t="s">
        <v>201</v>
      </c>
      <c r="CTL18" s="310" t="s">
        <v>201</v>
      </c>
      <c r="CTM18" s="310" t="s">
        <v>201</v>
      </c>
      <c r="CTN18" s="310" t="s">
        <v>201</v>
      </c>
      <c r="CTO18" s="310" t="s">
        <v>201</v>
      </c>
      <c r="CTP18" s="310" t="s">
        <v>201</v>
      </c>
      <c r="CTQ18" s="310" t="s">
        <v>201</v>
      </c>
      <c r="CTR18" s="310" t="s">
        <v>201</v>
      </c>
      <c r="CTS18" s="310" t="s">
        <v>201</v>
      </c>
      <c r="CTT18" s="310" t="s">
        <v>201</v>
      </c>
      <c r="CTU18" s="310" t="s">
        <v>201</v>
      </c>
      <c r="CTV18" s="310" t="s">
        <v>201</v>
      </c>
      <c r="CTW18" s="310" t="s">
        <v>201</v>
      </c>
      <c r="CTX18" s="310" t="s">
        <v>201</v>
      </c>
      <c r="CTY18" s="310" t="s">
        <v>201</v>
      </c>
      <c r="CTZ18" s="310" t="s">
        <v>201</v>
      </c>
      <c r="CUA18" s="310" t="s">
        <v>201</v>
      </c>
      <c r="CUB18" s="310" t="s">
        <v>201</v>
      </c>
      <c r="CUC18" s="310" t="s">
        <v>201</v>
      </c>
      <c r="CUD18" s="310" t="s">
        <v>201</v>
      </c>
      <c r="CUE18" s="310" t="s">
        <v>201</v>
      </c>
      <c r="CUF18" s="310" t="s">
        <v>201</v>
      </c>
      <c r="CUG18" s="310" t="s">
        <v>201</v>
      </c>
      <c r="CUH18" s="310" t="s">
        <v>201</v>
      </c>
      <c r="CUI18" s="310" t="s">
        <v>201</v>
      </c>
      <c r="CUJ18" s="310" t="s">
        <v>201</v>
      </c>
      <c r="CUK18" s="310" t="s">
        <v>201</v>
      </c>
      <c r="CUL18" s="310" t="s">
        <v>201</v>
      </c>
      <c r="CUM18" s="310" t="s">
        <v>201</v>
      </c>
      <c r="CUN18" s="310" t="s">
        <v>201</v>
      </c>
      <c r="CUO18" s="310" t="s">
        <v>201</v>
      </c>
      <c r="CUP18" s="310" t="s">
        <v>201</v>
      </c>
      <c r="CUQ18" s="310" t="s">
        <v>201</v>
      </c>
      <c r="CUR18" s="310" t="s">
        <v>201</v>
      </c>
      <c r="CUS18" s="310" t="s">
        <v>201</v>
      </c>
      <c r="CUT18" s="310" t="s">
        <v>201</v>
      </c>
      <c r="CUU18" s="310" t="s">
        <v>201</v>
      </c>
      <c r="CUV18" s="310" t="s">
        <v>201</v>
      </c>
      <c r="CUW18" s="310" t="s">
        <v>201</v>
      </c>
      <c r="CUX18" s="310" t="s">
        <v>201</v>
      </c>
      <c r="CUY18" s="310" t="s">
        <v>201</v>
      </c>
      <c r="CUZ18" s="310" t="s">
        <v>201</v>
      </c>
      <c r="CVA18" s="310" t="s">
        <v>201</v>
      </c>
      <c r="CVB18" s="310" t="s">
        <v>201</v>
      </c>
      <c r="CVC18" s="310" t="s">
        <v>201</v>
      </c>
      <c r="CVD18" s="310" t="s">
        <v>201</v>
      </c>
      <c r="CVE18" s="310" t="s">
        <v>201</v>
      </c>
      <c r="CVF18" s="310" t="s">
        <v>201</v>
      </c>
      <c r="CVG18" s="310" t="s">
        <v>201</v>
      </c>
      <c r="CVH18" s="310" t="s">
        <v>201</v>
      </c>
      <c r="CVI18" s="310" t="s">
        <v>201</v>
      </c>
      <c r="CVJ18" s="310" t="s">
        <v>201</v>
      </c>
      <c r="CVK18" s="310" t="s">
        <v>201</v>
      </c>
      <c r="CVL18" s="310" t="s">
        <v>201</v>
      </c>
      <c r="CVM18" s="310" t="s">
        <v>201</v>
      </c>
      <c r="CVN18" s="310" t="s">
        <v>201</v>
      </c>
      <c r="CVO18" s="310" t="s">
        <v>201</v>
      </c>
      <c r="CVP18" s="310" t="s">
        <v>201</v>
      </c>
      <c r="CVQ18" s="310" t="s">
        <v>201</v>
      </c>
      <c r="CVR18" s="310" t="s">
        <v>201</v>
      </c>
      <c r="CVS18" s="310" t="s">
        <v>201</v>
      </c>
      <c r="CVT18" s="310" t="s">
        <v>201</v>
      </c>
      <c r="CVU18" s="310" t="s">
        <v>201</v>
      </c>
      <c r="CVV18" s="310" t="s">
        <v>201</v>
      </c>
      <c r="CVW18" s="310" t="s">
        <v>201</v>
      </c>
      <c r="CVX18" s="310" t="s">
        <v>201</v>
      </c>
      <c r="CVY18" s="310" t="s">
        <v>201</v>
      </c>
      <c r="CVZ18" s="310" t="s">
        <v>201</v>
      </c>
      <c r="CWA18" s="310" t="s">
        <v>201</v>
      </c>
      <c r="CWB18" s="310" t="s">
        <v>201</v>
      </c>
      <c r="CWC18" s="310" t="s">
        <v>201</v>
      </c>
      <c r="CWD18" s="310" t="s">
        <v>201</v>
      </c>
      <c r="CWE18" s="310" t="s">
        <v>201</v>
      </c>
      <c r="CWF18" s="310" t="s">
        <v>201</v>
      </c>
      <c r="CWG18" s="310" t="s">
        <v>201</v>
      </c>
      <c r="CWH18" s="310" t="s">
        <v>201</v>
      </c>
      <c r="CWI18" s="310" t="s">
        <v>201</v>
      </c>
      <c r="CWJ18" s="310" t="s">
        <v>201</v>
      </c>
      <c r="CWK18" s="310" t="s">
        <v>201</v>
      </c>
      <c r="CWL18" s="310" t="s">
        <v>201</v>
      </c>
      <c r="CWM18" s="310" t="s">
        <v>201</v>
      </c>
      <c r="CWN18" s="310" t="s">
        <v>201</v>
      </c>
      <c r="CWO18" s="310" t="s">
        <v>201</v>
      </c>
      <c r="CWP18" s="310" t="s">
        <v>201</v>
      </c>
      <c r="CWQ18" s="310" t="s">
        <v>201</v>
      </c>
      <c r="CWR18" s="310" t="s">
        <v>201</v>
      </c>
      <c r="CWS18" s="310" t="s">
        <v>201</v>
      </c>
      <c r="CWT18" s="310" t="s">
        <v>201</v>
      </c>
      <c r="CWU18" s="310" t="s">
        <v>201</v>
      </c>
      <c r="CWV18" s="310" t="s">
        <v>201</v>
      </c>
      <c r="CWW18" s="310" t="s">
        <v>201</v>
      </c>
      <c r="CWX18" s="310" t="s">
        <v>201</v>
      </c>
      <c r="CWY18" s="310" t="s">
        <v>201</v>
      </c>
      <c r="CWZ18" s="310" t="s">
        <v>201</v>
      </c>
      <c r="CXA18" s="310" t="s">
        <v>201</v>
      </c>
      <c r="CXB18" s="310" t="s">
        <v>201</v>
      </c>
      <c r="CXC18" s="310" t="s">
        <v>201</v>
      </c>
      <c r="CXD18" s="310" t="s">
        <v>201</v>
      </c>
      <c r="CXE18" s="310" t="s">
        <v>201</v>
      </c>
      <c r="CXF18" s="310" t="s">
        <v>201</v>
      </c>
      <c r="CXG18" s="310" t="s">
        <v>201</v>
      </c>
      <c r="CXH18" s="310" t="s">
        <v>201</v>
      </c>
      <c r="CXI18" s="310" t="s">
        <v>201</v>
      </c>
      <c r="CXJ18" s="310" t="s">
        <v>201</v>
      </c>
      <c r="CXK18" s="310" t="s">
        <v>201</v>
      </c>
      <c r="CXL18" s="310" t="s">
        <v>201</v>
      </c>
      <c r="CXM18" s="310" t="s">
        <v>201</v>
      </c>
      <c r="CXN18" s="310" t="s">
        <v>201</v>
      </c>
      <c r="CXO18" s="310" t="s">
        <v>201</v>
      </c>
      <c r="CXP18" s="310" t="s">
        <v>201</v>
      </c>
      <c r="CXQ18" s="310" t="s">
        <v>201</v>
      </c>
      <c r="CXR18" s="310" t="s">
        <v>201</v>
      </c>
      <c r="CXS18" s="310" t="s">
        <v>201</v>
      </c>
      <c r="CXT18" s="310" t="s">
        <v>201</v>
      </c>
      <c r="CXU18" s="310" t="s">
        <v>201</v>
      </c>
      <c r="CXV18" s="310" t="s">
        <v>201</v>
      </c>
      <c r="CXW18" s="310" t="s">
        <v>201</v>
      </c>
      <c r="CXX18" s="310" t="s">
        <v>201</v>
      </c>
      <c r="CXY18" s="310" t="s">
        <v>201</v>
      </c>
      <c r="CXZ18" s="310" t="s">
        <v>201</v>
      </c>
      <c r="CYA18" s="310" t="s">
        <v>201</v>
      </c>
      <c r="CYB18" s="310" t="s">
        <v>201</v>
      </c>
      <c r="CYC18" s="310" t="s">
        <v>201</v>
      </c>
      <c r="CYD18" s="310" t="s">
        <v>201</v>
      </c>
      <c r="CYE18" s="310" t="s">
        <v>201</v>
      </c>
      <c r="CYF18" s="310" t="s">
        <v>201</v>
      </c>
      <c r="CYG18" s="310" t="s">
        <v>201</v>
      </c>
      <c r="CYH18" s="310" t="s">
        <v>201</v>
      </c>
      <c r="CYI18" s="310" t="s">
        <v>201</v>
      </c>
      <c r="CYJ18" s="310" t="s">
        <v>201</v>
      </c>
      <c r="CYK18" s="310" t="s">
        <v>201</v>
      </c>
      <c r="CYL18" s="310" t="s">
        <v>201</v>
      </c>
      <c r="CYM18" s="310" t="s">
        <v>201</v>
      </c>
      <c r="CYN18" s="310" t="s">
        <v>201</v>
      </c>
      <c r="CYO18" s="310" t="s">
        <v>201</v>
      </c>
      <c r="CYP18" s="310" t="s">
        <v>201</v>
      </c>
      <c r="CYQ18" s="310" t="s">
        <v>201</v>
      </c>
      <c r="CYR18" s="310" t="s">
        <v>201</v>
      </c>
      <c r="CYS18" s="310" t="s">
        <v>201</v>
      </c>
      <c r="CYT18" s="310" t="s">
        <v>201</v>
      </c>
      <c r="CYU18" s="310" t="s">
        <v>201</v>
      </c>
      <c r="CYV18" s="310" t="s">
        <v>201</v>
      </c>
      <c r="CYW18" s="310" t="s">
        <v>201</v>
      </c>
      <c r="CYX18" s="310" t="s">
        <v>201</v>
      </c>
      <c r="CYY18" s="310" t="s">
        <v>201</v>
      </c>
      <c r="CYZ18" s="310" t="s">
        <v>201</v>
      </c>
      <c r="CZA18" s="310" t="s">
        <v>201</v>
      </c>
      <c r="CZB18" s="310" t="s">
        <v>201</v>
      </c>
      <c r="CZC18" s="310" t="s">
        <v>201</v>
      </c>
      <c r="CZD18" s="310" t="s">
        <v>201</v>
      </c>
      <c r="CZE18" s="310" t="s">
        <v>201</v>
      </c>
      <c r="CZF18" s="310" t="s">
        <v>201</v>
      </c>
      <c r="CZG18" s="310" t="s">
        <v>201</v>
      </c>
      <c r="CZH18" s="310" t="s">
        <v>201</v>
      </c>
      <c r="CZI18" s="310" t="s">
        <v>201</v>
      </c>
      <c r="CZJ18" s="310" t="s">
        <v>201</v>
      </c>
      <c r="CZK18" s="310" t="s">
        <v>201</v>
      </c>
      <c r="CZL18" s="310" t="s">
        <v>201</v>
      </c>
      <c r="CZM18" s="310" t="s">
        <v>201</v>
      </c>
      <c r="CZN18" s="310" t="s">
        <v>201</v>
      </c>
      <c r="CZO18" s="310" t="s">
        <v>201</v>
      </c>
      <c r="CZP18" s="310" t="s">
        <v>201</v>
      </c>
      <c r="CZQ18" s="310" t="s">
        <v>201</v>
      </c>
      <c r="CZR18" s="310" t="s">
        <v>201</v>
      </c>
      <c r="CZS18" s="310" t="s">
        <v>201</v>
      </c>
      <c r="CZT18" s="310" t="s">
        <v>201</v>
      </c>
      <c r="CZU18" s="310" t="s">
        <v>201</v>
      </c>
      <c r="CZV18" s="310" t="s">
        <v>201</v>
      </c>
      <c r="CZW18" s="310" t="s">
        <v>201</v>
      </c>
      <c r="CZX18" s="310" t="s">
        <v>201</v>
      </c>
      <c r="CZY18" s="310" t="s">
        <v>201</v>
      </c>
      <c r="CZZ18" s="310" t="s">
        <v>201</v>
      </c>
      <c r="DAA18" s="310" t="s">
        <v>201</v>
      </c>
      <c r="DAB18" s="310" t="s">
        <v>201</v>
      </c>
      <c r="DAC18" s="310" t="s">
        <v>201</v>
      </c>
      <c r="DAD18" s="310" t="s">
        <v>201</v>
      </c>
      <c r="DAE18" s="310" t="s">
        <v>201</v>
      </c>
      <c r="DAF18" s="310" t="s">
        <v>201</v>
      </c>
      <c r="DAG18" s="310" t="s">
        <v>201</v>
      </c>
      <c r="DAH18" s="310" t="s">
        <v>201</v>
      </c>
      <c r="DAI18" s="310" t="s">
        <v>201</v>
      </c>
      <c r="DAJ18" s="310" t="s">
        <v>201</v>
      </c>
      <c r="DAK18" s="310" t="s">
        <v>201</v>
      </c>
      <c r="DAL18" s="310" t="s">
        <v>201</v>
      </c>
      <c r="DAM18" s="310" t="s">
        <v>201</v>
      </c>
      <c r="DAN18" s="310" t="s">
        <v>201</v>
      </c>
      <c r="DAO18" s="310" t="s">
        <v>201</v>
      </c>
      <c r="DAP18" s="310" t="s">
        <v>201</v>
      </c>
      <c r="DAQ18" s="310" t="s">
        <v>201</v>
      </c>
      <c r="DAR18" s="310" t="s">
        <v>201</v>
      </c>
      <c r="DAS18" s="310" t="s">
        <v>201</v>
      </c>
      <c r="DAT18" s="310" t="s">
        <v>201</v>
      </c>
      <c r="DAU18" s="310" t="s">
        <v>201</v>
      </c>
      <c r="DAV18" s="310" t="s">
        <v>201</v>
      </c>
      <c r="DAW18" s="310" t="s">
        <v>201</v>
      </c>
      <c r="DAX18" s="310" t="s">
        <v>201</v>
      </c>
      <c r="DAY18" s="310" t="s">
        <v>201</v>
      </c>
      <c r="DAZ18" s="310" t="s">
        <v>201</v>
      </c>
      <c r="DBA18" s="310" t="s">
        <v>201</v>
      </c>
      <c r="DBB18" s="310" t="s">
        <v>201</v>
      </c>
      <c r="DBC18" s="310" t="s">
        <v>201</v>
      </c>
      <c r="DBD18" s="310" t="s">
        <v>201</v>
      </c>
      <c r="DBE18" s="310" t="s">
        <v>201</v>
      </c>
      <c r="DBF18" s="310" t="s">
        <v>201</v>
      </c>
      <c r="DBG18" s="310" t="s">
        <v>201</v>
      </c>
      <c r="DBH18" s="310" t="s">
        <v>201</v>
      </c>
      <c r="DBI18" s="310" t="s">
        <v>201</v>
      </c>
      <c r="DBJ18" s="310" t="s">
        <v>201</v>
      </c>
      <c r="DBK18" s="310" t="s">
        <v>201</v>
      </c>
      <c r="DBL18" s="310" t="s">
        <v>201</v>
      </c>
      <c r="DBM18" s="310" t="s">
        <v>201</v>
      </c>
      <c r="DBN18" s="310" t="s">
        <v>201</v>
      </c>
      <c r="DBO18" s="310" t="s">
        <v>201</v>
      </c>
      <c r="DBP18" s="310" t="s">
        <v>201</v>
      </c>
      <c r="DBQ18" s="310" t="s">
        <v>201</v>
      </c>
      <c r="DBR18" s="310" t="s">
        <v>201</v>
      </c>
      <c r="DBS18" s="310" t="s">
        <v>201</v>
      </c>
      <c r="DBT18" s="310" t="s">
        <v>201</v>
      </c>
      <c r="DBU18" s="310" t="s">
        <v>201</v>
      </c>
      <c r="DBV18" s="310" t="s">
        <v>201</v>
      </c>
      <c r="DBW18" s="310" t="s">
        <v>201</v>
      </c>
      <c r="DBX18" s="310" t="s">
        <v>201</v>
      </c>
      <c r="DBY18" s="310" t="s">
        <v>201</v>
      </c>
      <c r="DBZ18" s="310" t="s">
        <v>201</v>
      </c>
      <c r="DCA18" s="310" t="s">
        <v>201</v>
      </c>
      <c r="DCB18" s="310" t="s">
        <v>201</v>
      </c>
      <c r="DCC18" s="310" t="s">
        <v>201</v>
      </c>
      <c r="DCD18" s="310" t="s">
        <v>201</v>
      </c>
      <c r="DCE18" s="310" t="s">
        <v>201</v>
      </c>
      <c r="DCF18" s="310" t="s">
        <v>201</v>
      </c>
      <c r="DCG18" s="310" t="s">
        <v>201</v>
      </c>
      <c r="DCH18" s="310" t="s">
        <v>201</v>
      </c>
      <c r="DCI18" s="310" t="s">
        <v>201</v>
      </c>
      <c r="DCJ18" s="310" t="s">
        <v>201</v>
      </c>
      <c r="DCK18" s="310" t="s">
        <v>201</v>
      </c>
      <c r="DCL18" s="310" t="s">
        <v>201</v>
      </c>
      <c r="DCM18" s="310" t="s">
        <v>201</v>
      </c>
      <c r="DCN18" s="310" t="s">
        <v>201</v>
      </c>
      <c r="DCO18" s="310" t="s">
        <v>201</v>
      </c>
      <c r="DCP18" s="310" t="s">
        <v>201</v>
      </c>
      <c r="DCQ18" s="310" t="s">
        <v>201</v>
      </c>
      <c r="DCR18" s="310" t="s">
        <v>201</v>
      </c>
      <c r="DCS18" s="310" t="s">
        <v>201</v>
      </c>
      <c r="DCT18" s="310" t="s">
        <v>201</v>
      </c>
      <c r="DCU18" s="310" t="s">
        <v>201</v>
      </c>
      <c r="DCV18" s="310" t="s">
        <v>201</v>
      </c>
      <c r="DCW18" s="310" t="s">
        <v>201</v>
      </c>
      <c r="DCX18" s="310" t="s">
        <v>201</v>
      </c>
      <c r="DCY18" s="310" t="s">
        <v>201</v>
      </c>
      <c r="DCZ18" s="310" t="s">
        <v>201</v>
      </c>
      <c r="DDA18" s="310" t="s">
        <v>201</v>
      </c>
      <c r="DDB18" s="310" t="s">
        <v>201</v>
      </c>
      <c r="DDC18" s="310" t="s">
        <v>201</v>
      </c>
      <c r="DDD18" s="310" t="s">
        <v>201</v>
      </c>
      <c r="DDE18" s="310" t="s">
        <v>201</v>
      </c>
      <c r="DDF18" s="310" t="s">
        <v>201</v>
      </c>
      <c r="DDG18" s="310" t="s">
        <v>201</v>
      </c>
      <c r="DDH18" s="310" t="s">
        <v>201</v>
      </c>
      <c r="DDI18" s="310" t="s">
        <v>201</v>
      </c>
      <c r="DDJ18" s="310" t="s">
        <v>201</v>
      </c>
      <c r="DDK18" s="310" t="s">
        <v>201</v>
      </c>
      <c r="DDL18" s="310" t="s">
        <v>201</v>
      </c>
      <c r="DDM18" s="310" t="s">
        <v>201</v>
      </c>
      <c r="DDN18" s="310" t="s">
        <v>201</v>
      </c>
      <c r="DDO18" s="310" t="s">
        <v>201</v>
      </c>
      <c r="DDP18" s="310" t="s">
        <v>201</v>
      </c>
      <c r="DDQ18" s="310" t="s">
        <v>201</v>
      </c>
      <c r="DDR18" s="310" t="s">
        <v>201</v>
      </c>
      <c r="DDS18" s="310" t="s">
        <v>201</v>
      </c>
      <c r="DDT18" s="310" t="s">
        <v>201</v>
      </c>
      <c r="DDU18" s="310" t="s">
        <v>201</v>
      </c>
      <c r="DDV18" s="310" t="s">
        <v>201</v>
      </c>
      <c r="DDW18" s="310" t="s">
        <v>201</v>
      </c>
      <c r="DDX18" s="310" t="s">
        <v>201</v>
      </c>
      <c r="DDY18" s="310" t="s">
        <v>201</v>
      </c>
      <c r="DDZ18" s="310" t="s">
        <v>201</v>
      </c>
      <c r="DEA18" s="310" t="s">
        <v>201</v>
      </c>
      <c r="DEB18" s="310" t="s">
        <v>201</v>
      </c>
      <c r="DEC18" s="310" t="s">
        <v>201</v>
      </c>
      <c r="DED18" s="310" t="s">
        <v>201</v>
      </c>
      <c r="DEE18" s="310" t="s">
        <v>201</v>
      </c>
      <c r="DEF18" s="310" t="s">
        <v>201</v>
      </c>
      <c r="DEG18" s="310" t="s">
        <v>201</v>
      </c>
      <c r="DEH18" s="310" t="s">
        <v>201</v>
      </c>
      <c r="DEI18" s="310" t="s">
        <v>201</v>
      </c>
      <c r="DEJ18" s="310" t="s">
        <v>201</v>
      </c>
      <c r="DEK18" s="310" t="s">
        <v>201</v>
      </c>
      <c r="DEL18" s="310" t="s">
        <v>201</v>
      </c>
      <c r="DEM18" s="310" t="s">
        <v>201</v>
      </c>
      <c r="DEN18" s="310" t="s">
        <v>201</v>
      </c>
      <c r="DEO18" s="310" t="s">
        <v>201</v>
      </c>
      <c r="DEP18" s="310" t="s">
        <v>201</v>
      </c>
      <c r="DEQ18" s="310" t="s">
        <v>201</v>
      </c>
      <c r="DER18" s="310" t="s">
        <v>201</v>
      </c>
      <c r="DES18" s="310" t="s">
        <v>201</v>
      </c>
      <c r="DET18" s="310" t="s">
        <v>201</v>
      </c>
      <c r="DEU18" s="310" t="s">
        <v>201</v>
      </c>
      <c r="DEV18" s="310" t="s">
        <v>201</v>
      </c>
      <c r="DEW18" s="310" t="s">
        <v>201</v>
      </c>
      <c r="DEX18" s="310" t="s">
        <v>201</v>
      </c>
      <c r="DEY18" s="310" t="s">
        <v>201</v>
      </c>
      <c r="DEZ18" s="310" t="s">
        <v>201</v>
      </c>
      <c r="DFA18" s="310" t="s">
        <v>201</v>
      </c>
      <c r="DFB18" s="310" t="s">
        <v>201</v>
      </c>
      <c r="DFC18" s="310" t="s">
        <v>201</v>
      </c>
      <c r="DFD18" s="310" t="s">
        <v>201</v>
      </c>
      <c r="DFE18" s="310" t="s">
        <v>201</v>
      </c>
      <c r="DFF18" s="310" t="s">
        <v>201</v>
      </c>
      <c r="DFG18" s="310" t="s">
        <v>201</v>
      </c>
      <c r="DFH18" s="310" t="s">
        <v>201</v>
      </c>
      <c r="DFI18" s="310" t="s">
        <v>201</v>
      </c>
      <c r="DFJ18" s="310" t="s">
        <v>201</v>
      </c>
      <c r="DFK18" s="310" t="s">
        <v>201</v>
      </c>
      <c r="DFL18" s="310" t="s">
        <v>201</v>
      </c>
      <c r="DFM18" s="310" t="s">
        <v>201</v>
      </c>
      <c r="DFN18" s="310" t="s">
        <v>201</v>
      </c>
      <c r="DFO18" s="310" t="s">
        <v>201</v>
      </c>
      <c r="DFP18" s="310" t="s">
        <v>201</v>
      </c>
      <c r="DFQ18" s="310" t="s">
        <v>201</v>
      </c>
      <c r="DFR18" s="310" t="s">
        <v>201</v>
      </c>
      <c r="DFS18" s="310" t="s">
        <v>201</v>
      </c>
      <c r="DFT18" s="310" t="s">
        <v>201</v>
      </c>
      <c r="DFU18" s="310" t="s">
        <v>201</v>
      </c>
      <c r="DFV18" s="310" t="s">
        <v>201</v>
      </c>
      <c r="DFW18" s="310" t="s">
        <v>201</v>
      </c>
      <c r="DFX18" s="310" t="s">
        <v>201</v>
      </c>
      <c r="DFY18" s="310" t="s">
        <v>201</v>
      </c>
      <c r="DFZ18" s="310" t="s">
        <v>201</v>
      </c>
      <c r="DGA18" s="310" t="s">
        <v>201</v>
      </c>
      <c r="DGB18" s="310" t="s">
        <v>201</v>
      </c>
      <c r="DGC18" s="310" t="s">
        <v>201</v>
      </c>
      <c r="DGD18" s="310" t="s">
        <v>201</v>
      </c>
      <c r="DGE18" s="310" t="s">
        <v>201</v>
      </c>
      <c r="DGF18" s="310" t="s">
        <v>201</v>
      </c>
      <c r="DGG18" s="310" t="s">
        <v>201</v>
      </c>
      <c r="DGH18" s="310" t="s">
        <v>201</v>
      </c>
      <c r="DGI18" s="310" t="s">
        <v>201</v>
      </c>
      <c r="DGJ18" s="310" t="s">
        <v>201</v>
      </c>
      <c r="DGK18" s="310" t="s">
        <v>201</v>
      </c>
      <c r="DGL18" s="310" t="s">
        <v>201</v>
      </c>
      <c r="DGM18" s="310" t="s">
        <v>201</v>
      </c>
      <c r="DGN18" s="310" t="s">
        <v>201</v>
      </c>
      <c r="DGO18" s="310" t="s">
        <v>201</v>
      </c>
      <c r="DGP18" s="310" t="s">
        <v>201</v>
      </c>
      <c r="DGQ18" s="310" t="s">
        <v>201</v>
      </c>
      <c r="DGR18" s="310" t="s">
        <v>201</v>
      </c>
      <c r="DGS18" s="310" t="s">
        <v>201</v>
      </c>
      <c r="DGT18" s="310" t="s">
        <v>201</v>
      </c>
      <c r="DGU18" s="310" t="s">
        <v>201</v>
      </c>
      <c r="DGV18" s="310" t="s">
        <v>201</v>
      </c>
      <c r="DGW18" s="310" t="s">
        <v>201</v>
      </c>
      <c r="DGX18" s="310" t="s">
        <v>201</v>
      </c>
      <c r="DGY18" s="310" t="s">
        <v>201</v>
      </c>
      <c r="DGZ18" s="310" t="s">
        <v>201</v>
      </c>
      <c r="DHA18" s="310" t="s">
        <v>201</v>
      </c>
      <c r="DHB18" s="310" t="s">
        <v>201</v>
      </c>
      <c r="DHC18" s="310" t="s">
        <v>201</v>
      </c>
      <c r="DHD18" s="310" t="s">
        <v>201</v>
      </c>
      <c r="DHE18" s="310" t="s">
        <v>201</v>
      </c>
      <c r="DHF18" s="310" t="s">
        <v>201</v>
      </c>
      <c r="DHG18" s="310" t="s">
        <v>201</v>
      </c>
      <c r="DHH18" s="310" t="s">
        <v>201</v>
      </c>
      <c r="DHI18" s="310" t="s">
        <v>201</v>
      </c>
      <c r="DHJ18" s="310" t="s">
        <v>201</v>
      </c>
      <c r="DHK18" s="310" t="s">
        <v>201</v>
      </c>
      <c r="DHL18" s="310" t="s">
        <v>201</v>
      </c>
      <c r="DHM18" s="310" t="s">
        <v>201</v>
      </c>
      <c r="DHN18" s="310" t="s">
        <v>201</v>
      </c>
      <c r="DHO18" s="310" t="s">
        <v>201</v>
      </c>
      <c r="DHP18" s="310" t="s">
        <v>201</v>
      </c>
      <c r="DHQ18" s="310" t="s">
        <v>201</v>
      </c>
      <c r="DHR18" s="310" t="s">
        <v>201</v>
      </c>
      <c r="DHS18" s="310" t="s">
        <v>201</v>
      </c>
      <c r="DHT18" s="310" t="s">
        <v>201</v>
      </c>
      <c r="DHU18" s="310" t="s">
        <v>201</v>
      </c>
      <c r="DHV18" s="310" t="s">
        <v>201</v>
      </c>
      <c r="DHW18" s="310" t="s">
        <v>201</v>
      </c>
      <c r="DHX18" s="310" t="s">
        <v>201</v>
      </c>
      <c r="DHY18" s="310" t="s">
        <v>201</v>
      </c>
      <c r="DHZ18" s="310" t="s">
        <v>201</v>
      </c>
      <c r="DIA18" s="310" t="s">
        <v>201</v>
      </c>
      <c r="DIB18" s="310" t="s">
        <v>201</v>
      </c>
      <c r="DIC18" s="310" t="s">
        <v>201</v>
      </c>
      <c r="DID18" s="310" t="s">
        <v>201</v>
      </c>
      <c r="DIE18" s="310" t="s">
        <v>201</v>
      </c>
      <c r="DIF18" s="310" t="s">
        <v>201</v>
      </c>
      <c r="DIG18" s="310" t="s">
        <v>201</v>
      </c>
      <c r="DIH18" s="310" t="s">
        <v>201</v>
      </c>
      <c r="DII18" s="310" t="s">
        <v>201</v>
      </c>
      <c r="DIJ18" s="310" t="s">
        <v>201</v>
      </c>
      <c r="DIK18" s="310" t="s">
        <v>201</v>
      </c>
      <c r="DIL18" s="310" t="s">
        <v>201</v>
      </c>
      <c r="DIM18" s="310" t="s">
        <v>201</v>
      </c>
      <c r="DIN18" s="310" t="s">
        <v>201</v>
      </c>
      <c r="DIO18" s="310" t="s">
        <v>201</v>
      </c>
      <c r="DIP18" s="310" t="s">
        <v>201</v>
      </c>
      <c r="DIQ18" s="310" t="s">
        <v>201</v>
      </c>
      <c r="DIR18" s="310" t="s">
        <v>201</v>
      </c>
      <c r="DIS18" s="310" t="s">
        <v>201</v>
      </c>
      <c r="DIT18" s="310" t="s">
        <v>201</v>
      </c>
      <c r="DIU18" s="310" t="s">
        <v>201</v>
      </c>
      <c r="DIV18" s="310" t="s">
        <v>201</v>
      </c>
      <c r="DIW18" s="310" t="s">
        <v>201</v>
      </c>
      <c r="DIX18" s="310" t="s">
        <v>201</v>
      </c>
      <c r="DIY18" s="310" t="s">
        <v>201</v>
      </c>
      <c r="DIZ18" s="310" t="s">
        <v>201</v>
      </c>
      <c r="DJA18" s="310" t="s">
        <v>201</v>
      </c>
      <c r="DJB18" s="310" t="s">
        <v>201</v>
      </c>
      <c r="DJC18" s="310" t="s">
        <v>201</v>
      </c>
      <c r="DJD18" s="310" t="s">
        <v>201</v>
      </c>
      <c r="DJE18" s="310" t="s">
        <v>201</v>
      </c>
      <c r="DJF18" s="310" t="s">
        <v>201</v>
      </c>
      <c r="DJG18" s="310" t="s">
        <v>201</v>
      </c>
      <c r="DJH18" s="310" t="s">
        <v>201</v>
      </c>
      <c r="DJI18" s="310" t="s">
        <v>201</v>
      </c>
      <c r="DJJ18" s="310" t="s">
        <v>201</v>
      </c>
      <c r="DJK18" s="310" t="s">
        <v>201</v>
      </c>
      <c r="DJL18" s="310" t="s">
        <v>201</v>
      </c>
      <c r="DJM18" s="310" t="s">
        <v>201</v>
      </c>
      <c r="DJN18" s="310" t="s">
        <v>201</v>
      </c>
      <c r="DJO18" s="310" t="s">
        <v>201</v>
      </c>
      <c r="DJP18" s="310" t="s">
        <v>201</v>
      </c>
      <c r="DJQ18" s="310" t="s">
        <v>201</v>
      </c>
      <c r="DJR18" s="310" t="s">
        <v>201</v>
      </c>
      <c r="DJS18" s="310" t="s">
        <v>201</v>
      </c>
      <c r="DJT18" s="310" t="s">
        <v>201</v>
      </c>
      <c r="DJU18" s="310" t="s">
        <v>201</v>
      </c>
      <c r="DJV18" s="310" t="s">
        <v>201</v>
      </c>
      <c r="DJW18" s="310" t="s">
        <v>201</v>
      </c>
      <c r="DJX18" s="310" t="s">
        <v>201</v>
      </c>
      <c r="DJY18" s="310" t="s">
        <v>201</v>
      </c>
      <c r="DJZ18" s="310" t="s">
        <v>201</v>
      </c>
      <c r="DKA18" s="310" t="s">
        <v>201</v>
      </c>
      <c r="DKB18" s="310" t="s">
        <v>201</v>
      </c>
      <c r="DKC18" s="310" t="s">
        <v>201</v>
      </c>
      <c r="DKD18" s="310" t="s">
        <v>201</v>
      </c>
      <c r="DKE18" s="310" t="s">
        <v>201</v>
      </c>
      <c r="DKF18" s="310" t="s">
        <v>201</v>
      </c>
      <c r="DKG18" s="310" t="s">
        <v>201</v>
      </c>
      <c r="DKH18" s="310" t="s">
        <v>201</v>
      </c>
      <c r="DKI18" s="310" t="s">
        <v>201</v>
      </c>
      <c r="DKJ18" s="310" t="s">
        <v>201</v>
      </c>
      <c r="DKK18" s="310" t="s">
        <v>201</v>
      </c>
      <c r="DKL18" s="310" t="s">
        <v>201</v>
      </c>
      <c r="DKM18" s="310" t="s">
        <v>201</v>
      </c>
      <c r="DKN18" s="310" t="s">
        <v>201</v>
      </c>
      <c r="DKO18" s="310" t="s">
        <v>201</v>
      </c>
      <c r="DKP18" s="310" t="s">
        <v>201</v>
      </c>
      <c r="DKQ18" s="310" t="s">
        <v>201</v>
      </c>
      <c r="DKR18" s="310" t="s">
        <v>201</v>
      </c>
      <c r="DKS18" s="310" t="s">
        <v>201</v>
      </c>
      <c r="DKT18" s="310" t="s">
        <v>201</v>
      </c>
      <c r="DKU18" s="310" t="s">
        <v>201</v>
      </c>
      <c r="DKV18" s="310" t="s">
        <v>201</v>
      </c>
      <c r="DKW18" s="310" t="s">
        <v>201</v>
      </c>
      <c r="DKX18" s="310" t="s">
        <v>201</v>
      </c>
      <c r="DKY18" s="310" t="s">
        <v>201</v>
      </c>
      <c r="DKZ18" s="310" t="s">
        <v>201</v>
      </c>
      <c r="DLA18" s="310" t="s">
        <v>201</v>
      </c>
      <c r="DLB18" s="310" t="s">
        <v>201</v>
      </c>
      <c r="DLC18" s="310" t="s">
        <v>201</v>
      </c>
      <c r="DLD18" s="310" t="s">
        <v>201</v>
      </c>
      <c r="DLE18" s="310" t="s">
        <v>201</v>
      </c>
      <c r="DLF18" s="310" t="s">
        <v>201</v>
      </c>
      <c r="DLG18" s="310" t="s">
        <v>201</v>
      </c>
      <c r="DLH18" s="310" t="s">
        <v>201</v>
      </c>
      <c r="DLI18" s="310" t="s">
        <v>201</v>
      </c>
      <c r="DLJ18" s="310" t="s">
        <v>201</v>
      </c>
      <c r="DLK18" s="310" t="s">
        <v>201</v>
      </c>
      <c r="DLL18" s="310" t="s">
        <v>201</v>
      </c>
      <c r="DLM18" s="310" t="s">
        <v>201</v>
      </c>
      <c r="DLN18" s="310" t="s">
        <v>201</v>
      </c>
      <c r="DLO18" s="310" t="s">
        <v>201</v>
      </c>
      <c r="DLP18" s="310" t="s">
        <v>201</v>
      </c>
      <c r="DLQ18" s="310" t="s">
        <v>201</v>
      </c>
      <c r="DLR18" s="310" t="s">
        <v>201</v>
      </c>
      <c r="DLS18" s="310" t="s">
        <v>201</v>
      </c>
      <c r="DLT18" s="310" t="s">
        <v>201</v>
      </c>
      <c r="DLU18" s="310" t="s">
        <v>201</v>
      </c>
      <c r="DLV18" s="310" t="s">
        <v>201</v>
      </c>
      <c r="DLW18" s="310" t="s">
        <v>201</v>
      </c>
      <c r="DLX18" s="310" t="s">
        <v>201</v>
      </c>
      <c r="DLY18" s="310" t="s">
        <v>201</v>
      </c>
      <c r="DLZ18" s="310" t="s">
        <v>201</v>
      </c>
      <c r="DMA18" s="310" t="s">
        <v>201</v>
      </c>
      <c r="DMB18" s="310" t="s">
        <v>201</v>
      </c>
      <c r="DMC18" s="310" t="s">
        <v>201</v>
      </c>
      <c r="DMD18" s="310" t="s">
        <v>201</v>
      </c>
      <c r="DME18" s="310" t="s">
        <v>201</v>
      </c>
      <c r="DMF18" s="310" t="s">
        <v>201</v>
      </c>
      <c r="DMG18" s="310" t="s">
        <v>201</v>
      </c>
      <c r="DMH18" s="310" t="s">
        <v>201</v>
      </c>
      <c r="DMI18" s="310" t="s">
        <v>201</v>
      </c>
      <c r="DMJ18" s="310" t="s">
        <v>201</v>
      </c>
      <c r="DMK18" s="310" t="s">
        <v>201</v>
      </c>
      <c r="DML18" s="310" t="s">
        <v>201</v>
      </c>
      <c r="DMM18" s="310" t="s">
        <v>201</v>
      </c>
      <c r="DMN18" s="310" t="s">
        <v>201</v>
      </c>
      <c r="DMO18" s="310" t="s">
        <v>201</v>
      </c>
      <c r="DMP18" s="310" t="s">
        <v>201</v>
      </c>
      <c r="DMQ18" s="310" t="s">
        <v>201</v>
      </c>
      <c r="DMR18" s="310" t="s">
        <v>201</v>
      </c>
      <c r="DMS18" s="310" t="s">
        <v>201</v>
      </c>
      <c r="DMT18" s="310" t="s">
        <v>201</v>
      </c>
      <c r="DMU18" s="310" t="s">
        <v>201</v>
      </c>
      <c r="DMV18" s="310" t="s">
        <v>201</v>
      </c>
      <c r="DMW18" s="310" t="s">
        <v>201</v>
      </c>
      <c r="DMX18" s="310" t="s">
        <v>201</v>
      </c>
      <c r="DMY18" s="310" t="s">
        <v>201</v>
      </c>
      <c r="DMZ18" s="310" t="s">
        <v>201</v>
      </c>
      <c r="DNA18" s="310" t="s">
        <v>201</v>
      </c>
      <c r="DNB18" s="310" t="s">
        <v>201</v>
      </c>
      <c r="DNC18" s="310" t="s">
        <v>201</v>
      </c>
      <c r="DND18" s="310" t="s">
        <v>201</v>
      </c>
      <c r="DNE18" s="310" t="s">
        <v>201</v>
      </c>
      <c r="DNF18" s="310" t="s">
        <v>201</v>
      </c>
      <c r="DNG18" s="310" t="s">
        <v>201</v>
      </c>
      <c r="DNH18" s="310" t="s">
        <v>201</v>
      </c>
      <c r="DNI18" s="310" t="s">
        <v>201</v>
      </c>
      <c r="DNJ18" s="310" t="s">
        <v>201</v>
      </c>
      <c r="DNK18" s="310" t="s">
        <v>201</v>
      </c>
      <c r="DNL18" s="310" t="s">
        <v>201</v>
      </c>
      <c r="DNM18" s="310" t="s">
        <v>201</v>
      </c>
      <c r="DNN18" s="310" t="s">
        <v>201</v>
      </c>
      <c r="DNO18" s="310" t="s">
        <v>201</v>
      </c>
      <c r="DNP18" s="310" t="s">
        <v>201</v>
      </c>
      <c r="DNQ18" s="310" t="s">
        <v>201</v>
      </c>
      <c r="DNR18" s="310" t="s">
        <v>201</v>
      </c>
      <c r="DNS18" s="310" t="s">
        <v>201</v>
      </c>
      <c r="DNT18" s="310" t="s">
        <v>201</v>
      </c>
      <c r="DNU18" s="310" t="s">
        <v>201</v>
      </c>
      <c r="DNV18" s="310" t="s">
        <v>201</v>
      </c>
      <c r="DNW18" s="310" t="s">
        <v>201</v>
      </c>
      <c r="DNX18" s="310" t="s">
        <v>201</v>
      </c>
      <c r="DNY18" s="310" t="s">
        <v>201</v>
      </c>
      <c r="DNZ18" s="310" t="s">
        <v>201</v>
      </c>
      <c r="DOA18" s="310" t="s">
        <v>201</v>
      </c>
      <c r="DOB18" s="310" t="s">
        <v>201</v>
      </c>
      <c r="DOC18" s="310" t="s">
        <v>201</v>
      </c>
      <c r="DOD18" s="310" t="s">
        <v>201</v>
      </c>
      <c r="DOE18" s="310" t="s">
        <v>201</v>
      </c>
      <c r="DOF18" s="310" t="s">
        <v>201</v>
      </c>
      <c r="DOG18" s="310" t="s">
        <v>201</v>
      </c>
      <c r="DOH18" s="310" t="s">
        <v>201</v>
      </c>
      <c r="DOI18" s="310" t="s">
        <v>201</v>
      </c>
      <c r="DOJ18" s="310" t="s">
        <v>201</v>
      </c>
      <c r="DOK18" s="310" t="s">
        <v>201</v>
      </c>
      <c r="DOL18" s="310" t="s">
        <v>201</v>
      </c>
      <c r="DOM18" s="310" t="s">
        <v>201</v>
      </c>
      <c r="DON18" s="310" t="s">
        <v>201</v>
      </c>
      <c r="DOO18" s="310" t="s">
        <v>201</v>
      </c>
      <c r="DOP18" s="310" t="s">
        <v>201</v>
      </c>
      <c r="DOQ18" s="310" t="s">
        <v>201</v>
      </c>
      <c r="DOR18" s="310" t="s">
        <v>201</v>
      </c>
      <c r="DOS18" s="310" t="s">
        <v>201</v>
      </c>
      <c r="DOT18" s="310" t="s">
        <v>201</v>
      </c>
      <c r="DOU18" s="310" t="s">
        <v>201</v>
      </c>
      <c r="DOV18" s="310" t="s">
        <v>201</v>
      </c>
      <c r="DOW18" s="310" t="s">
        <v>201</v>
      </c>
      <c r="DOX18" s="310" t="s">
        <v>201</v>
      </c>
      <c r="DOY18" s="310" t="s">
        <v>201</v>
      </c>
      <c r="DOZ18" s="310" t="s">
        <v>201</v>
      </c>
      <c r="DPA18" s="310" t="s">
        <v>201</v>
      </c>
      <c r="DPB18" s="310" t="s">
        <v>201</v>
      </c>
      <c r="DPC18" s="310" t="s">
        <v>201</v>
      </c>
      <c r="DPD18" s="310" t="s">
        <v>201</v>
      </c>
      <c r="DPE18" s="310" t="s">
        <v>201</v>
      </c>
      <c r="DPF18" s="310" t="s">
        <v>201</v>
      </c>
      <c r="DPG18" s="310" t="s">
        <v>201</v>
      </c>
      <c r="DPH18" s="310" t="s">
        <v>201</v>
      </c>
      <c r="DPI18" s="310" t="s">
        <v>201</v>
      </c>
      <c r="DPJ18" s="310" t="s">
        <v>201</v>
      </c>
      <c r="DPK18" s="310" t="s">
        <v>201</v>
      </c>
      <c r="DPL18" s="310" t="s">
        <v>201</v>
      </c>
      <c r="DPM18" s="310" t="s">
        <v>201</v>
      </c>
      <c r="DPN18" s="310" t="s">
        <v>201</v>
      </c>
      <c r="DPO18" s="310" t="s">
        <v>201</v>
      </c>
      <c r="DPP18" s="310" t="s">
        <v>201</v>
      </c>
      <c r="DPQ18" s="310" t="s">
        <v>201</v>
      </c>
      <c r="DPR18" s="310" t="s">
        <v>201</v>
      </c>
      <c r="DPS18" s="310" t="s">
        <v>201</v>
      </c>
      <c r="DPT18" s="310" t="s">
        <v>201</v>
      </c>
      <c r="DPU18" s="310" t="s">
        <v>201</v>
      </c>
      <c r="DPV18" s="310" t="s">
        <v>201</v>
      </c>
      <c r="DPW18" s="310" t="s">
        <v>201</v>
      </c>
      <c r="DPX18" s="310" t="s">
        <v>201</v>
      </c>
      <c r="DPY18" s="310" t="s">
        <v>201</v>
      </c>
      <c r="DPZ18" s="310" t="s">
        <v>201</v>
      </c>
      <c r="DQA18" s="310" t="s">
        <v>201</v>
      </c>
      <c r="DQB18" s="310" t="s">
        <v>201</v>
      </c>
      <c r="DQC18" s="310" t="s">
        <v>201</v>
      </c>
      <c r="DQD18" s="310" t="s">
        <v>201</v>
      </c>
      <c r="DQE18" s="310" t="s">
        <v>201</v>
      </c>
      <c r="DQF18" s="310" t="s">
        <v>201</v>
      </c>
      <c r="DQG18" s="310" t="s">
        <v>201</v>
      </c>
      <c r="DQH18" s="310" t="s">
        <v>201</v>
      </c>
      <c r="DQI18" s="310" t="s">
        <v>201</v>
      </c>
      <c r="DQJ18" s="310" t="s">
        <v>201</v>
      </c>
      <c r="DQK18" s="310" t="s">
        <v>201</v>
      </c>
      <c r="DQL18" s="310" t="s">
        <v>201</v>
      </c>
      <c r="DQM18" s="310" t="s">
        <v>201</v>
      </c>
      <c r="DQN18" s="310" t="s">
        <v>201</v>
      </c>
      <c r="DQO18" s="310" t="s">
        <v>201</v>
      </c>
      <c r="DQP18" s="310" t="s">
        <v>201</v>
      </c>
      <c r="DQQ18" s="310" t="s">
        <v>201</v>
      </c>
      <c r="DQR18" s="310" t="s">
        <v>201</v>
      </c>
      <c r="DQS18" s="310" t="s">
        <v>201</v>
      </c>
      <c r="DQT18" s="310" t="s">
        <v>201</v>
      </c>
      <c r="DQU18" s="310" t="s">
        <v>201</v>
      </c>
      <c r="DQV18" s="310" t="s">
        <v>201</v>
      </c>
      <c r="DQW18" s="310" t="s">
        <v>201</v>
      </c>
      <c r="DQX18" s="310" t="s">
        <v>201</v>
      </c>
      <c r="DQY18" s="310" t="s">
        <v>201</v>
      </c>
      <c r="DQZ18" s="310" t="s">
        <v>201</v>
      </c>
      <c r="DRA18" s="310" t="s">
        <v>201</v>
      </c>
      <c r="DRB18" s="310" t="s">
        <v>201</v>
      </c>
      <c r="DRC18" s="310" t="s">
        <v>201</v>
      </c>
      <c r="DRD18" s="310" t="s">
        <v>201</v>
      </c>
      <c r="DRE18" s="310" t="s">
        <v>201</v>
      </c>
      <c r="DRF18" s="310" t="s">
        <v>201</v>
      </c>
      <c r="DRG18" s="310" t="s">
        <v>201</v>
      </c>
      <c r="DRH18" s="310" t="s">
        <v>201</v>
      </c>
      <c r="DRI18" s="310" t="s">
        <v>201</v>
      </c>
      <c r="DRJ18" s="310" t="s">
        <v>201</v>
      </c>
      <c r="DRK18" s="310" t="s">
        <v>201</v>
      </c>
      <c r="DRL18" s="310" t="s">
        <v>201</v>
      </c>
      <c r="DRM18" s="310" t="s">
        <v>201</v>
      </c>
      <c r="DRN18" s="310" t="s">
        <v>201</v>
      </c>
      <c r="DRO18" s="310" t="s">
        <v>201</v>
      </c>
      <c r="DRP18" s="310" t="s">
        <v>201</v>
      </c>
      <c r="DRQ18" s="310" t="s">
        <v>201</v>
      </c>
      <c r="DRR18" s="310" t="s">
        <v>201</v>
      </c>
      <c r="DRS18" s="310" t="s">
        <v>201</v>
      </c>
      <c r="DRT18" s="310" t="s">
        <v>201</v>
      </c>
      <c r="DRU18" s="310" t="s">
        <v>201</v>
      </c>
      <c r="DRV18" s="310" t="s">
        <v>201</v>
      </c>
      <c r="DRW18" s="310" t="s">
        <v>201</v>
      </c>
      <c r="DRX18" s="310" t="s">
        <v>201</v>
      </c>
      <c r="DRY18" s="310" t="s">
        <v>201</v>
      </c>
      <c r="DRZ18" s="310" t="s">
        <v>201</v>
      </c>
      <c r="DSA18" s="310" t="s">
        <v>201</v>
      </c>
      <c r="DSB18" s="310" t="s">
        <v>201</v>
      </c>
      <c r="DSC18" s="310" t="s">
        <v>201</v>
      </c>
      <c r="DSD18" s="310" t="s">
        <v>201</v>
      </c>
      <c r="DSE18" s="310" t="s">
        <v>201</v>
      </c>
      <c r="DSF18" s="310" t="s">
        <v>201</v>
      </c>
      <c r="DSG18" s="310" t="s">
        <v>201</v>
      </c>
      <c r="DSH18" s="310" t="s">
        <v>201</v>
      </c>
      <c r="DSI18" s="310" t="s">
        <v>201</v>
      </c>
      <c r="DSJ18" s="310" t="s">
        <v>201</v>
      </c>
      <c r="DSK18" s="310" t="s">
        <v>201</v>
      </c>
      <c r="DSL18" s="310" t="s">
        <v>201</v>
      </c>
      <c r="DSM18" s="310" t="s">
        <v>201</v>
      </c>
      <c r="DSN18" s="310" t="s">
        <v>201</v>
      </c>
      <c r="DSO18" s="310" t="s">
        <v>201</v>
      </c>
      <c r="DSP18" s="310" t="s">
        <v>201</v>
      </c>
      <c r="DSQ18" s="310" t="s">
        <v>201</v>
      </c>
      <c r="DSR18" s="310" t="s">
        <v>201</v>
      </c>
      <c r="DSS18" s="310" t="s">
        <v>201</v>
      </c>
      <c r="DST18" s="310" t="s">
        <v>201</v>
      </c>
      <c r="DSU18" s="310" t="s">
        <v>201</v>
      </c>
      <c r="DSV18" s="310" t="s">
        <v>201</v>
      </c>
      <c r="DSW18" s="310" t="s">
        <v>201</v>
      </c>
      <c r="DSX18" s="310" t="s">
        <v>201</v>
      </c>
      <c r="DSY18" s="310" t="s">
        <v>201</v>
      </c>
      <c r="DSZ18" s="310" t="s">
        <v>201</v>
      </c>
      <c r="DTA18" s="310" t="s">
        <v>201</v>
      </c>
      <c r="DTB18" s="310" t="s">
        <v>201</v>
      </c>
      <c r="DTC18" s="310" t="s">
        <v>201</v>
      </c>
      <c r="DTD18" s="310" t="s">
        <v>201</v>
      </c>
      <c r="DTE18" s="310" t="s">
        <v>201</v>
      </c>
      <c r="DTF18" s="310" t="s">
        <v>201</v>
      </c>
      <c r="DTG18" s="310" t="s">
        <v>201</v>
      </c>
      <c r="DTH18" s="310" t="s">
        <v>201</v>
      </c>
      <c r="DTI18" s="310" t="s">
        <v>201</v>
      </c>
      <c r="DTJ18" s="310" t="s">
        <v>201</v>
      </c>
      <c r="DTK18" s="310" t="s">
        <v>201</v>
      </c>
      <c r="DTL18" s="310" t="s">
        <v>201</v>
      </c>
      <c r="DTM18" s="310" t="s">
        <v>201</v>
      </c>
      <c r="DTN18" s="310" t="s">
        <v>201</v>
      </c>
      <c r="DTO18" s="310" t="s">
        <v>201</v>
      </c>
      <c r="DTP18" s="310" t="s">
        <v>201</v>
      </c>
      <c r="DTQ18" s="310" t="s">
        <v>201</v>
      </c>
      <c r="DTR18" s="310" t="s">
        <v>201</v>
      </c>
      <c r="DTS18" s="310" t="s">
        <v>201</v>
      </c>
      <c r="DTT18" s="310" t="s">
        <v>201</v>
      </c>
      <c r="DTU18" s="310" t="s">
        <v>201</v>
      </c>
      <c r="DTV18" s="310" t="s">
        <v>201</v>
      </c>
      <c r="DTW18" s="310" t="s">
        <v>201</v>
      </c>
      <c r="DTX18" s="310" t="s">
        <v>201</v>
      </c>
      <c r="DTY18" s="310" t="s">
        <v>201</v>
      </c>
      <c r="DTZ18" s="310" t="s">
        <v>201</v>
      </c>
      <c r="DUA18" s="310" t="s">
        <v>201</v>
      </c>
      <c r="DUB18" s="310" t="s">
        <v>201</v>
      </c>
      <c r="DUC18" s="310" t="s">
        <v>201</v>
      </c>
      <c r="DUD18" s="310" t="s">
        <v>201</v>
      </c>
      <c r="DUE18" s="310" t="s">
        <v>201</v>
      </c>
      <c r="DUF18" s="310" t="s">
        <v>201</v>
      </c>
      <c r="DUG18" s="310" t="s">
        <v>201</v>
      </c>
      <c r="DUH18" s="310" t="s">
        <v>201</v>
      </c>
      <c r="DUI18" s="310" t="s">
        <v>201</v>
      </c>
      <c r="DUJ18" s="310" t="s">
        <v>201</v>
      </c>
      <c r="DUK18" s="310" t="s">
        <v>201</v>
      </c>
      <c r="DUL18" s="310" t="s">
        <v>201</v>
      </c>
      <c r="DUM18" s="310" t="s">
        <v>201</v>
      </c>
      <c r="DUN18" s="310" t="s">
        <v>201</v>
      </c>
      <c r="DUO18" s="310" t="s">
        <v>201</v>
      </c>
      <c r="DUP18" s="310" t="s">
        <v>201</v>
      </c>
      <c r="DUQ18" s="310" t="s">
        <v>201</v>
      </c>
      <c r="DUR18" s="310" t="s">
        <v>201</v>
      </c>
      <c r="DUS18" s="310" t="s">
        <v>201</v>
      </c>
      <c r="DUT18" s="310" t="s">
        <v>201</v>
      </c>
      <c r="DUU18" s="310" t="s">
        <v>201</v>
      </c>
      <c r="DUV18" s="310" t="s">
        <v>201</v>
      </c>
      <c r="DUW18" s="310" t="s">
        <v>201</v>
      </c>
      <c r="DUX18" s="310" t="s">
        <v>201</v>
      </c>
      <c r="DUY18" s="310" t="s">
        <v>201</v>
      </c>
      <c r="DUZ18" s="310" t="s">
        <v>201</v>
      </c>
      <c r="DVA18" s="310" t="s">
        <v>201</v>
      </c>
      <c r="DVB18" s="310" t="s">
        <v>201</v>
      </c>
      <c r="DVC18" s="310" t="s">
        <v>201</v>
      </c>
      <c r="DVD18" s="310" t="s">
        <v>201</v>
      </c>
      <c r="DVE18" s="310" t="s">
        <v>201</v>
      </c>
      <c r="DVF18" s="310" t="s">
        <v>201</v>
      </c>
      <c r="DVG18" s="310" t="s">
        <v>201</v>
      </c>
      <c r="DVH18" s="310" t="s">
        <v>201</v>
      </c>
      <c r="DVI18" s="310" t="s">
        <v>201</v>
      </c>
      <c r="DVJ18" s="310" t="s">
        <v>201</v>
      </c>
      <c r="DVK18" s="310" t="s">
        <v>201</v>
      </c>
      <c r="DVL18" s="310" t="s">
        <v>201</v>
      </c>
      <c r="DVM18" s="310" t="s">
        <v>201</v>
      </c>
      <c r="DVN18" s="310" t="s">
        <v>201</v>
      </c>
      <c r="DVO18" s="310" t="s">
        <v>201</v>
      </c>
      <c r="DVP18" s="310" t="s">
        <v>201</v>
      </c>
      <c r="DVQ18" s="310" t="s">
        <v>201</v>
      </c>
      <c r="DVR18" s="310" t="s">
        <v>201</v>
      </c>
      <c r="DVS18" s="310" t="s">
        <v>201</v>
      </c>
      <c r="DVT18" s="310" t="s">
        <v>201</v>
      </c>
      <c r="DVU18" s="310" t="s">
        <v>201</v>
      </c>
      <c r="DVV18" s="310" t="s">
        <v>201</v>
      </c>
      <c r="DVW18" s="310" t="s">
        <v>201</v>
      </c>
      <c r="DVX18" s="310" t="s">
        <v>201</v>
      </c>
      <c r="DVY18" s="310" t="s">
        <v>201</v>
      </c>
      <c r="DVZ18" s="310" t="s">
        <v>201</v>
      </c>
      <c r="DWA18" s="310" t="s">
        <v>201</v>
      </c>
      <c r="DWB18" s="310" t="s">
        <v>201</v>
      </c>
      <c r="DWC18" s="310" t="s">
        <v>201</v>
      </c>
      <c r="DWD18" s="310" t="s">
        <v>201</v>
      </c>
      <c r="DWE18" s="310" t="s">
        <v>201</v>
      </c>
      <c r="DWF18" s="310" t="s">
        <v>201</v>
      </c>
      <c r="DWG18" s="310" t="s">
        <v>201</v>
      </c>
      <c r="DWH18" s="310" t="s">
        <v>201</v>
      </c>
      <c r="DWI18" s="310" t="s">
        <v>201</v>
      </c>
      <c r="DWJ18" s="310" t="s">
        <v>201</v>
      </c>
      <c r="DWK18" s="310" t="s">
        <v>201</v>
      </c>
      <c r="DWL18" s="310" t="s">
        <v>201</v>
      </c>
      <c r="DWM18" s="310" t="s">
        <v>201</v>
      </c>
      <c r="DWN18" s="310" t="s">
        <v>201</v>
      </c>
      <c r="DWO18" s="310" t="s">
        <v>201</v>
      </c>
      <c r="DWP18" s="310" t="s">
        <v>201</v>
      </c>
      <c r="DWQ18" s="310" t="s">
        <v>201</v>
      </c>
      <c r="DWR18" s="310" t="s">
        <v>201</v>
      </c>
      <c r="DWS18" s="310" t="s">
        <v>201</v>
      </c>
      <c r="DWT18" s="310" t="s">
        <v>201</v>
      </c>
      <c r="DWU18" s="310" t="s">
        <v>201</v>
      </c>
      <c r="DWV18" s="310" t="s">
        <v>201</v>
      </c>
      <c r="DWW18" s="310" t="s">
        <v>201</v>
      </c>
      <c r="DWX18" s="310" t="s">
        <v>201</v>
      </c>
      <c r="DWY18" s="310" t="s">
        <v>201</v>
      </c>
      <c r="DWZ18" s="310" t="s">
        <v>201</v>
      </c>
      <c r="DXA18" s="310" t="s">
        <v>201</v>
      </c>
      <c r="DXB18" s="310" t="s">
        <v>201</v>
      </c>
      <c r="DXC18" s="310" t="s">
        <v>201</v>
      </c>
      <c r="DXD18" s="310" t="s">
        <v>201</v>
      </c>
      <c r="DXE18" s="310" t="s">
        <v>201</v>
      </c>
      <c r="DXF18" s="310" t="s">
        <v>201</v>
      </c>
      <c r="DXG18" s="310" t="s">
        <v>201</v>
      </c>
      <c r="DXH18" s="310" t="s">
        <v>201</v>
      </c>
      <c r="DXI18" s="310" t="s">
        <v>201</v>
      </c>
      <c r="DXJ18" s="310" t="s">
        <v>201</v>
      </c>
      <c r="DXK18" s="310" t="s">
        <v>201</v>
      </c>
      <c r="DXL18" s="310" t="s">
        <v>201</v>
      </c>
      <c r="DXM18" s="310" t="s">
        <v>201</v>
      </c>
      <c r="DXN18" s="310" t="s">
        <v>201</v>
      </c>
      <c r="DXO18" s="310" t="s">
        <v>201</v>
      </c>
      <c r="DXP18" s="310" t="s">
        <v>201</v>
      </c>
      <c r="DXQ18" s="310" t="s">
        <v>201</v>
      </c>
      <c r="DXR18" s="310" t="s">
        <v>201</v>
      </c>
      <c r="DXS18" s="310" t="s">
        <v>201</v>
      </c>
      <c r="DXT18" s="310" t="s">
        <v>201</v>
      </c>
      <c r="DXU18" s="310" t="s">
        <v>201</v>
      </c>
      <c r="DXV18" s="310" t="s">
        <v>201</v>
      </c>
      <c r="DXW18" s="310" t="s">
        <v>201</v>
      </c>
      <c r="DXX18" s="310" t="s">
        <v>201</v>
      </c>
      <c r="DXY18" s="310" t="s">
        <v>201</v>
      </c>
      <c r="DXZ18" s="310" t="s">
        <v>201</v>
      </c>
      <c r="DYA18" s="310" t="s">
        <v>201</v>
      </c>
      <c r="DYB18" s="310" t="s">
        <v>201</v>
      </c>
      <c r="DYC18" s="310" t="s">
        <v>201</v>
      </c>
      <c r="DYD18" s="310" t="s">
        <v>201</v>
      </c>
      <c r="DYE18" s="310" t="s">
        <v>201</v>
      </c>
      <c r="DYF18" s="310" t="s">
        <v>201</v>
      </c>
      <c r="DYG18" s="310" t="s">
        <v>201</v>
      </c>
      <c r="DYH18" s="310" t="s">
        <v>201</v>
      </c>
      <c r="DYI18" s="310" t="s">
        <v>201</v>
      </c>
      <c r="DYJ18" s="310" t="s">
        <v>201</v>
      </c>
      <c r="DYK18" s="310" t="s">
        <v>201</v>
      </c>
      <c r="DYL18" s="310" t="s">
        <v>201</v>
      </c>
      <c r="DYM18" s="310" t="s">
        <v>201</v>
      </c>
      <c r="DYN18" s="310" t="s">
        <v>201</v>
      </c>
      <c r="DYO18" s="310" t="s">
        <v>201</v>
      </c>
      <c r="DYP18" s="310" t="s">
        <v>201</v>
      </c>
      <c r="DYQ18" s="310" t="s">
        <v>201</v>
      </c>
      <c r="DYR18" s="310" t="s">
        <v>201</v>
      </c>
      <c r="DYS18" s="310" t="s">
        <v>201</v>
      </c>
      <c r="DYT18" s="310" t="s">
        <v>201</v>
      </c>
      <c r="DYU18" s="310" t="s">
        <v>201</v>
      </c>
      <c r="DYV18" s="310" t="s">
        <v>201</v>
      </c>
      <c r="DYW18" s="310" t="s">
        <v>201</v>
      </c>
      <c r="DYX18" s="310" t="s">
        <v>201</v>
      </c>
      <c r="DYY18" s="310" t="s">
        <v>201</v>
      </c>
      <c r="DYZ18" s="310" t="s">
        <v>201</v>
      </c>
      <c r="DZA18" s="310" t="s">
        <v>201</v>
      </c>
      <c r="DZB18" s="310" t="s">
        <v>201</v>
      </c>
      <c r="DZC18" s="310" t="s">
        <v>201</v>
      </c>
      <c r="DZD18" s="310" t="s">
        <v>201</v>
      </c>
      <c r="DZE18" s="310" t="s">
        <v>201</v>
      </c>
      <c r="DZF18" s="310" t="s">
        <v>201</v>
      </c>
      <c r="DZG18" s="310" t="s">
        <v>201</v>
      </c>
      <c r="DZH18" s="310" t="s">
        <v>201</v>
      </c>
      <c r="DZI18" s="310" t="s">
        <v>201</v>
      </c>
      <c r="DZJ18" s="310" t="s">
        <v>201</v>
      </c>
      <c r="DZK18" s="310" t="s">
        <v>201</v>
      </c>
      <c r="DZL18" s="310" t="s">
        <v>201</v>
      </c>
      <c r="DZM18" s="310" t="s">
        <v>201</v>
      </c>
      <c r="DZN18" s="310" t="s">
        <v>201</v>
      </c>
      <c r="DZO18" s="310" t="s">
        <v>201</v>
      </c>
      <c r="DZP18" s="310" t="s">
        <v>201</v>
      </c>
      <c r="DZQ18" s="310" t="s">
        <v>201</v>
      </c>
      <c r="DZR18" s="310" t="s">
        <v>201</v>
      </c>
      <c r="DZS18" s="310" t="s">
        <v>201</v>
      </c>
      <c r="DZT18" s="310" t="s">
        <v>201</v>
      </c>
      <c r="DZU18" s="310" t="s">
        <v>201</v>
      </c>
      <c r="DZV18" s="310" t="s">
        <v>201</v>
      </c>
      <c r="DZW18" s="310" t="s">
        <v>201</v>
      </c>
      <c r="DZX18" s="310" t="s">
        <v>201</v>
      </c>
      <c r="DZY18" s="310" t="s">
        <v>201</v>
      </c>
      <c r="DZZ18" s="310" t="s">
        <v>201</v>
      </c>
      <c r="EAA18" s="310" t="s">
        <v>201</v>
      </c>
      <c r="EAB18" s="310" t="s">
        <v>201</v>
      </c>
      <c r="EAC18" s="310" t="s">
        <v>201</v>
      </c>
      <c r="EAD18" s="310" t="s">
        <v>201</v>
      </c>
      <c r="EAE18" s="310" t="s">
        <v>201</v>
      </c>
      <c r="EAF18" s="310" t="s">
        <v>201</v>
      </c>
      <c r="EAG18" s="310" t="s">
        <v>201</v>
      </c>
      <c r="EAH18" s="310" t="s">
        <v>201</v>
      </c>
      <c r="EAI18" s="310" t="s">
        <v>201</v>
      </c>
      <c r="EAJ18" s="310" t="s">
        <v>201</v>
      </c>
      <c r="EAK18" s="310" t="s">
        <v>201</v>
      </c>
      <c r="EAL18" s="310" t="s">
        <v>201</v>
      </c>
      <c r="EAM18" s="310" t="s">
        <v>201</v>
      </c>
      <c r="EAN18" s="310" t="s">
        <v>201</v>
      </c>
      <c r="EAO18" s="310" t="s">
        <v>201</v>
      </c>
      <c r="EAP18" s="310" t="s">
        <v>201</v>
      </c>
      <c r="EAQ18" s="310" t="s">
        <v>201</v>
      </c>
      <c r="EAR18" s="310" t="s">
        <v>201</v>
      </c>
      <c r="EAS18" s="310" t="s">
        <v>201</v>
      </c>
      <c r="EAT18" s="310" t="s">
        <v>201</v>
      </c>
      <c r="EAU18" s="310" t="s">
        <v>201</v>
      </c>
      <c r="EAV18" s="310" t="s">
        <v>201</v>
      </c>
      <c r="EAW18" s="310" t="s">
        <v>201</v>
      </c>
      <c r="EAX18" s="310" t="s">
        <v>201</v>
      </c>
      <c r="EAY18" s="310" t="s">
        <v>201</v>
      </c>
      <c r="EAZ18" s="310" t="s">
        <v>201</v>
      </c>
      <c r="EBA18" s="310" t="s">
        <v>201</v>
      </c>
      <c r="EBB18" s="310" t="s">
        <v>201</v>
      </c>
      <c r="EBC18" s="310" t="s">
        <v>201</v>
      </c>
      <c r="EBD18" s="310" t="s">
        <v>201</v>
      </c>
      <c r="EBE18" s="310" t="s">
        <v>201</v>
      </c>
      <c r="EBF18" s="310" t="s">
        <v>201</v>
      </c>
      <c r="EBG18" s="310" t="s">
        <v>201</v>
      </c>
      <c r="EBH18" s="310" t="s">
        <v>201</v>
      </c>
      <c r="EBI18" s="310" t="s">
        <v>201</v>
      </c>
      <c r="EBJ18" s="310" t="s">
        <v>201</v>
      </c>
      <c r="EBK18" s="310" t="s">
        <v>201</v>
      </c>
      <c r="EBL18" s="310" t="s">
        <v>201</v>
      </c>
      <c r="EBM18" s="310" t="s">
        <v>201</v>
      </c>
      <c r="EBN18" s="310" t="s">
        <v>201</v>
      </c>
      <c r="EBO18" s="310" t="s">
        <v>201</v>
      </c>
      <c r="EBP18" s="310" t="s">
        <v>201</v>
      </c>
      <c r="EBQ18" s="310" t="s">
        <v>201</v>
      </c>
      <c r="EBR18" s="310" t="s">
        <v>201</v>
      </c>
      <c r="EBS18" s="310" t="s">
        <v>201</v>
      </c>
      <c r="EBT18" s="310" t="s">
        <v>201</v>
      </c>
      <c r="EBU18" s="310" t="s">
        <v>201</v>
      </c>
      <c r="EBV18" s="310" t="s">
        <v>201</v>
      </c>
      <c r="EBW18" s="310" t="s">
        <v>201</v>
      </c>
      <c r="EBX18" s="310" t="s">
        <v>201</v>
      </c>
      <c r="EBY18" s="310" t="s">
        <v>201</v>
      </c>
      <c r="EBZ18" s="310" t="s">
        <v>201</v>
      </c>
      <c r="ECA18" s="310" t="s">
        <v>201</v>
      </c>
      <c r="ECB18" s="310" t="s">
        <v>201</v>
      </c>
      <c r="ECC18" s="310" t="s">
        <v>201</v>
      </c>
      <c r="ECD18" s="310" t="s">
        <v>201</v>
      </c>
      <c r="ECE18" s="310" t="s">
        <v>201</v>
      </c>
      <c r="ECF18" s="310" t="s">
        <v>201</v>
      </c>
      <c r="ECG18" s="310" t="s">
        <v>201</v>
      </c>
      <c r="ECH18" s="310" t="s">
        <v>201</v>
      </c>
      <c r="ECI18" s="310" t="s">
        <v>201</v>
      </c>
      <c r="ECJ18" s="310" t="s">
        <v>201</v>
      </c>
      <c r="ECK18" s="310" t="s">
        <v>201</v>
      </c>
      <c r="ECL18" s="310" t="s">
        <v>201</v>
      </c>
      <c r="ECM18" s="310" t="s">
        <v>201</v>
      </c>
      <c r="ECN18" s="310" t="s">
        <v>201</v>
      </c>
      <c r="ECO18" s="310" t="s">
        <v>201</v>
      </c>
      <c r="ECP18" s="310" t="s">
        <v>201</v>
      </c>
      <c r="ECQ18" s="310" t="s">
        <v>201</v>
      </c>
      <c r="ECR18" s="310" t="s">
        <v>201</v>
      </c>
      <c r="ECS18" s="310" t="s">
        <v>201</v>
      </c>
      <c r="ECT18" s="310" t="s">
        <v>201</v>
      </c>
      <c r="ECU18" s="310" t="s">
        <v>201</v>
      </c>
      <c r="ECV18" s="310" t="s">
        <v>201</v>
      </c>
      <c r="ECW18" s="310" t="s">
        <v>201</v>
      </c>
      <c r="ECX18" s="310" t="s">
        <v>201</v>
      </c>
      <c r="ECY18" s="310" t="s">
        <v>201</v>
      </c>
      <c r="ECZ18" s="310" t="s">
        <v>201</v>
      </c>
      <c r="EDA18" s="310" t="s">
        <v>201</v>
      </c>
      <c r="EDB18" s="310" t="s">
        <v>201</v>
      </c>
      <c r="EDC18" s="310" t="s">
        <v>201</v>
      </c>
      <c r="EDD18" s="310" t="s">
        <v>201</v>
      </c>
      <c r="EDE18" s="310" t="s">
        <v>201</v>
      </c>
      <c r="EDF18" s="310" t="s">
        <v>201</v>
      </c>
      <c r="EDG18" s="310" t="s">
        <v>201</v>
      </c>
      <c r="EDH18" s="310" t="s">
        <v>201</v>
      </c>
      <c r="EDI18" s="310" t="s">
        <v>201</v>
      </c>
      <c r="EDJ18" s="310" t="s">
        <v>201</v>
      </c>
      <c r="EDK18" s="310" t="s">
        <v>201</v>
      </c>
      <c r="EDL18" s="310" t="s">
        <v>201</v>
      </c>
      <c r="EDM18" s="310" t="s">
        <v>201</v>
      </c>
      <c r="EDN18" s="310" t="s">
        <v>201</v>
      </c>
      <c r="EDO18" s="310" t="s">
        <v>201</v>
      </c>
      <c r="EDP18" s="310" t="s">
        <v>201</v>
      </c>
      <c r="EDQ18" s="310" t="s">
        <v>201</v>
      </c>
      <c r="EDR18" s="310" t="s">
        <v>201</v>
      </c>
      <c r="EDS18" s="310" t="s">
        <v>201</v>
      </c>
      <c r="EDT18" s="310" t="s">
        <v>201</v>
      </c>
      <c r="EDU18" s="310" t="s">
        <v>201</v>
      </c>
      <c r="EDV18" s="310" t="s">
        <v>201</v>
      </c>
      <c r="EDW18" s="310" t="s">
        <v>201</v>
      </c>
      <c r="EDX18" s="310" t="s">
        <v>201</v>
      </c>
      <c r="EDY18" s="310" t="s">
        <v>201</v>
      </c>
      <c r="EDZ18" s="310" t="s">
        <v>201</v>
      </c>
      <c r="EEA18" s="310" t="s">
        <v>201</v>
      </c>
      <c r="EEB18" s="310" t="s">
        <v>201</v>
      </c>
      <c r="EEC18" s="310" t="s">
        <v>201</v>
      </c>
      <c r="EED18" s="310" t="s">
        <v>201</v>
      </c>
      <c r="EEE18" s="310" t="s">
        <v>201</v>
      </c>
      <c r="EEF18" s="310" t="s">
        <v>201</v>
      </c>
      <c r="EEG18" s="310" t="s">
        <v>201</v>
      </c>
      <c r="EEH18" s="310" t="s">
        <v>201</v>
      </c>
      <c r="EEI18" s="310" t="s">
        <v>201</v>
      </c>
      <c r="EEJ18" s="310" t="s">
        <v>201</v>
      </c>
      <c r="EEK18" s="310" t="s">
        <v>201</v>
      </c>
      <c r="EEL18" s="310" t="s">
        <v>201</v>
      </c>
      <c r="EEM18" s="310" t="s">
        <v>201</v>
      </c>
      <c r="EEN18" s="310" t="s">
        <v>201</v>
      </c>
      <c r="EEO18" s="310" t="s">
        <v>201</v>
      </c>
      <c r="EEP18" s="310" t="s">
        <v>201</v>
      </c>
      <c r="EEQ18" s="310" t="s">
        <v>201</v>
      </c>
      <c r="EER18" s="310" t="s">
        <v>201</v>
      </c>
      <c r="EES18" s="310" t="s">
        <v>201</v>
      </c>
      <c r="EET18" s="310" t="s">
        <v>201</v>
      </c>
      <c r="EEU18" s="310" t="s">
        <v>201</v>
      </c>
      <c r="EEV18" s="310" t="s">
        <v>201</v>
      </c>
      <c r="EEW18" s="310" t="s">
        <v>201</v>
      </c>
      <c r="EEX18" s="310" t="s">
        <v>201</v>
      </c>
      <c r="EEY18" s="310" t="s">
        <v>201</v>
      </c>
      <c r="EEZ18" s="310" t="s">
        <v>201</v>
      </c>
      <c r="EFA18" s="310" t="s">
        <v>201</v>
      </c>
      <c r="EFB18" s="310" t="s">
        <v>201</v>
      </c>
      <c r="EFC18" s="310" t="s">
        <v>201</v>
      </c>
      <c r="EFD18" s="310" t="s">
        <v>201</v>
      </c>
      <c r="EFE18" s="310" t="s">
        <v>201</v>
      </c>
      <c r="EFF18" s="310" t="s">
        <v>201</v>
      </c>
      <c r="EFG18" s="310" t="s">
        <v>201</v>
      </c>
      <c r="EFH18" s="310" t="s">
        <v>201</v>
      </c>
      <c r="EFI18" s="310" t="s">
        <v>201</v>
      </c>
      <c r="EFJ18" s="310" t="s">
        <v>201</v>
      </c>
      <c r="EFK18" s="310" t="s">
        <v>201</v>
      </c>
      <c r="EFL18" s="310" t="s">
        <v>201</v>
      </c>
      <c r="EFM18" s="310" t="s">
        <v>201</v>
      </c>
      <c r="EFN18" s="310" t="s">
        <v>201</v>
      </c>
      <c r="EFO18" s="310" t="s">
        <v>201</v>
      </c>
      <c r="EFP18" s="310" t="s">
        <v>201</v>
      </c>
      <c r="EFQ18" s="310" t="s">
        <v>201</v>
      </c>
      <c r="EFR18" s="310" t="s">
        <v>201</v>
      </c>
      <c r="EFS18" s="310" t="s">
        <v>201</v>
      </c>
      <c r="EFT18" s="310" t="s">
        <v>201</v>
      </c>
      <c r="EFU18" s="310" t="s">
        <v>201</v>
      </c>
      <c r="EFV18" s="310" t="s">
        <v>201</v>
      </c>
      <c r="EFW18" s="310" t="s">
        <v>201</v>
      </c>
      <c r="EFX18" s="310" t="s">
        <v>201</v>
      </c>
      <c r="EFY18" s="310" t="s">
        <v>201</v>
      </c>
      <c r="EFZ18" s="310" t="s">
        <v>201</v>
      </c>
      <c r="EGA18" s="310" t="s">
        <v>201</v>
      </c>
      <c r="EGB18" s="310" t="s">
        <v>201</v>
      </c>
      <c r="EGC18" s="310" t="s">
        <v>201</v>
      </c>
      <c r="EGD18" s="310" t="s">
        <v>201</v>
      </c>
      <c r="EGE18" s="310" t="s">
        <v>201</v>
      </c>
      <c r="EGF18" s="310" t="s">
        <v>201</v>
      </c>
      <c r="EGG18" s="310" t="s">
        <v>201</v>
      </c>
      <c r="EGH18" s="310" t="s">
        <v>201</v>
      </c>
      <c r="EGI18" s="310" t="s">
        <v>201</v>
      </c>
      <c r="EGJ18" s="310" t="s">
        <v>201</v>
      </c>
      <c r="EGK18" s="310" t="s">
        <v>201</v>
      </c>
      <c r="EGL18" s="310" t="s">
        <v>201</v>
      </c>
      <c r="EGM18" s="310" t="s">
        <v>201</v>
      </c>
      <c r="EGN18" s="310" t="s">
        <v>201</v>
      </c>
      <c r="EGO18" s="310" t="s">
        <v>201</v>
      </c>
      <c r="EGP18" s="310" t="s">
        <v>201</v>
      </c>
      <c r="EGQ18" s="310" t="s">
        <v>201</v>
      </c>
      <c r="EGR18" s="310" t="s">
        <v>201</v>
      </c>
      <c r="EGS18" s="310" t="s">
        <v>201</v>
      </c>
      <c r="EGT18" s="310" t="s">
        <v>201</v>
      </c>
      <c r="EGU18" s="310" t="s">
        <v>201</v>
      </c>
      <c r="EGV18" s="310" t="s">
        <v>201</v>
      </c>
      <c r="EGW18" s="310" t="s">
        <v>201</v>
      </c>
      <c r="EGX18" s="310" t="s">
        <v>201</v>
      </c>
      <c r="EGY18" s="310" t="s">
        <v>201</v>
      </c>
      <c r="EGZ18" s="310" t="s">
        <v>201</v>
      </c>
      <c r="EHA18" s="310" t="s">
        <v>201</v>
      </c>
      <c r="EHB18" s="310" t="s">
        <v>201</v>
      </c>
      <c r="EHC18" s="310" t="s">
        <v>201</v>
      </c>
      <c r="EHD18" s="310" t="s">
        <v>201</v>
      </c>
      <c r="EHE18" s="310" t="s">
        <v>201</v>
      </c>
      <c r="EHF18" s="310" t="s">
        <v>201</v>
      </c>
      <c r="EHG18" s="310" t="s">
        <v>201</v>
      </c>
      <c r="EHH18" s="310" t="s">
        <v>201</v>
      </c>
      <c r="EHI18" s="310" t="s">
        <v>201</v>
      </c>
      <c r="EHJ18" s="310" t="s">
        <v>201</v>
      </c>
      <c r="EHK18" s="310" t="s">
        <v>201</v>
      </c>
      <c r="EHL18" s="310" t="s">
        <v>201</v>
      </c>
      <c r="EHM18" s="310" t="s">
        <v>201</v>
      </c>
      <c r="EHN18" s="310" t="s">
        <v>201</v>
      </c>
      <c r="EHO18" s="310" t="s">
        <v>201</v>
      </c>
      <c r="EHP18" s="310" t="s">
        <v>201</v>
      </c>
      <c r="EHQ18" s="310" t="s">
        <v>201</v>
      </c>
      <c r="EHR18" s="310" t="s">
        <v>201</v>
      </c>
      <c r="EHS18" s="310" t="s">
        <v>201</v>
      </c>
      <c r="EHT18" s="310" t="s">
        <v>201</v>
      </c>
      <c r="EHU18" s="310" t="s">
        <v>201</v>
      </c>
      <c r="EHV18" s="310" t="s">
        <v>201</v>
      </c>
      <c r="EHW18" s="310" t="s">
        <v>201</v>
      </c>
      <c r="EHX18" s="310" t="s">
        <v>201</v>
      </c>
      <c r="EHY18" s="310" t="s">
        <v>201</v>
      </c>
      <c r="EHZ18" s="310" t="s">
        <v>201</v>
      </c>
      <c r="EIA18" s="310" t="s">
        <v>201</v>
      </c>
      <c r="EIB18" s="310" t="s">
        <v>201</v>
      </c>
      <c r="EIC18" s="310" t="s">
        <v>201</v>
      </c>
      <c r="EID18" s="310" t="s">
        <v>201</v>
      </c>
      <c r="EIE18" s="310" t="s">
        <v>201</v>
      </c>
      <c r="EIF18" s="310" t="s">
        <v>201</v>
      </c>
      <c r="EIG18" s="310" t="s">
        <v>201</v>
      </c>
      <c r="EIH18" s="310" t="s">
        <v>201</v>
      </c>
      <c r="EII18" s="310" t="s">
        <v>201</v>
      </c>
      <c r="EIJ18" s="310" t="s">
        <v>201</v>
      </c>
      <c r="EIK18" s="310" t="s">
        <v>201</v>
      </c>
      <c r="EIL18" s="310" t="s">
        <v>201</v>
      </c>
      <c r="EIM18" s="310" t="s">
        <v>201</v>
      </c>
      <c r="EIN18" s="310" t="s">
        <v>201</v>
      </c>
      <c r="EIO18" s="310" t="s">
        <v>201</v>
      </c>
      <c r="EIP18" s="310" t="s">
        <v>201</v>
      </c>
      <c r="EIQ18" s="310" t="s">
        <v>201</v>
      </c>
      <c r="EIR18" s="310" t="s">
        <v>201</v>
      </c>
      <c r="EIS18" s="310" t="s">
        <v>201</v>
      </c>
      <c r="EIT18" s="310" t="s">
        <v>201</v>
      </c>
      <c r="EIU18" s="310" t="s">
        <v>201</v>
      </c>
      <c r="EIV18" s="310" t="s">
        <v>201</v>
      </c>
      <c r="EIW18" s="310" t="s">
        <v>201</v>
      </c>
      <c r="EIX18" s="310" t="s">
        <v>201</v>
      </c>
      <c r="EIY18" s="310" t="s">
        <v>201</v>
      </c>
      <c r="EIZ18" s="310" t="s">
        <v>201</v>
      </c>
      <c r="EJA18" s="310" t="s">
        <v>201</v>
      </c>
      <c r="EJB18" s="310" t="s">
        <v>201</v>
      </c>
      <c r="EJC18" s="310" t="s">
        <v>201</v>
      </c>
      <c r="EJD18" s="310" t="s">
        <v>201</v>
      </c>
      <c r="EJE18" s="310" t="s">
        <v>201</v>
      </c>
      <c r="EJF18" s="310" t="s">
        <v>201</v>
      </c>
      <c r="EJG18" s="310" t="s">
        <v>201</v>
      </c>
      <c r="EJH18" s="310" t="s">
        <v>201</v>
      </c>
      <c r="EJI18" s="310" t="s">
        <v>201</v>
      </c>
      <c r="EJJ18" s="310" t="s">
        <v>201</v>
      </c>
      <c r="EJK18" s="310" t="s">
        <v>201</v>
      </c>
      <c r="EJL18" s="310" t="s">
        <v>201</v>
      </c>
      <c r="EJM18" s="310" t="s">
        <v>201</v>
      </c>
      <c r="EJN18" s="310" t="s">
        <v>201</v>
      </c>
      <c r="EJO18" s="310" t="s">
        <v>201</v>
      </c>
      <c r="EJP18" s="310" t="s">
        <v>201</v>
      </c>
      <c r="EJQ18" s="310" t="s">
        <v>201</v>
      </c>
      <c r="EJR18" s="310" t="s">
        <v>201</v>
      </c>
      <c r="EJS18" s="310" t="s">
        <v>201</v>
      </c>
      <c r="EJT18" s="310" t="s">
        <v>201</v>
      </c>
      <c r="EJU18" s="310" t="s">
        <v>201</v>
      </c>
      <c r="EJV18" s="310" t="s">
        <v>201</v>
      </c>
      <c r="EJW18" s="310" t="s">
        <v>201</v>
      </c>
      <c r="EJX18" s="310" t="s">
        <v>201</v>
      </c>
      <c r="EJY18" s="310" t="s">
        <v>201</v>
      </c>
      <c r="EJZ18" s="310" t="s">
        <v>201</v>
      </c>
      <c r="EKA18" s="310" t="s">
        <v>201</v>
      </c>
      <c r="EKB18" s="310" t="s">
        <v>201</v>
      </c>
      <c r="EKC18" s="310" t="s">
        <v>201</v>
      </c>
      <c r="EKD18" s="310" t="s">
        <v>201</v>
      </c>
      <c r="EKE18" s="310" t="s">
        <v>201</v>
      </c>
      <c r="EKF18" s="310" t="s">
        <v>201</v>
      </c>
      <c r="EKG18" s="310" t="s">
        <v>201</v>
      </c>
      <c r="EKH18" s="310" t="s">
        <v>201</v>
      </c>
      <c r="EKI18" s="310" t="s">
        <v>201</v>
      </c>
      <c r="EKJ18" s="310" t="s">
        <v>201</v>
      </c>
      <c r="EKK18" s="310" t="s">
        <v>201</v>
      </c>
      <c r="EKL18" s="310" t="s">
        <v>201</v>
      </c>
      <c r="EKM18" s="310" t="s">
        <v>201</v>
      </c>
      <c r="EKN18" s="310" t="s">
        <v>201</v>
      </c>
      <c r="EKO18" s="310" t="s">
        <v>201</v>
      </c>
      <c r="EKP18" s="310" t="s">
        <v>201</v>
      </c>
      <c r="EKQ18" s="310" t="s">
        <v>201</v>
      </c>
      <c r="EKR18" s="310" t="s">
        <v>201</v>
      </c>
      <c r="EKS18" s="310" t="s">
        <v>201</v>
      </c>
      <c r="EKT18" s="310" t="s">
        <v>201</v>
      </c>
      <c r="EKU18" s="310" t="s">
        <v>201</v>
      </c>
      <c r="EKV18" s="310" t="s">
        <v>201</v>
      </c>
      <c r="EKW18" s="310" t="s">
        <v>201</v>
      </c>
      <c r="EKX18" s="310" t="s">
        <v>201</v>
      </c>
      <c r="EKY18" s="310" t="s">
        <v>201</v>
      </c>
      <c r="EKZ18" s="310" t="s">
        <v>201</v>
      </c>
      <c r="ELA18" s="310" t="s">
        <v>201</v>
      </c>
      <c r="ELB18" s="310" t="s">
        <v>201</v>
      </c>
      <c r="ELC18" s="310" t="s">
        <v>201</v>
      </c>
      <c r="ELD18" s="310" t="s">
        <v>201</v>
      </c>
      <c r="ELE18" s="310" t="s">
        <v>201</v>
      </c>
      <c r="ELF18" s="310" t="s">
        <v>201</v>
      </c>
      <c r="ELG18" s="310" t="s">
        <v>201</v>
      </c>
      <c r="ELH18" s="310" t="s">
        <v>201</v>
      </c>
      <c r="ELI18" s="310" t="s">
        <v>201</v>
      </c>
      <c r="ELJ18" s="310" t="s">
        <v>201</v>
      </c>
      <c r="ELK18" s="310" t="s">
        <v>201</v>
      </c>
      <c r="ELL18" s="310" t="s">
        <v>201</v>
      </c>
      <c r="ELM18" s="310" t="s">
        <v>201</v>
      </c>
      <c r="ELN18" s="310" t="s">
        <v>201</v>
      </c>
      <c r="ELO18" s="310" t="s">
        <v>201</v>
      </c>
      <c r="ELP18" s="310" t="s">
        <v>201</v>
      </c>
      <c r="ELQ18" s="310" t="s">
        <v>201</v>
      </c>
      <c r="ELR18" s="310" t="s">
        <v>201</v>
      </c>
      <c r="ELS18" s="310" t="s">
        <v>201</v>
      </c>
      <c r="ELT18" s="310" t="s">
        <v>201</v>
      </c>
      <c r="ELU18" s="310" t="s">
        <v>201</v>
      </c>
      <c r="ELV18" s="310" t="s">
        <v>201</v>
      </c>
      <c r="ELW18" s="310" t="s">
        <v>201</v>
      </c>
      <c r="ELX18" s="310" t="s">
        <v>201</v>
      </c>
      <c r="ELY18" s="310" t="s">
        <v>201</v>
      </c>
      <c r="ELZ18" s="310" t="s">
        <v>201</v>
      </c>
      <c r="EMA18" s="310" t="s">
        <v>201</v>
      </c>
      <c r="EMB18" s="310" t="s">
        <v>201</v>
      </c>
      <c r="EMC18" s="310" t="s">
        <v>201</v>
      </c>
      <c r="EMD18" s="310" t="s">
        <v>201</v>
      </c>
      <c r="EME18" s="310" t="s">
        <v>201</v>
      </c>
      <c r="EMF18" s="310" t="s">
        <v>201</v>
      </c>
      <c r="EMG18" s="310" t="s">
        <v>201</v>
      </c>
      <c r="EMH18" s="310" t="s">
        <v>201</v>
      </c>
      <c r="EMI18" s="310" t="s">
        <v>201</v>
      </c>
      <c r="EMJ18" s="310" t="s">
        <v>201</v>
      </c>
      <c r="EMK18" s="310" t="s">
        <v>201</v>
      </c>
      <c r="EML18" s="310" t="s">
        <v>201</v>
      </c>
      <c r="EMM18" s="310" t="s">
        <v>201</v>
      </c>
      <c r="EMN18" s="310" t="s">
        <v>201</v>
      </c>
      <c r="EMO18" s="310" t="s">
        <v>201</v>
      </c>
      <c r="EMP18" s="310" t="s">
        <v>201</v>
      </c>
      <c r="EMQ18" s="310" t="s">
        <v>201</v>
      </c>
      <c r="EMR18" s="310" t="s">
        <v>201</v>
      </c>
      <c r="EMS18" s="310" t="s">
        <v>201</v>
      </c>
      <c r="EMT18" s="310" t="s">
        <v>201</v>
      </c>
      <c r="EMU18" s="310" t="s">
        <v>201</v>
      </c>
      <c r="EMV18" s="310" t="s">
        <v>201</v>
      </c>
      <c r="EMW18" s="310" t="s">
        <v>201</v>
      </c>
      <c r="EMX18" s="310" t="s">
        <v>201</v>
      </c>
      <c r="EMY18" s="310" t="s">
        <v>201</v>
      </c>
      <c r="EMZ18" s="310" t="s">
        <v>201</v>
      </c>
      <c r="ENA18" s="310" t="s">
        <v>201</v>
      </c>
      <c r="ENB18" s="310" t="s">
        <v>201</v>
      </c>
      <c r="ENC18" s="310" t="s">
        <v>201</v>
      </c>
      <c r="END18" s="310" t="s">
        <v>201</v>
      </c>
      <c r="ENE18" s="310" t="s">
        <v>201</v>
      </c>
      <c r="ENF18" s="310" t="s">
        <v>201</v>
      </c>
      <c r="ENG18" s="310" t="s">
        <v>201</v>
      </c>
      <c r="ENH18" s="310" t="s">
        <v>201</v>
      </c>
      <c r="ENI18" s="310" t="s">
        <v>201</v>
      </c>
      <c r="ENJ18" s="310" t="s">
        <v>201</v>
      </c>
      <c r="ENK18" s="310" t="s">
        <v>201</v>
      </c>
      <c r="ENL18" s="310" t="s">
        <v>201</v>
      </c>
      <c r="ENM18" s="310" t="s">
        <v>201</v>
      </c>
      <c r="ENN18" s="310" t="s">
        <v>201</v>
      </c>
      <c r="ENO18" s="310" t="s">
        <v>201</v>
      </c>
      <c r="ENP18" s="310" t="s">
        <v>201</v>
      </c>
      <c r="ENQ18" s="310" t="s">
        <v>201</v>
      </c>
      <c r="ENR18" s="310" t="s">
        <v>201</v>
      </c>
      <c r="ENS18" s="310" t="s">
        <v>201</v>
      </c>
      <c r="ENT18" s="310" t="s">
        <v>201</v>
      </c>
      <c r="ENU18" s="310" t="s">
        <v>201</v>
      </c>
      <c r="ENV18" s="310" t="s">
        <v>201</v>
      </c>
      <c r="ENW18" s="310" t="s">
        <v>201</v>
      </c>
      <c r="ENX18" s="310" t="s">
        <v>201</v>
      </c>
      <c r="ENY18" s="310" t="s">
        <v>201</v>
      </c>
      <c r="ENZ18" s="310" t="s">
        <v>201</v>
      </c>
      <c r="EOA18" s="310" t="s">
        <v>201</v>
      </c>
      <c r="EOB18" s="310" t="s">
        <v>201</v>
      </c>
      <c r="EOC18" s="310" t="s">
        <v>201</v>
      </c>
      <c r="EOD18" s="310" t="s">
        <v>201</v>
      </c>
      <c r="EOE18" s="310" t="s">
        <v>201</v>
      </c>
      <c r="EOF18" s="310" t="s">
        <v>201</v>
      </c>
      <c r="EOG18" s="310" t="s">
        <v>201</v>
      </c>
      <c r="EOH18" s="310" t="s">
        <v>201</v>
      </c>
      <c r="EOI18" s="310" t="s">
        <v>201</v>
      </c>
      <c r="EOJ18" s="310" t="s">
        <v>201</v>
      </c>
      <c r="EOK18" s="310" t="s">
        <v>201</v>
      </c>
      <c r="EOL18" s="310" t="s">
        <v>201</v>
      </c>
      <c r="EOM18" s="310" t="s">
        <v>201</v>
      </c>
      <c r="EON18" s="310" t="s">
        <v>201</v>
      </c>
      <c r="EOO18" s="310" t="s">
        <v>201</v>
      </c>
      <c r="EOP18" s="310" t="s">
        <v>201</v>
      </c>
      <c r="EOQ18" s="310" t="s">
        <v>201</v>
      </c>
      <c r="EOR18" s="310" t="s">
        <v>201</v>
      </c>
      <c r="EOS18" s="310" t="s">
        <v>201</v>
      </c>
      <c r="EOT18" s="310" t="s">
        <v>201</v>
      </c>
      <c r="EOU18" s="310" t="s">
        <v>201</v>
      </c>
      <c r="EOV18" s="310" t="s">
        <v>201</v>
      </c>
      <c r="EOW18" s="310" t="s">
        <v>201</v>
      </c>
      <c r="EOX18" s="310" t="s">
        <v>201</v>
      </c>
      <c r="EOY18" s="310" t="s">
        <v>201</v>
      </c>
      <c r="EOZ18" s="310" t="s">
        <v>201</v>
      </c>
      <c r="EPA18" s="310" t="s">
        <v>201</v>
      </c>
      <c r="EPB18" s="310" t="s">
        <v>201</v>
      </c>
      <c r="EPC18" s="310" t="s">
        <v>201</v>
      </c>
      <c r="EPD18" s="310" t="s">
        <v>201</v>
      </c>
      <c r="EPE18" s="310" t="s">
        <v>201</v>
      </c>
      <c r="EPF18" s="310" t="s">
        <v>201</v>
      </c>
      <c r="EPG18" s="310" t="s">
        <v>201</v>
      </c>
      <c r="EPH18" s="310" t="s">
        <v>201</v>
      </c>
      <c r="EPI18" s="310" t="s">
        <v>201</v>
      </c>
      <c r="EPJ18" s="310" t="s">
        <v>201</v>
      </c>
      <c r="EPK18" s="310" t="s">
        <v>201</v>
      </c>
      <c r="EPL18" s="310" t="s">
        <v>201</v>
      </c>
      <c r="EPM18" s="310" t="s">
        <v>201</v>
      </c>
      <c r="EPN18" s="310" t="s">
        <v>201</v>
      </c>
      <c r="EPO18" s="310" t="s">
        <v>201</v>
      </c>
      <c r="EPP18" s="310" t="s">
        <v>201</v>
      </c>
      <c r="EPQ18" s="310" t="s">
        <v>201</v>
      </c>
      <c r="EPR18" s="310" t="s">
        <v>201</v>
      </c>
      <c r="EPS18" s="310" t="s">
        <v>201</v>
      </c>
      <c r="EPT18" s="310" t="s">
        <v>201</v>
      </c>
      <c r="EPU18" s="310" t="s">
        <v>201</v>
      </c>
      <c r="EPV18" s="310" t="s">
        <v>201</v>
      </c>
      <c r="EPW18" s="310" t="s">
        <v>201</v>
      </c>
      <c r="EPX18" s="310" t="s">
        <v>201</v>
      </c>
      <c r="EPY18" s="310" t="s">
        <v>201</v>
      </c>
      <c r="EPZ18" s="310" t="s">
        <v>201</v>
      </c>
      <c r="EQA18" s="310" t="s">
        <v>201</v>
      </c>
      <c r="EQB18" s="310" t="s">
        <v>201</v>
      </c>
      <c r="EQC18" s="310" t="s">
        <v>201</v>
      </c>
      <c r="EQD18" s="310" t="s">
        <v>201</v>
      </c>
      <c r="EQE18" s="310" t="s">
        <v>201</v>
      </c>
      <c r="EQF18" s="310" t="s">
        <v>201</v>
      </c>
      <c r="EQG18" s="310" t="s">
        <v>201</v>
      </c>
      <c r="EQH18" s="310" t="s">
        <v>201</v>
      </c>
      <c r="EQI18" s="310" t="s">
        <v>201</v>
      </c>
      <c r="EQJ18" s="310" t="s">
        <v>201</v>
      </c>
      <c r="EQK18" s="310" t="s">
        <v>201</v>
      </c>
      <c r="EQL18" s="310" t="s">
        <v>201</v>
      </c>
      <c r="EQM18" s="310" t="s">
        <v>201</v>
      </c>
      <c r="EQN18" s="310" t="s">
        <v>201</v>
      </c>
      <c r="EQO18" s="310" t="s">
        <v>201</v>
      </c>
      <c r="EQP18" s="310" t="s">
        <v>201</v>
      </c>
      <c r="EQQ18" s="310" t="s">
        <v>201</v>
      </c>
      <c r="EQR18" s="310" t="s">
        <v>201</v>
      </c>
      <c r="EQS18" s="310" t="s">
        <v>201</v>
      </c>
      <c r="EQT18" s="310" t="s">
        <v>201</v>
      </c>
      <c r="EQU18" s="310" t="s">
        <v>201</v>
      </c>
      <c r="EQV18" s="310" t="s">
        <v>201</v>
      </c>
      <c r="EQW18" s="310" t="s">
        <v>201</v>
      </c>
      <c r="EQX18" s="310" t="s">
        <v>201</v>
      </c>
      <c r="EQY18" s="310" t="s">
        <v>201</v>
      </c>
      <c r="EQZ18" s="310" t="s">
        <v>201</v>
      </c>
      <c r="ERA18" s="310" t="s">
        <v>201</v>
      </c>
      <c r="ERB18" s="310" t="s">
        <v>201</v>
      </c>
      <c r="ERC18" s="310" t="s">
        <v>201</v>
      </c>
      <c r="ERD18" s="310" t="s">
        <v>201</v>
      </c>
      <c r="ERE18" s="310" t="s">
        <v>201</v>
      </c>
      <c r="ERF18" s="310" t="s">
        <v>201</v>
      </c>
      <c r="ERG18" s="310" t="s">
        <v>201</v>
      </c>
      <c r="ERH18" s="310" t="s">
        <v>201</v>
      </c>
      <c r="ERI18" s="310" t="s">
        <v>201</v>
      </c>
      <c r="ERJ18" s="310" t="s">
        <v>201</v>
      </c>
      <c r="ERK18" s="310" t="s">
        <v>201</v>
      </c>
      <c r="ERL18" s="310" t="s">
        <v>201</v>
      </c>
      <c r="ERM18" s="310" t="s">
        <v>201</v>
      </c>
      <c r="ERN18" s="310" t="s">
        <v>201</v>
      </c>
      <c r="ERO18" s="310" t="s">
        <v>201</v>
      </c>
      <c r="ERP18" s="310" t="s">
        <v>201</v>
      </c>
      <c r="ERQ18" s="310" t="s">
        <v>201</v>
      </c>
      <c r="ERR18" s="310" t="s">
        <v>201</v>
      </c>
      <c r="ERS18" s="310" t="s">
        <v>201</v>
      </c>
      <c r="ERT18" s="310" t="s">
        <v>201</v>
      </c>
      <c r="ERU18" s="310" t="s">
        <v>201</v>
      </c>
      <c r="ERV18" s="310" t="s">
        <v>201</v>
      </c>
      <c r="ERW18" s="310" t="s">
        <v>201</v>
      </c>
      <c r="ERX18" s="310" t="s">
        <v>201</v>
      </c>
      <c r="ERY18" s="310" t="s">
        <v>201</v>
      </c>
      <c r="ERZ18" s="310" t="s">
        <v>201</v>
      </c>
      <c r="ESA18" s="310" t="s">
        <v>201</v>
      </c>
      <c r="ESB18" s="310" t="s">
        <v>201</v>
      </c>
      <c r="ESC18" s="310" t="s">
        <v>201</v>
      </c>
      <c r="ESD18" s="310" t="s">
        <v>201</v>
      </c>
      <c r="ESE18" s="310" t="s">
        <v>201</v>
      </c>
      <c r="ESF18" s="310" t="s">
        <v>201</v>
      </c>
      <c r="ESG18" s="310" t="s">
        <v>201</v>
      </c>
      <c r="ESH18" s="310" t="s">
        <v>201</v>
      </c>
      <c r="ESI18" s="310" t="s">
        <v>201</v>
      </c>
      <c r="ESJ18" s="310" t="s">
        <v>201</v>
      </c>
      <c r="ESK18" s="310" t="s">
        <v>201</v>
      </c>
      <c r="ESL18" s="310" t="s">
        <v>201</v>
      </c>
      <c r="ESM18" s="310" t="s">
        <v>201</v>
      </c>
      <c r="ESN18" s="310" t="s">
        <v>201</v>
      </c>
      <c r="ESO18" s="310" t="s">
        <v>201</v>
      </c>
      <c r="ESP18" s="310" t="s">
        <v>201</v>
      </c>
      <c r="ESQ18" s="310" t="s">
        <v>201</v>
      </c>
      <c r="ESR18" s="310" t="s">
        <v>201</v>
      </c>
      <c r="ESS18" s="310" t="s">
        <v>201</v>
      </c>
      <c r="EST18" s="310" t="s">
        <v>201</v>
      </c>
      <c r="ESU18" s="310" t="s">
        <v>201</v>
      </c>
      <c r="ESV18" s="310" t="s">
        <v>201</v>
      </c>
      <c r="ESW18" s="310" t="s">
        <v>201</v>
      </c>
      <c r="ESX18" s="310" t="s">
        <v>201</v>
      </c>
      <c r="ESY18" s="310" t="s">
        <v>201</v>
      </c>
      <c r="ESZ18" s="310" t="s">
        <v>201</v>
      </c>
      <c r="ETA18" s="310" t="s">
        <v>201</v>
      </c>
      <c r="ETB18" s="310" t="s">
        <v>201</v>
      </c>
      <c r="ETC18" s="310" t="s">
        <v>201</v>
      </c>
      <c r="ETD18" s="310" t="s">
        <v>201</v>
      </c>
      <c r="ETE18" s="310" t="s">
        <v>201</v>
      </c>
      <c r="ETF18" s="310" t="s">
        <v>201</v>
      </c>
      <c r="ETG18" s="310" t="s">
        <v>201</v>
      </c>
      <c r="ETH18" s="310" t="s">
        <v>201</v>
      </c>
      <c r="ETI18" s="310" t="s">
        <v>201</v>
      </c>
      <c r="ETJ18" s="310" t="s">
        <v>201</v>
      </c>
      <c r="ETK18" s="310" t="s">
        <v>201</v>
      </c>
      <c r="ETL18" s="310" t="s">
        <v>201</v>
      </c>
      <c r="ETM18" s="310" t="s">
        <v>201</v>
      </c>
      <c r="ETN18" s="310" t="s">
        <v>201</v>
      </c>
      <c r="ETO18" s="310" t="s">
        <v>201</v>
      </c>
      <c r="ETP18" s="310" t="s">
        <v>201</v>
      </c>
      <c r="ETQ18" s="310" t="s">
        <v>201</v>
      </c>
      <c r="ETR18" s="310" t="s">
        <v>201</v>
      </c>
      <c r="ETS18" s="310" t="s">
        <v>201</v>
      </c>
      <c r="ETT18" s="310" t="s">
        <v>201</v>
      </c>
      <c r="ETU18" s="310" t="s">
        <v>201</v>
      </c>
      <c r="ETV18" s="310" t="s">
        <v>201</v>
      </c>
      <c r="ETW18" s="310" t="s">
        <v>201</v>
      </c>
      <c r="ETX18" s="310" t="s">
        <v>201</v>
      </c>
      <c r="ETY18" s="310" t="s">
        <v>201</v>
      </c>
      <c r="ETZ18" s="310" t="s">
        <v>201</v>
      </c>
      <c r="EUA18" s="310" t="s">
        <v>201</v>
      </c>
      <c r="EUB18" s="310" t="s">
        <v>201</v>
      </c>
      <c r="EUC18" s="310" t="s">
        <v>201</v>
      </c>
      <c r="EUD18" s="310" t="s">
        <v>201</v>
      </c>
      <c r="EUE18" s="310" t="s">
        <v>201</v>
      </c>
      <c r="EUF18" s="310" t="s">
        <v>201</v>
      </c>
      <c r="EUG18" s="310" t="s">
        <v>201</v>
      </c>
      <c r="EUH18" s="310" t="s">
        <v>201</v>
      </c>
      <c r="EUI18" s="310" t="s">
        <v>201</v>
      </c>
      <c r="EUJ18" s="310" t="s">
        <v>201</v>
      </c>
      <c r="EUK18" s="310" t="s">
        <v>201</v>
      </c>
      <c r="EUL18" s="310" t="s">
        <v>201</v>
      </c>
      <c r="EUM18" s="310" t="s">
        <v>201</v>
      </c>
      <c r="EUN18" s="310" t="s">
        <v>201</v>
      </c>
      <c r="EUO18" s="310" t="s">
        <v>201</v>
      </c>
      <c r="EUP18" s="310" t="s">
        <v>201</v>
      </c>
      <c r="EUQ18" s="310" t="s">
        <v>201</v>
      </c>
      <c r="EUR18" s="310" t="s">
        <v>201</v>
      </c>
      <c r="EUS18" s="310" t="s">
        <v>201</v>
      </c>
      <c r="EUT18" s="310" t="s">
        <v>201</v>
      </c>
      <c r="EUU18" s="310" t="s">
        <v>201</v>
      </c>
      <c r="EUV18" s="310" t="s">
        <v>201</v>
      </c>
      <c r="EUW18" s="310" t="s">
        <v>201</v>
      </c>
      <c r="EUX18" s="310" t="s">
        <v>201</v>
      </c>
      <c r="EUY18" s="310" t="s">
        <v>201</v>
      </c>
      <c r="EUZ18" s="310" t="s">
        <v>201</v>
      </c>
      <c r="EVA18" s="310" t="s">
        <v>201</v>
      </c>
      <c r="EVB18" s="310" t="s">
        <v>201</v>
      </c>
      <c r="EVC18" s="310" t="s">
        <v>201</v>
      </c>
      <c r="EVD18" s="310" t="s">
        <v>201</v>
      </c>
      <c r="EVE18" s="310" t="s">
        <v>201</v>
      </c>
      <c r="EVF18" s="310" t="s">
        <v>201</v>
      </c>
      <c r="EVG18" s="310" t="s">
        <v>201</v>
      </c>
      <c r="EVH18" s="310" t="s">
        <v>201</v>
      </c>
      <c r="EVI18" s="310" t="s">
        <v>201</v>
      </c>
      <c r="EVJ18" s="310" t="s">
        <v>201</v>
      </c>
      <c r="EVK18" s="310" t="s">
        <v>201</v>
      </c>
      <c r="EVL18" s="310" t="s">
        <v>201</v>
      </c>
      <c r="EVM18" s="310" t="s">
        <v>201</v>
      </c>
      <c r="EVN18" s="310" t="s">
        <v>201</v>
      </c>
      <c r="EVO18" s="310" t="s">
        <v>201</v>
      </c>
      <c r="EVP18" s="310" t="s">
        <v>201</v>
      </c>
      <c r="EVQ18" s="310" t="s">
        <v>201</v>
      </c>
      <c r="EVR18" s="310" t="s">
        <v>201</v>
      </c>
      <c r="EVS18" s="310" t="s">
        <v>201</v>
      </c>
      <c r="EVT18" s="310" t="s">
        <v>201</v>
      </c>
      <c r="EVU18" s="310" t="s">
        <v>201</v>
      </c>
      <c r="EVV18" s="310" t="s">
        <v>201</v>
      </c>
      <c r="EVW18" s="310" t="s">
        <v>201</v>
      </c>
      <c r="EVX18" s="310" t="s">
        <v>201</v>
      </c>
      <c r="EVY18" s="310" t="s">
        <v>201</v>
      </c>
      <c r="EVZ18" s="310" t="s">
        <v>201</v>
      </c>
      <c r="EWA18" s="310" t="s">
        <v>201</v>
      </c>
      <c r="EWB18" s="310" t="s">
        <v>201</v>
      </c>
      <c r="EWC18" s="310" t="s">
        <v>201</v>
      </c>
      <c r="EWD18" s="310" t="s">
        <v>201</v>
      </c>
      <c r="EWE18" s="310" t="s">
        <v>201</v>
      </c>
      <c r="EWF18" s="310" t="s">
        <v>201</v>
      </c>
      <c r="EWG18" s="310" t="s">
        <v>201</v>
      </c>
      <c r="EWH18" s="310" t="s">
        <v>201</v>
      </c>
      <c r="EWI18" s="310" t="s">
        <v>201</v>
      </c>
      <c r="EWJ18" s="310" t="s">
        <v>201</v>
      </c>
      <c r="EWK18" s="310" t="s">
        <v>201</v>
      </c>
      <c r="EWL18" s="310" t="s">
        <v>201</v>
      </c>
      <c r="EWM18" s="310" t="s">
        <v>201</v>
      </c>
      <c r="EWN18" s="310" t="s">
        <v>201</v>
      </c>
      <c r="EWO18" s="310" t="s">
        <v>201</v>
      </c>
      <c r="EWP18" s="310" t="s">
        <v>201</v>
      </c>
      <c r="EWQ18" s="310" t="s">
        <v>201</v>
      </c>
      <c r="EWR18" s="310" t="s">
        <v>201</v>
      </c>
      <c r="EWS18" s="310" t="s">
        <v>201</v>
      </c>
      <c r="EWT18" s="310" t="s">
        <v>201</v>
      </c>
      <c r="EWU18" s="310" t="s">
        <v>201</v>
      </c>
      <c r="EWV18" s="310" t="s">
        <v>201</v>
      </c>
      <c r="EWW18" s="310" t="s">
        <v>201</v>
      </c>
      <c r="EWX18" s="310" t="s">
        <v>201</v>
      </c>
      <c r="EWY18" s="310" t="s">
        <v>201</v>
      </c>
      <c r="EWZ18" s="310" t="s">
        <v>201</v>
      </c>
      <c r="EXA18" s="310" t="s">
        <v>201</v>
      </c>
      <c r="EXB18" s="310" t="s">
        <v>201</v>
      </c>
      <c r="EXC18" s="310" t="s">
        <v>201</v>
      </c>
      <c r="EXD18" s="310" t="s">
        <v>201</v>
      </c>
      <c r="EXE18" s="310" t="s">
        <v>201</v>
      </c>
      <c r="EXF18" s="310" t="s">
        <v>201</v>
      </c>
      <c r="EXG18" s="310" t="s">
        <v>201</v>
      </c>
      <c r="EXH18" s="310" t="s">
        <v>201</v>
      </c>
      <c r="EXI18" s="310" t="s">
        <v>201</v>
      </c>
      <c r="EXJ18" s="310" t="s">
        <v>201</v>
      </c>
      <c r="EXK18" s="310" t="s">
        <v>201</v>
      </c>
      <c r="EXL18" s="310" t="s">
        <v>201</v>
      </c>
      <c r="EXM18" s="310" t="s">
        <v>201</v>
      </c>
      <c r="EXN18" s="310" t="s">
        <v>201</v>
      </c>
      <c r="EXO18" s="310" t="s">
        <v>201</v>
      </c>
      <c r="EXP18" s="310" t="s">
        <v>201</v>
      </c>
      <c r="EXQ18" s="310" t="s">
        <v>201</v>
      </c>
      <c r="EXR18" s="310" t="s">
        <v>201</v>
      </c>
      <c r="EXS18" s="310" t="s">
        <v>201</v>
      </c>
      <c r="EXT18" s="310" t="s">
        <v>201</v>
      </c>
      <c r="EXU18" s="310" t="s">
        <v>201</v>
      </c>
      <c r="EXV18" s="310" t="s">
        <v>201</v>
      </c>
      <c r="EXW18" s="310" t="s">
        <v>201</v>
      </c>
      <c r="EXX18" s="310" t="s">
        <v>201</v>
      </c>
      <c r="EXY18" s="310" t="s">
        <v>201</v>
      </c>
      <c r="EXZ18" s="310" t="s">
        <v>201</v>
      </c>
      <c r="EYA18" s="310" t="s">
        <v>201</v>
      </c>
      <c r="EYB18" s="310" t="s">
        <v>201</v>
      </c>
      <c r="EYC18" s="310" t="s">
        <v>201</v>
      </c>
      <c r="EYD18" s="310" t="s">
        <v>201</v>
      </c>
      <c r="EYE18" s="310" t="s">
        <v>201</v>
      </c>
      <c r="EYF18" s="310" t="s">
        <v>201</v>
      </c>
      <c r="EYG18" s="310" t="s">
        <v>201</v>
      </c>
      <c r="EYH18" s="310" t="s">
        <v>201</v>
      </c>
      <c r="EYI18" s="310" t="s">
        <v>201</v>
      </c>
      <c r="EYJ18" s="310" t="s">
        <v>201</v>
      </c>
      <c r="EYK18" s="310" t="s">
        <v>201</v>
      </c>
      <c r="EYL18" s="310" t="s">
        <v>201</v>
      </c>
      <c r="EYM18" s="310" t="s">
        <v>201</v>
      </c>
      <c r="EYN18" s="310" t="s">
        <v>201</v>
      </c>
      <c r="EYO18" s="310" t="s">
        <v>201</v>
      </c>
      <c r="EYP18" s="310" t="s">
        <v>201</v>
      </c>
      <c r="EYQ18" s="310" t="s">
        <v>201</v>
      </c>
      <c r="EYR18" s="310" t="s">
        <v>201</v>
      </c>
      <c r="EYS18" s="310" t="s">
        <v>201</v>
      </c>
      <c r="EYT18" s="310" t="s">
        <v>201</v>
      </c>
      <c r="EYU18" s="310" t="s">
        <v>201</v>
      </c>
      <c r="EYV18" s="310" t="s">
        <v>201</v>
      </c>
      <c r="EYW18" s="310" t="s">
        <v>201</v>
      </c>
      <c r="EYX18" s="310" t="s">
        <v>201</v>
      </c>
      <c r="EYY18" s="310" t="s">
        <v>201</v>
      </c>
      <c r="EYZ18" s="310" t="s">
        <v>201</v>
      </c>
      <c r="EZA18" s="310" t="s">
        <v>201</v>
      </c>
      <c r="EZB18" s="310" t="s">
        <v>201</v>
      </c>
      <c r="EZC18" s="310" t="s">
        <v>201</v>
      </c>
      <c r="EZD18" s="310" t="s">
        <v>201</v>
      </c>
      <c r="EZE18" s="310" t="s">
        <v>201</v>
      </c>
      <c r="EZF18" s="310" t="s">
        <v>201</v>
      </c>
      <c r="EZG18" s="310" t="s">
        <v>201</v>
      </c>
      <c r="EZH18" s="310" t="s">
        <v>201</v>
      </c>
      <c r="EZI18" s="310" t="s">
        <v>201</v>
      </c>
      <c r="EZJ18" s="310" t="s">
        <v>201</v>
      </c>
      <c r="EZK18" s="310" t="s">
        <v>201</v>
      </c>
      <c r="EZL18" s="310" t="s">
        <v>201</v>
      </c>
      <c r="EZM18" s="310" t="s">
        <v>201</v>
      </c>
      <c r="EZN18" s="310" t="s">
        <v>201</v>
      </c>
      <c r="EZO18" s="310" t="s">
        <v>201</v>
      </c>
      <c r="EZP18" s="310" t="s">
        <v>201</v>
      </c>
      <c r="EZQ18" s="310" t="s">
        <v>201</v>
      </c>
      <c r="EZR18" s="310" t="s">
        <v>201</v>
      </c>
      <c r="EZS18" s="310" t="s">
        <v>201</v>
      </c>
      <c r="EZT18" s="310" t="s">
        <v>201</v>
      </c>
      <c r="EZU18" s="310" t="s">
        <v>201</v>
      </c>
      <c r="EZV18" s="310" t="s">
        <v>201</v>
      </c>
      <c r="EZW18" s="310" t="s">
        <v>201</v>
      </c>
      <c r="EZX18" s="310" t="s">
        <v>201</v>
      </c>
      <c r="EZY18" s="310" t="s">
        <v>201</v>
      </c>
      <c r="EZZ18" s="310" t="s">
        <v>201</v>
      </c>
      <c r="FAA18" s="310" t="s">
        <v>201</v>
      </c>
      <c r="FAB18" s="310" t="s">
        <v>201</v>
      </c>
      <c r="FAC18" s="310" t="s">
        <v>201</v>
      </c>
      <c r="FAD18" s="310" t="s">
        <v>201</v>
      </c>
      <c r="FAE18" s="310" t="s">
        <v>201</v>
      </c>
      <c r="FAF18" s="310" t="s">
        <v>201</v>
      </c>
      <c r="FAG18" s="310" t="s">
        <v>201</v>
      </c>
      <c r="FAH18" s="310" t="s">
        <v>201</v>
      </c>
      <c r="FAI18" s="310" t="s">
        <v>201</v>
      </c>
      <c r="FAJ18" s="310" t="s">
        <v>201</v>
      </c>
      <c r="FAK18" s="310" t="s">
        <v>201</v>
      </c>
      <c r="FAL18" s="310" t="s">
        <v>201</v>
      </c>
      <c r="FAM18" s="310" t="s">
        <v>201</v>
      </c>
      <c r="FAN18" s="310" t="s">
        <v>201</v>
      </c>
      <c r="FAO18" s="310" t="s">
        <v>201</v>
      </c>
      <c r="FAP18" s="310" t="s">
        <v>201</v>
      </c>
      <c r="FAQ18" s="310" t="s">
        <v>201</v>
      </c>
      <c r="FAR18" s="310" t="s">
        <v>201</v>
      </c>
      <c r="FAS18" s="310" t="s">
        <v>201</v>
      </c>
      <c r="FAT18" s="310" t="s">
        <v>201</v>
      </c>
      <c r="FAU18" s="310" t="s">
        <v>201</v>
      </c>
      <c r="FAV18" s="310" t="s">
        <v>201</v>
      </c>
      <c r="FAW18" s="310" t="s">
        <v>201</v>
      </c>
      <c r="FAX18" s="310" t="s">
        <v>201</v>
      </c>
      <c r="FAY18" s="310" t="s">
        <v>201</v>
      </c>
      <c r="FAZ18" s="310" t="s">
        <v>201</v>
      </c>
      <c r="FBA18" s="310" t="s">
        <v>201</v>
      </c>
      <c r="FBB18" s="310" t="s">
        <v>201</v>
      </c>
      <c r="FBC18" s="310" t="s">
        <v>201</v>
      </c>
      <c r="FBD18" s="310" t="s">
        <v>201</v>
      </c>
      <c r="FBE18" s="310" t="s">
        <v>201</v>
      </c>
      <c r="FBF18" s="310" t="s">
        <v>201</v>
      </c>
      <c r="FBG18" s="310" t="s">
        <v>201</v>
      </c>
      <c r="FBH18" s="310" t="s">
        <v>201</v>
      </c>
      <c r="FBI18" s="310" t="s">
        <v>201</v>
      </c>
      <c r="FBJ18" s="310" t="s">
        <v>201</v>
      </c>
      <c r="FBK18" s="310" t="s">
        <v>201</v>
      </c>
      <c r="FBL18" s="310" t="s">
        <v>201</v>
      </c>
      <c r="FBM18" s="310" t="s">
        <v>201</v>
      </c>
      <c r="FBN18" s="310" t="s">
        <v>201</v>
      </c>
      <c r="FBO18" s="310" t="s">
        <v>201</v>
      </c>
      <c r="FBP18" s="310" t="s">
        <v>201</v>
      </c>
      <c r="FBQ18" s="310" t="s">
        <v>201</v>
      </c>
      <c r="FBR18" s="310" t="s">
        <v>201</v>
      </c>
      <c r="FBS18" s="310" t="s">
        <v>201</v>
      </c>
      <c r="FBT18" s="310" t="s">
        <v>201</v>
      </c>
      <c r="FBU18" s="310" t="s">
        <v>201</v>
      </c>
      <c r="FBV18" s="310" t="s">
        <v>201</v>
      </c>
      <c r="FBW18" s="310" t="s">
        <v>201</v>
      </c>
      <c r="FBX18" s="310" t="s">
        <v>201</v>
      </c>
      <c r="FBY18" s="310" t="s">
        <v>201</v>
      </c>
      <c r="FBZ18" s="310" t="s">
        <v>201</v>
      </c>
      <c r="FCA18" s="310" t="s">
        <v>201</v>
      </c>
      <c r="FCB18" s="310" t="s">
        <v>201</v>
      </c>
      <c r="FCC18" s="310" t="s">
        <v>201</v>
      </c>
      <c r="FCD18" s="310" t="s">
        <v>201</v>
      </c>
      <c r="FCE18" s="310" t="s">
        <v>201</v>
      </c>
      <c r="FCF18" s="310" t="s">
        <v>201</v>
      </c>
      <c r="FCG18" s="310" t="s">
        <v>201</v>
      </c>
      <c r="FCH18" s="310" t="s">
        <v>201</v>
      </c>
      <c r="FCI18" s="310" t="s">
        <v>201</v>
      </c>
      <c r="FCJ18" s="310" t="s">
        <v>201</v>
      </c>
      <c r="FCK18" s="310" t="s">
        <v>201</v>
      </c>
      <c r="FCL18" s="310" t="s">
        <v>201</v>
      </c>
      <c r="FCM18" s="310" t="s">
        <v>201</v>
      </c>
      <c r="FCN18" s="310" t="s">
        <v>201</v>
      </c>
      <c r="FCO18" s="310" t="s">
        <v>201</v>
      </c>
      <c r="FCP18" s="310" t="s">
        <v>201</v>
      </c>
      <c r="FCQ18" s="310" t="s">
        <v>201</v>
      </c>
      <c r="FCR18" s="310" t="s">
        <v>201</v>
      </c>
      <c r="FCS18" s="310" t="s">
        <v>201</v>
      </c>
      <c r="FCT18" s="310" t="s">
        <v>201</v>
      </c>
      <c r="FCU18" s="310" t="s">
        <v>201</v>
      </c>
      <c r="FCV18" s="310" t="s">
        <v>201</v>
      </c>
      <c r="FCW18" s="310" t="s">
        <v>201</v>
      </c>
      <c r="FCX18" s="310" t="s">
        <v>201</v>
      </c>
      <c r="FCY18" s="310" t="s">
        <v>201</v>
      </c>
      <c r="FCZ18" s="310" t="s">
        <v>201</v>
      </c>
      <c r="FDA18" s="310" t="s">
        <v>201</v>
      </c>
      <c r="FDB18" s="310" t="s">
        <v>201</v>
      </c>
      <c r="FDC18" s="310" t="s">
        <v>201</v>
      </c>
      <c r="FDD18" s="310" t="s">
        <v>201</v>
      </c>
      <c r="FDE18" s="310" t="s">
        <v>201</v>
      </c>
      <c r="FDF18" s="310" t="s">
        <v>201</v>
      </c>
      <c r="FDG18" s="310" t="s">
        <v>201</v>
      </c>
      <c r="FDH18" s="310" t="s">
        <v>201</v>
      </c>
      <c r="FDI18" s="310" t="s">
        <v>201</v>
      </c>
      <c r="FDJ18" s="310" t="s">
        <v>201</v>
      </c>
      <c r="FDK18" s="310" t="s">
        <v>201</v>
      </c>
      <c r="FDL18" s="310" t="s">
        <v>201</v>
      </c>
      <c r="FDM18" s="310" t="s">
        <v>201</v>
      </c>
      <c r="FDN18" s="310" t="s">
        <v>201</v>
      </c>
      <c r="FDO18" s="310" t="s">
        <v>201</v>
      </c>
      <c r="FDP18" s="310" t="s">
        <v>201</v>
      </c>
      <c r="FDQ18" s="310" t="s">
        <v>201</v>
      </c>
      <c r="FDR18" s="310" t="s">
        <v>201</v>
      </c>
      <c r="FDS18" s="310" t="s">
        <v>201</v>
      </c>
      <c r="FDT18" s="310" t="s">
        <v>201</v>
      </c>
      <c r="FDU18" s="310" t="s">
        <v>201</v>
      </c>
      <c r="FDV18" s="310" t="s">
        <v>201</v>
      </c>
      <c r="FDW18" s="310" t="s">
        <v>201</v>
      </c>
      <c r="FDX18" s="310" t="s">
        <v>201</v>
      </c>
      <c r="FDY18" s="310" t="s">
        <v>201</v>
      </c>
      <c r="FDZ18" s="310" t="s">
        <v>201</v>
      </c>
      <c r="FEA18" s="310" t="s">
        <v>201</v>
      </c>
      <c r="FEB18" s="310" t="s">
        <v>201</v>
      </c>
      <c r="FEC18" s="310" t="s">
        <v>201</v>
      </c>
      <c r="FED18" s="310" t="s">
        <v>201</v>
      </c>
      <c r="FEE18" s="310" t="s">
        <v>201</v>
      </c>
      <c r="FEF18" s="310" t="s">
        <v>201</v>
      </c>
      <c r="FEG18" s="310" t="s">
        <v>201</v>
      </c>
      <c r="FEH18" s="310" t="s">
        <v>201</v>
      </c>
      <c r="FEI18" s="310" t="s">
        <v>201</v>
      </c>
      <c r="FEJ18" s="310" t="s">
        <v>201</v>
      </c>
      <c r="FEK18" s="310" t="s">
        <v>201</v>
      </c>
      <c r="FEL18" s="310" t="s">
        <v>201</v>
      </c>
      <c r="FEM18" s="310" t="s">
        <v>201</v>
      </c>
      <c r="FEN18" s="310" t="s">
        <v>201</v>
      </c>
      <c r="FEO18" s="310" t="s">
        <v>201</v>
      </c>
      <c r="FEP18" s="310" t="s">
        <v>201</v>
      </c>
      <c r="FEQ18" s="310" t="s">
        <v>201</v>
      </c>
      <c r="FER18" s="310" t="s">
        <v>201</v>
      </c>
      <c r="FES18" s="310" t="s">
        <v>201</v>
      </c>
      <c r="FET18" s="310" t="s">
        <v>201</v>
      </c>
      <c r="FEU18" s="310" t="s">
        <v>201</v>
      </c>
      <c r="FEV18" s="310" t="s">
        <v>201</v>
      </c>
      <c r="FEW18" s="310" t="s">
        <v>201</v>
      </c>
      <c r="FEX18" s="310" t="s">
        <v>201</v>
      </c>
      <c r="FEY18" s="310" t="s">
        <v>201</v>
      </c>
      <c r="FEZ18" s="310" t="s">
        <v>201</v>
      </c>
      <c r="FFA18" s="310" t="s">
        <v>201</v>
      </c>
      <c r="FFB18" s="310" t="s">
        <v>201</v>
      </c>
      <c r="FFC18" s="310" t="s">
        <v>201</v>
      </c>
      <c r="FFD18" s="310" t="s">
        <v>201</v>
      </c>
      <c r="FFE18" s="310" t="s">
        <v>201</v>
      </c>
      <c r="FFF18" s="310" t="s">
        <v>201</v>
      </c>
      <c r="FFG18" s="310" t="s">
        <v>201</v>
      </c>
      <c r="FFH18" s="310" t="s">
        <v>201</v>
      </c>
      <c r="FFI18" s="310" t="s">
        <v>201</v>
      </c>
      <c r="FFJ18" s="310" t="s">
        <v>201</v>
      </c>
      <c r="FFK18" s="310" t="s">
        <v>201</v>
      </c>
      <c r="FFL18" s="310" t="s">
        <v>201</v>
      </c>
      <c r="FFM18" s="310" t="s">
        <v>201</v>
      </c>
      <c r="FFN18" s="310" t="s">
        <v>201</v>
      </c>
      <c r="FFO18" s="310" t="s">
        <v>201</v>
      </c>
      <c r="FFP18" s="310" t="s">
        <v>201</v>
      </c>
      <c r="FFQ18" s="310" t="s">
        <v>201</v>
      </c>
      <c r="FFR18" s="310" t="s">
        <v>201</v>
      </c>
      <c r="FFS18" s="310" t="s">
        <v>201</v>
      </c>
      <c r="FFT18" s="310" t="s">
        <v>201</v>
      </c>
      <c r="FFU18" s="310" t="s">
        <v>201</v>
      </c>
      <c r="FFV18" s="310" t="s">
        <v>201</v>
      </c>
      <c r="FFW18" s="310" t="s">
        <v>201</v>
      </c>
      <c r="FFX18" s="310" t="s">
        <v>201</v>
      </c>
      <c r="FFY18" s="310" t="s">
        <v>201</v>
      </c>
      <c r="FFZ18" s="310" t="s">
        <v>201</v>
      </c>
      <c r="FGA18" s="310" t="s">
        <v>201</v>
      </c>
      <c r="FGB18" s="310" t="s">
        <v>201</v>
      </c>
      <c r="FGC18" s="310" t="s">
        <v>201</v>
      </c>
      <c r="FGD18" s="310" t="s">
        <v>201</v>
      </c>
      <c r="FGE18" s="310" t="s">
        <v>201</v>
      </c>
      <c r="FGF18" s="310" t="s">
        <v>201</v>
      </c>
      <c r="FGG18" s="310" t="s">
        <v>201</v>
      </c>
      <c r="FGH18" s="310" t="s">
        <v>201</v>
      </c>
      <c r="FGI18" s="310" t="s">
        <v>201</v>
      </c>
      <c r="FGJ18" s="310" t="s">
        <v>201</v>
      </c>
      <c r="FGK18" s="310" t="s">
        <v>201</v>
      </c>
      <c r="FGL18" s="310" t="s">
        <v>201</v>
      </c>
      <c r="FGM18" s="310" t="s">
        <v>201</v>
      </c>
      <c r="FGN18" s="310" t="s">
        <v>201</v>
      </c>
      <c r="FGO18" s="310" t="s">
        <v>201</v>
      </c>
      <c r="FGP18" s="310" t="s">
        <v>201</v>
      </c>
      <c r="FGQ18" s="310" t="s">
        <v>201</v>
      </c>
      <c r="FGR18" s="310" t="s">
        <v>201</v>
      </c>
      <c r="FGS18" s="310" t="s">
        <v>201</v>
      </c>
      <c r="FGT18" s="310" t="s">
        <v>201</v>
      </c>
      <c r="FGU18" s="310" t="s">
        <v>201</v>
      </c>
      <c r="FGV18" s="310" t="s">
        <v>201</v>
      </c>
      <c r="FGW18" s="310" t="s">
        <v>201</v>
      </c>
      <c r="FGX18" s="310" t="s">
        <v>201</v>
      </c>
      <c r="FGY18" s="310" t="s">
        <v>201</v>
      </c>
      <c r="FGZ18" s="310" t="s">
        <v>201</v>
      </c>
      <c r="FHA18" s="310" t="s">
        <v>201</v>
      </c>
      <c r="FHB18" s="310" t="s">
        <v>201</v>
      </c>
      <c r="FHC18" s="310" t="s">
        <v>201</v>
      </c>
      <c r="FHD18" s="310" t="s">
        <v>201</v>
      </c>
      <c r="FHE18" s="310" t="s">
        <v>201</v>
      </c>
      <c r="FHF18" s="310" t="s">
        <v>201</v>
      </c>
      <c r="FHG18" s="310" t="s">
        <v>201</v>
      </c>
      <c r="FHH18" s="310" t="s">
        <v>201</v>
      </c>
      <c r="FHI18" s="310" t="s">
        <v>201</v>
      </c>
      <c r="FHJ18" s="310" t="s">
        <v>201</v>
      </c>
      <c r="FHK18" s="310" t="s">
        <v>201</v>
      </c>
      <c r="FHL18" s="310" t="s">
        <v>201</v>
      </c>
      <c r="FHM18" s="310" t="s">
        <v>201</v>
      </c>
      <c r="FHN18" s="310" t="s">
        <v>201</v>
      </c>
      <c r="FHO18" s="310" t="s">
        <v>201</v>
      </c>
      <c r="FHP18" s="310" t="s">
        <v>201</v>
      </c>
      <c r="FHQ18" s="310" t="s">
        <v>201</v>
      </c>
      <c r="FHR18" s="310" t="s">
        <v>201</v>
      </c>
      <c r="FHS18" s="310" t="s">
        <v>201</v>
      </c>
      <c r="FHT18" s="310" t="s">
        <v>201</v>
      </c>
      <c r="FHU18" s="310" t="s">
        <v>201</v>
      </c>
      <c r="FHV18" s="310" t="s">
        <v>201</v>
      </c>
      <c r="FHW18" s="310" t="s">
        <v>201</v>
      </c>
      <c r="FHX18" s="310" t="s">
        <v>201</v>
      </c>
      <c r="FHY18" s="310" t="s">
        <v>201</v>
      </c>
      <c r="FHZ18" s="310" t="s">
        <v>201</v>
      </c>
      <c r="FIA18" s="310" t="s">
        <v>201</v>
      </c>
      <c r="FIB18" s="310" t="s">
        <v>201</v>
      </c>
      <c r="FIC18" s="310" t="s">
        <v>201</v>
      </c>
      <c r="FID18" s="310" t="s">
        <v>201</v>
      </c>
      <c r="FIE18" s="310" t="s">
        <v>201</v>
      </c>
      <c r="FIF18" s="310" t="s">
        <v>201</v>
      </c>
      <c r="FIG18" s="310" t="s">
        <v>201</v>
      </c>
      <c r="FIH18" s="310" t="s">
        <v>201</v>
      </c>
      <c r="FII18" s="310" t="s">
        <v>201</v>
      </c>
      <c r="FIJ18" s="310" t="s">
        <v>201</v>
      </c>
      <c r="FIK18" s="310" t="s">
        <v>201</v>
      </c>
      <c r="FIL18" s="310" t="s">
        <v>201</v>
      </c>
      <c r="FIM18" s="310" t="s">
        <v>201</v>
      </c>
      <c r="FIN18" s="310" t="s">
        <v>201</v>
      </c>
      <c r="FIO18" s="310" t="s">
        <v>201</v>
      </c>
      <c r="FIP18" s="310" t="s">
        <v>201</v>
      </c>
      <c r="FIQ18" s="310" t="s">
        <v>201</v>
      </c>
      <c r="FIR18" s="310" t="s">
        <v>201</v>
      </c>
      <c r="FIS18" s="310" t="s">
        <v>201</v>
      </c>
      <c r="FIT18" s="310" t="s">
        <v>201</v>
      </c>
      <c r="FIU18" s="310" t="s">
        <v>201</v>
      </c>
      <c r="FIV18" s="310" t="s">
        <v>201</v>
      </c>
      <c r="FIW18" s="310" t="s">
        <v>201</v>
      </c>
      <c r="FIX18" s="310" t="s">
        <v>201</v>
      </c>
      <c r="FIY18" s="310" t="s">
        <v>201</v>
      </c>
      <c r="FIZ18" s="310" t="s">
        <v>201</v>
      </c>
      <c r="FJA18" s="310" t="s">
        <v>201</v>
      </c>
      <c r="FJB18" s="310" t="s">
        <v>201</v>
      </c>
      <c r="FJC18" s="310" t="s">
        <v>201</v>
      </c>
      <c r="FJD18" s="310" t="s">
        <v>201</v>
      </c>
      <c r="FJE18" s="310" t="s">
        <v>201</v>
      </c>
      <c r="FJF18" s="310" t="s">
        <v>201</v>
      </c>
      <c r="FJG18" s="310" t="s">
        <v>201</v>
      </c>
      <c r="FJH18" s="310" t="s">
        <v>201</v>
      </c>
      <c r="FJI18" s="310" t="s">
        <v>201</v>
      </c>
      <c r="FJJ18" s="310" t="s">
        <v>201</v>
      </c>
      <c r="FJK18" s="310" t="s">
        <v>201</v>
      </c>
      <c r="FJL18" s="310" t="s">
        <v>201</v>
      </c>
      <c r="FJM18" s="310" t="s">
        <v>201</v>
      </c>
      <c r="FJN18" s="310" t="s">
        <v>201</v>
      </c>
      <c r="FJO18" s="310" t="s">
        <v>201</v>
      </c>
      <c r="FJP18" s="310" t="s">
        <v>201</v>
      </c>
      <c r="FJQ18" s="310" t="s">
        <v>201</v>
      </c>
      <c r="FJR18" s="310" t="s">
        <v>201</v>
      </c>
      <c r="FJS18" s="310" t="s">
        <v>201</v>
      </c>
      <c r="FJT18" s="310" t="s">
        <v>201</v>
      </c>
      <c r="FJU18" s="310" t="s">
        <v>201</v>
      </c>
      <c r="FJV18" s="310" t="s">
        <v>201</v>
      </c>
      <c r="FJW18" s="310" t="s">
        <v>201</v>
      </c>
      <c r="FJX18" s="310" t="s">
        <v>201</v>
      </c>
      <c r="FJY18" s="310" t="s">
        <v>201</v>
      </c>
      <c r="FJZ18" s="310" t="s">
        <v>201</v>
      </c>
      <c r="FKA18" s="310" t="s">
        <v>201</v>
      </c>
      <c r="FKB18" s="310" t="s">
        <v>201</v>
      </c>
      <c r="FKC18" s="310" t="s">
        <v>201</v>
      </c>
      <c r="FKD18" s="310" t="s">
        <v>201</v>
      </c>
      <c r="FKE18" s="310" t="s">
        <v>201</v>
      </c>
      <c r="FKF18" s="310" t="s">
        <v>201</v>
      </c>
      <c r="FKG18" s="310" t="s">
        <v>201</v>
      </c>
      <c r="FKH18" s="310" t="s">
        <v>201</v>
      </c>
      <c r="FKI18" s="310" t="s">
        <v>201</v>
      </c>
      <c r="FKJ18" s="310" t="s">
        <v>201</v>
      </c>
      <c r="FKK18" s="310" t="s">
        <v>201</v>
      </c>
      <c r="FKL18" s="310" t="s">
        <v>201</v>
      </c>
      <c r="FKM18" s="310" t="s">
        <v>201</v>
      </c>
      <c r="FKN18" s="310" t="s">
        <v>201</v>
      </c>
      <c r="FKO18" s="310" t="s">
        <v>201</v>
      </c>
      <c r="FKP18" s="310" t="s">
        <v>201</v>
      </c>
      <c r="FKQ18" s="310" t="s">
        <v>201</v>
      </c>
      <c r="FKR18" s="310" t="s">
        <v>201</v>
      </c>
      <c r="FKS18" s="310" t="s">
        <v>201</v>
      </c>
      <c r="FKT18" s="310" t="s">
        <v>201</v>
      </c>
      <c r="FKU18" s="310" t="s">
        <v>201</v>
      </c>
      <c r="FKV18" s="310" t="s">
        <v>201</v>
      </c>
      <c r="FKW18" s="310" t="s">
        <v>201</v>
      </c>
      <c r="FKX18" s="310" t="s">
        <v>201</v>
      </c>
      <c r="FKY18" s="310" t="s">
        <v>201</v>
      </c>
      <c r="FKZ18" s="310" t="s">
        <v>201</v>
      </c>
      <c r="FLA18" s="310" t="s">
        <v>201</v>
      </c>
      <c r="FLB18" s="310" t="s">
        <v>201</v>
      </c>
      <c r="FLC18" s="310" t="s">
        <v>201</v>
      </c>
      <c r="FLD18" s="310" t="s">
        <v>201</v>
      </c>
      <c r="FLE18" s="310" t="s">
        <v>201</v>
      </c>
      <c r="FLF18" s="310" t="s">
        <v>201</v>
      </c>
      <c r="FLG18" s="310" t="s">
        <v>201</v>
      </c>
      <c r="FLH18" s="310" t="s">
        <v>201</v>
      </c>
      <c r="FLI18" s="310" t="s">
        <v>201</v>
      </c>
      <c r="FLJ18" s="310" t="s">
        <v>201</v>
      </c>
      <c r="FLK18" s="310" t="s">
        <v>201</v>
      </c>
      <c r="FLL18" s="310" t="s">
        <v>201</v>
      </c>
      <c r="FLM18" s="310" t="s">
        <v>201</v>
      </c>
      <c r="FLN18" s="310" t="s">
        <v>201</v>
      </c>
      <c r="FLO18" s="310" t="s">
        <v>201</v>
      </c>
      <c r="FLP18" s="310" t="s">
        <v>201</v>
      </c>
      <c r="FLQ18" s="310" t="s">
        <v>201</v>
      </c>
      <c r="FLR18" s="310" t="s">
        <v>201</v>
      </c>
      <c r="FLS18" s="310" t="s">
        <v>201</v>
      </c>
      <c r="FLT18" s="310" t="s">
        <v>201</v>
      </c>
      <c r="FLU18" s="310" t="s">
        <v>201</v>
      </c>
      <c r="FLV18" s="310" t="s">
        <v>201</v>
      </c>
      <c r="FLW18" s="310" t="s">
        <v>201</v>
      </c>
      <c r="FLX18" s="310" t="s">
        <v>201</v>
      </c>
      <c r="FLY18" s="310" t="s">
        <v>201</v>
      </c>
      <c r="FLZ18" s="310" t="s">
        <v>201</v>
      </c>
      <c r="FMA18" s="310" t="s">
        <v>201</v>
      </c>
      <c r="FMB18" s="310" t="s">
        <v>201</v>
      </c>
      <c r="FMC18" s="310" t="s">
        <v>201</v>
      </c>
      <c r="FMD18" s="310" t="s">
        <v>201</v>
      </c>
      <c r="FME18" s="310" t="s">
        <v>201</v>
      </c>
      <c r="FMF18" s="310" t="s">
        <v>201</v>
      </c>
      <c r="FMG18" s="310" t="s">
        <v>201</v>
      </c>
      <c r="FMH18" s="310" t="s">
        <v>201</v>
      </c>
      <c r="FMI18" s="310" t="s">
        <v>201</v>
      </c>
      <c r="FMJ18" s="310" t="s">
        <v>201</v>
      </c>
      <c r="FMK18" s="310" t="s">
        <v>201</v>
      </c>
      <c r="FML18" s="310" t="s">
        <v>201</v>
      </c>
      <c r="FMM18" s="310" t="s">
        <v>201</v>
      </c>
      <c r="FMN18" s="310" t="s">
        <v>201</v>
      </c>
      <c r="FMO18" s="310" t="s">
        <v>201</v>
      </c>
      <c r="FMP18" s="310" t="s">
        <v>201</v>
      </c>
      <c r="FMQ18" s="310" t="s">
        <v>201</v>
      </c>
      <c r="FMR18" s="310" t="s">
        <v>201</v>
      </c>
      <c r="FMS18" s="310" t="s">
        <v>201</v>
      </c>
      <c r="FMT18" s="310" t="s">
        <v>201</v>
      </c>
      <c r="FMU18" s="310" t="s">
        <v>201</v>
      </c>
      <c r="FMV18" s="310" t="s">
        <v>201</v>
      </c>
      <c r="FMW18" s="310" t="s">
        <v>201</v>
      </c>
      <c r="FMX18" s="310" t="s">
        <v>201</v>
      </c>
      <c r="FMY18" s="310" t="s">
        <v>201</v>
      </c>
      <c r="FMZ18" s="310" t="s">
        <v>201</v>
      </c>
      <c r="FNA18" s="310" t="s">
        <v>201</v>
      </c>
      <c r="FNB18" s="310" t="s">
        <v>201</v>
      </c>
      <c r="FNC18" s="310" t="s">
        <v>201</v>
      </c>
      <c r="FND18" s="310" t="s">
        <v>201</v>
      </c>
      <c r="FNE18" s="310" t="s">
        <v>201</v>
      </c>
      <c r="FNF18" s="310" t="s">
        <v>201</v>
      </c>
      <c r="FNG18" s="310" t="s">
        <v>201</v>
      </c>
      <c r="FNH18" s="310" t="s">
        <v>201</v>
      </c>
      <c r="FNI18" s="310" t="s">
        <v>201</v>
      </c>
      <c r="FNJ18" s="310" t="s">
        <v>201</v>
      </c>
      <c r="FNK18" s="310" t="s">
        <v>201</v>
      </c>
      <c r="FNL18" s="310" t="s">
        <v>201</v>
      </c>
      <c r="FNM18" s="310" t="s">
        <v>201</v>
      </c>
      <c r="FNN18" s="310" t="s">
        <v>201</v>
      </c>
      <c r="FNO18" s="310" t="s">
        <v>201</v>
      </c>
      <c r="FNP18" s="310" t="s">
        <v>201</v>
      </c>
      <c r="FNQ18" s="310" t="s">
        <v>201</v>
      </c>
      <c r="FNR18" s="310" t="s">
        <v>201</v>
      </c>
      <c r="FNS18" s="310" t="s">
        <v>201</v>
      </c>
      <c r="FNT18" s="310" t="s">
        <v>201</v>
      </c>
      <c r="FNU18" s="310" t="s">
        <v>201</v>
      </c>
      <c r="FNV18" s="310" t="s">
        <v>201</v>
      </c>
      <c r="FNW18" s="310" t="s">
        <v>201</v>
      </c>
      <c r="FNX18" s="310" t="s">
        <v>201</v>
      </c>
      <c r="FNY18" s="310" t="s">
        <v>201</v>
      </c>
      <c r="FNZ18" s="310" t="s">
        <v>201</v>
      </c>
      <c r="FOA18" s="310" t="s">
        <v>201</v>
      </c>
      <c r="FOB18" s="310" t="s">
        <v>201</v>
      </c>
      <c r="FOC18" s="310" t="s">
        <v>201</v>
      </c>
      <c r="FOD18" s="310" t="s">
        <v>201</v>
      </c>
      <c r="FOE18" s="310" t="s">
        <v>201</v>
      </c>
      <c r="FOF18" s="310" t="s">
        <v>201</v>
      </c>
      <c r="FOG18" s="310" t="s">
        <v>201</v>
      </c>
      <c r="FOH18" s="310" t="s">
        <v>201</v>
      </c>
      <c r="FOI18" s="310" t="s">
        <v>201</v>
      </c>
      <c r="FOJ18" s="310" t="s">
        <v>201</v>
      </c>
      <c r="FOK18" s="310" t="s">
        <v>201</v>
      </c>
      <c r="FOL18" s="310" t="s">
        <v>201</v>
      </c>
      <c r="FOM18" s="310" t="s">
        <v>201</v>
      </c>
      <c r="FON18" s="310" t="s">
        <v>201</v>
      </c>
      <c r="FOO18" s="310" t="s">
        <v>201</v>
      </c>
      <c r="FOP18" s="310" t="s">
        <v>201</v>
      </c>
      <c r="FOQ18" s="310" t="s">
        <v>201</v>
      </c>
      <c r="FOR18" s="310" t="s">
        <v>201</v>
      </c>
      <c r="FOS18" s="310" t="s">
        <v>201</v>
      </c>
      <c r="FOT18" s="310" t="s">
        <v>201</v>
      </c>
      <c r="FOU18" s="310" t="s">
        <v>201</v>
      </c>
      <c r="FOV18" s="310" t="s">
        <v>201</v>
      </c>
      <c r="FOW18" s="310" t="s">
        <v>201</v>
      </c>
      <c r="FOX18" s="310" t="s">
        <v>201</v>
      </c>
      <c r="FOY18" s="310" t="s">
        <v>201</v>
      </c>
      <c r="FOZ18" s="310" t="s">
        <v>201</v>
      </c>
      <c r="FPA18" s="310" t="s">
        <v>201</v>
      </c>
      <c r="FPB18" s="310" t="s">
        <v>201</v>
      </c>
      <c r="FPC18" s="310" t="s">
        <v>201</v>
      </c>
      <c r="FPD18" s="310" t="s">
        <v>201</v>
      </c>
      <c r="FPE18" s="310" t="s">
        <v>201</v>
      </c>
      <c r="FPF18" s="310" t="s">
        <v>201</v>
      </c>
      <c r="FPG18" s="310" t="s">
        <v>201</v>
      </c>
      <c r="FPH18" s="310" t="s">
        <v>201</v>
      </c>
      <c r="FPI18" s="310" t="s">
        <v>201</v>
      </c>
      <c r="FPJ18" s="310" t="s">
        <v>201</v>
      </c>
      <c r="FPK18" s="310" t="s">
        <v>201</v>
      </c>
      <c r="FPL18" s="310" t="s">
        <v>201</v>
      </c>
      <c r="FPM18" s="310" t="s">
        <v>201</v>
      </c>
      <c r="FPN18" s="310" t="s">
        <v>201</v>
      </c>
      <c r="FPO18" s="310" t="s">
        <v>201</v>
      </c>
      <c r="FPP18" s="310" t="s">
        <v>201</v>
      </c>
      <c r="FPQ18" s="310" t="s">
        <v>201</v>
      </c>
      <c r="FPR18" s="310" t="s">
        <v>201</v>
      </c>
      <c r="FPS18" s="310" t="s">
        <v>201</v>
      </c>
      <c r="FPT18" s="310" t="s">
        <v>201</v>
      </c>
      <c r="FPU18" s="310" t="s">
        <v>201</v>
      </c>
      <c r="FPV18" s="310" t="s">
        <v>201</v>
      </c>
      <c r="FPW18" s="310" t="s">
        <v>201</v>
      </c>
      <c r="FPX18" s="310" t="s">
        <v>201</v>
      </c>
      <c r="FPY18" s="310" t="s">
        <v>201</v>
      </c>
      <c r="FPZ18" s="310" t="s">
        <v>201</v>
      </c>
      <c r="FQA18" s="310" t="s">
        <v>201</v>
      </c>
      <c r="FQB18" s="310" t="s">
        <v>201</v>
      </c>
      <c r="FQC18" s="310" t="s">
        <v>201</v>
      </c>
      <c r="FQD18" s="310" t="s">
        <v>201</v>
      </c>
      <c r="FQE18" s="310" t="s">
        <v>201</v>
      </c>
      <c r="FQF18" s="310" t="s">
        <v>201</v>
      </c>
      <c r="FQG18" s="310" t="s">
        <v>201</v>
      </c>
      <c r="FQH18" s="310" t="s">
        <v>201</v>
      </c>
      <c r="FQI18" s="310" t="s">
        <v>201</v>
      </c>
      <c r="FQJ18" s="310" t="s">
        <v>201</v>
      </c>
      <c r="FQK18" s="310" t="s">
        <v>201</v>
      </c>
      <c r="FQL18" s="310" t="s">
        <v>201</v>
      </c>
      <c r="FQM18" s="310" t="s">
        <v>201</v>
      </c>
      <c r="FQN18" s="310" t="s">
        <v>201</v>
      </c>
      <c r="FQO18" s="310" t="s">
        <v>201</v>
      </c>
      <c r="FQP18" s="310" t="s">
        <v>201</v>
      </c>
      <c r="FQQ18" s="310" t="s">
        <v>201</v>
      </c>
      <c r="FQR18" s="310" t="s">
        <v>201</v>
      </c>
      <c r="FQS18" s="310" t="s">
        <v>201</v>
      </c>
      <c r="FQT18" s="310" t="s">
        <v>201</v>
      </c>
      <c r="FQU18" s="310" t="s">
        <v>201</v>
      </c>
      <c r="FQV18" s="310" t="s">
        <v>201</v>
      </c>
      <c r="FQW18" s="310" t="s">
        <v>201</v>
      </c>
      <c r="FQX18" s="310" t="s">
        <v>201</v>
      </c>
      <c r="FQY18" s="310" t="s">
        <v>201</v>
      </c>
      <c r="FQZ18" s="310" t="s">
        <v>201</v>
      </c>
      <c r="FRA18" s="310" t="s">
        <v>201</v>
      </c>
      <c r="FRB18" s="310" t="s">
        <v>201</v>
      </c>
      <c r="FRC18" s="310" t="s">
        <v>201</v>
      </c>
      <c r="FRD18" s="310" t="s">
        <v>201</v>
      </c>
      <c r="FRE18" s="310" t="s">
        <v>201</v>
      </c>
      <c r="FRF18" s="310" t="s">
        <v>201</v>
      </c>
      <c r="FRG18" s="310" t="s">
        <v>201</v>
      </c>
      <c r="FRH18" s="310" t="s">
        <v>201</v>
      </c>
      <c r="FRI18" s="310" t="s">
        <v>201</v>
      </c>
      <c r="FRJ18" s="310" t="s">
        <v>201</v>
      </c>
      <c r="FRK18" s="310" t="s">
        <v>201</v>
      </c>
      <c r="FRL18" s="310" t="s">
        <v>201</v>
      </c>
      <c r="FRM18" s="310" t="s">
        <v>201</v>
      </c>
      <c r="FRN18" s="310" t="s">
        <v>201</v>
      </c>
      <c r="FRO18" s="310" t="s">
        <v>201</v>
      </c>
      <c r="FRP18" s="310" t="s">
        <v>201</v>
      </c>
      <c r="FRQ18" s="310" t="s">
        <v>201</v>
      </c>
      <c r="FRR18" s="310" t="s">
        <v>201</v>
      </c>
      <c r="FRS18" s="310" t="s">
        <v>201</v>
      </c>
      <c r="FRT18" s="310" t="s">
        <v>201</v>
      </c>
      <c r="FRU18" s="310" t="s">
        <v>201</v>
      </c>
      <c r="FRV18" s="310" t="s">
        <v>201</v>
      </c>
      <c r="FRW18" s="310" t="s">
        <v>201</v>
      </c>
      <c r="FRX18" s="310" t="s">
        <v>201</v>
      </c>
      <c r="FRY18" s="310" t="s">
        <v>201</v>
      </c>
      <c r="FRZ18" s="310" t="s">
        <v>201</v>
      </c>
      <c r="FSA18" s="310" t="s">
        <v>201</v>
      </c>
      <c r="FSB18" s="310" t="s">
        <v>201</v>
      </c>
      <c r="FSC18" s="310" t="s">
        <v>201</v>
      </c>
      <c r="FSD18" s="310" t="s">
        <v>201</v>
      </c>
      <c r="FSE18" s="310" t="s">
        <v>201</v>
      </c>
      <c r="FSF18" s="310" t="s">
        <v>201</v>
      </c>
      <c r="FSG18" s="310" t="s">
        <v>201</v>
      </c>
      <c r="FSH18" s="310" t="s">
        <v>201</v>
      </c>
      <c r="FSI18" s="310" t="s">
        <v>201</v>
      </c>
      <c r="FSJ18" s="310" t="s">
        <v>201</v>
      </c>
      <c r="FSK18" s="310" t="s">
        <v>201</v>
      </c>
      <c r="FSL18" s="310" t="s">
        <v>201</v>
      </c>
      <c r="FSM18" s="310" t="s">
        <v>201</v>
      </c>
      <c r="FSN18" s="310" t="s">
        <v>201</v>
      </c>
      <c r="FSO18" s="310" t="s">
        <v>201</v>
      </c>
      <c r="FSP18" s="310" t="s">
        <v>201</v>
      </c>
      <c r="FSQ18" s="310" t="s">
        <v>201</v>
      </c>
      <c r="FSR18" s="310" t="s">
        <v>201</v>
      </c>
      <c r="FSS18" s="310" t="s">
        <v>201</v>
      </c>
      <c r="FST18" s="310" t="s">
        <v>201</v>
      </c>
      <c r="FSU18" s="310" t="s">
        <v>201</v>
      </c>
      <c r="FSV18" s="310" t="s">
        <v>201</v>
      </c>
      <c r="FSW18" s="310" t="s">
        <v>201</v>
      </c>
      <c r="FSX18" s="310" t="s">
        <v>201</v>
      </c>
      <c r="FSY18" s="310" t="s">
        <v>201</v>
      </c>
      <c r="FSZ18" s="310" t="s">
        <v>201</v>
      </c>
      <c r="FTA18" s="310" t="s">
        <v>201</v>
      </c>
      <c r="FTB18" s="310" t="s">
        <v>201</v>
      </c>
      <c r="FTC18" s="310" t="s">
        <v>201</v>
      </c>
      <c r="FTD18" s="310" t="s">
        <v>201</v>
      </c>
      <c r="FTE18" s="310" t="s">
        <v>201</v>
      </c>
      <c r="FTF18" s="310" t="s">
        <v>201</v>
      </c>
      <c r="FTG18" s="310" t="s">
        <v>201</v>
      </c>
      <c r="FTH18" s="310" t="s">
        <v>201</v>
      </c>
      <c r="FTI18" s="310" t="s">
        <v>201</v>
      </c>
      <c r="FTJ18" s="310" t="s">
        <v>201</v>
      </c>
      <c r="FTK18" s="310" t="s">
        <v>201</v>
      </c>
      <c r="FTL18" s="310" t="s">
        <v>201</v>
      </c>
      <c r="FTM18" s="310" t="s">
        <v>201</v>
      </c>
      <c r="FTN18" s="310" t="s">
        <v>201</v>
      </c>
      <c r="FTO18" s="310" t="s">
        <v>201</v>
      </c>
      <c r="FTP18" s="310" t="s">
        <v>201</v>
      </c>
      <c r="FTQ18" s="310" t="s">
        <v>201</v>
      </c>
      <c r="FTR18" s="310" t="s">
        <v>201</v>
      </c>
      <c r="FTS18" s="310" t="s">
        <v>201</v>
      </c>
      <c r="FTT18" s="310" t="s">
        <v>201</v>
      </c>
      <c r="FTU18" s="310" t="s">
        <v>201</v>
      </c>
      <c r="FTV18" s="310" t="s">
        <v>201</v>
      </c>
      <c r="FTW18" s="310" t="s">
        <v>201</v>
      </c>
      <c r="FTX18" s="310" t="s">
        <v>201</v>
      </c>
      <c r="FTY18" s="310" t="s">
        <v>201</v>
      </c>
      <c r="FTZ18" s="310" t="s">
        <v>201</v>
      </c>
      <c r="FUA18" s="310" t="s">
        <v>201</v>
      </c>
      <c r="FUB18" s="310" t="s">
        <v>201</v>
      </c>
      <c r="FUC18" s="310" t="s">
        <v>201</v>
      </c>
      <c r="FUD18" s="310" t="s">
        <v>201</v>
      </c>
      <c r="FUE18" s="310" t="s">
        <v>201</v>
      </c>
      <c r="FUF18" s="310" t="s">
        <v>201</v>
      </c>
      <c r="FUG18" s="310" t="s">
        <v>201</v>
      </c>
      <c r="FUH18" s="310" t="s">
        <v>201</v>
      </c>
      <c r="FUI18" s="310" t="s">
        <v>201</v>
      </c>
      <c r="FUJ18" s="310" t="s">
        <v>201</v>
      </c>
      <c r="FUK18" s="310" t="s">
        <v>201</v>
      </c>
      <c r="FUL18" s="310" t="s">
        <v>201</v>
      </c>
      <c r="FUM18" s="310" t="s">
        <v>201</v>
      </c>
      <c r="FUN18" s="310" t="s">
        <v>201</v>
      </c>
      <c r="FUO18" s="310" t="s">
        <v>201</v>
      </c>
      <c r="FUP18" s="310" t="s">
        <v>201</v>
      </c>
      <c r="FUQ18" s="310" t="s">
        <v>201</v>
      </c>
      <c r="FUR18" s="310" t="s">
        <v>201</v>
      </c>
      <c r="FUS18" s="310" t="s">
        <v>201</v>
      </c>
      <c r="FUT18" s="310" t="s">
        <v>201</v>
      </c>
      <c r="FUU18" s="310" t="s">
        <v>201</v>
      </c>
      <c r="FUV18" s="310" t="s">
        <v>201</v>
      </c>
      <c r="FUW18" s="310" t="s">
        <v>201</v>
      </c>
      <c r="FUX18" s="310" t="s">
        <v>201</v>
      </c>
      <c r="FUY18" s="310" t="s">
        <v>201</v>
      </c>
      <c r="FUZ18" s="310" t="s">
        <v>201</v>
      </c>
      <c r="FVA18" s="310" t="s">
        <v>201</v>
      </c>
      <c r="FVB18" s="310" t="s">
        <v>201</v>
      </c>
      <c r="FVC18" s="310" t="s">
        <v>201</v>
      </c>
      <c r="FVD18" s="310" t="s">
        <v>201</v>
      </c>
      <c r="FVE18" s="310" t="s">
        <v>201</v>
      </c>
      <c r="FVF18" s="310" t="s">
        <v>201</v>
      </c>
      <c r="FVG18" s="310" t="s">
        <v>201</v>
      </c>
      <c r="FVH18" s="310" t="s">
        <v>201</v>
      </c>
      <c r="FVI18" s="310" t="s">
        <v>201</v>
      </c>
      <c r="FVJ18" s="310" t="s">
        <v>201</v>
      </c>
      <c r="FVK18" s="310" t="s">
        <v>201</v>
      </c>
      <c r="FVL18" s="310" t="s">
        <v>201</v>
      </c>
      <c r="FVM18" s="310" t="s">
        <v>201</v>
      </c>
      <c r="FVN18" s="310" t="s">
        <v>201</v>
      </c>
      <c r="FVO18" s="310" t="s">
        <v>201</v>
      </c>
      <c r="FVP18" s="310" t="s">
        <v>201</v>
      </c>
      <c r="FVQ18" s="310" t="s">
        <v>201</v>
      </c>
      <c r="FVR18" s="310" t="s">
        <v>201</v>
      </c>
      <c r="FVS18" s="310" t="s">
        <v>201</v>
      </c>
      <c r="FVT18" s="310" t="s">
        <v>201</v>
      </c>
      <c r="FVU18" s="310" t="s">
        <v>201</v>
      </c>
      <c r="FVV18" s="310" t="s">
        <v>201</v>
      </c>
      <c r="FVW18" s="310" t="s">
        <v>201</v>
      </c>
      <c r="FVX18" s="310" t="s">
        <v>201</v>
      </c>
      <c r="FVY18" s="310" t="s">
        <v>201</v>
      </c>
      <c r="FVZ18" s="310" t="s">
        <v>201</v>
      </c>
      <c r="FWA18" s="310" t="s">
        <v>201</v>
      </c>
      <c r="FWB18" s="310" t="s">
        <v>201</v>
      </c>
      <c r="FWC18" s="310" t="s">
        <v>201</v>
      </c>
      <c r="FWD18" s="310" t="s">
        <v>201</v>
      </c>
      <c r="FWE18" s="310" t="s">
        <v>201</v>
      </c>
      <c r="FWF18" s="310" t="s">
        <v>201</v>
      </c>
      <c r="FWG18" s="310" t="s">
        <v>201</v>
      </c>
      <c r="FWH18" s="310" t="s">
        <v>201</v>
      </c>
      <c r="FWI18" s="310" t="s">
        <v>201</v>
      </c>
      <c r="FWJ18" s="310" t="s">
        <v>201</v>
      </c>
      <c r="FWK18" s="310" t="s">
        <v>201</v>
      </c>
      <c r="FWL18" s="310" t="s">
        <v>201</v>
      </c>
      <c r="FWM18" s="310" t="s">
        <v>201</v>
      </c>
      <c r="FWN18" s="310" t="s">
        <v>201</v>
      </c>
      <c r="FWO18" s="310" t="s">
        <v>201</v>
      </c>
      <c r="FWP18" s="310" t="s">
        <v>201</v>
      </c>
      <c r="FWQ18" s="310" t="s">
        <v>201</v>
      </c>
      <c r="FWR18" s="310" t="s">
        <v>201</v>
      </c>
      <c r="FWS18" s="310" t="s">
        <v>201</v>
      </c>
      <c r="FWT18" s="310" t="s">
        <v>201</v>
      </c>
      <c r="FWU18" s="310" t="s">
        <v>201</v>
      </c>
      <c r="FWV18" s="310" t="s">
        <v>201</v>
      </c>
      <c r="FWW18" s="310" t="s">
        <v>201</v>
      </c>
      <c r="FWX18" s="310" t="s">
        <v>201</v>
      </c>
      <c r="FWY18" s="310" t="s">
        <v>201</v>
      </c>
      <c r="FWZ18" s="310" t="s">
        <v>201</v>
      </c>
      <c r="FXA18" s="310" t="s">
        <v>201</v>
      </c>
      <c r="FXB18" s="310" t="s">
        <v>201</v>
      </c>
      <c r="FXC18" s="310" t="s">
        <v>201</v>
      </c>
      <c r="FXD18" s="310" t="s">
        <v>201</v>
      </c>
      <c r="FXE18" s="310" t="s">
        <v>201</v>
      </c>
      <c r="FXF18" s="310" t="s">
        <v>201</v>
      </c>
      <c r="FXG18" s="310" t="s">
        <v>201</v>
      </c>
      <c r="FXH18" s="310" t="s">
        <v>201</v>
      </c>
      <c r="FXI18" s="310" t="s">
        <v>201</v>
      </c>
      <c r="FXJ18" s="310" t="s">
        <v>201</v>
      </c>
      <c r="FXK18" s="310" t="s">
        <v>201</v>
      </c>
      <c r="FXL18" s="310" t="s">
        <v>201</v>
      </c>
      <c r="FXM18" s="310" t="s">
        <v>201</v>
      </c>
      <c r="FXN18" s="310" t="s">
        <v>201</v>
      </c>
      <c r="FXO18" s="310" t="s">
        <v>201</v>
      </c>
      <c r="FXP18" s="310" t="s">
        <v>201</v>
      </c>
      <c r="FXQ18" s="310" t="s">
        <v>201</v>
      </c>
      <c r="FXR18" s="310" t="s">
        <v>201</v>
      </c>
      <c r="FXS18" s="310" t="s">
        <v>201</v>
      </c>
      <c r="FXT18" s="310" t="s">
        <v>201</v>
      </c>
      <c r="FXU18" s="310" t="s">
        <v>201</v>
      </c>
      <c r="FXV18" s="310" t="s">
        <v>201</v>
      </c>
      <c r="FXW18" s="310" t="s">
        <v>201</v>
      </c>
      <c r="FXX18" s="310" t="s">
        <v>201</v>
      </c>
      <c r="FXY18" s="310" t="s">
        <v>201</v>
      </c>
      <c r="FXZ18" s="310" t="s">
        <v>201</v>
      </c>
      <c r="FYA18" s="310" t="s">
        <v>201</v>
      </c>
      <c r="FYB18" s="310" t="s">
        <v>201</v>
      </c>
      <c r="FYC18" s="310" t="s">
        <v>201</v>
      </c>
      <c r="FYD18" s="310" t="s">
        <v>201</v>
      </c>
      <c r="FYE18" s="310" t="s">
        <v>201</v>
      </c>
      <c r="FYF18" s="310" t="s">
        <v>201</v>
      </c>
      <c r="FYG18" s="310" t="s">
        <v>201</v>
      </c>
      <c r="FYH18" s="310" t="s">
        <v>201</v>
      </c>
      <c r="FYI18" s="310" t="s">
        <v>201</v>
      </c>
      <c r="FYJ18" s="310" t="s">
        <v>201</v>
      </c>
      <c r="FYK18" s="310" t="s">
        <v>201</v>
      </c>
      <c r="FYL18" s="310" t="s">
        <v>201</v>
      </c>
      <c r="FYM18" s="310" t="s">
        <v>201</v>
      </c>
      <c r="FYN18" s="310" t="s">
        <v>201</v>
      </c>
      <c r="FYO18" s="310" t="s">
        <v>201</v>
      </c>
      <c r="FYP18" s="310" t="s">
        <v>201</v>
      </c>
      <c r="FYQ18" s="310" t="s">
        <v>201</v>
      </c>
      <c r="FYR18" s="310" t="s">
        <v>201</v>
      </c>
      <c r="FYS18" s="310" t="s">
        <v>201</v>
      </c>
      <c r="FYT18" s="310" t="s">
        <v>201</v>
      </c>
      <c r="FYU18" s="310" t="s">
        <v>201</v>
      </c>
      <c r="FYV18" s="310" t="s">
        <v>201</v>
      </c>
      <c r="FYW18" s="310" t="s">
        <v>201</v>
      </c>
      <c r="FYX18" s="310" t="s">
        <v>201</v>
      </c>
      <c r="FYY18" s="310" t="s">
        <v>201</v>
      </c>
      <c r="FYZ18" s="310" t="s">
        <v>201</v>
      </c>
      <c r="FZA18" s="310" t="s">
        <v>201</v>
      </c>
      <c r="FZB18" s="310" t="s">
        <v>201</v>
      </c>
      <c r="FZC18" s="310" t="s">
        <v>201</v>
      </c>
      <c r="FZD18" s="310" t="s">
        <v>201</v>
      </c>
      <c r="FZE18" s="310" t="s">
        <v>201</v>
      </c>
      <c r="FZF18" s="310" t="s">
        <v>201</v>
      </c>
      <c r="FZG18" s="310" t="s">
        <v>201</v>
      </c>
      <c r="FZH18" s="310" t="s">
        <v>201</v>
      </c>
      <c r="FZI18" s="310" t="s">
        <v>201</v>
      </c>
      <c r="FZJ18" s="310" t="s">
        <v>201</v>
      </c>
      <c r="FZK18" s="310" t="s">
        <v>201</v>
      </c>
      <c r="FZL18" s="310" t="s">
        <v>201</v>
      </c>
      <c r="FZM18" s="310" t="s">
        <v>201</v>
      </c>
      <c r="FZN18" s="310" t="s">
        <v>201</v>
      </c>
      <c r="FZO18" s="310" t="s">
        <v>201</v>
      </c>
      <c r="FZP18" s="310" t="s">
        <v>201</v>
      </c>
      <c r="FZQ18" s="310" t="s">
        <v>201</v>
      </c>
      <c r="FZR18" s="310" t="s">
        <v>201</v>
      </c>
      <c r="FZS18" s="310" t="s">
        <v>201</v>
      </c>
      <c r="FZT18" s="310" t="s">
        <v>201</v>
      </c>
      <c r="FZU18" s="310" t="s">
        <v>201</v>
      </c>
      <c r="FZV18" s="310" t="s">
        <v>201</v>
      </c>
      <c r="FZW18" s="310" t="s">
        <v>201</v>
      </c>
      <c r="FZX18" s="310" t="s">
        <v>201</v>
      </c>
      <c r="FZY18" s="310" t="s">
        <v>201</v>
      </c>
      <c r="FZZ18" s="310" t="s">
        <v>201</v>
      </c>
      <c r="GAA18" s="310" t="s">
        <v>201</v>
      </c>
      <c r="GAB18" s="310" t="s">
        <v>201</v>
      </c>
      <c r="GAC18" s="310" t="s">
        <v>201</v>
      </c>
      <c r="GAD18" s="310" t="s">
        <v>201</v>
      </c>
      <c r="GAE18" s="310" t="s">
        <v>201</v>
      </c>
      <c r="GAF18" s="310" t="s">
        <v>201</v>
      </c>
      <c r="GAG18" s="310" t="s">
        <v>201</v>
      </c>
      <c r="GAH18" s="310" t="s">
        <v>201</v>
      </c>
      <c r="GAI18" s="310" t="s">
        <v>201</v>
      </c>
      <c r="GAJ18" s="310" t="s">
        <v>201</v>
      </c>
      <c r="GAK18" s="310" t="s">
        <v>201</v>
      </c>
      <c r="GAL18" s="310" t="s">
        <v>201</v>
      </c>
      <c r="GAM18" s="310" t="s">
        <v>201</v>
      </c>
      <c r="GAN18" s="310" t="s">
        <v>201</v>
      </c>
      <c r="GAO18" s="310" t="s">
        <v>201</v>
      </c>
      <c r="GAP18" s="310" t="s">
        <v>201</v>
      </c>
      <c r="GAQ18" s="310" t="s">
        <v>201</v>
      </c>
      <c r="GAR18" s="310" t="s">
        <v>201</v>
      </c>
      <c r="GAS18" s="310" t="s">
        <v>201</v>
      </c>
      <c r="GAT18" s="310" t="s">
        <v>201</v>
      </c>
      <c r="GAU18" s="310" t="s">
        <v>201</v>
      </c>
      <c r="GAV18" s="310" t="s">
        <v>201</v>
      </c>
      <c r="GAW18" s="310" t="s">
        <v>201</v>
      </c>
      <c r="GAX18" s="310" t="s">
        <v>201</v>
      </c>
      <c r="GAY18" s="310" t="s">
        <v>201</v>
      </c>
      <c r="GAZ18" s="310" t="s">
        <v>201</v>
      </c>
      <c r="GBA18" s="310" t="s">
        <v>201</v>
      </c>
      <c r="GBB18" s="310" t="s">
        <v>201</v>
      </c>
      <c r="GBC18" s="310" t="s">
        <v>201</v>
      </c>
      <c r="GBD18" s="310" t="s">
        <v>201</v>
      </c>
      <c r="GBE18" s="310" t="s">
        <v>201</v>
      </c>
      <c r="GBF18" s="310" t="s">
        <v>201</v>
      </c>
      <c r="GBG18" s="310" t="s">
        <v>201</v>
      </c>
      <c r="GBH18" s="310" t="s">
        <v>201</v>
      </c>
      <c r="GBI18" s="310" t="s">
        <v>201</v>
      </c>
      <c r="GBJ18" s="310" t="s">
        <v>201</v>
      </c>
      <c r="GBK18" s="310" t="s">
        <v>201</v>
      </c>
      <c r="GBL18" s="310" t="s">
        <v>201</v>
      </c>
      <c r="GBM18" s="310" t="s">
        <v>201</v>
      </c>
      <c r="GBN18" s="310" t="s">
        <v>201</v>
      </c>
      <c r="GBO18" s="310" t="s">
        <v>201</v>
      </c>
      <c r="GBP18" s="310" t="s">
        <v>201</v>
      </c>
      <c r="GBQ18" s="310" t="s">
        <v>201</v>
      </c>
      <c r="GBR18" s="310" t="s">
        <v>201</v>
      </c>
      <c r="GBS18" s="310" t="s">
        <v>201</v>
      </c>
      <c r="GBT18" s="310" t="s">
        <v>201</v>
      </c>
      <c r="GBU18" s="310" t="s">
        <v>201</v>
      </c>
      <c r="GBV18" s="310" t="s">
        <v>201</v>
      </c>
      <c r="GBW18" s="310" t="s">
        <v>201</v>
      </c>
      <c r="GBX18" s="310" t="s">
        <v>201</v>
      </c>
      <c r="GBY18" s="310" t="s">
        <v>201</v>
      </c>
      <c r="GBZ18" s="310" t="s">
        <v>201</v>
      </c>
      <c r="GCA18" s="310" t="s">
        <v>201</v>
      </c>
      <c r="GCB18" s="310" t="s">
        <v>201</v>
      </c>
      <c r="GCC18" s="310" t="s">
        <v>201</v>
      </c>
      <c r="GCD18" s="310" t="s">
        <v>201</v>
      </c>
      <c r="GCE18" s="310" t="s">
        <v>201</v>
      </c>
      <c r="GCF18" s="310" t="s">
        <v>201</v>
      </c>
      <c r="GCG18" s="310" t="s">
        <v>201</v>
      </c>
      <c r="GCH18" s="310" t="s">
        <v>201</v>
      </c>
      <c r="GCI18" s="310" t="s">
        <v>201</v>
      </c>
      <c r="GCJ18" s="310" t="s">
        <v>201</v>
      </c>
      <c r="GCK18" s="310" t="s">
        <v>201</v>
      </c>
      <c r="GCL18" s="310" t="s">
        <v>201</v>
      </c>
      <c r="GCM18" s="310" t="s">
        <v>201</v>
      </c>
      <c r="GCN18" s="310" t="s">
        <v>201</v>
      </c>
      <c r="GCO18" s="310" t="s">
        <v>201</v>
      </c>
      <c r="GCP18" s="310" t="s">
        <v>201</v>
      </c>
      <c r="GCQ18" s="310" t="s">
        <v>201</v>
      </c>
      <c r="GCR18" s="310" t="s">
        <v>201</v>
      </c>
      <c r="GCS18" s="310" t="s">
        <v>201</v>
      </c>
      <c r="GCT18" s="310" t="s">
        <v>201</v>
      </c>
      <c r="GCU18" s="310" t="s">
        <v>201</v>
      </c>
      <c r="GCV18" s="310" t="s">
        <v>201</v>
      </c>
      <c r="GCW18" s="310" t="s">
        <v>201</v>
      </c>
      <c r="GCX18" s="310" t="s">
        <v>201</v>
      </c>
      <c r="GCY18" s="310" t="s">
        <v>201</v>
      </c>
      <c r="GCZ18" s="310" t="s">
        <v>201</v>
      </c>
      <c r="GDA18" s="310" t="s">
        <v>201</v>
      </c>
      <c r="GDB18" s="310" t="s">
        <v>201</v>
      </c>
      <c r="GDC18" s="310" t="s">
        <v>201</v>
      </c>
      <c r="GDD18" s="310" t="s">
        <v>201</v>
      </c>
      <c r="GDE18" s="310" t="s">
        <v>201</v>
      </c>
      <c r="GDF18" s="310" t="s">
        <v>201</v>
      </c>
      <c r="GDG18" s="310" t="s">
        <v>201</v>
      </c>
      <c r="GDH18" s="310" t="s">
        <v>201</v>
      </c>
      <c r="GDI18" s="310" t="s">
        <v>201</v>
      </c>
      <c r="GDJ18" s="310" t="s">
        <v>201</v>
      </c>
      <c r="GDK18" s="310" t="s">
        <v>201</v>
      </c>
      <c r="GDL18" s="310" t="s">
        <v>201</v>
      </c>
      <c r="GDM18" s="310" t="s">
        <v>201</v>
      </c>
      <c r="GDN18" s="310" t="s">
        <v>201</v>
      </c>
      <c r="GDO18" s="310" t="s">
        <v>201</v>
      </c>
      <c r="GDP18" s="310" t="s">
        <v>201</v>
      </c>
      <c r="GDQ18" s="310" t="s">
        <v>201</v>
      </c>
      <c r="GDR18" s="310" t="s">
        <v>201</v>
      </c>
      <c r="GDS18" s="310" t="s">
        <v>201</v>
      </c>
      <c r="GDT18" s="310" t="s">
        <v>201</v>
      </c>
      <c r="GDU18" s="310" t="s">
        <v>201</v>
      </c>
      <c r="GDV18" s="310" t="s">
        <v>201</v>
      </c>
      <c r="GDW18" s="310" t="s">
        <v>201</v>
      </c>
      <c r="GDX18" s="310" t="s">
        <v>201</v>
      </c>
      <c r="GDY18" s="310" t="s">
        <v>201</v>
      </c>
      <c r="GDZ18" s="310" t="s">
        <v>201</v>
      </c>
      <c r="GEA18" s="310" t="s">
        <v>201</v>
      </c>
      <c r="GEB18" s="310" t="s">
        <v>201</v>
      </c>
      <c r="GEC18" s="310" t="s">
        <v>201</v>
      </c>
      <c r="GED18" s="310" t="s">
        <v>201</v>
      </c>
      <c r="GEE18" s="310" t="s">
        <v>201</v>
      </c>
      <c r="GEF18" s="310" t="s">
        <v>201</v>
      </c>
      <c r="GEG18" s="310" t="s">
        <v>201</v>
      </c>
      <c r="GEH18" s="310" t="s">
        <v>201</v>
      </c>
      <c r="GEI18" s="310" t="s">
        <v>201</v>
      </c>
      <c r="GEJ18" s="310" t="s">
        <v>201</v>
      </c>
      <c r="GEK18" s="310" t="s">
        <v>201</v>
      </c>
      <c r="GEL18" s="310" t="s">
        <v>201</v>
      </c>
      <c r="GEM18" s="310" t="s">
        <v>201</v>
      </c>
      <c r="GEN18" s="310" t="s">
        <v>201</v>
      </c>
      <c r="GEO18" s="310" t="s">
        <v>201</v>
      </c>
      <c r="GEP18" s="310" t="s">
        <v>201</v>
      </c>
      <c r="GEQ18" s="310" t="s">
        <v>201</v>
      </c>
      <c r="GER18" s="310" t="s">
        <v>201</v>
      </c>
      <c r="GES18" s="310" t="s">
        <v>201</v>
      </c>
      <c r="GET18" s="310" t="s">
        <v>201</v>
      </c>
      <c r="GEU18" s="310" t="s">
        <v>201</v>
      </c>
      <c r="GEV18" s="310" t="s">
        <v>201</v>
      </c>
      <c r="GEW18" s="310" t="s">
        <v>201</v>
      </c>
      <c r="GEX18" s="310" t="s">
        <v>201</v>
      </c>
      <c r="GEY18" s="310" t="s">
        <v>201</v>
      </c>
      <c r="GEZ18" s="310" t="s">
        <v>201</v>
      </c>
      <c r="GFA18" s="310" t="s">
        <v>201</v>
      </c>
      <c r="GFB18" s="310" t="s">
        <v>201</v>
      </c>
      <c r="GFC18" s="310" t="s">
        <v>201</v>
      </c>
      <c r="GFD18" s="310" t="s">
        <v>201</v>
      </c>
      <c r="GFE18" s="310" t="s">
        <v>201</v>
      </c>
      <c r="GFF18" s="310" t="s">
        <v>201</v>
      </c>
      <c r="GFG18" s="310" t="s">
        <v>201</v>
      </c>
      <c r="GFH18" s="310" t="s">
        <v>201</v>
      </c>
      <c r="GFI18" s="310" t="s">
        <v>201</v>
      </c>
      <c r="GFJ18" s="310" t="s">
        <v>201</v>
      </c>
      <c r="GFK18" s="310" t="s">
        <v>201</v>
      </c>
      <c r="GFL18" s="310" t="s">
        <v>201</v>
      </c>
      <c r="GFM18" s="310" t="s">
        <v>201</v>
      </c>
      <c r="GFN18" s="310" t="s">
        <v>201</v>
      </c>
      <c r="GFO18" s="310" t="s">
        <v>201</v>
      </c>
      <c r="GFP18" s="310" t="s">
        <v>201</v>
      </c>
      <c r="GFQ18" s="310" t="s">
        <v>201</v>
      </c>
      <c r="GFR18" s="310" t="s">
        <v>201</v>
      </c>
      <c r="GFS18" s="310" t="s">
        <v>201</v>
      </c>
      <c r="GFT18" s="310" t="s">
        <v>201</v>
      </c>
      <c r="GFU18" s="310" t="s">
        <v>201</v>
      </c>
      <c r="GFV18" s="310" t="s">
        <v>201</v>
      </c>
      <c r="GFW18" s="310" t="s">
        <v>201</v>
      </c>
      <c r="GFX18" s="310" t="s">
        <v>201</v>
      </c>
      <c r="GFY18" s="310" t="s">
        <v>201</v>
      </c>
      <c r="GFZ18" s="310" t="s">
        <v>201</v>
      </c>
      <c r="GGA18" s="310" t="s">
        <v>201</v>
      </c>
      <c r="GGB18" s="310" t="s">
        <v>201</v>
      </c>
      <c r="GGC18" s="310" t="s">
        <v>201</v>
      </c>
      <c r="GGD18" s="310" t="s">
        <v>201</v>
      </c>
      <c r="GGE18" s="310" t="s">
        <v>201</v>
      </c>
      <c r="GGF18" s="310" t="s">
        <v>201</v>
      </c>
      <c r="GGG18" s="310" t="s">
        <v>201</v>
      </c>
      <c r="GGH18" s="310" t="s">
        <v>201</v>
      </c>
      <c r="GGI18" s="310" t="s">
        <v>201</v>
      </c>
      <c r="GGJ18" s="310" t="s">
        <v>201</v>
      </c>
      <c r="GGK18" s="310" t="s">
        <v>201</v>
      </c>
      <c r="GGL18" s="310" t="s">
        <v>201</v>
      </c>
      <c r="GGM18" s="310" t="s">
        <v>201</v>
      </c>
      <c r="GGN18" s="310" t="s">
        <v>201</v>
      </c>
      <c r="GGO18" s="310" t="s">
        <v>201</v>
      </c>
      <c r="GGP18" s="310" t="s">
        <v>201</v>
      </c>
      <c r="GGQ18" s="310" t="s">
        <v>201</v>
      </c>
      <c r="GGR18" s="310" t="s">
        <v>201</v>
      </c>
      <c r="GGS18" s="310" t="s">
        <v>201</v>
      </c>
      <c r="GGT18" s="310" t="s">
        <v>201</v>
      </c>
      <c r="GGU18" s="310" t="s">
        <v>201</v>
      </c>
      <c r="GGV18" s="310" t="s">
        <v>201</v>
      </c>
      <c r="GGW18" s="310" t="s">
        <v>201</v>
      </c>
      <c r="GGX18" s="310" t="s">
        <v>201</v>
      </c>
      <c r="GGY18" s="310" t="s">
        <v>201</v>
      </c>
      <c r="GGZ18" s="310" t="s">
        <v>201</v>
      </c>
      <c r="GHA18" s="310" t="s">
        <v>201</v>
      </c>
      <c r="GHB18" s="310" t="s">
        <v>201</v>
      </c>
      <c r="GHC18" s="310" t="s">
        <v>201</v>
      </c>
      <c r="GHD18" s="310" t="s">
        <v>201</v>
      </c>
      <c r="GHE18" s="310" t="s">
        <v>201</v>
      </c>
      <c r="GHF18" s="310" t="s">
        <v>201</v>
      </c>
      <c r="GHG18" s="310" t="s">
        <v>201</v>
      </c>
      <c r="GHH18" s="310" t="s">
        <v>201</v>
      </c>
      <c r="GHI18" s="310" t="s">
        <v>201</v>
      </c>
      <c r="GHJ18" s="310" t="s">
        <v>201</v>
      </c>
      <c r="GHK18" s="310" t="s">
        <v>201</v>
      </c>
      <c r="GHL18" s="310" t="s">
        <v>201</v>
      </c>
      <c r="GHM18" s="310" t="s">
        <v>201</v>
      </c>
      <c r="GHN18" s="310" t="s">
        <v>201</v>
      </c>
      <c r="GHO18" s="310" t="s">
        <v>201</v>
      </c>
      <c r="GHP18" s="310" t="s">
        <v>201</v>
      </c>
      <c r="GHQ18" s="310" t="s">
        <v>201</v>
      </c>
      <c r="GHR18" s="310" t="s">
        <v>201</v>
      </c>
      <c r="GHS18" s="310" t="s">
        <v>201</v>
      </c>
      <c r="GHT18" s="310" t="s">
        <v>201</v>
      </c>
      <c r="GHU18" s="310" t="s">
        <v>201</v>
      </c>
      <c r="GHV18" s="310" t="s">
        <v>201</v>
      </c>
      <c r="GHW18" s="310" t="s">
        <v>201</v>
      </c>
      <c r="GHX18" s="310" t="s">
        <v>201</v>
      </c>
      <c r="GHY18" s="310" t="s">
        <v>201</v>
      </c>
      <c r="GHZ18" s="310" t="s">
        <v>201</v>
      </c>
      <c r="GIA18" s="310" t="s">
        <v>201</v>
      </c>
      <c r="GIB18" s="310" t="s">
        <v>201</v>
      </c>
      <c r="GIC18" s="310" t="s">
        <v>201</v>
      </c>
      <c r="GID18" s="310" t="s">
        <v>201</v>
      </c>
      <c r="GIE18" s="310" t="s">
        <v>201</v>
      </c>
      <c r="GIF18" s="310" t="s">
        <v>201</v>
      </c>
      <c r="GIG18" s="310" t="s">
        <v>201</v>
      </c>
      <c r="GIH18" s="310" t="s">
        <v>201</v>
      </c>
      <c r="GII18" s="310" t="s">
        <v>201</v>
      </c>
      <c r="GIJ18" s="310" t="s">
        <v>201</v>
      </c>
      <c r="GIK18" s="310" t="s">
        <v>201</v>
      </c>
      <c r="GIL18" s="310" t="s">
        <v>201</v>
      </c>
      <c r="GIM18" s="310" t="s">
        <v>201</v>
      </c>
      <c r="GIN18" s="310" t="s">
        <v>201</v>
      </c>
      <c r="GIO18" s="310" t="s">
        <v>201</v>
      </c>
      <c r="GIP18" s="310" t="s">
        <v>201</v>
      </c>
      <c r="GIQ18" s="310" t="s">
        <v>201</v>
      </c>
      <c r="GIR18" s="310" t="s">
        <v>201</v>
      </c>
      <c r="GIS18" s="310" t="s">
        <v>201</v>
      </c>
      <c r="GIT18" s="310" t="s">
        <v>201</v>
      </c>
      <c r="GIU18" s="310" t="s">
        <v>201</v>
      </c>
      <c r="GIV18" s="310" t="s">
        <v>201</v>
      </c>
      <c r="GIW18" s="310" t="s">
        <v>201</v>
      </c>
      <c r="GIX18" s="310" t="s">
        <v>201</v>
      </c>
      <c r="GIY18" s="310" t="s">
        <v>201</v>
      </c>
      <c r="GIZ18" s="310" t="s">
        <v>201</v>
      </c>
      <c r="GJA18" s="310" t="s">
        <v>201</v>
      </c>
      <c r="GJB18" s="310" t="s">
        <v>201</v>
      </c>
      <c r="GJC18" s="310" t="s">
        <v>201</v>
      </c>
      <c r="GJD18" s="310" t="s">
        <v>201</v>
      </c>
      <c r="GJE18" s="310" t="s">
        <v>201</v>
      </c>
      <c r="GJF18" s="310" t="s">
        <v>201</v>
      </c>
      <c r="GJG18" s="310" t="s">
        <v>201</v>
      </c>
      <c r="GJH18" s="310" t="s">
        <v>201</v>
      </c>
      <c r="GJI18" s="310" t="s">
        <v>201</v>
      </c>
      <c r="GJJ18" s="310" t="s">
        <v>201</v>
      </c>
      <c r="GJK18" s="310" t="s">
        <v>201</v>
      </c>
      <c r="GJL18" s="310" t="s">
        <v>201</v>
      </c>
      <c r="GJM18" s="310" t="s">
        <v>201</v>
      </c>
      <c r="GJN18" s="310" t="s">
        <v>201</v>
      </c>
      <c r="GJO18" s="310" t="s">
        <v>201</v>
      </c>
      <c r="GJP18" s="310" t="s">
        <v>201</v>
      </c>
      <c r="GJQ18" s="310" t="s">
        <v>201</v>
      </c>
      <c r="GJR18" s="310" t="s">
        <v>201</v>
      </c>
      <c r="GJS18" s="310" t="s">
        <v>201</v>
      </c>
      <c r="GJT18" s="310" t="s">
        <v>201</v>
      </c>
      <c r="GJU18" s="310" t="s">
        <v>201</v>
      </c>
      <c r="GJV18" s="310" t="s">
        <v>201</v>
      </c>
      <c r="GJW18" s="310" t="s">
        <v>201</v>
      </c>
      <c r="GJX18" s="310" t="s">
        <v>201</v>
      </c>
      <c r="GJY18" s="310" t="s">
        <v>201</v>
      </c>
      <c r="GJZ18" s="310" t="s">
        <v>201</v>
      </c>
      <c r="GKA18" s="310" t="s">
        <v>201</v>
      </c>
      <c r="GKB18" s="310" t="s">
        <v>201</v>
      </c>
      <c r="GKC18" s="310" t="s">
        <v>201</v>
      </c>
      <c r="GKD18" s="310" t="s">
        <v>201</v>
      </c>
      <c r="GKE18" s="310" t="s">
        <v>201</v>
      </c>
      <c r="GKF18" s="310" t="s">
        <v>201</v>
      </c>
      <c r="GKG18" s="310" t="s">
        <v>201</v>
      </c>
      <c r="GKH18" s="310" t="s">
        <v>201</v>
      </c>
      <c r="GKI18" s="310" t="s">
        <v>201</v>
      </c>
      <c r="GKJ18" s="310" t="s">
        <v>201</v>
      </c>
      <c r="GKK18" s="310" t="s">
        <v>201</v>
      </c>
      <c r="GKL18" s="310" t="s">
        <v>201</v>
      </c>
      <c r="GKM18" s="310" t="s">
        <v>201</v>
      </c>
      <c r="GKN18" s="310" t="s">
        <v>201</v>
      </c>
      <c r="GKO18" s="310" t="s">
        <v>201</v>
      </c>
      <c r="GKP18" s="310" t="s">
        <v>201</v>
      </c>
      <c r="GKQ18" s="310" t="s">
        <v>201</v>
      </c>
      <c r="GKR18" s="310" t="s">
        <v>201</v>
      </c>
      <c r="GKS18" s="310" t="s">
        <v>201</v>
      </c>
      <c r="GKT18" s="310" t="s">
        <v>201</v>
      </c>
      <c r="GKU18" s="310" t="s">
        <v>201</v>
      </c>
      <c r="GKV18" s="310" t="s">
        <v>201</v>
      </c>
      <c r="GKW18" s="310" t="s">
        <v>201</v>
      </c>
      <c r="GKX18" s="310" t="s">
        <v>201</v>
      </c>
      <c r="GKY18" s="310" t="s">
        <v>201</v>
      </c>
      <c r="GKZ18" s="310" t="s">
        <v>201</v>
      </c>
      <c r="GLA18" s="310" t="s">
        <v>201</v>
      </c>
      <c r="GLB18" s="310" t="s">
        <v>201</v>
      </c>
      <c r="GLC18" s="310" t="s">
        <v>201</v>
      </c>
      <c r="GLD18" s="310" t="s">
        <v>201</v>
      </c>
      <c r="GLE18" s="310" t="s">
        <v>201</v>
      </c>
      <c r="GLF18" s="310" t="s">
        <v>201</v>
      </c>
      <c r="GLG18" s="310" t="s">
        <v>201</v>
      </c>
      <c r="GLH18" s="310" t="s">
        <v>201</v>
      </c>
      <c r="GLI18" s="310" t="s">
        <v>201</v>
      </c>
      <c r="GLJ18" s="310" t="s">
        <v>201</v>
      </c>
      <c r="GLK18" s="310" t="s">
        <v>201</v>
      </c>
      <c r="GLL18" s="310" t="s">
        <v>201</v>
      </c>
      <c r="GLM18" s="310" t="s">
        <v>201</v>
      </c>
      <c r="GLN18" s="310" t="s">
        <v>201</v>
      </c>
      <c r="GLO18" s="310" t="s">
        <v>201</v>
      </c>
      <c r="GLP18" s="310" t="s">
        <v>201</v>
      </c>
      <c r="GLQ18" s="310" t="s">
        <v>201</v>
      </c>
      <c r="GLR18" s="310" t="s">
        <v>201</v>
      </c>
      <c r="GLS18" s="310" t="s">
        <v>201</v>
      </c>
      <c r="GLT18" s="310" t="s">
        <v>201</v>
      </c>
      <c r="GLU18" s="310" t="s">
        <v>201</v>
      </c>
      <c r="GLV18" s="310" t="s">
        <v>201</v>
      </c>
      <c r="GLW18" s="310" t="s">
        <v>201</v>
      </c>
      <c r="GLX18" s="310" t="s">
        <v>201</v>
      </c>
      <c r="GLY18" s="310" t="s">
        <v>201</v>
      </c>
      <c r="GLZ18" s="310" t="s">
        <v>201</v>
      </c>
      <c r="GMA18" s="310" t="s">
        <v>201</v>
      </c>
      <c r="GMB18" s="310" t="s">
        <v>201</v>
      </c>
      <c r="GMC18" s="310" t="s">
        <v>201</v>
      </c>
      <c r="GMD18" s="310" t="s">
        <v>201</v>
      </c>
      <c r="GME18" s="310" t="s">
        <v>201</v>
      </c>
      <c r="GMF18" s="310" t="s">
        <v>201</v>
      </c>
      <c r="GMG18" s="310" t="s">
        <v>201</v>
      </c>
      <c r="GMH18" s="310" t="s">
        <v>201</v>
      </c>
      <c r="GMI18" s="310" t="s">
        <v>201</v>
      </c>
      <c r="GMJ18" s="310" t="s">
        <v>201</v>
      </c>
      <c r="GMK18" s="310" t="s">
        <v>201</v>
      </c>
      <c r="GML18" s="310" t="s">
        <v>201</v>
      </c>
      <c r="GMM18" s="310" t="s">
        <v>201</v>
      </c>
      <c r="GMN18" s="310" t="s">
        <v>201</v>
      </c>
      <c r="GMO18" s="310" t="s">
        <v>201</v>
      </c>
      <c r="GMP18" s="310" t="s">
        <v>201</v>
      </c>
      <c r="GMQ18" s="310" t="s">
        <v>201</v>
      </c>
      <c r="GMR18" s="310" t="s">
        <v>201</v>
      </c>
      <c r="GMS18" s="310" t="s">
        <v>201</v>
      </c>
      <c r="GMT18" s="310" t="s">
        <v>201</v>
      </c>
      <c r="GMU18" s="310" t="s">
        <v>201</v>
      </c>
      <c r="GMV18" s="310" t="s">
        <v>201</v>
      </c>
      <c r="GMW18" s="310" t="s">
        <v>201</v>
      </c>
      <c r="GMX18" s="310" t="s">
        <v>201</v>
      </c>
      <c r="GMY18" s="310" t="s">
        <v>201</v>
      </c>
      <c r="GMZ18" s="310" t="s">
        <v>201</v>
      </c>
      <c r="GNA18" s="310" t="s">
        <v>201</v>
      </c>
      <c r="GNB18" s="310" t="s">
        <v>201</v>
      </c>
      <c r="GNC18" s="310" t="s">
        <v>201</v>
      </c>
      <c r="GND18" s="310" t="s">
        <v>201</v>
      </c>
      <c r="GNE18" s="310" t="s">
        <v>201</v>
      </c>
      <c r="GNF18" s="310" t="s">
        <v>201</v>
      </c>
      <c r="GNG18" s="310" t="s">
        <v>201</v>
      </c>
      <c r="GNH18" s="310" t="s">
        <v>201</v>
      </c>
      <c r="GNI18" s="310" t="s">
        <v>201</v>
      </c>
      <c r="GNJ18" s="310" t="s">
        <v>201</v>
      </c>
      <c r="GNK18" s="310" t="s">
        <v>201</v>
      </c>
      <c r="GNL18" s="310" t="s">
        <v>201</v>
      </c>
      <c r="GNM18" s="310" t="s">
        <v>201</v>
      </c>
      <c r="GNN18" s="310" t="s">
        <v>201</v>
      </c>
      <c r="GNO18" s="310" t="s">
        <v>201</v>
      </c>
      <c r="GNP18" s="310" t="s">
        <v>201</v>
      </c>
      <c r="GNQ18" s="310" t="s">
        <v>201</v>
      </c>
      <c r="GNR18" s="310" t="s">
        <v>201</v>
      </c>
      <c r="GNS18" s="310" t="s">
        <v>201</v>
      </c>
      <c r="GNT18" s="310" t="s">
        <v>201</v>
      </c>
      <c r="GNU18" s="310" t="s">
        <v>201</v>
      </c>
      <c r="GNV18" s="310" t="s">
        <v>201</v>
      </c>
      <c r="GNW18" s="310" t="s">
        <v>201</v>
      </c>
      <c r="GNX18" s="310" t="s">
        <v>201</v>
      </c>
      <c r="GNY18" s="310" t="s">
        <v>201</v>
      </c>
      <c r="GNZ18" s="310" t="s">
        <v>201</v>
      </c>
      <c r="GOA18" s="310" t="s">
        <v>201</v>
      </c>
      <c r="GOB18" s="310" t="s">
        <v>201</v>
      </c>
      <c r="GOC18" s="310" t="s">
        <v>201</v>
      </c>
      <c r="GOD18" s="310" t="s">
        <v>201</v>
      </c>
      <c r="GOE18" s="310" t="s">
        <v>201</v>
      </c>
      <c r="GOF18" s="310" t="s">
        <v>201</v>
      </c>
      <c r="GOG18" s="310" t="s">
        <v>201</v>
      </c>
      <c r="GOH18" s="310" t="s">
        <v>201</v>
      </c>
      <c r="GOI18" s="310" t="s">
        <v>201</v>
      </c>
      <c r="GOJ18" s="310" t="s">
        <v>201</v>
      </c>
      <c r="GOK18" s="310" t="s">
        <v>201</v>
      </c>
      <c r="GOL18" s="310" t="s">
        <v>201</v>
      </c>
      <c r="GOM18" s="310" t="s">
        <v>201</v>
      </c>
      <c r="GON18" s="310" t="s">
        <v>201</v>
      </c>
      <c r="GOO18" s="310" t="s">
        <v>201</v>
      </c>
      <c r="GOP18" s="310" t="s">
        <v>201</v>
      </c>
      <c r="GOQ18" s="310" t="s">
        <v>201</v>
      </c>
      <c r="GOR18" s="310" t="s">
        <v>201</v>
      </c>
      <c r="GOS18" s="310" t="s">
        <v>201</v>
      </c>
      <c r="GOT18" s="310" t="s">
        <v>201</v>
      </c>
      <c r="GOU18" s="310" t="s">
        <v>201</v>
      </c>
      <c r="GOV18" s="310" t="s">
        <v>201</v>
      </c>
      <c r="GOW18" s="310" t="s">
        <v>201</v>
      </c>
      <c r="GOX18" s="310" t="s">
        <v>201</v>
      </c>
      <c r="GOY18" s="310" t="s">
        <v>201</v>
      </c>
      <c r="GOZ18" s="310" t="s">
        <v>201</v>
      </c>
      <c r="GPA18" s="310" t="s">
        <v>201</v>
      </c>
      <c r="GPB18" s="310" t="s">
        <v>201</v>
      </c>
      <c r="GPC18" s="310" t="s">
        <v>201</v>
      </c>
      <c r="GPD18" s="310" t="s">
        <v>201</v>
      </c>
      <c r="GPE18" s="310" t="s">
        <v>201</v>
      </c>
      <c r="GPF18" s="310" t="s">
        <v>201</v>
      </c>
      <c r="GPG18" s="310" t="s">
        <v>201</v>
      </c>
      <c r="GPH18" s="310" t="s">
        <v>201</v>
      </c>
      <c r="GPI18" s="310" t="s">
        <v>201</v>
      </c>
      <c r="GPJ18" s="310" t="s">
        <v>201</v>
      </c>
      <c r="GPK18" s="310" t="s">
        <v>201</v>
      </c>
      <c r="GPL18" s="310" t="s">
        <v>201</v>
      </c>
      <c r="GPM18" s="310" t="s">
        <v>201</v>
      </c>
      <c r="GPN18" s="310" t="s">
        <v>201</v>
      </c>
      <c r="GPO18" s="310" t="s">
        <v>201</v>
      </c>
      <c r="GPP18" s="310" t="s">
        <v>201</v>
      </c>
      <c r="GPQ18" s="310" t="s">
        <v>201</v>
      </c>
      <c r="GPR18" s="310" t="s">
        <v>201</v>
      </c>
      <c r="GPS18" s="310" t="s">
        <v>201</v>
      </c>
      <c r="GPT18" s="310" t="s">
        <v>201</v>
      </c>
      <c r="GPU18" s="310" t="s">
        <v>201</v>
      </c>
      <c r="GPV18" s="310" t="s">
        <v>201</v>
      </c>
      <c r="GPW18" s="310" t="s">
        <v>201</v>
      </c>
      <c r="GPX18" s="310" t="s">
        <v>201</v>
      </c>
      <c r="GPY18" s="310" t="s">
        <v>201</v>
      </c>
      <c r="GPZ18" s="310" t="s">
        <v>201</v>
      </c>
      <c r="GQA18" s="310" t="s">
        <v>201</v>
      </c>
      <c r="GQB18" s="310" t="s">
        <v>201</v>
      </c>
      <c r="GQC18" s="310" t="s">
        <v>201</v>
      </c>
      <c r="GQD18" s="310" t="s">
        <v>201</v>
      </c>
      <c r="GQE18" s="310" t="s">
        <v>201</v>
      </c>
      <c r="GQF18" s="310" t="s">
        <v>201</v>
      </c>
      <c r="GQG18" s="310" t="s">
        <v>201</v>
      </c>
      <c r="GQH18" s="310" t="s">
        <v>201</v>
      </c>
      <c r="GQI18" s="310" t="s">
        <v>201</v>
      </c>
      <c r="GQJ18" s="310" t="s">
        <v>201</v>
      </c>
      <c r="GQK18" s="310" t="s">
        <v>201</v>
      </c>
      <c r="GQL18" s="310" t="s">
        <v>201</v>
      </c>
      <c r="GQM18" s="310" t="s">
        <v>201</v>
      </c>
      <c r="GQN18" s="310" t="s">
        <v>201</v>
      </c>
      <c r="GQO18" s="310" t="s">
        <v>201</v>
      </c>
      <c r="GQP18" s="310" t="s">
        <v>201</v>
      </c>
      <c r="GQQ18" s="310" t="s">
        <v>201</v>
      </c>
      <c r="GQR18" s="310" t="s">
        <v>201</v>
      </c>
      <c r="GQS18" s="310" t="s">
        <v>201</v>
      </c>
      <c r="GQT18" s="310" t="s">
        <v>201</v>
      </c>
      <c r="GQU18" s="310" t="s">
        <v>201</v>
      </c>
      <c r="GQV18" s="310" t="s">
        <v>201</v>
      </c>
      <c r="GQW18" s="310" t="s">
        <v>201</v>
      </c>
      <c r="GQX18" s="310" t="s">
        <v>201</v>
      </c>
      <c r="GQY18" s="310" t="s">
        <v>201</v>
      </c>
      <c r="GQZ18" s="310" t="s">
        <v>201</v>
      </c>
      <c r="GRA18" s="310" t="s">
        <v>201</v>
      </c>
      <c r="GRB18" s="310" t="s">
        <v>201</v>
      </c>
      <c r="GRC18" s="310" t="s">
        <v>201</v>
      </c>
      <c r="GRD18" s="310" t="s">
        <v>201</v>
      </c>
      <c r="GRE18" s="310" t="s">
        <v>201</v>
      </c>
      <c r="GRF18" s="310" t="s">
        <v>201</v>
      </c>
      <c r="GRG18" s="310" t="s">
        <v>201</v>
      </c>
      <c r="GRH18" s="310" t="s">
        <v>201</v>
      </c>
      <c r="GRI18" s="310" t="s">
        <v>201</v>
      </c>
      <c r="GRJ18" s="310" t="s">
        <v>201</v>
      </c>
      <c r="GRK18" s="310" t="s">
        <v>201</v>
      </c>
      <c r="GRL18" s="310" t="s">
        <v>201</v>
      </c>
      <c r="GRM18" s="310" t="s">
        <v>201</v>
      </c>
      <c r="GRN18" s="310" t="s">
        <v>201</v>
      </c>
      <c r="GRO18" s="310" t="s">
        <v>201</v>
      </c>
      <c r="GRP18" s="310" t="s">
        <v>201</v>
      </c>
      <c r="GRQ18" s="310" t="s">
        <v>201</v>
      </c>
      <c r="GRR18" s="310" t="s">
        <v>201</v>
      </c>
      <c r="GRS18" s="310" t="s">
        <v>201</v>
      </c>
      <c r="GRT18" s="310" t="s">
        <v>201</v>
      </c>
      <c r="GRU18" s="310" t="s">
        <v>201</v>
      </c>
      <c r="GRV18" s="310" t="s">
        <v>201</v>
      </c>
      <c r="GRW18" s="310" t="s">
        <v>201</v>
      </c>
      <c r="GRX18" s="310" t="s">
        <v>201</v>
      </c>
      <c r="GRY18" s="310" t="s">
        <v>201</v>
      </c>
      <c r="GRZ18" s="310" t="s">
        <v>201</v>
      </c>
      <c r="GSA18" s="310" t="s">
        <v>201</v>
      </c>
      <c r="GSB18" s="310" t="s">
        <v>201</v>
      </c>
      <c r="GSC18" s="310" t="s">
        <v>201</v>
      </c>
      <c r="GSD18" s="310" t="s">
        <v>201</v>
      </c>
      <c r="GSE18" s="310" t="s">
        <v>201</v>
      </c>
      <c r="GSF18" s="310" t="s">
        <v>201</v>
      </c>
      <c r="GSG18" s="310" t="s">
        <v>201</v>
      </c>
      <c r="GSH18" s="310" t="s">
        <v>201</v>
      </c>
      <c r="GSI18" s="310" t="s">
        <v>201</v>
      </c>
      <c r="GSJ18" s="310" t="s">
        <v>201</v>
      </c>
      <c r="GSK18" s="310" t="s">
        <v>201</v>
      </c>
      <c r="GSL18" s="310" t="s">
        <v>201</v>
      </c>
      <c r="GSM18" s="310" t="s">
        <v>201</v>
      </c>
      <c r="GSN18" s="310" t="s">
        <v>201</v>
      </c>
      <c r="GSO18" s="310" t="s">
        <v>201</v>
      </c>
      <c r="GSP18" s="310" t="s">
        <v>201</v>
      </c>
      <c r="GSQ18" s="310" t="s">
        <v>201</v>
      </c>
      <c r="GSR18" s="310" t="s">
        <v>201</v>
      </c>
      <c r="GSS18" s="310" t="s">
        <v>201</v>
      </c>
      <c r="GST18" s="310" t="s">
        <v>201</v>
      </c>
      <c r="GSU18" s="310" t="s">
        <v>201</v>
      </c>
      <c r="GSV18" s="310" t="s">
        <v>201</v>
      </c>
      <c r="GSW18" s="310" t="s">
        <v>201</v>
      </c>
      <c r="GSX18" s="310" t="s">
        <v>201</v>
      </c>
      <c r="GSY18" s="310" t="s">
        <v>201</v>
      </c>
      <c r="GSZ18" s="310" t="s">
        <v>201</v>
      </c>
      <c r="GTA18" s="310" t="s">
        <v>201</v>
      </c>
      <c r="GTB18" s="310" t="s">
        <v>201</v>
      </c>
      <c r="GTC18" s="310" t="s">
        <v>201</v>
      </c>
      <c r="GTD18" s="310" t="s">
        <v>201</v>
      </c>
      <c r="GTE18" s="310" t="s">
        <v>201</v>
      </c>
      <c r="GTF18" s="310" t="s">
        <v>201</v>
      </c>
      <c r="GTG18" s="310" t="s">
        <v>201</v>
      </c>
      <c r="GTH18" s="310" t="s">
        <v>201</v>
      </c>
      <c r="GTI18" s="310" t="s">
        <v>201</v>
      </c>
      <c r="GTJ18" s="310" t="s">
        <v>201</v>
      </c>
      <c r="GTK18" s="310" t="s">
        <v>201</v>
      </c>
      <c r="GTL18" s="310" t="s">
        <v>201</v>
      </c>
      <c r="GTM18" s="310" t="s">
        <v>201</v>
      </c>
      <c r="GTN18" s="310" t="s">
        <v>201</v>
      </c>
      <c r="GTO18" s="310" t="s">
        <v>201</v>
      </c>
      <c r="GTP18" s="310" t="s">
        <v>201</v>
      </c>
      <c r="GTQ18" s="310" t="s">
        <v>201</v>
      </c>
      <c r="GTR18" s="310" t="s">
        <v>201</v>
      </c>
      <c r="GTS18" s="310" t="s">
        <v>201</v>
      </c>
      <c r="GTT18" s="310" t="s">
        <v>201</v>
      </c>
      <c r="GTU18" s="310" t="s">
        <v>201</v>
      </c>
      <c r="GTV18" s="310" t="s">
        <v>201</v>
      </c>
      <c r="GTW18" s="310" t="s">
        <v>201</v>
      </c>
      <c r="GTX18" s="310" t="s">
        <v>201</v>
      </c>
      <c r="GTY18" s="310" t="s">
        <v>201</v>
      </c>
      <c r="GTZ18" s="310" t="s">
        <v>201</v>
      </c>
      <c r="GUA18" s="310" t="s">
        <v>201</v>
      </c>
      <c r="GUB18" s="310" t="s">
        <v>201</v>
      </c>
      <c r="GUC18" s="310" t="s">
        <v>201</v>
      </c>
      <c r="GUD18" s="310" t="s">
        <v>201</v>
      </c>
      <c r="GUE18" s="310" t="s">
        <v>201</v>
      </c>
      <c r="GUF18" s="310" t="s">
        <v>201</v>
      </c>
      <c r="GUG18" s="310" t="s">
        <v>201</v>
      </c>
      <c r="GUH18" s="310" t="s">
        <v>201</v>
      </c>
      <c r="GUI18" s="310" t="s">
        <v>201</v>
      </c>
      <c r="GUJ18" s="310" t="s">
        <v>201</v>
      </c>
      <c r="GUK18" s="310" t="s">
        <v>201</v>
      </c>
      <c r="GUL18" s="310" t="s">
        <v>201</v>
      </c>
      <c r="GUM18" s="310" t="s">
        <v>201</v>
      </c>
      <c r="GUN18" s="310" t="s">
        <v>201</v>
      </c>
      <c r="GUO18" s="310" t="s">
        <v>201</v>
      </c>
      <c r="GUP18" s="310" t="s">
        <v>201</v>
      </c>
      <c r="GUQ18" s="310" t="s">
        <v>201</v>
      </c>
      <c r="GUR18" s="310" t="s">
        <v>201</v>
      </c>
      <c r="GUS18" s="310" t="s">
        <v>201</v>
      </c>
      <c r="GUT18" s="310" t="s">
        <v>201</v>
      </c>
      <c r="GUU18" s="310" t="s">
        <v>201</v>
      </c>
      <c r="GUV18" s="310" t="s">
        <v>201</v>
      </c>
      <c r="GUW18" s="310" t="s">
        <v>201</v>
      </c>
      <c r="GUX18" s="310" t="s">
        <v>201</v>
      </c>
      <c r="GUY18" s="310" t="s">
        <v>201</v>
      </c>
      <c r="GUZ18" s="310" t="s">
        <v>201</v>
      </c>
      <c r="GVA18" s="310" t="s">
        <v>201</v>
      </c>
      <c r="GVB18" s="310" t="s">
        <v>201</v>
      </c>
      <c r="GVC18" s="310" t="s">
        <v>201</v>
      </c>
      <c r="GVD18" s="310" t="s">
        <v>201</v>
      </c>
      <c r="GVE18" s="310" t="s">
        <v>201</v>
      </c>
      <c r="GVF18" s="310" t="s">
        <v>201</v>
      </c>
      <c r="GVG18" s="310" t="s">
        <v>201</v>
      </c>
      <c r="GVH18" s="310" t="s">
        <v>201</v>
      </c>
      <c r="GVI18" s="310" t="s">
        <v>201</v>
      </c>
      <c r="GVJ18" s="310" t="s">
        <v>201</v>
      </c>
      <c r="GVK18" s="310" t="s">
        <v>201</v>
      </c>
      <c r="GVL18" s="310" t="s">
        <v>201</v>
      </c>
      <c r="GVM18" s="310" t="s">
        <v>201</v>
      </c>
      <c r="GVN18" s="310" t="s">
        <v>201</v>
      </c>
      <c r="GVO18" s="310" t="s">
        <v>201</v>
      </c>
      <c r="GVP18" s="310" t="s">
        <v>201</v>
      </c>
      <c r="GVQ18" s="310" t="s">
        <v>201</v>
      </c>
      <c r="GVR18" s="310" t="s">
        <v>201</v>
      </c>
      <c r="GVS18" s="310" t="s">
        <v>201</v>
      </c>
      <c r="GVT18" s="310" t="s">
        <v>201</v>
      </c>
      <c r="GVU18" s="310" t="s">
        <v>201</v>
      </c>
      <c r="GVV18" s="310" t="s">
        <v>201</v>
      </c>
      <c r="GVW18" s="310" t="s">
        <v>201</v>
      </c>
      <c r="GVX18" s="310" t="s">
        <v>201</v>
      </c>
      <c r="GVY18" s="310" t="s">
        <v>201</v>
      </c>
      <c r="GVZ18" s="310" t="s">
        <v>201</v>
      </c>
      <c r="GWA18" s="310" t="s">
        <v>201</v>
      </c>
      <c r="GWB18" s="310" t="s">
        <v>201</v>
      </c>
      <c r="GWC18" s="310" t="s">
        <v>201</v>
      </c>
      <c r="GWD18" s="310" t="s">
        <v>201</v>
      </c>
      <c r="GWE18" s="310" t="s">
        <v>201</v>
      </c>
      <c r="GWF18" s="310" t="s">
        <v>201</v>
      </c>
      <c r="GWG18" s="310" t="s">
        <v>201</v>
      </c>
      <c r="GWH18" s="310" t="s">
        <v>201</v>
      </c>
      <c r="GWI18" s="310" t="s">
        <v>201</v>
      </c>
      <c r="GWJ18" s="310" t="s">
        <v>201</v>
      </c>
      <c r="GWK18" s="310" t="s">
        <v>201</v>
      </c>
      <c r="GWL18" s="310" t="s">
        <v>201</v>
      </c>
      <c r="GWM18" s="310" t="s">
        <v>201</v>
      </c>
      <c r="GWN18" s="310" t="s">
        <v>201</v>
      </c>
      <c r="GWO18" s="310" t="s">
        <v>201</v>
      </c>
      <c r="GWP18" s="310" t="s">
        <v>201</v>
      </c>
      <c r="GWQ18" s="310" t="s">
        <v>201</v>
      </c>
      <c r="GWR18" s="310" t="s">
        <v>201</v>
      </c>
      <c r="GWS18" s="310" t="s">
        <v>201</v>
      </c>
      <c r="GWT18" s="310" t="s">
        <v>201</v>
      </c>
      <c r="GWU18" s="310" t="s">
        <v>201</v>
      </c>
      <c r="GWV18" s="310" t="s">
        <v>201</v>
      </c>
      <c r="GWW18" s="310" t="s">
        <v>201</v>
      </c>
      <c r="GWX18" s="310" t="s">
        <v>201</v>
      </c>
      <c r="GWY18" s="310" t="s">
        <v>201</v>
      </c>
      <c r="GWZ18" s="310" t="s">
        <v>201</v>
      </c>
      <c r="GXA18" s="310" t="s">
        <v>201</v>
      </c>
      <c r="GXB18" s="310" t="s">
        <v>201</v>
      </c>
      <c r="GXC18" s="310" t="s">
        <v>201</v>
      </c>
      <c r="GXD18" s="310" t="s">
        <v>201</v>
      </c>
      <c r="GXE18" s="310" t="s">
        <v>201</v>
      </c>
      <c r="GXF18" s="310" t="s">
        <v>201</v>
      </c>
      <c r="GXG18" s="310" t="s">
        <v>201</v>
      </c>
      <c r="GXH18" s="310" t="s">
        <v>201</v>
      </c>
      <c r="GXI18" s="310" t="s">
        <v>201</v>
      </c>
      <c r="GXJ18" s="310" t="s">
        <v>201</v>
      </c>
      <c r="GXK18" s="310" t="s">
        <v>201</v>
      </c>
      <c r="GXL18" s="310" t="s">
        <v>201</v>
      </c>
      <c r="GXM18" s="310" t="s">
        <v>201</v>
      </c>
      <c r="GXN18" s="310" t="s">
        <v>201</v>
      </c>
      <c r="GXO18" s="310" t="s">
        <v>201</v>
      </c>
      <c r="GXP18" s="310" t="s">
        <v>201</v>
      </c>
      <c r="GXQ18" s="310" t="s">
        <v>201</v>
      </c>
      <c r="GXR18" s="310" t="s">
        <v>201</v>
      </c>
      <c r="GXS18" s="310" t="s">
        <v>201</v>
      </c>
      <c r="GXT18" s="310" t="s">
        <v>201</v>
      </c>
      <c r="GXU18" s="310" t="s">
        <v>201</v>
      </c>
      <c r="GXV18" s="310" t="s">
        <v>201</v>
      </c>
      <c r="GXW18" s="310" t="s">
        <v>201</v>
      </c>
      <c r="GXX18" s="310" t="s">
        <v>201</v>
      </c>
      <c r="GXY18" s="310" t="s">
        <v>201</v>
      </c>
      <c r="GXZ18" s="310" t="s">
        <v>201</v>
      </c>
      <c r="GYA18" s="310" t="s">
        <v>201</v>
      </c>
      <c r="GYB18" s="310" t="s">
        <v>201</v>
      </c>
      <c r="GYC18" s="310" t="s">
        <v>201</v>
      </c>
      <c r="GYD18" s="310" t="s">
        <v>201</v>
      </c>
      <c r="GYE18" s="310" t="s">
        <v>201</v>
      </c>
      <c r="GYF18" s="310" t="s">
        <v>201</v>
      </c>
      <c r="GYG18" s="310" t="s">
        <v>201</v>
      </c>
      <c r="GYH18" s="310" t="s">
        <v>201</v>
      </c>
      <c r="GYI18" s="310" t="s">
        <v>201</v>
      </c>
      <c r="GYJ18" s="310" t="s">
        <v>201</v>
      </c>
      <c r="GYK18" s="310" t="s">
        <v>201</v>
      </c>
      <c r="GYL18" s="310" t="s">
        <v>201</v>
      </c>
      <c r="GYM18" s="310" t="s">
        <v>201</v>
      </c>
      <c r="GYN18" s="310" t="s">
        <v>201</v>
      </c>
      <c r="GYO18" s="310" t="s">
        <v>201</v>
      </c>
      <c r="GYP18" s="310" t="s">
        <v>201</v>
      </c>
      <c r="GYQ18" s="310" t="s">
        <v>201</v>
      </c>
      <c r="GYR18" s="310" t="s">
        <v>201</v>
      </c>
      <c r="GYS18" s="310" t="s">
        <v>201</v>
      </c>
      <c r="GYT18" s="310" t="s">
        <v>201</v>
      </c>
      <c r="GYU18" s="310" t="s">
        <v>201</v>
      </c>
      <c r="GYV18" s="310" t="s">
        <v>201</v>
      </c>
      <c r="GYW18" s="310" t="s">
        <v>201</v>
      </c>
      <c r="GYX18" s="310" t="s">
        <v>201</v>
      </c>
      <c r="GYY18" s="310" t="s">
        <v>201</v>
      </c>
      <c r="GYZ18" s="310" t="s">
        <v>201</v>
      </c>
      <c r="GZA18" s="310" t="s">
        <v>201</v>
      </c>
      <c r="GZB18" s="310" t="s">
        <v>201</v>
      </c>
      <c r="GZC18" s="310" t="s">
        <v>201</v>
      </c>
      <c r="GZD18" s="310" t="s">
        <v>201</v>
      </c>
      <c r="GZE18" s="310" t="s">
        <v>201</v>
      </c>
      <c r="GZF18" s="310" t="s">
        <v>201</v>
      </c>
      <c r="GZG18" s="310" t="s">
        <v>201</v>
      </c>
      <c r="GZH18" s="310" t="s">
        <v>201</v>
      </c>
      <c r="GZI18" s="310" t="s">
        <v>201</v>
      </c>
      <c r="GZJ18" s="310" t="s">
        <v>201</v>
      </c>
      <c r="GZK18" s="310" t="s">
        <v>201</v>
      </c>
      <c r="GZL18" s="310" t="s">
        <v>201</v>
      </c>
      <c r="GZM18" s="310" t="s">
        <v>201</v>
      </c>
      <c r="GZN18" s="310" t="s">
        <v>201</v>
      </c>
      <c r="GZO18" s="310" t="s">
        <v>201</v>
      </c>
      <c r="GZP18" s="310" t="s">
        <v>201</v>
      </c>
      <c r="GZQ18" s="310" t="s">
        <v>201</v>
      </c>
      <c r="GZR18" s="310" t="s">
        <v>201</v>
      </c>
      <c r="GZS18" s="310" t="s">
        <v>201</v>
      </c>
      <c r="GZT18" s="310" t="s">
        <v>201</v>
      </c>
      <c r="GZU18" s="310" t="s">
        <v>201</v>
      </c>
      <c r="GZV18" s="310" t="s">
        <v>201</v>
      </c>
      <c r="GZW18" s="310" t="s">
        <v>201</v>
      </c>
      <c r="GZX18" s="310" t="s">
        <v>201</v>
      </c>
      <c r="GZY18" s="310" t="s">
        <v>201</v>
      </c>
      <c r="GZZ18" s="310" t="s">
        <v>201</v>
      </c>
      <c r="HAA18" s="310" t="s">
        <v>201</v>
      </c>
      <c r="HAB18" s="310" t="s">
        <v>201</v>
      </c>
      <c r="HAC18" s="310" t="s">
        <v>201</v>
      </c>
      <c r="HAD18" s="310" t="s">
        <v>201</v>
      </c>
      <c r="HAE18" s="310" t="s">
        <v>201</v>
      </c>
      <c r="HAF18" s="310" t="s">
        <v>201</v>
      </c>
      <c r="HAG18" s="310" t="s">
        <v>201</v>
      </c>
      <c r="HAH18" s="310" t="s">
        <v>201</v>
      </c>
      <c r="HAI18" s="310" t="s">
        <v>201</v>
      </c>
      <c r="HAJ18" s="310" t="s">
        <v>201</v>
      </c>
      <c r="HAK18" s="310" t="s">
        <v>201</v>
      </c>
      <c r="HAL18" s="310" t="s">
        <v>201</v>
      </c>
      <c r="HAM18" s="310" t="s">
        <v>201</v>
      </c>
      <c r="HAN18" s="310" t="s">
        <v>201</v>
      </c>
      <c r="HAO18" s="310" t="s">
        <v>201</v>
      </c>
      <c r="HAP18" s="310" t="s">
        <v>201</v>
      </c>
      <c r="HAQ18" s="310" t="s">
        <v>201</v>
      </c>
      <c r="HAR18" s="310" t="s">
        <v>201</v>
      </c>
      <c r="HAS18" s="310" t="s">
        <v>201</v>
      </c>
      <c r="HAT18" s="310" t="s">
        <v>201</v>
      </c>
      <c r="HAU18" s="310" t="s">
        <v>201</v>
      </c>
      <c r="HAV18" s="310" t="s">
        <v>201</v>
      </c>
      <c r="HAW18" s="310" t="s">
        <v>201</v>
      </c>
      <c r="HAX18" s="310" t="s">
        <v>201</v>
      </c>
      <c r="HAY18" s="310" t="s">
        <v>201</v>
      </c>
      <c r="HAZ18" s="310" t="s">
        <v>201</v>
      </c>
      <c r="HBA18" s="310" t="s">
        <v>201</v>
      </c>
      <c r="HBB18" s="310" t="s">
        <v>201</v>
      </c>
      <c r="HBC18" s="310" t="s">
        <v>201</v>
      </c>
      <c r="HBD18" s="310" t="s">
        <v>201</v>
      </c>
      <c r="HBE18" s="310" t="s">
        <v>201</v>
      </c>
      <c r="HBF18" s="310" t="s">
        <v>201</v>
      </c>
      <c r="HBG18" s="310" t="s">
        <v>201</v>
      </c>
      <c r="HBH18" s="310" t="s">
        <v>201</v>
      </c>
      <c r="HBI18" s="310" t="s">
        <v>201</v>
      </c>
      <c r="HBJ18" s="310" t="s">
        <v>201</v>
      </c>
      <c r="HBK18" s="310" t="s">
        <v>201</v>
      </c>
      <c r="HBL18" s="310" t="s">
        <v>201</v>
      </c>
      <c r="HBM18" s="310" t="s">
        <v>201</v>
      </c>
      <c r="HBN18" s="310" t="s">
        <v>201</v>
      </c>
      <c r="HBO18" s="310" t="s">
        <v>201</v>
      </c>
      <c r="HBP18" s="310" t="s">
        <v>201</v>
      </c>
      <c r="HBQ18" s="310" t="s">
        <v>201</v>
      </c>
      <c r="HBR18" s="310" t="s">
        <v>201</v>
      </c>
      <c r="HBS18" s="310" t="s">
        <v>201</v>
      </c>
      <c r="HBT18" s="310" t="s">
        <v>201</v>
      </c>
      <c r="HBU18" s="310" t="s">
        <v>201</v>
      </c>
      <c r="HBV18" s="310" t="s">
        <v>201</v>
      </c>
      <c r="HBW18" s="310" t="s">
        <v>201</v>
      </c>
      <c r="HBX18" s="310" t="s">
        <v>201</v>
      </c>
      <c r="HBY18" s="310" t="s">
        <v>201</v>
      </c>
      <c r="HBZ18" s="310" t="s">
        <v>201</v>
      </c>
      <c r="HCA18" s="310" t="s">
        <v>201</v>
      </c>
      <c r="HCB18" s="310" t="s">
        <v>201</v>
      </c>
      <c r="HCC18" s="310" t="s">
        <v>201</v>
      </c>
      <c r="HCD18" s="310" t="s">
        <v>201</v>
      </c>
      <c r="HCE18" s="310" t="s">
        <v>201</v>
      </c>
      <c r="HCF18" s="310" t="s">
        <v>201</v>
      </c>
      <c r="HCG18" s="310" t="s">
        <v>201</v>
      </c>
      <c r="HCH18" s="310" t="s">
        <v>201</v>
      </c>
      <c r="HCI18" s="310" t="s">
        <v>201</v>
      </c>
      <c r="HCJ18" s="310" t="s">
        <v>201</v>
      </c>
      <c r="HCK18" s="310" t="s">
        <v>201</v>
      </c>
      <c r="HCL18" s="310" t="s">
        <v>201</v>
      </c>
      <c r="HCM18" s="310" t="s">
        <v>201</v>
      </c>
      <c r="HCN18" s="310" t="s">
        <v>201</v>
      </c>
      <c r="HCO18" s="310" t="s">
        <v>201</v>
      </c>
      <c r="HCP18" s="310" t="s">
        <v>201</v>
      </c>
      <c r="HCQ18" s="310" t="s">
        <v>201</v>
      </c>
      <c r="HCR18" s="310" t="s">
        <v>201</v>
      </c>
      <c r="HCS18" s="310" t="s">
        <v>201</v>
      </c>
      <c r="HCT18" s="310" t="s">
        <v>201</v>
      </c>
      <c r="HCU18" s="310" t="s">
        <v>201</v>
      </c>
      <c r="HCV18" s="310" t="s">
        <v>201</v>
      </c>
      <c r="HCW18" s="310" t="s">
        <v>201</v>
      </c>
      <c r="HCX18" s="310" t="s">
        <v>201</v>
      </c>
      <c r="HCY18" s="310" t="s">
        <v>201</v>
      </c>
      <c r="HCZ18" s="310" t="s">
        <v>201</v>
      </c>
      <c r="HDA18" s="310" t="s">
        <v>201</v>
      </c>
      <c r="HDB18" s="310" t="s">
        <v>201</v>
      </c>
      <c r="HDC18" s="310" t="s">
        <v>201</v>
      </c>
      <c r="HDD18" s="310" t="s">
        <v>201</v>
      </c>
      <c r="HDE18" s="310" t="s">
        <v>201</v>
      </c>
      <c r="HDF18" s="310" t="s">
        <v>201</v>
      </c>
      <c r="HDG18" s="310" t="s">
        <v>201</v>
      </c>
      <c r="HDH18" s="310" t="s">
        <v>201</v>
      </c>
      <c r="HDI18" s="310" t="s">
        <v>201</v>
      </c>
      <c r="HDJ18" s="310" t="s">
        <v>201</v>
      </c>
      <c r="HDK18" s="310" t="s">
        <v>201</v>
      </c>
      <c r="HDL18" s="310" t="s">
        <v>201</v>
      </c>
      <c r="HDM18" s="310" t="s">
        <v>201</v>
      </c>
      <c r="HDN18" s="310" t="s">
        <v>201</v>
      </c>
      <c r="HDO18" s="310" t="s">
        <v>201</v>
      </c>
      <c r="HDP18" s="310" t="s">
        <v>201</v>
      </c>
      <c r="HDQ18" s="310" t="s">
        <v>201</v>
      </c>
      <c r="HDR18" s="310" t="s">
        <v>201</v>
      </c>
      <c r="HDS18" s="310" t="s">
        <v>201</v>
      </c>
      <c r="HDT18" s="310" t="s">
        <v>201</v>
      </c>
      <c r="HDU18" s="310" t="s">
        <v>201</v>
      </c>
      <c r="HDV18" s="310" t="s">
        <v>201</v>
      </c>
      <c r="HDW18" s="310" t="s">
        <v>201</v>
      </c>
      <c r="HDX18" s="310" t="s">
        <v>201</v>
      </c>
      <c r="HDY18" s="310" t="s">
        <v>201</v>
      </c>
      <c r="HDZ18" s="310" t="s">
        <v>201</v>
      </c>
      <c r="HEA18" s="310" t="s">
        <v>201</v>
      </c>
      <c r="HEB18" s="310" t="s">
        <v>201</v>
      </c>
      <c r="HEC18" s="310" t="s">
        <v>201</v>
      </c>
      <c r="HED18" s="310" t="s">
        <v>201</v>
      </c>
      <c r="HEE18" s="310" t="s">
        <v>201</v>
      </c>
      <c r="HEF18" s="310" t="s">
        <v>201</v>
      </c>
      <c r="HEG18" s="310" t="s">
        <v>201</v>
      </c>
      <c r="HEH18" s="310" t="s">
        <v>201</v>
      </c>
      <c r="HEI18" s="310" t="s">
        <v>201</v>
      </c>
      <c r="HEJ18" s="310" t="s">
        <v>201</v>
      </c>
      <c r="HEK18" s="310" t="s">
        <v>201</v>
      </c>
      <c r="HEL18" s="310" t="s">
        <v>201</v>
      </c>
      <c r="HEM18" s="310" t="s">
        <v>201</v>
      </c>
      <c r="HEN18" s="310" t="s">
        <v>201</v>
      </c>
      <c r="HEO18" s="310" t="s">
        <v>201</v>
      </c>
      <c r="HEP18" s="310" t="s">
        <v>201</v>
      </c>
      <c r="HEQ18" s="310" t="s">
        <v>201</v>
      </c>
      <c r="HER18" s="310" t="s">
        <v>201</v>
      </c>
      <c r="HES18" s="310" t="s">
        <v>201</v>
      </c>
      <c r="HET18" s="310" t="s">
        <v>201</v>
      </c>
      <c r="HEU18" s="310" t="s">
        <v>201</v>
      </c>
      <c r="HEV18" s="310" t="s">
        <v>201</v>
      </c>
      <c r="HEW18" s="310" t="s">
        <v>201</v>
      </c>
      <c r="HEX18" s="310" t="s">
        <v>201</v>
      </c>
      <c r="HEY18" s="310" t="s">
        <v>201</v>
      </c>
      <c r="HEZ18" s="310" t="s">
        <v>201</v>
      </c>
      <c r="HFA18" s="310" t="s">
        <v>201</v>
      </c>
      <c r="HFB18" s="310" t="s">
        <v>201</v>
      </c>
      <c r="HFC18" s="310" t="s">
        <v>201</v>
      </c>
      <c r="HFD18" s="310" t="s">
        <v>201</v>
      </c>
      <c r="HFE18" s="310" t="s">
        <v>201</v>
      </c>
      <c r="HFF18" s="310" t="s">
        <v>201</v>
      </c>
      <c r="HFG18" s="310" t="s">
        <v>201</v>
      </c>
      <c r="HFH18" s="310" t="s">
        <v>201</v>
      </c>
      <c r="HFI18" s="310" t="s">
        <v>201</v>
      </c>
      <c r="HFJ18" s="310" t="s">
        <v>201</v>
      </c>
      <c r="HFK18" s="310" t="s">
        <v>201</v>
      </c>
      <c r="HFL18" s="310" t="s">
        <v>201</v>
      </c>
      <c r="HFM18" s="310" t="s">
        <v>201</v>
      </c>
      <c r="HFN18" s="310" t="s">
        <v>201</v>
      </c>
      <c r="HFO18" s="310" t="s">
        <v>201</v>
      </c>
      <c r="HFP18" s="310" t="s">
        <v>201</v>
      </c>
      <c r="HFQ18" s="310" t="s">
        <v>201</v>
      </c>
      <c r="HFR18" s="310" t="s">
        <v>201</v>
      </c>
      <c r="HFS18" s="310" t="s">
        <v>201</v>
      </c>
      <c r="HFT18" s="310" t="s">
        <v>201</v>
      </c>
      <c r="HFU18" s="310" t="s">
        <v>201</v>
      </c>
      <c r="HFV18" s="310" t="s">
        <v>201</v>
      </c>
      <c r="HFW18" s="310" t="s">
        <v>201</v>
      </c>
      <c r="HFX18" s="310" t="s">
        <v>201</v>
      </c>
      <c r="HFY18" s="310" t="s">
        <v>201</v>
      </c>
      <c r="HFZ18" s="310" t="s">
        <v>201</v>
      </c>
      <c r="HGA18" s="310" t="s">
        <v>201</v>
      </c>
      <c r="HGB18" s="310" t="s">
        <v>201</v>
      </c>
      <c r="HGC18" s="310" t="s">
        <v>201</v>
      </c>
      <c r="HGD18" s="310" t="s">
        <v>201</v>
      </c>
      <c r="HGE18" s="310" t="s">
        <v>201</v>
      </c>
      <c r="HGF18" s="310" t="s">
        <v>201</v>
      </c>
      <c r="HGG18" s="310" t="s">
        <v>201</v>
      </c>
      <c r="HGH18" s="310" t="s">
        <v>201</v>
      </c>
      <c r="HGI18" s="310" t="s">
        <v>201</v>
      </c>
      <c r="HGJ18" s="310" t="s">
        <v>201</v>
      </c>
      <c r="HGK18" s="310" t="s">
        <v>201</v>
      </c>
      <c r="HGL18" s="310" t="s">
        <v>201</v>
      </c>
      <c r="HGM18" s="310" t="s">
        <v>201</v>
      </c>
      <c r="HGN18" s="310" t="s">
        <v>201</v>
      </c>
      <c r="HGO18" s="310" t="s">
        <v>201</v>
      </c>
      <c r="HGP18" s="310" t="s">
        <v>201</v>
      </c>
      <c r="HGQ18" s="310" t="s">
        <v>201</v>
      </c>
      <c r="HGR18" s="310" t="s">
        <v>201</v>
      </c>
      <c r="HGS18" s="310" t="s">
        <v>201</v>
      </c>
      <c r="HGT18" s="310" t="s">
        <v>201</v>
      </c>
      <c r="HGU18" s="310" t="s">
        <v>201</v>
      </c>
      <c r="HGV18" s="310" t="s">
        <v>201</v>
      </c>
      <c r="HGW18" s="310" t="s">
        <v>201</v>
      </c>
      <c r="HGX18" s="310" t="s">
        <v>201</v>
      </c>
      <c r="HGY18" s="310" t="s">
        <v>201</v>
      </c>
      <c r="HGZ18" s="310" t="s">
        <v>201</v>
      </c>
      <c r="HHA18" s="310" t="s">
        <v>201</v>
      </c>
      <c r="HHB18" s="310" t="s">
        <v>201</v>
      </c>
      <c r="HHC18" s="310" t="s">
        <v>201</v>
      </c>
      <c r="HHD18" s="310" t="s">
        <v>201</v>
      </c>
      <c r="HHE18" s="310" t="s">
        <v>201</v>
      </c>
      <c r="HHF18" s="310" t="s">
        <v>201</v>
      </c>
      <c r="HHG18" s="310" t="s">
        <v>201</v>
      </c>
      <c r="HHH18" s="310" t="s">
        <v>201</v>
      </c>
      <c r="HHI18" s="310" t="s">
        <v>201</v>
      </c>
      <c r="HHJ18" s="310" t="s">
        <v>201</v>
      </c>
      <c r="HHK18" s="310" t="s">
        <v>201</v>
      </c>
      <c r="HHL18" s="310" t="s">
        <v>201</v>
      </c>
      <c r="HHM18" s="310" t="s">
        <v>201</v>
      </c>
      <c r="HHN18" s="310" t="s">
        <v>201</v>
      </c>
      <c r="HHO18" s="310" t="s">
        <v>201</v>
      </c>
      <c r="HHP18" s="310" t="s">
        <v>201</v>
      </c>
      <c r="HHQ18" s="310" t="s">
        <v>201</v>
      </c>
      <c r="HHR18" s="310" t="s">
        <v>201</v>
      </c>
      <c r="HHS18" s="310" t="s">
        <v>201</v>
      </c>
      <c r="HHT18" s="310" t="s">
        <v>201</v>
      </c>
      <c r="HHU18" s="310" t="s">
        <v>201</v>
      </c>
      <c r="HHV18" s="310" t="s">
        <v>201</v>
      </c>
      <c r="HHW18" s="310" t="s">
        <v>201</v>
      </c>
      <c r="HHX18" s="310" t="s">
        <v>201</v>
      </c>
      <c r="HHY18" s="310" t="s">
        <v>201</v>
      </c>
      <c r="HHZ18" s="310" t="s">
        <v>201</v>
      </c>
      <c r="HIA18" s="310" t="s">
        <v>201</v>
      </c>
      <c r="HIB18" s="310" t="s">
        <v>201</v>
      </c>
      <c r="HIC18" s="310" t="s">
        <v>201</v>
      </c>
      <c r="HID18" s="310" t="s">
        <v>201</v>
      </c>
      <c r="HIE18" s="310" t="s">
        <v>201</v>
      </c>
      <c r="HIF18" s="310" t="s">
        <v>201</v>
      </c>
      <c r="HIG18" s="310" t="s">
        <v>201</v>
      </c>
      <c r="HIH18" s="310" t="s">
        <v>201</v>
      </c>
      <c r="HII18" s="310" t="s">
        <v>201</v>
      </c>
      <c r="HIJ18" s="310" t="s">
        <v>201</v>
      </c>
      <c r="HIK18" s="310" t="s">
        <v>201</v>
      </c>
      <c r="HIL18" s="310" t="s">
        <v>201</v>
      </c>
      <c r="HIM18" s="310" t="s">
        <v>201</v>
      </c>
      <c r="HIN18" s="310" t="s">
        <v>201</v>
      </c>
      <c r="HIO18" s="310" t="s">
        <v>201</v>
      </c>
      <c r="HIP18" s="310" t="s">
        <v>201</v>
      </c>
      <c r="HIQ18" s="310" t="s">
        <v>201</v>
      </c>
      <c r="HIR18" s="310" t="s">
        <v>201</v>
      </c>
      <c r="HIS18" s="310" t="s">
        <v>201</v>
      </c>
      <c r="HIT18" s="310" t="s">
        <v>201</v>
      </c>
      <c r="HIU18" s="310" t="s">
        <v>201</v>
      </c>
      <c r="HIV18" s="310" t="s">
        <v>201</v>
      </c>
      <c r="HIW18" s="310" t="s">
        <v>201</v>
      </c>
      <c r="HIX18" s="310" t="s">
        <v>201</v>
      </c>
      <c r="HIY18" s="310" t="s">
        <v>201</v>
      </c>
      <c r="HIZ18" s="310" t="s">
        <v>201</v>
      </c>
      <c r="HJA18" s="310" t="s">
        <v>201</v>
      </c>
      <c r="HJB18" s="310" t="s">
        <v>201</v>
      </c>
      <c r="HJC18" s="310" t="s">
        <v>201</v>
      </c>
      <c r="HJD18" s="310" t="s">
        <v>201</v>
      </c>
      <c r="HJE18" s="310" t="s">
        <v>201</v>
      </c>
      <c r="HJF18" s="310" t="s">
        <v>201</v>
      </c>
      <c r="HJG18" s="310" t="s">
        <v>201</v>
      </c>
      <c r="HJH18" s="310" t="s">
        <v>201</v>
      </c>
      <c r="HJI18" s="310" t="s">
        <v>201</v>
      </c>
      <c r="HJJ18" s="310" t="s">
        <v>201</v>
      </c>
      <c r="HJK18" s="310" t="s">
        <v>201</v>
      </c>
      <c r="HJL18" s="310" t="s">
        <v>201</v>
      </c>
      <c r="HJM18" s="310" t="s">
        <v>201</v>
      </c>
      <c r="HJN18" s="310" t="s">
        <v>201</v>
      </c>
      <c r="HJO18" s="310" t="s">
        <v>201</v>
      </c>
      <c r="HJP18" s="310" t="s">
        <v>201</v>
      </c>
      <c r="HJQ18" s="310" t="s">
        <v>201</v>
      </c>
      <c r="HJR18" s="310" t="s">
        <v>201</v>
      </c>
      <c r="HJS18" s="310" t="s">
        <v>201</v>
      </c>
      <c r="HJT18" s="310" t="s">
        <v>201</v>
      </c>
      <c r="HJU18" s="310" t="s">
        <v>201</v>
      </c>
      <c r="HJV18" s="310" t="s">
        <v>201</v>
      </c>
      <c r="HJW18" s="310" t="s">
        <v>201</v>
      </c>
      <c r="HJX18" s="310" t="s">
        <v>201</v>
      </c>
      <c r="HJY18" s="310" t="s">
        <v>201</v>
      </c>
      <c r="HJZ18" s="310" t="s">
        <v>201</v>
      </c>
      <c r="HKA18" s="310" t="s">
        <v>201</v>
      </c>
      <c r="HKB18" s="310" t="s">
        <v>201</v>
      </c>
      <c r="HKC18" s="310" t="s">
        <v>201</v>
      </c>
      <c r="HKD18" s="310" t="s">
        <v>201</v>
      </c>
      <c r="HKE18" s="310" t="s">
        <v>201</v>
      </c>
      <c r="HKF18" s="310" t="s">
        <v>201</v>
      </c>
      <c r="HKG18" s="310" t="s">
        <v>201</v>
      </c>
      <c r="HKH18" s="310" t="s">
        <v>201</v>
      </c>
      <c r="HKI18" s="310" t="s">
        <v>201</v>
      </c>
      <c r="HKJ18" s="310" t="s">
        <v>201</v>
      </c>
      <c r="HKK18" s="310" t="s">
        <v>201</v>
      </c>
      <c r="HKL18" s="310" t="s">
        <v>201</v>
      </c>
      <c r="HKM18" s="310" t="s">
        <v>201</v>
      </c>
      <c r="HKN18" s="310" t="s">
        <v>201</v>
      </c>
      <c r="HKO18" s="310" t="s">
        <v>201</v>
      </c>
      <c r="HKP18" s="310" t="s">
        <v>201</v>
      </c>
      <c r="HKQ18" s="310" t="s">
        <v>201</v>
      </c>
      <c r="HKR18" s="310" t="s">
        <v>201</v>
      </c>
      <c r="HKS18" s="310" t="s">
        <v>201</v>
      </c>
      <c r="HKT18" s="310" t="s">
        <v>201</v>
      </c>
      <c r="HKU18" s="310" t="s">
        <v>201</v>
      </c>
      <c r="HKV18" s="310" t="s">
        <v>201</v>
      </c>
      <c r="HKW18" s="310" t="s">
        <v>201</v>
      </c>
      <c r="HKX18" s="310" t="s">
        <v>201</v>
      </c>
      <c r="HKY18" s="310" t="s">
        <v>201</v>
      </c>
      <c r="HKZ18" s="310" t="s">
        <v>201</v>
      </c>
      <c r="HLA18" s="310" t="s">
        <v>201</v>
      </c>
      <c r="HLB18" s="310" t="s">
        <v>201</v>
      </c>
      <c r="HLC18" s="310" t="s">
        <v>201</v>
      </c>
      <c r="HLD18" s="310" t="s">
        <v>201</v>
      </c>
      <c r="HLE18" s="310" t="s">
        <v>201</v>
      </c>
      <c r="HLF18" s="310" t="s">
        <v>201</v>
      </c>
      <c r="HLG18" s="310" t="s">
        <v>201</v>
      </c>
      <c r="HLH18" s="310" t="s">
        <v>201</v>
      </c>
      <c r="HLI18" s="310" t="s">
        <v>201</v>
      </c>
      <c r="HLJ18" s="310" t="s">
        <v>201</v>
      </c>
      <c r="HLK18" s="310" t="s">
        <v>201</v>
      </c>
      <c r="HLL18" s="310" t="s">
        <v>201</v>
      </c>
      <c r="HLM18" s="310" t="s">
        <v>201</v>
      </c>
      <c r="HLN18" s="310" t="s">
        <v>201</v>
      </c>
      <c r="HLO18" s="310" t="s">
        <v>201</v>
      </c>
      <c r="HLP18" s="310" t="s">
        <v>201</v>
      </c>
      <c r="HLQ18" s="310" t="s">
        <v>201</v>
      </c>
      <c r="HLR18" s="310" t="s">
        <v>201</v>
      </c>
      <c r="HLS18" s="310" t="s">
        <v>201</v>
      </c>
      <c r="HLT18" s="310" t="s">
        <v>201</v>
      </c>
      <c r="HLU18" s="310" t="s">
        <v>201</v>
      </c>
      <c r="HLV18" s="310" t="s">
        <v>201</v>
      </c>
      <c r="HLW18" s="310" t="s">
        <v>201</v>
      </c>
      <c r="HLX18" s="310" t="s">
        <v>201</v>
      </c>
      <c r="HLY18" s="310" t="s">
        <v>201</v>
      </c>
      <c r="HLZ18" s="310" t="s">
        <v>201</v>
      </c>
      <c r="HMA18" s="310" t="s">
        <v>201</v>
      </c>
      <c r="HMB18" s="310" t="s">
        <v>201</v>
      </c>
      <c r="HMC18" s="310" t="s">
        <v>201</v>
      </c>
      <c r="HMD18" s="310" t="s">
        <v>201</v>
      </c>
      <c r="HME18" s="310" t="s">
        <v>201</v>
      </c>
      <c r="HMF18" s="310" t="s">
        <v>201</v>
      </c>
      <c r="HMG18" s="310" t="s">
        <v>201</v>
      </c>
      <c r="HMH18" s="310" t="s">
        <v>201</v>
      </c>
      <c r="HMI18" s="310" t="s">
        <v>201</v>
      </c>
      <c r="HMJ18" s="310" t="s">
        <v>201</v>
      </c>
      <c r="HMK18" s="310" t="s">
        <v>201</v>
      </c>
      <c r="HML18" s="310" t="s">
        <v>201</v>
      </c>
      <c r="HMM18" s="310" t="s">
        <v>201</v>
      </c>
      <c r="HMN18" s="310" t="s">
        <v>201</v>
      </c>
      <c r="HMO18" s="310" t="s">
        <v>201</v>
      </c>
      <c r="HMP18" s="310" t="s">
        <v>201</v>
      </c>
      <c r="HMQ18" s="310" t="s">
        <v>201</v>
      </c>
      <c r="HMR18" s="310" t="s">
        <v>201</v>
      </c>
      <c r="HMS18" s="310" t="s">
        <v>201</v>
      </c>
      <c r="HMT18" s="310" t="s">
        <v>201</v>
      </c>
      <c r="HMU18" s="310" t="s">
        <v>201</v>
      </c>
      <c r="HMV18" s="310" t="s">
        <v>201</v>
      </c>
      <c r="HMW18" s="310" t="s">
        <v>201</v>
      </c>
      <c r="HMX18" s="310" t="s">
        <v>201</v>
      </c>
      <c r="HMY18" s="310" t="s">
        <v>201</v>
      </c>
      <c r="HMZ18" s="310" t="s">
        <v>201</v>
      </c>
      <c r="HNA18" s="310" t="s">
        <v>201</v>
      </c>
      <c r="HNB18" s="310" t="s">
        <v>201</v>
      </c>
      <c r="HNC18" s="310" t="s">
        <v>201</v>
      </c>
      <c r="HND18" s="310" t="s">
        <v>201</v>
      </c>
      <c r="HNE18" s="310" t="s">
        <v>201</v>
      </c>
      <c r="HNF18" s="310" t="s">
        <v>201</v>
      </c>
      <c r="HNG18" s="310" t="s">
        <v>201</v>
      </c>
      <c r="HNH18" s="310" t="s">
        <v>201</v>
      </c>
      <c r="HNI18" s="310" t="s">
        <v>201</v>
      </c>
      <c r="HNJ18" s="310" t="s">
        <v>201</v>
      </c>
      <c r="HNK18" s="310" t="s">
        <v>201</v>
      </c>
      <c r="HNL18" s="310" t="s">
        <v>201</v>
      </c>
      <c r="HNM18" s="310" t="s">
        <v>201</v>
      </c>
      <c r="HNN18" s="310" t="s">
        <v>201</v>
      </c>
      <c r="HNO18" s="310" t="s">
        <v>201</v>
      </c>
      <c r="HNP18" s="310" t="s">
        <v>201</v>
      </c>
      <c r="HNQ18" s="310" t="s">
        <v>201</v>
      </c>
      <c r="HNR18" s="310" t="s">
        <v>201</v>
      </c>
      <c r="HNS18" s="310" t="s">
        <v>201</v>
      </c>
      <c r="HNT18" s="310" t="s">
        <v>201</v>
      </c>
      <c r="HNU18" s="310" t="s">
        <v>201</v>
      </c>
      <c r="HNV18" s="310" t="s">
        <v>201</v>
      </c>
      <c r="HNW18" s="310" t="s">
        <v>201</v>
      </c>
      <c r="HNX18" s="310" t="s">
        <v>201</v>
      </c>
      <c r="HNY18" s="310" t="s">
        <v>201</v>
      </c>
      <c r="HNZ18" s="310" t="s">
        <v>201</v>
      </c>
      <c r="HOA18" s="310" t="s">
        <v>201</v>
      </c>
      <c r="HOB18" s="310" t="s">
        <v>201</v>
      </c>
      <c r="HOC18" s="310" t="s">
        <v>201</v>
      </c>
      <c r="HOD18" s="310" t="s">
        <v>201</v>
      </c>
      <c r="HOE18" s="310" t="s">
        <v>201</v>
      </c>
      <c r="HOF18" s="310" t="s">
        <v>201</v>
      </c>
      <c r="HOG18" s="310" t="s">
        <v>201</v>
      </c>
      <c r="HOH18" s="310" t="s">
        <v>201</v>
      </c>
      <c r="HOI18" s="310" t="s">
        <v>201</v>
      </c>
      <c r="HOJ18" s="310" t="s">
        <v>201</v>
      </c>
      <c r="HOK18" s="310" t="s">
        <v>201</v>
      </c>
      <c r="HOL18" s="310" t="s">
        <v>201</v>
      </c>
      <c r="HOM18" s="310" t="s">
        <v>201</v>
      </c>
      <c r="HON18" s="310" t="s">
        <v>201</v>
      </c>
      <c r="HOO18" s="310" t="s">
        <v>201</v>
      </c>
      <c r="HOP18" s="310" t="s">
        <v>201</v>
      </c>
      <c r="HOQ18" s="310" t="s">
        <v>201</v>
      </c>
      <c r="HOR18" s="310" t="s">
        <v>201</v>
      </c>
      <c r="HOS18" s="310" t="s">
        <v>201</v>
      </c>
      <c r="HOT18" s="310" t="s">
        <v>201</v>
      </c>
      <c r="HOU18" s="310" t="s">
        <v>201</v>
      </c>
      <c r="HOV18" s="310" t="s">
        <v>201</v>
      </c>
      <c r="HOW18" s="310" t="s">
        <v>201</v>
      </c>
      <c r="HOX18" s="310" t="s">
        <v>201</v>
      </c>
      <c r="HOY18" s="310" t="s">
        <v>201</v>
      </c>
      <c r="HOZ18" s="310" t="s">
        <v>201</v>
      </c>
      <c r="HPA18" s="310" t="s">
        <v>201</v>
      </c>
      <c r="HPB18" s="310" t="s">
        <v>201</v>
      </c>
      <c r="HPC18" s="310" t="s">
        <v>201</v>
      </c>
      <c r="HPD18" s="310" t="s">
        <v>201</v>
      </c>
      <c r="HPE18" s="310" t="s">
        <v>201</v>
      </c>
      <c r="HPF18" s="310" t="s">
        <v>201</v>
      </c>
      <c r="HPG18" s="310" t="s">
        <v>201</v>
      </c>
      <c r="HPH18" s="310" t="s">
        <v>201</v>
      </c>
      <c r="HPI18" s="310" t="s">
        <v>201</v>
      </c>
      <c r="HPJ18" s="310" t="s">
        <v>201</v>
      </c>
      <c r="HPK18" s="310" t="s">
        <v>201</v>
      </c>
      <c r="HPL18" s="310" t="s">
        <v>201</v>
      </c>
      <c r="HPM18" s="310" t="s">
        <v>201</v>
      </c>
      <c r="HPN18" s="310" t="s">
        <v>201</v>
      </c>
      <c r="HPO18" s="310" t="s">
        <v>201</v>
      </c>
      <c r="HPP18" s="310" t="s">
        <v>201</v>
      </c>
      <c r="HPQ18" s="310" t="s">
        <v>201</v>
      </c>
      <c r="HPR18" s="310" t="s">
        <v>201</v>
      </c>
      <c r="HPS18" s="310" t="s">
        <v>201</v>
      </c>
      <c r="HPT18" s="310" t="s">
        <v>201</v>
      </c>
      <c r="HPU18" s="310" t="s">
        <v>201</v>
      </c>
      <c r="HPV18" s="310" t="s">
        <v>201</v>
      </c>
      <c r="HPW18" s="310" t="s">
        <v>201</v>
      </c>
      <c r="HPX18" s="310" t="s">
        <v>201</v>
      </c>
      <c r="HPY18" s="310" t="s">
        <v>201</v>
      </c>
      <c r="HPZ18" s="310" t="s">
        <v>201</v>
      </c>
      <c r="HQA18" s="310" t="s">
        <v>201</v>
      </c>
      <c r="HQB18" s="310" t="s">
        <v>201</v>
      </c>
      <c r="HQC18" s="310" t="s">
        <v>201</v>
      </c>
      <c r="HQD18" s="310" t="s">
        <v>201</v>
      </c>
      <c r="HQE18" s="310" t="s">
        <v>201</v>
      </c>
      <c r="HQF18" s="310" t="s">
        <v>201</v>
      </c>
      <c r="HQG18" s="310" t="s">
        <v>201</v>
      </c>
      <c r="HQH18" s="310" t="s">
        <v>201</v>
      </c>
      <c r="HQI18" s="310" t="s">
        <v>201</v>
      </c>
      <c r="HQJ18" s="310" t="s">
        <v>201</v>
      </c>
      <c r="HQK18" s="310" t="s">
        <v>201</v>
      </c>
      <c r="HQL18" s="310" t="s">
        <v>201</v>
      </c>
      <c r="HQM18" s="310" t="s">
        <v>201</v>
      </c>
      <c r="HQN18" s="310" t="s">
        <v>201</v>
      </c>
      <c r="HQO18" s="310" t="s">
        <v>201</v>
      </c>
      <c r="HQP18" s="310" t="s">
        <v>201</v>
      </c>
      <c r="HQQ18" s="310" t="s">
        <v>201</v>
      </c>
      <c r="HQR18" s="310" t="s">
        <v>201</v>
      </c>
      <c r="HQS18" s="310" t="s">
        <v>201</v>
      </c>
      <c r="HQT18" s="310" t="s">
        <v>201</v>
      </c>
      <c r="HQU18" s="310" t="s">
        <v>201</v>
      </c>
      <c r="HQV18" s="310" t="s">
        <v>201</v>
      </c>
      <c r="HQW18" s="310" t="s">
        <v>201</v>
      </c>
      <c r="HQX18" s="310" t="s">
        <v>201</v>
      </c>
      <c r="HQY18" s="310" t="s">
        <v>201</v>
      </c>
      <c r="HQZ18" s="310" t="s">
        <v>201</v>
      </c>
      <c r="HRA18" s="310" t="s">
        <v>201</v>
      </c>
      <c r="HRB18" s="310" t="s">
        <v>201</v>
      </c>
      <c r="HRC18" s="310" t="s">
        <v>201</v>
      </c>
      <c r="HRD18" s="310" t="s">
        <v>201</v>
      </c>
      <c r="HRE18" s="310" t="s">
        <v>201</v>
      </c>
      <c r="HRF18" s="310" t="s">
        <v>201</v>
      </c>
      <c r="HRG18" s="310" t="s">
        <v>201</v>
      </c>
      <c r="HRH18" s="310" t="s">
        <v>201</v>
      </c>
      <c r="HRI18" s="310" t="s">
        <v>201</v>
      </c>
      <c r="HRJ18" s="310" t="s">
        <v>201</v>
      </c>
      <c r="HRK18" s="310" t="s">
        <v>201</v>
      </c>
      <c r="HRL18" s="310" t="s">
        <v>201</v>
      </c>
      <c r="HRM18" s="310" t="s">
        <v>201</v>
      </c>
      <c r="HRN18" s="310" t="s">
        <v>201</v>
      </c>
      <c r="HRO18" s="310" t="s">
        <v>201</v>
      </c>
      <c r="HRP18" s="310" t="s">
        <v>201</v>
      </c>
      <c r="HRQ18" s="310" t="s">
        <v>201</v>
      </c>
      <c r="HRR18" s="310" t="s">
        <v>201</v>
      </c>
      <c r="HRS18" s="310" t="s">
        <v>201</v>
      </c>
      <c r="HRT18" s="310" t="s">
        <v>201</v>
      </c>
      <c r="HRU18" s="310" t="s">
        <v>201</v>
      </c>
      <c r="HRV18" s="310" t="s">
        <v>201</v>
      </c>
      <c r="HRW18" s="310" t="s">
        <v>201</v>
      </c>
      <c r="HRX18" s="310" t="s">
        <v>201</v>
      </c>
      <c r="HRY18" s="310" t="s">
        <v>201</v>
      </c>
      <c r="HRZ18" s="310" t="s">
        <v>201</v>
      </c>
      <c r="HSA18" s="310" t="s">
        <v>201</v>
      </c>
      <c r="HSB18" s="310" t="s">
        <v>201</v>
      </c>
      <c r="HSC18" s="310" t="s">
        <v>201</v>
      </c>
      <c r="HSD18" s="310" t="s">
        <v>201</v>
      </c>
      <c r="HSE18" s="310" t="s">
        <v>201</v>
      </c>
      <c r="HSF18" s="310" t="s">
        <v>201</v>
      </c>
      <c r="HSG18" s="310" t="s">
        <v>201</v>
      </c>
      <c r="HSH18" s="310" t="s">
        <v>201</v>
      </c>
      <c r="HSI18" s="310" t="s">
        <v>201</v>
      </c>
      <c r="HSJ18" s="310" t="s">
        <v>201</v>
      </c>
      <c r="HSK18" s="310" t="s">
        <v>201</v>
      </c>
      <c r="HSL18" s="310" t="s">
        <v>201</v>
      </c>
      <c r="HSM18" s="310" t="s">
        <v>201</v>
      </c>
      <c r="HSN18" s="310" t="s">
        <v>201</v>
      </c>
      <c r="HSO18" s="310" t="s">
        <v>201</v>
      </c>
      <c r="HSP18" s="310" t="s">
        <v>201</v>
      </c>
      <c r="HSQ18" s="310" t="s">
        <v>201</v>
      </c>
      <c r="HSR18" s="310" t="s">
        <v>201</v>
      </c>
      <c r="HSS18" s="310" t="s">
        <v>201</v>
      </c>
      <c r="HST18" s="310" t="s">
        <v>201</v>
      </c>
      <c r="HSU18" s="310" t="s">
        <v>201</v>
      </c>
      <c r="HSV18" s="310" t="s">
        <v>201</v>
      </c>
      <c r="HSW18" s="310" t="s">
        <v>201</v>
      </c>
      <c r="HSX18" s="310" t="s">
        <v>201</v>
      </c>
      <c r="HSY18" s="310" t="s">
        <v>201</v>
      </c>
      <c r="HSZ18" s="310" t="s">
        <v>201</v>
      </c>
      <c r="HTA18" s="310" t="s">
        <v>201</v>
      </c>
      <c r="HTB18" s="310" t="s">
        <v>201</v>
      </c>
      <c r="HTC18" s="310" t="s">
        <v>201</v>
      </c>
      <c r="HTD18" s="310" t="s">
        <v>201</v>
      </c>
      <c r="HTE18" s="310" t="s">
        <v>201</v>
      </c>
      <c r="HTF18" s="310" t="s">
        <v>201</v>
      </c>
      <c r="HTG18" s="310" t="s">
        <v>201</v>
      </c>
      <c r="HTH18" s="310" t="s">
        <v>201</v>
      </c>
      <c r="HTI18" s="310" t="s">
        <v>201</v>
      </c>
      <c r="HTJ18" s="310" t="s">
        <v>201</v>
      </c>
      <c r="HTK18" s="310" t="s">
        <v>201</v>
      </c>
      <c r="HTL18" s="310" t="s">
        <v>201</v>
      </c>
      <c r="HTM18" s="310" t="s">
        <v>201</v>
      </c>
      <c r="HTN18" s="310" t="s">
        <v>201</v>
      </c>
      <c r="HTO18" s="310" t="s">
        <v>201</v>
      </c>
      <c r="HTP18" s="310" t="s">
        <v>201</v>
      </c>
      <c r="HTQ18" s="310" t="s">
        <v>201</v>
      </c>
      <c r="HTR18" s="310" t="s">
        <v>201</v>
      </c>
      <c r="HTS18" s="310" t="s">
        <v>201</v>
      </c>
      <c r="HTT18" s="310" t="s">
        <v>201</v>
      </c>
      <c r="HTU18" s="310" t="s">
        <v>201</v>
      </c>
      <c r="HTV18" s="310" t="s">
        <v>201</v>
      </c>
      <c r="HTW18" s="310" t="s">
        <v>201</v>
      </c>
      <c r="HTX18" s="310" t="s">
        <v>201</v>
      </c>
      <c r="HTY18" s="310" t="s">
        <v>201</v>
      </c>
      <c r="HTZ18" s="310" t="s">
        <v>201</v>
      </c>
      <c r="HUA18" s="310" t="s">
        <v>201</v>
      </c>
      <c r="HUB18" s="310" t="s">
        <v>201</v>
      </c>
      <c r="HUC18" s="310" t="s">
        <v>201</v>
      </c>
      <c r="HUD18" s="310" t="s">
        <v>201</v>
      </c>
      <c r="HUE18" s="310" t="s">
        <v>201</v>
      </c>
      <c r="HUF18" s="310" t="s">
        <v>201</v>
      </c>
      <c r="HUG18" s="310" t="s">
        <v>201</v>
      </c>
      <c r="HUH18" s="310" t="s">
        <v>201</v>
      </c>
      <c r="HUI18" s="310" t="s">
        <v>201</v>
      </c>
      <c r="HUJ18" s="310" t="s">
        <v>201</v>
      </c>
      <c r="HUK18" s="310" t="s">
        <v>201</v>
      </c>
      <c r="HUL18" s="310" t="s">
        <v>201</v>
      </c>
      <c r="HUM18" s="310" t="s">
        <v>201</v>
      </c>
      <c r="HUN18" s="310" t="s">
        <v>201</v>
      </c>
      <c r="HUO18" s="310" t="s">
        <v>201</v>
      </c>
      <c r="HUP18" s="310" t="s">
        <v>201</v>
      </c>
      <c r="HUQ18" s="310" t="s">
        <v>201</v>
      </c>
      <c r="HUR18" s="310" t="s">
        <v>201</v>
      </c>
      <c r="HUS18" s="310" t="s">
        <v>201</v>
      </c>
      <c r="HUT18" s="310" t="s">
        <v>201</v>
      </c>
      <c r="HUU18" s="310" t="s">
        <v>201</v>
      </c>
      <c r="HUV18" s="310" t="s">
        <v>201</v>
      </c>
      <c r="HUW18" s="310" t="s">
        <v>201</v>
      </c>
      <c r="HUX18" s="310" t="s">
        <v>201</v>
      </c>
      <c r="HUY18" s="310" t="s">
        <v>201</v>
      </c>
      <c r="HUZ18" s="310" t="s">
        <v>201</v>
      </c>
      <c r="HVA18" s="310" t="s">
        <v>201</v>
      </c>
      <c r="HVB18" s="310" t="s">
        <v>201</v>
      </c>
      <c r="HVC18" s="310" t="s">
        <v>201</v>
      </c>
      <c r="HVD18" s="310" t="s">
        <v>201</v>
      </c>
      <c r="HVE18" s="310" t="s">
        <v>201</v>
      </c>
      <c r="HVF18" s="310" t="s">
        <v>201</v>
      </c>
      <c r="HVG18" s="310" t="s">
        <v>201</v>
      </c>
      <c r="HVH18" s="310" t="s">
        <v>201</v>
      </c>
      <c r="HVI18" s="310" t="s">
        <v>201</v>
      </c>
      <c r="HVJ18" s="310" t="s">
        <v>201</v>
      </c>
      <c r="HVK18" s="310" t="s">
        <v>201</v>
      </c>
      <c r="HVL18" s="310" t="s">
        <v>201</v>
      </c>
      <c r="HVM18" s="310" t="s">
        <v>201</v>
      </c>
      <c r="HVN18" s="310" t="s">
        <v>201</v>
      </c>
      <c r="HVO18" s="310" t="s">
        <v>201</v>
      </c>
      <c r="HVP18" s="310" t="s">
        <v>201</v>
      </c>
      <c r="HVQ18" s="310" t="s">
        <v>201</v>
      </c>
      <c r="HVR18" s="310" t="s">
        <v>201</v>
      </c>
      <c r="HVS18" s="310" t="s">
        <v>201</v>
      </c>
      <c r="HVT18" s="310" t="s">
        <v>201</v>
      </c>
      <c r="HVU18" s="310" t="s">
        <v>201</v>
      </c>
      <c r="HVV18" s="310" t="s">
        <v>201</v>
      </c>
      <c r="HVW18" s="310" t="s">
        <v>201</v>
      </c>
      <c r="HVX18" s="310" t="s">
        <v>201</v>
      </c>
      <c r="HVY18" s="310" t="s">
        <v>201</v>
      </c>
      <c r="HVZ18" s="310" t="s">
        <v>201</v>
      </c>
      <c r="HWA18" s="310" t="s">
        <v>201</v>
      </c>
      <c r="HWB18" s="310" t="s">
        <v>201</v>
      </c>
      <c r="HWC18" s="310" t="s">
        <v>201</v>
      </c>
      <c r="HWD18" s="310" t="s">
        <v>201</v>
      </c>
      <c r="HWE18" s="310" t="s">
        <v>201</v>
      </c>
      <c r="HWF18" s="310" t="s">
        <v>201</v>
      </c>
      <c r="HWG18" s="310" t="s">
        <v>201</v>
      </c>
      <c r="HWH18" s="310" t="s">
        <v>201</v>
      </c>
      <c r="HWI18" s="310" t="s">
        <v>201</v>
      </c>
      <c r="HWJ18" s="310" t="s">
        <v>201</v>
      </c>
      <c r="HWK18" s="310" t="s">
        <v>201</v>
      </c>
      <c r="HWL18" s="310" t="s">
        <v>201</v>
      </c>
      <c r="HWM18" s="310" t="s">
        <v>201</v>
      </c>
      <c r="HWN18" s="310" t="s">
        <v>201</v>
      </c>
      <c r="HWO18" s="310" t="s">
        <v>201</v>
      </c>
      <c r="HWP18" s="310" t="s">
        <v>201</v>
      </c>
      <c r="HWQ18" s="310" t="s">
        <v>201</v>
      </c>
      <c r="HWR18" s="310" t="s">
        <v>201</v>
      </c>
      <c r="HWS18" s="310" t="s">
        <v>201</v>
      </c>
      <c r="HWT18" s="310" t="s">
        <v>201</v>
      </c>
      <c r="HWU18" s="310" t="s">
        <v>201</v>
      </c>
      <c r="HWV18" s="310" t="s">
        <v>201</v>
      </c>
      <c r="HWW18" s="310" t="s">
        <v>201</v>
      </c>
      <c r="HWX18" s="310" t="s">
        <v>201</v>
      </c>
      <c r="HWY18" s="310" t="s">
        <v>201</v>
      </c>
      <c r="HWZ18" s="310" t="s">
        <v>201</v>
      </c>
      <c r="HXA18" s="310" t="s">
        <v>201</v>
      </c>
      <c r="HXB18" s="310" t="s">
        <v>201</v>
      </c>
      <c r="HXC18" s="310" t="s">
        <v>201</v>
      </c>
      <c r="HXD18" s="310" t="s">
        <v>201</v>
      </c>
      <c r="HXE18" s="310" t="s">
        <v>201</v>
      </c>
      <c r="HXF18" s="310" t="s">
        <v>201</v>
      </c>
      <c r="HXG18" s="310" t="s">
        <v>201</v>
      </c>
      <c r="HXH18" s="310" t="s">
        <v>201</v>
      </c>
      <c r="HXI18" s="310" t="s">
        <v>201</v>
      </c>
      <c r="HXJ18" s="310" t="s">
        <v>201</v>
      </c>
      <c r="HXK18" s="310" t="s">
        <v>201</v>
      </c>
      <c r="HXL18" s="310" t="s">
        <v>201</v>
      </c>
      <c r="HXM18" s="310" t="s">
        <v>201</v>
      </c>
      <c r="HXN18" s="310" t="s">
        <v>201</v>
      </c>
      <c r="HXO18" s="310" t="s">
        <v>201</v>
      </c>
      <c r="HXP18" s="310" t="s">
        <v>201</v>
      </c>
      <c r="HXQ18" s="310" t="s">
        <v>201</v>
      </c>
      <c r="HXR18" s="310" t="s">
        <v>201</v>
      </c>
      <c r="HXS18" s="310" t="s">
        <v>201</v>
      </c>
      <c r="HXT18" s="310" t="s">
        <v>201</v>
      </c>
      <c r="HXU18" s="310" t="s">
        <v>201</v>
      </c>
      <c r="HXV18" s="310" t="s">
        <v>201</v>
      </c>
      <c r="HXW18" s="310" t="s">
        <v>201</v>
      </c>
      <c r="HXX18" s="310" t="s">
        <v>201</v>
      </c>
      <c r="HXY18" s="310" t="s">
        <v>201</v>
      </c>
      <c r="HXZ18" s="310" t="s">
        <v>201</v>
      </c>
      <c r="HYA18" s="310" t="s">
        <v>201</v>
      </c>
      <c r="HYB18" s="310" t="s">
        <v>201</v>
      </c>
      <c r="HYC18" s="310" t="s">
        <v>201</v>
      </c>
      <c r="HYD18" s="310" t="s">
        <v>201</v>
      </c>
      <c r="HYE18" s="310" t="s">
        <v>201</v>
      </c>
      <c r="HYF18" s="310" t="s">
        <v>201</v>
      </c>
      <c r="HYG18" s="310" t="s">
        <v>201</v>
      </c>
      <c r="HYH18" s="310" t="s">
        <v>201</v>
      </c>
      <c r="HYI18" s="310" t="s">
        <v>201</v>
      </c>
      <c r="HYJ18" s="310" t="s">
        <v>201</v>
      </c>
      <c r="HYK18" s="310" t="s">
        <v>201</v>
      </c>
      <c r="HYL18" s="310" t="s">
        <v>201</v>
      </c>
      <c r="HYM18" s="310" t="s">
        <v>201</v>
      </c>
      <c r="HYN18" s="310" t="s">
        <v>201</v>
      </c>
      <c r="HYO18" s="310" t="s">
        <v>201</v>
      </c>
      <c r="HYP18" s="310" t="s">
        <v>201</v>
      </c>
      <c r="HYQ18" s="310" t="s">
        <v>201</v>
      </c>
      <c r="HYR18" s="310" t="s">
        <v>201</v>
      </c>
      <c r="HYS18" s="310" t="s">
        <v>201</v>
      </c>
      <c r="HYT18" s="310" t="s">
        <v>201</v>
      </c>
      <c r="HYU18" s="310" t="s">
        <v>201</v>
      </c>
      <c r="HYV18" s="310" t="s">
        <v>201</v>
      </c>
      <c r="HYW18" s="310" t="s">
        <v>201</v>
      </c>
      <c r="HYX18" s="310" t="s">
        <v>201</v>
      </c>
      <c r="HYY18" s="310" t="s">
        <v>201</v>
      </c>
      <c r="HYZ18" s="310" t="s">
        <v>201</v>
      </c>
      <c r="HZA18" s="310" t="s">
        <v>201</v>
      </c>
      <c r="HZB18" s="310" t="s">
        <v>201</v>
      </c>
      <c r="HZC18" s="310" t="s">
        <v>201</v>
      </c>
      <c r="HZD18" s="310" t="s">
        <v>201</v>
      </c>
      <c r="HZE18" s="310" t="s">
        <v>201</v>
      </c>
      <c r="HZF18" s="310" t="s">
        <v>201</v>
      </c>
      <c r="HZG18" s="310" t="s">
        <v>201</v>
      </c>
      <c r="HZH18" s="310" t="s">
        <v>201</v>
      </c>
      <c r="HZI18" s="310" t="s">
        <v>201</v>
      </c>
      <c r="HZJ18" s="310" t="s">
        <v>201</v>
      </c>
      <c r="HZK18" s="310" t="s">
        <v>201</v>
      </c>
      <c r="HZL18" s="310" t="s">
        <v>201</v>
      </c>
      <c r="HZM18" s="310" t="s">
        <v>201</v>
      </c>
      <c r="HZN18" s="310" t="s">
        <v>201</v>
      </c>
      <c r="HZO18" s="310" t="s">
        <v>201</v>
      </c>
      <c r="HZP18" s="310" t="s">
        <v>201</v>
      </c>
      <c r="HZQ18" s="310" t="s">
        <v>201</v>
      </c>
      <c r="HZR18" s="310" t="s">
        <v>201</v>
      </c>
      <c r="HZS18" s="310" t="s">
        <v>201</v>
      </c>
      <c r="HZT18" s="310" t="s">
        <v>201</v>
      </c>
      <c r="HZU18" s="310" t="s">
        <v>201</v>
      </c>
      <c r="HZV18" s="310" t="s">
        <v>201</v>
      </c>
      <c r="HZW18" s="310" t="s">
        <v>201</v>
      </c>
      <c r="HZX18" s="310" t="s">
        <v>201</v>
      </c>
      <c r="HZY18" s="310" t="s">
        <v>201</v>
      </c>
      <c r="HZZ18" s="310" t="s">
        <v>201</v>
      </c>
      <c r="IAA18" s="310" t="s">
        <v>201</v>
      </c>
      <c r="IAB18" s="310" t="s">
        <v>201</v>
      </c>
      <c r="IAC18" s="310" t="s">
        <v>201</v>
      </c>
      <c r="IAD18" s="310" t="s">
        <v>201</v>
      </c>
      <c r="IAE18" s="310" t="s">
        <v>201</v>
      </c>
      <c r="IAF18" s="310" t="s">
        <v>201</v>
      </c>
      <c r="IAG18" s="310" t="s">
        <v>201</v>
      </c>
      <c r="IAH18" s="310" t="s">
        <v>201</v>
      </c>
      <c r="IAI18" s="310" t="s">
        <v>201</v>
      </c>
      <c r="IAJ18" s="310" t="s">
        <v>201</v>
      </c>
      <c r="IAK18" s="310" t="s">
        <v>201</v>
      </c>
      <c r="IAL18" s="310" t="s">
        <v>201</v>
      </c>
      <c r="IAM18" s="310" t="s">
        <v>201</v>
      </c>
      <c r="IAN18" s="310" t="s">
        <v>201</v>
      </c>
      <c r="IAO18" s="310" t="s">
        <v>201</v>
      </c>
      <c r="IAP18" s="310" t="s">
        <v>201</v>
      </c>
      <c r="IAQ18" s="310" t="s">
        <v>201</v>
      </c>
      <c r="IAR18" s="310" t="s">
        <v>201</v>
      </c>
      <c r="IAS18" s="310" t="s">
        <v>201</v>
      </c>
      <c r="IAT18" s="310" t="s">
        <v>201</v>
      </c>
      <c r="IAU18" s="310" t="s">
        <v>201</v>
      </c>
      <c r="IAV18" s="310" t="s">
        <v>201</v>
      </c>
      <c r="IAW18" s="310" t="s">
        <v>201</v>
      </c>
      <c r="IAX18" s="310" t="s">
        <v>201</v>
      </c>
      <c r="IAY18" s="310" t="s">
        <v>201</v>
      </c>
      <c r="IAZ18" s="310" t="s">
        <v>201</v>
      </c>
      <c r="IBA18" s="310" t="s">
        <v>201</v>
      </c>
      <c r="IBB18" s="310" t="s">
        <v>201</v>
      </c>
      <c r="IBC18" s="310" t="s">
        <v>201</v>
      </c>
      <c r="IBD18" s="310" t="s">
        <v>201</v>
      </c>
      <c r="IBE18" s="310" t="s">
        <v>201</v>
      </c>
      <c r="IBF18" s="310" t="s">
        <v>201</v>
      </c>
      <c r="IBG18" s="310" t="s">
        <v>201</v>
      </c>
      <c r="IBH18" s="310" t="s">
        <v>201</v>
      </c>
      <c r="IBI18" s="310" t="s">
        <v>201</v>
      </c>
      <c r="IBJ18" s="310" t="s">
        <v>201</v>
      </c>
      <c r="IBK18" s="310" t="s">
        <v>201</v>
      </c>
      <c r="IBL18" s="310" t="s">
        <v>201</v>
      </c>
      <c r="IBM18" s="310" t="s">
        <v>201</v>
      </c>
      <c r="IBN18" s="310" t="s">
        <v>201</v>
      </c>
      <c r="IBO18" s="310" t="s">
        <v>201</v>
      </c>
      <c r="IBP18" s="310" t="s">
        <v>201</v>
      </c>
      <c r="IBQ18" s="310" t="s">
        <v>201</v>
      </c>
      <c r="IBR18" s="310" t="s">
        <v>201</v>
      </c>
      <c r="IBS18" s="310" t="s">
        <v>201</v>
      </c>
      <c r="IBT18" s="310" t="s">
        <v>201</v>
      </c>
      <c r="IBU18" s="310" t="s">
        <v>201</v>
      </c>
      <c r="IBV18" s="310" t="s">
        <v>201</v>
      </c>
      <c r="IBW18" s="310" t="s">
        <v>201</v>
      </c>
      <c r="IBX18" s="310" t="s">
        <v>201</v>
      </c>
      <c r="IBY18" s="310" t="s">
        <v>201</v>
      </c>
      <c r="IBZ18" s="310" t="s">
        <v>201</v>
      </c>
      <c r="ICA18" s="310" t="s">
        <v>201</v>
      </c>
      <c r="ICB18" s="310" t="s">
        <v>201</v>
      </c>
      <c r="ICC18" s="310" t="s">
        <v>201</v>
      </c>
      <c r="ICD18" s="310" t="s">
        <v>201</v>
      </c>
      <c r="ICE18" s="310" t="s">
        <v>201</v>
      </c>
      <c r="ICF18" s="310" t="s">
        <v>201</v>
      </c>
      <c r="ICG18" s="310" t="s">
        <v>201</v>
      </c>
      <c r="ICH18" s="310" t="s">
        <v>201</v>
      </c>
      <c r="ICI18" s="310" t="s">
        <v>201</v>
      </c>
      <c r="ICJ18" s="310" t="s">
        <v>201</v>
      </c>
      <c r="ICK18" s="310" t="s">
        <v>201</v>
      </c>
      <c r="ICL18" s="310" t="s">
        <v>201</v>
      </c>
      <c r="ICM18" s="310" t="s">
        <v>201</v>
      </c>
      <c r="ICN18" s="310" t="s">
        <v>201</v>
      </c>
      <c r="ICO18" s="310" t="s">
        <v>201</v>
      </c>
      <c r="ICP18" s="310" t="s">
        <v>201</v>
      </c>
      <c r="ICQ18" s="310" t="s">
        <v>201</v>
      </c>
      <c r="ICR18" s="310" t="s">
        <v>201</v>
      </c>
      <c r="ICS18" s="310" t="s">
        <v>201</v>
      </c>
      <c r="ICT18" s="310" t="s">
        <v>201</v>
      </c>
      <c r="ICU18" s="310" t="s">
        <v>201</v>
      </c>
      <c r="ICV18" s="310" t="s">
        <v>201</v>
      </c>
      <c r="ICW18" s="310" t="s">
        <v>201</v>
      </c>
      <c r="ICX18" s="310" t="s">
        <v>201</v>
      </c>
      <c r="ICY18" s="310" t="s">
        <v>201</v>
      </c>
      <c r="ICZ18" s="310" t="s">
        <v>201</v>
      </c>
      <c r="IDA18" s="310" t="s">
        <v>201</v>
      </c>
      <c r="IDB18" s="310" t="s">
        <v>201</v>
      </c>
      <c r="IDC18" s="310" t="s">
        <v>201</v>
      </c>
      <c r="IDD18" s="310" t="s">
        <v>201</v>
      </c>
      <c r="IDE18" s="310" t="s">
        <v>201</v>
      </c>
      <c r="IDF18" s="310" t="s">
        <v>201</v>
      </c>
      <c r="IDG18" s="310" t="s">
        <v>201</v>
      </c>
      <c r="IDH18" s="310" t="s">
        <v>201</v>
      </c>
      <c r="IDI18" s="310" t="s">
        <v>201</v>
      </c>
      <c r="IDJ18" s="310" t="s">
        <v>201</v>
      </c>
      <c r="IDK18" s="310" t="s">
        <v>201</v>
      </c>
      <c r="IDL18" s="310" t="s">
        <v>201</v>
      </c>
      <c r="IDM18" s="310" t="s">
        <v>201</v>
      </c>
      <c r="IDN18" s="310" t="s">
        <v>201</v>
      </c>
      <c r="IDO18" s="310" t="s">
        <v>201</v>
      </c>
      <c r="IDP18" s="310" t="s">
        <v>201</v>
      </c>
      <c r="IDQ18" s="310" t="s">
        <v>201</v>
      </c>
      <c r="IDR18" s="310" t="s">
        <v>201</v>
      </c>
      <c r="IDS18" s="310" t="s">
        <v>201</v>
      </c>
      <c r="IDT18" s="310" t="s">
        <v>201</v>
      </c>
      <c r="IDU18" s="310" t="s">
        <v>201</v>
      </c>
      <c r="IDV18" s="310" t="s">
        <v>201</v>
      </c>
      <c r="IDW18" s="310" t="s">
        <v>201</v>
      </c>
      <c r="IDX18" s="310" t="s">
        <v>201</v>
      </c>
      <c r="IDY18" s="310" t="s">
        <v>201</v>
      </c>
      <c r="IDZ18" s="310" t="s">
        <v>201</v>
      </c>
      <c r="IEA18" s="310" t="s">
        <v>201</v>
      </c>
      <c r="IEB18" s="310" t="s">
        <v>201</v>
      </c>
      <c r="IEC18" s="310" t="s">
        <v>201</v>
      </c>
      <c r="IED18" s="310" t="s">
        <v>201</v>
      </c>
      <c r="IEE18" s="310" t="s">
        <v>201</v>
      </c>
      <c r="IEF18" s="310" t="s">
        <v>201</v>
      </c>
      <c r="IEG18" s="310" t="s">
        <v>201</v>
      </c>
      <c r="IEH18" s="310" t="s">
        <v>201</v>
      </c>
      <c r="IEI18" s="310" t="s">
        <v>201</v>
      </c>
      <c r="IEJ18" s="310" t="s">
        <v>201</v>
      </c>
      <c r="IEK18" s="310" t="s">
        <v>201</v>
      </c>
      <c r="IEL18" s="310" t="s">
        <v>201</v>
      </c>
      <c r="IEM18" s="310" t="s">
        <v>201</v>
      </c>
      <c r="IEN18" s="310" t="s">
        <v>201</v>
      </c>
      <c r="IEO18" s="310" t="s">
        <v>201</v>
      </c>
      <c r="IEP18" s="310" t="s">
        <v>201</v>
      </c>
      <c r="IEQ18" s="310" t="s">
        <v>201</v>
      </c>
      <c r="IER18" s="310" t="s">
        <v>201</v>
      </c>
      <c r="IES18" s="310" t="s">
        <v>201</v>
      </c>
      <c r="IET18" s="310" t="s">
        <v>201</v>
      </c>
      <c r="IEU18" s="310" t="s">
        <v>201</v>
      </c>
      <c r="IEV18" s="310" t="s">
        <v>201</v>
      </c>
      <c r="IEW18" s="310" t="s">
        <v>201</v>
      </c>
      <c r="IEX18" s="310" t="s">
        <v>201</v>
      </c>
      <c r="IEY18" s="310" t="s">
        <v>201</v>
      </c>
      <c r="IEZ18" s="310" t="s">
        <v>201</v>
      </c>
      <c r="IFA18" s="310" t="s">
        <v>201</v>
      </c>
      <c r="IFB18" s="310" t="s">
        <v>201</v>
      </c>
      <c r="IFC18" s="310" t="s">
        <v>201</v>
      </c>
      <c r="IFD18" s="310" t="s">
        <v>201</v>
      </c>
      <c r="IFE18" s="310" t="s">
        <v>201</v>
      </c>
      <c r="IFF18" s="310" t="s">
        <v>201</v>
      </c>
      <c r="IFG18" s="310" t="s">
        <v>201</v>
      </c>
      <c r="IFH18" s="310" t="s">
        <v>201</v>
      </c>
      <c r="IFI18" s="310" t="s">
        <v>201</v>
      </c>
      <c r="IFJ18" s="310" t="s">
        <v>201</v>
      </c>
      <c r="IFK18" s="310" t="s">
        <v>201</v>
      </c>
      <c r="IFL18" s="310" t="s">
        <v>201</v>
      </c>
      <c r="IFM18" s="310" t="s">
        <v>201</v>
      </c>
      <c r="IFN18" s="310" t="s">
        <v>201</v>
      </c>
      <c r="IFO18" s="310" t="s">
        <v>201</v>
      </c>
      <c r="IFP18" s="310" t="s">
        <v>201</v>
      </c>
      <c r="IFQ18" s="310" t="s">
        <v>201</v>
      </c>
      <c r="IFR18" s="310" t="s">
        <v>201</v>
      </c>
      <c r="IFS18" s="310" t="s">
        <v>201</v>
      </c>
      <c r="IFT18" s="310" t="s">
        <v>201</v>
      </c>
      <c r="IFU18" s="310" t="s">
        <v>201</v>
      </c>
      <c r="IFV18" s="310" t="s">
        <v>201</v>
      </c>
      <c r="IFW18" s="310" t="s">
        <v>201</v>
      </c>
      <c r="IFX18" s="310" t="s">
        <v>201</v>
      </c>
      <c r="IFY18" s="310" t="s">
        <v>201</v>
      </c>
      <c r="IFZ18" s="310" t="s">
        <v>201</v>
      </c>
      <c r="IGA18" s="310" t="s">
        <v>201</v>
      </c>
      <c r="IGB18" s="310" t="s">
        <v>201</v>
      </c>
      <c r="IGC18" s="310" t="s">
        <v>201</v>
      </c>
      <c r="IGD18" s="310" t="s">
        <v>201</v>
      </c>
      <c r="IGE18" s="310" t="s">
        <v>201</v>
      </c>
      <c r="IGF18" s="310" t="s">
        <v>201</v>
      </c>
      <c r="IGG18" s="310" t="s">
        <v>201</v>
      </c>
      <c r="IGH18" s="310" t="s">
        <v>201</v>
      </c>
      <c r="IGI18" s="310" t="s">
        <v>201</v>
      </c>
      <c r="IGJ18" s="310" t="s">
        <v>201</v>
      </c>
      <c r="IGK18" s="310" t="s">
        <v>201</v>
      </c>
      <c r="IGL18" s="310" t="s">
        <v>201</v>
      </c>
      <c r="IGM18" s="310" t="s">
        <v>201</v>
      </c>
      <c r="IGN18" s="310" t="s">
        <v>201</v>
      </c>
      <c r="IGO18" s="310" t="s">
        <v>201</v>
      </c>
      <c r="IGP18" s="310" t="s">
        <v>201</v>
      </c>
      <c r="IGQ18" s="310" t="s">
        <v>201</v>
      </c>
      <c r="IGR18" s="310" t="s">
        <v>201</v>
      </c>
      <c r="IGS18" s="310" t="s">
        <v>201</v>
      </c>
      <c r="IGT18" s="310" t="s">
        <v>201</v>
      </c>
      <c r="IGU18" s="310" t="s">
        <v>201</v>
      </c>
      <c r="IGV18" s="310" t="s">
        <v>201</v>
      </c>
      <c r="IGW18" s="310" t="s">
        <v>201</v>
      </c>
      <c r="IGX18" s="310" t="s">
        <v>201</v>
      </c>
      <c r="IGY18" s="310" t="s">
        <v>201</v>
      </c>
      <c r="IGZ18" s="310" t="s">
        <v>201</v>
      </c>
      <c r="IHA18" s="310" t="s">
        <v>201</v>
      </c>
      <c r="IHB18" s="310" t="s">
        <v>201</v>
      </c>
      <c r="IHC18" s="310" t="s">
        <v>201</v>
      </c>
      <c r="IHD18" s="310" t="s">
        <v>201</v>
      </c>
      <c r="IHE18" s="310" t="s">
        <v>201</v>
      </c>
      <c r="IHF18" s="310" t="s">
        <v>201</v>
      </c>
      <c r="IHG18" s="310" t="s">
        <v>201</v>
      </c>
      <c r="IHH18" s="310" t="s">
        <v>201</v>
      </c>
      <c r="IHI18" s="310" t="s">
        <v>201</v>
      </c>
      <c r="IHJ18" s="310" t="s">
        <v>201</v>
      </c>
      <c r="IHK18" s="310" t="s">
        <v>201</v>
      </c>
      <c r="IHL18" s="310" t="s">
        <v>201</v>
      </c>
      <c r="IHM18" s="310" t="s">
        <v>201</v>
      </c>
      <c r="IHN18" s="310" t="s">
        <v>201</v>
      </c>
      <c r="IHO18" s="310" t="s">
        <v>201</v>
      </c>
      <c r="IHP18" s="310" t="s">
        <v>201</v>
      </c>
      <c r="IHQ18" s="310" t="s">
        <v>201</v>
      </c>
      <c r="IHR18" s="310" t="s">
        <v>201</v>
      </c>
      <c r="IHS18" s="310" t="s">
        <v>201</v>
      </c>
      <c r="IHT18" s="310" t="s">
        <v>201</v>
      </c>
      <c r="IHU18" s="310" t="s">
        <v>201</v>
      </c>
      <c r="IHV18" s="310" t="s">
        <v>201</v>
      </c>
      <c r="IHW18" s="310" t="s">
        <v>201</v>
      </c>
      <c r="IHX18" s="310" t="s">
        <v>201</v>
      </c>
      <c r="IHY18" s="310" t="s">
        <v>201</v>
      </c>
      <c r="IHZ18" s="310" t="s">
        <v>201</v>
      </c>
      <c r="IIA18" s="310" t="s">
        <v>201</v>
      </c>
      <c r="IIB18" s="310" t="s">
        <v>201</v>
      </c>
      <c r="IIC18" s="310" t="s">
        <v>201</v>
      </c>
      <c r="IID18" s="310" t="s">
        <v>201</v>
      </c>
      <c r="IIE18" s="310" t="s">
        <v>201</v>
      </c>
      <c r="IIF18" s="310" t="s">
        <v>201</v>
      </c>
      <c r="IIG18" s="310" t="s">
        <v>201</v>
      </c>
      <c r="IIH18" s="310" t="s">
        <v>201</v>
      </c>
      <c r="III18" s="310" t="s">
        <v>201</v>
      </c>
      <c r="IIJ18" s="310" t="s">
        <v>201</v>
      </c>
      <c r="IIK18" s="310" t="s">
        <v>201</v>
      </c>
      <c r="IIL18" s="310" t="s">
        <v>201</v>
      </c>
      <c r="IIM18" s="310" t="s">
        <v>201</v>
      </c>
      <c r="IIN18" s="310" t="s">
        <v>201</v>
      </c>
      <c r="IIO18" s="310" t="s">
        <v>201</v>
      </c>
      <c r="IIP18" s="310" t="s">
        <v>201</v>
      </c>
      <c r="IIQ18" s="310" t="s">
        <v>201</v>
      </c>
      <c r="IIR18" s="310" t="s">
        <v>201</v>
      </c>
      <c r="IIS18" s="310" t="s">
        <v>201</v>
      </c>
      <c r="IIT18" s="310" t="s">
        <v>201</v>
      </c>
      <c r="IIU18" s="310" t="s">
        <v>201</v>
      </c>
      <c r="IIV18" s="310" t="s">
        <v>201</v>
      </c>
      <c r="IIW18" s="310" t="s">
        <v>201</v>
      </c>
      <c r="IIX18" s="310" t="s">
        <v>201</v>
      </c>
      <c r="IIY18" s="310" t="s">
        <v>201</v>
      </c>
      <c r="IIZ18" s="310" t="s">
        <v>201</v>
      </c>
      <c r="IJA18" s="310" t="s">
        <v>201</v>
      </c>
      <c r="IJB18" s="310" t="s">
        <v>201</v>
      </c>
      <c r="IJC18" s="310" t="s">
        <v>201</v>
      </c>
      <c r="IJD18" s="310" t="s">
        <v>201</v>
      </c>
      <c r="IJE18" s="310" t="s">
        <v>201</v>
      </c>
      <c r="IJF18" s="310" t="s">
        <v>201</v>
      </c>
      <c r="IJG18" s="310" t="s">
        <v>201</v>
      </c>
      <c r="IJH18" s="310" t="s">
        <v>201</v>
      </c>
      <c r="IJI18" s="310" t="s">
        <v>201</v>
      </c>
      <c r="IJJ18" s="310" t="s">
        <v>201</v>
      </c>
      <c r="IJK18" s="310" t="s">
        <v>201</v>
      </c>
      <c r="IJL18" s="310" t="s">
        <v>201</v>
      </c>
      <c r="IJM18" s="310" t="s">
        <v>201</v>
      </c>
      <c r="IJN18" s="310" t="s">
        <v>201</v>
      </c>
      <c r="IJO18" s="310" t="s">
        <v>201</v>
      </c>
      <c r="IJP18" s="310" t="s">
        <v>201</v>
      </c>
      <c r="IJQ18" s="310" t="s">
        <v>201</v>
      </c>
      <c r="IJR18" s="310" t="s">
        <v>201</v>
      </c>
      <c r="IJS18" s="310" t="s">
        <v>201</v>
      </c>
      <c r="IJT18" s="310" t="s">
        <v>201</v>
      </c>
      <c r="IJU18" s="310" t="s">
        <v>201</v>
      </c>
      <c r="IJV18" s="310" t="s">
        <v>201</v>
      </c>
      <c r="IJW18" s="310" t="s">
        <v>201</v>
      </c>
      <c r="IJX18" s="310" t="s">
        <v>201</v>
      </c>
      <c r="IJY18" s="310" t="s">
        <v>201</v>
      </c>
      <c r="IJZ18" s="310" t="s">
        <v>201</v>
      </c>
      <c r="IKA18" s="310" t="s">
        <v>201</v>
      </c>
      <c r="IKB18" s="310" t="s">
        <v>201</v>
      </c>
      <c r="IKC18" s="310" t="s">
        <v>201</v>
      </c>
      <c r="IKD18" s="310" t="s">
        <v>201</v>
      </c>
      <c r="IKE18" s="310" t="s">
        <v>201</v>
      </c>
      <c r="IKF18" s="310" t="s">
        <v>201</v>
      </c>
      <c r="IKG18" s="310" t="s">
        <v>201</v>
      </c>
      <c r="IKH18" s="310" t="s">
        <v>201</v>
      </c>
      <c r="IKI18" s="310" t="s">
        <v>201</v>
      </c>
      <c r="IKJ18" s="310" t="s">
        <v>201</v>
      </c>
      <c r="IKK18" s="310" t="s">
        <v>201</v>
      </c>
      <c r="IKL18" s="310" t="s">
        <v>201</v>
      </c>
      <c r="IKM18" s="310" t="s">
        <v>201</v>
      </c>
      <c r="IKN18" s="310" t="s">
        <v>201</v>
      </c>
      <c r="IKO18" s="310" t="s">
        <v>201</v>
      </c>
      <c r="IKP18" s="310" t="s">
        <v>201</v>
      </c>
      <c r="IKQ18" s="310" t="s">
        <v>201</v>
      </c>
      <c r="IKR18" s="310" t="s">
        <v>201</v>
      </c>
      <c r="IKS18" s="310" t="s">
        <v>201</v>
      </c>
      <c r="IKT18" s="310" t="s">
        <v>201</v>
      </c>
      <c r="IKU18" s="310" t="s">
        <v>201</v>
      </c>
      <c r="IKV18" s="310" t="s">
        <v>201</v>
      </c>
      <c r="IKW18" s="310" t="s">
        <v>201</v>
      </c>
      <c r="IKX18" s="310" t="s">
        <v>201</v>
      </c>
      <c r="IKY18" s="310" t="s">
        <v>201</v>
      </c>
      <c r="IKZ18" s="310" t="s">
        <v>201</v>
      </c>
      <c r="ILA18" s="310" t="s">
        <v>201</v>
      </c>
      <c r="ILB18" s="310" t="s">
        <v>201</v>
      </c>
      <c r="ILC18" s="310" t="s">
        <v>201</v>
      </c>
      <c r="ILD18" s="310" t="s">
        <v>201</v>
      </c>
      <c r="ILE18" s="310" t="s">
        <v>201</v>
      </c>
      <c r="ILF18" s="310" t="s">
        <v>201</v>
      </c>
      <c r="ILG18" s="310" t="s">
        <v>201</v>
      </c>
      <c r="ILH18" s="310" t="s">
        <v>201</v>
      </c>
      <c r="ILI18" s="310" t="s">
        <v>201</v>
      </c>
      <c r="ILJ18" s="310" t="s">
        <v>201</v>
      </c>
      <c r="ILK18" s="310" t="s">
        <v>201</v>
      </c>
      <c r="ILL18" s="310" t="s">
        <v>201</v>
      </c>
      <c r="ILM18" s="310" t="s">
        <v>201</v>
      </c>
      <c r="ILN18" s="310" t="s">
        <v>201</v>
      </c>
      <c r="ILO18" s="310" t="s">
        <v>201</v>
      </c>
      <c r="ILP18" s="310" t="s">
        <v>201</v>
      </c>
      <c r="ILQ18" s="310" t="s">
        <v>201</v>
      </c>
      <c r="ILR18" s="310" t="s">
        <v>201</v>
      </c>
      <c r="ILS18" s="310" t="s">
        <v>201</v>
      </c>
      <c r="ILT18" s="310" t="s">
        <v>201</v>
      </c>
      <c r="ILU18" s="310" t="s">
        <v>201</v>
      </c>
      <c r="ILV18" s="310" t="s">
        <v>201</v>
      </c>
      <c r="ILW18" s="310" t="s">
        <v>201</v>
      </c>
      <c r="ILX18" s="310" t="s">
        <v>201</v>
      </c>
      <c r="ILY18" s="310" t="s">
        <v>201</v>
      </c>
      <c r="ILZ18" s="310" t="s">
        <v>201</v>
      </c>
      <c r="IMA18" s="310" t="s">
        <v>201</v>
      </c>
      <c r="IMB18" s="310" t="s">
        <v>201</v>
      </c>
      <c r="IMC18" s="310" t="s">
        <v>201</v>
      </c>
      <c r="IMD18" s="310" t="s">
        <v>201</v>
      </c>
      <c r="IME18" s="310" t="s">
        <v>201</v>
      </c>
      <c r="IMF18" s="310" t="s">
        <v>201</v>
      </c>
      <c r="IMG18" s="310" t="s">
        <v>201</v>
      </c>
      <c r="IMH18" s="310" t="s">
        <v>201</v>
      </c>
      <c r="IMI18" s="310" t="s">
        <v>201</v>
      </c>
      <c r="IMJ18" s="310" t="s">
        <v>201</v>
      </c>
      <c r="IMK18" s="310" t="s">
        <v>201</v>
      </c>
      <c r="IML18" s="310" t="s">
        <v>201</v>
      </c>
      <c r="IMM18" s="310" t="s">
        <v>201</v>
      </c>
      <c r="IMN18" s="310" t="s">
        <v>201</v>
      </c>
      <c r="IMO18" s="310" t="s">
        <v>201</v>
      </c>
      <c r="IMP18" s="310" t="s">
        <v>201</v>
      </c>
      <c r="IMQ18" s="310" t="s">
        <v>201</v>
      </c>
      <c r="IMR18" s="310" t="s">
        <v>201</v>
      </c>
      <c r="IMS18" s="310" t="s">
        <v>201</v>
      </c>
      <c r="IMT18" s="310" t="s">
        <v>201</v>
      </c>
      <c r="IMU18" s="310" t="s">
        <v>201</v>
      </c>
      <c r="IMV18" s="310" t="s">
        <v>201</v>
      </c>
      <c r="IMW18" s="310" t="s">
        <v>201</v>
      </c>
      <c r="IMX18" s="310" t="s">
        <v>201</v>
      </c>
      <c r="IMY18" s="310" t="s">
        <v>201</v>
      </c>
      <c r="IMZ18" s="310" t="s">
        <v>201</v>
      </c>
      <c r="INA18" s="310" t="s">
        <v>201</v>
      </c>
      <c r="INB18" s="310" t="s">
        <v>201</v>
      </c>
      <c r="INC18" s="310" t="s">
        <v>201</v>
      </c>
      <c r="IND18" s="310" t="s">
        <v>201</v>
      </c>
      <c r="INE18" s="310" t="s">
        <v>201</v>
      </c>
      <c r="INF18" s="310" t="s">
        <v>201</v>
      </c>
      <c r="ING18" s="310" t="s">
        <v>201</v>
      </c>
      <c r="INH18" s="310" t="s">
        <v>201</v>
      </c>
      <c r="INI18" s="310" t="s">
        <v>201</v>
      </c>
      <c r="INJ18" s="310" t="s">
        <v>201</v>
      </c>
      <c r="INK18" s="310" t="s">
        <v>201</v>
      </c>
      <c r="INL18" s="310" t="s">
        <v>201</v>
      </c>
      <c r="INM18" s="310" t="s">
        <v>201</v>
      </c>
      <c r="INN18" s="310" t="s">
        <v>201</v>
      </c>
      <c r="INO18" s="310" t="s">
        <v>201</v>
      </c>
      <c r="INP18" s="310" t="s">
        <v>201</v>
      </c>
      <c r="INQ18" s="310" t="s">
        <v>201</v>
      </c>
      <c r="INR18" s="310" t="s">
        <v>201</v>
      </c>
      <c r="INS18" s="310" t="s">
        <v>201</v>
      </c>
      <c r="INT18" s="310" t="s">
        <v>201</v>
      </c>
      <c r="INU18" s="310" t="s">
        <v>201</v>
      </c>
      <c r="INV18" s="310" t="s">
        <v>201</v>
      </c>
      <c r="INW18" s="310" t="s">
        <v>201</v>
      </c>
      <c r="INX18" s="310" t="s">
        <v>201</v>
      </c>
      <c r="INY18" s="310" t="s">
        <v>201</v>
      </c>
      <c r="INZ18" s="310" t="s">
        <v>201</v>
      </c>
      <c r="IOA18" s="310" t="s">
        <v>201</v>
      </c>
      <c r="IOB18" s="310" t="s">
        <v>201</v>
      </c>
      <c r="IOC18" s="310" t="s">
        <v>201</v>
      </c>
      <c r="IOD18" s="310" t="s">
        <v>201</v>
      </c>
      <c r="IOE18" s="310" t="s">
        <v>201</v>
      </c>
      <c r="IOF18" s="310" t="s">
        <v>201</v>
      </c>
      <c r="IOG18" s="310" t="s">
        <v>201</v>
      </c>
      <c r="IOH18" s="310" t="s">
        <v>201</v>
      </c>
      <c r="IOI18" s="310" t="s">
        <v>201</v>
      </c>
      <c r="IOJ18" s="310" t="s">
        <v>201</v>
      </c>
      <c r="IOK18" s="310" t="s">
        <v>201</v>
      </c>
      <c r="IOL18" s="310" t="s">
        <v>201</v>
      </c>
      <c r="IOM18" s="310" t="s">
        <v>201</v>
      </c>
      <c r="ION18" s="310" t="s">
        <v>201</v>
      </c>
      <c r="IOO18" s="310" t="s">
        <v>201</v>
      </c>
      <c r="IOP18" s="310" t="s">
        <v>201</v>
      </c>
      <c r="IOQ18" s="310" t="s">
        <v>201</v>
      </c>
      <c r="IOR18" s="310" t="s">
        <v>201</v>
      </c>
      <c r="IOS18" s="310" t="s">
        <v>201</v>
      </c>
      <c r="IOT18" s="310" t="s">
        <v>201</v>
      </c>
      <c r="IOU18" s="310" t="s">
        <v>201</v>
      </c>
      <c r="IOV18" s="310" t="s">
        <v>201</v>
      </c>
      <c r="IOW18" s="310" t="s">
        <v>201</v>
      </c>
      <c r="IOX18" s="310" t="s">
        <v>201</v>
      </c>
      <c r="IOY18" s="310" t="s">
        <v>201</v>
      </c>
      <c r="IOZ18" s="310" t="s">
        <v>201</v>
      </c>
      <c r="IPA18" s="310" t="s">
        <v>201</v>
      </c>
      <c r="IPB18" s="310" t="s">
        <v>201</v>
      </c>
      <c r="IPC18" s="310" t="s">
        <v>201</v>
      </c>
      <c r="IPD18" s="310" t="s">
        <v>201</v>
      </c>
      <c r="IPE18" s="310" t="s">
        <v>201</v>
      </c>
      <c r="IPF18" s="310" t="s">
        <v>201</v>
      </c>
      <c r="IPG18" s="310" t="s">
        <v>201</v>
      </c>
      <c r="IPH18" s="310" t="s">
        <v>201</v>
      </c>
      <c r="IPI18" s="310" t="s">
        <v>201</v>
      </c>
      <c r="IPJ18" s="310" t="s">
        <v>201</v>
      </c>
      <c r="IPK18" s="310" t="s">
        <v>201</v>
      </c>
      <c r="IPL18" s="310" t="s">
        <v>201</v>
      </c>
      <c r="IPM18" s="310" t="s">
        <v>201</v>
      </c>
      <c r="IPN18" s="310" t="s">
        <v>201</v>
      </c>
      <c r="IPO18" s="310" t="s">
        <v>201</v>
      </c>
      <c r="IPP18" s="310" t="s">
        <v>201</v>
      </c>
      <c r="IPQ18" s="310" t="s">
        <v>201</v>
      </c>
      <c r="IPR18" s="310" t="s">
        <v>201</v>
      </c>
      <c r="IPS18" s="310" t="s">
        <v>201</v>
      </c>
      <c r="IPT18" s="310" t="s">
        <v>201</v>
      </c>
      <c r="IPU18" s="310" t="s">
        <v>201</v>
      </c>
      <c r="IPV18" s="310" t="s">
        <v>201</v>
      </c>
      <c r="IPW18" s="310" t="s">
        <v>201</v>
      </c>
      <c r="IPX18" s="310" t="s">
        <v>201</v>
      </c>
      <c r="IPY18" s="310" t="s">
        <v>201</v>
      </c>
      <c r="IPZ18" s="310" t="s">
        <v>201</v>
      </c>
      <c r="IQA18" s="310" t="s">
        <v>201</v>
      </c>
      <c r="IQB18" s="310" t="s">
        <v>201</v>
      </c>
      <c r="IQC18" s="310" t="s">
        <v>201</v>
      </c>
      <c r="IQD18" s="310" t="s">
        <v>201</v>
      </c>
      <c r="IQE18" s="310" t="s">
        <v>201</v>
      </c>
      <c r="IQF18" s="310" t="s">
        <v>201</v>
      </c>
      <c r="IQG18" s="310" t="s">
        <v>201</v>
      </c>
      <c r="IQH18" s="310" t="s">
        <v>201</v>
      </c>
      <c r="IQI18" s="310" t="s">
        <v>201</v>
      </c>
      <c r="IQJ18" s="310" t="s">
        <v>201</v>
      </c>
      <c r="IQK18" s="310" t="s">
        <v>201</v>
      </c>
      <c r="IQL18" s="310" t="s">
        <v>201</v>
      </c>
      <c r="IQM18" s="310" t="s">
        <v>201</v>
      </c>
      <c r="IQN18" s="310" t="s">
        <v>201</v>
      </c>
      <c r="IQO18" s="310" t="s">
        <v>201</v>
      </c>
      <c r="IQP18" s="310" t="s">
        <v>201</v>
      </c>
      <c r="IQQ18" s="310" t="s">
        <v>201</v>
      </c>
      <c r="IQR18" s="310" t="s">
        <v>201</v>
      </c>
      <c r="IQS18" s="310" t="s">
        <v>201</v>
      </c>
      <c r="IQT18" s="310" t="s">
        <v>201</v>
      </c>
      <c r="IQU18" s="310" t="s">
        <v>201</v>
      </c>
      <c r="IQV18" s="310" t="s">
        <v>201</v>
      </c>
      <c r="IQW18" s="310" t="s">
        <v>201</v>
      </c>
      <c r="IQX18" s="310" t="s">
        <v>201</v>
      </c>
      <c r="IQY18" s="310" t="s">
        <v>201</v>
      </c>
      <c r="IQZ18" s="310" t="s">
        <v>201</v>
      </c>
      <c r="IRA18" s="310" t="s">
        <v>201</v>
      </c>
      <c r="IRB18" s="310" t="s">
        <v>201</v>
      </c>
      <c r="IRC18" s="310" t="s">
        <v>201</v>
      </c>
      <c r="IRD18" s="310" t="s">
        <v>201</v>
      </c>
      <c r="IRE18" s="310" t="s">
        <v>201</v>
      </c>
      <c r="IRF18" s="310" t="s">
        <v>201</v>
      </c>
      <c r="IRG18" s="310" t="s">
        <v>201</v>
      </c>
      <c r="IRH18" s="310" t="s">
        <v>201</v>
      </c>
      <c r="IRI18" s="310" t="s">
        <v>201</v>
      </c>
      <c r="IRJ18" s="310" t="s">
        <v>201</v>
      </c>
      <c r="IRK18" s="310" t="s">
        <v>201</v>
      </c>
      <c r="IRL18" s="310" t="s">
        <v>201</v>
      </c>
      <c r="IRM18" s="310" t="s">
        <v>201</v>
      </c>
      <c r="IRN18" s="310" t="s">
        <v>201</v>
      </c>
      <c r="IRO18" s="310" t="s">
        <v>201</v>
      </c>
      <c r="IRP18" s="310" t="s">
        <v>201</v>
      </c>
      <c r="IRQ18" s="310" t="s">
        <v>201</v>
      </c>
      <c r="IRR18" s="310" t="s">
        <v>201</v>
      </c>
      <c r="IRS18" s="310" t="s">
        <v>201</v>
      </c>
      <c r="IRT18" s="310" t="s">
        <v>201</v>
      </c>
      <c r="IRU18" s="310" t="s">
        <v>201</v>
      </c>
      <c r="IRV18" s="310" t="s">
        <v>201</v>
      </c>
      <c r="IRW18" s="310" t="s">
        <v>201</v>
      </c>
      <c r="IRX18" s="310" t="s">
        <v>201</v>
      </c>
      <c r="IRY18" s="310" t="s">
        <v>201</v>
      </c>
      <c r="IRZ18" s="310" t="s">
        <v>201</v>
      </c>
      <c r="ISA18" s="310" t="s">
        <v>201</v>
      </c>
      <c r="ISB18" s="310" t="s">
        <v>201</v>
      </c>
      <c r="ISC18" s="310" t="s">
        <v>201</v>
      </c>
      <c r="ISD18" s="310" t="s">
        <v>201</v>
      </c>
      <c r="ISE18" s="310" t="s">
        <v>201</v>
      </c>
      <c r="ISF18" s="310" t="s">
        <v>201</v>
      </c>
      <c r="ISG18" s="310" t="s">
        <v>201</v>
      </c>
      <c r="ISH18" s="310" t="s">
        <v>201</v>
      </c>
      <c r="ISI18" s="310" t="s">
        <v>201</v>
      </c>
      <c r="ISJ18" s="310" t="s">
        <v>201</v>
      </c>
      <c r="ISK18" s="310" t="s">
        <v>201</v>
      </c>
      <c r="ISL18" s="310" t="s">
        <v>201</v>
      </c>
      <c r="ISM18" s="310" t="s">
        <v>201</v>
      </c>
      <c r="ISN18" s="310" t="s">
        <v>201</v>
      </c>
      <c r="ISO18" s="310" t="s">
        <v>201</v>
      </c>
      <c r="ISP18" s="310" t="s">
        <v>201</v>
      </c>
      <c r="ISQ18" s="310" t="s">
        <v>201</v>
      </c>
      <c r="ISR18" s="310" t="s">
        <v>201</v>
      </c>
      <c r="ISS18" s="310" t="s">
        <v>201</v>
      </c>
      <c r="IST18" s="310" t="s">
        <v>201</v>
      </c>
      <c r="ISU18" s="310" t="s">
        <v>201</v>
      </c>
      <c r="ISV18" s="310" t="s">
        <v>201</v>
      </c>
      <c r="ISW18" s="310" t="s">
        <v>201</v>
      </c>
      <c r="ISX18" s="310" t="s">
        <v>201</v>
      </c>
      <c r="ISY18" s="310" t="s">
        <v>201</v>
      </c>
      <c r="ISZ18" s="310" t="s">
        <v>201</v>
      </c>
      <c r="ITA18" s="310" t="s">
        <v>201</v>
      </c>
      <c r="ITB18" s="310" t="s">
        <v>201</v>
      </c>
      <c r="ITC18" s="310" t="s">
        <v>201</v>
      </c>
      <c r="ITD18" s="310" t="s">
        <v>201</v>
      </c>
      <c r="ITE18" s="310" t="s">
        <v>201</v>
      </c>
      <c r="ITF18" s="310" t="s">
        <v>201</v>
      </c>
      <c r="ITG18" s="310" t="s">
        <v>201</v>
      </c>
      <c r="ITH18" s="310" t="s">
        <v>201</v>
      </c>
      <c r="ITI18" s="310" t="s">
        <v>201</v>
      </c>
      <c r="ITJ18" s="310" t="s">
        <v>201</v>
      </c>
      <c r="ITK18" s="310" t="s">
        <v>201</v>
      </c>
      <c r="ITL18" s="310" t="s">
        <v>201</v>
      </c>
      <c r="ITM18" s="310" t="s">
        <v>201</v>
      </c>
      <c r="ITN18" s="310" t="s">
        <v>201</v>
      </c>
      <c r="ITO18" s="310" t="s">
        <v>201</v>
      </c>
      <c r="ITP18" s="310" t="s">
        <v>201</v>
      </c>
      <c r="ITQ18" s="310" t="s">
        <v>201</v>
      </c>
      <c r="ITR18" s="310" t="s">
        <v>201</v>
      </c>
      <c r="ITS18" s="310" t="s">
        <v>201</v>
      </c>
      <c r="ITT18" s="310" t="s">
        <v>201</v>
      </c>
      <c r="ITU18" s="310" t="s">
        <v>201</v>
      </c>
      <c r="ITV18" s="310" t="s">
        <v>201</v>
      </c>
      <c r="ITW18" s="310" t="s">
        <v>201</v>
      </c>
      <c r="ITX18" s="310" t="s">
        <v>201</v>
      </c>
      <c r="ITY18" s="310" t="s">
        <v>201</v>
      </c>
      <c r="ITZ18" s="310" t="s">
        <v>201</v>
      </c>
      <c r="IUA18" s="310" t="s">
        <v>201</v>
      </c>
      <c r="IUB18" s="310" t="s">
        <v>201</v>
      </c>
      <c r="IUC18" s="310" t="s">
        <v>201</v>
      </c>
      <c r="IUD18" s="310" t="s">
        <v>201</v>
      </c>
      <c r="IUE18" s="310" t="s">
        <v>201</v>
      </c>
      <c r="IUF18" s="310" t="s">
        <v>201</v>
      </c>
      <c r="IUG18" s="310" t="s">
        <v>201</v>
      </c>
      <c r="IUH18" s="310" t="s">
        <v>201</v>
      </c>
      <c r="IUI18" s="310" t="s">
        <v>201</v>
      </c>
      <c r="IUJ18" s="310" t="s">
        <v>201</v>
      </c>
      <c r="IUK18" s="310" t="s">
        <v>201</v>
      </c>
      <c r="IUL18" s="310" t="s">
        <v>201</v>
      </c>
      <c r="IUM18" s="310" t="s">
        <v>201</v>
      </c>
      <c r="IUN18" s="310" t="s">
        <v>201</v>
      </c>
      <c r="IUO18" s="310" t="s">
        <v>201</v>
      </c>
      <c r="IUP18" s="310" t="s">
        <v>201</v>
      </c>
      <c r="IUQ18" s="310" t="s">
        <v>201</v>
      </c>
      <c r="IUR18" s="310" t="s">
        <v>201</v>
      </c>
      <c r="IUS18" s="310" t="s">
        <v>201</v>
      </c>
      <c r="IUT18" s="310" t="s">
        <v>201</v>
      </c>
      <c r="IUU18" s="310" t="s">
        <v>201</v>
      </c>
      <c r="IUV18" s="310" t="s">
        <v>201</v>
      </c>
      <c r="IUW18" s="310" t="s">
        <v>201</v>
      </c>
      <c r="IUX18" s="310" t="s">
        <v>201</v>
      </c>
      <c r="IUY18" s="310" t="s">
        <v>201</v>
      </c>
      <c r="IUZ18" s="310" t="s">
        <v>201</v>
      </c>
      <c r="IVA18" s="310" t="s">
        <v>201</v>
      </c>
      <c r="IVB18" s="310" t="s">
        <v>201</v>
      </c>
      <c r="IVC18" s="310" t="s">
        <v>201</v>
      </c>
      <c r="IVD18" s="310" t="s">
        <v>201</v>
      </c>
      <c r="IVE18" s="310" t="s">
        <v>201</v>
      </c>
      <c r="IVF18" s="310" t="s">
        <v>201</v>
      </c>
      <c r="IVG18" s="310" t="s">
        <v>201</v>
      </c>
      <c r="IVH18" s="310" t="s">
        <v>201</v>
      </c>
      <c r="IVI18" s="310" t="s">
        <v>201</v>
      </c>
      <c r="IVJ18" s="310" t="s">
        <v>201</v>
      </c>
      <c r="IVK18" s="310" t="s">
        <v>201</v>
      </c>
      <c r="IVL18" s="310" t="s">
        <v>201</v>
      </c>
      <c r="IVM18" s="310" t="s">
        <v>201</v>
      </c>
      <c r="IVN18" s="310" t="s">
        <v>201</v>
      </c>
      <c r="IVO18" s="310" t="s">
        <v>201</v>
      </c>
      <c r="IVP18" s="310" t="s">
        <v>201</v>
      </c>
      <c r="IVQ18" s="310" t="s">
        <v>201</v>
      </c>
      <c r="IVR18" s="310" t="s">
        <v>201</v>
      </c>
      <c r="IVS18" s="310" t="s">
        <v>201</v>
      </c>
      <c r="IVT18" s="310" t="s">
        <v>201</v>
      </c>
      <c r="IVU18" s="310" t="s">
        <v>201</v>
      </c>
      <c r="IVV18" s="310" t="s">
        <v>201</v>
      </c>
      <c r="IVW18" s="310" t="s">
        <v>201</v>
      </c>
      <c r="IVX18" s="310" t="s">
        <v>201</v>
      </c>
      <c r="IVY18" s="310" t="s">
        <v>201</v>
      </c>
      <c r="IVZ18" s="310" t="s">
        <v>201</v>
      </c>
      <c r="IWA18" s="310" t="s">
        <v>201</v>
      </c>
      <c r="IWB18" s="310" t="s">
        <v>201</v>
      </c>
      <c r="IWC18" s="310" t="s">
        <v>201</v>
      </c>
      <c r="IWD18" s="310" t="s">
        <v>201</v>
      </c>
      <c r="IWE18" s="310" t="s">
        <v>201</v>
      </c>
      <c r="IWF18" s="310" t="s">
        <v>201</v>
      </c>
      <c r="IWG18" s="310" t="s">
        <v>201</v>
      </c>
      <c r="IWH18" s="310" t="s">
        <v>201</v>
      </c>
      <c r="IWI18" s="310" t="s">
        <v>201</v>
      </c>
      <c r="IWJ18" s="310" t="s">
        <v>201</v>
      </c>
      <c r="IWK18" s="310" t="s">
        <v>201</v>
      </c>
      <c r="IWL18" s="310" t="s">
        <v>201</v>
      </c>
      <c r="IWM18" s="310" t="s">
        <v>201</v>
      </c>
      <c r="IWN18" s="310" t="s">
        <v>201</v>
      </c>
      <c r="IWO18" s="310" t="s">
        <v>201</v>
      </c>
      <c r="IWP18" s="310" t="s">
        <v>201</v>
      </c>
      <c r="IWQ18" s="310" t="s">
        <v>201</v>
      </c>
      <c r="IWR18" s="310" t="s">
        <v>201</v>
      </c>
      <c r="IWS18" s="310" t="s">
        <v>201</v>
      </c>
      <c r="IWT18" s="310" t="s">
        <v>201</v>
      </c>
      <c r="IWU18" s="310" t="s">
        <v>201</v>
      </c>
      <c r="IWV18" s="310" t="s">
        <v>201</v>
      </c>
      <c r="IWW18" s="310" t="s">
        <v>201</v>
      </c>
      <c r="IWX18" s="310" t="s">
        <v>201</v>
      </c>
      <c r="IWY18" s="310" t="s">
        <v>201</v>
      </c>
      <c r="IWZ18" s="310" t="s">
        <v>201</v>
      </c>
      <c r="IXA18" s="310" t="s">
        <v>201</v>
      </c>
      <c r="IXB18" s="310" t="s">
        <v>201</v>
      </c>
      <c r="IXC18" s="310" t="s">
        <v>201</v>
      </c>
      <c r="IXD18" s="310" t="s">
        <v>201</v>
      </c>
      <c r="IXE18" s="310" t="s">
        <v>201</v>
      </c>
      <c r="IXF18" s="310" t="s">
        <v>201</v>
      </c>
      <c r="IXG18" s="310" t="s">
        <v>201</v>
      </c>
      <c r="IXH18" s="310" t="s">
        <v>201</v>
      </c>
      <c r="IXI18" s="310" t="s">
        <v>201</v>
      </c>
      <c r="IXJ18" s="310" t="s">
        <v>201</v>
      </c>
      <c r="IXK18" s="310" t="s">
        <v>201</v>
      </c>
      <c r="IXL18" s="310" t="s">
        <v>201</v>
      </c>
      <c r="IXM18" s="310" t="s">
        <v>201</v>
      </c>
      <c r="IXN18" s="310" t="s">
        <v>201</v>
      </c>
      <c r="IXO18" s="310" t="s">
        <v>201</v>
      </c>
      <c r="IXP18" s="310" t="s">
        <v>201</v>
      </c>
      <c r="IXQ18" s="310" t="s">
        <v>201</v>
      </c>
      <c r="IXR18" s="310" t="s">
        <v>201</v>
      </c>
      <c r="IXS18" s="310" t="s">
        <v>201</v>
      </c>
      <c r="IXT18" s="310" t="s">
        <v>201</v>
      </c>
      <c r="IXU18" s="310" t="s">
        <v>201</v>
      </c>
      <c r="IXV18" s="310" t="s">
        <v>201</v>
      </c>
      <c r="IXW18" s="310" t="s">
        <v>201</v>
      </c>
      <c r="IXX18" s="310" t="s">
        <v>201</v>
      </c>
      <c r="IXY18" s="310" t="s">
        <v>201</v>
      </c>
      <c r="IXZ18" s="310" t="s">
        <v>201</v>
      </c>
      <c r="IYA18" s="310" t="s">
        <v>201</v>
      </c>
      <c r="IYB18" s="310" t="s">
        <v>201</v>
      </c>
      <c r="IYC18" s="310" t="s">
        <v>201</v>
      </c>
      <c r="IYD18" s="310" t="s">
        <v>201</v>
      </c>
      <c r="IYE18" s="310" t="s">
        <v>201</v>
      </c>
      <c r="IYF18" s="310" t="s">
        <v>201</v>
      </c>
      <c r="IYG18" s="310" t="s">
        <v>201</v>
      </c>
      <c r="IYH18" s="310" t="s">
        <v>201</v>
      </c>
      <c r="IYI18" s="310" t="s">
        <v>201</v>
      </c>
      <c r="IYJ18" s="310" t="s">
        <v>201</v>
      </c>
      <c r="IYK18" s="310" t="s">
        <v>201</v>
      </c>
      <c r="IYL18" s="310" t="s">
        <v>201</v>
      </c>
      <c r="IYM18" s="310" t="s">
        <v>201</v>
      </c>
      <c r="IYN18" s="310" t="s">
        <v>201</v>
      </c>
      <c r="IYO18" s="310" t="s">
        <v>201</v>
      </c>
      <c r="IYP18" s="310" t="s">
        <v>201</v>
      </c>
      <c r="IYQ18" s="310" t="s">
        <v>201</v>
      </c>
      <c r="IYR18" s="310" t="s">
        <v>201</v>
      </c>
      <c r="IYS18" s="310" t="s">
        <v>201</v>
      </c>
      <c r="IYT18" s="310" t="s">
        <v>201</v>
      </c>
      <c r="IYU18" s="310" t="s">
        <v>201</v>
      </c>
      <c r="IYV18" s="310" t="s">
        <v>201</v>
      </c>
      <c r="IYW18" s="310" t="s">
        <v>201</v>
      </c>
      <c r="IYX18" s="310" t="s">
        <v>201</v>
      </c>
      <c r="IYY18" s="310" t="s">
        <v>201</v>
      </c>
      <c r="IYZ18" s="310" t="s">
        <v>201</v>
      </c>
      <c r="IZA18" s="310" t="s">
        <v>201</v>
      </c>
      <c r="IZB18" s="310" t="s">
        <v>201</v>
      </c>
      <c r="IZC18" s="310" t="s">
        <v>201</v>
      </c>
      <c r="IZD18" s="310" t="s">
        <v>201</v>
      </c>
      <c r="IZE18" s="310" t="s">
        <v>201</v>
      </c>
      <c r="IZF18" s="310" t="s">
        <v>201</v>
      </c>
      <c r="IZG18" s="310" t="s">
        <v>201</v>
      </c>
      <c r="IZH18" s="310" t="s">
        <v>201</v>
      </c>
      <c r="IZI18" s="310" t="s">
        <v>201</v>
      </c>
      <c r="IZJ18" s="310" t="s">
        <v>201</v>
      </c>
      <c r="IZK18" s="310" t="s">
        <v>201</v>
      </c>
      <c r="IZL18" s="310" t="s">
        <v>201</v>
      </c>
      <c r="IZM18" s="310" t="s">
        <v>201</v>
      </c>
      <c r="IZN18" s="310" t="s">
        <v>201</v>
      </c>
      <c r="IZO18" s="310" t="s">
        <v>201</v>
      </c>
      <c r="IZP18" s="310" t="s">
        <v>201</v>
      </c>
      <c r="IZQ18" s="310" t="s">
        <v>201</v>
      </c>
      <c r="IZR18" s="310" t="s">
        <v>201</v>
      </c>
      <c r="IZS18" s="310" t="s">
        <v>201</v>
      </c>
      <c r="IZT18" s="310" t="s">
        <v>201</v>
      </c>
      <c r="IZU18" s="310" t="s">
        <v>201</v>
      </c>
      <c r="IZV18" s="310" t="s">
        <v>201</v>
      </c>
      <c r="IZW18" s="310" t="s">
        <v>201</v>
      </c>
      <c r="IZX18" s="310" t="s">
        <v>201</v>
      </c>
      <c r="IZY18" s="310" t="s">
        <v>201</v>
      </c>
      <c r="IZZ18" s="310" t="s">
        <v>201</v>
      </c>
      <c r="JAA18" s="310" t="s">
        <v>201</v>
      </c>
      <c r="JAB18" s="310" t="s">
        <v>201</v>
      </c>
      <c r="JAC18" s="310" t="s">
        <v>201</v>
      </c>
      <c r="JAD18" s="310" t="s">
        <v>201</v>
      </c>
      <c r="JAE18" s="310" t="s">
        <v>201</v>
      </c>
      <c r="JAF18" s="310" t="s">
        <v>201</v>
      </c>
      <c r="JAG18" s="310" t="s">
        <v>201</v>
      </c>
      <c r="JAH18" s="310" t="s">
        <v>201</v>
      </c>
      <c r="JAI18" s="310" t="s">
        <v>201</v>
      </c>
      <c r="JAJ18" s="310" t="s">
        <v>201</v>
      </c>
      <c r="JAK18" s="310" t="s">
        <v>201</v>
      </c>
      <c r="JAL18" s="310" t="s">
        <v>201</v>
      </c>
      <c r="JAM18" s="310" t="s">
        <v>201</v>
      </c>
      <c r="JAN18" s="310" t="s">
        <v>201</v>
      </c>
      <c r="JAO18" s="310" t="s">
        <v>201</v>
      </c>
      <c r="JAP18" s="310" t="s">
        <v>201</v>
      </c>
      <c r="JAQ18" s="310" t="s">
        <v>201</v>
      </c>
      <c r="JAR18" s="310" t="s">
        <v>201</v>
      </c>
      <c r="JAS18" s="310" t="s">
        <v>201</v>
      </c>
      <c r="JAT18" s="310" t="s">
        <v>201</v>
      </c>
      <c r="JAU18" s="310" t="s">
        <v>201</v>
      </c>
      <c r="JAV18" s="310" t="s">
        <v>201</v>
      </c>
      <c r="JAW18" s="310" t="s">
        <v>201</v>
      </c>
      <c r="JAX18" s="310" t="s">
        <v>201</v>
      </c>
      <c r="JAY18" s="310" t="s">
        <v>201</v>
      </c>
      <c r="JAZ18" s="310" t="s">
        <v>201</v>
      </c>
      <c r="JBA18" s="310" t="s">
        <v>201</v>
      </c>
      <c r="JBB18" s="310" t="s">
        <v>201</v>
      </c>
      <c r="JBC18" s="310" t="s">
        <v>201</v>
      </c>
      <c r="JBD18" s="310" t="s">
        <v>201</v>
      </c>
      <c r="JBE18" s="310" t="s">
        <v>201</v>
      </c>
      <c r="JBF18" s="310" t="s">
        <v>201</v>
      </c>
      <c r="JBG18" s="310" t="s">
        <v>201</v>
      </c>
      <c r="JBH18" s="310" t="s">
        <v>201</v>
      </c>
      <c r="JBI18" s="310" t="s">
        <v>201</v>
      </c>
      <c r="JBJ18" s="310" t="s">
        <v>201</v>
      </c>
      <c r="JBK18" s="310" t="s">
        <v>201</v>
      </c>
      <c r="JBL18" s="310" t="s">
        <v>201</v>
      </c>
      <c r="JBM18" s="310" t="s">
        <v>201</v>
      </c>
      <c r="JBN18" s="310" t="s">
        <v>201</v>
      </c>
      <c r="JBO18" s="310" t="s">
        <v>201</v>
      </c>
      <c r="JBP18" s="310" t="s">
        <v>201</v>
      </c>
      <c r="JBQ18" s="310" t="s">
        <v>201</v>
      </c>
      <c r="JBR18" s="310" t="s">
        <v>201</v>
      </c>
      <c r="JBS18" s="310" t="s">
        <v>201</v>
      </c>
      <c r="JBT18" s="310" t="s">
        <v>201</v>
      </c>
      <c r="JBU18" s="310" t="s">
        <v>201</v>
      </c>
      <c r="JBV18" s="310" t="s">
        <v>201</v>
      </c>
      <c r="JBW18" s="310" t="s">
        <v>201</v>
      </c>
      <c r="JBX18" s="310" t="s">
        <v>201</v>
      </c>
      <c r="JBY18" s="310" t="s">
        <v>201</v>
      </c>
      <c r="JBZ18" s="310" t="s">
        <v>201</v>
      </c>
      <c r="JCA18" s="310" t="s">
        <v>201</v>
      </c>
      <c r="JCB18" s="310" t="s">
        <v>201</v>
      </c>
      <c r="JCC18" s="310" t="s">
        <v>201</v>
      </c>
      <c r="JCD18" s="310" t="s">
        <v>201</v>
      </c>
      <c r="JCE18" s="310" t="s">
        <v>201</v>
      </c>
      <c r="JCF18" s="310" t="s">
        <v>201</v>
      </c>
      <c r="JCG18" s="310" t="s">
        <v>201</v>
      </c>
      <c r="JCH18" s="310" t="s">
        <v>201</v>
      </c>
      <c r="JCI18" s="310" t="s">
        <v>201</v>
      </c>
      <c r="JCJ18" s="310" t="s">
        <v>201</v>
      </c>
      <c r="JCK18" s="310" t="s">
        <v>201</v>
      </c>
      <c r="JCL18" s="310" t="s">
        <v>201</v>
      </c>
      <c r="JCM18" s="310" t="s">
        <v>201</v>
      </c>
      <c r="JCN18" s="310" t="s">
        <v>201</v>
      </c>
      <c r="JCO18" s="310" t="s">
        <v>201</v>
      </c>
      <c r="JCP18" s="310" t="s">
        <v>201</v>
      </c>
      <c r="JCQ18" s="310" t="s">
        <v>201</v>
      </c>
      <c r="JCR18" s="310" t="s">
        <v>201</v>
      </c>
      <c r="JCS18" s="310" t="s">
        <v>201</v>
      </c>
      <c r="JCT18" s="310" t="s">
        <v>201</v>
      </c>
      <c r="JCU18" s="310" t="s">
        <v>201</v>
      </c>
      <c r="JCV18" s="310" t="s">
        <v>201</v>
      </c>
      <c r="JCW18" s="310" t="s">
        <v>201</v>
      </c>
      <c r="JCX18" s="310" t="s">
        <v>201</v>
      </c>
      <c r="JCY18" s="310" t="s">
        <v>201</v>
      </c>
      <c r="JCZ18" s="310" t="s">
        <v>201</v>
      </c>
      <c r="JDA18" s="310" t="s">
        <v>201</v>
      </c>
      <c r="JDB18" s="310" t="s">
        <v>201</v>
      </c>
      <c r="JDC18" s="310" t="s">
        <v>201</v>
      </c>
      <c r="JDD18" s="310" t="s">
        <v>201</v>
      </c>
      <c r="JDE18" s="310" t="s">
        <v>201</v>
      </c>
      <c r="JDF18" s="310" t="s">
        <v>201</v>
      </c>
      <c r="JDG18" s="310" t="s">
        <v>201</v>
      </c>
      <c r="JDH18" s="310" t="s">
        <v>201</v>
      </c>
      <c r="JDI18" s="310" t="s">
        <v>201</v>
      </c>
      <c r="JDJ18" s="310" t="s">
        <v>201</v>
      </c>
      <c r="JDK18" s="310" t="s">
        <v>201</v>
      </c>
      <c r="JDL18" s="310" t="s">
        <v>201</v>
      </c>
      <c r="JDM18" s="310" t="s">
        <v>201</v>
      </c>
      <c r="JDN18" s="310" t="s">
        <v>201</v>
      </c>
      <c r="JDO18" s="310" t="s">
        <v>201</v>
      </c>
      <c r="JDP18" s="310" t="s">
        <v>201</v>
      </c>
      <c r="JDQ18" s="310" t="s">
        <v>201</v>
      </c>
      <c r="JDR18" s="310" t="s">
        <v>201</v>
      </c>
      <c r="JDS18" s="310" t="s">
        <v>201</v>
      </c>
      <c r="JDT18" s="310" t="s">
        <v>201</v>
      </c>
      <c r="JDU18" s="310" t="s">
        <v>201</v>
      </c>
      <c r="JDV18" s="310" t="s">
        <v>201</v>
      </c>
      <c r="JDW18" s="310" t="s">
        <v>201</v>
      </c>
      <c r="JDX18" s="310" t="s">
        <v>201</v>
      </c>
      <c r="JDY18" s="310" t="s">
        <v>201</v>
      </c>
      <c r="JDZ18" s="310" t="s">
        <v>201</v>
      </c>
      <c r="JEA18" s="310" t="s">
        <v>201</v>
      </c>
      <c r="JEB18" s="310" t="s">
        <v>201</v>
      </c>
      <c r="JEC18" s="310" t="s">
        <v>201</v>
      </c>
      <c r="JED18" s="310" t="s">
        <v>201</v>
      </c>
      <c r="JEE18" s="310" t="s">
        <v>201</v>
      </c>
      <c r="JEF18" s="310" t="s">
        <v>201</v>
      </c>
      <c r="JEG18" s="310" t="s">
        <v>201</v>
      </c>
      <c r="JEH18" s="310" t="s">
        <v>201</v>
      </c>
      <c r="JEI18" s="310" t="s">
        <v>201</v>
      </c>
      <c r="JEJ18" s="310" t="s">
        <v>201</v>
      </c>
      <c r="JEK18" s="310" t="s">
        <v>201</v>
      </c>
      <c r="JEL18" s="310" t="s">
        <v>201</v>
      </c>
      <c r="JEM18" s="310" t="s">
        <v>201</v>
      </c>
      <c r="JEN18" s="310" t="s">
        <v>201</v>
      </c>
      <c r="JEO18" s="310" t="s">
        <v>201</v>
      </c>
      <c r="JEP18" s="310" t="s">
        <v>201</v>
      </c>
      <c r="JEQ18" s="310" t="s">
        <v>201</v>
      </c>
      <c r="JER18" s="310" t="s">
        <v>201</v>
      </c>
      <c r="JES18" s="310" t="s">
        <v>201</v>
      </c>
      <c r="JET18" s="310" t="s">
        <v>201</v>
      </c>
      <c r="JEU18" s="310" t="s">
        <v>201</v>
      </c>
      <c r="JEV18" s="310" t="s">
        <v>201</v>
      </c>
      <c r="JEW18" s="310" t="s">
        <v>201</v>
      </c>
      <c r="JEX18" s="310" t="s">
        <v>201</v>
      </c>
      <c r="JEY18" s="310" t="s">
        <v>201</v>
      </c>
      <c r="JEZ18" s="310" t="s">
        <v>201</v>
      </c>
      <c r="JFA18" s="310" t="s">
        <v>201</v>
      </c>
      <c r="JFB18" s="310" t="s">
        <v>201</v>
      </c>
      <c r="JFC18" s="310" t="s">
        <v>201</v>
      </c>
      <c r="JFD18" s="310" t="s">
        <v>201</v>
      </c>
      <c r="JFE18" s="310" t="s">
        <v>201</v>
      </c>
      <c r="JFF18" s="310" t="s">
        <v>201</v>
      </c>
      <c r="JFG18" s="310" t="s">
        <v>201</v>
      </c>
      <c r="JFH18" s="310" t="s">
        <v>201</v>
      </c>
      <c r="JFI18" s="310" t="s">
        <v>201</v>
      </c>
      <c r="JFJ18" s="310" t="s">
        <v>201</v>
      </c>
      <c r="JFK18" s="310" t="s">
        <v>201</v>
      </c>
      <c r="JFL18" s="310" t="s">
        <v>201</v>
      </c>
      <c r="JFM18" s="310" t="s">
        <v>201</v>
      </c>
      <c r="JFN18" s="310" t="s">
        <v>201</v>
      </c>
      <c r="JFO18" s="310" t="s">
        <v>201</v>
      </c>
      <c r="JFP18" s="310" t="s">
        <v>201</v>
      </c>
      <c r="JFQ18" s="310" t="s">
        <v>201</v>
      </c>
      <c r="JFR18" s="310" t="s">
        <v>201</v>
      </c>
      <c r="JFS18" s="310" t="s">
        <v>201</v>
      </c>
      <c r="JFT18" s="310" t="s">
        <v>201</v>
      </c>
      <c r="JFU18" s="310" t="s">
        <v>201</v>
      </c>
      <c r="JFV18" s="310" t="s">
        <v>201</v>
      </c>
      <c r="JFW18" s="310" t="s">
        <v>201</v>
      </c>
      <c r="JFX18" s="310" t="s">
        <v>201</v>
      </c>
      <c r="JFY18" s="310" t="s">
        <v>201</v>
      </c>
      <c r="JFZ18" s="310" t="s">
        <v>201</v>
      </c>
      <c r="JGA18" s="310" t="s">
        <v>201</v>
      </c>
      <c r="JGB18" s="310" t="s">
        <v>201</v>
      </c>
      <c r="JGC18" s="310" t="s">
        <v>201</v>
      </c>
      <c r="JGD18" s="310" t="s">
        <v>201</v>
      </c>
      <c r="JGE18" s="310" t="s">
        <v>201</v>
      </c>
      <c r="JGF18" s="310" t="s">
        <v>201</v>
      </c>
      <c r="JGG18" s="310" t="s">
        <v>201</v>
      </c>
      <c r="JGH18" s="310" t="s">
        <v>201</v>
      </c>
      <c r="JGI18" s="310" t="s">
        <v>201</v>
      </c>
      <c r="JGJ18" s="310" t="s">
        <v>201</v>
      </c>
      <c r="JGK18" s="310" t="s">
        <v>201</v>
      </c>
      <c r="JGL18" s="310" t="s">
        <v>201</v>
      </c>
      <c r="JGM18" s="310" t="s">
        <v>201</v>
      </c>
      <c r="JGN18" s="310" t="s">
        <v>201</v>
      </c>
      <c r="JGO18" s="310" t="s">
        <v>201</v>
      </c>
      <c r="JGP18" s="310" t="s">
        <v>201</v>
      </c>
      <c r="JGQ18" s="310" t="s">
        <v>201</v>
      </c>
      <c r="JGR18" s="310" t="s">
        <v>201</v>
      </c>
      <c r="JGS18" s="310" t="s">
        <v>201</v>
      </c>
      <c r="JGT18" s="310" t="s">
        <v>201</v>
      </c>
      <c r="JGU18" s="310" t="s">
        <v>201</v>
      </c>
      <c r="JGV18" s="310" t="s">
        <v>201</v>
      </c>
      <c r="JGW18" s="310" t="s">
        <v>201</v>
      </c>
      <c r="JGX18" s="310" t="s">
        <v>201</v>
      </c>
      <c r="JGY18" s="310" t="s">
        <v>201</v>
      </c>
      <c r="JGZ18" s="310" t="s">
        <v>201</v>
      </c>
      <c r="JHA18" s="310" t="s">
        <v>201</v>
      </c>
      <c r="JHB18" s="310" t="s">
        <v>201</v>
      </c>
      <c r="JHC18" s="310" t="s">
        <v>201</v>
      </c>
      <c r="JHD18" s="310" t="s">
        <v>201</v>
      </c>
      <c r="JHE18" s="310" t="s">
        <v>201</v>
      </c>
      <c r="JHF18" s="310" t="s">
        <v>201</v>
      </c>
      <c r="JHG18" s="310" t="s">
        <v>201</v>
      </c>
      <c r="JHH18" s="310" t="s">
        <v>201</v>
      </c>
      <c r="JHI18" s="310" t="s">
        <v>201</v>
      </c>
      <c r="JHJ18" s="310" t="s">
        <v>201</v>
      </c>
      <c r="JHK18" s="310" t="s">
        <v>201</v>
      </c>
      <c r="JHL18" s="310" t="s">
        <v>201</v>
      </c>
      <c r="JHM18" s="310" t="s">
        <v>201</v>
      </c>
      <c r="JHN18" s="310" t="s">
        <v>201</v>
      </c>
      <c r="JHO18" s="310" t="s">
        <v>201</v>
      </c>
      <c r="JHP18" s="310" t="s">
        <v>201</v>
      </c>
      <c r="JHQ18" s="310" t="s">
        <v>201</v>
      </c>
      <c r="JHR18" s="310" t="s">
        <v>201</v>
      </c>
      <c r="JHS18" s="310" t="s">
        <v>201</v>
      </c>
      <c r="JHT18" s="310" t="s">
        <v>201</v>
      </c>
      <c r="JHU18" s="310" t="s">
        <v>201</v>
      </c>
      <c r="JHV18" s="310" t="s">
        <v>201</v>
      </c>
      <c r="JHW18" s="310" t="s">
        <v>201</v>
      </c>
      <c r="JHX18" s="310" t="s">
        <v>201</v>
      </c>
      <c r="JHY18" s="310" t="s">
        <v>201</v>
      </c>
      <c r="JHZ18" s="310" t="s">
        <v>201</v>
      </c>
      <c r="JIA18" s="310" t="s">
        <v>201</v>
      </c>
      <c r="JIB18" s="310" t="s">
        <v>201</v>
      </c>
      <c r="JIC18" s="310" t="s">
        <v>201</v>
      </c>
      <c r="JID18" s="310" t="s">
        <v>201</v>
      </c>
      <c r="JIE18" s="310" t="s">
        <v>201</v>
      </c>
      <c r="JIF18" s="310" t="s">
        <v>201</v>
      </c>
      <c r="JIG18" s="310" t="s">
        <v>201</v>
      </c>
      <c r="JIH18" s="310" t="s">
        <v>201</v>
      </c>
      <c r="JII18" s="310" t="s">
        <v>201</v>
      </c>
      <c r="JIJ18" s="310" t="s">
        <v>201</v>
      </c>
      <c r="JIK18" s="310" t="s">
        <v>201</v>
      </c>
      <c r="JIL18" s="310" t="s">
        <v>201</v>
      </c>
      <c r="JIM18" s="310" t="s">
        <v>201</v>
      </c>
      <c r="JIN18" s="310" t="s">
        <v>201</v>
      </c>
      <c r="JIO18" s="310" t="s">
        <v>201</v>
      </c>
      <c r="JIP18" s="310" t="s">
        <v>201</v>
      </c>
      <c r="JIQ18" s="310" t="s">
        <v>201</v>
      </c>
      <c r="JIR18" s="310" t="s">
        <v>201</v>
      </c>
      <c r="JIS18" s="310" t="s">
        <v>201</v>
      </c>
      <c r="JIT18" s="310" t="s">
        <v>201</v>
      </c>
      <c r="JIU18" s="310" t="s">
        <v>201</v>
      </c>
      <c r="JIV18" s="310" t="s">
        <v>201</v>
      </c>
      <c r="JIW18" s="310" t="s">
        <v>201</v>
      </c>
      <c r="JIX18" s="310" t="s">
        <v>201</v>
      </c>
      <c r="JIY18" s="310" t="s">
        <v>201</v>
      </c>
      <c r="JIZ18" s="310" t="s">
        <v>201</v>
      </c>
      <c r="JJA18" s="310" t="s">
        <v>201</v>
      </c>
      <c r="JJB18" s="310" t="s">
        <v>201</v>
      </c>
      <c r="JJC18" s="310" t="s">
        <v>201</v>
      </c>
      <c r="JJD18" s="310" t="s">
        <v>201</v>
      </c>
      <c r="JJE18" s="310" t="s">
        <v>201</v>
      </c>
      <c r="JJF18" s="310" t="s">
        <v>201</v>
      </c>
      <c r="JJG18" s="310" t="s">
        <v>201</v>
      </c>
      <c r="JJH18" s="310" t="s">
        <v>201</v>
      </c>
      <c r="JJI18" s="310" t="s">
        <v>201</v>
      </c>
      <c r="JJJ18" s="310" t="s">
        <v>201</v>
      </c>
      <c r="JJK18" s="310" t="s">
        <v>201</v>
      </c>
      <c r="JJL18" s="310" t="s">
        <v>201</v>
      </c>
      <c r="JJM18" s="310" t="s">
        <v>201</v>
      </c>
      <c r="JJN18" s="310" t="s">
        <v>201</v>
      </c>
      <c r="JJO18" s="310" t="s">
        <v>201</v>
      </c>
      <c r="JJP18" s="310" t="s">
        <v>201</v>
      </c>
      <c r="JJQ18" s="310" t="s">
        <v>201</v>
      </c>
      <c r="JJR18" s="310" t="s">
        <v>201</v>
      </c>
      <c r="JJS18" s="310" t="s">
        <v>201</v>
      </c>
      <c r="JJT18" s="310" t="s">
        <v>201</v>
      </c>
      <c r="JJU18" s="310" t="s">
        <v>201</v>
      </c>
      <c r="JJV18" s="310" t="s">
        <v>201</v>
      </c>
      <c r="JJW18" s="310" t="s">
        <v>201</v>
      </c>
      <c r="JJX18" s="310" t="s">
        <v>201</v>
      </c>
      <c r="JJY18" s="310" t="s">
        <v>201</v>
      </c>
      <c r="JJZ18" s="310" t="s">
        <v>201</v>
      </c>
      <c r="JKA18" s="310" t="s">
        <v>201</v>
      </c>
      <c r="JKB18" s="310" t="s">
        <v>201</v>
      </c>
      <c r="JKC18" s="310" t="s">
        <v>201</v>
      </c>
      <c r="JKD18" s="310" t="s">
        <v>201</v>
      </c>
      <c r="JKE18" s="310" t="s">
        <v>201</v>
      </c>
      <c r="JKF18" s="310" t="s">
        <v>201</v>
      </c>
      <c r="JKG18" s="310" t="s">
        <v>201</v>
      </c>
      <c r="JKH18" s="310" t="s">
        <v>201</v>
      </c>
      <c r="JKI18" s="310" t="s">
        <v>201</v>
      </c>
      <c r="JKJ18" s="310" t="s">
        <v>201</v>
      </c>
      <c r="JKK18" s="310" t="s">
        <v>201</v>
      </c>
      <c r="JKL18" s="310" t="s">
        <v>201</v>
      </c>
      <c r="JKM18" s="310" t="s">
        <v>201</v>
      </c>
      <c r="JKN18" s="310" t="s">
        <v>201</v>
      </c>
      <c r="JKO18" s="310" t="s">
        <v>201</v>
      </c>
      <c r="JKP18" s="310" t="s">
        <v>201</v>
      </c>
      <c r="JKQ18" s="310" t="s">
        <v>201</v>
      </c>
      <c r="JKR18" s="310" t="s">
        <v>201</v>
      </c>
      <c r="JKS18" s="310" t="s">
        <v>201</v>
      </c>
      <c r="JKT18" s="310" t="s">
        <v>201</v>
      </c>
      <c r="JKU18" s="310" t="s">
        <v>201</v>
      </c>
      <c r="JKV18" s="310" t="s">
        <v>201</v>
      </c>
      <c r="JKW18" s="310" t="s">
        <v>201</v>
      </c>
      <c r="JKX18" s="310" t="s">
        <v>201</v>
      </c>
      <c r="JKY18" s="310" t="s">
        <v>201</v>
      </c>
      <c r="JKZ18" s="310" t="s">
        <v>201</v>
      </c>
      <c r="JLA18" s="310" t="s">
        <v>201</v>
      </c>
      <c r="JLB18" s="310" t="s">
        <v>201</v>
      </c>
      <c r="JLC18" s="310" t="s">
        <v>201</v>
      </c>
      <c r="JLD18" s="310" t="s">
        <v>201</v>
      </c>
      <c r="JLE18" s="310" t="s">
        <v>201</v>
      </c>
      <c r="JLF18" s="310" t="s">
        <v>201</v>
      </c>
      <c r="JLG18" s="310" t="s">
        <v>201</v>
      </c>
      <c r="JLH18" s="310" t="s">
        <v>201</v>
      </c>
      <c r="JLI18" s="310" t="s">
        <v>201</v>
      </c>
      <c r="JLJ18" s="310" t="s">
        <v>201</v>
      </c>
      <c r="JLK18" s="310" t="s">
        <v>201</v>
      </c>
      <c r="JLL18" s="310" t="s">
        <v>201</v>
      </c>
      <c r="JLM18" s="310" t="s">
        <v>201</v>
      </c>
      <c r="JLN18" s="310" t="s">
        <v>201</v>
      </c>
      <c r="JLO18" s="310" t="s">
        <v>201</v>
      </c>
      <c r="JLP18" s="310" t="s">
        <v>201</v>
      </c>
      <c r="JLQ18" s="310" t="s">
        <v>201</v>
      </c>
      <c r="JLR18" s="310" t="s">
        <v>201</v>
      </c>
      <c r="JLS18" s="310" t="s">
        <v>201</v>
      </c>
      <c r="JLT18" s="310" t="s">
        <v>201</v>
      </c>
      <c r="JLU18" s="310" t="s">
        <v>201</v>
      </c>
      <c r="JLV18" s="310" t="s">
        <v>201</v>
      </c>
      <c r="JLW18" s="310" t="s">
        <v>201</v>
      </c>
      <c r="JLX18" s="310" t="s">
        <v>201</v>
      </c>
      <c r="JLY18" s="310" t="s">
        <v>201</v>
      </c>
      <c r="JLZ18" s="310" t="s">
        <v>201</v>
      </c>
      <c r="JMA18" s="310" t="s">
        <v>201</v>
      </c>
      <c r="JMB18" s="310" t="s">
        <v>201</v>
      </c>
      <c r="JMC18" s="310" t="s">
        <v>201</v>
      </c>
      <c r="JMD18" s="310" t="s">
        <v>201</v>
      </c>
      <c r="JME18" s="310" t="s">
        <v>201</v>
      </c>
      <c r="JMF18" s="310" t="s">
        <v>201</v>
      </c>
      <c r="JMG18" s="310" t="s">
        <v>201</v>
      </c>
      <c r="JMH18" s="310" t="s">
        <v>201</v>
      </c>
      <c r="JMI18" s="310" t="s">
        <v>201</v>
      </c>
      <c r="JMJ18" s="310" t="s">
        <v>201</v>
      </c>
      <c r="JMK18" s="310" t="s">
        <v>201</v>
      </c>
      <c r="JML18" s="310" t="s">
        <v>201</v>
      </c>
      <c r="JMM18" s="310" t="s">
        <v>201</v>
      </c>
      <c r="JMN18" s="310" t="s">
        <v>201</v>
      </c>
      <c r="JMO18" s="310" t="s">
        <v>201</v>
      </c>
      <c r="JMP18" s="310" t="s">
        <v>201</v>
      </c>
      <c r="JMQ18" s="310" t="s">
        <v>201</v>
      </c>
      <c r="JMR18" s="310" t="s">
        <v>201</v>
      </c>
      <c r="JMS18" s="310" t="s">
        <v>201</v>
      </c>
      <c r="JMT18" s="310" t="s">
        <v>201</v>
      </c>
      <c r="JMU18" s="310" t="s">
        <v>201</v>
      </c>
      <c r="JMV18" s="310" t="s">
        <v>201</v>
      </c>
      <c r="JMW18" s="310" t="s">
        <v>201</v>
      </c>
      <c r="JMX18" s="310" t="s">
        <v>201</v>
      </c>
      <c r="JMY18" s="310" t="s">
        <v>201</v>
      </c>
      <c r="JMZ18" s="310" t="s">
        <v>201</v>
      </c>
      <c r="JNA18" s="310" t="s">
        <v>201</v>
      </c>
      <c r="JNB18" s="310" t="s">
        <v>201</v>
      </c>
      <c r="JNC18" s="310" t="s">
        <v>201</v>
      </c>
      <c r="JND18" s="310" t="s">
        <v>201</v>
      </c>
      <c r="JNE18" s="310" t="s">
        <v>201</v>
      </c>
      <c r="JNF18" s="310" t="s">
        <v>201</v>
      </c>
      <c r="JNG18" s="310" t="s">
        <v>201</v>
      </c>
      <c r="JNH18" s="310" t="s">
        <v>201</v>
      </c>
      <c r="JNI18" s="310" t="s">
        <v>201</v>
      </c>
      <c r="JNJ18" s="310" t="s">
        <v>201</v>
      </c>
      <c r="JNK18" s="310" t="s">
        <v>201</v>
      </c>
      <c r="JNL18" s="310" t="s">
        <v>201</v>
      </c>
      <c r="JNM18" s="310" t="s">
        <v>201</v>
      </c>
      <c r="JNN18" s="310" t="s">
        <v>201</v>
      </c>
      <c r="JNO18" s="310" t="s">
        <v>201</v>
      </c>
      <c r="JNP18" s="310" t="s">
        <v>201</v>
      </c>
      <c r="JNQ18" s="310" t="s">
        <v>201</v>
      </c>
      <c r="JNR18" s="310" t="s">
        <v>201</v>
      </c>
      <c r="JNS18" s="310" t="s">
        <v>201</v>
      </c>
      <c r="JNT18" s="310" t="s">
        <v>201</v>
      </c>
      <c r="JNU18" s="310" t="s">
        <v>201</v>
      </c>
      <c r="JNV18" s="310" t="s">
        <v>201</v>
      </c>
      <c r="JNW18" s="310" t="s">
        <v>201</v>
      </c>
      <c r="JNX18" s="310" t="s">
        <v>201</v>
      </c>
      <c r="JNY18" s="310" t="s">
        <v>201</v>
      </c>
      <c r="JNZ18" s="310" t="s">
        <v>201</v>
      </c>
      <c r="JOA18" s="310" t="s">
        <v>201</v>
      </c>
      <c r="JOB18" s="310" t="s">
        <v>201</v>
      </c>
      <c r="JOC18" s="310" t="s">
        <v>201</v>
      </c>
      <c r="JOD18" s="310" t="s">
        <v>201</v>
      </c>
      <c r="JOE18" s="310" t="s">
        <v>201</v>
      </c>
      <c r="JOF18" s="310" t="s">
        <v>201</v>
      </c>
      <c r="JOG18" s="310" t="s">
        <v>201</v>
      </c>
      <c r="JOH18" s="310" t="s">
        <v>201</v>
      </c>
      <c r="JOI18" s="310" t="s">
        <v>201</v>
      </c>
      <c r="JOJ18" s="310" t="s">
        <v>201</v>
      </c>
      <c r="JOK18" s="310" t="s">
        <v>201</v>
      </c>
      <c r="JOL18" s="310" t="s">
        <v>201</v>
      </c>
      <c r="JOM18" s="310" t="s">
        <v>201</v>
      </c>
      <c r="JON18" s="310" t="s">
        <v>201</v>
      </c>
      <c r="JOO18" s="310" t="s">
        <v>201</v>
      </c>
      <c r="JOP18" s="310" t="s">
        <v>201</v>
      </c>
      <c r="JOQ18" s="310" t="s">
        <v>201</v>
      </c>
      <c r="JOR18" s="310" t="s">
        <v>201</v>
      </c>
      <c r="JOS18" s="310" t="s">
        <v>201</v>
      </c>
      <c r="JOT18" s="310" t="s">
        <v>201</v>
      </c>
      <c r="JOU18" s="310" t="s">
        <v>201</v>
      </c>
      <c r="JOV18" s="310" t="s">
        <v>201</v>
      </c>
      <c r="JOW18" s="310" t="s">
        <v>201</v>
      </c>
      <c r="JOX18" s="310" t="s">
        <v>201</v>
      </c>
      <c r="JOY18" s="310" t="s">
        <v>201</v>
      </c>
      <c r="JOZ18" s="310" t="s">
        <v>201</v>
      </c>
      <c r="JPA18" s="310" t="s">
        <v>201</v>
      </c>
      <c r="JPB18" s="310" t="s">
        <v>201</v>
      </c>
      <c r="JPC18" s="310" t="s">
        <v>201</v>
      </c>
      <c r="JPD18" s="310" t="s">
        <v>201</v>
      </c>
      <c r="JPE18" s="310" t="s">
        <v>201</v>
      </c>
      <c r="JPF18" s="310" t="s">
        <v>201</v>
      </c>
      <c r="JPG18" s="310" t="s">
        <v>201</v>
      </c>
      <c r="JPH18" s="310" t="s">
        <v>201</v>
      </c>
      <c r="JPI18" s="310" t="s">
        <v>201</v>
      </c>
      <c r="JPJ18" s="310" t="s">
        <v>201</v>
      </c>
      <c r="JPK18" s="310" t="s">
        <v>201</v>
      </c>
      <c r="JPL18" s="310" t="s">
        <v>201</v>
      </c>
      <c r="JPM18" s="310" t="s">
        <v>201</v>
      </c>
      <c r="JPN18" s="310" t="s">
        <v>201</v>
      </c>
      <c r="JPO18" s="310" t="s">
        <v>201</v>
      </c>
      <c r="JPP18" s="310" t="s">
        <v>201</v>
      </c>
      <c r="JPQ18" s="310" t="s">
        <v>201</v>
      </c>
      <c r="JPR18" s="310" t="s">
        <v>201</v>
      </c>
      <c r="JPS18" s="310" t="s">
        <v>201</v>
      </c>
      <c r="JPT18" s="310" t="s">
        <v>201</v>
      </c>
      <c r="JPU18" s="310" t="s">
        <v>201</v>
      </c>
      <c r="JPV18" s="310" t="s">
        <v>201</v>
      </c>
      <c r="JPW18" s="310" t="s">
        <v>201</v>
      </c>
      <c r="JPX18" s="310" t="s">
        <v>201</v>
      </c>
      <c r="JPY18" s="310" t="s">
        <v>201</v>
      </c>
      <c r="JPZ18" s="310" t="s">
        <v>201</v>
      </c>
      <c r="JQA18" s="310" t="s">
        <v>201</v>
      </c>
      <c r="JQB18" s="310" t="s">
        <v>201</v>
      </c>
      <c r="JQC18" s="310" t="s">
        <v>201</v>
      </c>
      <c r="JQD18" s="310" t="s">
        <v>201</v>
      </c>
      <c r="JQE18" s="310" t="s">
        <v>201</v>
      </c>
      <c r="JQF18" s="310" t="s">
        <v>201</v>
      </c>
      <c r="JQG18" s="310" t="s">
        <v>201</v>
      </c>
      <c r="JQH18" s="310" t="s">
        <v>201</v>
      </c>
      <c r="JQI18" s="310" t="s">
        <v>201</v>
      </c>
      <c r="JQJ18" s="310" t="s">
        <v>201</v>
      </c>
      <c r="JQK18" s="310" t="s">
        <v>201</v>
      </c>
      <c r="JQL18" s="310" t="s">
        <v>201</v>
      </c>
      <c r="JQM18" s="310" t="s">
        <v>201</v>
      </c>
      <c r="JQN18" s="310" t="s">
        <v>201</v>
      </c>
      <c r="JQO18" s="310" t="s">
        <v>201</v>
      </c>
      <c r="JQP18" s="310" t="s">
        <v>201</v>
      </c>
      <c r="JQQ18" s="310" t="s">
        <v>201</v>
      </c>
      <c r="JQR18" s="310" t="s">
        <v>201</v>
      </c>
      <c r="JQS18" s="310" t="s">
        <v>201</v>
      </c>
      <c r="JQT18" s="310" t="s">
        <v>201</v>
      </c>
      <c r="JQU18" s="310" t="s">
        <v>201</v>
      </c>
      <c r="JQV18" s="310" t="s">
        <v>201</v>
      </c>
      <c r="JQW18" s="310" t="s">
        <v>201</v>
      </c>
      <c r="JQX18" s="310" t="s">
        <v>201</v>
      </c>
      <c r="JQY18" s="310" t="s">
        <v>201</v>
      </c>
      <c r="JQZ18" s="310" t="s">
        <v>201</v>
      </c>
      <c r="JRA18" s="310" t="s">
        <v>201</v>
      </c>
      <c r="JRB18" s="310" t="s">
        <v>201</v>
      </c>
      <c r="JRC18" s="310" t="s">
        <v>201</v>
      </c>
      <c r="JRD18" s="310" t="s">
        <v>201</v>
      </c>
      <c r="JRE18" s="310" t="s">
        <v>201</v>
      </c>
      <c r="JRF18" s="310" t="s">
        <v>201</v>
      </c>
      <c r="JRG18" s="310" t="s">
        <v>201</v>
      </c>
      <c r="JRH18" s="310" t="s">
        <v>201</v>
      </c>
      <c r="JRI18" s="310" t="s">
        <v>201</v>
      </c>
      <c r="JRJ18" s="310" t="s">
        <v>201</v>
      </c>
      <c r="JRK18" s="310" t="s">
        <v>201</v>
      </c>
      <c r="JRL18" s="310" t="s">
        <v>201</v>
      </c>
      <c r="JRM18" s="310" t="s">
        <v>201</v>
      </c>
      <c r="JRN18" s="310" t="s">
        <v>201</v>
      </c>
      <c r="JRO18" s="310" t="s">
        <v>201</v>
      </c>
      <c r="JRP18" s="310" t="s">
        <v>201</v>
      </c>
      <c r="JRQ18" s="310" t="s">
        <v>201</v>
      </c>
      <c r="JRR18" s="310" t="s">
        <v>201</v>
      </c>
      <c r="JRS18" s="310" t="s">
        <v>201</v>
      </c>
      <c r="JRT18" s="310" t="s">
        <v>201</v>
      </c>
      <c r="JRU18" s="310" t="s">
        <v>201</v>
      </c>
      <c r="JRV18" s="310" t="s">
        <v>201</v>
      </c>
      <c r="JRW18" s="310" t="s">
        <v>201</v>
      </c>
      <c r="JRX18" s="310" t="s">
        <v>201</v>
      </c>
      <c r="JRY18" s="310" t="s">
        <v>201</v>
      </c>
      <c r="JRZ18" s="310" t="s">
        <v>201</v>
      </c>
      <c r="JSA18" s="310" t="s">
        <v>201</v>
      </c>
      <c r="JSB18" s="310" t="s">
        <v>201</v>
      </c>
      <c r="JSC18" s="310" t="s">
        <v>201</v>
      </c>
      <c r="JSD18" s="310" t="s">
        <v>201</v>
      </c>
      <c r="JSE18" s="310" t="s">
        <v>201</v>
      </c>
      <c r="JSF18" s="310" t="s">
        <v>201</v>
      </c>
      <c r="JSG18" s="310" t="s">
        <v>201</v>
      </c>
      <c r="JSH18" s="310" t="s">
        <v>201</v>
      </c>
      <c r="JSI18" s="310" t="s">
        <v>201</v>
      </c>
      <c r="JSJ18" s="310" t="s">
        <v>201</v>
      </c>
      <c r="JSK18" s="310" t="s">
        <v>201</v>
      </c>
      <c r="JSL18" s="310" t="s">
        <v>201</v>
      </c>
      <c r="JSM18" s="310" t="s">
        <v>201</v>
      </c>
      <c r="JSN18" s="310" t="s">
        <v>201</v>
      </c>
      <c r="JSO18" s="310" t="s">
        <v>201</v>
      </c>
      <c r="JSP18" s="310" t="s">
        <v>201</v>
      </c>
      <c r="JSQ18" s="310" t="s">
        <v>201</v>
      </c>
      <c r="JSR18" s="310" t="s">
        <v>201</v>
      </c>
      <c r="JSS18" s="310" t="s">
        <v>201</v>
      </c>
      <c r="JST18" s="310" t="s">
        <v>201</v>
      </c>
      <c r="JSU18" s="310" t="s">
        <v>201</v>
      </c>
      <c r="JSV18" s="310" t="s">
        <v>201</v>
      </c>
      <c r="JSW18" s="310" t="s">
        <v>201</v>
      </c>
      <c r="JSX18" s="310" t="s">
        <v>201</v>
      </c>
      <c r="JSY18" s="310" t="s">
        <v>201</v>
      </c>
      <c r="JSZ18" s="310" t="s">
        <v>201</v>
      </c>
      <c r="JTA18" s="310" t="s">
        <v>201</v>
      </c>
      <c r="JTB18" s="310" t="s">
        <v>201</v>
      </c>
      <c r="JTC18" s="310" t="s">
        <v>201</v>
      </c>
      <c r="JTD18" s="310" t="s">
        <v>201</v>
      </c>
      <c r="JTE18" s="310" t="s">
        <v>201</v>
      </c>
      <c r="JTF18" s="310" t="s">
        <v>201</v>
      </c>
      <c r="JTG18" s="310" t="s">
        <v>201</v>
      </c>
      <c r="JTH18" s="310" t="s">
        <v>201</v>
      </c>
      <c r="JTI18" s="310" t="s">
        <v>201</v>
      </c>
      <c r="JTJ18" s="310" t="s">
        <v>201</v>
      </c>
      <c r="JTK18" s="310" t="s">
        <v>201</v>
      </c>
      <c r="JTL18" s="310" t="s">
        <v>201</v>
      </c>
      <c r="JTM18" s="310" t="s">
        <v>201</v>
      </c>
      <c r="JTN18" s="310" t="s">
        <v>201</v>
      </c>
      <c r="JTO18" s="310" t="s">
        <v>201</v>
      </c>
      <c r="JTP18" s="310" t="s">
        <v>201</v>
      </c>
      <c r="JTQ18" s="310" t="s">
        <v>201</v>
      </c>
      <c r="JTR18" s="310" t="s">
        <v>201</v>
      </c>
      <c r="JTS18" s="310" t="s">
        <v>201</v>
      </c>
      <c r="JTT18" s="310" t="s">
        <v>201</v>
      </c>
      <c r="JTU18" s="310" t="s">
        <v>201</v>
      </c>
      <c r="JTV18" s="310" t="s">
        <v>201</v>
      </c>
      <c r="JTW18" s="310" t="s">
        <v>201</v>
      </c>
      <c r="JTX18" s="310" t="s">
        <v>201</v>
      </c>
      <c r="JTY18" s="310" t="s">
        <v>201</v>
      </c>
      <c r="JTZ18" s="310" t="s">
        <v>201</v>
      </c>
      <c r="JUA18" s="310" t="s">
        <v>201</v>
      </c>
      <c r="JUB18" s="310" t="s">
        <v>201</v>
      </c>
      <c r="JUC18" s="310" t="s">
        <v>201</v>
      </c>
      <c r="JUD18" s="310" t="s">
        <v>201</v>
      </c>
      <c r="JUE18" s="310" t="s">
        <v>201</v>
      </c>
      <c r="JUF18" s="310" t="s">
        <v>201</v>
      </c>
      <c r="JUG18" s="310" t="s">
        <v>201</v>
      </c>
      <c r="JUH18" s="310" t="s">
        <v>201</v>
      </c>
      <c r="JUI18" s="310" t="s">
        <v>201</v>
      </c>
      <c r="JUJ18" s="310" t="s">
        <v>201</v>
      </c>
      <c r="JUK18" s="310" t="s">
        <v>201</v>
      </c>
      <c r="JUL18" s="310" t="s">
        <v>201</v>
      </c>
      <c r="JUM18" s="310" t="s">
        <v>201</v>
      </c>
      <c r="JUN18" s="310" t="s">
        <v>201</v>
      </c>
      <c r="JUO18" s="310" t="s">
        <v>201</v>
      </c>
      <c r="JUP18" s="310" t="s">
        <v>201</v>
      </c>
      <c r="JUQ18" s="310" t="s">
        <v>201</v>
      </c>
      <c r="JUR18" s="310" t="s">
        <v>201</v>
      </c>
      <c r="JUS18" s="310" t="s">
        <v>201</v>
      </c>
      <c r="JUT18" s="310" t="s">
        <v>201</v>
      </c>
      <c r="JUU18" s="310" t="s">
        <v>201</v>
      </c>
      <c r="JUV18" s="310" t="s">
        <v>201</v>
      </c>
      <c r="JUW18" s="310" t="s">
        <v>201</v>
      </c>
      <c r="JUX18" s="310" t="s">
        <v>201</v>
      </c>
      <c r="JUY18" s="310" t="s">
        <v>201</v>
      </c>
      <c r="JUZ18" s="310" t="s">
        <v>201</v>
      </c>
      <c r="JVA18" s="310" t="s">
        <v>201</v>
      </c>
      <c r="JVB18" s="310" t="s">
        <v>201</v>
      </c>
      <c r="JVC18" s="310" t="s">
        <v>201</v>
      </c>
      <c r="JVD18" s="310" t="s">
        <v>201</v>
      </c>
      <c r="JVE18" s="310" t="s">
        <v>201</v>
      </c>
      <c r="JVF18" s="310" t="s">
        <v>201</v>
      </c>
      <c r="JVG18" s="310" t="s">
        <v>201</v>
      </c>
      <c r="JVH18" s="310" t="s">
        <v>201</v>
      </c>
      <c r="JVI18" s="310" t="s">
        <v>201</v>
      </c>
      <c r="JVJ18" s="310" t="s">
        <v>201</v>
      </c>
      <c r="JVK18" s="310" t="s">
        <v>201</v>
      </c>
      <c r="JVL18" s="310" t="s">
        <v>201</v>
      </c>
      <c r="JVM18" s="310" t="s">
        <v>201</v>
      </c>
      <c r="JVN18" s="310" t="s">
        <v>201</v>
      </c>
      <c r="JVO18" s="310" t="s">
        <v>201</v>
      </c>
      <c r="JVP18" s="310" t="s">
        <v>201</v>
      </c>
      <c r="JVQ18" s="310" t="s">
        <v>201</v>
      </c>
      <c r="JVR18" s="310" t="s">
        <v>201</v>
      </c>
      <c r="JVS18" s="310" t="s">
        <v>201</v>
      </c>
      <c r="JVT18" s="310" t="s">
        <v>201</v>
      </c>
      <c r="JVU18" s="310" t="s">
        <v>201</v>
      </c>
      <c r="JVV18" s="310" t="s">
        <v>201</v>
      </c>
      <c r="JVW18" s="310" t="s">
        <v>201</v>
      </c>
      <c r="JVX18" s="310" t="s">
        <v>201</v>
      </c>
      <c r="JVY18" s="310" t="s">
        <v>201</v>
      </c>
      <c r="JVZ18" s="310" t="s">
        <v>201</v>
      </c>
      <c r="JWA18" s="310" t="s">
        <v>201</v>
      </c>
      <c r="JWB18" s="310" t="s">
        <v>201</v>
      </c>
      <c r="JWC18" s="310" t="s">
        <v>201</v>
      </c>
      <c r="JWD18" s="310" t="s">
        <v>201</v>
      </c>
      <c r="JWE18" s="310" t="s">
        <v>201</v>
      </c>
      <c r="JWF18" s="310" t="s">
        <v>201</v>
      </c>
      <c r="JWG18" s="310" t="s">
        <v>201</v>
      </c>
      <c r="JWH18" s="310" t="s">
        <v>201</v>
      </c>
      <c r="JWI18" s="310" t="s">
        <v>201</v>
      </c>
      <c r="JWJ18" s="310" t="s">
        <v>201</v>
      </c>
      <c r="JWK18" s="310" t="s">
        <v>201</v>
      </c>
      <c r="JWL18" s="310" t="s">
        <v>201</v>
      </c>
      <c r="JWM18" s="310" t="s">
        <v>201</v>
      </c>
      <c r="JWN18" s="310" t="s">
        <v>201</v>
      </c>
      <c r="JWO18" s="310" t="s">
        <v>201</v>
      </c>
      <c r="JWP18" s="310" t="s">
        <v>201</v>
      </c>
      <c r="JWQ18" s="310" t="s">
        <v>201</v>
      </c>
      <c r="JWR18" s="310" t="s">
        <v>201</v>
      </c>
      <c r="JWS18" s="310" t="s">
        <v>201</v>
      </c>
      <c r="JWT18" s="310" t="s">
        <v>201</v>
      </c>
      <c r="JWU18" s="310" t="s">
        <v>201</v>
      </c>
      <c r="JWV18" s="310" t="s">
        <v>201</v>
      </c>
      <c r="JWW18" s="310" t="s">
        <v>201</v>
      </c>
      <c r="JWX18" s="310" t="s">
        <v>201</v>
      </c>
      <c r="JWY18" s="310" t="s">
        <v>201</v>
      </c>
      <c r="JWZ18" s="310" t="s">
        <v>201</v>
      </c>
      <c r="JXA18" s="310" t="s">
        <v>201</v>
      </c>
      <c r="JXB18" s="310" t="s">
        <v>201</v>
      </c>
      <c r="JXC18" s="310" t="s">
        <v>201</v>
      </c>
      <c r="JXD18" s="310" t="s">
        <v>201</v>
      </c>
      <c r="JXE18" s="310" t="s">
        <v>201</v>
      </c>
      <c r="JXF18" s="310" t="s">
        <v>201</v>
      </c>
      <c r="JXG18" s="310" t="s">
        <v>201</v>
      </c>
      <c r="JXH18" s="310" t="s">
        <v>201</v>
      </c>
      <c r="JXI18" s="310" t="s">
        <v>201</v>
      </c>
      <c r="JXJ18" s="310" t="s">
        <v>201</v>
      </c>
      <c r="JXK18" s="310" t="s">
        <v>201</v>
      </c>
      <c r="JXL18" s="310" t="s">
        <v>201</v>
      </c>
      <c r="JXM18" s="310" t="s">
        <v>201</v>
      </c>
      <c r="JXN18" s="310" t="s">
        <v>201</v>
      </c>
      <c r="JXO18" s="310" t="s">
        <v>201</v>
      </c>
      <c r="JXP18" s="310" t="s">
        <v>201</v>
      </c>
      <c r="JXQ18" s="310" t="s">
        <v>201</v>
      </c>
      <c r="JXR18" s="310" t="s">
        <v>201</v>
      </c>
      <c r="JXS18" s="310" t="s">
        <v>201</v>
      </c>
      <c r="JXT18" s="310" t="s">
        <v>201</v>
      </c>
      <c r="JXU18" s="310" t="s">
        <v>201</v>
      </c>
      <c r="JXV18" s="310" t="s">
        <v>201</v>
      </c>
      <c r="JXW18" s="310" t="s">
        <v>201</v>
      </c>
      <c r="JXX18" s="310" t="s">
        <v>201</v>
      </c>
      <c r="JXY18" s="310" t="s">
        <v>201</v>
      </c>
      <c r="JXZ18" s="310" t="s">
        <v>201</v>
      </c>
      <c r="JYA18" s="310" t="s">
        <v>201</v>
      </c>
      <c r="JYB18" s="310" t="s">
        <v>201</v>
      </c>
      <c r="JYC18" s="310" t="s">
        <v>201</v>
      </c>
      <c r="JYD18" s="310" t="s">
        <v>201</v>
      </c>
      <c r="JYE18" s="310" t="s">
        <v>201</v>
      </c>
      <c r="JYF18" s="310" t="s">
        <v>201</v>
      </c>
      <c r="JYG18" s="310" t="s">
        <v>201</v>
      </c>
      <c r="JYH18" s="310" t="s">
        <v>201</v>
      </c>
      <c r="JYI18" s="310" t="s">
        <v>201</v>
      </c>
      <c r="JYJ18" s="310" t="s">
        <v>201</v>
      </c>
      <c r="JYK18" s="310" t="s">
        <v>201</v>
      </c>
      <c r="JYL18" s="310" t="s">
        <v>201</v>
      </c>
      <c r="JYM18" s="310" t="s">
        <v>201</v>
      </c>
      <c r="JYN18" s="310" t="s">
        <v>201</v>
      </c>
      <c r="JYO18" s="310" t="s">
        <v>201</v>
      </c>
      <c r="JYP18" s="310" t="s">
        <v>201</v>
      </c>
      <c r="JYQ18" s="310" t="s">
        <v>201</v>
      </c>
      <c r="JYR18" s="310" t="s">
        <v>201</v>
      </c>
      <c r="JYS18" s="310" t="s">
        <v>201</v>
      </c>
      <c r="JYT18" s="310" t="s">
        <v>201</v>
      </c>
      <c r="JYU18" s="310" t="s">
        <v>201</v>
      </c>
      <c r="JYV18" s="310" t="s">
        <v>201</v>
      </c>
      <c r="JYW18" s="310" t="s">
        <v>201</v>
      </c>
      <c r="JYX18" s="310" t="s">
        <v>201</v>
      </c>
      <c r="JYY18" s="310" t="s">
        <v>201</v>
      </c>
      <c r="JYZ18" s="310" t="s">
        <v>201</v>
      </c>
      <c r="JZA18" s="310" t="s">
        <v>201</v>
      </c>
      <c r="JZB18" s="310" t="s">
        <v>201</v>
      </c>
      <c r="JZC18" s="310" t="s">
        <v>201</v>
      </c>
      <c r="JZD18" s="310" t="s">
        <v>201</v>
      </c>
      <c r="JZE18" s="310" t="s">
        <v>201</v>
      </c>
      <c r="JZF18" s="310" t="s">
        <v>201</v>
      </c>
      <c r="JZG18" s="310" t="s">
        <v>201</v>
      </c>
      <c r="JZH18" s="310" t="s">
        <v>201</v>
      </c>
      <c r="JZI18" s="310" t="s">
        <v>201</v>
      </c>
      <c r="JZJ18" s="310" t="s">
        <v>201</v>
      </c>
      <c r="JZK18" s="310" t="s">
        <v>201</v>
      </c>
      <c r="JZL18" s="310" t="s">
        <v>201</v>
      </c>
      <c r="JZM18" s="310" t="s">
        <v>201</v>
      </c>
      <c r="JZN18" s="310" t="s">
        <v>201</v>
      </c>
      <c r="JZO18" s="310" t="s">
        <v>201</v>
      </c>
      <c r="JZP18" s="310" t="s">
        <v>201</v>
      </c>
      <c r="JZQ18" s="310" t="s">
        <v>201</v>
      </c>
      <c r="JZR18" s="310" t="s">
        <v>201</v>
      </c>
      <c r="JZS18" s="310" t="s">
        <v>201</v>
      </c>
      <c r="JZT18" s="310" t="s">
        <v>201</v>
      </c>
      <c r="JZU18" s="310" t="s">
        <v>201</v>
      </c>
      <c r="JZV18" s="310" t="s">
        <v>201</v>
      </c>
      <c r="JZW18" s="310" t="s">
        <v>201</v>
      </c>
      <c r="JZX18" s="310" t="s">
        <v>201</v>
      </c>
      <c r="JZY18" s="310" t="s">
        <v>201</v>
      </c>
      <c r="JZZ18" s="310" t="s">
        <v>201</v>
      </c>
      <c r="KAA18" s="310" t="s">
        <v>201</v>
      </c>
      <c r="KAB18" s="310" t="s">
        <v>201</v>
      </c>
      <c r="KAC18" s="310" t="s">
        <v>201</v>
      </c>
      <c r="KAD18" s="310" t="s">
        <v>201</v>
      </c>
      <c r="KAE18" s="310" t="s">
        <v>201</v>
      </c>
      <c r="KAF18" s="310" t="s">
        <v>201</v>
      </c>
      <c r="KAG18" s="310" t="s">
        <v>201</v>
      </c>
      <c r="KAH18" s="310" t="s">
        <v>201</v>
      </c>
      <c r="KAI18" s="310" t="s">
        <v>201</v>
      </c>
      <c r="KAJ18" s="310" t="s">
        <v>201</v>
      </c>
      <c r="KAK18" s="310" t="s">
        <v>201</v>
      </c>
      <c r="KAL18" s="310" t="s">
        <v>201</v>
      </c>
      <c r="KAM18" s="310" t="s">
        <v>201</v>
      </c>
      <c r="KAN18" s="310" t="s">
        <v>201</v>
      </c>
      <c r="KAO18" s="310" t="s">
        <v>201</v>
      </c>
      <c r="KAP18" s="310" t="s">
        <v>201</v>
      </c>
      <c r="KAQ18" s="310" t="s">
        <v>201</v>
      </c>
      <c r="KAR18" s="310" t="s">
        <v>201</v>
      </c>
      <c r="KAS18" s="310" t="s">
        <v>201</v>
      </c>
      <c r="KAT18" s="310" t="s">
        <v>201</v>
      </c>
      <c r="KAU18" s="310" t="s">
        <v>201</v>
      </c>
      <c r="KAV18" s="310" t="s">
        <v>201</v>
      </c>
      <c r="KAW18" s="310" t="s">
        <v>201</v>
      </c>
      <c r="KAX18" s="310" t="s">
        <v>201</v>
      </c>
      <c r="KAY18" s="310" t="s">
        <v>201</v>
      </c>
      <c r="KAZ18" s="310" t="s">
        <v>201</v>
      </c>
      <c r="KBA18" s="310" t="s">
        <v>201</v>
      </c>
      <c r="KBB18" s="310" t="s">
        <v>201</v>
      </c>
      <c r="KBC18" s="310" t="s">
        <v>201</v>
      </c>
      <c r="KBD18" s="310" t="s">
        <v>201</v>
      </c>
      <c r="KBE18" s="310" t="s">
        <v>201</v>
      </c>
      <c r="KBF18" s="310" t="s">
        <v>201</v>
      </c>
      <c r="KBG18" s="310" t="s">
        <v>201</v>
      </c>
      <c r="KBH18" s="310" t="s">
        <v>201</v>
      </c>
      <c r="KBI18" s="310" t="s">
        <v>201</v>
      </c>
      <c r="KBJ18" s="310" t="s">
        <v>201</v>
      </c>
      <c r="KBK18" s="310" t="s">
        <v>201</v>
      </c>
      <c r="KBL18" s="310" t="s">
        <v>201</v>
      </c>
      <c r="KBM18" s="310" t="s">
        <v>201</v>
      </c>
      <c r="KBN18" s="310" t="s">
        <v>201</v>
      </c>
      <c r="KBO18" s="310" t="s">
        <v>201</v>
      </c>
      <c r="KBP18" s="310" t="s">
        <v>201</v>
      </c>
      <c r="KBQ18" s="310" t="s">
        <v>201</v>
      </c>
      <c r="KBR18" s="310" t="s">
        <v>201</v>
      </c>
      <c r="KBS18" s="310" t="s">
        <v>201</v>
      </c>
      <c r="KBT18" s="310" t="s">
        <v>201</v>
      </c>
      <c r="KBU18" s="310" t="s">
        <v>201</v>
      </c>
      <c r="KBV18" s="310" t="s">
        <v>201</v>
      </c>
      <c r="KBW18" s="310" t="s">
        <v>201</v>
      </c>
      <c r="KBX18" s="310" t="s">
        <v>201</v>
      </c>
      <c r="KBY18" s="310" t="s">
        <v>201</v>
      </c>
      <c r="KBZ18" s="310" t="s">
        <v>201</v>
      </c>
      <c r="KCA18" s="310" t="s">
        <v>201</v>
      </c>
      <c r="KCB18" s="310" t="s">
        <v>201</v>
      </c>
      <c r="KCC18" s="310" t="s">
        <v>201</v>
      </c>
      <c r="KCD18" s="310" t="s">
        <v>201</v>
      </c>
      <c r="KCE18" s="310" t="s">
        <v>201</v>
      </c>
      <c r="KCF18" s="310" t="s">
        <v>201</v>
      </c>
      <c r="KCG18" s="310" t="s">
        <v>201</v>
      </c>
      <c r="KCH18" s="310" t="s">
        <v>201</v>
      </c>
      <c r="KCI18" s="310" t="s">
        <v>201</v>
      </c>
      <c r="KCJ18" s="310" t="s">
        <v>201</v>
      </c>
      <c r="KCK18" s="310" t="s">
        <v>201</v>
      </c>
      <c r="KCL18" s="310" t="s">
        <v>201</v>
      </c>
      <c r="KCM18" s="310" t="s">
        <v>201</v>
      </c>
      <c r="KCN18" s="310" t="s">
        <v>201</v>
      </c>
      <c r="KCO18" s="310" t="s">
        <v>201</v>
      </c>
      <c r="KCP18" s="310" t="s">
        <v>201</v>
      </c>
      <c r="KCQ18" s="310" t="s">
        <v>201</v>
      </c>
      <c r="KCR18" s="310" t="s">
        <v>201</v>
      </c>
      <c r="KCS18" s="310" t="s">
        <v>201</v>
      </c>
      <c r="KCT18" s="310" t="s">
        <v>201</v>
      </c>
      <c r="KCU18" s="310" t="s">
        <v>201</v>
      </c>
      <c r="KCV18" s="310" t="s">
        <v>201</v>
      </c>
      <c r="KCW18" s="310" t="s">
        <v>201</v>
      </c>
      <c r="KCX18" s="310" t="s">
        <v>201</v>
      </c>
      <c r="KCY18" s="310" t="s">
        <v>201</v>
      </c>
      <c r="KCZ18" s="310" t="s">
        <v>201</v>
      </c>
      <c r="KDA18" s="310" t="s">
        <v>201</v>
      </c>
      <c r="KDB18" s="310" t="s">
        <v>201</v>
      </c>
      <c r="KDC18" s="310" t="s">
        <v>201</v>
      </c>
      <c r="KDD18" s="310" t="s">
        <v>201</v>
      </c>
      <c r="KDE18" s="310" t="s">
        <v>201</v>
      </c>
      <c r="KDF18" s="310" t="s">
        <v>201</v>
      </c>
      <c r="KDG18" s="310" t="s">
        <v>201</v>
      </c>
      <c r="KDH18" s="310" t="s">
        <v>201</v>
      </c>
      <c r="KDI18" s="310" t="s">
        <v>201</v>
      </c>
      <c r="KDJ18" s="310" t="s">
        <v>201</v>
      </c>
      <c r="KDK18" s="310" t="s">
        <v>201</v>
      </c>
      <c r="KDL18" s="310" t="s">
        <v>201</v>
      </c>
      <c r="KDM18" s="310" t="s">
        <v>201</v>
      </c>
      <c r="KDN18" s="310" t="s">
        <v>201</v>
      </c>
      <c r="KDO18" s="310" t="s">
        <v>201</v>
      </c>
      <c r="KDP18" s="310" t="s">
        <v>201</v>
      </c>
      <c r="KDQ18" s="310" t="s">
        <v>201</v>
      </c>
      <c r="KDR18" s="310" t="s">
        <v>201</v>
      </c>
      <c r="KDS18" s="310" t="s">
        <v>201</v>
      </c>
      <c r="KDT18" s="310" t="s">
        <v>201</v>
      </c>
      <c r="KDU18" s="310" t="s">
        <v>201</v>
      </c>
      <c r="KDV18" s="310" t="s">
        <v>201</v>
      </c>
      <c r="KDW18" s="310" t="s">
        <v>201</v>
      </c>
      <c r="KDX18" s="310" t="s">
        <v>201</v>
      </c>
      <c r="KDY18" s="310" t="s">
        <v>201</v>
      </c>
      <c r="KDZ18" s="310" t="s">
        <v>201</v>
      </c>
      <c r="KEA18" s="310" t="s">
        <v>201</v>
      </c>
      <c r="KEB18" s="310" t="s">
        <v>201</v>
      </c>
      <c r="KEC18" s="310" t="s">
        <v>201</v>
      </c>
      <c r="KED18" s="310" t="s">
        <v>201</v>
      </c>
      <c r="KEE18" s="310" t="s">
        <v>201</v>
      </c>
      <c r="KEF18" s="310" t="s">
        <v>201</v>
      </c>
      <c r="KEG18" s="310" t="s">
        <v>201</v>
      </c>
      <c r="KEH18" s="310" t="s">
        <v>201</v>
      </c>
      <c r="KEI18" s="310" t="s">
        <v>201</v>
      </c>
      <c r="KEJ18" s="310" t="s">
        <v>201</v>
      </c>
      <c r="KEK18" s="310" t="s">
        <v>201</v>
      </c>
      <c r="KEL18" s="310" t="s">
        <v>201</v>
      </c>
      <c r="KEM18" s="310" t="s">
        <v>201</v>
      </c>
      <c r="KEN18" s="310" t="s">
        <v>201</v>
      </c>
      <c r="KEO18" s="310" t="s">
        <v>201</v>
      </c>
      <c r="KEP18" s="310" t="s">
        <v>201</v>
      </c>
      <c r="KEQ18" s="310" t="s">
        <v>201</v>
      </c>
      <c r="KER18" s="310" t="s">
        <v>201</v>
      </c>
      <c r="KES18" s="310" t="s">
        <v>201</v>
      </c>
      <c r="KET18" s="310" t="s">
        <v>201</v>
      </c>
      <c r="KEU18" s="310" t="s">
        <v>201</v>
      </c>
      <c r="KEV18" s="310" t="s">
        <v>201</v>
      </c>
      <c r="KEW18" s="310" t="s">
        <v>201</v>
      </c>
      <c r="KEX18" s="310" t="s">
        <v>201</v>
      </c>
      <c r="KEY18" s="310" t="s">
        <v>201</v>
      </c>
      <c r="KEZ18" s="310" t="s">
        <v>201</v>
      </c>
      <c r="KFA18" s="310" t="s">
        <v>201</v>
      </c>
      <c r="KFB18" s="310" t="s">
        <v>201</v>
      </c>
      <c r="KFC18" s="310" t="s">
        <v>201</v>
      </c>
      <c r="KFD18" s="310" t="s">
        <v>201</v>
      </c>
      <c r="KFE18" s="310" t="s">
        <v>201</v>
      </c>
      <c r="KFF18" s="310" t="s">
        <v>201</v>
      </c>
      <c r="KFG18" s="310" t="s">
        <v>201</v>
      </c>
      <c r="KFH18" s="310" t="s">
        <v>201</v>
      </c>
      <c r="KFI18" s="310" t="s">
        <v>201</v>
      </c>
      <c r="KFJ18" s="310" t="s">
        <v>201</v>
      </c>
      <c r="KFK18" s="310" t="s">
        <v>201</v>
      </c>
      <c r="KFL18" s="310" t="s">
        <v>201</v>
      </c>
      <c r="KFM18" s="310" t="s">
        <v>201</v>
      </c>
      <c r="KFN18" s="310" t="s">
        <v>201</v>
      </c>
      <c r="KFO18" s="310" t="s">
        <v>201</v>
      </c>
      <c r="KFP18" s="310" t="s">
        <v>201</v>
      </c>
      <c r="KFQ18" s="310" t="s">
        <v>201</v>
      </c>
      <c r="KFR18" s="310" t="s">
        <v>201</v>
      </c>
      <c r="KFS18" s="310" t="s">
        <v>201</v>
      </c>
      <c r="KFT18" s="310" t="s">
        <v>201</v>
      </c>
      <c r="KFU18" s="310" t="s">
        <v>201</v>
      </c>
      <c r="KFV18" s="310" t="s">
        <v>201</v>
      </c>
      <c r="KFW18" s="310" t="s">
        <v>201</v>
      </c>
      <c r="KFX18" s="310" t="s">
        <v>201</v>
      </c>
      <c r="KFY18" s="310" t="s">
        <v>201</v>
      </c>
      <c r="KFZ18" s="310" t="s">
        <v>201</v>
      </c>
      <c r="KGA18" s="310" t="s">
        <v>201</v>
      </c>
      <c r="KGB18" s="310" t="s">
        <v>201</v>
      </c>
      <c r="KGC18" s="310" t="s">
        <v>201</v>
      </c>
      <c r="KGD18" s="310" t="s">
        <v>201</v>
      </c>
      <c r="KGE18" s="310" t="s">
        <v>201</v>
      </c>
      <c r="KGF18" s="310" t="s">
        <v>201</v>
      </c>
      <c r="KGG18" s="310" t="s">
        <v>201</v>
      </c>
      <c r="KGH18" s="310" t="s">
        <v>201</v>
      </c>
      <c r="KGI18" s="310" t="s">
        <v>201</v>
      </c>
      <c r="KGJ18" s="310" t="s">
        <v>201</v>
      </c>
      <c r="KGK18" s="310" t="s">
        <v>201</v>
      </c>
      <c r="KGL18" s="310" t="s">
        <v>201</v>
      </c>
      <c r="KGM18" s="310" t="s">
        <v>201</v>
      </c>
      <c r="KGN18" s="310" t="s">
        <v>201</v>
      </c>
      <c r="KGO18" s="310" t="s">
        <v>201</v>
      </c>
      <c r="KGP18" s="310" t="s">
        <v>201</v>
      </c>
      <c r="KGQ18" s="310" t="s">
        <v>201</v>
      </c>
      <c r="KGR18" s="310" t="s">
        <v>201</v>
      </c>
      <c r="KGS18" s="310" t="s">
        <v>201</v>
      </c>
      <c r="KGT18" s="310" t="s">
        <v>201</v>
      </c>
      <c r="KGU18" s="310" t="s">
        <v>201</v>
      </c>
      <c r="KGV18" s="310" t="s">
        <v>201</v>
      </c>
      <c r="KGW18" s="310" t="s">
        <v>201</v>
      </c>
      <c r="KGX18" s="310" t="s">
        <v>201</v>
      </c>
      <c r="KGY18" s="310" t="s">
        <v>201</v>
      </c>
      <c r="KGZ18" s="310" t="s">
        <v>201</v>
      </c>
      <c r="KHA18" s="310" t="s">
        <v>201</v>
      </c>
      <c r="KHB18" s="310" t="s">
        <v>201</v>
      </c>
      <c r="KHC18" s="310" t="s">
        <v>201</v>
      </c>
      <c r="KHD18" s="310" t="s">
        <v>201</v>
      </c>
      <c r="KHE18" s="310" t="s">
        <v>201</v>
      </c>
      <c r="KHF18" s="310" t="s">
        <v>201</v>
      </c>
      <c r="KHG18" s="310" t="s">
        <v>201</v>
      </c>
      <c r="KHH18" s="310" t="s">
        <v>201</v>
      </c>
      <c r="KHI18" s="310" t="s">
        <v>201</v>
      </c>
      <c r="KHJ18" s="310" t="s">
        <v>201</v>
      </c>
      <c r="KHK18" s="310" t="s">
        <v>201</v>
      </c>
      <c r="KHL18" s="310" t="s">
        <v>201</v>
      </c>
      <c r="KHM18" s="310" t="s">
        <v>201</v>
      </c>
      <c r="KHN18" s="310" t="s">
        <v>201</v>
      </c>
      <c r="KHO18" s="310" t="s">
        <v>201</v>
      </c>
      <c r="KHP18" s="310" t="s">
        <v>201</v>
      </c>
      <c r="KHQ18" s="310" t="s">
        <v>201</v>
      </c>
      <c r="KHR18" s="310" t="s">
        <v>201</v>
      </c>
      <c r="KHS18" s="310" t="s">
        <v>201</v>
      </c>
      <c r="KHT18" s="310" t="s">
        <v>201</v>
      </c>
      <c r="KHU18" s="310" t="s">
        <v>201</v>
      </c>
      <c r="KHV18" s="310" t="s">
        <v>201</v>
      </c>
      <c r="KHW18" s="310" t="s">
        <v>201</v>
      </c>
      <c r="KHX18" s="310" t="s">
        <v>201</v>
      </c>
      <c r="KHY18" s="310" t="s">
        <v>201</v>
      </c>
      <c r="KHZ18" s="310" t="s">
        <v>201</v>
      </c>
      <c r="KIA18" s="310" t="s">
        <v>201</v>
      </c>
      <c r="KIB18" s="310" t="s">
        <v>201</v>
      </c>
      <c r="KIC18" s="310" t="s">
        <v>201</v>
      </c>
      <c r="KID18" s="310" t="s">
        <v>201</v>
      </c>
      <c r="KIE18" s="310" t="s">
        <v>201</v>
      </c>
      <c r="KIF18" s="310" t="s">
        <v>201</v>
      </c>
      <c r="KIG18" s="310" t="s">
        <v>201</v>
      </c>
      <c r="KIH18" s="310" t="s">
        <v>201</v>
      </c>
      <c r="KII18" s="310" t="s">
        <v>201</v>
      </c>
      <c r="KIJ18" s="310" t="s">
        <v>201</v>
      </c>
      <c r="KIK18" s="310" t="s">
        <v>201</v>
      </c>
      <c r="KIL18" s="310" t="s">
        <v>201</v>
      </c>
      <c r="KIM18" s="310" t="s">
        <v>201</v>
      </c>
      <c r="KIN18" s="310" t="s">
        <v>201</v>
      </c>
      <c r="KIO18" s="310" t="s">
        <v>201</v>
      </c>
      <c r="KIP18" s="310" t="s">
        <v>201</v>
      </c>
      <c r="KIQ18" s="310" t="s">
        <v>201</v>
      </c>
      <c r="KIR18" s="310" t="s">
        <v>201</v>
      </c>
      <c r="KIS18" s="310" t="s">
        <v>201</v>
      </c>
      <c r="KIT18" s="310" t="s">
        <v>201</v>
      </c>
      <c r="KIU18" s="310" t="s">
        <v>201</v>
      </c>
      <c r="KIV18" s="310" t="s">
        <v>201</v>
      </c>
      <c r="KIW18" s="310" t="s">
        <v>201</v>
      </c>
      <c r="KIX18" s="310" t="s">
        <v>201</v>
      </c>
      <c r="KIY18" s="310" t="s">
        <v>201</v>
      </c>
      <c r="KIZ18" s="310" t="s">
        <v>201</v>
      </c>
      <c r="KJA18" s="310" t="s">
        <v>201</v>
      </c>
      <c r="KJB18" s="310" t="s">
        <v>201</v>
      </c>
      <c r="KJC18" s="310" t="s">
        <v>201</v>
      </c>
      <c r="KJD18" s="310" t="s">
        <v>201</v>
      </c>
      <c r="KJE18" s="310" t="s">
        <v>201</v>
      </c>
      <c r="KJF18" s="310" t="s">
        <v>201</v>
      </c>
      <c r="KJG18" s="310" t="s">
        <v>201</v>
      </c>
      <c r="KJH18" s="310" t="s">
        <v>201</v>
      </c>
      <c r="KJI18" s="310" t="s">
        <v>201</v>
      </c>
      <c r="KJJ18" s="310" t="s">
        <v>201</v>
      </c>
      <c r="KJK18" s="310" t="s">
        <v>201</v>
      </c>
      <c r="KJL18" s="310" t="s">
        <v>201</v>
      </c>
      <c r="KJM18" s="310" t="s">
        <v>201</v>
      </c>
      <c r="KJN18" s="310" t="s">
        <v>201</v>
      </c>
      <c r="KJO18" s="310" t="s">
        <v>201</v>
      </c>
      <c r="KJP18" s="310" t="s">
        <v>201</v>
      </c>
      <c r="KJQ18" s="310" t="s">
        <v>201</v>
      </c>
      <c r="KJR18" s="310" t="s">
        <v>201</v>
      </c>
      <c r="KJS18" s="310" t="s">
        <v>201</v>
      </c>
      <c r="KJT18" s="310" t="s">
        <v>201</v>
      </c>
      <c r="KJU18" s="310" t="s">
        <v>201</v>
      </c>
      <c r="KJV18" s="310" t="s">
        <v>201</v>
      </c>
      <c r="KJW18" s="310" t="s">
        <v>201</v>
      </c>
      <c r="KJX18" s="310" t="s">
        <v>201</v>
      </c>
      <c r="KJY18" s="310" t="s">
        <v>201</v>
      </c>
      <c r="KJZ18" s="310" t="s">
        <v>201</v>
      </c>
      <c r="KKA18" s="310" t="s">
        <v>201</v>
      </c>
      <c r="KKB18" s="310" t="s">
        <v>201</v>
      </c>
      <c r="KKC18" s="310" t="s">
        <v>201</v>
      </c>
      <c r="KKD18" s="310" t="s">
        <v>201</v>
      </c>
      <c r="KKE18" s="310" t="s">
        <v>201</v>
      </c>
      <c r="KKF18" s="310" t="s">
        <v>201</v>
      </c>
      <c r="KKG18" s="310" t="s">
        <v>201</v>
      </c>
      <c r="KKH18" s="310" t="s">
        <v>201</v>
      </c>
      <c r="KKI18" s="310" t="s">
        <v>201</v>
      </c>
      <c r="KKJ18" s="310" t="s">
        <v>201</v>
      </c>
      <c r="KKK18" s="310" t="s">
        <v>201</v>
      </c>
      <c r="KKL18" s="310" t="s">
        <v>201</v>
      </c>
      <c r="KKM18" s="310" t="s">
        <v>201</v>
      </c>
      <c r="KKN18" s="310" t="s">
        <v>201</v>
      </c>
      <c r="KKO18" s="310" t="s">
        <v>201</v>
      </c>
      <c r="KKP18" s="310" t="s">
        <v>201</v>
      </c>
      <c r="KKQ18" s="310" t="s">
        <v>201</v>
      </c>
      <c r="KKR18" s="310" t="s">
        <v>201</v>
      </c>
      <c r="KKS18" s="310" t="s">
        <v>201</v>
      </c>
      <c r="KKT18" s="310" t="s">
        <v>201</v>
      </c>
      <c r="KKU18" s="310" t="s">
        <v>201</v>
      </c>
      <c r="KKV18" s="310" t="s">
        <v>201</v>
      </c>
      <c r="KKW18" s="310" t="s">
        <v>201</v>
      </c>
      <c r="KKX18" s="310" t="s">
        <v>201</v>
      </c>
      <c r="KKY18" s="310" t="s">
        <v>201</v>
      </c>
      <c r="KKZ18" s="310" t="s">
        <v>201</v>
      </c>
      <c r="KLA18" s="310" t="s">
        <v>201</v>
      </c>
      <c r="KLB18" s="310" t="s">
        <v>201</v>
      </c>
      <c r="KLC18" s="310" t="s">
        <v>201</v>
      </c>
      <c r="KLD18" s="310" t="s">
        <v>201</v>
      </c>
      <c r="KLE18" s="310" t="s">
        <v>201</v>
      </c>
      <c r="KLF18" s="310" t="s">
        <v>201</v>
      </c>
      <c r="KLG18" s="310" t="s">
        <v>201</v>
      </c>
      <c r="KLH18" s="310" t="s">
        <v>201</v>
      </c>
      <c r="KLI18" s="310" t="s">
        <v>201</v>
      </c>
      <c r="KLJ18" s="310" t="s">
        <v>201</v>
      </c>
      <c r="KLK18" s="310" t="s">
        <v>201</v>
      </c>
      <c r="KLL18" s="310" t="s">
        <v>201</v>
      </c>
      <c r="KLM18" s="310" t="s">
        <v>201</v>
      </c>
      <c r="KLN18" s="310" t="s">
        <v>201</v>
      </c>
      <c r="KLO18" s="310" t="s">
        <v>201</v>
      </c>
      <c r="KLP18" s="310" t="s">
        <v>201</v>
      </c>
      <c r="KLQ18" s="310" t="s">
        <v>201</v>
      </c>
      <c r="KLR18" s="310" t="s">
        <v>201</v>
      </c>
      <c r="KLS18" s="310" t="s">
        <v>201</v>
      </c>
      <c r="KLT18" s="310" t="s">
        <v>201</v>
      </c>
      <c r="KLU18" s="310" t="s">
        <v>201</v>
      </c>
      <c r="KLV18" s="310" t="s">
        <v>201</v>
      </c>
      <c r="KLW18" s="310" t="s">
        <v>201</v>
      </c>
      <c r="KLX18" s="310" t="s">
        <v>201</v>
      </c>
      <c r="KLY18" s="310" t="s">
        <v>201</v>
      </c>
      <c r="KLZ18" s="310" t="s">
        <v>201</v>
      </c>
      <c r="KMA18" s="310" t="s">
        <v>201</v>
      </c>
      <c r="KMB18" s="310" t="s">
        <v>201</v>
      </c>
      <c r="KMC18" s="310" t="s">
        <v>201</v>
      </c>
      <c r="KMD18" s="310" t="s">
        <v>201</v>
      </c>
      <c r="KME18" s="310" t="s">
        <v>201</v>
      </c>
      <c r="KMF18" s="310" t="s">
        <v>201</v>
      </c>
      <c r="KMG18" s="310" t="s">
        <v>201</v>
      </c>
      <c r="KMH18" s="310" t="s">
        <v>201</v>
      </c>
      <c r="KMI18" s="310" t="s">
        <v>201</v>
      </c>
      <c r="KMJ18" s="310" t="s">
        <v>201</v>
      </c>
      <c r="KMK18" s="310" t="s">
        <v>201</v>
      </c>
      <c r="KML18" s="310" t="s">
        <v>201</v>
      </c>
      <c r="KMM18" s="310" t="s">
        <v>201</v>
      </c>
      <c r="KMN18" s="310" t="s">
        <v>201</v>
      </c>
      <c r="KMO18" s="310" t="s">
        <v>201</v>
      </c>
      <c r="KMP18" s="310" t="s">
        <v>201</v>
      </c>
      <c r="KMQ18" s="310" t="s">
        <v>201</v>
      </c>
      <c r="KMR18" s="310" t="s">
        <v>201</v>
      </c>
      <c r="KMS18" s="310" t="s">
        <v>201</v>
      </c>
      <c r="KMT18" s="310" t="s">
        <v>201</v>
      </c>
      <c r="KMU18" s="310" t="s">
        <v>201</v>
      </c>
      <c r="KMV18" s="310" t="s">
        <v>201</v>
      </c>
      <c r="KMW18" s="310" t="s">
        <v>201</v>
      </c>
      <c r="KMX18" s="310" t="s">
        <v>201</v>
      </c>
      <c r="KMY18" s="310" t="s">
        <v>201</v>
      </c>
      <c r="KMZ18" s="310" t="s">
        <v>201</v>
      </c>
      <c r="KNA18" s="310" t="s">
        <v>201</v>
      </c>
      <c r="KNB18" s="310" t="s">
        <v>201</v>
      </c>
      <c r="KNC18" s="310" t="s">
        <v>201</v>
      </c>
      <c r="KND18" s="310" t="s">
        <v>201</v>
      </c>
      <c r="KNE18" s="310" t="s">
        <v>201</v>
      </c>
      <c r="KNF18" s="310" t="s">
        <v>201</v>
      </c>
      <c r="KNG18" s="310" t="s">
        <v>201</v>
      </c>
      <c r="KNH18" s="310" t="s">
        <v>201</v>
      </c>
      <c r="KNI18" s="310" t="s">
        <v>201</v>
      </c>
      <c r="KNJ18" s="310" t="s">
        <v>201</v>
      </c>
      <c r="KNK18" s="310" t="s">
        <v>201</v>
      </c>
      <c r="KNL18" s="310" t="s">
        <v>201</v>
      </c>
      <c r="KNM18" s="310" t="s">
        <v>201</v>
      </c>
      <c r="KNN18" s="310" t="s">
        <v>201</v>
      </c>
      <c r="KNO18" s="310" t="s">
        <v>201</v>
      </c>
      <c r="KNP18" s="310" t="s">
        <v>201</v>
      </c>
      <c r="KNQ18" s="310" t="s">
        <v>201</v>
      </c>
      <c r="KNR18" s="310" t="s">
        <v>201</v>
      </c>
      <c r="KNS18" s="310" t="s">
        <v>201</v>
      </c>
      <c r="KNT18" s="310" t="s">
        <v>201</v>
      </c>
      <c r="KNU18" s="310" t="s">
        <v>201</v>
      </c>
      <c r="KNV18" s="310" t="s">
        <v>201</v>
      </c>
      <c r="KNW18" s="310" t="s">
        <v>201</v>
      </c>
      <c r="KNX18" s="310" t="s">
        <v>201</v>
      </c>
      <c r="KNY18" s="310" t="s">
        <v>201</v>
      </c>
      <c r="KNZ18" s="310" t="s">
        <v>201</v>
      </c>
      <c r="KOA18" s="310" t="s">
        <v>201</v>
      </c>
      <c r="KOB18" s="310" t="s">
        <v>201</v>
      </c>
      <c r="KOC18" s="310" t="s">
        <v>201</v>
      </c>
      <c r="KOD18" s="310" t="s">
        <v>201</v>
      </c>
      <c r="KOE18" s="310" t="s">
        <v>201</v>
      </c>
      <c r="KOF18" s="310" t="s">
        <v>201</v>
      </c>
      <c r="KOG18" s="310" t="s">
        <v>201</v>
      </c>
      <c r="KOH18" s="310" t="s">
        <v>201</v>
      </c>
      <c r="KOI18" s="310" t="s">
        <v>201</v>
      </c>
      <c r="KOJ18" s="310" t="s">
        <v>201</v>
      </c>
      <c r="KOK18" s="310" t="s">
        <v>201</v>
      </c>
      <c r="KOL18" s="310" t="s">
        <v>201</v>
      </c>
      <c r="KOM18" s="310" t="s">
        <v>201</v>
      </c>
      <c r="KON18" s="310" t="s">
        <v>201</v>
      </c>
      <c r="KOO18" s="310" t="s">
        <v>201</v>
      </c>
      <c r="KOP18" s="310" t="s">
        <v>201</v>
      </c>
      <c r="KOQ18" s="310" t="s">
        <v>201</v>
      </c>
      <c r="KOR18" s="310" t="s">
        <v>201</v>
      </c>
      <c r="KOS18" s="310" t="s">
        <v>201</v>
      </c>
      <c r="KOT18" s="310" t="s">
        <v>201</v>
      </c>
      <c r="KOU18" s="310" t="s">
        <v>201</v>
      </c>
      <c r="KOV18" s="310" t="s">
        <v>201</v>
      </c>
      <c r="KOW18" s="310" t="s">
        <v>201</v>
      </c>
      <c r="KOX18" s="310" t="s">
        <v>201</v>
      </c>
      <c r="KOY18" s="310" t="s">
        <v>201</v>
      </c>
      <c r="KOZ18" s="310" t="s">
        <v>201</v>
      </c>
      <c r="KPA18" s="310" t="s">
        <v>201</v>
      </c>
      <c r="KPB18" s="310" t="s">
        <v>201</v>
      </c>
      <c r="KPC18" s="310" t="s">
        <v>201</v>
      </c>
      <c r="KPD18" s="310" t="s">
        <v>201</v>
      </c>
      <c r="KPE18" s="310" t="s">
        <v>201</v>
      </c>
      <c r="KPF18" s="310" t="s">
        <v>201</v>
      </c>
      <c r="KPG18" s="310" t="s">
        <v>201</v>
      </c>
      <c r="KPH18" s="310" t="s">
        <v>201</v>
      </c>
      <c r="KPI18" s="310" t="s">
        <v>201</v>
      </c>
      <c r="KPJ18" s="310" t="s">
        <v>201</v>
      </c>
      <c r="KPK18" s="310" t="s">
        <v>201</v>
      </c>
      <c r="KPL18" s="310" t="s">
        <v>201</v>
      </c>
      <c r="KPM18" s="310" t="s">
        <v>201</v>
      </c>
      <c r="KPN18" s="310" t="s">
        <v>201</v>
      </c>
      <c r="KPO18" s="310" t="s">
        <v>201</v>
      </c>
      <c r="KPP18" s="310" t="s">
        <v>201</v>
      </c>
      <c r="KPQ18" s="310" t="s">
        <v>201</v>
      </c>
      <c r="KPR18" s="310" t="s">
        <v>201</v>
      </c>
      <c r="KPS18" s="310" t="s">
        <v>201</v>
      </c>
      <c r="KPT18" s="310" t="s">
        <v>201</v>
      </c>
      <c r="KPU18" s="310" t="s">
        <v>201</v>
      </c>
      <c r="KPV18" s="310" t="s">
        <v>201</v>
      </c>
      <c r="KPW18" s="310" t="s">
        <v>201</v>
      </c>
      <c r="KPX18" s="310" t="s">
        <v>201</v>
      </c>
      <c r="KPY18" s="310" t="s">
        <v>201</v>
      </c>
      <c r="KPZ18" s="310" t="s">
        <v>201</v>
      </c>
      <c r="KQA18" s="310" t="s">
        <v>201</v>
      </c>
      <c r="KQB18" s="310" t="s">
        <v>201</v>
      </c>
      <c r="KQC18" s="310" t="s">
        <v>201</v>
      </c>
      <c r="KQD18" s="310" t="s">
        <v>201</v>
      </c>
      <c r="KQE18" s="310" t="s">
        <v>201</v>
      </c>
      <c r="KQF18" s="310" t="s">
        <v>201</v>
      </c>
      <c r="KQG18" s="310" t="s">
        <v>201</v>
      </c>
      <c r="KQH18" s="310" t="s">
        <v>201</v>
      </c>
      <c r="KQI18" s="310" t="s">
        <v>201</v>
      </c>
      <c r="KQJ18" s="310" t="s">
        <v>201</v>
      </c>
      <c r="KQK18" s="310" t="s">
        <v>201</v>
      </c>
      <c r="KQL18" s="310" t="s">
        <v>201</v>
      </c>
      <c r="KQM18" s="310" t="s">
        <v>201</v>
      </c>
      <c r="KQN18" s="310" t="s">
        <v>201</v>
      </c>
      <c r="KQO18" s="310" t="s">
        <v>201</v>
      </c>
      <c r="KQP18" s="310" t="s">
        <v>201</v>
      </c>
      <c r="KQQ18" s="310" t="s">
        <v>201</v>
      </c>
      <c r="KQR18" s="310" t="s">
        <v>201</v>
      </c>
      <c r="KQS18" s="310" t="s">
        <v>201</v>
      </c>
      <c r="KQT18" s="310" t="s">
        <v>201</v>
      </c>
      <c r="KQU18" s="310" t="s">
        <v>201</v>
      </c>
      <c r="KQV18" s="310" t="s">
        <v>201</v>
      </c>
      <c r="KQW18" s="310" t="s">
        <v>201</v>
      </c>
      <c r="KQX18" s="310" t="s">
        <v>201</v>
      </c>
      <c r="KQY18" s="310" t="s">
        <v>201</v>
      </c>
      <c r="KQZ18" s="310" t="s">
        <v>201</v>
      </c>
      <c r="KRA18" s="310" t="s">
        <v>201</v>
      </c>
      <c r="KRB18" s="310" t="s">
        <v>201</v>
      </c>
      <c r="KRC18" s="310" t="s">
        <v>201</v>
      </c>
      <c r="KRD18" s="310" t="s">
        <v>201</v>
      </c>
      <c r="KRE18" s="310" t="s">
        <v>201</v>
      </c>
      <c r="KRF18" s="310" t="s">
        <v>201</v>
      </c>
      <c r="KRG18" s="310" t="s">
        <v>201</v>
      </c>
      <c r="KRH18" s="310" t="s">
        <v>201</v>
      </c>
      <c r="KRI18" s="310" t="s">
        <v>201</v>
      </c>
      <c r="KRJ18" s="310" t="s">
        <v>201</v>
      </c>
      <c r="KRK18" s="310" t="s">
        <v>201</v>
      </c>
      <c r="KRL18" s="310" t="s">
        <v>201</v>
      </c>
      <c r="KRM18" s="310" t="s">
        <v>201</v>
      </c>
      <c r="KRN18" s="310" t="s">
        <v>201</v>
      </c>
      <c r="KRO18" s="310" t="s">
        <v>201</v>
      </c>
      <c r="KRP18" s="310" t="s">
        <v>201</v>
      </c>
      <c r="KRQ18" s="310" t="s">
        <v>201</v>
      </c>
      <c r="KRR18" s="310" t="s">
        <v>201</v>
      </c>
      <c r="KRS18" s="310" t="s">
        <v>201</v>
      </c>
      <c r="KRT18" s="310" t="s">
        <v>201</v>
      </c>
      <c r="KRU18" s="310" t="s">
        <v>201</v>
      </c>
      <c r="KRV18" s="310" t="s">
        <v>201</v>
      </c>
      <c r="KRW18" s="310" t="s">
        <v>201</v>
      </c>
      <c r="KRX18" s="310" t="s">
        <v>201</v>
      </c>
      <c r="KRY18" s="310" t="s">
        <v>201</v>
      </c>
      <c r="KRZ18" s="310" t="s">
        <v>201</v>
      </c>
      <c r="KSA18" s="310" t="s">
        <v>201</v>
      </c>
      <c r="KSB18" s="310" t="s">
        <v>201</v>
      </c>
      <c r="KSC18" s="310" t="s">
        <v>201</v>
      </c>
      <c r="KSD18" s="310" t="s">
        <v>201</v>
      </c>
      <c r="KSE18" s="310" t="s">
        <v>201</v>
      </c>
      <c r="KSF18" s="310" t="s">
        <v>201</v>
      </c>
      <c r="KSG18" s="310" t="s">
        <v>201</v>
      </c>
      <c r="KSH18" s="310" t="s">
        <v>201</v>
      </c>
      <c r="KSI18" s="310" t="s">
        <v>201</v>
      </c>
      <c r="KSJ18" s="310" t="s">
        <v>201</v>
      </c>
      <c r="KSK18" s="310" t="s">
        <v>201</v>
      </c>
      <c r="KSL18" s="310" t="s">
        <v>201</v>
      </c>
      <c r="KSM18" s="310" t="s">
        <v>201</v>
      </c>
      <c r="KSN18" s="310" t="s">
        <v>201</v>
      </c>
      <c r="KSO18" s="310" t="s">
        <v>201</v>
      </c>
      <c r="KSP18" s="310" t="s">
        <v>201</v>
      </c>
      <c r="KSQ18" s="310" t="s">
        <v>201</v>
      </c>
      <c r="KSR18" s="310" t="s">
        <v>201</v>
      </c>
      <c r="KSS18" s="310" t="s">
        <v>201</v>
      </c>
      <c r="KST18" s="310" t="s">
        <v>201</v>
      </c>
      <c r="KSU18" s="310" t="s">
        <v>201</v>
      </c>
      <c r="KSV18" s="310" t="s">
        <v>201</v>
      </c>
      <c r="KSW18" s="310" t="s">
        <v>201</v>
      </c>
      <c r="KSX18" s="310" t="s">
        <v>201</v>
      </c>
      <c r="KSY18" s="310" t="s">
        <v>201</v>
      </c>
      <c r="KSZ18" s="310" t="s">
        <v>201</v>
      </c>
      <c r="KTA18" s="310" t="s">
        <v>201</v>
      </c>
      <c r="KTB18" s="310" t="s">
        <v>201</v>
      </c>
      <c r="KTC18" s="310" t="s">
        <v>201</v>
      </c>
      <c r="KTD18" s="310" t="s">
        <v>201</v>
      </c>
      <c r="KTE18" s="310" t="s">
        <v>201</v>
      </c>
      <c r="KTF18" s="310" t="s">
        <v>201</v>
      </c>
      <c r="KTG18" s="310" t="s">
        <v>201</v>
      </c>
      <c r="KTH18" s="310" t="s">
        <v>201</v>
      </c>
      <c r="KTI18" s="310" t="s">
        <v>201</v>
      </c>
      <c r="KTJ18" s="310" t="s">
        <v>201</v>
      </c>
      <c r="KTK18" s="310" t="s">
        <v>201</v>
      </c>
      <c r="KTL18" s="310" t="s">
        <v>201</v>
      </c>
      <c r="KTM18" s="310" t="s">
        <v>201</v>
      </c>
      <c r="KTN18" s="310" t="s">
        <v>201</v>
      </c>
      <c r="KTO18" s="310" t="s">
        <v>201</v>
      </c>
      <c r="KTP18" s="310" t="s">
        <v>201</v>
      </c>
      <c r="KTQ18" s="310" t="s">
        <v>201</v>
      </c>
      <c r="KTR18" s="310" t="s">
        <v>201</v>
      </c>
      <c r="KTS18" s="310" t="s">
        <v>201</v>
      </c>
      <c r="KTT18" s="310" t="s">
        <v>201</v>
      </c>
      <c r="KTU18" s="310" t="s">
        <v>201</v>
      </c>
      <c r="KTV18" s="310" t="s">
        <v>201</v>
      </c>
      <c r="KTW18" s="310" t="s">
        <v>201</v>
      </c>
      <c r="KTX18" s="310" t="s">
        <v>201</v>
      </c>
      <c r="KTY18" s="310" t="s">
        <v>201</v>
      </c>
      <c r="KTZ18" s="310" t="s">
        <v>201</v>
      </c>
      <c r="KUA18" s="310" t="s">
        <v>201</v>
      </c>
      <c r="KUB18" s="310" t="s">
        <v>201</v>
      </c>
      <c r="KUC18" s="310" t="s">
        <v>201</v>
      </c>
      <c r="KUD18" s="310" t="s">
        <v>201</v>
      </c>
      <c r="KUE18" s="310" t="s">
        <v>201</v>
      </c>
      <c r="KUF18" s="310" t="s">
        <v>201</v>
      </c>
      <c r="KUG18" s="310" t="s">
        <v>201</v>
      </c>
      <c r="KUH18" s="310" t="s">
        <v>201</v>
      </c>
      <c r="KUI18" s="310" t="s">
        <v>201</v>
      </c>
      <c r="KUJ18" s="310" t="s">
        <v>201</v>
      </c>
      <c r="KUK18" s="310" t="s">
        <v>201</v>
      </c>
      <c r="KUL18" s="310" t="s">
        <v>201</v>
      </c>
      <c r="KUM18" s="310" t="s">
        <v>201</v>
      </c>
      <c r="KUN18" s="310" t="s">
        <v>201</v>
      </c>
      <c r="KUO18" s="310" t="s">
        <v>201</v>
      </c>
      <c r="KUP18" s="310" t="s">
        <v>201</v>
      </c>
      <c r="KUQ18" s="310" t="s">
        <v>201</v>
      </c>
      <c r="KUR18" s="310" t="s">
        <v>201</v>
      </c>
      <c r="KUS18" s="310" t="s">
        <v>201</v>
      </c>
      <c r="KUT18" s="310" t="s">
        <v>201</v>
      </c>
      <c r="KUU18" s="310" t="s">
        <v>201</v>
      </c>
      <c r="KUV18" s="310" t="s">
        <v>201</v>
      </c>
      <c r="KUW18" s="310" t="s">
        <v>201</v>
      </c>
      <c r="KUX18" s="310" t="s">
        <v>201</v>
      </c>
      <c r="KUY18" s="310" t="s">
        <v>201</v>
      </c>
      <c r="KUZ18" s="310" t="s">
        <v>201</v>
      </c>
      <c r="KVA18" s="310" t="s">
        <v>201</v>
      </c>
      <c r="KVB18" s="310" t="s">
        <v>201</v>
      </c>
      <c r="KVC18" s="310" t="s">
        <v>201</v>
      </c>
      <c r="KVD18" s="310" t="s">
        <v>201</v>
      </c>
      <c r="KVE18" s="310" t="s">
        <v>201</v>
      </c>
      <c r="KVF18" s="310" t="s">
        <v>201</v>
      </c>
      <c r="KVG18" s="310" t="s">
        <v>201</v>
      </c>
      <c r="KVH18" s="310" t="s">
        <v>201</v>
      </c>
      <c r="KVI18" s="310" t="s">
        <v>201</v>
      </c>
      <c r="KVJ18" s="310" t="s">
        <v>201</v>
      </c>
      <c r="KVK18" s="310" t="s">
        <v>201</v>
      </c>
      <c r="KVL18" s="310" t="s">
        <v>201</v>
      </c>
      <c r="KVM18" s="310" t="s">
        <v>201</v>
      </c>
      <c r="KVN18" s="310" t="s">
        <v>201</v>
      </c>
      <c r="KVO18" s="310" t="s">
        <v>201</v>
      </c>
      <c r="KVP18" s="310" t="s">
        <v>201</v>
      </c>
      <c r="KVQ18" s="310" t="s">
        <v>201</v>
      </c>
      <c r="KVR18" s="310" t="s">
        <v>201</v>
      </c>
      <c r="KVS18" s="310" t="s">
        <v>201</v>
      </c>
      <c r="KVT18" s="310" t="s">
        <v>201</v>
      </c>
      <c r="KVU18" s="310" t="s">
        <v>201</v>
      </c>
      <c r="KVV18" s="310" t="s">
        <v>201</v>
      </c>
      <c r="KVW18" s="310" t="s">
        <v>201</v>
      </c>
      <c r="KVX18" s="310" t="s">
        <v>201</v>
      </c>
      <c r="KVY18" s="310" t="s">
        <v>201</v>
      </c>
      <c r="KVZ18" s="310" t="s">
        <v>201</v>
      </c>
      <c r="KWA18" s="310" t="s">
        <v>201</v>
      </c>
      <c r="KWB18" s="310" t="s">
        <v>201</v>
      </c>
      <c r="KWC18" s="310" t="s">
        <v>201</v>
      </c>
      <c r="KWD18" s="310" t="s">
        <v>201</v>
      </c>
      <c r="KWE18" s="310" t="s">
        <v>201</v>
      </c>
      <c r="KWF18" s="310" t="s">
        <v>201</v>
      </c>
      <c r="KWG18" s="310" t="s">
        <v>201</v>
      </c>
      <c r="KWH18" s="310" t="s">
        <v>201</v>
      </c>
      <c r="KWI18" s="310" t="s">
        <v>201</v>
      </c>
      <c r="KWJ18" s="310" t="s">
        <v>201</v>
      </c>
      <c r="KWK18" s="310" t="s">
        <v>201</v>
      </c>
      <c r="KWL18" s="310" t="s">
        <v>201</v>
      </c>
      <c r="KWM18" s="310" t="s">
        <v>201</v>
      </c>
      <c r="KWN18" s="310" t="s">
        <v>201</v>
      </c>
      <c r="KWO18" s="310" t="s">
        <v>201</v>
      </c>
      <c r="KWP18" s="310" t="s">
        <v>201</v>
      </c>
      <c r="KWQ18" s="310" t="s">
        <v>201</v>
      </c>
      <c r="KWR18" s="310" t="s">
        <v>201</v>
      </c>
      <c r="KWS18" s="310" t="s">
        <v>201</v>
      </c>
      <c r="KWT18" s="310" t="s">
        <v>201</v>
      </c>
      <c r="KWU18" s="310" t="s">
        <v>201</v>
      </c>
      <c r="KWV18" s="310" t="s">
        <v>201</v>
      </c>
      <c r="KWW18" s="310" t="s">
        <v>201</v>
      </c>
      <c r="KWX18" s="310" t="s">
        <v>201</v>
      </c>
      <c r="KWY18" s="310" t="s">
        <v>201</v>
      </c>
      <c r="KWZ18" s="310" t="s">
        <v>201</v>
      </c>
      <c r="KXA18" s="310" t="s">
        <v>201</v>
      </c>
      <c r="KXB18" s="310" t="s">
        <v>201</v>
      </c>
      <c r="KXC18" s="310" t="s">
        <v>201</v>
      </c>
      <c r="KXD18" s="310" t="s">
        <v>201</v>
      </c>
      <c r="KXE18" s="310" t="s">
        <v>201</v>
      </c>
      <c r="KXF18" s="310" t="s">
        <v>201</v>
      </c>
      <c r="KXG18" s="310" t="s">
        <v>201</v>
      </c>
      <c r="KXH18" s="310" t="s">
        <v>201</v>
      </c>
      <c r="KXI18" s="310" t="s">
        <v>201</v>
      </c>
      <c r="KXJ18" s="310" t="s">
        <v>201</v>
      </c>
      <c r="KXK18" s="310" t="s">
        <v>201</v>
      </c>
      <c r="KXL18" s="310" t="s">
        <v>201</v>
      </c>
      <c r="KXM18" s="310" t="s">
        <v>201</v>
      </c>
      <c r="KXN18" s="310" t="s">
        <v>201</v>
      </c>
      <c r="KXO18" s="310" t="s">
        <v>201</v>
      </c>
      <c r="KXP18" s="310" t="s">
        <v>201</v>
      </c>
      <c r="KXQ18" s="310" t="s">
        <v>201</v>
      </c>
      <c r="KXR18" s="310" t="s">
        <v>201</v>
      </c>
      <c r="KXS18" s="310" t="s">
        <v>201</v>
      </c>
      <c r="KXT18" s="310" t="s">
        <v>201</v>
      </c>
      <c r="KXU18" s="310" t="s">
        <v>201</v>
      </c>
      <c r="KXV18" s="310" t="s">
        <v>201</v>
      </c>
      <c r="KXW18" s="310" t="s">
        <v>201</v>
      </c>
      <c r="KXX18" s="310" t="s">
        <v>201</v>
      </c>
      <c r="KXY18" s="310" t="s">
        <v>201</v>
      </c>
      <c r="KXZ18" s="310" t="s">
        <v>201</v>
      </c>
      <c r="KYA18" s="310" t="s">
        <v>201</v>
      </c>
      <c r="KYB18" s="310" t="s">
        <v>201</v>
      </c>
      <c r="KYC18" s="310" t="s">
        <v>201</v>
      </c>
      <c r="KYD18" s="310" t="s">
        <v>201</v>
      </c>
      <c r="KYE18" s="310" t="s">
        <v>201</v>
      </c>
      <c r="KYF18" s="310" t="s">
        <v>201</v>
      </c>
      <c r="KYG18" s="310" t="s">
        <v>201</v>
      </c>
      <c r="KYH18" s="310" t="s">
        <v>201</v>
      </c>
      <c r="KYI18" s="310" t="s">
        <v>201</v>
      </c>
      <c r="KYJ18" s="310" t="s">
        <v>201</v>
      </c>
      <c r="KYK18" s="310" t="s">
        <v>201</v>
      </c>
      <c r="KYL18" s="310" t="s">
        <v>201</v>
      </c>
      <c r="KYM18" s="310" t="s">
        <v>201</v>
      </c>
      <c r="KYN18" s="310" t="s">
        <v>201</v>
      </c>
      <c r="KYO18" s="310" t="s">
        <v>201</v>
      </c>
      <c r="KYP18" s="310" t="s">
        <v>201</v>
      </c>
      <c r="KYQ18" s="310" t="s">
        <v>201</v>
      </c>
      <c r="KYR18" s="310" t="s">
        <v>201</v>
      </c>
      <c r="KYS18" s="310" t="s">
        <v>201</v>
      </c>
      <c r="KYT18" s="310" t="s">
        <v>201</v>
      </c>
      <c r="KYU18" s="310" t="s">
        <v>201</v>
      </c>
      <c r="KYV18" s="310" t="s">
        <v>201</v>
      </c>
      <c r="KYW18" s="310" t="s">
        <v>201</v>
      </c>
      <c r="KYX18" s="310" t="s">
        <v>201</v>
      </c>
      <c r="KYY18" s="310" t="s">
        <v>201</v>
      </c>
      <c r="KYZ18" s="310" t="s">
        <v>201</v>
      </c>
      <c r="KZA18" s="310" t="s">
        <v>201</v>
      </c>
      <c r="KZB18" s="310" t="s">
        <v>201</v>
      </c>
      <c r="KZC18" s="310" t="s">
        <v>201</v>
      </c>
      <c r="KZD18" s="310" t="s">
        <v>201</v>
      </c>
      <c r="KZE18" s="310" t="s">
        <v>201</v>
      </c>
      <c r="KZF18" s="310" t="s">
        <v>201</v>
      </c>
      <c r="KZG18" s="310" t="s">
        <v>201</v>
      </c>
      <c r="KZH18" s="310" t="s">
        <v>201</v>
      </c>
      <c r="KZI18" s="310" t="s">
        <v>201</v>
      </c>
      <c r="KZJ18" s="310" t="s">
        <v>201</v>
      </c>
      <c r="KZK18" s="310" t="s">
        <v>201</v>
      </c>
      <c r="KZL18" s="310" t="s">
        <v>201</v>
      </c>
      <c r="KZM18" s="310" t="s">
        <v>201</v>
      </c>
      <c r="KZN18" s="310" t="s">
        <v>201</v>
      </c>
      <c r="KZO18" s="310" t="s">
        <v>201</v>
      </c>
      <c r="KZP18" s="310" t="s">
        <v>201</v>
      </c>
      <c r="KZQ18" s="310" t="s">
        <v>201</v>
      </c>
      <c r="KZR18" s="310" t="s">
        <v>201</v>
      </c>
      <c r="KZS18" s="310" t="s">
        <v>201</v>
      </c>
      <c r="KZT18" s="310" t="s">
        <v>201</v>
      </c>
      <c r="KZU18" s="310" t="s">
        <v>201</v>
      </c>
      <c r="KZV18" s="310" t="s">
        <v>201</v>
      </c>
      <c r="KZW18" s="310" t="s">
        <v>201</v>
      </c>
      <c r="KZX18" s="310" t="s">
        <v>201</v>
      </c>
      <c r="KZY18" s="310" t="s">
        <v>201</v>
      </c>
      <c r="KZZ18" s="310" t="s">
        <v>201</v>
      </c>
      <c r="LAA18" s="310" t="s">
        <v>201</v>
      </c>
      <c r="LAB18" s="310" t="s">
        <v>201</v>
      </c>
      <c r="LAC18" s="310" t="s">
        <v>201</v>
      </c>
      <c r="LAD18" s="310" t="s">
        <v>201</v>
      </c>
      <c r="LAE18" s="310" t="s">
        <v>201</v>
      </c>
      <c r="LAF18" s="310" t="s">
        <v>201</v>
      </c>
      <c r="LAG18" s="310" t="s">
        <v>201</v>
      </c>
      <c r="LAH18" s="310" t="s">
        <v>201</v>
      </c>
      <c r="LAI18" s="310" t="s">
        <v>201</v>
      </c>
      <c r="LAJ18" s="310" t="s">
        <v>201</v>
      </c>
      <c r="LAK18" s="310" t="s">
        <v>201</v>
      </c>
      <c r="LAL18" s="310" t="s">
        <v>201</v>
      </c>
      <c r="LAM18" s="310" t="s">
        <v>201</v>
      </c>
      <c r="LAN18" s="310" t="s">
        <v>201</v>
      </c>
      <c r="LAO18" s="310" t="s">
        <v>201</v>
      </c>
      <c r="LAP18" s="310" t="s">
        <v>201</v>
      </c>
      <c r="LAQ18" s="310" t="s">
        <v>201</v>
      </c>
      <c r="LAR18" s="310" t="s">
        <v>201</v>
      </c>
      <c r="LAS18" s="310" t="s">
        <v>201</v>
      </c>
      <c r="LAT18" s="310" t="s">
        <v>201</v>
      </c>
      <c r="LAU18" s="310" t="s">
        <v>201</v>
      </c>
      <c r="LAV18" s="310" t="s">
        <v>201</v>
      </c>
      <c r="LAW18" s="310" t="s">
        <v>201</v>
      </c>
      <c r="LAX18" s="310" t="s">
        <v>201</v>
      </c>
      <c r="LAY18" s="310" t="s">
        <v>201</v>
      </c>
      <c r="LAZ18" s="310" t="s">
        <v>201</v>
      </c>
      <c r="LBA18" s="310" t="s">
        <v>201</v>
      </c>
      <c r="LBB18" s="310" t="s">
        <v>201</v>
      </c>
      <c r="LBC18" s="310" t="s">
        <v>201</v>
      </c>
      <c r="LBD18" s="310" t="s">
        <v>201</v>
      </c>
      <c r="LBE18" s="310" t="s">
        <v>201</v>
      </c>
      <c r="LBF18" s="310" t="s">
        <v>201</v>
      </c>
      <c r="LBG18" s="310" t="s">
        <v>201</v>
      </c>
      <c r="LBH18" s="310" t="s">
        <v>201</v>
      </c>
      <c r="LBI18" s="310" t="s">
        <v>201</v>
      </c>
      <c r="LBJ18" s="310" t="s">
        <v>201</v>
      </c>
      <c r="LBK18" s="310" t="s">
        <v>201</v>
      </c>
      <c r="LBL18" s="310" t="s">
        <v>201</v>
      </c>
      <c r="LBM18" s="310" t="s">
        <v>201</v>
      </c>
      <c r="LBN18" s="310" t="s">
        <v>201</v>
      </c>
      <c r="LBO18" s="310" t="s">
        <v>201</v>
      </c>
      <c r="LBP18" s="310" t="s">
        <v>201</v>
      </c>
      <c r="LBQ18" s="310" t="s">
        <v>201</v>
      </c>
      <c r="LBR18" s="310" t="s">
        <v>201</v>
      </c>
      <c r="LBS18" s="310" t="s">
        <v>201</v>
      </c>
      <c r="LBT18" s="310" t="s">
        <v>201</v>
      </c>
      <c r="LBU18" s="310" t="s">
        <v>201</v>
      </c>
      <c r="LBV18" s="310" t="s">
        <v>201</v>
      </c>
      <c r="LBW18" s="310" t="s">
        <v>201</v>
      </c>
      <c r="LBX18" s="310" t="s">
        <v>201</v>
      </c>
      <c r="LBY18" s="310" t="s">
        <v>201</v>
      </c>
      <c r="LBZ18" s="310" t="s">
        <v>201</v>
      </c>
      <c r="LCA18" s="310" t="s">
        <v>201</v>
      </c>
      <c r="LCB18" s="310" t="s">
        <v>201</v>
      </c>
      <c r="LCC18" s="310" t="s">
        <v>201</v>
      </c>
      <c r="LCD18" s="310" t="s">
        <v>201</v>
      </c>
      <c r="LCE18" s="310" t="s">
        <v>201</v>
      </c>
      <c r="LCF18" s="310" t="s">
        <v>201</v>
      </c>
      <c r="LCG18" s="310" t="s">
        <v>201</v>
      </c>
      <c r="LCH18" s="310" t="s">
        <v>201</v>
      </c>
      <c r="LCI18" s="310" t="s">
        <v>201</v>
      </c>
      <c r="LCJ18" s="310" t="s">
        <v>201</v>
      </c>
      <c r="LCK18" s="310" t="s">
        <v>201</v>
      </c>
      <c r="LCL18" s="310" t="s">
        <v>201</v>
      </c>
      <c r="LCM18" s="310" t="s">
        <v>201</v>
      </c>
      <c r="LCN18" s="310" t="s">
        <v>201</v>
      </c>
      <c r="LCO18" s="310" t="s">
        <v>201</v>
      </c>
      <c r="LCP18" s="310" t="s">
        <v>201</v>
      </c>
      <c r="LCQ18" s="310" t="s">
        <v>201</v>
      </c>
      <c r="LCR18" s="310" t="s">
        <v>201</v>
      </c>
      <c r="LCS18" s="310" t="s">
        <v>201</v>
      </c>
      <c r="LCT18" s="310" t="s">
        <v>201</v>
      </c>
      <c r="LCU18" s="310" t="s">
        <v>201</v>
      </c>
      <c r="LCV18" s="310" t="s">
        <v>201</v>
      </c>
      <c r="LCW18" s="310" t="s">
        <v>201</v>
      </c>
      <c r="LCX18" s="310" t="s">
        <v>201</v>
      </c>
      <c r="LCY18" s="310" t="s">
        <v>201</v>
      </c>
      <c r="LCZ18" s="310" t="s">
        <v>201</v>
      </c>
      <c r="LDA18" s="310" t="s">
        <v>201</v>
      </c>
      <c r="LDB18" s="310" t="s">
        <v>201</v>
      </c>
      <c r="LDC18" s="310" t="s">
        <v>201</v>
      </c>
      <c r="LDD18" s="310" t="s">
        <v>201</v>
      </c>
      <c r="LDE18" s="310" t="s">
        <v>201</v>
      </c>
      <c r="LDF18" s="310" t="s">
        <v>201</v>
      </c>
      <c r="LDG18" s="310" t="s">
        <v>201</v>
      </c>
      <c r="LDH18" s="310" t="s">
        <v>201</v>
      </c>
      <c r="LDI18" s="310" t="s">
        <v>201</v>
      </c>
      <c r="LDJ18" s="310" t="s">
        <v>201</v>
      </c>
      <c r="LDK18" s="310" t="s">
        <v>201</v>
      </c>
      <c r="LDL18" s="310" t="s">
        <v>201</v>
      </c>
      <c r="LDM18" s="310" t="s">
        <v>201</v>
      </c>
      <c r="LDN18" s="310" t="s">
        <v>201</v>
      </c>
      <c r="LDO18" s="310" t="s">
        <v>201</v>
      </c>
      <c r="LDP18" s="310" t="s">
        <v>201</v>
      </c>
      <c r="LDQ18" s="310" t="s">
        <v>201</v>
      </c>
      <c r="LDR18" s="310" t="s">
        <v>201</v>
      </c>
      <c r="LDS18" s="310" t="s">
        <v>201</v>
      </c>
      <c r="LDT18" s="310" t="s">
        <v>201</v>
      </c>
      <c r="LDU18" s="310" t="s">
        <v>201</v>
      </c>
      <c r="LDV18" s="310" t="s">
        <v>201</v>
      </c>
      <c r="LDW18" s="310" t="s">
        <v>201</v>
      </c>
      <c r="LDX18" s="310" t="s">
        <v>201</v>
      </c>
      <c r="LDY18" s="310" t="s">
        <v>201</v>
      </c>
      <c r="LDZ18" s="310" t="s">
        <v>201</v>
      </c>
      <c r="LEA18" s="310" t="s">
        <v>201</v>
      </c>
      <c r="LEB18" s="310" t="s">
        <v>201</v>
      </c>
      <c r="LEC18" s="310" t="s">
        <v>201</v>
      </c>
      <c r="LED18" s="310" t="s">
        <v>201</v>
      </c>
      <c r="LEE18" s="310" t="s">
        <v>201</v>
      </c>
      <c r="LEF18" s="310" t="s">
        <v>201</v>
      </c>
      <c r="LEG18" s="310" t="s">
        <v>201</v>
      </c>
      <c r="LEH18" s="310" t="s">
        <v>201</v>
      </c>
      <c r="LEI18" s="310" t="s">
        <v>201</v>
      </c>
      <c r="LEJ18" s="310" t="s">
        <v>201</v>
      </c>
      <c r="LEK18" s="310" t="s">
        <v>201</v>
      </c>
      <c r="LEL18" s="310" t="s">
        <v>201</v>
      </c>
      <c r="LEM18" s="310" t="s">
        <v>201</v>
      </c>
      <c r="LEN18" s="310" t="s">
        <v>201</v>
      </c>
      <c r="LEO18" s="310" t="s">
        <v>201</v>
      </c>
      <c r="LEP18" s="310" t="s">
        <v>201</v>
      </c>
      <c r="LEQ18" s="310" t="s">
        <v>201</v>
      </c>
      <c r="LER18" s="310" t="s">
        <v>201</v>
      </c>
      <c r="LES18" s="310" t="s">
        <v>201</v>
      </c>
      <c r="LET18" s="310" t="s">
        <v>201</v>
      </c>
      <c r="LEU18" s="310" t="s">
        <v>201</v>
      </c>
      <c r="LEV18" s="310" t="s">
        <v>201</v>
      </c>
      <c r="LEW18" s="310" t="s">
        <v>201</v>
      </c>
      <c r="LEX18" s="310" t="s">
        <v>201</v>
      </c>
      <c r="LEY18" s="310" t="s">
        <v>201</v>
      </c>
      <c r="LEZ18" s="310" t="s">
        <v>201</v>
      </c>
      <c r="LFA18" s="310" t="s">
        <v>201</v>
      </c>
      <c r="LFB18" s="310" t="s">
        <v>201</v>
      </c>
      <c r="LFC18" s="310" t="s">
        <v>201</v>
      </c>
      <c r="LFD18" s="310" t="s">
        <v>201</v>
      </c>
      <c r="LFE18" s="310" t="s">
        <v>201</v>
      </c>
      <c r="LFF18" s="310" t="s">
        <v>201</v>
      </c>
      <c r="LFG18" s="310" t="s">
        <v>201</v>
      </c>
      <c r="LFH18" s="310" t="s">
        <v>201</v>
      </c>
      <c r="LFI18" s="310" t="s">
        <v>201</v>
      </c>
      <c r="LFJ18" s="310" t="s">
        <v>201</v>
      </c>
      <c r="LFK18" s="310" t="s">
        <v>201</v>
      </c>
      <c r="LFL18" s="310" t="s">
        <v>201</v>
      </c>
      <c r="LFM18" s="310" t="s">
        <v>201</v>
      </c>
      <c r="LFN18" s="310" t="s">
        <v>201</v>
      </c>
      <c r="LFO18" s="310" t="s">
        <v>201</v>
      </c>
      <c r="LFP18" s="310" t="s">
        <v>201</v>
      </c>
      <c r="LFQ18" s="310" t="s">
        <v>201</v>
      </c>
      <c r="LFR18" s="310" t="s">
        <v>201</v>
      </c>
      <c r="LFS18" s="310" t="s">
        <v>201</v>
      </c>
      <c r="LFT18" s="310" t="s">
        <v>201</v>
      </c>
      <c r="LFU18" s="310" t="s">
        <v>201</v>
      </c>
      <c r="LFV18" s="310" t="s">
        <v>201</v>
      </c>
      <c r="LFW18" s="310" t="s">
        <v>201</v>
      </c>
      <c r="LFX18" s="310" t="s">
        <v>201</v>
      </c>
      <c r="LFY18" s="310" t="s">
        <v>201</v>
      </c>
      <c r="LFZ18" s="310" t="s">
        <v>201</v>
      </c>
      <c r="LGA18" s="310" t="s">
        <v>201</v>
      </c>
      <c r="LGB18" s="310" t="s">
        <v>201</v>
      </c>
      <c r="LGC18" s="310" t="s">
        <v>201</v>
      </c>
      <c r="LGD18" s="310" t="s">
        <v>201</v>
      </c>
      <c r="LGE18" s="310" t="s">
        <v>201</v>
      </c>
      <c r="LGF18" s="310" t="s">
        <v>201</v>
      </c>
      <c r="LGG18" s="310" t="s">
        <v>201</v>
      </c>
      <c r="LGH18" s="310" t="s">
        <v>201</v>
      </c>
      <c r="LGI18" s="310" t="s">
        <v>201</v>
      </c>
      <c r="LGJ18" s="310" t="s">
        <v>201</v>
      </c>
      <c r="LGK18" s="310" t="s">
        <v>201</v>
      </c>
      <c r="LGL18" s="310" t="s">
        <v>201</v>
      </c>
      <c r="LGM18" s="310" t="s">
        <v>201</v>
      </c>
      <c r="LGN18" s="310" t="s">
        <v>201</v>
      </c>
      <c r="LGO18" s="310" t="s">
        <v>201</v>
      </c>
      <c r="LGP18" s="310" t="s">
        <v>201</v>
      </c>
      <c r="LGQ18" s="310" t="s">
        <v>201</v>
      </c>
      <c r="LGR18" s="310" t="s">
        <v>201</v>
      </c>
      <c r="LGS18" s="310" t="s">
        <v>201</v>
      </c>
      <c r="LGT18" s="310" t="s">
        <v>201</v>
      </c>
      <c r="LGU18" s="310" t="s">
        <v>201</v>
      </c>
      <c r="LGV18" s="310" t="s">
        <v>201</v>
      </c>
      <c r="LGW18" s="310" t="s">
        <v>201</v>
      </c>
      <c r="LGX18" s="310" t="s">
        <v>201</v>
      </c>
      <c r="LGY18" s="310" t="s">
        <v>201</v>
      </c>
      <c r="LGZ18" s="310" t="s">
        <v>201</v>
      </c>
      <c r="LHA18" s="310" t="s">
        <v>201</v>
      </c>
      <c r="LHB18" s="310" t="s">
        <v>201</v>
      </c>
      <c r="LHC18" s="310" t="s">
        <v>201</v>
      </c>
      <c r="LHD18" s="310" t="s">
        <v>201</v>
      </c>
      <c r="LHE18" s="310" t="s">
        <v>201</v>
      </c>
      <c r="LHF18" s="310" t="s">
        <v>201</v>
      </c>
      <c r="LHG18" s="310" t="s">
        <v>201</v>
      </c>
      <c r="LHH18" s="310" t="s">
        <v>201</v>
      </c>
      <c r="LHI18" s="310" t="s">
        <v>201</v>
      </c>
      <c r="LHJ18" s="310" t="s">
        <v>201</v>
      </c>
      <c r="LHK18" s="310" t="s">
        <v>201</v>
      </c>
      <c r="LHL18" s="310" t="s">
        <v>201</v>
      </c>
      <c r="LHM18" s="310" t="s">
        <v>201</v>
      </c>
      <c r="LHN18" s="310" t="s">
        <v>201</v>
      </c>
      <c r="LHO18" s="310" t="s">
        <v>201</v>
      </c>
      <c r="LHP18" s="310" t="s">
        <v>201</v>
      </c>
      <c r="LHQ18" s="310" t="s">
        <v>201</v>
      </c>
      <c r="LHR18" s="310" t="s">
        <v>201</v>
      </c>
      <c r="LHS18" s="310" t="s">
        <v>201</v>
      </c>
      <c r="LHT18" s="310" t="s">
        <v>201</v>
      </c>
      <c r="LHU18" s="310" t="s">
        <v>201</v>
      </c>
      <c r="LHV18" s="310" t="s">
        <v>201</v>
      </c>
      <c r="LHW18" s="310" t="s">
        <v>201</v>
      </c>
      <c r="LHX18" s="310" t="s">
        <v>201</v>
      </c>
      <c r="LHY18" s="310" t="s">
        <v>201</v>
      </c>
      <c r="LHZ18" s="310" t="s">
        <v>201</v>
      </c>
      <c r="LIA18" s="310" t="s">
        <v>201</v>
      </c>
      <c r="LIB18" s="310" t="s">
        <v>201</v>
      </c>
      <c r="LIC18" s="310" t="s">
        <v>201</v>
      </c>
      <c r="LID18" s="310" t="s">
        <v>201</v>
      </c>
      <c r="LIE18" s="310" t="s">
        <v>201</v>
      </c>
      <c r="LIF18" s="310" t="s">
        <v>201</v>
      </c>
      <c r="LIG18" s="310" t="s">
        <v>201</v>
      </c>
      <c r="LIH18" s="310" t="s">
        <v>201</v>
      </c>
      <c r="LII18" s="310" t="s">
        <v>201</v>
      </c>
      <c r="LIJ18" s="310" t="s">
        <v>201</v>
      </c>
      <c r="LIK18" s="310" t="s">
        <v>201</v>
      </c>
      <c r="LIL18" s="310" t="s">
        <v>201</v>
      </c>
      <c r="LIM18" s="310" t="s">
        <v>201</v>
      </c>
      <c r="LIN18" s="310" t="s">
        <v>201</v>
      </c>
      <c r="LIO18" s="310" t="s">
        <v>201</v>
      </c>
      <c r="LIP18" s="310" t="s">
        <v>201</v>
      </c>
      <c r="LIQ18" s="310" t="s">
        <v>201</v>
      </c>
      <c r="LIR18" s="310" t="s">
        <v>201</v>
      </c>
      <c r="LIS18" s="310" t="s">
        <v>201</v>
      </c>
      <c r="LIT18" s="310" t="s">
        <v>201</v>
      </c>
      <c r="LIU18" s="310" t="s">
        <v>201</v>
      </c>
      <c r="LIV18" s="310" t="s">
        <v>201</v>
      </c>
      <c r="LIW18" s="310" t="s">
        <v>201</v>
      </c>
      <c r="LIX18" s="310" t="s">
        <v>201</v>
      </c>
      <c r="LIY18" s="310" t="s">
        <v>201</v>
      </c>
      <c r="LIZ18" s="310" t="s">
        <v>201</v>
      </c>
      <c r="LJA18" s="310" t="s">
        <v>201</v>
      </c>
      <c r="LJB18" s="310" t="s">
        <v>201</v>
      </c>
      <c r="LJC18" s="310" t="s">
        <v>201</v>
      </c>
      <c r="LJD18" s="310" t="s">
        <v>201</v>
      </c>
      <c r="LJE18" s="310" t="s">
        <v>201</v>
      </c>
      <c r="LJF18" s="310" t="s">
        <v>201</v>
      </c>
      <c r="LJG18" s="310" t="s">
        <v>201</v>
      </c>
      <c r="LJH18" s="310" t="s">
        <v>201</v>
      </c>
      <c r="LJI18" s="310" t="s">
        <v>201</v>
      </c>
      <c r="LJJ18" s="310" t="s">
        <v>201</v>
      </c>
      <c r="LJK18" s="310" t="s">
        <v>201</v>
      </c>
      <c r="LJL18" s="310" t="s">
        <v>201</v>
      </c>
      <c r="LJM18" s="310" t="s">
        <v>201</v>
      </c>
      <c r="LJN18" s="310" t="s">
        <v>201</v>
      </c>
      <c r="LJO18" s="310" t="s">
        <v>201</v>
      </c>
      <c r="LJP18" s="310" t="s">
        <v>201</v>
      </c>
      <c r="LJQ18" s="310" t="s">
        <v>201</v>
      </c>
      <c r="LJR18" s="310" t="s">
        <v>201</v>
      </c>
      <c r="LJS18" s="310" t="s">
        <v>201</v>
      </c>
      <c r="LJT18" s="310" t="s">
        <v>201</v>
      </c>
      <c r="LJU18" s="310" t="s">
        <v>201</v>
      </c>
      <c r="LJV18" s="310" t="s">
        <v>201</v>
      </c>
      <c r="LJW18" s="310" t="s">
        <v>201</v>
      </c>
      <c r="LJX18" s="310" t="s">
        <v>201</v>
      </c>
      <c r="LJY18" s="310" t="s">
        <v>201</v>
      </c>
      <c r="LJZ18" s="310" t="s">
        <v>201</v>
      </c>
      <c r="LKA18" s="310" t="s">
        <v>201</v>
      </c>
      <c r="LKB18" s="310" t="s">
        <v>201</v>
      </c>
      <c r="LKC18" s="310" t="s">
        <v>201</v>
      </c>
      <c r="LKD18" s="310" t="s">
        <v>201</v>
      </c>
      <c r="LKE18" s="310" t="s">
        <v>201</v>
      </c>
      <c r="LKF18" s="310" t="s">
        <v>201</v>
      </c>
      <c r="LKG18" s="310" t="s">
        <v>201</v>
      </c>
      <c r="LKH18" s="310" t="s">
        <v>201</v>
      </c>
      <c r="LKI18" s="310" t="s">
        <v>201</v>
      </c>
      <c r="LKJ18" s="310" t="s">
        <v>201</v>
      </c>
      <c r="LKK18" s="310" t="s">
        <v>201</v>
      </c>
      <c r="LKL18" s="310" t="s">
        <v>201</v>
      </c>
      <c r="LKM18" s="310" t="s">
        <v>201</v>
      </c>
      <c r="LKN18" s="310" t="s">
        <v>201</v>
      </c>
      <c r="LKO18" s="310" t="s">
        <v>201</v>
      </c>
      <c r="LKP18" s="310" t="s">
        <v>201</v>
      </c>
      <c r="LKQ18" s="310" t="s">
        <v>201</v>
      </c>
      <c r="LKR18" s="310" t="s">
        <v>201</v>
      </c>
      <c r="LKS18" s="310" t="s">
        <v>201</v>
      </c>
      <c r="LKT18" s="310" t="s">
        <v>201</v>
      </c>
      <c r="LKU18" s="310" t="s">
        <v>201</v>
      </c>
      <c r="LKV18" s="310" t="s">
        <v>201</v>
      </c>
      <c r="LKW18" s="310" t="s">
        <v>201</v>
      </c>
      <c r="LKX18" s="310" t="s">
        <v>201</v>
      </c>
      <c r="LKY18" s="310" t="s">
        <v>201</v>
      </c>
      <c r="LKZ18" s="310" t="s">
        <v>201</v>
      </c>
      <c r="LLA18" s="310" t="s">
        <v>201</v>
      </c>
      <c r="LLB18" s="310" t="s">
        <v>201</v>
      </c>
      <c r="LLC18" s="310" t="s">
        <v>201</v>
      </c>
      <c r="LLD18" s="310" t="s">
        <v>201</v>
      </c>
      <c r="LLE18" s="310" t="s">
        <v>201</v>
      </c>
      <c r="LLF18" s="310" t="s">
        <v>201</v>
      </c>
      <c r="LLG18" s="310" t="s">
        <v>201</v>
      </c>
      <c r="LLH18" s="310" t="s">
        <v>201</v>
      </c>
      <c r="LLI18" s="310" t="s">
        <v>201</v>
      </c>
      <c r="LLJ18" s="310" t="s">
        <v>201</v>
      </c>
      <c r="LLK18" s="310" t="s">
        <v>201</v>
      </c>
      <c r="LLL18" s="310" t="s">
        <v>201</v>
      </c>
      <c r="LLM18" s="310" t="s">
        <v>201</v>
      </c>
      <c r="LLN18" s="310" t="s">
        <v>201</v>
      </c>
      <c r="LLO18" s="310" t="s">
        <v>201</v>
      </c>
      <c r="LLP18" s="310" t="s">
        <v>201</v>
      </c>
      <c r="LLQ18" s="310" t="s">
        <v>201</v>
      </c>
      <c r="LLR18" s="310" t="s">
        <v>201</v>
      </c>
      <c r="LLS18" s="310" t="s">
        <v>201</v>
      </c>
      <c r="LLT18" s="310" t="s">
        <v>201</v>
      </c>
      <c r="LLU18" s="310" t="s">
        <v>201</v>
      </c>
      <c r="LLV18" s="310" t="s">
        <v>201</v>
      </c>
      <c r="LLW18" s="310" t="s">
        <v>201</v>
      </c>
      <c r="LLX18" s="310" t="s">
        <v>201</v>
      </c>
      <c r="LLY18" s="310" t="s">
        <v>201</v>
      </c>
      <c r="LLZ18" s="310" t="s">
        <v>201</v>
      </c>
      <c r="LMA18" s="310" t="s">
        <v>201</v>
      </c>
      <c r="LMB18" s="310" t="s">
        <v>201</v>
      </c>
      <c r="LMC18" s="310" t="s">
        <v>201</v>
      </c>
      <c r="LMD18" s="310" t="s">
        <v>201</v>
      </c>
      <c r="LME18" s="310" t="s">
        <v>201</v>
      </c>
      <c r="LMF18" s="310" t="s">
        <v>201</v>
      </c>
      <c r="LMG18" s="310" t="s">
        <v>201</v>
      </c>
      <c r="LMH18" s="310" t="s">
        <v>201</v>
      </c>
      <c r="LMI18" s="310" t="s">
        <v>201</v>
      </c>
      <c r="LMJ18" s="310" t="s">
        <v>201</v>
      </c>
      <c r="LMK18" s="310" t="s">
        <v>201</v>
      </c>
      <c r="LML18" s="310" t="s">
        <v>201</v>
      </c>
      <c r="LMM18" s="310" t="s">
        <v>201</v>
      </c>
      <c r="LMN18" s="310" t="s">
        <v>201</v>
      </c>
      <c r="LMO18" s="310" t="s">
        <v>201</v>
      </c>
      <c r="LMP18" s="310" t="s">
        <v>201</v>
      </c>
      <c r="LMQ18" s="310" t="s">
        <v>201</v>
      </c>
      <c r="LMR18" s="310" t="s">
        <v>201</v>
      </c>
      <c r="LMS18" s="310" t="s">
        <v>201</v>
      </c>
      <c r="LMT18" s="310" t="s">
        <v>201</v>
      </c>
      <c r="LMU18" s="310" t="s">
        <v>201</v>
      </c>
      <c r="LMV18" s="310" t="s">
        <v>201</v>
      </c>
      <c r="LMW18" s="310" t="s">
        <v>201</v>
      </c>
      <c r="LMX18" s="310" t="s">
        <v>201</v>
      </c>
      <c r="LMY18" s="310" t="s">
        <v>201</v>
      </c>
      <c r="LMZ18" s="310" t="s">
        <v>201</v>
      </c>
      <c r="LNA18" s="310" t="s">
        <v>201</v>
      </c>
      <c r="LNB18" s="310" t="s">
        <v>201</v>
      </c>
      <c r="LNC18" s="310" t="s">
        <v>201</v>
      </c>
      <c r="LND18" s="310" t="s">
        <v>201</v>
      </c>
      <c r="LNE18" s="310" t="s">
        <v>201</v>
      </c>
      <c r="LNF18" s="310" t="s">
        <v>201</v>
      </c>
      <c r="LNG18" s="310" t="s">
        <v>201</v>
      </c>
      <c r="LNH18" s="310" t="s">
        <v>201</v>
      </c>
      <c r="LNI18" s="310" t="s">
        <v>201</v>
      </c>
      <c r="LNJ18" s="310" t="s">
        <v>201</v>
      </c>
      <c r="LNK18" s="310" t="s">
        <v>201</v>
      </c>
      <c r="LNL18" s="310" t="s">
        <v>201</v>
      </c>
      <c r="LNM18" s="310" t="s">
        <v>201</v>
      </c>
      <c r="LNN18" s="310" t="s">
        <v>201</v>
      </c>
      <c r="LNO18" s="310" t="s">
        <v>201</v>
      </c>
      <c r="LNP18" s="310" t="s">
        <v>201</v>
      </c>
      <c r="LNQ18" s="310" t="s">
        <v>201</v>
      </c>
      <c r="LNR18" s="310" t="s">
        <v>201</v>
      </c>
      <c r="LNS18" s="310" t="s">
        <v>201</v>
      </c>
      <c r="LNT18" s="310" t="s">
        <v>201</v>
      </c>
      <c r="LNU18" s="310" t="s">
        <v>201</v>
      </c>
      <c r="LNV18" s="310" t="s">
        <v>201</v>
      </c>
      <c r="LNW18" s="310" t="s">
        <v>201</v>
      </c>
      <c r="LNX18" s="310" t="s">
        <v>201</v>
      </c>
      <c r="LNY18" s="310" t="s">
        <v>201</v>
      </c>
      <c r="LNZ18" s="310" t="s">
        <v>201</v>
      </c>
      <c r="LOA18" s="310" t="s">
        <v>201</v>
      </c>
      <c r="LOB18" s="310" t="s">
        <v>201</v>
      </c>
      <c r="LOC18" s="310" t="s">
        <v>201</v>
      </c>
      <c r="LOD18" s="310" t="s">
        <v>201</v>
      </c>
      <c r="LOE18" s="310" t="s">
        <v>201</v>
      </c>
      <c r="LOF18" s="310" t="s">
        <v>201</v>
      </c>
      <c r="LOG18" s="310" t="s">
        <v>201</v>
      </c>
      <c r="LOH18" s="310" t="s">
        <v>201</v>
      </c>
      <c r="LOI18" s="310" t="s">
        <v>201</v>
      </c>
      <c r="LOJ18" s="310" t="s">
        <v>201</v>
      </c>
      <c r="LOK18" s="310" t="s">
        <v>201</v>
      </c>
      <c r="LOL18" s="310" t="s">
        <v>201</v>
      </c>
      <c r="LOM18" s="310" t="s">
        <v>201</v>
      </c>
      <c r="LON18" s="310" t="s">
        <v>201</v>
      </c>
      <c r="LOO18" s="310" t="s">
        <v>201</v>
      </c>
      <c r="LOP18" s="310" t="s">
        <v>201</v>
      </c>
      <c r="LOQ18" s="310" t="s">
        <v>201</v>
      </c>
      <c r="LOR18" s="310" t="s">
        <v>201</v>
      </c>
      <c r="LOS18" s="310" t="s">
        <v>201</v>
      </c>
      <c r="LOT18" s="310" t="s">
        <v>201</v>
      </c>
      <c r="LOU18" s="310" t="s">
        <v>201</v>
      </c>
      <c r="LOV18" s="310" t="s">
        <v>201</v>
      </c>
      <c r="LOW18" s="310" t="s">
        <v>201</v>
      </c>
      <c r="LOX18" s="310" t="s">
        <v>201</v>
      </c>
      <c r="LOY18" s="310" t="s">
        <v>201</v>
      </c>
      <c r="LOZ18" s="310" t="s">
        <v>201</v>
      </c>
      <c r="LPA18" s="310" t="s">
        <v>201</v>
      </c>
      <c r="LPB18" s="310" t="s">
        <v>201</v>
      </c>
      <c r="LPC18" s="310" t="s">
        <v>201</v>
      </c>
      <c r="LPD18" s="310" t="s">
        <v>201</v>
      </c>
      <c r="LPE18" s="310" t="s">
        <v>201</v>
      </c>
      <c r="LPF18" s="310" t="s">
        <v>201</v>
      </c>
      <c r="LPG18" s="310" t="s">
        <v>201</v>
      </c>
      <c r="LPH18" s="310" t="s">
        <v>201</v>
      </c>
      <c r="LPI18" s="310" t="s">
        <v>201</v>
      </c>
      <c r="LPJ18" s="310" t="s">
        <v>201</v>
      </c>
      <c r="LPK18" s="310" t="s">
        <v>201</v>
      </c>
      <c r="LPL18" s="310" t="s">
        <v>201</v>
      </c>
      <c r="LPM18" s="310" t="s">
        <v>201</v>
      </c>
      <c r="LPN18" s="310" t="s">
        <v>201</v>
      </c>
      <c r="LPO18" s="310" t="s">
        <v>201</v>
      </c>
      <c r="LPP18" s="310" t="s">
        <v>201</v>
      </c>
      <c r="LPQ18" s="310" t="s">
        <v>201</v>
      </c>
      <c r="LPR18" s="310" t="s">
        <v>201</v>
      </c>
      <c r="LPS18" s="310" t="s">
        <v>201</v>
      </c>
      <c r="LPT18" s="310" t="s">
        <v>201</v>
      </c>
      <c r="LPU18" s="310" t="s">
        <v>201</v>
      </c>
      <c r="LPV18" s="310" t="s">
        <v>201</v>
      </c>
      <c r="LPW18" s="310" t="s">
        <v>201</v>
      </c>
      <c r="LPX18" s="310" t="s">
        <v>201</v>
      </c>
      <c r="LPY18" s="310" t="s">
        <v>201</v>
      </c>
      <c r="LPZ18" s="310" t="s">
        <v>201</v>
      </c>
      <c r="LQA18" s="310" t="s">
        <v>201</v>
      </c>
      <c r="LQB18" s="310" t="s">
        <v>201</v>
      </c>
      <c r="LQC18" s="310" t="s">
        <v>201</v>
      </c>
      <c r="LQD18" s="310" t="s">
        <v>201</v>
      </c>
      <c r="LQE18" s="310" t="s">
        <v>201</v>
      </c>
      <c r="LQF18" s="310" t="s">
        <v>201</v>
      </c>
      <c r="LQG18" s="310" t="s">
        <v>201</v>
      </c>
      <c r="LQH18" s="310" t="s">
        <v>201</v>
      </c>
      <c r="LQI18" s="310" t="s">
        <v>201</v>
      </c>
      <c r="LQJ18" s="310" t="s">
        <v>201</v>
      </c>
      <c r="LQK18" s="310" t="s">
        <v>201</v>
      </c>
      <c r="LQL18" s="310" t="s">
        <v>201</v>
      </c>
      <c r="LQM18" s="310" t="s">
        <v>201</v>
      </c>
      <c r="LQN18" s="310" t="s">
        <v>201</v>
      </c>
      <c r="LQO18" s="310" t="s">
        <v>201</v>
      </c>
      <c r="LQP18" s="310" t="s">
        <v>201</v>
      </c>
      <c r="LQQ18" s="310" t="s">
        <v>201</v>
      </c>
      <c r="LQR18" s="310" t="s">
        <v>201</v>
      </c>
      <c r="LQS18" s="310" t="s">
        <v>201</v>
      </c>
      <c r="LQT18" s="310" t="s">
        <v>201</v>
      </c>
      <c r="LQU18" s="310" t="s">
        <v>201</v>
      </c>
      <c r="LQV18" s="310" t="s">
        <v>201</v>
      </c>
      <c r="LQW18" s="310" t="s">
        <v>201</v>
      </c>
      <c r="LQX18" s="310" t="s">
        <v>201</v>
      </c>
      <c r="LQY18" s="310" t="s">
        <v>201</v>
      </c>
      <c r="LQZ18" s="310" t="s">
        <v>201</v>
      </c>
      <c r="LRA18" s="310" t="s">
        <v>201</v>
      </c>
      <c r="LRB18" s="310" t="s">
        <v>201</v>
      </c>
      <c r="LRC18" s="310" t="s">
        <v>201</v>
      </c>
      <c r="LRD18" s="310" t="s">
        <v>201</v>
      </c>
      <c r="LRE18" s="310" t="s">
        <v>201</v>
      </c>
      <c r="LRF18" s="310" t="s">
        <v>201</v>
      </c>
      <c r="LRG18" s="310" t="s">
        <v>201</v>
      </c>
      <c r="LRH18" s="310" t="s">
        <v>201</v>
      </c>
      <c r="LRI18" s="310" t="s">
        <v>201</v>
      </c>
      <c r="LRJ18" s="310" t="s">
        <v>201</v>
      </c>
      <c r="LRK18" s="310" t="s">
        <v>201</v>
      </c>
      <c r="LRL18" s="310" t="s">
        <v>201</v>
      </c>
      <c r="LRM18" s="310" t="s">
        <v>201</v>
      </c>
      <c r="LRN18" s="310" t="s">
        <v>201</v>
      </c>
      <c r="LRO18" s="310" t="s">
        <v>201</v>
      </c>
      <c r="LRP18" s="310" t="s">
        <v>201</v>
      </c>
      <c r="LRQ18" s="310" t="s">
        <v>201</v>
      </c>
      <c r="LRR18" s="310" t="s">
        <v>201</v>
      </c>
      <c r="LRS18" s="310" t="s">
        <v>201</v>
      </c>
      <c r="LRT18" s="310" t="s">
        <v>201</v>
      </c>
      <c r="LRU18" s="310" t="s">
        <v>201</v>
      </c>
      <c r="LRV18" s="310" t="s">
        <v>201</v>
      </c>
      <c r="LRW18" s="310" t="s">
        <v>201</v>
      </c>
      <c r="LRX18" s="310" t="s">
        <v>201</v>
      </c>
      <c r="LRY18" s="310" t="s">
        <v>201</v>
      </c>
      <c r="LRZ18" s="310" t="s">
        <v>201</v>
      </c>
      <c r="LSA18" s="310" t="s">
        <v>201</v>
      </c>
      <c r="LSB18" s="310" t="s">
        <v>201</v>
      </c>
      <c r="LSC18" s="310" t="s">
        <v>201</v>
      </c>
      <c r="LSD18" s="310" t="s">
        <v>201</v>
      </c>
      <c r="LSE18" s="310" t="s">
        <v>201</v>
      </c>
      <c r="LSF18" s="310" t="s">
        <v>201</v>
      </c>
      <c r="LSG18" s="310" t="s">
        <v>201</v>
      </c>
      <c r="LSH18" s="310" t="s">
        <v>201</v>
      </c>
      <c r="LSI18" s="310" t="s">
        <v>201</v>
      </c>
      <c r="LSJ18" s="310" t="s">
        <v>201</v>
      </c>
      <c r="LSK18" s="310" t="s">
        <v>201</v>
      </c>
      <c r="LSL18" s="310" t="s">
        <v>201</v>
      </c>
      <c r="LSM18" s="310" t="s">
        <v>201</v>
      </c>
      <c r="LSN18" s="310" t="s">
        <v>201</v>
      </c>
      <c r="LSO18" s="310" t="s">
        <v>201</v>
      </c>
      <c r="LSP18" s="310" t="s">
        <v>201</v>
      </c>
      <c r="LSQ18" s="310" t="s">
        <v>201</v>
      </c>
      <c r="LSR18" s="310" t="s">
        <v>201</v>
      </c>
      <c r="LSS18" s="310" t="s">
        <v>201</v>
      </c>
      <c r="LST18" s="310" t="s">
        <v>201</v>
      </c>
      <c r="LSU18" s="310" t="s">
        <v>201</v>
      </c>
      <c r="LSV18" s="310" t="s">
        <v>201</v>
      </c>
      <c r="LSW18" s="310" t="s">
        <v>201</v>
      </c>
      <c r="LSX18" s="310" t="s">
        <v>201</v>
      </c>
      <c r="LSY18" s="310" t="s">
        <v>201</v>
      </c>
      <c r="LSZ18" s="310" t="s">
        <v>201</v>
      </c>
      <c r="LTA18" s="310" t="s">
        <v>201</v>
      </c>
      <c r="LTB18" s="310" t="s">
        <v>201</v>
      </c>
      <c r="LTC18" s="310" t="s">
        <v>201</v>
      </c>
      <c r="LTD18" s="310" t="s">
        <v>201</v>
      </c>
      <c r="LTE18" s="310" t="s">
        <v>201</v>
      </c>
      <c r="LTF18" s="310" t="s">
        <v>201</v>
      </c>
      <c r="LTG18" s="310" t="s">
        <v>201</v>
      </c>
      <c r="LTH18" s="310" t="s">
        <v>201</v>
      </c>
      <c r="LTI18" s="310" t="s">
        <v>201</v>
      </c>
      <c r="LTJ18" s="310" t="s">
        <v>201</v>
      </c>
      <c r="LTK18" s="310" t="s">
        <v>201</v>
      </c>
      <c r="LTL18" s="310" t="s">
        <v>201</v>
      </c>
      <c r="LTM18" s="310" t="s">
        <v>201</v>
      </c>
      <c r="LTN18" s="310" t="s">
        <v>201</v>
      </c>
      <c r="LTO18" s="310" t="s">
        <v>201</v>
      </c>
      <c r="LTP18" s="310" t="s">
        <v>201</v>
      </c>
      <c r="LTQ18" s="310" t="s">
        <v>201</v>
      </c>
      <c r="LTR18" s="310" t="s">
        <v>201</v>
      </c>
      <c r="LTS18" s="310" t="s">
        <v>201</v>
      </c>
      <c r="LTT18" s="310" t="s">
        <v>201</v>
      </c>
      <c r="LTU18" s="310" t="s">
        <v>201</v>
      </c>
      <c r="LTV18" s="310" t="s">
        <v>201</v>
      </c>
      <c r="LTW18" s="310" t="s">
        <v>201</v>
      </c>
      <c r="LTX18" s="310" t="s">
        <v>201</v>
      </c>
      <c r="LTY18" s="310" t="s">
        <v>201</v>
      </c>
      <c r="LTZ18" s="310" t="s">
        <v>201</v>
      </c>
      <c r="LUA18" s="310" t="s">
        <v>201</v>
      </c>
      <c r="LUB18" s="310" t="s">
        <v>201</v>
      </c>
      <c r="LUC18" s="310" t="s">
        <v>201</v>
      </c>
      <c r="LUD18" s="310" t="s">
        <v>201</v>
      </c>
      <c r="LUE18" s="310" t="s">
        <v>201</v>
      </c>
      <c r="LUF18" s="310" t="s">
        <v>201</v>
      </c>
      <c r="LUG18" s="310" t="s">
        <v>201</v>
      </c>
      <c r="LUH18" s="310" t="s">
        <v>201</v>
      </c>
      <c r="LUI18" s="310" t="s">
        <v>201</v>
      </c>
      <c r="LUJ18" s="310" t="s">
        <v>201</v>
      </c>
      <c r="LUK18" s="310" t="s">
        <v>201</v>
      </c>
      <c r="LUL18" s="310" t="s">
        <v>201</v>
      </c>
      <c r="LUM18" s="310" t="s">
        <v>201</v>
      </c>
      <c r="LUN18" s="310" t="s">
        <v>201</v>
      </c>
      <c r="LUO18" s="310" t="s">
        <v>201</v>
      </c>
      <c r="LUP18" s="310" t="s">
        <v>201</v>
      </c>
      <c r="LUQ18" s="310" t="s">
        <v>201</v>
      </c>
      <c r="LUR18" s="310" t="s">
        <v>201</v>
      </c>
      <c r="LUS18" s="310" t="s">
        <v>201</v>
      </c>
      <c r="LUT18" s="310" t="s">
        <v>201</v>
      </c>
      <c r="LUU18" s="310" t="s">
        <v>201</v>
      </c>
      <c r="LUV18" s="310" t="s">
        <v>201</v>
      </c>
      <c r="LUW18" s="310" t="s">
        <v>201</v>
      </c>
      <c r="LUX18" s="310" t="s">
        <v>201</v>
      </c>
      <c r="LUY18" s="310" t="s">
        <v>201</v>
      </c>
      <c r="LUZ18" s="310" t="s">
        <v>201</v>
      </c>
      <c r="LVA18" s="310" t="s">
        <v>201</v>
      </c>
      <c r="LVB18" s="310" t="s">
        <v>201</v>
      </c>
      <c r="LVC18" s="310" t="s">
        <v>201</v>
      </c>
      <c r="LVD18" s="310" t="s">
        <v>201</v>
      </c>
      <c r="LVE18" s="310" t="s">
        <v>201</v>
      </c>
      <c r="LVF18" s="310" t="s">
        <v>201</v>
      </c>
      <c r="LVG18" s="310" t="s">
        <v>201</v>
      </c>
      <c r="LVH18" s="310" t="s">
        <v>201</v>
      </c>
      <c r="LVI18" s="310" t="s">
        <v>201</v>
      </c>
      <c r="LVJ18" s="310" t="s">
        <v>201</v>
      </c>
      <c r="LVK18" s="310" t="s">
        <v>201</v>
      </c>
      <c r="LVL18" s="310" t="s">
        <v>201</v>
      </c>
      <c r="LVM18" s="310" t="s">
        <v>201</v>
      </c>
      <c r="LVN18" s="310" t="s">
        <v>201</v>
      </c>
      <c r="LVO18" s="310" t="s">
        <v>201</v>
      </c>
      <c r="LVP18" s="310" t="s">
        <v>201</v>
      </c>
      <c r="LVQ18" s="310" t="s">
        <v>201</v>
      </c>
      <c r="LVR18" s="310" t="s">
        <v>201</v>
      </c>
      <c r="LVS18" s="310" t="s">
        <v>201</v>
      </c>
      <c r="LVT18" s="310" t="s">
        <v>201</v>
      </c>
      <c r="LVU18" s="310" t="s">
        <v>201</v>
      </c>
      <c r="LVV18" s="310" t="s">
        <v>201</v>
      </c>
      <c r="LVW18" s="310" t="s">
        <v>201</v>
      </c>
      <c r="LVX18" s="310" t="s">
        <v>201</v>
      </c>
      <c r="LVY18" s="310" t="s">
        <v>201</v>
      </c>
      <c r="LVZ18" s="310" t="s">
        <v>201</v>
      </c>
      <c r="LWA18" s="310" t="s">
        <v>201</v>
      </c>
      <c r="LWB18" s="310" t="s">
        <v>201</v>
      </c>
      <c r="LWC18" s="310" t="s">
        <v>201</v>
      </c>
      <c r="LWD18" s="310" t="s">
        <v>201</v>
      </c>
      <c r="LWE18" s="310" t="s">
        <v>201</v>
      </c>
      <c r="LWF18" s="310" t="s">
        <v>201</v>
      </c>
      <c r="LWG18" s="310" t="s">
        <v>201</v>
      </c>
      <c r="LWH18" s="310" t="s">
        <v>201</v>
      </c>
      <c r="LWI18" s="310" t="s">
        <v>201</v>
      </c>
      <c r="LWJ18" s="310" t="s">
        <v>201</v>
      </c>
      <c r="LWK18" s="310" t="s">
        <v>201</v>
      </c>
      <c r="LWL18" s="310" t="s">
        <v>201</v>
      </c>
      <c r="LWM18" s="310" t="s">
        <v>201</v>
      </c>
      <c r="LWN18" s="310" t="s">
        <v>201</v>
      </c>
      <c r="LWO18" s="310" t="s">
        <v>201</v>
      </c>
      <c r="LWP18" s="310" t="s">
        <v>201</v>
      </c>
      <c r="LWQ18" s="310" t="s">
        <v>201</v>
      </c>
      <c r="LWR18" s="310" t="s">
        <v>201</v>
      </c>
      <c r="LWS18" s="310" t="s">
        <v>201</v>
      </c>
      <c r="LWT18" s="310" t="s">
        <v>201</v>
      </c>
      <c r="LWU18" s="310" t="s">
        <v>201</v>
      </c>
      <c r="LWV18" s="310" t="s">
        <v>201</v>
      </c>
      <c r="LWW18" s="310" t="s">
        <v>201</v>
      </c>
      <c r="LWX18" s="310" t="s">
        <v>201</v>
      </c>
      <c r="LWY18" s="310" t="s">
        <v>201</v>
      </c>
      <c r="LWZ18" s="310" t="s">
        <v>201</v>
      </c>
      <c r="LXA18" s="310" t="s">
        <v>201</v>
      </c>
      <c r="LXB18" s="310" t="s">
        <v>201</v>
      </c>
      <c r="LXC18" s="310" t="s">
        <v>201</v>
      </c>
      <c r="LXD18" s="310" t="s">
        <v>201</v>
      </c>
      <c r="LXE18" s="310" t="s">
        <v>201</v>
      </c>
      <c r="LXF18" s="310" t="s">
        <v>201</v>
      </c>
      <c r="LXG18" s="310" t="s">
        <v>201</v>
      </c>
      <c r="LXH18" s="310" t="s">
        <v>201</v>
      </c>
      <c r="LXI18" s="310" t="s">
        <v>201</v>
      </c>
      <c r="LXJ18" s="310" t="s">
        <v>201</v>
      </c>
      <c r="LXK18" s="310" t="s">
        <v>201</v>
      </c>
      <c r="LXL18" s="310" t="s">
        <v>201</v>
      </c>
      <c r="LXM18" s="310" t="s">
        <v>201</v>
      </c>
      <c r="LXN18" s="310" t="s">
        <v>201</v>
      </c>
      <c r="LXO18" s="310" t="s">
        <v>201</v>
      </c>
      <c r="LXP18" s="310" t="s">
        <v>201</v>
      </c>
      <c r="LXQ18" s="310" t="s">
        <v>201</v>
      </c>
      <c r="LXR18" s="310" t="s">
        <v>201</v>
      </c>
      <c r="LXS18" s="310" t="s">
        <v>201</v>
      </c>
      <c r="LXT18" s="310" t="s">
        <v>201</v>
      </c>
      <c r="LXU18" s="310" t="s">
        <v>201</v>
      </c>
      <c r="LXV18" s="310" t="s">
        <v>201</v>
      </c>
      <c r="LXW18" s="310" t="s">
        <v>201</v>
      </c>
      <c r="LXX18" s="310" t="s">
        <v>201</v>
      </c>
      <c r="LXY18" s="310" t="s">
        <v>201</v>
      </c>
      <c r="LXZ18" s="310" t="s">
        <v>201</v>
      </c>
      <c r="LYA18" s="310" t="s">
        <v>201</v>
      </c>
      <c r="LYB18" s="310" t="s">
        <v>201</v>
      </c>
      <c r="LYC18" s="310" t="s">
        <v>201</v>
      </c>
      <c r="LYD18" s="310" t="s">
        <v>201</v>
      </c>
      <c r="LYE18" s="310" t="s">
        <v>201</v>
      </c>
      <c r="LYF18" s="310" t="s">
        <v>201</v>
      </c>
      <c r="LYG18" s="310" t="s">
        <v>201</v>
      </c>
      <c r="LYH18" s="310" t="s">
        <v>201</v>
      </c>
      <c r="LYI18" s="310" t="s">
        <v>201</v>
      </c>
      <c r="LYJ18" s="310" t="s">
        <v>201</v>
      </c>
      <c r="LYK18" s="310" t="s">
        <v>201</v>
      </c>
      <c r="LYL18" s="310" t="s">
        <v>201</v>
      </c>
      <c r="LYM18" s="310" t="s">
        <v>201</v>
      </c>
      <c r="LYN18" s="310" t="s">
        <v>201</v>
      </c>
      <c r="LYO18" s="310" t="s">
        <v>201</v>
      </c>
      <c r="LYP18" s="310" t="s">
        <v>201</v>
      </c>
      <c r="LYQ18" s="310" t="s">
        <v>201</v>
      </c>
      <c r="LYR18" s="310" t="s">
        <v>201</v>
      </c>
      <c r="LYS18" s="310" t="s">
        <v>201</v>
      </c>
      <c r="LYT18" s="310" t="s">
        <v>201</v>
      </c>
      <c r="LYU18" s="310" t="s">
        <v>201</v>
      </c>
      <c r="LYV18" s="310" t="s">
        <v>201</v>
      </c>
      <c r="LYW18" s="310" t="s">
        <v>201</v>
      </c>
      <c r="LYX18" s="310" t="s">
        <v>201</v>
      </c>
      <c r="LYY18" s="310" t="s">
        <v>201</v>
      </c>
      <c r="LYZ18" s="310" t="s">
        <v>201</v>
      </c>
      <c r="LZA18" s="310" t="s">
        <v>201</v>
      </c>
      <c r="LZB18" s="310" t="s">
        <v>201</v>
      </c>
      <c r="LZC18" s="310" t="s">
        <v>201</v>
      </c>
      <c r="LZD18" s="310" t="s">
        <v>201</v>
      </c>
      <c r="LZE18" s="310" t="s">
        <v>201</v>
      </c>
      <c r="LZF18" s="310" t="s">
        <v>201</v>
      </c>
      <c r="LZG18" s="310" t="s">
        <v>201</v>
      </c>
      <c r="LZH18" s="310" t="s">
        <v>201</v>
      </c>
      <c r="LZI18" s="310" t="s">
        <v>201</v>
      </c>
      <c r="LZJ18" s="310" t="s">
        <v>201</v>
      </c>
      <c r="LZK18" s="310" t="s">
        <v>201</v>
      </c>
      <c r="LZL18" s="310" t="s">
        <v>201</v>
      </c>
      <c r="LZM18" s="310" t="s">
        <v>201</v>
      </c>
      <c r="LZN18" s="310" t="s">
        <v>201</v>
      </c>
      <c r="LZO18" s="310" t="s">
        <v>201</v>
      </c>
      <c r="LZP18" s="310" t="s">
        <v>201</v>
      </c>
      <c r="LZQ18" s="310" t="s">
        <v>201</v>
      </c>
      <c r="LZR18" s="310" t="s">
        <v>201</v>
      </c>
      <c r="LZS18" s="310" t="s">
        <v>201</v>
      </c>
      <c r="LZT18" s="310" t="s">
        <v>201</v>
      </c>
      <c r="LZU18" s="310" t="s">
        <v>201</v>
      </c>
      <c r="LZV18" s="310" t="s">
        <v>201</v>
      </c>
      <c r="LZW18" s="310" t="s">
        <v>201</v>
      </c>
      <c r="LZX18" s="310" t="s">
        <v>201</v>
      </c>
      <c r="LZY18" s="310" t="s">
        <v>201</v>
      </c>
      <c r="LZZ18" s="310" t="s">
        <v>201</v>
      </c>
      <c r="MAA18" s="310" t="s">
        <v>201</v>
      </c>
      <c r="MAB18" s="310" t="s">
        <v>201</v>
      </c>
      <c r="MAC18" s="310" t="s">
        <v>201</v>
      </c>
      <c r="MAD18" s="310" t="s">
        <v>201</v>
      </c>
      <c r="MAE18" s="310" t="s">
        <v>201</v>
      </c>
      <c r="MAF18" s="310" t="s">
        <v>201</v>
      </c>
      <c r="MAG18" s="310" t="s">
        <v>201</v>
      </c>
      <c r="MAH18" s="310" t="s">
        <v>201</v>
      </c>
      <c r="MAI18" s="310" t="s">
        <v>201</v>
      </c>
      <c r="MAJ18" s="310" t="s">
        <v>201</v>
      </c>
      <c r="MAK18" s="310" t="s">
        <v>201</v>
      </c>
      <c r="MAL18" s="310" t="s">
        <v>201</v>
      </c>
      <c r="MAM18" s="310" t="s">
        <v>201</v>
      </c>
      <c r="MAN18" s="310" t="s">
        <v>201</v>
      </c>
      <c r="MAO18" s="310" t="s">
        <v>201</v>
      </c>
      <c r="MAP18" s="310" t="s">
        <v>201</v>
      </c>
      <c r="MAQ18" s="310" t="s">
        <v>201</v>
      </c>
      <c r="MAR18" s="310" t="s">
        <v>201</v>
      </c>
      <c r="MAS18" s="310" t="s">
        <v>201</v>
      </c>
      <c r="MAT18" s="310" t="s">
        <v>201</v>
      </c>
      <c r="MAU18" s="310" t="s">
        <v>201</v>
      </c>
      <c r="MAV18" s="310" t="s">
        <v>201</v>
      </c>
      <c r="MAW18" s="310" t="s">
        <v>201</v>
      </c>
      <c r="MAX18" s="310" t="s">
        <v>201</v>
      </c>
      <c r="MAY18" s="310" t="s">
        <v>201</v>
      </c>
      <c r="MAZ18" s="310" t="s">
        <v>201</v>
      </c>
      <c r="MBA18" s="310" t="s">
        <v>201</v>
      </c>
      <c r="MBB18" s="310" t="s">
        <v>201</v>
      </c>
      <c r="MBC18" s="310" t="s">
        <v>201</v>
      </c>
      <c r="MBD18" s="310" t="s">
        <v>201</v>
      </c>
      <c r="MBE18" s="310" t="s">
        <v>201</v>
      </c>
      <c r="MBF18" s="310" t="s">
        <v>201</v>
      </c>
      <c r="MBG18" s="310" t="s">
        <v>201</v>
      </c>
      <c r="MBH18" s="310" t="s">
        <v>201</v>
      </c>
      <c r="MBI18" s="310" t="s">
        <v>201</v>
      </c>
      <c r="MBJ18" s="310" t="s">
        <v>201</v>
      </c>
      <c r="MBK18" s="310" t="s">
        <v>201</v>
      </c>
      <c r="MBL18" s="310" t="s">
        <v>201</v>
      </c>
      <c r="MBM18" s="310" t="s">
        <v>201</v>
      </c>
      <c r="MBN18" s="310" t="s">
        <v>201</v>
      </c>
      <c r="MBO18" s="310" t="s">
        <v>201</v>
      </c>
      <c r="MBP18" s="310" t="s">
        <v>201</v>
      </c>
      <c r="MBQ18" s="310" t="s">
        <v>201</v>
      </c>
      <c r="MBR18" s="310" t="s">
        <v>201</v>
      </c>
      <c r="MBS18" s="310" t="s">
        <v>201</v>
      </c>
      <c r="MBT18" s="310" t="s">
        <v>201</v>
      </c>
      <c r="MBU18" s="310" t="s">
        <v>201</v>
      </c>
      <c r="MBV18" s="310" t="s">
        <v>201</v>
      </c>
      <c r="MBW18" s="310" t="s">
        <v>201</v>
      </c>
      <c r="MBX18" s="310" t="s">
        <v>201</v>
      </c>
      <c r="MBY18" s="310" t="s">
        <v>201</v>
      </c>
      <c r="MBZ18" s="310" t="s">
        <v>201</v>
      </c>
      <c r="MCA18" s="310" t="s">
        <v>201</v>
      </c>
      <c r="MCB18" s="310" t="s">
        <v>201</v>
      </c>
      <c r="MCC18" s="310" t="s">
        <v>201</v>
      </c>
      <c r="MCD18" s="310" t="s">
        <v>201</v>
      </c>
      <c r="MCE18" s="310" t="s">
        <v>201</v>
      </c>
      <c r="MCF18" s="310" t="s">
        <v>201</v>
      </c>
      <c r="MCG18" s="310" t="s">
        <v>201</v>
      </c>
      <c r="MCH18" s="310" t="s">
        <v>201</v>
      </c>
      <c r="MCI18" s="310" t="s">
        <v>201</v>
      </c>
      <c r="MCJ18" s="310" t="s">
        <v>201</v>
      </c>
      <c r="MCK18" s="310" t="s">
        <v>201</v>
      </c>
      <c r="MCL18" s="310" t="s">
        <v>201</v>
      </c>
      <c r="MCM18" s="310" t="s">
        <v>201</v>
      </c>
      <c r="MCN18" s="310" t="s">
        <v>201</v>
      </c>
      <c r="MCO18" s="310" t="s">
        <v>201</v>
      </c>
      <c r="MCP18" s="310" t="s">
        <v>201</v>
      </c>
      <c r="MCQ18" s="310" t="s">
        <v>201</v>
      </c>
      <c r="MCR18" s="310" t="s">
        <v>201</v>
      </c>
      <c r="MCS18" s="310" t="s">
        <v>201</v>
      </c>
      <c r="MCT18" s="310" t="s">
        <v>201</v>
      </c>
      <c r="MCU18" s="310" t="s">
        <v>201</v>
      </c>
      <c r="MCV18" s="310" t="s">
        <v>201</v>
      </c>
      <c r="MCW18" s="310" t="s">
        <v>201</v>
      </c>
      <c r="MCX18" s="310" t="s">
        <v>201</v>
      </c>
      <c r="MCY18" s="310" t="s">
        <v>201</v>
      </c>
      <c r="MCZ18" s="310" t="s">
        <v>201</v>
      </c>
      <c r="MDA18" s="310" t="s">
        <v>201</v>
      </c>
      <c r="MDB18" s="310" t="s">
        <v>201</v>
      </c>
      <c r="MDC18" s="310" t="s">
        <v>201</v>
      </c>
      <c r="MDD18" s="310" t="s">
        <v>201</v>
      </c>
      <c r="MDE18" s="310" t="s">
        <v>201</v>
      </c>
      <c r="MDF18" s="310" t="s">
        <v>201</v>
      </c>
      <c r="MDG18" s="310" t="s">
        <v>201</v>
      </c>
      <c r="MDH18" s="310" t="s">
        <v>201</v>
      </c>
      <c r="MDI18" s="310" t="s">
        <v>201</v>
      </c>
      <c r="MDJ18" s="310" t="s">
        <v>201</v>
      </c>
      <c r="MDK18" s="310" t="s">
        <v>201</v>
      </c>
      <c r="MDL18" s="310" t="s">
        <v>201</v>
      </c>
      <c r="MDM18" s="310" t="s">
        <v>201</v>
      </c>
      <c r="MDN18" s="310" t="s">
        <v>201</v>
      </c>
      <c r="MDO18" s="310" t="s">
        <v>201</v>
      </c>
      <c r="MDP18" s="310" t="s">
        <v>201</v>
      </c>
      <c r="MDQ18" s="310" t="s">
        <v>201</v>
      </c>
      <c r="MDR18" s="310" t="s">
        <v>201</v>
      </c>
      <c r="MDS18" s="310" t="s">
        <v>201</v>
      </c>
      <c r="MDT18" s="310" t="s">
        <v>201</v>
      </c>
      <c r="MDU18" s="310" t="s">
        <v>201</v>
      </c>
      <c r="MDV18" s="310" t="s">
        <v>201</v>
      </c>
      <c r="MDW18" s="310" t="s">
        <v>201</v>
      </c>
      <c r="MDX18" s="310" t="s">
        <v>201</v>
      </c>
      <c r="MDY18" s="310" t="s">
        <v>201</v>
      </c>
      <c r="MDZ18" s="310" t="s">
        <v>201</v>
      </c>
      <c r="MEA18" s="310" t="s">
        <v>201</v>
      </c>
      <c r="MEB18" s="310" t="s">
        <v>201</v>
      </c>
      <c r="MEC18" s="310" t="s">
        <v>201</v>
      </c>
      <c r="MED18" s="310" t="s">
        <v>201</v>
      </c>
      <c r="MEE18" s="310" t="s">
        <v>201</v>
      </c>
      <c r="MEF18" s="310" t="s">
        <v>201</v>
      </c>
      <c r="MEG18" s="310" t="s">
        <v>201</v>
      </c>
      <c r="MEH18" s="310" t="s">
        <v>201</v>
      </c>
      <c r="MEI18" s="310" t="s">
        <v>201</v>
      </c>
      <c r="MEJ18" s="310" t="s">
        <v>201</v>
      </c>
      <c r="MEK18" s="310" t="s">
        <v>201</v>
      </c>
      <c r="MEL18" s="310" t="s">
        <v>201</v>
      </c>
      <c r="MEM18" s="310" t="s">
        <v>201</v>
      </c>
      <c r="MEN18" s="310" t="s">
        <v>201</v>
      </c>
      <c r="MEO18" s="310" t="s">
        <v>201</v>
      </c>
      <c r="MEP18" s="310" t="s">
        <v>201</v>
      </c>
      <c r="MEQ18" s="310" t="s">
        <v>201</v>
      </c>
      <c r="MER18" s="310" t="s">
        <v>201</v>
      </c>
      <c r="MES18" s="310" t="s">
        <v>201</v>
      </c>
      <c r="MET18" s="310" t="s">
        <v>201</v>
      </c>
      <c r="MEU18" s="310" t="s">
        <v>201</v>
      </c>
      <c r="MEV18" s="310" t="s">
        <v>201</v>
      </c>
      <c r="MEW18" s="310" t="s">
        <v>201</v>
      </c>
      <c r="MEX18" s="310" t="s">
        <v>201</v>
      </c>
      <c r="MEY18" s="310" t="s">
        <v>201</v>
      </c>
      <c r="MEZ18" s="310" t="s">
        <v>201</v>
      </c>
      <c r="MFA18" s="310" t="s">
        <v>201</v>
      </c>
      <c r="MFB18" s="310" t="s">
        <v>201</v>
      </c>
      <c r="MFC18" s="310" t="s">
        <v>201</v>
      </c>
      <c r="MFD18" s="310" t="s">
        <v>201</v>
      </c>
      <c r="MFE18" s="310" t="s">
        <v>201</v>
      </c>
      <c r="MFF18" s="310" t="s">
        <v>201</v>
      </c>
      <c r="MFG18" s="310" t="s">
        <v>201</v>
      </c>
      <c r="MFH18" s="310" t="s">
        <v>201</v>
      </c>
      <c r="MFI18" s="310" t="s">
        <v>201</v>
      </c>
      <c r="MFJ18" s="310" t="s">
        <v>201</v>
      </c>
      <c r="MFK18" s="310" t="s">
        <v>201</v>
      </c>
      <c r="MFL18" s="310" t="s">
        <v>201</v>
      </c>
      <c r="MFM18" s="310" t="s">
        <v>201</v>
      </c>
      <c r="MFN18" s="310" t="s">
        <v>201</v>
      </c>
      <c r="MFO18" s="310" t="s">
        <v>201</v>
      </c>
      <c r="MFP18" s="310" t="s">
        <v>201</v>
      </c>
      <c r="MFQ18" s="310" t="s">
        <v>201</v>
      </c>
      <c r="MFR18" s="310" t="s">
        <v>201</v>
      </c>
      <c r="MFS18" s="310" t="s">
        <v>201</v>
      </c>
      <c r="MFT18" s="310" t="s">
        <v>201</v>
      </c>
      <c r="MFU18" s="310" t="s">
        <v>201</v>
      </c>
      <c r="MFV18" s="310" t="s">
        <v>201</v>
      </c>
      <c r="MFW18" s="310" t="s">
        <v>201</v>
      </c>
      <c r="MFX18" s="310" t="s">
        <v>201</v>
      </c>
      <c r="MFY18" s="310" t="s">
        <v>201</v>
      </c>
      <c r="MFZ18" s="310" t="s">
        <v>201</v>
      </c>
      <c r="MGA18" s="310" t="s">
        <v>201</v>
      </c>
      <c r="MGB18" s="310" t="s">
        <v>201</v>
      </c>
      <c r="MGC18" s="310" t="s">
        <v>201</v>
      </c>
      <c r="MGD18" s="310" t="s">
        <v>201</v>
      </c>
      <c r="MGE18" s="310" t="s">
        <v>201</v>
      </c>
      <c r="MGF18" s="310" t="s">
        <v>201</v>
      </c>
      <c r="MGG18" s="310" t="s">
        <v>201</v>
      </c>
      <c r="MGH18" s="310" t="s">
        <v>201</v>
      </c>
      <c r="MGI18" s="310" t="s">
        <v>201</v>
      </c>
      <c r="MGJ18" s="310" t="s">
        <v>201</v>
      </c>
      <c r="MGK18" s="310" t="s">
        <v>201</v>
      </c>
      <c r="MGL18" s="310" t="s">
        <v>201</v>
      </c>
      <c r="MGM18" s="310" t="s">
        <v>201</v>
      </c>
      <c r="MGN18" s="310" t="s">
        <v>201</v>
      </c>
      <c r="MGO18" s="310" t="s">
        <v>201</v>
      </c>
      <c r="MGP18" s="310" t="s">
        <v>201</v>
      </c>
      <c r="MGQ18" s="310" t="s">
        <v>201</v>
      </c>
      <c r="MGR18" s="310" t="s">
        <v>201</v>
      </c>
      <c r="MGS18" s="310" t="s">
        <v>201</v>
      </c>
      <c r="MGT18" s="310" t="s">
        <v>201</v>
      </c>
      <c r="MGU18" s="310" t="s">
        <v>201</v>
      </c>
      <c r="MGV18" s="310" t="s">
        <v>201</v>
      </c>
      <c r="MGW18" s="310" t="s">
        <v>201</v>
      </c>
      <c r="MGX18" s="310" t="s">
        <v>201</v>
      </c>
      <c r="MGY18" s="310" t="s">
        <v>201</v>
      </c>
      <c r="MGZ18" s="310" t="s">
        <v>201</v>
      </c>
      <c r="MHA18" s="310" t="s">
        <v>201</v>
      </c>
      <c r="MHB18" s="310" t="s">
        <v>201</v>
      </c>
      <c r="MHC18" s="310" t="s">
        <v>201</v>
      </c>
      <c r="MHD18" s="310" t="s">
        <v>201</v>
      </c>
      <c r="MHE18" s="310" t="s">
        <v>201</v>
      </c>
      <c r="MHF18" s="310" t="s">
        <v>201</v>
      </c>
      <c r="MHG18" s="310" t="s">
        <v>201</v>
      </c>
      <c r="MHH18" s="310" t="s">
        <v>201</v>
      </c>
      <c r="MHI18" s="310" t="s">
        <v>201</v>
      </c>
      <c r="MHJ18" s="310" t="s">
        <v>201</v>
      </c>
      <c r="MHK18" s="310" t="s">
        <v>201</v>
      </c>
      <c r="MHL18" s="310" t="s">
        <v>201</v>
      </c>
      <c r="MHM18" s="310" t="s">
        <v>201</v>
      </c>
      <c r="MHN18" s="310" t="s">
        <v>201</v>
      </c>
      <c r="MHO18" s="310" t="s">
        <v>201</v>
      </c>
      <c r="MHP18" s="310" t="s">
        <v>201</v>
      </c>
      <c r="MHQ18" s="310" t="s">
        <v>201</v>
      </c>
      <c r="MHR18" s="310" t="s">
        <v>201</v>
      </c>
      <c r="MHS18" s="310" t="s">
        <v>201</v>
      </c>
      <c r="MHT18" s="310" t="s">
        <v>201</v>
      </c>
      <c r="MHU18" s="310" t="s">
        <v>201</v>
      </c>
      <c r="MHV18" s="310" t="s">
        <v>201</v>
      </c>
      <c r="MHW18" s="310" t="s">
        <v>201</v>
      </c>
      <c r="MHX18" s="310" t="s">
        <v>201</v>
      </c>
      <c r="MHY18" s="310" t="s">
        <v>201</v>
      </c>
      <c r="MHZ18" s="310" t="s">
        <v>201</v>
      </c>
      <c r="MIA18" s="310" t="s">
        <v>201</v>
      </c>
      <c r="MIB18" s="310" t="s">
        <v>201</v>
      </c>
      <c r="MIC18" s="310" t="s">
        <v>201</v>
      </c>
      <c r="MID18" s="310" t="s">
        <v>201</v>
      </c>
      <c r="MIE18" s="310" t="s">
        <v>201</v>
      </c>
      <c r="MIF18" s="310" t="s">
        <v>201</v>
      </c>
      <c r="MIG18" s="310" t="s">
        <v>201</v>
      </c>
      <c r="MIH18" s="310" t="s">
        <v>201</v>
      </c>
      <c r="MII18" s="310" t="s">
        <v>201</v>
      </c>
      <c r="MIJ18" s="310" t="s">
        <v>201</v>
      </c>
      <c r="MIK18" s="310" t="s">
        <v>201</v>
      </c>
      <c r="MIL18" s="310" t="s">
        <v>201</v>
      </c>
      <c r="MIM18" s="310" t="s">
        <v>201</v>
      </c>
      <c r="MIN18" s="310" t="s">
        <v>201</v>
      </c>
      <c r="MIO18" s="310" t="s">
        <v>201</v>
      </c>
      <c r="MIP18" s="310" t="s">
        <v>201</v>
      </c>
      <c r="MIQ18" s="310" t="s">
        <v>201</v>
      </c>
      <c r="MIR18" s="310" t="s">
        <v>201</v>
      </c>
      <c r="MIS18" s="310" t="s">
        <v>201</v>
      </c>
      <c r="MIT18" s="310" t="s">
        <v>201</v>
      </c>
      <c r="MIU18" s="310" t="s">
        <v>201</v>
      </c>
      <c r="MIV18" s="310" t="s">
        <v>201</v>
      </c>
      <c r="MIW18" s="310" t="s">
        <v>201</v>
      </c>
      <c r="MIX18" s="310" t="s">
        <v>201</v>
      </c>
      <c r="MIY18" s="310" t="s">
        <v>201</v>
      </c>
      <c r="MIZ18" s="310" t="s">
        <v>201</v>
      </c>
      <c r="MJA18" s="310" t="s">
        <v>201</v>
      </c>
      <c r="MJB18" s="310" t="s">
        <v>201</v>
      </c>
      <c r="MJC18" s="310" t="s">
        <v>201</v>
      </c>
      <c r="MJD18" s="310" t="s">
        <v>201</v>
      </c>
      <c r="MJE18" s="310" t="s">
        <v>201</v>
      </c>
      <c r="MJF18" s="310" t="s">
        <v>201</v>
      </c>
      <c r="MJG18" s="310" t="s">
        <v>201</v>
      </c>
      <c r="MJH18" s="310" t="s">
        <v>201</v>
      </c>
      <c r="MJI18" s="310" t="s">
        <v>201</v>
      </c>
      <c r="MJJ18" s="310" t="s">
        <v>201</v>
      </c>
      <c r="MJK18" s="310" t="s">
        <v>201</v>
      </c>
      <c r="MJL18" s="310" t="s">
        <v>201</v>
      </c>
      <c r="MJM18" s="310" t="s">
        <v>201</v>
      </c>
      <c r="MJN18" s="310" t="s">
        <v>201</v>
      </c>
      <c r="MJO18" s="310" t="s">
        <v>201</v>
      </c>
      <c r="MJP18" s="310" t="s">
        <v>201</v>
      </c>
      <c r="MJQ18" s="310" t="s">
        <v>201</v>
      </c>
      <c r="MJR18" s="310" t="s">
        <v>201</v>
      </c>
      <c r="MJS18" s="310" t="s">
        <v>201</v>
      </c>
      <c r="MJT18" s="310" t="s">
        <v>201</v>
      </c>
      <c r="MJU18" s="310" t="s">
        <v>201</v>
      </c>
      <c r="MJV18" s="310" t="s">
        <v>201</v>
      </c>
      <c r="MJW18" s="310" t="s">
        <v>201</v>
      </c>
      <c r="MJX18" s="310" t="s">
        <v>201</v>
      </c>
      <c r="MJY18" s="310" t="s">
        <v>201</v>
      </c>
      <c r="MJZ18" s="310" t="s">
        <v>201</v>
      </c>
      <c r="MKA18" s="310" t="s">
        <v>201</v>
      </c>
      <c r="MKB18" s="310" t="s">
        <v>201</v>
      </c>
      <c r="MKC18" s="310" t="s">
        <v>201</v>
      </c>
      <c r="MKD18" s="310" t="s">
        <v>201</v>
      </c>
      <c r="MKE18" s="310" t="s">
        <v>201</v>
      </c>
      <c r="MKF18" s="310" t="s">
        <v>201</v>
      </c>
      <c r="MKG18" s="310" t="s">
        <v>201</v>
      </c>
      <c r="MKH18" s="310" t="s">
        <v>201</v>
      </c>
      <c r="MKI18" s="310" t="s">
        <v>201</v>
      </c>
      <c r="MKJ18" s="310" t="s">
        <v>201</v>
      </c>
      <c r="MKK18" s="310" t="s">
        <v>201</v>
      </c>
      <c r="MKL18" s="310" t="s">
        <v>201</v>
      </c>
      <c r="MKM18" s="310" t="s">
        <v>201</v>
      </c>
      <c r="MKN18" s="310" t="s">
        <v>201</v>
      </c>
      <c r="MKO18" s="310" t="s">
        <v>201</v>
      </c>
      <c r="MKP18" s="310" t="s">
        <v>201</v>
      </c>
      <c r="MKQ18" s="310" t="s">
        <v>201</v>
      </c>
      <c r="MKR18" s="310" t="s">
        <v>201</v>
      </c>
      <c r="MKS18" s="310" t="s">
        <v>201</v>
      </c>
      <c r="MKT18" s="310" t="s">
        <v>201</v>
      </c>
      <c r="MKU18" s="310" t="s">
        <v>201</v>
      </c>
      <c r="MKV18" s="310" t="s">
        <v>201</v>
      </c>
      <c r="MKW18" s="310" t="s">
        <v>201</v>
      </c>
      <c r="MKX18" s="310" t="s">
        <v>201</v>
      </c>
      <c r="MKY18" s="310" t="s">
        <v>201</v>
      </c>
      <c r="MKZ18" s="310" t="s">
        <v>201</v>
      </c>
      <c r="MLA18" s="310" t="s">
        <v>201</v>
      </c>
      <c r="MLB18" s="310" t="s">
        <v>201</v>
      </c>
      <c r="MLC18" s="310" t="s">
        <v>201</v>
      </c>
      <c r="MLD18" s="310" t="s">
        <v>201</v>
      </c>
      <c r="MLE18" s="310" t="s">
        <v>201</v>
      </c>
      <c r="MLF18" s="310" t="s">
        <v>201</v>
      </c>
      <c r="MLG18" s="310" t="s">
        <v>201</v>
      </c>
      <c r="MLH18" s="310" t="s">
        <v>201</v>
      </c>
      <c r="MLI18" s="310" t="s">
        <v>201</v>
      </c>
      <c r="MLJ18" s="310" t="s">
        <v>201</v>
      </c>
      <c r="MLK18" s="310" t="s">
        <v>201</v>
      </c>
      <c r="MLL18" s="310" t="s">
        <v>201</v>
      </c>
      <c r="MLM18" s="310" t="s">
        <v>201</v>
      </c>
      <c r="MLN18" s="310" t="s">
        <v>201</v>
      </c>
      <c r="MLO18" s="310" t="s">
        <v>201</v>
      </c>
      <c r="MLP18" s="310" t="s">
        <v>201</v>
      </c>
      <c r="MLQ18" s="310" t="s">
        <v>201</v>
      </c>
      <c r="MLR18" s="310" t="s">
        <v>201</v>
      </c>
      <c r="MLS18" s="310" t="s">
        <v>201</v>
      </c>
      <c r="MLT18" s="310" t="s">
        <v>201</v>
      </c>
      <c r="MLU18" s="310" t="s">
        <v>201</v>
      </c>
      <c r="MLV18" s="310" t="s">
        <v>201</v>
      </c>
      <c r="MLW18" s="310" t="s">
        <v>201</v>
      </c>
      <c r="MLX18" s="310" t="s">
        <v>201</v>
      </c>
      <c r="MLY18" s="310" t="s">
        <v>201</v>
      </c>
      <c r="MLZ18" s="310" t="s">
        <v>201</v>
      </c>
      <c r="MMA18" s="310" t="s">
        <v>201</v>
      </c>
      <c r="MMB18" s="310" t="s">
        <v>201</v>
      </c>
      <c r="MMC18" s="310" t="s">
        <v>201</v>
      </c>
      <c r="MMD18" s="310" t="s">
        <v>201</v>
      </c>
      <c r="MME18" s="310" t="s">
        <v>201</v>
      </c>
      <c r="MMF18" s="310" t="s">
        <v>201</v>
      </c>
      <c r="MMG18" s="310" t="s">
        <v>201</v>
      </c>
      <c r="MMH18" s="310" t="s">
        <v>201</v>
      </c>
      <c r="MMI18" s="310" t="s">
        <v>201</v>
      </c>
      <c r="MMJ18" s="310" t="s">
        <v>201</v>
      </c>
      <c r="MMK18" s="310" t="s">
        <v>201</v>
      </c>
      <c r="MML18" s="310" t="s">
        <v>201</v>
      </c>
      <c r="MMM18" s="310" t="s">
        <v>201</v>
      </c>
      <c r="MMN18" s="310" t="s">
        <v>201</v>
      </c>
      <c r="MMO18" s="310" t="s">
        <v>201</v>
      </c>
      <c r="MMP18" s="310" t="s">
        <v>201</v>
      </c>
      <c r="MMQ18" s="310" t="s">
        <v>201</v>
      </c>
      <c r="MMR18" s="310" t="s">
        <v>201</v>
      </c>
      <c r="MMS18" s="310" t="s">
        <v>201</v>
      </c>
      <c r="MMT18" s="310" t="s">
        <v>201</v>
      </c>
      <c r="MMU18" s="310" t="s">
        <v>201</v>
      </c>
      <c r="MMV18" s="310" t="s">
        <v>201</v>
      </c>
      <c r="MMW18" s="310" t="s">
        <v>201</v>
      </c>
      <c r="MMX18" s="310" t="s">
        <v>201</v>
      </c>
      <c r="MMY18" s="310" t="s">
        <v>201</v>
      </c>
      <c r="MMZ18" s="310" t="s">
        <v>201</v>
      </c>
      <c r="MNA18" s="310" t="s">
        <v>201</v>
      </c>
      <c r="MNB18" s="310" t="s">
        <v>201</v>
      </c>
      <c r="MNC18" s="310" t="s">
        <v>201</v>
      </c>
      <c r="MND18" s="310" t="s">
        <v>201</v>
      </c>
      <c r="MNE18" s="310" t="s">
        <v>201</v>
      </c>
      <c r="MNF18" s="310" t="s">
        <v>201</v>
      </c>
      <c r="MNG18" s="310" t="s">
        <v>201</v>
      </c>
      <c r="MNH18" s="310" t="s">
        <v>201</v>
      </c>
      <c r="MNI18" s="310" t="s">
        <v>201</v>
      </c>
      <c r="MNJ18" s="310" t="s">
        <v>201</v>
      </c>
      <c r="MNK18" s="310" t="s">
        <v>201</v>
      </c>
      <c r="MNL18" s="310" t="s">
        <v>201</v>
      </c>
      <c r="MNM18" s="310" t="s">
        <v>201</v>
      </c>
      <c r="MNN18" s="310" t="s">
        <v>201</v>
      </c>
      <c r="MNO18" s="310" t="s">
        <v>201</v>
      </c>
      <c r="MNP18" s="310" t="s">
        <v>201</v>
      </c>
      <c r="MNQ18" s="310" t="s">
        <v>201</v>
      </c>
      <c r="MNR18" s="310" t="s">
        <v>201</v>
      </c>
      <c r="MNS18" s="310" t="s">
        <v>201</v>
      </c>
      <c r="MNT18" s="310" t="s">
        <v>201</v>
      </c>
      <c r="MNU18" s="310" t="s">
        <v>201</v>
      </c>
      <c r="MNV18" s="310" t="s">
        <v>201</v>
      </c>
      <c r="MNW18" s="310" t="s">
        <v>201</v>
      </c>
      <c r="MNX18" s="310" t="s">
        <v>201</v>
      </c>
      <c r="MNY18" s="310" t="s">
        <v>201</v>
      </c>
      <c r="MNZ18" s="310" t="s">
        <v>201</v>
      </c>
      <c r="MOA18" s="310" t="s">
        <v>201</v>
      </c>
      <c r="MOB18" s="310" t="s">
        <v>201</v>
      </c>
      <c r="MOC18" s="310" t="s">
        <v>201</v>
      </c>
      <c r="MOD18" s="310" t="s">
        <v>201</v>
      </c>
      <c r="MOE18" s="310" t="s">
        <v>201</v>
      </c>
      <c r="MOF18" s="310" t="s">
        <v>201</v>
      </c>
      <c r="MOG18" s="310" t="s">
        <v>201</v>
      </c>
      <c r="MOH18" s="310" t="s">
        <v>201</v>
      </c>
      <c r="MOI18" s="310" t="s">
        <v>201</v>
      </c>
      <c r="MOJ18" s="310" t="s">
        <v>201</v>
      </c>
      <c r="MOK18" s="310" t="s">
        <v>201</v>
      </c>
      <c r="MOL18" s="310" t="s">
        <v>201</v>
      </c>
      <c r="MOM18" s="310" t="s">
        <v>201</v>
      </c>
      <c r="MON18" s="310" t="s">
        <v>201</v>
      </c>
      <c r="MOO18" s="310" t="s">
        <v>201</v>
      </c>
      <c r="MOP18" s="310" t="s">
        <v>201</v>
      </c>
      <c r="MOQ18" s="310" t="s">
        <v>201</v>
      </c>
      <c r="MOR18" s="310" t="s">
        <v>201</v>
      </c>
      <c r="MOS18" s="310" t="s">
        <v>201</v>
      </c>
      <c r="MOT18" s="310" t="s">
        <v>201</v>
      </c>
      <c r="MOU18" s="310" t="s">
        <v>201</v>
      </c>
      <c r="MOV18" s="310" t="s">
        <v>201</v>
      </c>
      <c r="MOW18" s="310" t="s">
        <v>201</v>
      </c>
      <c r="MOX18" s="310" t="s">
        <v>201</v>
      </c>
      <c r="MOY18" s="310" t="s">
        <v>201</v>
      </c>
      <c r="MOZ18" s="310" t="s">
        <v>201</v>
      </c>
      <c r="MPA18" s="310" t="s">
        <v>201</v>
      </c>
      <c r="MPB18" s="310" t="s">
        <v>201</v>
      </c>
      <c r="MPC18" s="310" t="s">
        <v>201</v>
      </c>
      <c r="MPD18" s="310" t="s">
        <v>201</v>
      </c>
      <c r="MPE18" s="310" t="s">
        <v>201</v>
      </c>
      <c r="MPF18" s="310" t="s">
        <v>201</v>
      </c>
      <c r="MPG18" s="310" t="s">
        <v>201</v>
      </c>
      <c r="MPH18" s="310" t="s">
        <v>201</v>
      </c>
      <c r="MPI18" s="310" t="s">
        <v>201</v>
      </c>
      <c r="MPJ18" s="310" t="s">
        <v>201</v>
      </c>
      <c r="MPK18" s="310" t="s">
        <v>201</v>
      </c>
      <c r="MPL18" s="310" t="s">
        <v>201</v>
      </c>
      <c r="MPM18" s="310" t="s">
        <v>201</v>
      </c>
      <c r="MPN18" s="310" t="s">
        <v>201</v>
      </c>
      <c r="MPO18" s="310" t="s">
        <v>201</v>
      </c>
      <c r="MPP18" s="310" t="s">
        <v>201</v>
      </c>
      <c r="MPQ18" s="310" t="s">
        <v>201</v>
      </c>
      <c r="MPR18" s="310" t="s">
        <v>201</v>
      </c>
      <c r="MPS18" s="310" t="s">
        <v>201</v>
      </c>
      <c r="MPT18" s="310" t="s">
        <v>201</v>
      </c>
      <c r="MPU18" s="310" t="s">
        <v>201</v>
      </c>
      <c r="MPV18" s="310" t="s">
        <v>201</v>
      </c>
      <c r="MPW18" s="310" t="s">
        <v>201</v>
      </c>
      <c r="MPX18" s="310" t="s">
        <v>201</v>
      </c>
      <c r="MPY18" s="310" t="s">
        <v>201</v>
      </c>
      <c r="MPZ18" s="310" t="s">
        <v>201</v>
      </c>
      <c r="MQA18" s="310" t="s">
        <v>201</v>
      </c>
      <c r="MQB18" s="310" t="s">
        <v>201</v>
      </c>
      <c r="MQC18" s="310" t="s">
        <v>201</v>
      </c>
      <c r="MQD18" s="310" t="s">
        <v>201</v>
      </c>
      <c r="MQE18" s="310" t="s">
        <v>201</v>
      </c>
      <c r="MQF18" s="310" t="s">
        <v>201</v>
      </c>
      <c r="MQG18" s="310" t="s">
        <v>201</v>
      </c>
      <c r="MQH18" s="310" t="s">
        <v>201</v>
      </c>
      <c r="MQI18" s="310" t="s">
        <v>201</v>
      </c>
      <c r="MQJ18" s="310" t="s">
        <v>201</v>
      </c>
      <c r="MQK18" s="310" t="s">
        <v>201</v>
      </c>
      <c r="MQL18" s="310" t="s">
        <v>201</v>
      </c>
      <c r="MQM18" s="310" t="s">
        <v>201</v>
      </c>
      <c r="MQN18" s="310" t="s">
        <v>201</v>
      </c>
      <c r="MQO18" s="310" t="s">
        <v>201</v>
      </c>
      <c r="MQP18" s="310" t="s">
        <v>201</v>
      </c>
      <c r="MQQ18" s="310" t="s">
        <v>201</v>
      </c>
      <c r="MQR18" s="310" t="s">
        <v>201</v>
      </c>
      <c r="MQS18" s="310" t="s">
        <v>201</v>
      </c>
      <c r="MQT18" s="310" t="s">
        <v>201</v>
      </c>
      <c r="MQU18" s="310" t="s">
        <v>201</v>
      </c>
      <c r="MQV18" s="310" t="s">
        <v>201</v>
      </c>
      <c r="MQW18" s="310" t="s">
        <v>201</v>
      </c>
      <c r="MQX18" s="310" t="s">
        <v>201</v>
      </c>
      <c r="MQY18" s="310" t="s">
        <v>201</v>
      </c>
      <c r="MQZ18" s="310" t="s">
        <v>201</v>
      </c>
      <c r="MRA18" s="310" t="s">
        <v>201</v>
      </c>
      <c r="MRB18" s="310" t="s">
        <v>201</v>
      </c>
      <c r="MRC18" s="310" t="s">
        <v>201</v>
      </c>
      <c r="MRD18" s="310" t="s">
        <v>201</v>
      </c>
      <c r="MRE18" s="310" t="s">
        <v>201</v>
      </c>
      <c r="MRF18" s="310" t="s">
        <v>201</v>
      </c>
      <c r="MRG18" s="310" t="s">
        <v>201</v>
      </c>
      <c r="MRH18" s="310" t="s">
        <v>201</v>
      </c>
      <c r="MRI18" s="310" t="s">
        <v>201</v>
      </c>
      <c r="MRJ18" s="310" t="s">
        <v>201</v>
      </c>
      <c r="MRK18" s="310" t="s">
        <v>201</v>
      </c>
      <c r="MRL18" s="310" t="s">
        <v>201</v>
      </c>
      <c r="MRM18" s="310" t="s">
        <v>201</v>
      </c>
      <c r="MRN18" s="310" t="s">
        <v>201</v>
      </c>
      <c r="MRO18" s="310" t="s">
        <v>201</v>
      </c>
      <c r="MRP18" s="310" t="s">
        <v>201</v>
      </c>
      <c r="MRQ18" s="310" t="s">
        <v>201</v>
      </c>
      <c r="MRR18" s="310" t="s">
        <v>201</v>
      </c>
      <c r="MRS18" s="310" t="s">
        <v>201</v>
      </c>
      <c r="MRT18" s="310" t="s">
        <v>201</v>
      </c>
      <c r="MRU18" s="310" t="s">
        <v>201</v>
      </c>
      <c r="MRV18" s="310" t="s">
        <v>201</v>
      </c>
      <c r="MRW18" s="310" t="s">
        <v>201</v>
      </c>
      <c r="MRX18" s="310" t="s">
        <v>201</v>
      </c>
      <c r="MRY18" s="310" t="s">
        <v>201</v>
      </c>
      <c r="MRZ18" s="310" t="s">
        <v>201</v>
      </c>
      <c r="MSA18" s="310" t="s">
        <v>201</v>
      </c>
      <c r="MSB18" s="310" t="s">
        <v>201</v>
      </c>
      <c r="MSC18" s="310" t="s">
        <v>201</v>
      </c>
      <c r="MSD18" s="310" t="s">
        <v>201</v>
      </c>
      <c r="MSE18" s="310" t="s">
        <v>201</v>
      </c>
      <c r="MSF18" s="310" t="s">
        <v>201</v>
      </c>
      <c r="MSG18" s="310" t="s">
        <v>201</v>
      </c>
      <c r="MSH18" s="310" t="s">
        <v>201</v>
      </c>
      <c r="MSI18" s="310" t="s">
        <v>201</v>
      </c>
      <c r="MSJ18" s="310" t="s">
        <v>201</v>
      </c>
      <c r="MSK18" s="310" t="s">
        <v>201</v>
      </c>
      <c r="MSL18" s="310" t="s">
        <v>201</v>
      </c>
      <c r="MSM18" s="310" t="s">
        <v>201</v>
      </c>
      <c r="MSN18" s="310" t="s">
        <v>201</v>
      </c>
      <c r="MSO18" s="310" t="s">
        <v>201</v>
      </c>
      <c r="MSP18" s="310" t="s">
        <v>201</v>
      </c>
      <c r="MSQ18" s="310" t="s">
        <v>201</v>
      </c>
      <c r="MSR18" s="310" t="s">
        <v>201</v>
      </c>
      <c r="MSS18" s="310" t="s">
        <v>201</v>
      </c>
      <c r="MST18" s="310" t="s">
        <v>201</v>
      </c>
      <c r="MSU18" s="310" t="s">
        <v>201</v>
      </c>
      <c r="MSV18" s="310" t="s">
        <v>201</v>
      </c>
      <c r="MSW18" s="310" t="s">
        <v>201</v>
      </c>
      <c r="MSX18" s="310" t="s">
        <v>201</v>
      </c>
      <c r="MSY18" s="310" t="s">
        <v>201</v>
      </c>
      <c r="MSZ18" s="310" t="s">
        <v>201</v>
      </c>
      <c r="MTA18" s="310" t="s">
        <v>201</v>
      </c>
      <c r="MTB18" s="310" t="s">
        <v>201</v>
      </c>
      <c r="MTC18" s="310" t="s">
        <v>201</v>
      </c>
      <c r="MTD18" s="310" t="s">
        <v>201</v>
      </c>
      <c r="MTE18" s="310" t="s">
        <v>201</v>
      </c>
      <c r="MTF18" s="310" t="s">
        <v>201</v>
      </c>
      <c r="MTG18" s="310" t="s">
        <v>201</v>
      </c>
      <c r="MTH18" s="310" t="s">
        <v>201</v>
      </c>
      <c r="MTI18" s="310" t="s">
        <v>201</v>
      </c>
      <c r="MTJ18" s="310" t="s">
        <v>201</v>
      </c>
      <c r="MTK18" s="310" t="s">
        <v>201</v>
      </c>
      <c r="MTL18" s="310" t="s">
        <v>201</v>
      </c>
      <c r="MTM18" s="310" t="s">
        <v>201</v>
      </c>
      <c r="MTN18" s="310" t="s">
        <v>201</v>
      </c>
      <c r="MTO18" s="310" t="s">
        <v>201</v>
      </c>
      <c r="MTP18" s="310" t="s">
        <v>201</v>
      </c>
      <c r="MTQ18" s="310" t="s">
        <v>201</v>
      </c>
      <c r="MTR18" s="310" t="s">
        <v>201</v>
      </c>
      <c r="MTS18" s="310" t="s">
        <v>201</v>
      </c>
      <c r="MTT18" s="310" t="s">
        <v>201</v>
      </c>
      <c r="MTU18" s="310" t="s">
        <v>201</v>
      </c>
      <c r="MTV18" s="310" t="s">
        <v>201</v>
      </c>
      <c r="MTW18" s="310" t="s">
        <v>201</v>
      </c>
      <c r="MTX18" s="310" t="s">
        <v>201</v>
      </c>
      <c r="MTY18" s="310" t="s">
        <v>201</v>
      </c>
      <c r="MTZ18" s="310" t="s">
        <v>201</v>
      </c>
      <c r="MUA18" s="310" t="s">
        <v>201</v>
      </c>
      <c r="MUB18" s="310" t="s">
        <v>201</v>
      </c>
      <c r="MUC18" s="310" t="s">
        <v>201</v>
      </c>
      <c r="MUD18" s="310" t="s">
        <v>201</v>
      </c>
      <c r="MUE18" s="310" t="s">
        <v>201</v>
      </c>
      <c r="MUF18" s="310" t="s">
        <v>201</v>
      </c>
      <c r="MUG18" s="310" t="s">
        <v>201</v>
      </c>
      <c r="MUH18" s="310" t="s">
        <v>201</v>
      </c>
      <c r="MUI18" s="310" t="s">
        <v>201</v>
      </c>
      <c r="MUJ18" s="310" t="s">
        <v>201</v>
      </c>
      <c r="MUK18" s="310" t="s">
        <v>201</v>
      </c>
      <c r="MUL18" s="310" t="s">
        <v>201</v>
      </c>
      <c r="MUM18" s="310" t="s">
        <v>201</v>
      </c>
      <c r="MUN18" s="310" t="s">
        <v>201</v>
      </c>
      <c r="MUO18" s="310" t="s">
        <v>201</v>
      </c>
      <c r="MUP18" s="310" t="s">
        <v>201</v>
      </c>
      <c r="MUQ18" s="310" t="s">
        <v>201</v>
      </c>
      <c r="MUR18" s="310" t="s">
        <v>201</v>
      </c>
      <c r="MUS18" s="310" t="s">
        <v>201</v>
      </c>
      <c r="MUT18" s="310" t="s">
        <v>201</v>
      </c>
      <c r="MUU18" s="310" t="s">
        <v>201</v>
      </c>
      <c r="MUV18" s="310" t="s">
        <v>201</v>
      </c>
      <c r="MUW18" s="310" t="s">
        <v>201</v>
      </c>
      <c r="MUX18" s="310" t="s">
        <v>201</v>
      </c>
      <c r="MUY18" s="310" t="s">
        <v>201</v>
      </c>
      <c r="MUZ18" s="310" t="s">
        <v>201</v>
      </c>
      <c r="MVA18" s="310" t="s">
        <v>201</v>
      </c>
      <c r="MVB18" s="310" t="s">
        <v>201</v>
      </c>
      <c r="MVC18" s="310" t="s">
        <v>201</v>
      </c>
      <c r="MVD18" s="310" t="s">
        <v>201</v>
      </c>
      <c r="MVE18" s="310" t="s">
        <v>201</v>
      </c>
      <c r="MVF18" s="310" t="s">
        <v>201</v>
      </c>
      <c r="MVG18" s="310" t="s">
        <v>201</v>
      </c>
      <c r="MVH18" s="310" t="s">
        <v>201</v>
      </c>
      <c r="MVI18" s="310" t="s">
        <v>201</v>
      </c>
      <c r="MVJ18" s="310" t="s">
        <v>201</v>
      </c>
      <c r="MVK18" s="310" t="s">
        <v>201</v>
      </c>
      <c r="MVL18" s="310" t="s">
        <v>201</v>
      </c>
      <c r="MVM18" s="310" t="s">
        <v>201</v>
      </c>
      <c r="MVN18" s="310" t="s">
        <v>201</v>
      </c>
      <c r="MVO18" s="310" t="s">
        <v>201</v>
      </c>
      <c r="MVP18" s="310" t="s">
        <v>201</v>
      </c>
      <c r="MVQ18" s="310" t="s">
        <v>201</v>
      </c>
      <c r="MVR18" s="310" t="s">
        <v>201</v>
      </c>
      <c r="MVS18" s="310" t="s">
        <v>201</v>
      </c>
      <c r="MVT18" s="310" t="s">
        <v>201</v>
      </c>
      <c r="MVU18" s="310" t="s">
        <v>201</v>
      </c>
      <c r="MVV18" s="310" t="s">
        <v>201</v>
      </c>
      <c r="MVW18" s="310" t="s">
        <v>201</v>
      </c>
      <c r="MVX18" s="310" t="s">
        <v>201</v>
      </c>
      <c r="MVY18" s="310" t="s">
        <v>201</v>
      </c>
      <c r="MVZ18" s="310" t="s">
        <v>201</v>
      </c>
      <c r="MWA18" s="310" t="s">
        <v>201</v>
      </c>
      <c r="MWB18" s="310" t="s">
        <v>201</v>
      </c>
      <c r="MWC18" s="310" t="s">
        <v>201</v>
      </c>
      <c r="MWD18" s="310" t="s">
        <v>201</v>
      </c>
      <c r="MWE18" s="310" t="s">
        <v>201</v>
      </c>
      <c r="MWF18" s="310" t="s">
        <v>201</v>
      </c>
      <c r="MWG18" s="310" t="s">
        <v>201</v>
      </c>
      <c r="MWH18" s="310" t="s">
        <v>201</v>
      </c>
      <c r="MWI18" s="310" t="s">
        <v>201</v>
      </c>
      <c r="MWJ18" s="310" t="s">
        <v>201</v>
      </c>
      <c r="MWK18" s="310" t="s">
        <v>201</v>
      </c>
      <c r="MWL18" s="310" t="s">
        <v>201</v>
      </c>
      <c r="MWM18" s="310" t="s">
        <v>201</v>
      </c>
      <c r="MWN18" s="310" t="s">
        <v>201</v>
      </c>
      <c r="MWO18" s="310" t="s">
        <v>201</v>
      </c>
      <c r="MWP18" s="310" t="s">
        <v>201</v>
      </c>
      <c r="MWQ18" s="310" t="s">
        <v>201</v>
      </c>
      <c r="MWR18" s="310" t="s">
        <v>201</v>
      </c>
      <c r="MWS18" s="310" t="s">
        <v>201</v>
      </c>
      <c r="MWT18" s="310" t="s">
        <v>201</v>
      </c>
      <c r="MWU18" s="310" t="s">
        <v>201</v>
      </c>
      <c r="MWV18" s="310" t="s">
        <v>201</v>
      </c>
      <c r="MWW18" s="310" t="s">
        <v>201</v>
      </c>
      <c r="MWX18" s="310" t="s">
        <v>201</v>
      </c>
      <c r="MWY18" s="310" t="s">
        <v>201</v>
      </c>
      <c r="MWZ18" s="310" t="s">
        <v>201</v>
      </c>
      <c r="MXA18" s="310" t="s">
        <v>201</v>
      </c>
      <c r="MXB18" s="310" t="s">
        <v>201</v>
      </c>
      <c r="MXC18" s="310" t="s">
        <v>201</v>
      </c>
      <c r="MXD18" s="310" t="s">
        <v>201</v>
      </c>
      <c r="MXE18" s="310" t="s">
        <v>201</v>
      </c>
      <c r="MXF18" s="310" t="s">
        <v>201</v>
      </c>
      <c r="MXG18" s="310" t="s">
        <v>201</v>
      </c>
      <c r="MXH18" s="310" t="s">
        <v>201</v>
      </c>
      <c r="MXI18" s="310" t="s">
        <v>201</v>
      </c>
      <c r="MXJ18" s="310" t="s">
        <v>201</v>
      </c>
      <c r="MXK18" s="310" t="s">
        <v>201</v>
      </c>
      <c r="MXL18" s="310" t="s">
        <v>201</v>
      </c>
      <c r="MXM18" s="310" t="s">
        <v>201</v>
      </c>
      <c r="MXN18" s="310" t="s">
        <v>201</v>
      </c>
      <c r="MXO18" s="310" t="s">
        <v>201</v>
      </c>
      <c r="MXP18" s="310" t="s">
        <v>201</v>
      </c>
      <c r="MXQ18" s="310" t="s">
        <v>201</v>
      </c>
      <c r="MXR18" s="310" t="s">
        <v>201</v>
      </c>
      <c r="MXS18" s="310" t="s">
        <v>201</v>
      </c>
      <c r="MXT18" s="310" t="s">
        <v>201</v>
      </c>
      <c r="MXU18" s="310" t="s">
        <v>201</v>
      </c>
      <c r="MXV18" s="310" t="s">
        <v>201</v>
      </c>
      <c r="MXW18" s="310" t="s">
        <v>201</v>
      </c>
      <c r="MXX18" s="310" t="s">
        <v>201</v>
      </c>
      <c r="MXY18" s="310" t="s">
        <v>201</v>
      </c>
      <c r="MXZ18" s="310" t="s">
        <v>201</v>
      </c>
      <c r="MYA18" s="310" t="s">
        <v>201</v>
      </c>
      <c r="MYB18" s="310" t="s">
        <v>201</v>
      </c>
      <c r="MYC18" s="310" t="s">
        <v>201</v>
      </c>
      <c r="MYD18" s="310" t="s">
        <v>201</v>
      </c>
      <c r="MYE18" s="310" t="s">
        <v>201</v>
      </c>
      <c r="MYF18" s="310" t="s">
        <v>201</v>
      </c>
      <c r="MYG18" s="310" t="s">
        <v>201</v>
      </c>
      <c r="MYH18" s="310" t="s">
        <v>201</v>
      </c>
      <c r="MYI18" s="310" t="s">
        <v>201</v>
      </c>
      <c r="MYJ18" s="310" t="s">
        <v>201</v>
      </c>
      <c r="MYK18" s="310" t="s">
        <v>201</v>
      </c>
      <c r="MYL18" s="310" t="s">
        <v>201</v>
      </c>
      <c r="MYM18" s="310" t="s">
        <v>201</v>
      </c>
      <c r="MYN18" s="310" t="s">
        <v>201</v>
      </c>
      <c r="MYO18" s="310" t="s">
        <v>201</v>
      </c>
      <c r="MYP18" s="310" t="s">
        <v>201</v>
      </c>
      <c r="MYQ18" s="310" t="s">
        <v>201</v>
      </c>
      <c r="MYR18" s="310" t="s">
        <v>201</v>
      </c>
      <c r="MYS18" s="310" t="s">
        <v>201</v>
      </c>
      <c r="MYT18" s="310" t="s">
        <v>201</v>
      </c>
      <c r="MYU18" s="310" t="s">
        <v>201</v>
      </c>
      <c r="MYV18" s="310" t="s">
        <v>201</v>
      </c>
      <c r="MYW18" s="310" t="s">
        <v>201</v>
      </c>
      <c r="MYX18" s="310" t="s">
        <v>201</v>
      </c>
      <c r="MYY18" s="310" t="s">
        <v>201</v>
      </c>
      <c r="MYZ18" s="310" t="s">
        <v>201</v>
      </c>
      <c r="MZA18" s="310" t="s">
        <v>201</v>
      </c>
      <c r="MZB18" s="310" t="s">
        <v>201</v>
      </c>
      <c r="MZC18" s="310" t="s">
        <v>201</v>
      </c>
      <c r="MZD18" s="310" t="s">
        <v>201</v>
      </c>
      <c r="MZE18" s="310" t="s">
        <v>201</v>
      </c>
      <c r="MZF18" s="310" t="s">
        <v>201</v>
      </c>
      <c r="MZG18" s="310" t="s">
        <v>201</v>
      </c>
      <c r="MZH18" s="310" t="s">
        <v>201</v>
      </c>
      <c r="MZI18" s="310" t="s">
        <v>201</v>
      </c>
      <c r="MZJ18" s="310" t="s">
        <v>201</v>
      </c>
      <c r="MZK18" s="310" t="s">
        <v>201</v>
      </c>
      <c r="MZL18" s="310" t="s">
        <v>201</v>
      </c>
      <c r="MZM18" s="310" t="s">
        <v>201</v>
      </c>
      <c r="MZN18" s="310" t="s">
        <v>201</v>
      </c>
      <c r="MZO18" s="310" t="s">
        <v>201</v>
      </c>
      <c r="MZP18" s="310" t="s">
        <v>201</v>
      </c>
      <c r="MZQ18" s="310" t="s">
        <v>201</v>
      </c>
      <c r="MZR18" s="310" t="s">
        <v>201</v>
      </c>
      <c r="MZS18" s="310" t="s">
        <v>201</v>
      </c>
      <c r="MZT18" s="310" t="s">
        <v>201</v>
      </c>
      <c r="MZU18" s="310" t="s">
        <v>201</v>
      </c>
      <c r="MZV18" s="310" t="s">
        <v>201</v>
      </c>
      <c r="MZW18" s="310" t="s">
        <v>201</v>
      </c>
      <c r="MZX18" s="310" t="s">
        <v>201</v>
      </c>
      <c r="MZY18" s="310" t="s">
        <v>201</v>
      </c>
      <c r="MZZ18" s="310" t="s">
        <v>201</v>
      </c>
      <c r="NAA18" s="310" t="s">
        <v>201</v>
      </c>
      <c r="NAB18" s="310" t="s">
        <v>201</v>
      </c>
      <c r="NAC18" s="310" t="s">
        <v>201</v>
      </c>
      <c r="NAD18" s="310" t="s">
        <v>201</v>
      </c>
      <c r="NAE18" s="310" t="s">
        <v>201</v>
      </c>
      <c r="NAF18" s="310" t="s">
        <v>201</v>
      </c>
      <c r="NAG18" s="310" t="s">
        <v>201</v>
      </c>
      <c r="NAH18" s="310" t="s">
        <v>201</v>
      </c>
      <c r="NAI18" s="310" t="s">
        <v>201</v>
      </c>
      <c r="NAJ18" s="310" t="s">
        <v>201</v>
      </c>
      <c r="NAK18" s="310" t="s">
        <v>201</v>
      </c>
      <c r="NAL18" s="310" t="s">
        <v>201</v>
      </c>
      <c r="NAM18" s="310" t="s">
        <v>201</v>
      </c>
      <c r="NAN18" s="310" t="s">
        <v>201</v>
      </c>
      <c r="NAO18" s="310" t="s">
        <v>201</v>
      </c>
      <c r="NAP18" s="310" t="s">
        <v>201</v>
      </c>
      <c r="NAQ18" s="310" t="s">
        <v>201</v>
      </c>
      <c r="NAR18" s="310" t="s">
        <v>201</v>
      </c>
      <c r="NAS18" s="310" t="s">
        <v>201</v>
      </c>
      <c r="NAT18" s="310" t="s">
        <v>201</v>
      </c>
      <c r="NAU18" s="310" t="s">
        <v>201</v>
      </c>
      <c r="NAV18" s="310" t="s">
        <v>201</v>
      </c>
      <c r="NAW18" s="310" t="s">
        <v>201</v>
      </c>
      <c r="NAX18" s="310" t="s">
        <v>201</v>
      </c>
      <c r="NAY18" s="310" t="s">
        <v>201</v>
      </c>
      <c r="NAZ18" s="310" t="s">
        <v>201</v>
      </c>
      <c r="NBA18" s="310" t="s">
        <v>201</v>
      </c>
      <c r="NBB18" s="310" t="s">
        <v>201</v>
      </c>
      <c r="NBC18" s="310" t="s">
        <v>201</v>
      </c>
      <c r="NBD18" s="310" t="s">
        <v>201</v>
      </c>
      <c r="NBE18" s="310" t="s">
        <v>201</v>
      </c>
      <c r="NBF18" s="310" t="s">
        <v>201</v>
      </c>
      <c r="NBG18" s="310" t="s">
        <v>201</v>
      </c>
      <c r="NBH18" s="310" t="s">
        <v>201</v>
      </c>
      <c r="NBI18" s="310" t="s">
        <v>201</v>
      </c>
      <c r="NBJ18" s="310" t="s">
        <v>201</v>
      </c>
      <c r="NBK18" s="310" t="s">
        <v>201</v>
      </c>
      <c r="NBL18" s="310" t="s">
        <v>201</v>
      </c>
      <c r="NBM18" s="310" t="s">
        <v>201</v>
      </c>
      <c r="NBN18" s="310" t="s">
        <v>201</v>
      </c>
      <c r="NBO18" s="310" t="s">
        <v>201</v>
      </c>
      <c r="NBP18" s="310" t="s">
        <v>201</v>
      </c>
      <c r="NBQ18" s="310" t="s">
        <v>201</v>
      </c>
      <c r="NBR18" s="310" t="s">
        <v>201</v>
      </c>
      <c r="NBS18" s="310" t="s">
        <v>201</v>
      </c>
      <c r="NBT18" s="310" t="s">
        <v>201</v>
      </c>
      <c r="NBU18" s="310" t="s">
        <v>201</v>
      </c>
      <c r="NBV18" s="310" t="s">
        <v>201</v>
      </c>
      <c r="NBW18" s="310" t="s">
        <v>201</v>
      </c>
      <c r="NBX18" s="310" t="s">
        <v>201</v>
      </c>
      <c r="NBY18" s="310" t="s">
        <v>201</v>
      </c>
      <c r="NBZ18" s="310" t="s">
        <v>201</v>
      </c>
      <c r="NCA18" s="310" t="s">
        <v>201</v>
      </c>
      <c r="NCB18" s="310" t="s">
        <v>201</v>
      </c>
      <c r="NCC18" s="310" t="s">
        <v>201</v>
      </c>
      <c r="NCD18" s="310" t="s">
        <v>201</v>
      </c>
      <c r="NCE18" s="310" t="s">
        <v>201</v>
      </c>
      <c r="NCF18" s="310" t="s">
        <v>201</v>
      </c>
      <c r="NCG18" s="310" t="s">
        <v>201</v>
      </c>
      <c r="NCH18" s="310" t="s">
        <v>201</v>
      </c>
      <c r="NCI18" s="310" t="s">
        <v>201</v>
      </c>
      <c r="NCJ18" s="310" t="s">
        <v>201</v>
      </c>
      <c r="NCK18" s="310" t="s">
        <v>201</v>
      </c>
      <c r="NCL18" s="310" t="s">
        <v>201</v>
      </c>
      <c r="NCM18" s="310" t="s">
        <v>201</v>
      </c>
      <c r="NCN18" s="310" t="s">
        <v>201</v>
      </c>
      <c r="NCO18" s="310" t="s">
        <v>201</v>
      </c>
      <c r="NCP18" s="310" t="s">
        <v>201</v>
      </c>
      <c r="NCQ18" s="310" t="s">
        <v>201</v>
      </c>
      <c r="NCR18" s="310" t="s">
        <v>201</v>
      </c>
      <c r="NCS18" s="310" t="s">
        <v>201</v>
      </c>
      <c r="NCT18" s="310" t="s">
        <v>201</v>
      </c>
      <c r="NCU18" s="310" t="s">
        <v>201</v>
      </c>
      <c r="NCV18" s="310" t="s">
        <v>201</v>
      </c>
      <c r="NCW18" s="310" t="s">
        <v>201</v>
      </c>
      <c r="NCX18" s="310" t="s">
        <v>201</v>
      </c>
      <c r="NCY18" s="310" t="s">
        <v>201</v>
      </c>
      <c r="NCZ18" s="310" t="s">
        <v>201</v>
      </c>
      <c r="NDA18" s="310" t="s">
        <v>201</v>
      </c>
      <c r="NDB18" s="310" t="s">
        <v>201</v>
      </c>
      <c r="NDC18" s="310" t="s">
        <v>201</v>
      </c>
      <c r="NDD18" s="310" t="s">
        <v>201</v>
      </c>
      <c r="NDE18" s="310" t="s">
        <v>201</v>
      </c>
      <c r="NDF18" s="310" t="s">
        <v>201</v>
      </c>
      <c r="NDG18" s="310" t="s">
        <v>201</v>
      </c>
      <c r="NDH18" s="310" t="s">
        <v>201</v>
      </c>
      <c r="NDI18" s="310" t="s">
        <v>201</v>
      </c>
      <c r="NDJ18" s="310" t="s">
        <v>201</v>
      </c>
      <c r="NDK18" s="310" t="s">
        <v>201</v>
      </c>
      <c r="NDL18" s="310" t="s">
        <v>201</v>
      </c>
      <c r="NDM18" s="310" t="s">
        <v>201</v>
      </c>
      <c r="NDN18" s="310" t="s">
        <v>201</v>
      </c>
      <c r="NDO18" s="310" t="s">
        <v>201</v>
      </c>
      <c r="NDP18" s="310" t="s">
        <v>201</v>
      </c>
      <c r="NDQ18" s="310" t="s">
        <v>201</v>
      </c>
      <c r="NDR18" s="310" t="s">
        <v>201</v>
      </c>
      <c r="NDS18" s="310" t="s">
        <v>201</v>
      </c>
      <c r="NDT18" s="310" t="s">
        <v>201</v>
      </c>
      <c r="NDU18" s="310" t="s">
        <v>201</v>
      </c>
      <c r="NDV18" s="310" t="s">
        <v>201</v>
      </c>
      <c r="NDW18" s="310" t="s">
        <v>201</v>
      </c>
      <c r="NDX18" s="310" t="s">
        <v>201</v>
      </c>
      <c r="NDY18" s="310" t="s">
        <v>201</v>
      </c>
      <c r="NDZ18" s="310" t="s">
        <v>201</v>
      </c>
      <c r="NEA18" s="310" t="s">
        <v>201</v>
      </c>
      <c r="NEB18" s="310" t="s">
        <v>201</v>
      </c>
      <c r="NEC18" s="310" t="s">
        <v>201</v>
      </c>
      <c r="NED18" s="310" t="s">
        <v>201</v>
      </c>
      <c r="NEE18" s="310" t="s">
        <v>201</v>
      </c>
      <c r="NEF18" s="310" t="s">
        <v>201</v>
      </c>
      <c r="NEG18" s="310" t="s">
        <v>201</v>
      </c>
      <c r="NEH18" s="310" t="s">
        <v>201</v>
      </c>
      <c r="NEI18" s="310" t="s">
        <v>201</v>
      </c>
      <c r="NEJ18" s="310" t="s">
        <v>201</v>
      </c>
      <c r="NEK18" s="310" t="s">
        <v>201</v>
      </c>
      <c r="NEL18" s="310" t="s">
        <v>201</v>
      </c>
      <c r="NEM18" s="310" t="s">
        <v>201</v>
      </c>
      <c r="NEN18" s="310" t="s">
        <v>201</v>
      </c>
      <c r="NEO18" s="310" t="s">
        <v>201</v>
      </c>
      <c r="NEP18" s="310" t="s">
        <v>201</v>
      </c>
      <c r="NEQ18" s="310" t="s">
        <v>201</v>
      </c>
      <c r="NER18" s="310" t="s">
        <v>201</v>
      </c>
      <c r="NES18" s="310" t="s">
        <v>201</v>
      </c>
      <c r="NET18" s="310" t="s">
        <v>201</v>
      </c>
      <c r="NEU18" s="310" t="s">
        <v>201</v>
      </c>
      <c r="NEV18" s="310" t="s">
        <v>201</v>
      </c>
      <c r="NEW18" s="310" t="s">
        <v>201</v>
      </c>
      <c r="NEX18" s="310" t="s">
        <v>201</v>
      </c>
      <c r="NEY18" s="310" t="s">
        <v>201</v>
      </c>
      <c r="NEZ18" s="310" t="s">
        <v>201</v>
      </c>
      <c r="NFA18" s="310" t="s">
        <v>201</v>
      </c>
      <c r="NFB18" s="310" t="s">
        <v>201</v>
      </c>
      <c r="NFC18" s="310" t="s">
        <v>201</v>
      </c>
      <c r="NFD18" s="310" t="s">
        <v>201</v>
      </c>
      <c r="NFE18" s="310" t="s">
        <v>201</v>
      </c>
      <c r="NFF18" s="310" t="s">
        <v>201</v>
      </c>
      <c r="NFG18" s="310" t="s">
        <v>201</v>
      </c>
      <c r="NFH18" s="310" t="s">
        <v>201</v>
      </c>
      <c r="NFI18" s="310" t="s">
        <v>201</v>
      </c>
      <c r="NFJ18" s="310" t="s">
        <v>201</v>
      </c>
      <c r="NFK18" s="310" t="s">
        <v>201</v>
      </c>
      <c r="NFL18" s="310" t="s">
        <v>201</v>
      </c>
      <c r="NFM18" s="310" t="s">
        <v>201</v>
      </c>
      <c r="NFN18" s="310" t="s">
        <v>201</v>
      </c>
      <c r="NFO18" s="310" t="s">
        <v>201</v>
      </c>
      <c r="NFP18" s="310" t="s">
        <v>201</v>
      </c>
      <c r="NFQ18" s="310" t="s">
        <v>201</v>
      </c>
      <c r="NFR18" s="310" t="s">
        <v>201</v>
      </c>
      <c r="NFS18" s="310" t="s">
        <v>201</v>
      </c>
      <c r="NFT18" s="310" t="s">
        <v>201</v>
      </c>
      <c r="NFU18" s="310" t="s">
        <v>201</v>
      </c>
      <c r="NFV18" s="310" t="s">
        <v>201</v>
      </c>
      <c r="NFW18" s="310" t="s">
        <v>201</v>
      </c>
      <c r="NFX18" s="310" t="s">
        <v>201</v>
      </c>
      <c r="NFY18" s="310" t="s">
        <v>201</v>
      </c>
      <c r="NFZ18" s="310" t="s">
        <v>201</v>
      </c>
      <c r="NGA18" s="310" t="s">
        <v>201</v>
      </c>
      <c r="NGB18" s="310" t="s">
        <v>201</v>
      </c>
      <c r="NGC18" s="310" t="s">
        <v>201</v>
      </c>
      <c r="NGD18" s="310" t="s">
        <v>201</v>
      </c>
      <c r="NGE18" s="310" t="s">
        <v>201</v>
      </c>
      <c r="NGF18" s="310" t="s">
        <v>201</v>
      </c>
      <c r="NGG18" s="310" t="s">
        <v>201</v>
      </c>
      <c r="NGH18" s="310" t="s">
        <v>201</v>
      </c>
      <c r="NGI18" s="310" t="s">
        <v>201</v>
      </c>
      <c r="NGJ18" s="310" t="s">
        <v>201</v>
      </c>
      <c r="NGK18" s="310" t="s">
        <v>201</v>
      </c>
      <c r="NGL18" s="310" t="s">
        <v>201</v>
      </c>
      <c r="NGM18" s="310" t="s">
        <v>201</v>
      </c>
      <c r="NGN18" s="310" t="s">
        <v>201</v>
      </c>
      <c r="NGO18" s="310" t="s">
        <v>201</v>
      </c>
      <c r="NGP18" s="310" t="s">
        <v>201</v>
      </c>
      <c r="NGQ18" s="310" t="s">
        <v>201</v>
      </c>
      <c r="NGR18" s="310" t="s">
        <v>201</v>
      </c>
      <c r="NGS18" s="310" t="s">
        <v>201</v>
      </c>
      <c r="NGT18" s="310" t="s">
        <v>201</v>
      </c>
      <c r="NGU18" s="310" t="s">
        <v>201</v>
      </c>
      <c r="NGV18" s="310" t="s">
        <v>201</v>
      </c>
      <c r="NGW18" s="310" t="s">
        <v>201</v>
      </c>
      <c r="NGX18" s="310" t="s">
        <v>201</v>
      </c>
      <c r="NGY18" s="310" t="s">
        <v>201</v>
      </c>
      <c r="NGZ18" s="310" t="s">
        <v>201</v>
      </c>
      <c r="NHA18" s="310" t="s">
        <v>201</v>
      </c>
      <c r="NHB18" s="310" t="s">
        <v>201</v>
      </c>
      <c r="NHC18" s="310" t="s">
        <v>201</v>
      </c>
      <c r="NHD18" s="310" t="s">
        <v>201</v>
      </c>
      <c r="NHE18" s="310" t="s">
        <v>201</v>
      </c>
      <c r="NHF18" s="310" t="s">
        <v>201</v>
      </c>
      <c r="NHG18" s="310" t="s">
        <v>201</v>
      </c>
      <c r="NHH18" s="310" t="s">
        <v>201</v>
      </c>
      <c r="NHI18" s="310" t="s">
        <v>201</v>
      </c>
      <c r="NHJ18" s="310" t="s">
        <v>201</v>
      </c>
      <c r="NHK18" s="310" t="s">
        <v>201</v>
      </c>
      <c r="NHL18" s="310" t="s">
        <v>201</v>
      </c>
      <c r="NHM18" s="310" t="s">
        <v>201</v>
      </c>
      <c r="NHN18" s="310" t="s">
        <v>201</v>
      </c>
      <c r="NHO18" s="310" t="s">
        <v>201</v>
      </c>
      <c r="NHP18" s="310" t="s">
        <v>201</v>
      </c>
      <c r="NHQ18" s="310" t="s">
        <v>201</v>
      </c>
      <c r="NHR18" s="310" t="s">
        <v>201</v>
      </c>
      <c r="NHS18" s="310" t="s">
        <v>201</v>
      </c>
      <c r="NHT18" s="310" t="s">
        <v>201</v>
      </c>
      <c r="NHU18" s="310" t="s">
        <v>201</v>
      </c>
      <c r="NHV18" s="310" t="s">
        <v>201</v>
      </c>
      <c r="NHW18" s="310" t="s">
        <v>201</v>
      </c>
      <c r="NHX18" s="310" t="s">
        <v>201</v>
      </c>
      <c r="NHY18" s="310" t="s">
        <v>201</v>
      </c>
      <c r="NHZ18" s="310" t="s">
        <v>201</v>
      </c>
      <c r="NIA18" s="310" t="s">
        <v>201</v>
      </c>
      <c r="NIB18" s="310" t="s">
        <v>201</v>
      </c>
      <c r="NIC18" s="310" t="s">
        <v>201</v>
      </c>
      <c r="NID18" s="310" t="s">
        <v>201</v>
      </c>
      <c r="NIE18" s="310" t="s">
        <v>201</v>
      </c>
      <c r="NIF18" s="310" t="s">
        <v>201</v>
      </c>
      <c r="NIG18" s="310" t="s">
        <v>201</v>
      </c>
      <c r="NIH18" s="310" t="s">
        <v>201</v>
      </c>
      <c r="NII18" s="310" t="s">
        <v>201</v>
      </c>
      <c r="NIJ18" s="310" t="s">
        <v>201</v>
      </c>
      <c r="NIK18" s="310" t="s">
        <v>201</v>
      </c>
      <c r="NIL18" s="310" t="s">
        <v>201</v>
      </c>
      <c r="NIM18" s="310" t="s">
        <v>201</v>
      </c>
      <c r="NIN18" s="310" t="s">
        <v>201</v>
      </c>
      <c r="NIO18" s="310" t="s">
        <v>201</v>
      </c>
      <c r="NIP18" s="310" t="s">
        <v>201</v>
      </c>
      <c r="NIQ18" s="310" t="s">
        <v>201</v>
      </c>
      <c r="NIR18" s="310" t="s">
        <v>201</v>
      </c>
      <c r="NIS18" s="310" t="s">
        <v>201</v>
      </c>
      <c r="NIT18" s="310" t="s">
        <v>201</v>
      </c>
      <c r="NIU18" s="310" t="s">
        <v>201</v>
      </c>
      <c r="NIV18" s="310" t="s">
        <v>201</v>
      </c>
      <c r="NIW18" s="310" t="s">
        <v>201</v>
      </c>
      <c r="NIX18" s="310" t="s">
        <v>201</v>
      </c>
      <c r="NIY18" s="310" t="s">
        <v>201</v>
      </c>
      <c r="NIZ18" s="310" t="s">
        <v>201</v>
      </c>
      <c r="NJA18" s="310" t="s">
        <v>201</v>
      </c>
      <c r="NJB18" s="310" t="s">
        <v>201</v>
      </c>
      <c r="NJC18" s="310" t="s">
        <v>201</v>
      </c>
      <c r="NJD18" s="310" t="s">
        <v>201</v>
      </c>
      <c r="NJE18" s="310" t="s">
        <v>201</v>
      </c>
      <c r="NJF18" s="310" t="s">
        <v>201</v>
      </c>
      <c r="NJG18" s="310" t="s">
        <v>201</v>
      </c>
      <c r="NJH18" s="310" t="s">
        <v>201</v>
      </c>
      <c r="NJI18" s="310" t="s">
        <v>201</v>
      </c>
      <c r="NJJ18" s="310" t="s">
        <v>201</v>
      </c>
      <c r="NJK18" s="310" t="s">
        <v>201</v>
      </c>
      <c r="NJL18" s="310" t="s">
        <v>201</v>
      </c>
      <c r="NJM18" s="310" t="s">
        <v>201</v>
      </c>
      <c r="NJN18" s="310" t="s">
        <v>201</v>
      </c>
      <c r="NJO18" s="310" t="s">
        <v>201</v>
      </c>
      <c r="NJP18" s="310" t="s">
        <v>201</v>
      </c>
      <c r="NJQ18" s="310" t="s">
        <v>201</v>
      </c>
      <c r="NJR18" s="310" t="s">
        <v>201</v>
      </c>
      <c r="NJS18" s="310" t="s">
        <v>201</v>
      </c>
      <c r="NJT18" s="310" t="s">
        <v>201</v>
      </c>
      <c r="NJU18" s="310" t="s">
        <v>201</v>
      </c>
      <c r="NJV18" s="310" t="s">
        <v>201</v>
      </c>
      <c r="NJW18" s="310" t="s">
        <v>201</v>
      </c>
      <c r="NJX18" s="310" t="s">
        <v>201</v>
      </c>
      <c r="NJY18" s="310" t="s">
        <v>201</v>
      </c>
      <c r="NJZ18" s="310" t="s">
        <v>201</v>
      </c>
      <c r="NKA18" s="310" t="s">
        <v>201</v>
      </c>
      <c r="NKB18" s="310" t="s">
        <v>201</v>
      </c>
      <c r="NKC18" s="310" t="s">
        <v>201</v>
      </c>
      <c r="NKD18" s="310" t="s">
        <v>201</v>
      </c>
      <c r="NKE18" s="310" t="s">
        <v>201</v>
      </c>
      <c r="NKF18" s="310" t="s">
        <v>201</v>
      </c>
      <c r="NKG18" s="310" t="s">
        <v>201</v>
      </c>
      <c r="NKH18" s="310" t="s">
        <v>201</v>
      </c>
      <c r="NKI18" s="310" t="s">
        <v>201</v>
      </c>
      <c r="NKJ18" s="310" t="s">
        <v>201</v>
      </c>
      <c r="NKK18" s="310" t="s">
        <v>201</v>
      </c>
      <c r="NKL18" s="310" t="s">
        <v>201</v>
      </c>
      <c r="NKM18" s="310" t="s">
        <v>201</v>
      </c>
      <c r="NKN18" s="310" t="s">
        <v>201</v>
      </c>
      <c r="NKO18" s="310" t="s">
        <v>201</v>
      </c>
      <c r="NKP18" s="310" t="s">
        <v>201</v>
      </c>
      <c r="NKQ18" s="310" t="s">
        <v>201</v>
      </c>
      <c r="NKR18" s="310" t="s">
        <v>201</v>
      </c>
      <c r="NKS18" s="310" t="s">
        <v>201</v>
      </c>
      <c r="NKT18" s="310" t="s">
        <v>201</v>
      </c>
      <c r="NKU18" s="310" t="s">
        <v>201</v>
      </c>
      <c r="NKV18" s="310" t="s">
        <v>201</v>
      </c>
      <c r="NKW18" s="310" t="s">
        <v>201</v>
      </c>
      <c r="NKX18" s="310" t="s">
        <v>201</v>
      </c>
      <c r="NKY18" s="310" t="s">
        <v>201</v>
      </c>
      <c r="NKZ18" s="310" t="s">
        <v>201</v>
      </c>
      <c r="NLA18" s="310" t="s">
        <v>201</v>
      </c>
      <c r="NLB18" s="310" t="s">
        <v>201</v>
      </c>
      <c r="NLC18" s="310" t="s">
        <v>201</v>
      </c>
      <c r="NLD18" s="310" t="s">
        <v>201</v>
      </c>
      <c r="NLE18" s="310" t="s">
        <v>201</v>
      </c>
      <c r="NLF18" s="310" t="s">
        <v>201</v>
      </c>
      <c r="NLG18" s="310" t="s">
        <v>201</v>
      </c>
      <c r="NLH18" s="310" t="s">
        <v>201</v>
      </c>
      <c r="NLI18" s="310" t="s">
        <v>201</v>
      </c>
      <c r="NLJ18" s="310" t="s">
        <v>201</v>
      </c>
      <c r="NLK18" s="310" t="s">
        <v>201</v>
      </c>
      <c r="NLL18" s="310" t="s">
        <v>201</v>
      </c>
      <c r="NLM18" s="310" t="s">
        <v>201</v>
      </c>
      <c r="NLN18" s="310" t="s">
        <v>201</v>
      </c>
      <c r="NLO18" s="310" t="s">
        <v>201</v>
      </c>
      <c r="NLP18" s="310" t="s">
        <v>201</v>
      </c>
      <c r="NLQ18" s="310" t="s">
        <v>201</v>
      </c>
      <c r="NLR18" s="310" t="s">
        <v>201</v>
      </c>
      <c r="NLS18" s="310" t="s">
        <v>201</v>
      </c>
      <c r="NLT18" s="310" t="s">
        <v>201</v>
      </c>
      <c r="NLU18" s="310" t="s">
        <v>201</v>
      </c>
      <c r="NLV18" s="310" t="s">
        <v>201</v>
      </c>
      <c r="NLW18" s="310" t="s">
        <v>201</v>
      </c>
      <c r="NLX18" s="310" t="s">
        <v>201</v>
      </c>
      <c r="NLY18" s="310" t="s">
        <v>201</v>
      </c>
      <c r="NLZ18" s="310" t="s">
        <v>201</v>
      </c>
      <c r="NMA18" s="310" t="s">
        <v>201</v>
      </c>
      <c r="NMB18" s="310" t="s">
        <v>201</v>
      </c>
      <c r="NMC18" s="310" t="s">
        <v>201</v>
      </c>
      <c r="NMD18" s="310" t="s">
        <v>201</v>
      </c>
      <c r="NME18" s="310" t="s">
        <v>201</v>
      </c>
      <c r="NMF18" s="310" t="s">
        <v>201</v>
      </c>
      <c r="NMG18" s="310" t="s">
        <v>201</v>
      </c>
      <c r="NMH18" s="310" t="s">
        <v>201</v>
      </c>
      <c r="NMI18" s="310" t="s">
        <v>201</v>
      </c>
      <c r="NMJ18" s="310" t="s">
        <v>201</v>
      </c>
      <c r="NMK18" s="310" t="s">
        <v>201</v>
      </c>
      <c r="NML18" s="310" t="s">
        <v>201</v>
      </c>
      <c r="NMM18" s="310" t="s">
        <v>201</v>
      </c>
      <c r="NMN18" s="310" t="s">
        <v>201</v>
      </c>
      <c r="NMO18" s="310" t="s">
        <v>201</v>
      </c>
      <c r="NMP18" s="310" t="s">
        <v>201</v>
      </c>
      <c r="NMQ18" s="310" t="s">
        <v>201</v>
      </c>
      <c r="NMR18" s="310" t="s">
        <v>201</v>
      </c>
      <c r="NMS18" s="310" t="s">
        <v>201</v>
      </c>
      <c r="NMT18" s="310" t="s">
        <v>201</v>
      </c>
      <c r="NMU18" s="310" t="s">
        <v>201</v>
      </c>
      <c r="NMV18" s="310" t="s">
        <v>201</v>
      </c>
      <c r="NMW18" s="310" t="s">
        <v>201</v>
      </c>
      <c r="NMX18" s="310" t="s">
        <v>201</v>
      </c>
      <c r="NMY18" s="310" t="s">
        <v>201</v>
      </c>
      <c r="NMZ18" s="310" t="s">
        <v>201</v>
      </c>
      <c r="NNA18" s="310" t="s">
        <v>201</v>
      </c>
      <c r="NNB18" s="310" t="s">
        <v>201</v>
      </c>
      <c r="NNC18" s="310" t="s">
        <v>201</v>
      </c>
      <c r="NND18" s="310" t="s">
        <v>201</v>
      </c>
      <c r="NNE18" s="310" t="s">
        <v>201</v>
      </c>
      <c r="NNF18" s="310" t="s">
        <v>201</v>
      </c>
      <c r="NNG18" s="310" t="s">
        <v>201</v>
      </c>
      <c r="NNH18" s="310" t="s">
        <v>201</v>
      </c>
      <c r="NNI18" s="310" t="s">
        <v>201</v>
      </c>
      <c r="NNJ18" s="310" t="s">
        <v>201</v>
      </c>
      <c r="NNK18" s="310" t="s">
        <v>201</v>
      </c>
      <c r="NNL18" s="310" t="s">
        <v>201</v>
      </c>
      <c r="NNM18" s="310" t="s">
        <v>201</v>
      </c>
      <c r="NNN18" s="310" t="s">
        <v>201</v>
      </c>
      <c r="NNO18" s="310" t="s">
        <v>201</v>
      </c>
      <c r="NNP18" s="310" t="s">
        <v>201</v>
      </c>
      <c r="NNQ18" s="310" t="s">
        <v>201</v>
      </c>
      <c r="NNR18" s="310" t="s">
        <v>201</v>
      </c>
      <c r="NNS18" s="310" t="s">
        <v>201</v>
      </c>
      <c r="NNT18" s="310" t="s">
        <v>201</v>
      </c>
      <c r="NNU18" s="310" t="s">
        <v>201</v>
      </c>
      <c r="NNV18" s="310" t="s">
        <v>201</v>
      </c>
      <c r="NNW18" s="310" t="s">
        <v>201</v>
      </c>
      <c r="NNX18" s="310" t="s">
        <v>201</v>
      </c>
      <c r="NNY18" s="310" t="s">
        <v>201</v>
      </c>
      <c r="NNZ18" s="310" t="s">
        <v>201</v>
      </c>
      <c r="NOA18" s="310" t="s">
        <v>201</v>
      </c>
      <c r="NOB18" s="310" t="s">
        <v>201</v>
      </c>
      <c r="NOC18" s="310" t="s">
        <v>201</v>
      </c>
      <c r="NOD18" s="310" t="s">
        <v>201</v>
      </c>
      <c r="NOE18" s="310" t="s">
        <v>201</v>
      </c>
      <c r="NOF18" s="310" t="s">
        <v>201</v>
      </c>
      <c r="NOG18" s="310" t="s">
        <v>201</v>
      </c>
      <c r="NOH18" s="310" t="s">
        <v>201</v>
      </c>
      <c r="NOI18" s="310" t="s">
        <v>201</v>
      </c>
      <c r="NOJ18" s="310" t="s">
        <v>201</v>
      </c>
      <c r="NOK18" s="310" t="s">
        <v>201</v>
      </c>
      <c r="NOL18" s="310" t="s">
        <v>201</v>
      </c>
      <c r="NOM18" s="310" t="s">
        <v>201</v>
      </c>
      <c r="NON18" s="310" t="s">
        <v>201</v>
      </c>
      <c r="NOO18" s="310" t="s">
        <v>201</v>
      </c>
      <c r="NOP18" s="310" t="s">
        <v>201</v>
      </c>
      <c r="NOQ18" s="310" t="s">
        <v>201</v>
      </c>
      <c r="NOR18" s="310" t="s">
        <v>201</v>
      </c>
      <c r="NOS18" s="310" t="s">
        <v>201</v>
      </c>
      <c r="NOT18" s="310" t="s">
        <v>201</v>
      </c>
      <c r="NOU18" s="310" t="s">
        <v>201</v>
      </c>
      <c r="NOV18" s="310" t="s">
        <v>201</v>
      </c>
      <c r="NOW18" s="310" t="s">
        <v>201</v>
      </c>
      <c r="NOX18" s="310" t="s">
        <v>201</v>
      </c>
      <c r="NOY18" s="310" t="s">
        <v>201</v>
      </c>
      <c r="NOZ18" s="310" t="s">
        <v>201</v>
      </c>
      <c r="NPA18" s="310" t="s">
        <v>201</v>
      </c>
      <c r="NPB18" s="310" t="s">
        <v>201</v>
      </c>
      <c r="NPC18" s="310" t="s">
        <v>201</v>
      </c>
      <c r="NPD18" s="310" t="s">
        <v>201</v>
      </c>
      <c r="NPE18" s="310" t="s">
        <v>201</v>
      </c>
      <c r="NPF18" s="310" t="s">
        <v>201</v>
      </c>
      <c r="NPG18" s="310" t="s">
        <v>201</v>
      </c>
      <c r="NPH18" s="310" t="s">
        <v>201</v>
      </c>
      <c r="NPI18" s="310" t="s">
        <v>201</v>
      </c>
      <c r="NPJ18" s="310" t="s">
        <v>201</v>
      </c>
      <c r="NPK18" s="310" t="s">
        <v>201</v>
      </c>
      <c r="NPL18" s="310" t="s">
        <v>201</v>
      </c>
      <c r="NPM18" s="310" t="s">
        <v>201</v>
      </c>
      <c r="NPN18" s="310" t="s">
        <v>201</v>
      </c>
      <c r="NPO18" s="310" t="s">
        <v>201</v>
      </c>
      <c r="NPP18" s="310" t="s">
        <v>201</v>
      </c>
      <c r="NPQ18" s="310" t="s">
        <v>201</v>
      </c>
      <c r="NPR18" s="310" t="s">
        <v>201</v>
      </c>
      <c r="NPS18" s="310" t="s">
        <v>201</v>
      </c>
      <c r="NPT18" s="310" t="s">
        <v>201</v>
      </c>
      <c r="NPU18" s="310" t="s">
        <v>201</v>
      </c>
      <c r="NPV18" s="310" t="s">
        <v>201</v>
      </c>
      <c r="NPW18" s="310" t="s">
        <v>201</v>
      </c>
      <c r="NPX18" s="310" t="s">
        <v>201</v>
      </c>
      <c r="NPY18" s="310" t="s">
        <v>201</v>
      </c>
      <c r="NPZ18" s="310" t="s">
        <v>201</v>
      </c>
      <c r="NQA18" s="310" t="s">
        <v>201</v>
      </c>
      <c r="NQB18" s="310" t="s">
        <v>201</v>
      </c>
      <c r="NQC18" s="310" t="s">
        <v>201</v>
      </c>
      <c r="NQD18" s="310" t="s">
        <v>201</v>
      </c>
      <c r="NQE18" s="310" t="s">
        <v>201</v>
      </c>
      <c r="NQF18" s="310" t="s">
        <v>201</v>
      </c>
      <c r="NQG18" s="310" t="s">
        <v>201</v>
      </c>
      <c r="NQH18" s="310" t="s">
        <v>201</v>
      </c>
      <c r="NQI18" s="310" t="s">
        <v>201</v>
      </c>
      <c r="NQJ18" s="310" t="s">
        <v>201</v>
      </c>
      <c r="NQK18" s="310" t="s">
        <v>201</v>
      </c>
      <c r="NQL18" s="310" t="s">
        <v>201</v>
      </c>
      <c r="NQM18" s="310" t="s">
        <v>201</v>
      </c>
      <c r="NQN18" s="310" t="s">
        <v>201</v>
      </c>
      <c r="NQO18" s="310" t="s">
        <v>201</v>
      </c>
      <c r="NQP18" s="310" t="s">
        <v>201</v>
      </c>
      <c r="NQQ18" s="310" t="s">
        <v>201</v>
      </c>
      <c r="NQR18" s="310" t="s">
        <v>201</v>
      </c>
      <c r="NQS18" s="310" t="s">
        <v>201</v>
      </c>
      <c r="NQT18" s="310" t="s">
        <v>201</v>
      </c>
      <c r="NQU18" s="310" t="s">
        <v>201</v>
      </c>
      <c r="NQV18" s="310" t="s">
        <v>201</v>
      </c>
      <c r="NQW18" s="310" t="s">
        <v>201</v>
      </c>
      <c r="NQX18" s="310" t="s">
        <v>201</v>
      </c>
      <c r="NQY18" s="310" t="s">
        <v>201</v>
      </c>
      <c r="NQZ18" s="310" t="s">
        <v>201</v>
      </c>
      <c r="NRA18" s="310" t="s">
        <v>201</v>
      </c>
      <c r="NRB18" s="310" t="s">
        <v>201</v>
      </c>
      <c r="NRC18" s="310" t="s">
        <v>201</v>
      </c>
      <c r="NRD18" s="310" t="s">
        <v>201</v>
      </c>
      <c r="NRE18" s="310" t="s">
        <v>201</v>
      </c>
      <c r="NRF18" s="310" t="s">
        <v>201</v>
      </c>
      <c r="NRG18" s="310" t="s">
        <v>201</v>
      </c>
      <c r="NRH18" s="310" t="s">
        <v>201</v>
      </c>
      <c r="NRI18" s="310" t="s">
        <v>201</v>
      </c>
      <c r="NRJ18" s="310" t="s">
        <v>201</v>
      </c>
      <c r="NRK18" s="310" t="s">
        <v>201</v>
      </c>
      <c r="NRL18" s="310" t="s">
        <v>201</v>
      </c>
      <c r="NRM18" s="310" t="s">
        <v>201</v>
      </c>
      <c r="NRN18" s="310" t="s">
        <v>201</v>
      </c>
      <c r="NRO18" s="310" t="s">
        <v>201</v>
      </c>
      <c r="NRP18" s="310" t="s">
        <v>201</v>
      </c>
      <c r="NRQ18" s="310" t="s">
        <v>201</v>
      </c>
      <c r="NRR18" s="310" t="s">
        <v>201</v>
      </c>
      <c r="NRS18" s="310" t="s">
        <v>201</v>
      </c>
      <c r="NRT18" s="310" t="s">
        <v>201</v>
      </c>
      <c r="NRU18" s="310" t="s">
        <v>201</v>
      </c>
      <c r="NRV18" s="310" t="s">
        <v>201</v>
      </c>
      <c r="NRW18" s="310" t="s">
        <v>201</v>
      </c>
      <c r="NRX18" s="310" t="s">
        <v>201</v>
      </c>
      <c r="NRY18" s="310" t="s">
        <v>201</v>
      </c>
      <c r="NRZ18" s="310" t="s">
        <v>201</v>
      </c>
      <c r="NSA18" s="310" t="s">
        <v>201</v>
      </c>
      <c r="NSB18" s="310" t="s">
        <v>201</v>
      </c>
      <c r="NSC18" s="310" t="s">
        <v>201</v>
      </c>
      <c r="NSD18" s="310" t="s">
        <v>201</v>
      </c>
      <c r="NSE18" s="310" t="s">
        <v>201</v>
      </c>
      <c r="NSF18" s="310" t="s">
        <v>201</v>
      </c>
      <c r="NSG18" s="310" t="s">
        <v>201</v>
      </c>
      <c r="NSH18" s="310" t="s">
        <v>201</v>
      </c>
      <c r="NSI18" s="310" t="s">
        <v>201</v>
      </c>
      <c r="NSJ18" s="310" t="s">
        <v>201</v>
      </c>
      <c r="NSK18" s="310" t="s">
        <v>201</v>
      </c>
      <c r="NSL18" s="310" t="s">
        <v>201</v>
      </c>
      <c r="NSM18" s="310" t="s">
        <v>201</v>
      </c>
      <c r="NSN18" s="310" t="s">
        <v>201</v>
      </c>
      <c r="NSO18" s="310" t="s">
        <v>201</v>
      </c>
      <c r="NSP18" s="310" t="s">
        <v>201</v>
      </c>
      <c r="NSQ18" s="310" t="s">
        <v>201</v>
      </c>
      <c r="NSR18" s="310" t="s">
        <v>201</v>
      </c>
      <c r="NSS18" s="310" t="s">
        <v>201</v>
      </c>
      <c r="NST18" s="310" t="s">
        <v>201</v>
      </c>
      <c r="NSU18" s="310" t="s">
        <v>201</v>
      </c>
      <c r="NSV18" s="310" t="s">
        <v>201</v>
      </c>
      <c r="NSW18" s="310" t="s">
        <v>201</v>
      </c>
      <c r="NSX18" s="310" t="s">
        <v>201</v>
      </c>
      <c r="NSY18" s="310" t="s">
        <v>201</v>
      </c>
      <c r="NSZ18" s="310" t="s">
        <v>201</v>
      </c>
      <c r="NTA18" s="310" t="s">
        <v>201</v>
      </c>
      <c r="NTB18" s="310" t="s">
        <v>201</v>
      </c>
      <c r="NTC18" s="310" t="s">
        <v>201</v>
      </c>
      <c r="NTD18" s="310" t="s">
        <v>201</v>
      </c>
      <c r="NTE18" s="310" t="s">
        <v>201</v>
      </c>
      <c r="NTF18" s="310" t="s">
        <v>201</v>
      </c>
      <c r="NTG18" s="310" t="s">
        <v>201</v>
      </c>
      <c r="NTH18" s="310" t="s">
        <v>201</v>
      </c>
      <c r="NTI18" s="310" t="s">
        <v>201</v>
      </c>
      <c r="NTJ18" s="310" t="s">
        <v>201</v>
      </c>
      <c r="NTK18" s="310" t="s">
        <v>201</v>
      </c>
      <c r="NTL18" s="310" t="s">
        <v>201</v>
      </c>
      <c r="NTM18" s="310" t="s">
        <v>201</v>
      </c>
      <c r="NTN18" s="310" t="s">
        <v>201</v>
      </c>
      <c r="NTO18" s="310" t="s">
        <v>201</v>
      </c>
      <c r="NTP18" s="310" t="s">
        <v>201</v>
      </c>
      <c r="NTQ18" s="310" t="s">
        <v>201</v>
      </c>
      <c r="NTR18" s="310" t="s">
        <v>201</v>
      </c>
      <c r="NTS18" s="310" t="s">
        <v>201</v>
      </c>
      <c r="NTT18" s="310" t="s">
        <v>201</v>
      </c>
      <c r="NTU18" s="310" t="s">
        <v>201</v>
      </c>
      <c r="NTV18" s="310" t="s">
        <v>201</v>
      </c>
      <c r="NTW18" s="310" t="s">
        <v>201</v>
      </c>
      <c r="NTX18" s="310" t="s">
        <v>201</v>
      </c>
      <c r="NTY18" s="310" t="s">
        <v>201</v>
      </c>
      <c r="NTZ18" s="310" t="s">
        <v>201</v>
      </c>
      <c r="NUA18" s="310" t="s">
        <v>201</v>
      </c>
      <c r="NUB18" s="310" t="s">
        <v>201</v>
      </c>
      <c r="NUC18" s="310" t="s">
        <v>201</v>
      </c>
      <c r="NUD18" s="310" t="s">
        <v>201</v>
      </c>
      <c r="NUE18" s="310" t="s">
        <v>201</v>
      </c>
      <c r="NUF18" s="310" t="s">
        <v>201</v>
      </c>
      <c r="NUG18" s="310" t="s">
        <v>201</v>
      </c>
      <c r="NUH18" s="310" t="s">
        <v>201</v>
      </c>
      <c r="NUI18" s="310" t="s">
        <v>201</v>
      </c>
      <c r="NUJ18" s="310" t="s">
        <v>201</v>
      </c>
      <c r="NUK18" s="310" t="s">
        <v>201</v>
      </c>
      <c r="NUL18" s="310" t="s">
        <v>201</v>
      </c>
      <c r="NUM18" s="310" t="s">
        <v>201</v>
      </c>
      <c r="NUN18" s="310" t="s">
        <v>201</v>
      </c>
      <c r="NUO18" s="310" t="s">
        <v>201</v>
      </c>
      <c r="NUP18" s="310" t="s">
        <v>201</v>
      </c>
      <c r="NUQ18" s="310" t="s">
        <v>201</v>
      </c>
      <c r="NUR18" s="310" t="s">
        <v>201</v>
      </c>
      <c r="NUS18" s="310" t="s">
        <v>201</v>
      </c>
      <c r="NUT18" s="310" t="s">
        <v>201</v>
      </c>
      <c r="NUU18" s="310" t="s">
        <v>201</v>
      </c>
      <c r="NUV18" s="310" t="s">
        <v>201</v>
      </c>
      <c r="NUW18" s="310" t="s">
        <v>201</v>
      </c>
      <c r="NUX18" s="310" t="s">
        <v>201</v>
      </c>
      <c r="NUY18" s="310" t="s">
        <v>201</v>
      </c>
      <c r="NUZ18" s="310" t="s">
        <v>201</v>
      </c>
      <c r="NVA18" s="310" t="s">
        <v>201</v>
      </c>
      <c r="NVB18" s="310" t="s">
        <v>201</v>
      </c>
      <c r="NVC18" s="310" t="s">
        <v>201</v>
      </c>
      <c r="NVD18" s="310" t="s">
        <v>201</v>
      </c>
      <c r="NVE18" s="310" t="s">
        <v>201</v>
      </c>
      <c r="NVF18" s="310" t="s">
        <v>201</v>
      </c>
      <c r="NVG18" s="310" t="s">
        <v>201</v>
      </c>
      <c r="NVH18" s="310" t="s">
        <v>201</v>
      </c>
      <c r="NVI18" s="310" t="s">
        <v>201</v>
      </c>
      <c r="NVJ18" s="310" t="s">
        <v>201</v>
      </c>
      <c r="NVK18" s="310" t="s">
        <v>201</v>
      </c>
      <c r="NVL18" s="310" t="s">
        <v>201</v>
      </c>
      <c r="NVM18" s="310" t="s">
        <v>201</v>
      </c>
      <c r="NVN18" s="310" t="s">
        <v>201</v>
      </c>
      <c r="NVO18" s="310" t="s">
        <v>201</v>
      </c>
      <c r="NVP18" s="310" t="s">
        <v>201</v>
      </c>
      <c r="NVQ18" s="310" t="s">
        <v>201</v>
      </c>
      <c r="NVR18" s="310" t="s">
        <v>201</v>
      </c>
      <c r="NVS18" s="310" t="s">
        <v>201</v>
      </c>
      <c r="NVT18" s="310" t="s">
        <v>201</v>
      </c>
      <c r="NVU18" s="310" t="s">
        <v>201</v>
      </c>
      <c r="NVV18" s="310" t="s">
        <v>201</v>
      </c>
      <c r="NVW18" s="310" t="s">
        <v>201</v>
      </c>
      <c r="NVX18" s="310" t="s">
        <v>201</v>
      </c>
      <c r="NVY18" s="310" t="s">
        <v>201</v>
      </c>
      <c r="NVZ18" s="310" t="s">
        <v>201</v>
      </c>
      <c r="NWA18" s="310" t="s">
        <v>201</v>
      </c>
      <c r="NWB18" s="310" t="s">
        <v>201</v>
      </c>
      <c r="NWC18" s="310" t="s">
        <v>201</v>
      </c>
      <c r="NWD18" s="310" t="s">
        <v>201</v>
      </c>
      <c r="NWE18" s="310" t="s">
        <v>201</v>
      </c>
      <c r="NWF18" s="310" t="s">
        <v>201</v>
      </c>
      <c r="NWG18" s="310" t="s">
        <v>201</v>
      </c>
      <c r="NWH18" s="310" t="s">
        <v>201</v>
      </c>
      <c r="NWI18" s="310" t="s">
        <v>201</v>
      </c>
      <c r="NWJ18" s="310" t="s">
        <v>201</v>
      </c>
      <c r="NWK18" s="310" t="s">
        <v>201</v>
      </c>
      <c r="NWL18" s="310" t="s">
        <v>201</v>
      </c>
      <c r="NWM18" s="310" t="s">
        <v>201</v>
      </c>
      <c r="NWN18" s="310" t="s">
        <v>201</v>
      </c>
      <c r="NWO18" s="310" t="s">
        <v>201</v>
      </c>
      <c r="NWP18" s="310" t="s">
        <v>201</v>
      </c>
      <c r="NWQ18" s="310" t="s">
        <v>201</v>
      </c>
      <c r="NWR18" s="310" t="s">
        <v>201</v>
      </c>
      <c r="NWS18" s="310" t="s">
        <v>201</v>
      </c>
      <c r="NWT18" s="310" t="s">
        <v>201</v>
      </c>
      <c r="NWU18" s="310" t="s">
        <v>201</v>
      </c>
      <c r="NWV18" s="310" t="s">
        <v>201</v>
      </c>
      <c r="NWW18" s="310" t="s">
        <v>201</v>
      </c>
      <c r="NWX18" s="310" t="s">
        <v>201</v>
      </c>
      <c r="NWY18" s="310" t="s">
        <v>201</v>
      </c>
      <c r="NWZ18" s="310" t="s">
        <v>201</v>
      </c>
      <c r="NXA18" s="310" t="s">
        <v>201</v>
      </c>
      <c r="NXB18" s="310" t="s">
        <v>201</v>
      </c>
      <c r="NXC18" s="310" t="s">
        <v>201</v>
      </c>
      <c r="NXD18" s="310" t="s">
        <v>201</v>
      </c>
      <c r="NXE18" s="310" t="s">
        <v>201</v>
      </c>
      <c r="NXF18" s="310" t="s">
        <v>201</v>
      </c>
      <c r="NXG18" s="310" t="s">
        <v>201</v>
      </c>
      <c r="NXH18" s="310" t="s">
        <v>201</v>
      </c>
      <c r="NXI18" s="310" t="s">
        <v>201</v>
      </c>
      <c r="NXJ18" s="310" t="s">
        <v>201</v>
      </c>
      <c r="NXK18" s="310" t="s">
        <v>201</v>
      </c>
      <c r="NXL18" s="310" t="s">
        <v>201</v>
      </c>
      <c r="NXM18" s="310" t="s">
        <v>201</v>
      </c>
      <c r="NXN18" s="310" t="s">
        <v>201</v>
      </c>
      <c r="NXO18" s="310" t="s">
        <v>201</v>
      </c>
      <c r="NXP18" s="310" t="s">
        <v>201</v>
      </c>
      <c r="NXQ18" s="310" t="s">
        <v>201</v>
      </c>
      <c r="NXR18" s="310" t="s">
        <v>201</v>
      </c>
      <c r="NXS18" s="310" t="s">
        <v>201</v>
      </c>
      <c r="NXT18" s="310" t="s">
        <v>201</v>
      </c>
      <c r="NXU18" s="310" t="s">
        <v>201</v>
      </c>
      <c r="NXV18" s="310" t="s">
        <v>201</v>
      </c>
      <c r="NXW18" s="310" t="s">
        <v>201</v>
      </c>
      <c r="NXX18" s="310" t="s">
        <v>201</v>
      </c>
      <c r="NXY18" s="310" t="s">
        <v>201</v>
      </c>
      <c r="NXZ18" s="310" t="s">
        <v>201</v>
      </c>
      <c r="NYA18" s="310" t="s">
        <v>201</v>
      </c>
      <c r="NYB18" s="310" t="s">
        <v>201</v>
      </c>
      <c r="NYC18" s="310" t="s">
        <v>201</v>
      </c>
      <c r="NYD18" s="310" t="s">
        <v>201</v>
      </c>
      <c r="NYE18" s="310" t="s">
        <v>201</v>
      </c>
      <c r="NYF18" s="310" t="s">
        <v>201</v>
      </c>
      <c r="NYG18" s="310" t="s">
        <v>201</v>
      </c>
      <c r="NYH18" s="310" t="s">
        <v>201</v>
      </c>
      <c r="NYI18" s="310" t="s">
        <v>201</v>
      </c>
      <c r="NYJ18" s="310" t="s">
        <v>201</v>
      </c>
      <c r="NYK18" s="310" t="s">
        <v>201</v>
      </c>
      <c r="NYL18" s="310" t="s">
        <v>201</v>
      </c>
      <c r="NYM18" s="310" t="s">
        <v>201</v>
      </c>
      <c r="NYN18" s="310" t="s">
        <v>201</v>
      </c>
      <c r="NYO18" s="310" t="s">
        <v>201</v>
      </c>
      <c r="NYP18" s="310" t="s">
        <v>201</v>
      </c>
      <c r="NYQ18" s="310" t="s">
        <v>201</v>
      </c>
      <c r="NYR18" s="310" t="s">
        <v>201</v>
      </c>
      <c r="NYS18" s="310" t="s">
        <v>201</v>
      </c>
      <c r="NYT18" s="310" t="s">
        <v>201</v>
      </c>
      <c r="NYU18" s="310" t="s">
        <v>201</v>
      </c>
      <c r="NYV18" s="310" t="s">
        <v>201</v>
      </c>
      <c r="NYW18" s="310" t="s">
        <v>201</v>
      </c>
      <c r="NYX18" s="310" t="s">
        <v>201</v>
      </c>
      <c r="NYY18" s="310" t="s">
        <v>201</v>
      </c>
      <c r="NYZ18" s="310" t="s">
        <v>201</v>
      </c>
      <c r="NZA18" s="310" t="s">
        <v>201</v>
      </c>
      <c r="NZB18" s="310" t="s">
        <v>201</v>
      </c>
      <c r="NZC18" s="310" t="s">
        <v>201</v>
      </c>
      <c r="NZD18" s="310" t="s">
        <v>201</v>
      </c>
      <c r="NZE18" s="310" t="s">
        <v>201</v>
      </c>
      <c r="NZF18" s="310" t="s">
        <v>201</v>
      </c>
      <c r="NZG18" s="310" t="s">
        <v>201</v>
      </c>
      <c r="NZH18" s="310" t="s">
        <v>201</v>
      </c>
      <c r="NZI18" s="310" t="s">
        <v>201</v>
      </c>
      <c r="NZJ18" s="310" t="s">
        <v>201</v>
      </c>
      <c r="NZK18" s="310" t="s">
        <v>201</v>
      </c>
      <c r="NZL18" s="310" t="s">
        <v>201</v>
      </c>
      <c r="NZM18" s="310" t="s">
        <v>201</v>
      </c>
      <c r="NZN18" s="310" t="s">
        <v>201</v>
      </c>
      <c r="NZO18" s="310" t="s">
        <v>201</v>
      </c>
      <c r="NZP18" s="310" t="s">
        <v>201</v>
      </c>
      <c r="NZQ18" s="310" t="s">
        <v>201</v>
      </c>
      <c r="NZR18" s="310" t="s">
        <v>201</v>
      </c>
      <c r="NZS18" s="310" t="s">
        <v>201</v>
      </c>
      <c r="NZT18" s="310" t="s">
        <v>201</v>
      </c>
      <c r="NZU18" s="310" t="s">
        <v>201</v>
      </c>
      <c r="NZV18" s="310" t="s">
        <v>201</v>
      </c>
      <c r="NZW18" s="310" t="s">
        <v>201</v>
      </c>
      <c r="NZX18" s="310" t="s">
        <v>201</v>
      </c>
      <c r="NZY18" s="310" t="s">
        <v>201</v>
      </c>
      <c r="NZZ18" s="310" t="s">
        <v>201</v>
      </c>
      <c r="OAA18" s="310" t="s">
        <v>201</v>
      </c>
      <c r="OAB18" s="310" t="s">
        <v>201</v>
      </c>
      <c r="OAC18" s="310" t="s">
        <v>201</v>
      </c>
      <c r="OAD18" s="310" t="s">
        <v>201</v>
      </c>
      <c r="OAE18" s="310" t="s">
        <v>201</v>
      </c>
      <c r="OAF18" s="310" t="s">
        <v>201</v>
      </c>
      <c r="OAG18" s="310" t="s">
        <v>201</v>
      </c>
      <c r="OAH18" s="310" t="s">
        <v>201</v>
      </c>
      <c r="OAI18" s="310" t="s">
        <v>201</v>
      </c>
      <c r="OAJ18" s="310" t="s">
        <v>201</v>
      </c>
      <c r="OAK18" s="310" t="s">
        <v>201</v>
      </c>
      <c r="OAL18" s="310" t="s">
        <v>201</v>
      </c>
      <c r="OAM18" s="310" t="s">
        <v>201</v>
      </c>
      <c r="OAN18" s="310" t="s">
        <v>201</v>
      </c>
      <c r="OAO18" s="310" t="s">
        <v>201</v>
      </c>
      <c r="OAP18" s="310" t="s">
        <v>201</v>
      </c>
      <c r="OAQ18" s="310" t="s">
        <v>201</v>
      </c>
      <c r="OAR18" s="310" t="s">
        <v>201</v>
      </c>
      <c r="OAS18" s="310" t="s">
        <v>201</v>
      </c>
      <c r="OAT18" s="310" t="s">
        <v>201</v>
      </c>
      <c r="OAU18" s="310" t="s">
        <v>201</v>
      </c>
      <c r="OAV18" s="310" t="s">
        <v>201</v>
      </c>
      <c r="OAW18" s="310" t="s">
        <v>201</v>
      </c>
      <c r="OAX18" s="310" t="s">
        <v>201</v>
      </c>
      <c r="OAY18" s="310" t="s">
        <v>201</v>
      </c>
      <c r="OAZ18" s="310" t="s">
        <v>201</v>
      </c>
      <c r="OBA18" s="310" t="s">
        <v>201</v>
      </c>
      <c r="OBB18" s="310" t="s">
        <v>201</v>
      </c>
      <c r="OBC18" s="310" t="s">
        <v>201</v>
      </c>
      <c r="OBD18" s="310" t="s">
        <v>201</v>
      </c>
      <c r="OBE18" s="310" t="s">
        <v>201</v>
      </c>
      <c r="OBF18" s="310" t="s">
        <v>201</v>
      </c>
      <c r="OBG18" s="310" t="s">
        <v>201</v>
      </c>
      <c r="OBH18" s="310" t="s">
        <v>201</v>
      </c>
      <c r="OBI18" s="310" t="s">
        <v>201</v>
      </c>
      <c r="OBJ18" s="310" t="s">
        <v>201</v>
      </c>
      <c r="OBK18" s="310" t="s">
        <v>201</v>
      </c>
      <c r="OBL18" s="310" t="s">
        <v>201</v>
      </c>
      <c r="OBM18" s="310" t="s">
        <v>201</v>
      </c>
      <c r="OBN18" s="310" t="s">
        <v>201</v>
      </c>
      <c r="OBO18" s="310" t="s">
        <v>201</v>
      </c>
      <c r="OBP18" s="310" t="s">
        <v>201</v>
      </c>
      <c r="OBQ18" s="310" t="s">
        <v>201</v>
      </c>
      <c r="OBR18" s="310" t="s">
        <v>201</v>
      </c>
      <c r="OBS18" s="310" t="s">
        <v>201</v>
      </c>
      <c r="OBT18" s="310" t="s">
        <v>201</v>
      </c>
      <c r="OBU18" s="310" t="s">
        <v>201</v>
      </c>
      <c r="OBV18" s="310" t="s">
        <v>201</v>
      </c>
      <c r="OBW18" s="310" t="s">
        <v>201</v>
      </c>
      <c r="OBX18" s="310" t="s">
        <v>201</v>
      </c>
      <c r="OBY18" s="310" t="s">
        <v>201</v>
      </c>
      <c r="OBZ18" s="310" t="s">
        <v>201</v>
      </c>
      <c r="OCA18" s="310" t="s">
        <v>201</v>
      </c>
      <c r="OCB18" s="310" t="s">
        <v>201</v>
      </c>
      <c r="OCC18" s="310" t="s">
        <v>201</v>
      </c>
      <c r="OCD18" s="310" t="s">
        <v>201</v>
      </c>
      <c r="OCE18" s="310" t="s">
        <v>201</v>
      </c>
      <c r="OCF18" s="310" t="s">
        <v>201</v>
      </c>
      <c r="OCG18" s="310" t="s">
        <v>201</v>
      </c>
      <c r="OCH18" s="310" t="s">
        <v>201</v>
      </c>
      <c r="OCI18" s="310" t="s">
        <v>201</v>
      </c>
      <c r="OCJ18" s="310" t="s">
        <v>201</v>
      </c>
      <c r="OCK18" s="310" t="s">
        <v>201</v>
      </c>
      <c r="OCL18" s="310" t="s">
        <v>201</v>
      </c>
      <c r="OCM18" s="310" t="s">
        <v>201</v>
      </c>
      <c r="OCN18" s="310" t="s">
        <v>201</v>
      </c>
      <c r="OCO18" s="310" t="s">
        <v>201</v>
      </c>
      <c r="OCP18" s="310" t="s">
        <v>201</v>
      </c>
      <c r="OCQ18" s="310" t="s">
        <v>201</v>
      </c>
      <c r="OCR18" s="310" t="s">
        <v>201</v>
      </c>
      <c r="OCS18" s="310" t="s">
        <v>201</v>
      </c>
      <c r="OCT18" s="310" t="s">
        <v>201</v>
      </c>
      <c r="OCU18" s="310" t="s">
        <v>201</v>
      </c>
      <c r="OCV18" s="310" t="s">
        <v>201</v>
      </c>
      <c r="OCW18" s="310" t="s">
        <v>201</v>
      </c>
      <c r="OCX18" s="310" t="s">
        <v>201</v>
      </c>
      <c r="OCY18" s="310" t="s">
        <v>201</v>
      </c>
      <c r="OCZ18" s="310" t="s">
        <v>201</v>
      </c>
      <c r="ODA18" s="310" t="s">
        <v>201</v>
      </c>
      <c r="ODB18" s="310" t="s">
        <v>201</v>
      </c>
      <c r="ODC18" s="310" t="s">
        <v>201</v>
      </c>
      <c r="ODD18" s="310" t="s">
        <v>201</v>
      </c>
      <c r="ODE18" s="310" t="s">
        <v>201</v>
      </c>
      <c r="ODF18" s="310" t="s">
        <v>201</v>
      </c>
      <c r="ODG18" s="310" t="s">
        <v>201</v>
      </c>
      <c r="ODH18" s="310" t="s">
        <v>201</v>
      </c>
      <c r="ODI18" s="310" t="s">
        <v>201</v>
      </c>
      <c r="ODJ18" s="310" t="s">
        <v>201</v>
      </c>
      <c r="ODK18" s="310" t="s">
        <v>201</v>
      </c>
      <c r="ODL18" s="310" t="s">
        <v>201</v>
      </c>
      <c r="ODM18" s="310" t="s">
        <v>201</v>
      </c>
      <c r="ODN18" s="310" t="s">
        <v>201</v>
      </c>
      <c r="ODO18" s="310" t="s">
        <v>201</v>
      </c>
      <c r="ODP18" s="310" t="s">
        <v>201</v>
      </c>
      <c r="ODQ18" s="310" t="s">
        <v>201</v>
      </c>
      <c r="ODR18" s="310" t="s">
        <v>201</v>
      </c>
      <c r="ODS18" s="310" t="s">
        <v>201</v>
      </c>
      <c r="ODT18" s="310" t="s">
        <v>201</v>
      </c>
      <c r="ODU18" s="310" t="s">
        <v>201</v>
      </c>
      <c r="ODV18" s="310" t="s">
        <v>201</v>
      </c>
      <c r="ODW18" s="310" t="s">
        <v>201</v>
      </c>
      <c r="ODX18" s="310" t="s">
        <v>201</v>
      </c>
      <c r="ODY18" s="310" t="s">
        <v>201</v>
      </c>
      <c r="ODZ18" s="310" t="s">
        <v>201</v>
      </c>
      <c r="OEA18" s="310" t="s">
        <v>201</v>
      </c>
      <c r="OEB18" s="310" t="s">
        <v>201</v>
      </c>
      <c r="OEC18" s="310" t="s">
        <v>201</v>
      </c>
      <c r="OED18" s="310" t="s">
        <v>201</v>
      </c>
      <c r="OEE18" s="310" t="s">
        <v>201</v>
      </c>
      <c r="OEF18" s="310" t="s">
        <v>201</v>
      </c>
      <c r="OEG18" s="310" t="s">
        <v>201</v>
      </c>
      <c r="OEH18" s="310" t="s">
        <v>201</v>
      </c>
      <c r="OEI18" s="310" t="s">
        <v>201</v>
      </c>
      <c r="OEJ18" s="310" t="s">
        <v>201</v>
      </c>
      <c r="OEK18" s="310" t="s">
        <v>201</v>
      </c>
      <c r="OEL18" s="310" t="s">
        <v>201</v>
      </c>
      <c r="OEM18" s="310" t="s">
        <v>201</v>
      </c>
      <c r="OEN18" s="310" t="s">
        <v>201</v>
      </c>
      <c r="OEO18" s="310" t="s">
        <v>201</v>
      </c>
      <c r="OEP18" s="310" t="s">
        <v>201</v>
      </c>
      <c r="OEQ18" s="310" t="s">
        <v>201</v>
      </c>
      <c r="OER18" s="310" t="s">
        <v>201</v>
      </c>
      <c r="OES18" s="310" t="s">
        <v>201</v>
      </c>
      <c r="OET18" s="310" t="s">
        <v>201</v>
      </c>
      <c r="OEU18" s="310" t="s">
        <v>201</v>
      </c>
      <c r="OEV18" s="310" t="s">
        <v>201</v>
      </c>
      <c r="OEW18" s="310" t="s">
        <v>201</v>
      </c>
      <c r="OEX18" s="310" t="s">
        <v>201</v>
      </c>
      <c r="OEY18" s="310" t="s">
        <v>201</v>
      </c>
      <c r="OEZ18" s="310" t="s">
        <v>201</v>
      </c>
      <c r="OFA18" s="310" t="s">
        <v>201</v>
      </c>
      <c r="OFB18" s="310" t="s">
        <v>201</v>
      </c>
      <c r="OFC18" s="310" t="s">
        <v>201</v>
      </c>
      <c r="OFD18" s="310" t="s">
        <v>201</v>
      </c>
      <c r="OFE18" s="310" t="s">
        <v>201</v>
      </c>
      <c r="OFF18" s="310" t="s">
        <v>201</v>
      </c>
      <c r="OFG18" s="310" t="s">
        <v>201</v>
      </c>
      <c r="OFH18" s="310" t="s">
        <v>201</v>
      </c>
      <c r="OFI18" s="310" t="s">
        <v>201</v>
      </c>
      <c r="OFJ18" s="310" t="s">
        <v>201</v>
      </c>
      <c r="OFK18" s="310" t="s">
        <v>201</v>
      </c>
      <c r="OFL18" s="310" t="s">
        <v>201</v>
      </c>
      <c r="OFM18" s="310" t="s">
        <v>201</v>
      </c>
      <c r="OFN18" s="310" t="s">
        <v>201</v>
      </c>
      <c r="OFO18" s="310" t="s">
        <v>201</v>
      </c>
      <c r="OFP18" s="310" t="s">
        <v>201</v>
      </c>
      <c r="OFQ18" s="310" t="s">
        <v>201</v>
      </c>
      <c r="OFR18" s="310" t="s">
        <v>201</v>
      </c>
      <c r="OFS18" s="310" t="s">
        <v>201</v>
      </c>
      <c r="OFT18" s="310" t="s">
        <v>201</v>
      </c>
      <c r="OFU18" s="310" t="s">
        <v>201</v>
      </c>
      <c r="OFV18" s="310" t="s">
        <v>201</v>
      </c>
      <c r="OFW18" s="310" t="s">
        <v>201</v>
      </c>
      <c r="OFX18" s="310" t="s">
        <v>201</v>
      </c>
      <c r="OFY18" s="310" t="s">
        <v>201</v>
      </c>
      <c r="OFZ18" s="310" t="s">
        <v>201</v>
      </c>
      <c r="OGA18" s="310" t="s">
        <v>201</v>
      </c>
      <c r="OGB18" s="310" t="s">
        <v>201</v>
      </c>
      <c r="OGC18" s="310" t="s">
        <v>201</v>
      </c>
      <c r="OGD18" s="310" t="s">
        <v>201</v>
      </c>
      <c r="OGE18" s="310" t="s">
        <v>201</v>
      </c>
      <c r="OGF18" s="310" t="s">
        <v>201</v>
      </c>
      <c r="OGG18" s="310" t="s">
        <v>201</v>
      </c>
      <c r="OGH18" s="310" t="s">
        <v>201</v>
      </c>
      <c r="OGI18" s="310" t="s">
        <v>201</v>
      </c>
      <c r="OGJ18" s="310" t="s">
        <v>201</v>
      </c>
      <c r="OGK18" s="310" t="s">
        <v>201</v>
      </c>
      <c r="OGL18" s="310" t="s">
        <v>201</v>
      </c>
      <c r="OGM18" s="310" t="s">
        <v>201</v>
      </c>
      <c r="OGN18" s="310" t="s">
        <v>201</v>
      </c>
      <c r="OGO18" s="310" t="s">
        <v>201</v>
      </c>
      <c r="OGP18" s="310" t="s">
        <v>201</v>
      </c>
      <c r="OGQ18" s="310" t="s">
        <v>201</v>
      </c>
      <c r="OGR18" s="310" t="s">
        <v>201</v>
      </c>
      <c r="OGS18" s="310" t="s">
        <v>201</v>
      </c>
      <c r="OGT18" s="310" t="s">
        <v>201</v>
      </c>
      <c r="OGU18" s="310" t="s">
        <v>201</v>
      </c>
      <c r="OGV18" s="310" t="s">
        <v>201</v>
      </c>
      <c r="OGW18" s="310" t="s">
        <v>201</v>
      </c>
      <c r="OGX18" s="310" t="s">
        <v>201</v>
      </c>
      <c r="OGY18" s="310" t="s">
        <v>201</v>
      </c>
      <c r="OGZ18" s="310" t="s">
        <v>201</v>
      </c>
      <c r="OHA18" s="310" t="s">
        <v>201</v>
      </c>
      <c r="OHB18" s="310" t="s">
        <v>201</v>
      </c>
      <c r="OHC18" s="310" t="s">
        <v>201</v>
      </c>
      <c r="OHD18" s="310" t="s">
        <v>201</v>
      </c>
      <c r="OHE18" s="310" t="s">
        <v>201</v>
      </c>
      <c r="OHF18" s="310" t="s">
        <v>201</v>
      </c>
      <c r="OHG18" s="310" t="s">
        <v>201</v>
      </c>
      <c r="OHH18" s="310" t="s">
        <v>201</v>
      </c>
      <c r="OHI18" s="310" t="s">
        <v>201</v>
      </c>
      <c r="OHJ18" s="310" t="s">
        <v>201</v>
      </c>
      <c r="OHK18" s="310" t="s">
        <v>201</v>
      </c>
      <c r="OHL18" s="310" t="s">
        <v>201</v>
      </c>
      <c r="OHM18" s="310" t="s">
        <v>201</v>
      </c>
      <c r="OHN18" s="310" t="s">
        <v>201</v>
      </c>
      <c r="OHO18" s="310" t="s">
        <v>201</v>
      </c>
      <c r="OHP18" s="310" t="s">
        <v>201</v>
      </c>
      <c r="OHQ18" s="310" t="s">
        <v>201</v>
      </c>
      <c r="OHR18" s="310" t="s">
        <v>201</v>
      </c>
      <c r="OHS18" s="310" t="s">
        <v>201</v>
      </c>
      <c r="OHT18" s="310" t="s">
        <v>201</v>
      </c>
      <c r="OHU18" s="310" t="s">
        <v>201</v>
      </c>
      <c r="OHV18" s="310" t="s">
        <v>201</v>
      </c>
      <c r="OHW18" s="310" t="s">
        <v>201</v>
      </c>
      <c r="OHX18" s="310" t="s">
        <v>201</v>
      </c>
      <c r="OHY18" s="310" t="s">
        <v>201</v>
      </c>
      <c r="OHZ18" s="310" t="s">
        <v>201</v>
      </c>
      <c r="OIA18" s="310" t="s">
        <v>201</v>
      </c>
      <c r="OIB18" s="310" t="s">
        <v>201</v>
      </c>
      <c r="OIC18" s="310" t="s">
        <v>201</v>
      </c>
      <c r="OID18" s="310" t="s">
        <v>201</v>
      </c>
      <c r="OIE18" s="310" t="s">
        <v>201</v>
      </c>
      <c r="OIF18" s="310" t="s">
        <v>201</v>
      </c>
      <c r="OIG18" s="310" t="s">
        <v>201</v>
      </c>
      <c r="OIH18" s="310" t="s">
        <v>201</v>
      </c>
      <c r="OII18" s="310" t="s">
        <v>201</v>
      </c>
      <c r="OIJ18" s="310" t="s">
        <v>201</v>
      </c>
      <c r="OIK18" s="310" t="s">
        <v>201</v>
      </c>
      <c r="OIL18" s="310" t="s">
        <v>201</v>
      </c>
      <c r="OIM18" s="310" t="s">
        <v>201</v>
      </c>
      <c r="OIN18" s="310" t="s">
        <v>201</v>
      </c>
      <c r="OIO18" s="310" t="s">
        <v>201</v>
      </c>
      <c r="OIP18" s="310" t="s">
        <v>201</v>
      </c>
      <c r="OIQ18" s="310" t="s">
        <v>201</v>
      </c>
      <c r="OIR18" s="310" t="s">
        <v>201</v>
      </c>
      <c r="OIS18" s="310" t="s">
        <v>201</v>
      </c>
      <c r="OIT18" s="310" t="s">
        <v>201</v>
      </c>
      <c r="OIU18" s="310" t="s">
        <v>201</v>
      </c>
      <c r="OIV18" s="310" t="s">
        <v>201</v>
      </c>
      <c r="OIW18" s="310" t="s">
        <v>201</v>
      </c>
      <c r="OIX18" s="310" t="s">
        <v>201</v>
      </c>
      <c r="OIY18" s="310" t="s">
        <v>201</v>
      </c>
      <c r="OIZ18" s="310" t="s">
        <v>201</v>
      </c>
      <c r="OJA18" s="310" t="s">
        <v>201</v>
      </c>
      <c r="OJB18" s="310" t="s">
        <v>201</v>
      </c>
      <c r="OJC18" s="310" t="s">
        <v>201</v>
      </c>
      <c r="OJD18" s="310" t="s">
        <v>201</v>
      </c>
      <c r="OJE18" s="310" t="s">
        <v>201</v>
      </c>
      <c r="OJF18" s="310" t="s">
        <v>201</v>
      </c>
      <c r="OJG18" s="310" t="s">
        <v>201</v>
      </c>
      <c r="OJH18" s="310" t="s">
        <v>201</v>
      </c>
      <c r="OJI18" s="310" t="s">
        <v>201</v>
      </c>
      <c r="OJJ18" s="310" t="s">
        <v>201</v>
      </c>
      <c r="OJK18" s="310" t="s">
        <v>201</v>
      </c>
      <c r="OJL18" s="310" t="s">
        <v>201</v>
      </c>
      <c r="OJM18" s="310" t="s">
        <v>201</v>
      </c>
      <c r="OJN18" s="310" t="s">
        <v>201</v>
      </c>
      <c r="OJO18" s="310" t="s">
        <v>201</v>
      </c>
      <c r="OJP18" s="310" t="s">
        <v>201</v>
      </c>
      <c r="OJQ18" s="310" t="s">
        <v>201</v>
      </c>
      <c r="OJR18" s="310" t="s">
        <v>201</v>
      </c>
      <c r="OJS18" s="310" t="s">
        <v>201</v>
      </c>
      <c r="OJT18" s="310" t="s">
        <v>201</v>
      </c>
      <c r="OJU18" s="310" t="s">
        <v>201</v>
      </c>
      <c r="OJV18" s="310" t="s">
        <v>201</v>
      </c>
      <c r="OJW18" s="310" t="s">
        <v>201</v>
      </c>
      <c r="OJX18" s="310" t="s">
        <v>201</v>
      </c>
      <c r="OJY18" s="310" t="s">
        <v>201</v>
      </c>
      <c r="OJZ18" s="310" t="s">
        <v>201</v>
      </c>
      <c r="OKA18" s="310" t="s">
        <v>201</v>
      </c>
      <c r="OKB18" s="310" t="s">
        <v>201</v>
      </c>
      <c r="OKC18" s="310" t="s">
        <v>201</v>
      </c>
      <c r="OKD18" s="310" t="s">
        <v>201</v>
      </c>
      <c r="OKE18" s="310" t="s">
        <v>201</v>
      </c>
      <c r="OKF18" s="310" t="s">
        <v>201</v>
      </c>
      <c r="OKG18" s="310" t="s">
        <v>201</v>
      </c>
      <c r="OKH18" s="310" t="s">
        <v>201</v>
      </c>
      <c r="OKI18" s="310" t="s">
        <v>201</v>
      </c>
      <c r="OKJ18" s="310" t="s">
        <v>201</v>
      </c>
      <c r="OKK18" s="310" t="s">
        <v>201</v>
      </c>
      <c r="OKL18" s="310" t="s">
        <v>201</v>
      </c>
      <c r="OKM18" s="310" t="s">
        <v>201</v>
      </c>
      <c r="OKN18" s="310" t="s">
        <v>201</v>
      </c>
      <c r="OKO18" s="310" t="s">
        <v>201</v>
      </c>
      <c r="OKP18" s="310" t="s">
        <v>201</v>
      </c>
      <c r="OKQ18" s="310" t="s">
        <v>201</v>
      </c>
      <c r="OKR18" s="310" t="s">
        <v>201</v>
      </c>
      <c r="OKS18" s="310" t="s">
        <v>201</v>
      </c>
      <c r="OKT18" s="310" t="s">
        <v>201</v>
      </c>
      <c r="OKU18" s="310" t="s">
        <v>201</v>
      </c>
      <c r="OKV18" s="310" t="s">
        <v>201</v>
      </c>
      <c r="OKW18" s="310" t="s">
        <v>201</v>
      </c>
      <c r="OKX18" s="310" t="s">
        <v>201</v>
      </c>
      <c r="OKY18" s="310" t="s">
        <v>201</v>
      </c>
      <c r="OKZ18" s="310" t="s">
        <v>201</v>
      </c>
      <c r="OLA18" s="310" t="s">
        <v>201</v>
      </c>
      <c r="OLB18" s="310" t="s">
        <v>201</v>
      </c>
      <c r="OLC18" s="310" t="s">
        <v>201</v>
      </c>
      <c r="OLD18" s="310" t="s">
        <v>201</v>
      </c>
      <c r="OLE18" s="310" t="s">
        <v>201</v>
      </c>
      <c r="OLF18" s="310" t="s">
        <v>201</v>
      </c>
      <c r="OLG18" s="310" t="s">
        <v>201</v>
      </c>
      <c r="OLH18" s="310" t="s">
        <v>201</v>
      </c>
      <c r="OLI18" s="310" t="s">
        <v>201</v>
      </c>
      <c r="OLJ18" s="310" t="s">
        <v>201</v>
      </c>
      <c r="OLK18" s="310" t="s">
        <v>201</v>
      </c>
      <c r="OLL18" s="310" t="s">
        <v>201</v>
      </c>
      <c r="OLM18" s="310" t="s">
        <v>201</v>
      </c>
      <c r="OLN18" s="310" t="s">
        <v>201</v>
      </c>
      <c r="OLO18" s="310" t="s">
        <v>201</v>
      </c>
      <c r="OLP18" s="310" t="s">
        <v>201</v>
      </c>
      <c r="OLQ18" s="310" t="s">
        <v>201</v>
      </c>
      <c r="OLR18" s="310" t="s">
        <v>201</v>
      </c>
      <c r="OLS18" s="310" t="s">
        <v>201</v>
      </c>
      <c r="OLT18" s="310" t="s">
        <v>201</v>
      </c>
      <c r="OLU18" s="310" t="s">
        <v>201</v>
      </c>
      <c r="OLV18" s="310" t="s">
        <v>201</v>
      </c>
      <c r="OLW18" s="310" t="s">
        <v>201</v>
      </c>
      <c r="OLX18" s="310" t="s">
        <v>201</v>
      </c>
      <c r="OLY18" s="310" t="s">
        <v>201</v>
      </c>
      <c r="OLZ18" s="310" t="s">
        <v>201</v>
      </c>
      <c r="OMA18" s="310" t="s">
        <v>201</v>
      </c>
      <c r="OMB18" s="310" t="s">
        <v>201</v>
      </c>
      <c r="OMC18" s="310" t="s">
        <v>201</v>
      </c>
      <c r="OMD18" s="310" t="s">
        <v>201</v>
      </c>
      <c r="OME18" s="310" t="s">
        <v>201</v>
      </c>
      <c r="OMF18" s="310" t="s">
        <v>201</v>
      </c>
      <c r="OMG18" s="310" t="s">
        <v>201</v>
      </c>
      <c r="OMH18" s="310" t="s">
        <v>201</v>
      </c>
      <c r="OMI18" s="310" t="s">
        <v>201</v>
      </c>
      <c r="OMJ18" s="310" t="s">
        <v>201</v>
      </c>
      <c r="OMK18" s="310" t="s">
        <v>201</v>
      </c>
      <c r="OML18" s="310" t="s">
        <v>201</v>
      </c>
      <c r="OMM18" s="310" t="s">
        <v>201</v>
      </c>
      <c r="OMN18" s="310" t="s">
        <v>201</v>
      </c>
      <c r="OMO18" s="310" t="s">
        <v>201</v>
      </c>
      <c r="OMP18" s="310" t="s">
        <v>201</v>
      </c>
      <c r="OMQ18" s="310" t="s">
        <v>201</v>
      </c>
      <c r="OMR18" s="310" t="s">
        <v>201</v>
      </c>
      <c r="OMS18" s="310" t="s">
        <v>201</v>
      </c>
      <c r="OMT18" s="310" t="s">
        <v>201</v>
      </c>
      <c r="OMU18" s="310" t="s">
        <v>201</v>
      </c>
      <c r="OMV18" s="310" t="s">
        <v>201</v>
      </c>
      <c r="OMW18" s="310" t="s">
        <v>201</v>
      </c>
      <c r="OMX18" s="310" t="s">
        <v>201</v>
      </c>
      <c r="OMY18" s="310" t="s">
        <v>201</v>
      </c>
      <c r="OMZ18" s="310" t="s">
        <v>201</v>
      </c>
      <c r="ONA18" s="310" t="s">
        <v>201</v>
      </c>
      <c r="ONB18" s="310" t="s">
        <v>201</v>
      </c>
      <c r="ONC18" s="310" t="s">
        <v>201</v>
      </c>
      <c r="OND18" s="310" t="s">
        <v>201</v>
      </c>
      <c r="ONE18" s="310" t="s">
        <v>201</v>
      </c>
      <c r="ONF18" s="310" t="s">
        <v>201</v>
      </c>
      <c r="ONG18" s="310" t="s">
        <v>201</v>
      </c>
      <c r="ONH18" s="310" t="s">
        <v>201</v>
      </c>
      <c r="ONI18" s="310" t="s">
        <v>201</v>
      </c>
      <c r="ONJ18" s="310" t="s">
        <v>201</v>
      </c>
      <c r="ONK18" s="310" t="s">
        <v>201</v>
      </c>
      <c r="ONL18" s="310" t="s">
        <v>201</v>
      </c>
      <c r="ONM18" s="310" t="s">
        <v>201</v>
      </c>
      <c r="ONN18" s="310" t="s">
        <v>201</v>
      </c>
      <c r="ONO18" s="310" t="s">
        <v>201</v>
      </c>
      <c r="ONP18" s="310" t="s">
        <v>201</v>
      </c>
      <c r="ONQ18" s="310" t="s">
        <v>201</v>
      </c>
      <c r="ONR18" s="310" t="s">
        <v>201</v>
      </c>
      <c r="ONS18" s="310" t="s">
        <v>201</v>
      </c>
      <c r="ONT18" s="310" t="s">
        <v>201</v>
      </c>
      <c r="ONU18" s="310" t="s">
        <v>201</v>
      </c>
      <c r="ONV18" s="310" t="s">
        <v>201</v>
      </c>
      <c r="ONW18" s="310" t="s">
        <v>201</v>
      </c>
      <c r="ONX18" s="310" t="s">
        <v>201</v>
      </c>
      <c r="ONY18" s="310" t="s">
        <v>201</v>
      </c>
      <c r="ONZ18" s="310" t="s">
        <v>201</v>
      </c>
      <c r="OOA18" s="310" t="s">
        <v>201</v>
      </c>
      <c r="OOB18" s="310" t="s">
        <v>201</v>
      </c>
      <c r="OOC18" s="310" t="s">
        <v>201</v>
      </c>
      <c r="OOD18" s="310" t="s">
        <v>201</v>
      </c>
      <c r="OOE18" s="310" t="s">
        <v>201</v>
      </c>
      <c r="OOF18" s="310" t="s">
        <v>201</v>
      </c>
      <c r="OOG18" s="310" t="s">
        <v>201</v>
      </c>
      <c r="OOH18" s="310" t="s">
        <v>201</v>
      </c>
      <c r="OOI18" s="310" t="s">
        <v>201</v>
      </c>
      <c r="OOJ18" s="310" t="s">
        <v>201</v>
      </c>
      <c r="OOK18" s="310" t="s">
        <v>201</v>
      </c>
      <c r="OOL18" s="310" t="s">
        <v>201</v>
      </c>
      <c r="OOM18" s="310" t="s">
        <v>201</v>
      </c>
      <c r="OON18" s="310" t="s">
        <v>201</v>
      </c>
      <c r="OOO18" s="310" t="s">
        <v>201</v>
      </c>
      <c r="OOP18" s="310" t="s">
        <v>201</v>
      </c>
      <c r="OOQ18" s="310" t="s">
        <v>201</v>
      </c>
      <c r="OOR18" s="310" t="s">
        <v>201</v>
      </c>
      <c r="OOS18" s="310" t="s">
        <v>201</v>
      </c>
      <c r="OOT18" s="310" t="s">
        <v>201</v>
      </c>
      <c r="OOU18" s="310" t="s">
        <v>201</v>
      </c>
      <c r="OOV18" s="310" t="s">
        <v>201</v>
      </c>
      <c r="OOW18" s="310" t="s">
        <v>201</v>
      </c>
      <c r="OOX18" s="310" t="s">
        <v>201</v>
      </c>
      <c r="OOY18" s="310" t="s">
        <v>201</v>
      </c>
      <c r="OOZ18" s="310" t="s">
        <v>201</v>
      </c>
      <c r="OPA18" s="310" t="s">
        <v>201</v>
      </c>
      <c r="OPB18" s="310" t="s">
        <v>201</v>
      </c>
      <c r="OPC18" s="310" t="s">
        <v>201</v>
      </c>
      <c r="OPD18" s="310" t="s">
        <v>201</v>
      </c>
      <c r="OPE18" s="310" t="s">
        <v>201</v>
      </c>
      <c r="OPF18" s="310" t="s">
        <v>201</v>
      </c>
      <c r="OPG18" s="310" t="s">
        <v>201</v>
      </c>
      <c r="OPH18" s="310" t="s">
        <v>201</v>
      </c>
      <c r="OPI18" s="310" t="s">
        <v>201</v>
      </c>
      <c r="OPJ18" s="310" t="s">
        <v>201</v>
      </c>
      <c r="OPK18" s="310" t="s">
        <v>201</v>
      </c>
      <c r="OPL18" s="310" t="s">
        <v>201</v>
      </c>
      <c r="OPM18" s="310" t="s">
        <v>201</v>
      </c>
      <c r="OPN18" s="310" t="s">
        <v>201</v>
      </c>
      <c r="OPO18" s="310" t="s">
        <v>201</v>
      </c>
      <c r="OPP18" s="310" t="s">
        <v>201</v>
      </c>
      <c r="OPQ18" s="310" t="s">
        <v>201</v>
      </c>
      <c r="OPR18" s="310" t="s">
        <v>201</v>
      </c>
      <c r="OPS18" s="310" t="s">
        <v>201</v>
      </c>
      <c r="OPT18" s="310" t="s">
        <v>201</v>
      </c>
      <c r="OPU18" s="310" t="s">
        <v>201</v>
      </c>
      <c r="OPV18" s="310" t="s">
        <v>201</v>
      </c>
      <c r="OPW18" s="310" t="s">
        <v>201</v>
      </c>
      <c r="OPX18" s="310" t="s">
        <v>201</v>
      </c>
      <c r="OPY18" s="310" t="s">
        <v>201</v>
      </c>
      <c r="OPZ18" s="310" t="s">
        <v>201</v>
      </c>
      <c r="OQA18" s="310" t="s">
        <v>201</v>
      </c>
      <c r="OQB18" s="310" t="s">
        <v>201</v>
      </c>
      <c r="OQC18" s="310" t="s">
        <v>201</v>
      </c>
      <c r="OQD18" s="310" t="s">
        <v>201</v>
      </c>
      <c r="OQE18" s="310" t="s">
        <v>201</v>
      </c>
      <c r="OQF18" s="310" t="s">
        <v>201</v>
      </c>
      <c r="OQG18" s="310" t="s">
        <v>201</v>
      </c>
      <c r="OQH18" s="310" t="s">
        <v>201</v>
      </c>
      <c r="OQI18" s="310" t="s">
        <v>201</v>
      </c>
      <c r="OQJ18" s="310" t="s">
        <v>201</v>
      </c>
      <c r="OQK18" s="310" t="s">
        <v>201</v>
      </c>
      <c r="OQL18" s="310" t="s">
        <v>201</v>
      </c>
      <c r="OQM18" s="310" t="s">
        <v>201</v>
      </c>
      <c r="OQN18" s="310" t="s">
        <v>201</v>
      </c>
      <c r="OQO18" s="310" t="s">
        <v>201</v>
      </c>
      <c r="OQP18" s="310" t="s">
        <v>201</v>
      </c>
      <c r="OQQ18" s="310" t="s">
        <v>201</v>
      </c>
      <c r="OQR18" s="310" t="s">
        <v>201</v>
      </c>
      <c r="OQS18" s="310" t="s">
        <v>201</v>
      </c>
      <c r="OQT18" s="310" t="s">
        <v>201</v>
      </c>
      <c r="OQU18" s="310" t="s">
        <v>201</v>
      </c>
      <c r="OQV18" s="310" t="s">
        <v>201</v>
      </c>
      <c r="OQW18" s="310" t="s">
        <v>201</v>
      </c>
      <c r="OQX18" s="310" t="s">
        <v>201</v>
      </c>
      <c r="OQY18" s="310" t="s">
        <v>201</v>
      </c>
      <c r="OQZ18" s="310" t="s">
        <v>201</v>
      </c>
      <c r="ORA18" s="310" t="s">
        <v>201</v>
      </c>
      <c r="ORB18" s="310" t="s">
        <v>201</v>
      </c>
      <c r="ORC18" s="310" t="s">
        <v>201</v>
      </c>
      <c r="ORD18" s="310" t="s">
        <v>201</v>
      </c>
      <c r="ORE18" s="310" t="s">
        <v>201</v>
      </c>
      <c r="ORF18" s="310" t="s">
        <v>201</v>
      </c>
      <c r="ORG18" s="310" t="s">
        <v>201</v>
      </c>
      <c r="ORH18" s="310" t="s">
        <v>201</v>
      </c>
      <c r="ORI18" s="310" t="s">
        <v>201</v>
      </c>
      <c r="ORJ18" s="310" t="s">
        <v>201</v>
      </c>
      <c r="ORK18" s="310" t="s">
        <v>201</v>
      </c>
      <c r="ORL18" s="310" t="s">
        <v>201</v>
      </c>
      <c r="ORM18" s="310" t="s">
        <v>201</v>
      </c>
      <c r="ORN18" s="310" t="s">
        <v>201</v>
      </c>
      <c r="ORO18" s="310" t="s">
        <v>201</v>
      </c>
      <c r="ORP18" s="310" t="s">
        <v>201</v>
      </c>
      <c r="ORQ18" s="310" t="s">
        <v>201</v>
      </c>
      <c r="ORR18" s="310" t="s">
        <v>201</v>
      </c>
      <c r="ORS18" s="310" t="s">
        <v>201</v>
      </c>
      <c r="ORT18" s="310" t="s">
        <v>201</v>
      </c>
      <c r="ORU18" s="310" t="s">
        <v>201</v>
      </c>
      <c r="ORV18" s="310" t="s">
        <v>201</v>
      </c>
      <c r="ORW18" s="310" t="s">
        <v>201</v>
      </c>
      <c r="ORX18" s="310" t="s">
        <v>201</v>
      </c>
      <c r="ORY18" s="310" t="s">
        <v>201</v>
      </c>
      <c r="ORZ18" s="310" t="s">
        <v>201</v>
      </c>
      <c r="OSA18" s="310" t="s">
        <v>201</v>
      </c>
      <c r="OSB18" s="310" t="s">
        <v>201</v>
      </c>
      <c r="OSC18" s="310" t="s">
        <v>201</v>
      </c>
      <c r="OSD18" s="310" t="s">
        <v>201</v>
      </c>
      <c r="OSE18" s="310" t="s">
        <v>201</v>
      </c>
      <c r="OSF18" s="310" t="s">
        <v>201</v>
      </c>
      <c r="OSG18" s="310" t="s">
        <v>201</v>
      </c>
      <c r="OSH18" s="310" t="s">
        <v>201</v>
      </c>
      <c r="OSI18" s="310" t="s">
        <v>201</v>
      </c>
      <c r="OSJ18" s="310" t="s">
        <v>201</v>
      </c>
      <c r="OSK18" s="310" t="s">
        <v>201</v>
      </c>
      <c r="OSL18" s="310" t="s">
        <v>201</v>
      </c>
      <c r="OSM18" s="310" t="s">
        <v>201</v>
      </c>
      <c r="OSN18" s="310" t="s">
        <v>201</v>
      </c>
      <c r="OSO18" s="310" t="s">
        <v>201</v>
      </c>
      <c r="OSP18" s="310" t="s">
        <v>201</v>
      </c>
      <c r="OSQ18" s="310" t="s">
        <v>201</v>
      </c>
      <c r="OSR18" s="310" t="s">
        <v>201</v>
      </c>
      <c r="OSS18" s="310" t="s">
        <v>201</v>
      </c>
      <c r="OST18" s="310" t="s">
        <v>201</v>
      </c>
      <c r="OSU18" s="310" t="s">
        <v>201</v>
      </c>
      <c r="OSV18" s="310" t="s">
        <v>201</v>
      </c>
      <c r="OSW18" s="310" t="s">
        <v>201</v>
      </c>
      <c r="OSX18" s="310" t="s">
        <v>201</v>
      </c>
      <c r="OSY18" s="310" t="s">
        <v>201</v>
      </c>
      <c r="OSZ18" s="310" t="s">
        <v>201</v>
      </c>
      <c r="OTA18" s="310" t="s">
        <v>201</v>
      </c>
      <c r="OTB18" s="310" t="s">
        <v>201</v>
      </c>
      <c r="OTC18" s="310" t="s">
        <v>201</v>
      </c>
      <c r="OTD18" s="310" t="s">
        <v>201</v>
      </c>
      <c r="OTE18" s="310" t="s">
        <v>201</v>
      </c>
      <c r="OTF18" s="310" t="s">
        <v>201</v>
      </c>
      <c r="OTG18" s="310" t="s">
        <v>201</v>
      </c>
      <c r="OTH18" s="310" t="s">
        <v>201</v>
      </c>
      <c r="OTI18" s="310" t="s">
        <v>201</v>
      </c>
      <c r="OTJ18" s="310" t="s">
        <v>201</v>
      </c>
      <c r="OTK18" s="310" t="s">
        <v>201</v>
      </c>
      <c r="OTL18" s="310" t="s">
        <v>201</v>
      </c>
      <c r="OTM18" s="310" t="s">
        <v>201</v>
      </c>
      <c r="OTN18" s="310" t="s">
        <v>201</v>
      </c>
      <c r="OTO18" s="310" t="s">
        <v>201</v>
      </c>
      <c r="OTP18" s="310" t="s">
        <v>201</v>
      </c>
      <c r="OTQ18" s="310" t="s">
        <v>201</v>
      </c>
      <c r="OTR18" s="310" t="s">
        <v>201</v>
      </c>
      <c r="OTS18" s="310" t="s">
        <v>201</v>
      </c>
      <c r="OTT18" s="310" t="s">
        <v>201</v>
      </c>
      <c r="OTU18" s="310" t="s">
        <v>201</v>
      </c>
      <c r="OTV18" s="310" t="s">
        <v>201</v>
      </c>
      <c r="OTW18" s="310" t="s">
        <v>201</v>
      </c>
      <c r="OTX18" s="310" t="s">
        <v>201</v>
      </c>
      <c r="OTY18" s="310" t="s">
        <v>201</v>
      </c>
      <c r="OTZ18" s="310" t="s">
        <v>201</v>
      </c>
      <c r="OUA18" s="310" t="s">
        <v>201</v>
      </c>
      <c r="OUB18" s="310" t="s">
        <v>201</v>
      </c>
      <c r="OUC18" s="310" t="s">
        <v>201</v>
      </c>
      <c r="OUD18" s="310" t="s">
        <v>201</v>
      </c>
      <c r="OUE18" s="310" t="s">
        <v>201</v>
      </c>
      <c r="OUF18" s="310" t="s">
        <v>201</v>
      </c>
      <c r="OUG18" s="310" t="s">
        <v>201</v>
      </c>
      <c r="OUH18" s="310" t="s">
        <v>201</v>
      </c>
      <c r="OUI18" s="310" t="s">
        <v>201</v>
      </c>
      <c r="OUJ18" s="310" t="s">
        <v>201</v>
      </c>
      <c r="OUK18" s="310" t="s">
        <v>201</v>
      </c>
      <c r="OUL18" s="310" t="s">
        <v>201</v>
      </c>
      <c r="OUM18" s="310" t="s">
        <v>201</v>
      </c>
      <c r="OUN18" s="310" t="s">
        <v>201</v>
      </c>
      <c r="OUO18" s="310" t="s">
        <v>201</v>
      </c>
      <c r="OUP18" s="310" t="s">
        <v>201</v>
      </c>
      <c r="OUQ18" s="310" t="s">
        <v>201</v>
      </c>
      <c r="OUR18" s="310" t="s">
        <v>201</v>
      </c>
      <c r="OUS18" s="310" t="s">
        <v>201</v>
      </c>
      <c r="OUT18" s="310" t="s">
        <v>201</v>
      </c>
      <c r="OUU18" s="310" t="s">
        <v>201</v>
      </c>
      <c r="OUV18" s="310" t="s">
        <v>201</v>
      </c>
      <c r="OUW18" s="310" t="s">
        <v>201</v>
      </c>
      <c r="OUX18" s="310" t="s">
        <v>201</v>
      </c>
      <c r="OUY18" s="310" t="s">
        <v>201</v>
      </c>
      <c r="OUZ18" s="310" t="s">
        <v>201</v>
      </c>
      <c r="OVA18" s="310" t="s">
        <v>201</v>
      </c>
      <c r="OVB18" s="310" t="s">
        <v>201</v>
      </c>
      <c r="OVC18" s="310" t="s">
        <v>201</v>
      </c>
      <c r="OVD18" s="310" t="s">
        <v>201</v>
      </c>
      <c r="OVE18" s="310" t="s">
        <v>201</v>
      </c>
      <c r="OVF18" s="310" t="s">
        <v>201</v>
      </c>
      <c r="OVG18" s="310" t="s">
        <v>201</v>
      </c>
      <c r="OVH18" s="310" t="s">
        <v>201</v>
      </c>
      <c r="OVI18" s="310" t="s">
        <v>201</v>
      </c>
      <c r="OVJ18" s="310" t="s">
        <v>201</v>
      </c>
      <c r="OVK18" s="310" t="s">
        <v>201</v>
      </c>
      <c r="OVL18" s="310" t="s">
        <v>201</v>
      </c>
      <c r="OVM18" s="310" t="s">
        <v>201</v>
      </c>
      <c r="OVN18" s="310" t="s">
        <v>201</v>
      </c>
      <c r="OVO18" s="310" t="s">
        <v>201</v>
      </c>
      <c r="OVP18" s="310" t="s">
        <v>201</v>
      </c>
      <c r="OVQ18" s="310" t="s">
        <v>201</v>
      </c>
      <c r="OVR18" s="310" t="s">
        <v>201</v>
      </c>
      <c r="OVS18" s="310" t="s">
        <v>201</v>
      </c>
      <c r="OVT18" s="310" t="s">
        <v>201</v>
      </c>
      <c r="OVU18" s="310" t="s">
        <v>201</v>
      </c>
      <c r="OVV18" s="310" t="s">
        <v>201</v>
      </c>
      <c r="OVW18" s="310" t="s">
        <v>201</v>
      </c>
      <c r="OVX18" s="310" t="s">
        <v>201</v>
      </c>
      <c r="OVY18" s="310" t="s">
        <v>201</v>
      </c>
      <c r="OVZ18" s="310" t="s">
        <v>201</v>
      </c>
      <c r="OWA18" s="310" t="s">
        <v>201</v>
      </c>
      <c r="OWB18" s="310" t="s">
        <v>201</v>
      </c>
      <c r="OWC18" s="310" t="s">
        <v>201</v>
      </c>
      <c r="OWD18" s="310" t="s">
        <v>201</v>
      </c>
      <c r="OWE18" s="310" t="s">
        <v>201</v>
      </c>
      <c r="OWF18" s="310" t="s">
        <v>201</v>
      </c>
      <c r="OWG18" s="310" t="s">
        <v>201</v>
      </c>
      <c r="OWH18" s="310" t="s">
        <v>201</v>
      </c>
      <c r="OWI18" s="310" t="s">
        <v>201</v>
      </c>
      <c r="OWJ18" s="310" t="s">
        <v>201</v>
      </c>
      <c r="OWK18" s="310" t="s">
        <v>201</v>
      </c>
      <c r="OWL18" s="310" t="s">
        <v>201</v>
      </c>
      <c r="OWM18" s="310" t="s">
        <v>201</v>
      </c>
      <c r="OWN18" s="310" t="s">
        <v>201</v>
      </c>
      <c r="OWO18" s="310" t="s">
        <v>201</v>
      </c>
      <c r="OWP18" s="310" t="s">
        <v>201</v>
      </c>
      <c r="OWQ18" s="310" t="s">
        <v>201</v>
      </c>
      <c r="OWR18" s="310" t="s">
        <v>201</v>
      </c>
      <c r="OWS18" s="310" t="s">
        <v>201</v>
      </c>
      <c r="OWT18" s="310" t="s">
        <v>201</v>
      </c>
      <c r="OWU18" s="310" t="s">
        <v>201</v>
      </c>
      <c r="OWV18" s="310" t="s">
        <v>201</v>
      </c>
      <c r="OWW18" s="310" t="s">
        <v>201</v>
      </c>
      <c r="OWX18" s="310" t="s">
        <v>201</v>
      </c>
      <c r="OWY18" s="310" t="s">
        <v>201</v>
      </c>
      <c r="OWZ18" s="310" t="s">
        <v>201</v>
      </c>
      <c r="OXA18" s="310" t="s">
        <v>201</v>
      </c>
      <c r="OXB18" s="310" t="s">
        <v>201</v>
      </c>
      <c r="OXC18" s="310" t="s">
        <v>201</v>
      </c>
      <c r="OXD18" s="310" t="s">
        <v>201</v>
      </c>
      <c r="OXE18" s="310" t="s">
        <v>201</v>
      </c>
      <c r="OXF18" s="310" t="s">
        <v>201</v>
      </c>
      <c r="OXG18" s="310" t="s">
        <v>201</v>
      </c>
      <c r="OXH18" s="310" t="s">
        <v>201</v>
      </c>
      <c r="OXI18" s="310" t="s">
        <v>201</v>
      </c>
      <c r="OXJ18" s="310" t="s">
        <v>201</v>
      </c>
      <c r="OXK18" s="310" t="s">
        <v>201</v>
      </c>
      <c r="OXL18" s="310" t="s">
        <v>201</v>
      </c>
      <c r="OXM18" s="310" t="s">
        <v>201</v>
      </c>
      <c r="OXN18" s="310" t="s">
        <v>201</v>
      </c>
      <c r="OXO18" s="310" t="s">
        <v>201</v>
      </c>
      <c r="OXP18" s="310" t="s">
        <v>201</v>
      </c>
      <c r="OXQ18" s="310" t="s">
        <v>201</v>
      </c>
      <c r="OXR18" s="310" t="s">
        <v>201</v>
      </c>
      <c r="OXS18" s="310" t="s">
        <v>201</v>
      </c>
      <c r="OXT18" s="310" t="s">
        <v>201</v>
      </c>
      <c r="OXU18" s="310" t="s">
        <v>201</v>
      </c>
      <c r="OXV18" s="310" t="s">
        <v>201</v>
      </c>
      <c r="OXW18" s="310" t="s">
        <v>201</v>
      </c>
      <c r="OXX18" s="310" t="s">
        <v>201</v>
      </c>
      <c r="OXY18" s="310" t="s">
        <v>201</v>
      </c>
      <c r="OXZ18" s="310" t="s">
        <v>201</v>
      </c>
      <c r="OYA18" s="310" t="s">
        <v>201</v>
      </c>
      <c r="OYB18" s="310" t="s">
        <v>201</v>
      </c>
      <c r="OYC18" s="310" t="s">
        <v>201</v>
      </c>
      <c r="OYD18" s="310" t="s">
        <v>201</v>
      </c>
      <c r="OYE18" s="310" t="s">
        <v>201</v>
      </c>
      <c r="OYF18" s="310" t="s">
        <v>201</v>
      </c>
      <c r="OYG18" s="310" t="s">
        <v>201</v>
      </c>
      <c r="OYH18" s="310" t="s">
        <v>201</v>
      </c>
      <c r="OYI18" s="310" t="s">
        <v>201</v>
      </c>
      <c r="OYJ18" s="310" t="s">
        <v>201</v>
      </c>
      <c r="OYK18" s="310" t="s">
        <v>201</v>
      </c>
      <c r="OYL18" s="310" t="s">
        <v>201</v>
      </c>
      <c r="OYM18" s="310" t="s">
        <v>201</v>
      </c>
      <c r="OYN18" s="310" t="s">
        <v>201</v>
      </c>
      <c r="OYO18" s="310" t="s">
        <v>201</v>
      </c>
      <c r="OYP18" s="310" t="s">
        <v>201</v>
      </c>
      <c r="OYQ18" s="310" t="s">
        <v>201</v>
      </c>
      <c r="OYR18" s="310" t="s">
        <v>201</v>
      </c>
      <c r="OYS18" s="310" t="s">
        <v>201</v>
      </c>
      <c r="OYT18" s="310" t="s">
        <v>201</v>
      </c>
      <c r="OYU18" s="310" t="s">
        <v>201</v>
      </c>
      <c r="OYV18" s="310" t="s">
        <v>201</v>
      </c>
      <c r="OYW18" s="310" t="s">
        <v>201</v>
      </c>
      <c r="OYX18" s="310" t="s">
        <v>201</v>
      </c>
      <c r="OYY18" s="310" t="s">
        <v>201</v>
      </c>
      <c r="OYZ18" s="310" t="s">
        <v>201</v>
      </c>
      <c r="OZA18" s="310" t="s">
        <v>201</v>
      </c>
      <c r="OZB18" s="310" t="s">
        <v>201</v>
      </c>
      <c r="OZC18" s="310" t="s">
        <v>201</v>
      </c>
      <c r="OZD18" s="310" t="s">
        <v>201</v>
      </c>
      <c r="OZE18" s="310" t="s">
        <v>201</v>
      </c>
      <c r="OZF18" s="310" t="s">
        <v>201</v>
      </c>
      <c r="OZG18" s="310" t="s">
        <v>201</v>
      </c>
      <c r="OZH18" s="310" t="s">
        <v>201</v>
      </c>
      <c r="OZI18" s="310" t="s">
        <v>201</v>
      </c>
      <c r="OZJ18" s="310" t="s">
        <v>201</v>
      </c>
      <c r="OZK18" s="310" t="s">
        <v>201</v>
      </c>
      <c r="OZL18" s="310" t="s">
        <v>201</v>
      </c>
      <c r="OZM18" s="310" t="s">
        <v>201</v>
      </c>
      <c r="OZN18" s="310" t="s">
        <v>201</v>
      </c>
      <c r="OZO18" s="310" t="s">
        <v>201</v>
      </c>
      <c r="OZP18" s="310" t="s">
        <v>201</v>
      </c>
      <c r="OZQ18" s="310" t="s">
        <v>201</v>
      </c>
      <c r="OZR18" s="310" t="s">
        <v>201</v>
      </c>
      <c r="OZS18" s="310" t="s">
        <v>201</v>
      </c>
      <c r="OZT18" s="310" t="s">
        <v>201</v>
      </c>
      <c r="OZU18" s="310" t="s">
        <v>201</v>
      </c>
      <c r="OZV18" s="310" t="s">
        <v>201</v>
      </c>
      <c r="OZW18" s="310" t="s">
        <v>201</v>
      </c>
      <c r="OZX18" s="310" t="s">
        <v>201</v>
      </c>
      <c r="OZY18" s="310" t="s">
        <v>201</v>
      </c>
      <c r="OZZ18" s="310" t="s">
        <v>201</v>
      </c>
      <c r="PAA18" s="310" t="s">
        <v>201</v>
      </c>
      <c r="PAB18" s="310" t="s">
        <v>201</v>
      </c>
      <c r="PAC18" s="310" t="s">
        <v>201</v>
      </c>
      <c r="PAD18" s="310" t="s">
        <v>201</v>
      </c>
      <c r="PAE18" s="310" t="s">
        <v>201</v>
      </c>
      <c r="PAF18" s="310" t="s">
        <v>201</v>
      </c>
      <c r="PAG18" s="310" t="s">
        <v>201</v>
      </c>
      <c r="PAH18" s="310" t="s">
        <v>201</v>
      </c>
      <c r="PAI18" s="310" t="s">
        <v>201</v>
      </c>
      <c r="PAJ18" s="310" t="s">
        <v>201</v>
      </c>
      <c r="PAK18" s="310" t="s">
        <v>201</v>
      </c>
      <c r="PAL18" s="310" t="s">
        <v>201</v>
      </c>
      <c r="PAM18" s="310" t="s">
        <v>201</v>
      </c>
      <c r="PAN18" s="310" t="s">
        <v>201</v>
      </c>
      <c r="PAO18" s="310" t="s">
        <v>201</v>
      </c>
      <c r="PAP18" s="310" t="s">
        <v>201</v>
      </c>
      <c r="PAQ18" s="310" t="s">
        <v>201</v>
      </c>
      <c r="PAR18" s="310" t="s">
        <v>201</v>
      </c>
      <c r="PAS18" s="310" t="s">
        <v>201</v>
      </c>
      <c r="PAT18" s="310" t="s">
        <v>201</v>
      </c>
      <c r="PAU18" s="310" t="s">
        <v>201</v>
      </c>
      <c r="PAV18" s="310" t="s">
        <v>201</v>
      </c>
      <c r="PAW18" s="310" t="s">
        <v>201</v>
      </c>
      <c r="PAX18" s="310" t="s">
        <v>201</v>
      </c>
      <c r="PAY18" s="310" t="s">
        <v>201</v>
      </c>
      <c r="PAZ18" s="310" t="s">
        <v>201</v>
      </c>
      <c r="PBA18" s="310" t="s">
        <v>201</v>
      </c>
      <c r="PBB18" s="310" t="s">
        <v>201</v>
      </c>
      <c r="PBC18" s="310" t="s">
        <v>201</v>
      </c>
      <c r="PBD18" s="310" t="s">
        <v>201</v>
      </c>
      <c r="PBE18" s="310" t="s">
        <v>201</v>
      </c>
      <c r="PBF18" s="310" t="s">
        <v>201</v>
      </c>
      <c r="PBG18" s="310" t="s">
        <v>201</v>
      </c>
      <c r="PBH18" s="310" t="s">
        <v>201</v>
      </c>
      <c r="PBI18" s="310" t="s">
        <v>201</v>
      </c>
      <c r="PBJ18" s="310" t="s">
        <v>201</v>
      </c>
      <c r="PBK18" s="310" t="s">
        <v>201</v>
      </c>
      <c r="PBL18" s="310" t="s">
        <v>201</v>
      </c>
      <c r="PBM18" s="310" t="s">
        <v>201</v>
      </c>
      <c r="PBN18" s="310" t="s">
        <v>201</v>
      </c>
      <c r="PBO18" s="310" t="s">
        <v>201</v>
      </c>
      <c r="PBP18" s="310" t="s">
        <v>201</v>
      </c>
      <c r="PBQ18" s="310" t="s">
        <v>201</v>
      </c>
      <c r="PBR18" s="310" t="s">
        <v>201</v>
      </c>
      <c r="PBS18" s="310" t="s">
        <v>201</v>
      </c>
      <c r="PBT18" s="310" t="s">
        <v>201</v>
      </c>
      <c r="PBU18" s="310" t="s">
        <v>201</v>
      </c>
      <c r="PBV18" s="310" t="s">
        <v>201</v>
      </c>
      <c r="PBW18" s="310" t="s">
        <v>201</v>
      </c>
      <c r="PBX18" s="310" t="s">
        <v>201</v>
      </c>
      <c r="PBY18" s="310" t="s">
        <v>201</v>
      </c>
      <c r="PBZ18" s="310" t="s">
        <v>201</v>
      </c>
      <c r="PCA18" s="310" t="s">
        <v>201</v>
      </c>
      <c r="PCB18" s="310" t="s">
        <v>201</v>
      </c>
      <c r="PCC18" s="310" t="s">
        <v>201</v>
      </c>
      <c r="PCD18" s="310" t="s">
        <v>201</v>
      </c>
      <c r="PCE18" s="310" t="s">
        <v>201</v>
      </c>
      <c r="PCF18" s="310" t="s">
        <v>201</v>
      </c>
      <c r="PCG18" s="310" t="s">
        <v>201</v>
      </c>
      <c r="PCH18" s="310" t="s">
        <v>201</v>
      </c>
      <c r="PCI18" s="310" t="s">
        <v>201</v>
      </c>
      <c r="PCJ18" s="310" t="s">
        <v>201</v>
      </c>
      <c r="PCK18" s="310" t="s">
        <v>201</v>
      </c>
      <c r="PCL18" s="310" t="s">
        <v>201</v>
      </c>
      <c r="PCM18" s="310" t="s">
        <v>201</v>
      </c>
      <c r="PCN18" s="310" t="s">
        <v>201</v>
      </c>
      <c r="PCO18" s="310" t="s">
        <v>201</v>
      </c>
      <c r="PCP18" s="310" t="s">
        <v>201</v>
      </c>
      <c r="PCQ18" s="310" t="s">
        <v>201</v>
      </c>
      <c r="PCR18" s="310" t="s">
        <v>201</v>
      </c>
      <c r="PCS18" s="310" t="s">
        <v>201</v>
      </c>
      <c r="PCT18" s="310" t="s">
        <v>201</v>
      </c>
      <c r="PCU18" s="310" t="s">
        <v>201</v>
      </c>
      <c r="PCV18" s="310" t="s">
        <v>201</v>
      </c>
      <c r="PCW18" s="310" t="s">
        <v>201</v>
      </c>
      <c r="PCX18" s="310" t="s">
        <v>201</v>
      </c>
      <c r="PCY18" s="310" t="s">
        <v>201</v>
      </c>
      <c r="PCZ18" s="310" t="s">
        <v>201</v>
      </c>
      <c r="PDA18" s="310" t="s">
        <v>201</v>
      </c>
      <c r="PDB18" s="310" t="s">
        <v>201</v>
      </c>
      <c r="PDC18" s="310" t="s">
        <v>201</v>
      </c>
      <c r="PDD18" s="310" t="s">
        <v>201</v>
      </c>
      <c r="PDE18" s="310" t="s">
        <v>201</v>
      </c>
      <c r="PDF18" s="310" t="s">
        <v>201</v>
      </c>
      <c r="PDG18" s="310" t="s">
        <v>201</v>
      </c>
      <c r="PDH18" s="310" t="s">
        <v>201</v>
      </c>
      <c r="PDI18" s="310" t="s">
        <v>201</v>
      </c>
      <c r="PDJ18" s="310" t="s">
        <v>201</v>
      </c>
      <c r="PDK18" s="310" t="s">
        <v>201</v>
      </c>
      <c r="PDL18" s="310" t="s">
        <v>201</v>
      </c>
      <c r="PDM18" s="310" t="s">
        <v>201</v>
      </c>
      <c r="PDN18" s="310" t="s">
        <v>201</v>
      </c>
      <c r="PDO18" s="310" t="s">
        <v>201</v>
      </c>
      <c r="PDP18" s="310" t="s">
        <v>201</v>
      </c>
      <c r="PDQ18" s="310" t="s">
        <v>201</v>
      </c>
      <c r="PDR18" s="310" t="s">
        <v>201</v>
      </c>
      <c r="PDS18" s="310" t="s">
        <v>201</v>
      </c>
      <c r="PDT18" s="310" t="s">
        <v>201</v>
      </c>
      <c r="PDU18" s="310" t="s">
        <v>201</v>
      </c>
      <c r="PDV18" s="310" t="s">
        <v>201</v>
      </c>
      <c r="PDW18" s="310" t="s">
        <v>201</v>
      </c>
      <c r="PDX18" s="310" t="s">
        <v>201</v>
      </c>
      <c r="PDY18" s="310" t="s">
        <v>201</v>
      </c>
      <c r="PDZ18" s="310" t="s">
        <v>201</v>
      </c>
      <c r="PEA18" s="310" t="s">
        <v>201</v>
      </c>
      <c r="PEB18" s="310" t="s">
        <v>201</v>
      </c>
      <c r="PEC18" s="310" t="s">
        <v>201</v>
      </c>
      <c r="PED18" s="310" t="s">
        <v>201</v>
      </c>
      <c r="PEE18" s="310" t="s">
        <v>201</v>
      </c>
      <c r="PEF18" s="310" t="s">
        <v>201</v>
      </c>
      <c r="PEG18" s="310" t="s">
        <v>201</v>
      </c>
      <c r="PEH18" s="310" t="s">
        <v>201</v>
      </c>
      <c r="PEI18" s="310" t="s">
        <v>201</v>
      </c>
      <c r="PEJ18" s="310" t="s">
        <v>201</v>
      </c>
      <c r="PEK18" s="310" t="s">
        <v>201</v>
      </c>
      <c r="PEL18" s="310" t="s">
        <v>201</v>
      </c>
      <c r="PEM18" s="310" t="s">
        <v>201</v>
      </c>
      <c r="PEN18" s="310" t="s">
        <v>201</v>
      </c>
      <c r="PEO18" s="310" t="s">
        <v>201</v>
      </c>
      <c r="PEP18" s="310" t="s">
        <v>201</v>
      </c>
      <c r="PEQ18" s="310" t="s">
        <v>201</v>
      </c>
      <c r="PER18" s="310" t="s">
        <v>201</v>
      </c>
      <c r="PES18" s="310" t="s">
        <v>201</v>
      </c>
      <c r="PET18" s="310" t="s">
        <v>201</v>
      </c>
      <c r="PEU18" s="310" t="s">
        <v>201</v>
      </c>
      <c r="PEV18" s="310" t="s">
        <v>201</v>
      </c>
      <c r="PEW18" s="310" t="s">
        <v>201</v>
      </c>
      <c r="PEX18" s="310" t="s">
        <v>201</v>
      </c>
      <c r="PEY18" s="310" t="s">
        <v>201</v>
      </c>
      <c r="PEZ18" s="310" t="s">
        <v>201</v>
      </c>
      <c r="PFA18" s="310" t="s">
        <v>201</v>
      </c>
      <c r="PFB18" s="310" t="s">
        <v>201</v>
      </c>
      <c r="PFC18" s="310" t="s">
        <v>201</v>
      </c>
      <c r="PFD18" s="310" t="s">
        <v>201</v>
      </c>
      <c r="PFE18" s="310" t="s">
        <v>201</v>
      </c>
      <c r="PFF18" s="310" t="s">
        <v>201</v>
      </c>
      <c r="PFG18" s="310" t="s">
        <v>201</v>
      </c>
      <c r="PFH18" s="310" t="s">
        <v>201</v>
      </c>
      <c r="PFI18" s="310" t="s">
        <v>201</v>
      </c>
      <c r="PFJ18" s="310" t="s">
        <v>201</v>
      </c>
      <c r="PFK18" s="310" t="s">
        <v>201</v>
      </c>
      <c r="PFL18" s="310" t="s">
        <v>201</v>
      </c>
      <c r="PFM18" s="310" t="s">
        <v>201</v>
      </c>
      <c r="PFN18" s="310" t="s">
        <v>201</v>
      </c>
      <c r="PFO18" s="310" t="s">
        <v>201</v>
      </c>
      <c r="PFP18" s="310" t="s">
        <v>201</v>
      </c>
      <c r="PFQ18" s="310" t="s">
        <v>201</v>
      </c>
      <c r="PFR18" s="310" t="s">
        <v>201</v>
      </c>
      <c r="PFS18" s="310" t="s">
        <v>201</v>
      </c>
      <c r="PFT18" s="310" t="s">
        <v>201</v>
      </c>
      <c r="PFU18" s="310" t="s">
        <v>201</v>
      </c>
      <c r="PFV18" s="310" t="s">
        <v>201</v>
      </c>
      <c r="PFW18" s="310" t="s">
        <v>201</v>
      </c>
      <c r="PFX18" s="310" t="s">
        <v>201</v>
      </c>
      <c r="PFY18" s="310" t="s">
        <v>201</v>
      </c>
      <c r="PFZ18" s="310" t="s">
        <v>201</v>
      </c>
      <c r="PGA18" s="310" t="s">
        <v>201</v>
      </c>
      <c r="PGB18" s="310" t="s">
        <v>201</v>
      </c>
      <c r="PGC18" s="310" t="s">
        <v>201</v>
      </c>
      <c r="PGD18" s="310" t="s">
        <v>201</v>
      </c>
      <c r="PGE18" s="310" t="s">
        <v>201</v>
      </c>
      <c r="PGF18" s="310" t="s">
        <v>201</v>
      </c>
      <c r="PGG18" s="310" t="s">
        <v>201</v>
      </c>
      <c r="PGH18" s="310" t="s">
        <v>201</v>
      </c>
      <c r="PGI18" s="310" t="s">
        <v>201</v>
      </c>
      <c r="PGJ18" s="310" t="s">
        <v>201</v>
      </c>
      <c r="PGK18" s="310" t="s">
        <v>201</v>
      </c>
      <c r="PGL18" s="310" t="s">
        <v>201</v>
      </c>
      <c r="PGM18" s="310" t="s">
        <v>201</v>
      </c>
      <c r="PGN18" s="310" t="s">
        <v>201</v>
      </c>
      <c r="PGO18" s="310" t="s">
        <v>201</v>
      </c>
      <c r="PGP18" s="310" t="s">
        <v>201</v>
      </c>
      <c r="PGQ18" s="310" t="s">
        <v>201</v>
      </c>
      <c r="PGR18" s="310" t="s">
        <v>201</v>
      </c>
      <c r="PGS18" s="310" t="s">
        <v>201</v>
      </c>
      <c r="PGT18" s="310" t="s">
        <v>201</v>
      </c>
      <c r="PGU18" s="310" t="s">
        <v>201</v>
      </c>
      <c r="PGV18" s="310" t="s">
        <v>201</v>
      </c>
      <c r="PGW18" s="310" t="s">
        <v>201</v>
      </c>
      <c r="PGX18" s="310" t="s">
        <v>201</v>
      </c>
      <c r="PGY18" s="310" t="s">
        <v>201</v>
      </c>
      <c r="PGZ18" s="310" t="s">
        <v>201</v>
      </c>
      <c r="PHA18" s="310" t="s">
        <v>201</v>
      </c>
      <c r="PHB18" s="310" t="s">
        <v>201</v>
      </c>
      <c r="PHC18" s="310" t="s">
        <v>201</v>
      </c>
      <c r="PHD18" s="310" t="s">
        <v>201</v>
      </c>
      <c r="PHE18" s="310" t="s">
        <v>201</v>
      </c>
      <c r="PHF18" s="310" t="s">
        <v>201</v>
      </c>
      <c r="PHG18" s="310" t="s">
        <v>201</v>
      </c>
      <c r="PHH18" s="310" t="s">
        <v>201</v>
      </c>
      <c r="PHI18" s="310" t="s">
        <v>201</v>
      </c>
      <c r="PHJ18" s="310" t="s">
        <v>201</v>
      </c>
      <c r="PHK18" s="310" t="s">
        <v>201</v>
      </c>
      <c r="PHL18" s="310" t="s">
        <v>201</v>
      </c>
      <c r="PHM18" s="310" t="s">
        <v>201</v>
      </c>
      <c r="PHN18" s="310" t="s">
        <v>201</v>
      </c>
      <c r="PHO18" s="310" t="s">
        <v>201</v>
      </c>
      <c r="PHP18" s="310" t="s">
        <v>201</v>
      </c>
      <c r="PHQ18" s="310" t="s">
        <v>201</v>
      </c>
      <c r="PHR18" s="310" t="s">
        <v>201</v>
      </c>
      <c r="PHS18" s="310" t="s">
        <v>201</v>
      </c>
      <c r="PHT18" s="310" t="s">
        <v>201</v>
      </c>
      <c r="PHU18" s="310" t="s">
        <v>201</v>
      </c>
      <c r="PHV18" s="310" t="s">
        <v>201</v>
      </c>
      <c r="PHW18" s="310" t="s">
        <v>201</v>
      </c>
      <c r="PHX18" s="310" t="s">
        <v>201</v>
      </c>
      <c r="PHY18" s="310" t="s">
        <v>201</v>
      </c>
      <c r="PHZ18" s="310" t="s">
        <v>201</v>
      </c>
      <c r="PIA18" s="310" t="s">
        <v>201</v>
      </c>
      <c r="PIB18" s="310" t="s">
        <v>201</v>
      </c>
      <c r="PIC18" s="310" t="s">
        <v>201</v>
      </c>
      <c r="PID18" s="310" t="s">
        <v>201</v>
      </c>
      <c r="PIE18" s="310" t="s">
        <v>201</v>
      </c>
      <c r="PIF18" s="310" t="s">
        <v>201</v>
      </c>
      <c r="PIG18" s="310" t="s">
        <v>201</v>
      </c>
      <c r="PIH18" s="310" t="s">
        <v>201</v>
      </c>
      <c r="PII18" s="310" t="s">
        <v>201</v>
      </c>
      <c r="PIJ18" s="310" t="s">
        <v>201</v>
      </c>
      <c r="PIK18" s="310" t="s">
        <v>201</v>
      </c>
      <c r="PIL18" s="310" t="s">
        <v>201</v>
      </c>
      <c r="PIM18" s="310" t="s">
        <v>201</v>
      </c>
      <c r="PIN18" s="310" t="s">
        <v>201</v>
      </c>
      <c r="PIO18" s="310" t="s">
        <v>201</v>
      </c>
      <c r="PIP18" s="310" t="s">
        <v>201</v>
      </c>
      <c r="PIQ18" s="310" t="s">
        <v>201</v>
      </c>
      <c r="PIR18" s="310" t="s">
        <v>201</v>
      </c>
      <c r="PIS18" s="310" t="s">
        <v>201</v>
      </c>
      <c r="PIT18" s="310" t="s">
        <v>201</v>
      </c>
      <c r="PIU18" s="310" t="s">
        <v>201</v>
      </c>
      <c r="PIV18" s="310" t="s">
        <v>201</v>
      </c>
      <c r="PIW18" s="310" t="s">
        <v>201</v>
      </c>
      <c r="PIX18" s="310" t="s">
        <v>201</v>
      </c>
      <c r="PIY18" s="310" t="s">
        <v>201</v>
      </c>
      <c r="PIZ18" s="310" t="s">
        <v>201</v>
      </c>
      <c r="PJA18" s="310" t="s">
        <v>201</v>
      </c>
      <c r="PJB18" s="310" t="s">
        <v>201</v>
      </c>
      <c r="PJC18" s="310" t="s">
        <v>201</v>
      </c>
      <c r="PJD18" s="310" t="s">
        <v>201</v>
      </c>
      <c r="PJE18" s="310" t="s">
        <v>201</v>
      </c>
      <c r="PJF18" s="310" t="s">
        <v>201</v>
      </c>
      <c r="PJG18" s="310" t="s">
        <v>201</v>
      </c>
      <c r="PJH18" s="310" t="s">
        <v>201</v>
      </c>
      <c r="PJI18" s="310" t="s">
        <v>201</v>
      </c>
      <c r="PJJ18" s="310" t="s">
        <v>201</v>
      </c>
      <c r="PJK18" s="310" t="s">
        <v>201</v>
      </c>
      <c r="PJL18" s="310" t="s">
        <v>201</v>
      </c>
      <c r="PJM18" s="310" t="s">
        <v>201</v>
      </c>
      <c r="PJN18" s="310" t="s">
        <v>201</v>
      </c>
      <c r="PJO18" s="310" t="s">
        <v>201</v>
      </c>
      <c r="PJP18" s="310" t="s">
        <v>201</v>
      </c>
      <c r="PJQ18" s="310" t="s">
        <v>201</v>
      </c>
      <c r="PJR18" s="310" t="s">
        <v>201</v>
      </c>
      <c r="PJS18" s="310" t="s">
        <v>201</v>
      </c>
      <c r="PJT18" s="310" t="s">
        <v>201</v>
      </c>
      <c r="PJU18" s="310" t="s">
        <v>201</v>
      </c>
      <c r="PJV18" s="310" t="s">
        <v>201</v>
      </c>
      <c r="PJW18" s="310" t="s">
        <v>201</v>
      </c>
      <c r="PJX18" s="310" t="s">
        <v>201</v>
      </c>
      <c r="PJY18" s="310" t="s">
        <v>201</v>
      </c>
      <c r="PJZ18" s="310" t="s">
        <v>201</v>
      </c>
      <c r="PKA18" s="310" t="s">
        <v>201</v>
      </c>
      <c r="PKB18" s="310" t="s">
        <v>201</v>
      </c>
      <c r="PKC18" s="310" t="s">
        <v>201</v>
      </c>
      <c r="PKD18" s="310" t="s">
        <v>201</v>
      </c>
      <c r="PKE18" s="310" t="s">
        <v>201</v>
      </c>
      <c r="PKF18" s="310" t="s">
        <v>201</v>
      </c>
      <c r="PKG18" s="310" t="s">
        <v>201</v>
      </c>
      <c r="PKH18" s="310" t="s">
        <v>201</v>
      </c>
      <c r="PKI18" s="310" t="s">
        <v>201</v>
      </c>
      <c r="PKJ18" s="310" t="s">
        <v>201</v>
      </c>
      <c r="PKK18" s="310" t="s">
        <v>201</v>
      </c>
      <c r="PKL18" s="310" t="s">
        <v>201</v>
      </c>
      <c r="PKM18" s="310" t="s">
        <v>201</v>
      </c>
      <c r="PKN18" s="310" t="s">
        <v>201</v>
      </c>
      <c r="PKO18" s="310" t="s">
        <v>201</v>
      </c>
      <c r="PKP18" s="310" t="s">
        <v>201</v>
      </c>
      <c r="PKQ18" s="310" t="s">
        <v>201</v>
      </c>
      <c r="PKR18" s="310" t="s">
        <v>201</v>
      </c>
      <c r="PKS18" s="310" t="s">
        <v>201</v>
      </c>
      <c r="PKT18" s="310" t="s">
        <v>201</v>
      </c>
      <c r="PKU18" s="310" t="s">
        <v>201</v>
      </c>
      <c r="PKV18" s="310" t="s">
        <v>201</v>
      </c>
      <c r="PKW18" s="310" t="s">
        <v>201</v>
      </c>
      <c r="PKX18" s="310" t="s">
        <v>201</v>
      </c>
      <c r="PKY18" s="310" t="s">
        <v>201</v>
      </c>
      <c r="PKZ18" s="310" t="s">
        <v>201</v>
      </c>
      <c r="PLA18" s="310" t="s">
        <v>201</v>
      </c>
      <c r="PLB18" s="310" t="s">
        <v>201</v>
      </c>
      <c r="PLC18" s="310" t="s">
        <v>201</v>
      </c>
      <c r="PLD18" s="310" t="s">
        <v>201</v>
      </c>
      <c r="PLE18" s="310" t="s">
        <v>201</v>
      </c>
      <c r="PLF18" s="310" t="s">
        <v>201</v>
      </c>
      <c r="PLG18" s="310" t="s">
        <v>201</v>
      </c>
      <c r="PLH18" s="310" t="s">
        <v>201</v>
      </c>
      <c r="PLI18" s="310" t="s">
        <v>201</v>
      </c>
      <c r="PLJ18" s="310" t="s">
        <v>201</v>
      </c>
      <c r="PLK18" s="310" t="s">
        <v>201</v>
      </c>
      <c r="PLL18" s="310" t="s">
        <v>201</v>
      </c>
      <c r="PLM18" s="310" t="s">
        <v>201</v>
      </c>
      <c r="PLN18" s="310" t="s">
        <v>201</v>
      </c>
      <c r="PLO18" s="310" t="s">
        <v>201</v>
      </c>
      <c r="PLP18" s="310" t="s">
        <v>201</v>
      </c>
      <c r="PLQ18" s="310" t="s">
        <v>201</v>
      </c>
      <c r="PLR18" s="310" t="s">
        <v>201</v>
      </c>
      <c r="PLS18" s="310" t="s">
        <v>201</v>
      </c>
      <c r="PLT18" s="310" t="s">
        <v>201</v>
      </c>
      <c r="PLU18" s="310" t="s">
        <v>201</v>
      </c>
      <c r="PLV18" s="310" t="s">
        <v>201</v>
      </c>
      <c r="PLW18" s="310" t="s">
        <v>201</v>
      </c>
      <c r="PLX18" s="310" t="s">
        <v>201</v>
      </c>
      <c r="PLY18" s="310" t="s">
        <v>201</v>
      </c>
      <c r="PLZ18" s="310" t="s">
        <v>201</v>
      </c>
      <c r="PMA18" s="310" t="s">
        <v>201</v>
      </c>
      <c r="PMB18" s="310" t="s">
        <v>201</v>
      </c>
      <c r="PMC18" s="310" t="s">
        <v>201</v>
      </c>
      <c r="PMD18" s="310" t="s">
        <v>201</v>
      </c>
      <c r="PME18" s="310" t="s">
        <v>201</v>
      </c>
      <c r="PMF18" s="310" t="s">
        <v>201</v>
      </c>
      <c r="PMG18" s="310" t="s">
        <v>201</v>
      </c>
      <c r="PMH18" s="310" t="s">
        <v>201</v>
      </c>
      <c r="PMI18" s="310" t="s">
        <v>201</v>
      </c>
      <c r="PMJ18" s="310" t="s">
        <v>201</v>
      </c>
      <c r="PMK18" s="310" t="s">
        <v>201</v>
      </c>
      <c r="PML18" s="310" t="s">
        <v>201</v>
      </c>
      <c r="PMM18" s="310" t="s">
        <v>201</v>
      </c>
      <c r="PMN18" s="310" t="s">
        <v>201</v>
      </c>
      <c r="PMO18" s="310" t="s">
        <v>201</v>
      </c>
      <c r="PMP18" s="310" t="s">
        <v>201</v>
      </c>
      <c r="PMQ18" s="310" t="s">
        <v>201</v>
      </c>
      <c r="PMR18" s="310" t="s">
        <v>201</v>
      </c>
      <c r="PMS18" s="310" t="s">
        <v>201</v>
      </c>
      <c r="PMT18" s="310" t="s">
        <v>201</v>
      </c>
      <c r="PMU18" s="310" t="s">
        <v>201</v>
      </c>
      <c r="PMV18" s="310" t="s">
        <v>201</v>
      </c>
      <c r="PMW18" s="310" t="s">
        <v>201</v>
      </c>
      <c r="PMX18" s="310" t="s">
        <v>201</v>
      </c>
      <c r="PMY18" s="310" t="s">
        <v>201</v>
      </c>
      <c r="PMZ18" s="310" t="s">
        <v>201</v>
      </c>
      <c r="PNA18" s="310" t="s">
        <v>201</v>
      </c>
      <c r="PNB18" s="310" t="s">
        <v>201</v>
      </c>
      <c r="PNC18" s="310" t="s">
        <v>201</v>
      </c>
      <c r="PND18" s="310" t="s">
        <v>201</v>
      </c>
      <c r="PNE18" s="310" t="s">
        <v>201</v>
      </c>
      <c r="PNF18" s="310" t="s">
        <v>201</v>
      </c>
      <c r="PNG18" s="310" t="s">
        <v>201</v>
      </c>
      <c r="PNH18" s="310" t="s">
        <v>201</v>
      </c>
      <c r="PNI18" s="310" t="s">
        <v>201</v>
      </c>
      <c r="PNJ18" s="310" t="s">
        <v>201</v>
      </c>
      <c r="PNK18" s="310" t="s">
        <v>201</v>
      </c>
      <c r="PNL18" s="310" t="s">
        <v>201</v>
      </c>
      <c r="PNM18" s="310" t="s">
        <v>201</v>
      </c>
      <c r="PNN18" s="310" t="s">
        <v>201</v>
      </c>
      <c r="PNO18" s="310" t="s">
        <v>201</v>
      </c>
      <c r="PNP18" s="310" t="s">
        <v>201</v>
      </c>
      <c r="PNQ18" s="310" t="s">
        <v>201</v>
      </c>
      <c r="PNR18" s="310" t="s">
        <v>201</v>
      </c>
      <c r="PNS18" s="310" t="s">
        <v>201</v>
      </c>
      <c r="PNT18" s="310" t="s">
        <v>201</v>
      </c>
      <c r="PNU18" s="310" t="s">
        <v>201</v>
      </c>
      <c r="PNV18" s="310" t="s">
        <v>201</v>
      </c>
      <c r="PNW18" s="310" t="s">
        <v>201</v>
      </c>
      <c r="PNX18" s="310" t="s">
        <v>201</v>
      </c>
      <c r="PNY18" s="310" t="s">
        <v>201</v>
      </c>
      <c r="PNZ18" s="310" t="s">
        <v>201</v>
      </c>
      <c r="POA18" s="310" t="s">
        <v>201</v>
      </c>
      <c r="POB18" s="310" t="s">
        <v>201</v>
      </c>
      <c r="POC18" s="310" t="s">
        <v>201</v>
      </c>
      <c r="POD18" s="310" t="s">
        <v>201</v>
      </c>
      <c r="POE18" s="310" t="s">
        <v>201</v>
      </c>
      <c r="POF18" s="310" t="s">
        <v>201</v>
      </c>
      <c r="POG18" s="310" t="s">
        <v>201</v>
      </c>
      <c r="POH18" s="310" t="s">
        <v>201</v>
      </c>
      <c r="POI18" s="310" t="s">
        <v>201</v>
      </c>
      <c r="POJ18" s="310" t="s">
        <v>201</v>
      </c>
      <c r="POK18" s="310" t="s">
        <v>201</v>
      </c>
      <c r="POL18" s="310" t="s">
        <v>201</v>
      </c>
      <c r="POM18" s="310" t="s">
        <v>201</v>
      </c>
      <c r="PON18" s="310" t="s">
        <v>201</v>
      </c>
      <c r="POO18" s="310" t="s">
        <v>201</v>
      </c>
      <c r="POP18" s="310" t="s">
        <v>201</v>
      </c>
      <c r="POQ18" s="310" t="s">
        <v>201</v>
      </c>
      <c r="POR18" s="310" t="s">
        <v>201</v>
      </c>
      <c r="POS18" s="310" t="s">
        <v>201</v>
      </c>
      <c r="POT18" s="310" t="s">
        <v>201</v>
      </c>
      <c r="POU18" s="310" t="s">
        <v>201</v>
      </c>
      <c r="POV18" s="310" t="s">
        <v>201</v>
      </c>
      <c r="POW18" s="310" t="s">
        <v>201</v>
      </c>
      <c r="POX18" s="310" t="s">
        <v>201</v>
      </c>
      <c r="POY18" s="310" t="s">
        <v>201</v>
      </c>
      <c r="POZ18" s="310" t="s">
        <v>201</v>
      </c>
      <c r="PPA18" s="310" t="s">
        <v>201</v>
      </c>
      <c r="PPB18" s="310" t="s">
        <v>201</v>
      </c>
      <c r="PPC18" s="310" t="s">
        <v>201</v>
      </c>
      <c r="PPD18" s="310" t="s">
        <v>201</v>
      </c>
      <c r="PPE18" s="310" t="s">
        <v>201</v>
      </c>
      <c r="PPF18" s="310" t="s">
        <v>201</v>
      </c>
      <c r="PPG18" s="310" t="s">
        <v>201</v>
      </c>
      <c r="PPH18" s="310" t="s">
        <v>201</v>
      </c>
      <c r="PPI18" s="310" t="s">
        <v>201</v>
      </c>
      <c r="PPJ18" s="310" t="s">
        <v>201</v>
      </c>
      <c r="PPK18" s="310" t="s">
        <v>201</v>
      </c>
      <c r="PPL18" s="310" t="s">
        <v>201</v>
      </c>
      <c r="PPM18" s="310" t="s">
        <v>201</v>
      </c>
      <c r="PPN18" s="310" t="s">
        <v>201</v>
      </c>
      <c r="PPO18" s="310" t="s">
        <v>201</v>
      </c>
      <c r="PPP18" s="310" t="s">
        <v>201</v>
      </c>
      <c r="PPQ18" s="310" t="s">
        <v>201</v>
      </c>
      <c r="PPR18" s="310" t="s">
        <v>201</v>
      </c>
      <c r="PPS18" s="310" t="s">
        <v>201</v>
      </c>
      <c r="PPT18" s="310" t="s">
        <v>201</v>
      </c>
      <c r="PPU18" s="310" t="s">
        <v>201</v>
      </c>
      <c r="PPV18" s="310" t="s">
        <v>201</v>
      </c>
      <c r="PPW18" s="310" t="s">
        <v>201</v>
      </c>
      <c r="PPX18" s="310" t="s">
        <v>201</v>
      </c>
      <c r="PPY18" s="310" t="s">
        <v>201</v>
      </c>
      <c r="PPZ18" s="310" t="s">
        <v>201</v>
      </c>
      <c r="PQA18" s="310" t="s">
        <v>201</v>
      </c>
      <c r="PQB18" s="310" t="s">
        <v>201</v>
      </c>
      <c r="PQC18" s="310" t="s">
        <v>201</v>
      </c>
      <c r="PQD18" s="310" t="s">
        <v>201</v>
      </c>
      <c r="PQE18" s="310" t="s">
        <v>201</v>
      </c>
      <c r="PQF18" s="310" t="s">
        <v>201</v>
      </c>
      <c r="PQG18" s="310" t="s">
        <v>201</v>
      </c>
      <c r="PQH18" s="310" t="s">
        <v>201</v>
      </c>
      <c r="PQI18" s="310" t="s">
        <v>201</v>
      </c>
      <c r="PQJ18" s="310" t="s">
        <v>201</v>
      </c>
      <c r="PQK18" s="310" t="s">
        <v>201</v>
      </c>
      <c r="PQL18" s="310" t="s">
        <v>201</v>
      </c>
      <c r="PQM18" s="310" t="s">
        <v>201</v>
      </c>
      <c r="PQN18" s="310" t="s">
        <v>201</v>
      </c>
      <c r="PQO18" s="310" t="s">
        <v>201</v>
      </c>
      <c r="PQP18" s="310" t="s">
        <v>201</v>
      </c>
      <c r="PQQ18" s="310" t="s">
        <v>201</v>
      </c>
      <c r="PQR18" s="310" t="s">
        <v>201</v>
      </c>
      <c r="PQS18" s="310" t="s">
        <v>201</v>
      </c>
      <c r="PQT18" s="310" t="s">
        <v>201</v>
      </c>
      <c r="PQU18" s="310" t="s">
        <v>201</v>
      </c>
      <c r="PQV18" s="310" t="s">
        <v>201</v>
      </c>
      <c r="PQW18" s="310" t="s">
        <v>201</v>
      </c>
      <c r="PQX18" s="310" t="s">
        <v>201</v>
      </c>
      <c r="PQY18" s="310" t="s">
        <v>201</v>
      </c>
      <c r="PQZ18" s="310" t="s">
        <v>201</v>
      </c>
      <c r="PRA18" s="310" t="s">
        <v>201</v>
      </c>
      <c r="PRB18" s="310" t="s">
        <v>201</v>
      </c>
      <c r="PRC18" s="310" t="s">
        <v>201</v>
      </c>
      <c r="PRD18" s="310" t="s">
        <v>201</v>
      </c>
      <c r="PRE18" s="310" t="s">
        <v>201</v>
      </c>
      <c r="PRF18" s="310" t="s">
        <v>201</v>
      </c>
      <c r="PRG18" s="310" t="s">
        <v>201</v>
      </c>
      <c r="PRH18" s="310" t="s">
        <v>201</v>
      </c>
      <c r="PRI18" s="310" t="s">
        <v>201</v>
      </c>
      <c r="PRJ18" s="310" t="s">
        <v>201</v>
      </c>
      <c r="PRK18" s="310" t="s">
        <v>201</v>
      </c>
      <c r="PRL18" s="310" t="s">
        <v>201</v>
      </c>
      <c r="PRM18" s="310" t="s">
        <v>201</v>
      </c>
      <c r="PRN18" s="310" t="s">
        <v>201</v>
      </c>
      <c r="PRO18" s="310" t="s">
        <v>201</v>
      </c>
      <c r="PRP18" s="310" t="s">
        <v>201</v>
      </c>
      <c r="PRQ18" s="310" t="s">
        <v>201</v>
      </c>
      <c r="PRR18" s="310" t="s">
        <v>201</v>
      </c>
      <c r="PRS18" s="310" t="s">
        <v>201</v>
      </c>
      <c r="PRT18" s="310" t="s">
        <v>201</v>
      </c>
      <c r="PRU18" s="310" t="s">
        <v>201</v>
      </c>
      <c r="PRV18" s="310" t="s">
        <v>201</v>
      </c>
      <c r="PRW18" s="310" t="s">
        <v>201</v>
      </c>
      <c r="PRX18" s="310" t="s">
        <v>201</v>
      </c>
      <c r="PRY18" s="310" t="s">
        <v>201</v>
      </c>
      <c r="PRZ18" s="310" t="s">
        <v>201</v>
      </c>
      <c r="PSA18" s="310" t="s">
        <v>201</v>
      </c>
      <c r="PSB18" s="310" t="s">
        <v>201</v>
      </c>
      <c r="PSC18" s="310" t="s">
        <v>201</v>
      </c>
      <c r="PSD18" s="310" t="s">
        <v>201</v>
      </c>
      <c r="PSE18" s="310" t="s">
        <v>201</v>
      </c>
      <c r="PSF18" s="310" t="s">
        <v>201</v>
      </c>
      <c r="PSG18" s="310" t="s">
        <v>201</v>
      </c>
      <c r="PSH18" s="310" t="s">
        <v>201</v>
      </c>
      <c r="PSI18" s="310" t="s">
        <v>201</v>
      </c>
      <c r="PSJ18" s="310" t="s">
        <v>201</v>
      </c>
      <c r="PSK18" s="310" t="s">
        <v>201</v>
      </c>
      <c r="PSL18" s="310" t="s">
        <v>201</v>
      </c>
      <c r="PSM18" s="310" t="s">
        <v>201</v>
      </c>
      <c r="PSN18" s="310" t="s">
        <v>201</v>
      </c>
      <c r="PSO18" s="310" t="s">
        <v>201</v>
      </c>
      <c r="PSP18" s="310" t="s">
        <v>201</v>
      </c>
      <c r="PSQ18" s="310" t="s">
        <v>201</v>
      </c>
      <c r="PSR18" s="310" t="s">
        <v>201</v>
      </c>
      <c r="PSS18" s="310" t="s">
        <v>201</v>
      </c>
      <c r="PST18" s="310" t="s">
        <v>201</v>
      </c>
      <c r="PSU18" s="310" t="s">
        <v>201</v>
      </c>
      <c r="PSV18" s="310" t="s">
        <v>201</v>
      </c>
      <c r="PSW18" s="310" t="s">
        <v>201</v>
      </c>
      <c r="PSX18" s="310" t="s">
        <v>201</v>
      </c>
      <c r="PSY18" s="310" t="s">
        <v>201</v>
      </c>
      <c r="PSZ18" s="310" t="s">
        <v>201</v>
      </c>
      <c r="PTA18" s="310" t="s">
        <v>201</v>
      </c>
      <c r="PTB18" s="310" t="s">
        <v>201</v>
      </c>
      <c r="PTC18" s="310" t="s">
        <v>201</v>
      </c>
      <c r="PTD18" s="310" t="s">
        <v>201</v>
      </c>
      <c r="PTE18" s="310" t="s">
        <v>201</v>
      </c>
      <c r="PTF18" s="310" t="s">
        <v>201</v>
      </c>
      <c r="PTG18" s="310" t="s">
        <v>201</v>
      </c>
      <c r="PTH18" s="310" t="s">
        <v>201</v>
      </c>
      <c r="PTI18" s="310" t="s">
        <v>201</v>
      </c>
      <c r="PTJ18" s="310" t="s">
        <v>201</v>
      </c>
      <c r="PTK18" s="310" t="s">
        <v>201</v>
      </c>
      <c r="PTL18" s="310" t="s">
        <v>201</v>
      </c>
      <c r="PTM18" s="310" t="s">
        <v>201</v>
      </c>
      <c r="PTN18" s="310" t="s">
        <v>201</v>
      </c>
      <c r="PTO18" s="310" t="s">
        <v>201</v>
      </c>
      <c r="PTP18" s="310" t="s">
        <v>201</v>
      </c>
      <c r="PTQ18" s="310" t="s">
        <v>201</v>
      </c>
      <c r="PTR18" s="310" t="s">
        <v>201</v>
      </c>
      <c r="PTS18" s="310" t="s">
        <v>201</v>
      </c>
      <c r="PTT18" s="310" t="s">
        <v>201</v>
      </c>
      <c r="PTU18" s="310" t="s">
        <v>201</v>
      </c>
      <c r="PTV18" s="310" t="s">
        <v>201</v>
      </c>
      <c r="PTW18" s="310" t="s">
        <v>201</v>
      </c>
      <c r="PTX18" s="310" t="s">
        <v>201</v>
      </c>
      <c r="PTY18" s="310" t="s">
        <v>201</v>
      </c>
      <c r="PTZ18" s="310" t="s">
        <v>201</v>
      </c>
      <c r="PUA18" s="310" t="s">
        <v>201</v>
      </c>
      <c r="PUB18" s="310" t="s">
        <v>201</v>
      </c>
      <c r="PUC18" s="310" t="s">
        <v>201</v>
      </c>
      <c r="PUD18" s="310" t="s">
        <v>201</v>
      </c>
      <c r="PUE18" s="310" t="s">
        <v>201</v>
      </c>
      <c r="PUF18" s="310" t="s">
        <v>201</v>
      </c>
      <c r="PUG18" s="310" t="s">
        <v>201</v>
      </c>
      <c r="PUH18" s="310" t="s">
        <v>201</v>
      </c>
      <c r="PUI18" s="310" t="s">
        <v>201</v>
      </c>
      <c r="PUJ18" s="310" t="s">
        <v>201</v>
      </c>
      <c r="PUK18" s="310" t="s">
        <v>201</v>
      </c>
      <c r="PUL18" s="310" t="s">
        <v>201</v>
      </c>
      <c r="PUM18" s="310" t="s">
        <v>201</v>
      </c>
      <c r="PUN18" s="310" t="s">
        <v>201</v>
      </c>
      <c r="PUO18" s="310" t="s">
        <v>201</v>
      </c>
      <c r="PUP18" s="310" t="s">
        <v>201</v>
      </c>
      <c r="PUQ18" s="310" t="s">
        <v>201</v>
      </c>
      <c r="PUR18" s="310" t="s">
        <v>201</v>
      </c>
      <c r="PUS18" s="310" t="s">
        <v>201</v>
      </c>
      <c r="PUT18" s="310" t="s">
        <v>201</v>
      </c>
      <c r="PUU18" s="310" t="s">
        <v>201</v>
      </c>
      <c r="PUV18" s="310" t="s">
        <v>201</v>
      </c>
      <c r="PUW18" s="310" t="s">
        <v>201</v>
      </c>
      <c r="PUX18" s="310" t="s">
        <v>201</v>
      </c>
      <c r="PUY18" s="310" t="s">
        <v>201</v>
      </c>
      <c r="PUZ18" s="310" t="s">
        <v>201</v>
      </c>
      <c r="PVA18" s="310" t="s">
        <v>201</v>
      </c>
      <c r="PVB18" s="310" t="s">
        <v>201</v>
      </c>
      <c r="PVC18" s="310" t="s">
        <v>201</v>
      </c>
      <c r="PVD18" s="310" t="s">
        <v>201</v>
      </c>
      <c r="PVE18" s="310" t="s">
        <v>201</v>
      </c>
      <c r="PVF18" s="310" t="s">
        <v>201</v>
      </c>
      <c r="PVG18" s="310" t="s">
        <v>201</v>
      </c>
      <c r="PVH18" s="310" t="s">
        <v>201</v>
      </c>
      <c r="PVI18" s="310" t="s">
        <v>201</v>
      </c>
      <c r="PVJ18" s="310" t="s">
        <v>201</v>
      </c>
      <c r="PVK18" s="310" t="s">
        <v>201</v>
      </c>
      <c r="PVL18" s="310" t="s">
        <v>201</v>
      </c>
      <c r="PVM18" s="310" t="s">
        <v>201</v>
      </c>
      <c r="PVN18" s="310" t="s">
        <v>201</v>
      </c>
      <c r="PVO18" s="310" t="s">
        <v>201</v>
      </c>
      <c r="PVP18" s="310" t="s">
        <v>201</v>
      </c>
      <c r="PVQ18" s="310" t="s">
        <v>201</v>
      </c>
      <c r="PVR18" s="310" t="s">
        <v>201</v>
      </c>
      <c r="PVS18" s="310" t="s">
        <v>201</v>
      </c>
      <c r="PVT18" s="310" t="s">
        <v>201</v>
      </c>
      <c r="PVU18" s="310" t="s">
        <v>201</v>
      </c>
      <c r="PVV18" s="310" t="s">
        <v>201</v>
      </c>
      <c r="PVW18" s="310" t="s">
        <v>201</v>
      </c>
      <c r="PVX18" s="310" t="s">
        <v>201</v>
      </c>
      <c r="PVY18" s="310" t="s">
        <v>201</v>
      </c>
      <c r="PVZ18" s="310" t="s">
        <v>201</v>
      </c>
      <c r="PWA18" s="310" t="s">
        <v>201</v>
      </c>
      <c r="PWB18" s="310" t="s">
        <v>201</v>
      </c>
      <c r="PWC18" s="310" t="s">
        <v>201</v>
      </c>
      <c r="PWD18" s="310" t="s">
        <v>201</v>
      </c>
      <c r="PWE18" s="310" t="s">
        <v>201</v>
      </c>
      <c r="PWF18" s="310" t="s">
        <v>201</v>
      </c>
      <c r="PWG18" s="310" t="s">
        <v>201</v>
      </c>
      <c r="PWH18" s="310" t="s">
        <v>201</v>
      </c>
      <c r="PWI18" s="310" t="s">
        <v>201</v>
      </c>
      <c r="PWJ18" s="310" t="s">
        <v>201</v>
      </c>
      <c r="PWK18" s="310" t="s">
        <v>201</v>
      </c>
      <c r="PWL18" s="310" t="s">
        <v>201</v>
      </c>
      <c r="PWM18" s="310" t="s">
        <v>201</v>
      </c>
      <c r="PWN18" s="310" t="s">
        <v>201</v>
      </c>
      <c r="PWO18" s="310" t="s">
        <v>201</v>
      </c>
      <c r="PWP18" s="310" t="s">
        <v>201</v>
      </c>
      <c r="PWQ18" s="310" t="s">
        <v>201</v>
      </c>
      <c r="PWR18" s="310" t="s">
        <v>201</v>
      </c>
      <c r="PWS18" s="310" t="s">
        <v>201</v>
      </c>
      <c r="PWT18" s="310" t="s">
        <v>201</v>
      </c>
      <c r="PWU18" s="310" t="s">
        <v>201</v>
      </c>
      <c r="PWV18" s="310" t="s">
        <v>201</v>
      </c>
      <c r="PWW18" s="310" t="s">
        <v>201</v>
      </c>
      <c r="PWX18" s="310" t="s">
        <v>201</v>
      </c>
      <c r="PWY18" s="310" t="s">
        <v>201</v>
      </c>
      <c r="PWZ18" s="310" t="s">
        <v>201</v>
      </c>
      <c r="PXA18" s="310" t="s">
        <v>201</v>
      </c>
      <c r="PXB18" s="310" t="s">
        <v>201</v>
      </c>
      <c r="PXC18" s="310" t="s">
        <v>201</v>
      </c>
      <c r="PXD18" s="310" t="s">
        <v>201</v>
      </c>
      <c r="PXE18" s="310" t="s">
        <v>201</v>
      </c>
      <c r="PXF18" s="310" t="s">
        <v>201</v>
      </c>
      <c r="PXG18" s="310" t="s">
        <v>201</v>
      </c>
      <c r="PXH18" s="310" t="s">
        <v>201</v>
      </c>
      <c r="PXI18" s="310" t="s">
        <v>201</v>
      </c>
      <c r="PXJ18" s="310" t="s">
        <v>201</v>
      </c>
      <c r="PXK18" s="310" t="s">
        <v>201</v>
      </c>
      <c r="PXL18" s="310" t="s">
        <v>201</v>
      </c>
      <c r="PXM18" s="310" t="s">
        <v>201</v>
      </c>
      <c r="PXN18" s="310" t="s">
        <v>201</v>
      </c>
      <c r="PXO18" s="310" t="s">
        <v>201</v>
      </c>
      <c r="PXP18" s="310" t="s">
        <v>201</v>
      </c>
      <c r="PXQ18" s="310" t="s">
        <v>201</v>
      </c>
      <c r="PXR18" s="310" t="s">
        <v>201</v>
      </c>
      <c r="PXS18" s="310" t="s">
        <v>201</v>
      </c>
      <c r="PXT18" s="310" t="s">
        <v>201</v>
      </c>
      <c r="PXU18" s="310" t="s">
        <v>201</v>
      </c>
      <c r="PXV18" s="310" t="s">
        <v>201</v>
      </c>
      <c r="PXW18" s="310" t="s">
        <v>201</v>
      </c>
      <c r="PXX18" s="310" t="s">
        <v>201</v>
      </c>
      <c r="PXY18" s="310" t="s">
        <v>201</v>
      </c>
      <c r="PXZ18" s="310" t="s">
        <v>201</v>
      </c>
      <c r="PYA18" s="310" t="s">
        <v>201</v>
      </c>
      <c r="PYB18" s="310" t="s">
        <v>201</v>
      </c>
      <c r="PYC18" s="310" t="s">
        <v>201</v>
      </c>
      <c r="PYD18" s="310" t="s">
        <v>201</v>
      </c>
      <c r="PYE18" s="310" t="s">
        <v>201</v>
      </c>
      <c r="PYF18" s="310" t="s">
        <v>201</v>
      </c>
      <c r="PYG18" s="310" t="s">
        <v>201</v>
      </c>
      <c r="PYH18" s="310" t="s">
        <v>201</v>
      </c>
      <c r="PYI18" s="310" t="s">
        <v>201</v>
      </c>
      <c r="PYJ18" s="310" t="s">
        <v>201</v>
      </c>
      <c r="PYK18" s="310" t="s">
        <v>201</v>
      </c>
      <c r="PYL18" s="310" t="s">
        <v>201</v>
      </c>
      <c r="PYM18" s="310" t="s">
        <v>201</v>
      </c>
      <c r="PYN18" s="310" t="s">
        <v>201</v>
      </c>
      <c r="PYO18" s="310" t="s">
        <v>201</v>
      </c>
      <c r="PYP18" s="310" t="s">
        <v>201</v>
      </c>
      <c r="PYQ18" s="310" t="s">
        <v>201</v>
      </c>
      <c r="PYR18" s="310" t="s">
        <v>201</v>
      </c>
      <c r="PYS18" s="310" t="s">
        <v>201</v>
      </c>
      <c r="PYT18" s="310" t="s">
        <v>201</v>
      </c>
      <c r="PYU18" s="310" t="s">
        <v>201</v>
      </c>
      <c r="PYV18" s="310" t="s">
        <v>201</v>
      </c>
      <c r="PYW18" s="310" t="s">
        <v>201</v>
      </c>
      <c r="PYX18" s="310" t="s">
        <v>201</v>
      </c>
      <c r="PYY18" s="310" t="s">
        <v>201</v>
      </c>
      <c r="PYZ18" s="310" t="s">
        <v>201</v>
      </c>
      <c r="PZA18" s="310" t="s">
        <v>201</v>
      </c>
      <c r="PZB18" s="310" t="s">
        <v>201</v>
      </c>
      <c r="PZC18" s="310" t="s">
        <v>201</v>
      </c>
      <c r="PZD18" s="310" t="s">
        <v>201</v>
      </c>
      <c r="PZE18" s="310" t="s">
        <v>201</v>
      </c>
      <c r="PZF18" s="310" t="s">
        <v>201</v>
      </c>
      <c r="PZG18" s="310" t="s">
        <v>201</v>
      </c>
      <c r="PZH18" s="310" t="s">
        <v>201</v>
      </c>
      <c r="PZI18" s="310" t="s">
        <v>201</v>
      </c>
      <c r="PZJ18" s="310" t="s">
        <v>201</v>
      </c>
      <c r="PZK18" s="310" t="s">
        <v>201</v>
      </c>
      <c r="PZL18" s="310" t="s">
        <v>201</v>
      </c>
      <c r="PZM18" s="310" t="s">
        <v>201</v>
      </c>
      <c r="PZN18" s="310" t="s">
        <v>201</v>
      </c>
      <c r="PZO18" s="310" t="s">
        <v>201</v>
      </c>
      <c r="PZP18" s="310" t="s">
        <v>201</v>
      </c>
      <c r="PZQ18" s="310" t="s">
        <v>201</v>
      </c>
      <c r="PZR18" s="310" t="s">
        <v>201</v>
      </c>
      <c r="PZS18" s="310" t="s">
        <v>201</v>
      </c>
      <c r="PZT18" s="310" t="s">
        <v>201</v>
      </c>
      <c r="PZU18" s="310" t="s">
        <v>201</v>
      </c>
      <c r="PZV18" s="310" t="s">
        <v>201</v>
      </c>
      <c r="PZW18" s="310" t="s">
        <v>201</v>
      </c>
      <c r="PZX18" s="310" t="s">
        <v>201</v>
      </c>
      <c r="PZY18" s="310" t="s">
        <v>201</v>
      </c>
      <c r="PZZ18" s="310" t="s">
        <v>201</v>
      </c>
      <c r="QAA18" s="310" t="s">
        <v>201</v>
      </c>
      <c r="QAB18" s="310" t="s">
        <v>201</v>
      </c>
      <c r="QAC18" s="310" t="s">
        <v>201</v>
      </c>
      <c r="QAD18" s="310" t="s">
        <v>201</v>
      </c>
      <c r="QAE18" s="310" t="s">
        <v>201</v>
      </c>
      <c r="QAF18" s="310" t="s">
        <v>201</v>
      </c>
      <c r="QAG18" s="310" t="s">
        <v>201</v>
      </c>
      <c r="QAH18" s="310" t="s">
        <v>201</v>
      </c>
      <c r="QAI18" s="310" t="s">
        <v>201</v>
      </c>
      <c r="QAJ18" s="310" t="s">
        <v>201</v>
      </c>
      <c r="QAK18" s="310" t="s">
        <v>201</v>
      </c>
      <c r="QAL18" s="310" t="s">
        <v>201</v>
      </c>
      <c r="QAM18" s="310" t="s">
        <v>201</v>
      </c>
      <c r="QAN18" s="310" t="s">
        <v>201</v>
      </c>
      <c r="QAO18" s="310" t="s">
        <v>201</v>
      </c>
      <c r="QAP18" s="310" t="s">
        <v>201</v>
      </c>
      <c r="QAQ18" s="310" t="s">
        <v>201</v>
      </c>
      <c r="QAR18" s="310" t="s">
        <v>201</v>
      </c>
      <c r="QAS18" s="310" t="s">
        <v>201</v>
      </c>
      <c r="QAT18" s="310" t="s">
        <v>201</v>
      </c>
      <c r="QAU18" s="310" t="s">
        <v>201</v>
      </c>
      <c r="QAV18" s="310" t="s">
        <v>201</v>
      </c>
      <c r="QAW18" s="310" t="s">
        <v>201</v>
      </c>
      <c r="QAX18" s="310" t="s">
        <v>201</v>
      </c>
      <c r="QAY18" s="310" t="s">
        <v>201</v>
      </c>
      <c r="QAZ18" s="310" t="s">
        <v>201</v>
      </c>
      <c r="QBA18" s="310" t="s">
        <v>201</v>
      </c>
      <c r="QBB18" s="310" t="s">
        <v>201</v>
      </c>
      <c r="QBC18" s="310" t="s">
        <v>201</v>
      </c>
      <c r="QBD18" s="310" t="s">
        <v>201</v>
      </c>
      <c r="QBE18" s="310" t="s">
        <v>201</v>
      </c>
      <c r="QBF18" s="310" t="s">
        <v>201</v>
      </c>
      <c r="QBG18" s="310" t="s">
        <v>201</v>
      </c>
      <c r="QBH18" s="310" t="s">
        <v>201</v>
      </c>
      <c r="QBI18" s="310" t="s">
        <v>201</v>
      </c>
      <c r="QBJ18" s="310" t="s">
        <v>201</v>
      </c>
      <c r="QBK18" s="310" t="s">
        <v>201</v>
      </c>
      <c r="QBL18" s="310" t="s">
        <v>201</v>
      </c>
      <c r="QBM18" s="310" t="s">
        <v>201</v>
      </c>
      <c r="QBN18" s="310" t="s">
        <v>201</v>
      </c>
      <c r="QBO18" s="310" t="s">
        <v>201</v>
      </c>
      <c r="QBP18" s="310" t="s">
        <v>201</v>
      </c>
      <c r="QBQ18" s="310" t="s">
        <v>201</v>
      </c>
      <c r="QBR18" s="310" t="s">
        <v>201</v>
      </c>
      <c r="QBS18" s="310" t="s">
        <v>201</v>
      </c>
      <c r="QBT18" s="310" t="s">
        <v>201</v>
      </c>
      <c r="QBU18" s="310" t="s">
        <v>201</v>
      </c>
      <c r="QBV18" s="310" t="s">
        <v>201</v>
      </c>
      <c r="QBW18" s="310" t="s">
        <v>201</v>
      </c>
      <c r="QBX18" s="310" t="s">
        <v>201</v>
      </c>
      <c r="QBY18" s="310" t="s">
        <v>201</v>
      </c>
      <c r="QBZ18" s="310" t="s">
        <v>201</v>
      </c>
      <c r="QCA18" s="310" t="s">
        <v>201</v>
      </c>
      <c r="QCB18" s="310" t="s">
        <v>201</v>
      </c>
      <c r="QCC18" s="310" t="s">
        <v>201</v>
      </c>
      <c r="QCD18" s="310" t="s">
        <v>201</v>
      </c>
      <c r="QCE18" s="310" t="s">
        <v>201</v>
      </c>
      <c r="QCF18" s="310" t="s">
        <v>201</v>
      </c>
      <c r="QCG18" s="310" t="s">
        <v>201</v>
      </c>
      <c r="QCH18" s="310" t="s">
        <v>201</v>
      </c>
      <c r="QCI18" s="310" t="s">
        <v>201</v>
      </c>
      <c r="QCJ18" s="310" t="s">
        <v>201</v>
      </c>
      <c r="QCK18" s="310" t="s">
        <v>201</v>
      </c>
      <c r="QCL18" s="310" t="s">
        <v>201</v>
      </c>
      <c r="QCM18" s="310" t="s">
        <v>201</v>
      </c>
      <c r="QCN18" s="310" t="s">
        <v>201</v>
      </c>
      <c r="QCO18" s="310" t="s">
        <v>201</v>
      </c>
      <c r="QCP18" s="310" t="s">
        <v>201</v>
      </c>
      <c r="QCQ18" s="310" t="s">
        <v>201</v>
      </c>
      <c r="QCR18" s="310" t="s">
        <v>201</v>
      </c>
      <c r="QCS18" s="310" t="s">
        <v>201</v>
      </c>
      <c r="QCT18" s="310" t="s">
        <v>201</v>
      </c>
      <c r="QCU18" s="310" t="s">
        <v>201</v>
      </c>
      <c r="QCV18" s="310" t="s">
        <v>201</v>
      </c>
      <c r="QCW18" s="310" t="s">
        <v>201</v>
      </c>
      <c r="QCX18" s="310" t="s">
        <v>201</v>
      </c>
      <c r="QCY18" s="310" t="s">
        <v>201</v>
      </c>
      <c r="QCZ18" s="310" t="s">
        <v>201</v>
      </c>
      <c r="QDA18" s="310" t="s">
        <v>201</v>
      </c>
      <c r="QDB18" s="310" t="s">
        <v>201</v>
      </c>
      <c r="QDC18" s="310" t="s">
        <v>201</v>
      </c>
      <c r="QDD18" s="310" t="s">
        <v>201</v>
      </c>
      <c r="QDE18" s="310" t="s">
        <v>201</v>
      </c>
      <c r="QDF18" s="310" t="s">
        <v>201</v>
      </c>
      <c r="QDG18" s="310" t="s">
        <v>201</v>
      </c>
      <c r="QDH18" s="310" t="s">
        <v>201</v>
      </c>
      <c r="QDI18" s="310" t="s">
        <v>201</v>
      </c>
      <c r="QDJ18" s="310" t="s">
        <v>201</v>
      </c>
      <c r="QDK18" s="310" t="s">
        <v>201</v>
      </c>
      <c r="QDL18" s="310" t="s">
        <v>201</v>
      </c>
      <c r="QDM18" s="310" t="s">
        <v>201</v>
      </c>
      <c r="QDN18" s="310" t="s">
        <v>201</v>
      </c>
      <c r="QDO18" s="310" t="s">
        <v>201</v>
      </c>
      <c r="QDP18" s="310" t="s">
        <v>201</v>
      </c>
      <c r="QDQ18" s="310" t="s">
        <v>201</v>
      </c>
      <c r="QDR18" s="310" t="s">
        <v>201</v>
      </c>
      <c r="QDS18" s="310" t="s">
        <v>201</v>
      </c>
      <c r="QDT18" s="310" t="s">
        <v>201</v>
      </c>
      <c r="QDU18" s="310" t="s">
        <v>201</v>
      </c>
      <c r="QDV18" s="310" t="s">
        <v>201</v>
      </c>
      <c r="QDW18" s="310" t="s">
        <v>201</v>
      </c>
      <c r="QDX18" s="310" t="s">
        <v>201</v>
      </c>
      <c r="QDY18" s="310" t="s">
        <v>201</v>
      </c>
      <c r="QDZ18" s="310" t="s">
        <v>201</v>
      </c>
      <c r="QEA18" s="310" t="s">
        <v>201</v>
      </c>
      <c r="QEB18" s="310" t="s">
        <v>201</v>
      </c>
      <c r="QEC18" s="310" t="s">
        <v>201</v>
      </c>
      <c r="QED18" s="310" t="s">
        <v>201</v>
      </c>
      <c r="QEE18" s="310" t="s">
        <v>201</v>
      </c>
      <c r="QEF18" s="310" t="s">
        <v>201</v>
      </c>
      <c r="QEG18" s="310" t="s">
        <v>201</v>
      </c>
      <c r="QEH18" s="310" t="s">
        <v>201</v>
      </c>
      <c r="QEI18" s="310" t="s">
        <v>201</v>
      </c>
      <c r="QEJ18" s="310" t="s">
        <v>201</v>
      </c>
      <c r="QEK18" s="310" t="s">
        <v>201</v>
      </c>
      <c r="QEL18" s="310" t="s">
        <v>201</v>
      </c>
      <c r="QEM18" s="310" t="s">
        <v>201</v>
      </c>
      <c r="QEN18" s="310" t="s">
        <v>201</v>
      </c>
      <c r="QEO18" s="310" t="s">
        <v>201</v>
      </c>
      <c r="QEP18" s="310" t="s">
        <v>201</v>
      </c>
      <c r="QEQ18" s="310" t="s">
        <v>201</v>
      </c>
      <c r="QER18" s="310" t="s">
        <v>201</v>
      </c>
      <c r="QES18" s="310" t="s">
        <v>201</v>
      </c>
      <c r="QET18" s="310" t="s">
        <v>201</v>
      </c>
      <c r="QEU18" s="310" t="s">
        <v>201</v>
      </c>
      <c r="QEV18" s="310" t="s">
        <v>201</v>
      </c>
      <c r="QEW18" s="310" t="s">
        <v>201</v>
      </c>
      <c r="QEX18" s="310" t="s">
        <v>201</v>
      </c>
      <c r="QEY18" s="310" t="s">
        <v>201</v>
      </c>
      <c r="QEZ18" s="310" t="s">
        <v>201</v>
      </c>
      <c r="QFA18" s="310" t="s">
        <v>201</v>
      </c>
      <c r="QFB18" s="310" t="s">
        <v>201</v>
      </c>
      <c r="QFC18" s="310" t="s">
        <v>201</v>
      </c>
      <c r="QFD18" s="310" t="s">
        <v>201</v>
      </c>
      <c r="QFE18" s="310" t="s">
        <v>201</v>
      </c>
      <c r="QFF18" s="310" t="s">
        <v>201</v>
      </c>
      <c r="QFG18" s="310" t="s">
        <v>201</v>
      </c>
      <c r="QFH18" s="310" t="s">
        <v>201</v>
      </c>
      <c r="QFI18" s="310" t="s">
        <v>201</v>
      </c>
      <c r="QFJ18" s="310" t="s">
        <v>201</v>
      </c>
      <c r="QFK18" s="310" t="s">
        <v>201</v>
      </c>
      <c r="QFL18" s="310" t="s">
        <v>201</v>
      </c>
      <c r="QFM18" s="310" t="s">
        <v>201</v>
      </c>
      <c r="QFN18" s="310" t="s">
        <v>201</v>
      </c>
      <c r="QFO18" s="310" t="s">
        <v>201</v>
      </c>
      <c r="QFP18" s="310" t="s">
        <v>201</v>
      </c>
      <c r="QFQ18" s="310" t="s">
        <v>201</v>
      </c>
      <c r="QFR18" s="310" t="s">
        <v>201</v>
      </c>
      <c r="QFS18" s="310" t="s">
        <v>201</v>
      </c>
      <c r="QFT18" s="310" t="s">
        <v>201</v>
      </c>
      <c r="QFU18" s="310" t="s">
        <v>201</v>
      </c>
      <c r="QFV18" s="310" t="s">
        <v>201</v>
      </c>
      <c r="QFW18" s="310" t="s">
        <v>201</v>
      </c>
      <c r="QFX18" s="310" t="s">
        <v>201</v>
      </c>
      <c r="QFY18" s="310" t="s">
        <v>201</v>
      </c>
      <c r="QFZ18" s="310" t="s">
        <v>201</v>
      </c>
      <c r="QGA18" s="310" t="s">
        <v>201</v>
      </c>
      <c r="QGB18" s="310" t="s">
        <v>201</v>
      </c>
      <c r="QGC18" s="310" t="s">
        <v>201</v>
      </c>
      <c r="QGD18" s="310" t="s">
        <v>201</v>
      </c>
      <c r="QGE18" s="310" t="s">
        <v>201</v>
      </c>
      <c r="QGF18" s="310" t="s">
        <v>201</v>
      </c>
      <c r="QGG18" s="310" t="s">
        <v>201</v>
      </c>
      <c r="QGH18" s="310" t="s">
        <v>201</v>
      </c>
      <c r="QGI18" s="310" t="s">
        <v>201</v>
      </c>
      <c r="QGJ18" s="310" t="s">
        <v>201</v>
      </c>
      <c r="QGK18" s="310" t="s">
        <v>201</v>
      </c>
      <c r="QGL18" s="310" t="s">
        <v>201</v>
      </c>
      <c r="QGM18" s="310" t="s">
        <v>201</v>
      </c>
      <c r="QGN18" s="310" t="s">
        <v>201</v>
      </c>
      <c r="QGO18" s="310" t="s">
        <v>201</v>
      </c>
      <c r="QGP18" s="310" t="s">
        <v>201</v>
      </c>
      <c r="QGQ18" s="310" t="s">
        <v>201</v>
      </c>
      <c r="QGR18" s="310" t="s">
        <v>201</v>
      </c>
      <c r="QGS18" s="310" t="s">
        <v>201</v>
      </c>
      <c r="QGT18" s="310" t="s">
        <v>201</v>
      </c>
      <c r="QGU18" s="310" t="s">
        <v>201</v>
      </c>
      <c r="QGV18" s="310" t="s">
        <v>201</v>
      </c>
      <c r="QGW18" s="310" t="s">
        <v>201</v>
      </c>
      <c r="QGX18" s="310" t="s">
        <v>201</v>
      </c>
      <c r="QGY18" s="310" t="s">
        <v>201</v>
      </c>
      <c r="QGZ18" s="310" t="s">
        <v>201</v>
      </c>
      <c r="QHA18" s="310" t="s">
        <v>201</v>
      </c>
      <c r="QHB18" s="310" t="s">
        <v>201</v>
      </c>
      <c r="QHC18" s="310" t="s">
        <v>201</v>
      </c>
      <c r="QHD18" s="310" t="s">
        <v>201</v>
      </c>
      <c r="QHE18" s="310" t="s">
        <v>201</v>
      </c>
      <c r="QHF18" s="310" t="s">
        <v>201</v>
      </c>
      <c r="QHG18" s="310" t="s">
        <v>201</v>
      </c>
      <c r="QHH18" s="310" t="s">
        <v>201</v>
      </c>
      <c r="QHI18" s="310" t="s">
        <v>201</v>
      </c>
      <c r="QHJ18" s="310" t="s">
        <v>201</v>
      </c>
      <c r="QHK18" s="310" t="s">
        <v>201</v>
      </c>
      <c r="QHL18" s="310" t="s">
        <v>201</v>
      </c>
      <c r="QHM18" s="310" t="s">
        <v>201</v>
      </c>
      <c r="QHN18" s="310" t="s">
        <v>201</v>
      </c>
      <c r="QHO18" s="310" t="s">
        <v>201</v>
      </c>
      <c r="QHP18" s="310" t="s">
        <v>201</v>
      </c>
      <c r="QHQ18" s="310" t="s">
        <v>201</v>
      </c>
      <c r="QHR18" s="310" t="s">
        <v>201</v>
      </c>
      <c r="QHS18" s="310" t="s">
        <v>201</v>
      </c>
      <c r="QHT18" s="310" t="s">
        <v>201</v>
      </c>
      <c r="QHU18" s="310" t="s">
        <v>201</v>
      </c>
      <c r="QHV18" s="310" t="s">
        <v>201</v>
      </c>
      <c r="QHW18" s="310" t="s">
        <v>201</v>
      </c>
      <c r="QHX18" s="310" t="s">
        <v>201</v>
      </c>
      <c r="QHY18" s="310" t="s">
        <v>201</v>
      </c>
      <c r="QHZ18" s="310" t="s">
        <v>201</v>
      </c>
      <c r="QIA18" s="310" t="s">
        <v>201</v>
      </c>
      <c r="QIB18" s="310" t="s">
        <v>201</v>
      </c>
      <c r="QIC18" s="310" t="s">
        <v>201</v>
      </c>
      <c r="QID18" s="310" t="s">
        <v>201</v>
      </c>
      <c r="QIE18" s="310" t="s">
        <v>201</v>
      </c>
      <c r="QIF18" s="310" t="s">
        <v>201</v>
      </c>
      <c r="QIG18" s="310" t="s">
        <v>201</v>
      </c>
      <c r="QIH18" s="310" t="s">
        <v>201</v>
      </c>
      <c r="QII18" s="310" t="s">
        <v>201</v>
      </c>
      <c r="QIJ18" s="310" t="s">
        <v>201</v>
      </c>
      <c r="QIK18" s="310" t="s">
        <v>201</v>
      </c>
      <c r="QIL18" s="310" t="s">
        <v>201</v>
      </c>
      <c r="QIM18" s="310" t="s">
        <v>201</v>
      </c>
      <c r="QIN18" s="310" t="s">
        <v>201</v>
      </c>
      <c r="QIO18" s="310" t="s">
        <v>201</v>
      </c>
      <c r="QIP18" s="310" t="s">
        <v>201</v>
      </c>
      <c r="QIQ18" s="310" t="s">
        <v>201</v>
      </c>
      <c r="QIR18" s="310" t="s">
        <v>201</v>
      </c>
      <c r="QIS18" s="310" t="s">
        <v>201</v>
      </c>
      <c r="QIT18" s="310" t="s">
        <v>201</v>
      </c>
      <c r="QIU18" s="310" t="s">
        <v>201</v>
      </c>
      <c r="QIV18" s="310" t="s">
        <v>201</v>
      </c>
      <c r="QIW18" s="310" t="s">
        <v>201</v>
      </c>
      <c r="QIX18" s="310" t="s">
        <v>201</v>
      </c>
      <c r="QIY18" s="310" t="s">
        <v>201</v>
      </c>
      <c r="QIZ18" s="310" t="s">
        <v>201</v>
      </c>
      <c r="QJA18" s="310" t="s">
        <v>201</v>
      </c>
      <c r="QJB18" s="310" t="s">
        <v>201</v>
      </c>
      <c r="QJC18" s="310" t="s">
        <v>201</v>
      </c>
      <c r="QJD18" s="310" t="s">
        <v>201</v>
      </c>
      <c r="QJE18" s="310" t="s">
        <v>201</v>
      </c>
      <c r="QJF18" s="310" t="s">
        <v>201</v>
      </c>
      <c r="QJG18" s="310" t="s">
        <v>201</v>
      </c>
      <c r="QJH18" s="310" t="s">
        <v>201</v>
      </c>
      <c r="QJI18" s="310" t="s">
        <v>201</v>
      </c>
      <c r="QJJ18" s="310" t="s">
        <v>201</v>
      </c>
      <c r="QJK18" s="310" t="s">
        <v>201</v>
      </c>
      <c r="QJL18" s="310" t="s">
        <v>201</v>
      </c>
      <c r="QJM18" s="310" t="s">
        <v>201</v>
      </c>
      <c r="QJN18" s="310" t="s">
        <v>201</v>
      </c>
      <c r="QJO18" s="310" t="s">
        <v>201</v>
      </c>
      <c r="QJP18" s="310" t="s">
        <v>201</v>
      </c>
      <c r="QJQ18" s="310" t="s">
        <v>201</v>
      </c>
      <c r="QJR18" s="310" t="s">
        <v>201</v>
      </c>
      <c r="QJS18" s="310" t="s">
        <v>201</v>
      </c>
      <c r="QJT18" s="310" t="s">
        <v>201</v>
      </c>
      <c r="QJU18" s="310" t="s">
        <v>201</v>
      </c>
      <c r="QJV18" s="310" t="s">
        <v>201</v>
      </c>
      <c r="QJW18" s="310" t="s">
        <v>201</v>
      </c>
      <c r="QJX18" s="310" t="s">
        <v>201</v>
      </c>
      <c r="QJY18" s="310" t="s">
        <v>201</v>
      </c>
      <c r="QJZ18" s="310" t="s">
        <v>201</v>
      </c>
      <c r="QKA18" s="310" t="s">
        <v>201</v>
      </c>
      <c r="QKB18" s="310" t="s">
        <v>201</v>
      </c>
      <c r="QKC18" s="310" t="s">
        <v>201</v>
      </c>
      <c r="QKD18" s="310" t="s">
        <v>201</v>
      </c>
      <c r="QKE18" s="310" t="s">
        <v>201</v>
      </c>
      <c r="QKF18" s="310" t="s">
        <v>201</v>
      </c>
      <c r="QKG18" s="310" t="s">
        <v>201</v>
      </c>
      <c r="QKH18" s="310" t="s">
        <v>201</v>
      </c>
      <c r="QKI18" s="310" t="s">
        <v>201</v>
      </c>
      <c r="QKJ18" s="310" t="s">
        <v>201</v>
      </c>
      <c r="QKK18" s="310" t="s">
        <v>201</v>
      </c>
      <c r="QKL18" s="310" t="s">
        <v>201</v>
      </c>
      <c r="QKM18" s="310" t="s">
        <v>201</v>
      </c>
      <c r="QKN18" s="310" t="s">
        <v>201</v>
      </c>
      <c r="QKO18" s="310" t="s">
        <v>201</v>
      </c>
      <c r="QKP18" s="310" t="s">
        <v>201</v>
      </c>
      <c r="QKQ18" s="310" t="s">
        <v>201</v>
      </c>
      <c r="QKR18" s="310" t="s">
        <v>201</v>
      </c>
      <c r="QKS18" s="310" t="s">
        <v>201</v>
      </c>
      <c r="QKT18" s="310" t="s">
        <v>201</v>
      </c>
      <c r="QKU18" s="310" t="s">
        <v>201</v>
      </c>
      <c r="QKV18" s="310" t="s">
        <v>201</v>
      </c>
      <c r="QKW18" s="310" t="s">
        <v>201</v>
      </c>
      <c r="QKX18" s="310" t="s">
        <v>201</v>
      </c>
      <c r="QKY18" s="310" t="s">
        <v>201</v>
      </c>
      <c r="QKZ18" s="310" t="s">
        <v>201</v>
      </c>
      <c r="QLA18" s="310" t="s">
        <v>201</v>
      </c>
      <c r="QLB18" s="310" t="s">
        <v>201</v>
      </c>
      <c r="QLC18" s="310" t="s">
        <v>201</v>
      </c>
      <c r="QLD18" s="310" t="s">
        <v>201</v>
      </c>
      <c r="QLE18" s="310" t="s">
        <v>201</v>
      </c>
      <c r="QLF18" s="310" t="s">
        <v>201</v>
      </c>
      <c r="QLG18" s="310" t="s">
        <v>201</v>
      </c>
      <c r="QLH18" s="310" t="s">
        <v>201</v>
      </c>
      <c r="QLI18" s="310" t="s">
        <v>201</v>
      </c>
      <c r="QLJ18" s="310" t="s">
        <v>201</v>
      </c>
      <c r="QLK18" s="310" t="s">
        <v>201</v>
      </c>
      <c r="QLL18" s="310" t="s">
        <v>201</v>
      </c>
      <c r="QLM18" s="310" t="s">
        <v>201</v>
      </c>
      <c r="QLN18" s="310" t="s">
        <v>201</v>
      </c>
      <c r="QLO18" s="310" t="s">
        <v>201</v>
      </c>
      <c r="QLP18" s="310" t="s">
        <v>201</v>
      </c>
      <c r="QLQ18" s="310" t="s">
        <v>201</v>
      </c>
      <c r="QLR18" s="310" t="s">
        <v>201</v>
      </c>
      <c r="QLS18" s="310" t="s">
        <v>201</v>
      </c>
      <c r="QLT18" s="310" t="s">
        <v>201</v>
      </c>
      <c r="QLU18" s="310" t="s">
        <v>201</v>
      </c>
      <c r="QLV18" s="310" t="s">
        <v>201</v>
      </c>
      <c r="QLW18" s="310" t="s">
        <v>201</v>
      </c>
      <c r="QLX18" s="310" t="s">
        <v>201</v>
      </c>
      <c r="QLY18" s="310" t="s">
        <v>201</v>
      </c>
      <c r="QLZ18" s="310" t="s">
        <v>201</v>
      </c>
      <c r="QMA18" s="310" t="s">
        <v>201</v>
      </c>
      <c r="QMB18" s="310" t="s">
        <v>201</v>
      </c>
      <c r="QMC18" s="310" t="s">
        <v>201</v>
      </c>
      <c r="QMD18" s="310" t="s">
        <v>201</v>
      </c>
      <c r="QME18" s="310" t="s">
        <v>201</v>
      </c>
      <c r="QMF18" s="310" t="s">
        <v>201</v>
      </c>
      <c r="QMG18" s="310" t="s">
        <v>201</v>
      </c>
      <c r="QMH18" s="310" t="s">
        <v>201</v>
      </c>
      <c r="QMI18" s="310" t="s">
        <v>201</v>
      </c>
      <c r="QMJ18" s="310" t="s">
        <v>201</v>
      </c>
      <c r="QMK18" s="310" t="s">
        <v>201</v>
      </c>
      <c r="QML18" s="310" t="s">
        <v>201</v>
      </c>
      <c r="QMM18" s="310" t="s">
        <v>201</v>
      </c>
      <c r="QMN18" s="310" t="s">
        <v>201</v>
      </c>
      <c r="QMO18" s="310" t="s">
        <v>201</v>
      </c>
      <c r="QMP18" s="310" t="s">
        <v>201</v>
      </c>
      <c r="QMQ18" s="310" t="s">
        <v>201</v>
      </c>
      <c r="QMR18" s="310" t="s">
        <v>201</v>
      </c>
      <c r="QMS18" s="310" t="s">
        <v>201</v>
      </c>
      <c r="QMT18" s="310" t="s">
        <v>201</v>
      </c>
      <c r="QMU18" s="310" t="s">
        <v>201</v>
      </c>
      <c r="QMV18" s="310" t="s">
        <v>201</v>
      </c>
      <c r="QMW18" s="310" t="s">
        <v>201</v>
      </c>
      <c r="QMX18" s="310" t="s">
        <v>201</v>
      </c>
      <c r="QMY18" s="310" t="s">
        <v>201</v>
      </c>
      <c r="QMZ18" s="310" t="s">
        <v>201</v>
      </c>
      <c r="QNA18" s="310" t="s">
        <v>201</v>
      </c>
      <c r="QNB18" s="310" t="s">
        <v>201</v>
      </c>
      <c r="QNC18" s="310" t="s">
        <v>201</v>
      </c>
      <c r="QND18" s="310" t="s">
        <v>201</v>
      </c>
      <c r="QNE18" s="310" t="s">
        <v>201</v>
      </c>
      <c r="QNF18" s="310" t="s">
        <v>201</v>
      </c>
      <c r="QNG18" s="310" t="s">
        <v>201</v>
      </c>
      <c r="QNH18" s="310" t="s">
        <v>201</v>
      </c>
      <c r="QNI18" s="310" t="s">
        <v>201</v>
      </c>
      <c r="QNJ18" s="310" t="s">
        <v>201</v>
      </c>
      <c r="QNK18" s="310" t="s">
        <v>201</v>
      </c>
      <c r="QNL18" s="310" t="s">
        <v>201</v>
      </c>
      <c r="QNM18" s="310" t="s">
        <v>201</v>
      </c>
      <c r="QNN18" s="310" t="s">
        <v>201</v>
      </c>
      <c r="QNO18" s="310" t="s">
        <v>201</v>
      </c>
      <c r="QNP18" s="310" t="s">
        <v>201</v>
      </c>
      <c r="QNQ18" s="310" t="s">
        <v>201</v>
      </c>
      <c r="QNR18" s="310" t="s">
        <v>201</v>
      </c>
      <c r="QNS18" s="310" t="s">
        <v>201</v>
      </c>
      <c r="QNT18" s="310" t="s">
        <v>201</v>
      </c>
      <c r="QNU18" s="310" t="s">
        <v>201</v>
      </c>
      <c r="QNV18" s="310" t="s">
        <v>201</v>
      </c>
      <c r="QNW18" s="310" t="s">
        <v>201</v>
      </c>
      <c r="QNX18" s="310" t="s">
        <v>201</v>
      </c>
      <c r="QNY18" s="310" t="s">
        <v>201</v>
      </c>
      <c r="QNZ18" s="310" t="s">
        <v>201</v>
      </c>
      <c r="QOA18" s="310" t="s">
        <v>201</v>
      </c>
      <c r="QOB18" s="310" t="s">
        <v>201</v>
      </c>
      <c r="QOC18" s="310" t="s">
        <v>201</v>
      </c>
      <c r="QOD18" s="310" t="s">
        <v>201</v>
      </c>
      <c r="QOE18" s="310" t="s">
        <v>201</v>
      </c>
      <c r="QOF18" s="310" t="s">
        <v>201</v>
      </c>
      <c r="QOG18" s="310" t="s">
        <v>201</v>
      </c>
      <c r="QOH18" s="310" t="s">
        <v>201</v>
      </c>
      <c r="QOI18" s="310" t="s">
        <v>201</v>
      </c>
      <c r="QOJ18" s="310" t="s">
        <v>201</v>
      </c>
      <c r="QOK18" s="310" t="s">
        <v>201</v>
      </c>
      <c r="QOL18" s="310" t="s">
        <v>201</v>
      </c>
      <c r="QOM18" s="310" t="s">
        <v>201</v>
      </c>
      <c r="QON18" s="310" t="s">
        <v>201</v>
      </c>
      <c r="QOO18" s="310" t="s">
        <v>201</v>
      </c>
      <c r="QOP18" s="310" t="s">
        <v>201</v>
      </c>
      <c r="QOQ18" s="310" t="s">
        <v>201</v>
      </c>
      <c r="QOR18" s="310" t="s">
        <v>201</v>
      </c>
      <c r="QOS18" s="310" t="s">
        <v>201</v>
      </c>
      <c r="QOT18" s="310" t="s">
        <v>201</v>
      </c>
      <c r="QOU18" s="310" t="s">
        <v>201</v>
      </c>
      <c r="QOV18" s="310" t="s">
        <v>201</v>
      </c>
      <c r="QOW18" s="310" t="s">
        <v>201</v>
      </c>
      <c r="QOX18" s="310" t="s">
        <v>201</v>
      </c>
      <c r="QOY18" s="310" t="s">
        <v>201</v>
      </c>
      <c r="QOZ18" s="310" t="s">
        <v>201</v>
      </c>
      <c r="QPA18" s="310" t="s">
        <v>201</v>
      </c>
      <c r="QPB18" s="310" t="s">
        <v>201</v>
      </c>
      <c r="QPC18" s="310" t="s">
        <v>201</v>
      </c>
      <c r="QPD18" s="310" t="s">
        <v>201</v>
      </c>
      <c r="QPE18" s="310" t="s">
        <v>201</v>
      </c>
      <c r="QPF18" s="310" t="s">
        <v>201</v>
      </c>
      <c r="QPG18" s="310" t="s">
        <v>201</v>
      </c>
      <c r="QPH18" s="310" t="s">
        <v>201</v>
      </c>
      <c r="QPI18" s="310" t="s">
        <v>201</v>
      </c>
      <c r="QPJ18" s="310" t="s">
        <v>201</v>
      </c>
      <c r="QPK18" s="310" t="s">
        <v>201</v>
      </c>
      <c r="QPL18" s="310" t="s">
        <v>201</v>
      </c>
      <c r="QPM18" s="310" t="s">
        <v>201</v>
      </c>
      <c r="QPN18" s="310" t="s">
        <v>201</v>
      </c>
      <c r="QPO18" s="310" t="s">
        <v>201</v>
      </c>
      <c r="QPP18" s="310" t="s">
        <v>201</v>
      </c>
      <c r="QPQ18" s="310" t="s">
        <v>201</v>
      </c>
      <c r="QPR18" s="310" t="s">
        <v>201</v>
      </c>
      <c r="QPS18" s="310" t="s">
        <v>201</v>
      </c>
      <c r="QPT18" s="310" t="s">
        <v>201</v>
      </c>
      <c r="QPU18" s="310" t="s">
        <v>201</v>
      </c>
      <c r="QPV18" s="310" t="s">
        <v>201</v>
      </c>
      <c r="QPW18" s="310" t="s">
        <v>201</v>
      </c>
      <c r="QPX18" s="310" t="s">
        <v>201</v>
      </c>
      <c r="QPY18" s="310" t="s">
        <v>201</v>
      </c>
      <c r="QPZ18" s="310" t="s">
        <v>201</v>
      </c>
      <c r="QQA18" s="310" t="s">
        <v>201</v>
      </c>
      <c r="QQB18" s="310" t="s">
        <v>201</v>
      </c>
      <c r="QQC18" s="310" t="s">
        <v>201</v>
      </c>
      <c r="QQD18" s="310" t="s">
        <v>201</v>
      </c>
      <c r="QQE18" s="310" t="s">
        <v>201</v>
      </c>
      <c r="QQF18" s="310" t="s">
        <v>201</v>
      </c>
      <c r="QQG18" s="310" t="s">
        <v>201</v>
      </c>
      <c r="QQH18" s="310" t="s">
        <v>201</v>
      </c>
      <c r="QQI18" s="310" t="s">
        <v>201</v>
      </c>
      <c r="QQJ18" s="310" t="s">
        <v>201</v>
      </c>
      <c r="QQK18" s="310" t="s">
        <v>201</v>
      </c>
      <c r="QQL18" s="310" t="s">
        <v>201</v>
      </c>
      <c r="QQM18" s="310" t="s">
        <v>201</v>
      </c>
      <c r="QQN18" s="310" t="s">
        <v>201</v>
      </c>
      <c r="QQO18" s="310" t="s">
        <v>201</v>
      </c>
      <c r="QQP18" s="310" t="s">
        <v>201</v>
      </c>
      <c r="QQQ18" s="310" t="s">
        <v>201</v>
      </c>
      <c r="QQR18" s="310" t="s">
        <v>201</v>
      </c>
      <c r="QQS18" s="310" t="s">
        <v>201</v>
      </c>
      <c r="QQT18" s="310" t="s">
        <v>201</v>
      </c>
      <c r="QQU18" s="310" t="s">
        <v>201</v>
      </c>
      <c r="QQV18" s="310" t="s">
        <v>201</v>
      </c>
      <c r="QQW18" s="310" t="s">
        <v>201</v>
      </c>
      <c r="QQX18" s="310" t="s">
        <v>201</v>
      </c>
      <c r="QQY18" s="310" t="s">
        <v>201</v>
      </c>
      <c r="QQZ18" s="310" t="s">
        <v>201</v>
      </c>
      <c r="QRA18" s="310" t="s">
        <v>201</v>
      </c>
      <c r="QRB18" s="310" t="s">
        <v>201</v>
      </c>
      <c r="QRC18" s="310" t="s">
        <v>201</v>
      </c>
      <c r="QRD18" s="310" t="s">
        <v>201</v>
      </c>
      <c r="QRE18" s="310" t="s">
        <v>201</v>
      </c>
      <c r="QRF18" s="310" t="s">
        <v>201</v>
      </c>
      <c r="QRG18" s="310" t="s">
        <v>201</v>
      </c>
      <c r="QRH18" s="310" t="s">
        <v>201</v>
      </c>
      <c r="QRI18" s="310" t="s">
        <v>201</v>
      </c>
      <c r="QRJ18" s="310" t="s">
        <v>201</v>
      </c>
      <c r="QRK18" s="310" t="s">
        <v>201</v>
      </c>
      <c r="QRL18" s="310" t="s">
        <v>201</v>
      </c>
      <c r="QRM18" s="310" t="s">
        <v>201</v>
      </c>
      <c r="QRN18" s="310" t="s">
        <v>201</v>
      </c>
      <c r="QRO18" s="310" t="s">
        <v>201</v>
      </c>
      <c r="QRP18" s="310" t="s">
        <v>201</v>
      </c>
      <c r="QRQ18" s="310" t="s">
        <v>201</v>
      </c>
      <c r="QRR18" s="310" t="s">
        <v>201</v>
      </c>
      <c r="QRS18" s="310" t="s">
        <v>201</v>
      </c>
      <c r="QRT18" s="310" t="s">
        <v>201</v>
      </c>
      <c r="QRU18" s="310" t="s">
        <v>201</v>
      </c>
      <c r="QRV18" s="310" t="s">
        <v>201</v>
      </c>
      <c r="QRW18" s="310" t="s">
        <v>201</v>
      </c>
      <c r="QRX18" s="310" t="s">
        <v>201</v>
      </c>
      <c r="QRY18" s="310" t="s">
        <v>201</v>
      </c>
      <c r="QRZ18" s="310" t="s">
        <v>201</v>
      </c>
      <c r="QSA18" s="310" t="s">
        <v>201</v>
      </c>
      <c r="QSB18" s="310" t="s">
        <v>201</v>
      </c>
      <c r="QSC18" s="310" t="s">
        <v>201</v>
      </c>
      <c r="QSD18" s="310" t="s">
        <v>201</v>
      </c>
      <c r="QSE18" s="310" t="s">
        <v>201</v>
      </c>
      <c r="QSF18" s="310" t="s">
        <v>201</v>
      </c>
      <c r="QSG18" s="310" t="s">
        <v>201</v>
      </c>
      <c r="QSH18" s="310" t="s">
        <v>201</v>
      </c>
      <c r="QSI18" s="310" t="s">
        <v>201</v>
      </c>
      <c r="QSJ18" s="310" t="s">
        <v>201</v>
      </c>
      <c r="QSK18" s="310" t="s">
        <v>201</v>
      </c>
      <c r="QSL18" s="310" t="s">
        <v>201</v>
      </c>
      <c r="QSM18" s="310" t="s">
        <v>201</v>
      </c>
      <c r="QSN18" s="310" t="s">
        <v>201</v>
      </c>
      <c r="QSO18" s="310" t="s">
        <v>201</v>
      </c>
      <c r="QSP18" s="310" t="s">
        <v>201</v>
      </c>
      <c r="QSQ18" s="310" t="s">
        <v>201</v>
      </c>
      <c r="QSR18" s="310" t="s">
        <v>201</v>
      </c>
      <c r="QSS18" s="310" t="s">
        <v>201</v>
      </c>
      <c r="QST18" s="310" t="s">
        <v>201</v>
      </c>
      <c r="QSU18" s="310" t="s">
        <v>201</v>
      </c>
      <c r="QSV18" s="310" t="s">
        <v>201</v>
      </c>
      <c r="QSW18" s="310" t="s">
        <v>201</v>
      </c>
      <c r="QSX18" s="310" t="s">
        <v>201</v>
      </c>
      <c r="QSY18" s="310" t="s">
        <v>201</v>
      </c>
      <c r="QSZ18" s="310" t="s">
        <v>201</v>
      </c>
      <c r="QTA18" s="310" t="s">
        <v>201</v>
      </c>
      <c r="QTB18" s="310" t="s">
        <v>201</v>
      </c>
      <c r="QTC18" s="310" t="s">
        <v>201</v>
      </c>
      <c r="QTD18" s="310" t="s">
        <v>201</v>
      </c>
      <c r="QTE18" s="310" t="s">
        <v>201</v>
      </c>
      <c r="QTF18" s="310" t="s">
        <v>201</v>
      </c>
      <c r="QTG18" s="310" t="s">
        <v>201</v>
      </c>
      <c r="QTH18" s="310" t="s">
        <v>201</v>
      </c>
      <c r="QTI18" s="310" t="s">
        <v>201</v>
      </c>
      <c r="QTJ18" s="310" t="s">
        <v>201</v>
      </c>
      <c r="QTK18" s="310" t="s">
        <v>201</v>
      </c>
      <c r="QTL18" s="310" t="s">
        <v>201</v>
      </c>
      <c r="QTM18" s="310" t="s">
        <v>201</v>
      </c>
      <c r="QTN18" s="310" t="s">
        <v>201</v>
      </c>
      <c r="QTO18" s="310" t="s">
        <v>201</v>
      </c>
      <c r="QTP18" s="310" t="s">
        <v>201</v>
      </c>
      <c r="QTQ18" s="310" t="s">
        <v>201</v>
      </c>
      <c r="QTR18" s="310" t="s">
        <v>201</v>
      </c>
      <c r="QTS18" s="310" t="s">
        <v>201</v>
      </c>
      <c r="QTT18" s="310" t="s">
        <v>201</v>
      </c>
      <c r="QTU18" s="310" t="s">
        <v>201</v>
      </c>
      <c r="QTV18" s="310" t="s">
        <v>201</v>
      </c>
      <c r="QTW18" s="310" t="s">
        <v>201</v>
      </c>
      <c r="QTX18" s="310" t="s">
        <v>201</v>
      </c>
      <c r="QTY18" s="310" t="s">
        <v>201</v>
      </c>
      <c r="QTZ18" s="310" t="s">
        <v>201</v>
      </c>
      <c r="QUA18" s="310" t="s">
        <v>201</v>
      </c>
      <c r="QUB18" s="310" t="s">
        <v>201</v>
      </c>
      <c r="QUC18" s="310" t="s">
        <v>201</v>
      </c>
      <c r="QUD18" s="310" t="s">
        <v>201</v>
      </c>
      <c r="QUE18" s="310" t="s">
        <v>201</v>
      </c>
      <c r="QUF18" s="310" t="s">
        <v>201</v>
      </c>
      <c r="QUG18" s="310" t="s">
        <v>201</v>
      </c>
      <c r="QUH18" s="310" t="s">
        <v>201</v>
      </c>
      <c r="QUI18" s="310" t="s">
        <v>201</v>
      </c>
      <c r="QUJ18" s="310" t="s">
        <v>201</v>
      </c>
      <c r="QUK18" s="310" t="s">
        <v>201</v>
      </c>
      <c r="QUL18" s="310" t="s">
        <v>201</v>
      </c>
      <c r="QUM18" s="310" t="s">
        <v>201</v>
      </c>
      <c r="QUN18" s="310" t="s">
        <v>201</v>
      </c>
      <c r="QUO18" s="310" t="s">
        <v>201</v>
      </c>
      <c r="QUP18" s="310" t="s">
        <v>201</v>
      </c>
      <c r="QUQ18" s="310" t="s">
        <v>201</v>
      </c>
      <c r="QUR18" s="310" t="s">
        <v>201</v>
      </c>
      <c r="QUS18" s="310" t="s">
        <v>201</v>
      </c>
      <c r="QUT18" s="310" t="s">
        <v>201</v>
      </c>
      <c r="QUU18" s="310" t="s">
        <v>201</v>
      </c>
      <c r="QUV18" s="310" t="s">
        <v>201</v>
      </c>
      <c r="QUW18" s="310" t="s">
        <v>201</v>
      </c>
      <c r="QUX18" s="310" t="s">
        <v>201</v>
      </c>
      <c r="QUY18" s="310" t="s">
        <v>201</v>
      </c>
      <c r="QUZ18" s="310" t="s">
        <v>201</v>
      </c>
      <c r="QVA18" s="310" t="s">
        <v>201</v>
      </c>
      <c r="QVB18" s="310" t="s">
        <v>201</v>
      </c>
      <c r="QVC18" s="310" t="s">
        <v>201</v>
      </c>
      <c r="QVD18" s="310" t="s">
        <v>201</v>
      </c>
      <c r="QVE18" s="310" t="s">
        <v>201</v>
      </c>
      <c r="QVF18" s="310" t="s">
        <v>201</v>
      </c>
      <c r="QVG18" s="310" t="s">
        <v>201</v>
      </c>
      <c r="QVH18" s="310" t="s">
        <v>201</v>
      </c>
      <c r="QVI18" s="310" t="s">
        <v>201</v>
      </c>
      <c r="QVJ18" s="310" t="s">
        <v>201</v>
      </c>
      <c r="QVK18" s="310" t="s">
        <v>201</v>
      </c>
      <c r="QVL18" s="310" t="s">
        <v>201</v>
      </c>
      <c r="QVM18" s="310" t="s">
        <v>201</v>
      </c>
      <c r="QVN18" s="310" t="s">
        <v>201</v>
      </c>
      <c r="QVO18" s="310" t="s">
        <v>201</v>
      </c>
      <c r="QVP18" s="310" t="s">
        <v>201</v>
      </c>
      <c r="QVQ18" s="310" t="s">
        <v>201</v>
      </c>
      <c r="QVR18" s="310" t="s">
        <v>201</v>
      </c>
      <c r="QVS18" s="310" t="s">
        <v>201</v>
      </c>
      <c r="QVT18" s="310" t="s">
        <v>201</v>
      </c>
      <c r="QVU18" s="310" t="s">
        <v>201</v>
      </c>
      <c r="QVV18" s="310" t="s">
        <v>201</v>
      </c>
      <c r="QVW18" s="310" t="s">
        <v>201</v>
      </c>
      <c r="QVX18" s="310" t="s">
        <v>201</v>
      </c>
      <c r="QVY18" s="310" t="s">
        <v>201</v>
      </c>
      <c r="QVZ18" s="310" t="s">
        <v>201</v>
      </c>
      <c r="QWA18" s="310" t="s">
        <v>201</v>
      </c>
      <c r="QWB18" s="310" t="s">
        <v>201</v>
      </c>
      <c r="QWC18" s="310" t="s">
        <v>201</v>
      </c>
      <c r="QWD18" s="310" t="s">
        <v>201</v>
      </c>
      <c r="QWE18" s="310" t="s">
        <v>201</v>
      </c>
      <c r="QWF18" s="310" t="s">
        <v>201</v>
      </c>
      <c r="QWG18" s="310" t="s">
        <v>201</v>
      </c>
      <c r="QWH18" s="310" t="s">
        <v>201</v>
      </c>
      <c r="QWI18" s="310" t="s">
        <v>201</v>
      </c>
      <c r="QWJ18" s="310" t="s">
        <v>201</v>
      </c>
      <c r="QWK18" s="310" t="s">
        <v>201</v>
      </c>
      <c r="QWL18" s="310" t="s">
        <v>201</v>
      </c>
      <c r="QWM18" s="310" t="s">
        <v>201</v>
      </c>
      <c r="QWN18" s="310" t="s">
        <v>201</v>
      </c>
      <c r="QWO18" s="310" t="s">
        <v>201</v>
      </c>
      <c r="QWP18" s="310" t="s">
        <v>201</v>
      </c>
      <c r="QWQ18" s="310" t="s">
        <v>201</v>
      </c>
      <c r="QWR18" s="310" t="s">
        <v>201</v>
      </c>
      <c r="QWS18" s="310" t="s">
        <v>201</v>
      </c>
      <c r="QWT18" s="310" t="s">
        <v>201</v>
      </c>
      <c r="QWU18" s="310" t="s">
        <v>201</v>
      </c>
      <c r="QWV18" s="310" t="s">
        <v>201</v>
      </c>
      <c r="QWW18" s="310" t="s">
        <v>201</v>
      </c>
      <c r="QWX18" s="310" t="s">
        <v>201</v>
      </c>
      <c r="QWY18" s="310" t="s">
        <v>201</v>
      </c>
      <c r="QWZ18" s="310" t="s">
        <v>201</v>
      </c>
      <c r="QXA18" s="310" t="s">
        <v>201</v>
      </c>
      <c r="QXB18" s="310" t="s">
        <v>201</v>
      </c>
      <c r="QXC18" s="310" t="s">
        <v>201</v>
      </c>
      <c r="QXD18" s="310" t="s">
        <v>201</v>
      </c>
      <c r="QXE18" s="310" t="s">
        <v>201</v>
      </c>
      <c r="QXF18" s="310" t="s">
        <v>201</v>
      </c>
      <c r="QXG18" s="310" t="s">
        <v>201</v>
      </c>
      <c r="QXH18" s="310" t="s">
        <v>201</v>
      </c>
      <c r="QXI18" s="310" t="s">
        <v>201</v>
      </c>
      <c r="QXJ18" s="310" t="s">
        <v>201</v>
      </c>
      <c r="QXK18" s="310" t="s">
        <v>201</v>
      </c>
      <c r="QXL18" s="310" t="s">
        <v>201</v>
      </c>
      <c r="QXM18" s="310" t="s">
        <v>201</v>
      </c>
      <c r="QXN18" s="310" t="s">
        <v>201</v>
      </c>
      <c r="QXO18" s="310" t="s">
        <v>201</v>
      </c>
      <c r="QXP18" s="310" t="s">
        <v>201</v>
      </c>
      <c r="QXQ18" s="310" t="s">
        <v>201</v>
      </c>
      <c r="QXR18" s="310" t="s">
        <v>201</v>
      </c>
      <c r="QXS18" s="310" t="s">
        <v>201</v>
      </c>
      <c r="QXT18" s="310" t="s">
        <v>201</v>
      </c>
      <c r="QXU18" s="310" t="s">
        <v>201</v>
      </c>
      <c r="QXV18" s="310" t="s">
        <v>201</v>
      </c>
      <c r="QXW18" s="310" t="s">
        <v>201</v>
      </c>
      <c r="QXX18" s="310" t="s">
        <v>201</v>
      </c>
      <c r="QXY18" s="310" t="s">
        <v>201</v>
      </c>
      <c r="QXZ18" s="310" t="s">
        <v>201</v>
      </c>
      <c r="QYA18" s="310" t="s">
        <v>201</v>
      </c>
      <c r="QYB18" s="310" t="s">
        <v>201</v>
      </c>
      <c r="QYC18" s="310" t="s">
        <v>201</v>
      </c>
      <c r="QYD18" s="310" t="s">
        <v>201</v>
      </c>
      <c r="QYE18" s="310" t="s">
        <v>201</v>
      </c>
      <c r="QYF18" s="310" t="s">
        <v>201</v>
      </c>
      <c r="QYG18" s="310" t="s">
        <v>201</v>
      </c>
      <c r="QYH18" s="310" t="s">
        <v>201</v>
      </c>
      <c r="QYI18" s="310" t="s">
        <v>201</v>
      </c>
      <c r="QYJ18" s="310" t="s">
        <v>201</v>
      </c>
      <c r="QYK18" s="310" t="s">
        <v>201</v>
      </c>
      <c r="QYL18" s="310" t="s">
        <v>201</v>
      </c>
      <c r="QYM18" s="310" t="s">
        <v>201</v>
      </c>
      <c r="QYN18" s="310" t="s">
        <v>201</v>
      </c>
      <c r="QYO18" s="310" t="s">
        <v>201</v>
      </c>
      <c r="QYP18" s="310" t="s">
        <v>201</v>
      </c>
      <c r="QYQ18" s="310" t="s">
        <v>201</v>
      </c>
      <c r="QYR18" s="310" t="s">
        <v>201</v>
      </c>
      <c r="QYS18" s="310" t="s">
        <v>201</v>
      </c>
      <c r="QYT18" s="310" t="s">
        <v>201</v>
      </c>
      <c r="QYU18" s="310" t="s">
        <v>201</v>
      </c>
      <c r="QYV18" s="310" t="s">
        <v>201</v>
      </c>
      <c r="QYW18" s="310" t="s">
        <v>201</v>
      </c>
      <c r="QYX18" s="310" t="s">
        <v>201</v>
      </c>
      <c r="QYY18" s="310" t="s">
        <v>201</v>
      </c>
      <c r="QYZ18" s="310" t="s">
        <v>201</v>
      </c>
      <c r="QZA18" s="310" t="s">
        <v>201</v>
      </c>
      <c r="QZB18" s="310" t="s">
        <v>201</v>
      </c>
      <c r="QZC18" s="310" t="s">
        <v>201</v>
      </c>
      <c r="QZD18" s="310" t="s">
        <v>201</v>
      </c>
      <c r="QZE18" s="310" t="s">
        <v>201</v>
      </c>
      <c r="QZF18" s="310" t="s">
        <v>201</v>
      </c>
      <c r="QZG18" s="310" t="s">
        <v>201</v>
      </c>
      <c r="QZH18" s="310" t="s">
        <v>201</v>
      </c>
      <c r="QZI18" s="310" t="s">
        <v>201</v>
      </c>
      <c r="QZJ18" s="310" t="s">
        <v>201</v>
      </c>
      <c r="QZK18" s="310" t="s">
        <v>201</v>
      </c>
      <c r="QZL18" s="310" t="s">
        <v>201</v>
      </c>
      <c r="QZM18" s="310" t="s">
        <v>201</v>
      </c>
      <c r="QZN18" s="310" t="s">
        <v>201</v>
      </c>
      <c r="QZO18" s="310" t="s">
        <v>201</v>
      </c>
      <c r="QZP18" s="310" t="s">
        <v>201</v>
      </c>
      <c r="QZQ18" s="310" t="s">
        <v>201</v>
      </c>
      <c r="QZR18" s="310" t="s">
        <v>201</v>
      </c>
      <c r="QZS18" s="310" t="s">
        <v>201</v>
      </c>
      <c r="QZT18" s="310" t="s">
        <v>201</v>
      </c>
      <c r="QZU18" s="310" t="s">
        <v>201</v>
      </c>
      <c r="QZV18" s="310" t="s">
        <v>201</v>
      </c>
      <c r="QZW18" s="310" t="s">
        <v>201</v>
      </c>
      <c r="QZX18" s="310" t="s">
        <v>201</v>
      </c>
      <c r="QZY18" s="310" t="s">
        <v>201</v>
      </c>
      <c r="QZZ18" s="310" t="s">
        <v>201</v>
      </c>
      <c r="RAA18" s="310" t="s">
        <v>201</v>
      </c>
      <c r="RAB18" s="310" t="s">
        <v>201</v>
      </c>
      <c r="RAC18" s="310" t="s">
        <v>201</v>
      </c>
      <c r="RAD18" s="310" t="s">
        <v>201</v>
      </c>
      <c r="RAE18" s="310" t="s">
        <v>201</v>
      </c>
      <c r="RAF18" s="310" t="s">
        <v>201</v>
      </c>
      <c r="RAG18" s="310" t="s">
        <v>201</v>
      </c>
      <c r="RAH18" s="310" t="s">
        <v>201</v>
      </c>
      <c r="RAI18" s="310" t="s">
        <v>201</v>
      </c>
      <c r="RAJ18" s="310" t="s">
        <v>201</v>
      </c>
      <c r="RAK18" s="310" t="s">
        <v>201</v>
      </c>
      <c r="RAL18" s="310" t="s">
        <v>201</v>
      </c>
      <c r="RAM18" s="310" t="s">
        <v>201</v>
      </c>
      <c r="RAN18" s="310" t="s">
        <v>201</v>
      </c>
      <c r="RAO18" s="310" t="s">
        <v>201</v>
      </c>
      <c r="RAP18" s="310" t="s">
        <v>201</v>
      </c>
      <c r="RAQ18" s="310" t="s">
        <v>201</v>
      </c>
      <c r="RAR18" s="310" t="s">
        <v>201</v>
      </c>
      <c r="RAS18" s="310" t="s">
        <v>201</v>
      </c>
      <c r="RAT18" s="310" t="s">
        <v>201</v>
      </c>
      <c r="RAU18" s="310" t="s">
        <v>201</v>
      </c>
      <c r="RAV18" s="310" t="s">
        <v>201</v>
      </c>
      <c r="RAW18" s="310" t="s">
        <v>201</v>
      </c>
      <c r="RAX18" s="310" t="s">
        <v>201</v>
      </c>
      <c r="RAY18" s="310" t="s">
        <v>201</v>
      </c>
      <c r="RAZ18" s="310" t="s">
        <v>201</v>
      </c>
      <c r="RBA18" s="310" t="s">
        <v>201</v>
      </c>
      <c r="RBB18" s="310" t="s">
        <v>201</v>
      </c>
      <c r="RBC18" s="310" t="s">
        <v>201</v>
      </c>
      <c r="RBD18" s="310" t="s">
        <v>201</v>
      </c>
      <c r="RBE18" s="310" t="s">
        <v>201</v>
      </c>
      <c r="RBF18" s="310" t="s">
        <v>201</v>
      </c>
      <c r="RBG18" s="310" t="s">
        <v>201</v>
      </c>
      <c r="RBH18" s="310" t="s">
        <v>201</v>
      </c>
      <c r="RBI18" s="310" t="s">
        <v>201</v>
      </c>
      <c r="RBJ18" s="310" t="s">
        <v>201</v>
      </c>
      <c r="RBK18" s="310" t="s">
        <v>201</v>
      </c>
      <c r="RBL18" s="310" t="s">
        <v>201</v>
      </c>
      <c r="RBM18" s="310" t="s">
        <v>201</v>
      </c>
      <c r="RBN18" s="310" t="s">
        <v>201</v>
      </c>
      <c r="RBO18" s="310" t="s">
        <v>201</v>
      </c>
      <c r="RBP18" s="310" t="s">
        <v>201</v>
      </c>
      <c r="RBQ18" s="310" t="s">
        <v>201</v>
      </c>
      <c r="RBR18" s="310" t="s">
        <v>201</v>
      </c>
      <c r="RBS18" s="310" t="s">
        <v>201</v>
      </c>
      <c r="RBT18" s="310" t="s">
        <v>201</v>
      </c>
      <c r="RBU18" s="310" t="s">
        <v>201</v>
      </c>
      <c r="RBV18" s="310" t="s">
        <v>201</v>
      </c>
      <c r="RBW18" s="310" t="s">
        <v>201</v>
      </c>
      <c r="RBX18" s="310" t="s">
        <v>201</v>
      </c>
      <c r="RBY18" s="310" t="s">
        <v>201</v>
      </c>
      <c r="RBZ18" s="310" t="s">
        <v>201</v>
      </c>
      <c r="RCA18" s="310" t="s">
        <v>201</v>
      </c>
      <c r="RCB18" s="310" t="s">
        <v>201</v>
      </c>
      <c r="RCC18" s="310" t="s">
        <v>201</v>
      </c>
      <c r="RCD18" s="310" t="s">
        <v>201</v>
      </c>
      <c r="RCE18" s="310" t="s">
        <v>201</v>
      </c>
      <c r="RCF18" s="310" t="s">
        <v>201</v>
      </c>
      <c r="RCG18" s="310" t="s">
        <v>201</v>
      </c>
      <c r="RCH18" s="310" t="s">
        <v>201</v>
      </c>
      <c r="RCI18" s="310" t="s">
        <v>201</v>
      </c>
      <c r="RCJ18" s="310" t="s">
        <v>201</v>
      </c>
      <c r="RCK18" s="310" t="s">
        <v>201</v>
      </c>
      <c r="RCL18" s="310" t="s">
        <v>201</v>
      </c>
      <c r="RCM18" s="310" t="s">
        <v>201</v>
      </c>
      <c r="RCN18" s="310" t="s">
        <v>201</v>
      </c>
      <c r="RCO18" s="310" t="s">
        <v>201</v>
      </c>
      <c r="RCP18" s="310" t="s">
        <v>201</v>
      </c>
      <c r="RCQ18" s="310" t="s">
        <v>201</v>
      </c>
      <c r="RCR18" s="310" t="s">
        <v>201</v>
      </c>
      <c r="RCS18" s="310" t="s">
        <v>201</v>
      </c>
      <c r="RCT18" s="310" t="s">
        <v>201</v>
      </c>
      <c r="RCU18" s="310" t="s">
        <v>201</v>
      </c>
      <c r="RCV18" s="310" t="s">
        <v>201</v>
      </c>
      <c r="RCW18" s="310" t="s">
        <v>201</v>
      </c>
      <c r="RCX18" s="310" t="s">
        <v>201</v>
      </c>
      <c r="RCY18" s="310" t="s">
        <v>201</v>
      </c>
      <c r="RCZ18" s="310" t="s">
        <v>201</v>
      </c>
      <c r="RDA18" s="310" t="s">
        <v>201</v>
      </c>
      <c r="RDB18" s="310" t="s">
        <v>201</v>
      </c>
      <c r="RDC18" s="310" t="s">
        <v>201</v>
      </c>
      <c r="RDD18" s="310" t="s">
        <v>201</v>
      </c>
      <c r="RDE18" s="310" t="s">
        <v>201</v>
      </c>
      <c r="RDF18" s="310" t="s">
        <v>201</v>
      </c>
      <c r="RDG18" s="310" t="s">
        <v>201</v>
      </c>
      <c r="RDH18" s="310" t="s">
        <v>201</v>
      </c>
      <c r="RDI18" s="310" t="s">
        <v>201</v>
      </c>
      <c r="RDJ18" s="310" t="s">
        <v>201</v>
      </c>
      <c r="RDK18" s="310" t="s">
        <v>201</v>
      </c>
      <c r="RDL18" s="310" t="s">
        <v>201</v>
      </c>
      <c r="RDM18" s="310" t="s">
        <v>201</v>
      </c>
      <c r="RDN18" s="310" t="s">
        <v>201</v>
      </c>
      <c r="RDO18" s="310" t="s">
        <v>201</v>
      </c>
      <c r="RDP18" s="310" t="s">
        <v>201</v>
      </c>
      <c r="RDQ18" s="310" t="s">
        <v>201</v>
      </c>
      <c r="RDR18" s="310" t="s">
        <v>201</v>
      </c>
      <c r="RDS18" s="310" t="s">
        <v>201</v>
      </c>
      <c r="RDT18" s="310" t="s">
        <v>201</v>
      </c>
      <c r="RDU18" s="310" t="s">
        <v>201</v>
      </c>
      <c r="RDV18" s="310" t="s">
        <v>201</v>
      </c>
      <c r="RDW18" s="310" t="s">
        <v>201</v>
      </c>
      <c r="RDX18" s="310" t="s">
        <v>201</v>
      </c>
      <c r="RDY18" s="310" t="s">
        <v>201</v>
      </c>
      <c r="RDZ18" s="310" t="s">
        <v>201</v>
      </c>
      <c r="REA18" s="310" t="s">
        <v>201</v>
      </c>
      <c r="REB18" s="310" t="s">
        <v>201</v>
      </c>
      <c r="REC18" s="310" t="s">
        <v>201</v>
      </c>
      <c r="RED18" s="310" t="s">
        <v>201</v>
      </c>
      <c r="REE18" s="310" t="s">
        <v>201</v>
      </c>
      <c r="REF18" s="310" t="s">
        <v>201</v>
      </c>
      <c r="REG18" s="310" t="s">
        <v>201</v>
      </c>
      <c r="REH18" s="310" t="s">
        <v>201</v>
      </c>
      <c r="REI18" s="310" t="s">
        <v>201</v>
      </c>
      <c r="REJ18" s="310" t="s">
        <v>201</v>
      </c>
      <c r="REK18" s="310" t="s">
        <v>201</v>
      </c>
      <c r="REL18" s="310" t="s">
        <v>201</v>
      </c>
      <c r="REM18" s="310" t="s">
        <v>201</v>
      </c>
      <c r="REN18" s="310" t="s">
        <v>201</v>
      </c>
      <c r="REO18" s="310" t="s">
        <v>201</v>
      </c>
      <c r="REP18" s="310" t="s">
        <v>201</v>
      </c>
      <c r="REQ18" s="310" t="s">
        <v>201</v>
      </c>
      <c r="RER18" s="310" t="s">
        <v>201</v>
      </c>
      <c r="RES18" s="310" t="s">
        <v>201</v>
      </c>
      <c r="RET18" s="310" t="s">
        <v>201</v>
      </c>
      <c r="REU18" s="310" t="s">
        <v>201</v>
      </c>
      <c r="REV18" s="310" t="s">
        <v>201</v>
      </c>
      <c r="REW18" s="310" t="s">
        <v>201</v>
      </c>
      <c r="REX18" s="310" t="s">
        <v>201</v>
      </c>
      <c r="REY18" s="310" t="s">
        <v>201</v>
      </c>
      <c r="REZ18" s="310" t="s">
        <v>201</v>
      </c>
      <c r="RFA18" s="310" t="s">
        <v>201</v>
      </c>
      <c r="RFB18" s="310" t="s">
        <v>201</v>
      </c>
      <c r="RFC18" s="310" t="s">
        <v>201</v>
      </c>
      <c r="RFD18" s="310" t="s">
        <v>201</v>
      </c>
      <c r="RFE18" s="310" t="s">
        <v>201</v>
      </c>
      <c r="RFF18" s="310" t="s">
        <v>201</v>
      </c>
      <c r="RFG18" s="310" t="s">
        <v>201</v>
      </c>
      <c r="RFH18" s="310" t="s">
        <v>201</v>
      </c>
      <c r="RFI18" s="310" t="s">
        <v>201</v>
      </c>
      <c r="RFJ18" s="310" t="s">
        <v>201</v>
      </c>
      <c r="RFK18" s="310" t="s">
        <v>201</v>
      </c>
      <c r="RFL18" s="310" t="s">
        <v>201</v>
      </c>
      <c r="RFM18" s="310" t="s">
        <v>201</v>
      </c>
      <c r="RFN18" s="310" t="s">
        <v>201</v>
      </c>
      <c r="RFO18" s="310" t="s">
        <v>201</v>
      </c>
      <c r="RFP18" s="310" t="s">
        <v>201</v>
      </c>
      <c r="RFQ18" s="310" t="s">
        <v>201</v>
      </c>
      <c r="RFR18" s="310" t="s">
        <v>201</v>
      </c>
      <c r="RFS18" s="310" t="s">
        <v>201</v>
      </c>
      <c r="RFT18" s="310" t="s">
        <v>201</v>
      </c>
      <c r="RFU18" s="310" t="s">
        <v>201</v>
      </c>
      <c r="RFV18" s="310" t="s">
        <v>201</v>
      </c>
      <c r="RFW18" s="310" t="s">
        <v>201</v>
      </c>
      <c r="RFX18" s="310" t="s">
        <v>201</v>
      </c>
      <c r="RFY18" s="310" t="s">
        <v>201</v>
      </c>
      <c r="RFZ18" s="310" t="s">
        <v>201</v>
      </c>
      <c r="RGA18" s="310" t="s">
        <v>201</v>
      </c>
      <c r="RGB18" s="310" t="s">
        <v>201</v>
      </c>
      <c r="RGC18" s="310" t="s">
        <v>201</v>
      </c>
      <c r="RGD18" s="310" t="s">
        <v>201</v>
      </c>
      <c r="RGE18" s="310" t="s">
        <v>201</v>
      </c>
      <c r="RGF18" s="310" t="s">
        <v>201</v>
      </c>
      <c r="RGG18" s="310" t="s">
        <v>201</v>
      </c>
      <c r="RGH18" s="310" t="s">
        <v>201</v>
      </c>
      <c r="RGI18" s="310" t="s">
        <v>201</v>
      </c>
      <c r="RGJ18" s="310" t="s">
        <v>201</v>
      </c>
      <c r="RGK18" s="310" t="s">
        <v>201</v>
      </c>
      <c r="RGL18" s="310" t="s">
        <v>201</v>
      </c>
      <c r="RGM18" s="310" t="s">
        <v>201</v>
      </c>
      <c r="RGN18" s="310" t="s">
        <v>201</v>
      </c>
      <c r="RGO18" s="310" t="s">
        <v>201</v>
      </c>
      <c r="RGP18" s="310" t="s">
        <v>201</v>
      </c>
      <c r="RGQ18" s="310" t="s">
        <v>201</v>
      </c>
      <c r="RGR18" s="310" t="s">
        <v>201</v>
      </c>
      <c r="RGS18" s="310" t="s">
        <v>201</v>
      </c>
      <c r="RGT18" s="310" t="s">
        <v>201</v>
      </c>
      <c r="RGU18" s="310" t="s">
        <v>201</v>
      </c>
      <c r="RGV18" s="310" t="s">
        <v>201</v>
      </c>
      <c r="RGW18" s="310" t="s">
        <v>201</v>
      </c>
      <c r="RGX18" s="310" t="s">
        <v>201</v>
      </c>
      <c r="RGY18" s="310" t="s">
        <v>201</v>
      </c>
      <c r="RGZ18" s="310" t="s">
        <v>201</v>
      </c>
      <c r="RHA18" s="310" t="s">
        <v>201</v>
      </c>
      <c r="RHB18" s="310" t="s">
        <v>201</v>
      </c>
      <c r="RHC18" s="310" t="s">
        <v>201</v>
      </c>
      <c r="RHD18" s="310" t="s">
        <v>201</v>
      </c>
      <c r="RHE18" s="310" t="s">
        <v>201</v>
      </c>
      <c r="RHF18" s="310" t="s">
        <v>201</v>
      </c>
      <c r="RHG18" s="310" t="s">
        <v>201</v>
      </c>
      <c r="RHH18" s="310" t="s">
        <v>201</v>
      </c>
      <c r="RHI18" s="310" t="s">
        <v>201</v>
      </c>
      <c r="RHJ18" s="310" t="s">
        <v>201</v>
      </c>
      <c r="RHK18" s="310" t="s">
        <v>201</v>
      </c>
      <c r="RHL18" s="310" t="s">
        <v>201</v>
      </c>
      <c r="RHM18" s="310" t="s">
        <v>201</v>
      </c>
      <c r="RHN18" s="310" t="s">
        <v>201</v>
      </c>
      <c r="RHO18" s="310" t="s">
        <v>201</v>
      </c>
      <c r="RHP18" s="310" t="s">
        <v>201</v>
      </c>
      <c r="RHQ18" s="310" t="s">
        <v>201</v>
      </c>
      <c r="RHR18" s="310" t="s">
        <v>201</v>
      </c>
      <c r="RHS18" s="310" t="s">
        <v>201</v>
      </c>
      <c r="RHT18" s="310" t="s">
        <v>201</v>
      </c>
      <c r="RHU18" s="310" t="s">
        <v>201</v>
      </c>
      <c r="RHV18" s="310" t="s">
        <v>201</v>
      </c>
      <c r="RHW18" s="310" t="s">
        <v>201</v>
      </c>
      <c r="RHX18" s="310" t="s">
        <v>201</v>
      </c>
      <c r="RHY18" s="310" t="s">
        <v>201</v>
      </c>
      <c r="RHZ18" s="310" t="s">
        <v>201</v>
      </c>
      <c r="RIA18" s="310" t="s">
        <v>201</v>
      </c>
      <c r="RIB18" s="310" t="s">
        <v>201</v>
      </c>
      <c r="RIC18" s="310" t="s">
        <v>201</v>
      </c>
      <c r="RID18" s="310" t="s">
        <v>201</v>
      </c>
      <c r="RIE18" s="310" t="s">
        <v>201</v>
      </c>
      <c r="RIF18" s="310" t="s">
        <v>201</v>
      </c>
      <c r="RIG18" s="310" t="s">
        <v>201</v>
      </c>
      <c r="RIH18" s="310" t="s">
        <v>201</v>
      </c>
      <c r="RII18" s="310" t="s">
        <v>201</v>
      </c>
      <c r="RIJ18" s="310" t="s">
        <v>201</v>
      </c>
      <c r="RIK18" s="310" t="s">
        <v>201</v>
      </c>
      <c r="RIL18" s="310" t="s">
        <v>201</v>
      </c>
      <c r="RIM18" s="310" t="s">
        <v>201</v>
      </c>
      <c r="RIN18" s="310" t="s">
        <v>201</v>
      </c>
      <c r="RIO18" s="310" t="s">
        <v>201</v>
      </c>
      <c r="RIP18" s="310" t="s">
        <v>201</v>
      </c>
      <c r="RIQ18" s="310" t="s">
        <v>201</v>
      </c>
      <c r="RIR18" s="310" t="s">
        <v>201</v>
      </c>
      <c r="RIS18" s="310" t="s">
        <v>201</v>
      </c>
      <c r="RIT18" s="310" t="s">
        <v>201</v>
      </c>
      <c r="RIU18" s="310" t="s">
        <v>201</v>
      </c>
      <c r="RIV18" s="310" t="s">
        <v>201</v>
      </c>
      <c r="RIW18" s="310" t="s">
        <v>201</v>
      </c>
      <c r="RIX18" s="310" t="s">
        <v>201</v>
      </c>
      <c r="RIY18" s="310" t="s">
        <v>201</v>
      </c>
      <c r="RIZ18" s="310" t="s">
        <v>201</v>
      </c>
      <c r="RJA18" s="310" t="s">
        <v>201</v>
      </c>
      <c r="RJB18" s="310" t="s">
        <v>201</v>
      </c>
      <c r="RJC18" s="310" t="s">
        <v>201</v>
      </c>
      <c r="RJD18" s="310" t="s">
        <v>201</v>
      </c>
      <c r="RJE18" s="310" t="s">
        <v>201</v>
      </c>
      <c r="RJF18" s="310" t="s">
        <v>201</v>
      </c>
      <c r="RJG18" s="310" t="s">
        <v>201</v>
      </c>
      <c r="RJH18" s="310" t="s">
        <v>201</v>
      </c>
      <c r="RJI18" s="310" t="s">
        <v>201</v>
      </c>
      <c r="RJJ18" s="310" t="s">
        <v>201</v>
      </c>
      <c r="RJK18" s="310" t="s">
        <v>201</v>
      </c>
      <c r="RJL18" s="310" t="s">
        <v>201</v>
      </c>
      <c r="RJM18" s="310" t="s">
        <v>201</v>
      </c>
      <c r="RJN18" s="310" t="s">
        <v>201</v>
      </c>
      <c r="RJO18" s="310" t="s">
        <v>201</v>
      </c>
      <c r="RJP18" s="310" t="s">
        <v>201</v>
      </c>
      <c r="RJQ18" s="310" t="s">
        <v>201</v>
      </c>
      <c r="RJR18" s="310" t="s">
        <v>201</v>
      </c>
      <c r="RJS18" s="310" t="s">
        <v>201</v>
      </c>
      <c r="RJT18" s="310" t="s">
        <v>201</v>
      </c>
      <c r="RJU18" s="310" t="s">
        <v>201</v>
      </c>
      <c r="RJV18" s="310" t="s">
        <v>201</v>
      </c>
      <c r="RJW18" s="310" t="s">
        <v>201</v>
      </c>
      <c r="RJX18" s="310" t="s">
        <v>201</v>
      </c>
      <c r="RJY18" s="310" t="s">
        <v>201</v>
      </c>
      <c r="RJZ18" s="310" t="s">
        <v>201</v>
      </c>
      <c r="RKA18" s="310" t="s">
        <v>201</v>
      </c>
      <c r="RKB18" s="310" t="s">
        <v>201</v>
      </c>
      <c r="RKC18" s="310" t="s">
        <v>201</v>
      </c>
      <c r="RKD18" s="310" t="s">
        <v>201</v>
      </c>
      <c r="RKE18" s="310" t="s">
        <v>201</v>
      </c>
      <c r="RKF18" s="310" t="s">
        <v>201</v>
      </c>
      <c r="RKG18" s="310" t="s">
        <v>201</v>
      </c>
      <c r="RKH18" s="310" t="s">
        <v>201</v>
      </c>
      <c r="RKI18" s="310" t="s">
        <v>201</v>
      </c>
      <c r="RKJ18" s="310" t="s">
        <v>201</v>
      </c>
      <c r="RKK18" s="310" t="s">
        <v>201</v>
      </c>
      <c r="RKL18" s="310" t="s">
        <v>201</v>
      </c>
      <c r="RKM18" s="310" t="s">
        <v>201</v>
      </c>
      <c r="RKN18" s="310" t="s">
        <v>201</v>
      </c>
      <c r="RKO18" s="310" t="s">
        <v>201</v>
      </c>
      <c r="RKP18" s="310" t="s">
        <v>201</v>
      </c>
      <c r="RKQ18" s="310" t="s">
        <v>201</v>
      </c>
      <c r="RKR18" s="310" t="s">
        <v>201</v>
      </c>
      <c r="RKS18" s="310" t="s">
        <v>201</v>
      </c>
      <c r="RKT18" s="310" t="s">
        <v>201</v>
      </c>
      <c r="RKU18" s="310" t="s">
        <v>201</v>
      </c>
      <c r="RKV18" s="310" t="s">
        <v>201</v>
      </c>
      <c r="RKW18" s="310" t="s">
        <v>201</v>
      </c>
      <c r="RKX18" s="310" t="s">
        <v>201</v>
      </c>
      <c r="RKY18" s="310" t="s">
        <v>201</v>
      </c>
      <c r="RKZ18" s="310" t="s">
        <v>201</v>
      </c>
      <c r="RLA18" s="310" t="s">
        <v>201</v>
      </c>
      <c r="RLB18" s="310" t="s">
        <v>201</v>
      </c>
      <c r="RLC18" s="310" t="s">
        <v>201</v>
      </c>
      <c r="RLD18" s="310" t="s">
        <v>201</v>
      </c>
      <c r="RLE18" s="310" t="s">
        <v>201</v>
      </c>
      <c r="RLF18" s="310" t="s">
        <v>201</v>
      </c>
      <c r="RLG18" s="310" t="s">
        <v>201</v>
      </c>
      <c r="RLH18" s="310" t="s">
        <v>201</v>
      </c>
      <c r="RLI18" s="310" t="s">
        <v>201</v>
      </c>
      <c r="RLJ18" s="310" t="s">
        <v>201</v>
      </c>
      <c r="RLK18" s="310" t="s">
        <v>201</v>
      </c>
      <c r="RLL18" s="310" t="s">
        <v>201</v>
      </c>
      <c r="RLM18" s="310" t="s">
        <v>201</v>
      </c>
      <c r="RLN18" s="310" t="s">
        <v>201</v>
      </c>
      <c r="RLO18" s="310" t="s">
        <v>201</v>
      </c>
      <c r="RLP18" s="310" t="s">
        <v>201</v>
      </c>
      <c r="RLQ18" s="310" t="s">
        <v>201</v>
      </c>
      <c r="RLR18" s="310" t="s">
        <v>201</v>
      </c>
      <c r="RLS18" s="310" t="s">
        <v>201</v>
      </c>
      <c r="RLT18" s="310" t="s">
        <v>201</v>
      </c>
      <c r="RLU18" s="310" t="s">
        <v>201</v>
      </c>
      <c r="RLV18" s="310" t="s">
        <v>201</v>
      </c>
      <c r="RLW18" s="310" t="s">
        <v>201</v>
      </c>
      <c r="RLX18" s="310" t="s">
        <v>201</v>
      </c>
      <c r="RLY18" s="310" t="s">
        <v>201</v>
      </c>
      <c r="RLZ18" s="310" t="s">
        <v>201</v>
      </c>
      <c r="RMA18" s="310" t="s">
        <v>201</v>
      </c>
      <c r="RMB18" s="310" t="s">
        <v>201</v>
      </c>
      <c r="RMC18" s="310" t="s">
        <v>201</v>
      </c>
      <c r="RMD18" s="310" t="s">
        <v>201</v>
      </c>
      <c r="RME18" s="310" t="s">
        <v>201</v>
      </c>
      <c r="RMF18" s="310" t="s">
        <v>201</v>
      </c>
      <c r="RMG18" s="310" t="s">
        <v>201</v>
      </c>
      <c r="RMH18" s="310" t="s">
        <v>201</v>
      </c>
      <c r="RMI18" s="310" t="s">
        <v>201</v>
      </c>
      <c r="RMJ18" s="310" t="s">
        <v>201</v>
      </c>
      <c r="RMK18" s="310" t="s">
        <v>201</v>
      </c>
      <c r="RML18" s="310" t="s">
        <v>201</v>
      </c>
      <c r="RMM18" s="310" t="s">
        <v>201</v>
      </c>
      <c r="RMN18" s="310" t="s">
        <v>201</v>
      </c>
      <c r="RMO18" s="310" t="s">
        <v>201</v>
      </c>
      <c r="RMP18" s="310" t="s">
        <v>201</v>
      </c>
      <c r="RMQ18" s="310" t="s">
        <v>201</v>
      </c>
      <c r="RMR18" s="310" t="s">
        <v>201</v>
      </c>
      <c r="RMS18" s="310" t="s">
        <v>201</v>
      </c>
      <c r="RMT18" s="310" t="s">
        <v>201</v>
      </c>
      <c r="RMU18" s="310" t="s">
        <v>201</v>
      </c>
      <c r="RMV18" s="310" t="s">
        <v>201</v>
      </c>
      <c r="RMW18" s="310" t="s">
        <v>201</v>
      </c>
      <c r="RMX18" s="310" t="s">
        <v>201</v>
      </c>
      <c r="RMY18" s="310" t="s">
        <v>201</v>
      </c>
      <c r="RMZ18" s="310" t="s">
        <v>201</v>
      </c>
      <c r="RNA18" s="310" t="s">
        <v>201</v>
      </c>
      <c r="RNB18" s="310" t="s">
        <v>201</v>
      </c>
      <c r="RNC18" s="310" t="s">
        <v>201</v>
      </c>
      <c r="RND18" s="310" t="s">
        <v>201</v>
      </c>
      <c r="RNE18" s="310" t="s">
        <v>201</v>
      </c>
      <c r="RNF18" s="310" t="s">
        <v>201</v>
      </c>
      <c r="RNG18" s="310" t="s">
        <v>201</v>
      </c>
      <c r="RNH18" s="310" t="s">
        <v>201</v>
      </c>
      <c r="RNI18" s="310" t="s">
        <v>201</v>
      </c>
      <c r="RNJ18" s="310" t="s">
        <v>201</v>
      </c>
      <c r="RNK18" s="310" t="s">
        <v>201</v>
      </c>
      <c r="RNL18" s="310" t="s">
        <v>201</v>
      </c>
      <c r="RNM18" s="310" t="s">
        <v>201</v>
      </c>
      <c r="RNN18" s="310" t="s">
        <v>201</v>
      </c>
      <c r="RNO18" s="310" t="s">
        <v>201</v>
      </c>
      <c r="RNP18" s="310" t="s">
        <v>201</v>
      </c>
      <c r="RNQ18" s="310" t="s">
        <v>201</v>
      </c>
      <c r="RNR18" s="310" t="s">
        <v>201</v>
      </c>
      <c r="RNS18" s="310" t="s">
        <v>201</v>
      </c>
      <c r="RNT18" s="310" t="s">
        <v>201</v>
      </c>
      <c r="RNU18" s="310" t="s">
        <v>201</v>
      </c>
      <c r="RNV18" s="310" t="s">
        <v>201</v>
      </c>
      <c r="RNW18" s="310" t="s">
        <v>201</v>
      </c>
      <c r="RNX18" s="310" t="s">
        <v>201</v>
      </c>
      <c r="RNY18" s="310" t="s">
        <v>201</v>
      </c>
      <c r="RNZ18" s="310" t="s">
        <v>201</v>
      </c>
      <c r="ROA18" s="310" t="s">
        <v>201</v>
      </c>
      <c r="ROB18" s="310" t="s">
        <v>201</v>
      </c>
      <c r="ROC18" s="310" t="s">
        <v>201</v>
      </c>
      <c r="ROD18" s="310" t="s">
        <v>201</v>
      </c>
      <c r="ROE18" s="310" t="s">
        <v>201</v>
      </c>
      <c r="ROF18" s="310" t="s">
        <v>201</v>
      </c>
      <c r="ROG18" s="310" t="s">
        <v>201</v>
      </c>
      <c r="ROH18" s="310" t="s">
        <v>201</v>
      </c>
      <c r="ROI18" s="310" t="s">
        <v>201</v>
      </c>
      <c r="ROJ18" s="310" t="s">
        <v>201</v>
      </c>
      <c r="ROK18" s="310" t="s">
        <v>201</v>
      </c>
      <c r="ROL18" s="310" t="s">
        <v>201</v>
      </c>
      <c r="ROM18" s="310" t="s">
        <v>201</v>
      </c>
      <c r="RON18" s="310" t="s">
        <v>201</v>
      </c>
      <c r="ROO18" s="310" t="s">
        <v>201</v>
      </c>
      <c r="ROP18" s="310" t="s">
        <v>201</v>
      </c>
      <c r="ROQ18" s="310" t="s">
        <v>201</v>
      </c>
      <c r="ROR18" s="310" t="s">
        <v>201</v>
      </c>
      <c r="ROS18" s="310" t="s">
        <v>201</v>
      </c>
      <c r="ROT18" s="310" t="s">
        <v>201</v>
      </c>
      <c r="ROU18" s="310" t="s">
        <v>201</v>
      </c>
      <c r="ROV18" s="310" t="s">
        <v>201</v>
      </c>
      <c r="ROW18" s="310" t="s">
        <v>201</v>
      </c>
      <c r="ROX18" s="310" t="s">
        <v>201</v>
      </c>
      <c r="ROY18" s="310" t="s">
        <v>201</v>
      </c>
      <c r="ROZ18" s="310" t="s">
        <v>201</v>
      </c>
      <c r="RPA18" s="310" t="s">
        <v>201</v>
      </c>
      <c r="RPB18" s="310" t="s">
        <v>201</v>
      </c>
      <c r="RPC18" s="310" t="s">
        <v>201</v>
      </c>
      <c r="RPD18" s="310" t="s">
        <v>201</v>
      </c>
      <c r="RPE18" s="310" t="s">
        <v>201</v>
      </c>
      <c r="RPF18" s="310" t="s">
        <v>201</v>
      </c>
      <c r="RPG18" s="310" t="s">
        <v>201</v>
      </c>
      <c r="RPH18" s="310" t="s">
        <v>201</v>
      </c>
      <c r="RPI18" s="310" t="s">
        <v>201</v>
      </c>
      <c r="RPJ18" s="310" t="s">
        <v>201</v>
      </c>
      <c r="RPK18" s="310" t="s">
        <v>201</v>
      </c>
      <c r="RPL18" s="310" t="s">
        <v>201</v>
      </c>
      <c r="RPM18" s="310" t="s">
        <v>201</v>
      </c>
      <c r="RPN18" s="310" t="s">
        <v>201</v>
      </c>
      <c r="RPO18" s="310" t="s">
        <v>201</v>
      </c>
      <c r="RPP18" s="310" t="s">
        <v>201</v>
      </c>
      <c r="RPQ18" s="310" t="s">
        <v>201</v>
      </c>
      <c r="RPR18" s="310" t="s">
        <v>201</v>
      </c>
      <c r="RPS18" s="310" t="s">
        <v>201</v>
      </c>
      <c r="RPT18" s="310" t="s">
        <v>201</v>
      </c>
      <c r="RPU18" s="310" t="s">
        <v>201</v>
      </c>
      <c r="RPV18" s="310" t="s">
        <v>201</v>
      </c>
      <c r="RPW18" s="310" t="s">
        <v>201</v>
      </c>
      <c r="RPX18" s="310" t="s">
        <v>201</v>
      </c>
      <c r="RPY18" s="310" t="s">
        <v>201</v>
      </c>
      <c r="RPZ18" s="310" t="s">
        <v>201</v>
      </c>
      <c r="RQA18" s="310" t="s">
        <v>201</v>
      </c>
      <c r="RQB18" s="310" t="s">
        <v>201</v>
      </c>
      <c r="RQC18" s="310" t="s">
        <v>201</v>
      </c>
      <c r="RQD18" s="310" t="s">
        <v>201</v>
      </c>
      <c r="RQE18" s="310" t="s">
        <v>201</v>
      </c>
      <c r="RQF18" s="310" t="s">
        <v>201</v>
      </c>
      <c r="RQG18" s="310" t="s">
        <v>201</v>
      </c>
      <c r="RQH18" s="310" t="s">
        <v>201</v>
      </c>
      <c r="RQI18" s="310" t="s">
        <v>201</v>
      </c>
      <c r="RQJ18" s="310" t="s">
        <v>201</v>
      </c>
      <c r="RQK18" s="310" t="s">
        <v>201</v>
      </c>
      <c r="RQL18" s="310" t="s">
        <v>201</v>
      </c>
      <c r="RQM18" s="310" t="s">
        <v>201</v>
      </c>
      <c r="RQN18" s="310" t="s">
        <v>201</v>
      </c>
      <c r="RQO18" s="310" t="s">
        <v>201</v>
      </c>
      <c r="RQP18" s="310" t="s">
        <v>201</v>
      </c>
      <c r="RQQ18" s="310" t="s">
        <v>201</v>
      </c>
      <c r="RQR18" s="310" t="s">
        <v>201</v>
      </c>
      <c r="RQS18" s="310" t="s">
        <v>201</v>
      </c>
      <c r="RQT18" s="310" t="s">
        <v>201</v>
      </c>
      <c r="RQU18" s="310" t="s">
        <v>201</v>
      </c>
      <c r="RQV18" s="310" t="s">
        <v>201</v>
      </c>
      <c r="RQW18" s="310" t="s">
        <v>201</v>
      </c>
      <c r="RQX18" s="310" t="s">
        <v>201</v>
      </c>
      <c r="RQY18" s="310" t="s">
        <v>201</v>
      </c>
      <c r="RQZ18" s="310" t="s">
        <v>201</v>
      </c>
      <c r="RRA18" s="310" t="s">
        <v>201</v>
      </c>
      <c r="RRB18" s="310" t="s">
        <v>201</v>
      </c>
      <c r="RRC18" s="310" t="s">
        <v>201</v>
      </c>
      <c r="RRD18" s="310" t="s">
        <v>201</v>
      </c>
      <c r="RRE18" s="310" t="s">
        <v>201</v>
      </c>
      <c r="RRF18" s="310" t="s">
        <v>201</v>
      </c>
      <c r="RRG18" s="310" t="s">
        <v>201</v>
      </c>
      <c r="RRH18" s="310" t="s">
        <v>201</v>
      </c>
      <c r="RRI18" s="310" t="s">
        <v>201</v>
      </c>
      <c r="RRJ18" s="310" t="s">
        <v>201</v>
      </c>
      <c r="RRK18" s="310" t="s">
        <v>201</v>
      </c>
      <c r="RRL18" s="310" t="s">
        <v>201</v>
      </c>
      <c r="RRM18" s="310" t="s">
        <v>201</v>
      </c>
      <c r="RRN18" s="310" t="s">
        <v>201</v>
      </c>
      <c r="RRO18" s="310" t="s">
        <v>201</v>
      </c>
      <c r="RRP18" s="310" t="s">
        <v>201</v>
      </c>
      <c r="RRQ18" s="310" t="s">
        <v>201</v>
      </c>
      <c r="RRR18" s="310" t="s">
        <v>201</v>
      </c>
      <c r="RRS18" s="310" t="s">
        <v>201</v>
      </c>
      <c r="RRT18" s="310" t="s">
        <v>201</v>
      </c>
      <c r="RRU18" s="310" t="s">
        <v>201</v>
      </c>
      <c r="RRV18" s="310" t="s">
        <v>201</v>
      </c>
      <c r="RRW18" s="310" t="s">
        <v>201</v>
      </c>
      <c r="RRX18" s="310" t="s">
        <v>201</v>
      </c>
      <c r="RRY18" s="310" t="s">
        <v>201</v>
      </c>
      <c r="RRZ18" s="310" t="s">
        <v>201</v>
      </c>
      <c r="RSA18" s="310" t="s">
        <v>201</v>
      </c>
      <c r="RSB18" s="310" t="s">
        <v>201</v>
      </c>
      <c r="RSC18" s="310" t="s">
        <v>201</v>
      </c>
      <c r="RSD18" s="310" t="s">
        <v>201</v>
      </c>
      <c r="RSE18" s="310" t="s">
        <v>201</v>
      </c>
      <c r="RSF18" s="310" t="s">
        <v>201</v>
      </c>
      <c r="RSG18" s="310" t="s">
        <v>201</v>
      </c>
      <c r="RSH18" s="310" t="s">
        <v>201</v>
      </c>
      <c r="RSI18" s="310" t="s">
        <v>201</v>
      </c>
      <c r="RSJ18" s="310" t="s">
        <v>201</v>
      </c>
      <c r="RSK18" s="310" t="s">
        <v>201</v>
      </c>
      <c r="RSL18" s="310" t="s">
        <v>201</v>
      </c>
      <c r="RSM18" s="310" t="s">
        <v>201</v>
      </c>
      <c r="RSN18" s="310" t="s">
        <v>201</v>
      </c>
      <c r="RSO18" s="310" t="s">
        <v>201</v>
      </c>
      <c r="RSP18" s="310" t="s">
        <v>201</v>
      </c>
      <c r="RSQ18" s="310" t="s">
        <v>201</v>
      </c>
      <c r="RSR18" s="310" t="s">
        <v>201</v>
      </c>
      <c r="RSS18" s="310" t="s">
        <v>201</v>
      </c>
      <c r="RST18" s="310" t="s">
        <v>201</v>
      </c>
      <c r="RSU18" s="310" t="s">
        <v>201</v>
      </c>
      <c r="RSV18" s="310" t="s">
        <v>201</v>
      </c>
      <c r="RSW18" s="310" t="s">
        <v>201</v>
      </c>
      <c r="RSX18" s="310" t="s">
        <v>201</v>
      </c>
      <c r="RSY18" s="310" t="s">
        <v>201</v>
      </c>
      <c r="RSZ18" s="310" t="s">
        <v>201</v>
      </c>
      <c r="RTA18" s="310" t="s">
        <v>201</v>
      </c>
      <c r="RTB18" s="310" t="s">
        <v>201</v>
      </c>
      <c r="RTC18" s="310" t="s">
        <v>201</v>
      </c>
      <c r="RTD18" s="310" t="s">
        <v>201</v>
      </c>
      <c r="RTE18" s="310" t="s">
        <v>201</v>
      </c>
      <c r="RTF18" s="310" t="s">
        <v>201</v>
      </c>
      <c r="RTG18" s="310" t="s">
        <v>201</v>
      </c>
      <c r="RTH18" s="310" t="s">
        <v>201</v>
      </c>
      <c r="RTI18" s="310" t="s">
        <v>201</v>
      </c>
      <c r="RTJ18" s="310" t="s">
        <v>201</v>
      </c>
      <c r="RTK18" s="310" t="s">
        <v>201</v>
      </c>
      <c r="RTL18" s="310" t="s">
        <v>201</v>
      </c>
      <c r="RTM18" s="310" t="s">
        <v>201</v>
      </c>
      <c r="RTN18" s="310" t="s">
        <v>201</v>
      </c>
      <c r="RTO18" s="310" t="s">
        <v>201</v>
      </c>
      <c r="RTP18" s="310" t="s">
        <v>201</v>
      </c>
      <c r="RTQ18" s="310" t="s">
        <v>201</v>
      </c>
      <c r="RTR18" s="310" t="s">
        <v>201</v>
      </c>
      <c r="RTS18" s="310" t="s">
        <v>201</v>
      </c>
      <c r="RTT18" s="310" t="s">
        <v>201</v>
      </c>
      <c r="RTU18" s="310" t="s">
        <v>201</v>
      </c>
      <c r="RTV18" s="310" t="s">
        <v>201</v>
      </c>
      <c r="RTW18" s="310" t="s">
        <v>201</v>
      </c>
      <c r="RTX18" s="310" t="s">
        <v>201</v>
      </c>
      <c r="RTY18" s="310" t="s">
        <v>201</v>
      </c>
      <c r="RTZ18" s="310" t="s">
        <v>201</v>
      </c>
      <c r="RUA18" s="310" t="s">
        <v>201</v>
      </c>
      <c r="RUB18" s="310" t="s">
        <v>201</v>
      </c>
      <c r="RUC18" s="310" t="s">
        <v>201</v>
      </c>
      <c r="RUD18" s="310" t="s">
        <v>201</v>
      </c>
      <c r="RUE18" s="310" t="s">
        <v>201</v>
      </c>
      <c r="RUF18" s="310" t="s">
        <v>201</v>
      </c>
      <c r="RUG18" s="310" t="s">
        <v>201</v>
      </c>
      <c r="RUH18" s="310" t="s">
        <v>201</v>
      </c>
      <c r="RUI18" s="310" t="s">
        <v>201</v>
      </c>
      <c r="RUJ18" s="310" t="s">
        <v>201</v>
      </c>
      <c r="RUK18" s="310" t="s">
        <v>201</v>
      </c>
      <c r="RUL18" s="310" t="s">
        <v>201</v>
      </c>
      <c r="RUM18" s="310" t="s">
        <v>201</v>
      </c>
      <c r="RUN18" s="310" t="s">
        <v>201</v>
      </c>
      <c r="RUO18" s="310" t="s">
        <v>201</v>
      </c>
      <c r="RUP18" s="310" t="s">
        <v>201</v>
      </c>
      <c r="RUQ18" s="310" t="s">
        <v>201</v>
      </c>
      <c r="RUR18" s="310" t="s">
        <v>201</v>
      </c>
      <c r="RUS18" s="310" t="s">
        <v>201</v>
      </c>
      <c r="RUT18" s="310" t="s">
        <v>201</v>
      </c>
      <c r="RUU18" s="310" t="s">
        <v>201</v>
      </c>
      <c r="RUV18" s="310" t="s">
        <v>201</v>
      </c>
      <c r="RUW18" s="310" t="s">
        <v>201</v>
      </c>
      <c r="RUX18" s="310" t="s">
        <v>201</v>
      </c>
      <c r="RUY18" s="310" t="s">
        <v>201</v>
      </c>
      <c r="RUZ18" s="310" t="s">
        <v>201</v>
      </c>
      <c r="RVA18" s="310" t="s">
        <v>201</v>
      </c>
      <c r="RVB18" s="310" t="s">
        <v>201</v>
      </c>
      <c r="RVC18" s="310" t="s">
        <v>201</v>
      </c>
      <c r="RVD18" s="310" t="s">
        <v>201</v>
      </c>
      <c r="RVE18" s="310" t="s">
        <v>201</v>
      </c>
      <c r="RVF18" s="310" t="s">
        <v>201</v>
      </c>
      <c r="RVG18" s="310" t="s">
        <v>201</v>
      </c>
      <c r="RVH18" s="310" t="s">
        <v>201</v>
      </c>
      <c r="RVI18" s="310" t="s">
        <v>201</v>
      </c>
      <c r="RVJ18" s="310" t="s">
        <v>201</v>
      </c>
      <c r="RVK18" s="310" t="s">
        <v>201</v>
      </c>
      <c r="RVL18" s="310" t="s">
        <v>201</v>
      </c>
      <c r="RVM18" s="310" t="s">
        <v>201</v>
      </c>
      <c r="RVN18" s="310" t="s">
        <v>201</v>
      </c>
      <c r="RVO18" s="310" t="s">
        <v>201</v>
      </c>
      <c r="RVP18" s="310" t="s">
        <v>201</v>
      </c>
      <c r="RVQ18" s="310" t="s">
        <v>201</v>
      </c>
      <c r="RVR18" s="310" t="s">
        <v>201</v>
      </c>
      <c r="RVS18" s="310" t="s">
        <v>201</v>
      </c>
      <c r="RVT18" s="310" t="s">
        <v>201</v>
      </c>
      <c r="RVU18" s="310" t="s">
        <v>201</v>
      </c>
      <c r="RVV18" s="310" t="s">
        <v>201</v>
      </c>
      <c r="RVW18" s="310" t="s">
        <v>201</v>
      </c>
      <c r="RVX18" s="310" t="s">
        <v>201</v>
      </c>
      <c r="RVY18" s="310" t="s">
        <v>201</v>
      </c>
      <c r="RVZ18" s="310" t="s">
        <v>201</v>
      </c>
      <c r="RWA18" s="310" t="s">
        <v>201</v>
      </c>
      <c r="RWB18" s="310" t="s">
        <v>201</v>
      </c>
      <c r="RWC18" s="310" t="s">
        <v>201</v>
      </c>
      <c r="RWD18" s="310" t="s">
        <v>201</v>
      </c>
      <c r="RWE18" s="310" t="s">
        <v>201</v>
      </c>
      <c r="RWF18" s="310" t="s">
        <v>201</v>
      </c>
      <c r="RWG18" s="310" t="s">
        <v>201</v>
      </c>
      <c r="RWH18" s="310" t="s">
        <v>201</v>
      </c>
      <c r="RWI18" s="310" t="s">
        <v>201</v>
      </c>
      <c r="RWJ18" s="310" t="s">
        <v>201</v>
      </c>
      <c r="RWK18" s="310" t="s">
        <v>201</v>
      </c>
      <c r="RWL18" s="310" t="s">
        <v>201</v>
      </c>
      <c r="RWM18" s="310" t="s">
        <v>201</v>
      </c>
      <c r="RWN18" s="310" t="s">
        <v>201</v>
      </c>
      <c r="RWO18" s="310" t="s">
        <v>201</v>
      </c>
      <c r="RWP18" s="310" t="s">
        <v>201</v>
      </c>
      <c r="RWQ18" s="310" t="s">
        <v>201</v>
      </c>
      <c r="RWR18" s="310" t="s">
        <v>201</v>
      </c>
      <c r="RWS18" s="310" t="s">
        <v>201</v>
      </c>
      <c r="RWT18" s="310" t="s">
        <v>201</v>
      </c>
      <c r="RWU18" s="310" t="s">
        <v>201</v>
      </c>
      <c r="RWV18" s="310" t="s">
        <v>201</v>
      </c>
      <c r="RWW18" s="310" t="s">
        <v>201</v>
      </c>
      <c r="RWX18" s="310" t="s">
        <v>201</v>
      </c>
      <c r="RWY18" s="310" t="s">
        <v>201</v>
      </c>
      <c r="RWZ18" s="310" t="s">
        <v>201</v>
      </c>
      <c r="RXA18" s="310" t="s">
        <v>201</v>
      </c>
      <c r="RXB18" s="310" t="s">
        <v>201</v>
      </c>
      <c r="RXC18" s="310" t="s">
        <v>201</v>
      </c>
      <c r="RXD18" s="310" t="s">
        <v>201</v>
      </c>
      <c r="RXE18" s="310" t="s">
        <v>201</v>
      </c>
      <c r="RXF18" s="310" t="s">
        <v>201</v>
      </c>
      <c r="RXG18" s="310" t="s">
        <v>201</v>
      </c>
      <c r="RXH18" s="310" t="s">
        <v>201</v>
      </c>
      <c r="RXI18" s="310" t="s">
        <v>201</v>
      </c>
      <c r="RXJ18" s="310" t="s">
        <v>201</v>
      </c>
      <c r="RXK18" s="310" t="s">
        <v>201</v>
      </c>
      <c r="RXL18" s="310" t="s">
        <v>201</v>
      </c>
      <c r="RXM18" s="310" t="s">
        <v>201</v>
      </c>
      <c r="RXN18" s="310" t="s">
        <v>201</v>
      </c>
      <c r="RXO18" s="310" t="s">
        <v>201</v>
      </c>
      <c r="RXP18" s="310" t="s">
        <v>201</v>
      </c>
      <c r="RXQ18" s="310" t="s">
        <v>201</v>
      </c>
      <c r="RXR18" s="310" t="s">
        <v>201</v>
      </c>
      <c r="RXS18" s="310" t="s">
        <v>201</v>
      </c>
      <c r="RXT18" s="310" t="s">
        <v>201</v>
      </c>
      <c r="RXU18" s="310" t="s">
        <v>201</v>
      </c>
      <c r="RXV18" s="310" t="s">
        <v>201</v>
      </c>
      <c r="RXW18" s="310" t="s">
        <v>201</v>
      </c>
      <c r="RXX18" s="310" t="s">
        <v>201</v>
      </c>
      <c r="RXY18" s="310" t="s">
        <v>201</v>
      </c>
      <c r="RXZ18" s="310" t="s">
        <v>201</v>
      </c>
      <c r="RYA18" s="310" t="s">
        <v>201</v>
      </c>
      <c r="RYB18" s="310" t="s">
        <v>201</v>
      </c>
      <c r="RYC18" s="310" t="s">
        <v>201</v>
      </c>
      <c r="RYD18" s="310" t="s">
        <v>201</v>
      </c>
      <c r="RYE18" s="310" t="s">
        <v>201</v>
      </c>
      <c r="RYF18" s="310" t="s">
        <v>201</v>
      </c>
      <c r="RYG18" s="310" t="s">
        <v>201</v>
      </c>
      <c r="RYH18" s="310" t="s">
        <v>201</v>
      </c>
      <c r="RYI18" s="310" t="s">
        <v>201</v>
      </c>
      <c r="RYJ18" s="310" t="s">
        <v>201</v>
      </c>
      <c r="RYK18" s="310" t="s">
        <v>201</v>
      </c>
      <c r="RYL18" s="310" t="s">
        <v>201</v>
      </c>
      <c r="RYM18" s="310" t="s">
        <v>201</v>
      </c>
      <c r="RYN18" s="310" t="s">
        <v>201</v>
      </c>
      <c r="RYO18" s="310" t="s">
        <v>201</v>
      </c>
      <c r="RYP18" s="310" t="s">
        <v>201</v>
      </c>
      <c r="RYQ18" s="310" t="s">
        <v>201</v>
      </c>
      <c r="RYR18" s="310" t="s">
        <v>201</v>
      </c>
      <c r="RYS18" s="310" t="s">
        <v>201</v>
      </c>
      <c r="RYT18" s="310" t="s">
        <v>201</v>
      </c>
      <c r="RYU18" s="310" t="s">
        <v>201</v>
      </c>
      <c r="RYV18" s="310" t="s">
        <v>201</v>
      </c>
      <c r="RYW18" s="310" t="s">
        <v>201</v>
      </c>
      <c r="RYX18" s="310" t="s">
        <v>201</v>
      </c>
      <c r="RYY18" s="310" t="s">
        <v>201</v>
      </c>
      <c r="RYZ18" s="310" t="s">
        <v>201</v>
      </c>
      <c r="RZA18" s="310" t="s">
        <v>201</v>
      </c>
      <c r="RZB18" s="310" t="s">
        <v>201</v>
      </c>
      <c r="RZC18" s="310" t="s">
        <v>201</v>
      </c>
      <c r="RZD18" s="310" t="s">
        <v>201</v>
      </c>
      <c r="RZE18" s="310" t="s">
        <v>201</v>
      </c>
      <c r="RZF18" s="310" t="s">
        <v>201</v>
      </c>
      <c r="RZG18" s="310" t="s">
        <v>201</v>
      </c>
      <c r="RZH18" s="310" t="s">
        <v>201</v>
      </c>
      <c r="RZI18" s="310" t="s">
        <v>201</v>
      </c>
      <c r="RZJ18" s="310" t="s">
        <v>201</v>
      </c>
      <c r="RZK18" s="310" t="s">
        <v>201</v>
      </c>
      <c r="RZL18" s="310" t="s">
        <v>201</v>
      </c>
      <c r="RZM18" s="310" t="s">
        <v>201</v>
      </c>
      <c r="RZN18" s="310" t="s">
        <v>201</v>
      </c>
      <c r="RZO18" s="310" t="s">
        <v>201</v>
      </c>
      <c r="RZP18" s="310" t="s">
        <v>201</v>
      </c>
      <c r="RZQ18" s="310" t="s">
        <v>201</v>
      </c>
      <c r="RZR18" s="310" t="s">
        <v>201</v>
      </c>
      <c r="RZS18" s="310" t="s">
        <v>201</v>
      </c>
      <c r="RZT18" s="310" t="s">
        <v>201</v>
      </c>
      <c r="RZU18" s="310" t="s">
        <v>201</v>
      </c>
      <c r="RZV18" s="310" t="s">
        <v>201</v>
      </c>
      <c r="RZW18" s="310" t="s">
        <v>201</v>
      </c>
      <c r="RZX18" s="310" t="s">
        <v>201</v>
      </c>
      <c r="RZY18" s="310" t="s">
        <v>201</v>
      </c>
      <c r="RZZ18" s="310" t="s">
        <v>201</v>
      </c>
      <c r="SAA18" s="310" t="s">
        <v>201</v>
      </c>
      <c r="SAB18" s="310" t="s">
        <v>201</v>
      </c>
      <c r="SAC18" s="310" t="s">
        <v>201</v>
      </c>
      <c r="SAD18" s="310" t="s">
        <v>201</v>
      </c>
      <c r="SAE18" s="310" t="s">
        <v>201</v>
      </c>
      <c r="SAF18" s="310" t="s">
        <v>201</v>
      </c>
      <c r="SAG18" s="310" t="s">
        <v>201</v>
      </c>
      <c r="SAH18" s="310" t="s">
        <v>201</v>
      </c>
      <c r="SAI18" s="310" t="s">
        <v>201</v>
      </c>
      <c r="SAJ18" s="310" t="s">
        <v>201</v>
      </c>
      <c r="SAK18" s="310" t="s">
        <v>201</v>
      </c>
      <c r="SAL18" s="310" t="s">
        <v>201</v>
      </c>
      <c r="SAM18" s="310" t="s">
        <v>201</v>
      </c>
      <c r="SAN18" s="310" t="s">
        <v>201</v>
      </c>
      <c r="SAO18" s="310" t="s">
        <v>201</v>
      </c>
      <c r="SAP18" s="310" t="s">
        <v>201</v>
      </c>
      <c r="SAQ18" s="310" t="s">
        <v>201</v>
      </c>
      <c r="SAR18" s="310" t="s">
        <v>201</v>
      </c>
      <c r="SAS18" s="310" t="s">
        <v>201</v>
      </c>
      <c r="SAT18" s="310" t="s">
        <v>201</v>
      </c>
      <c r="SAU18" s="310" t="s">
        <v>201</v>
      </c>
      <c r="SAV18" s="310" t="s">
        <v>201</v>
      </c>
      <c r="SAW18" s="310" t="s">
        <v>201</v>
      </c>
      <c r="SAX18" s="310" t="s">
        <v>201</v>
      </c>
      <c r="SAY18" s="310" t="s">
        <v>201</v>
      </c>
      <c r="SAZ18" s="310" t="s">
        <v>201</v>
      </c>
      <c r="SBA18" s="310" t="s">
        <v>201</v>
      </c>
      <c r="SBB18" s="310" t="s">
        <v>201</v>
      </c>
      <c r="SBC18" s="310" t="s">
        <v>201</v>
      </c>
      <c r="SBD18" s="310" t="s">
        <v>201</v>
      </c>
      <c r="SBE18" s="310" t="s">
        <v>201</v>
      </c>
      <c r="SBF18" s="310" t="s">
        <v>201</v>
      </c>
      <c r="SBG18" s="310" t="s">
        <v>201</v>
      </c>
      <c r="SBH18" s="310" t="s">
        <v>201</v>
      </c>
      <c r="SBI18" s="310" t="s">
        <v>201</v>
      </c>
      <c r="SBJ18" s="310" t="s">
        <v>201</v>
      </c>
      <c r="SBK18" s="310" t="s">
        <v>201</v>
      </c>
      <c r="SBL18" s="310" t="s">
        <v>201</v>
      </c>
      <c r="SBM18" s="310" t="s">
        <v>201</v>
      </c>
      <c r="SBN18" s="310" t="s">
        <v>201</v>
      </c>
      <c r="SBO18" s="310" t="s">
        <v>201</v>
      </c>
      <c r="SBP18" s="310" t="s">
        <v>201</v>
      </c>
      <c r="SBQ18" s="310" t="s">
        <v>201</v>
      </c>
      <c r="SBR18" s="310" t="s">
        <v>201</v>
      </c>
      <c r="SBS18" s="310" t="s">
        <v>201</v>
      </c>
      <c r="SBT18" s="310" t="s">
        <v>201</v>
      </c>
      <c r="SBU18" s="310" t="s">
        <v>201</v>
      </c>
      <c r="SBV18" s="310" t="s">
        <v>201</v>
      </c>
      <c r="SBW18" s="310" t="s">
        <v>201</v>
      </c>
      <c r="SBX18" s="310" t="s">
        <v>201</v>
      </c>
      <c r="SBY18" s="310" t="s">
        <v>201</v>
      </c>
      <c r="SBZ18" s="310" t="s">
        <v>201</v>
      </c>
      <c r="SCA18" s="310" t="s">
        <v>201</v>
      </c>
      <c r="SCB18" s="310" t="s">
        <v>201</v>
      </c>
      <c r="SCC18" s="310" t="s">
        <v>201</v>
      </c>
      <c r="SCD18" s="310" t="s">
        <v>201</v>
      </c>
      <c r="SCE18" s="310" t="s">
        <v>201</v>
      </c>
      <c r="SCF18" s="310" t="s">
        <v>201</v>
      </c>
      <c r="SCG18" s="310" t="s">
        <v>201</v>
      </c>
      <c r="SCH18" s="310" t="s">
        <v>201</v>
      </c>
      <c r="SCI18" s="310" t="s">
        <v>201</v>
      </c>
      <c r="SCJ18" s="310" t="s">
        <v>201</v>
      </c>
      <c r="SCK18" s="310" t="s">
        <v>201</v>
      </c>
      <c r="SCL18" s="310" t="s">
        <v>201</v>
      </c>
      <c r="SCM18" s="310" t="s">
        <v>201</v>
      </c>
      <c r="SCN18" s="310" t="s">
        <v>201</v>
      </c>
      <c r="SCO18" s="310" t="s">
        <v>201</v>
      </c>
      <c r="SCP18" s="310" t="s">
        <v>201</v>
      </c>
      <c r="SCQ18" s="310" t="s">
        <v>201</v>
      </c>
      <c r="SCR18" s="310" t="s">
        <v>201</v>
      </c>
      <c r="SCS18" s="310" t="s">
        <v>201</v>
      </c>
      <c r="SCT18" s="310" t="s">
        <v>201</v>
      </c>
      <c r="SCU18" s="310" t="s">
        <v>201</v>
      </c>
      <c r="SCV18" s="310" t="s">
        <v>201</v>
      </c>
      <c r="SCW18" s="310" t="s">
        <v>201</v>
      </c>
      <c r="SCX18" s="310" t="s">
        <v>201</v>
      </c>
      <c r="SCY18" s="310" t="s">
        <v>201</v>
      </c>
      <c r="SCZ18" s="310" t="s">
        <v>201</v>
      </c>
      <c r="SDA18" s="310" t="s">
        <v>201</v>
      </c>
      <c r="SDB18" s="310" t="s">
        <v>201</v>
      </c>
      <c r="SDC18" s="310" t="s">
        <v>201</v>
      </c>
      <c r="SDD18" s="310" t="s">
        <v>201</v>
      </c>
      <c r="SDE18" s="310" t="s">
        <v>201</v>
      </c>
      <c r="SDF18" s="310" t="s">
        <v>201</v>
      </c>
      <c r="SDG18" s="310" t="s">
        <v>201</v>
      </c>
      <c r="SDH18" s="310" t="s">
        <v>201</v>
      </c>
      <c r="SDI18" s="310" t="s">
        <v>201</v>
      </c>
      <c r="SDJ18" s="310" t="s">
        <v>201</v>
      </c>
      <c r="SDK18" s="310" t="s">
        <v>201</v>
      </c>
      <c r="SDL18" s="310" t="s">
        <v>201</v>
      </c>
      <c r="SDM18" s="310" t="s">
        <v>201</v>
      </c>
      <c r="SDN18" s="310" t="s">
        <v>201</v>
      </c>
      <c r="SDO18" s="310" t="s">
        <v>201</v>
      </c>
      <c r="SDP18" s="310" t="s">
        <v>201</v>
      </c>
      <c r="SDQ18" s="310" t="s">
        <v>201</v>
      </c>
      <c r="SDR18" s="310" t="s">
        <v>201</v>
      </c>
      <c r="SDS18" s="310" t="s">
        <v>201</v>
      </c>
      <c r="SDT18" s="310" t="s">
        <v>201</v>
      </c>
      <c r="SDU18" s="310" t="s">
        <v>201</v>
      </c>
      <c r="SDV18" s="310" t="s">
        <v>201</v>
      </c>
      <c r="SDW18" s="310" t="s">
        <v>201</v>
      </c>
      <c r="SDX18" s="310" t="s">
        <v>201</v>
      </c>
      <c r="SDY18" s="310" t="s">
        <v>201</v>
      </c>
      <c r="SDZ18" s="310" t="s">
        <v>201</v>
      </c>
      <c r="SEA18" s="310" t="s">
        <v>201</v>
      </c>
      <c r="SEB18" s="310" t="s">
        <v>201</v>
      </c>
      <c r="SEC18" s="310" t="s">
        <v>201</v>
      </c>
      <c r="SED18" s="310" t="s">
        <v>201</v>
      </c>
      <c r="SEE18" s="310" t="s">
        <v>201</v>
      </c>
      <c r="SEF18" s="310" t="s">
        <v>201</v>
      </c>
      <c r="SEG18" s="310" t="s">
        <v>201</v>
      </c>
      <c r="SEH18" s="310" t="s">
        <v>201</v>
      </c>
      <c r="SEI18" s="310" t="s">
        <v>201</v>
      </c>
      <c r="SEJ18" s="310" t="s">
        <v>201</v>
      </c>
      <c r="SEK18" s="310" t="s">
        <v>201</v>
      </c>
      <c r="SEL18" s="310" t="s">
        <v>201</v>
      </c>
      <c r="SEM18" s="310" t="s">
        <v>201</v>
      </c>
      <c r="SEN18" s="310" t="s">
        <v>201</v>
      </c>
      <c r="SEO18" s="310" t="s">
        <v>201</v>
      </c>
      <c r="SEP18" s="310" t="s">
        <v>201</v>
      </c>
      <c r="SEQ18" s="310" t="s">
        <v>201</v>
      </c>
      <c r="SER18" s="310" t="s">
        <v>201</v>
      </c>
      <c r="SES18" s="310" t="s">
        <v>201</v>
      </c>
      <c r="SET18" s="310" t="s">
        <v>201</v>
      </c>
      <c r="SEU18" s="310" t="s">
        <v>201</v>
      </c>
      <c r="SEV18" s="310" t="s">
        <v>201</v>
      </c>
      <c r="SEW18" s="310" t="s">
        <v>201</v>
      </c>
      <c r="SEX18" s="310" t="s">
        <v>201</v>
      </c>
      <c r="SEY18" s="310" t="s">
        <v>201</v>
      </c>
      <c r="SEZ18" s="310" t="s">
        <v>201</v>
      </c>
      <c r="SFA18" s="310" t="s">
        <v>201</v>
      </c>
      <c r="SFB18" s="310" t="s">
        <v>201</v>
      </c>
      <c r="SFC18" s="310" t="s">
        <v>201</v>
      </c>
      <c r="SFD18" s="310" t="s">
        <v>201</v>
      </c>
      <c r="SFE18" s="310" t="s">
        <v>201</v>
      </c>
      <c r="SFF18" s="310" t="s">
        <v>201</v>
      </c>
      <c r="SFG18" s="310" t="s">
        <v>201</v>
      </c>
      <c r="SFH18" s="310" t="s">
        <v>201</v>
      </c>
      <c r="SFI18" s="310" t="s">
        <v>201</v>
      </c>
      <c r="SFJ18" s="310" t="s">
        <v>201</v>
      </c>
      <c r="SFK18" s="310" t="s">
        <v>201</v>
      </c>
      <c r="SFL18" s="310" t="s">
        <v>201</v>
      </c>
      <c r="SFM18" s="310" t="s">
        <v>201</v>
      </c>
      <c r="SFN18" s="310" t="s">
        <v>201</v>
      </c>
      <c r="SFO18" s="310" t="s">
        <v>201</v>
      </c>
      <c r="SFP18" s="310" t="s">
        <v>201</v>
      </c>
      <c r="SFQ18" s="310" t="s">
        <v>201</v>
      </c>
      <c r="SFR18" s="310" t="s">
        <v>201</v>
      </c>
      <c r="SFS18" s="310" t="s">
        <v>201</v>
      </c>
      <c r="SFT18" s="310" t="s">
        <v>201</v>
      </c>
      <c r="SFU18" s="310" t="s">
        <v>201</v>
      </c>
      <c r="SFV18" s="310" t="s">
        <v>201</v>
      </c>
      <c r="SFW18" s="310" t="s">
        <v>201</v>
      </c>
      <c r="SFX18" s="310" t="s">
        <v>201</v>
      </c>
      <c r="SFY18" s="310" t="s">
        <v>201</v>
      </c>
      <c r="SFZ18" s="310" t="s">
        <v>201</v>
      </c>
      <c r="SGA18" s="310" t="s">
        <v>201</v>
      </c>
      <c r="SGB18" s="310" t="s">
        <v>201</v>
      </c>
      <c r="SGC18" s="310" t="s">
        <v>201</v>
      </c>
      <c r="SGD18" s="310" t="s">
        <v>201</v>
      </c>
      <c r="SGE18" s="310" t="s">
        <v>201</v>
      </c>
      <c r="SGF18" s="310" t="s">
        <v>201</v>
      </c>
      <c r="SGG18" s="310" t="s">
        <v>201</v>
      </c>
      <c r="SGH18" s="310" t="s">
        <v>201</v>
      </c>
      <c r="SGI18" s="310" t="s">
        <v>201</v>
      </c>
      <c r="SGJ18" s="310" t="s">
        <v>201</v>
      </c>
      <c r="SGK18" s="310" t="s">
        <v>201</v>
      </c>
      <c r="SGL18" s="310" t="s">
        <v>201</v>
      </c>
      <c r="SGM18" s="310" t="s">
        <v>201</v>
      </c>
      <c r="SGN18" s="310" t="s">
        <v>201</v>
      </c>
      <c r="SGO18" s="310" t="s">
        <v>201</v>
      </c>
      <c r="SGP18" s="310" t="s">
        <v>201</v>
      </c>
      <c r="SGQ18" s="310" t="s">
        <v>201</v>
      </c>
      <c r="SGR18" s="310" t="s">
        <v>201</v>
      </c>
      <c r="SGS18" s="310" t="s">
        <v>201</v>
      </c>
      <c r="SGT18" s="310" t="s">
        <v>201</v>
      </c>
      <c r="SGU18" s="310" t="s">
        <v>201</v>
      </c>
      <c r="SGV18" s="310" t="s">
        <v>201</v>
      </c>
      <c r="SGW18" s="310" t="s">
        <v>201</v>
      </c>
      <c r="SGX18" s="310" t="s">
        <v>201</v>
      </c>
      <c r="SGY18" s="310" t="s">
        <v>201</v>
      </c>
      <c r="SGZ18" s="310" t="s">
        <v>201</v>
      </c>
      <c r="SHA18" s="310" t="s">
        <v>201</v>
      </c>
      <c r="SHB18" s="310" t="s">
        <v>201</v>
      </c>
      <c r="SHC18" s="310" t="s">
        <v>201</v>
      </c>
      <c r="SHD18" s="310" t="s">
        <v>201</v>
      </c>
      <c r="SHE18" s="310" t="s">
        <v>201</v>
      </c>
      <c r="SHF18" s="310" t="s">
        <v>201</v>
      </c>
      <c r="SHG18" s="310" t="s">
        <v>201</v>
      </c>
      <c r="SHH18" s="310" t="s">
        <v>201</v>
      </c>
      <c r="SHI18" s="310" t="s">
        <v>201</v>
      </c>
      <c r="SHJ18" s="310" t="s">
        <v>201</v>
      </c>
      <c r="SHK18" s="310" t="s">
        <v>201</v>
      </c>
      <c r="SHL18" s="310" t="s">
        <v>201</v>
      </c>
      <c r="SHM18" s="310" t="s">
        <v>201</v>
      </c>
      <c r="SHN18" s="310" t="s">
        <v>201</v>
      </c>
      <c r="SHO18" s="310" t="s">
        <v>201</v>
      </c>
      <c r="SHP18" s="310" t="s">
        <v>201</v>
      </c>
      <c r="SHQ18" s="310" t="s">
        <v>201</v>
      </c>
      <c r="SHR18" s="310" t="s">
        <v>201</v>
      </c>
      <c r="SHS18" s="310" t="s">
        <v>201</v>
      </c>
      <c r="SHT18" s="310" t="s">
        <v>201</v>
      </c>
      <c r="SHU18" s="310" t="s">
        <v>201</v>
      </c>
      <c r="SHV18" s="310" t="s">
        <v>201</v>
      </c>
      <c r="SHW18" s="310" t="s">
        <v>201</v>
      </c>
      <c r="SHX18" s="310" t="s">
        <v>201</v>
      </c>
      <c r="SHY18" s="310" t="s">
        <v>201</v>
      </c>
      <c r="SHZ18" s="310" t="s">
        <v>201</v>
      </c>
      <c r="SIA18" s="310" t="s">
        <v>201</v>
      </c>
      <c r="SIB18" s="310" t="s">
        <v>201</v>
      </c>
      <c r="SIC18" s="310" t="s">
        <v>201</v>
      </c>
      <c r="SID18" s="310" t="s">
        <v>201</v>
      </c>
      <c r="SIE18" s="310" t="s">
        <v>201</v>
      </c>
      <c r="SIF18" s="310" t="s">
        <v>201</v>
      </c>
      <c r="SIG18" s="310" t="s">
        <v>201</v>
      </c>
      <c r="SIH18" s="310" t="s">
        <v>201</v>
      </c>
      <c r="SII18" s="310" t="s">
        <v>201</v>
      </c>
      <c r="SIJ18" s="310" t="s">
        <v>201</v>
      </c>
      <c r="SIK18" s="310" t="s">
        <v>201</v>
      </c>
      <c r="SIL18" s="310" t="s">
        <v>201</v>
      </c>
      <c r="SIM18" s="310" t="s">
        <v>201</v>
      </c>
      <c r="SIN18" s="310" t="s">
        <v>201</v>
      </c>
      <c r="SIO18" s="310" t="s">
        <v>201</v>
      </c>
      <c r="SIP18" s="310" t="s">
        <v>201</v>
      </c>
      <c r="SIQ18" s="310" t="s">
        <v>201</v>
      </c>
      <c r="SIR18" s="310" t="s">
        <v>201</v>
      </c>
      <c r="SIS18" s="310" t="s">
        <v>201</v>
      </c>
      <c r="SIT18" s="310" t="s">
        <v>201</v>
      </c>
      <c r="SIU18" s="310" t="s">
        <v>201</v>
      </c>
      <c r="SIV18" s="310" t="s">
        <v>201</v>
      </c>
      <c r="SIW18" s="310" t="s">
        <v>201</v>
      </c>
      <c r="SIX18" s="310" t="s">
        <v>201</v>
      </c>
      <c r="SIY18" s="310" t="s">
        <v>201</v>
      </c>
      <c r="SIZ18" s="310" t="s">
        <v>201</v>
      </c>
      <c r="SJA18" s="310" t="s">
        <v>201</v>
      </c>
      <c r="SJB18" s="310" t="s">
        <v>201</v>
      </c>
      <c r="SJC18" s="310" t="s">
        <v>201</v>
      </c>
      <c r="SJD18" s="310" t="s">
        <v>201</v>
      </c>
      <c r="SJE18" s="310" t="s">
        <v>201</v>
      </c>
      <c r="SJF18" s="310" t="s">
        <v>201</v>
      </c>
      <c r="SJG18" s="310" t="s">
        <v>201</v>
      </c>
      <c r="SJH18" s="310" t="s">
        <v>201</v>
      </c>
      <c r="SJI18" s="310" t="s">
        <v>201</v>
      </c>
      <c r="SJJ18" s="310" t="s">
        <v>201</v>
      </c>
      <c r="SJK18" s="310" t="s">
        <v>201</v>
      </c>
      <c r="SJL18" s="310" t="s">
        <v>201</v>
      </c>
      <c r="SJM18" s="310" t="s">
        <v>201</v>
      </c>
      <c r="SJN18" s="310" t="s">
        <v>201</v>
      </c>
      <c r="SJO18" s="310" t="s">
        <v>201</v>
      </c>
      <c r="SJP18" s="310" t="s">
        <v>201</v>
      </c>
      <c r="SJQ18" s="310" t="s">
        <v>201</v>
      </c>
      <c r="SJR18" s="310" t="s">
        <v>201</v>
      </c>
      <c r="SJS18" s="310" t="s">
        <v>201</v>
      </c>
      <c r="SJT18" s="310" t="s">
        <v>201</v>
      </c>
      <c r="SJU18" s="310" t="s">
        <v>201</v>
      </c>
      <c r="SJV18" s="310" t="s">
        <v>201</v>
      </c>
      <c r="SJW18" s="310" t="s">
        <v>201</v>
      </c>
      <c r="SJX18" s="310" t="s">
        <v>201</v>
      </c>
      <c r="SJY18" s="310" t="s">
        <v>201</v>
      </c>
      <c r="SJZ18" s="310" t="s">
        <v>201</v>
      </c>
      <c r="SKA18" s="310" t="s">
        <v>201</v>
      </c>
      <c r="SKB18" s="310" t="s">
        <v>201</v>
      </c>
      <c r="SKC18" s="310" t="s">
        <v>201</v>
      </c>
      <c r="SKD18" s="310" t="s">
        <v>201</v>
      </c>
      <c r="SKE18" s="310" t="s">
        <v>201</v>
      </c>
      <c r="SKF18" s="310" t="s">
        <v>201</v>
      </c>
      <c r="SKG18" s="310" t="s">
        <v>201</v>
      </c>
      <c r="SKH18" s="310" t="s">
        <v>201</v>
      </c>
      <c r="SKI18" s="310" t="s">
        <v>201</v>
      </c>
      <c r="SKJ18" s="310" t="s">
        <v>201</v>
      </c>
      <c r="SKK18" s="310" t="s">
        <v>201</v>
      </c>
      <c r="SKL18" s="310" t="s">
        <v>201</v>
      </c>
      <c r="SKM18" s="310" t="s">
        <v>201</v>
      </c>
      <c r="SKN18" s="310" t="s">
        <v>201</v>
      </c>
      <c r="SKO18" s="310" t="s">
        <v>201</v>
      </c>
      <c r="SKP18" s="310" t="s">
        <v>201</v>
      </c>
      <c r="SKQ18" s="310" t="s">
        <v>201</v>
      </c>
      <c r="SKR18" s="310" t="s">
        <v>201</v>
      </c>
      <c r="SKS18" s="310" t="s">
        <v>201</v>
      </c>
      <c r="SKT18" s="310" t="s">
        <v>201</v>
      </c>
      <c r="SKU18" s="310" t="s">
        <v>201</v>
      </c>
      <c r="SKV18" s="310" t="s">
        <v>201</v>
      </c>
      <c r="SKW18" s="310" t="s">
        <v>201</v>
      </c>
      <c r="SKX18" s="310" t="s">
        <v>201</v>
      </c>
      <c r="SKY18" s="310" t="s">
        <v>201</v>
      </c>
      <c r="SKZ18" s="310" t="s">
        <v>201</v>
      </c>
      <c r="SLA18" s="310" t="s">
        <v>201</v>
      </c>
      <c r="SLB18" s="310" t="s">
        <v>201</v>
      </c>
      <c r="SLC18" s="310" t="s">
        <v>201</v>
      </c>
      <c r="SLD18" s="310" t="s">
        <v>201</v>
      </c>
      <c r="SLE18" s="310" t="s">
        <v>201</v>
      </c>
      <c r="SLF18" s="310" t="s">
        <v>201</v>
      </c>
      <c r="SLG18" s="310" t="s">
        <v>201</v>
      </c>
      <c r="SLH18" s="310" t="s">
        <v>201</v>
      </c>
      <c r="SLI18" s="310" t="s">
        <v>201</v>
      </c>
      <c r="SLJ18" s="310" t="s">
        <v>201</v>
      </c>
      <c r="SLK18" s="310" t="s">
        <v>201</v>
      </c>
      <c r="SLL18" s="310" t="s">
        <v>201</v>
      </c>
      <c r="SLM18" s="310" t="s">
        <v>201</v>
      </c>
      <c r="SLN18" s="310" t="s">
        <v>201</v>
      </c>
      <c r="SLO18" s="310" t="s">
        <v>201</v>
      </c>
      <c r="SLP18" s="310" t="s">
        <v>201</v>
      </c>
      <c r="SLQ18" s="310" t="s">
        <v>201</v>
      </c>
      <c r="SLR18" s="310" t="s">
        <v>201</v>
      </c>
      <c r="SLS18" s="310" t="s">
        <v>201</v>
      </c>
      <c r="SLT18" s="310" t="s">
        <v>201</v>
      </c>
      <c r="SLU18" s="310" t="s">
        <v>201</v>
      </c>
      <c r="SLV18" s="310" t="s">
        <v>201</v>
      </c>
      <c r="SLW18" s="310" t="s">
        <v>201</v>
      </c>
      <c r="SLX18" s="310" t="s">
        <v>201</v>
      </c>
      <c r="SLY18" s="310" t="s">
        <v>201</v>
      </c>
      <c r="SLZ18" s="310" t="s">
        <v>201</v>
      </c>
      <c r="SMA18" s="310" t="s">
        <v>201</v>
      </c>
      <c r="SMB18" s="310" t="s">
        <v>201</v>
      </c>
      <c r="SMC18" s="310" t="s">
        <v>201</v>
      </c>
      <c r="SMD18" s="310" t="s">
        <v>201</v>
      </c>
      <c r="SME18" s="310" t="s">
        <v>201</v>
      </c>
      <c r="SMF18" s="310" t="s">
        <v>201</v>
      </c>
      <c r="SMG18" s="310" t="s">
        <v>201</v>
      </c>
      <c r="SMH18" s="310" t="s">
        <v>201</v>
      </c>
      <c r="SMI18" s="310" t="s">
        <v>201</v>
      </c>
      <c r="SMJ18" s="310" t="s">
        <v>201</v>
      </c>
      <c r="SMK18" s="310" t="s">
        <v>201</v>
      </c>
      <c r="SML18" s="310" t="s">
        <v>201</v>
      </c>
      <c r="SMM18" s="310" t="s">
        <v>201</v>
      </c>
      <c r="SMN18" s="310" t="s">
        <v>201</v>
      </c>
      <c r="SMO18" s="310" t="s">
        <v>201</v>
      </c>
      <c r="SMP18" s="310" t="s">
        <v>201</v>
      </c>
      <c r="SMQ18" s="310" t="s">
        <v>201</v>
      </c>
      <c r="SMR18" s="310" t="s">
        <v>201</v>
      </c>
      <c r="SMS18" s="310" t="s">
        <v>201</v>
      </c>
      <c r="SMT18" s="310" t="s">
        <v>201</v>
      </c>
      <c r="SMU18" s="310" t="s">
        <v>201</v>
      </c>
      <c r="SMV18" s="310" t="s">
        <v>201</v>
      </c>
      <c r="SMW18" s="310" t="s">
        <v>201</v>
      </c>
      <c r="SMX18" s="310" t="s">
        <v>201</v>
      </c>
      <c r="SMY18" s="310" t="s">
        <v>201</v>
      </c>
      <c r="SMZ18" s="310" t="s">
        <v>201</v>
      </c>
      <c r="SNA18" s="310" t="s">
        <v>201</v>
      </c>
      <c r="SNB18" s="310" t="s">
        <v>201</v>
      </c>
      <c r="SNC18" s="310" t="s">
        <v>201</v>
      </c>
      <c r="SND18" s="310" t="s">
        <v>201</v>
      </c>
      <c r="SNE18" s="310" t="s">
        <v>201</v>
      </c>
      <c r="SNF18" s="310" t="s">
        <v>201</v>
      </c>
      <c r="SNG18" s="310" t="s">
        <v>201</v>
      </c>
      <c r="SNH18" s="310" t="s">
        <v>201</v>
      </c>
      <c r="SNI18" s="310" t="s">
        <v>201</v>
      </c>
      <c r="SNJ18" s="310" t="s">
        <v>201</v>
      </c>
      <c r="SNK18" s="310" t="s">
        <v>201</v>
      </c>
      <c r="SNL18" s="310" t="s">
        <v>201</v>
      </c>
      <c r="SNM18" s="310" t="s">
        <v>201</v>
      </c>
      <c r="SNN18" s="310" t="s">
        <v>201</v>
      </c>
      <c r="SNO18" s="310" t="s">
        <v>201</v>
      </c>
      <c r="SNP18" s="310" t="s">
        <v>201</v>
      </c>
      <c r="SNQ18" s="310" t="s">
        <v>201</v>
      </c>
      <c r="SNR18" s="310" t="s">
        <v>201</v>
      </c>
      <c r="SNS18" s="310" t="s">
        <v>201</v>
      </c>
      <c r="SNT18" s="310" t="s">
        <v>201</v>
      </c>
      <c r="SNU18" s="310" t="s">
        <v>201</v>
      </c>
      <c r="SNV18" s="310" t="s">
        <v>201</v>
      </c>
      <c r="SNW18" s="310" t="s">
        <v>201</v>
      </c>
      <c r="SNX18" s="310" t="s">
        <v>201</v>
      </c>
      <c r="SNY18" s="310" t="s">
        <v>201</v>
      </c>
      <c r="SNZ18" s="310" t="s">
        <v>201</v>
      </c>
      <c r="SOA18" s="310" t="s">
        <v>201</v>
      </c>
      <c r="SOB18" s="310" t="s">
        <v>201</v>
      </c>
      <c r="SOC18" s="310" t="s">
        <v>201</v>
      </c>
      <c r="SOD18" s="310" t="s">
        <v>201</v>
      </c>
      <c r="SOE18" s="310" t="s">
        <v>201</v>
      </c>
      <c r="SOF18" s="310" t="s">
        <v>201</v>
      </c>
      <c r="SOG18" s="310" t="s">
        <v>201</v>
      </c>
      <c r="SOH18" s="310" t="s">
        <v>201</v>
      </c>
      <c r="SOI18" s="310" t="s">
        <v>201</v>
      </c>
      <c r="SOJ18" s="310" t="s">
        <v>201</v>
      </c>
      <c r="SOK18" s="310" t="s">
        <v>201</v>
      </c>
      <c r="SOL18" s="310" t="s">
        <v>201</v>
      </c>
      <c r="SOM18" s="310" t="s">
        <v>201</v>
      </c>
      <c r="SON18" s="310" t="s">
        <v>201</v>
      </c>
      <c r="SOO18" s="310" t="s">
        <v>201</v>
      </c>
      <c r="SOP18" s="310" t="s">
        <v>201</v>
      </c>
      <c r="SOQ18" s="310" t="s">
        <v>201</v>
      </c>
      <c r="SOR18" s="310" t="s">
        <v>201</v>
      </c>
      <c r="SOS18" s="310" t="s">
        <v>201</v>
      </c>
      <c r="SOT18" s="310" t="s">
        <v>201</v>
      </c>
      <c r="SOU18" s="310" t="s">
        <v>201</v>
      </c>
      <c r="SOV18" s="310" t="s">
        <v>201</v>
      </c>
      <c r="SOW18" s="310" t="s">
        <v>201</v>
      </c>
      <c r="SOX18" s="310" t="s">
        <v>201</v>
      </c>
      <c r="SOY18" s="310" t="s">
        <v>201</v>
      </c>
      <c r="SOZ18" s="310" t="s">
        <v>201</v>
      </c>
      <c r="SPA18" s="310" t="s">
        <v>201</v>
      </c>
      <c r="SPB18" s="310" t="s">
        <v>201</v>
      </c>
      <c r="SPC18" s="310" t="s">
        <v>201</v>
      </c>
      <c r="SPD18" s="310" t="s">
        <v>201</v>
      </c>
      <c r="SPE18" s="310" t="s">
        <v>201</v>
      </c>
      <c r="SPF18" s="310" t="s">
        <v>201</v>
      </c>
      <c r="SPG18" s="310" t="s">
        <v>201</v>
      </c>
      <c r="SPH18" s="310" t="s">
        <v>201</v>
      </c>
      <c r="SPI18" s="310" t="s">
        <v>201</v>
      </c>
      <c r="SPJ18" s="310" t="s">
        <v>201</v>
      </c>
      <c r="SPK18" s="310" t="s">
        <v>201</v>
      </c>
      <c r="SPL18" s="310" t="s">
        <v>201</v>
      </c>
      <c r="SPM18" s="310" t="s">
        <v>201</v>
      </c>
      <c r="SPN18" s="310" t="s">
        <v>201</v>
      </c>
      <c r="SPO18" s="310" t="s">
        <v>201</v>
      </c>
      <c r="SPP18" s="310" t="s">
        <v>201</v>
      </c>
      <c r="SPQ18" s="310" t="s">
        <v>201</v>
      </c>
      <c r="SPR18" s="310" t="s">
        <v>201</v>
      </c>
      <c r="SPS18" s="310" t="s">
        <v>201</v>
      </c>
      <c r="SPT18" s="310" t="s">
        <v>201</v>
      </c>
      <c r="SPU18" s="310" t="s">
        <v>201</v>
      </c>
      <c r="SPV18" s="310" t="s">
        <v>201</v>
      </c>
      <c r="SPW18" s="310" t="s">
        <v>201</v>
      </c>
      <c r="SPX18" s="310" t="s">
        <v>201</v>
      </c>
      <c r="SPY18" s="310" t="s">
        <v>201</v>
      </c>
      <c r="SPZ18" s="310" t="s">
        <v>201</v>
      </c>
      <c r="SQA18" s="310" t="s">
        <v>201</v>
      </c>
      <c r="SQB18" s="310" t="s">
        <v>201</v>
      </c>
      <c r="SQC18" s="310" t="s">
        <v>201</v>
      </c>
      <c r="SQD18" s="310" t="s">
        <v>201</v>
      </c>
      <c r="SQE18" s="310" t="s">
        <v>201</v>
      </c>
      <c r="SQF18" s="310" t="s">
        <v>201</v>
      </c>
      <c r="SQG18" s="310" t="s">
        <v>201</v>
      </c>
      <c r="SQH18" s="310" t="s">
        <v>201</v>
      </c>
      <c r="SQI18" s="310" t="s">
        <v>201</v>
      </c>
      <c r="SQJ18" s="310" t="s">
        <v>201</v>
      </c>
      <c r="SQK18" s="310" t="s">
        <v>201</v>
      </c>
      <c r="SQL18" s="310" t="s">
        <v>201</v>
      </c>
      <c r="SQM18" s="310" t="s">
        <v>201</v>
      </c>
      <c r="SQN18" s="310" t="s">
        <v>201</v>
      </c>
      <c r="SQO18" s="310" t="s">
        <v>201</v>
      </c>
      <c r="SQP18" s="310" t="s">
        <v>201</v>
      </c>
      <c r="SQQ18" s="310" t="s">
        <v>201</v>
      </c>
      <c r="SQR18" s="310" t="s">
        <v>201</v>
      </c>
      <c r="SQS18" s="310" t="s">
        <v>201</v>
      </c>
      <c r="SQT18" s="310" t="s">
        <v>201</v>
      </c>
      <c r="SQU18" s="310" t="s">
        <v>201</v>
      </c>
      <c r="SQV18" s="310" t="s">
        <v>201</v>
      </c>
      <c r="SQW18" s="310" t="s">
        <v>201</v>
      </c>
      <c r="SQX18" s="310" t="s">
        <v>201</v>
      </c>
      <c r="SQY18" s="310" t="s">
        <v>201</v>
      </c>
      <c r="SQZ18" s="310" t="s">
        <v>201</v>
      </c>
      <c r="SRA18" s="310" t="s">
        <v>201</v>
      </c>
      <c r="SRB18" s="310" t="s">
        <v>201</v>
      </c>
      <c r="SRC18" s="310" t="s">
        <v>201</v>
      </c>
      <c r="SRD18" s="310" t="s">
        <v>201</v>
      </c>
      <c r="SRE18" s="310" t="s">
        <v>201</v>
      </c>
      <c r="SRF18" s="310" t="s">
        <v>201</v>
      </c>
      <c r="SRG18" s="310" t="s">
        <v>201</v>
      </c>
      <c r="SRH18" s="310" t="s">
        <v>201</v>
      </c>
      <c r="SRI18" s="310" t="s">
        <v>201</v>
      </c>
      <c r="SRJ18" s="310" t="s">
        <v>201</v>
      </c>
      <c r="SRK18" s="310" t="s">
        <v>201</v>
      </c>
      <c r="SRL18" s="310" t="s">
        <v>201</v>
      </c>
      <c r="SRM18" s="310" t="s">
        <v>201</v>
      </c>
      <c r="SRN18" s="310" t="s">
        <v>201</v>
      </c>
      <c r="SRO18" s="310" t="s">
        <v>201</v>
      </c>
      <c r="SRP18" s="310" t="s">
        <v>201</v>
      </c>
      <c r="SRQ18" s="310" t="s">
        <v>201</v>
      </c>
      <c r="SRR18" s="310" t="s">
        <v>201</v>
      </c>
      <c r="SRS18" s="310" t="s">
        <v>201</v>
      </c>
      <c r="SRT18" s="310" t="s">
        <v>201</v>
      </c>
      <c r="SRU18" s="310" t="s">
        <v>201</v>
      </c>
      <c r="SRV18" s="310" t="s">
        <v>201</v>
      </c>
      <c r="SRW18" s="310" t="s">
        <v>201</v>
      </c>
      <c r="SRX18" s="310" t="s">
        <v>201</v>
      </c>
      <c r="SRY18" s="310" t="s">
        <v>201</v>
      </c>
      <c r="SRZ18" s="310" t="s">
        <v>201</v>
      </c>
      <c r="SSA18" s="310" t="s">
        <v>201</v>
      </c>
      <c r="SSB18" s="310" t="s">
        <v>201</v>
      </c>
      <c r="SSC18" s="310" t="s">
        <v>201</v>
      </c>
      <c r="SSD18" s="310" t="s">
        <v>201</v>
      </c>
      <c r="SSE18" s="310" t="s">
        <v>201</v>
      </c>
      <c r="SSF18" s="310" t="s">
        <v>201</v>
      </c>
      <c r="SSG18" s="310" t="s">
        <v>201</v>
      </c>
      <c r="SSH18" s="310" t="s">
        <v>201</v>
      </c>
      <c r="SSI18" s="310" t="s">
        <v>201</v>
      </c>
      <c r="SSJ18" s="310" t="s">
        <v>201</v>
      </c>
      <c r="SSK18" s="310" t="s">
        <v>201</v>
      </c>
      <c r="SSL18" s="310" t="s">
        <v>201</v>
      </c>
      <c r="SSM18" s="310" t="s">
        <v>201</v>
      </c>
      <c r="SSN18" s="310" t="s">
        <v>201</v>
      </c>
      <c r="SSO18" s="310" t="s">
        <v>201</v>
      </c>
      <c r="SSP18" s="310" t="s">
        <v>201</v>
      </c>
      <c r="SSQ18" s="310" t="s">
        <v>201</v>
      </c>
      <c r="SSR18" s="310" t="s">
        <v>201</v>
      </c>
      <c r="SSS18" s="310" t="s">
        <v>201</v>
      </c>
      <c r="SST18" s="310" t="s">
        <v>201</v>
      </c>
      <c r="SSU18" s="310" t="s">
        <v>201</v>
      </c>
      <c r="SSV18" s="310" t="s">
        <v>201</v>
      </c>
      <c r="SSW18" s="310" t="s">
        <v>201</v>
      </c>
      <c r="SSX18" s="310" t="s">
        <v>201</v>
      </c>
      <c r="SSY18" s="310" t="s">
        <v>201</v>
      </c>
      <c r="SSZ18" s="310" t="s">
        <v>201</v>
      </c>
      <c r="STA18" s="310" t="s">
        <v>201</v>
      </c>
      <c r="STB18" s="310" t="s">
        <v>201</v>
      </c>
      <c r="STC18" s="310" t="s">
        <v>201</v>
      </c>
      <c r="STD18" s="310" t="s">
        <v>201</v>
      </c>
      <c r="STE18" s="310" t="s">
        <v>201</v>
      </c>
      <c r="STF18" s="310" t="s">
        <v>201</v>
      </c>
      <c r="STG18" s="310" t="s">
        <v>201</v>
      </c>
      <c r="STH18" s="310" t="s">
        <v>201</v>
      </c>
      <c r="STI18" s="310" t="s">
        <v>201</v>
      </c>
      <c r="STJ18" s="310" t="s">
        <v>201</v>
      </c>
      <c r="STK18" s="310" t="s">
        <v>201</v>
      </c>
      <c r="STL18" s="310" t="s">
        <v>201</v>
      </c>
      <c r="STM18" s="310" t="s">
        <v>201</v>
      </c>
      <c r="STN18" s="310" t="s">
        <v>201</v>
      </c>
      <c r="STO18" s="310" t="s">
        <v>201</v>
      </c>
      <c r="STP18" s="310" t="s">
        <v>201</v>
      </c>
      <c r="STQ18" s="310" t="s">
        <v>201</v>
      </c>
      <c r="STR18" s="310" t="s">
        <v>201</v>
      </c>
      <c r="STS18" s="310" t="s">
        <v>201</v>
      </c>
      <c r="STT18" s="310" t="s">
        <v>201</v>
      </c>
      <c r="STU18" s="310" t="s">
        <v>201</v>
      </c>
      <c r="STV18" s="310" t="s">
        <v>201</v>
      </c>
      <c r="STW18" s="310" t="s">
        <v>201</v>
      </c>
      <c r="STX18" s="310" t="s">
        <v>201</v>
      </c>
      <c r="STY18" s="310" t="s">
        <v>201</v>
      </c>
      <c r="STZ18" s="310" t="s">
        <v>201</v>
      </c>
      <c r="SUA18" s="310" t="s">
        <v>201</v>
      </c>
      <c r="SUB18" s="310" t="s">
        <v>201</v>
      </c>
      <c r="SUC18" s="310" t="s">
        <v>201</v>
      </c>
      <c r="SUD18" s="310" t="s">
        <v>201</v>
      </c>
      <c r="SUE18" s="310" t="s">
        <v>201</v>
      </c>
      <c r="SUF18" s="310" t="s">
        <v>201</v>
      </c>
      <c r="SUG18" s="310" t="s">
        <v>201</v>
      </c>
      <c r="SUH18" s="310" t="s">
        <v>201</v>
      </c>
      <c r="SUI18" s="310" t="s">
        <v>201</v>
      </c>
      <c r="SUJ18" s="310" t="s">
        <v>201</v>
      </c>
      <c r="SUK18" s="310" t="s">
        <v>201</v>
      </c>
      <c r="SUL18" s="310" t="s">
        <v>201</v>
      </c>
      <c r="SUM18" s="310" t="s">
        <v>201</v>
      </c>
      <c r="SUN18" s="310" t="s">
        <v>201</v>
      </c>
      <c r="SUO18" s="310" t="s">
        <v>201</v>
      </c>
      <c r="SUP18" s="310" t="s">
        <v>201</v>
      </c>
      <c r="SUQ18" s="310" t="s">
        <v>201</v>
      </c>
      <c r="SUR18" s="310" t="s">
        <v>201</v>
      </c>
      <c r="SUS18" s="310" t="s">
        <v>201</v>
      </c>
      <c r="SUT18" s="310" t="s">
        <v>201</v>
      </c>
      <c r="SUU18" s="310" t="s">
        <v>201</v>
      </c>
      <c r="SUV18" s="310" t="s">
        <v>201</v>
      </c>
      <c r="SUW18" s="310" t="s">
        <v>201</v>
      </c>
      <c r="SUX18" s="310" t="s">
        <v>201</v>
      </c>
      <c r="SUY18" s="310" t="s">
        <v>201</v>
      </c>
      <c r="SUZ18" s="310" t="s">
        <v>201</v>
      </c>
      <c r="SVA18" s="310" t="s">
        <v>201</v>
      </c>
      <c r="SVB18" s="310" t="s">
        <v>201</v>
      </c>
      <c r="SVC18" s="310" t="s">
        <v>201</v>
      </c>
      <c r="SVD18" s="310" t="s">
        <v>201</v>
      </c>
      <c r="SVE18" s="310" t="s">
        <v>201</v>
      </c>
      <c r="SVF18" s="310" t="s">
        <v>201</v>
      </c>
      <c r="SVG18" s="310" t="s">
        <v>201</v>
      </c>
      <c r="SVH18" s="310" t="s">
        <v>201</v>
      </c>
      <c r="SVI18" s="310" t="s">
        <v>201</v>
      </c>
      <c r="SVJ18" s="310" t="s">
        <v>201</v>
      </c>
      <c r="SVK18" s="310" t="s">
        <v>201</v>
      </c>
      <c r="SVL18" s="310" t="s">
        <v>201</v>
      </c>
      <c r="SVM18" s="310" t="s">
        <v>201</v>
      </c>
      <c r="SVN18" s="310" t="s">
        <v>201</v>
      </c>
      <c r="SVO18" s="310" t="s">
        <v>201</v>
      </c>
      <c r="SVP18" s="310" t="s">
        <v>201</v>
      </c>
      <c r="SVQ18" s="310" t="s">
        <v>201</v>
      </c>
      <c r="SVR18" s="310" t="s">
        <v>201</v>
      </c>
      <c r="SVS18" s="310" t="s">
        <v>201</v>
      </c>
      <c r="SVT18" s="310" t="s">
        <v>201</v>
      </c>
      <c r="SVU18" s="310" t="s">
        <v>201</v>
      </c>
      <c r="SVV18" s="310" t="s">
        <v>201</v>
      </c>
      <c r="SVW18" s="310" t="s">
        <v>201</v>
      </c>
      <c r="SVX18" s="310" t="s">
        <v>201</v>
      </c>
      <c r="SVY18" s="310" t="s">
        <v>201</v>
      </c>
      <c r="SVZ18" s="310" t="s">
        <v>201</v>
      </c>
      <c r="SWA18" s="310" t="s">
        <v>201</v>
      </c>
      <c r="SWB18" s="310" t="s">
        <v>201</v>
      </c>
      <c r="SWC18" s="310" t="s">
        <v>201</v>
      </c>
      <c r="SWD18" s="310" t="s">
        <v>201</v>
      </c>
      <c r="SWE18" s="310" t="s">
        <v>201</v>
      </c>
      <c r="SWF18" s="310" t="s">
        <v>201</v>
      </c>
      <c r="SWG18" s="310" t="s">
        <v>201</v>
      </c>
      <c r="SWH18" s="310" t="s">
        <v>201</v>
      </c>
      <c r="SWI18" s="310" t="s">
        <v>201</v>
      </c>
      <c r="SWJ18" s="310" t="s">
        <v>201</v>
      </c>
      <c r="SWK18" s="310" t="s">
        <v>201</v>
      </c>
      <c r="SWL18" s="310" t="s">
        <v>201</v>
      </c>
      <c r="SWM18" s="310" t="s">
        <v>201</v>
      </c>
      <c r="SWN18" s="310" t="s">
        <v>201</v>
      </c>
      <c r="SWO18" s="310" t="s">
        <v>201</v>
      </c>
      <c r="SWP18" s="310" t="s">
        <v>201</v>
      </c>
      <c r="SWQ18" s="310" t="s">
        <v>201</v>
      </c>
      <c r="SWR18" s="310" t="s">
        <v>201</v>
      </c>
      <c r="SWS18" s="310" t="s">
        <v>201</v>
      </c>
      <c r="SWT18" s="310" t="s">
        <v>201</v>
      </c>
      <c r="SWU18" s="310" t="s">
        <v>201</v>
      </c>
      <c r="SWV18" s="310" t="s">
        <v>201</v>
      </c>
      <c r="SWW18" s="310" t="s">
        <v>201</v>
      </c>
      <c r="SWX18" s="310" t="s">
        <v>201</v>
      </c>
      <c r="SWY18" s="310" t="s">
        <v>201</v>
      </c>
      <c r="SWZ18" s="310" t="s">
        <v>201</v>
      </c>
      <c r="SXA18" s="310" t="s">
        <v>201</v>
      </c>
      <c r="SXB18" s="310" t="s">
        <v>201</v>
      </c>
      <c r="SXC18" s="310" t="s">
        <v>201</v>
      </c>
      <c r="SXD18" s="310" t="s">
        <v>201</v>
      </c>
      <c r="SXE18" s="310" t="s">
        <v>201</v>
      </c>
      <c r="SXF18" s="310" t="s">
        <v>201</v>
      </c>
      <c r="SXG18" s="310" t="s">
        <v>201</v>
      </c>
      <c r="SXH18" s="310" t="s">
        <v>201</v>
      </c>
      <c r="SXI18" s="310" t="s">
        <v>201</v>
      </c>
      <c r="SXJ18" s="310" t="s">
        <v>201</v>
      </c>
      <c r="SXK18" s="310" t="s">
        <v>201</v>
      </c>
      <c r="SXL18" s="310" t="s">
        <v>201</v>
      </c>
      <c r="SXM18" s="310" t="s">
        <v>201</v>
      </c>
      <c r="SXN18" s="310" t="s">
        <v>201</v>
      </c>
      <c r="SXO18" s="310" t="s">
        <v>201</v>
      </c>
      <c r="SXP18" s="310" t="s">
        <v>201</v>
      </c>
      <c r="SXQ18" s="310" t="s">
        <v>201</v>
      </c>
      <c r="SXR18" s="310" t="s">
        <v>201</v>
      </c>
      <c r="SXS18" s="310" t="s">
        <v>201</v>
      </c>
      <c r="SXT18" s="310" t="s">
        <v>201</v>
      </c>
      <c r="SXU18" s="310" t="s">
        <v>201</v>
      </c>
      <c r="SXV18" s="310" t="s">
        <v>201</v>
      </c>
      <c r="SXW18" s="310" t="s">
        <v>201</v>
      </c>
      <c r="SXX18" s="310" t="s">
        <v>201</v>
      </c>
      <c r="SXY18" s="310" t="s">
        <v>201</v>
      </c>
      <c r="SXZ18" s="310" t="s">
        <v>201</v>
      </c>
      <c r="SYA18" s="310" t="s">
        <v>201</v>
      </c>
      <c r="SYB18" s="310" t="s">
        <v>201</v>
      </c>
      <c r="SYC18" s="310" t="s">
        <v>201</v>
      </c>
      <c r="SYD18" s="310" t="s">
        <v>201</v>
      </c>
      <c r="SYE18" s="310" t="s">
        <v>201</v>
      </c>
      <c r="SYF18" s="310" t="s">
        <v>201</v>
      </c>
      <c r="SYG18" s="310" t="s">
        <v>201</v>
      </c>
      <c r="SYH18" s="310" t="s">
        <v>201</v>
      </c>
      <c r="SYI18" s="310" t="s">
        <v>201</v>
      </c>
      <c r="SYJ18" s="310" t="s">
        <v>201</v>
      </c>
      <c r="SYK18" s="310" t="s">
        <v>201</v>
      </c>
      <c r="SYL18" s="310" t="s">
        <v>201</v>
      </c>
      <c r="SYM18" s="310" t="s">
        <v>201</v>
      </c>
      <c r="SYN18" s="310" t="s">
        <v>201</v>
      </c>
      <c r="SYO18" s="310" t="s">
        <v>201</v>
      </c>
      <c r="SYP18" s="310" t="s">
        <v>201</v>
      </c>
      <c r="SYQ18" s="310" t="s">
        <v>201</v>
      </c>
      <c r="SYR18" s="310" t="s">
        <v>201</v>
      </c>
      <c r="SYS18" s="310" t="s">
        <v>201</v>
      </c>
      <c r="SYT18" s="310" t="s">
        <v>201</v>
      </c>
      <c r="SYU18" s="310" t="s">
        <v>201</v>
      </c>
      <c r="SYV18" s="310" t="s">
        <v>201</v>
      </c>
      <c r="SYW18" s="310" t="s">
        <v>201</v>
      </c>
      <c r="SYX18" s="310" t="s">
        <v>201</v>
      </c>
      <c r="SYY18" s="310" t="s">
        <v>201</v>
      </c>
      <c r="SYZ18" s="310" t="s">
        <v>201</v>
      </c>
      <c r="SZA18" s="310" t="s">
        <v>201</v>
      </c>
      <c r="SZB18" s="310" t="s">
        <v>201</v>
      </c>
      <c r="SZC18" s="310" t="s">
        <v>201</v>
      </c>
      <c r="SZD18" s="310" t="s">
        <v>201</v>
      </c>
      <c r="SZE18" s="310" t="s">
        <v>201</v>
      </c>
      <c r="SZF18" s="310" t="s">
        <v>201</v>
      </c>
      <c r="SZG18" s="310" t="s">
        <v>201</v>
      </c>
      <c r="SZH18" s="310" t="s">
        <v>201</v>
      </c>
      <c r="SZI18" s="310" t="s">
        <v>201</v>
      </c>
      <c r="SZJ18" s="310" t="s">
        <v>201</v>
      </c>
      <c r="SZK18" s="310" t="s">
        <v>201</v>
      </c>
      <c r="SZL18" s="310" t="s">
        <v>201</v>
      </c>
      <c r="SZM18" s="310" t="s">
        <v>201</v>
      </c>
      <c r="SZN18" s="310" t="s">
        <v>201</v>
      </c>
      <c r="SZO18" s="310" t="s">
        <v>201</v>
      </c>
      <c r="SZP18" s="310" t="s">
        <v>201</v>
      </c>
      <c r="SZQ18" s="310" t="s">
        <v>201</v>
      </c>
      <c r="SZR18" s="310" t="s">
        <v>201</v>
      </c>
      <c r="SZS18" s="310" t="s">
        <v>201</v>
      </c>
      <c r="SZT18" s="310" t="s">
        <v>201</v>
      </c>
      <c r="SZU18" s="310" t="s">
        <v>201</v>
      </c>
      <c r="SZV18" s="310" t="s">
        <v>201</v>
      </c>
      <c r="SZW18" s="310" t="s">
        <v>201</v>
      </c>
      <c r="SZX18" s="310" t="s">
        <v>201</v>
      </c>
      <c r="SZY18" s="310" t="s">
        <v>201</v>
      </c>
      <c r="SZZ18" s="310" t="s">
        <v>201</v>
      </c>
      <c r="TAA18" s="310" t="s">
        <v>201</v>
      </c>
      <c r="TAB18" s="310" t="s">
        <v>201</v>
      </c>
      <c r="TAC18" s="310" t="s">
        <v>201</v>
      </c>
      <c r="TAD18" s="310" t="s">
        <v>201</v>
      </c>
      <c r="TAE18" s="310" t="s">
        <v>201</v>
      </c>
      <c r="TAF18" s="310" t="s">
        <v>201</v>
      </c>
      <c r="TAG18" s="310" t="s">
        <v>201</v>
      </c>
      <c r="TAH18" s="310" t="s">
        <v>201</v>
      </c>
      <c r="TAI18" s="310" t="s">
        <v>201</v>
      </c>
      <c r="TAJ18" s="310" t="s">
        <v>201</v>
      </c>
      <c r="TAK18" s="310" t="s">
        <v>201</v>
      </c>
      <c r="TAL18" s="310" t="s">
        <v>201</v>
      </c>
      <c r="TAM18" s="310" t="s">
        <v>201</v>
      </c>
      <c r="TAN18" s="310" t="s">
        <v>201</v>
      </c>
      <c r="TAO18" s="310" t="s">
        <v>201</v>
      </c>
      <c r="TAP18" s="310" t="s">
        <v>201</v>
      </c>
      <c r="TAQ18" s="310" t="s">
        <v>201</v>
      </c>
      <c r="TAR18" s="310" t="s">
        <v>201</v>
      </c>
      <c r="TAS18" s="310" t="s">
        <v>201</v>
      </c>
      <c r="TAT18" s="310" t="s">
        <v>201</v>
      </c>
      <c r="TAU18" s="310" t="s">
        <v>201</v>
      </c>
      <c r="TAV18" s="310" t="s">
        <v>201</v>
      </c>
      <c r="TAW18" s="310" t="s">
        <v>201</v>
      </c>
      <c r="TAX18" s="310" t="s">
        <v>201</v>
      </c>
      <c r="TAY18" s="310" t="s">
        <v>201</v>
      </c>
      <c r="TAZ18" s="310" t="s">
        <v>201</v>
      </c>
      <c r="TBA18" s="310" t="s">
        <v>201</v>
      </c>
      <c r="TBB18" s="310" t="s">
        <v>201</v>
      </c>
      <c r="TBC18" s="310" t="s">
        <v>201</v>
      </c>
      <c r="TBD18" s="310" t="s">
        <v>201</v>
      </c>
      <c r="TBE18" s="310" t="s">
        <v>201</v>
      </c>
      <c r="TBF18" s="310" t="s">
        <v>201</v>
      </c>
      <c r="TBG18" s="310" t="s">
        <v>201</v>
      </c>
      <c r="TBH18" s="310" t="s">
        <v>201</v>
      </c>
      <c r="TBI18" s="310" t="s">
        <v>201</v>
      </c>
      <c r="TBJ18" s="310" t="s">
        <v>201</v>
      </c>
      <c r="TBK18" s="310" t="s">
        <v>201</v>
      </c>
      <c r="TBL18" s="310" t="s">
        <v>201</v>
      </c>
      <c r="TBM18" s="310" t="s">
        <v>201</v>
      </c>
      <c r="TBN18" s="310" t="s">
        <v>201</v>
      </c>
      <c r="TBO18" s="310" t="s">
        <v>201</v>
      </c>
      <c r="TBP18" s="310" t="s">
        <v>201</v>
      </c>
      <c r="TBQ18" s="310" t="s">
        <v>201</v>
      </c>
      <c r="TBR18" s="310" t="s">
        <v>201</v>
      </c>
      <c r="TBS18" s="310" t="s">
        <v>201</v>
      </c>
      <c r="TBT18" s="310" t="s">
        <v>201</v>
      </c>
      <c r="TBU18" s="310" t="s">
        <v>201</v>
      </c>
      <c r="TBV18" s="310" t="s">
        <v>201</v>
      </c>
      <c r="TBW18" s="310" t="s">
        <v>201</v>
      </c>
      <c r="TBX18" s="310" t="s">
        <v>201</v>
      </c>
      <c r="TBY18" s="310" t="s">
        <v>201</v>
      </c>
      <c r="TBZ18" s="310" t="s">
        <v>201</v>
      </c>
      <c r="TCA18" s="310" t="s">
        <v>201</v>
      </c>
      <c r="TCB18" s="310" t="s">
        <v>201</v>
      </c>
      <c r="TCC18" s="310" t="s">
        <v>201</v>
      </c>
      <c r="TCD18" s="310" t="s">
        <v>201</v>
      </c>
      <c r="TCE18" s="310" t="s">
        <v>201</v>
      </c>
      <c r="TCF18" s="310" t="s">
        <v>201</v>
      </c>
      <c r="TCG18" s="310" t="s">
        <v>201</v>
      </c>
      <c r="TCH18" s="310" t="s">
        <v>201</v>
      </c>
      <c r="TCI18" s="310" t="s">
        <v>201</v>
      </c>
      <c r="TCJ18" s="310" t="s">
        <v>201</v>
      </c>
      <c r="TCK18" s="310" t="s">
        <v>201</v>
      </c>
      <c r="TCL18" s="310" t="s">
        <v>201</v>
      </c>
      <c r="TCM18" s="310" t="s">
        <v>201</v>
      </c>
      <c r="TCN18" s="310" t="s">
        <v>201</v>
      </c>
      <c r="TCO18" s="310" t="s">
        <v>201</v>
      </c>
      <c r="TCP18" s="310" t="s">
        <v>201</v>
      </c>
      <c r="TCQ18" s="310" t="s">
        <v>201</v>
      </c>
      <c r="TCR18" s="310" t="s">
        <v>201</v>
      </c>
      <c r="TCS18" s="310" t="s">
        <v>201</v>
      </c>
      <c r="TCT18" s="310" t="s">
        <v>201</v>
      </c>
      <c r="TCU18" s="310" t="s">
        <v>201</v>
      </c>
      <c r="TCV18" s="310" t="s">
        <v>201</v>
      </c>
      <c r="TCW18" s="310" t="s">
        <v>201</v>
      </c>
      <c r="TCX18" s="310" t="s">
        <v>201</v>
      </c>
      <c r="TCY18" s="310" t="s">
        <v>201</v>
      </c>
      <c r="TCZ18" s="310" t="s">
        <v>201</v>
      </c>
      <c r="TDA18" s="310" t="s">
        <v>201</v>
      </c>
      <c r="TDB18" s="310" t="s">
        <v>201</v>
      </c>
      <c r="TDC18" s="310" t="s">
        <v>201</v>
      </c>
      <c r="TDD18" s="310" t="s">
        <v>201</v>
      </c>
      <c r="TDE18" s="310" t="s">
        <v>201</v>
      </c>
      <c r="TDF18" s="310" t="s">
        <v>201</v>
      </c>
      <c r="TDG18" s="310" t="s">
        <v>201</v>
      </c>
      <c r="TDH18" s="310" t="s">
        <v>201</v>
      </c>
      <c r="TDI18" s="310" t="s">
        <v>201</v>
      </c>
      <c r="TDJ18" s="310" t="s">
        <v>201</v>
      </c>
      <c r="TDK18" s="310" t="s">
        <v>201</v>
      </c>
      <c r="TDL18" s="310" t="s">
        <v>201</v>
      </c>
      <c r="TDM18" s="310" t="s">
        <v>201</v>
      </c>
      <c r="TDN18" s="310" t="s">
        <v>201</v>
      </c>
      <c r="TDO18" s="310" t="s">
        <v>201</v>
      </c>
      <c r="TDP18" s="310" t="s">
        <v>201</v>
      </c>
      <c r="TDQ18" s="310" t="s">
        <v>201</v>
      </c>
      <c r="TDR18" s="310" t="s">
        <v>201</v>
      </c>
      <c r="TDS18" s="310" t="s">
        <v>201</v>
      </c>
      <c r="TDT18" s="310" t="s">
        <v>201</v>
      </c>
      <c r="TDU18" s="310" t="s">
        <v>201</v>
      </c>
      <c r="TDV18" s="310" t="s">
        <v>201</v>
      </c>
      <c r="TDW18" s="310" t="s">
        <v>201</v>
      </c>
      <c r="TDX18" s="310" t="s">
        <v>201</v>
      </c>
      <c r="TDY18" s="310" t="s">
        <v>201</v>
      </c>
      <c r="TDZ18" s="310" t="s">
        <v>201</v>
      </c>
      <c r="TEA18" s="310" t="s">
        <v>201</v>
      </c>
      <c r="TEB18" s="310" t="s">
        <v>201</v>
      </c>
      <c r="TEC18" s="310" t="s">
        <v>201</v>
      </c>
      <c r="TED18" s="310" t="s">
        <v>201</v>
      </c>
      <c r="TEE18" s="310" t="s">
        <v>201</v>
      </c>
      <c r="TEF18" s="310" t="s">
        <v>201</v>
      </c>
      <c r="TEG18" s="310" t="s">
        <v>201</v>
      </c>
      <c r="TEH18" s="310" t="s">
        <v>201</v>
      </c>
      <c r="TEI18" s="310" t="s">
        <v>201</v>
      </c>
      <c r="TEJ18" s="310" t="s">
        <v>201</v>
      </c>
      <c r="TEK18" s="310" t="s">
        <v>201</v>
      </c>
      <c r="TEL18" s="310" t="s">
        <v>201</v>
      </c>
      <c r="TEM18" s="310" t="s">
        <v>201</v>
      </c>
      <c r="TEN18" s="310" t="s">
        <v>201</v>
      </c>
      <c r="TEO18" s="310" t="s">
        <v>201</v>
      </c>
      <c r="TEP18" s="310" t="s">
        <v>201</v>
      </c>
      <c r="TEQ18" s="310" t="s">
        <v>201</v>
      </c>
      <c r="TER18" s="310" t="s">
        <v>201</v>
      </c>
      <c r="TES18" s="310" t="s">
        <v>201</v>
      </c>
      <c r="TET18" s="310" t="s">
        <v>201</v>
      </c>
      <c r="TEU18" s="310" t="s">
        <v>201</v>
      </c>
      <c r="TEV18" s="310" t="s">
        <v>201</v>
      </c>
      <c r="TEW18" s="310" t="s">
        <v>201</v>
      </c>
      <c r="TEX18" s="310" t="s">
        <v>201</v>
      </c>
      <c r="TEY18" s="310" t="s">
        <v>201</v>
      </c>
      <c r="TEZ18" s="310" t="s">
        <v>201</v>
      </c>
      <c r="TFA18" s="310" t="s">
        <v>201</v>
      </c>
      <c r="TFB18" s="310" t="s">
        <v>201</v>
      </c>
      <c r="TFC18" s="310" t="s">
        <v>201</v>
      </c>
      <c r="TFD18" s="310" t="s">
        <v>201</v>
      </c>
      <c r="TFE18" s="310" t="s">
        <v>201</v>
      </c>
      <c r="TFF18" s="310" t="s">
        <v>201</v>
      </c>
      <c r="TFG18" s="310" t="s">
        <v>201</v>
      </c>
      <c r="TFH18" s="310" t="s">
        <v>201</v>
      </c>
      <c r="TFI18" s="310" t="s">
        <v>201</v>
      </c>
      <c r="TFJ18" s="310" t="s">
        <v>201</v>
      </c>
      <c r="TFK18" s="310" t="s">
        <v>201</v>
      </c>
      <c r="TFL18" s="310" t="s">
        <v>201</v>
      </c>
      <c r="TFM18" s="310" t="s">
        <v>201</v>
      </c>
      <c r="TFN18" s="310" t="s">
        <v>201</v>
      </c>
      <c r="TFO18" s="310" t="s">
        <v>201</v>
      </c>
      <c r="TFP18" s="310" t="s">
        <v>201</v>
      </c>
      <c r="TFQ18" s="310" t="s">
        <v>201</v>
      </c>
      <c r="TFR18" s="310" t="s">
        <v>201</v>
      </c>
      <c r="TFS18" s="310" t="s">
        <v>201</v>
      </c>
      <c r="TFT18" s="310" t="s">
        <v>201</v>
      </c>
      <c r="TFU18" s="310" t="s">
        <v>201</v>
      </c>
      <c r="TFV18" s="310" t="s">
        <v>201</v>
      </c>
      <c r="TFW18" s="310" t="s">
        <v>201</v>
      </c>
      <c r="TFX18" s="310" t="s">
        <v>201</v>
      </c>
      <c r="TFY18" s="310" t="s">
        <v>201</v>
      </c>
      <c r="TFZ18" s="310" t="s">
        <v>201</v>
      </c>
      <c r="TGA18" s="310" t="s">
        <v>201</v>
      </c>
      <c r="TGB18" s="310" t="s">
        <v>201</v>
      </c>
      <c r="TGC18" s="310" t="s">
        <v>201</v>
      </c>
      <c r="TGD18" s="310" t="s">
        <v>201</v>
      </c>
      <c r="TGE18" s="310" t="s">
        <v>201</v>
      </c>
      <c r="TGF18" s="310" t="s">
        <v>201</v>
      </c>
      <c r="TGG18" s="310" t="s">
        <v>201</v>
      </c>
      <c r="TGH18" s="310" t="s">
        <v>201</v>
      </c>
      <c r="TGI18" s="310" t="s">
        <v>201</v>
      </c>
      <c r="TGJ18" s="310" t="s">
        <v>201</v>
      </c>
      <c r="TGK18" s="310" t="s">
        <v>201</v>
      </c>
      <c r="TGL18" s="310" t="s">
        <v>201</v>
      </c>
      <c r="TGM18" s="310" t="s">
        <v>201</v>
      </c>
      <c r="TGN18" s="310" t="s">
        <v>201</v>
      </c>
      <c r="TGO18" s="310" t="s">
        <v>201</v>
      </c>
      <c r="TGP18" s="310" t="s">
        <v>201</v>
      </c>
      <c r="TGQ18" s="310" t="s">
        <v>201</v>
      </c>
      <c r="TGR18" s="310" t="s">
        <v>201</v>
      </c>
      <c r="TGS18" s="310" t="s">
        <v>201</v>
      </c>
      <c r="TGT18" s="310" t="s">
        <v>201</v>
      </c>
      <c r="TGU18" s="310" t="s">
        <v>201</v>
      </c>
      <c r="TGV18" s="310" t="s">
        <v>201</v>
      </c>
      <c r="TGW18" s="310" t="s">
        <v>201</v>
      </c>
      <c r="TGX18" s="310" t="s">
        <v>201</v>
      </c>
      <c r="TGY18" s="310" t="s">
        <v>201</v>
      </c>
      <c r="TGZ18" s="310" t="s">
        <v>201</v>
      </c>
      <c r="THA18" s="310" t="s">
        <v>201</v>
      </c>
      <c r="THB18" s="310" t="s">
        <v>201</v>
      </c>
      <c r="THC18" s="310" t="s">
        <v>201</v>
      </c>
      <c r="THD18" s="310" t="s">
        <v>201</v>
      </c>
      <c r="THE18" s="310" t="s">
        <v>201</v>
      </c>
      <c r="THF18" s="310" t="s">
        <v>201</v>
      </c>
      <c r="THG18" s="310" t="s">
        <v>201</v>
      </c>
      <c r="THH18" s="310" t="s">
        <v>201</v>
      </c>
      <c r="THI18" s="310" t="s">
        <v>201</v>
      </c>
      <c r="THJ18" s="310" t="s">
        <v>201</v>
      </c>
      <c r="THK18" s="310" t="s">
        <v>201</v>
      </c>
      <c r="THL18" s="310" t="s">
        <v>201</v>
      </c>
      <c r="THM18" s="310" t="s">
        <v>201</v>
      </c>
      <c r="THN18" s="310" t="s">
        <v>201</v>
      </c>
      <c r="THO18" s="310" t="s">
        <v>201</v>
      </c>
      <c r="THP18" s="310" t="s">
        <v>201</v>
      </c>
      <c r="THQ18" s="310" t="s">
        <v>201</v>
      </c>
      <c r="THR18" s="310" t="s">
        <v>201</v>
      </c>
      <c r="THS18" s="310" t="s">
        <v>201</v>
      </c>
      <c r="THT18" s="310" t="s">
        <v>201</v>
      </c>
      <c r="THU18" s="310" t="s">
        <v>201</v>
      </c>
      <c r="THV18" s="310" t="s">
        <v>201</v>
      </c>
      <c r="THW18" s="310" t="s">
        <v>201</v>
      </c>
      <c r="THX18" s="310" t="s">
        <v>201</v>
      </c>
      <c r="THY18" s="310" t="s">
        <v>201</v>
      </c>
      <c r="THZ18" s="310" t="s">
        <v>201</v>
      </c>
      <c r="TIA18" s="310" t="s">
        <v>201</v>
      </c>
      <c r="TIB18" s="310" t="s">
        <v>201</v>
      </c>
      <c r="TIC18" s="310" t="s">
        <v>201</v>
      </c>
      <c r="TID18" s="310" t="s">
        <v>201</v>
      </c>
      <c r="TIE18" s="310" t="s">
        <v>201</v>
      </c>
      <c r="TIF18" s="310" t="s">
        <v>201</v>
      </c>
      <c r="TIG18" s="310" t="s">
        <v>201</v>
      </c>
      <c r="TIH18" s="310" t="s">
        <v>201</v>
      </c>
      <c r="TII18" s="310" t="s">
        <v>201</v>
      </c>
      <c r="TIJ18" s="310" t="s">
        <v>201</v>
      </c>
      <c r="TIK18" s="310" t="s">
        <v>201</v>
      </c>
      <c r="TIL18" s="310" t="s">
        <v>201</v>
      </c>
      <c r="TIM18" s="310" t="s">
        <v>201</v>
      </c>
      <c r="TIN18" s="310" t="s">
        <v>201</v>
      </c>
      <c r="TIO18" s="310" t="s">
        <v>201</v>
      </c>
      <c r="TIP18" s="310" t="s">
        <v>201</v>
      </c>
      <c r="TIQ18" s="310" t="s">
        <v>201</v>
      </c>
      <c r="TIR18" s="310" t="s">
        <v>201</v>
      </c>
      <c r="TIS18" s="310" t="s">
        <v>201</v>
      </c>
      <c r="TIT18" s="310" t="s">
        <v>201</v>
      </c>
      <c r="TIU18" s="310" t="s">
        <v>201</v>
      </c>
      <c r="TIV18" s="310" t="s">
        <v>201</v>
      </c>
      <c r="TIW18" s="310" t="s">
        <v>201</v>
      </c>
      <c r="TIX18" s="310" t="s">
        <v>201</v>
      </c>
      <c r="TIY18" s="310" t="s">
        <v>201</v>
      </c>
      <c r="TIZ18" s="310" t="s">
        <v>201</v>
      </c>
      <c r="TJA18" s="310" t="s">
        <v>201</v>
      </c>
      <c r="TJB18" s="310" t="s">
        <v>201</v>
      </c>
      <c r="TJC18" s="310" t="s">
        <v>201</v>
      </c>
      <c r="TJD18" s="310" t="s">
        <v>201</v>
      </c>
      <c r="TJE18" s="310" t="s">
        <v>201</v>
      </c>
      <c r="TJF18" s="310" t="s">
        <v>201</v>
      </c>
      <c r="TJG18" s="310" t="s">
        <v>201</v>
      </c>
      <c r="TJH18" s="310" t="s">
        <v>201</v>
      </c>
      <c r="TJI18" s="310" t="s">
        <v>201</v>
      </c>
      <c r="TJJ18" s="310" t="s">
        <v>201</v>
      </c>
      <c r="TJK18" s="310" t="s">
        <v>201</v>
      </c>
      <c r="TJL18" s="310" t="s">
        <v>201</v>
      </c>
      <c r="TJM18" s="310" t="s">
        <v>201</v>
      </c>
      <c r="TJN18" s="310" t="s">
        <v>201</v>
      </c>
      <c r="TJO18" s="310" t="s">
        <v>201</v>
      </c>
      <c r="TJP18" s="310" t="s">
        <v>201</v>
      </c>
      <c r="TJQ18" s="310" t="s">
        <v>201</v>
      </c>
      <c r="TJR18" s="310" t="s">
        <v>201</v>
      </c>
      <c r="TJS18" s="310" t="s">
        <v>201</v>
      </c>
      <c r="TJT18" s="310" t="s">
        <v>201</v>
      </c>
      <c r="TJU18" s="310" t="s">
        <v>201</v>
      </c>
      <c r="TJV18" s="310" t="s">
        <v>201</v>
      </c>
      <c r="TJW18" s="310" t="s">
        <v>201</v>
      </c>
      <c r="TJX18" s="310" t="s">
        <v>201</v>
      </c>
      <c r="TJY18" s="310" t="s">
        <v>201</v>
      </c>
      <c r="TJZ18" s="310" t="s">
        <v>201</v>
      </c>
      <c r="TKA18" s="310" t="s">
        <v>201</v>
      </c>
      <c r="TKB18" s="310" t="s">
        <v>201</v>
      </c>
      <c r="TKC18" s="310" t="s">
        <v>201</v>
      </c>
      <c r="TKD18" s="310" t="s">
        <v>201</v>
      </c>
      <c r="TKE18" s="310" t="s">
        <v>201</v>
      </c>
      <c r="TKF18" s="310" t="s">
        <v>201</v>
      </c>
      <c r="TKG18" s="310" t="s">
        <v>201</v>
      </c>
      <c r="TKH18" s="310" t="s">
        <v>201</v>
      </c>
      <c r="TKI18" s="310" t="s">
        <v>201</v>
      </c>
      <c r="TKJ18" s="310" t="s">
        <v>201</v>
      </c>
      <c r="TKK18" s="310" t="s">
        <v>201</v>
      </c>
      <c r="TKL18" s="310" t="s">
        <v>201</v>
      </c>
      <c r="TKM18" s="310" t="s">
        <v>201</v>
      </c>
      <c r="TKN18" s="310" t="s">
        <v>201</v>
      </c>
      <c r="TKO18" s="310" t="s">
        <v>201</v>
      </c>
      <c r="TKP18" s="310" t="s">
        <v>201</v>
      </c>
      <c r="TKQ18" s="310" t="s">
        <v>201</v>
      </c>
      <c r="TKR18" s="310" t="s">
        <v>201</v>
      </c>
      <c r="TKS18" s="310" t="s">
        <v>201</v>
      </c>
      <c r="TKT18" s="310" t="s">
        <v>201</v>
      </c>
      <c r="TKU18" s="310" t="s">
        <v>201</v>
      </c>
      <c r="TKV18" s="310" t="s">
        <v>201</v>
      </c>
      <c r="TKW18" s="310" t="s">
        <v>201</v>
      </c>
      <c r="TKX18" s="310" t="s">
        <v>201</v>
      </c>
      <c r="TKY18" s="310" t="s">
        <v>201</v>
      </c>
      <c r="TKZ18" s="310" t="s">
        <v>201</v>
      </c>
      <c r="TLA18" s="310" t="s">
        <v>201</v>
      </c>
      <c r="TLB18" s="310" t="s">
        <v>201</v>
      </c>
      <c r="TLC18" s="310" t="s">
        <v>201</v>
      </c>
      <c r="TLD18" s="310" t="s">
        <v>201</v>
      </c>
      <c r="TLE18" s="310" t="s">
        <v>201</v>
      </c>
      <c r="TLF18" s="310" t="s">
        <v>201</v>
      </c>
      <c r="TLG18" s="310" t="s">
        <v>201</v>
      </c>
      <c r="TLH18" s="310" t="s">
        <v>201</v>
      </c>
      <c r="TLI18" s="310" t="s">
        <v>201</v>
      </c>
      <c r="TLJ18" s="310" t="s">
        <v>201</v>
      </c>
      <c r="TLK18" s="310" t="s">
        <v>201</v>
      </c>
      <c r="TLL18" s="310" t="s">
        <v>201</v>
      </c>
      <c r="TLM18" s="310" t="s">
        <v>201</v>
      </c>
      <c r="TLN18" s="310" t="s">
        <v>201</v>
      </c>
      <c r="TLO18" s="310" t="s">
        <v>201</v>
      </c>
      <c r="TLP18" s="310" t="s">
        <v>201</v>
      </c>
      <c r="TLQ18" s="310" t="s">
        <v>201</v>
      </c>
      <c r="TLR18" s="310" t="s">
        <v>201</v>
      </c>
      <c r="TLS18" s="310" t="s">
        <v>201</v>
      </c>
      <c r="TLT18" s="310" t="s">
        <v>201</v>
      </c>
      <c r="TLU18" s="310" t="s">
        <v>201</v>
      </c>
      <c r="TLV18" s="310" t="s">
        <v>201</v>
      </c>
      <c r="TLW18" s="310" t="s">
        <v>201</v>
      </c>
      <c r="TLX18" s="310" t="s">
        <v>201</v>
      </c>
      <c r="TLY18" s="310" t="s">
        <v>201</v>
      </c>
      <c r="TLZ18" s="310" t="s">
        <v>201</v>
      </c>
      <c r="TMA18" s="310" t="s">
        <v>201</v>
      </c>
      <c r="TMB18" s="310" t="s">
        <v>201</v>
      </c>
      <c r="TMC18" s="310" t="s">
        <v>201</v>
      </c>
      <c r="TMD18" s="310" t="s">
        <v>201</v>
      </c>
      <c r="TME18" s="310" t="s">
        <v>201</v>
      </c>
      <c r="TMF18" s="310" t="s">
        <v>201</v>
      </c>
      <c r="TMG18" s="310" t="s">
        <v>201</v>
      </c>
      <c r="TMH18" s="310" t="s">
        <v>201</v>
      </c>
      <c r="TMI18" s="310" t="s">
        <v>201</v>
      </c>
      <c r="TMJ18" s="310" t="s">
        <v>201</v>
      </c>
      <c r="TMK18" s="310" t="s">
        <v>201</v>
      </c>
      <c r="TML18" s="310" t="s">
        <v>201</v>
      </c>
      <c r="TMM18" s="310" t="s">
        <v>201</v>
      </c>
      <c r="TMN18" s="310" t="s">
        <v>201</v>
      </c>
      <c r="TMO18" s="310" t="s">
        <v>201</v>
      </c>
      <c r="TMP18" s="310" t="s">
        <v>201</v>
      </c>
      <c r="TMQ18" s="310" t="s">
        <v>201</v>
      </c>
      <c r="TMR18" s="310" t="s">
        <v>201</v>
      </c>
      <c r="TMS18" s="310" t="s">
        <v>201</v>
      </c>
      <c r="TMT18" s="310" t="s">
        <v>201</v>
      </c>
      <c r="TMU18" s="310" t="s">
        <v>201</v>
      </c>
      <c r="TMV18" s="310" t="s">
        <v>201</v>
      </c>
      <c r="TMW18" s="310" t="s">
        <v>201</v>
      </c>
      <c r="TMX18" s="310" t="s">
        <v>201</v>
      </c>
      <c r="TMY18" s="310" t="s">
        <v>201</v>
      </c>
      <c r="TMZ18" s="310" t="s">
        <v>201</v>
      </c>
      <c r="TNA18" s="310" t="s">
        <v>201</v>
      </c>
      <c r="TNB18" s="310" t="s">
        <v>201</v>
      </c>
      <c r="TNC18" s="310" t="s">
        <v>201</v>
      </c>
      <c r="TND18" s="310" t="s">
        <v>201</v>
      </c>
      <c r="TNE18" s="310" t="s">
        <v>201</v>
      </c>
      <c r="TNF18" s="310" t="s">
        <v>201</v>
      </c>
      <c r="TNG18" s="310" t="s">
        <v>201</v>
      </c>
      <c r="TNH18" s="310" t="s">
        <v>201</v>
      </c>
      <c r="TNI18" s="310" t="s">
        <v>201</v>
      </c>
      <c r="TNJ18" s="310" t="s">
        <v>201</v>
      </c>
      <c r="TNK18" s="310" t="s">
        <v>201</v>
      </c>
      <c r="TNL18" s="310" t="s">
        <v>201</v>
      </c>
      <c r="TNM18" s="310" t="s">
        <v>201</v>
      </c>
      <c r="TNN18" s="310" t="s">
        <v>201</v>
      </c>
      <c r="TNO18" s="310" t="s">
        <v>201</v>
      </c>
      <c r="TNP18" s="310" t="s">
        <v>201</v>
      </c>
      <c r="TNQ18" s="310" t="s">
        <v>201</v>
      </c>
      <c r="TNR18" s="310" t="s">
        <v>201</v>
      </c>
      <c r="TNS18" s="310" t="s">
        <v>201</v>
      </c>
      <c r="TNT18" s="310" t="s">
        <v>201</v>
      </c>
      <c r="TNU18" s="310" t="s">
        <v>201</v>
      </c>
      <c r="TNV18" s="310" t="s">
        <v>201</v>
      </c>
      <c r="TNW18" s="310" t="s">
        <v>201</v>
      </c>
      <c r="TNX18" s="310" t="s">
        <v>201</v>
      </c>
      <c r="TNY18" s="310" t="s">
        <v>201</v>
      </c>
      <c r="TNZ18" s="310" t="s">
        <v>201</v>
      </c>
      <c r="TOA18" s="310" t="s">
        <v>201</v>
      </c>
      <c r="TOB18" s="310" t="s">
        <v>201</v>
      </c>
      <c r="TOC18" s="310" t="s">
        <v>201</v>
      </c>
      <c r="TOD18" s="310" t="s">
        <v>201</v>
      </c>
      <c r="TOE18" s="310" t="s">
        <v>201</v>
      </c>
      <c r="TOF18" s="310" t="s">
        <v>201</v>
      </c>
      <c r="TOG18" s="310" t="s">
        <v>201</v>
      </c>
      <c r="TOH18" s="310" t="s">
        <v>201</v>
      </c>
      <c r="TOI18" s="310" t="s">
        <v>201</v>
      </c>
      <c r="TOJ18" s="310" t="s">
        <v>201</v>
      </c>
      <c r="TOK18" s="310" t="s">
        <v>201</v>
      </c>
      <c r="TOL18" s="310" t="s">
        <v>201</v>
      </c>
      <c r="TOM18" s="310" t="s">
        <v>201</v>
      </c>
      <c r="TON18" s="310" t="s">
        <v>201</v>
      </c>
      <c r="TOO18" s="310" t="s">
        <v>201</v>
      </c>
      <c r="TOP18" s="310" t="s">
        <v>201</v>
      </c>
      <c r="TOQ18" s="310" t="s">
        <v>201</v>
      </c>
      <c r="TOR18" s="310" t="s">
        <v>201</v>
      </c>
      <c r="TOS18" s="310" t="s">
        <v>201</v>
      </c>
      <c r="TOT18" s="310" t="s">
        <v>201</v>
      </c>
      <c r="TOU18" s="310" t="s">
        <v>201</v>
      </c>
      <c r="TOV18" s="310" t="s">
        <v>201</v>
      </c>
      <c r="TOW18" s="310" t="s">
        <v>201</v>
      </c>
      <c r="TOX18" s="310" t="s">
        <v>201</v>
      </c>
      <c r="TOY18" s="310" t="s">
        <v>201</v>
      </c>
      <c r="TOZ18" s="310" t="s">
        <v>201</v>
      </c>
      <c r="TPA18" s="310" t="s">
        <v>201</v>
      </c>
      <c r="TPB18" s="310" t="s">
        <v>201</v>
      </c>
      <c r="TPC18" s="310" t="s">
        <v>201</v>
      </c>
      <c r="TPD18" s="310" t="s">
        <v>201</v>
      </c>
      <c r="TPE18" s="310" t="s">
        <v>201</v>
      </c>
      <c r="TPF18" s="310" t="s">
        <v>201</v>
      </c>
      <c r="TPG18" s="310" t="s">
        <v>201</v>
      </c>
      <c r="TPH18" s="310" t="s">
        <v>201</v>
      </c>
      <c r="TPI18" s="310" t="s">
        <v>201</v>
      </c>
      <c r="TPJ18" s="310" t="s">
        <v>201</v>
      </c>
      <c r="TPK18" s="310" t="s">
        <v>201</v>
      </c>
      <c r="TPL18" s="310" t="s">
        <v>201</v>
      </c>
      <c r="TPM18" s="310" t="s">
        <v>201</v>
      </c>
      <c r="TPN18" s="310" t="s">
        <v>201</v>
      </c>
      <c r="TPO18" s="310" t="s">
        <v>201</v>
      </c>
      <c r="TPP18" s="310" t="s">
        <v>201</v>
      </c>
      <c r="TPQ18" s="310" t="s">
        <v>201</v>
      </c>
      <c r="TPR18" s="310" t="s">
        <v>201</v>
      </c>
      <c r="TPS18" s="310" t="s">
        <v>201</v>
      </c>
      <c r="TPT18" s="310" t="s">
        <v>201</v>
      </c>
      <c r="TPU18" s="310" t="s">
        <v>201</v>
      </c>
      <c r="TPV18" s="310" t="s">
        <v>201</v>
      </c>
      <c r="TPW18" s="310" t="s">
        <v>201</v>
      </c>
      <c r="TPX18" s="310" t="s">
        <v>201</v>
      </c>
      <c r="TPY18" s="310" t="s">
        <v>201</v>
      </c>
      <c r="TPZ18" s="310" t="s">
        <v>201</v>
      </c>
      <c r="TQA18" s="310" t="s">
        <v>201</v>
      </c>
      <c r="TQB18" s="310" t="s">
        <v>201</v>
      </c>
      <c r="TQC18" s="310" t="s">
        <v>201</v>
      </c>
      <c r="TQD18" s="310" t="s">
        <v>201</v>
      </c>
      <c r="TQE18" s="310" t="s">
        <v>201</v>
      </c>
      <c r="TQF18" s="310" t="s">
        <v>201</v>
      </c>
      <c r="TQG18" s="310" t="s">
        <v>201</v>
      </c>
      <c r="TQH18" s="310" t="s">
        <v>201</v>
      </c>
      <c r="TQI18" s="310" t="s">
        <v>201</v>
      </c>
      <c r="TQJ18" s="310" t="s">
        <v>201</v>
      </c>
      <c r="TQK18" s="310" t="s">
        <v>201</v>
      </c>
      <c r="TQL18" s="310" t="s">
        <v>201</v>
      </c>
      <c r="TQM18" s="310" t="s">
        <v>201</v>
      </c>
      <c r="TQN18" s="310" t="s">
        <v>201</v>
      </c>
      <c r="TQO18" s="310" t="s">
        <v>201</v>
      </c>
      <c r="TQP18" s="310" t="s">
        <v>201</v>
      </c>
      <c r="TQQ18" s="310" t="s">
        <v>201</v>
      </c>
      <c r="TQR18" s="310" t="s">
        <v>201</v>
      </c>
      <c r="TQS18" s="310" t="s">
        <v>201</v>
      </c>
      <c r="TQT18" s="310" t="s">
        <v>201</v>
      </c>
      <c r="TQU18" s="310" t="s">
        <v>201</v>
      </c>
      <c r="TQV18" s="310" t="s">
        <v>201</v>
      </c>
      <c r="TQW18" s="310" t="s">
        <v>201</v>
      </c>
      <c r="TQX18" s="310" t="s">
        <v>201</v>
      </c>
      <c r="TQY18" s="310" t="s">
        <v>201</v>
      </c>
      <c r="TQZ18" s="310" t="s">
        <v>201</v>
      </c>
      <c r="TRA18" s="310" t="s">
        <v>201</v>
      </c>
      <c r="TRB18" s="310" t="s">
        <v>201</v>
      </c>
      <c r="TRC18" s="310" t="s">
        <v>201</v>
      </c>
      <c r="TRD18" s="310" t="s">
        <v>201</v>
      </c>
      <c r="TRE18" s="310" t="s">
        <v>201</v>
      </c>
      <c r="TRF18" s="310" t="s">
        <v>201</v>
      </c>
      <c r="TRG18" s="310" t="s">
        <v>201</v>
      </c>
      <c r="TRH18" s="310" t="s">
        <v>201</v>
      </c>
      <c r="TRI18" s="310" t="s">
        <v>201</v>
      </c>
      <c r="TRJ18" s="310" t="s">
        <v>201</v>
      </c>
      <c r="TRK18" s="310" t="s">
        <v>201</v>
      </c>
      <c r="TRL18" s="310" t="s">
        <v>201</v>
      </c>
      <c r="TRM18" s="310" t="s">
        <v>201</v>
      </c>
      <c r="TRN18" s="310" t="s">
        <v>201</v>
      </c>
      <c r="TRO18" s="310" t="s">
        <v>201</v>
      </c>
      <c r="TRP18" s="310" t="s">
        <v>201</v>
      </c>
      <c r="TRQ18" s="310" t="s">
        <v>201</v>
      </c>
      <c r="TRR18" s="310" t="s">
        <v>201</v>
      </c>
      <c r="TRS18" s="310" t="s">
        <v>201</v>
      </c>
      <c r="TRT18" s="310" t="s">
        <v>201</v>
      </c>
      <c r="TRU18" s="310" t="s">
        <v>201</v>
      </c>
      <c r="TRV18" s="310" t="s">
        <v>201</v>
      </c>
      <c r="TRW18" s="310" t="s">
        <v>201</v>
      </c>
      <c r="TRX18" s="310" t="s">
        <v>201</v>
      </c>
      <c r="TRY18" s="310" t="s">
        <v>201</v>
      </c>
      <c r="TRZ18" s="310" t="s">
        <v>201</v>
      </c>
      <c r="TSA18" s="310" t="s">
        <v>201</v>
      </c>
      <c r="TSB18" s="310" t="s">
        <v>201</v>
      </c>
      <c r="TSC18" s="310" t="s">
        <v>201</v>
      </c>
      <c r="TSD18" s="310" t="s">
        <v>201</v>
      </c>
      <c r="TSE18" s="310" t="s">
        <v>201</v>
      </c>
      <c r="TSF18" s="310" t="s">
        <v>201</v>
      </c>
      <c r="TSG18" s="310" t="s">
        <v>201</v>
      </c>
      <c r="TSH18" s="310" t="s">
        <v>201</v>
      </c>
      <c r="TSI18" s="310" t="s">
        <v>201</v>
      </c>
      <c r="TSJ18" s="310" t="s">
        <v>201</v>
      </c>
      <c r="TSK18" s="310" t="s">
        <v>201</v>
      </c>
      <c r="TSL18" s="310" t="s">
        <v>201</v>
      </c>
      <c r="TSM18" s="310" t="s">
        <v>201</v>
      </c>
      <c r="TSN18" s="310" t="s">
        <v>201</v>
      </c>
      <c r="TSO18" s="310" t="s">
        <v>201</v>
      </c>
      <c r="TSP18" s="310" t="s">
        <v>201</v>
      </c>
      <c r="TSQ18" s="310" t="s">
        <v>201</v>
      </c>
      <c r="TSR18" s="310" t="s">
        <v>201</v>
      </c>
      <c r="TSS18" s="310" t="s">
        <v>201</v>
      </c>
      <c r="TST18" s="310" t="s">
        <v>201</v>
      </c>
      <c r="TSU18" s="310" t="s">
        <v>201</v>
      </c>
      <c r="TSV18" s="310" t="s">
        <v>201</v>
      </c>
      <c r="TSW18" s="310" t="s">
        <v>201</v>
      </c>
      <c r="TSX18" s="310" t="s">
        <v>201</v>
      </c>
      <c r="TSY18" s="310" t="s">
        <v>201</v>
      </c>
      <c r="TSZ18" s="310" t="s">
        <v>201</v>
      </c>
      <c r="TTA18" s="310" t="s">
        <v>201</v>
      </c>
      <c r="TTB18" s="310" t="s">
        <v>201</v>
      </c>
      <c r="TTC18" s="310" t="s">
        <v>201</v>
      </c>
      <c r="TTD18" s="310" t="s">
        <v>201</v>
      </c>
      <c r="TTE18" s="310" t="s">
        <v>201</v>
      </c>
      <c r="TTF18" s="310" t="s">
        <v>201</v>
      </c>
      <c r="TTG18" s="310" t="s">
        <v>201</v>
      </c>
      <c r="TTH18" s="310" t="s">
        <v>201</v>
      </c>
      <c r="TTI18" s="310" t="s">
        <v>201</v>
      </c>
      <c r="TTJ18" s="310" t="s">
        <v>201</v>
      </c>
      <c r="TTK18" s="310" t="s">
        <v>201</v>
      </c>
      <c r="TTL18" s="310" t="s">
        <v>201</v>
      </c>
      <c r="TTM18" s="310" t="s">
        <v>201</v>
      </c>
      <c r="TTN18" s="310" t="s">
        <v>201</v>
      </c>
      <c r="TTO18" s="310" t="s">
        <v>201</v>
      </c>
      <c r="TTP18" s="310" t="s">
        <v>201</v>
      </c>
      <c r="TTQ18" s="310" t="s">
        <v>201</v>
      </c>
      <c r="TTR18" s="310" t="s">
        <v>201</v>
      </c>
      <c r="TTS18" s="310" t="s">
        <v>201</v>
      </c>
      <c r="TTT18" s="310" t="s">
        <v>201</v>
      </c>
      <c r="TTU18" s="310" t="s">
        <v>201</v>
      </c>
      <c r="TTV18" s="310" t="s">
        <v>201</v>
      </c>
      <c r="TTW18" s="310" t="s">
        <v>201</v>
      </c>
      <c r="TTX18" s="310" t="s">
        <v>201</v>
      </c>
      <c r="TTY18" s="310" t="s">
        <v>201</v>
      </c>
      <c r="TTZ18" s="310" t="s">
        <v>201</v>
      </c>
      <c r="TUA18" s="310" t="s">
        <v>201</v>
      </c>
      <c r="TUB18" s="310" t="s">
        <v>201</v>
      </c>
      <c r="TUC18" s="310" t="s">
        <v>201</v>
      </c>
      <c r="TUD18" s="310" t="s">
        <v>201</v>
      </c>
      <c r="TUE18" s="310" t="s">
        <v>201</v>
      </c>
      <c r="TUF18" s="310" t="s">
        <v>201</v>
      </c>
      <c r="TUG18" s="310" t="s">
        <v>201</v>
      </c>
      <c r="TUH18" s="310" t="s">
        <v>201</v>
      </c>
      <c r="TUI18" s="310" t="s">
        <v>201</v>
      </c>
      <c r="TUJ18" s="310" t="s">
        <v>201</v>
      </c>
      <c r="TUK18" s="310" t="s">
        <v>201</v>
      </c>
      <c r="TUL18" s="310" t="s">
        <v>201</v>
      </c>
      <c r="TUM18" s="310" t="s">
        <v>201</v>
      </c>
      <c r="TUN18" s="310" t="s">
        <v>201</v>
      </c>
      <c r="TUO18" s="310" t="s">
        <v>201</v>
      </c>
      <c r="TUP18" s="310" t="s">
        <v>201</v>
      </c>
      <c r="TUQ18" s="310" t="s">
        <v>201</v>
      </c>
      <c r="TUR18" s="310" t="s">
        <v>201</v>
      </c>
      <c r="TUS18" s="310" t="s">
        <v>201</v>
      </c>
      <c r="TUT18" s="310" t="s">
        <v>201</v>
      </c>
      <c r="TUU18" s="310" t="s">
        <v>201</v>
      </c>
      <c r="TUV18" s="310" t="s">
        <v>201</v>
      </c>
      <c r="TUW18" s="310" t="s">
        <v>201</v>
      </c>
      <c r="TUX18" s="310" t="s">
        <v>201</v>
      </c>
      <c r="TUY18" s="310" t="s">
        <v>201</v>
      </c>
      <c r="TUZ18" s="310" t="s">
        <v>201</v>
      </c>
      <c r="TVA18" s="310" t="s">
        <v>201</v>
      </c>
      <c r="TVB18" s="310" t="s">
        <v>201</v>
      </c>
      <c r="TVC18" s="310" t="s">
        <v>201</v>
      </c>
      <c r="TVD18" s="310" t="s">
        <v>201</v>
      </c>
      <c r="TVE18" s="310" t="s">
        <v>201</v>
      </c>
      <c r="TVF18" s="310" t="s">
        <v>201</v>
      </c>
      <c r="TVG18" s="310" t="s">
        <v>201</v>
      </c>
      <c r="TVH18" s="310" t="s">
        <v>201</v>
      </c>
      <c r="TVI18" s="310" t="s">
        <v>201</v>
      </c>
      <c r="TVJ18" s="310" t="s">
        <v>201</v>
      </c>
      <c r="TVK18" s="310" t="s">
        <v>201</v>
      </c>
      <c r="TVL18" s="310" t="s">
        <v>201</v>
      </c>
      <c r="TVM18" s="310" t="s">
        <v>201</v>
      </c>
      <c r="TVN18" s="310" t="s">
        <v>201</v>
      </c>
      <c r="TVO18" s="310" t="s">
        <v>201</v>
      </c>
      <c r="TVP18" s="310" t="s">
        <v>201</v>
      </c>
      <c r="TVQ18" s="310" t="s">
        <v>201</v>
      </c>
      <c r="TVR18" s="310" t="s">
        <v>201</v>
      </c>
      <c r="TVS18" s="310" t="s">
        <v>201</v>
      </c>
      <c r="TVT18" s="310" t="s">
        <v>201</v>
      </c>
      <c r="TVU18" s="310" t="s">
        <v>201</v>
      </c>
      <c r="TVV18" s="310" t="s">
        <v>201</v>
      </c>
      <c r="TVW18" s="310" t="s">
        <v>201</v>
      </c>
      <c r="TVX18" s="310" t="s">
        <v>201</v>
      </c>
      <c r="TVY18" s="310" t="s">
        <v>201</v>
      </c>
      <c r="TVZ18" s="310" t="s">
        <v>201</v>
      </c>
      <c r="TWA18" s="310" t="s">
        <v>201</v>
      </c>
      <c r="TWB18" s="310" t="s">
        <v>201</v>
      </c>
      <c r="TWC18" s="310" t="s">
        <v>201</v>
      </c>
      <c r="TWD18" s="310" t="s">
        <v>201</v>
      </c>
      <c r="TWE18" s="310" t="s">
        <v>201</v>
      </c>
      <c r="TWF18" s="310" t="s">
        <v>201</v>
      </c>
      <c r="TWG18" s="310" t="s">
        <v>201</v>
      </c>
      <c r="TWH18" s="310" t="s">
        <v>201</v>
      </c>
      <c r="TWI18" s="310" t="s">
        <v>201</v>
      </c>
      <c r="TWJ18" s="310" t="s">
        <v>201</v>
      </c>
      <c r="TWK18" s="310" t="s">
        <v>201</v>
      </c>
      <c r="TWL18" s="310" t="s">
        <v>201</v>
      </c>
      <c r="TWM18" s="310" t="s">
        <v>201</v>
      </c>
      <c r="TWN18" s="310" t="s">
        <v>201</v>
      </c>
      <c r="TWO18" s="310" t="s">
        <v>201</v>
      </c>
      <c r="TWP18" s="310" t="s">
        <v>201</v>
      </c>
      <c r="TWQ18" s="310" t="s">
        <v>201</v>
      </c>
      <c r="TWR18" s="310" t="s">
        <v>201</v>
      </c>
      <c r="TWS18" s="310" t="s">
        <v>201</v>
      </c>
      <c r="TWT18" s="310" t="s">
        <v>201</v>
      </c>
      <c r="TWU18" s="310" t="s">
        <v>201</v>
      </c>
      <c r="TWV18" s="310" t="s">
        <v>201</v>
      </c>
      <c r="TWW18" s="310" t="s">
        <v>201</v>
      </c>
      <c r="TWX18" s="310" t="s">
        <v>201</v>
      </c>
      <c r="TWY18" s="310" t="s">
        <v>201</v>
      </c>
      <c r="TWZ18" s="310" t="s">
        <v>201</v>
      </c>
      <c r="TXA18" s="310" t="s">
        <v>201</v>
      </c>
      <c r="TXB18" s="310" t="s">
        <v>201</v>
      </c>
      <c r="TXC18" s="310" t="s">
        <v>201</v>
      </c>
      <c r="TXD18" s="310" t="s">
        <v>201</v>
      </c>
      <c r="TXE18" s="310" t="s">
        <v>201</v>
      </c>
      <c r="TXF18" s="310" t="s">
        <v>201</v>
      </c>
      <c r="TXG18" s="310" t="s">
        <v>201</v>
      </c>
      <c r="TXH18" s="310" t="s">
        <v>201</v>
      </c>
      <c r="TXI18" s="310" t="s">
        <v>201</v>
      </c>
      <c r="TXJ18" s="310" t="s">
        <v>201</v>
      </c>
      <c r="TXK18" s="310" t="s">
        <v>201</v>
      </c>
      <c r="TXL18" s="310" t="s">
        <v>201</v>
      </c>
      <c r="TXM18" s="310" t="s">
        <v>201</v>
      </c>
      <c r="TXN18" s="310" t="s">
        <v>201</v>
      </c>
      <c r="TXO18" s="310" t="s">
        <v>201</v>
      </c>
      <c r="TXP18" s="310" t="s">
        <v>201</v>
      </c>
      <c r="TXQ18" s="310" t="s">
        <v>201</v>
      </c>
      <c r="TXR18" s="310" t="s">
        <v>201</v>
      </c>
      <c r="TXS18" s="310" t="s">
        <v>201</v>
      </c>
      <c r="TXT18" s="310" t="s">
        <v>201</v>
      </c>
      <c r="TXU18" s="310" t="s">
        <v>201</v>
      </c>
      <c r="TXV18" s="310" t="s">
        <v>201</v>
      </c>
      <c r="TXW18" s="310" t="s">
        <v>201</v>
      </c>
      <c r="TXX18" s="310" t="s">
        <v>201</v>
      </c>
      <c r="TXY18" s="310" t="s">
        <v>201</v>
      </c>
      <c r="TXZ18" s="310" t="s">
        <v>201</v>
      </c>
      <c r="TYA18" s="310" t="s">
        <v>201</v>
      </c>
      <c r="TYB18" s="310" t="s">
        <v>201</v>
      </c>
      <c r="TYC18" s="310" t="s">
        <v>201</v>
      </c>
      <c r="TYD18" s="310" t="s">
        <v>201</v>
      </c>
      <c r="TYE18" s="310" t="s">
        <v>201</v>
      </c>
      <c r="TYF18" s="310" t="s">
        <v>201</v>
      </c>
      <c r="TYG18" s="310" t="s">
        <v>201</v>
      </c>
      <c r="TYH18" s="310" t="s">
        <v>201</v>
      </c>
      <c r="TYI18" s="310" t="s">
        <v>201</v>
      </c>
      <c r="TYJ18" s="310" t="s">
        <v>201</v>
      </c>
      <c r="TYK18" s="310" t="s">
        <v>201</v>
      </c>
      <c r="TYL18" s="310" t="s">
        <v>201</v>
      </c>
      <c r="TYM18" s="310" t="s">
        <v>201</v>
      </c>
      <c r="TYN18" s="310" t="s">
        <v>201</v>
      </c>
      <c r="TYO18" s="310" t="s">
        <v>201</v>
      </c>
      <c r="TYP18" s="310" t="s">
        <v>201</v>
      </c>
      <c r="TYQ18" s="310" t="s">
        <v>201</v>
      </c>
      <c r="TYR18" s="310" t="s">
        <v>201</v>
      </c>
      <c r="TYS18" s="310" t="s">
        <v>201</v>
      </c>
      <c r="TYT18" s="310" t="s">
        <v>201</v>
      </c>
      <c r="TYU18" s="310" t="s">
        <v>201</v>
      </c>
      <c r="TYV18" s="310" t="s">
        <v>201</v>
      </c>
      <c r="TYW18" s="310" t="s">
        <v>201</v>
      </c>
      <c r="TYX18" s="310" t="s">
        <v>201</v>
      </c>
      <c r="TYY18" s="310" t="s">
        <v>201</v>
      </c>
      <c r="TYZ18" s="310" t="s">
        <v>201</v>
      </c>
      <c r="TZA18" s="310" t="s">
        <v>201</v>
      </c>
      <c r="TZB18" s="310" t="s">
        <v>201</v>
      </c>
      <c r="TZC18" s="310" t="s">
        <v>201</v>
      </c>
      <c r="TZD18" s="310" t="s">
        <v>201</v>
      </c>
      <c r="TZE18" s="310" t="s">
        <v>201</v>
      </c>
      <c r="TZF18" s="310" t="s">
        <v>201</v>
      </c>
      <c r="TZG18" s="310" t="s">
        <v>201</v>
      </c>
      <c r="TZH18" s="310" t="s">
        <v>201</v>
      </c>
      <c r="TZI18" s="310" t="s">
        <v>201</v>
      </c>
      <c r="TZJ18" s="310" t="s">
        <v>201</v>
      </c>
      <c r="TZK18" s="310" t="s">
        <v>201</v>
      </c>
      <c r="TZL18" s="310" t="s">
        <v>201</v>
      </c>
      <c r="TZM18" s="310" t="s">
        <v>201</v>
      </c>
      <c r="TZN18" s="310" t="s">
        <v>201</v>
      </c>
      <c r="TZO18" s="310" t="s">
        <v>201</v>
      </c>
      <c r="TZP18" s="310" t="s">
        <v>201</v>
      </c>
      <c r="TZQ18" s="310" t="s">
        <v>201</v>
      </c>
      <c r="TZR18" s="310" t="s">
        <v>201</v>
      </c>
      <c r="TZS18" s="310" t="s">
        <v>201</v>
      </c>
      <c r="TZT18" s="310" t="s">
        <v>201</v>
      </c>
      <c r="TZU18" s="310" t="s">
        <v>201</v>
      </c>
      <c r="TZV18" s="310" t="s">
        <v>201</v>
      </c>
      <c r="TZW18" s="310" t="s">
        <v>201</v>
      </c>
      <c r="TZX18" s="310" t="s">
        <v>201</v>
      </c>
      <c r="TZY18" s="310" t="s">
        <v>201</v>
      </c>
      <c r="TZZ18" s="310" t="s">
        <v>201</v>
      </c>
      <c r="UAA18" s="310" t="s">
        <v>201</v>
      </c>
      <c r="UAB18" s="310" t="s">
        <v>201</v>
      </c>
      <c r="UAC18" s="310" t="s">
        <v>201</v>
      </c>
      <c r="UAD18" s="310" t="s">
        <v>201</v>
      </c>
      <c r="UAE18" s="310" t="s">
        <v>201</v>
      </c>
      <c r="UAF18" s="310" t="s">
        <v>201</v>
      </c>
      <c r="UAG18" s="310" t="s">
        <v>201</v>
      </c>
      <c r="UAH18" s="310" t="s">
        <v>201</v>
      </c>
      <c r="UAI18" s="310" t="s">
        <v>201</v>
      </c>
      <c r="UAJ18" s="310" t="s">
        <v>201</v>
      </c>
      <c r="UAK18" s="310" t="s">
        <v>201</v>
      </c>
      <c r="UAL18" s="310" t="s">
        <v>201</v>
      </c>
      <c r="UAM18" s="310" t="s">
        <v>201</v>
      </c>
      <c r="UAN18" s="310" t="s">
        <v>201</v>
      </c>
      <c r="UAO18" s="310" t="s">
        <v>201</v>
      </c>
      <c r="UAP18" s="310" t="s">
        <v>201</v>
      </c>
      <c r="UAQ18" s="310" t="s">
        <v>201</v>
      </c>
      <c r="UAR18" s="310" t="s">
        <v>201</v>
      </c>
      <c r="UAS18" s="310" t="s">
        <v>201</v>
      </c>
      <c r="UAT18" s="310" t="s">
        <v>201</v>
      </c>
      <c r="UAU18" s="310" t="s">
        <v>201</v>
      </c>
      <c r="UAV18" s="310" t="s">
        <v>201</v>
      </c>
      <c r="UAW18" s="310" t="s">
        <v>201</v>
      </c>
      <c r="UAX18" s="310" t="s">
        <v>201</v>
      </c>
      <c r="UAY18" s="310" t="s">
        <v>201</v>
      </c>
      <c r="UAZ18" s="310" t="s">
        <v>201</v>
      </c>
      <c r="UBA18" s="310" t="s">
        <v>201</v>
      </c>
      <c r="UBB18" s="310" t="s">
        <v>201</v>
      </c>
      <c r="UBC18" s="310" t="s">
        <v>201</v>
      </c>
      <c r="UBD18" s="310" t="s">
        <v>201</v>
      </c>
      <c r="UBE18" s="310" t="s">
        <v>201</v>
      </c>
      <c r="UBF18" s="310" t="s">
        <v>201</v>
      </c>
      <c r="UBG18" s="310" t="s">
        <v>201</v>
      </c>
      <c r="UBH18" s="310" t="s">
        <v>201</v>
      </c>
      <c r="UBI18" s="310" t="s">
        <v>201</v>
      </c>
      <c r="UBJ18" s="310" t="s">
        <v>201</v>
      </c>
      <c r="UBK18" s="310" t="s">
        <v>201</v>
      </c>
      <c r="UBL18" s="310" t="s">
        <v>201</v>
      </c>
      <c r="UBM18" s="310" t="s">
        <v>201</v>
      </c>
      <c r="UBN18" s="310" t="s">
        <v>201</v>
      </c>
      <c r="UBO18" s="310" t="s">
        <v>201</v>
      </c>
      <c r="UBP18" s="310" t="s">
        <v>201</v>
      </c>
      <c r="UBQ18" s="310" t="s">
        <v>201</v>
      </c>
      <c r="UBR18" s="310" t="s">
        <v>201</v>
      </c>
      <c r="UBS18" s="310" t="s">
        <v>201</v>
      </c>
      <c r="UBT18" s="310" t="s">
        <v>201</v>
      </c>
      <c r="UBU18" s="310" t="s">
        <v>201</v>
      </c>
      <c r="UBV18" s="310" t="s">
        <v>201</v>
      </c>
      <c r="UBW18" s="310" t="s">
        <v>201</v>
      </c>
      <c r="UBX18" s="310" t="s">
        <v>201</v>
      </c>
      <c r="UBY18" s="310" t="s">
        <v>201</v>
      </c>
      <c r="UBZ18" s="310" t="s">
        <v>201</v>
      </c>
      <c r="UCA18" s="310" t="s">
        <v>201</v>
      </c>
      <c r="UCB18" s="310" t="s">
        <v>201</v>
      </c>
      <c r="UCC18" s="310" t="s">
        <v>201</v>
      </c>
      <c r="UCD18" s="310" t="s">
        <v>201</v>
      </c>
      <c r="UCE18" s="310" t="s">
        <v>201</v>
      </c>
      <c r="UCF18" s="310" t="s">
        <v>201</v>
      </c>
      <c r="UCG18" s="310" t="s">
        <v>201</v>
      </c>
      <c r="UCH18" s="310" t="s">
        <v>201</v>
      </c>
      <c r="UCI18" s="310" t="s">
        <v>201</v>
      </c>
      <c r="UCJ18" s="310" t="s">
        <v>201</v>
      </c>
      <c r="UCK18" s="310" t="s">
        <v>201</v>
      </c>
      <c r="UCL18" s="310" t="s">
        <v>201</v>
      </c>
      <c r="UCM18" s="310" t="s">
        <v>201</v>
      </c>
      <c r="UCN18" s="310" t="s">
        <v>201</v>
      </c>
      <c r="UCO18" s="310" t="s">
        <v>201</v>
      </c>
      <c r="UCP18" s="310" t="s">
        <v>201</v>
      </c>
      <c r="UCQ18" s="310" t="s">
        <v>201</v>
      </c>
      <c r="UCR18" s="310" t="s">
        <v>201</v>
      </c>
      <c r="UCS18" s="310" t="s">
        <v>201</v>
      </c>
      <c r="UCT18" s="310" t="s">
        <v>201</v>
      </c>
      <c r="UCU18" s="310" t="s">
        <v>201</v>
      </c>
      <c r="UCV18" s="310" t="s">
        <v>201</v>
      </c>
      <c r="UCW18" s="310" t="s">
        <v>201</v>
      </c>
      <c r="UCX18" s="310" t="s">
        <v>201</v>
      </c>
      <c r="UCY18" s="310" t="s">
        <v>201</v>
      </c>
      <c r="UCZ18" s="310" t="s">
        <v>201</v>
      </c>
      <c r="UDA18" s="310" t="s">
        <v>201</v>
      </c>
      <c r="UDB18" s="310" t="s">
        <v>201</v>
      </c>
      <c r="UDC18" s="310" t="s">
        <v>201</v>
      </c>
      <c r="UDD18" s="310" t="s">
        <v>201</v>
      </c>
      <c r="UDE18" s="310" t="s">
        <v>201</v>
      </c>
      <c r="UDF18" s="310" t="s">
        <v>201</v>
      </c>
      <c r="UDG18" s="310" t="s">
        <v>201</v>
      </c>
      <c r="UDH18" s="310" t="s">
        <v>201</v>
      </c>
      <c r="UDI18" s="310" t="s">
        <v>201</v>
      </c>
      <c r="UDJ18" s="310" t="s">
        <v>201</v>
      </c>
      <c r="UDK18" s="310" t="s">
        <v>201</v>
      </c>
      <c r="UDL18" s="310" t="s">
        <v>201</v>
      </c>
      <c r="UDM18" s="310" t="s">
        <v>201</v>
      </c>
      <c r="UDN18" s="310" t="s">
        <v>201</v>
      </c>
      <c r="UDO18" s="310" t="s">
        <v>201</v>
      </c>
      <c r="UDP18" s="310" t="s">
        <v>201</v>
      </c>
      <c r="UDQ18" s="310" t="s">
        <v>201</v>
      </c>
      <c r="UDR18" s="310" t="s">
        <v>201</v>
      </c>
      <c r="UDS18" s="310" t="s">
        <v>201</v>
      </c>
      <c r="UDT18" s="310" t="s">
        <v>201</v>
      </c>
      <c r="UDU18" s="310" t="s">
        <v>201</v>
      </c>
      <c r="UDV18" s="310" t="s">
        <v>201</v>
      </c>
      <c r="UDW18" s="310" t="s">
        <v>201</v>
      </c>
      <c r="UDX18" s="310" t="s">
        <v>201</v>
      </c>
      <c r="UDY18" s="310" t="s">
        <v>201</v>
      </c>
      <c r="UDZ18" s="310" t="s">
        <v>201</v>
      </c>
      <c r="UEA18" s="310" t="s">
        <v>201</v>
      </c>
      <c r="UEB18" s="310" t="s">
        <v>201</v>
      </c>
      <c r="UEC18" s="310" t="s">
        <v>201</v>
      </c>
      <c r="UED18" s="310" t="s">
        <v>201</v>
      </c>
      <c r="UEE18" s="310" t="s">
        <v>201</v>
      </c>
      <c r="UEF18" s="310" t="s">
        <v>201</v>
      </c>
      <c r="UEG18" s="310" t="s">
        <v>201</v>
      </c>
      <c r="UEH18" s="310" t="s">
        <v>201</v>
      </c>
      <c r="UEI18" s="310" t="s">
        <v>201</v>
      </c>
      <c r="UEJ18" s="310" t="s">
        <v>201</v>
      </c>
      <c r="UEK18" s="310" t="s">
        <v>201</v>
      </c>
      <c r="UEL18" s="310" t="s">
        <v>201</v>
      </c>
      <c r="UEM18" s="310" t="s">
        <v>201</v>
      </c>
      <c r="UEN18" s="310" t="s">
        <v>201</v>
      </c>
      <c r="UEO18" s="310" t="s">
        <v>201</v>
      </c>
      <c r="UEP18" s="310" t="s">
        <v>201</v>
      </c>
      <c r="UEQ18" s="310" t="s">
        <v>201</v>
      </c>
      <c r="UER18" s="310" t="s">
        <v>201</v>
      </c>
      <c r="UES18" s="310" t="s">
        <v>201</v>
      </c>
      <c r="UET18" s="310" t="s">
        <v>201</v>
      </c>
      <c r="UEU18" s="310" t="s">
        <v>201</v>
      </c>
      <c r="UEV18" s="310" t="s">
        <v>201</v>
      </c>
      <c r="UEW18" s="310" t="s">
        <v>201</v>
      </c>
      <c r="UEX18" s="310" t="s">
        <v>201</v>
      </c>
      <c r="UEY18" s="310" t="s">
        <v>201</v>
      </c>
      <c r="UEZ18" s="310" t="s">
        <v>201</v>
      </c>
      <c r="UFA18" s="310" t="s">
        <v>201</v>
      </c>
      <c r="UFB18" s="310" t="s">
        <v>201</v>
      </c>
      <c r="UFC18" s="310" t="s">
        <v>201</v>
      </c>
      <c r="UFD18" s="310" t="s">
        <v>201</v>
      </c>
      <c r="UFE18" s="310" t="s">
        <v>201</v>
      </c>
      <c r="UFF18" s="310" t="s">
        <v>201</v>
      </c>
      <c r="UFG18" s="310" t="s">
        <v>201</v>
      </c>
      <c r="UFH18" s="310" t="s">
        <v>201</v>
      </c>
      <c r="UFI18" s="310" t="s">
        <v>201</v>
      </c>
      <c r="UFJ18" s="310" t="s">
        <v>201</v>
      </c>
      <c r="UFK18" s="310" t="s">
        <v>201</v>
      </c>
      <c r="UFL18" s="310" t="s">
        <v>201</v>
      </c>
      <c r="UFM18" s="310" t="s">
        <v>201</v>
      </c>
      <c r="UFN18" s="310" t="s">
        <v>201</v>
      </c>
      <c r="UFO18" s="310" t="s">
        <v>201</v>
      </c>
      <c r="UFP18" s="310" t="s">
        <v>201</v>
      </c>
      <c r="UFQ18" s="310" t="s">
        <v>201</v>
      </c>
      <c r="UFR18" s="310" t="s">
        <v>201</v>
      </c>
      <c r="UFS18" s="310" t="s">
        <v>201</v>
      </c>
      <c r="UFT18" s="310" t="s">
        <v>201</v>
      </c>
      <c r="UFU18" s="310" t="s">
        <v>201</v>
      </c>
      <c r="UFV18" s="310" t="s">
        <v>201</v>
      </c>
      <c r="UFW18" s="310" t="s">
        <v>201</v>
      </c>
      <c r="UFX18" s="310" t="s">
        <v>201</v>
      </c>
      <c r="UFY18" s="310" t="s">
        <v>201</v>
      </c>
      <c r="UFZ18" s="310" t="s">
        <v>201</v>
      </c>
      <c r="UGA18" s="310" t="s">
        <v>201</v>
      </c>
      <c r="UGB18" s="310" t="s">
        <v>201</v>
      </c>
      <c r="UGC18" s="310" t="s">
        <v>201</v>
      </c>
      <c r="UGD18" s="310" t="s">
        <v>201</v>
      </c>
      <c r="UGE18" s="310" t="s">
        <v>201</v>
      </c>
      <c r="UGF18" s="310" t="s">
        <v>201</v>
      </c>
      <c r="UGG18" s="310" t="s">
        <v>201</v>
      </c>
      <c r="UGH18" s="310" t="s">
        <v>201</v>
      </c>
      <c r="UGI18" s="310" t="s">
        <v>201</v>
      </c>
      <c r="UGJ18" s="310" t="s">
        <v>201</v>
      </c>
      <c r="UGK18" s="310" t="s">
        <v>201</v>
      </c>
      <c r="UGL18" s="310" t="s">
        <v>201</v>
      </c>
      <c r="UGM18" s="310" t="s">
        <v>201</v>
      </c>
      <c r="UGN18" s="310" t="s">
        <v>201</v>
      </c>
      <c r="UGO18" s="310" t="s">
        <v>201</v>
      </c>
      <c r="UGP18" s="310" t="s">
        <v>201</v>
      </c>
      <c r="UGQ18" s="310" t="s">
        <v>201</v>
      </c>
      <c r="UGR18" s="310" t="s">
        <v>201</v>
      </c>
      <c r="UGS18" s="310" t="s">
        <v>201</v>
      </c>
      <c r="UGT18" s="310" t="s">
        <v>201</v>
      </c>
      <c r="UGU18" s="310" t="s">
        <v>201</v>
      </c>
      <c r="UGV18" s="310" t="s">
        <v>201</v>
      </c>
      <c r="UGW18" s="310" t="s">
        <v>201</v>
      </c>
      <c r="UGX18" s="310" t="s">
        <v>201</v>
      </c>
      <c r="UGY18" s="310" t="s">
        <v>201</v>
      </c>
      <c r="UGZ18" s="310" t="s">
        <v>201</v>
      </c>
      <c r="UHA18" s="310" t="s">
        <v>201</v>
      </c>
      <c r="UHB18" s="310" t="s">
        <v>201</v>
      </c>
      <c r="UHC18" s="310" t="s">
        <v>201</v>
      </c>
      <c r="UHD18" s="310" t="s">
        <v>201</v>
      </c>
      <c r="UHE18" s="310" t="s">
        <v>201</v>
      </c>
      <c r="UHF18" s="310" t="s">
        <v>201</v>
      </c>
      <c r="UHG18" s="310" t="s">
        <v>201</v>
      </c>
      <c r="UHH18" s="310" t="s">
        <v>201</v>
      </c>
      <c r="UHI18" s="310" t="s">
        <v>201</v>
      </c>
      <c r="UHJ18" s="310" t="s">
        <v>201</v>
      </c>
      <c r="UHK18" s="310" t="s">
        <v>201</v>
      </c>
      <c r="UHL18" s="310" t="s">
        <v>201</v>
      </c>
      <c r="UHM18" s="310" t="s">
        <v>201</v>
      </c>
      <c r="UHN18" s="310" t="s">
        <v>201</v>
      </c>
      <c r="UHO18" s="310" t="s">
        <v>201</v>
      </c>
      <c r="UHP18" s="310" t="s">
        <v>201</v>
      </c>
      <c r="UHQ18" s="310" t="s">
        <v>201</v>
      </c>
      <c r="UHR18" s="310" t="s">
        <v>201</v>
      </c>
      <c r="UHS18" s="310" t="s">
        <v>201</v>
      </c>
      <c r="UHT18" s="310" t="s">
        <v>201</v>
      </c>
      <c r="UHU18" s="310" t="s">
        <v>201</v>
      </c>
      <c r="UHV18" s="310" t="s">
        <v>201</v>
      </c>
      <c r="UHW18" s="310" t="s">
        <v>201</v>
      </c>
      <c r="UHX18" s="310" t="s">
        <v>201</v>
      </c>
      <c r="UHY18" s="310" t="s">
        <v>201</v>
      </c>
      <c r="UHZ18" s="310" t="s">
        <v>201</v>
      </c>
      <c r="UIA18" s="310" t="s">
        <v>201</v>
      </c>
      <c r="UIB18" s="310" t="s">
        <v>201</v>
      </c>
      <c r="UIC18" s="310" t="s">
        <v>201</v>
      </c>
      <c r="UID18" s="310" t="s">
        <v>201</v>
      </c>
      <c r="UIE18" s="310" t="s">
        <v>201</v>
      </c>
      <c r="UIF18" s="310" t="s">
        <v>201</v>
      </c>
      <c r="UIG18" s="310" t="s">
        <v>201</v>
      </c>
      <c r="UIH18" s="310" t="s">
        <v>201</v>
      </c>
      <c r="UII18" s="310" t="s">
        <v>201</v>
      </c>
      <c r="UIJ18" s="310" t="s">
        <v>201</v>
      </c>
      <c r="UIK18" s="310" t="s">
        <v>201</v>
      </c>
      <c r="UIL18" s="310" t="s">
        <v>201</v>
      </c>
      <c r="UIM18" s="310" t="s">
        <v>201</v>
      </c>
      <c r="UIN18" s="310" t="s">
        <v>201</v>
      </c>
      <c r="UIO18" s="310" t="s">
        <v>201</v>
      </c>
      <c r="UIP18" s="310" t="s">
        <v>201</v>
      </c>
      <c r="UIQ18" s="310" t="s">
        <v>201</v>
      </c>
      <c r="UIR18" s="310" t="s">
        <v>201</v>
      </c>
      <c r="UIS18" s="310" t="s">
        <v>201</v>
      </c>
      <c r="UIT18" s="310" t="s">
        <v>201</v>
      </c>
      <c r="UIU18" s="310" t="s">
        <v>201</v>
      </c>
      <c r="UIV18" s="310" t="s">
        <v>201</v>
      </c>
      <c r="UIW18" s="310" t="s">
        <v>201</v>
      </c>
      <c r="UIX18" s="310" t="s">
        <v>201</v>
      </c>
      <c r="UIY18" s="310" t="s">
        <v>201</v>
      </c>
      <c r="UIZ18" s="310" t="s">
        <v>201</v>
      </c>
      <c r="UJA18" s="310" t="s">
        <v>201</v>
      </c>
      <c r="UJB18" s="310" t="s">
        <v>201</v>
      </c>
      <c r="UJC18" s="310" t="s">
        <v>201</v>
      </c>
      <c r="UJD18" s="310" t="s">
        <v>201</v>
      </c>
      <c r="UJE18" s="310" t="s">
        <v>201</v>
      </c>
      <c r="UJF18" s="310" t="s">
        <v>201</v>
      </c>
      <c r="UJG18" s="310" t="s">
        <v>201</v>
      </c>
      <c r="UJH18" s="310" t="s">
        <v>201</v>
      </c>
      <c r="UJI18" s="310" t="s">
        <v>201</v>
      </c>
      <c r="UJJ18" s="310" t="s">
        <v>201</v>
      </c>
      <c r="UJK18" s="310" t="s">
        <v>201</v>
      </c>
      <c r="UJL18" s="310" t="s">
        <v>201</v>
      </c>
      <c r="UJM18" s="310" t="s">
        <v>201</v>
      </c>
      <c r="UJN18" s="310" t="s">
        <v>201</v>
      </c>
      <c r="UJO18" s="310" t="s">
        <v>201</v>
      </c>
      <c r="UJP18" s="310" t="s">
        <v>201</v>
      </c>
      <c r="UJQ18" s="310" t="s">
        <v>201</v>
      </c>
      <c r="UJR18" s="310" t="s">
        <v>201</v>
      </c>
      <c r="UJS18" s="310" t="s">
        <v>201</v>
      </c>
      <c r="UJT18" s="310" t="s">
        <v>201</v>
      </c>
      <c r="UJU18" s="310" t="s">
        <v>201</v>
      </c>
      <c r="UJV18" s="310" t="s">
        <v>201</v>
      </c>
      <c r="UJW18" s="310" t="s">
        <v>201</v>
      </c>
      <c r="UJX18" s="310" t="s">
        <v>201</v>
      </c>
      <c r="UJY18" s="310" t="s">
        <v>201</v>
      </c>
      <c r="UJZ18" s="310" t="s">
        <v>201</v>
      </c>
      <c r="UKA18" s="310" t="s">
        <v>201</v>
      </c>
      <c r="UKB18" s="310" t="s">
        <v>201</v>
      </c>
      <c r="UKC18" s="310" t="s">
        <v>201</v>
      </c>
      <c r="UKD18" s="310" t="s">
        <v>201</v>
      </c>
      <c r="UKE18" s="310" t="s">
        <v>201</v>
      </c>
      <c r="UKF18" s="310" t="s">
        <v>201</v>
      </c>
      <c r="UKG18" s="310" t="s">
        <v>201</v>
      </c>
      <c r="UKH18" s="310" t="s">
        <v>201</v>
      </c>
      <c r="UKI18" s="310" t="s">
        <v>201</v>
      </c>
      <c r="UKJ18" s="310" t="s">
        <v>201</v>
      </c>
      <c r="UKK18" s="310" t="s">
        <v>201</v>
      </c>
      <c r="UKL18" s="310" t="s">
        <v>201</v>
      </c>
      <c r="UKM18" s="310" t="s">
        <v>201</v>
      </c>
      <c r="UKN18" s="310" t="s">
        <v>201</v>
      </c>
      <c r="UKO18" s="310" t="s">
        <v>201</v>
      </c>
      <c r="UKP18" s="310" t="s">
        <v>201</v>
      </c>
      <c r="UKQ18" s="310" t="s">
        <v>201</v>
      </c>
      <c r="UKR18" s="310" t="s">
        <v>201</v>
      </c>
      <c r="UKS18" s="310" t="s">
        <v>201</v>
      </c>
      <c r="UKT18" s="310" t="s">
        <v>201</v>
      </c>
      <c r="UKU18" s="310" t="s">
        <v>201</v>
      </c>
      <c r="UKV18" s="310" t="s">
        <v>201</v>
      </c>
      <c r="UKW18" s="310" t="s">
        <v>201</v>
      </c>
      <c r="UKX18" s="310" t="s">
        <v>201</v>
      </c>
      <c r="UKY18" s="310" t="s">
        <v>201</v>
      </c>
      <c r="UKZ18" s="310" t="s">
        <v>201</v>
      </c>
      <c r="ULA18" s="310" t="s">
        <v>201</v>
      </c>
      <c r="ULB18" s="310" t="s">
        <v>201</v>
      </c>
      <c r="ULC18" s="310" t="s">
        <v>201</v>
      </c>
      <c r="ULD18" s="310" t="s">
        <v>201</v>
      </c>
      <c r="ULE18" s="310" t="s">
        <v>201</v>
      </c>
      <c r="ULF18" s="310" t="s">
        <v>201</v>
      </c>
      <c r="ULG18" s="310" t="s">
        <v>201</v>
      </c>
      <c r="ULH18" s="310" t="s">
        <v>201</v>
      </c>
      <c r="ULI18" s="310" t="s">
        <v>201</v>
      </c>
      <c r="ULJ18" s="310" t="s">
        <v>201</v>
      </c>
      <c r="ULK18" s="310" t="s">
        <v>201</v>
      </c>
      <c r="ULL18" s="310" t="s">
        <v>201</v>
      </c>
      <c r="ULM18" s="310" t="s">
        <v>201</v>
      </c>
      <c r="ULN18" s="310" t="s">
        <v>201</v>
      </c>
      <c r="ULO18" s="310" t="s">
        <v>201</v>
      </c>
      <c r="ULP18" s="310" t="s">
        <v>201</v>
      </c>
      <c r="ULQ18" s="310" t="s">
        <v>201</v>
      </c>
      <c r="ULR18" s="310" t="s">
        <v>201</v>
      </c>
      <c r="ULS18" s="310" t="s">
        <v>201</v>
      </c>
      <c r="ULT18" s="310" t="s">
        <v>201</v>
      </c>
      <c r="ULU18" s="310" t="s">
        <v>201</v>
      </c>
      <c r="ULV18" s="310" t="s">
        <v>201</v>
      </c>
      <c r="ULW18" s="310" t="s">
        <v>201</v>
      </c>
      <c r="ULX18" s="310" t="s">
        <v>201</v>
      </c>
      <c r="ULY18" s="310" t="s">
        <v>201</v>
      </c>
      <c r="ULZ18" s="310" t="s">
        <v>201</v>
      </c>
      <c r="UMA18" s="310" t="s">
        <v>201</v>
      </c>
      <c r="UMB18" s="310" t="s">
        <v>201</v>
      </c>
      <c r="UMC18" s="310" t="s">
        <v>201</v>
      </c>
      <c r="UMD18" s="310" t="s">
        <v>201</v>
      </c>
      <c r="UME18" s="310" t="s">
        <v>201</v>
      </c>
      <c r="UMF18" s="310" t="s">
        <v>201</v>
      </c>
      <c r="UMG18" s="310" t="s">
        <v>201</v>
      </c>
      <c r="UMH18" s="310" t="s">
        <v>201</v>
      </c>
      <c r="UMI18" s="310" t="s">
        <v>201</v>
      </c>
      <c r="UMJ18" s="310" t="s">
        <v>201</v>
      </c>
      <c r="UMK18" s="310" t="s">
        <v>201</v>
      </c>
      <c r="UML18" s="310" t="s">
        <v>201</v>
      </c>
      <c r="UMM18" s="310" t="s">
        <v>201</v>
      </c>
      <c r="UMN18" s="310" t="s">
        <v>201</v>
      </c>
      <c r="UMO18" s="310" t="s">
        <v>201</v>
      </c>
      <c r="UMP18" s="310" t="s">
        <v>201</v>
      </c>
      <c r="UMQ18" s="310" t="s">
        <v>201</v>
      </c>
      <c r="UMR18" s="310" t="s">
        <v>201</v>
      </c>
      <c r="UMS18" s="310" t="s">
        <v>201</v>
      </c>
      <c r="UMT18" s="310" t="s">
        <v>201</v>
      </c>
      <c r="UMU18" s="310" t="s">
        <v>201</v>
      </c>
      <c r="UMV18" s="310" t="s">
        <v>201</v>
      </c>
      <c r="UMW18" s="310" t="s">
        <v>201</v>
      </c>
      <c r="UMX18" s="310" t="s">
        <v>201</v>
      </c>
      <c r="UMY18" s="310" t="s">
        <v>201</v>
      </c>
      <c r="UMZ18" s="310" t="s">
        <v>201</v>
      </c>
      <c r="UNA18" s="310" t="s">
        <v>201</v>
      </c>
      <c r="UNB18" s="310" t="s">
        <v>201</v>
      </c>
      <c r="UNC18" s="310" t="s">
        <v>201</v>
      </c>
      <c r="UND18" s="310" t="s">
        <v>201</v>
      </c>
      <c r="UNE18" s="310" t="s">
        <v>201</v>
      </c>
      <c r="UNF18" s="310" t="s">
        <v>201</v>
      </c>
      <c r="UNG18" s="310" t="s">
        <v>201</v>
      </c>
      <c r="UNH18" s="310" t="s">
        <v>201</v>
      </c>
      <c r="UNI18" s="310" t="s">
        <v>201</v>
      </c>
      <c r="UNJ18" s="310" t="s">
        <v>201</v>
      </c>
      <c r="UNK18" s="310" t="s">
        <v>201</v>
      </c>
      <c r="UNL18" s="310" t="s">
        <v>201</v>
      </c>
      <c r="UNM18" s="310" t="s">
        <v>201</v>
      </c>
      <c r="UNN18" s="310" t="s">
        <v>201</v>
      </c>
      <c r="UNO18" s="310" t="s">
        <v>201</v>
      </c>
      <c r="UNP18" s="310" t="s">
        <v>201</v>
      </c>
      <c r="UNQ18" s="310" t="s">
        <v>201</v>
      </c>
      <c r="UNR18" s="310" t="s">
        <v>201</v>
      </c>
      <c r="UNS18" s="310" t="s">
        <v>201</v>
      </c>
      <c r="UNT18" s="310" t="s">
        <v>201</v>
      </c>
      <c r="UNU18" s="310" t="s">
        <v>201</v>
      </c>
      <c r="UNV18" s="310" t="s">
        <v>201</v>
      </c>
      <c r="UNW18" s="310" t="s">
        <v>201</v>
      </c>
      <c r="UNX18" s="310" t="s">
        <v>201</v>
      </c>
      <c r="UNY18" s="310" t="s">
        <v>201</v>
      </c>
      <c r="UNZ18" s="310" t="s">
        <v>201</v>
      </c>
      <c r="UOA18" s="310" t="s">
        <v>201</v>
      </c>
      <c r="UOB18" s="310" t="s">
        <v>201</v>
      </c>
      <c r="UOC18" s="310" t="s">
        <v>201</v>
      </c>
      <c r="UOD18" s="310" t="s">
        <v>201</v>
      </c>
      <c r="UOE18" s="310" t="s">
        <v>201</v>
      </c>
      <c r="UOF18" s="310" t="s">
        <v>201</v>
      </c>
      <c r="UOG18" s="310" t="s">
        <v>201</v>
      </c>
      <c r="UOH18" s="310" t="s">
        <v>201</v>
      </c>
      <c r="UOI18" s="310" t="s">
        <v>201</v>
      </c>
      <c r="UOJ18" s="310" t="s">
        <v>201</v>
      </c>
      <c r="UOK18" s="310" t="s">
        <v>201</v>
      </c>
      <c r="UOL18" s="310" t="s">
        <v>201</v>
      </c>
      <c r="UOM18" s="310" t="s">
        <v>201</v>
      </c>
      <c r="UON18" s="310" t="s">
        <v>201</v>
      </c>
      <c r="UOO18" s="310" t="s">
        <v>201</v>
      </c>
      <c r="UOP18" s="310" t="s">
        <v>201</v>
      </c>
      <c r="UOQ18" s="310" t="s">
        <v>201</v>
      </c>
      <c r="UOR18" s="310" t="s">
        <v>201</v>
      </c>
      <c r="UOS18" s="310" t="s">
        <v>201</v>
      </c>
      <c r="UOT18" s="310" t="s">
        <v>201</v>
      </c>
      <c r="UOU18" s="310" t="s">
        <v>201</v>
      </c>
      <c r="UOV18" s="310" t="s">
        <v>201</v>
      </c>
      <c r="UOW18" s="310" t="s">
        <v>201</v>
      </c>
      <c r="UOX18" s="310" t="s">
        <v>201</v>
      </c>
      <c r="UOY18" s="310" t="s">
        <v>201</v>
      </c>
      <c r="UOZ18" s="310" t="s">
        <v>201</v>
      </c>
      <c r="UPA18" s="310" t="s">
        <v>201</v>
      </c>
      <c r="UPB18" s="310" t="s">
        <v>201</v>
      </c>
      <c r="UPC18" s="310" t="s">
        <v>201</v>
      </c>
      <c r="UPD18" s="310" t="s">
        <v>201</v>
      </c>
      <c r="UPE18" s="310" t="s">
        <v>201</v>
      </c>
      <c r="UPF18" s="310" t="s">
        <v>201</v>
      </c>
      <c r="UPG18" s="310" t="s">
        <v>201</v>
      </c>
      <c r="UPH18" s="310" t="s">
        <v>201</v>
      </c>
      <c r="UPI18" s="310" t="s">
        <v>201</v>
      </c>
      <c r="UPJ18" s="310" t="s">
        <v>201</v>
      </c>
      <c r="UPK18" s="310" t="s">
        <v>201</v>
      </c>
      <c r="UPL18" s="310" t="s">
        <v>201</v>
      </c>
      <c r="UPM18" s="310" t="s">
        <v>201</v>
      </c>
      <c r="UPN18" s="310" t="s">
        <v>201</v>
      </c>
      <c r="UPO18" s="310" t="s">
        <v>201</v>
      </c>
      <c r="UPP18" s="310" t="s">
        <v>201</v>
      </c>
      <c r="UPQ18" s="310" t="s">
        <v>201</v>
      </c>
      <c r="UPR18" s="310" t="s">
        <v>201</v>
      </c>
      <c r="UPS18" s="310" t="s">
        <v>201</v>
      </c>
      <c r="UPT18" s="310" t="s">
        <v>201</v>
      </c>
      <c r="UPU18" s="310" t="s">
        <v>201</v>
      </c>
      <c r="UPV18" s="310" t="s">
        <v>201</v>
      </c>
      <c r="UPW18" s="310" t="s">
        <v>201</v>
      </c>
      <c r="UPX18" s="310" t="s">
        <v>201</v>
      </c>
      <c r="UPY18" s="310" t="s">
        <v>201</v>
      </c>
      <c r="UPZ18" s="310" t="s">
        <v>201</v>
      </c>
      <c r="UQA18" s="310" t="s">
        <v>201</v>
      </c>
      <c r="UQB18" s="310" t="s">
        <v>201</v>
      </c>
      <c r="UQC18" s="310" t="s">
        <v>201</v>
      </c>
      <c r="UQD18" s="310" t="s">
        <v>201</v>
      </c>
      <c r="UQE18" s="310" t="s">
        <v>201</v>
      </c>
      <c r="UQF18" s="310" t="s">
        <v>201</v>
      </c>
      <c r="UQG18" s="310" t="s">
        <v>201</v>
      </c>
      <c r="UQH18" s="310" t="s">
        <v>201</v>
      </c>
      <c r="UQI18" s="310" t="s">
        <v>201</v>
      </c>
      <c r="UQJ18" s="310" t="s">
        <v>201</v>
      </c>
      <c r="UQK18" s="310" t="s">
        <v>201</v>
      </c>
      <c r="UQL18" s="310" t="s">
        <v>201</v>
      </c>
      <c r="UQM18" s="310" t="s">
        <v>201</v>
      </c>
      <c r="UQN18" s="310" t="s">
        <v>201</v>
      </c>
      <c r="UQO18" s="310" t="s">
        <v>201</v>
      </c>
      <c r="UQP18" s="310" t="s">
        <v>201</v>
      </c>
      <c r="UQQ18" s="310" t="s">
        <v>201</v>
      </c>
      <c r="UQR18" s="310" t="s">
        <v>201</v>
      </c>
      <c r="UQS18" s="310" t="s">
        <v>201</v>
      </c>
      <c r="UQT18" s="310" t="s">
        <v>201</v>
      </c>
      <c r="UQU18" s="310" t="s">
        <v>201</v>
      </c>
      <c r="UQV18" s="310" t="s">
        <v>201</v>
      </c>
      <c r="UQW18" s="310" t="s">
        <v>201</v>
      </c>
      <c r="UQX18" s="310" t="s">
        <v>201</v>
      </c>
      <c r="UQY18" s="310" t="s">
        <v>201</v>
      </c>
      <c r="UQZ18" s="310" t="s">
        <v>201</v>
      </c>
      <c r="URA18" s="310" t="s">
        <v>201</v>
      </c>
      <c r="URB18" s="310" t="s">
        <v>201</v>
      </c>
      <c r="URC18" s="310" t="s">
        <v>201</v>
      </c>
      <c r="URD18" s="310" t="s">
        <v>201</v>
      </c>
      <c r="URE18" s="310" t="s">
        <v>201</v>
      </c>
      <c r="URF18" s="310" t="s">
        <v>201</v>
      </c>
      <c r="URG18" s="310" t="s">
        <v>201</v>
      </c>
      <c r="URH18" s="310" t="s">
        <v>201</v>
      </c>
      <c r="URI18" s="310" t="s">
        <v>201</v>
      </c>
      <c r="URJ18" s="310" t="s">
        <v>201</v>
      </c>
      <c r="URK18" s="310" t="s">
        <v>201</v>
      </c>
      <c r="URL18" s="310" t="s">
        <v>201</v>
      </c>
      <c r="URM18" s="310" t="s">
        <v>201</v>
      </c>
      <c r="URN18" s="310" t="s">
        <v>201</v>
      </c>
      <c r="URO18" s="310" t="s">
        <v>201</v>
      </c>
      <c r="URP18" s="310" t="s">
        <v>201</v>
      </c>
      <c r="URQ18" s="310" t="s">
        <v>201</v>
      </c>
      <c r="URR18" s="310" t="s">
        <v>201</v>
      </c>
      <c r="URS18" s="310" t="s">
        <v>201</v>
      </c>
      <c r="URT18" s="310" t="s">
        <v>201</v>
      </c>
      <c r="URU18" s="310" t="s">
        <v>201</v>
      </c>
      <c r="URV18" s="310" t="s">
        <v>201</v>
      </c>
      <c r="URW18" s="310" t="s">
        <v>201</v>
      </c>
      <c r="URX18" s="310" t="s">
        <v>201</v>
      </c>
      <c r="URY18" s="310" t="s">
        <v>201</v>
      </c>
      <c r="URZ18" s="310" t="s">
        <v>201</v>
      </c>
      <c r="USA18" s="310" t="s">
        <v>201</v>
      </c>
      <c r="USB18" s="310" t="s">
        <v>201</v>
      </c>
      <c r="USC18" s="310" t="s">
        <v>201</v>
      </c>
      <c r="USD18" s="310" t="s">
        <v>201</v>
      </c>
      <c r="USE18" s="310" t="s">
        <v>201</v>
      </c>
      <c r="USF18" s="310" t="s">
        <v>201</v>
      </c>
      <c r="USG18" s="310" t="s">
        <v>201</v>
      </c>
      <c r="USH18" s="310" t="s">
        <v>201</v>
      </c>
      <c r="USI18" s="310" t="s">
        <v>201</v>
      </c>
      <c r="USJ18" s="310" t="s">
        <v>201</v>
      </c>
      <c r="USK18" s="310" t="s">
        <v>201</v>
      </c>
      <c r="USL18" s="310" t="s">
        <v>201</v>
      </c>
      <c r="USM18" s="310" t="s">
        <v>201</v>
      </c>
      <c r="USN18" s="310" t="s">
        <v>201</v>
      </c>
      <c r="USO18" s="310" t="s">
        <v>201</v>
      </c>
      <c r="USP18" s="310" t="s">
        <v>201</v>
      </c>
      <c r="USQ18" s="310" t="s">
        <v>201</v>
      </c>
      <c r="USR18" s="310" t="s">
        <v>201</v>
      </c>
      <c r="USS18" s="310" t="s">
        <v>201</v>
      </c>
      <c r="UST18" s="310" t="s">
        <v>201</v>
      </c>
      <c r="USU18" s="310" t="s">
        <v>201</v>
      </c>
      <c r="USV18" s="310" t="s">
        <v>201</v>
      </c>
      <c r="USW18" s="310" t="s">
        <v>201</v>
      </c>
      <c r="USX18" s="310" t="s">
        <v>201</v>
      </c>
      <c r="USY18" s="310" t="s">
        <v>201</v>
      </c>
      <c r="USZ18" s="310" t="s">
        <v>201</v>
      </c>
      <c r="UTA18" s="310" t="s">
        <v>201</v>
      </c>
      <c r="UTB18" s="310" t="s">
        <v>201</v>
      </c>
      <c r="UTC18" s="310" t="s">
        <v>201</v>
      </c>
      <c r="UTD18" s="310" t="s">
        <v>201</v>
      </c>
      <c r="UTE18" s="310" t="s">
        <v>201</v>
      </c>
      <c r="UTF18" s="310" t="s">
        <v>201</v>
      </c>
      <c r="UTG18" s="310" t="s">
        <v>201</v>
      </c>
      <c r="UTH18" s="310" t="s">
        <v>201</v>
      </c>
      <c r="UTI18" s="310" t="s">
        <v>201</v>
      </c>
      <c r="UTJ18" s="310" t="s">
        <v>201</v>
      </c>
      <c r="UTK18" s="310" t="s">
        <v>201</v>
      </c>
      <c r="UTL18" s="310" t="s">
        <v>201</v>
      </c>
      <c r="UTM18" s="310" t="s">
        <v>201</v>
      </c>
      <c r="UTN18" s="310" t="s">
        <v>201</v>
      </c>
      <c r="UTO18" s="310" t="s">
        <v>201</v>
      </c>
      <c r="UTP18" s="310" t="s">
        <v>201</v>
      </c>
      <c r="UTQ18" s="310" t="s">
        <v>201</v>
      </c>
      <c r="UTR18" s="310" t="s">
        <v>201</v>
      </c>
      <c r="UTS18" s="310" t="s">
        <v>201</v>
      </c>
      <c r="UTT18" s="310" t="s">
        <v>201</v>
      </c>
      <c r="UTU18" s="310" t="s">
        <v>201</v>
      </c>
      <c r="UTV18" s="310" t="s">
        <v>201</v>
      </c>
      <c r="UTW18" s="310" t="s">
        <v>201</v>
      </c>
      <c r="UTX18" s="310" t="s">
        <v>201</v>
      </c>
      <c r="UTY18" s="310" t="s">
        <v>201</v>
      </c>
      <c r="UTZ18" s="310" t="s">
        <v>201</v>
      </c>
      <c r="UUA18" s="310" t="s">
        <v>201</v>
      </c>
      <c r="UUB18" s="310" t="s">
        <v>201</v>
      </c>
      <c r="UUC18" s="310" t="s">
        <v>201</v>
      </c>
      <c r="UUD18" s="310" t="s">
        <v>201</v>
      </c>
      <c r="UUE18" s="310" t="s">
        <v>201</v>
      </c>
      <c r="UUF18" s="310" t="s">
        <v>201</v>
      </c>
      <c r="UUG18" s="310" t="s">
        <v>201</v>
      </c>
      <c r="UUH18" s="310" t="s">
        <v>201</v>
      </c>
      <c r="UUI18" s="310" t="s">
        <v>201</v>
      </c>
      <c r="UUJ18" s="310" t="s">
        <v>201</v>
      </c>
      <c r="UUK18" s="310" t="s">
        <v>201</v>
      </c>
      <c r="UUL18" s="310" t="s">
        <v>201</v>
      </c>
      <c r="UUM18" s="310" t="s">
        <v>201</v>
      </c>
      <c r="UUN18" s="310" t="s">
        <v>201</v>
      </c>
      <c r="UUO18" s="310" t="s">
        <v>201</v>
      </c>
      <c r="UUP18" s="310" t="s">
        <v>201</v>
      </c>
      <c r="UUQ18" s="310" t="s">
        <v>201</v>
      </c>
      <c r="UUR18" s="310" t="s">
        <v>201</v>
      </c>
      <c r="UUS18" s="310" t="s">
        <v>201</v>
      </c>
      <c r="UUT18" s="310" t="s">
        <v>201</v>
      </c>
      <c r="UUU18" s="310" t="s">
        <v>201</v>
      </c>
      <c r="UUV18" s="310" t="s">
        <v>201</v>
      </c>
      <c r="UUW18" s="310" t="s">
        <v>201</v>
      </c>
      <c r="UUX18" s="310" t="s">
        <v>201</v>
      </c>
      <c r="UUY18" s="310" t="s">
        <v>201</v>
      </c>
      <c r="UUZ18" s="310" t="s">
        <v>201</v>
      </c>
      <c r="UVA18" s="310" t="s">
        <v>201</v>
      </c>
      <c r="UVB18" s="310" t="s">
        <v>201</v>
      </c>
      <c r="UVC18" s="310" t="s">
        <v>201</v>
      </c>
      <c r="UVD18" s="310" t="s">
        <v>201</v>
      </c>
      <c r="UVE18" s="310" t="s">
        <v>201</v>
      </c>
      <c r="UVF18" s="310" t="s">
        <v>201</v>
      </c>
      <c r="UVG18" s="310" t="s">
        <v>201</v>
      </c>
      <c r="UVH18" s="310" t="s">
        <v>201</v>
      </c>
      <c r="UVI18" s="310" t="s">
        <v>201</v>
      </c>
      <c r="UVJ18" s="310" t="s">
        <v>201</v>
      </c>
      <c r="UVK18" s="310" t="s">
        <v>201</v>
      </c>
      <c r="UVL18" s="310" t="s">
        <v>201</v>
      </c>
      <c r="UVM18" s="310" t="s">
        <v>201</v>
      </c>
      <c r="UVN18" s="310" t="s">
        <v>201</v>
      </c>
      <c r="UVO18" s="310" t="s">
        <v>201</v>
      </c>
      <c r="UVP18" s="310" t="s">
        <v>201</v>
      </c>
      <c r="UVQ18" s="310" t="s">
        <v>201</v>
      </c>
      <c r="UVR18" s="310" t="s">
        <v>201</v>
      </c>
      <c r="UVS18" s="310" t="s">
        <v>201</v>
      </c>
      <c r="UVT18" s="310" t="s">
        <v>201</v>
      </c>
      <c r="UVU18" s="310" t="s">
        <v>201</v>
      </c>
      <c r="UVV18" s="310" t="s">
        <v>201</v>
      </c>
      <c r="UVW18" s="310" t="s">
        <v>201</v>
      </c>
      <c r="UVX18" s="310" t="s">
        <v>201</v>
      </c>
      <c r="UVY18" s="310" t="s">
        <v>201</v>
      </c>
      <c r="UVZ18" s="310" t="s">
        <v>201</v>
      </c>
      <c r="UWA18" s="310" t="s">
        <v>201</v>
      </c>
      <c r="UWB18" s="310" t="s">
        <v>201</v>
      </c>
      <c r="UWC18" s="310" t="s">
        <v>201</v>
      </c>
      <c r="UWD18" s="310" t="s">
        <v>201</v>
      </c>
      <c r="UWE18" s="310" t="s">
        <v>201</v>
      </c>
      <c r="UWF18" s="310" t="s">
        <v>201</v>
      </c>
      <c r="UWG18" s="310" t="s">
        <v>201</v>
      </c>
      <c r="UWH18" s="310" t="s">
        <v>201</v>
      </c>
      <c r="UWI18" s="310" t="s">
        <v>201</v>
      </c>
      <c r="UWJ18" s="310" t="s">
        <v>201</v>
      </c>
      <c r="UWK18" s="310" t="s">
        <v>201</v>
      </c>
      <c r="UWL18" s="310" t="s">
        <v>201</v>
      </c>
      <c r="UWM18" s="310" t="s">
        <v>201</v>
      </c>
      <c r="UWN18" s="310" t="s">
        <v>201</v>
      </c>
      <c r="UWO18" s="310" t="s">
        <v>201</v>
      </c>
      <c r="UWP18" s="310" t="s">
        <v>201</v>
      </c>
      <c r="UWQ18" s="310" t="s">
        <v>201</v>
      </c>
      <c r="UWR18" s="310" t="s">
        <v>201</v>
      </c>
      <c r="UWS18" s="310" t="s">
        <v>201</v>
      </c>
      <c r="UWT18" s="310" t="s">
        <v>201</v>
      </c>
      <c r="UWU18" s="310" t="s">
        <v>201</v>
      </c>
      <c r="UWV18" s="310" t="s">
        <v>201</v>
      </c>
      <c r="UWW18" s="310" t="s">
        <v>201</v>
      </c>
      <c r="UWX18" s="310" t="s">
        <v>201</v>
      </c>
      <c r="UWY18" s="310" t="s">
        <v>201</v>
      </c>
      <c r="UWZ18" s="310" t="s">
        <v>201</v>
      </c>
      <c r="UXA18" s="310" t="s">
        <v>201</v>
      </c>
      <c r="UXB18" s="310" t="s">
        <v>201</v>
      </c>
      <c r="UXC18" s="310" t="s">
        <v>201</v>
      </c>
      <c r="UXD18" s="310" t="s">
        <v>201</v>
      </c>
      <c r="UXE18" s="310" t="s">
        <v>201</v>
      </c>
      <c r="UXF18" s="310" t="s">
        <v>201</v>
      </c>
      <c r="UXG18" s="310" t="s">
        <v>201</v>
      </c>
      <c r="UXH18" s="310" t="s">
        <v>201</v>
      </c>
      <c r="UXI18" s="310" t="s">
        <v>201</v>
      </c>
      <c r="UXJ18" s="310" t="s">
        <v>201</v>
      </c>
      <c r="UXK18" s="310" t="s">
        <v>201</v>
      </c>
      <c r="UXL18" s="310" t="s">
        <v>201</v>
      </c>
      <c r="UXM18" s="310" t="s">
        <v>201</v>
      </c>
      <c r="UXN18" s="310" t="s">
        <v>201</v>
      </c>
      <c r="UXO18" s="310" t="s">
        <v>201</v>
      </c>
      <c r="UXP18" s="310" t="s">
        <v>201</v>
      </c>
      <c r="UXQ18" s="310" t="s">
        <v>201</v>
      </c>
      <c r="UXR18" s="310" t="s">
        <v>201</v>
      </c>
      <c r="UXS18" s="310" t="s">
        <v>201</v>
      </c>
      <c r="UXT18" s="310" t="s">
        <v>201</v>
      </c>
      <c r="UXU18" s="310" t="s">
        <v>201</v>
      </c>
      <c r="UXV18" s="310" t="s">
        <v>201</v>
      </c>
      <c r="UXW18" s="310" t="s">
        <v>201</v>
      </c>
      <c r="UXX18" s="310" t="s">
        <v>201</v>
      </c>
      <c r="UXY18" s="310" t="s">
        <v>201</v>
      </c>
      <c r="UXZ18" s="310" t="s">
        <v>201</v>
      </c>
      <c r="UYA18" s="310" t="s">
        <v>201</v>
      </c>
      <c r="UYB18" s="310" t="s">
        <v>201</v>
      </c>
      <c r="UYC18" s="310" t="s">
        <v>201</v>
      </c>
      <c r="UYD18" s="310" t="s">
        <v>201</v>
      </c>
      <c r="UYE18" s="310" t="s">
        <v>201</v>
      </c>
      <c r="UYF18" s="310" t="s">
        <v>201</v>
      </c>
      <c r="UYG18" s="310" t="s">
        <v>201</v>
      </c>
      <c r="UYH18" s="310" t="s">
        <v>201</v>
      </c>
      <c r="UYI18" s="310" t="s">
        <v>201</v>
      </c>
      <c r="UYJ18" s="310" t="s">
        <v>201</v>
      </c>
      <c r="UYK18" s="310" t="s">
        <v>201</v>
      </c>
      <c r="UYL18" s="310" t="s">
        <v>201</v>
      </c>
      <c r="UYM18" s="310" t="s">
        <v>201</v>
      </c>
      <c r="UYN18" s="310" t="s">
        <v>201</v>
      </c>
      <c r="UYO18" s="310" t="s">
        <v>201</v>
      </c>
      <c r="UYP18" s="310" t="s">
        <v>201</v>
      </c>
      <c r="UYQ18" s="310" t="s">
        <v>201</v>
      </c>
      <c r="UYR18" s="310" t="s">
        <v>201</v>
      </c>
      <c r="UYS18" s="310" t="s">
        <v>201</v>
      </c>
      <c r="UYT18" s="310" t="s">
        <v>201</v>
      </c>
      <c r="UYU18" s="310" t="s">
        <v>201</v>
      </c>
      <c r="UYV18" s="310" t="s">
        <v>201</v>
      </c>
      <c r="UYW18" s="310" t="s">
        <v>201</v>
      </c>
      <c r="UYX18" s="310" t="s">
        <v>201</v>
      </c>
      <c r="UYY18" s="310" t="s">
        <v>201</v>
      </c>
      <c r="UYZ18" s="310" t="s">
        <v>201</v>
      </c>
      <c r="UZA18" s="310" t="s">
        <v>201</v>
      </c>
      <c r="UZB18" s="310" t="s">
        <v>201</v>
      </c>
      <c r="UZC18" s="310" t="s">
        <v>201</v>
      </c>
      <c r="UZD18" s="310" t="s">
        <v>201</v>
      </c>
      <c r="UZE18" s="310" t="s">
        <v>201</v>
      </c>
      <c r="UZF18" s="310" t="s">
        <v>201</v>
      </c>
      <c r="UZG18" s="310" t="s">
        <v>201</v>
      </c>
      <c r="UZH18" s="310" t="s">
        <v>201</v>
      </c>
      <c r="UZI18" s="310" t="s">
        <v>201</v>
      </c>
      <c r="UZJ18" s="310" t="s">
        <v>201</v>
      </c>
      <c r="UZK18" s="310" t="s">
        <v>201</v>
      </c>
      <c r="UZL18" s="310" t="s">
        <v>201</v>
      </c>
      <c r="UZM18" s="310" t="s">
        <v>201</v>
      </c>
      <c r="UZN18" s="310" t="s">
        <v>201</v>
      </c>
      <c r="UZO18" s="310" t="s">
        <v>201</v>
      </c>
      <c r="UZP18" s="310" t="s">
        <v>201</v>
      </c>
      <c r="UZQ18" s="310" t="s">
        <v>201</v>
      </c>
      <c r="UZR18" s="310" t="s">
        <v>201</v>
      </c>
      <c r="UZS18" s="310" t="s">
        <v>201</v>
      </c>
      <c r="UZT18" s="310" t="s">
        <v>201</v>
      </c>
      <c r="UZU18" s="310" t="s">
        <v>201</v>
      </c>
      <c r="UZV18" s="310" t="s">
        <v>201</v>
      </c>
      <c r="UZW18" s="310" t="s">
        <v>201</v>
      </c>
      <c r="UZX18" s="310" t="s">
        <v>201</v>
      </c>
      <c r="UZY18" s="310" t="s">
        <v>201</v>
      </c>
      <c r="UZZ18" s="310" t="s">
        <v>201</v>
      </c>
      <c r="VAA18" s="310" t="s">
        <v>201</v>
      </c>
      <c r="VAB18" s="310" t="s">
        <v>201</v>
      </c>
      <c r="VAC18" s="310" t="s">
        <v>201</v>
      </c>
      <c r="VAD18" s="310" t="s">
        <v>201</v>
      </c>
      <c r="VAE18" s="310" t="s">
        <v>201</v>
      </c>
      <c r="VAF18" s="310" t="s">
        <v>201</v>
      </c>
      <c r="VAG18" s="310" t="s">
        <v>201</v>
      </c>
      <c r="VAH18" s="310" t="s">
        <v>201</v>
      </c>
      <c r="VAI18" s="310" t="s">
        <v>201</v>
      </c>
      <c r="VAJ18" s="310" t="s">
        <v>201</v>
      </c>
      <c r="VAK18" s="310" t="s">
        <v>201</v>
      </c>
      <c r="VAL18" s="310" t="s">
        <v>201</v>
      </c>
      <c r="VAM18" s="310" t="s">
        <v>201</v>
      </c>
      <c r="VAN18" s="310" t="s">
        <v>201</v>
      </c>
      <c r="VAO18" s="310" t="s">
        <v>201</v>
      </c>
      <c r="VAP18" s="310" t="s">
        <v>201</v>
      </c>
      <c r="VAQ18" s="310" t="s">
        <v>201</v>
      </c>
      <c r="VAR18" s="310" t="s">
        <v>201</v>
      </c>
      <c r="VAS18" s="310" t="s">
        <v>201</v>
      </c>
      <c r="VAT18" s="310" t="s">
        <v>201</v>
      </c>
      <c r="VAU18" s="310" t="s">
        <v>201</v>
      </c>
      <c r="VAV18" s="310" t="s">
        <v>201</v>
      </c>
      <c r="VAW18" s="310" t="s">
        <v>201</v>
      </c>
      <c r="VAX18" s="310" t="s">
        <v>201</v>
      </c>
      <c r="VAY18" s="310" t="s">
        <v>201</v>
      </c>
      <c r="VAZ18" s="310" t="s">
        <v>201</v>
      </c>
      <c r="VBA18" s="310" t="s">
        <v>201</v>
      </c>
      <c r="VBB18" s="310" t="s">
        <v>201</v>
      </c>
      <c r="VBC18" s="310" t="s">
        <v>201</v>
      </c>
      <c r="VBD18" s="310" t="s">
        <v>201</v>
      </c>
      <c r="VBE18" s="310" t="s">
        <v>201</v>
      </c>
      <c r="VBF18" s="310" t="s">
        <v>201</v>
      </c>
      <c r="VBG18" s="310" t="s">
        <v>201</v>
      </c>
      <c r="VBH18" s="310" t="s">
        <v>201</v>
      </c>
      <c r="VBI18" s="310" t="s">
        <v>201</v>
      </c>
      <c r="VBJ18" s="310" t="s">
        <v>201</v>
      </c>
      <c r="VBK18" s="310" t="s">
        <v>201</v>
      </c>
      <c r="VBL18" s="310" t="s">
        <v>201</v>
      </c>
      <c r="VBM18" s="310" t="s">
        <v>201</v>
      </c>
      <c r="VBN18" s="310" t="s">
        <v>201</v>
      </c>
      <c r="VBO18" s="310" t="s">
        <v>201</v>
      </c>
      <c r="VBP18" s="310" t="s">
        <v>201</v>
      </c>
      <c r="VBQ18" s="310" t="s">
        <v>201</v>
      </c>
      <c r="VBR18" s="310" t="s">
        <v>201</v>
      </c>
      <c r="VBS18" s="310" t="s">
        <v>201</v>
      </c>
      <c r="VBT18" s="310" t="s">
        <v>201</v>
      </c>
      <c r="VBU18" s="310" t="s">
        <v>201</v>
      </c>
      <c r="VBV18" s="310" t="s">
        <v>201</v>
      </c>
      <c r="VBW18" s="310" t="s">
        <v>201</v>
      </c>
      <c r="VBX18" s="310" t="s">
        <v>201</v>
      </c>
      <c r="VBY18" s="310" t="s">
        <v>201</v>
      </c>
      <c r="VBZ18" s="310" t="s">
        <v>201</v>
      </c>
      <c r="VCA18" s="310" t="s">
        <v>201</v>
      </c>
      <c r="VCB18" s="310" t="s">
        <v>201</v>
      </c>
      <c r="VCC18" s="310" t="s">
        <v>201</v>
      </c>
      <c r="VCD18" s="310" t="s">
        <v>201</v>
      </c>
      <c r="VCE18" s="310" t="s">
        <v>201</v>
      </c>
      <c r="VCF18" s="310" t="s">
        <v>201</v>
      </c>
      <c r="VCG18" s="310" t="s">
        <v>201</v>
      </c>
      <c r="VCH18" s="310" t="s">
        <v>201</v>
      </c>
      <c r="VCI18" s="310" t="s">
        <v>201</v>
      </c>
      <c r="VCJ18" s="310" t="s">
        <v>201</v>
      </c>
      <c r="VCK18" s="310" t="s">
        <v>201</v>
      </c>
      <c r="VCL18" s="310" t="s">
        <v>201</v>
      </c>
      <c r="VCM18" s="310" t="s">
        <v>201</v>
      </c>
      <c r="VCN18" s="310" t="s">
        <v>201</v>
      </c>
      <c r="VCO18" s="310" t="s">
        <v>201</v>
      </c>
      <c r="VCP18" s="310" t="s">
        <v>201</v>
      </c>
      <c r="VCQ18" s="310" t="s">
        <v>201</v>
      </c>
      <c r="VCR18" s="310" t="s">
        <v>201</v>
      </c>
      <c r="VCS18" s="310" t="s">
        <v>201</v>
      </c>
      <c r="VCT18" s="310" t="s">
        <v>201</v>
      </c>
      <c r="VCU18" s="310" t="s">
        <v>201</v>
      </c>
      <c r="VCV18" s="310" t="s">
        <v>201</v>
      </c>
      <c r="VCW18" s="310" t="s">
        <v>201</v>
      </c>
      <c r="VCX18" s="310" t="s">
        <v>201</v>
      </c>
      <c r="VCY18" s="310" t="s">
        <v>201</v>
      </c>
      <c r="VCZ18" s="310" t="s">
        <v>201</v>
      </c>
      <c r="VDA18" s="310" t="s">
        <v>201</v>
      </c>
      <c r="VDB18" s="310" t="s">
        <v>201</v>
      </c>
      <c r="VDC18" s="310" t="s">
        <v>201</v>
      </c>
      <c r="VDD18" s="310" t="s">
        <v>201</v>
      </c>
      <c r="VDE18" s="310" t="s">
        <v>201</v>
      </c>
      <c r="VDF18" s="310" t="s">
        <v>201</v>
      </c>
      <c r="VDG18" s="310" t="s">
        <v>201</v>
      </c>
      <c r="VDH18" s="310" t="s">
        <v>201</v>
      </c>
      <c r="VDI18" s="310" t="s">
        <v>201</v>
      </c>
      <c r="VDJ18" s="310" t="s">
        <v>201</v>
      </c>
      <c r="VDK18" s="310" t="s">
        <v>201</v>
      </c>
      <c r="VDL18" s="310" t="s">
        <v>201</v>
      </c>
      <c r="VDM18" s="310" t="s">
        <v>201</v>
      </c>
      <c r="VDN18" s="310" t="s">
        <v>201</v>
      </c>
      <c r="VDO18" s="310" t="s">
        <v>201</v>
      </c>
      <c r="VDP18" s="310" t="s">
        <v>201</v>
      </c>
      <c r="VDQ18" s="310" t="s">
        <v>201</v>
      </c>
      <c r="VDR18" s="310" t="s">
        <v>201</v>
      </c>
      <c r="VDS18" s="310" t="s">
        <v>201</v>
      </c>
      <c r="VDT18" s="310" t="s">
        <v>201</v>
      </c>
      <c r="VDU18" s="310" t="s">
        <v>201</v>
      </c>
      <c r="VDV18" s="310" t="s">
        <v>201</v>
      </c>
      <c r="VDW18" s="310" t="s">
        <v>201</v>
      </c>
      <c r="VDX18" s="310" t="s">
        <v>201</v>
      </c>
      <c r="VDY18" s="310" t="s">
        <v>201</v>
      </c>
      <c r="VDZ18" s="310" t="s">
        <v>201</v>
      </c>
      <c r="VEA18" s="310" t="s">
        <v>201</v>
      </c>
      <c r="VEB18" s="310" t="s">
        <v>201</v>
      </c>
      <c r="VEC18" s="310" t="s">
        <v>201</v>
      </c>
      <c r="VED18" s="310" t="s">
        <v>201</v>
      </c>
      <c r="VEE18" s="310" t="s">
        <v>201</v>
      </c>
      <c r="VEF18" s="310" t="s">
        <v>201</v>
      </c>
      <c r="VEG18" s="310" t="s">
        <v>201</v>
      </c>
      <c r="VEH18" s="310" t="s">
        <v>201</v>
      </c>
      <c r="VEI18" s="310" t="s">
        <v>201</v>
      </c>
      <c r="VEJ18" s="310" t="s">
        <v>201</v>
      </c>
      <c r="VEK18" s="310" t="s">
        <v>201</v>
      </c>
      <c r="VEL18" s="310" t="s">
        <v>201</v>
      </c>
      <c r="VEM18" s="310" t="s">
        <v>201</v>
      </c>
      <c r="VEN18" s="310" t="s">
        <v>201</v>
      </c>
      <c r="VEO18" s="310" t="s">
        <v>201</v>
      </c>
      <c r="VEP18" s="310" t="s">
        <v>201</v>
      </c>
      <c r="VEQ18" s="310" t="s">
        <v>201</v>
      </c>
      <c r="VER18" s="310" t="s">
        <v>201</v>
      </c>
      <c r="VES18" s="310" t="s">
        <v>201</v>
      </c>
      <c r="VET18" s="310" t="s">
        <v>201</v>
      </c>
      <c r="VEU18" s="310" t="s">
        <v>201</v>
      </c>
      <c r="VEV18" s="310" t="s">
        <v>201</v>
      </c>
      <c r="VEW18" s="310" t="s">
        <v>201</v>
      </c>
      <c r="VEX18" s="310" t="s">
        <v>201</v>
      </c>
      <c r="VEY18" s="310" t="s">
        <v>201</v>
      </c>
      <c r="VEZ18" s="310" t="s">
        <v>201</v>
      </c>
      <c r="VFA18" s="310" t="s">
        <v>201</v>
      </c>
      <c r="VFB18" s="310" t="s">
        <v>201</v>
      </c>
      <c r="VFC18" s="310" t="s">
        <v>201</v>
      </c>
      <c r="VFD18" s="310" t="s">
        <v>201</v>
      </c>
      <c r="VFE18" s="310" t="s">
        <v>201</v>
      </c>
      <c r="VFF18" s="310" t="s">
        <v>201</v>
      </c>
      <c r="VFG18" s="310" t="s">
        <v>201</v>
      </c>
      <c r="VFH18" s="310" t="s">
        <v>201</v>
      </c>
      <c r="VFI18" s="310" t="s">
        <v>201</v>
      </c>
      <c r="VFJ18" s="310" t="s">
        <v>201</v>
      </c>
      <c r="VFK18" s="310" t="s">
        <v>201</v>
      </c>
      <c r="VFL18" s="310" t="s">
        <v>201</v>
      </c>
      <c r="VFM18" s="310" t="s">
        <v>201</v>
      </c>
      <c r="VFN18" s="310" t="s">
        <v>201</v>
      </c>
      <c r="VFO18" s="310" t="s">
        <v>201</v>
      </c>
      <c r="VFP18" s="310" t="s">
        <v>201</v>
      </c>
      <c r="VFQ18" s="310" t="s">
        <v>201</v>
      </c>
      <c r="VFR18" s="310" t="s">
        <v>201</v>
      </c>
      <c r="VFS18" s="310" t="s">
        <v>201</v>
      </c>
      <c r="VFT18" s="310" t="s">
        <v>201</v>
      </c>
      <c r="VFU18" s="310" t="s">
        <v>201</v>
      </c>
      <c r="VFV18" s="310" t="s">
        <v>201</v>
      </c>
      <c r="VFW18" s="310" t="s">
        <v>201</v>
      </c>
      <c r="VFX18" s="310" t="s">
        <v>201</v>
      </c>
      <c r="VFY18" s="310" t="s">
        <v>201</v>
      </c>
      <c r="VFZ18" s="310" t="s">
        <v>201</v>
      </c>
      <c r="VGA18" s="310" t="s">
        <v>201</v>
      </c>
      <c r="VGB18" s="310" t="s">
        <v>201</v>
      </c>
      <c r="VGC18" s="310" t="s">
        <v>201</v>
      </c>
      <c r="VGD18" s="310" t="s">
        <v>201</v>
      </c>
      <c r="VGE18" s="310" t="s">
        <v>201</v>
      </c>
      <c r="VGF18" s="310" t="s">
        <v>201</v>
      </c>
      <c r="VGG18" s="310" t="s">
        <v>201</v>
      </c>
      <c r="VGH18" s="310" t="s">
        <v>201</v>
      </c>
      <c r="VGI18" s="310" t="s">
        <v>201</v>
      </c>
      <c r="VGJ18" s="310" t="s">
        <v>201</v>
      </c>
      <c r="VGK18" s="310" t="s">
        <v>201</v>
      </c>
      <c r="VGL18" s="310" t="s">
        <v>201</v>
      </c>
      <c r="VGM18" s="310" t="s">
        <v>201</v>
      </c>
      <c r="VGN18" s="310" t="s">
        <v>201</v>
      </c>
      <c r="VGO18" s="310" t="s">
        <v>201</v>
      </c>
      <c r="VGP18" s="310" t="s">
        <v>201</v>
      </c>
      <c r="VGQ18" s="310" t="s">
        <v>201</v>
      </c>
      <c r="VGR18" s="310" t="s">
        <v>201</v>
      </c>
      <c r="VGS18" s="310" t="s">
        <v>201</v>
      </c>
      <c r="VGT18" s="310" t="s">
        <v>201</v>
      </c>
      <c r="VGU18" s="310" t="s">
        <v>201</v>
      </c>
      <c r="VGV18" s="310" t="s">
        <v>201</v>
      </c>
      <c r="VGW18" s="310" t="s">
        <v>201</v>
      </c>
      <c r="VGX18" s="310" t="s">
        <v>201</v>
      </c>
      <c r="VGY18" s="310" t="s">
        <v>201</v>
      </c>
      <c r="VGZ18" s="310" t="s">
        <v>201</v>
      </c>
      <c r="VHA18" s="310" t="s">
        <v>201</v>
      </c>
      <c r="VHB18" s="310" t="s">
        <v>201</v>
      </c>
      <c r="VHC18" s="310" t="s">
        <v>201</v>
      </c>
      <c r="VHD18" s="310" t="s">
        <v>201</v>
      </c>
      <c r="VHE18" s="310" t="s">
        <v>201</v>
      </c>
      <c r="VHF18" s="310" t="s">
        <v>201</v>
      </c>
      <c r="VHG18" s="310" t="s">
        <v>201</v>
      </c>
      <c r="VHH18" s="310" t="s">
        <v>201</v>
      </c>
      <c r="VHI18" s="310" t="s">
        <v>201</v>
      </c>
      <c r="VHJ18" s="310" t="s">
        <v>201</v>
      </c>
      <c r="VHK18" s="310" t="s">
        <v>201</v>
      </c>
      <c r="VHL18" s="310" t="s">
        <v>201</v>
      </c>
      <c r="VHM18" s="310" t="s">
        <v>201</v>
      </c>
      <c r="VHN18" s="310" t="s">
        <v>201</v>
      </c>
      <c r="VHO18" s="310" t="s">
        <v>201</v>
      </c>
      <c r="VHP18" s="310" t="s">
        <v>201</v>
      </c>
      <c r="VHQ18" s="310" t="s">
        <v>201</v>
      </c>
      <c r="VHR18" s="310" t="s">
        <v>201</v>
      </c>
      <c r="VHS18" s="310" t="s">
        <v>201</v>
      </c>
      <c r="VHT18" s="310" t="s">
        <v>201</v>
      </c>
      <c r="VHU18" s="310" t="s">
        <v>201</v>
      </c>
      <c r="VHV18" s="310" t="s">
        <v>201</v>
      </c>
      <c r="VHW18" s="310" t="s">
        <v>201</v>
      </c>
      <c r="VHX18" s="310" t="s">
        <v>201</v>
      </c>
      <c r="VHY18" s="310" t="s">
        <v>201</v>
      </c>
      <c r="VHZ18" s="310" t="s">
        <v>201</v>
      </c>
      <c r="VIA18" s="310" t="s">
        <v>201</v>
      </c>
      <c r="VIB18" s="310" t="s">
        <v>201</v>
      </c>
      <c r="VIC18" s="310" t="s">
        <v>201</v>
      </c>
      <c r="VID18" s="310" t="s">
        <v>201</v>
      </c>
      <c r="VIE18" s="310" t="s">
        <v>201</v>
      </c>
      <c r="VIF18" s="310" t="s">
        <v>201</v>
      </c>
      <c r="VIG18" s="310" t="s">
        <v>201</v>
      </c>
      <c r="VIH18" s="310" t="s">
        <v>201</v>
      </c>
      <c r="VII18" s="310" t="s">
        <v>201</v>
      </c>
      <c r="VIJ18" s="310" t="s">
        <v>201</v>
      </c>
      <c r="VIK18" s="310" t="s">
        <v>201</v>
      </c>
      <c r="VIL18" s="310" t="s">
        <v>201</v>
      </c>
      <c r="VIM18" s="310" t="s">
        <v>201</v>
      </c>
      <c r="VIN18" s="310" t="s">
        <v>201</v>
      </c>
      <c r="VIO18" s="310" t="s">
        <v>201</v>
      </c>
      <c r="VIP18" s="310" t="s">
        <v>201</v>
      </c>
      <c r="VIQ18" s="310" t="s">
        <v>201</v>
      </c>
      <c r="VIR18" s="310" t="s">
        <v>201</v>
      </c>
      <c r="VIS18" s="310" t="s">
        <v>201</v>
      </c>
      <c r="VIT18" s="310" t="s">
        <v>201</v>
      </c>
      <c r="VIU18" s="310" t="s">
        <v>201</v>
      </c>
      <c r="VIV18" s="310" t="s">
        <v>201</v>
      </c>
      <c r="VIW18" s="310" t="s">
        <v>201</v>
      </c>
      <c r="VIX18" s="310" t="s">
        <v>201</v>
      </c>
      <c r="VIY18" s="310" t="s">
        <v>201</v>
      </c>
      <c r="VIZ18" s="310" t="s">
        <v>201</v>
      </c>
      <c r="VJA18" s="310" t="s">
        <v>201</v>
      </c>
      <c r="VJB18" s="310" t="s">
        <v>201</v>
      </c>
      <c r="VJC18" s="310" t="s">
        <v>201</v>
      </c>
      <c r="VJD18" s="310" t="s">
        <v>201</v>
      </c>
      <c r="VJE18" s="310" t="s">
        <v>201</v>
      </c>
      <c r="VJF18" s="310" t="s">
        <v>201</v>
      </c>
      <c r="VJG18" s="310" t="s">
        <v>201</v>
      </c>
      <c r="VJH18" s="310" t="s">
        <v>201</v>
      </c>
      <c r="VJI18" s="310" t="s">
        <v>201</v>
      </c>
      <c r="VJJ18" s="310" t="s">
        <v>201</v>
      </c>
      <c r="VJK18" s="310" t="s">
        <v>201</v>
      </c>
      <c r="VJL18" s="310" t="s">
        <v>201</v>
      </c>
      <c r="VJM18" s="310" t="s">
        <v>201</v>
      </c>
      <c r="VJN18" s="310" t="s">
        <v>201</v>
      </c>
      <c r="VJO18" s="310" t="s">
        <v>201</v>
      </c>
      <c r="VJP18" s="310" t="s">
        <v>201</v>
      </c>
      <c r="VJQ18" s="310" t="s">
        <v>201</v>
      </c>
      <c r="VJR18" s="310" t="s">
        <v>201</v>
      </c>
      <c r="VJS18" s="310" t="s">
        <v>201</v>
      </c>
      <c r="VJT18" s="310" t="s">
        <v>201</v>
      </c>
      <c r="VJU18" s="310" t="s">
        <v>201</v>
      </c>
      <c r="VJV18" s="310" t="s">
        <v>201</v>
      </c>
      <c r="VJW18" s="310" t="s">
        <v>201</v>
      </c>
      <c r="VJX18" s="310" t="s">
        <v>201</v>
      </c>
      <c r="VJY18" s="310" t="s">
        <v>201</v>
      </c>
      <c r="VJZ18" s="310" t="s">
        <v>201</v>
      </c>
      <c r="VKA18" s="310" t="s">
        <v>201</v>
      </c>
      <c r="VKB18" s="310" t="s">
        <v>201</v>
      </c>
      <c r="VKC18" s="310" t="s">
        <v>201</v>
      </c>
      <c r="VKD18" s="310" t="s">
        <v>201</v>
      </c>
      <c r="VKE18" s="310" t="s">
        <v>201</v>
      </c>
      <c r="VKF18" s="310" t="s">
        <v>201</v>
      </c>
      <c r="VKG18" s="310" t="s">
        <v>201</v>
      </c>
      <c r="VKH18" s="310" t="s">
        <v>201</v>
      </c>
      <c r="VKI18" s="310" t="s">
        <v>201</v>
      </c>
      <c r="VKJ18" s="310" t="s">
        <v>201</v>
      </c>
      <c r="VKK18" s="310" t="s">
        <v>201</v>
      </c>
      <c r="VKL18" s="310" t="s">
        <v>201</v>
      </c>
      <c r="VKM18" s="310" t="s">
        <v>201</v>
      </c>
      <c r="VKN18" s="310" t="s">
        <v>201</v>
      </c>
      <c r="VKO18" s="310" t="s">
        <v>201</v>
      </c>
      <c r="VKP18" s="310" t="s">
        <v>201</v>
      </c>
      <c r="VKQ18" s="310" t="s">
        <v>201</v>
      </c>
      <c r="VKR18" s="310" t="s">
        <v>201</v>
      </c>
      <c r="VKS18" s="310" t="s">
        <v>201</v>
      </c>
      <c r="VKT18" s="310" t="s">
        <v>201</v>
      </c>
      <c r="VKU18" s="310" t="s">
        <v>201</v>
      </c>
      <c r="VKV18" s="310" t="s">
        <v>201</v>
      </c>
      <c r="VKW18" s="310" t="s">
        <v>201</v>
      </c>
      <c r="VKX18" s="310" t="s">
        <v>201</v>
      </c>
      <c r="VKY18" s="310" t="s">
        <v>201</v>
      </c>
      <c r="VKZ18" s="310" t="s">
        <v>201</v>
      </c>
      <c r="VLA18" s="310" t="s">
        <v>201</v>
      </c>
      <c r="VLB18" s="310" t="s">
        <v>201</v>
      </c>
      <c r="VLC18" s="310" t="s">
        <v>201</v>
      </c>
      <c r="VLD18" s="310" t="s">
        <v>201</v>
      </c>
      <c r="VLE18" s="310" t="s">
        <v>201</v>
      </c>
      <c r="VLF18" s="310" t="s">
        <v>201</v>
      </c>
      <c r="VLG18" s="310" t="s">
        <v>201</v>
      </c>
      <c r="VLH18" s="310" t="s">
        <v>201</v>
      </c>
      <c r="VLI18" s="310" t="s">
        <v>201</v>
      </c>
      <c r="VLJ18" s="310" t="s">
        <v>201</v>
      </c>
      <c r="VLK18" s="310" t="s">
        <v>201</v>
      </c>
      <c r="VLL18" s="310" t="s">
        <v>201</v>
      </c>
      <c r="VLM18" s="310" t="s">
        <v>201</v>
      </c>
      <c r="VLN18" s="310" t="s">
        <v>201</v>
      </c>
      <c r="VLO18" s="310" t="s">
        <v>201</v>
      </c>
      <c r="VLP18" s="310" t="s">
        <v>201</v>
      </c>
      <c r="VLQ18" s="310" t="s">
        <v>201</v>
      </c>
      <c r="VLR18" s="310" t="s">
        <v>201</v>
      </c>
      <c r="VLS18" s="310" t="s">
        <v>201</v>
      </c>
      <c r="VLT18" s="310" t="s">
        <v>201</v>
      </c>
      <c r="VLU18" s="310" t="s">
        <v>201</v>
      </c>
      <c r="VLV18" s="310" t="s">
        <v>201</v>
      </c>
      <c r="VLW18" s="310" t="s">
        <v>201</v>
      </c>
      <c r="VLX18" s="310" t="s">
        <v>201</v>
      </c>
      <c r="VLY18" s="310" t="s">
        <v>201</v>
      </c>
      <c r="VLZ18" s="310" t="s">
        <v>201</v>
      </c>
      <c r="VMA18" s="310" t="s">
        <v>201</v>
      </c>
      <c r="VMB18" s="310" t="s">
        <v>201</v>
      </c>
      <c r="VMC18" s="310" t="s">
        <v>201</v>
      </c>
      <c r="VMD18" s="310" t="s">
        <v>201</v>
      </c>
      <c r="VME18" s="310" t="s">
        <v>201</v>
      </c>
      <c r="VMF18" s="310" t="s">
        <v>201</v>
      </c>
      <c r="VMG18" s="310" t="s">
        <v>201</v>
      </c>
      <c r="VMH18" s="310" t="s">
        <v>201</v>
      </c>
      <c r="VMI18" s="310" t="s">
        <v>201</v>
      </c>
      <c r="VMJ18" s="310" t="s">
        <v>201</v>
      </c>
      <c r="VMK18" s="310" t="s">
        <v>201</v>
      </c>
      <c r="VML18" s="310" t="s">
        <v>201</v>
      </c>
      <c r="VMM18" s="310" t="s">
        <v>201</v>
      </c>
      <c r="VMN18" s="310" t="s">
        <v>201</v>
      </c>
      <c r="VMO18" s="310" t="s">
        <v>201</v>
      </c>
      <c r="VMP18" s="310" t="s">
        <v>201</v>
      </c>
      <c r="VMQ18" s="310" t="s">
        <v>201</v>
      </c>
      <c r="VMR18" s="310" t="s">
        <v>201</v>
      </c>
      <c r="VMS18" s="310" t="s">
        <v>201</v>
      </c>
      <c r="VMT18" s="310" t="s">
        <v>201</v>
      </c>
      <c r="VMU18" s="310" t="s">
        <v>201</v>
      </c>
      <c r="VMV18" s="310" t="s">
        <v>201</v>
      </c>
      <c r="VMW18" s="310" t="s">
        <v>201</v>
      </c>
      <c r="VMX18" s="310" t="s">
        <v>201</v>
      </c>
      <c r="VMY18" s="310" t="s">
        <v>201</v>
      </c>
      <c r="VMZ18" s="310" t="s">
        <v>201</v>
      </c>
      <c r="VNA18" s="310" t="s">
        <v>201</v>
      </c>
      <c r="VNB18" s="310" t="s">
        <v>201</v>
      </c>
      <c r="VNC18" s="310" t="s">
        <v>201</v>
      </c>
      <c r="VND18" s="310" t="s">
        <v>201</v>
      </c>
      <c r="VNE18" s="310" t="s">
        <v>201</v>
      </c>
      <c r="VNF18" s="310" t="s">
        <v>201</v>
      </c>
      <c r="VNG18" s="310" t="s">
        <v>201</v>
      </c>
      <c r="VNH18" s="310" t="s">
        <v>201</v>
      </c>
      <c r="VNI18" s="310" t="s">
        <v>201</v>
      </c>
      <c r="VNJ18" s="310" t="s">
        <v>201</v>
      </c>
      <c r="VNK18" s="310" t="s">
        <v>201</v>
      </c>
      <c r="VNL18" s="310" t="s">
        <v>201</v>
      </c>
      <c r="VNM18" s="310" t="s">
        <v>201</v>
      </c>
      <c r="VNN18" s="310" t="s">
        <v>201</v>
      </c>
      <c r="VNO18" s="310" t="s">
        <v>201</v>
      </c>
      <c r="VNP18" s="310" t="s">
        <v>201</v>
      </c>
      <c r="VNQ18" s="310" t="s">
        <v>201</v>
      </c>
      <c r="VNR18" s="310" t="s">
        <v>201</v>
      </c>
      <c r="VNS18" s="310" t="s">
        <v>201</v>
      </c>
      <c r="VNT18" s="310" t="s">
        <v>201</v>
      </c>
      <c r="VNU18" s="310" t="s">
        <v>201</v>
      </c>
      <c r="VNV18" s="310" t="s">
        <v>201</v>
      </c>
      <c r="VNW18" s="310" t="s">
        <v>201</v>
      </c>
      <c r="VNX18" s="310" t="s">
        <v>201</v>
      </c>
      <c r="VNY18" s="310" t="s">
        <v>201</v>
      </c>
      <c r="VNZ18" s="310" t="s">
        <v>201</v>
      </c>
      <c r="VOA18" s="310" t="s">
        <v>201</v>
      </c>
      <c r="VOB18" s="310" t="s">
        <v>201</v>
      </c>
      <c r="VOC18" s="310" t="s">
        <v>201</v>
      </c>
      <c r="VOD18" s="310" t="s">
        <v>201</v>
      </c>
      <c r="VOE18" s="310" t="s">
        <v>201</v>
      </c>
      <c r="VOF18" s="310" t="s">
        <v>201</v>
      </c>
      <c r="VOG18" s="310" t="s">
        <v>201</v>
      </c>
      <c r="VOH18" s="310" t="s">
        <v>201</v>
      </c>
      <c r="VOI18" s="310" t="s">
        <v>201</v>
      </c>
      <c r="VOJ18" s="310" t="s">
        <v>201</v>
      </c>
      <c r="VOK18" s="310" t="s">
        <v>201</v>
      </c>
      <c r="VOL18" s="310" t="s">
        <v>201</v>
      </c>
      <c r="VOM18" s="310" t="s">
        <v>201</v>
      </c>
      <c r="VON18" s="310" t="s">
        <v>201</v>
      </c>
      <c r="VOO18" s="310" t="s">
        <v>201</v>
      </c>
      <c r="VOP18" s="310" t="s">
        <v>201</v>
      </c>
      <c r="VOQ18" s="310" t="s">
        <v>201</v>
      </c>
      <c r="VOR18" s="310" t="s">
        <v>201</v>
      </c>
      <c r="VOS18" s="310" t="s">
        <v>201</v>
      </c>
      <c r="VOT18" s="310" t="s">
        <v>201</v>
      </c>
      <c r="VOU18" s="310" t="s">
        <v>201</v>
      </c>
      <c r="VOV18" s="310" t="s">
        <v>201</v>
      </c>
      <c r="VOW18" s="310" t="s">
        <v>201</v>
      </c>
      <c r="VOX18" s="310" t="s">
        <v>201</v>
      </c>
      <c r="VOY18" s="310" t="s">
        <v>201</v>
      </c>
      <c r="VOZ18" s="310" t="s">
        <v>201</v>
      </c>
      <c r="VPA18" s="310" t="s">
        <v>201</v>
      </c>
      <c r="VPB18" s="310" t="s">
        <v>201</v>
      </c>
      <c r="VPC18" s="310" t="s">
        <v>201</v>
      </c>
      <c r="VPD18" s="310" t="s">
        <v>201</v>
      </c>
      <c r="VPE18" s="310" t="s">
        <v>201</v>
      </c>
      <c r="VPF18" s="310" t="s">
        <v>201</v>
      </c>
      <c r="VPG18" s="310" t="s">
        <v>201</v>
      </c>
      <c r="VPH18" s="310" t="s">
        <v>201</v>
      </c>
      <c r="VPI18" s="310" t="s">
        <v>201</v>
      </c>
      <c r="VPJ18" s="310" t="s">
        <v>201</v>
      </c>
      <c r="VPK18" s="310" t="s">
        <v>201</v>
      </c>
      <c r="VPL18" s="310" t="s">
        <v>201</v>
      </c>
      <c r="VPM18" s="310" t="s">
        <v>201</v>
      </c>
      <c r="VPN18" s="310" t="s">
        <v>201</v>
      </c>
      <c r="VPO18" s="310" t="s">
        <v>201</v>
      </c>
      <c r="VPP18" s="310" t="s">
        <v>201</v>
      </c>
      <c r="VPQ18" s="310" t="s">
        <v>201</v>
      </c>
      <c r="VPR18" s="310" t="s">
        <v>201</v>
      </c>
      <c r="VPS18" s="310" t="s">
        <v>201</v>
      </c>
      <c r="VPT18" s="310" t="s">
        <v>201</v>
      </c>
      <c r="VPU18" s="310" t="s">
        <v>201</v>
      </c>
      <c r="VPV18" s="310" t="s">
        <v>201</v>
      </c>
      <c r="VPW18" s="310" t="s">
        <v>201</v>
      </c>
      <c r="VPX18" s="310" t="s">
        <v>201</v>
      </c>
      <c r="VPY18" s="310" t="s">
        <v>201</v>
      </c>
      <c r="VPZ18" s="310" t="s">
        <v>201</v>
      </c>
      <c r="VQA18" s="310" t="s">
        <v>201</v>
      </c>
      <c r="VQB18" s="310" t="s">
        <v>201</v>
      </c>
      <c r="VQC18" s="310" t="s">
        <v>201</v>
      </c>
      <c r="VQD18" s="310" t="s">
        <v>201</v>
      </c>
      <c r="VQE18" s="310" t="s">
        <v>201</v>
      </c>
      <c r="VQF18" s="310" t="s">
        <v>201</v>
      </c>
      <c r="VQG18" s="310" t="s">
        <v>201</v>
      </c>
      <c r="VQH18" s="310" t="s">
        <v>201</v>
      </c>
      <c r="VQI18" s="310" t="s">
        <v>201</v>
      </c>
      <c r="VQJ18" s="310" t="s">
        <v>201</v>
      </c>
      <c r="VQK18" s="310" t="s">
        <v>201</v>
      </c>
      <c r="VQL18" s="310" t="s">
        <v>201</v>
      </c>
      <c r="VQM18" s="310" t="s">
        <v>201</v>
      </c>
      <c r="VQN18" s="310" t="s">
        <v>201</v>
      </c>
      <c r="VQO18" s="310" t="s">
        <v>201</v>
      </c>
      <c r="VQP18" s="310" t="s">
        <v>201</v>
      </c>
      <c r="VQQ18" s="310" t="s">
        <v>201</v>
      </c>
      <c r="VQR18" s="310" t="s">
        <v>201</v>
      </c>
      <c r="VQS18" s="310" t="s">
        <v>201</v>
      </c>
      <c r="VQT18" s="310" t="s">
        <v>201</v>
      </c>
      <c r="VQU18" s="310" t="s">
        <v>201</v>
      </c>
      <c r="VQV18" s="310" t="s">
        <v>201</v>
      </c>
      <c r="VQW18" s="310" t="s">
        <v>201</v>
      </c>
      <c r="VQX18" s="310" t="s">
        <v>201</v>
      </c>
      <c r="VQY18" s="310" t="s">
        <v>201</v>
      </c>
      <c r="VQZ18" s="310" t="s">
        <v>201</v>
      </c>
      <c r="VRA18" s="310" t="s">
        <v>201</v>
      </c>
      <c r="VRB18" s="310" t="s">
        <v>201</v>
      </c>
      <c r="VRC18" s="310" t="s">
        <v>201</v>
      </c>
      <c r="VRD18" s="310" t="s">
        <v>201</v>
      </c>
      <c r="VRE18" s="310" t="s">
        <v>201</v>
      </c>
      <c r="VRF18" s="310" t="s">
        <v>201</v>
      </c>
      <c r="VRG18" s="310" t="s">
        <v>201</v>
      </c>
      <c r="VRH18" s="310" t="s">
        <v>201</v>
      </c>
      <c r="VRI18" s="310" t="s">
        <v>201</v>
      </c>
      <c r="VRJ18" s="310" t="s">
        <v>201</v>
      </c>
      <c r="VRK18" s="310" t="s">
        <v>201</v>
      </c>
      <c r="VRL18" s="310" t="s">
        <v>201</v>
      </c>
      <c r="VRM18" s="310" t="s">
        <v>201</v>
      </c>
      <c r="VRN18" s="310" t="s">
        <v>201</v>
      </c>
      <c r="VRO18" s="310" t="s">
        <v>201</v>
      </c>
      <c r="VRP18" s="310" t="s">
        <v>201</v>
      </c>
      <c r="VRQ18" s="310" t="s">
        <v>201</v>
      </c>
      <c r="VRR18" s="310" t="s">
        <v>201</v>
      </c>
      <c r="VRS18" s="310" t="s">
        <v>201</v>
      </c>
      <c r="VRT18" s="310" t="s">
        <v>201</v>
      </c>
      <c r="VRU18" s="310" t="s">
        <v>201</v>
      </c>
      <c r="VRV18" s="310" t="s">
        <v>201</v>
      </c>
      <c r="VRW18" s="310" t="s">
        <v>201</v>
      </c>
      <c r="VRX18" s="310" t="s">
        <v>201</v>
      </c>
      <c r="VRY18" s="310" t="s">
        <v>201</v>
      </c>
      <c r="VRZ18" s="310" t="s">
        <v>201</v>
      </c>
      <c r="VSA18" s="310" t="s">
        <v>201</v>
      </c>
      <c r="VSB18" s="310" t="s">
        <v>201</v>
      </c>
      <c r="VSC18" s="310" t="s">
        <v>201</v>
      </c>
      <c r="VSD18" s="310" t="s">
        <v>201</v>
      </c>
      <c r="VSE18" s="310" t="s">
        <v>201</v>
      </c>
      <c r="VSF18" s="310" t="s">
        <v>201</v>
      </c>
      <c r="VSG18" s="310" t="s">
        <v>201</v>
      </c>
      <c r="VSH18" s="310" t="s">
        <v>201</v>
      </c>
      <c r="VSI18" s="310" t="s">
        <v>201</v>
      </c>
      <c r="VSJ18" s="310" t="s">
        <v>201</v>
      </c>
      <c r="VSK18" s="310" t="s">
        <v>201</v>
      </c>
      <c r="VSL18" s="310" t="s">
        <v>201</v>
      </c>
      <c r="VSM18" s="310" t="s">
        <v>201</v>
      </c>
      <c r="VSN18" s="310" t="s">
        <v>201</v>
      </c>
      <c r="VSO18" s="310" t="s">
        <v>201</v>
      </c>
      <c r="VSP18" s="310" t="s">
        <v>201</v>
      </c>
      <c r="VSQ18" s="310" t="s">
        <v>201</v>
      </c>
      <c r="VSR18" s="310" t="s">
        <v>201</v>
      </c>
      <c r="VSS18" s="310" t="s">
        <v>201</v>
      </c>
      <c r="VST18" s="310" t="s">
        <v>201</v>
      </c>
      <c r="VSU18" s="310" t="s">
        <v>201</v>
      </c>
      <c r="VSV18" s="310" t="s">
        <v>201</v>
      </c>
      <c r="VSW18" s="310" t="s">
        <v>201</v>
      </c>
      <c r="VSX18" s="310" t="s">
        <v>201</v>
      </c>
      <c r="VSY18" s="310" t="s">
        <v>201</v>
      </c>
      <c r="VSZ18" s="310" t="s">
        <v>201</v>
      </c>
      <c r="VTA18" s="310" t="s">
        <v>201</v>
      </c>
      <c r="VTB18" s="310" t="s">
        <v>201</v>
      </c>
      <c r="VTC18" s="310" t="s">
        <v>201</v>
      </c>
      <c r="VTD18" s="310" t="s">
        <v>201</v>
      </c>
      <c r="VTE18" s="310" t="s">
        <v>201</v>
      </c>
      <c r="VTF18" s="310" t="s">
        <v>201</v>
      </c>
      <c r="VTG18" s="310" t="s">
        <v>201</v>
      </c>
      <c r="VTH18" s="310" t="s">
        <v>201</v>
      </c>
      <c r="VTI18" s="310" t="s">
        <v>201</v>
      </c>
      <c r="VTJ18" s="310" t="s">
        <v>201</v>
      </c>
      <c r="VTK18" s="310" t="s">
        <v>201</v>
      </c>
      <c r="VTL18" s="310" t="s">
        <v>201</v>
      </c>
      <c r="VTM18" s="310" t="s">
        <v>201</v>
      </c>
      <c r="VTN18" s="310" t="s">
        <v>201</v>
      </c>
      <c r="VTO18" s="310" t="s">
        <v>201</v>
      </c>
      <c r="VTP18" s="310" t="s">
        <v>201</v>
      </c>
      <c r="VTQ18" s="310" t="s">
        <v>201</v>
      </c>
      <c r="VTR18" s="310" t="s">
        <v>201</v>
      </c>
      <c r="VTS18" s="310" t="s">
        <v>201</v>
      </c>
      <c r="VTT18" s="310" t="s">
        <v>201</v>
      </c>
      <c r="VTU18" s="310" t="s">
        <v>201</v>
      </c>
      <c r="VTV18" s="310" t="s">
        <v>201</v>
      </c>
      <c r="VTW18" s="310" t="s">
        <v>201</v>
      </c>
      <c r="VTX18" s="310" t="s">
        <v>201</v>
      </c>
      <c r="VTY18" s="310" t="s">
        <v>201</v>
      </c>
      <c r="VTZ18" s="310" t="s">
        <v>201</v>
      </c>
      <c r="VUA18" s="310" t="s">
        <v>201</v>
      </c>
      <c r="VUB18" s="310" t="s">
        <v>201</v>
      </c>
      <c r="VUC18" s="310" t="s">
        <v>201</v>
      </c>
      <c r="VUD18" s="310" t="s">
        <v>201</v>
      </c>
      <c r="VUE18" s="310" t="s">
        <v>201</v>
      </c>
      <c r="VUF18" s="310" t="s">
        <v>201</v>
      </c>
      <c r="VUG18" s="310" t="s">
        <v>201</v>
      </c>
      <c r="VUH18" s="310" t="s">
        <v>201</v>
      </c>
      <c r="VUI18" s="310" t="s">
        <v>201</v>
      </c>
      <c r="VUJ18" s="310" t="s">
        <v>201</v>
      </c>
      <c r="VUK18" s="310" t="s">
        <v>201</v>
      </c>
      <c r="VUL18" s="310" t="s">
        <v>201</v>
      </c>
      <c r="VUM18" s="310" t="s">
        <v>201</v>
      </c>
      <c r="VUN18" s="310" t="s">
        <v>201</v>
      </c>
      <c r="VUO18" s="310" t="s">
        <v>201</v>
      </c>
      <c r="VUP18" s="310" t="s">
        <v>201</v>
      </c>
      <c r="VUQ18" s="310" t="s">
        <v>201</v>
      </c>
      <c r="VUR18" s="310" t="s">
        <v>201</v>
      </c>
      <c r="VUS18" s="310" t="s">
        <v>201</v>
      </c>
      <c r="VUT18" s="310" t="s">
        <v>201</v>
      </c>
      <c r="VUU18" s="310" t="s">
        <v>201</v>
      </c>
      <c r="VUV18" s="310" t="s">
        <v>201</v>
      </c>
      <c r="VUW18" s="310" t="s">
        <v>201</v>
      </c>
      <c r="VUX18" s="310" t="s">
        <v>201</v>
      </c>
      <c r="VUY18" s="310" t="s">
        <v>201</v>
      </c>
      <c r="VUZ18" s="310" t="s">
        <v>201</v>
      </c>
      <c r="VVA18" s="310" t="s">
        <v>201</v>
      </c>
      <c r="VVB18" s="310" t="s">
        <v>201</v>
      </c>
      <c r="VVC18" s="310" t="s">
        <v>201</v>
      </c>
      <c r="VVD18" s="310" t="s">
        <v>201</v>
      </c>
      <c r="VVE18" s="310" t="s">
        <v>201</v>
      </c>
      <c r="VVF18" s="310" t="s">
        <v>201</v>
      </c>
      <c r="VVG18" s="310" t="s">
        <v>201</v>
      </c>
      <c r="VVH18" s="310" t="s">
        <v>201</v>
      </c>
      <c r="VVI18" s="310" t="s">
        <v>201</v>
      </c>
      <c r="VVJ18" s="310" t="s">
        <v>201</v>
      </c>
      <c r="VVK18" s="310" t="s">
        <v>201</v>
      </c>
      <c r="VVL18" s="310" t="s">
        <v>201</v>
      </c>
      <c r="VVM18" s="310" t="s">
        <v>201</v>
      </c>
      <c r="VVN18" s="310" t="s">
        <v>201</v>
      </c>
      <c r="VVO18" s="310" t="s">
        <v>201</v>
      </c>
      <c r="VVP18" s="310" t="s">
        <v>201</v>
      </c>
      <c r="VVQ18" s="310" t="s">
        <v>201</v>
      </c>
      <c r="VVR18" s="310" t="s">
        <v>201</v>
      </c>
      <c r="VVS18" s="310" t="s">
        <v>201</v>
      </c>
      <c r="VVT18" s="310" t="s">
        <v>201</v>
      </c>
      <c r="VVU18" s="310" t="s">
        <v>201</v>
      </c>
      <c r="VVV18" s="310" t="s">
        <v>201</v>
      </c>
      <c r="VVW18" s="310" t="s">
        <v>201</v>
      </c>
      <c r="VVX18" s="310" t="s">
        <v>201</v>
      </c>
      <c r="VVY18" s="310" t="s">
        <v>201</v>
      </c>
      <c r="VVZ18" s="310" t="s">
        <v>201</v>
      </c>
      <c r="VWA18" s="310" t="s">
        <v>201</v>
      </c>
      <c r="VWB18" s="310" t="s">
        <v>201</v>
      </c>
      <c r="VWC18" s="310" t="s">
        <v>201</v>
      </c>
      <c r="VWD18" s="310" t="s">
        <v>201</v>
      </c>
      <c r="VWE18" s="310" t="s">
        <v>201</v>
      </c>
      <c r="VWF18" s="310" t="s">
        <v>201</v>
      </c>
      <c r="VWG18" s="310" t="s">
        <v>201</v>
      </c>
      <c r="VWH18" s="310" t="s">
        <v>201</v>
      </c>
      <c r="VWI18" s="310" t="s">
        <v>201</v>
      </c>
      <c r="VWJ18" s="310" t="s">
        <v>201</v>
      </c>
      <c r="VWK18" s="310" t="s">
        <v>201</v>
      </c>
      <c r="VWL18" s="310" t="s">
        <v>201</v>
      </c>
      <c r="VWM18" s="310" t="s">
        <v>201</v>
      </c>
      <c r="VWN18" s="310" t="s">
        <v>201</v>
      </c>
      <c r="VWO18" s="310" t="s">
        <v>201</v>
      </c>
      <c r="VWP18" s="310" t="s">
        <v>201</v>
      </c>
      <c r="VWQ18" s="310" t="s">
        <v>201</v>
      </c>
      <c r="VWR18" s="310" t="s">
        <v>201</v>
      </c>
      <c r="VWS18" s="310" t="s">
        <v>201</v>
      </c>
      <c r="VWT18" s="310" t="s">
        <v>201</v>
      </c>
      <c r="VWU18" s="310" t="s">
        <v>201</v>
      </c>
      <c r="VWV18" s="310" t="s">
        <v>201</v>
      </c>
      <c r="VWW18" s="310" t="s">
        <v>201</v>
      </c>
      <c r="VWX18" s="310" t="s">
        <v>201</v>
      </c>
      <c r="VWY18" s="310" t="s">
        <v>201</v>
      </c>
      <c r="VWZ18" s="310" t="s">
        <v>201</v>
      </c>
      <c r="VXA18" s="310" t="s">
        <v>201</v>
      </c>
      <c r="VXB18" s="310" t="s">
        <v>201</v>
      </c>
      <c r="VXC18" s="310" t="s">
        <v>201</v>
      </c>
      <c r="VXD18" s="310" t="s">
        <v>201</v>
      </c>
      <c r="VXE18" s="310" t="s">
        <v>201</v>
      </c>
      <c r="VXF18" s="310" t="s">
        <v>201</v>
      </c>
      <c r="VXG18" s="310" t="s">
        <v>201</v>
      </c>
      <c r="VXH18" s="310" t="s">
        <v>201</v>
      </c>
      <c r="VXI18" s="310" t="s">
        <v>201</v>
      </c>
      <c r="VXJ18" s="310" t="s">
        <v>201</v>
      </c>
      <c r="VXK18" s="310" t="s">
        <v>201</v>
      </c>
      <c r="VXL18" s="310" t="s">
        <v>201</v>
      </c>
      <c r="VXM18" s="310" t="s">
        <v>201</v>
      </c>
      <c r="VXN18" s="310" t="s">
        <v>201</v>
      </c>
      <c r="VXO18" s="310" t="s">
        <v>201</v>
      </c>
      <c r="VXP18" s="310" t="s">
        <v>201</v>
      </c>
      <c r="VXQ18" s="310" t="s">
        <v>201</v>
      </c>
      <c r="VXR18" s="310" t="s">
        <v>201</v>
      </c>
      <c r="VXS18" s="310" t="s">
        <v>201</v>
      </c>
      <c r="VXT18" s="310" t="s">
        <v>201</v>
      </c>
      <c r="VXU18" s="310" t="s">
        <v>201</v>
      </c>
      <c r="VXV18" s="310" t="s">
        <v>201</v>
      </c>
      <c r="VXW18" s="310" t="s">
        <v>201</v>
      </c>
      <c r="VXX18" s="310" t="s">
        <v>201</v>
      </c>
      <c r="VXY18" s="310" t="s">
        <v>201</v>
      </c>
      <c r="VXZ18" s="310" t="s">
        <v>201</v>
      </c>
      <c r="VYA18" s="310" t="s">
        <v>201</v>
      </c>
      <c r="VYB18" s="310" t="s">
        <v>201</v>
      </c>
      <c r="VYC18" s="310" t="s">
        <v>201</v>
      </c>
      <c r="VYD18" s="310" t="s">
        <v>201</v>
      </c>
      <c r="VYE18" s="310" t="s">
        <v>201</v>
      </c>
      <c r="VYF18" s="310" t="s">
        <v>201</v>
      </c>
      <c r="VYG18" s="310" t="s">
        <v>201</v>
      </c>
      <c r="VYH18" s="310" t="s">
        <v>201</v>
      </c>
      <c r="VYI18" s="310" t="s">
        <v>201</v>
      </c>
      <c r="VYJ18" s="310" t="s">
        <v>201</v>
      </c>
      <c r="VYK18" s="310" t="s">
        <v>201</v>
      </c>
      <c r="VYL18" s="310" t="s">
        <v>201</v>
      </c>
      <c r="VYM18" s="310" t="s">
        <v>201</v>
      </c>
      <c r="VYN18" s="310" t="s">
        <v>201</v>
      </c>
      <c r="VYO18" s="310" t="s">
        <v>201</v>
      </c>
      <c r="VYP18" s="310" t="s">
        <v>201</v>
      </c>
      <c r="VYQ18" s="310" t="s">
        <v>201</v>
      </c>
      <c r="VYR18" s="310" t="s">
        <v>201</v>
      </c>
      <c r="VYS18" s="310" t="s">
        <v>201</v>
      </c>
      <c r="VYT18" s="310" t="s">
        <v>201</v>
      </c>
      <c r="VYU18" s="310" t="s">
        <v>201</v>
      </c>
      <c r="VYV18" s="310" t="s">
        <v>201</v>
      </c>
      <c r="VYW18" s="310" t="s">
        <v>201</v>
      </c>
      <c r="VYX18" s="310" t="s">
        <v>201</v>
      </c>
      <c r="VYY18" s="310" t="s">
        <v>201</v>
      </c>
      <c r="VYZ18" s="310" t="s">
        <v>201</v>
      </c>
      <c r="VZA18" s="310" t="s">
        <v>201</v>
      </c>
      <c r="VZB18" s="310" t="s">
        <v>201</v>
      </c>
      <c r="VZC18" s="310" t="s">
        <v>201</v>
      </c>
      <c r="VZD18" s="310" t="s">
        <v>201</v>
      </c>
      <c r="VZE18" s="310" t="s">
        <v>201</v>
      </c>
      <c r="VZF18" s="310" t="s">
        <v>201</v>
      </c>
      <c r="VZG18" s="310" t="s">
        <v>201</v>
      </c>
      <c r="VZH18" s="310" t="s">
        <v>201</v>
      </c>
      <c r="VZI18" s="310" t="s">
        <v>201</v>
      </c>
      <c r="VZJ18" s="310" t="s">
        <v>201</v>
      </c>
      <c r="VZK18" s="310" t="s">
        <v>201</v>
      </c>
      <c r="VZL18" s="310" t="s">
        <v>201</v>
      </c>
      <c r="VZM18" s="310" t="s">
        <v>201</v>
      </c>
      <c r="VZN18" s="310" t="s">
        <v>201</v>
      </c>
      <c r="VZO18" s="310" t="s">
        <v>201</v>
      </c>
      <c r="VZP18" s="310" t="s">
        <v>201</v>
      </c>
      <c r="VZQ18" s="310" t="s">
        <v>201</v>
      </c>
      <c r="VZR18" s="310" t="s">
        <v>201</v>
      </c>
      <c r="VZS18" s="310" t="s">
        <v>201</v>
      </c>
      <c r="VZT18" s="310" t="s">
        <v>201</v>
      </c>
      <c r="VZU18" s="310" t="s">
        <v>201</v>
      </c>
      <c r="VZV18" s="310" t="s">
        <v>201</v>
      </c>
      <c r="VZW18" s="310" t="s">
        <v>201</v>
      </c>
      <c r="VZX18" s="310" t="s">
        <v>201</v>
      </c>
      <c r="VZY18" s="310" t="s">
        <v>201</v>
      </c>
      <c r="VZZ18" s="310" t="s">
        <v>201</v>
      </c>
      <c r="WAA18" s="310" t="s">
        <v>201</v>
      </c>
      <c r="WAB18" s="310" t="s">
        <v>201</v>
      </c>
      <c r="WAC18" s="310" t="s">
        <v>201</v>
      </c>
      <c r="WAD18" s="310" t="s">
        <v>201</v>
      </c>
      <c r="WAE18" s="310" t="s">
        <v>201</v>
      </c>
      <c r="WAF18" s="310" t="s">
        <v>201</v>
      </c>
      <c r="WAG18" s="310" t="s">
        <v>201</v>
      </c>
      <c r="WAH18" s="310" t="s">
        <v>201</v>
      </c>
      <c r="WAI18" s="310" t="s">
        <v>201</v>
      </c>
      <c r="WAJ18" s="310" t="s">
        <v>201</v>
      </c>
      <c r="WAK18" s="310" t="s">
        <v>201</v>
      </c>
      <c r="WAL18" s="310" t="s">
        <v>201</v>
      </c>
      <c r="WAM18" s="310" t="s">
        <v>201</v>
      </c>
      <c r="WAN18" s="310" t="s">
        <v>201</v>
      </c>
      <c r="WAO18" s="310" t="s">
        <v>201</v>
      </c>
      <c r="WAP18" s="310" t="s">
        <v>201</v>
      </c>
      <c r="WAQ18" s="310" t="s">
        <v>201</v>
      </c>
      <c r="WAR18" s="310" t="s">
        <v>201</v>
      </c>
      <c r="WAS18" s="310" t="s">
        <v>201</v>
      </c>
      <c r="WAT18" s="310" t="s">
        <v>201</v>
      </c>
      <c r="WAU18" s="310" t="s">
        <v>201</v>
      </c>
      <c r="WAV18" s="310" t="s">
        <v>201</v>
      </c>
      <c r="WAW18" s="310" t="s">
        <v>201</v>
      </c>
      <c r="WAX18" s="310" t="s">
        <v>201</v>
      </c>
      <c r="WAY18" s="310" t="s">
        <v>201</v>
      </c>
      <c r="WAZ18" s="310" t="s">
        <v>201</v>
      </c>
      <c r="WBA18" s="310" t="s">
        <v>201</v>
      </c>
      <c r="WBB18" s="310" t="s">
        <v>201</v>
      </c>
      <c r="WBC18" s="310" t="s">
        <v>201</v>
      </c>
      <c r="WBD18" s="310" t="s">
        <v>201</v>
      </c>
      <c r="WBE18" s="310" t="s">
        <v>201</v>
      </c>
      <c r="WBF18" s="310" t="s">
        <v>201</v>
      </c>
      <c r="WBG18" s="310" t="s">
        <v>201</v>
      </c>
      <c r="WBH18" s="310" t="s">
        <v>201</v>
      </c>
      <c r="WBI18" s="310" t="s">
        <v>201</v>
      </c>
      <c r="WBJ18" s="310" t="s">
        <v>201</v>
      </c>
      <c r="WBK18" s="310" t="s">
        <v>201</v>
      </c>
      <c r="WBL18" s="310" t="s">
        <v>201</v>
      </c>
      <c r="WBM18" s="310" t="s">
        <v>201</v>
      </c>
      <c r="WBN18" s="310" t="s">
        <v>201</v>
      </c>
      <c r="WBO18" s="310" t="s">
        <v>201</v>
      </c>
      <c r="WBP18" s="310" t="s">
        <v>201</v>
      </c>
      <c r="WBQ18" s="310" t="s">
        <v>201</v>
      </c>
      <c r="WBR18" s="310" t="s">
        <v>201</v>
      </c>
      <c r="WBS18" s="310" t="s">
        <v>201</v>
      </c>
      <c r="WBT18" s="310" t="s">
        <v>201</v>
      </c>
      <c r="WBU18" s="310" t="s">
        <v>201</v>
      </c>
      <c r="WBV18" s="310" t="s">
        <v>201</v>
      </c>
      <c r="WBW18" s="310" t="s">
        <v>201</v>
      </c>
      <c r="WBX18" s="310" t="s">
        <v>201</v>
      </c>
      <c r="WBY18" s="310" t="s">
        <v>201</v>
      </c>
      <c r="WBZ18" s="310" t="s">
        <v>201</v>
      </c>
      <c r="WCA18" s="310" t="s">
        <v>201</v>
      </c>
      <c r="WCB18" s="310" t="s">
        <v>201</v>
      </c>
      <c r="WCC18" s="310" t="s">
        <v>201</v>
      </c>
      <c r="WCD18" s="310" t="s">
        <v>201</v>
      </c>
      <c r="WCE18" s="310" t="s">
        <v>201</v>
      </c>
      <c r="WCF18" s="310" t="s">
        <v>201</v>
      </c>
      <c r="WCG18" s="310" t="s">
        <v>201</v>
      </c>
      <c r="WCH18" s="310" t="s">
        <v>201</v>
      </c>
      <c r="WCI18" s="310" t="s">
        <v>201</v>
      </c>
      <c r="WCJ18" s="310" t="s">
        <v>201</v>
      </c>
      <c r="WCK18" s="310" t="s">
        <v>201</v>
      </c>
      <c r="WCL18" s="310" t="s">
        <v>201</v>
      </c>
      <c r="WCM18" s="310" t="s">
        <v>201</v>
      </c>
      <c r="WCN18" s="310" t="s">
        <v>201</v>
      </c>
      <c r="WCO18" s="310" t="s">
        <v>201</v>
      </c>
      <c r="WCP18" s="310" t="s">
        <v>201</v>
      </c>
      <c r="WCQ18" s="310" t="s">
        <v>201</v>
      </c>
      <c r="WCR18" s="310" t="s">
        <v>201</v>
      </c>
      <c r="WCS18" s="310" t="s">
        <v>201</v>
      </c>
      <c r="WCT18" s="310" t="s">
        <v>201</v>
      </c>
      <c r="WCU18" s="310" t="s">
        <v>201</v>
      </c>
      <c r="WCV18" s="310" t="s">
        <v>201</v>
      </c>
      <c r="WCW18" s="310" t="s">
        <v>201</v>
      </c>
      <c r="WCX18" s="310" t="s">
        <v>201</v>
      </c>
      <c r="WCY18" s="310" t="s">
        <v>201</v>
      </c>
      <c r="WCZ18" s="310" t="s">
        <v>201</v>
      </c>
      <c r="WDA18" s="310" t="s">
        <v>201</v>
      </c>
      <c r="WDB18" s="310" t="s">
        <v>201</v>
      </c>
      <c r="WDC18" s="310" t="s">
        <v>201</v>
      </c>
      <c r="WDD18" s="310" t="s">
        <v>201</v>
      </c>
      <c r="WDE18" s="310" t="s">
        <v>201</v>
      </c>
      <c r="WDF18" s="310" t="s">
        <v>201</v>
      </c>
      <c r="WDG18" s="310" t="s">
        <v>201</v>
      </c>
      <c r="WDH18" s="310" t="s">
        <v>201</v>
      </c>
      <c r="WDI18" s="310" t="s">
        <v>201</v>
      </c>
      <c r="WDJ18" s="310" t="s">
        <v>201</v>
      </c>
      <c r="WDK18" s="310" t="s">
        <v>201</v>
      </c>
      <c r="WDL18" s="310" t="s">
        <v>201</v>
      </c>
      <c r="WDM18" s="310" t="s">
        <v>201</v>
      </c>
      <c r="WDN18" s="310" t="s">
        <v>201</v>
      </c>
      <c r="WDO18" s="310" t="s">
        <v>201</v>
      </c>
      <c r="WDP18" s="310" t="s">
        <v>201</v>
      </c>
      <c r="WDQ18" s="310" t="s">
        <v>201</v>
      </c>
      <c r="WDR18" s="310" t="s">
        <v>201</v>
      </c>
      <c r="WDS18" s="310" t="s">
        <v>201</v>
      </c>
      <c r="WDT18" s="310" t="s">
        <v>201</v>
      </c>
      <c r="WDU18" s="310" t="s">
        <v>201</v>
      </c>
      <c r="WDV18" s="310" t="s">
        <v>201</v>
      </c>
      <c r="WDW18" s="310" t="s">
        <v>201</v>
      </c>
      <c r="WDX18" s="310" t="s">
        <v>201</v>
      </c>
      <c r="WDY18" s="310" t="s">
        <v>201</v>
      </c>
      <c r="WDZ18" s="310" t="s">
        <v>201</v>
      </c>
      <c r="WEA18" s="310" t="s">
        <v>201</v>
      </c>
      <c r="WEB18" s="310" t="s">
        <v>201</v>
      </c>
      <c r="WEC18" s="310" t="s">
        <v>201</v>
      </c>
      <c r="WED18" s="310" t="s">
        <v>201</v>
      </c>
      <c r="WEE18" s="310" t="s">
        <v>201</v>
      </c>
      <c r="WEF18" s="310" t="s">
        <v>201</v>
      </c>
      <c r="WEG18" s="310" t="s">
        <v>201</v>
      </c>
      <c r="WEH18" s="310" t="s">
        <v>201</v>
      </c>
      <c r="WEI18" s="310" t="s">
        <v>201</v>
      </c>
      <c r="WEJ18" s="310" t="s">
        <v>201</v>
      </c>
      <c r="WEK18" s="310" t="s">
        <v>201</v>
      </c>
      <c r="WEL18" s="310" t="s">
        <v>201</v>
      </c>
      <c r="WEM18" s="310" t="s">
        <v>201</v>
      </c>
      <c r="WEN18" s="310" t="s">
        <v>201</v>
      </c>
      <c r="WEO18" s="310" t="s">
        <v>201</v>
      </c>
      <c r="WEP18" s="310" t="s">
        <v>201</v>
      </c>
      <c r="WEQ18" s="310" t="s">
        <v>201</v>
      </c>
      <c r="WER18" s="310" t="s">
        <v>201</v>
      </c>
      <c r="WES18" s="310" t="s">
        <v>201</v>
      </c>
      <c r="WET18" s="310" t="s">
        <v>201</v>
      </c>
      <c r="WEU18" s="310" t="s">
        <v>201</v>
      </c>
      <c r="WEV18" s="310" t="s">
        <v>201</v>
      </c>
      <c r="WEW18" s="310" t="s">
        <v>201</v>
      </c>
      <c r="WEX18" s="310" t="s">
        <v>201</v>
      </c>
      <c r="WEY18" s="310" t="s">
        <v>201</v>
      </c>
      <c r="WEZ18" s="310" t="s">
        <v>201</v>
      </c>
      <c r="WFA18" s="310" t="s">
        <v>201</v>
      </c>
      <c r="WFB18" s="310" t="s">
        <v>201</v>
      </c>
      <c r="WFC18" s="310" t="s">
        <v>201</v>
      </c>
      <c r="WFD18" s="310" t="s">
        <v>201</v>
      </c>
      <c r="WFE18" s="310" t="s">
        <v>201</v>
      </c>
      <c r="WFF18" s="310" t="s">
        <v>201</v>
      </c>
      <c r="WFG18" s="310" t="s">
        <v>201</v>
      </c>
      <c r="WFH18" s="310" t="s">
        <v>201</v>
      </c>
      <c r="WFI18" s="310" t="s">
        <v>201</v>
      </c>
      <c r="WFJ18" s="310" t="s">
        <v>201</v>
      </c>
      <c r="WFK18" s="310" t="s">
        <v>201</v>
      </c>
      <c r="WFL18" s="310" t="s">
        <v>201</v>
      </c>
      <c r="WFM18" s="310" t="s">
        <v>201</v>
      </c>
      <c r="WFN18" s="310" t="s">
        <v>201</v>
      </c>
      <c r="WFO18" s="310" t="s">
        <v>201</v>
      </c>
      <c r="WFP18" s="310" t="s">
        <v>201</v>
      </c>
      <c r="WFQ18" s="310" t="s">
        <v>201</v>
      </c>
      <c r="WFR18" s="310" t="s">
        <v>201</v>
      </c>
      <c r="WFS18" s="310" t="s">
        <v>201</v>
      </c>
      <c r="WFT18" s="310" t="s">
        <v>201</v>
      </c>
      <c r="WFU18" s="310" t="s">
        <v>201</v>
      </c>
      <c r="WFV18" s="310" t="s">
        <v>201</v>
      </c>
      <c r="WFW18" s="310" t="s">
        <v>201</v>
      </c>
      <c r="WFX18" s="310" t="s">
        <v>201</v>
      </c>
      <c r="WFY18" s="310" t="s">
        <v>201</v>
      </c>
      <c r="WFZ18" s="310" t="s">
        <v>201</v>
      </c>
      <c r="WGA18" s="310" t="s">
        <v>201</v>
      </c>
      <c r="WGB18" s="310" t="s">
        <v>201</v>
      </c>
      <c r="WGC18" s="310" t="s">
        <v>201</v>
      </c>
      <c r="WGD18" s="310" t="s">
        <v>201</v>
      </c>
      <c r="WGE18" s="310" t="s">
        <v>201</v>
      </c>
      <c r="WGF18" s="310" t="s">
        <v>201</v>
      </c>
      <c r="WGG18" s="310" t="s">
        <v>201</v>
      </c>
      <c r="WGH18" s="310" t="s">
        <v>201</v>
      </c>
      <c r="WGI18" s="310" t="s">
        <v>201</v>
      </c>
      <c r="WGJ18" s="310" t="s">
        <v>201</v>
      </c>
      <c r="WGK18" s="310" t="s">
        <v>201</v>
      </c>
      <c r="WGL18" s="310" t="s">
        <v>201</v>
      </c>
      <c r="WGM18" s="310" t="s">
        <v>201</v>
      </c>
      <c r="WGN18" s="310" t="s">
        <v>201</v>
      </c>
      <c r="WGO18" s="310" t="s">
        <v>201</v>
      </c>
      <c r="WGP18" s="310" t="s">
        <v>201</v>
      </c>
      <c r="WGQ18" s="310" t="s">
        <v>201</v>
      </c>
      <c r="WGR18" s="310" t="s">
        <v>201</v>
      </c>
      <c r="WGS18" s="310" t="s">
        <v>201</v>
      </c>
      <c r="WGT18" s="310" t="s">
        <v>201</v>
      </c>
      <c r="WGU18" s="310" t="s">
        <v>201</v>
      </c>
      <c r="WGV18" s="310" t="s">
        <v>201</v>
      </c>
      <c r="WGW18" s="310" t="s">
        <v>201</v>
      </c>
      <c r="WGX18" s="310" t="s">
        <v>201</v>
      </c>
      <c r="WGY18" s="310" t="s">
        <v>201</v>
      </c>
      <c r="WGZ18" s="310" t="s">
        <v>201</v>
      </c>
      <c r="WHA18" s="310" t="s">
        <v>201</v>
      </c>
      <c r="WHB18" s="310" t="s">
        <v>201</v>
      </c>
      <c r="WHC18" s="310" t="s">
        <v>201</v>
      </c>
      <c r="WHD18" s="310" t="s">
        <v>201</v>
      </c>
      <c r="WHE18" s="310" t="s">
        <v>201</v>
      </c>
      <c r="WHF18" s="310" t="s">
        <v>201</v>
      </c>
      <c r="WHG18" s="310" t="s">
        <v>201</v>
      </c>
      <c r="WHH18" s="310" t="s">
        <v>201</v>
      </c>
      <c r="WHI18" s="310" t="s">
        <v>201</v>
      </c>
      <c r="WHJ18" s="310" t="s">
        <v>201</v>
      </c>
      <c r="WHK18" s="310" t="s">
        <v>201</v>
      </c>
      <c r="WHL18" s="310" t="s">
        <v>201</v>
      </c>
      <c r="WHM18" s="310" t="s">
        <v>201</v>
      </c>
      <c r="WHN18" s="310" t="s">
        <v>201</v>
      </c>
      <c r="WHO18" s="310" t="s">
        <v>201</v>
      </c>
      <c r="WHP18" s="310" t="s">
        <v>201</v>
      </c>
      <c r="WHQ18" s="310" t="s">
        <v>201</v>
      </c>
      <c r="WHR18" s="310" t="s">
        <v>201</v>
      </c>
      <c r="WHS18" s="310" t="s">
        <v>201</v>
      </c>
      <c r="WHT18" s="310" t="s">
        <v>201</v>
      </c>
      <c r="WHU18" s="310" t="s">
        <v>201</v>
      </c>
      <c r="WHV18" s="310" t="s">
        <v>201</v>
      </c>
      <c r="WHW18" s="310" t="s">
        <v>201</v>
      </c>
      <c r="WHX18" s="310" t="s">
        <v>201</v>
      </c>
      <c r="WHY18" s="310" t="s">
        <v>201</v>
      </c>
      <c r="WHZ18" s="310" t="s">
        <v>201</v>
      </c>
      <c r="WIA18" s="310" t="s">
        <v>201</v>
      </c>
      <c r="WIB18" s="310" t="s">
        <v>201</v>
      </c>
      <c r="WIC18" s="310" t="s">
        <v>201</v>
      </c>
      <c r="WID18" s="310" t="s">
        <v>201</v>
      </c>
      <c r="WIE18" s="310" t="s">
        <v>201</v>
      </c>
      <c r="WIF18" s="310" t="s">
        <v>201</v>
      </c>
      <c r="WIG18" s="310" t="s">
        <v>201</v>
      </c>
      <c r="WIH18" s="310" t="s">
        <v>201</v>
      </c>
      <c r="WII18" s="310" t="s">
        <v>201</v>
      </c>
      <c r="WIJ18" s="310" t="s">
        <v>201</v>
      </c>
      <c r="WIK18" s="310" t="s">
        <v>201</v>
      </c>
      <c r="WIL18" s="310" t="s">
        <v>201</v>
      </c>
      <c r="WIM18" s="310" t="s">
        <v>201</v>
      </c>
      <c r="WIN18" s="310" t="s">
        <v>201</v>
      </c>
      <c r="WIO18" s="310" t="s">
        <v>201</v>
      </c>
      <c r="WIP18" s="310" t="s">
        <v>201</v>
      </c>
      <c r="WIQ18" s="310" t="s">
        <v>201</v>
      </c>
      <c r="WIR18" s="310" t="s">
        <v>201</v>
      </c>
      <c r="WIS18" s="310" t="s">
        <v>201</v>
      </c>
      <c r="WIT18" s="310" t="s">
        <v>201</v>
      </c>
      <c r="WIU18" s="310" t="s">
        <v>201</v>
      </c>
      <c r="WIV18" s="310" t="s">
        <v>201</v>
      </c>
      <c r="WIW18" s="310" t="s">
        <v>201</v>
      </c>
      <c r="WIX18" s="310" t="s">
        <v>201</v>
      </c>
      <c r="WIY18" s="310" t="s">
        <v>201</v>
      </c>
      <c r="WIZ18" s="310" t="s">
        <v>201</v>
      </c>
      <c r="WJA18" s="310" t="s">
        <v>201</v>
      </c>
      <c r="WJB18" s="310" t="s">
        <v>201</v>
      </c>
      <c r="WJC18" s="310" t="s">
        <v>201</v>
      </c>
      <c r="WJD18" s="310" t="s">
        <v>201</v>
      </c>
      <c r="WJE18" s="310" t="s">
        <v>201</v>
      </c>
      <c r="WJF18" s="310" t="s">
        <v>201</v>
      </c>
      <c r="WJG18" s="310" t="s">
        <v>201</v>
      </c>
      <c r="WJH18" s="310" t="s">
        <v>201</v>
      </c>
      <c r="WJI18" s="310" t="s">
        <v>201</v>
      </c>
      <c r="WJJ18" s="310" t="s">
        <v>201</v>
      </c>
      <c r="WJK18" s="310" t="s">
        <v>201</v>
      </c>
      <c r="WJL18" s="310" t="s">
        <v>201</v>
      </c>
      <c r="WJM18" s="310" t="s">
        <v>201</v>
      </c>
      <c r="WJN18" s="310" t="s">
        <v>201</v>
      </c>
      <c r="WJO18" s="310" t="s">
        <v>201</v>
      </c>
      <c r="WJP18" s="310" t="s">
        <v>201</v>
      </c>
      <c r="WJQ18" s="310" t="s">
        <v>201</v>
      </c>
      <c r="WJR18" s="310" t="s">
        <v>201</v>
      </c>
      <c r="WJS18" s="310" t="s">
        <v>201</v>
      </c>
      <c r="WJT18" s="310" t="s">
        <v>201</v>
      </c>
      <c r="WJU18" s="310" t="s">
        <v>201</v>
      </c>
      <c r="WJV18" s="310" t="s">
        <v>201</v>
      </c>
      <c r="WJW18" s="310" t="s">
        <v>201</v>
      </c>
      <c r="WJX18" s="310" t="s">
        <v>201</v>
      </c>
      <c r="WJY18" s="310" t="s">
        <v>201</v>
      </c>
      <c r="WJZ18" s="310" t="s">
        <v>201</v>
      </c>
      <c r="WKA18" s="310" t="s">
        <v>201</v>
      </c>
      <c r="WKB18" s="310" t="s">
        <v>201</v>
      </c>
      <c r="WKC18" s="310" t="s">
        <v>201</v>
      </c>
      <c r="WKD18" s="310" t="s">
        <v>201</v>
      </c>
      <c r="WKE18" s="310" t="s">
        <v>201</v>
      </c>
      <c r="WKF18" s="310" t="s">
        <v>201</v>
      </c>
      <c r="WKG18" s="310" t="s">
        <v>201</v>
      </c>
      <c r="WKH18" s="310" t="s">
        <v>201</v>
      </c>
      <c r="WKI18" s="310" t="s">
        <v>201</v>
      </c>
      <c r="WKJ18" s="310" t="s">
        <v>201</v>
      </c>
      <c r="WKK18" s="310" t="s">
        <v>201</v>
      </c>
      <c r="WKL18" s="310" t="s">
        <v>201</v>
      </c>
      <c r="WKM18" s="310" t="s">
        <v>201</v>
      </c>
      <c r="WKN18" s="310" t="s">
        <v>201</v>
      </c>
      <c r="WKO18" s="310" t="s">
        <v>201</v>
      </c>
      <c r="WKP18" s="310" t="s">
        <v>201</v>
      </c>
      <c r="WKQ18" s="310" t="s">
        <v>201</v>
      </c>
      <c r="WKR18" s="310" t="s">
        <v>201</v>
      </c>
      <c r="WKS18" s="310" t="s">
        <v>201</v>
      </c>
      <c r="WKT18" s="310" t="s">
        <v>201</v>
      </c>
      <c r="WKU18" s="310" t="s">
        <v>201</v>
      </c>
      <c r="WKV18" s="310" t="s">
        <v>201</v>
      </c>
      <c r="WKW18" s="310" t="s">
        <v>201</v>
      </c>
      <c r="WKX18" s="310" t="s">
        <v>201</v>
      </c>
      <c r="WKY18" s="310" t="s">
        <v>201</v>
      </c>
      <c r="WKZ18" s="310" t="s">
        <v>201</v>
      </c>
      <c r="WLA18" s="310" t="s">
        <v>201</v>
      </c>
      <c r="WLB18" s="310" t="s">
        <v>201</v>
      </c>
      <c r="WLC18" s="310" t="s">
        <v>201</v>
      </c>
      <c r="WLD18" s="310" t="s">
        <v>201</v>
      </c>
      <c r="WLE18" s="310" t="s">
        <v>201</v>
      </c>
      <c r="WLF18" s="310" t="s">
        <v>201</v>
      </c>
      <c r="WLG18" s="310" t="s">
        <v>201</v>
      </c>
      <c r="WLH18" s="310" t="s">
        <v>201</v>
      </c>
      <c r="WLI18" s="310" t="s">
        <v>201</v>
      </c>
      <c r="WLJ18" s="310" t="s">
        <v>201</v>
      </c>
      <c r="WLK18" s="310" t="s">
        <v>201</v>
      </c>
      <c r="WLL18" s="310" t="s">
        <v>201</v>
      </c>
      <c r="WLM18" s="310" t="s">
        <v>201</v>
      </c>
      <c r="WLN18" s="310" t="s">
        <v>201</v>
      </c>
      <c r="WLO18" s="310" t="s">
        <v>201</v>
      </c>
      <c r="WLP18" s="310" t="s">
        <v>201</v>
      </c>
      <c r="WLQ18" s="310" t="s">
        <v>201</v>
      </c>
      <c r="WLR18" s="310" t="s">
        <v>201</v>
      </c>
      <c r="WLS18" s="310" t="s">
        <v>201</v>
      </c>
      <c r="WLT18" s="310" t="s">
        <v>201</v>
      </c>
      <c r="WLU18" s="310" t="s">
        <v>201</v>
      </c>
      <c r="WLV18" s="310" t="s">
        <v>201</v>
      </c>
      <c r="WLW18" s="310" t="s">
        <v>201</v>
      </c>
      <c r="WLX18" s="310" t="s">
        <v>201</v>
      </c>
      <c r="WLY18" s="310" t="s">
        <v>201</v>
      </c>
      <c r="WLZ18" s="310" t="s">
        <v>201</v>
      </c>
      <c r="WMA18" s="310" t="s">
        <v>201</v>
      </c>
      <c r="WMB18" s="310" t="s">
        <v>201</v>
      </c>
      <c r="WMC18" s="310" t="s">
        <v>201</v>
      </c>
      <c r="WMD18" s="310" t="s">
        <v>201</v>
      </c>
      <c r="WME18" s="310" t="s">
        <v>201</v>
      </c>
      <c r="WMF18" s="310" t="s">
        <v>201</v>
      </c>
      <c r="WMG18" s="310" t="s">
        <v>201</v>
      </c>
      <c r="WMH18" s="310" t="s">
        <v>201</v>
      </c>
      <c r="WMI18" s="310" t="s">
        <v>201</v>
      </c>
      <c r="WMJ18" s="310" t="s">
        <v>201</v>
      </c>
      <c r="WMK18" s="310" t="s">
        <v>201</v>
      </c>
      <c r="WML18" s="310" t="s">
        <v>201</v>
      </c>
      <c r="WMM18" s="310" t="s">
        <v>201</v>
      </c>
      <c r="WMN18" s="310" t="s">
        <v>201</v>
      </c>
      <c r="WMO18" s="310" t="s">
        <v>201</v>
      </c>
      <c r="WMP18" s="310" t="s">
        <v>201</v>
      </c>
      <c r="WMQ18" s="310" t="s">
        <v>201</v>
      </c>
      <c r="WMR18" s="310" t="s">
        <v>201</v>
      </c>
      <c r="WMS18" s="310" t="s">
        <v>201</v>
      </c>
      <c r="WMT18" s="310" t="s">
        <v>201</v>
      </c>
      <c r="WMU18" s="310" t="s">
        <v>201</v>
      </c>
      <c r="WMV18" s="310" t="s">
        <v>201</v>
      </c>
      <c r="WMW18" s="310" t="s">
        <v>201</v>
      </c>
      <c r="WMX18" s="310" t="s">
        <v>201</v>
      </c>
      <c r="WMY18" s="310" t="s">
        <v>201</v>
      </c>
      <c r="WMZ18" s="310" t="s">
        <v>201</v>
      </c>
      <c r="WNA18" s="310" t="s">
        <v>201</v>
      </c>
      <c r="WNB18" s="310" t="s">
        <v>201</v>
      </c>
      <c r="WNC18" s="310" t="s">
        <v>201</v>
      </c>
      <c r="WND18" s="310" t="s">
        <v>201</v>
      </c>
      <c r="WNE18" s="310" t="s">
        <v>201</v>
      </c>
      <c r="WNF18" s="310" t="s">
        <v>201</v>
      </c>
      <c r="WNG18" s="310" t="s">
        <v>201</v>
      </c>
      <c r="WNH18" s="310" t="s">
        <v>201</v>
      </c>
      <c r="WNI18" s="310" t="s">
        <v>201</v>
      </c>
      <c r="WNJ18" s="310" t="s">
        <v>201</v>
      </c>
      <c r="WNK18" s="310" t="s">
        <v>201</v>
      </c>
      <c r="WNL18" s="310" t="s">
        <v>201</v>
      </c>
      <c r="WNM18" s="310" t="s">
        <v>201</v>
      </c>
      <c r="WNN18" s="310" t="s">
        <v>201</v>
      </c>
      <c r="WNO18" s="310" t="s">
        <v>201</v>
      </c>
      <c r="WNP18" s="310" t="s">
        <v>201</v>
      </c>
      <c r="WNQ18" s="310" t="s">
        <v>201</v>
      </c>
      <c r="WNR18" s="310" t="s">
        <v>201</v>
      </c>
      <c r="WNS18" s="310" t="s">
        <v>201</v>
      </c>
      <c r="WNT18" s="310" t="s">
        <v>201</v>
      </c>
      <c r="WNU18" s="310" t="s">
        <v>201</v>
      </c>
      <c r="WNV18" s="310" t="s">
        <v>201</v>
      </c>
      <c r="WNW18" s="310" t="s">
        <v>201</v>
      </c>
      <c r="WNX18" s="310" t="s">
        <v>201</v>
      </c>
      <c r="WNY18" s="310" t="s">
        <v>201</v>
      </c>
      <c r="WNZ18" s="310" t="s">
        <v>201</v>
      </c>
      <c r="WOA18" s="310" t="s">
        <v>201</v>
      </c>
      <c r="WOB18" s="310" t="s">
        <v>201</v>
      </c>
      <c r="WOC18" s="310" t="s">
        <v>201</v>
      </c>
      <c r="WOD18" s="310" t="s">
        <v>201</v>
      </c>
      <c r="WOE18" s="310" t="s">
        <v>201</v>
      </c>
      <c r="WOF18" s="310" t="s">
        <v>201</v>
      </c>
      <c r="WOG18" s="310" t="s">
        <v>201</v>
      </c>
      <c r="WOH18" s="310" t="s">
        <v>201</v>
      </c>
      <c r="WOI18" s="310" t="s">
        <v>201</v>
      </c>
      <c r="WOJ18" s="310" t="s">
        <v>201</v>
      </c>
      <c r="WOK18" s="310" t="s">
        <v>201</v>
      </c>
      <c r="WOL18" s="310" t="s">
        <v>201</v>
      </c>
      <c r="WOM18" s="310" t="s">
        <v>201</v>
      </c>
      <c r="WON18" s="310" t="s">
        <v>201</v>
      </c>
      <c r="WOO18" s="310" t="s">
        <v>201</v>
      </c>
      <c r="WOP18" s="310" t="s">
        <v>201</v>
      </c>
      <c r="WOQ18" s="310" t="s">
        <v>201</v>
      </c>
      <c r="WOR18" s="310" t="s">
        <v>201</v>
      </c>
      <c r="WOS18" s="310" t="s">
        <v>201</v>
      </c>
      <c r="WOT18" s="310" t="s">
        <v>201</v>
      </c>
      <c r="WOU18" s="310" t="s">
        <v>201</v>
      </c>
      <c r="WOV18" s="310" t="s">
        <v>201</v>
      </c>
      <c r="WOW18" s="310" t="s">
        <v>201</v>
      </c>
      <c r="WOX18" s="310" t="s">
        <v>201</v>
      </c>
      <c r="WOY18" s="310" t="s">
        <v>201</v>
      </c>
      <c r="WOZ18" s="310" t="s">
        <v>201</v>
      </c>
      <c r="WPA18" s="310" t="s">
        <v>201</v>
      </c>
      <c r="WPB18" s="310" t="s">
        <v>201</v>
      </c>
      <c r="WPC18" s="310" t="s">
        <v>201</v>
      </c>
      <c r="WPD18" s="310" t="s">
        <v>201</v>
      </c>
      <c r="WPE18" s="310" t="s">
        <v>201</v>
      </c>
      <c r="WPF18" s="310" t="s">
        <v>201</v>
      </c>
      <c r="WPG18" s="310" t="s">
        <v>201</v>
      </c>
      <c r="WPH18" s="310" t="s">
        <v>201</v>
      </c>
      <c r="WPI18" s="310" t="s">
        <v>201</v>
      </c>
      <c r="WPJ18" s="310" t="s">
        <v>201</v>
      </c>
      <c r="WPK18" s="310" t="s">
        <v>201</v>
      </c>
      <c r="WPL18" s="310" t="s">
        <v>201</v>
      </c>
      <c r="WPM18" s="310" t="s">
        <v>201</v>
      </c>
      <c r="WPN18" s="310" t="s">
        <v>201</v>
      </c>
      <c r="WPO18" s="310" t="s">
        <v>201</v>
      </c>
      <c r="WPP18" s="310" t="s">
        <v>201</v>
      </c>
      <c r="WPQ18" s="310" t="s">
        <v>201</v>
      </c>
      <c r="WPR18" s="310" t="s">
        <v>201</v>
      </c>
      <c r="WPS18" s="310" t="s">
        <v>201</v>
      </c>
      <c r="WPT18" s="310" t="s">
        <v>201</v>
      </c>
      <c r="WPU18" s="310" t="s">
        <v>201</v>
      </c>
      <c r="WPV18" s="310" t="s">
        <v>201</v>
      </c>
      <c r="WPW18" s="310" t="s">
        <v>201</v>
      </c>
      <c r="WPX18" s="310" t="s">
        <v>201</v>
      </c>
      <c r="WPY18" s="310" t="s">
        <v>201</v>
      </c>
      <c r="WPZ18" s="310" t="s">
        <v>201</v>
      </c>
      <c r="WQA18" s="310" t="s">
        <v>201</v>
      </c>
      <c r="WQB18" s="310" t="s">
        <v>201</v>
      </c>
      <c r="WQC18" s="310" t="s">
        <v>201</v>
      </c>
      <c r="WQD18" s="310" t="s">
        <v>201</v>
      </c>
      <c r="WQE18" s="310" t="s">
        <v>201</v>
      </c>
      <c r="WQF18" s="310" t="s">
        <v>201</v>
      </c>
      <c r="WQG18" s="310" t="s">
        <v>201</v>
      </c>
      <c r="WQH18" s="310" t="s">
        <v>201</v>
      </c>
      <c r="WQI18" s="310" t="s">
        <v>201</v>
      </c>
      <c r="WQJ18" s="310" t="s">
        <v>201</v>
      </c>
      <c r="WQK18" s="310" t="s">
        <v>201</v>
      </c>
      <c r="WQL18" s="310" t="s">
        <v>201</v>
      </c>
      <c r="WQM18" s="310" t="s">
        <v>201</v>
      </c>
      <c r="WQN18" s="310" t="s">
        <v>201</v>
      </c>
      <c r="WQO18" s="310" t="s">
        <v>201</v>
      </c>
      <c r="WQP18" s="310" t="s">
        <v>201</v>
      </c>
      <c r="WQQ18" s="310" t="s">
        <v>201</v>
      </c>
      <c r="WQR18" s="310" t="s">
        <v>201</v>
      </c>
      <c r="WQS18" s="310" t="s">
        <v>201</v>
      </c>
      <c r="WQT18" s="310" t="s">
        <v>201</v>
      </c>
      <c r="WQU18" s="310" t="s">
        <v>201</v>
      </c>
      <c r="WQV18" s="310" t="s">
        <v>201</v>
      </c>
      <c r="WQW18" s="310" t="s">
        <v>201</v>
      </c>
      <c r="WQX18" s="310" t="s">
        <v>201</v>
      </c>
      <c r="WQY18" s="310" t="s">
        <v>201</v>
      </c>
      <c r="WQZ18" s="310" t="s">
        <v>201</v>
      </c>
      <c r="WRA18" s="310" t="s">
        <v>201</v>
      </c>
      <c r="WRB18" s="310" t="s">
        <v>201</v>
      </c>
      <c r="WRC18" s="310" t="s">
        <v>201</v>
      </c>
      <c r="WRD18" s="310" t="s">
        <v>201</v>
      </c>
      <c r="WRE18" s="310" t="s">
        <v>201</v>
      </c>
      <c r="WRF18" s="310" t="s">
        <v>201</v>
      </c>
      <c r="WRG18" s="310" t="s">
        <v>201</v>
      </c>
      <c r="WRH18" s="310" t="s">
        <v>201</v>
      </c>
      <c r="WRI18" s="310" t="s">
        <v>201</v>
      </c>
      <c r="WRJ18" s="310" t="s">
        <v>201</v>
      </c>
      <c r="WRK18" s="310" t="s">
        <v>201</v>
      </c>
      <c r="WRL18" s="310" t="s">
        <v>201</v>
      </c>
      <c r="WRM18" s="310" t="s">
        <v>201</v>
      </c>
      <c r="WRN18" s="310" t="s">
        <v>201</v>
      </c>
      <c r="WRO18" s="310" t="s">
        <v>201</v>
      </c>
      <c r="WRP18" s="310" t="s">
        <v>201</v>
      </c>
      <c r="WRQ18" s="310" t="s">
        <v>201</v>
      </c>
      <c r="WRR18" s="310" t="s">
        <v>201</v>
      </c>
      <c r="WRS18" s="310" t="s">
        <v>201</v>
      </c>
      <c r="WRT18" s="310" t="s">
        <v>201</v>
      </c>
      <c r="WRU18" s="310" t="s">
        <v>201</v>
      </c>
      <c r="WRV18" s="310" t="s">
        <v>201</v>
      </c>
      <c r="WRW18" s="310" t="s">
        <v>201</v>
      </c>
      <c r="WRX18" s="310" t="s">
        <v>201</v>
      </c>
      <c r="WRY18" s="310" t="s">
        <v>201</v>
      </c>
      <c r="WRZ18" s="310" t="s">
        <v>201</v>
      </c>
      <c r="WSA18" s="310" t="s">
        <v>201</v>
      </c>
      <c r="WSB18" s="310" t="s">
        <v>201</v>
      </c>
      <c r="WSC18" s="310" t="s">
        <v>201</v>
      </c>
      <c r="WSD18" s="310" t="s">
        <v>201</v>
      </c>
      <c r="WSE18" s="310" t="s">
        <v>201</v>
      </c>
      <c r="WSF18" s="310" t="s">
        <v>201</v>
      </c>
      <c r="WSG18" s="310" t="s">
        <v>201</v>
      </c>
      <c r="WSH18" s="310" t="s">
        <v>201</v>
      </c>
      <c r="WSI18" s="310" t="s">
        <v>201</v>
      </c>
      <c r="WSJ18" s="310" t="s">
        <v>201</v>
      </c>
      <c r="WSK18" s="310" t="s">
        <v>201</v>
      </c>
      <c r="WSL18" s="310" t="s">
        <v>201</v>
      </c>
      <c r="WSM18" s="310" t="s">
        <v>201</v>
      </c>
      <c r="WSN18" s="310" t="s">
        <v>201</v>
      </c>
      <c r="WSO18" s="310" t="s">
        <v>201</v>
      </c>
      <c r="WSP18" s="310" t="s">
        <v>201</v>
      </c>
      <c r="WSQ18" s="310" t="s">
        <v>201</v>
      </c>
      <c r="WSR18" s="310" t="s">
        <v>201</v>
      </c>
      <c r="WSS18" s="310" t="s">
        <v>201</v>
      </c>
      <c r="WST18" s="310" t="s">
        <v>201</v>
      </c>
      <c r="WSU18" s="310" t="s">
        <v>201</v>
      </c>
      <c r="WSV18" s="310" t="s">
        <v>201</v>
      </c>
      <c r="WSW18" s="310" t="s">
        <v>201</v>
      </c>
      <c r="WSX18" s="310" t="s">
        <v>201</v>
      </c>
      <c r="WSY18" s="310" t="s">
        <v>201</v>
      </c>
      <c r="WSZ18" s="310" t="s">
        <v>201</v>
      </c>
      <c r="WTA18" s="310" t="s">
        <v>201</v>
      </c>
      <c r="WTB18" s="310" t="s">
        <v>201</v>
      </c>
      <c r="WTC18" s="310" t="s">
        <v>201</v>
      </c>
      <c r="WTD18" s="310" t="s">
        <v>201</v>
      </c>
      <c r="WTE18" s="310" t="s">
        <v>201</v>
      </c>
      <c r="WTF18" s="310" t="s">
        <v>201</v>
      </c>
      <c r="WTG18" s="310" t="s">
        <v>201</v>
      </c>
      <c r="WTH18" s="310" t="s">
        <v>201</v>
      </c>
      <c r="WTI18" s="310" t="s">
        <v>201</v>
      </c>
      <c r="WTJ18" s="310" t="s">
        <v>201</v>
      </c>
      <c r="WTK18" s="310" t="s">
        <v>201</v>
      </c>
      <c r="WTL18" s="310" t="s">
        <v>201</v>
      </c>
      <c r="WTM18" s="310" t="s">
        <v>201</v>
      </c>
      <c r="WTN18" s="310" t="s">
        <v>201</v>
      </c>
      <c r="WTO18" s="310" t="s">
        <v>201</v>
      </c>
      <c r="WTP18" s="310" t="s">
        <v>201</v>
      </c>
      <c r="WTQ18" s="310" t="s">
        <v>201</v>
      </c>
      <c r="WTR18" s="310" t="s">
        <v>201</v>
      </c>
      <c r="WTS18" s="310" t="s">
        <v>201</v>
      </c>
      <c r="WTT18" s="310" t="s">
        <v>201</v>
      </c>
      <c r="WTU18" s="310" t="s">
        <v>201</v>
      </c>
      <c r="WTV18" s="310" t="s">
        <v>201</v>
      </c>
      <c r="WTW18" s="310" t="s">
        <v>201</v>
      </c>
      <c r="WTX18" s="310" t="s">
        <v>201</v>
      </c>
      <c r="WTY18" s="310" t="s">
        <v>201</v>
      </c>
      <c r="WTZ18" s="310" t="s">
        <v>201</v>
      </c>
      <c r="WUA18" s="310" t="s">
        <v>201</v>
      </c>
      <c r="WUB18" s="310" t="s">
        <v>201</v>
      </c>
      <c r="WUC18" s="310" t="s">
        <v>201</v>
      </c>
      <c r="WUD18" s="310" t="s">
        <v>201</v>
      </c>
      <c r="WUE18" s="310" t="s">
        <v>201</v>
      </c>
      <c r="WUF18" s="310" t="s">
        <v>201</v>
      </c>
      <c r="WUG18" s="310" t="s">
        <v>201</v>
      </c>
      <c r="WUH18" s="310" t="s">
        <v>201</v>
      </c>
      <c r="WUI18" s="310" t="s">
        <v>201</v>
      </c>
      <c r="WUJ18" s="310" t="s">
        <v>201</v>
      </c>
      <c r="WUK18" s="310" t="s">
        <v>201</v>
      </c>
      <c r="WUL18" s="310" t="s">
        <v>201</v>
      </c>
      <c r="WUM18" s="310" t="s">
        <v>201</v>
      </c>
      <c r="WUN18" s="310" t="s">
        <v>201</v>
      </c>
      <c r="WUO18" s="310" t="s">
        <v>201</v>
      </c>
      <c r="WUP18" s="310" t="s">
        <v>201</v>
      </c>
      <c r="WUQ18" s="310" t="s">
        <v>201</v>
      </c>
      <c r="WUR18" s="310" t="s">
        <v>201</v>
      </c>
      <c r="WUS18" s="310" t="s">
        <v>201</v>
      </c>
      <c r="WUT18" s="310" t="s">
        <v>201</v>
      </c>
      <c r="WUU18" s="310" t="s">
        <v>201</v>
      </c>
      <c r="WUV18" s="310" t="s">
        <v>201</v>
      </c>
      <c r="WUW18" s="310" t="s">
        <v>201</v>
      </c>
      <c r="WUX18" s="310" t="s">
        <v>201</v>
      </c>
      <c r="WUY18" s="310" t="s">
        <v>201</v>
      </c>
      <c r="WUZ18" s="310" t="s">
        <v>201</v>
      </c>
      <c r="WVA18" s="310" t="s">
        <v>201</v>
      </c>
      <c r="WVB18" s="310" t="s">
        <v>201</v>
      </c>
      <c r="WVC18" s="310" t="s">
        <v>201</v>
      </c>
      <c r="WVD18" s="310" t="s">
        <v>201</v>
      </c>
      <c r="WVE18" s="310" t="s">
        <v>201</v>
      </c>
      <c r="WVF18" s="310" t="s">
        <v>201</v>
      </c>
      <c r="WVG18" s="310" t="s">
        <v>201</v>
      </c>
      <c r="WVH18" s="310" t="s">
        <v>201</v>
      </c>
      <c r="WVI18" s="310" t="s">
        <v>201</v>
      </c>
      <c r="WVJ18" s="310" t="s">
        <v>201</v>
      </c>
      <c r="WVK18" s="310" t="s">
        <v>201</v>
      </c>
      <c r="WVL18" s="310" t="s">
        <v>201</v>
      </c>
      <c r="WVM18" s="310" t="s">
        <v>201</v>
      </c>
      <c r="WVN18" s="310" t="s">
        <v>201</v>
      </c>
      <c r="WVO18" s="310" t="s">
        <v>201</v>
      </c>
      <c r="WVP18" s="310" t="s">
        <v>201</v>
      </c>
      <c r="WVQ18" s="310" t="s">
        <v>201</v>
      </c>
      <c r="WVR18" s="310" t="s">
        <v>201</v>
      </c>
      <c r="WVS18" s="310" t="s">
        <v>201</v>
      </c>
      <c r="WVT18" s="310" t="s">
        <v>201</v>
      </c>
      <c r="WVU18" s="310" t="s">
        <v>201</v>
      </c>
      <c r="WVV18" s="310" t="s">
        <v>201</v>
      </c>
      <c r="WVW18" s="310" t="s">
        <v>201</v>
      </c>
      <c r="WVX18" s="310" t="s">
        <v>201</v>
      </c>
      <c r="WVY18" s="310" t="s">
        <v>201</v>
      </c>
      <c r="WVZ18" s="310" t="s">
        <v>201</v>
      </c>
      <c r="WWA18" s="310" t="s">
        <v>201</v>
      </c>
      <c r="WWB18" s="310" t="s">
        <v>201</v>
      </c>
      <c r="WWC18" s="310" t="s">
        <v>201</v>
      </c>
      <c r="WWD18" s="310" t="s">
        <v>201</v>
      </c>
      <c r="WWE18" s="310" t="s">
        <v>201</v>
      </c>
      <c r="WWF18" s="310" t="s">
        <v>201</v>
      </c>
      <c r="WWG18" s="310" t="s">
        <v>201</v>
      </c>
      <c r="WWH18" s="310" t="s">
        <v>201</v>
      </c>
      <c r="WWI18" s="310" t="s">
        <v>201</v>
      </c>
      <c r="WWJ18" s="310" t="s">
        <v>201</v>
      </c>
      <c r="WWK18" s="310" t="s">
        <v>201</v>
      </c>
      <c r="WWL18" s="310" t="s">
        <v>201</v>
      </c>
      <c r="WWM18" s="310" t="s">
        <v>201</v>
      </c>
      <c r="WWN18" s="310" t="s">
        <v>201</v>
      </c>
      <c r="WWO18" s="310" t="s">
        <v>201</v>
      </c>
      <c r="WWP18" s="310" t="s">
        <v>201</v>
      </c>
      <c r="WWQ18" s="310" t="s">
        <v>201</v>
      </c>
      <c r="WWR18" s="310" t="s">
        <v>201</v>
      </c>
      <c r="WWS18" s="310" t="s">
        <v>201</v>
      </c>
      <c r="WWT18" s="310" t="s">
        <v>201</v>
      </c>
      <c r="WWU18" s="310" t="s">
        <v>201</v>
      </c>
      <c r="WWV18" s="310" t="s">
        <v>201</v>
      </c>
      <c r="WWW18" s="310" t="s">
        <v>201</v>
      </c>
      <c r="WWX18" s="310" t="s">
        <v>201</v>
      </c>
      <c r="WWY18" s="310" t="s">
        <v>201</v>
      </c>
      <c r="WWZ18" s="310" t="s">
        <v>201</v>
      </c>
      <c r="WXA18" s="310" t="s">
        <v>201</v>
      </c>
      <c r="WXB18" s="310" t="s">
        <v>201</v>
      </c>
      <c r="WXC18" s="310" t="s">
        <v>201</v>
      </c>
      <c r="WXD18" s="310" t="s">
        <v>201</v>
      </c>
      <c r="WXE18" s="310" t="s">
        <v>201</v>
      </c>
      <c r="WXF18" s="310" t="s">
        <v>201</v>
      </c>
      <c r="WXG18" s="310" t="s">
        <v>201</v>
      </c>
      <c r="WXH18" s="310" t="s">
        <v>201</v>
      </c>
      <c r="WXI18" s="310" t="s">
        <v>201</v>
      </c>
      <c r="WXJ18" s="310" t="s">
        <v>201</v>
      </c>
      <c r="WXK18" s="310" t="s">
        <v>201</v>
      </c>
      <c r="WXL18" s="310" t="s">
        <v>201</v>
      </c>
      <c r="WXM18" s="310" t="s">
        <v>201</v>
      </c>
      <c r="WXN18" s="310" t="s">
        <v>201</v>
      </c>
      <c r="WXO18" s="310" t="s">
        <v>201</v>
      </c>
      <c r="WXP18" s="310" t="s">
        <v>201</v>
      </c>
      <c r="WXQ18" s="310" t="s">
        <v>201</v>
      </c>
      <c r="WXR18" s="310" t="s">
        <v>201</v>
      </c>
      <c r="WXS18" s="310" t="s">
        <v>201</v>
      </c>
      <c r="WXT18" s="310" t="s">
        <v>201</v>
      </c>
      <c r="WXU18" s="310" t="s">
        <v>201</v>
      </c>
      <c r="WXV18" s="310" t="s">
        <v>201</v>
      </c>
      <c r="WXW18" s="310" t="s">
        <v>201</v>
      </c>
      <c r="WXX18" s="310" t="s">
        <v>201</v>
      </c>
      <c r="WXY18" s="310" t="s">
        <v>201</v>
      </c>
      <c r="WXZ18" s="310" t="s">
        <v>201</v>
      </c>
      <c r="WYA18" s="310" t="s">
        <v>201</v>
      </c>
      <c r="WYB18" s="310" t="s">
        <v>201</v>
      </c>
      <c r="WYC18" s="310" t="s">
        <v>201</v>
      </c>
      <c r="WYD18" s="310" t="s">
        <v>201</v>
      </c>
      <c r="WYE18" s="310" t="s">
        <v>201</v>
      </c>
      <c r="WYF18" s="310" t="s">
        <v>201</v>
      </c>
      <c r="WYG18" s="310" t="s">
        <v>201</v>
      </c>
      <c r="WYH18" s="310" t="s">
        <v>201</v>
      </c>
      <c r="WYI18" s="310" t="s">
        <v>201</v>
      </c>
      <c r="WYJ18" s="310" t="s">
        <v>201</v>
      </c>
      <c r="WYK18" s="310" t="s">
        <v>201</v>
      </c>
      <c r="WYL18" s="310" t="s">
        <v>201</v>
      </c>
      <c r="WYM18" s="310" t="s">
        <v>201</v>
      </c>
      <c r="WYN18" s="310" t="s">
        <v>201</v>
      </c>
      <c r="WYO18" s="310" t="s">
        <v>201</v>
      </c>
      <c r="WYP18" s="310" t="s">
        <v>201</v>
      </c>
      <c r="WYQ18" s="310" t="s">
        <v>201</v>
      </c>
      <c r="WYR18" s="310" t="s">
        <v>201</v>
      </c>
      <c r="WYS18" s="310" t="s">
        <v>201</v>
      </c>
      <c r="WYT18" s="310" t="s">
        <v>201</v>
      </c>
      <c r="WYU18" s="310" t="s">
        <v>201</v>
      </c>
      <c r="WYV18" s="310" t="s">
        <v>201</v>
      </c>
      <c r="WYW18" s="310" t="s">
        <v>201</v>
      </c>
      <c r="WYX18" s="310" t="s">
        <v>201</v>
      </c>
      <c r="WYY18" s="310" t="s">
        <v>201</v>
      </c>
      <c r="WYZ18" s="310" t="s">
        <v>201</v>
      </c>
      <c r="WZA18" s="310" t="s">
        <v>201</v>
      </c>
      <c r="WZB18" s="310" t="s">
        <v>201</v>
      </c>
      <c r="WZC18" s="310" t="s">
        <v>201</v>
      </c>
      <c r="WZD18" s="310" t="s">
        <v>201</v>
      </c>
      <c r="WZE18" s="310" t="s">
        <v>201</v>
      </c>
      <c r="WZF18" s="310" t="s">
        <v>201</v>
      </c>
      <c r="WZG18" s="310" t="s">
        <v>201</v>
      </c>
      <c r="WZH18" s="310" t="s">
        <v>201</v>
      </c>
      <c r="WZI18" s="310" t="s">
        <v>201</v>
      </c>
      <c r="WZJ18" s="310" t="s">
        <v>201</v>
      </c>
      <c r="WZK18" s="310" t="s">
        <v>201</v>
      </c>
      <c r="WZL18" s="310" t="s">
        <v>201</v>
      </c>
      <c r="WZM18" s="310" t="s">
        <v>201</v>
      </c>
      <c r="WZN18" s="310" t="s">
        <v>201</v>
      </c>
      <c r="WZO18" s="310" t="s">
        <v>201</v>
      </c>
      <c r="WZP18" s="310" t="s">
        <v>201</v>
      </c>
      <c r="WZQ18" s="310" t="s">
        <v>201</v>
      </c>
      <c r="WZR18" s="310" t="s">
        <v>201</v>
      </c>
      <c r="WZS18" s="310" t="s">
        <v>201</v>
      </c>
      <c r="WZT18" s="310" t="s">
        <v>201</v>
      </c>
      <c r="WZU18" s="310" t="s">
        <v>201</v>
      </c>
      <c r="WZV18" s="310" t="s">
        <v>201</v>
      </c>
      <c r="WZW18" s="310" t="s">
        <v>201</v>
      </c>
      <c r="WZX18" s="310" t="s">
        <v>201</v>
      </c>
      <c r="WZY18" s="310" t="s">
        <v>201</v>
      </c>
      <c r="WZZ18" s="310" t="s">
        <v>201</v>
      </c>
      <c r="XAA18" s="310" t="s">
        <v>201</v>
      </c>
      <c r="XAB18" s="310" t="s">
        <v>201</v>
      </c>
      <c r="XAC18" s="310" t="s">
        <v>201</v>
      </c>
      <c r="XAD18" s="310" t="s">
        <v>201</v>
      </c>
      <c r="XAE18" s="310" t="s">
        <v>201</v>
      </c>
      <c r="XAF18" s="310" t="s">
        <v>201</v>
      </c>
      <c r="XAG18" s="310" t="s">
        <v>201</v>
      </c>
      <c r="XAH18" s="310" t="s">
        <v>201</v>
      </c>
      <c r="XAI18" s="310" t="s">
        <v>201</v>
      </c>
      <c r="XAJ18" s="310" t="s">
        <v>201</v>
      </c>
      <c r="XAK18" s="310" t="s">
        <v>201</v>
      </c>
      <c r="XAL18" s="310" t="s">
        <v>201</v>
      </c>
      <c r="XAM18" s="310" t="s">
        <v>201</v>
      </c>
      <c r="XAN18" s="310" t="s">
        <v>201</v>
      </c>
      <c r="XAO18" s="310" t="s">
        <v>201</v>
      </c>
      <c r="XAP18" s="310" t="s">
        <v>201</v>
      </c>
      <c r="XAQ18" s="310" t="s">
        <v>201</v>
      </c>
      <c r="XAR18" s="310" t="s">
        <v>201</v>
      </c>
      <c r="XAS18" s="310" t="s">
        <v>201</v>
      </c>
      <c r="XAT18" s="310" t="s">
        <v>201</v>
      </c>
      <c r="XAU18" s="310" t="s">
        <v>201</v>
      </c>
      <c r="XAV18" s="310" t="s">
        <v>201</v>
      </c>
      <c r="XAW18" s="310" t="s">
        <v>201</v>
      </c>
      <c r="XAX18" s="310" t="s">
        <v>201</v>
      </c>
      <c r="XAY18" s="310" t="s">
        <v>201</v>
      </c>
      <c r="XAZ18" s="310" t="s">
        <v>201</v>
      </c>
      <c r="XBA18" s="310" t="s">
        <v>201</v>
      </c>
      <c r="XBB18" s="310" t="s">
        <v>201</v>
      </c>
      <c r="XBC18" s="310" t="s">
        <v>201</v>
      </c>
      <c r="XBD18" s="310" t="s">
        <v>201</v>
      </c>
      <c r="XBE18" s="310" t="s">
        <v>201</v>
      </c>
      <c r="XBF18" s="310" t="s">
        <v>201</v>
      </c>
      <c r="XBG18" s="310" t="s">
        <v>201</v>
      </c>
      <c r="XBH18" s="310" t="s">
        <v>201</v>
      </c>
      <c r="XBI18" s="310" t="s">
        <v>201</v>
      </c>
      <c r="XBJ18" s="310" t="s">
        <v>201</v>
      </c>
      <c r="XBK18" s="310" t="s">
        <v>201</v>
      </c>
      <c r="XBL18" s="310" t="s">
        <v>201</v>
      </c>
      <c r="XBM18" s="310" t="s">
        <v>201</v>
      </c>
      <c r="XBN18" s="310" t="s">
        <v>201</v>
      </c>
      <c r="XBO18" s="310" t="s">
        <v>201</v>
      </c>
      <c r="XBP18" s="310" t="s">
        <v>201</v>
      </c>
      <c r="XBQ18" s="310" t="s">
        <v>201</v>
      </c>
      <c r="XBR18" s="310" t="s">
        <v>201</v>
      </c>
      <c r="XBS18" s="310" t="s">
        <v>201</v>
      </c>
      <c r="XBT18" s="310" t="s">
        <v>201</v>
      </c>
      <c r="XBU18" s="310" t="s">
        <v>201</v>
      </c>
      <c r="XBV18" s="310" t="s">
        <v>201</v>
      </c>
      <c r="XBW18" s="310" t="s">
        <v>201</v>
      </c>
      <c r="XBX18" s="310" t="s">
        <v>201</v>
      </c>
      <c r="XBY18" s="310" t="s">
        <v>201</v>
      </c>
      <c r="XBZ18" s="310" t="s">
        <v>201</v>
      </c>
      <c r="XCA18" s="310" t="s">
        <v>201</v>
      </c>
      <c r="XCB18" s="310" t="s">
        <v>201</v>
      </c>
      <c r="XCC18" s="310" t="s">
        <v>201</v>
      </c>
      <c r="XCD18" s="310" t="s">
        <v>201</v>
      </c>
      <c r="XCE18" s="310" t="s">
        <v>201</v>
      </c>
      <c r="XCF18" s="310" t="s">
        <v>201</v>
      </c>
      <c r="XCG18" s="310" t="s">
        <v>201</v>
      </c>
      <c r="XCH18" s="310" t="s">
        <v>201</v>
      </c>
      <c r="XCI18" s="310" t="s">
        <v>201</v>
      </c>
      <c r="XCJ18" s="310" t="s">
        <v>201</v>
      </c>
      <c r="XCK18" s="310" t="s">
        <v>201</v>
      </c>
      <c r="XCL18" s="310" t="s">
        <v>201</v>
      </c>
      <c r="XCM18" s="310" t="s">
        <v>201</v>
      </c>
      <c r="XCN18" s="310" t="s">
        <v>201</v>
      </c>
      <c r="XCO18" s="310" t="s">
        <v>201</v>
      </c>
      <c r="XCP18" s="310" t="s">
        <v>201</v>
      </c>
      <c r="XCQ18" s="310" t="s">
        <v>201</v>
      </c>
      <c r="XCR18" s="310" t="s">
        <v>201</v>
      </c>
      <c r="XCS18" s="310" t="s">
        <v>201</v>
      </c>
      <c r="XCT18" s="310" t="s">
        <v>201</v>
      </c>
      <c r="XCU18" s="310" t="s">
        <v>201</v>
      </c>
      <c r="XCV18" s="310" t="s">
        <v>201</v>
      </c>
      <c r="XCW18" s="310" t="s">
        <v>201</v>
      </c>
      <c r="XCX18" s="310" t="s">
        <v>201</v>
      </c>
      <c r="XCY18" s="310" t="s">
        <v>201</v>
      </c>
      <c r="XCZ18" s="310" t="s">
        <v>201</v>
      </c>
      <c r="XDA18" s="310" t="s">
        <v>201</v>
      </c>
      <c r="XDB18" s="310" t="s">
        <v>201</v>
      </c>
      <c r="XDC18" s="310" t="s">
        <v>201</v>
      </c>
      <c r="XDD18" s="310" t="s">
        <v>201</v>
      </c>
      <c r="XDE18" s="310" t="s">
        <v>201</v>
      </c>
      <c r="XDF18" s="310" t="s">
        <v>201</v>
      </c>
      <c r="XDG18" s="310" t="s">
        <v>201</v>
      </c>
      <c r="XDH18" s="310" t="s">
        <v>201</v>
      </c>
      <c r="XDI18" s="310" t="s">
        <v>201</v>
      </c>
      <c r="XDJ18" s="310" t="s">
        <v>201</v>
      </c>
      <c r="XDK18" s="310" t="s">
        <v>201</v>
      </c>
      <c r="XDL18" s="310" t="s">
        <v>201</v>
      </c>
      <c r="XDM18" s="310" t="s">
        <v>201</v>
      </c>
      <c r="XDN18" s="310" t="s">
        <v>201</v>
      </c>
      <c r="XDO18" s="310" t="s">
        <v>201</v>
      </c>
      <c r="XDP18" s="310" t="s">
        <v>201</v>
      </c>
      <c r="XDQ18" s="310" t="s">
        <v>201</v>
      </c>
      <c r="XDR18" s="310" t="s">
        <v>201</v>
      </c>
      <c r="XDS18" s="310" t="s">
        <v>201</v>
      </c>
      <c r="XDT18" s="310" t="s">
        <v>201</v>
      </c>
      <c r="XDU18" s="310" t="s">
        <v>201</v>
      </c>
      <c r="XDV18" s="310" t="s">
        <v>201</v>
      </c>
      <c r="XDW18" s="310" t="s">
        <v>201</v>
      </c>
      <c r="XDX18" s="310" t="s">
        <v>201</v>
      </c>
      <c r="XDY18" s="310" t="s">
        <v>201</v>
      </c>
      <c r="XDZ18" s="310" t="s">
        <v>201</v>
      </c>
      <c r="XEA18" s="310" t="s">
        <v>201</v>
      </c>
      <c r="XEB18" s="310" t="s">
        <v>201</v>
      </c>
      <c r="XEC18" s="310" t="s">
        <v>201</v>
      </c>
      <c r="XED18" s="310" t="s">
        <v>201</v>
      </c>
      <c r="XEE18" s="310" t="s">
        <v>201</v>
      </c>
      <c r="XEF18" s="310" t="s">
        <v>201</v>
      </c>
      <c r="XEG18" s="310" t="s">
        <v>201</v>
      </c>
      <c r="XEH18" s="310" t="s">
        <v>201</v>
      </c>
      <c r="XEI18" s="310" t="s">
        <v>201</v>
      </c>
      <c r="XEJ18" s="310" t="s">
        <v>201</v>
      </c>
      <c r="XEK18" s="310" t="s">
        <v>201</v>
      </c>
      <c r="XEL18" s="310" t="s">
        <v>201</v>
      </c>
      <c r="XEM18" s="310" t="s">
        <v>201</v>
      </c>
      <c r="XEN18" s="310" t="s">
        <v>201</v>
      </c>
      <c r="XEO18" s="310" t="s">
        <v>201</v>
      </c>
      <c r="XEP18" s="310" t="s">
        <v>201</v>
      </c>
      <c r="XEQ18" s="310" t="s">
        <v>201</v>
      </c>
      <c r="XER18" s="310" t="s">
        <v>201</v>
      </c>
      <c r="XES18" s="310" t="s">
        <v>201</v>
      </c>
      <c r="XET18" s="310" t="s">
        <v>201</v>
      </c>
      <c r="XEU18" s="310" t="s">
        <v>201</v>
      </c>
      <c r="XEV18" s="310" t="s">
        <v>201</v>
      </c>
      <c r="XEW18" s="310" t="s">
        <v>201</v>
      </c>
      <c r="XEX18" s="310" t="s">
        <v>201</v>
      </c>
      <c r="XEY18" s="310" t="s">
        <v>201</v>
      </c>
      <c r="XEZ18" s="310" t="s">
        <v>201</v>
      </c>
      <c r="XFA18" s="310" t="s">
        <v>201</v>
      </c>
      <c r="XFB18" s="310" t="s">
        <v>201</v>
      </c>
      <c r="XFC18" s="310" t="s">
        <v>201</v>
      </c>
      <c r="XFD18" s="310" t="s">
        <v>201</v>
      </c>
    </row>
    <row r="19" spans="1:16384" s="310" customFormat="1" ht="12.75" customHeight="1" x14ac:dyDescent="0.2">
      <c r="A19" s="304" t="s">
        <v>202</v>
      </c>
      <c r="B19" s="306"/>
      <c r="C19" s="306"/>
      <c r="D19" s="306"/>
      <c r="E19" s="306"/>
      <c r="F19" s="306"/>
      <c r="G19" s="306" t="s">
        <v>213</v>
      </c>
      <c r="H19" s="306" t="s">
        <v>78</v>
      </c>
      <c r="I19" s="307">
        <v>1518</v>
      </c>
      <c r="J19" s="306"/>
      <c r="K19" s="306"/>
      <c r="L19" s="306"/>
      <c r="M19" s="306"/>
      <c r="N19" s="293">
        <f t="shared" si="4"/>
        <v>607.20000000000005</v>
      </c>
      <c r="O19" s="306"/>
      <c r="P19" s="306"/>
      <c r="Q19" s="306"/>
      <c r="R19" s="306"/>
      <c r="S19" s="326"/>
      <c r="T19" s="306"/>
      <c r="U19" s="306"/>
      <c r="V19" s="308"/>
      <c r="W19" s="308"/>
      <c r="X19" s="308">
        <v>819.72</v>
      </c>
      <c r="Y19" s="309" t="s">
        <v>204</v>
      </c>
      <c r="Z19" s="779" t="s">
        <v>231</v>
      </c>
      <c r="AA19" s="780"/>
      <c r="AB19" s="780"/>
      <c r="AC19" s="780"/>
      <c r="AD19" s="780"/>
      <c r="AE19" s="780"/>
      <c r="AF19" s="780"/>
      <c r="AG19" s="322"/>
      <c r="AH19" s="322"/>
      <c r="AI19" s="322"/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22"/>
      <c r="AU19" s="322"/>
      <c r="AV19" s="322"/>
      <c r="AW19" s="322"/>
      <c r="AX19" s="322"/>
      <c r="AY19" s="322"/>
      <c r="BP19" s="310" t="s">
        <v>202</v>
      </c>
      <c r="BQ19" s="310" t="s">
        <v>202</v>
      </c>
      <c r="BR19" s="310" t="s">
        <v>202</v>
      </c>
      <c r="BS19" s="310" t="s">
        <v>202</v>
      </c>
      <c r="BT19" s="310" t="s">
        <v>202</v>
      </c>
      <c r="BU19" s="310" t="s">
        <v>202</v>
      </c>
      <c r="BV19" s="310" t="s">
        <v>202</v>
      </c>
      <c r="BW19" s="310" t="s">
        <v>202</v>
      </c>
      <c r="BX19" s="310" t="s">
        <v>202</v>
      </c>
      <c r="BY19" s="310" t="s">
        <v>202</v>
      </c>
      <c r="BZ19" s="310" t="s">
        <v>202</v>
      </c>
      <c r="CA19" s="310" t="s">
        <v>202</v>
      </c>
      <c r="CB19" s="310" t="s">
        <v>202</v>
      </c>
      <c r="CC19" s="310" t="s">
        <v>202</v>
      </c>
      <c r="CD19" s="310" t="s">
        <v>202</v>
      </c>
      <c r="CE19" s="310" t="s">
        <v>202</v>
      </c>
      <c r="CF19" s="310" t="s">
        <v>202</v>
      </c>
      <c r="CG19" s="310" t="s">
        <v>202</v>
      </c>
      <c r="CH19" s="310" t="s">
        <v>202</v>
      </c>
      <c r="CI19" s="310" t="s">
        <v>202</v>
      </c>
      <c r="CJ19" s="310" t="s">
        <v>202</v>
      </c>
      <c r="CK19" s="310" t="s">
        <v>202</v>
      </c>
      <c r="CL19" s="310" t="s">
        <v>202</v>
      </c>
      <c r="CM19" s="310" t="s">
        <v>202</v>
      </c>
      <c r="CN19" s="310" t="s">
        <v>202</v>
      </c>
      <c r="CO19" s="310" t="s">
        <v>202</v>
      </c>
      <c r="CP19" s="310" t="s">
        <v>202</v>
      </c>
      <c r="CQ19" s="310" t="s">
        <v>202</v>
      </c>
      <c r="CR19" s="310" t="s">
        <v>202</v>
      </c>
      <c r="CS19" s="310" t="s">
        <v>202</v>
      </c>
      <c r="CT19" s="310" t="s">
        <v>202</v>
      </c>
      <c r="CU19" s="310" t="s">
        <v>202</v>
      </c>
      <c r="CV19" s="310" t="s">
        <v>202</v>
      </c>
      <c r="CW19" s="310" t="s">
        <v>202</v>
      </c>
      <c r="CX19" s="310" t="s">
        <v>202</v>
      </c>
      <c r="CY19" s="310" t="s">
        <v>202</v>
      </c>
      <c r="CZ19" s="310" t="s">
        <v>202</v>
      </c>
      <c r="DA19" s="310" t="s">
        <v>202</v>
      </c>
      <c r="DB19" s="310" t="s">
        <v>202</v>
      </c>
      <c r="DC19" s="310" t="s">
        <v>202</v>
      </c>
      <c r="DD19" s="310" t="s">
        <v>202</v>
      </c>
      <c r="DE19" s="310" t="s">
        <v>202</v>
      </c>
      <c r="DF19" s="310" t="s">
        <v>202</v>
      </c>
      <c r="DG19" s="310" t="s">
        <v>202</v>
      </c>
      <c r="DH19" s="310" t="s">
        <v>202</v>
      </c>
      <c r="DI19" s="310" t="s">
        <v>202</v>
      </c>
      <c r="DJ19" s="310" t="s">
        <v>202</v>
      </c>
      <c r="DK19" s="310" t="s">
        <v>202</v>
      </c>
      <c r="DL19" s="310" t="s">
        <v>202</v>
      </c>
      <c r="DM19" s="310" t="s">
        <v>202</v>
      </c>
      <c r="DN19" s="310" t="s">
        <v>202</v>
      </c>
      <c r="DO19" s="310" t="s">
        <v>202</v>
      </c>
      <c r="DP19" s="310" t="s">
        <v>202</v>
      </c>
      <c r="DQ19" s="310" t="s">
        <v>202</v>
      </c>
      <c r="DR19" s="310" t="s">
        <v>202</v>
      </c>
      <c r="DS19" s="310" t="s">
        <v>202</v>
      </c>
      <c r="DT19" s="310" t="s">
        <v>202</v>
      </c>
      <c r="DU19" s="310" t="s">
        <v>202</v>
      </c>
      <c r="DV19" s="310" t="s">
        <v>202</v>
      </c>
      <c r="DW19" s="310" t="s">
        <v>202</v>
      </c>
      <c r="DX19" s="310" t="s">
        <v>202</v>
      </c>
      <c r="DY19" s="310" t="s">
        <v>202</v>
      </c>
      <c r="DZ19" s="310" t="s">
        <v>202</v>
      </c>
      <c r="EA19" s="310" t="s">
        <v>202</v>
      </c>
      <c r="EB19" s="310" t="s">
        <v>202</v>
      </c>
      <c r="EC19" s="310" t="s">
        <v>202</v>
      </c>
      <c r="ED19" s="310" t="s">
        <v>202</v>
      </c>
      <c r="EE19" s="310" t="s">
        <v>202</v>
      </c>
      <c r="EF19" s="310" t="s">
        <v>202</v>
      </c>
      <c r="EG19" s="310" t="s">
        <v>202</v>
      </c>
      <c r="EH19" s="310" t="s">
        <v>202</v>
      </c>
      <c r="EI19" s="310" t="s">
        <v>202</v>
      </c>
      <c r="EJ19" s="310" t="s">
        <v>202</v>
      </c>
      <c r="EK19" s="310" t="s">
        <v>202</v>
      </c>
      <c r="EL19" s="310" t="s">
        <v>202</v>
      </c>
      <c r="EM19" s="310" t="s">
        <v>202</v>
      </c>
      <c r="EN19" s="310" t="s">
        <v>202</v>
      </c>
      <c r="EO19" s="310" t="s">
        <v>202</v>
      </c>
      <c r="EP19" s="310" t="s">
        <v>202</v>
      </c>
      <c r="EQ19" s="310" t="s">
        <v>202</v>
      </c>
      <c r="ER19" s="310" t="s">
        <v>202</v>
      </c>
      <c r="ES19" s="310" t="s">
        <v>202</v>
      </c>
      <c r="ET19" s="310" t="s">
        <v>202</v>
      </c>
      <c r="EU19" s="310" t="s">
        <v>202</v>
      </c>
      <c r="EV19" s="310" t="s">
        <v>202</v>
      </c>
      <c r="EW19" s="310" t="s">
        <v>202</v>
      </c>
      <c r="EX19" s="310" t="s">
        <v>202</v>
      </c>
      <c r="EY19" s="310" t="s">
        <v>202</v>
      </c>
      <c r="EZ19" s="310" t="s">
        <v>202</v>
      </c>
      <c r="FA19" s="310" t="s">
        <v>202</v>
      </c>
      <c r="FB19" s="310" t="s">
        <v>202</v>
      </c>
      <c r="FC19" s="310" t="s">
        <v>202</v>
      </c>
      <c r="FD19" s="310" t="s">
        <v>202</v>
      </c>
      <c r="FE19" s="310" t="s">
        <v>202</v>
      </c>
      <c r="FF19" s="310" t="s">
        <v>202</v>
      </c>
      <c r="FG19" s="310" t="s">
        <v>202</v>
      </c>
      <c r="FH19" s="310" t="s">
        <v>202</v>
      </c>
      <c r="FI19" s="310" t="s">
        <v>202</v>
      </c>
      <c r="FJ19" s="310" t="s">
        <v>202</v>
      </c>
      <c r="FK19" s="310" t="s">
        <v>202</v>
      </c>
      <c r="FL19" s="310" t="s">
        <v>202</v>
      </c>
      <c r="FM19" s="310" t="s">
        <v>202</v>
      </c>
      <c r="FN19" s="310" t="s">
        <v>202</v>
      </c>
      <c r="FO19" s="310" t="s">
        <v>202</v>
      </c>
      <c r="FP19" s="310" t="s">
        <v>202</v>
      </c>
      <c r="FQ19" s="310" t="s">
        <v>202</v>
      </c>
      <c r="FR19" s="310" t="s">
        <v>202</v>
      </c>
      <c r="FS19" s="310" t="s">
        <v>202</v>
      </c>
      <c r="FT19" s="310" t="s">
        <v>202</v>
      </c>
      <c r="FU19" s="310" t="s">
        <v>202</v>
      </c>
      <c r="FV19" s="310" t="s">
        <v>202</v>
      </c>
      <c r="FW19" s="310" t="s">
        <v>202</v>
      </c>
      <c r="FX19" s="310" t="s">
        <v>202</v>
      </c>
      <c r="FY19" s="310" t="s">
        <v>202</v>
      </c>
      <c r="FZ19" s="310" t="s">
        <v>202</v>
      </c>
      <c r="GA19" s="310" t="s">
        <v>202</v>
      </c>
      <c r="GB19" s="310" t="s">
        <v>202</v>
      </c>
      <c r="GC19" s="310" t="s">
        <v>202</v>
      </c>
      <c r="GD19" s="310" t="s">
        <v>202</v>
      </c>
      <c r="GE19" s="310" t="s">
        <v>202</v>
      </c>
      <c r="GF19" s="310" t="s">
        <v>202</v>
      </c>
      <c r="GG19" s="310" t="s">
        <v>202</v>
      </c>
      <c r="GH19" s="310" t="s">
        <v>202</v>
      </c>
      <c r="GI19" s="310" t="s">
        <v>202</v>
      </c>
      <c r="GJ19" s="310" t="s">
        <v>202</v>
      </c>
      <c r="GK19" s="310" t="s">
        <v>202</v>
      </c>
      <c r="GL19" s="310" t="s">
        <v>202</v>
      </c>
      <c r="GM19" s="310" t="s">
        <v>202</v>
      </c>
      <c r="GN19" s="310" t="s">
        <v>202</v>
      </c>
      <c r="GO19" s="310" t="s">
        <v>202</v>
      </c>
      <c r="GP19" s="310" t="s">
        <v>202</v>
      </c>
      <c r="GQ19" s="310" t="s">
        <v>202</v>
      </c>
      <c r="GR19" s="310" t="s">
        <v>202</v>
      </c>
      <c r="GS19" s="310" t="s">
        <v>202</v>
      </c>
      <c r="GT19" s="310" t="s">
        <v>202</v>
      </c>
      <c r="GU19" s="310" t="s">
        <v>202</v>
      </c>
      <c r="GV19" s="310" t="s">
        <v>202</v>
      </c>
      <c r="GW19" s="310" t="s">
        <v>202</v>
      </c>
      <c r="GX19" s="310" t="s">
        <v>202</v>
      </c>
      <c r="GY19" s="310" t="s">
        <v>202</v>
      </c>
      <c r="GZ19" s="310" t="s">
        <v>202</v>
      </c>
      <c r="HA19" s="310" t="s">
        <v>202</v>
      </c>
      <c r="HB19" s="310" t="s">
        <v>202</v>
      </c>
      <c r="HC19" s="310" t="s">
        <v>202</v>
      </c>
      <c r="HD19" s="310" t="s">
        <v>202</v>
      </c>
      <c r="HE19" s="310" t="s">
        <v>202</v>
      </c>
      <c r="HF19" s="310" t="s">
        <v>202</v>
      </c>
      <c r="HG19" s="310" t="s">
        <v>202</v>
      </c>
      <c r="HH19" s="310" t="s">
        <v>202</v>
      </c>
      <c r="HI19" s="310" t="s">
        <v>202</v>
      </c>
      <c r="HJ19" s="310" t="s">
        <v>202</v>
      </c>
      <c r="HK19" s="310" t="s">
        <v>202</v>
      </c>
      <c r="HL19" s="310" t="s">
        <v>202</v>
      </c>
      <c r="HM19" s="310" t="s">
        <v>202</v>
      </c>
      <c r="HN19" s="310" t="s">
        <v>202</v>
      </c>
      <c r="HO19" s="310" t="s">
        <v>202</v>
      </c>
      <c r="HP19" s="310" t="s">
        <v>202</v>
      </c>
      <c r="HQ19" s="310" t="s">
        <v>202</v>
      </c>
      <c r="HR19" s="310" t="s">
        <v>202</v>
      </c>
      <c r="HS19" s="310" t="s">
        <v>202</v>
      </c>
      <c r="HT19" s="310" t="s">
        <v>202</v>
      </c>
      <c r="HU19" s="310" t="s">
        <v>202</v>
      </c>
      <c r="HV19" s="310" t="s">
        <v>202</v>
      </c>
      <c r="HW19" s="310" t="s">
        <v>202</v>
      </c>
      <c r="HX19" s="310" t="s">
        <v>202</v>
      </c>
      <c r="HY19" s="310" t="s">
        <v>202</v>
      </c>
      <c r="HZ19" s="310" t="s">
        <v>202</v>
      </c>
      <c r="IA19" s="310" t="s">
        <v>202</v>
      </c>
      <c r="IB19" s="310" t="s">
        <v>202</v>
      </c>
      <c r="IC19" s="310" t="s">
        <v>202</v>
      </c>
      <c r="ID19" s="310" t="s">
        <v>202</v>
      </c>
      <c r="IE19" s="310" t="s">
        <v>202</v>
      </c>
      <c r="IF19" s="310" t="s">
        <v>202</v>
      </c>
      <c r="IG19" s="310" t="s">
        <v>202</v>
      </c>
      <c r="IH19" s="310" t="s">
        <v>202</v>
      </c>
      <c r="II19" s="310" t="s">
        <v>202</v>
      </c>
      <c r="IJ19" s="310" t="s">
        <v>202</v>
      </c>
      <c r="IK19" s="310" t="s">
        <v>202</v>
      </c>
      <c r="IL19" s="310" t="s">
        <v>202</v>
      </c>
      <c r="IM19" s="310" t="s">
        <v>202</v>
      </c>
      <c r="IN19" s="310" t="s">
        <v>202</v>
      </c>
      <c r="IO19" s="310" t="s">
        <v>202</v>
      </c>
      <c r="IP19" s="310" t="s">
        <v>202</v>
      </c>
      <c r="IQ19" s="310" t="s">
        <v>202</v>
      </c>
      <c r="IR19" s="310" t="s">
        <v>202</v>
      </c>
      <c r="IS19" s="310" t="s">
        <v>202</v>
      </c>
      <c r="IT19" s="310" t="s">
        <v>202</v>
      </c>
      <c r="IU19" s="310" t="s">
        <v>202</v>
      </c>
      <c r="IV19" s="310" t="s">
        <v>202</v>
      </c>
      <c r="IW19" s="310" t="s">
        <v>202</v>
      </c>
      <c r="IX19" s="310" t="s">
        <v>202</v>
      </c>
      <c r="IY19" s="310" t="s">
        <v>202</v>
      </c>
      <c r="IZ19" s="310" t="s">
        <v>202</v>
      </c>
      <c r="JA19" s="310" t="s">
        <v>202</v>
      </c>
      <c r="JB19" s="310" t="s">
        <v>202</v>
      </c>
      <c r="JC19" s="310" t="s">
        <v>202</v>
      </c>
      <c r="JD19" s="310" t="s">
        <v>202</v>
      </c>
      <c r="JE19" s="310" t="s">
        <v>202</v>
      </c>
      <c r="JF19" s="310" t="s">
        <v>202</v>
      </c>
      <c r="JG19" s="310" t="s">
        <v>202</v>
      </c>
      <c r="JH19" s="310" t="s">
        <v>202</v>
      </c>
      <c r="JI19" s="310" t="s">
        <v>202</v>
      </c>
      <c r="JJ19" s="310" t="s">
        <v>202</v>
      </c>
      <c r="JK19" s="310" t="s">
        <v>202</v>
      </c>
      <c r="JL19" s="310" t="s">
        <v>202</v>
      </c>
      <c r="JM19" s="310" t="s">
        <v>202</v>
      </c>
      <c r="JN19" s="310" t="s">
        <v>202</v>
      </c>
      <c r="JO19" s="310" t="s">
        <v>202</v>
      </c>
      <c r="JP19" s="310" t="s">
        <v>202</v>
      </c>
      <c r="JQ19" s="310" t="s">
        <v>202</v>
      </c>
      <c r="JR19" s="310" t="s">
        <v>202</v>
      </c>
      <c r="JS19" s="310" t="s">
        <v>202</v>
      </c>
      <c r="JT19" s="310" t="s">
        <v>202</v>
      </c>
      <c r="JU19" s="310" t="s">
        <v>202</v>
      </c>
      <c r="JV19" s="310" t="s">
        <v>202</v>
      </c>
      <c r="JW19" s="310" t="s">
        <v>202</v>
      </c>
      <c r="JX19" s="310" t="s">
        <v>202</v>
      </c>
      <c r="JY19" s="310" t="s">
        <v>202</v>
      </c>
      <c r="JZ19" s="310" t="s">
        <v>202</v>
      </c>
      <c r="KA19" s="310" t="s">
        <v>202</v>
      </c>
      <c r="KB19" s="310" t="s">
        <v>202</v>
      </c>
      <c r="KC19" s="310" t="s">
        <v>202</v>
      </c>
      <c r="KD19" s="310" t="s">
        <v>202</v>
      </c>
      <c r="KE19" s="310" t="s">
        <v>202</v>
      </c>
      <c r="KF19" s="310" t="s">
        <v>202</v>
      </c>
      <c r="KG19" s="310" t="s">
        <v>202</v>
      </c>
      <c r="KH19" s="310" t="s">
        <v>202</v>
      </c>
      <c r="KI19" s="310" t="s">
        <v>202</v>
      </c>
      <c r="KJ19" s="310" t="s">
        <v>202</v>
      </c>
      <c r="KK19" s="310" t="s">
        <v>202</v>
      </c>
      <c r="KL19" s="310" t="s">
        <v>202</v>
      </c>
      <c r="KM19" s="310" t="s">
        <v>202</v>
      </c>
      <c r="KN19" s="310" t="s">
        <v>202</v>
      </c>
      <c r="KO19" s="310" t="s">
        <v>202</v>
      </c>
      <c r="KP19" s="310" t="s">
        <v>202</v>
      </c>
      <c r="KQ19" s="310" t="s">
        <v>202</v>
      </c>
      <c r="KR19" s="310" t="s">
        <v>202</v>
      </c>
      <c r="KS19" s="310" t="s">
        <v>202</v>
      </c>
      <c r="KT19" s="310" t="s">
        <v>202</v>
      </c>
      <c r="KU19" s="310" t="s">
        <v>202</v>
      </c>
      <c r="KV19" s="310" t="s">
        <v>202</v>
      </c>
      <c r="KW19" s="310" t="s">
        <v>202</v>
      </c>
      <c r="KX19" s="310" t="s">
        <v>202</v>
      </c>
      <c r="KY19" s="310" t="s">
        <v>202</v>
      </c>
      <c r="KZ19" s="310" t="s">
        <v>202</v>
      </c>
      <c r="LA19" s="310" t="s">
        <v>202</v>
      </c>
      <c r="LB19" s="310" t="s">
        <v>202</v>
      </c>
      <c r="LC19" s="310" t="s">
        <v>202</v>
      </c>
      <c r="LD19" s="310" t="s">
        <v>202</v>
      </c>
      <c r="LE19" s="310" t="s">
        <v>202</v>
      </c>
      <c r="LF19" s="310" t="s">
        <v>202</v>
      </c>
      <c r="LG19" s="310" t="s">
        <v>202</v>
      </c>
      <c r="LH19" s="310" t="s">
        <v>202</v>
      </c>
      <c r="LI19" s="310" t="s">
        <v>202</v>
      </c>
      <c r="LJ19" s="310" t="s">
        <v>202</v>
      </c>
      <c r="LK19" s="310" t="s">
        <v>202</v>
      </c>
      <c r="LL19" s="310" t="s">
        <v>202</v>
      </c>
      <c r="LM19" s="310" t="s">
        <v>202</v>
      </c>
      <c r="LN19" s="310" t="s">
        <v>202</v>
      </c>
      <c r="LO19" s="310" t="s">
        <v>202</v>
      </c>
      <c r="LP19" s="310" t="s">
        <v>202</v>
      </c>
      <c r="LQ19" s="310" t="s">
        <v>202</v>
      </c>
      <c r="LR19" s="310" t="s">
        <v>202</v>
      </c>
      <c r="LS19" s="310" t="s">
        <v>202</v>
      </c>
      <c r="LT19" s="310" t="s">
        <v>202</v>
      </c>
      <c r="LU19" s="310" t="s">
        <v>202</v>
      </c>
      <c r="LV19" s="310" t="s">
        <v>202</v>
      </c>
      <c r="LW19" s="310" t="s">
        <v>202</v>
      </c>
      <c r="LX19" s="310" t="s">
        <v>202</v>
      </c>
      <c r="LY19" s="310" t="s">
        <v>202</v>
      </c>
      <c r="LZ19" s="310" t="s">
        <v>202</v>
      </c>
      <c r="MA19" s="310" t="s">
        <v>202</v>
      </c>
      <c r="MB19" s="310" t="s">
        <v>202</v>
      </c>
      <c r="MC19" s="310" t="s">
        <v>202</v>
      </c>
      <c r="MD19" s="310" t="s">
        <v>202</v>
      </c>
      <c r="ME19" s="310" t="s">
        <v>202</v>
      </c>
      <c r="MF19" s="310" t="s">
        <v>202</v>
      </c>
      <c r="MG19" s="310" t="s">
        <v>202</v>
      </c>
      <c r="MH19" s="310" t="s">
        <v>202</v>
      </c>
      <c r="MI19" s="310" t="s">
        <v>202</v>
      </c>
      <c r="MJ19" s="310" t="s">
        <v>202</v>
      </c>
      <c r="MK19" s="310" t="s">
        <v>202</v>
      </c>
      <c r="ML19" s="310" t="s">
        <v>202</v>
      </c>
      <c r="MM19" s="310" t="s">
        <v>202</v>
      </c>
      <c r="MN19" s="310" t="s">
        <v>202</v>
      </c>
      <c r="MO19" s="310" t="s">
        <v>202</v>
      </c>
      <c r="MP19" s="310" t="s">
        <v>202</v>
      </c>
      <c r="MQ19" s="310" t="s">
        <v>202</v>
      </c>
      <c r="MR19" s="310" t="s">
        <v>202</v>
      </c>
      <c r="MS19" s="310" t="s">
        <v>202</v>
      </c>
      <c r="MT19" s="310" t="s">
        <v>202</v>
      </c>
      <c r="MU19" s="310" t="s">
        <v>202</v>
      </c>
      <c r="MV19" s="310" t="s">
        <v>202</v>
      </c>
      <c r="MW19" s="310" t="s">
        <v>202</v>
      </c>
      <c r="MX19" s="310" t="s">
        <v>202</v>
      </c>
      <c r="MY19" s="310" t="s">
        <v>202</v>
      </c>
      <c r="MZ19" s="310" t="s">
        <v>202</v>
      </c>
      <c r="NA19" s="310" t="s">
        <v>202</v>
      </c>
      <c r="NB19" s="310" t="s">
        <v>202</v>
      </c>
      <c r="NC19" s="310" t="s">
        <v>202</v>
      </c>
      <c r="ND19" s="310" t="s">
        <v>202</v>
      </c>
      <c r="NE19" s="310" t="s">
        <v>202</v>
      </c>
      <c r="NF19" s="310" t="s">
        <v>202</v>
      </c>
      <c r="NG19" s="310" t="s">
        <v>202</v>
      </c>
      <c r="NH19" s="310" t="s">
        <v>202</v>
      </c>
      <c r="NI19" s="310" t="s">
        <v>202</v>
      </c>
      <c r="NJ19" s="310" t="s">
        <v>202</v>
      </c>
      <c r="NK19" s="310" t="s">
        <v>202</v>
      </c>
      <c r="NL19" s="310" t="s">
        <v>202</v>
      </c>
      <c r="NM19" s="310" t="s">
        <v>202</v>
      </c>
      <c r="NN19" s="310" t="s">
        <v>202</v>
      </c>
      <c r="NO19" s="310" t="s">
        <v>202</v>
      </c>
      <c r="NP19" s="310" t="s">
        <v>202</v>
      </c>
      <c r="NQ19" s="310" t="s">
        <v>202</v>
      </c>
      <c r="NR19" s="310" t="s">
        <v>202</v>
      </c>
      <c r="NS19" s="310" t="s">
        <v>202</v>
      </c>
      <c r="NT19" s="310" t="s">
        <v>202</v>
      </c>
      <c r="NU19" s="310" t="s">
        <v>202</v>
      </c>
      <c r="NV19" s="310" t="s">
        <v>202</v>
      </c>
      <c r="NW19" s="310" t="s">
        <v>202</v>
      </c>
      <c r="NX19" s="310" t="s">
        <v>202</v>
      </c>
      <c r="NY19" s="310" t="s">
        <v>202</v>
      </c>
      <c r="NZ19" s="310" t="s">
        <v>202</v>
      </c>
      <c r="OA19" s="310" t="s">
        <v>202</v>
      </c>
      <c r="OB19" s="310" t="s">
        <v>202</v>
      </c>
      <c r="OC19" s="310" t="s">
        <v>202</v>
      </c>
      <c r="OD19" s="310" t="s">
        <v>202</v>
      </c>
      <c r="OE19" s="310" t="s">
        <v>202</v>
      </c>
      <c r="OF19" s="310" t="s">
        <v>202</v>
      </c>
      <c r="OG19" s="310" t="s">
        <v>202</v>
      </c>
      <c r="OH19" s="310" t="s">
        <v>202</v>
      </c>
      <c r="OI19" s="310" t="s">
        <v>202</v>
      </c>
      <c r="OJ19" s="310" t="s">
        <v>202</v>
      </c>
      <c r="OK19" s="310" t="s">
        <v>202</v>
      </c>
      <c r="OL19" s="310" t="s">
        <v>202</v>
      </c>
      <c r="OM19" s="310" t="s">
        <v>202</v>
      </c>
      <c r="ON19" s="310" t="s">
        <v>202</v>
      </c>
      <c r="OO19" s="310" t="s">
        <v>202</v>
      </c>
      <c r="OP19" s="310" t="s">
        <v>202</v>
      </c>
      <c r="OQ19" s="310" t="s">
        <v>202</v>
      </c>
      <c r="OR19" s="310" t="s">
        <v>202</v>
      </c>
      <c r="OS19" s="310" t="s">
        <v>202</v>
      </c>
      <c r="OT19" s="310" t="s">
        <v>202</v>
      </c>
      <c r="OU19" s="310" t="s">
        <v>202</v>
      </c>
      <c r="OV19" s="310" t="s">
        <v>202</v>
      </c>
      <c r="OW19" s="310" t="s">
        <v>202</v>
      </c>
      <c r="OX19" s="310" t="s">
        <v>202</v>
      </c>
      <c r="OY19" s="310" t="s">
        <v>202</v>
      </c>
      <c r="OZ19" s="310" t="s">
        <v>202</v>
      </c>
      <c r="PA19" s="310" t="s">
        <v>202</v>
      </c>
      <c r="PB19" s="310" t="s">
        <v>202</v>
      </c>
      <c r="PC19" s="310" t="s">
        <v>202</v>
      </c>
      <c r="PD19" s="310" t="s">
        <v>202</v>
      </c>
      <c r="PE19" s="310" t="s">
        <v>202</v>
      </c>
      <c r="PF19" s="310" t="s">
        <v>202</v>
      </c>
      <c r="PG19" s="310" t="s">
        <v>202</v>
      </c>
      <c r="PH19" s="310" t="s">
        <v>202</v>
      </c>
      <c r="PI19" s="310" t="s">
        <v>202</v>
      </c>
      <c r="PJ19" s="310" t="s">
        <v>202</v>
      </c>
      <c r="PK19" s="310" t="s">
        <v>202</v>
      </c>
      <c r="PL19" s="310" t="s">
        <v>202</v>
      </c>
      <c r="PM19" s="310" t="s">
        <v>202</v>
      </c>
      <c r="PN19" s="310" t="s">
        <v>202</v>
      </c>
      <c r="PO19" s="310" t="s">
        <v>202</v>
      </c>
      <c r="PP19" s="310" t="s">
        <v>202</v>
      </c>
      <c r="PQ19" s="310" t="s">
        <v>202</v>
      </c>
      <c r="PR19" s="310" t="s">
        <v>202</v>
      </c>
      <c r="PS19" s="310" t="s">
        <v>202</v>
      </c>
      <c r="PT19" s="310" t="s">
        <v>202</v>
      </c>
      <c r="PU19" s="310" t="s">
        <v>202</v>
      </c>
      <c r="PV19" s="310" t="s">
        <v>202</v>
      </c>
      <c r="PW19" s="310" t="s">
        <v>202</v>
      </c>
      <c r="PX19" s="310" t="s">
        <v>202</v>
      </c>
      <c r="PY19" s="310" t="s">
        <v>202</v>
      </c>
      <c r="PZ19" s="310" t="s">
        <v>202</v>
      </c>
      <c r="QA19" s="310" t="s">
        <v>202</v>
      </c>
      <c r="QB19" s="310" t="s">
        <v>202</v>
      </c>
      <c r="QC19" s="310" t="s">
        <v>202</v>
      </c>
      <c r="QD19" s="310" t="s">
        <v>202</v>
      </c>
      <c r="QE19" s="310" t="s">
        <v>202</v>
      </c>
      <c r="QF19" s="310" t="s">
        <v>202</v>
      </c>
      <c r="QG19" s="310" t="s">
        <v>202</v>
      </c>
      <c r="QH19" s="310" t="s">
        <v>202</v>
      </c>
      <c r="QI19" s="310" t="s">
        <v>202</v>
      </c>
      <c r="QJ19" s="310" t="s">
        <v>202</v>
      </c>
      <c r="QK19" s="310" t="s">
        <v>202</v>
      </c>
      <c r="QL19" s="310" t="s">
        <v>202</v>
      </c>
      <c r="QM19" s="310" t="s">
        <v>202</v>
      </c>
      <c r="QN19" s="310" t="s">
        <v>202</v>
      </c>
      <c r="QO19" s="310" t="s">
        <v>202</v>
      </c>
      <c r="QP19" s="310" t="s">
        <v>202</v>
      </c>
      <c r="QQ19" s="310" t="s">
        <v>202</v>
      </c>
      <c r="QR19" s="310" t="s">
        <v>202</v>
      </c>
      <c r="QS19" s="310" t="s">
        <v>202</v>
      </c>
      <c r="QT19" s="310" t="s">
        <v>202</v>
      </c>
      <c r="QU19" s="310" t="s">
        <v>202</v>
      </c>
      <c r="QV19" s="310" t="s">
        <v>202</v>
      </c>
      <c r="QW19" s="310" t="s">
        <v>202</v>
      </c>
      <c r="QX19" s="310" t="s">
        <v>202</v>
      </c>
      <c r="QY19" s="310" t="s">
        <v>202</v>
      </c>
      <c r="QZ19" s="310" t="s">
        <v>202</v>
      </c>
      <c r="RA19" s="310" t="s">
        <v>202</v>
      </c>
      <c r="RB19" s="310" t="s">
        <v>202</v>
      </c>
      <c r="RC19" s="310" t="s">
        <v>202</v>
      </c>
      <c r="RD19" s="310" t="s">
        <v>202</v>
      </c>
      <c r="RE19" s="310" t="s">
        <v>202</v>
      </c>
      <c r="RF19" s="310" t="s">
        <v>202</v>
      </c>
      <c r="RG19" s="310" t="s">
        <v>202</v>
      </c>
      <c r="RH19" s="310" t="s">
        <v>202</v>
      </c>
      <c r="RI19" s="310" t="s">
        <v>202</v>
      </c>
      <c r="RJ19" s="310" t="s">
        <v>202</v>
      </c>
      <c r="RK19" s="310" t="s">
        <v>202</v>
      </c>
      <c r="RL19" s="310" t="s">
        <v>202</v>
      </c>
      <c r="RM19" s="310" t="s">
        <v>202</v>
      </c>
      <c r="RN19" s="310" t="s">
        <v>202</v>
      </c>
      <c r="RO19" s="310" t="s">
        <v>202</v>
      </c>
      <c r="RP19" s="310" t="s">
        <v>202</v>
      </c>
      <c r="RQ19" s="310" t="s">
        <v>202</v>
      </c>
      <c r="RR19" s="310" t="s">
        <v>202</v>
      </c>
      <c r="RS19" s="310" t="s">
        <v>202</v>
      </c>
      <c r="RT19" s="310" t="s">
        <v>202</v>
      </c>
      <c r="RU19" s="310" t="s">
        <v>202</v>
      </c>
      <c r="RV19" s="310" t="s">
        <v>202</v>
      </c>
      <c r="RW19" s="310" t="s">
        <v>202</v>
      </c>
      <c r="RX19" s="310" t="s">
        <v>202</v>
      </c>
      <c r="RY19" s="310" t="s">
        <v>202</v>
      </c>
      <c r="RZ19" s="310" t="s">
        <v>202</v>
      </c>
      <c r="SA19" s="310" t="s">
        <v>202</v>
      </c>
      <c r="SB19" s="310" t="s">
        <v>202</v>
      </c>
      <c r="SC19" s="310" t="s">
        <v>202</v>
      </c>
      <c r="SD19" s="310" t="s">
        <v>202</v>
      </c>
      <c r="SE19" s="310" t="s">
        <v>202</v>
      </c>
      <c r="SF19" s="310" t="s">
        <v>202</v>
      </c>
      <c r="SG19" s="310" t="s">
        <v>202</v>
      </c>
      <c r="SH19" s="310" t="s">
        <v>202</v>
      </c>
      <c r="SI19" s="310" t="s">
        <v>202</v>
      </c>
      <c r="SJ19" s="310" t="s">
        <v>202</v>
      </c>
      <c r="SK19" s="310" t="s">
        <v>202</v>
      </c>
      <c r="SL19" s="310" t="s">
        <v>202</v>
      </c>
      <c r="SM19" s="310" t="s">
        <v>202</v>
      </c>
      <c r="SN19" s="310" t="s">
        <v>202</v>
      </c>
      <c r="SO19" s="310" t="s">
        <v>202</v>
      </c>
      <c r="SP19" s="310" t="s">
        <v>202</v>
      </c>
      <c r="SQ19" s="310" t="s">
        <v>202</v>
      </c>
      <c r="SR19" s="310" t="s">
        <v>202</v>
      </c>
      <c r="SS19" s="310" t="s">
        <v>202</v>
      </c>
      <c r="ST19" s="310" t="s">
        <v>202</v>
      </c>
      <c r="SU19" s="310" t="s">
        <v>202</v>
      </c>
      <c r="SV19" s="310" t="s">
        <v>202</v>
      </c>
      <c r="SW19" s="310" t="s">
        <v>202</v>
      </c>
      <c r="SX19" s="310" t="s">
        <v>202</v>
      </c>
      <c r="SY19" s="310" t="s">
        <v>202</v>
      </c>
      <c r="SZ19" s="310" t="s">
        <v>202</v>
      </c>
      <c r="TA19" s="310" t="s">
        <v>202</v>
      </c>
      <c r="TB19" s="310" t="s">
        <v>202</v>
      </c>
      <c r="TC19" s="310" t="s">
        <v>202</v>
      </c>
      <c r="TD19" s="310" t="s">
        <v>202</v>
      </c>
      <c r="TE19" s="310" t="s">
        <v>202</v>
      </c>
      <c r="TF19" s="310" t="s">
        <v>202</v>
      </c>
      <c r="TG19" s="310" t="s">
        <v>202</v>
      </c>
      <c r="TH19" s="310" t="s">
        <v>202</v>
      </c>
      <c r="TI19" s="310" t="s">
        <v>202</v>
      </c>
      <c r="TJ19" s="310" t="s">
        <v>202</v>
      </c>
      <c r="TK19" s="310" t="s">
        <v>202</v>
      </c>
      <c r="TL19" s="310" t="s">
        <v>202</v>
      </c>
      <c r="TM19" s="310" t="s">
        <v>202</v>
      </c>
      <c r="TN19" s="310" t="s">
        <v>202</v>
      </c>
      <c r="TO19" s="310" t="s">
        <v>202</v>
      </c>
      <c r="TP19" s="310" t="s">
        <v>202</v>
      </c>
      <c r="TQ19" s="310" t="s">
        <v>202</v>
      </c>
      <c r="TR19" s="310" t="s">
        <v>202</v>
      </c>
      <c r="TS19" s="310" t="s">
        <v>202</v>
      </c>
      <c r="TT19" s="310" t="s">
        <v>202</v>
      </c>
      <c r="TU19" s="310" t="s">
        <v>202</v>
      </c>
      <c r="TV19" s="310" t="s">
        <v>202</v>
      </c>
      <c r="TW19" s="310" t="s">
        <v>202</v>
      </c>
      <c r="TX19" s="310" t="s">
        <v>202</v>
      </c>
      <c r="TY19" s="310" t="s">
        <v>202</v>
      </c>
      <c r="TZ19" s="310" t="s">
        <v>202</v>
      </c>
      <c r="UA19" s="310" t="s">
        <v>202</v>
      </c>
      <c r="UB19" s="310" t="s">
        <v>202</v>
      </c>
      <c r="UC19" s="310" t="s">
        <v>202</v>
      </c>
      <c r="UD19" s="310" t="s">
        <v>202</v>
      </c>
      <c r="UE19" s="310" t="s">
        <v>202</v>
      </c>
      <c r="UF19" s="310" t="s">
        <v>202</v>
      </c>
      <c r="UG19" s="310" t="s">
        <v>202</v>
      </c>
      <c r="UH19" s="310" t="s">
        <v>202</v>
      </c>
      <c r="UI19" s="310" t="s">
        <v>202</v>
      </c>
      <c r="UJ19" s="310" t="s">
        <v>202</v>
      </c>
      <c r="UK19" s="310" t="s">
        <v>202</v>
      </c>
      <c r="UL19" s="310" t="s">
        <v>202</v>
      </c>
      <c r="UM19" s="310" t="s">
        <v>202</v>
      </c>
      <c r="UN19" s="310" t="s">
        <v>202</v>
      </c>
      <c r="UO19" s="310" t="s">
        <v>202</v>
      </c>
      <c r="UP19" s="310" t="s">
        <v>202</v>
      </c>
      <c r="UQ19" s="310" t="s">
        <v>202</v>
      </c>
      <c r="UR19" s="310" t="s">
        <v>202</v>
      </c>
      <c r="US19" s="310" t="s">
        <v>202</v>
      </c>
      <c r="UT19" s="310" t="s">
        <v>202</v>
      </c>
      <c r="UU19" s="310" t="s">
        <v>202</v>
      </c>
      <c r="UV19" s="310" t="s">
        <v>202</v>
      </c>
      <c r="UW19" s="310" t="s">
        <v>202</v>
      </c>
      <c r="UX19" s="310" t="s">
        <v>202</v>
      </c>
      <c r="UY19" s="310" t="s">
        <v>202</v>
      </c>
      <c r="UZ19" s="310" t="s">
        <v>202</v>
      </c>
      <c r="VA19" s="310" t="s">
        <v>202</v>
      </c>
      <c r="VB19" s="310" t="s">
        <v>202</v>
      </c>
      <c r="VC19" s="310" t="s">
        <v>202</v>
      </c>
      <c r="VD19" s="310" t="s">
        <v>202</v>
      </c>
      <c r="VE19" s="310" t="s">
        <v>202</v>
      </c>
      <c r="VF19" s="310" t="s">
        <v>202</v>
      </c>
      <c r="VG19" s="310" t="s">
        <v>202</v>
      </c>
      <c r="VH19" s="310" t="s">
        <v>202</v>
      </c>
      <c r="VI19" s="310" t="s">
        <v>202</v>
      </c>
      <c r="VJ19" s="310" t="s">
        <v>202</v>
      </c>
      <c r="VK19" s="310" t="s">
        <v>202</v>
      </c>
      <c r="VL19" s="310" t="s">
        <v>202</v>
      </c>
      <c r="VM19" s="310" t="s">
        <v>202</v>
      </c>
      <c r="VN19" s="310" t="s">
        <v>202</v>
      </c>
      <c r="VO19" s="310" t="s">
        <v>202</v>
      </c>
      <c r="VP19" s="310" t="s">
        <v>202</v>
      </c>
      <c r="VQ19" s="310" t="s">
        <v>202</v>
      </c>
      <c r="VR19" s="310" t="s">
        <v>202</v>
      </c>
      <c r="VS19" s="310" t="s">
        <v>202</v>
      </c>
      <c r="VT19" s="310" t="s">
        <v>202</v>
      </c>
      <c r="VU19" s="310" t="s">
        <v>202</v>
      </c>
      <c r="VV19" s="310" t="s">
        <v>202</v>
      </c>
      <c r="VW19" s="310" t="s">
        <v>202</v>
      </c>
      <c r="VX19" s="310" t="s">
        <v>202</v>
      </c>
      <c r="VY19" s="310" t="s">
        <v>202</v>
      </c>
      <c r="VZ19" s="310" t="s">
        <v>202</v>
      </c>
      <c r="WA19" s="310" t="s">
        <v>202</v>
      </c>
      <c r="WB19" s="310" t="s">
        <v>202</v>
      </c>
      <c r="WC19" s="310" t="s">
        <v>202</v>
      </c>
      <c r="WD19" s="310" t="s">
        <v>202</v>
      </c>
      <c r="WE19" s="310" t="s">
        <v>202</v>
      </c>
      <c r="WF19" s="310" t="s">
        <v>202</v>
      </c>
      <c r="WG19" s="310" t="s">
        <v>202</v>
      </c>
      <c r="WH19" s="310" t="s">
        <v>202</v>
      </c>
      <c r="WI19" s="310" t="s">
        <v>202</v>
      </c>
      <c r="WJ19" s="310" t="s">
        <v>202</v>
      </c>
      <c r="WK19" s="310" t="s">
        <v>202</v>
      </c>
      <c r="WL19" s="310" t="s">
        <v>202</v>
      </c>
      <c r="WM19" s="310" t="s">
        <v>202</v>
      </c>
      <c r="WN19" s="310" t="s">
        <v>202</v>
      </c>
      <c r="WO19" s="310" t="s">
        <v>202</v>
      </c>
      <c r="WP19" s="310" t="s">
        <v>202</v>
      </c>
      <c r="WQ19" s="310" t="s">
        <v>202</v>
      </c>
      <c r="WR19" s="310" t="s">
        <v>202</v>
      </c>
      <c r="WS19" s="310" t="s">
        <v>202</v>
      </c>
      <c r="WT19" s="310" t="s">
        <v>202</v>
      </c>
      <c r="WU19" s="310" t="s">
        <v>202</v>
      </c>
      <c r="WV19" s="310" t="s">
        <v>202</v>
      </c>
      <c r="WW19" s="310" t="s">
        <v>202</v>
      </c>
      <c r="WX19" s="310" t="s">
        <v>202</v>
      </c>
      <c r="WY19" s="310" t="s">
        <v>202</v>
      </c>
      <c r="WZ19" s="310" t="s">
        <v>202</v>
      </c>
      <c r="XA19" s="310" t="s">
        <v>202</v>
      </c>
      <c r="XB19" s="310" t="s">
        <v>202</v>
      </c>
      <c r="XC19" s="310" t="s">
        <v>202</v>
      </c>
      <c r="XD19" s="310" t="s">
        <v>202</v>
      </c>
      <c r="XE19" s="310" t="s">
        <v>202</v>
      </c>
      <c r="XF19" s="310" t="s">
        <v>202</v>
      </c>
      <c r="XG19" s="310" t="s">
        <v>202</v>
      </c>
      <c r="XH19" s="310" t="s">
        <v>202</v>
      </c>
      <c r="XI19" s="310" t="s">
        <v>202</v>
      </c>
      <c r="XJ19" s="310" t="s">
        <v>202</v>
      </c>
      <c r="XK19" s="310" t="s">
        <v>202</v>
      </c>
      <c r="XL19" s="310" t="s">
        <v>202</v>
      </c>
      <c r="XM19" s="310" t="s">
        <v>202</v>
      </c>
      <c r="XN19" s="310" t="s">
        <v>202</v>
      </c>
      <c r="XO19" s="310" t="s">
        <v>202</v>
      </c>
      <c r="XP19" s="310" t="s">
        <v>202</v>
      </c>
      <c r="XQ19" s="310" t="s">
        <v>202</v>
      </c>
      <c r="XR19" s="310" t="s">
        <v>202</v>
      </c>
      <c r="XS19" s="310" t="s">
        <v>202</v>
      </c>
      <c r="XT19" s="310" t="s">
        <v>202</v>
      </c>
      <c r="XU19" s="310" t="s">
        <v>202</v>
      </c>
      <c r="XV19" s="310" t="s">
        <v>202</v>
      </c>
      <c r="XW19" s="310" t="s">
        <v>202</v>
      </c>
      <c r="XX19" s="310" t="s">
        <v>202</v>
      </c>
      <c r="XY19" s="310" t="s">
        <v>202</v>
      </c>
      <c r="XZ19" s="310" t="s">
        <v>202</v>
      </c>
      <c r="YA19" s="310" t="s">
        <v>202</v>
      </c>
      <c r="YB19" s="310" t="s">
        <v>202</v>
      </c>
      <c r="YC19" s="310" t="s">
        <v>202</v>
      </c>
      <c r="YD19" s="310" t="s">
        <v>202</v>
      </c>
      <c r="YE19" s="310" t="s">
        <v>202</v>
      </c>
      <c r="YF19" s="310" t="s">
        <v>202</v>
      </c>
      <c r="YG19" s="310" t="s">
        <v>202</v>
      </c>
      <c r="YH19" s="310" t="s">
        <v>202</v>
      </c>
      <c r="YI19" s="310" t="s">
        <v>202</v>
      </c>
      <c r="YJ19" s="310" t="s">
        <v>202</v>
      </c>
      <c r="YK19" s="310" t="s">
        <v>202</v>
      </c>
      <c r="YL19" s="310" t="s">
        <v>202</v>
      </c>
      <c r="YM19" s="310" t="s">
        <v>202</v>
      </c>
      <c r="YN19" s="310" t="s">
        <v>202</v>
      </c>
      <c r="YO19" s="310" t="s">
        <v>202</v>
      </c>
      <c r="YP19" s="310" t="s">
        <v>202</v>
      </c>
      <c r="YQ19" s="310" t="s">
        <v>202</v>
      </c>
      <c r="YR19" s="310" t="s">
        <v>202</v>
      </c>
      <c r="YS19" s="310" t="s">
        <v>202</v>
      </c>
      <c r="YT19" s="310" t="s">
        <v>202</v>
      </c>
      <c r="YU19" s="310" t="s">
        <v>202</v>
      </c>
      <c r="YV19" s="310" t="s">
        <v>202</v>
      </c>
      <c r="YW19" s="310" t="s">
        <v>202</v>
      </c>
      <c r="YX19" s="310" t="s">
        <v>202</v>
      </c>
      <c r="YY19" s="310" t="s">
        <v>202</v>
      </c>
      <c r="YZ19" s="310" t="s">
        <v>202</v>
      </c>
      <c r="ZA19" s="310" t="s">
        <v>202</v>
      </c>
      <c r="ZB19" s="310" t="s">
        <v>202</v>
      </c>
      <c r="ZC19" s="310" t="s">
        <v>202</v>
      </c>
      <c r="ZD19" s="310" t="s">
        <v>202</v>
      </c>
      <c r="ZE19" s="310" t="s">
        <v>202</v>
      </c>
      <c r="ZF19" s="310" t="s">
        <v>202</v>
      </c>
      <c r="ZG19" s="310" t="s">
        <v>202</v>
      </c>
      <c r="ZH19" s="310" t="s">
        <v>202</v>
      </c>
      <c r="ZI19" s="310" t="s">
        <v>202</v>
      </c>
      <c r="ZJ19" s="310" t="s">
        <v>202</v>
      </c>
      <c r="ZK19" s="310" t="s">
        <v>202</v>
      </c>
      <c r="ZL19" s="310" t="s">
        <v>202</v>
      </c>
      <c r="ZM19" s="310" t="s">
        <v>202</v>
      </c>
      <c r="ZN19" s="310" t="s">
        <v>202</v>
      </c>
      <c r="ZO19" s="310" t="s">
        <v>202</v>
      </c>
      <c r="ZP19" s="310" t="s">
        <v>202</v>
      </c>
      <c r="ZQ19" s="310" t="s">
        <v>202</v>
      </c>
      <c r="ZR19" s="310" t="s">
        <v>202</v>
      </c>
      <c r="ZS19" s="310" t="s">
        <v>202</v>
      </c>
      <c r="ZT19" s="310" t="s">
        <v>202</v>
      </c>
      <c r="ZU19" s="310" t="s">
        <v>202</v>
      </c>
      <c r="ZV19" s="310" t="s">
        <v>202</v>
      </c>
      <c r="ZW19" s="310" t="s">
        <v>202</v>
      </c>
      <c r="ZX19" s="310" t="s">
        <v>202</v>
      </c>
      <c r="ZY19" s="310" t="s">
        <v>202</v>
      </c>
      <c r="ZZ19" s="310" t="s">
        <v>202</v>
      </c>
      <c r="AAA19" s="310" t="s">
        <v>202</v>
      </c>
      <c r="AAB19" s="310" t="s">
        <v>202</v>
      </c>
      <c r="AAC19" s="310" t="s">
        <v>202</v>
      </c>
      <c r="AAD19" s="310" t="s">
        <v>202</v>
      </c>
      <c r="AAE19" s="310" t="s">
        <v>202</v>
      </c>
      <c r="AAF19" s="310" t="s">
        <v>202</v>
      </c>
      <c r="AAG19" s="310" t="s">
        <v>202</v>
      </c>
      <c r="AAH19" s="310" t="s">
        <v>202</v>
      </c>
      <c r="AAI19" s="310" t="s">
        <v>202</v>
      </c>
      <c r="AAJ19" s="310" t="s">
        <v>202</v>
      </c>
      <c r="AAK19" s="310" t="s">
        <v>202</v>
      </c>
      <c r="AAL19" s="310" t="s">
        <v>202</v>
      </c>
      <c r="AAM19" s="310" t="s">
        <v>202</v>
      </c>
      <c r="AAN19" s="310" t="s">
        <v>202</v>
      </c>
      <c r="AAO19" s="310" t="s">
        <v>202</v>
      </c>
      <c r="AAP19" s="310" t="s">
        <v>202</v>
      </c>
      <c r="AAQ19" s="310" t="s">
        <v>202</v>
      </c>
      <c r="AAR19" s="310" t="s">
        <v>202</v>
      </c>
      <c r="AAS19" s="310" t="s">
        <v>202</v>
      </c>
      <c r="AAT19" s="310" t="s">
        <v>202</v>
      </c>
      <c r="AAU19" s="310" t="s">
        <v>202</v>
      </c>
      <c r="AAV19" s="310" t="s">
        <v>202</v>
      </c>
      <c r="AAW19" s="310" t="s">
        <v>202</v>
      </c>
      <c r="AAX19" s="310" t="s">
        <v>202</v>
      </c>
      <c r="AAY19" s="310" t="s">
        <v>202</v>
      </c>
      <c r="AAZ19" s="310" t="s">
        <v>202</v>
      </c>
      <c r="ABA19" s="310" t="s">
        <v>202</v>
      </c>
      <c r="ABB19" s="310" t="s">
        <v>202</v>
      </c>
      <c r="ABC19" s="310" t="s">
        <v>202</v>
      </c>
      <c r="ABD19" s="310" t="s">
        <v>202</v>
      </c>
      <c r="ABE19" s="310" t="s">
        <v>202</v>
      </c>
      <c r="ABF19" s="310" t="s">
        <v>202</v>
      </c>
      <c r="ABG19" s="310" t="s">
        <v>202</v>
      </c>
      <c r="ABH19" s="310" t="s">
        <v>202</v>
      </c>
      <c r="ABI19" s="310" t="s">
        <v>202</v>
      </c>
      <c r="ABJ19" s="310" t="s">
        <v>202</v>
      </c>
      <c r="ABK19" s="310" t="s">
        <v>202</v>
      </c>
      <c r="ABL19" s="310" t="s">
        <v>202</v>
      </c>
      <c r="ABM19" s="310" t="s">
        <v>202</v>
      </c>
      <c r="ABN19" s="310" t="s">
        <v>202</v>
      </c>
      <c r="ABO19" s="310" t="s">
        <v>202</v>
      </c>
      <c r="ABP19" s="310" t="s">
        <v>202</v>
      </c>
      <c r="ABQ19" s="310" t="s">
        <v>202</v>
      </c>
      <c r="ABR19" s="310" t="s">
        <v>202</v>
      </c>
      <c r="ABS19" s="310" t="s">
        <v>202</v>
      </c>
      <c r="ABT19" s="310" t="s">
        <v>202</v>
      </c>
      <c r="ABU19" s="310" t="s">
        <v>202</v>
      </c>
      <c r="ABV19" s="310" t="s">
        <v>202</v>
      </c>
      <c r="ABW19" s="310" t="s">
        <v>202</v>
      </c>
      <c r="ABX19" s="310" t="s">
        <v>202</v>
      </c>
      <c r="ABY19" s="310" t="s">
        <v>202</v>
      </c>
      <c r="ABZ19" s="310" t="s">
        <v>202</v>
      </c>
      <c r="ACA19" s="310" t="s">
        <v>202</v>
      </c>
      <c r="ACB19" s="310" t="s">
        <v>202</v>
      </c>
      <c r="ACC19" s="310" t="s">
        <v>202</v>
      </c>
      <c r="ACD19" s="310" t="s">
        <v>202</v>
      </c>
      <c r="ACE19" s="310" t="s">
        <v>202</v>
      </c>
      <c r="ACF19" s="310" t="s">
        <v>202</v>
      </c>
      <c r="ACG19" s="310" t="s">
        <v>202</v>
      </c>
      <c r="ACH19" s="310" t="s">
        <v>202</v>
      </c>
      <c r="ACI19" s="310" t="s">
        <v>202</v>
      </c>
      <c r="ACJ19" s="310" t="s">
        <v>202</v>
      </c>
      <c r="ACK19" s="310" t="s">
        <v>202</v>
      </c>
      <c r="ACL19" s="310" t="s">
        <v>202</v>
      </c>
      <c r="ACM19" s="310" t="s">
        <v>202</v>
      </c>
      <c r="ACN19" s="310" t="s">
        <v>202</v>
      </c>
      <c r="ACO19" s="310" t="s">
        <v>202</v>
      </c>
      <c r="ACP19" s="310" t="s">
        <v>202</v>
      </c>
      <c r="ACQ19" s="310" t="s">
        <v>202</v>
      </c>
      <c r="ACR19" s="310" t="s">
        <v>202</v>
      </c>
      <c r="ACS19" s="310" t="s">
        <v>202</v>
      </c>
      <c r="ACT19" s="310" t="s">
        <v>202</v>
      </c>
      <c r="ACU19" s="310" t="s">
        <v>202</v>
      </c>
      <c r="ACV19" s="310" t="s">
        <v>202</v>
      </c>
      <c r="ACW19" s="310" t="s">
        <v>202</v>
      </c>
      <c r="ACX19" s="310" t="s">
        <v>202</v>
      </c>
      <c r="ACY19" s="310" t="s">
        <v>202</v>
      </c>
      <c r="ACZ19" s="310" t="s">
        <v>202</v>
      </c>
      <c r="ADA19" s="310" t="s">
        <v>202</v>
      </c>
      <c r="ADB19" s="310" t="s">
        <v>202</v>
      </c>
      <c r="ADC19" s="310" t="s">
        <v>202</v>
      </c>
      <c r="ADD19" s="310" t="s">
        <v>202</v>
      </c>
      <c r="ADE19" s="310" t="s">
        <v>202</v>
      </c>
      <c r="ADF19" s="310" t="s">
        <v>202</v>
      </c>
      <c r="ADG19" s="310" t="s">
        <v>202</v>
      </c>
      <c r="ADH19" s="310" t="s">
        <v>202</v>
      </c>
      <c r="ADI19" s="310" t="s">
        <v>202</v>
      </c>
      <c r="ADJ19" s="310" t="s">
        <v>202</v>
      </c>
      <c r="ADK19" s="310" t="s">
        <v>202</v>
      </c>
      <c r="ADL19" s="310" t="s">
        <v>202</v>
      </c>
      <c r="ADM19" s="310" t="s">
        <v>202</v>
      </c>
      <c r="ADN19" s="310" t="s">
        <v>202</v>
      </c>
      <c r="ADO19" s="310" t="s">
        <v>202</v>
      </c>
      <c r="ADP19" s="310" t="s">
        <v>202</v>
      </c>
      <c r="ADQ19" s="310" t="s">
        <v>202</v>
      </c>
      <c r="ADR19" s="310" t="s">
        <v>202</v>
      </c>
      <c r="ADS19" s="310" t="s">
        <v>202</v>
      </c>
      <c r="ADT19" s="310" t="s">
        <v>202</v>
      </c>
      <c r="ADU19" s="310" t="s">
        <v>202</v>
      </c>
      <c r="ADV19" s="310" t="s">
        <v>202</v>
      </c>
      <c r="ADW19" s="310" t="s">
        <v>202</v>
      </c>
      <c r="ADX19" s="310" t="s">
        <v>202</v>
      </c>
      <c r="ADY19" s="310" t="s">
        <v>202</v>
      </c>
      <c r="ADZ19" s="310" t="s">
        <v>202</v>
      </c>
      <c r="AEA19" s="310" t="s">
        <v>202</v>
      </c>
      <c r="AEB19" s="310" t="s">
        <v>202</v>
      </c>
      <c r="AEC19" s="310" t="s">
        <v>202</v>
      </c>
      <c r="AED19" s="310" t="s">
        <v>202</v>
      </c>
      <c r="AEE19" s="310" t="s">
        <v>202</v>
      </c>
      <c r="AEF19" s="310" t="s">
        <v>202</v>
      </c>
      <c r="AEG19" s="310" t="s">
        <v>202</v>
      </c>
      <c r="AEH19" s="310" t="s">
        <v>202</v>
      </c>
      <c r="AEI19" s="310" t="s">
        <v>202</v>
      </c>
      <c r="AEJ19" s="310" t="s">
        <v>202</v>
      </c>
      <c r="AEK19" s="310" t="s">
        <v>202</v>
      </c>
      <c r="AEL19" s="310" t="s">
        <v>202</v>
      </c>
      <c r="AEM19" s="310" t="s">
        <v>202</v>
      </c>
      <c r="AEN19" s="310" t="s">
        <v>202</v>
      </c>
      <c r="AEO19" s="310" t="s">
        <v>202</v>
      </c>
      <c r="AEP19" s="310" t="s">
        <v>202</v>
      </c>
      <c r="AEQ19" s="310" t="s">
        <v>202</v>
      </c>
      <c r="AER19" s="310" t="s">
        <v>202</v>
      </c>
      <c r="AES19" s="310" t="s">
        <v>202</v>
      </c>
      <c r="AET19" s="310" t="s">
        <v>202</v>
      </c>
      <c r="AEU19" s="310" t="s">
        <v>202</v>
      </c>
      <c r="AEV19" s="310" t="s">
        <v>202</v>
      </c>
      <c r="AEW19" s="310" t="s">
        <v>202</v>
      </c>
      <c r="AEX19" s="310" t="s">
        <v>202</v>
      </c>
      <c r="AEY19" s="310" t="s">
        <v>202</v>
      </c>
      <c r="AEZ19" s="310" t="s">
        <v>202</v>
      </c>
      <c r="AFA19" s="310" t="s">
        <v>202</v>
      </c>
      <c r="AFB19" s="310" t="s">
        <v>202</v>
      </c>
      <c r="AFC19" s="310" t="s">
        <v>202</v>
      </c>
      <c r="AFD19" s="310" t="s">
        <v>202</v>
      </c>
      <c r="AFE19" s="310" t="s">
        <v>202</v>
      </c>
      <c r="AFF19" s="310" t="s">
        <v>202</v>
      </c>
      <c r="AFG19" s="310" t="s">
        <v>202</v>
      </c>
      <c r="AFH19" s="310" t="s">
        <v>202</v>
      </c>
      <c r="AFI19" s="310" t="s">
        <v>202</v>
      </c>
      <c r="AFJ19" s="310" t="s">
        <v>202</v>
      </c>
      <c r="AFK19" s="310" t="s">
        <v>202</v>
      </c>
      <c r="AFL19" s="310" t="s">
        <v>202</v>
      </c>
      <c r="AFM19" s="310" t="s">
        <v>202</v>
      </c>
      <c r="AFN19" s="310" t="s">
        <v>202</v>
      </c>
      <c r="AFO19" s="310" t="s">
        <v>202</v>
      </c>
      <c r="AFP19" s="310" t="s">
        <v>202</v>
      </c>
      <c r="AFQ19" s="310" t="s">
        <v>202</v>
      </c>
      <c r="AFR19" s="310" t="s">
        <v>202</v>
      </c>
      <c r="AFS19" s="310" t="s">
        <v>202</v>
      </c>
      <c r="AFT19" s="310" t="s">
        <v>202</v>
      </c>
      <c r="AFU19" s="310" t="s">
        <v>202</v>
      </c>
      <c r="AFV19" s="310" t="s">
        <v>202</v>
      </c>
      <c r="AFW19" s="310" t="s">
        <v>202</v>
      </c>
      <c r="AFX19" s="310" t="s">
        <v>202</v>
      </c>
      <c r="AFY19" s="310" t="s">
        <v>202</v>
      </c>
      <c r="AFZ19" s="310" t="s">
        <v>202</v>
      </c>
      <c r="AGA19" s="310" t="s">
        <v>202</v>
      </c>
      <c r="AGB19" s="310" t="s">
        <v>202</v>
      </c>
      <c r="AGC19" s="310" t="s">
        <v>202</v>
      </c>
      <c r="AGD19" s="310" t="s">
        <v>202</v>
      </c>
      <c r="AGE19" s="310" t="s">
        <v>202</v>
      </c>
      <c r="AGF19" s="310" t="s">
        <v>202</v>
      </c>
      <c r="AGG19" s="310" t="s">
        <v>202</v>
      </c>
      <c r="AGH19" s="310" t="s">
        <v>202</v>
      </c>
      <c r="AGI19" s="310" t="s">
        <v>202</v>
      </c>
      <c r="AGJ19" s="310" t="s">
        <v>202</v>
      </c>
      <c r="AGK19" s="310" t="s">
        <v>202</v>
      </c>
      <c r="AGL19" s="310" t="s">
        <v>202</v>
      </c>
      <c r="AGM19" s="310" t="s">
        <v>202</v>
      </c>
      <c r="AGN19" s="310" t="s">
        <v>202</v>
      </c>
      <c r="AGO19" s="310" t="s">
        <v>202</v>
      </c>
      <c r="AGP19" s="310" t="s">
        <v>202</v>
      </c>
      <c r="AGQ19" s="310" t="s">
        <v>202</v>
      </c>
      <c r="AGR19" s="310" t="s">
        <v>202</v>
      </c>
      <c r="AGS19" s="310" t="s">
        <v>202</v>
      </c>
      <c r="AGT19" s="310" t="s">
        <v>202</v>
      </c>
      <c r="AGU19" s="310" t="s">
        <v>202</v>
      </c>
      <c r="AGV19" s="310" t="s">
        <v>202</v>
      </c>
      <c r="AGW19" s="310" t="s">
        <v>202</v>
      </c>
      <c r="AGX19" s="310" t="s">
        <v>202</v>
      </c>
      <c r="AGY19" s="310" t="s">
        <v>202</v>
      </c>
      <c r="AGZ19" s="310" t="s">
        <v>202</v>
      </c>
      <c r="AHA19" s="310" t="s">
        <v>202</v>
      </c>
      <c r="AHB19" s="310" t="s">
        <v>202</v>
      </c>
      <c r="AHC19" s="310" t="s">
        <v>202</v>
      </c>
      <c r="AHD19" s="310" t="s">
        <v>202</v>
      </c>
      <c r="AHE19" s="310" t="s">
        <v>202</v>
      </c>
      <c r="AHF19" s="310" t="s">
        <v>202</v>
      </c>
      <c r="AHG19" s="310" t="s">
        <v>202</v>
      </c>
      <c r="AHH19" s="310" t="s">
        <v>202</v>
      </c>
      <c r="AHI19" s="310" t="s">
        <v>202</v>
      </c>
      <c r="AHJ19" s="310" t="s">
        <v>202</v>
      </c>
      <c r="AHK19" s="310" t="s">
        <v>202</v>
      </c>
      <c r="AHL19" s="310" t="s">
        <v>202</v>
      </c>
      <c r="AHM19" s="310" t="s">
        <v>202</v>
      </c>
      <c r="AHN19" s="310" t="s">
        <v>202</v>
      </c>
      <c r="AHO19" s="310" t="s">
        <v>202</v>
      </c>
      <c r="AHP19" s="310" t="s">
        <v>202</v>
      </c>
      <c r="AHQ19" s="310" t="s">
        <v>202</v>
      </c>
      <c r="AHR19" s="310" t="s">
        <v>202</v>
      </c>
      <c r="AHS19" s="310" t="s">
        <v>202</v>
      </c>
      <c r="AHT19" s="310" t="s">
        <v>202</v>
      </c>
      <c r="AHU19" s="310" t="s">
        <v>202</v>
      </c>
      <c r="AHV19" s="310" t="s">
        <v>202</v>
      </c>
      <c r="AHW19" s="310" t="s">
        <v>202</v>
      </c>
      <c r="AHX19" s="310" t="s">
        <v>202</v>
      </c>
      <c r="AHY19" s="310" t="s">
        <v>202</v>
      </c>
      <c r="AHZ19" s="310" t="s">
        <v>202</v>
      </c>
      <c r="AIA19" s="310" t="s">
        <v>202</v>
      </c>
      <c r="AIB19" s="310" t="s">
        <v>202</v>
      </c>
      <c r="AIC19" s="310" t="s">
        <v>202</v>
      </c>
      <c r="AID19" s="310" t="s">
        <v>202</v>
      </c>
      <c r="AIE19" s="310" t="s">
        <v>202</v>
      </c>
      <c r="AIF19" s="310" t="s">
        <v>202</v>
      </c>
      <c r="AIG19" s="310" t="s">
        <v>202</v>
      </c>
      <c r="AIH19" s="310" t="s">
        <v>202</v>
      </c>
      <c r="AII19" s="310" t="s">
        <v>202</v>
      </c>
      <c r="AIJ19" s="310" t="s">
        <v>202</v>
      </c>
      <c r="AIK19" s="310" t="s">
        <v>202</v>
      </c>
      <c r="AIL19" s="310" t="s">
        <v>202</v>
      </c>
      <c r="AIM19" s="310" t="s">
        <v>202</v>
      </c>
      <c r="AIN19" s="310" t="s">
        <v>202</v>
      </c>
      <c r="AIO19" s="310" t="s">
        <v>202</v>
      </c>
      <c r="AIP19" s="310" t="s">
        <v>202</v>
      </c>
      <c r="AIQ19" s="310" t="s">
        <v>202</v>
      </c>
      <c r="AIR19" s="310" t="s">
        <v>202</v>
      </c>
      <c r="AIS19" s="310" t="s">
        <v>202</v>
      </c>
      <c r="AIT19" s="310" t="s">
        <v>202</v>
      </c>
      <c r="AIU19" s="310" t="s">
        <v>202</v>
      </c>
      <c r="AIV19" s="310" t="s">
        <v>202</v>
      </c>
      <c r="AIW19" s="310" t="s">
        <v>202</v>
      </c>
      <c r="AIX19" s="310" t="s">
        <v>202</v>
      </c>
      <c r="AIY19" s="310" t="s">
        <v>202</v>
      </c>
      <c r="AIZ19" s="310" t="s">
        <v>202</v>
      </c>
      <c r="AJA19" s="310" t="s">
        <v>202</v>
      </c>
      <c r="AJB19" s="310" t="s">
        <v>202</v>
      </c>
      <c r="AJC19" s="310" t="s">
        <v>202</v>
      </c>
      <c r="AJD19" s="310" t="s">
        <v>202</v>
      </c>
      <c r="AJE19" s="310" t="s">
        <v>202</v>
      </c>
      <c r="AJF19" s="310" t="s">
        <v>202</v>
      </c>
      <c r="AJG19" s="310" t="s">
        <v>202</v>
      </c>
      <c r="AJH19" s="310" t="s">
        <v>202</v>
      </c>
      <c r="AJI19" s="310" t="s">
        <v>202</v>
      </c>
      <c r="AJJ19" s="310" t="s">
        <v>202</v>
      </c>
      <c r="AJK19" s="310" t="s">
        <v>202</v>
      </c>
      <c r="AJL19" s="310" t="s">
        <v>202</v>
      </c>
      <c r="AJM19" s="310" t="s">
        <v>202</v>
      </c>
      <c r="AJN19" s="310" t="s">
        <v>202</v>
      </c>
      <c r="AJO19" s="310" t="s">
        <v>202</v>
      </c>
      <c r="AJP19" s="310" t="s">
        <v>202</v>
      </c>
      <c r="AJQ19" s="310" t="s">
        <v>202</v>
      </c>
      <c r="AJR19" s="310" t="s">
        <v>202</v>
      </c>
      <c r="AJS19" s="310" t="s">
        <v>202</v>
      </c>
      <c r="AJT19" s="310" t="s">
        <v>202</v>
      </c>
      <c r="AJU19" s="310" t="s">
        <v>202</v>
      </c>
      <c r="AJV19" s="310" t="s">
        <v>202</v>
      </c>
      <c r="AJW19" s="310" t="s">
        <v>202</v>
      </c>
      <c r="AJX19" s="310" t="s">
        <v>202</v>
      </c>
      <c r="AJY19" s="310" t="s">
        <v>202</v>
      </c>
      <c r="AJZ19" s="310" t="s">
        <v>202</v>
      </c>
      <c r="AKA19" s="310" t="s">
        <v>202</v>
      </c>
      <c r="AKB19" s="310" t="s">
        <v>202</v>
      </c>
      <c r="AKC19" s="310" t="s">
        <v>202</v>
      </c>
      <c r="AKD19" s="310" t="s">
        <v>202</v>
      </c>
      <c r="AKE19" s="310" t="s">
        <v>202</v>
      </c>
      <c r="AKF19" s="310" t="s">
        <v>202</v>
      </c>
      <c r="AKG19" s="310" t="s">
        <v>202</v>
      </c>
      <c r="AKH19" s="310" t="s">
        <v>202</v>
      </c>
      <c r="AKI19" s="310" t="s">
        <v>202</v>
      </c>
      <c r="AKJ19" s="310" t="s">
        <v>202</v>
      </c>
      <c r="AKK19" s="310" t="s">
        <v>202</v>
      </c>
      <c r="AKL19" s="310" t="s">
        <v>202</v>
      </c>
      <c r="AKM19" s="310" t="s">
        <v>202</v>
      </c>
      <c r="AKN19" s="310" t="s">
        <v>202</v>
      </c>
      <c r="AKO19" s="310" t="s">
        <v>202</v>
      </c>
      <c r="AKP19" s="310" t="s">
        <v>202</v>
      </c>
      <c r="AKQ19" s="310" t="s">
        <v>202</v>
      </c>
      <c r="AKR19" s="310" t="s">
        <v>202</v>
      </c>
      <c r="AKS19" s="310" t="s">
        <v>202</v>
      </c>
      <c r="AKT19" s="310" t="s">
        <v>202</v>
      </c>
      <c r="AKU19" s="310" t="s">
        <v>202</v>
      </c>
      <c r="AKV19" s="310" t="s">
        <v>202</v>
      </c>
      <c r="AKW19" s="310" t="s">
        <v>202</v>
      </c>
      <c r="AKX19" s="310" t="s">
        <v>202</v>
      </c>
      <c r="AKY19" s="310" t="s">
        <v>202</v>
      </c>
      <c r="AKZ19" s="310" t="s">
        <v>202</v>
      </c>
      <c r="ALA19" s="310" t="s">
        <v>202</v>
      </c>
      <c r="ALB19" s="310" t="s">
        <v>202</v>
      </c>
      <c r="ALC19" s="310" t="s">
        <v>202</v>
      </c>
      <c r="ALD19" s="310" t="s">
        <v>202</v>
      </c>
      <c r="ALE19" s="310" t="s">
        <v>202</v>
      </c>
      <c r="ALF19" s="310" t="s">
        <v>202</v>
      </c>
      <c r="ALG19" s="310" t="s">
        <v>202</v>
      </c>
      <c r="ALH19" s="310" t="s">
        <v>202</v>
      </c>
      <c r="ALI19" s="310" t="s">
        <v>202</v>
      </c>
      <c r="ALJ19" s="310" t="s">
        <v>202</v>
      </c>
      <c r="ALK19" s="310" t="s">
        <v>202</v>
      </c>
      <c r="ALL19" s="310" t="s">
        <v>202</v>
      </c>
      <c r="ALM19" s="310" t="s">
        <v>202</v>
      </c>
      <c r="ALN19" s="310" t="s">
        <v>202</v>
      </c>
      <c r="ALO19" s="310" t="s">
        <v>202</v>
      </c>
      <c r="ALP19" s="310" t="s">
        <v>202</v>
      </c>
      <c r="ALQ19" s="310" t="s">
        <v>202</v>
      </c>
      <c r="ALR19" s="310" t="s">
        <v>202</v>
      </c>
      <c r="ALS19" s="310" t="s">
        <v>202</v>
      </c>
      <c r="ALT19" s="310" t="s">
        <v>202</v>
      </c>
      <c r="ALU19" s="310" t="s">
        <v>202</v>
      </c>
      <c r="ALV19" s="310" t="s">
        <v>202</v>
      </c>
      <c r="ALW19" s="310" t="s">
        <v>202</v>
      </c>
      <c r="ALX19" s="310" t="s">
        <v>202</v>
      </c>
      <c r="ALY19" s="310" t="s">
        <v>202</v>
      </c>
      <c r="ALZ19" s="310" t="s">
        <v>202</v>
      </c>
      <c r="AMA19" s="310" t="s">
        <v>202</v>
      </c>
      <c r="AMB19" s="310" t="s">
        <v>202</v>
      </c>
      <c r="AMC19" s="310" t="s">
        <v>202</v>
      </c>
      <c r="AMD19" s="310" t="s">
        <v>202</v>
      </c>
      <c r="AME19" s="310" t="s">
        <v>202</v>
      </c>
      <c r="AMF19" s="310" t="s">
        <v>202</v>
      </c>
      <c r="AMG19" s="310" t="s">
        <v>202</v>
      </c>
      <c r="AMH19" s="310" t="s">
        <v>202</v>
      </c>
      <c r="AMI19" s="310" t="s">
        <v>202</v>
      </c>
      <c r="AMJ19" s="310" t="s">
        <v>202</v>
      </c>
      <c r="AMK19" s="310" t="s">
        <v>202</v>
      </c>
      <c r="AML19" s="310" t="s">
        <v>202</v>
      </c>
      <c r="AMM19" s="310" t="s">
        <v>202</v>
      </c>
      <c r="AMN19" s="310" t="s">
        <v>202</v>
      </c>
      <c r="AMO19" s="310" t="s">
        <v>202</v>
      </c>
      <c r="AMP19" s="310" t="s">
        <v>202</v>
      </c>
      <c r="AMQ19" s="310" t="s">
        <v>202</v>
      </c>
      <c r="AMR19" s="310" t="s">
        <v>202</v>
      </c>
      <c r="AMS19" s="310" t="s">
        <v>202</v>
      </c>
      <c r="AMT19" s="310" t="s">
        <v>202</v>
      </c>
      <c r="AMU19" s="310" t="s">
        <v>202</v>
      </c>
      <c r="AMV19" s="310" t="s">
        <v>202</v>
      </c>
      <c r="AMW19" s="310" t="s">
        <v>202</v>
      </c>
      <c r="AMX19" s="310" t="s">
        <v>202</v>
      </c>
      <c r="AMY19" s="310" t="s">
        <v>202</v>
      </c>
      <c r="AMZ19" s="310" t="s">
        <v>202</v>
      </c>
      <c r="ANA19" s="310" t="s">
        <v>202</v>
      </c>
      <c r="ANB19" s="310" t="s">
        <v>202</v>
      </c>
      <c r="ANC19" s="310" t="s">
        <v>202</v>
      </c>
      <c r="AND19" s="310" t="s">
        <v>202</v>
      </c>
      <c r="ANE19" s="310" t="s">
        <v>202</v>
      </c>
      <c r="ANF19" s="310" t="s">
        <v>202</v>
      </c>
      <c r="ANG19" s="310" t="s">
        <v>202</v>
      </c>
      <c r="ANH19" s="310" t="s">
        <v>202</v>
      </c>
      <c r="ANI19" s="310" t="s">
        <v>202</v>
      </c>
      <c r="ANJ19" s="310" t="s">
        <v>202</v>
      </c>
      <c r="ANK19" s="310" t="s">
        <v>202</v>
      </c>
      <c r="ANL19" s="310" t="s">
        <v>202</v>
      </c>
      <c r="ANM19" s="310" t="s">
        <v>202</v>
      </c>
      <c r="ANN19" s="310" t="s">
        <v>202</v>
      </c>
      <c r="ANO19" s="310" t="s">
        <v>202</v>
      </c>
      <c r="ANP19" s="310" t="s">
        <v>202</v>
      </c>
      <c r="ANQ19" s="310" t="s">
        <v>202</v>
      </c>
      <c r="ANR19" s="310" t="s">
        <v>202</v>
      </c>
      <c r="ANS19" s="310" t="s">
        <v>202</v>
      </c>
      <c r="ANT19" s="310" t="s">
        <v>202</v>
      </c>
      <c r="ANU19" s="310" t="s">
        <v>202</v>
      </c>
      <c r="ANV19" s="310" t="s">
        <v>202</v>
      </c>
      <c r="ANW19" s="310" t="s">
        <v>202</v>
      </c>
      <c r="ANX19" s="310" t="s">
        <v>202</v>
      </c>
      <c r="ANY19" s="310" t="s">
        <v>202</v>
      </c>
      <c r="ANZ19" s="310" t="s">
        <v>202</v>
      </c>
      <c r="AOA19" s="310" t="s">
        <v>202</v>
      </c>
      <c r="AOB19" s="310" t="s">
        <v>202</v>
      </c>
      <c r="AOC19" s="310" t="s">
        <v>202</v>
      </c>
      <c r="AOD19" s="310" t="s">
        <v>202</v>
      </c>
      <c r="AOE19" s="310" t="s">
        <v>202</v>
      </c>
      <c r="AOF19" s="310" t="s">
        <v>202</v>
      </c>
      <c r="AOG19" s="310" t="s">
        <v>202</v>
      </c>
      <c r="AOH19" s="310" t="s">
        <v>202</v>
      </c>
      <c r="AOI19" s="310" t="s">
        <v>202</v>
      </c>
      <c r="AOJ19" s="310" t="s">
        <v>202</v>
      </c>
      <c r="AOK19" s="310" t="s">
        <v>202</v>
      </c>
      <c r="AOL19" s="310" t="s">
        <v>202</v>
      </c>
      <c r="AOM19" s="310" t="s">
        <v>202</v>
      </c>
      <c r="AON19" s="310" t="s">
        <v>202</v>
      </c>
      <c r="AOO19" s="310" t="s">
        <v>202</v>
      </c>
      <c r="AOP19" s="310" t="s">
        <v>202</v>
      </c>
      <c r="AOQ19" s="310" t="s">
        <v>202</v>
      </c>
      <c r="AOR19" s="310" t="s">
        <v>202</v>
      </c>
      <c r="AOS19" s="310" t="s">
        <v>202</v>
      </c>
      <c r="AOT19" s="310" t="s">
        <v>202</v>
      </c>
      <c r="AOU19" s="310" t="s">
        <v>202</v>
      </c>
      <c r="AOV19" s="310" t="s">
        <v>202</v>
      </c>
      <c r="AOW19" s="310" t="s">
        <v>202</v>
      </c>
      <c r="AOX19" s="310" t="s">
        <v>202</v>
      </c>
      <c r="AOY19" s="310" t="s">
        <v>202</v>
      </c>
      <c r="AOZ19" s="310" t="s">
        <v>202</v>
      </c>
      <c r="APA19" s="310" t="s">
        <v>202</v>
      </c>
      <c r="APB19" s="310" t="s">
        <v>202</v>
      </c>
      <c r="APC19" s="310" t="s">
        <v>202</v>
      </c>
      <c r="APD19" s="310" t="s">
        <v>202</v>
      </c>
      <c r="APE19" s="310" t="s">
        <v>202</v>
      </c>
      <c r="APF19" s="310" t="s">
        <v>202</v>
      </c>
      <c r="APG19" s="310" t="s">
        <v>202</v>
      </c>
      <c r="APH19" s="310" t="s">
        <v>202</v>
      </c>
      <c r="API19" s="310" t="s">
        <v>202</v>
      </c>
      <c r="APJ19" s="310" t="s">
        <v>202</v>
      </c>
      <c r="APK19" s="310" t="s">
        <v>202</v>
      </c>
      <c r="APL19" s="310" t="s">
        <v>202</v>
      </c>
      <c r="APM19" s="310" t="s">
        <v>202</v>
      </c>
      <c r="APN19" s="310" t="s">
        <v>202</v>
      </c>
      <c r="APO19" s="310" t="s">
        <v>202</v>
      </c>
      <c r="APP19" s="310" t="s">
        <v>202</v>
      </c>
      <c r="APQ19" s="310" t="s">
        <v>202</v>
      </c>
      <c r="APR19" s="310" t="s">
        <v>202</v>
      </c>
      <c r="APS19" s="310" t="s">
        <v>202</v>
      </c>
      <c r="APT19" s="310" t="s">
        <v>202</v>
      </c>
      <c r="APU19" s="310" t="s">
        <v>202</v>
      </c>
      <c r="APV19" s="310" t="s">
        <v>202</v>
      </c>
      <c r="APW19" s="310" t="s">
        <v>202</v>
      </c>
      <c r="APX19" s="310" t="s">
        <v>202</v>
      </c>
      <c r="APY19" s="310" t="s">
        <v>202</v>
      </c>
      <c r="APZ19" s="310" t="s">
        <v>202</v>
      </c>
      <c r="AQA19" s="310" t="s">
        <v>202</v>
      </c>
      <c r="AQB19" s="310" t="s">
        <v>202</v>
      </c>
      <c r="AQC19" s="310" t="s">
        <v>202</v>
      </c>
      <c r="AQD19" s="310" t="s">
        <v>202</v>
      </c>
      <c r="AQE19" s="310" t="s">
        <v>202</v>
      </c>
      <c r="AQF19" s="310" t="s">
        <v>202</v>
      </c>
      <c r="AQG19" s="310" t="s">
        <v>202</v>
      </c>
      <c r="AQH19" s="310" t="s">
        <v>202</v>
      </c>
      <c r="AQI19" s="310" t="s">
        <v>202</v>
      </c>
      <c r="AQJ19" s="310" t="s">
        <v>202</v>
      </c>
      <c r="AQK19" s="310" t="s">
        <v>202</v>
      </c>
      <c r="AQL19" s="310" t="s">
        <v>202</v>
      </c>
      <c r="AQM19" s="310" t="s">
        <v>202</v>
      </c>
      <c r="AQN19" s="310" t="s">
        <v>202</v>
      </c>
      <c r="AQO19" s="310" t="s">
        <v>202</v>
      </c>
      <c r="AQP19" s="310" t="s">
        <v>202</v>
      </c>
      <c r="AQQ19" s="310" t="s">
        <v>202</v>
      </c>
      <c r="AQR19" s="310" t="s">
        <v>202</v>
      </c>
      <c r="AQS19" s="310" t="s">
        <v>202</v>
      </c>
      <c r="AQT19" s="310" t="s">
        <v>202</v>
      </c>
      <c r="AQU19" s="310" t="s">
        <v>202</v>
      </c>
      <c r="AQV19" s="310" t="s">
        <v>202</v>
      </c>
      <c r="AQW19" s="310" t="s">
        <v>202</v>
      </c>
      <c r="AQX19" s="310" t="s">
        <v>202</v>
      </c>
      <c r="AQY19" s="310" t="s">
        <v>202</v>
      </c>
      <c r="AQZ19" s="310" t="s">
        <v>202</v>
      </c>
      <c r="ARA19" s="310" t="s">
        <v>202</v>
      </c>
      <c r="ARB19" s="310" t="s">
        <v>202</v>
      </c>
      <c r="ARC19" s="310" t="s">
        <v>202</v>
      </c>
      <c r="ARD19" s="310" t="s">
        <v>202</v>
      </c>
      <c r="ARE19" s="310" t="s">
        <v>202</v>
      </c>
      <c r="ARF19" s="310" t="s">
        <v>202</v>
      </c>
      <c r="ARG19" s="310" t="s">
        <v>202</v>
      </c>
      <c r="ARH19" s="310" t="s">
        <v>202</v>
      </c>
      <c r="ARI19" s="310" t="s">
        <v>202</v>
      </c>
      <c r="ARJ19" s="310" t="s">
        <v>202</v>
      </c>
      <c r="ARK19" s="310" t="s">
        <v>202</v>
      </c>
      <c r="ARL19" s="310" t="s">
        <v>202</v>
      </c>
      <c r="ARM19" s="310" t="s">
        <v>202</v>
      </c>
      <c r="ARN19" s="310" t="s">
        <v>202</v>
      </c>
      <c r="ARO19" s="310" t="s">
        <v>202</v>
      </c>
      <c r="ARP19" s="310" t="s">
        <v>202</v>
      </c>
      <c r="ARQ19" s="310" t="s">
        <v>202</v>
      </c>
      <c r="ARR19" s="310" t="s">
        <v>202</v>
      </c>
      <c r="ARS19" s="310" t="s">
        <v>202</v>
      </c>
      <c r="ART19" s="310" t="s">
        <v>202</v>
      </c>
      <c r="ARU19" s="310" t="s">
        <v>202</v>
      </c>
      <c r="ARV19" s="310" t="s">
        <v>202</v>
      </c>
      <c r="ARW19" s="310" t="s">
        <v>202</v>
      </c>
      <c r="ARX19" s="310" t="s">
        <v>202</v>
      </c>
      <c r="ARY19" s="310" t="s">
        <v>202</v>
      </c>
      <c r="ARZ19" s="310" t="s">
        <v>202</v>
      </c>
      <c r="ASA19" s="310" t="s">
        <v>202</v>
      </c>
      <c r="ASB19" s="310" t="s">
        <v>202</v>
      </c>
      <c r="ASC19" s="310" t="s">
        <v>202</v>
      </c>
      <c r="ASD19" s="310" t="s">
        <v>202</v>
      </c>
      <c r="ASE19" s="310" t="s">
        <v>202</v>
      </c>
      <c r="ASF19" s="310" t="s">
        <v>202</v>
      </c>
      <c r="ASG19" s="310" t="s">
        <v>202</v>
      </c>
      <c r="ASH19" s="310" t="s">
        <v>202</v>
      </c>
      <c r="ASI19" s="310" t="s">
        <v>202</v>
      </c>
      <c r="ASJ19" s="310" t="s">
        <v>202</v>
      </c>
      <c r="ASK19" s="310" t="s">
        <v>202</v>
      </c>
      <c r="ASL19" s="310" t="s">
        <v>202</v>
      </c>
      <c r="ASM19" s="310" t="s">
        <v>202</v>
      </c>
      <c r="ASN19" s="310" t="s">
        <v>202</v>
      </c>
      <c r="ASO19" s="310" t="s">
        <v>202</v>
      </c>
      <c r="ASP19" s="310" t="s">
        <v>202</v>
      </c>
      <c r="ASQ19" s="310" t="s">
        <v>202</v>
      </c>
      <c r="ASR19" s="310" t="s">
        <v>202</v>
      </c>
      <c r="ASS19" s="310" t="s">
        <v>202</v>
      </c>
      <c r="AST19" s="310" t="s">
        <v>202</v>
      </c>
      <c r="ASU19" s="310" t="s">
        <v>202</v>
      </c>
      <c r="ASV19" s="310" t="s">
        <v>202</v>
      </c>
      <c r="ASW19" s="310" t="s">
        <v>202</v>
      </c>
      <c r="ASX19" s="310" t="s">
        <v>202</v>
      </c>
      <c r="ASY19" s="310" t="s">
        <v>202</v>
      </c>
      <c r="ASZ19" s="310" t="s">
        <v>202</v>
      </c>
      <c r="ATA19" s="310" t="s">
        <v>202</v>
      </c>
      <c r="ATB19" s="310" t="s">
        <v>202</v>
      </c>
      <c r="ATC19" s="310" t="s">
        <v>202</v>
      </c>
      <c r="ATD19" s="310" t="s">
        <v>202</v>
      </c>
      <c r="ATE19" s="310" t="s">
        <v>202</v>
      </c>
      <c r="ATF19" s="310" t="s">
        <v>202</v>
      </c>
      <c r="ATG19" s="310" t="s">
        <v>202</v>
      </c>
      <c r="ATH19" s="310" t="s">
        <v>202</v>
      </c>
      <c r="ATI19" s="310" t="s">
        <v>202</v>
      </c>
      <c r="ATJ19" s="310" t="s">
        <v>202</v>
      </c>
      <c r="ATK19" s="310" t="s">
        <v>202</v>
      </c>
      <c r="ATL19" s="310" t="s">
        <v>202</v>
      </c>
      <c r="ATM19" s="310" t="s">
        <v>202</v>
      </c>
      <c r="ATN19" s="310" t="s">
        <v>202</v>
      </c>
      <c r="ATO19" s="310" t="s">
        <v>202</v>
      </c>
      <c r="ATP19" s="310" t="s">
        <v>202</v>
      </c>
      <c r="ATQ19" s="310" t="s">
        <v>202</v>
      </c>
      <c r="ATR19" s="310" t="s">
        <v>202</v>
      </c>
      <c r="ATS19" s="310" t="s">
        <v>202</v>
      </c>
      <c r="ATT19" s="310" t="s">
        <v>202</v>
      </c>
      <c r="ATU19" s="310" t="s">
        <v>202</v>
      </c>
      <c r="ATV19" s="310" t="s">
        <v>202</v>
      </c>
      <c r="ATW19" s="310" t="s">
        <v>202</v>
      </c>
      <c r="ATX19" s="310" t="s">
        <v>202</v>
      </c>
      <c r="ATY19" s="310" t="s">
        <v>202</v>
      </c>
      <c r="ATZ19" s="310" t="s">
        <v>202</v>
      </c>
      <c r="AUA19" s="310" t="s">
        <v>202</v>
      </c>
      <c r="AUB19" s="310" t="s">
        <v>202</v>
      </c>
      <c r="AUC19" s="310" t="s">
        <v>202</v>
      </c>
      <c r="AUD19" s="310" t="s">
        <v>202</v>
      </c>
      <c r="AUE19" s="310" t="s">
        <v>202</v>
      </c>
      <c r="AUF19" s="310" t="s">
        <v>202</v>
      </c>
      <c r="AUG19" s="310" t="s">
        <v>202</v>
      </c>
      <c r="AUH19" s="310" t="s">
        <v>202</v>
      </c>
      <c r="AUI19" s="310" t="s">
        <v>202</v>
      </c>
      <c r="AUJ19" s="310" t="s">
        <v>202</v>
      </c>
      <c r="AUK19" s="310" t="s">
        <v>202</v>
      </c>
      <c r="AUL19" s="310" t="s">
        <v>202</v>
      </c>
      <c r="AUM19" s="310" t="s">
        <v>202</v>
      </c>
      <c r="AUN19" s="310" t="s">
        <v>202</v>
      </c>
      <c r="AUO19" s="310" t="s">
        <v>202</v>
      </c>
      <c r="AUP19" s="310" t="s">
        <v>202</v>
      </c>
      <c r="AUQ19" s="310" t="s">
        <v>202</v>
      </c>
      <c r="AUR19" s="310" t="s">
        <v>202</v>
      </c>
      <c r="AUS19" s="310" t="s">
        <v>202</v>
      </c>
      <c r="AUT19" s="310" t="s">
        <v>202</v>
      </c>
      <c r="AUU19" s="310" t="s">
        <v>202</v>
      </c>
      <c r="AUV19" s="310" t="s">
        <v>202</v>
      </c>
      <c r="AUW19" s="310" t="s">
        <v>202</v>
      </c>
      <c r="AUX19" s="310" t="s">
        <v>202</v>
      </c>
      <c r="AUY19" s="310" t="s">
        <v>202</v>
      </c>
      <c r="AUZ19" s="310" t="s">
        <v>202</v>
      </c>
      <c r="AVA19" s="310" t="s">
        <v>202</v>
      </c>
      <c r="AVB19" s="310" t="s">
        <v>202</v>
      </c>
      <c r="AVC19" s="310" t="s">
        <v>202</v>
      </c>
      <c r="AVD19" s="310" t="s">
        <v>202</v>
      </c>
      <c r="AVE19" s="310" t="s">
        <v>202</v>
      </c>
      <c r="AVF19" s="310" t="s">
        <v>202</v>
      </c>
      <c r="AVG19" s="310" t="s">
        <v>202</v>
      </c>
      <c r="AVH19" s="310" t="s">
        <v>202</v>
      </c>
      <c r="AVI19" s="310" t="s">
        <v>202</v>
      </c>
      <c r="AVJ19" s="310" t="s">
        <v>202</v>
      </c>
      <c r="AVK19" s="310" t="s">
        <v>202</v>
      </c>
      <c r="AVL19" s="310" t="s">
        <v>202</v>
      </c>
      <c r="AVM19" s="310" t="s">
        <v>202</v>
      </c>
      <c r="AVN19" s="310" t="s">
        <v>202</v>
      </c>
      <c r="AVO19" s="310" t="s">
        <v>202</v>
      </c>
      <c r="AVP19" s="310" t="s">
        <v>202</v>
      </c>
      <c r="AVQ19" s="310" t="s">
        <v>202</v>
      </c>
      <c r="AVR19" s="310" t="s">
        <v>202</v>
      </c>
      <c r="AVS19" s="310" t="s">
        <v>202</v>
      </c>
      <c r="AVT19" s="310" t="s">
        <v>202</v>
      </c>
      <c r="AVU19" s="310" t="s">
        <v>202</v>
      </c>
      <c r="AVV19" s="310" t="s">
        <v>202</v>
      </c>
      <c r="AVW19" s="310" t="s">
        <v>202</v>
      </c>
      <c r="AVX19" s="310" t="s">
        <v>202</v>
      </c>
      <c r="AVY19" s="310" t="s">
        <v>202</v>
      </c>
      <c r="AVZ19" s="310" t="s">
        <v>202</v>
      </c>
      <c r="AWA19" s="310" t="s">
        <v>202</v>
      </c>
      <c r="AWB19" s="310" t="s">
        <v>202</v>
      </c>
      <c r="AWC19" s="310" t="s">
        <v>202</v>
      </c>
      <c r="AWD19" s="310" t="s">
        <v>202</v>
      </c>
      <c r="AWE19" s="310" t="s">
        <v>202</v>
      </c>
      <c r="AWF19" s="310" t="s">
        <v>202</v>
      </c>
      <c r="AWG19" s="310" t="s">
        <v>202</v>
      </c>
      <c r="AWH19" s="310" t="s">
        <v>202</v>
      </c>
      <c r="AWI19" s="310" t="s">
        <v>202</v>
      </c>
      <c r="AWJ19" s="310" t="s">
        <v>202</v>
      </c>
      <c r="AWK19" s="310" t="s">
        <v>202</v>
      </c>
      <c r="AWL19" s="310" t="s">
        <v>202</v>
      </c>
      <c r="AWM19" s="310" t="s">
        <v>202</v>
      </c>
      <c r="AWN19" s="310" t="s">
        <v>202</v>
      </c>
      <c r="AWO19" s="310" t="s">
        <v>202</v>
      </c>
      <c r="AWP19" s="310" t="s">
        <v>202</v>
      </c>
      <c r="AWQ19" s="310" t="s">
        <v>202</v>
      </c>
      <c r="AWR19" s="310" t="s">
        <v>202</v>
      </c>
      <c r="AWS19" s="310" t="s">
        <v>202</v>
      </c>
      <c r="AWT19" s="310" t="s">
        <v>202</v>
      </c>
      <c r="AWU19" s="310" t="s">
        <v>202</v>
      </c>
      <c r="AWV19" s="310" t="s">
        <v>202</v>
      </c>
      <c r="AWW19" s="310" t="s">
        <v>202</v>
      </c>
      <c r="AWX19" s="310" t="s">
        <v>202</v>
      </c>
      <c r="AWY19" s="310" t="s">
        <v>202</v>
      </c>
      <c r="AWZ19" s="310" t="s">
        <v>202</v>
      </c>
      <c r="AXA19" s="310" t="s">
        <v>202</v>
      </c>
      <c r="AXB19" s="310" t="s">
        <v>202</v>
      </c>
      <c r="AXC19" s="310" t="s">
        <v>202</v>
      </c>
      <c r="AXD19" s="310" t="s">
        <v>202</v>
      </c>
      <c r="AXE19" s="310" t="s">
        <v>202</v>
      </c>
      <c r="AXF19" s="310" t="s">
        <v>202</v>
      </c>
      <c r="AXG19" s="310" t="s">
        <v>202</v>
      </c>
      <c r="AXH19" s="310" t="s">
        <v>202</v>
      </c>
      <c r="AXI19" s="310" t="s">
        <v>202</v>
      </c>
      <c r="AXJ19" s="310" t="s">
        <v>202</v>
      </c>
      <c r="AXK19" s="310" t="s">
        <v>202</v>
      </c>
      <c r="AXL19" s="310" t="s">
        <v>202</v>
      </c>
      <c r="AXM19" s="310" t="s">
        <v>202</v>
      </c>
      <c r="AXN19" s="310" t="s">
        <v>202</v>
      </c>
      <c r="AXO19" s="310" t="s">
        <v>202</v>
      </c>
      <c r="AXP19" s="310" t="s">
        <v>202</v>
      </c>
      <c r="AXQ19" s="310" t="s">
        <v>202</v>
      </c>
      <c r="AXR19" s="310" t="s">
        <v>202</v>
      </c>
      <c r="AXS19" s="310" t="s">
        <v>202</v>
      </c>
      <c r="AXT19" s="310" t="s">
        <v>202</v>
      </c>
      <c r="AXU19" s="310" t="s">
        <v>202</v>
      </c>
      <c r="AXV19" s="310" t="s">
        <v>202</v>
      </c>
      <c r="AXW19" s="310" t="s">
        <v>202</v>
      </c>
      <c r="AXX19" s="310" t="s">
        <v>202</v>
      </c>
      <c r="AXY19" s="310" t="s">
        <v>202</v>
      </c>
      <c r="AXZ19" s="310" t="s">
        <v>202</v>
      </c>
      <c r="AYA19" s="310" t="s">
        <v>202</v>
      </c>
      <c r="AYB19" s="310" t="s">
        <v>202</v>
      </c>
      <c r="AYC19" s="310" t="s">
        <v>202</v>
      </c>
      <c r="AYD19" s="310" t="s">
        <v>202</v>
      </c>
      <c r="AYE19" s="310" t="s">
        <v>202</v>
      </c>
      <c r="AYF19" s="310" t="s">
        <v>202</v>
      </c>
      <c r="AYG19" s="310" t="s">
        <v>202</v>
      </c>
      <c r="AYH19" s="310" t="s">
        <v>202</v>
      </c>
      <c r="AYI19" s="310" t="s">
        <v>202</v>
      </c>
      <c r="AYJ19" s="310" t="s">
        <v>202</v>
      </c>
      <c r="AYK19" s="310" t="s">
        <v>202</v>
      </c>
      <c r="AYL19" s="310" t="s">
        <v>202</v>
      </c>
      <c r="AYM19" s="310" t="s">
        <v>202</v>
      </c>
      <c r="AYN19" s="310" t="s">
        <v>202</v>
      </c>
      <c r="AYO19" s="310" t="s">
        <v>202</v>
      </c>
      <c r="AYP19" s="310" t="s">
        <v>202</v>
      </c>
      <c r="AYQ19" s="310" t="s">
        <v>202</v>
      </c>
      <c r="AYR19" s="310" t="s">
        <v>202</v>
      </c>
      <c r="AYS19" s="310" t="s">
        <v>202</v>
      </c>
      <c r="AYT19" s="310" t="s">
        <v>202</v>
      </c>
      <c r="AYU19" s="310" t="s">
        <v>202</v>
      </c>
      <c r="AYV19" s="310" t="s">
        <v>202</v>
      </c>
      <c r="AYW19" s="310" t="s">
        <v>202</v>
      </c>
      <c r="AYX19" s="310" t="s">
        <v>202</v>
      </c>
      <c r="AYY19" s="310" t="s">
        <v>202</v>
      </c>
      <c r="AYZ19" s="310" t="s">
        <v>202</v>
      </c>
      <c r="AZA19" s="310" t="s">
        <v>202</v>
      </c>
      <c r="AZB19" s="310" t="s">
        <v>202</v>
      </c>
      <c r="AZC19" s="310" t="s">
        <v>202</v>
      </c>
      <c r="AZD19" s="310" t="s">
        <v>202</v>
      </c>
      <c r="AZE19" s="310" t="s">
        <v>202</v>
      </c>
      <c r="AZF19" s="310" t="s">
        <v>202</v>
      </c>
      <c r="AZG19" s="310" t="s">
        <v>202</v>
      </c>
      <c r="AZH19" s="310" t="s">
        <v>202</v>
      </c>
      <c r="AZI19" s="310" t="s">
        <v>202</v>
      </c>
      <c r="AZJ19" s="310" t="s">
        <v>202</v>
      </c>
      <c r="AZK19" s="310" t="s">
        <v>202</v>
      </c>
      <c r="AZL19" s="310" t="s">
        <v>202</v>
      </c>
      <c r="AZM19" s="310" t="s">
        <v>202</v>
      </c>
      <c r="AZN19" s="310" t="s">
        <v>202</v>
      </c>
      <c r="AZO19" s="310" t="s">
        <v>202</v>
      </c>
      <c r="AZP19" s="310" t="s">
        <v>202</v>
      </c>
      <c r="AZQ19" s="310" t="s">
        <v>202</v>
      </c>
      <c r="AZR19" s="310" t="s">
        <v>202</v>
      </c>
      <c r="AZS19" s="310" t="s">
        <v>202</v>
      </c>
      <c r="AZT19" s="310" t="s">
        <v>202</v>
      </c>
      <c r="AZU19" s="310" t="s">
        <v>202</v>
      </c>
      <c r="AZV19" s="310" t="s">
        <v>202</v>
      </c>
      <c r="AZW19" s="310" t="s">
        <v>202</v>
      </c>
      <c r="AZX19" s="310" t="s">
        <v>202</v>
      </c>
      <c r="AZY19" s="310" t="s">
        <v>202</v>
      </c>
      <c r="AZZ19" s="310" t="s">
        <v>202</v>
      </c>
      <c r="BAA19" s="310" t="s">
        <v>202</v>
      </c>
      <c r="BAB19" s="310" t="s">
        <v>202</v>
      </c>
      <c r="BAC19" s="310" t="s">
        <v>202</v>
      </c>
      <c r="BAD19" s="310" t="s">
        <v>202</v>
      </c>
      <c r="BAE19" s="310" t="s">
        <v>202</v>
      </c>
      <c r="BAF19" s="310" t="s">
        <v>202</v>
      </c>
      <c r="BAG19" s="310" t="s">
        <v>202</v>
      </c>
      <c r="BAH19" s="310" t="s">
        <v>202</v>
      </c>
      <c r="BAI19" s="310" t="s">
        <v>202</v>
      </c>
      <c r="BAJ19" s="310" t="s">
        <v>202</v>
      </c>
      <c r="BAK19" s="310" t="s">
        <v>202</v>
      </c>
      <c r="BAL19" s="310" t="s">
        <v>202</v>
      </c>
      <c r="BAM19" s="310" t="s">
        <v>202</v>
      </c>
      <c r="BAN19" s="310" t="s">
        <v>202</v>
      </c>
      <c r="BAO19" s="310" t="s">
        <v>202</v>
      </c>
      <c r="BAP19" s="310" t="s">
        <v>202</v>
      </c>
      <c r="BAQ19" s="310" t="s">
        <v>202</v>
      </c>
      <c r="BAR19" s="310" t="s">
        <v>202</v>
      </c>
      <c r="BAS19" s="310" t="s">
        <v>202</v>
      </c>
      <c r="BAT19" s="310" t="s">
        <v>202</v>
      </c>
      <c r="BAU19" s="310" t="s">
        <v>202</v>
      </c>
      <c r="BAV19" s="310" t="s">
        <v>202</v>
      </c>
      <c r="BAW19" s="310" t="s">
        <v>202</v>
      </c>
      <c r="BAX19" s="310" t="s">
        <v>202</v>
      </c>
      <c r="BAY19" s="310" t="s">
        <v>202</v>
      </c>
      <c r="BAZ19" s="310" t="s">
        <v>202</v>
      </c>
      <c r="BBA19" s="310" t="s">
        <v>202</v>
      </c>
      <c r="BBB19" s="310" t="s">
        <v>202</v>
      </c>
      <c r="BBC19" s="310" t="s">
        <v>202</v>
      </c>
      <c r="BBD19" s="310" t="s">
        <v>202</v>
      </c>
      <c r="BBE19" s="310" t="s">
        <v>202</v>
      </c>
      <c r="BBF19" s="310" t="s">
        <v>202</v>
      </c>
      <c r="BBG19" s="310" t="s">
        <v>202</v>
      </c>
      <c r="BBH19" s="310" t="s">
        <v>202</v>
      </c>
      <c r="BBI19" s="310" t="s">
        <v>202</v>
      </c>
      <c r="BBJ19" s="310" t="s">
        <v>202</v>
      </c>
      <c r="BBK19" s="310" t="s">
        <v>202</v>
      </c>
      <c r="BBL19" s="310" t="s">
        <v>202</v>
      </c>
      <c r="BBM19" s="310" t="s">
        <v>202</v>
      </c>
      <c r="BBN19" s="310" t="s">
        <v>202</v>
      </c>
      <c r="BBO19" s="310" t="s">
        <v>202</v>
      </c>
      <c r="BBP19" s="310" t="s">
        <v>202</v>
      </c>
      <c r="BBQ19" s="310" t="s">
        <v>202</v>
      </c>
      <c r="BBR19" s="310" t="s">
        <v>202</v>
      </c>
      <c r="BBS19" s="310" t="s">
        <v>202</v>
      </c>
      <c r="BBT19" s="310" t="s">
        <v>202</v>
      </c>
      <c r="BBU19" s="310" t="s">
        <v>202</v>
      </c>
      <c r="BBV19" s="310" t="s">
        <v>202</v>
      </c>
      <c r="BBW19" s="310" t="s">
        <v>202</v>
      </c>
      <c r="BBX19" s="310" t="s">
        <v>202</v>
      </c>
      <c r="BBY19" s="310" t="s">
        <v>202</v>
      </c>
      <c r="BBZ19" s="310" t="s">
        <v>202</v>
      </c>
      <c r="BCA19" s="310" t="s">
        <v>202</v>
      </c>
      <c r="BCB19" s="310" t="s">
        <v>202</v>
      </c>
      <c r="BCC19" s="310" t="s">
        <v>202</v>
      </c>
      <c r="BCD19" s="310" t="s">
        <v>202</v>
      </c>
      <c r="BCE19" s="310" t="s">
        <v>202</v>
      </c>
      <c r="BCF19" s="310" t="s">
        <v>202</v>
      </c>
      <c r="BCG19" s="310" t="s">
        <v>202</v>
      </c>
      <c r="BCH19" s="310" t="s">
        <v>202</v>
      </c>
      <c r="BCI19" s="310" t="s">
        <v>202</v>
      </c>
      <c r="BCJ19" s="310" t="s">
        <v>202</v>
      </c>
      <c r="BCK19" s="310" t="s">
        <v>202</v>
      </c>
      <c r="BCL19" s="310" t="s">
        <v>202</v>
      </c>
      <c r="BCM19" s="310" t="s">
        <v>202</v>
      </c>
      <c r="BCN19" s="310" t="s">
        <v>202</v>
      </c>
      <c r="BCO19" s="310" t="s">
        <v>202</v>
      </c>
      <c r="BCP19" s="310" t="s">
        <v>202</v>
      </c>
      <c r="BCQ19" s="310" t="s">
        <v>202</v>
      </c>
      <c r="BCR19" s="310" t="s">
        <v>202</v>
      </c>
      <c r="BCS19" s="310" t="s">
        <v>202</v>
      </c>
      <c r="BCT19" s="310" t="s">
        <v>202</v>
      </c>
      <c r="BCU19" s="310" t="s">
        <v>202</v>
      </c>
      <c r="BCV19" s="310" t="s">
        <v>202</v>
      </c>
      <c r="BCW19" s="310" t="s">
        <v>202</v>
      </c>
      <c r="BCX19" s="310" t="s">
        <v>202</v>
      </c>
      <c r="BCY19" s="310" t="s">
        <v>202</v>
      </c>
      <c r="BCZ19" s="310" t="s">
        <v>202</v>
      </c>
      <c r="BDA19" s="310" t="s">
        <v>202</v>
      </c>
      <c r="BDB19" s="310" t="s">
        <v>202</v>
      </c>
      <c r="BDC19" s="310" t="s">
        <v>202</v>
      </c>
      <c r="BDD19" s="310" t="s">
        <v>202</v>
      </c>
      <c r="BDE19" s="310" t="s">
        <v>202</v>
      </c>
      <c r="BDF19" s="310" t="s">
        <v>202</v>
      </c>
      <c r="BDG19" s="310" t="s">
        <v>202</v>
      </c>
      <c r="BDH19" s="310" t="s">
        <v>202</v>
      </c>
      <c r="BDI19" s="310" t="s">
        <v>202</v>
      </c>
      <c r="BDJ19" s="310" t="s">
        <v>202</v>
      </c>
      <c r="BDK19" s="310" t="s">
        <v>202</v>
      </c>
      <c r="BDL19" s="310" t="s">
        <v>202</v>
      </c>
      <c r="BDM19" s="310" t="s">
        <v>202</v>
      </c>
      <c r="BDN19" s="310" t="s">
        <v>202</v>
      </c>
      <c r="BDO19" s="310" t="s">
        <v>202</v>
      </c>
      <c r="BDP19" s="310" t="s">
        <v>202</v>
      </c>
      <c r="BDQ19" s="310" t="s">
        <v>202</v>
      </c>
      <c r="BDR19" s="310" t="s">
        <v>202</v>
      </c>
      <c r="BDS19" s="310" t="s">
        <v>202</v>
      </c>
      <c r="BDT19" s="310" t="s">
        <v>202</v>
      </c>
      <c r="BDU19" s="310" t="s">
        <v>202</v>
      </c>
      <c r="BDV19" s="310" t="s">
        <v>202</v>
      </c>
      <c r="BDW19" s="310" t="s">
        <v>202</v>
      </c>
      <c r="BDX19" s="310" t="s">
        <v>202</v>
      </c>
      <c r="BDY19" s="310" t="s">
        <v>202</v>
      </c>
      <c r="BDZ19" s="310" t="s">
        <v>202</v>
      </c>
      <c r="BEA19" s="310" t="s">
        <v>202</v>
      </c>
      <c r="BEB19" s="310" t="s">
        <v>202</v>
      </c>
      <c r="BEC19" s="310" t="s">
        <v>202</v>
      </c>
      <c r="BED19" s="310" t="s">
        <v>202</v>
      </c>
      <c r="BEE19" s="310" t="s">
        <v>202</v>
      </c>
      <c r="BEF19" s="310" t="s">
        <v>202</v>
      </c>
      <c r="BEG19" s="310" t="s">
        <v>202</v>
      </c>
      <c r="BEH19" s="310" t="s">
        <v>202</v>
      </c>
      <c r="BEI19" s="310" t="s">
        <v>202</v>
      </c>
      <c r="BEJ19" s="310" t="s">
        <v>202</v>
      </c>
      <c r="BEK19" s="310" t="s">
        <v>202</v>
      </c>
      <c r="BEL19" s="310" t="s">
        <v>202</v>
      </c>
      <c r="BEM19" s="310" t="s">
        <v>202</v>
      </c>
      <c r="BEN19" s="310" t="s">
        <v>202</v>
      </c>
      <c r="BEO19" s="310" t="s">
        <v>202</v>
      </c>
      <c r="BEP19" s="310" t="s">
        <v>202</v>
      </c>
      <c r="BEQ19" s="310" t="s">
        <v>202</v>
      </c>
      <c r="BER19" s="310" t="s">
        <v>202</v>
      </c>
      <c r="BES19" s="310" t="s">
        <v>202</v>
      </c>
      <c r="BET19" s="310" t="s">
        <v>202</v>
      </c>
      <c r="BEU19" s="310" t="s">
        <v>202</v>
      </c>
      <c r="BEV19" s="310" t="s">
        <v>202</v>
      </c>
      <c r="BEW19" s="310" t="s">
        <v>202</v>
      </c>
      <c r="BEX19" s="310" t="s">
        <v>202</v>
      </c>
      <c r="BEY19" s="310" t="s">
        <v>202</v>
      </c>
      <c r="BEZ19" s="310" t="s">
        <v>202</v>
      </c>
      <c r="BFA19" s="310" t="s">
        <v>202</v>
      </c>
      <c r="BFB19" s="310" t="s">
        <v>202</v>
      </c>
      <c r="BFC19" s="310" t="s">
        <v>202</v>
      </c>
      <c r="BFD19" s="310" t="s">
        <v>202</v>
      </c>
      <c r="BFE19" s="310" t="s">
        <v>202</v>
      </c>
      <c r="BFF19" s="310" t="s">
        <v>202</v>
      </c>
      <c r="BFG19" s="310" t="s">
        <v>202</v>
      </c>
      <c r="BFH19" s="310" t="s">
        <v>202</v>
      </c>
      <c r="BFI19" s="310" t="s">
        <v>202</v>
      </c>
      <c r="BFJ19" s="310" t="s">
        <v>202</v>
      </c>
      <c r="BFK19" s="310" t="s">
        <v>202</v>
      </c>
      <c r="BFL19" s="310" t="s">
        <v>202</v>
      </c>
      <c r="BFM19" s="310" t="s">
        <v>202</v>
      </c>
      <c r="BFN19" s="310" t="s">
        <v>202</v>
      </c>
      <c r="BFO19" s="310" t="s">
        <v>202</v>
      </c>
      <c r="BFP19" s="310" t="s">
        <v>202</v>
      </c>
      <c r="BFQ19" s="310" t="s">
        <v>202</v>
      </c>
      <c r="BFR19" s="310" t="s">
        <v>202</v>
      </c>
      <c r="BFS19" s="310" t="s">
        <v>202</v>
      </c>
      <c r="BFT19" s="310" t="s">
        <v>202</v>
      </c>
      <c r="BFU19" s="310" t="s">
        <v>202</v>
      </c>
      <c r="BFV19" s="310" t="s">
        <v>202</v>
      </c>
      <c r="BFW19" s="310" t="s">
        <v>202</v>
      </c>
      <c r="BFX19" s="310" t="s">
        <v>202</v>
      </c>
      <c r="BFY19" s="310" t="s">
        <v>202</v>
      </c>
      <c r="BFZ19" s="310" t="s">
        <v>202</v>
      </c>
      <c r="BGA19" s="310" t="s">
        <v>202</v>
      </c>
      <c r="BGB19" s="310" t="s">
        <v>202</v>
      </c>
      <c r="BGC19" s="310" t="s">
        <v>202</v>
      </c>
      <c r="BGD19" s="310" t="s">
        <v>202</v>
      </c>
      <c r="BGE19" s="310" t="s">
        <v>202</v>
      </c>
      <c r="BGF19" s="310" t="s">
        <v>202</v>
      </c>
      <c r="BGG19" s="310" t="s">
        <v>202</v>
      </c>
      <c r="BGH19" s="310" t="s">
        <v>202</v>
      </c>
      <c r="BGI19" s="310" t="s">
        <v>202</v>
      </c>
      <c r="BGJ19" s="310" t="s">
        <v>202</v>
      </c>
      <c r="BGK19" s="310" t="s">
        <v>202</v>
      </c>
      <c r="BGL19" s="310" t="s">
        <v>202</v>
      </c>
      <c r="BGM19" s="310" t="s">
        <v>202</v>
      </c>
      <c r="BGN19" s="310" t="s">
        <v>202</v>
      </c>
      <c r="BGO19" s="310" t="s">
        <v>202</v>
      </c>
      <c r="BGP19" s="310" t="s">
        <v>202</v>
      </c>
      <c r="BGQ19" s="310" t="s">
        <v>202</v>
      </c>
      <c r="BGR19" s="310" t="s">
        <v>202</v>
      </c>
      <c r="BGS19" s="310" t="s">
        <v>202</v>
      </c>
      <c r="BGT19" s="310" t="s">
        <v>202</v>
      </c>
      <c r="BGU19" s="310" t="s">
        <v>202</v>
      </c>
      <c r="BGV19" s="310" t="s">
        <v>202</v>
      </c>
      <c r="BGW19" s="310" t="s">
        <v>202</v>
      </c>
      <c r="BGX19" s="310" t="s">
        <v>202</v>
      </c>
      <c r="BGY19" s="310" t="s">
        <v>202</v>
      </c>
      <c r="BGZ19" s="310" t="s">
        <v>202</v>
      </c>
      <c r="BHA19" s="310" t="s">
        <v>202</v>
      </c>
      <c r="BHB19" s="310" t="s">
        <v>202</v>
      </c>
      <c r="BHC19" s="310" t="s">
        <v>202</v>
      </c>
      <c r="BHD19" s="310" t="s">
        <v>202</v>
      </c>
      <c r="BHE19" s="310" t="s">
        <v>202</v>
      </c>
      <c r="BHF19" s="310" t="s">
        <v>202</v>
      </c>
      <c r="BHG19" s="310" t="s">
        <v>202</v>
      </c>
      <c r="BHH19" s="310" t="s">
        <v>202</v>
      </c>
      <c r="BHI19" s="310" t="s">
        <v>202</v>
      </c>
      <c r="BHJ19" s="310" t="s">
        <v>202</v>
      </c>
      <c r="BHK19" s="310" t="s">
        <v>202</v>
      </c>
      <c r="BHL19" s="310" t="s">
        <v>202</v>
      </c>
      <c r="BHM19" s="310" t="s">
        <v>202</v>
      </c>
      <c r="BHN19" s="310" t="s">
        <v>202</v>
      </c>
      <c r="BHO19" s="310" t="s">
        <v>202</v>
      </c>
      <c r="BHP19" s="310" t="s">
        <v>202</v>
      </c>
      <c r="BHQ19" s="310" t="s">
        <v>202</v>
      </c>
      <c r="BHR19" s="310" t="s">
        <v>202</v>
      </c>
      <c r="BHS19" s="310" t="s">
        <v>202</v>
      </c>
      <c r="BHT19" s="310" t="s">
        <v>202</v>
      </c>
      <c r="BHU19" s="310" t="s">
        <v>202</v>
      </c>
      <c r="BHV19" s="310" t="s">
        <v>202</v>
      </c>
      <c r="BHW19" s="310" t="s">
        <v>202</v>
      </c>
      <c r="BHX19" s="310" t="s">
        <v>202</v>
      </c>
      <c r="BHY19" s="310" t="s">
        <v>202</v>
      </c>
      <c r="BHZ19" s="310" t="s">
        <v>202</v>
      </c>
      <c r="BIA19" s="310" t="s">
        <v>202</v>
      </c>
      <c r="BIB19" s="310" t="s">
        <v>202</v>
      </c>
      <c r="BIC19" s="310" t="s">
        <v>202</v>
      </c>
      <c r="BID19" s="310" t="s">
        <v>202</v>
      </c>
      <c r="BIE19" s="310" t="s">
        <v>202</v>
      </c>
      <c r="BIF19" s="310" t="s">
        <v>202</v>
      </c>
      <c r="BIG19" s="310" t="s">
        <v>202</v>
      </c>
      <c r="BIH19" s="310" t="s">
        <v>202</v>
      </c>
      <c r="BII19" s="310" t="s">
        <v>202</v>
      </c>
      <c r="BIJ19" s="310" t="s">
        <v>202</v>
      </c>
      <c r="BIK19" s="310" t="s">
        <v>202</v>
      </c>
      <c r="BIL19" s="310" t="s">
        <v>202</v>
      </c>
      <c r="BIM19" s="310" t="s">
        <v>202</v>
      </c>
      <c r="BIN19" s="310" t="s">
        <v>202</v>
      </c>
      <c r="BIO19" s="310" t="s">
        <v>202</v>
      </c>
      <c r="BIP19" s="310" t="s">
        <v>202</v>
      </c>
      <c r="BIQ19" s="310" t="s">
        <v>202</v>
      </c>
      <c r="BIR19" s="310" t="s">
        <v>202</v>
      </c>
      <c r="BIS19" s="310" t="s">
        <v>202</v>
      </c>
      <c r="BIT19" s="310" t="s">
        <v>202</v>
      </c>
      <c r="BIU19" s="310" t="s">
        <v>202</v>
      </c>
      <c r="BIV19" s="310" t="s">
        <v>202</v>
      </c>
      <c r="BIW19" s="310" t="s">
        <v>202</v>
      </c>
      <c r="BIX19" s="310" t="s">
        <v>202</v>
      </c>
      <c r="BIY19" s="310" t="s">
        <v>202</v>
      </c>
      <c r="BIZ19" s="310" t="s">
        <v>202</v>
      </c>
      <c r="BJA19" s="310" t="s">
        <v>202</v>
      </c>
      <c r="BJB19" s="310" t="s">
        <v>202</v>
      </c>
      <c r="BJC19" s="310" t="s">
        <v>202</v>
      </c>
      <c r="BJD19" s="310" t="s">
        <v>202</v>
      </c>
      <c r="BJE19" s="310" t="s">
        <v>202</v>
      </c>
      <c r="BJF19" s="310" t="s">
        <v>202</v>
      </c>
      <c r="BJG19" s="310" t="s">
        <v>202</v>
      </c>
      <c r="BJH19" s="310" t="s">
        <v>202</v>
      </c>
      <c r="BJI19" s="310" t="s">
        <v>202</v>
      </c>
      <c r="BJJ19" s="310" t="s">
        <v>202</v>
      </c>
      <c r="BJK19" s="310" t="s">
        <v>202</v>
      </c>
      <c r="BJL19" s="310" t="s">
        <v>202</v>
      </c>
      <c r="BJM19" s="310" t="s">
        <v>202</v>
      </c>
      <c r="BJN19" s="310" t="s">
        <v>202</v>
      </c>
      <c r="BJO19" s="310" t="s">
        <v>202</v>
      </c>
      <c r="BJP19" s="310" t="s">
        <v>202</v>
      </c>
      <c r="BJQ19" s="310" t="s">
        <v>202</v>
      </c>
      <c r="BJR19" s="310" t="s">
        <v>202</v>
      </c>
      <c r="BJS19" s="310" t="s">
        <v>202</v>
      </c>
      <c r="BJT19" s="310" t="s">
        <v>202</v>
      </c>
      <c r="BJU19" s="310" t="s">
        <v>202</v>
      </c>
      <c r="BJV19" s="310" t="s">
        <v>202</v>
      </c>
      <c r="BJW19" s="310" t="s">
        <v>202</v>
      </c>
      <c r="BJX19" s="310" t="s">
        <v>202</v>
      </c>
      <c r="BJY19" s="310" t="s">
        <v>202</v>
      </c>
      <c r="BJZ19" s="310" t="s">
        <v>202</v>
      </c>
      <c r="BKA19" s="310" t="s">
        <v>202</v>
      </c>
      <c r="BKB19" s="310" t="s">
        <v>202</v>
      </c>
      <c r="BKC19" s="310" t="s">
        <v>202</v>
      </c>
      <c r="BKD19" s="310" t="s">
        <v>202</v>
      </c>
      <c r="BKE19" s="310" t="s">
        <v>202</v>
      </c>
      <c r="BKF19" s="310" t="s">
        <v>202</v>
      </c>
      <c r="BKG19" s="310" t="s">
        <v>202</v>
      </c>
      <c r="BKH19" s="310" t="s">
        <v>202</v>
      </c>
      <c r="BKI19" s="310" t="s">
        <v>202</v>
      </c>
      <c r="BKJ19" s="310" t="s">
        <v>202</v>
      </c>
      <c r="BKK19" s="310" t="s">
        <v>202</v>
      </c>
      <c r="BKL19" s="310" t="s">
        <v>202</v>
      </c>
      <c r="BKM19" s="310" t="s">
        <v>202</v>
      </c>
      <c r="BKN19" s="310" t="s">
        <v>202</v>
      </c>
      <c r="BKO19" s="310" t="s">
        <v>202</v>
      </c>
      <c r="BKP19" s="310" t="s">
        <v>202</v>
      </c>
      <c r="BKQ19" s="310" t="s">
        <v>202</v>
      </c>
      <c r="BKR19" s="310" t="s">
        <v>202</v>
      </c>
      <c r="BKS19" s="310" t="s">
        <v>202</v>
      </c>
      <c r="BKT19" s="310" t="s">
        <v>202</v>
      </c>
      <c r="BKU19" s="310" t="s">
        <v>202</v>
      </c>
      <c r="BKV19" s="310" t="s">
        <v>202</v>
      </c>
      <c r="BKW19" s="310" t="s">
        <v>202</v>
      </c>
      <c r="BKX19" s="310" t="s">
        <v>202</v>
      </c>
      <c r="BKY19" s="310" t="s">
        <v>202</v>
      </c>
      <c r="BKZ19" s="310" t="s">
        <v>202</v>
      </c>
      <c r="BLA19" s="310" t="s">
        <v>202</v>
      </c>
      <c r="BLB19" s="310" t="s">
        <v>202</v>
      </c>
      <c r="BLC19" s="310" t="s">
        <v>202</v>
      </c>
      <c r="BLD19" s="310" t="s">
        <v>202</v>
      </c>
      <c r="BLE19" s="310" t="s">
        <v>202</v>
      </c>
      <c r="BLF19" s="310" t="s">
        <v>202</v>
      </c>
      <c r="BLG19" s="310" t="s">
        <v>202</v>
      </c>
      <c r="BLH19" s="310" t="s">
        <v>202</v>
      </c>
      <c r="BLI19" s="310" t="s">
        <v>202</v>
      </c>
      <c r="BLJ19" s="310" t="s">
        <v>202</v>
      </c>
      <c r="BLK19" s="310" t="s">
        <v>202</v>
      </c>
      <c r="BLL19" s="310" t="s">
        <v>202</v>
      </c>
      <c r="BLM19" s="310" t="s">
        <v>202</v>
      </c>
      <c r="BLN19" s="310" t="s">
        <v>202</v>
      </c>
      <c r="BLO19" s="310" t="s">
        <v>202</v>
      </c>
      <c r="BLP19" s="310" t="s">
        <v>202</v>
      </c>
      <c r="BLQ19" s="310" t="s">
        <v>202</v>
      </c>
      <c r="BLR19" s="310" t="s">
        <v>202</v>
      </c>
      <c r="BLS19" s="310" t="s">
        <v>202</v>
      </c>
      <c r="BLT19" s="310" t="s">
        <v>202</v>
      </c>
      <c r="BLU19" s="310" t="s">
        <v>202</v>
      </c>
      <c r="BLV19" s="310" t="s">
        <v>202</v>
      </c>
      <c r="BLW19" s="310" t="s">
        <v>202</v>
      </c>
      <c r="BLX19" s="310" t="s">
        <v>202</v>
      </c>
      <c r="BLY19" s="310" t="s">
        <v>202</v>
      </c>
      <c r="BLZ19" s="310" t="s">
        <v>202</v>
      </c>
      <c r="BMA19" s="310" t="s">
        <v>202</v>
      </c>
      <c r="BMB19" s="310" t="s">
        <v>202</v>
      </c>
      <c r="BMC19" s="310" t="s">
        <v>202</v>
      </c>
      <c r="BMD19" s="310" t="s">
        <v>202</v>
      </c>
      <c r="BME19" s="310" t="s">
        <v>202</v>
      </c>
      <c r="BMF19" s="310" t="s">
        <v>202</v>
      </c>
      <c r="BMG19" s="310" t="s">
        <v>202</v>
      </c>
      <c r="BMH19" s="310" t="s">
        <v>202</v>
      </c>
      <c r="BMI19" s="310" t="s">
        <v>202</v>
      </c>
      <c r="BMJ19" s="310" t="s">
        <v>202</v>
      </c>
      <c r="BMK19" s="310" t="s">
        <v>202</v>
      </c>
      <c r="BML19" s="310" t="s">
        <v>202</v>
      </c>
      <c r="BMM19" s="310" t="s">
        <v>202</v>
      </c>
      <c r="BMN19" s="310" t="s">
        <v>202</v>
      </c>
      <c r="BMO19" s="310" t="s">
        <v>202</v>
      </c>
      <c r="BMP19" s="310" t="s">
        <v>202</v>
      </c>
      <c r="BMQ19" s="310" t="s">
        <v>202</v>
      </c>
      <c r="BMR19" s="310" t="s">
        <v>202</v>
      </c>
      <c r="BMS19" s="310" t="s">
        <v>202</v>
      </c>
      <c r="BMT19" s="310" t="s">
        <v>202</v>
      </c>
      <c r="BMU19" s="310" t="s">
        <v>202</v>
      </c>
      <c r="BMV19" s="310" t="s">
        <v>202</v>
      </c>
      <c r="BMW19" s="310" t="s">
        <v>202</v>
      </c>
      <c r="BMX19" s="310" t="s">
        <v>202</v>
      </c>
      <c r="BMY19" s="310" t="s">
        <v>202</v>
      </c>
      <c r="BMZ19" s="310" t="s">
        <v>202</v>
      </c>
      <c r="BNA19" s="310" t="s">
        <v>202</v>
      </c>
      <c r="BNB19" s="310" t="s">
        <v>202</v>
      </c>
      <c r="BNC19" s="310" t="s">
        <v>202</v>
      </c>
      <c r="BND19" s="310" t="s">
        <v>202</v>
      </c>
      <c r="BNE19" s="310" t="s">
        <v>202</v>
      </c>
      <c r="BNF19" s="310" t="s">
        <v>202</v>
      </c>
      <c r="BNG19" s="310" t="s">
        <v>202</v>
      </c>
      <c r="BNH19" s="310" t="s">
        <v>202</v>
      </c>
      <c r="BNI19" s="310" t="s">
        <v>202</v>
      </c>
      <c r="BNJ19" s="310" t="s">
        <v>202</v>
      </c>
      <c r="BNK19" s="310" t="s">
        <v>202</v>
      </c>
      <c r="BNL19" s="310" t="s">
        <v>202</v>
      </c>
      <c r="BNM19" s="310" t="s">
        <v>202</v>
      </c>
      <c r="BNN19" s="310" t="s">
        <v>202</v>
      </c>
      <c r="BNO19" s="310" t="s">
        <v>202</v>
      </c>
      <c r="BNP19" s="310" t="s">
        <v>202</v>
      </c>
      <c r="BNQ19" s="310" t="s">
        <v>202</v>
      </c>
      <c r="BNR19" s="310" t="s">
        <v>202</v>
      </c>
      <c r="BNS19" s="310" t="s">
        <v>202</v>
      </c>
      <c r="BNT19" s="310" t="s">
        <v>202</v>
      </c>
      <c r="BNU19" s="310" t="s">
        <v>202</v>
      </c>
      <c r="BNV19" s="310" t="s">
        <v>202</v>
      </c>
      <c r="BNW19" s="310" t="s">
        <v>202</v>
      </c>
      <c r="BNX19" s="310" t="s">
        <v>202</v>
      </c>
      <c r="BNY19" s="310" t="s">
        <v>202</v>
      </c>
      <c r="BNZ19" s="310" t="s">
        <v>202</v>
      </c>
      <c r="BOA19" s="310" t="s">
        <v>202</v>
      </c>
      <c r="BOB19" s="310" t="s">
        <v>202</v>
      </c>
      <c r="BOC19" s="310" t="s">
        <v>202</v>
      </c>
      <c r="BOD19" s="310" t="s">
        <v>202</v>
      </c>
      <c r="BOE19" s="310" t="s">
        <v>202</v>
      </c>
      <c r="BOF19" s="310" t="s">
        <v>202</v>
      </c>
      <c r="BOG19" s="310" t="s">
        <v>202</v>
      </c>
      <c r="BOH19" s="310" t="s">
        <v>202</v>
      </c>
      <c r="BOI19" s="310" t="s">
        <v>202</v>
      </c>
      <c r="BOJ19" s="310" t="s">
        <v>202</v>
      </c>
      <c r="BOK19" s="310" t="s">
        <v>202</v>
      </c>
      <c r="BOL19" s="310" t="s">
        <v>202</v>
      </c>
      <c r="BOM19" s="310" t="s">
        <v>202</v>
      </c>
      <c r="BON19" s="310" t="s">
        <v>202</v>
      </c>
      <c r="BOO19" s="310" t="s">
        <v>202</v>
      </c>
      <c r="BOP19" s="310" t="s">
        <v>202</v>
      </c>
      <c r="BOQ19" s="310" t="s">
        <v>202</v>
      </c>
      <c r="BOR19" s="310" t="s">
        <v>202</v>
      </c>
      <c r="BOS19" s="310" t="s">
        <v>202</v>
      </c>
      <c r="BOT19" s="310" t="s">
        <v>202</v>
      </c>
      <c r="BOU19" s="310" t="s">
        <v>202</v>
      </c>
      <c r="BOV19" s="310" t="s">
        <v>202</v>
      </c>
      <c r="BOW19" s="310" t="s">
        <v>202</v>
      </c>
      <c r="BOX19" s="310" t="s">
        <v>202</v>
      </c>
      <c r="BOY19" s="310" t="s">
        <v>202</v>
      </c>
      <c r="BOZ19" s="310" t="s">
        <v>202</v>
      </c>
      <c r="BPA19" s="310" t="s">
        <v>202</v>
      </c>
      <c r="BPB19" s="310" t="s">
        <v>202</v>
      </c>
      <c r="BPC19" s="310" t="s">
        <v>202</v>
      </c>
      <c r="BPD19" s="310" t="s">
        <v>202</v>
      </c>
      <c r="BPE19" s="310" t="s">
        <v>202</v>
      </c>
      <c r="BPF19" s="310" t="s">
        <v>202</v>
      </c>
      <c r="BPG19" s="310" t="s">
        <v>202</v>
      </c>
      <c r="BPH19" s="310" t="s">
        <v>202</v>
      </c>
      <c r="BPI19" s="310" t="s">
        <v>202</v>
      </c>
      <c r="BPJ19" s="310" t="s">
        <v>202</v>
      </c>
      <c r="BPK19" s="310" t="s">
        <v>202</v>
      </c>
      <c r="BPL19" s="310" t="s">
        <v>202</v>
      </c>
      <c r="BPM19" s="310" t="s">
        <v>202</v>
      </c>
      <c r="BPN19" s="310" t="s">
        <v>202</v>
      </c>
      <c r="BPO19" s="310" t="s">
        <v>202</v>
      </c>
      <c r="BPP19" s="310" t="s">
        <v>202</v>
      </c>
      <c r="BPQ19" s="310" t="s">
        <v>202</v>
      </c>
      <c r="BPR19" s="310" t="s">
        <v>202</v>
      </c>
      <c r="BPS19" s="310" t="s">
        <v>202</v>
      </c>
      <c r="BPT19" s="310" t="s">
        <v>202</v>
      </c>
      <c r="BPU19" s="310" t="s">
        <v>202</v>
      </c>
      <c r="BPV19" s="310" t="s">
        <v>202</v>
      </c>
      <c r="BPW19" s="310" t="s">
        <v>202</v>
      </c>
      <c r="BPX19" s="310" t="s">
        <v>202</v>
      </c>
      <c r="BPY19" s="310" t="s">
        <v>202</v>
      </c>
      <c r="BPZ19" s="310" t="s">
        <v>202</v>
      </c>
      <c r="BQA19" s="310" t="s">
        <v>202</v>
      </c>
      <c r="BQB19" s="310" t="s">
        <v>202</v>
      </c>
      <c r="BQC19" s="310" t="s">
        <v>202</v>
      </c>
      <c r="BQD19" s="310" t="s">
        <v>202</v>
      </c>
      <c r="BQE19" s="310" t="s">
        <v>202</v>
      </c>
      <c r="BQF19" s="310" t="s">
        <v>202</v>
      </c>
      <c r="BQG19" s="310" t="s">
        <v>202</v>
      </c>
      <c r="BQH19" s="310" t="s">
        <v>202</v>
      </c>
      <c r="BQI19" s="310" t="s">
        <v>202</v>
      </c>
      <c r="BQJ19" s="310" t="s">
        <v>202</v>
      </c>
      <c r="BQK19" s="310" t="s">
        <v>202</v>
      </c>
      <c r="BQL19" s="310" t="s">
        <v>202</v>
      </c>
      <c r="BQM19" s="310" t="s">
        <v>202</v>
      </c>
      <c r="BQN19" s="310" t="s">
        <v>202</v>
      </c>
      <c r="BQO19" s="310" t="s">
        <v>202</v>
      </c>
      <c r="BQP19" s="310" t="s">
        <v>202</v>
      </c>
      <c r="BQQ19" s="310" t="s">
        <v>202</v>
      </c>
      <c r="BQR19" s="310" t="s">
        <v>202</v>
      </c>
      <c r="BQS19" s="310" t="s">
        <v>202</v>
      </c>
      <c r="BQT19" s="310" t="s">
        <v>202</v>
      </c>
      <c r="BQU19" s="310" t="s">
        <v>202</v>
      </c>
      <c r="BQV19" s="310" t="s">
        <v>202</v>
      </c>
      <c r="BQW19" s="310" t="s">
        <v>202</v>
      </c>
      <c r="BQX19" s="310" t="s">
        <v>202</v>
      </c>
      <c r="BQY19" s="310" t="s">
        <v>202</v>
      </c>
      <c r="BQZ19" s="310" t="s">
        <v>202</v>
      </c>
      <c r="BRA19" s="310" t="s">
        <v>202</v>
      </c>
      <c r="BRB19" s="310" t="s">
        <v>202</v>
      </c>
      <c r="BRC19" s="310" t="s">
        <v>202</v>
      </c>
      <c r="BRD19" s="310" t="s">
        <v>202</v>
      </c>
      <c r="BRE19" s="310" t="s">
        <v>202</v>
      </c>
      <c r="BRF19" s="310" t="s">
        <v>202</v>
      </c>
      <c r="BRG19" s="310" t="s">
        <v>202</v>
      </c>
      <c r="BRH19" s="310" t="s">
        <v>202</v>
      </c>
      <c r="BRI19" s="310" t="s">
        <v>202</v>
      </c>
      <c r="BRJ19" s="310" t="s">
        <v>202</v>
      </c>
      <c r="BRK19" s="310" t="s">
        <v>202</v>
      </c>
      <c r="BRL19" s="310" t="s">
        <v>202</v>
      </c>
      <c r="BRM19" s="310" t="s">
        <v>202</v>
      </c>
      <c r="BRN19" s="310" t="s">
        <v>202</v>
      </c>
      <c r="BRO19" s="310" t="s">
        <v>202</v>
      </c>
      <c r="BRP19" s="310" t="s">
        <v>202</v>
      </c>
      <c r="BRQ19" s="310" t="s">
        <v>202</v>
      </c>
      <c r="BRR19" s="310" t="s">
        <v>202</v>
      </c>
      <c r="BRS19" s="310" t="s">
        <v>202</v>
      </c>
      <c r="BRT19" s="310" t="s">
        <v>202</v>
      </c>
      <c r="BRU19" s="310" t="s">
        <v>202</v>
      </c>
      <c r="BRV19" s="310" t="s">
        <v>202</v>
      </c>
      <c r="BRW19" s="310" t="s">
        <v>202</v>
      </c>
      <c r="BRX19" s="310" t="s">
        <v>202</v>
      </c>
      <c r="BRY19" s="310" t="s">
        <v>202</v>
      </c>
      <c r="BRZ19" s="310" t="s">
        <v>202</v>
      </c>
      <c r="BSA19" s="310" t="s">
        <v>202</v>
      </c>
      <c r="BSB19" s="310" t="s">
        <v>202</v>
      </c>
      <c r="BSC19" s="310" t="s">
        <v>202</v>
      </c>
      <c r="BSD19" s="310" t="s">
        <v>202</v>
      </c>
      <c r="BSE19" s="310" t="s">
        <v>202</v>
      </c>
      <c r="BSF19" s="310" t="s">
        <v>202</v>
      </c>
      <c r="BSG19" s="310" t="s">
        <v>202</v>
      </c>
      <c r="BSH19" s="310" t="s">
        <v>202</v>
      </c>
      <c r="BSI19" s="310" t="s">
        <v>202</v>
      </c>
      <c r="BSJ19" s="310" t="s">
        <v>202</v>
      </c>
      <c r="BSK19" s="310" t="s">
        <v>202</v>
      </c>
      <c r="BSL19" s="310" t="s">
        <v>202</v>
      </c>
      <c r="BSM19" s="310" t="s">
        <v>202</v>
      </c>
      <c r="BSN19" s="310" t="s">
        <v>202</v>
      </c>
      <c r="BSO19" s="310" t="s">
        <v>202</v>
      </c>
      <c r="BSP19" s="310" t="s">
        <v>202</v>
      </c>
      <c r="BSQ19" s="310" t="s">
        <v>202</v>
      </c>
      <c r="BSR19" s="310" t="s">
        <v>202</v>
      </c>
      <c r="BSS19" s="310" t="s">
        <v>202</v>
      </c>
      <c r="BST19" s="310" t="s">
        <v>202</v>
      </c>
      <c r="BSU19" s="310" t="s">
        <v>202</v>
      </c>
      <c r="BSV19" s="310" t="s">
        <v>202</v>
      </c>
      <c r="BSW19" s="310" t="s">
        <v>202</v>
      </c>
      <c r="BSX19" s="310" t="s">
        <v>202</v>
      </c>
      <c r="BSY19" s="310" t="s">
        <v>202</v>
      </c>
      <c r="BSZ19" s="310" t="s">
        <v>202</v>
      </c>
      <c r="BTA19" s="310" t="s">
        <v>202</v>
      </c>
      <c r="BTB19" s="310" t="s">
        <v>202</v>
      </c>
      <c r="BTC19" s="310" t="s">
        <v>202</v>
      </c>
      <c r="BTD19" s="310" t="s">
        <v>202</v>
      </c>
      <c r="BTE19" s="310" t="s">
        <v>202</v>
      </c>
      <c r="BTF19" s="310" t="s">
        <v>202</v>
      </c>
      <c r="BTG19" s="310" t="s">
        <v>202</v>
      </c>
      <c r="BTH19" s="310" t="s">
        <v>202</v>
      </c>
      <c r="BTI19" s="310" t="s">
        <v>202</v>
      </c>
      <c r="BTJ19" s="310" t="s">
        <v>202</v>
      </c>
      <c r="BTK19" s="310" t="s">
        <v>202</v>
      </c>
      <c r="BTL19" s="310" t="s">
        <v>202</v>
      </c>
      <c r="BTM19" s="310" t="s">
        <v>202</v>
      </c>
      <c r="BTN19" s="310" t="s">
        <v>202</v>
      </c>
      <c r="BTO19" s="310" t="s">
        <v>202</v>
      </c>
      <c r="BTP19" s="310" t="s">
        <v>202</v>
      </c>
      <c r="BTQ19" s="310" t="s">
        <v>202</v>
      </c>
      <c r="BTR19" s="310" t="s">
        <v>202</v>
      </c>
      <c r="BTS19" s="310" t="s">
        <v>202</v>
      </c>
      <c r="BTT19" s="310" t="s">
        <v>202</v>
      </c>
      <c r="BTU19" s="310" t="s">
        <v>202</v>
      </c>
      <c r="BTV19" s="310" t="s">
        <v>202</v>
      </c>
      <c r="BTW19" s="310" t="s">
        <v>202</v>
      </c>
      <c r="BTX19" s="310" t="s">
        <v>202</v>
      </c>
      <c r="BTY19" s="310" t="s">
        <v>202</v>
      </c>
      <c r="BTZ19" s="310" t="s">
        <v>202</v>
      </c>
      <c r="BUA19" s="310" t="s">
        <v>202</v>
      </c>
      <c r="BUB19" s="310" t="s">
        <v>202</v>
      </c>
      <c r="BUC19" s="310" t="s">
        <v>202</v>
      </c>
      <c r="BUD19" s="310" t="s">
        <v>202</v>
      </c>
      <c r="BUE19" s="310" t="s">
        <v>202</v>
      </c>
      <c r="BUF19" s="310" t="s">
        <v>202</v>
      </c>
      <c r="BUG19" s="310" t="s">
        <v>202</v>
      </c>
      <c r="BUH19" s="310" t="s">
        <v>202</v>
      </c>
      <c r="BUI19" s="310" t="s">
        <v>202</v>
      </c>
      <c r="BUJ19" s="310" t="s">
        <v>202</v>
      </c>
      <c r="BUK19" s="310" t="s">
        <v>202</v>
      </c>
      <c r="BUL19" s="310" t="s">
        <v>202</v>
      </c>
      <c r="BUM19" s="310" t="s">
        <v>202</v>
      </c>
      <c r="BUN19" s="310" t="s">
        <v>202</v>
      </c>
      <c r="BUO19" s="310" t="s">
        <v>202</v>
      </c>
      <c r="BUP19" s="310" t="s">
        <v>202</v>
      </c>
      <c r="BUQ19" s="310" t="s">
        <v>202</v>
      </c>
      <c r="BUR19" s="310" t="s">
        <v>202</v>
      </c>
      <c r="BUS19" s="310" t="s">
        <v>202</v>
      </c>
      <c r="BUT19" s="310" t="s">
        <v>202</v>
      </c>
      <c r="BUU19" s="310" t="s">
        <v>202</v>
      </c>
      <c r="BUV19" s="310" t="s">
        <v>202</v>
      </c>
      <c r="BUW19" s="310" t="s">
        <v>202</v>
      </c>
      <c r="BUX19" s="310" t="s">
        <v>202</v>
      </c>
      <c r="BUY19" s="310" t="s">
        <v>202</v>
      </c>
      <c r="BUZ19" s="310" t="s">
        <v>202</v>
      </c>
      <c r="BVA19" s="310" t="s">
        <v>202</v>
      </c>
      <c r="BVB19" s="310" t="s">
        <v>202</v>
      </c>
      <c r="BVC19" s="310" t="s">
        <v>202</v>
      </c>
      <c r="BVD19" s="310" t="s">
        <v>202</v>
      </c>
      <c r="BVE19" s="310" t="s">
        <v>202</v>
      </c>
      <c r="BVF19" s="310" t="s">
        <v>202</v>
      </c>
      <c r="BVG19" s="310" t="s">
        <v>202</v>
      </c>
      <c r="BVH19" s="310" t="s">
        <v>202</v>
      </c>
      <c r="BVI19" s="310" t="s">
        <v>202</v>
      </c>
      <c r="BVJ19" s="310" t="s">
        <v>202</v>
      </c>
      <c r="BVK19" s="310" t="s">
        <v>202</v>
      </c>
      <c r="BVL19" s="310" t="s">
        <v>202</v>
      </c>
      <c r="BVM19" s="310" t="s">
        <v>202</v>
      </c>
      <c r="BVN19" s="310" t="s">
        <v>202</v>
      </c>
      <c r="BVO19" s="310" t="s">
        <v>202</v>
      </c>
      <c r="BVP19" s="310" t="s">
        <v>202</v>
      </c>
      <c r="BVQ19" s="310" t="s">
        <v>202</v>
      </c>
      <c r="BVR19" s="310" t="s">
        <v>202</v>
      </c>
      <c r="BVS19" s="310" t="s">
        <v>202</v>
      </c>
      <c r="BVT19" s="310" t="s">
        <v>202</v>
      </c>
      <c r="BVU19" s="310" t="s">
        <v>202</v>
      </c>
      <c r="BVV19" s="310" t="s">
        <v>202</v>
      </c>
      <c r="BVW19" s="310" t="s">
        <v>202</v>
      </c>
      <c r="BVX19" s="310" t="s">
        <v>202</v>
      </c>
      <c r="BVY19" s="310" t="s">
        <v>202</v>
      </c>
      <c r="BVZ19" s="310" t="s">
        <v>202</v>
      </c>
      <c r="BWA19" s="310" t="s">
        <v>202</v>
      </c>
      <c r="BWB19" s="310" t="s">
        <v>202</v>
      </c>
      <c r="BWC19" s="310" t="s">
        <v>202</v>
      </c>
      <c r="BWD19" s="310" t="s">
        <v>202</v>
      </c>
      <c r="BWE19" s="310" t="s">
        <v>202</v>
      </c>
      <c r="BWF19" s="310" t="s">
        <v>202</v>
      </c>
      <c r="BWG19" s="310" t="s">
        <v>202</v>
      </c>
      <c r="BWH19" s="310" t="s">
        <v>202</v>
      </c>
      <c r="BWI19" s="310" t="s">
        <v>202</v>
      </c>
      <c r="BWJ19" s="310" t="s">
        <v>202</v>
      </c>
      <c r="BWK19" s="310" t="s">
        <v>202</v>
      </c>
      <c r="BWL19" s="310" t="s">
        <v>202</v>
      </c>
      <c r="BWM19" s="310" t="s">
        <v>202</v>
      </c>
      <c r="BWN19" s="310" t="s">
        <v>202</v>
      </c>
      <c r="BWO19" s="310" t="s">
        <v>202</v>
      </c>
      <c r="BWP19" s="310" t="s">
        <v>202</v>
      </c>
      <c r="BWQ19" s="310" t="s">
        <v>202</v>
      </c>
      <c r="BWR19" s="310" t="s">
        <v>202</v>
      </c>
      <c r="BWS19" s="310" t="s">
        <v>202</v>
      </c>
      <c r="BWT19" s="310" t="s">
        <v>202</v>
      </c>
      <c r="BWU19" s="310" t="s">
        <v>202</v>
      </c>
      <c r="BWV19" s="310" t="s">
        <v>202</v>
      </c>
      <c r="BWW19" s="310" t="s">
        <v>202</v>
      </c>
      <c r="BWX19" s="310" t="s">
        <v>202</v>
      </c>
      <c r="BWY19" s="310" t="s">
        <v>202</v>
      </c>
      <c r="BWZ19" s="310" t="s">
        <v>202</v>
      </c>
      <c r="BXA19" s="310" t="s">
        <v>202</v>
      </c>
      <c r="BXB19" s="310" t="s">
        <v>202</v>
      </c>
      <c r="BXC19" s="310" t="s">
        <v>202</v>
      </c>
      <c r="BXD19" s="310" t="s">
        <v>202</v>
      </c>
      <c r="BXE19" s="310" t="s">
        <v>202</v>
      </c>
      <c r="BXF19" s="310" t="s">
        <v>202</v>
      </c>
      <c r="BXG19" s="310" t="s">
        <v>202</v>
      </c>
      <c r="BXH19" s="310" t="s">
        <v>202</v>
      </c>
      <c r="BXI19" s="310" t="s">
        <v>202</v>
      </c>
      <c r="BXJ19" s="310" t="s">
        <v>202</v>
      </c>
      <c r="BXK19" s="310" t="s">
        <v>202</v>
      </c>
      <c r="BXL19" s="310" t="s">
        <v>202</v>
      </c>
      <c r="BXM19" s="310" t="s">
        <v>202</v>
      </c>
      <c r="BXN19" s="310" t="s">
        <v>202</v>
      </c>
      <c r="BXO19" s="310" t="s">
        <v>202</v>
      </c>
      <c r="BXP19" s="310" t="s">
        <v>202</v>
      </c>
      <c r="BXQ19" s="310" t="s">
        <v>202</v>
      </c>
      <c r="BXR19" s="310" t="s">
        <v>202</v>
      </c>
      <c r="BXS19" s="310" t="s">
        <v>202</v>
      </c>
      <c r="BXT19" s="310" t="s">
        <v>202</v>
      </c>
      <c r="BXU19" s="310" t="s">
        <v>202</v>
      </c>
      <c r="BXV19" s="310" t="s">
        <v>202</v>
      </c>
      <c r="BXW19" s="310" t="s">
        <v>202</v>
      </c>
      <c r="BXX19" s="310" t="s">
        <v>202</v>
      </c>
      <c r="BXY19" s="310" t="s">
        <v>202</v>
      </c>
      <c r="BXZ19" s="310" t="s">
        <v>202</v>
      </c>
      <c r="BYA19" s="310" t="s">
        <v>202</v>
      </c>
      <c r="BYB19" s="310" t="s">
        <v>202</v>
      </c>
      <c r="BYC19" s="310" t="s">
        <v>202</v>
      </c>
      <c r="BYD19" s="310" t="s">
        <v>202</v>
      </c>
      <c r="BYE19" s="310" t="s">
        <v>202</v>
      </c>
      <c r="BYF19" s="310" t="s">
        <v>202</v>
      </c>
      <c r="BYG19" s="310" t="s">
        <v>202</v>
      </c>
      <c r="BYH19" s="310" t="s">
        <v>202</v>
      </c>
      <c r="BYI19" s="310" t="s">
        <v>202</v>
      </c>
      <c r="BYJ19" s="310" t="s">
        <v>202</v>
      </c>
      <c r="BYK19" s="310" t="s">
        <v>202</v>
      </c>
      <c r="BYL19" s="310" t="s">
        <v>202</v>
      </c>
      <c r="BYM19" s="310" t="s">
        <v>202</v>
      </c>
      <c r="BYN19" s="310" t="s">
        <v>202</v>
      </c>
      <c r="BYO19" s="310" t="s">
        <v>202</v>
      </c>
      <c r="BYP19" s="310" t="s">
        <v>202</v>
      </c>
      <c r="BYQ19" s="310" t="s">
        <v>202</v>
      </c>
      <c r="BYR19" s="310" t="s">
        <v>202</v>
      </c>
      <c r="BYS19" s="310" t="s">
        <v>202</v>
      </c>
      <c r="BYT19" s="310" t="s">
        <v>202</v>
      </c>
      <c r="BYU19" s="310" t="s">
        <v>202</v>
      </c>
      <c r="BYV19" s="310" t="s">
        <v>202</v>
      </c>
      <c r="BYW19" s="310" t="s">
        <v>202</v>
      </c>
      <c r="BYX19" s="310" t="s">
        <v>202</v>
      </c>
      <c r="BYY19" s="310" t="s">
        <v>202</v>
      </c>
      <c r="BYZ19" s="310" t="s">
        <v>202</v>
      </c>
      <c r="BZA19" s="310" t="s">
        <v>202</v>
      </c>
      <c r="BZB19" s="310" t="s">
        <v>202</v>
      </c>
      <c r="BZC19" s="310" t="s">
        <v>202</v>
      </c>
      <c r="BZD19" s="310" t="s">
        <v>202</v>
      </c>
      <c r="BZE19" s="310" t="s">
        <v>202</v>
      </c>
      <c r="BZF19" s="310" t="s">
        <v>202</v>
      </c>
      <c r="BZG19" s="310" t="s">
        <v>202</v>
      </c>
      <c r="BZH19" s="310" t="s">
        <v>202</v>
      </c>
      <c r="BZI19" s="310" t="s">
        <v>202</v>
      </c>
      <c r="BZJ19" s="310" t="s">
        <v>202</v>
      </c>
      <c r="BZK19" s="310" t="s">
        <v>202</v>
      </c>
      <c r="BZL19" s="310" t="s">
        <v>202</v>
      </c>
      <c r="BZM19" s="310" t="s">
        <v>202</v>
      </c>
      <c r="BZN19" s="310" t="s">
        <v>202</v>
      </c>
      <c r="BZO19" s="310" t="s">
        <v>202</v>
      </c>
      <c r="BZP19" s="310" t="s">
        <v>202</v>
      </c>
      <c r="BZQ19" s="310" t="s">
        <v>202</v>
      </c>
      <c r="BZR19" s="310" t="s">
        <v>202</v>
      </c>
      <c r="BZS19" s="310" t="s">
        <v>202</v>
      </c>
      <c r="BZT19" s="310" t="s">
        <v>202</v>
      </c>
      <c r="BZU19" s="310" t="s">
        <v>202</v>
      </c>
      <c r="BZV19" s="310" t="s">
        <v>202</v>
      </c>
      <c r="BZW19" s="310" t="s">
        <v>202</v>
      </c>
      <c r="BZX19" s="310" t="s">
        <v>202</v>
      </c>
      <c r="BZY19" s="310" t="s">
        <v>202</v>
      </c>
      <c r="BZZ19" s="310" t="s">
        <v>202</v>
      </c>
      <c r="CAA19" s="310" t="s">
        <v>202</v>
      </c>
      <c r="CAB19" s="310" t="s">
        <v>202</v>
      </c>
      <c r="CAC19" s="310" t="s">
        <v>202</v>
      </c>
      <c r="CAD19" s="310" t="s">
        <v>202</v>
      </c>
      <c r="CAE19" s="310" t="s">
        <v>202</v>
      </c>
      <c r="CAF19" s="310" t="s">
        <v>202</v>
      </c>
      <c r="CAG19" s="310" t="s">
        <v>202</v>
      </c>
      <c r="CAH19" s="310" t="s">
        <v>202</v>
      </c>
      <c r="CAI19" s="310" t="s">
        <v>202</v>
      </c>
      <c r="CAJ19" s="310" t="s">
        <v>202</v>
      </c>
      <c r="CAK19" s="310" t="s">
        <v>202</v>
      </c>
      <c r="CAL19" s="310" t="s">
        <v>202</v>
      </c>
      <c r="CAM19" s="310" t="s">
        <v>202</v>
      </c>
      <c r="CAN19" s="310" t="s">
        <v>202</v>
      </c>
      <c r="CAO19" s="310" t="s">
        <v>202</v>
      </c>
      <c r="CAP19" s="310" t="s">
        <v>202</v>
      </c>
      <c r="CAQ19" s="310" t="s">
        <v>202</v>
      </c>
      <c r="CAR19" s="310" t="s">
        <v>202</v>
      </c>
      <c r="CAS19" s="310" t="s">
        <v>202</v>
      </c>
      <c r="CAT19" s="310" t="s">
        <v>202</v>
      </c>
      <c r="CAU19" s="310" t="s">
        <v>202</v>
      </c>
      <c r="CAV19" s="310" t="s">
        <v>202</v>
      </c>
      <c r="CAW19" s="310" t="s">
        <v>202</v>
      </c>
      <c r="CAX19" s="310" t="s">
        <v>202</v>
      </c>
      <c r="CAY19" s="310" t="s">
        <v>202</v>
      </c>
      <c r="CAZ19" s="310" t="s">
        <v>202</v>
      </c>
      <c r="CBA19" s="310" t="s">
        <v>202</v>
      </c>
      <c r="CBB19" s="310" t="s">
        <v>202</v>
      </c>
      <c r="CBC19" s="310" t="s">
        <v>202</v>
      </c>
      <c r="CBD19" s="310" t="s">
        <v>202</v>
      </c>
      <c r="CBE19" s="310" t="s">
        <v>202</v>
      </c>
      <c r="CBF19" s="310" t="s">
        <v>202</v>
      </c>
      <c r="CBG19" s="310" t="s">
        <v>202</v>
      </c>
      <c r="CBH19" s="310" t="s">
        <v>202</v>
      </c>
      <c r="CBI19" s="310" t="s">
        <v>202</v>
      </c>
      <c r="CBJ19" s="310" t="s">
        <v>202</v>
      </c>
      <c r="CBK19" s="310" t="s">
        <v>202</v>
      </c>
      <c r="CBL19" s="310" t="s">
        <v>202</v>
      </c>
      <c r="CBM19" s="310" t="s">
        <v>202</v>
      </c>
      <c r="CBN19" s="310" t="s">
        <v>202</v>
      </c>
      <c r="CBO19" s="310" t="s">
        <v>202</v>
      </c>
      <c r="CBP19" s="310" t="s">
        <v>202</v>
      </c>
      <c r="CBQ19" s="310" t="s">
        <v>202</v>
      </c>
      <c r="CBR19" s="310" t="s">
        <v>202</v>
      </c>
      <c r="CBS19" s="310" t="s">
        <v>202</v>
      </c>
      <c r="CBT19" s="310" t="s">
        <v>202</v>
      </c>
      <c r="CBU19" s="310" t="s">
        <v>202</v>
      </c>
      <c r="CBV19" s="310" t="s">
        <v>202</v>
      </c>
      <c r="CBW19" s="310" t="s">
        <v>202</v>
      </c>
      <c r="CBX19" s="310" t="s">
        <v>202</v>
      </c>
      <c r="CBY19" s="310" t="s">
        <v>202</v>
      </c>
      <c r="CBZ19" s="310" t="s">
        <v>202</v>
      </c>
      <c r="CCA19" s="310" t="s">
        <v>202</v>
      </c>
      <c r="CCB19" s="310" t="s">
        <v>202</v>
      </c>
      <c r="CCC19" s="310" t="s">
        <v>202</v>
      </c>
      <c r="CCD19" s="310" t="s">
        <v>202</v>
      </c>
      <c r="CCE19" s="310" t="s">
        <v>202</v>
      </c>
      <c r="CCF19" s="310" t="s">
        <v>202</v>
      </c>
      <c r="CCG19" s="310" t="s">
        <v>202</v>
      </c>
      <c r="CCH19" s="310" t="s">
        <v>202</v>
      </c>
      <c r="CCI19" s="310" t="s">
        <v>202</v>
      </c>
      <c r="CCJ19" s="310" t="s">
        <v>202</v>
      </c>
      <c r="CCK19" s="310" t="s">
        <v>202</v>
      </c>
      <c r="CCL19" s="310" t="s">
        <v>202</v>
      </c>
      <c r="CCM19" s="310" t="s">
        <v>202</v>
      </c>
      <c r="CCN19" s="310" t="s">
        <v>202</v>
      </c>
      <c r="CCO19" s="310" t="s">
        <v>202</v>
      </c>
      <c r="CCP19" s="310" t="s">
        <v>202</v>
      </c>
      <c r="CCQ19" s="310" t="s">
        <v>202</v>
      </c>
      <c r="CCR19" s="310" t="s">
        <v>202</v>
      </c>
      <c r="CCS19" s="310" t="s">
        <v>202</v>
      </c>
      <c r="CCT19" s="310" t="s">
        <v>202</v>
      </c>
      <c r="CCU19" s="310" t="s">
        <v>202</v>
      </c>
      <c r="CCV19" s="310" t="s">
        <v>202</v>
      </c>
      <c r="CCW19" s="310" t="s">
        <v>202</v>
      </c>
      <c r="CCX19" s="310" t="s">
        <v>202</v>
      </c>
      <c r="CCY19" s="310" t="s">
        <v>202</v>
      </c>
      <c r="CCZ19" s="310" t="s">
        <v>202</v>
      </c>
      <c r="CDA19" s="310" t="s">
        <v>202</v>
      </c>
      <c r="CDB19" s="310" t="s">
        <v>202</v>
      </c>
      <c r="CDC19" s="310" t="s">
        <v>202</v>
      </c>
      <c r="CDD19" s="310" t="s">
        <v>202</v>
      </c>
      <c r="CDE19" s="310" t="s">
        <v>202</v>
      </c>
      <c r="CDF19" s="310" t="s">
        <v>202</v>
      </c>
      <c r="CDG19" s="310" t="s">
        <v>202</v>
      </c>
      <c r="CDH19" s="310" t="s">
        <v>202</v>
      </c>
      <c r="CDI19" s="310" t="s">
        <v>202</v>
      </c>
      <c r="CDJ19" s="310" t="s">
        <v>202</v>
      </c>
      <c r="CDK19" s="310" t="s">
        <v>202</v>
      </c>
      <c r="CDL19" s="310" t="s">
        <v>202</v>
      </c>
      <c r="CDM19" s="310" t="s">
        <v>202</v>
      </c>
      <c r="CDN19" s="310" t="s">
        <v>202</v>
      </c>
      <c r="CDO19" s="310" t="s">
        <v>202</v>
      </c>
      <c r="CDP19" s="310" t="s">
        <v>202</v>
      </c>
      <c r="CDQ19" s="310" t="s">
        <v>202</v>
      </c>
      <c r="CDR19" s="310" t="s">
        <v>202</v>
      </c>
      <c r="CDS19" s="310" t="s">
        <v>202</v>
      </c>
      <c r="CDT19" s="310" t="s">
        <v>202</v>
      </c>
      <c r="CDU19" s="310" t="s">
        <v>202</v>
      </c>
      <c r="CDV19" s="310" t="s">
        <v>202</v>
      </c>
      <c r="CDW19" s="310" t="s">
        <v>202</v>
      </c>
      <c r="CDX19" s="310" t="s">
        <v>202</v>
      </c>
      <c r="CDY19" s="310" t="s">
        <v>202</v>
      </c>
      <c r="CDZ19" s="310" t="s">
        <v>202</v>
      </c>
      <c r="CEA19" s="310" t="s">
        <v>202</v>
      </c>
      <c r="CEB19" s="310" t="s">
        <v>202</v>
      </c>
      <c r="CEC19" s="310" t="s">
        <v>202</v>
      </c>
      <c r="CED19" s="310" t="s">
        <v>202</v>
      </c>
      <c r="CEE19" s="310" t="s">
        <v>202</v>
      </c>
      <c r="CEF19" s="310" t="s">
        <v>202</v>
      </c>
      <c r="CEG19" s="310" t="s">
        <v>202</v>
      </c>
      <c r="CEH19" s="310" t="s">
        <v>202</v>
      </c>
      <c r="CEI19" s="310" t="s">
        <v>202</v>
      </c>
      <c r="CEJ19" s="310" t="s">
        <v>202</v>
      </c>
      <c r="CEK19" s="310" t="s">
        <v>202</v>
      </c>
      <c r="CEL19" s="310" t="s">
        <v>202</v>
      </c>
      <c r="CEM19" s="310" t="s">
        <v>202</v>
      </c>
      <c r="CEN19" s="310" t="s">
        <v>202</v>
      </c>
      <c r="CEO19" s="310" t="s">
        <v>202</v>
      </c>
      <c r="CEP19" s="310" t="s">
        <v>202</v>
      </c>
      <c r="CEQ19" s="310" t="s">
        <v>202</v>
      </c>
      <c r="CER19" s="310" t="s">
        <v>202</v>
      </c>
      <c r="CES19" s="310" t="s">
        <v>202</v>
      </c>
      <c r="CET19" s="310" t="s">
        <v>202</v>
      </c>
      <c r="CEU19" s="310" t="s">
        <v>202</v>
      </c>
      <c r="CEV19" s="310" t="s">
        <v>202</v>
      </c>
      <c r="CEW19" s="310" t="s">
        <v>202</v>
      </c>
      <c r="CEX19" s="310" t="s">
        <v>202</v>
      </c>
      <c r="CEY19" s="310" t="s">
        <v>202</v>
      </c>
      <c r="CEZ19" s="310" t="s">
        <v>202</v>
      </c>
      <c r="CFA19" s="310" t="s">
        <v>202</v>
      </c>
      <c r="CFB19" s="310" t="s">
        <v>202</v>
      </c>
      <c r="CFC19" s="310" t="s">
        <v>202</v>
      </c>
      <c r="CFD19" s="310" t="s">
        <v>202</v>
      </c>
      <c r="CFE19" s="310" t="s">
        <v>202</v>
      </c>
      <c r="CFF19" s="310" t="s">
        <v>202</v>
      </c>
      <c r="CFG19" s="310" t="s">
        <v>202</v>
      </c>
      <c r="CFH19" s="310" t="s">
        <v>202</v>
      </c>
      <c r="CFI19" s="310" t="s">
        <v>202</v>
      </c>
      <c r="CFJ19" s="310" t="s">
        <v>202</v>
      </c>
      <c r="CFK19" s="310" t="s">
        <v>202</v>
      </c>
      <c r="CFL19" s="310" t="s">
        <v>202</v>
      </c>
      <c r="CFM19" s="310" t="s">
        <v>202</v>
      </c>
      <c r="CFN19" s="310" t="s">
        <v>202</v>
      </c>
      <c r="CFO19" s="310" t="s">
        <v>202</v>
      </c>
      <c r="CFP19" s="310" t="s">
        <v>202</v>
      </c>
      <c r="CFQ19" s="310" t="s">
        <v>202</v>
      </c>
      <c r="CFR19" s="310" t="s">
        <v>202</v>
      </c>
      <c r="CFS19" s="310" t="s">
        <v>202</v>
      </c>
      <c r="CFT19" s="310" t="s">
        <v>202</v>
      </c>
      <c r="CFU19" s="310" t="s">
        <v>202</v>
      </c>
      <c r="CFV19" s="310" t="s">
        <v>202</v>
      </c>
      <c r="CFW19" s="310" t="s">
        <v>202</v>
      </c>
      <c r="CFX19" s="310" t="s">
        <v>202</v>
      </c>
      <c r="CFY19" s="310" t="s">
        <v>202</v>
      </c>
      <c r="CFZ19" s="310" t="s">
        <v>202</v>
      </c>
      <c r="CGA19" s="310" t="s">
        <v>202</v>
      </c>
      <c r="CGB19" s="310" t="s">
        <v>202</v>
      </c>
      <c r="CGC19" s="310" t="s">
        <v>202</v>
      </c>
      <c r="CGD19" s="310" t="s">
        <v>202</v>
      </c>
      <c r="CGE19" s="310" t="s">
        <v>202</v>
      </c>
      <c r="CGF19" s="310" t="s">
        <v>202</v>
      </c>
      <c r="CGG19" s="310" t="s">
        <v>202</v>
      </c>
      <c r="CGH19" s="310" t="s">
        <v>202</v>
      </c>
      <c r="CGI19" s="310" t="s">
        <v>202</v>
      </c>
      <c r="CGJ19" s="310" t="s">
        <v>202</v>
      </c>
      <c r="CGK19" s="310" t="s">
        <v>202</v>
      </c>
      <c r="CGL19" s="310" t="s">
        <v>202</v>
      </c>
      <c r="CGM19" s="310" t="s">
        <v>202</v>
      </c>
      <c r="CGN19" s="310" t="s">
        <v>202</v>
      </c>
      <c r="CGO19" s="310" t="s">
        <v>202</v>
      </c>
      <c r="CGP19" s="310" t="s">
        <v>202</v>
      </c>
      <c r="CGQ19" s="310" t="s">
        <v>202</v>
      </c>
      <c r="CGR19" s="310" t="s">
        <v>202</v>
      </c>
      <c r="CGS19" s="310" t="s">
        <v>202</v>
      </c>
      <c r="CGT19" s="310" t="s">
        <v>202</v>
      </c>
      <c r="CGU19" s="310" t="s">
        <v>202</v>
      </c>
      <c r="CGV19" s="310" t="s">
        <v>202</v>
      </c>
      <c r="CGW19" s="310" t="s">
        <v>202</v>
      </c>
      <c r="CGX19" s="310" t="s">
        <v>202</v>
      </c>
      <c r="CGY19" s="310" t="s">
        <v>202</v>
      </c>
      <c r="CGZ19" s="310" t="s">
        <v>202</v>
      </c>
      <c r="CHA19" s="310" t="s">
        <v>202</v>
      </c>
      <c r="CHB19" s="310" t="s">
        <v>202</v>
      </c>
      <c r="CHC19" s="310" t="s">
        <v>202</v>
      </c>
      <c r="CHD19" s="310" t="s">
        <v>202</v>
      </c>
      <c r="CHE19" s="310" t="s">
        <v>202</v>
      </c>
      <c r="CHF19" s="310" t="s">
        <v>202</v>
      </c>
      <c r="CHG19" s="310" t="s">
        <v>202</v>
      </c>
      <c r="CHH19" s="310" t="s">
        <v>202</v>
      </c>
      <c r="CHI19" s="310" t="s">
        <v>202</v>
      </c>
      <c r="CHJ19" s="310" t="s">
        <v>202</v>
      </c>
      <c r="CHK19" s="310" t="s">
        <v>202</v>
      </c>
      <c r="CHL19" s="310" t="s">
        <v>202</v>
      </c>
      <c r="CHM19" s="310" t="s">
        <v>202</v>
      </c>
      <c r="CHN19" s="310" t="s">
        <v>202</v>
      </c>
      <c r="CHO19" s="310" t="s">
        <v>202</v>
      </c>
      <c r="CHP19" s="310" t="s">
        <v>202</v>
      </c>
      <c r="CHQ19" s="310" t="s">
        <v>202</v>
      </c>
      <c r="CHR19" s="310" t="s">
        <v>202</v>
      </c>
      <c r="CHS19" s="310" t="s">
        <v>202</v>
      </c>
      <c r="CHT19" s="310" t="s">
        <v>202</v>
      </c>
      <c r="CHU19" s="310" t="s">
        <v>202</v>
      </c>
      <c r="CHV19" s="310" t="s">
        <v>202</v>
      </c>
      <c r="CHW19" s="310" t="s">
        <v>202</v>
      </c>
      <c r="CHX19" s="310" t="s">
        <v>202</v>
      </c>
      <c r="CHY19" s="310" t="s">
        <v>202</v>
      </c>
      <c r="CHZ19" s="310" t="s">
        <v>202</v>
      </c>
      <c r="CIA19" s="310" t="s">
        <v>202</v>
      </c>
      <c r="CIB19" s="310" t="s">
        <v>202</v>
      </c>
      <c r="CIC19" s="310" t="s">
        <v>202</v>
      </c>
      <c r="CID19" s="310" t="s">
        <v>202</v>
      </c>
      <c r="CIE19" s="310" t="s">
        <v>202</v>
      </c>
      <c r="CIF19" s="310" t="s">
        <v>202</v>
      </c>
      <c r="CIG19" s="310" t="s">
        <v>202</v>
      </c>
      <c r="CIH19" s="310" t="s">
        <v>202</v>
      </c>
      <c r="CII19" s="310" t="s">
        <v>202</v>
      </c>
      <c r="CIJ19" s="310" t="s">
        <v>202</v>
      </c>
      <c r="CIK19" s="310" t="s">
        <v>202</v>
      </c>
      <c r="CIL19" s="310" t="s">
        <v>202</v>
      </c>
      <c r="CIM19" s="310" t="s">
        <v>202</v>
      </c>
      <c r="CIN19" s="310" t="s">
        <v>202</v>
      </c>
      <c r="CIO19" s="310" t="s">
        <v>202</v>
      </c>
      <c r="CIP19" s="310" t="s">
        <v>202</v>
      </c>
      <c r="CIQ19" s="310" t="s">
        <v>202</v>
      </c>
      <c r="CIR19" s="310" t="s">
        <v>202</v>
      </c>
      <c r="CIS19" s="310" t="s">
        <v>202</v>
      </c>
      <c r="CIT19" s="310" t="s">
        <v>202</v>
      </c>
      <c r="CIU19" s="310" t="s">
        <v>202</v>
      </c>
      <c r="CIV19" s="310" t="s">
        <v>202</v>
      </c>
      <c r="CIW19" s="310" t="s">
        <v>202</v>
      </c>
      <c r="CIX19" s="310" t="s">
        <v>202</v>
      </c>
      <c r="CIY19" s="310" t="s">
        <v>202</v>
      </c>
      <c r="CIZ19" s="310" t="s">
        <v>202</v>
      </c>
      <c r="CJA19" s="310" t="s">
        <v>202</v>
      </c>
      <c r="CJB19" s="310" t="s">
        <v>202</v>
      </c>
      <c r="CJC19" s="310" t="s">
        <v>202</v>
      </c>
      <c r="CJD19" s="310" t="s">
        <v>202</v>
      </c>
      <c r="CJE19" s="310" t="s">
        <v>202</v>
      </c>
      <c r="CJF19" s="310" t="s">
        <v>202</v>
      </c>
      <c r="CJG19" s="310" t="s">
        <v>202</v>
      </c>
      <c r="CJH19" s="310" t="s">
        <v>202</v>
      </c>
      <c r="CJI19" s="310" t="s">
        <v>202</v>
      </c>
      <c r="CJJ19" s="310" t="s">
        <v>202</v>
      </c>
      <c r="CJK19" s="310" t="s">
        <v>202</v>
      </c>
      <c r="CJL19" s="310" t="s">
        <v>202</v>
      </c>
      <c r="CJM19" s="310" t="s">
        <v>202</v>
      </c>
      <c r="CJN19" s="310" t="s">
        <v>202</v>
      </c>
      <c r="CJO19" s="310" t="s">
        <v>202</v>
      </c>
      <c r="CJP19" s="310" t="s">
        <v>202</v>
      </c>
      <c r="CJQ19" s="310" t="s">
        <v>202</v>
      </c>
      <c r="CJR19" s="310" t="s">
        <v>202</v>
      </c>
      <c r="CJS19" s="310" t="s">
        <v>202</v>
      </c>
      <c r="CJT19" s="310" t="s">
        <v>202</v>
      </c>
      <c r="CJU19" s="310" t="s">
        <v>202</v>
      </c>
      <c r="CJV19" s="310" t="s">
        <v>202</v>
      </c>
      <c r="CJW19" s="310" t="s">
        <v>202</v>
      </c>
      <c r="CJX19" s="310" t="s">
        <v>202</v>
      </c>
      <c r="CJY19" s="310" t="s">
        <v>202</v>
      </c>
      <c r="CJZ19" s="310" t="s">
        <v>202</v>
      </c>
      <c r="CKA19" s="310" t="s">
        <v>202</v>
      </c>
      <c r="CKB19" s="310" t="s">
        <v>202</v>
      </c>
      <c r="CKC19" s="310" t="s">
        <v>202</v>
      </c>
      <c r="CKD19" s="310" t="s">
        <v>202</v>
      </c>
      <c r="CKE19" s="310" t="s">
        <v>202</v>
      </c>
      <c r="CKF19" s="310" t="s">
        <v>202</v>
      </c>
      <c r="CKG19" s="310" t="s">
        <v>202</v>
      </c>
      <c r="CKH19" s="310" t="s">
        <v>202</v>
      </c>
      <c r="CKI19" s="310" t="s">
        <v>202</v>
      </c>
      <c r="CKJ19" s="310" t="s">
        <v>202</v>
      </c>
      <c r="CKK19" s="310" t="s">
        <v>202</v>
      </c>
      <c r="CKL19" s="310" t="s">
        <v>202</v>
      </c>
      <c r="CKM19" s="310" t="s">
        <v>202</v>
      </c>
      <c r="CKN19" s="310" t="s">
        <v>202</v>
      </c>
      <c r="CKO19" s="310" t="s">
        <v>202</v>
      </c>
      <c r="CKP19" s="310" t="s">
        <v>202</v>
      </c>
      <c r="CKQ19" s="310" t="s">
        <v>202</v>
      </c>
      <c r="CKR19" s="310" t="s">
        <v>202</v>
      </c>
      <c r="CKS19" s="310" t="s">
        <v>202</v>
      </c>
      <c r="CKT19" s="310" t="s">
        <v>202</v>
      </c>
      <c r="CKU19" s="310" t="s">
        <v>202</v>
      </c>
      <c r="CKV19" s="310" t="s">
        <v>202</v>
      </c>
      <c r="CKW19" s="310" t="s">
        <v>202</v>
      </c>
      <c r="CKX19" s="310" t="s">
        <v>202</v>
      </c>
      <c r="CKY19" s="310" t="s">
        <v>202</v>
      </c>
      <c r="CKZ19" s="310" t="s">
        <v>202</v>
      </c>
      <c r="CLA19" s="310" t="s">
        <v>202</v>
      </c>
      <c r="CLB19" s="310" t="s">
        <v>202</v>
      </c>
      <c r="CLC19" s="310" t="s">
        <v>202</v>
      </c>
      <c r="CLD19" s="310" t="s">
        <v>202</v>
      </c>
      <c r="CLE19" s="310" t="s">
        <v>202</v>
      </c>
      <c r="CLF19" s="310" t="s">
        <v>202</v>
      </c>
      <c r="CLG19" s="310" t="s">
        <v>202</v>
      </c>
      <c r="CLH19" s="310" t="s">
        <v>202</v>
      </c>
      <c r="CLI19" s="310" t="s">
        <v>202</v>
      </c>
      <c r="CLJ19" s="310" t="s">
        <v>202</v>
      </c>
      <c r="CLK19" s="310" t="s">
        <v>202</v>
      </c>
      <c r="CLL19" s="310" t="s">
        <v>202</v>
      </c>
      <c r="CLM19" s="310" t="s">
        <v>202</v>
      </c>
      <c r="CLN19" s="310" t="s">
        <v>202</v>
      </c>
      <c r="CLO19" s="310" t="s">
        <v>202</v>
      </c>
      <c r="CLP19" s="310" t="s">
        <v>202</v>
      </c>
      <c r="CLQ19" s="310" t="s">
        <v>202</v>
      </c>
      <c r="CLR19" s="310" t="s">
        <v>202</v>
      </c>
      <c r="CLS19" s="310" t="s">
        <v>202</v>
      </c>
      <c r="CLT19" s="310" t="s">
        <v>202</v>
      </c>
      <c r="CLU19" s="310" t="s">
        <v>202</v>
      </c>
      <c r="CLV19" s="310" t="s">
        <v>202</v>
      </c>
      <c r="CLW19" s="310" t="s">
        <v>202</v>
      </c>
      <c r="CLX19" s="310" t="s">
        <v>202</v>
      </c>
      <c r="CLY19" s="310" t="s">
        <v>202</v>
      </c>
      <c r="CLZ19" s="310" t="s">
        <v>202</v>
      </c>
      <c r="CMA19" s="310" t="s">
        <v>202</v>
      </c>
      <c r="CMB19" s="310" t="s">
        <v>202</v>
      </c>
      <c r="CMC19" s="310" t="s">
        <v>202</v>
      </c>
      <c r="CMD19" s="310" t="s">
        <v>202</v>
      </c>
      <c r="CME19" s="310" t="s">
        <v>202</v>
      </c>
      <c r="CMF19" s="310" t="s">
        <v>202</v>
      </c>
      <c r="CMG19" s="310" t="s">
        <v>202</v>
      </c>
      <c r="CMH19" s="310" t="s">
        <v>202</v>
      </c>
      <c r="CMI19" s="310" t="s">
        <v>202</v>
      </c>
      <c r="CMJ19" s="310" t="s">
        <v>202</v>
      </c>
      <c r="CMK19" s="310" t="s">
        <v>202</v>
      </c>
      <c r="CML19" s="310" t="s">
        <v>202</v>
      </c>
      <c r="CMM19" s="310" t="s">
        <v>202</v>
      </c>
      <c r="CMN19" s="310" t="s">
        <v>202</v>
      </c>
      <c r="CMO19" s="310" t="s">
        <v>202</v>
      </c>
      <c r="CMP19" s="310" t="s">
        <v>202</v>
      </c>
      <c r="CMQ19" s="310" t="s">
        <v>202</v>
      </c>
      <c r="CMR19" s="310" t="s">
        <v>202</v>
      </c>
      <c r="CMS19" s="310" t="s">
        <v>202</v>
      </c>
      <c r="CMT19" s="310" t="s">
        <v>202</v>
      </c>
      <c r="CMU19" s="310" t="s">
        <v>202</v>
      </c>
      <c r="CMV19" s="310" t="s">
        <v>202</v>
      </c>
      <c r="CMW19" s="310" t="s">
        <v>202</v>
      </c>
      <c r="CMX19" s="310" t="s">
        <v>202</v>
      </c>
      <c r="CMY19" s="310" t="s">
        <v>202</v>
      </c>
      <c r="CMZ19" s="310" t="s">
        <v>202</v>
      </c>
      <c r="CNA19" s="310" t="s">
        <v>202</v>
      </c>
      <c r="CNB19" s="310" t="s">
        <v>202</v>
      </c>
      <c r="CNC19" s="310" t="s">
        <v>202</v>
      </c>
      <c r="CND19" s="310" t="s">
        <v>202</v>
      </c>
      <c r="CNE19" s="310" t="s">
        <v>202</v>
      </c>
      <c r="CNF19" s="310" t="s">
        <v>202</v>
      </c>
      <c r="CNG19" s="310" t="s">
        <v>202</v>
      </c>
      <c r="CNH19" s="310" t="s">
        <v>202</v>
      </c>
      <c r="CNI19" s="310" t="s">
        <v>202</v>
      </c>
      <c r="CNJ19" s="310" t="s">
        <v>202</v>
      </c>
      <c r="CNK19" s="310" t="s">
        <v>202</v>
      </c>
      <c r="CNL19" s="310" t="s">
        <v>202</v>
      </c>
      <c r="CNM19" s="310" t="s">
        <v>202</v>
      </c>
      <c r="CNN19" s="310" t="s">
        <v>202</v>
      </c>
      <c r="CNO19" s="310" t="s">
        <v>202</v>
      </c>
      <c r="CNP19" s="310" t="s">
        <v>202</v>
      </c>
      <c r="CNQ19" s="310" t="s">
        <v>202</v>
      </c>
      <c r="CNR19" s="310" t="s">
        <v>202</v>
      </c>
      <c r="CNS19" s="310" t="s">
        <v>202</v>
      </c>
      <c r="CNT19" s="310" t="s">
        <v>202</v>
      </c>
      <c r="CNU19" s="310" t="s">
        <v>202</v>
      </c>
      <c r="CNV19" s="310" t="s">
        <v>202</v>
      </c>
      <c r="CNW19" s="310" t="s">
        <v>202</v>
      </c>
      <c r="CNX19" s="310" t="s">
        <v>202</v>
      </c>
      <c r="CNY19" s="310" t="s">
        <v>202</v>
      </c>
      <c r="CNZ19" s="310" t="s">
        <v>202</v>
      </c>
      <c r="COA19" s="310" t="s">
        <v>202</v>
      </c>
      <c r="COB19" s="310" t="s">
        <v>202</v>
      </c>
      <c r="COC19" s="310" t="s">
        <v>202</v>
      </c>
      <c r="COD19" s="310" t="s">
        <v>202</v>
      </c>
      <c r="COE19" s="310" t="s">
        <v>202</v>
      </c>
      <c r="COF19" s="310" t="s">
        <v>202</v>
      </c>
      <c r="COG19" s="310" t="s">
        <v>202</v>
      </c>
      <c r="COH19" s="310" t="s">
        <v>202</v>
      </c>
      <c r="COI19" s="310" t="s">
        <v>202</v>
      </c>
      <c r="COJ19" s="310" t="s">
        <v>202</v>
      </c>
      <c r="COK19" s="310" t="s">
        <v>202</v>
      </c>
      <c r="COL19" s="310" t="s">
        <v>202</v>
      </c>
      <c r="COM19" s="310" t="s">
        <v>202</v>
      </c>
      <c r="CON19" s="310" t="s">
        <v>202</v>
      </c>
      <c r="COO19" s="310" t="s">
        <v>202</v>
      </c>
      <c r="COP19" s="310" t="s">
        <v>202</v>
      </c>
      <c r="COQ19" s="310" t="s">
        <v>202</v>
      </c>
      <c r="COR19" s="310" t="s">
        <v>202</v>
      </c>
      <c r="COS19" s="310" t="s">
        <v>202</v>
      </c>
      <c r="COT19" s="310" t="s">
        <v>202</v>
      </c>
      <c r="COU19" s="310" t="s">
        <v>202</v>
      </c>
      <c r="COV19" s="310" t="s">
        <v>202</v>
      </c>
      <c r="COW19" s="310" t="s">
        <v>202</v>
      </c>
      <c r="COX19" s="310" t="s">
        <v>202</v>
      </c>
      <c r="COY19" s="310" t="s">
        <v>202</v>
      </c>
      <c r="COZ19" s="310" t="s">
        <v>202</v>
      </c>
      <c r="CPA19" s="310" t="s">
        <v>202</v>
      </c>
      <c r="CPB19" s="310" t="s">
        <v>202</v>
      </c>
      <c r="CPC19" s="310" t="s">
        <v>202</v>
      </c>
      <c r="CPD19" s="310" t="s">
        <v>202</v>
      </c>
      <c r="CPE19" s="310" t="s">
        <v>202</v>
      </c>
      <c r="CPF19" s="310" t="s">
        <v>202</v>
      </c>
      <c r="CPG19" s="310" t="s">
        <v>202</v>
      </c>
      <c r="CPH19" s="310" t="s">
        <v>202</v>
      </c>
      <c r="CPI19" s="310" t="s">
        <v>202</v>
      </c>
      <c r="CPJ19" s="310" t="s">
        <v>202</v>
      </c>
      <c r="CPK19" s="310" t="s">
        <v>202</v>
      </c>
      <c r="CPL19" s="310" t="s">
        <v>202</v>
      </c>
      <c r="CPM19" s="310" t="s">
        <v>202</v>
      </c>
      <c r="CPN19" s="310" t="s">
        <v>202</v>
      </c>
      <c r="CPO19" s="310" t="s">
        <v>202</v>
      </c>
      <c r="CPP19" s="310" t="s">
        <v>202</v>
      </c>
      <c r="CPQ19" s="310" t="s">
        <v>202</v>
      </c>
      <c r="CPR19" s="310" t="s">
        <v>202</v>
      </c>
      <c r="CPS19" s="310" t="s">
        <v>202</v>
      </c>
      <c r="CPT19" s="310" t="s">
        <v>202</v>
      </c>
      <c r="CPU19" s="310" t="s">
        <v>202</v>
      </c>
      <c r="CPV19" s="310" t="s">
        <v>202</v>
      </c>
      <c r="CPW19" s="310" t="s">
        <v>202</v>
      </c>
      <c r="CPX19" s="310" t="s">
        <v>202</v>
      </c>
      <c r="CPY19" s="310" t="s">
        <v>202</v>
      </c>
      <c r="CPZ19" s="310" t="s">
        <v>202</v>
      </c>
      <c r="CQA19" s="310" t="s">
        <v>202</v>
      </c>
      <c r="CQB19" s="310" t="s">
        <v>202</v>
      </c>
      <c r="CQC19" s="310" t="s">
        <v>202</v>
      </c>
      <c r="CQD19" s="310" t="s">
        <v>202</v>
      </c>
      <c r="CQE19" s="310" t="s">
        <v>202</v>
      </c>
      <c r="CQF19" s="310" t="s">
        <v>202</v>
      </c>
      <c r="CQG19" s="310" t="s">
        <v>202</v>
      </c>
      <c r="CQH19" s="310" t="s">
        <v>202</v>
      </c>
      <c r="CQI19" s="310" t="s">
        <v>202</v>
      </c>
      <c r="CQJ19" s="310" t="s">
        <v>202</v>
      </c>
      <c r="CQK19" s="310" t="s">
        <v>202</v>
      </c>
      <c r="CQL19" s="310" t="s">
        <v>202</v>
      </c>
      <c r="CQM19" s="310" t="s">
        <v>202</v>
      </c>
      <c r="CQN19" s="310" t="s">
        <v>202</v>
      </c>
      <c r="CQO19" s="310" t="s">
        <v>202</v>
      </c>
      <c r="CQP19" s="310" t="s">
        <v>202</v>
      </c>
      <c r="CQQ19" s="310" t="s">
        <v>202</v>
      </c>
      <c r="CQR19" s="310" t="s">
        <v>202</v>
      </c>
      <c r="CQS19" s="310" t="s">
        <v>202</v>
      </c>
      <c r="CQT19" s="310" t="s">
        <v>202</v>
      </c>
      <c r="CQU19" s="310" t="s">
        <v>202</v>
      </c>
      <c r="CQV19" s="310" t="s">
        <v>202</v>
      </c>
      <c r="CQW19" s="310" t="s">
        <v>202</v>
      </c>
      <c r="CQX19" s="310" t="s">
        <v>202</v>
      </c>
      <c r="CQY19" s="310" t="s">
        <v>202</v>
      </c>
      <c r="CQZ19" s="310" t="s">
        <v>202</v>
      </c>
      <c r="CRA19" s="310" t="s">
        <v>202</v>
      </c>
      <c r="CRB19" s="310" t="s">
        <v>202</v>
      </c>
      <c r="CRC19" s="310" t="s">
        <v>202</v>
      </c>
      <c r="CRD19" s="310" t="s">
        <v>202</v>
      </c>
      <c r="CRE19" s="310" t="s">
        <v>202</v>
      </c>
      <c r="CRF19" s="310" t="s">
        <v>202</v>
      </c>
      <c r="CRG19" s="310" t="s">
        <v>202</v>
      </c>
      <c r="CRH19" s="310" t="s">
        <v>202</v>
      </c>
      <c r="CRI19" s="310" t="s">
        <v>202</v>
      </c>
      <c r="CRJ19" s="310" t="s">
        <v>202</v>
      </c>
      <c r="CRK19" s="310" t="s">
        <v>202</v>
      </c>
      <c r="CRL19" s="310" t="s">
        <v>202</v>
      </c>
      <c r="CRM19" s="310" t="s">
        <v>202</v>
      </c>
      <c r="CRN19" s="310" t="s">
        <v>202</v>
      </c>
      <c r="CRO19" s="310" t="s">
        <v>202</v>
      </c>
      <c r="CRP19" s="310" t="s">
        <v>202</v>
      </c>
      <c r="CRQ19" s="310" t="s">
        <v>202</v>
      </c>
      <c r="CRR19" s="310" t="s">
        <v>202</v>
      </c>
      <c r="CRS19" s="310" t="s">
        <v>202</v>
      </c>
      <c r="CRT19" s="310" t="s">
        <v>202</v>
      </c>
      <c r="CRU19" s="310" t="s">
        <v>202</v>
      </c>
      <c r="CRV19" s="310" t="s">
        <v>202</v>
      </c>
      <c r="CRW19" s="310" t="s">
        <v>202</v>
      </c>
      <c r="CRX19" s="310" t="s">
        <v>202</v>
      </c>
      <c r="CRY19" s="310" t="s">
        <v>202</v>
      </c>
      <c r="CRZ19" s="310" t="s">
        <v>202</v>
      </c>
      <c r="CSA19" s="310" t="s">
        <v>202</v>
      </c>
      <c r="CSB19" s="310" t="s">
        <v>202</v>
      </c>
      <c r="CSC19" s="310" t="s">
        <v>202</v>
      </c>
      <c r="CSD19" s="310" t="s">
        <v>202</v>
      </c>
      <c r="CSE19" s="310" t="s">
        <v>202</v>
      </c>
      <c r="CSF19" s="310" t="s">
        <v>202</v>
      </c>
      <c r="CSG19" s="310" t="s">
        <v>202</v>
      </c>
      <c r="CSH19" s="310" t="s">
        <v>202</v>
      </c>
      <c r="CSI19" s="310" t="s">
        <v>202</v>
      </c>
      <c r="CSJ19" s="310" t="s">
        <v>202</v>
      </c>
      <c r="CSK19" s="310" t="s">
        <v>202</v>
      </c>
      <c r="CSL19" s="310" t="s">
        <v>202</v>
      </c>
      <c r="CSM19" s="310" t="s">
        <v>202</v>
      </c>
      <c r="CSN19" s="310" t="s">
        <v>202</v>
      </c>
      <c r="CSO19" s="310" t="s">
        <v>202</v>
      </c>
      <c r="CSP19" s="310" t="s">
        <v>202</v>
      </c>
      <c r="CSQ19" s="310" t="s">
        <v>202</v>
      </c>
      <c r="CSR19" s="310" t="s">
        <v>202</v>
      </c>
      <c r="CSS19" s="310" t="s">
        <v>202</v>
      </c>
      <c r="CST19" s="310" t="s">
        <v>202</v>
      </c>
      <c r="CSU19" s="310" t="s">
        <v>202</v>
      </c>
      <c r="CSV19" s="310" t="s">
        <v>202</v>
      </c>
      <c r="CSW19" s="310" t="s">
        <v>202</v>
      </c>
      <c r="CSX19" s="310" t="s">
        <v>202</v>
      </c>
      <c r="CSY19" s="310" t="s">
        <v>202</v>
      </c>
      <c r="CSZ19" s="310" t="s">
        <v>202</v>
      </c>
      <c r="CTA19" s="310" t="s">
        <v>202</v>
      </c>
      <c r="CTB19" s="310" t="s">
        <v>202</v>
      </c>
      <c r="CTC19" s="310" t="s">
        <v>202</v>
      </c>
      <c r="CTD19" s="310" t="s">
        <v>202</v>
      </c>
      <c r="CTE19" s="310" t="s">
        <v>202</v>
      </c>
      <c r="CTF19" s="310" t="s">
        <v>202</v>
      </c>
      <c r="CTG19" s="310" t="s">
        <v>202</v>
      </c>
      <c r="CTH19" s="310" t="s">
        <v>202</v>
      </c>
      <c r="CTI19" s="310" t="s">
        <v>202</v>
      </c>
      <c r="CTJ19" s="310" t="s">
        <v>202</v>
      </c>
      <c r="CTK19" s="310" t="s">
        <v>202</v>
      </c>
      <c r="CTL19" s="310" t="s">
        <v>202</v>
      </c>
      <c r="CTM19" s="310" t="s">
        <v>202</v>
      </c>
      <c r="CTN19" s="310" t="s">
        <v>202</v>
      </c>
      <c r="CTO19" s="310" t="s">
        <v>202</v>
      </c>
      <c r="CTP19" s="310" t="s">
        <v>202</v>
      </c>
      <c r="CTQ19" s="310" t="s">
        <v>202</v>
      </c>
      <c r="CTR19" s="310" t="s">
        <v>202</v>
      </c>
      <c r="CTS19" s="310" t="s">
        <v>202</v>
      </c>
      <c r="CTT19" s="310" t="s">
        <v>202</v>
      </c>
      <c r="CTU19" s="310" t="s">
        <v>202</v>
      </c>
      <c r="CTV19" s="310" t="s">
        <v>202</v>
      </c>
      <c r="CTW19" s="310" t="s">
        <v>202</v>
      </c>
      <c r="CTX19" s="310" t="s">
        <v>202</v>
      </c>
      <c r="CTY19" s="310" t="s">
        <v>202</v>
      </c>
      <c r="CTZ19" s="310" t="s">
        <v>202</v>
      </c>
      <c r="CUA19" s="310" t="s">
        <v>202</v>
      </c>
      <c r="CUB19" s="310" t="s">
        <v>202</v>
      </c>
      <c r="CUC19" s="310" t="s">
        <v>202</v>
      </c>
      <c r="CUD19" s="310" t="s">
        <v>202</v>
      </c>
      <c r="CUE19" s="310" t="s">
        <v>202</v>
      </c>
      <c r="CUF19" s="310" t="s">
        <v>202</v>
      </c>
      <c r="CUG19" s="310" t="s">
        <v>202</v>
      </c>
      <c r="CUH19" s="310" t="s">
        <v>202</v>
      </c>
      <c r="CUI19" s="310" t="s">
        <v>202</v>
      </c>
      <c r="CUJ19" s="310" t="s">
        <v>202</v>
      </c>
      <c r="CUK19" s="310" t="s">
        <v>202</v>
      </c>
      <c r="CUL19" s="310" t="s">
        <v>202</v>
      </c>
      <c r="CUM19" s="310" t="s">
        <v>202</v>
      </c>
      <c r="CUN19" s="310" t="s">
        <v>202</v>
      </c>
      <c r="CUO19" s="310" t="s">
        <v>202</v>
      </c>
      <c r="CUP19" s="310" t="s">
        <v>202</v>
      </c>
      <c r="CUQ19" s="310" t="s">
        <v>202</v>
      </c>
      <c r="CUR19" s="310" t="s">
        <v>202</v>
      </c>
      <c r="CUS19" s="310" t="s">
        <v>202</v>
      </c>
      <c r="CUT19" s="310" t="s">
        <v>202</v>
      </c>
      <c r="CUU19" s="310" t="s">
        <v>202</v>
      </c>
      <c r="CUV19" s="310" t="s">
        <v>202</v>
      </c>
      <c r="CUW19" s="310" t="s">
        <v>202</v>
      </c>
      <c r="CUX19" s="310" t="s">
        <v>202</v>
      </c>
      <c r="CUY19" s="310" t="s">
        <v>202</v>
      </c>
      <c r="CUZ19" s="310" t="s">
        <v>202</v>
      </c>
      <c r="CVA19" s="310" t="s">
        <v>202</v>
      </c>
      <c r="CVB19" s="310" t="s">
        <v>202</v>
      </c>
      <c r="CVC19" s="310" t="s">
        <v>202</v>
      </c>
      <c r="CVD19" s="310" t="s">
        <v>202</v>
      </c>
      <c r="CVE19" s="310" t="s">
        <v>202</v>
      </c>
      <c r="CVF19" s="310" t="s">
        <v>202</v>
      </c>
      <c r="CVG19" s="310" t="s">
        <v>202</v>
      </c>
      <c r="CVH19" s="310" t="s">
        <v>202</v>
      </c>
      <c r="CVI19" s="310" t="s">
        <v>202</v>
      </c>
      <c r="CVJ19" s="310" t="s">
        <v>202</v>
      </c>
      <c r="CVK19" s="310" t="s">
        <v>202</v>
      </c>
      <c r="CVL19" s="310" t="s">
        <v>202</v>
      </c>
      <c r="CVM19" s="310" t="s">
        <v>202</v>
      </c>
      <c r="CVN19" s="310" t="s">
        <v>202</v>
      </c>
      <c r="CVO19" s="310" t="s">
        <v>202</v>
      </c>
      <c r="CVP19" s="310" t="s">
        <v>202</v>
      </c>
      <c r="CVQ19" s="310" t="s">
        <v>202</v>
      </c>
      <c r="CVR19" s="310" t="s">
        <v>202</v>
      </c>
      <c r="CVS19" s="310" t="s">
        <v>202</v>
      </c>
      <c r="CVT19" s="310" t="s">
        <v>202</v>
      </c>
      <c r="CVU19" s="310" t="s">
        <v>202</v>
      </c>
      <c r="CVV19" s="310" t="s">
        <v>202</v>
      </c>
      <c r="CVW19" s="310" t="s">
        <v>202</v>
      </c>
      <c r="CVX19" s="310" t="s">
        <v>202</v>
      </c>
      <c r="CVY19" s="310" t="s">
        <v>202</v>
      </c>
      <c r="CVZ19" s="310" t="s">
        <v>202</v>
      </c>
      <c r="CWA19" s="310" t="s">
        <v>202</v>
      </c>
      <c r="CWB19" s="310" t="s">
        <v>202</v>
      </c>
      <c r="CWC19" s="310" t="s">
        <v>202</v>
      </c>
      <c r="CWD19" s="310" t="s">
        <v>202</v>
      </c>
      <c r="CWE19" s="310" t="s">
        <v>202</v>
      </c>
      <c r="CWF19" s="310" t="s">
        <v>202</v>
      </c>
      <c r="CWG19" s="310" t="s">
        <v>202</v>
      </c>
      <c r="CWH19" s="310" t="s">
        <v>202</v>
      </c>
      <c r="CWI19" s="310" t="s">
        <v>202</v>
      </c>
      <c r="CWJ19" s="310" t="s">
        <v>202</v>
      </c>
      <c r="CWK19" s="310" t="s">
        <v>202</v>
      </c>
      <c r="CWL19" s="310" t="s">
        <v>202</v>
      </c>
      <c r="CWM19" s="310" t="s">
        <v>202</v>
      </c>
      <c r="CWN19" s="310" t="s">
        <v>202</v>
      </c>
      <c r="CWO19" s="310" t="s">
        <v>202</v>
      </c>
      <c r="CWP19" s="310" t="s">
        <v>202</v>
      </c>
      <c r="CWQ19" s="310" t="s">
        <v>202</v>
      </c>
      <c r="CWR19" s="310" t="s">
        <v>202</v>
      </c>
      <c r="CWS19" s="310" t="s">
        <v>202</v>
      </c>
      <c r="CWT19" s="310" t="s">
        <v>202</v>
      </c>
      <c r="CWU19" s="310" t="s">
        <v>202</v>
      </c>
      <c r="CWV19" s="310" t="s">
        <v>202</v>
      </c>
      <c r="CWW19" s="310" t="s">
        <v>202</v>
      </c>
      <c r="CWX19" s="310" t="s">
        <v>202</v>
      </c>
      <c r="CWY19" s="310" t="s">
        <v>202</v>
      </c>
      <c r="CWZ19" s="310" t="s">
        <v>202</v>
      </c>
      <c r="CXA19" s="310" t="s">
        <v>202</v>
      </c>
      <c r="CXB19" s="310" t="s">
        <v>202</v>
      </c>
      <c r="CXC19" s="310" t="s">
        <v>202</v>
      </c>
      <c r="CXD19" s="310" t="s">
        <v>202</v>
      </c>
      <c r="CXE19" s="310" t="s">
        <v>202</v>
      </c>
      <c r="CXF19" s="310" t="s">
        <v>202</v>
      </c>
      <c r="CXG19" s="310" t="s">
        <v>202</v>
      </c>
      <c r="CXH19" s="310" t="s">
        <v>202</v>
      </c>
      <c r="CXI19" s="310" t="s">
        <v>202</v>
      </c>
      <c r="CXJ19" s="310" t="s">
        <v>202</v>
      </c>
      <c r="CXK19" s="310" t="s">
        <v>202</v>
      </c>
      <c r="CXL19" s="310" t="s">
        <v>202</v>
      </c>
      <c r="CXM19" s="310" t="s">
        <v>202</v>
      </c>
      <c r="CXN19" s="310" t="s">
        <v>202</v>
      </c>
      <c r="CXO19" s="310" t="s">
        <v>202</v>
      </c>
      <c r="CXP19" s="310" t="s">
        <v>202</v>
      </c>
      <c r="CXQ19" s="310" t="s">
        <v>202</v>
      </c>
      <c r="CXR19" s="310" t="s">
        <v>202</v>
      </c>
      <c r="CXS19" s="310" t="s">
        <v>202</v>
      </c>
      <c r="CXT19" s="310" t="s">
        <v>202</v>
      </c>
      <c r="CXU19" s="310" t="s">
        <v>202</v>
      </c>
      <c r="CXV19" s="310" t="s">
        <v>202</v>
      </c>
      <c r="CXW19" s="310" t="s">
        <v>202</v>
      </c>
      <c r="CXX19" s="310" t="s">
        <v>202</v>
      </c>
      <c r="CXY19" s="310" t="s">
        <v>202</v>
      </c>
      <c r="CXZ19" s="310" t="s">
        <v>202</v>
      </c>
      <c r="CYA19" s="310" t="s">
        <v>202</v>
      </c>
      <c r="CYB19" s="310" t="s">
        <v>202</v>
      </c>
      <c r="CYC19" s="310" t="s">
        <v>202</v>
      </c>
      <c r="CYD19" s="310" t="s">
        <v>202</v>
      </c>
      <c r="CYE19" s="310" t="s">
        <v>202</v>
      </c>
      <c r="CYF19" s="310" t="s">
        <v>202</v>
      </c>
      <c r="CYG19" s="310" t="s">
        <v>202</v>
      </c>
      <c r="CYH19" s="310" t="s">
        <v>202</v>
      </c>
      <c r="CYI19" s="310" t="s">
        <v>202</v>
      </c>
      <c r="CYJ19" s="310" t="s">
        <v>202</v>
      </c>
      <c r="CYK19" s="310" t="s">
        <v>202</v>
      </c>
      <c r="CYL19" s="310" t="s">
        <v>202</v>
      </c>
      <c r="CYM19" s="310" t="s">
        <v>202</v>
      </c>
      <c r="CYN19" s="310" t="s">
        <v>202</v>
      </c>
      <c r="CYO19" s="310" t="s">
        <v>202</v>
      </c>
      <c r="CYP19" s="310" t="s">
        <v>202</v>
      </c>
      <c r="CYQ19" s="310" t="s">
        <v>202</v>
      </c>
      <c r="CYR19" s="310" t="s">
        <v>202</v>
      </c>
      <c r="CYS19" s="310" t="s">
        <v>202</v>
      </c>
      <c r="CYT19" s="310" t="s">
        <v>202</v>
      </c>
      <c r="CYU19" s="310" t="s">
        <v>202</v>
      </c>
      <c r="CYV19" s="310" t="s">
        <v>202</v>
      </c>
      <c r="CYW19" s="310" t="s">
        <v>202</v>
      </c>
      <c r="CYX19" s="310" t="s">
        <v>202</v>
      </c>
      <c r="CYY19" s="310" t="s">
        <v>202</v>
      </c>
      <c r="CYZ19" s="310" t="s">
        <v>202</v>
      </c>
      <c r="CZA19" s="310" t="s">
        <v>202</v>
      </c>
      <c r="CZB19" s="310" t="s">
        <v>202</v>
      </c>
      <c r="CZC19" s="310" t="s">
        <v>202</v>
      </c>
      <c r="CZD19" s="310" t="s">
        <v>202</v>
      </c>
      <c r="CZE19" s="310" t="s">
        <v>202</v>
      </c>
      <c r="CZF19" s="310" t="s">
        <v>202</v>
      </c>
      <c r="CZG19" s="310" t="s">
        <v>202</v>
      </c>
      <c r="CZH19" s="310" t="s">
        <v>202</v>
      </c>
      <c r="CZI19" s="310" t="s">
        <v>202</v>
      </c>
      <c r="CZJ19" s="310" t="s">
        <v>202</v>
      </c>
      <c r="CZK19" s="310" t="s">
        <v>202</v>
      </c>
      <c r="CZL19" s="310" t="s">
        <v>202</v>
      </c>
      <c r="CZM19" s="310" t="s">
        <v>202</v>
      </c>
      <c r="CZN19" s="310" t="s">
        <v>202</v>
      </c>
      <c r="CZO19" s="310" t="s">
        <v>202</v>
      </c>
      <c r="CZP19" s="310" t="s">
        <v>202</v>
      </c>
      <c r="CZQ19" s="310" t="s">
        <v>202</v>
      </c>
      <c r="CZR19" s="310" t="s">
        <v>202</v>
      </c>
      <c r="CZS19" s="310" t="s">
        <v>202</v>
      </c>
      <c r="CZT19" s="310" t="s">
        <v>202</v>
      </c>
      <c r="CZU19" s="310" t="s">
        <v>202</v>
      </c>
      <c r="CZV19" s="310" t="s">
        <v>202</v>
      </c>
      <c r="CZW19" s="310" t="s">
        <v>202</v>
      </c>
      <c r="CZX19" s="310" t="s">
        <v>202</v>
      </c>
      <c r="CZY19" s="310" t="s">
        <v>202</v>
      </c>
      <c r="CZZ19" s="310" t="s">
        <v>202</v>
      </c>
      <c r="DAA19" s="310" t="s">
        <v>202</v>
      </c>
      <c r="DAB19" s="310" t="s">
        <v>202</v>
      </c>
      <c r="DAC19" s="310" t="s">
        <v>202</v>
      </c>
      <c r="DAD19" s="310" t="s">
        <v>202</v>
      </c>
      <c r="DAE19" s="310" t="s">
        <v>202</v>
      </c>
      <c r="DAF19" s="310" t="s">
        <v>202</v>
      </c>
      <c r="DAG19" s="310" t="s">
        <v>202</v>
      </c>
      <c r="DAH19" s="310" t="s">
        <v>202</v>
      </c>
      <c r="DAI19" s="310" t="s">
        <v>202</v>
      </c>
      <c r="DAJ19" s="310" t="s">
        <v>202</v>
      </c>
      <c r="DAK19" s="310" t="s">
        <v>202</v>
      </c>
      <c r="DAL19" s="310" t="s">
        <v>202</v>
      </c>
      <c r="DAM19" s="310" t="s">
        <v>202</v>
      </c>
      <c r="DAN19" s="310" t="s">
        <v>202</v>
      </c>
      <c r="DAO19" s="310" t="s">
        <v>202</v>
      </c>
      <c r="DAP19" s="310" t="s">
        <v>202</v>
      </c>
      <c r="DAQ19" s="310" t="s">
        <v>202</v>
      </c>
      <c r="DAR19" s="310" t="s">
        <v>202</v>
      </c>
      <c r="DAS19" s="310" t="s">
        <v>202</v>
      </c>
      <c r="DAT19" s="310" t="s">
        <v>202</v>
      </c>
      <c r="DAU19" s="310" t="s">
        <v>202</v>
      </c>
      <c r="DAV19" s="310" t="s">
        <v>202</v>
      </c>
      <c r="DAW19" s="310" t="s">
        <v>202</v>
      </c>
      <c r="DAX19" s="310" t="s">
        <v>202</v>
      </c>
      <c r="DAY19" s="310" t="s">
        <v>202</v>
      </c>
      <c r="DAZ19" s="310" t="s">
        <v>202</v>
      </c>
      <c r="DBA19" s="310" t="s">
        <v>202</v>
      </c>
      <c r="DBB19" s="310" t="s">
        <v>202</v>
      </c>
      <c r="DBC19" s="310" t="s">
        <v>202</v>
      </c>
      <c r="DBD19" s="310" t="s">
        <v>202</v>
      </c>
      <c r="DBE19" s="310" t="s">
        <v>202</v>
      </c>
      <c r="DBF19" s="310" t="s">
        <v>202</v>
      </c>
      <c r="DBG19" s="310" t="s">
        <v>202</v>
      </c>
      <c r="DBH19" s="310" t="s">
        <v>202</v>
      </c>
      <c r="DBI19" s="310" t="s">
        <v>202</v>
      </c>
      <c r="DBJ19" s="310" t="s">
        <v>202</v>
      </c>
      <c r="DBK19" s="310" t="s">
        <v>202</v>
      </c>
      <c r="DBL19" s="310" t="s">
        <v>202</v>
      </c>
      <c r="DBM19" s="310" t="s">
        <v>202</v>
      </c>
      <c r="DBN19" s="310" t="s">
        <v>202</v>
      </c>
      <c r="DBO19" s="310" t="s">
        <v>202</v>
      </c>
      <c r="DBP19" s="310" t="s">
        <v>202</v>
      </c>
      <c r="DBQ19" s="310" t="s">
        <v>202</v>
      </c>
      <c r="DBR19" s="310" t="s">
        <v>202</v>
      </c>
      <c r="DBS19" s="310" t="s">
        <v>202</v>
      </c>
      <c r="DBT19" s="310" t="s">
        <v>202</v>
      </c>
      <c r="DBU19" s="310" t="s">
        <v>202</v>
      </c>
      <c r="DBV19" s="310" t="s">
        <v>202</v>
      </c>
      <c r="DBW19" s="310" t="s">
        <v>202</v>
      </c>
      <c r="DBX19" s="310" t="s">
        <v>202</v>
      </c>
      <c r="DBY19" s="310" t="s">
        <v>202</v>
      </c>
      <c r="DBZ19" s="310" t="s">
        <v>202</v>
      </c>
      <c r="DCA19" s="310" t="s">
        <v>202</v>
      </c>
      <c r="DCB19" s="310" t="s">
        <v>202</v>
      </c>
      <c r="DCC19" s="310" t="s">
        <v>202</v>
      </c>
      <c r="DCD19" s="310" t="s">
        <v>202</v>
      </c>
      <c r="DCE19" s="310" t="s">
        <v>202</v>
      </c>
      <c r="DCF19" s="310" t="s">
        <v>202</v>
      </c>
      <c r="DCG19" s="310" t="s">
        <v>202</v>
      </c>
      <c r="DCH19" s="310" t="s">
        <v>202</v>
      </c>
      <c r="DCI19" s="310" t="s">
        <v>202</v>
      </c>
      <c r="DCJ19" s="310" t="s">
        <v>202</v>
      </c>
      <c r="DCK19" s="310" t="s">
        <v>202</v>
      </c>
      <c r="DCL19" s="310" t="s">
        <v>202</v>
      </c>
      <c r="DCM19" s="310" t="s">
        <v>202</v>
      </c>
      <c r="DCN19" s="310" t="s">
        <v>202</v>
      </c>
      <c r="DCO19" s="310" t="s">
        <v>202</v>
      </c>
      <c r="DCP19" s="310" t="s">
        <v>202</v>
      </c>
      <c r="DCQ19" s="310" t="s">
        <v>202</v>
      </c>
      <c r="DCR19" s="310" t="s">
        <v>202</v>
      </c>
      <c r="DCS19" s="310" t="s">
        <v>202</v>
      </c>
      <c r="DCT19" s="310" t="s">
        <v>202</v>
      </c>
      <c r="DCU19" s="310" t="s">
        <v>202</v>
      </c>
      <c r="DCV19" s="310" t="s">
        <v>202</v>
      </c>
      <c r="DCW19" s="310" t="s">
        <v>202</v>
      </c>
      <c r="DCX19" s="310" t="s">
        <v>202</v>
      </c>
      <c r="DCY19" s="310" t="s">
        <v>202</v>
      </c>
      <c r="DCZ19" s="310" t="s">
        <v>202</v>
      </c>
      <c r="DDA19" s="310" t="s">
        <v>202</v>
      </c>
      <c r="DDB19" s="310" t="s">
        <v>202</v>
      </c>
      <c r="DDC19" s="310" t="s">
        <v>202</v>
      </c>
      <c r="DDD19" s="310" t="s">
        <v>202</v>
      </c>
      <c r="DDE19" s="310" t="s">
        <v>202</v>
      </c>
      <c r="DDF19" s="310" t="s">
        <v>202</v>
      </c>
      <c r="DDG19" s="310" t="s">
        <v>202</v>
      </c>
      <c r="DDH19" s="310" t="s">
        <v>202</v>
      </c>
      <c r="DDI19" s="310" t="s">
        <v>202</v>
      </c>
      <c r="DDJ19" s="310" t="s">
        <v>202</v>
      </c>
      <c r="DDK19" s="310" t="s">
        <v>202</v>
      </c>
      <c r="DDL19" s="310" t="s">
        <v>202</v>
      </c>
      <c r="DDM19" s="310" t="s">
        <v>202</v>
      </c>
      <c r="DDN19" s="310" t="s">
        <v>202</v>
      </c>
      <c r="DDO19" s="310" t="s">
        <v>202</v>
      </c>
      <c r="DDP19" s="310" t="s">
        <v>202</v>
      </c>
      <c r="DDQ19" s="310" t="s">
        <v>202</v>
      </c>
      <c r="DDR19" s="310" t="s">
        <v>202</v>
      </c>
      <c r="DDS19" s="310" t="s">
        <v>202</v>
      </c>
      <c r="DDT19" s="310" t="s">
        <v>202</v>
      </c>
      <c r="DDU19" s="310" t="s">
        <v>202</v>
      </c>
      <c r="DDV19" s="310" t="s">
        <v>202</v>
      </c>
      <c r="DDW19" s="310" t="s">
        <v>202</v>
      </c>
      <c r="DDX19" s="310" t="s">
        <v>202</v>
      </c>
      <c r="DDY19" s="310" t="s">
        <v>202</v>
      </c>
      <c r="DDZ19" s="310" t="s">
        <v>202</v>
      </c>
      <c r="DEA19" s="310" t="s">
        <v>202</v>
      </c>
      <c r="DEB19" s="310" t="s">
        <v>202</v>
      </c>
      <c r="DEC19" s="310" t="s">
        <v>202</v>
      </c>
      <c r="DED19" s="310" t="s">
        <v>202</v>
      </c>
      <c r="DEE19" s="310" t="s">
        <v>202</v>
      </c>
      <c r="DEF19" s="310" t="s">
        <v>202</v>
      </c>
      <c r="DEG19" s="310" t="s">
        <v>202</v>
      </c>
      <c r="DEH19" s="310" t="s">
        <v>202</v>
      </c>
      <c r="DEI19" s="310" t="s">
        <v>202</v>
      </c>
      <c r="DEJ19" s="310" t="s">
        <v>202</v>
      </c>
      <c r="DEK19" s="310" t="s">
        <v>202</v>
      </c>
      <c r="DEL19" s="310" t="s">
        <v>202</v>
      </c>
      <c r="DEM19" s="310" t="s">
        <v>202</v>
      </c>
      <c r="DEN19" s="310" t="s">
        <v>202</v>
      </c>
      <c r="DEO19" s="310" t="s">
        <v>202</v>
      </c>
      <c r="DEP19" s="310" t="s">
        <v>202</v>
      </c>
      <c r="DEQ19" s="310" t="s">
        <v>202</v>
      </c>
      <c r="DER19" s="310" t="s">
        <v>202</v>
      </c>
      <c r="DES19" s="310" t="s">
        <v>202</v>
      </c>
      <c r="DET19" s="310" t="s">
        <v>202</v>
      </c>
      <c r="DEU19" s="310" t="s">
        <v>202</v>
      </c>
      <c r="DEV19" s="310" t="s">
        <v>202</v>
      </c>
      <c r="DEW19" s="310" t="s">
        <v>202</v>
      </c>
      <c r="DEX19" s="310" t="s">
        <v>202</v>
      </c>
      <c r="DEY19" s="310" t="s">
        <v>202</v>
      </c>
      <c r="DEZ19" s="310" t="s">
        <v>202</v>
      </c>
      <c r="DFA19" s="310" t="s">
        <v>202</v>
      </c>
      <c r="DFB19" s="310" t="s">
        <v>202</v>
      </c>
      <c r="DFC19" s="310" t="s">
        <v>202</v>
      </c>
      <c r="DFD19" s="310" t="s">
        <v>202</v>
      </c>
      <c r="DFE19" s="310" t="s">
        <v>202</v>
      </c>
      <c r="DFF19" s="310" t="s">
        <v>202</v>
      </c>
      <c r="DFG19" s="310" t="s">
        <v>202</v>
      </c>
      <c r="DFH19" s="310" t="s">
        <v>202</v>
      </c>
      <c r="DFI19" s="310" t="s">
        <v>202</v>
      </c>
      <c r="DFJ19" s="310" t="s">
        <v>202</v>
      </c>
      <c r="DFK19" s="310" t="s">
        <v>202</v>
      </c>
      <c r="DFL19" s="310" t="s">
        <v>202</v>
      </c>
      <c r="DFM19" s="310" t="s">
        <v>202</v>
      </c>
      <c r="DFN19" s="310" t="s">
        <v>202</v>
      </c>
      <c r="DFO19" s="310" t="s">
        <v>202</v>
      </c>
      <c r="DFP19" s="310" t="s">
        <v>202</v>
      </c>
      <c r="DFQ19" s="310" t="s">
        <v>202</v>
      </c>
      <c r="DFR19" s="310" t="s">
        <v>202</v>
      </c>
      <c r="DFS19" s="310" t="s">
        <v>202</v>
      </c>
      <c r="DFT19" s="310" t="s">
        <v>202</v>
      </c>
      <c r="DFU19" s="310" t="s">
        <v>202</v>
      </c>
      <c r="DFV19" s="310" t="s">
        <v>202</v>
      </c>
      <c r="DFW19" s="310" t="s">
        <v>202</v>
      </c>
      <c r="DFX19" s="310" t="s">
        <v>202</v>
      </c>
      <c r="DFY19" s="310" t="s">
        <v>202</v>
      </c>
      <c r="DFZ19" s="310" t="s">
        <v>202</v>
      </c>
      <c r="DGA19" s="310" t="s">
        <v>202</v>
      </c>
      <c r="DGB19" s="310" t="s">
        <v>202</v>
      </c>
      <c r="DGC19" s="310" t="s">
        <v>202</v>
      </c>
      <c r="DGD19" s="310" t="s">
        <v>202</v>
      </c>
      <c r="DGE19" s="310" t="s">
        <v>202</v>
      </c>
      <c r="DGF19" s="310" t="s">
        <v>202</v>
      </c>
      <c r="DGG19" s="310" t="s">
        <v>202</v>
      </c>
      <c r="DGH19" s="310" t="s">
        <v>202</v>
      </c>
      <c r="DGI19" s="310" t="s">
        <v>202</v>
      </c>
      <c r="DGJ19" s="310" t="s">
        <v>202</v>
      </c>
      <c r="DGK19" s="310" t="s">
        <v>202</v>
      </c>
      <c r="DGL19" s="310" t="s">
        <v>202</v>
      </c>
      <c r="DGM19" s="310" t="s">
        <v>202</v>
      </c>
      <c r="DGN19" s="310" t="s">
        <v>202</v>
      </c>
      <c r="DGO19" s="310" t="s">
        <v>202</v>
      </c>
      <c r="DGP19" s="310" t="s">
        <v>202</v>
      </c>
      <c r="DGQ19" s="310" t="s">
        <v>202</v>
      </c>
      <c r="DGR19" s="310" t="s">
        <v>202</v>
      </c>
      <c r="DGS19" s="310" t="s">
        <v>202</v>
      </c>
      <c r="DGT19" s="310" t="s">
        <v>202</v>
      </c>
      <c r="DGU19" s="310" t="s">
        <v>202</v>
      </c>
      <c r="DGV19" s="310" t="s">
        <v>202</v>
      </c>
      <c r="DGW19" s="310" t="s">
        <v>202</v>
      </c>
      <c r="DGX19" s="310" t="s">
        <v>202</v>
      </c>
      <c r="DGY19" s="310" t="s">
        <v>202</v>
      </c>
      <c r="DGZ19" s="310" t="s">
        <v>202</v>
      </c>
      <c r="DHA19" s="310" t="s">
        <v>202</v>
      </c>
      <c r="DHB19" s="310" t="s">
        <v>202</v>
      </c>
      <c r="DHC19" s="310" t="s">
        <v>202</v>
      </c>
      <c r="DHD19" s="310" t="s">
        <v>202</v>
      </c>
      <c r="DHE19" s="310" t="s">
        <v>202</v>
      </c>
      <c r="DHF19" s="310" t="s">
        <v>202</v>
      </c>
      <c r="DHG19" s="310" t="s">
        <v>202</v>
      </c>
      <c r="DHH19" s="310" t="s">
        <v>202</v>
      </c>
      <c r="DHI19" s="310" t="s">
        <v>202</v>
      </c>
      <c r="DHJ19" s="310" t="s">
        <v>202</v>
      </c>
      <c r="DHK19" s="310" t="s">
        <v>202</v>
      </c>
      <c r="DHL19" s="310" t="s">
        <v>202</v>
      </c>
      <c r="DHM19" s="310" t="s">
        <v>202</v>
      </c>
      <c r="DHN19" s="310" t="s">
        <v>202</v>
      </c>
      <c r="DHO19" s="310" t="s">
        <v>202</v>
      </c>
      <c r="DHP19" s="310" t="s">
        <v>202</v>
      </c>
      <c r="DHQ19" s="310" t="s">
        <v>202</v>
      </c>
      <c r="DHR19" s="310" t="s">
        <v>202</v>
      </c>
      <c r="DHS19" s="310" t="s">
        <v>202</v>
      </c>
      <c r="DHT19" s="310" t="s">
        <v>202</v>
      </c>
      <c r="DHU19" s="310" t="s">
        <v>202</v>
      </c>
      <c r="DHV19" s="310" t="s">
        <v>202</v>
      </c>
      <c r="DHW19" s="310" t="s">
        <v>202</v>
      </c>
      <c r="DHX19" s="310" t="s">
        <v>202</v>
      </c>
      <c r="DHY19" s="310" t="s">
        <v>202</v>
      </c>
      <c r="DHZ19" s="310" t="s">
        <v>202</v>
      </c>
      <c r="DIA19" s="310" t="s">
        <v>202</v>
      </c>
      <c r="DIB19" s="310" t="s">
        <v>202</v>
      </c>
      <c r="DIC19" s="310" t="s">
        <v>202</v>
      </c>
      <c r="DID19" s="310" t="s">
        <v>202</v>
      </c>
      <c r="DIE19" s="310" t="s">
        <v>202</v>
      </c>
      <c r="DIF19" s="310" t="s">
        <v>202</v>
      </c>
      <c r="DIG19" s="310" t="s">
        <v>202</v>
      </c>
      <c r="DIH19" s="310" t="s">
        <v>202</v>
      </c>
      <c r="DII19" s="310" t="s">
        <v>202</v>
      </c>
      <c r="DIJ19" s="310" t="s">
        <v>202</v>
      </c>
      <c r="DIK19" s="310" t="s">
        <v>202</v>
      </c>
      <c r="DIL19" s="310" t="s">
        <v>202</v>
      </c>
      <c r="DIM19" s="310" t="s">
        <v>202</v>
      </c>
      <c r="DIN19" s="310" t="s">
        <v>202</v>
      </c>
      <c r="DIO19" s="310" t="s">
        <v>202</v>
      </c>
      <c r="DIP19" s="310" t="s">
        <v>202</v>
      </c>
      <c r="DIQ19" s="310" t="s">
        <v>202</v>
      </c>
      <c r="DIR19" s="310" t="s">
        <v>202</v>
      </c>
      <c r="DIS19" s="310" t="s">
        <v>202</v>
      </c>
      <c r="DIT19" s="310" t="s">
        <v>202</v>
      </c>
      <c r="DIU19" s="310" t="s">
        <v>202</v>
      </c>
      <c r="DIV19" s="310" t="s">
        <v>202</v>
      </c>
      <c r="DIW19" s="310" t="s">
        <v>202</v>
      </c>
      <c r="DIX19" s="310" t="s">
        <v>202</v>
      </c>
      <c r="DIY19" s="310" t="s">
        <v>202</v>
      </c>
      <c r="DIZ19" s="310" t="s">
        <v>202</v>
      </c>
      <c r="DJA19" s="310" t="s">
        <v>202</v>
      </c>
      <c r="DJB19" s="310" t="s">
        <v>202</v>
      </c>
      <c r="DJC19" s="310" t="s">
        <v>202</v>
      </c>
      <c r="DJD19" s="310" t="s">
        <v>202</v>
      </c>
      <c r="DJE19" s="310" t="s">
        <v>202</v>
      </c>
      <c r="DJF19" s="310" t="s">
        <v>202</v>
      </c>
      <c r="DJG19" s="310" t="s">
        <v>202</v>
      </c>
      <c r="DJH19" s="310" t="s">
        <v>202</v>
      </c>
      <c r="DJI19" s="310" t="s">
        <v>202</v>
      </c>
      <c r="DJJ19" s="310" t="s">
        <v>202</v>
      </c>
      <c r="DJK19" s="310" t="s">
        <v>202</v>
      </c>
      <c r="DJL19" s="310" t="s">
        <v>202</v>
      </c>
      <c r="DJM19" s="310" t="s">
        <v>202</v>
      </c>
      <c r="DJN19" s="310" t="s">
        <v>202</v>
      </c>
      <c r="DJO19" s="310" t="s">
        <v>202</v>
      </c>
      <c r="DJP19" s="310" t="s">
        <v>202</v>
      </c>
      <c r="DJQ19" s="310" t="s">
        <v>202</v>
      </c>
      <c r="DJR19" s="310" t="s">
        <v>202</v>
      </c>
      <c r="DJS19" s="310" t="s">
        <v>202</v>
      </c>
      <c r="DJT19" s="310" t="s">
        <v>202</v>
      </c>
      <c r="DJU19" s="310" t="s">
        <v>202</v>
      </c>
      <c r="DJV19" s="310" t="s">
        <v>202</v>
      </c>
      <c r="DJW19" s="310" t="s">
        <v>202</v>
      </c>
      <c r="DJX19" s="310" t="s">
        <v>202</v>
      </c>
      <c r="DJY19" s="310" t="s">
        <v>202</v>
      </c>
      <c r="DJZ19" s="310" t="s">
        <v>202</v>
      </c>
      <c r="DKA19" s="310" t="s">
        <v>202</v>
      </c>
      <c r="DKB19" s="310" t="s">
        <v>202</v>
      </c>
      <c r="DKC19" s="310" t="s">
        <v>202</v>
      </c>
      <c r="DKD19" s="310" t="s">
        <v>202</v>
      </c>
      <c r="DKE19" s="310" t="s">
        <v>202</v>
      </c>
      <c r="DKF19" s="310" t="s">
        <v>202</v>
      </c>
      <c r="DKG19" s="310" t="s">
        <v>202</v>
      </c>
      <c r="DKH19" s="310" t="s">
        <v>202</v>
      </c>
      <c r="DKI19" s="310" t="s">
        <v>202</v>
      </c>
      <c r="DKJ19" s="310" t="s">
        <v>202</v>
      </c>
      <c r="DKK19" s="310" t="s">
        <v>202</v>
      </c>
      <c r="DKL19" s="310" t="s">
        <v>202</v>
      </c>
      <c r="DKM19" s="310" t="s">
        <v>202</v>
      </c>
      <c r="DKN19" s="310" t="s">
        <v>202</v>
      </c>
      <c r="DKO19" s="310" t="s">
        <v>202</v>
      </c>
      <c r="DKP19" s="310" t="s">
        <v>202</v>
      </c>
      <c r="DKQ19" s="310" t="s">
        <v>202</v>
      </c>
      <c r="DKR19" s="310" t="s">
        <v>202</v>
      </c>
      <c r="DKS19" s="310" t="s">
        <v>202</v>
      </c>
      <c r="DKT19" s="310" t="s">
        <v>202</v>
      </c>
      <c r="DKU19" s="310" t="s">
        <v>202</v>
      </c>
      <c r="DKV19" s="310" t="s">
        <v>202</v>
      </c>
      <c r="DKW19" s="310" t="s">
        <v>202</v>
      </c>
      <c r="DKX19" s="310" t="s">
        <v>202</v>
      </c>
      <c r="DKY19" s="310" t="s">
        <v>202</v>
      </c>
      <c r="DKZ19" s="310" t="s">
        <v>202</v>
      </c>
      <c r="DLA19" s="310" t="s">
        <v>202</v>
      </c>
      <c r="DLB19" s="310" t="s">
        <v>202</v>
      </c>
      <c r="DLC19" s="310" t="s">
        <v>202</v>
      </c>
      <c r="DLD19" s="310" t="s">
        <v>202</v>
      </c>
      <c r="DLE19" s="310" t="s">
        <v>202</v>
      </c>
      <c r="DLF19" s="310" t="s">
        <v>202</v>
      </c>
      <c r="DLG19" s="310" t="s">
        <v>202</v>
      </c>
      <c r="DLH19" s="310" t="s">
        <v>202</v>
      </c>
      <c r="DLI19" s="310" t="s">
        <v>202</v>
      </c>
      <c r="DLJ19" s="310" t="s">
        <v>202</v>
      </c>
      <c r="DLK19" s="310" t="s">
        <v>202</v>
      </c>
      <c r="DLL19" s="310" t="s">
        <v>202</v>
      </c>
      <c r="DLM19" s="310" t="s">
        <v>202</v>
      </c>
      <c r="DLN19" s="310" t="s">
        <v>202</v>
      </c>
      <c r="DLO19" s="310" t="s">
        <v>202</v>
      </c>
      <c r="DLP19" s="310" t="s">
        <v>202</v>
      </c>
      <c r="DLQ19" s="310" t="s">
        <v>202</v>
      </c>
      <c r="DLR19" s="310" t="s">
        <v>202</v>
      </c>
      <c r="DLS19" s="310" t="s">
        <v>202</v>
      </c>
      <c r="DLT19" s="310" t="s">
        <v>202</v>
      </c>
      <c r="DLU19" s="310" t="s">
        <v>202</v>
      </c>
      <c r="DLV19" s="310" t="s">
        <v>202</v>
      </c>
      <c r="DLW19" s="310" t="s">
        <v>202</v>
      </c>
      <c r="DLX19" s="310" t="s">
        <v>202</v>
      </c>
      <c r="DLY19" s="310" t="s">
        <v>202</v>
      </c>
      <c r="DLZ19" s="310" t="s">
        <v>202</v>
      </c>
      <c r="DMA19" s="310" t="s">
        <v>202</v>
      </c>
      <c r="DMB19" s="310" t="s">
        <v>202</v>
      </c>
      <c r="DMC19" s="310" t="s">
        <v>202</v>
      </c>
      <c r="DMD19" s="310" t="s">
        <v>202</v>
      </c>
      <c r="DME19" s="310" t="s">
        <v>202</v>
      </c>
      <c r="DMF19" s="310" t="s">
        <v>202</v>
      </c>
      <c r="DMG19" s="310" t="s">
        <v>202</v>
      </c>
      <c r="DMH19" s="310" t="s">
        <v>202</v>
      </c>
      <c r="DMI19" s="310" t="s">
        <v>202</v>
      </c>
      <c r="DMJ19" s="310" t="s">
        <v>202</v>
      </c>
      <c r="DMK19" s="310" t="s">
        <v>202</v>
      </c>
      <c r="DML19" s="310" t="s">
        <v>202</v>
      </c>
      <c r="DMM19" s="310" t="s">
        <v>202</v>
      </c>
      <c r="DMN19" s="310" t="s">
        <v>202</v>
      </c>
      <c r="DMO19" s="310" t="s">
        <v>202</v>
      </c>
      <c r="DMP19" s="310" t="s">
        <v>202</v>
      </c>
      <c r="DMQ19" s="310" t="s">
        <v>202</v>
      </c>
      <c r="DMR19" s="310" t="s">
        <v>202</v>
      </c>
      <c r="DMS19" s="310" t="s">
        <v>202</v>
      </c>
      <c r="DMT19" s="310" t="s">
        <v>202</v>
      </c>
      <c r="DMU19" s="310" t="s">
        <v>202</v>
      </c>
      <c r="DMV19" s="310" t="s">
        <v>202</v>
      </c>
      <c r="DMW19" s="310" t="s">
        <v>202</v>
      </c>
      <c r="DMX19" s="310" t="s">
        <v>202</v>
      </c>
      <c r="DMY19" s="310" t="s">
        <v>202</v>
      </c>
      <c r="DMZ19" s="310" t="s">
        <v>202</v>
      </c>
      <c r="DNA19" s="310" t="s">
        <v>202</v>
      </c>
      <c r="DNB19" s="310" t="s">
        <v>202</v>
      </c>
      <c r="DNC19" s="310" t="s">
        <v>202</v>
      </c>
      <c r="DND19" s="310" t="s">
        <v>202</v>
      </c>
      <c r="DNE19" s="310" t="s">
        <v>202</v>
      </c>
      <c r="DNF19" s="310" t="s">
        <v>202</v>
      </c>
      <c r="DNG19" s="310" t="s">
        <v>202</v>
      </c>
      <c r="DNH19" s="310" t="s">
        <v>202</v>
      </c>
      <c r="DNI19" s="310" t="s">
        <v>202</v>
      </c>
      <c r="DNJ19" s="310" t="s">
        <v>202</v>
      </c>
      <c r="DNK19" s="310" t="s">
        <v>202</v>
      </c>
      <c r="DNL19" s="310" t="s">
        <v>202</v>
      </c>
      <c r="DNM19" s="310" t="s">
        <v>202</v>
      </c>
      <c r="DNN19" s="310" t="s">
        <v>202</v>
      </c>
      <c r="DNO19" s="310" t="s">
        <v>202</v>
      </c>
      <c r="DNP19" s="310" t="s">
        <v>202</v>
      </c>
      <c r="DNQ19" s="310" t="s">
        <v>202</v>
      </c>
      <c r="DNR19" s="310" t="s">
        <v>202</v>
      </c>
      <c r="DNS19" s="310" t="s">
        <v>202</v>
      </c>
      <c r="DNT19" s="310" t="s">
        <v>202</v>
      </c>
      <c r="DNU19" s="310" t="s">
        <v>202</v>
      </c>
      <c r="DNV19" s="310" t="s">
        <v>202</v>
      </c>
      <c r="DNW19" s="310" t="s">
        <v>202</v>
      </c>
      <c r="DNX19" s="310" t="s">
        <v>202</v>
      </c>
      <c r="DNY19" s="310" t="s">
        <v>202</v>
      </c>
      <c r="DNZ19" s="310" t="s">
        <v>202</v>
      </c>
      <c r="DOA19" s="310" t="s">
        <v>202</v>
      </c>
      <c r="DOB19" s="310" t="s">
        <v>202</v>
      </c>
      <c r="DOC19" s="310" t="s">
        <v>202</v>
      </c>
      <c r="DOD19" s="310" t="s">
        <v>202</v>
      </c>
      <c r="DOE19" s="310" t="s">
        <v>202</v>
      </c>
      <c r="DOF19" s="310" t="s">
        <v>202</v>
      </c>
      <c r="DOG19" s="310" t="s">
        <v>202</v>
      </c>
      <c r="DOH19" s="310" t="s">
        <v>202</v>
      </c>
      <c r="DOI19" s="310" t="s">
        <v>202</v>
      </c>
      <c r="DOJ19" s="310" t="s">
        <v>202</v>
      </c>
      <c r="DOK19" s="310" t="s">
        <v>202</v>
      </c>
      <c r="DOL19" s="310" t="s">
        <v>202</v>
      </c>
      <c r="DOM19" s="310" t="s">
        <v>202</v>
      </c>
      <c r="DON19" s="310" t="s">
        <v>202</v>
      </c>
      <c r="DOO19" s="310" t="s">
        <v>202</v>
      </c>
      <c r="DOP19" s="310" t="s">
        <v>202</v>
      </c>
      <c r="DOQ19" s="310" t="s">
        <v>202</v>
      </c>
      <c r="DOR19" s="310" t="s">
        <v>202</v>
      </c>
      <c r="DOS19" s="310" t="s">
        <v>202</v>
      </c>
      <c r="DOT19" s="310" t="s">
        <v>202</v>
      </c>
      <c r="DOU19" s="310" t="s">
        <v>202</v>
      </c>
      <c r="DOV19" s="310" t="s">
        <v>202</v>
      </c>
      <c r="DOW19" s="310" t="s">
        <v>202</v>
      </c>
      <c r="DOX19" s="310" t="s">
        <v>202</v>
      </c>
      <c r="DOY19" s="310" t="s">
        <v>202</v>
      </c>
      <c r="DOZ19" s="310" t="s">
        <v>202</v>
      </c>
      <c r="DPA19" s="310" t="s">
        <v>202</v>
      </c>
      <c r="DPB19" s="310" t="s">
        <v>202</v>
      </c>
      <c r="DPC19" s="310" t="s">
        <v>202</v>
      </c>
      <c r="DPD19" s="310" t="s">
        <v>202</v>
      </c>
      <c r="DPE19" s="310" t="s">
        <v>202</v>
      </c>
      <c r="DPF19" s="310" t="s">
        <v>202</v>
      </c>
      <c r="DPG19" s="310" t="s">
        <v>202</v>
      </c>
      <c r="DPH19" s="310" t="s">
        <v>202</v>
      </c>
      <c r="DPI19" s="310" t="s">
        <v>202</v>
      </c>
      <c r="DPJ19" s="310" t="s">
        <v>202</v>
      </c>
      <c r="DPK19" s="310" t="s">
        <v>202</v>
      </c>
      <c r="DPL19" s="310" t="s">
        <v>202</v>
      </c>
      <c r="DPM19" s="310" t="s">
        <v>202</v>
      </c>
      <c r="DPN19" s="310" t="s">
        <v>202</v>
      </c>
      <c r="DPO19" s="310" t="s">
        <v>202</v>
      </c>
      <c r="DPP19" s="310" t="s">
        <v>202</v>
      </c>
      <c r="DPQ19" s="310" t="s">
        <v>202</v>
      </c>
      <c r="DPR19" s="310" t="s">
        <v>202</v>
      </c>
      <c r="DPS19" s="310" t="s">
        <v>202</v>
      </c>
      <c r="DPT19" s="310" t="s">
        <v>202</v>
      </c>
      <c r="DPU19" s="310" t="s">
        <v>202</v>
      </c>
      <c r="DPV19" s="310" t="s">
        <v>202</v>
      </c>
      <c r="DPW19" s="310" t="s">
        <v>202</v>
      </c>
      <c r="DPX19" s="310" t="s">
        <v>202</v>
      </c>
      <c r="DPY19" s="310" t="s">
        <v>202</v>
      </c>
      <c r="DPZ19" s="310" t="s">
        <v>202</v>
      </c>
      <c r="DQA19" s="310" t="s">
        <v>202</v>
      </c>
      <c r="DQB19" s="310" t="s">
        <v>202</v>
      </c>
      <c r="DQC19" s="310" t="s">
        <v>202</v>
      </c>
      <c r="DQD19" s="310" t="s">
        <v>202</v>
      </c>
      <c r="DQE19" s="310" t="s">
        <v>202</v>
      </c>
      <c r="DQF19" s="310" t="s">
        <v>202</v>
      </c>
      <c r="DQG19" s="310" t="s">
        <v>202</v>
      </c>
      <c r="DQH19" s="310" t="s">
        <v>202</v>
      </c>
      <c r="DQI19" s="310" t="s">
        <v>202</v>
      </c>
      <c r="DQJ19" s="310" t="s">
        <v>202</v>
      </c>
      <c r="DQK19" s="310" t="s">
        <v>202</v>
      </c>
      <c r="DQL19" s="310" t="s">
        <v>202</v>
      </c>
      <c r="DQM19" s="310" t="s">
        <v>202</v>
      </c>
      <c r="DQN19" s="310" t="s">
        <v>202</v>
      </c>
      <c r="DQO19" s="310" t="s">
        <v>202</v>
      </c>
      <c r="DQP19" s="310" t="s">
        <v>202</v>
      </c>
      <c r="DQQ19" s="310" t="s">
        <v>202</v>
      </c>
      <c r="DQR19" s="310" t="s">
        <v>202</v>
      </c>
      <c r="DQS19" s="310" t="s">
        <v>202</v>
      </c>
      <c r="DQT19" s="310" t="s">
        <v>202</v>
      </c>
      <c r="DQU19" s="310" t="s">
        <v>202</v>
      </c>
      <c r="DQV19" s="310" t="s">
        <v>202</v>
      </c>
      <c r="DQW19" s="310" t="s">
        <v>202</v>
      </c>
      <c r="DQX19" s="310" t="s">
        <v>202</v>
      </c>
      <c r="DQY19" s="310" t="s">
        <v>202</v>
      </c>
      <c r="DQZ19" s="310" t="s">
        <v>202</v>
      </c>
      <c r="DRA19" s="310" t="s">
        <v>202</v>
      </c>
      <c r="DRB19" s="310" t="s">
        <v>202</v>
      </c>
      <c r="DRC19" s="310" t="s">
        <v>202</v>
      </c>
      <c r="DRD19" s="310" t="s">
        <v>202</v>
      </c>
      <c r="DRE19" s="310" t="s">
        <v>202</v>
      </c>
      <c r="DRF19" s="310" t="s">
        <v>202</v>
      </c>
      <c r="DRG19" s="310" t="s">
        <v>202</v>
      </c>
      <c r="DRH19" s="310" t="s">
        <v>202</v>
      </c>
      <c r="DRI19" s="310" t="s">
        <v>202</v>
      </c>
      <c r="DRJ19" s="310" t="s">
        <v>202</v>
      </c>
      <c r="DRK19" s="310" t="s">
        <v>202</v>
      </c>
      <c r="DRL19" s="310" t="s">
        <v>202</v>
      </c>
      <c r="DRM19" s="310" t="s">
        <v>202</v>
      </c>
      <c r="DRN19" s="310" t="s">
        <v>202</v>
      </c>
      <c r="DRO19" s="310" t="s">
        <v>202</v>
      </c>
      <c r="DRP19" s="310" t="s">
        <v>202</v>
      </c>
      <c r="DRQ19" s="310" t="s">
        <v>202</v>
      </c>
      <c r="DRR19" s="310" t="s">
        <v>202</v>
      </c>
      <c r="DRS19" s="310" t="s">
        <v>202</v>
      </c>
      <c r="DRT19" s="310" t="s">
        <v>202</v>
      </c>
      <c r="DRU19" s="310" t="s">
        <v>202</v>
      </c>
      <c r="DRV19" s="310" t="s">
        <v>202</v>
      </c>
      <c r="DRW19" s="310" t="s">
        <v>202</v>
      </c>
      <c r="DRX19" s="310" t="s">
        <v>202</v>
      </c>
      <c r="DRY19" s="310" t="s">
        <v>202</v>
      </c>
      <c r="DRZ19" s="310" t="s">
        <v>202</v>
      </c>
      <c r="DSA19" s="310" t="s">
        <v>202</v>
      </c>
      <c r="DSB19" s="310" t="s">
        <v>202</v>
      </c>
      <c r="DSC19" s="310" t="s">
        <v>202</v>
      </c>
      <c r="DSD19" s="310" t="s">
        <v>202</v>
      </c>
      <c r="DSE19" s="310" t="s">
        <v>202</v>
      </c>
      <c r="DSF19" s="310" t="s">
        <v>202</v>
      </c>
      <c r="DSG19" s="310" t="s">
        <v>202</v>
      </c>
      <c r="DSH19" s="310" t="s">
        <v>202</v>
      </c>
      <c r="DSI19" s="310" t="s">
        <v>202</v>
      </c>
      <c r="DSJ19" s="310" t="s">
        <v>202</v>
      </c>
      <c r="DSK19" s="310" t="s">
        <v>202</v>
      </c>
      <c r="DSL19" s="310" t="s">
        <v>202</v>
      </c>
      <c r="DSM19" s="310" t="s">
        <v>202</v>
      </c>
      <c r="DSN19" s="310" t="s">
        <v>202</v>
      </c>
      <c r="DSO19" s="310" t="s">
        <v>202</v>
      </c>
      <c r="DSP19" s="310" t="s">
        <v>202</v>
      </c>
      <c r="DSQ19" s="310" t="s">
        <v>202</v>
      </c>
      <c r="DSR19" s="310" t="s">
        <v>202</v>
      </c>
      <c r="DSS19" s="310" t="s">
        <v>202</v>
      </c>
      <c r="DST19" s="310" t="s">
        <v>202</v>
      </c>
      <c r="DSU19" s="310" t="s">
        <v>202</v>
      </c>
      <c r="DSV19" s="310" t="s">
        <v>202</v>
      </c>
      <c r="DSW19" s="310" t="s">
        <v>202</v>
      </c>
      <c r="DSX19" s="310" t="s">
        <v>202</v>
      </c>
      <c r="DSY19" s="310" t="s">
        <v>202</v>
      </c>
      <c r="DSZ19" s="310" t="s">
        <v>202</v>
      </c>
      <c r="DTA19" s="310" t="s">
        <v>202</v>
      </c>
      <c r="DTB19" s="310" t="s">
        <v>202</v>
      </c>
      <c r="DTC19" s="310" t="s">
        <v>202</v>
      </c>
      <c r="DTD19" s="310" t="s">
        <v>202</v>
      </c>
      <c r="DTE19" s="310" t="s">
        <v>202</v>
      </c>
      <c r="DTF19" s="310" t="s">
        <v>202</v>
      </c>
      <c r="DTG19" s="310" t="s">
        <v>202</v>
      </c>
      <c r="DTH19" s="310" t="s">
        <v>202</v>
      </c>
      <c r="DTI19" s="310" t="s">
        <v>202</v>
      </c>
      <c r="DTJ19" s="310" t="s">
        <v>202</v>
      </c>
      <c r="DTK19" s="310" t="s">
        <v>202</v>
      </c>
      <c r="DTL19" s="310" t="s">
        <v>202</v>
      </c>
      <c r="DTM19" s="310" t="s">
        <v>202</v>
      </c>
      <c r="DTN19" s="310" t="s">
        <v>202</v>
      </c>
      <c r="DTO19" s="310" t="s">
        <v>202</v>
      </c>
      <c r="DTP19" s="310" t="s">
        <v>202</v>
      </c>
      <c r="DTQ19" s="310" t="s">
        <v>202</v>
      </c>
      <c r="DTR19" s="310" t="s">
        <v>202</v>
      </c>
      <c r="DTS19" s="310" t="s">
        <v>202</v>
      </c>
      <c r="DTT19" s="310" t="s">
        <v>202</v>
      </c>
      <c r="DTU19" s="310" t="s">
        <v>202</v>
      </c>
      <c r="DTV19" s="310" t="s">
        <v>202</v>
      </c>
      <c r="DTW19" s="310" t="s">
        <v>202</v>
      </c>
      <c r="DTX19" s="310" t="s">
        <v>202</v>
      </c>
      <c r="DTY19" s="310" t="s">
        <v>202</v>
      </c>
      <c r="DTZ19" s="310" t="s">
        <v>202</v>
      </c>
      <c r="DUA19" s="310" t="s">
        <v>202</v>
      </c>
      <c r="DUB19" s="310" t="s">
        <v>202</v>
      </c>
      <c r="DUC19" s="310" t="s">
        <v>202</v>
      </c>
      <c r="DUD19" s="310" t="s">
        <v>202</v>
      </c>
      <c r="DUE19" s="310" t="s">
        <v>202</v>
      </c>
      <c r="DUF19" s="310" t="s">
        <v>202</v>
      </c>
      <c r="DUG19" s="310" t="s">
        <v>202</v>
      </c>
      <c r="DUH19" s="310" t="s">
        <v>202</v>
      </c>
      <c r="DUI19" s="310" t="s">
        <v>202</v>
      </c>
      <c r="DUJ19" s="310" t="s">
        <v>202</v>
      </c>
      <c r="DUK19" s="310" t="s">
        <v>202</v>
      </c>
      <c r="DUL19" s="310" t="s">
        <v>202</v>
      </c>
      <c r="DUM19" s="310" t="s">
        <v>202</v>
      </c>
      <c r="DUN19" s="310" t="s">
        <v>202</v>
      </c>
      <c r="DUO19" s="310" t="s">
        <v>202</v>
      </c>
      <c r="DUP19" s="310" t="s">
        <v>202</v>
      </c>
      <c r="DUQ19" s="310" t="s">
        <v>202</v>
      </c>
      <c r="DUR19" s="310" t="s">
        <v>202</v>
      </c>
      <c r="DUS19" s="310" t="s">
        <v>202</v>
      </c>
      <c r="DUT19" s="310" t="s">
        <v>202</v>
      </c>
      <c r="DUU19" s="310" t="s">
        <v>202</v>
      </c>
      <c r="DUV19" s="310" t="s">
        <v>202</v>
      </c>
      <c r="DUW19" s="310" t="s">
        <v>202</v>
      </c>
      <c r="DUX19" s="310" t="s">
        <v>202</v>
      </c>
      <c r="DUY19" s="310" t="s">
        <v>202</v>
      </c>
      <c r="DUZ19" s="310" t="s">
        <v>202</v>
      </c>
      <c r="DVA19" s="310" t="s">
        <v>202</v>
      </c>
      <c r="DVB19" s="310" t="s">
        <v>202</v>
      </c>
      <c r="DVC19" s="310" t="s">
        <v>202</v>
      </c>
      <c r="DVD19" s="310" t="s">
        <v>202</v>
      </c>
      <c r="DVE19" s="310" t="s">
        <v>202</v>
      </c>
      <c r="DVF19" s="310" t="s">
        <v>202</v>
      </c>
      <c r="DVG19" s="310" t="s">
        <v>202</v>
      </c>
      <c r="DVH19" s="310" t="s">
        <v>202</v>
      </c>
      <c r="DVI19" s="310" t="s">
        <v>202</v>
      </c>
      <c r="DVJ19" s="310" t="s">
        <v>202</v>
      </c>
      <c r="DVK19" s="310" t="s">
        <v>202</v>
      </c>
      <c r="DVL19" s="310" t="s">
        <v>202</v>
      </c>
      <c r="DVM19" s="310" t="s">
        <v>202</v>
      </c>
      <c r="DVN19" s="310" t="s">
        <v>202</v>
      </c>
      <c r="DVO19" s="310" t="s">
        <v>202</v>
      </c>
      <c r="DVP19" s="310" t="s">
        <v>202</v>
      </c>
      <c r="DVQ19" s="310" t="s">
        <v>202</v>
      </c>
      <c r="DVR19" s="310" t="s">
        <v>202</v>
      </c>
      <c r="DVS19" s="310" t="s">
        <v>202</v>
      </c>
      <c r="DVT19" s="310" t="s">
        <v>202</v>
      </c>
      <c r="DVU19" s="310" t="s">
        <v>202</v>
      </c>
      <c r="DVV19" s="310" t="s">
        <v>202</v>
      </c>
      <c r="DVW19" s="310" t="s">
        <v>202</v>
      </c>
      <c r="DVX19" s="310" t="s">
        <v>202</v>
      </c>
      <c r="DVY19" s="310" t="s">
        <v>202</v>
      </c>
      <c r="DVZ19" s="310" t="s">
        <v>202</v>
      </c>
      <c r="DWA19" s="310" t="s">
        <v>202</v>
      </c>
      <c r="DWB19" s="310" t="s">
        <v>202</v>
      </c>
      <c r="DWC19" s="310" t="s">
        <v>202</v>
      </c>
      <c r="DWD19" s="310" t="s">
        <v>202</v>
      </c>
      <c r="DWE19" s="310" t="s">
        <v>202</v>
      </c>
      <c r="DWF19" s="310" t="s">
        <v>202</v>
      </c>
      <c r="DWG19" s="310" t="s">
        <v>202</v>
      </c>
      <c r="DWH19" s="310" t="s">
        <v>202</v>
      </c>
      <c r="DWI19" s="310" t="s">
        <v>202</v>
      </c>
      <c r="DWJ19" s="310" t="s">
        <v>202</v>
      </c>
      <c r="DWK19" s="310" t="s">
        <v>202</v>
      </c>
      <c r="DWL19" s="310" t="s">
        <v>202</v>
      </c>
      <c r="DWM19" s="310" t="s">
        <v>202</v>
      </c>
      <c r="DWN19" s="310" t="s">
        <v>202</v>
      </c>
      <c r="DWO19" s="310" t="s">
        <v>202</v>
      </c>
      <c r="DWP19" s="310" t="s">
        <v>202</v>
      </c>
      <c r="DWQ19" s="310" t="s">
        <v>202</v>
      </c>
      <c r="DWR19" s="310" t="s">
        <v>202</v>
      </c>
      <c r="DWS19" s="310" t="s">
        <v>202</v>
      </c>
      <c r="DWT19" s="310" t="s">
        <v>202</v>
      </c>
      <c r="DWU19" s="310" t="s">
        <v>202</v>
      </c>
      <c r="DWV19" s="310" t="s">
        <v>202</v>
      </c>
      <c r="DWW19" s="310" t="s">
        <v>202</v>
      </c>
      <c r="DWX19" s="310" t="s">
        <v>202</v>
      </c>
      <c r="DWY19" s="310" t="s">
        <v>202</v>
      </c>
      <c r="DWZ19" s="310" t="s">
        <v>202</v>
      </c>
      <c r="DXA19" s="310" t="s">
        <v>202</v>
      </c>
      <c r="DXB19" s="310" t="s">
        <v>202</v>
      </c>
      <c r="DXC19" s="310" t="s">
        <v>202</v>
      </c>
      <c r="DXD19" s="310" t="s">
        <v>202</v>
      </c>
      <c r="DXE19" s="310" t="s">
        <v>202</v>
      </c>
      <c r="DXF19" s="310" t="s">
        <v>202</v>
      </c>
      <c r="DXG19" s="310" t="s">
        <v>202</v>
      </c>
      <c r="DXH19" s="310" t="s">
        <v>202</v>
      </c>
      <c r="DXI19" s="310" t="s">
        <v>202</v>
      </c>
      <c r="DXJ19" s="310" t="s">
        <v>202</v>
      </c>
      <c r="DXK19" s="310" t="s">
        <v>202</v>
      </c>
      <c r="DXL19" s="310" t="s">
        <v>202</v>
      </c>
      <c r="DXM19" s="310" t="s">
        <v>202</v>
      </c>
      <c r="DXN19" s="310" t="s">
        <v>202</v>
      </c>
      <c r="DXO19" s="310" t="s">
        <v>202</v>
      </c>
      <c r="DXP19" s="310" t="s">
        <v>202</v>
      </c>
      <c r="DXQ19" s="310" t="s">
        <v>202</v>
      </c>
      <c r="DXR19" s="310" t="s">
        <v>202</v>
      </c>
      <c r="DXS19" s="310" t="s">
        <v>202</v>
      </c>
      <c r="DXT19" s="310" t="s">
        <v>202</v>
      </c>
      <c r="DXU19" s="310" t="s">
        <v>202</v>
      </c>
      <c r="DXV19" s="310" t="s">
        <v>202</v>
      </c>
      <c r="DXW19" s="310" t="s">
        <v>202</v>
      </c>
      <c r="DXX19" s="310" t="s">
        <v>202</v>
      </c>
      <c r="DXY19" s="310" t="s">
        <v>202</v>
      </c>
      <c r="DXZ19" s="310" t="s">
        <v>202</v>
      </c>
      <c r="DYA19" s="310" t="s">
        <v>202</v>
      </c>
      <c r="DYB19" s="310" t="s">
        <v>202</v>
      </c>
      <c r="DYC19" s="310" t="s">
        <v>202</v>
      </c>
      <c r="DYD19" s="310" t="s">
        <v>202</v>
      </c>
      <c r="DYE19" s="310" t="s">
        <v>202</v>
      </c>
      <c r="DYF19" s="310" t="s">
        <v>202</v>
      </c>
      <c r="DYG19" s="310" t="s">
        <v>202</v>
      </c>
      <c r="DYH19" s="310" t="s">
        <v>202</v>
      </c>
      <c r="DYI19" s="310" t="s">
        <v>202</v>
      </c>
      <c r="DYJ19" s="310" t="s">
        <v>202</v>
      </c>
      <c r="DYK19" s="310" t="s">
        <v>202</v>
      </c>
      <c r="DYL19" s="310" t="s">
        <v>202</v>
      </c>
      <c r="DYM19" s="310" t="s">
        <v>202</v>
      </c>
      <c r="DYN19" s="310" t="s">
        <v>202</v>
      </c>
      <c r="DYO19" s="310" t="s">
        <v>202</v>
      </c>
      <c r="DYP19" s="310" t="s">
        <v>202</v>
      </c>
      <c r="DYQ19" s="310" t="s">
        <v>202</v>
      </c>
      <c r="DYR19" s="310" t="s">
        <v>202</v>
      </c>
      <c r="DYS19" s="310" t="s">
        <v>202</v>
      </c>
      <c r="DYT19" s="310" t="s">
        <v>202</v>
      </c>
      <c r="DYU19" s="310" t="s">
        <v>202</v>
      </c>
      <c r="DYV19" s="310" t="s">
        <v>202</v>
      </c>
      <c r="DYW19" s="310" t="s">
        <v>202</v>
      </c>
      <c r="DYX19" s="310" t="s">
        <v>202</v>
      </c>
      <c r="DYY19" s="310" t="s">
        <v>202</v>
      </c>
      <c r="DYZ19" s="310" t="s">
        <v>202</v>
      </c>
      <c r="DZA19" s="310" t="s">
        <v>202</v>
      </c>
      <c r="DZB19" s="310" t="s">
        <v>202</v>
      </c>
      <c r="DZC19" s="310" t="s">
        <v>202</v>
      </c>
      <c r="DZD19" s="310" t="s">
        <v>202</v>
      </c>
      <c r="DZE19" s="310" t="s">
        <v>202</v>
      </c>
      <c r="DZF19" s="310" t="s">
        <v>202</v>
      </c>
      <c r="DZG19" s="310" t="s">
        <v>202</v>
      </c>
      <c r="DZH19" s="310" t="s">
        <v>202</v>
      </c>
      <c r="DZI19" s="310" t="s">
        <v>202</v>
      </c>
      <c r="DZJ19" s="310" t="s">
        <v>202</v>
      </c>
      <c r="DZK19" s="310" t="s">
        <v>202</v>
      </c>
      <c r="DZL19" s="310" t="s">
        <v>202</v>
      </c>
      <c r="DZM19" s="310" t="s">
        <v>202</v>
      </c>
      <c r="DZN19" s="310" t="s">
        <v>202</v>
      </c>
      <c r="DZO19" s="310" t="s">
        <v>202</v>
      </c>
      <c r="DZP19" s="310" t="s">
        <v>202</v>
      </c>
      <c r="DZQ19" s="310" t="s">
        <v>202</v>
      </c>
      <c r="DZR19" s="310" t="s">
        <v>202</v>
      </c>
      <c r="DZS19" s="310" t="s">
        <v>202</v>
      </c>
      <c r="DZT19" s="310" t="s">
        <v>202</v>
      </c>
      <c r="DZU19" s="310" t="s">
        <v>202</v>
      </c>
      <c r="DZV19" s="310" t="s">
        <v>202</v>
      </c>
      <c r="DZW19" s="310" t="s">
        <v>202</v>
      </c>
      <c r="DZX19" s="310" t="s">
        <v>202</v>
      </c>
      <c r="DZY19" s="310" t="s">
        <v>202</v>
      </c>
      <c r="DZZ19" s="310" t="s">
        <v>202</v>
      </c>
      <c r="EAA19" s="310" t="s">
        <v>202</v>
      </c>
      <c r="EAB19" s="310" t="s">
        <v>202</v>
      </c>
      <c r="EAC19" s="310" t="s">
        <v>202</v>
      </c>
      <c r="EAD19" s="310" t="s">
        <v>202</v>
      </c>
      <c r="EAE19" s="310" t="s">
        <v>202</v>
      </c>
      <c r="EAF19" s="310" t="s">
        <v>202</v>
      </c>
      <c r="EAG19" s="310" t="s">
        <v>202</v>
      </c>
      <c r="EAH19" s="310" t="s">
        <v>202</v>
      </c>
      <c r="EAI19" s="310" t="s">
        <v>202</v>
      </c>
      <c r="EAJ19" s="310" t="s">
        <v>202</v>
      </c>
      <c r="EAK19" s="310" t="s">
        <v>202</v>
      </c>
      <c r="EAL19" s="310" t="s">
        <v>202</v>
      </c>
      <c r="EAM19" s="310" t="s">
        <v>202</v>
      </c>
      <c r="EAN19" s="310" t="s">
        <v>202</v>
      </c>
      <c r="EAO19" s="310" t="s">
        <v>202</v>
      </c>
      <c r="EAP19" s="310" t="s">
        <v>202</v>
      </c>
      <c r="EAQ19" s="310" t="s">
        <v>202</v>
      </c>
      <c r="EAR19" s="310" t="s">
        <v>202</v>
      </c>
      <c r="EAS19" s="310" t="s">
        <v>202</v>
      </c>
      <c r="EAT19" s="310" t="s">
        <v>202</v>
      </c>
      <c r="EAU19" s="310" t="s">
        <v>202</v>
      </c>
      <c r="EAV19" s="310" t="s">
        <v>202</v>
      </c>
      <c r="EAW19" s="310" t="s">
        <v>202</v>
      </c>
      <c r="EAX19" s="310" t="s">
        <v>202</v>
      </c>
      <c r="EAY19" s="310" t="s">
        <v>202</v>
      </c>
      <c r="EAZ19" s="310" t="s">
        <v>202</v>
      </c>
      <c r="EBA19" s="310" t="s">
        <v>202</v>
      </c>
      <c r="EBB19" s="310" t="s">
        <v>202</v>
      </c>
      <c r="EBC19" s="310" t="s">
        <v>202</v>
      </c>
      <c r="EBD19" s="310" t="s">
        <v>202</v>
      </c>
      <c r="EBE19" s="310" t="s">
        <v>202</v>
      </c>
      <c r="EBF19" s="310" t="s">
        <v>202</v>
      </c>
      <c r="EBG19" s="310" t="s">
        <v>202</v>
      </c>
      <c r="EBH19" s="310" t="s">
        <v>202</v>
      </c>
      <c r="EBI19" s="310" t="s">
        <v>202</v>
      </c>
      <c r="EBJ19" s="310" t="s">
        <v>202</v>
      </c>
      <c r="EBK19" s="310" t="s">
        <v>202</v>
      </c>
      <c r="EBL19" s="310" t="s">
        <v>202</v>
      </c>
      <c r="EBM19" s="310" t="s">
        <v>202</v>
      </c>
      <c r="EBN19" s="310" t="s">
        <v>202</v>
      </c>
      <c r="EBO19" s="310" t="s">
        <v>202</v>
      </c>
      <c r="EBP19" s="310" t="s">
        <v>202</v>
      </c>
      <c r="EBQ19" s="310" t="s">
        <v>202</v>
      </c>
      <c r="EBR19" s="310" t="s">
        <v>202</v>
      </c>
      <c r="EBS19" s="310" t="s">
        <v>202</v>
      </c>
      <c r="EBT19" s="310" t="s">
        <v>202</v>
      </c>
      <c r="EBU19" s="310" t="s">
        <v>202</v>
      </c>
      <c r="EBV19" s="310" t="s">
        <v>202</v>
      </c>
      <c r="EBW19" s="310" t="s">
        <v>202</v>
      </c>
      <c r="EBX19" s="310" t="s">
        <v>202</v>
      </c>
      <c r="EBY19" s="310" t="s">
        <v>202</v>
      </c>
      <c r="EBZ19" s="310" t="s">
        <v>202</v>
      </c>
      <c r="ECA19" s="310" t="s">
        <v>202</v>
      </c>
      <c r="ECB19" s="310" t="s">
        <v>202</v>
      </c>
      <c r="ECC19" s="310" t="s">
        <v>202</v>
      </c>
      <c r="ECD19" s="310" t="s">
        <v>202</v>
      </c>
      <c r="ECE19" s="310" t="s">
        <v>202</v>
      </c>
      <c r="ECF19" s="310" t="s">
        <v>202</v>
      </c>
      <c r="ECG19" s="310" t="s">
        <v>202</v>
      </c>
      <c r="ECH19" s="310" t="s">
        <v>202</v>
      </c>
      <c r="ECI19" s="310" t="s">
        <v>202</v>
      </c>
      <c r="ECJ19" s="310" t="s">
        <v>202</v>
      </c>
      <c r="ECK19" s="310" t="s">
        <v>202</v>
      </c>
      <c r="ECL19" s="310" t="s">
        <v>202</v>
      </c>
      <c r="ECM19" s="310" t="s">
        <v>202</v>
      </c>
      <c r="ECN19" s="310" t="s">
        <v>202</v>
      </c>
      <c r="ECO19" s="310" t="s">
        <v>202</v>
      </c>
      <c r="ECP19" s="310" t="s">
        <v>202</v>
      </c>
      <c r="ECQ19" s="310" t="s">
        <v>202</v>
      </c>
      <c r="ECR19" s="310" t="s">
        <v>202</v>
      </c>
      <c r="ECS19" s="310" t="s">
        <v>202</v>
      </c>
      <c r="ECT19" s="310" t="s">
        <v>202</v>
      </c>
      <c r="ECU19" s="310" t="s">
        <v>202</v>
      </c>
      <c r="ECV19" s="310" t="s">
        <v>202</v>
      </c>
      <c r="ECW19" s="310" t="s">
        <v>202</v>
      </c>
      <c r="ECX19" s="310" t="s">
        <v>202</v>
      </c>
      <c r="ECY19" s="310" t="s">
        <v>202</v>
      </c>
      <c r="ECZ19" s="310" t="s">
        <v>202</v>
      </c>
      <c r="EDA19" s="310" t="s">
        <v>202</v>
      </c>
      <c r="EDB19" s="310" t="s">
        <v>202</v>
      </c>
      <c r="EDC19" s="310" t="s">
        <v>202</v>
      </c>
      <c r="EDD19" s="310" t="s">
        <v>202</v>
      </c>
      <c r="EDE19" s="310" t="s">
        <v>202</v>
      </c>
      <c r="EDF19" s="310" t="s">
        <v>202</v>
      </c>
      <c r="EDG19" s="310" t="s">
        <v>202</v>
      </c>
      <c r="EDH19" s="310" t="s">
        <v>202</v>
      </c>
      <c r="EDI19" s="310" t="s">
        <v>202</v>
      </c>
      <c r="EDJ19" s="310" t="s">
        <v>202</v>
      </c>
      <c r="EDK19" s="310" t="s">
        <v>202</v>
      </c>
      <c r="EDL19" s="310" t="s">
        <v>202</v>
      </c>
      <c r="EDM19" s="310" t="s">
        <v>202</v>
      </c>
      <c r="EDN19" s="310" t="s">
        <v>202</v>
      </c>
      <c r="EDO19" s="310" t="s">
        <v>202</v>
      </c>
      <c r="EDP19" s="310" t="s">
        <v>202</v>
      </c>
      <c r="EDQ19" s="310" t="s">
        <v>202</v>
      </c>
      <c r="EDR19" s="310" t="s">
        <v>202</v>
      </c>
      <c r="EDS19" s="310" t="s">
        <v>202</v>
      </c>
      <c r="EDT19" s="310" t="s">
        <v>202</v>
      </c>
      <c r="EDU19" s="310" t="s">
        <v>202</v>
      </c>
      <c r="EDV19" s="310" t="s">
        <v>202</v>
      </c>
      <c r="EDW19" s="310" t="s">
        <v>202</v>
      </c>
      <c r="EDX19" s="310" t="s">
        <v>202</v>
      </c>
      <c r="EDY19" s="310" t="s">
        <v>202</v>
      </c>
      <c r="EDZ19" s="310" t="s">
        <v>202</v>
      </c>
      <c r="EEA19" s="310" t="s">
        <v>202</v>
      </c>
      <c r="EEB19" s="310" t="s">
        <v>202</v>
      </c>
      <c r="EEC19" s="310" t="s">
        <v>202</v>
      </c>
      <c r="EED19" s="310" t="s">
        <v>202</v>
      </c>
      <c r="EEE19" s="310" t="s">
        <v>202</v>
      </c>
      <c r="EEF19" s="310" t="s">
        <v>202</v>
      </c>
      <c r="EEG19" s="310" t="s">
        <v>202</v>
      </c>
      <c r="EEH19" s="310" t="s">
        <v>202</v>
      </c>
      <c r="EEI19" s="310" t="s">
        <v>202</v>
      </c>
      <c r="EEJ19" s="310" t="s">
        <v>202</v>
      </c>
      <c r="EEK19" s="310" t="s">
        <v>202</v>
      </c>
      <c r="EEL19" s="310" t="s">
        <v>202</v>
      </c>
      <c r="EEM19" s="310" t="s">
        <v>202</v>
      </c>
      <c r="EEN19" s="310" t="s">
        <v>202</v>
      </c>
      <c r="EEO19" s="310" t="s">
        <v>202</v>
      </c>
      <c r="EEP19" s="310" t="s">
        <v>202</v>
      </c>
      <c r="EEQ19" s="310" t="s">
        <v>202</v>
      </c>
      <c r="EER19" s="310" t="s">
        <v>202</v>
      </c>
      <c r="EES19" s="310" t="s">
        <v>202</v>
      </c>
      <c r="EET19" s="310" t="s">
        <v>202</v>
      </c>
      <c r="EEU19" s="310" t="s">
        <v>202</v>
      </c>
      <c r="EEV19" s="310" t="s">
        <v>202</v>
      </c>
      <c r="EEW19" s="310" t="s">
        <v>202</v>
      </c>
      <c r="EEX19" s="310" t="s">
        <v>202</v>
      </c>
      <c r="EEY19" s="310" t="s">
        <v>202</v>
      </c>
      <c r="EEZ19" s="310" t="s">
        <v>202</v>
      </c>
      <c r="EFA19" s="310" t="s">
        <v>202</v>
      </c>
      <c r="EFB19" s="310" t="s">
        <v>202</v>
      </c>
      <c r="EFC19" s="310" t="s">
        <v>202</v>
      </c>
      <c r="EFD19" s="310" t="s">
        <v>202</v>
      </c>
      <c r="EFE19" s="310" t="s">
        <v>202</v>
      </c>
      <c r="EFF19" s="310" t="s">
        <v>202</v>
      </c>
      <c r="EFG19" s="310" t="s">
        <v>202</v>
      </c>
      <c r="EFH19" s="310" t="s">
        <v>202</v>
      </c>
      <c r="EFI19" s="310" t="s">
        <v>202</v>
      </c>
      <c r="EFJ19" s="310" t="s">
        <v>202</v>
      </c>
      <c r="EFK19" s="310" t="s">
        <v>202</v>
      </c>
      <c r="EFL19" s="310" t="s">
        <v>202</v>
      </c>
      <c r="EFM19" s="310" t="s">
        <v>202</v>
      </c>
      <c r="EFN19" s="310" t="s">
        <v>202</v>
      </c>
      <c r="EFO19" s="310" t="s">
        <v>202</v>
      </c>
      <c r="EFP19" s="310" t="s">
        <v>202</v>
      </c>
      <c r="EFQ19" s="310" t="s">
        <v>202</v>
      </c>
      <c r="EFR19" s="310" t="s">
        <v>202</v>
      </c>
      <c r="EFS19" s="310" t="s">
        <v>202</v>
      </c>
      <c r="EFT19" s="310" t="s">
        <v>202</v>
      </c>
      <c r="EFU19" s="310" t="s">
        <v>202</v>
      </c>
      <c r="EFV19" s="310" t="s">
        <v>202</v>
      </c>
      <c r="EFW19" s="310" t="s">
        <v>202</v>
      </c>
      <c r="EFX19" s="310" t="s">
        <v>202</v>
      </c>
      <c r="EFY19" s="310" t="s">
        <v>202</v>
      </c>
      <c r="EFZ19" s="310" t="s">
        <v>202</v>
      </c>
      <c r="EGA19" s="310" t="s">
        <v>202</v>
      </c>
      <c r="EGB19" s="310" t="s">
        <v>202</v>
      </c>
      <c r="EGC19" s="310" t="s">
        <v>202</v>
      </c>
      <c r="EGD19" s="310" t="s">
        <v>202</v>
      </c>
      <c r="EGE19" s="310" t="s">
        <v>202</v>
      </c>
      <c r="EGF19" s="310" t="s">
        <v>202</v>
      </c>
      <c r="EGG19" s="310" t="s">
        <v>202</v>
      </c>
      <c r="EGH19" s="310" t="s">
        <v>202</v>
      </c>
      <c r="EGI19" s="310" t="s">
        <v>202</v>
      </c>
      <c r="EGJ19" s="310" t="s">
        <v>202</v>
      </c>
      <c r="EGK19" s="310" t="s">
        <v>202</v>
      </c>
      <c r="EGL19" s="310" t="s">
        <v>202</v>
      </c>
      <c r="EGM19" s="310" t="s">
        <v>202</v>
      </c>
      <c r="EGN19" s="310" t="s">
        <v>202</v>
      </c>
      <c r="EGO19" s="310" t="s">
        <v>202</v>
      </c>
      <c r="EGP19" s="310" t="s">
        <v>202</v>
      </c>
      <c r="EGQ19" s="310" t="s">
        <v>202</v>
      </c>
      <c r="EGR19" s="310" t="s">
        <v>202</v>
      </c>
      <c r="EGS19" s="310" t="s">
        <v>202</v>
      </c>
      <c r="EGT19" s="310" t="s">
        <v>202</v>
      </c>
      <c r="EGU19" s="310" t="s">
        <v>202</v>
      </c>
      <c r="EGV19" s="310" t="s">
        <v>202</v>
      </c>
      <c r="EGW19" s="310" t="s">
        <v>202</v>
      </c>
      <c r="EGX19" s="310" t="s">
        <v>202</v>
      </c>
      <c r="EGY19" s="310" t="s">
        <v>202</v>
      </c>
      <c r="EGZ19" s="310" t="s">
        <v>202</v>
      </c>
      <c r="EHA19" s="310" t="s">
        <v>202</v>
      </c>
      <c r="EHB19" s="310" t="s">
        <v>202</v>
      </c>
      <c r="EHC19" s="310" t="s">
        <v>202</v>
      </c>
      <c r="EHD19" s="310" t="s">
        <v>202</v>
      </c>
      <c r="EHE19" s="310" t="s">
        <v>202</v>
      </c>
      <c r="EHF19" s="310" t="s">
        <v>202</v>
      </c>
      <c r="EHG19" s="310" t="s">
        <v>202</v>
      </c>
      <c r="EHH19" s="310" t="s">
        <v>202</v>
      </c>
      <c r="EHI19" s="310" t="s">
        <v>202</v>
      </c>
      <c r="EHJ19" s="310" t="s">
        <v>202</v>
      </c>
      <c r="EHK19" s="310" t="s">
        <v>202</v>
      </c>
      <c r="EHL19" s="310" t="s">
        <v>202</v>
      </c>
      <c r="EHM19" s="310" t="s">
        <v>202</v>
      </c>
      <c r="EHN19" s="310" t="s">
        <v>202</v>
      </c>
      <c r="EHO19" s="310" t="s">
        <v>202</v>
      </c>
      <c r="EHP19" s="310" t="s">
        <v>202</v>
      </c>
      <c r="EHQ19" s="310" t="s">
        <v>202</v>
      </c>
      <c r="EHR19" s="310" t="s">
        <v>202</v>
      </c>
      <c r="EHS19" s="310" t="s">
        <v>202</v>
      </c>
      <c r="EHT19" s="310" t="s">
        <v>202</v>
      </c>
      <c r="EHU19" s="310" t="s">
        <v>202</v>
      </c>
      <c r="EHV19" s="310" t="s">
        <v>202</v>
      </c>
      <c r="EHW19" s="310" t="s">
        <v>202</v>
      </c>
      <c r="EHX19" s="310" t="s">
        <v>202</v>
      </c>
      <c r="EHY19" s="310" t="s">
        <v>202</v>
      </c>
      <c r="EHZ19" s="310" t="s">
        <v>202</v>
      </c>
      <c r="EIA19" s="310" t="s">
        <v>202</v>
      </c>
      <c r="EIB19" s="310" t="s">
        <v>202</v>
      </c>
      <c r="EIC19" s="310" t="s">
        <v>202</v>
      </c>
      <c r="EID19" s="310" t="s">
        <v>202</v>
      </c>
      <c r="EIE19" s="310" t="s">
        <v>202</v>
      </c>
      <c r="EIF19" s="310" t="s">
        <v>202</v>
      </c>
      <c r="EIG19" s="310" t="s">
        <v>202</v>
      </c>
      <c r="EIH19" s="310" t="s">
        <v>202</v>
      </c>
      <c r="EII19" s="310" t="s">
        <v>202</v>
      </c>
      <c r="EIJ19" s="310" t="s">
        <v>202</v>
      </c>
      <c r="EIK19" s="310" t="s">
        <v>202</v>
      </c>
      <c r="EIL19" s="310" t="s">
        <v>202</v>
      </c>
      <c r="EIM19" s="310" t="s">
        <v>202</v>
      </c>
      <c r="EIN19" s="310" t="s">
        <v>202</v>
      </c>
      <c r="EIO19" s="310" t="s">
        <v>202</v>
      </c>
      <c r="EIP19" s="310" t="s">
        <v>202</v>
      </c>
      <c r="EIQ19" s="310" t="s">
        <v>202</v>
      </c>
      <c r="EIR19" s="310" t="s">
        <v>202</v>
      </c>
      <c r="EIS19" s="310" t="s">
        <v>202</v>
      </c>
      <c r="EIT19" s="310" t="s">
        <v>202</v>
      </c>
      <c r="EIU19" s="310" t="s">
        <v>202</v>
      </c>
      <c r="EIV19" s="310" t="s">
        <v>202</v>
      </c>
      <c r="EIW19" s="310" t="s">
        <v>202</v>
      </c>
      <c r="EIX19" s="310" t="s">
        <v>202</v>
      </c>
      <c r="EIY19" s="310" t="s">
        <v>202</v>
      </c>
      <c r="EIZ19" s="310" t="s">
        <v>202</v>
      </c>
      <c r="EJA19" s="310" t="s">
        <v>202</v>
      </c>
      <c r="EJB19" s="310" t="s">
        <v>202</v>
      </c>
      <c r="EJC19" s="310" t="s">
        <v>202</v>
      </c>
      <c r="EJD19" s="310" t="s">
        <v>202</v>
      </c>
      <c r="EJE19" s="310" t="s">
        <v>202</v>
      </c>
      <c r="EJF19" s="310" t="s">
        <v>202</v>
      </c>
      <c r="EJG19" s="310" t="s">
        <v>202</v>
      </c>
      <c r="EJH19" s="310" t="s">
        <v>202</v>
      </c>
      <c r="EJI19" s="310" t="s">
        <v>202</v>
      </c>
      <c r="EJJ19" s="310" t="s">
        <v>202</v>
      </c>
      <c r="EJK19" s="310" t="s">
        <v>202</v>
      </c>
      <c r="EJL19" s="310" t="s">
        <v>202</v>
      </c>
      <c r="EJM19" s="310" t="s">
        <v>202</v>
      </c>
      <c r="EJN19" s="310" t="s">
        <v>202</v>
      </c>
      <c r="EJO19" s="310" t="s">
        <v>202</v>
      </c>
      <c r="EJP19" s="310" t="s">
        <v>202</v>
      </c>
      <c r="EJQ19" s="310" t="s">
        <v>202</v>
      </c>
      <c r="EJR19" s="310" t="s">
        <v>202</v>
      </c>
      <c r="EJS19" s="310" t="s">
        <v>202</v>
      </c>
      <c r="EJT19" s="310" t="s">
        <v>202</v>
      </c>
      <c r="EJU19" s="310" t="s">
        <v>202</v>
      </c>
      <c r="EJV19" s="310" t="s">
        <v>202</v>
      </c>
      <c r="EJW19" s="310" t="s">
        <v>202</v>
      </c>
      <c r="EJX19" s="310" t="s">
        <v>202</v>
      </c>
      <c r="EJY19" s="310" t="s">
        <v>202</v>
      </c>
      <c r="EJZ19" s="310" t="s">
        <v>202</v>
      </c>
      <c r="EKA19" s="310" t="s">
        <v>202</v>
      </c>
      <c r="EKB19" s="310" t="s">
        <v>202</v>
      </c>
      <c r="EKC19" s="310" t="s">
        <v>202</v>
      </c>
      <c r="EKD19" s="310" t="s">
        <v>202</v>
      </c>
      <c r="EKE19" s="310" t="s">
        <v>202</v>
      </c>
      <c r="EKF19" s="310" t="s">
        <v>202</v>
      </c>
      <c r="EKG19" s="310" t="s">
        <v>202</v>
      </c>
      <c r="EKH19" s="310" t="s">
        <v>202</v>
      </c>
      <c r="EKI19" s="310" t="s">
        <v>202</v>
      </c>
      <c r="EKJ19" s="310" t="s">
        <v>202</v>
      </c>
      <c r="EKK19" s="310" t="s">
        <v>202</v>
      </c>
      <c r="EKL19" s="310" t="s">
        <v>202</v>
      </c>
      <c r="EKM19" s="310" t="s">
        <v>202</v>
      </c>
      <c r="EKN19" s="310" t="s">
        <v>202</v>
      </c>
      <c r="EKO19" s="310" t="s">
        <v>202</v>
      </c>
      <c r="EKP19" s="310" t="s">
        <v>202</v>
      </c>
      <c r="EKQ19" s="310" t="s">
        <v>202</v>
      </c>
      <c r="EKR19" s="310" t="s">
        <v>202</v>
      </c>
      <c r="EKS19" s="310" t="s">
        <v>202</v>
      </c>
      <c r="EKT19" s="310" t="s">
        <v>202</v>
      </c>
      <c r="EKU19" s="310" t="s">
        <v>202</v>
      </c>
      <c r="EKV19" s="310" t="s">
        <v>202</v>
      </c>
      <c r="EKW19" s="310" t="s">
        <v>202</v>
      </c>
      <c r="EKX19" s="310" t="s">
        <v>202</v>
      </c>
      <c r="EKY19" s="310" t="s">
        <v>202</v>
      </c>
      <c r="EKZ19" s="310" t="s">
        <v>202</v>
      </c>
      <c r="ELA19" s="310" t="s">
        <v>202</v>
      </c>
      <c r="ELB19" s="310" t="s">
        <v>202</v>
      </c>
      <c r="ELC19" s="310" t="s">
        <v>202</v>
      </c>
      <c r="ELD19" s="310" t="s">
        <v>202</v>
      </c>
      <c r="ELE19" s="310" t="s">
        <v>202</v>
      </c>
      <c r="ELF19" s="310" t="s">
        <v>202</v>
      </c>
      <c r="ELG19" s="310" t="s">
        <v>202</v>
      </c>
      <c r="ELH19" s="310" t="s">
        <v>202</v>
      </c>
      <c r="ELI19" s="310" t="s">
        <v>202</v>
      </c>
      <c r="ELJ19" s="310" t="s">
        <v>202</v>
      </c>
      <c r="ELK19" s="310" t="s">
        <v>202</v>
      </c>
      <c r="ELL19" s="310" t="s">
        <v>202</v>
      </c>
      <c r="ELM19" s="310" t="s">
        <v>202</v>
      </c>
      <c r="ELN19" s="310" t="s">
        <v>202</v>
      </c>
      <c r="ELO19" s="310" t="s">
        <v>202</v>
      </c>
      <c r="ELP19" s="310" t="s">
        <v>202</v>
      </c>
      <c r="ELQ19" s="310" t="s">
        <v>202</v>
      </c>
      <c r="ELR19" s="310" t="s">
        <v>202</v>
      </c>
      <c r="ELS19" s="310" t="s">
        <v>202</v>
      </c>
      <c r="ELT19" s="310" t="s">
        <v>202</v>
      </c>
      <c r="ELU19" s="310" t="s">
        <v>202</v>
      </c>
      <c r="ELV19" s="310" t="s">
        <v>202</v>
      </c>
      <c r="ELW19" s="310" t="s">
        <v>202</v>
      </c>
      <c r="ELX19" s="310" t="s">
        <v>202</v>
      </c>
      <c r="ELY19" s="310" t="s">
        <v>202</v>
      </c>
      <c r="ELZ19" s="310" t="s">
        <v>202</v>
      </c>
      <c r="EMA19" s="310" t="s">
        <v>202</v>
      </c>
      <c r="EMB19" s="310" t="s">
        <v>202</v>
      </c>
      <c r="EMC19" s="310" t="s">
        <v>202</v>
      </c>
      <c r="EMD19" s="310" t="s">
        <v>202</v>
      </c>
      <c r="EME19" s="310" t="s">
        <v>202</v>
      </c>
      <c r="EMF19" s="310" t="s">
        <v>202</v>
      </c>
      <c r="EMG19" s="310" t="s">
        <v>202</v>
      </c>
      <c r="EMH19" s="310" t="s">
        <v>202</v>
      </c>
      <c r="EMI19" s="310" t="s">
        <v>202</v>
      </c>
      <c r="EMJ19" s="310" t="s">
        <v>202</v>
      </c>
      <c r="EMK19" s="310" t="s">
        <v>202</v>
      </c>
      <c r="EML19" s="310" t="s">
        <v>202</v>
      </c>
      <c r="EMM19" s="310" t="s">
        <v>202</v>
      </c>
      <c r="EMN19" s="310" t="s">
        <v>202</v>
      </c>
      <c r="EMO19" s="310" t="s">
        <v>202</v>
      </c>
      <c r="EMP19" s="310" t="s">
        <v>202</v>
      </c>
      <c r="EMQ19" s="310" t="s">
        <v>202</v>
      </c>
      <c r="EMR19" s="310" t="s">
        <v>202</v>
      </c>
      <c r="EMS19" s="310" t="s">
        <v>202</v>
      </c>
      <c r="EMT19" s="310" t="s">
        <v>202</v>
      </c>
      <c r="EMU19" s="310" t="s">
        <v>202</v>
      </c>
      <c r="EMV19" s="310" t="s">
        <v>202</v>
      </c>
      <c r="EMW19" s="310" t="s">
        <v>202</v>
      </c>
      <c r="EMX19" s="310" t="s">
        <v>202</v>
      </c>
      <c r="EMY19" s="310" t="s">
        <v>202</v>
      </c>
      <c r="EMZ19" s="310" t="s">
        <v>202</v>
      </c>
      <c r="ENA19" s="310" t="s">
        <v>202</v>
      </c>
      <c r="ENB19" s="310" t="s">
        <v>202</v>
      </c>
      <c r="ENC19" s="310" t="s">
        <v>202</v>
      </c>
      <c r="END19" s="310" t="s">
        <v>202</v>
      </c>
      <c r="ENE19" s="310" t="s">
        <v>202</v>
      </c>
      <c r="ENF19" s="310" t="s">
        <v>202</v>
      </c>
      <c r="ENG19" s="310" t="s">
        <v>202</v>
      </c>
      <c r="ENH19" s="310" t="s">
        <v>202</v>
      </c>
      <c r="ENI19" s="310" t="s">
        <v>202</v>
      </c>
      <c r="ENJ19" s="310" t="s">
        <v>202</v>
      </c>
      <c r="ENK19" s="310" t="s">
        <v>202</v>
      </c>
      <c r="ENL19" s="310" t="s">
        <v>202</v>
      </c>
      <c r="ENM19" s="310" t="s">
        <v>202</v>
      </c>
      <c r="ENN19" s="310" t="s">
        <v>202</v>
      </c>
      <c r="ENO19" s="310" t="s">
        <v>202</v>
      </c>
      <c r="ENP19" s="310" t="s">
        <v>202</v>
      </c>
      <c r="ENQ19" s="310" t="s">
        <v>202</v>
      </c>
      <c r="ENR19" s="310" t="s">
        <v>202</v>
      </c>
      <c r="ENS19" s="310" t="s">
        <v>202</v>
      </c>
      <c r="ENT19" s="310" t="s">
        <v>202</v>
      </c>
      <c r="ENU19" s="310" t="s">
        <v>202</v>
      </c>
      <c r="ENV19" s="310" t="s">
        <v>202</v>
      </c>
      <c r="ENW19" s="310" t="s">
        <v>202</v>
      </c>
      <c r="ENX19" s="310" t="s">
        <v>202</v>
      </c>
      <c r="ENY19" s="310" t="s">
        <v>202</v>
      </c>
      <c r="ENZ19" s="310" t="s">
        <v>202</v>
      </c>
      <c r="EOA19" s="310" t="s">
        <v>202</v>
      </c>
      <c r="EOB19" s="310" t="s">
        <v>202</v>
      </c>
      <c r="EOC19" s="310" t="s">
        <v>202</v>
      </c>
      <c r="EOD19" s="310" t="s">
        <v>202</v>
      </c>
      <c r="EOE19" s="310" t="s">
        <v>202</v>
      </c>
      <c r="EOF19" s="310" t="s">
        <v>202</v>
      </c>
      <c r="EOG19" s="310" t="s">
        <v>202</v>
      </c>
      <c r="EOH19" s="310" t="s">
        <v>202</v>
      </c>
      <c r="EOI19" s="310" t="s">
        <v>202</v>
      </c>
      <c r="EOJ19" s="310" t="s">
        <v>202</v>
      </c>
      <c r="EOK19" s="310" t="s">
        <v>202</v>
      </c>
      <c r="EOL19" s="310" t="s">
        <v>202</v>
      </c>
      <c r="EOM19" s="310" t="s">
        <v>202</v>
      </c>
      <c r="EON19" s="310" t="s">
        <v>202</v>
      </c>
      <c r="EOO19" s="310" t="s">
        <v>202</v>
      </c>
      <c r="EOP19" s="310" t="s">
        <v>202</v>
      </c>
      <c r="EOQ19" s="310" t="s">
        <v>202</v>
      </c>
      <c r="EOR19" s="310" t="s">
        <v>202</v>
      </c>
      <c r="EOS19" s="310" t="s">
        <v>202</v>
      </c>
      <c r="EOT19" s="310" t="s">
        <v>202</v>
      </c>
      <c r="EOU19" s="310" t="s">
        <v>202</v>
      </c>
      <c r="EOV19" s="310" t="s">
        <v>202</v>
      </c>
      <c r="EOW19" s="310" t="s">
        <v>202</v>
      </c>
      <c r="EOX19" s="310" t="s">
        <v>202</v>
      </c>
      <c r="EOY19" s="310" t="s">
        <v>202</v>
      </c>
      <c r="EOZ19" s="310" t="s">
        <v>202</v>
      </c>
      <c r="EPA19" s="310" t="s">
        <v>202</v>
      </c>
      <c r="EPB19" s="310" t="s">
        <v>202</v>
      </c>
      <c r="EPC19" s="310" t="s">
        <v>202</v>
      </c>
      <c r="EPD19" s="310" t="s">
        <v>202</v>
      </c>
      <c r="EPE19" s="310" t="s">
        <v>202</v>
      </c>
      <c r="EPF19" s="310" t="s">
        <v>202</v>
      </c>
      <c r="EPG19" s="310" t="s">
        <v>202</v>
      </c>
      <c r="EPH19" s="310" t="s">
        <v>202</v>
      </c>
      <c r="EPI19" s="310" t="s">
        <v>202</v>
      </c>
      <c r="EPJ19" s="310" t="s">
        <v>202</v>
      </c>
      <c r="EPK19" s="310" t="s">
        <v>202</v>
      </c>
      <c r="EPL19" s="310" t="s">
        <v>202</v>
      </c>
      <c r="EPM19" s="310" t="s">
        <v>202</v>
      </c>
      <c r="EPN19" s="310" t="s">
        <v>202</v>
      </c>
      <c r="EPO19" s="310" t="s">
        <v>202</v>
      </c>
      <c r="EPP19" s="310" t="s">
        <v>202</v>
      </c>
      <c r="EPQ19" s="310" t="s">
        <v>202</v>
      </c>
      <c r="EPR19" s="310" t="s">
        <v>202</v>
      </c>
      <c r="EPS19" s="310" t="s">
        <v>202</v>
      </c>
      <c r="EPT19" s="310" t="s">
        <v>202</v>
      </c>
      <c r="EPU19" s="310" t="s">
        <v>202</v>
      </c>
      <c r="EPV19" s="310" t="s">
        <v>202</v>
      </c>
      <c r="EPW19" s="310" t="s">
        <v>202</v>
      </c>
      <c r="EPX19" s="310" t="s">
        <v>202</v>
      </c>
      <c r="EPY19" s="310" t="s">
        <v>202</v>
      </c>
      <c r="EPZ19" s="310" t="s">
        <v>202</v>
      </c>
      <c r="EQA19" s="310" t="s">
        <v>202</v>
      </c>
      <c r="EQB19" s="310" t="s">
        <v>202</v>
      </c>
      <c r="EQC19" s="310" t="s">
        <v>202</v>
      </c>
      <c r="EQD19" s="310" t="s">
        <v>202</v>
      </c>
      <c r="EQE19" s="310" t="s">
        <v>202</v>
      </c>
      <c r="EQF19" s="310" t="s">
        <v>202</v>
      </c>
      <c r="EQG19" s="310" t="s">
        <v>202</v>
      </c>
      <c r="EQH19" s="310" t="s">
        <v>202</v>
      </c>
      <c r="EQI19" s="310" t="s">
        <v>202</v>
      </c>
      <c r="EQJ19" s="310" t="s">
        <v>202</v>
      </c>
      <c r="EQK19" s="310" t="s">
        <v>202</v>
      </c>
      <c r="EQL19" s="310" t="s">
        <v>202</v>
      </c>
      <c r="EQM19" s="310" t="s">
        <v>202</v>
      </c>
      <c r="EQN19" s="310" t="s">
        <v>202</v>
      </c>
      <c r="EQO19" s="310" t="s">
        <v>202</v>
      </c>
      <c r="EQP19" s="310" t="s">
        <v>202</v>
      </c>
      <c r="EQQ19" s="310" t="s">
        <v>202</v>
      </c>
      <c r="EQR19" s="310" t="s">
        <v>202</v>
      </c>
      <c r="EQS19" s="310" t="s">
        <v>202</v>
      </c>
      <c r="EQT19" s="310" t="s">
        <v>202</v>
      </c>
      <c r="EQU19" s="310" t="s">
        <v>202</v>
      </c>
      <c r="EQV19" s="310" t="s">
        <v>202</v>
      </c>
      <c r="EQW19" s="310" t="s">
        <v>202</v>
      </c>
      <c r="EQX19" s="310" t="s">
        <v>202</v>
      </c>
      <c r="EQY19" s="310" t="s">
        <v>202</v>
      </c>
      <c r="EQZ19" s="310" t="s">
        <v>202</v>
      </c>
      <c r="ERA19" s="310" t="s">
        <v>202</v>
      </c>
      <c r="ERB19" s="310" t="s">
        <v>202</v>
      </c>
      <c r="ERC19" s="310" t="s">
        <v>202</v>
      </c>
      <c r="ERD19" s="310" t="s">
        <v>202</v>
      </c>
      <c r="ERE19" s="310" t="s">
        <v>202</v>
      </c>
      <c r="ERF19" s="310" t="s">
        <v>202</v>
      </c>
      <c r="ERG19" s="310" t="s">
        <v>202</v>
      </c>
      <c r="ERH19" s="310" t="s">
        <v>202</v>
      </c>
      <c r="ERI19" s="310" t="s">
        <v>202</v>
      </c>
      <c r="ERJ19" s="310" t="s">
        <v>202</v>
      </c>
      <c r="ERK19" s="310" t="s">
        <v>202</v>
      </c>
      <c r="ERL19" s="310" t="s">
        <v>202</v>
      </c>
      <c r="ERM19" s="310" t="s">
        <v>202</v>
      </c>
      <c r="ERN19" s="310" t="s">
        <v>202</v>
      </c>
      <c r="ERO19" s="310" t="s">
        <v>202</v>
      </c>
      <c r="ERP19" s="310" t="s">
        <v>202</v>
      </c>
      <c r="ERQ19" s="310" t="s">
        <v>202</v>
      </c>
      <c r="ERR19" s="310" t="s">
        <v>202</v>
      </c>
      <c r="ERS19" s="310" t="s">
        <v>202</v>
      </c>
      <c r="ERT19" s="310" t="s">
        <v>202</v>
      </c>
      <c r="ERU19" s="310" t="s">
        <v>202</v>
      </c>
      <c r="ERV19" s="310" t="s">
        <v>202</v>
      </c>
      <c r="ERW19" s="310" t="s">
        <v>202</v>
      </c>
      <c r="ERX19" s="310" t="s">
        <v>202</v>
      </c>
      <c r="ERY19" s="310" t="s">
        <v>202</v>
      </c>
      <c r="ERZ19" s="310" t="s">
        <v>202</v>
      </c>
      <c r="ESA19" s="310" t="s">
        <v>202</v>
      </c>
      <c r="ESB19" s="310" t="s">
        <v>202</v>
      </c>
      <c r="ESC19" s="310" t="s">
        <v>202</v>
      </c>
      <c r="ESD19" s="310" t="s">
        <v>202</v>
      </c>
      <c r="ESE19" s="310" t="s">
        <v>202</v>
      </c>
      <c r="ESF19" s="310" t="s">
        <v>202</v>
      </c>
      <c r="ESG19" s="310" t="s">
        <v>202</v>
      </c>
      <c r="ESH19" s="310" t="s">
        <v>202</v>
      </c>
      <c r="ESI19" s="310" t="s">
        <v>202</v>
      </c>
      <c r="ESJ19" s="310" t="s">
        <v>202</v>
      </c>
      <c r="ESK19" s="310" t="s">
        <v>202</v>
      </c>
      <c r="ESL19" s="310" t="s">
        <v>202</v>
      </c>
      <c r="ESM19" s="310" t="s">
        <v>202</v>
      </c>
      <c r="ESN19" s="310" t="s">
        <v>202</v>
      </c>
      <c r="ESO19" s="310" t="s">
        <v>202</v>
      </c>
      <c r="ESP19" s="310" t="s">
        <v>202</v>
      </c>
      <c r="ESQ19" s="310" t="s">
        <v>202</v>
      </c>
      <c r="ESR19" s="310" t="s">
        <v>202</v>
      </c>
      <c r="ESS19" s="310" t="s">
        <v>202</v>
      </c>
      <c r="EST19" s="310" t="s">
        <v>202</v>
      </c>
      <c r="ESU19" s="310" t="s">
        <v>202</v>
      </c>
      <c r="ESV19" s="310" t="s">
        <v>202</v>
      </c>
      <c r="ESW19" s="310" t="s">
        <v>202</v>
      </c>
      <c r="ESX19" s="310" t="s">
        <v>202</v>
      </c>
      <c r="ESY19" s="310" t="s">
        <v>202</v>
      </c>
      <c r="ESZ19" s="310" t="s">
        <v>202</v>
      </c>
      <c r="ETA19" s="310" t="s">
        <v>202</v>
      </c>
      <c r="ETB19" s="310" t="s">
        <v>202</v>
      </c>
      <c r="ETC19" s="310" t="s">
        <v>202</v>
      </c>
      <c r="ETD19" s="310" t="s">
        <v>202</v>
      </c>
      <c r="ETE19" s="310" t="s">
        <v>202</v>
      </c>
      <c r="ETF19" s="310" t="s">
        <v>202</v>
      </c>
      <c r="ETG19" s="310" t="s">
        <v>202</v>
      </c>
      <c r="ETH19" s="310" t="s">
        <v>202</v>
      </c>
      <c r="ETI19" s="310" t="s">
        <v>202</v>
      </c>
      <c r="ETJ19" s="310" t="s">
        <v>202</v>
      </c>
      <c r="ETK19" s="310" t="s">
        <v>202</v>
      </c>
      <c r="ETL19" s="310" t="s">
        <v>202</v>
      </c>
      <c r="ETM19" s="310" t="s">
        <v>202</v>
      </c>
      <c r="ETN19" s="310" t="s">
        <v>202</v>
      </c>
      <c r="ETO19" s="310" t="s">
        <v>202</v>
      </c>
      <c r="ETP19" s="310" t="s">
        <v>202</v>
      </c>
      <c r="ETQ19" s="310" t="s">
        <v>202</v>
      </c>
      <c r="ETR19" s="310" t="s">
        <v>202</v>
      </c>
      <c r="ETS19" s="310" t="s">
        <v>202</v>
      </c>
      <c r="ETT19" s="310" t="s">
        <v>202</v>
      </c>
      <c r="ETU19" s="310" t="s">
        <v>202</v>
      </c>
      <c r="ETV19" s="310" t="s">
        <v>202</v>
      </c>
      <c r="ETW19" s="310" t="s">
        <v>202</v>
      </c>
      <c r="ETX19" s="310" t="s">
        <v>202</v>
      </c>
      <c r="ETY19" s="310" t="s">
        <v>202</v>
      </c>
      <c r="ETZ19" s="310" t="s">
        <v>202</v>
      </c>
      <c r="EUA19" s="310" t="s">
        <v>202</v>
      </c>
      <c r="EUB19" s="310" t="s">
        <v>202</v>
      </c>
      <c r="EUC19" s="310" t="s">
        <v>202</v>
      </c>
      <c r="EUD19" s="310" t="s">
        <v>202</v>
      </c>
      <c r="EUE19" s="310" t="s">
        <v>202</v>
      </c>
      <c r="EUF19" s="310" t="s">
        <v>202</v>
      </c>
      <c r="EUG19" s="310" t="s">
        <v>202</v>
      </c>
      <c r="EUH19" s="310" t="s">
        <v>202</v>
      </c>
      <c r="EUI19" s="310" t="s">
        <v>202</v>
      </c>
      <c r="EUJ19" s="310" t="s">
        <v>202</v>
      </c>
      <c r="EUK19" s="310" t="s">
        <v>202</v>
      </c>
      <c r="EUL19" s="310" t="s">
        <v>202</v>
      </c>
      <c r="EUM19" s="310" t="s">
        <v>202</v>
      </c>
      <c r="EUN19" s="310" t="s">
        <v>202</v>
      </c>
      <c r="EUO19" s="310" t="s">
        <v>202</v>
      </c>
      <c r="EUP19" s="310" t="s">
        <v>202</v>
      </c>
      <c r="EUQ19" s="310" t="s">
        <v>202</v>
      </c>
      <c r="EUR19" s="310" t="s">
        <v>202</v>
      </c>
      <c r="EUS19" s="310" t="s">
        <v>202</v>
      </c>
      <c r="EUT19" s="310" t="s">
        <v>202</v>
      </c>
      <c r="EUU19" s="310" t="s">
        <v>202</v>
      </c>
      <c r="EUV19" s="310" t="s">
        <v>202</v>
      </c>
      <c r="EUW19" s="310" t="s">
        <v>202</v>
      </c>
      <c r="EUX19" s="310" t="s">
        <v>202</v>
      </c>
      <c r="EUY19" s="310" t="s">
        <v>202</v>
      </c>
      <c r="EUZ19" s="310" t="s">
        <v>202</v>
      </c>
      <c r="EVA19" s="310" t="s">
        <v>202</v>
      </c>
      <c r="EVB19" s="310" t="s">
        <v>202</v>
      </c>
      <c r="EVC19" s="310" t="s">
        <v>202</v>
      </c>
      <c r="EVD19" s="310" t="s">
        <v>202</v>
      </c>
      <c r="EVE19" s="310" t="s">
        <v>202</v>
      </c>
      <c r="EVF19" s="310" t="s">
        <v>202</v>
      </c>
      <c r="EVG19" s="310" t="s">
        <v>202</v>
      </c>
      <c r="EVH19" s="310" t="s">
        <v>202</v>
      </c>
      <c r="EVI19" s="310" t="s">
        <v>202</v>
      </c>
      <c r="EVJ19" s="310" t="s">
        <v>202</v>
      </c>
      <c r="EVK19" s="310" t="s">
        <v>202</v>
      </c>
      <c r="EVL19" s="310" t="s">
        <v>202</v>
      </c>
      <c r="EVM19" s="310" t="s">
        <v>202</v>
      </c>
      <c r="EVN19" s="310" t="s">
        <v>202</v>
      </c>
      <c r="EVO19" s="310" t="s">
        <v>202</v>
      </c>
      <c r="EVP19" s="310" t="s">
        <v>202</v>
      </c>
      <c r="EVQ19" s="310" t="s">
        <v>202</v>
      </c>
      <c r="EVR19" s="310" t="s">
        <v>202</v>
      </c>
      <c r="EVS19" s="310" t="s">
        <v>202</v>
      </c>
      <c r="EVT19" s="310" t="s">
        <v>202</v>
      </c>
      <c r="EVU19" s="310" t="s">
        <v>202</v>
      </c>
      <c r="EVV19" s="310" t="s">
        <v>202</v>
      </c>
      <c r="EVW19" s="310" t="s">
        <v>202</v>
      </c>
      <c r="EVX19" s="310" t="s">
        <v>202</v>
      </c>
      <c r="EVY19" s="310" t="s">
        <v>202</v>
      </c>
      <c r="EVZ19" s="310" t="s">
        <v>202</v>
      </c>
      <c r="EWA19" s="310" t="s">
        <v>202</v>
      </c>
      <c r="EWB19" s="310" t="s">
        <v>202</v>
      </c>
      <c r="EWC19" s="310" t="s">
        <v>202</v>
      </c>
      <c r="EWD19" s="310" t="s">
        <v>202</v>
      </c>
      <c r="EWE19" s="310" t="s">
        <v>202</v>
      </c>
      <c r="EWF19" s="310" t="s">
        <v>202</v>
      </c>
      <c r="EWG19" s="310" t="s">
        <v>202</v>
      </c>
      <c r="EWH19" s="310" t="s">
        <v>202</v>
      </c>
      <c r="EWI19" s="310" t="s">
        <v>202</v>
      </c>
      <c r="EWJ19" s="310" t="s">
        <v>202</v>
      </c>
      <c r="EWK19" s="310" t="s">
        <v>202</v>
      </c>
      <c r="EWL19" s="310" t="s">
        <v>202</v>
      </c>
      <c r="EWM19" s="310" t="s">
        <v>202</v>
      </c>
      <c r="EWN19" s="310" t="s">
        <v>202</v>
      </c>
      <c r="EWO19" s="310" t="s">
        <v>202</v>
      </c>
      <c r="EWP19" s="310" t="s">
        <v>202</v>
      </c>
      <c r="EWQ19" s="310" t="s">
        <v>202</v>
      </c>
      <c r="EWR19" s="310" t="s">
        <v>202</v>
      </c>
      <c r="EWS19" s="310" t="s">
        <v>202</v>
      </c>
      <c r="EWT19" s="310" t="s">
        <v>202</v>
      </c>
      <c r="EWU19" s="310" t="s">
        <v>202</v>
      </c>
      <c r="EWV19" s="310" t="s">
        <v>202</v>
      </c>
      <c r="EWW19" s="310" t="s">
        <v>202</v>
      </c>
      <c r="EWX19" s="310" t="s">
        <v>202</v>
      </c>
      <c r="EWY19" s="310" t="s">
        <v>202</v>
      </c>
      <c r="EWZ19" s="310" t="s">
        <v>202</v>
      </c>
      <c r="EXA19" s="310" t="s">
        <v>202</v>
      </c>
      <c r="EXB19" s="310" t="s">
        <v>202</v>
      </c>
      <c r="EXC19" s="310" t="s">
        <v>202</v>
      </c>
      <c r="EXD19" s="310" t="s">
        <v>202</v>
      </c>
      <c r="EXE19" s="310" t="s">
        <v>202</v>
      </c>
      <c r="EXF19" s="310" t="s">
        <v>202</v>
      </c>
      <c r="EXG19" s="310" t="s">
        <v>202</v>
      </c>
      <c r="EXH19" s="310" t="s">
        <v>202</v>
      </c>
      <c r="EXI19" s="310" t="s">
        <v>202</v>
      </c>
      <c r="EXJ19" s="310" t="s">
        <v>202</v>
      </c>
      <c r="EXK19" s="310" t="s">
        <v>202</v>
      </c>
      <c r="EXL19" s="310" t="s">
        <v>202</v>
      </c>
      <c r="EXM19" s="310" t="s">
        <v>202</v>
      </c>
      <c r="EXN19" s="310" t="s">
        <v>202</v>
      </c>
      <c r="EXO19" s="310" t="s">
        <v>202</v>
      </c>
      <c r="EXP19" s="310" t="s">
        <v>202</v>
      </c>
      <c r="EXQ19" s="310" t="s">
        <v>202</v>
      </c>
      <c r="EXR19" s="310" t="s">
        <v>202</v>
      </c>
      <c r="EXS19" s="310" t="s">
        <v>202</v>
      </c>
      <c r="EXT19" s="310" t="s">
        <v>202</v>
      </c>
      <c r="EXU19" s="310" t="s">
        <v>202</v>
      </c>
      <c r="EXV19" s="310" t="s">
        <v>202</v>
      </c>
      <c r="EXW19" s="310" t="s">
        <v>202</v>
      </c>
      <c r="EXX19" s="310" t="s">
        <v>202</v>
      </c>
      <c r="EXY19" s="310" t="s">
        <v>202</v>
      </c>
      <c r="EXZ19" s="310" t="s">
        <v>202</v>
      </c>
      <c r="EYA19" s="310" t="s">
        <v>202</v>
      </c>
      <c r="EYB19" s="310" t="s">
        <v>202</v>
      </c>
      <c r="EYC19" s="310" t="s">
        <v>202</v>
      </c>
      <c r="EYD19" s="310" t="s">
        <v>202</v>
      </c>
      <c r="EYE19" s="310" t="s">
        <v>202</v>
      </c>
      <c r="EYF19" s="310" t="s">
        <v>202</v>
      </c>
      <c r="EYG19" s="310" t="s">
        <v>202</v>
      </c>
      <c r="EYH19" s="310" t="s">
        <v>202</v>
      </c>
      <c r="EYI19" s="310" t="s">
        <v>202</v>
      </c>
      <c r="EYJ19" s="310" t="s">
        <v>202</v>
      </c>
      <c r="EYK19" s="310" t="s">
        <v>202</v>
      </c>
      <c r="EYL19" s="310" t="s">
        <v>202</v>
      </c>
      <c r="EYM19" s="310" t="s">
        <v>202</v>
      </c>
      <c r="EYN19" s="310" t="s">
        <v>202</v>
      </c>
      <c r="EYO19" s="310" t="s">
        <v>202</v>
      </c>
      <c r="EYP19" s="310" t="s">
        <v>202</v>
      </c>
      <c r="EYQ19" s="310" t="s">
        <v>202</v>
      </c>
      <c r="EYR19" s="310" t="s">
        <v>202</v>
      </c>
      <c r="EYS19" s="310" t="s">
        <v>202</v>
      </c>
      <c r="EYT19" s="310" t="s">
        <v>202</v>
      </c>
      <c r="EYU19" s="310" t="s">
        <v>202</v>
      </c>
      <c r="EYV19" s="310" t="s">
        <v>202</v>
      </c>
      <c r="EYW19" s="310" t="s">
        <v>202</v>
      </c>
      <c r="EYX19" s="310" t="s">
        <v>202</v>
      </c>
      <c r="EYY19" s="310" t="s">
        <v>202</v>
      </c>
      <c r="EYZ19" s="310" t="s">
        <v>202</v>
      </c>
      <c r="EZA19" s="310" t="s">
        <v>202</v>
      </c>
      <c r="EZB19" s="310" t="s">
        <v>202</v>
      </c>
      <c r="EZC19" s="310" t="s">
        <v>202</v>
      </c>
      <c r="EZD19" s="310" t="s">
        <v>202</v>
      </c>
      <c r="EZE19" s="310" t="s">
        <v>202</v>
      </c>
      <c r="EZF19" s="310" t="s">
        <v>202</v>
      </c>
      <c r="EZG19" s="310" t="s">
        <v>202</v>
      </c>
      <c r="EZH19" s="310" t="s">
        <v>202</v>
      </c>
      <c r="EZI19" s="310" t="s">
        <v>202</v>
      </c>
      <c r="EZJ19" s="310" t="s">
        <v>202</v>
      </c>
      <c r="EZK19" s="310" t="s">
        <v>202</v>
      </c>
      <c r="EZL19" s="310" t="s">
        <v>202</v>
      </c>
      <c r="EZM19" s="310" t="s">
        <v>202</v>
      </c>
      <c r="EZN19" s="310" t="s">
        <v>202</v>
      </c>
      <c r="EZO19" s="310" t="s">
        <v>202</v>
      </c>
      <c r="EZP19" s="310" t="s">
        <v>202</v>
      </c>
      <c r="EZQ19" s="310" t="s">
        <v>202</v>
      </c>
      <c r="EZR19" s="310" t="s">
        <v>202</v>
      </c>
      <c r="EZS19" s="310" t="s">
        <v>202</v>
      </c>
      <c r="EZT19" s="310" t="s">
        <v>202</v>
      </c>
      <c r="EZU19" s="310" t="s">
        <v>202</v>
      </c>
      <c r="EZV19" s="310" t="s">
        <v>202</v>
      </c>
      <c r="EZW19" s="310" t="s">
        <v>202</v>
      </c>
      <c r="EZX19" s="310" t="s">
        <v>202</v>
      </c>
      <c r="EZY19" s="310" t="s">
        <v>202</v>
      </c>
      <c r="EZZ19" s="310" t="s">
        <v>202</v>
      </c>
      <c r="FAA19" s="310" t="s">
        <v>202</v>
      </c>
      <c r="FAB19" s="310" t="s">
        <v>202</v>
      </c>
      <c r="FAC19" s="310" t="s">
        <v>202</v>
      </c>
      <c r="FAD19" s="310" t="s">
        <v>202</v>
      </c>
      <c r="FAE19" s="310" t="s">
        <v>202</v>
      </c>
      <c r="FAF19" s="310" t="s">
        <v>202</v>
      </c>
      <c r="FAG19" s="310" t="s">
        <v>202</v>
      </c>
      <c r="FAH19" s="310" t="s">
        <v>202</v>
      </c>
      <c r="FAI19" s="310" t="s">
        <v>202</v>
      </c>
      <c r="FAJ19" s="310" t="s">
        <v>202</v>
      </c>
      <c r="FAK19" s="310" t="s">
        <v>202</v>
      </c>
      <c r="FAL19" s="310" t="s">
        <v>202</v>
      </c>
      <c r="FAM19" s="310" t="s">
        <v>202</v>
      </c>
      <c r="FAN19" s="310" t="s">
        <v>202</v>
      </c>
      <c r="FAO19" s="310" t="s">
        <v>202</v>
      </c>
      <c r="FAP19" s="310" t="s">
        <v>202</v>
      </c>
      <c r="FAQ19" s="310" t="s">
        <v>202</v>
      </c>
      <c r="FAR19" s="310" t="s">
        <v>202</v>
      </c>
      <c r="FAS19" s="310" t="s">
        <v>202</v>
      </c>
      <c r="FAT19" s="310" t="s">
        <v>202</v>
      </c>
      <c r="FAU19" s="310" t="s">
        <v>202</v>
      </c>
      <c r="FAV19" s="310" t="s">
        <v>202</v>
      </c>
      <c r="FAW19" s="310" t="s">
        <v>202</v>
      </c>
      <c r="FAX19" s="310" t="s">
        <v>202</v>
      </c>
      <c r="FAY19" s="310" t="s">
        <v>202</v>
      </c>
      <c r="FAZ19" s="310" t="s">
        <v>202</v>
      </c>
      <c r="FBA19" s="310" t="s">
        <v>202</v>
      </c>
      <c r="FBB19" s="310" t="s">
        <v>202</v>
      </c>
      <c r="FBC19" s="310" t="s">
        <v>202</v>
      </c>
      <c r="FBD19" s="310" t="s">
        <v>202</v>
      </c>
      <c r="FBE19" s="310" t="s">
        <v>202</v>
      </c>
      <c r="FBF19" s="310" t="s">
        <v>202</v>
      </c>
      <c r="FBG19" s="310" t="s">
        <v>202</v>
      </c>
      <c r="FBH19" s="310" t="s">
        <v>202</v>
      </c>
      <c r="FBI19" s="310" t="s">
        <v>202</v>
      </c>
      <c r="FBJ19" s="310" t="s">
        <v>202</v>
      </c>
      <c r="FBK19" s="310" t="s">
        <v>202</v>
      </c>
      <c r="FBL19" s="310" t="s">
        <v>202</v>
      </c>
      <c r="FBM19" s="310" t="s">
        <v>202</v>
      </c>
      <c r="FBN19" s="310" t="s">
        <v>202</v>
      </c>
      <c r="FBO19" s="310" t="s">
        <v>202</v>
      </c>
      <c r="FBP19" s="310" t="s">
        <v>202</v>
      </c>
      <c r="FBQ19" s="310" t="s">
        <v>202</v>
      </c>
      <c r="FBR19" s="310" t="s">
        <v>202</v>
      </c>
      <c r="FBS19" s="310" t="s">
        <v>202</v>
      </c>
      <c r="FBT19" s="310" t="s">
        <v>202</v>
      </c>
      <c r="FBU19" s="310" t="s">
        <v>202</v>
      </c>
      <c r="FBV19" s="310" t="s">
        <v>202</v>
      </c>
      <c r="FBW19" s="310" t="s">
        <v>202</v>
      </c>
      <c r="FBX19" s="310" t="s">
        <v>202</v>
      </c>
      <c r="FBY19" s="310" t="s">
        <v>202</v>
      </c>
      <c r="FBZ19" s="310" t="s">
        <v>202</v>
      </c>
      <c r="FCA19" s="310" t="s">
        <v>202</v>
      </c>
      <c r="FCB19" s="310" t="s">
        <v>202</v>
      </c>
      <c r="FCC19" s="310" t="s">
        <v>202</v>
      </c>
      <c r="FCD19" s="310" t="s">
        <v>202</v>
      </c>
      <c r="FCE19" s="310" t="s">
        <v>202</v>
      </c>
      <c r="FCF19" s="310" t="s">
        <v>202</v>
      </c>
      <c r="FCG19" s="310" t="s">
        <v>202</v>
      </c>
      <c r="FCH19" s="310" t="s">
        <v>202</v>
      </c>
      <c r="FCI19" s="310" t="s">
        <v>202</v>
      </c>
      <c r="FCJ19" s="310" t="s">
        <v>202</v>
      </c>
      <c r="FCK19" s="310" t="s">
        <v>202</v>
      </c>
      <c r="FCL19" s="310" t="s">
        <v>202</v>
      </c>
      <c r="FCM19" s="310" t="s">
        <v>202</v>
      </c>
      <c r="FCN19" s="310" t="s">
        <v>202</v>
      </c>
      <c r="FCO19" s="310" t="s">
        <v>202</v>
      </c>
      <c r="FCP19" s="310" t="s">
        <v>202</v>
      </c>
      <c r="FCQ19" s="310" t="s">
        <v>202</v>
      </c>
      <c r="FCR19" s="310" t="s">
        <v>202</v>
      </c>
      <c r="FCS19" s="310" t="s">
        <v>202</v>
      </c>
      <c r="FCT19" s="310" t="s">
        <v>202</v>
      </c>
      <c r="FCU19" s="310" t="s">
        <v>202</v>
      </c>
      <c r="FCV19" s="310" t="s">
        <v>202</v>
      </c>
      <c r="FCW19" s="310" t="s">
        <v>202</v>
      </c>
      <c r="FCX19" s="310" t="s">
        <v>202</v>
      </c>
      <c r="FCY19" s="310" t="s">
        <v>202</v>
      </c>
      <c r="FCZ19" s="310" t="s">
        <v>202</v>
      </c>
      <c r="FDA19" s="310" t="s">
        <v>202</v>
      </c>
      <c r="FDB19" s="310" t="s">
        <v>202</v>
      </c>
      <c r="FDC19" s="310" t="s">
        <v>202</v>
      </c>
      <c r="FDD19" s="310" t="s">
        <v>202</v>
      </c>
      <c r="FDE19" s="310" t="s">
        <v>202</v>
      </c>
      <c r="FDF19" s="310" t="s">
        <v>202</v>
      </c>
      <c r="FDG19" s="310" t="s">
        <v>202</v>
      </c>
      <c r="FDH19" s="310" t="s">
        <v>202</v>
      </c>
      <c r="FDI19" s="310" t="s">
        <v>202</v>
      </c>
      <c r="FDJ19" s="310" t="s">
        <v>202</v>
      </c>
      <c r="FDK19" s="310" t="s">
        <v>202</v>
      </c>
      <c r="FDL19" s="310" t="s">
        <v>202</v>
      </c>
      <c r="FDM19" s="310" t="s">
        <v>202</v>
      </c>
      <c r="FDN19" s="310" t="s">
        <v>202</v>
      </c>
      <c r="FDO19" s="310" t="s">
        <v>202</v>
      </c>
      <c r="FDP19" s="310" t="s">
        <v>202</v>
      </c>
      <c r="FDQ19" s="310" t="s">
        <v>202</v>
      </c>
      <c r="FDR19" s="310" t="s">
        <v>202</v>
      </c>
      <c r="FDS19" s="310" t="s">
        <v>202</v>
      </c>
      <c r="FDT19" s="310" t="s">
        <v>202</v>
      </c>
      <c r="FDU19" s="310" t="s">
        <v>202</v>
      </c>
      <c r="FDV19" s="310" t="s">
        <v>202</v>
      </c>
      <c r="FDW19" s="310" t="s">
        <v>202</v>
      </c>
      <c r="FDX19" s="310" t="s">
        <v>202</v>
      </c>
      <c r="FDY19" s="310" t="s">
        <v>202</v>
      </c>
      <c r="FDZ19" s="310" t="s">
        <v>202</v>
      </c>
      <c r="FEA19" s="310" t="s">
        <v>202</v>
      </c>
      <c r="FEB19" s="310" t="s">
        <v>202</v>
      </c>
      <c r="FEC19" s="310" t="s">
        <v>202</v>
      </c>
      <c r="FED19" s="310" t="s">
        <v>202</v>
      </c>
      <c r="FEE19" s="310" t="s">
        <v>202</v>
      </c>
      <c r="FEF19" s="310" t="s">
        <v>202</v>
      </c>
      <c r="FEG19" s="310" t="s">
        <v>202</v>
      </c>
      <c r="FEH19" s="310" t="s">
        <v>202</v>
      </c>
      <c r="FEI19" s="310" t="s">
        <v>202</v>
      </c>
      <c r="FEJ19" s="310" t="s">
        <v>202</v>
      </c>
      <c r="FEK19" s="310" t="s">
        <v>202</v>
      </c>
      <c r="FEL19" s="310" t="s">
        <v>202</v>
      </c>
      <c r="FEM19" s="310" t="s">
        <v>202</v>
      </c>
      <c r="FEN19" s="310" t="s">
        <v>202</v>
      </c>
      <c r="FEO19" s="310" t="s">
        <v>202</v>
      </c>
      <c r="FEP19" s="310" t="s">
        <v>202</v>
      </c>
      <c r="FEQ19" s="310" t="s">
        <v>202</v>
      </c>
      <c r="FER19" s="310" t="s">
        <v>202</v>
      </c>
      <c r="FES19" s="310" t="s">
        <v>202</v>
      </c>
      <c r="FET19" s="310" t="s">
        <v>202</v>
      </c>
      <c r="FEU19" s="310" t="s">
        <v>202</v>
      </c>
      <c r="FEV19" s="310" t="s">
        <v>202</v>
      </c>
      <c r="FEW19" s="310" t="s">
        <v>202</v>
      </c>
      <c r="FEX19" s="310" t="s">
        <v>202</v>
      </c>
      <c r="FEY19" s="310" t="s">
        <v>202</v>
      </c>
      <c r="FEZ19" s="310" t="s">
        <v>202</v>
      </c>
      <c r="FFA19" s="310" t="s">
        <v>202</v>
      </c>
      <c r="FFB19" s="310" t="s">
        <v>202</v>
      </c>
      <c r="FFC19" s="310" t="s">
        <v>202</v>
      </c>
      <c r="FFD19" s="310" t="s">
        <v>202</v>
      </c>
      <c r="FFE19" s="310" t="s">
        <v>202</v>
      </c>
      <c r="FFF19" s="310" t="s">
        <v>202</v>
      </c>
      <c r="FFG19" s="310" t="s">
        <v>202</v>
      </c>
      <c r="FFH19" s="310" t="s">
        <v>202</v>
      </c>
      <c r="FFI19" s="310" t="s">
        <v>202</v>
      </c>
      <c r="FFJ19" s="310" t="s">
        <v>202</v>
      </c>
      <c r="FFK19" s="310" t="s">
        <v>202</v>
      </c>
      <c r="FFL19" s="310" t="s">
        <v>202</v>
      </c>
      <c r="FFM19" s="310" t="s">
        <v>202</v>
      </c>
      <c r="FFN19" s="310" t="s">
        <v>202</v>
      </c>
      <c r="FFO19" s="310" t="s">
        <v>202</v>
      </c>
      <c r="FFP19" s="310" t="s">
        <v>202</v>
      </c>
      <c r="FFQ19" s="310" t="s">
        <v>202</v>
      </c>
      <c r="FFR19" s="310" t="s">
        <v>202</v>
      </c>
      <c r="FFS19" s="310" t="s">
        <v>202</v>
      </c>
      <c r="FFT19" s="310" t="s">
        <v>202</v>
      </c>
      <c r="FFU19" s="310" t="s">
        <v>202</v>
      </c>
      <c r="FFV19" s="310" t="s">
        <v>202</v>
      </c>
      <c r="FFW19" s="310" t="s">
        <v>202</v>
      </c>
      <c r="FFX19" s="310" t="s">
        <v>202</v>
      </c>
      <c r="FFY19" s="310" t="s">
        <v>202</v>
      </c>
      <c r="FFZ19" s="310" t="s">
        <v>202</v>
      </c>
      <c r="FGA19" s="310" t="s">
        <v>202</v>
      </c>
      <c r="FGB19" s="310" t="s">
        <v>202</v>
      </c>
      <c r="FGC19" s="310" t="s">
        <v>202</v>
      </c>
      <c r="FGD19" s="310" t="s">
        <v>202</v>
      </c>
      <c r="FGE19" s="310" t="s">
        <v>202</v>
      </c>
      <c r="FGF19" s="310" t="s">
        <v>202</v>
      </c>
      <c r="FGG19" s="310" t="s">
        <v>202</v>
      </c>
      <c r="FGH19" s="310" t="s">
        <v>202</v>
      </c>
      <c r="FGI19" s="310" t="s">
        <v>202</v>
      </c>
      <c r="FGJ19" s="310" t="s">
        <v>202</v>
      </c>
      <c r="FGK19" s="310" t="s">
        <v>202</v>
      </c>
      <c r="FGL19" s="310" t="s">
        <v>202</v>
      </c>
      <c r="FGM19" s="310" t="s">
        <v>202</v>
      </c>
      <c r="FGN19" s="310" t="s">
        <v>202</v>
      </c>
      <c r="FGO19" s="310" t="s">
        <v>202</v>
      </c>
      <c r="FGP19" s="310" t="s">
        <v>202</v>
      </c>
      <c r="FGQ19" s="310" t="s">
        <v>202</v>
      </c>
      <c r="FGR19" s="310" t="s">
        <v>202</v>
      </c>
      <c r="FGS19" s="310" t="s">
        <v>202</v>
      </c>
      <c r="FGT19" s="310" t="s">
        <v>202</v>
      </c>
      <c r="FGU19" s="310" t="s">
        <v>202</v>
      </c>
      <c r="FGV19" s="310" t="s">
        <v>202</v>
      </c>
      <c r="FGW19" s="310" t="s">
        <v>202</v>
      </c>
      <c r="FGX19" s="310" t="s">
        <v>202</v>
      </c>
      <c r="FGY19" s="310" t="s">
        <v>202</v>
      </c>
      <c r="FGZ19" s="310" t="s">
        <v>202</v>
      </c>
      <c r="FHA19" s="310" t="s">
        <v>202</v>
      </c>
      <c r="FHB19" s="310" t="s">
        <v>202</v>
      </c>
      <c r="FHC19" s="310" t="s">
        <v>202</v>
      </c>
      <c r="FHD19" s="310" t="s">
        <v>202</v>
      </c>
      <c r="FHE19" s="310" t="s">
        <v>202</v>
      </c>
      <c r="FHF19" s="310" t="s">
        <v>202</v>
      </c>
      <c r="FHG19" s="310" t="s">
        <v>202</v>
      </c>
      <c r="FHH19" s="310" t="s">
        <v>202</v>
      </c>
      <c r="FHI19" s="310" t="s">
        <v>202</v>
      </c>
      <c r="FHJ19" s="310" t="s">
        <v>202</v>
      </c>
      <c r="FHK19" s="310" t="s">
        <v>202</v>
      </c>
      <c r="FHL19" s="310" t="s">
        <v>202</v>
      </c>
      <c r="FHM19" s="310" t="s">
        <v>202</v>
      </c>
      <c r="FHN19" s="310" t="s">
        <v>202</v>
      </c>
      <c r="FHO19" s="310" t="s">
        <v>202</v>
      </c>
      <c r="FHP19" s="310" t="s">
        <v>202</v>
      </c>
      <c r="FHQ19" s="310" t="s">
        <v>202</v>
      </c>
      <c r="FHR19" s="310" t="s">
        <v>202</v>
      </c>
      <c r="FHS19" s="310" t="s">
        <v>202</v>
      </c>
      <c r="FHT19" s="310" t="s">
        <v>202</v>
      </c>
      <c r="FHU19" s="310" t="s">
        <v>202</v>
      </c>
      <c r="FHV19" s="310" t="s">
        <v>202</v>
      </c>
      <c r="FHW19" s="310" t="s">
        <v>202</v>
      </c>
      <c r="FHX19" s="310" t="s">
        <v>202</v>
      </c>
      <c r="FHY19" s="310" t="s">
        <v>202</v>
      </c>
      <c r="FHZ19" s="310" t="s">
        <v>202</v>
      </c>
      <c r="FIA19" s="310" t="s">
        <v>202</v>
      </c>
      <c r="FIB19" s="310" t="s">
        <v>202</v>
      </c>
      <c r="FIC19" s="310" t="s">
        <v>202</v>
      </c>
      <c r="FID19" s="310" t="s">
        <v>202</v>
      </c>
      <c r="FIE19" s="310" t="s">
        <v>202</v>
      </c>
      <c r="FIF19" s="310" t="s">
        <v>202</v>
      </c>
      <c r="FIG19" s="310" t="s">
        <v>202</v>
      </c>
      <c r="FIH19" s="310" t="s">
        <v>202</v>
      </c>
      <c r="FII19" s="310" t="s">
        <v>202</v>
      </c>
      <c r="FIJ19" s="310" t="s">
        <v>202</v>
      </c>
      <c r="FIK19" s="310" t="s">
        <v>202</v>
      </c>
      <c r="FIL19" s="310" t="s">
        <v>202</v>
      </c>
      <c r="FIM19" s="310" t="s">
        <v>202</v>
      </c>
      <c r="FIN19" s="310" t="s">
        <v>202</v>
      </c>
      <c r="FIO19" s="310" t="s">
        <v>202</v>
      </c>
      <c r="FIP19" s="310" t="s">
        <v>202</v>
      </c>
      <c r="FIQ19" s="310" t="s">
        <v>202</v>
      </c>
      <c r="FIR19" s="310" t="s">
        <v>202</v>
      </c>
      <c r="FIS19" s="310" t="s">
        <v>202</v>
      </c>
      <c r="FIT19" s="310" t="s">
        <v>202</v>
      </c>
      <c r="FIU19" s="310" t="s">
        <v>202</v>
      </c>
      <c r="FIV19" s="310" t="s">
        <v>202</v>
      </c>
      <c r="FIW19" s="310" t="s">
        <v>202</v>
      </c>
      <c r="FIX19" s="310" t="s">
        <v>202</v>
      </c>
      <c r="FIY19" s="310" t="s">
        <v>202</v>
      </c>
      <c r="FIZ19" s="310" t="s">
        <v>202</v>
      </c>
      <c r="FJA19" s="310" t="s">
        <v>202</v>
      </c>
      <c r="FJB19" s="310" t="s">
        <v>202</v>
      </c>
      <c r="FJC19" s="310" t="s">
        <v>202</v>
      </c>
      <c r="FJD19" s="310" t="s">
        <v>202</v>
      </c>
      <c r="FJE19" s="310" t="s">
        <v>202</v>
      </c>
      <c r="FJF19" s="310" t="s">
        <v>202</v>
      </c>
      <c r="FJG19" s="310" t="s">
        <v>202</v>
      </c>
      <c r="FJH19" s="310" t="s">
        <v>202</v>
      </c>
      <c r="FJI19" s="310" t="s">
        <v>202</v>
      </c>
      <c r="FJJ19" s="310" t="s">
        <v>202</v>
      </c>
      <c r="FJK19" s="310" t="s">
        <v>202</v>
      </c>
      <c r="FJL19" s="310" t="s">
        <v>202</v>
      </c>
      <c r="FJM19" s="310" t="s">
        <v>202</v>
      </c>
      <c r="FJN19" s="310" t="s">
        <v>202</v>
      </c>
      <c r="FJO19" s="310" t="s">
        <v>202</v>
      </c>
      <c r="FJP19" s="310" t="s">
        <v>202</v>
      </c>
      <c r="FJQ19" s="310" t="s">
        <v>202</v>
      </c>
      <c r="FJR19" s="310" t="s">
        <v>202</v>
      </c>
      <c r="FJS19" s="310" t="s">
        <v>202</v>
      </c>
      <c r="FJT19" s="310" t="s">
        <v>202</v>
      </c>
      <c r="FJU19" s="310" t="s">
        <v>202</v>
      </c>
      <c r="FJV19" s="310" t="s">
        <v>202</v>
      </c>
      <c r="FJW19" s="310" t="s">
        <v>202</v>
      </c>
      <c r="FJX19" s="310" t="s">
        <v>202</v>
      </c>
      <c r="FJY19" s="310" t="s">
        <v>202</v>
      </c>
      <c r="FJZ19" s="310" t="s">
        <v>202</v>
      </c>
      <c r="FKA19" s="310" t="s">
        <v>202</v>
      </c>
      <c r="FKB19" s="310" t="s">
        <v>202</v>
      </c>
      <c r="FKC19" s="310" t="s">
        <v>202</v>
      </c>
      <c r="FKD19" s="310" t="s">
        <v>202</v>
      </c>
      <c r="FKE19" s="310" t="s">
        <v>202</v>
      </c>
      <c r="FKF19" s="310" t="s">
        <v>202</v>
      </c>
      <c r="FKG19" s="310" t="s">
        <v>202</v>
      </c>
      <c r="FKH19" s="310" t="s">
        <v>202</v>
      </c>
      <c r="FKI19" s="310" t="s">
        <v>202</v>
      </c>
      <c r="FKJ19" s="310" t="s">
        <v>202</v>
      </c>
      <c r="FKK19" s="310" t="s">
        <v>202</v>
      </c>
      <c r="FKL19" s="310" t="s">
        <v>202</v>
      </c>
      <c r="FKM19" s="310" t="s">
        <v>202</v>
      </c>
      <c r="FKN19" s="310" t="s">
        <v>202</v>
      </c>
      <c r="FKO19" s="310" t="s">
        <v>202</v>
      </c>
      <c r="FKP19" s="310" t="s">
        <v>202</v>
      </c>
      <c r="FKQ19" s="310" t="s">
        <v>202</v>
      </c>
      <c r="FKR19" s="310" t="s">
        <v>202</v>
      </c>
      <c r="FKS19" s="310" t="s">
        <v>202</v>
      </c>
      <c r="FKT19" s="310" t="s">
        <v>202</v>
      </c>
      <c r="FKU19" s="310" t="s">
        <v>202</v>
      </c>
      <c r="FKV19" s="310" t="s">
        <v>202</v>
      </c>
      <c r="FKW19" s="310" t="s">
        <v>202</v>
      </c>
      <c r="FKX19" s="310" t="s">
        <v>202</v>
      </c>
      <c r="FKY19" s="310" t="s">
        <v>202</v>
      </c>
      <c r="FKZ19" s="310" t="s">
        <v>202</v>
      </c>
      <c r="FLA19" s="310" t="s">
        <v>202</v>
      </c>
      <c r="FLB19" s="310" t="s">
        <v>202</v>
      </c>
      <c r="FLC19" s="310" t="s">
        <v>202</v>
      </c>
      <c r="FLD19" s="310" t="s">
        <v>202</v>
      </c>
      <c r="FLE19" s="310" t="s">
        <v>202</v>
      </c>
      <c r="FLF19" s="310" t="s">
        <v>202</v>
      </c>
      <c r="FLG19" s="310" t="s">
        <v>202</v>
      </c>
      <c r="FLH19" s="310" t="s">
        <v>202</v>
      </c>
      <c r="FLI19" s="310" t="s">
        <v>202</v>
      </c>
      <c r="FLJ19" s="310" t="s">
        <v>202</v>
      </c>
      <c r="FLK19" s="310" t="s">
        <v>202</v>
      </c>
      <c r="FLL19" s="310" t="s">
        <v>202</v>
      </c>
      <c r="FLM19" s="310" t="s">
        <v>202</v>
      </c>
      <c r="FLN19" s="310" t="s">
        <v>202</v>
      </c>
      <c r="FLO19" s="310" t="s">
        <v>202</v>
      </c>
      <c r="FLP19" s="310" t="s">
        <v>202</v>
      </c>
      <c r="FLQ19" s="310" t="s">
        <v>202</v>
      </c>
      <c r="FLR19" s="310" t="s">
        <v>202</v>
      </c>
      <c r="FLS19" s="310" t="s">
        <v>202</v>
      </c>
      <c r="FLT19" s="310" t="s">
        <v>202</v>
      </c>
      <c r="FLU19" s="310" t="s">
        <v>202</v>
      </c>
      <c r="FLV19" s="310" t="s">
        <v>202</v>
      </c>
      <c r="FLW19" s="310" t="s">
        <v>202</v>
      </c>
      <c r="FLX19" s="310" t="s">
        <v>202</v>
      </c>
      <c r="FLY19" s="310" t="s">
        <v>202</v>
      </c>
      <c r="FLZ19" s="310" t="s">
        <v>202</v>
      </c>
      <c r="FMA19" s="310" t="s">
        <v>202</v>
      </c>
      <c r="FMB19" s="310" t="s">
        <v>202</v>
      </c>
      <c r="FMC19" s="310" t="s">
        <v>202</v>
      </c>
      <c r="FMD19" s="310" t="s">
        <v>202</v>
      </c>
      <c r="FME19" s="310" t="s">
        <v>202</v>
      </c>
      <c r="FMF19" s="310" t="s">
        <v>202</v>
      </c>
      <c r="FMG19" s="310" t="s">
        <v>202</v>
      </c>
      <c r="FMH19" s="310" t="s">
        <v>202</v>
      </c>
      <c r="FMI19" s="310" t="s">
        <v>202</v>
      </c>
      <c r="FMJ19" s="310" t="s">
        <v>202</v>
      </c>
      <c r="FMK19" s="310" t="s">
        <v>202</v>
      </c>
      <c r="FML19" s="310" t="s">
        <v>202</v>
      </c>
      <c r="FMM19" s="310" t="s">
        <v>202</v>
      </c>
      <c r="FMN19" s="310" t="s">
        <v>202</v>
      </c>
      <c r="FMO19" s="310" t="s">
        <v>202</v>
      </c>
      <c r="FMP19" s="310" t="s">
        <v>202</v>
      </c>
      <c r="FMQ19" s="310" t="s">
        <v>202</v>
      </c>
      <c r="FMR19" s="310" t="s">
        <v>202</v>
      </c>
      <c r="FMS19" s="310" t="s">
        <v>202</v>
      </c>
      <c r="FMT19" s="310" t="s">
        <v>202</v>
      </c>
      <c r="FMU19" s="310" t="s">
        <v>202</v>
      </c>
      <c r="FMV19" s="310" t="s">
        <v>202</v>
      </c>
      <c r="FMW19" s="310" t="s">
        <v>202</v>
      </c>
      <c r="FMX19" s="310" t="s">
        <v>202</v>
      </c>
      <c r="FMY19" s="310" t="s">
        <v>202</v>
      </c>
      <c r="FMZ19" s="310" t="s">
        <v>202</v>
      </c>
      <c r="FNA19" s="310" t="s">
        <v>202</v>
      </c>
      <c r="FNB19" s="310" t="s">
        <v>202</v>
      </c>
      <c r="FNC19" s="310" t="s">
        <v>202</v>
      </c>
      <c r="FND19" s="310" t="s">
        <v>202</v>
      </c>
      <c r="FNE19" s="310" t="s">
        <v>202</v>
      </c>
      <c r="FNF19" s="310" t="s">
        <v>202</v>
      </c>
      <c r="FNG19" s="310" t="s">
        <v>202</v>
      </c>
      <c r="FNH19" s="310" t="s">
        <v>202</v>
      </c>
      <c r="FNI19" s="310" t="s">
        <v>202</v>
      </c>
      <c r="FNJ19" s="310" t="s">
        <v>202</v>
      </c>
      <c r="FNK19" s="310" t="s">
        <v>202</v>
      </c>
      <c r="FNL19" s="310" t="s">
        <v>202</v>
      </c>
      <c r="FNM19" s="310" t="s">
        <v>202</v>
      </c>
      <c r="FNN19" s="310" t="s">
        <v>202</v>
      </c>
      <c r="FNO19" s="310" t="s">
        <v>202</v>
      </c>
      <c r="FNP19" s="310" t="s">
        <v>202</v>
      </c>
      <c r="FNQ19" s="310" t="s">
        <v>202</v>
      </c>
      <c r="FNR19" s="310" t="s">
        <v>202</v>
      </c>
      <c r="FNS19" s="310" t="s">
        <v>202</v>
      </c>
      <c r="FNT19" s="310" t="s">
        <v>202</v>
      </c>
      <c r="FNU19" s="310" t="s">
        <v>202</v>
      </c>
      <c r="FNV19" s="310" t="s">
        <v>202</v>
      </c>
      <c r="FNW19" s="310" t="s">
        <v>202</v>
      </c>
      <c r="FNX19" s="310" t="s">
        <v>202</v>
      </c>
      <c r="FNY19" s="310" t="s">
        <v>202</v>
      </c>
      <c r="FNZ19" s="310" t="s">
        <v>202</v>
      </c>
      <c r="FOA19" s="310" t="s">
        <v>202</v>
      </c>
      <c r="FOB19" s="310" t="s">
        <v>202</v>
      </c>
      <c r="FOC19" s="310" t="s">
        <v>202</v>
      </c>
      <c r="FOD19" s="310" t="s">
        <v>202</v>
      </c>
      <c r="FOE19" s="310" t="s">
        <v>202</v>
      </c>
      <c r="FOF19" s="310" t="s">
        <v>202</v>
      </c>
      <c r="FOG19" s="310" t="s">
        <v>202</v>
      </c>
      <c r="FOH19" s="310" t="s">
        <v>202</v>
      </c>
      <c r="FOI19" s="310" t="s">
        <v>202</v>
      </c>
      <c r="FOJ19" s="310" t="s">
        <v>202</v>
      </c>
      <c r="FOK19" s="310" t="s">
        <v>202</v>
      </c>
      <c r="FOL19" s="310" t="s">
        <v>202</v>
      </c>
      <c r="FOM19" s="310" t="s">
        <v>202</v>
      </c>
      <c r="FON19" s="310" t="s">
        <v>202</v>
      </c>
      <c r="FOO19" s="310" t="s">
        <v>202</v>
      </c>
      <c r="FOP19" s="310" t="s">
        <v>202</v>
      </c>
      <c r="FOQ19" s="310" t="s">
        <v>202</v>
      </c>
      <c r="FOR19" s="310" t="s">
        <v>202</v>
      </c>
      <c r="FOS19" s="310" t="s">
        <v>202</v>
      </c>
      <c r="FOT19" s="310" t="s">
        <v>202</v>
      </c>
      <c r="FOU19" s="310" t="s">
        <v>202</v>
      </c>
      <c r="FOV19" s="310" t="s">
        <v>202</v>
      </c>
      <c r="FOW19" s="310" t="s">
        <v>202</v>
      </c>
      <c r="FOX19" s="310" t="s">
        <v>202</v>
      </c>
      <c r="FOY19" s="310" t="s">
        <v>202</v>
      </c>
      <c r="FOZ19" s="310" t="s">
        <v>202</v>
      </c>
      <c r="FPA19" s="310" t="s">
        <v>202</v>
      </c>
      <c r="FPB19" s="310" t="s">
        <v>202</v>
      </c>
      <c r="FPC19" s="310" t="s">
        <v>202</v>
      </c>
      <c r="FPD19" s="310" t="s">
        <v>202</v>
      </c>
      <c r="FPE19" s="310" t="s">
        <v>202</v>
      </c>
      <c r="FPF19" s="310" t="s">
        <v>202</v>
      </c>
      <c r="FPG19" s="310" t="s">
        <v>202</v>
      </c>
      <c r="FPH19" s="310" t="s">
        <v>202</v>
      </c>
      <c r="FPI19" s="310" t="s">
        <v>202</v>
      </c>
      <c r="FPJ19" s="310" t="s">
        <v>202</v>
      </c>
      <c r="FPK19" s="310" t="s">
        <v>202</v>
      </c>
      <c r="FPL19" s="310" t="s">
        <v>202</v>
      </c>
      <c r="FPM19" s="310" t="s">
        <v>202</v>
      </c>
      <c r="FPN19" s="310" t="s">
        <v>202</v>
      </c>
      <c r="FPO19" s="310" t="s">
        <v>202</v>
      </c>
      <c r="FPP19" s="310" t="s">
        <v>202</v>
      </c>
      <c r="FPQ19" s="310" t="s">
        <v>202</v>
      </c>
      <c r="FPR19" s="310" t="s">
        <v>202</v>
      </c>
      <c r="FPS19" s="310" t="s">
        <v>202</v>
      </c>
      <c r="FPT19" s="310" t="s">
        <v>202</v>
      </c>
      <c r="FPU19" s="310" t="s">
        <v>202</v>
      </c>
      <c r="FPV19" s="310" t="s">
        <v>202</v>
      </c>
      <c r="FPW19" s="310" t="s">
        <v>202</v>
      </c>
      <c r="FPX19" s="310" t="s">
        <v>202</v>
      </c>
      <c r="FPY19" s="310" t="s">
        <v>202</v>
      </c>
      <c r="FPZ19" s="310" t="s">
        <v>202</v>
      </c>
      <c r="FQA19" s="310" t="s">
        <v>202</v>
      </c>
      <c r="FQB19" s="310" t="s">
        <v>202</v>
      </c>
      <c r="FQC19" s="310" t="s">
        <v>202</v>
      </c>
      <c r="FQD19" s="310" t="s">
        <v>202</v>
      </c>
      <c r="FQE19" s="310" t="s">
        <v>202</v>
      </c>
      <c r="FQF19" s="310" t="s">
        <v>202</v>
      </c>
      <c r="FQG19" s="310" t="s">
        <v>202</v>
      </c>
      <c r="FQH19" s="310" t="s">
        <v>202</v>
      </c>
      <c r="FQI19" s="310" t="s">
        <v>202</v>
      </c>
      <c r="FQJ19" s="310" t="s">
        <v>202</v>
      </c>
      <c r="FQK19" s="310" t="s">
        <v>202</v>
      </c>
      <c r="FQL19" s="310" t="s">
        <v>202</v>
      </c>
      <c r="FQM19" s="310" t="s">
        <v>202</v>
      </c>
      <c r="FQN19" s="310" t="s">
        <v>202</v>
      </c>
      <c r="FQO19" s="310" t="s">
        <v>202</v>
      </c>
      <c r="FQP19" s="310" t="s">
        <v>202</v>
      </c>
      <c r="FQQ19" s="310" t="s">
        <v>202</v>
      </c>
      <c r="FQR19" s="310" t="s">
        <v>202</v>
      </c>
      <c r="FQS19" s="310" t="s">
        <v>202</v>
      </c>
      <c r="FQT19" s="310" t="s">
        <v>202</v>
      </c>
      <c r="FQU19" s="310" t="s">
        <v>202</v>
      </c>
      <c r="FQV19" s="310" t="s">
        <v>202</v>
      </c>
      <c r="FQW19" s="310" t="s">
        <v>202</v>
      </c>
      <c r="FQX19" s="310" t="s">
        <v>202</v>
      </c>
      <c r="FQY19" s="310" t="s">
        <v>202</v>
      </c>
      <c r="FQZ19" s="310" t="s">
        <v>202</v>
      </c>
      <c r="FRA19" s="310" t="s">
        <v>202</v>
      </c>
      <c r="FRB19" s="310" t="s">
        <v>202</v>
      </c>
      <c r="FRC19" s="310" t="s">
        <v>202</v>
      </c>
      <c r="FRD19" s="310" t="s">
        <v>202</v>
      </c>
      <c r="FRE19" s="310" t="s">
        <v>202</v>
      </c>
      <c r="FRF19" s="310" t="s">
        <v>202</v>
      </c>
      <c r="FRG19" s="310" t="s">
        <v>202</v>
      </c>
      <c r="FRH19" s="310" t="s">
        <v>202</v>
      </c>
      <c r="FRI19" s="310" t="s">
        <v>202</v>
      </c>
      <c r="FRJ19" s="310" t="s">
        <v>202</v>
      </c>
      <c r="FRK19" s="310" t="s">
        <v>202</v>
      </c>
      <c r="FRL19" s="310" t="s">
        <v>202</v>
      </c>
      <c r="FRM19" s="310" t="s">
        <v>202</v>
      </c>
      <c r="FRN19" s="310" t="s">
        <v>202</v>
      </c>
      <c r="FRO19" s="310" t="s">
        <v>202</v>
      </c>
      <c r="FRP19" s="310" t="s">
        <v>202</v>
      </c>
      <c r="FRQ19" s="310" t="s">
        <v>202</v>
      </c>
      <c r="FRR19" s="310" t="s">
        <v>202</v>
      </c>
      <c r="FRS19" s="310" t="s">
        <v>202</v>
      </c>
      <c r="FRT19" s="310" t="s">
        <v>202</v>
      </c>
      <c r="FRU19" s="310" t="s">
        <v>202</v>
      </c>
      <c r="FRV19" s="310" t="s">
        <v>202</v>
      </c>
      <c r="FRW19" s="310" t="s">
        <v>202</v>
      </c>
      <c r="FRX19" s="310" t="s">
        <v>202</v>
      </c>
      <c r="FRY19" s="310" t="s">
        <v>202</v>
      </c>
      <c r="FRZ19" s="310" t="s">
        <v>202</v>
      </c>
      <c r="FSA19" s="310" t="s">
        <v>202</v>
      </c>
      <c r="FSB19" s="310" t="s">
        <v>202</v>
      </c>
      <c r="FSC19" s="310" t="s">
        <v>202</v>
      </c>
      <c r="FSD19" s="310" t="s">
        <v>202</v>
      </c>
      <c r="FSE19" s="310" t="s">
        <v>202</v>
      </c>
      <c r="FSF19" s="310" t="s">
        <v>202</v>
      </c>
      <c r="FSG19" s="310" t="s">
        <v>202</v>
      </c>
      <c r="FSH19" s="310" t="s">
        <v>202</v>
      </c>
      <c r="FSI19" s="310" t="s">
        <v>202</v>
      </c>
      <c r="FSJ19" s="310" t="s">
        <v>202</v>
      </c>
      <c r="FSK19" s="310" t="s">
        <v>202</v>
      </c>
      <c r="FSL19" s="310" t="s">
        <v>202</v>
      </c>
      <c r="FSM19" s="310" t="s">
        <v>202</v>
      </c>
      <c r="FSN19" s="310" t="s">
        <v>202</v>
      </c>
      <c r="FSO19" s="310" t="s">
        <v>202</v>
      </c>
      <c r="FSP19" s="310" t="s">
        <v>202</v>
      </c>
      <c r="FSQ19" s="310" t="s">
        <v>202</v>
      </c>
      <c r="FSR19" s="310" t="s">
        <v>202</v>
      </c>
      <c r="FSS19" s="310" t="s">
        <v>202</v>
      </c>
      <c r="FST19" s="310" t="s">
        <v>202</v>
      </c>
      <c r="FSU19" s="310" t="s">
        <v>202</v>
      </c>
      <c r="FSV19" s="310" t="s">
        <v>202</v>
      </c>
      <c r="FSW19" s="310" t="s">
        <v>202</v>
      </c>
      <c r="FSX19" s="310" t="s">
        <v>202</v>
      </c>
      <c r="FSY19" s="310" t="s">
        <v>202</v>
      </c>
      <c r="FSZ19" s="310" t="s">
        <v>202</v>
      </c>
      <c r="FTA19" s="310" t="s">
        <v>202</v>
      </c>
      <c r="FTB19" s="310" t="s">
        <v>202</v>
      </c>
      <c r="FTC19" s="310" t="s">
        <v>202</v>
      </c>
      <c r="FTD19" s="310" t="s">
        <v>202</v>
      </c>
      <c r="FTE19" s="310" t="s">
        <v>202</v>
      </c>
      <c r="FTF19" s="310" t="s">
        <v>202</v>
      </c>
      <c r="FTG19" s="310" t="s">
        <v>202</v>
      </c>
      <c r="FTH19" s="310" t="s">
        <v>202</v>
      </c>
      <c r="FTI19" s="310" t="s">
        <v>202</v>
      </c>
      <c r="FTJ19" s="310" t="s">
        <v>202</v>
      </c>
      <c r="FTK19" s="310" t="s">
        <v>202</v>
      </c>
      <c r="FTL19" s="310" t="s">
        <v>202</v>
      </c>
      <c r="FTM19" s="310" t="s">
        <v>202</v>
      </c>
      <c r="FTN19" s="310" t="s">
        <v>202</v>
      </c>
      <c r="FTO19" s="310" t="s">
        <v>202</v>
      </c>
      <c r="FTP19" s="310" t="s">
        <v>202</v>
      </c>
      <c r="FTQ19" s="310" t="s">
        <v>202</v>
      </c>
      <c r="FTR19" s="310" t="s">
        <v>202</v>
      </c>
      <c r="FTS19" s="310" t="s">
        <v>202</v>
      </c>
      <c r="FTT19" s="310" t="s">
        <v>202</v>
      </c>
      <c r="FTU19" s="310" t="s">
        <v>202</v>
      </c>
      <c r="FTV19" s="310" t="s">
        <v>202</v>
      </c>
      <c r="FTW19" s="310" t="s">
        <v>202</v>
      </c>
      <c r="FTX19" s="310" t="s">
        <v>202</v>
      </c>
      <c r="FTY19" s="310" t="s">
        <v>202</v>
      </c>
      <c r="FTZ19" s="310" t="s">
        <v>202</v>
      </c>
      <c r="FUA19" s="310" t="s">
        <v>202</v>
      </c>
      <c r="FUB19" s="310" t="s">
        <v>202</v>
      </c>
      <c r="FUC19" s="310" t="s">
        <v>202</v>
      </c>
      <c r="FUD19" s="310" t="s">
        <v>202</v>
      </c>
      <c r="FUE19" s="310" t="s">
        <v>202</v>
      </c>
      <c r="FUF19" s="310" t="s">
        <v>202</v>
      </c>
      <c r="FUG19" s="310" t="s">
        <v>202</v>
      </c>
      <c r="FUH19" s="310" t="s">
        <v>202</v>
      </c>
      <c r="FUI19" s="310" t="s">
        <v>202</v>
      </c>
      <c r="FUJ19" s="310" t="s">
        <v>202</v>
      </c>
      <c r="FUK19" s="310" t="s">
        <v>202</v>
      </c>
      <c r="FUL19" s="310" t="s">
        <v>202</v>
      </c>
      <c r="FUM19" s="310" t="s">
        <v>202</v>
      </c>
      <c r="FUN19" s="310" t="s">
        <v>202</v>
      </c>
      <c r="FUO19" s="310" t="s">
        <v>202</v>
      </c>
      <c r="FUP19" s="310" t="s">
        <v>202</v>
      </c>
      <c r="FUQ19" s="310" t="s">
        <v>202</v>
      </c>
      <c r="FUR19" s="310" t="s">
        <v>202</v>
      </c>
      <c r="FUS19" s="310" t="s">
        <v>202</v>
      </c>
      <c r="FUT19" s="310" t="s">
        <v>202</v>
      </c>
      <c r="FUU19" s="310" t="s">
        <v>202</v>
      </c>
      <c r="FUV19" s="310" t="s">
        <v>202</v>
      </c>
      <c r="FUW19" s="310" t="s">
        <v>202</v>
      </c>
      <c r="FUX19" s="310" t="s">
        <v>202</v>
      </c>
      <c r="FUY19" s="310" t="s">
        <v>202</v>
      </c>
      <c r="FUZ19" s="310" t="s">
        <v>202</v>
      </c>
      <c r="FVA19" s="310" t="s">
        <v>202</v>
      </c>
      <c r="FVB19" s="310" t="s">
        <v>202</v>
      </c>
      <c r="FVC19" s="310" t="s">
        <v>202</v>
      </c>
      <c r="FVD19" s="310" t="s">
        <v>202</v>
      </c>
      <c r="FVE19" s="310" t="s">
        <v>202</v>
      </c>
      <c r="FVF19" s="310" t="s">
        <v>202</v>
      </c>
      <c r="FVG19" s="310" t="s">
        <v>202</v>
      </c>
      <c r="FVH19" s="310" t="s">
        <v>202</v>
      </c>
      <c r="FVI19" s="310" t="s">
        <v>202</v>
      </c>
      <c r="FVJ19" s="310" t="s">
        <v>202</v>
      </c>
      <c r="FVK19" s="310" t="s">
        <v>202</v>
      </c>
      <c r="FVL19" s="310" t="s">
        <v>202</v>
      </c>
      <c r="FVM19" s="310" t="s">
        <v>202</v>
      </c>
      <c r="FVN19" s="310" t="s">
        <v>202</v>
      </c>
      <c r="FVO19" s="310" t="s">
        <v>202</v>
      </c>
      <c r="FVP19" s="310" t="s">
        <v>202</v>
      </c>
      <c r="FVQ19" s="310" t="s">
        <v>202</v>
      </c>
      <c r="FVR19" s="310" t="s">
        <v>202</v>
      </c>
      <c r="FVS19" s="310" t="s">
        <v>202</v>
      </c>
      <c r="FVT19" s="310" t="s">
        <v>202</v>
      </c>
      <c r="FVU19" s="310" t="s">
        <v>202</v>
      </c>
      <c r="FVV19" s="310" t="s">
        <v>202</v>
      </c>
      <c r="FVW19" s="310" t="s">
        <v>202</v>
      </c>
      <c r="FVX19" s="310" t="s">
        <v>202</v>
      </c>
      <c r="FVY19" s="310" t="s">
        <v>202</v>
      </c>
      <c r="FVZ19" s="310" t="s">
        <v>202</v>
      </c>
      <c r="FWA19" s="310" t="s">
        <v>202</v>
      </c>
      <c r="FWB19" s="310" t="s">
        <v>202</v>
      </c>
      <c r="FWC19" s="310" t="s">
        <v>202</v>
      </c>
      <c r="FWD19" s="310" t="s">
        <v>202</v>
      </c>
      <c r="FWE19" s="310" t="s">
        <v>202</v>
      </c>
      <c r="FWF19" s="310" t="s">
        <v>202</v>
      </c>
      <c r="FWG19" s="310" t="s">
        <v>202</v>
      </c>
      <c r="FWH19" s="310" t="s">
        <v>202</v>
      </c>
      <c r="FWI19" s="310" t="s">
        <v>202</v>
      </c>
      <c r="FWJ19" s="310" t="s">
        <v>202</v>
      </c>
      <c r="FWK19" s="310" t="s">
        <v>202</v>
      </c>
      <c r="FWL19" s="310" t="s">
        <v>202</v>
      </c>
      <c r="FWM19" s="310" t="s">
        <v>202</v>
      </c>
      <c r="FWN19" s="310" t="s">
        <v>202</v>
      </c>
      <c r="FWO19" s="310" t="s">
        <v>202</v>
      </c>
      <c r="FWP19" s="310" t="s">
        <v>202</v>
      </c>
      <c r="FWQ19" s="310" t="s">
        <v>202</v>
      </c>
      <c r="FWR19" s="310" t="s">
        <v>202</v>
      </c>
      <c r="FWS19" s="310" t="s">
        <v>202</v>
      </c>
      <c r="FWT19" s="310" t="s">
        <v>202</v>
      </c>
      <c r="FWU19" s="310" t="s">
        <v>202</v>
      </c>
      <c r="FWV19" s="310" t="s">
        <v>202</v>
      </c>
      <c r="FWW19" s="310" t="s">
        <v>202</v>
      </c>
      <c r="FWX19" s="310" t="s">
        <v>202</v>
      </c>
      <c r="FWY19" s="310" t="s">
        <v>202</v>
      </c>
      <c r="FWZ19" s="310" t="s">
        <v>202</v>
      </c>
      <c r="FXA19" s="310" t="s">
        <v>202</v>
      </c>
      <c r="FXB19" s="310" t="s">
        <v>202</v>
      </c>
      <c r="FXC19" s="310" t="s">
        <v>202</v>
      </c>
      <c r="FXD19" s="310" t="s">
        <v>202</v>
      </c>
      <c r="FXE19" s="310" t="s">
        <v>202</v>
      </c>
      <c r="FXF19" s="310" t="s">
        <v>202</v>
      </c>
      <c r="FXG19" s="310" t="s">
        <v>202</v>
      </c>
      <c r="FXH19" s="310" t="s">
        <v>202</v>
      </c>
      <c r="FXI19" s="310" t="s">
        <v>202</v>
      </c>
      <c r="FXJ19" s="310" t="s">
        <v>202</v>
      </c>
      <c r="FXK19" s="310" t="s">
        <v>202</v>
      </c>
      <c r="FXL19" s="310" t="s">
        <v>202</v>
      </c>
      <c r="FXM19" s="310" t="s">
        <v>202</v>
      </c>
      <c r="FXN19" s="310" t="s">
        <v>202</v>
      </c>
      <c r="FXO19" s="310" t="s">
        <v>202</v>
      </c>
      <c r="FXP19" s="310" t="s">
        <v>202</v>
      </c>
      <c r="FXQ19" s="310" t="s">
        <v>202</v>
      </c>
      <c r="FXR19" s="310" t="s">
        <v>202</v>
      </c>
      <c r="FXS19" s="310" t="s">
        <v>202</v>
      </c>
      <c r="FXT19" s="310" t="s">
        <v>202</v>
      </c>
      <c r="FXU19" s="310" t="s">
        <v>202</v>
      </c>
      <c r="FXV19" s="310" t="s">
        <v>202</v>
      </c>
      <c r="FXW19" s="310" t="s">
        <v>202</v>
      </c>
      <c r="FXX19" s="310" t="s">
        <v>202</v>
      </c>
      <c r="FXY19" s="310" t="s">
        <v>202</v>
      </c>
      <c r="FXZ19" s="310" t="s">
        <v>202</v>
      </c>
      <c r="FYA19" s="310" t="s">
        <v>202</v>
      </c>
      <c r="FYB19" s="310" t="s">
        <v>202</v>
      </c>
      <c r="FYC19" s="310" t="s">
        <v>202</v>
      </c>
      <c r="FYD19" s="310" t="s">
        <v>202</v>
      </c>
      <c r="FYE19" s="310" t="s">
        <v>202</v>
      </c>
      <c r="FYF19" s="310" t="s">
        <v>202</v>
      </c>
      <c r="FYG19" s="310" t="s">
        <v>202</v>
      </c>
      <c r="FYH19" s="310" t="s">
        <v>202</v>
      </c>
      <c r="FYI19" s="310" t="s">
        <v>202</v>
      </c>
      <c r="FYJ19" s="310" t="s">
        <v>202</v>
      </c>
      <c r="FYK19" s="310" t="s">
        <v>202</v>
      </c>
      <c r="FYL19" s="310" t="s">
        <v>202</v>
      </c>
      <c r="FYM19" s="310" t="s">
        <v>202</v>
      </c>
      <c r="FYN19" s="310" t="s">
        <v>202</v>
      </c>
      <c r="FYO19" s="310" t="s">
        <v>202</v>
      </c>
      <c r="FYP19" s="310" t="s">
        <v>202</v>
      </c>
      <c r="FYQ19" s="310" t="s">
        <v>202</v>
      </c>
      <c r="FYR19" s="310" t="s">
        <v>202</v>
      </c>
      <c r="FYS19" s="310" t="s">
        <v>202</v>
      </c>
      <c r="FYT19" s="310" t="s">
        <v>202</v>
      </c>
      <c r="FYU19" s="310" t="s">
        <v>202</v>
      </c>
      <c r="FYV19" s="310" t="s">
        <v>202</v>
      </c>
      <c r="FYW19" s="310" t="s">
        <v>202</v>
      </c>
      <c r="FYX19" s="310" t="s">
        <v>202</v>
      </c>
      <c r="FYY19" s="310" t="s">
        <v>202</v>
      </c>
      <c r="FYZ19" s="310" t="s">
        <v>202</v>
      </c>
      <c r="FZA19" s="310" t="s">
        <v>202</v>
      </c>
      <c r="FZB19" s="310" t="s">
        <v>202</v>
      </c>
      <c r="FZC19" s="310" t="s">
        <v>202</v>
      </c>
      <c r="FZD19" s="310" t="s">
        <v>202</v>
      </c>
      <c r="FZE19" s="310" t="s">
        <v>202</v>
      </c>
      <c r="FZF19" s="310" t="s">
        <v>202</v>
      </c>
      <c r="FZG19" s="310" t="s">
        <v>202</v>
      </c>
      <c r="FZH19" s="310" t="s">
        <v>202</v>
      </c>
      <c r="FZI19" s="310" t="s">
        <v>202</v>
      </c>
      <c r="FZJ19" s="310" t="s">
        <v>202</v>
      </c>
      <c r="FZK19" s="310" t="s">
        <v>202</v>
      </c>
      <c r="FZL19" s="310" t="s">
        <v>202</v>
      </c>
      <c r="FZM19" s="310" t="s">
        <v>202</v>
      </c>
      <c r="FZN19" s="310" t="s">
        <v>202</v>
      </c>
      <c r="FZO19" s="310" t="s">
        <v>202</v>
      </c>
      <c r="FZP19" s="310" t="s">
        <v>202</v>
      </c>
      <c r="FZQ19" s="310" t="s">
        <v>202</v>
      </c>
      <c r="FZR19" s="310" t="s">
        <v>202</v>
      </c>
      <c r="FZS19" s="310" t="s">
        <v>202</v>
      </c>
      <c r="FZT19" s="310" t="s">
        <v>202</v>
      </c>
      <c r="FZU19" s="310" t="s">
        <v>202</v>
      </c>
      <c r="FZV19" s="310" t="s">
        <v>202</v>
      </c>
      <c r="FZW19" s="310" t="s">
        <v>202</v>
      </c>
      <c r="FZX19" s="310" t="s">
        <v>202</v>
      </c>
      <c r="FZY19" s="310" t="s">
        <v>202</v>
      </c>
      <c r="FZZ19" s="310" t="s">
        <v>202</v>
      </c>
      <c r="GAA19" s="310" t="s">
        <v>202</v>
      </c>
      <c r="GAB19" s="310" t="s">
        <v>202</v>
      </c>
      <c r="GAC19" s="310" t="s">
        <v>202</v>
      </c>
      <c r="GAD19" s="310" t="s">
        <v>202</v>
      </c>
      <c r="GAE19" s="310" t="s">
        <v>202</v>
      </c>
      <c r="GAF19" s="310" t="s">
        <v>202</v>
      </c>
      <c r="GAG19" s="310" t="s">
        <v>202</v>
      </c>
      <c r="GAH19" s="310" t="s">
        <v>202</v>
      </c>
      <c r="GAI19" s="310" t="s">
        <v>202</v>
      </c>
      <c r="GAJ19" s="310" t="s">
        <v>202</v>
      </c>
      <c r="GAK19" s="310" t="s">
        <v>202</v>
      </c>
      <c r="GAL19" s="310" t="s">
        <v>202</v>
      </c>
      <c r="GAM19" s="310" t="s">
        <v>202</v>
      </c>
      <c r="GAN19" s="310" t="s">
        <v>202</v>
      </c>
      <c r="GAO19" s="310" t="s">
        <v>202</v>
      </c>
      <c r="GAP19" s="310" t="s">
        <v>202</v>
      </c>
      <c r="GAQ19" s="310" t="s">
        <v>202</v>
      </c>
      <c r="GAR19" s="310" t="s">
        <v>202</v>
      </c>
      <c r="GAS19" s="310" t="s">
        <v>202</v>
      </c>
      <c r="GAT19" s="310" t="s">
        <v>202</v>
      </c>
      <c r="GAU19" s="310" t="s">
        <v>202</v>
      </c>
      <c r="GAV19" s="310" t="s">
        <v>202</v>
      </c>
      <c r="GAW19" s="310" t="s">
        <v>202</v>
      </c>
      <c r="GAX19" s="310" t="s">
        <v>202</v>
      </c>
      <c r="GAY19" s="310" t="s">
        <v>202</v>
      </c>
      <c r="GAZ19" s="310" t="s">
        <v>202</v>
      </c>
      <c r="GBA19" s="310" t="s">
        <v>202</v>
      </c>
      <c r="GBB19" s="310" t="s">
        <v>202</v>
      </c>
      <c r="GBC19" s="310" t="s">
        <v>202</v>
      </c>
      <c r="GBD19" s="310" t="s">
        <v>202</v>
      </c>
      <c r="GBE19" s="310" t="s">
        <v>202</v>
      </c>
      <c r="GBF19" s="310" t="s">
        <v>202</v>
      </c>
      <c r="GBG19" s="310" t="s">
        <v>202</v>
      </c>
      <c r="GBH19" s="310" t="s">
        <v>202</v>
      </c>
      <c r="GBI19" s="310" t="s">
        <v>202</v>
      </c>
      <c r="GBJ19" s="310" t="s">
        <v>202</v>
      </c>
      <c r="GBK19" s="310" t="s">
        <v>202</v>
      </c>
      <c r="GBL19" s="310" t="s">
        <v>202</v>
      </c>
      <c r="GBM19" s="310" t="s">
        <v>202</v>
      </c>
      <c r="GBN19" s="310" t="s">
        <v>202</v>
      </c>
      <c r="GBO19" s="310" t="s">
        <v>202</v>
      </c>
      <c r="GBP19" s="310" t="s">
        <v>202</v>
      </c>
      <c r="GBQ19" s="310" t="s">
        <v>202</v>
      </c>
      <c r="GBR19" s="310" t="s">
        <v>202</v>
      </c>
      <c r="GBS19" s="310" t="s">
        <v>202</v>
      </c>
      <c r="GBT19" s="310" t="s">
        <v>202</v>
      </c>
      <c r="GBU19" s="310" t="s">
        <v>202</v>
      </c>
      <c r="GBV19" s="310" t="s">
        <v>202</v>
      </c>
      <c r="GBW19" s="310" t="s">
        <v>202</v>
      </c>
      <c r="GBX19" s="310" t="s">
        <v>202</v>
      </c>
      <c r="GBY19" s="310" t="s">
        <v>202</v>
      </c>
      <c r="GBZ19" s="310" t="s">
        <v>202</v>
      </c>
      <c r="GCA19" s="310" t="s">
        <v>202</v>
      </c>
      <c r="GCB19" s="310" t="s">
        <v>202</v>
      </c>
      <c r="GCC19" s="310" t="s">
        <v>202</v>
      </c>
      <c r="GCD19" s="310" t="s">
        <v>202</v>
      </c>
      <c r="GCE19" s="310" t="s">
        <v>202</v>
      </c>
      <c r="GCF19" s="310" t="s">
        <v>202</v>
      </c>
      <c r="GCG19" s="310" t="s">
        <v>202</v>
      </c>
      <c r="GCH19" s="310" t="s">
        <v>202</v>
      </c>
      <c r="GCI19" s="310" t="s">
        <v>202</v>
      </c>
      <c r="GCJ19" s="310" t="s">
        <v>202</v>
      </c>
      <c r="GCK19" s="310" t="s">
        <v>202</v>
      </c>
      <c r="GCL19" s="310" t="s">
        <v>202</v>
      </c>
      <c r="GCM19" s="310" t="s">
        <v>202</v>
      </c>
      <c r="GCN19" s="310" t="s">
        <v>202</v>
      </c>
      <c r="GCO19" s="310" t="s">
        <v>202</v>
      </c>
      <c r="GCP19" s="310" t="s">
        <v>202</v>
      </c>
      <c r="GCQ19" s="310" t="s">
        <v>202</v>
      </c>
      <c r="GCR19" s="310" t="s">
        <v>202</v>
      </c>
      <c r="GCS19" s="310" t="s">
        <v>202</v>
      </c>
      <c r="GCT19" s="310" t="s">
        <v>202</v>
      </c>
      <c r="GCU19" s="310" t="s">
        <v>202</v>
      </c>
      <c r="GCV19" s="310" t="s">
        <v>202</v>
      </c>
      <c r="GCW19" s="310" t="s">
        <v>202</v>
      </c>
      <c r="GCX19" s="310" t="s">
        <v>202</v>
      </c>
      <c r="GCY19" s="310" t="s">
        <v>202</v>
      </c>
      <c r="GCZ19" s="310" t="s">
        <v>202</v>
      </c>
      <c r="GDA19" s="310" t="s">
        <v>202</v>
      </c>
      <c r="GDB19" s="310" t="s">
        <v>202</v>
      </c>
      <c r="GDC19" s="310" t="s">
        <v>202</v>
      </c>
      <c r="GDD19" s="310" t="s">
        <v>202</v>
      </c>
      <c r="GDE19" s="310" t="s">
        <v>202</v>
      </c>
      <c r="GDF19" s="310" t="s">
        <v>202</v>
      </c>
      <c r="GDG19" s="310" t="s">
        <v>202</v>
      </c>
      <c r="GDH19" s="310" t="s">
        <v>202</v>
      </c>
      <c r="GDI19" s="310" t="s">
        <v>202</v>
      </c>
      <c r="GDJ19" s="310" t="s">
        <v>202</v>
      </c>
      <c r="GDK19" s="310" t="s">
        <v>202</v>
      </c>
      <c r="GDL19" s="310" t="s">
        <v>202</v>
      </c>
      <c r="GDM19" s="310" t="s">
        <v>202</v>
      </c>
      <c r="GDN19" s="310" t="s">
        <v>202</v>
      </c>
      <c r="GDO19" s="310" t="s">
        <v>202</v>
      </c>
      <c r="GDP19" s="310" t="s">
        <v>202</v>
      </c>
      <c r="GDQ19" s="310" t="s">
        <v>202</v>
      </c>
      <c r="GDR19" s="310" t="s">
        <v>202</v>
      </c>
      <c r="GDS19" s="310" t="s">
        <v>202</v>
      </c>
      <c r="GDT19" s="310" t="s">
        <v>202</v>
      </c>
      <c r="GDU19" s="310" t="s">
        <v>202</v>
      </c>
      <c r="GDV19" s="310" t="s">
        <v>202</v>
      </c>
      <c r="GDW19" s="310" t="s">
        <v>202</v>
      </c>
      <c r="GDX19" s="310" t="s">
        <v>202</v>
      </c>
      <c r="GDY19" s="310" t="s">
        <v>202</v>
      </c>
      <c r="GDZ19" s="310" t="s">
        <v>202</v>
      </c>
      <c r="GEA19" s="310" t="s">
        <v>202</v>
      </c>
      <c r="GEB19" s="310" t="s">
        <v>202</v>
      </c>
      <c r="GEC19" s="310" t="s">
        <v>202</v>
      </c>
      <c r="GED19" s="310" t="s">
        <v>202</v>
      </c>
      <c r="GEE19" s="310" t="s">
        <v>202</v>
      </c>
      <c r="GEF19" s="310" t="s">
        <v>202</v>
      </c>
      <c r="GEG19" s="310" t="s">
        <v>202</v>
      </c>
      <c r="GEH19" s="310" t="s">
        <v>202</v>
      </c>
      <c r="GEI19" s="310" t="s">
        <v>202</v>
      </c>
      <c r="GEJ19" s="310" t="s">
        <v>202</v>
      </c>
      <c r="GEK19" s="310" t="s">
        <v>202</v>
      </c>
      <c r="GEL19" s="310" t="s">
        <v>202</v>
      </c>
      <c r="GEM19" s="310" t="s">
        <v>202</v>
      </c>
      <c r="GEN19" s="310" t="s">
        <v>202</v>
      </c>
      <c r="GEO19" s="310" t="s">
        <v>202</v>
      </c>
      <c r="GEP19" s="310" t="s">
        <v>202</v>
      </c>
      <c r="GEQ19" s="310" t="s">
        <v>202</v>
      </c>
      <c r="GER19" s="310" t="s">
        <v>202</v>
      </c>
      <c r="GES19" s="310" t="s">
        <v>202</v>
      </c>
      <c r="GET19" s="310" t="s">
        <v>202</v>
      </c>
      <c r="GEU19" s="310" t="s">
        <v>202</v>
      </c>
      <c r="GEV19" s="310" t="s">
        <v>202</v>
      </c>
      <c r="GEW19" s="310" t="s">
        <v>202</v>
      </c>
      <c r="GEX19" s="310" t="s">
        <v>202</v>
      </c>
      <c r="GEY19" s="310" t="s">
        <v>202</v>
      </c>
      <c r="GEZ19" s="310" t="s">
        <v>202</v>
      </c>
      <c r="GFA19" s="310" t="s">
        <v>202</v>
      </c>
      <c r="GFB19" s="310" t="s">
        <v>202</v>
      </c>
      <c r="GFC19" s="310" t="s">
        <v>202</v>
      </c>
      <c r="GFD19" s="310" t="s">
        <v>202</v>
      </c>
      <c r="GFE19" s="310" t="s">
        <v>202</v>
      </c>
      <c r="GFF19" s="310" t="s">
        <v>202</v>
      </c>
      <c r="GFG19" s="310" t="s">
        <v>202</v>
      </c>
      <c r="GFH19" s="310" t="s">
        <v>202</v>
      </c>
      <c r="GFI19" s="310" t="s">
        <v>202</v>
      </c>
      <c r="GFJ19" s="310" t="s">
        <v>202</v>
      </c>
      <c r="GFK19" s="310" t="s">
        <v>202</v>
      </c>
      <c r="GFL19" s="310" t="s">
        <v>202</v>
      </c>
      <c r="GFM19" s="310" t="s">
        <v>202</v>
      </c>
      <c r="GFN19" s="310" t="s">
        <v>202</v>
      </c>
      <c r="GFO19" s="310" t="s">
        <v>202</v>
      </c>
      <c r="GFP19" s="310" t="s">
        <v>202</v>
      </c>
      <c r="GFQ19" s="310" t="s">
        <v>202</v>
      </c>
      <c r="GFR19" s="310" t="s">
        <v>202</v>
      </c>
      <c r="GFS19" s="310" t="s">
        <v>202</v>
      </c>
      <c r="GFT19" s="310" t="s">
        <v>202</v>
      </c>
      <c r="GFU19" s="310" t="s">
        <v>202</v>
      </c>
      <c r="GFV19" s="310" t="s">
        <v>202</v>
      </c>
      <c r="GFW19" s="310" t="s">
        <v>202</v>
      </c>
      <c r="GFX19" s="310" t="s">
        <v>202</v>
      </c>
      <c r="GFY19" s="310" t="s">
        <v>202</v>
      </c>
      <c r="GFZ19" s="310" t="s">
        <v>202</v>
      </c>
      <c r="GGA19" s="310" t="s">
        <v>202</v>
      </c>
      <c r="GGB19" s="310" t="s">
        <v>202</v>
      </c>
      <c r="GGC19" s="310" t="s">
        <v>202</v>
      </c>
      <c r="GGD19" s="310" t="s">
        <v>202</v>
      </c>
      <c r="GGE19" s="310" t="s">
        <v>202</v>
      </c>
      <c r="GGF19" s="310" t="s">
        <v>202</v>
      </c>
      <c r="GGG19" s="310" t="s">
        <v>202</v>
      </c>
      <c r="GGH19" s="310" t="s">
        <v>202</v>
      </c>
      <c r="GGI19" s="310" t="s">
        <v>202</v>
      </c>
      <c r="GGJ19" s="310" t="s">
        <v>202</v>
      </c>
      <c r="GGK19" s="310" t="s">
        <v>202</v>
      </c>
      <c r="GGL19" s="310" t="s">
        <v>202</v>
      </c>
      <c r="GGM19" s="310" t="s">
        <v>202</v>
      </c>
      <c r="GGN19" s="310" t="s">
        <v>202</v>
      </c>
      <c r="GGO19" s="310" t="s">
        <v>202</v>
      </c>
      <c r="GGP19" s="310" t="s">
        <v>202</v>
      </c>
      <c r="GGQ19" s="310" t="s">
        <v>202</v>
      </c>
      <c r="GGR19" s="310" t="s">
        <v>202</v>
      </c>
      <c r="GGS19" s="310" t="s">
        <v>202</v>
      </c>
      <c r="GGT19" s="310" t="s">
        <v>202</v>
      </c>
      <c r="GGU19" s="310" t="s">
        <v>202</v>
      </c>
      <c r="GGV19" s="310" t="s">
        <v>202</v>
      </c>
      <c r="GGW19" s="310" t="s">
        <v>202</v>
      </c>
      <c r="GGX19" s="310" t="s">
        <v>202</v>
      </c>
      <c r="GGY19" s="310" t="s">
        <v>202</v>
      </c>
      <c r="GGZ19" s="310" t="s">
        <v>202</v>
      </c>
      <c r="GHA19" s="310" t="s">
        <v>202</v>
      </c>
      <c r="GHB19" s="310" t="s">
        <v>202</v>
      </c>
      <c r="GHC19" s="310" t="s">
        <v>202</v>
      </c>
      <c r="GHD19" s="310" t="s">
        <v>202</v>
      </c>
      <c r="GHE19" s="310" t="s">
        <v>202</v>
      </c>
      <c r="GHF19" s="310" t="s">
        <v>202</v>
      </c>
      <c r="GHG19" s="310" t="s">
        <v>202</v>
      </c>
      <c r="GHH19" s="310" t="s">
        <v>202</v>
      </c>
      <c r="GHI19" s="310" t="s">
        <v>202</v>
      </c>
      <c r="GHJ19" s="310" t="s">
        <v>202</v>
      </c>
      <c r="GHK19" s="310" t="s">
        <v>202</v>
      </c>
      <c r="GHL19" s="310" t="s">
        <v>202</v>
      </c>
      <c r="GHM19" s="310" t="s">
        <v>202</v>
      </c>
      <c r="GHN19" s="310" t="s">
        <v>202</v>
      </c>
      <c r="GHO19" s="310" t="s">
        <v>202</v>
      </c>
      <c r="GHP19" s="310" t="s">
        <v>202</v>
      </c>
      <c r="GHQ19" s="310" t="s">
        <v>202</v>
      </c>
      <c r="GHR19" s="310" t="s">
        <v>202</v>
      </c>
      <c r="GHS19" s="310" t="s">
        <v>202</v>
      </c>
      <c r="GHT19" s="310" t="s">
        <v>202</v>
      </c>
      <c r="GHU19" s="310" t="s">
        <v>202</v>
      </c>
      <c r="GHV19" s="310" t="s">
        <v>202</v>
      </c>
      <c r="GHW19" s="310" t="s">
        <v>202</v>
      </c>
      <c r="GHX19" s="310" t="s">
        <v>202</v>
      </c>
      <c r="GHY19" s="310" t="s">
        <v>202</v>
      </c>
      <c r="GHZ19" s="310" t="s">
        <v>202</v>
      </c>
      <c r="GIA19" s="310" t="s">
        <v>202</v>
      </c>
      <c r="GIB19" s="310" t="s">
        <v>202</v>
      </c>
      <c r="GIC19" s="310" t="s">
        <v>202</v>
      </c>
      <c r="GID19" s="310" t="s">
        <v>202</v>
      </c>
      <c r="GIE19" s="310" t="s">
        <v>202</v>
      </c>
      <c r="GIF19" s="310" t="s">
        <v>202</v>
      </c>
      <c r="GIG19" s="310" t="s">
        <v>202</v>
      </c>
      <c r="GIH19" s="310" t="s">
        <v>202</v>
      </c>
      <c r="GII19" s="310" t="s">
        <v>202</v>
      </c>
      <c r="GIJ19" s="310" t="s">
        <v>202</v>
      </c>
      <c r="GIK19" s="310" t="s">
        <v>202</v>
      </c>
      <c r="GIL19" s="310" t="s">
        <v>202</v>
      </c>
      <c r="GIM19" s="310" t="s">
        <v>202</v>
      </c>
      <c r="GIN19" s="310" t="s">
        <v>202</v>
      </c>
      <c r="GIO19" s="310" t="s">
        <v>202</v>
      </c>
      <c r="GIP19" s="310" t="s">
        <v>202</v>
      </c>
      <c r="GIQ19" s="310" t="s">
        <v>202</v>
      </c>
      <c r="GIR19" s="310" t="s">
        <v>202</v>
      </c>
      <c r="GIS19" s="310" t="s">
        <v>202</v>
      </c>
      <c r="GIT19" s="310" t="s">
        <v>202</v>
      </c>
      <c r="GIU19" s="310" t="s">
        <v>202</v>
      </c>
      <c r="GIV19" s="310" t="s">
        <v>202</v>
      </c>
      <c r="GIW19" s="310" t="s">
        <v>202</v>
      </c>
      <c r="GIX19" s="310" t="s">
        <v>202</v>
      </c>
      <c r="GIY19" s="310" t="s">
        <v>202</v>
      </c>
      <c r="GIZ19" s="310" t="s">
        <v>202</v>
      </c>
      <c r="GJA19" s="310" t="s">
        <v>202</v>
      </c>
      <c r="GJB19" s="310" t="s">
        <v>202</v>
      </c>
      <c r="GJC19" s="310" t="s">
        <v>202</v>
      </c>
      <c r="GJD19" s="310" t="s">
        <v>202</v>
      </c>
      <c r="GJE19" s="310" t="s">
        <v>202</v>
      </c>
      <c r="GJF19" s="310" t="s">
        <v>202</v>
      </c>
      <c r="GJG19" s="310" t="s">
        <v>202</v>
      </c>
      <c r="GJH19" s="310" t="s">
        <v>202</v>
      </c>
      <c r="GJI19" s="310" t="s">
        <v>202</v>
      </c>
      <c r="GJJ19" s="310" t="s">
        <v>202</v>
      </c>
      <c r="GJK19" s="310" t="s">
        <v>202</v>
      </c>
      <c r="GJL19" s="310" t="s">
        <v>202</v>
      </c>
      <c r="GJM19" s="310" t="s">
        <v>202</v>
      </c>
      <c r="GJN19" s="310" t="s">
        <v>202</v>
      </c>
      <c r="GJO19" s="310" t="s">
        <v>202</v>
      </c>
      <c r="GJP19" s="310" t="s">
        <v>202</v>
      </c>
      <c r="GJQ19" s="310" t="s">
        <v>202</v>
      </c>
      <c r="GJR19" s="310" t="s">
        <v>202</v>
      </c>
      <c r="GJS19" s="310" t="s">
        <v>202</v>
      </c>
      <c r="GJT19" s="310" t="s">
        <v>202</v>
      </c>
      <c r="GJU19" s="310" t="s">
        <v>202</v>
      </c>
      <c r="GJV19" s="310" t="s">
        <v>202</v>
      </c>
      <c r="GJW19" s="310" t="s">
        <v>202</v>
      </c>
      <c r="GJX19" s="310" t="s">
        <v>202</v>
      </c>
      <c r="GJY19" s="310" t="s">
        <v>202</v>
      </c>
      <c r="GJZ19" s="310" t="s">
        <v>202</v>
      </c>
      <c r="GKA19" s="310" t="s">
        <v>202</v>
      </c>
      <c r="GKB19" s="310" t="s">
        <v>202</v>
      </c>
      <c r="GKC19" s="310" t="s">
        <v>202</v>
      </c>
      <c r="GKD19" s="310" t="s">
        <v>202</v>
      </c>
      <c r="GKE19" s="310" t="s">
        <v>202</v>
      </c>
      <c r="GKF19" s="310" t="s">
        <v>202</v>
      </c>
      <c r="GKG19" s="310" t="s">
        <v>202</v>
      </c>
      <c r="GKH19" s="310" t="s">
        <v>202</v>
      </c>
      <c r="GKI19" s="310" t="s">
        <v>202</v>
      </c>
      <c r="GKJ19" s="310" t="s">
        <v>202</v>
      </c>
      <c r="GKK19" s="310" t="s">
        <v>202</v>
      </c>
      <c r="GKL19" s="310" t="s">
        <v>202</v>
      </c>
      <c r="GKM19" s="310" t="s">
        <v>202</v>
      </c>
      <c r="GKN19" s="310" t="s">
        <v>202</v>
      </c>
      <c r="GKO19" s="310" t="s">
        <v>202</v>
      </c>
      <c r="GKP19" s="310" t="s">
        <v>202</v>
      </c>
      <c r="GKQ19" s="310" t="s">
        <v>202</v>
      </c>
      <c r="GKR19" s="310" t="s">
        <v>202</v>
      </c>
      <c r="GKS19" s="310" t="s">
        <v>202</v>
      </c>
      <c r="GKT19" s="310" t="s">
        <v>202</v>
      </c>
      <c r="GKU19" s="310" t="s">
        <v>202</v>
      </c>
      <c r="GKV19" s="310" t="s">
        <v>202</v>
      </c>
      <c r="GKW19" s="310" t="s">
        <v>202</v>
      </c>
      <c r="GKX19" s="310" t="s">
        <v>202</v>
      </c>
      <c r="GKY19" s="310" t="s">
        <v>202</v>
      </c>
      <c r="GKZ19" s="310" t="s">
        <v>202</v>
      </c>
      <c r="GLA19" s="310" t="s">
        <v>202</v>
      </c>
      <c r="GLB19" s="310" t="s">
        <v>202</v>
      </c>
      <c r="GLC19" s="310" t="s">
        <v>202</v>
      </c>
      <c r="GLD19" s="310" t="s">
        <v>202</v>
      </c>
      <c r="GLE19" s="310" t="s">
        <v>202</v>
      </c>
      <c r="GLF19" s="310" t="s">
        <v>202</v>
      </c>
      <c r="GLG19" s="310" t="s">
        <v>202</v>
      </c>
      <c r="GLH19" s="310" t="s">
        <v>202</v>
      </c>
      <c r="GLI19" s="310" t="s">
        <v>202</v>
      </c>
      <c r="GLJ19" s="310" t="s">
        <v>202</v>
      </c>
      <c r="GLK19" s="310" t="s">
        <v>202</v>
      </c>
      <c r="GLL19" s="310" t="s">
        <v>202</v>
      </c>
      <c r="GLM19" s="310" t="s">
        <v>202</v>
      </c>
      <c r="GLN19" s="310" t="s">
        <v>202</v>
      </c>
      <c r="GLO19" s="310" t="s">
        <v>202</v>
      </c>
      <c r="GLP19" s="310" t="s">
        <v>202</v>
      </c>
      <c r="GLQ19" s="310" t="s">
        <v>202</v>
      </c>
      <c r="GLR19" s="310" t="s">
        <v>202</v>
      </c>
      <c r="GLS19" s="310" t="s">
        <v>202</v>
      </c>
      <c r="GLT19" s="310" t="s">
        <v>202</v>
      </c>
      <c r="GLU19" s="310" t="s">
        <v>202</v>
      </c>
      <c r="GLV19" s="310" t="s">
        <v>202</v>
      </c>
      <c r="GLW19" s="310" t="s">
        <v>202</v>
      </c>
      <c r="GLX19" s="310" t="s">
        <v>202</v>
      </c>
      <c r="GLY19" s="310" t="s">
        <v>202</v>
      </c>
      <c r="GLZ19" s="310" t="s">
        <v>202</v>
      </c>
      <c r="GMA19" s="310" t="s">
        <v>202</v>
      </c>
      <c r="GMB19" s="310" t="s">
        <v>202</v>
      </c>
      <c r="GMC19" s="310" t="s">
        <v>202</v>
      </c>
      <c r="GMD19" s="310" t="s">
        <v>202</v>
      </c>
      <c r="GME19" s="310" t="s">
        <v>202</v>
      </c>
      <c r="GMF19" s="310" t="s">
        <v>202</v>
      </c>
      <c r="GMG19" s="310" t="s">
        <v>202</v>
      </c>
      <c r="GMH19" s="310" t="s">
        <v>202</v>
      </c>
      <c r="GMI19" s="310" t="s">
        <v>202</v>
      </c>
      <c r="GMJ19" s="310" t="s">
        <v>202</v>
      </c>
      <c r="GMK19" s="310" t="s">
        <v>202</v>
      </c>
      <c r="GML19" s="310" t="s">
        <v>202</v>
      </c>
      <c r="GMM19" s="310" t="s">
        <v>202</v>
      </c>
      <c r="GMN19" s="310" t="s">
        <v>202</v>
      </c>
      <c r="GMO19" s="310" t="s">
        <v>202</v>
      </c>
      <c r="GMP19" s="310" t="s">
        <v>202</v>
      </c>
      <c r="GMQ19" s="310" t="s">
        <v>202</v>
      </c>
      <c r="GMR19" s="310" t="s">
        <v>202</v>
      </c>
      <c r="GMS19" s="310" t="s">
        <v>202</v>
      </c>
      <c r="GMT19" s="310" t="s">
        <v>202</v>
      </c>
      <c r="GMU19" s="310" t="s">
        <v>202</v>
      </c>
      <c r="GMV19" s="310" t="s">
        <v>202</v>
      </c>
      <c r="GMW19" s="310" t="s">
        <v>202</v>
      </c>
      <c r="GMX19" s="310" t="s">
        <v>202</v>
      </c>
      <c r="GMY19" s="310" t="s">
        <v>202</v>
      </c>
      <c r="GMZ19" s="310" t="s">
        <v>202</v>
      </c>
      <c r="GNA19" s="310" t="s">
        <v>202</v>
      </c>
      <c r="GNB19" s="310" t="s">
        <v>202</v>
      </c>
      <c r="GNC19" s="310" t="s">
        <v>202</v>
      </c>
      <c r="GND19" s="310" t="s">
        <v>202</v>
      </c>
      <c r="GNE19" s="310" t="s">
        <v>202</v>
      </c>
      <c r="GNF19" s="310" t="s">
        <v>202</v>
      </c>
      <c r="GNG19" s="310" t="s">
        <v>202</v>
      </c>
      <c r="GNH19" s="310" t="s">
        <v>202</v>
      </c>
      <c r="GNI19" s="310" t="s">
        <v>202</v>
      </c>
      <c r="GNJ19" s="310" t="s">
        <v>202</v>
      </c>
      <c r="GNK19" s="310" t="s">
        <v>202</v>
      </c>
      <c r="GNL19" s="310" t="s">
        <v>202</v>
      </c>
      <c r="GNM19" s="310" t="s">
        <v>202</v>
      </c>
      <c r="GNN19" s="310" t="s">
        <v>202</v>
      </c>
      <c r="GNO19" s="310" t="s">
        <v>202</v>
      </c>
      <c r="GNP19" s="310" t="s">
        <v>202</v>
      </c>
      <c r="GNQ19" s="310" t="s">
        <v>202</v>
      </c>
      <c r="GNR19" s="310" t="s">
        <v>202</v>
      </c>
      <c r="GNS19" s="310" t="s">
        <v>202</v>
      </c>
      <c r="GNT19" s="310" t="s">
        <v>202</v>
      </c>
      <c r="GNU19" s="310" t="s">
        <v>202</v>
      </c>
      <c r="GNV19" s="310" t="s">
        <v>202</v>
      </c>
      <c r="GNW19" s="310" t="s">
        <v>202</v>
      </c>
      <c r="GNX19" s="310" t="s">
        <v>202</v>
      </c>
      <c r="GNY19" s="310" t="s">
        <v>202</v>
      </c>
      <c r="GNZ19" s="310" t="s">
        <v>202</v>
      </c>
      <c r="GOA19" s="310" t="s">
        <v>202</v>
      </c>
      <c r="GOB19" s="310" t="s">
        <v>202</v>
      </c>
      <c r="GOC19" s="310" t="s">
        <v>202</v>
      </c>
      <c r="GOD19" s="310" t="s">
        <v>202</v>
      </c>
      <c r="GOE19" s="310" t="s">
        <v>202</v>
      </c>
      <c r="GOF19" s="310" t="s">
        <v>202</v>
      </c>
      <c r="GOG19" s="310" t="s">
        <v>202</v>
      </c>
      <c r="GOH19" s="310" t="s">
        <v>202</v>
      </c>
      <c r="GOI19" s="310" t="s">
        <v>202</v>
      </c>
      <c r="GOJ19" s="310" t="s">
        <v>202</v>
      </c>
      <c r="GOK19" s="310" t="s">
        <v>202</v>
      </c>
      <c r="GOL19" s="310" t="s">
        <v>202</v>
      </c>
      <c r="GOM19" s="310" t="s">
        <v>202</v>
      </c>
      <c r="GON19" s="310" t="s">
        <v>202</v>
      </c>
      <c r="GOO19" s="310" t="s">
        <v>202</v>
      </c>
      <c r="GOP19" s="310" t="s">
        <v>202</v>
      </c>
      <c r="GOQ19" s="310" t="s">
        <v>202</v>
      </c>
      <c r="GOR19" s="310" t="s">
        <v>202</v>
      </c>
      <c r="GOS19" s="310" t="s">
        <v>202</v>
      </c>
      <c r="GOT19" s="310" t="s">
        <v>202</v>
      </c>
      <c r="GOU19" s="310" t="s">
        <v>202</v>
      </c>
      <c r="GOV19" s="310" t="s">
        <v>202</v>
      </c>
      <c r="GOW19" s="310" t="s">
        <v>202</v>
      </c>
      <c r="GOX19" s="310" t="s">
        <v>202</v>
      </c>
      <c r="GOY19" s="310" t="s">
        <v>202</v>
      </c>
      <c r="GOZ19" s="310" t="s">
        <v>202</v>
      </c>
      <c r="GPA19" s="310" t="s">
        <v>202</v>
      </c>
      <c r="GPB19" s="310" t="s">
        <v>202</v>
      </c>
      <c r="GPC19" s="310" t="s">
        <v>202</v>
      </c>
      <c r="GPD19" s="310" t="s">
        <v>202</v>
      </c>
      <c r="GPE19" s="310" t="s">
        <v>202</v>
      </c>
      <c r="GPF19" s="310" t="s">
        <v>202</v>
      </c>
      <c r="GPG19" s="310" t="s">
        <v>202</v>
      </c>
      <c r="GPH19" s="310" t="s">
        <v>202</v>
      </c>
      <c r="GPI19" s="310" t="s">
        <v>202</v>
      </c>
      <c r="GPJ19" s="310" t="s">
        <v>202</v>
      </c>
      <c r="GPK19" s="310" t="s">
        <v>202</v>
      </c>
      <c r="GPL19" s="310" t="s">
        <v>202</v>
      </c>
      <c r="GPM19" s="310" t="s">
        <v>202</v>
      </c>
      <c r="GPN19" s="310" t="s">
        <v>202</v>
      </c>
      <c r="GPO19" s="310" t="s">
        <v>202</v>
      </c>
      <c r="GPP19" s="310" t="s">
        <v>202</v>
      </c>
      <c r="GPQ19" s="310" t="s">
        <v>202</v>
      </c>
      <c r="GPR19" s="310" t="s">
        <v>202</v>
      </c>
      <c r="GPS19" s="310" t="s">
        <v>202</v>
      </c>
      <c r="GPT19" s="310" t="s">
        <v>202</v>
      </c>
      <c r="GPU19" s="310" t="s">
        <v>202</v>
      </c>
      <c r="GPV19" s="310" t="s">
        <v>202</v>
      </c>
      <c r="GPW19" s="310" t="s">
        <v>202</v>
      </c>
      <c r="GPX19" s="310" t="s">
        <v>202</v>
      </c>
      <c r="GPY19" s="310" t="s">
        <v>202</v>
      </c>
      <c r="GPZ19" s="310" t="s">
        <v>202</v>
      </c>
      <c r="GQA19" s="310" t="s">
        <v>202</v>
      </c>
      <c r="GQB19" s="310" t="s">
        <v>202</v>
      </c>
      <c r="GQC19" s="310" t="s">
        <v>202</v>
      </c>
      <c r="GQD19" s="310" t="s">
        <v>202</v>
      </c>
      <c r="GQE19" s="310" t="s">
        <v>202</v>
      </c>
      <c r="GQF19" s="310" t="s">
        <v>202</v>
      </c>
      <c r="GQG19" s="310" t="s">
        <v>202</v>
      </c>
      <c r="GQH19" s="310" t="s">
        <v>202</v>
      </c>
      <c r="GQI19" s="310" t="s">
        <v>202</v>
      </c>
      <c r="GQJ19" s="310" t="s">
        <v>202</v>
      </c>
      <c r="GQK19" s="310" t="s">
        <v>202</v>
      </c>
      <c r="GQL19" s="310" t="s">
        <v>202</v>
      </c>
      <c r="GQM19" s="310" t="s">
        <v>202</v>
      </c>
      <c r="GQN19" s="310" t="s">
        <v>202</v>
      </c>
      <c r="GQO19" s="310" t="s">
        <v>202</v>
      </c>
      <c r="GQP19" s="310" t="s">
        <v>202</v>
      </c>
      <c r="GQQ19" s="310" t="s">
        <v>202</v>
      </c>
      <c r="GQR19" s="310" t="s">
        <v>202</v>
      </c>
      <c r="GQS19" s="310" t="s">
        <v>202</v>
      </c>
      <c r="GQT19" s="310" t="s">
        <v>202</v>
      </c>
      <c r="GQU19" s="310" t="s">
        <v>202</v>
      </c>
      <c r="GQV19" s="310" t="s">
        <v>202</v>
      </c>
      <c r="GQW19" s="310" t="s">
        <v>202</v>
      </c>
      <c r="GQX19" s="310" t="s">
        <v>202</v>
      </c>
      <c r="GQY19" s="310" t="s">
        <v>202</v>
      </c>
      <c r="GQZ19" s="310" t="s">
        <v>202</v>
      </c>
      <c r="GRA19" s="310" t="s">
        <v>202</v>
      </c>
      <c r="GRB19" s="310" t="s">
        <v>202</v>
      </c>
      <c r="GRC19" s="310" t="s">
        <v>202</v>
      </c>
      <c r="GRD19" s="310" t="s">
        <v>202</v>
      </c>
      <c r="GRE19" s="310" t="s">
        <v>202</v>
      </c>
      <c r="GRF19" s="310" t="s">
        <v>202</v>
      </c>
      <c r="GRG19" s="310" t="s">
        <v>202</v>
      </c>
      <c r="GRH19" s="310" t="s">
        <v>202</v>
      </c>
      <c r="GRI19" s="310" t="s">
        <v>202</v>
      </c>
      <c r="GRJ19" s="310" t="s">
        <v>202</v>
      </c>
      <c r="GRK19" s="310" t="s">
        <v>202</v>
      </c>
      <c r="GRL19" s="310" t="s">
        <v>202</v>
      </c>
      <c r="GRM19" s="310" t="s">
        <v>202</v>
      </c>
      <c r="GRN19" s="310" t="s">
        <v>202</v>
      </c>
      <c r="GRO19" s="310" t="s">
        <v>202</v>
      </c>
      <c r="GRP19" s="310" t="s">
        <v>202</v>
      </c>
      <c r="GRQ19" s="310" t="s">
        <v>202</v>
      </c>
      <c r="GRR19" s="310" t="s">
        <v>202</v>
      </c>
      <c r="GRS19" s="310" t="s">
        <v>202</v>
      </c>
      <c r="GRT19" s="310" t="s">
        <v>202</v>
      </c>
      <c r="GRU19" s="310" t="s">
        <v>202</v>
      </c>
      <c r="GRV19" s="310" t="s">
        <v>202</v>
      </c>
      <c r="GRW19" s="310" t="s">
        <v>202</v>
      </c>
      <c r="GRX19" s="310" t="s">
        <v>202</v>
      </c>
      <c r="GRY19" s="310" t="s">
        <v>202</v>
      </c>
      <c r="GRZ19" s="310" t="s">
        <v>202</v>
      </c>
      <c r="GSA19" s="310" t="s">
        <v>202</v>
      </c>
      <c r="GSB19" s="310" t="s">
        <v>202</v>
      </c>
      <c r="GSC19" s="310" t="s">
        <v>202</v>
      </c>
      <c r="GSD19" s="310" t="s">
        <v>202</v>
      </c>
      <c r="GSE19" s="310" t="s">
        <v>202</v>
      </c>
      <c r="GSF19" s="310" t="s">
        <v>202</v>
      </c>
      <c r="GSG19" s="310" t="s">
        <v>202</v>
      </c>
      <c r="GSH19" s="310" t="s">
        <v>202</v>
      </c>
      <c r="GSI19" s="310" t="s">
        <v>202</v>
      </c>
      <c r="GSJ19" s="310" t="s">
        <v>202</v>
      </c>
      <c r="GSK19" s="310" t="s">
        <v>202</v>
      </c>
      <c r="GSL19" s="310" t="s">
        <v>202</v>
      </c>
      <c r="GSM19" s="310" t="s">
        <v>202</v>
      </c>
      <c r="GSN19" s="310" t="s">
        <v>202</v>
      </c>
      <c r="GSO19" s="310" t="s">
        <v>202</v>
      </c>
      <c r="GSP19" s="310" t="s">
        <v>202</v>
      </c>
      <c r="GSQ19" s="310" t="s">
        <v>202</v>
      </c>
      <c r="GSR19" s="310" t="s">
        <v>202</v>
      </c>
      <c r="GSS19" s="310" t="s">
        <v>202</v>
      </c>
      <c r="GST19" s="310" t="s">
        <v>202</v>
      </c>
      <c r="GSU19" s="310" t="s">
        <v>202</v>
      </c>
      <c r="GSV19" s="310" t="s">
        <v>202</v>
      </c>
      <c r="GSW19" s="310" t="s">
        <v>202</v>
      </c>
      <c r="GSX19" s="310" t="s">
        <v>202</v>
      </c>
      <c r="GSY19" s="310" t="s">
        <v>202</v>
      </c>
      <c r="GSZ19" s="310" t="s">
        <v>202</v>
      </c>
      <c r="GTA19" s="310" t="s">
        <v>202</v>
      </c>
      <c r="GTB19" s="310" t="s">
        <v>202</v>
      </c>
      <c r="GTC19" s="310" t="s">
        <v>202</v>
      </c>
      <c r="GTD19" s="310" t="s">
        <v>202</v>
      </c>
      <c r="GTE19" s="310" t="s">
        <v>202</v>
      </c>
      <c r="GTF19" s="310" t="s">
        <v>202</v>
      </c>
      <c r="GTG19" s="310" t="s">
        <v>202</v>
      </c>
      <c r="GTH19" s="310" t="s">
        <v>202</v>
      </c>
      <c r="GTI19" s="310" t="s">
        <v>202</v>
      </c>
      <c r="GTJ19" s="310" t="s">
        <v>202</v>
      </c>
      <c r="GTK19" s="310" t="s">
        <v>202</v>
      </c>
      <c r="GTL19" s="310" t="s">
        <v>202</v>
      </c>
      <c r="GTM19" s="310" t="s">
        <v>202</v>
      </c>
      <c r="GTN19" s="310" t="s">
        <v>202</v>
      </c>
      <c r="GTO19" s="310" t="s">
        <v>202</v>
      </c>
      <c r="GTP19" s="310" t="s">
        <v>202</v>
      </c>
      <c r="GTQ19" s="310" t="s">
        <v>202</v>
      </c>
      <c r="GTR19" s="310" t="s">
        <v>202</v>
      </c>
      <c r="GTS19" s="310" t="s">
        <v>202</v>
      </c>
      <c r="GTT19" s="310" t="s">
        <v>202</v>
      </c>
      <c r="GTU19" s="310" t="s">
        <v>202</v>
      </c>
      <c r="GTV19" s="310" t="s">
        <v>202</v>
      </c>
      <c r="GTW19" s="310" t="s">
        <v>202</v>
      </c>
      <c r="GTX19" s="310" t="s">
        <v>202</v>
      </c>
      <c r="GTY19" s="310" t="s">
        <v>202</v>
      </c>
      <c r="GTZ19" s="310" t="s">
        <v>202</v>
      </c>
      <c r="GUA19" s="310" t="s">
        <v>202</v>
      </c>
      <c r="GUB19" s="310" t="s">
        <v>202</v>
      </c>
      <c r="GUC19" s="310" t="s">
        <v>202</v>
      </c>
      <c r="GUD19" s="310" t="s">
        <v>202</v>
      </c>
      <c r="GUE19" s="310" t="s">
        <v>202</v>
      </c>
      <c r="GUF19" s="310" t="s">
        <v>202</v>
      </c>
      <c r="GUG19" s="310" t="s">
        <v>202</v>
      </c>
      <c r="GUH19" s="310" t="s">
        <v>202</v>
      </c>
      <c r="GUI19" s="310" t="s">
        <v>202</v>
      </c>
      <c r="GUJ19" s="310" t="s">
        <v>202</v>
      </c>
      <c r="GUK19" s="310" t="s">
        <v>202</v>
      </c>
      <c r="GUL19" s="310" t="s">
        <v>202</v>
      </c>
      <c r="GUM19" s="310" t="s">
        <v>202</v>
      </c>
      <c r="GUN19" s="310" t="s">
        <v>202</v>
      </c>
      <c r="GUO19" s="310" t="s">
        <v>202</v>
      </c>
      <c r="GUP19" s="310" t="s">
        <v>202</v>
      </c>
      <c r="GUQ19" s="310" t="s">
        <v>202</v>
      </c>
      <c r="GUR19" s="310" t="s">
        <v>202</v>
      </c>
      <c r="GUS19" s="310" t="s">
        <v>202</v>
      </c>
      <c r="GUT19" s="310" t="s">
        <v>202</v>
      </c>
      <c r="GUU19" s="310" t="s">
        <v>202</v>
      </c>
      <c r="GUV19" s="310" t="s">
        <v>202</v>
      </c>
      <c r="GUW19" s="310" t="s">
        <v>202</v>
      </c>
      <c r="GUX19" s="310" t="s">
        <v>202</v>
      </c>
      <c r="GUY19" s="310" t="s">
        <v>202</v>
      </c>
      <c r="GUZ19" s="310" t="s">
        <v>202</v>
      </c>
      <c r="GVA19" s="310" t="s">
        <v>202</v>
      </c>
      <c r="GVB19" s="310" t="s">
        <v>202</v>
      </c>
      <c r="GVC19" s="310" t="s">
        <v>202</v>
      </c>
      <c r="GVD19" s="310" t="s">
        <v>202</v>
      </c>
      <c r="GVE19" s="310" t="s">
        <v>202</v>
      </c>
      <c r="GVF19" s="310" t="s">
        <v>202</v>
      </c>
      <c r="GVG19" s="310" t="s">
        <v>202</v>
      </c>
      <c r="GVH19" s="310" t="s">
        <v>202</v>
      </c>
      <c r="GVI19" s="310" t="s">
        <v>202</v>
      </c>
      <c r="GVJ19" s="310" t="s">
        <v>202</v>
      </c>
      <c r="GVK19" s="310" t="s">
        <v>202</v>
      </c>
      <c r="GVL19" s="310" t="s">
        <v>202</v>
      </c>
      <c r="GVM19" s="310" t="s">
        <v>202</v>
      </c>
      <c r="GVN19" s="310" t="s">
        <v>202</v>
      </c>
      <c r="GVO19" s="310" t="s">
        <v>202</v>
      </c>
      <c r="GVP19" s="310" t="s">
        <v>202</v>
      </c>
      <c r="GVQ19" s="310" t="s">
        <v>202</v>
      </c>
      <c r="GVR19" s="310" t="s">
        <v>202</v>
      </c>
      <c r="GVS19" s="310" t="s">
        <v>202</v>
      </c>
      <c r="GVT19" s="310" t="s">
        <v>202</v>
      </c>
      <c r="GVU19" s="310" t="s">
        <v>202</v>
      </c>
      <c r="GVV19" s="310" t="s">
        <v>202</v>
      </c>
      <c r="GVW19" s="310" t="s">
        <v>202</v>
      </c>
      <c r="GVX19" s="310" t="s">
        <v>202</v>
      </c>
      <c r="GVY19" s="310" t="s">
        <v>202</v>
      </c>
      <c r="GVZ19" s="310" t="s">
        <v>202</v>
      </c>
      <c r="GWA19" s="310" t="s">
        <v>202</v>
      </c>
      <c r="GWB19" s="310" t="s">
        <v>202</v>
      </c>
      <c r="GWC19" s="310" t="s">
        <v>202</v>
      </c>
      <c r="GWD19" s="310" t="s">
        <v>202</v>
      </c>
      <c r="GWE19" s="310" t="s">
        <v>202</v>
      </c>
      <c r="GWF19" s="310" t="s">
        <v>202</v>
      </c>
      <c r="GWG19" s="310" t="s">
        <v>202</v>
      </c>
      <c r="GWH19" s="310" t="s">
        <v>202</v>
      </c>
      <c r="GWI19" s="310" t="s">
        <v>202</v>
      </c>
      <c r="GWJ19" s="310" t="s">
        <v>202</v>
      </c>
      <c r="GWK19" s="310" t="s">
        <v>202</v>
      </c>
      <c r="GWL19" s="310" t="s">
        <v>202</v>
      </c>
      <c r="GWM19" s="310" t="s">
        <v>202</v>
      </c>
      <c r="GWN19" s="310" t="s">
        <v>202</v>
      </c>
      <c r="GWO19" s="310" t="s">
        <v>202</v>
      </c>
      <c r="GWP19" s="310" t="s">
        <v>202</v>
      </c>
      <c r="GWQ19" s="310" t="s">
        <v>202</v>
      </c>
      <c r="GWR19" s="310" t="s">
        <v>202</v>
      </c>
      <c r="GWS19" s="310" t="s">
        <v>202</v>
      </c>
      <c r="GWT19" s="310" t="s">
        <v>202</v>
      </c>
      <c r="GWU19" s="310" t="s">
        <v>202</v>
      </c>
      <c r="GWV19" s="310" t="s">
        <v>202</v>
      </c>
      <c r="GWW19" s="310" t="s">
        <v>202</v>
      </c>
      <c r="GWX19" s="310" t="s">
        <v>202</v>
      </c>
      <c r="GWY19" s="310" t="s">
        <v>202</v>
      </c>
      <c r="GWZ19" s="310" t="s">
        <v>202</v>
      </c>
      <c r="GXA19" s="310" t="s">
        <v>202</v>
      </c>
      <c r="GXB19" s="310" t="s">
        <v>202</v>
      </c>
      <c r="GXC19" s="310" t="s">
        <v>202</v>
      </c>
      <c r="GXD19" s="310" t="s">
        <v>202</v>
      </c>
      <c r="GXE19" s="310" t="s">
        <v>202</v>
      </c>
      <c r="GXF19" s="310" t="s">
        <v>202</v>
      </c>
      <c r="GXG19" s="310" t="s">
        <v>202</v>
      </c>
      <c r="GXH19" s="310" t="s">
        <v>202</v>
      </c>
      <c r="GXI19" s="310" t="s">
        <v>202</v>
      </c>
      <c r="GXJ19" s="310" t="s">
        <v>202</v>
      </c>
      <c r="GXK19" s="310" t="s">
        <v>202</v>
      </c>
      <c r="GXL19" s="310" t="s">
        <v>202</v>
      </c>
      <c r="GXM19" s="310" t="s">
        <v>202</v>
      </c>
      <c r="GXN19" s="310" t="s">
        <v>202</v>
      </c>
      <c r="GXO19" s="310" t="s">
        <v>202</v>
      </c>
      <c r="GXP19" s="310" t="s">
        <v>202</v>
      </c>
      <c r="GXQ19" s="310" t="s">
        <v>202</v>
      </c>
      <c r="GXR19" s="310" t="s">
        <v>202</v>
      </c>
      <c r="GXS19" s="310" t="s">
        <v>202</v>
      </c>
      <c r="GXT19" s="310" t="s">
        <v>202</v>
      </c>
      <c r="GXU19" s="310" t="s">
        <v>202</v>
      </c>
      <c r="GXV19" s="310" t="s">
        <v>202</v>
      </c>
      <c r="GXW19" s="310" t="s">
        <v>202</v>
      </c>
      <c r="GXX19" s="310" t="s">
        <v>202</v>
      </c>
      <c r="GXY19" s="310" t="s">
        <v>202</v>
      </c>
      <c r="GXZ19" s="310" t="s">
        <v>202</v>
      </c>
      <c r="GYA19" s="310" t="s">
        <v>202</v>
      </c>
      <c r="GYB19" s="310" t="s">
        <v>202</v>
      </c>
      <c r="GYC19" s="310" t="s">
        <v>202</v>
      </c>
      <c r="GYD19" s="310" t="s">
        <v>202</v>
      </c>
      <c r="GYE19" s="310" t="s">
        <v>202</v>
      </c>
      <c r="GYF19" s="310" t="s">
        <v>202</v>
      </c>
      <c r="GYG19" s="310" t="s">
        <v>202</v>
      </c>
      <c r="GYH19" s="310" t="s">
        <v>202</v>
      </c>
      <c r="GYI19" s="310" t="s">
        <v>202</v>
      </c>
      <c r="GYJ19" s="310" t="s">
        <v>202</v>
      </c>
      <c r="GYK19" s="310" t="s">
        <v>202</v>
      </c>
      <c r="GYL19" s="310" t="s">
        <v>202</v>
      </c>
      <c r="GYM19" s="310" t="s">
        <v>202</v>
      </c>
      <c r="GYN19" s="310" t="s">
        <v>202</v>
      </c>
      <c r="GYO19" s="310" t="s">
        <v>202</v>
      </c>
      <c r="GYP19" s="310" t="s">
        <v>202</v>
      </c>
      <c r="GYQ19" s="310" t="s">
        <v>202</v>
      </c>
      <c r="GYR19" s="310" t="s">
        <v>202</v>
      </c>
      <c r="GYS19" s="310" t="s">
        <v>202</v>
      </c>
      <c r="GYT19" s="310" t="s">
        <v>202</v>
      </c>
      <c r="GYU19" s="310" t="s">
        <v>202</v>
      </c>
      <c r="GYV19" s="310" t="s">
        <v>202</v>
      </c>
      <c r="GYW19" s="310" t="s">
        <v>202</v>
      </c>
      <c r="GYX19" s="310" t="s">
        <v>202</v>
      </c>
      <c r="GYY19" s="310" t="s">
        <v>202</v>
      </c>
      <c r="GYZ19" s="310" t="s">
        <v>202</v>
      </c>
      <c r="GZA19" s="310" t="s">
        <v>202</v>
      </c>
      <c r="GZB19" s="310" t="s">
        <v>202</v>
      </c>
      <c r="GZC19" s="310" t="s">
        <v>202</v>
      </c>
      <c r="GZD19" s="310" t="s">
        <v>202</v>
      </c>
      <c r="GZE19" s="310" t="s">
        <v>202</v>
      </c>
      <c r="GZF19" s="310" t="s">
        <v>202</v>
      </c>
      <c r="GZG19" s="310" t="s">
        <v>202</v>
      </c>
      <c r="GZH19" s="310" t="s">
        <v>202</v>
      </c>
      <c r="GZI19" s="310" t="s">
        <v>202</v>
      </c>
      <c r="GZJ19" s="310" t="s">
        <v>202</v>
      </c>
      <c r="GZK19" s="310" t="s">
        <v>202</v>
      </c>
      <c r="GZL19" s="310" t="s">
        <v>202</v>
      </c>
      <c r="GZM19" s="310" t="s">
        <v>202</v>
      </c>
      <c r="GZN19" s="310" t="s">
        <v>202</v>
      </c>
      <c r="GZO19" s="310" t="s">
        <v>202</v>
      </c>
      <c r="GZP19" s="310" t="s">
        <v>202</v>
      </c>
      <c r="GZQ19" s="310" t="s">
        <v>202</v>
      </c>
      <c r="GZR19" s="310" t="s">
        <v>202</v>
      </c>
      <c r="GZS19" s="310" t="s">
        <v>202</v>
      </c>
      <c r="GZT19" s="310" t="s">
        <v>202</v>
      </c>
      <c r="GZU19" s="310" t="s">
        <v>202</v>
      </c>
      <c r="GZV19" s="310" t="s">
        <v>202</v>
      </c>
      <c r="GZW19" s="310" t="s">
        <v>202</v>
      </c>
      <c r="GZX19" s="310" t="s">
        <v>202</v>
      </c>
      <c r="GZY19" s="310" t="s">
        <v>202</v>
      </c>
      <c r="GZZ19" s="310" t="s">
        <v>202</v>
      </c>
      <c r="HAA19" s="310" t="s">
        <v>202</v>
      </c>
      <c r="HAB19" s="310" t="s">
        <v>202</v>
      </c>
      <c r="HAC19" s="310" t="s">
        <v>202</v>
      </c>
      <c r="HAD19" s="310" t="s">
        <v>202</v>
      </c>
      <c r="HAE19" s="310" t="s">
        <v>202</v>
      </c>
      <c r="HAF19" s="310" t="s">
        <v>202</v>
      </c>
      <c r="HAG19" s="310" t="s">
        <v>202</v>
      </c>
      <c r="HAH19" s="310" t="s">
        <v>202</v>
      </c>
      <c r="HAI19" s="310" t="s">
        <v>202</v>
      </c>
      <c r="HAJ19" s="310" t="s">
        <v>202</v>
      </c>
      <c r="HAK19" s="310" t="s">
        <v>202</v>
      </c>
      <c r="HAL19" s="310" t="s">
        <v>202</v>
      </c>
      <c r="HAM19" s="310" t="s">
        <v>202</v>
      </c>
      <c r="HAN19" s="310" t="s">
        <v>202</v>
      </c>
      <c r="HAO19" s="310" t="s">
        <v>202</v>
      </c>
      <c r="HAP19" s="310" t="s">
        <v>202</v>
      </c>
      <c r="HAQ19" s="310" t="s">
        <v>202</v>
      </c>
      <c r="HAR19" s="310" t="s">
        <v>202</v>
      </c>
      <c r="HAS19" s="310" t="s">
        <v>202</v>
      </c>
      <c r="HAT19" s="310" t="s">
        <v>202</v>
      </c>
      <c r="HAU19" s="310" t="s">
        <v>202</v>
      </c>
      <c r="HAV19" s="310" t="s">
        <v>202</v>
      </c>
      <c r="HAW19" s="310" t="s">
        <v>202</v>
      </c>
      <c r="HAX19" s="310" t="s">
        <v>202</v>
      </c>
      <c r="HAY19" s="310" t="s">
        <v>202</v>
      </c>
      <c r="HAZ19" s="310" t="s">
        <v>202</v>
      </c>
      <c r="HBA19" s="310" t="s">
        <v>202</v>
      </c>
      <c r="HBB19" s="310" t="s">
        <v>202</v>
      </c>
      <c r="HBC19" s="310" t="s">
        <v>202</v>
      </c>
      <c r="HBD19" s="310" t="s">
        <v>202</v>
      </c>
      <c r="HBE19" s="310" t="s">
        <v>202</v>
      </c>
      <c r="HBF19" s="310" t="s">
        <v>202</v>
      </c>
      <c r="HBG19" s="310" t="s">
        <v>202</v>
      </c>
      <c r="HBH19" s="310" t="s">
        <v>202</v>
      </c>
      <c r="HBI19" s="310" t="s">
        <v>202</v>
      </c>
      <c r="HBJ19" s="310" t="s">
        <v>202</v>
      </c>
      <c r="HBK19" s="310" t="s">
        <v>202</v>
      </c>
      <c r="HBL19" s="310" t="s">
        <v>202</v>
      </c>
      <c r="HBM19" s="310" t="s">
        <v>202</v>
      </c>
      <c r="HBN19" s="310" t="s">
        <v>202</v>
      </c>
      <c r="HBO19" s="310" t="s">
        <v>202</v>
      </c>
      <c r="HBP19" s="310" t="s">
        <v>202</v>
      </c>
      <c r="HBQ19" s="310" t="s">
        <v>202</v>
      </c>
      <c r="HBR19" s="310" t="s">
        <v>202</v>
      </c>
      <c r="HBS19" s="310" t="s">
        <v>202</v>
      </c>
      <c r="HBT19" s="310" t="s">
        <v>202</v>
      </c>
      <c r="HBU19" s="310" t="s">
        <v>202</v>
      </c>
      <c r="HBV19" s="310" t="s">
        <v>202</v>
      </c>
      <c r="HBW19" s="310" t="s">
        <v>202</v>
      </c>
      <c r="HBX19" s="310" t="s">
        <v>202</v>
      </c>
      <c r="HBY19" s="310" t="s">
        <v>202</v>
      </c>
      <c r="HBZ19" s="310" t="s">
        <v>202</v>
      </c>
      <c r="HCA19" s="310" t="s">
        <v>202</v>
      </c>
      <c r="HCB19" s="310" t="s">
        <v>202</v>
      </c>
      <c r="HCC19" s="310" t="s">
        <v>202</v>
      </c>
      <c r="HCD19" s="310" t="s">
        <v>202</v>
      </c>
      <c r="HCE19" s="310" t="s">
        <v>202</v>
      </c>
      <c r="HCF19" s="310" t="s">
        <v>202</v>
      </c>
      <c r="HCG19" s="310" t="s">
        <v>202</v>
      </c>
      <c r="HCH19" s="310" t="s">
        <v>202</v>
      </c>
      <c r="HCI19" s="310" t="s">
        <v>202</v>
      </c>
      <c r="HCJ19" s="310" t="s">
        <v>202</v>
      </c>
      <c r="HCK19" s="310" t="s">
        <v>202</v>
      </c>
      <c r="HCL19" s="310" t="s">
        <v>202</v>
      </c>
      <c r="HCM19" s="310" t="s">
        <v>202</v>
      </c>
      <c r="HCN19" s="310" t="s">
        <v>202</v>
      </c>
      <c r="HCO19" s="310" t="s">
        <v>202</v>
      </c>
      <c r="HCP19" s="310" t="s">
        <v>202</v>
      </c>
      <c r="HCQ19" s="310" t="s">
        <v>202</v>
      </c>
      <c r="HCR19" s="310" t="s">
        <v>202</v>
      </c>
      <c r="HCS19" s="310" t="s">
        <v>202</v>
      </c>
      <c r="HCT19" s="310" t="s">
        <v>202</v>
      </c>
      <c r="HCU19" s="310" t="s">
        <v>202</v>
      </c>
      <c r="HCV19" s="310" t="s">
        <v>202</v>
      </c>
      <c r="HCW19" s="310" t="s">
        <v>202</v>
      </c>
      <c r="HCX19" s="310" t="s">
        <v>202</v>
      </c>
      <c r="HCY19" s="310" t="s">
        <v>202</v>
      </c>
      <c r="HCZ19" s="310" t="s">
        <v>202</v>
      </c>
      <c r="HDA19" s="310" t="s">
        <v>202</v>
      </c>
      <c r="HDB19" s="310" t="s">
        <v>202</v>
      </c>
      <c r="HDC19" s="310" t="s">
        <v>202</v>
      </c>
      <c r="HDD19" s="310" t="s">
        <v>202</v>
      </c>
      <c r="HDE19" s="310" t="s">
        <v>202</v>
      </c>
      <c r="HDF19" s="310" t="s">
        <v>202</v>
      </c>
      <c r="HDG19" s="310" t="s">
        <v>202</v>
      </c>
      <c r="HDH19" s="310" t="s">
        <v>202</v>
      </c>
      <c r="HDI19" s="310" t="s">
        <v>202</v>
      </c>
      <c r="HDJ19" s="310" t="s">
        <v>202</v>
      </c>
      <c r="HDK19" s="310" t="s">
        <v>202</v>
      </c>
      <c r="HDL19" s="310" t="s">
        <v>202</v>
      </c>
      <c r="HDM19" s="310" t="s">
        <v>202</v>
      </c>
      <c r="HDN19" s="310" t="s">
        <v>202</v>
      </c>
      <c r="HDO19" s="310" t="s">
        <v>202</v>
      </c>
      <c r="HDP19" s="310" t="s">
        <v>202</v>
      </c>
      <c r="HDQ19" s="310" t="s">
        <v>202</v>
      </c>
      <c r="HDR19" s="310" t="s">
        <v>202</v>
      </c>
      <c r="HDS19" s="310" t="s">
        <v>202</v>
      </c>
      <c r="HDT19" s="310" t="s">
        <v>202</v>
      </c>
      <c r="HDU19" s="310" t="s">
        <v>202</v>
      </c>
      <c r="HDV19" s="310" t="s">
        <v>202</v>
      </c>
      <c r="HDW19" s="310" t="s">
        <v>202</v>
      </c>
      <c r="HDX19" s="310" t="s">
        <v>202</v>
      </c>
      <c r="HDY19" s="310" t="s">
        <v>202</v>
      </c>
      <c r="HDZ19" s="310" t="s">
        <v>202</v>
      </c>
      <c r="HEA19" s="310" t="s">
        <v>202</v>
      </c>
      <c r="HEB19" s="310" t="s">
        <v>202</v>
      </c>
      <c r="HEC19" s="310" t="s">
        <v>202</v>
      </c>
      <c r="HED19" s="310" t="s">
        <v>202</v>
      </c>
      <c r="HEE19" s="310" t="s">
        <v>202</v>
      </c>
      <c r="HEF19" s="310" t="s">
        <v>202</v>
      </c>
      <c r="HEG19" s="310" t="s">
        <v>202</v>
      </c>
      <c r="HEH19" s="310" t="s">
        <v>202</v>
      </c>
      <c r="HEI19" s="310" t="s">
        <v>202</v>
      </c>
      <c r="HEJ19" s="310" t="s">
        <v>202</v>
      </c>
      <c r="HEK19" s="310" t="s">
        <v>202</v>
      </c>
      <c r="HEL19" s="310" t="s">
        <v>202</v>
      </c>
      <c r="HEM19" s="310" t="s">
        <v>202</v>
      </c>
      <c r="HEN19" s="310" t="s">
        <v>202</v>
      </c>
      <c r="HEO19" s="310" t="s">
        <v>202</v>
      </c>
      <c r="HEP19" s="310" t="s">
        <v>202</v>
      </c>
      <c r="HEQ19" s="310" t="s">
        <v>202</v>
      </c>
      <c r="HER19" s="310" t="s">
        <v>202</v>
      </c>
      <c r="HES19" s="310" t="s">
        <v>202</v>
      </c>
      <c r="HET19" s="310" t="s">
        <v>202</v>
      </c>
      <c r="HEU19" s="310" t="s">
        <v>202</v>
      </c>
      <c r="HEV19" s="310" t="s">
        <v>202</v>
      </c>
      <c r="HEW19" s="310" t="s">
        <v>202</v>
      </c>
      <c r="HEX19" s="310" t="s">
        <v>202</v>
      </c>
      <c r="HEY19" s="310" t="s">
        <v>202</v>
      </c>
      <c r="HEZ19" s="310" t="s">
        <v>202</v>
      </c>
      <c r="HFA19" s="310" t="s">
        <v>202</v>
      </c>
      <c r="HFB19" s="310" t="s">
        <v>202</v>
      </c>
      <c r="HFC19" s="310" t="s">
        <v>202</v>
      </c>
      <c r="HFD19" s="310" t="s">
        <v>202</v>
      </c>
      <c r="HFE19" s="310" t="s">
        <v>202</v>
      </c>
      <c r="HFF19" s="310" t="s">
        <v>202</v>
      </c>
      <c r="HFG19" s="310" t="s">
        <v>202</v>
      </c>
      <c r="HFH19" s="310" t="s">
        <v>202</v>
      </c>
      <c r="HFI19" s="310" t="s">
        <v>202</v>
      </c>
      <c r="HFJ19" s="310" t="s">
        <v>202</v>
      </c>
      <c r="HFK19" s="310" t="s">
        <v>202</v>
      </c>
      <c r="HFL19" s="310" t="s">
        <v>202</v>
      </c>
      <c r="HFM19" s="310" t="s">
        <v>202</v>
      </c>
      <c r="HFN19" s="310" t="s">
        <v>202</v>
      </c>
      <c r="HFO19" s="310" t="s">
        <v>202</v>
      </c>
      <c r="HFP19" s="310" t="s">
        <v>202</v>
      </c>
      <c r="HFQ19" s="310" t="s">
        <v>202</v>
      </c>
      <c r="HFR19" s="310" t="s">
        <v>202</v>
      </c>
      <c r="HFS19" s="310" t="s">
        <v>202</v>
      </c>
      <c r="HFT19" s="310" t="s">
        <v>202</v>
      </c>
      <c r="HFU19" s="310" t="s">
        <v>202</v>
      </c>
      <c r="HFV19" s="310" t="s">
        <v>202</v>
      </c>
      <c r="HFW19" s="310" t="s">
        <v>202</v>
      </c>
      <c r="HFX19" s="310" t="s">
        <v>202</v>
      </c>
      <c r="HFY19" s="310" t="s">
        <v>202</v>
      </c>
      <c r="HFZ19" s="310" t="s">
        <v>202</v>
      </c>
      <c r="HGA19" s="310" t="s">
        <v>202</v>
      </c>
      <c r="HGB19" s="310" t="s">
        <v>202</v>
      </c>
      <c r="HGC19" s="310" t="s">
        <v>202</v>
      </c>
      <c r="HGD19" s="310" t="s">
        <v>202</v>
      </c>
      <c r="HGE19" s="310" t="s">
        <v>202</v>
      </c>
      <c r="HGF19" s="310" t="s">
        <v>202</v>
      </c>
      <c r="HGG19" s="310" t="s">
        <v>202</v>
      </c>
      <c r="HGH19" s="310" t="s">
        <v>202</v>
      </c>
      <c r="HGI19" s="310" t="s">
        <v>202</v>
      </c>
      <c r="HGJ19" s="310" t="s">
        <v>202</v>
      </c>
      <c r="HGK19" s="310" t="s">
        <v>202</v>
      </c>
      <c r="HGL19" s="310" t="s">
        <v>202</v>
      </c>
      <c r="HGM19" s="310" t="s">
        <v>202</v>
      </c>
      <c r="HGN19" s="310" t="s">
        <v>202</v>
      </c>
      <c r="HGO19" s="310" t="s">
        <v>202</v>
      </c>
      <c r="HGP19" s="310" t="s">
        <v>202</v>
      </c>
      <c r="HGQ19" s="310" t="s">
        <v>202</v>
      </c>
      <c r="HGR19" s="310" t="s">
        <v>202</v>
      </c>
      <c r="HGS19" s="310" t="s">
        <v>202</v>
      </c>
      <c r="HGT19" s="310" t="s">
        <v>202</v>
      </c>
      <c r="HGU19" s="310" t="s">
        <v>202</v>
      </c>
      <c r="HGV19" s="310" t="s">
        <v>202</v>
      </c>
      <c r="HGW19" s="310" t="s">
        <v>202</v>
      </c>
      <c r="HGX19" s="310" t="s">
        <v>202</v>
      </c>
      <c r="HGY19" s="310" t="s">
        <v>202</v>
      </c>
      <c r="HGZ19" s="310" t="s">
        <v>202</v>
      </c>
      <c r="HHA19" s="310" t="s">
        <v>202</v>
      </c>
      <c r="HHB19" s="310" t="s">
        <v>202</v>
      </c>
      <c r="HHC19" s="310" t="s">
        <v>202</v>
      </c>
      <c r="HHD19" s="310" t="s">
        <v>202</v>
      </c>
      <c r="HHE19" s="310" t="s">
        <v>202</v>
      </c>
      <c r="HHF19" s="310" t="s">
        <v>202</v>
      </c>
      <c r="HHG19" s="310" t="s">
        <v>202</v>
      </c>
      <c r="HHH19" s="310" t="s">
        <v>202</v>
      </c>
      <c r="HHI19" s="310" t="s">
        <v>202</v>
      </c>
      <c r="HHJ19" s="310" t="s">
        <v>202</v>
      </c>
      <c r="HHK19" s="310" t="s">
        <v>202</v>
      </c>
      <c r="HHL19" s="310" t="s">
        <v>202</v>
      </c>
      <c r="HHM19" s="310" t="s">
        <v>202</v>
      </c>
      <c r="HHN19" s="310" t="s">
        <v>202</v>
      </c>
      <c r="HHO19" s="310" t="s">
        <v>202</v>
      </c>
      <c r="HHP19" s="310" t="s">
        <v>202</v>
      </c>
      <c r="HHQ19" s="310" t="s">
        <v>202</v>
      </c>
      <c r="HHR19" s="310" t="s">
        <v>202</v>
      </c>
      <c r="HHS19" s="310" t="s">
        <v>202</v>
      </c>
      <c r="HHT19" s="310" t="s">
        <v>202</v>
      </c>
      <c r="HHU19" s="310" t="s">
        <v>202</v>
      </c>
      <c r="HHV19" s="310" t="s">
        <v>202</v>
      </c>
      <c r="HHW19" s="310" t="s">
        <v>202</v>
      </c>
      <c r="HHX19" s="310" t="s">
        <v>202</v>
      </c>
      <c r="HHY19" s="310" t="s">
        <v>202</v>
      </c>
      <c r="HHZ19" s="310" t="s">
        <v>202</v>
      </c>
      <c r="HIA19" s="310" t="s">
        <v>202</v>
      </c>
      <c r="HIB19" s="310" t="s">
        <v>202</v>
      </c>
      <c r="HIC19" s="310" t="s">
        <v>202</v>
      </c>
      <c r="HID19" s="310" t="s">
        <v>202</v>
      </c>
      <c r="HIE19" s="310" t="s">
        <v>202</v>
      </c>
      <c r="HIF19" s="310" t="s">
        <v>202</v>
      </c>
      <c r="HIG19" s="310" t="s">
        <v>202</v>
      </c>
      <c r="HIH19" s="310" t="s">
        <v>202</v>
      </c>
      <c r="HII19" s="310" t="s">
        <v>202</v>
      </c>
      <c r="HIJ19" s="310" t="s">
        <v>202</v>
      </c>
      <c r="HIK19" s="310" t="s">
        <v>202</v>
      </c>
      <c r="HIL19" s="310" t="s">
        <v>202</v>
      </c>
      <c r="HIM19" s="310" t="s">
        <v>202</v>
      </c>
      <c r="HIN19" s="310" t="s">
        <v>202</v>
      </c>
      <c r="HIO19" s="310" t="s">
        <v>202</v>
      </c>
      <c r="HIP19" s="310" t="s">
        <v>202</v>
      </c>
      <c r="HIQ19" s="310" t="s">
        <v>202</v>
      </c>
      <c r="HIR19" s="310" t="s">
        <v>202</v>
      </c>
      <c r="HIS19" s="310" t="s">
        <v>202</v>
      </c>
      <c r="HIT19" s="310" t="s">
        <v>202</v>
      </c>
      <c r="HIU19" s="310" t="s">
        <v>202</v>
      </c>
      <c r="HIV19" s="310" t="s">
        <v>202</v>
      </c>
      <c r="HIW19" s="310" t="s">
        <v>202</v>
      </c>
      <c r="HIX19" s="310" t="s">
        <v>202</v>
      </c>
      <c r="HIY19" s="310" t="s">
        <v>202</v>
      </c>
      <c r="HIZ19" s="310" t="s">
        <v>202</v>
      </c>
      <c r="HJA19" s="310" t="s">
        <v>202</v>
      </c>
      <c r="HJB19" s="310" t="s">
        <v>202</v>
      </c>
      <c r="HJC19" s="310" t="s">
        <v>202</v>
      </c>
      <c r="HJD19" s="310" t="s">
        <v>202</v>
      </c>
      <c r="HJE19" s="310" t="s">
        <v>202</v>
      </c>
      <c r="HJF19" s="310" t="s">
        <v>202</v>
      </c>
      <c r="HJG19" s="310" t="s">
        <v>202</v>
      </c>
      <c r="HJH19" s="310" t="s">
        <v>202</v>
      </c>
      <c r="HJI19" s="310" t="s">
        <v>202</v>
      </c>
      <c r="HJJ19" s="310" t="s">
        <v>202</v>
      </c>
      <c r="HJK19" s="310" t="s">
        <v>202</v>
      </c>
      <c r="HJL19" s="310" t="s">
        <v>202</v>
      </c>
      <c r="HJM19" s="310" t="s">
        <v>202</v>
      </c>
      <c r="HJN19" s="310" t="s">
        <v>202</v>
      </c>
      <c r="HJO19" s="310" t="s">
        <v>202</v>
      </c>
      <c r="HJP19" s="310" t="s">
        <v>202</v>
      </c>
      <c r="HJQ19" s="310" t="s">
        <v>202</v>
      </c>
      <c r="HJR19" s="310" t="s">
        <v>202</v>
      </c>
      <c r="HJS19" s="310" t="s">
        <v>202</v>
      </c>
      <c r="HJT19" s="310" t="s">
        <v>202</v>
      </c>
      <c r="HJU19" s="310" t="s">
        <v>202</v>
      </c>
      <c r="HJV19" s="310" t="s">
        <v>202</v>
      </c>
      <c r="HJW19" s="310" t="s">
        <v>202</v>
      </c>
      <c r="HJX19" s="310" t="s">
        <v>202</v>
      </c>
      <c r="HJY19" s="310" t="s">
        <v>202</v>
      </c>
      <c r="HJZ19" s="310" t="s">
        <v>202</v>
      </c>
      <c r="HKA19" s="310" t="s">
        <v>202</v>
      </c>
      <c r="HKB19" s="310" t="s">
        <v>202</v>
      </c>
      <c r="HKC19" s="310" t="s">
        <v>202</v>
      </c>
      <c r="HKD19" s="310" t="s">
        <v>202</v>
      </c>
      <c r="HKE19" s="310" t="s">
        <v>202</v>
      </c>
      <c r="HKF19" s="310" t="s">
        <v>202</v>
      </c>
      <c r="HKG19" s="310" t="s">
        <v>202</v>
      </c>
      <c r="HKH19" s="310" t="s">
        <v>202</v>
      </c>
      <c r="HKI19" s="310" t="s">
        <v>202</v>
      </c>
      <c r="HKJ19" s="310" t="s">
        <v>202</v>
      </c>
      <c r="HKK19" s="310" t="s">
        <v>202</v>
      </c>
      <c r="HKL19" s="310" t="s">
        <v>202</v>
      </c>
      <c r="HKM19" s="310" t="s">
        <v>202</v>
      </c>
      <c r="HKN19" s="310" t="s">
        <v>202</v>
      </c>
      <c r="HKO19" s="310" t="s">
        <v>202</v>
      </c>
      <c r="HKP19" s="310" t="s">
        <v>202</v>
      </c>
      <c r="HKQ19" s="310" t="s">
        <v>202</v>
      </c>
      <c r="HKR19" s="310" t="s">
        <v>202</v>
      </c>
      <c r="HKS19" s="310" t="s">
        <v>202</v>
      </c>
      <c r="HKT19" s="310" t="s">
        <v>202</v>
      </c>
      <c r="HKU19" s="310" t="s">
        <v>202</v>
      </c>
      <c r="HKV19" s="310" t="s">
        <v>202</v>
      </c>
      <c r="HKW19" s="310" t="s">
        <v>202</v>
      </c>
      <c r="HKX19" s="310" t="s">
        <v>202</v>
      </c>
      <c r="HKY19" s="310" t="s">
        <v>202</v>
      </c>
      <c r="HKZ19" s="310" t="s">
        <v>202</v>
      </c>
      <c r="HLA19" s="310" t="s">
        <v>202</v>
      </c>
      <c r="HLB19" s="310" t="s">
        <v>202</v>
      </c>
      <c r="HLC19" s="310" t="s">
        <v>202</v>
      </c>
      <c r="HLD19" s="310" t="s">
        <v>202</v>
      </c>
      <c r="HLE19" s="310" t="s">
        <v>202</v>
      </c>
      <c r="HLF19" s="310" t="s">
        <v>202</v>
      </c>
      <c r="HLG19" s="310" t="s">
        <v>202</v>
      </c>
      <c r="HLH19" s="310" t="s">
        <v>202</v>
      </c>
      <c r="HLI19" s="310" t="s">
        <v>202</v>
      </c>
      <c r="HLJ19" s="310" t="s">
        <v>202</v>
      </c>
      <c r="HLK19" s="310" t="s">
        <v>202</v>
      </c>
      <c r="HLL19" s="310" t="s">
        <v>202</v>
      </c>
      <c r="HLM19" s="310" t="s">
        <v>202</v>
      </c>
      <c r="HLN19" s="310" t="s">
        <v>202</v>
      </c>
      <c r="HLO19" s="310" t="s">
        <v>202</v>
      </c>
      <c r="HLP19" s="310" t="s">
        <v>202</v>
      </c>
      <c r="HLQ19" s="310" t="s">
        <v>202</v>
      </c>
      <c r="HLR19" s="310" t="s">
        <v>202</v>
      </c>
      <c r="HLS19" s="310" t="s">
        <v>202</v>
      </c>
      <c r="HLT19" s="310" t="s">
        <v>202</v>
      </c>
      <c r="HLU19" s="310" t="s">
        <v>202</v>
      </c>
      <c r="HLV19" s="310" t="s">
        <v>202</v>
      </c>
      <c r="HLW19" s="310" t="s">
        <v>202</v>
      </c>
      <c r="HLX19" s="310" t="s">
        <v>202</v>
      </c>
      <c r="HLY19" s="310" t="s">
        <v>202</v>
      </c>
      <c r="HLZ19" s="310" t="s">
        <v>202</v>
      </c>
      <c r="HMA19" s="310" t="s">
        <v>202</v>
      </c>
      <c r="HMB19" s="310" t="s">
        <v>202</v>
      </c>
      <c r="HMC19" s="310" t="s">
        <v>202</v>
      </c>
      <c r="HMD19" s="310" t="s">
        <v>202</v>
      </c>
      <c r="HME19" s="310" t="s">
        <v>202</v>
      </c>
      <c r="HMF19" s="310" t="s">
        <v>202</v>
      </c>
      <c r="HMG19" s="310" t="s">
        <v>202</v>
      </c>
      <c r="HMH19" s="310" t="s">
        <v>202</v>
      </c>
      <c r="HMI19" s="310" t="s">
        <v>202</v>
      </c>
      <c r="HMJ19" s="310" t="s">
        <v>202</v>
      </c>
      <c r="HMK19" s="310" t="s">
        <v>202</v>
      </c>
      <c r="HML19" s="310" t="s">
        <v>202</v>
      </c>
      <c r="HMM19" s="310" t="s">
        <v>202</v>
      </c>
      <c r="HMN19" s="310" t="s">
        <v>202</v>
      </c>
      <c r="HMO19" s="310" t="s">
        <v>202</v>
      </c>
      <c r="HMP19" s="310" t="s">
        <v>202</v>
      </c>
      <c r="HMQ19" s="310" t="s">
        <v>202</v>
      </c>
      <c r="HMR19" s="310" t="s">
        <v>202</v>
      </c>
      <c r="HMS19" s="310" t="s">
        <v>202</v>
      </c>
      <c r="HMT19" s="310" t="s">
        <v>202</v>
      </c>
      <c r="HMU19" s="310" t="s">
        <v>202</v>
      </c>
      <c r="HMV19" s="310" t="s">
        <v>202</v>
      </c>
      <c r="HMW19" s="310" t="s">
        <v>202</v>
      </c>
      <c r="HMX19" s="310" t="s">
        <v>202</v>
      </c>
      <c r="HMY19" s="310" t="s">
        <v>202</v>
      </c>
      <c r="HMZ19" s="310" t="s">
        <v>202</v>
      </c>
      <c r="HNA19" s="310" t="s">
        <v>202</v>
      </c>
      <c r="HNB19" s="310" t="s">
        <v>202</v>
      </c>
      <c r="HNC19" s="310" t="s">
        <v>202</v>
      </c>
      <c r="HND19" s="310" t="s">
        <v>202</v>
      </c>
      <c r="HNE19" s="310" t="s">
        <v>202</v>
      </c>
      <c r="HNF19" s="310" t="s">
        <v>202</v>
      </c>
      <c r="HNG19" s="310" t="s">
        <v>202</v>
      </c>
      <c r="HNH19" s="310" t="s">
        <v>202</v>
      </c>
      <c r="HNI19" s="310" t="s">
        <v>202</v>
      </c>
      <c r="HNJ19" s="310" t="s">
        <v>202</v>
      </c>
      <c r="HNK19" s="310" t="s">
        <v>202</v>
      </c>
      <c r="HNL19" s="310" t="s">
        <v>202</v>
      </c>
      <c r="HNM19" s="310" t="s">
        <v>202</v>
      </c>
      <c r="HNN19" s="310" t="s">
        <v>202</v>
      </c>
      <c r="HNO19" s="310" t="s">
        <v>202</v>
      </c>
      <c r="HNP19" s="310" t="s">
        <v>202</v>
      </c>
      <c r="HNQ19" s="310" t="s">
        <v>202</v>
      </c>
      <c r="HNR19" s="310" t="s">
        <v>202</v>
      </c>
      <c r="HNS19" s="310" t="s">
        <v>202</v>
      </c>
      <c r="HNT19" s="310" t="s">
        <v>202</v>
      </c>
      <c r="HNU19" s="310" t="s">
        <v>202</v>
      </c>
      <c r="HNV19" s="310" t="s">
        <v>202</v>
      </c>
      <c r="HNW19" s="310" t="s">
        <v>202</v>
      </c>
      <c r="HNX19" s="310" t="s">
        <v>202</v>
      </c>
      <c r="HNY19" s="310" t="s">
        <v>202</v>
      </c>
      <c r="HNZ19" s="310" t="s">
        <v>202</v>
      </c>
      <c r="HOA19" s="310" t="s">
        <v>202</v>
      </c>
      <c r="HOB19" s="310" t="s">
        <v>202</v>
      </c>
      <c r="HOC19" s="310" t="s">
        <v>202</v>
      </c>
      <c r="HOD19" s="310" t="s">
        <v>202</v>
      </c>
      <c r="HOE19" s="310" t="s">
        <v>202</v>
      </c>
      <c r="HOF19" s="310" t="s">
        <v>202</v>
      </c>
      <c r="HOG19" s="310" t="s">
        <v>202</v>
      </c>
      <c r="HOH19" s="310" t="s">
        <v>202</v>
      </c>
      <c r="HOI19" s="310" t="s">
        <v>202</v>
      </c>
      <c r="HOJ19" s="310" t="s">
        <v>202</v>
      </c>
      <c r="HOK19" s="310" t="s">
        <v>202</v>
      </c>
      <c r="HOL19" s="310" t="s">
        <v>202</v>
      </c>
      <c r="HOM19" s="310" t="s">
        <v>202</v>
      </c>
      <c r="HON19" s="310" t="s">
        <v>202</v>
      </c>
      <c r="HOO19" s="310" t="s">
        <v>202</v>
      </c>
      <c r="HOP19" s="310" t="s">
        <v>202</v>
      </c>
      <c r="HOQ19" s="310" t="s">
        <v>202</v>
      </c>
      <c r="HOR19" s="310" t="s">
        <v>202</v>
      </c>
      <c r="HOS19" s="310" t="s">
        <v>202</v>
      </c>
      <c r="HOT19" s="310" t="s">
        <v>202</v>
      </c>
      <c r="HOU19" s="310" t="s">
        <v>202</v>
      </c>
      <c r="HOV19" s="310" t="s">
        <v>202</v>
      </c>
      <c r="HOW19" s="310" t="s">
        <v>202</v>
      </c>
      <c r="HOX19" s="310" t="s">
        <v>202</v>
      </c>
      <c r="HOY19" s="310" t="s">
        <v>202</v>
      </c>
      <c r="HOZ19" s="310" t="s">
        <v>202</v>
      </c>
      <c r="HPA19" s="310" t="s">
        <v>202</v>
      </c>
      <c r="HPB19" s="310" t="s">
        <v>202</v>
      </c>
      <c r="HPC19" s="310" t="s">
        <v>202</v>
      </c>
      <c r="HPD19" s="310" t="s">
        <v>202</v>
      </c>
      <c r="HPE19" s="310" t="s">
        <v>202</v>
      </c>
      <c r="HPF19" s="310" t="s">
        <v>202</v>
      </c>
      <c r="HPG19" s="310" t="s">
        <v>202</v>
      </c>
      <c r="HPH19" s="310" t="s">
        <v>202</v>
      </c>
      <c r="HPI19" s="310" t="s">
        <v>202</v>
      </c>
      <c r="HPJ19" s="310" t="s">
        <v>202</v>
      </c>
      <c r="HPK19" s="310" t="s">
        <v>202</v>
      </c>
      <c r="HPL19" s="310" t="s">
        <v>202</v>
      </c>
      <c r="HPM19" s="310" t="s">
        <v>202</v>
      </c>
      <c r="HPN19" s="310" t="s">
        <v>202</v>
      </c>
      <c r="HPO19" s="310" t="s">
        <v>202</v>
      </c>
      <c r="HPP19" s="310" t="s">
        <v>202</v>
      </c>
      <c r="HPQ19" s="310" t="s">
        <v>202</v>
      </c>
      <c r="HPR19" s="310" t="s">
        <v>202</v>
      </c>
      <c r="HPS19" s="310" t="s">
        <v>202</v>
      </c>
      <c r="HPT19" s="310" t="s">
        <v>202</v>
      </c>
      <c r="HPU19" s="310" t="s">
        <v>202</v>
      </c>
      <c r="HPV19" s="310" t="s">
        <v>202</v>
      </c>
      <c r="HPW19" s="310" t="s">
        <v>202</v>
      </c>
      <c r="HPX19" s="310" t="s">
        <v>202</v>
      </c>
      <c r="HPY19" s="310" t="s">
        <v>202</v>
      </c>
      <c r="HPZ19" s="310" t="s">
        <v>202</v>
      </c>
      <c r="HQA19" s="310" t="s">
        <v>202</v>
      </c>
      <c r="HQB19" s="310" t="s">
        <v>202</v>
      </c>
      <c r="HQC19" s="310" t="s">
        <v>202</v>
      </c>
      <c r="HQD19" s="310" t="s">
        <v>202</v>
      </c>
      <c r="HQE19" s="310" t="s">
        <v>202</v>
      </c>
      <c r="HQF19" s="310" t="s">
        <v>202</v>
      </c>
      <c r="HQG19" s="310" t="s">
        <v>202</v>
      </c>
      <c r="HQH19" s="310" t="s">
        <v>202</v>
      </c>
      <c r="HQI19" s="310" t="s">
        <v>202</v>
      </c>
      <c r="HQJ19" s="310" t="s">
        <v>202</v>
      </c>
      <c r="HQK19" s="310" t="s">
        <v>202</v>
      </c>
      <c r="HQL19" s="310" t="s">
        <v>202</v>
      </c>
      <c r="HQM19" s="310" t="s">
        <v>202</v>
      </c>
      <c r="HQN19" s="310" t="s">
        <v>202</v>
      </c>
      <c r="HQO19" s="310" t="s">
        <v>202</v>
      </c>
      <c r="HQP19" s="310" t="s">
        <v>202</v>
      </c>
      <c r="HQQ19" s="310" t="s">
        <v>202</v>
      </c>
      <c r="HQR19" s="310" t="s">
        <v>202</v>
      </c>
      <c r="HQS19" s="310" t="s">
        <v>202</v>
      </c>
      <c r="HQT19" s="310" t="s">
        <v>202</v>
      </c>
      <c r="HQU19" s="310" t="s">
        <v>202</v>
      </c>
      <c r="HQV19" s="310" t="s">
        <v>202</v>
      </c>
      <c r="HQW19" s="310" t="s">
        <v>202</v>
      </c>
      <c r="HQX19" s="310" t="s">
        <v>202</v>
      </c>
      <c r="HQY19" s="310" t="s">
        <v>202</v>
      </c>
      <c r="HQZ19" s="310" t="s">
        <v>202</v>
      </c>
      <c r="HRA19" s="310" t="s">
        <v>202</v>
      </c>
      <c r="HRB19" s="310" t="s">
        <v>202</v>
      </c>
      <c r="HRC19" s="310" t="s">
        <v>202</v>
      </c>
      <c r="HRD19" s="310" t="s">
        <v>202</v>
      </c>
      <c r="HRE19" s="310" t="s">
        <v>202</v>
      </c>
      <c r="HRF19" s="310" t="s">
        <v>202</v>
      </c>
      <c r="HRG19" s="310" t="s">
        <v>202</v>
      </c>
      <c r="HRH19" s="310" t="s">
        <v>202</v>
      </c>
      <c r="HRI19" s="310" t="s">
        <v>202</v>
      </c>
      <c r="HRJ19" s="310" t="s">
        <v>202</v>
      </c>
      <c r="HRK19" s="310" t="s">
        <v>202</v>
      </c>
      <c r="HRL19" s="310" t="s">
        <v>202</v>
      </c>
      <c r="HRM19" s="310" t="s">
        <v>202</v>
      </c>
      <c r="HRN19" s="310" t="s">
        <v>202</v>
      </c>
      <c r="HRO19" s="310" t="s">
        <v>202</v>
      </c>
      <c r="HRP19" s="310" t="s">
        <v>202</v>
      </c>
      <c r="HRQ19" s="310" t="s">
        <v>202</v>
      </c>
      <c r="HRR19" s="310" t="s">
        <v>202</v>
      </c>
      <c r="HRS19" s="310" t="s">
        <v>202</v>
      </c>
      <c r="HRT19" s="310" t="s">
        <v>202</v>
      </c>
      <c r="HRU19" s="310" t="s">
        <v>202</v>
      </c>
      <c r="HRV19" s="310" t="s">
        <v>202</v>
      </c>
      <c r="HRW19" s="310" t="s">
        <v>202</v>
      </c>
      <c r="HRX19" s="310" t="s">
        <v>202</v>
      </c>
      <c r="HRY19" s="310" t="s">
        <v>202</v>
      </c>
      <c r="HRZ19" s="310" t="s">
        <v>202</v>
      </c>
      <c r="HSA19" s="310" t="s">
        <v>202</v>
      </c>
      <c r="HSB19" s="310" t="s">
        <v>202</v>
      </c>
      <c r="HSC19" s="310" t="s">
        <v>202</v>
      </c>
      <c r="HSD19" s="310" t="s">
        <v>202</v>
      </c>
      <c r="HSE19" s="310" t="s">
        <v>202</v>
      </c>
      <c r="HSF19" s="310" t="s">
        <v>202</v>
      </c>
      <c r="HSG19" s="310" t="s">
        <v>202</v>
      </c>
      <c r="HSH19" s="310" t="s">
        <v>202</v>
      </c>
      <c r="HSI19" s="310" t="s">
        <v>202</v>
      </c>
      <c r="HSJ19" s="310" t="s">
        <v>202</v>
      </c>
      <c r="HSK19" s="310" t="s">
        <v>202</v>
      </c>
      <c r="HSL19" s="310" t="s">
        <v>202</v>
      </c>
      <c r="HSM19" s="310" t="s">
        <v>202</v>
      </c>
      <c r="HSN19" s="310" t="s">
        <v>202</v>
      </c>
      <c r="HSO19" s="310" t="s">
        <v>202</v>
      </c>
      <c r="HSP19" s="310" t="s">
        <v>202</v>
      </c>
      <c r="HSQ19" s="310" t="s">
        <v>202</v>
      </c>
      <c r="HSR19" s="310" t="s">
        <v>202</v>
      </c>
      <c r="HSS19" s="310" t="s">
        <v>202</v>
      </c>
      <c r="HST19" s="310" t="s">
        <v>202</v>
      </c>
      <c r="HSU19" s="310" t="s">
        <v>202</v>
      </c>
      <c r="HSV19" s="310" t="s">
        <v>202</v>
      </c>
      <c r="HSW19" s="310" t="s">
        <v>202</v>
      </c>
      <c r="HSX19" s="310" t="s">
        <v>202</v>
      </c>
      <c r="HSY19" s="310" t="s">
        <v>202</v>
      </c>
      <c r="HSZ19" s="310" t="s">
        <v>202</v>
      </c>
      <c r="HTA19" s="310" t="s">
        <v>202</v>
      </c>
      <c r="HTB19" s="310" t="s">
        <v>202</v>
      </c>
      <c r="HTC19" s="310" t="s">
        <v>202</v>
      </c>
      <c r="HTD19" s="310" t="s">
        <v>202</v>
      </c>
      <c r="HTE19" s="310" t="s">
        <v>202</v>
      </c>
      <c r="HTF19" s="310" t="s">
        <v>202</v>
      </c>
      <c r="HTG19" s="310" t="s">
        <v>202</v>
      </c>
      <c r="HTH19" s="310" t="s">
        <v>202</v>
      </c>
      <c r="HTI19" s="310" t="s">
        <v>202</v>
      </c>
      <c r="HTJ19" s="310" t="s">
        <v>202</v>
      </c>
      <c r="HTK19" s="310" t="s">
        <v>202</v>
      </c>
      <c r="HTL19" s="310" t="s">
        <v>202</v>
      </c>
      <c r="HTM19" s="310" t="s">
        <v>202</v>
      </c>
      <c r="HTN19" s="310" t="s">
        <v>202</v>
      </c>
      <c r="HTO19" s="310" t="s">
        <v>202</v>
      </c>
      <c r="HTP19" s="310" t="s">
        <v>202</v>
      </c>
      <c r="HTQ19" s="310" t="s">
        <v>202</v>
      </c>
      <c r="HTR19" s="310" t="s">
        <v>202</v>
      </c>
      <c r="HTS19" s="310" t="s">
        <v>202</v>
      </c>
      <c r="HTT19" s="310" t="s">
        <v>202</v>
      </c>
      <c r="HTU19" s="310" t="s">
        <v>202</v>
      </c>
      <c r="HTV19" s="310" t="s">
        <v>202</v>
      </c>
      <c r="HTW19" s="310" t="s">
        <v>202</v>
      </c>
      <c r="HTX19" s="310" t="s">
        <v>202</v>
      </c>
      <c r="HTY19" s="310" t="s">
        <v>202</v>
      </c>
      <c r="HTZ19" s="310" t="s">
        <v>202</v>
      </c>
      <c r="HUA19" s="310" t="s">
        <v>202</v>
      </c>
      <c r="HUB19" s="310" t="s">
        <v>202</v>
      </c>
      <c r="HUC19" s="310" t="s">
        <v>202</v>
      </c>
      <c r="HUD19" s="310" t="s">
        <v>202</v>
      </c>
      <c r="HUE19" s="310" t="s">
        <v>202</v>
      </c>
      <c r="HUF19" s="310" t="s">
        <v>202</v>
      </c>
      <c r="HUG19" s="310" t="s">
        <v>202</v>
      </c>
      <c r="HUH19" s="310" t="s">
        <v>202</v>
      </c>
      <c r="HUI19" s="310" t="s">
        <v>202</v>
      </c>
      <c r="HUJ19" s="310" t="s">
        <v>202</v>
      </c>
      <c r="HUK19" s="310" t="s">
        <v>202</v>
      </c>
      <c r="HUL19" s="310" t="s">
        <v>202</v>
      </c>
      <c r="HUM19" s="310" t="s">
        <v>202</v>
      </c>
      <c r="HUN19" s="310" t="s">
        <v>202</v>
      </c>
      <c r="HUO19" s="310" t="s">
        <v>202</v>
      </c>
      <c r="HUP19" s="310" t="s">
        <v>202</v>
      </c>
      <c r="HUQ19" s="310" t="s">
        <v>202</v>
      </c>
      <c r="HUR19" s="310" t="s">
        <v>202</v>
      </c>
      <c r="HUS19" s="310" t="s">
        <v>202</v>
      </c>
      <c r="HUT19" s="310" t="s">
        <v>202</v>
      </c>
      <c r="HUU19" s="310" t="s">
        <v>202</v>
      </c>
      <c r="HUV19" s="310" t="s">
        <v>202</v>
      </c>
      <c r="HUW19" s="310" t="s">
        <v>202</v>
      </c>
      <c r="HUX19" s="310" t="s">
        <v>202</v>
      </c>
      <c r="HUY19" s="310" t="s">
        <v>202</v>
      </c>
      <c r="HUZ19" s="310" t="s">
        <v>202</v>
      </c>
      <c r="HVA19" s="310" t="s">
        <v>202</v>
      </c>
      <c r="HVB19" s="310" t="s">
        <v>202</v>
      </c>
      <c r="HVC19" s="310" t="s">
        <v>202</v>
      </c>
      <c r="HVD19" s="310" t="s">
        <v>202</v>
      </c>
      <c r="HVE19" s="310" t="s">
        <v>202</v>
      </c>
      <c r="HVF19" s="310" t="s">
        <v>202</v>
      </c>
      <c r="HVG19" s="310" t="s">
        <v>202</v>
      </c>
      <c r="HVH19" s="310" t="s">
        <v>202</v>
      </c>
      <c r="HVI19" s="310" t="s">
        <v>202</v>
      </c>
      <c r="HVJ19" s="310" t="s">
        <v>202</v>
      </c>
      <c r="HVK19" s="310" t="s">
        <v>202</v>
      </c>
      <c r="HVL19" s="310" t="s">
        <v>202</v>
      </c>
      <c r="HVM19" s="310" t="s">
        <v>202</v>
      </c>
      <c r="HVN19" s="310" t="s">
        <v>202</v>
      </c>
      <c r="HVO19" s="310" t="s">
        <v>202</v>
      </c>
      <c r="HVP19" s="310" t="s">
        <v>202</v>
      </c>
      <c r="HVQ19" s="310" t="s">
        <v>202</v>
      </c>
      <c r="HVR19" s="310" t="s">
        <v>202</v>
      </c>
      <c r="HVS19" s="310" t="s">
        <v>202</v>
      </c>
      <c r="HVT19" s="310" t="s">
        <v>202</v>
      </c>
      <c r="HVU19" s="310" t="s">
        <v>202</v>
      </c>
      <c r="HVV19" s="310" t="s">
        <v>202</v>
      </c>
      <c r="HVW19" s="310" t="s">
        <v>202</v>
      </c>
      <c r="HVX19" s="310" t="s">
        <v>202</v>
      </c>
      <c r="HVY19" s="310" t="s">
        <v>202</v>
      </c>
      <c r="HVZ19" s="310" t="s">
        <v>202</v>
      </c>
      <c r="HWA19" s="310" t="s">
        <v>202</v>
      </c>
      <c r="HWB19" s="310" t="s">
        <v>202</v>
      </c>
      <c r="HWC19" s="310" t="s">
        <v>202</v>
      </c>
      <c r="HWD19" s="310" t="s">
        <v>202</v>
      </c>
      <c r="HWE19" s="310" t="s">
        <v>202</v>
      </c>
      <c r="HWF19" s="310" t="s">
        <v>202</v>
      </c>
      <c r="HWG19" s="310" t="s">
        <v>202</v>
      </c>
      <c r="HWH19" s="310" t="s">
        <v>202</v>
      </c>
      <c r="HWI19" s="310" t="s">
        <v>202</v>
      </c>
      <c r="HWJ19" s="310" t="s">
        <v>202</v>
      </c>
      <c r="HWK19" s="310" t="s">
        <v>202</v>
      </c>
      <c r="HWL19" s="310" t="s">
        <v>202</v>
      </c>
      <c r="HWM19" s="310" t="s">
        <v>202</v>
      </c>
      <c r="HWN19" s="310" t="s">
        <v>202</v>
      </c>
      <c r="HWO19" s="310" t="s">
        <v>202</v>
      </c>
      <c r="HWP19" s="310" t="s">
        <v>202</v>
      </c>
      <c r="HWQ19" s="310" t="s">
        <v>202</v>
      </c>
      <c r="HWR19" s="310" t="s">
        <v>202</v>
      </c>
      <c r="HWS19" s="310" t="s">
        <v>202</v>
      </c>
      <c r="HWT19" s="310" t="s">
        <v>202</v>
      </c>
      <c r="HWU19" s="310" t="s">
        <v>202</v>
      </c>
      <c r="HWV19" s="310" t="s">
        <v>202</v>
      </c>
      <c r="HWW19" s="310" t="s">
        <v>202</v>
      </c>
      <c r="HWX19" s="310" t="s">
        <v>202</v>
      </c>
      <c r="HWY19" s="310" t="s">
        <v>202</v>
      </c>
      <c r="HWZ19" s="310" t="s">
        <v>202</v>
      </c>
      <c r="HXA19" s="310" t="s">
        <v>202</v>
      </c>
      <c r="HXB19" s="310" t="s">
        <v>202</v>
      </c>
      <c r="HXC19" s="310" t="s">
        <v>202</v>
      </c>
      <c r="HXD19" s="310" t="s">
        <v>202</v>
      </c>
      <c r="HXE19" s="310" t="s">
        <v>202</v>
      </c>
      <c r="HXF19" s="310" t="s">
        <v>202</v>
      </c>
      <c r="HXG19" s="310" t="s">
        <v>202</v>
      </c>
      <c r="HXH19" s="310" t="s">
        <v>202</v>
      </c>
      <c r="HXI19" s="310" t="s">
        <v>202</v>
      </c>
      <c r="HXJ19" s="310" t="s">
        <v>202</v>
      </c>
      <c r="HXK19" s="310" t="s">
        <v>202</v>
      </c>
      <c r="HXL19" s="310" t="s">
        <v>202</v>
      </c>
      <c r="HXM19" s="310" t="s">
        <v>202</v>
      </c>
      <c r="HXN19" s="310" t="s">
        <v>202</v>
      </c>
      <c r="HXO19" s="310" t="s">
        <v>202</v>
      </c>
      <c r="HXP19" s="310" t="s">
        <v>202</v>
      </c>
      <c r="HXQ19" s="310" t="s">
        <v>202</v>
      </c>
      <c r="HXR19" s="310" t="s">
        <v>202</v>
      </c>
      <c r="HXS19" s="310" t="s">
        <v>202</v>
      </c>
      <c r="HXT19" s="310" t="s">
        <v>202</v>
      </c>
      <c r="HXU19" s="310" t="s">
        <v>202</v>
      </c>
      <c r="HXV19" s="310" t="s">
        <v>202</v>
      </c>
      <c r="HXW19" s="310" t="s">
        <v>202</v>
      </c>
      <c r="HXX19" s="310" t="s">
        <v>202</v>
      </c>
      <c r="HXY19" s="310" t="s">
        <v>202</v>
      </c>
      <c r="HXZ19" s="310" t="s">
        <v>202</v>
      </c>
      <c r="HYA19" s="310" t="s">
        <v>202</v>
      </c>
      <c r="HYB19" s="310" t="s">
        <v>202</v>
      </c>
      <c r="HYC19" s="310" t="s">
        <v>202</v>
      </c>
      <c r="HYD19" s="310" t="s">
        <v>202</v>
      </c>
      <c r="HYE19" s="310" t="s">
        <v>202</v>
      </c>
      <c r="HYF19" s="310" t="s">
        <v>202</v>
      </c>
      <c r="HYG19" s="310" t="s">
        <v>202</v>
      </c>
      <c r="HYH19" s="310" t="s">
        <v>202</v>
      </c>
      <c r="HYI19" s="310" t="s">
        <v>202</v>
      </c>
      <c r="HYJ19" s="310" t="s">
        <v>202</v>
      </c>
      <c r="HYK19" s="310" t="s">
        <v>202</v>
      </c>
      <c r="HYL19" s="310" t="s">
        <v>202</v>
      </c>
      <c r="HYM19" s="310" t="s">
        <v>202</v>
      </c>
      <c r="HYN19" s="310" t="s">
        <v>202</v>
      </c>
      <c r="HYO19" s="310" t="s">
        <v>202</v>
      </c>
      <c r="HYP19" s="310" t="s">
        <v>202</v>
      </c>
      <c r="HYQ19" s="310" t="s">
        <v>202</v>
      </c>
      <c r="HYR19" s="310" t="s">
        <v>202</v>
      </c>
      <c r="HYS19" s="310" t="s">
        <v>202</v>
      </c>
      <c r="HYT19" s="310" t="s">
        <v>202</v>
      </c>
      <c r="HYU19" s="310" t="s">
        <v>202</v>
      </c>
      <c r="HYV19" s="310" t="s">
        <v>202</v>
      </c>
      <c r="HYW19" s="310" t="s">
        <v>202</v>
      </c>
      <c r="HYX19" s="310" t="s">
        <v>202</v>
      </c>
      <c r="HYY19" s="310" t="s">
        <v>202</v>
      </c>
      <c r="HYZ19" s="310" t="s">
        <v>202</v>
      </c>
      <c r="HZA19" s="310" t="s">
        <v>202</v>
      </c>
      <c r="HZB19" s="310" t="s">
        <v>202</v>
      </c>
      <c r="HZC19" s="310" t="s">
        <v>202</v>
      </c>
      <c r="HZD19" s="310" t="s">
        <v>202</v>
      </c>
      <c r="HZE19" s="310" t="s">
        <v>202</v>
      </c>
      <c r="HZF19" s="310" t="s">
        <v>202</v>
      </c>
      <c r="HZG19" s="310" t="s">
        <v>202</v>
      </c>
      <c r="HZH19" s="310" t="s">
        <v>202</v>
      </c>
      <c r="HZI19" s="310" t="s">
        <v>202</v>
      </c>
      <c r="HZJ19" s="310" t="s">
        <v>202</v>
      </c>
      <c r="HZK19" s="310" t="s">
        <v>202</v>
      </c>
      <c r="HZL19" s="310" t="s">
        <v>202</v>
      </c>
      <c r="HZM19" s="310" t="s">
        <v>202</v>
      </c>
      <c r="HZN19" s="310" t="s">
        <v>202</v>
      </c>
      <c r="HZO19" s="310" t="s">
        <v>202</v>
      </c>
      <c r="HZP19" s="310" t="s">
        <v>202</v>
      </c>
      <c r="HZQ19" s="310" t="s">
        <v>202</v>
      </c>
      <c r="HZR19" s="310" t="s">
        <v>202</v>
      </c>
      <c r="HZS19" s="310" t="s">
        <v>202</v>
      </c>
      <c r="HZT19" s="310" t="s">
        <v>202</v>
      </c>
      <c r="HZU19" s="310" t="s">
        <v>202</v>
      </c>
      <c r="HZV19" s="310" t="s">
        <v>202</v>
      </c>
      <c r="HZW19" s="310" t="s">
        <v>202</v>
      </c>
      <c r="HZX19" s="310" t="s">
        <v>202</v>
      </c>
      <c r="HZY19" s="310" t="s">
        <v>202</v>
      </c>
      <c r="HZZ19" s="310" t="s">
        <v>202</v>
      </c>
      <c r="IAA19" s="310" t="s">
        <v>202</v>
      </c>
      <c r="IAB19" s="310" t="s">
        <v>202</v>
      </c>
      <c r="IAC19" s="310" t="s">
        <v>202</v>
      </c>
      <c r="IAD19" s="310" t="s">
        <v>202</v>
      </c>
      <c r="IAE19" s="310" t="s">
        <v>202</v>
      </c>
      <c r="IAF19" s="310" t="s">
        <v>202</v>
      </c>
      <c r="IAG19" s="310" t="s">
        <v>202</v>
      </c>
      <c r="IAH19" s="310" t="s">
        <v>202</v>
      </c>
      <c r="IAI19" s="310" t="s">
        <v>202</v>
      </c>
      <c r="IAJ19" s="310" t="s">
        <v>202</v>
      </c>
      <c r="IAK19" s="310" t="s">
        <v>202</v>
      </c>
      <c r="IAL19" s="310" t="s">
        <v>202</v>
      </c>
      <c r="IAM19" s="310" t="s">
        <v>202</v>
      </c>
      <c r="IAN19" s="310" t="s">
        <v>202</v>
      </c>
      <c r="IAO19" s="310" t="s">
        <v>202</v>
      </c>
      <c r="IAP19" s="310" t="s">
        <v>202</v>
      </c>
      <c r="IAQ19" s="310" t="s">
        <v>202</v>
      </c>
      <c r="IAR19" s="310" t="s">
        <v>202</v>
      </c>
      <c r="IAS19" s="310" t="s">
        <v>202</v>
      </c>
      <c r="IAT19" s="310" t="s">
        <v>202</v>
      </c>
      <c r="IAU19" s="310" t="s">
        <v>202</v>
      </c>
      <c r="IAV19" s="310" t="s">
        <v>202</v>
      </c>
      <c r="IAW19" s="310" t="s">
        <v>202</v>
      </c>
      <c r="IAX19" s="310" t="s">
        <v>202</v>
      </c>
      <c r="IAY19" s="310" t="s">
        <v>202</v>
      </c>
      <c r="IAZ19" s="310" t="s">
        <v>202</v>
      </c>
      <c r="IBA19" s="310" t="s">
        <v>202</v>
      </c>
      <c r="IBB19" s="310" t="s">
        <v>202</v>
      </c>
      <c r="IBC19" s="310" t="s">
        <v>202</v>
      </c>
      <c r="IBD19" s="310" t="s">
        <v>202</v>
      </c>
      <c r="IBE19" s="310" t="s">
        <v>202</v>
      </c>
      <c r="IBF19" s="310" t="s">
        <v>202</v>
      </c>
      <c r="IBG19" s="310" t="s">
        <v>202</v>
      </c>
      <c r="IBH19" s="310" t="s">
        <v>202</v>
      </c>
      <c r="IBI19" s="310" t="s">
        <v>202</v>
      </c>
      <c r="IBJ19" s="310" t="s">
        <v>202</v>
      </c>
      <c r="IBK19" s="310" t="s">
        <v>202</v>
      </c>
      <c r="IBL19" s="310" t="s">
        <v>202</v>
      </c>
      <c r="IBM19" s="310" t="s">
        <v>202</v>
      </c>
      <c r="IBN19" s="310" t="s">
        <v>202</v>
      </c>
      <c r="IBO19" s="310" t="s">
        <v>202</v>
      </c>
      <c r="IBP19" s="310" t="s">
        <v>202</v>
      </c>
      <c r="IBQ19" s="310" t="s">
        <v>202</v>
      </c>
      <c r="IBR19" s="310" t="s">
        <v>202</v>
      </c>
      <c r="IBS19" s="310" t="s">
        <v>202</v>
      </c>
      <c r="IBT19" s="310" t="s">
        <v>202</v>
      </c>
      <c r="IBU19" s="310" t="s">
        <v>202</v>
      </c>
      <c r="IBV19" s="310" t="s">
        <v>202</v>
      </c>
      <c r="IBW19" s="310" t="s">
        <v>202</v>
      </c>
      <c r="IBX19" s="310" t="s">
        <v>202</v>
      </c>
      <c r="IBY19" s="310" t="s">
        <v>202</v>
      </c>
      <c r="IBZ19" s="310" t="s">
        <v>202</v>
      </c>
      <c r="ICA19" s="310" t="s">
        <v>202</v>
      </c>
      <c r="ICB19" s="310" t="s">
        <v>202</v>
      </c>
      <c r="ICC19" s="310" t="s">
        <v>202</v>
      </c>
      <c r="ICD19" s="310" t="s">
        <v>202</v>
      </c>
      <c r="ICE19" s="310" t="s">
        <v>202</v>
      </c>
      <c r="ICF19" s="310" t="s">
        <v>202</v>
      </c>
      <c r="ICG19" s="310" t="s">
        <v>202</v>
      </c>
      <c r="ICH19" s="310" t="s">
        <v>202</v>
      </c>
      <c r="ICI19" s="310" t="s">
        <v>202</v>
      </c>
      <c r="ICJ19" s="310" t="s">
        <v>202</v>
      </c>
      <c r="ICK19" s="310" t="s">
        <v>202</v>
      </c>
      <c r="ICL19" s="310" t="s">
        <v>202</v>
      </c>
      <c r="ICM19" s="310" t="s">
        <v>202</v>
      </c>
      <c r="ICN19" s="310" t="s">
        <v>202</v>
      </c>
      <c r="ICO19" s="310" t="s">
        <v>202</v>
      </c>
      <c r="ICP19" s="310" t="s">
        <v>202</v>
      </c>
      <c r="ICQ19" s="310" t="s">
        <v>202</v>
      </c>
      <c r="ICR19" s="310" t="s">
        <v>202</v>
      </c>
      <c r="ICS19" s="310" t="s">
        <v>202</v>
      </c>
      <c r="ICT19" s="310" t="s">
        <v>202</v>
      </c>
      <c r="ICU19" s="310" t="s">
        <v>202</v>
      </c>
      <c r="ICV19" s="310" t="s">
        <v>202</v>
      </c>
      <c r="ICW19" s="310" t="s">
        <v>202</v>
      </c>
      <c r="ICX19" s="310" t="s">
        <v>202</v>
      </c>
      <c r="ICY19" s="310" t="s">
        <v>202</v>
      </c>
      <c r="ICZ19" s="310" t="s">
        <v>202</v>
      </c>
      <c r="IDA19" s="310" t="s">
        <v>202</v>
      </c>
      <c r="IDB19" s="310" t="s">
        <v>202</v>
      </c>
      <c r="IDC19" s="310" t="s">
        <v>202</v>
      </c>
      <c r="IDD19" s="310" t="s">
        <v>202</v>
      </c>
      <c r="IDE19" s="310" t="s">
        <v>202</v>
      </c>
      <c r="IDF19" s="310" t="s">
        <v>202</v>
      </c>
      <c r="IDG19" s="310" t="s">
        <v>202</v>
      </c>
      <c r="IDH19" s="310" t="s">
        <v>202</v>
      </c>
      <c r="IDI19" s="310" t="s">
        <v>202</v>
      </c>
      <c r="IDJ19" s="310" t="s">
        <v>202</v>
      </c>
      <c r="IDK19" s="310" t="s">
        <v>202</v>
      </c>
      <c r="IDL19" s="310" t="s">
        <v>202</v>
      </c>
      <c r="IDM19" s="310" t="s">
        <v>202</v>
      </c>
      <c r="IDN19" s="310" t="s">
        <v>202</v>
      </c>
      <c r="IDO19" s="310" t="s">
        <v>202</v>
      </c>
      <c r="IDP19" s="310" t="s">
        <v>202</v>
      </c>
      <c r="IDQ19" s="310" t="s">
        <v>202</v>
      </c>
      <c r="IDR19" s="310" t="s">
        <v>202</v>
      </c>
      <c r="IDS19" s="310" t="s">
        <v>202</v>
      </c>
      <c r="IDT19" s="310" t="s">
        <v>202</v>
      </c>
      <c r="IDU19" s="310" t="s">
        <v>202</v>
      </c>
      <c r="IDV19" s="310" t="s">
        <v>202</v>
      </c>
      <c r="IDW19" s="310" t="s">
        <v>202</v>
      </c>
      <c r="IDX19" s="310" t="s">
        <v>202</v>
      </c>
      <c r="IDY19" s="310" t="s">
        <v>202</v>
      </c>
      <c r="IDZ19" s="310" t="s">
        <v>202</v>
      </c>
      <c r="IEA19" s="310" t="s">
        <v>202</v>
      </c>
      <c r="IEB19" s="310" t="s">
        <v>202</v>
      </c>
      <c r="IEC19" s="310" t="s">
        <v>202</v>
      </c>
      <c r="IED19" s="310" t="s">
        <v>202</v>
      </c>
      <c r="IEE19" s="310" t="s">
        <v>202</v>
      </c>
      <c r="IEF19" s="310" t="s">
        <v>202</v>
      </c>
      <c r="IEG19" s="310" t="s">
        <v>202</v>
      </c>
      <c r="IEH19" s="310" t="s">
        <v>202</v>
      </c>
      <c r="IEI19" s="310" t="s">
        <v>202</v>
      </c>
      <c r="IEJ19" s="310" t="s">
        <v>202</v>
      </c>
      <c r="IEK19" s="310" t="s">
        <v>202</v>
      </c>
      <c r="IEL19" s="310" t="s">
        <v>202</v>
      </c>
      <c r="IEM19" s="310" t="s">
        <v>202</v>
      </c>
      <c r="IEN19" s="310" t="s">
        <v>202</v>
      </c>
      <c r="IEO19" s="310" t="s">
        <v>202</v>
      </c>
      <c r="IEP19" s="310" t="s">
        <v>202</v>
      </c>
      <c r="IEQ19" s="310" t="s">
        <v>202</v>
      </c>
      <c r="IER19" s="310" t="s">
        <v>202</v>
      </c>
      <c r="IES19" s="310" t="s">
        <v>202</v>
      </c>
      <c r="IET19" s="310" t="s">
        <v>202</v>
      </c>
      <c r="IEU19" s="310" t="s">
        <v>202</v>
      </c>
      <c r="IEV19" s="310" t="s">
        <v>202</v>
      </c>
      <c r="IEW19" s="310" t="s">
        <v>202</v>
      </c>
      <c r="IEX19" s="310" t="s">
        <v>202</v>
      </c>
      <c r="IEY19" s="310" t="s">
        <v>202</v>
      </c>
      <c r="IEZ19" s="310" t="s">
        <v>202</v>
      </c>
      <c r="IFA19" s="310" t="s">
        <v>202</v>
      </c>
      <c r="IFB19" s="310" t="s">
        <v>202</v>
      </c>
      <c r="IFC19" s="310" t="s">
        <v>202</v>
      </c>
      <c r="IFD19" s="310" t="s">
        <v>202</v>
      </c>
      <c r="IFE19" s="310" t="s">
        <v>202</v>
      </c>
      <c r="IFF19" s="310" t="s">
        <v>202</v>
      </c>
      <c r="IFG19" s="310" t="s">
        <v>202</v>
      </c>
      <c r="IFH19" s="310" t="s">
        <v>202</v>
      </c>
      <c r="IFI19" s="310" t="s">
        <v>202</v>
      </c>
      <c r="IFJ19" s="310" t="s">
        <v>202</v>
      </c>
      <c r="IFK19" s="310" t="s">
        <v>202</v>
      </c>
      <c r="IFL19" s="310" t="s">
        <v>202</v>
      </c>
      <c r="IFM19" s="310" t="s">
        <v>202</v>
      </c>
      <c r="IFN19" s="310" t="s">
        <v>202</v>
      </c>
      <c r="IFO19" s="310" t="s">
        <v>202</v>
      </c>
      <c r="IFP19" s="310" t="s">
        <v>202</v>
      </c>
      <c r="IFQ19" s="310" t="s">
        <v>202</v>
      </c>
      <c r="IFR19" s="310" t="s">
        <v>202</v>
      </c>
      <c r="IFS19" s="310" t="s">
        <v>202</v>
      </c>
      <c r="IFT19" s="310" t="s">
        <v>202</v>
      </c>
      <c r="IFU19" s="310" t="s">
        <v>202</v>
      </c>
      <c r="IFV19" s="310" t="s">
        <v>202</v>
      </c>
      <c r="IFW19" s="310" t="s">
        <v>202</v>
      </c>
      <c r="IFX19" s="310" t="s">
        <v>202</v>
      </c>
      <c r="IFY19" s="310" t="s">
        <v>202</v>
      </c>
      <c r="IFZ19" s="310" t="s">
        <v>202</v>
      </c>
      <c r="IGA19" s="310" t="s">
        <v>202</v>
      </c>
      <c r="IGB19" s="310" t="s">
        <v>202</v>
      </c>
      <c r="IGC19" s="310" t="s">
        <v>202</v>
      </c>
      <c r="IGD19" s="310" t="s">
        <v>202</v>
      </c>
      <c r="IGE19" s="310" t="s">
        <v>202</v>
      </c>
      <c r="IGF19" s="310" t="s">
        <v>202</v>
      </c>
      <c r="IGG19" s="310" t="s">
        <v>202</v>
      </c>
      <c r="IGH19" s="310" t="s">
        <v>202</v>
      </c>
      <c r="IGI19" s="310" t="s">
        <v>202</v>
      </c>
      <c r="IGJ19" s="310" t="s">
        <v>202</v>
      </c>
      <c r="IGK19" s="310" t="s">
        <v>202</v>
      </c>
      <c r="IGL19" s="310" t="s">
        <v>202</v>
      </c>
      <c r="IGM19" s="310" t="s">
        <v>202</v>
      </c>
      <c r="IGN19" s="310" t="s">
        <v>202</v>
      </c>
      <c r="IGO19" s="310" t="s">
        <v>202</v>
      </c>
      <c r="IGP19" s="310" t="s">
        <v>202</v>
      </c>
      <c r="IGQ19" s="310" t="s">
        <v>202</v>
      </c>
      <c r="IGR19" s="310" t="s">
        <v>202</v>
      </c>
      <c r="IGS19" s="310" t="s">
        <v>202</v>
      </c>
      <c r="IGT19" s="310" t="s">
        <v>202</v>
      </c>
      <c r="IGU19" s="310" t="s">
        <v>202</v>
      </c>
      <c r="IGV19" s="310" t="s">
        <v>202</v>
      </c>
      <c r="IGW19" s="310" t="s">
        <v>202</v>
      </c>
      <c r="IGX19" s="310" t="s">
        <v>202</v>
      </c>
      <c r="IGY19" s="310" t="s">
        <v>202</v>
      </c>
      <c r="IGZ19" s="310" t="s">
        <v>202</v>
      </c>
      <c r="IHA19" s="310" t="s">
        <v>202</v>
      </c>
      <c r="IHB19" s="310" t="s">
        <v>202</v>
      </c>
      <c r="IHC19" s="310" t="s">
        <v>202</v>
      </c>
      <c r="IHD19" s="310" t="s">
        <v>202</v>
      </c>
      <c r="IHE19" s="310" t="s">
        <v>202</v>
      </c>
      <c r="IHF19" s="310" t="s">
        <v>202</v>
      </c>
      <c r="IHG19" s="310" t="s">
        <v>202</v>
      </c>
      <c r="IHH19" s="310" t="s">
        <v>202</v>
      </c>
      <c r="IHI19" s="310" t="s">
        <v>202</v>
      </c>
      <c r="IHJ19" s="310" t="s">
        <v>202</v>
      </c>
      <c r="IHK19" s="310" t="s">
        <v>202</v>
      </c>
      <c r="IHL19" s="310" t="s">
        <v>202</v>
      </c>
      <c r="IHM19" s="310" t="s">
        <v>202</v>
      </c>
      <c r="IHN19" s="310" t="s">
        <v>202</v>
      </c>
      <c r="IHO19" s="310" t="s">
        <v>202</v>
      </c>
      <c r="IHP19" s="310" t="s">
        <v>202</v>
      </c>
      <c r="IHQ19" s="310" t="s">
        <v>202</v>
      </c>
      <c r="IHR19" s="310" t="s">
        <v>202</v>
      </c>
      <c r="IHS19" s="310" t="s">
        <v>202</v>
      </c>
      <c r="IHT19" s="310" t="s">
        <v>202</v>
      </c>
      <c r="IHU19" s="310" t="s">
        <v>202</v>
      </c>
      <c r="IHV19" s="310" t="s">
        <v>202</v>
      </c>
      <c r="IHW19" s="310" t="s">
        <v>202</v>
      </c>
      <c r="IHX19" s="310" t="s">
        <v>202</v>
      </c>
      <c r="IHY19" s="310" t="s">
        <v>202</v>
      </c>
      <c r="IHZ19" s="310" t="s">
        <v>202</v>
      </c>
      <c r="IIA19" s="310" t="s">
        <v>202</v>
      </c>
      <c r="IIB19" s="310" t="s">
        <v>202</v>
      </c>
      <c r="IIC19" s="310" t="s">
        <v>202</v>
      </c>
      <c r="IID19" s="310" t="s">
        <v>202</v>
      </c>
      <c r="IIE19" s="310" t="s">
        <v>202</v>
      </c>
      <c r="IIF19" s="310" t="s">
        <v>202</v>
      </c>
      <c r="IIG19" s="310" t="s">
        <v>202</v>
      </c>
      <c r="IIH19" s="310" t="s">
        <v>202</v>
      </c>
      <c r="III19" s="310" t="s">
        <v>202</v>
      </c>
      <c r="IIJ19" s="310" t="s">
        <v>202</v>
      </c>
      <c r="IIK19" s="310" t="s">
        <v>202</v>
      </c>
      <c r="IIL19" s="310" t="s">
        <v>202</v>
      </c>
      <c r="IIM19" s="310" t="s">
        <v>202</v>
      </c>
      <c r="IIN19" s="310" t="s">
        <v>202</v>
      </c>
      <c r="IIO19" s="310" t="s">
        <v>202</v>
      </c>
      <c r="IIP19" s="310" t="s">
        <v>202</v>
      </c>
      <c r="IIQ19" s="310" t="s">
        <v>202</v>
      </c>
      <c r="IIR19" s="310" t="s">
        <v>202</v>
      </c>
      <c r="IIS19" s="310" t="s">
        <v>202</v>
      </c>
      <c r="IIT19" s="310" t="s">
        <v>202</v>
      </c>
      <c r="IIU19" s="310" t="s">
        <v>202</v>
      </c>
      <c r="IIV19" s="310" t="s">
        <v>202</v>
      </c>
      <c r="IIW19" s="310" t="s">
        <v>202</v>
      </c>
      <c r="IIX19" s="310" t="s">
        <v>202</v>
      </c>
      <c r="IIY19" s="310" t="s">
        <v>202</v>
      </c>
      <c r="IIZ19" s="310" t="s">
        <v>202</v>
      </c>
      <c r="IJA19" s="310" t="s">
        <v>202</v>
      </c>
      <c r="IJB19" s="310" t="s">
        <v>202</v>
      </c>
      <c r="IJC19" s="310" t="s">
        <v>202</v>
      </c>
      <c r="IJD19" s="310" t="s">
        <v>202</v>
      </c>
      <c r="IJE19" s="310" t="s">
        <v>202</v>
      </c>
      <c r="IJF19" s="310" t="s">
        <v>202</v>
      </c>
      <c r="IJG19" s="310" t="s">
        <v>202</v>
      </c>
      <c r="IJH19" s="310" t="s">
        <v>202</v>
      </c>
      <c r="IJI19" s="310" t="s">
        <v>202</v>
      </c>
      <c r="IJJ19" s="310" t="s">
        <v>202</v>
      </c>
      <c r="IJK19" s="310" t="s">
        <v>202</v>
      </c>
      <c r="IJL19" s="310" t="s">
        <v>202</v>
      </c>
      <c r="IJM19" s="310" t="s">
        <v>202</v>
      </c>
      <c r="IJN19" s="310" t="s">
        <v>202</v>
      </c>
      <c r="IJO19" s="310" t="s">
        <v>202</v>
      </c>
      <c r="IJP19" s="310" t="s">
        <v>202</v>
      </c>
      <c r="IJQ19" s="310" t="s">
        <v>202</v>
      </c>
      <c r="IJR19" s="310" t="s">
        <v>202</v>
      </c>
      <c r="IJS19" s="310" t="s">
        <v>202</v>
      </c>
      <c r="IJT19" s="310" t="s">
        <v>202</v>
      </c>
      <c r="IJU19" s="310" t="s">
        <v>202</v>
      </c>
      <c r="IJV19" s="310" t="s">
        <v>202</v>
      </c>
      <c r="IJW19" s="310" t="s">
        <v>202</v>
      </c>
      <c r="IJX19" s="310" t="s">
        <v>202</v>
      </c>
      <c r="IJY19" s="310" t="s">
        <v>202</v>
      </c>
      <c r="IJZ19" s="310" t="s">
        <v>202</v>
      </c>
      <c r="IKA19" s="310" t="s">
        <v>202</v>
      </c>
      <c r="IKB19" s="310" t="s">
        <v>202</v>
      </c>
      <c r="IKC19" s="310" t="s">
        <v>202</v>
      </c>
      <c r="IKD19" s="310" t="s">
        <v>202</v>
      </c>
      <c r="IKE19" s="310" t="s">
        <v>202</v>
      </c>
      <c r="IKF19" s="310" t="s">
        <v>202</v>
      </c>
      <c r="IKG19" s="310" t="s">
        <v>202</v>
      </c>
      <c r="IKH19" s="310" t="s">
        <v>202</v>
      </c>
      <c r="IKI19" s="310" t="s">
        <v>202</v>
      </c>
      <c r="IKJ19" s="310" t="s">
        <v>202</v>
      </c>
      <c r="IKK19" s="310" t="s">
        <v>202</v>
      </c>
      <c r="IKL19" s="310" t="s">
        <v>202</v>
      </c>
      <c r="IKM19" s="310" t="s">
        <v>202</v>
      </c>
      <c r="IKN19" s="310" t="s">
        <v>202</v>
      </c>
      <c r="IKO19" s="310" t="s">
        <v>202</v>
      </c>
      <c r="IKP19" s="310" t="s">
        <v>202</v>
      </c>
      <c r="IKQ19" s="310" t="s">
        <v>202</v>
      </c>
      <c r="IKR19" s="310" t="s">
        <v>202</v>
      </c>
      <c r="IKS19" s="310" t="s">
        <v>202</v>
      </c>
      <c r="IKT19" s="310" t="s">
        <v>202</v>
      </c>
      <c r="IKU19" s="310" t="s">
        <v>202</v>
      </c>
      <c r="IKV19" s="310" t="s">
        <v>202</v>
      </c>
      <c r="IKW19" s="310" t="s">
        <v>202</v>
      </c>
      <c r="IKX19" s="310" t="s">
        <v>202</v>
      </c>
      <c r="IKY19" s="310" t="s">
        <v>202</v>
      </c>
      <c r="IKZ19" s="310" t="s">
        <v>202</v>
      </c>
      <c r="ILA19" s="310" t="s">
        <v>202</v>
      </c>
      <c r="ILB19" s="310" t="s">
        <v>202</v>
      </c>
      <c r="ILC19" s="310" t="s">
        <v>202</v>
      </c>
      <c r="ILD19" s="310" t="s">
        <v>202</v>
      </c>
      <c r="ILE19" s="310" t="s">
        <v>202</v>
      </c>
      <c r="ILF19" s="310" t="s">
        <v>202</v>
      </c>
      <c r="ILG19" s="310" t="s">
        <v>202</v>
      </c>
      <c r="ILH19" s="310" t="s">
        <v>202</v>
      </c>
      <c r="ILI19" s="310" t="s">
        <v>202</v>
      </c>
      <c r="ILJ19" s="310" t="s">
        <v>202</v>
      </c>
      <c r="ILK19" s="310" t="s">
        <v>202</v>
      </c>
      <c r="ILL19" s="310" t="s">
        <v>202</v>
      </c>
      <c r="ILM19" s="310" t="s">
        <v>202</v>
      </c>
      <c r="ILN19" s="310" t="s">
        <v>202</v>
      </c>
      <c r="ILO19" s="310" t="s">
        <v>202</v>
      </c>
      <c r="ILP19" s="310" t="s">
        <v>202</v>
      </c>
      <c r="ILQ19" s="310" t="s">
        <v>202</v>
      </c>
      <c r="ILR19" s="310" t="s">
        <v>202</v>
      </c>
      <c r="ILS19" s="310" t="s">
        <v>202</v>
      </c>
      <c r="ILT19" s="310" t="s">
        <v>202</v>
      </c>
      <c r="ILU19" s="310" t="s">
        <v>202</v>
      </c>
      <c r="ILV19" s="310" t="s">
        <v>202</v>
      </c>
      <c r="ILW19" s="310" t="s">
        <v>202</v>
      </c>
      <c r="ILX19" s="310" t="s">
        <v>202</v>
      </c>
      <c r="ILY19" s="310" t="s">
        <v>202</v>
      </c>
      <c r="ILZ19" s="310" t="s">
        <v>202</v>
      </c>
      <c r="IMA19" s="310" t="s">
        <v>202</v>
      </c>
      <c r="IMB19" s="310" t="s">
        <v>202</v>
      </c>
      <c r="IMC19" s="310" t="s">
        <v>202</v>
      </c>
      <c r="IMD19" s="310" t="s">
        <v>202</v>
      </c>
      <c r="IME19" s="310" t="s">
        <v>202</v>
      </c>
      <c r="IMF19" s="310" t="s">
        <v>202</v>
      </c>
      <c r="IMG19" s="310" t="s">
        <v>202</v>
      </c>
      <c r="IMH19" s="310" t="s">
        <v>202</v>
      </c>
      <c r="IMI19" s="310" t="s">
        <v>202</v>
      </c>
      <c r="IMJ19" s="310" t="s">
        <v>202</v>
      </c>
      <c r="IMK19" s="310" t="s">
        <v>202</v>
      </c>
      <c r="IML19" s="310" t="s">
        <v>202</v>
      </c>
      <c r="IMM19" s="310" t="s">
        <v>202</v>
      </c>
      <c r="IMN19" s="310" t="s">
        <v>202</v>
      </c>
      <c r="IMO19" s="310" t="s">
        <v>202</v>
      </c>
      <c r="IMP19" s="310" t="s">
        <v>202</v>
      </c>
      <c r="IMQ19" s="310" t="s">
        <v>202</v>
      </c>
      <c r="IMR19" s="310" t="s">
        <v>202</v>
      </c>
      <c r="IMS19" s="310" t="s">
        <v>202</v>
      </c>
      <c r="IMT19" s="310" t="s">
        <v>202</v>
      </c>
      <c r="IMU19" s="310" t="s">
        <v>202</v>
      </c>
      <c r="IMV19" s="310" t="s">
        <v>202</v>
      </c>
      <c r="IMW19" s="310" t="s">
        <v>202</v>
      </c>
      <c r="IMX19" s="310" t="s">
        <v>202</v>
      </c>
      <c r="IMY19" s="310" t="s">
        <v>202</v>
      </c>
      <c r="IMZ19" s="310" t="s">
        <v>202</v>
      </c>
      <c r="INA19" s="310" t="s">
        <v>202</v>
      </c>
      <c r="INB19" s="310" t="s">
        <v>202</v>
      </c>
      <c r="INC19" s="310" t="s">
        <v>202</v>
      </c>
      <c r="IND19" s="310" t="s">
        <v>202</v>
      </c>
      <c r="INE19" s="310" t="s">
        <v>202</v>
      </c>
      <c r="INF19" s="310" t="s">
        <v>202</v>
      </c>
      <c r="ING19" s="310" t="s">
        <v>202</v>
      </c>
      <c r="INH19" s="310" t="s">
        <v>202</v>
      </c>
      <c r="INI19" s="310" t="s">
        <v>202</v>
      </c>
      <c r="INJ19" s="310" t="s">
        <v>202</v>
      </c>
      <c r="INK19" s="310" t="s">
        <v>202</v>
      </c>
      <c r="INL19" s="310" t="s">
        <v>202</v>
      </c>
      <c r="INM19" s="310" t="s">
        <v>202</v>
      </c>
      <c r="INN19" s="310" t="s">
        <v>202</v>
      </c>
      <c r="INO19" s="310" t="s">
        <v>202</v>
      </c>
      <c r="INP19" s="310" t="s">
        <v>202</v>
      </c>
      <c r="INQ19" s="310" t="s">
        <v>202</v>
      </c>
      <c r="INR19" s="310" t="s">
        <v>202</v>
      </c>
      <c r="INS19" s="310" t="s">
        <v>202</v>
      </c>
      <c r="INT19" s="310" t="s">
        <v>202</v>
      </c>
      <c r="INU19" s="310" t="s">
        <v>202</v>
      </c>
      <c r="INV19" s="310" t="s">
        <v>202</v>
      </c>
      <c r="INW19" s="310" t="s">
        <v>202</v>
      </c>
      <c r="INX19" s="310" t="s">
        <v>202</v>
      </c>
      <c r="INY19" s="310" t="s">
        <v>202</v>
      </c>
      <c r="INZ19" s="310" t="s">
        <v>202</v>
      </c>
      <c r="IOA19" s="310" t="s">
        <v>202</v>
      </c>
      <c r="IOB19" s="310" t="s">
        <v>202</v>
      </c>
      <c r="IOC19" s="310" t="s">
        <v>202</v>
      </c>
      <c r="IOD19" s="310" t="s">
        <v>202</v>
      </c>
      <c r="IOE19" s="310" t="s">
        <v>202</v>
      </c>
      <c r="IOF19" s="310" t="s">
        <v>202</v>
      </c>
      <c r="IOG19" s="310" t="s">
        <v>202</v>
      </c>
      <c r="IOH19" s="310" t="s">
        <v>202</v>
      </c>
      <c r="IOI19" s="310" t="s">
        <v>202</v>
      </c>
      <c r="IOJ19" s="310" t="s">
        <v>202</v>
      </c>
      <c r="IOK19" s="310" t="s">
        <v>202</v>
      </c>
      <c r="IOL19" s="310" t="s">
        <v>202</v>
      </c>
      <c r="IOM19" s="310" t="s">
        <v>202</v>
      </c>
      <c r="ION19" s="310" t="s">
        <v>202</v>
      </c>
      <c r="IOO19" s="310" t="s">
        <v>202</v>
      </c>
      <c r="IOP19" s="310" t="s">
        <v>202</v>
      </c>
      <c r="IOQ19" s="310" t="s">
        <v>202</v>
      </c>
      <c r="IOR19" s="310" t="s">
        <v>202</v>
      </c>
      <c r="IOS19" s="310" t="s">
        <v>202</v>
      </c>
      <c r="IOT19" s="310" t="s">
        <v>202</v>
      </c>
      <c r="IOU19" s="310" t="s">
        <v>202</v>
      </c>
      <c r="IOV19" s="310" t="s">
        <v>202</v>
      </c>
      <c r="IOW19" s="310" t="s">
        <v>202</v>
      </c>
      <c r="IOX19" s="310" t="s">
        <v>202</v>
      </c>
      <c r="IOY19" s="310" t="s">
        <v>202</v>
      </c>
      <c r="IOZ19" s="310" t="s">
        <v>202</v>
      </c>
      <c r="IPA19" s="310" t="s">
        <v>202</v>
      </c>
      <c r="IPB19" s="310" t="s">
        <v>202</v>
      </c>
      <c r="IPC19" s="310" t="s">
        <v>202</v>
      </c>
      <c r="IPD19" s="310" t="s">
        <v>202</v>
      </c>
      <c r="IPE19" s="310" t="s">
        <v>202</v>
      </c>
      <c r="IPF19" s="310" t="s">
        <v>202</v>
      </c>
      <c r="IPG19" s="310" t="s">
        <v>202</v>
      </c>
      <c r="IPH19" s="310" t="s">
        <v>202</v>
      </c>
      <c r="IPI19" s="310" t="s">
        <v>202</v>
      </c>
      <c r="IPJ19" s="310" t="s">
        <v>202</v>
      </c>
      <c r="IPK19" s="310" t="s">
        <v>202</v>
      </c>
      <c r="IPL19" s="310" t="s">
        <v>202</v>
      </c>
      <c r="IPM19" s="310" t="s">
        <v>202</v>
      </c>
      <c r="IPN19" s="310" t="s">
        <v>202</v>
      </c>
      <c r="IPO19" s="310" t="s">
        <v>202</v>
      </c>
      <c r="IPP19" s="310" t="s">
        <v>202</v>
      </c>
      <c r="IPQ19" s="310" t="s">
        <v>202</v>
      </c>
      <c r="IPR19" s="310" t="s">
        <v>202</v>
      </c>
      <c r="IPS19" s="310" t="s">
        <v>202</v>
      </c>
      <c r="IPT19" s="310" t="s">
        <v>202</v>
      </c>
      <c r="IPU19" s="310" t="s">
        <v>202</v>
      </c>
      <c r="IPV19" s="310" t="s">
        <v>202</v>
      </c>
      <c r="IPW19" s="310" t="s">
        <v>202</v>
      </c>
      <c r="IPX19" s="310" t="s">
        <v>202</v>
      </c>
      <c r="IPY19" s="310" t="s">
        <v>202</v>
      </c>
      <c r="IPZ19" s="310" t="s">
        <v>202</v>
      </c>
      <c r="IQA19" s="310" t="s">
        <v>202</v>
      </c>
      <c r="IQB19" s="310" t="s">
        <v>202</v>
      </c>
      <c r="IQC19" s="310" t="s">
        <v>202</v>
      </c>
      <c r="IQD19" s="310" t="s">
        <v>202</v>
      </c>
      <c r="IQE19" s="310" t="s">
        <v>202</v>
      </c>
      <c r="IQF19" s="310" t="s">
        <v>202</v>
      </c>
      <c r="IQG19" s="310" t="s">
        <v>202</v>
      </c>
      <c r="IQH19" s="310" t="s">
        <v>202</v>
      </c>
      <c r="IQI19" s="310" t="s">
        <v>202</v>
      </c>
      <c r="IQJ19" s="310" t="s">
        <v>202</v>
      </c>
      <c r="IQK19" s="310" t="s">
        <v>202</v>
      </c>
      <c r="IQL19" s="310" t="s">
        <v>202</v>
      </c>
      <c r="IQM19" s="310" t="s">
        <v>202</v>
      </c>
      <c r="IQN19" s="310" t="s">
        <v>202</v>
      </c>
      <c r="IQO19" s="310" t="s">
        <v>202</v>
      </c>
      <c r="IQP19" s="310" t="s">
        <v>202</v>
      </c>
      <c r="IQQ19" s="310" t="s">
        <v>202</v>
      </c>
      <c r="IQR19" s="310" t="s">
        <v>202</v>
      </c>
      <c r="IQS19" s="310" t="s">
        <v>202</v>
      </c>
      <c r="IQT19" s="310" t="s">
        <v>202</v>
      </c>
      <c r="IQU19" s="310" t="s">
        <v>202</v>
      </c>
      <c r="IQV19" s="310" t="s">
        <v>202</v>
      </c>
      <c r="IQW19" s="310" t="s">
        <v>202</v>
      </c>
      <c r="IQX19" s="310" t="s">
        <v>202</v>
      </c>
      <c r="IQY19" s="310" t="s">
        <v>202</v>
      </c>
      <c r="IQZ19" s="310" t="s">
        <v>202</v>
      </c>
      <c r="IRA19" s="310" t="s">
        <v>202</v>
      </c>
      <c r="IRB19" s="310" t="s">
        <v>202</v>
      </c>
      <c r="IRC19" s="310" t="s">
        <v>202</v>
      </c>
      <c r="IRD19" s="310" t="s">
        <v>202</v>
      </c>
      <c r="IRE19" s="310" t="s">
        <v>202</v>
      </c>
      <c r="IRF19" s="310" t="s">
        <v>202</v>
      </c>
      <c r="IRG19" s="310" t="s">
        <v>202</v>
      </c>
      <c r="IRH19" s="310" t="s">
        <v>202</v>
      </c>
      <c r="IRI19" s="310" t="s">
        <v>202</v>
      </c>
      <c r="IRJ19" s="310" t="s">
        <v>202</v>
      </c>
      <c r="IRK19" s="310" t="s">
        <v>202</v>
      </c>
      <c r="IRL19" s="310" t="s">
        <v>202</v>
      </c>
      <c r="IRM19" s="310" t="s">
        <v>202</v>
      </c>
      <c r="IRN19" s="310" t="s">
        <v>202</v>
      </c>
      <c r="IRO19" s="310" t="s">
        <v>202</v>
      </c>
      <c r="IRP19" s="310" t="s">
        <v>202</v>
      </c>
      <c r="IRQ19" s="310" t="s">
        <v>202</v>
      </c>
      <c r="IRR19" s="310" t="s">
        <v>202</v>
      </c>
      <c r="IRS19" s="310" t="s">
        <v>202</v>
      </c>
      <c r="IRT19" s="310" t="s">
        <v>202</v>
      </c>
      <c r="IRU19" s="310" t="s">
        <v>202</v>
      </c>
      <c r="IRV19" s="310" t="s">
        <v>202</v>
      </c>
      <c r="IRW19" s="310" t="s">
        <v>202</v>
      </c>
      <c r="IRX19" s="310" t="s">
        <v>202</v>
      </c>
      <c r="IRY19" s="310" t="s">
        <v>202</v>
      </c>
      <c r="IRZ19" s="310" t="s">
        <v>202</v>
      </c>
      <c r="ISA19" s="310" t="s">
        <v>202</v>
      </c>
      <c r="ISB19" s="310" t="s">
        <v>202</v>
      </c>
      <c r="ISC19" s="310" t="s">
        <v>202</v>
      </c>
      <c r="ISD19" s="310" t="s">
        <v>202</v>
      </c>
      <c r="ISE19" s="310" t="s">
        <v>202</v>
      </c>
      <c r="ISF19" s="310" t="s">
        <v>202</v>
      </c>
      <c r="ISG19" s="310" t="s">
        <v>202</v>
      </c>
      <c r="ISH19" s="310" t="s">
        <v>202</v>
      </c>
      <c r="ISI19" s="310" t="s">
        <v>202</v>
      </c>
      <c r="ISJ19" s="310" t="s">
        <v>202</v>
      </c>
      <c r="ISK19" s="310" t="s">
        <v>202</v>
      </c>
      <c r="ISL19" s="310" t="s">
        <v>202</v>
      </c>
      <c r="ISM19" s="310" t="s">
        <v>202</v>
      </c>
      <c r="ISN19" s="310" t="s">
        <v>202</v>
      </c>
      <c r="ISO19" s="310" t="s">
        <v>202</v>
      </c>
      <c r="ISP19" s="310" t="s">
        <v>202</v>
      </c>
      <c r="ISQ19" s="310" t="s">
        <v>202</v>
      </c>
      <c r="ISR19" s="310" t="s">
        <v>202</v>
      </c>
      <c r="ISS19" s="310" t="s">
        <v>202</v>
      </c>
      <c r="IST19" s="310" t="s">
        <v>202</v>
      </c>
      <c r="ISU19" s="310" t="s">
        <v>202</v>
      </c>
      <c r="ISV19" s="310" t="s">
        <v>202</v>
      </c>
      <c r="ISW19" s="310" t="s">
        <v>202</v>
      </c>
      <c r="ISX19" s="310" t="s">
        <v>202</v>
      </c>
      <c r="ISY19" s="310" t="s">
        <v>202</v>
      </c>
      <c r="ISZ19" s="310" t="s">
        <v>202</v>
      </c>
      <c r="ITA19" s="310" t="s">
        <v>202</v>
      </c>
      <c r="ITB19" s="310" t="s">
        <v>202</v>
      </c>
      <c r="ITC19" s="310" t="s">
        <v>202</v>
      </c>
      <c r="ITD19" s="310" t="s">
        <v>202</v>
      </c>
      <c r="ITE19" s="310" t="s">
        <v>202</v>
      </c>
      <c r="ITF19" s="310" t="s">
        <v>202</v>
      </c>
      <c r="ITG19" s="310" t="s">
        <v>202</v>
      </c>
      <c r="ITH19" s="310" t="s">
        <v>202</v>
      </c>
      <c r="ITI19" s="310" t="s">
        <v>202</v>
      </c>
      <c r="ITJ19" s="310" t="s">
        <v>202</v>
      </c>
      <c r="ITK19" s="310" t="s">
        <v>202</v>
      </c>
      <c r="ITL19" s="310" t="s">
        <v>202</v>
      </c>
      <c r="ITM19" s="310" t="s">
        <v>202</v>
      </c>
      <c r="ITN19" s="310" t="s">
        <v>202</v>
      </c>
      <c r="ITO19" s="310" t="s">
        <v>202</v>
      </c>
      <c r="ITP19" s="310" t="s">
        <v>202</v>
      </c>
      <c r="ITQ19" s="310" t="s">
        <v>202</v>
      </c>
      <c r="ITR19" s="310" t="s">
        <v>202</v>
      </c>
      <c r="ITS19" s="310" t="s">
        <v>202</v>
      </c>
      <c r="ITT19" s="310" t="s">
        <v>202</v>
      </c>
      <c r="ITU19" s="310" t="s">
        <v>202</v>
      </c>
      <c r="ITV19" s="310" t="s">
        <v>202</v>
      </c>
      <c r="ITW19" s="310" t="s">
        <v>202</v>
      </c>
      <c r="ITX19" s="310" t="s">
        <v>202</v>
      </c>
      <c r="ITY19" s="310" t="s">
        <v>202</v>
      </c>
      <c r="ITZ19" s="310" t="s">
        <v>202</v>
      </c>
      <c r="IUA19" s="310" t="s">
        <v>202</v>
      </c>
      <c r="IUB19" s="310" t="s">
        <v>202</v>
      </c>
      <c r="IUC19" s="310" t="s">
        <v>202</v>
      </c>
      <c r="IUD19" s="310" t="s">
        <v>202</v>
      </c>
      <c r="IUE19" s="310" t="s">
        <v>202</v>
      </c>
      <c r="IUF19" s="310" t="s">
        <v>202</v>
      </c>
      <c r="IUG19" s="310" t="s">
        <v>202</v>
      </c>
      <c r="IUH19" s="310" t="s">
        <v>202</v>
      </c>
      <c r="IUI19" s="310" t="s">
        <v>202</v>
      </c>
      <c r="IUJ19" s="310" t="s">
        <v>202</v>
      </c>
      <c r="IUK19" s="310" t="s">
        <v>202</v>
      </c>
      <c r="IUL19" s="310" t="s">
        <v>202</v>
      </c>
      <c r="IUM19" s="310" t="s">
        <v>202</v>
      </c>
      <c r="IUN19" s="310" t="s">
        <v>202</v>
      </c>
      <c r="IUO19" s="310" t="s">
        <v>202</v>
      </c>
      <c r="IUP19" s="310" t="s">
        <v>202</v>
      </c>
      <c r="IUQ19" s="310" t="s">
        <v>202</v>
      </c>
      <c r="IUR19" s="310" t="s">
        <v>202</v>
      </c>
      <c r="IUS19" s="310" t="s">
        <v>202</v>
      </c>
      <c r="IUT19" s="310" t="s">
        <v>202</v>
      </c>
      <c r="IUU19" s="310" t="s">
        <v>202</v>
      </c>
      <c r="IUV19" s="310" t="s">
        <v>202</v>
      </c>
      <c r="IUW19" s="310" t="s">
        <v>202</v>
      </c>
      <c r="IUX19" s="310" t="s">
        <v>202</v>
      </c>
      <c r="IUY19" s="310" t="s">
        <v>202</v>
      </c>
      <c r="IUZ19" s="310" t="s">
        <v>202</v>
      </c>
      <c r="IVA19" s="310" t="s">
        <v>202</v>
      </c>
      <c r="IVB19" s="310" t="s">
        <v>202</v>
      </c>
      <c r="IVC19" s="310" t="s">
        <v>202</v>
      </c>
      <c r="IVD19" s="310" t="s">
        <v>202</v>
      </c>
      <c r="IVE19" s="310" t="s">
        <v>202</v>
      </c>
      <c r="IVF19" s="310" t="s">
        <v>202</v>
      </c>
      <c r="IVG19" s="310" t="s">
        <v>202</v>
      </c>
      <c r="IVH19" s="310" t="s">
        <v>202</v>
      </c>
      <c r="IVI19" s="310" t="s">
        <v>202</v>
      </c>
      <c r="IVJ19" s="310" t="s">
        <v>202</v>
      </c>
      <c r="IVK19" s="310" t="s">
        <v>202</v>
      </c>
      <c r="IVL19" s="310" t="s">
        <v>202</v>
      </c>
      <c r="IVM19" s="310" t="s">
        <v>202</v>
      </c>
      <c r="IVN19" s="310" t="s">
        <v>202</v>
      </c>
      <c r="IVO19" s="310" t="s">
        <v>202</v>
      </c>
      <c r="IVP19" s="310" t="s">
        <v>202</v>
      </c>
      <c r="IVQ19" s="310" t="s">
        <v>202</v>
      </c>
      <c r="IVR19" s="310" t="s">
        <v>202</v>
      </c>
      <c r="IVS19" s="310" t="s">
        <v>202</v>
      </c>
      <c r="IVT19" s="310" t="s">
        <v>202</v>
      </c>
      <c r="IVU19" s="310" t="s">
        <v>202</v>
      </c>
      <c r="IVV19" s="310" t="s">
        <v>202</v>
      </c>
      <c r="IVW19" s="310" t="s">
        <v>202</v>
      </c>
      <c r="IVX19" s="310" t="s">
        <v>202</v>
      </c>
      <c r="IVY19" s="310" t="s">
        <v>202</v>
      </c>
      <c r="IVZ19" s="310" t="s">
        <v>202</v>
      </c>
      <c r="IWA19" s="310" t="s">
        <v>202</v>
      </c>
      <c r="IWB19" s="310" t="s">
        <v>202</v>
      </c>
      <c r="IWC19" s="310" t="s">
        <v>202</v>
      </c>
      <c r="IWD19" s="310" t="s">
        <v>202</v>
      </c>
      <c r="IWE19" s="310" t="s">
        <v>202</v>
      </c>
      <c r="IWF19" s="310" t="s">
        <v>202</v>
      </c>
      <c r="IWG19" s="310" t="s">
        <v>202</v>
      </c>
      <c r="IWH19" s="310" t="s">
        <v>202</v>
      </c>
      <c r="IWI19" s="310" t="s">
        <v>202</v>
      </c>
      <c r="IWJ19" s="310" t="s">
        <v>202</v>
      </c>
      <c r="IWK19" s="310" t="s">
        <v>202</v>
      </c>
      <c r="IWL19" s="310" t="s">
        <v>202</v>
      </c>
      <c r="IWM19" s="310" t="s">
        <v>202</v>
      </c>
      <c r="IWN19" s="310" t="s">
        <v>202</v>
      </c>
      <c r="IWO19" s="310" t="s">
        <v>202</v>
      </c>
      <c r="IWP19" s="310" t="s">
        <v>202</v>
      </c>
      <c r="IWQ19" s="310" t="s">
        <v>202</v>
      </c>
      <c r="IWR19" s="310" t="s">
        <v>202</v>
      </c>
      <c r="IWS19" s="310" t="s">
        <v>202</v>
      </c>
      <c r="IWT19" s="310" t="s">
        <v>202</v>
      </c>
      <c r="IWU19" s="310" t="s">
        <v>202</v>
      </c>
      <c r="IWV19" s="310" t="s">
        <v>202</v>
      </c>
      <c r="IWW19" s="310" t="s">
        <v>202</v>
      </c>
      <c r="IWX19" s="310" t="s">
        <v>202</v>
      </c>
      <c r="IWY19" s="310" t="s">
        <v>202</v>
      </c>
      <c r="IWZ19" s="310" t="s">
        <v>202</v>
      </c>
      <c r="IXA19" s="310" t="s">
        <v>202</v>
      </c>
      <c r="IXB19" s="310" t="s">
        <v>202</v>
      </c>
      <c r="IXC19" s="310" t="s">
        <v>202</v>
      </c>
      <c r="IXD19" s="310" t="s">
        <v>202</v>
      </c>
      <c r="IXE19" s="310" t="s">
        <v>202</v>
      </c>
      <c r="IXF19" s="310" t="s">
        <v>202</v>
      </c>
      <c r="IXG19" s="310" t="s">
        <v>202</v>
      </c>
      <c r="IXH19" s="310" t="s">
        <v>202</v>
      </c>
      <c r="IXI19" s="310" t="s">
        <v>202</v>
      </c>
      <c r="IXJ19" s="310" t="s">
        <v>202</v>
      </c>
      <c r="IXK19" s="310" t="s">
        <v>202</v>
      </c>
      <c r="IXL19" s="310" t="s">
        <v>202</v>
      </c>
      <c r="IXM19" s="310" t="s">
        <v>202</v>
      </c>
      <c r="IXN19" s="310" t="s">
        <v>202</v>
      </c>
      <c r="IXO19" s="310" t="s">
        <v>202</v>
      </c>
      <c r="IXP19" s="310" t="s">
        <v>202</v>
      </c>
      <c r="IXQ19" s="310" t="s">
        <v>202</v>
      </c>
      <c r="IXR19" s="310" t="s">
        <v>202</v>
      </c>
      <c r="IXS19" s="310" t="s">
        <v>202</v>
      </c>
      <c r="IXT19" s="310" t="s">
        <v>202</v>
      </c>
      <c r="IXU19" s="310" t="s">
        <v>202</v>
      </c>
      <c r="IXV19" s="310" t="s">
        <v>202</v>
      </c>
      <c r="IXW19" s="310" t="s">
        <v>202</v>
      </c>
      <c r="IXX19" s="310" t="s">
        <v>202</v>
      </c>
      <c r="IXY19" s="310" t="s">
        <v>202</v>
      </c>
      <c r="IXZ19" s="310" t="s">
        <v>202</v>
      </c>
      <c r="IYA19" s="310" t="s">
        <v>202</v>
      </c>
      <c r="IYB19" s="310" t="s">
        <v>202</v>
      </c>
      <c r="IYC19" s="310" t="s">
        <v>202</v>
      </c>
      <c r="IYD19" s="310" t="s">
        <v>202</v>
      </c>
      <c r="IYE19" s="310" t="s">
        <v>202</v>
      </c>
      <c r="IYF19" s="310" t="s">
        <v>202</v>
      </c>
      <c r="IYG19" s="310" t="s">
        <v>202</v>
      </c>
      <c r="IYH19" s="310" t="s">
        <v>202</v>
      </c>
      <c r="IYI19" s="310" t="s">
        <v>202</v>
      </c>
      <c r="IYJ19" s="310" t="s">
        <v>202</v>
      </c>
      <c r="IYK19" s="310" t="s">
        <v>202</v>
      </c>
      <c r="IYL19" s="310" t="s">
        <v>202</v>
      </c>
      <c r="IYM19" s="310" t="s">
        <v>202</v>
      </c>
      <c r="IYN19" s="310" t="s">
        <v>202</v>
      </c>
      <c r="IYO19" s="310" t="s">
        <v>202</v>
      </c>
      <c r="IYP19" s="310" t="s">
        <v>202</v>
      </c>
      <c r="IYQ19" s="310" t="s">
        <v>202</v>
      </c>
      <c r="IYR19" s="310" t="s">
        <v>202</v>
      </c>
      <c r="IYS19" s="310" t="s">
        <v>202</v>
      </c>
      <c r="IYT19" s="310" t="s">
        <v>202</v>
      </c>
      <c r="IYU19" s="310" t="s">
        <v>202</v>
      </c>
      <c r="IYV19" s="310" t="s">
        <v>202</v>
      </c>
      <c r="IYW19" s="310" t="s">
        <v>202</v>
      </c>
      <c r="IYX19" s="310" t="s">
        <v>202</v>
      </c>
      <c r="IYY19" s="310" t="s">
        <v>202</v>
      </c>
      <c r="IYZ19" s="310" t="s">
        <v>202</v>
      </c>
      <c r="IZA19" s="310" t="s">
        <v>202</v>
      </c>
      <c r="IZB19" s="310" t="s">
        <v>202</v>
      </c>
      <c r="IZC19" s="310" t="s">
        <v>202</v>
      </c>
      <c r="IZD19" s="310" t="s">
        <v>202</v>
      </c>
      <c r="IZE19" s="310" t="s">
        <v>202</v>
      </c>
      <c r="IZF19" s="310" t="s">
        <v>202</v>
      </c>
      <c r="IZG19" s="310" t="s">
        <v>202</v>
      </c>
      <c r="IZH19" s="310" t="s">
        <v>202</v>
      </c>
      <c r="IZI19" s="310" t="s">
        <v>202</v>
      </c>
      <c r="IZJ19" s="310" t="s">
        <v>202</v>
      </c>
      <c r="IZK19" s="310" t="s">
        <v>202</v>
      </c>
      <c r="IZL19" s="310" t="s">
        <v>202</v>
      </c>
      <c r="IZM19" s="310" t="s">
        <v>202</v>
      </c>
      <c r="IZN19" s="310" t="s">
        <v>202</v>
      </c>
      <c r="IZO19" s="310" t="s">
        <v>202</v>
      </c>
      <c r="IZP19" s="310" t="s">
        <v>202</v>
      </c>
      <c r="IZQ19" s="310" t="s">
        <v>202</v>
      </c>
      <c r="IZR19" s="310" t="s">
        <v>202</v>
      </c>
      <c r="IZS19" s="310" t="s">
        <v>202</v>
      </c>
      <c r="IZT19" s="310" t="s">
        <v>202</v>
      </c>
      <c r="IZU19" s="310" t="s">
        <v>202</v>
      </c>
      <c r="IZV19" s="310" t="s">
        <v>202</v>
      </c>
      <c r="IZW19" s="310" t="s">
        <v>202</v>
      </c>
      <c r="IZX19" s="310" t="s">
        <v>202</v>
      </c>
      <c r="IZY19" s="310" t="s">
        <v>202</v>
      </c>
      <c r="IZZ19" s="310" t="s">
        <v>202</v>
      </c>
      <c r="JAA19" s="310" t="s">
        <v>202</v>
      </c>
      <c r="JAB19" s="310" t="s">
        <v>202</v>
      </c>
      <c r="JAC19" s="310" t="s">
        <v>202</v>
      </c>
      <c r="JAD19" s="310" t="s">
        <v>202</v>
      </c>
      <c r="JAE19" s="310" t="s">
        <v>202</v>
      </c>
      <c r="JAF19" s="310" t="s">
        <v>202</v>
      </c>
      <c r="JAG19" s="310" t="s">
        <v>202</v>
      </c>
      <c r="JAH19" s="310" t="s">
        <v>202</v>
      </c>
      <c r="JAI19" s="310" t="s">
        <v>202</v>
      </c>
      <c r="JAJ19" s="310" t="s">
        <v>202</v>
      </c>
      <c r="JAK19" s="310" t="s">
        <v>202</v>
      </c>
      <c r="JAL19" s="310" t="s">
        <v>202</v>
      </c>
      <c r="JAM19" s="310" t="s">
        <v>202</v>
      </c>
      <c r="JAN19" s="310" t="s">
        <v>202</v>
      </c>
      <c r="JAO19" s="310" t="s">
        <v>202</v>
      </c>
      <c r="JAP19" s="310" t="s">
        <v>202</v>
      </c>
      <c r="JAQ19" s="310" t="s">
        <v>202</v>
      </c>
      <c r="JAR19" s="310" t="s">
        <v>202</v>
      </c>
      <c r="JAS19" s="310" t="s">
        <v>202</v>
      </c>
      <c r="JAT19" s="310" t="s">
        <v>202</v>
      </c>
      <c r="JAU19" s="310" t="s">
        <v>202</v>
      </c>
      <c r="JAV19" s="310" t="s">
        <v>202</v>
      </c>
      <c r="JAW19" s="310" t="s">
        <v>202</v>
      </c>
      <c r="JAX19" s="310" t="s">
        <v>202</v>
      </c>
      <c r="JAY19" s="310" t="s">
        <v>202</v>
      </c>
      <c r="JAZ19" s="310" t="s">
        <v>202</v>
      </c>
      <c r="JBA19" s="310" t="s">
        <v>202</v>
      </c>
      <c r="JBB19" s="310" t="s">
        <v>202</v>
      </c>
      <c r="JBC19" s="310" t="s">
        <v>202</v>
      </c>
      <c r="JBD19" s="310" t="s">
        <v>202</v>
      </c>
      <c r="JBE19" s="310" t="s">
        <v>202</v>
      </c>
      <c r="JBF19" s="310" t="s">
        <v>202</v>
      </c>
      <c r="JBG19" s="310" t="s">
        <v>202</v>
      </c>
      <c r="JBH19" s="310" t="s">
        <v>202</v>
      </c>
      <c r="JBI19" s="310" t="s">
        <v>202</v>
      </c>
      <c r="JBJ19" s="310" t="s">
        <v>202</v>
      </c>
      <c r="JBK19" s="310" t="s">
        <v>202</v>
      </c>
      <c r="JBL19" s="310" t="s">
        <v>202</v>
      </c>
      <c r="JBM19" s="310" t="s">
        <v>202</v>
      </c>
      <c r="JBN19" s="310" t="s">
        <v>202</v>
      </c>
      <c r="JBO19" s="310" t="s">
        <v>202</v>
      </c>
      <c r="JBP19" s="310" t="s">
        <v>202</v>
      </c>
      <c r="JBQ19" s="310" t="s">
        <v>202</v>
      </c>
      <c r="JBR19" s="310" t="s">
        <v>202</v>
      </c>
      <c r="JBS19" s="310" t="s">
        <v>202</v>
      </c>
      <c r="JBT19" s="310" t="s">
        <v>202</v>
      </c>
      <c r="JBU19" s="310" t="s">
        <v>202</v>
      </c>
      <c r="JBV19" s="310" t="s">
        <v>202</v>
      </c>
      <c r="JBW19" s="310" t="s">
        <v>202</v>
      </c>
      <c r="JBX19" s="310" t="s">
        <v>202</v>
      </c>
      <c r="JBY19" s="310" t="s">
        <v>202</v>
      </c>
      <c r="JBZ19" s="310" t="s">
        <v>202</v>
      </c>
      <c r="JCA19" s="310" t="s">
        <v>202</v>
      </c>
      <c r="JCB19" s="310" t="s">
        <v>202</v>
      </c>
      <c r="JCC19" s="310" t="s">
        <v>202</v>
      </c>
      <c r="JCD19" s="310" t="s">
        <v>202</v>
      </c>
      <c r="JCE19" s="310" t="s">
        <v>202</v>
      </c>
      <c r="JCF19" s="310" t="s">
        <v>202</v>
      </c>
      <c r="JCG19" s="310" t="s">
        <v>202</v>
      </c>
      <c r="JCH19" s="310" t="s">
        <v>202</v>
      </c>
      <c r="JCI19" s="310" t="s">
        <v>202</v>
      </c>
      <c r="JCJ19" s="310" t="s">
        <v>202</v>
      </c>
      <c r="JCK19" s="310" t="s">
        <v>202</v>
      </c>
      <c r="JCL19" s="310" t="s">
        <v>202</v>
      </c>
      <c r="JCM19" s="310" t="s">
        <v>202</v>
      </c>
      <c r="JCN19" s="310" t="s">
        <v>202</v>
      </c>
      <c r="JCO19" s="310" t="s">
        <v>202</v>
      </c>
      <c r="JCP19" s="310" t="s">
        <v>202</v>
      </c>
      <c r="JCQ19" s="310" t="s">
        <v>202</v>
      </c>
      <c r="JCR19" s="310" t="s">
        <v>202</v>
      </c>
      <c r="JCS19" s="310" t="s">
        <v>202</v>
      </c>
      <c r="JCT19" s="310" t="s">
        <v>202</v>
      </c>
      <c r="JCU19" s="310" t="s">
        <v>202</v>
      </c>
      <c r="JCV19" s="310" t="s">
        <v>202</v>
      </c>
      <c r="JCW19" s="310" t="s">
        <v>202</v>
      </c>
      <c r="JCX19" s="310" t="s">
        <v>202</v>
      </c>
      <c r="JCY19" s="310" t="s">
        <v>202</v>
      </c>
      <c r="JCZ19" s="310" t="s">
        <v>202</v>
      </c>
      <c r="JDA19" s="310" t="s">
        <v>202</v>
      </c>
      <c r="JDB19" s="310" t="s">
        <v>202</v>
      </c>
      <c r="JDC19" s="310" t="s">
        <v>202</v>
      </c>
      <c r="JDD19" s="310" t="s">
        <v>202</v>
      </c>
      <c r="JDE19" s="310" t="s">
        <v>202</v>
      </c>
      <c r="JDF19" s="310" t="s">
        <v>202</v>
      </c>
      <c r="JDG19" s="310" t="s">
        <v>202</v>
      </c>
      <c r="JDH19" s="310" t="s">
        <v>202</v>
      </c>
      <c r="JDI19" s="310" t="s">
        <v>202</v>
      </c>
      <c r="JDJ19" s="310" t="s">
        <v>202</v>
      </c>
      <c r="JDK19" s="310" t="s">
        <v>202</v>
      </c>
      <c r="JDL19" s="310" t="s">
        <v>202</v>
      </c>
      <c r="JDM19" s="310" t="s">
        <v>202</v>
      </c>
      <c r="JDN19" s="310" t="s">
        <v>202</v>
      </c>
      <c r="JDO19" s="310" t="s">
        <v>202</v>
      </c>
      <c r="JDP19" s="310" t="s">
        <v>202</v>
      </c>
      <c r="JDQ19" s="310" t="s">
        <v>202</v>
      </c>
      <c r="JDR19" s="310" t="s">
        <v>202</v>
      </c>
      <c r="JDS19" s="310" t="s">
        <v>202</v>
      </c>
      <c r="JDT19" s="310" t="s">
        <v>202</v>
      </c>
      <c r="JDU19" s="310" t="s">
        <v>202</v>
      </c>
      <c r="JDV19" s="310" t="s">
        <v>202</v>
      </c>
      <c r="JDW19" s="310" t="s">
        <v>202</v>
      </c>
      <c r="JDX19" s="310" t="s">
        <v>202</v>
      </c>
      <c r="JDY19" s="310" t="s">
        <v>202</v>
      </c>
      <c r="JDZ19" s="310" t="s">
        <v>202</v>
      </c>
      <c r="JEA19" s="310" t="s">
        <v>202</v>
      </c>
      <c r="JEB19" s="310" t="s">
        <v>202</v>
      </c>
      <c r="JEC19" s="310" t="s">
        <v>202</v>
      </c>
      <c r="JED19" s="310" t="s">
        <v>202</v>
      </c>
      <c r="JEE19" s="310" t="s">
        <v>202</v>
      </c>
      <c r="JEF19" s="310" t="s">
        <v>202</v>
      </c>
      <c r="JEG19" s="310" t="s">
        <v>202</v>
      </c>
      <c r="JEH19" s="310" t="s">
        <v>202</v>
      </c>
      <c r="JEI19" s="310" t="s">
        <v>202</v>
      </c>
      <c r="JEJ19" s="310" t="s">
        <v>202</v>
      </c>
      <c r="JEK19" s="310" t="s">
        <v>202</v>
      </c>
      <c r="JEL19" s="310" t="s">
        <v>202</v>
      </c>
      <c r="JEM19" s="310" t="s">
        <v>202</v>
      </c>
      <c r="JEN19" s="310" t="s">
        <v>202</v>
      </c>
      <c r="JEO19" s="310" t="s">
        <v>202</v>
      </c>
      <c r="JEP19" s="310" t="s">
        <v>202</v>
      </c>
      <c r="JEQ19" s="310" t="s">
        <v>202</v>
      </c>
      <c r="JER19" s="310" t="s">
        <v>202</v>
      </c>
      <c r="JES19" s="310" t="s">
        <v>202</v>
      </c>
      <c r="JET19" s="310" t="s">
        <v>202</v>
      </c>
      <c r="JEU19" s="310" t="s">
        <v>202</v>
      </c>
      <c r="JEV19" s="310" t="s">
        <v>202</v>
      </c>
      <c r="JEW19" s="310" t="s">
        <v>202</v>
      </c>
      <c r="JEX19" s="310" t="s">
        <v>202</v>
      </c>
      <c r="JEY19" s="310" t="s">
        <v>202</v>
      </c>
      <c r="JEZ19" s="310" t="s">
        <v>202</v>
      </c>
      <c r="JFA19" s="310" t="s">
        <v>202</v>
      </c>
      <c r="JFB19" s="310" t="s">
        <v>202</v>
      </c>
      <c r="JFC19" s="310" t="s">
        <v>202</v>
      </c>
      <c r="JFD19" s="310" t="s">
        <v>202</v>
      </c>
      <c r="JFE19" s="310" t="s">
        <v>202</v>
      </c>
      <c r="JFF19" s="310" t="s">
        <v>202</v>
      </c>
      <c r="JFG19" s="310" t="s">
        <v>202</v>
      </c>
      <c r="JFH19" s="310" t="s">
        <v>202</v>
      </c>
      <c r="JFI19" s="310" t="s">
        <v>202</v>
      </c>
      <c r="JFJ19" s="310" t="s">
        <v>202</v>
      </c>
      <c r="JFK19" s="310" t="s">
        <v>202</v>
      </c>
      <c r="JFL19" s="310" t="s">
        <v>202</v>
      </c>
      <c r="JFM19" s="310" t="s">
        <v>202</v>
      </c>
      <c r="JFN19" s="310" t="s">
        <v>202</v>
      </c>
      <c r="JFO19" s="310" t="s">
        <v>202</v>
      </c>
      <c r="JFP19" s="310" t="s">
        <v>202</v>
      </c>
      <c r="JFQ19" s="310" t="s">
        <v>202</v>
      </c>
      <c r="JFR19" s="310" t="s">
        <v>202</v>
      </c>
      <c r="JFS19" s="310" t="s">
        <v>202</v>
      </c>
      <c r="JFT19" s="310" t="s">
        <v>202</v>
      </c>
      <c r="JFU19" s="310" t="s">
        <v>202</v>
      </c>
      <c r="JFV19" s="310" t="s">
        <v>202</v>
      </c>
      <c r="JFW19" s="310" t="s">
        <v>202</v>
      </c>
      <c r="JFX19" s="310" t="s">
        <v>202</v>
      </c>
      <c r="JFY19" s="310" t="s">
        <v>202</v>
      </c>
      <c r="JFZ19" s="310" t="s">
        <v>202</v>
      </c>
      <c r="JGA19" s="310" t="s">
        <v>202</v>
      </c>
      <c r="JGB19" s="310" t="s">
        <v>202</v>
      </c>
      <c r="JGC19" s="310" t="s">
        <v>202</v>
      </c>
      <c r="JGD19" s="310" t="s">
        <v>202</v>
      </c>
      <c r="JGE19" s="310" t="s">
        <v>202</v>
      </c>
      <c r="JGF19" s="310" t="s">
        <v>202</v>
      </c>
      <c r="JGG19" s="310" t="s">
        <v>202</v>
      </c>
      <c r="JGH19" s="310" t="s">
        <v>202</v>
      </c>
      <c r="JGI19" s="310" t="s">
        <v>202</v>
      </c>
      <c r="JGJ19" s="310" t="s">
        <v>202</v>
      </c>
      <c r="JGK19" s="310" t="s">
        <v>202</v>
      </c>
      <c r="JGL19" s="310" t="s">
        <v>202</v>
      </c>
      <c r="JGM19" s="310" t="s">
        <v>202</v>
      </c>
      <c r="JGN19" s="310" t="s">
        <v>202</v>
      </c>
      <c r="JGO19" s="310" t="s">
        <v>202</v>
      </c>
      <c r="JGP19" s="310" t="s">
        <v>202</v>
      </c>
      <c r="JGQ19" s="310" t="s">
        <v>202</v>
      </c>
      <c r="JGR19" s="310" t="s">
        <v>202</v>
      </c>
      <c r="JGS19" s="310" t="s">
        <v>202</v>
      </c>
      <c r="JGT19" s="310" t="s">
        <v>202</v>
      </c>
      <c r="JGU19" s="310" t="s">
        <v>202</v>
      </c>
      <c r="JGV19" s="310" t="s">
        <v>202</v>
      </c>
      <c r="JGW19" s="310" t="s">
        <v>202</v>
      </c>
      <c r="JGX19" s="310" t="s">
        <v>202</v>
      </c>
      <c r="JGY19" s="310" t="s">
        <v>202</v>
      </c>
      <c r="JGZ19" s="310" t="s">
        <v>202</v>
      </c>
      <c r="JHA19" s="310" t="s">
        <v>202</v>
      </c>
      <c r="JHB19" s="310" t="s">
        <v>202</v>
      </c>
      <c r="JHC19" s="310" t="s">
        <v>202</v>
      </c>
      <c r="JHD19" s="310" t="s">
        <v>202</v>
      </c>
      <c r="JHE19" s="310" t="s">
        <v>202</v>
      </c>
      <c r="JHF19" s="310" t="s">
        <v>202</v>
      </c>
      <c r="JHG19" s="310" t="s">
        <v>202</v>
      </c>
      <c r="JHH19" s="310" t="s">
        <v>202</v>
      </c>
      <c r="JHI19" s="310" t="s">
        <v>202</v>
      </c>
      <c r="JHJ19" s="310" t="s">
        <v>202</v>
      </c>
      <c r="JHK19" s="310" t="s">
        <v>202</v>
      </c>
      <c r="JHL19" s="310" t="s">
        <v>202</v>
      </c>
      <c r="JHM19" s="310" t="s">
        <v>202</v>
      </c>
      <c r="JHN19" s="310" t="s">
        <v>202</v>
      </c>
      <c r="JHO19" s="310" t="s">
        <v>202</v>
      </c>
      <c r="JHP19" s="310" t="s">
        <v>202</v>
      </c>
      <c r="JHQ19" s="310" t="s">
        <v>202</v>
      </c>
      <c r="JHR19" s="310" t="s">
        <v>202</v>
      </c>
      <c r="JHS19" s="310" t="s">
        <v>202</v>
      </c>
      <c r="JHT19" s="310" t="s">
        <v>202</v>
      </c>
      <c r="JHU19" s="310" t="s">
        <v>202</v>
      </c>
      <c r="JHV19" s="310" t="s">
        <v>202</v>
      </c>
      <c r="JHW19" s="310" t="s">
        <v>202</v>
      </c>
      <c r="JHX19" s="310" t="s">
        <v>202</v>
      </c>
      <c r="JHY19" s="310" t="s">
        <v>202</v>
      </c>
      <c r="JHZ19" s="310" t="s">
        <v>202</v>
      </c>
      <c r="JIA19" s="310" t="s">
        <v>202</v>
      </c>
      <c r="JIB19" s="310" t="s">
        <v>202</v>
      </c>
      <c r="JIC19" s="310" t="s">
        <v>202</v>
      </c>
      <c r="JID19" s="310" t="s">
        <v>202</v>
      </c>
      <c r="JIE19" s="310" t="s">
        <v>202</v>
      </c>
      <c r="JIF19" s="310" t="s">
        <v>202</v>
      </c>
      <c r="JIG19" s="310" t="s">
        <v>202</v>
      </c>
      <c r="JIH19" s="310" t="s">
        <v>202</v>
      </c>
      <c r="JII19" s="310" t="s">
        <v>202</v>
      </c>
      <c r="JIJ19" s="310" t="s">
        <v>202</v>
      </c>
      <c r="JIK19" s="310" t="s">
        <v>202</v>
      </c>
      <c r="JIL19" s="310" t="s">
        <v>202</v>
      </c>
      <c r="JIM19" s="310" t="s">
        <v>202</v>
      </c>
      <c r="JIN19" s="310" t="s">
        <v>202</v>
      </c>
      <c r="JIO19" s="310" t="s">
        <v>202</v>
      </c>
      <c r="JIP19" s="310" t="s">
        <v>202</v>
      </c>
      <c r="JIQ19" s="310" t="s">
        <v>202</v>
      </c>
      <c r="JIR19" s="310" t="s">
        <v>202</v>
      </c>
      <c r="JIS19" s="310" t="s">
        <v>202</v>
      </c>
      <c r="JIT19" s="310" t="s">
        <v>202</v>
      </c>
      <c r="JIU19" s="310" t="s">
        <v>202</v>
      </c>
      <c r="JIV19" s="310" t="s">
        <v>202</v>
      </c>
      <c r="JIW19" s="310" t="s">
        <v>202</v>
      </c>
      <c r="JIX19" s="310" t="s">
        <v>202</v>
      </c>
      <c r="JIY19" s="310" t="s">
        <v>202</v>
      </c>
      <c r="JIZ19" s="310" t="s">
        <v>202</v>
      </c>
      <c r="JJA19" s="310" t="s">
        <v>202</v>
      </c>
      <c r="JJB19" s="310" t="s">
        <v>202</v>
      </c>
      <c r="JJC19" s="310" t="s">
        <v>202</v>
      </c>
      <c r="JJD19" s="310" t="s">
        <v>202</v>
      </c>
      <c r="JJE19" s="310" t="s">
        <v>202</v>
      </c>
      <c r="JJF19" s="310" t="s">
        <v>202</v>
      </c>
      <c r="JJG19" s="310" t="s">
        <v>202</v>
      </c>
      <c r="JJH19" s="310" t="s">
        <v>202</v>
      </c>
      <c r="JJI19" s="310" t="s">
        <v>202</v>
      </c>
      <c r="JJJ19" s="310" t="s">
        <v>202</v>
      </c>
      <c r="JJK19" s="310" t="s">
        <v>202</v>
      </c>
      <c r="JJL19" s="310" t="s">
        <v>202</v>
      </c>
      <c r="JJM19" s="310" t="s">
        <v>202</v>
      </c>
      <c r="JJN19" s="310" t="s">
        <v>202</v>
      </c>
      <c r="JJO19" s="310" t="s">
        <v>202</v>
      </c>
      <c r="JJP19" s="310" t="s">
        <v>202</v>
      </c>
      <c r="JJQ19" s="310" t="s">
        <v>202</v>
      </c>
      <c r="JJR19" s="310" t="s">
        <v>202</v>
      </c>
      <c r="JJS19" s="310" t="s">
        <v>202</v>
      </c>
      <c r="JJT19" s="310" t="s">
        <v>202</v>
      </c>
      <c r="JJU19" s="310" t="s">
        <v>202</v>
      </c>
      <c r="JJV19" s="310" t="s">
        <v>202</v>
      </c>
      <c r="JJW19" s="310" t="s">
        <v>202</v>
      </c>
      <c r="JJX19" s="310" t="s">
        <v>202</v>
      </c>
      <c r="JJY19" s="310" t="s">
        <v>202</v>
      </c>
      <c r="JJZ19" s="310" t="s">
        <v>202</v>
      </c>
      <c r="JKA19" s="310" t="s">
        <v>202</v>
      </c>
      <c r="JKB19" s="310" t="s">
        <v>202</v>
      </c>
      <c r="JKC19" s="310" t="s">
        <v>202</v>
      </c>
      <c r="JKD19" s="310" t="s">
        <v>202</v>
      </c>
      <c r="JKE19" s="310" t="s">
        <v>202</v>
      </c>
      <c r="JKF19" s="310" t="s">
        <v>202</v>
      </c>
      <c r="JKG19" s="310" t="s">
        <v>202</v>
      </c>
      <c r="JKH19" s="310" t="s">
        <v>202</v>
      </c>
      <c r="JKI19" s="310" t="s">
        <v>202</v>
      </c>
      <c r="JKJ19" s="310" t="s">
        <v>202</v>
      </c>
      <c r="JKK19" s="310" t="s">
        <v>202</v>
      </c>
      <c r="JKL19" s="310" t="s">
        <v>202</v>
      </c>
      <c r="JKM19" s="310" t="s">
        <v>202</v>
      </c>
      <c r="JKN19" s="310" t="s">
        <v>202</v>
      </c>
      <c r="JKO19" s="310" t="s">
        <v>202</v>
      </c>
      <c r="JKP19" s="310" t="s">
        <v>202</v>
      </c>
      <c r="JKQ19" s="310" t="s">
        <v>202</v>
      </c>
      <c r="JKR19" s="310" t="s">
        <v>202</v>
      </c>
      <c r="JKS19" s="310" t="s">
        <v>202</v>
      </c>
      <c r="JKT19" s="310" t="s">
        <v>202</v>
      </c>
      <c r="JKU19" s="310" t="s">
        <v>202</v>
      </c>
      <c r="JKV19" s="310" t="s">
        <v>202</v>
      </c>
      <c r="JKW19" s="310" t="s">
        <v>202</v>
      </c>
      <c r="JKX19" s="310" t="s">
        <v>202</v>
      </c>
      <c r="JKY19" s="310" t="s">
        <v>202</v>
      </c>
      <c r="JKZ19" s="310" t="s">
        <v>202</v>
      </c>
      <c r="JLA19" s="310" t="s">
        <v>202</v>
      </c>
      <c r="JLB19" s="310" t="s">
        <v>202</v>
      </c>
      <c r="JLC19" s="310" t="s">
        <v>202</v>
      </c>
      <c r="JLD19" s="310" t="s">
        <v>202</v>
      </c>
      <c r="JLE19" s="310" t="s">
        <v>202</v>
      </c>
      <c r="JLF19" s="310" t="s">
        <v>202</v>
      </c>
      <c r="JLG19" s="310" t="s">
        <v>202</v>
      </c>
      <c r="JLH19" s="310" t="s">
        <v>202</v>
      </c>
      <c r="JLI19" s="310" t="s">
        <v>202</v>
      </c>
      <c r="JLJ19" s="310" t="s">
        <v>202</v>
      </c>
      <c r="JLK19" s="310" t="s">
        <v>202</v>
      </c>
      <c r="JLL19" s="310" t="s">
        <v>202</v>
      </c>
      <c r="JLM19" s="310" t="s">
        <v>202</v>
      </c>
      <c r="JLN19" s="310" t="s">
        <v>202</v>
      </c>
      <c r="JLO19" s="310" t="s">
        <v>202</v>
      </c>
      <c r="JLP19" s="310" t="s">
        <v>202</v>
      </c>
      <c r="JLQ19" s="310" t="s">
        <v>202</v>
      </c>
      <c r="JLR19" s="310" t="s">
        <v>202</v>
      </c>
      <c r="JLS19" s="310" t="s">
        <v>202</v>
      </c>
      <c r="JLT19" s="310" t="s">
        <v>202</v>
      </c>
      <c r="JLU19" s="310" t="s">
        <v>202</v>
      </c>
      <c r="JLV19" s="310" t="s">
        <v>202</v>
      </c>
      <c r="JLW19" s="310" t="s">
        <v>202</v>
      </c>
      <c r="JLX19" s="310" t="s">
        <v>202</v>
      </c>
      <c r="JLY19" s="310" t="s">
        <v>202</v>
      </c>
      <c r="JLZ19" s="310" t="s">
        <v>202</v>
      </c>
      <c r="JMA19" s="310" t="s">
        <v>202</v>
      </c>
      <c r="JMB19" s="310" t="s">
        <v>202</v>
      </c>
      <c r="JMC19" s="310" t="s">
        <v>202</v>
      </c>
      <c r="JMD19" s="310" t="s">
        <v>202</v>
      </c>
      <c r="JME19" s="310" t="s">
        <v>202</v>
      </c>
      <c r="JMF19" s="310" t="s">
        <v>202</v>
      </c>
      <c r="JMG19" s="310" t="s">
        <v>202</v>
      </c>
      <c r="JMH19" s="310" t="s">
        <v>202</v>
      </c>
      <c r="JMI19" s="310" t="s">
        <v>202</v>
      </c>
      <c r="JMJ19" s="310" t="s">
        <v>202</v>
      </c>
      <c r="JMK19" s="310" t="s">
        <v>202</v>
      </c>
      <c r="JML19" s="310" t="s">
        <v>202</v>
      </c>
      <c r="JMM19" s="310" t="s">
        <v>202</v>
      </c>
      <c r="JMN19" s="310" t="s">
        <v>202</v>
      </c>
      <c r="JMO19" s="310" t="s">
        <v>202</v>
      </c>
      <c r="JMP19" s="310" t="s">
        <v>202</v>
      </c>
      <c r="JMQ19" s="310" t="s">
        <v>202</v>
      </c>
      <c r="JMR19" s="310" t="s">
        <v>202</v>
      </c>
      <c r="JMS19" s="310" t="s">
        <v>202</v>
      </c>
      <c r="JMT19" s="310" t="s">
        <v>202</v>
      </c>
      <c r="JMU19" s="310" t="s">
        <v>202</v>
      </c>
      <c r="JMV19" s="310" t="s">
        <v>202</v>
      </c>
      <c r="JMW19" s="310" t="s">
        <v>202</v>
      </c>
      <c r="JMX19" s="310" t="s">
        <v>202</v>
      </c>
      <c r="JMY19" s="310" t="s">
        <v>202</v>
      </c>
      <c r="JMZ19" s="310" t="s">
        <v>202</v>
      </c>
      <c r="JNA19" s="310" t="s">
        <v>202</v>
      </c>
      <c r="JNB19" s="310" t="s">
        <v>202</v>
      </c>
      <c r="JNC19" s="310" t="s">
        <v>202</v>
      </c>
      <c r="JND19" s="310" t="s">
        <v>202</v>
      </c>
      <c r="JNE19" s="310" t="s">
        <v>202</v>
      </c>
      <c r="JNF19" s="310" t="s">
        <v>202</v>
      </c>
      <c r="JNG19" s="310" t="s">
        <v>202</v>
      </c>
      <c r="JNH19" s="310" t="s">
        <v>202</v>
      </c>
      <c r="JNI19" s="310" t="s">
        <v>202</v>
      </c>
      <c r="JNJ19" s="310" t="s">
        <v>202</v>
      </c>
      <c r="JNK19" s="310" t="s">
        <v>202</v>
      </c>
      <c r="JNL19" s="310" t="s">
        <v>202</v>
      </c>
      <c r="JNM19" s="310" t="s">
        <v>202</v>
      </c>
      <c r="JNN19" s="310" t="s">
        <v>202</v>
      </c>
      <c r="JNO19" s="310" t="s">
        <v>202</v>
      </c>
      <c r="JNP19" s="310" t="s">
        <v>202</v>
      </c>
      <c r="JNQ19" s="310" t="s">
        <v>202</v>
      </c>
      <c r="JNR19" s="310" t="s">
        <v>202</v>
      </c>
      <c r="JNS19" s="310" t="s">
        <v>202</v>
      </c>
      <c r="JNT19" s="310" t="s">
        <v>202</v>
      </c>
      <c r="JNU19" s="310" t="s">
        <v>202</v>
      </c>
      <c r="JNV19" s="310" t="s">
        <v>202</v>
      </c>
      <c r="JNW19" s="310" t="s">
        <v>202</v>
      </c>
      <c r="JNX19" s="310" t="s">
        <v>202</v>
      </c>
      <c r="JNY19" s="310" t="s">
        <v>202</v>
      </c>
      <c r="JNZ19" s="310" t="s">
        <v>202</v>
      </c>
      <c r="JOA19" s="310" t="s">
        <v>202</v>
      </c>
      <c r="JOB19" s="310" t="s">
        <v>202</v>
      </c>
      <c r="JOC19" s="310" t="s">
        <v>202</v>
      </c>
      <c r="JOD19" s="310" t="s">
        <v>202</v>
      </c>
      <c r="JOE19" s="310" t="s">
        <v>202</v>
      </c>
      <c r="JOF19" s="310" t="s">
        <v>202</v>
      </c>
      <c r="JOG19" s="310" t="s">
        <v>202</v>
      </c>
      <c r="JOH19" s="310" t="s">
        <v>202</v>
      </c>
      <c r="JOI19" s="310" t="s">
        <v>202</v>
      </c>
      <c r="JOJ19" s="310" t="s">
        <v>202</v>
      </c>
      <c r="JOK19" s="310" t="s">
        <v>202</v>
      </c>
      <c r="JOL19" s="310" t="s">
        <v>202</v>
      </c>
      <c r="JOM19" s="310" t="s">
        <v>202</v>
      </c>
      <c r="JON19" s="310" t="s">
        <v>202</v>
      </c>
      <c r="JOO19" s="310" t="s">
        <v>202</v>
      </c>
      <c r="JOP19" s="310" t="s">
        <v>202</v>
      </c>
      <c r="JOQ19" s="310" t="s">
        <v>202</v>
      </c>
      <c r="JOR19" s="310" t="s">
        <v>202</v>
      </c>
      <c r="JOS19" s="310" t="s">
        <v>202</v>
      </c>
      <c r="JOT19" s="310" t="s">
        <v>202</v>
      </c>
      <c r="JOU19" s="310" t="s">
        <v>202</v>
      </c>
      <c r="JOV19" s="310" t="s">
        <v>202</v>
      </c>
      <c r="JOW19" s="310" t="s">
        <v>202</v>
      </c>
      <c r="JOX19" s="310" t="s">
        <v>202</v>
      </c>
      <c r="JOY19" s="310" t="s">
        <v>202</v>
      </c>
      <c r="JOZ19" s="310" t="s">
        <v>202</v>
      </c>
      <c r="JPA19" s="310" t="s">
        <v>202</v>
      </c>
      <c r="JPB19" s="310" t="s">
        <v>202</v>
      </c>
      <c r="JPC19" s="310" t="s">
        <v>202</v>
      </c>
      <c r="JPD19" s="310" t="s">
        <v>202</v>
      </c>
      <c r="JPE19" s="310" t="s">
        <v>202</v>
      </c>
      <c r="JPF19" s="310" t="s">
        <v>202</v>
      </c>
      <c r="JPG19" s="310" t="s">
        <v>202</v>
      </c>
      <c r="JPH19" s="310" t="s">
        <v>202</v>
      </c>
      <c r="JPI19" s="310" t="s">
        <v>202</v>
      </c>
      <c r="JPJ19" s="310" t="s">
        <v>202</v>
      </c>
      <c r="JPK19" s="310" t="s">
        <v>202</v>
      </c>
      <c r="JPL19" s="310" t="s">
        <v>202</v>
      </c>
      <c r="JPM19" s="310" t="s">
        <v>202</v>
      </c>
      <c r="JPN19" s="310" t="s">
        <v>202</v>
      </c>
      <c r="JPO19" s="310" t="s">
        <v>202</v>
      </c>
      <c r="JPP19" s="310" t="s">
        <v>202</v>
      </c>
      <c r="JPQ19" s="310" t="s">
        <v>202</v>
      </c>
      <c r="JPR19" s="310" t="s">
        <v>202</v>
      </c>
      <c r="JPS19" s="310" t="s">
        <v>202</v>
      </c>
      <c r="JPT19" s="310" t="s">
        <v>202</v>
      </c>
      <c r="JPU19" s="310" t="s">
        <v>202</v>
      </c>
      <c r="JPV19" s="310" t="s">
        <v>202</v>
      </c>
      <c r="JPW19" s="310" t="s">
        <v>202</v>
      </c>
      <c r="JPX19" s="310" t="s">
        <v>202</v>
      </c>
      <c r="JPY19" s="310" t="s">
        <v>202</v>
      </c>
      <c r="JPZ19" s="310" t="s">
        <v>202</v>
      </c>
      <c r="JQA19" s="310" t="s">
        <v>202</v>
      </c>
      <c r="JQB19" s="310" t="s">
        <v>202</v>
      </c>
      <c r="JQC19" s="310" t="s">
        <v>202</v>
      </c>
      <c r="JQD19" s="310" t="s">
        <v>202</v>
      </c>
      <c r="JQE19" s="310" t="s">
        <v>202</v>
      </c>
      <c r="JQF19" s="310" t="s">
        <v>202</v>
      </c>
      <c r="JQG19" s="310" t="s">
        <v>202</v>
      </c>
      <c r="JQH19" s="310" t="s">
        <v>202</v>
      </c>
      <c r="JQI19" s="310" t="s">
        <v>202</v>
      </c>
      <c r="JQJ19" s="310" t="s">
        <v>202</v>
      </c>
      <c r="JQK19" s="310" t="s">
        <v>202</v>
      </c>
      <c r="JQL19" s="310" t="s">
        <v>202</v>
      </c>
      <c r="JQM19" s="310" t="s">
        <v>202</v>
      </c>
      <c r="JQN19" s="310" t="s">
        <v>202</v>
      </c>
      <c r="JQO19" s="310" t="s">
        <v>202</v>
      </c>
      <c r="JQP19" s="310" t="s">
        <v>202</v>
      </c>
      <c r="JQQ19" s="310" t="s">
        <v>202</v>
      </c>
      <c r="JQR19" s="310" t="s">
        <v>202</v>
      </c>
      <c r="JQS19" s="310" t="s">
        <v>202</v>
      </c>
      <c r="JQT19" s="310" t="s">
        <v>202</v>
      </c>
      <c r="JQU19" s="310" t="s">
        <v>202</v>
      </c>
      <c r="JQV19" s="310" t="s">
        <v>202</v>
      </c>
      <c r="JQW19" s="310" t="s">
        <v>202</v>
      </c>
      <c r="JQX19" s="310" t="s">
        <v>202</v>
      </c>
      <c r="JQY19" s="310" t="s">
        <v>202</v>
      </c>
      <c r="JQZ19" s="310" t="s">
        <v>202</v>
      </c>
      <c r="JRA19" s="310" t="s">
        <v>202</v>
      </c>
      <c r="JRB19" s="310" t="s">
        <v>202</v>
      </c>
      <c r="JRC19" s="310" t="s">
        <v>202</v>
      </c>
      <c r="JRD19" s="310" t="s">
        <v>202</v>
      </c>
      <c r="JRE19" s="310" t="s">
        <v>202</v>
      </c>
      <c r="JRF19" s="310" t="s">
        <v>202</v>
      </c>
      <c r="JRG19" s="310" t="s">
        <v>202</v>
      </c>
      <c r="JRH19" s="310" t="s">
        <v>202</v>
      </c>
      <c r="JRI19" s="310" t="s">
        <v>202</v>
      </c>
      <c r="JRJ19" s="310" t="s">
        <v>202</v>
      </c>
      <c r="JRK19" s="310" t="s">
        <v>202</v>
      </c>
      <c r="JRL19" s="310" t="s">
        <v>202</v>
      </c>
      <c r="JRM19" s="310" t="s">
        <v>202</v>
      </c>
      <c r="JRN19" s="310" t="s">
        <v>202</v>
      </c>
      <c r="JRO19" s="310" t="s">
        <v>202</v>
      </c>
      <c r="JRP19" s="310" t="s">
        <v>202</v>
      </c>
      <c r="JRQ19" s="310" t="s">
        <v>202</v>
      </c>
      <c r="JRR19" s="310" t="s">
        <v>202</v>
      </c>
      <c r="JRS19" s="310" t="s">
        <v>202</v>
      </c>
      <c r="JRT19" s="310" t="s">
        <v>202</v>
      </c>
      <c r="JRU19" s="310" t="s">
        <v>202</v>
      </c>
      <c r="JRV19" s="310" t="s">
        <v>202</v>
      </c>
      <c r="JRW19" s="310" t="s">
        <v>202</v>
      </c>
      <c r="JRX19" s="310" t="s">
        <v>202</v>
      </c>
      <c r="JRY19" s="310" t="s">
        <v>202</v>
      </c>
      <c r="JRZ19" s="310" t="s">
        <v>202</v>
      </c>
      <c r="JSA19" s="310" t="s">
        <v>202</v>
      </c>
      <c r="JSB19" s="310" t="s">
        <v>202</v>
      </c>
      <c r="JSC19" s="310" t="s">
        <v>202</v>
      </c>
      <c r="JSD19" s="310" t="s">
        <v>202</v>
      </c>
      <c r="JSE19" s="310" t="s">
        <v>202</v>
      </c>
      <c r="JSF19" s="310" t="s">
        <v>202</v>
      </c>
      <c r="JSG19" s="310" t="s">
        <v>202</v>
      </c>
      <c r="JSH19" s="310" t="s">
        <v>202</v>
      </c>
      <c r="JSI19" s="310" t="s">
        <v>202</v>
      </c>
      <c r="JSJ19" s="310" t="s">
        <v>202</v>
      </c>
      <c r="JSK19" s="310" t="s">
        <v>202</v>
      </c>
      <c r="JSL19" s="310" t="s">
        <v>202</v>
      </c>
      <c r="JSM19" s="310" t="s">
        <v>202</v>
      </c>
      <c r="JSN19" s="310" t="s">
        <v>202</v>
      </c>
      <c r="JSO19" s="310" t="s">
        <v>202</v>
      </c>
      <c r="JSP19" s="310" t="s">
        <v>202</v>
      </c>
      <c r="JSQ19" s="310" t="s">
        <v>202</v>
      </c>
      <c r="JSR19" s="310" t="s">
        <v>202</v>
      </c>
      <c r="JSS19" s="310" t="s">
        <v>202</v>
      </c>
      <c r="JST19" s="310" t="s">
        <v>202</v>
      </c>
      <c r="JSU19" s="310" t="s">
        <v>202</v>
      </c>
      <c r="JSV19" s="310" t="s">
        <v>202</v>
      </c>
      <c r="JSW19" s="310" t="s">
        <v>202</v>
      </c>
      <c r="JSX19" s="310" t="s">
        <v>202</v>
      </c>
      <c r="JSY19" s="310" t="s">
        <v>202</v>
      </c>
      <c r="JSZ19" s="310" t="s">
        <v>202</v>
      </c>
      <c r="JTA19" s="310" t="s">
        <v>202</v>
      </c>
      <c r="JTB19" s="310" t="s">
        <v>202</v>
      </c>
      <c r="JTC19" s="310" t="s">
        <v>202</v>
      </c>
      <c r="JTD19" s="310" t="s">
        <v>202</v>
      </c>
      <c r="JTE19" s="310" t="s">
        <v>202</v>
      </c>
      <c r="JTF19" s="310" t="s">
        <v>202</v>
      </c>
      <c r="JTG19" s="310" t="s">
        <v>202</v>
      </c>
      <c r="JTH19" s="310" t="s">
        <v>202</v>
      </c>
      <c r="JTI19" s="310" t="s">
        <v>202</v>
      </c>
      <c r="JTJ19" s="310" t="s">
        <v>202</v>
      </c>
      <c r="JTK19" s="310" t="s">
        <v>202</v>
      </c>
      <c r="JTL19" s="310" t="s">
        <v>202</v>
      </c>
      <c r="JTM19" s="310" t="s">
        <v>202</v>
      </c>
      <c r="JTN19" s="310" t="s">
        <v>202</v>
      </c>
      <c r="JTO19" s="310" t="s">
        <v>202</v>
      </c>
      <c r="JTP19" s="310" t="s">
        <v>202</v>
      </c>
      <c r="JTQ19" s="310" t="s">
        <v>202</v>
      </c>
      <c r="JTR19" s="310" t="s">
        <v>202</v>
      </c>
      <c r="JTS19" s="310" t="s">
        <v>202</v>
      </c>
      <c r="JTT19" s="310" t="s">
        <v>202</v>
      </c>
      <c r="JTU19" s="310" t="s">
        <v>202</v>
      </c>
      <c r="JTV19" s="310" t="s">
        <v>202</v>
      </c>
      <c r="JTW19" s="310" t="s">
        <v>202</v>
      </c>
      <c r="JTX19" s="310" t="s">
        <v>202</v>
      </c>
      <c r="JTY19" s="310" t="s">
        <v>202</v>
      </c>
      <c r="JTZ19" s="310" t="s">
        <v>202</v>
      </c>
      <c r="JUA19" s="310" t="s">
        <v>202</v>
      </c>
      <c r="JUB19" s="310" t="s">
        <v>202</v>
      </c>
      <c r="JUC19" s="310" t="s">
        <v>202</v>
      </c>
      <c r="JUD19" s="310" t="s">
        <v>202</v>
      </c>
      <c r="JUE19" s="310" t="s">
        <v>202</v>
      </c>
      <c r="JUF19" s="310" t="s">
        <v>202</v>
      </c>
      <c r="JUG19" s="310" t="s">
        <v>202</v>
      </c>
      <c r="JUH19" s="310" t="s">
        <v>202</v>
      </c>
      <c r="JUI19" s="310" t="s">
        <v>202</v>
      </c>
      <c r="JUJ19" s="310" t="s">
        <v>202</v>
      </c>
      <c r="JUK19" s="310" t="s">
        <v>202</v>
      </c>
      <c r="JUL19" s="310" t="s">
        <v>202</v>
      </c>
      <c r="JUM19" s="310" t="s">
        <v>202</v>
      </c>
      <c r="JUN19" s="310" t="s">
        <v>202</v>
      </c>
      <c r="JUO19" s="310" t="s">
        <v>202</v>
      </c>
      <c r="JUP19" s="310" t="s">
        <v>202</v>
      </c>
      <c r="JUQ19" s="310" t="s">
        <v>202</v>
      </c>
      <c r="JUR19" s="310" t="s">
        <v>202</v>
      </c>
      <c r="JUS19" s="310" t="s">
        <v>202</v>
      </c>
      <c r="JUT19" s="310" t="s">
        <v>202</v>
      </c>
      <c r="JUU19" s="310" t="s">
        <v>202</v>
      </c>
      <c r="JUV19" s="310" t="s">
        <v>202</v>
      </c>
      <c r="JUW19" s="310" t="s">
        <v>202</v>
      </c>
      <c r="JUX19" s="310" t="s">
        <v>202</v>
      </c>
      <c r="JUY19" s="310" t="s">
        <v>202</v>
      </c>
      <c r="JUZ19" s="310" t="s">
        <v>202</v>
      </c>
      <c r="JVA19" s="310" t="s">
        <v>202</v>
      </c>
      <c r="JVB19" s="310" t="s">
        <v>202</v>
      </c>
      <c r="JVC19" s="310" t="s">
        <v>202</v>
      </c>
      <c r="JVD19" s="310" t="s">
        <v>202</v>
      </c>
      <c r="JVE19" s="310" t="s">
        <v>202</v>
      </c>
      <c r="JVF19" s="310" t="s">
        <v>202</v>
      </c>
      <c r="JVG19" s="310" t="s">
        <v>202</v>
      </c>
      <c r="JVH19" s="310" t="s">
        <v>202</v>
      </c>
      <c r="JVI19" s="310" t="s">
        <v>202</v>
      </c>
      <c r="JVJ19" s="310" t="s">
        <v>202</v>
      </c>
      <c r="JVK19" s="310" t="s">
        <v>202</v>
      </c>
      <c r="JVL19" s="310" t="s">
        <v>202</v>
      </c>
      <c r="JVM19" s="310" t="s">
        <v>202</v>
      </c>
      <c r="JVN19" s="310" t="s">
        <v>202</v>
      </c>
      <c r="JVO19" s="310" t="s">
        <v>202</v>
      </c>
      <c r="JVP19" s="310" t="s">
        <v>202</v>
      </c>
      <c r="JVQ19" s="310" t="s">
        <v>202</v>
      </c>
      <c r="JVR19" s="310" t="s">
        <v>202</v>
      </c>
      <c r="JVS19" s="310" t="s">
        <v>202</v>
      </c>
      <c r="JVT19" s="310" t="s">
        <v>202</v>
      </c>
      <c r="JVU19" s="310" t="s">
        <v>202</v>
      </c>
      <c r="JVV19" s="310" t="s">
        <v>202</v>
      </c>
      <c r="JVW19" s="310" t="s">
        <v>202</v>
      </c>
      <c r="JVX19" s="310" t="s">
        <v>202</v>
      </c>
      <c r="JVY19" s="310" t="s">
        <v>202</v>
      </c>
      <c r="JVZ19" s="310" t="s">
        <v>202</v>
      </c>
      <c r="JWA19" s="310" t="s">
        <v>202</v>
      </c>
      <c r="JWB19" s="310" t="s">
        <v>202</v>
      </c>
      <c r="JWC19" s="310" t="s">
        <v>202</v>
      </c>
      <c r="JWD19" s="310" t="s">
        <v>202</v>
      </c>
      <c r="JWE19" s="310" t="s">
        <v>202</v>
      </c>
      <c r="JWF19" s="310" t="s">
        <v>202</v>
      </c>
      <c r="JWG19" s="310" t="s">
        <v>202</v>
      </c>
      <c r="JWH19" s="310" t="s">
        <v>202</v>
      </c>
      <c r="JWI19" s="310" t="s">
        <v>202</v>
      </c>
      <c r="JWJ19" s="310" t="s">
        <v>202</v>
      </c>
      <c r="JWK19" s="310" t="s">
        <v>202</v>
      </c>
      <c r="JWL19" s="310" t="s">
        <v>202</v>
      </c>
      <c r="JWM19" s="310" t="s">
        <v>202</v>
      </c>
      <c r="JWN19" s="310" t="s">
        <v>202</v>
      </c>
      <c r="JWO19" s="310" t="s">
        <v>202</v>
      </c>
      <c r="JWP19" s="310" t="s">
        <v>202</v>
      </c>
      <c r="JWQ19" s="310" t="s">
        <v>202</v>
      </c>
      <c r="JWR19" s="310" t="s">
        <v>202</v>
      </c>
      <c r="JWS19" s="310" t="s">
        <v>202</v>
      </c>
      <c r="JWT19" s="310" t="s">
        <v>202</v>
      </c>
      <c r="JWU19" s="310" t="s">
        <v>202</v>
      </c>
      <c r="JWV19" s="310" t="s">
        <v>202</v>
      </c>
      <c r="JWW19" s="310" t="s">
        <v>202</v>
      </c>
      <c r="JWX19" s="310" t="s">
        <v>202</v>
      </c>
      <c r="JWY19" s="310" t="s">
        <v>202</v>
      </c>
      <c r="JWZ19" s="310" t="s">
        <v>202</v>
      </c>
      <c r="JXA19" s="310" t="s">
        <v>202</v>
      </c>
      <c r="JXB19" s="310" t="s">
        <v>202</v>
      </c>
      <c r="JXC19" s="310" t="s">
        <v>202</v>
      </c>
      <c r="JXD19" s="310" t="s">
        <v>202</v>
      </c>
      <c r="JXE19" s="310" t="s">
        <v>202</v>
      </c>
      <c r="JXF19" s="310" t="s">
        <v>202</v>
      </c>
      <c r="JXG19" s="310" t="s">
        <v>202</v>
      </c>
      <c r="JXH19" s="310" t="s">
        <v>202</v>
      </c>
      <c r="JXI19" s="310" t="s">
        <v>202</v>
      </c>
      <c r="JXJ19" s="310" t="s">
        <v>202</v>
      </c>
      <c r="JXK19" s="310" t="s">
        <v>202</v>
      </c>
      <c r="JXL19" s="310" t="s">
        <v>202</v>
      </c>
      <c r="JXM19" s="310" t="s">
        <v>202</v>
      </c>
      <c r="JXN19" s="310" t="s">
        <v>202</v>
      </c>
      <c r="JXO19" s="310" t="s">
        <v>202</v>
      </c>
      <c r="JXP19" s="310" t="s">
        <v>202</v>
      </c>
      <c r="JXQ19" s="310" t="s">
        <v>202</v>
      </c>
      <c r="JXR19" s="310" t="s">
        <v>202</v>
      </c>
      <c r="JXS19" s="310" t="s">
        <v>202</v>
      </c>
      <c r="JXT19" s="310" t="s">
        <v>202</v>
      </c>
      <c r="JXU19" s="310" t="s">
        <v>202</v>
      </c>
      <c r="JXV19" s="310" t="s">
        <v>202</v>
      </c>
      <c r="JXW19" s="310" t="s">
        <v>202</v>
      </c>
      <c r="JXX19" s="310" t="s">
        <v>202</v>
      </c>
      <c r="JXY19" s="310" t="s">
        <v>202</v>
      </c>
      <c r="JXZ19" s="310" t="s">
        <v>202</v>
      </c>
      <c r="JYA19" s="310" t="s">
        <v>202</v>
      </c>
      <c r="JYB19" s="310" t="s">
        <v>202</v>
      </c>
      <c r="JYC19" s="310" t="s">
        <v>202</v>
      </c>
      <c r="JYD19" s="310" t="s">
        <v>202</v>
      </c>
      <c r="JYE19" s="310" t="s">
        <v>202</v>
      </c>
      <c r="JYF19" s="310" t="s">
        <v>202</v>
      </c>
      <c r="JYG19" s="310" t="s">
        <v>202</v>
      </c>
      <c r="JYH19" s="310" t="s">
        <v>202</v>
      </c>
      <c r="JYI19" s="310" t="s">
        <v>202</v>
      </c>
      <c r="JYJ19" s="310" t="s">
        <v>202</v>
      </c>
      <c r="JYK19" s="310" t="s">
        <v>202</v>
      </c>
      <c r="JYL19" s="310" t="s">
        <v>202</v>
      </c>
      <c r="JYM19" s="310" t="s">
        <v>202</v>
      </c>
      <c r="JYN19" s="310" t="s">
        <v>202</v>
      </c>
      <c r="JYO19" s="310" t="s">
        <v>202</v>
      </c>
      <c r="JYP19" s="310" t="s">
        <v>202</v>
      </c>
      <c r="JYQ19" s="310" t="s">
        <v>202</v>
      </c>
      <c r="JYR19" s="310" t="s">
        <v>202</v>
      </c>
      <c r="JYS19" s="310" t="s">
        <v>202</v>
      </c>
      <c r="JYT19" s="310" t="s">
        <v>202</v>
      </c>
      <c r="JYU19" s="310" t="s">
        <v>202</v>
      </c>
      <c r="JYV19" s="310" t="s">
        <v>202</v>
      </c>
      <c r="JYW19" s="310" t="s">
        <v>202</v>
      </c>
      <c r="JYX19" s="310" t="s">
        <v>202</v>
      </c>
      <c r="JYY19" s="310" t="s">
        <v>202</v>
      </c>
      <c r="JYZ19" s="310" t="s">
        <v>202</v>
      </c>
      <c r="JZA19" s="310" t="s">
        <v>202</v>
      </c>
      <c r="JZB19" s="310" t="s">
        <v>202</v>
      </c>
      <c r="JZC19" s="310" t="s">
        <v>202</v>
      </c>
      <c r="JZD19" s="310" t="s">
        <v>202</v>
      </c>
      <c r="JZE19" s="310" t="s">
        <v>202</v>
      </c>
      <c r="JZF19" s="310" t="s">
        <v>202</v>
      </c>
      <c r="JZG19" s="310" t="s">
        <v>202</v>
      </c>
      <c r="JZH19" s="310" t="s">
        <v>202</v>
      </c>
      <c r="JZI19" s="310" t="s">
        <v>202</v>
      </c>
      <c r="JZJ19" s="310" t="s">
        <v>202</v>
      </c>
      <c r="JZK19" s="310" t="s">
        <v>202</v>
      </c>
      <c r="JZL19" s="310" t="s">
        <v>202</v>
      </c>
      <c r="JZM19" s="310" t="s">
        <v>202</v>
      </c>
      <c r="JZN19" s="310" t="s">
        <v>202</v>
      </c>
      <c r="JZO19" s="310" t="s">
        <v>202</v>
      </c>
      <c r="JZP19" s="310" t="s">
        <v>202</v>
      </c>
      <c r="JZQ19" s="310" t="s">
        <v>202</v>
      </c>
      <c r="JZR19" s="310" t="s">
        <v>202</v>
      </c>
      <c r="JZS19" s="310" t="s">
        <v>202</v>
      </c>
      <c r="JZT19" s="310" t="s">
        <v>202</v>
      </c>
      <c r="JZU19" s="310" t="s">
        <v>202</v>
      </c>
      <c r="JZV19" s="310" t="s">
        <v>202</v>
      </c>
      <c r="JZW19" s="310" t="s">
        <v>202</v>
      </c>
      <c r="JZX19" s="310" t="s">
        <v>202</v>
      </c>
      <c r="JZY19" s="310" t="s">
        <v>202</v>
      </c>
      <c r="JZZ19" s="310" t="s">
        <v>202</v>
      </c>
      <c r="KAA19" s="310" t="s">
        <v>202</v>
      </c>
      <c r="KAB19" s="310" t="s">
        <v>202</v>
      </c>
      <c r="KAC19" s="310" t="s">
        <v>202</v>
      </c>
      <c r="KAD19" s="310" t="s">
        <v>202</v>
      </c>
      <c r="KAE19" s="310" t="s">
        <v>202</v>
      </c>
      <c r="KAF19" s="310" t="s">
        <v>202</v>
      </c>
      <c r="KAG19" s="310" t="s">
        <v>202</v>
      </c>
      <c r="KAH19" s="310" t="s">
        <v>202</v>
      </c>
      <c r="KAI19" s="310" t="s">
        <v>202</v>
      </c>
      <c r="KAJ19" s="310" t="s">
        <v>202</v>
      </c>
      <c r="KAK19" s="310" t="s">
        <v>202</v>
      </c>
      <c r="KAL19" s="310" t="s">
        <v>202</v>
      </c>
      <c r="KAM19" s="310" t="s">
        <v>202</v>
      </c>
      <c r="KAN19" s="310" t="s">
        <v>202</v>
      </c>
      <c r="KAO19" s="310" t="s">
        <v>202</v>
      </c>
      <c r="KAP19" s="310" t="s">
        <v>202</v>
      </c>
      <c r="KAQ19" s="310" t="s">
        <v>202</v>
      </c>
      <c r="KAR19" s="310" t="s">
        <v>202</v>
      </c>
      <c r="KAS19" s="310" t="s">
        <v>202</v>
      </c>
      <c r="KAT19" s="310" t="s">
        <v>202</v>
      </c>
      <c r="KAU19" s="310" t="s">
        <v>202</v>
      </c>
      <c r="KAV19" s="310" t="s">
        <v>202</v>
      </c>
      <c r="KAW19" s="310" t="s">
        <v>202</v>
      </c>
      <c r="KAX19" s="310" t="s">
        <v>202</v>
      </c>
      <c r="KAY19" s="310" t="s">
        <v>202</v>
      </c>
      <c r="KAZ19" s="310" t="s">
        <v>202</v>
      </c>
      <c r="KBA19" s="310" t="s">
        <v>202</v>
      </c>
      <c r="KBB19" s="310" t="s">
        <v>202</v>
      </c>
      <c r="KBC19" s="310" t="s">
        <v>202</v>
      </c>
      <c r="KBD19" s="310" t="s">
        <v>202</v>
      </c>
      <c r="KBE19" s="310" t="s">
        <v>202</v>
      </c>
      <c r="KBF19" s="310" t="s">
        <v>202</v>
      </c>
      <c r="KBG19" s="310" t="s">
        <v>202</v>
      </c>
      <c r="KBH19" s="310" t="s">
        <v>202</v>
      </c>
      <c r="KBI19" s="310" t="s">
        <v>202</v>
      </c>
      <c r="KBJ19" s="310" t="s">
        <v>202</v>
      </c>
      <c r="KBK19" s="310" t="s">
        <v>202</v>
      </c>
      <c r="KBL19" s="310" t="s">
        <v>202</v>
      </c>
      <c r="KBM19" s="310" t="s">
        <v>202</v>
      </c>
      <c r="KBN19" s="310" t="s">
        <v>202</v>
      </c>
      <c r="KBO19" s="310" t="s">
        <v>202</v>
      </c>
      <c r="KBP19" s="310" t="s">
        <v>202</v>
      </c>
      <c r="KBQ19" s="310" t="s">
        <v>202</v>
      </c>
      <c r="KBR19" s="310" t="s">
        <v>202</v>
      </c>
      <c r="KBS19" s="310" t="s">
        <v>202</v>
      </c>
      <c r="KBT19" s="310" t="s">
        <v>202</v>
      </c>
      <c r="KBU19" s="310" t="s">
        <v>202</v>
      </c>
      <c r="KBV19" s="310" t="s">
        <v>202</v>
      </c>
      <c r="KBW19" s="310" t="s">
        <v>202</v>
      </c>
      <c r="KBX19" s="310" t="s">
        <v>202</v>
      </c>
      <c r="KBY19" s="310" t="s">
        <v>202</v>
      </c>
      <c r="KBZ19" s="310" t="s">
        <v>202</v>
      </c>
      <c r="KCA19" s="310" t="s">
        <v>202</v>
      </c>
      <c r="KCB19" s="310" t="s">
        <v>202</v>
      </c>
      <c r="KCC19" s="310" t="s">
        <v>202</v>
      </c>
      <c r="KCD19" s="310" t="s">
        <v>202</v>
      </c>
      <c r="KCE19" s="310" t="s">
        <v>202</v>
      </c>
      <c r="KCF19" s="310" t="s">
        <v>202</v>
      </c>
      <c r="KCG19" s="310" t="s">
        <v>202</v>
      </c>
      <c r="KCH19" s="310" t="s">
        <v>202</v>
      </c>
      <c r="KCI19" s="310" t="s">
        <v>202</v>
      </c>
      <c r="KCJ19" s="310" t="s">
        <v>202</v>
      </c>
      <c r="KCK19" s="310" t="s">
        <v>202</v>
      </c>
      <c r="KCL19" s="310" t="s">
        <v>202</v>
      </c>
      <c r="KCM19" s="310" t="s">
        <v>202</v>
      </c>
      <c r="KCN19" s="310" t="s">
        <v>202</v>
      </c>
      <c r="KCO19" s="310" t="s">
        <v>202</v>
      </c>
      <c r="KCP19" s="310" t="s">
        <v>202</v>
      </c>
      <c r="KCQ19" s="310" t="s">
        <v>202</v>
      </c>
      <c r="KCR19" s="310" t="s">
        <v>202</v>
      </c>
      <c r="KCS19" s="310" t="s">
        <v>202</v>
      </c>
      <c r="KCT19" s="310" t="s">
        <v>202</v>
      </c>
      <c r="KCU19" s="310" t="s">
        <v>202</v>
      </c>
      <c r="KCV19" s="310" t="s">
        <v>202</v>
      </c>
      <c r="KCW19" s="310" t="s">
        <v>202</v>
      </c>
      <c r="KCX19" s="310" t="s">
        <v>202</v>
      </c>
      <c r="KCY19" s="310" t="s">
        <v>202</v>
      </c>
      <c r="KCZ19" s="310" t="s">
        <v>202</v>
      </c>
      <c r="KDA19" s="310" t="s">
        <v>202</v>
      </c>
      <c r="KDB19" s="310" t="s">
        <v>202</v>
      </c>
      <c r="KDC19" s="310" t="s">
        <v>202</v>
      </c>
      <c r="KDD19" s="310" t="s">
        <v>202</v>
      </c>
      <c r="KDE19" s="310" t="s">
        <v>202</v>
      </c>
      <c r="KDF19" s="310" t="s">
        <v>202</v>
      </c>
      <c r="KDG19" s="310" t="s">
        <v>202</v>
      </c>
      <c r="KDH19" s="310" t="s">
        <v>202</v>
      </c>
      <c r="KDI19" s="310" t="s">
        <v>202</v>
      </c>
      <c r="KDJ19" s="310" t="s">
        <v>202</v>
      </c>
      <c r="KDK19" s="310" t="s">
        <v>202</v>
      </c>
      <c r="KDL19" s="310" t="s">
        <v>202</v>
      </c>
      <c r="KDM19" s="310" t="s">
        <v>202</v>
      </c>
      <c r="KDN19" s="310" t="s">
        <v>202</v>
      </c>
      <c r="KDO19" s="310" t="s">
        <v>202</v>
      </c>
      <c r="KDP19" s="310" t="s">
        <v>202</v>
      </c>
      <c r="KDQ19" s="310" t="s">
        <v>202</v>
      </c>
      <c r="KDR19" s="310" t="s">
        <v>202</v>
      </c>
      <c r="KDS19" s="310" t="s">
        <v>202</v>
      </c>
      <c r="KDT19" s="310" t="s">
        <v>202</v>
      </c>
      <c r="KDU19" s="310" t="s">
        <v>202</v>
      </c>
      <c r="KDV19" s="310" t="s">
        <v>202</v>
      </c>
      <c r="KDW19" s="310" t="s">
        <v>202</v>
      </c>
      <c r="KDX19" s="310" t="s">
        <v>202</v>
      </c>
      <c r="KDY19" s="310" t="s">
        <v>202</v>
      </c>
      <c r="KDZ19" s="310" t="s">
        <v>202</v>
      </c>
      <c r="KEA19" s="310" t="s">
        <v>202</v>
      </c>
      <c r="KEB19" s="310" t="s">
        <v>202</v>
      </c>
      <c r="KEC19" s="310" t="s">
        <v>202</v>
      </c>
      <c r="KED19" s="310" t="s">
        <v>202</v>
      </c>
      <c r="KEE19" s="310" t="s">
        <v>202</v>
      </c>
      <c r="KEF19" s="310" t="s">
        <v>202</v>
      </c>
      <c r="KEG19" s="310" t="s">
        <v>202</v>
      </c>
      <c r="KEH19" s="310" t="s">
        <v>202</v>
      </c>
      <c r="KEI19" s="310" t="s">
        <v>202</v>
      </c>
      <c r="KEJ19" s="310" t="s">
        <v>202</v>
      </c>
      <c r="KEK19" s="310" t="s">
        <v>202</v>
      </c>
      <c r="KEL19" s="310" t="s">
        <v>202</v>
      </c>
      <c r="KEM19" s="310" t="s">
        <v>202</v>
      </c>
      <c r="KEN19" s="310" t="s">
        <v>202</v>
      </c>
      <c r="KEO19" s="310" t="s">
        <v>202</v>
      </c>
      <c r="KEP19" s="310" t="s">
        <v>202</v>
      </c>
      <c r="KEQ19" s="310" t="s">
        <v>202</v>
      </c>
      <c r="KER19" s="310" t="s">
        <v>202</v>
      </c>
      <c r="KES19" s="310" t="s">
        <v>202</v>
      </c>
      <c r="KET19" s="310" t="s">
        <v>202</v>
      </c>
      <c r="KEU19" s="310" t="s">
        <v>202</v>
      </c>
      <c r="KEV19" s="310" t="s">
        <v>202</v>
      </c>
      <c r="KEW19" s="310" t="s">
        <v>202</v>
      </c>
      <c r="KEX19" s="310" t="s">
        <v>202</v>
      </c>
      <c r="KEY19" s="310" t="s">
        <v>202</v>
      </c>
      <c r="KEZ19" s="310" t="s">
        <v>202</v>
      </c>
      <c r="KFA19" s="310" t="s">
        <v>202</v>
      </c>
      <c r="KFB19" s="310" t="s">
        <v>202</v>
      </c>
      <c r="KFC19" s="310" t="s">
        <v>202</v>
      </c>
      <c r="KFD19" s="310" t="s">
        <v>202</v>
      </c>
      <c r="KFE19" s="310" t="s">
        <v>202</v>
      </c>
      <c r="KFF19" s="310" t="s">
        <v>202</v>
      </c>
      <c r="KFG19" s="310" t="s">
        <v>202</v>
      </c>
      <c r="KFH19" s="310" t="s">
        <v>202</v>
      </c>
      <c r="KFI19" s="310" t="s">
        <v>202</v>
      </c>
      <c r="KFJ19" s="310" t="s">
        <v>202</v>
      </c>
      <c r="KFK19" s="310" t="s">
        <v>202</v>
      </c>
      <c r="KFL19" s="310" t="s">
        <v>202</v>
      </c>
      <c r="KFM19" s="310" t="s">
        <v>202</v>
      </c>
      <c r="KFN19" s="310" t="s">
        <v>202</v>
      </c>
      <c r="KFO19" s="310" t="s">
        <v>202</v>
      </c>
      <c r="KFP19" s="310" t="s">
        <v>202</v>
      </c>
      <c r="KFQ19" s="310" t="s">
        <v>202</v>
      </c>
      <c r="KFR19" s="310" t="s">
        <v>202</v>
      </c>
      <c r="KFS19" s="310" t="s">
        <v>202</v>
      </c>
      <c r="KFT19" s="310" t="s">
        <v>202</v>
      </c>
      <c r="KFU19" s="310" t="s">
        <v>202</v>
      </c>
      <c r="KFV19" s="310" t="s">
        <v>202</v>
      </c>
      <c r="KFW19" s="310" t="s">
        <v>202</v>
      </c>
      <c r="KFX19" s="310" t="s">
        <v>202</v>
      </c>
      <c r="KFY19" s="310" t="s">
        <v>202</v>
      </c>
      <c r="KFZ19" s="310" t="s">
        <v>202</v>
      </c>
      <c r="KGA19" s="310" t="s">
        <v>202</v>
      </c>
      <c r="KGB19" s="310" t="s">
        <v>202</v>
      </c>
      <c r="KGC19" s="310" t="s">
        <v>202</v>
      </c>
      <c r="KGD19" s="310" t="s">
        <v>202</v>
      </c>
      <c r="KGE19" s="310" t="s">
        <v>202</v>
      </c>
      <c r="KGF19" s="310" t="s">
        <v>202</v>
      </c>
      <c r="KGG19" s="310" t="s">
        <v>202</v>
      </c>
      <c r="KGH19" s="310" t="s">
        <v>202</v>
      </c>
      <c r="KGI19" s="310" t="s">
        <v>202</v>
      </c>
      <c r="KGJ19" s="310" t="s">
        <v>202</v>
      </c>
      <c r="KGK19" s="310" t="s">
        <v>202</v>
      </c>
      <c r="KGL19" s="310" t="s">
        <v>202</v>
      </c>
      <c r="KGM19" s="310" t="s">
        <v>202</v>
      </c>
      <c r="KGN19" s="310" t="s">
        <v>202</v>
      </c>
      <c r="KGO19" s="310" t="s">
        <v>202</v>
      </c>
      <c r="KGP19" s="310" t="s">
        <v>202</v>
      </c>
      <c r="KGQ19" s="310" t="s">
        <v>202</v>
      </c>
      <c r="KGR19" s="310" t="s">
        <v>202</v>
      </c>
      <c r="KGS19" s="310" t="s">
        <v>202</v>
      </c>
      <c r="KGT19" s="310" t="s">
        <v>202</v>
      </c>
      <c r="KGU19" s="310" t="s">
        <v>202</v>
      </c>
      <c r="KGV19" s="310" t="s">
        <v>202</v>
      </c>
      <c r="KGW19" s="310" t="s">
        <v>202</v>
      </c>
      <c r="KGX19" s="310" t="s">
        <v>202</v>
      </c>
      <c r="KGY19" s="310" t="s">
        <v>202</v>
      </c>
      <c r="KGZ19" s="310" t="s">
        <v>202</v>
      </c>
      <c r="KHA19" s="310" t="s">
        <v>202</v>
      </c>
      <c r="KHB19" s="310" t="s">
        <v>202</v>
      </c>
      <c r="KHC19" s="310" t="s">
        <v>202</v>
      </c>
      <c r="KHD19" s="310" t="s">
        <v>202</v>
      </c>
      <c r="KHE19" s="310" t="s">
        <v>202</v>
      </c>
      <c r="KHF19" s="310" t="s">
        <v>202</v>
      </c>
      <c r="KHG19" s="310" t="s">
        <v>202</v>
      </c>
      <c r="KHH19" s="310" t="s">
        <v>202</v>
      </c>
      <c r="KHI19" s="310" t="s">
        <v>202</v>
      </c>
      <c r="KHJ19" s="310" t="s">
        <v>202</v>
      </c>
      <c r="KHK19" s="310" t="s">
        <v>202</v>
      </c>
      <c r="KHL19" s="310" t="s">
        <v>202</v>
      </c>
      <c r="KHM19" s="310" t="s">
        <v>202</v>
      </c>
      <c r="KHN19" s="310" t="s">
        <v>202</v>
      </c>
      <c r="KHO19" s="310" t="s">
        <v>202</v>
      </c>
      <c r="KHP19" s="310" t="s">
        <v>202</v>
      </c>
      <c r="KHQ19" s="310" t="s">
        <v>202</v>
      </c>
      <c r="KHR19" s="310" t="s">
        <v>202</v>
      </c>
      <c r="KHS19" s="310" t="s">
        <v>202</v>
      </c>
      <c r="KHT19" s="310" t="s">
        <v>202</v>
      </c>
      <c r="KHU19" s="310" t="s">
        <v>202</v>
      </c>
      <c r="KHV19" s="310" t="s">
        <v>202</v>
      </c>
      <c r="KHW19" s="310" t="s">
        <v>202</v>
      </c>
      <c r="KHX19" s="310" t="s">
        <v>202</v>
      </c>
      <c r="KHY19" s="310" t="s">
        <v>202</v>
      </c>
      <c r="KHZ19" s="310" t="s">
        <v>202</v>
      </c>
      <c r="KIA19" s="310" t="s">
        <v>202</v>
      </c>
      <c r="KIB19" s="310" t="s">
        <v>202</v>
      </c>
      <c r="KIC19" s="310" t="s">
        <v>202</v>
      </c>
      <c r="KID19" s="310" t="s">
        <v>202</v>
      </c>
      <c r="KIE19" s="310" t="s">
        <v>202</v>
      </c>
      <c r="KIF19" s="310" t="s">
        <v>202</v>
      </c>
      <c r="KIG19" s="310" t="s">
        <v>202</v>
      </c>
      <c r="KIH19" s="310" t="s">
        <v>202</v>
      </c>
      <c r="KII19" s="310" t="s">
        <v>202</v>
      </c>
      <c r="KIJ19" s="310" t="s">
        <v>202</v>
      </c>
      <c r="KIK19" s="310" t="s">
        <v>202</v>
      </c>
      <c r="KIL19" s="310" t="s">
        <v>202</v>
      </c>
      <c r="KIM19" s="310" t="s">
        <v>202</v>
      </c>
      <c r="KIN19" s="310" t="s">
        <v>202</v>
      </c>
      <c r="KIO19" s="310" t="s">
        <v>202</v>
      </c>
      <c r="KIP19" s="310" t="s">
        <v>202</v>
      </c>
      <c r="KIQ19" s="310" t="s">
        <v>202</v>
      </c>
      <c r="KIR19" s="310" t="s">
        <v>202</v>
      </c>
      <c r="KIS19" s="310" t="s">
        <v>202</v>
      </c>
      <c r="KIT19" s="310" t="s">
        <v>202</v>
      </c>
      <c r="KIU19" s="310" t="s">
        <v>202</v>
      </c>
      <c r="KIV19" s="310" t="s">
        <v>202</v>
      </c>
      <c r="KIW19" s="310" t="s">
        <v>202</v>
      </c>
      <c r="KIX19" s="310" t="s">
        <v>202</v>
      </c>
      <c r="KIY19" s="310" t="s">
        <v>202</v>
      </c>
      <c r="KIZ19" s="310" t="s">
        <v>202</v>
      </c>
      <c r="KJA19" s="310" t="s">
        <v>202</v>
      </c>
      <c r="KJB19" s="310" t="s">
        <v>202</v>
      </c>
      <c r="KJC19" s="310" t="s">
        <v>202</v>
      </c>
      <c r="KJD19" s="310" t="s">
        <v>202</v>
      </c>
      <c r="KJE19" s="310" t="s">
        <v>202</v>
      </c>
      <c r="KJF19" s="310" t="s">
        <v>202</v>
      </c>
      <c r="KJG19" s="310" t="s">
        <v>202</v>
      </c>
      <c r="KJH19" s="310" t="s">
        <v>202</v>
      </c>
      <c r="KJI19" s="310" t="s">
        <v>202</v>
      </c>
      <c r="KJJ19" s="310" t="s">
        <v>202</v>
      </c>
      <c r="KJK19" s="310" t="s">
        <v>202</v>
      </c>
      <c r="KJL19" s="310" t="s">
        <v>202</v>
      </c>
      <c r="KJM19" s="310" t="s">
        <v>202</v>
      </c>
      <c r="KJN19" s="310" t="s">
        <v>202</v>
      </c>
      <c r="KJO19" s="310" t="s">
        <v>202</v>
      </c>
      <c r="KJP19" s="310" t="s">
        <v>202</v>
      </c>
      <c r="KJQ19" s="310" t="s">
        <v>202</v>
      </c>
      <c r="KJR19" s="310" t="s">
        <v>202</v>
      </c>
      <c r="KJS19" s="310" t="s">
        <v>202</v>
      </c>
      <c r="KJT19" s="310" t="s">
        <v>202</v>
      </c>
      <c r="KJU19" s="310" t="s">
        <v>202</v>
      </c>
      <c r="KJV19" s="310" t="s">
        <v>202</v>
      </c>
      <c r="KJW19" s="310" t="s">
        <v>202</v>
      </c>
      <c r="KJX19" s="310" t="s">
        <v>202</v>
      </c>
      <c r="KJY19" s="310" t="s">
        <v>202</v>
      </c>
      <c r="KJZ19" s="310" t="s">
        <v>202</v>
      </c>
      <c r="KKA19" s="310" t="s">
        <v>202</v>
      </c>
      <c r="KKB19" s="310" t="s">
        <v>202</v>
      </c>
      <c r="KKC19" s="310" t="s">
        <v>202</v>
      </c>
      <c r="KKD19" s="310" t="s">
        <v>202</v>
      </c>
      <c r="KKE19" s="310" t="s">
        <v>202</v>
      </c>
      <c r="KKF19" s="310" t="s">
        <v>202</v>
      </c>
      <c r="KKG19" s="310" t="s">
        <v>202</v>
      </c>
      <c r="KKH19" s="310" t="s">
        <v>202</v>
      </c>
      <c r="KKI19" s="310" t="s">
        <v>202</v>
      </c>
      <c r="KKJ19" s="310" t="s">
        <v>202</v>
      </c>
      <c r="KKK19" s="310" t="s">
        <v>202</v>
      </c>
      <c r="KKL19" s="310" t="s">
        <v>202</v>
      </c>
      <c r="KKM19" s="310" t="s">
        <v>202</v>
      </c>
      <c r="KKN19" s="310" t="s">
        <v>202</v>
      </c>
      <c r="KKO19" s="310" t="s">
        <v>202</v>
      </c>
      <c r="KKP19" s="310" t="s">
        <v>202</v>
      </c>
      <c r="KKQ19" s="310" t="s">
        <v>202</v>
      </c>
      <c r="KKR19" s="310" t="s">
        <v>202</v>
      </c>
      <c r="KKS19" s="310" t="s">
        <v>202</v>
      </c>
      <c r="KKT19" s="310" t="s">
        <v>202</v>
      </c>
      <c r="KKU19" s="310" t="s">
        <v>202</v>
      </c>
      <c r="KKV19" s="310" t="s">
        <v>202</v>
      </c>
      <c r="KKW19" s="310" t="s">
        <v>202</v>
      </c>
      <c r="KKX19" s="310" t="s">
        <v>202</v>
      </c>
      <c r="KKY19" s="310" t="s">
        <v>202</v>
      </c>
      <c r="KKZ19" s="310" t="s">
        <v>202</v>
      </c>
      <c r="KLA19" s="310" t="s">
        <v>202</v>
      </c>
      <c r="KLB19" s="310" t="s">
        <v>202</v>
      </c>
      <c r="KLC19" s="310" t="s">
        <v>202</v>
      </c>
      <c r="KLD19" s="310" t="s">
        <v>202</v>
      </c>
      <c r="KLE19" s="310" t="s">
        <v>202</v>
      </c>
      <c r="KLF19" s="310" t="s">
        <v>202</v>
      </c>
      <c r="KLG19" s="310" t="s">
        <v>202</v>
      </c>
      <c r="KLH19" s="310" t="s">
        <v>202</v>
      </c>
      <c r="KLI19" s="310" t="s">
        <v>202</v>
      </c>
      <c r="KLJ19" s="310" t="s">
        <v>202</v>
      </c>
      <c r="KLK19" s="310" t="s">
        <v>202</v>
      </c>
      <c r="KLL19" s="310" t="s">
        <v>202</v>
      </c>
      <c r="KLM19" s="310" t="s">
        <v>202</v>
      </c>
      <c r="KLN19" s="310" t="s">
        <v>202</v>
      </c>
      <c r="KLO19" s="310" t="s">
        <v>202</v>
      </c>
      <c r="KLP19" s="310" t="s">
        <v>202</v>
      </c>
      <c r="KLQ19" s="310" t="s">
        <v>202</v>
      </c>
      <c r="KLR19" s="310" t="s">
        <v>202</v>
      </c>
      <c r="KLS19" s="310" t="s">
        <v>202</v>
      </c>
      <c r="KLT19" s="310" t="s">
        <v>202</v>
      </c>
      <c r="KLU19" s="310" t="s">
        <v>202</v>
      </c>
      <c r="KLV19" s="310" t="s">
        <v>202</v>
      </c>
      <c r="KLW19" s="310" t="s">
        <v>202</v>
      </c>
      <c r="KLX19" s="310" t="s">
        <v>202</v>
      </c>
      <c r="KLY19" s="310" t="s">
        <v>202</v>
      </c>
      <c r="KLZ19" s="310" t="s">
        <v>202</v>
      </c>
      <c r="KMA19" s="310" t="s">
        <v>202</v>
      </c>
      <c r="KMB19" s="310" t="s">
        <v>202</v>
      </c>
      <c r="KMC19" s="310" t="s">
        <v>202</v>
      </c>
      <c r="KMD19" s="310" t="s">
        <v>202</v>
      </c>
      <c r="KME19" s="310" t="s">
        <v>202</v>
      </c>
      <c r="KMF19" s="310" t="s">
        <v>202</v>
      </c>
      <c r="KMG19" s="310" t="s">
        <v>202</v>
      </c>
      <c r="KMH19" s="310" t="s">
        <v>202</v>
      </c>
      <c r="KMI19" s="310" t="s">
        <v>202</v>
      </c>
      <c r="KMJ19" s="310" t="s">
        <v>202</v>
      </c>
      <c r="KMK19" s="310" t="s">
        <v>202</v>
      </c>
      <c r="KML19" s="310" t="s">
        <v>202</v>
      </c>
      <c r="KMM19" s="310" t="s">
        <v>202</v>
      </c>
      <c r="KMN19" s="310" t="s">
        <v>202</v>
      </c>
      <c r="KMO19" s="310" t="s">
        <v>202</v>
      </c>
      <c r="KMP19" s="310" t="s">
        <v>202</v>
      </c>
      <c r="KMQ19" s="310" t="s">
        <v>202</v>
      </c>
      <c r="KMR19" s="310" t="s">
        <v>202</v>
      </c>
      <c r="KMS19" s="310" t="s">
        <v>202</v>
      </c>
      <c r="KMT19" s="310" t="s">
        <v>202</v>
      </c>
      <c r="KMU19" s="310" t="s">
        <v>202</v>
      </c>
      <c r="KMV19" s="310" t="s">
        <v>202</v>
      </c>
      <c r="KMW19" s="310" t="s">
        <v>202</v>
      </c>
      <c r="KMX19" s="310" t="s">
        <v>202</v>
      </c>
      <c r="KMY19" s="310" t="s">
        <v>202</v>
      </c>
      <c r="KMZ19" s="310" t="s">
        <v>202</v>
      </c>
      <c r="KNA19" s="310" t="s">
        <v>202</v>
      </c>
      <c r="KNB19" s="310" t="s">
        <v>202</v>
      </c>
      <c r="KNC19" s="310" t="s">
        <v>202</v>
      </c>
      <c r="KND19" s="310" t="s">
        <v>202</v>
      </c>
      <c r="KNE19" s="310" t="s">
        <v>202</v>
      </c>
      <c r="KNF19" s="310" t="s">
        <v>202</v>
      </c>
      <c r="KNG19" s="310" t="s">
        <v>202</v>
      </c>
      <c r="KNH19" s="310" t="s">
        <v>202</v>
      </c>
      <c r="KNI19" s="310" t="s">
        <v>202</v>
      </c>
      <c r="KNJ19" s="310" t="s">
        <v>202</v>
      </c>
      <c r="KNK19" s="310" t="s">
        <v>202</v>
      </c>
      <c r="KNL19" s="310" t="s">
        <v>202</v>
      </c>
      <c r="KNM19" s="310" t="s">
        <v>202</v>
      </c>
      <c r="KNN19" s="310" t="s">
        <v>202</v>
      </c>
      <c r="KNO19" s="310" t="s">
        <v>202</v>
      </c>
      <c r="KNP19" s="310" t="s">
        <v>202</v>
      </c>
      <c r="KNQ19" s="310" t="s">
        <v>202</v>
      </c>
      <c r="KNR19" s="310" t="s">
        <v>202</v>
      </c>
      <c r="KNS19" s="310" t="s">
        <v>202</v>
      </c>
      <c r="KNT19" s="310" t="s">
        <v>202</v>
      </c>
      <c r="KNU19" s="310" t="s">
        <v>202</v>
      </c>
      <c r="KNV19" s="310" t="s">
        <v>202</v>
      </c>
      <c r="KNW19" s="310" t="s">
        <v>202</v>
      </c>
      <c r="KNX19" s="310" t="s">
        <v>202</v>
      </c>
      <c r="KNY19" s="310" t="s">
        <v>202</v>
      </c>
      <c r="KNZ19" s="310" t="s">
        <v>202</v>
      </c>
      <c r="KOA19" s="310" t="s">
        <v>202</v>
      </c>
      <c r="KOB19" s="310" t="s">
        <v>202</v>
      </c>
      <c r="KOC19" s="310" t="s">
        <v>202</v>
      </c>
      <c r="KOD19" s="310" t="s">
        <v>202</v>
      </c>
      <c r="KOE19" s="310" t="s">
        <v>202</v>
      </c>
      <c r="KOF19" s="310" t="s">
        <v>202</v>
      </c>
      <c r="KOG19" s="310" t="s">
        <v>202</v>
      </c>
      <c r="KOH19" s="310" t="s">
        <v>202</v>
      </c>
      <c r="KOI19" s="310" t="s">
        <v>202</v>
      </c>
      <c r="KOJ19" s="310" t="s">
        <v>202</v>
      </c>
      <c r="KOK19" s="310" t="s">
        <v>202</v>
      </c>
      <c r="KOL19" s="310" t="s">
        <v>202</v>
      </c>
      <c r="KOM19" s="310" t="s">
        <v>202</v>
      </c>
      <c r="KON19" s="310" t="s">
        <v>202</v>
      </c>
      <c r="KOO19" s="310" t="s">
        <v>202</v>
      </c>
      <c r="KOP19" s="310" t="s">
        <v>202</v>
      </c>
      <c r="KOQ19" s="310" t="s">
        <v>202</v>
      </c>
      <c r="KOR19" s="310" t="s">
        <v>202</v>
      </c>
      <c r="KOS19" s="310" t="s">
        <v>202</v>
      </c>
      <c r="KOT19" s="310" t="s">
        <v>202</v>
      </c>
      <c r="KOU19" s="310" t="s">
        <v>202</v>
      </c>
      <c r="KOV19" s="310" t="s">
        <v>202</v>
      </c>
      <c r="KOW19" s="310" t="s">
        <v>202</v>
      </c>
      <c r="KOX19" s="310" t="s">
        <v>202</v>
      </c>
      <c r="KOY19" s="310" t="s">
        <v>202</v>
      </c>
      <c r="KOZ19" s="310" t="s">
        <v>202</v>
      </c>
      <c r="KPA19" s="310" t="s">
        <v>202</v>
      </c>
      <c r="KPB19" s="310" t="s">
        <v>202</v>
      </c>
      <c r="KPC19" s="310" t="s">
        <v>202</v>
      </c>
      <c r="KPD19" s="310" t="s">
        <v>202</v>
      </c>
      <c r="KPE19" s="310" t="s">
        <v>202</v>
      </c>
      <c r="KPF19" s="310" t="s">
        <v>202</v>
      </c>
      <c r="KPG19" s="310" t="s">
        <v>202</v>
      </c>
      <c r="KPH19" s="310" t="s">
        <v>202</v>
      </c>
      <c r="KPI19" s="310" t="s">
        <v>202</v>
      </c>
      <c r="KPJ19" s="310" t="s">
        <v>202</v>
      </c>
      <c r="KPK19" s="310" t="s">
        <v>202</v>
      </c>
      <c r="KPL19" s="310" t="s">
        <v>202</v>
      </c>
      <c r="KPM19" s="310" t="s">
        <v>202</v>
      </c>
      <c r="KPN19" s="310" t="s">
        <v>202</v>
      </c>
      <c r="KPO19" s="310" t="s">
        <v>202</v>
      </c>
      <c r="KPP19" s="310" t="s">
        <v>202</v>
      </c>
      <c r="KPQ19" s="310" t="s">
        <v>202</v>
      </c>
      <c r="KPR19" s="310" t="s">
        <v>202</v>
      </c>
      <c r="KPS19" s="310" t="s">
        <v>202</v>
      </c>
      <c r="KPT19" s="310" t="s">
        <v>202</v>
      </c>
      <c r="KPU19" s="310" t="s">
        <v>202</v>
      </c>
      <c r="KPV19" s="310" t="s">
        <v>202</v>
      </c>
      <c r="KPW19" s="310" t="s">
        <v>202</v>
      </c>
      <c r="KPX19" s="310" t="s">
        <v>202</v>
      </c>
      <c r="KPY19" s="310" t="s">
        <v>202</v>
      </c>
      <c r="KPZ19" s="310" t="s">
        <v>202</v>
      </c>
      <c r="KQA19" s="310" t="s">
        <v>202</v>
      </c>
      <c r="KQB19" s="310" t="s">
        <v>202</v>
      </c>
      <c r="KQC19" s="310" t="s">
        <v>202</v>
      </c>
      <c r="KQD19" s="310" t="s">
        <v>202</v>
      </c>
      <c r="KQE19" s="310" t="s">
        <v>202</v>
      </c>
      <c r="KQF19" s="310" t="s">
        <v>202</v>
      </c>
      <c r="KQG19" s="310" t="s">
        <v>202</v>
      </c>
      <c r="KQH19" s="310" t="s">
        <v>202</v>
      </c>
      <c r="KQI19" s="310" t="s">
        <v>202</v>
      </c>
      <c r="KQJ19" s="310" t="s">
        <v>202</v>
      </c>
      <c r="KQK19" s="310" t="s">
        <v>202</v>
      </c>
      <c r="KQL19" s="310" t="s">
        <v>202</v>
      </c>
      <c r="KQM19" s="310" t="s">
        <v>202</v>
      </c>
      <c r="KQN19" s="310" t="s">
        <v>202</v>
      </c>
      <c r="KQO19" s="310" t="s">
        <v>202</v>
      </c>
      <c r="KQP19" s="310" t="s">
        <v>202</v>
      </c>
      <c r="KQQ19" s="310" t="s">
        <v>202</v>
      </c>
      <c r="KQR19" s="310" t="s">
        <v>202</v>
      </c>
      <c r="KQS19" s="310" t="s">
        <v>202</v>
      </c>
      <c r="KQT19" s="310" t="s">
        <v>202</v>
      </c>
      <c r="KQU19" s="310" t="s">
        <v>202</v>
      </c>
      <c r="KQV19" s="310" t="s">
        <v>202</v>
      </c>
      <c r="KQW19" s="310" t="s">
        <v>202</v>
      </c>
      <c r="KQX19" s="310" t="s">
        <v>202</v>
      </c>
      <c r="KQY19" s="310" t="s">
        <v>202</v>
      </c>
      <c r="KQZ19" s="310" t="s">
        <v>202</v>
      </c>
      <c r="KRA19" s="310" t="s">
        <v>202</v>
      </c>
      <c r="KRB19" s="310" t="s">
        <v>202</v>
      </c>
      <c r="KRC19" s="310" t="s">
        <v>202</v>
      </c>
      <c r="KRD19" s="310" t="s">
        <v>202</v>
      </c>
      <c r="KRE19" s="310" t="s">
        <v>202</v>
      </c>
      <c r="KRF19" s="310" t="s">
        <v>202</v>
      </c>
      <c r="KRG19" s="310" t="s">
        <v>202</v>
      </c>
      <c r="KRH19" s="310" t="s">
        <v>202</v>
      </c>
      <c r="KRI19" s="310" t="s">
        <v>202</v>
      </c>
      <c r="KRJ19" s="310" t="s">
        <v>202</v>
      </c>
      <c r="KRK19" s="310" t="s">
        <v>202</v>
      </c>
      <c r="KRL19" s="310" t="s">
        <v>202</v>
      </c>
      <c r="KRM19" s="310" t="s">
        <v>202</v>
      </c>
      <c r="KRN19" s="310" t="s">
        <v>202</v>
      </c>
      <c r="KRO19" s="310" t="s">
        <v>202</v>
      </c>
      <c r="KRP19" s="310" t="s">
        <v>202</v>
      </c>
      <c r="KRQ19" s="310" t="s">
        <v>202</v>
      </c>
      <c r="KRR19" s="310" t="s">
        <v>202</v>
      </c>
      <c r="KRS19" s="310" t="s">
        <v>202</v>
      </c>
      <c r="KRT19" s="310" t="s">
        <v>202</v>
      </c>
      <c r="KRU19" s="310" t="s">
        <v>202</v>
      </c>
      <c r="KRV19" s="310" t="s">
        <v>202</v>
      </c>
      <c r="KRW19" s="310" t="s">
        <v>202</v>
      </c>
      <c r="KRX19" s="310" t="s">
        <v>202</v>
      </c>
      <c r="KRY19" s="310" t="s">
        <v>202</v>
      </c>
      <c r="KRZ19" s="310" t="s">
        <v>202</v>
      </c>
      <c r="KSA19" s="310" t="s">
        <v>202</v>
      </c>
      <c r="KSB19" s="310" t="s">
        <v>202</v>
      </c>
      <c r="KSC19" s="310" t="s">
        <v>202</v>
      </c>
      <c r="KSD19" s="310" t="s">
        <v>202</v>
      </c>
      <c r="KSE19" s="310" t="s">
        <v>202</v>
      </c>
      <c r="KSF19" s="310" t="s">
        <v>202</v>
      </c>
      <c r="KSG19" s="310" t="s">
        <v>202</v>
      </c>
      <c r="KSH19" s="310" t="s">
        <v>202</v>
      </c>
      <c r="KSI19" s="310" t="s">
        <v>202</v>
      </c>
      <c r="KSJ19" s="310" t="s">
        <v>202</v>
      </c>
      <c r="KSK19" s="310" t="s">
        <v>202</v>
      </c>
      <c r="KSL19" s="310" t="s">
        <v>202</v>
      </c>
      <c r="KSM19" s="310" t="s">
        <v>202</v>
      </c>
      <c r="KSN19" s="310" t="s">
        <v>202</v>
      </c>
      <c r="KSO19" s="310" t="s">
        <v>202</v>
      </c>
      <c r="KSP19" s="310" t="s">
        <v>202</v>
      </c>
      <c r="KSQ19" s="310" t="s">
        <v>202</v>
      </c>
      <c r="KSR19" s="310" t="s">
        <v>202</v>
      </c>
      <c r="KSS19" s="310" t="s">
        <v>202</v>
      </c>
      <c r="KST19" s="310" t="s">
        <v>202</v>
      </c>
      <c r="KSU19" s="310" t="s">
        <v>202</v>
      </c>
      <c r="KSV19" s="310" t="s">
        <v>202</v>
      </c>
      <c r="KSW19" s="310" t="s">
        <v>202</v>
      </c>
      <c r="KSX19" s="310" t="s">
        <v>202</v>
      </c>
      <c r="KSY19" s="310" t="s">
        <v>202</v>
      </c>
      <c r="KSZ19" s="310" t="s">
        <v>202</v>
      </c>
      <c r="KTA19" s="310" t="s">
        <v>202</v>
      </c>
      <c r="KTB19" s="310" t="s">
        <v>202</v>
      </c>
      <c r="KTC19" s="310" t="s">
        <v>202</v>
      </c>
      <c r="KTD19" s="310" t="s">
        <v>202</v>
      </c>
      <c r="KTE19" s="310" t="s">
        <v>202</v>
      </c>
      <c r="KTF19" s="310" t="s">
        <v>202</v>
      </c>
      <c r="KTG19" s="310" t="s">
        <v>202</v>
      </c>
      <c r="KTH19" s="310" t="s">
        <v>202</v>
      </c>
      <c r="KTI19" s="310" t="s">
        <v>202</v>
      </c>
      <c r="KTJ19" s="310" t="s">
        <v>202</v>
      </c>
      <c r="KTK19" s="310" t="s">
        <v>202</v>
      </c>
      <c r="KTL19" s="310" t="s">
        <v>202</v>
      </c>
      <c r="KTM19" s="310" t="s">
        <v>202</v>
      </c>
      <c r="KTN19" s="310" t="s">
        <v>202</v>
      </c>
      <c r="KTO19" s="310" t="s">
        <v>202</v>
      </c>
      <c r="KTP19" s="310" t="s">
        <v>202</v>
      </c>
      <c r="KTQ19" s="310" t="s">
        <v>202</v>
      </c>
      <c r="KTR19" s="310" t="s">
        <v>202</v>
      </c>
      <c r="KTS19" s="310" t="s">
        <v>202</v>
      </c>
      <c r="KTT19" s="310" t="s">
        <v>202</v>
      </c>
      <c r="KTU19" s="310" t="s">
        <v>202</v>
      </c>
      <c r="KTV19" s="310" t="s">
        <v>202</v>
      </c>
      <c r="KTW19" s="310" t="s">
        <v>202</v>
      </c>
      <c r="KTX19" s="310" t="s">
        <v>202</v>
      </c>
      <c r="KTY19" s="310" t="s">
        <v>202</v>
      </c>
      <c r="KTZ19" s="310" t="s">
        <v>202</v>
      </c>
      <c r="KUA19" s="310" t="s">
        <v>202</v>
      </c>
      <c r="KUB19" s="310" t="s">
        <v>202</v>
      </c>
      <c r="KUC19" s="310" t="s">
        <v>202</v>
      </c>
      <c r="KUD19" s="310" t="s">
        <v>202</v>
      </c>
      <c r="KUE19" s="310" t="s">
        <v>202</v>
      </c>
      <c r="KUF19" s="310" t="s">
        <v>202</v>
      </c>
      <c r="KUG19" s="310" t="s">
        <v>202</v>
      </c>
      <c r="KUH19" s="310" t="s">
        <v>202</v>
      </c>
      <c r="KUI19" s="310" t="s">
        <v>202</v>
      </c>
      <c r="KUJ19" s="310" t="s">
        <v>202</v>
      </c>
      <c r="KUK19" s="310" t="s">
        <v>202</v>
      </c>
      <c r="KUL19" s="310" t="s">
        <v>202</v>
      </c>
      <c r="KUM19" s="310" t="s">
        <v>202</v>
      </c>
      <c r="KUN19" s="310" t="s">
        <v>202</v>
      </c>
      <c r="KUO19" s="310" t="s">
        <v>202</v>
      </c>
      <c r="KUP19" s="310" t="s">
        <v>202</v>
      </c>
      <c r="KUQ19" s="310" t="s">
        <v>202</v>
      </c>
      <c r="KUR19" s="310" t="s">
        <v>202</v>
      </c>
      <c r="KUS19" s="310" t="s">
        <v>202</v>
      </c>
      <c r="KUT19" s="310" t="s">
        <v>202</v>
      </c>
      <c r="KUU19" s="310" t="s">
        <v>202</v>
      </c>
      <c r="KUV19" s="310" t="s">
        <v>202</v>
      </c>
      <c r="KUW19" s="310" t="s">
        <v>202</v>
      </c>
      <c r="KUX19" s="310" t="s">
        <v>202</v>
      </c>
      <c r="KUY19" s="310" t="s">
        <v>202</v>
      </c>
      <c r="KUZ19" s="310" t="s">
        <v>202</v>
      </c>
      <c r="KVA19" s="310" t="s">
        <v>202</v>
      </c>
      <c r="KVB19" s="310" t="s">
        <v>202</v>
      </c>
      <c r="KVC19" s="310" t="s">
        <v>202</v>
      </c>
      <c r="KVD19" s="310" t="s">
        <v>202</v>
      </c>
      <c r="KVE19" s="310" t="s">
        <v>202</v>
      </c>
      <c r="KVF19" s="310" t="s">
        <v>202</v>
      </c>
      <c r="KVG19" s="310" t="s">
        <v>202</v>
      </c>
      <c r="KVH19" s="310" t="s">
        <v>202</v>
      </c>
      <c r="KVI19" s="310" t="s">
        <v>202</v>
      </c>
      <c r="KVJ19" s="310" t="s">
        <v>202</v>
      </c>
      <c r="KVK19" s="310" t="s">
        <v>202</v>
      </c>
      <c r="KVL19" s="310" t="s">
        <v>202</v>
      </c>
      <c r="KVM19" s="310" t="s">
        <v>202</v>
      </c>
      <c r="KVN19" s="310" t="s">
        <v>202</v>
      </c>
      <c r="KVO19" s="310" t="s">
        <v>202</v>
      </c>
      <c r="KVP19" s="310" t="s">
        <v>202</v>
      </c>
      <c r="KVQ19" s="310" t="s">
        <v>202</v>
      </c>
      <c r="KVR19" s="310" t="s">
        <v>202</v>
      </c>
      <c r="KVS19" s="310" t="s">
        <v>202</v>
      </c>
      <c r="KVT19" s="310" t="s">
        <v>202</v>
      </c>
      <c r="KVU19" s="310" t="s">
        <v>202</v>
      </c>
      <c r="KVV19" s="310" t="s">
        <v>202</v>
      </c>
      <c r="KVW19" s="310" t="s">
        <v>202</v>
      </c>
      <c r="KVX19" s="310" t="s">
        <v>202</v>
      </c>
      <c r="KVY19" s="310" t="s">
        <v>202</v>
      </c>
      <c r="KVZ19" s="310" t="s">
        <v>202</v>
      </c>
      <c r="KWA19" s="310" t="s">
        <v>202</v>
      </c>
      <c r="KWB19" s="310" t="s">
        <v>202</v>
      </c>
      <c r="KWC19" s="310" t="s">
        <v>202</v>
      </c>
      <c r="KWD19" s="310" t="s">
        <v>202</v>
      </c>
      <c r="KWE19" s="310" t="s">
        <v>202</v>
      </c>
      <c r="KWF19" s="310" t="s">
        <v>202</v>
      </c>
      <c r="KWG19" s="310" t="s">
        <v>202</v>
      </c>
      <c r="KWH19" s="310" t="s">
        <v>202</v>
      </c>
      <c r="KWI19" s="310" t="s">
        <v>202</v>
      </c>
      <c r="KWJ19" s="310" t="s">
        <v>202</v>
      </c>
      <c r="KWK19" s="310" t="s">
        <v>202</v>
      </c>
      <c r="KWL19" s="310" t="s">
        <v>202</v>
      </c>
      <c r="KWM19" s="310" t="s">
        <v>202</v>
      </c>
      <c r="KWN19" s="310" t="s">
        <v>202</v>
      </c>
      <c r="KWO19" s="310" t="s">
        <v>202</v>
      </c>
      <c r="KWP19" s="310" t="s">
        <v>202</v>
      </c>
      <c r="KWQ19" s="310" t="s">
        <v>202</v>
      </c>
      <c r="KWR19" s="310" t="s">
        <v>202</v>
      </c>
      <c r="KWS19" s="310" t="s">
        <v>202</v>
      </c>
      <c r="KWT19" s="310" t="s">
        <v>202</v>
      </c>
      <c r="KWU19" s="310" t="s">
        <v>202</v>
      </c>
      <c r="KWV19" s="310" t="s">
        <v>202</v>
      </c>
      <c r="KWW19" s="310" t="s">
        <v>202</v>
      </c>
      <c r="KWX19" s="310" t="s">
        <v>202</v>
      </c>
      <c r="KWY19" s="310" t="s">
        <v>202</v>
      </c>
      <c r="KWZ19" s="310" t="s">
        <v>202</v>
      </c>
      <c r="KXA19" s="310" t="s">
        <v>202</v>
      </c>
      <c r="KXB19" s="310" t="s">
        <v>202</v>
      </c>
      <c r="KXC19" s="310" t="s">
        <v>202</v>
      </c>
      <c r="KXD19" s="310" t="s">
        <v>202</v>
      </c>
      <c r="KXE19" s="310" t="s">
        <v>202</v>
      </c>
      <c r="KXF19" s="310" t="s">
        <v>202</v>
      </c>
      <c r="KXG19" s="310" t="s">
        <v>202</v>
      </c>
      <c r="KXH19" s="310" t="s">
        <v>202</v>
      </c>
      <c r="KXI19" s="310" t="s">
        <v>202</v>
      </c>
      <c r="KXJ19" s="310" t="s">
        <v>202</v>
      </c>
      <c r="KXK19" s="310" t="s">
        <v>202</v>
      </c>
      <c r="KXL19" s="310" t="s">
        <v>202</v>
      </c>
      <c r="KXM19" s="310" t="s">
        <v>202</v>
      </c>
      <c r="KXN19" s="310" t="s">
        <v>202</v>
      </c>
      <c r="KXO19" s="310" t="s">
        <v>202</v>
      </c>
      <c r="KXP19" s="310" t="s">
        <v>202</v>
      </c>
      <c r="KXQ19" s="310" t="s">
        <v>202</v>
      </c>
      <c r="KXR19" s="310" t="s">
        <v>202</v>
      </c>
      <c r="KXS19" s="310" t="s">
        <v>202</v>
      </c>
      <c r="KXT19" s="310" t="s">
        <v>202</v>
      </c>
      <c r="KXU19" s="310" t="s">
        <v>202</v>
      </c>
      <c r="KXV19" s="310" t="s">
        <v>202</v>
      </c>
      <c r="KXW19" s="310" t="s">
        <v>202</v>
      </c>
      <c r="KXX19" s="310" t="s">
        <v>202</v>
      </c>
      <c r="KXY19" s="310" t="s">
        <v>202</v>
      </c>
      <c r="KXZ19" s="310" t="s">
        <v>202</v>
      </c>
      <c r="KYA19" s="310" t="s">
        <v>202</v>
      </c>
      <c r="KYB19" s="310" t="s">
        <v>202</v>
      </c>
      <c r="KYC19" s="310" t="s">
        <v>202</v>
      </c>
      <c r="KYD19" s="310" t="s">
        <v>202</v>
      </c>
      <c r="KYE19" s="310" t="s">
        <v>202</v>
      </c>
      <c r="KYF19" s="310" t="s">
        <v>202</v>
      </c>
      <c r="KYG19" s="310" t="s">
        <v>202</v>
      </c>
      <c r="KYH19" s="310" t="s">
        <v>202</v>
      </c>
      <c r="KYI19" s="310" t="s">
        <v>202</v>
      </c>
      <c r="KYJ19" s="310" t="s">
        <v>202</v>
      </c>
      <c r="KYK19" s="310" t="s">
        <v>202</v>
      </c>
      <c r="KYL19" s="310" t="s">
        <v>202</v>
      </c>
      <c r="KYM19" s="310" t="s">
        <v>202</v>
      </c>
      <c r="KYN19" s="310" t="s">
        <v>202</v>
      </c>
      <c r="KYO19" s="310" t="s">
        <v>202</v>
      </c>
      <c r="KYP19" s="310" t="s">
        <v>202</v>
      </c>
      <c r="KYQ19" s="310" t="s">
        <v>202</v>
      </c>
      <c r="KYR19" s="310" t="s">
        <v>202</v>
      </c>
      <c r="KYS19" s="310" t="s">
        <v>202</v>
      </c>
      <c r="KYT19" s="310" t="s">
        <v>202</v>
      </c>
      <c r="KYU19" s="310" t="s">
        <v>202</v>
      </c>
      <c r="KYV19" s="310" t="s">
        <v>202</v>
      </c>
      <c r="KYW19" s="310" t="s">
        <v>202</v>
      </c>
      <c r="KYX19" s="310" t="s">
        <v>202</v>
      </c>
      <c r="KYY19" s="310" t="s">
        <v>202</v>
      </c>
      <c r="KYZ19" s="310" t="s">
        <v>202</v>
      </c>
      <c r="KZA19" s="310" t="s">
        <v>202</v>
      </c>
      <c r="KZB19" s="310" t="s">
        <v>202</v>
      </c>
      <c r="KZC19" s="310" t="s">
        <v>202</v>
      </c>
      <c r="KZD19" s="310" t="s">
        <v>202</v>
      </c>
      <c r="KZE19" s="310" t="s">
        <v>202</v>
      </c>
      <c r="KZF19" s="310" t="s">
        <v>202</v>
      </c>
      <c r="KZG19" s="310" t="s">
        <v>202</v>
      </c>
      <c r="KZH19" s="310" t="s">
        <v>202</v>
      </c>
      <c r="KZI19" s="310" t="s">
        <v>202</v>
      </c>
      <c r="KZJ19" s="310" t="s">
        <v>202</v>
      </c>
      <c r="KZK19" s="310" t="s">
        <v>202</v>
      </c>
      <c r="KZL19" s="310" t="s">
        <v>202</v>
      </c>
      <c r="KZM19" s="310" t="s">
        <v>202</v>
      </c>
      <c r="KZN19" s="310" t="s">
        <v>202</v>
      </c>
      <c r="KZO19" s="310" t="s">
        <v>202</v>
      </c>
      <c r="KZP19" s="310" t="s">
        <v>202</v>
      </c>
      <c r="KZQ19" s="310" t="s">
        <v>202</v>
      </c>
      <c r="KZR19" s="310" t="s">
        <v>202</v>
      </c>
      <c r="KZS19" s="310" t="s">
        <v>202</v>
      </c>
      <c r="KZT19" s="310" t="s">
        <v>202</v>
      </c>
      <c r="KZU19" s="310" t="s">
        <v>202</v>
      </c>
      <c r="KZV19" s="310" t="s">
        <v>202</v>
      </c>
      <c r="KZW19" s="310" t="s">
        <v>202</v>
      </c>
      <c r="KZX19" s="310" t="s">
        <v>202</v>
      </c>
      <c r="KZY19" s="310" t="s">
        <v>202</v>
      </c>
      <c r="KZZ19" s="310" t="s">
        <v>202</v>
      </c>
      <c r="LAA19" s="310" t="s">
        <v>202</v>
      </c>
      <c r="LAB19" s="310" t="s">
        <v>202</v>
      </c>
      <c r="LAC19" s="310" t="s">
        <v>202</v>
      </c>
      <c r="LAD19" s="310" t="s">
        <v>202</v>
      </c>
      <c r="LAE19" s="310" t="s">
        <v>202</v>
      </c>
      <c r="LAF19" s="310" t="s">
        <v>202</v>
      </c>
      <c r="LAG19" s="310" t="s">
        <v>202</v>
      </c>
      <c r="LAH19" s="310" t="s">
        <v>202</v>
      </c>
      <c r="LAI19" s="310" t="s">
        <v>202</v>
      </c>
      <c r="LAJ19" s="310" t="s">
        <v>202</v>
      </c>
      <c r="LAK19" s="310" t="s">
        <v>202</v>
      </c>
      <c r="LAL19" s="310" t="s">
        <v>202</v>
      </c>
      <c r="LAM19" s="310" t="s">
        <v>202</v>
      </c>
      <c r="LAN19" s="310" t="s">
        <v>202</v>
      </c>
      <c r="LAO19" s="310" t="s">
        <v>202</v>
      </c>
      <c r="LAP19" s="310" t="s">
        <v>202</v>
      </c>
      <c r="LAQ19" s="310" t="s">
        <v>202</v>
      </c>
      <c r="LAR19" s="310" t="s">
        <v>202</v>
      </c>
      <c r="LAS19" s="310" t="s">
        <v>202</v>
      </c>
      <c r="LAT19" s="310" t="s">
        <v>202</v>
      </c>
      <c r="LAU19" s="310" t="s">
        <v>202</v>
      </c>
      <c r="LAV19" s="310" t="s">
        <v>202</v>
      </c>
      <c r="LAW19" s="310" t="s">
        <v>202</v>
      </c>
      <c r="LAX19" s="310" t="s">
        <v>202</v>
      </c>
      <c r="LAY19" s="310" t="s">
        <v>202</v>
      </c>
      <c r="LAZ19" s="310" t="s">
        <v>202</v>
      </c>
      <c r="LBA19" s="310" t="s">
        <v>202</v>
      </c>
      <c r="LBB19" s="310" t="s">
        <v>202</v>
      </c>
      <c r="LBC19" s="310" t="s">
        <v>202</v>
      </c>
      <c r="LBD19" s="310" t="s">
        <v>202</v>
      </c>
      <c r="LBE19" s="310" t="s">
        <v>202</v>
      </c>
      <c r="LBF19" s="310" t="s">
        <v>202</v>
      </c>
      <c r="LBG19" s="310" t="s">
        <v>202</v>
      </c>
      <c r="LBH19" s="310" t="s">
        <v>202</v>
      </c>
      <c r="LBI19" s="310" t="s">
        <v>202</v>
      </c>
      <c r="LBJ19" s="310" t="s">
        <v>202</v>
      </c>
      <c r="LBK19" s="310" t="s">
        <v>202</v>
      </c>
      <c r="LBL19" s="310" t="s">
        <v>202</v>
      </c>
      <c r="LBM19" s="310" t="s">
        <v>202</v>
      </c>
      <c r="LBN19" s="310" t="s">
        <v>202</v>
      </c>
      <c r="LBO19" s="310" t="s">
        <v>202</v>
      </c>
      <c r="LBP19" s="310" t="s">
        <v>202</v>
      </c>
      <c r="LBQ19" s="310" t="s">
        <v>202</v>
      </c>
      <c r="LBR19" s="310" t="s">
        <v>202</v>
      </c>
      <c r="LBS19" s="310" t="s">
        <v>202</v>
      </c>
      <c r="LBT19" s="310" t="s">
        <v>202</v>
      </c>
      <c r="LBU19" s="310" t="s">
        <v>202</v>
      </c>
      <c r="LBV19" s="310" t="s">
        <v>202</v>
      </c>
      <c r="LBW19" s="310" t="s">
        <v>202</v>
      </c>
      <c r="LBX19" s="310" t="s">
        <v>202</v>
      </c>
      <c r="LBY19" s="310" t="s">
        <v>202</v>
      </c>
      <c r="LBZ19" s="310" t="s">
        <v>202</v>
      </c>
      <c r="LCA19" s="310" t="s">
        <v>202</v>
      </c>
      <c r="LCB19" s="310" t="s">
        <v>202</v>
      </c>
      <c r="LCC19" s="310" t="s">
        <v>202</v>
      </c>
      <c r="LCD19" s="310" t="s">
        <v>202</v>
      </c>
      <c r="LCE19" s="310" t="s">
        <v>202</v>
      </c>
      <c r="LCF19" s="310" t="s">
        <v>202</v>
      </c>
      <c r="LCG19" s="310" t="s">
        <v>202</v>
      </c>
      <c r="LCH19" s="310" t="s">
        <v>202</v>
      </c>
      <c r="LCI19" s="310" t="s">
        <v>202</v>
      </c>
      <c r="LCJ19" s="310" t="s">
        <v>202</v>
      </c>
      <c r="LCK19" s="310" t="s">
        <v>202</v>
      </c>
      <c r="LCL19" s="310" t="s">
        <v>202</v>
      </c>
      <c r="LCM19" s="310" t="s">
        <v>202</v>
      </c>
      <c r="LCN19" s="310" t="s">
        <v>202</v>
      </c>
      <c r="LCO19" s="310" t="s">
        <v>202</v>
      </c>
      <c r="LCP19" s="310" t="s">
        <v>202</v>
      </c>
      <c r="LCQ19" s="310" t="s">
        <v>202</v>
      </c>
      <c r="LCR19" s="310" t="s">
        <v>202</v>
      </c>
      <c r="LCS19" s="310" t="s">
        <v>202</v>
      </c>
      <c r="LCT19" s="310" t="s">
        <v>202</v>
      </c>
      <c r="LCU19" s="310" t="s">
        <v>202</v>
      </c>
      <c r="LCV19" s="310" t="s">
        <v>202</v>
      </c>
      <c r="LCW19" s="310" t="s">
        <v>202</v>
      </c>
      <c r="LCX19" s="310" t="s">
        <v>202</v>
      </c>
      <c r="LCY19" s="310" t="s">
        <v>202</v>
      </c>
      <c r="LCZ19" s="310" t="s">
        <v>202</v>
      </c>
      <c r="LDA19" s="310" t="s">
        <v>202</v>
      </c>
      <c r="LDB19" s="310" t="s">
        <v>202</v>
      </c>
      <c r="LDC19" s="310" t="s">
        <v>202</v>
      </c>
      <c r="LDD19" s="310" t="s">
        <v>202</v>
      </c>
      <c r="LDE19" s="310" t="s">
        <v>202</v>
      </c>
      <c r="LDF19" s="310" t="s">
        <v>202</v>
      </c>
      <c r="LDG19" s="310" t="s">
        <v>202</v>
      </c>
      <c r="LDH19" s="310" t="s">
        <v>202</v>
      </c>
      <c r="LDI19" s="310" t="s">
        <v>202</v>
      </c>
      <c r="LDJ19" s="310" t="s">
        <v>202</v>
      </c>
      <c r="LDK19" s="310" t="s">
        <v>202</v>
      </c>
      <c r="LDL19" s="310" t="s">
        <v>202</v>
      </c>
      <c r="LDM19" s="310" t="s">
        <v>202</v>
      </c>
      <c r="LDN19" s="310" t="s">
        <v>202</v>
      </c>
      <c r="LDO19" s="310" t="s">
        <v>202</v>
      </c>
      <c r="LDP19" s="310" t="s">
        <v>202</v>
      </c>
      <c r="LDQ19" s="310" t="s">
        <v>202</v>
      </c>
      <c r="LDR19" s="310" t="s">
        <v>202</v>
      </c>
      <c r="LDS19" s="310" t="s">
        <v>202</v>
      </c>
      <c r="LDT19" s="310" t="s">
        <v>202</v>
      </c>
      <c r="LDU19" s="310" t="s">
        <v>202</v>
      </c>
      <c r="LDV19" s="310" t="s">
        <v>202</v>
      </c>
      <c r="LDW19" s="310" t="s">
        <v>202</v>
      </c>
      <c r="LDX19" s="310" t="s">
        <v>202</v>
      </c>
      <c r="LDY19" s="310" t="s">
        <v>202</v>
      </c>
      <c r="LDZ19" s="310" t="s">
        <v>202</v>
      </c>
      <c r="LEA19" s="310" t="s">
        <v>202</v>
      </c>
      <c r="LEB19" s="310" t="s">
        <v>202</v>
      </c>
      <c r="LEC19" s="310" t="s">
        <v>202</v>
      </c>
      <c r="LED19" s="310" t="s">
        <v>202</v>
      </c>
      <c r="LEE19" s="310" t="s">
        <v>202</v>
      </c>
      <c r="LEF19" s="310" t="s">
        <v>202</v>
      </c>
      <c r="LEG19" s="310" t="s">
        <v>202</v>
      </c>
      <c r="LEH19" s="310" t="s">
        <v>202</v>
      </c>
      <c r="LEI19" s="310" t="s">
        <v>202</v>
      </c>
      <c r="LEJ19" s="310" t="s">
        <v>202</v>
      </c>
      <c r="LEK19" s="310" t="s">
        <v>202</v>
      </c>
      <c r="LEL19" s="310" t="s">
        <v>202</v>
      </c>
      <c r="LEM19" s="310" t="s">
        <v>202</v>
      </c>
      <c r="LEN19" s="310" t="s">
        <v>202</v>
      </c>
      <c r="LEO19" s="310" t="s">
        <v>202</v>
      </c>
      <c r="LEP19" s="310" t="s">
        <v>202</v>
      </c>
      <c r="LEQ19" s="310" t="s">
        <v>202</v>
      </c>
      <c r="LER19" s="310" t="s">
        <v>202</v>
      </c>
      <c r="LES19" s="310" t="s">
        <v>202</v>
      </c>
      <c r="LET19" s="310" t="s">
        <v>202</v>
      </c>
      <c r="LEU19" s="310" t="s">
        <v>202</v>
      </c>
      <c r="LEV19" s="310" t="s">
        <v>202</v>
      </c>
      <c r="LEW19" s="310" t="s">
        <v>202</v>
      </c>
      <c r="LEX19" s="310" t="s">
        <v>202</v>
      </c>
      <c r="LEY19" s="310" t="s">
        <v>202</v>
      </c>
      <c r="LEZ19" s="310" t="s">
        <v>202</v>
      </c>
      <c r="LFA19" s="310" t="s">
        <v>202</v>
      </c>
      <c r="LFB19" s="310" t="s">
        <v>202</v>
      </c>
      <c r="LFC19" s="310" t="s">
        <v>202</v>
      </c>
      <c r="LFD19" s="310" t="s">
        <v>202</v>
      </c>
      <c r="LFE19" s="310" t="s">
        <v>202</v>
      </c>
      <c r="LFF19" s="310" t="s">
        <v>202</v>
      </c>
      <c r="LFG19" s="310" t="s">
        <v>202</v>
      </c>
      <c r="LFH19" s="310" t="s">
        <v>202</v>
      </c>
      <c r="LFI19" s="310" t="s">
        <v>202</v>
      </c>
      <c r="LFJ19" s="310" t="s">
        <v>202</v>
      </c>
      <c r="LFK19" s="310" t="s">
        <v>202</v>
      </c>
      <c r="LFL19" s="310" t="s">
        <v>202</v>
      </c>
      <c r="LFM19" s="310" t="s">
        <v>202</v>
      </c>
      <c r="LFN19" s="310" t="s">
        <v>202</v>
      </c>
      <c r="LFO19" s="310" t="s">
        <v>202</v>
      </c>
      <c r="LFP19" s="310" t="s">
        <v>202</v>
      </c>
      <c r="LFQ19" s="310" t="s">
        <v>202</v>
      </c>
      <c r="LFR19" s="310" t="s">
        <v>202</v>
      </c>
      <c r="LFS19" s="310" t="s">
        <v>202</v>
      </c>
      <c r="LFT19" s="310" t="s">
        <v>202</v>
      </c>
      <c r="LFU19" s="310" t="s">
        <v>202</v>
      </c>
      <c r="LFV19" s="310" t="s">
        <v>202</v>
      </c>
      <c r="LFW19" s="310" t="s">
        <v>202</v>
      </c>
      <c r="LFX19" s="310" t="s">
        <v>202</v>
      </c>
      <c r="LFY19" s="310" t="s">
        <v>202</v>
      </c>
      <c r="LFZ19" s="310" t="s">
        <v>202</v>
      </c>
      <c r="LGA19" s="310" t="s">
        <v>202</v>
      </c>
      <c r="LGB19" s="310" t="s">
        <v>202</v>
      </c>
      <c r="LGC19" s="310" t="s">
        <v>202</v>
      </c>
      <c r="LGD19" s="310" t="s">
        <v>202</v>
      </c>
      <c r="LGE19" s="310" t="s">
        <v>202</v>
      </c>
      <c r="LGF19" s="310" t="s">
        <v>202</v>
      </c>
      <c r="LGG19" s="310" t="s">
        <v>202</v>
      </c>
      <c r="LGH19" s="310" t="s">
        <v>202</v>
      </c>
      <c r="LGI19" s="310" t="s">
        <v>202</v>
      </c>
      <c r="LGJ19" s="310" t="s">
        <v>202</v>
      </c>
      <c r="LGK19" s="310" t="s">
        <v>202</v>
      </c>
      <c r="LGL19" s="310" t="s">
        <v>202</v>
      </c>
      <c r="LGM19" s="310" t="s">
        <v>202</v>
      </c>
      <c r="LGN19" s="310" t="s">
        <v>202</v>
      </c>
      <c r="LGO19" s="310" t="s">
        <v>202</v>
      </c>
      <c r="LGP19" s="310" t="s">
        <v>202</v>
      </c>
      <c r="LGQ19" s="310" t="s">
        <v>202</v>
      </c>
      <c r="LGR19" s="310" t="s">
        <v>202</v>
      </c>
      <c r="LGS19" s="310" t="s">
        <v>202</v>
      </c>
      <c r="LGT19" s="310" t="s">
        <v>202</v>
      </c>
      <c r="LGU19" s="310" t="s">
        <v>202</v>
      </c>
      <c r="LGV19" s="310" t="s">
        <v>202</v>
      </c>
      <c r="LGW19" s="310" t="s">
        <v>202</v>
      </c>
      <c r="LGX19" s="310" t="s">
        <v>202</v>
      </c>
      <c r="LGY19" s="310" t="s">
        <v>202</v>
      </c>
      <c r="LGZ19" s="310" t="s">
        <v>202</v>
      </c>
      <c r="LHA19" s="310" t="s">
        <v>202</v>
      </c>
      <c r="LHB19" s="310" t="s">
        <v>202</v>
      </c>
      <c r="LHC19" s="310" t="s">
        <v>202</v>
      </c>
      <c r="LHD19" s="310" t="s">
        <v>202</v>
      </c>
      <c r="LHE19" s="310" t="s">
        <v>202</v>
      </c>
      <c r="LHF19" s="310" t="s">
        <v>202</v>
      </c>
      <c r="LHG19" s="310" t="s">
        <v>202</v>
      </c>
      <c r="LHH19" s="310" t="s">
        <v>202</v>
      </c>
      <c r="LHI19" s="310" t="s">
        <v>202</v>
      </c>
      <c r="LHJ19" s="310" t="s">
        <v>202</v>
      </c>
      <c r="LHK19" s="310" t="s">
        <v>202</v>
      </c>
      <c r="LHL19" s="310" t="s">
        <v>202</v>
      </c>
      <c r="LHM19" s="310" t="s">
        <v>202</v>
      </c>
      <c r="LHN19" s="310" t="s">
        <v>202</v>
      </c>
      <c r="LHO19" s="310" t="s">
        <v>202</v>
      </c>
      <c r="LHP19" s="310" t="s">
        <v>202</v>
      </c>
      <c r="LHQ19" s="310" t="s">
        <v>202</v>
      </c>
      <c r="LHR19" s="310" t="s">
        <v>202</v>
      </c>
      <c r="LHS19" s="310" t="s">
        <v>202</v>
      </c>
      <c r="LHT19" s="310" t="s">
        <v>202</v>
      </c>
      <c r="LHU19" s="310" t="s">
        <v>202</v>
      </c>
      <c r="LHV19" s="310" t="s">
        <v>202</v>
      </c>
      <c r="LHW19" s="310" t="s">
        <v>202</v>
      </c>
      <c r="LHX19" s="310" t="s">
        <v>202</v>
      </c>
      <c r="LHY19" s="310" t="s">
        <v>202</v>
      </c>
      <c r="LHZ19" s="310" t="s">
        <v>202</v>
      </c>
      <c r="LIA19" s="310" t="s">
        <v>202</v>
      </c>
      <c r="LIB19" s="310" t="s">
        <v>202</v>
      </c>
      <c r="LIC19" s="310" t="s">
        <v>202</v>
      </c>
      <c r="LID19" s="310" t="s">
        <v>202</v>
      </c>
      <c r="LIE19" s="310" t="s">
        <v>202</v>
      </c>
      <c r="LIF19" s="310" t="s">
        <v>202</v>
      </c>
      <c r="LIG19" s="310" t="s">
        <v>202</v>
      </c>
      <c r="LIH19" s="310" t="s">
        <v>202</v>
      </c>
      <c r="LII19" s="310" t="s">
        <v>202</v>
      </c>
      <c r="LIJ19" s="310" t="s">
        <v>202</v>
      </c>
      <c r="LIK19" s="310" t="s">
        <v>202</v>
      </c>
      <c r="LIL19" s="310" t="s">
        <v>202</v>
      </c>
      <c r="LIM19" s="310" t="s">
        <v>202</v>
      </c>
      <c r="LIN19" s="310" t="s">
        <v>202</v>
      </c>
      <c r="LIO19" s="310" t="s">
        <v>202</v>
      </c>
      <c r="LIP19" s="310" t="s">
        <v>202</v>
      </c>
      <c r="LIQ19" s="310" t="s">
        <v>202</v>
      </c>
      <c r="LIR19" s="310" t="s">
        <v>202</v>
      </c>
      <c r="LIS19" s="310" t="s">
        <v>202</v>
      </c>
      <c r="LIT19" s="310" t="s">
        <v>202</v>
      </c>
      <c r="LIU19" s="310" t="s">
        <v>202</v>
      </c>
      <c r="LIV19" s="310" t="s">
        <v>202</v>
      </c>
      <c r="LIW19" s="310" t="s">
        <v>202</v>
      </c>
      <c r="LIX19" s="310" t="s">
        <v>202</v>
      </c>
      <c r="LIY19" s="310" t="s">
        <v>202</v>
      </c>
      <c r="LIZ19" s="310" t="s">
        <v>202</v>
      </c>
      <c r="LJA19" s="310" t="s">
        <v>202</v>
      </c>
      <c r="LJB19" s="310" t="s">
        <v>202</v>
      </c>
      <c r="LJC19" s="310" t="s">
        <v>202</v>
      </c>
      <c r="LJD19" s="310" t="s">
        <v>202</v>
      </c>
      <c r="LJE19" s="310" t="s">
        <v>202</v>
      </c>
      <c r="LJF19" s="310" t="s">
        <v>202</v>
      </c>
      <c r="LJG19" s="310" t="s">
        <v>202</v>
      </c>
      <c r="LJH19" s="310" t="s">
        <v>202</v>
      </c>
      <c r="LJI19" s="310" t="s">
        <v>202</v>
      </c>
      <c r="LJJ19" s="310" t="s">
        <v>202</v>
      </c>
      <c r="LJK19" s="310" t="s">
        <v>202</v>
      </c>
      <c r="LJL19" s="310" t="s">
        <v>202</v>
      </c>
      <c r="LJM19" s="310" t="s">
        <v>202</v>
      </c>
      <c r="LJN19" s="310" t="s">
        <v>202</v>
      </c>
      <c r="LJO19" s="310" t="s">
        <v>202</v>
      </c>
      <c r="LJP19" s="310" t="s">
        <v>202</v>
      </c>
      <c r="LJQ19" s="310" t="s">
        <v>202</v>
      </c>
      <c r="LJR19" s="310" t="s">
        <v>202</v>
      </c>
      <c r="LJS19" s="310" t="s">
        <v>202</v>
      </c>
      <c r="LJT19" s="310" t="s">
        <v>202</v>
      </c>
      <c r="LJU19" s="310" t="s">
        <v>202</v>
      </c>
      <c r="LJV19" s="310" t="s">
        <v>202</v>
      </c>
      <c r="LJW19" s="310" t="s">
        <v>202</v>
      </c>
      <c r="LJX19" s="310" t="s">
        <v>202</v>
      </c>
      <c r="LJY19" s="310" t="s">
        <v>202</v>
      </c>
      <c r="LJZ19" s="310" t="s">
        <v>202</v>
      </c>
      <c r="LKA19" s="310" t="s">
        <v>202</v>
      </c>
      <c r="LKB19" s="310" t="s">
        <v>202</v>
      </c>
      <c r="LKC19" s="310" t="s">
        <v>202</v>
      </c>
      <c r="LKD19" s="310" t="s">
        <v>202</v>
      </c>
      <c r="LKE19" s="310" t="s">
        <v>202</v>
      </c>
      <c r="LKF19" s="310" t="s">
        <v>202</v>
      </c>
      <c r="LKG19" s="310" t="s">
        <v>202</v>
      </c>
      <c r="LKH19" s="310" t="s">
        <v>202</v>
      </c>
      <c r="LKI19" s="310" t="s">
        <v>202</v>
      </c>
      <c r="LKJ19" s="310" t="s">
        <v>202</v>
      </c>
      <c r="LKK19" s="310" t="s">
        <v>202</v>
      </c>
      <c r="LKL19" s="310" t="s">
        <v>202</v>
      </c>
      <c r="LKM19" s="310" t="s">
        <v>202</v>
      </c>
      <c r="LKN19" s="310" t="s">
        <v>202</v>
      </c>
      <c r="LKO19" s="310" t="s">
        <v>202</v>
      </c>
      <c r="LKP19" s="310" t="s">
        <v>202</v>
      </c>
      <c r="LKQ19" s="310" t="s">
        <v>202</v>
      </c>
      <c r="LKR19" s="310" t="s">
        <v>202</v>
      </c>
      <c r="LKS19" s="310" t="s">
        <v>202</v>
      </c>
      <c r="LKT19" s="310" t="s">
        <v>202</v>
      </c>
      <c r="LKU19" s="310" t="s">
        <v>202</v>
      </c>
      <c r="LKV19" s="310" t="s">
        <v>202</v>
      </c>
      <c r="LKW19" s="310" t="s">
        <v>202</v>
      </c>
      <c r="LKX19" s="310" t="s">
        <v>202</v>
      </c>
      <c r="LKY19" s="310" t="s">
        <v>202</v>
      </c>
      <c r="LKZ19" s="310" t="s">
        <v>202</v>
      </c>
      <c r="LLA19" s="310" t="s">
        <v>202</v>
      </c>
      <c r="LLB19" s="310" t="s">
        <v>202</v>
      </c>
      <c r="LLC19" s="310" t="s">
        <v>202</v>
      </c>
      <c r="LLD19" s="310" t="s">
        <v>202</v>
      </c>
      <c r="LLE19" s="310" t="s">
        <v>202</v>
      </c>
      <c r="LLF19" s="310" t="s">
        <v>202</v>
      </c>
      <c r="LLG19" s="310" t="s">
        <v>202</v>
      </c>
      <c r="LLH19" s="310" t="s">
        <v>202</v>
      </c>
      <c r="LLI19" s="310" t="s">
        <v>202</v>
      </c>
      <c r="LLJ19" s="310" t="s">
        <v>202</v>
      </c>
      <c r="LLK19" s="310" t="s">
        <v>202</v>
      </c>
      <c r="LLL19" s="310" t="s">
        <v>202</v>
      </c>
      <c r="LLM19" s="310" t="s">
        <v>202</v>
      </c>
      <c r="LLN19" s="310" t="s">
        <v>202</v>
      </c>
      <c r="LLO19" s="310" t="s">
        <v>202</v>
      </c>
      <c r="LLP19" s="310" t="s">
        <v>202</v>
      </c>
      <c r="LLQ19" s="310" t="s">
        <v>202</v>
      </c>
      <c r="LLR19" s="310" t="s">
        <v>202</v>
      </c>
      <c r="LLS19" s="310" t="s">
        <v>202</v>
      </c>
      <c r="LLT19" s="310" t="s">
        <v>202</v>
      </c>
      <c r="LLU19" s="310" t="s">
        <v>202</v>
      </c>
      <c r="LLV19" s="310" t="s">
        <v>202</v>
      </c>
      <c r="LLW19" s="310" t="s">
        <v>202</v>
      </c>
      <c r="LLX19" s="310" t="s">
        <v>202</v>
      </c>
      <c r="LLY19" s="310" t="s">
        <v>202</v>
      </c>
      <c r="LLZ19" s="310" t="s">
        <v>202</v>
      </c>
      <c r="LMA19" s="310" t="s">
        <v>202</v>
      </c>
      <c r="LMB19" s="310" t="s">
        <v>202</v>
      </c>
      <c r="LMC19" s="310" t="s">
        <v>202</v>
      </c>
      <c r="LMD19" s="310" t="s">
        <v>202</v>
      </c>
      <c r="LME19" s="310" t="s">
        <v>202</v>
      </c>
      <c r="LMF19" s="310" t="s">
        <v>202</v>
      </c>
      <c r="LMG19" s="310" t="s">
        <v>202</v>
      </c>
      <c r="LMH19" s="310" t="s">
        <v>202</v>
      </c>
      <c r="LMI19" s="310" t="s">
        <v>202</v>
      </c>
      <c r="LMJ19" s="310" t="s">
        <v>202</v>
      </c>
      <c r="LMK19" s="310" t="s">
        <v>202</v>
      </c>
      <c r="LML19" s="310" t="s">
        <v>202</v>
      </c>
      <c r="LMM19" s="310" t="s">
        <v>202</v>
      </c>
      <c r="LMN19" s="310" t="s">
        <v>202</v>
      </c>
      <c r="LMO19" s="310" t="s">
        <v>202</v>
      </c>
      <c r="LMP19" s="310" t="s">
        <v>202</v>
      </c>
      <c r="LMQ19" s="310" t="s">
        <v>202</v>
      </c>
      <c r="LMR19" s="310" t="s">
        <v>202</v>
      </c>
      <c r="LMS19" s="310" t="s">
        <v>202</v>
      </c>
      <c r="LMT19" s="310" t="s">
        <v>202</v>
      </c>
      <c r="LMU19" s="310" t="s">
        <v>202</v>
      </c>
      <c r="LMV19" s="310" t="s">
        <v>202</v>
      </c>
      <c r="LMW19" s="310" t="s">
        <v>202</v>
      </c>
      <c r="LMX19" s="310" t="s">
        <v>202</v>
      </c>
      <c r="LMY19" s="310" t="s">
        <v>202</v>
      </c>
      <c r="LMZ19" s="310" t="s">
        <v>202</v>
      </c>
      <c r="LNA19" s="310" t="s">
        <v>202</v>
      </c>
      <c r="LNB19" s="310" t="s">
        <v>202</v>
      </c>
      <c r="LNC19" s="310" t="s">
        <v>202</v>
      </c>
      <c r="LND19" s="310" t="s">
        <v>202</v>
      </c>
      <c r="LNE19" s="310" t="s">
        <v>202</v>
      </c>
      <c r="LNF19" s="310" t="s">
        <v>202</v>
      </c>
      <c r="LNG19" s="310" t="s">
        <v>202</v>
      </c>
      <c r="LNH19" s="310" t="s">
        <v>202</v>
      </c>
      <c r="LNI19" s="310" t="s">
        <v>202</v>
      </c>
      <c r="LNJ19" s="310" t="s">
        <v>202</v>
      </c>
      <c r="LNK19" s="310" t="s">
        <v>202</v>
      </c>
      <c r="LNL19" s="310" t="s">
        <v>202</v>
      </c>
      <c r="LNM19" s="310" t="s">
        <v>202</v>
      </c>
      <c r="LNN19" s="310" t="s">
        <v>202</v>
      </c>
      <c r="LNO19" s="310" t="s">
        <v>202</v>
      </c>
      <c r="LNP19" s="310" t="s">
        <v>202</v>
      </c>
      <c r="LNQ19" s="310" t="s">
        <v>202</v>
      </c>
      <c r="LNR19" s="310" t="s">
        <v>202</v>
      </c>
      <c r="LNS19" s="310" t="s">
        <v>202</v>
      </c>
      <c r="LNT19" s="310" t="s">
        <v>202</v>
      </c>
      <c r="LNU19" s="310" t="s">
        <v>202</v>
      </c>
      <c r="LNV19" s="310" t="s">
        <v>202</v>
      </c>
      <c r="LNW19" s="310" t="s">
        <v>202</v>
      </c>
      <c r="LNX19" s="310" t="s">
        <v>202</v>
      </c>
      <c r="LNY19" s="310" t="s">
        <v>202</v>
      </c>
      <c r="LNZ19" s="310" t="s">
        <v>202</v>
      </c>
      <c r="LOA19" s="310" t="s">
        <v>202</v>
      </c>
      <c r="LOB19" s="310" t="s">
        <v>202</v>
      </c>
      <c r="LOC19" s="310" t="s">
        <v>202</v>
      </c>
      <c r="LOD19" s="310" t="s">
        <v>202</v>
      </c>
      <c r="LOE19" s="310" t="s">
        <v>202</v>
      </c>
      <c r="LOF19" s="310" t="s">
        <v>202</v>
      </c>
      <c r="LOG19" s="310" t="s">
        <v>202</v>
      </c>
      <c r="LOH19" s="310" t="s">
        <v>202</v>
      </c>
      <c r="LOI19" s="310" t="s">
        <v>202</v>
      </c>
      <c r="LOJ19" s="310" t="s">
        <v>202</v>
      </c>
      <c r="LOK19" s="310" t="s">
        <v>202</v>
      </c>
      <c r="LOL19" s="310" t="s">
        <v>202</v>
      </c>
      <c r="LOM19" s="310" t="s">
        <v>202</v>
      </c>
      <c r="LON19" s="310" t="s">
        <v>202</v>
      </c>
      <c r="LOO19" s="310" t="s">
        <v>202</v>
      </c>
      <c r="LOP19" s="310" t="s">
        <v>202</v>
      </c>
      <c r="LOQ19" s="310" t="s">
        <v>202</v>
      </c>
      <c r="LOR19" s="310" t="s">
        <v>202</v>
      </c>
      <c r="LOS19" s="310" t="s">
        <v>202</v>
      </c>
      <c r="LOT19" s="310" t="s">
        <v>202</v>
      </c>
      <c r="LOU19" s="310" t="s">
        <v>202</v>
      </c>
      <c r="LOV19" s="310" t="s">
        <v>202</v>
      </c>
      <c r="LOW19" s="310" t="s">
        <v>202</v>
      </c>
      <c r="LOX19" s="310" t="s">
        <v>202</v>
      </c>
      <c r="LOY19" s="310" t="s">
        <v>202</v>
      </c>
      <c r="LOZ19" s="310" t="s">
        <v>202</v>
      </c>
      <c r="LPA19" s="310" t="s">
        <v>202</v>
      </c>
      <c r="LPB19" s="310" t="s">
        <v>202</v>
      </c>
      <c r="LPC19" s="310" t="s">
        <v>202</v>
      </c>
      <c r="LPD19" s="310" t="s">
        <v>202</v>
      </c>
      <c r="LPE19" s="310" t="s">
        <v>202</v>
      </c>
      <c r="LPF19" s="310" t="s">
        <v>202</v>
      </c>
      <c r="LPG19" s="310" t="s">
        <v>202</v>
      </c>
      <c r="LPH19" s="310" t="s">
        <v>202</v>
      </c>
      <c r="LPI19" s="310" t="s">
        <v>202</v>
      </c>
      <c r="LPJ19" s="310" t="s">
        <v>202</v>
      </c>
      <c r="LPK19" s="310" t="s">
        <v>202</v>
      </c>
      <c r="LPL19" s="310" t="s">
        <v>202</v>
      </c>
      <c r="LPM19" s="310" t="s">
        <v>202</v>
      </c>
      <c r="LPN19" s="310" t="s">
        <v>202</v>
      </c>
      <c r="LPO19" s="310" t="s">
        <v>202</v>
      </c>
      <c r="LPP19" s="310" t="s">
        <v>202</v>
      </c>
      <c r="LPQ19" s="310" t="s">
        <v>202</v>
      </c>
      <c r="LPR19" s="310" t="s">
        <v>202</v>
      </c>
      <c r="LPS19" s="310" t="s">
        <v>202</v>
      </c>
      <c r="LPT19" s="310" t="s">
        <v>202</v>
      </c>
      <c r="LPU19" s="310" t="s">
        <v>202</v>
      </c>
      <c r="LPV19" s="310" t="s">
        <v>202</v>
      </c>
      <c r="LPW19" s="310" t="s">
        <v>202</v>
      </c>
      <c r="LPX19" s="310" t="s">
        <v>202</v>
      </c>
      <c r="LPY19" s="310" t="s">
        <v>202</v>
      </c>
      <c r="LPZ19" s="310" t="s">
        <v>202</v>
      </c>
      <c r="LQA19" s="310" t="s">
        <v>202</v>
      </c>
      <c r="LQB19" s="310" t="s">
        <v>202</v>
      </c>
      <c r="LQC19" s="310" t="s">
        <v>202</v>
      </c>
      <c r="LQD19" s="310" t="s">
        <v>202</v>
      </c>
      <c r="LQE19" s="310" t="s">
        <v>202</v>
      </c>
      <c r="LQF19" s="310" t="s">
        <v>202</v>
      </c>
      <c r="LQG19" s="310" t="s">
        <v>202</v>
      </c>
      <c r="LQH19" s="310" t="s">
        <v>202</v>
      </c>
      <c r="LQI19" s="310" t="s">
        <v>202</v>
      </c>
      <c r="LQJ19" s="310" t="s">
        <v>202</v>
      </c>
      <c r="LQK19" s="310" t="s">
        <v>202</v>
      </c>
      <c r="LQL19" s="310" t="s">
        <v>202</v>
      </c>
      <c r="LQM19" s="310" t="s">
        <v>202</v>
      </c>
      <c r="LQN19" s="310" t="s">
        <v>202</v>
      </c>
      <c r="LQO19" s="310" t="s">
        <v>202</v>
      </c>
      <c r="LQP19" s="310" t="s">
        <v>202</v>
      </c>
      <c r="LQQ19" s="310" t="s">
        <v>202</v>
      </c>
      <c r="LQR19" s="310" t="s">
        <v>202</v>
      </c>
      <c r="LQS19" s="310" t="s">
        <v>202</v>
      </c>
      <c r="LQT19" s="310" t="s">
        <v>202</v>
      </c>
      <c r="LQU19" s="310" t="s">
        <v>202</v>
      </c>
      <c r="LQV19" s="310" t="s">
        <v>202</v>
      </c>
      <c r="LQW19" s="310" t="s">
        <v>202</v>
      </c>
      <c r="LQX19" s="310" t="s">
        <v>202</v>
      </c>
      <c r="LQY19" s="310" t="s">
        <v>202</v>
      </c>
      <c r="LQZ19" s="310" t="s">
        <v>202</v>
      </c>
      <c r="LRA19" s="310" t="s">
        <v>202</v>
      </c>
      <c r="LRB19" s="310" t="s">
        <v>202</v>
      </c>
      <c r="LRC19" s="310" t="s">
        <v>202</v>
      </c>
      <c r="LRD19" s="310" t="s">
        <v>202</v>
      </c>
      <c r="LRE19" s="310" t="s">
        <v>202</v>
      </c>
      <c r="LRF19" s="310" t="s">
        <v>202</v>
      </c>
      <c r="LRG19" s="310" t="s">
        <v>202</v>
      </c>
      <c r="LRH19" s="310" t="s">
        <v>202</v>
      </c>
      <c r="LRI19" s="310" t="s">
        <v>202</v>
      </c>
      <c r="LRJ19" s="310" t="s">
        <v>202</v>
      </c>
      <c r="LRK19" s="310" t="s">
        <v>202</v>
      </c>
      <c r="LRL19" s="310" t="s">
        <v>202</v>
      </c>
      <c r="LRM19" s="310" t="s">
        <v>202</v>
      </c>
      <c r="LRN19" s="310" t="s">
        <v>202</v>
      </c>
      <c r="LRO19" s="310" t="s">
        <v>202</v>
      </c>
      <c r="LRP19" s="310" t="s">
        <v>202</v>
      </c>
      <c r="LRQ19" s="310" t="s">
        <v>202</v>
      </c>
      <c r="LRR19" s="310" t="s">
        <v>202</v>
      </c>
      <c r="LRS19" s="310" t="s">
        <v>202</v>
      </c>
      <c r="LRT19" s="310" t="s">
        <v>202</v>
      </c>
      <c r="LRU19" s="310" t="s">
        <v>202</v>
      </c>
      <c r="LRV19" s="310" t="s">
        <v>202</v>
      </c>
      <c r="LRW19" s="310" t="s">
        <v>202</v>
      </c>
      <c r="LRX19" s="310" t="s">
        <v>202</v>
      </c>
      <c r="LRY19" s="310" t="s">
        <v>202</v>
      </c>
      <c r="LRZ19" s="310" t="s">
        <v>202</v>
      </c>
      <c r="LSA19" s="310" t="s">
        <v>202</v>
      </c>
      <c r="LSB19" s="310" t="s">
        <v>202</v>
      </c>
      <c r="LSC19" s="310" t="s">
        <v>202</v>
      </c>
      <c r="LSD19" s="310" t="s">
        <v>202</v>
      </c>
      <c r="LSE19" s="310" t="s">
        <v>202</v>
      </c>
      <c r="LSF19" s="310" t="s">
        <v>202</v>
      </c>
      <c r="LSG19" s="310" t="s">
        <v>202</v>
      </c>
      <c r="LSH19" s="310" t="s">
        <v>202</v>
      </c>
      <c r="LSI19" s="310" t="s">
        <v>202</v>
      </c>
      <c r="LSJ19" s="310" t="s">
        <v>202</v>
      </c>
      <c r="LSK19" s="310" t="s">
        <v>202</v>
      </c>
      <c r="LSL19" s="310" t="s">
        <v>202</v>
      </c>
      <c r="LSM19" s="310" t="s">
        <v>202</v>
      </c>
      <c r="LSN19" s="310" t="s">
        <v>202</v>
      </c>
      <c r="LSO19" s="310" t="s">
        <v>202</v>
      </c>
      <c r="LSP19" s="310" t="s">
        <v>202</v>
      </c>
      <c r="LSQ19" s="310" t="s">
        <v>202</v>
      </c>
      <c r="LSR19" s="310" t="s">
        <v>202</v>
      </c>
      <c r="LSS19" s="310" t="s">
        <v>202</v>
      </c>
      <c r="LST19" s="310" t="s">
        <v>202</v>
      </c>
      <c r="LSU19" s="310" t="s">
        <v>202</v>
      </c>
      <c r="LSV19" s="310" t="s">
        <v>202</v>
      </c>
      <c r="LSW19" s="310" t="s">
        <v>202</v>
      </c>
      <c r="LSX19" s="310" t="s">
        <v>202</v>
      </c>
      <c r="LSY19" s="310" t="s">
        <v>202</v>
      </c>
      <c r="LSZ19" s="310" t="s">
        <v>202</v>
      </c>
      <c r="LTA19" s="310" t="s">
        <v>202</v>
      </c>
      <c r="LTB19" s="310" t="s">
        <v>202</v>
      </c>
      <c r="LTC19" s="310" t="s">
        <v>202</v>
      </c>
      <c r="LTD19" s="310" t="s">
        <v>202</v>
      </c>
      <c r="LTE19" s="310" t="s">
        <v>202</v>
      </c>
      <c r="LTF19" s="310" t="s">
        <v>202</v>
      </c>
      <c r="LTG19" s="310" t="s">
        <v>202</v>
      </c>
      <c r="LTH19" s="310" t="s">
        <v>202</v>
      </c>
      <c r="LTI19" s="310" t="s">
        <v>202</v>
      </c>
      <c r="LTJ19" s="310" t="s">
        <v>202</v>
      </c>
      <c r="LTK19" s="310" t="s">
        <v>202</v>
      </c>
      <c r="LTL19" s="310" t="s">
        <v>202</v>
      </c>
      <c r="LTM19" s="310" t="s">
        <v>202</v>
      </c>
      <c r="LTN19" s="310" t="s">
        <v>202</v>
      </c>
      <c r="LTO19" s="310" t="s">
        <v>202</v>
      </c>
      <c r="LTP19" s="310" t="s">
        <v>202</v>
      </c>
      <c r="LTQ19" s="310" t="s">
        <v>202</v>
      </c>
      <c r="LTR19" s="310" t="s">
        <v>202</v>
      </c>
      <c r="LTS19" s="310" t="s">
        <v>202</v>
      </c>
      <c r="LTT19" s="310" t="s">
        <v>202</v>
      </c>
      <c r="LTU19" s="310" t="s">
        <v>202</v>
      </c>
      <c r="LTV19" s="310" t="s">
        <v>202</v>
      </c>
      <c r="LTW19" s="310" t="s">
        <v>202</v>
      </c>
      <c r="LTX19" s="310" t="s">
        <v>202</v>
      </c>
      <c r="LTY19" s="310" t="s">
        <v>202</v>
      </c>
      <c r="LTZ19" s="310" t="s">
        <v>202</v>
      </c>
      <c r="LUA19" s="310" t="s">
        <v>202</v>
      </c>
      <c r="LUB19" s="310" t="s">
        <v>202</v>
      </c>
      <c r="LUC19" s="310" t="s">
        <v>202</v>
      </c>
      <c r="LUD19" s="310" t="s">
        <v>202</v>
      </c>
      <c r="LUE19" s="310" t="s">
        <v>202</v>
      </c>
      <c r="LUF19" s="310" t="s">
        <v>202</v>
      </c>
      <c r="LUG19" s="310" t="s">
        <v>202</v>
      </c>
      <c r="LUH19" s="310" t="s">
        <v>202</v>
      </c>
      <c r="LUI19" s="310" t="s">
        <v>202</v>
      </c>
      <c r="LUJ19" s="310" t="s">
        <v>202</v>
      </c>
      <c r="LUK19" s="310" t="s">
        <v>202</v>
      </c>
      <c r="LUL19" s="310" t="s">
        <v>202</v>
      </c>
      <c r="LUM19" s="310" t="s">
        <v>202</v>
      </c>
      <c r="LUN19" s="310" t="s">
        <v>202</v>
      </c>
      <c r="LUO19" s="310" t="s">
        <v>202</v>
      </c>
      <c r="LUP19" s="310" t="s">
        <v>202</v>
      </c>
      <c r="LUQ19" s="310" t="s">
        <v>202</v>
      </c>
      <c r="LUR19" s="310" t="s">
        <v>202</v>
      </c>
      <c r="LUS19" s="310" t="s">
        <v>202</v>
      </c>
      <c r="LUT19" s="310" t="s">
        <v>202</v>
      </c>
      <c r="LUU19" s="310" t="s">
        <v>202</v>
      </c>
      <c r="LUV19" s="310" t="s">
        <v>202</v>
      </c>
      <c r="LUW19" s="310" t="s">
        <v>202</v>
      </c>
      <c r="LUX19" s="310" t="s">
        <v>202</v>
      </c>
      <c r="LUY19" s="310" t="s">
        <v>202</v>
      </c>
      <c r="LUZ19" s="310" t="s">
        <v>202</v>
      </c>
      <c r="LVA19" s="310" t="s">
        <v>202</v>
      </c>
      <c r="LVB19" s="310" t="s">
        <v>202</v>
      </c>
      <c r="LVC19" s="310" t="s">
        <v>202</v>
      </c>
      <c r="LVD19" s="310" t="s">
        <v>202</v>
      </c>
      <c r="LVE19" s="310" t="s">
        <v>202</v>
      </c>
      <c r="LVF19" s="310" t="s">
        <v>202</v>
      </c>
      <c r="LVG19" s="310" t="s">
        <v>202</v>
      </c>
      <c r="LVH19" s="310" t="s">
        <v>202</v>
      </c>
      <c r="LVI19" s="310" t="s">
        <v>202</v>
      </c>
      <c r="LVJ19" s="310" t="s">
        <v>202</v>
      </c>
      <c r="LVK19" s="310" t="s">
        <v>202</v>
      </c>
      <c r="LVL19" s="310" t="s">
        <v>202</v>
      </c>
      <c r="LVM19" s="310" t="s">
        <v>202</v>
      </c>
      <c r="LVN19" s="310" t="s">
        <v>202</v>
      </c>
      <c r="LVO19" s="310" t="s">
        <v>202</v>
      </c>
      <c r="LVP19" s="310" t="s">
        <v>202</v>
      </c>
      <c r="LVQ19" s="310" t="s">
        <v>202</v>
      </c>
      <c r="LVR19" s="310" t="s">
        <v>202</v>
      </c>
      <c r="LVS19" s="310" t="s">
        <v>202</v>
      </c>
      <c r="LVT19" s="310" t="s">
        <v>202</v>
      </c>
      <c r="LVU19" s="310" t="s">
        <v>202</v>
      </c>
      <c r="LVV19" s="310" t="s">
        <v>202</v>
      </c>
      <c r="LVW19" s="310" t="s">
        <v>202</v>
      </c>
      <c r="LVX19" s="310" t="s">
        <v>202</v>
      </c>
      <c r="LVY19" s="310" t="s">
        <v>202</v>
      </c>
      <c r="LVZ19" s="310" t="s">
        <v>202</v>
      </c>
      <c r="LWA19" s="310" t="s">
        <v>202</v>
      </c>
      <c r="LWB19" s="310" t="s">
        <v>202</v>
      </c>
      <c r="LWC19" s="310" t="s">
        <v>202</v>
      </c>
      <c r="LWD19" s="310" t="s">
        <v>202</v>
      </c>
      <c r="LWE19" s="310" t="s">
        <v>202</v>
      </c>
      <c r="LWF19" s="310" t="s">
        <v>202</v>
      </c>
      <c r="LWG19" s="310" t="s">
        <v>202</v>
      </c>
      <c r="LWH19" s="310" t="s">
        <v>202</v>
      </c>
      <c r="LWI19" s="310" t="s">
        <v>202</v>
      </c>
      <c r="LWJ19" s="310" t="s">
        <v>202</v>
      </c>
      <c r="LWK19" s="310" t="s">
        <v>202</v>
      </c>
      <c r="LWL19" s="310" t="s">
        <v>202</v>
      </c>
      <c r="LWM19" s="310" t="s">
        <v>202</v>
      </c>
      <c r="LWN19" s="310" t="s">
        <v>202</v>
      </c>
      <c r="LWO19" s="310" t="s">
        <v>202</v>
      </c>
      <c r="LWP19" s="310" t="s">
        <v>202</v>
      </c>
      <c r="LWQ19" s="310" t="s">
        <v>202</v>
      </c>
      <c r="LWR19" s="310" t="s">
        <v>202</v>
      </c>
      <c r="LWS19" s="310" t="s">
        <v>202</v>
      </c>
      <c r="LWT19" s="310" t="s">
        <v>202</v>
      </c>
      <c r="LWU19" s="310" t="s">
        <v>202</v>
      </c>
      <c r="LWV19" s="310" t="s">
        <v>202</v>
      </c>
      <c r="LWW19" s="310" t="s">
        <v>202</v>
      </c>
      <c r="LWX19" s="310" t="s">
        <v>202</v>
      </c>
      <c r="LWY19" s="310" t="s">
        <v>202</v>
      </c>
      <c r="LWZ19" s="310" t="s">
        <v>202</v>
      </c>
      <c r="LXA19" s="310" t="s">
        <v>202</v>
      </c>
      <c r="LXB19" s="310" t="s">
        <v>202</v>
      </c>
      <c r="LXC19" s="310" t="s">
        <v>202</v>
      </c>
      <c r="LXD19" s="310" t="s">
        <v>202</v>
      </c>
      <c r="LXE19" s="310" t="s">
        <v>202</v>
      </c>
      <c r="LXF19" s="310" t="s">
        <v>202</v>
      </c>
      <c r="LXG19" s="310" t="s">
        <v>202</v>
      </c>
      <c r="LXH19" s="310" t="s">
        <v>202</v>
      </c>
      <c r="LXI19" s="310" t="s">
        <v>202</v>
      </c>
      <c r="LXJ19" s="310" t="s">
        <v>202</v>
      </c>
      <c r="LXK19" s="310" t="s">
        <v>202</v>
      </c>
      <c r="LXL19" s="310" t="s">
        <v>202</v>
      </c>
      <c r="LXM19" s="310" t="s">
        <v>202</v>
      </c>
      <c r="LXN19" s="310" t="s">
        <v>202</v>
      </c>
      <c r="LXO19" s="310" t="s">
        <v>202</v>
      </c>
      <c r="LXP19" s="310" t="s">
        <v>202</v>
      </c>
      <c r="LXQ19" s="310" t="s">
        <v>202</v>
      </c>
      <c r="LXR19" s="310" t="s">
        <v>202</v>
      </c>
      <c r="LXS19" s="310" t="s">
        <v>202</v>
      </c>
      <c r="LXT19" s="310" t="s">
        <v>202</v>
      </c>
      <c r="LXU19" s="310" t="s">
        <v>202</v>
      </c>
      <c r="LXV19" s="310" t="s">
        <v>202</v>
      </c>
      <c r="LXW19" s="310" t="s">
        <v>202</v>
      </c>
      <c r="LXX19" s="310" t="s">
        <v>202</v>
      </c>
      <c r="LXY19" s="310" t="s">
        <v>202</v>
      </c>
      <c r="LXZ19" s="310" t="s">
        <v>202</v>
      </c>
      <c r="LYA19" s="310" t="s">
        <v>202</v>
      </c>
      <c r="LYB19" s="310" t="s">
        <v>202</v>
      </c>
      <c r="LYC19" s="310" t="s">
        <v>202</v>
      </c>
      <c r="LYD19" s="310" t="s">
        <v>202</v>
      </c>
      <c r="LYE19" s="310" t="s">
        <v>202</v>
      </c>
      <c r="LYF19" s="310" t="s">
        <v>202</v>
      </c>
      <c r="LYG19" s="310" t="s">
        <v>202</v>
      </c>
      <c r="LYH19" s="310" t="s">
        <v>202</v>
      </c>
      <c r="LYI19" s="310" t="s">
        <v>202</v>
      </c>
      <c r="LYJ19" s="310" t="s">
        <v>202</v>
      </c>
      <c r="LYK19" s="310" t="s">
        <v>202</v>
      </c>
      <c r="LYL19" s="310" t="s">
        <v>202</v>
      </c>
      <c r="LYM19" s="310" t="s">
        <v>202</v>
      </c>
      <c r="LYN19" s="310" t="s">
        <v>202</v>
      </c>
      <c r="LYO19" s="310" t="s">
        <v>202</v>
      </c>
      <c r="LYP19" s="310" t="s">
        <v>202</v>
      </c>
      <c r="LYQ19" s="310" t="s">
        <v>202</v>
      </c>
      <c r="LYR19" s="310" t="s">
        <v>202</v>
      </c>
      <c r="LYS19" s="310" t="s">
        <v>202</v>
      </c>
      <c r="LYT19" s="310" t="s">
        <v>202</v>
      </c>
      <c r="LYU19" s="310" t="s">
        <v>202</v>
      </c>
      <c r="LYV19" s="310" t="s">
        <v>202</v>
      </c>
      <c r="LYW19" s="310" t="s">
        <v>202</v>
      </c>
      <c r="LYX19" s="310" t="s">
        <v>202</v>
      </c>
      <c r="LYY19" s="310" t="s">
        <v>202</v>
      </c>
      <c r="LYZ19" s="310" t="s">
        <v>202</v>
      </c>
      <c r="LZA19" s="310" t="s">
        <v>202</v>
      </c>
      <c r="LZB19" s="310" t="s">
        <v>202</v>
      </c>
      <c r="LZC19" s="310" t="s">
        <v>202</v>
      </c>
      <c r="LZD19" s="310" t="s">
        <v>202</v>
      </c>
      <c r="LZE19" s="310" t="s">
        <v>202</v>
      </c>
      <c r="LZF19" s="310" t="s">
        <v>202</v>
      </c>
      <c r="LZG19" s="310" t="s">
        <v>202</v>
      </c>
      <c r="LZH19" s="310" t="s">
        <v>202</v>
      </c>
      <c r="LZI19" s="310" t="s">
        <v>202</v>
      </c>
      <c r="LZJ19" s="310" t="s">
        <v>202</v>
      </c>
      <c r="LZK19" s="310" t="s">
        <v>202</v>
      </c>
      <c r="LZL19" s="310" t="s">
        <v>202</v>
      </c>
      <c r="LZM19" s="310" t="s">
        <v>202</v>
      </c>
      <c r="LZN19" s="310" t="s">
        <v>202</v>
      </c>
      <c r="LZO19" s="310" t="s">
        <v>202</v>
      </c>
      <c r="LZP19" s="310" t="s">
        <v>202</v>
      </c>
      <c r="LZQ19" s="310" t="s">
        <v>202</v>
      </c>
      <c r="LZR19" s="310" t="s">
        <v>202</v>
      </c>
      <c r="LZS19" s="310" t="s">
        <v>202</v>
      </c>
      <c r="LZT19" s="310" t="s">
        <v>202</v>
      </c>
      <c r="LZU19" s="310" t="s">
        <v>202</v>
      </c>
      <c r="LZV19" s="310" t="s">
        <v>202</v>
      </c>
      <c r="LZW19" s="310" t="s">
        <v>202</v>
      </c>
      <c r="LZX19" s="310" t="s">
        <v>202</v>
      </c>
      <c r="LZY19" s="310" t="s">
        <v>202</v>
      </c>
      <c r="LZZ19" s="310" t="s">
        <v>202</v>
      </c>
      <c r="MAA19" s="310" t="s">
        <v>202</v>
      </c>
      <c r="MAB19" s="310" t="s">
        <v>202</v>
      </c>
      <c r="MAC19" s="310" t="s">
        <v>202</v>
      </c>
      <c r="MAD19" s="310" t="s">
        <v>202</v>
      </c>
      <c r="MAE19" s="310" t="s">
        <v>202</v>
      </c>
      <c r="MAF19" s="310" t="s">
        <v>202</v>
      </c>
      <c r="MAG19" s="310" t="s">
        <v>202</v>
      </c>
      <c r="MAH19" s="310" t="s">
        <v>202</v>
      </c>
      <c r="MAI19" s="310" t="s">
        <v>202</v>
      </c>
      <c r="MAJ19" s="310" t="s">
        <v>202</v>
      </c>
      <c r="MAK19" s="310" t="s">
        <v>202</v>
      </c>
      <c r="MAL19" s="310" t="s">
        <v>202</v>
      </c>
      <c r="MAM19" s="310" t="s">
        <v>202</v>
      </c>
      <c r="MAN19" s="310" t="s">
        <v>202</v>
      </c>
      <c r="MAO19" s="310" t="s">
        <v>202</v>
      </c>
      <c r="MAP19" s="310" t="s">
        <v>202</v>
      </c>
      <c r="MAQ19" s="310" t="s">
        <v>202</v>
      </c>
      <c r="MAR19" s="310" t="s">
        <v>202</v>
      </c>
      <c r="MAS19" s="310" t="s">
        <v>202</v>
      </c>
      <c r="MAT19" s="310" t="s">
        <v>202</v>
      </c>
      <c r="MAU19" s="310" t="s">
        <v>202</v>
      </c>
      <c r="MAV19" s="310" t="s">
        <v>202</v>
      </c>
      <c r="MAW19" s="310" t="s">
        <v>202</v>
      </c>
      <c r="MAX19" s="310" t="s">
        <v>202</v>
      </c>
      <c r="MAY19" s="310" t="s">
        <v>202</v>
      </c>
      <c r="MAZ19" s="310" t="s">
        <v>202</v>
      </c>
      <c r="MBA19" s="310" t="s">
        <v>202</v>
      </c>
      <c r="MBB19" s="310" t="s">
        <v>202</v>
      </c>
      <c r="MBC19" s="310" t="s">
        <v>202</v>
      </c>
      <c r="MBD19" s="310" t="s">
        <v>202</v>
      </c>
      <c r="MBE19" s="310" t="s">
        <v>202</v>
      </c>
      <c r="MBF19" s="310" t="s">
        <v>202</v>
      </c>
      <c r="MBG19" s="310" t="s">
        <v>202</v>
      </c>
      <c r="MBH19" s="310" t="s">
        <v>202</v>
      </c>
      <c r="MBI19" s="310" t="s">
        <v>202</v>
      </c>
      <c r="MBJ19" s="310" t="s">
        <v>202</v>
      </c>
      <c r="MBK19" s="310" t="s">
        <v>202</v>
      </c>
      <c r="MBL19" s="310" t="s">
        <v>202</v>
      </c>
      <c r="MBM19" s="310" t="s">
        <v>202</v>
      </c>
      <c r="MBN19" s="310" t="s">
        <v>202</v>
      </c>
      <c r="MBO19" s="310" t="s">
        <v>202</v>
      </c>
      <c r="MBP19" s="310" t="s">
        <v>202</v>
      </c>
      <c r="MBQ19" s="310" t="s">
        <v>202</v>
      </c>
      <c r="MBR19" s="310" t="s">
        <v>202</v>
      </c>
      <c r="MBS19" s="310" t="s">
        <v>202</v>
      </c>
      <c r="MBT19" s="310" t="s">
        <v>202</v>
      </c>
      <c r="MBU19" s="310" t="s">
        <v>202</v>
      </c>
      <c r="MBV19" s="310" t="s">
        <v>202</v>
      </c>
      <c r="MBW19" s="310" t="s">
        <v>202</v>
      </c>
      <c r="MBX19" s="310" t="s">
        <v>202</v>
      </c>
      <c r="MBY19" s="310" t="s">
        <v>202</v>
      </c>
      <c r="MBZ19" s="310" t="s">
        <v>202</v>
      </c>
      <c r="MCA19" s="310" t="s">
        <v>202</v>
      </c>
      <c r="MCB19" s="310" t="s">
        <v>202</v>
      </c>
      <c r="MCC19" s="310" t="s">
        <v>202</v>
      </c>
      <c r="MCD19" s="310" t="s">
        <v>202</v>
      </c>
      <c r="MCE19" s="310" t="s">
        <v>202</v>
      </c>
      <c r="MCF19" s="310" t="s">
        <v>202</v>
      </c>
      <c r="MCG19" s="310" t="s">
        <v>202</v>
      </c>
      <c r="MCH19" s="310" t="s">
        <v>202</v>
      </c>
      <c r="MCI19" s="310" t="s">
        <v>202</v>
      </c>
      <c r="MCJ19" s="310" t="s">
        <v>202</v>
      </c>
      <c r="MCK19" s="310" t="s">
        <v>202</v>
      </c>
      <c r="MCL19" s="310" t="s">
        <v>202</v>
      </c>
      <c r="MCM19" s="310" t="s">
        <v>202</v>
      </c>
      <c r="MCN19" s="310" t="s">
        <v>202</v>
      </c>
      <c r="MCO19" s="310" t="s">
        <v>202</v>
      </c>
      <c r="MCP19" s="310" t="s">
        <v>202</v>
      </c>
      <c r="MCQ19" s="310" t="s">
        <v>202</v>
      </c>
      <c r="MCR19" s="310" t="s">
        <v>202</v>
      </c>
      <c r="MCS19" s="310" t="s">
        <v>202</v>
      </c>
      <c r="MCT19" s="310" t="s">
        <v>202</v>
      </c>
      <c r="MCU19" s="310" t="s">
        <v>202</v>
      </c>
      <c r="MCV19" s="310" t="s">
        <v>202</v>
      </c>
      <c r="MCW19" s="310" t="s">
        <v>202</v>
      </c>
      <c r="MCX19" s="310" t="s">
        <v>202</v>
      </c>
      <c r="MCY19" s="310" t="s">
        <v>202</v>
      </c>
      <c r="MCZ19" s="310" t="s">
        <v>202</v>
      </c>
      <c r="MDA19" s="310" t="s">
        <v>202</v>
      </c>
      <c r="MDB19" s="310" t="s">
        <v>202</v>
      </c>
      <c r="MDC19" s="310" t="s">
        <v>202</v>
      </c>
      <c r="MDD19" s="310" t="s">
        <v>202</v>
      </c>
      <c r="MDE19" s="310" t="s">
        <v>202</v>
      </c>
      <c r="MDF19" s="310" t="s">
        <v>202</v>
      </c>
      <c r="MDG19" s="310" t="s">
        <v>202</v>
      </c>
      <c r="MDH19" s="310" t="s">
        <v>202</v>
      </c>
      <c r="MDI19" s="310" t="s">
        <v>202</v>
      </c>
      <c r="MDJ19" s="310" t="s">
        <v>202</v>
      </c>
      <c r="MDK19" s="310" t="s">
        <v>202</v>
      </c>
      <c r="MDL19" s="310" t="s">
        <v>202</v>
      </c>
      <c r="MDM19" s="310" t="s">
        <v>202</v>
      </c>
      <c r="MDN19" s="310" t="s">
        <v>202</v>
      </c>
      <c r="MDO19" s="310" t="s">
        <v>202</v>
      </c>
      <c r="MDP19" s="310" t="s">
        <v>202</v>
      </c>
      <c r="MDQ19" s="310" t="s">
        <v>202</v>
      </c>
      <c r="MDR19" s="310" t="s">
        <v>202</v>
      </c>
      <c r="MDS19" s="310" t="s">
        <v>202</v>
      </c>
      <c r="MDT19" s="310" t="s">
        <v>202</v>
      </c>
      <c r="MDU19" s="310" t="s">
        <v>202</v>
      </c>
      <c r="MDV19" s="310" t="s">
        <v>202</v>
      </c>
      <c r="MDW19" s="310" t="s">
        <v>202</v>
      </c>
      <c r="MDX19" s="310" t="s">
        <v>202</v>
      </c>
      <c r="MDY19" s="310" t="s">
        <v>202</v>
      </c>
      <c r="MDZ19" s="310" t="s">
        <v>202</v>
      </c>
      <c r="MEA19" s="310" t="s">
        <v>202</v>
      </c>
      <c r="MEB19" s="310" t="s">
        <v>202</v>
      </c>
      <c r="MEC19" s="310" t="s">
        <v>202</v>
      </c>
      <c r="MED19" s="310" t="s">
        <v>202</v>
      </c>
      <c r="MEE19" s="310" t="s">
        <v>202</v>
      </c>
      <c r="MEF19" s="310" t="s">
        <v>202</v>
      </c>
      <c r="MEG19" s="310" t="s">
        <v>202</v>
      </c>
      <c r="MEH19" s="310" t="s">
        <v>202</v>
      </c>
      <c r="MEI19" s="310" t="s">
        <v>202</v>
      </c>
      <c r="MEJ19" s="310" t="s">
        <v>202</v>
      </c>
      <c r="MEK19" s="310" t="s">
        <v>202</v>
      </c>
      <c r="MEL19" s="310" t="s">
        <v>202</v>
      </c>
      <c r="MEM19" s="310" t="s">
        <v>202</v>
      </c>
      <c r="MEN19" s="310" t="s">
        <v>202</v>
      </c>
      <c r="MEO19" s="310" t="s">
        <v>202</v>
      </c>
      <c r="MEP19" s="310" t="s">
        <v>202</v>
      </c>
      <c r="MEQ19" s="310" t="s">
        <v>202</v>
      </c>
      <c r="MER19" s="310" t="s">
        <v>202</v>
      </c>
      <c r="MES19" s="310" t="s">
        <v>202</v>
      </c>
      <c r="MET19" s="310" t="s">
        <v>202</v>
      </c>
      <c r="MEU19" s="310" t="s">
        <v>202</v>
      </c>
      <c r="MEV19" s="310" t="s">
        <v>202</v>
      </c>
      <c r="MEW19" s="310" t="s">
        <v>202</v>
      </c>
      <c r="MEX19" s="310" t="s">
        <v>202</v>
      </c>
      <c r="MEY19" s="310" t="s">
        <v>202</v>
      </c>
      <c r="MEZ19" s="310" t="s">
        <v>202</v>
      </c>
      <c r="MFA19" s="310" t="s">
        <v>202</v>
      </c>
      <c r="MFB19" s="310" t="s">
        <v>202</v>
      </c>
      <c r="MFC19" s="310" t="s">
        <v>202</v>
      </c>
      <c r="MFD19" s="310" t="s">
        <v>202</v>
      </c>
      <c r="MFE19" s="310" t="s">
        <v>202</v>
      </c>
      <c r="MFF19" s="310" t="s">
        <v>202</v>
      </c>
      <c r="MFG19" s="310" t="s">
        <v>202</v>
      </c>
      <c r="MFH19" s="310" t="s">
        <v>202</v>
      </c>
      <c r="MFI19" s="310" t="s">
        <v>202</v>
      </c>
      <c r="MFJ19" s="310" t="s">
        <v>202</v>
      </c>
      <c r="MFK19" s="310" t="s">
        <v>202</v>
      </c>
      <c r="MFL19" s="310" t="s">
        <v>202</v>
      </c>
      <c r="MFM19" s="310" t="s">
        <v>202</v>
      </c>
      <c r="MFN19" s="310" t="s">
        <v>202</v>
      </c>
      <c r="MFO19" s="310" t="s">
        <v>202</v>
      </c>
      <c r="MFP19" s="310" t="s">
        <v>202</v>
      </c>
      <c r="MFQ19" s="310" t="s">
        <v>202</v>
      </c>
      <c r="MFR19" s="310" t="s">
        <v>202</v>
      </c>
      <c r="MFS19" s="310" t="s">
        <v>202</v>
      </c>
      <c r="MFT19" s="310" t="s">
        <v>202</v>
      </c>
      <c r="MFU19" s="310" t="s">
        <v>202</v>
      </c>
      <c r="MFV19" s="310" t="s">
        <v>202</v>
      </c>
      <c r="MFW19" s="310" t="s">
        <v>202</v>
      </c>
      <c r="MFX19" s="310" t="s">
        <v>202</v>
      </c>
      <c r="MFY19" s="310" t="s">
        <v>202</v>
      </c>
      <c r="MFZ19" s="310" t="s">
        <v>202</v>
      </c>
      <c r="MGA19" s="310" t="s">
        <v>202</v>
      </c>
      <c r="MGB19" s="310" t="s">
        <v>202</v>
      </c>
      <c r="MGC19" s="310" t="s">
        <v>202</v>
      </c>
      <c r="MGD19" s="310" t="s">
        <v>202</v>
      </c>
      <c r="MGE19" s="310" t="s">
        <v>202</v>
      </c>
      <c r="MGF19" s="310" t="s">
        <v>202</v>
      </c>
      <c r="MGG19" s="310" t="s">
        <v>202</v>
      </c>
      <c r="MGH19" s="310" t="s">
        <v>202</v>
      </c>
      <c r="MGI19" s="310" t="s">
        <v>202</v>
      </c>
      <c r="MGJ19" s="310" t="s">
        <v>202</v>
      </c>
      <c r="MGK19" s="310" t="s">
        <v>202</v>
      </c>
      <c r="MGL19" s="310" t="s">
        <v>202</v>
      </c>
      <c r="MGM19" s="310" t="s">
        <v>202</v>
      </c>
      <c r="MGN19" s="310" t="s">
        <v>202</v>
      </c>
      <c r="MGO19" s="310" t="s">
        <v>202</v>
      </c>
      <c r="MGP19" s="310" t="s">
        <v>202</v>
      </c>
      <c r="MGQ19" s="310" t="s">
        <v>202</v>
      </c>
      <c r="MGR19" s="310" t="s">
        <v>202</v>
      </c>
      <c r="MGS19" s="310" t="s">
        <v>202</v>
      </c>
      <c r="MGT19" s="310" t="s">
        <v>202</v>
      </c>
      <c r="MGU19" s="310" t="s">
        <v>202</v>
      </c>
      <c r="MGV19" s="310" t="s">
        <v>202</v>
      </c>
      <c r="MGW19" s="310" t="s">
        <v>202</v>
      </c>
      <c r="MGX19" s="310" t="s">
        <v>202</v>
      </c>
      <c r="MGY19" s="310" t="s">
        <v>202</v>
      </c>
      <c r="MGZ19" s="310" t="s">
        <v>202</v>
      </c>
      <c r="MHA19" s="310" t="s">
        <v>202</v>
      </c>
      <c r="MHB19" s="310" t="s">
        <v>202</v>
      </c>
      <c r="MHC19" s="310" t="s">
        <v>202</v>
      </c>
      <c r="MHD19" s="310" t="s">
        <v>202</v>
      </c>
      <c r="MHE19" s="310" t="s">
        <v>202</v>
      </c>
      <c r="MHF19" s="310" t="s">
        <v>202</v>
      </c>
      <c r="MHG19" s="310" t="s">
        <v>202</v>
      </c>
      <c r="MHH19" s="310" t="s">
        <v>202</v>
      </c>
      <c r="MHI19" s="310" t="s">
        <v>202</v>
      </c>
      <c r="MHJ19" s="310" t="s">
        <v>202</v>
      </c>
      <c r="MHK19" s="310" t="s">
        <v>202</v>
      </c>
      <c r="MHL19" s="310" t="s">
        <v>202</v>
      </c>
      <c r="MHM19" s="310" t="s">
        <v>202</v>
      </c>
      <c r="MHN19" s="310" t="s">
        <v>202</v>
      </c>
      <c r="MHO19" s="310" t="s">
        <v>202</v>
      </c>
      <c r="MHP19" s="310" t="s">
        <v>202</v>
      </c>
      <c r="MHQ19" s="310" t="s">
        <v>202</v>
      </c>
      <c r="MHR19" s="310" t="s">
        <v>202</v>
      </c>
      <c r="MHS19" s="310" t="s">
        <v>202</v>
      </c>
      <c r="MHT19" s="310" t="s">
        <v>202</v>
      </c>
      <c r="MHU19" s="310" t="s">
        <v>202</v>
      </c>
      <c r="MHV19" s="310" t="s">
        <v>202</v>
      </c>
      <c r="MHW19" s="310" t="s">
        <v>202</v>
      </c>
      <c r="MHX19" s="310" t="s">
        <v>202</v>
      </c>
      <c r="MHY19" s="310" t="s">
        <v>202</v>
      </c>
      <c r="MHZ19" s="310" t="s">
        <v>202</v>
      </c>
      <c r="MIA19" s="310" t="s">
        <v>202</v>
      </c>
      <c r="MIB19" s="310" t="s">
        <v>202</v>
      </c>
      <c r="MIC19" s="310" t="s">
        <v>202</v>
      </c>
      <c r="MID19" s="310" t="s">
        <v>202</v>
      </c>
      <c r="MIE19" s="310" t="s">
        <v>202</v>
      </c>
      <c r="MIF19" s="310" t="s">
        <v>202</v>
      </c>
      <c r="MIG19" s="310" t="s">
        <v>202</v>
      </c>
      <c r="MIH19" s="310" t="s">
        <v>202</v>
      </c>
      <c r="MII19" s="310" t="s">
        <v>202</v>
      </c>
      <c r="MIJ19" s="310" t="s">
        <v>202</v>
      </c>
      <c r="MIK19" s="310" t="s">
        <v>202</v>
      </c>
      <c r="MIL19" s="310" t="s">
        <v>202</v>
      </c>
      <c r="MIM19" s="310" t="s">
        <v>202</v>
      </c>
      <c r="MIN19" s="310" t="s">
        <v>202</v>
      </c>
      <c r="MIO19" s="310" t="s">
        <v>202</v>
      </c>
      <c r="MIP19" s="310" t="s">
        <v>202</v>
      </c>
      <c r="MIQ19" s="310" t="s">
        <v>202</v>
      </c>
      <c r="MIR19" s="310" t="s">
        <v>202</v>
      </c>
      <c r="MIS19" s="310" t="s">
        <v>202</v>
      </c>
      <c r="MIT19" s="310" t="s">
        <v>202</v>
      </c>
      <c r="MIU19" s="310" t="s">
        <v>202</v>
      </c>
      <c r="MIV19" s="310" t="s">
        <v>202</v>
      </c>
      <c r="MIW19" s="310" t="s">
        <v>202</v>
      </c>
      <c r="MIX19" s="310" t="s">
        <v>202</v>
      </c>
      <c r="MIY19" s="310" t="s">
        <v>202</v>
      </c>
      <c r="MIZ19" s="310" t="s">
        <v>202</v>
      </c>
      <c r="MJA19" s="310" t="s">
        <v>202</v>
      </c>
      <c r="MJB19" s="310" t="s">
        <v>202</v>
      </c>
      <c r="MJC19" s="310" t="s">
        <v>202</v>
      </c>
      <c r="MJD19" s="310" t="s">
        <v>202</v>
      </c>
      <c r="MJE19" s="310" t="s">
        <v>202</v>
      </c>
      <c r="MJF19" s="310" t="s">
        <v>202</v>
      </c>
      <c r="MJG19" s="310" t="s">
        <v>202</v>
      </c>
      <c r="MJH19" s="310" t="s">
        <v>202</v>
      </c>
      <c r="MJI19" s="310" t="s">
        <v>202</v>
      </c>
      <c r="MJJ19" s="310" t="s">
        <v>202</v>
      </c>
      <c r="MJK19" s="310" t="s">
        <v>202</v>
      </c>
      <c r="MJL19" s="310" t="s">
        <v>202</v>
      </c>
      <c r="MJM19" s="310" t="s">
        <v>202</v>
      </c>
      <c r="MJN19" s="310" t="s">
        <v>202</v>
      </c>
      <c r="MJO19" s="310" t="s">
        <v>202</v>
      </c>
      <c r="MJP19" s="310" t="s">
        <v>202</v>
      </c>
      <c r="MJQ19" s="310" t="s">
        <v>202</v>
      </c>
      <c r="MJR19" s="310" t="s">
        <v>202</v>
      </c>
      <c r="MJS19" s="310" t="s">
        <v>202</v>
      </c>
      <c r="MJT19" s="310" t="s">
        <v>202</v>
      </c>
      <c r="MJU19" s="310" t="s">
        <v>202</v>
      </c>
      <c r="MJV19" s="310" t="s">
        <v>202</v>
      </c>
      <c r="MJW19" s="310" t="s">
        <v>202</v>
      </c>
      <c r="MJX19" s="310" t="s">
        <v>202</v>
      </c>
      <c r="MJY19" s="310" t="s">
        <v>202</v>
      </c>
      <c r="MJZ19" s="310" t="s">
        <v>202</v>
      </c>
      <c r="MKA19" s="310" t="s">
        <v>202</v>
      </c>
      <c r="MKB19" s="310" t="s">
        <v>202</v>
      </c>
      <c r="MKC19" s="310" t="s">
        <v>202</v>
      </c>
      <c r="MKD19" s="310" t="s">
        <v>202</v>
      </c>
      <c r="MKE19" s="310" t="s">
        <v>202</v>
      </c>
      <c r="MKF19" s="310" t="s">
        <v>202</v>
      </c>
      <c r="MKG19" s="310" t="s">
        <v>202</v>
      </c>
      <c r="MKH19" s="310" t="s">
        <v>202</v>
      </c>
      <c r="MKI19" s="310" t="s">
        <v>202</v>
      </c>
      <c r="MKJ19" s="310" t="s">
        <v>202</v>
      </c>
      <c r="MKK19" s="310" t="s">
        <v>202</v>
      </c>
      <c r="MKL19" s="310" t="s">
        <v>202</v>
      </c>
      <c r="MKM19" s="310" t="s">
        <v>202</v>
      </c>
      <c r="MKN19" s="310" t="s">
        <v>202</v>
      </c>
      <c r="MKO19" s="310" t="s">
        <v>202</v>
      </c>
      <c r="MKP19" s="310" t="s">
        <v>202</v>
      </c>
      <c r="MKQ19" s="310" t="s">
        <v>202</v>
      </c>
      <c r="MKR19" s="310" t="s">
        <v>202</v>
      </c>
      <c r="MKS19" s="310" t="s">
        <v>202</v>
      </c>
      <c r="MKT19" s="310" t="s">
        <v>202</v>
      </c>
      <c r="MKU19" s="310" t="s">
        <v>202</v>
      </c>
      <c r="MKV19" s="310" t="s">
        <v>202</v>
      </c>
      <c r="MKW19" s="310" t="s">
        <v>202</v>
      </c>
      <c r="MKX19" s="310" t="s">
        <v>202</v>
      </c>
      <c r="MKY19" s="310" t="s">
        <v>202</v>
      </c>
      <c r="MKZ19" s="310" t="s">
        <v>202</v>
      </c>
      <c r="MLA19" s="310" t="s">
        <v>202</v>
      </c>
      <c r="MLB19" s="310" t="s">
        <v>202</v>
      </c>
      <c r="MLC19" s="310" t="s">
        <v>202</v>
      </c>
      <c r="MLD19" s="310" t="s">
        <v>202</v>
      </c>
      <c r="MLE19" s="310" t="s">
        <v>202</v>
      </c>
      <c r="MLF19" s="310" t="s">
        <v>202</v>
      </c>
      <c r="MLG19" s="310" t="s">
        <v>202</v>
      </c>
      <c r="MLH19" s="310" t="s">
        <v>202</v>
      </c>
      <c r="MLI19" s="310" t="s">
        <v>202</v>
      </c>
      <c r="MLJ19" s="310" t="s">
        <v>202</v>
      </c>
      <c r="MLK19" s="310" t="s">
        <v>202</v>
      </c>
      <c r="MLL19" s="310" t="s">
        <v>202</v>
      </c>
      <c r="MLM19" s="310" t="s">
        <v>202</v>
      </c>
      <c r="MLN19" s="310" t="s">
        <v>202</v>
      </c>
      <c r="MLO19" s="310" t="s">
        <v>202</v>
      </c>
      <c r="MLP19" s="310" t="s">
        <v>202</v>
      </c>
      <c r="MLQ19" s="310" t="s">
        <v>202</v>
      </c>
      <c r="MLR19" s="310" t="s">
        <v>202</v>
      </c>
      <c r="MLS19" s="310" t="s">
        <v>202</v>
      </c>
      <c r="MLT19" s="310" t="s">
        <v>202</v>
      </c>
      <c r="MLU19" s="310" t="s">
        <v>202</v>
      </c>
      <c r="MLV19" s="310" t="s">
        <v>202</v>
      </c>
      <c r="MLW19" s="310" t="s">
        <v>202</v>
      </c>
      <c r="MLX19" s="310" t="s">
        <v>202</v>
      </c>
      <c r="MLY19" s="310" t="s">
        <v>202</v>
      </c>
      <c r="MLZ19" s="310" t="s">
        <v>202</v>
      </c>
      <c r="MMA19" s="310" t="s">
        <v>202</v>
      </c>
      <c r="MMB19" s="310" t="s">
        <v>202</v>
      </c>
      <c r="MMC19" s="310" t="s">
        <v>202</v>
      </c>
      <c r="MMD19" s="310" t="s">
        <v>202</v>
      </c>
      <c r="MME19" s="310" t="s">
        <v>202</v>
      </c>
      <c r="MMF19" s="310" t="s">
        <v>202</v>
      </c>
      <c r="MMG19" s="310" t="s">
        <v>202</v>
      </c>
      <c r="MMH19" s="310" t="s">
        <v>202</v>
      </c>
      <c r="MMI19" s="310" t="s">
        <v>202</v>
      </c>
      <c r="MMJ19" s="310" t="s">
        <v>202</v>
      </c>
      <c r="MMK19" s="310" t="s">
        <v>202</v>
      </c>
      <c r="MML19" s="310" t="s">
        <v>202</v>
      </c>
      <c r="MMM19" s="310" t="s">
        <v>202</v>
      </c>
      <c r="MMN19" s="310" t="s">
        <v>202</v>
      </c>
      <c r="MMO19" s="310" t="s">
        <v>202</v>
      </c>
      <c r="MMP19" s="310" t="s">
        <v>202</v>
      </c>
      <c r="MMQ19" s="310" t="s">
        <v>202</v>
      </c>
      <c r="MMR19" s="310" t="s">
        <v>202</v>
      </c>
      <c r="MMS19" s="310" t="s">
        <v>202</v>
      </c>
      <c r="MMT19" s="310" t="s">
        <v>202</v>
      </c>
      <c r="MMU19" s="310" t="s">
        <v>202</v>
      </c>
      <c r="MMV19" s="310" t="s">
        <v>202</v>
      </c>
      <c r="MMW19" s="310" t="s">
        <v>202</v>
      </c>
      <c r="MMX19" s="310" t="s">
        <v>202</v>
      </c>
      <c r="MMY19" s="310" t="s">
        <v>202</v>
      </c>
      <c r="MMZ19" s="310" t="s">
        <v>202</v>
      </c>
      <c r="MNA19" s="310" t="s">
        <v>202</v>
      </c>
      <c r="MNB19" s="310" t="s">
        <v>202</v>
      </c>
      <c r="MNC19" s="310" t="s">
        <v>202</v>
      </c>
      <c r="MND19" s="310" t="s">
        <v>202</v>
      </c>
      <c r="MNE19" s="310" t="s">
        <v>202</v>
      </c>
      <c r="MNF19" s="310" t="s">
        <v>202</v>
      </c>
      <c r="MNG19" s="310" t="s">
        <v>202</v>
      </c>
      <c r="MNH19" s="310" t="s">
        <v>202</v>
      </c>
      <c r="MNI19" s="310" t="s">
        <v>202</v>
      </c>
      <c r="MNJ19" s="310" t="s">
        <v>202</v>
      </c>
      <c r="MNK19" s="310" t="s">
        <v>202</v>
      </c>
      <c r="MNL19" s="310" t="s">
        <v>202</v>
      </c>
      <c r="MNM19" s="310" t="s">
        <v>202</v>
      </c>
      <c r="MNN19" s="310" t="s">
        <v>202</v>
      </c>
      <c r="MNO19" s="310" t="s">
        <v>202</v>
      </c>
      <c r="MNP19" s="310" t="s">
        <v>202</v>
      </c>
      <c r="MNQ19" s="310" t="s">
        <v>202</v>
      </c>
      <c r="MNR19" s="310" t="s">
        <v>202</v>
      </c>
      <c r="MNS19" s="310" t="s">
        <v>202</v>
      </c>
      <c r="MNT19" s="310" t="s">
        <v>202</v>
      </c>
      <c r="MNU19" s="310" t="s">
        <v>202</v>
      </c>
      <c r="MNV19" s="310" t="s">
        <v>202</v>
      </c>
      <c r="MNW19" s="310" t="s">
        <v>202</v>
      </c>
      <c r="MNX19" s="310" t="s">
        <v>202</v>
      </c>
      <c r="MNY19" s="310" t="s">
        <v>202</v>
      </c>
      <c r="MNZ19" s="310" t="s">
        <v>202</v>
      </c>
      <c r="MOA19" s="310" t="s">
        <v>202</v>
      </c>
      <c r="MOB19" s="310" t="s">
        <v>202</v>
      </c>
      <c r="MOC19" s="310" t="s">
        <v>202</v>
      </c>
      <c r="MOD19" s="310" t="s">
        <v>202</v>
      </c>
      <c r="MOE19" s="310" t="s">
        <v>202</v>
      </c>
      <c r="MOF19" s="310" t="s">
        <v>202</v>
      </c>
      <c r="MOG19" s="310" t="s">
        <v>202</v>
      </c>
      <c r="MOH19" s="310" t="s">
        <v>202</v>
      </c>
      <c r="MOI19" s="310" t="s">
        <v>202</v>
      </c>
      <c r="MOJ19" s="310" t="s">
        <v>202</v>
      </c>
      <c r="MOK19" s="310" t="s">
        <v>202</v>
      </c>
      <c r="MOL19" s="310" t="s">
        <v>202</v>
      </c>
      <c r="MOM19" s="310" t="s">
        <v>202</v>
      </c>
      <c r="MON19" s="310" t="s">
        <v>202</v>
      </c>
      <c r="MOO19" s="310" t="s">
        <v>202</v>
      </c>
      <c r="MOP19" s="310" t="s">
        <v>202</v>
      </c>
      <c r="MOQ19" s="310" t="s">
        <v>202</v>
      </c>
      <c r="MOR19" s="310" t="s">
        <v>202</v>
      </c>
      <c r="MOS19" s="310" t="s">
        <v>202</v>
      </c>
      <c r="MOT19" s="310" t="s">
        <v>202</v>
      </c>
      <c r="MOU19" s="310" t="s">
        <v>202</v>
      </c>
      <c r="MOV19" s="310" t="s">
        <v>202</v>
      </c>
      <c r="MOW19" s="310" t="s">
        <v>202</v>
      </c>
      <c r="MOX19" s="310" t="s">
        <v>202</v>
      </c>
      <c r="MOY19" s="310" t="s">
        <v>202</v>
      </c>
      <c r="MOZ19" s="310" t="s">
        <v>202</v>
      </c>
      <c r="MPA19" s="310" t="s">
        <v>202</v>
      </c>
      <c r="MPB19" s="310" t="s">
        <v>202</v>
      </c>
      <c r="MPC19" s="310" t="s">
        <v>202</v>
      </c>
      <c r="MPD19" s="310" t="s">
        <v>202</v>
      </c>
      <c r="MPE19" s="310" t="s">
        <v>202</v>
      </c>
      <c r="MPF19" s="310" t="s">
        <v>202</v>
      </c>
      <c r="MPG19" s="310" t="s">
        <v>202</v>
      </c>
      <c r="MPH19" s="310" t="s">
        <v>202</v>
      </c>
      <c r="MPI19" s="310" t="s">
        <v>202</v>
      </c>
      <c r="MPJ19" s="310" t="s">
        <v>202</v>
      </c>
      <c r="MPK19" s="310" t="s">
        <v>202</v>
      </c>
      <c r="MPL19" s="310" t="s">
        <v>202</v>
      </c>
      <c r="MPM19" s="310" t="s">
        <v>202</v>
      </c>
      <c r="MPN19" s="310" t="s">
        <v>202</v>
      </c>
      <c r="MPO19" s="310" t="s">
        <v>202</v>
      </c>
      <c r="MPP19" s="310" t="s">
        <v>202</v>
      </c>
      <c r="MPQ19" s="310" t="s">
        <v>202</v>
      </c>
      <c r="MPR19" s="310" t="s">
        <v>202</v>
      </c>
      <c r="MPS19" s="310" t="s">
        <v>202</v>
      </c>
      <c r="MPT19" s="310" t="s">
        <v>202</v>
      </c>
      <c r="MPU19" s="310" t="s">
        <v>202</v>
      </c>
      <c r="MPV19" s="310" t="s">
        <v>202</v>
      </c>
      <c r="MPW19" s="310" t="s">
        <v>202</v>
      </c>
      <c r="MPX19" s="310" t="s">
        <v>202</v>
      </c>
      <c r="MPY19" s="310" t="s">
        <v>202</v>
      </c>
      <c r="MPZ19" s="310" t="s">
        <v>202</v>
      </c>
      <c r="MQA19" s="310" t="s">
        <v>202</v>
      </c>
      <c r="MQB19" s="310" t="s">
        <v>202</v>
      </c>
      <c r="MQC19" s="310" t="s">
        <v>202</v>
      </c>
      <c r="MQD19" s="310" t="s">
        <v>202</v>
      </c>
      <c r="MQE19" s="310" t="s">
        <v>202</v>
      </c>
      <c r="MQF19" s="310" t="s">
        <v>202</v>
      </c>
      <c r="MQG19" s="310" t="s">
        <v>202</v>
      </c>
      <c r="MQH19" s="310" t="s">
        <v>202</v>
      </c>
      <c r="MQI19" s="310" t="s">
        <v>202</v>
      </c>
      <c r="MQJ19" s="310" t="s">
        <v>202</v>
      </c>
      <c r="MQK19" s="310" t="s">
        <v>202</v>
      </c>
      <c r="MQL19" s="310" t="s">
        <v>202</v>
      </c>
      <c r="MQM19" s="310" t="s">
        <v>202</v>
      </c>
      <c r="MQN19" s="310" t="s">
        <v>202</v>
      </c>
      <c r="MQO19" s="310" t="s">
        <v>202</v>
      </c>
      <c r="MQP19" s="310" t="s">
        <v>202</v>
      </c>
      <c r="MQQ19" s="310" t="s">
        <v>202</v>
      </c>
      <c r="MQR19" s="310" t="s">
        <v>202</v>
      </c>
      <c r="MQS19" s="310" t="s">
        <v>202</v>
      </c>
      <c r="MQT19" s="310" t="s">
        <v>202</v>
      </c>
      <c r="MQU19" s="310" t="s">
        <v>202</v>
      </c>
      <c r="MQV19" s="310" t="s">
        <v>202</v>
      </c>
      <c r="MQW19" s="310" t="s">
        <v>202</v>
      </c>
      <c r="MQX19" s="310" t="s">
        <v>202</v>
      </c>
      <c r="MQY19" s="310" t="s">
        <v>202</v>
      </c>
      <c r="MQZ19" s="310" t="s">
        <v>202</v>
      </c>
      <c r="MRA19" s="310" t="s">
        <v>202</v>
      </c>
      <c r="MRB19" s="310" t="s">
        <v>202</v>
      </c>
      <c r="MRC19" s="310" t="s">
        <v>202</v>
      </c>
      <c r="MRD19" s="310" t="s">
        <v>202</v>
      </c>
      <c r="MRE19" s="310" t="s">
        <v>202</v>
      </c>
      <c r="MRF19" s="310" t="s">
        <v>202</v>
      </c>
      <c r="MRG19" s="310" t="s">
        <v>202</v>
      </c>
      <c r="MRH19" s="310" t="s">
        <v>202</v>
      </c>
      <c r="MRI19" s="310" t="s">
        <v>202</v>
      </c>
      <c r="MRJ19" s="310" t="s">
        <v>202</v>
      </c>
      <c r="MRK19" s="310" t="s">
        <v>202</v>
      </c>
      <c r="MRL19" s="310" t="s">
        <v>202</v>
      </c>
      <c r="MRM19" s="310" t="s">
        <v>202</v>
      </c>
      <c r="MRN19" s="310" t="s">
        <v>202</v>
      </c>
      <c r="MRO19" s="310" t="s">
        <v>202</v>
      </c>
      <c r="MRP19" s="310" t="s">
        <v>202</v>
      </c>
      <c r="MRQ19" s="310" t="s">
        <v>202</v>
      </c>
      <c r="MRR19" s="310" t="s">
        <v>202</v>
      </c>
      <c r="MRS19" s="310" t="s">
        <v>202</v>
      </c>
      <c r="MRT19" s="310" t="s">
        <v>202</v>
      </c>
      <c r="MRU19" s="310" t="s">
        <v>202</v>
      </c>
      <c r="MRV19" s="310" t="s">
        <v>202</v>
      </c>
      <c r="MRW19" s="310" t="s">
        <v>202</v>
      </c>
      <c r="MRX19" s="310" t="s">
        <v>202</v>
      </c>
      <c r="MRY19" s="310" t="s">
        <v>202</v>
      </c>
      <c r="MRZ19" s="310" t="s">
        <v>202</v>
      </c>
      <c r="MSA19" s="310" t="s">
        <v>202</v>
      </c>
      <c r="MSB19" s="310" t="s">
        <v>202</v>
      </c>
      <c r="MSC19" s="310" t="s">
        <v>202</v>
      </c>
      <c r="MSD19" s="310" t="s">
        <v>202</v>
      </c>
      <c r="MSE19" s="310" t="s">
        <v>202</v>
      </c>
      <c r="MSF19" s="310" t="s">
        <v>202</v>
      </c>
      <c r="MSG19" s="310" t="s">
        <v>202</v>
      </c>
      <c r="MSH19" s="310" t="s">
        <v>202</v>
      </c>
      <c r="MSI19" s="310" t="s">
        <v>202</v>
      </c>
      <c r="MSJ19" s="310" t="s">
        <v>202</v>
      </c>
      <c r="MSK19" s="310" t="s">
        <v>202</v>
      </c>
      <c r="MSL19" s="310" t="s">
        <v>202</v>
      </c>
      <c r="MSM19" s="310" t="s">
        <v>202</v>
      </c>
      <c r="MSN19" s="310" t="s">
        <v>202</v>
      </c>
      <c r="MSO19" s="310" t="s">
        <v>202</v>
      </c>
      <c r="MSP19" s="310" t="s">
        <v>202</v>
      </c>
      <c r="MSQ19" s="310" t="s">
        <v>202</v>
      </c>
      <c r="MSR19" s="310" t="s">
        <v>202</v>
      </c>
      <c r="MSS19" s="310" t="s">
        <v>202</v>
      </c>
      <c r="MST19" s="310" t="s">
        <v>202</v>
      </c>
      <c r="MSU19" s="310" t="s">
        <v>202</v>
      </c>
      <c r="MSV19" s="310" t="s">
        <v>202</v>
      </c>
      <c r="MSW19" s="310" t="s">
        <v>202</v>
      </c>
      <c r="MSX19" s="310" t="s">
        <v>202</v>
      </c>
      <c r="MSY19" s="310" t="s">
        <v>202</v>
      </c>
      <c r="MSZ19" s="310" t="s">
        <v>202</v>
      </c>
      <c r="MTA19" s="310" t="s">
        <v>202</v>
      </c>
      <c r="MTB19" s="310" t="s">
        <v>202</v>
      </c>
      <c r="MTC19" s="310" t="s">
        <v>202</v>
      </c>
      <c r="MTD19" s="310" t="s">
        <v>202</v>
      </c>
      <c r="MTE19" s="310" t="s">
        <v>202</v>
      </c>
      <c r="MTF19" s="310" t="s">
        <v>202</v>
      </c>
      <c r="MTG19" s="310" t="s">
        <v>202</v>
      </c>
      <c r="MTH19" s="310" t="s">
        <v>202</v>
      </c>
      <c r="MTI19" s="310" t="s">
        <v>202</v>
      </c>
      <c r="MTJ19" s="310" t="s">
        <v>202</v>
      </c>
      <c r="MTK19" s="310" t="s">
        <v>202</v>
      </c>
      <c r="MTL19" s="310" t="s">
        <v>202</v>
      </c>
      <c r="MTM19" s="310" t="s">
        <v>202</v>
      </c>
      <c r="MTN19" s="310" t="s">
        <v>202</v>
      </c>
      <c r="MTO19" s="310" t="s">
        <v>202</v>
      </c>
      <c r="MTP19" s="310" t="s">
        <v>202</v>
      </c>
      <c r="MTQ19" s="310" t="s">
        <v>202</v>
      </c>
      <c r="MTR19" s="310" t="s">
        <v>202</v>
      </c>
      <c r="MTS19" s="310" t="s">
        <v>202</v>
      </c>
      <c r="MTT19" s="310" t="s">
        <v>202</v>
      </c>
      <c r="MTU19" s="310" t="s">
        <v>202</v>
      </c>
      <c r="MTV19" s="310" t="s">
        <v>202</v>
      </c>
      <c r="MTW19" s="310" t="s">
        <v>202</v>
      </c>
      <c r="MTX19" s="310" t="s">
        <v>202</v>
      </c>
      <c r="MTY19" s="310" t="s">
        <v>202</v>
      </c>
      <c r="MTZ19" s="310" t="s">
        <v>202</v>
      </c>
      <c r="MUA19" s="310" t="s">
        <v>202</v>
      </c>
      <c r="MUB19" s="310" t="s">
        <v>202</v>
      </c>
      <c r="MUC19" s="310" t="s">
        <v>202</v>
      </c>
      <c r="MUD19" s="310" t="s">
        <v>202</v>
      </c>
      <c r="MUE19" s="310" t="s">
        <v>202</v>
      </c>
      <c r="MUF19" s="310" t="s">
        <v>202</v>
      </c>
      <c r="MUG19" s="310" t="s">
        <v>202</v>
      </c>
      <c r="MUH19" s="310" t="s">
        <v>202</v>
      </c>
      <c r="MUI19" s="310" t="s">
        <v>202</v>
      </c>
      <c r="MUJ19" s="310" t="s">
        <v>202</v>
      </c>
      <c r="MUK19" s="310" t="s">
        <v>202</v>
      </c>
      <c r="MUL19" s="310" t="s">
        <v>202</v>
      </c>
      <c r="MUM19" s="310" t="s">
        <v>202</v>
      </c>
      <c r="MUN19" s="310" t="s">
        <v>202</v>
      </c>
      <c r="MUO19" s="310" t="s">
        <v>202</v>
      </c>
      <c r="MUP19" s="310" t="s">
        <v>202</v>
      </c>
      <c r="MUQ19" s="310" t="s">
        <v>202</v>
      </c>
      <c r="MUR19" s="310" t="s">
        <v>202</v>
      </c>
      <c r="MUS19" s="310" t="s">
        <v>202</v>
      </c>
      <c r="MUT19" s="310" t="s">
        <v>202</v>
      </c>
      <c r="MUU19" s="310" t="s">
        <v>202</v>
      </c>
      <c r="MUV19" s="310" t="s">
        <v>202</v>
      </c>
      <c r="MUW19" s="310" t="s">
        <v>202</v>
      </c>
      <c r="MUX19" s="310" t="s">
        <v>202</v>
      </c>
      <c r="MUY19" s="310" t="s">
        <v>202</v>
      </c>
      <c r="MUZ19" s="310" t="s">
        <v>202</v>
      </c>
      <c r="MVA19" s="310" t="s">
        <v>202</v>
      </c>
      <c r="MVB19" s="310" t="s">
        <v>202</v>
      </c>
      <c r="MVC19" s="310" t="s">
        <v>202</v>
      </c>
      <c r="MVD19" s="310" t="s">
        <v>202</v>
      </c>
      <c r="MVE19" s="310" t="s">
        <v>202</v>
      </c>
      <c r="MVF19" s="310" t="s">
        <v>202</v>
      </c>
      <c r="MVG19" s="310" t="s">
        <v>202</v>
      </c>
      <c r="MVH19" s="310" t="s">
        <v>202</v>
      </c>
      <c r="MVI19" s="310" t="s">
        <v>202</v>
      </c>
      <c r="MVJ19" s="310" t="s">
        <v>202</v>
      </c>
      <c r="MVK19" s="310" t="s">
        <v>202</v>
      </c>
      <c r="MVL19" s="310" t="s">
        <v>202</v>
      </c>
      <c r="MVM19" s="310" t="s">
        <v>202</v>
      </c>
      <c r="MVN19" s="310" t="s">
        <v>202</v>
      </c>
      <c r="MVO19" s="310" t="s">
        <v>202</v>
      </c>
      <c r="MVP19" s="310" t="s">
        <v>202</v>
      </c>
      <c r="MVQ19" s="310" t="s">
        <v>202</v>
      </c>
      <c r="MVR19" s="310" t="s">
        <v>202</v>
      </c>
      <c r="MVS19" s="310" t="s">
        <v>202</v>
      </c>
      <c r="MVT19" s="310" t="s">
        <v>202</v>
      </c>
      <c r="MVU19" s="310" t="s">
        <v>202</v>
      </c>
      <c r="MVV19" s="310" t="s">
        <v>202</v>
      </c>
      <c r="MVW19" s="310" t="s">
        <v>202</v>
      </c>
      <c r="MVX19" s="310" t="s">
        <v>202</v>
      </c>
      <c r="MVY19" s="310" t="s">
        <v>202</v>
      </c>
      <c r="MVZ19" s="310" t="s">
        <v>202</v>
      </c>
      <c r="MWA19" s="310" t="s">
        <v>202</v>
      </c>
      <c r="MWB19" s="310" t="s">
        <v>202</v>
      </c>
      <c r="MWC19" s="310" t="s">
        <v>202</v>
      </c>
      <c r="MWD19" s="310" t="s">
        <v>202</v>
      </c>
      <c r="MWE19" s="310" t="s">
        <v>202</v>
      </c>
      <c r="MWF19" s="310" t="s">
        <v>202</v>
      </c>
      <c r="MWG19" s="310" t="s">
        <v>202</v>
      </c>
      <c r="MWH19" s="310" t="s">
        <v>202</v>
      </c>
      <c r="MWI19" s="310" t="s">
        <v>202</v>
      </c>
      <c r="MWJ19" s="310" t="s">
        <v>202</v>
      </c>
      <c r="MWK19" s="310" t="s">
        <v>202</v>
      </c>
      <c r="MWL19" s="310" t="s">
        <v>202</v>
      </c>
      <c r="MWM19" s="310" t="s">
        <v>202</v>
      </c>
      <c r="MWN19" s="310" t="s">
        <v>202</v>
      </c>
      <c r="MWO19" s="310" t="s">
        <v>202</v>
      </c>
      <c r="MWP19" s="310" t="s">
        <v>202</v>
      </c>
      <c r="MWQ19" s="310" t="s">
        <v>202</v>
      </c>
      <c r="MWR19" s="310" t="s">
        <v>202</v>
      </c>
      <c r="MWS19" s="310" t="s">
        <v>202</v>
      </c>
      <c r="MWT19" s="310" t="s">
        <v>202</v>
      </c>
      <c r="MWU19" s="310" t="s">
        <v>202</v>
      </c>
      <c r="MWV19" s="310" t="s">
        <v>202</v>
      </c>
      <c r="MWW19" s="310" t="s">
        <v>202</v>
      </c>
      <c r="MWX19" s="310" t="s">
        <v>202</v>
      </c>
      <c r="MWY19" s="310" t="s">
        <v>202</v>
      </c>
      <c r="MWZ19" s="310" t="s">
        <v>202</v>
      </c>
      <c r="MXA19" s="310" t="s">
        <v>202</v>
      </c>
      <c r="MXB19" s="310" t="s">
        <v>202</v>
      </c>
      <c r="MXC19" s="310" t="s">
        <v>202</v>
      </c>
      <c r="MXD19" s="310" t="s">
        <v>202</v>
      </c>
      <c r="MXE19" s="310" t="s">
        <v>202</v>
      </c>
      <c r="MXF19" s="310" t="s">
        <v>202</v>
      </c>
      <c r="MXG19" s="310" t="s">
        <v>202</v>
      </c>
      <c r="MXH19" s="310" t="s">
        <v>202</v>
      </c>
      <c r="MXI19" s="310" t="s">
        <v>202</v>
      </c>
      <c r="MXJ19" s="310" t="s">
        <v>202</v>
      </c>
      <c r="MXK19" s="310" t="s">
        <v>202</v>
      </c>
      <c r="MXL19" s="310" t="s">
        <v>202</v>
      </c>
      <c r="MXM19" s="310" t="s">
        <v>202</v>
      </c>
      <c r="MXN19" s="310" t="s">
        <v>202</v>
      </c>
      <c r="MXO19" s="310" t="s">
        <v>202</v>
      </c>
      <c r="MXP19" s="310" t="s">
        <v>202</v>
      </c>
      <c r="MXQ19" s="310" t="s">
        <v>202</v>
      </c>
      <c r="MXR19" s="310" t="s">
        <v>202</v>
      </c>
      <c r="MXS19" s="310" t="s">
        <v>202</v>
      </c>
      <c r="MXT19" s="310" t="s">
        <v>202</v>
      </c>
      <c r="MXU19" s="310" t="s">
        <v>202</v>
      </c>
      <c r="MXV19" s="310" t="s">
        <v>202</v>
      </c>
      <c r="MXW19" s="310" t="s">
        <v>202</v>
      </c>
      <c r="MXX19" s="310" t="s">
        <v>202</v>
      </c>
      <c r="MXY19" s="310" t="s">
        <v>202</v>
      </c>
      <c r="MXZ19" s="310" t="s">
        <v>202</v>
      </c>
      <c r="MYA19" s="310" t="s">
        <v>202</v>
      </c>
      <c r="MYB19" s="310" t="s">
        <v>202</v>
      </c>
      <c r="MYC19" s="310" t="s">
        <v>202</v>
      </c>
      <c r="MYD19" s="310" t="s">
        <v>202</v>
      </c>
      <c r="MYE19" s="310" t="s">
        <v>202</v>
      </c>
      <c r="MYF19" s="310" t="s">
        <v>202</v>
      </c>
      <c r="MYG19" s="310" t="s">
        <v>202</v>
      </c>
      <c r="MYH19" s="310" t="s">
        <v>202</v>
      </c>
      <c r="MYI19" s="310" t="s">
        <v>202</v>
      </c>
      <c r="MYJ19" s="310" t="s">
        <v>202</v>
      </c>
      <c r="MYK19" s="310" t="s">
        <v>202</v>
      </c>
      <c r="MYL19" s="310" t="s">
        <v>202</v>
      </c>
      <c r="MYM19" s="310" t="s">
        <v>202</v>
      </c>
      <c r="MYN19" s="310" t="s">
        <v>202</v>
      </c>
      <c r="MYO19" s="310" t="s">
        <v>202</v>
      </c>
      <c r="MYP19" s="310" t="s">
        <v>202</v>
      </c>
      <c r="MYQ19" s="310" t="s">
        <v>202</v>
      </c>
      <c r="MYR19" s="310" t="s">
        <v>202</v>
      </c>
      <c r="MYS19" s="310" t="s">
        <v>202</v>
      </c>
      <c r="MYT19" s="310" t="s">
        <v>202</v>
      </c>
      <c r="MYU19" s="310" t="s">
        <v>202</v>
      </c>
      <c r="MYV19" s="310" t="s">
        <v>202</v>
      </c>
      <c r="MYW19" s="310" t="s">
        <v>202</v>
      </c>
      <c r="MYX19" s="310" t="s">
        <v>202</v>
      </c>
      <c r="MYY19" s="310" t="s">
        <v>202</v>
      </c>
      <c r="MYZ19" s="310" t="s">
        <v>202</v>
      </c>
      <c r="MZA19" s="310" t="s">
        <v>202</v>
      </c>
      <c r="MZB19" s="310" t="s">
        <v>202</v>
      </c>
      <c r="MZC19" s="310" t="s">
        <v>202</v>
      </c>
      <c r="MZD19" s="310" t="s">
        <v>202</v>
      </c>
      <c r="MZE19" s="310" t="s">
        <v>202</v>
      </c>
      <c r="MZF19" s="310" t="s">
        <v>202</v>
      </c>
      <c r="MZG19" s="310" t="s">
        <v>202</v>
      </c>
      <c r="MZH19" s="310" t="s">
        <v>202</v>
      </c>
      <c r="MZI19" s="310" t="s">
        <v>202</v>
      </c>
      <c r="MZJ19" s="310" t="s">
        <v>202</v>
      </c>
      <c r="MZK19" s="310" t="s">
        <v>202</v>
      </c>
      <c r="MZL19" s="310" t="s">
        <v>202</v>
      </c>
      <c r="MZM19" s="310" t="s">
        <v>202</v>
      </c>
      <c r="MZN19" s="310" t="s">
        <v>202</v>
      </c>
      <c r="MZO19" s="310" t="s">
        <v>202</v>
      </c>
      <c r="MZP19" s="310" t="s">
        <v>202</v>
      </c>
      <c r="MZQ19" s="310" t="s">
        <v>202</v>
      </c>
      <c r="MZR19" s="310" t="s">
        <v>202</v>
      </c>
      <c r="MZS19" s="310" t="s">
        <v>202</v>
      </c>
      <c r="MZT19" s="310" t="s">
        <v>202</v>
      </c>
      <c r="MZU19" s="310" t="s">
        <v>202</v>
      </c>
      <c r="MZV19" s="310" t="s">
        <v>202</v>
      </c>
      <c r="MZW19" s="310" t="s">
        <v>202</v>
      </c>
      <c r="MZX19" s="310" t="s">
        <v>202</v>
      </c>
      <c r="MZY19" s="310" t="s">
        <v>202</v>
      </c>
      <c r="MZZ19" s="310" t="s">
        <v>202</v>
      </c>
      <c r="NAA19" s="310" t="s">
        <v>202</v>
      </c>
      <c r="NAB19" s="310" t="s">
        <v>202</v>
      </c>
      <c r="NAC19" s="310" t="s">
        <v>202</v>
      </c>
      <c r="NAD19" s="310" t="s">
        <v>202</v>
      </c>
      <c r="NAE19" s="310" t="s">
        <v>202</v>
      </c>
      <c r="NAF19" s="310" t="s">
        <v>202</v>
      </c>
      <c r="NAG19" s="310" t="s">
        <v>202</v>
      </c>
      <c r="NAH19" s="310" t="s">
        <v>202</v>
      </c>
      <c r="NAI19" s="310" t="s">
        <v>202</v>
      </c>
      <c r="NAJ19" s="310" t="s">
        <v>202</v>
      </c>
      <c r="NAK19" s="310" t="s">
        <v>202</v>
      </c>
      <c r="NAL19" s="310" t="s">
        <v>202</v>
      </c>
      <c r="NAM19" s="310" t="s">
        <v>202</v>
      </c>
      <c r="NAN19" s="310" t="s">
        <v>202</v>
      </c>
      <c r="NAO19" s="310" t="s">
        <v>202</v>
      </c>
      <c r="NAP19" s="310" t="s">
        <v>202</v>
      </c>
      <c r="NAQ19" s="310" t="s">
        <v>202</v>
      </c>
      <c r="NAR19" s="310" t="s">
        <v>202</v>
      </c>
      <c r="NAS19" s="310" t="s">
        <v>202</v>
      </c>
      <c r="NAT19" s="310" t="s">
        <v>202</v>
      </c>
      <c r="NAU19" s="310" t="s">
        <v>202</v>
      </c>
      <c r="NAV19" s="310" t="s">
        <v>202</v>
      </c>
      <c r="NAW19" s="310" t="s">
        <v>202</v>
      </c>
      <c r="NAX19" s="310" t="s">
        <v>202</v>
      </c>
      <c r="NAY19" s="310" t="s">
        <v>202</v>
      </c>
      <c r="NAZ19" s="310" t="s">
        <v>202</v>
      </c>
      <c r="NBA19" s="310" t="s">
        <v>202</v>
      </c>
      <c r="NBB19" s="310" t="s">
        <v>202</v>
      </c>
      <c r="NBC19" s="310" t="s">
        <v>202</v>
      </c>
      <c r="NBD19" s="310" t="s">
        <v>202</v>
      </c>
      <c r="NBE19" s="310" t="s">
        <v>202</v>
      </c>
      <c r="NBF19" s="310" t="s">
        <v>202</v>
      </c>
      <c r="NBG19" s="310" t="s">
        <v>202</v>
      </c>
      <c r="NBH19" s="310" t="s">
        <v>202</v>
      </c>
      <c r="NBI19" s="310" t="s">
        <v>202</v>
      </c>
      <c r="NBJ19" s="310" t="s">
        <v>202</v>
      </c>
      <c r="NBK19" s="310" t="s">
        <v>202</v>
      </c>
      <c r="NBL19" s="310" t="s">
        <v>202</v>
      </c>
      <c r="NBM19" s="310" t="s">
        <v>202</v>
      </c>
      <c r="NBN19" s="310" t="s">
        <v>202</v>
      </c>
      <c r="NBO19" s="310" t="s">
        <v>202</v>
      </c>
      <c r="NBP19" s="310" t="s">
        <v>202</v>
      </c>
      <c r="NBQ19" s="310" t="s">
        <v>202</v>
      </c>
      <c r="NBR19" s="310" t="s">
        <v>202</v>
      </c>
      <c r="NBS19" s="310" t="s">
        <v>202</v>
      </c>
      <c r="NBT19" s="310" t="s">
        <v>202</v>
      </c>
      <c r="NBU19" s="310" t="s">
        <v>202</v>
      </c>
      <c r="NBV19" s="310" t="s">
        <v>202</v>
      </c>
      <c r="NBW19" s="310" t="s">
        <v>202</v>
      </c>
      <c r="NBX19" s="310" t="s">
        <v>202</v>
      </c>
      <c r="NBY19" s="310" t="s">
        <v>202</v>
      </c>
      <c r="NBZ19" s="310" t="s">
        <v>202</v>
      </c>
      <c r="NCA19" s="310" t="s">
        <v>202</v>
      </c>
      <c r="NCB19" s="310" t="s">
        <v>202</v>
      </c>
      <c r="NCC19" s="310" t="s">
        <v>202</v>
      </c>
      <c r="NCD19" s="310" t="s">
        <v>202</v>
      </c>
      <c r="NCE19" s="310" t="s">
        <v>202</v>
      </c>
      <c r="NCF19" s="310" t="s">
        <v>202</v>
      </c>
      <c r="NCG19" s="310" t="s">
        <v>202</v>
      </c>
      <c r="NCH19" s="310" t="s">
        <v>202</v>
      </c>
      <c r="NCI19" s="310" t="s">
        <v>202</v>
      </c>
      <c r="NCJ19" s="310" t="s">
        <v>202</v>
      </c>
      <c r="NCK19" s="310" t="s">
        <v>202</v>
      </c>
      <c r="NCL19" s="310" t="s">
        <v>202</v>
      </c>
      <c r="NCM19" s="310" t="s">
        <v>202</v>
      </c>
      <c r="NCN19" s="310" t="s">
        <v>202</v>
      </c>
      <c r="NCO19" s="310" t="s">
        <v>202</v>
      </c>
      <c r="NCP19" s="310" t="s">
        <v>202</v>
      </c>
      <c r="NCQ19" s="310" t="s">
        <v>202</v>
      </c>
      <c r="NCR19" s="310" t="s">
        <v>202</v>
      </c>
      <c r="NCS19" s="310" t="s">
        <v>202</v>
      </c>
      <c r="NCT19" s="310" t="s">
        <v>202</v>
      </c>
      <c r="NCU19" s="310" t="s">
        <v>202</v>
      </c>
      <c r="NCV19" s="310" t="s">
        <v>202</v>
      </c>
      <c r="NCW19" s="310" t="s">
        <v>202</v>
      </c>
      <c r="NCX19" s="310" t="s">
        <v>202</v>
      </c>
      <c r="NCY19" s="310" t="s">
        <v>202</v>
      </c>
      <c r="NCZ19" s="310" t="s">
        <v>202</v>
      </c>
      <c r="NDA19" s="310" t="s">
        <v>202</v>
      </c>
      <c r="NDB19" s="310" t="s">
        <v>202</v>
      </c>
      <c r="NDC19" s="310" t="s">
        <v>202</v>
      </c>
      <c r="NDD19" s="310" t="s">
        <v>202</v>
      </c>
      <c r="NDE19" s="310" t="s">
        <v>202</v>
      </c>
      <c r="NDF19" s="310" t="s">
        <v>202</v>
      </c>
      <c r="NDG19" s="310" t="s">
        <v>202</v>
      </c>
      <c r="NDH19" s="310" t="s">
        <v>202</v>
      </c>
      <c r="NDI19" s="310" t="s">
        <v>202</v>
      </c>
      <c r="NDJ19" s="310" t="s">
        <v>202</v>
      </c>
      <c r="NDK19" s="310" t="s">
        <v>202</v>
      </c>
      <c r="NDL19" s="310" t="s">
        <v>202</v>
      </c>
      <c r="NDM19" s="310" t="s">
        <v>202</v>
      </c>
      <c r="NDN19" s="310" t="s">
        <v>202</v>
      </c>
      <c r="NDO19" s="310" t="s">
        <v>202</v>
      </c>
      <c r="NDP19" s="310" t="s">
        <v>202</v>
      </c>
      <c r="NDQ19" s="310" t="s">
        <v>202</v>
      </c>
      <c r="NDR19" s="310" t="s">
        <v>202</v>
      </c>
      <c r="NDS19" s="310" t="s">
        <v>202</v>
      </c>
      <c r="NDT19" s="310" t="s">
        <v>202</v>
      </c>
      <c r="NDU19" s="310" t="s">
        <v>202</v>
      </c>
      <c r="NDV19" s="310" t="s">
        <v>202</v>
      </c>
      <c r="NDW19" s="310" t="s">
        <v>202</v>
      </c>
      <c r="NDX19" s="310" t="s">
        <v>202</v>
      </c>
      <c r="NDY19" s="310" t="s">
        <v>202</v>
      </c>
      <c r="NDZ19" s="310" t="s">
        <v>202</v>
      </c>
      <c r="NEA19" s="310" t="s">
        <v>202</v>
      </c>
      <c r="NEB19" s="310" t="s">
        <v>202</v>
      </c>
      <c r="NEC19" s="310" t="s">
        <v>202</v>
      </c>
      <c r="NED19" s="310" t="s">
        <v>202</v>
      </c>
      <c r="NEE19" s="310" t="s">
        <v>202</v>
      </c>
      <c r="NEF19" s="310" t="s">
        <v>202</v>
      </c>
      <c r="NEG19" s="310" t="s">
        <v>202</v>
      </c>
      <c r="NEH19" s="310" t="s">
        <v>202</v>
      </c>
      <c r="NEI19" s="310" t="s">
        <v>202</v>
      </c>
      <c r="NEJ19" s="310" t="s">
        <v>202</v>
      </c>
      <c r="NEK19" s="310" t="s">
        <v>202</v>
      </c>
      <c r="NEL19" s="310" t="s">
        <v>202</v>
      </c>
      <c r="NEM19" s="310" t="s">
        <v>202</v>
      </c>
      <c r="NEN19" s="310" t="s">
        <v>202</v>
      </c>
      <c r="NEO19" s="310" t="s">
        <v>202</v>
      </c>
      <c r="NEP19" s="310" t="s">
        <v>202</v>
      </c>
      <c r="NEQ19" s="310" t="s">
        <v>202</v>
      </c>
      <c r="NER19" s="310" t="s">
        <v>202</v>
      </c>
      <c r="NES19" s="310" t="s">
        <v>202</v>
      </c>
      <c r="NET19" s="310" t="s">
        <v>202</v>
      </c>
      <c r="NEU19" s="310" t="s">
        <v>202</v>
      </c>
      <c r="NEV19" s="310" t="s">
        <v>202</v>
      </c>
      <c r="NEW19" s="310" t="s">
        <v>202</v>
      </c>
      <c r="NEX19" s="310" t="s">
        <v>202</v>
      </c>
      <c r="NEY19" s="310" t="s">
        <v>202</v>
      </c>
      <c r="NEZ19" s="310" t="s">
        <v>202</v>
      </c>
      <c r="NFA19" s="310" t="s">
        <v>202</v>
      </c>
      <c r="NFB19" s="310" t="s">
        <v>202</v>
      </c>
      <c r="NFC19" s="310" t="s">
        <v>202</v>
      </c>
      <c r="NFD19" s="310" t="s">
        <v>202</v>
      </c>
      <c r="NFE19" s="310" t="s">
        <v>202</v>
      </c>
      <c r="NFF19" s="310" t="s">
        <v>202</v>
      </c>
      <c r="NFG19" s="310" t="s">
        <v>202</v>
      </c>
      <c r="NFH19" s="310" t="s">
        <v>202</v>
      </c>
      <c r="NFI19" s="310" t="s">
        <v>202</v>
      </c>
      <c r="NFJ19" s="310" t="s">
        <v>202</v>
      </c>
      <c r="NFK19" s="310" t="s">
        <v>202</v>
      </c>
      <c r="NFL19" s="310" t="s">
        <v>202</v>
      </c>
      <c r="NFM19" s="310" t="s">
        <v>202</v>
      </c>
      <c r="NFN19" s="310" t="s">
        <v>202</v>
      </c>
      <c r="NFO19" s="310" t="s">
        <v>202</v>
      </c>
      <c r="NFP19" s="310" t="s">
        <v>202</v>
      </c>
      <c r="NFQ19" s="310" t="s">
        <v>202</v>
      </c>
      <c r="NFR19" s="310" t="s">
        <v>202</v>
      </c>
      <c r="NFS19" s="310" t="s">
        <v>202</v>
      </c>
      <c r="NFT19" s="310" t="s">
        <v>202</v>
      </c>
      <c r="NFU19" s="310" t="s">
        <v>202</v>
      </c>
      <c r="NFV19" s="310" t="s">
        <v>202</v>
      </c>
      <c r="NFW19" s="310" t="s">
        <v>202</v>
      </c>
      <c r="NFX19" s="310" t="s">
        <v>202</v>
      </c>
      <c r="NFY19" s="310" t="s">
        <v>202</v>
      </c>
      <c r="NFZ19" s="310" t="s">
        <v>202</v>
      </c>
      <c r="NGA19" s="310" t="s">
        <v>202</v>
      </c>
      <c r="NGB19" s="310" t="s">
        <v>202</v>
      </c>
      <c r="NGC19" s="310" t="s">
        <v>202</v>
      </c>
      <c r="NGD19" s="310" t="s">
        <v>202</v>
      </c>
      <c r="NGE19" s="310" t="s">
        <v>202</v>
      </c>
      <c r="NGF19" s="310" t="s">
        <v>202</v>
      </c>
      <c r="NGG19" s="310" t="s">
        <v>202</v>
      </c>
      <c r="NGH19" s="310" t="s">
        <v>202</v>
      </c>
      <c r="NGI19" s="310" t="s">
        <v>202</v>
      </c>
      <c r="NGJ19" s="310" t="s">
        <v>202</v>
      </c>
      <c r="NGK19" s="310" t="s">
        <v>202</v>
      </c>
      <c r="NGL19" s="310" t="s">
        <v>202</v>
      </c>
      <c r="NGM19" s="310" t="s">
        <v>202</v>
      </c>
      <c r="NGN19" s="310" t="s">
        <v>202</v>
      </c>
      <c r="NGO19" s="310" t="s">
        <v>202</v>
      </c>
      <c r="NGP19" s="310" t="s">
        <v>202</v>
      </c>
      <c r="NGQ19" s="310" t="s">
        <v>202</v>
      </c>
      <c r="NGR19" s="310" t="s">
        <v>202</v>
      </c>
      <c r="NGS19" s="310" t="s">
        <v>202</v>
      </c>
      <c r="NGT19" s="310" t="s">
        <v>202</v>
      </c>
      <c r="NGU19" s="310" t="s">
        <v>202</v>
      </c>
      <c r="NGV19" s="310" t="s">
        <v>202</v>
      </c>
      <c r="NGW19" s="310" t="s">
        <v>202</v>
      </c>
      <c r="NGX19" s="310" t="s">
        <v>202</v>
      </c>
      <c r="NGY19" s="310" t="s">
        <v>202</v>
      </c>
      <c r="NGZ19" s="310" t="s">
        <v>202</v>
      </c>
      <c r="NHA19" s="310" t="s">
        <v>202</v>
      </c>
      <c r="NHB19" s="310" t="s">
        <v>202</v>
      </c>
      <c r="NHC19" s="310" t="s">
        <v>202</v>
      </c>
      <c r="NHD19" s="310" t="s">
        <v>202</v>
      </c>
      <c r="NHE19" s="310" t="s">
        <v>202</v>
      </c>
      <c r="NHF19" s="310" t="s">
        <v>202</v>
      </c>
      <c r="NHG19" s="310" t="s">
        <v>202</v>
      </c>
      <c r="NHH19" s="310" t="s">
        <v>202</v>
      </c>
      <c r="NHI19" s="310" t="s">
        <v>202</v>
      </c>
      <c r="NHJ19" s="310" t="s">
        <v>202</v>
      </c>
      <c r="NHK19" s="310" t="s">
        <v>202</v>
      </c>
      <c r="NHL19" s="310" t="s">
        <v>202</v>
      </c>
      <c r="NHM19" s="310" t="s">
        <v>202</v>
      </c>
      <c r="NHN19" s="310" t="s">
        <v>202</v>
      </c>
      <c r="NHO19" s="310" t="s">
        <v>202</v>
      </c>
      <c r="NHP19" s="310" t="s">
        <v>202</v>
      </c>
      <c r="NHQ19" s="310" t="s">
        <v>202</v>
      </c>
      <c r="NHR19" s="310" t="s">
        <v>202</v>
      </c>
      <c r="NHS19" s="310" t="s">
        <v>202</v>
      </c>
      <c r="NHT19" s="310" t="s">
        <v>202</v>
      </c>
      <c r="NHU19" s="310" t="s">
        <v>202</v>
      </c>
      <c r="NHV19" s="310" t="s">
        <v>202</v>
      </c>
      <c r="NHW19" s="310" t="s">
        <v>202</v>
      </c>
      <c r="NHX19" s="310" t="s">
        <v>202</v>
      </c>
      <c r="NHY19" s="310" t="s">
        <v>202</v>
      </c>
      <c r="NHZ19" s="310" t="s">
        <v>202</v>
      </c>
      <c r="NIA19" s="310" t="s">
        <v>202</v>
      </c>
      <c r="NIB19" s="310" t="s">
        <v>202</v>
      </c>
      <c r="NIC19" s="310" t="s">
        <v>202</v>
      </c>
      <c r="NID19" s="310" t="s">
        <v>202</v>
      </c>
      <c r="NIE19" s="310" t="s">
        <v>202</v>
      </c>
      <c r="NIF19" s="310" t="s">
        <v>202</v>
      </c>
      <c r="NIG19" s="310" t="s">
        <v>202</v>
      </c>
      <c r="NIH19" s="310" t="s">
        <v>202</v>
      </c>
      <c r="NII19" s="310" t="s">
        <v>202</v>
      </c>
      <c r="NIJ19" s="310" t="s">
        <v>202</v>
      </c>
      <c r="NIK19" s="310" t="s">
        <v>202</v>
      </c>
      <c r="NIL19" s="310" t="s">
        <v>202</v>
      </c>
      <c r="NIM19" s="310" t="s">
        <v>202</v>
      </c>
      <c r="NIN19" s="310" t="s">
        <v>202</v>
      </c>
      <c r="NIO19" s="310" t="s">
        <v>202</v>
      </c>
      <c r="NIP19" s="310" t="s">
        <v>202</v>
      </c>
      <c r="NIQ19" s="310" t="s">
        <v>202</v>
      </c>
      <c r="NIR19" s="310" t="s">
        <v>202</v>
      </c>
      <c r="NIS19" s="310" t="s">
        <v>202</v>
      </c>
      <c r="NIT19" s="310" t="s">
        <v>202</v>
      </c>
      <c r="NIU19" s="310" t="s">
        <v>202</v>
      </c>
      <c r="NIV19" s="310" t="s">
        <v>202</v>
      </c>
      <c r="NIW19" s="310" t="s">
        <v>202</v>
      </c>
      <c r="NIX19" s="310" t="s">
        <v>202</v>
      </c>
      <c r="NIY19" s="310" t="s">
        <v>202</v>
      </c>
      <c r="NIZ19" s="310" t="s">
        <v>202</v>
      </c>
      <c r="NJA19" s="310" t="s">
        <v>202</v>
      </c>
      <c r="NJB19" s="310" t="s">
        <v>202</v>
      </c>
      <c r="NJC19" s="310" t="s">
        <v>202</v>
      </c>
      <c r="NJD19" s="310" t="s">
        <v>202</v>
      </c>
      <c r="NJE19" s="310" t="s">
        <v>202</v>
      </c>
      <c r="NJF19" s="310" t="s">
        <v>202</v>
      </c>
      <c r="NJG19" s="310" t="s">
        <v>202</v>
      </c>
      <c r="NJH19" s="310" t="s">
        <v>202</v>
      </c>
      <c r="NJI19" s="310" t="s">
        <v>202</v>
      </c>
      <c r="NJJ19" s="310" t="s">
        <v>202</v>
      </c>
      <c r="NJK19" s="310" t="s">
        <v>202</v>
      </c>
      <c r="NJL19" s="310" t="s">
        <v>202</v>
      </c>
      <c r="NJM19" s="310" t="s">
        <v>202</v>
      </c>
      <c r="NJN19" s="310" t="s">
        <v>202</v>
      </c>
      <c r="NJO19" s="310" t="s">
        <v>202</v>
      </c>
      <c r="NJP19" s="310" t="s">
        <v>202</v>
      </c>
      <c r="NJQ19" s="310" t="s">
        <v>202</v>
      </c>
      <c r="NJR19" s="310" t="s">
        <v>202</v>
      </c>
      <c r="NJS19" s="310" t="s">
        <v>202</v>
      </c>
      <c r="NJT19" s="310" t="s">
        <v>202</v>
      </c>
      <c r="NJU19" s="310" t="s">
        <v>202</v>
      </c>
      <c r="NJV19" s="310" t="s">
        <v>202</v>
      </c>
      <c r="NJW19" s="310" t="s">
        <v>202</v>
      </c>
      <c r="NJX19" s="310" t="s">
        <v>202</v>
      </c>
      <c r="NJY19" s="310" t="s">
        <v>202</v>
      </c>
      <c r="NJZ19" s="310" t="s">
        <v>202</v>
      </c>
      <c r="NKA19" s="310" t="s">
        <v>202</v>
      </c>
      <c r="NKB19" s="310" t="s">
        <v>202</v>
      </c>
      <c r="NKC19" s="310" t="s">
        <v>202</v>
      </c>
      <c r="NKD19" s="310" t="s">
        <v>202</v>
      </c>
      <c r="NKE19" s="310" t="s">
        <v>202</v>
      </c>
      <c r="NKF19" s="310" t="s">
        <v>202</v>
      </c>
      <c r="NKG19" s="310" t="s">
        <v>202</v>
      </c>
      <c r="NKH19" s="310" t="s">
        <v>202</v>
      </c>
      <c r="NKI19" s="310" t="s">
        <v>202</v>
      </c>
      <c r="NKJ19" s="310" t="s">
        <v>202</v>
      </c>
      <c r="NKK19" s="310" t="s">
        <v>202</v>
      </c>
      <c r="NKL19" s="310" t="s">
        <v>202</v>
      </c>
      <c r="NKM19" s="310" t="s">
        <v>202</v>
      </c>
      <c r="NKN19" s="310" t="s">
        <v>202</v>
      </c>
      <c r="NKO19" s="310" t="s">
        <v>202</v>
      </c>
      <c r="NKP19" s="310" t="s">
        <v>202</v>
      </c>
      <c r="NKQ19" s="310" t="s">
        <v>202</v>
      </c>
      <c r="NKR19" s="310" t="s">
        <v>202</v>
      </c>
      <c r="NKS19" s="310" t="s">
        <v>202</v>
      </c>
      <c r="NKT19" s="310" t="s">
        <v>202</v>
      </c>
      <c r="NKU19" s="310" t="s">
        <v>202</v>
      </c>
      <c r="NKV19" s="310" t="s">
        <v>202</v>
      </c>
      <c r="NKW19" s="310" t="s">
        <v>202</v>
      </c>
      <c r="NKX19" s="310" t="s">
        <v>202</v>
      </c>
      <c r="NKY19" s="310" t="s">
        <v>202</v>
      </c>
      <c r="NKZ19" s="310" t="s">
        <v>202</v>
      </c>
      <c r="NLA19" s="310" t="s">
        <v>202</v>
      </c>
      <c r="NLB19" s="310" t="s">
        <v>202</v>
      </c>
      <c r="NLC19" s="310" t="s">
        <v>202</v>
      </c>
      <c r="NLD19" s="310" t="s">
        <v>202</v>
      </c>
      <c r="NLE19" s="310" t="s">
        <v>202</v>
      </c>
      <c r="NLF19" s="310" t="s">
        <v>202</v>
      </c>
      <c r="NLG19" s="310" t="s">
        <v>202</v>
      </c>
      <c r="NLH19" s="310" t="s">
        <v>202</v>
      </c>
      <c r="NLI19" s="310" t="s">
        <v>202</v>
      </c>
      <c r="NLJ19" s="310" t="s">
        <v>202</v>
      </c>
      <c r="NLK19" s="310" t="s">
        <v>202</v>
      </c>
      <c r="NLL19" s="310" t="s">
        <v>202</v>
      </c>
      <c r="NLM19" s="310" t="s">
        <v>202</v>
      </c>
      <c r="NLN19" s="310" t="s">
        <v>202</v>
      </c>
      <c r="NLO19" s="310" t="s">
        <v>202</v>
      </c>
      <c r="NLP19" s="310" t="s">
        <v>202</v>
      </c>
      <c r="NLQ19" s="310" t="s">
        <v>202</v>
      </c>
      <c r="NLR19" s="310" t="s">
        <v>202</v>
      </c>
      <c r="NLS19" s="310" t="s">
        <v>202</v>
      </c>
      <c r="NLT19" s="310" t="s">
        <v>202</v>
      </c>
      <c r="NLU19" s="310" t="s">
        <v>202</v>
      </c>
      <c r="NLV19" s="310" t="s">
        <v>202</v>
      </c>
      <c r="NLW19" s="310" t="s">
        <v>202</v>
      </c>
      <c r="NLX19" s="310" t="s">
        <v>202</v>
      </c>
      <c r="NLY19" s="310" t="s">
        <v>202</v>
      </c>
      <c r="NLZ19" s="310" t="s">
        <v>202</v>
      </c>
      <c r="NMA19" s="310" t="s">
        <v>202</v>
      </c>
      <c r="NMB19" s="310" t="s">
        <v>202</v>
      </c>
      <c r="NMC19" s="310" t="s">
        <v>202</v>
      </c>
      <c r="NMD19" s="310" t="s">
        <v>202</v>
      </c>
      <c r="NME19" s="310" t="s">
        <v>202</v>
      </c>
      <c r="NMF19" s="310" t="s">
        <v>202</v>
      </c>
      <c r="NMG19" s="310" t="s">
        <v>202</v>
      </c>
      <c r="NMH19" s="310" t="s">
        <v>202</v>
      </c>
      <c r="NMI19" s="310" t="s">
        <v>202</v>
      </c>
      <c r="NMJ19" s="310" t="s">
        <v>202</v>
      </c>
      <c r="NMK19" s="310" t="s">
        <v>202</v>
      </c>
      <c r="NML19" s="310" t="s">
        <v>202</v>
      </c>
      <c r="NMM19" s="310" t="s">
        <v>202</v>
      </c>
      <c r="NMN19" s="310" t="s">
        <v>202</v>
      </c>
      <c r="NMO19" s="310" t="s">
        <v>202</v>
      </c>
      <c r="NMP19" s="310" t="s">
        <v>202</v>
      </c>
      <c r="NMQ19" s="310" t="s">
        <v>202</v>
      </c>
      <c r="NMR19" s="310" t="s">
        <v>202</v>
      </c>
      <c r="NMS19" s="310" t="s">
        <v>202</v>
      </c>
      <c r="NMT19" s="310" t="s">
        <v>202</v>
      </c>
      <c r="NMU19" s="310" t="s">
        <v>202</v>
      </c>
      <c r="NMV19" s="310" t="s">
        <v>202</v>
      </c>
      <c r="NMW19" s="310" t="s">
        <v>202</v>
      </c>
      <c r="NMX19" s="310" t="s">
        <v>202</v>
      </c>
      <c r="NMY19" s="310" t="s">
        <v>202</v>
      </c>
      <c r="NMZ19" s="310" t="s">
        <v>202</v>
      </c>
      <c r="NNA19" s="310" t="s">
        <v>202</v>
      </c>
      <c r="NNB19" s="310" t="s">
        <v>202</v>
      </c>
      <c r="NNC19" s="310" t="s">
        <v>202</v>
      </c>
      <c r="NND19" s="310" t="s">
        <v>202</v>
      </c>
      <c r="NNE19" s="310" t="s">
        <v>202</v>
      </c>
      <c r="NNF19" s="310" t="s">
        <v>202</v>
      </c>
      <c r="NNG19" s="310" t="s">
        <v>202</v>
      </c>
      <c r="NNH19" s="310" t="s">
        <v>202</v>
      </c>
      <c r="NNI19" s="310" t="s">
        <v>202</v>
      </c>
      <c r="NNJ19" s="310" t="s">
        <v>202</v>
      </c>
      <c r="NNK19" s="310" t="s">
        <v>202</v>
      </c>
      <c r="NNL19" s="310" t="s">
        <v>202</v>
      </c>
      <c r="NNM19" s="310" t="s">
        <v>202</v>
      </c>
      <c r="NNN19" s="310" t="s">
        <v>202</v>
      </c>
      <c r="NNO19" s="310" t="s">
        <v>202</v>
      </c>
      <c r="NNP19" s="310" t="s">
        <v>202</v>
      </c>
      <c r="NNQ19" s="310" t="s">
        <v>202</v>
      </c>
      <c r="NNR19" s="310" t="s">
        <v>202</v>
      </c>
      <c r="NNS19" s="310" t="s">
        <v>202</v>
      </c>
      <c r="NNT19" s="310" t="s">
        <v>202</v>
      </c>
      <c r="NNU19" s="310" t="s">
        <v>202</v>
      </c>
      <c r="NNV19" s="310" t="s">
        <v>202</v>
      </c>
      <c r="NNW19" s="310" t="s">
        <v>202</v>
      </c>
      <c r="NNX19" s="310" t="s">
        <v>202</v>
      </c>
      <c r="NNY19" s="310" t="s">
        <v>202</v>
      </c>
      <c r="NNZ19" s="310" t="s">
        <v>202</v>
      </c>
      <c r="NOA19" s="310" t="s">
        <v>202</v>
      </c>
      <c r="NOB19" s="310" t="s">
        <v>202</v>
      </c>
      <c r="NOC19" s="310" t="s">
        <v>202</v>
      </c>
      <c r="NOD19" s="310" t="s">
        <v>202</v>
      </c>
      <c r="NOE19" s="310" t="s">
        <v>202</v>
      </c>
      <c r="NOF19" s="310" t="s">
        <v>202</v>
      </c>
      <c r="NOG19" s="310" t="s">
        <v>202</v>
      </c>
      <c r="NOH19" s="310" t="s">
        <v>202</v>
      </c>
      <c r="NOI19" s="310" t="s">
        <v>202</v>
      </c>
      <c r="NOJ19" s="310" t="s">
        <v>202</v>
      </c>
      <c r="NOK19" s="310" t="s">
        <v>202</v>
      </c>
      <c r="NOL19" s="310" t="s">
        <v>202</v>
      </c>
      <c r="NOM19" s="310" t="s">
        <v>202</v>
      </c>
      <c r="NON19" s="310" t="s">
        <v>202</v>
      </c>
      <c r="NOO19" s="310" t="s">
        <v>202</v>
      </c>
      <c r="NOP19" s="310" t="s">
        <v>202</v>
      </c>
      <c r="NOQ19" s="310" t="s">
        <v>202</v>
      </c>
      <c r="NOR19" s="310" t="s">
        <v>202</v>
      </c>
      <c r="NOS19" s="310" t="s">
        <v>202</v>
      </c>
      <c r="NOT19" s="310" t="s">
        <v>202</v>
      </c>
      <c r="NOU19" s="310" t="s">
        <v>202</v>
      </c>
      <c r="NOV19" s="310" t="s">
        <v>202</v>
      </c>
      <c r="NOW19" s="310" t="s">
        <v>202</v>
      </c>
      <c r="NOX19" s="310" t="s">
        <v>202</v>
      </c>
      <c r="NOY19" s="310" t="s">
        <v>202</v>
      </c>
      <c r="NOZ19" s="310" t="s">
        <v>202</v>
      </c>
      <c r="NPA19" s="310" t="s">
        <v>202</v>
      </c>
      <c r="NPB19" s="310" t="s">
        <v>202</v>
      </c>
      <c r="NPC19" s="310" t="s">
        <v>202</v>
      </c>
      <c r="NPD19" s="310" t="s">
        <v>202</v>
      </c>
      <c r="NPE19" s="310" t="s">
        <v>202</v>
      </c>
      <c r="NPF19" s="310" t="s">
        <v>202</v>
      </c>
      <c r="NPG19" s="310" t="s">
        <v>202</v>
      </c>
      <c r="NPH19" s="310" t="s">
        <v>202</v>
      </c>
      <c r="NPI19" s="310" t="s">
        <v>202</v>
      </c>
      <c r="NPJ19" s="310" t="s">
        <v>202</v>
      </c>
      <c r="NPK19" s="310" t="s">
        <v>202</v>
      </c>
      <c r="NPL19" s="310" t="s">
        <v>202</v>
      </c>
      <c r="NPM19" s="310" t="s">
        <v>202</v>
      </c>
      <c r="NPN19" s="310" t="s">
        <v>202</v>
      </c>
      <c r="NPO19" s="310" t="s">
        <v>202</v>
      </c>
      <c r="NPP19" s="310" t="s">
        <v>202</v>
      </c>
      <c r="NPQ19" s="310" t="s">
        <v>202</v>
      </c>
      <c r="NPR19" s="310" t="s">
        <v>202</v>
      </c>
      <c r="NPS19" s="310" t="s">
        <v>202</v>
      </c>
      <c r="NPT19" s="310" t="s">
        <v>202</v>
      </c>
      <c r="NPU19" s="310" t="s">
        <v>202</v>
      </c>
      <c r="NPV19" s="310" t="s">
        <v>202</v>
      </c>
      <c r="NPW19" s="310" t="s">
        <v>202</v>
      </c>
      <c r="NPX19" s="310" t="s">
        <v>202</v>
      </c>
      <c r="NPY19" s="310" t="s">
        <v>202</v>
      </c>
      <c r="NPZ19" s="310" t="s">
        <v>202</v>
      </c>
      <c r="NQA19" s="310" t="s">
        <v>202</v>
      </c>
      <c r="NQB19" s="310" t="s">
        <v>202</v>
      </c>
      <c r="NQC19" s="310" t="s">
        <v>202</v>
      </c>
      <c r="NQD19" s="310" t="s">
        <v>202</v>
      </c>
      <c r="NQE19" s="310" t="s">
        <v>202</v>
      </c>
      <c r="NQF19" s="310" t="s">
        <v>202</v>
      </c>
      <c r="NQG19" s="310" t="s">
        <v>202</v>
      </c>
      <c r="NQH19" s="310" t="s">
        <v>202</v>
      </c>
      <c r="NQI19" s="310" t="s">
        <v>202</v>
      </c>
      <c r="NQJ19" s="310" t="s">
        <v>202</v>
      </c>
      <c r="NQK19" s="310" t="s">
        <v>202</v>
      </c>
      <c r="NQL19" s="310" t="s">
        <v>202</v>
      </c>
      <c r="NQM19" s="310" t="s">
        <v>202</v>
      </c>
      <c r="NQN19" s="310" t="s">
        <v>202</v>
      </c>
      <c r="NQO19" s="310" t="s">
        <v>202</v>
      </c>
      <c r="NQP19" s="310" t="s">
        <v>202</v>
      </c>
      <c r="NQQ19" s="310" t="s">
        <v>202</v>
      </c>
      <c r="NQR19" s="310" t="s">
        <v>202</v>
      </c>
      <c r="NQS19" s="310" t="s">
        <v>202</v>
      </c>
      <c r="NQT19" s="310" t="s">
        <v>202</v>
      </c>
      <c r="NQU19" s="310" t="s">
        <v>202</v>
      </c>
      <c r="NQV19" s="310" t="s">
        <v>202</v>
      </c>
      <c r="NQW19" s="310" t="s">
        <v>202</v>
      </c>
      <c r="NQX19" s="310" t="s">
        <v>202</v>
      </c>
      <c r="NQY19" s="310" t="s">
        <v>202</v>
      </c>
      <c r="NQZ19" s="310" t="s">
        <v>202</v>
      </c>
      <c r="NRA19" s="310" t="s">
        <v>202</v>
      </c>
      <c r="NRB19" s="310" t="s">
        <v>202</v>
      </c>
      <c r="NRC19" s="310" t="s">
        <v>202</v>
      </c>
      <c r="NRD19" s="310" t="s">
        <v>202</v>
      </c>
      <c r="NRE19" s="310" t="s">
        <v>202</v>
      </c>
      <c r="NRF19" s="310" t="s">
        <v>202</v>
      </c>
      <c r="NRG19" s="310" t="s">
        <v>202</v>
      </c>
      <c r="NRH19" s="310" t="s">
        <v>202</v>
      </c>
      <c r="NRI19" s="310" t="s">
        <v>202</v>
      </c>
      <c r="NRJ19" s="310" t="s">
        <v>202</v>
      </c>
      <c r="NRK19" s="310" t="s">
        <v>202</v>
      </c>
      <c r="NRL19" s="310" t="s">
        <v>202</v>
      </c>
      <c r="NRM19" s="310" t="s">
        <v>202</v>
      </c>
      <c r="NRN19" s="310" t="s">
        <v>202</v>
      </c>
      <c r="NRO19" s="310" t="s">
        <v>202</v>
      </c>
      <c r="NRP19" s="310" t="s">
        <v>202</v>
      </c>
      <c r="NRQ19" s="310" t="s">
        <v>202</v>
      </c>
      <c r="NRR19" s="310" t="s">
        <v>202</v>
      </c>
      <c r="NRS19" s="310" t="s">
        <v>202</v>
      </c>
      <c r="NRT19" s="310" t="s">
        <v>202</v>
      </c>
      <c r="NRU19" s="310" t="s">
        <v>202</v>
      </c>
      <c r="NRV19" s="310" t="s">
        <v>202</v>
      </c>
      <c r="NRW19" s="310" t="s">
        <v>202</v>
      </c>
      <c r="NRX19" s="310" t="s">
        <v>202</v>
      </c>
      <c r="NRY19" s="310" t="s">
        <v>202</v>
      </c>
      <c r="NRZ19" s="310" t="s">
        <v>202</v>
      </c>
      <c r="NSA19" s="310" t="s">
        <v>202</v>
      </c>
      <c r="NSB19" s="310" t="s">
        <v>202</v>
      </c>
      <c r="NSC19" s="310" t="s">
        <v>202</v>
      </c>
      <c r="NSD19" s="310" t="s">
        <v>202</v>
      </c>
      <c r="NSE19" s="310" t="s">
        <v>202</v>
      </c>
      <c r="NSF19" s="310" t="s">
        <v>202</v>
      </c>
      <c r="NSG19" s="310" t="s">
        <v>202</v>
      </c>
      <c r="NSH19" s="310" t="s">
        <v>202</v>
      </c>
      <c r="NSI19" s="310" t="s">
        <v>202</v>
      </c>
      <c r="NSJ19" s="310" t="s">
        <v>202</v>
      </c>
      <c r="NSK19" s="310" t="s">
        <v>202</v>
      </c>
      <c r="NSL19" s="310" t="s">
        <v>202</v>
      </c>
      <c r="NSM19" s="310" t="s">
        <v>202</v>
      </c>
      <c r="NSN19" s="310" t="s">
        <v>202</v>
      </c>
      <c r="NSO19" s="310" t="s">
        <v>202</v>
      </c>
      <c r="NSP19" s="310" t="s">
        <v>202</v>
      </c>
      <c r="NSQ19" s="310" t="s">
        <v>202</v>
      </c>
      <c r="NSR19" s="310" t="s">
        <v>202</v>
      </c>
      <c r="NSS19" s="310" t="s">
        <v>202</v>
      </c>
      <c r="NST19" s="310" t="s">
        <v>202</v>
      </c>
      <c r="NSU19" s="310" t="s">
        <v>202</v>
      </c>
      <c r="NSV19" s="310" t="s">
        <v>202</v>
      </c>
      <c r="NSW19" s="310" t="s">
        <v>202</v>
      </c>
      <c r="NSX19" s="310" t="s">
        <v>202</v>
      </c>
      <c r="NSY19" s="310" t="s">
        <v>202</v>
      </c>
      <c r="NSZ19" s="310" t="s">
        <v>202</v>
      </c>
      <c r="NTA19" s="310" t="s">
        <v>202</v>
      </c>
      <c r="NTB19" s="310" t="s">
        <v>202</v>
      </c>
      <c r="NTC19" s="310" t="s">
        <v>202</v>
      </c>
      <c r="NTD19" s="310" t="s">
        <v>202</v>
      </c>
      <c r="NTE19" s="310" t="s">
        <v>202</v>
      </c>
      <c r="NTF19" s="310" t="s">
        <v>202</v>
      </c>
      <c r="NTG19" s="310" t="s">
        <v>202</v>
      </c>
      <c r="NTH19" s="310" t="s">
        <v>202</v>
      </c>
      <c r="NTI19" s="310" t="s">
        <v>202</v>
      </c>
      <c r="NTJ19" s="310" t="s">
        <v>202</v>
      </c>
      <c r="NTK19" s="310" t="s">
        <v>202</v>
      </c>
      <c r="NTL19" s="310" t="s">
        <v>202</v>
      </c>
      <c r="NTM19" s="310" t="s">
        <v>202</v>
      </c>
      <c r="NTN19" s="310" t="s">
        <v>202</v>
      </c>
      <c r="NTO19" s="310" t="s">
        <v>202</v>
      </c>
      <c r="NTP19" s="310" t="s">
        <v>202</v>
      </c>
      <c r="NTQ19" s="310" t="s">
        <v>202</v>
      </c>
      <c r="NTR19" s="310" t="s">
        <v>202</v>
      </c>
      <c r="NTS19" s="310" t="s">
        <v>202</v>
      </c>
      <c r="NTT19" s="310" t="s">
        <v>202</v>
      </c>
      <c r="NTU19" s="310" t="s">
        <v>202</v>
      </c>
      <c r="NTV19" s="310" t="s">
        <v>202</v>
      </c>
      <c r="NTW19" s="310" t="s">
        <v>202</v>
      </c>
      <c r="NTX19" s="310" t="s">
        <v>202</v>
      </c>
      <c r="NTY19" s="310" t="s">
        <v>202</v>
      </c>
      <c r="NTZ19" s="310" t="s">
        <v>202</v>
      </c>
      <c r="NUA19" s="310" t="s">
        <v>202</v>
      </c>
      <c r="NUB19" s="310" t="s">
        <v>202</v>
      </c>
      <c r="NUC19" s="310" t="s">
        <v>202</v>
      </c>
      <c r="NUD19" s="310" t="s">
        <v>202</v>
      </c>
      <c r="NUE19" s="310" t="s">
        <v>202</v>
      </c>
      <c r="NUF19" s="310" t="s">
        <v>202</v>
      </c>
      <c r="NUG19" s="310" t="s">
        <v>202</v>
      </c>
      <c r="NUH19" s="310" t="s">
        <v>202</v>
      </c>
      <c r="NUI19" s="310" t="s">
        <v>202</v>
      </c>
      <c r="NUJ19" s="310" t="s">
        <v>202</v>
      </c>
      <c r="NUK19" s="310" t="s">
        <v>202</v>
      </c>
      <c r="NUL19" s="310" t="s">
        <v>202</v>
      </c>
      <c r="NUM19" s="310" t="s">
        <v>202</v>
      </c>
      <c r="NUN19" s="310" t="s">
        <v>202</v>
      </c>
      <c r="NUO19" s="310" t="s">
        <v>202</v>
      </c>
      <c r="NUP19" s="310" t="s">
        <v>202</v>
      </c>
      <c r="NUQ19" s="310" t="s">
        <v>202</v>
      </c>
      <c r="NUR19" s="310" t="s">
        <v>202</v>
      </c>
      <c r="NUS19" s="310" t="s">
        <v>202</v>
      </c>
      <c r="NUT19" s="310" t="s">
        <v>202</v>
      </c>
      <c r="NUU19" s="310" t="s">
        <v>202</v>
      </c>
      <c r="NUV19" s="310" t="s">
        <v>202</v>
      </c>
      <c r="NUW19" s="310" t="s">
        <v>202</v>
      </c>
      <c r="NUX19" s="310" t="s">
        <v>202</v>
      </c>
      <c r="NUY19" s="310" t="s">
        <v>202</v>
      </c>
      <c r="NUZ19" s="310" t="s">
        <v>202</v>
      </c>
      <c r="NVA19" s="310" t="s">
        <v>202</v>
      </c>
      <c r="NVB19" s="310" t="s">
        <v>202</v>
      </c>
      <c r="NVC19" s="310" t="s">
        <v>202</v>
      </c>
      <c r="NVD19" s="310" t="s">
        <v>202</v>
      </c>
      <c r="NVE19" s="310" t="s">
        <v>202</v>
      </c>
      <c r="NVF19" s="310" t="s">
        <v>202</v>
      </c>
      <c r="NVG19" s="310" t="s">
        <v>202</v>
      </c>
      <c r="NVH19" s="310" t="s">
        <v>202</v>
      </c>
      <c r="NVI19" s="310" t="s">
        <v>202</v>
      </c>
      <c r="NVJ19" s="310" t="s">
        <v>202</v>
      </c>
      <c r="NVK19" s="310" t="s">
        <v>202</v>
      </c>
      <c r="NVL19" s="310" t="s">
        <v>202</v>
      </c>
      <c r="NVM19" s="310" t="s">
        <v>202</v>
      </c>
      <c r="NVN19" s="310" t="s">
        <v>202</v>
      </c>
      <c r="NVO19" s="310" t="s">
        <v>202</v>
      </c>
      <c r="NVP19" s="310" t="s">
        <v>202</v>
      </c>
      <c r="NVQ19" s="310" t="s">
        <v>202</v>
      </c>
      <c r="NVR19" s="310" t="s">
        <v>202</v>
      </c>
      <c r="NVS19" s="310" t="s">
        <v>202</v>
      </c>
      <c r="NVT19" s="310" t="s">
        <v>202</v>
      </c>
      <c r="NVU19" s="310" t="s">
        <v>202</v>
      </c>
      <c r="NVV19" s="310" t="s">
        <v>202</v>
      </c>
      <c r="NVW19" s="310" t="s">
        <v>202</v>
      </c>
      <c r="NVX19" s="310" t="s">
        <v>202</v>
      </c>
      <c r="NVY19" s="310" t="s">
        <v>202</v>
      </c>
      <c r="NVZ19" s="310" t="s">
        <v>202</v>
      </c>
      <c r="NWA19" s="310" t="s">
        <v>202</v>
      </c>
      <c r="NWB19" s="310" t="s">
        <v>202</v>
      </c>
      <c r="NWC19" s="310" t="s">
        <v>202</v>
      </c>
      <c r="NWD19" s="310" t="s">
        <v>202</v>
      </c>
      <c r="NWE19" s="310" t="s">
        <v>202</v>
      </c>
      <c r="NWF19" s="310" t="s">
        <v>202</v>
      </c>
      <c r="NWG19" s="310" t="s">
        <v>202</v>
      </c>
      <c r="NWH19" s="310" t="s">
        <v>202</v>
      </c>
      <c r="NWI19" s="310" t="s">
        <v>202</v>
      </c>
      <c r="NWJ19" s="310" t="s">
        <v>202</v>
      </c>
      <c r="NWK19" s="310" t="s">
        <v>202</v>
      </c>
      <c r="NWL19" s="310" t="s">
        <v>202</v>
      </c>
      <c r="NWM19" s="310" t="s">
        <v>202</v>
      </c>
      <c r="NWN19" s="310" t="s">
        <v>202</v>
      </c>
      <c r="NWO19" s="310" t="s">
        <v>202</v>
      </c>
      <c r="NWP19" s="310" t="s">
        <v>202</v>
      </c>
      <c r="NWQ19" s="310" t="s">
        <v>202</v>
      </c>
      <c r="NWR19" s="310" t="s">
        <v>202</v>
      </c>
      <c r="NWS19" s="310" t="s">
        <v>202</v>
      </c>
      <c r="NWT19" s="310" t="s">
        <v>202</v>
      </c>
      <c r="NWU19" s="310" t="s">
        <v>202</v>
      </c>
      <c r="NWV19" s="310" t="s">
        <v>202</v>
      </c>
      <c r="NWW19" s="310" t="s">
        <v>202</v>
      </c>
      <c r="NWX19" s="310" t="s">
        <v>202</v>
      </c>
      <c r="NWY19" s="310" t="s">
        <v>202</v>
      </c>
      <c r="NWZ19" s="310" t="s">
        <v>202</v>
      </c>
      <c r="NXA19" s="310" t="s">
        <v>202</v>
      </c>
      <c r="NXB19" s="310" t="s">
        <v>202</v>
      </c>
      <c r="NXC19" s="310" t="s">
        <v>202</v>
      </c>
      <c r="NXD19" s="310" t="s">
        <v>202</v>
      </c>
      <c r="NXE19" s="310" t="s">
        <v>202</v>
      </c>
      <c r="NXF19" s="310" t="s">
        <v>202</v>
      </c>
      <c r="NXG19" s="310" t="s">
        <v>202</v>
      </c>
      <c r="NXH19" s="310" t="s">
        <v>202</v>
      </c>
      <c r="NXI19" s="310" t="s">
        <v>202</v>
      </c>
      <c r="NXJ19" s="310" t="s">
        <v>202</v>
      </c>
      <c r="NXK19" s="310" t="s">
        <v>202</v>
      </c>
      <c r="NXL19" s="310" t="s">
        <v>202</v>
      </c>
      <c r="NXM19" s="310" t="s">
        <v>202</v>
      </c>
      <c r="NXN19" s="310" t="s">
        <v>202</v>
      </c>
      <c r="NXO19" s="310" t="s">
        <v>202</v>
      </c>
      <c r="NXP19" s="310" t="s">
        <v>202</v>
      </c>
      <c r="NXQ19" s="310" t="s">
        <v>202</v>
      </c>
      <c r="NXR19" s="310" t="s">
        <v>202</v>
      </c>
      <c r="NXS19" s="310" t="s">
        <v>202</v>
      </c>
      <c r="NXT19" s="310" t="s">
        <v>202</v>
      </c>
      <c r="NXU19" s="310" t="s">
        <v>202</v>
      </c>
      <c r="NXV19" s="310" t="s">
        <v>202</v>
      </c>
      <c r="NXW19" s="310" t="s">
        <v>202</v>
      </c>
      <c r="NXX19" s="310" t="s">
        <v>202</v>
      </c>
      <c r="NXY19" s="310" t="s">
        <v>202</v>
      </c>
      <c r="NXZ19" s="310" t="s">
        <v>202</v>
      </c>
      <c r="NYA19" s="310" t="s">
        <v>202</v>
      </c>
      <c r="NYB19" s="310" t="s">
        <v>202</v>
      </c>
      <c r="NYC19" s="310" t="s">
        <v>202</v>
      </c>
      <c r="NYD19" s="310" t="s">
        <v>202</v>
      </c>
      <c r="NYE19" s="310" t="s">
        <v>202</v>
      </c>
      <c r="NYF19" s="310" t="s">
        <v>202</v>
      </c>
      <c r="NYG19" s="310" t="s">
        <v>202</v>
      </c>
      <c r="NYH19" s="310" t="s">
        <v>202</v>
      </c>
      <c r="NYI19" s="310" t="s">
        <v>202</v>
      </c>
      <c r="NYJ19" s="310" t="s">
        <v>202</v>
      </c>
      <c r="NYK19" s="310" t="s">
        <v>202</v>
      </c>
      <c r="NYL19" s="310" t="s">
        <v>202</v>
      </c>
      <c r="NYM19" s="310" t="s">
        <v>202</v>
      </c>
      <c r="NYN19" s="310" t="s">
        <v>202</v>
      </c>
      <c r="NYO19" s="310" t="s">
        <v>202</v>
      </c>
      <c r="NYP19" s="310" t="s">
        <v>202</v>
      </c>
      <c r="NYQ19" s="310" t="s">
        <v>202</v>
      </c>
      <c r="NYR19" s="310" t="s">
        <v>202</v>
      </c>
      <c r="NYS19" s="310" t="s">
        <v>202</v>
      </c>
      <c r="NYT19" s="310" t="s">
        <v>202</v>
      </c>
      <c r="NYU19" s="310" t="s">
        <v>202</v>
      </c>
      <c r="NYV19" s="310" t="s">
        <v>202</v>
      </c>
      <c r="NYW19" s="310" t="s">
        <v>202</v>
      </c>
      <c r="NYX19" s="310" t="s">
        <v>202</v>
      </c>
      <c r="NYY19" s="310" t="s">
        <v>202</v>
      </c>
      <c r="NYZ19" s="310" t="s">
        <v>202</v>
      </c>
      <c r="NZA19" s="310" t="s">
        <v>202</v>
      </c>
      <c r="NZB19" s="310" t="s">
        <v>202</v>
      </c>
      <c r="NZC19" s="310" t="s">
        <v>202</v>
      </c>
      <c r="NZD19" s="310" t="s">
        <v>202</v>
      </c>
      <c r="NZE19" s="310" t="s">
        <v>202</v>
      </c>
      <c r="NZF19" s="310" t="s">
        <v>202</v>
      </c>
      <c r="NZG19" s="310" t="s">
        <v>202</v>
      </c>
      <c r="NZH19" s="310" t="s">
        <v>202</v>
      </c>
      <c r="NZI19" s="310" t="s">
        <v>202</v>
      </c>
      <c r="NZJ19" s="310" t="s">
        <v>202</v>
      </c>
      <c r="NZK19" s="310" t="s">
        <v>202</v>
      </c>
      <c r="NZL19" s="310" t="s">
        <v>202</v>
      </c>
      <c r="NZM19" s="310" t="s">
        <v>202</v>
      </c>
      <c r="NZN19" s="310" t="s">
        <v>202</v>
      </c>
      <c r="NZO19" s="310" t="s">
        <v>202</v>
      </c>
      <c r="NZP19" s="310" t="s">
        <v>202</v>
      </c>
      <c r="NZQ19" s="310" t="s">
        <v>202</v>
      </c>
      <c r="NZR19" s="310" t="s">
        <v>202</v>
      </c>
      <c r="NZS19" s="310" t="s">
        <v>202</v>
      </c>
      <c r="NZT19" s="310" t="s">
        <v>202</v>
      </c>
      <c r="NZU19" s="310" t="s">
        <v>202</v>
      </c>
      <c r="NZV19" s="310" t="s">
        <v>202</v>
      </c>
      <c r="NZW19" s="310" t="s">
        <v>202</v>
      </c>
      <c r="NZX19" s="310" t="s">
        <v>202</v>
      </c>
      <c r="NZY19" s="310" t="s">
        <v>202</v>
      </c>
      <c r="NZZ19" s="310" t="s">
        <v>202</v>
      </c>
      <c r="OAA19" s="310" t="s">
        <v>202</v>
      </c>
      <c r="OAB19" s="310" t="s">
        <v>202</v>
      </c>
      <c r="OAC19" s="310" t="s">
        <v>202</v>
      </c>
      <c r="OAD19" s="310" t="s">
        <v>202</v>
      </c>
      <c r="OAE19" s="310" t="s">
        <v>202</v>
      </c>
      <c r="OAF19" s="310" t="s">
        <v>202</v>
      </c>
      <c r="OAG19" s="310" t="s">
        <v>202</v>
      </c>
      <c r="OAH19" s="310" t="s">
        <v>202</v>
      </c>
      <c r="OAI19" s="310" t="s">
        <v>202</v>
      </c>
      <c r="OAJ19" s="310" t="s">
        <v>202</v>
      </c>
      <c r="OAK19" s="310" t="s">
        <v>202</v>
      </c>
      <c r="OAL19" s="310" t="s">
        <v>202</v>
      </c>
      <c r="OAM19" s="310" t="s">
        <v>202</v>
      </c>
      <c r="OAN19" s="310" t="s">
        <v>202</v>
      </c>
      <c r="OAO19" s="310" t="s">
        <v>202</v>
      </c>
      <c r="OAP19" s="310" t="s">
        <v>202</v>
      </c>
      <c r="OAQ19" s="310" t="s">
        <v>202</v>
      </c>
      <c r="OAR19" s="310" t="s">
        <v>202</v>
      </c>
      <c r="OAS19" s="310" t="s">
        <v>202</v>
      </c>
      <c r="OAT19" s="310" t="s">
        <v>202</v>
      </c>
      <c r="OAU19" s="310" t="s">
        <v>202</v>
      </c>
      <c r="OAV19" s="310" t="s">
        <v>202</v>
      </c>
      <c r="OAW19" s="310" t="s">
        <v>202</v>
      </c>
      <c r="OAX19" s="310" t="s">
        <v>202</v>
      </c>
      <c r="OAY19" s="310" t="s">
        <v>202</v>
      </c>
      <c r="OAZ19" s="310" t="s">
        <v>202</v>
      </c>
      <c r="OBA19" s="310" t="s">
        <v>202</v>
      </c>
      <c r="OBB19" s="310" t="s">
        <v>202</v>
      </c>
      <c r="OBC19" s="310" t="s">
        <v>202</v>
      </c>
      <c r="OBD19" s="310" t="s">
        <v>202</v>
      </c>
      <c r="OBE19" s="310" t="s">
        <v>202</v>
      </c>
      <c r="OBF19" s="310" t="s">
        <v>202</v>
      </c>
      <c r="OBG19" s="310" t="s">
        <v>202</v>
      </c>
      <c r="OBH19" s="310" t="s">
        <v>202</v>
      </c>
      <c r="OBI19" s="310" t="s">
        <v>202</v>
      </c>
      <c r="OBJ19" s="310" t="s">
        <v>202</v>
      </c>
      <c r="OBK19" s="310" t="s">
        <v>202</v>
      </c>
      <c r="OBL19" s="310" t="s">
        <v>202</v>
      </c>
      <c r="OBM19" s="310" t="s">
        <v>202</v>
      </c>
      <c r="OBN19" s="310" t="s">
        <v>202</v>
      </c>
      <c r="OBO19" s="310" t="s">
        <v>202</v>
      </c>
      <c r="OBP19" s="310" t="s">
        <v>202</v>
      </c>
      <c r="OBQ19" s="310" t="s">
        <v>202</v>
      </c>
      <c r="OBR19" s="310" t="s">
        <v>202</v>
      </c>
      <c r="OBS19" s="310" t="s">
        <v>202</v>
      </c>
      <c r="OBT19" s="310" t="s">
        <v>202</v>
      </c>
      <c r="OBU19" s="310" t="s">
        <v>202</v>
      </c>
      <c r="OBV19" s="310" t="s">
        <v>202</v>
      </c>
      <c r="OBW19" s="310" t="s">
        <v>202</v>
      </c>
      <c r="OBX19" s="310" t="s">
        <v>202</v>
      </c>
      <c r="OBY19" s="310" t="s">
        <v>202</v>
      </c>
      <c r="OBZ19" s="310" t="s">
        <v>202</v>
      </c>
      <c r="OCA19" s="310" t="s">
        <v>202</v>
      </c>
      <c r="OCB19" s="310" t="s">
        <v>202</v>
      </c>
      <c r="OCC19" s="310" t="s">
        <v>202</v>
      </c>
      <c r="OCD19" s="310" t="s">
        <v>202</v>
      </c>
      <c r="OCE19" s="310" t="s">
        <v>202</v>
      </c>
      <c r="OCF19" s="310" t="s">
        <v>202</v>
      </c>
      <c r="OCG19" s="310" t="s">
        <v>202</v>
      </c>
      <c r="OCH19" s="310" t="s">
        <v>202</v>
      </c>
      <c r="OCI19" s="310" t="s">
        <v>202</v>
      </c>
      <c r="OCJ19" s="310" t="s">
        <v>202</v>
      </c>
      <c r="OCK19" s="310" t="s">
        <v>202</v>
      </c>
      <c r="OCL19" s="310" t="s">
        <v>202</v>
      </c>
      <c r="OCM19" s="310" t="s">
        <v>202</v>
      </c>
      <c r="OCN19" s="310" t="s">
        <v>202</v>
      </c>
      <c r="OCO19" s="310" t="s">
        <v>202</v>
      </c>
      <c r="OCP19" s="310" t="s">
        <v>202</v>
      </c>
      <c r="OCQ19" s="310" t="s">
        <v>202</v>
      </c>
      <c r="OCR19" s="310" t="s">
        <v>202</v>
      </c>
      <c r="OCS19" s="310" t="s">
        <v>202</v>
      </c>
      <c r="OCT19" s="310" t="s">
        <v>202</v>
      </c>
      <c r="OCU19" s="310" t="s">
        <v>202</v>
      </c>
      <c r="OCV19" s="310" t="s">
        <v>202</v>
      </c>
      <c r="OCW19" s="310" t="s">
        <v>202</v>
      </c>
      <c r="OCX19" s="310" t="s">
        <v>202</v>
      </c>
      <c r="OCY19" s="310" t="s">
        <v>202</v>
      </c>
      <c r="OCZ19" s="310" t="s">
        <v>202</v>
      </c>
      <c r="ODA19" s="310" t="s">
        <v>202</v>
      </c>
      <c r="ODB19" s="310" t="s">
        <v>202</v>
      </c>
      <c r="ODC19" s="310" t="s">
        <v>202</v>
      </c>
      <c r="ODD19" s="310" t="s">
        <v>202</v>
      </c>
      <c r="ODE19" s="310" t="s">
        <v>202</v>
      </c>
      <c r="ODF19" s="310" t="s">
        <v>202</v>
      </c>
      <c r="ODG19" s="310" t="s">
        <v>202</v>
      </c>
      <c r="ODH19" s="310" t="s">
        <v>202</v>
      </c>
      <c r="ODI19" s="310" t="s">
        <v>202</v>
      </c>
      <c r="ODJ19" s="310" t="s">
        <v>202</v>
      </c>
      <c r="ODK19" s="310" t="s">
        <v>202</v>
      </c>
      <c r="ODL19" s="310" t="s">
        <v>202</v>
      </c>
      <c r="ODM19" s="310" t="s">
        <v>202</v>
      </c>
      <c r="ODN19" s="310" t="s">
        <v>202</v>
      </c>
      <c r="ODO19" s="310" t="s">
        <v>202</v>
      </c>
      <c r="ODP19" s="310" t="s">
        <v>202</v>
      </c>
      <c r="ODQ19" s="310" t="s">
        <v>202</v>
      </c>
      <c r="ODR19" s="310" t="s">
        <v>202</v>
      </c>
      <c r="ODS19" s="310" t="s">
        <v>202</v>
      </c>
      <c r="ODT19" s="310" t="s">
        <v>202</v>
      </c>
      <c r="ODU19" s="310" t="s">
        <v>202</v>
      </c>
      <c r="ODV19" s="310" t="s">
        <v>202</v>
      </c>
      <c r="ODW19" s="310" t="s">
        <v>202</v>
      </c>
      <c r="ODX19" s="310" t="s">
        <v>202</v>
      </c>
      <c r="ODY19" s="310" t="s">
        <v>202</v>
      </c>
      <c r="ODZ19" s="310" t="s">
        <v>202</v>
      </c>
      <c r="OEA19" s="310" t="s">
        <v>202</v>
      </c>
      <c r="OEB19" s="310" t="s">
        <v>202</v>
      </c>
      <c r="OEC19" s="310" t="s">
        <v>202</v>
      </c>
      <c r="OED19" s="310" t="s">
        <v>202</v>
      </c>
      <c r="OEE19" s="310" t="s">
        <v>202</v>
      </c>
      <c r="OEF19" s="310" t="s">
        <v>202</v>
      </c>
      <c r="OEG19" s="310" t="s">
        <v>202</v>
      </c>
      <c r="OEH19" s="310" t="s">
        <v>202</v>
      </c>
      <c r="OEI19" s="310" t="s">
        <v>202</v>
      </c>
      <c r="OEJ19" s="310" t="s">
        <v>202</v>
      </c>
      <c r="OEK19" s="310" t="s">
        <v>202</v>
      </c>
      <c r="OEL19" s="310" t="s">
        <v>202</v>
      </c>
      <c r="OEM19" s="310" t="s">
        <v>202</v>
      </c>
      <c r="OEN19" s="310" t="s">
        <v>202</v>
      </c>
      <c r="OEO19" s="310" t="s">
        <v>202</v>
      </c>
      <c r="OEP19" s="310" t="s">
        <v>202</v>
      </c>
      <c r="OEQ19" s="310" t="s">
        <v>202</v>
      </c>
      <c r="OER19" s="310" t="s">
        <v>202</v>
      </c>
      <c r="OES19" s="310" t="s">
        <v>202</v>
      </c>
      <c r="OET19" s="310" t="s">
        <v>202</v>
      </c>
      <c r="OEU19" s="310" t="s">
        <v>202</v>
      </c>
      <c r="OEV19" s="310" t="s">
        <v>202</v>
      </c>
      <c r="OEW19" s="310" t="s">
        <v>202</v>
      </c>
      <c r="OEX19" s="310" t="s">
        <v>202</v>
      </c>
      <c r="OEY19" s="310" t="s">
        <v>202</v>
      </c>
      <c r="OEZ19" s="310" t="s">
        <v>202</v>
      </c>
      <c r="OFA19" s="310" t="s">
        <v>202</v>
      </c>
      <c r="OFB19" s="310" t="s">
        <v>202</v>
      </c>
      <c r="OFC19" s="310" t="s">
        <v>202</v>
      </c>
      <c r="OFD19" s="310" t="s">
        <v>202</v>
      </c>
      <c r="OFE19" s="310" t="s">
        <v>202</v>
      </c>
      <c r="OFF19" s="310" t="s">
        <v>202</v>
      </c>
      <c r="OFG19" s="310" t="s">
        <v>202</v>
      </c>
      <c r="OFH19" s="310" t="s">
        <v>202</v>
      </c>
      <c r="OFI19" s="310" t="s">
        <v>202</v>
      </c>
      <c r="OFJ19" s="310" t="s">
        <v>202</v>
      </c>
      <c r="OFK19" s="310" t="s">
        <v>202</v>
      </c>
      <c r="OFL19" s="310" t="s">
        <v>202</v>
      </c>
      <c r="OFM19" s="310" t="s">
        <v>202</v>
      </c>
      <c r="OFN19" s="310" t="s">
        <v>202</v>
      </c>
      <c r="OFO19" s="310" t="s">
        <v>202</v>
      </c>
      <c r="OFP19" s="310" t="s">
        <v>202</v>
      </c>
      <c r="OFQ19" s="310" t="s">
        <v>202</v>
      </c>
      <c r="OFR19" s="310" t="s">
        <v>202</v>
      </c>
      <c r="OFS19" s="310" t="s">
        <v>202</v>
      </c>
      <c r="OFT19" s="310" t="s">
        <v>202</v>
      </c>
      <c r="OFU19" s="310" t="s">
        <v>202</v>
      </c>
      <c r="OFV19" s="310" t="s">
        <v>202</v>
      </c>
      <c r="OFW19" s="310" t="s">
        <v>202</v>
      </c>
      <c r="OFX19" s="310" t="s">
        <v>202</v>
      </c>
      <c r="OFY19" s="310" t="s">
        <v>202</v>
      </c>
      <c r="OFZ19" s="310" t="s">
        <v>202</v>
      </c>
      <c r="OGA19" s="310" t="s">
        <v>202</v>
      </c>
      <c r="OGB19" s="310" t="s">
        <v>202</v>
      </c>
      <c r="OGC19" s="310" t="s">
        <v>202</v>
      </c>
      <c r="OGD19" s="310" t="s">
        <v>202</v>
      </c>
      <c r="OGE19" s="310" t="s">
        <v>202</v>
      </c>
      <c r="OGF19" s="310" t="s">
        <v>202</v>
      </c>
      <c r="OGG19" s="310" t="s">
        <v>202</v>
      </c>
      <c r="OGH19" s="310" t="s">
        <v>202</v>
      </c>
      <c r="OGI19" s="310" t="s">
        <v>202</v>
      </c>
      <c r="OGJ19" s="310" t="s">
        <v>202</v>
      </c>
      <c r="OGK19" s="310" t="s">
        <v>202</v>
      </c>
      <c r="OGL19" s="310" t="s">
        <v>202</v>
      </c>
      <c r="OGM19" s="310" t="s">
        <v>202</v>
      </c>
      <c r="OGN19" s="310" t="s">
        <v>202</v>
      </c>
      <c r="OGO19" s="310" t="s">
        <v>202</v>
      </c>
      <c r="OGP19" s="310" t="s">
        <v>202</v>
      </c>
      <c r="OGQ19" s="310" t="s">
        <v>202</v>
      </c>
      <c r="OGR19" s="310" t="s">
        <v>202</v>
      </c>
      <c r="OGS19" s="310" t="s">
        <v>202</v>
      </c>
      <c r="OGT19" s="310" t="s">
        <v>202</v>
      </c>
      <c r="OGU19" s="310" t="s">
        <v>202</v>
      </c>
      <c r="OGV19" s="310" t="s">
        <v>202</v>
      </c>
      <c r="OGW19" s="310" t="s">
        <v>202</v>
      </c>
      <c r="OGX19" s="310" t="s">
        <v>202</v>
      </c>
      <c r="OGY19" s="310" t="s">
        <v>202</v>
      </c>
      <c r="OGZ19" s="310" t="s">
        <v>202</v>
      </c>
      <c r="OHA19" s="310" t="s">
        <v>202</v>
      </c>
      <c r="OHB19" s="310" t="s">
        <v>202</v>
      </c>
      <c r="OHC19" s="310" t="s">
        <v>202</v>
      </c>
      <c r="OHD19" s="310" t="s">
        <v>202</v>
      </c>
      <c r="OHE19" s="310" t="s">
        <v>202</v>
      </c>
      <c r="OHF19" s="310" t="s">
        <v>202</v>
      </c>
      <c r="OHG19" s="310" t="s">
        <v>202</v>
      </c>
      <c r="OHH19" s="310" t="s">
        <v>202</v>
      </c>
      <c r="OHI19" s="310" t="s">
        <v>202</v>
      </c>
      <c r="OHJ19" s="310" t="s">
        <v>202</v>
      </c>
      <c r="OHK19" s="310" t="s">
        <v>202</v>
      </c>
      <c r="OHL19" s="310" t="s">
        <v>202</v>
      </c>
      <c r="OHM19" s="310" t="s">
        <v>202</v>
      </c>
      <c r="OHN19" s="310" t="s">
        <v>202</v>
      </c>
      <c r="OHO19" s="310" t="s">
        <v>202</v>
      </c>
      <c r="OHP19" s="310" t="s">
        <v>202</v>
      </c>
      <c r="OHQ19" s="310" t="s">
        <v>202</v>
      </c>
      <c r="OHR19" s="310" t="s">
        <v>202</v>
      </c>
      <c r="OHS19" s="310" t="s">
        <v>202</v>
      </c>
      <c r="OHT19" s="310" t="s">
        <v>202</v>
      </c>
      <c r="OHU19" s="310" t="s">
        <v>202</v>
      </c>
      <c r="OHV19" s="310" t="s">
        <v>202</v>
      </c>
      <c r="OHW19" s="310" t="s">
        <v>202</v>
      </c>
      <c r="OHX19" s="310" t="s">
        <v>202</v>
      </c>
      <c r="OHY19" s="310" t="s">
        <v>202</v>
      </c>
      <c r="OHZ19" s="310" t="s">
        <v>202</v>
      </c>
      <c r="OIA19" s="310" t="s">
        <v>202</v>
      </c>
      <c r="OIB19" s="310" t="s">
        <v>202</v>
      </c>
      <c r="OIC19" s="310" t="s">
        <v>202</v>
      </c>
      <c r="OID19" s="310" t="s">
        <v>202</v>
      </c>
      <c r="OIE19" s="310" t="s">
        <v>202</v>
      </c>
      <c r="OIF19" s="310" t="s">
        <v>202</v>
      </c>
      <c r="OIG19" s="310" t="s">
        <v>202</v>
      </c>
      <c r="OIH19" s="310" t="s">
        <v>202</v>
      </c>
      <c r="OII19" s="310" t="s">
        <v>202</v>
      </c>
      <c r="OIJ19" s="310" t="s">
        <v>202</v>
      </c>
      <c r="OIK19" s="310" t="s">
        <v>202</v>
      </c>
      <c r="OIL19" s="310" t="s">
        <v>202</v>
      </c>
      <c r="OIM19" s="310" t="s">
        <v>202</v>
      </c>
      <c r="OIN19" s="310" t="s">
        <v>202</v>
      </c>
      <c r="OIO19" s="310" t="s">
        <v>202</v>
      </c>
      <c r="OIP19" s="310" t="s">
        <v>202</v>
      </c>
      <c r="OIQ19" s="310" t="s">
        <v>202</v>
      </c>
      <c r="OIR19" s="310" t="s">
        <v>202</v>
      </c>
      <c r="OIS19" s="310" t="s">
        <v>202</v>
      </c>
      <c r="OIT19" s="310" t="s">
        <v>202</v>
      </c>
      <c r="OIU19" s="310" t="s">
        <v>202</v>
      </c>
      <c r="OIV19" s="310" t="s">
        <v>202</v>
      </c>
      <c r="OIW19" s="310" t="s">
        <v>202</v>
      </c>
      <c r="OIX19" s="310" t="s">
        <v>202</v>
      </c>
      <c r="OIY19" s="310" t="s">
        <v>202</v>
      </c>
      <c r="OIZ19" s="310" t="s">
        <v>202</v>
      </c>
      <c r="OJA19" s="310" t="s">
        <v>202</v>
      </c>
      <c r="OJB19" s="310" t="s">
        <v>202</v>
      </c>
      <c r="OJC19" s="310" t="s">
        <v>202</v>
      </c>
      <c r="OJD19" s="310" t="s">
        <v>202</v>
      </c>
      <c r="OJE19" s="310" t="s">
        <v>202</v>
      </c>
      <c r="OJF19" s="310" t="s">
        <v>202</v>
      </c>
      <c r="OJG19" s="310" t="s">
        <v>202</v>
      </c>
      <c r="OJH19" s="310" t="s">
        <v>202</v>
      </c>
      <c r="OJI19" s="310" t="s">
        <v>202</v>
      </c>
      <c r="OJJ19" s="310" t="s">
        <v>202</v>
      </c>
      <c r="OJK19" s="310" t="s">
        <v>202</v>
      </c>
      <c r="OJL19" s="310" t="s">
        <v>202</v>
      </c>
      <c r="OJM19" s="310" t="s">
        <v>202</v>
      </c>
      <c r="OJN19" s="310" t="s">
        <v>202</v>
      </c>
      <c r="OJO19" s="310" t="s">
        <v>202</v>
      </c>
      <c r="OJP19" s="310" t="s">
        <v>202</v>
      </c>
      <c r="OJQ19" s="310" t="s">
        <v>202</v>
      </c>
      <c r="OJR19" s="310" t="s">
        <v>202</v>
      </c>
      <c r="OJS19" s="310" t="s">
        <v>202</v>
      </c>
      <c r="OJT19" s="310" t="s">
        <v>202</v>
      </c>
      <c r="OJU19" s="310" t="s">
        <v>202</v>
      </c>
      <c r="OJV19" s="310" t="s">
        <v>202</v>
      </c>
      <c r="OJW19" s="310" t="s">
        <v>202</v>
      </c>
      <c r="OJX19" s="310" t="s">
        <v>202</v>
      </c>
      <c r="OJY19" s="310" t="s">
        <v>202</v>
      </c>
      <c r="OJZ19" s="310" t="s">
        <v>202</v>
      </c>
      <c r="OKA19" s="310" t="s">
        <v>202</v>
      </c>
      <c r="OKB19" s="310" t="s">
        <v>202</v>
      </c>
      <c r="OKC19" s="310" t="s">
        <v>202</v>
      </c>
      <c r="OKD19" s="310" t="s">
        <v>202</v>
      </c>
      <c r="OKE19" s="310" t="s">
        <v>202</v>
      </c>
      <c r="OKF19" s="310" t="s">
        <v>202</v>
      </c>
      <c r="OKG19" s="310" t="s">
        <v>202</v>
      </c>
      <c r="OKH19" s="310" t="s">
        <v>202</v>
      </c>
      <c r="OKI19" s="310" t="s">
        <v>202</v>
      </c>
      <c r="OKJ19" s="310" t="s">
        <v>202</v>
      </c>
      <c r="OKK19" s="310" t="s">
        <v>202</v>
      </c>
      <c r="OKL19" s="310" t="s">
        <v>202</v>
      </c>
      <c r="OKM19" s="310" t="s">
        <v>202</v>
      </c>
      <c r="OKN19" s="310" t="s">
        <v>202</v>
      </c>
      <c r="OKO19" s="310" t="s">
        <v>202</v>
      </c>
      <c r="OKP19" s="310" t="s">
        <v>202</v>
      </c>
      <c r="OKQ19" s="310" t="s">
        <v>202</v>
      </c>
      <c r="OKR19" s="310" t="s">
        <v>202</v>
      </c>
      <c r="OKS19" s="310" t="s">
        <v>202</v>
      </c>
      <c r="OKT19" s="310" t="s">
        <v>202</v>
      </c>
      <c r="OKU19" s="310" t="s">
        <v>202</v>
      </c>
      <c r="OKV19" s="310" t="s">
        <v>202</v>
      </c>
      <c r="OKW19" s="310" t="s">
        <v>202</v>
      </c>
      <c r="OKX19" s="310" t="s">
        <v>202</v>
      </c>
      <c r="OKY19" s="310" t="s">
        <v>202</v>
      </c>
      <c r="OKZ19" s="310" t="s">
        <v>202</v>
      </c>
      <c r="OLA19" s="310" t="s">
        <v>202</v>
      </c>
      <c r="OLB19" s="310" t="s">
        <v>202</v>
      </c>
      <c r="OLC19" s="310" t="s">
        <v>202</v>
      </c>
      <c r="OLD19" s="310" t="s">
        <v>202</v>
      </c>
      <c r="OLE19" s="310" t="s">
        <v>202</v>
      </c>
      <c r="OLF19" s="310" t="s">
        <v>202</v>
      </c>
      <c r="OLG19" s="310" t="s">
        <v>202</v>
      </c>
      <c r="OLH19" s="310" t="s">
        <v>202</v>
      </c>
      <c r="OLI19" s="310" t="s">
        <v>202</v>
      </c>
      <c r="OLJ19" s="310" t="s">
        <v>202</v>
      </c>
      <c r="OLK19" s="310" t="s">
        <v>202</v>
      </c>
      <c r="OLL19" s="310" t="s">
        <v>202</v>
      </c>
      <c r="OLM19" s="310" t="s">
        <v>202</v>
      </c>
      <c r="OLN19" s="310" t="s">
        <v>202</v>
      </c>
      <c r="OLO19" s="310" t="s">
        <v>202</v>
      </c>
      <c r="OLP19" s="310" t="s">
        <v>202</v>
      </c>
      <c r="OLQ19" s="310" t="s">
        <v>202</v>
      </c>
      <c r="OLR19" s="310" t="s">
        <v>202</v>
      </c>
      <c r="OLS19" s="310" t="s">
        <v>202</v>
      </c>
      <c r="OLT19" s="310" t="s">
        <v>202</v>
      </c>
      <c r="OLU19" s="310" t="s">
        <v>202</v>
      </c>
      <c r="OLV19" s="310" t="s">
        <v>202</v>
      </c>
      <c r="OLW19" s="310" t="s">
        <v>202</v>
      </c>
      <c r="OLX19" s="310" t="s">
        <v>202</v>
      </c>
      <c r="OLY19" s="310" t="s">
        <v>202</v>
      </c>
      <c r="OLZ19" s="310" t="s">
        <v>202</v>
      </c>
      <c r="OMA19" s="310" t="s">
        <v>202</v>
      </c>
      <c r="OMB19" s="310" t="s">
        <v>202</v>
      </c>
      <c r="OMC19" s="310" t="s">
        <v>202</v>
      </c>
      <c r="OMD19" s="310" t="s">
        <v>202</v>
      </c>
      <c r="OME19" s="310" t="s">
        <v>202</v>
      </c>
      <c r="OMF19" s="310" t="s">
        <v>202</v>
      </c>
      <c r="OMG19" s="310" t="s">
        <v>202</v>
      </c>
      <c r="OMH19" s="310" t="s">
        <v>202</v>
      </c>
      <c r="OMI19" s="310" t="s">
        <v>202</v>
      </c>
      <c r="OMJ19" s="310" t="s">
        <v>202</v>
      </c>
      <c r="OMK19" s="310" t="s">
        <v>202</v>
      </c>
      <c r="OML19" s="310" t="s">
        <v>202</v>
      </c>
      <c r="OMM19" s="310" t="s">
        <v>202</v>
      </c>
      <c r="OMN19" s="310" t="s">
        <v>202</v>
      </c>
      <c r="OMO19" s="310" t="s">
        <v>202</v>
      </c>
      <c r="OMP19" s="310" t="s">
        <v>202</v>
      </c>
      <c r="OMQ19" s="310" t="s">
        <v>202</v>
      </c>
      <c r="OMR19" s="310" t="s">
        <v>202</v>
      </c>
      <c r="OMS19" s="310" t="s">
        <v>202</v>
      </c>
      <c r="OMT19" s="310" t="s">
        <v>202</v>
      </c>
      <c r="OMU19" s="310" t="s">
        <v>202</v>
      </c>
      <c r="OMV19" s="310" t="s">
        <v>202</v>
      </c>
      <c r="OMW19" s="310" t="s">
        <v>202</v>
      </c>
      <c r="OMX19" s="310" t="s">
        <v>202</v>
      </c>
      <c r="OMY19" s="310" t="s">
        <v>202</v>
      </c>
      <c r="OMZ19" s="310" t="s">
        <v>202</v>
      </c>
      <c r="ONA19" s="310" t="s">
        <v>202</v>
      </c>
      <c r="ONB19" s="310" t="s">
        <v>202</v>
      </c>
      <c r="ONC19" s="310" t="s">
        <v>202</v>
      </c>
      <c r="OND19" s="310" t="s">
        <v>202</v>
      </c>
      <c r="ONE19" s="310" t="s">
        <v>202</v>
      </c>
      <c r="ONF19" s="310" t="s">
        <v>202</v>
      </c>
      <c r="ONG19" s="310" t="s">
        <v>202</v>
      </c>
      <c r="ONH19" s="310" t="s">
        <v>202</v>
      </c>
      <c r="ONI19" s="310" t="s">
        <v>202</v>
      </c>
      <c r="ONJ19" s="310" t="s">
        <v>202</v>
      </c>
      <c r="ONK19" s="310" t="s">
        <v>202</v>
      </c>
      <c r="ONL19" s="310" t="s">
        <v>202</v>
      </c>
      <c r="ONM19" s="310" t="s">
        <v>202</v>
      </c>
      <c r="ONN19" s="310" t="s">
        <v>202</v>
      </c>
      <c r="ONO19" s="310" t="s">
        <v>202</v>
      </c>
      <c r="ONP19" s="310" t="s">
        <v>202</v>
      </c>
      <c r="ONQ19" s="310" t="s">
        <v>202</v>
      </c>
      <c r="ONR19" s="310" t="s">
        <v>202</v>
      </c>
      <c r="ONS19" s="310" t="s">
        <v>202</v>
      </c>
      <c r="ONT19" s="310" t="s">
        <v>202</v>
      </c>
      <c r="ONU19" s="310" t="s">
        <v>202</v>
      </c>
      <c r="ONV19" s="310" t="s">
        <v>202</v>
      </c>
      <c r="ONW19" s="310" t="s">
        <v>202</v>
      </c>
      <c r="ONX19" s="310" t="s">
        <v>202</v>
      </c>
      <c r="ONY19" s="310" t="s">
        <v>202</v>
      </c>
      <c r="ONZ19" s="310" t="s">
        <v>202</v>
      </c>
      <c r="OOA19" s="310" t="s">
        <v>202</v>
      </c>
      <c r="OOB19" s="310" t="s">
        <v>202</v>
      </c>
      <c r="OOC19" s="310" t="s">
        <v>202</v>
      </c>
      <c r="OOD19" s="310" t="s">
        <v>202</v>
      </c>
      <c r="OOE19" s="310" t="s">
        <v>202</v>
      </c>
      <c r="OOF19" s="310" t="s">
        <v>202</v>
      </c>
      <c r="OOG19" s="310" t="s">
        <v>202</v>
      </c>
      <c r="OOH19" s="310" t="s">
        <v>202</v>
      </c>
      <c r="OOI19" s="310" t="s">
        <v>202</v>
      </c>
      <c r="OOJ19" s="310" t="s">
        <v>202</v>
      </c>
      <c r="OOK19" s="310" t="s">
        <v>202</v>
      </c>
      <c r="OOL19" s="310" t="s">
        <v>202</v>
      </c>
      <c r="OOM19" s="310" t="s">
        <v>202</v>
      </c>
      <c r="OON19" s="310" t="s">
        <v>202</v>
      </c>
      <c r="OOO19" s="310" t="s">
        <v>202</v>
      </c>
      <c r="OOP19" s="310" t="s">
        <v>202</v>
      </c>
      <c r="OOQ19" s="310" t="s">
        <v>202</v>
      </c>
      <c r="OOR19" s="310" t="s">
        <v>202</v>
      </c>
      <c r="OOS19" s="310" t="s">
        <v>202</v>
      </c>
      <c r="OOT19" s="310" t="s">
        <v>202</v>
      </c>
      <c r="OOU19" s="310" t="s">
        <v>202</v>
      </c>
      <c r="OOV19" s="310" t="s">
        <v>202</v>
      </c>
      <c r="OOW19" s="310" t="s">
        <v>202</v>
      </c>
      <c r="OOX19" s="310" t="s">
        <v>202</v>
      </c>
      <c r="OOY19" s="310" t="s">
        <v>202</v>
      </c>
      <c r="OOZ19" s="310" t="s">
        <v>202</v>
      </c>
      <c r="OPA19" s="310" t="s">
        <v>202</v>
      </c>
      <c r="OPB19" s="310" t="s">
        <v>202</v>
      </c>
      <c r="OPC19" s="310" t="s">
        <v>202</v>
      </c>
      <c r="OPD19" s="310" t="s">
        <v>202</v>
      </c>
      <c r="OPE19" s="310" t="s">
        <v>202</v>
      </c>
      <c r="OPF19" s="310" t="s">
        <v>202</v>
      </c>
      <c r="OPG19" s="310" t="s">
        <v>202</v>
      </c>
      <c r="OPH19" s="310" t="s">
        <v>202</v>
      </c>
      <c r="OPI19" s="310" t="s">
        <v>202</v>
      </c>
      <c r="OPJ19" s="310" t="s">
        <v>202</v>
      </c>
      <c r="OPK19" s="310" t="s">
        <v>202</v>
      </c>
      <c r="OPL19" s="310" t="s">
        <v>202</v>
      </c>
      <c r="OPM19" s="310" t="s">
        <v>202</v>
      </c>
      <c r="OPN19" s="310" t="s">
        <v>202</v>
      </c>
      <c r="OPO19" s="310" t="s">
        <v>202</v>
      </c>
      <c r="OPP19" s="310" t="s">
        <v>202</v>
      </c>
      <c r="OPQ19" s="310" t="s">
        <v>202</v>
      </c>
      <c r="OPR19" s="310" t="s">
        <v>202</v>
      </c>
      <c r="OPS19" s="310" t="s">
        <v>202</v>
      </c>
      <c r="OPT19" s="310" t="s">
        <v>202</v>
      </c>
      <c r="OPU19" s="310" t="s">
        <v>202</v>
      </c>
      <c r="OPV19" s="310" t="s">
        <v>202</v>
      </c>
      <c r="OPW19" s="310" t="s">
        <v>202</v>
      </c>
      <c r="OPX19" s="310" t="s">
        <v>202</v>
      </c>
      <c r="OPY19" s="310" t="s">
        <v>202</v>
      </c>
      <c r="OPZ19" s="310" t="s">
        <v>202</v>
      </c>
      <c r="OQA19" s="310" t="s">
        <v>202</v>
      </c>
      <c r="OQB19" s="310" t="s">
        <v>202</v>
      </c>
      <c r="OQC19" s="310" t="s">
        <v>202</v>
      </c>
      <c r="OQD19" s="310" t="s">
        <v>202</v>
      </c>
      <c r="OQE19" s="310" t="s">
        <v>202</v>
      </c>
      <c r="OQF19" s="310" t="s">
        <v>202</v>
      </c>
      <c r="OQG19" s="310" t="s">
        <v>202</v>
      </c>
      <c r="OQH19" s="310" t="s">
        <v>202</v>
      </c>
      <c r="OQI19" s="310" t="s">
        <v>202</v>
      </c>
      <c r="OQJ19" s="310" t="s">
        <v>202</v>
      </c>
      <c r="OQK19" s="310" t="s">
        <v>202</v>
      </c>
      <c r="OQL19" s="310" t="s">
        <v>202</v>
      </c>
      <c r="OQM19" s="310" t="s">
        <v>202</v>
      </c>
      <c r="OQN19" s="310" t="s">
        <v>202</v>
      </c>
      <c r="OQO19" s="310" t="s">
        <v>202</v>
      </c>
      <c r="OQP19" s="310" t="s">
        <v>202</v>
      </c>
      <c r="OQQ19" s="310" t="s">
        <v>202</v>
      </c>
      <c r="OQR19" s="310" t="s">
        <v>202</v>
      </c>
      <c r="OQS19" s="310" t="s">
        <v>202</v>
      </c>
      <c r="OQT19" s="310" t="s">
        <v>202</v>
      </c>
      <c r="OQU19" s="310" t="s">
        <v>202</v>
      </c>
      <c r="OQV19" s="310" t="s">
        <v>202</v>
      </c>
      <c r="OQW19" s="310" t="s">
        <v>202</v>
      </c>
      <c r="OQX19" s="310" t="s">
        <v>202</v>
      </c>
      <c r="OQY19" s="310" t="s">
        <v>202</v>
      </c>
      <c r="OQZ19" s="310" t="s">
        <v>202</v>
      </c>
      <c r="ORA19" s="310" t="s">
        <v>202</v>
      </c>
      <c r="ORB19" s="310" t="s">
        <v>202</v>
      </c>
      <c r="ORC19" s="310" t="s">
        <v>202</v>
      </c>
      <c r="ORD19" s="310" t="s">
        <v>202</v>
      </c>
      <c r="ORE19" s="310" t="s">
        <v>202</v>
      </c>
      <c r="ORF19" s="310" t="s">
        <v>202</v>
      </c>
      <c r="ORG19" s="310" t="s">
        <v>202</v>
      </c>
      <c r="ORH19" s="310" t="s">
        <v>202</v>
      </c>
      <c r="ORI19" s="310" t="s">
        <v>202</v>
      </c>
      <c r="ORJ19" s="310" t="s">
        <v>202</v>
      </c>
      <c r="ORK19" s="310" t="s">
        <v>202</v>
      </c>
      <c r="ORL19" s="310" t="s">
        <v>202</v>
      </c>
      <c r="ORM19" s="310" t="s">
        <v>202</v>
      </c>
      <c r="ORN19" s="310" t="s">
        <v>202</v>
      </c>
      <c r="ORO19" s="310" t="s">
        <v>202</v>
      </c>
      <c r="ORP19" s="310" t="s">
        <v>202</v>
      </c>
      <c r="ORQ19" s="310" t="s">
        <v>202</v>
      </c>
      <c r="ORR19" s="310" t="s">
        <v>202</v>
      </c>
      <c r="ORS19" s="310" t="s">
        <v>202</v>
      </c>
      <c r="ORT19" s="310" t="s">
        <v>202</v>
      </c>
      <c r="ORU19" s="310" t="s">
        <v>202</v>
      </c>
      <c r="ORV19" s="310" t="s">
        <v>202</v>
      </c>
      <c r="ORW19" s="310" t="s">
        <v>202</v>
      </c>
      <c r="ORX19" s="310" t="s">
        <v>202</v>
      </c>
      <c r="ORY19" s="310" t="s">
        <v>202</v>
      </c>
      <c r="ORZ19" s="310" t="s">
        <v>202</v>
      </c>
      <c r="OSA19" s="310" t="s">
        <v>202</v>
      </c>
      <c r="OSB19" s="310" t="s">
        <v>202</v>
      </c>
      <c r="OSC19" s="310" t="s">
        <v>202</v>
      </c>
      <c r="OSD19" s="310" t="s">
        <v>202</v>
      </c>
      <c r="OSE19" s="310" t="s">
        <v>202</v>
      </c>
      <c r="OSF19" s="310" t="s">
        <v>202</v>
      </c>
      <c r="OSG19" s="310" t="s">
        <v>202</v>
      </c>
      <c r="OSH19" s="310" t="s">
        <v>202</v>
      </c>
      <c r="OSI19" s="310" t="s">
        <v>202</v>
      </c>
      <c r="OSJ19" s="310" t="s">
        <v>202</v>
      </c>
      <c r="OSK19" s="310" t="s">
        <v>202</v>
      </c>
      <c r="OSL19" s="310" t="s">
        <v>202</v>
      </c>
      <c r="OSM19" s="310" t="s">
        <v>202</v>
      </c>
      <c r="OSN19" s="310" t="s">
        <v>202</v>
      </c>
      <c r="OSO19" s="310" t="s">
        <v>202</v>
      </c>
      <c r="OSP19" s="310" t="s">
        <v>202</v>
      </c>
      <c r="OSQ19" s="310" t="s">
        <v>202</v>
      </c>
      <c r="OSR19" s="310" t="s">
        <v>202</v>
      </c>
      <c r="OSS19" s="310" t="s">
        <v>202</v>
      </c>
      <c r="OST19" s="310" t="s">
        <v>202</v>
      </c>
      <c r="OSU19" s="310" t="s">
        <v>202</v>
      </c>
      <c r="OSV19" s="310" t="s">
        <v>202</v>
      </c>
      <c r="OSW19" s="310" t="s">
        <v>202</v>
      </c>
      <c r="OSX19" s="310" t="s">
        <v>202</v>
      </c>
      <c r="OSY19" s="310" t="s">
        <v>202</v>
      </c>
      <c r="OSZ19" s="310" t="s">
        <v>202</v>
      </c>
      <c r="OTA19" s="310" t="s">
        <v>202</v>
      </c>
      <c r="OTB19" s="310" t="s">
        <v>202</v>
      </c>
      <c r="OTC19" s="310" t="s">
        <v>202</v>
      </c>
      <c r="OTD19" s="310" t="s">
        <v>202</v>
      </c>
      <c r="OTE19" s="310" t="s">
        <v>202</v>
      </c>
      <c r="OTF19" s="310" t="s">
        <v>202</v>
      </c>
      <c r="OTG19" s="310" t="s">
        <v>202</v>
      </c>
      <c r="OTH19" s="310" t="s">
        <v>202</v>
      </c>
      <c r="OTI19" s="310" t="s">
        <v>202</v>
      </c>
      <c r="OTJ19" s="310" t="s">
        <v>202</v>
      </c>
      <c r="OTK19" s="310" t="s">
        <v>202</v>
      </c>
      <c r="OTL19" s="310" t="s">
        <v>202</v>
      </c>
      <c r="OTM19" s="310" t="s">
        <v>202</v>
      </c>
      <c r="OTN19" s="310" t="s">
        <v>202</v>
      </c>
      <c r="OTO19" s="310" t="s">
        <v>202</v>
      </c>
      <c r="OTP19" s="310" t="s">
        <v>202</v>
      </c>
      <c r="OTQ19" s="310" t="s">
        <v>202</v>
      </c>
      <c r="OTR19" s="310" t="s">
        <v>202</v>
      </c>
      <c r="OTS19" s="310" t="s">
        <v>202</v>
      </c>
      <c r="OTT19" s="310" t="s">
        <v>202</v>
      </c>
      <c r="OTU19" s="310" t="s">
        <v>202</v>
      </c>
      <c r="OTV19" s="310" t="s">
        <v>202</v>
      </c>
      <c r="OTW19" s="310" t="s">
        <v>202</v>
      </c>
      <c r="OTX19" s="310" t="s">
        <v>202</v>
      </c>
      <c r="OTY19" s="310" t="s">
        <v>202</v>
      </c>
      <c r="OTZ19" s="310" t="s">
        <v>202</v>
      </c>
      <c r="OUA19" s="310" t="s">
        <v>202</v>
      </c>
      <c r="OUB19" s="310" t="s">
        <v>202</v>
      </c>
      <c r="OUC19" s="310" t="s">
        <v>202</v>
      </c>
      <c r="OUD19" s="310" t="s">
        <v>202</v>
      </c>
      <c r="OUE19" s="310" t="s">
        <v>202</v>
      </c>
      <c r="OUF19" s="310" t="s">
        <v>202</v>
      </c>
      <c r="OUG19" s="310" t="s">
        <v>202</v>
      </c>
      <c r="OUH19" s="310" t="s">
        <v>202</v>
      </c>
      <c r="OUI19" s="310" t="s">
        <v>202</v>
      </c>
      <c r="OUJ19" s="310" t="s">
        <v>202</v>
      </c>
      <c r="OUK19" s="310" t="s">
        <v>202</v>
      </c>
      <c r="OUL19" s="310" t="s">
        <v>202</v>
      </c>
      <c r="OUM19" s="310" t="s">
        <v>202</v>
      </c>
      <c r="OUN19" s="310" t="s">
        <v>202</v>
      </c>
      <c r="OUO19" s="310" t="s">
        <v>202</v>
      </c>
      <c r="OUP19" s="310" t="s">
        <v>202</v>
      </c>
      <c r="OUQ19" s="310" t="s">
        <v>202</v>
      </c>
      <c r="OUR19" s="310" t="s">
        <v>202</v>
      </c>
      <c r="OUS19" s="310" t="s">
        <v>202</v>
      </c>
      <c r="OUT19" s="310" t="s">
        <v>202</v>
      </c>
      <c r="OUU19" s="310" t="s">
        <v>202</v>
      </c>
      <c r="OUV19" s="310" t="s">
        <v>202</v>
      </c>
      <c r="OUW19" s="310" t="s">
        <v>202</v>
      </c>
      <c r="OUX19" s="310" t="s">
        <v>202</v>
      </c>
      <c r="OUY19" s="310" t="s">
        <v>202</v>
      </c>
      <c r="OUZ19" s="310" t="s">
        <v>202</v>
      </c>
      <c r="OVA19" s="310" t="s">
        <v>202</v>
      </c>
      <c r="OVB19" s="310" t="s">
        <v>202</v>
      </c>
      <c r="OVC19" s="310" t="s">
        <v>202</v>
      </c>
      <c r="OVD19" s="310" t="s">
        <v>202</v>
      </c>
      <c r="OVE19" s="310" t="s">
        <v>202</v>
      </c>
      <c r="OVF19" s="310" t="s">
        <v>202</v>
      </c>
      <c r="OVG19" s="310" t="s">
        <v>202</v>
      </c>
      <c r="OVH19" s="310" t="s">
        <v>202</v>
      </c>
      <c r="OVI19" s="310" t="s">
        <v>202</v>
      </c>
      <c r="OVJ19" s="310" t="s">
        <v>202</v>
      </c>
      <c r="OVK19" s="310" t="s">
        <v>202</v>
      </c>
      <c r="OVL19" s="310" t="s">
        <v>202</v>
      </c>
      <c r="OVM19" s="310" t="s">
        <v>202</v>
      </c>
      <c r="OVN19" s="310" t="s">
        <v>202</v>
      </c>
      <c r="OVO19" s="310" t="s">
        <v>202</v>
      </c>
      <c r="OVP19" s="310" t="s">
        <v>202</v>
      </c>
      <c r="OVQ19" s="310" t="s">
        <v>202</v>
      </c>
      <c r="OVR19" s="310" t="s">
        <v>202</v>
      </c>
      <c r="OVS19" s="310" t="s">
        <v>202</v>
      </c>
      <c r="OVT19" s="310" t="s">
        <v>202</v>
      </c>
      <c r="OVU19" s="310" t="s">
        <v>202</v>
      </c>
      <c r="OVV19" s="310" t="s">
        <v>202</v>
      </c>
      <c r="OVW19" s="310" t="s">
        <v>202</v>
      </c>
      <c r="OVX19" s="310" t="s">
        <v>202</v>
      </c>
      <c r="OVY19" s="310" t="s">
        <v>202</v>
      </c>
      <c r="OVZ19" s="310" t="s">
        <v>202</v>
      </c>
      <c r="OWA19" s="310" t="s">
        <v>202</v>
      </c>
      <c r="OWB19" s="310" t="s">
        <v>202</v>
      </c>
      <c r="OWC19" s="310" t="s">
        <v>202</v>
      </c>
      <c r="OWD19" s="310" t="s">
        <v>202</v>
      </c>
      <c r="OWE19" s="310" t="s">
        <v>202</v>
      </c>
      <c r="OWF19" s="310" t="s">
        <v>202</v>
      </c>
      <c r="OWG19" s="310" t="s">
        <v>202</v>
      </c>
      <c r="OWH19" s="310" t="s">
        <v>202</v>
      </c>
      <c r="OWI19" s="310" t="s">
        <v>202</v>
      </c>
      <c r="OWJ19" s="310" t="s">
        <v>202</v>
      </c>
      <c r="OWK19" s="310" t="s">
        <v>202</v>
      </c>
      <c r="OWL19" s="310" t="s">
        <v>202</v>
      </c>
      <c r="OWM19" s="310" t="s">
        <v>202</v>
      </c>
      <c r="OWN19" s="310" t="s">
        <v>202</v>
      </c>
      <c r="OWO19" s="310" t="s">
        <v>202</v>
      </c>
      <c r="OWP19" s="310" t="s">
        <v>202</v>
      </c>
      <c r="OWQ19" s="310" t="s">
        <v>202</v>
      </c>
      <c r="OWR19" s="310" t="s">
        <v>202</v>
      </c>
      <c r="OWS19" s="310" t="s">
        <v>202</v>
      </c>
      <c r="OWT19" s="310" t="s">
        <v>202</v>
      </c>
      <c r="OWU19" s="310" t="s">
        <v>202</v>
      </c>
      <c r="OWV19" s="310" t="s">
        <v>202</v>
      </c>
      <c r="OWW19" s="310" t="s">
        <v>202</v>
      </c>
      <c r="OWX19" s="310" t="s">
        <v>202</v>
      </c>
      <c r="OWY19" s="310" t="s">
        <v>202</v>
      </c>
      <c r="OWZ19" s="310" t="s">
        <v>202</v>
      </c>
      <c r="OXA19" s="310" t="s">
        <v>202</v>
      </c>
      <c r="OXB19" s="310" t="s">
        <v>202</v>
      </c>
      <c r="OXC19" s="310" t="s">
        <v>202</v>
      </c>
      <c r="OXD19" s="310" t="s">
        <v>202</v>
      </c>
      <c r="OXE19" s="310" t="s">
        <v>202</v>
      </c>
      <c r="OXF19" s="310" t="s">
        <v>202</v>
      </c>
      <c r="OXG19" s="310" t="s">
        <v>202</v>
      </c>
      <c r="OXH19" s="310" t="s">
        <v>202</v>
      </c>
      <c r="OXI19" s="310" t="s">
        <v>202</v>
      </c>
      <c r="OXJ19" s="310" t="s">
        <v>202</v>
      </c>
      <c r="OXK19" s="310" t="s">
        <v>202</v>
      </c>
      <c r="OXL19" s="310" t="s">
        <v>202</v>
      </c>
      <c r="OXM19" s="310" t="s">
        <v>202</v>
      </c>
      <c r="OXN19" s="310" t="s">
        <v>202</v>
      </c>
      <c r="OXO19" s="310" t="s">
        <v>202</v>
      </c>
      <c r="OXP19" s="310" t="s">
        <v>202</v>
      </c>
      <c r="OXQ19" s="310" t="s">
        <v>202</v>
      </c>
      <c r="OXR19" s="310" t="s">
        <v>202</v>
      </c>
      <c r="OXS19" s="310" t="s">
        <v>202</v>
      </c>
      <c r="OXT19" s="310" t="s">
        <v>202</v>
      </c>
      <c r="OXU19" s="310" t="s">
        <v>202</v>
      </c>
      <c r="OXV19" s="310" t="s">
        <v>202</v>
      </c>
      <c r="OXW19" s="310" t="s">
        <v>202</v>
      </c>
      <c r="OXX19" s="310" t="s">
        <v>202</v>
      </c>
      <c r="OXY19" s="310" t="s">
        <v>202</v>
      </c>
      <c r="OXZ19" s="310" t="s">
        <v>202</v>
      </c>
      <c r="OYA19" s="310" t="s">
        <v>202</v>
      </c>
      <c r="OYB19" s="310" t="s">
        <v>202</v>
      </c>
      <c r="OYC19" s="310" t="s">
        <v>202</v>
      </c>
      <c r="OYD19" s="310" t="s">
        <v>202</v>
      </c>
      <c r="OYE19" s="310" t="s">
        <v>202</v>
      </c>
      <c r="OYF19" s="310" t="s">
        <v>202</v>
      </c>
      <c r="OYG19" s="310" t="s">
        <v>202</v>
      </c>
      <c r="OYH19" s="310" t="s">
        <v>202</v>
      </c>
      <c r="OYI19" s="310" t="s">
        <v>202</v>
      </c>
      <c r="OYJ19" s="310" t="s">
        <v>202</v>
      </c>
      <c r="OYK19" s="310" t="s">
        <v>202</v>
      </c>
      <c r="OYL19" s="310" t="s">
        <v>202</v>
      </c>
      <c r="OYM19" s="310" t="s">
        <v>202</v>
      </c>
      <c r="OYN19" s="310" t="s">
        <v>202</v>
      </c>
      <c r="OYO19" s="310" t="s">
        <v>202</v>
      </c>
      <c r="OYP19" s="310" t="s">
        <v>202</v>
      </c>
      <c r="OYQ19" s="310" t="s">
        <v>202</v>
      </c>
      <c r="OYR19" s="310" t="s">
        <v>202</v>
      </c>
      <c r="OYS19" s="310" t="s">
        <v>202</v>
      </c>
      <c r="OYT19" s="310" t="s">
        <v>202</v>
      </c>
      <c r="OYU19" s="310" t="s">
        <v>202</v>
      </c>
      <c r="OYV19" s="310" t="s">
        <v>202</v>
      </c>
      <c r="OYW19" s="310" t="s">
        <v>202</v>
      </c>
      <c r="OYX19" s="310" t="s">
        <v>202</v>
      </c>
      <c r="OYY19" s="310" t="s">
        <v>202</v>
      </c>
      <c r="OYZ19" s="310" t="s">
        <v>202</v>
      </c>
      <c r="OZA19" s="310" t="s">
        <v>202</v>
      </c>
      <c r="OZB19" s="310" t="s">
        <v>202</v>
      </c>
      <c r="OZC19" s="310" t="s">
        <v>202</v>
      </c>
      <c r="OZD19" s="310" t="s">
        <v>202</v>
      </c>
      <c r="OZE19" s="310" t="s">
        <v>202</v>
      </c>
      <c r="OZF19" s="310" t="s">
        <v>202</v>
      </c>
      <c r="OZG19" s="310" t="s">
        <v>202</v>
      </c>
      <c r="OZH19" s="310" t="s">
        <v>202</v>
      </c>
      <c r="OZI19" s="310" t="s">
        <v>202</v>
      </c>
      <c r="OZJ19" s="310" t="s">
        <v>202</v>
      </c>
      <c r="OZK19" s="310" t="s">
        <v>202</v>
      </c>
      <c r="OZL19" s="310" t="s">
        <v>202</v>
      </c>
      <c r="OZM19" s="310" t="s">
        <v>202</v>
      </c>
      <c r="OZN19" s="310" t="s">
        <v>202</v>
      </c>
      <c r="OZO19" s="310" t="s">
        <v>202</v>
      </c>
      <c r="OZP19" s="310" t="s">
        <v>202</v>
      </c>
      <c r="OZQ19" s="310" t="s">
        <v>202</v>
      </c>
      <c r="OZR19" s="310" t="s">
        <v>202</v>
      </c>
      <c r="OZS19" s="310" t="s">
        <v>202</v>
      </c>
      <c r="OZT19" s="310" t="s">
        <v>202</v>
      </c>
      <c r="OZU19" s="310" t="s">
        <v>202</v>
      </c>
      <c r="OZV19" s="310" t="s">
        <v>202</v>
      </c>
      <c r="OZW19" s="310" t="s">
        <v>202</v>
      </c>
      <c r="OZX19" s="310" t="s">
        <v>202</v>
      </c>
      <c r="OZY19" s="310" t="s">
        <v>202</v>
      </c>
      <c r="OZZ19" s="310" t="s">
        <v>202</v>
      </c>
      <c r="PAA19" s="310" t="s">
        <v>202</v>
      </c>
      <c r="PAB19" s="310" t="s">
        <v>202</v>
      </c>
      <c r="PAC19" s="310" t="s">
        <v>202</v>
      </c>
      <c r="PAD19" s="310" t="s">
        <v>202</v>
      </c>
      <c r="PAE19" s="310" t="s">
        <v>202</v>
      </c>
      <c r="PAF19" s="310" t="s">
        <v>202</v>
      </c>
      <c r="PAG19" s="310" t="s">
        <v>202</v>
      </c>
      <c r="PAH19" s="310" t="s">
        <v>202</v>
      </c>
      <c r="PAI19" s="310" t="s">
        <v>202</v>
      </c>
      <c r="PAJ19" s="310" t="s">
        <v>202</v>
      </c>
      <c r="PAK19" s="310" t="s">
        <v>202</v>
      </c>
      <c r="PAL19" s="310" t="s">
        <v>202</v>
      </c>
      <c r="PAM19" s="310" t="s">
        <v>202</v>
      </c>
      <c r="PAN19" s="310" t="s">
        <v>202</v>
      </c>
      <c r="PAO19" s="310" t="s">
        <v>202</v>
      </c>
      <c r="PAP19" s="310" t="s">
        <v>202</v>
      </c>
      <c r="PAQ19" s="310" t="s">
        <v>202</v>
      </c>
      <c r="PAR19" s="310" t="s">
        <v>202</v>
      </c>
      <c r="PAS19" s="310" t="s">
        <v>202</v>
      </c>
      <c r="PAT19" s="310" t="s">
        <v>202</v>
      </c>
      <c r="PAU19" s="310" t="s">
        <v>202</v>
      </c>
      <c r="PAV19" s="310" t="s">
        <v>202</v>
      </c>
      <c r="PAW19" s="310" t="s">
        <v>202</v>
      </c>
      <c r="PAX19" s="310" t="s">
        <v>202</v>
      </c>
      <c r="PAY19" s="310" t="s">
        <v>202</v>
      </c>
      <c r="PAZ19" s="310" t="s">
        <v>202</v>
      </c>
      <c r="PBA19" s="310" t="s">
        <v>202</v>
      </c>
      <c r="PBB19" s="310" t="s">
        <v>202</v>
      </c>
      <c r="PBC19" s="310" t="s">
        <v>202</v>
      </c>
      <c r="PBD19" s="310" t="s">
        <v>202</v>
      </c>
      <c r="PBE19" s="310" t="s">
        <v>202</v>
      </c>
      <c r="PBF19" s="310" t="s">
        <v>202</v>
      </c>
      <c r="PBG19" s="310" t="s">
        <v>202</v>
      </c>
      <c r="PBH19" s="310" t="s">
        <v>202</v>
      </c>
      <c r="PBI19" s="310" t="s">
        <v>202</v>
      </c>
      <c r="PBJ19" s="310" t="s">
        <v>202</v>
      </c>
      <c r="PBK19" s="310" t="s">
        <v>202</v>
      </c>
      <c r="PBL19" s="310" t="s">
        <v>202</v>
      </c>
      <c r="PBM19" s="310" t="s">
        <v>202</v>
      </c>
      <c r="PBN19" s="310" t="s">
        <v>202</v>
      </c>
      <c r="PBO19" s="310" t="s">
        <v>202</v>
      </c>
      <c r="PBP19" s="310" t="s">
        <v>202</v>
      </c>
      <c r="PBQ19" s="310" t="s">
        <v>202</v>
      </c>
      <c r="PBR19" s="310" t="s">
        <v>202</v>
      </c>
      <c r="PBS19" s="310" t="s">
        <v>202</v>
      </c>
      <c r="PBT19" s="310" t="s">
        <v>202</v>
      </c>
      <c r="PBU19" s="310" t="s">
        <v>202</v>
      </c>
      <c r="PBV19" s="310" t="s">
        <v>202</v>
      </c>
      <c r="PBW19" s="310" t="s">
        <v>202</v>
      </c>
      <c r="PBX19" s="310" t="s">
        <v>202</v>
      </c>
      <c r="PBY19" s="310" t="s">
        <v>202</v>
      </c>
      <c r="PBZ19" s="310" t="s">
        <v>202</v>
      </c>
      <c r="PCA19" s="310" t="s">
        <v>202</v>
      </c>
      <c r="PCB19" s="310" t="s">
        <v>202</v>
      </c>
      <c r="PCC19" s="310" t="s">
        <v>202</v>
      </c>
      <c r="PCD19" s="310" t="s">
        <v>202</v>
      </c>
      <c r="PCE19" s="310" t="s">
        <v>202</v>
      </c>
      <c r="PCF19" s="310" t="s">
        <v>202</v>
      </c>
      <c r="PCG19" s="310" t="s">
        <v>202</v>
      </c>
      <c r="PCH19" s="310" t="s">
        <v>202</v>
      </c>
      <c r="PCI19" s="310" t="s">
        <v>202</v>
      </c>
      <c r="PCJ19" s="310" t="s">
        <v>202</v>
      </c>
      <c r="PCK19" s="310" t="s">
        <v>202</v>
      </c>
      <c r="PCL19" s="310" t="s">
        <v>202</v>
      </c>
      <c r="PCM19" s="310" t="s">
        <v>202</v>
      </c>
      <c r="PCN19" s="310" t="s">
        <v>202</v>
      </c>
      <c r="PCO19" s="310" t="s">
        <v>202</v>
      </c>
      <c r="PCP19" s="310" t="s">
        <v>202</v>
      </c>
      <c r="PCQ19" s="310" t="s">
        <v>202</v>
      </c>
      <c r="PCR19" s="310" t="s">
        <v>202</v>
      </c>
      <c r="PCS19" s="310" t="s">
        <v>202</v>
      </c>
      <c r="PCT19" s="310" t="s">
        <v>202</v>
      </c>
      <c r="PCU19" s="310" t="s">
        <v>202</v>
      </c>
      <c r="PCV19" s="310" t="s">
        <v>202</v>
      </c>
      <c r="PCW19" s="310" t="s">
        <v>202</v>
      </c>
      <c r="PCX19" s="310" t="s">
        <v>202</v>
      </c>
      <c r="PCY19" s="310" t="s">
        <v>202</v>
      </c>
      <c r="PCZ19" s="310" t="s">
        <v>202</v>
      </c>
      <c r="PDA19" s="310" t="s">
        <v>202</v>
      </c>
      <c r="PDB19" s="310" t="s">
        <v>202</v>
      </c>
      <c r="PDC19" s="310" t="s">
        <v>202</v>
      </c>
      <c r="PDD19" s="310" t="s">
        <v>202</v>
      </c>
      <c r="PDE19" s="310" t="s">
        <v>202</v>
      </c>
      <c r="PDF19" s="310" t="s">
        <v>202</v>
      </c>
      <c r="PDG19" s="310" t="s">
        <v>202</v>
      </c>
      <c r="PDH19" s="310" t="s">
        <v>202</v>
      </c>
      <c r="PDI19" s="310" t="s">
        <v>202</v>
      </c>
      <c r="PDJ19" s="310" t="s">
        <v>202</v>
      </c>
      <c r="PDK19" s="310" t="s">
        <v>202</v>
      </c>
      <c r="PDL19" s="310" t="s">
        <v>202</v>
      </c>
      <c r="PDM19" s="310" t="s">
        <v>202</v>
      </c>
      <c r="PDN19" s="310" t="s">
        <v>202</v>
      </c>
      <c r="PDO19" s="310" t="s">
        <v>202</v>
      </c>
      <c r="PDP19" s="310" t="s">
        <v>202</v>
      </c>
      <c r="PDQ19" s="310" t="s">
        <v>202</v>
      </c>
      <c r="PDR19" s="310" t="s">
        <v>202</v>
      </c>
      <c r="PDS19" s="310" t="s">
        <v>202</v>
      </c>
      <c r="PDT19" s="310" t="s">
        <v>202</v>
      </c>
      <c r="PDU19" s="310" t="s">
        <v>202</v>
      </c>
      <c r="PDV19" s="310" t="s">
        <v>202</v>
      </c>
      <c r="PDW19" s="310" t="s">
        <v>202</v>
      </c>
      <c r="PDX19" s="310" t="s">
        <v>202</v>
      </c>
      <c r="PDY19" s="310" t="s">
        <v>202</v>
      </c>
      <c r="PDZ19" s="310" t="s">
        <v>202</v>
      </c>
      <c r="PEA19" s="310" t="s">
        <v>202</v>
      </c>
      <c r="PEB19" s="310" t="s">
        <v>202</v>
      </c>
      <c r="PEC19" s="310" t="s">
        <v>202</v>
      </c>
      <c r="PED19" s="310" t="s">
        <v>202</v>
      </c>
      <c r="PEE19" s="310" t="s">
        <v>202</v>
      </c>
      <c r="PEF19" s="310" t="s">
        <v>202</v>
      </c>
      <c r="PEG19" s="310" t="s">
        <v>202</v>
      </c>
      <c r="PEH19" s="310" t="s">
        <v>202</v>
      </c>
      <c r="PEI19" s="310" t="s">
        <v>202</v>
      </c>
      <c r="PEJ19" s="310" t="s">
        <v>202</v>
      </c>
      <c r="PEK19" s="310" t="s">
        <v>202</v>
      </c>
      <c r="PEL19" s="310" t="s">
        <v>202</v>
      </c>
      <c r="PEM19" s="310" t="s">
        <v>202</v>
      </c>
      <c r="PEN19" s="310" t="s">
        <v>202</v>
      </c>
      <c r="PEO19" s="310" t="s">
        <v>202</v>
      </c>
      <c r="PEP19" s="310" t="s">
        <v>202</v>
      </c>
      <c r="PEQ19" s="310" t="s">
        <v>202</v>
      </c>
      <c r="PER19" s="310" t="s">
        <v>202</v>
      </c>
      <c r="PES19" s="310" t="s">
        <v>202</v>
      </c>
      <c r="PET19" s="310" t="s">
        <v>202</v>
      </c>
      <c r="PEU19" s="310" t="s">
        <v>202</v>
      </c>
      <c r="PEV19" s="310" t="s">
        <v>202</v>
      </c>
      <c r="PEW19" s="310" t="s">
        <v>202</v>
      </c>
      <c r="PEX19" s="310" t="s">
        <v>202</v>
      </c>
      <c r="PEY19" s="310" t="s">
        <v>202</v>
      </c>
      <c r="PEZ19" s="310" t="s">
        <v>202</v>
      </c>
      <c r="PFA19" s="310" t="s">
        <v>202</v>
      </c>
      <c r="PFB19" s="310" t="s">
        <v>202</v>
      </c>
      <c r="PFC19" s="310" t="s">
        <v>202</v>
      </c>
      <c r="PFD19" s="310" t="s">
        <v>202</v>
      </c>
      <c r="PFE19" s="310" t="s">
        <v>202</v>
      </c>
      <c r="PFF19" s="310" t="s">
        <v>202</v>
      </c>
      <c r="PFG19" s="310" t="s">
        <v>202</v>
      </c>
      <c r="PFH19" s="310" t="s">
        <v>202</v>
      </c>
      <c r="PFI19" s="310" t="s">
        <v>202</v>
      </c>
      <c r="PFJ19" s="310" t="s">
        <v>202</v>
      </c>
      <c r="PFK19" s="310" t="s">
        <v>202</v>
      </c>
      <c r="PFL19" s="310" t="s">
        <v>202</v>
      </c>
      <c r="PFM19" s="310" t="s">
        <v>202</v>
      </c>
      <c r="PFN19" s="310" t="s">
        <v>202</v>
      </c>
      <c r="PFO19" s="310" t="s">
        <v>202</v>
      </c>
      <c r="PFP19" s="310" t="s">
        <v>202</v>
      </c>
      <c r="PFQ19" s="310" t="s">
        <v>202</v>
      </c>
      <c r="PFR19" s="310" t="s">
        <v>202</v>
      </c>
      <c r="PFS19" s="310" t="s">
        <v>202</v>
      </c>
      <c r="PFT19" s="310" t="s">
        <v>202</v>
      </c>
      <c r="PFU19" s="310" t="s">
        <v>202</v>
      </c>
      <c r="PFV19" s="310" t="s">
        <v>202</v>
      </c>
      <c r="PFW19" s="310" t="s">
        <v>202</v>
      </c>
      <c r="PFX19" s="310" t="s">
        <v>202</v>
      </c>
      <c r="PFY19" s="310" t="s">
        <v>202</v>
      </c>
      <c r="PFZ19" s="310" t="s">
        <v>202</v>
      </c>
      <c r="PGA19" s="310" t="s">
        <v>202</v>
      </c>
      <c r="PGB19" s="310" t="s">
        <v>202</v>
      </c>
      <c r="PGC19" s="310" t="s">
        <v>202</v>
      </c>
      <c r="PGD19" s="310" t="s">
        <v>202</v>
      </c>
      <c r="PGE19" s="310" t="s">
        <v>202</v>
      </c>
      <c r="PGF19" s="310" t="s">
        <v>202</v>
      </c>
      <c r="PGG19" s="310" t="s">
        <v>202</v>
      </c>
      <c r="PGH19" s="310" t="s">
        <v>202</v>
      </c>
      <c r="PGI19" s="310" t="s">
        <v>202</v>
      </c>
      <c r="PGJ19" s="310" t="s">
        <v>202</v>
      </c>
      <c r="PGK19" s="310" t="s">
        <v>202</v>
      </c>
      <c r="PGL19" s="310" t="s">
        <v>202</v>
      </c>
      <c r="PGM19" s="310" t="s">
        <v>202</v>
      </c>
      <c r="PGN19" s="310" t="s">
        <v>202</v>
      </c>
      <c r="PGO19" s="310" t="s">
        <v>202</v>
      </c>
      <c r="PGP19" s="310" t="s">
        <v>202</v>
      </c>
      <c r="PGQ19" s="310" t="s">
        <v>202</v>
      </c>
      <c r="PGR19" s="310" t="s">
        <v>202</v>
      </c>
      <c r="PGS19" s="310" t="s">
        <v>202</v>
      </c>
      <c r="PGT19" s="310" t="s">
        <v>202</v>
      </c>
      <c r="PGU19" s="310" t="s">
        <v>202</v>
      </c>
      <c r="PGV19" s="310" t="s">
        <v>202</v>
      </c>
      <c r="PGW19" s="310" t="s">
        <v>202</v>
      </c>
      <c r="PGX19" s="310" t="s">
        <v>202</v>
      </c>
      <c r="PGY19" s="310" t="s">
        <v>202</v>
      </c>
      <c r="PGZ19" s="310" t="s">
        <v>202</v>
      </c>
      <c r="PHA19" s="310" t="s">
        <v>202</v>
      </c>
      <c r="PHB19" s="310" t="s">
        <v>202</v>
      </c>
      <c r="PHC19" s="310" t="s">
        <v>202</v>
      </c>
      <c r="PHD19" s="310" t="s">
        <v>202</v>
      </c>
      <c r="PHE19" s="310" t="s">
        <v>202</v>
      </c>
      <c r="PHF19" s="310" t="s">
        <v>202</v>
      </c>
      <c r="PHG19" s="310" t="s">
        <v>202</v>
      </c>
      <c r="PHH19" s="310" t="s">
        <v>202</v>
      </c>
      <c r="PHI19" s="310" t="s">
        <v>202</v>
      </c>
      <c r="PHJ19" s="310" t="s">
        <v>202</v>
      </c>
      <c r="PHK19" s="310" t="s">
        <v>202</v>
      </c>
      <c r="PHL19" s="310" t="s">
        <v>202</v>
      </c>
      <c r="PHM19" s="310" t="s">
        <v>202</v>
      </c>
      <c r="PHN19" s="310" t="s">
        <v>202</v>
      </c>
      <c r="PHO19" s="310" t="s">
        <v>202</v>
      </c>
      <c r="PHP19" s="310" t="s">
        <v>202</v>
      </c>
      <c r="PHQ19" s="310" t="s">
        <v>202</v>
      </c>
      <c r="PHR19" s="310" t="s">
        <v>202</v>
      </c>
      <c r="PHS19" s="310" t="s">
        <v>202</v>
      </c>
      <c r="PHT19" s="310" t="s">
        <v>202</v>
      </c>
      <c r="PHU19" s="310" t="s">
        <v>202</v>
      </c>
      <c r="PHV19" s="310" t="s">
        <v>202</v>
      </c>
      <c r="PHW19" s="310" t="s">
        <v>202</v>
      </c>
      <c r="PHX19" s="310" t="s">
        <v>202</v>
      </c>
      <c r="PHY19" s="310" t="s">
        <v>202</v>
      </c>
      <c r="PHZ19" s="310" t="s">
        <v>202</v>
      </c>
      <c r="PIA19" s="310" t="s">
        <v>202</v>
      </c>
      <c r="PIB19" s="310" t="s">
        <v>202</v>
      </c>
      <c r="PIC19" s="310" t="s">
        <v>202</v>
      </c>
      <c r="PID19" s="310" t="s">
        <v>202</v>
      </c>
      <c r="PIE19" s="310" t="s">
        <v>202</v>
      </c>
      <c r="PIF19" s="310" t="s">
        <v>202</v>
      </c>
      <c r="PIG19" s="310" t="s">
        <v>202</v>
      </c>
      <c r="PIH19" s="310" t="s">
        <v>202</v>
      </c>
      <c r="PII19" s="310" t="s">
        <v>202</v>
      </c>
      <c r="PIJ19" s="310" t="s">
        <v>202</v>
      </c>
      <c r="PIK19" s="310" t="s">
        <v>202</v>
      </c>
      <c r="PIL19" s="310" t="s">
        <v>202</v>
      </c>
      <c r="PIM19" s="310" t="s">
        <v>202</v>
      </c>
      <c r="PIN19" s="310" t="s">
        <v>202</v>
      </c>
      <c r="PIO19" s="310" t="s">
        <v>202</v>
      </c>
      <c r="PIP19" s="310" t="s">
        <v>202</v>
      </c>
      <c r="PIQ19" s="310" t="s">
        <v>202</v>
      </c>
      <c r="PIR19" s="310" t="s">
        <v>202</v>
      </c>
      <c r="PIS19" s="310" t="s">
        <v>202</v>
      </c>
      <c r="PIT19" s="310" t="s">
        <v>202</v>
      </c>
      <c r="PIU19" s="310" t="s">
        <v>202</v>
      </c>
      <c r="PIV19" s="310" t="s">
        <v>202</v>
      </c>
      <c r="PIW19" s="310" t="s">
        <v>202</v>
      </c>
      <c r="PIX19" s="310" t="s">
        <v>202</v>
      </c>
      <c r="PIY19" s="310" t="s">
        <v>202</v>
      </c>
      <c r="PIZ19" s="310" t="s">
        <v>202</v>
      </c>
      <c r="PJA19" s="310" t="s">
        <v>202</v>
      </c>
      <c r="PJB19" s="310" t="s">
        <v>202</v>
      </c>
      <c r="PJC19" s="310" t="s">
        <v>202</v>
      </c>
      <c r="PJD19" s="310" t="s">
        <v>202</v>
      </c>
      <c r="PJE19" s="310" t="s">
        <v>202</v>
      </c>
      <c r="PJF19" s="310" t="s">
        <v>202</v>
      </c>
      <c r="PJG19" s="310" t="s">
        <v>202</v>
      </c>
      <c r="PJH19" s="310" t="s">
        <v>202</v>
      </c>
      <c r="PJI19" s="310" t="s">
        <v>202</v>
      </c>
      <c r="PJJ19" s="310" t="s">
        <v>202</v>
      </c>
      <c r="PJK19" s="310" t="s">
        <v>202</v>
      </c>
      <c r="PJL19" s="310" t="s">
        <v>202</v>
      </c>
      <c r="PJM19" s="310" t="s">
        <v>202</v>
      </c>
      <c r="PJN19" s="310" t="s">
        <v>202</v>
      </c>
      <c r="PJO19" s="310" t="s">
        <v>202</v>
      </c>
      <c r="PJP19" s="310" t="s">
        <v>202</v>
      </c>
      <c r="PJQ19" s="310" t="s">
        <v>202</v>
      </c>
      <c r="PJR19" s="310" t="s">
        <v>202</v>
      </c>
      <c r="PJS19" s="310" t="s">
        <v>202</v>
      </c>
      <c r="PJT19" s="310" t="s">
        <v>202</v>
      </c>
      <c r="PJU19" s="310" t="s">
        <v>202</v>
      </c>
      <c r="PJV19" s="310" t="s">
        <v>202</v>
      </c>
      <c r="PJW19" s="310" t="s">
        <v>202</v>
      </c>
      <c r="PJX19" s="310" t="s">
        <v>202</v>
      </c>
      <c r="PJY19" s="310" t="s">
        <v>202</v>
      </c>
      <c r="PJZ19" s="310" t="s">
        <v>202</v>
      </c>
      <c r="PKA19" s="310" t="s">
        <v>202</v>
      </c>
      <c r="PKB19" s="310" t="s">
        <v>202</v>
      </c>
      <c r="PKC19" s="310" t="s">
        <v>202</v>
      </c>
      <c r="PKD19" s="310" t="s">
        <v>202</v>
      </c>
      <c r="PKE19" s="310" t="s">
        <v>202</v>
      </c>
      <c r="PKF19" s="310" t="s">
        <v>202</v>
      </c>
      <c r="PKG19" s="310" t="s">
        <v>202</v>
      </c>
      <c r="PKH19" s="310" t="s">
        <v>202</v>
      </c>
      <c r="PKI19" s="310" t="s">
        <v>202</v>
      </c>
      <c r="PKJ19" s="310" t="s">
        <v>202</v>
      </c>
      <c r="PKK19" s="310" t="s">
        <v>202</v>
      </c>
      <c r="PKL19" s="310" t="s">
        <v>202</v>
      </c>
      <c r="PKM19" s="310" t="s">
        <v>202</v>
      </c>
      <c r="PKN19" s="310" t="s">
        <v>202</v>
      </c>
      <c r="PKO19" s="310" t="s">
        <v>202</v>
      </c>
      <c r="PKP19" s="310" t="s">
        <v>202</v>
      </c>
      <c r="PKQ19" s="310" t="s">
        <v>202</v>
      </c>
      <c r="PKR19" s="310" t="s">
        <v>202</v>
      </c>
      <c r="PKS19" s="310" t="s">
        <v>202</v>
      </c>
      <c r="PKT19" s="310" t="s">
        <v>202</v>
      </c>
      <c r="PKU19" s="310" t="s">
        <v>202</v>
      </c>
      <c r="PKV19" s="310" t="s">
        <v>202</v>
      </c>
      <c r="PKW19" s="310" t="s">
        <v>202</v>
      </c>
      <c r="PKX19" s="310" t="s">
        <v>202</v>
      </c>
      <c r="PKY19" s="310" t="s">
        <v>202</v>
      </c>
      <c r="PKZ19" s="310" t="s">
        <v>202</v>
      </c>
      <c r="PLA19" s="310" t="s">
        <v>202</v>
      </c>
      <c r="PLB19" s="310" t="s">
        <v>202</v>
      </c>
      <c r="PLC19" s="310" t="s">
        <v>202</v>
      </c>
      <c r="PLD19" s="310" t="s">
        <v>202</v>
      </c>
      <c r="PLE19" s="310" t="s">
        <v>202</v>
      </c>
      <c r="PLF19" s="310" t="s">
        <v>202</v>
      </c>
      <c r="PLG19" s="310" t="s">
        <v>202</v>
      </c>
      <c r="PLH19" s="310" t="s">
        <v>202</v>
      </c>
      <c r="PLI19" s="310" t="s">
        <v>202</v>
      </c>
      <c r="PLJ19" s="310" t="s">
        <v>202</v>
      </c>
      <c r="PLK19" s="310" t="s">
        <v>202</v>
      </c>
      <c r="PLL19" s="310" t="s">
        <v>202</v>
      </c>
      <c r="PLM19" s="310" t="s">
        <v>202</v>
      </c>
      <c r="PLN19" s="310" t="s">
        <v>202</v>
      </c>
      <c r="PLO19" s="310" t="s">
        <v>202</v>
      </c>
      <c r="PLP19" s="310" t="s">
        <v>202</v>
      </c>
      <c r="PLQ19" s="310" t="s">
        <v>202</v>
      </c>
      <c r="PLR19" s="310" t="s">
        <v>202</v>
      </c>
      <c r="PLS19" s="310" t="s">
        <v>202</v>
      </c>
      <c r="PLT19" s="310" t="s">
        <v>202</v>
      </c>
      <c r="PLU19" s="310" t="s">
        <v>202</v>
      </c>
      <c r="PLV19" s="310" t="s">
        <v>202</v>
      </c>
      <c r="PLW19" s="310" t="s">
        <v>202</v>
      </c>
      <c r="PLX19" s="310" t="s">
        <v>202</v>
      </c>
      <c r="PLY19" s="310" t="s">
        <v>202</v>
      </c>
      <c r="PLZ19" s="310" t="s">
        <v>202</v>
      </c>
      <c r="PMA19" s="310" t="s">
        <v>202</v>
      </c>
      <c r="PMB19" s="310" t="s">
        <v>202</v>
      </c>
      <c r="PMC19" s="310" t="s">
        <v>202</v>
      </c>
      <c r="PMD19" s="310" t="s">
        <v>202</v>
      </c>
      <c r="PME19" s="310" t="s">
        <v>202</v>
      </c>
      <c r="PMF19" s="310" t="s">
        <v>202</v>
      </c>
      <c r="PMG19" s="310" t="s">
        <v>202</v>
      </c>
      <c r="PMH19" s="310" t="s">
        <v>202</v>
      </c>
      <c r="PMI19" s="310" t="s">
        <v>202</v>
      </c>
      <c r="PMJ19" s="310" t="s">
        <v>202</v>
      </c>
      <c r="PMK19" s="310" t="s">
        <v>202</v>
      </c>
      <c r="PML19" s="310" t="s">
        <v>202</v>
      </c>
      <c r="PMM19" s="310" t="s">
        <v>202</v>
      </c>
      <c r="PMN19" s="310" t="s">
        <v>202</v>
      </c>
      <c r="PMO19" s="310" t="s">
        <v>202</v>
      </c>
      <c r="PMP19" s="310" t="s">
        <v>202</v>
      </c>
      <c r="PMQ19" s="310" t="s">
        <v>202</v>
      </c>
      <c r="PMR19" s="310" t="s">
        <v>202</v>
      </c>
      <c r="PMS19" s="310" t="s">
        <v>202</v>
      </c>
      <c r="PMT19" s="310" t="s">
        <v>202</v>
      </c>
      <c r="PMU19" s="310" t="s">
        <v>202</v>
      </c>
      <c r="PMV19" s="310" t="s">
        <v>202</v>
      </c>
      <c r="PMW19" s="310" t="s">
        <v>202</v>
      </c>
      <c r="PMX19" s="310" t="s">
        <v>202</v>
      </c>
      <c r="PMY19" s="310" t="s">
        <v>202</v>
      </c>
      <c r="PMZ19" s="310" t="s">
        <v>202</v>
      </c>
      <c r="PNA19" s="310" t="s">
        <v>202</v>
      </c>
      <c r="PNB19" s="310" t="s">
        <v>202</v>
      </c>
      <c r="PNC19" s="310" t="s">
        <v>202</v>
      </c>
      <c r="PND19" s="310" t="s">
        <v>202</v>
      </c>
      <c r="PNE19" s="310" t="s">
        <v>202</v>
      </c>
      <c r="PNF19" s="310" t="s">
        <v>202</v>
      </c>
      <c r="PNG19" s="310" t="s">
        <v>202</v>
      </c>
      <c r="PNH19" s="310" t="s">
        <v>202</v>
      </c>
      <c r="PNI19" s="310" t="s">
        <v>202</v>
      </c>
      <c r="PNJ19" s="310" t="s">
        <v>202</v>
      </c>
      <c r="PNK19" s="310" t="s">
        <v>202</v>
      </c>
      <c r="PNL19" s="310" t="s">
        <v>202</v>
      </c>
      <c r="PNM19" s="310" t="s">
        <v>202</v>
      </c>
      <c r="PNN19" s="310" t="s">
        <v>202</v>
      </c>
      <c r="PNO19" s="310" t="s">
        <v>202</v>
      </c>
      <c r="PNP19" s="310" t="s">
        <v>202</v>
      </c>
      <c r="PNQ19" s="310" t="s">
        <v>202</v>
      </c>
      <c r="PNR19" s="310" t="s">
        <v>202</v>
      </c>
      <c r="PNS19" s="310" t="s">
        <v>202</v>
      </c>
      <c r="PNT19" s="310" t="s">
        <v>202</v>
      </c>
      <c r="PNU19" s="310" t="s">
        <v>202</v>
      </c>
      <c r="PNV19" s="310" t="s">
        <v>202</v>
      </c>
      <c r="PNW19" s="310" t="s">
        <v>202</v>
      </c>
      <c r="PNX19" s="310" t="s">
        <v>202</v>
      </c>
      <c r="PNY19" s="310" t="s">
        <v>202</v>
      </c>
      <c r="PNZ19" s="310" t="s">
        <v>202</v>
      </c>
      <c r="POA19" s="310" t="s">
        <v>202</v>
      </c>
      <c r="POB19" s="310" t="s">
        <v>202</v>
      </c>
      <c r="POC19" s="310" t="s">
        <v>202</v>
      </c>
      <c r="POD19" s="310" t="s">
        <v>202</v>
      </c>
      <c r="POE19" s="310" t="s">
        <v>202</v>
      </c>
      <c r="POF19" s="310" t="s">
        <v>202</v>
      </c>
      <c r="POG19" s="310" t="s">
        <v>202</v>
      </c>
      <c r="POH19" s="310" t="s">
        <v>202</v>
      </c>
      <c r="POI19" s="310" t="s">
        <v>202</v>
      </c>
      <c r="POJ19" s="310" t="s">
        <v>202</v>
      </c>
      <c r="POK19" s="310" t="s">
        <v>202</v>
      </c>
      <c r="POL19" s="310" t="s">
        <v>202</v>
      </c>
      <c r="POM19" s="310" t="s">
        <v>202</v>
      </c>
      <c r="PON19" s="310" t="s">
        <v>202</v>
      </c>
      <c r="POO19" s="310" t="s">
        <v>202</v>
      </c>
      <c r="POP19" s="310" t="s">
        <v>202</v>
      </c>
      <c r="POQ19" s="310" t="s">
        <v>202</v>
      </c>
      <c r="POR19" s="310" t="s">
        <v>202</v>
      </c>
      <c r="POS19" s="310" t="s">
        <v>202</v>
      </c>
      <c r="POT19" s="310" t="s">
        <v>202</v>
      </c>
      <c r="POU19" s="310" t="s">
        <v>202</v>
      </c>
      <c r="POV19" s="310" t="s">
        <v>202</v>
      </c>
      <c r="POW19" s="310" t="s">
        <v>202</v>
      </c>
      <c r="POX19" s="310" t="s">
        <v>202</v>
      </c>
      <c r="POY19" s="310" t="s">
        <v>202</v>
      </c>
      <c r="POZ19" s="310" t="s">
        <v>202</v>
      </c>
      <c r="PPA19" s="310" t="s">
        <v>202</v>
      </c>
      <c r="PPB19" s="310" t="s">
        <v>202</v>
      </c>
      <c r="PPC19" s="310" t="s">
        <v>202</v>
      </c>
      <c r="PPD19" s="310" t="s">
        <v>202</v>
      </c>
      <c r="PPE19" s="310" t="s">
        <v>202</v>
      </c>
      <c r="PPF19" s="310" t="s">
        <v>202</v>
      </c>
      <c r="PPG19" s="310" t="s">
        <v>202</v>
      </c>
      <c r="PPH19" s="310" t="s">
        <v>202</v>
      </c>
      <c r="PPI19" s="310" t="s">
        <v>202</v>
      </c>
      <c r="PPJ19" s="310" t="s">
        <v>202</v>
      </c>
      <c r="PPK19" s="310" t="s">
        <v>202</v>
      </c>
      <c r="PPL19" s="310" t="s">
        <v>202</v>
      </c>
      <c r="PPM19" s="310" t="s">
        <v>202</v>
      </c>
      <c r="PPN19" s="310" t="s">
        <v>202</v>
      </c>
      <c r="PPO19" s="310" t="s">
        <v>202</v>
      </c>
      <c r="PPP19" s="310" t="s">
        <v>202</v>
      </c>
      <c r="PPQ19" s="310" t="s">
        <v>202</v>
      </c>
      <c r="PPR19" s="310" t="s">
        <v>202</v>
      </c>
      <c r="PPS19" s="310" t="s">
        <v>202</v>
      </c>
      <c r="PPT19" s="310" t="s">
        <v>202</v>
      </c>
      <c r="PPU19" s="310" t="s">
        <v>202</v>
      </c>
      <c r="PPV19" s="310" t="s">
        <v>202</v>
      </c>
      <c r="PPW19" s="310" t="s">
        <v>202</v>
      </c>
      <c r="PPX19" s="310" t="s">
        <v>202</v>
      </c>
      <c r="PPY19" s="310" t="s">
        <v>202</v>
      </c>
      <c r="PPZ19" s="310" t="s">
        <v>202</v>
      </c>
      <c r="PQA19" s="310" t="s">
        <v>202</v>
      </c>
      <c r="PQB19" s="310" t="s">
        <v>202</v>
      </c>
      <c r="PQC19" s="310" t="s">
        <v>202</v>
      </c>
      <c r="PQD19" s="310" t="s">
        <v>202</v>
      </c>
      <c r="PQE19" s="310" t="s">
        <v>202</v>
      </c>
      <c r="PQF19" s="310" t="s">
        <v>202</v>
      </c>
      <c r="PQG19" s="310" t="s">
        <v>202</v>
      </c>
      <c r="PQH19" s="310" t="s">
        <v>202</v>
      </c>
      <c r="PQI19" s="310" t="s">
        <v>202</v>
      </c>
      <c r="PQJ19" s="310" t="s">
        <v>202</v>
      </c>
      <c r="PQK19" s="310" t="s">
        <v>202</v>
      </c>
      <c r="PQL19" s="310" t="s">
        <v>202</v>
      </c>
      <c r="PQM19" s="310" t="s">
        <v>202</v>
      </c>
      <c r="PQN19" s="310" t="s">
        <v>202</v>
      </c>
      <c r="PQO19" s="310" t="s">
        <v>202</v>
      </c>
      <c r="PQP19" s="310" t="s">
        <v>202</v>
      </c>
      <c r="PQQ19" s="310" t="s">
        <v>202</v>
      </c>
      <c r="PQR19" s="310" t="s">
        <v>202</v>
      </c>
      <c r="PQS19" s="310" t="s">
        <v>202</v>
      </c>
      <c r="PQT19" s="310" t="s">
        <v>202</v>
      </c>
      <c r="PQU19" s="310" t="s">
        <v>202</v>
      </c>
      <c r="PQV19" s="310" t="s">
        <v>202</v>
      </c>
      <c r="PQW19" s="310" t="s">
        <v>202</v>
      </c>
      <c r="PQX19" s="310" t="s">
        <v>202</v>
      </c>
      <c r="PQY19" s="310" t="s">
        <v>202</v>
      </c>
      <c r="PQZ19" s="310" t="s">
        <v>202</v>
      </c>
      <c r="PRA19" s="310" t="s">
        <v>202</v>
      </c>
      <c r="PRB19" s="310" t="s">
        <v>202</v>
      </c>
      <c r="PRC19" s="310" t="s">
        <v>202</v>
      </c>
      <c r="PRD19" s="310" t="s">
        <v>202</v>
      </c>
      <c r="PRE19" s="310" t="s">
        <v>202</v>
      </c>
      <c r="PRF19" s="310" t="s">
        <v>202</v>
      </c>
      <c r="PRG19" s="310" t="s">
        <v>202</v>
      </c>
      <c r="PRH19" s="310" t="s">
        <v>202</v>
      </c>
      <c r="PRI19" s="310" t="s">
        <v>202</v>
      </c>
      <c r="PRJ19" s="310" t="s">
        <v>202</v>
      </c>
      <c r="PRK19" s="310" t="s">
        <v>202</v>
      </c>
      <c r="PRL19" s="310" t="s">
        <v>202</v>
      </c>
      <c r="PRM19" s="310" t="s">
        <v>202</v>
      </c>
      <c r="PRN19" s="310" t="s">
        <v>202</v>
      </c>
      <c r="PRO19" s="310" t="s">
        <v>202</v>
      </c>
      <c r="PRP19" s="310" t="s">
        <v>202</v>
      </c>
      <c r="PRQ19" s="310" t="s">
        <v>202</v>
      </c>
      <c r="PRR19" s="310" t="s">
        <v>202</v>
      </c>
      <c r="PRS19" s="310" t="s">
        <v>202</v>
      </c>
      <c r="PRT19" s="310" t="s">
        <v>202</v>
      </c>
      <c r="PRU19" s="310" t="s">
        <v>202</v>
      </c>
      <c r="PRV19" s="310" t="s">
        <v>202</v>
      </c>
      <c r="PRW19" s="310" t="s">
        <v>202</v>
      </c>
      <c r="PRX19" s="310" t="s">
        <v>202</v>
      </c>
      <c r="PRY19" s="310" t="s">
        <v>202</v>
      </c>
      <c r="PRZ19" s="310" t="s">
        <v>202</v>
      </c>
      <c r="PSA19" s="310" t="s">
        <v>202</v>
      </c>
      <c r="PSB19" s="310" t="s">
        <v>202</v>
      </c>
      <c r="PSC19" s="310" t="s">
        <v>202</v>
      </c>
      <c r="PSD19" s="310" t="s">
        <v>202</v>
      </c>
      <c r="PSE19" s="310" t="s">
        <v>202</v>
      </c>
      <c r="PSF19" s="310" t="s">
        <v>202</v>
      </c>
      <c r="PSG19" s="310" t="s">
        <v>202</v>
      </c>
      <c r="PSH19" s="310" t="s">
        <v>202</v>
      </c>
      <c r="PSI19" s="310" t="s">
        <v>202</v>
      </c>
      <c r="PSJ19" s="310" t="s">
        <v>202</v>
      </c>
      <c r="PSK19" s="310" t="s">
        <v>202</v>
      </c>
      <c r="PSL19" s="310" t="s">
        <v>202</v>
      </c>
      <c r="PSM19" s="310" t="s">
        <v>202</v>
      </c>
      <c r="PSN19" s="310" t="s">
        <v>202</v>
      </c>
      <c r="PSO19" s="310" t="s">
        <v>202</v>
      </c>
      <c r="PSP19" s="310" t="s">
        <v>202</v>
      </c>
      <c r="PSQ19" s="310" t="s">
        <v>202</v>
      </c>
      <c r="PSR19" s="310" t="s">
        <v>202</v>
      </c>
      <c r="PSS19" s="310" t="s">
        <v>202</v>
      </c>
      <c r="PST19" s="310" t="s">
        <v>202</v>
      </c>
      <c r="PSU19" s="310" t="s">
        <v>202</v>
      </c>
      <c r="PSV19" s="310" t="s">
        <v>202</v>
      </c>
      <c r="PSW19" s="310" t="s">
        <v>202</v>
      </c>
      <c r="PSX19" s="310" t="s">
        <v>202</v>
      </c>
      <c r="PSY19" s="310" t="s">
        <v>202</v>
      </c>
      <c r="PSZ19" s="310" t="s">
        <v>202</v>
      </c>
      <c r="PTA19" s="310" t="s">
        <v>202</v>
      </c>
      <c r="PTB19" s="310" t="s">
        <v>202</v>
      </c>
      <c r="PTC19" s="310" t="s">
        <v>202</v>
      </c>
      <c r="PTD19" s="310" t="s">
        <v>202</v>
      </c>
      <c r="PTE19" s="310" t="s">
        <v>202</v>
      </c>
      <c r="PTF19" s="310" t="s">
        <v>202</v>
      </c>
      <c r="PTG19" s="310" t="s">
        <v>202</v>
      </c>
      <c r="PTH19" s="310" t="s">
        <v>202</v>
      </c>
      <c r="PTI19" s="310" t="s">
        <v>202</v>
      </c>
      <c r="PTJ19" s="310" t="s">
        <v>202</v>
      </c>
      <c r="PTK19" s="310" t="s">
        <v>202</v>
      </c>
      <c r="PTL19" s="310" t="s">
        <v>202</v>
      </c>
      <c r="PTM19" s="310" t="s">
        <v>202</v>
      </c>
      <c r="PTN19" s="310" t="s">
        <v>202</v>
      </c>
      <c r="PTO19" s="310" t="s">
        <v>202</v>
      </c>
      <c r="PTP19" s="310" t="s">
        <v>202</v>
      </c>
      <c r="PTQ19" s="310" t="s">
        <v>202</v>
      </c>
      <c r="PTR19" s="310" t="s">
        <v>202</v>
      </c>
      <c r="PTS19" s="310" t="s">
        <v>202</v>
      </c>
      <c r="PTT19" s="310" t="s">
        <v>202</v>
      </c>
      <c r="PTU19" s="310" t="s">
        <v>202</v>
      </c>
      <c r="PTV19" s="310" t="s">
        <v>202</v>
      </c>
      <c r="PTW19" s="310" t="s">
        <v>202</v>
      </c>
      <c r="PTX19" s="310" t="s">
        <v>202</v>
      </c>
      <c r="PTY19" s="310" t="s">
        <v>202</v>
      </c>
      <c r="PTZ19" s="310" t="s">
        <v>202</v>
      </c>
      <c r="PUA19" s="310" t="s">
        <v>202</v>
      </c>
      <c r="PUB19" s="310" t="s">
        <v>202</v>
      </c>
      <c r="PUC19" s="310" t="s">
        <v>202</v>
      </c>
      <c r="PUD19" s="310" t="s">
        <v>202</v>
      </c>
      <c r="PUE19" s="310" t="s">
        <v>202</v>
      </c>
      <c r="PUF19" s="310" t="s">
        <v>202</v>
      </c>
      <c r="PUG19" s="310" t="s">
        <v>202</v>
      </c>
      <c r="PUH19" s="310" t="s">
        <v>202</v>
      </c>
      <c r="PUI19" s="310" t="s">
        <v>202</v>
      </c>
      <c r="PUJ19" s="310" t="s">
        <v>202</v>
      </c>
      <c r="PUK19" s="310" t="s">
        <v>202</v>
      </c>
      <c r="PUL19" s="310" t="s">
        <v>202</v>
      </c>
      <c r="PUM19" s="310" t="s">
        <v>202</v>
      </c>
      <c r="PUN19" s="310" t="s">
        <v>202</v>
      </c>
      <c r="PUO19" s="310" t="s">
        <v>202</v>
      </c>
      <c r="PUP19" s="310" t="s">
        <v>202</v>
      </c>
      <c r="PUQ19" s="310" t="s">
        <v>202</v>
      </c>
      <c r="PUR19" s="310" t="s">
        <v>202</v>
      </c>
      <c r="PUS19" s="310" t="s">
        <v>202</v>
      </c>
      <c r="PUT19" s="310" t="s">
        <v>202</v>
      </c>
      <c r="PUU19" s="310" t="s">
        <v>202</v>
      </c>
      <c r="PUV19" s="310" t="s">
        <v>202</v>
      </c>
      <c r="PUW19" s="310" t="s">
        <v>202</v>
      </c>
      <c r="PUX19" s="310" t="s">
        <v>202</v>
      </c>
      <c r="PUY19" s="310" t="s">
        <v>202</v>
      </c>
      <c r="PUZ19" s="310" t="s">
        <v>202</v>
      </c>
      <c r="PVA19" s="310" t="s">
        <v>202</v>
      </c>
      <c r="PVB19" s="310" t="s">
        <v>202</v>
      </c>
      <c r="PVC19" s="310" t="s">
        <v>202</v>
      </c>
      <c r="PVD19" s="310" t="s">
        <v>202</v>
      </c>
      <c r="PVE19" s="310" t="s">
        <v>202</v>
      </c>
      <c r="PVF19" s="310" t="s">
        <v>202</v>
      </c>
      <c r="PVG19" s="310" t="s">
        <v>202</v>
      </c>
      <c r="PVH19" s="310" t="s">
        <v>202</v>
      </c>
      <c r="PVI19" s="310" t="s">
        <v>202</v>
      </c>
      <c r="PVJ19" s="310" t="s">
        <v>202</v>
      </c>
      <c r="PVK19" s="310" t="s">
        <v>202</v>
      </c>
      <c r="PVL19" s="310" t="s">
        <v>202</v>
      </c>
      <c r="PVM19" s="310" t="s">
        <v>202</v>
      </c>
      <c r="PVN19" s="310" t="s">
        <v>202</v>
      </c>
      <c r="PVO19" s="310" t="s">
        <v>202</v>
      </c>
      <c r="PVP19" s="310" t="s">
        <v>202</v>
      </c>
      <c r="PVQ19" s="310" t="s">
        <v>202</v>
      </c>
      <c r="PVR19" s="310" t="s">
        <v>202</v>
      </c>
      <c r="PVS19" s="310" t="s">
        <v>202</v>
      </c>
      <c r="PVT19" s="310" t="s">
        <v>202</v>
      </c>
      <c r="PVU19" s="310" t="s">
        <v>202</v>
      </c>
      <c r="PVV19" s="310" t="s">
        <v>202</v>
      </c>
      <c r="PVW19" s="310" t="s">
        <v>202</v>
      </c>
      <c r="PVX19" s="310" t="s">
        <v>202</v>
      </c>
      <c r="PVY19" s="310" t="s">
        <v>202</v>
      </c>
      <c r="PVZ19" s="310" t="s">
        <v>202</v>
      </c>
      <c r="PWA19" s="310" t="s">
        <v>202</v>
      </c>
      <c r="PWB19" s="310" t="s">
        <v>202</v>
      </c>
      <c r="PWC19" s="310" t="s">
        <v>202</v>
      </c>
      <c r="PWD19" s="310" t="s">
        <v>202</v>
      </c>
      <c r="PWE19" s="310" t="s">
        <v>202</v>
      </c>
      <c r="PWF19" s="310" t="s">
        <v>202</v>
      </c>
      <c r="PWG19" s="310" t="s">
        <v>202</v>
      </c>
      <c r="PWH19" s="310" t="s">
        <v>202</v>
      </c>
      <c r="PWI19" s="310" t="s">
        <v>202</v>
      </c>
      <c r="PWJ19" s="310" t="s">
        <v>202</v>
      </c>
      <c r="PWK19" s="310" t="s">
        <v>202</v>
      </c>
      <c r="PWL19" s="310" t="s">
        <v>202</v>
      </c>
      <c r="PWM19" s="310" t="s">
        <v>202</v>
      </c>
      <c r="PWN19" s="310" t="s">
        <v>202</v>
      </c>
      <c r="PWO19" s="310" t="s">
        <v>202</v>
      </c>
      <c r="PWP19" s="310" t="s">
        <v>202</v>
      </c>
      <c r="PWQ19" s="310" t="s">
        <v>202</v>
      </c>
      <c r="PWR19" s="310" t="s">
        <v>202</v>
      </c>
      <c r="PWS19" s="310" t="s">
        <v>202</v>
      </c>
      <c r="PWT19" s="310" t="s">
        <v>202</v>
      </c>
      <c r="PWU19" s="310" t="s">
        <v>202</v>
      </c>
      <c r="PWV19" s="310" t="s">
        <v>202</v>
      </c>
      <c r="PWW19" s="310" t="s">
        <v>202</v>
      </c>
      <c r="PWX19" s="310" t="s">
        <v>202</v>
      </c>
      <c r="PWY19" s="310" t="s">
        <v>202</v>
      </c>
      <c r="PWZ19" s="310" t="s">
        <v>202</v>
      </c>
      <c r="PXA19" s="310" t="s">
        <v>202</v>
      </c>
      <c r="PXB19" s="310" t="s">
        <v>202</v>
      </c>
      <c r="PXC19" s="310" t="s">
        <v>202</v>
      </c>
      <c r="PXD19" s="310" t="s">
        <v>202</v>
      </c>
      <c r="PXE19" s="310" t="s">
        <v>202</v>
      </c>
      <c r="PXF19" s="310" t="s">
        <v>202</v>
      </c>
      <c r="PXG19" s="310" t="s">
        <v>202</v>
      </c>
      <c r="PXH19" s="310" t="s">
        <v>202</v>
      </c>
      <c r="PXI19" s="310" t="s">
        <v>202</v>
      </c>
      <c r="PXJ19" s="310" t="s">
        <v>202</v>
      </c>
      <c r="PXK19" s="310" t="s">
        <v>202</v>
      </c>
      <c r="PXL19" s="310" t="s">
        <v>202</v>
      </c>
      <c r="PXM19" s="310" t="s">
        <v>202</v>
      </c>
      <c r="PXN19" s="310" t="s">
        <v>202</v>
      </c>
      <c r="PXO19" s="310" t="s">
        <v>202</v>
      </c>
      <c r="PXP19" s="310" t="s">
        <v>202</v>
      </c>
      <c r="PXQ19" s="310" t="s">
        <v>202</v>
      </c>
      <c r="PXR19" s="310" t="s">
        <v>202</v>
      </c>
      <c r="PXS19" s="310" t="s">
        <v>202</v>
      </c>
      <c r="PXT19" s="310" t="s">
        <v>202</v>
      </c>
      <c r="PXU19" s="310" t="s">
        <v>202</v>
      </c>
      <c r="PXV19" s="310" t="s">
        <v>202</v>
      </c>
      <c r="PXW19" s="310" t="s">
        <v>202</v>
      </c>
      <c r="PXX19" s="310" t="s">
        <v>202</v>
      </c>
      <c r="PXY19" s="310" t="s">
        <v>202</v>
      </c>
      <c r="PXZ19" s="310" t="s">
        <v>202</v>
      </c>
      <c r="PYA19" s="310" t="s">
        <v>202</v>
      </c>
      <c r="PYB19" s="310" t="s">
        <v>202</v>
      </c>
      <c r="PYC19" s="310" t="s">
        <v>202</v>
      </c>
      <c r="PYD19" s="310" t="s">
        <v>202</v>
      </c>
      <c r="PYE19" s="310" t="s">
        <v>202</v>
      </c>
      <c r="PYF19" s="310" t="s">
        <v>202</v>
      </c>
      <c r="PYG19" s="310" t="s">
        <v>202</v>
      </c>
      <c r="PYH19" s="310" t="s">
        <v>202</v>
      </c>
      <c r="PYI19" s="310" t="s">
        <v>202</v>
      </c>
      <c r="PYJ19" s="310" t="s">
        <v>202</v>
      </c>
      <c r="PYK19" s="310" t="s">
        <v>202</v>
      </c>
      <c r="PYL19" s="310" t="s">
        <v>202</v>
      </c>
      <c r="PYM19" s="310" t="s">
        <v>202</v>
      </c>
      <c r="PYN19" s="310" t="s">
        <v>202</v>
      </c>
      <c r="PYO19" s="310" t="s">
        <v>202</v>
      </c>
      <c r="PYP19" s="310" t="s">
        <v>202</v>
      </c>
      <c r="PYQ19" s="310" t="s">
        <v>202</v>
      </c>
      <c r="PYR19" s="310" t="s">
        <v>202</v>
      </c>
      <c r="PYS19" s="310" t="s">
        <v>202</v>
      </c>
      <c r="PYT19" s="310" t="s">
        <v>202</v>
      </c>
      <c r="PYU19" s="310" t="s">
        <v>202</v>
      </c>
      <c r="PYV19" s="310" t="s">
        <v>202</v>
      </c>
      <c r="PYW19" s="310" t="s">
        <v>202</v>
      </c>
      <c r="PYX19" s="310" t="s">
        <v>202</v>
      </c>
      <c r="PYY19" s="310" t="s">
        <v>202</v>
      </c>
      <c r="PYZ19" s="310" t="s">
        <v>202</v>
      </c>
      <c r="PZA19" s="310" t="s">
        <v>202</v>
      </c>
      <c r="PZB19" s="310" t="s">
        <v>202</v>
      </c>
      <c r="PZC19" s="310" t="s">
        <v>202</v>
      </c>
      <c r="PZD19" s="310" t="s">
        <v>202</v>
      </c>
      <c r="PZE19" s="310" t="s">
        <v>202</v>
      </c>
      <c r="PZF19" s="310" t="s">
        <v>202</v>
      </c>
      <c r="PZG19" s="310" t="s">
        <v>202</v>
      </c>
      <c r="PZH19" s="310" t="s">
        <v>202</v>
      </c>
      <c r="PZI19" s="310" t="s">
        <v>202</v>
      </c>
      <c r="PZJ19" s="310" t="s">
        <v>202</v>
      </c>
      <c r="PZK19" s="310" t="s">
        <v>202</v>
      </c>
      <c r="PZL19" s="310" t="s">
        <v>202</v>
      </c>
      <c r="PZM19" s="310" t="s">
        <v>202</v>
      </c>
      <c r="PZN19" s="310" t="s">
        <v>202</v>
      </c>
      <c r="PZO19" s="310" t="s">
        <v>202</v>
      </c>
      <c r="PZP19" s="310" t="s">
        <v>202</v>
      </c>
      <c r="PZQ19" s="310" t="s">
        <v>202</v>
      </c>
      <c r="PZR19" s="310" t="s">
        <v>202</v>
      </c>
      <c r="PZS19" s="310" t="s">
        <v>202</v>
      </c>
      <c r="PZT19" s="310" t="s">
        <v>202</v>
      </c>
      <c r="PZU19" s="310" t="s">
        <v>202</v>
      </c>
      <c r="PZV19" s="310" t="s">
        <v>202</v>
      </c>
      <c r="PZW19" s="310" t="s">
        <v>202</v>
      </c>
      <c r="PZX19" s="310" t="s">
        <v>202</v>
      </c>
      <c r="PZY19" s="310" t="s">
        <v>202</v>
      </c>
      <c r="PZZ19" s="310" t="s">
        <v>202</v>
      </c>
      <c r="QAA19" s="310" t="s">
        <v>202</v>
      </c>
      <c r="QAB19" s="310" t="s">
        <v>202</v>
      </c>
      <c r="QAC19" s="310" t="s">
        <v>202</v>
      </c>
      <c r="QAD19" s="310" t="s">
        <v>202</v>
      </c>
      <c r="QAE19" s="310" t="s">
        <v>202</v>
      </c>
      <c r="QAF19" s="310" t="s">
        <v>202</v>
      </c>
      <c r="QAG19" s="310" t="s">
        <v>202</v>
      </c>
      <c r="QAH19" s="310" t="s">
        <v>202</v>
      </c>
      <c r="QAI19" s="310" t="s">
        <v>202</v>
      </c>
      <c r="QAJ19" s="310" t="s">
        <v>202</v>
      </c>
      <c r="QAK19" s="310" t="s">
        <v>202</v>
      </c>
      <c r="QAL19" s="310" t="s">
        <v>202</v>
      </c>
      <c r="QAM19" s="310" t="s">
        <v>202</v>
      </c>
      <c r="QAN19" s="310" t="s">
        <v>202</v>
      </c>
      <c r="QAO19" s="310" t="s">
        <v>202</v>
      </c>
      <c r="QAP19" s="310" t="s">
        <v>202</v>
      </c>
      <c r="QAQ19" s="310" t="s">
        <v>202</v>
      </c>
      <c r="QAR19" s="310" t="s">
        <v>202</v>
      </c>
      <c r="QAS19" s="310" t="s">
        <v>202</v>
      </c>
      <c r="QAT19" s="310" t="s">
        <v>202</v>
      </c>
      <c r="QAU19" s="310" t="s">
        <v>202</v>
      </c>
      <c r="QAV19" s="310" t="s">
        <v>202</v>
      </c>
      <c r="QAW19" s="310" t="s">
        <v>202</v>
      </c>
      <c r="QAX19" s="310" t="s">
        <v>202</v>
      </c>
      <c r="QAY19" s="310" t="s">
        <v>202</v>
      </c>
      <c r="QAZ19" s="310" t="s">
        <v>202</v>
      </c>
      <c r="QBA19" s="310" t="s">
        <v>202</v>
      </c>
      <c r="QBB19" s="310" t="s">
        <v>202</v>
      </c>
      <c r="QBC19" s="310" t="s">
        <v>202</v>
      </c>
      <c r="QBD19" s="310" t="s">
        <v>202</v>
      </c>
      <c r="QBE19" s="310" t="s">
        <v>202</v>
      </c>
      <c r="QBF19" s="310" t="s">
        <v>202</v>
      </c>
      <c r="QBG19" s="310" t="s">
        <v>202</v>
      </c>
      <c r="QBH19" s="310" t="s">
        <v>202</v>
      </c>
      <c r="QBI19" s="310" t="s">
        <v>202</v>
      </c>
      <c r="QBJ19" s="310" t="s">
        <v>202</v>
      </c>
      <c r="QBK19" s="310" t="s">
        <v>202</v>
      </c>
      <c r="QBL19" s="310" t="s">
        <v>202</v>
      </c>
      <c r="QBM19" s="310" t="s">
        <v>202</v>
      </c>
      <c r="QBN19" s="310" t="s">
        <v>202</v>
      </c>
      <c r="QBO19" s="310" t="s">
        <v>202</v>
      </c>
      <c r="QBP19" s="310" t="s">
        <v>202</v>
      </c>
      <c r="QBQ19" s="310" t="s">
        <v>202</v>
      </c>
      <c r="QBR19" s="310" t="s">
        <v>202</v>
      </c>
      <c r="QBS19" s="310" t="s">
        <v>202</v>
      </c>
      <c r="QBT19" s="310" t="s">
        <v>202</v>
      </c>
      <c r="QBU19" s="310" t="s">
        <v>202</v>
      </c>
      <c r="QBV19" s="310" t="s">
        <v>202</v>
      </c>
      <c r="QBW19" s="310" t="s">
        <v>202</v>
      </c>
      <c r="QBX19" s="310" t="s">
        <v>202</v>
      </c>
      <c r="QBY19" s="310" t="s">
        <v>202</v>
      </c>
      <c r="QBZ19" s="310" t="s">
        <v>202</v>
      </c>
      <c r="QCA19" s="310" t="s">
        <v>202</v>
      </c>
      <c r="QCB19" s="310" t="s">
        <v>202</v>
      </c>
      <c r="QCC19" s="310" t="s">
        <v>202</v>
      </c>
      <c r="QCD19" s="310" t="s">
        <v>202</v>
      </c>
      <c r="QCE19" s="310" t="s">
        <v>202</v>
      </c>
      <c r="QCF19" s="310" t="s">
        <v>202</v>
      </c>
      <c r="QCG19" s="310" t="s">
        <v>202</v>
      </c>
      <c r="QCH19" s="310" t="s">
        <v>202</v>
      </c>
      <c r="QCI19" s="310" t="s">
        <v>202</v>
      </c>
      <c r="QCJ19" s="310" t="s">
        <v>202</v>
      </c>
      <c r="QCK19" s="310" t="s">
        <v>202</v>
      </c>
      <c r="QCL19" s="310" t="s">
        <v>202</v>
      </c>
      <c r="QCM19" s="310" t="s">
        <v>202</v>
      </c>
      <c r="QCN19" s="310" t="s">
        <v>202</v>
      </c>
      <c r="QCO19" s="310" t="s">
        <v>202</v>
      </c>
      <c r="QCP19" s="310" t="s">
        <v>202</v>
      </c>
      <c r="QCQ19" s="310" t="s">
        <v>202</v>
      </c>
      <c r="QCR19" s="310" t="s">
        <v>202</v>
      </c>
      <c r="QCS19" s="310" t="s">
        <v>202</v>
      </c>
      <c r="QCT19" s="310" t="s">
        <v>202</v>
      </c>
      <c r="QCU19" s="310" t="s">
        <v>202</v>
      </c>
      <c r="QCV19" s="310" t="s">
        <v>202</v>
      </c>
      <c r="QCW19" s="310" t="s">
        <v>202</v>
      </c>
      <c r="QCX19" s="310" t="s">
        <v>202</v>
      </c>
      <c r="QCY19" s="310" t="s">
        <v>202</v>
      </c>
      <c r="QCZ19" s="310" t="s">
        <v>202</v>
      </c>
      <c r="QDA19" s="310" t="s">
        <v>202</v>
      </c>
      <c r="QDB19" s="310" t="s">
        <v>202</v>
      </c>
      <c r="QDC19" s="310" t="s">
        <v>202</v>
      </c>
      <c r="QDD19" s="310" t="s">
        <v>202</v>
      </c>
      <c r="QDE19" s="310" t="s">
        <v>202</v>
      </c>
      <c r="QDF19" s="310" t="s">
        <v>202</v>
      </c>
      <c r="QDG19" s="310" t="s">
        <v>202</v>
      </c>
      <c r="QDH19" s="310" t="s">
        <v>202</v>
      </c>
      <c r="QDI19" s="310" t="s">
        <v>202</v>
      </c>
      <c r="QDJ19" s="310" t="s">
        <v>202</v>
      </c>
      <c r="QDK19" s="310" t="s">
        <v>202</v>
      </c>
      <c r="QDL19" s="310" t="s">
        <v>202</v>
      </c>
      <c r="QDM19" s="310" t="s">
        <v>202</v>
      </c>
      <c r="QDN19" s="310" t="s">
        <v>202</v>
      </c>
      <c r="QDO19" s="310" t="s">
        <v>202</v>
      </c>
      <c r="QDP19" s="310" t="s">
        <v>202</v>
      </c>
      <c r="QDQ19" s="310" t="s">
        <v>202</v>
      </c>
      <c r="QDR19" s="310" t="s">
        <v>202</v>
      </c>
      <c r="QDS19" s="310" t="s">
        <v>202</v>
      </c>
      <c r="QDT19" s="310" t="s">
        <v>202</v>
      </c>
      <c r="QDU19" s="310" t="s">
        <v>202</v>
      </c>
      <c r="QDV19" s="310" t="s">
        <v>202</v>
      </c>
      <c r="QDW19" s="310" t="s">
        <v>202</v>
      </c>
      <c r="QDX19" s="310" t="s">
        <v>202</v>
      </c>
      <c r="QDY19" s="310" t="s">
        <v>202</v>
      </c>
      <c r="QDZ19" s="310" t="s">
        <v>202</v>
      </c>
      <c r="QEA19" s="310" t="s">
        <v>202</v>
      </c>
      <c r="QEB19" s="310" t="s">
        <v>202</v>
      </c>
      <c r="QEC19" s="310" t="s">
        <v>202</v>
      </c>
      <c r="QED19" s="310" t="s">
        <v>202</v>
      </c>
      <c r="QEE19" s="310" t="s">
        <v>202</v>
      </c>
      <c r="QEF19" s="310" t="s">
        <v>202</v>
      </c>
      <c r="QEG19" s="310" t="s">
        <v>202</v>
      </c>
      <c r="QEH19" s="310" t="s">
        <v>202</v>
      </c>
      <c r="QEI19" s="310" t="s">
        <v>202</v>
      </c>
      <c r="QEJ19" s="310" t="s">
        <v>202</v>
      </c>
      <c r="QEK19" s="310" t="s">
        <v>202</v>
      </c>
      <c r="QEL19" s="310" t="s">
        <v>202</v>
      </c>
      <c r="QEM19" s="310" t="s">
        <v>202</v>
      </c>
      <c r="QEN19" s="310" t="s">
        <v>202</v>
      </c>
      <c r="QEO19" s="310" t="s">
        <v>202</v>
      </c>
      <c r="QEP19" s="310" t="s">
        <v>202</v>
      </c>
      <c r="QEQ19" s="310" t="s">
        <v>202</v>
      </c>
      <c r="QER19" s="310" t="s">
        <v>202</v>
      </c>
      <c r="QES19" s="310" t="s">
        <v>202</v>
      </c>
      <c r="QET19" s="310" t="s">
        <v>202</v>
      </c>
      <c r="QEU19" s="310" t="s">
        <v>202</v>
      </c>
      <c r="QEV19" s="310" t="s">
        <v>202</v>
      </c>
      <c r="QEW19" s="310" t="s">
        <v>202</v>
      </c>
      <c r="QEX19" s="310" t="s">
        <v>202</v>
      </c>
      <c r="QEY19" s="310" t="s">
        <v>202</v>
      </c>
      <c r="QEZ19" s="310" t="s">
        <v>202</v>
      </c>
      <c r="QFA19" s="310" t="s">
        <v>202</v>
      </c>
      <c r="QFB19" s="310" t="s">
        <v>202</v>
      </c>
      <c r="QFC19" s="310" t="s">
        <v>202</v>
      </c>
      <c r="QFD19" s="310" t="s">
        <v>202</v>
      </c>
      <c r="QFE19" s="310" t="s">
        <v>202</v>
      </c>
      <c r="QFF19" s="310" t="s">
        <v>202</v>
      </c>
      <c r="QFG19" s="310" t="s">
        <v>202</v>
      </c>
      <c r="QFH19" s="310" t="s">
        <v>202</v>
      </c>
      <c r="QFI19" s="310" t="s">
        <v>202</v>
      </c>
      <c r="QFJ19" s="310" t="s">
        <v>202</v>
      </c>
      <c r="QFK19" s="310" t="s">
        <v>202</v>
      </c>
      <c r="QFL19" s="310" t="s">
        <v>202</v>
      </c>
      <c r="QFM19" s="310" t="s">
        <v>202</v>
      </c>
      <c r="QFN19" s="310" t="s">
        <v>202</v>
      </c>
      <c r="QFO19" s="310" t="s">
        <v>202</v>
      </c>
      <c r="QFP19" s="310" t="s">
        <v>202</v>
      </c>
      <c r="QFQ19" s="310" t="s">
        <v>202</v>
      </c>
      <c r="QFR19" s="310" t="s">
        <v>202</v>
      </c>
      <c r="QFS19" s="310" t="s">
        <v>202</v>
      </c>
      <c r="QFT19" s="310" t="s">
        <v>202</v>
      </c>
      <c r="QFU19" s="310" t="s">
        <v>202</v>
      </c>
      <c r="QFV19" s="310" t="s">
        <v>202</v>
      </c>
      <c r="QFW19" s="310" t="s">
        <v>202</v>
      </c>
      <c r="QFX19" s="310" t="s">
        <v>202</v>
      </c>
      <c r="QFY19" s="310" t="s">
        <v>202</v>
      </c>
      <c r="QFZ19" s="310" t="s">
        <v>202</v>
      </c>
      <c r="QGA19" s="310" t="s">
        <v>202</v>
      </c>
      <c r="QGB19" s="310" t="s">
        <v>202</v>
      </c>
      <c r="QGC19" s="310" t="s">
        <v>202</v>
      </c>
      <c r="QGD19" s="310" t="s">
        <v>202</v>
      </c>
      <c r="QGE19" s="310" t="s">
        <v>202</v>
      </c>
      <c r="QGF19" s="310" t="s">
        <v>202</v>
      </c>
      <c r="QGG19" s="310" t="s">
        <v>202</v>
      </c>
      <c r="QGH19" s="310" t="s">
        <v>202</v>
      </c>
      <c r="QGI19" s="310" t="s">
        <v>202</v>
      </c>
      <c r="QGJ19" s="310" t="s">
        <v>202</v>
      </c>
      <c r="QGK19" s="310" t="s">
        <v>202</v>
      </c>
      <c r="QGL19" s="310" t="s">
        <v>202</v>
      </c>
      <c r="QGM19" s="310" t="s">
        <v>202</v>
      </c>
      <c r="QGN19" s="310" t="s">
        <v>202</v>
      </c>
      <c r="QGO19" s="310" t="s">
        <v>202</v>
      </c>
      <c r="QGP19" s="310" t="s">
        <v>202</v>
      </c>
      <c r="QGQ19" s="310" t="s">
        <v>202</v>
      </c>
      <c r="QGR19" s="310" t="s">
        <v>202</v>
      </c>
      <c r="QGS19" s="310" t="s">
        <v>202</v>
      </c>
      <c r="QGT19" s="310" t="s">
        <v>202</v>
      </c>
      <c r="QGU19" s="310" t="s">
        <v>202</v>
      </c>
      <c r="QGV19" s="310" t="s">
        <v>202</v>
      </c>
      <c r="QGW19" s="310" t="s">
        <v>202</v>
      </c>
      <c r="QGX19" s="310" t="s">
        <v>202</v>
      </c>
      <c r="QGY19" s="310" t="s">
        <v>202</v>
      </c>
      <c r="QGZ19" s="310" t="s">
        <v>202</v>
      </c>
      <c r="QHA19" s="310" t="s">
        <v>202</v>
      </c>
      <c r="QHB19" s="310" t="s">
        <v>202</v>
      </c>
      <c r="QHC19" s="310" t="s">
        <v>202</v>
      </c>
      <c r="QHD19" s="310" t="s">
        <v>202</v>
      </c>
      <c r="QHE19" s="310" t="s">
        <v>202</v>
      </c>
      <c r="QHF19" s="310" t="s">
        <v>202</v>
      </c>
      <c r="QHG19" s="310" t="s">
        <v>202</v>
      </c>
      <c r="QHH19" s="310" t="s">
        <v>202</v>
      </c>
      <c r="QHI19" s="310" t="s">
        <v>202</v>
      </c>
      <c r="QHJ19" s="310" t="s">
        <v>202</v>
      </c>
      <c r="QHK19" s="310" t="s">
        <v>202</v>
      </c>
      <c r="QHL19" s="310" t="s">
        <v>202</v>
      </c>
      <c r="QHM19" s="310" t="s">
        <v>202</v>
      </c>
      <c r="QHN19" s="310" t="s">
        <v>202</v>
      </c>
      <c r="QHO19" s="310" t="s">
        <v>202</v>
      </c>
      <c r="QHP19" s="310" t="s">
        <v>202</v>
      </c>
      <c r="QHQ19" s="310" t="s">
        <v>202</v>
      </c>
      <c r="QHR19" s="310" t="s">
        <v>202</v>
      </c>
      <c r="QHS19" s="310" t="s">
        <v>202</v>
      </c>
      <c r="QHT19" s="310" t="s">
        <v>202</v>
      </c>
      <c r="QHU19" s="310" t="s">
        <v>202</v>
      </c>
      <c r="QHV19" s="310" t="s">
        <v>202</v>
      </c>
      <c r="QHW19" s="310" t="s">
        <v>202</v>
      </c>
      <c r="QHX19" s="310" t="s">
        <v>202</v>
      </c>
      <c r="QHY19" s="310" t="s">
        <v>202</v>
      </c>
      <c r="QHZ19" s="310" t="s">
        <v>202</v>
      </c>
      <c r="QIA19" s="310" t="s">
        <v>202</v>
      </c>
      <c r="QIB19" s="310" t="s">
        <v>202</v>
      </c>
      <c r="QIC19" s="310" t="s">
        <v>202</v>
      </c>
      <c r="QID19" s="310" t="s">
        <v>202</v>
      </c>
      <c r="QIE19" s="310" t="s">
        <v>202</v>
      </c>
      <c r="QIF19" s="310" t="s">
        <v>202</v>
      </c>
      <c r="QIG19" s="310" t="s">
        <v>202</v>
      </c>
      <c r="QIH19" s="310" t="s">
        <v>202</v>
      </c>
      <c r="QII19" s="310" t="s">
        <v>202</v>
      </c>
      <c r="QIJ19" s="310" t="s">
        <v>202</v>
      </c>
      <c r="QIK19" s="310" t="s">
        <v>202</v>
      </c>
      <c r="QIL19" s="310" t="s">
        <v>202</v>
      </c>
      <c r="QIM19" s="310" t="s">
        <v>202</v>
      </c>
      <c r="QIN19" s="310" t="s">
        <v>202</v>
      </c>
      <c r="QIO19" s="310" t="s">
        <v>202</v>
      </c>
      <c r="QIP19" s="310" t="s">
        <v>202</v>
      </c>
      <c r="QIQ19" s="310" t="s">
        <v>202</v>
      </c>
      <c r="QIR19" s="310" t="s">
        <v>202</v>
      </c>
      <c r="QIS19" s="310" t="s">
        <v>202</v>
      </c>
      <c r="QIT19" s="310" t="s">
        <v>202</v>
      </c>
      <c r="QIU19" s="310" t="s">
        <v>202</v>
      </c>
      <c r="QIV19" s="310" t="s">
        <v>202</v>
      </c>
      <c r="QIW19" s="310" t="s">
        <v>202</v>
      </c>
      <c r="QIX19" s="310" t="s">
        <v>202</v>
      </c>
      <c r="QIY19" s="310" t="s">
        <v>202</v>
      </c>
      <c r="QIZ19" s="310" t="s">
        <v>202</v>
      </c>
      <c r="QJA19" s="310" t="s">
        <v>202</v>
      </c>
      <c r="QJB19" s="310" t="s">
        <v>202</v>
      </c>
      <c r="QJC19" s="310" t="s">
        <v>202</v>
      </c>
      <c r="QJD19" s="310" t="s">
        <v>202</v>
      </c>
      <c r="QJE19" s="310" t="s">
        <v>202</v>
      </c>
      <c r="QJF19" s="310" t="s">
        <v>202</v>
      </c>
      <c r="QJG19" s="310" t="s">
        <v>202</v>
      </c>
      <c r="QJH19" s="310" t="s">
        <v>202</v>
      </c>
      <c r="QJI19" s="310" t="s">
        <v>202</v>
      </c>
      <c r="QJJ19" s="310" t="s">
        <v>202</v>
      </c>
      <c r="QJK19" s="310" t="s">
        <v>202</v>
      </c>
      <c r="QJL19" s="310" t="s">
        <v>202</v>
      </c>
      <c r="QJM19" s="310" t="s">
        <v>202</v>
      </c>
      <c r="QJN19" s="310" t="s">
        <v>202</v>
      </c>
      <c r="QJO19" s="310" t="s">
        <v>202</v>
      </c>
      <c r="QJP19" s="310" t="s">
        <v>202</v>
      </c>
      <c r="QJQ19" s="310" t="s">
        <v>202</v>
      </c>
      <c r="QJR19" s="310" t="s">
        <v>202</v>
      </c>
      <c r="QJS19" s="310" t="s">
        <v>202</v>
      </c>
      <c r="QJT19" s="310" t="s">
        <v>202</v>
      </c>
      <c r="QJU19" s="310" t="s">
        <v>202</v>
      </c>
      <c r="QJV19" s="310" t="s">
        <v>202</v>
      </c>
      <c r="QJW19" s="310" t="s">
        <v>202</v>
      </c>
      <c r="QJX19" s="310" t="s">
        <v>202</v>
      </c>
      <c r="QJY19" s="310" t="s">
        <v>202</v>
      </c>
      <c r="QJZ19" s="310" t="s">
        <v>202</v>
      </c>
      <c r="QKA19" s="310" t="s">
        <v>202</v>
      </c>
      <c r="QKB19" s="310" t="s">
        <v>202</v>
      </c>
      <c r="QKC19" s="310" t="s">
        <v>202</v>
      </c>
      <c r="QKD19" s="310" t="s">
        <v>202</v>
      </c>
      <c r="QKE19" s="310" t="s">
        <v>202</v>
      </c>
      <c r="QKF19" s="310" t="s">
        <v>202</v>
      </c>
      <c r="QKG19" s="310" t="s">
        <v>202</v>
      </c>
      <c r="QKH19" s="310" t="s">
        <v>202</v>
      </c>
      <c r="QKI19" s="310" t="s">
        <v>202</v>
      </c>
      <c r="QKJ19" s="310" t="s">
        <v>202</v>
      </c>
      <c r="QKK19" s="310" t="s">
        <v>202</v>
      </c>
      <c r="QKL19" s="310" t="s">
        <v>202</v>
      </c>
      <c r="QKM19" s="310" t="s">
        <v>202</v>
      </c>
      <c r="QKN19" s="310" t="s">
        <v>202</v>
      </c>
      <c r="QKO19" s="310" t="s">
        <v>202</v>
      </c>
      <c r="QKP19" s="310" t="s">
        <v>202</v>
      </c>
      <c r="QKQ19" s="310" t="s">
        <v>202</v>
      </c>
      <c r="QKR19" s="310" t="s">
        <v>202</v>
      </c>
      <c r="QKS19" s="310" t="s">
        <v>202</v>
      </c>
      <c r="QKT19" s="310" t="s">
        <v>202</v>
      </c>
      <c r="QKU19" s="310" t="s">
        <v>202</v>
      </c>
      <c r="QKV19" s="310" t="s">
        <v>202</v>
      </c>
      <c r="QKW19" s="310" t="s">
        <v>202</v>
      </c>
      <c r="QKX19" s="310" t="s">
        <v>202</v>
      </c>
      <c r="QKY19" s="310" t="s">
        <v>202</v>
      </c>
      <c r="QKZ19" s="310" t="s">
        <v>202</v>
      </c>
      <c r="QLA19" s="310" t="s">
        <v>202</v>
      </c>
      <c r="QLB19" s="310" t="s">
        <v>202</v>
      </c>
      <c r="QLC19" s="310" t="s">
        <v>202</v>
      </c>
      <c r="QLD19" s="310" t="s">
        <v>202</v>
      </c>
      <c r="QLE19" s="310" t="s">
        <v>202</v>
      </c>
      <c r="QLF19" s="310" t="s">
        <v>202</v>
      </c>
      <c r="QLG19" s="310" t="s">
        <v>202</v>
      </c>
      <c r="QLH19" s="310" t="s">
        <v>202</v>
      </c>
      <c r="QLI19" s="310" t="s">
        <v>202</v>
      </c>
      <c r="QLJ19" s="310" t="s">
        <v>202</v>
      </c>
      <c r="QLK19" s="310" t="s">
        <v>202</v>
      </c>
      <c r="QLL19" s="310" t="s">
        <v>202</v>
      </c>
      <c r="QLM19" s="310" t="s">
        <v>202</v>
      </c>
      <c r="QLN19" s="310" t="s">
        <v>202</v>
      </c>
      <c r="QLO19" s="310" t="s">
        <v>202</v>
      </c>
      <c r="QLP19" s="310" t="s">
        <v>202</v>
      </c>
      <c r="QLQ19" s="310" t="s">
        <v>202</v>
      </c>
      <c r="QLR19" s="310" t="s">
        <v>202</v>
      </c>
      <c r="QLS19" s="310" t="s">
        <v>202</v>
      </c>
      <c r="QLT19" s="310" t="s">
        <v>202</v>
      </c>
      <c r="QLU19" s="310" t="s">
        <v>202</v>
      </c>
      <c r="QLV19" s="310" t="s">
        <v>202</v>
      </c>
      <c r="QLW19" s="310" t="s">
        <v>202</v>
      </c>
      <c r="QLX19" s="310" t="s">
        <v>202</v>
      </c>
      <c r="QLY19" s="310" t="s">
        <v>202</v>
      </c>
      <c r="QLZ19" s="310" t="s">
        <v>202</v>
      </c>
      <c r="QMA19" s="310" t="s">
        <v>202</v>
      </c>
      <c r="QMB19" s="310" t="s">
        <v>202</v>
      </c>
      <c r="QMC19" s="310" t="s">
        <v>202</v>
      </c>
      <c r="QMD19" s="310" t="s">
        <v>202</v>
      </c>
      <c r="QME19" s="310" t="s">
        <v>202</v>
      </c>
      <c r="QMF19" s="310" t="s">
        <v>202</v>
      </c>
      <c r="QMG19" s="310" t="s">
        <v>202</v>
      </c>
      <c r="QMH19" s="310" t="s">
        <v>202</v>
      </c>
      <c r="QMI19" s="310" t="s">
        <v>202</v>
      </c>
      <c r="QMJ19" s="310" t="s">
        <v>202</v>
      </c>
      <c r="QMK19" s="310" t="s">
        <v>202</v>
      </c>
      <c r="QML19" s="310" t="s">
        <v>202</v>
      </c>
      <c r="QMM19" s="310" t="s">
        <v>202</v>
      </c>
      <c r="QMN19" s="310" t="s">
        <v>202</v>
      </c>
      <c r="QMO19" s="310" t="s">
        <v>202</v>
      </c>
      <c r="QMP19" s="310" t="s">
        <v>202</v>
      </c>
      <c r="QMQ19" s="310" t="s">
        <v>202</v>
      </c>
      <c r="QMR19" s="310" t="s">
        <v>202</v>
      </c>
      <c r="QMS19" s="310" t="s">
        <v>202</v>
      </c>
      <c r="QMT19" s="310" t="s">
        <v>202</v>
      </c>
      <c r="QMU19" s="310" t="s">
        <v>202</v>
      </c>
      <c r="QMV19" s="310" t="s">
        <v>202</v>
      </c>
      <c r="QMW19" s="310" t="s">
        <v>202</v>
      </c>
      <c r="QMX19" s="310" t="s">
        <v>202</v>
      </c>
      <c r="QMY19" s="310" t="s">
        <v>202</v>
      </c>
      <c r="QMZ19" s="310" t="s">
        <v>202</v>
      </c>
      <c r="QNA19" s="310" t="s">
        <v>202</v>
      </c>
      <c r="QNB19" s="310" t="s">
        <v>202</v>
      </c>
      <c r="QNC19" s="310" t="s">
        <v>202</v>
      </c>
      <c r="QND19" s="310" t="s">
        <v>202</v>
      </c>
      <c r="QNE19" s="310" t="s">
        <v>202</v>
      </c>
      <c r="QNF19" s="310" t="s">
        <v>202</v>
      </c>
      <c r="QNG19" s="310" t="s">
        <v>202</v>
      </c>
      <c r="QNH19" s="310" t="s">
        <v>202</v>
      </c>
      <c r="QNI19" s="310" t="s">
        <v>202</v>
      </c>
      <c r="QNJ19" s="310" t="s">
        <v>202</v>
      </c>
      <c r="QNK19" s="310" t="s">
        <v>202</v>
      </c>
      <c r="QNL19" s="310" t="s">
        <v>202</v>
      </c>
      <c r="QNM19" s="310" t="s">
        <v>202</v>
      </c>
      <c r="QNN19" s="310" t="s">
        <v>202</v>
      </c>
      <c r="QNO19" s="310" t="s">
        <v>202</v>
      </c>
      <c r="QNP19" s="310" t="s">
        <v>202</v>
      </c>
      <c r="QNQ19" s="310" t="s">
        <v>202</v>
      </c>
      <c r="QNR19" s="310" t="s">
        <v>202</v>
      </c>
      <c r="QNS19" s="310" t="s">
        <v>202</v>
      </c>
      <c r="QNT19" s="310" t="s">
        <v>202</v>
      </c>
      <c r="QNU19" s="310" t="s">
        <v>202</v>
      </c>
      <c r="QNV19" s="310" t="s">
        <v>202</v>
      </c>
      <c r="QNW19" s="310" t="s">
        <v>202</v>
      </c>
      <c r="QNX19" s="310" t="s">
        <v>202</v>
      </c>
      <c r="QNY19" s="310" t="s">
        <v>202</v>
      </c>
      <c r="QNZ19" s="310" t="s">
        <v>202</v>
      </c>
      <c r="QOA19" s="310" t="s">
        <v>202</v>
      </c>
      <c r="QOB19" s="310" t="s">
        <v>202</v>
      </c>
      <c r="QOC19" s="310" t="s">
        <v>202</v>
      </c>
      <c r="QOD19" s="310" t="s">
        <v>202</v>
      </c>
      <c r="QOE19" s="310" t="s">
        <v>202</v>
      </c>
      <c r="QOF19" s="310" t="s">
        <v>202</v>
      </c>
      <c r="QOG19" s="310" t="s">
        <v>202</v>
      </c>
      <c r="QOH19" s="310" t="s">
        <v>202</v>
      </c>
      <c r="QOI19" s="310" t="s">
        <v>202</v>
      </c>
      <c r="QOJ19" s="310" t="s">
        <v>202</v>
      </c>
      <c r="QOK19" s="310" t="s">
        <v>202</v>
      </c>
      <c r="QOL19" s="310" t="s">
        <v>202</v>
      </c>
      <c r="QOM19" s="310" t="s">
        <v>202</v>
      </c>
      <c r="QON19" s="310" t="s">
        <v>202</v>
      </c>
      <c r="QOO19" s="310" t="s">
        <v>202</v>
      </c>
      <c r="QOP19" s="310" t="s">
        <v>202</v>
      </c>
      <c r="QOQ19" s="310" t="s">
        <v>202</v>
      </c>
      <c r="QOR19" s="310" t="s">
        <v>202</v>
      </c>
      <c r="QOS19" s="310" t="s">
        <v>202</v>
      </c>
      <c r="QOT19" s="310" t="s">
        <v>202</v>
      </c>
      <c r="QOU19" s="310" t="s">
        <v>202</v>
      </c>
      <c r="QOV19" s="310" t="s">
        <v>202</v>
      </c>
      <c r="QOW19" s="310" t="s">
        <v>202</v>
      </c>
      <c r="QOX19" s="310" t="s">
        <v>202</v>
      </c>
      <c r="QOY19" s="310" t="s">
        <v>202</v>
      </c>
      <c r="QOZ19" s="310" t="s">
        <v>202</v>
      </c>
      <c r="QPA19" s="310" t="s">
        <v>202</v>
      </c>
      <c r="QPB19" s="310" t="s">
        <v>202</v>
      </c>
      <c r="QPC19" s="310" t="s">
        <v>202</v>
      </c>
      <c r="QPD19" s="310" t="s">
        <v>202</v>
      </c>
      <c r="QPE19" s="310" t="s">
        <v>202</v>
      </c>
      <c r="QPF19" s="310" t="s">
        <v>202</v>
      </c>
      <c r="QPG19" s="310" t="s">
        <v>202</v>
      </c>
      <c r="QPH19" s="310" t="s">
        <v>202</v>
      </c>
      <c r="QPI19" s="310" t="s">
        <v>202</v>
      </c>
      <c r="QPJ19" s="310" t="s">
        <v>202</v>
      </c>
      <c r="QPK19" s="310" t="s">
        <v>202</v>
      </c>
      <c r="QPL19" s="310" t="s">
        <v>202</v>
      </c>
      <c r="QPM19" s="310" t="s">
        <v>202</v>
      </c>
      <c r="QPN19" s="310" t="s">
        <v>202</v>
      </c>
      <c r="QPO19" s="310" t="s">
        <v>202</v>
      </c>
      <c r="QPP19" s="310" t="s">
        <v>202</v>
      </c>
      <c r="QPQ19" s="310" t="s">
        <v>202</v>
      </c>
      <c r="QPR19" s="310" t="s">
        <v>202</v>
      </c>
      <c r="QPS19" s="310" t="s">
        <v>202</v>
      </c>
      <c r="QPT19" s="310" t="s">
        <v>202</v>
      </c>
      <c r="QPU19" s="310" t="s">
        <v>202</v>
      </c>
      <c r="QPV19" s="310" t="s">
        <v>202</v>
      </c>
      <c r="QPW19" s="310" t="s">
        <v>202</v>
      </c>
      <c r="QPX19" s="310" t="s">
        <v>202</v>
      </c>
      <c r="QPY19" s="310" t="s">
        <v>202</v>
      </c>
      <c r="QPZ19" s="310" t="s">
        <v>202</v>
      </c>
      <c r="QQA19" s="310" t="s">
        <v>202</v>
      </c>
      <c r="QQB19" s="310" t="s">
        <v>202</v>
      </c>
      <c r="QQC19" s="310" t="s">
        <v>202</v>
      </c>
      <c r="QQD19" s="310" t="s">
        <v>202</v>
      </c>
      <c r="QQE19" s="310" t="s">
        <v>202</v>
      </c>
      <c r="QQF19" s="310" t="s">
        <v>202</v>
      </c>
      <c r="QQG19" s="310" t="s">
        <v>202</v>
      </c>
      <c r="QQH19" s="310" t="s">
        <v>202</v>
      </c>
      <c r="QQI19" s="310" t="s">
        <v>202</v>
      </c>
      <c r="QQJ19" s="310" t="s">
        <v>202</v>
      </c>
      <c r="QQK19" s="310" t="s">
        <v>202</v>
      </c>
      <c r="QQL19" s="310" t="s">
        <v>202</v>
      </c>
      <c r="QQM19" s="310" t="s">
        <v>202</v>
      </c>
      <c r="QQN19" s="310" t="s">
        <v>202</v>
      </c>
      <c r="QQO19" s="310" t="s">
        <v>202</v>
      </c>
      <c r="QQP19" s="310" t="s">
        <v>202</v>
      </c>
      <c r="QQQ19" s="310" t="s">
        <v>202</v>
      </c>
      <c r="QQR19" s="310" t="s">
        <v>202</v>
      </c>
      <c r="QQS19" s="310" t="s">
        <v>202</v>
      </c>
      <c r="QQT19" s="310" t="s">
        <v>202</v>
      </c>
      <c r="QQU19" s="310" t="s">
        <v>202</v>
      </c>
      <c r="QQV19" s="310" t="s">
        <v>202</v>
      </c>
      <c r="QQW19" s="310" t="s">
        <v>202</v>
      </c>
      <c r="QQX19" s="310" t="s">
        <v>202</v>
      </c>
      <c r="QQY19" s="310" t="s">
        <v>202</v>
      </c>
      <c r="QQZ19" s="310" t="s">
        <v>202</v>
      </c>
      <c r="QRA19" s="310" t="s">
        <v>202</v>
      </c>
      <c r="QRB19" s="310" t="s">
        <v>202</v>
      </c>
      <c r="QRC19" s="310" t="s">
        <v>202</v>
      </c>
      <c r="QRD19" s="310" t="s">
        <v>202</v>
      </c>
      <c r="QRE19" s="310" t="s">
        <v>202</v>
      </c>
      <c r="QRF19" s="310" t="s">
        <v>202</v>
      </c>
      <c r="QRG19" s="310" t="s">
        <v>202</v>
      </c>
      <c r="QRH19" s="310" t="s">
        <v>202</v>
      </c>
      <c r="QRI19" s="310" t="s">
        <v>202</v>
      </c>
      <c r="QRJ19" s="310" t="s">
        <v>202</v>
      </c>
      <c r="QRK19" s="310" t="s">
        <v>202</v>
      </c>
      <c r="QRL19" s="310" t="s">
        <v>202</v>
      </c>
      <c r="QRM19" s="310" t="s">
        <v>202</v>
      </c>
      <c r="QRN19" s="310" t="s">
        <v>202</v>
      </c>
      <c r="QRO19" s="310" t="s">
        <v>202</v>
      </c>
      <c r="QRP19" s="310" t="s">
        <v>202</v>
      </c>
      <c r="QRQ19" s="310" t="s">
        <v>202</v>
      </c>
      <c r="QRR19" s="310" t="s">
        <v>202</v>
      </c>
      <c r="QRS19" s="310" t="s">
        <v>202</v>
      </c>
      <c r="QRT19" s="310" t="s">
        <v>202</v>
      </c>
      <c r="QRU19" s="310" t="s">
        <v>202</v>
      </c>
      <c r="QRV19" s="310" t="s">
        <v>202</v>
      </c>
      <c r="QRW19" s="310" t="s">
        <v>202</v>
      </c>
      <c r="QRX19" s="310" t="s">
        <v>202</v>
      </c>
      <c r="QRY19" s="310" t="s">
        <v>202</v>
      </c>
      <c r="QRZ19" s="310" t="s">
        <v>202</v>
      </c>
      <c r="QSA19" s="310" t="s">
        <v>202</v>
      </c>
      <c r="QSB19" s="310" t="s">
        <v>202</v>
      </c>
      <c r="QSC19" s="310" t="s">
        <v>202</v>
      </c>
      <c r="QSD19" s="310" t="s">
        <v>202</v>
      </c>
      <c r="QSE19" s="310" t="s">
        <v>202</v>
      </c>
      <c r="QSF19" s="310" t="s">
        <v>202</v>
      </c>
      <c r="QSG19" s="310" t="s">
        <v>202</v>
      </c>
      <c r="QSH19" s="310" t="s">
        <v>202</v>
      </c>
      <c r="QSI19" s="310" t="s">
        <v>202</v>
      </c>
      <c r="QSJ19" s="310" t="s">
        <v>202</v>
      </c>
      <c r="QSK19" s="310" t="s">
        <v>202</v>
      </c>
      <c r="QSL19" s="310" t="s">
        <v>202</v>
      </c>
      <c r="QSM19" s="310" t="s">
        <v>202</v>
      </c>
      <c r="QSN19" s="310" t="s">
        <v>202</v>
      </c>
      <c r="QSO19" s="310" t="s">
        <v>202</v>
      </c>
      <c r="QSP19" s="310" t="s">
        <v>202</v>
      </c>
      <c r="QSQ19" s="310" t="s">
        <v>202</v>
      </c>
      <c r="QSR19" s="310" t="s">
        <v>202</v>
      </c>
      <c r="QSS19" s="310" t="s">
        <v>202</v>
      </c>
      <c r="QST19" s="310" t="s">
        <v>202</v>
      </c>
      <c r="QSU19" s="310" t="s">
        <v>202</v>
      </c>
      <c r="QSV19" s="310" t="s">
        <v>202</v>
      </c>
      <c r="QSW19" s="310" t="s">
        <v>202</v>
      </c>
      <c r="QSX19" s="310" t="s">
        <v>202</v>
      </c>
      <c r="QSY19" s="310" t="s">
        <v>202</v>
      </c>
      <c r="QSZ19" s="310" t="s">
        <v>202</v>
      </c>
      <c r="QTA19" s="310" t="s">
        <v>202</v>
      </c>
      <c r="QTB19" s="310" t="s">
        <v>202</v>
      </c>
      <c r="QTC19" s="310" t="s">
        <v>202</v>
      </c>
      <c r="QTD19" s="310" t="s">
        <v>202</v>
      </c>
      <c r="QTE19" s="310" t="s">
        <v>202</v>
      </c>
      <c r="QTF19" s="310" t="s">
        <v>202</v>
      </c>
      <c r="QTG19" s="310" t="s">
        <v>202</v>
      </c>
      <c r="QTH19" s="310" t="s">
        <v>202</v>
      </c>
      <c r="QTI19" s="310" t="s">
        <v>202</v>
      </c>
      <c r="QTJ19" s="310" t="s">
        <v>202</v>
      </c>
      <c r="QTK19" s="310" t="s">
        <v>202</v>
      </c>
      <c r="QTL19" s="310" t="s">
        <v>202</v>
      </c>
      <c r="QTM19" s="310" t="s">
        <v>202</v>
      </c>
      <c r="QTN19" s="310" t="s">
        <v>202</v>
      </c>
      <c r="QTO19" s="310" t="s">
        <v>202</v>
      </c>
      <c r="QTP19" s="310" t="s">
        <v>202</v>
      </c>
      <c r="QTQ19" s="310" t="s">
        <v>202</v>
      </c>
      <c r="QTR19" s="310" t="s">
        <v>202</v>
      </c>
      <c r="QTS19" s="310" t="s">
        <v>202</v>
      </c>
      <c r="QTT19" s="310" t="s">
        <v>202</v>
      </c>
      <c r="QTU19" s="310" t="s">
        <v>202</v>
      </c>
      <c r="QTV19" s="310" t="s">
        <v>202</v>
      </c>
      <c r="QTW19" s="310" t="s">
        <v>202</v>
      </c>
      <c r="QTX19" s="310" t="s">
        <v>202</v>
      </c>
      <c r="QTY19" s="310" t="s">
        <v>202</v>
      </c>
      <c r="QTZ19" s="310" t="s">
        <v>202</v>
      </c>
      <c r="QUA19" s="310" t="s">
        <v>202</v>
      </c>
      <c r="QUB19" s="310" t="s">
        <v>202</v>
      </c>
      <c r="QUC19" s="310" t="s">
        <v>202</v>
      </c>
      <c r="QUD19" s="310" t="s">
        <v>202</v>
      </c>
      <c r="QUE19" s="310" t="s">
        <v>202</v>
      </c>
      <c r="QUF19" s="310" t="s">
        <v>202</v>
      </c>
      <c r="QUG19" s="310" t="s">
        <v>202</v>
      </c>
      <c r="QUH19" s="310" t="s">
        <v>202</v>
      </c>
      <c r="QUI19" s="310" t="s">
        <v>202</v>
      </c>
      <c r="QUJ19" s="310" t="s">
        <v>202</v>
      </c>
      <c r="QUK19" s="310" t="s">
        <v>202</v>
      </c>
      <c r="QUL19" s="310" t="s">
        <v>202</v>
      </c>
      <c r="QUM19" s="310" t="s">
        <v>202</v>
      </c>
      <c r="QUN19" s="310" t="s">
        <v>202</v>
      </c>
      <c r="QUO19" s="310" t="s">
        <v>202</v>
      </c>
      <c r="QUP19" s="310" t="s">
        <v>202</v>
      </c>
      <c r="QUQ19" s="310" t="s">
        <v>202</v>
      </c>
      <c r="QUR19" s="310" t="s">
        <v>202</v>
      </c>
      <c r="QUS19" s="310" t="s">
        <v>202</v>
      </c>
      <c r="QUT19" s="310" t="s">
        <v>202</v>
      </c>
      <c r="QUU19" s="310" t="s">
        <v>202</v>
      </c>
      <c r="QUV19" s="310" t="s">
        <v>202</v>
      </c>
      <c r="QUW19" s="310" t="s">
        <v>202</v>
      </c>
      <c r="QUX19" s="310" t="s">
        <v>202</v>
      </c>
      <c r="QUY19" s="310" t="s">
        <v>202</v>
      </c>
      <c r="QUZ19" s="310" t="s">
        <v>202</v>
      </c>
      <c r="QVA19" s="310" t="s">
        <v>202</v>
      </c>
      <c r="QVB19" s="310" t="s">
        <v>202</v>
      </c>
      <c r="QVC19" s="310" t="s">
        <v>202</v>
      </c>
      <c r="QVD19" s="310" t="s">
        <v>202</v>
      </c>
      <c r="QVE19" s="310" t="s">
        <v>202</v>
      </c>
      <c r="QVF19" s="310" t="s">
        <v>202</v>
      </c>
      <c r="QVG19" s="310" t="s">
        <v>202</v>
      </c>
      <c r="QVH19" s="310" t="s">
        <v>202</v>
      </c>
      <c r="QVI19" s="310" t="s">
        <v>202</v>
      </c>
      <c r="QVJ19" s="310" t="s">
        <v>202</v>
      </c>
      <c r="QVK19" s="310" t="s">
        <v>202</v>
      </c>
      <c r="QVL19" s="310" t="s">
        <v>202</v>
      </c>
      <c r="QVM19" s="310" t="s">
        <v>202</v>
      </c>
      <c r="QVN19" s="310" t="s">
        <v>202</v>
      </c>
      <c r="QVO19" s="310" t="s">
        <v>202</v>
      </c>
      <c r="QVP19" s="310" t="s">
        <v>202</v>
      </c>
      <c r="QVQ19" s="310" t="s">
        <v>202</v>
      </c>
      <c r="QVR19" s="310" t="s">
        <v>202</v>
      </c>
      <c r="QVS19" s="310" t="s">
        <v>202</v>
      </c>
      <c r="QVT19" s="310" t="s">
        <v>202</v>
      </c>
      <c r="QVU19" s="310" t="s">
        <v>202</v>
      </c>
      <c r="QVV19" s="310" t="s">
        <v>202</v>
      </c>
      <c r="QVW19" s="310" t="s">
        <v>202</v>
      </c>
      <c r="QVX19" s="310" t="s">
        <v>202</v>
      </c>
      <c r="QVY19" s="310" t="s">
        <v>202</v>
      </c>
      <c r="QVZ19" s="310" t="s">
        <v>202</v>
      </c>
      <c r="QWA19" s="310" t="s">
        <v>202</v>
      </c>
      <c r="QWB19" s="310" t="s">
        <v>202</v>
      </c>
      <c r="QWC19" s="310" t="s">
        <v>202</v>
      </c>
      <c r="QWD19" s="310" t="s">
        <v>202</v>
      </c>
      <c r="QWE19" s="310" t="s">
        <v>202</v>
      </c>
      <c r="QWF19" s="310" t="s">
        <v>202</v>
      </c>
      <c r="QWG19" s="310" t="s">
        <v>202</v>
      </c>
      <c r="QWH19" s="310" t="s">
        <v>202</v>
      </c>
      <c r="QWI19" s="310" t="s">
        <v>202</v>
      </c>
      <c r="QWJ19" s="310" t="s">
        <v>202</v>
      </c>
      <c r="QWK19" s="310" t="s">
        <v>202</v>
      </c>
      <c r="QWL19" s="310" t="s">
        <v>202</v>
      </c>
      <c r="QWM19" s="310" t="s">
        <v>202</v>
      </c>
      <c r="QWN19" s="310" t="s">
        <v>202</v>
      </c>
      <c r="QWO19" s="310" t="s">
        <v>202</v>
      </c>
      <c r="QWP19" s="310" t="s">
        <v>202</v>
      </c>
      <c r="QWQ19" s="310" t="s">
        <v>202</v>
      </c>
      <c r="QWR19" s="310" t="s">
        <v>202</v>
      </c>
      <c r="QWS19" s="310" t="s">
        <v>202</v>
      </c>
      <c r="QWT19" s="310" t="s">
        <v>202</v>
      </c>
      <c r="QWU19" s="310" t="s">
        <v>202</v>
      </c>
      <c r="QWV19" s="310" t="s">
        <v>202</v>
      </c>
      <c r="QWW19" s="310" t="s">
        <v>202</v>
      </c>
      <c r="QWX19" s="310" t="s">
        <v>202</v>
      </c>
      <c r="QWY19" s="310" t="s">
        <v>202</v>
      </c>
      <c r="QWZ19" s="310" t="s">
        <v>202</v>
      </c>
      <c r="QXA19" s="310" t="s">
        <v>202</v>
      </c>
      <c r="QXB19" s="310" t="s">
        <v>202</v>
      </c>
      <c r="QXC19" s="310" t="s">
        <v>202</v>
      </c>
      <c r="QXD19" s="310" t="s">
        <v>202</v>
      </c>
      <c r="QXE19" s="310" t="s">
        <v>202</v>
      </c>
      <c r="QXF19" s="310" t="s">
        <v>202</v>
      </c>
      <c r="QXG19" s="310" t="s">
        <v>202</v>
      </c>
      <c r="QXH19" s="310" t="s">
        <v>202</v>
      </c>
      <c r="QXI19" s="310" t="s">
        <v>202</v>
      </c>
      <c r="QXJ19" s="310" t="s">
        <v>202</v>
      </c>
      <c r="QXK19" s="310" t="s">
        <v>202</v>
      </c>
      <c r="QXL19" s="310" t="s">
        <v>202</v>
      </c>
      <c r="QXM19" s="310" t="s">
        <v>202</v>
      </c>
      <c r="QXN19" s="310" t="s">
        <v>202</v>
      </c>
      <c r="QXO19" s="310" t="s">
        <v>202</v>
      </c>
      <c r="QXP19" s="310" t="s">
        <v>202</v>
      </c>
      <c r="QXQ19" s="310" t="s">
        <v>202</v>
      </c>
      <c r="QXR19" s="310" t="s">
        <v>202</v>
      </c>
      <c r="QXS19" s="310" t="s">
        <v>202</v>
      </c>
      <c r="QXT19" s="310" t="s">
        <v>202</v>
      </c>
      <c r="QXU19" s="310" t="s">
        <v>202</v>
      </c>
      <c r="QXV19" s="310" t="s">
        <v>202</v>
      </c>
      <c r="QXW19" s="310" t="s">
        <v>202</v>
      </c>
      <c r="QXX19" s="310" t="s">
        <v>202</v>
      </c>
      <c r="QXY19" s="310" t="s">
        <v>202</v>
      </c>
      <c r="QXZ19" s="310" t="s">
        <v>202</v>
      </c>
      <c r="QYA19" s="310" t="s">
        <v>202</v>
      </c>
      <c r="QYB19" s="310" t="s">
        <v>202</v>
      </c>
      <c r="QYC19" s="310" t="s">
        <v>202</v>
      </c>
      <c r="QYD19" s="310" t="s">
        <v>202</v>
      </c>
      <c r="QYE19" s="310" t="s">
        <v>202</v>
      </c>
      <c r="QYF19" s="310" t="s">
        <v>202</v>
      </c>
      <c r="QYG19" s="310" t="s">
        <v>202</v>
      </c>
      <c r="QYH19" s="310" t="s">
        <v>202</v>
      </c>
      <c r="QYI19" s="310" t="s">
        <v>202</v>
      </c>
      <c r="QYJ19" s="310" t="s">
        <v>202</v>
      </c>
      <c r="QYK19" s="310" t="s">
        <v>202</v>
      </c>
      <c r="QYL19" s="310" t="s">
        <v>202</v>
      </c>
      <c r="QYM19" s="310" t="s">
        <v>202</v>
      </c>
      <c r="QYN19" s="310" t="s">
        <v>202</v>
      </c>
      <c r="QYO19" s="310" t="s">
        <v>202</v>
      </c>
      <c r="QYP19" s="310" t="s">
        <v>202</v>
      </c>
      <c r="QYQ19" s="310" t="s">
        <v>202</v>
      </c>
      <c r="QYR19" s="310" t="s">
        <v>202</v>
      </c>
      <c r="QYS19" s="310" t="s">
        <v>202</v>
      </c>
      <c r="QYT19" s="310" t="s">
        <v>202</v>
      </c>
      <c r="QYU19" s="310" t="s">
        <v>202</v>
      </c>
      <c r="QYV19" s="310" t="s">
        <v>202</v>
      </c>
      <c r="QYW19" s="310" t="s">
        <v>202</v>
      </c>
      <c r="QYX19" s="310" t="s">
        <v>202</v>
      </c>
      <c r="QYY19" s="310" t="s">
        <v>202</v>
      </c>
      <c r="QYZ19" s="310" t="s">
        <v>202</v>
      </c>
      <c r="QZA19" s="310" t="s">
        <v>202</v>
      </c>
      <c r="QZB19" s="310" t="s">
        <v>202</v>
      </c>
      <c r="QZC19" s="310" t="s">
        <v>202</v>
      </c>
      <c r="QZD19" s="310" t="s">
        <v>202</v>
      </c>
      <c r="QZE19" s="310" t="s">
        <v>202</v>
      </c>
      <c r="QZF19" s="310" t="s">
        <v>202</v>
      </c>
      <c r="QZG19" s="310" t="s">
        <v>202</v>
      </c>
      <c r="QZH19" s="310" t="s">
        <v>202</v>
      </c>
      <c r="QZI19" s="310" t="s">
        <v>202</v>
      </c>
      <c r="QZJ19" s="310" t="s">
        <v>202</v>
      </c>
      <c r="QZK19" s="310" t="s">
        <v>202</v>
      </c>
      <c r="QZL19" s="310" t="s">
        <v>202</v>
      </c>
      <c r="QZM19" s="310" t="s">
        <v>202</v>
      </c>
      <c r="QZN19" s="310" t="s">
        <v>202</v>
      </c>
      <c r="QZO19" s="310" t="s">
        <v>202</v>
      </c>
      <c r="QZP19" s="310" t="s">
        <v>202</v>
      </c>
      <c r="QZQ19" s="310" t="s">
        <v>202</v>
      </c>
      <c r="QZR19" s="310" t="s">
        <v>202</v>
      </c>
      <c r="QZS19" s="310" t="s">
        <v>202</v>
      </c>
      <c r="QZT19" s="310" t="s">
        <v>202</v>
      </c>
      <c r="QZU19" s="310" t="s">
        <v>202</v>
      </c>
      <c r="QZV19" s="310" t="s">
        <v>202</v>
      </c>
      <c r="QZW19" s="310" t="s">
        <v>202</v>
      </c>
      <c r="QZX19" s="310" t="s">
        <v>202</v>
      </c>
      <c r="QZY19" s="310" t="s">
        <v>202</v>
      </c>
      <c r="QZZ19" s="310" t="s">
        <v>202</v>
      </c>
      <c r="RAA19" s="310" t="s">
        <v>202</v>
      </c>
      <c r="RAB19" s="310" t="s">
        <v>202</v>
      </c>
      <c r="RAC19" s="310" t="s">
        <v>202</v>
      </c>
      <c r="RAD19" s="310" t="s">
        <v>202</v>
      </c>
      <c r="RAE19" s="310" t="s">
        <v>202</v>
      </c>
      <c r="RAF19" s="310" t="s">
        <v>202</v>
      </c>
      <c r="RAG19" s="310" t="s">
        <v>202</v>
      </c>
      <c r="RAH19" s="310" t="s">
        <v>202</v>
      </c>
      <c r="RAI19" s="310" t="s">
        <v>202</v>
      </c>
      <c r="RAJ19" s="310" t="s">
        <v>202</v>
      </c>
      <c r="RAK19" s="310" t="s">
        <v>202</v>
      </c>
      <c r="RAL19" s="310" t="s">
        <v>202</v>
      </c>
      <c r="RAM19" s="310" t="s">
        <v>202</v>
      </c>
      <c r="RAN19" s="310" t="s">
        <v>202</v>
      </c>
      <c r="RAO19" s="310" t="s">
        <v>202</v>
      </c>
      <c r="RAP19" s="310" t="s">
        <v>202</v>
      </c>
      <c r="RAQ19" s="310" t="s">
        <v>202</v>
      </c>
      <c r="RAR19" s="310" t="s">
        <v>202</v>
      </c>
      <c r="RAS19" s="310" t="s">
        <v>202</v>
      </c>
      <c r="RAT19" s="310" t="s">
        <v>202</v>
      </c>
      <c r="RAU19" s="310" t="s">
        <v>202</v>
      </c>
      <c r="RAV19" s="310" t="s">
        <v>202</v>
      </c>
      <c r="RAW19" s="310" t="s">
        <v>202</v>
      </c>
      <c r="RAX19" s="310" t="s">
        <v>202</v>
      </c>
      <c r="RAY19" s="310" t="s">
        <v>202</v>
      </c>
      <c r="RAZ19" s="310" t="s">
        <v>202</v>
      </c>
      <c r="RBA19" s="310" t="s">
        <v>202</v>
      </c>
      <c r="RBB19" s="310" t="s">
        <v>202</v>
      </c>
      <c r="RBC19" s="310" t="s">
        <v>202</v>
      </c>
      <c r="RBD19" s="310" t="s">
        <v>202</v>
      </c>
      <c r="RBE19" s="310" t="s">
        <v>202</v>
      </c>
      <c r="RBF19" s="310" t="s">
        <v>202</v>
      </c>
      <c r="RBG19" s="310" t="s">
        <v>202</v>
      </c>
      <c r="RBH19" s="310" t="s">
        <v>202</v>
      </c>
      <c r="RBI19" s="310" t="s">
        <v>202</v>
      </c>
      <c r="RBJ19" s="310" t="s">
        <v>202</v>
      </c>
      <c r="RBK19" s="310" t="s">
        <v>202</v>
      </c>
      <c r="RBL19" s="310" t="s">
        <v>202</v>
      </c>
      <c r="RBM19" s="310" t="s">
        <v>202</v>
      </c>
      <c r="RBN19" s="310" t="s">
        <v>202</v>
      </c>
      <c r="RBO19" s="310" t="s">
        <v>202</v>
      </c>
      <c r="RBP19" s="310" t="s">
        <v>202</v>
      </c>
      <c r="RBQ19" s="310" t="s">
        <v>202</v>
      </c>
      <c r="RBR19" s="310" t="s">
        <v>202</v>
      </c>
      <c r="RBS19" s="310" t="s">
        <v>202</v>
      </c>
      <c r="RBT19" s="310" t="s">
        <v>202</v>
      </c>
      <c r="RBU19" s="310" t="s">
        <v>202</v>
      </c>
      <c r="RBV19" s="310" t="s">
        <v>202</v>
      </c>
      <c r="RBW19" s="310" t="s">
        <v>202</v>
      </c>
      <c r="RBX19" s="310" t="s">
        <v>202</v>
      </c>
      <c r="RBY19" s="310" t="s">
        <v>202</v>
      </c>
      <c r="RBZ19" s="310" t="s">
        <v>202</v>
      </c>
      <c r="RCA19" s="310" t="s">
        <v>202</v>
      </c>
      <c r="RCB19" s="310" t="s">
        <v>202</v>
      </c>
      <c r="RCC19" s="310" t="s">
        <v>202</v>
      </c>
      <c r="RCD19" s="310" t="s">
        <v>202</v>
      </c>
      <c r="RCE19" s="310" t="s">
        <v>202</v>
      </c>
      <c r="RCF19" s="310" t="s">
        <v>202</v>
      </c>
      <c r="RCG19" s="310" t="s">
        <v>202</v>
      </c>
      <c r="RCH19" s="310" t="s">
        <v>202</v>
      </c>
      <c r="RCI19" s="310" t="s">
        <v>202</v>
      </c>
      <c r="RCJ19" s="310" t="s">
        <v>202</v>
      </c>
      <c r="RCK19" s="310" t="s">
        <v>202</v>
      </c>
      <c r="RCL19" s="310" t="s">
        <v>202</v>
      </c>
      <c r="RCM19" s="310" t="s">
        <v>202</v>
      </c>
      <c r="RCN19" s="310" t="s">
        <v>202</v>
      </c>
      <c r="RCO19" s="310" t="s">
        <v>202</v>
      </c>
      <c r="RCP19" s="310" t="s">
        <v>202</v>
      </c>
      <c r="RCQ19" s="310" t="s">
        <v>202</v>
      </c>
      <c r="RCR19" s="310" t="s">
        <v>202</v>
      </c>
      <c r="RCS19" s="310" t="s">
        <v>202</v>
      </c>
      <c r="RCT19" s="310" t="s">
        <v>202</v>
      </c>
      <c r="RCU19" s="310" t="s">
        <v>202</v>
      </c>
      <c r="RCV19" s="310" t="s">
        <v>202</v>
      </c>
      <c r="RCW19" s="310" t="s">
        <v>202</v>
      </c>
      <c r="RCX19" s="310" t="s">
        <v>202</v>
      </c>
      <c r="RCY19" s="310" t="s">
        <v>202</v>
      </c>
      <c r="RCZ19" s="310" t="s">
        <v>202</v>
      </c>
      <c r="RDA19" s="310" t="s">
        <v>202</v>
      </c>
      <c r="RDB19" s="310" t="s">
        <v>202</v>
      </c>
      <c r="RDC19" s="310" t="s">
        <v>202</v>
      </c>
      <c r="RDD19" s="310" t="s">
        <v>202</v>
      </c>
      <c r="RDE19" s="310" t="s">
        <v>202</v>
      </c>
      <c r="RDF19" s="310" t="s">
        <v>202</v>
      </c>
      <c r="RDG19" s="310" t="s">
        <v>202</v>
      </c>
      <c r="RDH19" s="310" t="s">
        <v>202</v>
      </c>
      <c r="RDI19" s="310" t="s">
        <v>202</v>
      </c>
      <c r="RDJ19" s="310" t="s">
        <v>202</v>
      </c>
      <c r="RDK19" s="310" t="s">
        <v>202</v>
      </c>
      <c r="RDL19" s="310" t="s">
        <v>202</v>
      </c>
      <c r="RDM19" s="310" t="s">
        <v>202</v>
      </c>
      <c r="RDN19" s="310" t="s">
        <v>202</v>
      </c>
      <c r="RDO19" s="310" t="s">
        <v>202</v>
      </c>
      <c r="RDP19" s="310" t="s">
        <v>202</v>
      </c>
      <c r="RDQ19" s="310" t="s">
        <v>202</v>
      </c>
      <c r="RDR19" s="310" t="s">
        <v>202</v>
      </c>
      <c r="RDS19" s="310" t="s">
        <v>202</v>
      </c>
      <c r="RDT19" s="310" t="s">
        <v>202</v>
      </c>
      <c r="RDU19" s="310" t="s">
        <v>202</v>
      </c>
      <c r="RDV19" s="310" t="s">
        <v>202</v>
      </c>
      <c r="RDW19" s="310" t="s">
        <v>202</v>
      </c>
      <c r="RDX19" s="310" t="s">
        <v>202</v>
      </c>
      <c r="RDY19" s="310" t="s">
        <v>202</v>
      </c>
      <c r="RDZ19" s="310" t="s">
        <v>202</v>
      </c>
      <c r="REA19" s="310" t="s">
        <v>202</v>
      </c>
      <c r="REB19" s="310" t="s">
        <v>202</v>
      </c>
      <c r="REC19" s="310" t="s">
        <v>202</v>
      </c>
      <c r="RED19" s="310" t="s">
        <v>202</v>
      </c>
      <c r="REE19" s="310" t="s">
        <v>202</v>
      </c>
      <c r="REF19" s="310" t="s">
        <v>202</v>
      </c>
      <c r="REG19" s="310" t="s">
        <v>202</v>
      </c>
      <c r="REH19" s="310" t="s">
        <v>202</v>
      </c>
      <c r="REI19" s="310" t="s">
        <v>202</v>
      </c>
      <c r="REJ19" s="310" t="s">
        <v>202</v>
      </c>
      <c r="REK19" s="310" t="s">
        <v>202</v>
      </c>
      <c r="REL19" s="310" t="s">
        <v>202</v>
      </c>
      <c r="REM19" s="310" t="s">
        <v>202</v>
      </c>
      <c r="REN19" s="310" t="s">
        <v>202</v>
      </c>
      <c r="REO19" s="310" t="s">
        <v>202</v>
      </c>
      <c r="REP19" s="310" t="s">
        <v>202</v>
      </c>
      <c r="REQ19" s="310" t="s">
        <v>202</v>
      </c>
      <c r="RER19" s="310" t="s">
        <v>202</v>
      </c>
      <c r="RES19" s="310" t="s">
        <v>202</v>
      </c>
      <c r="RET19" s="310" t="s">
        <v>202</v>
      </c>
      <c r="REU19" s="310" t="s">
        <v>202</v>
      </c>
      <c r="REV19" s="310" t="s">
        <v>202</v>
      </c>
      <c r="REW19" s="310" t="s">
        <v>202</v>
      </c>
      <c r="REX19" s="310" t="s">
        <v>202</v>
      </c>
      <c r="REY19" s="310" t="s">
        <v>202</v>
      </c>
      <c r="REZ19" s="310" t="s">
        <v>202</v>
      </c>
      <c r="RFA19" s="310" t="s">
        <v>202</v>
      </c>
      <c r="RFB19" s="310" t="s">
        <v>202</v>
      </c>
      <c r="RFC19" s="310" t="s">
        <v>202</v>
      </c>
      <c r="RFD19" s="310" t="s">
        <v>202</v>
      </c>
      <c r="RFE19" s="310" t="s">
        <v>202</v>
      </c>
      <c r="RFF19" s="310" t="s">
        <v>202</v>
      </c>
      <c r="RFG19" s="310" t="s">
        <v>202</v>
      </c>
      <c r="RFH19" s="310" t="s">
        <v>202</v>
      </c>
      <c r="RFI19" s="310" t="s">
        <v>202</v>
      </c>
      <c r="RFJ19" s="310" t="s">
        <v>202</v>
      </c>
      <c r="RFK19" s="310" t="s">
        <v>202</v>
      </c>
      <c r="RFL19" s="310" t="s">
        <v>202</v>
      </c>
      <c r="RFM19" s="310" t="s">
        <v>202</v>
      </c>
      <c r="RFN19" s="310" t="s">
        <v>202</v>
      </c>
      <c r="RFO19" s="310" t="s">
        <v>202</v>
      </c>
      <c r="RFP19" s="310" t="s">
        <v>202</v>
      </c>
      <c r="RFQ19" s="310" t="s">
        <v>202</v>
      </c>
      <c r="RFR19" s="310" t="s">
        <v>202</v>
      </c>
      <c r="RFS19" s="310" t="s">
        <v>202</v>
      </c>
      <c r="RFT19" s="310" t="s">
        <v>202</v>
      </c>
      <c r="RFU19" s="310" t="s">
        <v>202</v>
      </c>
      <c r="RFV19" s="310" t="s">
        <v>202</v>
      </c>
      <c r="RFW19" s="310" t="s">
        <v>202</v>
      </c>
      <c r="RFX19" s="310" t="s">
        <v>202</v>
      </c>
      <c r="RFY19" s="310" t="s">
        <v>202</v>
      </c>
      <c r="RFZ19" s="310" t="s">
        <v>202</v>
      </c>
      <c r="RGA19" s="310" t="s">
        <v>202</v>
      </c>
      <c r="RGB19" s="310" t="s">
        <v>202</v>
      </c>
      <c r="RGC19" s="310" t="s">
        <v>202</v>
      </c>
      <c r="RGD19" s="310" t="s">
        <v>202</v>
      </c>
      <c r="RGE19" s="310" t="s">
        <v>202</v>
      </c>
      <c r="RGF19" s="310" t="s">
        <v>202</v>
      </c>
      <c r="RGG19" s="310" t="s">
        <v>202</v>
      </c>
      <c r="RGH19" s="310" t="s">
        <v>202</v>
      </c>
      <c r="RGI19" s="310" t="s">
        <v>202</v>
      </c>
      <c r="RGJ19" s="310" t="s">
        <v>202</v>
      </c>
      <c r="RGK19" s="310" t="s">
        <v>202</v>
      </c>
      <c r="RGL19" s="310" t="s">
        <v>202</v>
      </c>
      <c r="RGM19" s="310" t="s">
        <v>202</v>
      </c>
      <c r="RGN19" s="310" t="s">
        <v>202</v>
      </c>
      <c r="RGO19" s="310" t="s">
        <v>202</v>
      </c>
      <c r="RGP19" s="310" t="s">
        <v>202</v>
      </c>
      <c r="RGQ19" s="310" t="s">
        <v>202</v>
      </c>
      <c r="RGR19" s="310" t="s">
        <v>202</v>
      </c>
      <c r="RGS19" s="310" t="s">
        <v>202</v>
      </c>
      <c r="RGT19" s="310" t="s">
        <v>202</v>
      </c>
      <c r="RGU19" s="310" t="s">
        <v>202</v>
      </c>
      <c r="RGV19" s="310" t="s">
        <v>202</v>
      </c>
      <c r="RGW19" s="310" t="s">
        <v>202</v>
      </c>
      <c r="RGX19" s="310" t="s">
        <v>202</v>
      </c>
      <c r="RGY19" s="310" t="s">
        <v>202</v>
      </c>
      <c r="RGZ19" s="310" t="s">
        <v>202</v>
      </c>
      <c r="RHA19" s="310" t="s">
        <v>202</v>
      </c>
      <c r="RHB19" s="310" t="s">
        <v>202</v>
      </c>
      <c r="RHC19" s="310" t="s">
        <v>202</v>
      </c>
      <c r="RHD19" s="310" t="s">
        <v>202</v>
      </c>
      <c r="RHE19" s="310" t="s">
        <v>202</v>
      </c>
      <c r="RHF19" s="310" t="s">
        <v>202</v>
      </c>
      <c r="RHG19" s="310" t="s">
        <v>202</v>
      </c>
      <c r="RHH19" s="310" t="s">
        <v>202</v>
      </c>
      <c r="RHI19" s="310" t="s">
        <v>202</v>
      </c>
      <c r="RHJ19" s="310" t="s">
        <v>202</v>
      </c>
      <c r="RHK19" s="310" t="s">
        <v>202</v>
      </c>
      <c r="RHL19" s="310" t="s">
        <v>202</v>
      </c>
      <c r="RHM19" s="310" t="s">
        <v>202</v>
      </c>
      <c r="RHN19" s="310" t="s">
        <v>202</v>
      </c>
      <c r="RHO19" s="310" t="s">
        <v>202</v>
      </c>
      <c r="RHP19" s="310" t="s">
        <v>202</v>
      </c>
      <c r="RHQ19" s="310" t="s">
        <v>202</v>
      </c>
      <c r="RHR19" s="310" t="s">
        <v>202</v>
      </c>
      <c r="RHS19" s="310" t="s">
        <v>202</v>
      </c>
      <c r="RHT19" s="310" t="s">
        <v>202</v>
      </c>
      <c r="RHU19" s="310" t="s">
        <v>202</v>
      </c>
      <c r="RHV19" s="310" t="s">
        <v>202</v>
      </c>
      <c r="RHW19" s="310" t="s">
        <v>202</v>
      </c>
      <c r="RHX19" s="310" t="s">
        <v>202</v>
      </c>
      <c r="RHY19" s="310" t="s">
        <v>202</v>
      </c>
      <c r="RHZ19" s="310" t="s">
        <v>202</v>
      </c>
      <c r="RIA19" s="310" t="s">
        <v>202</v>
      </c>
      <c r="RIB19" s="310" t="s">
        <v>202</v>
      </c>
      <c r="RIC19" s="310" t="s">
        <v>202</v>
      </c>
      <c r="RID19" s="310" t="s">
        <v>202</v>
      </c>
      <c r="RIE19" s="310" t="s">
        <v>202</v>
      </c>
      <c r="RIF19" s="310" t="s">
        <v>202</v>
      </c>
      <c r="RIG19" s="310" t="s">
        <v>202</v>
      </c>
      <c r="RIH19" s="310" t="s">
        <v>202</v>
      </c>
      <c r="RII19" s="310" t="s">
        <v>202</v>
      </c>
      <c r="RIJ19" s="310" t="s">
        <v>202</v>
      </c>
      <c r="RIK19" s="310" t="s">
        <v>202</v>
      </c>
      <c r="RIL19" s="310" t="s">
        <v>202</v>
      </c>
      <c r="RIM19" s="310" t="s">
        <v>202</v>
      </c>
      <c r="RIN19" s="310" t="s">
        <v>202</v>
      </c>
      <c r="RIO19" s="310" t="s">
        <v>202</v>
      </c>
      <c r="RIP19" s="310" t="s">
        <v>202</v>
      </c>
      <c r="RIQ19" s="310" t="s">
        <v>202</v>
      </c>
      <c r="RIR19" s="310" t="s">
        <v>202</v>
      </c>
      <c r="RIS19" s="310" t="s">
        <v>202</v>
      </c>
      <c r="RIT19" s="310" t="s">
        <v>202</v>
      </c>
      <c r="RIU19" s="310" t="s">
        <v>202</v>
      </c>
      <c r="RIV19" s="310" t="s">
        <v>202</v>
      </c>
      <c r="RIW19" s="310" t="s">
        <v>202</v>
      </c>
      <c r="RIX19" s="310" t="s">
        <v>202</v>
      </c>
      <c r="RIY19" s="310" t="s">
        <v>202</v>
      </c>
      <c r="RIZ19" s="310" t="s">
        <v>202</v>
      </c>
      <c r="RJA19" s="310" t="s">
        <v>202</v>
      </c>
      <c r="RJB19" s="310" t="s">
        <v>202</v>
      </c>
      <c r="RJC19" s="310" t="s">
        <v>202</v>
      </c>
      <c r="RJD19" s="310" t="s">
        <v>202</v>
      </c>
      <c r="RJE19" s="310" t="s">
        <v>202</v>
      </c>
      <c r="RJF19" s="310" t="s">
        <v>202</v>
      </c>
      <c r="RJG19" s="310" t="s">
        <v>202</v>
      </c>
      <c r="RJH19" s="310" t="s">
        <v>202</v>
      </c>
      <c r="RJI19" s="310" t="s">
        <v>202</v>
      </c>
      <c r="RJJ19" s="310" t="s">
        <v>202</v>
      </c>
      <c r="RJK19" s="310" t="s">
        <v>202</v>
      </c>
      <c r="RJL19" s="310" t="s">
        <v>202</v>
      </c>
      <c r="RJM19" s="310" t="s">
        <v>202</v>
      </c>
      <c r="RJN19" s="310" t="s">
        <v>202</v>
      </c>
      <c r="RJO19" s="310" t="s">
        <v>202</v>
      </c>
      <c r="RJP19" s="310" t="s">
        <v>202</v>
      </c>
      <c r="RJQ19" s="310" t="s">
        <v>202</v>
      </c>
      <c r="RJR19" s="310" t="s">
        <v>202</v>
      </c>
      <c r="RJS19" s="310" t="s">
        <v>202</v>
      </c>
      <c r="RJT19" s="310" t="s">
        <v>202</v>
      </c>
      <c r="RJU19" s="310" t="s">
        <v>202</v>
      </c>
      <c r="RJV19" s="310" t="s">
        <v>202</v>
      </c>
      <c r="RJW19" s="310" t="s">
        <v>202</v>
      </c>
      <c r="RJX19" s="310" t="s">
        <v>202</v>
      </c>
      <c r="RJY19" s="310" t="s">
        <v>202</v>
      </c>
      <c r="RJZ19" s="310" t="s">
        <v>202</v>
      </c>
      <c r="RKA19" s="310" t="s">
        <v>202</v>
      </c>
      <c r="RKB19" s="310" t="s">
        <v>202</v>
      </c>
      <c r="RKC19" s="310" t="s">
        <v>202</v>
      </c>
      <c r="RKD19" s="310" t="s">
        <v>202</v>
      </c>
      <c r="RKE19" s="310" t="s">
        <v>202</v>
      </c>
      <c r="RKF19" s="310" t="s">
        <v>202</v>
      </c>
      <c r="RKG19" s="310" t="s">
        <v>202</v>
      </c>
      <c r="RKH19" s="310" t="s">
        <v>202</v>
      </c>
      <c r="RKI19" s="310" t="s">
        <v>202</v>
      </c>
      <c r="RKJ19" s="310" t="s">
        <v>202</v>
      </c>
      <c r="RKK19" s="310" t="s">
        <v>202</v>
      </c>
      <c r="RKL19" s="310" t="s">
        <v>202</v>
      </c>
      <c r="RKM19" s="310" t="s">
        <v>202</v>
      </c>
      <c r="RKN19" s="310" t="s">
        <v>202</v>
      </c>
      <c r="RKO19" s="310" t="s">
        <v>202</v>
      </c>
      <c r="RKP19" s="310" t="s">
        <v>202</v>
      </c>
      <c r="RKQ19" s="310" t="s">
        <v>202</v>
      </c>
      <c r="RKR19" s="310" t="s">
        <v>202</v>
      </c>
      <c r="RKS19" s="310" t="s">
        <v>202</v>
      </c>
      <c r="RKT19" s="310" t="s">
        <v>202</v>
      </c>
      <c r="RKU19" s="310" t="s">
        <v>202</v>
      </c>
      <c r="RKV19" s="310" t="s">
        <v>202</v>
      </c>
      <c r="RKW19" s="310" t="s">
        <v>202</v>
      </c>
      <c r="RKX19" s="310" t="s">
        <v>202</v>
      </c>
      <c r="RKY19" s="310" t="s">
        <v>202</v>
      </c>
      <c r="RKZ19" s="310" t="s">
        <v>202</v>
      </c>
      <c r="RLA19" s="310" t="s">
        <v>202</v>
      </c>
      <c r="RLB19" s="310" t="s">
        <v>202</v>
      </c>
      <c r="RLC19" s="310" t="s">
        <v>202</v>
      </c>
      <c r="RLD19" s="310" t="s">
        <v>202</v>
      </c>
      <c r="RLE19" s="310" t="s">
        <v>202</v>
      </c>
      <c r="RLF19" s="310" t="s">
        <v>202</v>
      </c>
      <c r="RLG19" s="310" t="s">
        <v>202</v>
      </c>
      <c r="RLH19" s="310" t="s">
        <v>202</v>
      </c>
      <c r="RLI19" s="310" t="s">
        <v>202</v>
      </c>
      <c r="RLJ19" s="310" t="s">
        <v>202</v>
      </c>
      <c r="RLK19" s="310" t="s">
        <v>202</v>
      </c>
      <c r="RLL19" s="310" t="s">
        <v>202</v>
      </c>
      <c r="RLM19" s="310" t="s">
        <v>202</v>
      </c>
      <c r="RLN19" s="310" t="s">
        <v>202</v>
      </c>
      <c r="RLO19" s="310" t="s">
        <v>202</v>
      </c>
      <c r="RLP19" s="310" t="s">
        <v>202</v>
      </c>
      <c r="RLQ19" s="310" t="s">
        <v>202</v>
      </c>
      <c r="RLR19" s="310" t="s">
        <v>202</v>
      </c>
      <c r="RLS19" s="310" t="s">
        <v>202</v>
      </c>
      <c r="RLT19" s="310" t="s">
        <v>202</v>
      </c>
      <c r="RLU19" s="310" t="s">
        <v>202</v>
      </c>
      <c r="RLV19" s="310" t="s">
        <v>202</v>
      </c>
      <c r="RLW19" s="310" t="s">
        <v>202</v>
      </c>
      <c r="RLX19" s="310" t="s">
        <v>202</v>
      </c>
      <c r="RLY19" s="310" t="s">
        <v>202</v>
      </c>
      <c r="RLZ19" s="310" t="s">
        <v>202</v>
      </c>
      <c r="RMA19" s="310" t="s">
        <v>202</v>
      </c>
      <c r="RMB19" s="310" t="s">
        <v>202</v>
      </c>
      <c r="RMC19" s="310" t="s">
        <v>202</v>
      </c>
      <c r="RMD19" s="310" t="s">
        <v>202</v>
      </c>
      <c r="RME19" s="310" t="s">
        <v>202</v>
      </c>
      <c r="RMF19" s="310" t="s">
        <v>202</v>
      </c>
      <c r="RMG19" s="310" t="s">
        <v>202</v>
      </c>
      <c r="RMH19" s="310" t="s">
        <v>202</v>
      </c>
      <c r="RMI19" s="310" t="s">
        <v>202</v>
      </c>
      <c r="RMJ19" s="310" t="s">
        <v>202</v>
      </c>
      <c r="RMK19" s="310" t="s">
        <v>202</v>
      </c>
      <c r="RML19" s="310" t="s">
        <v>202</v>
      </c>
      <c r="RMM19" s="310" t="s">
        <v>202</v>
      </c>
      <c r="RMN19" s="310" t="s">
        <v>202</v>
      </c>
      <c r="RMO19" s="310" t="s">
        <v>202</v>
      </c>
      <c r="RMP19" s="310" t="s">
        <v>202</v>
      </c>
      <c r="RMQ19" s="310" t="s">
        <v>202</v>
      </c>
      <c r="RMR19" s="310" t="s">
        <v>202</v>
      </c>
      <c r="RMS19" s="310" t="s">
        <v>202</v>
      </c>
      <c r="RMT19" s="310" t="s">
        <v>202</v>
      </c>
      <c r="RMU19" s="310" t="s">
        <v>202</v>
      </c>
      <c r="RMV19" s="310" t="s">
        <v>202</v>
      </c>
      <c r="RMW19" s="310" t="s">
        <v>202</v>
      </c>
      <c r="RMX19" s="310" t="s">
        <v>202</v>
      </c>
      <c r="RMY19" s="310" t="s">
        <v>202</v>
      </c>
      <c r="RMZ19" s="310" t="s">
        <v>202</v>
      </c>
      <c r="RNA19" s="310" t="s">
        <v>202</v>
      </c>
      <c r="RNB19" s="310" t="s">
        <v>202</v>
      </c>
      <c r="RNC19" s="310" t="s">
        <v>202</v>
      </c>
      <c r="RND19" s="310" t="s">
        <v>202</v>
      </c>
      <c r="RNE19" s="310" t="s">
        <v>202</v>
      </c>
      <c r="RNF19" s="310" t="s">
        <v>202</v>
      </c>
      <c r="RNG19" s="310" t="s">
        <v>202</v>
      </c>
      <c r="RNH19" s="310" t="s">
        <v>202</v>
      </c>
      <c r="RNI19" s="310" t="s">
        <v>202</v>
      </c>
      <c r="RNJ19" s="310" t="s">
        <v>202</v>
      </c>
      <c r="RNK19" s="310" t="s">
        <v>202</v>
      </c>
      <c r="RNL19" s="310" t="s">
        <v>202</v>
      </c>
      <c r="RNM19" s="310" t="s">
        <v>202</v>
      </c>
      <c r="RNN19" s="310" t="s">
        <v>202</v>
      </c>
      <c r="RNO19" s="310" t="s">
        <v>202</v>
      </c>
      <c r="RNP19" s="310" t="s">
        <v>202</v>
      </c>
      <c r="RNQ19" s="310" t="s">
        <v>202</v>
      </c>
      <c r="RNR19" s="310" t="s">
        <v>202</v>
      </c>
      <c r="RNS19" s="310" t="s">
        <v>202</v>
      </c>
      <c r="RNT19" s="310" t="s">
        <v>202</v>
      </c>
      <c r="RNU19" s="310" t="s">
        <v>202</v>
      </c>
      <c r="RNV19" s="310" t="s">
        <v>202</v>
      </c>
      <c r="RNW19" s="310" t="s">
        <v>202</v>
      </c>
      <c r="RNX19" s="310" t="s">
        <v>202</v>
      </c>
      <c r="RNY19" s="310" t="s">
        <v>202</v>
      </c>
      <c r="RNZ19" s="310" t="s">
        <v>202</v>
      </c>
      <c r="ROA19" s="310" t="s">
        <v>202</v>
      </c>
      <c r="ROB19" s="310" t="s">
        <v>202</v>
      </c>
      <c r="ROC19" s="310" t="s">
        <v>202</v>
      </c>
      <c r="ROD19" s="310" t="s">
        <v>202</v>
      </c>
      <c r="ROE19" s="310" t="s">
        <v>202</v>
      </c>
      <c r="ROF19" s="310" t="s">
        <v>202</v>
      </c>
      <c r="ROG19" s="310" t="s">
        <v>202</v>
      </c>
      <c r="ROH19" s="310" t="s">
        <v>202</v>
      </c>
      <c r="ROI19" s="310" t="s">
        <v>202</v>
      </c>
      <c r="ROJ19" s="310" t="s">
        <v>202</v>
      </c>
      <c r="ROK19" s="310" t="s">
        <v>202</v>
      </c>
      <c r="ROL19" s="310" t="s">
        <v>202</v>
      </c>
      <c r="ROM19" s="310" t="s">
        <v>202</v>
      </c>
      <c r="RON19" s="310" t="s">
        <v>202</v>
      </c>
      <c r="ROO19" s="310" t="s">
        <v>202</v>
      </c>
      <c r="ROP19" s="310" t="s">
        <v>202</v>
      </c>
      <c r="ROQ19" s="310" t="s">
        <v>202</v>
      </c>
      <c r="ROR19" s="310" t="s">
        <v>202</v>
      </c>
      <c r="ROS19" s="310" t="s">
        <v>202</v>
      </c>
      <c r="ROT19" s="310" t="s">
        <v>202</v>
      </c>
      <c r="ROU19" s="310" t="s">
        <v>202</v>
      </c>
      <c r="ROV19" s="310" t="s">
        <v>202</v>
      </c>
      <c r="ROW19" s="310" t="s">
        <v>202</v>
      </c>
      <c r="ROX19" s="310" t="s">
        <v>202</v>
      </c>
      <c r="ROY19" s="310" t="s">
        <v>202</v>
      </c>
      <c r="ROZ19" s="310" t="s">
        <v>202</v>
      </c>
      <c r="RPA19" s="310" t="s">
        <v>202</v>
      </c>
      <c r="RPB19" s="310" t="s">
        <v>202</v>
      </c>
      <c r="RPC19" s="310" t="s">
        <v>202</v>
      </c>
      <c r="RPD19" s="310" t="s">
        <v>202</v>
      </c>
      <c r="RPE19" s="310" t="s">
        <v>202</v>
      </c>
      <c r="RPF19" s="310" t="s">
        <v>202</v>
      </c>
      <c r="RPG19" s="310" t="s">
        <v>202</v>
      </c>
      <c r="RPH19" s="310" t="s">
        <v>202</v>
      </c>
      <c r="RPI19" s="310" t="s">
        <v>202</v>
      </c>
      <c r="RPJ19" s="310" t="s">
        <v>202</v>
      </c>
      <c r="RPK19" s="310" t="s">
        <v>202</v>
      </c>
      <c r="RPL19" s="310" t="s">
        <v>202</v>
      </c>
      <c r="RPM19" s="310" t="s">
        <v>202</v>
      </c>
      <c r="RPN19" s="310" t="s">
        <v>202</v>
      </c>
      <c r="RPO19" s="310" t="s">
        <v>202</v>
      </c>
      <c r="RPP19" s="310" t="s">
        <v>202</v>
      </c>
      <c r="RPQ19" s="310" t="s">
        <v>202</v>
      </c>
      <c r="RPR19" s="310" t="s">
        <v>202</v>
      </c>
      <c r="RPS19" s="310" t="s">
        <v>202</v>
      </c>
      <c r="RPT19" s="310" t="s">
        <v>202</v>
      </c>
      <c r="RPU19" s="310" t="s">
        <v>202</v>
      </c>
      <c r="RPV19" s="310" t="s">
        <v>202</v>
      </c>
      <c r="RPW19" s="310" t="s">
        <v>202</v>
      </c>
      <c r="RPX19" s="310" t="s">
        <v>202</v>
      </c>
      <c r="RPY19" s="310" t="s">
        <v>202</v>
      </c>
      <c r="RPZ19" s="310" t="s">
        <v>202</v>
      </c>
      <c r="RQA19" s="310" t="s">
        <v>202</v>
      </c>
      <c r="RQB19" s="310" t="s">
        <v>202</v>
      </c>
      <c r="RQC19" s="310" t="s">
        <v>202</v>
      </c>
      <c r="RQD19" s="310" t="s">
        <v>202</v>
      </c>
      <c r="RQE19" s="310" t="s">
        <v>202</v>
      </c>
      <c r="RQF19" s="310" t="s">
        <v>202</v>
      </c>
      <c r="RQG19" s="310" t="s">
        <v>202</v>
      </c>
      <c r="RQH19" s="310" t="s">
        <v>202</v>
      </c>
      <c r="RQI19" s="310" t="s">
        <v>202</v>
      </c>
      <c r="RQJ19" s="310" t="s">
        <v>202</v>
      </c>
      <c r="RQK19" s="310" t="s">
        <v>202</v>
      </c>
      <c r="RQL19" s="310" t="s">
        <v>202</v>
      </c>
      <c r="RQM19" s="310" t="s">
        <v>202</v>
      </c>
      <c r="RQN19" s="310" t="s">
        <v>202</v>
      </c>
      <c r="RQO19" s="310" t="s">
        <v>202</v>
      </c>
      <c r="RQP19" s="310" t="s">
        <v>202</v>
      </c>
      <c r="RQQ19" s="310" t="s">
        <v>202</v>
      </c>
      <c r="RQR19" s="310" t="s">
        <v>202</v>
      </c>
      <c r="RQS19" s="310" t="s">
        <v>202</v>
      </c>
      <c r="RQT19" s="310" t="s">
        <v>202</v>
      </c>
      <c r="RQU19" s="310" t="s">
        <v>202</v>
      </c>
      <c r="RQV19" s="310" t="s">
        <v>202</v>
      </c>
      <c r="RQW19" s="310" t="s">
        <v>202</v>
      </c>
      <c r="RQX19" s="310" t="s">
        <v>202</v>
      </c>
      <c r="RQY19" s="310" t="s">
        <v>202</v>
      </c>
      <c r="RQZ19" s="310" t="s">
        <v>202</v>
      </c>
      <c r="RRA19" s="310" t="s">
        <v>202</v>
      </c>
      <c r="RRB19" s="310" t="s">
        <v>202</v>
      </c>
      <c r="RRC19" s="310" t="s">
        <v>202</v>
      </c>
      <c r="RRD19" s="310" t="s">
        <v>202</v>
      </c>
      <c r="RRE19" s="310" t="s">
        <v>202</v>
      </c>
      <c r="RRF19" s="310" t="s">
        <v>202</v>
      </c>
      <c r="RRG19" s="310" t="s">
        <v>202</v>
      </c>
      <c r="RRH19" s="310" t="s">
        <v>202</v>
      </c>
      <c r="RRI19" s="310" t="s">
        <v>202</v>
      </c>
      <c r="RRJ19" s="310" t="s">
        <v>202</v>
      </c>
      <c r="RRK19" s="310" t="s">
        <v>202</v>
      </c>
      <c r="RRL19" s="310" t="s">
        <v>202</v>
      </c>
      <c r="RRM19" s="310" t="s">
        <v>202</v>
      </c>
      <c r="RRN19" s="310" t="s">
        <v>202</v>
      </c>
      <c r="RRO19" s="310" t="s">
        <v>202</v>
      </c>
      <c r="RRP19" s="310" t="s">
        <v>202</v>
      </c>
      <c r="RRQ19" s="310" t="s">
        <v>202</v>
      </c>
      <c r="RRR19" s="310" t="s">
        <v>202</v>
      </c>
      <c r="RRS19" s="310" t="s">
        <v>202</v>
      </c>
      <c r="RRT19" s="310" t="s">
        <v>202</v>
      </c>
      <c r="RRU19" s="310" t="s">
        <v>202</v>
      </c>
      <c r="RRV19" s="310" t="s">
        <v>202</v>
      </c>
      <c r="RRW19" s="310" t="s">
        <v>202</v>
      </c>
      <c r="RRX19" s="310" t="s">
        <v>202</v>
      </c>
      <c r="RRY19" s="310" t="s">
        <v>202</v>
      </c>
      <c r="RRZ19" s="310" t="s">
        <v>202</v>
      </c>
      <c r="RSA19" s="310" t="s">
        <v>202</v>
      </c>
      <c r="RSB19" s="310" t="s">
        <v>202</v>
      </c>
      <c r="RSC19" s="310" t="s">
        <v>202</v>
      </c>
      <c r="RSD19" s="310" t="s">
        <v>202</v>
      </c>
      <c r="RSE19" s="310" t="s">
        <v>202</v>
      </c>
      <c r="RSF19" s="310" t="s">
        <v>202</v>
      </c>
      <c r="RSG19" s="310" t="s">
        <v>202</v>
      </c>
      <c r="RSH19" s="310" t="s">
        <v>202</v>
      </c>
      <c r="RSI19" s="310" t="s">
        <v>202</v>
      </c>
      <c r="RSJ19" s="310" t="s">
        <v>202</v>
      </c>
      <c r="RSK19" s="310" t="s">
        <v>202</v>
      </c>
      <c r="RSL19" s="310" t="s">
        <v>202</v>
      </c>
      <c r="RSM19" s="310" t="s">
        <v>202</v>
      </c>
      <c r="RSN19" s="310" t="s">
        <v>202</v>
      </c>
      <c r="RSO19" s="310" t="s">
        <v>202</v>
      </c>
      <c r="RSP19" s="310" t="s">
        <v>202</v>
      </c>
      <c r="RSQ19" s="310" t="s">
        <v>202</v>
      </c>
      <c r="RSR19" s="310" t="s">
        <v>202</v>
      </c>
      <c r="RSS19" s="310" t="s">
        <v>202</v>
      </c>
      <c r="RST19" s="310" t="s">
        <v>202</v>
      </c>
      <c r="RSU19" s="310" t="s">
        <v>202</v>
      </c>
      <c r="RSV19" s="310" t="s">
        <v>202</v>
      </c>
      <c r="RSW19" s="310" t="s">
        <v>202</v>
      </c>
      <c r="RSX19" s="310" t="s">
        <v>202</v>
      </c>
      <c r="RSY19" s="310" t="s">
        <v>202</v>
      </c>
      <c r="RSZ19" s="310" t="s">
        <v>202</v>
      </c>
      <c r="RTA19" s="310" t="s">
        <v>202</v>
      </c>
      <c r="RTB19" s="310" t="s">
        <v>202</v>
      </c>
      <c r="RTC19" s="310" t="s">
        <v>202</v>
      </c>
      <c r="RTD19" s="310" t="s">
        <v>202</v>
      </c>
      <c r="RTE19" s="310" t="s">
        <v>202</v>
      </c>
      <c r="RTF19" s="310" t="s">
        <v>202</v>
      </c>
      <c r="RTG19" s="310" t="s">
        <v>202</v>
      </c>
      <c r="RTH19" s="310" t="s">
        <v>202</v>
      </c>
      <c r="RTI19" s="310" t="s">
        <v>202</v>
      </c>
      <c r="RTJ19" s="310" t="s">
        <v>202</v>
      </c>
      <c r="RTK19" s="310" t="s">
        <v>202</v>
      </c>
      <c r="RTL19" s="310" t="s">
        <v>202</v>
      </c>
      <c r="RTM19" s="310" t="s">
        <v>202</v>
      </c>
      <c r="RTN19" s="310" t="s">
        <v>202</v>
      </c>
      <c r="RTO19" s="310" t="s">
        <v>202</v>
      </c>
      <c r="RTP19" s="310" t="s">
        <v>202</v>
      </c>
      <c r="RTQ19" s="310" t="s">
        <v>202</v>
      </c>
      <c r="RTR19" s="310" t="s">
        <v>202</v>
      </c>
      <c r="RTS19" s="310" t="s">
        <v>202</v>
      </c>
      <c r="RTT19" s="310" t="s">
        <v>202</v>
      </c>
      <c r="RTU19" s="310" t="s">
        <v>202</v>
      </c>
      <c r="RTV19" s="310" t="s">
        <v>202</v>
      </c>
      <c r="RTW19" s="310" t="s">
        <v>202</v>
      </c>
      <c r="RTX19" s="310" t="s">
        <v>202</v>
      </c>
      <c r="RTY19" s="310" t="s">
        <v>202</v>
      </c>
      <c r="RTZ19" s="310" t="s">
        <v>202</v>
      </c>
      <c r="RUA19" s="310" t="s">
        <v>202</v>
      </c>
      <c r="RUB19" s="310" t="s">
        <v>202</v>
      </c>
      <c r="RUC19" s="310" t="s">
        <v>202</v>
      </c>
      <c r="RUD19" s="310" t="s">
        <v>202</v>
      </c>
      <c r="RUE19" s="310" t="s">
        <v>202</v>
      </c>
      <c r="RUF19" s="310" t="s">
        <v>202</v>
      </c>
      <c r="RUG19" s="310" t="s">
        <v>202</v>
      </c>
      <c r="RUH19" s="310" t="s">
        <v>202</v>
      </c>
      <c r="RUI19" s="310" t="s">
        <v>202</v>
      </c>
      <c r="RUJ19" s="310" t="s">
        <v>202</v>
      </c>
      <c r="RUK19" s="310" t="s">
        <v>202</v>
      </c>
      <c r="RUL19" s="310" t="s">
        <v>202</v>
      </c>
      <c r="RUM19" s="310" t="s">
        <v>202</v>
      </c>
      <c r="RUN19" s="310" t="s">
        <v>202</v>
      </c>
      <c r="RUO19" s="310" t="s">
        <v>202</v>
      </c>
      <c r="RUP19" s="310" t="s">
        <v>202</v>
      </c>
      <c r="RUQ19" s="310" t="s">
        <v>202</v>
      </c>
      <c r="RUR19" s="310" t="s">
        <v>202</v>
      </c>
      <c r="RUS19" s="310" t="s">
        <v>202</v>
      </c>
      <c r="RUT19" s="310" t="s">
        <v>202</v>
      </c>
      <c r="RUU19" s="310" t="s">
        <v>202</v>
      </c>
      <c r="RUV19" s="310" t="s">
        <v>202</v>
      </c>
      <c r="RUW19" s="310" t="s">
        <v>202</v>
      </c>
      <c r="RUX19" s="310" t="s">
        <v>202</v>
      </c>
      <c r="RUY19" s="310" t="s">
        <v>202</v>
      </c>
      <c r="RUZ19" s="310" t="s">
        <v>202</v>
      </c>
      <c r="RVA19" s="310" t="s">
        <v>202</v>
      </c>
      <c r="RVB19" s="310" t="s">
        <v>202</v>
      </c>
      <c r="RVC19" s="310" t="s">
        <v>202</v>
      </c>
      <c r="RVD19" s="310" t="s">
        <v>202</v>
      </c>
      <c r="RVE19" s="310" t="s">
        <v>202</v>
      </c>
      <c r="RVF19" s="310" t="s">
        <v>202</v>
      </c>
      <c r="RVG19" s="310" t="s">
        <v>202</v>
      </c>
      <c r="RVH19" s="310" t="s">
        <v>202</v>
      </c>
      <c r="RVI19" s="310" t="s">
        <v>202</v>
      </c>
      <c r="RVJ19" s="310" t="s">
        <v>202</v>
      </c>
      <c r="RVK19" s="310" t="s">
        <v>202</v>
      </c>
      <c r="RVL19" s="310" t="s">
        <v>202</v>
      </c>
      <c r="RVM19" s="310" t="s">
        <v>202</v>
      </c>
      <c r="RVN19" s="310" t="s">
        <v>202</v>
      </c>
      <c r="RVO19" s="310" t="s">
        <v>202</v>
      </c>
      <c r="RVP19" s="310" t="s">
        <v>202</v>
      </c>
      <c r="RVQ19" s="310" t="s">
        <v>202</v>
      </c>
      <c r="RVR19" s="310" t="s">
        <v>202</v>
      </c>
      <c r="RVS19" s="310" t="s">
        <v>202</v>
      </c>
      <c r="RVT19" s="310" t="s">
        <v>202</v>
      </c>
      <c r="RVU19" s="310" t="s">
        <v>202</v>
      </c>
      <c r="RVV19" s="310" t="s">
        <v>202</v>
      </c>
      <c r="RVW19" s="310" t="s">
        <v>202</v>
      </c>
      <c r="RVX19" s="310" t="s">
        <v>202</v>
      </c>
      <c r="RVY19" s="310" t="s">
        <v>202</v>
      </c>
      <c r="RVZ19" s="310" t="s">
        <v>202</v>
      </c>
      <c r="RWA19" s="310" t="s">
        <v>202</v>
      </c>
      <c r="RWB19" s="310" t="s">
        <v>202</v>
      </c>
      <c r="RWC19" s="310" t="s">
        <v>202</v>
      </c>
      <c r="RWD19" s="310" t="s">
        <v>202</v>
      </c>
      <c r="RWE19" s="310" t="s">
        <v>202</v>
      </c>
      <c r="RWF19" s="310" t="s">
        <v>202</v>
      </c>
      <c r="RWG19" s="310" t="s">
        <v>202</v>
      </c>
      <c r="RWH19" s="310" t="s">
        <v>202</v>
      </c>
      <c r="RWI19" s="310" t="s">
        <v>202</v>
      </c>
      <c r="RWJ19" s="310" t="s">
        <v>202</v>
      </c>
      <c r="RWK19" s="310" t="s">
        <v>202</v>
      </c>
      <c r="RWL19" s="310" t="s">
        <v>202</v>
      </c>
      <c r="RWM19" s="310" t="s">
        <v>202</v>
      </c>
      <c r="RWN19" s="310" t="s">
        <v>202</v>
      </c>
      <c r="RWO19" s="310" t="s">
        <v>202</v>
      </c>
      <c r="RWP19" s="310" t="s">
        <v>202</v>
      </c>
      <c r="RWQ19" s="310" t="s">
        <v>202</v>
      </c>
      <c r="RWR19" s="310" t="s">
        <v>202</v>
      </c>
      <c r="RWS19" s="310" t="s">
        <v>202</v>
      </c>
      <c r="RWT19" s="310" t="s">
        <v>202</v>
      </c>
      <c r="RWU19" s="310" t="s">
        <v>202</v>
      </c>
      <c r="RWV19" s="310" t="s">
        <v>202</v>
      </c>
      <c r="RWW19" s="310" t="s">
        <v>202</v>
      </c>
      <c r="RWX19" s="310" t="s">
        <v>202</v>
      </c>
      <c r="RWY19" s="310" t="s">
        <v>202</v>
      </c>
      <c r="RWZ19" s="310" t="s">
        <v>202</v>
      </c>
      <c r="RXA19" s="310" t="s">
        <v>202</v>
      </c>
      <c r="RXB19" s="310" t="s">
        <v>202</v>
      </c>
      <c r="RXC19" s="310" t="s">
        <v>202</v>
      </c>
      <c r="RXD19" s="310" t="s">
        <v>202</v>
      </c>
      <c r="RXE19" s="310" t="s">
        <v>202</v>
      </c>
      <c r="RXF19" s="310" t="s">
        <v>202</v>
      </c>
      <c r="RXG19" s="310" t="s">
        <v>202</v>
      </c>
      <c r="RXH19" s="310" t="s">
        <v>202</v>
      </c>
      <c r="RXI19" s="310" t="s">
        <v>202</v>
      </c>
      <c r="RXJ19" s="310" t="s">
        <v>202</v>
      </c>
      <c r="RXK19" s="310" t="s">
        <v>202</v>
      </c>
      <c r="RXL19" s="310" t="s">
        <v>202</v>
      </c>
      <c r="RXM19" s="310" t="s">
        <v>202</v>
      </c>
      <c r="RXN19" s="310" t="s">
        <v>202</v>
      </c>
      <c r="RXO19" s="310" t="s">
        <v>202</v>
      </c>
      <c r="RXP19" s="310" t="s">
        <v>202</v>
      </c>
      <c r="RXQ19" s="310" t="s">
        <v>202</v>
      </c>
      <c r="RXR19" s="310" t="s">
        <v>202</v>
      </c>
      <c r="RXS19" s="310" t="s">
        <v>202</v>
      </c>
      <c r="RXT19" s="310" t="s">
        <v>202</v>
      </c>
      <c r="RXU19" s="310" t="s">
        <v>202</v>
      </c>
      <c r="RXV19" s="310" t="s">
        <v>202</v>
      </c>
      <c r="RXW19" s="310" t="s">
        <v>202</v>
      </c>
      <c r="RXX19" s="310" t="s">
        <v>202</v>
      </c>
      <c r="RXY19" s="310" t="s">
        <v>202</v>
      </c>
      <c r="RXZ19" s="310" t="s">
        <v>202</v>
      </c>
      <c r="RYA19" s="310" t="s">
        <v>202</v>
      </c>
      <c r="RYB19" s="310" t="s">
        <v>202</v>
      </c>
      <c r="RYC19" s="310" t="s">
        <v>202</v>
      </c>
      <c r="RYD19" s="310" t="s">
        <v>202</v>
      </c>
      <c r="RYE19" s="310" t="s">
        <v>202</v>
      </c>
      <c r="RYF19" s="310" t="s">
        <v>202</v>
      </c>
      <c r="RYG19" s="310" t="s">
        <v>202</v>
      </c>
      <c r="RYH19" s="310" t="s">
        <v>202</v>
      </c>
      <c r="RYI19" s="310" t="s">
        <v>202</v>
      </c>
      <c r="RYJ19" s="310" t="s">
        <v>202</v>
      </c>
      <c r="RYK19" s="310" t="s">
        <v>202</v>
      </c>
      <c r="RYL19" s="310" t="s">
        <v>202</v>
      </c>
      <c r="RYM19" s="310" t="s">
        <v>202</v>
      </c>
      <c r="RYN19" s="310" t="s">
        <v>202</v>
      </c>
      <c r="RYO19" s="310" t="s">
        <v>202</v>
      </c>
      <c r="RYP19" s="310" t="s">
        <v>202</v>
      </c>
      <c r="RYQ19" s="310" t="s">
        <v>202</v>
      </c>
      <c r="RYR19" s="310" t="s">
        <v>202</v>
      </c>
      <c r="RYS19" s="310" t="s">
        <v>202</v>
      </c>
      <c r="RYT19" s="310" t="s">
        <v>202</v>
      </c>
      <c r="RYU19" s="310" t="s">
        <v>202</v>
      </c>
      <c r="RYV19" s="310" t="s">
        <v>202</v>
      </c>
      <c r="RYW19" s="310" t="s">
        <v>202</v>
      </c>
      <c r="RYX19" s="310" t="s">
        <v>202</v>
      </c>
      <c r="RYY19" s="310" t="s">
        <v>202</v>
      </c>
      <c r="RYZ19" s="310" t="s">
        <v>202</v>
      </c>
      <c r="RZA19" s="310" t="s">
        <v>202</v>
      </c>
      <c r="RZB19" s="310" t="s">
        <v>202</v>
      </c>
      <c r="RZC19" s="310" t="s">
        <v>202</v>
      </c>
      <c r="RZD19" s="310" t="s">
        <v>202</v>
      </c>
      <c r="RZE19" s="310" t="s">
        <v>202</v>
      </c>
      <c r="RZF19" s="310" t="s">
        <v>202</v>
      </c>
      <c r="RZG19" s="310" t="s">
        <v>202</v>
      </c>
      <c r="RZH19" s="310" t="s">
        <v>202</v>
      </c>
      <c r="RZI19" s="310" t="s">
        <v>202</v>
      </c>
      <c r="RZJ19" s="310" t="s">
        <v>202</v>
      </c>
      <c r="RZK19" s="310" t="s">
        <v>202</v>
      </c>
      <c r="RZL19" s="310" t="s">
        <v>202</v>
      </c>
      <c r="RZM19" s="310" t="s">
        <v>202</v>
      </c>
      <c r="RZN19" s="310" t="s">
        <v>202</v>
      </c>
      <c r="RZO19" s="310" t="s">
        <v>202</v>
      </c>
      <c r="RZP19" s="310" t="s">
        <v>202</v>
      </c>
      <c r="RZQ19" s="310" t="s">
        <v>202</v>
      </c>
      <c r="RZR19" s="310" t="s">
        <v>202</v>
      </c>
      <c r="RZS19" s="310" t="s">
        <v>202</v>
      </c>
      <c r="RZT19" s="310" t="s">
        <v>202</v>
      </c>
      <c r="RZU19" s="310" t="s">
        <v>202</v>
      </c>
      <c r="RZV19" s="310" t="s">
        <v>202</v>
      </c>
      <c r="RZW19" s="310" t="s">
        <v>202</v>
      </c>
      <c r="RZX19" s="310" t="s">
        <v>202</v>
      </c>
      <c r="RZY19" s="310" t="s">
        <v>202</v>
      </c>
      <c r="RZZ19" s="310" t="s">
        <v>202</v>
      </c>
      <c r="SAA19" s="310" t="s">
        <v>202</v>
      </c>
      <c r="SAB19" s="310" t="s">
        <v>202</v>
      </c>
      <c r="SAC19" s="310" t="s">
        <v>202</v>
      </c>
      <c r="SAD19" s="310" t="s">
        <v>202</v>
      </c>
      <c r="SAE19" s="310" t="s">
        <v>202</v>
      </c>
      <c r="SAF19" s="310" t="s">
        <v>202</v>
      </c>
      <c r="SAG19" s="310" t="s">
        <v>202</v>
      </c>
      <c r="SAH19" s="310" t="s">
        <v>202</v>
      </c>
      <c r="SAI19" s="310" t="s">
        <v>202</v>
      </c>
      <c r="SAJ19" s="310" t="s">
        <v>202</v>
      </c>
      <c r="SAK19" s="310" t="s">
        <v>202</v>
      </c>
      <c r="SAL19" s="310" t="s">
        <v>202</v>
      </c>
      <c r="SAM19" s="310" t="s">
        <v>202</v>
      </c>
      <c r="SAN19" s="310" t="s">
        <v>202</v>
      </c>
      <c r="SAO19" s="310" t="s">
        <v>202</v>
      </c>
      <c r="SAP19" s="310" t="s">
        <v>202</v>
      </c>
      <c r="SAQ19" s="310" t="s">
        <v>202</v>
      </c>
      <c r="SAR19" s="310" t="s">
        <v>202</v>
      </c>
      <c r="SAS19" s="310" t="s">
        <v>202</v>
      </c>
      <c r="SAT19" s="310" t="s">
        <v>202</v>
      </c>
      <c r="SAU19" s="310" t="s">
        <v>202</v>
      </c>
      <c r="SAV19" s="310" t="s">
        <v>202</v>
      </c>
      <c r="SAW19" s="310" t="s">
        <v>202</v>
      </c>
      <c r="SAX19" s="310" t="s">
        <v>202</v>
      </c>
      <c r="SAY19" s="310" t="s">
        <v>202</v>
      </c>
      <c r="SAZ19" s="310" t="s">
        <v>202</v>
      </c>
      <c r="SBA19" s="310" t="s">
        <v>202</v>
      </c>
      <c r="SBB19" s="310" t="s">
        <v>202</v>
      </c>
      <c r="SBC19" s="310" t="s">
        <v>202</v>
      </c>
      <c r="SBD19" s="310" t="s">
        <v>202</v>
      </c>
      <c r="SBE19" s="310" t="s">
        <v>202</v>
      </c>
      <c r="SBF19" s="310" t="s">
        <v>202</v>
      </c>
      <c r="SBG19" s="310" t="s">
        <v>202</v>
      </c>
      <c r="SBH19" s="310" t="s">
        <v>202</v>
      </c>
      <c r="SBI19" s="310" t="s">
        <v>202</v>
      </c>
      <c r="SBJ19" s="310" t="s">
        <v>202</v>
      </c>
      <c r="SBK19" s="310" t="s">
        <v>202</v>
      </c>
      <c r="SBL19" s="310" t="s">
        <v>202</v>
      </c>
      <c r="SBM19" s="310" t="s">
        <v>202</v>
      </c>
      <c r="SBN19" s="310" t="s">
        <v>202</v>
      </c>
      <c r="SBO19" s="310" t="s">
        <v>202</v>
      </c>
      <c r="SBP19" s="310" t="s">
        <v>202</v>
      </c>
      <c r="SBQ19" s="310" t="s">
        <v>202</v>
      </c>
      <c r="SBR19" s="310" t="s">
        <v>202</v>
      </c>
      <c r="SBS19" s="310" t="s">
        <v>202</v>
      </c>
      <c r="SBT19" s="310" t="s">
        <v>202</v>
      </c>
      <c r="SBU19" s="310" t="s">
        <v>202</v>
      </c>
      <c r="SBV19" s="310" t="s">
        <v>202</v>
      </c>
      <c r="SBW19" s="310" t="s">
        <v>202</v>
      </c>
      <c r="SBX19" s="310" t="s">
        <v>202</v>
      </c>
      <c r="SBY19" s="310" t="s">
        <v>202</v>
      </c>
      <c r="SBZ19" s="310" t="s">
        <v>202</v>
      </c>
      <c r="SCA19" s="310" t="s">
        <v>202</v>
      </c>
      <c r="SCB19" s="310" t="s">
        <v>202</v>
      </c>
      <c r="SCC19" s="310" t="s">
        <v>202</v>
      </c>
      <c r="SCD19" s="310" t="s">
        <v>202</v>
      </c>
      <c r="SCE19" s="310" t="s">
        <v>202</v>
      </c>
      <c r="SCF19" s="310" t="s">
        <v>202</v>
      </c>
      <c r="SCG19" s="310" t="s">
        <v>202</v>
      </c>
      <c r="SCH19" s="310" t="s">
        <v>202</v>
      </c>
      <c r="SCI19" s="310" t="s">
        <v>202</v>
      </c>
      <c r="SCJ19" s="310" t="s">
        <v>202</v>
      </c>
      <c r="SCK19" s="310" t="s">
        <v>202</v>
      </c>
      <c r="SCL19" s="310" t="s">
        <v>202</v>
      </c>
      <c r="SCM19" s="310" t="s">
        <v>202</v>
      </c>
      <c r="SCN19" s="310" t="s">
        <v>202</v>
      </c>
      <c r="SCO19" s="310" t="s">
        <v>202</v>
      </c>
      <c r="SCP19" s="310" t="s">
        <v>202</v>
      </c>
      <c r="SCQ19" s="310" t="s">
        <v>202</v>
      </c>
      <c r="SCR19" s="310" t="s">
        <v>202</v>
      </c>
      <c r="SCS19" s="310" t="s">
        <v>202</v>
      </c>
      <c r="SCT19" s="310" t="s">
        <v>202</v>
      </c>
      <c r="SCU19" s="310" t="s">
        <v>202</v>
      </c>
      <c r="SCV19" s="310" t="s">
        <v>202</v>
      </c>
      <c r="SCW19" s="310" t="s">
        <v>202</v>
      </c>
      <c r="SCX19" s="310" t="s">
        <v>202</v>
      </c>
      <c r="SCY19" s="310" t="s">
        <v>202</v>
      </c>
      <c r="SCZ19" s="310" t="s">
        <v>202</v>
      </c>
      <c r="SDA19" s="310" t="s">
        <v>202</v>
      </c>
      <c r="SDB19" s="310" t="s">
        <v>202</v>
      </c>
      <c r="SDC19" s="310" t="s">
        <v>202</v>
      </c>
      <c r="SDD19" s="310" t="s">
        <v>202</v>
      </c>
      <c r="SDE19" s="310" t="s">
        <v>202</v>
      </c>
      <c r="SDF19" s="310" t="s">
        <v>202</v>
      </c>
      <c r="SDG19" s="310" t="s">
        <v>202</v>
      </c>
      <c r="SDH19" s="310" t="s">
        <v>202</v>
      </c>
      <c r="SDI19" s="310" t="s">
        <v>202</v>
      </c>
      <c r="SDJ19" s="310" t="s">
        <v>202</v>
      </c>
      <c r="SDK19" s="310" t="s">
        <v>202</v>
      </c>
      <c r="SDL19" s="310" t="s">
        <v>202</v>
      </c>
      <c r="SDM19" s="310" t="s">
        <v>202</v>
      </c>
      <c r="SDN19" s="310" t="s">
        <v>202</v>
      </c>
      <c r="SDO19" s="310" t="s">
        <v>202</v>
      </c>
      <c r="SDP19" s="310" t="s">
        <v>202</v>
      </c>
      <c r="SDQ19" s="310" t="s">
        <v>202</v>
      </c>
      <c r="SDR19" s="310" t="s">
        <v>202</v>
      </c>
      <c r="SDS19" s="310" t="s">
        <v>202</v>
      </c>
      <c r="SDT19" s="310" t="s">
        <v>202</v>
      </c>
      <c r="SDU19" s="310" t="s">
        <v>202</v>
      </c>
      <c r="SDV19" s="310" t="s">
        <v>202</v>
      </c>
      <c r="SDW19" s="310" t="s">
        <v>202</v>
      </c>
      <c r="SDX19" s="310" t="s">
        <v>202</v>
      </c>
      <c r="SDY19" s="310" t="s">
        <v>202</v>
      </c>
      <c r="SDZ19" s="310" t="s">
        <v>202</v>
      </c>
      <c r="SEA19" s="310" t="s">
        <v>202</v>
      </c>
      <c r="SEB19" s="310" t="s">
        <v>202</v>
      </c>
      <c r="SEC19" s="310" t="s">
        <v>202</v>
      </c>
      <c r="SED19" s="310" t="s">
        <v>202</v>
      </c>
      <c r="SEE19" s="310" t="s">
        <v>202</v>
      </c>
      <c r="SEF19" s="310" t="s">
        <v>202</v>
      </c>
      <c r="SEG19" s="310" t="s">
        <v>202</v>
      </c>
      <c r="SEH19" s="310" t="s">
        <v>202</v>
      </c>
      <c r="SEI19" s="310" t="s">
        <v>202</v>
      </c>
      <c r="SEJ19" s="310" t="s">
        <v>202</v>
      </c>
      <c r="SEK19" s="310" t="s">
        <v>202</v>
      </c>
      <c r="SEL19" s="310" t="s">
        <v>202</v>
      </c>
      <c r="SEM19" s="310" t="s">
        <v>202</v>
      </c>
      <c r="SEN19" s="310" t="s">
        <v>202</v>
      </c>
      <c r="SEO19" s="310" t="s">
        <v>202</v>
      </c>
      <c r="SEP19" s="310" t="s">
        <v>202</v>
      </c>
      <c r="SEQ19" s="310" t="s">
        <v>202</v>
      </c>
      <c r="SER19" s="310" t="s">
        <v>202</v>
      </c>
      <c r="SES19" s="310" t="s">
        <v>202</v>
      </c>
      <c r="SET19" s="310" t="s">
        <v>202</v>
      </c>
      <c r="SEU19" s="310" t="s">
        <v>202</v>
      </c>
      <c r="SEV19" s="310" t="s">
        <v>202</v>
      </c>
      <c r="SEW19" s="310" t="s">
        <v>202</v>
      </c>
      <c r="SEX19" s="310" t="s">
        <v>202</v>
      </c>
      <c r="SEY19" s="310" t="s">
        <v>202</v>
      </c>
      <c r="SEZ19" s="310" t="s">
        <v>202</v>
      </c>
      <c r="SFA19" s="310" t="s">
        <v>202</v>
      </c>
      <c r="SFB19" s="310" t="s">
        <v>202</v>
      </c>
      <c r="SFC19" s="310" t="s">
        <v>202</v>
      </c>
      <c r="SFD19" s="310" t="s">
        <v>202</v>
      </c>
      <c r="SFE19" s="310" t="s">
        <v>202</v>
      </c>
      <c r="SFF19" s="310" t="s">
        <v>202</v>
      </c>
      <c r="SFG19" s="310" t="s">
        <v>202</v>
      </c>
      <c r="SFH19" s="310" t="s">
        <v>202</v>
      </c>
      <c r="SFI19" s="310" t="s">
        <v>202</v>
      </c>
      <c r="SFJ19" s="310" t="s">
        <v>202</v>
      </c>
      <c r="SFK19" s="310" t="s">
        <v>202</v>
      </c>
      <c r="SFL19" s="310" t="s">
        <v>202</v>
      </c>
      <c r="SFM19" s="310" t="s">
        <v>202</v>
      </c>
      <c r="SFN19" s="310" t="s">
        <v>202</v>
      </c>
      <c r="SFO19" s="310" t="s">
        <v>202</v>
      </c>
      <c r="SFP19" s="310" t="s">
        <v>202</v>
      </c>
      <c r="SFQ19" s="310" t="s">
        <v>202</v>
      </c>
      <c r="SFR19" s="310" t="s">
        <v>202</v>
      </c>
      <c r="SFS19" s="310" t="s">
        <v>202</v>
      </c>
      <c r="SFT19" s="310" t="s">
        <v>202</v>
      </c>
      <c r="SFU19" s="310" t="s">
        <v>202</v>
      </c>
      <c r="SFV19" s="310" t="s">
        <v>202</v>
      </c>
      <c r="SFW19" s="310" t="s">
        <v>202</v>
      </c>
      <c r="SFX19" s="310" t="s">
        <v>202</v>
      </c>
      <c r="SFY19" s="310" t="s">
        <v>202</v>
      </c>
      <c r="SFZ19" s="310" t="s">
        <v>202</v>
      </c>
      <c r="SGA19" s="310" t="s">
        <v>202</v>
      </c>
      <c r="SGB19" s="310" t="s">
        <v>202</v>
      </c>
      <c r="SGC19" s="310" t="s">
        <v>202</v>
      </c>
      <c r="SGD19" s="310" t="s">
        <v>202</v>
      </c>
      <c r="SGE19" s="310" t="s">
        <v>202</v>
      </c>
      <c r="SGF19" s="310" t="s">
        <v>202</v>
      </c>
      <c r="SGG19" s="310" t="s">
        <v>202</v>
      </c>
      <c r="SGH19" s="310" t="s">
        <v>202</v>
      </c>
      <c r="SGI19" s="310" t="s">
        <v>202</v>
      </c>
      <c r="SGJ19" s="310" t="s">
        <v>202</v>
      </c>
      <c r="SGK19" s="310" t="s">
        <v>202</v>
      </c>
      <c r="SGL19" s="310" t="s">
        <v>202</v>
      </c>
      <c r="SGM19" s="310" t="s">
        <v>202</v>
      </c>
      <c r="SGN19" s="310" t="s">
        <v>202</v>
      </c>
      <c r="SGO19" s="310" t="s">
        <v>202</v>
      </c>
      <c r="SGP19" s="310" t="s">
        <v>202</v>
      </c>
      <c r="SGQ19" s="310" t="s">
        <v>202</v>
      </c>
      <c r="SGR19" s="310" t="s">
        <v>202</v>
      </c>
      <c r="SGS19" s="310" t="s">
        <v>202</v>
      </c>
      <c r="SGT19" s="310" t="s">
        <v>202</v>
      </c>
      <c r="SGU19" s="310" t="s">
        <v>202</v>
      </c>
      <c r="SGV19" s="310" t="s">
        <v>202</v>
      </c>
      <c r="SGW19" s="310" t="s">
        <v>202</v>
      </c>
      <c r="SGX19" s="310" t="s">
        <v>202</v>
      </c>
      <c r="SGY19" s="310" t="s">
        <v>202</v>
      </c>
      <c r="SGZ19" s="310" t="s">
        <v>202</v>
      </c>
      <c r="SHA19" s="310" t="s">
        <v>202</v>
      </c>
      <c r="SHB19" s="310" t="s">
        <v>202</v>
      </c>
      <c r="SHC19" s="310" t="s">
        <v>202</v>
      </c>
      <c r="SHD19" s="310" t="s">
        <v>202</v>
      </c>
      <c r="SHE19" s="310" t="s">
        <v>202</v>
      </c>
      <c r="SHF19" s="310" t="s">
        <v>202</v>
      </c>
      <c r="SHG19" s="310" t="s">
        <v>202</v>
      </c>
      <c r="SHH19" s="310" t="s">
        <v>202</v>
      </c>
      <c r="SHI19" s="310" t="s">
        <v>202</v>
      </c>
      <c r="SHJ19" s="310" t="s">
        <v>202</v>
      </c>
      <c r="SHK19" s="310" t="s">
        <v>202</v>
      </c>
      <c r="SHL19" s="310" t="s">
        <v>202</v>
      </c>
      <c r="SHM19" s="310" t="s">
        <v>202</v>
      </c>
      <c r="SHN19" s="310" t="s">
        <v>202</v>
      </c>
      <c r="SHO19" s="310" t="s">
        <v>202</v>
      </c>
      <c r="SHP19" s="310" t="s">
        <v>202</v>
      </c>
      <c r="SHQ19" s="310" t="s">
        <v>202</v>
      </c>
      <c r="SHR19" s="310" t="s">
        <v>202</v>
      </c>
      <c r="SHS19" s="310" t="s">
        <v>202</v>
      </c>
      <c r="SHT19" s="310" t="s">
        <v>202</v>
      </c>
      <c r="SHU19" s="310" t="s">
        <v>202</v>
      </c>
      <c r="SHV19" s="310" t="s">
        <v>202</v>
      </c>
      <c r="SHW19" s="310" t="s">
        <v>202</v>
      </c>
      <c r="SHX19" s="310" t="s">
        <v>202</v>
      </c>
      <c r="SHY19" s="310" t="s">
        <v>202</v>
      </c>
      <c r="SHZ19" s="310" t="s">
        <v>202</v>
      </c>
      <c r="SIA19" s="310" t="s">
        <v>202</v>
      </c>
      <c r="SIB19" s="310" t="s">
        <v>202</v>
      </c>
      <c r="SIC19" s="310" t="s">
        <v>202</v>
      </c>
      <c r="SID19" s="310" t="s">
        <v>202</v>
      </c>
      <c r="SIE19" s="310" t="s">
        <v>202</v>
      </c>
      <c r="SIF19" s="310" t="s">
        <v>202</v>
      </c>
      <c r="SIG19" s="310" t="s">
        <v>202</v>
      </c>
      <c r="SIH19" s="310" t="s">
        <v>202</v>
      </c>
      <c r="SII19" s="310" t="s">
        <v>202</v>
      </c>
      <c r="SIJ19" s="310" t="s">
        <v>202</v>
      </c>
      <c r="SIK19" s="310" t="s">
        <v>202</v>
      </c>
      <c r="SIL19" s="310" t="s">
        <v>202</v>
      </c>
      <c r="SIM19" s="310" t="s">
        <v>202</v>
      </c>
      <c r="SIN19" s="310" t="s">
        <v>202</v>
      </c>
      <c r="SIO19" s="310" t="s">
        <v>202</v>
      </c>
      <c r="SIP19" s="310" t="s">
        <v>202</v>
      </c>
      <c r="SIQ19" s="310" t="s">
        <v>202</v>
      </c>
      <c r="SIR19" s="310" t="s">
        <v>202</v>
      </c>
      <c r="SIS19" s="310" t="s">
        <v>202</v>
      </c>
      <c r="SIT19" s="310" t="s">
        <v>202</v>
      </c>
      <c r="SIU19" s="310" t="s">
        <v>202</v>
      </c>
      <c r="SIV19" s="310" t="s">
        <v>202</v>
      </c>
      <c r="SIW19" s="310" t="s">
        <v>202</v>
      </c>
      <c r="SIX19" s="310" t="s">
        <v>202</v>
      </c>
      <c r="SIY19" s="310" t="s">
        <v>202</v>
      </c>
      <c r="SIZ19" s="310" t="s">
        <v>202</v>
      </c>
      <c r="SJA19" s="310" t="s">
        <v>202</v>
      </c>
      <c r="SJB19" s="310" t="s">
        <v>202</v>
      </c>
      <c r="SJC19" s="310" t="s">
        <v>202</v>
      </c>
      <c r="SJD19" s="310" t="s">
        <v>202</v>
      </c>
      <c r="SJE19" s="310" t="s">
        <v>202</v>
      </c>
      <c r="SJF19" s="310" t="s">
        <v>202</v>
      </c>
      <c r="SJG19" s="310" t="s">
        <v>202</v>
      </c>
      <c r="SJH19" s="310" t="s">
        <v>202</v>
      </c>
      <c r="SJI19" s="310" t="s">
        <v>202</v>
      </c>
      <c r="SJJ19" s="310" t="s">
        <v>202</v>
      </c>
      <c r="SJK19" s="310" t="s">
        <v>202</v>
      </c>
      <c r="SJL19" s="310" t="s">
        <v>202</v>
      </c>
      <c r="SJM19" s="310" t="s">
        <v>202</v>
      </c>
      <c r="SJN19" s="310" t="s">
        <v>202</v>
      </c>
      <c r="SJO19" s="310" t="s">
        <v>202</v>
      </c>
      <c r="SJP19" s="310" t="s">
        <v>202</v>
      </c>
      <c r="SJQ19" s="310" t="s">
        <v>202</v>
      </c>
      <c r="SJR19" s="310" t="s">
        <v>202</v>
      </c>
      <c r="SJS19" s="310" t="s">
        <v>202</v>
      </c>
      <c r="SJT19" s="310" t="s">
        <v>202</v>
      </c>
      <c r="SJU19" s="310" t="s">
        <v>202</v>
      </c>
      <c r="SJV19" s="310" t="s">
        <v>202</v>
      </c>
      <c r="SJW19" s="310" t="s">
        <v>202</v>
      </c>
      <c r="SJX19" s="310" t="s">
        <v>202</v>
      </c>
      <c r="SJY19" s="310" t="s">
        <v>202</v>
      </c>
      <c r="SJZ19" s="310" t="s">
        <v>202</v>
      </c>
      <c r="SKA19" s="310" t="s">
        <v>202</v>
      </c>
      <c r="SKB19" s="310" t="s">
        <v>202</v>
      </c>
      <c r="SKC19" s="310" t="s">
        <v>202</v>
      </c>
      <c r="SKD19" s="310" t="s">
        <v>202</v>
      </c>
      <c r="SKE19" s="310" t="s">
        <v>202</v>
      </c>
      <c r="SKF19" s="310" t="s">
        <v>202</v>
      </c>
      <c r="SKG19" s="310" t="s">
        <v>202</v>
      </c>
      <c r="SKH19" s="310" t="s">
        <v>202</v>
      </c>
      <c r="SKI19" s="310" t="s">
        <v>202</v>
      </c>
      <c r="SKJ19" s="310" t="s">
        <v>202</v>
      </c>
      <c r="SKK19" s="310" t="s">
        <v>202</v>
      </c>
      <c r="SKL19" s="310" t="s">
        <v>202</v>
      </c>
      <c r="SKM19" s="310" t="s">
        <v>202</v>
      </c>
      <c r="SKN19" s="310" t="s">
        <v>202</v>
      </c>
      <c r="SKO19" s="310" t="s">
        <v>202</v>
      </c>
      <c r="SKP19" s="310" t="s">
        <v>202</v>
      </c>
      <c r="SKQ19" s="310" t="s">
        <v>202</v>
      </c>
      <c r="SKR19" s="310" t="s">
        <v>202</v>
      </c>
      <c r="SKS19" s="310" t="s">
        <v>202</v>
      </c>
      <c r="SKT19" s="310" t="s">
        <v>202</v>
      </c>
      <c r="SKU19" s="310" t="s">
        <v>202</v>
      </c>
      <c r="SKV19" s="310" t="s">
        <v>202</v>
      </c>
      <c r="SKW19" s="310" t="s">
        <v>202</v>
      </c>
      <c r="SKX19" s="310" t="s">
        <v>202</v>
      </c>
      <c r="SKY19" s="310" t="s">
        <v>202</v>
      </c>
      <c r="SKZ19" s="310" t="s">
        <v>202</v>
      </c>
      <c r="SLA19" s="310" t="s">
        <v>202</v>
      </c>
      <c r="SLB19" s="310" t="s">
        <v>202</v>
      </c>
      <c r="SLC19" s="310" t="s">
        <v>202</v>
      </c>
      <c r="SLD19" s="310" t="s">
        <v>202</v>
      </c>
      <c r="SLE19" s="310" t="s">
        <v>202</v>
      </c>
      <c r="SLF19" s="310" t="s">
        <v>202</v>
      </c>
      <c r="SLG19" s="310" t="s">
        <v>202</v>
      </c>
      <c r="SLH19" s="310" t="s">
        <v>202</v>
      </c>
      <c r="SLI19" s="310" t="s">
        <v>202</v>
      </c>
      <c r="SLJ19" s="310" t="s">
        <v>202</v>
      </c>
      <c r="SLK19" s="310" t="s">
        <v>202</v>
      </c>
      <c r="SLL19" s="310" t="s">
        <v>202</v>
      </c>
      <c r="SLM19" s="310" t="s">
        <v>202</v>
      </c>
      <c r="SLN19" s="310" t="s">
        <v>202</v>
      </c>
      <c r="SLO19" s="310" t="s">
        <v>202</v>
      </c>
      <c r="SLP19" s="310" t="s">
        <v>202</v>
      </c>
      <c r="SLQ19" s="310" t="s">
        <v>202</v>
      </c>
      <c r="SLR19" s="310" t="s">
        <v>202</v>
      </c>
      <c r="SLS19" s="310" t="s">
        <v>202</v>
      </c>
      <c r="SLT19" s="310" t="s">
        <v>202</v>
      </c>
      <c r="SLU19" s="310" t="s">
        <v>202</v>
      </c>
      <c r="SLV19" s="310" t="s">
        <v>202</v>
      </c>
      <c r="SLW19" s="310" t="s">
        <v>202</v>
      </c>
      <c r="SLX19" s="310" t="s">
        <v>202</v>
      </c>
      <c r="SLY19" s="310" t="s">
        <v>202</v>
      </c>
      <c r="SLZ19" s="310" t="s">
        <v>202</v>
      </c>
      <c r="SMA19" s="310" t="s">
        <v>202</v>
      </c>
      <c r="SMB19" s="310" t="s">
        <v>202</v>
      </c>
      <c r="SMC19" s="310" t="s">
        <v>202</v>
      </c>
      <c r="SMD19" s="310" t="s">
        <v>202</v>
      </c>
      <c r="SME19" s="310" t="s">
        <v>202</v>
      </c>
      <c r="SMF19" s="310" t="s">
        <v>202</v>
      </c>
      <c r="SMG19" s="310" t="s">
        <v>202</v>
      </c>
      <c r="SMH19" s="310" t="s">
        <v>202</v>
      </c>
      <c r="SMI19" s="310" t="s">
        <v>202</v>
      </c>
      <c r="SMJ19" s="310" t="s">
        <v>202</v>
      </c>
      <c r="SMK19" s="310" t="s">
        <v>202</v>
      </c>
      <c r="SML19" s="310" t="s">
        <v>202</v>
      </c>
      <c r="SMM19" s="310" t="s">
        <v>202</v>
      </c>
      <c r="SMN19" s="310" t="s">
        <v>202</v>
      </c>
      <c r="SMO19" s="310" t="s">
        <v>202</v>
      </c>
      <c r="SMP19" s="310" t="s">
        <v>202</v>
      </c>
      <c r="SMQ19" s="310" t="s">
        <v>202</v>
      </c>
      <c r="SMR19" s="310" t="s">
        <v>202</v>
      </c>
      <c r="SMS19" s="310" t="s">
        <v>202</v>
      </c>
      <c r="SMT19" s="310" t="s">
        <v>202</v>
      </c>
      <c r="SMU19" s="310" t="s">
        <v>202</v>
      </c>
      <c r="SMV19" s="310" t="s">
        <v>202</v>
      </c>
      <c r="SMW19" s="310" t="s">
        <v>202</v>
      </c>
      <c r="SMX19" s="310" t="s">
        <v>202</v>
      </c>
      <c r="SMY19" s="310" t="s">
        <v>202</v>
      </c>
      <c r="SMZ19" s="310" t="s">
        <v>202</v>
      </c>
      <c r="SNA19" s="310" t="s">
        <v>202</v>
      </c>
      <c r="SNB19" s="310" t="s">
        <v>202</v>
      </c>
      <c r="SNC19" s="310" t="s">
        <v>202</v>
      </c>
      <c r="SND19" s="310" t="s">
        <v>202</v>
      </c>
      <c r="SNE19" s="310" t="s">
        <v>202</v>
      </c>
      <c r="SNF19" s="310" t="s">
        <v>202</v>
      </c>
      <c r="SNG19" s="310" t="s">
        <v>202</v>
      </c>
      <c r="SNH19" s="310" t="s">
        <v>202</v>
      </c>
      <c r="SNI19" s="310" t="s">
        <v>202</v>
      </c>
      <c r="SNJ19" s="310" t="s">
        <v>202</v>
      </c>
      <c r="SNK19" s="310" t="s">
        <v>202</v>
      </c>
      <c r="SNL19" s="310" t="s">
        <v>202</v>
      </c>
      <c r="SNM19" s="310" t="s">
        <v>202</v>
      </c>
      <c r="SNN19" s="310" t="s">
        <v>202</v>
      </c>
      <c r="SNO19" s="310" t="s">
        <v>202</v>
      </c>
      <c r="SNP19" s="310" t="s">
        <v>202</v>
      </c>
      <c r="SNQ19" s="310" t="s">
        <v>202</v>
      </c>
      <c r="SNR19" s="310" t="s">
        <v>202</v>
      </c>
      <c r="SNS19" s="310" t="s">
        <v>202</v>
      </c>
      <c r="SNT19" s="310" t="s">
        <v>202</v>
      </c>
      <c r="SNU19" s="310" t="s">
        <v>202</v>
      </c>
      <c r="SNV19" s="310" t="s">
        <v>202</v>
      </c>
      <c r="SNW19" s="310" t="s">
        <v>202</v>
      </c>
      <c r="SNX19" s="310" t="s">
        <v>202</v>
      </c>
      <c r="SNY19" s="310" t="s">
        <v>202</v>
      </c>
      <c r="SNZ19" s="310" t="s">
        <v>202</v>
      </c>
      <c r="SOA19" s="310" t="s">
        <v>202</v>
      </c>
      <c r="SOB19" s="310" t="s">
        <v>202</v>
      </c>
      <c r="SOC19" s="310" t="s">
        <v>202</v>
      </c>
      <c r="SOD19" s="310" t="s">
        <v>202</v>
      </c>
      <c r="SOE19" s="310" t="s">
        <v>202</v>
      </c>
      <c r="SOF19" s="310" t="s">
        <v>202</v>
      </c>
      <c r="SOG19" s="310" t="s">
        <v>202</v>
      </c>
      <c r="SOH19" s="310" t="s">
        <v>202</v>
      </c>
      <c r="SOI19" s="310" t="s">
        <v>202</v>
      </c>
      <c r="SOJ19" s="310" t="s">
        <v>202</v>
      </c>
      <c r="SOK19" s="310" t="s">
        <v>202</v>
      </c>
      <c r="SOL19" s="310" t="s">
        <v>202</v>
      </c>
      <c r="SOM19" s="310" t="s">
        <v>202</v>
      </c>
      <c r="SON19" s="310" t="s">
        <v>202</v>
      </c>
      <c r="SOO19" s="310" t="s">
        <v>202</v>
      </c>
      <c r="SOP19" s="310" t="s">
        <v>202</v>
      </c>
      <c r="SOQ19" s="310" t="s">
        <v>202</v>
      </c>
      <c r="SOR19" s="310" t="s">
        <v>202</v>
      </c>
      <c r="SOS19" s="310" t="s">
        <v>202</v>
      </c>
      <c r="SOT19" s="310" t="s">
        <v>202</v>
      </c>
      <c r="SOU19" s="310" t="s">
        <v>202</v>
      </c>
      <c r="SOV19" s="310" t="s">
        <v>202</v>
      </c>
      <c r="SOW19" s="310" t="s">
        <v>202</v>
      </c>
      <c r="SOX19" s="310" t="s">
        <v>202</v>
      </c>
      <c r="SOY19" s="310" t="s">
        <v>202</v>
      </c>
      <c r="SOZ19" s="310" t="s">
        <v>202</v>
      </c>
      <c r="SPA19" s="310" t="s">
        <v>202</v>
      </c>
      <c r="SPB19" s="310" t="s">
        <v>202</v>
      </c>
      <c r="SPC19" s="310" t="s">
        <v>202</v>
      </c>
      <c r="SPD19" s="310" t="s">
        <v>202</v>
      </c>
      <c r="SPE19" s="310" t="s">
        <v>202</v>
      </c>
      <c r="SPF19" s="310" t="s">
        <v>202</v>
      </c>
      <c r="SPG19" s="310" t="s">
        <v>202</v>
      </c>
      <c r="SPH19" s="310" t="s">
        <v>202</v>
      </c>
      <c r="SPI19" s="310" t="s">
        <v>202</v>
      </c>
      <c r="SPJ19" s="310" t="s">
        <v>202</v>
      </c>
      <c r="SPK19" s="310" t="s">
        <v>202</v>
      </c>
      <c r="SPL19" s="310" t="s">
        <v>202</v>
      </c>
      <c r="SPM19" s="310" t="s">
        <v>202</v>
      </c>
      <c r="SPN19" s="310" t="s">
        <v>202</v>
      </c>
      <c r="SPO19" s="310" t="s">
        <v>202</v>
      </c>
      <c r="SPP19" s="310" t="s">
        <v>202</v>
      </c>
      <c r="SPQ19" s="310" t="s">
        <v>202</v>
      </c>
      <c r="SPR19" s="310" t="s">
        <v>202</v>
      </c>
      <c r="SPS19" s="310" t="s">
        <v>202</v>
      </c>
      <c r="SPT19" s="310" t="s">
        <v>202</v>
      </c>
      <c r="SPU19" s="310" t="s">
        <v>202</v>
      </c>
      <c r="SPV19" s="310" t="s">
        <v>202</v>
      </c>
      <c r="SPW19" s="310" t="s">
        <v>202</v>
      </c>
      <c r="SPX19" s="310" t="s">
        <v>202</v>
      </c>
      <c r="SPY19" s="310" t="s">
        <v>202</v>
      </c>
      <c r="SPZ19" s="310" t="s">
        <v>202</v>
      </c>
      <c r="SQA19" s="310" t="s">
        <v>202</v>
      </c>
      <c r="SQB19" s="310" t="s">
        <v>202</v>
      </c>
      <c r="SQC19" s="310" t="s">
        <v>202</v>
      </c>
      <c r="SQD19" s="310" t="s">
        <v>202</v>
      </c>
      <c r="SQE19" s="310" t="s">
        <v>202</v>
      </c>
      <c r="SQF19" s="310" t="s">
        <v>202</v>
      </c>
      <c r="SQG19" s="310" t="s">
        <v>202</v>
      </c>
      <c r="SQH19" s="310" t="s">
        <v>202</v>
      </c>
      <c r="SQI19" s="310" t="s">
        <v>202</v>
      </c>
      <c r="SQJ19" s="310" t="s">
        <v>202</v>
      </c>
      <c r="SQK19" s="310" t="s">
        <v>202</v>
      </c>
      <c r="SQL19" s="310" t="s">
        <v>202</v>
      </c>
      <c r="SQM19" s="310" t="s">
        <v>202</v>
      </c>
      <c r="SQN19" s="310" t="s">
        <v>202</v>
      </c>
      <c r="SQO19" s="310" t="s">
        <v>202</v>
      </c>
      <c r="SQP19" s="310" t="s">
        <v>202</v>
      </c>
      <c r="SQQ19" s="310" t="s">
        <v>202</v>
      </c>
      <c r="SQR19" s="310" t="s">
        <v>202</v>
      </c>
      <c r="SQS19" s="310" t="s">
        <v>202</v>
      </c>
      <c r="SQT19" s="310" t="s">
        <v>202</v>
      </c>
      <c r="SQU19" s="310" t="s">
        <v>202</v>
      </c>
      <c r="SQV19" s="310" t="s">
        <v>202</v>
      </c>
      <c r="SQW19" s="310" t="s">
        <v>202</v>
      </c>
      <c r="SQX19" s="310" t="s">
        <v>202</v>
      </c>
      <c r="SQY19" s="310" t="s">
        <v>202</v>
      </c>
      <c r="SQZ19" s="310" t="s">
        <v>202</v>
      </c>
      <c r="SRA19" s="310" t="s">
        <v>202</v>
      </c>
      <c r="SRB19" s="310" t="s">
        <v>202</v>
      </c>
      <c r="SRC19" s="310" t="s">
        <v>202</v>
      </c>
      <c r="SRD19" s="310" t="s">
        <v>202</v>
      </c>
      <c r="SRE19" s="310" t="s">
        <v>202</v>
      </c>
      <c r="SRF19" s="310" t="s">
        <v>202</v>
      </c>
      <c r="SRG19" s="310" t="s">
        <v>202</v>
      </c>
      <c r="SRH19" s="310" t="s">
        <v>202</v>
      </c>
      <c r="SRI19" s="310" t="s">
        <v>202</v>
      </c>
      <c r="SRJ19" s="310" t="s">
        <v>202</v>
      </c>
      <c r="SRK19" s="310" t="s">
        <v>202</v>
      </c>
      <c r="SRL19" s="310" t="s">
        <v>202</v>
      </c>
      <c r="SRM19" s="310" t="s">
        <v>202</v>
      </c>
      <c r="SRN19" s="310" t="s">
        <v>202</v>
      </c>
      <c r="SRO19" s="310" t="s">
        <v>202</v>
      </c>
      <c r="SRP19" s="310" t="s">
        <v>202</v>
      </c>
      <c r="SRQ19" s="310" t="s">
        <v>202</v>
      </c>
      <c r="SRR19" s="310" t="s">
        <v>202</v>
      </c>
      <c r="SRS19" s="310" t="s">
        <v>202</v>
      </c>
      <c r="SRT19" s="310" t="s">
        <v>202</v>
      </c>
      <c r="SRU19" s="310" t="s">
        <v>202</v>
      </c>
      <c r="SRV19" s="310" t="s">
        <v>202</v>
      </c>
      <c r="SRW19" s="310" t="s">
        <v>202</v>
      </c>
      <c r="SRX19" s="310" t="s">
        <v>202</v>
      </c>
      <c r="SRY19" s="310" t="s">
        <v>202</v>
      </c>
      <c r="SRZ19" s="310" t="s">
        <v>202</v>
      </c>
      <c r="SSA19" s="310" t="s">
        <v>202</v>
      </c>
      <c r="SSB19" s="310" t="s">
        <v>202</v>
      </c>
      <c r="SSC19" s="310" t="s">
        <v>202</v>
      </c>
      <c r="SSD19" s="310" t="s">
        <v>202</v>
      </c>
      <c r="SSE19" s="310" t="s">
        <v>202</v>
      </c>
      <c r="SSF19" s="310" t="s">
        <v>202</v>
      </c>
      <c r="SSG19" s="310" t="s">
        <v>202</v>
      </c>
      <c r="SSH19" s="310" t="s">
        <v>202</v>
      </c>
      <c r="SSI19" s="310" t="s">
        <v>202</v>
      </c>
      <c r="SSJ19" s="310" t="s">
        <v>202</v>
      </c>
      <c r="SSK19" s="310" t="s">
        <v>202</v>
      </c>
      <c r="SSL19" s="310" t="s">
        <v>202</v>
      </c>
      <c r="SSM19" s="310" t="s">
        <v>202</v>
      </c>
      <c r="SSN19" s="310" t="s">
        <v>202</v>
      </c>
      <c r="SSO19" s="310" t="s">
        <v>202</v>
      </c>
      <c r="SSP19" s="310" t="s">
        <v>202</v>
      </c>
      <c r="SSQ19" s="310" t="s">
        <v>202</v>
      </c>
      <c r="SSR19" s="310" t="s">
        <v>202</v>
      </c>
      <c r="SSS19" s="310" t="s">
        <v>202</v>
      </c>
      <c r="SST19" s="310" t="s">
        <v>202</v>
      </c>
      <c r="SSU19" s="310" t="s">
        <v>202</v>
      </c>
      <c r="SSV19" s="310" t="s">
        <v>202</v>
      </c>
      <c r="SSW19" s="310" t="s">
        <v>202</v>
      </c>
      <c r="SSX19" s="310" t="s">
        <v>202</v>
      </c>
      <c r="SSY19" s="310" t="s">
        <v>202</v>
      </c>
      <c r="SSZ19" s="310" t="s">
        <v>202</v>
      </c>
      <c r="STA19" s="310" t="s">
        <v>202</v>
      </c>
      <c r="STB19" s="310" t="s">
        <v>202</v>
      </c>
      <c r="STC19" s="310" t="s">
        <v>202</v>
      </c>
      <c r="STD19" s="310" t="s">
        <v>202</v>
      </c>
      <c r="STE19" s="310" t="s">
        <v>202</v>
      </c>
      <c r="STF19" s="310" t="s">
        <v>202</v>
      </c>
      <c r="STG19" s="310" t="s">
        <v>202</v>
      </c>
      <c r="STH19" s="310" t="s">
        <v>202</v>
      </c>
      <c r="STI19" s="310" t="s">
        <v>202</v>
      </c>
      <c r="STJ19" s="310" t="s">
        <v>202</v>
      </c>
      <c r="STK19" s="310" t="s">
        <v>202</v>
      </c>
      <c r="STL19" s="310" t="s">
        <v>202</v>
      </c>
      <c r="STM19" s="310" t="s">
        <v>202</v>
      </c>
      <c r="STN19" s="310" t="s">
        <v>202</v>
      </c>
      <c r="STO19" s="310" t="s">
        <v>202</v>
      </c>
      <c r="STP19" s="310" t="s">
        <v>202</v>
      </c>
      <c r="STQ19" s="310" t="s">
        <v>202</v>
      </c>
      <c r="STR19" s="310" t="s">
        <v>202</v>
      </c>
      <c r="STS19" s="310" t="s">
        <v>202</v>
      </c>
      <c r="STT19" s="310" t="s">
        <v>202</v>
      </c>
      <c r="STU19" s="310" t="s">
        <v>202</v>
      </c>
      <c r="STV19" s="310" t="s">
        <v>202</v>
      </c>
      <c r="STW19" s="310" t="s">
        <v>202</v>
      </c>
      <c r="STX19" s="310" t="s">
        <v>202</v>
      </c>
      <c r="STY19" s="310" t="s">
        <v>202</v>
      </c>
      <c r="STZ19" s="310" t="s">
        <v>202</v>
      </c>
      <c r="SUA19" s="310" t="s">
        <v>202</v>
      </c>
      <c r="SUB19" s="310" t="s">
        <v>202</v>
      </c>
      <c r="SUC19" s="310" t="s">
        <v>202</v>
      </c>
      <c r="SUD19" s="310" t="s">
        <v>202</v>
      </c>
      <c r="SUE19" s="310" t="s">
        <v>202</v>
      </c>
      <c r="SUF19" s="310" t="s">
        <v>202</v>
      </c>
      <c r="SUG19" s="310" t="s">
        <v>202</v>
      </c>
      <c r="SUH19" s="310" t="s">
        <v>202</v>
      </c>
      <c r="SUI19" s="310" t="s">
        <v>202</v>
      </c>
      <c r="SUJ19" s="310" t="s">
        <v>202</v>
      </c>
      <c r="SUK19" s="310" t="s">
        <v>202</v>
      </c>
      <c r="SUL19" s="310" t="s">
        <v>202</v>
      </c>
      <c r="SUM19" s="310" t="s">
        <v>202</v>
      </c>
      <c r="SUN19" s="310" t="s">
        <v>202</v>
      </c>
      <c r="SUO19" s="310" t="s">
        <v>202</v>
      </c>
      <c r="SUP19" s="310" t="s">
        <v>202</v>
      </c>
      <c r="SUQ19" s="310" t="s">
        <v>202</v>
      </c>
      <c r="SUR19" s="310" t="s">
        <v>202</v>
      </c>
      <c r="SUS19" s="310" t="s">
        <v>202</v>
      </c>
      <c r="SUT19" s="310" t="s">
        <v>202</v>
      </c>
      <c r="SUU19" s="310" t="s">
        <v>202</v>
      </c>
      <c r="SUV19" s="310" t="s">
        <v>202</v>
      </c>
      <c r="SUW19" s="310" t="s">
        <v>202</v>
      </c>
      <c r="SUX19" s="310" t="s">
        <v>202</v>
      </c>
      <c r="SUY19" s="310" t="s">
        <v>202</v>
      </c>
      <c r="SUZ19" s="310" t="s">
        <v>202</v>
      </c>
      <c r="SVA19" s="310" t="s">
        <v>202</v>
      </c>
      <c r="SVB19" s="310" t="s">
        <v>202</v>
      </c>
      <c r="SVC19" s="310" t="s">
        <v>202</v>
      </c>
      <c r="SVD19" s="310" t="s">
        <v>202</v>
      </c>
      <c r="SVE19" s="310" t="s">
        <v>202</v>
      </c>
      <c r="SVF19" s="310" t="s">
        <v>202</v>
      </c>
      <c r="SVG19" s="310" t="s">
        <v>202</v>
      </c>
      <c r="SVH19" s="310" t="s">
        <v>202</v>
      </c>
      <c r="SVI19" s="310" t="s">
        <v>202</v>
      </c>
      <c r="SVJ19" s="310" t="s">
        <v>202</v>
      </c>
      <c r="SVK19" s="310" t="s">
        <v>202</v>
      </c>
      <c r="SVL19" s="310" t="s">
        <v>202</v>
      </c>
      <c r="SVM19" s="310" t="s">
        <v>202</v>
      </c>
      <c r="SVN19" s="310" t="s">
        <v>202</v>
      </c>
      <c r="SVO19" s="310" t="s">
        <v>202</v>
      </c>
      <c r="SVP19" s="310" t="s">
        <v>202</v>
      </c>
      <c r="SVQ19" s="310" t="s">
        <v>202</v>
      </c>
      <c r="SVR19" s="310" t="s">
        <v>202</v>
      </c>
      <c r="SVS19" s="310" t="s">
        <v>202</v>
      </c>
      <c r="SVT19" s="310" t="s">
        <v>202</v>
      </c>
      <c r="SVU19" s="310" t="s">
        <v>202</v>
      </c>
      <c r="SVV19" s="310" t="s">
        <v>202</v>
      </c>
      <c r="SVW19" s="310" t="s">
        <v>202</v>
      </c>
      <c r="SVX19" s="310" t="s">
        <v>202</v>
      </c>
      <c r="SVY19" s="310" t="s">
        <v>202</v>
      </c>
      <c r="SVZ19" s="310" t="s">
        <v>202</v>
      </c>
      <c r="SWA19" s="310" t="s">
        <v>202</v>
      </c>
      <c r="SWB19" s="310" t="s">
        <v>202</v>
      </c>
      <c r="SWC19" s="310" t="s">
        <v>202</v>
      </c>
      <c r="SWD19" s="310" t="s">
        <v>202</v>
      </c>
      <c r="SWE19" s="310" t="s">
        <v>202</v>
      </c>
      <c r="SWF19" s="310" t="s">
        <v>202</v>
      </c>
      <c r="SWG19" s="310" t="s">
        <v>202</v>
      </c>
      <c r="SWH19" s="310" t="s">
        <v>202</v>
      </c>
      <c r="SWI19" s="310" t="s">
        <v>202</v>
      </c>
      <c r="SWJ19" s="310" t="s">
        <v>202</v>
      </c>
      <c r="SWK19" s="310" t="s">
        <v>202</v>
      </c>
      <c r="SWL19" s="310" t="s">
        <v>202</v>
      </c>
      <c r="SWM19" s="310" t="s">
        <v>202</v>
      </c>
      <c r="SWN19" s="310" t="s">
        <v>202</v>
      </c>
      <c r="SWO19" s="310" t="s">
        <v>202</v>
      </c>
      <c r="SWP19" s="310" t="s">
        <v>202</v>
      </c>
      <c r="SWQ19" s="310" t="s">
        <v>202</v>
      </c>
      <c r="SWR19" s="310" t="s">
        <v>202</v>
      </c>
      <c r="SWS19" s="310" t="s">
        <v>202</v>
      </c>
      <c r="SWT19" s="310" t="s">
        <v>202</v>
      </c>
      <c r="SWU19" s="310" t="s">
        <v>202</v>
      </c>
      <c r="SWV19" s="310" t="s">
        <v>202</v>
      </c>
      <c r="SWW19" s="310" t="s">
        <v>202</v>
      </c>
      <c r="SWX19" s="310" t="s">
        <v>202</v>
      </c>
      <c r="SWY19" s="310" t="s">
        <v>202</v>
      </c>
      <c r="SWZ19" s="310" t="s">
        <v>202</v>
      </c>
      <c r="SXA19" s="310" t="s">
        <v>202</v>
      </c>
      <c r="SXB19" s="310" t="s">
        <v>202</v>
      </c>
      <c r="SXC19" s="310" t="s">
        <v>202</v>
      </c>
      <c r="SXD19" s="310" t="s">
        <v>202</v>
      </c>
      <c r="SXE19" s="310" t="s">
        <v>202</v>
      </c>
      <c r="SXF19" s="310" t="s">
        <v>202</v>
      </c>
      <c r="SXG19" s="310" t="s">
        <v>202</v>
      </c>
      <c r="SXH19" s="310" t="s">
        <v>202</v>
      </c>
      <c r="SXI19" s="310" t="s">
        <v>202</v>
      </c>
      <c r="SXJ19" s="310" t="s">
        <v>202</v>
      </c>
      <c r="SXK19" s="310" t="s">
        <v>202</v>
      </c>
      <c r="SXL19" s="310" t="s">
        <v>202</v>
      </c>
      <c r="SXM19" s="310" t="s">
        <v>202</v>
      </c>
      <c r="SXN19" s="310" t="s">
        <v>202</v>
      </c>
      <c r="SXO19" s="310" t="s">
        <v>202</v>
      </c>
      <c r="SXP19" s="310" t="s">
        <v>202</v>
      </c>
      <c r="SXQ19" s="310" t="s">
        <v>202</v>
      </c>
      <c r="SXR19" s="310" t="s">
        <v>202</v>
      </c>
      <c r="SXS19" s="310" t="s">
        <v>202</v>
      </c>
      <c r="SXT19" s="310" t="s">
        <v>202</v>
      </c>
      <c r="SXU19" s="310" t="s">
        <v>202</v>
      </c>
      <c r="SXV19" s="310" t="s">
        <v>202</v>
      </c>
      <c r="SXW19" s="310" t="s">
        <v>202</v>
      </c>
      <c r="SXX19" s="310" t="s">
        <v>202</v>
      </c>
      <c r="SXY19" s="310" t="s">
        <v>202</v>
      </c>
      <c r="SXZ19" s="310" t="s">
        <v>202</v>
      </c>
      <c r="SYA19" s="310" t="s">
        <v>202</v>
      </c>
      <c r="SYB19" s="310" t="s">
        <v>202</v>
      </c>
      <c r="SYC19" s="310" t="s">
        <v>202</v>
      </c>
      <c r="SYD19" s="310" t="s">
        <v>202</v>
      </c>
      <c r="SYE19" s="310" t="s">
        <v>202</v>
      </c>
      <c r="SYF19" s="310" t="s">
        <v>202</v>
      </c>
      <c r="SYG19" s="310" t="s">
        <v>202</v>
      </c>
      <c r="SYH19" s="310" t="s">
        <v>202</v>
      </c>
      <c r="SYI19" s="310" t="s">
        <v>202</v>
      </c>
      <c r="SYJ19" s="310" t="s">
        <v>202</v>
      </c>
      <c r="SYK19" s="310" t="s">
        <v>202</v>
      </c>
      <c r="SYL19" s="310" t="s">
        <v>202</v>
      </c>
      <c r="SYM19" s="310" t="s">
        <v>202</v>
      </c>
      <c r="SYN19" s="310" t="s">
        <v>202</v>
      </c>
      <c r="SYO19" s="310" t="s">
        <v>202</v>
      </c>
      <c r="SYP19" s="310" t="s">
        <v>202</v>
      </c>
      <c r="SYQ19" s="310" t="s">
        <v>202</v>
      </c>
      <c r="SYR19" s="310" t="s">
        <v>202</v>
      </c>
      <c r="SYS19" s="310" t="s">
        <v>202</v>
      </c>
      <c r="SYT19" s="310" t="s">
        <v>202</v>
      </c>
      <c r="SYU19" s="310" t="s">
        <v>202</v>
      </c>
      <c r="SYV19" s="310" t="s">
        <v>202</v>
      </c>
      <c r="SYW19" s="310" t="s">
        <v>202</v>
      </c>
      <c r="SYX19" s="310" t="s">
        <v>202</v>
      </c>
      <c r="SYY19" s="310" t="s">
        <v>202</v>
      </c>
      <c r="SYZ19" s="310" t="s">
        <v>202</v>
      </c>
      <c r="SZA19" s="310" t="s">
        <v>202</v>
      </c>
      <c r="SZB19" s="310" t="s">
        <v>202</v>
      </c>
      <c r="SZC19" s="310" t="s">
        <v>202</v>
      </c>
      <c r="SZD19" s="310" t="s">
        <v>202</v>
      </c>
      <c r="SZE19" s="310" t="s">
        <v>202</v>
      </c>
      <c r="SZF19" s="310" t="s">
        <v>202</v>
      </c>
      <c r="SZG19" s="310" t="s">
        <v>202</v>
      </c>
      <c r="SZH19" s="310" t="s">
        <v>202</v>
      </c>
      <c r="SZI19" s="310" t="s">
        <v>202</v>
      </c>
      <c r="SZJ19" s="310" t="s">
        <v>202</v>
      </c>
      <c r="SZK19" s="310" t="s">
        <v>202</v>
      </c>
      <c r="SZL19" s="310" t="s">
        <v>202</v>
      </c>
      <c r="SZM19" s="310" t="s">
        <v>202</v>
      </c>
      <c r="SZN19" s="310" t="s">
        <v>202</v>
      </c>
      <c r="SZO19" s="310" t="s">
        <v>202</v>
      </c>
      <c r="SZP19" s="310" t="s">
        <v>202</v>
      </c>
      <c r="SZQ19" s="310" t="s">
        <v>202</v>
      </c>
      <c r="SZR19" s="310" t="s">
        <v>202</v>
      </c>
      <c r="SZS19" s="310" t="s">
        <v>202</v>
      </c>
      <c r="SZT19" s="310" t="s">
        <v>202</v>
      </c>
      <c r="SZU19" s="310" t="s">
        <v>202</v>
      </c>
      <c r="SZV19" s="310" t="s">
        <v>202</v>
      </c>
      <c r="SZW19" s="310" t="s">
        <v>202</v>
      </c>
      <c r="SZX19" s="310" t="s">
        <v>202</v>
      </c>
      <c r="SZY19" s="310" t="s">
        <v>202</v>
      </c>
      <c r="SZZ19" s="310" t="s">
        <v>202</v>
      </c>
      <c r="TAA19" s="310" t="s">
        <v>202</v>
      </c>
      <c r="TAB19" s="310" t="s">
        <v>202</v>
      </c>
      <c r="TAC19" s="310" t="s">
        <v>202</v>
      </c>
      <c r="TAD19" s="310" t="s">
        <v>202</v>
      </c>
      <c r="TAE19" s="310" t="s">
        <v>202</v>
      </c>
      <c r="TAF19" s="310" t="s">
        <v>202</v>
      </c>
      <c r="TAG19" s="310" t="s">
        <v>202</v>
      </c>
      <c r="TAH19" s="310" t="s">
        <v>202</v>
      </c>
      <c r="TAI19" s="310" t="s">
        <v>202</v>
      </c>
      <c r="TAJ19" s="310" t="s">
        <v>202</v>
      </c>
      <c r="TAK19" s="310" t="s">
        <v>202</v>
      </c>
      <c r="TAL19" s="310" t="s">
        <v>202</v>
      </c>
      <c r="TAM19" s="310" t="s">
        <v>202</v>
      </c>
      <c r="TAN19" s="310" t="s">
        <v>202</v>
      </c>
      <c r="TAO19" s="310" t="s">
        <v>202</v>
      </c>
      <c r="TAP19" s="310" t="s">
        <v>202</v>
      </c>
      <c r="TAQ19" s="310" t="s">
        <v>202</v>
      </c>
      <c r="TAR19" s="310" t="s">
        <v>202</v>
      </c>
      <c r="TAS19" s="310" t="s">
        <v>202</v>
      </c>
      <c r="TAT19" s="310" t="s">
        <v>202</v>
      </c>
      <c r="TAU19" s="310" t="s">
        <v>202</v>
      </c>
      <c r="TAV19" s="310" t="s">
        <v>202</v>
      </c>
      <c r="TAW19" s="310" t="s">
        <v>202</v>
      </c>
      <c r="TAX19" s="310" t="s">
        <v>202</v>
      </c>
      <c r="TAY19" s="310" t="s">
        <v>202</v>
      </c>
      <c r="TAZ19" s="310" t="s">
        <v>202</v>
      </c>
      <c r="TBA19" s="310" t="s">
        <v>202</v>
      </c>
      <c r="TBB19" s="310" t="s">
        <v>202</v>
      </c>
      <c r="TBC19" s="310" t="s">
        <v>202</v>
      </c>
      <c r="TBD19" s="310" t="s">
        <v>202</v>
      </c>
      <c r="TBE19" s="310" t="s">
        <v>202</v>
      </c>
      <c r="TBF19" s="310" t="s">
        <v>202</v>
      </c>
      <c r="TBG19" s="310" t="s">
        <v>202</v>
      </c>
      <c r="TBH19" s="310" t="s">
        <v>202</v>
      </c>
      <c r="TBI19" s="310" t="s">
        <v>202</v>
      </c>
      <c r="TBJ19" s="310" t="s">
        <v>202</v>
      </c>
      <c r="TBK19" s="310" t="s">
        <v>202</v>
      </c>
      <c r="TBL19" s="310" t="s">
        <v>202</v>
      </c>
      <c r="TBM19" s="310" t="s">
        <v>202</v>
      </c>
      <c r="TBN19" s="310" t="s">
        <v>202</v>
      </c>
      <c r="TBO19" s="310" t="s">
        <v>202</v>
      </c>
      <c r="TBP19" s="310" t="s">
        <v>202</v>
      </c>
      <c r="TBQ19" s="310" t="s">
        <v>202</v>
      </c>
      <c r="TBR19" s="310" t="s">
        <v>202</v>
      </c>
      <c r="TBS19" s="310" t="s">
        <v>202</v>
      </c>
      <c r="TBT19" s="310" t="s">
        <v>202</v>
      </c>
      <c r="TBU19" s="310" t="s">
        <v>202</v>
      </c>
      <c r="TBV19" s="310" t="s">
        <v>202</v>
      </c>
      <c r="TBW19" s="310" t="s">
        <v>202</v>
      </c>
      <c r="TBX19" s="310" t="s">
        <v>202</v>
      </c>
      <c r="TBY19" s="310" t="s">
        <v>202</v>
      </c>
      <c r="TBZ19" s="310" t="s">
        <v>202</v>
      </c>
      <c r="TCA19" s="310" t="s">
        <v>202</v>
      </c>
      <c r="TCB19" s="310" t="s">
        <v>202</v>
      </c>
      <c r="TCC19" s="310" t="s">
        <v>202</v>
      </c>
      <c r="TCD19" s="310" t="s">
        <v>202</v>
      </c>
      <c r="TCE19" s="310" t="s">
        <v>202</v>
      </c>
      <c r="TCF19" s="310" t="s">
        <v>202</v>
      </c>
      <c r="TCG19" s="310" t="s">
        <v>202</v>
      </c>
      <c r="TCH19" s="310" t="s">
        <v>202</v>
      </c>
      <c r="TCI19" s="310" t="s">
        <v>202</v>
      </c>
      <c r="TCJ19" s="310" t="s">
        <v>202</v>
      </c>
      <c r="TCK19" s="310" t="s">
        <v>202</v>
      </c>
      <c r="TCL19" s="310" t="s">
        <v>202</v>
      </c>
      <c r="TCM19" s="310" t="s">
        <v>202</v>
      </c>
      <c r="TCN19" s="310" t="s">
        <v>202</v>
      </c>
      <c r="TCO19" s="310" t="s">
        <v>202</v>
      </c>
      <c r="TCP19" s="310" t="s">
        <v>202</v>
      </c>
      <c r="TCQ19" s="310" t="s">
        <v>202</v>
      </c>
      <c r="TCR19" s="310" t="s">
        <v>202</v>
      </c>
      <c r="TCS19" s="310" t="s">
        <v>202</v>
      </c>
      <c r="TCT19" s="310" t="s">
        <v>202</v>
      </c>
      <c r="TCU19" s="310" t="s">
        <v>202</v>
      </c>
      <c r="TCV19" s="310" t="s">
        <v>202</v>
      </c>
      <c r="TCW19" s="310" t="s">
        <v>202</v>
      </c>
      <c r="TCX19" s="310" t="s">
        <v>202</v>
      </c>
      <c r="TCY19" s="310" t="s">
        <v>202</v>
      </c>
      <c r="TCZ19" s="310" t="s">
        <v>202</v>
      </c>
      <c r="TDA19" s="310" t="s">
        <v>202</v>
      </c>
      <c r="TDB19" s="310" t="s">
        <v>202</v>
      </c>
      <c r="TDC19" s="310" t="s">
        <v>202</v>
      </c>
      <c r="TDD19" s="310" t="s">
        <v>202</v>
      </c>
      <c r="TDE19" s="310" t="s">
        <v>202</v>
      </c>
      <c r="TDF19" s="310" t="s">
        <v>202</v>
      </c>
      <c r="TDG19" s="310" t="s">
        <v>202</v>
      </c>
      <c r="TDH19" s="310" t="s">
        <v>202</v>
      </c>
      <c r="TDI19" s="310" t="s">
        <v>202</v>
      </c>
      <c r="TDJ19" s="310" t="s">
        <v>202</v>
      </c>
      <c r="TDK19" s="310" t="s">
        <v>202</v>
      </c>
      <c r="TDL19" s="310" t="s">
        <v>202</v>
      </c>
      <c r="TDM19" s="310" t="s">
        <v>202</v>
      </c>
      <c r="TDN19" s="310" t="s">
        <v>202</v>
      </c>
      <c r="TDO19" s="310" t="s">
        <v>202</v>
      </c>
      <c r="TDP19" s="310" t="s">
        <v>202</v>
      </c>
      <c r="TDQ19" s="310" t="s">
        <v>202</v>
      </c>
      <c r="TDR19" s="310" t="s">
        <v>202</v>
      </c>
      <c r="TDS19" s="310" t="s">
        <v>202</v>
      </c>
      <c r="TDT19" s="310" t="s">
        <v>202</v>
      </c>
      <c r="TDU19" s="310" t="s">
        <v>202</v>
      </c>
      <c r="TDV19" s="310" t="s">
        <v>202</v>
      </c>
      <c r="TDW19" s="310" t="s">
        <v>202</v>
      </c>
      <c r="TDX19" s="310" t="s">
        <v>202</v>
      </c>
      <c r="TDY19" s="310" t="s">
        <v>202</v>
      </c>
      <c r="TDZ19" s="310" t="s">
        <v>202</v>
      </c>
      <c r="TEA19" s="310" t="s">
        <v>202</v>
      </c>
      <c r="TEB19" s="310" t="s">
        <v>202</v>
      </c>
      <c r="TEC19" s="310" t="s">
        <v>202</v>
      </c>
      <c r="TED19" s="310" t="s">
        <v>202</v>
      </c>
      <c r="TEE19" s="310" t="s">
        <v>202</v>
      </c>
      <c r="TEF19" s="310" t="s">
        <v>202</v>
      </c>
      <c r="TEG19" s="310" t="s">
        <v>202</v>
      </c>
      <c r="TEH19" s="310" t="s">
        <v>202</v>
      </c>
      <c r="TEI19" s="310" t="s">
        <v>202</v>
      </c>
      <c r="TEJ19" s="310" t="s">
        <v>202</v>
      </c>
      <c r="TEK19" s="310" t="s">
        <v>202</v>
      </c>
      <c r="TEL19" s="310" t="s">
        <v>202</v>
      </c>
      <c r="TEM19" s="310" t="s">
        <v>202</v>
      </c>
      <c r="TEN19" s="310" t="s">
        <v>202</v>
      </c>
      <c r="TEO19" s="310" t="s">
        <v>202</v>
      </c>
      <c r="TEP19" s="310" t="s">
        <v>202</v>
      </c>
      <c r="TEQ19" s="310" t="s">
        <v>202</v>
      </c>
      <c r="TER19" s="310" t="s">
        <v>202</v>
      </c>
      <c r="TES19" s="310" t="s">
        <v>202</v>
      </c>
      <c r="TET19" s="310" t="s">
        <v>202</v>
      </c>
      <c r="TEU19" s="310" t="s">
        <v>202</v>
      </c>
      <c r="TEV19" s="310" t="s">
        <v>202</v>
      </c>
      <c r="TEW19" s="310" t="s">
        <v>202</v>
      </c>
      <c r="TEX19" s="310" t="s">
        <v>202</v>
      </c>
      <c r="TEY19" s="310" t="s">
        <v>202</v>
      </c>
      <c r="TEZ19" s="310" t="s">
        <v>202</v>
      </c>
      <c r="TFA19" s="310" t="s">
        <v>202</v>
      </c>
      <c r="TFB19" s="310" t="s">
        <v>202</v>
      </c>
      <c r="TFC19" s="310" t="s">
        <v>202</v>
      </c>
      <c r="TFD19" s="310" t="s">
        <v>202</v>
      </c>
      <c r="TFE19" s="310" t="s">
        <v>202</v>
      </c>
      <c r="TFF19" s="310" t="s">
        <v>202</v>
      </c>
      <c r="TFG19" s="310" t="s">
        <v>202</v>
      </c>
      <c r="TFH19" s="310" t="s">
        <v>202</v>
      </c>
      <c r="TFI19" s="310" t="s">
        <v>202</v>
      </c>
      <c r="TFJ19" s="310" t="s">
        <v>202</v>
      </c>
      <c r="TFK19" s="310" t="s">
        <v>202</v>
      </c>
      <c r="TFL19" s="310" t="s">
        <v>202</v>
      </c>
      <c r="TFM19" s="310" t="s">
        <v>202</v>
      </c>
      <c r="TFN19" s="310" t="s">
        <v>202</v>
      </c>
      <c r="TFO19" s="310" t="s">
        <v>202</v>
      </c>
      <c r="TFP19" s="310" t="s">
        <v>202</v>
      </c>
      <c r="TFQ19" s="310" t="s">
        <v>202</v>
      </c>
      <c r="TFR19" s="310" t="s">
        <v>202</v>
      </c>
      <c r="TFS19" s="310" t="s">
        <v>202</v>
      </c>
      <c r="TFT19" s="310" t="s">
        <v>202</v>
      </c>
      <c r="TFU19" s="310" t="s">
        <v>202</v>
      </c>
      <c r="TFV19" s="310" t="s">
        <v>202</v>
      </c>
      <c r="TFW19" s="310" t="s">
        <v>202</v>
      </c>
      <c r="TFX19" s="310" t="s">
        <v>202</v>
      </c>
      <c r="TFY19" s="310" t="s">
        <v>202</v>
      </c>
      <c r="TFZ19" s="310" t="s">
        <v>202</v>
      </c>
      <c r="TGA19" s="310" t="s">
        <v>202</v>
      </c>
      <c r="TGB19" s="310" t="s">
        <v>202</v>
      </c>
      <c r="TGC19" s="310" t="s">
        <v>202</v>
      </c>
      <c r="TGD19" s="310" t="s">
        <v>202</v>
      </c>
      <c r="TGE19" s="310" t="s">
        <v>202</v>
      </c>
      <c r="TGF19" s="310" t="s">
        <v>202</v>
      </c>
      <c r="TGG19" s="310" t="s">
        <v>202</v>
      </c>
      <c r="TGH19" s="310" t="s">
        <v>202</v>
      </c>
      <c r="TGI19" s="310" t="s">
        <v>202</v>
      </c>
      <c r="TGJ19" s="310" t="s">
        <v>202</v>
      </c>
      <c r="TGK19" s="310" t="s">
        <v>202</v>
      </c>
      <c r="TGL19" s="310" t="s">
        <v>202</v>
      </c>
      <c r="TGM19" s="310" t="s">
        <v>202</v>
      </c>
      <c r="TGN19" s="310" t="s">
        <v>202</v>
      </c>
      <c r="TGO19" s="310" t="s">
        <v>202</v>
      </c>
      <c r="TGP19" s="310" t="s">
        <v>202</v>
      </c>
      <c r="TGQ19" s="310" t="s">
        <v>202</v>
      </c>
      <c r="TGR19" s="310" t="s">
        <v>202</v>
      </c>
      <c r="TGS19" s="310" t="s">
        <v>202</v>
      </c>
      <c r="TGT19" s="310" t="s">
        <v>202</v>
      </c>
      <c r="TGU19" s="310" t="s">
        <v>202</v>
      </c>
      <c r="TGV19" s="310" t="s">
        <v>202</v>
      </c>
      <c r="TGW19" s="310" t="s">
        <v>202</v>
      </c>
      <c r="TGX19" s="310" t="s">
        <v>202</v>
      </c>
      <c r="TGY19" s="310" t="s">
        <v>202</v>
      </c>
      <c r="TGZ19" s="310" t="s">
        <v>202</v>
      </c>
      <c r="THA19" s="310" t="s">
        <v>202</v>
      </c>
      <c r="THB19" s="310" t="s">
        <v>202</v>
      </c>
      <c r="THC19" s="310" t="s">
        <v>202</v>
      </c>
      <c r="THD19" s="310" t="s">
        <v>202</v>
      </c>
      <c r="THE19" s="310" t="s">
        <v>202</v>
      </c>
      <c r="THF19" s="310" t="s">
        <v>202</v>
      </c>
      <c r="THG19" s="310" t="s">
        <v>202</v>
      </c>
      <c r="THH19" s="310" t="s">
        <v>202</v>
      </c>
      <c r="THI19" s="310" t="s">
        <v>202</v>
      </c>
      <c r="THJ19" s="310" t="s">
        <v>202</v>
      </c>
      <c r="THK19" s="310" t="s">
        <v>202</v>
      </c>
      <c r="THL19" s="310" t="s">
        <v>202</v>
      </c>
      <c r="THM19" s="310" t="s">
        <v>202</v>
      </c>
      <c r="THN19" s="310" t="s">
        <v>202</v>
      </c>
      <c r="THO19" s="310" t="s">
        <v>202</v>
      </c>
      <c r="THP19" s="310" t="s">
        <v>202</v>
      </c>
      <c r="THQ19" s="310" t="s">
        <v>202</v>
      </c>
      <c r="THR19" s="310" t="s">
        <v>202</v>
      </c>
      <c r="THS19" s="310" t="s">
        <v>202</v>
      </c>
      <c r="THT19" s="310" t="s">
        <v>202</v>
      </c>
      <c r="THU19" s="310" t="s">
        <v>202</v>
      </c>
      <c r="THV19" s="310" t="s">
        <v>202</v>
      </c>
      <c r="THW19" s="310" t="s">
        <v>202</v>
      </c>
      <c r="THX19" s="310" t="s">
        <v>202</v>
      </c>
      <c r="THY19" s="310" t="s">
        <v>202</v>
      </c>
      <c r="THZ19" s="310" t="s">
        <v>202</v>
      </c>
      <c r="TIA19" s="310" t="s">
        <v>202</v>
      </c>
      <c r="TIB19" s="310" t="s">
        <v>202</v>
      </c>
      <c r="TIC19" s="310" t="s">
        <v>202</v>
      </c>
      <c r="TID19" s="310" t="s">
        <v>202</v>
      </c>
      <c r="TIE19" s="310" t="s">
        <v>202</v>
      </c>
      <c r="TIF19" s="310" t="s">
        <v>202</v>
      </c>
      <c r="TIG19" s="310" t="s">
        <v>202</v>
      </c>
      <c r="TIH19" s="310" t="s">
        <v>202</v>
      </c>
      <c r="TII19" s="310" t="s">
        <v>202</v>
      </c>
      <c r="TIJ19" s="310" t="s">
        <v>202</v>
      </c>
      <c r="TIK19" s="310" t="s">
        <v>202</v>
      </c>
      <c r="TIL19" s="310" t="s">
        <v>202</v>
      </c>
      <c r="TIM19" s="310" t="s">
        <v>202</v>
      </c>
      <c r="TIN19" s="310" t="s">
        <v>202</v>
      </c>
      <c r="TIO19" s="310" t="s">
        <v>202</v>
      </c>
      <c r="TIP19" s="310" t="s">
        <v>202</v>
      </c>
      <c r="TIQ19" s="310" t="s">
        <v>202</v>
      </c>
      <c r="TIR19" s="310" t="s">
        <v>202</v>
      </c>
      <c r="TIS19" s="310" t="s">
        <v>202</v>
      </c>
      <c r="TIT19" s="310" t="s">
        <v>202</v>
      </c>
      <c r="TIU19" s="310" t="s">
        <v>202</v>
      </c>
      <c r="TIV19" s="310" t="s">
        <v>202</v>
      </c>
      <c r="TIW19" s="310" t="s">
        <v>202</v>
      </c>
      <c r="TIX19" s="310" t="s">
        <v>202</v>
      </c>
      <c r="TIY19" s="310" t="s">
        <v>202</v>
      </c>
      <c r="TIZ19" s="310" t="s">
        <v>202</v>
      </c>
      <c r="TJA19" s="310" t="s">
        <v>202</v>
      </c>
      <c r="TJB19" s="310" t="s">
        <v>202</v>
      </c>
      <c r="TJC19" s="310" t="s">
        <v>202</v>
      </c>
      <c r="TJD19" s="310" t="s">
        <v>202</v>
      </c>
      <c r="TJE19" s="310" t="s">
        <v>202</v>
      </c>
      <c r="TJF19" s="310" t="s">
        <v>202</v>
      </c>
      <c r="TJG19" s="310" t="s">
        <v>202</v>
      </c>
      <c r="TJH19" s="310" t="s">
        <v>202</v>
      </c>
      <c r="TJI19" s="310" t="s">
        <v>202</v>
      </c>
      <c r="TJJ19" s="310" t="s">
        <v>202</v>
      </c>
      <c r="TJK19" s="310" t="s">
        <v>202</v>
      </c>
      <c r="TJL19" s="310" t="s">
        <v>202</v>
      </c>
      <c r="TJM19" s="310" t="s">
        <v>202</v>
      </c>
      <c r="TJN19" s="310" t="s">
        <v>202</v>
      </c>
      <c r="TJO19" s="310" t="s">
        <v>202</v>
      </c>
      <c r="TJP19" s="310" t="s">
        <v>202</v>
      </c>
      <c r="TJQ19" s="310" t="s">
        <v>202</v>
      </c>
      <c r="TJR19" s="310" t="s">
        <v>202</v>
      </c>
      <c r="TJS19" s="310" t="s">
        <v>202</v>
      </c>
      <c r="TJT19" s="310" t="s">
        <v>202</v>
      </c>
      <c r="TJU19" s="310" t="s">
        <v>202</v>
      </c>
      <c r="TJV19" s="310" t="s">
        <v>202</v>
      </c>
      <c r="TJW19" s="310" t="s">
        <v>202</v>
      </c>
      <c r="TJX19" s="310" t="s">
        <v>202</v>
      </c>
      <c r="TJY19" s="310" t="s">
        <v>202</v>
      </c>
      <c r="TJZ19" s="310" t="s">
        <v>202</v>
      </c>
      <c r="TKA19" s="310" t="s">
        <v>202</v>
      </c>
      <c r="TKB19" s="310" t="s">
        <v>202</v>
      </c>
      <c r="TKC19" s="310" t="s">
        <v>202</v>
      </c>
      <c r="TKD19" s="310" t="s">
        <v>202</v>
      </c>
      <c r="TKE19" s="310" t="s">
        <v>202</v>
      </c>
      <c r="TKF19" s="310" t="s">
        <v>202</v>
      </c>
      <c r="TKG19" s="310" t="s">
        <v>202</v>
      </c>
      <c r="TKH19" s="310" t="s">
        <v>202</v>
      </c>
      <c r="TKI19" s="310" t="s">
        <v>202</v>
      </c>
      <c r="TKJ19" s="310" t="s">
        <v>202</v>
      </c>
      <c r="TKK19" s="310" t="s">
        <v>202</v>
      </c>
      <c r="TKL19" s="310" t="s">
        <v>202</v>
      </c>
      <c r="TKM19" s="310" t="s">
        <v>202</v>
      </c>
      <c r="TKN19" s="310" t="s">
        <v>202</v>
      </c>
      <c r="TKO19" s="310" t="s">
        <v>202</v>
      </c>
      <c r="TKP19" s="310" t="s">
        <v>202</v>
      </c>
      <c r="TKQ19" s="310" t="s">
        <v>202</v>
      </c>
      <c r="TKR19" s="310" t="s">
        <v>202</v>
      </c>
      <c r="TKS19" s="310" t="s">
        <v>202</v>
      </c>
      <c r="TKT19" s="310" t="s">
        <v>202</v>
      </c>
      <c r="TKU19" s="310" t="s">
        <v>202</v>
      </c>
      <c r="TKV19" s="310" t="s">
        <v>202</v>
      </c>
      <c r="TKW19" s="310" t="s">
        <v>202</v>
      </c>
      <c r="TKX19" s="310" t="s">
        <v>202</v>
      </c>
      <c r="TKY19" s="310" t="s">
        <v>202</v>
      </c>
      <c r="TKZ19" s="310" t="s">
        <v>202</v>
      </c>
      <c r="TLA19" s="310" t="s">
        <v>202</v>
      </c>
      <c r="TLB19" s="310" t="s">
        <v>202</v>
      </c>
      <c r="TLC19" s="310" t="s">
        <v>202</v>
      </c>
      <c r="TLD19" s="310" t="s">
        <v>202</v>
      </c>
      <c r="TLE19" s="310" t="s">
        <v>202</v>
      </c>
      <c r="TLF19" s="310" t="s">
        <v>202</v>
      </c>
      <c r="TLG19" s="310" t="s">
        <v>202</v>
      </c>
      <c r="TLH19" s="310" t="s">
        <v>202</v>
      </c>
      <c r="TLI19" s="310" t="s">
        <v>202</v>
      </c>
      <c r="TLJ19" s="310" t="s">
        <v>202</v>
      </c>
      <c r="TLK19" s="310" t="s">
        <v>202</v>
      </c>
      <c r="TLL19" s="310" t="s">
        <v>202</v>
      </c>
      <c r="TLM19" s="310" t="s">
        <v>202</v>
      </c>
      <c r="TLN19" s="310" t="s">
        <v>202</v>
      </c>
      <c r="TLO19" s="310" t="s">
        <v>202</v>
      </c>
      <c r="TLP19" s="310" t="s">
        <v>202</v>
      </c>
      <c r="TLQ19" s="310" t="s">
        <v>202</v>
      </c>
      <c r="TLR19" s="310" t="s">
        <v>202</v>
      </c>
      <c r="TLS19" s="310" t="s">
        <v>202</v>
      </c>
      <c r="TLT19" s="310" t="s">
        <v>202</v>
      </c>
      <c r="TLU19" s="310" t="s">
        <v>202</v>
      </c>
      <c r="TLV19" s="310" t="s">
        <v>202</v>
      </c>
      <c r="TLW19" s="310" t="s">
        <v>202</v>
      </c>
      <c r="TLX19" s="310" t="s">
        <v>202</v>
      </c>
      <c r="TLY19" s="310" t="s">
        <v>202</v>
      </c>
      <c r="TLZ19" s="310" t="s">
        <v>202</v>
      </c>
      <c r="TMA19" s="310" t="s">
        <v>202</v>
      </c>
      <c r="TMB19" s="310" t="s">
        <v>202</v>
      </c>
      <c r="TMC19" s="310" t="s">
        <v>202</v>
      </c>
      <c r="TMD19" s="310" t="s">
        <v>202</v>
      </c>
      <c r="TME19" s="310" t="s">
        <v>202</v>
      </c>
      <c r="TMF19" s="310" t="s">
        <v>202</v>
      </c>
      <c r="TMG19" s="310" t="s">
        <v>202</v>
      </c>
      <c r="TMH19" s="310" t="s">
        <v>202</v>
      </c>
      <c r="TMI19" s="310" t="s">
        <v>202</v>
      </c>
      <c r="TMJ19" s="310" t="s">
        <v>202</v>
      </c>
      <c r="TMK19" s="310" t="s">
        <v>202</v>
      </c>
      <c r="TML19" s="310" t="s">
        <v>202</v>
      </c>
      <c r="TMM19" s="310" t="s">
        <v>202</v>
      </c>
      <c r="TMN19" s="310" t="s">
        <v>202</v>
      </c>
      <c r="TMO19" s="310" t="s">
        <v>202</v>
      </c>
      <c r="TMP19" s="310" t="s">
        <v>202</v>
      </c>
      <c r="TMQ19" s="310" t="s">
        <v>202</v>
      </c>
      <c r="TMR19" s="310" t="s">
        <v>202</v>
      </c>
      <c r="TMS19" s="310" t="s">
        <v>202</v>
      </c>
      <c r="TMT19" s="310" t="s">
        <v>202</v>
      </c>
      <c r="TMU19" s="310" t="s">
        <v>202</v>
      </c>
      <c r="TMV19" s="310" t="s">
        <v>202</v>
      </c>
      <c r="TMW19" s="310" t="s">
        <v>202</v>
      </c>
      <c r="TMX19" s="310" t="s">
        <v>202</v>
      </c>
      <c r="TMY19" s="310" t="s">
        <v>202</v>
      </c>
      <c r="TMZ19" s="310" t="s">
        <v>202</v>
      </c>
      <c r="TNA19" s="310" t="s">
        <v>202</v>
      </c>
      <c r="TNB19" s="310" t="s">
        <v>202</v>
      </c>
      <c r="TNC19" s="310" t="s">
        <v>202</v>
      </c>
      <c r="TND19" s="310" t="s">
        <v>202</v>
      </c>
      <c r="TNE19" s="310" t="s">
        <v>202</v>
      </c>
      <c r="TNF19" s="310" t="s">
        <v>202</v>
      </c>
      <c r="TNG19" s="310" t="s">
        <v>202</v>
      </c>
      <c r="TNH19" s="310" t="s">
        <v>202</v>
      </c>
      <c r="TNI19" s="310" t="s">
        <v>202</v>
      </c>
      <c r="TNJ19" s="310" t="s">
        <v>202</v>
      </c>
      <c r="TNK19" s="310" t="s">
        <v>202</v>
      </c>
      <c r="TNL19" s="310" t="s">
        <v>202</v>
      </c>
      <c r="TNM19" s="310" t="s">
        <v>202</v>
      </c>
      <c r="TNN19" s="310" t="s">
        <v>202</v>
      </c>
      <c r="TNO19" s="310" t="s">
        <v>202</v>
      </c>
      <c r="TNP19" s="310" t="s">
        <v>202</v>
      </c>
      <c r="TNQ19" s="310" t="s">
        <v>202</v>
      </c>
      <c r="TNR19" s="310" t="s">
        <v>202</v>
      </c>
      <c r="TNS19" s="310" t="s">
        <v>202</v>
      </c>
      <c r="TNT19" s="310" t="s">
        <v>202</v>
      </c>
      <c r="TNU19" s="310" t="s">
        <v>202</v>
      </c>
      <c r="TNV19" s="310" t="s">
        <v>202</v>
      </c>
      <c r="TNW19" s="310" t="s">
        <v>202</v>
      </c>
      <c r="TNX19" s="310" t="s">
        <v>202</v>
      </c>
      <c r="TNY19" s="310" t="s">
        <v>202</v>
      </c>
      <c r="TNZ19" s="310" t="s">
        <v>202</v>
      </c>
      <c r="TOA19" s="310" t="s">
        <v>202</v>
      </c>
      <c r="TOB19" s="310" t="s">
        <v>202</v>
      </c>
      <c r="TOC19" s="310" t="s">
        <v>202</v>
      </c>
      <c r="TOD19" s="310" t="s">
        <v>202</v>
      </c>
      <c r="TOE19" s="310" t="s">
        <v>202</v>
      </c>
      <c r="TOF19" s="310" t="s">
        <v>202</v>
      </c>
      <c r="TOG19" s="310" t="s">
        <v>202</v>
      </c>
      <c r="TOH19" s="310" t="s">
        <v>202</v>
      </c>
      <c r="TOI19" s="310" t="s">
        <v>202</v>
      </c>
      <c r="TOJ19" s="310" t="s">
        <v>202</v>
      </c>
      <c r="TOK19" s="310" t="s">
        <v>202</v>
      </c>
      <c r="TOL19" s="310" t="s">
        <v>202</v>
      </c>
      <c r="TOM19" s="310" t="s">
        <v>202</v>
      </c>
      <c r="TON19" s="310" t="s">
        <v>202</v>
      </c>
      <c r="TOO19" s="310" t="s">
        <v>202</v>
      </c>
      <c r="TOP19" s="310" t="s">
        <v>202</v>
      </c>
      <c r="TOQ19" s="310" t="s">
        <v>202</v>
      </c>
      <c r="TOR19" s="310" t="s">
        <v>202</v>
      </c>
      <c r="TOS19" s="310" t="s">
        <v>202</v>
      </c>
      <c r="TOT19" s="310" t="s">
        <v>202</v>
      </c>
      <c r="TOU19" s="310" t="s">
        <v>202</v>
      </c>
      <c r="TOV19" s="310" t="s">
        <v>202</v>
      </c>
      <c r="TOW19" s="310" t="s">
        <v>202</v>
      </c>
      <c r="TOX19" s="310" t="s">
        <v>202</v>
      </c>
      <c r="TOY19" s="310" t="s">
        <v>202</v>
      </c>
      <c r="TOZ19" s="310" t="s">
        <v>202</v>
      </c>
      <c r="TPA19" s="310" t="s">
        <v>202</v>
      </c>
      <c r="TPB19" s="310" t="s">
        <v>202</v>
      </c>
      <c r="TPC19" s="310" t="s">
        <v>202</v>
      </c>
      <c r="TPD19" s="310" t="s">
        <v>202</v>
      </c>
      <c r="TPE19" s="310" t="s">
        <v>202</v>
      </c>
      <c r="TPF19" s="310" t="s">
        <v>202</v>
      </c>
      <c r="TPG19" s="310" t="s">
        <v>202</v>
      </c>
      <c r="TPH19" s="310" t="s">
        <v>202</v>
      </c>
      <c r="TPI19" s="310" t="s">
        <v>202</v>
      </c>
      <c r="TPJ19" s="310" t="s">
        <v>202</v>
      </c>
      <c r="TPK19" s="310" t="s">
        <v>202</v>
      </c>
      <c r="TPL19" s="310" t="s">
        <v>202</v>
      </c>
      <c r="TPM19" s="310" t="s">
        <v>202</v>
      </c>
      <c r="TPN19" s="310" t="s">
        <v>202</v>
      </c>
      <c r="TPO19" s="310" t="s">
        <v>202</v>
      </c>
      <c r="TPP19" s="310" t="s">
        <v>202</v>
      </c>
      <c r="TPQ19" s="310" t="s">
        <v>202</v>
      </c>
      <c r="TPR19" s="310" t="s">
        <v>202</v>
      </c>
      <c r="TPS19" s="310" t="s">
        <v>202</v>
      </c>
      <c r="TPT19" s="310" t="s">
        <v>202</v>
      </c>
      <c r="TPU19" s="310" t="s">
        <v>202</v>
      </c>
      <c r="TPV19" s="310" t="s">
        <v>202</v>
      </c>
      <c r="TPW19" s="310" t="s">
        <v>202</v>
      </c>
      <c r="TPX19" s="310" t="s">
        <v>202</v>
      </c>
      <c r="TPY19" s="310" t="s">
        <v>202</v>
      </c>
      <c r="TPZ19" s="310" t="s">
        <v>202</v>
      </c>
      <c r="TQA19" s="310" t="s">
        <v>202</v>
      </c>
      <c r="TQB19" s="310" t="s">
        <v>202</v>
      </c>
      <c r="TQC19" s="310" t="s">
        <v>202</v>
      </c>
      <c r="TQD19" s="310" t="s">
        <v>202</v>
      </c>
      <c r="TQE19" s="310" t="s">
        <v>202</v>
      </c>
      <c r="TQF19" s="310" t="s">
        <v>202</v>
      </c>
      <c r="TQG19" s="310" t="s">
        <v>202</v>
      </c>
      <c r="TQH19" s="310" t="s">
        <v>202</v>
      </c>
      <c r="TQI19" s="310" t="s">
        <v>202</v>
      </c>
      <c r="TQJ19" s="310" t="s">
        <v>202</v>
      </c>
      <c r="TQK19" s="310" t="s">
        <v>202</v>
      </c>
      <c r="TQL19" s="310" t="s">
        <v>202</v>
      </c>
      <c r="TQM19" s="310" t="s">
        <v>202</v>
      </c>
      <c r="TQN19" s="310" t="s">
        <v>202</v>
      </c>
      <c r="TQO19" s="310" t="s">
        <v>202</v>
      </c>
      <c r="TQP19" s="310" t="s">
        <v>202</v>
      </c>
      <c r="TQQ19" s="310" t="s">
        <v>202</v>
      </c>
      <c r="TQR19" s="310" t="s">
        <v>202</v>
      </c>
      <c r="TQS19" s="310" t="s">
        <v>202</v>
      </c>
      <c r="TQT19" s="310" t="s">
        <v>202</v>
      </c>
      <c r="TQU19" s="310" t="s">
        <v>202</v>
      </c>
      <c r="TQV19" s="310" t="s">
        <v>202</v>
      </c>
      <c r="TQW19" s="310" t="s">
        <v>202</v>
      </c>
      <c r="TQX19" s="310" t="s">
        <v>202</v>
      </c>
      <c r="TQY19" s="310" t="s">
        <v>202</v>
      </c>
      <c r="TQZ19" s="310" t="s">
        <v>202</v>
      </c>
      <c r="TRA19" s="310" t="s">
        <v>202</v>
      </c>
      <c r="TRB19" s="310" t="s">
        <v>202</v>
      </c>
      <c r="TRC19" s="310" t="s">
        <v>202</v>
      </c>
      <c r="TRD19" s="310" t="s">
        <v>202</v>
      </c>
      <c r="TRE19" s="310" t="s">
        <v>202</v>
      </c>
      <c r="TRF19" s="310" t="s">
        <v>202</v>
      </c>
      <c r="TRG19" s="310" t="s">
        <v>202</v>
      </c>
      <c r="TRH19" s="310" t="s">
        <v>202</v>
      </c>
      <c r="TRI19" s="310" t="s">
        <v>202</v>
      </c>
      <c r="TRJ19" s="310" t="s">
        <v>202</v>
      </c>
      <c r="TRK19" s="310" t="s">
        <v>202</v>
      </c>
      <c r="TRL19" s="310" t="s">
        <v>202</v>
      </c>
      <c r="TRM19" s="310" t="s">
        <v>202</v>
      </c>
      <c r="TRN19" s="310" t="s">
        <v>202</v>
      </c>
      <c r="TRO19" s="310" t="s">
        <v>202</v>
      </c>
      <c r="TRP19" s="310" t="s">
        <v>202</v>
      </c>
      <c r="TRQ19" s="310" t="s">
        <v>202</v>
      </c>
      <c r="TRR19" s="310" t="s">
        <v>202</v>
      </c>
      <c r="TRS19" s="310" t="s">
        <v>202</v>
      </c>
      <c r="TRT19" s="310" t="s">
        <v>202</v>
      </c>
      <c r="TRU19" s="310" t="s">
        <v>202</v>
      </c>
      <c r="TRV19" s="310" t="s">
        <v>202</v>
      </c>
      <c r="TRW19" s="310" t="s">
        <v>202</v>
      </c>
      <c r="TRX19" s="310" t="s">
        <v>202</v>
      </c>
      <c r="TRY19" s="310" t="s">
        <v>202</v>
      </c>
      <c r="TRZ19" s="310" t="s">
        <v>202</v>
      </c>
      <c r="TSA19" s="310" t="s">
        <v>202</v>
      </c>
      <c r="TSB19" s="310" t="s">
        <v>202</v>
      </c>
      <c r="TSC19" s="310" t="s">
        <v>202</v>
      </c>
      <c r="TSD19" s="310" t="s">
        <v>202</v>
      </c>
      <c r="TSE19" s="310" t="s">
        <v>202</v>
      </c>
      <c r="TSF19" s="310" t="s">
        <v>202</v>
      </c>
      <c r="TSG19" s="310" t="s">
        <v>202</v>
      </c>
      <c r="TSH19" s="310" t="s">
        <v>202</v>
      </c>
      <c r="TSI19" s="310" t="s">
        <v>202</v>
      </c>
      <c r="TSJ19" s="310" t="s">
        <v>202</v>
      </c>
      <c r="TSK19" s="310" t="s">
        <v>202</v>
      </c>
      <c r="TSL19" s="310" t="s">
        <v>202</v>
      </c>
      <c r="TSM19" s="310" t="s">
        <v>202</v>
      </c>
      <c r="TSN19" s="310" t="s">
        <v>202</v>
      </c>
      <c r="TSO19" s="310" t="s">
        <v>202</v>
      </c>
      <c r="TSP19" s="310" t="s">
        <v>202</v>
      </c>
      <c r="TSQ19" s="310" t="s">
        <v>202</v>
      </c>
      <c r="TSR19" s="310" t="s">
        <v>202</v>
      </c>
      <c r="TSS19" s="310" t="s">
        <v>202</v>
      </c>
      <c r="TST19" s="310" t="s">
        <v>202</v>
      </c>
      <c r="TSU19" s="310" t="s">
        <v>202</v>
      </c>
      <c r="TSV19" s="310" t="s">
        <v>202</v>
      </c>
      <c r="TSW19" s="310" t="s">
        <v>202</v>
      </c>
      <c r="TSX19" s="310" t="s">
        <v>202</v>
      </c>
      <c r="TSY19" s="310" t="s">
        <v>202</v>
      </c>
      <c r="TSZ19" s="310" t="s">
        <v>202</v>
      </c>
      <c r="TTA19" s="310" t="s">
        <v>202</v>
      </c>
      <c r="TTB19" s="310" t="s">
        <v>202</v>
      </c>
      <c r="TTC19" s="310" t="s">
        <v>202</v>
      </c>
      <c r="TTD19" s="310" t="s">
        <v>202</v>
      </c>
      <c r="TTE19" s="310" t="s">
        <v>202</v>
      </c>
      <c r="TTF19" s="310" t="s">
        <v>202</v>
      </c>
      <c r="TTG19" s="310" t="s">
        <v>202</v>
      </c>
      <c r="TTH19" s="310" t="s">
        <v>202</v>
      </c>
      <c r="TTI19" s="310" t="s">
        <v>202</v>
      </c>
      <c r="TTJ19" s="310" t="s">
        <v>202</v>
      </c>
      <c r="TTK19" s="310" t="s">
        <v>202</v>
      </c>
      <c r="TTL19" s="310" t="s">
        <v>202</v>
      </c>
      <c r="TTM19" s="310" t="s">
        <v>202</v>
      </c>
      <c r="TTN19" s="310" t="s">
        <v>202</v>
      </c>
      <c r="TTO19" s="310" t="s">
        <v>202</v>
      </c>
      <c r="TTP19" s="310" t="s">
        <v>202</v>
      </c>
      <c r="TTQ19" s="310" t="s">
        <v>202</v>
      </c>
      <c r="TTR19" s="310" t="s">
        <v>202</v>
      </c>
      <c r="TTS19" s="310" t="s">
        <v>202</v>
      </c>
      <c r="TTT19" s="310" t="s">
        <v>202</v>
      </c>
      <c r="TTU19" s="310" t="s">
        <v>202</v>
      </c>
      <c r="TTV19" s="310" t="s">
        <v>202</v>
      </c>
      <c r="TTW19" s="310" t="s">
        <v>202</v>
      </c>
      <c r="TTX19" s="310" t="s">
        <v>202</v>
      </c>
      <c r="TTY19" s="310" t="s">
        <v>202</v>
      </c>
      <c r="TTZ19" s="310" t="s">
        <v>202</v>
      </c>
      <c r="TUA19" s="310" t="s">
        <v>202</v>
      </c>
      <c r="TUB19" s="310" t="s">
        <v>202</v>
      </c>
      <c r="TUC19" s="310" t="s">
        <v>202</v>
      </c>
      <c r="TUD19" s="310" t="s">
        <v>202</v>
      </c>
      <c r="TUE19" s="310" t="s">
        <v>202</v>
      </c>
      <c r="TUF19" s="310" t="s">
        <v>202</v>
      </c>
      <c r="TUG19" s="310" t="s">
        <v>202</v>
      </c>
      <c r="TUH19" s="310" t="s">
        <v>202</v>
      </c>
      <c r="TUI19" s="310" t="s">
        <v>202</v>
      </c>
      <c r="TUJ19" s="310" t="s">
        <v>202</v>
      </c>
      <c r="TUK19" s="310" t="s">
        <v>202</v>
      </c>
      <c r="TUL19" s="310" t="s">
        <v>202</v>
      </c>
      <c r="TUM19" s="310" t="s">
        <v>202</v>
      </c>
      <c r="TUN19" s="310" t="s">
        <v>202</v>
      </c>
      <c r="TUO19" s="310" t="s">
        <v>202</v>
      </c>
      <c r="TUP19" s="310" t="s">
        <v>202</v>
      </c>
      <c r="TUQ19" s="310" t="s">
        <v>202</v>
      </c>
      <c r="TUR19" s="310" t="s">
        <v>202</v>
      </c>
      <c r="TUS19" s="310" t="s">
        <v>202</v>
      </c>
      <c r="TUT19" s="310" t="s">
        <v>202</v>
      </c>
      <c r="TUU19" s="310" t="s">
        <v>202</v>
      </c>
      <c r="TUV19" s="310" t="s">
        <v>202</v>
      </c>
      <c r="TUW19" s="310" t="s">
        <v>202</v>
      </c>
      <c r="TUX19" s="310" t="s">
        <v>202</v>
      </c>
      <c r="TUY19" s="310" t="s">
        <v>202</v>
      </c>
      <c r="TUZ19" s="310" t="s">
        <v>202</v>
      </c>
      <c r="TVA19" s="310" t="s">
        <v>202</v>
      </c>
      <c r="TVB19" s="310" t="s">
        <v>202</v>
      </c>
      <c r="TVC19" s="310" t="s">
        <v>202</v>
      </c>
      <c r="TVD19" s="310" t="s">
        <v>202</v>
      </c>
      <c r="TVE19" s="310" t="s">
        <v>202</v>
      </c>
      <c r="TVF19" s="310" t="s">
        <v>202</v>
      </c>
      <c r="TVG19" s="310" t="s">
        <v>202</v>
      </c>
      <c r="TVH19" s="310" t="s">
        <v>202</v>
      </c>
      <c r="TVI19" s="310" t="s">
        <v>202</v>
      </c>
      <c r="TVJ19" s="310" t="s">
        <v>202</v>
      </c>
      <c r="TVK19" s="310" t="s">
        <v>202</v>
      </c>
      <c r="TVL19" s="310" t="s">
        <v>202</v>
      </c>
      <c r="TVM19" s="310" t="s">
        <v>202</v>
      </c>
      <c r="TVN19" s="310" t="s">
        <v>202</v>
      </c>
      <c r="TVO19" s="310" t="s">
        <v>202</v>
      </c>
      <c r="TVP19" s="310" t="s">
        <v>202</v>
      </c>
      <c r="TVQ19" s="310" t="s">
        <v>202</v>
      </c>
      <c r="TVR19" s="310" t="s">
        <v>202</v>
      </c>
      <c r="TVS19" s="310" t="s">
        <v>202</v>
      </c>
      <c r="TVT19" s="310" t="s">
        <v>202</v>
      </c>
      <c r="TVU19" s="310" t="s">
        <v>202</v>
      </c>
      <c r="TVV19" s="310" t="s">
        <v>202</v>
      </c>
      <c r="TVW19" s="310" t="s">
        <v>202</v>
      </c>
      <c r="TVX19" s="310" t="s">
        <v>202</v>
      </c>
      <c r="TVY19" s="310" t="s">
        <v>202</v>
      </c>
      <c r="TVZ19" s="310" t="s">
        <v>202</v>
      </c>
      <c r="TWA19" s="310" t="s">
        <v>202</v>
      </c>
      <c r="TWB19" s="310" t="s">
        <v>202</v>
      </c>
      <c r="TWC19" s="310" t="s">
        <v>202</v>
      </c>
      <c r="TWD19" s="310" t="s">
        <v>202</v>
      </c>
      <c r="TWE19" s="310" t="s">
        <v>202</v>
      </c>
      <c r="TWF19" s="310" t="s">
        <v>202</v>
      </c>
      <c r="TWG19" s="310" t="s">
        <v>202</v>
      </c>
      <c r="TWH19" s="310" t="s">
        <v>202</v>
      </c>
      <c r="TWI19" s="310" t="s">
        <v>202</v>
      </c>
      <c r="TWJ19" s="310" t="s">
        <v>202</v>
      </c>
      <c r="TWK19" s="310" t="s">
        <v>202</v>
      </c>
      <c r="TWL19" s="310" t="s">
        <v>202</v>
      </c>
      <c r="TWM19" s="310" t="s">
        <v>202</v>
      </c>
      <c r="TWN19" s="310" t="s">
        <v>202</v>
      </c>
      <c r="TWO19" s="310" t="s">
        <v>202</v>
      </c>
      <c r="TWP19" s="310" t="s">
        <v>202</v>
      </c>
      <c r="TWQ19" s="310" t="s">
        <v>202</v>
      </c>
      <c r="TWR19" s="310" t="s">
        <v>202</v>
      </c>
      <c r="TWS19" s="310" t="s">
        <v>202</v>
      </c>
      <c r="TWT19" s="310" t="s">
        <v>202</v>
      </c>
      <c r="TWU19" s="310" t="s">
        <v>202</v>
      </c>
      <c r="TWV19" s="310" t="s">
        <v>202</v>
      </c>
      <c r="TWW19" s="310" t="s">
        <v>202</v>
      </c>
      <c r="TWX19" s="310" t="s">
        <v>202</v>
      </c>
      <c r="TWY19" s="310" t="s">
        <v>202</v>
      </c>
      <c r="TWZ19" s="310" t="s">
        <v>202</v>
      </c>
      <c r="TXA19" s="310" t="s">
        <v>202</v>
      </c>
      <c r="TXB19" s="310" t="s">
        <v>202</v>
      </c>
      <c r="TXC19" s="310" t="s">
        <v>202</v>
      </c>
      <c r="TXD19" s="310" t="s">
        <v>202</v>
      </c>
      <c r="TXE19" s="310" t="s">
        <v>202</v>
      </c>
      <c r="TXF19" s="310" t="s">
        <v>202</v>
      </c>
      <c r="TXG19" s="310" t="s">
        <v>202</v>
      </c>
      <c r="TXH19" s="310" t="s">
        <v>202</v>
      </c>
      <c r="TXI19" s="310" t="s">
        <v>202</v>
      </c>
      <c r="TXJ19" s="310" t="s">
        <v>202</v>
      </c>
      <c r="TXK19" s="310" t="s">
        <v>202</v>
      </c>
      <c r="TXL19" s="310" t="s">
        <v>202</v>
      </c>
      <c r="TXM19" s="310" t="s">
        <v>202</v>
      </c>
      <c r="TXN19" s="310" t="s">
        <v>202</v>
      </c>
      <c r="TXO19" s="310" t="s">
        <v>202</v>
      </c>
      <c r="TXP19" s="310" t="s">
        <v>202</v>
      </c>
      <c r="TXQ19" s="310" t="s">
        <v>202</v>
      </c>
      <c r="TXR19" s="310" t="s">
        <v>202</v>
      </c>
      <c r="TXS19" s="310" t="s">
        <v>202</v>
      </c>
      <c r="TXT19" s="310" t="s">
        <v>202</v>
      </c>
      <c r="TXU19" s="310" t="s">
        <v>202</v>
      </c>
      <c r="TXV19" s="310" t="s">
        <v>202</v>
      </c>
      <c r="TXW19" s="310" t="s">
        <v>202</v>
      </c>
      <c r="TXX19" s="310" t="s">
        <v>202</v>
      </c>
      <c r="TXY19" s="310" t="s">
        <v>202</v>
      </c>
      <c r="TXZ19" s="310" t="s">
        <v>202</v>
      </c>
      <c r="TYA19" s="310" t="s">
        <v>202</v>
      </c>
      <c r="TYB19" s="310" t="s">
        <v>202</v>
      </c>
      <c r="TYC19" s="310" t="s">
        <v>202</v>
      </c>
      <c r="TYD19" s="310" t="s">
        <v>202</v>
      </c>
      <c r="TYE19" s="310" t="s">
        <v>202</v>
      </c>
      <c r="TYF19" s="310" t="s">
        <v>202</v>
      </c>
      <c r="TYG19" s="310" t="s">
        <v>202</v>
      </c>
      <c r="TYH19" s="310" t="s">
        <v>202</v>
      </c>
      <c r="TYI19" s="310" t="s">
        <v>202</v>
      </c>
      <c r="TYJ19" s="310" t="s">
        <v>202</v>
      </c>
      <c r="TYK19" s="310" t="s">
        <v>202</v>
      </c>
      <c r="TYL19" s="310" t="s">
        <v>202</v>
      </c>
      <c r="TYM19" s="310" t="s">
        <v>202</v>
      </c>
      <c r="TYN19" s="310" t="s">
        <v>202</v>
      </c>
      <c r="TYO19" s="310" t="s">
        <v>202</v>
      </c>
      <c r="TYP19" s="310" t="s">
        <v>202</v>
      </c>
      <c r="TYQ19" s="310" t="s">
        <v>202</v>
      </c>
      <c r="TYR19" s="310" t="s">
        <v>202</v>
      </c>
      <c r="TYS19" s="310" t="s">
        <v>202</v>
      </c>
      <c r="TYT19" s="310" t="s">
        <v>202</v>
      </c>
      <c r="TYU19" s="310" t="s">
        <v>202</v>
      </c>
      <c r="TYV19" s="310" t="s">
        <v>202</v>
      </c>
      <c r="TYW19" s="310" t="s">
        <v>202</v>
      </c>
      <c r="TYX19" s="310" t="s">
        <v>202</v>
      </c>
      <c r="TYY19" s="310" t="s">
        <v>202</v>
      </c>
      <c r="TYZ19" s="310" t="s">
        <v>202</v>
      </c>
      <c r="TZA19" s="310" t="s">
        <v>202</v>
      </c>
      <c r="TZB19" s="310" t="s">
        <v>202</v>
      </c>
      <c r="TZC19" s="310" t="s">
        <v>202</v>
      </c>
      <c r="TZD19" s="310" t="s">
        <v>202</v>
      </c>
      <c r="TZE19" s="310" t="s">
        <v>202</v>
      </c>
      <c r="TZF19" s="310" t="s">
        <v>202</v>
      </c>
      <c r="TZG19" s="310" t="s">
        <v>202</v>
      </c>
      <c r="TZH19" s="310" t="s">
        <v>202</v>
      </c>
      <c r="TZI19" s="310" t="s">
        <v>202</v>
      </c>
      <c r="TZJ19" s="310" t="s">
        <v>202</v>
      </c>
      <c r="TZK19" s="310" t="s">
        <v>202</v>
      </c>
      <c r="TZL19" s="310" t="s">
        <v>202</v>
      </c>
      <c r="TZM19" s="310" t="s">
        <v>202</v>
      </c>
      <c r="TZN19" s="310" t="s">
        <v>202</v>
      </c>
      <c r="TZO19" s="310" t="s">
        <v>202</v>
      </c>
      <c r="TZP19" s="310" t="s">
        <v>202</v>
      </c>
      <c r="TZQ19" s="310" t="s">
        <v>202</v>
      </c>
      <c r="TZR19" s="310" t="s">
        <v>202</v>
      </c>
      <c r="TZS19" s="310" t="s">
        <v>202</v>
      </c>
      <c r="TZT19" s="310" t="s">
        <v>202</v>
      </c>
      <c r="TZU19" s="310" t="s">
        <v>202</v>
      </c>
      <c r="TZV19" s="310" t="s">
        <v>202</v>
      </c>
      <c r="TZW19" s="310" t="s">
        <v>202</v>
      </c>
      <c r="TZX19" s="310" t="s">
        <v>202</v>
      </c>
      <c r="TZY19" s="310" t="s">
        <v>202</v>
      </c>
      <c r="TZZ19" s="310" t="s">
        <v>202</v>
      </c>
      <c r="UAA19" s="310" t="s">
        <v>202</v>
      </c>
      <c r="UAB19" s="310" t="s">
        <v>202</v>
      </c>
      <c r="UAC19" s="310" t="s">
        <v>202</v>
      </c>
      <c r="UAD19" s="310" t="s">
        <v>202</v>
      </c>
      <c r="UAE19" s="310" t="s">
        <v>202</v>
      </c>
      <c r="UAF19" s="310" t="s">
        <v>202</v>
      </c>
      <c r="UAG19" s="310" t="s">
        <v>202</v>
      </c>
      <c r="UAH19" s="310" t="s">
        <v>202</v>
      </c>
      <c r="UAI19" s="310" t="s">
        <v>202</v>
      </c>
      <c r="UAJ19" s="310" t="s">
        <v>202</v>
      </c>
      <c r="UAK19" s="310" t="s">
        <v>202</v>
      </c>
      <c r="UAL19" s="310" t="s">
        <v>202</v>
      </c>
      <c r="UAM19" s="310" t="s">
        <v>202</v>
      </c>
      <c r="UAN19" s="310" t="s">
        <v>202</v>
      </c>
      <c r="UAO19" s="310" t="s">
        <v>202</v>
      </c>
      <c r="UAP19" s="310" t="s">
        <v>202</v>
      </c>
      <c r="UAQ19" s="310" t="s">
        <v>202</v>
      </c>
      <c r="UAR19" s="310" t="s">
        <v>202</v>
      </c>
      <c r="UAS19" s="310" t="s">
        <v>202</v>
      </c>
      <c r="UAT19" s="310" t="s">
        <v>202</v>
      </c>
      <c r="UAU19" s="310" t="s">
        <v>202</v>
      </c>
      <c r="UAV19" s="310" t="s">
        <v>202</v>
      </c>
      <c r="UAW19" s="310" t="s">
        <v>202</v>
      </c>
      <c r="UAX19" s="310" t="s">
        <v>202</v>
      </c>
      <c r="UAY19" s="310" t="s">
        <v>202</v>
      </c>
      <c r="UAZ19" s="310" t="s">
        <v>202</v>
      </c>
      <c r="UBA19" s="310" t="s">
        <v>202</v>
      </c>
      <c r="UBB19" s="310" t="s">
        <v>202</v>
      </c>
      <c r="UBC19" s="310" t="s">
        <v>202</v>
      </c>
      <c r="UBD19" s="310" t="s">
        <v>202</v>
      </c>
      <c r="UBE19" s="310" t="s">
        <v>202</v>
      </c>
      <c r="UBF19" s="310" t="s">
        <v>202</v>
      </c>
      <c r="UBG19" s="310" t="s">
        <v>202</v>
      </c>
      <c r="UBH19" s="310" t="s">
        <v>202</v>
      </c>
      <c r="UBI19" s="310" t="s">
        <v>202</v>
      </c>
      <c r="UBJ19" s="310" t="s">
        <v>202</v>
      </c>
      <c r="UBK19" s="310" t="s">
        <v>202</v>
      </c>
      <c r="UBL19" s="310" t="s">
        <v>202</v>
      </c>
      <c r="UBM19" s="310" t="s">
        <v>202</v>
      </c>
      <c r="UBN19" s="310" t="s">
        <v>202</v>
      </c>
      <c r="UBO19" s="310" t="s">
        <v>202</v>
      </c>
      <c r="UBP19" s="310" t="s">
        <v>202</v>
      </c>
      <c r="UBQ19" s="310" t="s">
        <v>202</v>
      </c>
      <c r="UBR19" s="310" t="s">
        <v>202</v>
      </c>
      <c r="UBS19" s="310" t="s">
        <v>202</v>
      </c>
      <c r="UBT19" s="310" t="s">
        <v>202</v>
      </c>
      <c r="UBU19" s="310" t="s">
        <v>202</v>
      </c>
      <c r="UBV19" s="310" t="s">
        <v>202</v>
      </c>
      <c r="UBW19" s="310" t="s">
        <v>202</v>
      </c>
      <c r="UBX19" s="310" t="s">
        <v>202</v>
      </c>
      <c r="UBY19" s="310" t="s">
        <v>202</v>
      </c>
      <c r="UBZ19" s="310" t="s">
        <v>202</v>
      </c>
      <c r="UCA19" s="310" t="s">
        <v>202</v>
      </c>
      <c r="UCB19" s="310" t="s">
        <v>202</v>
      </c>
      <c r="UCC19" s="310" t="s">
        <v>202</v>
      </c>
      <c r="UCD19" s="310" t="s">
        <v>202</v>
      </c>
      <c r="UCE19" s="310" t="s">
        <v>202</v>
      </c>
      <c r="UCF19" s="310" t="s">
        <v>202</v>
      </c>
      <c r="UCG19" s="310" t="s">
        <v>202</v>
      </c>
      <c r="UCH19" s="310" t="s">
        <v>202</v>
      </c>
      <c r="UCI19" s="310" t="s">
        <v>202</v>
      </c>
      <c r="UCJ19" s="310" t="s">
        <v>202</v>
      </c>
      <c r="UCK19" s="310" t="s">
        <v>202</v>
      </c>
      <c r="UCL19" s="310" t="s">
        <v>202</v>
      </c>
      <c r="UCM19" s="310" t="s">
        <v>202</v>
      </c>
      <c r="UCN19" s="310" t="s">
        <v>202</v>
      </c>
      <c r="UCO19" s="310" t="s">
        <v>202</v>
      </c>
      <c r="UCP19" s="310" t="s">
        <v>202</v>
      </c>
      <c r="UCQ19" s="310" t="s">
        <v>202</v>
      </c>
      <c r="UCR19" s="310" t="s">
        <v>202</v>
      </c>
      <c r="UCS19" s="310" t="s">
        <v>202</v>
      </c>
      <c r="UCT19" s="310" t="s">
        <v>202</v>
      </c>
      <c r="UCU19" s="310" t="s">
        <v>202</v>
      </c>
      <c r="UCV19" s="310" t="s">
        <v>202</v>
      </c>
      <c r="UCW19" s="310" t="s">
        <v>202</v>
      </c>
      <c r="UCX19" s="310" t="s">
        <v>202</v>
      </c>
      <c r="UCY19" s="310" t="s">
        <v>202</v>
      </c>
      <c r="UCZ19" s="310" t="s">
        <v>202</v>
      </c>
      <c r="UDA19" s="310" t="s">
        <v>202</v>
      </c>
      <c r="UDB19" s="310" t="s">
        <v>202</v>
      </c>
      <c r="UDC19" s="310" t="s">
        <v>202</v>
      </c>
      <c r="UDD19" s="310" t="s">
        <v>202</v>
      </c>
      <c r="UDE19" s="310" t="s">
        <v>202</v>
      </c>
      <c r="UDF19" s="310" t="s">
        <v>202</v>
      </c>
      <c r="UDG19" s="310" t="s">
        <v>202</v>
      </c>
      <c r="UDH19" s="310" t="s">
        <v>202</v>
      </c>
      <c r="UDI19" s="310" t="s">
        <v>202</v>
      </c>
      <c r="UDJ19" s="310" t="s">
        <v>202</v>
      </c>
      <c r="UDK19" s="310" t="s">
        <v>202</v>
      </c>
      <c r="UDL19" s="310" t="s">
        <v>202</v>
      </c>
      <c r="UDM19" s="310" t="s">
        <v>202</v>
      </c>
      <c r="UDN19" s="310" t="s">
        <v>202</v>
      </c>
      <c r="UDO19" s="310" t="s">
        <v>202</v>
      </c>
      <c r="UDP19" s="310" t="s">
        <v>202</v>
      </c>
      <c r="UDQ19" s="310" t="s">
        <v>202</v>
      </c>
      <c r="UDR19" s="310" t="s">
        <v>202</v>
      </c>
      <c r="UDS19" s="310" t="s">
        <v>202</v>
      </c>
      <c r="UDT19" s="310" t="s">
        <v>202</v>
      </c>
      <c r="UDU19" s="310" t="s">
        <v>202</v>
      </c>
      <c r="UDV19" s="310" t="s">
        <v>202</v>
      </c>
      <c r="UDW19" s="310" t="s">
        <v>202</v>
      </c>
      <c r="UDX19" s="310" t="s">
        <v>202</v>
      </c>
      <c r="UDY19" s="310" t="s">
        <v>202</v>
      </c>
      <c r="UDZ19" s="310" t="s">
        <v>202</v>
      </c>
      <c r="UEA19" s="310" t="s">
        <v>202</v>
      </c>
      <c r="UEB19" s="310" t="s">
        <v>202</v>
      </c>
      <c r="UEC19" s="310" t="s">
        <v>202</v>
      </c>
      <c r="UED19" s="310" t="s">
        <v>202</v>
      </c>
      <c r="UEE19" s="310" t="s">
        <v>202</v>
      </c>
      <c r="UEF19" s="310" t="s">
        <v>202</v>
      </c>
      <c r="UEG19" s="310" t="s">
        <v>202</v>
      </c>
      <c r="UEH19" s="310" t="s">
        <v>202</v>
      </c>
      <c r="UEI19" s="310" t="s">
        <v>202</v>
      </c>
      <c r="UEJ19" s="310" t="s">
        <v>202</v>
      </c>
      <c r="UEK19" s="310" t="s">
        <v>202</v>
      </c>
      <c r="UEL19" s="310" t="s">
        <v>202</v>
      </c>
      <c r="UEM19" s="310" t="s">
        <v>202</v>
      </c>
      <c r="UEN19" s="310" t="s">
        <v>202</v>
      </c>
      <c r="UEO19" s="310" t="s">
        <v>202</v>
      </c>
      <c r="UEP19" s="310" t="s">
        <v>202</v>
      </c>
      <c r="UEQ19" s="310" t="s">
        <v>202</v>
      </c>
      <c r="UER19" s="310" t="s">
        <v>202</v>
      </c>
      <c r="UES19" s="310" t="s">
        <v>202</v>
      </c>
      <c r="UET19" s="310" t="s">
        <v>202</v>
      </c>
      <c r="UEU19" s="310" t="s">
        <v>202</v>
      </c>
      <c r="UEV19" s="310" t="s">
        <v>202</v>
      </c>
      <c r="UEW19" s="310" t="s">
        <v>202</v>
      </c>
      <c r="UEX19" s="310" t="s">
        <v>202</v>
      </c>
      <c r="UEY19" s="310" t="s">
        <v>202</v>
      </c>
      <c r="UEZ19" s="310" t="s">
        <v>202</v>
      </c>
      <c r="UFA19" s="310" t="s">
        <v>202</v>
      </c>
      <c r="UFB19" s="310" t="s">
        <v>202</v>
      </c>
      <c r="UFC19" s="310" t="s">
        <v>202</v>
      </c>
      <c r="UFD19" s="310" t="s">
        <v>202</v>
      </c>
      <c r="UFE19" s="310" t="s">
        <v>202</v>
      </c>
      <c r="UFF19" s="310" t="s">
        <v>202</v>
      </c>
      <c r="UFG19" s="310" t="s">
        <v>202</v>
      </c>
      <c r="UFH19" s="310" t="s">
        <v>202</v>
      </c>
      <c r="UFI19" s="310" t="s">
        <v>202</v>
      </c>
      <c r="UFJ19" s="310" t="s">
        <v>202</v>
      </c>
      <c r="UFK19" s="310" t="s">
        <v>202</v>
      </c>
      <c r="UFL19" s="310" t="s">
        <v>202</v>
      </c>
      <c r="UFM19" s="310" t="s">
        <v>202</v>
      </c>
      <c r="UFN19" s="310" t="s">
        <v>202</v>
      </c>
      <c r="UFO19" s="310" t="s">
        <v>202</v>
      </c>
      <c r="UFP19" s="310" t="s">
        <v>202</v>
      </c>
      <c r="UFQ19" s="310" t="s">
        <v>202</v>
      </c>
      <c r="UFR19" s="310" t="s">
        <v>202</v>
      </c>
      <c r="UFS19" s="310" t="s">
        <v>202</v>
      </c>
      <c r="UFT19" s="310" t="s">
        <v>202</v>
      </c>
      <c r="UFU19" s="310" t="s">
        <v>202</v>
      </c>
      <c r="UFV19" s="310" t="s">
        <v>202</v>
      </c>
      <c r="UFW19" s="310" t="s">
        <v>202</v>
      </c>
      <c r="UFX19" s="310" t="s">
        <v>202</v>
      </c>
      <c r="UFY19" s="310" t="s">
        <v>202</v>
      </c>
      <c r="UFZ19" s="310" t="s">
        <v>202</v>
      </c>
      <c r="UGA19" s="310" t="s">
        <v>202</v>
      </c>
      <c r="UGB19" s="310" t="s">
        <v>202</v>
      </c>
      <c r="UGC19" s="310" t="s">
        <v>202</v>
      </c>
      <c r="UGD19" s="310" t="s">
        <v>202</v>
      </c>
      <c r="UGE19" s="310" t="s">
        <v>202</v>
      </c>
      <c r="UGF19" s="310" t="s">
        <v>202</v>
      </c>
      <c r="UGG19" s="310" t="s">
        <v>202</v>
      </c>
      <c r="UGH19" s="310" t="s">
        <v>202</v>
      </c>
      <c r="UGI19" s="310" t="s">
        <v>202</v>
      </c>
      <c r="UGJ19" s="310" t="s">
        <v>202</v>
      </c>
      <c r="UGK19" s="310" t="s">
        <v>202</v>
      </c>
      <c r="UGL19" s="310" t="s">
        <v>202</v>
      </c>
      <c r="UGM19" s="310" t="s">
        <v>202</v>
      </c>
      <c r="UGN19" s="310" t="s">
        <v>202</v>
      </c>
      <c r="UGO19" s="310" t="s">
        <v>202</v>
      </c>
      <c r="UGP19" s="310" t="s">
        <v>202</v>
      </c>
      <c r="UGQ19" s="310" t="s">
        <v>202</v>
      </c>
      <c r="UGR19" s="310" t="s">
        <v>202</v>
      </c>
      <c r="UGS19" s="310" t="s">
        <v>202</v>
      </c>
      <c r="UGT19" s="310" t="s">
        <v>202</v>
      </c>
      <c r="UGU19" s="310" t="s">
        <v>202</v>
      </c>
      <c r="UGV19" s="310" t="s">
        <v>202</v>
      </c>
      <c r="UGW19" s="310" t="s">
        <v>202</v>
      </c>
      <c r="UGX19" s="310" t="s">
        <v>202</v>
      </c>
      <c r="UGY19" s="310" t="s">
        <v>202</v>
      </c>
      <c r="UGZ19" s="310" t="s">
        <v>202</v>
      </c>
      <c r="UHA19" s="310" t="s">
        <v>202</v>
      </c>
      <c r="UHB19" s="310" t="s">
        <v>202</v>
      </c>
      <c r="UHC19" s="310" t="s">
        <v>202</v>
      </c>
      <c r="UHD19" s="310" t="s">
        <v>202</v>
      </c>
      <c r="UHE19" s="310" t="s">
        <v>202</v>
      </c>
      <c r="UHF19" s="310" t="s">
        <v>202</v>
      </c>
      <c r="UHG19" s="310" t="s">
        <v>202</v>
      </c>
      <c r="UHH19" s="310" t="s">
        <v>202</v>
      </c>
      <c r="UHI19" s="310" t="s">
        <v>202</v>
      </c>
      <c r="UHJ19" s="310" t="s">
        <v>202</v>
      </c>
      <c r="UHK19" s="310" t="s">
        <v>202</v>
      </c>
      <c r="UHL19" s="310" t="s">
        <v>202</v>
      </c>
      <c r="UHM19" s="310" t="s">
        <v>202</v>
      </c>
      <c r="UHN19" s="310" t="s">
        <v>202</v>
      </c>
      <c r="UHO19" s="310" t="s">
        <v>202</v>
      </c>
      <c r="UHP19" s="310" t="s">
        <v>202</v>
      </c>
      <c r="UHQ19" s="310" t="s">
        <v>202</v>
      </c>
      <c r="UHR19" s="310" t="s">
        <v>202</v>
      </c>
      <c r="UHS19" s="310" t="s">
        <v>202</v>
      </c>
      <c r="UHT19" s="310" t="s">
        <v>202</v>
      </c>
      <c r="UHU19" s="310" t="s">
        <v>202</v>
      </c>
      <c r="UHV19" s="310" t="s">
        <v>202</v>
      </c>
      <c r="UHW19" s="310" t="s">
        <v>202</v>
      </c>
      <c r="UHX19" s="310" t="s">
        <v>202</v>
      </c>
      <c r="UHY19" s="310" t="s">
        <v>202</v>
      </c>
      <c r="UHZ19" s="310" t="s">
        <v>202</v>
      </c>
      <c r="UIA19" s="310" t="s">
        <v>202</v>
      </c>
      <c r="UIB19" s="310" t="s">
        <v>202</v>
      </c>
      <c r="UIC19" s="310" t="s">
        <v>202</v>
      </c>
      <c r="UID19" s="310" t="s">
        <v>202</v>
      </c>
      <c r="UIE19" s="310" t="s">
        <v>202</v>
      </c>
      <c r="UIF19" s="310" t="s">
        <v>202</v>
      </c>
      <c r="UIG19" s="310" t="s">
        <v>202</v>
      </c>
      <c r="UIH19" s="310" t="s">
        <v>202</v>
      </c>
      <c r="UII19" s="310" t="s">
        <v>202</v>
      </c>
      <c r="UIJ19" s="310" t="s">
        <v>202</v>
      </c>
      <c r="UIK19" s="310" t="s">
        <v>202</v>
      </c>
      <c r="UIL19" s="310" t="s">
        <v>202</v>
      </c>
      <c r="UIM19" s="310" t="s">
        <v>202</v>
      </c>
      <c r="UIN19" s="310" t="s">
        <v>202</v>
      </c>
      <c r="UIO19" s="310" t="s">
        <v>202</v>
      </c>
      <c r="UIP19" s="310" t="s">
        <v>202</v>
      </c>
      <c r="UIQ19" s="310" t="s">
        <v>202</v>
      </c>
      <c r="UIR19" s="310" t="s">
        <v>202</v>
      </c>
      <c r="UIS19" s="310" t="s">
        <v>202</v>
      </c>
      <c r="UIT19" s="310" t="s">
        <v>202</v>
      </c>
      <c r="UIU19" s="310" t="s">
        <v>202</v>
      </c>
      <c r="UIV19" s="310" t="s">
        <v>202</v>
      </c>
      <c r="UIW19" s="310" t="s">
        <v>202</v>
      </c>
      <c r="UIX19" s="310" t="s">
        <v>202</v>
      </c>
      <c r="UIY19" s="310" t="s">
        <v>202</v>
      </c>
      <c r="UIZ19" s="310" t="s">
        <v>202</v>
      </c>
      <c r="UJA19" s="310" t="s">
        <v>202</v>
      </c>
      <c r="UJB19" s="310" t="s">
        <v>202</v>
      </c>
      <c r="UJC19" s="310" t="s">
        <v>202</v>
      </c>
      <c r="UJD19" s="310" t="s">
        <v>202</v>
      </c>
      <c r="UJE19" s="310" t="s">
        <v>202</v>
      </c>
      <c r="UJF19" s="310" t="s">
        <v>202</v>
      </c>
      <c r="UJG19" s="310" t="s">
        <v>202</v>
      </c>
      <c r="UJH19" s="310" t="s">
        <v>202</v>
      </c>
      <c r="UJI19" s="310" t="s">
        <v>202</v>
      </c>
      <c r="UJJ19" s="310" t="s">
        <v>202</v>
      </c>
      <c r="UJK19" s="310" t="s">
        <v>202</v>
      </c>
      <c r="UJL19" s="310" t="s">
        <v>202</v>
      </c>
      <c r="UJM19" s="310" t="s">
        <v>202</v>
      </c>
      <c r="UJN19" s="310" t="s">
        <v>202</v>
      </c>
      <c r="UJO19" s="310" t="s">
        <v>202</v>
      </c>
      <c r="UJP19" s="310" t="s">
        <v>202</v>
      </c>
      <c r="UJQ19" s="310" t="s">
        <v>202</v>
      </c>
      <c r="UJR19" s="310" t="s">
        <v>202</v>
      </c>
      <c r="UJS19" s="310" t="s">
        <v>202</v>
      </c>
      <c r="UJT19" s="310" t="s">
        <v>202</v>
      </c>
      <c r="UJU19" s="310" t="s">
        <v>202</v>
      </c>
      <c r="UJV19" s="310" t="s">
        <v>202</v>
      </c>
      <c r="UJW19" s="310" t="s">
        <v>202</v>
      </c>
      <c r="UJX19" s="310" t="s">
        <v>202</v>
      </c>
      <c r="UJY19" s="310" t="s">
        <v>202</v>
      </c>
      <c r="UJZ19" s="310" t="s">
        <v>202</v>
      </c>
      <c r="UKA19" s="310" t="s">
        <v>202</v>
      </c>
      <c r="UKB19" s="310" t="s">
        <v>202</v>
      </c>
      <c r="UKC19" s="310" t="s">
        <v>202</v>
      </c>
      <c r="UKD19" s="310" t="s">
        <v>202</v>
      </c>
      <c r="UKE19" s="310" t="s">
        <v>202</v>
      </c>
      <c r="UKF19" s="310" t="s">
        <v>202</v>
      </c>
      <c r="UKG19" s="310" t="s">
        <v>202</v>
      </c>
      <c r="UKH19" s="310" t="s">
        <v>202</v>
      </c>
      <c r="UKI19" s="310" t="s">
        <v>202</v>
      </c>
      <c r="UKJ19" s="310" t="s">
        <v>202</v>
      </c>
      <c r="UKK19" s="310" t="s">
        <v>202</v>
      </c>
      <c r="UKL19" s="310" t="s">
        <v>202</v>
      </c>
      <c r="UKM19" s="310" t="s">
        <v>202</v>
      </c>
      <c r="UKN19" s="310" t="s">
        <v>202</v>
      </c>
      <c r="UKO19" s="310" t="s">
        <v>202</v>
      </c>
      <c r="UKP19" s="310" t="s">
        <v>202</v>
      </c>
      <c r="UKQ19" s="310" t="s">
        <v>202</v>
      </c>
      <c r="UKR19" s="310" t="s">
        <v>202</v>
      </c>
      <c r="UKS19" s="310" t="s">
        <v>202</v>
      </c>
      <c r="UKT19" s="310" t="s">
        <v>202</v>
      </c>
      <c r="UKU19" s="310" t="s">
        <v>202</v>
      </c>
      <c r="UKV19" s="310" t="s">
        <v>202</v>
      </c>
      <c r="UKW19" s="310" t="s">
        <v>202</v>
      </c>
      <c r="UKX19" s="310" t="s">
        <v>202</v>
      </c>
      <c r="UKY19" s="310" t="s">
        <v>202</v>
      </c>
      <c r="UKZ19" s="310" t="s">
        <v>202</v>
      </c>
      <c r="ULA19" s="310" t="s">
        <v>202</v>
      </c>
      <c r="ULB19" s="310" t="s">
        <v>202</v>
      </c>
      <c r="ULC19" s="310" t="s">
        <v>202</v>
      </c>
      <c r="ULD19" s="310" t="s">
        <v>202</v>
      </c>
      <c r="ULE19" s="310" t="s">
        <v>202</v>
      </c>
      <c r="ULF19" s="310" t="s">
        <v>202</v>
      </c>
      <c r="ULG19" s="310" t="s">
        <v>202</v>
      </c>
      <c r="ULH19" s="310" t="s">
        <v>202</v>
      </c>
      <c r="ULI19" s="310" t="s">
        <v>202</v>
      </c>
      <c r="ULJ19" s="310" t="s">
        <v>202</v>
      </c>
      <c r="ULK19" s="310" t="s">
        <v>202</v>
      </c>
      <c r="ULL19" s="310" t="s">
        <v>202</v>
      </c>
      <c r="ULM19" s="310" t="s">
        <v>202</v>
      </c>
      <c r="ULN19" s="310" t="s">
        <v>202</v>
      </c>
      <c r="ULO19" s="310" t="s">
        <v>202</v>
      </c>
      <c r="ULP19" s="310" t="s">
        <v>202</v>
      </c>
      <c r="ULQ19" s="310" t="s">
        <v>202</v>
      </c>
      <c r="ULR19" s="310" t="s">
        <v>202</v>
      </c>
      <c r="ULS19" s="310" t="s">
        <v>202</v>
      </c>
      <c r="ULT19" s="310" t="s">
        <v>202</v>
      </c>
      <c r="ULU19" s="310" t="s">
        <v>202</v>
      </c>
      <c r="ULV19" s="310" t="s">
        <v>202</v>
      </c>
      <c r="ULW19" s="310" t="s">
        <v>202</v>
      </c>
      <c r="ULX19" s="310" t="s">
        <v>202</v>
      </c>
      <c r="ULY19" s="310" t="s">
        <v>202</v>
      </c>
      <c r="ULZ19" s="310" t="s">
        <v>202</v>
      </c>
      <c r="UMA19" s="310" t="s">
        <v>202</v>
      </c>
      <c r="UMB19" s="310" t="s">
        <v>202</v>
      </c>
      <c r="UMC19" s="310" t="s">
        <v>202</v>
      </c>
      <c r="UMD19" s="310" t="s">
        <v>202</v>
      </c>
      <c r="UME19" s="310" t="s">
        <v>202</v>
      </c>
      <c r="UMF19" s="310" t="s">
        <v>202</v>
      </c>
      <c r="UMG19" s="310" t="s">
        <v>202</v>
      </c>
      <c r="UMH19" s="310" t="s">
        <v>202</v>
      </c>
      <c r="UMI19" s="310" t="s">
        <v>202</v>
      </c>
      <c r="UMJ19" s="310" t="s">
        <v>202</v>
      </c>
      <c r="UMK19" s="310" t="s">
        <v>202</v>
      </c>
      <c r="UML19" s="310" t="s">
        <v>202</v>
      </c>
      <c r="UMM19" s="310" t="s">
        <v>202</v>
      </c>
      <c r="UMN19" s="310" t="s">
        <v>202</v>
      </c>
      <c r="UMO19" s="310" t="s">
        <v>202</v>
      </c>
      <c r="UMP19" s="310" t="s">
        <v>202</v>
      </c>
      <c r="UMQ19" s="310" t="s">
        <v>202</v>
      </c>
      <c r="UMR19" s="310" t="s">
        <v>202</v>
      </c>
      <c r="UMS19" s="310" t="s">
        <v>202</v>
      </c>
      <c r="UMT19" s="310" t="s">
        <v>202</v>
      </c>
      <c r="UMU19" s="310" t="s">
        <v>202</v>
      </c>
      <c r="UMV19" s="310" t="s">
        <v>202</v>
      </c>
      <c r="UMW19" s="310" t="s">
        <v>202</v>
      </c>
      <c r="UMX19" s="310" t="s">
        <v>202</v>
      </c>
      <c r="UMY19" s="310" t="s">
        <v>202</v>
      </c>
      <c r="UMZ19" s="310" t="s">
        <v>202</v>
      </c>
      <c r="UNA19" s="310" t="s">
        <v>202</v>
      </c>
      <c r="UNB19" s="310" t="s">
        <v>202</v>
      </c>
      <c r="UNC19" s="310" t="s">
        <v>202</v>
      </c>
      <c r="UND19" s="310" t="s">
        <v>202</v>
      </c>
      <c r="UNE19" s="310" t="s">
        <v>202</v>
      </c>
      <c r="UNF19" s="310" t="s">
        <v>202</v>
      </c>
      <c r="UNG19" s="310" t="s">
        <v>202</v>
      </c>
      <c r="UNH19" s="310" t="s">
        <v>202</v>
      </c>
      <c r="UNI19" s="310" t="s">
        <v>202</v>
      </c>
      <c r="UNJ19" s="310" t="s">
        <v>202</v>
      </c>
      <c r="UNK19" s="310" t="s">
        <v>202</v>
      </c>
      <c r="UNL19" s="310" t="s">
        <v>202</v>
      </c>
      <c r="UNM19" s="310" t="s">
        <v>202</v>
      </c>
      <c r="UNN19" s="310" t="s">
        <v>202</v>
      </c>
      <c r="UNO19" s="310" t="s">
        <v>202</v>
      </c>
      <c r="UNP19" s="310" t="s">
        <v>202</v>
      </c>
      <c r="UNQ19" s="310" t="s">
        <v>202</v>
      </c>
      <c r="UNR19" s="310" t="s">
        <v>202</v>
      </c>
      <c r="UNS19" s="310" t="s">
        <v>202</v>
      </c>
      <c r="UNT19" s="310" t="s">
        <v>202</v>
      </c>
      <c r="UNU19" s="310" t="s">
        <v>202</v>
      </c>
      <c r="UNV19" s="310" t="s">
        <v>202</v>
      </c>
      <c r="UNW19" s="310" t="s">
        <v>202</v>
      </c>
      <c r="UNX19" s="310" t="s">
        <v>202</v>
      </c>
      <c r="UNY19" s="310" t="s">
        <v>202</v>
      </c>
      <c r="UNZ19" s="310" t="s">
        <v>202</v>
      </c>
      <c r="UOA19" s="310" t="s">
        <v>202</v>
      </c>
      <c r="UOB19" s="310" t="s">
        <v>202</v>
      </c>
      <c r="UOC19" s="310" t="s">
        <v>202</v>
      </c>
      <c r="UOD19" s="310" t="s">
        <v>202</v>
      </c>
      <c r="UOE19" s="310" t="s">
        <v>202</v>
      </c>
      <c r="UOF19" s="310" t="s">
        <v>202</v>
      </c>
      <c r="UOG19" s="310" t="s">
        <v>202</v>
      </c>
      <c r="UOH19" s="310" t="s">
        <v>202</v>
      </c>
      <c r="UOI19" s="310" t="s">
        <v>202</v>
      </c>
      <c r="UOJ19" s="310" t="s">
        <v>202</v>
      </c>
      <c r="UOK19" s="310" t="s">
        <v>202</v>
      </c>
      <c r="UOL19" s="310" t="s">
        <v>202</v>
      </c>
      <c r="UOM19" s="310" t="s">
        <v>202</v>
      </c>
      <c r="UON19" s="310" t="s">
        <v>202</v>
      </c>
      <c r="UOO19" s="310" t="s">
        <v>202</v>
      </c>
      <c r="UOP19" s="310" t="s">
        <v>202</v>
      </c>
      <c r="UOQ19" s="310" t="s">
        <v>202</v>
      </c>
      <c r="UOR19" s="310" t="s">
        <v>202</v>
      </c>
      <c r="UOS19" s="310" t="s">
        <v>202</v>
      </c>
      <c r="UOT19" s="310" t="s">
        <v>202</v>
      </c>
      <c r="UOU19" s="310" t="s">
        <v>202</v>
      </c>
      <c r="UOV19" s="310" t="s">
        <v>202</v>
      </c>
      <c r="UOW19" s="310" t="s">
        <v>202</v>
      </c>
      <c r="UOX19" s="310" t="s">
        <v>202</v>
      </c>
      <c r="UOY19" s="310" t="s">
        <v>202</v>
      </c>
      <c r="UOZ19" s="310" t="s">
        <v>202</v>
      </c>
      <c r="UPA19" s="310" t="s">
        <v>202</v>
      </c>
      <c r="UPB19" s="310" t="s">
        <v>202</v>
      </c>
      <c r="UPC19" s="310" t="s">
        <v>202</v>
      </c>
      <c r="UPD19" s="310" t="s">
        <v>202</v>
      </c>
      <c r="UPE19" s="310" t="s">
        <v>202</v>
      </c>
      <c r="UPF19" s="310" t="s">
        <v>202</v>
      </c>
      <c r="UPG19" s="310" t="s">
        <v>202</v>
      </c>
      <c r="UPH19" s="310" t="s">
        <v>202</v>
      </c>
      <c r="UPI19" s="310" t="s">
        <v>202</v>
      </c>
      <c r="UPJ19" s="310" t="s">
        <v>202</v>
      </c>
      <c r="UPK19" s="310" t="s">
        <v>202</v>
      </c>
      <c r="UPL19" s="310" t="s">
        <v>202</v>
      </c>
      <c r="UPM19" s="310" t="s">
        <v>202</v>
      </c>
      <c r="UPN19" s="310" t="s">
        <v>202</v>
      </c>
      <c r="UPO19" s="310" t="s">
        <v>202</v>
      </c>
      <c r="UPP19" s="310" t="s">
        <v>202</v>
      </c>
      <c r="UPQ19" s="310" t="s">
        <v>202</v>
      </c>
      <c r="UPR19" s="310" t="s">
        <v>202</v>
      </c>
      <c r="UPS19" s="310" t="s">
        <v>202</v>
      </c>
      <c r="UPT19" s="310" t="s">
        <v>202</v>
      </c>
      <c r="UPU19" s="310" t="s">
        <v>202</v>
      </c>
      <c r="UPV19" s="310" t="s">
        <v>202</v>
      </c>
      <c r="UPW19" s="310" t="s">
        <v>202</v>
      </c>
      <c r="UPX19" s="310" t="s">
        <v>202</v>
      </c>
      <c r="UPY19" s="310" t="s">
        <v>202</v>
      </c>
      <c r="UPZ19" s="310" t="s">
        <v>202</v>
      </c>
      <c r="UQA19" s="310" t="s">
        <v>202</v>
      </c>
      <c r="UQB19" s="310" t="s">
        <v>202</v>
      </c>
      <c r="UQC19" s="310" t="s">
        <v>202</v>
      </c>
      <c r="UQD19" s="310" t="s">
        <v>202</v>
      </c>
      <c r="UQE19" s="310" t="s">
        <v>202</v>
      </c>
      <c r="UQF19" s="310" t="s">
        <v>202</v>
      </c>
      <c r="UQG19" s="310" t="s">
        <v>202</v>
      </c>
      <c r="UQH19" s="310" t="s">
        <v>202</v>
      </c>
      <c r="UQI19" s="310" t="s">
        <v>202</v>
      </c>
      <c r="UQJ19" s="310" t="s">
        <v>202</v>
      </c>
      <c r="UQK19" s="310" t="s">
        <v>202</v>
      </c>
      <c r="UQL19" s="310" t="s">
        <v>202</v>
      </c>
      <c r="UQM19" s="310" t="s">
        <v>202</v>
      </c>
      <c r="UQN19" s="310" t="s">
        <v>202</v>
      </c>
      <c r="UQO19" s="310" t="s">
        <v>202</v>
      </c>
      <c r="UQP19" s="310" t="s">
        <v>202</v>
      </c>
      <c r="UQQ19" s="310" t="s">
        <v>202</v>
      </c>
      <c r="UQR19" s="310" t="s">
        <v>202</v>
      </c>
      <c r="UQS19" s="310" t="s">
        <v>202</v>
      </c>
      <c r="UQT19" s="310" t="s">
        <v>202</v>
      </c>
      <c r="UQU19" s="310" t="s">
        <v>202</v>
      </c>
      <c r="UQV19" s="310" t="s">
        <v>202</v>
      </c>
      <c r="UQW19" s="310" t="s">
        <v>202</v>
      </c>
      <c r="UQX19" s="310" t="s">
        <v>202</v>
      </c>
      <c r="UQY19" s="310" t="s">
        <v>202</v>
      </c>
      <c r="UQZ19" s="310" t="s">
        <v>202</v>
      </c>
      <c r="URA19" s="310" t="s">
        <v>202</v>
      </c>
      <c r="URB19" s="310" t="s">
        <v>202</v>
      </c>
      <c r="URC19" s="310" t="s">
        <v>202</v>
      </c>
      <c r="URD19" s="310" t="s">
        <v>202</v>
      </c>
      <c r="URE19" s="310" t="s">
        <v>202</v>
      </c>
      <c r="URF19" s="310" t="s">
        <v>202</v>
      </c>
      <c r="URG19" s="310" t="s">
        <v>202</v>
      </c>
      <c r="URH19" s="310" t="s">
        <v>202</v>
      </c>
      <c r="URI19" s="310" t="s">
        <v>202</v>
      </c>
      <c r="URJ19" s="310" t="s">
        <v>202</v>
      </c>
      <c r="URK19" s="310" t="s">
        <v>202</v>
      </c>
      <c r="URL19" s="310" t="s">
        <v>202</v>
      </c>
      <c r="URM19" s="310" t="s">
        <v>202</v>
      </c>
      <c r="URN19" s="310" t="s">
        <v>202</v>
      </c>
      <c r="URO19" s="310" t="s">
        <v>202</v>
      </c>
      <c r="URP19" s="310" t="s">
        <v>202</v>
      </c>
      <c r="URQ19" s="310" t="s">
        <v>202</v>
      </c>
      <c r="URR19" s="310" t="s">
        <v>202</v>
      </c>
      <c r="URS19" s="310" t="s">
        <v>202</v>
      </c>
      <c r="URT19" s="310" t="s">
        <v>202</v>
      </c>
      <c r="URU19" s="310" t="s">
        <v>202</v>
      </c>
      <c r="URV19" s="310" t="s">
        <v>202</v>
      </c>
      <c r="URW19" s="310" t="s">
        <v>202</v>
      </c>
      <c r="URX19" s="310" t="s">
        <v>202</v>
      </c>
      <c r="URY19" s="310" t="s">
        <v>202</v>
      </c>
      <c r="URZ19" s="310" t="s">
        <v>202</v>
      </c>
      <c r="USA19" s="310" t="s">
        <v>202</v>
      </c>
      <c r="USB19" s="310" t="s">
        <v>202</v>
      </c>
      <c r="USC19" s="310" t="s">
        <v>202</v>
      </c>
      <c r="USD19" s="310" t="s">
        <v>202</v>
      </c>
      <c r="USE19" s="310" t="s">
        <v>202</v>
      </c>
      <c r="USF19" s="310" t="s">
        <v>202</v>
      </c>
      <c r="USG19" s="310" t="s">
        <v>202</v>
      </c>
      <c r="USH19" s="310" t="s">
        <v>202</v>
      </c>
      <c r="USI19" s="310" t="s">
        <v>202</v>
      </c>
      <c r="USJ19" s="310" t="s">
        <v>202</v>
      </c>
      <c r="USK19" s="310" t="s">
        <v>202</v>
      </c>
      <c r="USL19" s="310" t="s">
        <v>202</v>
      </c>
      <c r="USM19" s="310" t="s">
        <v>202</v>
      </c>
      <c r="USN19" s="310" t="s">
        <v>202</v>
      </c>
      <c r="USO19" s="310" t="s">
        <v>202</v>
      </c>
      <c r="USP19" s="310" t="s">
        <v>202</v>
      </c>
      <c r="USQ19" s="310" t="s">
        <v>202</v>
      </c>
      <c r="USR19" s="310" t="s">
        <v>202</v>
      </c>
      <c r="USS19" s="310" t="s">
        <v>202</v>
      </c>
      <c r="UST19" s="310" t="s">
        <v>202</v>
      </c>
      <c r="USU19" s="310" t="s">
        <v>202</v>
      </c>
      <c r="USV19" s="310" t="s">
        <v>202</v>
      </c>
      <c r="USW19" s="310" t="s">
        <v>202</v>
      </c>
      <c r="USX19" s="310" t="s">
        <v>202</v>
      </c>
      <c r="USY19" s="310" t="s">
        <v>202</v>
      </c>
      <c r="USZ19" s="310" t="s">
        <v>202</v>
      </c>
      <c r="UTA19" s="310" t="s">
        <v>202</v>
      </c>
      <c r="UTB19" s="310" t="s">
        <v>202</v>
      </c>
      <c r="UTC19" s="310" t="s">
        <v>202</v>
      </c>
      <c r="UTD19" s="310" t="s">
        <v>202</v>
      </c>
      <c r="UTE19" s="310" t="s">
        <v>202</v>
      </c>
      <c r="UTF19" s="310" t="s">
        <v>202</v>
      </c>
      <c r="UTG19" s="310" t="s">
        <v>202</v>
      </c>
      <c r="UTH19" s="310" t="s">
        <v>202</v>
      </c>
      <c r="UTI19" s="310" t="s">
        <v>202</v>
      </c>
      <c r="UTJ19" s="310" t="s">
        <v>202</v>
      </c>
      <c r="UTK19" s="310" t="s">
        <v>202</v>
      </c>
      <c r="UTL19" s="310" t="s">
        <v>202</v>
      </c>
      <c r="UTM19" s="310" t="s">
        <v>202</v>
      </c>
      <c r="UTN19" s="310" t="s">
        <v>202</v>
      </c>
      <c r="UTO19" s="310" t="s">
        <v>202</v>
      </c>
      <c r="UTP19" s="310" t="s">
        <v>202</v>
      </c>
      <c r="UTQ19" s="310" t="s">
        <v>202</v>
      </c>
      <c r="UTR19" s="310" t="s">
        <v>202</v>
      </c>
      <c r="UTS19" s="310" t="s">
        <v>202</v>
      </c>
      <c r="UTT19" s="310" t="s">
        <v>202</v>
      </c>
      <c r="UTU19" s="310" t="s">
        <v>202</v>
      </c>
      <c r="UTV19" s="310" t="s">
        <v>202</v>
      </c>
      <c r="UTW19" s="310" t="s">
        <v>202</v>
      </c>
      <c r="UTX19" s="310" t="s">
        <v>202</v>
      </c>
      <c r="UTY19" s="310" t="s">
        <v>202</v>
      </c>
      <c r="UTZ19" s="310" t="s">
        <v>202</v>
      </c>
      <c r="UUA19" s="310" t="s">
        <v>202</v>
      </c>
      <c r="UUB19" s="310" t="s">
        <v>202</v>
      </c>
      <c r="UUC19" s="310" t="s">
        <v>202</v>
      </c>
      <c r="UUD19" s="310" t="s">
        <v>202</v>
      </c>
      <c r="UUE19" s="310" t="s">
        <v>202</v>
      </c>
      <c r="UUF19" s="310" t="s">
        <v>202</v>
      </c>
      <c r="UUG19" s="310" t="s">
        <v>202</v>
      </c>
      <c r="UUH19" s="310" t="s">
        <v>202</v>
      </c>
      <c r="UUI19" s="310" t="s">
        <v>202</v>
      </c>
      <c r="UUJ19" s="310" t="s">
        <v>202</v>
      </c>
      <c r="UUK19" s="310" t="s">
        <v>202</v>
      </c>
      <c r="UUL19" s="310" t="s">
        <v>202</v>
      </c>
      <c r="UUM19" s="310" t="s">
        <v>202</v>
      </c>
      <c r="UUN19" s="310" t="s">
        <v>202</v>
      </c>
      <c r="UUO19" s="310" t="s">
        <v>202</v>
      </c>
      <c r="UUP19" s="310" t="s">
        <v>202</v>
      </c>
      <c r="UUQ19" s="310" t="s">
        <v>202</v>
      </c>
      <c r="UUR19" s="310" t="s">
        <v>202</v>
      </c>
      <c r="UUS19" s="310" t="s">
        <v>202</v>
      </c>
      <c r="UUT19" s="310" t="s">
        <v>202</v>
      </c>
      <c r="UUU19" s="310" t="s">
        <v>202</v>
      </c>
      <c r="UUV19" s="310" t="s">
        <v>202</v>
      </c>
      <c r="UUW19" s="310" t="s">
        <v>202</v>
      </c>
      <c r="UUX19" s="310" t="s">
        <v>202</v>
      </c>
      <c r="UUY19" s="310" t="s">
        <v>202</v>
      </c>
      <c r="UUZ19" s="310" t="s">
        <v>202</v>
      </c>
      <c r="UVA19" s="310" t="s">
        <v>202</v>
      </c>
      <c r="UVB19" s="310" t="s">
        <v>202</v>
      </c>
      <c r="UVC19" s="310" t="s">
        <v>202</v>
      </c>
      <c r="UVD19" s="310" t="s">
        <v>202</v>
      </c>
      <c r="UVE19" s="310" t="s">
        <v>202</v>
      </c>
      <c r="UVF19" s="310" t="s">
        <v>202</v>
      </c>
      <c r="UVG19" s="310" t="s">
        <v>202</v>
      </c>
      <c r="UVH19" s="310" t="s">
        <v>202</v>
      </c>
      <c r="UVI19" s="310" t="s">
        <v>202</v>
      </c>
      <c r="UVJ19" s="310" t="s">
        <v>202</v>
      </c>
      <c r="UVK19" s="310" t="s">
        <v>202</v>
      </c>
      <c r="UVL19" s="310" t="s">
        <v>202</v>
      </c>
      <c r="UVM19" s="310" t="s">
        <v>202</v>
      </c>
      <c r="UVN19" s="310" t="s">
        <v>202</v>
      </c>
      <c r="UVO19" s="310" t="s">
        <v>202</v>
      </c>
      <c r="UVP19" s="310" t="s">
        <v>202</v>
      </c>
      <c r="UVQ19" s="310" t="s">
        <v>202</v>
      </c>
      <c r="UVR19" s="310" t="s">
        <v>202</v>
      </c>
      <c r="UVS19" s="310" t="s">
        <v>202</v>
      </c>
      <c r="UVT19" s="310" t="s">
        <v>202</v>
      </c>
      <c r="UVU19" s="310" t="s">
        <v>202</v>
      </c>
      <c r="UVV19" s="310" t="s">
        <v>202</v>
      </c>
      <c r="UVW19" s="310" t="s">
        <v>202</v>
      </c>
      <c r="UVX19" s="310" t="s">
        <v>202</v>
      </c>
      <c r="UVY19" s="310" t="s">
        <v>202</v>
      </c>
      <c r="UVZ19" s="310" t="s">
        <v>202</v>
      </c>
      <c r="UWA19" s="310" t="s">
        <v>202</v>
      </c>
      <c r="UWB19" s="310" t="s">
        <v>202</v>
      </c>
      <c r="UWC19" s="310" t="s">
        <v>202</v>
      </c>
      <c r="UWD19" s="310" t="s">
        <v>202</v>
      </c>
      <c r="UWE19" s="310" t="s">
        <v>202</v>
      </c>
      <c r="UWF19" s="310" t="s">
        <v>202</v>
      </c>
      <c r="UWG19" s="310" t="s">
        <v>202</v>
      </c>
      <c r="UWH19" s="310" t="s">
        <v>202</v>
      </c>
      <c r="UWI19" s="310" t="s">
        <v>202</v>
      </c>
      <c r="UWJ19" s="310" t="s">
        <v>202</v>
      </c>
      <c r="UWK19" s="310" t="s">
        <v>202</v>
      </c>
      <c r="UWL19" s="310" t="s">
        <v>202</v>
      </c>
      <c r="UWM19" s="310" t="s">
        <v>202</v>
      </c>
      <c r="UWN19" s="310" t="s">
        <v>202</v>
      </c>
      <c r="UWO19" s="310" t="s">
        <v>202</v>
      </c>
      <c r="UWP19" s="310" t="s">
        <v>202</v>
      </c>
      <c r="UWQ19" s="310" t="s">
        <v>202</v>
      </c>
      <c r="UWR19" s="310" t="s">
        <v>202</v>
      </c>
      <c r="UWS19" s="310" t="s">
        <v>202</v>
      </c>
      <c r="UWT19" s="310" t="s">
        <v>202</v>
      </c>
      <c r="UWU19" s="310" t="s">
        <v>202</v>
      </c>
      <c r="UWV19" s="310" t="s">
        <v>202</v>
      </c>
      <c r="UWW19" s="310" t="s">
        <v>202</v>
      </c>
      <c r="UWX19" s="310" t="s">
        <v>202</v>
      </c>
      <c r="UWY19" s="310" t="s">
        <v>202</v>
      </c>
      <c r="UWZ19" s="310" t="s">
        <v>202</v>
      </c>
      <c r="UXA19" s="310" t="s">
        <v>202</v>
      </c>
      <c r="UXB19" s="310" t="s">
        <v>202</v>
      </c>
      <c r="UXC19" s="310" t="s">
        <v>202</v>
      </c>
      <c r="UXD19" s="310" t="s">
        <v>202</v>
      </c>
      <c r="UXE19" s="310" t="s">
        <v>202</v>
      </c>
      <c r="UXF19" s="310" t="s">
        <v>202</v>
      </c>
      <c r="UXG19" s="310" t="s">
        <v>202</v>
      </c>
      <c r="UXH19" s="310" t="s">
        <v>202</v>
      </c>
      <c r="UXI19" s="310" t="s">
        <v>202</v>
      </c>
      <c r="UXJ19" s="310" t="s">
        <v>202</v>
      </c>
      <c r="UXK19" s="310" t="s">
        <v>202</v>
      </c>
      <c r="UXL19" s="310" t="s">
        <v>202</v>
      </c>
      <c r="UXM19" s="310" t="s">
        <v>202</v>
      </c>
      <c r="UXN19" s="310" t="s">
        <v>202</v>
      </c>
      <c r="UXO19" s="310" t="s">
        <v>202</v>
      </c>
      <c r="UXP19" s="310" t="s">
        <v>202</v>
      </c>
      <c r="UXQ19" s="310" t="s">
        <v>202</v>
      </c>
      <c r="UXR19" s="310" t="s">
        <v>202</v>
      </c>
      <c r="UXS19" s="310" t="s">
        <v>202</v>
      </c>
      <c r="UXT19" s="310" t="s">
        <v>202</v>
      </c>
      <c r="UXU19" s="310" t="s">
        <v>202</v>
      </c>
      <c r="UXV19" s="310" t="s">
        <v>202</v>
      </c>
      <c r="UXW19" s="310" t="s">
        <v>202</v>
      </c>
      <c r="UXX19" s="310" t="s">
        <v>202</v>
      </c>
      <c r="UXY19" s="310" t="s">
        <v>202</v>
      </c>
      <c r="UXZ19" s="310" t="s">
        <v>202</v>
      </c>
      <c r="UYA19" s="310" t="s">
        <v>202</v>
      </c>
      <c r="UYB19" s="310" t="s">
        <v>202</v>
      </c>
      <c r="UYC19" s="310" t="s">
        <v>202</v>
      </c>
      <c r="UYD19" s="310" t="s">
        <v>202</v>
      </c>
      <c r="UYE19" s="310" t="s">
        <v>202</v>
      </c>
      <c r="UYF19" s="310" t="s">
        <v>202</v>
      </c>
      <c r="UYG19" s="310" t="s">
        <v>202</v>
      </c>
      <c r="UYH19" s="310" t="s">
        <v>202</v>
      </c>
      <c r="UYI19" s="310" t="s">
        <v>202</v>
      </c>
      <c r="UYJ19" s="310" t="s">
        <v>202</v>
      </c>
      <c r="UYK19" s="310" t="s">
        <v>202</v>
      </c>
      <c r="UYL19" s="310" t="s">
        <v>202</v>
      </c>
      <c r="UYM19" s="310" t="s">
        <v>202</v>
      </c>
      <c r="UYN19" s="310" t="s">
        <v>202</v>
      </c>
      <c r="UYO19" s="310" t="s">
        <v>202</v>
      </c>
      <c r="UYP19" s="310" t="s">
        <v>202</v>
      </c>
      <c r="UYQ19" s="310" t="s">
        <v>202</v>
      </c>
      <c r="UYR19" s="310" t="s">
        <v>202</v>
      </c>
      <c r="UYS19" s="310" t="s">
        <v>202</v>
      </c>
      <c r="UYT19" s="310" t="s">
        <v>202</v>
      </c>
      <c r="UYU19" s="310" t="s">
        <v>202</v>
      </c>
      <c r="UYV19" s="310" t="s">
        <v>202</v>
      </c>
      <c r="UYW19" s="310" t="s">
        <v>202</v>
      </c>
      <c r="UYX19" s="310" t="s">
        <v>202</v>
      </c>
      <c r="UYY19" s="310" t="s">
        <v>202</v>
      </c>
      <c r="UYZ19" s="310" t="s">
        <v>202</v>
      </c>
      <c r="UZA19" s="310" t="s">
        <v>202</v>
      </c>
      <c r="UZB19" s="310" t="s">
        <v>202</v>
      </c>
      <c r="UZC19" s="310" t="s">
        <v>202</v>
      </c>
      <c r="UZD19" s="310" t="s">
        <v>202</v>
      </c>
      <c r="UZE19" s="310" t="s">
        <v>202</v>
      </c>
      <c r="UZF19" s="310" t="s">
        <v>202</v>
      </c>
      <c r="UZG19" s="310" t="s">
        <v>202</v>
      </c>
      <c r="UZH19" s="310" t="s">
        <v>202</v>
      </c>
      <c r="UZI19" s="310" t="s">
        <v>202</v>
      </c>
      <c r="UZJ19" s="310" t="s">
        <v>202</v>
      </c>
      <c r="UZK19" s="310" t="s">
        <v>202</v>
      </c>
      <c r="UZL19" s="310" t="s">
        <v>202</v>
      </c>
      <c r="UZM19" s="310" t="s">
        <v>202</v>
      </c>
      <c r="UZN19" s="310" t="s">
        <v>202</v>
      </c>
      <c r="UZO19" s="310" t="s">
        <v>202</v>
      </c>
      <c r="UZP19" s="310" t="s">
        <v>202</v>
      </c>
      <c r="UZQ19" s="310" t="s">
        <v>202</v>
      </c>
      <c r="UZR19" s="310" t="s">
        <v>202</v>
      </c>
      <c r="UZS19" s="310" t="s">
        <v>202</v>
      </c>
      <c r="UZT19" s="310" t="s">
        <v>202</v>
      </c>
      <c r="UZU19" s="310" t="s">
        <v>202</v>
      </c>
      <c r="UZV19" s="310" t="s">
        <v>202</v>
      </c>
      <c r="UZW19" s="310" t="s">
        <v>202</v>
      </c>
      <c r="UZX19" s="310" t="s">
        <v>202</v>
      </c>
      <c r="UZY19" s="310" t="s">
        <v>202</v>
      </c>
      <c r="UZZ19" s="310" t="s">
        <v>202</v>
      </c>
      <c r="VAA19" s="310" t="s">
        <v>202</v>
      </c>
      <c r="VAB19" s="310" t="s">
        <v>202</v>
      </c>
      <c r="VAC19" s="310" t="s">
        <v>202</v>
      </c>
      <c r="VAD19" s="310" t="s">
        <v>202</v>
      </c>
      <c r="VAE19" s="310" t="s">
        <v>202</v>
      </c>
      <c r="VAF19" s="310" t="s">
        <v>202</v>
      </c>
      <c r="VAG19" s="310" t="s">
        <v>202</v>
      </c>
      <c r="VAH19" s="310" t="s">
        <v>202</v>
      </c>
      <c r="VAI19" s="310" t="s">
        <v>202</v>
      </c>
      <c r="VAJ19" s="310" t="s">
        <v>202</v>
      </c>
      <c r="VAK19" s="310" t="s">
        <v>202</v>
      </c>
      <c r="VAL19" s="310" t="s">
        <v>202</v>
      </c>
      <c r="VAM19" s="310" t="s">
        <v>202</v>
      </c>
      <c r="VAN19" s="310" t="s">
        <v>202</v>
      </c>
      <c r="VAO19" s="310" t="s">
        <v>202</v>
      </c>
      <c r="VAP19" s="310" t="s">
        <v>202</v>
      </c>
      <c r="VAQ19" s="310" t="s">
        <v>202</v>
      </c>
      <c r="VAR19" s="310" t="s">
        <v>202</v>
      </c>
      <c r="VAS19" s="310" t="s">
        <v>202</v>
      </c>
      <c r="VAT19" s="310" t="s">
        <v>202</v>
      </c>
      <c r="VAU19" s="310" t="s">
        <v>202</v>
      </c>
      <c r="VAV19" s="310" t="s">
        <v>202</v>
      </c>
      <c r="VAW19" s="310" t="s">
        <v>202</v>
      </c>
      <c r="VAX19" s="310" t="s">
        <v>202</v>
      </c>
      <c r="VAY19" s="310" t="s">
        <v>202</v>
      </c>
      <c r="VAZ19" s="310" t="s">
        <v>202</v>
      </c>
      <c r="VBA19" s="310" t="s">
        <v>202</v>
      </c>
      <c r="VBB19" s="310" t="s">
        <v>202</v>
      </c>
      <c r="VBC19" s="310" t="s">
        <v>202</v>
      </c>
      <c r="VBD19" s="310" t="s">
        <v>202</v>
      </c>
      <c r="VBE19" s="310" t="s">
        <v>202</v>
      </c>
      <c r="VBF19" s="310" t="s">
        <v>202</v>
      </c>
      <c r="VBG19" s="310" t="s">
        <v>202</v>
      </c>
      <c r="VBH19" s="310" t="s">
        <v>202</v>
      </c>
      <c r="VBI19" s="310" t="s">
        <v>202</v>
      </c>
      <c r="VBJ19" s="310" t="s">
        <v>202</v>
      </c>
      <c r="VBK19" s="310" t="s">
        <v>202</v>
      </c>
      <c r="VBL19" s="310" t="s">
        <v>202</v>
      </c>
      <c r="VBM19" s="310" t="s">
        <v>202</v>
      </c>
      <c r="VBN19" s="310" t="s">
        <v>202</v>
      </c>
      <c r="VBO19" s="310" t="s">
        <v>202</v>
      </c>
      <c r="VBP19" s="310" t="s">
        <v>202</v>
      </c>
      <c r="VBQ19" s="310" t="s">
        <v>202</v>
      </c>
      <c r="VBR19" s="310" t="s">
        <v>202</v>
      </c>
      <c r="VBS19" s="310" t="s">
        <v>202</v>
      </c>
      <c r="VBT19" s="310" t="s">
        <v>202</v>
      </c>
      <c r="VBU19" s="310" t="s">
        <v>202</v>
      </c>
      <c r="VBV19" s="310" t="s">
        <v>202</v>
      </c>
      <c r="VBW19" s="310" t="s">
        <v>202</v>
      </c>
      <c r="VBX19" s="310" t="s">
        <v>202</v>
      </c>
      <c r="VBY19" s="310" t="s">
        <v>202</v>
      </c>
      <c r="VBZ19" s="310" t="s">
        <v>202</v>
      </c>
      <c r="VCA19" s="310" t="s">
        <v>202</v>
      </c>
      <c r="VCB19" s="310" t="s">
        <v>202</v>
      </c>
      <c r="VCC19" s="310" t="s">
        <v>202</v>
      </c>
      <c r="VCD19" s="310" t="s">
        <v>202</v>
      </c>
      <c r="VCE19" s="310" t="s">
        <v>202</v>
      </c>
      <c r="VCF19" s="310" t="s">
        <v>202</v>
      </c>
      <c r="VCG19" s="310" t="s">
        <v>202</v>
      </c>
      <c r="VCH19" s="310" t="s">
        <v>202</v>
      </c>
      <c r="VCI19" s="310" t="s">
        <v>202</v>
      </c>
      <c r="VCJ19" s="310" t="s">
        <v>202</v>
      </c>
      <c r="VCK19" s="310" t="s">
        <v>202</v>
      </c>
      <c r="VCL19" s="310" t="s">
        <v>202</v>
      </c>
      <c r="VCM19" s="310" t="s">
        <v>202</v>
      </c>
      <c r="VCN19" s="310" t="s">
        <v>202</v>
      </c>
      <c r="VCO19" s="310" t="s">
        <v>202</v>
      </c>
      <c r="VCP19" s="310" t="s">
        <v>202</v>
      </c>
      <c r="VCQ19" s="310" t="s">
        <v>202</v>
      </c>
      <c r="VCR19" s="310" t="s">
        <v>202</v>
      </c>
      <c r="VCS19" s="310" t="s">
        <v>202</v>
      </c>
      <c r="VCT19" s="310" t="s">
        <v>202</v>
      </c>
      <c r="VCU19" s="310" t="s">
        <v>202</v>
      </c>
      <c r="VCV19" s="310" t="s">
        <v>202</v>
      </c>
      <c r="VCW19" s="310" t="s">
        <v>202</v>
      </c>
      <c r="VCX19" s="310" t="s">
        <v>202</v>
      </c>
      <c r="VCY19" s="310" t="s">
        <v>202</v>
      </c>
      <c r="VCZ19" s="310" t="s">
        <v>202</v>
      </c>
      <c r="VDA19" s="310" t="s">
        <v>202</v>
      </c>
      <c r="VDB19" s="310" t="s">
        <v>202</v>
      </c>
      <c r="VDC19" s="310" t="s">
        <v>202</v>
      </c>
      <c r="VDD19" s="310" t="s">
        <v>202</v>
      </c>
      <c r="VDE19" s="310" t="s">
        <v>202</v>
      </c>
      <c r="VDF19" s="310" t="s">
        <v>202</v>
      </c>
      <c r="VDG19" s="310" t="s">
        <v>202</v>
      </c>
      <c r="VDH19" s="310" t="s">
        <v>202</v>
      </c>
      <c r="VDI19" s="310" t="s">
        <v>202</v>
      </c>
      <c r="VDJ19" s="310" t="s">
        <v>202</v>
      </c>
      <c r="VDK19" s="310" t="s">
        <v>202</v>
      </c>
      <c r="VDL19" s="310" t="s">
        <v>202</v>
      </c>
      <c r="VDM19" s="310" t="s">
        <v>202</v>
      </c>
      <c r="VDN19" s="310" t="s">
        <v>202</v>
      </c>
      <c r="VDO19" s="310" t="s">
        <v>202</v>
      </c>
      <c r="VDP19" s="310" t="s">
        <v>202</v>
      </c>
      <c r="VDQ19" s="310" t="s">
        <v>202</v>
      </c>
      <c r="VDR19" s="310" t="s">
        <v>202</v>
      </c>
      <c r="VDS19" s="310" t="s">
        <v>202</v>
      </c>
      <c r="VDT19" s="310" t="s">
        <v>202</v>
      </c>
      <c r="VDU19" s="310" t="s">
        <v>202</v>
      </c>
      <c r="VDV19" s="310" t="s">
        <v>202</v>
      </c>
      <c r="VDW19" s="310" t="s">
        <v>202</v>
      </c>
      <c r="VDX19" s="310" t="s">
        <v>202</v>
      </c>
      <c r="VDY19" s="310" t="s">
        <v>202</v>
      </c>
      <c r="VDZ19" s="310" t="s">
        <v>202</v>
      </c>
      <c r="VEA19" s="310" t="s">
        <v>202</v>
      </c>
      <c r="VEB19" s="310" t="s">
        <v>202</v>
      </c>
      <c r="VEC19" s="310" t="s">
        <v>202</v>
      </c>
      <c r="VED19" s="310" t="s">
        <v>202</v>
      </c>
      <c r="VEE19" s="310" t="s">
        <v>202</v>
      </c>
      <c r="VEF19" s="310" t="s">
        <v>202</v>
      </c>
      <c r="VEG19" s="310" t="s">
        <v>202</v>
      </c>
      <c r="VEH19" s="310" t="s">
        <v>202</v>
      </c>
      <c r="VEI19" s="310" t="s">
        <v>202</v>
      </c>
      <c r="VEJ19" s="310" t="s">
        <v>202</v>
      </c>
      <c r="VEK19" s="310" t="s">
        <v>202</v>
      </c>
      <c r="VEL19" s="310" t="s">
        <v>202</v>
      </c>
      <c r="VEM19" s="310" t="s">
        <v>202</v>
      </c>
      <c r="VEN19" s="310" t="s">
        <v>202</v>
      </c>
      <c r="VEO19" s="310" t="s">
        <v>202</v>
      </c>
      <c r="VEP19" s="310" t="s">
        <v>202</v>
      </c>
      <c r="VEQ19" s="310" t="s">
        <v>202</v>
      </c>
      <c r="VER19" s="310" t="s">
        <v>202</v>
      </c>
      <c r="VES19" s="310" t="s">
        <v>202</v>
      </c>
      <c r="VET19" s="310" t="s">
        <v>202</v>
      </c>
      <c r="VEU19" s="310" t="s">
        <v>202</v>
      </c>
      <c r="VEV19" s="310" t="s">
        <v>202</v>
      </c>
      <c r="VEW19" s="310" t="s">
        <v>202</v>
      </c>
      <c r="VEX19" s="310" t="s">
        <v>202</v>
      </c>
      <c r="VEY19" s="310" t="s">
        <v>202</v>
      </c>
      <c r="VEZ19" s="310" t="s">
        <v>202</v>
      </c>
      <c r="VFA19" s="310" t="s">
        <v>202</v>
      </c>
      <c r="VFB19" s="310" t="s">
        <v>202</v>
      </c>
      <c r="VFC19" s="310" t="s">
        <v>202</v>
      </c>
      <c r="VFD19" s="310" t="s">
        <v>202</v>
      </c>
      <c r="VFE19" s="310" t="s">
        <v>202</v>
      </c>
      <c r="VFF19" s="310" t="s">
        <v>202</v>
      </c>
      <c r="VFG19" s="310" t="s">
        <v>202</v>
      </c>
      <c r="VFH19" s="310" t="s">
        <v>202</v>
      </c>
      <c r="VFI19" s="310" t="s">
        <v>202</v>
      </c>
      <c r="VFJ19" s="310" t="s">
        <v>202</v>
      </c>
      <c r="VFK19" s="310" t="s">
        <v>202</v>
      </c>
      <c r="VFL19" s="310" t="s">
        <v>202</v>
      </c>
      <c r="VFM19" s="310" t="s">
        <v>202</v>
      </c>
      <c r="VFN19" s="310" t="s">
        <v>202</v>
      </c>
      <c r="VFO19" s="310" t="s">
        <v>202</v>
      </c>
      <c r="VFP19" s="310" t="s">
        <v>202</v>
      </c>
      <c r="VFQ19" s="310" t="s">
        <v>202</v>
      </c>
      <c r="VFR19" s="310" t="s">
        <v>202</v>
      </c>
      <c r="VFS19" s="310" t="s">
        <v>202</v>
      </c>
      <c r="VFT19" s="310" t="s">
        <v>202</v>
      </c>
      <c r="VFU19" s="310" t="s">
        <v>202</v>
      </c>
      <c r="VFV19" s="310" t="s">
        <v>202</v>
      </c>
      <c r="VFW19" s="310" t="s">
        <v>202</v>
      </c>
      <c r="VFX19" s="310" t="s">
        <v>202</v>
      </c>
      <c r="VFY19" s="310" t="s">
        <v>202</v>
      </c>
      <c r="VFZ19" s="310" t="s">
        <v>202</v>
      </c>
      <c r="VGA19" s="310" t="s">
        <v>202</v>
      </c>
      <c r="VGB19" s="310" t="s">
        <v>202</v>
      </c>
      <c r="VGC19" s="310" t="s">
        <v>202</v>
      </c>
      <c r="VGD19" s="310" t="s">
        <v>202</v>
      </c>
      <c r="VGE19" s="310" t="s">
        <v>202</v>
      </c>
      <c r="VGF19" s="310" t="s">
        <v>202</v>
      </c>
      <c r="VGG19" s="310" t="s">
        <v>202</v>
      </c>
      <c r="VGH19" s="310" t="s">
        <v>202</v>
      </c>
      <c r="VGI19" s="310" t="s">
        <v>202</v>
      </c>
      <c r="VGJ19" s="310" t="s">
        <v>202</v>
      </c>
      <c r="VGK19" s="310" t="s">
        <v>202</v>
      </c>
      <c r="VGL19" s="310" t="s">
        <v>202</v>
      </c>
      <c r="VGM19" s="310" t="s">
        <v>202</v>
      </c>
      <c r="VGN19" s="310" t="s">
        <v>202</v>
      </c>
      <c r="VGO19" s="310" t="s">
        <v>202</v>
      </c>
      <c r="VGP19" s="310" t="s">
        <v>202</v>
      </c>
      <c r="VGQ19" s="310" t="s">
        <v>202</v>
      </c>
      <c r="VGR19" s="310" t="s">
        <v>202</v>
      </c>
      <c r="VGS19" s="310" t="s">
        <v>202</v>
      </c>
      <c r="VGT19" s="310" t="s">
        <v>202</v>
      </c>
      <c r="VGU19" s="310" t="s">
        <v>202</v>
      </c>
      <c r="VGV19" s="310" t="s">
        <v>202</v>
      </c>
      <c r="VGW19" s="310" t="s">
        <v>202</v>
      </c>
      <c r="VGX19" s="310" t="s">
        <v>202</v>
      </c>
      <c r="VGY19" s="310" t="s">
        <v>202</v>
      </c>
      <c r="VGZ19" s="310" t="s">
        <v>202</v>
      </c>
      <c r="VHA19" s="310" t="s">
        <v>202</v>
      </c>
      <c r="VHB19" s="310" t="s">
        <v>202</v>
      </c>
      <c r="VHC19" s="310" t="s">
        <v>202</v>
      </c>
      <c r="VHD19" s="310" t="s">
        <v>202</v>
      </c>
      <c r="VHE19" s="310" t="s">
        <v>202</v>
      </c>
      <c r="VHF19" s="310" t="s">
        <v>202</v>
      </c>
      <c r="VHG19" s="310" t="s">
        <v>202</v>
      </c>
      <c r="VHH19" s="310" t="s">
        <v>202</v>
      </c>
      <c r="VHI19" s="310" t="s">
        <v>202</v>
      </c>
      <c r="VHJ19" s="310" t="s">
        <v>202</v>
      </c>
      <c r="VHK19" s="310" t="s">
        <v>202</v>
      </c>
      <c r="VHL19" s="310" t="s">
        <v>202</v>
      </c>
      <c r="VHM19" s="310" t="s">
        <v>202</v>
      </c>
      <c r="VHN19" s="310" t="s">
        <v>202</v>
      </c>
      <c r="VHO19" s="310" t="s">
        <v>202</v>
      </c>
      <c r="VHP19" s="310" t="s">
        <v>202</v>
      </c>
      <c r="VHQ19" s="310" t="s">
        <v>202</v>
      </c>
      <c r="VHR19" s="310" t="s">
        <v>202</v>
      </c>
      <c r="VHS19" s="310" t="s">
        <v>202</v>
      </c>
      <c r="VHT19" s="310" t="s">
        <v>202</v>
      </c>
      <c r="VHU19" s="310" t="s">
        <v>202</v>
      </c>
      <c r="VHV19" s="310" t="s">
        <v>202</v>
      </c>
      <c r="VHW19" s="310" t="s">
        <v>202</v>
      </c>
      <c r="VHX19" s="310" t="s">
        <v>202</v>
      </c>
      <c r="VHY19" s="310" t="s">
        <v>202</v>
      </c>
      <c r="VHZ19" s="310" t="s">
        <v>202</v>
      </c>
      <c r="VIA19" s="310" t="s">
        <v>202</v>
      </c>
      <c r="VIB19" s="310" t="s">
        <v>202</v>
      </c>
      <c r="VIC19" s="310" t="s">
        <v>202</v>
      </c>
      <c r="VID19" s="310" t="s">
        <v>202</v>
      </c>
      <c r="VIE19" s="310" t="s">
        <v>202</v>
      </c>
      <c r="VIF19" s="310" t="s">
        <v>202</v>
      </c>
      <c r="VIG19" s="310" t="s">
        <v>202</v>
      </c>
      <c r="VIH19" s="310" t="s">
        <v>202</v>
      </c>
      <c r="VII19" s="310" t="s">
        <v>202</v>
      </c>
      <c r="VIJ19" s="310" t="s">
        <v>202</v>
      </c>
      <c r="VIK19" s="310" t="s">
        <v>202</v>
      </c>
      <c r="VIL19" s="310" t="s">
        <v>202</v>
      </c>
      <c r="VIM19" s="310" t="s">
        <v>202</v>
      </c>
      <c r="VIN19" s="310" t="s">
        <v>202</v>
      </c>
      <c r="VIO19" s="310" t="s">
        <v>202</v>
      </c>
      <c r="VIP19" s="310" t="s">
        <v>202</v>
      </c>
      <c r="VIQ19" s="310" t="s">
        <v>202</v>
      </c>
      <c r="VIR19" s="310" t="s">
        <v>202</v>
      </c>
      <c r="VIS19" s="310" t="s">
        <v>202</v>
      </c>
      <c r="VIT19" s="310" t="s">
        <v>202</v>
      </c>
      <c r="VIU19" s="310" t="s">
        <v>202</v>
      </c>
      <c r="VIV19" s="310" t="s">
        <v>202</v>
      </c>
      <c r="VIW19" s="310" t="s">
        <v>202</v>
      </c>
      <c r="VIX19" s="310" t="s">
        <v>202</v>
      </c>
      <c r="VIY19" s="310" t="s">
        <v>202</v>
      </c>
      <c r="VIZ19" s="310" t="s">
        <v>202</v>
      </c>
      <c r="VJA19" s="310" t="s">
        <v>202</v>
      </c>
      <c r="VJB19" s="310" t="s">
        <v>202</v>
      </c>
      <c r="VJC19" s="310" t="s">
        <v>202</v>
      </c>
      <c r="VJD19" s="310" t="s">
        <v>202</v>
      </c>
      <c r="VJE19" s="310" t="s">
        <v>202</v>
      </c>
      <c r="VJF19" s="310" t="s">
        <v>202</v>
      </c>
      <c r="VJG19" s="310" t="s">
        <v>202</v>
      </c>
      <c r="VJH19" s="310" t="s">
        <v>202</v>
      </c>
      <c r="VJI19" s="310" t="s">
        <v>202</v>
      </c>
      <c r="VJJ19" s="310" t="s">
        <v>202</v>
      </c>
      <c r="VJK19" s="310" t="s">
        <v>202</v>
      </c>
      <c r="VJL19" s="310" t="s">
        <v>202</v>
      </c>
      <c r="VJM19" s="310" t="s">
        <v>202</v>
      </c>
      <c r="VJN19" s="310" t="s">
        <v>202</v>
      </c>
      <c r="VJO19" s="310" t="s">
        <v>202</v>
      </c>
      <c r="VJP19" s="310" t="s">
        <v>202</v>
      </c>
      <c r="VJQ19" s="310" t="s">
        <v>202</v>
      </c>
      <c r="VJR19" s="310" t="s">
        <v>202</v>
      </c>
      <c r="VJS19" s="310" t="s">
        <v>202</v>
      </c>
      <c r="VJT19" s="310" t="s">
        <v>202</v>
      </c>
      <c r="VJU19" s="310" t="s">
        <v>202</v>
      </c>
      <c r="VJV19" s="310" t="s">
        <v>202</v>
      </c>
      <c r="VJW19" s="310" t="s">
        <v>202</v>
      </c>
      <c r="VJX19" s="310" t="s">
        <v>202</v>
      </c>
      <c r="VJY19" s="310" t="s">
        <v>202</v>
      </c>
      <c r="VJZ19" s="310" t="s">
        <v>202</v>
      </c>
      <c r="VKA19" s="310" t="s">
        <v>202</v>
      </c>
      <c r="VKB19" s="310" t="s">
        <v>202</v>
      </c>
      <c r="VKC19" s="310" t="s">
        <v>202</v>
      </c>
      <c r="VKD19" s="310" t="s">
        <v>202</v>
      </c>
      <c r="VKE19" s="310" t="s">
        <v>202</v>
      </c>
      <c r="VKF19" s="310" t="s">
        <v>202</v>
      </c>
      <c r="VKG19" s="310" t="s">
        <v>202</v>
      </c>
      <c r="VKH19" s="310" t="s">
        <v>202</v>
      </c>
      <c r="VKI19" s="310" t="s">
        <v>202</v>
      </c>
      <c r="VKJ19" s="310" t="s">
        <v>202</v>
      </c>
      <c r="VKK19" s="310" t="s">
        <v>202</v>
      </c>
      <c r="VKL19" s="310" t="s">
        <v>202</v>
      </c>
      <c r="VKM19" s="310" t="s">
        <v>202</v>
      </c>
      <c r="VKN19" s="310" t="s">
        <v>202</v>
      </c>
      <c r="VKO19" s="310" t="s">
        <v>202</v>
      </c>
      <c r="VKP19" s="310" t="s">
        <v>202</v>
      </c>
      <c r="VKQ19" s="310" t="s">
        <v>202</v>
      </c>
      <c r="VKR19" s="310" t="s">
        <v>202</v>
      </c>
      <c r="VKS19" s="310" t="s">
        <v>202</v>
      </c>
      <c r="VKT19" s="310" t="s">
        <v>202</v>
      </c>
      <c r="VKU19" s="310" t="s">
        <v>202</v>
      </c>
      <c r="VKV19" s="310" t="s">
        <v>202</v>
      </c>
      <c r="VKW19" s="310" t="s">
        <v>202</v>
      </c>
      <c r="VKX19" s="310" t="s">
        <v>202</v>
      </c>
      <c r="VKY19" s="310" t="s">
        <v>202</v>
      </c>
      <c r="VKZ19" s="310" t="s">
        <v>202</v>
      </c>
      <c r="VLA19" s="310" t="s">
        <v>202</v>
      </c>
      <c r="VLB19" s="310" t="s">
        <v>202</v>
      </c>
      <c r="VLC19" s="310" t="s">
        <v>202</v>
      </c>
      <c r="VLD19" s="310" t="s">
        <v>202</v>
      </c>
      <c r="VLE19" s="310" t="s">
        <v>202</v>
      </c>
      <c r="VLF19" s="310" t="s">
        <v>202</v>
      </c>
      <c r="VLG19" s="310" t="s">
        <v>202</v>
      </c>
      <c r="VLH19" s="310" t="s">
        <v>202</v>
      </c>
      <c r="VLI19" s="310" t="s">
        <v>202</v>
      </c>
      <c r="VLJ19" s="310" t="s">
        <v>202</v>
      </c>
      <c r="VLK19" s="310" t="s">
        <v>202</v>
      </c>
      <c r="VLL19" s="310" t="s">
        <v>202</v>
      </c>
      <c r="VLM19" s="310" t="s">
        <v>202</v>
      </c>
      <c r="VLN19" s="310" t="s">
        <v>202</v>
      </c>
      <c r="VLO19" s="310" t="s">
        <v>202</v>
      </c>
      <c r="VLP19" s="310" t="s">
        <v>202</v>
      </c>
      <c r="VLQ19" s="310" t="s">
        <v>202</v>
      </c>
      <c r="VLR19" s="310" t="s">
        <v>202</v>
      </c>
      <c r="VLS19" s="310" t="s">
        <v>202</v>
      </c>
      <c r="VLT19" s="310" t="s">
        <v>202</v>
      </c>
      <c r="VLU19" s="310" t="s">
        <v>202</v>
      </c>
      <c r="VLV19" s="310" t="s">
        <v>202</v>
      </c>
      <c r="VLW19" s="310" t="s">
        <v>202</v>
      </c>
      <c r="VLX19" s="310" t="s">
        <v>202</v>
      </c>
      <c r="VLY19" s="310" t="s">
        <v>202</v>
      </c>
      <c r="VLZ19" s="310" t="s">
        <v>202</v>
      </c>
      <c r="VMA19" s="310" t="s">
        <v>202</v>
      </c>
      <c r="VMB19" s="310" t="s">
        <v>202</v>
      </c>
      <c r="VMC19" s="310" t="s">
        <v>202</v>
      </c>
      <c r="VMD19" s="310" t="s">
        <v>202</v>
      </c>
      <c r="VME19" s="310" t="s">
        <v>202</v>
      </c>
      <c r="VMF19" s="310" t="s">
        <v>202</v>
      </c>
      <c r="VMG19" s="310" t="s">
        <v>202</v>
      </c>
      <c r="VMH19" s="310" t="s">
        <v>202</v>
      </c>
      <c r="VMI19" s="310" t="s">
        <v>202</v>
      </c>
      <c r="VMJ19" s="310" t="s">
        <v>202</v>
      </c>
      <c r="VMK19" s="310" t="s">
        <v>202</v>
      </c>
      <c r="VML19" s="310" t="s">
        <v>202</v>
      </c>
      <c r="VMM19" s="310" t="s">
        <v>202</v>
      </c>
      <c r="VMN19" s="310" t="s">
        <v>202</v>
      </c>
      <c r="VMO19" s="310" t="s">
        <v>202</v>
      </c>
      <c r="VMP19" s="310" t="s">
        <v>202</v>
      </c>
      <c r="VMQ19" s="310" t="s">
        <v>202</v>
      </c>
      <c r="VMR19" s="310" t="s">
        <v>202</v>
      </c>
      <c r="VMS19" s="310" t="s">
        <v>202</v>
      </c>
      <c r="VMT19" s="310" t="s">
        <v>202</v>
      </c>
      <c r="VMU19" s="310" t="s">
        <v>202</v>
      </c>
      <c r="VMV19" s="310" t="s">
        <v>202</v>
      </c>
      <c r="VMW19" s="310" t="s">
        <v>202</v>
      </c>
      <c r="VMX19" s="310" t="s">
        <v>202</v>
      </c>
      <c r="VMY19" s="310" t="s">
        <v>202</v>
      </c>
      <c r="VMZ19" s="310" t="s">
        <v>202</v>
      </c>
      <c r="VNA19" s="310" t="s">
        <v>202</v>
      </c>
      <c r="VNB19" s="310" t="s">
        <v>202</v>
      </c>
      <c r="VNC19" s="310" t="s">
        <v>202</v>
      </c>
      <c r="VND19" s="310" t="s">
        <v>202</v>
      </c>
      <c r="VNE19" s="310" t="s">
        <v>202</v>
      </c>
      <c r="VNF19" s="310" t="s">
        <v>202</v>
      </c>
      <c r="VNG19" s="310" t="s">
        <v>202</v>
      </c>
      <c r="VNH19" s="310" t="s">
        <v>202</v>
      </c>
      <c r="VNI19" s="310" t="s">
        <v>202</v>
      </c>
      <c r="VNJ19" s="310" t="s">
        <v>202</v>
      </c>
      <c r="VNK19" s="310" t="s">
        <v>202</v>
      </c>
      <c r="VNL19" s="310" t="s">
        <v>202</v>
      </c>
      <c r="VNM19" s="310" t="s">
        <v>202</v>
      </c>
      <c r="VNN19" s="310" t="s">
        <v>202</v>
      </c>
      <c r="VNO19" s="310" t="s">
        <v>202</v>
      </c>
      <c r="VNP19" s="310" t="s">
        <v>202</v>
      </c>
      <c r="VNQ19" s="310" t="s">
        <v>202</v>
      </c>
      <c r="VNR19" s="310" t="s">
        <v>202</v>
      </c>
      <c r="VNS19" s="310" t="s">
        <v>202</v>
      </c>
      <c r="VNT19" s="310" t="s">
        <v>202</v>
      </c>
      <c r="VNU19" s="310" t="s">
        <v>202</v>
      </c>
      <c r="VNV19" s="310" t="s">
        <v>202</v>
      </c>
      <c r="VNW19" s="310" t="s">
        <v>202</v>
      </c>
      <c r="VNX19" s="310" t="s">
        <v>202</v>
      </c>
      <c r="VNY19" s="310" t="s">
        <v>202</v>
      </c>
      <c r="VNZ19" s="310" t="s">
        <v>202</v>
      </c>
      <c r="VOA19" s="310" t="s">
        <v>202</v>
      </c>
      <c r="VOB19" s="310" t="s">
        <v>202</v>
      </c>
      <c r="VOC19" s="310" t="s">
        <v>202</v>
      </c>
      <c r="VOD19" s="310" t="s">
        <v>202</v>
      </c>
      <c r="VOE19" s="310" t="s">
        <v>202</v>
      </c>
      <c r="VOF19" s="310" t="s">
        <v>202</v>
      </c>
      <c r="VOG19" s="310" t="s">
        <v>202</v>
      </c>
      <c r="VOH19" s="310" t="s">
        <v>202</v>
      </c>
      <c r="VOI19" s="310" t="s">
        <v>202</v>
      </c>
      <c r="VOJ19" s="310" t="s">
        <v>202</v>
      </c>
      <c r="VOK19" s="310" t="s">
        <v>202</v>
      </c>
      <c r="VOL19" s="310" t="s">
        <v>202</v>
      </c>
      <c r="VOM19" s="310" t="s">
        <v>202</v>
      </c>
      <c r="VON19" s="310" t="s">
        <v>202</v>
      </c>
      <c r="VOO19" s="310" t="s">
        <v>202</v>
      </c>
      <c r="VOP19" s="310" t="s">
        <v>202</v>
      </c>
      <c r="VOQ19" s="310" t="s">
        <v>202</v>
      </c>
      <c r="VOR19" s="310" t="s">
        <v>202</v>
      </c>
      <c r="VOS19" s="310" t="s">
        <v>202</v>
      </c>
      <c r="VOT19" s="310" t="s">
        <v>202</v>
      </c>
      <c r="VOU19" s="310" t="s">
        <v>202</v>
      </c>
      <c r="VOV19" s="310" t="s">
        <v>202</v>
      </c>
      <c r="VOW19" s="310" t="s">
        <v>202</v>
      </c>
      <c r="VOX19" s="310" t="s">
        <v>202</v>
      </c>
      <c r="VOY19" s="310" t="s">
        <v>202</v>
      </c>
      <c r="VOZ19" s="310" t="s">
        <v>202</v>
      </c>
      <c r="VPA19" s="310" t="s">
        <v>202</v>
      </c>
      <c r="VPB19" s="310" t="s">
        <v>202</v>
      </c>
      <c r="VPC19" s="310" t="s">
        <v>202</v>
      </c>
      <c r="VPD19" s="310" t="s">
        <v>202</v>
      </c>
      <c r="VPE19" s="310" t="s">
        <v>202</v>
      </c>
      <c r="VPF19" s="310" t="s">
        <v>202</v>
      </c>
      <c r="VPG19" s="310" t="s">
        <v>202</v>
      </c>
      <c r="VPH19" s="310" t="s">
        <v>202</v>
      </c>
      <c r="VPI19" s="310" t="s">
        <v>202</v>
      </c>
      <c r="VPJ19" s="310" t="s">
        <v>202</v>
      </c>
      <c r="VPK19" s="310" t="s">
        <v>202</v>
      </c>
      <c r="VPL19" s="310" t="s">
        <v>202</v>
      </c>
      <c r="VPM19" s="310" t="s">
        <v>202</v>
      </c>
      <c r="VPN19" s="310" t="s">
        <v>202</v>
      </c>
      <c r="VPO19" s="310" t="s">
        <v>202</v>
      </c>
      <c r="VPP19" s="310" t="s">
        <v>202</v>
      </c>
      <c r="VPQ19" s="310" t="s">
        <v>202</v>
      </c>
      <c r="VPR19" s="310" t="s">
        <v>202</v>
      </c>
      <c r="VPS19" s="310" t="s">
        <v>202</v>
      </c>
      <c r="VPT19" s="310" t="s">
        <v>202</v>
      </c>
      <c r="VPU19" s="310" t="s">
        <v>202</v>
      </c>
      <c r="VPV19" s="310" t="s">
        <v>202</v>
      </c>
      <c r="VPW19" s="310" t="s">
        <v>202</v>
      </c>
      <c r="VPX19" s="310" t="s">
        <v>202</v>
      </c>
      <c r="VPY19" s="310" t="s">
        <v>202</v>
      </c>
      <c r="VPZ19" s="310" t="s">
        <v>202</v>
      </c>
      <c r="VQA19" s="310" t="s">
        <v>202</v>
      </c>
      <c r="VQB19" s="310" t="s">
        <v>202</v>
      </c>
      <c r="VQC19" s="310" t="s">
        <v>202</v>
      </c>
      <c r="VQD19" s="310" t="s">
        <v>202</v>
      </c>
      <c r="VQE19" s="310" t="s">
        <v>202</v>
      </c>
      <c r="VQF19" s="310" t="s">
        <v>202</v>
      </c>
      <c r="VQG19" s="310" t="s">
        <v>202</v>
      </c>
      <c r="VQH19" s="310" t="s">
        <v>202</v>
      </c>
      <c r="VQI19" s="310" t="s">
        <v>202</v>
      </c>
      <c r="VQJ19" s="310" t="s">
        <v>202</v>
      </c>
      <c r="VQK19" s="310" t="s">
        <v>202</v>
      </c>
      <c r="VQL19" s="310" t="s">
        <v>202</v>
      </c>
      <c r="VQM19" s="310" t="s">
        <v>202</v>
      </c>
      <c r="VQN19" s="310" t="s">
        <v>202</v>
      </c>
      <c r="VQO19" s="310" t="s">
        <v>202</v>
      </c>
      <c r="VQP19" s="310" t="s">
        <v>202</v>
      </c>
      <c r="VQQ19" s="310" t="s">
        <v>202</v>
      </c>
      <c r="VQR19" s="310" t="s">
        <v>202</v>
      </c>
      <c r="VQS19" s="310" t="s">
        <v>202</v>
      </c>
      <c r="VQT19" s="310" t="s">
        <v>202</v>
      </c>
      <c r="VQU19" s="310" t="s">
        <v>202</v>
      </c>
      <c r="VQV19" s="310" t="s">
        <v>202</v>
      </c>
      <c r="VQW19" s="310" t="s">
        <v>202</v>
      </c>
      <c r="VQX19" s="310" t="s">
        <v>202</v>
      </c>
      <c r="VQY19" s="310" t="s">
        <v>202</v>
      </c>
      <c r="VQZ19" s="310" t="s">
        <v>202</v>
      </c>
      <c r="VRA19" s="310" t="s">
        <v>202</v>
      </c>
      <c r="VRB19" s="310" t="s">
        <v>202</v>
      </c>
      <c r="VRC19" s="310" t="s">
        <v>202</v>
      </c>
      <c r="VRD19" s="310" t="s">
        <v>202</v>
      </c>
      <c r="VRE19" s="310" t="s">
        <v>202</v>
      </c>
      <c r="VRF19" s="310" t="s">
        <v>202</v>
      </c>
      <c r="VRG19" s="310" t="s">
        <v>202</v>
      </c>
      <c r="VRH19" s="310" t="s">
        <v>202</v>
      </c>
      <c r="VRI19" s="310" t="s">
        <v>202</v>
      </c>
      <c r="VRJ19" s="310" t="s">
        <v>202</v>
      </c>
      <c r="VRK19" s="310" t="s">
        <v>202</v>
      </c>
      <c r="VRL19" s="310" t="s">
        <v>202</v>
      </c>
      <c r="VRM19" s="310" t="s">
        <v>202</v>
      </c>
      <c r="VRN19" s="310" t="s">
        <v>202</v>
      </c>
      <c r="VRO19" s="310" t="s">
        <v>202</v>
      </c>
      <c r="VRP19" s="310" t="s">
        <v>202</v>
      </c>
      <c r="VRQ19" s="310" t="s">
        <v>202</v>
      </c>
      <c r="VRR19" s="310" t="s">
        <v>202</v>
      </c>
      <c r="VRS19" s="310" t="s">
        <v>202</v>
      </c>
      <c r="VRT19" s="310" t="s">
        <v>202</v>
      </c>
      <c r="VRU19" s="310" t="s">
        <v>202</v>
      </c>
      <c r="VRV19" s="310" t="s">
        <v>202</v>
      </c>
      <c r="VRW19" s="310" t="s">
        <v>202</v>
      </c>
      <c r="VRX19" s="310" t="s">
        <v>202</v>
      </c>
      <c r="VRY19" s="310" t="s">
        <v>202</v>
      </c>
      <c r="VRZ19" s="310" t="s">
        <v>202</v>
      </c>
      <c r="VSA19" s="310" t="s">
        <v>202</v>
      </c>
      <c r="VSB19" s="310" t="s">
        <v>202</v>
      </c>
      <c r="VSC19" s="310" t="s">
        <v>202</v>
      </c>
      <c r="VSD19" s="310" t="s">
        <v>202</v>
      </c>
      <c r="VSE19" s="310" t="s">
        <v>202</v>
      </c>
      <c r="VSF19" s="310" t="s">
        <v>202</v>
      </c>
      <c r="VSG19" s="310" t="s">
        <v>202</v>
      </c>
      <c r="VSH19" s="310" t="s">
        <v>202</v>
      </c>
      <c r="VSI19" s="310" t="s">
        <v>202</v>
      </c>
      <c r="VSJ19" s="310" t="s">
        <v>202</v>
      </c>
      <c r="VSK19" s="310" t="s">
        <v>202</v>
      </c>
      <c r="VSL19" s="310" t="s">
        <v>202</v>
      </c>
      <c r="VSM19" s="310" t="s">
        <v>202</v>
      </c>
      <c r="VSN19" s="310" t="s">
        <v>202</v>
      </c>
      <c r="VSO19" s="310" t="s">
        <v>202</v>
      </c>
      <c r="VSP19" s="310" t="s">
        <v>202</v>
      </c>
      <c r="VSQ19" s="310" t="s">
        <v>202</v>
      </c>
      <c r="VSR19" s="310" t="s">
        <v>202</v>
      </c>
      <c r="VSS19" s="310" t="s">
        <v>202</v>
      </c>
      <c r="VST19" s="310" t="s">
        <v>202</v>
      </c>
      <c r="VSU19" s="310" t="s">
        <v>202</v>
      </c>
      <c r="VSV19" s="310" t="s">
        <v>202</v>
      </c>
      <c r="VSW19" s="310" t="s">
        <v>202</v>
      </c>
      <c r="VSX19" s="310" t="s">
        <v>202</v>
      </c>
      <c r="VSY19" s="310" t="s">
        <v>202</v>
      </c>
      <c r="VSZ19" s="310" t="s">
        <v>202</v>
      </c>
      <c r="VTA19" s="310" t="s">
        <v>202</v>
      </c>
      <c r="VTB19" s="310" t="s">
        <v>202</v>
      </c>
      <c r="VTC19" s="310" t="s">
        <v>202</v>
      </c>
      <c r="VTD19" s="310" t="s">
        <v>202</v>
      </c>
      <c r="VTE19" s="310" t="s">
        <v>202</v>
      </c>
      <c r="VTF19" s="310" t="s">
        <v>202</v>
      </c>
      <c r="VTG19" s="310" t="s">
        <v>202</v>
      </c>
      <c r="VTH19" s="310" t="s">
        <v>202</v>
      </c>
      <c r="VTI19" s="310" t="s">
        <v>202</v>
      </c>
      <c r="VTJ19" s="310" t="s">
        <v>202</v>
      </c>
      <c r="VTK19" s="310" t="s">
        <v>202</v>
      </c>
      <c r="VTL19" s="310" t="s">
        <v>202</v>
      </c>
      <c r="VTM19" s="310" t="s">
        <v>202</v>
      </c>
      <c r="VTN19" s="310" t="s">
        <v>202</v>
      </c>
      <c r="VTO19" s="310" t="s">
        <v>202</v>
      </c>
      <c r="VTP19" s="310" t="s">
        <v>202</v>
      </c>
      <c r="VTQ19" s="310" t="s">
        <v>202</v>
      </c>
      <c r="VTR19" s="310" t="s">
        <v>202</v>
      </c>
      <c r="VTS19" s="310" t="s">
        <v>202</v>
      </c>
      <c r="VTT19" s="310" t="s">
        <v>202</v>
      </c>
      <c r="VTU19" s="310" t="s">
        <v>202</v>
      </c>
      <c r="VTV19" s="310" t="s">
        <v>202</v>
      </c>
      <c r="VTW19" s="310" t="s">
        <v>202</v>
      </c>
      <c r="VTX19" s="310" t="s">
        <v>202</v>
      </c>
      <c r="VTY19" s="310" t="s">
        <v>202</v>
      </c>
      <c r="VTZ19" s="310" t="s">
        <v>202</v>
      </c>
      <c r="VUA19" s="310" t="s">
        <v>202</v>
      </c>
      <c r="VUB19" s="310" t="s">
        <v>202</v>
      </c>
      <c r="VUC19" s="310" t="s">
        <v>202</v>
      </c>
      <c r="VUD19" s="310" t="s">
        <v>202</v>
      </c>
      <c r="VUE19" s="310" t="s">
        <v>202</v>
      </c>
      <c r="VUF19" s="310" t="s">
        <v>202</v>
      </c>
      <c r="VUG19" s="310" t="s">
        <v>202</v>
      </c>
      <c r="VUH19" s="310" t="s">
        <v>202</v>
      </c>
      <c r="VUI19" s="310" t="s">
        <v>202</v>
      </c>
      <c r="VUJ19" s="310" t="s">
        <v>202</v>
      </c>
      <c r="VUK19" s="310" t="s">
        <v>202</v>
      </c>
      <c r="VUL19" s="310" t="s">
        <v>202</v>
      </c>
      <c r="VUM19" s="310" t="s">
        <v>202</v>
      </c>
      <c r="VUN19" s="310" t="s">
        <v>202</v>
      </c>
      <c r="VUO19" s="310" t="s">
        <v>202</v>
      </c>
      <c r="VUP19" s="310" t="s">
        <v>202</v>
      </c>
      <c r="VUQ19" s="310" t="s">
        <v>202</v>
      </c>
      <c r="VUR19" s="310" t="s">
        <v>202</v>
      </c>
      <c r="VUS19" s="310" t="s">
        <v>202</v>
      </c>
      <c r="VUT19" s="310" t="s">
        <v>202</v>
      </c>
      <c r="VUU19" s="310" t="s">
        <v>202</v>
      </c>
      <c r="VUV19" s="310" t="s">
        <v>202</v>
      </c>
      <c r="VUW19" s="310" t="s">
        <v>202</v>
      </c>
      <c r="VUX19" s="310" t="s">
        <v>202</v>
      </c>
      <c r="VUY19" s="310" t="s">
        <v>202</v>
      </c>
      <c r="VUZ19" s="310" t="s">
        <v>202</v>
      </c>
      <c r="VVA19" s="310" t="s">
        <v>202</v>
      </c>
      <c r="VVB19" s="310" t="s">
        <v>202</v>
      </c>
      <c r="VVC19" s="310" t="s">
        <v>202</v>
      </c>
      <c r="VVD19" s="310" t="s">
        <v>202</v>
      </c>
      <c r="VVE19" s="310" t="s">
        <v>202</v>
      </c>
      <c r="VVF19" s="310" t="s">
        <v>202</v>
      </c>
      <c r="VVG19" s="310" t="s">
        <v>202</v>
      </c>
      <c r="VVH19" s="310" t="s">
        <v>202</v>
      </c>
      <c r="VVI19" s="310" t="s">
        <v>202</v>
      </c>
      <c r="VVJ19" s="310" t="s">
        <v>202</v>
      </c>
      <c r="VVK19" s="310" t="s">
        <v>202</v>
      </c>
      <c r="VVL19" s="310" t="s">
        <v>202</v>
      </c>
      <c r="VVM19" s="310" t="s">
        <v>202</v>
      </c>
      <c r="VVN19" s="310" t="s">
        <v>202</v>
      </c>
      <c r="VVO19" s="310" t="s">
        <v>202</v>
      </c>
      <c r="VVP19" s="310" t="s">
        <v>202</v>
      </c>
      <c r="VVQ19" s="310" t="s">
        <v>202</v>
      </c>
      <c r="VVR19" s="310" t="s">
        <v>202</v>
      </c>
      <c r="VVS19" s="310" t="s">
        <v>202</v>
      </c>
      <c r="VVT19" s="310" t="s">
        <v>202</v>
      </c>
      <c r="VVU19" s="310" t="s">
        <v>202</v>
      </c>
      <c r="VVV19" s="310" t="s">
        <v>202</v>
      </c>
      <c r="VVW19" s="310" t="s">
        <v>202</v>
      </c>
      <c r="VVX19" s="310" t="s">
        <v>202</v>
      </c>
      <c r="VVY19" s="310" t="s">
        <v>202</v>
      </c>
      <c r="VVZ19" s="310" t="s">
        <v>202</v>
      </c>
      <c r="VWA19" s="310" t="s">
        <v>202</v>
      </c>
      <c r="VWB19" s="310" t="s">
        <v>202</v>
      </c>
      <c r="VWC19" s="310" t="s">
        <v>202</v>
      </c>
      <c r="VWD19" s="310" t="s">
        <v>202</v>
      </c>
      <c r="VWE19" s="310" t="s">
        <v>202</v>
      </c>
      <c r="VWF19" s="310" t="s">
        <v>202</v>
      </c>
      <c r="VWG19" s="310" t="s">
        <v>202</v>
      </c>
      <c r="VWH19" s="310" t="s">
        <v>202</v>
      </c>
      <c r="VWI19" s="310" t="s">
        <v>202</v>
      </c>
      <c r="VWJ19" s="310" t="s">
        <v>202</v>
      </c>
      <c r="VWK19" s="310" t="s">
        <v>202</v>
      </c>
      <c r="VWL19" s="310" t="s">
        <v>202</v>
      </c>
      <c r="VWM19" s="310" t="s">
        <v>202</v>
      </c>
      <c r="VWN19" s="310" t="s">
        <v>202</v>
      </c>
      <c r="VWO19" s="310" t="s">
        <v>202</v>
      </c>
      <c r="VWP19" s="310" t="s">
        <v>202</v>
      </c>
      <c r="VWQ19" s="310" t="s">
        <v>202</v>
      </c>
      <c r="VWR19" s="310" t="s">
        <v>202</v>
      </c>
      <c r="VWS19" s="310" t="s">
        <v>202</v>
      </c>
      <c r="VWT19" s="310" t="s">
        <v>202</v>
      </c>
      <c r="VWU19" s="310" t="s">
        <v>202</v>
      </c>
      <c r="VWV19" s="310" t="s">
        <v>202</v>
      </c>
      <c r="VWW19" s="310" t="s">
        <v>202</v>
      </c>
      <c r="VWX19" s="310" t="s">
        <v>202</v>
      </c>
      <c r="VWY19" s="310" t="s">
        <v>202</v>
      </c>
      <c r="VWZ19" s="310" t="s">
        <v>202</v>
      </c>
      <c r="VXA19" s="310" t="s">
        <v>202</v>
      </c>
      <c r="VXB19" s="310" t="s">
        <v>202</v>
      </c>
      <c r="VXC19" s="310" t="s">
        <v>202</v>
      </c>
      <c r="VXD19" s="310" t="s">
        <v>202</v>
      </c>
      <c r="VXE19" s="310" t="s">
        <v>202</v>
      </c>
      <c r="VXF19" s="310" t="s">
        <v>202</v>
      </c>
      <c r="VXG19" s="310" t="s">
        <v>202</v>
      </c>
      <c r="VXH19" s="310" t="s">
        <v>202</v>
      </c>
      <c r="VXI19" s="310" t="s">
        <v>202</v>
      </c>
      <c r="VXJ19" s="310" t="s">
        <v>202</v>
      </c>
      <c r="VXK19" s="310" t="s">
        <v>202</v>
      </c>
      <c r="VXL19" s="310" t="s">
        <v>202</v>
      </c>
      <c r="VXM19" s="310" t="s">
        <v>202</v>
      </c>
      <c r="VXN19" s="310" t="s">
        <v>202</v>
      </c>
      <c r="VXO19" s="310" t="s">
        <v>202</v>
      </c>
      <c r="VXP19" s="310" t="s">
        <v>202</v>
      </c>
      <c r="VXQ19" s="310" t="s">
        <v>202</v>
      </c>
      <c r="VXR19" s="310" t="s">
        <v>202</v>
      </c>
      <c r="VXS19" s="310" t="s">
        <v>202</v>
      </c>
      <c r="VXT19" s="310" t="s">
        <v>202</v>
      </c>
      <c r="VXU19" s="310" t="s">
        <v>202</v>
      </c>
      <c r="VXV19" s="310" t="s">
        <v>202</v>
      </c>
      <c r="VXW19" s="310" t="s">
        <v>202</v>
      </c>
      <c r="VXX19" s="310" t="s">
        <v>202</v>
      </c>
      <c r="VXY19" s="310" t="s">
        <v>202</v>
      </c>
      <c r="VXZ19" s="310" t="s">
        <v>202</v>
      </c>
      <c r="VYA19" s="310" t="s">
        <v>202</v>
      </c>
      <c r="VYB19" s="310" t="s">
        <v>202</v>
      </c>
      <c r="VYC19" s="310" t="s">
        <v>202</v>
      </c>
      <c r="VYD19" s="310" t="s">
        <v>202</v>
      </c>
      <c r="VYE19" s="310" t="s">
        <v>202</v>
      </c>
      <c r="VYF19" s="310" t="s">
        <v>202</v>
      </c>
      <c r="VYG19" s="310" t="s">
        <v>202</v>
      </c>
      <c r="VYH19" s="310" t="s">
        <v>202</v>
      </c>
      <c r="VYI19" s="310" t="s">
        <v>202</v>
      </c>
      <c r="VYJ19" s="310" t="s">
        <v>202</v>
      </c>
      <c r="VYK19" s="310" t="s">
        <v>202</v>
      </c>
      <c r="VYL19" s="310" t="s">
        <v>202</v>
      </c>
      <c r="VYM19" s="310" t="s">
        <v>202</v>
      </c>
      <c r="VYN19" s="310" t="s">
        <v>202</v>
      </c>
      <c r="VYO19" s="310" t="s">
        <v>202</v>
      </c>
      <c r="VYP19" s="310" t="s">
        <v>202</v>
      </c>
      <c r="VYQ19" s="310" t="s">
        <v>202</v>
      </c>
      <c r="VYR19" s="310" t="s">
        <v>202</v>
      </c>
      <c r="VYS19" s="310" t="s">
        <v>202</v>
      </c>
      <c r="VYT19" s="310" t="s">
        <v>202</v>
      </c>
      <c r="VYU19" s="310" t="s">
        <v>202</v>
      </c>
      <c r="VYV19" s="310" t="s">
        <v>202</v>
      </c>
      <c r="VYW19" s="310" t="s">
        <v>202</v>
      </c>
      <c r="VYX19" s="310" t="s">
        <v>202</v>
      </c>
      <c r="VYY19" s="310" t="s">
        <v>202</v>
      </c>
      <c r="VYZ19" s="310" t="s">
        <v>202</v>
      </c>
      <c r="VZA19" s="310" t="s">
        <v>202</v>
      </c>
      <c r="VZB19" s="310" t="s">
        <v>202</v>
      </c>
      <c r="VZC19" s="310" t="s">
        <v>202</v>
      </c>
      <c r="VZD19" s="310" t="s">
        <v>202</v>
      </c>
      <c r="VZE19" s="310" t="s">
        <v>202</v>
      </c>
      <c r="VZF19" s="310" t="s">
        <v>202</v>
      </c>
      <c r="VZG19" s="310" t="s">
        <v>202</v>
      </c>
      <c r="VZH19" s="310" t="s">
        <v>202</v>
      </c>
      <c r="VZI19" s="310" t="s">
        <v>202</v>
      </c>
      <c r="VZJ19" s="310" t="s">
        <v>202</v>
      </c>
      <c r="VZK19" s="310" t="s">
        <v>202</v>
      </c>
      <c r="VZL19" s="310" t="s">
        <v>202</v>
      </c>
      <c r="VZM19" s="310" t="s">
        <v>202</v>
      </c>
      <c r="VZN19" s="310" t="s">
        <v>202</v>
      </c>
      <c r="VZO19" s="310" t="s">
        <v>202</v>
      </c>
      <c r="VZP19" s="310" t="s">
        <v>202</v>
      </c>
      <c r="VZQ19" s="310" t="s">
        <v>202</v>
      </c>
      <c r="VZR19" s="310" t="s">
        <v>202</v>
      </c>
      <c r="VZS19" s="310" t="s">
        <v>202</v>
      </c>
      <c r="VZT19" s="310" t="s">
        <v>202</v>
      </c>
      <c r="VZU19" s="310" t="s">
        <v>202</v>
      </c>
      <c r="VZV19" s="310" t="s">
        <v>202</v>
      </c>
      <c r="VZW19" s="310" t="s">
        <v>202</v>
      </c>
      <c r="VZX19" s="310" t="s">
        <v>202</v>
      </c>
      <c r="VZY19" s="310" t="s">
        <v>202</v>
      </c>
      <c r="VZZ19" s="310" t="s">
        <v>202</v>
      </c>
      <c r="WAA19" s="310" t="s">
        <v>202</v>
      </c>
      <c r="WAB19" s="310" t="s">
        <v>202</v>
      </c>
      <c r="WAC19" s="310" t="s">
        <v>202</v>
      </c>
      <c r="WAD19" s="310" t="s">
        <v>202</v>
      </c>
      <c r="WAE19" s="310" t="s">
        <v>202</v>
      </c>
      <c r="WAF19" s="310" t="s">
        <v>202</v>
      </c>
      <c r="WAG19" s="310" t="s">
        <v>202</v>
      </c>
      <c r="WAH19" s="310" t="s">
        <v>202</v>
      </c>
      <c r="WAI19" s="310" t="s">
        <v>202</v>
      </c>
      <c r="WAJ19" s="310" t="s">
        <v>202</v>
      </c>
      <c r="WAK19" s="310" t="s">
        <v>202</v>
      </c>
      <c r="WAL19" s="310" t="s">
        <v>202</v>
      </c>
      <c r="WAM19" s="310" t="s">
        <v>202</v>
      </c>
      <c r="WAN19" s="310" t="s">
        <v>202</v>
      </c>
      <c r="WAO19" s="310" t="s">
        <v>202</v>
      </c>
      <c r="WAP19" s="310" t="s">
        <v>202</v>
      </c>
      <c r="WAQ19" s="310" t="s">
        <v>202</v>
      </c>
      <c r="WAR19" s="310" t="s">
        <v>202</v>
      </c>
      <c r="WAS19" s="310" t="s">
        <v>202</v>
      </c>
      <c r="WAT19" s="310" t="s">
        <v>202</v>
      </c>
      <c r="WAU19" s="310" t="s">
        <v>202</v>
      </c>
      <c r="WAV19" s="310" t="s">
        <v>202</v>
      </c>
      <c r="WAW19" s="310" t="s">
        <v>202</v>
      </c>
      <c r="WAX19" s="310" t="s">
        <v>202</v>
      </c>
      <c r="WAY19" s="310" t="s">
        <v>202</v>
      </c>
      <c r="WAZ19" s="310" t="s">
        <v>202</v>
      </c>
      <c r="WBA19" s="310" t="s">
        <v>202</v>
      </c>
      <c r="WBB19" s="310" t="s">
        <v>202</v>
      </c>
      <c r="WBC19" s="310" t="s">
        <v>202</v>
      </c>
      <c r="WBD19" s="310" t="s">
        <v>202</v>
      </c>
      <c r="WBE19" s="310" t="s">
        <v>202</v>
      </c>
      <c r="WBF19" s="310" t="s">
        <v>202</v>
      </c>
      <c r="WBG19" s="310" t="s">
        <v>202</v>
      </c>
      <c r="WBH19" s="310" t="s">
        <v>202</v>
      </c>
      <c r="WBI19" s="310" t="s">
        <v>202</v>
      </c>
      <c r="WBJ19" s="310" t="s">
        <v>202</v>
      </c>
      <c r="WBK19" s="310" t="s">
        <v>202</v>
      </c>
      <c r="WBL19" s="310" t="s">
        <v>202</v>
      </c>
      <c r="WBM19" s="310" t="s">
        <v>202</v>
      </c>
      <c r="WBN19" s="310" t="s">
        <v>202</v>
      </c>
      <c r="WBO19" s="310" t="s">
        <v>202</v>
      </c>
      <c r="WBP19" s="310" t="s">
        <v>202</v>
      </c>
      <c r="WBQ19" s="310" t="s">
        <v>202</v>
      </c>
      <c r="WBR19" s="310" t="s">
        <v>202</v>
      </c>
      <c r="WBS19" s="310" t="s">
        <v>202</v>
      </c>
      <c r="WBT19" s="310" t="s">
        <v>202</v>
      </c>
      <c r="WBU19" s="310" t="s">
        <v>202</v>
      </c>
      <c r="WBV19" s="310" t="s">
        <v>202</v>
      </c>
      <c r="WBW19" s="310" t="s">
        <v>202</v>
      </c>
      <c r="WBX19" s="310" t="s">
        <v>202</v>
      </c>
      <c r="WBY19" s="310" t="s">
        <v>202</v>
      </c>
      <c r="WBZ19" s="310" t="s">
        <v>202</v>
      </c>
      <c r="WCA19" s="310" t="s">
        <v>202</v>
      </c>
      <c r="WCB19" s="310" t="s">
        <v>202</v>
      </c>
      <c r="WCC19" s="310" t="s">
        <v>202</v>
      </c>
      <c r="WCD19" s="310" t="s">
        <v>202</v>
      </c>
      <c r="WCE19" s="310" t="s">
        <v>202</v>
      </c>
      <c r="WCF19" s="310" t="s">
        <v>202</v>
      </c>
      <c r="WCG19" s="310" t="s">
        <v>202</v>
      </c>
      <c r="WCH19" s="310" t="s">
        <v>202</v>
      </c>
      <c r="WCI19" s="310" t="s">
        <v>202</v>
      </c>
      <c r="WCJ19" s="310" t="s">
        <v>202</v>
      </c>
      <c r="WCK19" s="310" t="s">
        <v>202</v>
      </c>
      <c r="WCL19" s="310" t="s">
        <v>202</v>
      </c>
      <c r="WCM19" s="310" t="s">
        <v>202</v>
      </c>
      <c r="WCN19" s="310" t="s">
        <v>202</v>
      </c>
      <c r="WCO19" s="310" t="s">
        <v>202</v>
      </c>
      <c r="WCP19" s="310" t="s">
        <v>202</v>
      </c>
      <c r="WCQ19" s="310" t="s">
        <v>202</v>
      </c>
      <c r="WCR19" s="310" t="s">
        <v>202</v>
      </c>
      <c r="WCS19" s="310" t="s">
        <v>202</v>
      </c>
      <c r="WCT19" s="310" t="s">
        <v>202</v>
      </c>
      <c r="WCU19" s="310" t="s">
        <v>202</v>
      </c>
      <c r="WCV19" s="310" t="s">
        <v>202</v>
      </c>
      <c r="WCW19" s="310" t="s">
        <v>202</v>
      </c>
      <c r="WCX19" s="310" t="s">
        <v>202</v>
      </c>
      <c r="WCY19" s="310" t="s">
        <v>202</v>
      </c>
      <c r="WCZ19" s="310" t="s">
        <v>202</v>
      </c>
      <c r="WDA19" s="310" t="s">
        <v>202</v>
      </c>
      <c r="WDB19" s="310" t="s">
        <v>202</v>
      </c>
      <c r="WDC19" s="310" t="s">
        <v>202</v>
      </c>
      <c r="WDD19" s="310" t="s">
        <v>202</v>
      </c>
      <c r="WDE19" s="310" t="s">
        <v>202</v>
      </c>
      <c r="WDF19" s="310" t="s">
        <v>202</v>
      </c>
      <c r="WDG19" s="310" t="s">
        <v>202</v>
      </c>
      <c r="WDH19" s="310" t="s">
        <v>202</v>
      </c>
      <c r="WDI19" s="310" t="s">
        <v>202</v>
      </c>
      <c r="WDJ19" s="310" t="s">
        <v>202</v>
      </c>
      <c r="WDK19" s="310" t="s">
        <v>202</v>
      </c>
      <c r="WDL19" s="310" t="s">
        <v>202</v>
      </c>
      <c r="WDM19" s="310" t="s">
        <v>202</v>
      </c>
      <c r="WDN19" s="310" t="s">
        <v>202</v>
      </c>
      <c r="WDO19" s="310" t="s">
        <v>202</v>
      </c>
      <c r="WDP19" s="310" t="s">
        <v>202</v>
      </c>
      <c r="WDQ19" s="310" t="s">
        <v>202</v>
      </c>
      <c r="WDR19" s="310" t="s">
        <v>202</v>
      </c>
      <c r="WDS19" s="310" t="s">
        <v>202</v>
      </c>
      <c r="WDT19" s="310" t="s">
        <v>202</v>
      </c>
      <c r="WDU19" s="310" t="s">
        <v>202</v>
      </c>
      <c r="WDV19" s="310" t="s">
        <v>202</v>
      </c>
      <c r="WDW19" s="310" t="s">
        <v>202</v>
      </c>
      <c r="WDX19" s="310" t="s">
        <v>202</v>
      </c>
      <c r="WDY19" s="310" t="s">
        <v>202</v>
      </c>
      <c r="WDZ19" s="310" t="s">
        <v>202</v>
      </c>
      <c r="WEA19" s="310" t="s">
        <v>202</v>
      </c>
      <c r="WEB19" s="310" t="s">
        <v>202</v>
      </c>
      <c r="WEC19" s="310" t="s">
        <v>202</v>
      </c>
      <c r="WED19" s="310" t="s">
        <v>202</v>
      </c>
      <c r="WEE19" s="310" t="s">
        <v>202</v>
      </c>
      <c r="WEF19" s="310" t="s">
        <v>202</v>
      </c>
      <c r="WEG19" s="310" t="s">
        <v>202</v>
      </c>
      <c r="WEH19" s="310" t="s">
        <v>202</v>
      </c>
      <c r="WEI19" s="310" t="s">
        <v>202</v>
      </c>
      <c r="WEJ19" s="310" t="s">
        <v>202</v>
      </c>
      <c r="WEK19" s="310" t="s">
        <v>202</v>
      </c>
      <c r="WEL19" s="310" t="s">
        <v>202</v>
      </c>
      <c r="WEM19" s="310" t="s">
        <v>202</v>
      </c>
      <c r="WEN19" s="310" t="s">
        <v>202</v>
      </c>
      <c r="WEO19" s="310" t="s">
        <v>202</v>
      </c>
      <c r="WEP19" s="310" t="s">
        <v>202</v>
      </c>
      <c r="WEQ19" s="310" t="s">
        <v>202</v>
      </c>
      <c r="WER19" s="310" t="s">
        <v>202</v>
      </c>
      <c r="WES19" s="310" t="s">
        <v>202</v>
      </c>
      <c r="WET19" s="310" t="s">
        <v>202</v>
      </c>
      <c r="WEU19" s="310" t="s">
        <v>202</v>
      </c>
      <c r="WEV19" s="310" t="s">
        <v>202</v>
      </c>
      <c r="WEW19" s="310" t="s">
        <v>202</v>
      </c>
      <c r="WEX19" s="310" t="s">
        <v>202</v>
      </c>
      <c r="WEY19" s="310" t="s">
        <v>202</v>
      </c>
      <c r="WEZ19" s="310" t="s">
        <v>202</v>
      </c>
      <c r="WFA19" s="310" t="s">
        <v>202</v>
      </c>
      <c r="WFB19" s="310" t="s">
        <v>202</v>
      </c>
      <c r="WFC19" s="310" t="s">
        <v>202</v>
      </c>
      <c r="WFD19" s="310" t="s">
        <v>202</v>
      </c>
      <c r="WFE19" s="310" t="s">
        <v>202</v>
      </c>
      <c r="WFF19" s="310" t="s">
        <v>202</v>
      </c>
      <c r="WFG19" s="310" t="s">
        <v>202</v>
      </c>
      <c r="WFH19" s="310" t="s">
        <v>202</v>
      </c>
      <c r="WFI19" s="310" t="s">
        <v>202</v>
      </c>
      <c r="WFJ19" s="310" t="s">
        <v>202</v>
      </c>
      <c r="WFK19" s="310" t="s">
        <v>202</v>
      </c>
      <c r="WFL19" s="310" t="s">
        <v>202</v>
      </c>
      <c r="WFM19" s="310" t="s">
        <v>202</v>
      </c>
      <c r="WFN19" s="310" t="s">
        <v>202</v>
      </c>
      <c r="WFO19" s="310" t="s">
        <v>202</v>
      </c>
      <c r="WFP19" s="310" t="s">
        <v>202</v>
      </c>
      <c r="WFQ19" s="310" t="s">
        <v>202</v>
      </c>
      <c r="WFR19" s="310" t="s">
        <v>202</v>
      </c>
      <c r="WFS19" s="310" t="s">
        <v>202</v>
      </c>
      <c r="WFT19" s="310" t="s">
        <v>202</v>
      </c>
      <c r="WFU19" s="310" t="s">
        <v>202</v>
      </c>
      <c r="WFV19" s="310" t="s">
        <v>202</v>
      </c>
      <c r="WFW19" s="310" t="s">
        <v>202</v>
      </c>
      <c r="WFX19" s="310" t="s">
        <v>202</v>
      </c>
      <c r="WFY19" s="310" t="s">
        <v>202</v>
      </c>
      <c r="WFZ19" s="310" t="s">
        <v>202</v>
      </c>
      <c r="WGA19" s="310" t="s">
        <v>202</v>
      </c>
      <c r="WGB19" s="310" t="s">
        <v>202</v>
      </c>
      <c r="WGC19" s="310" t="s">
        <v>202</v>
      </c>
      <c r="WGD19" s="310" t="s">
        <v>202</v>
      </c>
      <c r="WGE19" s="310" t="s">
        <v>202</v>
      </c>
      <c r="WGF19" s="310" t="s">
        <v>202</v>
      </c>
      <c r="WGG19" s="310" t="s">
        <v>202</v>
      </c>
      <c r="WGH19" s="310" t="s">
        <v>202</v>
      </c>
      <c r="WGI19" s="310" t="s">
        <v>202</v>
      </c>
      <c r="WGJ19" s="310" t="s">
        <v>202</v>
      </c>
      <c r="WGK19" s="310" t="s">
        <v>202</v>
      </c>
      <c r="WGL19" s="310" t="s">
        <v>202</v>
      </c>
      <c r="WGM19" s="310" t="s">
        <v>202</v>
      </c>
      <c r="WGN19" s="310" t="s">
        <v>202</v>
      </c>
      <c r="WGO19" s="310" t="s">
        <v>202</v>
      </c>
      <c r="WGP19" s="310" t="s">
        <v>202</v>
      </c>
      <c r="WGQ19" s="310" t="s">
        <v>202</v>
      </c>
      <c r="WGR19" s="310" t="s">
        <v>202</v>
      </c>
      <c r="WGS19" s="310" t="s">
        <v>202</v>
      </c>
      <c r="WGT19" s="310" t="s">
        <v>202</v>
      </c>
      <c r="WGU19" s="310" t="s">
        <v>202</v>
      </c>
      <c r="WGV19" s="310" t="s">
        <v>202</v>
      </c>
      <c r="WGW19" s="310" t="s">
        <v>202</v>
      </c>
      <c r="WGX19" s="310" t="s">
        <v>202</v>
      </c>
      <c r="WGY19" s="310" t="s">
        <v>202</v>
      </c>
      <c r="WGZ19" s="310" t="s">
        <v>202</v>
      </c>
      <c r="WHA19" s="310" t="s">
        <v>202</v>
      </c>
      <c r="WHB19" s="310" t="s">
        <v>202</v>
      </c>
      <c r="WHC19" s="310" t="s">
        <v>202</v>
      </c>
      <c r="WHD19" s="310" t="s">
        <v>202</v>
      </c>
      <c r="WHE19" s="310" t="s">
        <v>202</v>
      </c>
      <c r="WHF19" s="310" t="s">
        <v>202</v>
      </c>
      <c r="WHG19" s="310" t="s">
        <v>202</v>
      </c>
      <c r="WHH19" s="310" t="s">
        <v>202</v>
      </c>
      <c r="WHI19" s="310" t="s">
        <v>202</v>
      </c>
      <c r="WHJ19" s="310" t="s">
        <v>202</v>
      </c>
      <c r="WHK19" s="310" t="s">
        <v>202</v>
      </c>
      <c r="WHL19" s="310" t="s">
        <v>202</v>
      </c>
      <c r="WHM19" s="310" t="s">
        <v>202</v>
      </c>
      <c r="WHN19" s="310" t="s">
        <v>202</v>
      </c>
      <c r="WHO19" s="310" t="s">
        <v>202</v>
      </c>
      <c r="WHP19" s="310" t="s">
        <v>202</v>
      </c>
      <c r="WHQ19" s="310" t="s">
        <v>202</v>
      </c>
      <c r="WHR19" s="310" t="s">
        <v>202</v>
      </c>
      <c r="WHS19" s="310" t="s">
        <v>202</v>
      </c>
      <c r="WHT19" s="310" t="s">
        <v>202</v>
      </c>
      <c r="WHU19" s="310" t="s">
        <v>202</v>
      </c>
      <c r="WHV19" s="310" t="s">
        <v>202</v>
      </c>
      <c r="WHW19" s="310" t="s">
        <v>202</v>
      </c>
      <c r="WHX19" s="310" t="s">
        <v>202</v>
      </c>
      <c r="WHY19" s="310" t="s">
        <v>202</v>
      </c>
      <c r="WHZ19" s="310" t="s">
        <v>202</v>
      </c>
      <c r="WIA19" s="310" t="s">
        <v>202</v>
      </c>
      <c r="WIB19" s="310" t="s">
        <v>202</v>
      </c>
      <c r="WIC19" s="310" t="s">
        <v>202</v>
      </c>
      <c r="WID19" s="310" t="s">
        <v>202</v>
      </c>
      <c r="WIE19" s="310" t="s">
        <v>202</v>
      </c>
      <c r="WIF19" s="310" t="s">
        <v>202</v>
      </c>
      <c r="WIG19" s="310" t="s">
        <v>202</v>
      </c>
      <c r="WIH19" s="310" t="s">
        <v>202</v>
      </c>
      <c r="WII19" s="310" t="s">
        <v>202</v>
      </c>
      <c r="WIJ19" s="310" t="s">
        <v>202</v>
      </c>
      <c r="WIK19" s="310" t="s">
        <v>202</v>
      </c>
      <c r="WIL19" s="310" t="s">
        <v>202</v>
      </c>
      <c r="WIM19" s="310" t="s">
        <v>202</v>
      </c>
      <c r="WIN19" s="310" t="s">
        <v>202</v>
      </c>
      <c r="WIO19" s="310" t="s">
        <v>202</v>
      </c>
      <c r="WIP19" s="310" t="s">
        <v>202</v>
      </c>
      <c r="WIQ19" s="310" t="s">
        <v>202</v>
      </c>
      <c r="WIR19" s="310" t="s">
        <v>202</v>
      </c>
      <c r="WIS19" s="310" t="s">
        <v>202</v>
      </c>
      <c r="WIT19" s="310" t="s">
        <v>202</v>
      </c>
      <c r="WIU19" s="310" t="s">
        <v>202</v>
      </c>
      <c r="WIV19" s="310" t="s">
        <v>202</v>
      </c>
      <c r="WIW19" s="310" t="s">
        <v>202</v>
      </c>
      <c r="WIX19" s="310" t="s">
        <v>202</v>
      </c>
      <c r="WIY19" s="310" t="s">
        <v>202</v>
      </c>
      <c r="WIZ19" s="310" t="s">
        <v>202</v>
      </c>
      <c r="WJA19" s="310" t="s">
        <v>202</v>
      </c>
      <c r="WJB19" s="310" t="s">
        <v>202</v>
      </c>
      <c r="WJC19" s="310" t="s">
        <v>202</v>
      </c>
      <c r="WJD19" s="310" t="s">
        <v>202</v>
      </c>
      <c r="WJE19" s="310" t="s">
        <v>202</v>
      </c>
      <c r="WJF19" s="310" t="s">
        <v>202</v>
      </c>
      <c r="WJG19" s="310" t="s">
        <v>202</v>
      </c>
      <c r="WJH19" s="310" t="s">
        <v>202</v>
      </c>
      <c r="WJI19" s="310" t="s">
        <v>202</v>
      </c>
      <c r="WJJ19" s="310" t="s">
        <v>202</v>
      </c>
      <c r="WJK19" s="310" t="s">
        <v>202</v>
      </c>
      <c r="WJL19" s="310" t="s">
        <v>202</v>
      </c>
      <c r="WJM19" s="310" t="s">
        <v>202</v>
      </c>
      <c r="WJN19" s="310" t="s">
        <v>202</v>
      </c>
      <c r="WJO19" s="310" t="s">
        <v>202</v>
      </c>
      <c r="WJP19" s="310" t="s">
        <v>202</v>
      </c>
      <c r="WJQ19" s="310" t="s">
        <v>202</v>
      </c>
      <c r="WJR19" s="310" t="s">
        <v>202</v>
      </c>
      <c r="WJS19" s="310" t="s">
        <v>202</v>
      </c>
      <c r="WJT19" s="310" t="s">
        <v>202</v>
      </c>
      <c r="WJU19" s="310" t="s">
        <v>202</v>
      </c>
      <c r="WJV19" s="310" t="s">
        <v>202</v>
      </c>
      <c r="WJW19" s="310" t="s">
        <v>202</v>
      </c>
      <c r="WJX19" s="310" t="s">
        <v>202</v>
      </c>
      <c r="WJY19" s="310" t="s">
        <v>202</v>
      </c>
      <c r="WJZ19" s="310" t="s">
        <v>202</v>
      </c>
      <c r="WKA19" s="310" t="s">
        <v>202</v>
      </c>
      <c r="WKB19" s="310" t="s">
        <v>202</v>
      </c>
      <c r="WKC19" s="310" t="s">
        <v>202</v>
      </c>
      <c r="WKD19" s="310" t="s">
        <v>202</v>
      </c>
      <c r="WKE19" s="310" t="s">
        <v>202</v>
      </c>
      <c r="WKF19" s="310" t="s">
        <v>202</v>
      </c>
      <c r="WKG19" s="310" t="s">
        <v>202</v>
      </c>
      <c r="WKH19" s="310" t="s">
        <v>202</v>
      </c>
      <c r="WKI19" s="310" t="s">
        <v>202</v>
      </c>
      <c r="WKJ19" s="310" t="s">
        <v>202</v>
      </c>
      <c r="WKK19" s="310" t="s">
        <v>202</v>
      </c>
      <c r="WKL19" s="310" t="s">
        <v>202</v>
      </c>
      <c r="WKM19" s="310" t="s">
        <v>202</v>
      </c>
      <c r="WKN19" s="310" t="s">
        <v>202</v>
      </c>
      <c r="WKO19" s="310" t="s">
        <v>202</v>
      </c>
      <c r="WKP19" s="310" t="s">
        <v>202</v>
      </c>
      <c r="WKQ19" s="310" t="s">
        <v>202</v>
      </c>
      <c r="WKR19" s="310" t="s">
        <v>202</v>
      </c>
      <c r="WKS19" s="310" t="s">
        <v>202</v>
      </c>
      <c r="WKT19" s="310" t="s">
        <v>202</v>
      </c>
      <c r="WKU19" s="310" t="s">
        <v>202</v>
      </c>
      <c r="WKV19" s="310" t="s">
        <v>202</v>
      </c>
      <c r="WKW19" s="310" t="s">
        <v>202</v>
      </c>
      <c r="WKX19" s="310" t="s">
        <v>202</v>
      </c>
      <c r="WKY19" s="310" t="s">
        <v>202</v>
      </c>
      <c r="WKZ19" s="310" t="s">
        <v>202</v>
      </c>
      <c r="WLA19" s="310" t="s">
        <v>202</v>
      </c>
      <c r="WLB19" s="310" t="s">
        <v>202</v>
      </c>
      <c r="WLC19" s="310" t="s">
        <v>202</v>
      </c>
      <c r="WLD19" s="310" t="s">
        <v>202</v>
      </c>
      <c r="WLE19" s="310" t="s">
        <v>202</v>
      </c>
      <c r="WLF19" s="310" t="s">
        <v>202</v>
      </c>
      <c r="WLG19" s="310" t="s">
        <v>202</v>
      </c>
      <c r="WLH19" s="310" t="s">
        <v>202</v>
      </c>
      <c r="WLI19" s="310" t="s">
        <v>202</v>
      </c>
      <c r="WLJ19" s="310" t="s">
        <v>202</v>
      </c>
      <c r="WLK19" s="310" t="s">
        <v>202</v>
      </c>
      <c r="WLL19" s="310" t="s">
        <v>202</v>
      </c>
      <c r="WLM19" s="310" t="s">
        <v>202</v>
      </c>
      <c r="WLN19" s="310" t="s">
        <v>202</v>
      </c>
      <c r="WLO19" s="310" t="s">
        <v>202</v>
      </c>
      <c r="WLP19" s="310" t="s">
        <v>202</v>
      </c>
      <c r="WLQ19" s="310" t="s">
        <v>202</v>
      </c>
      <c r="WLR19" s="310" t="s">
        <v>202</v>
      </c>
      <c r="WLS19" s="310" t="s">
        <v>202</v>
      </c>
      <c r="WLT19" s="310" t="s">
        <v>202</v>
      </c>
      <c r="WLU19" s="310" t="s">
        <v>202</v>
      </c>
      <c r="WLV19" s="310" t="s">
        <v>202</v>
      </c>
      <c r="WLW19" s="310" t="s">
        <v>202</v>
      </c>
      <c r="WLX19" s="310" t="s">
        <v>202</v>
      </c>
      <c r="WLY19" s="310" t="s">
        <v>202</v>
      </c>
      <c r="WLZ19" s="310" t="s">
        <v>202</v>
      </c>
      <c r="WMA19" s="310" t="s">
        <v>202</v>
      </c>
      <c r="WMB19" s="310" t="s">
        <v>202</v>
      </c>
      <c r="WMC19" s="310" t="s">
        <v>202</v>
      </c>
      <c r="WMD19" s="310" t="s">
        <v>202</v>
      </c>
      <c r="WME19" s="310" t="s">
        <v>202</v>
      </c>
      <c r="WMF19" s="310" t="s">
        <v>202</v>
      </c>
      <c r="WMG19" s="310" t="s">
        <v>202</v>
      </c>
      <c r="WMH19" s="310" t="s">
        <v>202</v>
      </c>
      <c r="WMI19" s="310" t="s">
        <v>202</v>
      </c>
      <c r="WMJ19" s="310" t="s">
        <v>202</v>
      </c>
      <c r="WMK19" s="310" t="s">
        <v>202</v>
      </c>
      <c r="WML19" s="310" t="s">
        <v>202</v>
      </c>
      <c r="WMM19" s="310" t="s">
        <v>202</v>
      </c>
      <c r="WMN19" s="310" t="s">
        <v>202</v>
      </c>
      <c r="WMO19" s="310" t="s">
        <v>202</v>
      </c>
      <c r="WMP19" s="310" t="s">
        <v>202</v>
      </c>
      <c r="WMQ19" s="310" t="s">
        <v>202</v>
      </c>
      <c r="WMR19" s="310" t="s">
        <v>202</v>
      </c>
      <c r="WMS19" s="310" t="s">
        <v>202</v>
      </c>
      <c r="WMT19" s="310" t="s">
        <v>202</v>
      </c>
      <c r="WMU19" s="310" t="s">
        <v>202</v>
      </c>
      <c r="WMV19" s="310" t="s">
        <v>202</v>
      </c>
      <c r="WMW19" s="310" t="s">
        <v>202</v>
      </c>
      <c r="WMX19" s="310" t="s">
        <v>202</v>
      </c>
      <c r="WMY19" s="310" t="s">
        <v>202</v>
      </c>
      <c r="WMZ19" s="310" t="s">
        <v>202</v>
      </c>
      <c r="WNA19" s="310" t="s">
        <v>202</v>
      </c>
      <c r="WNB19" s="310" t="s">
        <v>202</v>
      </c>
      <c r="WNC19" s="310" t="s">
        <v>202</v>
      </c>
      <c r="WND19" s="310" t="s">
        <v>202</v>
      </c>
      <c r="WNE19" s="310" t="s">
        <v>202</v>
      </c>
      <c r="WNF19" s="310" t="s">
        <v>202</v>
      </c>
      <c r="WNG19" s="310" t="s">
        <v>202</v>
      </c>
      <c r="WNH19" s="310" t="s">
        <v>202</v>
      </c>
      <c r="WNI19" s="310" t="s">
        <v>202</v>
      </c>
      <c r="WNJ19" s="310" t="s">
        <v>202</v>
      </c>
      <c r="WNK19" s="310" t="s">
        <v>202</v>
      </c>
      <c r="WNL19" s="310" t="s">
        <v>202</v>
      </c>
      <c r="WNM19" s="310" t="s">
        <v>202</v>
      </c>
      <c r="WNN19" s="310" t="s">
        <v>202</v>
      </c>
      <c r="WNO19" s="310" t="s">
        <v>202</v>
      </c>
      <c r="WNP19" s="310" t="s">
        <v>202</v>
      </c>
      <c r="WNQ19" s="310" t="s">
        <v>202</v>
      </c>
      <c r="WNR19" s="310" t="s">
        <v>202</v>
      </c>
      <c r="WNS19" s="310" t="s">
        <v>202</v>
      </c>
      <c r="WNT19" s="310" t="s">
        <v>202</v>
      </c>
      <c r="WNU19" s="310" t="s">
        <v>202</v>
      </c>
      <c r="WNV19" s="310" t="s">
        <v>202</v>
      </c>
      <c r="WNW19" s="310" t="s">
        <v>202</v>
      </c>
      <c r="WNX19" s="310" t="s">
        <v>202</v>
      </c>
      <c r="WNY19" s="310" t="s">
        <v>202</v>
      </c>
      <c r="WNZ19" s="310" t="s">
        <v>202</v>
      </c>
      <c r="WOA19" s="310" t="s">
        <v>202</v>
      </c>
      <c r="WOB19" s="310" t="s">
        <v>202</v>
      </c>
      <c r="WOC19" s="310" t="s">
        <v>202</v>
      </c>
      <c r="WOD19" s="310" t="s">
        <v>202</v>
      </c>
      <c r="WOE19" s="310" t="s">
        <v>202</v>
      </c>
      <c r="WOF19" s="310" t="s">
        <v>202</v>
      </c>
      <c r="WOG19" s="310" t="s">
        <v>202</v>
      </c>
      <c r="WOH19" s="310" t="s">
        <v>202</v>
      </c>
      <c r="WOI19" s="310" t="s">
        <v>202</v>
      </c>
      <c r="WOJ19" s="310" t="s">
        <v>202</v>
      </c>
      <c r="WOK19" s="310" t="s">
        <v>202</v>
      </c>
      <c r="WOL19" s="310" t="s">
        <v>202</v>
      </c>
      <c r="WOM19" s="310" t="s">
        <v>202</v>
      </c>
      <c r="WON19" s="310" t="s">
        <v>202</v>
      </c>
      <c r="WOO19" s="310" t="s">
        <v>202</v>
      </c>
      <c r="WOP19" s="310" t="s">
        <v>202</v>
      </c>
      <c r="WOQ19" s="310" t="s">
        <v>202</v>
      </c>
      <c r="WOR19" s="310" t="s">
        <v>202</v>
      </c>
      <c r="WOS19" s="310" t="s">
        <v>202</v>
      </c>
      <c r="WOT19" s="310" t="s">
        <v>202</v>
      </c>
      <c r="WOU19" s="310" t="s">
        <v>202</v>
      </c>
      <c r="WOV19" s="310" t="s">
        <v>202</v>
      </c>
      <c r="WOW19" s="310" t="s">
        <v>202</v>
      </c>
      <c r="WOX19" s="310" t="s">
        <v>202</v>
      </c>
      <c r="WOY19" s="310" t="s">
        <v>202</v>
      </c>
      <c r="WOZ19" s="310" t="s">
        <v>202</v>
      </c>
      <c r="WPA19" s="310" t="s">
        <v>202</v>
      </c>
      <c r="WPB19" s="310" t="s">
        <v>202</v>
      </c>
      <c r="WPC19" s="310" t="s">
        <v>202</v>
      </c>
      <c r="WPD19" s="310" t="s">
        <v>202</v>
      </c>
      <c r="WPE19" s="310" t="s">
        <v>202</v>
      </c>
      <c r="WPF19" s="310" t="s">
        <v>202</v>
      </c>
      <c r="WPG19" s="310" t="s">
        <v>202</v>
      </c>
      <c r="WPH19" s="310" t="s">
        <v>202</v>
      </c>
      <c r="WPI19" s="310" t="s">
        <v>202</v>
      </c>
      <c r="WPJ19" s="310" t="s">
        <v>202</v>
      </c>
      <c r="WPK19" s="310" t="s">
        <v>202</v>
      </c>
      <c r="WPL19" s="310" t="s">
        <v>202</v>
      </c>
      <c r="WPM19" s="310" t="s">
        <v>202</v>
      </c>
      <c r="WPN19" s="310" t="s">
        <v>202</v>
      </c>
      <c r="WPO19" s="310" t="s">
        <v>202</v>
      </c>
      <c r="WPP19" s="310" t="s">
        <v>202</v>
      </c>
      <c r="WPQ19" s="310" t="s">
        <v>202</v>
      </c>
      <c r="WPR19" s="310" t="s">
        <v>202</v>
      </c>
      <c r="WPS19" s="310" t="s">
        <v>202</v>
      </c>
      <c r="WPT19" s="310" t="s">
        <v>202</v>
      </c>
      <c r="WPU19" s="310" t="s">
        <v>202</v>
      </c>
      <c r="WPV19" s="310" t="s">
        <v>202</v>
      </c>
      <c r="WPW19" s="310" t="s">
        <v>202</v>
      </c>
      <c r="WPX19" s="310" t="s">
        <v>202</v>
      </c>
      <c r="WPY19" s="310" t="s">
        <v>202</v>
      </c>
      <c r="WPZ19" s="310" t="s">
        <v>202</v>
      </c>
      <c r="WQA19" s="310" t="s">
        <v>202</v>
      </c>
      <c r="WQB19" s="310" t="s">
        <v>202</v>
      </c>
      <c r="WQC19" s="310" t="s">
        <v>202</v>
      </c>
      <c r="WQD19" s="310" t="s">
        <v>202</v>
      </c>
      <c r="WQE19" s="310" t="s">
        <v>202</v>
      </c>
      <c r="WQF19" s="310" t="s">
        <v>202</v>
      </c>
      <c r="WQG19" s="310" t="s">
        <v>202</v>
      </c>
      <c r="WQH19" s="310" t="s">
        <v>202</v>
      </c>
      <c r="WQI19" s="310" t="s">
        <v>202</v>
      </c>
      <c r="WQJ19" s="310" t="s">
        <v>202</v>
      </c>
      <c r="WQK19" s="310" t="s">
        <v>202</v>
      </c>
      <c r="WQL19" s="310" t="s">
        <v>202</v>
      </c>
      <c r="WQM19" s="310" t="s">
        <v>202</v>
      </c>
      <c r="WQN19" s="310" t="s">
        <v>202</v>
      </c>
      <c r="WQO19" s="310" t="s">
        <v>202</v>
      </c>
      <c r="WQP19" s="310" t="s">
        <v>202</v>
      </c>
      <c r="WQQ19" s="310" t="s">
        <v>202</v>
      </c>
      <c r="WQR19" s="310" t="s">
        <v>202</v>
      </c>
      <c r="WQS19" s="310" t="s">
        <v>202</v>
      </c>
      <c r="WQT19" s="310" t="s">
        <v>202</v>
      </c>
      <c r="WQU19" s="310" t="s">
        <v>202</v>
      </c>
      <c r="WQV19" s="310" t="s">
        <v>202</v>
      </c>
      <c r="WQW19" s="310" t="s">
        <v>202</v>
      </c>
      <c r="WQX19" s="310" t="s">
        <v>202</v>
      </c>
      <c r="WQY19" s="310" t="s">
        <v>202</v>
      </c>
      <c r="WQZ19" s="310" t="s">
        <v>202</v>
      </c>
      <c r="WRA19" s="310" t="s">
        <v>202</v>
      </c>
      <c r="WRB19" s="310" t="s">
        <v>202</v>
      </c>
      <c r="WRC19" s="310" t="s">
        <v>202</v>
      </c>
      <c r="WRD19" s="310" t="s">
        <v>202</v>
      </c>
      <c r="WRE19" s="310" t="s">
        <v>202</v>
      </c>
      <c r="WRF19" s="310" t="s">
        <v>202</v>
      </c>
      <c r="WRG19" s="310" t="s">
        <v>202</v>
      </c>
      <c r="WRH19" s="310" t="s">
        <v>202</v>
      </c>
      <c r="WRI19" s="310" t="s">
        <v>202</v>
      </c>
      <c r="WRJ19" s="310" t="s">
        <v>202</v>
      </c>
      <c r="WRK19" s="310" t="s">
        <v>202</v>
      </c>
      <c r="WRL19" s="310" t="s">
        <v>202</v>
      </c>
      <c r="WRM19" s="310" t="s">
        <v>202</v>
      </c>
      <c r="WRN19" s="310" t="s">
        <v>202</v>
      </c>
      <c r="WRO19" s="310" t="s">
        <v>202</v>
      </c>
      <c r="WRP19" s="310" t="s">
        <v>202</v>
      </c>
      <c r="WRQ19" s="310" t="s">
        <v>202</v>
      </c>
      <c r="WRR19" s="310" t="s">
        <v>202</v>
      </c>
      <c r="WRS19" s="310" t="s">
        <v>202</v>
      </c>
      <c r="WRT19" s="310" t="s">
        <v>202</v>
      </c>
      <c r="WRU19" s="310" t="s">
        <v>202</v>
      </c>
      <c r="WRV19" s="310" t="s">
        <v>202</v>
      </c>
      <c r="WRW19" s="310" t="s">
        <v>202</v>
      </c>
      <c r="WRX19" s="310" t="s">
        <v>202</v>
      </c>
      <c r="WRY19" s="310" t="s">
        <v>202</v>
      </c>
      <c r="WRZ19" s="310" t="s">
        <v>202</v>
      </c>
      <c r="WSA19" s="310" t="s">
        <v>202</v>
      </c>
      <c r="WSB19" s="310" t="s">
        <v>202</v>
      </c>
      <c r="WSC19" s="310" t="s">
        <v>202</v>
      </c>
      <c r="WSD19" s="310" t="s">
        <v>202</v>
      </c>
      <c r="WSE19" s="310" t="s">
        <v>202</v>
      </c>
      <c r="WSF19" s="310" t="s">
        <v>202</v>
      </c>
      <c r="WSG19" s="310" t="s">
        <v>202</v>
      </c>
      <c r="WSH19" s="310" t="s">
        <v>202</v>
      </c>
      <c r="WSI19" s="310" t="s">
        <v>202</v>
      </c>
      <c r="WSJ19" s="310" t="s">
        <v>202</v>
      </c>
      <c r="WSK19" s="310" t="s">
        <v>202</v>
      </c>
      <c r="WSL19" s="310" t="s">
        <v>202</v>
      </c>
      <c r="WSM19" s="310" t="s">
        <v>202</v>
      </c>
      <c r="WSN19" s="310" t="s">
        <v>202</v>
      </c>
      <c r="WSO19" s="310" t="s">
        <v>202</v>
      </c>
      <c r="WSP19" s="310" t="s">
        <v>202</v>
      </c>
      <c r="WSQ19" s="310" t="s">
        <v>202</v>
      </c>
      <c r="WSR19" s="310" t="s">
        <v>202</v>
      </c>
      <c r="WSS19" s="310" t="s">
        <v>202</v>
      </c>
      <c r="WST19" s="310" t="s">
        <v>202</v>
      </c>
      <c r="WSU19" s="310" t="s">
        <v>202</v>
      </c>
      <c r="WSV19" s="310" t="s">
        <v>202</v>
      </c>
      <c r="WSW19" s="310" t="s">
        <v>202</v>
      </c>
      <c r="WSX19" s="310" t="s">
        <v>202</v>
      </c>
      <c r="WSY19" s="310" t="s">
        <v>202</v>
      </c>
      <c r="WSZ19" s="310" t="s">
        <v>202</v>
      </c>
      <c r="WTA19" s="310" t="s">
        <v>202</v>
      </c>
      <c r="WTB19" s="310" t="s">
        <v>202</v>
      </c>
      <c r="WTC19" s="310" t="s">
        <v>202</v>
      </c>
      <c r="WTD19" s="310" t="s">
        <v>202</v>
      </c>
      <c r="WTE19" s="310" t="s">
        <v>202</v>
      </c>
      <c r="WTF19" s="310" t="s">
        <v>202</v>
      </c>
      <c r="WTG19" s="310" t="s">
        <v>202</v>
      </c>
      <c r="WTH19" s="310" t="s">
        <v>202</v>
      </c>
      <c r="WTI19" s="310" t="s">
        <v>202</v>
      </c>
      <c r="WTJ19" s="310" t="s">
        <v>202</v>
      </c>
      <c r="WTK19" s="310" t="s">
        <v>202</v>
      </c>
      <c r="WTL19" s="310" t="s">
        <v>202</v>
      </c>
      <c r="WTM19" s="310" t="s">
        <v>202</v>
      </c>
      <c r="WTN19" s="310" t="s">
        <v>202</v>
      </c>
      <c r="WTO19" s="310" t="s">
        <v>202</v>
      </c>
      <c r="WTP19" s="310" t="s">
        <v>202</v>
      </c>
      <c r="WTQ19" s="310" t="s">
        <v>202</v>
      </c>
      <c r="WTR19" s="310" t="s">
        <v>202</v>
      </c>
      <c r="WTS19" s="310" t="s">
        <v>202</v>
      </c>
      <c r="WTT19" s="310" t="s">
        <v>202</v>
      </c>
      <c r="WTU19" s="310" t="s">
        <v>202</v>
      </c>
      <c r="WTV19" s="310" t="s">
        <v>202</v>
      </c>
      <c r="WTW19" s="310" t="s">
        <v>202</v>
      </c>
      <c r="WTX19" s="310" t="s">
        <v>202</v>
      </c>
      <c r="WTY19" s="310" t="s">
        <v>202</v>
      </c>
      <c r="WTZ19" s="310" t="s">
        <v>202</v>
      </c>
      <c r="WUA19" s="310" t="s">
        <v>202</v>
      </c>
      <c r="WUB19" s="310" t="s">
        <v>202</v>
      </c>
      <c r="WUC19" s="310" t="s">
        <v>202</v>
      </c>
      <c r="WUD19" s="310" t="s">
        <v>202</v>
      </c>
      <c r="WUE19" s="310" t="s">
        <v>202</v>
      </c>
      <c r="WUF19" s="310" t="s">
        <v>202</v>
      </c>
      <c r="WUG19" s="310" t="s">
        <v>202</v>
      </c>
      <c r="WUH19" s="310" t="s">
        <v>202</v>
      </c>
      <c r="WUI19" s="310" t="s">
        <v>202</v>
      </c>
      <c r="WUJ19" s="310" t="s">
        <v>202</v>
      </c>
      <c r="WUK19" s="310" t="s">
        <v>202</v>
      </c>
      <c r="WUL19" s="310" t="s">
        <v>202</v>
      </c>
      <c r="WUM19" s="310" t="s">
        <v>202</v>
      </c>
      <c r="WUN19" s="310" t="s">
        <v>202</v>
      </c>
      <c r="WUO19" s="310" t="s">
        <v>202</v>
      </c>
      <c r="WUP19" s="310" t="s">
        <v>202</v>
      </c>
      <c r="WUQ19" s="310" t="s">
        <v>202</v>
      </c>
      <c r="WUR19" s="310" t="s">
        <v>202</v>
      </c>
      <c r="WUS19" s="310" t="s">
        <v>202</v>
      </c>
      <c r="WUT19" s="310" t="s">
        <v>202</v>
      </c>
      <c r="WUU19" s="310" t="s">
        <v>202</v>
      </c>
      <c r="WUV19" s="310" t="s">
        <v>202</v>
      </c>
      <c r="WUW19" s="310" t="s">
        <v>202</v>
      </c>
      <c r="WUX19" s="310" t="s">
        <v>202</v>
      </c>
      <c r="WUY19" s="310" t="s">
        <v>202</v>
      </c>
      <c r="WUZ19" s="310" t="s">
        <v>202</v>
      </c>
      <c r="WVA19" s="310" t="s">
        <v>202</v>
      </c>
      <c r="WVB19" s="310" t="s">
        <v>202</v>
      </c>
      <c r="WVC19" s="310" t="s">
        <v>202</v>
      </c>
      <c r="WVD19" s="310" t="s">
        <v>202</v>
      </c>
      <c r="WVE19" s="310" t="s">
        <v>202</v>
      </c>
      <c r="WVF19" s="310" t="s">
        <v>202</v>
      </c>
      <c r="WVG19" s="310" t="s">
        <v>202</v>
      </c>
      <c r="WVH19" s="310" t="s">
        <v>202</v>
      </c>
      <c r="WVI19" s="310" t="s">
        <v>202</v>
      </c>
      <c r="WVJ19" s="310" t="s">
        <v>202</v>
      </c>
      <c r="WVK19" s="310" t="s">
        <v>202</v>
      </c>
      <c r="WVL19" s="310" t="s">
        <v>202</v>
      </c>
      <c r="WVM19" s="310" t="s">
        <v>202</v>
      </c>
      <c r="WVN19" s="310" t="s">
        <v>202</v>
      </c>
      <c r="WVO19" s="310" t="s">
        <v>202</v>
      </c>
      <c r="WVP19" s="310" t="s">
        <v>202</v>
      </c>
      <c r="WVQ19" s="310" t="s">
        <v>202</v>
      </c>
      <c r="WVR19" s="310" t="s">
        <v>202</v>
      </c>
      <c r="WVS19" s="310" t="s">
        <v>202</v>
      </c>
      <c r="WVT19" s="310" t="s">
        <v>202</v>
      </c>
      <c r="WVU19" s="310" t="s">
        <v>202</v>
      </c>
      <c r="WVV19" s="310" t="s">
        <v>202</v>
      </c>
      <c r="WVW19" s="310" t="s">
        <v>202</v>
      </c>
      <c r="WVX19" s="310" t="s">
        <v>202</v>
      </c>
      <c r="WVY19" s="310" t="s">
        <v>202</v>
      </c>
      <c r="WVZ19" s="310" t="s">
        <v>202</v>
      </c>
      <c r="WWA19" s="310" t="s">
        <v>202</v>
      </c>
      <c r="WWB19" s="310" t="s">
        <v>202</v>
      </c>
      <c r="WWC19" s="310" t="s">
        <v>202</v>
      </c>
      <c r="WWD19" s="310" t="s">
        <v>202</v>
      </c>
      <c r="WWE19" s="310" t="s">
        <v>202</v>
      </c>
      <c r="WWF19" s="310" t="s">
        <v>202</v>
      </c>
      <c r="WWG19" s="310" t="s">
        <v>202</v>
      </c>
      <c r="WWH19" s="310" t="s">
        <v>202</v>
      </c>
      <c r="WWI19" s="310" t="s">
        <v>202</v>
      </c>
      <c r="WWJ19" s="310" t="s">
        <v>202</v>
      </c>
      <c r="WWK19" s="310" t="s">
        <v>202</v>
      </c>
      <c r="WWL19" s="310" t="s">
        <v>202</v>
      </c>
      <c r="WWM19" s="310" t="s">
        <v>202</v>
      </c>
      <c r="WWN19" s="310" t="s">
        <v>202</v>
      </c>
      <c r="WWO19" s="310" t="s">
        <v>202</v>
      </c>
      <c r="WWP19" s="310" t="s">
        <v>202</v>
      </c>
      <c r="WWQ19" s="310" t="s">
        <v>202</v>
      </c>
      <c r="WWR19" s="310" t="s">
        <v>202</v>
      </c>
      <c r="WWS19" s="310" t="s">
        <v>202</v>
      </c>
      <c r="WWT19" s="310" t="s">
        <v>202</v>
      </c>
      <c r="WWU19" s="310" t="s">
        <v>202</v>
      </c>
      <c r="WWV19" s="310" t="s">
        <v>202</v>
      </c>
      <c r="WWW19" s="310" t="s">
        <v>202</v>
      </c>
      <c r="WWX19" s="310" t="s">
        <v>202</v>
      </c>
      <c r="WWY19" s="310" t="s">
        <v>202</v>
      </c>
      <c r="WWZ19" s="310" t="s">
        <v>202</v>
      </c>
      <c r="WXA19" s="310" t="s">
        <v>202</v>
      </c>
      <c r="WXB19" s="310" t="s">
        <v>202</v>
      </c>
      <c r="WXC19" s="310" t="s">
        <v>202</v>
      </c>
      <c r="WXD19" s="310" t="s">
        <v>202</v>
      </c>
      <c r="WXE19" s="310" t="s">
        <v>202</v>
      </c>
      <c r="WXF19" s="310" t="s">
        <v>202</v>
      </c>
      <c r="WXG19" s="310" t="s">
        <v>202</v>
      </c>
      <c r="WXH19" s="310" t="s">
        <v>202</v>
      </c>
      <c r="WXI19" s="310" t="s">
        <v>202</v>
      </c>
      <c r="WXJ19" s="310" t="s">
        <v>202</v>
      </c>
      <c r="WXK19" s="310" t="s">
        <v>202</v>
      </c>
      <c r="WXL19" s="310" t="s">
        <v>202</v>
      </c>
      <c r="WXM19" s="310" t="s">
        <v>202</v>
      </c>
      <c r="WXN19" s="310" t="s">
        <v>202</v>
      </c>
      <c r="WXO19" s="310" t="s">
        <v>202</v>
      </c>
      <c r="WXP19" s="310" t="s">
        <v>202</v>
      </c>
      <c r="WXQ19" s="310" t="s">
        <v>202</v>
      </c>
      <c r="WXR19" s="310" t="s">
        <v>202</v>
      </c>
      <c r="WXS19" s="310" t="s">
        <v>202</v>
      </c>
      <c r="WXT19" s="310" t="s">
        <v>202</v>
      </c>
      <c r="WXU19" s="310" t="s">
        <v>202</v>
      </c>
      <c r="WXV19" s="310" t="s">
        <v>202</v>
      </c>
      <c r="WXW19" s="310" t="s">
        <v>202</v>
      </c>
      <c r="WXX19" s="310" t="s">
        <v>202</v>
      </c>
      <c r="WXY19" s="310" t="s">
        <v>202</v>
      </c>
      <c r="WXZ19" s="310" t="s">
        <v>202</v>
      </c>
      <c r="WYA19" s="310" t="s">
        <v>202</v>
      </c>
      <c r="WYB19" s="310" t="s">
        <v>202</v>
      </c>
      <c r="WYC19" s="310" t="s">
        <v>202</v>
      </c>
      <c r="WYD19" s="310" t="s">
        <v>202</v>
      </c>
      <c r="WYE19" s="310" t="s">
        <v>202</v>
      </c>
      <c r="WYF19" s="310" t="s">
        <v>202</v>
      </c>
      <c r="WYG19" s="310" t="s">
        <v>202</v>
      </c>
      <c r="WYH19" s="310" t="s">
        <v>202</v>
      </c>
      <c r="WYI19" s="310" t="s">
        <v>202</v>
      </c>
      <c r="WYJ19" s="310" t="s">
        <v>202</v>
      </c>
      <c r="WYK19" s="310" t="s">
        <v>202</v>
      </c>
      <c r="WYL19" s="310" t="s">
        <v>202</v>
      </c>
      <c r="WYM19" s="310" t="s">
        <v>202</v>
      </c>
      <c r="WYN19" s="310" t="s">
        <v>202</v>
      </c>
      <c r="WYO19" s="310" t="s">
        <v>202</v>
      </c>
      <c r="WYP19" s="310" t="s">
        <v>202</v>
      </c>
      <c r="WYQ19" s="310" t="s">
        <v>202</v>
      </c>
      <c r="WYR19" s="310" t="s">
        <v>202</v>
      </c>
      <c r="WYS19" s="310" t="s">
        <v>202</v>
      </c>
      <c r="WYT19" s="310" t="s">
        <v>202</v>
      </c>
      <c r="WYU19" s="310" t="s">
        <v>202</v>
      </c>
      <c r="WYV19" s="310" t="s">
        <v>202</v>
      </c>
      <c r="WYW19" s="310" t="s">
        <v>202</v>
      </c>
      <c r="WYX19" s="310" t="s">
        <v>202</v>
      </c>
      <c r="WYY19" s="310" t="s">
        <v>202</v>
      </c>
      <c r="WYZ19" s="310" t="s">
        <v>202</v>
      </c>
      <c r="WZA19" s="310" t="s">
        <v>202</v>
      </c>
      <c r="WZB19" s="310" t="s">
        <v>202</v>
      </c>
      <c r="WZC19" s="310" t="s">
        <v>202</v>
      </c>
      <c r="WZD19" s="310" t="s">
        <v>202</v>
      </c>
      <c r="WZE19" s="310" t="s">
        <v>202</v>
      </c>
      <c r="WZF19" s="310" t="s">
        <v>202</v>
      </c>
      <c r="WZG19" s="310" t="s">
        <v>202</v>
      </c>
      <c r="WZH19" s="310" t="s">
        <v>202</v>
      </c>
      <c r="WZI19" s="310" t="s">
        <v>202</v>
      </c>
      <c r="WZJ19" s="310" t="s">
        <v>202</v>
      </c>
      <c r="WZK19" s="310" t="s">
        <v>202</v>
      </c>
      <c r="WZL19" s="310" t="s">
        <v>202</v>
      </c>
      <c r="WZM19" s="310" t="s">
        <v>202</v>
      </c>
      <c r="WZN19" s="310" t="s">
        <v>202</v>
      </c>
      <c r="WZO19" s="310" t="s">
        <v>202</v>
      </c>
      <c r="WZP19" s="310" t="s">
        <v>202</v>
      </c>
      <c r="WZQ19" s="310" t="s">
        <v>202</v>
      </c>
      <c r="WZR19" s="310" t="s">
        <v>202</v>
      </c>
      <c r="WZS19" s="310" t="s">
        <v>202</v>
      </c>
      <c r="WZT19" s="310" t="s">
        <v>202</v>
      </c>
      <c r="WZU19" s="310" t="s">
        <v>202</v>
      </c>
      <c r="WZV19" s="310" t="s">
        <v>202</v>
      </c>
      <c r="WZW19" s="310" t="s">
        <v>202</v>
      </c>
      <c r="WZX19" s="310" t="s">
        <v>202</v>
      </c>
      <c r="WZY19" s="310" t="s">
        <v>202</v>
      </c>
      <c r="WZZ19" s="310" t="s">
        <v>202</v>
      </c>
      <c r="XAA19" s="310" t="s">
        <v>202</v>
      </c>
      <c r="XAB19" s="310" t="s">
        <v>202</v>
      </c>
      <c r="XAC19" s="310" t="s">
        <v>202</v>
      </c>
      <c r="XAD19" s="310" t="s">
        <v>202</v>
      </c>
      <c r="XAE19" s="310" t="s">
        <v>202</v>
      </c>
      <c r="XAF19" s="310" t="s">
        <v>202</v>
      </c>
      <c r="XAG19" s="310" t="s">
        <v>202</v>
      </c>
      <c r="XAH19" s="310" t="s">
        <v>202</v>
      </c>
      <c r="XAI19" s="310" t="s">
        <v>202</v>
      </c>
      <c r="XAJ19" s="310" t="s">
        <v>202</v>
      </c>
      <c r="XAK19" s="310" t="s">
        <v>202</v>
      </c>
      <c r="XAL19" s="310" t="s">
        <v>202</v>
      </c>
      <c r="XAM19" s="310" t="s">
        <v>202</v>
      </c>
      <c r="XAN19" s="310" t="s">
        <v>202</v>
      </c>
      <c r="XAO19" s="310" t="s">
        <v>202</v>
      </c>
      <c r="XAP19" s="310" t="s">
        <v>202</v>
      </c>
      <c r="XAQ19" s="310" t="s">
        <v>202</v>
      </c>
      <c r="XAR19" s="310" t="s">
        <v>202</v>
      </c>
      <c r="XAS19" s="310" t="s">
        <v>202</v>
      </c>
      <c r="XAT19" s="310" t="s">
        <v>202</v>
      </c>
      <c r="XAU19" s="310" t="s">
        <v>202</v>
      </c>
      <c r="XAV19" s="310" t="s">
        <v>202</v>
      </c>
      <c r="XAW19" s="310" t="s">
        <v>202</v>
      </c>
      <c r="XAX19" s="310" t="s">
        <v>202</v>
      </c>
      <c r="XAY19" s="310" t="s">
        <v>202</v>
      </c>
      <c r="XAZ19" s="310" t="s">
        <v>202</v>
      </c>
      <c r="XBA19" s="310" t="s">
        <v>202</v>
      </c>
      <c r="XBB19" s="310" t="s">
        <v>202</v>
      </c>
      <c r="XBC19" s="310" t="s">
        <v>202</v>
      </c>
      <c r="XBD19" s="310" t="s">
        <v>202</v>
      </c>
      <c r="XBE19" s="310" t="s">
        <v>202</v>
      </c>
      <c r="XBF19" s="310" t="s">
        <v>202</v>
      </c>
      <c r="XBG19" s="310" t="s">
        <v>202</v>
      </c>
      <c r="XBH19" s="310" t="s">
        <v>202</v>
      </c>
      <c r="XBI19" s="310" t="s">
        <v>202</v>
      </c>
      <c r="XBJ19" s="310" t="s">
        <v>202</v>
      </c>
      <c r="XBK19" s="310" t="s">
        <v>202</v>
      </c>
      <c r="XBL19" s="310" t="s">
        <v>202</v>
      </c>
      <c r="XBM19" s="310" t="s">
        <v>202</v>
      </c>
      <c r="XBN19" s="310" t="s">
        <v>202</v>
      </c>
      <c r="XBO19" s="310" t="s">
        <v>202</v>
      </c>
      <c r="XBP19" s="310" t="s">
        <v>202</v>
      </c>
      <c r="XBQ19" s="310" t="s">
        <v>202</v>
      </c>
      <c r="XBR19" s="310" t="s">
        <v>202</v>
      </c>
      <c r="XBS19" s="310" t="s">
        <v>202</v>
      </c>
      <c r="XBT19" s="310" t="s">
        <v>202</v>
      </c>
      <c r="XBU19" s="310" t="s">
        <v>202</v>
      </c>
      <c r="XBV19" s="310" t="s">
        <v>202</v>
      </c>
      <c r="XBW19" s="310" t="s">
        <v>202</v>
      </c>
      <c r="XBX19" s="310" t="s">
        <v>202</v>
      </c>
      <c r="XBY19" s="310" t="s">
        <v>202</v>
      </c>
      <c r="XBZ19" s="310" t="s">
        <v>202</v>
      </c>
      <c r="XCA19" s="310" t="s">
        <v>202</v>
      </c>
      <c r="XCB19" s="310" t="s">
        <v>202</v>
      </c>
      <c r="XCC19" s="310" t="s">
        <v>202</v>
      </c>
      <c r="XCD19" s="310" t="s">
        <v>202</v>
      </c>
      <c r="XCE19" s="310" t="s">
        <v>202</v>
      </c>
      <c r="XCF19" s="310" t="s">
        <v>202</v>
      </c>
      <c r="XCG19" s="310" t="s">
        <v>202</v>
      </c>
      <c r="XCH19" s="310" t="s">
        <v>202</v>
      </c>
      <c r="XCI19" s="310" t="s">
        <v>202</v>
      </c>
      <c r="XCJ19" s="310" t="s">
        <v>202</v>
      </c>
      <c r="XCK19" s="310" t="s">
        <v>202</v>
      </c>
      <c r="XCL19" s="310" t="s">
        <v>202</v>
      </c>
      <c r="XCM19" s="310" t="s">
        <v>202</v>
      </c>
      <c r="XCN19" s="310" t="s">
        <v>202</v>
      </c>
      <c r="XCO19" s="310" t="s">
        <v>202</v>
      </c>
      <c r="XCP19" s="310" t="s">
        <v>202</v>
      </c>
      <c r="XCQ19" s="310" t="s">
        <v>202</v>
      </c>
      <c r="XCR19" s="310" t="s">
        <v>202</v>
      </c>
      <c r="XCS19" s="310" t="s">
        <v>202</v>
      </c>
      <c r="XCT19" s="310" t="s">
        <v>202</v>
      </c>
      <c r="XCU19" s="310" t="s">
        <v>202</v>
      </c>
      <c r="XCV19" s="310" t="s">
        <v>202</v>
      </c>
      <c r="XCW19" s="310" t="s">
        <v>202</v>
      </c>
      <c r="XCX19" s="310" t="s">
        <v>202</v>
      </c>
      <c r="XCY19" s="310" t="s">
        <v>202</v>
      </c>
      <c r="XCZ19" s="310" t="s">
        <v>202</v>
      </c>
      <c r="XDA19" s="310" t="s">
        <v>202</v>
      </c>
      <c r="XDB19" s="310" t="s">
        <v>202</v>
      </c>
      <c r="XDC19" s="310" t="s">
        <v>202</v>
      </c>
      <c r="XDD19" s="310" t="s">
        <v>202</v>
      </c>
      <c r="XDE19" s="310" t="s">
        <v>202</v>
      </c>
      <c r="XDF19" s="310" t="s">
        <v>202</v>
      </c>
      <c r="XDG19" s="310" t="s">
        <v>202</v>
      </c>
      <c r="XDH19" s="310" t="s">
        <v>202</v>
      </c>
      <c r="XDI19" s="310" t="s">
        <v>202</v>
      </c>
      <c r="XDJ19" s="310" t="s">
        <v>202</v>
      </c>
      <c r="XDK19" s="310" t="s">
        <v>202</v>
      </c>
      <c r="XDL19" s="310" t="s">
        <v>202</v>
      </c>
      <c r="XDM19" s="310" t="s">
        <v>202</v>
      </c>
      <c r="XDN19" s="310" t="s">
        <v>202</v>
      </c>
      <c r="XDO19" s="310" t="s">
        <v>202</v>
      </c>
      <c r="XDP19" s="310" t="s">
        <v>202</v>
      </c>
      <c r="XDQ19" s="310" t="s">
        <v>202</v>
      </c>
      <c r="XDR19" s="310" t="s">
        <v>202</v>
      </c>
      <c r="XDS19" s="310" t="s">
        <v>202</v>
      </c>
      <c r="XDT19" s="310" t="s">
        <v>202</v>
      </c>
      <c r="XDU19" s="310" t="s">
        <v>202</v>
      </c>
      <c r="XDV19" s="310" t="s">
        <v>202</v>
      </c>
      <c r="XDW19" s="310" t="s">
        <v>202</v>
      </c>
      <c r="XDX19" s="310" t="s">
        <v>202</v>
      </c>
      <c r="XDY19" s="310" t="s">
        <v>202</v>
      </c>
      <c r="XDZ19" s="310" t="s">
        <v>202</v>
      </c>
      <c r="XEA19" s="310" t="s">
        <v>202</v>
      </c>
      <c r="XEB19" s="310" t="s">
        <v>202</v>
      </c>
      <c r="XEC19" s="310" t="s">
        <v>202</v>
      </c>
      <c r="XED19" s="310" t="s">
        <v>202</v>
      </c>
      <c r="XEE19" s="310" t="s">
        <v>202</v>
      </c>
      <c r="XEF19" s="310" t="s">
        <v>202</v>
      </c>
      <c r="XEG19" s="310" t="s">
        <v>202</v>
      </c>
      <c r="XEH19" s="310" t="s">
        <v>202</v>
      </c>
      <c r="XEI19" s="310" t="s">
        <v>202</v>
      </c>
      <c r="XEJ19" s="310" t="s">
        <v>202</v>
      </c>
      <c r="XEK19" s="310" t="s">
        <v>202</v>
      </c>
      <c r="XEL19" s="310" t="s">
        <v>202</v>
      </c>
      <c r="XEM19" s="310" t="s">
        <v>202</v>
      </c>
      <c r="XEN19" s="310" t="s">
        <v>202</v>
      </c>
      <c r="XEO19" s="310" t="s">
        <v>202</v>
      </c>
      <c r="XEP19" s="310" t="s">
        <v>202</v>
      </c>
      <c r="XEQ19" s="310" t="s">
        <v>202</v>
      </c>
      <c r="XER19" s="310" t="s">
        <v>202</v>
      </c>
      <c r="XES19" s="310" t="s">
        <v>202</v>
      </c>
      <c r="XET19" s="310" t="s">
        <v>202</v>
      </c>
      <c r="XEU19" s="310" t="s">
        <v>202</v>
      </c>
      <c r="XEV19" s="310" t="s">
        <v>202</v>
      </c>
      <c r="XEW19" s="310" t="s">
        <v>202</v>
      </c>
      <c r="XEX19" s="310" t="s">
        <v>202</v>
      </c>
      <c r="XEY19" s="310" t="s">
        <v>202</v>
      </c>
      <c r="XEZ19" s="310" t="s">
        <v>202</v>
      </c>
      <c r="XFA19" s="310" t="s">
        <v>202</v>
      </c>
      <c r="XFB19" s="310" t="s">
        <v>202</v>
      </c>
      <c r="XFC19" s="310" t="s">
        <v>202</v>
      </c>
      <c r="XFD19" s="310" t="s">
        <v>202</v>
      </c>
    </row>
    <row r="20" spans="1:16384" s="314" customFormat="1" ht="12.75" x14ac:dyDescent="0.2">
      <c r="A20" s="301" t="s">
        <v>203</v>
      </c>
      <c r="B20" s="311"/>
      <c r="C20" s="311"/>
      <c r="D20" s="311"/>
      <c r="E20" s="311"/>
      <c r="F20" s="311"/>
      <c r="G20" s="311" t="s">
        <v>220</v>
      </c>
      <c r="H20" s="311" t="s">
        <v>78</v>
      </c>
      <c r="I20" s="312">
        <v>1518</v>
      </c>
      <c r="J20" s="311"/>
      <c r="K20" s="311"/>
      <c r="L20" s="311"/>
      <c r="M20" s="311"/>
      <c r="N20" s="293">
        <f t="shared" si="4"/>
        <v>607.20000000000005</v>
      </c>
      <c r="O20" s="311"/>
      <c r="P20" s="311"/>
      <c r="Q20" s="311"/>
      <c r="R20" s="311"/>
      <c r="S20" s="327"/>
      <c r="T20" s="311"/>
      <c r="U20" s="311"/>
      <c r="V20" s="313">
        <v>607.20000000000005</v>
      </c>
      <c r="W20" s="313">
        <v>20</v>
      </c>
      <c r="X20" s="313">
        <f>819.72-20</f>
        <v>799.72</v>
      </c>
      <c r="Y20" s="309">
        <v>31991443051</v>
      </c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BP20" s="314" t="s">
        <v>203</v>
      </c>
      <c r="BQ20" s="314" t="s">
        <v>203</v>
      </c>
      <c r="BR20" s="314" t="s">
        <v>203</v>
      </c>
      <c r="BS20" s="314" t="s">
        <v>203</v>
      </c>
      <c r="BT20" s="314" t="s">
        <v>203</v>
      </c>
      <c r="BU20" s="314" t="s">
        <v>203</v>
      </c>
      <c r="BV20" s="314" t="s">
        <v>203</v>
      </c>
      <c r="BW20" s="314" t="s">
        <v>203</v>
      </c>
      <c r="BX20" s="314" t="s">
        <v>203</v>
      </c>
      <c r="BY20" s="314" t="s">
        <v>203</v>
      </c>
      <c r="BZ20" s="314" t="s">
        <v>203</v>
      </c>
      <c r="CA20" s="314" t="s">
        <v>203</v>
      </c>
      <c r="CB20" s="314" t="s">
        <v>203</v>
      </c>
      <c r="CC20" s="314" t="s">
        <v>203</v>
      </c>
      <c r="CD20" s="314" t="s">
        <v>203</v>
      </c>
      <c r="CE20" s="314" t="s">
        <v>203</v>
      </c>
      <c r="CF20" s="314" t="s">
        <v>203</v>
      </c>
      <c r="CG20" s="314" t="s">
        <v>203</v>
      </c>
      <c r="CH20" s="314" t="s">
        <v>203</v>
      </c>
      <c r="CI20" s="314" t="s">
        <v>203</v>
      </c>
      <c r="CJ20" s="314" t="s">
        <v>203</v>
      </c>
      <c r="CK20" s="314" t="s">
        <v>203</v>
      </c>
      <c r="CL20" s="314" t="s">
        <v>203</v>
      </c>
      <c r="CM20" s="314" t="s">
        <v>203</v>
      </c>
      <c r="CN20" s="314" t="s">
        <v>203</v>
      </c>
      <c r="CO20" s="314" t="s">
        <v>203</v>
      </c>
      <c r="CP20" s="314" t="s">
        <v>203</v>
      </c>
      <c r="CQ20" s="314" t="s">
        <v>203</v>
      </c>
      <c r="CR20" s="314" t="s">
        <v>203</v>
      </c>
      <c r="CS20" s="314" t="s">
        <v>203</v>
      </c>
      <c r="CT20" s="314" t="s">
        <v>203</v>
      </c>
      <c r="CU20" s="314" t="s">
        <v>203</v>
      </c>
      <c r="CV20" s="314" t="s">
        <v>203</v>
      </c>
      <c r="CW20" s="314" t="s">
        <v>203</v>
      </c>
      <c r="CX20" s="314" t="s">
        <v>203</v>
      </c>
      <c r="CY20" s="314" t="s">
        <v>203</v>
      </c>
      <c r="CZ20" s="314" t="s">
        <v>203</v>
      </c>
      <c r="DA20" s="314" t="s">
        <v>203</v>
      </c>
      <c r="DB20" s="314" t="s">
        <v>203</v>
      </c>
      <c r="DC20" s="314" t="s">
        <v>203</v>
      </c>
      <c r="DD20" s="314" t="s">
        <v>203</v>
      </c>
      <c r="DE20" s="314" t="s">
        <v>203</v>
      </c>
      <c r="DF20" s="314" t="s">
        <v>203</v>
      </c>
      <c r="DG20" s="314" t="s">
        <v>203</v>
      </c>
      <c r="DH20" s="314" t="s">
        <v>203</v>
      </c>
      <c r="DI20" s="314" t="s">
        <v>203</v>
      </c>
      <c r="DJ20" s="314" t="s">
        <v>203</v>
      </c>
      <c r="DK20" s="314" t="s">
        <v>203</v>
      </c>
      <c r="DL20" s="314" t="s">
        <v>203</v>
      </c>
      <c r="DM20" s="314" t="s">
        <v>203</v>
      </c>
      <c r="DN20" s="314" t="s">
        <v>203</v>
      </c>
      <c r="DO20" s="314" t="s">
        <v>203</v>
      </c>
      <c r="DP20" s="314" t="s">
        <v>203</v>
      </c>
      <c r="DQ20" s="314" t="s">
        <v>203</v>
      </c>
      <c r="DR20" s="314" t="s">
        <v>203</v>
      </c>
      <c r="DS20" s="314" t="s">
        <v>203</v>
      </c>
      <c r="DT20" s="314" t="s">
        <v>203</v>
      </c>
      <c r="DU20" s="314" t="s">
        <v>203</v>
      </c>
      <c r="DV20" s="314" t="s">
        <v>203</v>
      </c>
      <c r="DW20" s="314" t="s">
        <v>203</v>
      </c>
      <c r="DX20" s="314" t="s">
        <v>203</v>
      </c>
      <c r="DY20" s="314" t="s">
        <v>203</v>
      </c>
      <c r="DZ20" s="314" t="s">
        <v>203</v>
      </c>
      <c r="EA20" s="314" t="s">
        <v>203</v>
      </c>
      <c r="EB20" s="314" t="s">
        <v>203</v>
      </c>
      <c r="EC20" s="314" t="s">
        <v>203</v>
      </c>
      <c r="ED20" s="314" t="s">
        <v>203</v>
      </c>
      <c r="EE20" s="314" t="s">
        <v>203</v>
      </c>
      <c r="EF20" s="314" t="s">
        <v>203</v>
      </c>
      <c r="EG20" s="314" t="s">
        <v>203</v>
      </c>
      <c r="EH20" s="314" t="s">
        <v>203</v>
      </c>
      <c r="EI20" s="314" t="s">
        <v>203</v>
      </c>
      <c r="EJ20" s="314" t="s">
        <v>203</v>
      </c>
      <c r="EK20" s="314" t="s">
        <v>203</v>
      </c>
      <c r="EL20" s="314" t="s">
        <v>203</v>
      </c>
      <c r="EM20" s="314" t="s">
        <v>203</v>
      </c>
      <c r="EN20" s="314" t="s">
        <v>203</v>
      </c>
      <c r="EO20" s="314" t="s">
        <v>203</v>
      </c>
      <c r="EP20" s="314" t="s">
        <v>203</v>
      </c>
      <c r="EQ20" s="314" t="s">
        <v>203</v>
      </c>
      <c r="ER20" s="314" t="s">
        <v>203</v>
      </c>
      <c r="ES20" s="314" t="s">
        <v>203</v>
      </c>
      <c r="ET20" s="314" t="s">
        <v>203</v>
      </c>
      <c r="EU20" s="314" t="s">
        <v>203</v>
      </c>
      <c r="EV20" s="314" t="s">
        <v>203</v>
      </c>
      <c r="EW20" s="314" t="s">
        <v>203</v>
      </c>
      <c r="EX20" s="314" t="s">
        <v>203</v>
      </c>
      <c r="EY20" s="314" t="s">
        <v>203</v>
      </c>
      <c r="EZ20" s="314" t="s">
        <v>203</v>
      </c>
      <c r="FA20" s="314" t="s">
        <v>203</v>
      </c>
      <c r="FB20" s="314" t="s">
        <v>203</v>
      </c>
      <c r="FC20" s="314" t="s">
        <v>203</v>
      </c>
      <c r="FD20" s="314" t="s">
        <v>203</v>
      </c>
      <c r="FE20" s="314" t="s">
        <v>203</v>
      </c>
      <c r="FF20" s="314" t="s">
        <v>203</v>
      </c>
      <c r="FG20" s="314" t="s">
        <v>203</v>
      </c>
      <c r="FH20" s="314" t="s">
        <v>203</v>
      </c>
      <c r="FI20" s="314" t="s">
        <v>203</v>
      </c>
      <c r="FJ20" s="314" t="s">
        <v>203</v>
      </c>
      <c r="FK20" s="314" t="s">
        <v>203</v>
      </c>
      <c r="FL20" s="314" t="s">
        <v>203</v>
      </c>
      <c r="FM20" s="314" t="s">
        <v>203</v>
      </c>
      <c r="FN20" s="314" t="s">
        <v>203</v>
      </c>
      <c r="FO20" s="314" t="s">
        <v>203</v>
      </c>
      <c r="FP20" s="314" t="s">
        <v>203</v>
      </c>
      <c r="FQ20" s="314" t="s">
        <v>203</v>
      </c>
      <c r="FR20" s="314" t="s">
        <v>203</v>
      </c>
      <c r="FS20" s="314" t="s">
        <v>203</v>
      </c>
      <c r="FT20" s="314" t="s">
        <v>203</v>
      </c>
      <c r="FU20" s="314" t="s">
        <v>203</v>
      </c>
      <c r="FV20" s="314" t="s">
        <v>203</v>
      </c>
      <c r="FW20" s="314" t="s">
        <v>203</v>
      </c>
      <c r="FX20" s="314" t="s">
        <v>203</v>
      </c>
      <c r="FY20" s="314" t="s">
        <v>203</v>
      </c>
      <c r="FZ20" s="314" t="s">
        <v>203</v>
      </c>
      <c r="GA20" s="314" t="s">
        <v>203</v>
      </c>
      <c r="GB20" s="314" t="s">
        <v>203</v>
      </c>
      <c r="GC20" s="314" t="s">
        <v>203</v>
      </c>
      <c r="GD20" s="314" t="s">
        <v>203</v>
      </c>
      <c r="GE20" s="314" t="s">
        <v>203</v>
      </c>
      <c r="GF20" s="314" t="s">
        <v>203</v>
      </c>
      <c r="GG20" s="314" t="s">
        <v>203</v>
      </c>
      <c r="GH20" s="314" t="s">
        <v>203</v>
      </c>
      <c r="GI20" s="314" t="s">
        <v>203</v>
      </c>
      <c r="GJ20" s="314" t="s">
        <v>203</v>
      </c>
      <c r="GK20" s="314" t="s">
        <v>203</v>
      </c>
      <c r="GL20" s="314" t="s">
        <v>203</v>
      </c>
      <c r="GM20" s="314" t="s">
        <v>203</v>
      </c>
      <c r="GN20" s="314" t="s">
        <v>203</v>
      </c>
      <c r="GO20" s="314" t="s">
        <v>203</v>
      </c>
      <c r="GP20" s="314" t="s">
        <v>203</v>
      </c>
      <c r="GQ20" s="314" t="s">
        <v>203</v>
      </c>
      <c r="GR20" s="314" t="s">
        <v>203</v>
      </c>
      <c r="GS20" s="314" t="s">
        <v>203</v>
      </c>
      <c r="GT20" s="314" t="s">
        <v>203</v>
      </c>
      <c r="GU20" s="314" t="s">
        <v>203</v>
      </c>
      <c r="GV20" s="314" t="s">
        <v>203</v>
      </c>
      <c r="GW20" s="314" t="s">
        <v>203</v>
      </c>
      <c r="GX20" s="314" t="s">
        <v>203</v>
      </c>
      <c r="GY20" s="314" t="s">
        <v>203</v>
      </c>
      <c r="GZ20" s="314" t="s">
        <v>203</v>
      </c>
      <c r="HA20" s="314" t="s">
        <v>203</v>
      </c>
      <c r="HB20" s="314" t="s">
        <v>203</v>
      </c>
      <c r="HC20" s="314" t="s">
        <v>203</v>
      </c>
      <c r="HD20" s="314" t="s">
        <v>203</v>
      </c>
      <c r="HE20" s="314" t="s">
        <v>203</v>
      </c>
      <c r="HF20" s="314" t="s">
        <v>203</v>
      </c>
      <c r="HG20" s="314" t="s">
        <v>203</v>
      </c>
      <c r="HH20" s="314" t="s">
        <v>203</v>
      </c>
      <c r="HI20" s="314" t="s">
        <v>203</v>
      </c>
      <c r="HJ20" s="314" t="s">
        <v>203</v>
      </c>
      <c r="HK20" s="314" t="s">
        <v>203</v>
      </c>
      <c r="HL20" s="314" t="s">
        <v>203</v>
      </c>
      <c r="HM20" s="314" t="s">
        <v>203</v>
      </c>
      <c r="HN20" s="314" t="s">
        <v>203</v>
      </c>
      <c r="HO20" s="314" t="s">
        <v>203</v>
      </c>
      <c r="HP20" s="314" t="s">
        <v>203</v>
      </c>
      <c r="HQ20" s="314" t="s">
        <v>203</v>
      </c>
      <c r="HR20" s="314" t="s">
        <v>203</v>
      </c>
      <c r="HS20" s="314" t="s">
        <v>203</v>
      </c>
      <c r="HT20" s="314" t="s">
        <v>203</v>
      </c>
      <c r="HU20" s="314" t="s">
        <v>203</v>
      </c>
      <c r="HV20" s="314" t="s">
        <v>203</v>
      </c>
      <c r="HW20" s="314" t="s">
        <v>203</v>
      </c>
      <c r="HX20" s="314" t="s">
        <v>203</v>
      </c>
      <c r="HY20" s="314" t="s">
        <v>203</v>
      </c>
      <c r="HZ20" s="314" t="s">
        <v>203</v>
      </c>
      <c r="IA20" s="314" t="s">
        <v>203</v>
      </c>
      <c r="IB20" s="314" t="s">
        <v>203</v>
      </c>
      <c r="IC20" s="314" t="s">
        <v>203</v>
      </c>
      <c r="ID20" s="314" t="s">
        <v>203</v>
      </c>
      <c r="IE20" s="314" t="s">
        <v>203</v>
      </c>
      <c r="IF20" s="314" t="s">
        <v>203</v>
      </c>
      <c r="IG20" s="314" t="s">
        <v>203</v>
      </c>
      <c r="IH20" s="314" t="s">
        <v>203</v>
      </c>
      <c r="II20" s="314" t="s">
        <v>203</v>
      </c>
      <c r="IJ20" s="314" t="s">
        <v>203</v>
      </c>
      <c r="IK20" s="314" t="s">
        <v>203</v>
      </c>
      <c r="IL20" s="314" t="s">
        <v>203</v>
      </c>
      <c r="IM20" s="314" t="s">
        <v>203</v>
      </c>
      <c r="IN20" s="314" t="s">
        <v>203</v>
      </c>
      <c r="IO20" s="314" t="s">
        <v>203</v>
      </c>
      <c r="IP20" s="314" t="s">
        <v>203</v>
      </c>
      <c r="IQ20" s="314" t="s">
        <v>203</v>
      </c>
      <c r="IR20" s="314" t="s">
        <v>203</v>
      </c>
      <c r="IS20" s="314" t="s">
        <v>203</v>
      </c>
      <c r="IT20" s="314" t="s">
        <v>203</v>
      </c>
      <c r="IU20" s="314" t="s">
        <v>203</v>
      </c>
      <c r="IV20" s="314" t="s">
        <v>203</v>
      </c>
      <c r="IW20" s="314" t="s">
        <v>203</v>
      </c>
      <c r="IX20" s="314" t="s">
        <v>203</v>
      </c>
      <c r="IY20" s="314" t="s">
        <v>203</v>
      </c>
      <c r="IZ20" s="314" t="s">
        <v>203</v>
      </c>
      <c r="JA20" s="314" t="s">
        <v>203</v>
      </c>
      <c r="JB20" s="314" t="s">
        <v>203</v>
      </c>
      <c r="JC20" s="314" t="s">
        <v>203</v>
      </c>
      <c r="JD20" s="314" t="s">
        <v>203</v>
      </c>
      <c r="JE20" s="314" t="s">
        <v>203</v>
      </c>
      <c r="JF20" s="314" t="s">
        <v>203</v>
      </c>
      <c r="JG20" s="314" t="s">
        <v>203</v>
      </c>
      <c r="JH20" s="314" t="s">
        <v>203</v>
      </c>
      <c r="JI20" s="314" t="s">
        <v>203</v>
      </c>
      <c r="JJ20" s="314" t="s">
        <v>203</v>
      </c>
      <c r="JK20" s="314" t="s">
        <v>203</v>
      </c>
      <c r="JL20" s="314" t="s">
        <v>203</v>
      </c>
      <c r="JM20" s="314" t="s">
        <v>203</v>
      </c>
      <c r="JN20" s="314" t="s">
        <v>203</v>
      </c>
      <c r="JO20" s="314" t="s">
        <v>203</v>
      </c>
      <c r="JP20" s="314" t="s">
        <v>203</v>
      </c>
      <c r="JQ20" s="314" t="s">
        <v>203</v>
      </c>
      <c r="JR20" s="314" t="s">
        <v>203</v>
      </c>
      <c r="JS20" s="314" t="s">
        <v>203</v>
      </c>
      <c r="JT20" s="314" t="s">
        <v>203</v>
      </c>
      <c r="JU20" s="314" t="s">
        <v>203</v>
      </c>
      <c r="JV20" s="314" t="s">
        <v>203</v>
      </c>
      <c r="JW20" s="314" t="s">
        <v>203</v>
      </c>
      <c r="JX20" s="314" t="s">
        <v>203</v>
      </c>
      <c r="JY20" s="314" t="s">
        <v>203</v>
      </c>
      <c r="JZ20" s="314" t="s">
        <v>203</v>
      </c>
      <c r="KA20" s="314" t="s">
        <v>203</v>
      </c>
      <c r="KB20" s="314" t="s">
        <v>203</v>
      </c>
      <c r="KC20" s="314" t="s">
        <v>203</v>
      </c>
      <c r="KD20" s="314" t="s">
        <v>203</v>
      </c>
      <c r="KE20" s="314" t="s">
        <v>203</v>
      </c>
      <c r="KF20" s="314" t="s">
        <v>203</v>
      </c>
      <c r="KG20" s="314" t="s">
        <v>203</v>
      </c>
      <c r="KH20" s="314" t="s">
        <v>203</v>
      </c>
      <c r="KI20" s="314" t="s">
        <v>203</v>
      </c>
      <c r="KJ20" s="314" t="s">
        <v>203</v>
      </c>
      <c r="KK20" s="314" t="s">
        <v>203</v>
      </c>
      <c r="KL20" s="314" t="s">
        <v>203</v>
      </c>
      <c r="KM20" s="314" t="s">
        <v>203</v>
      </c>
      <c r="KN20" s="314" t="s">
        <v>203</v>
      </c>
      <c r="KO20" s="314" t="s">
        <v>203</v>
      </c>
      <c r="KP20" s="314" t="s">
        <v>203</v>
      </c>
      <c r="KQ20" s="314" t="s">
        <v>203</v>
      </c>
      <c r="KR20" s="314" t="s">
        <v>203</v>
      </c>
      <c r="KS20" s="314" t="s">
        <v>203</v>
      </c>
      <c r="KT20" s="314" t="s">
        <v>203</v>
      </c>
      <c r="KU20" s="314" t="s">
        <v>203</v>
      </c>
      <c r="KV20" s="314" t="s">
        <v>203</v>
      </c>
      <c r="KW20" s="314" t="s">
        <v>203</v>
      </c>
      <c r="KX20" s="314" t="s">
        <v>203</v>
      </c>
      <c r="KY20" s="314" t="s">
        <v>203</v>
      </c>
      <c r="KZ20" s="314" t="s">
        <v>203</v>
      </c>
      <c r="LA20" s="314" t="s">
        <v>203</v>
      </c>
      <c r="LB20" s="314" t="s">
        <v>203</v>
      </c>
      <c r="LC20" s="314" t="s">
        <v>203</v>
      </c>
      <c r="LD20" s="314" t="s">
        <v>203</v>
      </c>
      <c r="LE20" s="314" t="s">
        <v>203</v>
      </c>
      <c r="LF20" s="314" t="s">
        <v>203</v>
      </c>
      <c r="LG20" s="314" t="s">
        <v>203</v>
      </c>
      <c r="LH20" s="314" t="s">
        <v>203</v>
      </c>
      <c r="LI20" s="314" t="s">
        <v>203</v>
      </c>
      <c r="LJ20" s="314" t="s">
        <v>203</v>
      </c>
      <c r="LK20" s="314" t="s">
        <v>203</v>
      </c>
      <c r="LL20" s="314" t="s">
        <v>203</v>
      </c>
      <c r="LM20" s="314" t="s">
        <v>203</v>
      </c>
      <c r="LN20" s="314" t="s">
        <v>203</v>
      </c>
      <c r="LO20" s="314" t="s">
        <v>203</v>
      </c>
      <c r="LP20" s="314" t="s">
        <v>203</v>
      </c>
      <c r="LQ20" s="314" t="s">
        <v>203</v>
      </c>
      <c r="LR20" s="314" t="s">
        <v>203</v>
      </c>
      <c r="LS20" s="314" t="s">
        <v>203</v>
      </c>
      <c r="LT20" s="314" t="s">
        <v>203</v>
      </c>
      <c r="LU20" s="314" t="s">
        <v>203</v>
      </c>
      <c r="LV20" s="314" t="s">
        <v>203</v>
      </c>
      <c r="LW20" s="314" t="s">
        <v>203</v>
      </c>
      <c r="LX20" s="314" t="s">
        <v>203</v>
      </c>
      <c r="LY20" s="314" t="s">
        <v>203</v>
      </c>
      <c r="LZ20" s="314" t="s">
        <v>203</v>
      </c>
      <c r="MA20" s="314" t="s">
        <v>203</v>
      </c>
      <c r="MB20" s="314" t="s">
        <v>203</v>
      </c>
      <c r="MC20" s="314" t="s">
        <v>203</v>
      </c>
      <c r="MD20" s="314" t="s">
        <v>203</v>
      </c>
      <c r="ME20" s="314" t="s">
        <v>203</v>
      </c>
      <c r="MF20" s="314" t="s">
        <v>203</v>
      </c>
      <c r="MG20" s="314" t="s">
        <v>203</v>
      </c>
      <c r="MH20" s="314" t="s">
        <v>203</v>
      </c>
      <c r="MI20" s="314" t="s">
        <v>203</v>
      </c>
      <c r="MJ20" s="314" t="s">
        <v>203</v>
      </c>
      <c r="MK20" s="314" t="s">
        <v>203</v>
      </c>
      <c r="ML20" s="314" t="s">
        <v>203</v>
      </c>
      <c r="MM20" s="314" t="s">
        <v>203</v>
      </c>
      <c r="MN20" s="314" t="s">
        <v>203</v>
      </c>
      <c r="MO20" s="314" t="s">
        <v>203</v>
      </c>
      <c r="MP20" s="314" t="s">
        <v>203</v>
      </c>
      <c r="MQ20" s="314" t="s">
        <v>203</v>
      </c>
      <c r="MR20" s="314" t="s">
        <v>203</v>
      </c>
      <c r="MS20" s="314" t="s">
        <v>203</v>
      </c>
      <c r="MT20" s="314" t="s">
        <v>203</v>
      </c>
      <c r="MU20" s="314" t="s">
        <v>203</v>
      </c>
      <c r="MV20" s="314" t="s">
        <v>203</v>
      </c>
      <c r="MW20" s="314" t="s">
        <v>203</v>
      </c>
      <c r="MX20" s="314" t="s">
        <v>203</v>
      </c>
      <c r="MY20" s="314" t="s">
        <v>203</v>
      </c>
      <c r="MZ20" s="314" t="s">
        <v>203</v>
      </c>
      <c r="NA20" s="314" t="s">
        <v>203</v>
      </c>
      <c r="NB20" s="314" t="s">
        <v>203</v>
      </c>
      <c r="NC20" s="314" t="s">
        <v>203</v>
      </c>
      <c r="ND20" s="314" t="s">
        <v>203</v>
      </c>
      <c r="NE20" s="314" t="s">
        <v>203</v>
      </c>
      <c r="NF20" s="314" t="s">
        <v>203</v>
      </c>
      <c r="NG20" s="314" t="s">
        <v>203</v>
      </c>
      <c r="NH20" s="314" t="s">
        <v>203</v>
      </c>
      <c r="NI20" s="314" t="s">
        <v>203</v>
      </c>
      <c r="NJ20" s="314" t="s">
        <v>203</v>
      </c>
      <c r="NK20" s="314" t="s">
        <v>203</v>
      </c>
      <c r="NL20" s="314" t="s">
        <v>203</v>
      </c>
      <c r="NM20" s="314" t="s">
        <v>203</v>
      </c>
      <c r="NN20" s="314" t="s">
        <v>203</v>
      </c>
      <c r="NO20" s="314" t="s">
        <v>203</v>
      </c>
      <c r="NP20" s="314" t="s">
        <v>203</v>
      </c>
      <c r="NQ20" s="314" t="s">
        <v>203</v>
      </c>
      <c r="NR20" s="314" t="s">
        <v>203</v>
      </c>
      <c r="NS20" s="314" t="s">
        <v>203</v>
      </c>
      <c r="NT20" s="314" t="s">
        <v>203</v>
      </c>
      <c r="NU20" s="314" t="s">
        <v>203</v>
      </c>
      <c r="NV20" s="314" t="s">
        <v>203</v>
      </c>
      <c r="NW20" s="314" t="s">
        <v>203</v>
      </c>
      <c r="NX20" s="314" t="s">
        <v>203</v>
      </c>
      <c r="NY20" s="314" t="s">
        <v>203</v>
      </c>
      <c r="NZ20" s="314" t="s">
        <v>203</v>
      </c>
      <c r="OA20" s="314" t="s">
        <v>203</v>
      </c>
      <c r="OB20" s="314" t="s">
        <v>203</v>
      </c>
      <c r="OC20" s="314" t="s">
        <v>203</v>
      </c>
      <c r="OD20" s="314" t="s">
        <v>203</v>
      </c>
      <c r="OE20" s="314" t="s">
        <v>203</v>
      </c>
      <c r="OF20" s="314" t="s">
        <v>203</v>
      </c>
      <c r="OG20" s="314" t="s">
        <v>203</v>
      </c>
      <c r="OH20" s="314" t="s">
        <v>203</v>
      </c>
      <c r="OI20" s="314" t="s">
        <v>203</v>
      </c>
      <c r="OJ20" s="314" t="s">
        <v>203</v>
      </c>
      <c r="OK20" s="314" t="s">
        <v>203</v>
      </c>
      <c r="OL20" s="314" t="s">
        <v>203</v>
      </c>
      <c r="OM20" s="314" t="s">
        <v>203</v>
      </c>
      <c r="ON20" s="314" t="s">
        <v>203</v>
      </c>
      <c r="OO20" s="314" t="s">
        <v>203</v>
      </c>
      <c r="OP20" s="314" t="s">
        <v>203</v>
      </c>
      <c r="OQ20" s="314" t="s">
        <v>203</v>
      </c>
      <c r="OR20" s="314" t="s">
        <v>203</v>
      </c>
      <c r="OS20" s="314" t="s">
        <v>203</v>
      </c>
      <c r="OT20" s="314" t="s">
        <v>203</v>
      </c>
      <c r="OU20" s="314" t="s">
        <v>203</v>
      </c>
      <c r="OV20" s="314" t="s">
        <v>203</v>
      </c>
      <c r="OW20" s="314" t="s">
        <v>203</v>
      </c>
      <c r="OX20" s="314" t="s">
        <v>203</v>
      </c>
      <c r="OY20" s="314" t="s">
        <v>203</v>
      </c>
      <c r="OZ20" s="314" t="s">
        <v>203</v>
      </c>
      <c r="PA20" s="314" t="s">
        <v>203</v>
      </c>
      <c r="PB20" s="314" t="s">
        <v>203</v>
      </c>
      <c r="PC20" s="314" t="s">
        <v>203</v>
      </c>
      <c r="PD20" s="314" t="s">
        <v>203</v>
      </c>
      <c r="PE20" s="314" t="s">
        <v>203</v>
      </c>
      <c r="PF20" s="314" t="s">
        <v>203</v>
      </c>
      <c r="PG20" s="314" t="s">
        <v>203</v>
      </c>
      <c r="PH20" s="314" t="s">
        <v>203</v>
      </c>
      <c r="PI20" s="314" t="s">
        <v>203</v>
      </c>
      <c r="PJ20" s="314" t="s">
        <v>203</v>
      </c>
      <c r="PK20" s="314" t="s">
        <v>203</v>
      </c>
      <c r="PL20" s="314" t="s">
        <v>203</v>
      </c>
      <c r="PM20" s="314" t="s">
        <v>203</v>
      </c>
      <c r="PN20" s="314" t="s">
        <v>203</v>
      </c>
      <c r="PO20" s="314" t="s">
        <v>203</v>
      </c>
      <c r="PP20" s="314" t="s">
        <v>203</v>
      </c>
      <c r="PQ20" s="314" t="s">
        <v>203</v>
      </c>
      <c r="PR20" s="314" t="s">
        <v>203</v>
      </c>
      <c r="PS20" s="314" t="s">
        <v>203</v>
      </c>
      <c r="PT20" s="314" t="s">
        <v>203</v>
      </c>
      <c r="PU20" s="314" t="s">
        <v>203</v>
      </c>
      <c r="PV20" s="314" t="s">
        <v>203</v>
      </c>
      <c r="PW20" s="314" t="s">
        <v>203</v>
      </c>
      <c r="PX20" s="314" t="s">
        <v>203</v>
      </c>
      <c r="PY20" s="314" t="s">
        <v>203</v>
      </c>
      <c r="PZ20" s="314" t="s">
        <v>203</v>
      </c>
      <c r="QA20" s="314" t="s">
        <v>203</v>
      </c>
      <c r="QB20" s="314" t="s">
        <v>203</v>
      </c>
      <c r="QC20" s="314" t="s">
        <v>203</v>
      </c>
      <c r="QD20" s="314" t="s">
        <v>203</v>
      </c>
      <c r="QE20" s="314" t="s">
        <v>203</v>
      </c>
      <c r="QF20" s="314" t="s">
        <v>203</v>
      </c>
      <c r="QG20" s="314" t="s">
        <v>203</v>
      </c>
      <c r="QH20" s="314" t="s">
        <v>203</v>
      </c>
      <c r="QI20" s="314" t="s">
        <v>203</v>
      </c>
      <c r="QJ20" s="314" t="s">
        <v>203</v>
      </c>
      <c r="QK20" s="314" t="s">
        <v>203</v>
      </c>
      <c r="QL20" s="314" t="s">
        <v>203</v>
      </c>
      <c r="QM20" s="314" t="s">
        <v>203</v>
      </c>
      <c r="QN20" s="314" t="s">
        <v>203</v>
      </c>
      <c r="QO20" s="314" t="s">
        <v>203</v>
      </c>
      <c r="QP20" s="314" t="s">
        <v>203</v>
      </c>
      <c r="QQ20" s="314" t="s">
        <v>203</v>
      </c>
      <c r="QR20" s="314" t="s">
        <v>203</v>
      </c>
      <c r="QS20" s="314" t="s">
        <v>203</v>
      </c>
      <c r="QT20" s="314" t="s">
        <v>203</v>
      </c>
      <c r="QU20" s="314" t="s">
        <v>203</v>
      </c>
      <c r="QV20" s="314" t="s">
        <v>203</v>
      </c>
      <c r="QW20" s="314" t="s">
        <v>203</v>
      </c>
      <c r="QX20" s="314" t="s">
        <v>203</v>
      </c>
      <c r="QY20" s="314" t="s">
        <v>203</v>
      </c>
      <c r="QZ20" s="314" t="s">
        <v>203</v>
      </c>
      <c r="RA20" s="314" t="s">
        <v>203</v>
      </c>
      <c r="RB20" s="314" t="s">
        <v>203</v>
      </c>
      <c r="RC20" s="314" t="s">
        <v>203</v>
      </c>
      <c r="RD20" s="314" t="s">
        <v>203</v>
      </c>
      <c r="RE20" s="314" t="s">
        <v>203</v>
      </c>
      <c r="RF20" s="314" t="s">
        <v>203</v>
      </c>
      <c r="RG20" s="314" t="s">
        <v>203</v>
      </c>
      <c r="RH20" s="314" t="s">
        <v>203</v>
      </c>
      <c r="RI20" s="314" t="s">
        <v>203</v>
      </c>
      <c r="RJ20" s="314" t="s">
        <v>203</v>
      </c>
      <c r="RK20" s="314" t="s">
        <v>203</v>
      </c>
      <c r="RL20" s="314" t="s">
        <v>203</v>
      </c>
      <c r="RM20" s="314" t="s">
        <v>203</v>
      </c>
      <c r="RN20" s="314" t="s">
        <v>203</v>
      </c>
      <c r="RO20" s="314" t="s">
        <v>203</v>
      </c>
      <c r="RP20" s="314" t="s">
        <v>203</v>
      </c>
      <c r="RQ20" s="314" t="s">
        <v>203</v>
      </c>
      <c r="RR20" s="314" t="s">
        <v>203</v>
      </c>
      <c r="RS20" s="314" t="s">
        <v>203</v>
      </c>
      <c r="RT20" s="314" t="s">
        <v>203</v>
      </c>
      <c r="RU20" s="314" t="s">
        <v>203</v>
      </c>
      <c r="RV20" s="314" t="s">
        <v>203</v>
      </c>
      <c r="RW20" s="314" t="s">
        <v>203</v>
      </c>
      <c r="RX20" s="314" t="s">
        <v>203</v>
      </c>
      <c r="RY20" s="314" t="s">
        <v>203</v>
      </c>
      <c r="RZ20" s="314" t="s">
        <v>203</v>
      </c>
      <c r="SA20" s="314" t="s">
        <v>203</v>
      </c>
      <c r="SB20" s="314" t="s">
        <v>203</v>
      </c>
      <c r="SC20" s="314" t="s">
        <v>203</v>
      </c>
      <c r="SD20" s="314" t="s">
        <v>203</v>
      </c>
      <c r="SE20" s="314" t="s">
        <v>203</v>
      </c>
      <c r="SF20" s="314" t="s">
        <v>203</v>
      </c>
      <c r="SG20" s="314" t="s">
        <v>203</v>
      </c>
      <c r="SH20" s="314" t="s">
        <v>203</v>
      </c>
      <c r="SI20" s="314" t="s">
        <v>203</v>
      </c>
      <c r="SJ20" s="314" t="s">
        <v>203</v>
      </c>
      <c r="SK20" s="314" t="s">
        <v>203</v>
      </c>
      <c r="SL20" s="314" t="s">
        <v>203</v>
      </c>
      <c r="SM20" s="314" t="s">
        <v>203</v>
      </c>
      <c r="SN20" s="314" t="s">
        <v>203</v>
      </c>
      <c r="SO20" s="314" t="s">
        <v>203</v>
      </c>
      <c r="SP20" s="314" t="s">
        <v>203</v>
      </c>
      <c r="SQ20" s="314" t="s">
        <v>203</v>
      </c>
      <c r="SR20" s="314" t="s">
        <v>203</v>
      </c>
      <c r="SS20" s="314" t="s">
        <v>203</v>
      </c>
      <c r="ST20" s="314" t="s">
        <v>203</v>
      </c>
      <c r="SU20" s="314" t="s">
        <v>203</v>
      </c>
      <c r="SV20" s="314" t="s">
        <v>203</v>
      </c>
      <c r="SW20" s="314" t="s">
        <v>203</v>
      </c>
      <c r="SX20" s="314" t="s">
        <v>203</v>
      </c>
      <c r="SY20" s="314" t="s">
        <v>203</v>
      </c>
      <c r="SZ20" s="314" t="s">
        <v>203</v>
      </c>
      <c r="TA20" s="314" t="s">
        <v>203</v>
      </c>
      <c r="TB20" s="314" t="s">
        <v>203</v>
      </c>
      <c r="TC20" s="314" t="s">
        <v>203</v>
      </c>
      <c r="TD20" s="314" t="s">
        <v>203</v>
      </c>
      <c r="TE20" s="314" t="s">
        <v>203</v>
      </c>
      <c r="TF20" s="314" t="s">
        <v>203</v>
      </c>
      <c r="TG20" s="314" t="s">
        <v>203</v>
      </c>
      <c r="TH20" s="314" t="s">
        <v>203</v>
      </c>
      <c r="TI20" s="314" t="s">
        <v>203</v>
      </c>
      <c r="TJ20" s="314" t="s">
        <v>203</v>
      </c>
      <c r="TK20" s="314" t="s">
        <v>203</v>
      </c>
      <c r="TL20" s="314" t="s">
        <v>203</v>
      </c>
      <c r="TM20" s="314" t="s">
        <v>203</v>
      </c>
      <c r="TN20" s="314" t="s">
        <v>203</v>
      </c>
      <c r="TO20" s="314" t="s">
        <v>203</v>
      </c>
      <c r="TP20" s="314" t="s">
        <v>203</v>
      </c>
      <c r="TQ20" s="314" t="s">
        <v>203</v>
      </c>
      <c r="TR20" s="314" t="s">
        <v>203</v>
      </c>
      <c r="TS20" s="314" t="s">
        <v>203</v>
      </c>
      <c r="TT20" s="314" t="s">
        <v>203</v>
      </c>
      <c r="TU20" s="314" t="s">
        <v>203</v>
      </c>
      <c r="TV20" s="314" t="s">
        <v>203</v>
      </c>
      <c r="TW20" s="314" t="s">
        <v>203</v>
      </c>
      <c r="TX20" s="314" t="s">
        <v>203</v>
      </c>
      <c r="TY20" s="314" t="s">
        <v>203</v>
      </c>
      <c r="TZ20" s="314" t="s">
        <v>203</v>
      </c>
      <c r="UA20" s="314" t="s">
        <v>203</v>
      </c>
      <c r="UB20" s="314" t="s">
        <v>203</v>
      </c>
      <c r="UC20" s="314" t="s">
        <v>203</v>
      </c>
      <c r="UD20" s="314" t="s">
        <v>203</v>
      </c>
      <c r="UE20" s="314" t="s">
        <v>203</v>
      </c>
      <c r="UF20" s="314" t="s">
        <v>203</v>
      </c>
      <c r="UG20" s="314" t="s">
        <v>203</v>
      </c>
      <c r="UH20" s="314" t="s">
        <v>203</v>
      </c>
      <c r="UI20" s="314" t="s">
        <v>203</v>
      </c>
      <c r="UJ20" s="314" t="s">
        <v>203</v>
      </c>
      <c r="UK20" s="314" t="s">
        <v>203</v>
      </c>
      <c r="UL20" s="314" t="s">
        <v>203</v>
      </c>
      <c r="UM20" s="314" t="s">
        <v>203</v>
      </c>
      <c r="UN20" s="314" t="s">
        <v>203</v>
      </c>
      <c r="UO20" s="314" t="s">
        <v>203</v>
      </c>
      <c r="UP20" s="314" t="s">
        <v>203</v>
      </c>
      <c r="UQ20" s="314" t="s">
        <v>203</v>
      </c>
      <c r="UR20" s="314" t="s">
        <v>203</v>
      </c>
      <c r="US20" s="314" t="s">
        <v>203</v>
      </c>
      <c r="UT20" s="314" t="s">
        <v>203</v>
      </c>
      <c r="UU20" s="314" t="s">
        <v>203</v>
      </c>
      <c r="UV20" s="314" t="s">
        <v>203</v>
      </c>
      <c r="UW20" s="314" t="s">
        <v>203</v>
      </c>
      <c r="UX20" s="314" t="s">
        <v>203</v>
      </c>
      <c r="UY20" s="314" t="s">
        <v>203</v>
      </c>
      <c r="UZ20" s="314" t="s">
        <v>203</v>
      </c>
      <c r="VA20" s="314" t="s">
        <v>203</v>
      </c>
      <c r="VB20" s="314" t="s">
        <v>203</v>
      </c>
      <c r="VC20" s="314" t="s">
        <v>203</v>
      </c>
      <c r="VD20" s="314" t="s">
        <v>203</v>
      </c>
      <c r="VE20" s="314" t="s">
        <v>203</v>
      </c>
      <c r="VF20" s="314" t="s">
        <v>203</v>
      </c>
      <c r="VG20" s="314" t="s">
        <v>203</v>
      </c>
      <c r="VH20" s="314" t="s">
        <v>203</v>
      </c>
      <c r="VI20" s="314" t="s">
        <v>203</v>
      </c>
      <c r="VJ20" s="314" t="s">
        <v>203</v>
      </c>
      <c r="VK20" s="314" t="s">
        <v>203</v>
      </c>
      <c r="VL20" s="314" t="s">
        <v>203</v>
      </c>
      <c r="VM20" s="314" t="s">
        <v>203</v>
      </c>
      <c r="VN20" s="314" t="s">
        <v>203</v>
      </c>
      <c r="VO20" s="314" t="s">
        <v>203</v>
      </c>
      <c r="VP20" s="314" t="s">
        <v>203</v>
      </c>
      <c r="VQ20" s="314" t="s">
        <v>203</v>
      </c>
      <c r="VR20" s="314" t="s">
        <v>203</v>
      </c>
      <c r="VS20" s="314" t="s">
        <v>203</v>
      </c>
      <c r="VT20" s="314" t="s">
        <v>203</v>
      </c>
      <c r="VU20" s="314" t="s">
        <v>203</v>
      </c>
      <c r="VV20" s="314" t="s">
        <v>203</v>
      </c>
      <c r="VW20" s="314" t="s">
        <v>203</v>
      </c>
      <c r="VX20" s="314" t="s">
        <v>203</v>
      </c>
      <c r="VY20" s="314" t="s">
        <v>203</v>
      </c>
      <c r="VZ20" s="314" t="s">
        <v>203</v>
      </c>
      <c r="WA20" s="314" t="s">
        <v>203</v>
      </c>
      <c r="WB20" s="314" t="s">
        <v>203</v>
      </c>
      <c r="WC20" s="314" t="s">
        <v>203</v>
      </c>
      <c r="WD20" s="314" t="s">
        <v>203</v>
      </c>
      <c r="WE20" s="314" t="s">
        <v>203</v>
      </c>
      <c r="WF20" s="314" t="s">
        <v>203</v>
      </c>
      <c r="WG20" s="314" t="s">
        <v>203</v>
      </c>
      <c r="WH20" s="314" t="s">
        <v>203</v>
      </c>
      <c r="WI20" s="314" t="s">
        <v>203</v>
      </c>
      <c r="WJ20" s="314" t="s">
        <v>203</v>
      </c>
      <c r="WK20" s="314" t="s">
        <v>203</v>
      </c>
      <c r="WL20" s="314" t="s">
        <v>203</v>
      </c>
      <c r="WM20" s="314" t="s">
        <v>203</v>
      </c>
      <c r="WN20" s="314" t="s">
        <v>203</v>
      </c>
      <c r="WO20" s="314" t="s">
        <v>203</v>
      </c>
      <c r="WP20" s="314" t="s">
        <v>203</v>
      </c>
      <c r="WQ20" s="314" t="s">
        <v>203</v>
      </c>
      <c r="WR20" s="314" t="s">
        <v>203</v>
      </c>
      <c r="WS20" s="314" t="s">
        <v>203</v>
      </c>
      <c r="WT20" s="314" t="s">
        <v>203</v>
      </c>
      <c r="WU20" s="314" t="s">
        <v>203</v>
      </c>
      <c r="WV20" s="314" t="s">
        <v>203</v>
      </c>
      <c r="WW20" s="314" t="s">
        <v>203</v>
      </c>
      <c r="WX20" s="314" t="s">
        <v>203</v>
      </c>
      <c r="WY20" s="314" t="s">
        <v>203</v>
      </c>
      <c r="WZ20" s="314" t="s">
        <v>203</v>
      </c>
      <c r="XA20" s="314" t="s">
        <v>203</v>
      </c>
      <c r="XB20" s="314" t="s">
        <v>203</v>
      </c>
      <c r="XC20" s="314" t="s">
        <v>203</v>
      </c>
      <c r="XD20" s="314" t="s">
        <v>203</v>
      </c>
      <c r="XE20" s="314" t="s">
        <v>203</v>
      </c>
      <c r="XF20" s="314" t="s">
        <v>203</v>
      </c>
      <c r="XG20" s="314" t="s">
        <v>203</v>
      </c>
      <c r="XH20" s="314" t="s">
        <v>203</v>
      </c>
      <c r="XI20" s="314" t="s">
        <v>203</v>
      </c>
      <c r="XJ20" s="314" t="s">
        <v>203</v>
      </c>
      <c r="XK20" s="314" t="s">
        <v>203</v>
      </c>
      <c r="XL20" s="314" t="s">
        <v>203</v>
      </c>
      <c r="XM20" s="314" t="s">
        <v>203</v>
      </c>
      <c r="XN20" s="314" t="s">
        <v>203</v>
      </c>
      <c r="XO20" s="314" t="s">
        <v>203</v>
      </c>
      <c r="XP20" s="314" t="s">
        <v>203</v>
      </c>
      <c r="XQ20" s="314" t="s">
        <v>203</v>
      </c>
      <c r="XR20" s="314" t="s">
        <v>203</v>
      </c>
      <c r="XS20" s="314" t="s">
        <v>203</v>
      </c>
      <c r="XT20" s="314" t="s">
        <v>203</v>
      </c>
      <c r="XU20" s="314" t="s">
        <v>203</v>
      </c>
      <c r="XV20" s="314" t="s">
        <v>203</v>
      </c>
      <c r="XW20" s="314" t="s">
        <v>203</v>
      </c>
      <c r="XX20" s="314" t="s">
        <v>203</v>
      </c>
      <c r="XY20" s="314" t="s">
        <v>203</v>
      </c>
      <c r="XZ20" s="314" t="s">
        <v>203</v>
      </c>
      <c r="YA20" s="314" t="s">
        <v>203</v>
      </c>
      <c r="YB20" s="314" t="s">
        <v>203</v>
      </c>
      <c r="YC20" s="314" t="s">
        <v>203</v>
      </c>
      <c r="YD20" s="314" t="s">
        <v>203</v>
      </c>
      <c r="YE20" s="314" t="s">
        <v>203</v>
      </c>
      <c r="YF20" s="314" t="s">
        <v>203</v>
      </c>
      <c r="YG20" s="314" t="s">
        <v>203</v>
      </c>
      <c r="YH20" s="314" t="s">
        <v>203</v>
      </c>
      <c r="YI20" s="314" t="s">
        <v>203</v>
      </c>
      <c r="YJ20" s="314" t="s">
        <v>203</v>
      </c>
      <c r="YK20" s="314" t="s">
        <v>203</v>
      </c>
      <c r="YL20" s="314" t="s">
        <v>203</v>
      </c>
      <c r="YM20" s="314" t="s">
        <v>203</v>
      </c>
      <c r="YN20" s="314" t="s">
        <v>203</v>
      </c>
      <c r="YO20" s="314" t="s">
        <v>203</v>
      </c>
      <c r="YP20" s="314" t="s">
        <v>203</v>
      </c>
      <c r="YQ20" s="314" t="s">
        <v>203</v>
      </c>
      <c r="YR20" s="314" t="s">
        <v>203</v>
      </c>
      <c r="YS20" s="314" t="s">
        <v>203</v>
      </c>
      <c r="YT20" s="314" t="s">
        <v>203</v>
      </c>
      <c r="YU20" s="314" t="s">
        <v>203</v>
      </c>
      <c r="YV20" s="314" t="s">
        <v>203</v>
      </c>
      <c r="YW20" s="314" t="s">
        <v>203</v>
      </c>
      <c r="YX20" s="314" t="s">
        <v>203</v>
      </c>
      <c r="YY20" s="314" t="s">
        <v>203</v>
      </c>
      <c r="YZ20" s="314" t="s">
        <v>203</v>
      </c>
      <c r="ZA20" s="314" t="s">
        <v>203</v>
      </c>
      <c r="ZB20" s="314" t="s">
        <v>203</v>
      </c>
      <c r="ZC20" s="314" t="s">
        <v>203</v>
      </c>
      <c r="ZD20" s="314" t="s">
        <v>203</v>
      </c>
      <c r="ZE20" s="314" t="s">
        <v>203</v>
      </c>
      <c r="ZF20" s="314" t="s">
        <v>203</v>
      </c>
      <c r="ZG20" s="314" t="s">
        <v>203</v>
      </c>
      <c r="ZH20" s="314" t="s">
        <v>203</v>
      </c>
      <c r="ZI20" s="314" t="s">
        <v>203</v>
      </c>
      <c r="ZJ20" s="314" t="s">
        <v>203</v>
      </c>
      <c r="ZK20" s="314" t="s">
        <v>203</v>
      </c>
      <c r="ZL20" s="314" t="s">
        <v>203</v>
      </c>
      <c r="ZM20" s="314" t="s">
        <v>203</v>
      </c>
      <c r="ZN20" s="314" t="s">
        <v>203</v>
      </c>
      <c r="ZO20" s="314" t="s">
        <v>203</v>
      </c>
      <c r="ZP20" s="314" t="s">
        <v>203</v>
      </c>
      <c r="ZQ20" s="314" t="s">
        <v>203</v>
      </c>
      <c r="ZR20" s="314" t="s">
        <v>203</v>
      </c>
      <c r="ZS20" s="314" t="s">
        <v>203</v>
      </c>
      <c r="ZT20" s="314" t="s">
        <v>203</v>
      </c>
      <c r="ZU20" s="314" t="s">
        <v>203</v>
      </c>
      <c r="ZV20" s="314" t="s">
        <v>203</v>
      </c>
      <c r="ZW20" s="314" t="s">
        <v>203</v>
      </c>
      <c r="ZX20" s="314" t="s">
        <v>203</v>
      </c>
      <c r="ZY20" s="314" t="s">
        <v>203</v>
      </c>
      <c r="ZZ20" s="314" t="s">
        <v>203</v>
      </c>
      <c r="AAA20" s="314" t="s">
        <v>203</v>
      </c>
      <c r="AAB20" s="314" t="s">
        <v>203</v>
      </c>
      <c r="AAC20" s="314" t="s">
        <v>203</v>
      </c>
      <c r="AAD20" s="314" t="s">
        <v>203</v>
      </c>
      <c r="AAE20" s="314" t="s">
        <v>203</v>
      </c>
      <c r="AAF20" s="314" t="s">
        <v>203</v>
      </c>
      <c r="AAG20" s="314" t="s">
        <v>203</v>
      </c>
      <c r="AAH20" s="314" t="s">
        <v>203</v>
      </c>
      <c r="AAI20" s="314" t="s">
        <v>203</v>
      </c>
      <c r="AAJ20" s="314" t="s">
        <v>203</v>
      </c>
      <c r="AAK20" s="314" t="s">
        <v>203</v>
      </c>
      <c r="AAL20" s="314" t="s">
        <v>203</v>
      </c>
      <c r="AAM20" s="314" t="s">
        <v>203</v>
      </c>
      <c r="AAN20" s="314" t="s">
        <v>203</v>
      </c>
      <c r="AAO20" s="314" t="s">
        <v>203</v>
      </c>
      <c r="AAP20" s="314" t="s">
        <v>203</v>
      </c>
      <c r="AAQ20" s="314" t="s">
        <v>203</v>
      </c>
      <c r="AAR20" s="314" t="s">
        <v>203</v>
      </c>
      <c r="AAS20" s="314" t="s">
        <v>203</v>
      </c>
      <c r="AAT20" s="314" t="s">
        <v>203</v>
      </c>
      <c r="AAU20" s="314" t="s">
        <v>203</v>
      </c>
      <c r="AAV20" s="314" t="s">
        <v>203</v>
      </c>
      <c r="AAW20" s="314" t="s">
        <v>203</v>
      </c>
      <c r="AAX20" s="314" t="s">
        <v>203</v>
      </c>
      <c r="AAY20" s="314" t="s">
        <v>203</v>
      </c>
      <c r="AAZ20" s="314" t="s">
        <v>203</v>
      </c>
      <c r="ABA20" s="314" t="s">
        <v>203</v>
      </c>
      <c r="ABB20" s="314" t="s">
        <v>203</v>
      </c>
      <c r="ABC20" s="314" t="s">
        <v>203</v>
      </c>
      <c r="ABD20" s="314" t="s">
        <v>203</v>
      </c>
      <c r="ABE20" s="314" t="s">
        <v>203</v>
      </c>
      <c r="ABF20" s="314" t="s">
        <v>203</v>
      </c>
      <c r="ABG20" s="314" t="s">
        <v>203</v>
      </c>
      <c r="ABH20" s="314" t="s">
        <v>203</v>
      </c>
      <c r="ABI20" s="314" t="s">
        <v>203</v>
      </c>
      <c r="ABJ20" s="314" t="s">
        <v>203</v>
      </c>
      <c r="ABK20" s="314" t="s">
        <v>203</v>
      </c>
      <c r="ABL20" s="314" t="s">
        <v>203</v>
      </c>
      <c r="ABM20" s="314" t="s">
        <v>203</v>
      </c>
      <c r="ABN20" s="314" t="s">
        <v>203</v>
      </c>
      <c r="ABO20" s="314" t="s">
        <v>203</v>
      </c>
      <c r="ABP20" s="314" t="s">
        <v>203</v>
      </c>
      <c r="ABQ20" s="314" t="s">
        <v>203</v>
      </c>
      <c r="ABR20" s="314" t="s">
        <v>203</v>
      </c>
      <c r="ABS20" s="314" t="s">
        <v>203</v>
      </c>
      <c r="ABT20" s="314" t="s">
        <v>203</v>
      </c>
      <c r="ABU20" s="314" t="s">
        <v>203</v>
      </c>
      <c r="ABV20" s="314" t="s">
        <v>203</v>
      </c>
      <c r="ABW20" s="314" t="s">
        <v>203</v>
      </c>
      <c r="ABX20" s="314" t="s">
        <v>203</v>
      </c>
      <c r="ABY20" s="314" t="s">
        <v>203</v>
      </c>
      <c r="ABZ20" s="314" t="s">
        <v>203</v>
      </c>
      <c r="ACA20" s="314" t="s">
        <v>203</v>
      </c>
      <c r="ACB20" s="314" t="s">
        <v>203</v>
      </c>
      <c r="ACC20" s="314" t="s">
        <v>203</v>
      </c>
      <c r="ACD20" s="314" t="s">
        <v>203</v>
      </c>
      <c r="ACE20" s="314" t="s">
        <v>203</v>
      </c>
      <c r="ACF20" s="314" t="s">
        <v>203</v>
      </c>
      <c r="ACG20" s="314" t="s">
        <v>203</v>
      </c>
      <c r="ACH20" s="314" t="s">
        <v>203</v>
      </c>
      <c r="ACI20" s="314" t="s">
        <v>203</v>
      </c>
      <c r="ACJ20" s="314" t="s">
        <v>203</v>
      </c>
      <c r="ACK20" s="314" t="s">
        <v>203</v>
      </c>
      <c r="ACL20" s="314" t="s">
        <v>203</v>
      </c>
      <c r="ACM20" s="314" t="s">
        <v>203</v>
      </c>
      <c r="ACN20" s="314" t="s">
        <v>203</v>
      </c>
      <c r="ACO20" s="314" t="s">
        <v>203</v>
      </c>
      <c r="ACP20" s="314" t="s">
        <v>203</v>
      </c>
      <c r="ACQ20" s="314" t="s">
        <v>203</v>
      </c>
      <c r="ACR20" s="314" t="s">
        <v>203</v>
      </c>
      <c r="ACS20" s="314" t="s">
        <v>203</v>
      </c>
      <c r="ACT20" s="314" t="s">
        <v>203</v>
      </c>
      <c r="ACU20" s="314" t="s">
        <v>203</v>
      </c>
      <c r="ACV20" s="314" t="s">
        <v>203</v>
      </c>
      <c r="ACW20" s="314" t="s">
        <v>203</v>
      </c>
      <c r="ACX20" s="314" t="s">
        <v>203</v>
      </c>
      <c r="ACY20" s="314" t="s">
        <v>203</v>
      </c>
      <c r="ACZ20" s="314" t="s">
        <v>203</v>
      </c>
      <c r="ADA20" s="314" t="s">
        <v>203</v>
      </c>
      <c r="ADB20" s="314" t="s">
        <v>203</v>
      </c>
      <c r="ADC20" s="314" t="s">
        <v>203</v>
      </c>
      <c r="ADD20" s="314" t="s">
        <v>203</v>
      </c>
      <c r="ADE20" s="314" t="s">
        <v>203</v>
      </c>
      <c r="ADF20" s="314" t="s">
        <v>203</v>
      </c>
      <c r="ADG20" s="314" t="s">
        <v>203</v>
      </c>
      <c r="ADH20" s="314" t="s">
        <v>203</v>
      </c>
      <c r="ADI20" s="314" t="s">
        <v>203</v>
      </c>
      <c r="ADJ20" s="314" t="s">
        <v>203</v>
      </c>
      <c r="ADK20" s="314" t="s">
        <v>203</v>
      </c>
      <c r="ADL20" s="314" t="s">
        <v>203</v>
      </c>
      <c r="ADM20" s="314" t="s">
        <v>203</v>
      </c>
      <c r="ADN20" s="314" t="s">
        <v>203</v>
      </c>
      <c r="ADO20" s="314" t="s">
        <v>203</v>
      </c>
      <c r="ADP20" s="314" t="s">
        <v>203</v>
      </c>
      <c r="ADQ20" s="314" t="s">
        <v>203</v>
      </c>
      <c r="ADR20" s="314" t="s">
        <v>203</v>
      </c>
      <c r="ADS20" s="314" t="s">
        <v>203</v>
      </c>
      <c r="ADT20" s="314" t="s">
        <v>203</v>
      </c>
      <c r="ADU20" s="314" t="s">
        <v>203</v>
      </c>
      <c r="ADV20" s="314" t="s">
        <v>203</v>
      </c>
      <c r="ADW20" s="314" t="s">
        <v>203</v>
      </c>
      <c r="ADX20" s="314" t="s">
        <v>203</v>
      </c>
      <c r="ADY20" s="314" t="s">
        <v>203</v>
      </c>
      <c r="ADZ20" s="314" t="s">
        <v>203</v>
      </c>
      <c r="AEA20" s="314" t="s">
        <v>203</v>
      </c>
      <c r="AEB20" s="314" t="s">
        <v>203</v>
      </c>
      <c r="AEC20" s="314" t="s">
        <v>203</v>
      </c>
      <c r="AED20" s="314" t="s">
        <v>203</v>
      </c>
      <c r="AEE20" s="314" t="s">
        <v>203</v>
      </c>
      <c r="AEF20" s="314" t="s">
        <v>203</v>
      </c>
      <c r="AEG20" s="314" t="s">
        <v>203</v>
      </c>
      <c r="AEH20" s="314" t="s">
        <v>203</v>
      </c>
      <c r="AEI20" s="314" t="s">
        <v>203</v>
      </c>
      <c r="AEJ20" s="314" t="s">
        <v>203</v>
      </c>
      <c r="AEK20" s="314" t="s">
        <v>203</v>
      </c>
      <c r="AEL20" s="314" t="s">
        <v>203</v>
      </c>
      <c r="AEM20" s="314" t="s">
        <v>203</v>
      </c>
      <c r="AEN20" s="314" t="s">
        <v>203</v>
      </c>
      <c r="AEO20" s="314" t="s">
        <v>203</v>
      </c>
      <c r="AEP20" s="314" t="s">
        <v>203</v>
      </c>
      <c r="AEQ20" s="314" t="s">
        <v>203</v>
      </c>
      <c r="AER20" s="314" t="s">
        <v>203</v>
      </c>
      <c r="AES20" s="314" t="s">
        <v>203</v>
      </c>
      <c r="AET20" s="314" t="s">
        <v>203</v>
      </c>
      <c r="AEU20" s="314" t="s">
        <v>203</v>
      </c>
      <c r="AEV20" s="314" t="s">
        <v>203</v>
      </c>
      <c r="AEW20" s="314" t="s">
        <v>203</v>
      </c>
      <c r="AEX20" s="314" t="s">
        <v>203</v>
      </c>
      <c r="AEY20" s="314" t="s">
        <v>203</v>
      </c>
      <c r="AEZ20" s="314" t="s">
        <v>203</v>
      </c>
      <c r="AFA20" s="314" t="s">
        <v>203</v>
      </c>
      <c r="AFB20" s="314" t="s">
        <v>203</v>
      </c>
      <c r="AFC20" s="314" t="s">
        <v>203</v>
      </c>
      <c r="AFD20" s="314" t="s">
        <v>203</v>
      </c>
      <c r="AFE20" s="314" t="s">
        <v>203</v>
      </c>
      <c r="AFF20" s="314" t="s">
        <v>203</v>
      </c>
      <c r="AFG20" s="314" t="s">
        <v>203</v>
      </c>
      <c r="AFH20" s="314" t="s">
        <v>203</v>
      </c>
      <c r="AFI20" s="314" t="s">
        <v>203</v>
      </c>
      <c r="AFJ20" s="314" t="s">
        <v>203</v>
      </c>
      <c r="AFK20" s="314" t="s">
        <v>203</v>
      </c>
      <c r="AFL20" s="314" t="s">
        <v>203</v>
      </c>
      <c r="AFM20" s="314" t="s">
        <v>203</v>
      </c>
      <c r="AFN20" s="314" t="s">
        <v>203</v>
      </c>
      <c r="AFO20" s="314" t="s">
        <v>203</v>
      </c>
      <c r="AFP20" s="314" t="s">
        <v>203</v>
      </c>
      <c r="AFQ20" s="314" t="s">
        <v>203</v>
      </c>
      <c r="AFR20" s="314" t="s">
        <v>203</v>
      </c>
      <c r="AFS20" s="314" t="s">
        <v>203</v>
      </c>
      <c r="AFT20" s="314" t="s">
        <v>203</v>
      </c>
      <c r="AFU20" s="314" t="s">
        <v>203</v>
      </c>
      <c r="AFV20" s="314" t="s">
        <v>203</v>
      </c>
      <c r="AFW20" s="314" t="s">
        <v>203</v>
      </c>
      <c r="AFX20" s="314" t="s">
        <v>203</v>
      </c>
      <c r="AFY20" s="314" t="s">
        <v>203</v>
      </c>
      <c r="AFZ20" s="314" t="s">
        <v>203</v>
      </c>
      <c r="AGA20" s="314" t="s">
        <v>203</v>
      </c>
      <c r="AGB20" s="314" t="s">
        <v>203</v>
      </c>
      <c r="AGC20" s="314" t="s">
        <v>203</v>
      </c>
      <c r="AGD20" s="314" t="s">
        <v>203</v>
      </c>
      <c r="AGE20" s="314" t="s">
        <v>203</v>
      </c>
      <c r="AGF20" s="314" t="s">
        <v>203</v>
      </c>
      <c r="AGG20" s="314" t="s">
        <v>203</v>
      </c>
      <c r="AGH20" s="314" t="s">
        <v>203</v>
      </c>
      <c r="AGI20" s="314" t="s">
        <v>203</v>
      </c>
      <c r="AGJ20" s="314" t="s">
        <v>203</v>
      </c>
      <c r="AGK20" s="314" t="s">
        <v>203</v>
      </c>
      <c r="AGL20" s="314" t="s">
        <v>203</v>
      </c>
      <c r="AGM20" s="314" t="s">
        <v>203</v>
      </c>
      <c r="AGN20" s="314" t="s">
        <v>203</v>
      </c>
      <c r="AGO20" s="314" t="s">
        <v>203</v>
      </c>
      <c r="AGP20" s="314" t="s">
        <v>203</v>
      </c>
      <c r="AGQ20" s="314" t="s">
        <v>203</v>
      </c>
      <c r="AGR20" s="314" t="s">
        <v>203</v>
      </c>
      <c r="AGS20" s="314" t="s">
        <v>203</v>
      </c>
      <c r="AGT20" s="314" t="s">
        <v>203</v>
      </c>
      <c r="AGU20" s="314" t="s">
        <v>203</v>
      </c>
      <c r="AGV20" s="314" t="s">
        <v>203</v>
      </c>
      <c r="AGW20" s="314" t="s">
        <v>203</v>
      </c>
      <c r="AGX20" s="314" t="s">
        <v>203</v>
      </c>
      <c r="AGY20" s="314" t="s">
        <v>203</v>
      </c>
      <c r="AGZ20" s="314" t="s">
        <v>203</v>
      </c>
      <c r="AHA20" s="314" t="s">
        <v>203</v>
      </c>
      <c r="AHB20" s="314" t="s">
        <v>203</v>
      </c>
      <c r="AHC20" s="314" t="s">
        <v>203</v>
      </c>
      <c r="AHD20" s="314" t="s">
        <v>203</v>
      </c>
      <c r="AHE20" s="314" t="s">
        <v>203</v>
      </c>
      <c r="AHF20" s="314" t="s">
        <v>203</v>
      </c>
      <c r="AHG20" s="314" t="s">
        <v>203</v>
      </c>
      <c r="AHH20" s="314" t="s">
        <v>203</v>
      </c>
      <c r="AHI20" s="314" t="s">
        <v>203</v>
      </c>
      <c r="AHJ20" s="314" t="s">
        <v>203</v>
      </c>
      <c r="AHK20" s="314" t="s">
        <v>203</v>
      </c>
      <c r="AHL20" s="314" t="s">
        <v>203</v>
      </c>
      <c r="AHM20" s="314" t="s">
        <v>203</v>
      </c>
      <c r="AHN20" s="314" t="s">
        <v>203</v>
      </c>
      <c r="AHO20" s="314" t="s">
        <v>203</v>
      </c>
      <c r="AHP20" s="314" t="s">
        <v>203</v>
      </c>
      <c r="AHQ20" s="314" t="s">
        <v>203</v>
      </c>
      <c r="AHR20" s="314" t="s">
        <v>203</v>
      </c>
      <c r="AHS20" s="314" t="s">
        <v>203</v>
      </c>
      <c r="AHT20" s="314" t="s">
        <v>203</v>
      </c>
      <c r="AHU20" s="314" t="s">
        <v>203</v>
      </c>
      <c r="AHV20" s="314" t="s">
        <v>203</v>
      </c>
      <c r="AHW20" s="314" t="s">
        <v>203</v>
      </c>
      <c r="AHX20" s="314" t="s">
        <v>203</v>
      </c>
      <c r="AHY20" s="314" t="s">
        <v>203</v>
      </c>
      <c r="AHZ20" s="314" t="s">
        <v>203</v>
      </c>
      <c r="AIA20" s="314" t="s">
        <v>203</v>
      </c>
      <c r="AIB20" s="314" t="s">
        <v>203</v>
      </c>
      <c r="AIC20" s="314" t="s">
        <v>203</v>
      </c>
      <c r="AID20" s="314" t="s">
        <v>203</v>
      </c>
      <c r="AIE20" s="314" t="s">
        <v>203</v>
      </c>
      <c r="AIF20" s="314" t="s">
        <v>203</v>
      </c>
      <c r="AIG20" s="314" t="s">
        <v>203</v>
      </c>
      <c r="AIH20" s="314" t="s">
        <v>203</v>
      </c>
      <c r="AII20" s="314" t="s">
        <v>203</v>
      </c>
      <c r="AIJ20" s="314" t="s">
        <v>203</v>
      </c>
      <c r="AIK20" s="314" t="s">
        <v>203</v>
      </c>
      <c r="AIL20" s="314" t="s">
        <v>203</v>
      </c>
      <c r="AIM20" s="314" t="s">
        <v>203</v>
      </c>
      <c r="AIN20" s="314" t="s">
        <v>203</v>
      </c>
      <c r="AIO20" s="314" t="s">
        <v>203</v>
      </c>
      <c r="AIP20" s="314" t="s">
        <v>203</v>
      </c>
      <c r="AIQ20" s="314" t="s">
        <v>203</v>
      </c>
      <c r="AIR20" s="314" t="s">
        <v>203</v>
      </c>
      <c r="AIS20" s="314" t="s">
        <v>203</v>
      </c>
      <c r="AIT20" s="314" t="s">
        <v>203</v>
      </c>
      <c r="AIU20" s="314" t="s">
        <v>203</v>
      </c>
      <c r="AIV20" s="314" t="s">
        <v>203</v>
      </c>
      <c r="AIW20" s="314" t="s">
        <v>203</v>
      </c>
      <c r="AIX20" s="314" t="s">
        <v>203</v>
      </c>
      <c r="AIY20" s="314" t="s">
        <v>203</v>
      </c>
      <c r="AIZ20" s="314" t="s">
        <v>203</v>
      </c>
      <c r="AJA20" s="314" t="s">
        <v>203</v>
      </c>
      <c r="AJB20" s="314" t="s">
        <v>203</v>
      </c>
      <c r="AJC20" s="314" t="s">
        <v>203</v>
      </c>
      <c r="AJD20" s="314" t="s">
        <v>203</v>
      </c>
      <c r="AJE20" s="314" t="s">
        <v>203</v>
      </c>
      <c r="AJF20" s="314" t="s">
        <v>203</v>
      </c>
      <c r="AJG20" s="314" t="s">
        <v>203</v>
      </c>
      <c r="AJH20" s="314" t="s">
        <v>203</v>
      </c>
      <c r="AJI20" s="314" t="s">
        <v>203</v>
      </c>
      <c r="AJJ20" s="314" t="s">
        <v>203</v>
      </c>
      <c r="AJK20" s="314" t="s">
        <v>203</v>
      </c>
      <c r="AJL20" s="314" t="s">
        <v>203</v>
      </c>
      <c r="AJM20" s="314" t="s">
        <v>203</v>
      </c>
      <c r="AJN20" s="314" t="s">
        <v>203</v>
      </c>
      <c r="AJO20" s="314" t="s">
        <v>203</v>
      </c>
      <c r="AJP20" s="314" t="s">
        <v>203</v>
      </c>
      <c r="AJQ20" s="314" t="s">
        <v>203</v>
      </c>
      <c r="AJR20" s="314" t="s">
        <v>203</v>
      </c>
      <c r="AJS20" s="314" t="s">
        <v>203</v>
      </c>
      <c r="AJT20" s="314" t="s">
        <v>203</v>
      </c>
      <c r="AJU20" s="314" t="s">
        <v>203</v>
      </c>
      <c r="AJV20" s="314" t="s">
        <v>203</v>
      </c>
      <c r="AJW20" s="314" t="s">
        <v>203</v>
      </c>
      <c r="AJX20" s="314" t="s">
        <v>203</v>
      </c>
      <c r="AJY20" s="314" t="s">
        <v>203</v>
      </c>
      <c r="AJZ20" s="314" t="s">
        <v>203</v>
      </c>
      <c r="AKA20" s="314" t="s">
        <v>203</v>
      </c>
      <c r="AKB20" s="314" t="s">
        <v>203</v>
      </c>
      <c r="AKC20" s="314" t="s">
        <v>203</v>
      </c>
      <c r="AKD20" s="314" t="s">
        <v>203</v>
      </c>
      <c r="AKE20" s="314" t="s">
        <v>203</v>
      </c>
      <c r="AKF20" s="314" t="s">
        <v>203</v>
      </c>
      <c r="AKG20" s="314" t="s">
        <v>203</v>
      </c>
      <c r="AKH20" s="314" t="s">
        <v>203</v>
      </c>
      <c r="AKI20" s="314" t="s">
        <v>203</v>
      </c>
      <c r="AKJ20" s="314" t="s">
        <v>203</v>
      </c>
      <c r="AKK20" s="314" t="s">
        <v>203</v>
      </c>
      <c r="AKL20" s="314" t="s">
        <v>203</v>
      </c>
      <c r="AKM20" s="314" t="s">
        <v>203</v>
      </c>
      <c r="AKN20" s="314" t="s">
        <v>203</v>
      </c>
      <c r="AKO20" s="314" t="s">
        <v>203</v>
      </c>
      <c r="AKP20" s="314" t="s">
        <v>203</v>
      </c>
      <c r="AKQ20" s="314" t="s">
        <v>203</v>
      </c>
      <c r="AKR20" s="314" t="s">
        <v>203</v>
      </c>
      <c r="AKS20" s="314" t="s">
        <v>203</v>
      </c>
      <c r="AKT20" s="314" t="s">
        <v>203</v>
      </c>
      <c r="AKU20" s="314" t="s">
        <v>203</v>
      </c>
      <c r="AKV20" s="314" t="s">
        <v>203</v>
      </c>
      <c r="AKW20" s="314" t="s">
        <v>203</v>
      </c>
      <c r="AKX20" s="314" t="s">
        <v>203</v>
      </c>
      <c r="AKY20" s="314" t="s">
        <v>203</v>
      </c>
      <c r="AKZ20" s="314" t="s">
        <v>203</v>
      </c>
      <c r="ALA20" s="314" t="s">
        <v>203</v>
      </c>
      <c r="ALB20" s="314" t="s">
        <v>203</v>
      </c>
      <c r="ALC20" s="314" t="s">
        <v>203</v>
      </c>
      <c r="ALD20" s="314" t="s">
        <v>203</v>
      </c>
      <c r="ALE20" s="314" t="s">
        <v>203</v>
      </c>
      <c r="ALF20" s="314" t="s">
        <v>203</v>
      </c>
      <c r="ALG20" s="314" t="s">
        <v>203</v>
      </c>
      <c r="ALH20" s="314" t="s">
        <v>203</v>
      </c>
      <c r="ALI20" s="314" t="s">
        <v>203</v>
      </c>
      <c r="ALJ20" s="314" t="s">
        <v>203</v>
      </c>
      <c r="ALK20" s="314" t="s">
        <v>203</v>
      </c>
      <c r="ALL20" s="314" t="s">
        <v>203</v>
      </c>
      <c r="ALM20" s="314" t="s">
        <v>203</v>
      </c>
      <c r="ALN20" s="314" t="s">
        <v>203</v>
      </c>
      <c r="ALO20" s="314" t="s">
        <v>203</v>
      </c>
      <c r="ALP20" s="314" t="s">
        <v>203</v>
      </c>
      <c r="ALQ20" s="314" t="s">
        <v>203</v>
      </c>
      <c r="ALR20" s="314" t="s">
        <v>203</v>
      </c>
      <c r="ALS20" s="314" t="s">
        <v>203</v>
      </c>
      <c r="ALT20" s="314" t="s">
        <v>203</v>
      </c>
      <c r="ALU20" s="314" t="s">
        <v>203</v>
      </c>
      <c r="ALV20" s="314" t="s">
        <v>203</v>
      </c>
      <c r="ALW20" s="314" t="s">
        <v>203</v>
      </c>
      <c r="ALX20" s="314" t="s">
        <v>203</v>
      </c>
      <c r="ALY20" s="314" t="s">
        <v>203</v>
      </c>
      <c r="ALZ20" s="314" t="s">
        <v>203</v>
      </c>
      <c r="AMA20" s="314" t="s">
        <v>203</v>
      </c>
      <c r="AMB20" s="314" t="s">
        <v>203</v>
      </c>
      <c r="AMC20" s="314" t="s">
        <v>203</v>
      </c>
      <c r="AMD20" s="314" t="s">
        <v>203</v>
      </c>
      <c r="AME20" s="314" t="s">
        <v>203</v>
      </c>
      <c r="AMF20" s="314" t="s">
        <v>203</v>
      </c>
      <c r="AMG20" s="314" t="s">
        <v>203</v>
      </c>
      <c r="AMH20" s="314" t="s">
        <v>203</v>
      </c>
      <c r="AMI20" s="314" t="s">
        <v>203</v>
      </c>
      <c r="AMJ20" s="314" t="s">
        <v>203</v>
      </c>
      <c r="AMK20" s="314" t="s">
        <v>203</v>
      </c>
      <c r="AML20" s="314" t="s">
        <v>203</v>
      </c>
      <c r="AMM20" s="314" t="s">
        <v>203</v>
      </c>
      <c r="AMN20" s="314" t="s">
        <v>203</v>
      </c>
      <c r="AMO20" s="314" t="s">
        <v>203</v>
      </c>
      <c r="AMP20" s="314" t="s">
        <v>203</v>
      </c>
      <c r="AMQ20" s="314" t="s">
        <v>203</v>
      </c>
      <c r="AMR20" s="314" t="s">
        <v>203</v>
      </c>
      <c r="AMS20" s="314" t="s">
        <v>203</v>
      </c>
      <c r="AMT20" s="314" t="s">
        <v>203</v>
      </c>
      <c r="AMU20" s="314" t="s">
        <v>203</v>
      </c>
      <c r="AMV20" s="314" t="s">
        <v>203</v>
      </c>
      <c r="AMW20" s="314" t="s">
        <v>203</v>
      </c>
      <c r="AMX20" s="314" t="s">
        <v>203</v>
      </c>
      <c r="AMY20" s="314" t="s">
        <v>203</v>
      </c>
      <c r="AMZ20" s="314" t="s">
        <v>203</v>
      </c>
      <c r="ANA20" s="314" t="s">
        <v>203</v>
      </c>
      <c r="ANB20" s="314" t="s">
        <v>203</v>
      </c>
      <c r="ANC20" s="314" t="s">
        <v>203</v>
      </c>
      <c r="AND20" s="314" t="s">
        <v>203</v>
      </c>
      <c r="ANE20" s="314" t="s">
        <v>203</v>
      </c>
      <c r="ANF20" s="314" t="s">
        <v>203</v>
      </c>
      <c r="ANG20" s="314" t="s">
        <v>203</v>
      </c>
      <c r="ANH20" s="314" t="s">
        <v>203</v>
      </c>
      <c r="ANI20" s="314" t="s">
        <v>203</v>
      </c>
      <c r="ANJ20" s="314" t="s">
        <v>203</v>
      </c>
      <c r="ANK20" s="314" t="s">
        <v>203</v>
      </c>
      <c r="ANL20" s="314" t="s">
        <v>203</v>
      </c>
      <c r="ANM20" s="314" t="s">
        <v>203</v>
      </c>
      <c r="ANN20" s="314" t="s">
        <v>203</v>
      </c>
      <c r="ANO20" s="314" t="s">
        <v>203</v>
      </c>
      <c r="ANP20" s="314" t="s">
        <v>203</v>
      </c>
      <c r="ANQ20" s="314" t="s">
        <v>203</v>
      </c>
      <c r="ANR20" s="314" t="s">
        <v>203</v>
      </c>
      <c r="ANS20" s="314" t="s">
        <v>203</v>
      </c>
      <c r="ANT20" s="314" t="s">
        <v>203</v>
      </c>
      <c r="ANU20" s="314" t="s">
        <v>203</v>
      </c>
      <c r="ANV20" s="314" t="s">
        <v>203</v>
      </c>
      <c r="ANW20" s="314" t="s">
        <v>203</v>
      </c>
      <c r="ANX20" s="314" t="s">
        <v>203</v>
      </c>
      <c r="ANY20" s="314" t="s">
        <v>203</v>
      </c>
      <c r="ANZ20" s="314" t="s">
        <v>203</v>
      </c>
      <c r="AOA20" s="314" t="s">
        <v>203</v>
      </c>
      <c r="AOB20" s="314" t="s">
        <v>203</v>
      </c>
      <c r="AOC20" s="314" t="s">
        <v>203</v>
      </c>
      <c r="AOD20" s="314" t="s">
        <v>203</v>
      </c>
      <c r="AOE20" s="314" t="s">
        <v>203</v>
      </c>
      <c r="AOF20" s="314" t="s">
        <v>203</v>
      </c>
      <c r="AOG20" s="314" t="s">
        <v>203</v>
      </c>
      <c r="AOH20" s="314" t="s">
        <v>203</v>
      </c>
      <c r="AOI20" s="314" t="s">
        <v>203</v>
      </c>
      <c r="AOJ20" s="314" t="s">
        <v>203</v>
      </c>
      <c r="AOK20" s="314" t="s">
        <v>203</v>
      </c>
      <c r="AOL20" s="314" t="s">
        <v>203</v>
      </c>
      <c r="AOM20" s="314" t="s">
        <v>203</v>
      </c>
      <c r="AON20" s="314" t="s">
        <v>203</v>
      </c>
      <c r="AOO20" s="314" t="s">
        <v>203</v>
      </c>
      <c r="AOP20" s="314" t="s">
        <v>203</v>
      </c>
      <c r="AOQ20" s="314" t="s">
        <v>203</v>
      </c>
      <c r="AOR20" s="314" t="s">
        <v>203</v>
      </c>
      <c r="AOS20" s="314" t="s">
        <v>203</v>
      </c>
      <c r="AOT20" s="314" t="s">
        <v>203</v>
      </c>
      <c r="AOU20" s="314" t="s">
        <v>203</v>
      </c>
      <c r="AOV20" s="314" t="s">
        <v>203</v>
      </c>
      <c r="AOW20" s="314" t="s">
        <v>203</v>
      </c>
      <c r="AOX20" s="314" t="s">
        <v>203</v>
      </c>
      <c r="AOY20" s="314" t="s">
        <v>203</v>
      </c>
      <c r="AOZ20" s="314" t="s">
        <v>203</v>
      </c>
      <c r="APA20" s="314" t="s">
        <v>203</v>
      </c>
      <c r="APB20" s="314" t="s">
        <v>203</v>
      </c>
      <c r="APC20" s="314" t="s">
        <v>203</v>
      </c>
      <c r="APD20" s="314" t="s">
        <v>203</v>
      </c>
      <c r="APE20" s="314" t="s">
        <v>203</v>
      </c>
      <c r="APF20" s="314" t="s">
        <v>203</v>
      </c>
      <c r="APG20" s="314" t="s">
        <v>203</v>
      </c>
      <c r="APH20" s="314" t="s">
        <v>203</v>
      </c>
      <c r="API20" s="314" t="s">
        <v>203</v>
      </c>
      <c r="APJ20" s="314" t="s">
        <v>203</v>
      </c>
      <c r="APK20" s="314" t="s">
        <v>203</v>
      </c>
      <c r="APL20" s="314" t="s">
        <v>203</v>
      </c>
      <c r="APM20" s="314" t="s">
        <v>203</v>
      </c>
      <c r="APN20" s="314" t="s">
        <v>203</v>
      </c>
      <c r="APO20" s="314" t="s">
        <v>203</v>
      </c>
      <c r="APP20" s="314" t="s">
        <v>203</v>
      </c>
      <c r="APQ20" s="314" t="s">
        <v>203</v>
      </c>
      <c r="APR20" s="314" t="s">
        <v>203</v>
      </c>
      <c r="APS20" s="314" t="s">
        <v>203</v>
      </c>
      <c r="APT20" s="314" t="s">
        <v>203</v>
      </c>
      <c r="APU20" s="314" t="s">
        <v>203</v>
      </c>
      <c r="APV20" s="314" t="s">
        <v>203</v>
      </c>
      <c r="APW20" s="314" t="s">
        <v>203</v>
      </c>
      <c r="APX20" s="314" t="s">
        <v>203</v>
      </c>
      <c r="APY20" s="314" t="s">
        <v>203</v>
      </c>
      <c r="APZ20" s="314" t="s">
        <v>203</v>
      </c>
      <c r="AQA20" s="314" t="s">
        <v>203</v>
      </c>
      <c r="AQB20" s="314" t="s">
        <v>203</v>
      </c>
      <c r="AQC20" s="314" t="s">
        <v>203</v>
      </c>
      <c r="AQD20" s="314" t="s">
        <v>203</v>
      </c>
      <c r="AQE20" s="314" t="s">
        <v>203</v>
      </c>
      <c r="AQF20" s="314" t="s">
        <v>203</v>
      </c>
      <c r="AQG20" s="314" t="s">
        <v>203</v>
      </c>
      <c r="AQH20" s="314" t="s">
        <v>203</v>
      </c>
      <c r="AQI20" s="314" t="s">
        <v>203</v>
      </c>
      <c r="AQJ20" s="314" t="s">
        <v>203</v>
      </c>
      <c r="AQK20" s="314" t="s">
        <v>203</v>
      </c>
      <c r="AQL20" s="314" t="s">
        <v>203</v>
      </c>
      <c r="AQM20" s="314" t="s">
        <v>203</v>
      </c>
      <c r="AQN20" s="314" t="s">
        <v>203</v>
      </c>
      <c r="AQO20" s="314" t="s">
        <v>203</v>
      </c>
      <c r="AQP20" s="314" t="s">
        <v>203</v>
      </c>
      <c r="AQQ20" s="314" t="s">
        <v>203</v>
      </c>
      <c r="AQR20" s="314" t="s">
        <v>203</v>
      </c>
      <c r="AQS20" s="314" t="s">
        <v>203</v>
      </c>
      <c r="AQT20" s="314" t="s">
        <v>203</v>
      </c>
      <c r="AQU20" s="314" t="s">
        <v>203</v>
      </c>
      <c r="AQV20" s="314" t="s">
        <v>203</v>
      </c>
      <c r="AQW20" s="314" t="s">
        <v>203</v>
      </c>
      <c r="AQX20" s="314" t="s">
        <v>203</v>
      </c>
      <c r="AQY20" s="314" t="s">
        <v>203</v>
      </c>
      <c r="AQZ20" s="314" t="s">
        <v>203</v>
      </c>
      <c r="ARA20" s="314" t="s">
        <v>203</v>
      </c>
      <c r="ARB20" s="314" t="s">
        <v>203</v>
      </c>
      <c r="ARC20" s="314" t="s">
        <v>203</v>
      </c>
      <c r="ARD20" s="314" t="s">
        <v>203</v>
      </c>
      <c r="ARE20" s="314" t="s">
        <v>203</v>
      </c>
      <c r="ARF20" s="314" t="s">
        <v>203</v>
      </c>
      <c r="ARG20" s="314" t="s">
        <v>203</v>
      </c>
      <c r="ARH20" s="314" t="s">
        <v>203</v>
      </c>
      <c r="ARI20" s="314" t="s">
        <v>203</v>
      </c>
      <c r="ARJ20" s="314" t="s">
        <v>203</v>
      </c>
      <c r="ARK20" s="314" t="s">
        <v>203</v>
      </c>
      <c r="ARL20" s="314" t="s">
        <v>203</v>
      </c>
      <c r="ARM20" s="314" t="s">
        <v>203</v>
      </c>
      <c r="ARN20" s="314" t="s">
        <v>203</v>
      </c>
      <c r="ARO20" s="314" t="s">
        <v>203</v>
      </c>
      <c r="ARP20" s="314" t="s">
        <v>203</v>
      </c>
      <c r="ARQ20" s="314" t="s">
        <v>203</v>
      </c>
      <c r="ARR20" s="314" t="s">
        <v>203</v>
      </c>
      <c r="ARS20" s="314" t="s">
        <v>203</v>
      </c>
      <c r="ART20" s="314" t="s">
        <v>203</v>
      </c>
      <c r="ARU20" s="314" t="s">
        <v>203</v>
      </c>
      <c r="ARV20" s="314" t="s">
        <v>203</v>
      </c>
      <c r="ARW20" s="314" t="s">
        <v>203</v>
      </c>
      <c r="ARX20" s="314" t="s">
        <v>203</v>
      </c>
      <c r="ARY20" s="314" t="s">
        <v>203</v>
      </c>
      <c r="ARZ20" s="314" t="s">
        <v>203</v>
      </c>
      <c r="ASA20" s="314" t="s">
        <v>203</v>
      </c>
      <c r="ASB20" s="314" t="s">
        <v>203</v>
      </c>
      <c r="ASC20" s="314" t="s">
        <v>203</v>
      </c>
      <c r="ASD20" s="314" t="s">
        <v>203</v>
      </c>
      <c r="ASE20" s="314" t="s">
        <v>203</v>
      </c>
      <c r="ASF20" s="314" t="s">
        <v>203</v>
      </c>
      <c r="ASG20" s="314" t="s">
        <v>203</v>
      </c>
      <c r="ASH20" s="314" t="s">
        <v>203</v>
      </c>
      <c r="ASI20" s="314" t="s">
        <v>203</v>
      </c>
      <c r="ASJ20" s="314" t="s">
        <v>203</v>
      </c>
      <c r="ASK20" s="314" t="s">
        <v>203</v>
      </c>
      <c r="ASL20" s="314" t="s">
        <v>203</v>
      </c>
      <c r="ASM20" s="314" t="s">
        <v>203</v>
      </c>
      <c r="ASN20" s="314" t="s">
        <v>203</v>
      </c>
      <c r="ASO20" s="314" t="s">
        <v>203</v>
      </c>
      <c r="ASP20" s="314" t="s">
        <v>203</v>
      </c>
      <c r="ASQ20" s="314" t="s">
        <v>203</v>
      </c>
      <c r="ASR20" s="314" t="s">
        <v>203</v>
      </c>
      <c r="ASS20" s="314" t="s">
        <v>203</v>
      </c>
      <c r="AST20" s="314" t="s">
        <v>203</v>
      </c>
      <c r="ASU20" s="314" t="s">
        <v>203</v>
      </c>
      <c r="ASV20" s="314" t="s">
        <v>203</v>
      </c>
      <c r="ASW20" s="314" t="s">
        <v>203</v>
      </c>
      <c r="ASX20" s="314" t="s">
        <v>203</v>
      </c>
      <c r="ASY20" s="314" t="s">
        <v>203</v>
      </c>
      <c r="ASZ20" s="314" t="s">
        <v>203</v>
      </c>
      <c r="ATA20" s="314" t="s">
        <v>203</v>
      </c>
      <c r="ATB20" s="314" t="s">
        <v>203</v>
      </c>
      <c r="ATC20" s="314" t="s">
        <v>203</v>
      </c>
      <c r="ATD20" s="314" t="s">
        <v>203</v>
      </c>
      <c r="ATE20" s="314" t="s">
        <v>203</v>
      </c>
      <c r="ATF20" s="314" t="s">
        <v>203</v>
      </c>
      <c r="ATG20" s="314" t="s">
        <v>203</v>
      </c>
      <c r="ATH20" s="314" t="s">
        <v>203</v>
      </c>
      <c r="ATI20" s="314" t="s">
        <v>203</v>
      </c>
      <c r="ATJ20" s="314" t="s">
        <v>203</v>
      </c>
      <c r="ATK20" s="314" t="s">
        <v>203</v>
      </c>
      <c r="ATL20" s="314" t="s">
        <v>203</v>
      </c>
      <c r="ATM20" s="314" t="s">
        <v>203</v>
      </c>
      <c r="ATN20" s="314" t="s">
        <v>203</v>
      </c>
      <c r="ATO20" s="314" t="s">
        <v>203</v>
      </c>
      <c r="ATP20" s="314" t="s">
        <v>203</v>
      </c>
      <c r="ATQ20" s="314" t="s">
        <v>203</v>
      </c>
      <c r="ATR20" s="314" t="s">
        <v>203</v>
      </c>
      <c r="ATS20" s="314" t="s">
        <v>203</v>
      </c>
      <c r="ATT20" s="314" t="s">
        <v>203</v>
      </c>
      <c r="ATU20" s="314" t="s">
        <v>203</v>
      </c>
      <c r="ATV20" s="314" t="s">
        <v>203</v>
      </c>
      <c r="ATW20" s="314" t="s">
        <v>203</v>
      </c>
      <c r="ATX20" s="314" t="s">
        <v>203</v>
      </c>
      <c r="ATY20" s="314" t="s">
        <v>203</v>
      </c>
      <c r="ATZ20" s="314" t="s">
        <v>203</v>
      </c>
      <c r="AUA20" s="314" t="s">
        <v>203</v>
      </c>
      <c r="AUB20" s="314" t="s">
        <v>203</v>
      </c>
      <c r="AUC20" s="314" t="s">
        <v>203</v>
      </c>
      <c r="AUD20" s="314" t="s">
        <v>203</v>
      </c>
      <c r="AUE20" s="314" t="s">
        <v>203</v>
      </c>
      <c r="AUF20" s="314" t="s">
        <v>203</v>
      </c>
      <c r="AUG20" s="314" t="s">
        <v>203</v>
      </c>
      <c r="AUH20" s="314" t="s">
        <v>203</v>
      </c>
      <c r="AUI20" s="314" t="s">
        <v>203</v>
      </c>
      <c r="AUJ20" s="314" t="s">
        <v>203</v>
      </c>
      <c r="AUK20" s="314" t="s">
        <v>203</v>
      </c>
      <c r="AUL20" s="314" t="s">
        <v>203</v>
      </c>
      <c r="AUM20" s="314" t="s">
        <v>203</v>
      </c>
      <c r="AUN20" s="314" t="s">
        <v>203</v>
      </c>
      <c r="AUO20" s="314" t="s">
        <v>203</v>
      </c>
      <c r="AUP20" s="314" t="s">
        <v>203</v>
      </c>
      <c r="AUQ20" s="314" t="s">
        <v>203</v>
      </c>
      <c r="AUR20" s="314" t="s">
        <v>203</v>
      </c>
      <c r="AUS20" s="314" t="s">
        <v>203</v>
      </c>
      <c r="AUT20" s="314" t="s">
        <v>203</v>
      </c>
      <c r="AUU20" s="314" t="s">
        <v>203</v>
      </c>
      <c r="AUV20" s="314" t="s">
        <v>203</v>
      </c>
      <c r="AUW20" s="314" t="s">
        <v>203</v>
      </c>
      <c r="AUX20" s="314" t="s">
        <v>203</v>
      </c>
      <c r="AUY20" s="314" t="s">
        <v>203</v>
      </c>
      <c r="AUZ20" s="314" t="s">
        <v>203</v>
      </c>
      <c r="AVA20" s="314" t="s">
        <v>203</v>
      </c>
      <c r="AVB20" s="314" t="s">
        <v>203</v>
      </c>
      <c r="AVC20" s="314" t="s">
        <v>203</v>
      </c>
      <c r="AVD20" s="314" t="s">
        <v>203</v>
      </c>
      <c r="AVE20" s="314" t="s">
        <v>203</v>
      </c>
      <c r="AVF20" s="314" t="s">
        <v>203</v>
      </c>
      <c r="AVG20" s="314" t="s">
        <v>203</v>
      </c>
      <c r="AVH20" s="314" t="s">
        <v>203</v>
      </c>
      <c r="AVI20" s="314" t="s">
        <v>203</v>
      </c>
      <c r="AVJ20" s="314" t="s">
        <v>203</v>
      </c>
      <c r="AVK20" s="314" t="s">
        <v>203</v>
      </c>
      <c r="AVL20" s="314" t="s">
        <v>203</v>
      </c>
      <c r="AVM20" s="314" t="s">
        <v>203</v>
      </c>
      <c r="AVN20" s="314" t="s">
        <v>203</v>
      </c>
      <c r="AVO20" s="314" t="s">
        <v>203</v>
      </c>
      <c r="AVP20" s="314" t="s">
        <v>203</v>
      </c>
      <c r="AVQ20" s="314" t="s">
        <v>203</v>
      </c>
      <c r="AVR20" s="314" t="s">
        <v>203</v>
      </c>
      <c r="AVS20" s="314" t="s">
        <v>203</v>
      </c>
      <c r="AVT20" s="314" t="s">
        <v>203</v>
      </c>
      <c r="AVU20" s="314" t="s">
        <v>203</v>
      </c>
      <c r="AVV20" s="314" t="s">
        <v>203</v>
      </c>
      <c r="AVW20" s="314" t="s">
        <v>203</v>
      </c>
      <c r="AVX20" s="314" t="s">
        <v>203</v>
      </c>
      <c r="AVY20" s="314" t="s">
        <v>203</v>
      </c>
      <c r="AVZ20" s="314" t="s">
        <v>203</v>
      </c>
      <c r="AWA20" s="314" t="s">
        <v>203</v>
      </c>
      <c r="AWB20" s="314" t="s">
        <v>203</v>
      </c>
      <c r="AWC20" s="314" t="s">
        <v>203</v>
      </c>
      <c r="AWD20" s="314" t="s">
        <v>203</v>
      </c>
      <c r="AWE20" s="314" t="s">
        <v>203</v>
      </c>
      <c r="AWF20" s="314" t="s">
        <v>203</v>
      </c>
      <c r="AWG20" s="314" t="s">
        <v>203</v>
      </c>
      <c r="AWH20" s="314" t="s">
        <v>203</v>
      </c>
      <c r="AWI20" s="314" t="s">
        <v>203</v>
      </c>
      <c r="AWJ20" s="314" t="s">
        <v>203</v>
      </c>
      <c r="AWK20" s="314" t="s">
        <v>203</v>
      </c>
      <c r="AWL20" s="314" t="s">
        <v>203</v>
      </c>
      <c r="AWM20" s="314" t="s">
        <v>203</v>
      </c>
      <c r="AWN20" s="314" t="s">
        <v>203</v>
      </c>
      <c r="AWO20" s="314" t="s">
        <v>203</v>
      </c>
      <c r="AWP20" s="314" t="s">
        <v>203</v>
      </c>
      <c r="AWQ20" s="314" t="s">
        <v>203</v>
      </c>
      <c r="AWR20" s="314" t="s">
        <v>203</v>
      </c>
      <c r="AWS20" s="314" t="s">
        <v>203</v>
      </c>
      <c r="AWT20" s="314" t="s">
        <v>203</v>
      </c>
      <c r="AWU20" s="314" t="s">
        <v>203</v>
      </c>
      <c r="AWV20" s="314" t="s">
        <v>203</v>
      </c>
      <c r="AWW20" s="314" t="s">
        <v>203</v>
      </c>
      <c r="AWX20" s="314" t="s">
        <v>203</v>
      </c>
      <c r="AWY20" s="314" t="s">
        <v>203</v>
      </c>
      <c r="AWZ20" s="314" t="s">
        <v>203</v>
      </c>
      <c r="AXA20" s="314" t="s">
        <v>203</v>
      </c>
      <c r="AXB20" s="314" t="s">
        <v>203</v>
      </c>
      <c r="AXC20" s="314" t="s">
        <v>203</v>
      </c>
      <c r="AXD20" s="314" t="s">
        <v>203</v>
      </c>
      <c r="AXE20" s="314" t="s">
        <v>203</v>
      </c>
      <c r="AXF20" s="314" t="s">
        <v>203</v>
      </c>
      <c r="AXG20" s="314" t="s">
        <v>203</v>
      </c>
      <c r="AXH20" s="314" t="s">
        <v>203</v>
      </c>
      <c r="AXI20" s="314" t="s">
        <v>203</v>
      </c>
      <c r="AXJ20" s="314" t="s">
        <v>203</v>
      </c>
      <c r="AXK20" s="314" t="s">
        <v>203</v>
      </c>
      <c r="AXL20" s="314" t="s">
        <v>203</v>
      </c>
      <c r="AXM20" s="314" t="s">
        <v>203</v>
      </c>
      <c r="AXN20" s="314" t="s">
        <v>203</v>
      </c>
      <c r="AXO20" s="314" t="s">
        <v>203</v>
      </c>
      <c r="AXP20" s="314" t="s">
        <v>203</v>
      </c>
      <c r="AXQ20" s="314" t="s">
        <v>203</v>
      </c>
      <c r="AXR20" s="314" t="s">
        <v>203</v>
      </c>
      <c r="AXS20" s="314" t="s">
        <v>203</v>
      </c>
      <c r="AXT20" s="314" t="s">
        <v>203</v>
      </c>
      <c r="AXU20" s="314" t="s">
        <v>203</v>
      </c>
      <c r="AXV20" s="314" t="s">
        <v>203</v>
      </c>
      <c r="AXW20" s="314" t="s">
        <v>203</v>
      </c>
      <c r="AXX20" s="314" t="s">
        <v>203</v>
      </c>
      <c r="AXY20" s="314" t="s">
        <v>203</v>
      </c>
      <c r="AXZ20" s="314" t="s">
        <v>203</v>
      </c>
      <c r="AYA20" s="314" t="s">
        <v>203</v>
      </c>
      <c r="AYB20" s="314" t="s">
        <v>203</v>
      </c>
      <c r="AYC20" s="314" t="s">
        <v>203</v>
      </c>
      <c r="AYD20" s="314" t="s">
        <v>203</v>
      </c>
      <c r="AYE20" s="314" t="s">
        <v>203</v>
      </c>
      <c r="AYF20" s="314" t="s">
        <v>203</v>
      </c>
      <c r="AYG20" s="314" t="s">
        <v>203</v>
      </c>
      <c r="AYH20" s="314" t="s">
        <v>203</v>
      </c>
      <c r="AYI20" s="314" t="s">
        <v>203</v>
      </c>
      <c r="AYJ20" s="314" t="s">
        <v>203</v>
      </c>
      <c r="AYK20" s="314" t="s">
        <v>203</v>
      </c>
      <c r="AYL20" s="314" t="s">
        <v>203</v>
      </c>
      <c r="AYM20" s="314" t="s">
        <v>203</v>
      </c>
      <c r="AYN20" s="314" t="s">
        <v>203</v>
      </c>
      <c r="AYO20" s="314" t="s">
        <v>203</v>
      </c>
      <c r="AYP20" s="314" t="s">
        <v>203</v>
      </c>
      <c r="AYQ20" s="314" t="s">
        <v>203</v>
      </c>
      <c r="AYR20" s="314" t="s">
        <v>203</v>
      </c>
      <c r="AYS20" s="314" t="s">
        <v>203</v>
      </c>
      <c r="AYT20" s="314" t="s">
        <v>203</v>
      </c>
      <c r="AYU20" s="314" t="s">
        <v>203</v>
      </c>
      <c r="AYV20" s="314" t="s">
        <v>203</v>
      </c>
      <c r="AYW20" s="314" t="s">
        <v>203</v>
      </c>
      <c r="AYX20" s="314" t="s">
        <v>203</v>
      </c>
      <c r="AYY20" s="314" t="s">
        <v>203</v>
      </c>
      <c r="AYZ20" s="314" t="s">
        <v>203</v>
      </c>
      <c r="AZA20" s="314" t="s">
        <v>203</v>
      </c>
      <c r="AZB20" s="314" t="s">
        <v>203</v>
      </c>
      <c r="AZC20" s="314" t="s">
        <v>203</v>
      </c>
      <c r="AZD20" s="314" t="s">
        <v>203</v>
      </c>
      <c r="AZE20" s="314" t="s">
        <v>203</v>
      </c>
      <c r="AZF20" s="314" t="s">
        <v>203</v>
      </c>
      <c r="AZG20" s="314" t="s">
        <v>203</v>
      </c>
      <c r="AZH20" s="314" t="s">
        <v>203</v>
      </c>
      <c r="AZI20" s="314" t="s">
        <v>203</v>
      </c>
      <c r="AZJ20" s="314" t="s">
        <v>203</v>
      </c>
      <c r="AZK20" s="314" t="s">
        <v>203</v>
      </c>
      <c r="AZL20" s="314" t="s">
        <v>203</v>
      </c>
      <c r="AZM20" s="314" t="s">
        <v>203</v>
      </c>
      <c r="AZN20" s="314" t="s">
        <v>203</v>
      </c>
      <c r="AZO20" s="314" t="s">
        <v>203</v>
      </c>
      <c r="AZP20" s="314" t="s">
        <v>203</v>
      </c>
      <c r="AZQ20" s="314" t="s">
        <v>203</v>
      </c>
      <c r="AZR20" s="314" t="s">
        <v>203</v>
      </c>
      <c r="AZS20" s="314" t="s">
        <v>203</v>
      </c>
      <c r="AZT20" s="314" t="s">
        <v>203</v>
      </c>
      <c r="AZU20" s="314" t="s">
        <v>203</v>
      </c>
      <c r="AZV20" s="314" t="s">
        <v>203</v>
      </c>
      <c r="AZW20" s="314" t="s">
        <v>203</v>
      </c>
      <c r="AZX20" s="314" t="s">
        <v>203</v>
      </c>
      <c r="AZY20" s="314" t="s">
        <v>203</v>
      </c>
      <c r="AZZ20" s="314" t="s">
        <v>203</v>
      </c>
      <c r="BAA20" s="314" t="s">
        <v>203</v>
      </c>
      <c r="BAB20" s="314" t="s">
        <v>203</v>
      </c>
      <c r="BAC20" s="314" t="s">
        <v>203</v>
      </c>
      <c r="BAD20" s="314" t="s">
        <v>203</v>
      </c>
      <c r="BAE20" s="314" t="s">
        <v>203</v>
      </c>
      <c r="BAF20" s="314" t="s">
        <v>203</v>
      </c>
      <c r="BAG20" s="314" t="s">
        <v>203</v>
      </c>
      <c r="BAH20" s="314" t="s">
        <v>203</v>
      </c>
      <c r="BAI20" s="314" t="s">
        <v>203</v>
      </c>
      <c r="BAJ20" s="314" t="s">
        <v>203</v>
      </c>
      <c r="BAK20" s="314" t="s">
        <v>203</v>
      </c>
      <c r="BAL20" s="314" t="s">
        <v>203</v>
      </c>
      <c r="BAM20" s="314" t="s">
        <v>203</v>
      </c>
      <c r="BAN20" s="314" t="s">
        <v>203</v>
      </c>
      <c r="BAO20" s="314" t="s">
        <v>203</v>
      </c>
      <c r="BAP20" s="314" t="s">
        <v>203</v>
      </c>
      <c r="BAQ20" s="314" t="s">
        <v>203</v>
      </c>
      <c r="BAR20" s="314" t="s">
        <v>203</v>
      </c>
      <c r="BAS20" s="314" t="s">
        <v>203</v>
      </c>
      <c r="BAT20" s="314" t="s">
        <v>203</v>
      </c>
      <c r="BAU20" s="314" t="s">
        <v>203</v>
      </c>
      <c r="BAV20" s="314" t="s">
        <v>203</v>
      </c>
      <c r="BAW20" s="314" t="s">
        <v>203</v>
      </c>
      <c r="BAX20" s="314" t="s">
        <v>203</v>
      </c>
      <c r="BAY20" s="314" t="s">
        <v>203</v>
      </c>
      <c r="BAZ20" s="314" t="s">
        <v>203</v>
      </c>
      <c r="BBA20" s="314" t="s">
        <v>203</v>
      </c>
      <c r="BBB20" s="314" t="s">
        <v>203</v>
      </c>
      <c r="BBC20" s="314" t="s">
        <v>203</v>
      </c>
      <c r="BBD20" s="314" t="s">
        <v>203</v>
      </c>
      <c r="BBE20" s="314" t="s">
        <v>203</v>
      </c>
      <c r="BBF20" s="314" t="s">
        <v>203</v>
      </c>
      <c r="BBG20" s="314" t="s">
        <v>203</v>
      </c>
      <c r="BBH20" s="314" t="s">
        <v>203</v>
      </c>
      <c r="BBI20" s="314" t="s">
        <v>203</v>
      </c>
      <c r="BBJ20" s="314" t="s">
        <v>203</v>
      </c>
      <c r="BBK20" s="314" t="s">
        <v>203</v>
      </c>
      <c r="BBL20" s="314" t="s">
        <v>203</v>
      </c>
      <c r="BBM20" s="314" t="s">
        <v>203</v>
      </c>
      <c r="BBN20" s="314" t="s">
        <v>203</v>
      </c>
      <c r="BBO20" s="314" t="s">
        <v>203</v>
      </c>
      <c r="BBP20" s="314" t="s">
        <v>203</v>
      </c>
      <c r="BBQ20" s="314" t="s">
        <v>203</v>
      </c>
      <c r="BBR20" s="314" t="s">
        <v>203</v>
      </c>
      <c r="BBS20" s="314" t="s">
        <v>203</v>
      </c>
      <c r="BBT20" s="314" t="s">
        <v>203</v>
      </c>
      <c r="BBU20" s="314" t="s">
        <v>203</v>
      </c>
      <c r="BBV20" s="314" t="s">
        <v>203</v>
      </c>
      <c r="BBW20" s="314" t="s">
        <v>203</v>
      </c>
      <c r="BBX20" s="314" t="s">
        <v>203</v>
      </c>
      <c r="BBY20" s="314" t="s">
        <v>203</v>
      </c>
      <c r="BBZ20" s="314" t="s">
        <v>203</v>
      </c>
      <c r="BCA20" s="314" t="s">
        <v>203</v>
      </c>
      <c r="BCB20" s="314" t="s">
        <v>203</v>
      </c>
      <c r="BCC20" s="314" t="s">
        <v>203</v>
      </c>
      <c r="BCD20" s="314" t="s">
        <v>203</v>
      </c>
      <c r="BCE20" s="314" t="s">
        <v>203</v>
      </c>
      <c r="BCF20" s="314" t="s">
        <v>203</v>
      </c>
      <c r="BCG20" s="314" t="s">
        <v>203</v>
      </c>
      <c r="BCH20" s="314" t="s">
        <v>203</v>
      </c>
      <c r="BCI20" s="314" t="s">
        <v>203</v>
      </c>
      <c r="BCJ20" s="314" t="s">
        <v>203</v>
      </c>
      <c r="BCK20" s="314" t="s">
        <v>203</v>
      </c>
      <c r="BCL20" s="314" t="s">
        <v>203</v>
      </c>
      <c r="BCM20" s="314" t="s">
        <v>203</v>
      </c>
      <c r="BCN20" s="314" t="s">
        <v>203</v>
      </c>
      <c r="BCO20" s="314" t="s">
        <v>203</v>
      </c>
      <c r="BCP20" s="314" t="s">
        <v>203</v>
      </c>
      <c r="BCQ20" s="314" t="s">
        <v>203</v>
      </c>
      <c r="BCR20" s="314" t="s">
        <v>203</v>
      </c>
      <c r="BCS20" s="314" t="s">
        <v>203</v>
      </c>
      <c r="BCT20" s="314" t="s">
        <v>203</v>
      </c>
      <c r="BCU20" s="314" t="s">
        <v>203</v>
      </c>
      <c r="BCV20" s="314" t="s">
        <v>203</v>
      </c>
      <c r="BCW20" s="314" t="s">
        <v>203</v>
      </c>
      <c r="BCX20" s="314" t="s">
        <v>203</v>
      </c>
      <c r="BCY20" s="314" t="s">
        <v>203</v>
      </c>
      <c r="BCZ20" s="314" t="s">
        <v>203</v>
      </c>
      <c r="BDA20" s="314" t="s">
        <v>203</v>
      </c>
      <c r="BDB20" s="314" t="s">
        <v>203</v>
      </c>
      <c r="BDC20" s="314" t="s">
        <v>203</v>
      </c>
      <c r="BDD20" s="314" t="s">
        <v>203</v>
      </c>
      <c r="BDE20" s="314" t="s">
        <v>203</v>
      </c>
      <c r="BDF20" s="314" t="s">
        <v>203</v>
      </c>
      <c r="BDG20" s="314" t="s">
        <v>203</v>
      </c>
      <c r="BDH20" s="314" t="s">
        <v>203</v>
      </c>
      <c r="BDI20" s="314" t="s">
        <v>203</v>
      </c>
      <c r="BDJ20" s="314" t="s">
        <v>203</v>
      </c>
      <c r="BDK20" s="314" t="s">
        <v>203</v>
      </c>
      <c r="BDL20" s="314" t="s">
        <v>203</v>
      </c>
      <c r="BDM20" s="314" t="s">
        <v>203</v>
      </c>
      <c r="BDN20" s="314" t="s">
        <v>203</v>
      </c>
      <c r="BDO20" s="314" t="s">
        <v>203</v>
      </c>
      <c r="BDP20" s="314" t="s">
        <v>203</v>
      </c>
      <c r="BDQ20" s="314" t="s">
        <v>203</v>
      </c>
      <c r="BDR20" s="314" t="s">
        <v>203</v>
      </c>
      <c r="BDS20" s="314" t="s">
        <v>203</v>
      </c>
      <c r="BDT20" s="314" t="s">
        <v>203</v>
      </c>
      <c r="BDU20" s="314" t="s">
        <v>203</v>
      </c>
      <c r="BDV20" s="314" t="s">
        <v>203</v>
      </c>
      <c r="BDW20" s="314" t="s">
        <v>203</v>
      </c>
      <c r="BDX20" s="314" t="s">
        <v>203</v>
      </c>
      <c r="BDY20" s="314" t="s">
        <v>203</v>
      </c>
      <c r="BDZ20" s="314" t="s">
        <v>203</v>
      </c>
      <c r="BEA20" s="314" t="s">
        <v>203</v>
      </c>
      <c r="BEB20" s="314" t="s">
        <v>203</v>
      </c>
      <c r="BEC20" s="314" t="s">
        <v>203</v>
      </c>
      <c r="BED20" s="314" t="s">
        <v>203</v>
      </c>
      <c r="BEE20" s="314" t="s">
        <v>203</v>
      </c>
      <c r="BEF20" s="314" t="s">
        <v>203</v>
      </c>
      <c r="BEG20" s="314" t="s">
        <v>203</v>
      </c>
      <c r="BEH20" s="314" t="s">
        <v>203</v>
      </c>
      <c r="BEI20" s="314" t="s">
        <v>203</v>
      </c>
      <c r="BEJ20" s="314" t="s">
        <v>203</v>
      </c>
      <c r="BEK20" s="314" t="s">
        <v>203</v>
      </c>
      <c r="BEL20" s="314" t="s">
        <v>203</v>
      </c>
      <c r="BEM20" s="314" t="s">
        <v>203</v>
      </c>
      <c r="BEN20" s="314" t="s">
        <v>203</v>
      </c>
      <c r="BEO20" s="314" t="s">
        <v>203</v>
      </c>
      <c r="BEP20" s="314" t="s">
        <v>203</v>
      </c>
      <c r="BEQ20" s="314" t="s">
        <v>203</v>
      </c>
      <c r="BER20" s="314" t="s">
        <v>203</v>
      </c>
      <c r="BES20" s="314" t="s">
        <v>203</v>
      </c>
      <c r="BET20" s="314" t="s">
        <v>203</v>
      </c>
      <c r="BEU20" s="314" t="s">
        <v>203</v>
      </c>
      <c r="BEV20" s="314" t="s">
        <v>203</v>
      </c>
      <c r="BEW20" s="314" t="s">
        <v>203</v>
      </c>
      <c r="BEX20" s="314" t="s">
        <v>203</v>
      </c>
      <c r="BEY20" s="314" t="s">
        <v>203</v>
      </c>
      <c r="BEZ20" s="314" t="s">
        <v>203</v>
      </c>
      <c r="BFA20" s="314" t="s">
        <v>203</v>
      </c>
      <c r="BFB20" s="314" t="s">
        <v>203</v>
      </c>
      <c r="BFC20" s="314" t="s">
        <v>203</v>
      </c>
      <c r="BFD20" s="314" t="s">
        <v>203</v>
      </c>
      <c r="BFE20" s="314" t="s">
        <v>203</v>
      </c>
      <c r="BFF20" s="314" t="s">
        <v>203</v>
      </c>
      <c r="BFG20" s="314" t="s">
        <v>203</v>
      </c>
      <c r="BFH20" s="314" t="s">
        <v>203</v>
      </c>
      <c r="BFI20" s="314" t="s">
        <v>203</v>
      </c>
      <c r="BFJ20" s="314" t="s">
        <v>203</v>
      </c>
      <c r="BFK20" s="314" t="s">
        <v>203</v>
      </c>
      <c r="BFL20" s="314" t="s">
        <v>203</v>
      </c>
      <c r="BFM20" s="314" t="s">
        <v>203</v>
      </c>
      <c r="BFN20" s="314" t="s">
        <v>203</v>
      </c>
      <c r="BFO20" s="314" t="s">
        <v>203</v>
      </c>
      <c r="BFP20" s="314" t="s">
        <v>203</v>
      </c>
      <c r="BFQ20" s="314" t="s">
        <v>203</v>
      </c>
      <c r="BFR20" s="314" t="s">
        <v>203</v>
      </c>
      <c r="BFS20" s="314" t="s">
        <v>203</v>
      </c>
      <c r="BFT20" s="314" t="s">
        <v>203</v>
      </c>
      <c r="BFU20" s="314" t="s">
        <v>203</v>
      </c>
      <c r="BFV20" s="314" t="s">
        <v>203</v>
      </c>
      <c r="BFW20" s="314" t="s">
        <v>203</v>
      </c>
      <c r="BFX20" s="314" t="s">
        <v>203</v>
      </c>
      <c r="BFY20" s="314" t="s">
        <v>203</v>
      </c>
      <c r="BFZ20" s="314" t="s">
        <v>203</v>
      </c>
      <c r="BGA20" s="314" t="s">
        <v>203</v>
      </c>
      <c r="BGB20" s="314" t="s">
        <v>203</v>
      </c>
      <c r="BGC20" s="314" t="s">
        <v>203</v>
      </c>
      <c r="BGD20" s="314" t="s">
        <v>203</v>
      </c>
      <c r="BGE20" s="314" t="s">
        <v>203</v>
      </c>
      <c r="BGF20" s="314" t="s">
        <v>203</v>
      </c>
      <c r="BGG20" s="314" t="s">
        <v>203</v>
      </c>
      <c r="BGH20" s="314" t="s">
        <v>203</v>
      </c>
      <c r="BGI20" s="314" t="s">
        <v>203</v>
      </c>
      <c r="BGJ20" s="314" t="s">
        <v>203</v>
      </c>
      <c r="BGK20" s="314" t="s">
        <v>203</v>
      </c>
      <c r="BGL20" s="314" t="s">
        <v>203</v>
      </c>
      <c r="BGM20" s="314" t="s">
        <v>203</v>
      </c>
      <c r="BGN20" s="314" t="s">
        <v>203</v>
      </c>
      <c r="BGO20" s="314" t="s">
        <v>203</v>
      </c>
      <c r="BGP20" s="314" t="s">
        <v>203</v>
      </c>
      <c r="BGQ20" s="314" t="s">
        <v>203</v>
      </c>
      <c r="BGR20" s="314" t="s">
        <v>203</v>
      </c>
      <c r="BGS20" s="314" t="s">
        <v>203</v>
      </c>
      <c r="BGT20" s="314" t="s">
        <v>203</v>
      </c>
      <c r="BGU20" s="314" t="s">
        <v>203</v>
      </c>
      <c r="BGV20" s="314" t="s">
        <v>203</v>
      </c>
      <c r="BGW20" s="314" t="s">
        <v>203</v>
      </c>
      <c r="BGX20" s="314" t="s">
        <v>203</v>
      </c>
      <c r="BGY20" s="314" t="s">
        <v>203</v>
      </c>
      <c r="BGZ20" s="314" t="s">
        <v>203</v>
      </c>
      <c r="BHA20" s="314" t="s">
        <v>203</v>
      </c>
      <c r="BHB20" s="314" t="s">
        <v>203</v>
      </c>
      <c r="BHC20" s="314" t="s">
        <v>203</v>
      </c>
      <c r="BHD20" s="314" t="s">
        <v>203</v>
      </c>
      <c r="BHE20" s="314" t="s">
        <v>203</v>
      </c>
      <c r="BHF20" s="314" t="s">
        <v>203</v>
      </c>
      <c r="BHG20" s="314" t="s">
        <v>203</v>
      </c>
      <c r="BHH20" s="314" t="s">
        <v>203</v>
      </c>
      <c r="BHI20" s="314" t="s">
        <v>203</v>
      </c>
      <c r="BHJ20" s="314" t="s">
        <v>203</v>
      </c>
      <c r="BHK20" s="314" t="s">
        <v>203</v>
      </c>
      <c r="BHL20" s="314" t="s">
        <v>203</v>
      </c>
      <c r="BHM20" s="314" t="s">
        <v>203</v>
      </c>
      <c r="BHN20" s="314" t="s">
        <v>203</v>
      </c>
      <c r="BHO20" s="314" t="s">
        <v>203</v>
      </c>
      <c r="BHP20" s="314" t="s">
        <v>203</v>
      </c>
      <c r="BHQ20" s="314" t="s">
        <v>203</v>
      </c>
      <c r="BHR20" s="314" t="s">
        <v>203</v>
      </c>
      <c r="BHS20" s="314" t="s">
        <v>203</v>
      </c>
      <c r="BHT20" s="314" t="s">
        <v>203</v>
      </c>
      <c r="BHU20" s="314" t="s">
        <v>203</v>
      </c>
      <c r="BHV20" s="314" t="s">
        <v>203</v>
      </c>
      <c r="BHW20" s="314" t="s">
        <v>203</v>
      </c>
      <c r="BHX20" s="314" t="s">
        <v>203</v>
      </c>
      <c r="BHY20" s="314" t="s">
        <v>203</v>
      </c>
      <c r="BHZ20" s="314" t="s">
        <v>203</v>
      </c>
      <c r="BIA20" s="314" t="s">
        <v>203</v>
      </c>
      <c r="BIB20" s="314" t="s">
        <v>203</v>
      </c>
      <c r="BIC20" s="314" t="s">
        <v>203</v>
      </c>
      <c r="BID20" s="314" t="s">
        <v>203</v>
      </c>
      <c r="BIE20" s="314" t="s">
        <v>203</v>
      </c>
      <c r="BIF20" s="314" t="s">
        <v>203</v>
      </c>
      <c r="BIG20" s="314" t="s">
        <v>203</v>
      </c>
      <c r="BIH20" s="314" t="s">
        <v>203</v>
      </c>
      <c r="BII20" s="314" t="s">
        <v>203</v>
      </c>
      <c r="BIJ20" s="314" t="s">
        <v>203</v>
      </c>
      <c r="BIK20" s="314" t="s">
        <v>203</v>
      </c>
      <c r="BIL20" s="314" t="s">
        <v>203</v>
      </c>
      <c r="BIM20" s="314" t="s">
        <v>203</v>
      </c>
      <c r="BIN20" s="314" t="s">
        <v>203</v>
      </c>
      <c r="BIO20" s="314" t="s">
        <v>203</v>
      </c>
      <c r="BIP20" s="314" t="s">
        <v>203</v>
      </c>
      <c r="BIQ20" s="314" t="s">
        <v>203</v>
      </c>
      <c r="BIR20" s="314" t="s">
        <v>203</v>
      </c>
      <c r="BIS20" s="314" t="s">
        <v>203</v>
      </c>
      <c r="BIT20" s="314" t="s">
        <v>203</v>
      </c>
      <c r="BIU20" s="314" t="s">
        <v>203</v>
      </c>
      <c r="BIV20" s="314" t="s">
        <v>203</v>
      </c>
      <c r="BIW20" s="314" t="s">
        <v>203</v>
      </c>
      <c r="BIX20" s="314" t="s">
        <v>203</v>
      </c>
      <c r="BIY20" s="314" t="s">
        <v>203</v>
      </c>
      <c r="BIZ20" s="314" t="s">
        <v>203</v>
      </c>
      <c r="BJA20" s="314" t="s">
        <v>203</v>
      </c>
      <c r="BJB20" s="314" t="s">
        <v>203</v>
      </c>
      <c r="BJC20" s="314" t="s">
        <v>203</v>
      </c>
      <c r="BJD20" s="314" t="s">
        <v>203</v>
      </c>
      <c r="BJE20" s="314" t="s">
        <v>203</v>
      </c>
      <c r="BJF20" s="314" t="s">
        <v>203</v>
      </c>
      <c r="BJG20" s="314" t="s">
        <v>203</v>
      </c>
      <c r="BJH20" s="314" t="s">
        <v>203</v>
      </c>
      <c r="BJI20" s="314" t="s">
        <v>203</v>
      </c>
      <c r="BJJ20" s="314" t="s">
        <v>203</v>
      </c>
      <c r="BJK20" s="314" t="s">
        <v>203</v>
      </c>
      <c r="BJL20" s="314" t="s">
        <v>203</v>
      </c>
      <c r="BJM20" s="314" t="s">
        <v>203</v>
      </c>
      <c r="BJN20" s="314" t="s">
        <v>203</v>
      </c>
      <c r="BJO20" s="314" t="s">
        <v>203</v>
      </c>
      <c r="BJP20" s="314" t="s">
        <v>203</v>
      </c>
      <c r="BJQ20" s="314" t="s">
        <v>203</v>
      </c>
      <c r="BJR20" s="314" t="s">
        <v>203</v>
      </c>
      <c r="BJS20" s="314" t="s">
        <v>203</v>
      </c>
      <c r="BJT20" s="314" t="s">
        <v>203</v>
      </c>
      <c r="BJU20" s="314" t="s">
        <v>203</v>
      </c>
      <c r="BJV20" s="314" t="s">
        <v>203</v>
      </c>
      <c r="BJW20" s="314" t="s">
        <v>203</v>
      </c>
      <c r="BJX20" s="314" t="s">
        <v>203</v>
      </c>
      <c r="BJY20" s="314" t="s">
        <v>203</v>
      </c>
      <c r="BJZ20" s="314" t="s">
        <v>203</v>
      </c>
      <c r="BKA20" s="314" t="s">
        <v>203</v>
      </c>
      <c r="BKB20" s="314" t="s">
        <v>203</v>
      </c>
      <c r="BKC20" s="314" t="s">
        <v>203</v>
      </c>
      <c r="BKD20" s="314" t="s">
        <v>203</v>
      </c>
      <c r="BKE20" s="314" t="s">
        <v>203</v>
      </c>
      <c r="BKF20" s="314" t="s">
        <v>203</v>
      </c>
      <c r="BKG20" s="314" t="s">
        <v>203</v>
      </c>
      <c r="BKH20" s="314" t="s">
        <v>203</v>
      </c>
      <c r="BKI20" s="314" t="s">
        <v>203</v>
      </c>
      <c r="BKJ20" s="314" t="s">
        <v>203</v>
      </c>
      <c r="BKK20" s="314" t="s">
        <v>203</v>
      </c>
      <c r="BKL20" s="314" t="s">
        <v>203</v>
      </c>
      <c r="BKM20" s="314" t="s">
        <v>203</v>
      </c>
      <c r="BKN20" s="314" t="s">
        <v>203</v>
      </c>
      <c r="BKO20" s="314" t="s">
        <v>203</v>
      </c>
      <c r="BKP20" s="314" t="s">
        <v>203</v>
      </c>
      <c r="BKQ20" s="314" t="s">
        <v>203</v>
      </c>
      <c r="BKR20" s="314" t="s">
        <v>203</v>
      </c>
      <c r="BKS20" s="314" t="s">
        <v>203</v>
      </c>
      <c r="BKT20" s="314" t="s">
        <v>203</v>
      </c>
      <c r="BKU20" s="314" t="s">
        <v>203</v>
      </c>
      <c r="BKV20" s="314" t="s">
        <v>203</v>
      </c>
      <c r="BKW20" s="314" t="s">
        <v>203</v>
      </c>
      <c r="BKX20" s="314" t="s">
        <v>203</v>
      </c>
      <c r="BKY20" s="314" t="s">
        <v>203</v>
      </c>
      <c r="BKZ20" s="314" t="s">
        <v>203</v>
      </c>
      <c r="BLA20" s="314" t="s">
        <v>203</v>
      </c>
      <c r="BLB20" s="314" t="s">
        <v>203</v>
      </c>
      <c r="BLC20" s="314" t="s">
        <v>203</v>
      </c>
      <c r="BLD20" s="314" t="s">
        <v>203</v>
      </c>
      <c r="BLE20" s="314" t="s">
        <v>203</v>
      </c>
      <c r="BLF20" s="314" t="s">
        <v>203</v>
      </c>
      <c r="BLG20" s="314" t="s">
        <v>203</v>
      </c>
      <c r="BLH20" s="314" t="s">
        <v>203</v>
      </c>
      <c r="BLI20" s="314" t="s">
        <v>203</v>
      </c>
      <c r="BLJ20" s="314" t="s">
        <v>203</v>
      </c>
      <c r="BLK20" s="314" t="s">
        <v>203</v>
      </c>
      <c r="BLL20" s="314" t="s">
        <v>203</v>
      </c>
      <c r="BLM20" s="314" t="s">
        <v>203</v>
      </c>
      <c r="BLN20" s="314" t="s">
        <v>203</v>
      </c>
      <c r="BLO20" s="314" t="s">
        <v>203</v>
      </c>
      <c r="BLP20" s="314" t="s">
        <v>203</v>
      </c>
      <c r="BLQ20" s="314" t="s">
        <v>203</v>
      </c>
      <c r="BLR20" s="314" t="s">
        <v>203</v>
      </c>
      <c r="BLS20" s="314" t="s">
        <v>203</v>
      </c>
      <c r="BLT20" s="314" t="s">
        <v>203</v>
      </c>
      <c r="BLU20" s="314" t="s">
        <v>203</v>
      </c>
      <c r="BLV20" s="314" t="s">
        <v>203</v>
      </c>
      <c r="BLW20" s="314" t="s">
        <v>203</v>
      </c>
      <c r="BLX20" s="314" t="s">
        <v>203</v>
      </c>
      <c r="BLY20" s="314" t="s">
        <v>203</v>
      </c>
      <c r="BLZ20" s="314" t="s">
        <v>203</v>
      </c>
      <c r="BMA20" s="314" t="s">
        <v>203</v>
      </c>
      <c r="BMB20" s="314" t="s">
        <v>203</v>
      </c>
      <c r="BMC20" s="314" t="s">
        <v>203</v>
      </c>
      <c r="BMD20" s="314" t="s">
        <v>203</v>
      </c>
      <c r="BME20" s="314" t="s">
        <v>203</v>
      </c>
      <c r="BMF20" s="314" t="s">
        <v>203</v>
      </c>
      <c r="BMG20" s="314" t="s">
        <v>203</v>
      </c>
      <c r="BMH20" s="314" t="s">
        <v>203</v>
      </c>
      <c r="BMI20" s="314" t="s">
        <v>203</v>
      </c>
      <c r="BMJ20" s="314" t="s">
        <v>203</v>
      </c>
      <c r="BMK20" s="314" t="s">
        <v>203</v>
      </c>
      <c r="BML20" s="314" t="s">
        <v>203</v>
      </c>
      <c r="BMM20" s="314" t="s">
        <v>203</v>
      </c>
      <c r="BMN20" s="314" t="s">
        <v>203</v>
      </c>
      <c r="BMO20" s="314" t="s">
        <v>203</v>
      </c>
      <c r="BMP20" s="314" t="s">
        <v>203</v>
      </c>
      <c r="BMQ20" s="314" t="s">
        <v>203</v>
      </c>
      <c r="BMR20" s="314" t="s">
        <v>203</v>
      </c>
      <c r="BMS20" s="314" t="s">
        <v>203</v>
      </c>
      <c r="BMT20" s="314" t="s">
        <v>203</v>
      </c>
      <c r="BMU20" s="314" t="s">
        <v>203</v>
      </c>
      <c r="BMV20" s="314" t="s">
        <v>203</v>
      </c>
      <c r="BMW20" s="314" t="s">
        <v>203</v>
      </c>
      <c r="BMX20" s="314" t="s">
        <v>203</v>
      </c>
      <c r="BMY20" s="314" t="s">
        <v>203</v>
      </c>
      <c r="BMZ20" s="314" t="s">
        <v>203</v>
      </c>
      <c r="BNA20" s="314" t="s">
        <v>203</v>
      </c>
      <c r="BNB20" s="314" t="s">
        <v>203</v>
      </c>
      <c r="BNC20" s="314" t="s">
        <v>203</v>
      </c>
      <c r="BND20" s="314" t="s">
        <v>203</v>
      </c>
      <c r="BNE20" s="314" t="s">
        <v>203</v>
      </c>
      <c r="BNF20" s="314" t="s">
        <v>203</v>
      </c>
      <c r="BNG20" s="314" t="s">
        <v>203</v>
      </c>
      <c r="BNH20" s="314" t="s">
        <v>203</v>
      </c>
      <c r="BNI20" s="314" t="s">
        <v>203</v>
      </c>
      <c r="BNJ20" s="314" t="s">
        <v>203</v>
      </c>
      <c r="BNK20" s="314" t="s">
        <v>203</v>
      </c>
      <c r="BNL20" s="314" t="s">
        <v>203</v>
      </c>
      <c r="BNM20" s="314" t="s">
        <v>203</v>
      </c>
      <c r="BNN20" s="314" t="s">
        <v>203</v>
      </c>
      <c r="BNO20" s="314" t="s">
        <v>203</v>
      </c>
      <c r="BNP20" s="314" t="s">
        <v>203</v>
      </c>
      <c r="BNQ20" s="314" t="s">
        <v>203</v>
      </c>
      <c r="BNR20" s="314" t="s">
        <v>203</v>
      </c>
      <c r="BNS20" s="314" t="s">
        <v>203</v>
      </c>
      <c r="BNT20" s="314" t="s">
        <v>203</v>
      </c>
      <c r="BNU20" s="314" t="s">
        <v>203</v>
      </c>
      <c r="BNV20" s="314" t="s">
        <v>203</v>
      </c>
      <c r="BNW20" s="314" t="s">
        <v>203</v>
      </c>
      <c r="BNX20" s="314" t="s">
        <v>203</v>
      </c>
      <c r="BNY20" s="314" t="s">
        <v>203</v>
      </c>
      <c r="BNZ20" s="314" t="s">
        <v>203</v>
      </c>
      <c r="BOA20" s="314" t="s">
        <v>203</v>
      </c>
      <c r="BOB20" s="314" t="s">
        <v>203</v>
      </c>
      <c r="BOC20" s="314" t="s">
        <v>203</v>
      </c>
      <c r="BOD20" s="314" t="s">
        <v>203</v>
      </c>
      <c r="BOE20" s="314" t="s">
        <v>203</v>
      </c>
      <c r="BOF20" s="314" t="s">
        <v>203</v>
      </c>
      <c r="BOG20" s="314" t="s">
        <v>203</v>
      </c>
      <c r="BOH20" s="314" t="s">
        <v>203</v>
      </c>
      <c r="BOI20" s="314" t="s">
        <v>203</v>
      </c>
      <c r="BOJ20" s="314" t="s">
        <v>203</v>
      </c>
      <c r="BOK20" s="314" t="s">
        <v>203</v>
      </c>
      <c r="BOL20" s="314" t="s">
        <v>203</v>
      </c>
      <c r="BOM20" s="314" t="s">
        <v>203</v>
      </c>
      <c r="BON20" s="314" t="s">
        <v>203</v>
      </c>
      <c r="BOO20" s="314" t="s">
        <v>203</v>
      </c>
      <c r="BOP20" s="314" t="s">
        <v>203</v>
      </c>
      <c r="BOQ20" s="314" t="s">
        <v>203</v>
      </c>
      <c r="BOR20" s="314" t="s">
        <v>203</v>
      </c>
      <c r="BOS20" s="314" t="s">
        <v>203</v>
      </c>
      <c r="BOT20" s="314" t="s">
        <v>203</v>
      </c>
      <c r="BOU20" s="314" t="s">
        <v>203</v>
      </c>
      <c r="BOV20" s="314" t="s">
        <v>203</v>
      </c>
      <c r="BOW20" s="314" t="s">
        <v>203</v>
      </c>
      <c r="BOX20" s="314" t="s">
        <v>203</v>
      </c>
      <c r="BOY20" s="314" t="s">
        <v>203</v>
      </c>
      <c r="BOZ20" s="314" t="s">
        <v>203</v>
      </c>
      <c r="BPA20" s="314" t="s">
        <v>203</v>
      </c>
      <c r="BPB20" s="314" t="s">
        <v>203</v>
      </c>
      <c r="BPC20" s="314" t="s">
        <v>203</v>
      </c>
      <c r="BPD20" s="314" t="s">
        <v>203</v>
      </c>
      <c r="BPE20" s="314" t="s">
        <v>203</v>
      </c>
      <c r="BPF20" s="314" t="s">
        <v>203</v>
      </c>
      <c r="BPG20" s="314" t="s">
        <v>203</v>
      </c>
      <c r="BPH20" s="314" t="s">
        <v>203</v>
      </c>
      <c r="BPI20" s="314" t="s">
        <v>203</v>
      </c>
      <c r="BPJ20" s="314" t="s">
        <v>203</v>
      </c>
      <c r="BPK20" s="314" t="s">
        <v>203</v>
      </c>
      <c r="BPL20" s="314" t="s">
        <v>203</v>
      </c>
      <c r="BPM20" s="314" t="s">
        <v>203</v>
      </c>
      <c r="BPN20" s="314" t="s">
        <v>203</v>
      </c>
      <c r="BPO20" s="314" t="s">
        <v>203</v>
      </c>
      <c r="BPP20" s="314" t="s">
        <v>203</v>
      </c>
      <c r="BPQ20" s="314" t="s">
        <v>203</v>
      </c>
      <c r="BPR20" s="314" t="s">
        <v>203</v>
      </c>
      <c r="BPS20" s="314" t="s">
        <v>203</v>
      </c>
      <c r="BPT20" s="314" t="s">
        <v>203</v>
      </c>
      <c r="BPU20" s="314" t="s">
        <v>203</v>
      </c>
      <c r="BPV20" s="314" t="s">
        <v>203</v>
      </c>
      <c r="BPW20" s="314" t="s">
        <v>203</v>
      </c>
      <c r="BPX20" s="314" t="s">
        <v>203</v>
      </c>
      <c r="BPY20" s="314" t="s">
        <v>203</v>
      </c>
      <c r="BPZ20" s="314" t="s">
        <v>203</v>
      </c>
      <c r="BQA20" s="314" t="s">
        <v>203</v>
      </c>
      <c r="BQB20" s="314" t="s">
        <v>203</v>
      </c>
      <c r="BQC20" s="314" t="s">
        <v>203</v>
      </c>
      <c r="BQD20" s="314" t="s">
        <v>203</v>
      </c>
      <c r="BQE20" s="314" t="s">
        <v>203</v>
      </c>
      <c r="BQF20" s="314" t="s">
        <v>203</v>
      </c>
      <c r="BQG20" s="314" t="s">
        <v>203</v>
      </c>
      <c r="BQH20" s="314" t="s">
        <v>203</v>
      </c>
      <c r="BQI20" s="314" t="s">
        <v>203</v>
      </c>
      <c r="BQJ20" s="314" t="s">
        <v>203</v>
      </c>
      <c r="BQK20" s="314" t="s">
        <v>203</v>
      </c>
      <c r="BQL20" s="314" t="s">
        <v>203</v>
      </c>
      <c r="BQM20" s="314" t="s">
        <v>203</v>
      </c>
      <c r="BQN20" s="314" t="s">
        <v>203</v>
      </c>
      <c r="BQO20" s="314" t="s">
        <v>203</v>
      </c>
      <c r="BQP20" s="314" t="s">
        <v>203</v>
      </c>
      <c r="BQQ20" s="314" t="s">
        <v>203</v>
      </c>
      <c r="BQR20" s="314" t="s">
        <v>203</v>
      </c>
      <c r="BQS20" s="314" t="s">
        <v>203</v>
      </c>
      <c r="BQT20" s="314" t="s">
        <v>203</v>
      </c>
      <c r="BQU20" s="314" t="s">
        <v>203</v>
      </c>
      <c r="BQV20" s="314" t="s">
        <v>203</v>
      </c>
      <c r="BQW20" s="314" t="s">
        <v>203</v>
      </c>
      <c r="BQX20" s="314" t="s">
        <v>203</v>
      </c>
      <c r="BQY20" s="314" t="s">
        <v>203</v>
      </c>
      <c r="BQZ20" s="314" t="s">
        <v>203</v>
      </c>
      <c r="BRA20" s="314" t="s">
        <v>203</v>
      </c>
      <c r="BRB20" s="314" t="s">
        <v>203</v>
      </c>
      <c r="BRC20" s="314" t="s">
        <v>203</v>
      </c>
      <c r="BRD20" s="314" t="s">
        <v>203</v>
      </c>
      <c r="BRE20" s="314" t="s">
        <v>203</v>
      </c>
      <c r="BRF20" s="314" t="s">
        <v>203</v>
      </c>
      <c r="BRG20" s="314" t="s">
        <v>203</v>
      </c>
      <c r="BRH20" s="314" t="s">
        <v>203</v>
      </c>
      <c r="BRI20" s="314" t="s">
        <v>203</v>
      </c>
      <c r="BRJ20" s="314" t="s">
        <v>203</v>
      </c>
      <c r="BRK20" s="314" t="s">
        <v>203</v>
      </c>
      <c r="BRL20" s="314" t="s">
        <v>203</v>
      </c>
      <c r="BRM20" s="314" t="s">
        <v>203</v>
      </c>
      <c r="BRN20" s="314" t="s">
        <v>203</v>
      </c>
      <c r="BRO20" s="314" t="s">
        <v>203</v>
      </c>
      <c r="BRP20" s="314" t="s">
        <v>203</v>
      </c>
      <c r="BRQ20" s="314" t="s">
        <v>203</v>
      </c>
      <c r="BRR20" s="314" t="s">
        <v>203</v>
      </c>
      <c r="BRS20" s="314" t="s">
        <v>203</v>
      </c>
      <c r="BRT20" s="314" t="s">
        <v>203</v>
      </c>
      <c r="BRU20" s="314" t="s">
        <v>203</v>
      </c>
      <c r="BRV20" s="314" t="s">
        <v>203</v>
      </c>
      <c r="BRW20" s="314" t="s">
        <v>203</v>
      </c>
      <c r="BRX20" s="314" t="s">
        <v>203</v>
      </c>
      <c r="BRY20" s="314" t="s">
        <v>203</v>
      </c>
      <c r="BRZ20" s="314" t="s">
        <v>203</v>
      </c>
      <c r="BSA20" s="314" t="s">
        <v>203</v>
      </c>
      <c r="BSB20" s="314" t="s">
        <v>203</v>
      </c>
      <c r="BSC20" s="314" t="s">
        <v>203</v>
      </c>
      <c r="BSD20" s="314" t="s">
        <v>203</v>
      </c>
      <c r="BSE20" s="314" t="s">
        <v>203</v>
      </c>
      <c r="BSF20" s="314" t="s">
        <v>203</v>
      </c>
      <c r="BSG20" s="314" t="s">
        <v>203</v>
      </c>
      <c r="BSH20" s="314" t="s">
        <v>203</v>
      </c>
      <c r="BSI20" s="314" t="s">
        <v>203</v>
      </c>
      <c r="BSJ20" s="314" t="s">
        <v>203</v>
      </c>
      <c r="BSK20" s="314" t="s">
        <v>203</v>
      </c>
      <c r="BSL20" s="314" t="s">
        <v>203</v>
      </c>
      <c r="BSM20" s="314" t="s">
        <v>203</v>
      </c>
      <c r="BSN20" s="314" t="s">
        <v>203</v>
      </c>
      <c r="BSO20" s="314" t="s">
        <v>203</v>
      </c>
      <c r="BSP20" s="314" t="s">
        <v>203</v>
      </c>
      <c r="BSQ20" s="314" t="s">
        <v>203</v>
      </c>
      <c r="BSR20" s="314" t="s">
        <v>203</v>
      </c>
      <c r="BSS20" s="314" t="s">
        <v>203</v>
      </c>
      <c r="BST20" s="314" t="s">
        <v>203</v>
      </c>
      <c r="BSU20" s="314" t="s">
        <v>203</v>
      </c>
      <c r="BSV20" s="314" t="s">
        <v>203</v>
      </c>
      <c r="BSW20" s="314" t="s">
        <v>203</v>
      </c>
      <c r="BSX20" s="314" t="s">
        <v>203</v>
      </c>
      <c r="BSY20" s="314" t="s">
        <v>203</v>
      </c>
      <c r="BSZ20" s="314" t="s">
        <v>203</v>
      </c>
      <c r="BTA20" s="314" t="s">
        <v>203</v>
      </c>
      <c r="BTB20" s="314" t="s">
        <v>203</v>
      </c>
      <c r="BTC20" s="314" t="s">
        <v>203</v>
      </c>
      <c r="BTD20" s="314" t="s">
        <v>203</v>
      </c>
      <c r="BTE20" s="314" t="s">
        <v>203</v>
      </c>
      <c r="BTF20" s="314" t="s">
        <v>203</v>
      </c>
      <c r="BTG20" s="314" t="s">
        <v>203</v>
      </c>
      <c r="BTH20" s="314" t="s">
        <v>203</v>
      </c>
      <c r="BTI20" s="314" t="s">
        <v>203</v>
      </c>
      <c r="BTJ20" s="314" t="s">
        <v>203</v>
      </c>
      <c r="BTK20" s="314" t="s">
        <v>203</v>
      </c>
      <c r="BTL20" s="314" t="s">
        <v>203</v>
      </c>
      <c r="BTM20" s="314" t="s">
        <v>203</v>
      </c>
      <c r="BTN20" s="314" t="s">
        <v>203</v>
      </c>
      <c r="BTO20" s="314" t="s">
        <v>203</v>
      </c>
      <c r="BTP20" s="314" t="s">
        <v>203</v>
      </c>
      <c r="BTQ20" s="314" t="s">
        <v>203</v>
      </c>
      <c r="BTR20" s="314" t="s">
        <v>203</v>
      </c>
      <c r="BTS20" s="314" t="s">
        <v>203</v>
      </c>
      <c r="BTT20" s="314" t="s">
        <v>203</v>
      </c>
      <c r="BTU20" s="314" t="s">
        <v>203</v>
      </c>
      <c r="BTV20" s="314" t="s">
        <v>203</v>
      </c>
      <c r="BTW20" s="314" t="s">
        <v>203</v>
      </c>
      <c r="BTX20" s="314" t="s">
        <v>203</v>
      </c>
      <c r="BTY20" s="314" t="s">
        <v>203</v>
      </c>
      <c r="BTZ20" s="314" t="s">
        <v>203</v>
      </c>
      <c r="BUA20" s="314" t="s">
        <v>203</v>
      </c>
      <c r="BUB20" s="314" t="s">
        <v>203</v>
      </c>
      <c r="BUC20" s="314" t="s">
        <v>203</v>
      </c>
      <c r="BUD20" s="314" t="s">
        <v>203</v>
      </c>
      <c r="BUE20" s="314" t="s">
        <v>203</v>
      </c>
      <c r="BUF20" s="314" t="s">
        <v>203</v>
      </c>
      <c r="BUG20" s="314" t="s">
        <v>203</v>
      </c>
      <c r="BUH20" s="314" t="s">
        <v>203</v>
      </c>
      <c r="BUI20" s="314" t="s">
        <v>203</v>
      </c>
      <c r="BUJ20" s="314" t="s">
        <v>203</v>
      </c>
      <c r="BUK20" s="314" t="s">
        <v>203</v>
      </c>
      <c r="BUL20" s="314" t="s">
        <v>203</v>
      </c>
      <c r="BUM20" s="314" t="s">
        <v>203</v>
      </c>
      <c r="BUN20" s="314" t="s">
        <v>203</v>
      </c>
      <c r="BUO20" s="314" t="s">
        <v>203</v>
      </c>
      <c r="BUP20" s="314" t="s">
        <v>203</v>
      </c>
      <c r="BUQ20" s="314" t="s">
        <v>203</v>
      </c>
      <c r="BUR20" s="314" t="s">
        <v>203</v>
      </c>
      <c r="BUS20" s="314" t="s">
        <v>203</v>
      </c>
      <c r="BUT20" s="314" t="s">
        <v>203</v>
      </c>
      <c r="BUU20" s="314" t="s">
        <v>203</v>
      </c>
      <c r="BUV20" s="314" t="s">
        <v>203</v>
      </c>
      <c r="BUW20" s="314" t="s">
        <v>203</v>
      </c>
      <c r="BUX20" s="314" t="s">
        <v>203</v>
      </c>
      <c r="BUY20" s="314" t="s">
        <v>203</v>
      </c>
      <c r="BUZ20" s="314" t="s">
        <v>203</v>
      </c>
      <c r="BVA20" s="314" t="s">
        <v>203</v>
      </c>
      <c r="BVB20" s="314" t="s">
        <v>203</v>
      </c>
      <c r="BVC20" s="314" t="s">
        <v>203</v>
      </c>
      <c r="BVD20" s="314" t="s">
        <v>203</v>
      </c>
      <c r="BVE20" s="314" t="s">
        <v>203</v>
      </c>
      <c r="BVF20" s="314" t="s">
        <v>203</v>
      </c>
      <c r="BVG20" s="314" t="s">
        <v>203</v>
      </c>
      <c r="BVH20" s="314" t="s">
        <v>203</v>
      </c>
      <c r="BVI20" s="314" t="s">
        <v>203</v>
      </c>
      <c r="BVJ20" s="314" t="s">
        <v>203</v>
      </c>
      <c r="BVK20" s="314" t="s">
        <v>203</v>
      </c>
      <c r="BVL20" s="314" t="s">
        <v>203</v>
      </c>
      <c r="BVM20" s="314" t="s">
        <v>203</v>
      </c>
      <c r="BVN20" s="314" t="s">
        <v>203</v>
      </c>
      <c r="BVO20" s="314" t="s">
        <v>203</v>
      </c>
      <c r="BVP20" s="314" t="s">
        <v>203</v>
      </c>
      <c r="BVQ20" s="314" t="s">
        <v>203</v>
      </c>
      <c r="BVR20" s="314" t="s">
        <v>203</v>
      </c>
      <c r="BVS20" s="314" t="s">
        <v>203</v>
      </c>
      <c r="BVT20" s="314" t="s">
        <v>203</v>
      </c>
      <c r="BVU20" s="314" t="s">
        <v>203</v>
      </c>
      <c r="BVV20" s="314" t="s">
        <v>203</v>
      </c>
      <c r="BVW20" s="314" t="s">
        <v>203</v>
      </c>
      <c r="BVX20" s="314" t="s">
        <v>203</v>
      </c>
      <c r="BVY20" s="314" t="s">
        <v>203</v>
      </c>
      <c r="BVZ20" s="314" t="s">
        <v>203</v>
      </c>
      <c r="BWA20" s="314" t="s">
        <v>203</v>
      </c>
      <c r="BWB20" s="314" t="s">
        <v>203</v>
      </c>
      <c r="BWC20" s="314" t="s">
        <v>203</v>
      </c>
      <c r="BWD20" s="314" t="s">
        <v>203</v>
      </c>
      <c r="BWE20" s="314" t="s">
        <v>203</v>
      </c>
      <c r="BWF20" s="314" t="s">
        <v>203</v>
      </c>
      <c r="BWG20" s="314" t="s">
        <v>203</v>
      </c>
      <c r="BWH20" s="314" t="s">
        <v>203</v>
      </c>
      <c r="BWI20" s="314" t="s">
        <v>203</v>
      </c>
      <c r="BWJ20" s="314" t="s">
        <v>203</v>
      </c>
      <c r="BWK20" s="314" t="s">
        <v>203</v>
      </c>
      <c r="BWL20" s="314" t="s">
        <v>203</v>
      </c>
      <c r="BWM20" s="314" t="s">
        <v>203</v>
      </c>
      <c r="BWN20" s="314" t="s">
        <v>203</v>
      </c>
      <c r="BWO20" s="314" t="s">
        <v>203</v>
      </c>
      <c r="BWP20" s="314" t="s">
        <v>203</v>
      </c>
      <c r="BWQ20" s="314" t="s">
        <v>203</v>
      </c>
      <c r="BWR20" s="314" t="s">
        <v>203</v>
      </c>
      <c r="BWS20" s="314" t="s">
        <v>203</v>
      </c>
      <c r="BWT20" s="314" t="s">
        <v>203</v>
      </c>
      <c r="BWU20" s="314" t="s">
        <v>203</v>
      </c>
      <c r="BWV20" s="314" t="s">
        <v>203</v>
      </c>
      <c r="BWW20" s="314" t="s">
        <v>203</v>
      </c>
      <c r="BWX20" s="314" t="s">
        <v>203</v>
      </c>
      <c r="BWY20" s="314" t="s">
        <v>203</v>
      </c>
      <c r="BWZ20" s="314" t="s">
        <v>203</v>
      </c>
      <c r="BXA20" s="314" t="s">
        <v>203</v>
      </c>
      <c r="BXB20" s="314" t="s">
        <v>203</v>
      </c>
      <c r="BXC20" s="314" t="s">
        <v>203</v>
      </c>
      <c r="BXD20" s="314" t="s">
        <v>203</v>
      </c>
      <c r="BXE20" s="314" t="s">
        <v>203</v>
      </c>
      <c r="BXF20" s="314" t="s">
        <v>203</v>
      </c>
      <c r="BXG20" s="314" t="s">
        <v>203</v>
      </c>
      <c r="BXH20" s="314" t="s">
        <v>203</v>
      </c>
      <c r="BXI20" s="314" t="s">
        <v>203</v>
      </c>
      <c r="BXJ20" s="314" t="s">
        <v>203</v>
      </c>
      <c r="BXK20" s="314" t="s">
        <v>203</v>
      </c>
      <c r="BXL20" s="314" t="s">
        <v>203</v>
      </c>
      <c r="BXM20" s="314" t="s">
        <v>203</v>
      </c>
      <c r="BXN20" s="314" t="s">
        <v>203</v>
      </c>
      <c r="BXO20" s="314" t="s">
        <v>203</v>
      </c>
      <c r="BXP20" s="314" t="s">
        <v>203</v>
      </c>
      <c r="BXQ20" s="314" t="s">
        <v>203</v>
      </c>
      <c r="BXR20" s="314" t="s">
        <v>203</v>
      </c>
      <c r="BXS20" s="314" t="s">
        <v>203</v>
      </c>
      <c r="BXT20" s="314" t="s">
        <v>203</v>
      </c>
      <c r="BXU20" s="314" t="s">
        <v>203</v>
      </c>
      <c r="BXV20" s="314" t="s">
        <v>203</v>
      </c>
      <c r="BXW20" s="314" t="s">
        <v>203</v>
      </c>
      <c r="BXX20" s="314" t="s">
        <v>203</v>
      </c>
      <c r="BXY20" s="314" t="s">
        <v>203</v>
      </c>
      <c r="BXZ20" s="314" t="s">
        <v>203</v>
      </c>
      <c r="BYA20" s="314" t="s">
        <v>203</v>
      </c>
      <c r="BYB20" s="314" t="s">
        <v>203</v>
      </c>
      <c r="BYC20" s="314" t="s">
        <v>203</v>
      </c>
      <c r="BYD20" s="314" t="s">
        <v>203</v>
      </c>
      <c r="BYE20" s="314" t="s">
        <v>203</v>
      </c>
      <c r="BYF20" s="314" t="s">
        <v>203</v>
      </c>
      <c r="BYG20" s="314" t="s">
        <v>203</v>
      </c>
      <c r="BYH20" s="314" t="s">
        <v>203</v>
      </c>
      <c r="BYI20" s="314" t="s">
        <v>203</v>
      </c>
      <c r="BYJ20" s="314" t="s">
        <v>203</v>
      </c>
      <c r="BYK20" s="314" t="s">
        <v>203</v>
      </c>
      <c r="BYL20" s="314" t="s">
        <v>203</v>
      </c>
      <c r="BYM20" s="314" t="s">
        <v>203</v>
      </c>
      <c r="BYN20" s="314" t="s">
        <v>203</v>
      </c>
      <c r="BYO20" s="314" t="s">
        <v>203</v>
      </c>
      <c r="BYP20" s="314" t="s">
        <v>203</v>
      </c>
      <c r="BYQ20" s="314" t="s">
        <v>203</v>
      </c>
      <c r="BYR20" s="314" t="s">
        <v>203</v>
      </c>
      <c r="BYS20" s="314" t="s">
        <v>203</v>
      </c>
      <c r="BYT20" s="314" t="s">
        <v>203</v>
      </c>
      <c r="BYU20" s="314" t="s">
        <v>203</v>
      </c>
      <c r="BYV20" s="314" t="s">
        <v>203</v>
      </c>
      <c r="BYW20" s="314" t="s">
        <v>203</v>
      </c>
      <c r="BYX20" s="314" t="s">
        <v>203</v>
      </c>
      <c r="BYY20" s="314" t="s">
        <v>203</v>
      </c>
      <c r="BYZ20" s="314" t="s">
        <v>203</v>
      </c>
      <c r="BZA20" s="314" t="s">
        <v>203</v>
      </c>
      <c r="BZB20" s="314" t="s">
        <v>203</v>
      </c>
      <c r="BZC20" s="314" t="s">
        <v>203</v>
      </c>
      <c r="BZD20" s="314" t="s">
        <v>203</v>
      </c>
      <c r="BZE20" s="314" t="s">
        <v>203</v>
      </c>
      <c r="BZF20" s="314" t="s">
        <v>203</v>
      </c>
      <c r="BZG20" s="314" t="s">
        <v>203</v>
      </c>
      <c r="BZH20" s="314" t="s">
        <v>203</v>
      </c>
      <c r="BZI20" s="314" t="s">
        <v>203</v>
      </c>
      <c r="BZJ20" s="314" t="s">
        <v>203</v>
      </c>
      <c r="BZK20" s="314" t="s">
        <v>203</v>
      </c>
      <c r="BZL20" s="314" t="s">
        <v>203</v>
      </c>
      <c r="BZM20" s="314" t="s">
        <v>203</v>
      </c>
      <c r="BZN20" s="314" t="s">
        <v>203</v>
      </c>
      <c r="BZO20" s="314" t="s">
        <v>203</v>
      </c>
      <c r="BZP20" s="314" t="s">
        <v>203</v>
      </c>
      <c r="BZQ20" s="314" t="s">
        <v>203</v>
      </c>
      <c r="BZR20" s="314" t="s">
        <v>203</v>
      </c>
      <c r="BZS20" s="314" t="s">
        <v>203</v>
      </c>
      <c r="BZT20" s="314" t="s">
        <v>203</v>
      </c>
      <c r="BZU20" s="314" t="s">
        <v>203</v>
      </c>
      <c r="BZV20" s="314" t="s">
        <v>203</v>
      </c>
      <c r="BZW20" s="314" t="s">
        <v>203</v>
      </c>
      <c r="BZX20" s="314" t="s">
        <v>203</v>
      </c>
      <c r="BZY20" s="314" t="s">
        <v>203</v>
      </c>
      <c r="BZZ20" s="314" t="s">
        <v>203</v>
      </c>
      <c r="CAA20" s="314" t="s">
        <v>203</v>
      </c>
      <c r="CAB20" s="314" t="s">
        <v>203</v>
      </c>
      <c r="CAC20" s="314" t="s">
        <v>203</v>
      </c>
      <c r="CAD20" s="314" t="s">
        <v>203</v>
      </c>
      <c r="CAE20" s="314" t="s">
        <v>203</v>
      </c>
      <c r="CAF20" s="314" t="s">
        <v>203</v>
      </c>
      <c r="CAG20" s="314" t="s">
        <v>203</v>
      </c>
      <c r="CAH20" s="314" t="s">
        <v>203</v>
      </c>
      <c r="CAI20" s="314" t="s">
        <v>203</v>
      </c>
      <c r="CAJ20" s="314" t="s">
        <v>203</v>
      </c>
      <c r="CAK20" s="314" t="s">
        <v>203</v>
      </c>
      <c r="CAL20" s="314" t="s">
        <v>203</v>
      </c>
      <c r="CAM20" s="314" t="s">
        <v>203</v>
      </c>
      <c r="CAN20" s="314" t="s">
        <v>203</v>
      </c>
      <c r="CAO20" s="314" t="s">
        <v>203</v>
      </c>
      <c r="CAP20" s="314" t="s">
        <v>203</v>
      </c>
      <c r="CAQ20" s="314" t="s">
        <v>203</v>
      </c>
      <c r="CAR20" s="314" t="s">
        <v>203</v>
      </c>
      <c r="CAS20" s="314" t="s">
        <v>203</v>
      </c>
      <c r="CAT20" s="314" t="s">
        <v>203</v>
      </c>
      <c r="CAU20" s="314" t="s">
        <v>203</v>
      </c>
      <c r="CAV20" s="314" t="s">
        <v>203</v>
      </c>
      <c r="CAW20" s="314" t="s">
        <v>203</v>
      </c>
      <c r="CAX20" s="314" t="s">
        <v>203</v>
      </c>
      <c r="CAY20" s="314" t="s">
        <v>203</v>
      </c>
      <c r="CAZ20" s="314" t="s">
        <v>203</v>
      </c>
      <c r="CBA20" s="314" t="s">
        <v>203</v>
      </c>
      <c r="CBB20" s="314" t="s">
        <v>203</v>
      </c>
      <c r="CBC20" s="314" t="s">
        <v>203</v>
      </c>
      <c r="CBD20" s="314" t="s">
        <v>203</v>
      </c>
      <c r="CBE20" s="314" t="s">
        <v>203</v>
      </c>
      <c r="CBF20" s="314" t="s">
        <v>203</v>
      </c>
      <c r="CBG20" s="314" t="s">
        <v>203</v>
      </c>
      <c r="CBH20" s="314" t="s">
        <v>203</v>
      </c>
      <c r="CBI20" s="314" t="s">
        <v>203</v>
      </c>
      <c r="CBJ20" s="314" t="s">
        <v>203</v>
      </c>
      <c r="CBK20" s="314" t="s">
        <v>203</v>
      </c>
      <c r="CBL20" s="314" t="s">
        <v>203</v>
      </c>
      <c r="CBM20" s="314" t="s">
        <v>203</v>
      </c>
      <c r="CBN20" s="314" t="s">
        <v>203</v>
      </c>
      <c r="CBO20" s="314" t="s">
        <v>203</v>
      </c>
      <c r="CBP20" s="314" t="s">
        <v>203</v>
      </c>
      <c r="CBQ20" s="314" t="s">
        <v>203</v>
      </c>
      <c r="CBR20" s="314" t="s">
        <v>203</v>
      </c>
      <c r="CBS20" s="314" t="s">
        <v>203</v>
      </c>
      <c r="CBT20" s="314" t="s">
        <v>203</v>
      </c>
      <c r="CBU20" s="314" t="s">
        <v>203</v>
      </c>
      <c r="CBV20" s="314" t="s">
        <v>203</v>
      </c>
      <c r="CBW20" s="314" t="s">
        <v>203</v>
      </c>
      <c r="CBX20" s="314" t="s">
        <v>203</v>
      </c>
      <c r="CBY20" s="314" t="s">
        <v>203</v>
      </c>
      <c r="CBZ20" s="314" t="s">
        <v>203</v>
      </c>
      <c r="CCA20" s="314" t="s">
        <v>203</v>
      </c>
      <c r="CCB20" s="314" t="s">
        <v>203</v>
      </c>
      <c r="CCC20" s="314" t="s">
        <v>203</v>
      </c>
      <c r="CCD20" s="314" t="s">
        <v>203</v>
      </c>
      <c r="CCE20" s="314" t="s">
        <v>203</v>
      </c>
      <c r="CCF20" s="314" t="s">
        <v>203</v>
      </c>
      <c r="CCG20" s="314" t="s">
        <v>203</v>
      </c>
      <c r="CCH20" s="314" t="s">
        <v>203</v>
      </c>
      <c r="CCI20" s="314" t="s">
        <v>203</v>
      </c>
      <c r="CCJ20" s="314" t="s">
        <v>203</v>
      </c>
      <c r="CCK20" s="314" t="s">
        <v>203</v>
      </c>
      <c r="CCL20" s="314" t="s">
        <v>203</v>
      </c>
      <c r="CCM20" s="314" t="s">
        <v>203</v>
      </c>
      <c r="CCN20" s="314" t="s">
        <v>203</v>
      </c>
      <c r="CCO20" s="314" t="s">
        <v>203</v>
      </c>
      <c r="CCP20" s="314" t="s">
        <v>203</v>
      </c>
      <c r="CCQ20" s="314" t="s">
        <v>203</v>
      </c>
      <c r="CCR20" s="314" t="s">
        <v>203</v>
      </c>
      <c r="CCS20" s="314" t="s">
        <v>203</v>
      </c>
      <c r="CCT20" s="314" t="s">
        <v>203</v>
      </c>
      <c r="CCU20" s="314" t="s">
        <v>203</v>
      </c>
      <c r="CCV20" s="314" t="s">
        <v>203</v>
      </c>
      <c r="CCW20" s="314" t="s">
        <v>203</v>
      </c>
      <c r="CCX20" s="314" t="s">
        <v>203</v>
      </c>
      <c r="CCY20" s="314" t="s">
        <v>203</v>
      </c>
      <c r="CCZ20" s="314" t="s">
        <v>203</v>
      </c>
      <c r="CDA20" s="314" t="s">
        <v>203</v>
      </c>
      <c r="CDB20" s="314" t="s">
        <v>203</v>
      </c>
      <c r="CDC20" s="314" t="s">
        <v>203</v>
      </c>
      <c r="CDD20" s="314" t="s">
        <v>203</v>
      </c>
      <c r="CDE20" s="314" t="s">
        <v>203</v>
      </c>
      <c r="CDF20" s="314" t="s">
        <v>203</v>
      </c>
      <c r="CDG20" s="314" t="s">
        <v>203</v>
      </c>
      <c r="CDH20" s="314" t="s">
        <v>203</v>
      </c>
      <c r="CDI20" s="314" t="s">
        <v>203</v>
      </c>
      <c r="CDJ20" s="314" t="s">
        <v>203</v>
      </c>
      <c r="CDK20" s="314" t="s">
        <v>203</v>
      </c>
      <c r="CDL20" s="314" t="s">
        <v>203</v>
      </c>
      <c r="CDM20" s="314" t="s">
        <v>203</v>
      </c>
      <c r="CDN20" s="314" t="s">
        <v>203</v>
      </c>
      <c r="CDO20" s="314" t="s">
        <v>203</v>
      </c>
      <c r="CDP20" s="314" t="s">
        <v>203</v>
      </c>
      <c r="CDQ20" s="314" t="s">
        <v>203</v>
      </c>
      <c r="CDR20" s="314" t="s">
        <v>203</v>
      </c>
      <c r="CDS20" s="314" t="s">
        <v>203</v>
      </c>
      <c r="CDT20" s="314" t="s">
        <v>203</v>
      </c>
      <c r="CDU20" s="314" t="s">
        <v>203</v>
      </c>
      <c r="CDV20" s="314" t="s">
        <v>203</v>
      </c>
      <c r="CDW20" s="314" t="s">
        <v>203</v>
      </c>
      <c r="CDX20" s="314" t="s">
        <v>203</v>
      </c>
      <c r="CDY20" s="314" t="s">
        <v>203</v>
      </c>
      <c r="CDZ20" s="314" t="s">
        <v>203</v>
      </c>
      <c r="CEA20" s="314" t="s">
        <v>203</v>
      </c>
      <c r="CEB20" s="314" t="s">
        <v>203</v>
      </c>
      <c r="CEC20" s="314" t="s">
        <v>203</v>
      </c>
      <c r="CED20" s="314" t="s">
        <v>203</v>
      </c>
      <c r="CEE20" s="314" t="s">
        <v>203</v>
      </c>
      <c r="CEF20" s="314" t="s">
        <v>203</v>
      </c>
      <c r="CEG20" s="314" t="s">
        <v>203</v>
      </c>
      <c r="CEH20" s="314" t="s">
        <v>203</v>
      </c>
      <c r="CEI20" s="314" t="s">
        <v>203</v>
      </c>
      <c r="CEJ20" s="314" t="s">
        <v>203</v>
      </c>
      <c r="CEK20" s="314" t="s">
        <v>203</v>
      </c>
      <c r="CEL20" s="314" t="s">
        <v>203</v>
      </c>
      <c r="CEM20" s="314" t="s">
        <v>203</v>
      </c>
      <c r="CEN20" s="314" t="s">
        <v>203</v>
      </c>
      <c r="CEO20" s="314" t="s">
        <v>203</v>
      </c>
      <c r="CEP20" s="314" t="s">
        <v>203</v>
      </c>
      <c r="CEQ20" s="314" t="s">
        <v>203</v>
      </c>
      <c r="CER20" s="314" t="s">
        <v>203</v>
      </c>
      <c r="CES20" s="314" t="s">
        <v>203</v>
      </c>
      <c r="CET20" s="314" t="s">
        <v>203</v>
      </c>
      <c r="CEU20" s="314" t="s">
        <v>203</v>
      </c>
      <c r="CEV20" s="314" t="s">
        <v>203</v>
      </c>
      <c r="CEW20" s="314" t="s">
        <v>203</v>
      </c>
      <c r="CEX20" s="314" t="s">
        <v>203</v>
      </c>
      <c r="CEY20" s="314" t="s">
        <v>203</v>
      </c>
      <c r="CEZ20" s="314" t="s">
        <v>203</v>
      </c>
      <c r="CFA20" s="314" t="s">
        <v>203</v>
      </c>
      <c r="CFB20" s="314" t="s">
        <v>203</v>
      </c>
      <c r="CFC20" s="314" t="s">
        <v>203</v>
      </c>
      <c r="CFD20" s="314" t="s">
        <v>203</v>
      </c>
      <c r="CFE20" s="314" t="s">
        <v>203</v>
      </c>
      <c r="CFF20" s="314" t="s">
        <v>203</v>
      </c>
      <c r="CFG20" s="314" t="s">
        <v>203</v>
      </c>
      <c r="CFH20" s="314" t="s">
        <v>203</v>
      </c>
      <c r="CFI20" s="314" t="s">
        <v>203</v>
      </c>
      <c r="CFJ20" s="314" t="s">
        <v>203</v>
      </c>
      <c r="CFK20" s="314" t="s">
        <v>203</v>
      </c>
      <c r="CFL20" s="314" t="s">
        <v>203</v>
      </c>
      <c r="CFM20" s="314" t="s">
        <v>203</v>
      </c>
      <c r="CFN20" s="314" t="s">
        <v>203</v>
      </c>
      <c r="CFO20" s="314" t="s">
        <v>203</v>
      </c>
      <c r="CFP20" s="314" t="s">
        <v>203</v>
      </c>
      <c r="CFQ20" s="314" t="s">
        <v>203</v>
      </c>
      <c r="CFR20" s="314" t="s">
        <v>203</v>
      </c>
      <c r="CFS20" s="314" t="s">
        <v>203</v>
      </c>
      <c r="CFT20" s="314" t="s">
        <v>203</v>
      </c>
      <c r="CFU20" s="314" t="s">
        <v>203</v>
      </c>
      <c r="CFV20" s="314" t="s">
        <v>203</v>
      </c>
      <c r="CFW20" s="314" t="s">
        <v>203</v>
      </c>
      <c r="CFX20" s="314" t="s">
        <v>203</v>
      </c>
      <c r="CFY20" s="314" t="s">
        <v>203</v>
      </c>
      <c r="CFZ20" s="314" t="s">
        <v>203</v>
      </c>
      <c r="CGA20" s="314" t="s">
        <v>203</v>
      </c>
      <c r="CGB20" s="314" t="s">
        <v>203</v>
      </c>
      <c r="CGC20" s="314" t="s">
        <v>203</v>
      </c>
      <c r="CGD20" s="314" t="s">
        <v>203</v>
      </c>
      <c r="CGE20" s="314" t="s">
        <v>203</v>
      </c>
      <c r="CGF20" s="314" t="s">
        <v>203</v>
      </c>
      <c r="CGG20" s="314" t="s">
        <v>203</v>
      </c>
      <c r="CGH20" s="314" t="s">
        <v>203</v>
      </c>
      <c r="CGI20" s="314" t="s">
        <v>203</v>
      </c>
      <c r="CGJ20" s="314" t="s">
        <v>203</v>
      </c>
      <c r="CGK20" s="314" t="s">
        <v>203</v>
      </c>
      <c r="CGL20" s="314" t="s">
        <v>203</v>
      </c>
      <c r="CGM20" s="314" t="s">
        <v>203</v>
      </c>
      <c r="CGN20" s="314" t="s">
        <v>203</v>
      </c>
      <c r="CGO20" s="314" t="s">
        <v>203</v>
      </c>
      <c r="CGP20" s="314" t="s">
        <v>203</v>
      </c>
      <c r="CGQ20" s="314" t="s">
        <v>203</v>
      </c>
      <c r="CGR20" s="314" t="s">
        <v>203</v>
      </c>
      <c r="CGS20" s="314" t="s">
        <v>203</v>
      </c>
      <c r="CGT20" s="314" t="s">
        <v>203</v>
      </c>
      <c r="CGU20" s="314" t="s">
        <v>203</v>
      </c>
      <c r="CGV20" s="314" t="s">
        <v>203</v>
      </c>
      <c r="CGW20" s="314" t="s">
        <v>203</v>
      </c>
      <c r="CGX20" s="314" t="s">
        <v>203</v>
      </c>
      <c r="CGY20" s="314" t="s">
        <v>203</v>
      </c>
      <c r="CGZ20" s="314" t="s">
        <v>203</v>
      </c>
      <c r="CHA20" s="314" t="s">
        <v>203</v>
      </c>
      <c r="CHB20" s="314" t="s">
        <v>203</v>
      </c>
      <c r="CHC20" s="314" t="s">
        <v>203</v>
      </c>
      <c r="CHD20" s="314" t="s">
        <v>203</v>
      </c>
      <c r="CHE20" s="314" t="s">
        <v>203</v>
      </c>
      <c r="CHF20" s="314" t="s">
        <v>203</v>
      </c>
      <c r="CHG20" s="314" t="s">
        <v>203</v>
      </c>
      <c r="CHH20" s="314" t="s">
        <v>203</v>
      </c>
      <c r="CHI20" s="314" t="s">
        <v>203</v>
      </c>
      <c r="CHJ20" s="314" t="s">
        <v>203</v>
      </c>
      <c r="CHK20" s="314" t="s">
        <v>203</v>
      </c>
      <c r="CHL20" s="314" t="s">
        <v>203</v>
      </c>
      <c r="CHM20" s="314" t="s">
        <v>203</v>
      </c>
      <c r="CHN20" s="314" t="s">
        <v>203</v>
      </c>
      <c r="CHO20" s="314" t="s">
        <v>203</v>
      </c>
      <c r="CHP20" s="314" t="s">
        <v>203</v>
      </c>
      <c r="CHQ20" s="314" t="s">
        <v>203</v>
      </c>
      <c r="CHR20" s="314" t="s">
        <v>203</v>
      </c>
      <c r="CHS20" s="314" t="s">
        <v>203</v>
      </c>
      <c r="CHT20" s="314" t="s">
        <v>203</v>
      </c>
      <c r="CHU20" s="314" t="s">
        <v>203</v>
      </c>
      <c r="CHV20" s="314" t="s">
        <v>203</v>
      </c>
      <c r="CHW20" s="314" t="s">
        <v>203</v>
      </c>
      <c r="CHX20" s="314" t="s">
        <v>203</v>
      </c>
      <c r="CHY20" s="314" t="s">
        <v>203</v>
      </c>
      <c r="CHZ20" s="314" t="s">
        <v>203</v>
      </c>
      <c r="CIA20" s="314" t="s">
        <v>203</v>
      </c>
      <c r="CIB20" s="314" t="s">
        <v>203</v>
      </c>
      <c r="CIC20" s="314" t="s">
        <v>203</v>
      </c>
      <c r="CID20" s="314" t="s">
        <v>203</v>
      </c>
      <c r="CIE20" s="314" t="s">
        <v>203</v>
      </c>
      <c r="CIF20" s="314" t="s">
        <v>203</v>
      </c>
      <c r="CIG20" s="314" t="s">
        <v>203</v>
      </c>
      <c r="CIH20" s="314" t="s">
        <v>203</v>
      </c>
      <c r="CII20" s="314" t="s">
        <v>203</v>
      </c>
      <c r="CIJ20" s="314" t="s">
        <v>203</v>
      </c>
      <c r="CIK20" s="314" t="s">
        <v>203</v>
      </c>
      <c r="CIL20" s="314" t="s">
        <v>203</v>
      </c>
      <c r="CIM20" s="314" t="s">
        <v>203</v>
      </c>
      <c r="CIN20" s="314" t="s">
        <v>203</v>
      </c>
      <c r="CIO20" s="314" t="s">
        <v>203</v>
      </c>
      <c r="CIP20" s="314" t="s">
        <v>203</v>
      </c>
      <c r="CIQ20" s="314" t="s">
        <v>203</v>
      </c>
      <c r="CIR20" s="314" t="s">
        <v>203</v>
      </c>
      <c r="CIS20" s="314" t="s">
        <v>203</v>
      </c>
      <c r="CIT20" s="314" t="s">
        <v>203</v>
      </c>
      <c r="CIU20" s="314" t="s">
        <v>203</v>
      </c>
      <c r="CIV20" s="314" t="s">
        <v>203</v>
      </c>
      <c r="CIW20" s="314" t="s">
        <v>203</v>
      </c>
      <c r="CIX20" s="314" t="s">
        <v>203</v>
      </c>
      <c r="CIY20" s="314" t="s">
        <v>203</v>
      </c>
      <c r="CIZ20" s="314" t="s">
        <v>203</v>
      </c>
      <c r="CJA20" s="314" t="s">
        <v>203</v>
      </c>
      <c r="CJB20" s="314" t="s">
        <v>203</v>
      </c>
      <c r="CJC20" s="314" t="s">
        <v>203</v>
      </c>
      <c r="CJD20" s="314" t="s">
        <v>203</v>
      </c>
      <c r="CJE20" s="314" t="s">
        <v>203</v>
      </c>
      <c r="CJF20" s="314" t="s">
        <v>203</v>
      </c>
      <c r="CJG20" s="314" t="s">
        <v>203</v>
      </c>
      <c r="CJH20" s="314" t="s">
        <v>203</v>
      </c>
      <c r="CJI20" s="314" t="s">
        <v>203</v>
      </c>
      <c r="CJJ20" s="314" t="s">
        <v>203</v>
      </c>
      <c r="CJK20" s="314" t="s">
        <v>203</v>
      </c>
      <c r="CJL20" s="314" t="s">
        <v>203</v>
      </c>
      <c r="CJM20" s="314" t="s">
        <v>203</v>
      </c>
      <c r="CJN20" s="314" t="s">
        <v>203</v>
      </c>
      <c r="CJO20" s="314" t="s">
        <v>203</v>
      </c>
      <c r="CJP20" s="314" t="s">
        <v>203</v>
      </c>
      <c r="CJQ20" s="314" t="s">
        <v>203</v>
      </c>
      <c r="CJR20" s="314" t="s">
        <v>203</v>
      </c>
      <c r="CJS20" s="314" t="s">
        <v>203</v>
      </c>
      <c r="CJT20" s="314" t="s">
        <v>203</v>
      </c>
      <c r="CJU20" s="314" t="s">
        <v>203</v>
      </c>
      <c r="CJV20" s="314" t="s">
        <v>203</v>
      </c>
      <c r="CJW20" s="314" t="s">
        <v>203</v>
      </c>
      <c r="CJX20" s="314" t="s">
        <v>203</v>
      </c>
      <c r="CJY20" s="314" t="s">
        <v>203</v>
      </c>
      <c r="CJZ20" s="314" t="s">
        <v>203</v>
      </c>
      <c r="CKA20" s="314" t="s">
        <v>203</v>
      </c>
      <c r="CKB20" s="314" t="s">
        <v>203</v>
      </c>
      <c r="CKC20" s="314" t="s">
        <v>203</v>
      </c>
      <c r="CKD20" s="314" t="s">
        <v>203</v>
      </c>
      <c r="CKE20" s="314" t="s">
        <v>203</v>
      </c>
      <c r="CKF20" s="314" t="s">
        <v>203</v>
      </c>
      <c r="CKG20" s="314" t="s">
        <v>203</v>
      </c>
      <c r="CKH20" s="314" t="s">
        <v>203</v>
      </c>
      <c r="CKI20" s="314" t="s">
        <v>203</v>
      </c>
      <c r="CKJ20" s="314" t="s">
        <v>203</v>
      </c>
      <c r="CKK20" s="314" t="s">
        <v>203</v>
      </c>
      <c r="CKL20" s="314" t="s">
        <v>203</v>
      </c>
      <c r="CKM20" s="314" t="s">
        <v>203</v>
      </c>
      <c r="CKN20" s="314" t="s">
        <v>203</v>
      </c>
      <c r="CKO20" s="314" t="s">
        <v>203</v>
      </c>
      <c r="CKP20" s="314" t="s">
        <v>203</v>
      </c>
      <c r="CKQ20" s="314" t="s">
        <v>203</v>
      </c>
      <c r="CKR20" s="314" t="s">
        <v>203</v>
      </c>
      <c r="CKS20" s="314" t="s">
        <v>203</v>
      </c>
      <c r="CKT20" s="314" t="s">
        <v>203</v>
      </c>
      <c r="CKU20" s="314" t="s">
        <v>203</v>
      </c>
      <c r="CKV20" s="314" t="s">
        <v>203</v>
      </c>
      <c r="CKW20" s="314" t="s">
        <v>203</v>
      </c>
      <c r="CKX20" s="314" t="s">
        <v>203</v>
      </c>
      <c r="CKY20" s="314" t="s">
        <v>203</v>
      </c>
      <c r="CKZ20" s="314" t="s">
        <v>203</v>
      </c>
      <c r="CLA20" s="314" t="s">
        <v>203</v>
      </c>
      <c r="CLB20" s="314" t="s">
        <v>203</v>
      </c>
      <c r="CLC20" s="314" t="s">
        <v>203</v>
      </c>
      <c r="CLD20" s="314" t="s">
        <v>203</v>
      </c>
      <c r="CLE20" s="314" t="s">
        <v>203</v>
      </c>
      <c r="CLF20" s="314" t="s">
        <v>203</v>
      </c>
      <c r="CLG20" s="314" t="s">
        <v>203</v>
      </c>
      <c r="CLH20" s="314" t="s">
        <v>203</v>
      </c>
      <c r="CLI20" s="314" t="s">
        <v>203</v>
      </c>
      <c r="CLJ20" s="314" t="s">
        <v>203</v>
      </c>
      <c r="CLK20" s="314" t="s">
        <v>203</v>
      </c>
      <c r="CLL20" s="314" t="s">
        <v>203</v>
      </c>
      <c r="CLM20" s="314" t="s">
        <v>203</v>
      </c>
      <c r="CLN20" s="314" t="s">
        <v>203</v>
      </c>
      <c r="CLO20" s="314" t="s">
        <v>203</v>
      </c>
      <c r="CLP20" s="314" t="s">
        <v>203</v>
      </c>
      <c r="CLQ20" s="314" t="s">
        <v>203</v>
      </c>
      <c r="CLR20" s="314" t="s">
        <v>203</v>
      </c>
      <c r="CLS20" s="314" t="s">
        <v>203</v>
      </c>
      <c r="CLT20" s="314" t="s">
        <v>203</v>
      </c>
      <c r="CLU20" s="314" t="s">
        <v>203</v>
      </c>
      <c r="CLV20" s="314" t="s">
        <v>203</v>
      </c>
      <c r="CLW20" s="314" t="s">
        <v>203</v>
      </c>
      <c r="CLX20" s="314" t="s">
        <v>203</v>
      </c>
      <c r="CLY20" s="314" t="s">
        <v>203</v>
      </c>
      <c r="CLZ20" s="314" t="s">
        <v>203</v>
      </c>
      <c r="CMA20" s="314" t="s">
        <v>203</v>
      </c>
      <c r="CMB20" s="314" t="s">
        <v>203</v>
      </c>
      <c r="CMC20" s="314" t="s">
        <v>203</v>
      </c>
      <c r="CMD20" s="314" t="s">
        <v>203</v>
      </c>
      <c r="CME20" s="314" t="s">
        <v>203</v>
      </c>
      <c r="CMF20" s="314" t="s">
        <v>203</v>
      </c>
      <c r="CMG20" s="314" t="s">
        <v>203</v>
      </c>
      <c r="CMH20" s="314" t="s">
        <v>203</v>
      </c>
      <c r="CMI20" s="314" t="s">
        <v>203</v>
      </c>
      <c r="CMJ20" s="314" t="s">
        <v>203</v>
      </c>
      <c r="CMK20" s="314" t="s">
        <v>203</v>
      </c>
      <c r="CML20" s="314" t="s">
        <v>203</v>
      </c>
      <c r="CMM20" s="314" t="s">
        <v>203</v>
      </c>
      <c r="CMN20" s="314" t="s">
        <v>203</v>
      </c>
      <c r="CMO20" s="314" t="s">
        <v>203</v>
      </c>
      <c r="CMP20" s="314" t="s">
        <v>203</v>
      </c>
      <c r="CMQ20" s="314" t="s">
        <v>203</v>
      </c>
      <c r="CMR20" s="314" t="s">
        <v>203</v>
      </c>
      <c r="CMS20" s="314" t="s">
        <v>203</v>
      </c>
      <c r="CMT20" s="314" t="s">
        <v>203</v>
      </c>
      <c r="CMU20" s="314" t="s">
        <v>203</v>
      </c>
      <c r="CMV20" s="314" t="s">
        <v>203</v>
      </c>
      <c r="CMW20" s="314" t="s">
        <v>203</v>
      </c>
      <c r="CMX20" s="314" t="s">
        <v>203</v>
      </c>
      <c r="CMY20" s="314" t="s">
        <v>203</v>
      </c>
      <c r="CMZ20" s="314" t="s">
        <v>203</v>
      </c>
      <c r="CNA20" s="314" t="s">
        <v>203</v>
      </c>
      <c r="CNB20" s="314" t="s">
        <v>203</v>
      </c>
      <c r="CNC20" s="314" t="s">
        <v>203</v>
      </c>
      <c r="CND20" s="314" t="s">
        <v>203</v>
      </c>
      <c r="CNE20" s="314" t="s">
        <v>203</v>
      </c>
      <c r="CNF20" s="314" t="s">
        <v>203</v>
      </c>
      <c r="CNG20" s="314" t="s">
        <v>203</v>
      </c>
      <c r="CNH20" s="314" t="s">
        <v>203</v>
      </c>
      <c r="CNI20" s="314" t="s">
        <v>203</v>
      </c>
      <c r="CNJ20" s="314" t="s">
        <v>203</v>
      </c>
      <c r="CNK20" s="314" t="s">
        <v>203</v>
      </c>
      <c r="CNL20" s="314" t="s">
        <v>203</v>
      </c>
      <c r="CNM20" s="314" t="s">
        <v>203</v>
      </c>
      <c r="CNN20" s="314" t="s">
        <v>203</v>
      </c>
      <c r="CNO20" s="314" t="s">
        <v>203</v>
      </c>
      <c r="CNP20" s="314" t="s">
        <v>203</v>
      </c>
      <c r="CNQ20" s="314" t="s">
        <v>203</v>
      </c>
      <c r="CNR20" s="314" t="s">
        <v>203</v>
      </c>
      <c r="CNS20" s="314" t="s">
        <v>203</v>
      </c>
      <c r="CNT20" s="314" t="s">
        <v>203</v>
      </c>
      <c r="CNU20" s="314" t="s">
        <v>203</v>
      </c>
      <c r="CNV20" s="314" t="s">
        <v>203</v>
      </c>
      <c r="CNW20" s="314" t="s">
        <v>203</v>
      </c>
      <c r="CNX20" s="314" t="s">
        <v>203</v>
      </c>
      <c r="CNY20" s="314" t="s">
        <v>203</v>
      </c>
      <c r="CNZ20" s="314" t="s">
        <v>203</v>
      </c>
      <c r="COA20" s="314" t="s">
        <v>203</v>
      </c>
      <c r="COB20" s="314" t="s">
        <v>203</v>
      </c>
      <c r="COC20" s="314" t="s">
        <v>203</v>
      </c>
      <c r="COD20" s="314" t="s">
        <v>203</v>
      </c>
      <c r="COE20" s="314" t="s">
        <v>203</v>
      </c>
      <c r="COF20" s="314" t="s">
        <v>203</v>
      </c>
      <c r="COG20" s="314" t="s">
        <v>203</v>
      </c>
      <c r="COH20" s="314" t="s">
        <v>203</v>
      </c>
      <c r="COI20" s="314" t="s">
        <v>203</v>
      </c>
      <c r="COJ20" s="314" t="s">
        <v>203</v>
      </c>
      <c r="COK20" s="314" t="s">
        <v>203</v>
      </c>
      <c r="COL20" s="314" t="s">
        <v>203</v>
      </c>
      <c r="COM20" s="314" t="s">
        <v>203</v>
      </c>
      <c r="CON20" s="314" t="s">
        <v>203</v>
      </c>
      <c r="COO20" s="314" t="s">
        <v>203</v>
      </c>
      <c r="COP20" s="314" t="s">
        <v>203</v>
      </c>
      <c r="COQ20" s="314" t="s">
        <v>203</v>
      </c>
      <c r="COR20" s="314" t="s">
        <v>203</v>
      </c>
      <c r="COS20" s="314" t="s">
        <v>203</v>
      </c>
      <c r="COT20" s="314" t="s">
        <v>203</v>
      </c>
      <c r="COU20" s="314" t="s">
        <v>203</v>
      </c>
      <c r="COV20" s="314" t="s">
        <v>203</v>
      </c>
      <c r="COW20" s="314" t="s">
        <v>203</v>
      </c>
      <c r="COX20" s="314" t="s">
        <v>203</v>
      </c>
      <c r="COY20" s="314" t="s">
        <v>203</v>
      </c>
      <c r="COZ20" s="314" t="s">
        <v>203</v>
      </c>
      <c r="CPA20" s="314" t="s">
        <v>203</v>
      </c>
      <c r="CPB20" s="314" t="s">
        <v>203</v>
      </c>
      <c r="CPC20" s="314" t="s">
        <v>203</v>
      </c>
      <c r="CPD20" s="314" t="s">
        <v>203</v>
      </c>
      <c r="CPE20" s="314" t="s">
        <v>203</v>
      </c>
      <c r="CPF20" s="314" t="s">
        <v>203</v>
      </c>
      <c r="CPG20" s="314" t="s">
        <v>203</v>
      </c>
      <c r="CPH20" s="314" t="s">
        <v>203</v>
      </c>
      <c r="CPI20" s="314" t="s">
        <v>203</v>
      </c>
      <c r="CPJ20" s="314" t="s">
        <v>203</v>
      </c>
      <c r="CPK20" s="314" t="s">
        <v>203</v>
      </c>
      <c r="CPL20" s="314" t="s">
        <v>203</v>
      </c>
      <c r="CPM20" s="314" t="s">
        <v>203</v>
      </c>
      <c r="CPN20" s="314" t="s">
        <v>203</v>
      </c>
      <c r="CPO20" s="314" t="s">
        <v>203</v>
      </c>
      <c r="CPP20" s="314" t="s">
        <v>203</v>
      </c>
      <c r="CPQ20" s="314" t="s">
        <v>203</v>
      </c>
      <c r="CPR20" s="314" t="s">
        <v>203</v>
      </c>
      <c r="CPS20" s="314" t="s">
        <v>203</v>
      </c>
      <c r="CPT20" s="314" t="s">
        <v>203</v>
      </c>
      <c r="CPU20" s="314" t="s">
        <v>203</v>
      </c>
      <c r="CPV20" s="314" t="s">
        <v>203</v>
      </c>
      <c r="CPW20" s="314" t="s">
        <v>203</v>
      </c>
      <c r="CPX20" s="314" t="s">
        <v>203</v>
      </c>
      <c r="CPY20" s="314" t="s">
        <v>203</v>
      </c>
      <c r="CPZ20" s="314" t="s">
        <v>203</v>
      </c>
      <c r="CQA20" s="314" t="s">
        <v>203</v>
      </c>
      <c r="CQB20" s="314" t="s">
        <v>203</v>
      </c>
      <c r="CQC20" s="314" t="s">
        <v>203</v>
      </c>
      <c r="CQD20" s="314" t="s">
        <v>203</v>
      </c>
      <c r="CQE20" s="314" t="s">
        <v>203</v>
      </c>
      <c r="CQF20" s="314" t="s">
        <v>203</v>
      </c>
      <c r="CQG20" s="314" t="s">
        <v>203</v>
      </c>
      <c r="CQH20" s="314" t="s">
        <v>203</v>
      </c>
      <c r="CQI20" s="314" t="s">
        <v>203</v>
      </c>
      <c r="CQJ20" s="314" t="s">
        <v>203</v>
      </c>
      <c r="CQK20" s="314" t="s">
        <v>203</v>
      </c>
      <c r="CQL20" s="314" t="s">
        <v>203</v>
      </c>
      <c r="CQM20" s="314" t="s">
        <v>203</v>
      </c>
      <c r="CQN20" s="314" t="s">
        <v>203</v>
      </c>
      <c r="CQO20" s="314" t="s">
        <v>203</v>
      </c>
      <c r="CQP20" s="314" t="s">
        <v>203</v>
      </c>
      <c r="CQQ20" s="314" t="s">
        <v>203</v>
      </c>
      <c r="CQR20" s="314" t="s">
        <v>203</v>
      </c>
      <c r="CQS20" s="314" t="s">
        <v>203</v>
      </c>
      <c r="CQT20" s="314" t="s">
        <v>203</v>
      </c>
      <c r="CQU20" s="314" t="s">
        <v>203</v>
      </c>
      <c r="CQV20" s="314" t="s">
        <v>203</v>
      </c>
      <c r="CQW20" s="314" t="s">
        <v>203</v>
      </c>
      <c r="CQX20" s="314" t="s">
        <v>203</v>
      </c>
      <c r="CQY20" s="314" t="s">
        <v>203</v>
      </c>
      <c r="CQZ20" s="314" t="s">
        <v>203</v>
      </c>
      <c r="CRA20" s="314" t="s">
        <v>203</v>
      </c>
      <c r="CRB20" s="314" t="s">
        <v>203</v>
      </c>
      <c r="CRC20" s="314" t="s">
        <v>203</v>
      </c>
      <c r="CRD20" s="314" t="s">
        <v>203</v>
      </c>
      <c r="CRE20" s="314" t="s">
        <v>203</v>
      </c>
      <c r="CRF20" s="314" t="s">
        <v>203</v>
      </c>
      <c r="CRG20" s="314" t="s">
        <v>203</v>
      </c>
      <c r="CRH20" s="314" t="s">
        <v>203</v>
      </c>
      <c r="CRI20" s="314" t="s">
        <v>203</v>
      </c>
      <c r="CRJ20" s="314" t="s">
        <v>203</v>
      </c>
      <c r="CRK20" s="314" t="s">
        <v>203</v>
      </c>
      <c r="CRL20" s="314" t="s">
        <v>203</v>
      </c>
      <c r="CRM20" s="314" t="s">
        <v>203</v>
      </c>
      <c r="CRN20" s="314" t="s">
        <v>203</v>
      </c>
      <c r="CRO20" s="314" t="s">
        <v>203</v>
      </c>
      <c r="CRP20" s="314" t="s">
        <v>203</v>
      </c>
      <c r="CRQ20" s="314" t="s">
        <v>203</v>
      </c>
      <c r="CRR20" s="314" t="s">
        <v>203</v>
      </c>
      <c r="CRS20" s="314" t="s">
        <v>203</v>
      </c>
      <c r="CRT20" s="314" t="s">
        <v>203</v>
      </c>
      <c r="CRU20" s="314" t="s">
        <v>203</v>
      </c>
      <c r="CRV20" s="314" t="s">
        <v>203</v>
      </c>
      <c r="CRW20" s="314" t="s">
        <v>203</v>
      </c>
      <c r="CRX20" s="314" t="s">
        <v>203</v>
      </c>
      <c r="CRY20" s="314" t="s">
        <v>203</v>
      </c>
      <c r="CRZ20" s="314" t="s">
        <v>203</v>
      </c>
      <c r="CSA20" s="314" t="s">
        <v>203</v>
      </c>
      <c r="CSB20" s="314" t="s">
        <v>203</v>
      </c>
      <c r="CSC20" s="314" t="s">
        <v>203</v>
      </c>
      <c r="CSD20" s="314" t="s">
        <v>203</v>
      </c>
      <c r="CSE20" s="314" t="s">
        <v>203</v>
      </c>
      <c r="CSF20" s="314" t="s">
        <v>203</v>
      </c>
      <c r="CSG20" s="314" t="s">
        <v>203</v>
      </c>
      <c r="CSH20" s="314" t="s">
        <v>203</v>
      </c>
      <c r="CSI20" s="314" t="s">
        <v>203</v>
      </c>
      <c r="CSJ20" s="314" t="s">
        <v>203</v>
      </c>
      <c r="CSK20" s="314" t="s">
        <v>203</v>
      </c>
      <c r="CSL20" s="314" t="s">
        <v>203</v>
      </c>
      <c r="CSM20" s="314" t="s">
        <v>203</v>
      </c>
      <c r="CSN20" s="314" t="s">
        <v>203</v>
      </c>
      <c r="CSO20" s="314" t="s">
        <v>203</v>
      </c>
      <c r="CSP20" s="314" t="s">
        <v>203</v>
      </c>
      <c r="CSQ20" s="314" t="s">
        <v>203</v>
      </c>
      <c r="CSR20" s="314" t="s">
        <v>203</v>
      </c>
      <c r="CSS20" s="314" t="s">
        <v>203</v>
      </c>
      <c r="CST20" s="314" t="s">
        <v>203</v>
      </c>
      <c r="CSU20" s="314" t="s">
        <v>203</v>
      </c>
      <c r="CSV20" s="314" t="s">
        <v>203</v>
      </c>
      <c r="CSW20" s="314" t="s">
        <v>203</v>
      </c>
      <c r="CSX20" s="314" t="s">
        <v>203</v>
      </c>
      <c r="CSY20" s="314" t="s">
        <v>203</v>
      </c>
      <c r="CSZ20" s="314" t="s">
        <v>203</v>
      </c>
      <c r="CTA20" s="314" t="s">
        <v>203</v>
      </c>
      <c r="CTB20" s="314" t="s">
        <v>203</v>
      </c>
      <c r="CTC20" s="314" t="s">
        <v>203</v>
      </c>
      <c r="CTD20" s="314" t="s">
        <v>203</v>
      </c>
      <c r="CTE20" s="314" t="s">
        <v>203</v>
      </c>
      <c r="CTF20" s="314" t="s">
        <v>203</v>
      </c>
      <c r="CTG20" s="314" t="s">
        <v>203</v>
      </c>
      <c r="CTH20" s="314" t="s">
        <v>203</v>
      </c>
      <c r="CTI20" s="314" t="s">
        <v>203</v>
      </c>
      <c r="CTJ20" s="314" t="s">
        <v>203</v>
      </c>
      <c r="CTK20" s="314" t="s">
        <v>203</v>
      </c>
      <c r="CTL20" s="314" t="s">
        <v>203</v>
      </c>
      <c r="CTM20" s="314" t="s">
        <v>203</v>
      </c>
      <c r="CTN20" s="314" t="s">
        <v>203</v>
      </c>
      <c r="CTO20" s="314" t="s">
        <v>203</v>
      </c>
      <c r="CTP20" s="314" t="s">
        <v>203</v>
      </c>
      <c r="CTQ20" s="314" t="s">
        <v>203</v>
      </c>
      <c r="CTR20" s="314" t="s">
        <v>203</v>
      </c>
      <c r="CTS20" s="314" t="s">
        <v>203</v>
      </c>
      <c r="CTT20" s="314" t="s">
        <v>203</v>
      </c>
      <c r="CTU20" s="314" t="s">
        <v>203</v>
      </c>
      <c r="CTV20" s="314" t="s">
        <v>203</v>
      </c>
      <c r="CTW20" s="314" t="s">
        <v>203</v>
      </c>
      <c r="CTX20" s="314" t="s">
        <v>203</v>
      </c>
      <c r="CTY20" s="314" t="s">
        <v>203</v>
      </c>
      <c r="CTZ20" s="314" t="s">
        <v>203</v>
      </c>
      <c r="CUA20" s="314" t="s">
        <v>203</v>
      </c>
      <c r="CUB20" s="314" t="s">
        <v>203</v>
      </c>
      <c r="CUC20" s="314" t="s">
        <v>203</v>
      </c>
      <c r="CUD20" s="314" t="s">
        <v>203</v>
      </c>
      <c r="CUE20" s="314" t="s">
        <v>203</v>
      </c>
      <c r="CUF20" s="314" t="s">
        <v>203</v>
      </c>
      <c r="CUG20" s="314" t="s">
        <v>203</v>
      </c>
      <c r="CUH20" s="314" t="s">
        <v>203</v>
      </c>
      <c r="CUI20" s="314" t="s">
        <v>203</v>
      </c>
      <c r="CUJ20" s="314" t="s">
        <v>203</v>
      </c>
      <c r="CUK20" s="314" t="s">
        <v>203</v>
      </c>
      <c r="CUL20" s="314" t="s">
        <v>203</v>
      </c>
      <c r="CUM20" s="314" t="s">
        <v>203</v>
      </c>
      <c r="CUN20" s="314" t="s">
        <v>203</v>
      </c>
      <c r="CUO20" s="314" t="s">
        <v>203</v>
      </c>
      <c r="CUP20" s="314" t="s">
        <v>203</v>
      </c>
      <c r="CUQ20" s="314" t="s">
        <v>203</v>
      </c>
      <c r="CUR20" s="314" t="s">
        <v>203</v>
      </c>
      <c r="CUS20" s="314" t="s">
        <v>203</v>
      </c>
      <c r="CUT20" s="314" t="s">
        <v>203</v>
      </c>
      <c r="CUU20" s="314" t="s">
        <v>203</v>
      </c>
      <c r="CUV20" s="314" t="s">
        <v>203</v>
      </c>
      <c r="CUW20" s="314" t="s">
        <v>203</v>
      </c>
      <c r="CUX20" s="314" t="s">
        <v>203</v>
      </c>
      <c r="CUY20" s="314" t="s">
        <v>203</v>
      </c>
      <c r="CUZ20" s="314" t="s">
        <v>203</v>
      </c>
      <c r="CVA20" s="314" t="s">
        <v>203</v>
      </c>
      <c r="CVB20" s="314" t="s">
        <v>203</v>
      </c>
      <c r="CVC20" s="314" t="s">
        <v>203</v>
      </c>
      <c r="CVD20" s="314" t="s">
        <v>203</v>
      </c>
      <c r="CVE20" s="314" t="s">
        <v>203</v>
      </c>
      <c r="CVF20" s="314" t="s">
        <v>203</v>
      </c>
      <c r="CVG20" s="314" t="s">
        <v>203</v>
      </c>
      <c r="CVH20" s="314" t="s">
        <v>203</v>
      </c>
      <c r="CVI20" s="314" t="s">
        <v>203</v>
      </c>
      <c r="CVJ20" s="314" t="s">
        <v>203</v>
      </c>
      <c r="CVK20" s="314" t="s">
        <v>203</v>
      </c>
      <c r="CVL20" s="314" t="s">
        <v>203</v>
      </c>
      <c r="CVM20" s="314" t="s">
        <v>203</v>
      </c>
      <c r="CVN20" s="314" t="s">
        <v>203</v>
      </c>
      <c r="CVO20" s="314" t="s">
        <v>203</v>
      </c>
      <c r="CVP20" s="314" t="s">
        <v>203</v>
      </c>
      <c r="CVQ20" s="314" t="s">
        <v>203</v>
      </c>
      <c r="CVR20" s="314" t="s">
        <v>203</v>
      </c>
      <c r="CVS20" s="314" t="s">
        <v>203</v>
      </c>
      <c r="CVT20" s="314" t="s">
        <v>203</v>
      </c>
      <c r="CVU20" s="314" t="s">
        <v>203</v>
      </c>
      <c r="CVV20" s="314" t="s">
        <v>203</v>
      </c>
      <c r="CVW20" s="314" t="s">
        <v>203</v>
      </c>
      <c r="CVX20" s="314" t="s">
        <v>203</v>
      </c>
      <c r="CVY20" s="314" t="s">
        <v>203</v>
      </c>
      <c r="CVZ20" s="314" t="s">
        <v>203</v>
      </c>
      <c r="CWA20" s="314" t="s">
        <v>203</v>
      </c>
      <c r="CWB20" s="314" t="s">
        <v>203</v>
      </c>
      <c r="CWC20" s="314" t="s">
        <v>203</v>
      </c>
      <c r="CWD20" s="314" t="s">
        <v>203</v>
      </c>
      <c r="CWE20" s="314" t="s">
        <v>203</v>
      </c>
      <c r="CWF20" s="314" t="s">
        <v>203</v>
      </c>
      <c r="CWG20" s="314" t="s">
        <v>203</v>
      </c>
      <c r="CWH20" s="314" t="s">
        <v>203</v>
      </c>
      <c r="CWI20" s="314" t="s">
        <v>203</v>
      </c>
      <c r="CWJ20" s="314" t="s">
        <v>203</v>
      </c>
      <c r="CWK20" s="314" t="s">
        <v>203</v>
      </c>
      <c r="CWL20" s="314" t="s">
        <v>203</v>
      </c>
      <c r="CWM20" s="314" t="s">
        <v>203</v>
      </c>
      <c r="CWN20" s="314" t="s">
        <v>203</v>
      </c>
      <c r="CWO20" s="314" t="s">
        <v>203</v>
      </c>
      <c r="CWP20" s="314" t="s">
        <v>203</v>
      </c>
      <c r="CWQ20" s="314" t="s">
        <v>203</v>
      </c>
      <c r="CWR20" s="314" t="s">
        <v>203</v>
      </c>
      <c r="CWS20" s="314" t="s">
        <v>203</v>
      </c>
      <c r="CWT20" s="314" t="s">
        <v>203</v>
      </c>
      <c r="CWU20" s="314" t="s">
        <v>203</v>
      </c>
      <c r="CWV20" s="314" t="s">
        <v>203</v>
      </c>
      <c r="CWW20" s="314" t="s">
        <v>203</v>
      </c>
      <c r="CWX20" s="314" t="s">
        <v>203</v>
      </c>
      <c r="CWY20" s="314" t="s">
        <v>203</v>
      </c>
      <c r="CWZ20" s="314" t="s">
        <v>203</v>
      </c>
      <c r="CXA20" s="314" t="s">
        <v>203</v>
      </c>
      <c r="CXB20" s="314" t="s">
        <v>203</v>
      </c>
      <c r="CXC20" s="314" t="s">
        <v>203</v>
      </c>
      <c r="CXD20" s="314" t="s">
        <v>203</v>
      </c>
      <c r="CXE20" s="314" t="s">
        <v>203</v>
      </c>
      <c r="CXF20" s="314" t="s">
        <v>203</v>
      </c>
      <c r="CXG20" s="314" t="s">
        <v>203</v>
      </c>
      <c r="CXH20" s="314" t="s">
        <v>203</v>
      </c>
      <c r="CXI20" s="314" t="s">
        <v>203</v>
      </c>
      <c r="CXJ20" s="314" t="s">
        <v>203</v>
      </c>
      <c r="CXK20" s="314" t="s">
        <v>203</v>
      </c>
      <c r="CXL20" s="314" t="s">
        <v>203</v>
      </c>
      <c r="CXM20" s="314" t="s">
        <v>203</v>
      </c>
      <c r="CXN20" s="314" t="s">
        <v>203</v>
      </c>
      <c r="CXO20" s="314" t="s">
        <v>203</v>
      </c>
      <c r="CXP20" s="314" t="s">
        <v>203</v>
      </c>
      <c r="CXQ20" s="314" t="s">
        <v>203</v>
      </c>
      <c r="CXR20" s="314" t="s">
        <v>203</v>
      </c>
      <c r="CXS20" s="314" t="s">
        <v>203</v>
      </c>
      <c r="CXT20" s="314" t="s">
        <v>203</v>
      </c>
      <c r="CXU20" s="314" t="s">
        <v>203</v>
      </c>
      <c r="CXV20" s="314" t="s">
        <v>203</v>
      </c>
      <c r="CXW20" s="314" t="s">
        <v>203</v>
      </c>
      <c r="CXX20" s="314" t="s">
        <v>203</v>
      </c>
      <c r="CXY20" s="314" t="s">
        <v>203</v>
      </c>
      <c r="CXZ20" s="314" t="s">
        <v>203</v>
      </c>
      <c r="CYA20" s="314" t="s">
        <v>203</v>
      </c>
      <c r="CYB20" s="314" t="s">
        <v>203</v>
      </c>
      <c r="CYC20" s="314" t="s">
        <v>203</v>
      </c>
      <c r="CYD20" s="314" t="s">
        <v>203</v>
      </c>
      <c r="CYE20" s="314" t="s">
        <v>203</v>
      </c>
      <c r="CYF20" s="314" t="s">
        <v>203</v>
      </c>
      <c r="CYG20" s="314" t="s">
        <v>203</v>
      </c>
      <c r="CYH20" s="314" t="s">
        <v>203</v>
      </c>
      <c r="CYI20" s="314" t="s">
        <v>203</v>
      </c>
      <c r="CYJ20" s="314" t="s">
        <v>203</v>
      </c>
      <c r="CYK20" s="314" t="s">
        <v>203</v>
      </c>
      <c r="CYL20" s="314" t="s">
        <v>203</v>
      </c>
      <c r="CYM20" s="314" t="s">
        <v>203</v>
      </c>
      <c r="CYN20" s="314" t="s">
        <v>203</v>
      </c>
      <c r="CYO20" s="314" t="s">
        <v>203</v>
      </c>
      <c r="CYP20" s="314" t="s">
        <v>203</v>
      </c>
      <c r="CYQ20" s="314" t="s">
        <v>203</v>
      </c>
      <c r="CYR20" s="314" t="s">
        <v>203</v>
      </c>
      <c r="CYS20" s="314" t="s">
        <v>203</v>
      </c>
      <c r="CYT20" s="314" t="s">
        <v>203</v>
      </c>
      <c r="CYU20" s="314" t="s">
        <v>203</v>
      </c>
      <c r="CYV20" s="314" t="s">
        <v>203</v>
      </c>
      <c r="CYW20" s="314" t="s">
        <v>203</v>
      </c>
      <c r="CYX20" s="314" t="s">
        <v>203</v>
      </c>
      <c r="CYY20" s="314" t="s">
        <v>203</v>
      </c>
      <c r="CYZ20" s="314" t="s">
        <v>203</v>
      </c>
      <c r="CZA20" s="314" t="s">
        <v>203</v>
      </c>
      <c r="CZB20" s="314" t="s">
        <v>203</v>
      </c>
      <c r="CZC20" s="314" t="s">
        <v>203</v>
      </c>
      <c r="CZD20" s="314" t="s">
        <v>203</v>
      </c>
      <c r="CZE20" s="314" t="s">
        <v>203</v>
      </c>
      <c r="CZF20" s="314" t="s">
        <v>203</v>
      </c>
      <c r="CZG20" s="314" t="s">
        <v>203</v>
      </c>
      <c r="CZH20" s="314" t="s">
        <v>203</v>
      </c>
      <c r="CZI20" s="314" t="s">
        <v>203</v>
      </c>
      <c r="CZJ20" s="314" t="s">
        <v>203</v>
      </c>
      <c r="CZK20" s="314" t="s">
        <v>203</v>
      </c>
      <c r="CZL20" s="314" t="s">
        <v>203</v>
      </c>
      <c r="CZM20" s="314" t="s">
        <v>203</v>
      </c>
      <c r="CZN20" s="314" t="s">
        <v>203</v>
      </c>
      <c r="CZO20" s="314" t="s">
        <v>203</v>
      </c>
      <c r="CZP20" s="314" t="s">
        <v>203</v>
      </c>
      <c r="CZQ20" s="314" t="s">
        <v>203</v>
      </c>
      <c r="CZR20" s="314" t="s">
        <v>203</v>
      </c>
      <c r="CZS20" s="314" t="s">
        <v>203</v>
      </c>
      <c r="CZT20" s="314" t="s">
        <v>203</v>
      </c>
      <c r="CZU20" s="314" t="s">
        <v>203</v>
      </c>
      <c r="CZV20" s="314" t="s">
        <v>203</v>
      </c>
      <c r="CZW20" s="314" t="s">
        <v>203</v>
      </c>
      <c r="CZX20" s="314" t="s">
        <v>203</v>
      </c>
      <c r="CZY20" s="314" t="s">
        <v>203</v>
      </c>
      <c r="CZZ20" s="314" t="s">
        <v>203</v>
      </c>
      <c r="DAA20" s="314" t="s">
        <v>203</v>
      </c>
      <c r="DAB20" s="314" t="s">
        <v>203</v>
      </c>
      <c r="DAC20" s="314" t="s">
        <v>203</v>
      </c>
      <c r="DAD20" s="314" t="s">
        <v>203</v>
      </c>
      <c r="DAE20" s="314" t="s">
        <v>203</v>
      </c>
      <c r="DAF20" s="314" t="s">
        <v>203</v>
      </c>
      <c r="DAG20" s="314" t="s">
        <v>203</v>
      </c>
      <c r="DAH20" s="314" t="s">
        <v>203</v>
      </c>
      <c r="DAI20" s="314" t="s">
        <v>203</v>
      </c>
      <c r="DAJ20" s="314" t="s">
        <v>203</v>
      </c>
      <c r="DAK20" s="314" t="s">
        <v>203</v>
      </c>
      <c r="DAL20" s="314" t="s">
        <v>203</v>
      </c>
      <c r="DAM20" s="314" t="s">
        <v>203</v>
      </c>
      <c r="DAN20" s="314" t="s">
        <v>203</v>
      </c>
      <c r="DAO20" s="314" t="s">
        <v>203</v>
      </c>
      <c r="DAP20" s="314" t="s">
        <v>203</v>
      </c>
      <c r="DAQ20" s="314" t="s">
        <v>203</v>
      </c>
      <c r="DAR20" s="314" t="s">
        <v>203</v>
      </c>
      <c r="DAS20" s="314" t="s">
        <v>203</v>
      </c>
      <c r="DAT20" s="314" t="s">
        <v>203</v>
      </c>
      <c r="DAU20" s="314" t="s">
        <v>203</v>
      </c>
      <c r="DAV20" s="314" t="s">
        <v>203</v>
      </c>
      <c r="DAW20" s="314" t="s">
        <v>203</v>
      </c>
      <c r="DAX20" s="314" t="s">
        <v>203</v>
      </c>
      <c r="DAY20" s="314" t="s">
        <v>203</v>
      </c>
      <c r="DAZ20" s="314" t="s">
        <v>203</v>
      </c>
      <c r="DBA20" s="314" t="s">
        <v>203</v>
      </c>
      <c r="DBB20" s="314" t="s">
        <v>203</v>
      </c>
      <c r="DBC20" s="314" t="s">
        <v>203</v>
      </c>
      <c r="DBD20" s="314" t="s">
        <v>203</v>
      </c>
      <c r="DBE20" s="314" t="s">
        <v>203</v>
      </c>
      <c r="DBF20" s="314" t="s">
        <v>203</v>
      </c>
      <c r="DBG20" s="314" t="s">
        <v>203</v>
      </c>
      <c r="DBH20" s="314" t="s">
        <v>203</v>
      </c>
      <c r="DBI20" s="314" t="s">
        <v>203</v>
      </c>
      <c r="DBJ20" s="314" t="s">
        <v>203</v>
      </c>
      <c r="DBK20" s="314" t="s">
        <v>203</v>
      </c>
      <c r="DBL20" s="314" t="s">
        <v>203</v>
      </c>
      <c r="DBM20" s="314" t="s">
        <v>203</v>
      </c>
      <c r="DBN20" s="314" t="s">
        <v>203</v>
      </c>
      <c r="DBO20" s="314" t="s">
        <v>203</v>
      </c>
      <c r="DBP20" s="314" t="s">
        <v>203</v>
      </c>
      <c r="DBQ20" s="314" t="s">
        <v>203</v>
      </c>
      <c r="DBR20" s="314" t="s">
        <v>203</v>
      </c>
      <c r="DBS20" s="314" t="s">
        <v>203</v>
      </c>
      <c r="DBT20" s="314" t="s">
        <v>203</v>
      </c>
      <c r="DBU20" s="314" t="s">
        <v>203</v>
      </c>
      <c r="DBV20" s="314" t="s">
        <v>203</v>
      </c>
      <c r="DBW20" s="314" t="s">
        <v>203</v>
      </c>
      <c r="DBX20" s="314" t="s">
        <v>203</v>
      </c>
      <c r="DBY20" s="314" t="s">
        <v>203</v>
      </c>
      <c r="DBZ20" s="314" t="s">
        <v>203</v>
      </c>
      <c r="DCA20" s="314" t="s">
        <v>203</v>
      </c>
      <c r="DCB20" s="314" t="s">
        <v>203</v>
      </c>
      <c r="DCC20" s="314" t="s">
        <v>203</v>
      </c>
      <c r="DCD20" s="314" t="s">
        <v>203</v>
      </c>
      <c r="DCE20" s="314" t="s">
        <v>203</v>
      </c>
      <c r="DCF20" s="314" t="s">
        <v>203</v>
      </c>
      <c r="DCG20" s="314" t="s">
        <v>203</v>
      </c>
      <c r="DCH20" s="314" t="s">
        <v>203</v>
      </c>
      <c r="DCI20" s="314" t="s">
        <v>203</v>
      </c>
      <c r="DCJ20" s="314" t="s">
        <v>203</v>
      </c>
      <c r="DCK20" s="314" t="s">
        <v>203</v>
      </c>
      <c r="DCL20" s="314" t="s">
        <v>203</v>
      </c>
      <c r="DCM20" s="314" t="s">
        <v>203</v>
      </c>
      <c r="DCN20" s="314" t="s">
        <v>203</v>
      </c>
      <c r="DCO20" s="314" t="s">
        <v>203</v>
      </c>
      <c r="DCP20" s="314" t="s">
        <v>203</v>
      </c>
      <c r="DCQ20" s="314" t="s">
        <v>203</v>
      </c>
      <c r="DCR20" s="314" t="s">
        <v>203</v>
      </c>
      <c r="DCS20" s="314" t="s">
        <v>203</v>
      </c>
      <c r="DCT20" s="314" t="s">
        <v>203</v>
      </c>
      <c r="DCU20" s="314" t="s">
        <v>203</v>
      </c>
      <c r="DCV20" s="314" t="s">
        <v>203</v>
      </c>
      <c r="DCW20" s="314" t="s">
        <v>203</v>
      </c>
      <c r="DCX20" s="314" t="s">
        <v>203</v>
      </c>
      <c r="DCY20" s="314" t="s">
        <v>203</v>
      </c>
      <c r="DCZ20" s="314" t="s">
        <v>203</v>
      </c>
      <c r="DDA20" s="314" t="s">
        <v>203</v>
      </c>
      <c r="DDB20" s="314" t="s">
        <v>203</v>
      </c>
      <c r="DDC20" s="314" t="s">
        <v>203</v>
      </c>
      <c r="DDD20" s="314" t="s">
        <v>203</v>
      </c>
      <c r="DDE20" s="314" t="s">
        <v>203</v>
      </c>
      <c r="DDF20" s="314" t="s">
        <v>203</v>
      </c>
      <c r="DDG20" s="314" t="s">
        <v>203</v>
      </c>
      <c r="DDH20" s="314" t="s">
        <v>203</v>
      </c>
      <c r="DDI20" s="314" t="s">
        <v>203</v>
      </c>
      <c r="DDJ20" s="314" t="s">
        <v>203</v>
      </c>
      <c r="DDK20" s="314" t="s">
        <v>203</v>
      </c>
      <c r="DDL20" s="314" t="s">
        <v>203</v>
      </c>
      <c r="DDM20" s="314" t="s">
        <v>203</v>
      </c>
      <c r="DDN20" s="314" t="s">
        <v>203</v>
      </c>
      <c r="DDO20" s="314" t="s">
        <v>203</v>
      </c>
      <c r="DDP20" s="314" t="s">
        <v>203</v>
      </c>
      <c r="DDQ20" s="314" t="s">
        <v>203</v>
      </c>
      <c r="DDR20" s="314" t="s">
        <v>203</v>
      </c>
      <c r="DDS20" s="314" t="s">
        <v>203</v>
      </c>
      <c r="DDT20" s="314" t="s">
        <v>203</v>
      </c>
      <c r="DDU20" s="314" t="s">
        <v>203</v>
      </c>
      <c r="DDV20" s="314" t="s">
        <v>203</v>
      </c>
      <c r="DDW20" s="314" t="s">
        <v>203</v>
      </c>
      <c r="DDX20" s="314" t="s">
        <v>203</v>
      </c>
      <c r="DDY20" s="314" t="s">
        <v>203</v>
      </c>
      <c r="DDZ20" s="314" t="s">
        <v>203</v>
      </c>
      <c r="DEA20" s="314" t="s">
        <v>203</v>
      </c>
      <c r="DEB20" s="314" t="s">
        <v>203</v>
      </c>
      <c r="DEC20" s="314" t="s">
        <v>203</v>
      </c>
      <c r="DED20" s="314" t="s">
        <v>203</v>
      </c>
      <c r="DEE20" s="314" t="s">
        <v>203</v>
      </c>
      <c r="DEF20" s="314" t="s">
        <v>203</v>
      </c>
      <c r="DEG20" s="314" t="s">
        <v>203</v>
      </c>
      <c r="DEH20" s="314" t="s">
        <v>203</v>
      </c>
      <c r="DEI20" s="314" t="s">
        <v>203</v>
      </c>
      <c r="DEJ20" s="314" t="s">
        <v>203</v>
      </c>
      <c r="DEK20" s="314" t="s">
        <v>203</v>
      </c>
      <c r="DEL20" s="314" t="s">
        <v>203</v>
      </c>
      <c r="DEM20" s="314" t="s">
        <v>203</v>
      </c>
      <c r="DEN20" s="314" t="s">
        <v>203</v>
      </c>
      <c r="DEO20" s="314" t="s">
        <v>203</v>
      </c>
      <c r="DEP20" s="314" t="s">
        <v>203</v>
      </c>
      <c r="DEQ20" s="314" t="s">
        <v>203</v>
      </c>
      <c r="DER20" s="314" t="s">
        <v>203</v>
      </c>
      <c r="DES20" s="314" t="s">
        <v>203</v>
      </c>
      <c r="DET20" s="314" t="s">
        <v>203</v>
      </c>
      <c r="DEU20" s="314" t="s">
        <v>203</v>
      </c>
      <c r="DEV20" s="314" t="s">
        <v>203</v>
      </c>
      <c r="DEW20" s="314" t="s">
        <v>203</v>
      </c>
      <c r="DEX20" s="314" t="s">
        <v>203</v>
      </c>
      <c r="DEY20" s="314" t="s">
        <v>203</v>
      </c>
      <c r="DEZ20" s="314" t="s">
        <v>203</v>
      </c>
      <c r="DFA20" s="314" t="s">
        <v>203</v>
      </c>
      <c r="DFB20" s="314" t="s">
        <v>203</v>
      </c>
      <c r="DFC20" s="314" t="s">
        <v>203</v>
      </c>
      <c r="DFD20" s="314" t="s">
        <v>203</v>
      </c>
      <c r="DFE20" s="314" t="s">
        <v>203</v>
      </c>
      <c r="DFF20" s="314" t="s">
        <v>203</v>
      </c>
      <c r="DFG20" s="314" t="s">
        <v>203</v>
      </c>
      <c r="DFH20" s="314" t="s">
        <v>203</v>
      </c>
      <c r="DFI20" s="314" t="s">
        <v>203</v>
      </c>
      <c r="DFJ20" s="314" t="s">
        <v>203</v>
      </c>
      <c r="DFK20" s="314" t="s">
        <v>203</v>
      </c>
      <c r="DFL20" s="314" t="s">
        <v>203</v>
      </c>
      <c r="DFM20" s="314" t="s">
        <v>203</v>
      </c>
      <c r="DFN20" s="314" t="s">
        <v>203</v>
      </c>
      <c r="DFO20" s="314" t="s">
        <v>203</v>
      </c>
      <c r="DFP20" s="314" t="s">
        <v>203</v>
      </c>
      <c r="DFQ20" s="314" t="s">
        <v>203</v>
      </c>
      <c r="DFR20" s="314" t="s">
        <v>203</v>
      </c>
      <c r="DFS20" s="314" t="s">
        <v>203</v>
      </c>
      <c r="DFT20" s="314" t="s">
        <v>203</v>
      </c>
      <c r="DFU20" s="314" t="s">
        <v>203</v>
      </c>
      <c r="DFV20" s="314" t="s">
        <v>203</v>
      </c>
      <c r="DFW20" s="314" t="s">
        <v>203</v>
      </c>
      <c r="DFX20" s="314" t="s">
        <v>203</v>
      </c>
      <c r="DFY20" s="314" t="s">
        <v>203</v>
      </c>
      <c r="DFZ20" s="314" t="s">
        <v>203</v>
      </c>
      <c r="DGA20" s="314" t="s">
        <v>203</v>
      </c>
      <c r="DGB20" s="314" t="s">
        <v>203</v>
      </c>
      <c r="DGC20" s="314" t="s">
        <v>203</v>
      </c>
      <c r="DGD20" s="314" t="s">
        <v>203</v>
      </c>
      <c r="DGE20" s="314" t="s">
        <v>203</v>
      </c>
      <c r="DGF20" s="314" t="s">
        <v>203</v>
      </c>
      <c r="DGG20" s="314" t="s">
        <v>203</v>
      </c>
      <c r="DGH20" s="314" t="s">
        <v>203</v>
      </c>
      <c r="DGI20" s="314" t="s">
        <v>203</v>
      </c>
      <c r="DGJ20" s="314" t="s">
        <v>203</v>
      </c>
      <c r="DGK20" s="314" t="s">
        <v>203</v>
      </c>
      <c r="DGL20" s="314" t="s">
        <v>203</v>
      </c>
      <c r="DGM20" s="314" t="s">
        <v>203</v>
      </c>
      <c r="DGN20" s="314" t="s">
        <v>203</v>
      </c>
      <c r="DGO20" s="314" t="s">
        <v>203</v>
      </c>
      <c r="DGP20" s="314" t="s">
        <v>203</v>
      </c>
      <c r="DGQ20" s="314" t="s">
        <v>203</v>
      </c>
      <c r="DGR20" s="314" t="s">
        <v>203</v>
      </c>
      <c r="DGS20" s="314" t="s">
        <v>203</v>
      </c>
      <c r="DGT20" s="314" t="s">
        <v>203</v>
      </c>
      <c r="DGU20" s="314" t="s">
        <v>203</v>
      </c>
      <c r="DGV20" s="314" t="s">
        <v>203</v>
      </c>
      <c r="DGW20" s="314" t="s">
        <v>203</v>
      </c>
      <c r="DGX20" s="314" t="s">
        <v>203</v>
      </c>
      <c r="DGY20" s="314" t="s">
        <v>203</v>
      </c>
      <c r="DGZ20" s="314" t="s">
        <v>203</v>
      </c>
      <c r="DHA20" s="314" t="s">
        <v>203</v>
      </c>
      <c r="DHB20" s="314" t="s">
        <v>203</v>
      </c>
      <c r="DHC20" s="314" t="s">
        <v>203</v>
      </c>
      <c r="DHD20" s="314" t="s">
        <v>203</v>
      </c>
      <c r="DHE20" s="314" t="s">
        <v>203</v>
      </c>
      <c r="DHF20" s="314" t="s">
        <v>203</v>
      </c>
      <c r="DHG20" s="314" t="s">
        <v>203</v>
      </c>
      <c r="DHH20" s="314" t="s">
        <v>203</v>
      </c>
      <c r="DHI20" s="314" t="s">
        <v>203</v>
      </c>
      <c r="DHJ20" s="314" t="s">
        <v>203</v>
      </c>
      <c r="DHK20" s="314" t="s">
        <v>203</v>
      </c>
      <c r="DHL20" s="314" t="s">
        <v>203</v>
      </c>
      <c r="DHM20" s="314" t="s">
        <v>203</v>
      </c>
      <c r="DHN20" s="314" t="s">
        <v>203</v>
      </c>
      <c r="DHO20" s="314" t="s">
        <v>203</v>
      </c>
      <c r="DHP20" s="314" t="s">
        <v>203</v>
      </c>
      <c r="DHQ20" s="314" t="s">
        <v>203</v>
      </c>
      <c r="DHR20" s="314" t="s">
        <v>203</v>
      </c>
      <c r="DHS20" s="314" t="s">
        <v>203</v>
      </c>
      <c r="DHT20" s="314" t="s">
        <v>203</v>
      </c>
      <c r="DHU20" s="314" t="s">
        <v>203</v>
      </c>
      <c r="DHV20" s="314" t="s">
        <v>203</v>
      </c>
      <c r="DHW20" s="314" t="s">
        <v>203</v>
      </c>
      <c r="DHX20" s="314" t="s">
        <v>203</v>
      </c>
      <c r="DHY20" s="314" t="s">
        <v>203</v>
      </c>
      <c r="DHZ20" s="314" t="s">
        <v>203</v>
      </c>
      <c r="DIA20" s="314" t="s">
        <v>203</v>
      </c>
      <c r="DIB20" s="314" t="s">
        <v>203</v>
      </c>
      <c r="DIC20" s="314" t="s">
        <v>203</v>
      </c>
      <c r="DID20" s="314" t="s">
        <v>203</v>
      </c>
      <c r="DIE20" s="314" t="s">
        <v>203</v>
      </c>
      <c r="DIF20" s="314" t="s">
        <v>203</v>
      </c>
      <c r="DIG20" s="314" t="s">
        <v>203</v>
      </c>
      <c r="DIH20" s="314" t="s">
        <v>203</v>
      </c>
      <c r="DII20" s="314" t="s">
        <v>203</v>
      </c>
      <c r="DIJ20" s="314" t="s">
        <v>203</v>
      </c>
      <c r="DIK20" s="314" t="s">
        <v>203</v>
      </c>
      <c r="DIL20" s="314" t="s">
        <v>203</v>
      </c>
      <c r="DIM20" s="314" t="s">
        <v>203</v>
      </c>
      <c r="DIN20" s="314" t="s">
        <v>203</v>
      </c>
      <c r="DIO20" s="314" t="s">
        <v>203</v>
      </c>
      <c r="DIP20" s="314" t="s">
        <v>203</v>
      </c>
      <c r="DIQ20" s="314" t="s">
        <v>203</v>
      </c>
      <c r="DIR20" s="314" t="s">
        <v>203</v>
      </c>
      <c r="DIS20" s="314" t="s">
        <v>203</v>
      </c>
      <c r="DIT20" s="314" t="s">
        <v>203</v>
      </c>
      <c r="DIU20" s="314" t="s">
        <v>203</v>
      </c>
      <c r="DIV20" s="314" t="s">
        <v>203</v>
      </c>
      <c r="DIW20" s="314" t="s">
        <v>203</v>
      </c>
      <c r="DIX20" s="314" t="s">
        <v>203</v>
      </c>
      <c r="DIY20" s="314" t="s">
        <v>203</v>
      </c>
      <c r="DIZ20" s="314" t="s">
        <v>203</v>
      </c>
      <c r="DJA20" s="314" t="s">
        <v>203</v>
      </c>
      <c r="DJB20" s="314" t="s">
        <v>203</v>
      </c>
      <c r="DJC20" s="314" t="s">
        <v>203</v>
      </c>
      <c r="DJD20" s="314" t="s">
        <v>203</v>
      </c>
      <c r="DJE20" s="314" t="s">
        <v>203</v>
      </c>
      <c r="DJF20" s="314" t="s">
        <v>203</v>
      </c>
      <c r="DJG20" s="314" t="s">
        <v>203</v>
      </c>
      <c r="DJH20" s="314" t="s">
        <v>203</v>
      </c>
      <c r="DJI20" s="314" t="s">
        <v>203</v>
      </c>
      <c r="DJJ20" s="314" t="s">
        <v>203</v>
      </c>
      <c r="DJK20" s="314" t="s">
        <v>203</v>
      </c>
      <c r="DJL20" s="314" t="s">
        <v>203</v>
      </c>
      <c r="DJM20" s="314" t="s">
        <v>203</v>
      </c>
      <c r="DJN20" s="314" t="s">
        <v>203</v>
      </c>
      <c r="DJO20" s="314" t="s">
        <v>203</v>
      </c>
      <c r="DJP20" s="314" t="s">
        <v>203</v>
      </c>
      <c r="DJQ20" s="314" t="s">
        <v>203</v>
      </c>
      <c r="DJR20" s="314" t="s">
        <v>203</v>
      </c>
      <c r="DJS20" s="314" t="s">
        <v>203</v>
      </c>
      <c r="DJT20" s="314" t="s">
        <v>203</v>
      </c>
      <c r="DJU20" s="314" t="s">
        <v>203</v>
      </c>
      <c r="DJV20" s="314" t="s">
        <v>203</v>
      </c>
      <c r="DJW20" s="314" t="s">
        <v>203</v>
      </c>
      <c r="DJX20" s="314" t="s">
        <v>203</v>
      </c>
      <c r="DJY20" s="314" t="s">
        <v>203</v>
      </c>
      <c r="DJZ20" s="314" t="s">
        <v>203</v>
      </c>
      <c r="DKA20" s="314" t="s">
        <v>203</v>
      </c>
      <c r="DKB20" s="314" t="s">
        <v>203</v>
      </c>
      <c r="DKC20" s="314" t="s">
        <v>203</v>
      </c>
      <c r="DKD20" s="314" t="s">
        <v>203</v>
      </c>
      <c r="DKE20" s="314" t="s">
        <v>203</v>
      </c>
      <c r="DKF20" s="314" t="s">
        <v>203</v>
      </c>
      <c r="DKG20" s="314" t="s">
        <v>203</v>
      </c>
      <c r="DKH20" s="314" t="s">
        <v>203</v>
      </c>
      <c r="DKI20" s="314" t="s">
        <v>203</v>
      </c>
      <c r="DKJ20" s="314" t="s">
        <v>203</v>
      </c>
      <c r="DKK20" s="314" t="s">
        <v>203</v>
      </c>
      <c r="DKL20" s="314" t="s">
        <v>203</v>
      </c>
      <c r="DKM20" s="314" t="s">
        <v>203</v>
      </c>
      <c r="DKN20" s="314" t="s">
        <v>203</v>
      </c>
      <c r="DKO20" s="314" t="s">
        <v>203</v>
      </c>
      <c r="DKP20" s="314" t="s">
        <v>203</v>
      </c>
      <c r="DKQ20" s="314" t="s">
        <v>203</v>
      </c>
      <c r="DKR20" s="314" t="s">
        <v>203</v>
      </c>
      <c r="DKS20" s="314" t="s">
        <v>203</v>
      </c>
      <c r="DKT20" s="314" t="s">
        <v>203</v>
      </c>
      <c r="DKU20" s="314" t="s">
        <v>203</v>
      </c>
      <c r="DKV20" s="314" t="s">
        <v>203</v>
      </c>
      <c r="DKW20" s="314" t="s">
        <v>203</v>
      </c>
      <c r="DKX20" s="314" t="s">
        <v>203</v>
      </c>
      <c r="DKY20" s="314" t="s">
        <v>203</v>
      </c>
      <c r="DKZ20" s="314" t="s">
        <v>203</v>
      </c>
      <c r="DLA20" s="314" t="s">
        <v>203</v>
      </c>
      <c r="DLB20" s="314" t="s">
        <v>203</v>
      </c>
      <c r="DLC20" s="314" t="s">
        <v>203</v>
      </c>
      <c r="DLD20" s="314" t="s">
        <v>203</v>
      </c>
      <c r="DLE20" s="314" t="s">
        <v>203</v>
      </c>
      <c r="DLF20" s="314" t="s">
        <v>203</v>
      </c>
      <c r="DLG20" s="314" t="s">
        <v>203</v>
      </c>
      <c r="DLH20" s="314" t="s">
        <v>203</v>
      </c>
      <c r="DLI20" s="314" t="s">
        <v>203</v>
      </c>
      <c r="DLJ20" s="314" t="s">
        <v>203</v>
      </c>
      <c r="DLK20" s="314" t="s">
        <v>203</v>
      </c>
      <c r="DLL20" s="314" t="s">
        <v>203</v>
      </c>
      <c r="DLM20" s="314" t="s">
        <v>203</v>
      </c>
      <c r="DLN20" s="314" t="s">
        <v>203</v>
      </c>
      <c r="DLO20" s="314" t="s">
        <v>203</v>
      </c>
      <c r="DLP20" s="314" t="s">
        <v>203</v>
      </c>
      <c r="DLQ20" s="314" t="s">
        <v>203</v>
      </c>
      <c r="DLR20" s="314" t="s">
        <v>203</v>
      </c>
      <c r="DLS20" s="314" t="s">
        <v>203</v>
      </c>
      <c r="DLT20" s="314" t="s">
        <v>203</v>
      </c>
      <c r="DLU20" s="314" t="s">
        <v>203</v>
      </c>
      <c r="DLV20" s="314" t="s">
        <v>203</v>
      </c>
      <c r="DLW20" s="314" t="s">
        <v>203</v>
      </c>
      <c r="DLX20" s="314" t="s">
        <v>203</v>
      </c>
      <c r="DLY20" s="314" t="s">
        <v>203</v>
      </c>
      <c r="DLZ20" s="314" t="s">
        <v>203</v>
      </c>
      <c r="DMA20" s="314" t="s">
        <v>203</v>
      </c>
      <c r="DMB20" s="314" t="s">
        <v>203</v>
      </c>
      <c r="DMC20" s="314" t="s">
        <v>203</v>
      </c>
      <c r="DMD20" s="314" t="s">
        <v>203</v>
      </c>
      <c r="DME20" s="314" t="s">
        <v>203</v>
      </c>
      <c r="DMF20" s="314" t="s">
        <v>203</v>
      </c>
      <c r="DMG20" s="314" t="s">
        <v>203</v>
      </c>
      <c r="DMH20" s="314" t="s">
        <v>203</v>
      </c>
      <c r="DMI20" s="314" t="s">
        <v>203</v>
      </c>
      <c r="DMJ20" s="314" t="s">
        <v>203</v>
      </c>
      <c r="DMK20" s="314" t="s">
        <v>203</v>
      </c>
      <c r="DML20" s="314" t="s">
        <v>203</v>
      </c>
      <c r="DMM20" s="314" t="s">
        <v>203</v>
      </c>
      <c r="DMN20" s="314" t="s">
        <v>203</v>
      </c>
      <c r="DMO20" s="314" t="s">
        <v>203</v>
      </c>
      <c r="DMP20" s="314" t="s">
        <v>203</v>
      </c>
      <c r="DMQ20" s="314" t="s">
        <v>203</v>
      </c>
      <c r="DMR20" s="314" t="s">
        <v>203</v>
      </c>
      <c r="DMS20" s="314" t="s">
        <v>203</v>
      </c>
      <c r="DMT20" s="314" t="s">
        <v>203</v>
      </c>
      <c r="DMU20" s="314" t="s">
        <v>203</v>
      </c>
      <c r="DMV20" s="314" t="s">
        <v>203</v>
      </c>
      <c r="DMW20" s="314" t="s">
        <v>203</v>
      </c>
      <c r="DMX20" s="314" t="s">
        <v>203</v>
      </c>
      <c r="DMY20" s="314" t="s">
        <v>203</v>
      </c>
      <c r="DMZ20" s="314" t="s">
        <v>203</v>
      </c>
      <c r="DNA20" s="314" t="s">
        <v>203</v>
      </c>
      <c r="DNB20" s="314" t="s">
        <v>203</v>
      </c>
      <c r="DNC20" s="314" t="s">
        <v>203</v>
      </c>
      <c r="DND20" s="314" t="s">
        <v>203</v>
      </c>
      <c r="DNE20" s="314" t="s">
        <v>203</v>
      </c>
      <c r="DNF20" s="314" t="s">
        <v>203</v>
      </c>
      <c r="DNG20" s="314" t="s">
        <v>203</v>
      </c>
      <c r="DNH20" s="314" t="s">
        <v>203</v>
      </c>
      <c r="DNI20" s="314" t="s">
        <v>203</v>
      </c>
      <c r="DNJ20" s="314" t="s">
        <v>203</v>
      </c>
      <c r="DNK20" s="314" t="s">
        <v>203</v>
      </c>
      <c r="DNL20" s="314" t="s">
        <v>203</v>
      </c>
      <c r="DNM20" s="314" t="s">
        <v>203</v>
      </c>
      <c r="DNN20" s="314" t="s">
        <v>203</v>
      </c>
      <c r="DNO20" s="314" t="s">
        <v>203</v>
      </c>
      <c r="DNP20" s="314" t="s">
        <v>203</v>
      </c>
      <c r="DNQ20" s="314" t="s">
        <v>203</v>
      </c>
      <c r="DNR20" s="314" t="s">
        <v>203</v>
      </c>
      <c r="DNS20" s="314" t="s">
        <v>203</v>
      </c>
      <c r="DNT20" s="314" t="s">
        <v>203</v>
      </c>
      <c r="DNU20" s="314" t="s">
        <v>203</v>
      </c>
      <c r="DNV20" s="314" t="s">
        <v>203</v>
      </c>
      <c r="DNW20" s="314" t="s">
        <v>203</v>
      </c>
      <c r="DNX20" s="314" t="s">
        <v>203</v>
      </c>
      <c r="DNY20" s="314" t="s">
        <v>203</v>
      </c>
      <c r="DNZ20" s="314" t="s">
        <v>203</v>
      </c>
      <c r="DOA20" s="314" t="s">
        <v>203</v>
      </c>
      <c r="DOB20" s="314" t="s">
        <v>203</v>
      </c>
      <c r="DOC20" s="314" t="s">
        <v>203</v>
      </c>
      <c r="DOD20" s="314" t="s">
        <v>203</v>
      </c>
      <c r="DOE20" s="314" t="s">
        <v>203</v>
      </c>
      <c r="DOF20" s="314" t="s">
        <v>203</v>
      </c>
      <c r="DOG20" s="314" t="s">
        <v>203</v>
      </c>
      <c r="DOH20" s="314" t="s">
        <v>203</v>
      </c>
      <c r="DOI20" s="314" t="s">
        <v>203</v>
      </c>
      <c r="DOJ20" s="314" t="s">
        <v>203</v>
      </c>
      <c r="DOK20" s="314" t="s">
        <v>203</v>
      </c>
      <c r="DOL20" s="314" t="s">
        <v>203</v>
      </c>
      <c r="DOM20" s="314" t="s">
        <v>203</v>
      </c>
      <c r="DON20" s="314" t="s">
        <v>203</v>
      </c>
      <c r="DOO20" s="314" t="s">
        <v>203</v>
      </c>
      <c r="DOP20" s="314" t="s">
        <v>203</v>
      </c>
      <c r="DOQ20" s="314" t="s">
        <v>203</v>
      </c>
      <c r="DOR20" s="314" t="s">
        <v>203</v>
      </c>
      <c r="DOS20" s="314" t="s">
        <v>203</v>
      </c>
      <c r="DOT20" s="314" t="s">
        <v>203</v>
      </c>
      <c r="DOU20" s="314" t="s">
        <v>203</v>
      </c>
      <c r="DOV20" s="314" t="s">
        <v>203</v>
      </c>
      <c r="DOW20" s="314" t="s">
        <v>203</v>
      </c>
      <c r="DOX20" s="314" t="s">
        <v>203</v>
      </c>
      <c r="DOY20" s="314" t="s">
        <v>203</v>
      </c>
      <c r="DOZ20" s="314" t="s">
        <v>203</v>
      </c>
      <c r="DPA20" s="314" t="s">
        <v>203</v>
      </c>
      <c r="DPB20" s="314" t="s">
        <v>203</v>
      </c>
      <c r="DPC20" s="314" t="s">
        <v>203</v>
      </c>
      <c r="DPD20" s="314" t="s">
        <v>203</v>
      </c>
      <c r="DPE20" s="314" t="s">
        <v>203</v>
      </c>
      <c r="DPF20" s="314" t="s">
        <v>203</v>
      </c>
      <c r="DPG20" s="314" t="s">
        <v>203</v>
      </c>
      <c r="DPH20" s="314" t="s">
        <v>203</v>
      </c>
      <c r="DPI20" s="314" t="s">
        <v>203</v>
      </c>
      <c r="DPJ20" s="314" t="s">
        <v>203</v>
      </c>
      <c r="DPK20" s="314" t="s">
        <v>203</v>
      </c>
      <c r="DPL20" s="314" t="s">
        <v>203</v>
      </c>
      <c r="DPM20" s="314" t="s">
        <v>203</v>
      </c>
      <c r="DPN20" s="314" t="s">
        <v>203</v>
      </c>
      <c r="DPO20" s="314" t="s">
        <v>203</v>
      </c>
      <c r="DPP20" s="314" t="s">
        <v>203</v>
      </c>
      <c r="DPQ20" s="314" t="s">
        <v>203</v>
      </c>
      <c r="DPR20" s="314" t="s">
        <v>203</v>
      </c>
      <c r="DPS20" s="314" t="s">
        <v>203</v>
      </c>
      <c r="DPT20" s="314" t="s">
        <v>203</v>
      </c>
      <c r="DPU20" s="314" t="s">
        <v>203</v>
      </c>
      <c r="DPV20" s="314" t="s">
        <v>203</v>
      </c>
      <c r="DPW20" s="314" t="s">
        <v>203</v>
      </c>
      <c r="DPX20" s="314" t="s">
        <v>203</v>
      </c>
      <c r="DPY20" s="314" t="s">
        <v>203</v>
      </c>
      <c r="DPZ20" s="314" t="s">
        <v>203</v>
      </c>
      <c r="DQA20" s="314" t="s">
        <v>203</v>
      </c>
      <c r="DQB20" s="314" t="s">
        <v>203</v>
      </c>
      <c r="DQC20" s="314" t="s">
        <v>203</v>
      </c>
      <c r="DQD20" s="314" t="s">
        <v>203</v>
      </c>
      <c r="DQE20" s="314" t="s">
        <v>203</v>
      </c>
      <c r="DQF20" s="314" t="s">
        <v>203</v>
      </c>
      <c r="DQG20" s="314" t="s">
        <v>203</v>
      </c>
      <c r="DQH20" s="314" t="s">
        <v>203</v>
      </c>
      <c r="DQI20" s="314" t="s">
        <v>203</v>
      </c>
      <c r="DQJ20" s="314" t="s">
        <v>203</v>
      </c>
      <c r="DQK20" s="314" t="s">
        <v>203</v>
      </c>
      <c r="DQL20" s="314" t="s">
        <v>203</v>
      </c>
      <c r="DQM20" s="314" t="s">
        <v>203</v>
      </c>
      <c r="DQN20" s="314" t="s">
        <v>203</v>
      </c>
      <c r="DQO20" s="314" t="s">
        <v>203</v>
      </c>
      <c r="DQP20" s="314" t="s">
        <v>203</v>
      </c>
      <c r="DQQ20" s="314" t="s">
        <v>203</v>
      </c>
      <c r="DQR20" s="314" t="s">
        <v>203</v>
      </c>
      <c r="DQS20" s="314" t="s">
        <v>203</v>
      </c>
      <c r="DQT20" s="314" t="s">
        <v>203</v>
      </c>
      <c r="DQU20" s="314" t="s">
        <v>203</v>
      </c>
      <c r="DQV20" s="314" t="s">
        <v>203</v>
      </c>
      <c r="DQW20" s="314" t="s">
        <v>203</v>
      </c>
      <c r="DQX20" s="314" t="s">
        <v>203</v>
      </c>
      <c r="DQY20" s="314" t="s">
        <v>203</v>
      </c>
      <c r="DQZ20" s="314" t="s">
        <v>203</v>
      </c>
      <c r="DRA20" s="314" t="s">
        <v>203</v>
      </c>
      <c r="DRB20" s="314" t="s">
        <v>203</v>
      </c>
      <c r="DRC20" s="314" t="s">
        <v>203</v>
      </c>
      <c r="DRD20" s="314" t="s">
        <v>203</v>
      </c>
      <c r="DRE20" s="314" t="s">
        <v>203</v>
      </c>
      <c r="DRF20" s="314" t="s">
        <v>203</v>
      </c>
      <c r="DRG20" s="314" t="s">
        <v>203</v>
      </c>
      <c r="DRH20" s="314" t="s">
        <v>203</v>
      </c>
      <c r="DRI20" s="314" t="s">
        <v>203</v>
      </c>
      <c r="DRJ20" s="314" t="s">
        <v>203</v>
      </c>
      <c r="DRK20" s="314" t="s">
        <v>203</v>
      </c>
      <c r="DRL20" s="314" t="s">
        <v>203</v>
      </c>
      <c r="DRM20" s="314" t="s">
        <v>203</v>
      </c>
      <c r="DRN20" s="314" t="s">
        <v>203</v>
      </c>
      <c r="DRO20" s="314" t="s">
        <v>203</v>
      </c>
      <c r="DRP20" s="314" t="s">
        <v>203</v>
      </c>
      <c r="DRQ20" s="314" t="s">
        <v>203</v>
      </c>
      <c r="DRR20" s="314" t="s">
        <v>203</v>
      </c>
      <c r="DRS20" s="314" t="s">
        <v>203</v>
      </c>
      <c r="DRT20" s="314" t="s">
        <v>203</v>
      </c>
      <c r="DRU20" s="314" t="s">
        <v>203</v>
      </c>
      <c r="DRV20" s="314" t="s">
        <v>203</v>
      </c>
      <c r="DRW20" s="314" t="s">
        <v>203</v>
      </c>
      <c r="DRX20" s="314" t="s">
        <v>203</v>
      </c>
      <c r="DRY20" s="314" t="s">
        <v>203</v>
      </c>
      <c r="DRZ20" s="314" t="s">
        <v>203</v>
      </c>
      <c r="DSA20" s="314" t="s">
        <v>203</v>
      </c>
      <c r="DSB20" s="314" t="s">
        <v>203</v>
      </c>
      <c r="DSC20" s="314" t="s">
        <v>203</v>
      </c>
      <c r="DSD20" s="314" t="s">
        <v>203</v>
      </c>
      <c r="DSE20" s="314" t="s">
        <v>203</v>
      </c>
      <c r="DSF20" s="314" t="s">
        <v>203</v>
      </c>
      <c r="DSG20" s="314" t="s">
        <v>203</v>
      </c>
      <c r="DSH20" s="314" t="s">
        <v>203</v>
      </c>
      <c r="DSI20" s="314" t="s">
        <v>203</v>
      </c>
      <c r="DSJ20" s="314" t="s">
        <v>203</v>
      </c>
      <c r="DSK20" s="314" t="s">
        <v>203</v>
      </c>
      <c r="DSL20" s="314" t="s">
        <v>203</v>
      </c>
      <c r="DSM20" s="314" t="s">
        <v>203</v>
      </c>
      <c r="DSN20" s="314" t="s">
        <v>203</v>
      </c>
      <c r="DSO20" s="314" t="s">
        <v>203</v>
      </c>
      <c r="DSP20" s="314" t="s">
        <v>203</v>
      </c>
      <c r="DSQ20" s="314" t="s">
        <v>203</v>
      </c>
      <c r="DSR20" s="314" t="s">
        <v>203</v>
      </c>
      <c r="DSS20" s="314" t="s">
        <v>203</v>
      </c>
      <c r="DST20" s="314" t="s">
        <v>203</v>
      </c>
      <c r="DSU20" s="314" t="s">
        <v>203</v>
      </c>
      <c r="DSV20" s="314" t="s">
        <v>203</v>
      </c>
      <c r="DSW20" s="314" t="s">
        <v>203</v>
      </c>
      <c r="DSX20" s="314" t="s">
        <v>203</v>
      </c>
      <c r="DSY20" s="314" t="s">
        <v>203</v>
      </c>
      <c r="DSZ20" s="314" t="s">
        <v>203</v>
      </c>
      <c r="DTA20" s="314" t="s">
        <v>203</v>
      </c>
      <c r="DTB20" s="314" t="s">
        <v>203</v>
      </c>
      <c r="DTC20" s="314" t="s">
        <v>203</v>
      </c>
      <c r="DTD20" s="314" t="s">
        <v>203</v>
      </c>
      <c r="DTE20" s="314" t="s">
        <v>203</v>
      </c>
      <c r="DTF20" s="314" t="s">
        <v>203</v>
      </c>
      <c r="DTG20" s="314" t="s">
        <v>203</v>
      </c>
      <c r="DTH20" s="314" t="s">
        <v>203</v>
      </c>
      <c r="DTI20" s="314" t="s">
        <v>203</v>
      </c>
      <c r="DTJ20" s="314" t="s">
        <v>203</v>
      </c>
      <c r="DTK20" s="314" t="s">
        <v>203</v>
      </c>
      <c r="DTL20" s="314" t="s">
        <v>203</v>
      </c>
      <c r="DTM20" s="314" t="s">
        <v>203</v>
      </c>
      <c r="DTN20" s="314" t="s">
        <v>203</v>
      </c>
      <c r="DTO20" s="314" t="s">
        <v>203</v>
      </c>
      <c r="DTP20" s="314" t="s">
        <v>203</v>
      </c>
      <c r="DTQ20" s="314" t="s">
        <v>203</v>
      </c>
      <c r="DTR20" s="314" t="s">
        <v>203</v>
      </c>
      <c r="DTS20" s="314" t="s">
        <v>203</v>
      </c>
      <c r="DTT20" s="314" t="s">
        <v>203</v>
      </c>
      <c r="DTU20" s="314" t="s">
        <v>203</v>
      </c>
      <c r="DTV20" s="314" t="s">
        <v>203</v>
      </c>
      <c r="DTW20" s="314" t="s">
        <v>203</v>
      </c>
      <c r="DTX20" s="314" t="s">
        <v>203</v>
      </c>
      <c r="DTY20" s="314" t="s">
        <v>203</v>
      </c>
      <c r="DTZ20" s="314" t="s">
        <v>203</v>
      </c>
      <c r="DUA20" s="314" t="s">
        <v>203</v>
      </c>
      <c r="DUB20" s="314" t="s">
        <v>203</v>
      </c>
      <c r="DUC20" s="314" t="s">
        <v>203</v>
      </c>
      <c r="DUD20" s="314" t="s">
        <v>203</v>
      </c>
      <c r="DUE20" s="314" t="s">
        <v>203</v>
      </c>
      <c r="DUF20" s="314" t="s">
        <v>203</v>
      </c>
      <c r="DUG20" s="314" t="s">
        <v>203</v>
      </c>
      <c r="DUH20" s="314" t="s">
        <v>203</v>
      </c>
      <c r="DUI20" s="314" t="s">
        <v>203</v>
      </c>
      <c r="DUJ20" s="314" t="s">
        <v>203</v>
      </c>
      <c r="DUK20" s="314" t="s">
        <v>203</v>
      </c>
      <c r="DUL20" s="314" t="s">
        <v>203</v>
      </c>
      <c r="DUM20" s="314" t="s">
        <v>203</v>
      </c>
      <c r="DUN20" s="314" t="s">
        <v>203</v>
      </c>
      <c r="DUO20" s="314" t="s">
        <v>203</v>
      </c>
      <c r="DUP20" s="314" t="s">
        <v>203</v>
      </c>
      <c r="DUQ20" s="314" t="s">
        <v>203</v>
      </c>
      <c r="DUR20" s="314" t="s">
        <v>203</v>
      </c>
      <c r="DUS20" s="314" t="s">
        <v>203</v>
      </c>
      <c r="DUT20" s="314" t="s">
        <v>203</v>
      </c>
      <c r="DUU20" s="314" t="s">
        <v>203</v>
      </c>
      <c r="DUV20" s="314" t="s">
        <v>203</v>
      </c>
      <c r="DUW20" s="314" t="s">
        <v>203</v>
      </c>
      <c r="DUX20" s="314" t="s">
        <v>203</v>
      </c>
      <c r="DUY20" s="314" t="s">
        <v>203</v>
      </c>
      <c r="DUZ20" s="314" t="s">
        <v>203</v>
      </c>
      <c r="DVA20" s="314" t="s">
        <v>203</v>
      </c>
      <c r="DVB20" s="314" t="s">
        <v>203</v>
      </c>
      <c r="DVC20" s="314" t="s">
        <v>203</v>
      </c>
      <c r="DVD20" s="314" t="s">
        <v>203</v>
      </c>
      <c r="DVE20" s="314" t="s">
        <v>203</v>
      </c>
      <c r="DVF20" s="314" t="s">
        <v>203</v>
      </c>
      <c r="DVG20" s="314" t="s">
        <v>203</v>
      </c>
      <c r="DVH20" s="314" t="s">
        <v>203</v>
      </c>
      <c r="DVI20" s="314" t="s">
        <v>203</v>
      </c>
      <c r="DVJ20" s="314" t="s">
        <v>203</v>
      </c>
      <c r="DVK20" s="314" t="s">
        <v>203</v>
      </c>
      <c r="DVL20" s="314" t="s">
        <v>203</v>
      </c>
      <c r="DVM20" s="314" t="s">
        <v>203</v>
      </c>
      <c r="DVN20" s="314" t="s">
        <v>203</v>
      </c>
      <c r="DVO20" s="314" t="s">
        <v>203</v>
      </c>
      <c r="DVP20" s="314" t="s">
        <v>203</v>
      </c>
      <c r="DVQ20" s="314" t="s">
        <v>203</v>
      </c>
      <c r="DVR20" s="314" t="s">
        <v>203</v>
      </c>
      <c r="DVS20" s="314" t="s">
        <v>203</v>
      </c>
      <c r="DVT20" s="314" t="s">
        <v>203</v>
      </c>
      <c r="DVU20" s="314" t="s">
        <v>203</v>
      </c>
      <c r="DVV20" s="314" t="s">
        <v>203</v>
      </c>
      <c r="DVW20" s="314" t="s">
        <v>203</v>
      </c>
      <c r="DVX20" s="314" t="s">
        <v>203</v>
      </c>
      <c r="DVY20" s="314" t="s">
        <v>203</v>
      </c>
      <c r="DVZ20" s="314" t="s">
        <v>203</v>
      </c>
      <c r="DWA20" s="314" t="s">
        <v>203</v>
      </c>
      <c r="DWB20" s="314" t="s">
        <v>203</v>
      </c>
      <c r="DWC20" s="314" t="s">
        <v>203</v>
      </c>
      <c r="DWD20" s="314" t="s">
        <v>203</v>
      </c>
      <c r="DWE20" s="314" t="s">
        <v>203</v>
      </c>
      <c r="DWF20" s="314" t="s">
        <v>203</v>
      </c>
      <c r="DWG20" s="314" t="s">
        <v>203</v>
      </c>
      <c r="DWH20" s="314" t="s">
        <v>203</v>
      </c>
      <c r="DWI20" s="314" t="s">
        <v>203</v>
      </c>
      <c r="DWJ20" s="314" t="s">
        <v>203</v>
      </c>
      <c r="DWK20" s="314" t="s">
        <v>203</v>
      </c>
      <c r="DWL20" s="314" t="s">
        <v>203</v>
      </c>
      <c r="DWM20" s="314" t="s">
        <v>203</v>
      </c>
      <c r="DWN20" s="314" t="s">
        <v>203</v>
      </c>
      <c r="DWO20" s="314" t="s">
        <v>203</v>
      </c>
      <c r="DWP20" s="314" t="s">
        <v>203</v>
      </c>
      <c r="DWQ20" s="314" t="s">
        <v>203</v>
      </c>
      <c r="DWR20" s="314" t="s">
        <v>203</v>
      </c>
      <c r="DWS20" s="314" t="s">
        <v>203</v>
      </c>
      <c r="DWT20" s="314" t="s">
        <v>203</v>
      </c>
      <c r="DWU20" s="314" t="s">
        <v>203</v>
      </c>
      <c r="DWV20" s="314" t="s">
        <v>203</v>
      </c>
      <c r="DWW20" s="314" t="s">
        <v>203</v>
      </c>
      <c r="DWX20" s="314" t="s">
        <v>203</v>
      </c>
      <c r="DWY20" s="314" t="s">
        <v>203</v>
      </c>
      <c r="DWZ20" s="314" t="s">
        <v>203</v>
      </c>
      <c r="DXA20" s="314" t="s">
        <v>203</v>
      </c>
      <c r="DXB20" s="314" t="s">
        <v>203</v>
      </c>
      <c r="DXC20" s="314" t="s">
        <v>203</v>
      </c>
      <c r="DXD20" s="314" t="s">
        <v>203</v>
      </c>
      <c r="DXE20" s="314" t="s">
        <v>203</v>
      </c>
      <c r="DXF20" s="314" t="s">
        <v>203</v>
      </c>
      <c r="DXG20" s="314" t="s">
        <v>203</v>
      </c>
      <c r="DXH20" s="314" t="s">
        <v>203</v>
      </c>
      <c r="DXI20" s="314" t="s">
        <v>203</v>
      </c>
      <c r="DXJ20" s="314" t="s">
        <v>203</v>
      </c>
      <c r="DXK20" s="314" t="s">
        <v>203</v>
      </c>
      <c r="DXL20" s="314" t="s">
        <v>203</v>
      </c>
      <c r="DXM20" s="314" t="s">
        <v>203</v>
      </c>
      <c r="DXN20" s="314" t="s">
        <v>203</v>
      </c>
      <c r="DXO20" s="314" t="s">
        <v>203</v>
      </c>
      <c r="DXP20" s="314" t="s">
        <v>203</v>
      </c>
      <c r="DXQ20" s="314" t="s">
        <v>203</v>
      </c>
      <c r="DXR20" s="314" t="s">
        <v>203</v>
      </c>
      <c r="DXS20" s="314" t="s">
        <v>203</v>
      </c>
      <c r="DXT20" s="314" t="s">
        <v>203</v>
      </c>
      <c r="DXU20" s="314" t="s">
        <v>203</v>
      </c>
      <c r="DXV20" s="314" t="s">
        <v>203</v>
      </c>
      <c r="DXW20" s="314" t="s">
        <v>203</v>
      </c>
      <c r="DXX20" s="314" t="s">
        <v>203</v>
      </c>
      <c r="DXY20" s="314" t="s">
        <v>203</v>
      </c>
      <c r="DXZ20" s="314" t="s">
        <v>203</v>
      </c>
      <c r="DYA20" s="314" t="s">
        <v>203</v>
      </c>
      <c r="DYB20" s="314" t="s">
        <v>203</v>
      </c>
      <c r="DYC20" s="314" t="s">
        <v>203</v>
      </c>
      <c r="DYD20" s="314" t="s">
        <v>203</v>
      </c>
      <c r="DYE20" s="314" t="s">
        <v>203</v>
      </c>
      <c r="DYF20" s="314" t="s">
        <v>203</v>
      </c>
      <c r="DYG20" s="314" t="s">
        <v>203</v>
      </c>
      <c r="DYH20" s="314" t="s">
        <v>203</v>
      </c>
      <c r="DYI20" s="314" t="s">
        <v>203</v>
      </c>
      <c r="DYJ20" s="314" t="s">
        <v>203</v>
      </c>
      <c r="DYK20" s="314" t="s">
        <v>203</v>
      </c>
      <c r="DYL20" s="314" t="s">
        <v>203</v>
      </c>
      <c r="DYM20" s="314" t="s">
        <v>203</v>
      </c>
      <c r="DYN20" s="314" t="s">
        <v>203</v>
      </c>
      <c r="DYO20" s="314" t="s">
        <v>203</v>
      </c>
      <c r="DYP20" s="314" t="s">
        <v>203</v>
      </c>
      <c r="DYQ20" s="314" t="s">
        <v>203</v>
      </c>
      <c r="DYR20" s="314" t="s">
        <v>203</v>
      </c>
      <c r="DYS20" s="314" t="s">
        <v>203</v>
      </c>
      <c r="DYT20" s="314" t="s">
        <v>203</v>
      </c>
      <c r="DYU20" s="314" t="s">
        <v>203</v>
      </c>
      <c r="DYV20" s="314" t="s">
        <v>203</v>
      </c>
      <c r="DYW20" s="314" t="s">
        <v>203</v>
      </c>
      <c r="DYX20" s="314" t="s">
        <v>203</v>
      </c>
      <c r="DYY20" s="314" t="s">
        <v>203</v>
      </c>
      <c r="DYZ20" s="314" t="s">
        <v>203</v>
      </c>
      <c r="DZA20" s="314" t="s">
        <v>203</v>
      </c>
      <c r="DZB20" s="314" t="s">
        <v>203</v>
      </c>
      <c r="DZC20" s="314" t="s">
        <v>203</v>
      </c>
      <c r="DZD20" s="314" t="s">
        <v>203</v>
      </c>
      <c r="DZE20" s="314" t="s">
        <v>203</v>
      </c>
      <c r="DZF20" s="314" t="s">
        <v>203</v>
      </c>
      <c r="DZG20" s="314" t="s">
        <v>203</v>
      </c>
      <c r="DZH20" s="314" t="s">
        <v>203</v>
      </c>
      <c r="DZI20" s="314" t="s">
        <v>203</v>
      </c>
      <c r="DZJ20" s="314" t="s">
        <v>203</v>
      </c>
      <c r="DZK20" s="314" t="s">
        <v>203</v>
      </c>
      <c r="DZL20" s="314" t="s">
        <v>203</v>
      </c>
      <c r="DZM20" s="314" t="s">
        <v>203</v>
      </c>
      <c r="DZN20" s="314" t="s">
        <v>203</v>
      </c>
      <c r="DZO20" s="314" t="s">
        <v>203</v>
      </c>
      <c r="DZP20" s="314" t="s">
        <v>203</v>
      </c>
      <c r="DZQ20" s="314" t="s">
        <v>203</v>
      </c>
      <c r="DZR20" s="314" t="s">
        <v>203</v>
      </c>
      <c r="DZS20" s="314" t="s">
        <v>203</v>
      </c>
      <c r="DZT20" s="314" t="s">
        <v>203</v>
      </c>
      <c r="DZU20" s="314" t="s">
        <v>203</v>
      </c>
      <c r="DZV20" s="314" t="s">
        <v>203</v>
      </c>
      <c r="DZW20" s="314" t="s">
        <v>203</v>
      </c>
      <c r="DZX20" s="314" t="s">
        <v>203</v>
      </c>
      <c r="DZY20" s="314" t="s">
        <v>203</v>
      </c>
      <c r="DZZ20" s="314" t="s">
        <v>203</v>
      </c>
      <c r="EAA20" s="314" t="s">
        <v>203</v>
      </c>
      <c r="EAB20" s="314" t="s">
        <v>203</v>
      </c>
      <c r="EAC20" s="314" t="s">
        <v>203</v>
      </c>
      <c r="EAD20" s="314" t="s">
        <v>203</v>
      </c>
      <c r="EAE20" s="314" t="s">
        <v>203</v>
      </c>
      <c r="EAF20" s="314" t="s">
        <v>203</v>
      </c>
      <c r="EAG20" s="314" t="s">
        <v>203</v>
      </c>
      <c r="EAH20" s="314" t="s">
        <v>203</v>
      </c>
      <c r="EAI20" s="314" t="s">
        <v>203</v>
      </c>
      <c r="EAJ20" s="314" t="s">
        <v>203</v>
      </c>
      <c r="EAK20" s="314" t="s">
        <v>203</v>
      </c>
      <c r="EAL20" s="314" t="s">
        <v>203</v>
      </c>
      <c r="EAM20" s="314" t="s">
        <v>203</v>
      </c>
      <c r="EAN20" s="314" t="s">
        <v>203</v>
      </c>
      <c r="EAO20" s="314" t="s">
        <v>203</v>
      </c>
      <c r="EAP20" s="314" t="s">
        <v>203</v>
      </c>
      <c r="EAQ20" s="314" t="s">
        <v>203</v>
      </c>
      <c r="EAR20" s="314" t="s">
        <v>203</v>
      </c>
      <c r="EAS20" s="314" t="s">
        <v>203</v>
      </c>
      <c r="EAT20" s="314" t="s">
        <v>203</v>
      </c>
      <c r="EAU20" s="314" t="s">
        <v>203</v>
      </c>
      <c r="EAV20" s="314" t="s">
        <v>203</v>
      </c>
      <c r="EAW20" s="314" t="s">
        <v>203</v>
      </c>
      <c r="EAX20" s="314" t="s">
        <v>203</v>
      </c>
      <c r="EAY20" s="314" t="s">
        <v>203</v>
      </c>
      <c r="EAZ20" s="314" t="s">
        <v>203</v>
      </c>
      <c r="EBA20" s="314" t="s">
        <v>203</v>
      </c>
      <c r="EBB20" s="314" t="s">
        <v>203</v>
      </c>
      <c r="EBC20" s="314" t="s">
        <v>203</v>
      </c>
      <c r="EBD20" s="314" t="s">
        <v>203</v>
      </c>
      <c r="EBE20" s="314" t="s">
        <v>203</v>
      </c>
      <c r="EBF20" s="314" t="s">
        <v>203</v>
      </c>
      <c r="EBG20" s="314" t="s">
        <v>203</v>
      </c>
      <c r="EBH20" s="314" t="s">
        <v>203</v>
      </c>
      <c r="EBI20" s="314" t="s">
        <v>203</v>
      </c>
      <c r="EBJ20" s="314" t="s">
        <v>203</v>
      </c>
      <c r="EBK20" s="314" t="s">
        <v>203</v>
      </c>
      <c r="EBL20" s="314" t="s">
        <v>203</v>
      </c>
      <c r="EBM20" s="314" t="s">
        <v>203</v>
      </c>
      <c r="EBN20" s="314" t="s">
        <v>203</v>
      </c>
      <c r="EBO20" s="314" t="s">
        <v>203</v>
      </c>
      <c r="EBP20" s="314" t="s">
        <v>203</v>
      </c>
      <c r="EBQ20" s="314" t="s">
        <v>203</v>
      </c>
      <c r="EBR20" s="314" t="s">
        <v>203</v>
      </c>
      <c r="EBS20" s="314" t="s">
        <v>203</v>
      </c>
      <c r="EBT20" s="314" t="s">
        <v>203</v>
      </c>
      <c r="EBU20" s="314" t="s">
        <v>203</v>
      </c>
      <c r="EBV20" s="314" t="s">
        <v>203</v>
      </c>
      <c r="EBW20" s="314" t="s">
        <v>203</v>
      </c>
      <c r="EBX20" s="314" t="s">
        <v>203</v>
      </c>
      <c r="EBY20" s="314" t="s">
        <v>203</v>
      </c>
      <c r="EBZ20" s="314" t="s">
        <v>203</v>
      </c>
      <c r="ECA20" s="314" t="s">
        <v>203</v>
      </c>
      <c r="ECB20" s="314" t="s">
        <v>203</v>
      </c>
      <c r="ECC20" s="314" t="s">
        <v>203</v>
      </c>
      <c r="ECD20" s="314" t="s">
        <v>203</v>
      </c>
      <c r="ECE20" s="314" t="s">
        <v>203</v>
      </c>
      <c r="ECF20" s="314" t="s">
        <v>203</v>
      </c>
      <c r="ECG20" s="314" t="s">
        <v>203</v>
      </c>
      <c r="ECH20" s="314" t="s">
        <v>203</v>
      </c>
      <c r="ECI20" s="314" t="s">
        <v>203</v>
      </c>
      <c r="ECJ20" s="314" t="s">
        <v>203</v>
      </c>
      <c r="ECK20" s="314" t="s">
        <v>203</v>
      </c>
      <c r="ECL20" s="314" t="s">
        <v>203</v>
      </c>
      <c r="ECM20" s="314" t="s">
        <v>203</v>
      </c>
      <c r="ECN20" s="314" t="s">
        <v>203</v>
      </c>
      <c r="ECO20" s="314" t="s">
        <v>203</v>
      </c>
      <c r="ECP20" s="314" t="s">
        <v>203</v>
      </c>
      <c r="ECQ20" s="314" t="s">
        <v>203</v>
      </c>
      <c r="ECR20" s="314" t="s">
        <v>203</v>
      </c>
      <c r="ECS20" s="314" t="s">
        <v>203</v>
      </c>
      <c r="ECT20" s="314" t="s">
        <v>203</v>
      </c>
      <c r="ECU20" s="314" t="s">
        <v>203</v>
      </c>
      <c r="ECV20" s="314" t="s">
        <v>203</v>
      </c>
      <c r="ECW20" s="314" t="s">
        <v>203</v>
      </c>
      <c r="ECX20" s="314" t="s">
        <v>203</v>
      </c>
      <c r="ECY20" s="314" t="s">
        <v>203</v>
      </c>
      <c r="ECZ20" s="314" t="s">
        <v>203</v>
      </c>
      <c r="EDA20" s="314" t="s">
        <v>203</v>
      </c>
      <c r="EDB20" s="314" t="s">
        <v>203</v>
      </c>
      <c r="EDC20" s="314" t="s">
        <v>203</v>
      </c>
      <c r="EDD20" s="314" t="s">
        <v>203</v>
      </c>
      <c r="EDE20" s="314" t="s">
        <v>203</v>
      </c>
      <c r="EDF20" s="314" t="s">
        <v>203</v>
      </c>
      <c r="EDG20" s="314" t="s">
        <v>203</v>
      </c>
      <c r="EDH20" s="314" t="s">
        <v>203</v>
      </c>
      <c r="EDI20" s="314" t="s">
        <v>203</v>
      </c>
      <c r="EDJ20" s="314" t="s">
        <v>203</v>
      </c>
      <c r="EDK20" s="314" t="s">
        <v>203</v>
      </c>
      <c r="EDL20" s="314" t="s">
        <v>203</v>
      </c>
      <c r="EDM20" s="314" t="s">
        <v>203</v>
      </c>
      <c r="EDN20" s="314" t="s">
        <v>203</v>
      </c>
      <c r="EDO20" s="314" t="s">
        <v>203</v>
      </c>
      <c r="EDP20" s="314" t="s">
        <v>203</v>
      </c>
      <c r="EDQ20" s="314" t="s">
        <v>203</v>
      </c>
      <c r="EDR20" s="314" t="s">
        <v>203</v>
      </c>
      <c r="EDS20" s="314" t="s">
        <v>203</v>
      </c>
      <c r="EDT20" s="314" t="s">
        <v>203</v>
      </c>
      <c r="EDU20" s="314" t="s">
        <v>203</v>
      </c>
      <c r="EDV20" s="314" t="s">
        <v>203</v>
      </c>
      <c r="EDW20" s="314" t="s">
        <v>203</v>
      </c>
      <c r="EDX20" s="314" t="s">
        <v>203</v>
      </c>
      <c r="EDY20" s="314" t="s">
        <v>203</v>
      </c>
      <c r="EDZ20" s="314" t="s">
        <v>203</v>
      </c>
      <c r="EEA20" s="314" t="s">
        <v>203</v>
      </c>
      <c r="EEB20" s="314" t="s">
        <v>203</v>
      </c>
      <c r="EEC20" s="314" t="s">
        <v>203</v>
      </c>
      <c r="EED20" s="314" t="s">
        <v>203</v>
      </c>
      <c r="EEE20" s="314" t="s">
        <v>203</v>
      </c>
      <c r="EEF20" s="314" t="s">
        <v>203</v>
      </c>
      <c r="EEG20" s="314" t="s">
        <v>203</v>
      </c>
      <c r="EEH20" s="314" t="s">
        <v>203</v>
      </c>
      <c r="EEI20" s="314" t="s">
        <v>203</v>
      </c>
      <c r="EEJ20" s="314" t="s">
        <v>203</v>
      </c>
      <c r="EEK20" s="314" t="s">
        <v>203</v>
      </c>
      <c r="EEL20" s="314" t="s">
        <v>203</v>
      </c>
      <c r="EEM20" s="314" t="s">
        <v>203</v>
      </c>
      <c r="EEN20" s="314" t="s">
        <v>203</v>
      </c>
      <c r="EEO20" s="314" t="s">
        <v>203</v>
      </c>
      <c r="EEP20" s="314" t="s">
        <v>203</v>
      </c>
      <c r="EEQ20" s="314" t="s">
        <v>203</v>
      </c>
      <c r="EER20" s="314" t="s">
        <v>203</v>
      </c>
      <c r="EES20" s="314" t="s">
        <v>203</v>
      </c>
      <c r="EET20" s="314" t="s">
        <v>203</v>
      </c>
      <c r="EEU20" s="314" t="s">
        <v>203</v>
      </c>
      <c r="EEV20" s="314" t="s">
        <v>203</v>
      </c>
      <c r="EEW20" s="314" t="s">
        <v>203</v>
      </c>
      <c r="EEX20" s="314" t="s">
        <v>203</v>
      </c>
      <c r="EEY20" s="314" t="s">
        <v>203</v>
      </c>
      <c r="EEZ20" s="314" t="s">
        <v>203</v>
      </c>
      <c r="EFA20" s="314" t="s">
        <v>203</v>
      </c>
      <c r="EFB20" s="314" t="s">
        <v>203</v>
      </c>
      <c r="EFC20" s="314" t="s">
        <v>203</v>
      </c>
      <c r="EFD20" s="314" t="s">
        <v>203</v>
      </c>
      <c r="EFE20" s="314" t="s">
        <v>203</v>
      </c>
      <c r="EFF20" s="314" t="s">
        <v>203</v>
      </c>
      <c r="EFG20" s="314" t="s">
        <v>203</v>
      </c>
      <c r="EFH20" s="314" t="s">
        <v>203</v>
      </c>
      <c r="EFI20" s="314" t="s">
        <v>203</v>
      </c>
      <c r="EFJ20" s="314" t="s">
        <v>203</v>
      </c>
      <c r="EFK20" s="314" t="s">
        <v>203</v>
      </c>
      <c r="EFL20" s="314" t="s">
        <v>203</v>
      </c>
      <c r="EFM20" s="314" t="s">
        <v>203</v>
      </c>
      <c r="EFN20" s="314" t="s">
        <v>203</v>
      </c>
      <c r="EFO20" s="314" t="s">
        <v>203</v>
      </c>
      <c r="EFP20" s="314" t="s">
        <v>203</v>
      </c>
      <c r="EFQ20" s="314" t="s">
        <v>203</v>
      </c>
      <c r="EFR20" s="314" t="s">
        <v>203</v>
      </c>
      <c r="EFS20" s="314" t="s">
        <v>203</v>
      </c>
      <c r="EFT20" s="314" t="s">
        <v>203</v>
      </c>
      <c r="EFU20" s="314" t="s">
        <v>203</v>
      </c>
      <c r="EFV20" s="314" t="s">
        <v>203</v>
      </c>
      <c r="EFW20" s="314" t="s">
        <v>203</v>
      </c>
      <c r="EFX20" s="314" t="s">
        <v>203</v>
      </c>
      <c r="EFY20" s="314" t="s">
        <v>203</v>
      </c>
      <c r="EFZ20" s="314" t="s">
        <v>203</v>
      </c>
      <c r="EGA20" s="314" t="s">
        <v>203</v>
      </c>
      <c r="EGB20" s="314" t="s">
        <v>203</v>
      </c>
      <c r="EGC20" s="314" t="s">
        <v>203</v>
      </c>
      <c r="EGD20" s="314" t="s">
        <v>203</v>
      </c>
      <c r="EGE20" s="314" t="s">
        <v>203</v>
      </c>
      <c r="EGF20" s="314" t="s">
        <v>203</v>
      </c>
      <c r="EGG20" s="314" t="s">
        <v>203</v>
      </c>
      <c r="EGH20" s="314" t="s">
        <v>203</v>
      </c>
      <c r="EGI20" s="314" t="s">
        <v>203</v>
      </c>
      <c r="EGJ20" s="314" t="s">
        <v>203</v>
      </c>
      <c r="EGK20" s="314" t="s">
        <v>203</v>
      </c>
      <c r="EGL20" s="314" t="s">
        <v>203</v>
      </c>
      <c r="EGM20" s="314" t="s">
        <v>203</v>
      </c>
      <c r="EGN20" s="314" t="s">
        <v>203</v>
      </c>
      <c r="EGO20" s="314" t="s">
        <v>203</v>
      </c>
      <c r="EGP20" s="314" t="s">
        <v>203</v>
      </c>
      <c r="EGQ20" s="314" t="s">
        <v>203</v>
      </c>
      <c r="EGR20" s="314" t="s">
        <v>203</v>
      </c>
      <c r="EGS20" s="314" t="s">
        <v>203</v>
      </c>
      <c r="EGT20" s="314" t="s">
        <v>203</v>
      </c>
      <c r="EGU20" s="314" t="s">
        <v>203</v>
      </c>
      <c r="EGV20" s="314" t="s">
        <v>203</v>
      </c>
      <c r="EGW20" s="314" t="s">
        <v>203</v>
      </c>
      <c r="EGX20" s="314" t="s">
        <v>203</v>
      </c>
      <c r="EGY20" s="314" t="s">
        <v>203</v>
      </c>
      <c r="EGZ20" s="314" t="s">
        <v>203</v>
      </c>
      <c r="EHA20" s="314" t="s">
        <v>203</v>
      </c>
      <c r="EHB20" s="314" t="s">
        <v>203</v>
      </c>
      <c r="EHC20" s="314" t="s">
        <v>203</v>
      </c>
      <c r="EHD20" s="314" t="s">
        <v>203</v>
      </c>
      <c r="EHE20" s="314" t="s">
        <v>203</v>
      </c>
      <c r="EHF20" s="314" t="s">
        <v>203</v>
      </c>
      <c r="EHG20" s="314" t="s">
        <v>203</v>
      </c>
      <c r="EHH20" s="314" t="s">
        <v>203</v>
      </c>
      <c r="EHI20" s="314" t="s">
        <v>203</v>
      </c>
      <c r="EHJ20" s="314" t="s">
        <v>203</v>
      </c>
      <c r="EHK20" s="314" t="s">
        <v>203</v>
      </c>
      <c r="EHL20" s="314" t="s">
        <v>203</v>
      </c>
      <c r="EHM20" s="314" t="s">
        <v>203</v>
      </c>
      <c r="EHN20" s="314" t="s">
        <v>203</v>
      </c>
      <c r="EHO20" s="314" t="s">
        <v>203</v>
      </c>
      <c r="EHP20" s="314" t="s">
        <v>203</v>
      </c>
      <c r="EHQ20" s="314" t="s">
        <v>203</v>
      </c>
      <c r="EHR20" s="314" t="s">
        <v>203</v>
      </c>
      <c r="EHS20" s="314" t="s">
        <v>203</v>
      </c>
      <c r="EHT20" s="314" t="s">
        <v>203</v>
      </c>
      <c r="EHU20" s="314" t="s">
        <v>203</v>
      </c>
      <c r="EHV20" s="314" t="s">
        <v>203</v>
      </c>
      <c r="EHW20" s="314" t="s">
        <v>203</v>
      </c>
      <c r="EHX20" s="314" t="s">
        <v>203</v>
      </c>
      <c r="EHY20" s="314" t="s">
        <v>203</v>
      </c>
      <c r="EHZ20" s="314" t="s">
        <v>203</v>
      </c>
      <c r="EIA20" s="314" t="s">
        <v>203</v>
      </c>
      <c r="EIB20" s="314" t="s">
        <v>203</v>
      </c>
      <c r="EIC20" s="314" t="s">
        <v>203</v>
      </c>
      <c r="EID20" s="314" t="s">
        <v>203</v>
      </c>
      <c r="EIE20" s="314" t="s">
        <v>203</v>
      </c>
      <c r="EIF20" s="314" t="s">
        <v>203</v>
      </c>
      <c r="EIG20" s="314" t="s">
        <v>203</v>
      </c>
      <c r="EIH20" s="314" t="s">
        <v>203</v>
      </c>
      <c r="EII20" s="314" t="s">
        <v>203</v>
      </c>
      <c r="EIJ20" s="314" t="s">
        <v>203</v>
      </c>
      <c r="EIK20" s="314" t="s">
        <v>203</v>
      </c>
      <c r="EIL20" s="314" t="s">
        <v>203</v>
      </c>
      <c r="EIM20" s="314" t="s">
        <v>203</v>
      </c>
      <c r="EIN20" s="314" t="s">
        <v>203</v>
      </c>
      <c r="EIO20" s="314" t="s">
        <v>203</v>
      </c>
      <c r="EIP20" s="314" t="s">
        <v>203</v>
      </c>
      <c r="EIQ20" s="314" t="s">
        <v>203</v>
      </c>
      <c r="EIR20" s="314" t="s">
        <v>203</v>
      </c>
      <c r="EIS20" s="314" t="s">
        <v>203</v>
      </c>
      <c r="EIT20" s="314" t="s">
        <v>203</v>
      </c>
      <c r="EIU20" s="314" t="s">
        <v>203</v>
      </c>
      <c r="EIV20" s="314" t="s">
        <v>203</v>
      </c>
      <c r="EIW20" s="314" t="s">
        <v>203</v>
      </c>
      <c r="EIX20" s="314" t="s">
        <v>203</v>
      </c>
      <c r="EIY20" s="314" t="s">
        <v>203</v>
      </c>
      <c r="EIZ20" s="314" t="s">
        <v>203</v>
      </c>
      <c r="EJA20" s="314" t="s">
        <v>203</v>
      </c>
      <c r="EJB20" s="314" t="s">
        <v>203</v>
      </c>
      <c r="EJC20" s="314" t="s">
        <v>203</v>
      </c>
      <c r="EJD20" s="314" t="s">
        <v>203</v>
      </c>
      <c r="EJE20" s="314" t="s">
        <v>203</v>
      </c>
      <c r="EJF20" s="314" t="s">
        <v>203</v>
      </c>
      <c r="EJG20" s="314" t="s">
        <v>203</v>
      </c>
      <c r="EJH20" s="314" t="s">
        <v>203</v>
      </c>
      <c r="EJI20" s="314" t="s">
        <v>203</v>
      </c>
      <c r="EJJ20" s="314" t="s">
        <v>203</v>
      </c>
      <c r="EJK20" s="314" t="s">
        <v>203</v>
      </c>
      <c r="EJL20" s="314" t="s">
        <v>203</v>
      </c>
      <c r="EJM20" s="314" t="s">
        <v>203</v>
      </c>
      <c r="EJN20" s="314" t="s">
        <v>203</v>
      </c>
      <c r="EJO20" s="314" t="s">
        <v>203</v>
      </c>
      <c r="EJP20" s="314" t="s">
        <v>203</v>
      </c>
      <c r="EJQ20" s="314" t="s">
        <v>203</v>
      </c>
      <c r="EJR20" s="314" t="s">
        <v>203</v>
      </c>
      <c r="EJS20" s="314" t="s">
        <v>203</v>
      </c>
      <c r="EJT20" s="314" t="s">
        <v>203</v>
      </c>
      <c r="EJU20" s="314" t="s">
        <v>203</v>
      </c>
      <c r="EJV20" s="314" t="s">
        <v>203</v>
      </c>
      <c r="EJW20" s="314" t="s">
        <v>203</v>
      </c>
      <c r="EJX20" s="314" t="s">
        <v>203</v>
      </c>
      <c r="EJY20" s="314" t="s">
        <v>203</v>
      </c>
      <c r="EJZ20" s="314" t="s">
        <v>203</v>
      </c>
      <c r="EKA20" s="314" t="s">
        <v>203</v>
      </c>
      <c r="EKB20" s="314" t="s">
        <v>203</v>
      </c>
      <c r="EKC20" s="314" t="s">
        <v>203</v>
      </c>
      <c r="EKD20" s="314" t="s">
        <v>203</v>
      </c>
      <c r="EKE20" s="314" t="s">
        <v>203</v>
      </c>
      <c r="EKF20" s="314" t="s">
        <v>203</v>
      </c>
      <c r="EKG20" s="314" t="s">
        <v>203</v>
      </c>
      <c r="EKH20" s="314" t="s">
        <v>203</v>
      </c>
      <c r="EKI20" s="314" t="s">
        <v>203</v>
      </c>
      <c r="EKJ20" s="314" t="s">
        <v>203</v>
      </c>
      <c r="EKK20" s="314" t="s">
        <v>203</v>
      </c>
      <c r="EKL20" s="314" t="s">
        <v>203</v>
      </c>
      <c r="EKM20" s="314" t="s">
        <v>203</v>
      </c>
      <c r="EKN20" s="314" t="s">
        <v>203</v>
      </c>
      <c r="EKO20" s="314" t="s">
        <v>203</v>
      </c>
      <c r="EKP20" s="314" t="s">
        <v>203</v>
      </c>
      <c r="EKQ20" s="314" t="s">
        <v>203</v>
      </c>
      <c r="EKR20" s="314" t="s">
        <v>203</v>
      </c>
      <c r="EKS20" s="314" t="s">
        <v>203</v>
      </c>
      <c r="EKT20" s="314" t="s">
        <v>203</v>
      </c>
      <c r="EKU20" s="314" t="s">
        <v>203</v>
      </c>
      <c r="EKV20" s="314" t="s">
        <v>203</v>
      </c>
      <c r="EKW20" s="314" t="s">
        <v>203</v>
      </c>
      <c r="EKX20" s="314" t="s">
        <v>203</v>
      </c>
      <c r="EKY20" s="314" t="s">
        <v>203</v>
      </c>
      <c r="EKZ20" s="314" t="s">
        <v>203</v>
      </c>
      <c r="ELA20" s="314" t="s">
        <v>203</v>
      </c>
      <c r="ELB20" s="314" t="s">
        <v>203</v>
      </c>
      <c r="ELC20" s="314" t="s">
        <v>203</v>
      </c>
      <c r="ELD20" s="314" t="s">
        <v>203</v>
      </c>
      <c r="ELE20" s="314" t="s">
        <v>203</v>
      </c>
      <c r="ELF20" s="314" t="s">
        <v>203</v>
      </c>
      <c r="ELG20" s="314" t="s">
        <v>203</v>
      </c>
      <c r="ELH20" s="314" t="s">
        <v>203</v>
      </c>
      <c r="ELI20" s="314" t="s">
        <v>203</v>
      </c>
      <c r="ELJ20" s="314" t="s">
        <v>203</v>
      </c>
      <c r="ELK20" s="314" t="s">
        <v>203</v>
      </c>
      <c r="ELL20" s="314" t="s">
        <v>203</v>
      </c>
      <c r="ELM20" s="314" t="s">
        <v>203</v>
      </c>
      <c r="ELN20" s="314" t="s">
        <v>203</v>
      </c>
      <c r="ELO20" s="314" t="s">
        <v>203</v>
      </c>
      <c r="ELP20" s="314" t="s">
        <v>203</v>
      </c>
      <c r="ELQ20" s="314" t="s">
        <v>203</v>
      </c>
      <c r="ELR20" s="314" t="s">
        <v>203</v>
      </c>
      <c r="ELS20" s="314" t="s">
        <v>203</v>
      </c>
      <c r="ELT20" s="314" t="s">
        <v>203</v>
      </c>
      <c r="ELU20" s="314" t="s">
        <v>203</v>
      </c>
      <c r="ELV20" s="314" t="s">
        <v>203</v>
      </c>
      <c r="ELW20" s="314" t="s">
        <v>203</v>
      </c>
      <c r="ELX20" s="314" t="s">
        <v>203</v>
      </c>
      <c r="ELY20" s="314" t="s">
        <v>203</v>
      </c>
      <c r="ELZ20" s="314" t="s">
        <v>203</v>
      </c>
      <c r="EMA20" s="314" t="s">
        <v>203</v>
      </c>
      <c r="EMB20" s="314" t="s">
        <v>203</v>
      </c>
      <c r="EMC20" s="314" t="s">
        <v>203</v>
      </c>
      <c r="EMD20" s="314" t="s">
        <v>203</v>
      </c>
      <c r="EME20" s="314" t="s">
        <v>203</v>
      </c>
      <c r="EMF20" s="314" t="s">
        <v>203</v>
      </c>
      <c r="EMG20" s="314" t="s">
        <v>203</v>
      </c>
      <c r="EMH20" s="314" t="s">
        <v>203</v>
      </c>
      <c r="EMI20" s="314" t="s">
        <v>203</v>
      </c>
      <c r="EMJ20" s="314" t="s">
        <v>203</v>
      </c>
      <c r="EMK20" s="314" t="s">
        <v>203</v>
      </c>
      <c r="EML20" s="314" t="s">
        <v>203</v>
      </c>
      <c r="EMM20" s="314" t="s">
        <v>203</v>
      </c>
      <c r="EMN20" s="314" t="s">
        <v>203</v>
      </c>
      <c r="EMO20" s="314" t="s">
        <v>203</v>
      </c>
      <c r="EMP20" s="314" t="s">
        <v>203</v>
      </c>
      <c r="EMQ20" s="314" t="s">
        <v>203</v>
      </c>
      <c r="EMR20" s="314" t="s">
        <v>203</v>
      </c>
      <c r="EMS20" s="314" t="s">
        <v>203</v>
      </c>
      <c r="EMT20" s="314" t="s">
        <v>203</v>
      </c>
      <c r="EMU20" s="314" t="s">
        <v>203</v>
      </c>
      <c r="EMV20" s="314" t="s">
        <v>203</v>
      </c>
      <c r="EMW20" s="314" t="s">
        <v>203</v>
      </c>
      <c r="EMX20" s="314" t="s">
        <v>203</v>
      </c>
      <c r="EMY20" s="314" t="s">
        <v>203</v>
      </c>
      <c r="EMZ20" s="314" t="s">
        <v>203</v>
      </c>
      <c r="ENA20" s="314" t="s">
        <v>203</v>
      </c>
      <c r="ENB20" s="314" t="s">
        <v>203</v>
      </c>
      <c r="ENC20" s="314" t="s">
        <v>203</v>
      </c>
      <c r="END20" s="314" t="s">
        <v>203</v>
      </c>
      <c r="ENE20" s="314" t="s">
        <v>203</v>
      </c>
      <c r="ENF20" s="314" t="s">
        <v>203</v>
      </c>
      <c r="ENG20" s="314" t="s">
        <v>203</v>
      </c>
      <c r="ENH20" s="314" t="s">
        <v>203</v>
      </c>
      <c r="ENI20" s="314" t="s">
        <v>203</v>
      </c>
      <c r="ENJ20" s="314" t="s">
        <v>203</v>
      </c>
      <c r="ENK20" s="314" t="s">
        <v>203</v>
      </c>
      <c r="ENL20" s="314" t="s">
        <v>203</v>
      </c>
      <c r="ENM20" s="314" t="s">
        <v>203</v>
      </c>
      <c r="ENN20" s="314" t="s">
        <v>203</v>
      </c>
      <c r="ENO20" s="314" t="s">
        <v>203</v>
      </c>
      <c r="ENP20" s="314" t="s">
        <v>203</v>
      </c>
      <c r="ENQ20" s="314" t="s">
        <v>203</v>
      </c>
      <c r="ENR20" s="314" t="s">
        <v>203</v>
      </c>
      <c r="ENS20" s="314" t="s">
        <v>203</v>
      </c>
      <c r="ENT20" s="314" t="s">
        <v>203</v>
      </c>
      <c r="ENU20" s="314" t="s">
        <v>203</v>
      </c>
      <c r="ENV20" s="314" t="s">
        <v>203</v>
      </c>
      <c r="ENW20" s="314" t="s">
        <v>203</v>
      </c>
      <c r="ENX20" s="314" t="s">
        <v>203</v>
      </c>
      <c r="ENY20" s="314" t="s">
        <v>203</v>
      </c>
      <c r="ENZ20" s="314" t="s">
        <v>203</v>
      </c>
      <c r="EOA20" s="314" t="s">
        <v>203</v>
      </c>
      <c r="EOB20" s="314" t="s">
        <v>203</v>
      </c>
      <c r="EOC20" s="314" t="s">
        <v>203</v>
      </c>
      <c r="EOD20" s="314" t="s">
        <v>203</v>
      </c>
      <c r="EOE20" s="314" t="s">
        <v>203</v>
      </c>
      <c r="EOF20" s="314" t="s">
        <v>203</v>
      </c>
      <c r="EOG20" s="314" t="s">
        <v>203</v>
      </c>
      <c r="EOH20" s="314" t="s">
        <v>203</v>
      </c>
      <c r="EOI20" s="314" t="s">
        <v>203</v>
      </c>
      <c r="EOJ20" s="314" t="s">
        <v>203</v>
      </c>
      <c r="EOK20" s="314" t="s">
        <v>203</v>
      </c>
      <c r="EOL20" s="314" t="s">
        <v>203</v>
      </c>
      <c r="EOM20" s="314" t="s">
        <v>203</v>
      </c>
      <c r="EON20" s="314" t="s">
        <v>203</v>
      </c>
      <c r="EOO20" s="314" t="s">
        <v>203</v>
      </c>
      <c r="EOP20" s="314" t="s">
        <v>203</v>
      </c>
      <c r="EOQ20" s="314" t="s">
        <v>203</v>
      </c>
      <c r="EOR20" s="314" t="s">
        <v>203</v>
      </c>
      <c r="EOS20" s="314" t="s">
        <v>203</v>
      </c>
      <c r="EOT20" s="314" t="s">
        <v>203</v>
      </c>
      <c r="EOU20" s="314" t="s">
        <v>203</v>
      </c>
      <c r="EOV20" s="314" t="s">
        <v>203</v>
      </c>
      <c r="EOW20" s="314" t="s">
        <v>203</v>
      </c>
      <c r="EOX20" s="314" t="s">
        <v>203</v>
      </c>
      <c r="EOY20" s="314" t="s">
        <v>203</v>
      </c>
      <c r="EOZ20" s="314" t="s">
        <v>203</v>
      </c>
      <c r="EPA20" s="314" t="s">
        <v>203</v>
      </c>
      <c r="EPB20" s="314" t="s">
        <v>203</v>
      </c>
      <c r="EPC20" s="314" t="s">
        <v>203</v>
      </c>
      <c r="EPD20" s="314" t="s">
        <v>203</v>
      </c>
      <c r="EPE20" s="314" t="s">
        <v>203</v>
      </c>
      <c r="EPF20" s="314" t="s">
        <v>203</v>
      </c>
      <c r="EPG20" s="314" t="s">
        <v>203</v>
      </c>
      <c r="EPH20" s="314" t="s">
        <v>203</v>
      </c>
      <c r="EPI20" s="314" t="s">
        <v>203</v>
      </c>
      <c r="EPJ20" s="314" t="s">
        <v>203</v>
      </c>
      <c r="EPK20" s="314" t="s">
        <v>203</v>
      </c>
      <c r="EPL20" s="314" t="s">
        <v>203</v>
      </c>
      <c r="EPM20" s="314" t="s">
        <v>203</v>
      </c>
      <c r="EPN20" s="314" t="s">
        <v>203</v>
      </c>
      <c r="EPO20" s="314" t="s">
        <v>203</v>
      </c>
      <c r="EPP20" s="314" t="s">
        <v>203</v>
      </c>
      <c r="EPQ20" s="314" t="s">
        <v>203</v>
      </c>
      <c r="EPR20" s="314" t="s">
        <v>203</v>
      </c>
      <c r="EPS20" s="314" t="s">
        <v>203</v>
      </c>
      <c r="EPT20" s="314" t="s">
        <v>203</v>
      </c>
      <c r="EPU20" s="314" t="s">
        <v>203</v>
      </c>
      <c r="EPV20" s="314" t="s">
        <v>203</v>
      </c>
      <c r="EPW20" s="314" t="s">
        <v>203</v>
      </c>
      <c r="EPX20" s="314" t="s">
        <v>203</v>
      </c>
      <c r="EPY20" s="314" t="s">
        <v>203</v>
      </c>
      <c r="EPZ20" s="314" t="s">
        <v>203</v>
      </c>
      <c r="EQA20" s="314" t="s">
        <v>203</v>
      </c>
      <c r="EQB20" s="314" t="s">
        <v>203</v>
      </c>
      <c r="EQC20" s="314" t="s">
        <v>203</v>
      </c>
      <c r="EQD20" s="314" t="s">
        <v>203</v>
      </c>
      <c r="EQE20" s="314" t="s">
        <v>203</v>
      </c>
      <c r="EQF20" s="314" t="s">
        <v>203</v>
      </c>
      <c r="EQG20" s="314" t="s">
        <v>203</v>
      </c>
      <c r="EQH20" s="314" t="s">
        <v>203</v>
      </c>
      <c r="EQI20" s="314" t="s">
        <v>203</v>
      </c>
      <c r="EQJ20" s="314" t="s">
        <v>203</v>
      </c>
      <c r="EQK20" s="314" t="s">
        <v>203</v>
      </c>
      <c r="EQL20" s="314" t="s">
        <v>203</v>
      </c>
      <c r="EQM20" s="314" t="s">
        <v>203</v>
      </c>
      <c r="EQN20" s="314" t="s">
        <v>203</v>
      </c>
      <c r="EQO20" s="314" t="s">
        <v>203</v>
      </c>
      <c r="EQP20" s="314" t="s">
        <v>203</v>
      </c>
      <c r="EQQ20" s="314" t="s">
        <v>203</v>
      </c>
      <c r="EQR20" s="314" t="s">
        <v>203</v>
      </c>
      <c r="EQS20" s="314" t="s">
        <v>203</v>
      </c>
      <c r="EQT20" s="314" t="s">
        <v>203</v>
      </c>
      <c r="EQU20" s="314" t="s">
        <v>203</v>
      </c>
      <c r="EQV20" s="314" t="s">
        <v>203</v>
      </c>
      <c r="EQW20" s="314" t="s">
        <v>203</v>
      </c>
      <c r="EQX20" s="314" t="s">
        <v>203</v>
      </c>
      <c r="EQY20" s="314" t="s">
        <v>203</v>
      </c>
      <c r="EQZ20" s="314" t="s">
        <v>203</v>
      </c>
      <c r="ERA20" s="314" t="s">
        <v>203</v>
      </c>
      <c r="ERB20" s="314" t="s">
        <v>203</v>
      </c>
      <c r="ERC20" s="314" t="s">
        <v>203</v>
      </c>
      <c r="ERD20" s="314" t="s">
        <v>203</v>
      </c>
      <c r="ERE20" s="314" t="s">
        <v>203</v>
      </c>
      <c r="ERF20" s="314" t="s">
        <v>203</v>
      </c>
      <c r="ERG20" s="314" t="s">
        <v>203</v>
      </c>
      <c r="ERH20" s="314" t="s">
        <v>203</v>
      </c>
      <c r="ERI20" s="314" t="s">
        <v>203</v>
      </c>
      <c r="ERJ20" s="314" t="s">
        <v>203</v>
      </c>
      <c r="ERK20" s="314" t="s">
        <v>203</v>
      </c>
      <c r="ERL20" s="314" t="s">
        <v>203</v>
      </c>
      <c r="ERM20" s="314" t="s">
        <v>203</v>
      </c>
      <c r="ERN20" s="314" t="s">
        <v>203</v>
      </c>
      <c r="ERO20" s="314" t="s">
        <v>203</v>
      </c>
      <c r="ERP20" s="314" t="s">
        <v>203</v>
      </c>
      <c r="ERQ20" s="314" t="s">
        <v>203</v>
      </c>
      <c r="ERR20" s="314" t="s">
        <v>203</v>
      </c>
      <c r="ERS20" s="314" t="s">
        <v>203</v>
      </c>
      <c r="ERT20" s="314" t="s">
        <v>203</v>
      </c>
      <c r="ERU20" s="314" t="s">
        <v>203</v>
      </c>
      <c r="ERV20" s="314" t="s">
        <v>203</v>
      </c>
      <c r="ERW20" s="314" t="s">
        <v>203</v>
      </c>
      <c r="ERX20" s="314" t="s">
        <v>203</v>
      </c>
      <c r="ERY20" s="314" t="s">
        <v>203</v>
      </c>
      <c r="ERZ20" s="314" t="s">
        <v>203</v>
      </c>
      <c r="ESA20" s="314" t="s">
        <v>203</v>
      </c>
      <c r="ESB20" s="314" t="s">
        <v>203</v>
      </c>
      <c r="ESC20" s="314" t="s">
        <v>203</v>
      </c>
      <c r="ESD20" s="314" t="s">
        <v>203</v>
      </c>
      <c r="ESE20" s="314" t="s">
        <v>203</v>
      </c>
      <c r="ESF20" s="314" t="s">
        <v>203</v>
      </c>
      <c r="ESG20" s="314" t="s">
        <v>203</v>
      </c>
      <c r="ESH20" s="314" t="s">
        <v>203</v>
      </c>
      <c r="ESI20" s="314" t="s">
        <v>203</v>
      </c>
      <c r="ESJ20" s="314" t="s">
        <v>203</v>
      </c>
      <c r="ESK20" s="314" t="s">
        <v>203</v>
      </c>
      <c r="ESL20" s="314" t="s">
        <v>203</v>
      </c>
      <c r="ESM20" s="314" t="s">
        <v>203</v>
      </c>
      <c r="ESN20" s="314" t="s">
        <v>203</v>
      </c>
      <c r="ESO20" s="314" t="s">
        <v>203</v>
      </c>
      <c r="ESP20" s="314" t="s">
        <v>203</v>
      </c>
      <c r="ESQ20" s="314" t="s">
        <v>203</v>
      </c>
      <c r="ESR20" s="314" t="s">
        <v>203</v>
      </c>
      <c r="ESS20" s="314" t="s">
        <v>203</v>
      </c>
      <c r="EST20" s="314" t="s">
        <v>203</v>
      </c>
      <c r="ESU20" s="314" t="s">
        <v>203</v>
      </c>
      <c r="ESV20" s="314" t="s">
        <v>203</v>
      </c>
      <c r="ESW20" s="314" t="s">
        <v>203</v>
      </c>
      <c r="ESX20" s="314" t="s">
        <v>203</v>
      </c>
      <c r="ESY20" s="314" t="s">
        <v>203</v>
      </c>
      <c r="ESZ20" s="314" t="s">
        <v>203</v>
      </c>
      <c r="ETA20" s="314" t="s">
        <v>203</v>
      </c>
      <c r="ETB20" s="314" t="s">
        <v>203</v>
      </c>
      <c r="ETC20" s="314" t="s">
        <v>203</v>
      </c>
      <c r="ETD20" s="314" t="s">
        <v>203</v>
      </c>
      <c r="ETE20" s="314" t="s">
        <v>203</v>
      </c>
      <c r="ETF20" s="314" t="s">
        <v>203</v>
      </c>
      <c r="ETG20" s="314" t="s">
        <v>203</v>
      </c>
      <c r="ETH20" s="314" t="s">
        <v>203</v>
      </c>
      <c r="ETI20" s="314" t="s">
        <v>203</v>
      </c>
      <c r="ETJ20" s="314" t="s">
        <v>203</v>
      </c>
      <c r="ETK20" s="314" t="s">
        <v>203</v>
      </c>
      <c r="ETL20" s="314" t="s">
        <v>203</v>
      </c>
      <c r="ETM20" s="314" t="s">
        <v>203</v>
      </c>
      <c r="ETN20" s="314" t="s">
        <v>203</v>
      </c>
      <c r="ETO20" s="314" t="s">
        <v>203</v>
      </c>
      <c r="ETP20" s="314" t="s">
        <v>203</v>
      </c>
      <c r="ETQ20" s="314" t="s">
        <v>203</v>
      </c>
      <c r="ETR20" s="314" t="s">
        <v>203</v>
      </c>
      <c r="ETS20" s="314" t="s">
        <v>203</v>
      </c>
      <c r="ETT20" s="314" t="s">
        <v>203</v>
      </c>
      <c r="ETU20" s="314" t="s">
        <v>203</v>
      </c>
      <c r="ETV20" s="314" t="s">
        <v>203</v>
      </c>
      <c r="ETW20" s="314" t="s">
        <v>203</v>
      </c>
      <c r="ETX20" s="314" t="s">
        <v>203</v>
      </c>
      <c r="ETY20" s="314" t="s">
        <v>203</v>
      </c>
      <c r="ETZ20" s="314" t="s">
        <v>203</v>
      </c>
      <c r="EUA20" s="314" t="s">
        <v>203</v>
      </c>
      <c r="EUB20" s="314" t="s">
        <v>203</v>
      </c>
      <c r="EUC20" s="314" t="s">
        <v>203</v>
      </c>
      <c r="EUD20" s="314" t="s">
        <v>203</v>
      </c>
      <c r="EUE20" s="314" t="s">
        <v>203</v>
      </c>
      <c r="EUF20" s="314" t="s">
        <v>203</v>
      </c>
      <c r="EUG20" s="314" t="s">
        <v>203</v>
      </c>
      <c r="EUH20" s="314" t="s">
        <v>203</v>
      </c>
      <c r="EUI20" s="314" t="s">
        <v>203</v>
      </c>
      <c r="EUJ20" s="314" t="s">
        <v>203</v>
      </c>
      <c r="EUK20" s="314" t="s">
        <v>203</v>
      </c>
      <c r="EUL20" s="314" t="s">
        <v>203</v>
      </c>
      <c r="EUM20" s="314" t="s">
        <v>203</v>
      </c>
      <c r="EUN20" s="314" t="s">
        <v>203</v>
      </c>
      <c r="EUO20" s="314" t="s">
        <v>203</v>
      </c>
      <c r="EUP20" s="314" t="s">
        <v>203</v>
      </c>
      <c r="EUQ20" s="314" t="s">
        <v>203</v>
      </c>
      <c r="EUR20" s="314" t="s">
        <v>203</v>
      </c>
      <c r="EUS20" s="314" t="s">
        <v>203</v>
      </c>
      <c r="EUT20" s="314" t="s">
        <v>203</v>
      </c>
      <c r="EUU20" s="314" t="s">
        <v>203</v>
      </c>
      <c r="EUV20" s="314" t="s">
        <v>203</v>
      </c>
      <c r="EUW20" s="314" t="s">
        <v>203</v>
      </c>
      <c r="EUX20" s="314" t="s">
        <v>203</v>
      </c>
      <c r="EUY20" s="314" t="s">
        <v>203</v>
      </c>
      <c r="EUZ20" s="314" t="s">
        <v>203</v>
      </c>
      <c r="EVA20" s="314" t="s">
        <v>203</v>
      </c>
      <c r="EVB20" s="314" t="s">
        <v>203</v>
      </c>
      <c r="EVC20" s="314" t="s">
        <v>203</v>
      </c>
      <c r="EVD20" s="314" t="s">
        <v>203</v>
      </c>
      <c r="EVE20" s="314" t="s">
        <v>203</v>
      </c>
      <c r="EVF20" s="314" t="s">
        <v>203</v>
      </c>
      <c r="EVG20" s="314" t="s">
        <v>203</v>
      </c>
      <c r="EVH20" s="314" t="s">
        <v>203</v>
      </c>
      <c r="EVI20" s="314" t="s">
        <v>203</v>
      </c>
      <c r="EVJ20" s="314" t="s">
        <v>203</v>
      </c>
      <c r="EVK20" s="314" t="s">
        <v>203</v>
      </c>
      <c r="EVL20" s="314" t="s">
        <v>203</v>
      </c>
      <c r="EVM20" s="314" t="s">
        <v>203</v>
      </c>
      <c r="EVN20" s="314" t="s">
        <v>203</v>
      </c>
      <c r="EVO20" s="314" t="s">
        <v>203</v>
      </c>
      <c r="EVP20" s="314" t="s">
        <v>203</v>
      </c>
      <c r="EVQ20" s="314" t="s">
        <v>203</v>
      </c>
      <c r="EVR20" s="314" t="s">
        <v>203</v>
      </c>
      <c r="EVS20" s="314" t="s">
        <v>203</v>
      </c>
      <c r="EVT20" s="314" t="s">
        <v>203</v>
      </c>
      <c r="EVU20" s="314" t="s">
        <v>203</v>
      </c>
      <c r="EVV20" s="314" t="s">
        <v>203</v>
      </c>
      <c r="EVW20" s="314" t="s">
        <v>203</v>
      </c>
      <c r="EVX20" s="314" t="s">
        <v>203</v>
      </c>
      <c r="EVY20" s="314" t="s">
        <v>203</v>
      </c>
      <c r="EVZ20" s="314" t="s">
        <v>203</v>
      </c>
      <c r="EWA20" s="314" t="s">
        <v>203</v>
      </c>
      <c r="EWB20" s="314" t="s">
        <v>203</v>
      </c>
      <c r="EWC20" s="314" t="s">
        <v>203</v>
      </c>
      <c r="EWD20" s="314" t="s">
        <v>203</v>
      </c>
      <c r="EWE20" s="314" t="s">
        <v>203</v>
      </c>
      <c r="EWF20" s="314" t="s">
        <v>203</v>
      </c>
      <c r="EWG20" s="314" t="s">
        <v>203</v>
      </c>
      <c r="EWH20" s="314" t="s">
        <v>203</v>
      </c>
      <c r="EWI20" s="314" t="s">
        <v>203</v>
      </c>
      <c r="EWJ20" s="314" t="s">
        <v>203</v>
      </c>
      <c r="EWK20" s="314" t="s">
        <v>203</v>
      </c>
      <c r="EWL20" s="314" t="s">
        <v>203</v>
      </c>
      <c r="EWM20" s="314" t="s">
        <v>203</v>
      </c>
      <c r="EWN20" s="314" t="s">
        <v>203</v>
      </c>
      <c r="EWO20" s="314" t="s">
        <v>203</v>
      </c>
      <c r="EWP20" s="314" t="s">
        <v>203</v>
      </c>
      <c r="EWQ20" s="314" t="s">
        <v>203</v>
      </c>
      <c r="EWR20" s="314" t="s">
        <v>203</v>
      </c>
      <c r="EWS20" s="314" t="s">
        <v>203</v>
      </c>
      <c r="EWT20" s="314" t="s">
        <v>203</v>
      </c>
      <c r="EWU20" s="314" t="s">
        <v>203</v>
      </c>
      <c r="EWV20" s="314" t="s">
        <v>203</v>
      </c>
      <c r="EWW20" s="314" t="s">
        <v>203</v>
      </c>
      <c r="EWX20" s="314" t="s">
        <v>203</v>
      </c>
      <c r="EWY20" s="314" t="s">
        <v>203</v>
      </c>
      <c r="EWZ20" s="314" t="s">
        <v>203</v>
      </c>
      <c r="EXA20" s="314" t="s">
        <v>203</v>
      </c>
      <c r="EXB20" s="314" t="s">
        <v>203</v>
      </c>
      <c r="EXC20" s="314" t="s">
        <v>203</v>
      </c>
      <c r="EXD20" s="314" t="s">
        <v>203</v>
      </c>
      <c r="EXE20" s="314" t="s">
        <v>203</v>
      </c>
      <c r="EXF20" s="314" t="s">
        <v>203</v>
      </c>
      <c r="EXG20" s="314" t="s">
        <v>203</v>
      </c>
      <c r="EXH20" s="314" t="s">
        <v>203</v>
      </c>
      <c r="EXI20" s="314" t="s">
        <v>203</v>
      </c>
      <c r="EXJ20" s="314" t="s">
        <v>203</v>
      </c>
      <c r="EXK20" s="314" t="s">
        <v>203</v>
      </c>
      <c r="EXL20" s="314" t="s">
        <v>203</v>
      </c>
      <c r="EXM20" s="314" t="s">
        <v>203</v>
      </c>
      <c r="EXN20" s="314" t="s">
        <v>203</v>
      </c>
      <c r="EXO20" s="314" t="s">
        <v>203</v>
      </c>
      <c r="EXP20" s="314" t="s">
        <v>203</v>
      </c>
      <c r="EXQ20" s="314" t="s">
        <v>203</v>
      </c>
      <c r="EXR20" s="314" t="s">
        <v>203</v>
      </c>
      <c r="EXS20" s="314" t="s">
        <v>203</v>
      </c>
      <c r="EXT20" s="314" t="s">
        <v>203</v>
      </c>
      <c r="EXU20" s="314" t="s">
        <v>203</v>
      </c>
      <c r="EXV20" s="314" t="s">
        <v>203</v>
      </c>
      <c r="EXW20" s="314" t="s">
        <v>203</v>
      </c>
      <c r="EXX20" s="314" t="s">
        <v>203</v>
      </c>
      <c r="EXY20" s="314" t="s">
        <v>203</v>
      </c>
      <c r="EXZ20" s="314" t="s">
        <v>203</v>
      </c>
      <c r="EYA20" s="314" t="s">
        <v>203</v>
      </c>
      <c r="EYB20" s="314" t="s">
        <v>203</v>
      </c>
      <c r="EYC20" s="314" t="s">
        <v>203</v>
      </c>
      <c r="EYD20" s="314" t="s">
        <v>203</v>
      </c>
      <c r="EYE20" s="314" t="s">
        <v>203</v>
      </c>
      <c r="EYF20" s="314" t="s">
        <v>203</v>
      </c>
      <c r="EYG20" s="314" t="s">
        <v>203</v>
      </c>
      <c r="EYH20" s="314" t="s">
        <v>203</v>
      </c>
      <c r="EYI20" s="314" t="s">
        <v>203</v>
      </c>
      <c r="EYJ20" s="314" t="s">
        <v>203</v>
      </c>
      <c r="EYK20" s="314" t="s">
        <v>203</v>
      </c>
      <c r="EYL20" s="314" t="s">
        <v>203</v>
      </c>
      <c r="EYM20" s="314" t="s">
        <v>203</v>
      </c>
      <c r="EYN20" s="314" t="s">
        <v>203</v>
      </c>
      <c r="EYO20" s="314" t="s">
        <v>203</v>
      </c>
      <c r="EYP20" s="314" t="s">
        <v>203</v>
      </c>
      <c r="EYQ20" s="314" t="s">
        <v>203</v>
      </c>
      <c r="EYR20" s="314" t="s">
        <v>203</v>
      </c>
      <c r="EYS20" s="314" t="s">
        <v>203</v>
      </c>
      <c r="EYT20" s="314" t="s">
        <v>203</v>
      </c>
      <c r="EYU20" s="314" t="s">
        <v>203</v>
      </c>
      <c r="EYV20" s="314" t="s">
        <v>203</v>
      </c>
      <c r="EYW20" s="314" t="s">
        <v>203</v>
      </c>
      <c r="EYX20" s="314" t="s">
        <v>203</v>
      </c>
      <c r="EYY20" s="314" t="s">
        <v>203</v>
      </c>
      <c r="EYZ20" s="314" t="s">
        <v>203</v>
      </c>
      <c r="EZA20" s="314" t="s">
        <v>203</v>
      </c>
      <c r="EZB20" s="314" t="s">
        <v>203</v>
      </c>
      <c r="EZC20" s="314" t="s">
        <v>203</v>
      </c>
      <c r="EZD20" s="314" t="s">
        <v>203</v>
      </c>
      <c r="EZE20" s="314" t="s">
        <v>203</v>
      </c>
      <c r="EZF20" s="314" t="s">
        <v>203</v>
      </c>
      <c r="EZG20" s="314" t="s">
        <v>203</v>
      </c>
      <c r="EZH20" s="314" t="s">
        <v>203</v>
      </c>
      <c r="EZI20" s="314" t="s">
        <v>203</v>
      </c>
      <c r="EZJ20" s="314" t="s">
        <v>203</v>
      </c>
      <c r="EZK20" s="314" t="s">
        <v>203</v>
      </c>
      <c r="EZL20" s="314" t="s">
        <v>203</v>
      </c>
      <c r="EZM20" s="314" t="s">
        <v>203</v>
      </c>
      <c r="EZN20" s="314" t="s">
        <v>203</v>
      </c>
      <c r="EZO20" s="314" t="s">
        <v>203</v>
      </c>
      <c r="EZP20" s="314" t="s">
        <v>203</v>
      </c>
      <c r="EZQ20" s="314" t="s">
        <v>203</v>
      </c>
      <c r="EZR20" s="314" t="s">
        <v>203</v>
      </c>
      <c r="EZS20" s="314" t="s">
        <v>203</v>
      </c>
      <c r="EZT20" s="314" t="s">
        <v>203</v>
      </c>
      <c r="EZU20" s="314" t="s">
        <v>203</v>
      </c>
      <c r="EZV20" s="314" t="s">
        <v>203</v>
      </c>
      <c r="EZW20" s="314" t="s">
        <v>203</v>
      </c>
      <c r="EZX20" s="314" t="s">
        <v>203</v>
      </c>
      <c r="EZY20" s="314" t="s">
        <v>203</v>
      </c>
      <c r="EZZ20" s="314" t="s">
        <v>203</v>
      </c>
      <c r="FAA20" s="314" t="s">
        <v>203</v>
      </c>
      <c r="FAB20" s="314" t="s">
        <v>203</v>
      </c>
      <c r="FAC20" s="314" t="s">
        <v>203</v>
      </c>
      <c r="FAD20" s="314" t="s">
        <v>203</v>
      </c>
      <c r="FAE20" s="314" t="s">
        <v>203</v>
      </c>
      <c r="FAF20" s="314" t="s">
        <v>203</v>
      </c>
      <c r="FAG20" s="314" t="s">
        <v>203</v>
      </c>
      <c r="FAH20" s="314" t="s">
        <v>203</v>
      </c>
      <c r="FAI20" s="314" t="s">
        <v>203</v>
      </c>
      <c r="FAJ20" s="314" t="s">
        <v>203</v>
      </c>
      <c r="FAK20" s="314" t="s">
        <v>203</v>
      </c>
      <c r="FAL20" s="314" t="s">
        <v>203</v>
      </c>
      <c r="FAM20" s="314" t="s">
        <v>203</v>
      </c>
      <c r="FAN20" s="314" t="s">
        <v>203</v>
      </c>
      <c r="FAO20" s="314" t="s">
        <v>203</v>
      </c>
      <c r="FAP20" s="314" t="s">
        <v>203</v>
      </c>
      <c r="FAQ20" s="314" t="s">
        <v>203</v>
      </c>
      <c r="FAR20" s="314" t="s">
        <v>203</v>
      </c>
      <c r="FAS20" s="314" t="s">
        <v>203</v>
      </c>
      <c r="FAT20" s="314" t="s">
        <v>203</v>
      </c>
      <c r="FAU20" s="314" t="s">
        <v>203</v>
      </c>
      <c r="FAV20" s="314" t="s">
        <v>203</v>
      </c>
      <c r="FAW20" s="314" t="s">
        <v>203</v>
      </c>
      <c r="FAX20" s="314" t="s">
        <v>203</v>
      </c>
      <c r="FAY20" s="314" t="s">
        <v>203</v>
      </c>
      <c r="FAZ20" s="314" t="s">
        <v>203</v>
      </c>
      <c r="FBA20" s="314" t="s">
        <v>203</v>
      </c>
      <c r="FBB20" s="314" t="s">
        <v>203</v>
      </c>
      <c r="FBC20" s="314" t="s">
        <v>203</v>
      </c>
      <c r="FBD20" s="314" t="s">
        <v>203</v>
      </c>
      <c r="FBE20" s="314" t="s">
        <v>203</v>
      </c>
      <c r="FBF20" s="314" t="s">
        <v>203</v>
      </c>
      <c r="FBG20" s="314" t="s">
        <v>203</v>
      </c>
      <c r="FBH20" s="314" t="s">
        <v>203</v>
      </c>
      <c r="FBI20" s="314" t="s">
        <v>203</v>
      </c>
      <c r="FBJ20" s="314" t="s">
        <v>203</v>
      </c>
      <c r="FBK20" s="314" t="s">
        <v>203</v>
      </c>
      <c r="FBL20" s="314" t="s">
        <v>203</v>
      </c>
      <c r="FBM20" s="314" t="s">
        <v>203</v>
      </c>
      <c r="FBN20" s="314" t="s">
        <v>203</v>
      </c>
      <c r="FBO20" s="314" t="s">
        <v>203</v>
      </c>
      <c r="FBP20" s="314" t="s">
        <v>203</v>
      </c>
      <c r="FBQ20" s="314" t="s">
        <v>203</v>
      </c>
      <c r="FBR20" s="314" t="s">
        <v>203</v>
      </c>
      <c r="FBS20" s="314" t="s">
        <v>203</v>
      </c>
      <c r="FBT20" s="314" t="s">
        <v>203</v>
      </c>
      <c r="FBU20" s="314" t="s">
        <v>203</v>
      </c>
      <c r="FBV20" s="314" t="s">
        <v>203</v>
      </c>
      <c r="FBW20" s="314" t="s">
        <v>203</v>
      </c>
      <c r="FBX20" s="314" t="s">
        <v>203</v>
      </c>
      <c r="FBY20" s="314" t="s">
        <v>203</v>
      </c>
      <c r="FBZ20" s="314" t="s">
        <v>203</v>
      </c>
      <c r="FCA20" s="314" t="s">
        <v>203</v>
      </c>
      <c r="FCB20" s="314" t="s">
        <v>203</v>
      </c>
      <c r="FCC20" s="314" t="s">
        <v>203</v>
      </c>
      <c r="FCD20" s="314" t="s">
        <v>203</v>
      </c>
      <c r="FCE20" s="314" t="s">
        <v>203</v>
      </c>
      <c r="FCF20" s="314" t="s">
        <v>203</v>
      </c>
      <c r="FCG20" s="314" t="s">
        <v>203</v>
      </c>
      <c r="FCH20" s="314" t="s">
        <v>203</v>
      </c>
      <c r="FCI20" s="314" t="s">
        <v>203</v>
      </c>
      <c r="FCJ20" s="314" t="s">
        <v>203</v>
      </c>
      <c r="FCK20" s="314" t="s">
        <v>203</v>
      </c>
      <c r="FCL20" s="314" t="s">
        <v>203</v>
      </c>
      <c r="FCM20" s="314" t="s">
        <v>203</v>
      </c>
      <c r="FCN20" s="314" t="s">
        <v>203</v>
      </c>
      <c r="FCO20" s="314" t="s">
        <v>203</v>
      </c>
      <c r="FCP20" s="314" t="s">
        <v>203</v>
      </c>
      <c r="FCQ20" s="314" t="s">
        <v>203</v>
      </c>
      <c r="FCR20" s="314" t="s">
        <v>203</v>
      </c>
      <c r="FCS20" s="314" t="s">
        <v>203</v>
      </c>
      <c r="FCT20" s="314" t="s">
        <v>203</v>
      </c>
      <c r="FCU20" s="314" t="s">
        <v>203</v>
      </c>
      <c r="FCV20" s="314" t="s">
        <v>203</v>
      </c>
      <c r="FCW20" s="314" t="s">
        <v>203</v>
      </c>
      <c r="FCX20" s="314" t="s">
        <v>203</v>
      </c>
      <c r="FCY20" s="314" t="s">
        <v>203</v>
      </c>
      <c r="FCZ20" s="314" t="s">
        <v>203</v>
      </c>
      <c r="FDA20" s="314" t="s">
        <v>203</v>
      </c>
      <c r="FDB20" s="314" t="s">
        <v>203</v>
      </c>
      <c r="FDC20" s="314" t="s">
        <v>203</v>
      </c>
      <c r="FDD20" s="314" t="s">
        <v>203</v>
      </c>
      <c r="FDE20" s="314" t="s">
        <v>203</v>
      </c>
      <c r="FDF20" s="314" t="s">
        <v>203</v>
      </c>
      <c r="FDG20" s="314" t="s">
        <v>203</v>
      </c>
      <c r="FDH20" s="314" t="s">
        <v>203</v>
      </c>
      <c r="FDI20" s="314" t="s">
        <v>203</v>
      </c>
      <c r="FDJ20" s="314" t="s">
        <v>203</v>
      </c>
      <c r="FDK20" s="314" t="s">
        <v>203</v>
      </c>
      <c r="FDL20" s="314" t="s">
        <v>203</v>
      </c>
      <c r="FDM20" s="314" t="s">
        <v>203</v>
      </c>
      <c r="FDN20" s="314" t="s">
        <v>203</v>
      </c>
      <c r="FDO20" s="314" t="s">
        <v>203</v>
      </c>
      <c r="FDP20" s="314" t="s">
        <v>203</v>
      </c>
      <c r="FDQ20" s="314" t="s">
        <v>203</v>
      </c>
      <c r="FDR20" s="314" t="s">
        <v>203</v>
      </c>
      <c r="FDS20" s="314" t="s">
        <v>203</v>
      </c>
      <c r="FDT20" s="314" t="s">
        <v>203</v>
      </c>
      <c r="FDU20" s="314" t="s">
        <v>203</v>
      </c>
      <c r="FDV20" s="314" t="s">
        <v>203</v>
      </c>
      <c r="FDW20" s="314" t="s">
        <v>203</v>
      </c>
      <c r="FDX20" s="314" t="s">
        <v>203</v>
      </c>
      <c r="FDY20" s="314" t="s">
        <v>203</v>
      </c>
      <c r="FDZ20" s="314" t="s">
        <v>203</v>
      </c>
      <c r="FEA20" s="314" t="s">
        <v>203</v>
      </c>
      <c r="FEB20" s="314" t="s">
        <v>203</v>
      </c>
      <c r="FEC20" s="314" t="s">
        <v>203</v>
      </c>
      <c r="FED20" s="314" t="s">
        <v>203</v>
      </c>
      <c r="FEE20" s="314" t="s">
        <v>203</v>
      </c>
      <c r="FEF20" s="314" t="s">
        <v>203</v>
      </c>
      <c r="FEG20" s="314" t="s">
        <v>203</v>
      </c>
      <c r="FEH20" s="314" t="s">
        <v>203</v>
      </c>
      <c r="FEI20" s="314" t="s">
        <v>203</v>
      </c>
      <c r="FEJ20" s="314" t="s">
        <v>203</v>
      </c>
      <c r="FEK20" s="314" t="s">
        <v>203</v>
      </c>
      <c r="FEL20" s="314" t="s">
        <v>203</v>
      </c>
      <c r="FEM20" s="314" t="s">
        <v>203</v>
      </c>
      <c r="FEN20" s="314" t="s">
        <v>203</v>
      </c>
      <c r="FEO20" s="314" t="s">
        <v>203</v>
      </c>
      <c r="FEP20" s="314" t="s">
        <v>203</v>
      </c>
      <c r="FEQ20" s="314" t="s">
        <v>203</v>
      </c>
      <c r="FER20" s="314" t="s">
        <v>203</v>
      </c>
      <c r="FES20" s="314" t="s">
        <v>203</v>
      </c>
      <c r="FET20" s="314" t="s">
        <v>203</v>
      </c>
      <c r="FEU20" s="314" t="s">
        <v>203</v>
      </c>
      <c r="FEV20" s="314" t="s">
        <v>203</v>
      </c>
      <c r="FEW20" s="314" t="s">
        <v>203</v>
      </c>
      <c r="FEX20" s="314" t="s">
        <v>203</v>
      </c>
      <c r="FEY20" s="314" t="s">
        <v>203</v>
      </c>
      <c r="FEZ20" s="314" t="s">
        <v>203</v>
      </c>
      <c r="FFA20" s="314" t="s">
        <v>203</v>
      </c>
      <c r="FFB20" s="314" t="s">
        <v>203</v>
      </c>
      <c r="FFC20" s="314" t="s">
        <v>203</v>
      </c>
      <c r="FFD20" s="314" t="s">
        <v>203</v>
      </c>
      <c r="FFE20" s="314" t="s">
        <v>203</v>
      </c>
      <c r="FFF20" s="314" t="s">
        <v>203</v>
      </c>
      <c r="FFG20" s="314" t="s">
        <v>203</v>
      </c>
      <c r="FFH20" s="314" t="s">
        <v>203</v>
      </c>
      <c r="FFI20" s="314" t="s">
        <v>203</v>
      </c>
      <c r="FFJ20" s="314" t="s">
        <v>203</v>
      </c>
      <c r="FFK20" s="314" t="s">
        <v>203</v>
      </c>
      <c r="FFL20" s="314" t="s">
        <v>203</v>
      </c>
      <c r="FFM20" s="314" t="s">
        <v>203</v>
      </c>
      <c r="FFN20" s="314" t="s">
        <v>203</v>
      </c>
      <c r="FFO20" s="314" t="s">
        <v>203</v>
      </c>
      <c r="FFP20" s="314" t="s">
        <v>203</v>
      </c>
      <c r="FFQ20" s="314" t="s">
        <v>203</v>
      </c>
      <c r="FFR20" s="314" t="s">
        <v>203</v>
      </c>
      <c r="FFS20" s="314" t="s">
        <v>203</v>
      </c>
      <c r="FFT20" s="314" t="s">
        <v>203</v>
      </c>
      <c r="FFU20" s="314" t="s">
        <v>203</v>
      </c>
      <c r="FFV20" s="314" t="s">
        <v>203</v>
      </c>
      <c r="FFW20" s="314" t="s">
        <v>203</v>
      </c>
      <c r="FFX20" s="314" t="s">
        <v>203</v>
      </c>
      <c r="FFY20" s="314" t="s">
        <v>203</v>
      </c>
      <c r="FFZ20" s="314" t="s">
        <v>203</v>
      </c>
      <c r="FGA20" s="314" t="s">
        <v>203</v>
      </c>
      <c r="FGB20" s="314" t="s">
        <v>203</v>
      </c>
      <c r="FGC20" s="314" t="s">
        <v>203</v>
      </c>
      <c r="FGD20" s="314" t="s">
        <v>203</v>
      </c>
      <c r="FGE20" s="314" t="s">
        <v>203</v>
      </c>
      <c r="FGF20" s="314" t="s">
        <v>203</v>
      </c>
      <c r="FGG20" s="314" t="s">
        <v>203</v>
      </c>
      <c r="FGH20" s="314" t="s">
        <v>203</v>
      </c>
      <c r="FGI20" s="314" t="s">
        <v>203</v>
      </c>
      <c r="FGJ20" s="314" t="s">
        <v>203</v>
      </c>
      <c r="FGK20" s="314" t="s">
        <v>203</v>
      </c>
      <c r="FGL20" s="314" t="s">
        <v>203</v>
      </c>
      <c r="FGM20" s="314" t="s">
        <v>203</v>
      </c>
      <c r="FGN20" s="314" t="s">
        <v>203</v>
      </c>
      <c r="FGO20" s="314" t="s">
        <v>203</v>
      </c>
      <c r="FGP20" s="314" t="s">
        <v>203</v>
      </c>
      <c r="FGQ20" s="314" t="s">
        <v>203</v>
      </c>
      <c r="FGR20" s="314" t="s">
        <v>203</v>
      </c>
      <c r="FGS20" s="314" t="s">
        <v>203</v>
      </c>
      <c r="FGT20" s="314" t="s">
        <v>203</v>
      </c>
      <c r="FGU20" s="314" t="s">
        <v>203</v>
      </c>
      <c r="FGV20" s="314" t="s">
        <v>203</v>
      </c>
      <c r="FGW20" s="314" t="s">
        <v>203</v>
      </c>
      <c r="FGX20" s="314" t="s">
        <v>203</v>
      </c>
      <c r="FGY20" s="314" t="s">
        <v>203</v>
      </c>
      <c r="FGZ20" s="314" t="s">
        <v>203</v>
      </c>
      <c r="FHA20" s="314" t="s">
        <v>203</v>
      </c>
      <c r="FHB20" s="314" t="s">
        <v>203</v>
      </c>
      <c r="FHC20" s="314" t="s">
        <v>203</v>
      </c>
      <c r="FHD20" s="314" t="s">
        <v>203</v>
      </c>
      <c r="FHE20" s="314" t="s">
        <v>203</v>
      </c>
      <c r="FHF20" s="314" t="s">
        <v>203</v>
      </c>
      <c r="FHG20" s="314" t="s">
        <v>203</v>
      </c>
      <c r="FHH20" s="314" t="s">
        <v>203</v>
      </c>
      <c r="FHI20" s="314" t="s">
        <v>203</v>
      </c>
      <c r="FHJ20" s="314" t="s">
        <v>203</v>
      </c>
      <c r="FHK20" s="314" t="s">
        <v>203</v>
      </c>
      <c r="FHL20" s="314" t="s">
        <v>203</v>
      </c>
      <c r="FHM20" s="314" t="s">
        <v>203</v>
      </c>
      <c r="FHN20" s="314" t="s">
        <v>203</v>
      </c>
      <c r="FHO20" s="314" t="s">
        <v>203</v>
      </c>
      <c r="FHP20" s="314" t="s">
        <v>203</v>
      </c>
      <c r="FHQ20" s="314" t="s">
        <v>203</v>
      </c>
      <c r="FHR20" s="314" t="s">
        <v>203</v>
      </c>
      <c r="FHS20" s="314" t="s">
        <v>203</v>
      </c>
      <c r="FHT20" s="314" t="s">
        <v>203</v>
      </c>
      <c r="FHU20" s="314" t="s">
        <v>203</v>
      </c>
      <c r="FHV20" s="314" t="s">
        <v>203</v>
      </c>
      <c r="FHW20" s="314" t="s">
        <v>203</v>
      </c>
      <c r="FHX20" s="314" t="s">
        <v>203</v>
      </c>
      <c r="FHY20" s="314" t="s">
        <v>203</v>
      </c>
      <c r="FHZ20" s="314" t="s">
        <v>203</v>
      </c>
      <c r="FIA20" s="314" t="s">
        <v>203</v>
      </c>
      <c r="FIB20" s="314" t="s">
        <v>203</v>
      </c>
      <c r="FIC20" s="314" t="s">
        <v>203</v>
      </c>
      <c r="FID20" s="314" t="s">
        <v>203</v>
      </c>
      <c r="FIE20" s="314" t="s">
        <v>203</v>
      </c>
      <c r="FIF20" s="314" t="s">
        <v>203</v>
      </c>
      <c r="FIG20" s="314" t="s">
        <v>203</v>
      </c>
      <c r="FIH20" s="314" t="s">
        <v>203</v>
      </c>
      <c r="FII20" s="314" t="s">
        <v>203</v>
      </c>
      <c r="FIJ20" s="314" t="s">
        <v>203</v>
      </c>
      <c r="FIK20" s="314" t="s">
        <v>203</v>
      </c>
      <c r="FIL20" s="314" t="s">
        <v>203</v>
      </c>
      <c r="FIM20" s="314" t="s">
        <v>203</v>
      </c>
      <c r="FIN20" s="314" t="s">
        <v>203</v>
      </c>
      <c r="FIO20" s="314" t="s">
        <v>203</v>
      </c>
      <c r="FIP20" s="314" t="s">
        <v>203</v>
      </c>
      <c r="FIQ20" s="314" t="s">
        <v>203</v>
      </c>
      <c r="FIR20" s="314" t="s">
        <v>203</v>
      </c>
      <c r="FIS20" s="314" t="s">
        <v>203</v>
      </c>
      <c r="FIT20" s="314" t="s">
        <v>203</v>
      </c>
      <c r="FIU20" s="314" t="s">
        <v>203</v>
      </c>
      <c r="FIV20" s="314" t="s">
        <v>203</v>
      </c>
      <c r="FIW20" s="314" t="s">
        <v>203</v>
      </c>
      <c r="FIX20" s="314" t="s">
        <v>203</v>
      </c>
      <c r="FIY20" s="314" t="s">
        <v>203</v>
      </c>
      <c r="FIZ20" s="314" t="s">
        <v>203</v>
      </c>
      <c r="FJA20" s="314" t="s">
        <v>203</v>
      </c>
      <c r="FJB20" s="314" t="s">
        <v>203</v>
      </c>
      <c r="FJC20" s="314" t="s">
        <v>203</v>
      </c>
      <c r="FJD20" s="314" t="s">
        <v>203</v>
      </c>
      <c r="FJE20" s="314" t="s">
        <v>203</v>
      </c>
      <c r="FJF20" s="314" t="s">
        <v>203</v>
      </c>
      <c r="FJG20" s="314" t="s">
        <v>203</v>
      </c>
      <c r="FJH20" s="314" t="s">
        <v>203</v>
      </c>
      <c r="FJI20" s="314" t="s">
        <v>203</v>
      </c>
      <c r="FJJ20" s="314" t="s">
        <v>203</v>
      </c>
      <c r="FJK20" s="314" t="s">
        <v>203</v>
      </c>
      <c r="FJL20" s="314" t="s">
        <v>203</v>
      </c>
      <c r="FJM20" s="314" t="s">
        <v>203</v>
      </c>
      <c r="FJN20" s="314" t="s">
        <v>203</v>
      </c>
      <c r="FJO20" s="314" t="s">
        <v>203</v>
      </c>
      <c r="FJP20" s="314" t="s">
        <v>203</v>
      </c>
      <c r="FJQ20" s="314" t="s">
        <v>203</v>
      </c>
      <c r="FJR20" s="314" t="s">
        <v>203</v>
      </c>
      <c r="FJS20" s="314" t="s">
        <v>203</v>
      </c>
      <c r="FJT20" s="314" t="s">
        <v>203</v>
      </c>
      <c r="FJU20" s="314" t="s">
        <v>203</v>
      </c>
      <c r="FJV20" s="314" t="s">
        <v>203</v>
      </c>
      <c r="FJW20" s="314" t="s">
        <v>203</v>
      </c>
      <c r="FJX20" s="314" t="s">
        <v>203</v>
      </c>
      <c r="FJY20" s="314" t="s">
        <v>203</v>
      </c>
      <c r="FJZ20" s="314" t="s">
        <v>203</v>
      </c>
      <c r="FKA20" s="314" t="s">
        <v>203</v>
      </c>
      <c r="FKB20" s="314" t="s">
        <v>203</v>
      </c>
      <c r="FKC20" s="314" t="s">
        <v>203</v>
      </c>
      <c r="FKD20" s="314" t="s">
        <v>203</v>
      </c>
      <c r="FKE20" s="314" t="s">
        <v>203</v>
      </c>
      <c r="FKF20" s="314" t="s">
        <v>203</v>
      </c>
      <c r="FKG20" s="314" t="s">
        <v>203</v>
      </c>
      <c r="FKH20" s="314" t="s">
        <v>203</v>
      </c>
      <c r="FKI20" s="314" t="s">
        <v>203</v>
      </c>
      <c r="FKJ20" s="314" t="s">
        <v>203</v>
      </c>
      <c r="FKK20" s="314" t="s">
        <v>203</v>
      </c>
      <c r="FKL20" s="314" t="s">
        <v>203</v>
      </c>
      <c r="FKM20" s="314" t="s">
        <v>203</v>
      </c>
      <c r="FKN20" s="314" t="s">
        <v>203</v>
      </c>
      <c r="FKO20" s="314" t="s">
        <v>203</v>
      </c>
      <c r="FKP20" s="314" t="s">
        <v>203</v>
      </c>
      <c r="FKQ20" s="314" t="s">
        <v>203</v>
      </c>
      <c r="FKR20" s="314" t="s">
        <v>203</v>
      </c>
      <c r="FKS20" s="314" t="s">
        <v>203</v>
      </c>
      <c r="FKT20" s="314" t="s">
        <v>203</v>
      </c>
      <c r="FKU20" s="314" t="s">
        <v>203</v>
      </c>
      <c r="FKV20" s="314" t="s">
        <v>203</v>
      </c>
      <c r="FKW20" s="314" t="s">
        <v>203</v>
      </c>
      <c r="FKX20" s="314" t="s">
        <v>203</v>
      </c>
      <c r="FKY20" s="314" t="s">
        <v>203</v>
      </c>
      <c r="FKZ20" s="314" t="s">
        <v>203</v>
      </c>
      <c r="FLA20" s="314" t="s">
        <v>203</v>
      </c>
      <c r="FLB20" s="314" t="s">
        <v>203</v>
      </c>
      <c r="FLC20" s="314" t="s">
        <v>203</v>
      </c>
      <c r="FLD20" s="314" t="s">
        <v>203</v>
      </c>
      <c r="FLE20" s="314" t="s">
        <v>203</v>
      </c>
      <c r="FLF20" s="314" t="s">
        <v>203</v>
      </c>
      <c r="FLG20" s="314" t="s">
        <v>203</v>
      </c>
      <c r="FLH20" s="314" t="s">
        <v>203</v>
      </c>
      <c r="FLI20" s="314" t="s">
        <v>203</v>
      </c>
      <c r="FLJ20" s="314" t="s">
        <v>203</v>
      </c>
      <c r="FLK20" s="314" t="s">
        <v>203</v>
      </c>
      <c r="FLL20" s="314" t="s">
        <v>203</v>
      </c>
      <c r="FLM20" s="314" t="s">
        <v>203</v>
      </c>
      <c r="FLN20" s="314" t="s">
        <v>203</v>
      </c>
      <c r="FLO20" s="314" t="s">
        <v>203</v>
      </c>
      <c r="FLP20" s="314" t="s">
        <v>203</v>
      </c>
      <c r="FLQ20" s="314" t="s">
        <v>203</v>
      </c>
      <c r="FLR20" s="314" t="s">
        <v>203</v>
      </c>
      <c r="FLS20" s="314" t="s">
        <v>203</v>
      </c>
      <c r="FLT20" s="314" t="s">
        <v>203</v>
      </c>
      <c r="FLU20" s="314" t="s">
        <v>203</v>
      </c>
      <c r="FLV20" s="314" t="s">
        <v>203</v>
      </c>
      <c r="FLW20" s="314" t="s">
        <v>203</v>
      </c>
      <c r="FLX20" s="314" t="s">
        <v>203</v>
      </c>
      <c r="FLY20" s="314" t="s">
        <v>203</v>
      </c>
      <c r="FLZ20" s="314" t="s">
        <v>203</v>
      </c>
      <c r="FMA20" s="314" t="s">
        <v>203</v>
      </c>
      <c r="FMB20" s="314" t="s">
        <v>203</v>
      </c>
      <c r="FMC20" s="314" t="s">
        <v>203</v>
      </c>
      <c r="FMD20" s="314" t="s">
        <v>203</v>
      </c>
      <c r="FME20" s="314" t="s">
        <v>203</v>
      </c>
      <c r="FMF20" s="314" t="s">
        <v>203</v>
      </c>
      <c r="FMG20" s="314" t="s">
        <v>203</v>
      </c>
      <c r="FMH20" s="314" t="s">
        <v>203</v>
      </c>
      <c r="FMI20" s="314" t="s">
        <v>203</v>
      </c>
      <c r="FMJ20" s="314" t="s">
        <v>203</v>
      </c>
      <c r="FMK20" s="314" t="s">
        <v>203</v>
      </c>
      <c r="FML20" s="314" t="s">
        <v>203</v>
      </c>
      <c r="FMM20" s="314" t="s">
        <v>203</v>
      </c>
      <c r="FMN20" s="314" t="s">
        <v>203</v>
      </c>
      <c r="FMO20" s="314" t="s">
        <v>203</v>
      </c>
      <c r="FMP20" s="314" t="s">
        <v>203</v>
      </c>
      <c r="FMQ20" s="314" t="s">
        <v>203</v>
      </c>
      <c r="FMR20" s="314" t="s">
        <v>203</v>
      </c>
      <c r="FMS20" s="314" t="s">
        <v>203</v>
      </c>
      <c r="FMT20" s="314" t="s">
        <v>203</v>
      </c>
      <c r="FMU20" s="314" t="s">
        <v>203</v>
      </c>
      <c r="FMV20" s="314" t="s">
        <v>203</v>
      </c>
      <c r="FMW20" s="314" t="s">
        <v>203</v>
      </c>
      <c r="FMX20" s="314" t="s">
        <v>203</v>
      </c>
      <c r="FMY20" s="314" t="s">
        <v>203</v>
      </c>
      <c r="FMZ20" s="314" t="s">
        <v>203</v>
      </c>
      <c r="FNA20" s="314" t="s">
        <v>203</v>
      </c>
      <c r="FNB20" s="314" t="s">
        <v>203</v>
      </c>
      <c r="FNC20" s="314" t="s">
        <v>203</v>
      </c>
      <c r="FND20" s="314" t="s">
        <v>203</v>
      </c>
      <c r="FNE20" s="314" t="s">
        <v>203</v>
      </c>
      <c r="FNF20" s="314" t="s">
        <v>203</v>
      </c>
      <c r="FNG20" s="314" t="s">
        <v>203</v>
      </c>
      <c r="FNH20" s="314" t="s">
        <v>203</v>
      </c>
      <c r="FNI20" s="314" t="s">
        <v>203</v>
      </c>
      <c r="FNJ20" s="314" t="s">
        <v>203</v>
      </c>
      <c r="FNK20" s="314" t="s">
        <v>203</v>
      </c>
      <c r="FNL20" s="314" t="s">
        <v>203</v>
      </c>
      <c r="FNM20" s="314" t="s">
        <v>203</v>
      </c>
      <c r="FNN20" s="314" t="s">
        <v>203</v>
      </c>
      <c r="FNO20" s="314" t="s">
        <v>203</v>
      </c>
      <c r="FNP20" s="314" t="s">
        <v>203</v>
      </c>
      <c r="FNQ20" s="314" t="s">
        <v>203</v>
      </c>
      <c r="FNR20" s="314" t="s">
        <v>203</v>
      </c>
      <c r="FNS20" s="314" t="s">
        <v>203</v>
      </c>
      <c r="FNT20" s="314" t="s">
        <v>203</v>
      </c>
      <c r="FNU20" s="314" t="s">
        <v>203</v>
      </c>
      <c r="FNV20" s="314" t="s">
        <v>203</v>
      </c>
      <c r="FNW20" s="314" t="s">
        <v>203</v>
      </c>
      <c r="FNX20" s="314" t="s">
        <v>203</v>
      </c>
      <c r="FNY20" s="314" t="s">
        <v>203</v>
      </c>
      <c r="FNZ20" s="314" t="s">
        <v>203</v>
      </c>
      <c r="FOA20" s="314" t="s">
        <v>203</v>
      </c>
      <c r="FOB20" s="314" t="s">
        <v>203</v>
      </c>
      <c r="FOC20" s="314" t="s">
        <v>203</v>
      </c>
      <c r="FOD20" s="314" t="s">
        <v>203</v>
      </c>
      <c r="FOE20" s="314" t="s">
        <v>203</v>
      </c>
      <c r="FOF20" s="314" t="s">
        <v>203</v>
      </c>
      <c r="FOG20" s="314" t="s">
        <v>203</v>
      </c>
      <c r="FOH20" s="314" t="s">
        <v>203</v>
      </c>
      <c r="FOI20" s="314" t="s">
        <v>203</v>
      </c>
      <c r="FOJ20" s="314" t="s">
        <v>203</v>
      </c>
      <c r="FOK20" s="314" t="s">
        <v>203</v>
      </c>
      <c r="FOL20" s="314" t="s">
        <v>203</v>
      </c>
      <c r="FOM20" s="314" t="s">
        <v>203</v>
      </c>
      <c r="FON20" s="314" t="s">
        <v>203</v>
      </c>
      <c r="FOO20" s="314" t="s">
        <v>203</v>
      </c>
      <c r="FOP20" s="314" t="s">
        <v>203</v>
      </c>
      <c r="FOQ20" s="314" t="s">
        <v>203</v>
      </c>
      <c r="FOR20" s="314" t="s">
        <v>203</v>
      </c>
      <c r="FOS20" s="314" t="s">
        <v>203</v>
      </c>
      <c r="FOT20" s="314" t="s">
        <v>203</v>
      </c>
      <c r="FOU20" s="314" t="s">
        <v>203</v>
      </c>
      <c r="FOV20" s="314" t="s">
        <v>203</v>
      </c>
      <c r="FOW20" s="314" t="s">
        <v>203</v>
      </c>
      <c r="FOX20" s="314" t="s">
        <v>203</v>
      </c>
      <c r="FOY20" s="314" t="s">
        <v>203</v>
      </c>
      <c r="FOZ20" s="314" t="s">
        <v>203</v>
      </c>
      <c r="FPA20" s="314" t="s">
        <v>203</v>
      </c>
      <c r="FPB20" s="314" t="s">
        <v>203</v>
      </c>
      <c r="FPC20" s="314" t="s">
        <v>203</v>
      </c>
      <c r="FPD20" s="314" t="s">
        <v>203</v>
      </c>
      <c r="FPE20" s="314" t="s">
        <v>203</v>
      </c>
      <c r="FPF20" s="314" t="s">
        <v>203</v>
      </c>
      <c r="FPG20" s="314" t="s">
        <v>203</v>
      </c>
      <c r="FPH20" s="314" t="s">
        <v>203</v>
      </c>
      <c r="FPI20" s="314" t="s">
        <v>203</v>
      </c>
      <c r="FPJ20" s="314" t="s">
        <v>203</v>
      </c>
      <c r="FPK20" s="314" t="s">
        <v>203</v>
      </c>
      <c r="FPL20" s="314" t="s">
        <v>203</v>
      </c>
      <c r="FPM20" s="314" t="s">
        <v>203</v>
      </c>
      <c r="FPN20" s="314" t="s">
        <v>203</v>
      </c>
      <c r="FPO20" s="314" t="s">
        <v>203</v>
      </c>
      <c r="FPP20" s="314" t="s">
        <v>203</v>
      </c>
      <c r="FPQ20" s="314" t="s">
        <v>203</v>
      </c>
      <c r="FPR20" s="314" t="s">
        <v>203</v>
      </c>
      <c r="FPS20" s="314" t="s">
        <v>203</v>
      </c>
      <c r="FPT20" s="314" t="s">
        <v>203</v>
      </c>
      <c r="FPU20" s="314" t="s">
        <v>203</v>
      </c>
      <c r="FPV20" s="314" t="s">
        <v>203</v>
      </c>
      <c r="FPW20" s="314" t="s">
        <v>203</v>
      </c>
      <c r="FPX20" s="314" t="s">
        <v>203</v>
      </c>
      <c r="FPY20" s="314" t="s">
        <v>203</v>
      </c>
      <c r="FPZ20" s="314" t="s">
        <v>203</v>
      </c>
      <c r="FQA20" s="314" t="s">
        <v>203</v>
      </c>
      <c r="FQB20" s="314" t="s">
        <v>203</v>
      </c>
      <c r="FQC20" s="314" t="s">
        <v>203</v>
      </c>
      <c r="FQD20" s="314" t="s">
        <v>203</v>
      </c>
      <c r="FQE20" s="314" t="s">
        <v>203</v>
      </c>
      <c r="FQF20" s="314" t="s">
        <v>203</v>
      </c>
      <c r="FQG20" s="314" t="s">
        <v>203</v>
      </c>
      <c r="FQH20" s="314" t="s">
        <v>203</v>
      </c>
      <c r="FQI20" s="314" t="s">
        <v>203</v>
      </c>
      <c r="FQJ20" s="314" t="s">
        <v>203</v>
      </c>
      <c r="FQK20" s="314" t="s">
        <v>203</v>
      </c>
      <c r="FQL20" s="314" t="s">
        <v>203</v>
      </c>
      <c r="FQM20" s="314" t="s">
        <v>203</v>
      </c>
      <c r="FQN20" s="314" t="s">
        <v>203</v>
      </c>
      <c r="FQO20" s="314" t="s">
        <v>203</v>
      </c>
      <c r="FQP20" s="314" t="s">
        <v>203</v>
      </c>
      <c r="FQQ20" s="314" t="s">
        <v>203</v>
      </c>
      <c r="FQR20" s="314" t="s">
        <v>203</v>
      </c>
      <c r="FQS20" s="314" t="s">
        <v>203</v>
      </c>
      <c r="FQT20" s="314" t="s">
        <v>203</v>
      </c>
      <c r="FQU20" s="314" t="s">
        <v>203</v>
      </c>
      <c r="FQV20" s="314" t="s">
        <v>203</v>
      </c>
      <c r="FQW20" s="314" t="s">
        <v>203</v>
      </c>
      <c r="FQX20" s="314" t="s">
        <v>203</v>
      </c>
      <c r="FQY20" s="314" t="s">
        <v>203</v>
      </c>
      <c r="FQZ20" s="314" t="s">
        <v>203</v>
      </c>
      <c r="FRA20" s="314" t="s">
        <v>203</v>
      </c>
      <c r="FRB20" s="314" t="s">
        <v>203</v>
      </c>
      <c r="FRC20" s="314" t="s">
        <v>203</v>
      </c>
      <c r="FRD20" s="314" t="s">
        <v>203</v>
      </c>
      <c r="FRE20" s="314" t="s">
        <v>203</v>
      </c>
      <c r="FRF20" s="314" t="s">
        <v>203</v>
      </c>
      <c r="FRG20" s="314" t="s">
        <v>203</v>
      </c>
      <c r="FRH20" s="314" t="s">
        <v>203</v>
      </c>
      <c r="FRI20" s="314" t="s">
        <v>203</v>
      </c>
      <c r="FRJ20" s="314" t="s">
        <v>203</v>
      </c>
      <c r="FRK20" s="314" t="s">
        <v>203</v>
      </c>
      <c r="FRL20" s="314" t="s">
        <v>203</v>
      </c>
      <c r="FRM20" s="314" t="s">
        <v>203</v>
      </c>
      <c r="FRN20" s="314" t="s">
        <v>203</v>
      </c>
      <c r="FRO20" s="314" t="s">
        <v>203</v>
      </c>
      <c r="FRP20" s="314" t="s">
        <v>203</v>
      </c>
      <c r="FRQ20" s="314" t="s">
        <v>203</v>
      </c>
      <c r="FRR20" s="314" t="s">
        <v>203</v>
      </c>
      <c r="FRS20" s="314" t="s">
        <v>203</v>
      </c>
      <c r="FRT20" s="314" t="s">
        <v>203</v>
      </c>
      <c r="FRU20" s="314" t="s">
        <v>203</v>
      </c>
      <c r="FRV20" s="314" t="s">
        <v>203</v>
      </c>
      <c r="FRW20" s="314" t="s">
        <v>203</v>
      </c>
      <c r="FRX20" s="314" t="s">
        <v>203</v>
      </c>
      <c r="FRY20" s="314" t="s">
        <v>203</v>
      </c>
      <c r="FRZ20" s="314" t="s">
        <v>203</v>
      </c>
      <c r="FSA20" s="314" t="s">
        <v>203</v>
      </c>
      <c r="FSB20" s="314" t="s">
        <v>203</v>
      </c>
      <c r="FSC20" s="314" t="s">
        <v>203</v>
      </c>
      <c r="FSD20" s="314" t="s">
        <v>203</v>
      </c>
      <c r="FSE20" s="314" t="s">
        <v>203</v>
      </c>
      <c r="FSF20" s="314" t="s">
        <v>203</v>
      </c>
      <c r="FSG20" s="314" t="s">
        <v>203</v>
      </c>
      <c r="FSH20" s="314" t="s">
        <v>203</v>
      </c>
      <c r="FSI20" s="314" t="s">
        <v>203</v>
      </c>
      <c r="FSJ20" s="314" t="s">
        <v>203</v>
      </c>
      <c r="FSK20" s="314" t="s">
        <v>203</v>
      </c>
      <c r="FSL20" s="314" t="s">
        <v>203</v>
      </c>
      <c r="FSM20" s="314" t="s">
        <v>203</v>
      </c>
      <c r="FSN20" s="314" t="s">
        <v>203</v>
      </c>
      <c r="FSO20" s="314" t="s">
        <v>203</v>
      </c>
      <c r="FSP20" s="314" t="s">
        <v>203</v>
      </c>
      <c r="FSQ20" s="314" t="s">
        <v>203</v>
      </c>
      <c r="FSR20" s="314" t="s">
        <v>203</v>
      </c>
      <c r="FSS20" s="314" t="s">
        <v>203</v>
      </c>
      <c r="FST20" s="314" t="s">
        <v>203</v>
      </c>
      <c r="FSU20" s="314" t="s">
        <v>203</v>
      </c>
      <c r="FSV20" s="314" t="s">
        <v>203</v>
      </c>
      <c r="FSW20" s="314" t="s">
        <v>203</v>
      </c>
      <c r="FSX20" s="314" t="s">
        <v>203</v>
      </c>
      <c r="FSY20" s="314" t="s">
        <v>203</v>
      </c>
      <c r="FSZ20" s="314" t="s">
        <v>203</v>
      </c>
      <c r="FTA20" s="314" t="s">
        <v>203</v>
      </c>
      <c r="FTB20" s="314" t="s">
        <v>203</v>
      </c>
      <c r="FTC20" s="314" t="s">
        <v>203</v>
      </c>
      <c r="FTD20" s="314" t="s">
        <v>203</v>
      </c>
      <c r="FTE20" s="314" t="s">
        <v>203</v>
      </c>
      <c r="FTF20" s="314" t="s">
        <v>203</v>
      </c>
      <c r="FTG20" s="314" t="s">
        <v>203</v>
      </c>
      <c r="FTH20" s="314" t="s">
        <v>203</v>
      </c>
      <c r="FTI20" s="314" t="s">
        <v>203</v>
      </c>
      <c r="FTJ20" s="314" t="s">
        <v>203</v>
      </c>
      <c r="FTK20" s="314" t="s">
        <v>203</v>
      </c>
      <c r="FTL20" s="314" t="s">
        <v>203</v>
      </c>
      <c r="FTM20" s="314" t="s">
        <v>203</v>
      </c>
      <c r="FTN20" s="314" t="s">
        <v>203</v>
      </c>
      <c r="FTO20" s="314" t="s">
        <v>203</v>
      </c>
      <c r="FTP20" s="314" t="s">
        <v>203</v>
      </c>
      <c r="FTQ20" s="314" t="s">
        <v>203</v>
      </c>
      <c r="FTR20" s="314" t="s">
        <v>203</v>
      </c>
      <c r="FTS20" s="314" t="s">
        <v>203</v>
      </c>
      <c r="FTT20" s="314" t="s">
        <v>203</v>
      </c>
      <c r="FTU20" s="314" t="s">
        <v>203</v>
      </c>
      <c r="FTV20" s="314" t="s">
        <v>203</v>
      </c>
      <c r="FTW20" s="314" t="s">
        <v>203</v>
      </c>
      <c r="FTX20" s="314" t="s">
        <v>203</v>
      </c>
      <c r="FTY20" s="314" t="s">
        <v>203</v>
      </c>
      <c r="FTZ20" s="314" t="s">
        <v>203</v>
      </c>
      <c r="FUA20" s="314" t="s">
        <v>203</v>
      </c>
      <c r="FUB20" s="314" t="s">
        <v>203</v>
      </c>
      <c r="FUC20" s="314" t="s">
        <v>203</v>
      </c>
      <c r="FUD20" s="314" t="s">
        <v>203</v>
      </c>
      <c r="FUE20" s="314" t="s">
        <v>203</v>
      </c>
      <c r="FUF20" s="314" t="s">
        <v>203</v>
      </c>
      <c r="FUG20" s="314" t="s">
        <v>203</v>
      </c>
      <c r="FUH20" s="314" t="s">
        <v>203</v>
      </c>
      <c r="FUI20" s="314" t="s">
        <v>203</v>
      </c>
      <c r="FUJ20" s="314" t="s">
        <v>203</v>
      </c>
      <c r="FUK20" s="314" t="s">
        <v>203</v>
      </c>
      <c r="FUL20" s="314" t="s">
        <v>203</v>
      </c>
      <c r="FUM20" s="314" t="s">
        <v>203</v>
      </c>
      <c r="FUN20" s="314" t="s">
        <v>203</v>
      </c>
      <c r="FUO20" s="314" t="s">
        <v>203</v>
      </c>
      <c r="FUP20" s="314" t="s">
        <v>203</v>
      </c>
      <c r="FUQ20" s="314" t="s">
        <v>203</v>
      </c>
      <c r="FUR20" s="314" t="s">
        <v>203</v>
      </c>
      <c r="FUS20" s="314" t="s">
        <v>203</v>
      </c>
      <c r="FUT20" s="314" t="s">
        <v>203</v>
      </c>
      <c r="FUU20" s="314" t="s">
        <v>203</v>
      </c>
      <c r="FUV20" s="314" t="s">
        <v>203</v>
      </c>
      <c r="FUW20" s="314" t="s">
        <v>203</v>
      </c>
      <c r="FUX20" s="314" t="s">
        <v>203</v>
      </c>
      <c r="FUY20" s="314" t="s">
        <v>203</v>
      </c>
      <c r="FUZ20" s="314" t="s">
        <v>203</v>
      </c>
      <c r="FVA20" s="314" t="s">
        <v>203</v>
      </c>
      <c r="FVB20" s="314" t="s">
        <v>203</v>
      </c>
      <c r="FVC20" s="314" t="s">
        <v>203</v>
      </c>
      <c r="FVD20" s="314" t="s">
        <v>203</v>
      </c>
      <c r="FVE20" s="314" t="s">
        <v>203</v>
      </c>
      <c r="FVF20" s="314" t="s">
        <v>203</v>
      </c>
      <c r="FVG20" s="314" t="s">
        <v>203</v>
      </c>
      <c r="FVH20" s="314" t="s">
        <v>203</v>
      </c>
      <c r="FVI20" s="314" t="s">
        <v>203</v>
      </c>
      <c r="FVJ20" s="314" t="s">
        <v>203</v>
      </c>
      <c r="FVK20" s="314" t="s">
        <v>203</v>
      </c>
      <c r="FVL20" s="314" t="s">
        <v>203</v>
      </c>
      <c r="FVM20" s="314" t="s">
        <v>203</v>
      </c>
      <c r="FVN20" s="314" t="s">
        <v>203</v>
      </c>
      <c r="FVO20" s="314" t="s">
        <v>203</v>
      </c>
      <c r="FVP20" s="314" t="s">
        <v>203</v>
      </c>
      <c r="FVQ20" s="314" t="s">
        <v>203</v>
      </c>
      <c r="FVR20" s="314" t="s">
        <v>203</v>
      </c>
      <c r="FVS20" s="314" t="s">
        <v>203</v>
      </c>
      <c r="FVT20" s="314" t="s">
        <v>203</v>
      </c>
      <c r="FVU20" s="314" t="s">
        <v>203</v>
      </c>
      <c r="FVV20" s="314" t="s">
        <v>203</v>
      </c>
      <c r="FVW20" s="314" t="s">
        <v>203</v>
      </c>
      <c r="FVX20" s="314" t="s">
        <v>203</v>
      </c>
      <c r="FVY20" s="314" t="s">
        <v>203</v>
      </c>
      <c r="FVZ20" s="314" t="s">
        <v>203</v>
      </c>
      <c r="FWA20" s="314" t="s">
        <v>203</v>
      </c>
      <c r="FWB20" s="314" t="s">
        <v>203</v>
      </c>
      <c r="FWC20" s="314" t="s">
        <v>203</v>
      </c>
      <c r="FWD20" s="314" t="s">
        <v>203</v>
      </c>
      <c r="FWE20" s="314" t="s">
        <v>203</v>
      </c>
      <c r="FWF20" s="314" t="s">
        <v>203</v>
      </c>
      <c r="FWG20" s="314" t="s">
        <v>203</v>
      </c>
      <c r="FWH20" s="314" t="s">
        <v>203</v>
      </c>
      <c r="FWI20" s="314" t="s">
        <v>203</v>
      </c>
      <c r="FWJ20" s="314" t="s">
        <v>203</v>
      </c>
      <c r="FWK20" s="314" t="s">
        <v>203</v>
      </c>
      <c r="FWL20" s="314" t="s">
        <v>203</v>
      </c>
      <c r="FWM20" s="314" t="s">
        <v>203</v>
      </c>
      <c r="FWN20" s="314" t="s">
        <v>203</v>
      </c>
      <c r="FWO20" s="314" t="s">
        <v>203</v>
      </c>
      <c r="FWP20" s="314" t="s">
        <v>203</v>
      </c>
      <c r="FWQ20" s="314" t="s">
        <v>203</v>
      </c>
      <c r="FWR20" s="314" t="s">
        <v>203</v>
      </c>
      <c r="FWS20" s="314" t="s">
        <v>203</v>
      </c>
      <c r="FWT20" s="314" t="s">
        <v>203</v>
      </c>
      <c r="FWU20" s="314" t="s">
        <v>203</v>
      </c>
      <c r="FWV20" s="314" t="s">
        <v>203</v>
      </c>
      <c r="FWW20" s="314" t="s">
        <v>203</v>
      </c>
      <c r="FWX20" s="314" t="s">
        <v>203</v>
      </c>
      <c r="FWY20" s="314" t="s">
        <v>203</v>
      </c>
      <c r="FWZ20" s="314" t="s">
        <v>203</v>
      </c>
      <c r="FXA20" s="314" t="s">
        <v>203</v>
      </c>
      <c r="FXB20" s="314" t="s">
        <v>203</v>
      </c>
      <c r="FXC20" s="314" t="s">
        <v>203</v>
      </c>
      <c r="FXD20" s="314" t="s">
        <v>203</v>
      </c>
      <c r="FXE20" s="314" t="s">
        <v>203</v>
      </c>
      <c r="FXF20" s="314" t="s">
        <v>203</v>
      </c>
      <c r="FXG20" s="314" t="s">
        <v>203</v>
      </c>
      <c r="FXH20" s="314" t="s">
        <v>203</v>
      </c>
      <c r="FXI20" s="314" t="s">
        <v>203</v>
      </c>
      <c r="FXJ20" s="314" t="s">
        <v>203</v>
      </c>
      <c r="FXK20" s="314" t="s">
        <v>203</v>
      </c>
      <c r="FXL20" s="314" t="s">
        <v>203</v>
      </c>
      <c r="FXM20" s="314" t="s">
        <v>203</v>
      </c>
      <c r="FXN20" s="314" t="s">
        <v>203</v>
      </c>
      <c r="FXO20" s="314" t="s">
        <v>203</v>
      </c>
      <c r="FXP20" s="314" t="s">
        <v>203</v>
      </c>
      <c r="FXQ20" s="314" t="s">
        <v>203</v>
      </c>
      <c r="FXR20" s="314" t="s">
        <v>203</v>
      </c>
      <c r="FXS20" s="314" t="s">
        <v>203</v>
      </c>
      <c r="FXT20" s="314" t="s">
        <v>203</v>
      </c>
      <c r="FXU20" s="314" t="s">
        <v>203</v>
      </c>
      <c r="FXV20" s="314" t="s">
        <v>203</v>
      </c>
      <c r="FXW20" s="314" t="s">
        <v>203</v>
      </c>
      <c r="FXX20" s="314" t="s">
        <v>203</v>
      </c>
      <c r="FXY20" s="314" t="s">
        <v>203</v>
      </c>
      <c r="FXZ20" s="314" t="s">
        <v>203</v>
      </c>
      <c r="FYA20" s="314" t="s">
        <v>203</v>
      </c>
      <c r="FYB20" s="314" t="s">
        <v>203</v>
      </c>
      <c r="FYC20" s="314" t="s">
        <v>203</v>
      </c>
      <c r="FYD20" s="314" t="s">
        <v>203</v>
      </c>
      <c r="FYE20" s="314" t="s">
        <v>203</v>
      </c>
      <c r="FYF20" s="314" t="s">
        <v>203</v>
      </c>
      <c r="FYG20" s="314" t="s">
        <v>203</v>
      </c>
      <c r="FYH20" s="314" t="s">
        <v>203</v>
      </c>
      <c r="FYI20" s="314" t="s">
        <v>203</v>
      </c>
      <c r="FYJ20" s="314" t="s">
        <v>203</v>
      </c>
      <c r="FYK20" s="314" t="s">
        <v>203</v>
      </c>
      <c r="FYL20" s="314" t="s">
        <v>203</v>
      </c>
      <c r="FYM20" s="314" t="s">
        <v>203</v>
      </c>
      <c r="FYN20" s="314" t="s">
        <v>203</v>
      </c>
      <c r="FYO20" s="314" t="s">
        <v>203</v>
      </c>
      <c r="FYP20" s="314" t="s">
        <v>203</v>
      </c>
      <c r="FYQ20" s="314" t="s">
        <v>203</v>
      </c>
      <c r="FYR20" s="314" t="s">
        <v>203</v>
      </c>
      <c r="FYS20" s="314" t="s">
        <v>203</v>
      </c>
      <c r="FYT20" s="314" t="s">
        <v>203</v>
      </c>
      <c r="FYU20" s="314" t="s">
        <v>203</v>
      </c>
      <c r="FYV20" s="314" t="s">
        <v>203</v>
      </c>
      <c r="FYW20" s="314" t="s">
        <v>203</v>
      </c>
      <c r="FYX20" s="314" t="s">
        <v>203</v>
      </c>
      <c r="FYY20" s="314" t="s">
        <v>203</v>
      </c>
      <c r="FYZ20" s="314" t="s">
        <v>203</v>
      </c>
      <c r="FZA20" s="314" t="s">
        <v>203</v>
      </c>
      <c r="FZB20" s="314" t="s">
        <v>203</v>
      </c>
      <c r="FZC20" s="314" t="s">
        <v>203</v>
      </c>
      <c r="FZD20" s="314" t="s">
        <v>203</v>
      </c>
      <c r="FZE20" s="314" t="s">
        <v>203</v>
      </c>
      <c r="FZF20" s="314" t="s">
        <v>203</v>
      </c>
      <c r="FZG20" s="314" t="s">
        <v>203</v>
      </c>
      <c r="FZH20" s="314" t="s">
        <v>203</v>
      </c>
      <c r="FZI20" s="314" t="s">
        <v>203</v>
      </c>
      <c r="FZJ20" s="314" t="s">
        <v>203</v>
      </c>
      <c r="FZK20" s="314" t="s">
        <v>203</v>
      </c>
      <c r="FZL20" s="314" t="s">
        <v>203</v>
      </c>
      <c r="FZM20" s="314" t="s">
        <v>203</v>
      </c>
      <c r="FZN20" s="314" t="s">
        <v>203</v>
      </c>
      <c r="FZO20" s="314" t="s">
        <v>203</v>
      </c>
      <c r="FZP20" s="314" t="s">
        <v>203</v>
      </c>
      <c r="FZQ20" s="314" t="s">
        <v>203</v>
      </c>
      <c r="FZR20" s="314" t="s">
        <v>203</v>
      </c>
      <c r="FZS20" s="314" t="s">
        <v>203</v>
      </c>
      <c r="FZT20" s="314" t="s">
        <v>203</v>
      </c>
      <c r="FZU20" s="314" t="s">
        <v>203</v>
      </c>
      <c r="FZV20" s="314" t="s">
        <v>203</v>
      </c>
      <c r="FZW20" s="314" t="s">
        <v>203</v>
      </c>
      <c r="FZX20" s="314" t="s">
        <v>203</v>
      </c>
      <c r="FZY20" s="314" t="s">
        <v>203</v>
      </c>
      <c r="FZZ20" s="314" t="s">
        <v>203</v>
      </c>
      <c r="GAA20" s="314" t="s">
        <v>203</v>
      </c>
      <c r="GAB20" s="314" t="s">
        <v>203</v>
      </c>
      <c r="GAC20" s="314" t="s">
        <v>203</v>
      </c>
      <c r="GAD20" s="314" t="s">
        <v>203</v>
      </c>
      <c r="GAE20" s="314" t="s">
        <v>203</v>
      </c>
      <c r="GAF20" s="314" t="s">
        <v>203</v>
      </c>
      <c r="GAG20" s="314" t="s">
        <v>203</v>
      </c>
      <c r="GAH20" s="314" t="s">
        <v>203</v>
      </c>
      <c r="GAI20" s="314" t="s">
        <v>203</v>
      </c>
      <c r="GAJ20" s="314" t="s">
        <v>203</v>
      </c>
      <c r="GAK20" s="314" t="s">
        <v>203</v>
      </c>
      <c r="GAL20" s="314" t="s">
        <v>203</v>
      </c>
      <c r="GAM20" s="314" t="s">
        <v>203</v>
      </c>
      <c r="GAN20" s="314" t="s">
        <v>203</v>
      </c>
      <c r="GAO20" s="314" t="s">
        <v>203</v>
      </c>
      <c r="GAP20" s="314" t="s">
        <v>203</v>
      </c>
      <c r="GAQ20" s="314" t="s">
        <v>203</v>
      </c>
      <c r="GAR20" s="314" t="s">
        <v>203</v>
      </c>
      <c r="GAS20" s="314" t="s">
        <v>203</v>
      </c>
      <c r="GAT20" s="314" t="s">
        <v>203</v>
      </c>
      <c r="GAU20" s="314" t="s">
        <v>203</v>
      </c>
      <c r="GAV20" s="314" t="s">
        <v>203</v>
      </c>
      <c r="GAW20" s="314" t="s">
        <v>203</v>
      </c>
      <c r="GAX20" s="314" t="s">
        <v>203</v>
      </c>
      <c r="GAY20" s="314" t="s">
        <v>203</v>
      </c>
      <c r="GAZ20" s="314" t="s">
        <v>203</v>
      </c>
      <c r="GBA20" s="314" t="s">
        <v>203</v>
      </c>
      <c r="GBB20" s="314" t="s">
        <v>203</v>
      </c>
      <c r="GBC20" s="314" t="s">
        <v>203</v>
      </c>
      <c r="GBD20" s="314" t="s">
        <v>203</v>
      </c>
      <c r="GBE20" s="314" t="s">
        <v>203</v>
      </c>
      <c r="GBF20" s="314" t="s">
        <v>203</v>
      </c>
      <c r="GBG20" s="314" t="s">
        <v>203</v>
      </c>
      <c r="GBH20" s="314" t="s">
        <v>203</v>
      </c>
      <c r="GBI20" s="314" t="s">
        <v>203</v>
      </c>
      <c r="GBJ20" s="314" t="s">
        <v>203</v>
      </c>
      <c r="GBK20" s="314" t="s">
        <v>203</v>
      </c>
      <c r="GBL20" s="314" t="s">
        <v>203</v>
      </c>
      <c r="GBM20" s="314" t="s">
        <v>203</v>
      </c>
      <c r="GBN20" s="314" t="s">
        <v>203</v>
      </c>
      <c r="GBO20" s="314" t="s">
        <v>203</v>
      </c>
      <c r="GBP20" s="314" t="s">
        <v>203</v>
      </c>
      <c r="GBQ20" s="314" t="s">
        <v>203</v>
      </c>
      <c r="GBR20" s="314" t="s">
        <v>203</v>
      </c>
      <c r="GBS20" s="314" t="s">
        <v>203</v>
      </c>
      <c r="GBT20" s="314" t="s">
        <v>203</v>
      </c>
      <c r="GBU20" s="314" t="s">
        <v>203</v>
      </c>
      <c r="GBV20" s="314" t="s">
        <v>203</v>
      </c>
      <c r="GBW20" s="314" t="s">
        <v>203</v>
      </c>
      <c r="GBX20" s="314" t="s">
        <v>203</v>
      </c>
      <c r="GBY20" s="314" t="s">
        <v>203</v>
      </c>
      <c r="GBZ20" s="314" t="s">
        <v>203</v>
      </c>
      <c r="GCA20" s="314" t="s">
        <v>203</v>
      </c>
      <c r="GCB20" s="314" t="s">
        <v>203</v>
      </c>
      <c r="GCC20" s="314" t="s">
        <v>203</v>
      </c>
      <c r="GCD20" s="314" t="s">
        <v>203</v>
      </c>
      <c r="GCE20" s="314" t="s">
        <v>203</v>
      </c>
      <c r="GCF20" s="314" t="s">
        <v>203</v>
      </c>
      <c r="GCG20" s="314" t="s">
        <v>203</v>
      </c>
      <c r="GCH20" s="314" t="s">
        <v>203</v>
      </c>
      <c r="GCI20" s="314" t="s">
        <v>203</v>
      </c>
      <c r="GCJ20" s="314" t="s">
        <v>203</v>
      </c>
      <c r="GCK20" s="314" t="s">
        <v>203</v>
      </c>
      <c r="GCL20" s="314" t="s">
        <v>203</v>
      </c>
      <c r="GCM20" s="314" t="s">
        <v>203</v>
      </c>
      <c r="GCN20" s="314" t="s">
        <v>203</v>
      </c>
      <c r="GCO20" s="314" t="s">
        <v>203</v>
      </c>
      <c r="GCP20" s="314" t="s">
        <v>203</v>
      </c>
      <c r="GCQ20" s="314" t="s">
        <v>203</v>
      </c>
      <c r="GCR20" s="314" t="s">
        <v>203</v>
      </c>
      <c r="GCS20" s="314" t="s">
        <v>203</v>
      </c>
      <c r="GCT20" s="314" t="s">
        <v>203</v>
      </c>
      <c r="GCU20" s="314" t="s">
        <v>203</v>
      </c>
      <c r="GCV20" s="314" t="s">
        <v>203</v>
      </c>
      <c r="GCW20" s="314" t="s">
        <v>203</v>
      </c>
      <c r="GCX20" s="314" t="s">
        <v>203</v>
      </c>
      <c r="GCY20" s="314" t="s">
        <v>203</v>
      </c>
      <c r="GCZ20" s="314" t="s">
        <v>203</v>
      </c>
      <c r="GDA20" s="314" t="s">
        <v>203</v>
      </c>
      <c r="GDB20" s="314" t="s">
        <v>203</v>
      </c>
      <c r="GDC20" s="314" t="s">
        <v>203</v>
      </c>
      <c r="GDD20" s="314" t="s">
        <v>203</v>
      </c>
      <c r="GDE20" s="314" t="s">
        <v>203</v>
      </c>
      <c r="GDF20" s="314" t="s">
        <v>203</v>
      </c>
      <c r="GDG20" s="314" t="s">
        <v>203</v>
      </c>
      <c r="GDH20" s="314" t="s">
        <v>203</v>
      </c>
      <c r="GDI20" s="314" t="s">
        <v>203</v>
      </c>
      <c r="GDJ20" s="314" t="s">
        <v>203</v>
      </c>
      <c r="GDK20" s="314" t="s">
        <v>203</v>
      </c>
      <c r="GDL20" s="314" t="s">
        <v>203</v>
      </c>
      <c r="GDM20" s="314" t="s">
        <v>203</v>
      </c>
      <c r="GDN20" s="314" t="s">
        <v>203</v>
      </c>
      <c r="GDO20" s="314" t="s">
        <v>203</v>
      </c>
      <c r="GDP20" s="314" t="s">
        <v>203</v>
      </c>
      <c r="GDQ20" s="314" t="s">
        <v>203</v>
      </c>
      <c r="GDR20" s="314" t="s">
        <v>203</v>
      </c>
      <c r="GDS20" s="314" t="s">
        <v>203</v>
      </c>
      <c r="GDT20" s="314" t="s">
        <v>203</v>
      </c>
      <c r="GDU20" s="314" t="s">
        <v>203</v>
      </c>
      <c r="GDV20" s="314" t="s">
        <v>203</v>
      </c>
      <c r="GDW20" s="314" t="s">
        <v>203</v>
      </c>
      <c r="GDX20" s="314" t="s">
        <v>203</v>
      </c>
      <c r="GDY20" s="314" t="s">
        <v>203</v>
      </c>
      <c r="GDZ20" s="314" t="s">
        <v>203</v>
      </c>
      <c r="GEA20" s="314" t="s">
        <v>203</v>
      </c>
      <c r="GEB20" s="314" t="s">
        <v>203</v>
      </c>
      <c r="GEC20" s="314" t="s">
        <v>203</v>
      </c>
      <c r="GED20" s="314" t="s">
        <v>203</v>
      </c>
      <c r="GEE20" s="314" t="s">
        <v>203</v>
      </c>
      <c r="GEF20" s="314" t="s">
        <v>203</v>
      </c>
      <c r="GEG20" s="314" t="s">
        <v>203</v>
      </c>
      <c r="GEH20" s="314" t="s">
        <v>203</v>
      </c>
      <c r="GEI20" s="314" t="s">
        <v>203</v>
      </c>
      <c r="GEJ20" s="314" t="s">
        <v>203</v>
      </c>
      <c r="GEK20" s="314" t="s">
        <v>203</v>
      </c>
      <c r="GEL20" s="314" t="s">
        <v>203</v>
      </c>
      <c r="GEM20" s="314" t="s">
        <v>203</v>
      </c>
      <c r="GEN20" s="314" t="s">
        <v>203</v>
      </c>
      <c r="GEO20" s="314" t="s">
        <v>203</v>
      </c>
      <c r="GEP20" s="314" t="s">
        <v>203</v>
      </c>
      <c r="GEQ20" s="314" t="s">
        <v>203</v>
      </c>
      <c r="GER20" s="314" t="s">
        <v>203</v>
      </c>
      <c r="GES20" s="314" t="s">
        <v>203</v>
      </c>
      <c r="GET20" s="314" t="s">
        <v>203</v>
      </c>
      <c r="GEU20" s="314" t="s">
        <v>203</v>
      </c>
      <c r="GEV20" s="314" t="s">
        <v>203</v>
      </c>
      <c r="GEW20" s="314" t="s">
        <v>203</v>
      </c>
      <c r="GEX20" s="314" t="s">
        <v>203</v>
      </c>
      <c r="GEY20" s="314" t="s">
        <v>203</v>
      </c>
      <c r="GEZ20" s="314" t="s">
        <v>203</v>
      </c>
      <c r="GFA20" s="314" t="s">
        <v>203</v>
      </c>
      <c r="GFB20" s="314" t="s">
        <v>203</v>
      </c>
      <c r="GFC20" s="314" t="s">
        <v>203</v>
      </c>
      <c r="GFD20" s="314" t="s">
        <v>203</v>
      </c>
      <c r="GFE20" s="314" t="s">
        <v>203</v>
      </c>
      <c r="GFF20" s="314" t="s">
        <v>203</v>
      </c>
      <c r="GFG20" s="314" t="s">
        <v>203</v>
      </c>
      <c r="GFH20" s="314" t="s">
        <v>203</v>
      </c>
      <c r="GFI20" s="314" t="s">
        <v>203</v>
      </c>
      <c r="GFJ20" s="314" t="s">
        <v>203</v>
      </c>
      <c r="GFK20" s="314" t="s">
        <v>203</v>
      </c>
      <c r="GFL20" s="314" t="s">
        <v>203</v>
      </c>
      <c r="GFM20" s="314" t="s">
        <v>203</v>
      </c>
      <c r="GFN20" s="314" t="s">
        <v>203</v>
      </c>
      <c r="GFO20" s="314" t="s">
        <v>203</v>
      </c>
      <c r="GFP20" s="314" t="s">
        <v>203</v>
      </c>
      <c r="GFQ20" s="314" t="s">
        <v>203</v>
      </c>
      <c r="GFR20" s="314" t="s">
        <v>203</v>
      </c>
      <c r="GFS20" s="314" t="s">
        <v>203</v>
      </c>
      <c r="GFT20" s="314" t="s">
        <v>203</v>
      </c>
      <c r="GFU20" s="314" t="s">
        <v>203</v>
      </c>
      <c r="GFV20" s="314" t="s">
        <v>203</v>
      </c>
      <c r="GFW20" s="314" t="s">
        <v>203</v>
      </c>
      <c r="GFX20" s="314" t="s">
        <v>203</v>
      </c>
      <c r="GFY20" s="314" t="s">
        <v>203</v>
      </c>
      <c r="GFZ20" s="314" t="s">
        <v>203</v>
      </c>
      <c r="GGA20" s="314" t="s">
        <v>203</v>
      </c>
      <c r="GGB20" s="314" t="s">
        <v>203</v>
      </c>
      <c r="GGC20" s="314" t="s">
        <v>203</v>
      </c>
      <c r="GGD20" s="314" t="s">
        <v>203</v>
      </c>
      <c r="GGE20" s="314" t="s">
        <v>203</v>
      </c>
      <c r="GGF20" s="314" t="s">
        <v>203</v>
      </c>
      <c r="GGG20" s="314" t="s">
        <v>203</v>
      </c>
      <c r="GGH20" s="314" t="s">
        <v>203</v>
      </c>
      <c r="GGI20" s="314" t="s">
        <v>203</v>
      </c>
      <c r="GGJ20" s="314" t="s">
        <v>203</v>
      </c>
      <c r="GGK20" s="314" t="s">
        <v>203</v>
      </c>
      <c r="GGL20" s="314" t="s">
        <v>203</v>
      </c>
      <c r="GGM20" s="314" t="s">
        <v>203</v>
      </c>
      <c r="GGN20" s="314" t="s">
        <v>203</v>
      </c>
      <c r="GGO20" s="314" t="s">
        <v>203</v>
      </c>
      <c r="GGP20" s="314" t="s">
        <v>203</v>
      </c>
      <c r="GGQ20" s="314" t="s">
        <v>203</v>
      </c>
      <c r="GGR20" s="314" t="s">
        <v>203</v>
      </c>
      <c r="GGS20" s="314" t="s">
        <v>203</v>
      </c>
      <c r="GGT20" s="314" t="s">
        <v>203</v>
      </c>
      <c r="GGU20" s="314" t="s">
        <v>203</v>
      </c>
      <c r="GGV20" s="314" t="s">
        <v>203</v>
      </c>
      <c r="GGW20" s="314" t="s">
        <v>203</v>
      </c>
      <c r="GGX20" s="314" t="s">
        <v>203</v>
      </c>
      <c r="GGY20" s="314" t="s">
        <v>203</v>
      </c>
      <c r="GGZ20" s="314" t="s">
        <v>203</v>
      </c>
      <c r="GHA20" s="314" t="s">
        <v>203</v>
      </c>
      <c r="GHB20" s="314" t="s">
        <v>203</v>
      </c>
      <c r="GHC20" s="314" t="s">
        <v>203</v>
      </c>
      <c r="GHD20" s="314" t="s">
        <v>203</v>
      </c>
      <c r="GHE20" s="314" t="s">
        <v>203</v>
      </c>
      <c r="GHF20" s="314" t="s">
        <v>203</v>
      </c>
      <c r="GHG20" s="314" t="s">
        <v>203</v>
      </c>
      <c r="GHH20" s="314" t="s">
        <v>203</v>
      </c>
      <c r="GHI20" s="314" t="s">
        <v>203</v>
      </c>
      <c r="GHJ20" s="314" t="s">
        <v>203</v>
      </c>
      <c r="GHK20" s="314" t="s">
        <v>203</v>
      </c>
      <c r="GHL20" s="314" t="s">
        <v>203</v>
      </c>
      <c r="GHM20" s="314" t="s">
        <v>203</v>
      </c>
      <c r="GHN20" s="314" t="s">
        <v>203</v>
      </c>
      <c r="GHO20" s="314" t="s">
        <v>203</v>
      </c>
      <c r="GHP20" s="314" t="s">
        <v>203</v>
      </c>
      <c r="GHQ20" s="314" t="s">
        <v>203</v>
      </c>
      <c r="GHR20" s="314" t="s">
        <v>203</v>
      </c>
      <c r="GHS20" s="314" t="s">
        <v>203</v>
      </c>
      <c r="GHT20" s="314" t="s">
        <v>203</v>
      </c>
      <c r="GHU20" s="314" t="s">
        <v>203</v>
      </c>
      <c r="GHV20" s="314" t="s">
        <v>203</v>
      </c>
      <c r="GHW20" s="314" t="s">
        <v>203</v>
      </c>
      <c r="GHX20" s="314" t="s">
        <v>203</v>
      </c>
      <c r="GHY20" s="314" t="s">
        <v>203</v>
      </c>
      <c r="GHZ20" s="314" t="s">
        <v>203</v>
      </c>
      <c r="GIA20" s="314" t="s">
        <v>203</v>
      </c>
      <c r="GIB20" s="314" t="s">
        <v>203</v>
      </c>
      <c r="GIC20" s="314" t="s">
        <v>203</v>
      </c>
      <c r="GID20" s="314" t="s">
        <v>203</v>
      </c>
      <c r="GIE20" s="314" t="s">
        <v>203</v>
      </c>
      <c r="GIF20" s="314" t="s">
        <v>203</v>
      </c>
      <c r="GIG20" s="314" t="s">
        <v>203</v>
      </c>
      <c r="GIH20" s="314" t="s">
        <v>203</v>
      </c>
      <c r="GII20" s="314" t="s">
        <v>203</v>
      </c>
      <c r="GIJ20" s="314" t="s">
        <v>203</v>
      </c>
      <c r="GIK20" s="314" t="s">
        <v>203</v>
      </c>
      <c r="GIL20" s="314" t="s">
        <v>203</v>
      </c>
      <c r="GIM20" s="314" t="s">
        <v>203</v>
      </c>
      <c r="GIN20" s="314" t="s">
        <v>203</v>
      </c>
      <c r="GIO20" s="314" t="s">
        <v>203</v>
      </c>
      <c r="GIP20" s="314" t="s">
        <v>203</v>
      </c>
      <c r="GIQ20" s="314" t="s">
        <v>203</v>
      </c>
      <c r="GIR20" s="314" t="s">
        <v>203</v>
      </c>
      <c r="GIS20" s="314" t="s">
        <v>203</v>
      </c>
      <c r="GIT20" s="314" t="s">
        <v>203</v>
      </c>
      <c r="GIU20" s="314" t="s">
        <v>203</v>
      </c>
      <c r="GIV20" s="314" t="s">
        <v>203</v>
      </c>
      <c r="GIW20" s="314" t="s">
        <v>203</v>
      </c>
      <c r="GIX20" s="314" t="s">
        <v>203</v>
      </c>
      <c r="GIY20" s="314" t="s">
        <v>203</v>
      </c>
      <c r="GIZ20" s="314" t="s">
        <v>203</v>
      </c>
      <c r="GJA20" s="314" t="s">
        <v>203</v>
      </c>
      <c r="GJB20" s="314" t="s">
        <v>203</v>
      </c>
      <c r="GJC20" s="314" t="s">
        <v>203</v>
      </c>
      <c r="GJD20" s="314" t="s">
        <v>203</v>
      </c>
      <c r="GJE20" s="314" t="s">
        <v>203</v>
      </c>
      <c r="GJF20" s="314" t="s">
        <v>203</v>
      </c>
      <c r="GJG20" s="314" t="s">
        <v>203</v>
      </c>
      <c r="GJH20" s="314" t="s">
        <v>203</v>
      </c>
      <c r="GJI20" s="314" t="s">
        <v>203</v>
      </c>
      <c r="GJJ20" s="314" t="s">
        <v>203</v>
      </c>
      <c r="GJK20" s="314" t="s">
        <v>203</v>
      </c>
      <c r="GJL20" s="314" t="s">
        <v>203</v>
      </c>
      <c r="GJM20" s="314" t="s">
        <v>203</v>
      </c>
      <c r="GJN20" s="314" t="s">
        <v>203</v>
      </c>
      <c r="GJO20" s="314" t="s">
        <v>203</v>
      </c>
      <c r="GJP20" s="314" t="s">
        <v>203</v>
      </c>
      <c r="GJQ20" s="314" t="s">
        <v>203</v>
      </c>
      <c r="GJR20" s="314" t="s">
        <v>203</v>
      </c>
      <c r="GJS20" s="314" t="s">
        <v>203</v>
      </c>
      <c r="GJT20" s="314" t="s">
        <v>203</v>
      </c>
      <c r="GJU20" s="314" t="s">
        <v>203</v>
      </c>
      <c r="GJV20" s="314" t="s">
        <v>203</v>
      </c>
      <c r="GJW20" s="314" t="s">
        <v>203</v>
      </c>
      <c r="GJX20" s="314" t="s">
        <v>203</v>
      </c>
      <c r="GJY20" s="314" t="s">
        <v>203</v>
      </c>
      <c r="GJZ20" s="314" t="s">
        <v>203</v>
      </c>
      <c r="GKA20" s="314" t="s">
        <v>203</v>
      </c>
      <c r="GKB20" s="314" t="s">
        <v>203</v>
      </c>
      <c r="GKC20" s="314" t="s">
        <v>203</v>
      </c>
      <c r="GKD20" s="314" t="s">
        <v>203</v>
      </c>
      <c r="GKE20" s="314" t="s">
        <v>203</v>
      </c>
      <c r="GKF20" s="314" t="s">
        <v>203</v>
      </c>
      <c r="GKG20" s="314" t="s">
        <v>203</v>
      </c>
      <c r="GKH20" s="314" t="s">
        <v>203</v>
      </c>
      <c r="GKI20" s="314" t="s">
        <v>203</v>
      </c>
      <c r="GKJ20" s="314" t="s">
        <v>203</v>
      </c>
      <c r="GKK20" s="314" t="s">
        <v>203</v>
      </c>
      <c r="GKL20" s="314" t="s">
        <v>203</v>
      </c>
      <c r="GKM20" s="314" t="s">
        <v>203</v>
      </c>
      <c r="GKN20" s="314" t="s">
        <v>203</v>
      </c>
      <c r="GKO20" s="314" t="s">
        <v>203</v>
      </c>
      <c r="GKP20" s="314" t="s">
        <v>203</v>
      </c>
      <c r="GKQ20" s="314" t="s">
        <v>203</v>
      </c>
      <c r="GKR20" s="314" t="s">
        <v>203</v>
      </c>
      <c r="GKS20" s="314" t="s">
        <v>203</v>
      </c>
      <c r="GKT20" s="314" t="s">
        <v>203</v>
      </c>
      <c r="GKU20" s="314" t="s">
        <v>203</v>
      </c>
      <c r="GKV20" s="314" t="s">
        <v>203</v>
      </c>
      <c r="GKW20" s="314" t="s">
        <v>203</v>
      </c>
      <c r="GKX20" s="314" t="s">
        <v>203</v>
      </c>
      <c r="GKY20" s="314" t="s">
        <v>203</v>
      </c>
      <c r="GKZ20" s="314" t="s">
        <v>203</v>
      </c>
      <c r="GLA20" s="314" t="s">
        <v>203</v>
      </c>
      <c r="GLB20" s="314" t="s">
        <v>203</v>
      </c>
      <c r="GLC20" s="314" t="s">
        <v>203</v>
      </c>
      <c r="GLD20" s="314" t="s">
        <v>203</v>
      </c>
      <c r="GLE20" s="314" t="s">
        <v>203</v>
      </c>
      <c r="GLF20" s="314" t="s">
        <v>203</v>
      </c>
      <c r="GLG20" s="314" t="s">
        <v>203</v>
      </c>
      <c r="GLH20" s="314" t="s">
        <v>203</v>
      </c>
      <c r="GLI20" s="314" t="s">
        <v>203</v>
      </c>
      <c r="GLJ20" s="314" t="s">
        <v>203</v>
      </c>
      <c r="GLK20" s="314" t="s">
        <v>203</v>
      </c>
      <c r="GLL20" s="314" t="s">
        <v>203</v>
      </c>
      <c r="GLM20" s="314" t="s">
        <v>203</v>
      </c>
      <c r="GLN20" s="314" t="s">
        <v>203</v>
      </c>
      <c r="GLO20" s="314" t="s">
        <v>203</v>
      </c>
      <c r="GLP20" s="314" t="s">
        <v>203</v>
      </c>
      <c r="GLQ20" s="314" t="s">
        <v>203</v>
      </c>
      <c r="GLR20" s="314" t="s">
        <v>203</v>
      </c>
      <c r="GLS20" s="314" t="s">
        <v>203</v>
      </c>
      <c r="GLT20" s="314" t="s">
        <v>203</v>
      </c>
      <c r="GLU20" s="314" t="s">
        <v>203</v>
      </c>
      <c r="GLV20" s="314" t="s">
        <v>203</v>
      </c>
      <c r="GLW20" s="314" t="s">
        <v>203</v>
      </c>
      <c r="GLX20" s="314" t="s">
        <v>203</v>
      </c>
      <c r="GLY20" s="314" t="s">
        <v>203</v>
      </c>
      <c r="GLZ20" s="314" t="s">
        <v>203</v>
      </c>
      <c r="GMA20" s="314" t="s">
        <v>203</v>
      </c>
      <c r="GMB20" s="314" t="s">
        <v>203</v>
      </c>
      <c r="GMC20" s="314" t="s">
        <v>203</v>
      </c>
      <c r="GMD20" s="314" t="s">
        <v>203</v>
      </c>
      <c r="GME20" s="314" t="s">
        <v>203</v>
      </c>
      <c r="GMF20" s="314" t="s">
        <v>203</v>
      </c>
      <c r="GMG20" s="314" t="s">
        <v>203</v>
      </c>
      <c r="GMH20" s="314" t="s">
        <v>203</v>
      </c>
      <c r="GMI20" s="314" t="s">
        <v>203</v>
      </c>
      <c r="GMJ20" s="314" t="s">
        <v>203</v>
      </c>
      <c r="GMK20" s="314" t="s">
        <v>203</v>
      </c>
      <c r="GML20" s="314" t="s">
        <v>203</v>
      </c>
      <c r="GMM20" s="314" t="s">
        <v>203</v>
      </c>
      <c r="GMN20" s="314" t="s">
        <v>203</v>
      </c>
      <c r="GMO20" s="314" t="s">
        <v>203</v>
      </c>
      <c r="GMP20" s="314" t="s">
        <v>203</v>
      </c>
      <c r="GMQ20" s="314" t="s">
        <v>203</v>
      </c>
      <c r="GMR20" s="314" t="s">
        <v>203</v>
      </c>
      <c r="GMS20" s="314" t="s">
        <v>203</v>
      </c>
      <c r="GMT20" s="314" t="s">
        <v>203</v>
      </c>
      <c r="GMU20" s="314" t="s">
        <v>203</v>
      </c>
      <c r="GMV20" s="314" t="s">
        <v>203</v>
      </c>
      <c r="GMW20" s="314" t="s">
        <v>203</v>
      </c>
      <c r="GMX20" s="314" t="s">
        <v>203</v>
      </c>
      <c r="GMY20" s="314" t="s">
        <v>203</v>
      </c>
      <c r="GMZ20" s="314" t="s">
        <v>203</v>
      </c>
      <c r="GNA20" s="314" t="s">
        <v>203</v>
      </c>
      <c r="GNB20" s="314" t="s">
        <v>203</v>
      </c>
      <c r="GNC20" s="314" t="s">
        <v>203</v>
      </c>
      <c r="GND20" s="314" t="s">
        <v>203</v>
      </c>
      <c r="GNE20" s="314" t="s">
        <v>203</v>
      </c>
      <c r="GNF20" s="314" t="s">
        <v>203</v>
      </c>
      <c r="GNG20" s="314" t="s">
        <v>203</v>
      </c>
      <c r="GNH20" s="314" t="s">
        <v>203</v>
      </c>
      <c r="GNI20" s="314" t="s">
        <v>203</v>
      </c>
      <c r="GNJ20" s="314" t="s">
        <v>203</v>
      </c>
      <c r="GNK20" s="314" t="s">
        <v>203</v>
      </c>
      <c r="GNL20" s="314" t="s">
        <v>203</v>
      </c>
      <c r="GNM20" s="314" t="s">
        <v>203</v>
      </c>
      <c r="GNN20" s="314" t="s">
        <v>203</v>
      </c>
      <c r="GNO20" s="314" t="s">
        <v>203</v>
      </c>
      <c r="GNP20" s="314" t="s">
        <v>203</v>
      </c>
      <c r="GNQ20" s="314" t="s">
        <v>203</v>
      </c>
      <c r="GNR20" s="314" t="s">
        <v>203</v>
      </c>
      <c r="GNS20" s="314" t="s">
        <v>203</v>
      </c>
      <c r="GNT20" s="314" t="s">
        <v>203</v>
      </c>
      <c r="GNU20" s="314" t="s">
        <v>203</v>
      </c>
      <c r="GNV20" s="314" t="s">
        <v>203</v>
      </c>
      <c r="GNW20" s="314" t="s">
        <v>203</v>
      </c>
      <c r="GNX20" s="314" t="s">
        <v>203</v>
      </c>
      <c r="GNY20" s="314" t="s">
        <v>203</v>
      </c>
      <c r="GNZ20" s="314" t="s">
        <v>203</v>
      </c>
      <c r="GOA20" s="314" t="s">
        <v>203</v>
      </c>
      <c r="GOB20" s="314" t="s">
        <v>203</v>
      </c>
      <c r="GOC20" s="314" t="s">
        <v>203</v>
      </c>
      <c r="GOD20" s="314" t="s">
        <v>203</v>
      </c>
      <c r="GOE20" s="314" t="s">
        <v>203</v>
      </c>
      <c r="GOF20" s="314" t="s">
        <v>203</v>
      </c>
      <c r="GOG20" s="314" t="s">
        <v>203</v>
      </c>
      <c r="GOH20" s="314" t="s">
        <v>203</v>
      </c>
      <c r="GOI20" s="314" t="s">
        <v>203</v>
      </c>
      <c r="GOJ20" s="314" t="s">
        <v>203</v>
      </c>
      <c r="GOK20" s="314" t="s">
        <v>203</v>
      </c>
      <c r="GOL20" s="314" t="s">
        <v>203</v>
      </c>
      <c r="GOM20" s="314" t="s">
        <v>203</v>
      </c>
      <c r="GON20" s="314" t="s">
        <v>203</v>
      </c>
      <c r="GOO20" s="314" t="s">
        <v>203</v>
      </c>
      <c r="GOP20" s="314" t="s">
        <v>203</v>
      </c>
      <c r="GOQ20" s="314" t="s">
        <v>203</v>
      </c>
      <c r="GOR20" s="314" t="s">
        <v>203</v>
      </c>
      <c r="GOS20" s="314" t="s">
        <v>203</v>
      </c>
      <c r="GOT20" s="314" t="s">
        <v>203</v>
      </c>
      <c r="GOU20" s="314" t="s">
        <v>203</v>
      </c>
      <c r="GOV20" s="314" t="s">
        <v>203</v>
      </c>
      <c r="GOW20" s="314" t="s">
        <v>203</v>
      </c>
      <c r="GOX20" s="314" t="s">
        <v>203</v>
      </c>
      <c r="GOY20" s="314" t="s">
        <v>203</v>
      </c>
      <c r="GOZ20" s="314" t="s">
        <v>203</v>
      </c>
      <c r="GPA20" s="314" t="s">
        <v>203</v>
      </c>
      <c r="GPB20" s="314" t="s">
        <v>203</v>
      </c>
      <c r="GPC20" s="314" t="s">
        <v>203</v>
      </c>
      <c r="GPD20" s="314" t="s">
        <v>203</v>
      </c>
      <c r="GPE20" s="314" t="s">
        <v>203</v>
      </c>
      <c r="GPF20" s="314" t="s">
        <v>203</v>
      </c>
      <c r="GPG20" s="314" t="s">
        <v>203</v>
      </c>
      <c r="GPH20" s="314" t="s">
        <v>203</v>
      </c>
      <c r="GPI20" s="314" t="s">
        <v>203</v>
      </c>
      <c r="GPJ20" s="314" t="s">
        <v>203</v>
      </c>
      <c r="GPK20" s="314" t="s">
        <v>203</v>
      </c>
      <c r="GPL20" s="314" t="s">
        <v>203</v>
      </c>
      <c r="GPM20" s="314" t="s">
        <v>203</v>
      </c>
      <c r="GPN20" s="314" t="s">
        <v>203</v>
      </c>
      <c r="GPO20" s="314" t="s">
        <v>203</v>
      </c>
      <c r="GPP20" s="314" t="s">
        <v>203</v>
      </c>
      <c r="GPQ20" s="314" t="s">
        <v>203</v>
      </c>
      <c r="GPR20" s="314" t="s">
        <v>203</v>
      </c>
      <c r="GPS20" s="314" t="s">
        <v>203</v>
      </c>
      <c r="GPT20" s="314" t="s">
        <v>203</v>
      </c>
      <c r="GPU20" s="314" t="s">
        <v>203</v>
      </c>
      <c r="GPV20" s="314" t="s">
        <v>203</v>
      </c>
      <c r="GPW20" s="314" t="s">
        <v>203</v>
      </c>
      <c r="GPX20" s="314" t="s">
        <v>203</v>
      </c>
      <c r="GPY20" s="314" t="s">
        <v>203</v>
      </c>
      <c r="GPZ20" s="314" t="s">
        <v>203</v>
      </c>
      <c r="GQA20" s="314" t="s">
        <v>203</v>
      </c>
      <c r="GQB20" s="314" t="s">
        <v>203</v>
      </c>
      <c r="GQC20" s="314" t="s">
        <v>203</v>
      </c>
      <c r="GQD20" s="314" t="s">
        <v>203</v>
      </c>
      <c r="GQE20" s="314" t="s">
        <v>203</v>
      </c>
      <c r="GQF20" s="314" t="s">
        <v>203</v>
      </c>
      <c r="GQG20" s="314" t="s">
        <v>203</v>
      </c>
      <c r="GQH20" s="314" t="s">
        <v>203</v>
      </c>
      <c r="GQI20" s="314" t="s">
        <v>203</v>
      </c>
      <c r="GQJ20" s="314" t="s">
        <v>203</v>
      </c>
      <c r="GQK20" s="314" t="s">
        <v>203</v>
      </c>
      <c r="GQL20" s="314" t="s">
        <v>203</v>
      </c>
      <c r="GQM20" s="314" t="s">
        <v>203</v>
      </c>
      <c r="GQN20" s="314" t="s">
        <v>203</v>
      </c>
      <c r="GQO20" s="314" t="s">
        <v>203</v>
      </c>
      <c r="GQP20" s="314" t="s">
        <v>203</v>
      </c>
      <c r="GQQ20" s="314" t="s">
        <v>203</v>
      </c>
      <c r="GQR20" s="314" t="s">
        <v>203</v>
      </c>
      <c r="GQS20" s="314" t="s">
        <v>203</v>
      </c>
      <c r="GQT20" s="314" t="s">
        <v>203</v>
      </c>
      <c r="GQU20" s="314" t="s">
        <v>203</v>
      </c>
      <c r="GQV20" s="314" t="s">
        <v>203</v>
      </c>
      <c r="GQW20" s="314" t="s">
        <v>203</v>
      </c>
      <c r="GQX20" s="314" t="s">
        <v>203</v>
      </c>
      <c r="GQY20" s="314" t="s">
        <v>203</v>
      </c>
      <c r="GQZ20" s="314" t="s">
        <v>203</v>
      </c>
      <c r="GRA20" s="314" t="s">
        <v>203</v>
      </c>
      <c r="GRB20" s="314" t="s">
        <v>203</v>
      </c>
      <c r="GRC20" s="314" t="s">
        <v>203</v>
      </c>
      <c r="GRD20" s="314" t="s">
        <v>203</v>
      </c>
      <c r="GRE20" s="314" t="s">
        <v>203</v>
      </c>
      <c r="GRF20" s="314" t="s">
        <v>203</v>
      </c>
      <c r="GRG20" s="314" t="s">
        <v>203</v>
      </c>
      <c r="GRH20" s="314" t="s">
        <v>203</v>
      </c>
      <c r="GRI20" s="314" t="s">
        <v>203</v>
      </c>
      <c r="GRJ20" s="314" t="s">
        <v>203</v>
      </c>
      <c r="GRK20" s="314" t="s">
        <v>203</v>
      </c>
      <c r="GRL20" s="314" t="s">
        <v>203</v>
      </c>
      <c r="GRM20" s="314" t="s">
        <v>203</v>
      </c>
      <c r="GRN20" s="314" t="s">
        <v>203</v>
      </c>
      <c r="GRO20" s="314" t="s">
        <v>203</v>
      </c>
      <c r="GRP20" s="314" t="s">
        <v>203</v>
      </c>
      <c r="GRQ20" s="314" t="s">
        <v>203</v>
      </c>
      <c r="GRR20" s="314" t="s">
        <v>203</v>
      </c>
      <c r="GRS20" s="314" t="s">
        <v>203</v>
      </c>
      <c r="GRT20" s="314" t="s">
        <v>203</v>
      </c>
      <c r="GRU20" s="314" t="s">
        <v>203</v>
      </c>
      <c r="GRV20" s="314" t="s">
        <v>203</v>
      </c>
      <c r="GRW20" s="314" t="s">
        <v>203</v>
      </c>
      <c r="GRX20" s="314" t="s">
        <v>203</v>
      </c>
      <c r="GRY20" s="314" t="s">
        <v>203</v>
      </c>
      <c r="GRZ20" s="314" t="s">
        <v>203</v>
      </c>
      <c r="GSA20" s="314" t="s">
        <v>203</v>
      </c>
      <c r="GSB20" s="314" t="s">
        <v>203</v>
      </c>
      <c r="GSC20" s="314" t="s">
        <v>203</v>
      </c>
      <c r="GSD20" s="314" t="s">
        <v>203</v>
      </c>
      <c r="GSE20" s="314" t="s">
        <v>203</v>
      </c>
      <c r="GSF20" s="314" t="s">
        <v>203</v>
      </c>
      <c r="GSG20" s="314" t="s">
        <v>203</v>
      </c>
      <c r="GSH20" s="314" t="s">
        <v>203</v>
      </c>
      <c r="GSI20" s="314" t="s">
        <v>203</v>
      </c>
      <c r="GSJ20" s="314" t="s">
        <v>203</v>
      </c>
      <c r="GSK20" s="314" t="s">
        <v>203</v>
      </c>
      <c r="GSL20" s="314" t="s">
        <v>203</v>
      </c>
      <c r="GSM20" s="314" t="s">
        <v>203</v>
      </c>
      <c r="GSN20" s="314" t="s">
        <v>203</v>
      </c>
      <c r="GSO20" s="314" t="s">
        <v>203</v>
      </c>
      <c r="GSP20" s="314" t="s">
        <v>203</v>
      </c>
      <c r="GSQ20" s="314" t="s">
        <v>203</v>
      </c>
      <c r="GSR20" s="314" t="s">
        <v>203</v>
      </c>
      <c r="GSS20" s="314" t="s">
        <v>203</v>
      </c>
      <c r="GST20" s="314" t="s">
        <v>203</v>
      </c>
      <c r="GSU20" s="314" t="s">
        <v>203</v>
      </c>
      <c r="GSV20" s="314" t="s">
        <v>203</v>
      </c>
      <c r="GSW20" s="314" t="s">
        <v>203</v>
      </c>
      <c r="GSX20" s="314" t="s">
        <v>203</v>
      </c>
      <c r="GSY20" s="314" t="s">
        <v>203</v>
      </c>
      <c r="GSZ20" s="314" t="s">
        <v>203</v>
      </c>
      <c r="GTA20" s="314" t="s">
        <v>203</v>
      </c>
      <c r="GTB20" s="314" t="s">
        <v>203</v>
      </c>
      <c r="GTC20" s="314" t="s">
        <v>203</v>
      </c>
      <c r="GTD20" s="314" t="s">
        <v>203</v>
      </c>
      <c r="GTE20" s="314" t="s">
        <v>203</v>
      </c>
      <c r="GTF20" s="314" t="s">
        <v>203</v>
      </c>
      <c r="GTG20" s="314" t="s">
        <v>203</v>
      </c>
      <c r="GTH20" s="314" t="s">
        <v>203</v>
      </c>
      <c r="GTI20" s="314" t="s">
        <v>203</v>
      </c>
      <c r="GTJ20" s="314" t="s">
        <v>203</v>
      </c>
      <c r="GTK20" s="314" t="s">
        <v>203</v>
      </c>
      <c r="GTL20" s="314" t="s">
        <v>203</v>
      </c>
      <c r="GTM20" s="314" t="s">
        <v>203</v>
      </c>
      <c r="GTN20" s="314" t="s">
        <v>203</v>
      </c>
      <c r="GTO20" s="314" t="s">
        <v>203</v>
      </c>
      <c r="GTP20" s="314" t="s">
        <v>203</v>
      </c>
      <c r="GTQ20" s="314" t="s">
        <v>203</v>
      </c>
      <c r="GTR20" s="314" t="s">
        <v>203</v>
      </c>
      <c r="GTS20" s="314" t="s">
        <v>203</v>
      </c>
      <c r="GTT20" s="314" t="s">
        <v>203</v>
      </c>
      <c r="GTU20" s="314" t="s">
        <v>203</v>
      </c>
      <c r="GTV20" s="314" t="s">
        <v>203</v>
      </c>
      <c r="GTW20" s="314" t="s">
        <v>203</v>
      </c>
      <c r="GTX20" s="314" t="s">
        <v>203</v>
      </c>
      <c r="GTY20" s="314" t="s">
        <v>203</v>
      </c>
      <c r="GTZ20" s="314" t="s">
        <v>203</v>
      </c>
      <c r="GUA20" s="314" t="s">
        <v>203</v>
      </c>
      <c r="GUB20" s="314" t="s">
        <v>203</v>
      </c>
      <c r="GUC20" s="314" t="s">
        <v>203</v>
      </c>
      <c r="GUD20" s="314" t="s">
        <v>203</v>
      </c>
      <c r="GUE20" s="314" t="s">
        <v>203</v>
      </c>
      <c r="GUF20" s="314" t="s">
        <v>203</v>
      </c>
      <c r="GUG20" s="314" t="s">
        <v>203</v>
      </c>
      <c r="GUH20" s="314" t="s">
        <v>203</v>
      </c>
      <c r="GUI20" s="314" t="s">
        <v>203</v>
      </c>
      <c r="GUJ20" s="314" t="s">
        <v>203</v>
      </c>
      <c r="GUK20" s="314" t="s">
        <v>203</v>
      </c>
      <c r="GUL20" s="314" t="s">
        <v>203</v>
      </c>
      <c r="GUM20" s="314" t="s">
        <v>203</v>
      </c>
      <c r="GUN20" s="314" t="s">
        <v>203</v>
      </c>
      <c r="GUO20" s="314" t="s">
        <v>203</v>
      </c>
      <c r="GUP20" s="314" t="s">
        <v>203</v>
      </c>
      <c r="GUQ20" s="314" t="s">
        <v>203</v>
      </c>
      <c r="GUR20" s="314" t="s">
        <v>203</v>
      </c>
      <c r="GUS20" s="314" t="s">
        <v>203</v>
      </c>
      <c r="GUT20" s="314" t="s">
        <v>203</v>
      </c>
      <c r="GUU20" s="314" t="s">
        <v>203</v>
      </c>
      <c r="GUV20" s="314" t="s">
        <v>203</v>
      </c>
      <c r="GUW20" s="314" t="s">
        <v>203</v>
      </c>
      <c r="GUX20" s="314" t="s">
        <v>203</v>
      </c>
      <c r="GUY20" s="314" t="s">
        <v>203</v>
      </c>
      <c r="GUZ20" s="314" t="s">
        <v>203</v>
      </c>
      <c r="GVA20" s="314" t="s">
        <v>203</v>
      </c>
      <c r="GVB20" s="314" t="s">
        <v>203</v>
      </c>
      <c r="GVC20" s="314" t="s">
        <v>203</v>
      </c>
      <c r="GVD20" s="314" t="s">
        <v>203</v>
      </c>
      <c r="GVE20" s="314" t="s">
        <v>203</v>
      </c>
      <c r="GVF20" s="314" t="s">
        <v>203</v>
      </c>
      <c r="GVG20" s="314" t="s">
        <v>203</v>
      </c>
      <c r="GVH20" s="314" t="s">
        <v>203</v>
      </c>
      <c r="GVI20" s="314" t="s">
        <v>203</v>
      </c>
      <c r="GVJ20" s="314" t="s">
        <v>203</v>
      </c>
      <c r="GVK20" s="314" t="s">
        <v>203</v>
      </c>
      <c r="GVL20" s="314" t="s">
        <v>203</v>
      </c>
      <c r="GVM20" s="314" t="s">
        <v>203</v>
      </c>
      <c r="GVN20" s="314" t="s">
        <v>203</v>
      </c>
      <c r="GVO20" s="314" t="s">
        <v>203</v>
      </c>
      <c r="GVP20" s="314" t="s">
        <v>203</v>
      </c>
      <c r="GVQ20" s="314" t="s">
        <v>203</v>
      </c>
      <c r="GVR20" s="314" t="s">
        <v>203</v>
      </c>
      <c r="GVS20" s="314" t="s">
        <v>203</v>
      </c>
      <c r="GVT20" s="314" t="s">
        <v>203</v>
      </c>
      <c r="GVU20" s="314" t="s">
        <v>203</v>
      </c>
      <c r="GVV20" s="314" t="s">
        <v>203</v>
      </c>
      <c r="GVW20" s="314" t="s">
        <v>203</v>
      </c>
      <c r="GVX20" s="314" t="s">
        <v>203</v>
      </c>
      <c r="GVY20" s="314" t="s">
        <v>203</v>
      </c>
      <c r="GVZ20" s="314" t="s">
        <v>203</v>
      </c>
      <c r="GWA20" s="314" t="s">
        <v>203</v>
      </c>
      <c r="GWB20" s="314" t="s">
        <v>203</v>
      </c>
      <c r="GWC20" s="314" t="s">
        <v>203</v>
      </c>
      <c r="GWD20" s="314" t="s">
        <v>203</v>
      </c>
      <c r="GWE20" s="314" t="s">
        <v>203</v>
      </c>
      <c r="GWF20" s="314" t="s">
        <v>203</v>
      </c>
      <c r="GWG20" s="314" t="s">
        <v>203</v>
      </c>
      <c r="GWH20" s="314" t="s">
        <v>203</v>
      </c>
      <c r="GWI20" s="314" t="s">
        <v>203</v>
      </c>
      <c r="GWJ20" s="314" t="s">
        <v>203</v>
      </c>
      <c r="GWK20" s="314" t="s">
        <v>203</v>
      </c>
      <c r="GWL20" s="314" t="s">
        <v>203</v>
      </c>
      <c r="GWM20" s="314" t="s">
        <v>203</v>
      </c>
      <c r="GWN20" s="314" t="s">
        <v>203</v>
      </c>
      <c r="GWO20" s="314" t="s">
        <v>203</v>
      </c>
      <c r="GWP20" s="314" t="s">
        <v>203</v>
      </c>
      <c r="GWQ20" s="314" t="s">
        <v>203</v>
      </c>
      <c r="GWR20" s="314" t="s">
        <v>203</v>
      </c>
      <c r="GWS20" s="314" t="s">
        <v>203</v>
      </c>
      <c r="GWT20" s="314" t="s">
        <v>203</v>
      </c>
      <c r="GWU20" s="314" t="s">
        <v>203</v>
      </c>
      <c r="GWV20" s="314" t="s">
        <v>203</v>
      </c>
      <c r="GWW20" s="314" t="s">
        <v>203</v>
      </c>
      <c r="GWX20" s="314" t="s">
        <v>203</v>
      </c>
      <c r="GWY20" s="314" t="s">
        <v>203</v>
      </c>
      <c r="GWZ20" s="314" t="s">
        <v>203</v>
      </c>
      <c r="GXA20" s="314" t="s">
        <v>203</v>
      </c>
      <c r="GXB20" s="314" t="s">
        <v>203</v>
      </c>
      <c r="GXC20" s="314" t="s">
        <v>203</v>
      </c>
      <c r="GXD20" s="314" t="s">
        <v>203</v>
      </c>
      <c r="GXE20" s="314" t="s">
        <v>203</v>
      </c>
      <c r="GXF20" s="314" t="s">
        <v>203</v>
      </c>
      <c r="GXG20" s="314" t="s">
        <v>203</v>
      </c>
      <c r="GXH20" s="314" t="s">
        <v>203</v>
      </c>
      <c r="GXI20" s="314" t="s">
        <v>203</v>
      </c>
      <c r="GXJ20" s="314" t="s">
        <v>203</v>
      </c>
      <c r="GXK20" s="314" t="s">
        <v>203</v>
      </c>
      <c r="GXL20" s="314" t="s">
        <v>203</v>
      </c>
      <c r="GXM20" s="314" t="s">
        <v>203</v>
      </c>
      <c r="GXN20" s="314" t="s">
        <v>203</v>
      </c>
      <c r="GXO20" s="314" t="s">
        <v>203</v>
      </c>
      <c r="GXP20" s="314" t="s">
        <v>203</v>
      </c>
      <c r="GXQ20" s="314" t="s">
        <v>203</v>
      </c>
      <c r="GXR20" s="314" t="s">
        <v>203</v>
      </c>
      <c r="GXS20" s="314" t="s">
        <v>203</v>
      </c>
      <c r="GXT20" s="314" t="s">
        <v>203</v>
      </c>
      <c r="GXU20" s="314" t="s">
        <v>203</v>
      </c>
      <c r="GXV20" s="314" t="s">
        <v>203</v>
      </c>
      <c r="GXW20" s="314" t="s">
        <v>203</v>
      </c>
      <c r="GXX20" s="314" t="s">
        <v>203</v>
      </c>
      <c r="GXY20" s="314" t="s">
        <v>203</v>
      </c>
      <c r="GXZ20" s="314" t="s">
        <v>203</v>
      </c>
      <c r="GYA20" s="314" t="s">
        <v>203</v>
      </c>
      <c r="GYB20" s="314" t="s">
        <v>203</v>
      </c>
      <c r="GYC20" s="314" t="s">
        <v>203</v>
      </c>
      <c r="GYD20" s="314" t="s">
        <v>203</v>
      </c>
      <c r="GYE20" s="314" t="s">
        <v>203</v>
      </c>
      <c r="GYF20" s="314" t="s">
        <v>203</v>
      </c>
      <c r="GYG20" s="314" t="s">
        <v>203</v>
      </c>
      <c r="GYH20" s="314" t="s">
        <v>203</v>
      </c>
      <c r="GYI20" s="314" t="s">
        <v>203</v>
      </c>
      <c r="GYJ20" s="314" t="s">
        <v>203</v>
      </c>
      <c r="GYK20" s="314" t="s">
        <v>203</v>
      </c>
      <c r="GYL20" s="314" t="s">
        <v>203</v>
      </c>
      <c r="GYM20" s="314" t="s">
        <v>203</v>
      </c>
      <c r="GYN20" s="314" t="s">
        <v>203</v>
      </c>
      <c r="GYO20" s="314" t="s">
        <v>203</v>
      </c>
      <c r="GYP20" s="314" t="s">
        <v>203</v>
      </c>
      <c r="GYQ20" s="314" t="s">
        <v>203</v>
      </c>
      <c r="GYR20" s="314" t="s">
        <v>203</v>
      </c>
      <c r="GYS20" s="314" t="s">
        <v>203</v>
      </c>
      <c r="GYT20" s="314" t="s">
        <v>203</v>
      </c>
      <c r="GYU20" s="314" t="s">
        <v>203</v>
      </c>
      <c r="GYV20" s="314" t="s">
        <v>203</v>
      </c>
      <c r="GYW20" s="314" t="s">
        <v>203</v>
      </c>
      <c r="GYX20" s="314" t="s">
        <v>203</v>
      </c>
      <c r="GYY20" s="314" t="s">
        <v>203</v>
      </c>
      <c r="GYZ20" s="314" t="s">
        <v>203</v>
      </c>
      <c r="GZA20" s="314" t="s">
        <v>203</v>
      </c>
      <c r="GZB20" s="314" t="s">
        <v>203</v>
      </c>
      <c r="GZC20" s="314" t="s">
        <v>203</v>
      </c>
      <c r="GZD20" s="314" t="s">
        <v>203</v>
      </c>
      <c r="GZE20" s="314" t="s">
        <v>203</v>
      </c>
      <c r="GZF20" s="314" t="s">
        <v>203</v>
      </c>
      <c r="GZG20" s="314" t="s">
        <v>203</v>
      </c>
      <c r="GZH20" s="314" t="s">
        <v>203</v>
      </c>
      <c r="GZI20" s="314" t="s">
        <v>203</v>
      </c>
      <c r="GZJ20" s="314" t="s">
        <v>203</v>
      </c>
      <c r="GZK20" s="314" t="s">
        <v>203</v>
      </c>
      <c r="GZL20" s="314" t="s">
        <v>203</v>
      </c>
      <c r="GZM20" s="314" t="s">
        <v>203</v>
      </c>
      <c r="GZN20" s="314" t="s">
        <v>203</v>
      </c>
      <c r="GZO20" s="314" t="s">
        <v>203</v>
      </c>
      <c r="GZP20" s="314" t="s">
        <v>203</v>
      </c>
      <c r="GZQ20" s="314" t="s">
        <v>203</v>
      </c>
      <c r="GZR20" s="314" t="s">
        <v>203</v>
      </c>
      <c r="GZS20" s="314" t="s">
        <v>203</v>
      </c>
      <c r="GZT20" s="314" t="s">
        <v>203</v>
      </c>
      <c r="GZU20" s="314" t="s">
        <v>203</v>
      </c>
      <c r="GZV20" s="314" t="s">
        <v>203</v>
      </c>
      <c r="GZW20" s="314" t="s">
        <v>203</v>
      </c>
      <c r="GZX20" s="314" t="s">
        <v>203</v>
      </c>
      <c r="GZY20" s="314" t="s">
        <v>203</v>
      </c>
      <c r="GZZ20" s="314" t="s">
        <v>203</v>
      </c>
      <c r="HAA20" s="314" t="s">
        <v>203</v>
      </c>
      <c r="HAB20" s="314" t="s">
        <v>203</v>
      </c>
      <c r="HAC20" s="314" t="s">
        <v>203</v>
      </c>
      <c r="HAD20" s="314" t="s">
        <v>203</v>
      </c>
      <c r="HAE20" s="314" t="s">
        <v>203</v>
      </c>
      <c r="HAF20" s="314" t="s">
        <v>203</v>
      </c>
      <c r="HAG20" s="314" t="s">
        <v>203</v>
      </c>
      <c r="HAH20" s="314" t="s">
        <v>203</v>
      </c>
      <c r="HAI20" s="314" t="s">
        <v>203</v>
      </c>
      <c r="HAJ20" s="314" t="s">
        <v>203</v>
      </c>
      <c r="HAK20" s="314" t="s">
        <v>203</v>
      </c>
      <c r="HAL20" s="314" t="s">
        <v>203</v>
      </c>
      <c r="HAM20" s="314" t="s">
        <v>203</v>
      </c>
      <c r="HAN20" s="314" t="s">
        <v>203</v>
      </c>
      <c r="HAO20" s="314" t="s">
        <v>203</v>
      </c>
      <c r="HAP20" s="314" t="s">
        <v>203</v>
      </c>
      <c r="HAQ20" s="314" t="s">
        <v>203</v>
      </c>
      <c r="HAR20" s="314" t="s">
        <v>203</v>
      </c>
      <c r="HAS20" s="314" t="s">
        <v>203</v>
      </c>
      <c r="HAT20" s="314" t="s">
        <v>203</v>
      </c>
      <c r="HAU20" s="314" t="s">
        <v>203</v>
      </c>
      <c r="HAV20" s="314" t="s">
        <v>203</v>
      </c>
      <c r="HAW20" s="314" t="s">
        <v>203</v>
      </c>
      <c r="HAX20" s="314" t="s">
        <v>203</v>
      </c>
      <c r="HAY20" s="314" t="s">
        <v>203</v>
      </c>
      <c r="HAZ20" s="314" t="s">
        <v>203</v>
      </c>
      <c r="HBA20" s="314" t="s">
        <v>203</v>
      </c>
      <c r="HBB20" s="314" t="s">
        <v>203</v>
      </c>
      <c r="HBC20" s="314" t="s">
        <v>203</v>
      </c>
      <c r="HBD20" s="314" t="s">
        <v>203</v>
      </c>
      <c r="HBE20" s="314" t="s">
        <v>203</v>
      </c>
      <c r="HBF20" s="314" t="s">
        <v>203</v>
      </c>
      <c r="HBG20" s="314" t="s">
        <v>203</v>
      </c>
      <c r="HBH20" s="314" t="s">
        <v>203</v>
      </c>
      <c r="HBI20" s="314" t="s">
        <v>203</v>
      </c>
      <c r="HBJ20" s="314" t="s">
        <v>203</v>
      </c>
      <c r="HBK20" s="314" t="s">
        <v>203</v>
      </c>
      <c r="HBL20" s="314" t="s">
        <v>203</v>
      </c>
      <c r="HBM20" s="314" t="s">
        <v>203</v>
      </c>
      <c r="HBN20" s="314" t="s">
        <v>203</v>
      </c>
      <c r="HBO20" s="314" t="s">
        <v>203</v>
      </c>
      <c r="HBP20" s="314" t="s">
        <v>203</v>
      </c>
      <c r="HBQ20" s="314" t="s">
        <v>203</v>
      </c>
      <c r="HBR20" s="314" t="s">
        <v>203</v>
      </c>
      <c r="HBS20" s="314" t="s">
        <v>203</v>
      </c>
      <c r="HBT20" s="314" t="s">
        <v>203</v>
      </c>
      <c r="HBU20" s="314" t="s">
        <v>203</v>
      </c>
      <c r="HBV20" s="314" t="s">
        <v>203</v>
      </c>
      <c r="HBW20" s="314" t="s">
        <v>203</v>
      </c>
      <c r="HBX20" s="314" t="s">
        <v>203</v>
      </c>
      <c r="HBY20" s="314" t="s">
        <v>203</v>
      </c>
      <c r="HBZ20" s="314" t="s">
        <v>203</v>
      </c>
      <c r="HCA20" s="314" t="s">
        <v>203</v>
      </c>
      <c r="HCB20" s="314" t="s">
        <v>203</v>
      </c>
      <c r="HCC20" s="314" t="s">
        <v>203</v>
      </c>
      <c r="HCD20" s="314" t="s">
        <v>203</v>
      </c>
      <c r="HCE20" s="314" t="s">
        <v>203</v>
      </c>
      <c r="HCF20" s="314" t="s">
        <v>203</v>
      </c>
      <c r="HCG20" s="314" t="s">
        <v>203</v>
      </c>
      <c r="HCH20" s="314" t="s">
        <v>203</v>
      </c>
      <c r="HCI20" s="314" t="s">
        <v>203</v>
      </c>
      <c r="HCJ20" s="314" t="s">
        <v>203</v>
      </c>
      <c r="HCK20" s="314" t="s">
        <v>203</v>
      </c>
      <c r="HCL20" s="314" t="s">
        <v>203</v>
      </c>
      <c r="HCM20" s="314" t="s">
        <v>203</v>
      </c>
      <c r="HCN20" s="314" t="s">
        <v>203</v>
      </c>
      <c r="HCO20" s="314" t="s">
        <v>203</v>
      </c>
      <c r="HCP20" s="314" t="s">
        <v>203</v>
      </c>
      <c r="HCQ20" s="314" t="s">
        <v>203</v>
      </c>
      <c r="HCR20" s="314" t="s">
        <v>203</v>
      </c>
      <c r="HCS20" s="314" t="s">
        <v>203</v>
      </c>
      <c r="HCT20" s="314" t="s">
        <v>203</v>
      </c>
      <c r="HCU20" s="314" t="s">
        <v>203</v>
      </c>
      <c r="HCV20" s="314" t="s">
        <v>203</v>
      </c>
      <c r="HCW20" s="314" t="s">
        <v>203</v>
      </c>
      <c r="HCX20" s="314" t="s">
        <v>203</v>
      </c>
      <c r="HCY20" s="314" t="s">
        <v>203</v>
      </c>
      <c r="HCZ20" s="314" t="s">
        <v>203</v>
      </c>
      <c r="HDA20" s="314" t="s">
        <v>203</v>
      </c>
      <c r="HDB20" s="314" t="s">
        <v>203</v>
      </c>
      <c r="HDC20" s="314" t="s">
        <v>203</v>
      </c>
      <c r="HDD20" s="314" t="s">
        <v>203</v>
      </c>
      <c r="HDE20" s="314" t="s">
        <v>203</v>
      </c>
      <c r="HDF20" s="314" t="s">
        <v>203</v>
      </c>
      <c r="HDG20" s="314" t="s">
        <v>203</v>
      </c>
      <c r="HDH20" s="314" t="s">
        <v>203</v>
      </c>
      <c r="HDI20" s="314" t="s">
        <v>203</v>
      </c>
      <c r="HDJ20" s="314" t="s">
        <v>203</v>
      </c>
      <c r="HDK20" s="314" t="s">
        <v>203</v>
      </c>
      <c r="HDL20" s="314" t="s">
        <v>203</v>
      </c>
      <c r="HDM20" s="314" t="s">
        <v>203</v>
      </c>
      <c r="HDN20" s="314" t="s">
        <v>203</v>
      </c>
      <c r="HDO20" s="314" t="s">
        <v>203</v>
      </c>
      <c r="HDP20" s="314" t="s">
        <v>203</v>
      </c>
      <c r="HDQ20" s="314" t="s">
        <v>203</v>
      </c>
      <c r="HDR20" s="314" t="s">
        <v>203</v>
      </c>
      <c r="HDS20" s="314" t="s">
        <v>203</v>
      </c>
      <c r="HDT20" s="314" t="s">
        <v>203</v>
      </c>
      <c r="HDU20" s="314" t="s">
        <v>203</v>
      </c>
      <c r="HDV20" s="314" t="s">
        <v>203</v>
      </c>
      <c r="HDW20" s="314" t="s">
        <v>203</v>
      </c>
      <c r="HDX20" s="314" t="s">
        <v>203</v>
      </c>
      <c r="HDY20" s="314" t="s">
        <v>203</v>
      </c>
      <c r="HDZ20" s="314" t="s">
        <v>203</v>
      </c>
      <c r="HEA20" s="314" t="s">
        <v>203</v>
      </c>
      <c r="HEB20" s="314" t="s">
        <v>203</v>
      </c>
      <c r="HEC20" s="314" t="s">
        <v>203</v>
      </c>
      <c r="HED20" s="314" t="s">
        <v>203</v>
      </c>
      <c r="HEE20" s="314" t="s">
        <v>203</v>
      </c>
      <c r="HEF20" s="314" t="s">
        <v>203</v>
      </c>
      <c r="HEG20" s="314" t="s">
        <v>203</v>
      </c>
      <c r="HEH20" s="314" t="s">
        <v>203</v>
      </c>
      <c r="HEI20" s="314" t="s">
        <v>203</v>
      </c>
      <c r="HEJ20" s="314" t="s">
        <v>203</v>
      </c>
      <c r="HEK20" s="314" t="s">
        <v>203</v>
      </c>
      <c r="HEL20" s="314" t="s">
        <v>203</v>
      </c>
      <c r="HEM20" s="314" t="s">
        <v>203</v>
      </c>
      <c r="HEN20" s="314" t="s">
        <v>203</v>
      </c>
      <c r="HEO20" s="314" t="s">
        <v>203</v>
      </c>
      <c r="HEP20" s="314" t="s">
        <v>203</v>
      </c>
      <c r="HEQ20" s="314" t="s">
        <v>203</v>
      </c>
      <c r="HER20" s="314" t="s">
        <v>203</v>
      </c>
      <c r="HES20" s="314" t="s">
        <v>203</v>
      </c>
      <c r="HET20" s="314" t="s">
        <v>203</v>
      </c>
      <c r="HEU20" s="314" t="s">
        <v>203</v>
      </c>
      <c r="HEV20" s="314" t="s">
        <v>203</v>
      </c>
      <c r="HEW20" s="314" t="s">
        <v>203</v>
      </c>
      <c r="HEX20" s="314" t="s">
        <v>203</v>
      </c>
      <c r="HEY20" s="314" t="s">
        <v>203</v>
      </c>
      <c r="HEZ20" s="314" t="s">
        <v>203</v>
      </c>
      <c r="HFA20" s="314" t="s">
        <v>203</v>
      </c>
      <c r="HFB20" s="314" t="s">
        <v>203</v>
      </c>
      <c r="HFC20" s="314" t="s">
        <v>203</v>
      </c>
      <c r="HFD20" s="314" t="s">
        <v>203</v>
      </c>
      <c r="HFE20" s="314" t="s">
        <v>203</v>
      </c>
      <c r="HFF20" s="314" t="s">
        <v>203</v>
      </c>
      <c r="HFG20" s="314" t="s">
        <v>203</v>
      </c>
      <c r="HFH20" s="314" t="s">
        <v>203</v>
      </c>
      <c r="HFI20" s="314" t="s">
        <v>203</v>
      </c>
      <c r="HFJ20" s="314" t="s">
        <v>203</v>
      </c>
      <c r="HFK20" s="314" t="s">
        <v>203</v>
      </c>
      <c r="HFL20" s="314" t="s">
        <v>203</v>
      </c>
      <c r="HFM20" s="314" t="s">
        <v>203</v>
      </c>
      <c r="HFN20" s="314" t="s">
        <v>203</v>
      </c>
      <c r="HFO20" s="314" t="s">
        <v>203</v>
      </c>
      <c r="HFP20" s="314" t="s">
        <v>203</v>
      </c>
      <c r="HFQ20" s="314" t="s">
        <v>203</v>
      </c>
      <c r="HFR20" s="314" t="s">
        <v>203</v>
      </c>
      <c r="HFS20" s="314" t="s">
        <v>203</v>
      </c>
      <c r="HFT20" s="314" t="s">
        <v>203</v>
      </c>
      <c r="HFU20" s="314" t="s">
        <v>203</v>
      </c>
      <c r="HFV20" s="314" t="s">
        <v>203</v>
      </c>
      <c r="HFW20" s="314" t="s">
        <v>203</v>
      </c>
      <c r="HFX20" s="314" t="s">
        <v>203</v>
      </c>
      <c r="HFY20" s="314" t="s">
        <v>203</v>
      </c>
      <c r="HFZ20" s="314" t="s">
        <v>203</v>
      </c>
      <c r="HGA20" s="314" t="s">
        <v>203</v>
      </c>
      <c r="HGB20" s="314" t="s">
        <v>203</v>
      </c>
      <c r="HGC20" s="314" t="s">
        <v>203</v>
      </c>
      <c r="HGD20" s="314" t="s">
        <v>203</v>
      </c>
      <c r="HGE20" s="314" t="s">
        <v>203</v>
      </c>
      <c r="HGF20" s="314" t="s">
        <v>203</v>
      </c>
      <c r="HGG20" s="314" t="s">
        <v>203</v>
      </c>
      <c r="HGH20" s="314" t="s">
        <v>203</v>
      </c>
      <c r="HGI20" s="314" t="s">
        <v>203</v>
      </c>
      <c r="HGJ20" s="314" t="s">
        <v>203</v>
      </c>
      <c r="HGK20" s="314" t="s">
        <v>203</v>
      </c>
      <c r="HGL20" s="314" t="s">
        <v>203</v>
      </c>
      <c r="HGM20" s="314" t="s">
        <v>203</v>
      </c>
      <c r="HGN20" s="314" t="s">
        <v>203</v>
      </c>
      <c r="HGO20" s="314" t="s">
        <v>203</v>
      </c>
      <c r="HGP20" s="314" t="s">
        <v>203</v>
      </c>
      <c r="HGQ20" s="314" t="s">
        <v>203</v>
      </c>
      <c r="HGR20" s="314" t="s">
        <v>203</v>
      </c>
      <c r="HGS20" s="314" t="s">
        <v>203</v>
      </c>
      <c r="HGT20" s="314" t="s">
        <v>203</v>
      </c>
      <c r="HGU20" s="314" t="s">
        <v>203</v>
      </c>
      <c r="HGV20" s="314" t="s">
        <v>203</v>
      </c>
      <c r="HGW20" s="314" t="s">
        <v>203</v>
      </c>
      <c r="HGX20" s="314" t="s">
        <v>203</v>
      </c>
      <c r="HGY20" s="314" t="s">
        <v>203</v>
      </c>
      <c r="HGZ20" s="314" t="s">
        <v>203</v>
      </c>
      <c r="HHA20" s="314" t="s">
        <v>203</v>
      </c>
      <c r="HHB20" s="314" t="s">
        <v>203</v>
      </c>
      <c r="HHC20" s="314" t="s">
        <v>203</v>
      </c>
      <c r="HHD20" s="314" t="s">
        <v>203</v>
      </c>
      <c r="HHE20" s="314" t="s">
        <v>203</v>
      </c>
      <c r="HHF20" s="314" t="s">
        <v>203</v>
      </c>
      <c r="HHG20" s="314" t="s">
        <v>203</v>
      </c>
      <c r="HHH20" s="314" t="s">
        <v>203</v>
      </c>
      <c r="HHI20" s="314" t="s">
        <v>203</v>
      </c>
      <c r="HHJ20" s="314" t="s">
        <v>203</v>
      </c>
      <c r="HHK20" s="314" t="s">
        <v>203</v>
      </c>
      <c r="HHL20" s="314" t="s">
        <v>203</v>
      </c>
      <c r="HHM20" s="314" t="s">
        <v>203</v>
      </c>
      <c r="HHN20" s="314" t="s">
        <v>203</v>
      </c>
      <c r="HHO20" s="314" t="s">
        <v>203</v>
      </c>
      <c r="HHP20" s="314" t="s">
        <v>203</v>
      </c>
      <c r="HHQ20" s="314" t="s">
        <v>203</v>
      </c>
      <c r="HHR20" s="314" t="s">
        <v>203</v>
      </c>
      <c r="HHS20" s="314" t="s">
        <v>203</v>
      </c>
      <c r="HHT20" s="314" t="s">
        <v>203</v>
      </c>
      <c r="HHU20" s="314" t="s">
        <v>203</v>
      </c>
      <c r="HHV20" s="314" t="s">
        <v>203</v>
      </c>
      <c r="HHW20" s="314" t="s">
        <v>203</v>
      </c>
      <c r="HHX20" s="314" t="s">
        <v>203</v>
      </c>
      <c r="HHY20" s="314" t="s">
        <v>203</v>
      </c>
      <c r="HHZ20" s="314" t="s">
        <v>203</v>
      </c>
      <c r="HIA20" s="314" t="s">
        <v>203</v>
      </c>
      <c r="HIB20" s="314" t="s">
        <v>203</v>
      </c>
      <c r="HIC20" s="314" t="s">
        <v>203</v>
      </c>
      <c r="HID20" s="314" t="s">
        <v>203</v>
      </c>
      <c r="HIE20" s="314" t="s">
        <v>203</v>
      </c>
      <c r="HIF20" s="314" t="s">
        <v>203</v>
      </c>
      <c r="HIG20" s="314" t="s">
        <v>203</v>
      </c>
      <c r="HIH20" s="314" t="s">
        <v>203</v>
      </c>
      <c r="HII20" s="314" t="s">
        <v>203</v>
      </c>
      <c r="HIJ20" s="314" t="s">
        <v>203</v>
      </c>
      <c r="HIK20" s="314" t="s">
        <v>203</v>
      </c>
      <c r="HIL20" s="314" t="s">
        <v>203</v>
      </c>
      <c r="HIM20" s="314" t="s">
        <v>203</v>
      </c>
      <c r="HIN20" s="314" t="s">
        <v>203</v>
      </c>
      <c r="HIO20" s="314" t="s">
        <v>203</v>
      </c>
      <c r="HIP20" s="314" t="s">
        <v>203</v>
      </c>
      <c r="HIQ20" s="314" t="s">
        <v>203</v>
      </c>
      <c r="HIR20" s="314" t="s">
        <v>203</v>
      </c>
      <c r="HIS20" s="314" t="s">
        <v>203</v>
      </c>
      <c r="HIT20" s="314" t="s">
        <v>203</v>
      </c>
      <c r="HIU20" s="314" t="s">
        <v>203</v>
      </c>
      <c r="HIV20" s="314" t="s">
        <v>203</v>
      </c>
      <c r="HIW20" s="314" t="s">
        <v>203</v>
      </c>
      <c r="HIX20" s="314" t="s">
        <v>203</v>
      </c>
      <c r="HIY20" s="314" t="s">
        <v>203</v>
      </c>
      <c r="HIZ20" s="314" t="s">
        <v>203</v>
      </c>
      <c r="HJA20" s="314" t="s">
        <v>203</v>
      </c>
      <c r="HJB20" s="314" t="s">
        <v>203</v>
      </c>
      <c r="HJC20" s="314" t="s">
        <v>203</v>
      </c>
      <c r="HJD20" s="314" t="s">
        <v>203</v>
      </c>
      <c r="HJE20" s="314" t="s">
        <v>203</v>
      </c>
      <c r="HJF20" s="314" t="s">
        <v>203</v>
      </c>
      <c r="HJG20" s="314" t="s">
        <v>203</v>
      </c>
      <c r="HJH20" s="314" t="s">
        <v>203</v>
      </c>
      <c r="HJI20" s="314" t="s">
        <v>203</v>
      </c>
      <c r="HJJ20" s="314" t="s">
        <v>203</v>
      </c>
      <c r="HJK20" s="314" t="s">
        <v>203</v>
      </c>
      <c r="HJL20" s="314" t="s">
        <v>203</v>
      </c>
      <c r="HJM20" s="314" t="s">
        <v>203</v>
      </c>
      <c r="HJN20" s="314" t="s">
        <v>203</v>
      </c>
      <c r="HJO20" s="314" t="s">
        <v>203</v>
      </c>
      <c r="HJP20" s="314" t="s">
        <v>203</v>
      </c>
      <c r="HJQ20" s="314" t="s">
        <v>203</v>
      </c>
      <c r="HJR20" s="314" t="s">
        <v>203</v>
      </c>
      <c r="HJS20" s="314" t="s">
        <v>203</v>
      </c>
      <c r="HJT20" s="314" t="s">
        <v>203</v>
      </c>
      <c r="HJU20" s="314" t="s">
        <v>203</v>
      </c>
      <c r="HJV20" s="314" t="s">
        <v>203</v>
      </c>
      <c r="HJW20" s="314" t="s">
        <v>203</v>
      </c>
      <c r="HJX20" s="314" t="s">
        <v>203</v>
      </c>
      <c r="HJY20" s="314" t="s">
        <v>203</v>
      </c>
      <c r="HJZ20" s="314" t="s">
        <v>203</v>
      </c>
      <c r="HKA20" s="314" t="s">
        <v>203</v>
      </c>
      <c r="HKB20" s="314" t="s">
        <v>203</v>
      </c>
      <c r="HKC20" s="314" t="s">
        <v>203</v>
      </c>
      <c r="HKD20" s="314" t="s">
        <v>203</v>
      </c>
      <c r="HKE20" s="314" t="s">
        <v>203</v>
      </c>
      <c r="HKF20" s="314" t="s">
        <v>203</v>
      </c>
      <c r="HKG20" s="314" t="s">
        <v>203</v>
      </c>
      <c r="HKH20" s="314" t="s">
        <v>203</v>
      </c>
      <c r="HKI20" s="314" t="s">
        <v>203</v>
      </c>
      <c r="HKJ20" s="314" t="s">
        <v>203</v>
      </c>
      <c r="HKK20" s="314" t="s">
        <v>203</v>
      </c>
      <c r="HKL20" s="314" t="s">
        <v>203</v>
      </c>
      <c r="HKM20" s="314" t="s">
        <v>203</v>
      </c>
      <c r="HKN20" s="314" t="s">
        <v>203</v>
      </c>
      <c r="HKO20" s="314" t="s">
        <v>203</v>
      </c>
      <c r="HKP20" s="314" t="s">
        <v>203</v>
      </c>
      <c r="HKQ20" s="314" t="s">
        <v>203</v>
      </c>
      <c r="HKR20" s="314" t="s">
        <v>203</v>
      </c>
      <c r="HKS20" s="314" t="s">
        <v>203</v>
      </c>
      <c r="HKT20" s="314" t="s">
        <v>203</v>
      </c>
      <c r="HKU20" s="314" t="s">
        <v>203</v>
      </c>
      <c r="HKV20" s="314" t="s">
        <v>203</v>
      </c>
      <c r="HKW20" s="314" t="s">
        <v>203</v>
      </c>
      <c r="HKX20" s="314" t="s">
        <v>203</v>
      </c>
      <c r="HKY20" s="314" t="s">
        <v>203</v>
      </c>
      <c r="HKZ20" s="314" t="s">
        <v>203</v>
      </c>
      <c r="HLA20" s="314" t="s">
        <v>203</v>
      </c>
      <c r="HLB20" s="314" t="s">
        <v>203</v>
      </c>
      <c r="HLC20" s="314" t="s">
        <v>203</v>
      </c>
      <c r="HLD20" s="314" t="s">
        <v>203</v>
      </c>
      <c r="HLE20" s="314" t="s">
        <v>203</v>
      </c>
      <c r="HLF20" s="314" t="s">
        <v>203</v>
      </c>
      <c r="HLG20" s="314" t="s">
        <v>203</v>
      </c>
      <c r="HLH20" s="314" t="s">
        <v>203</v>
      </c>
      <c r="HLI20" s="314" t="s">
        <v>203</v>
      </c>
      <c r="HLJ20" s="314" t="s">
        <v>203</v>
      </c>
      <c r="HLK20" s="314" t="s">
        <v>203</v>
      </c>
      <c r="HLL20" s="314" t="s">
        <v>203</v>
      </c>
      <c r="HLM20" s="314" t="s">
        <v>203</v>
      </c>
      <c r="HLN20" s="314" t="s">
        <v>203</v>
      </c>
      <c r="HLO20" s="314" t="s">
        <v>203</v>
      </c>
      <c r="HLP20" s="314" t="s">
        <v>203</v>
      </c>
      <c r="HLQ20" s="314" t="s">
        <v>203</v>
      </c>
      <c r="HLR20" s="314" t="s">
        <v>203</v>
      </c>
      <c r="HLS20" s="314" t="s">
        <v>203</v>
      </c>
      <c r="HLT20" s="314" t="s">
        <v>203</v>
      </c>
      <c r="HLU20" s="314" t="s">
        <v>203</v>
      </c>
      <c r="HLV20" s="314" t="s">
        <v>203</v>
      </c>
      <c r="HLW20" s="314" t="s">
        <v>203</v>
      </c>
      <c r="HLX20" s="314" t="s">
        <v>203</v>
      </c>
      <c r="HLY20" s="314" t="s">
        <v>203</v>
      </c>
      <c r="HLZ20" s="314" t="s">
        <v>203</v>
      </c>
      <c r="HMA20" s="314" t="s">
        <v>203</v>
      </c>
      <c r="HMB20" s="314" t="s">
        <v>203</v>
      </c>
      <c r="HMC20" s="314" t="s">
        <v>203</v>
      </c>
      <c r="HMD20" s="314" t="s">
        <v>203</v>
      </c>
      <c r="HME20" s="314" t="s">
        <v>203</v>
      </c>
      <c r="HMF20" s="314" t="s">
        <v>203</v>
      </c>
      <c r="HMG20" s="314" t="s">
        <v>203</v>
      </c>
      <c r="HMH20" s="314" t="s">
        <v>203</v>
      </c>
      <c r="HMI20" s="314" t="s">
        <v>203</v>
      </c>
      <c r="HMJ20" s="314" t="s">
        <v>203</v>
      </c>
      <c r="HMK20" s="314" t="s">
        <v>203</v>
      </c>
      <c r="HML20" s="314" t="s">
        <v>203</v>
      </c>
      <c r="HMM20" s="314" t="s">
        <v>203</v>
      </c>
      <c r="HMN20" s="314" t="s">
        <v>203</v>
      </c>
      <c r="HMO20" s="314" t="s">
        <v>203</v>
      </c>
      <c r="HMP20" s="314" t="s">
        <v>203</v>
      </c>
      <c r="HMQ20" s="314" t="s">
        <v>203</v>
      </c>
      <c r="HMR20" s="314" t="s">
        <v>203</v>
      </c>
      <c r="HMS20" s="314" t="s">
        <v>203</v>
      </c>
      <c r="HMT20" s="314" t="s">
        <v>203</v>
      </c>
      <c r="HMU20" s="314" t="s">
        <v>203</v>
      </c>
      <c r="HMV20" s="314" t="s">
        <v>203</v>
      </c>
      <c r="HMW20" s="314" t="s">
        <v>203</v>
      </c>
      <c r="HMX20" s="314" t="s">
        <v>203</v>
      </c>
      <c r="HMY20" s="314" t="s">
        <v>203</v>
      </c>
      <c r="HMZ20" s="314" t="s">
        <v>203</v>
      </c>
      <c r="HNA20" s="314" t="s">
        <v>203</v>
      </c>
      <c r="HNB20" s="314" t="s">
        <v>203</v>
      </c>
      <c r="HNC20" s="314" t="s">
        <v>203</v>
      </c>
      <c r="HND20" s="314" t="s">
        <v>203</v>
      </c>
      <c r="HNE20" s="314" t="s">
        <v>203</v>
      </c>
      <c r="HNF20" s="314" t="s">
        <v>203</v>
      </c>
      <c r="HNG20" s="314" t="s">
        <v>203</v>
      </c>
      <c r="HNH20" s="314" t="s">
        <v>203</v>
      </c>
      <c r="HNI20" s="314" t="s">
        <v>203</v>
      </c>
      <c r="HNJ20" s="314" t="s">
        <v>203</v>
      </c>
      <c r="HNK20" s="314" t="s">
        <v>203</v>
      </c>
      <c r="HNL20" s="314" t="s">
        <v>203</v>
      </c>
      <c r="HNM20" s="314" t="s">
        <v>203</v>
      </c>
      <c r="HNN20" s="314" t="s">
        <v>203</v>
      </c>
      <c r="HNO20" s="314" t="s">
        <v>203</v>
      </c>
      <c r="HNP20" s="314" t="s">
        <v>203</v>
      </c>
      <c r="HNQ20" s="314" t="s">
        <v>203</v>
      </c>
      <c r="HNR20" s="314" t="s">
        <v>203</v>
      </c>
      <c r="HNS20" s="314" t="s">
        <v>203</v>
      </c>
      <c r="HNT20" s="314" t="s">
        <v>203</v>
      </c>
      <c r="HNU20" s="314" t="s">
        <v>203</v>
      </c>
      <c r="HNV20" s="314" t="s">
        <v>203</v>
      </c>
      <c r="HNW20" s="314" t="s">
        <v>203</v>
      </c>
      <c r="HNX20" s="314" t="s">
        <v>203</v>
      </c>
      <c r="HNY20" s="314" t="s">
        <v>203</v>
      </c>
      <c r="HNZ20" s="314" t="s">
        <v>203</v>
      </c>
      <c r="HOA20" s="314" t="s">
        <v>203</v>
      </c>
      <c r="HOB20" s="314" t="s">
        <v>203</v>
      </c>
      <c r="HOC20" s="314" t="s">
        <v>203</v>
      </c>
      <c r="HOD20" s="314" t="s">
        <v>203</v>
      </c>
      <c r="HOE20" s="314" t="s">
        <v>203</v>
      </c>
      <c r="HOF20" s="314" t="s">
        <v>203</v>
      </c>
      <c r="HOG20" s="314" t="s">
        <v>203</v>
      </c>
      <c r="HOH20" s="314" t="s">
        <v>203</v>
      </c>
      <c r="HOI20" s="314" t="s">
        <v>203</v>
      </c>
      <c r="HOJ20" s="314" t="s">
        <v>203</v>
      </c>
      <c r="HOK20" s="314" t="s">
        <v>203</v>
      </c>
      <c r="HOL20" s="314" t="s">
        <v>203</v>
      </c>
      <c r="HOM20" s="314" t="s">
        <v>203</v>
      </c>
      <c r="HON20" s="314" t="s">
        <v>203</v>
      </c>
      <c r="HOO20" s="314" t="s">
        <v>203</v>
      </c>
      <c r="HOP20" s="314" t="s">
        <v>203</v>
      </c>
      <c r="HOQ20" s="314" t="s">
        <v>203</v>
      </c>
      <c r="HOR20" s="314" t="s">
        <v>203</v>
      </c>
      <c r="HOS20" s="314" t="s">
        <v>203</v>
      </c>
      <c r="HOT20" s="314" t="s">
        <v>203</v>
      </c>
      <c r="HOU20" s="314" t="s">
        <v>203</v>
      </c>
      <c r="HOV20" s="314" t="s">
        <v>203</v>
      </c>
      <c r="HOW20" s="314" t="s">
        <v>203</v>
      </c>
      <c r="HOX20" s="314" t="s">
        <v>203</v>
      </c>
      <c r="HOY20" s="314" t="s">
        <v>203</v>
      </c>
      <c r="HOZ20" s="314" t="s">
        <v>203</v>
      </c>
      <c r="HPA20" s="314" t="s">
        <v>203</v>
      </c>
      <c r="HPB20" s="314" t="s">
        <v>203</v>
      </c>
      <c r="HPC20" s="314" t="s">
        <v>203</v>
      </c>
      <c r="HPD20" s="314" t="s">
        <v>203</v>
      </c>
      <c r="HPE20" s="314" t="s">
        <v>203</v>
      </c>
      <c r="HPF20" s="314" t="s">
        <v>203</v>
      </c>
      <c r="HPG20" s="314" t="s">
        <v>203</v>
      </c>
      <c r="HPH20" s="314" t="s">
        <v>203</v>
      </c>
      <c r="HPI20" s="314" t="s">
        <v>203</v>
      </c>
      <c r="HPJ20" s="314" t="s">
        <v>203</v>
      </c>
      <c r="HPK20" s="314" t="s">
        <v>203</v>
      </c>
      <c r="HPL20" s="314" t="s">
        <v>203</v>
      </c>
      <c r="HPM20" s="314" t="s">
        <v>203</v>
      </c>
      <c r="HPN20" s="314" t="s">
        <v>203</v>
      </c>
      <c r="HPO20" s="314" t="s">
        <v>203</v>
      </c>
      <c r="HPP20" s="314" t="s">
        <v>203</v>
      </c>
      <c r="HPQ20" s="314" t="s">
        <v>203</v>
      </c>
      <c r="HPR20" s="314" t="s">
        <v>203</v>
      </c>
      <c r="HPS20" s="314" t="s">
        <v>203</v>
      </c>
      <c r="HPT20" s="314" t="s">
        <v>203</v>
      </c>
      <c r="HPU20" s="314" t="s">
        <v>203</v>
      </c>
      <c r="HPV20" s="314" t="s">
        <v>203</v>
      </c>
      <c r="HPW20" s="314" t="s">
        <v>203</v>
      </c>
      <c r="HPX20" s="314" t="s">
        <v>203</v>
      </c>
      <c r="HPY20" s="314" t="s">
        <v>203</v>
      </c>
      <c r="HPZ20" s="314" t="s">
        <v>203</v>
      </c>
      <c r="HQA20" s="314" t="s">
        <v>203</v>
      </c>
      <c r="HQB20" s="314" t="s">
        <v>203</v>
      </c>
      <c r="HQC20" s="314" t="s">
        <v>203</v>
      </c>
      <c r="HQD20" s="314" t="s">
        <v>203</v>
      </c>
      <c r="HQE20" s="314" t="s">
        <v>203</v>
      </c>
      <c r="HQF20" s="314" t="s">
        <v>203</v>
      </c>
      <c r="HQG20" s="314" t="s">
        <v>203</v>
      </c>
      <c r="HQH20" s="314" t="s">
        <v>203</v>
      </c>
      <c r="HQI20" s="314" t="s">
        <v>203</v>
      </c>
      <c r="HQJ20" s="314" t="s">
        <v>203</v>
      </c>
      <c r="HQK20" s="314" t="s">
        <v>203</v>
      </c>
      <c r="HQL20" s="314" t="s">
        <v>203</v>
      </c>
      <c r="HQM20" s="314" t="s">
        <v>203</v>
      </c>
      <c r="HQN20" s="314" t="s">
        <v>203</v>
      </c>
      <c r="HQO20" s="314" t="s">
        <v>203</v>
      </c>
      <c r="HQP20" s="314" t="s">
        <v>203</v>
      </c>
      <c r="HQQ20" s="314" t="s">
        <v>203</v>
      </c>
      <c r="HQR20" s="314" t="s">
        <v>203</v>
      </c>
      <c r="HQS20" s="314" t="s">
        <v>203</v>
      </c>
      <c r="HQT20" s="314" t="s">
        <v>203</v>
      </c>
      <c r="HQU20" s="314" t="s">
        <v>203</v>
      </c>
      <c r="HQV20" s="314" t="s">
        <v>203</v>
      </c>
      <c r="HQW20" s="314" t="s">
        <v>203</v>
      </c>
      <c r="HQX20" s="314" t="s">
        <v>203</v>
      </c>
      <c r="HQY20" s="314" t="s">
        <v>203</v>
      </c>
      <c r="HQZ20" s="314" t="s">
        <v>203</v>
      </c>
      <c r="HRA20" s="314" t="s">
        <v>203</v>
      </c>
      <c r="HRB20" s="314" t="s">
        <v>203</v>
      </c>
      <c r="HRC20" s="314" t="s">
        <v>203</v>
      </c>
      <c r="HRD20" s="314" t="s">
        <v>203</v>
      </c>
      <c r="HRE20" s="314" t="s">
        <v>203</v>
      </c>
      <c r="HRF20" s="314" t="s">
        <v>203</v>
      </c>
      <c r="HRG20" s="314" t="s">
        <v>203</v>
      </c>
      <c r="HRH20" s="314" t="s">
        <v>203</v>
      </c>
      <c r="HRI20" s="314" t="s">
        <v>203</v>
      </c>
      <c r="HRJ20" s="314" t="s">
        <v>203</v>
      </c>
      <c r="HRK20" s="314" t="s">
        <v>203</v>
      </c>
      <c r="HRL20" s="314" t="s">
        <v>203</v>
      </c>
      <c r="HRM20" s="314" t="s">
        <v>203</v>
      </c>
      <c r="HRN20" s="314" t="s">
        <v>203</v>
      </c>
      <c r="HRO20" s="314" t="s">
        <v>203</v>
      </c>
      <c r="HRP20" s="314" t="s">
        <v>203</v>
      </c>
      <c r="HRQ20" s="314" t="s">
        <v>203</v>
      </c>
      <c r="HRR20" s="314" t="s">
        <v>203</v>
      </c>
      <c r="HRS20" s="314" t="s">
        <v>203</v>
      </c>
      <c r="HRT20" s="314" t="s">
        <v>203</v>
      </c>
      <c r="HRU20" s="314" t="s">
        <v>203</v>
      </c>
      <c r="HRV20" s="314" t="s">
        <v>203</v>
      </c>
      <c r="HRW20" s="314" t="s">
        <v>203</v>
      </c>
      <c r="HRX20" s="314" t="s">
        <v>203</v>
      </c>
      <c r="HRY20" s="314" t="s">
        <v>203</v>
      </c>
      <c r="HRZ20" s="314" t="s">
        <v>203</v>
      </c>
      <c r="HSA20" s="314" t="s">
        <v>203</v>
      </c>
      <c r="HSB20" s="314" t="s">
        <v>203</v>
      </c>
      <c r="HSC20" s="314" t="s">
        <v>203</v>
      </c>
      <c r="HSD20" s="314" t="s">
        <v>203</v>
      </c>
      <c r="HSE20" s="314" t="s">
        <v>203</v>
      </c>
      <c r="HSF20" s="314" t="s">
        <v>203</v>
      </c>
      <c r="HSG20" s="314" t="s">
        <v>203</v>
      </c>
      <c r="HSH20" s="314" t="s">
        <v>203</v>
      </c>
      <c r="HSI20" s="314" t="s">
        <v>203</v>
      </c>
      <c r="HSJ20" s="314" t="s">
        <v>203</v>
      </c>
      <c r="HSK20" s="314" t="s">
        <v>203</v>
      </c>
      <c r="HSL20" s="314" t="s">
        <v>203</v>
      </c>
      <c r="HSM20" s="314" t="s">
        <v>203</v>
      </c>
      <c r="HSN20" s="314" t="s">
        <v>203</v>
      </c>
      <c r="HSO20" s="314" t="s">
        <v>203</v>
      </c>
      <c r="HSP20" s="314" t="s">
        <v>203</v>
      </c>
      <c r="HSQ20" s="314" t="s">
        <v>203</v>
      </c>
      <c r="HSR20" s="314" t="s">
        <v>203</v>
      </c>
      <c r="HSS20" s="314" t="s">
        <v>203</v>
      </c>
      <c r="HST20" s="314" t="s">
        <v>203</v>
      </c>
      <c r="HSU20" s="314" t="s">
        <v>203</v>
      </c>
      <c r="HSV20" s="314" t="s">
        <v>203</v>
      </c>
      <c r="HSW20" s="314" t="s">
        <v>203</v>
      </c>
      <c r="HSX20" s="314" t="s">
        <v>203</v>
      </c>
      <c r="HSY20" s="314" t="s">
        <v>203</v>
      </c>
      <c r="HSZ20" s="314" t="s">
        <v>203</v>
      </c>
      <c r="HTA20" s="314" t="s">
        <v>203</v>
      </c>
      <c r="HTB20" s="314" t="s">
        <v>203</v>
      </c>
      <c r="HTC20" s="314" t="s">
        <v>203</v>
      </c>
      <c r="HTD20" s="314" t="s">
        <v>203</v>
      </c>
      <c r="HTE20" s="314" t="s">
        <v>203</v>
      </c>
      <c r="HTF20" s="314" t="s">
        <v>203</v>
      </c>
      <c r="HTG20" s="314" t="s">
        <v>203</v>
      </c>
      <c r="HTH20" s="314" t="s">
        <v>203</v>
      </c>
      <c r="HTI20" s="314" t="s">
        <v>203</v>
      </c>
      <c r="HTJ20" s="314" t="s">
        <v>203</v>
      </c>
      <c r="HTK20" s="314" t="s">
        <v>203</v>
      </c>
      <c r="HTL20" s="314" t="s">
        <v>203</v>
      </c>
      <c r="HTM20" s="314" t="s">
        <v>203</v>
      </c>
      <c r="HTN20" s="314" t="s">
        <v>203</v>
      </c>
      <c r="HTO20" s="314" t="s">
        <v>203</v>
      </c>
      <c r="HTP20" s="314" t="s">
        <v>203</v>
      </c>
      <c r="HTQ20" s="314" t="s">
        <v>203</v>
      </c>
      <c r="HTR20" s="314" t="s">
        <v>203</v>
      </c>
      <c r="HTS20" s="314" t="s">
        <v>203</v>
      </c>
      <c r="HTT20" s="314" t="s">
        <v>203</v>
      </c>
      <c r="HTU20" s="314" t="s">
        <v>203</v>
      </c>
      <c r="HTV20" s="314" t="s">
        <v>203</v>
      </c>
      <c r="HTW20" s="314" t="s">
        <v>203</v>
      </c>
      <c r="HTX20" s="314" t="s">
        <v>203</v>
      </c>
      <c r="HTY20" s="314" t="s">
        <v>203</v>
      </c>
      <c r="HTZ20" s="314" t="s">
        <v>203</v>
      </c>
      <c r="HUA20" s="314" t="s">
        <v>203</v>
      </c>
      <c r="HUB20" s="314" t="s">
        <v>203</v>
      </c>
      <c r="HUC20" s="314" t="s">
        <v>203</v>
      </c>
      <c r="HUD20" s="314" t="s">
        <v>203</v>
      </c>
      <c r="HUE20" s="314" t="s">
        <v>203</v>
      </c>
      <c r="HUF20" s="314" t="s">
        <v>203</v>
      </c>
      <c r="HUG20" s="314" t="s">
        <v>203</v>
      </c>
      <c r="HUH20" s="314" t="s">
        <v>203</v>
      </c>
      <c r="HUI20" s="314" t="s">
        <v>203</v>
      </c>
      <c r="HUJ20" s="314" t="s">
        <v>203</v>
      </c>
      <c r="HUK20" s="314" t="s">
        <v>203</v>
      </c>
      <c r="HUL20" s="314" t="s">
        <v>203</v>
      </c>
      <c r="HUM20" s="314" t="s">
        <v>203</v>
      </c>
      <c r="HUN20" s="314" t="s">
        <v>203</v>
      </c>
      <c r="HUO20" s="314" t="s">
        <v>203</v>
      </c>
      <c r="HUP20" s="314" t="s">
        <v>203</v>
      </c>
      <c r="HUQ20" s="314" t="s">
        <v>203</v>
      </c>
      <c r="HUR20" s="314" t="s">
        <v>203</v>
      </c>
      <c r="HUS20" s="314" t="s">
        <v>203</v>
      </c>
      <c r="HUT20" s="314" t="s">
        <v>203</v>
      </c>
      <c r="HUU20" s="314" t="s">
        <v>203</v>
      </c>
      <c r="HUV20" s="314" t="s">
        <v>203</v>
      </c>
      <c r="HUW20" s="314" t="s">
        <v>203</v>
      </c>
      <c r="HUX20" s="314" t="s">
        <v>203</v>
      </c>
      <c r="HUY20" s="314" t="s">
        <v>203</v>
      </c>
      <c r="HUZ20" s="314" t="s">
        <v>203</v>
      </c>
      <c r="HVA20" s="314" t="s">
        <v>203</v>
      </c>
      <c r="HVB20" s="314" t="s">
        <v>203</v>
      </c>
      <c r="HVC20" s="314" t="s">
        <v>203</v>
      </c>
      <c r="HVD20" s="314" t="s">
        <v>203</v>
      </c>
      <c r="HVE20" s="314" t="s">
        <v>203</v>
      </c>
      <c r="HVF20" s="314" t="s">
        <v>203</v>
      </c>
      <c r="HVG20" s="314" t="s">
        <v>203</v>
      </c>
      <c r="HVH20" s="314" t="s">
        <v>203</v>
      </c>
      <c r="HVI20" s="314" t="s">
        <v>203</v>
      </c>
      <c r="HVJ20" s="314" t="s">
        <v>203</v>
      </c>
      <c r="HVK20" s="314" t="s">
        <v>203</v>
      </c>
      <c r="HVL20" s="314" t="s">
        <v>203</v>
      </c>
      <c r="HVM20" s="314" t="s">
        <v>203</v>
      </c>
      <c r="HVN20" s="314" t="s">
        <v>203</v>
      </c>
      <c r="HVO20" s="314" t="s">
        <v>203</v>
      </c>
      <c r="HVP20" s="314" t="s">
        <v>203</v>
      </c>
      <c r="HVQ20" s="314" t="s">
        <v>203</v>
      </c>
      <c r="HVR20" s="314" t="s">
        <v>203</v>
      </c>
      <c r="HVS20" s="314" t="s">
        <v>203</v>
      </c>
      <c r="HVT20" s="314" t="s">
        <v>203</v>
      </c>
      <c r="HVU20" s="314" t="s">
        <v>203</v>
      </c>
      <c r="HVV20" s="314" t="s">
        <v>203</v>
      </c>
      <c r="HVW20" s="314" t="s">
        <v>203</v>
      </c>
      <c r="HVX20" s="314" t="s">
        <v>203</v>
      </c>
      <c r="HVY20" s="314" t="s">
        <v>203</v>
      </c>
      <c r="HVZ20" s="314" t="s">
        <v>203</v>
      </c>
      <c r="HWA20" s="314" t="s">
        <v>203</v>
      </c>
      <c r="HWB20" s="314" t="s">
        <v>203</v>
      </c>
      <c r="HWC20" s="314" t="s">
        <v>203</v>
      </c>
      <c r="HWD20" s="314" t="s">
        <v>203</v>
      </c>
      <c r="HWE20" s="314" t="s">
        <v>203</v>
      </c>
      <c r="HWF20" s="314" t="s">
        <v>203</v>
      </c>
      <c r="HWG20" s="314" t="s">
        <v>203</v>
      </c>
      <c r="HWH20" s="314" t="s">
        <v>203</v>
      </c>
      <c r="HWI20" s="314" t="s">
        <v>203</v>
      </c>
      <c r="HWJ20" s="314" t="s">
        <v>203</v>
      </c>
      <c r="HWK20" s="314" t="s">
        <v>203</v>
      </c>
      <c r="HWL20" s="314" t="s">
        <v>203</v>
      </c>
      <c r="HWM20" s="314" t="s">
        <v>203</v>
      </c>
      <c r="HWN20" s="314" t="s">
        <v>203</v>
      </c>
      <c r="HWO20" s="314" t="s">
        <v>203</v>
      </c>
      <c r="HWP20" s="314" t="s">
        <v>203</v>
      </c>
      <c r="HWQ20" s="314" t="s">
        <v>203</v>
      </c>
      <c r="HWR20" s="314" t="s">
        <v>203</v>
      </c>
      <c r="HWS20" s="314" t="s">
        <v>203</v>
      </c>
      <c r="HWT20" s="314" t="s">
        <v>203</v>
      </c>
      <c r="HWU20" s="314" t="s">
        <v>203</v>
      </c>
      <c r="HWV20" s="314" t="s">
        <v>203</v>
      </c>
      <c r="HWW20" s="314" t="s">
        <v>203</v>
      </c>
      <c r="HWX20" s="314" t="s">
        <v>203</v>
      </c>
      <c r="HWY20" s="314" t="s">
        <v>203</v>
      </c>
      <c r="HWZ20" s="314" t="s">
        <v>203</v>
      </c>
      <c r="HXA20" s="314" t="s">
        <v>203</v>
      </c>
      <c r="HXB20" s="314" t="s">
        <v>203</v>
      </c>
      <c r="HXC20" s="314" t="s">
        <v>203</v>
      </c>
      <c r="HXD20" s="314" t="s">
        <v>203</v>
      </c>
      <c r="HXE20" s="314" t="s">
        <v>203</v>
      </c>
      <c r="HXF20" s="314" t="s">
        <v>203</v>
      </c>
      <c r="HXG20" s="314" t="s">
        <v>203</v>
      </c>
      <c r="HXH20" s="314" t="s">
        <v>203</v>
      </c>
      <c r="HXI20" s="314" t="s">
        <v>203</v>
      </c>
      <c r="HXJ20" s="314" t="s">
        <v>203</v>
      </c>
      <c r="HXK20" s="314" t="s">
        <v>203</v>
      </c>
      <c r="HXL20" s="314" t="s">
        <v>203</v>
      </c>
      <c r="HXM20" s="314" t="s">
        <v>203</v>
      </c>
      <c r="HXN20" s="314" t="s">
        <v>203</v>
      </c>
      <c r="HXO20" s="314" t="s">
        <v>203</v>
      </c>
      <c r="HXP20" s="314" t="s">
        <v>203</v>
      </c>
      <c r="HXQ20" s="314" t="s">
        <v>203</v>
      </c>
      <c r="HXR20" s="314" t="s">
        <v>203</v>
      </c>
      <c r="HXS20" s="314" t="s">
        <v>203</v>
      </c>
      <c r="HXT20" s="314" t="s">
        <v>203</v>
      </c>
      <c r="HXU20" s="314" t="s">
        <v>203</v>
      </c>
      <c r="HXV20" s="314" t="s">
        <v>203</v>
      </c>
      <c r="HXW20" s="314" t="s">
        <v>203</v>
      </c>
      <c r="HXX20" s="314" t="s">
        <v>203</v>
      </c>
      <c r="HXY20" s="314" t="s">
        <v>203</v>
      </c>
      <c r="HXZ20" s="314" t="s">
        <v>203</v>
      </c>
      <c r="HYA20" s="314" t="s">
        <v>203</v>
      </c>
      <c r="HYB20" s="314" t="s">
        <v>203</v>
      </c>
      <c r="HYC20" s="314" t="s">
        <v>203</v>
      </c>
      <c r="HYD20" s="314" t="s">
        <v>203</v>
      </c>
      <c r="HYE20" s="314" t="s">
        <v>203</v>
      </c>
      <c r="HYF20" s="314" t="s">
        <v>203</v>
      </c>
      <c r="HYG20" s="314" t="s">
        <v>203</v>
      </c>
      <c r="HYH20" s="314" t="s">
        <v>203</v>
      </c>
      <c r="HYI20" s="314" t="s">
        <v>203</v>
      </c>
      <c r="HYJ20" s="314" t="s">
        <v>203</v>
      </c>
      <c r="HYK20" s="314" t="s">
        <v>203</v>
      </c>
      <c r="HYL20" s="314" t="s">
        <v>203</v>
      </c>
      <c r="HYM20" s="314" t="s">
        <v>203</v>
      </c>
      <c r="HYN20" s="314" t="s">
        <v>203</v>
      </c>
      <c r="HYO20" s="314" t="s">
        <v>203</v>
      </c>
      <c r="HYP20" s="314" t="s">
        <v>203</v>
      </c>
      <c r="HYQ20" s="314" t="s">
        <v>203</v>
      </c>
      <c r="HYR20" s="314" t="s">
        <v>203</v>
      </c>
      <c r="HYS20" s="314" t="s">
        <v>203</v>
      </c>
      <c r="HYT20" s="314" t="s">
        <v>203</v>
      </c>
      <c r="HYU20" s="314" t="s">
        <v>203</v>
      </c>
      <c r="HYV20" s="314" t="s">
        <v>203</v>
      </c>
      <c r="HYW20" s="314" t="s">
        <v>203</v>
      </c>
      <c r="HYX20" s="314" t="s">
        <v>203</v>
      </c>
      <c r="HYY20" s="314" t="s">
        <v>203</v>
      </c>
      <c r="HYZ20" s="314" t="s">
        <v>203</v>
      </c>
      <c r="HZA20" s="314" t="s">
        <v>203</v>
      </c>
      <c r="HZB20" s="314" t="s">
        <v>203</v>
      </c>
      <c r="HZC20" s="314" t="s">
        <v>203</v>
      </c>
      <c r="HZD20" s="314" t="s">
        <v>203</v>
      </c>
      <c r="HZE20" s="314" t="s">
        <v>203</v>
      </c>
      <c r="HZF20" s="314" t="s">
        <v>203</v>
      </c>
      <c r="HZG20" s="314" t="s">
        <v>203</v>
      </c>
      <c r="HZH20" s="314" t="s">
        <v>203</v>
      </c>
      <c r="HZI20" s="314" t="s">
        <v>203</v>
      </c>
      <c r="HZJ20" s="314" t="s">
        <v>203</v>
      </c>
      <c r="HZK20" s="314" t="s">
        <v>203</v>
      </c>
      <c r="HZL20" s="314" t="s">
        <v>203</v>
      </c>
      <c r="HZM20" s="314" t="s">
        <v>203</v>
      </c>
      <c r="HZN20" s="314" t="s">
        <v>203</v>
      </c>
      <c r="HZO20" s="314" t="s">
        <v>203</v>
      </c>
      <c r="HZP20" s="314" t="s">
        <v>203</v>
      </c>
      <c r="HZQ20" s="314" t="s">
        <v>203</v>
      </c>
      <c r="HZR20" s="314" t="s">
        <v>203</v>
      </c>
      <c r="HZS20" s="314" t="s">
        <v>203</v>
      </c>
      <c r="HZT20" s="314" t="s">
        <v>203</v>
      </c>
      <c r="HZU20" s="314" t="s">
        <v>203</v>
      </c>
      <c r="HZV20" s="314" t="s">
        <v>203</v>
      </c>
      <c r="HZW20" s="314" t="s">
        <v>203</v>
      </c>
      <c r="HZX20" s="314" t="s">
        <v>203</v>
      </c>
      <c r="HZY20" s="314" t="s">
        <v>203</v>
      </c>
      <c r="HZZ20" s="314" t="s">
        <v>203</v>
      </c>
      <c r="IAA20" s="314" t="s">
        <v>203</v>
      </c>
      <c r="IAB20" s="314" t="s">
        <v>203</v>
      </c>
      <c r="IAC20" s="314" t="s">
        <v>203</v>
      </c>
      <c r="IAD20" s="314" t="s">
        <v>203</v>
      </c>
      <c r="IAE20" s="314" t="s">
        <v>203</v>
      </c>
      <c r="IAF20" s="314" t="s">
        <v>203</v>
      </c>
      <c r="IAG20" s="314" t="s">
        <v>203</v>
      </c>
      <c r="IAH20" s="314" t="s">
        <v>203</v>
      </c>
      <c r="IAI20" s="314" t="s">
        <v>203</v>
      </c>
      <c r="IAJ20" s="314" t="s">
        <v>203</v>
      </c>
      <c r="IAK20" s="314" t="s">
        <v>203</v>
      </c>
      <c r="IAL20" s="314" t="s">
        <v>203</v>
      </c>
      <c r="IAM20" s="314" t="s">
        <v>203</v>
      </c>
      <c r="IAN20" s="314" t="s">
        <v>203</v>
      </c>
      <c r="IAO20" s="314" t="s">
        <v>203</v>
      </c>
      <c r="IAP20" s="314" t="s">
        <v>203</v>
      </c>
      <c r="IAQ20" s="314" t="s">
        <v>203</v>
      </c>
      <c r="IAR20" s="314" t="s">
        <v>203</v>
      </c>
      <c r="IAS20" s="314" t="s">
        <v>203</v>
      </c>
      <c r="IAT20" s="314" t="s">
        <v>203</v>
      </c>
      <c r="IAU20" s="314" t="s">
        <v>203</v>
      </c>
      <c r="IAV20" s="314" t="s">
        <v>203</v>
      </c>
      <c r="IAW20" s="314" t="s">
        <v>203</v>
      </c>
      <c r="IAX20" s="314" t="s">
        <v>203</v>
      </c>
      <c r="IAY20" s="314" t="s">
        <v>203</v>
      </c>
      <c r="IAZ20" s="314" t="s">
        <v>203</v>
      </c>
      <c r="IBA20" s="314" t="s">
        <v>203</v>
      </c>
      <c r="IBB20" s="314" t="s">
        <v>203</v>
      </c>
      <c r="IBC20" s="314" t="s">
        <v>203</v>
      </c>
      <c r="IBD20" s="314" t="s">
        <v>203</v>
      </c>
      <c r="IBE20" s="314" t="s">
        <v>203</v>
      </c>
      <c r="IBF20" s="314" t="s">
        <v>203</v>
      </c>
      <c r="IBG20" s="314" t="s">
        <v>203</v>
      </c>
      <c r="IBH20" s="314" t="s">
        <v>203</v>
      </c>
      <c r="IBI20" s="314" t="s">
        <v>203</v>
      </c>
      <c r="IBJ20" s="314" t="s">
        <v>203</v>
      </c>
      <c r="IBK20" s="314" t="s">
        <v>203</v>
      </c>
      <c r="IBL20" s="314" t="s">
        <v>203</v>
      </c>
      <c r="IBM20" s="314" t="s">
        <v>203</v>
      </c>
      <c r="IBN20" s="314" t="s">
        <v>203</v>
      </c>
      <c r="IBO20" s="314" t="s">
        <v>203</v>
      </c>
      <c r="IBP20" s="314" t="s">
        <v>203</v>
      </c>
      <c r="IBQ20" s="314" t="s">
        <v>203</v>
      </c>
      <c r="IBR20" s="314" t="s">
        <v>203</v>
      </c>
      <c r="IBS20" s="314" t="s">
        <v>203</v>
      </c>
      <c r="IBT20" s="314" t="s">
        <v>203</v>
      </c>
      <c r="IBU20" s="314" t="s">
        <v>203</v>
      </c>
      <c r="IBV20" s="314" t="s">
        <v>203</v>
      </c>
      <c r="IBW20" s="314" t="s">
        <v>203</v>
      </c>
      <c r="IBX20" s="314" t="s">
        <v>203</v>
      </c>
      <c r="IBY20" s="314" t="s">
        <v>203</v>
      </c>
      <c r="IBZ20" s="314" t="s">
        <v>203</v>
      </c>
      <c r="ICA20" s="314" t="s">
        <v>203</v>
      </c>
      <c r="ICB20" s="314" t="s">
        <v>203</v>
      </c>
      <c r="ICC20" s="314" t="s">
        <v>203</v>
      </c>
      <c r="ICD20" s="314" t="s">
        <v>203</v>
      </c>
      <c r="ICE20" s="314" t="s">
        <v>203</v>
      </c>
      <c r="ICF20" s="314" t="s">
        <v>203</v>
      </c>
      <c r="ICG20" s="314" t="s">
        <v>203</v>
      </c>
      <c r="ICH20" s="314" t="s">
        <v>203</v>
      </c>
      <c r="ICI20" s="314" t="s">
        <v>203</v>
      </c>
      <c r="ICJ20" s="314" t="s">
        <v>203</v>
      </c>
      <c r="ICK20" s="314" t="s">
        <v>203</v>
      </c>
      <c r="ICL20" s="314" t="s">
        <v>203</v>
      </c>
      <c r="ICM20" s="314" t="s">
        <v>203</v>
      </c>
      <c r="ICN20" s="314" t="s">
        <v>203</v>
      </c>
      <c r="ICO20" s="314" t="s">
        <v>203</v>
      </c>
      <c r="ICP20" s="314" t="s">
        <v>203</v>
      </c>
      <c r="ICQ20" s="314" t="s">
        <v>203</v>
      </c>
      <c r="ICR20" s="314" t="s">
        <v>203</v>
      </c>
      <c r="ICS20" s="314" t="s">
        <v>203</v>
      </c>
      <c r="ICT20" s="314" t="s">
        <v>203</v>
      </c>
      <c r="ICU20" s="314" t="s">
        <v>203</v>
      </c>
      <c r="ICV20" s="314" t="s">
        <v>203</v>
      </c>
      <c r="ICW20" s="314" t="s">
        <v>203</v>
      </c>
      <c r="ICX20" s="314" t="s">
        <v>203</v>
      </c>
      <c r="ICY20" s="314" t="s">
        <v>203</v>
      </c>
      <c r="ICZ20" s="314" t="s">
        <v>203</v>
      </c>
      <c r="IDA20" s="314" t="s">
        <v>203</v>
      </c>
      <c r="IDB20" s="314" t="s">
        <v>203</v>
      </c>
      <c r="IDC20" s="314" t="s">
        <v>203</v>
      </c>
      <c r="IDD20" s="314" t="s">
        <v>203</v>
      </c>
      <c r="IDE20" s="314" t="s">
        <v>203</v>
      </c>
      <c r="IDF20" s="314" t="s">
        <v>203</v>
      </c>
      <c r="IDG20" s="314" t="s">
        <v>203</v>
      </c>
      <c r="IDH20" s="314" t="s">
        <v>203</v>
      </c>
      <c r="IDI20" s="314" t="s">
        <v>203</v>
      </c>
      <c r="IDJ20" s="314" t="s">
        <v>203</v>
      </c>
      <c r="IDK20" s="314" t="s">
        <v>203</v>
      </c>
      <c r="IDL20" s="314" t="s">
        <v>203</v>
      </c>
      <c r="IDM20" s="314" t="s">
        <v>203</v>
      </c>
      <c r="IDN20" s="314" t="s">
        <v>203</v>
      </c>
      <c r="IDO20" s="314" t="s">
        <v>203</v>
      </c>
      <c r="IDP20" s="314" t="s">
        <v>203</v>
      </c>
      <c r="IDQ20" s="314" t="s">
        <v>203</v>
      </c>
      <c r="IDR20" s="314" t="s">
        <v>203</v>
      </c>
      <c r="IDS20" s="314" t="s">
        <v>203</v>
      </c>
      <c r="IDT20" s="314" t="s">
        <v>203</v>
      </c>
      <c r="IDU20" s="314" t="s">
        <v>203</v>
      </c>
      <c r="IDV20" s="314" t="s">
        <v>203</v>
      </c>
      <c r="IDW20" s="314" t="s">
        <v>203</v>
      </c>
      <c r="IDX20" s="314" t="s">
        <v>203</v>
      </c>
      <c r="IDY20" s="314" t="s">
        <v>203</v>
      </c>
      <c r="IDZ20" s="314" t="s">
        <v>203</v>
      </c>
      <c r="IEA20" s="314" t="s">
        <v>203</v>
      </c>
      <c r="IEB20" s="314" t="s">
        <v>203</v>
      </c>
      <c r="IEC20" s="314" t="s">
        <v>203</v>
      </c>
      <c r="IED20" s="314" t="s">
        <v>203</v>
      </c>
      <c r="IEE20" s="314" t="s">
        <v>203</v>
      </c>
      <c r="IEF20" s="314" t="s">
        <v>203</v>
      </c>
      <c r="IEG20" s="314" t="s">
        <v>203</v>
      </c>
      <c r="IEH20" s="314" t="s">
        <v>203</v>
      </c>
      <c r="IEI20" s="314" t="s">
        <v>203</v>
      </c>
      <c r="IEJ20" s="314" t="s">
        <v>203</v>
      </c>
      <c r="IEK20" s="314" t="s">
        <v>203</v>
      </c>
      <c r="IEL20" s="314" t="s">
        <v>203</v>
      </c>
      <c r="IEM20" s="314" t="s">
        <v>203</v>
      </c>
      <c r="IEN20" s="314" t="s">
        <v>203</v>
      </c>
      <c r="IEO20" s="314" t="s">
        <v>203</v>
      </c>
      <c r="IEP20" s="314" t="s">
        <v>203</v>
      </c>
      <c r="IEQ20" s="314" t="s">
        <v>203</v>
      </c>
      <c r="IER20" s="314" t="s">
        <v>203</v>
      </c>
      <c r="IES20" s="314" t="s">
        <v>203</v>
      </c>
      <c r="IET20" s="314" t="s">
        <v>203</v>
      </c>
      <c r="IEU20" s="314" t="s">
        <v>203</v>
      </c>
      <c r="IEV20" s="314" t="s">
        <v>203</v>
      </c>
      <c r="IEW20" s="314" t="s">
        <v>203</v>
      </c>
      <c r="IEX20" s="314" t="s">
        <v>203</v>
      </c>
      <c r="IEY20" s="314" t="s">
        <v>203</v>
      </c>
      <c r="IEZ20" s="314" t="s">
        <v>203</v>
      </c>
      <c r="IFA20" s="314" t="s">
        <v>203</v>
      </c>
      <c r="IFB20" s="314" t="s">
        <v>203</v>
      </c>
      <c r="IFC20" s="314" t="s">
        <v>203</v>
      </c>
      <c r="IFD20" s="314" t="s">
        <v>203</v>
      </c>
      <c r="IFE20" s="314" t="s">
        <v>203</v>
      </c>
      <c r="IFF20" s="314" t="s">
        <v>203</v>
      </c>
      <c r="IFG20" s="314" t="s">
        <v>203</v>
      </c>
      <c r="IFH20" s="314" t="s">
        <v>203</v>
      </c>
      <c r="IFI20" s="314" t="s">
        <v>203</v>
      </c>
      <c r="IFJ20" s="314" t="s">
        <v>203</v>
      </c>
      <c r="IFK20" s="314" t="s">
        <v>203</v>
      </c>
      <c r="IFL20" s="314" t="s">
        <v>203</v>
      </c>
      <c r="IFM20" s="314" t="s">
        <v>203</v>
      </c>
      <c r="IFN20" s="314" t="s">
        <v>203</v>
      </c>
      <c r="IFO20" s="314" t="s">
        <v>203</v>
      </c>
      <c r="IFP20" s="314" t="s">
        <v>203</v>
      </c>
      <c r="IFQ20" s="314" t="s">
        <v>203</v>
      </c>
      <c r="IFR20" s="314" t="s">
        <v>203</v>
      </c>
      <c r="IFS20" s="314" t="s">
        <v>203</v>
      </c>
      <c r="IFT20" s="314" t="s">
        <v>203</v>
      </c>
      <c r="IFU20" s="314" t="s">
        <v>203</v>
      </c>
      <c r="IFV20" s="314" t="s">
        <v>203</v>
      </c>
      <c r="IFW20" s="314" t="s">
        <v>203</v>
      </c>
      <c r="IFX20" s="314" t="s">
        <v>203</v>
      </c>
      <c r="IFY20" s="314" t="s">
        <v>203</v>
      </c>
      <c r="IFZ20" s="314" t="s">
        <v>203</v>
      </c>
      <c r="IGA20" s="314" t="s">
        <v>203</v>
      </c>
      <c r="IGB20" s="314" t="s">
        <v>203</v>
      </c>
      <c r="IGC20" s="314" t="s">
        <v>203</v>
      </c>
      <c r="IGD20" s="314" t="s">
        <v>203</v>
      </c>
      <c r="IGE20" s="314" t="s">
        <v>203</v>
      </c>
      <c r="IGF20" s="314" t="s">
        <v>203</v>
      </c>
      <c r="IGG20" s="314" t="s">
        <v>203</v>
      </c>
      <c r="IGH20" s="314" t="s">
        <v>203</v>
      </c>
      <c r="IGI20" s="314" t="s">
        <v>203</v>
      </c>
      <c r="IGJ20" s="314" t="s">
        <v>203</v>
      </c>
      <c r="IGK20" s="314" t="s">
        <v>203</v>
      </c>
      <c r="IGL20" s="314" t="s">
        <v>203</v>
      </c>
      <c r="IGM20" s="314" t="s">
        <v>203</v>
      </c>
      <c r="IGN20" s="314" t="s">
        <v>203</v>
      </c>
      <c r="IGO20" s="314" t="s">
        <v>203</v>
      </c>
      <c r="IGP20" s="314" t="s">
        <v>203</v>
      </c>
      <c r="IGQ20" s="314" t="s">
        <v>203</v>
      </c>
      <c r="IGR20" s="314" t="s">
        <v>203</v>
      </c>
      <c r="IGS20" s="314" t="s">
        <v>203</v>
      </c>
      <c r="IGT20" s="314" t="s">
        <v>203</v>
      </c>
      <c r="IGU20" s="314" t="s">
        <v>203</v>
      </c>
      <c r="IGV20" s="314" t="s">
        <v>203</v>
      </c>
      <c r="IGW20" s="314" t="s">
        <v>203</v>
      </c>
      <c r="IGX20" s="314" t="s">
        <v>203</v>
      </c>
      <c r="IGY20" s="314" t="s">
        <v>203</v>
      </c>
      <c r="IGZ20" s="314" t="s">
        <v>203</v>
      </c>
      <c r="IHA20" s="314" t="s">
        <v>203</v>
      </c>
      <c r="IHB20" s="314" t="s">
        <v>203</v>
      </c>
      <c r="IHC20" s="314" t="s">
        <v>203</v>
      </c>
      <c r="IHD20" s="314" t="s">
        <v>203</v>
      </c>
      <c r="IHE20" s="314" t="s">
        <v>203</v>
      </c>
      <c r="IHF20" s="314" t="s">
        <v>203</v>
      </c>
      <c r="IHG20" s="314" t="s">
        <v>203</v>
      </c>
      <c r="IHH20" s="314" t="s">
        <v>203</v>
      </c>
      <c r="IHI20" s="314" t="s">
        <v>203</v>
      </c>
      <c r="IHJ20" s="314" t="s">
        <v>203</v>
      </c>
      <c r="IHK20" s="314" t="s">
        <v>203</v>
      </c>
      <c r="IHL20" s="314" t="s">
        <v>203</v>
      </c>
      <c r="IHM20" s="314" t="s">
        <v>203</v>
      </c>
      <c r="IHN20" s="314" t="s">
        <v>203</v>
      </c>
      <c r="IHO20" s="314" t="s">
        <v>203</v>
      </c>
      <c r="IHP20" s="314" t="s">
        <v>203</v>
      </c>
      <c r="IHQ20" s="314" t="s">
        <v>203</v>
      </c>
      <c r="IHR20" s="314" t="s">
        <v>203</v>
      </c>
      <c r="IHS20" s="314" t="s">
        <v>203</v>
      </c>
      <c r="IHT20" s="314" t="s">
        <v>203</v>
      </c>
      <c r="IHU20" s="314" t="s">
        <v>203</v>
      </c>
      <c r="IHV20" s="314" t="s">
        <v>203</v>
      </c>
      <c r="IHW20" s="314" t="s">
        <v>203</v>
      </c>
      <c r="IHX20" s="314" t="s">
        <v>203</v>
      </c>
      <c r="IHY20" s="314" t="s">
        <v>203</v>
      </c>
      <c r="IHZ20" s="314" t="s">
        <v>203</v>
      </c>
      <c r="IIA20" s="314" t="s">
        <v>203</v>
      </c>
      <c r="IIB20" s="314" t="s">
        <v>203</v>
      </c>
      <c r="IIC20" s="314" t="s">
        <v>203</v>
      </c>
      <c r="IID20" s="314" t="s">
        <v>203</v>
      </c>
      <c r="IIE20" s="314" t="s">
        <v>203</v>
      </c>
      <c r="IIF20" s="314" t="s">
        <v>203</v>
      </c>
      <c r="IIG20" s="314" t="s">
        <v>203</v>
      </c>
      <c r="IIH20" s="314" t="s">
        <v>203</v>
      </c>
      <c r="III20" s="314" t="s">
        <v>203</v>
      </c>
      <c r="IIJ20" s="314" t="s">
        <v>203</v>
      </c>
      <c r="IIK20" s="314" t="s">
        <v>203</v>
      </c>
      <c r="IIL20" s="314" t="s">
        <v>203</v>
      </c>
      <c r="IIM20" s="314" t="s">
        <v>203</v>
      </c>
      <c r="IIN20" s="314" t="s">
        <v>203</v>
      </c>
      <c r="IIO20" s="314" t="s">
        <v>203</v>
      </c>
      <c r="IIP20" s="314" t="s">
        <v>203</v>
      </c>
      <c r="IIQ20" s="314" t="s">
        <v>203</v>
      </c>
      <c r="IIR20" s="314" t="s">
        <v>203</v>
      </c>
      <c r="IIS20" s="314" t="s">
        <v>203</v>
      </c>
      <c r="IIT20" s="314" t="s">
        <v>203</v>
      </c>
      <c r="IIU20" s="314" t="s">
        <v>203</v>
      </c>
      <c r="IIV20" s="314" t="s">
        <v>203</v>
      </c>
      <c r="IIW20" s="314" t="s">
        <v>203</v>
      </c>
      <c r="IIX20" s="314" t="s">
        <v>203</v>
      </c>
      <c r="IIY20" s="314" t="s">
        <v>203</v>
      </c>
      <c r="IIZ20" s="314" t="s">
        <v>203</v>
      </c>
      <c r="IJA20" s="314" t="s">
        <v>203</v>
      </c>
      <c r="IJB20" s="314" t="s">
        <v>203</v>
      </c>
      <c r="IJC20" s="314" t="s">
        <v>203</v>
      </c>
      <c r="IJD20" s="314" t="s">
        <v>203</v>
      </c>
      <c r="IJE20" s="314" t="s">
        <v>203</v>
      </c>
      <c r="IJF20" s="314" t="s">
        <v>203</v>
      </c>
      <c r="IJG20" s="314" t="s">
        <v>203</v>
      </c>
      <c r="IJH20" s="314" t="s">
        <v>203</v>
      </c>
      <c r="IJI20" s="314" t="s">
        <v>203</v>
      </c>
      <c r="IJJ20" s="314" t="s">
        <v>203</v>
      </c>
      <c r="IJK20" s="314" t="s">
        <v>203</v>
      </c>
      <c r="IJL20" s="314" t="s">
        <v>203</v>
      </c>
      <c r="IJM20" s="314" t="s">
        <v>203</v>
      </c>
      <c r="IJN20" s="314" t="s">
        <v>203</v>
      </c>
      <c r="IJO20" s="314" t="s">
        <v>203</v>
      </c>
      <c r="IJP20" s="314" t="s">
        <v>203</v>
      </c>
      <c r="IJQ20" s="314" t="s">
        <v>203</v>
      </c>
      <c r="IJR20" s="314" t="s">
        <v>203</v>
      </c>
      <c r="IJS20" s="314" t="s">
        <v>203</v>
      </c>
      <c r="IJT20" s="314" t="s">
        <v>203</v>
      </c>
      <c r="IJU20" s="314" t="s">
        <v>203</v>
      </c>
      <c r="IJV20" s="314" t="s">
        <v>203</v>
      </c>
      <c r="IJW20" s="314" t="s">
        <v>203</v>
      </c>
      <c r="IJX20" s="314" t="s">
        <v>203</v>
      </c>
      <c r="IJY20" s="314" t="s">
        <v>203</v>
      </c>
      <c r="IJZ20" s="314" t="s">
        <v>203</v>
      </c>
      <c r="IKA20" s="314" t="s">
        <v>203</v>
      </c>
      <c r="IKB20" s="314" t="s">
        <v>203</v>
      </c>
      <c r="IKC20" s="314" t="s">
        <v>203</v>
      </c>
      <c r="IKD20" s="314" t="s">
        <v>203</v>
      </c>
      <c r="IKE20" s="314" t="s">
        <v>203</v>
      </c>
      <c r="IKF20" s="314" t="s">
        <v>203</v>
      </c>
      <c r="IKG20" s="314" t="s">
        <v>203</v>
      </c>
      <c r="IKH20" s="314" t="s">
        <v>203</v>
      </c>
      <c r="IKI20" s="314" t="s">
        <v>203</v>
      </c>
      <c r="IKJ20" s="314" t="s">
        <v>203</v>
      </c>
      <c r="IKK20" s="314" t="s">
        <v>203</v>
      </c>
      <c r="IKL20" s="314" t="s">
        <v>203</v>
      </c>
      <c r="IKM20" s="314" t="s">
        <v>203</v>
      </c>
      <c r="IKN20" s="314" t="s">
        <v>203</v>
      </c>
      <c r="IKO20" s="314" t="s">
        <v>203</v>
      </c>
      <c r="IKP20" s="314" t="s">
        <v>203</v>
      </c>
      <c r="IKQ20" s="314" t="s">
        <v>203</v>
      </c>
      <c r="IKR20" s="314" t="s">
        <v>203</v>
      </c>
      <c r="IKS20" s="314" t="s">
        <v>203</v>
      </c>
      <c r="IKT20" s="314" t="s">
        <v>203</v>
      </c>
      <c r="IKU20" s="314" t="s">
        <v>203</v>
      </c>
      <c r="IKV20" s="314" t="s">
        <v>203</v>
      </c>
      <c r="IKW20" s="314" t="s">
        <v>203</v>
      </c>
      <c r="IKX20" s="314" t="s">
        <v>203</v>
      </c>
      <c r="IKY20" s="314" t="s">
        <v>203</v>
      </c>
      <c r="IKZ20" s="314" t="s">
        <v>203</v>
      </c>
      <c r="ILA20" s="314" t="s">
        <v>203</v>
      </c>
      <c r="ILB20" s="314" t="s">
        <v>203</v>
      </c>
      <c r="ILC20" s="314" t="s">
        <v>203</v>
      </c>
      <c r="ILD20" s="314" t="s">
        <v>203</v>
      </c>
      <c r="ILE20" s="314" t="s">
        <v>203</v>
      </c>
      <c r="ILF20" s="314" t="s">
        <v>203</v>
      </c>
      <c r="ILG20" s="314" t="s">
        <v>203</v>
      </c>
      <c r="ILH20" s="314" t="s">
        <v>203</v>
      </c>
      <c r="ILI20" s="314" t="s">
        <v>203</v>
      </c>
      <c r="ILJ20" s="314" t="s">
        <v>203</v>
      </c>
      <c r="ILK20" s="314" t="s">
        <v>203</v>
      </c>
      <c r="ILL20" s="314" t="s">
        <v>203</v>
      </c>
      <c r="ILM20" s="314" t="s">
        <v>203</v>
      </c>
      <c r="ILN20" s="314" t="s">
        <v>203</v>
      </c>
      <c r="ILO20" s="314" t="s">
        <v>203</v>
      </c>
      <c r="ILP20" s="314" t="s">
        <v>203</v>
      </c>
      <c r="ILQ20" s="314" t="s">
        <v>203</v>
      </c>
      <c r="ILR20" s="314" t="s">
        <v>203</v>
      </c>
      <c r="ILS20" s="314" t="s">
        <v>203</v>
      </c>
      <c r="ILT20" s="314" t="s">
        <v>203</v>
      </c>
      <c r="ILU20" s="314" t="s">
        <v>203</v>
      </c>
      <c r="ILV20" s="314" t="s">
        <v>203</v>
      </c>
      <c r="ILW20" s="314" t="s">
        <v>203</v>
      </c>
      <c r="ILX20" s="314" t="s">
        <v>203</v>
      </c>
      <c r="ILY20" s="314" t="s">
        <v>203</v>
      </c>
      <c r="ILZ20" s="314" t="s">
        <v>203</v>
      </c>
      <c r="IMA20" s="314" t="s">
        <v>203</v>
      </c>
      <c r="IMB20" s="314" t="s">
        <v>203</v>
      </c>
      <c r="IMC20" s="314" t="s">
        <v>203</v>
      </c>
      <c r="IMD20" s="314" t="s">
        <v>203</v>
      </c>
      <c r="IME20" s="314" t="s">
        <v>203</v>
      </c>
      <c r="IMF20" s="314" t="s">
        <v>203</v>
      </c>
      <c r="IMG20" s="314" t="s">
        <v>203</v>
      </c>
      <c r="IMH20" s="314" t="s">
        <v>203</v>
      </c>
      <c r="IMI20" s="314" t="s">
        <v>203</v>
      </c>
      <c r="IMJ20" s="314" t="s">
        <v>203</v>
      </c>
      <c r="IMK20" s="314" t="s">
        <v>203</v>
      </c>
      <c r="IML20" s="314" t="s">
        <v>203</v>
      </c>
      <c r="IMM20" s="314" t="s">
        <v>203</v>
      </c>
      <c r="IMN20" s="314" t="s">
        <v>203</v>
      </c>
      <c r="IMO20" s="314" t="s">
        <v>203</v>
      </c>
      <c r="IMP20" s="314" t="s">
        <v>203</v>
      </c>
      <c r="IMQ20" s="314" t="s">
        <v>203</v>
      </c>
      <c r="IMR20" s="314" t="s">
        <v>203</v>
      </c>
      <c r="IMS20" s="314" t="s">
        <v>203</v>
      </c>
      <c r="IMT20" s="314" t="s">
        <v>203</v>
      </c>
      <c r="IMU20" s="314" t="s">
        <v>203</v>
      </c>
      <c r="IMV20" s="314" t="s">
        <v>203</v>
      </c>
      <c r="IMW20" s="314" t="s">
        <v>203</v>
      </c>
      <c r="IMX20" s="314" t="s">
        <v>203</v>
      </c>
      <c r="IMY20" s="314" t="s">
        <v>203</v>
      </c>
      <c r="IMZ20" s="314" t="s">
        <v>203</v>
      </c>
      <c r="INA20" s="314" t="s">
        <v>203</v>
      </c>
      <c r="INB20" s="314" t="s">
        <v>203</v>
      </c>
      <c r="INC20" s="314" t="s">
        <v>203</v>
      </c>
      <c r="IND20" s="314" t="s">
        <v>203</v>
      </c>
      <c r="INE20" s="314" t="s">
        <v>203</v>
      </c>
      <c r="INF20" s="314" t="s">
        <v>203</v>
      </c>
      <c r="ING20" s="314" t="s">
        <v>203</v>
      </c>
      <c r="INH20" s="314" t="s">
        <v>203</v>
      </c>
      <c r="INI20" s="314" t="s">
        <v>203</v>
      </c>
      <c r="INJ20" s="314" t="s">
        <v>203</v>
      </c>
      <c r="INK20" s="314" t="s">
        <v>203</v>
      </c>
      <c r="INL20" s="314" t="s">
        <v>203</v>
      </c>
      <c r="INM20" s="314" t="s">
        <v>203</v>
      </c>
      <c r="INN20" s="314" t="s">
        <v>203</v>
      </c>
      <c r="INO20" s="314" t="s">
        <v>203</v>
      </c>
      <c r="INP20" s="314" t="s">
        <v>203</v>
      </c>
      <c r="INQ20" s="314" t="s">
        <v>203</v>
      </c>
      <c r="INR20" s="314" t="s">
        <v>203</v>
      </c>
      <c r="INS20" s="314" t="s">
        <v>203</v>
      </c>
      <c r="INT20" s="314" t="s">
        <v>203</v>
      </c>
      <c r="INU20" s="314" t="s">
        <v>203</v>
      </c>
      <c r="INV20" s="314" t="s">
        <v>203</v>
      </c>
      <c r="INW20" s="314" t="s">
        <v>203</v>
      </c>
      <c r="INX20" s="314" t="s">
        <v>203</v>
      </c>
      <c r="INY20" s="314" t="s">
        <v>203</v>
      </c>
      <c r="INZ20" s="314" t="s">
        <v>203</v>
      </c>
      <c r="IOA20" s="314" t="s">
        <v>203</v>
      </c>
      <c r="IOB20" s="314" t="s">
        <v>203</v>
      </c>
      <c r="IOC20" s="314" t="s">
        <v>203</v>
      </c>
      <c r="IOD20" s="314" t="s">
        <v>203</v>
      </c>
      <c r="IOE20" s="314" t="s">
        <v>203</v>
      </c>
      <c r="IOF20" s="314" t="s">
        <v>203</v>
      </c>
      <c r="IOG20" s="314" t="s">
        <v>203</v>
      </c>
      <c r="IOH20" s="314" t="s">
        <v>203</v>
      </c>
      <c r="IOI20" s="314" t="s">
        <v>203</v>
      </c>
      <c r="IOJ20" s="314" t="s">
        <v>203</v>
      </c>
      <c r="IOK20" s="314" t="s">
        <v>203</v>
      </c>
      <c r="IOL20" s="314" t="s">
        <v>203</v>
      </c>
      <c r="IOM20" s="314" t="s">
        <v>203</v>
      </c>
      <c r="ION20" s="314" t="s">
        <v>203</v>
      </c>
      <c r="IOO20" s="314" t="s">
        <v>203</v>
      </c>
      <c r="IOP20" s="314" t="s">
        <v>203</v>
      </c>
      <c r="IOQ20" s="314" t="s">
        <v>203</v>
      </c>
      <c r="IOR20" s="314" t="s">
        <v>203</v>
      </c>
      <c r="IOS20" s="314" t="s">
        <v>203</v>
      </c>
      <c r="IOT20" s="314" t="s">
        <v>203</v>
      </c>
      <c r="IOU20" s="314" t="s">
        <v>203</v>
      </c>
      <c r="IOV20" s="314" t="s">
        <v>203</v>
      </c>
      <c r="IOW20" s="314" t="s">
        <v>203</v>
      </c>
      <c r="IOX20" s="314" t="s">
        <v>203</v>
      </c>
      <c r="IOY20" s="314" t="s">
        <v>203</v>
      </c>
      <c r="IOZ20" s="314" t="s">
        <v>203</v>
      </c>
      <c r="IPA20" s="314" t="s">
        <v>203</v>
      </c>
      <c r="IPB20" s="314" t="s">
        <v>203</v>
      </c>
      <c r="IPC20" s="314" t="s">
        <v>203</v>
      </c>
      <c r="IPD20" s="314" t="s">
        <v>203</v>
      </c>
      <c r="IPE20" s="314" t="s">
        <v>203</v>
      </c>
      <c r="IPF20" s="314" t="s">
        <v>203</v>
      </c>
      <c r="IPG20" s="314" t="s">
        <v>203</v>
      </c>
      <c r="IPH20" s="314" t="s">
        <v>203</v>
      </c>
      <c r="IPI20" s="314" t="s">
        <v>203</v>
      </c>
      <c r="IPJ20" s="314" t="s">
        <v>203</v>
      </c>
      <c r="IPK20" s="314" t="s">
        <v>203</v>
      </c>
      <c r="IPL20" s="314" t="s">
        <v>203</v>
      </c>
      <c r="IPM20" s="314" t="s">
        <v>203</v>
      </c>
      <c r="IPN20" s="314" t="s">
        <v>203</v>
      </c>
      <c r="IPO20" s="314" t="s">
        <v>203</v>
      </c>
      <c r="IPP20" s="314" t="s">
        <v>203</v>
      </c>
      <c r="IPQ20" s="314" t="s">
        <v>203</v>
      </c>
      <c r="IPR20" s="314" t="s">
        <v>203</v>
      </c>
      <c r="IPS20" s="314" t="s">
        <v>203</v>
      </c>
      <c r="IPT20" s="314" t="s">
        <v>203</v>
      </c>
      <c r="IPU20" s="314" t="s">
        <v>203</v>
      </c>
      <c r="IPV20" s="314" t="s">
        <v>203</v>
      </c>
      <c r="IPW20" s="314" t="s">
        <v>203</v>
      </c>
      <c r="IPX20" s="314" t="s">
        <v>203</v>
      </c>
      <c r="IPY20" s="314" t="s">
        <v>203</v>
      </c>
      <c r="IPZ20" s="314" t="s">
        <v>203</v>
      </c>
      <c r="IQA20" s="314" t="s">
        <v>203</v>
      </c>
      <c r="IQB20" s="314" t="s">
        <v>203</v>
      </c>
      <c r="IQC20" s="314" t="s">
        <v>203</v>
      </c>
      <c r="IQD20" s="314" t="s">
        <v>203</v>
      </c>
      <c r="IQE20" s="314" t="s">
        <v>203</v>
      </c>
      <c r="IQF20" s="314" t="s">
        <v>203</v>
      </c>
      <c r="IQG20" s="314" t="s">
        <v>203</v>
      </c>
      <c r="IQH20" s="314" t="s">
        <v>203</v>
      </c>
      <c r="IQI20" s="314" t="s">
        <v>203</v>
      </c>
      <c r="IQJ20" s="314" t="s">
        <v>203</v>
      </c>
      <c r="IQK20" s="314" t="s">
        <v>203</v>
      </c>
      <c r="IQL20" s="314" t="s">
        <v>203</v>
      </c>
      <c r="IQM20" s="314" t="s">
        <v>203</v>
      </c>
      <c r="IQN20" s="314" t="s">
        <v>203</v>
      </c>
      <c r="IQO20" s="314" t="s">
        <v>203</v>
      </c>
      <c r="IQP20" s="314" t="s">
        <v>203</v>
      </c>
      <c r="IQQ20" s="314" t="s">
        <v>203</v>
      </c>
      <c r="IQR20" s="314" t="s">
        <v>203</v>
      </c>
      <c r="IQS20" s="314" t="s">
        <v>203</v>
      </c>
      <c r="IQT20" s="314" t="s">
        <v>203</v>
      </c>
      <c r="IQU20" s="314" t="s">
        <v>203</v>
      </c>
      <c r="IQV20" s="314" t="s">
        <v>203</v>
      </c>
      <c r="IQW20" s="314" t="s">
        <v>203</v>
      </c>
      <c r="IQX20" s="314" t="s">
        <v>203</v>
      </c>
      <c r="IQY20" s="314" t="s">
        <v>203</v>
      </c>
      <c r="IQZ20" s="314" t="s">
        <v>203</v>
      </c>
      <c r="IRA20" s="314" t="s">
        <v>203</v>
      </c>
      <c r="IRB20" s="314" t="s">
        <v>203</v>
      </c>
      <c r="IRC20" s="314" t="s">
        <v>203</v>
      </c>
      <c r="IRD20" s="314" t="s">
        <v>203</v>
      </c>
      <c r="IRE20" s="314" t="s">
        <v>203</v>
      </c>
      <c r="IRF20" s="314" t="s">
        <v>203</v>
      </c>
      <c r="IRG20" s="314" t="s">
        <v>203</v>
      </c>
      <c r="IRH20" s="314" t="s">
        <v>203</v>
      </c>
      <c r="IRI20" s="314" t="s">
        <v>203</v>
      </c>
      <c r="IRJ20" s="314" t="s">
        <v>203</v>
      </c>
      <c r="IRK20" s="314" t="s">
        <v>203</v>
      </c>
      <c r="IRL20" s="314" t="s">
        <v>203</v>
      </c>
      <c r="IRM20" s="314" t="s">
        <v>203</v>
      </c>
      <c r="IRN20" s="314" t="s">
        <v>203</v>
      </c>
      <c r="IRO20" s="314" t="s">
        <v>203</v>
      </c>
      <c r="IRP20" s="314" t="s">
        <v>203</v>
      </c>
      <c r="IRQ20" s="314" t="s">
        <v>203</v>
      </c>
      <c r="IRR20" s="314" t="s">
        <v>203</v>
      </c>
      <c r="IRS20" s="314" t="s">
        <v>203</v>
      </c>
      <c r="IRT20" s="314" t="s">
        <v>203</v>
      </c>
      <c r="IRU20" s="314" t="s">
        <v>203</v>
      </c>
      <c r="IRV20" s="314" t="s">
        <v>203</v>
      </c>
      <c r="IRW20" s="314" t="s">
        <v>203</v>
      </c>
      <c r="IRX20" s="314" t="s">
        <v>203</v>
      </c>
      <c r="IRY20" s="314" t="s">
        <v>203</v>
      </c>
      <c r="IRZ20" s="314" t="s">
        <v>203</v>
      </c>
      <c r="ISA20" s="314" t="s">
        <v>203</v>
      </c>
      <c r="ISB20" s="314" t="s">
        <v>203</v>
      </c>
      <c r="ISC20" s="314" t="s">
        <v>203</v>
      </c>
      <c r="ISD20" s="314" t="s">
        <v>203</v>
      </c>
      <c r="ISE20" s="314" t="s">
        <v>203</v>
      </c>
      <c r="ISF20" s="314" t="s">
        <v>203</v>
      </c>
      <c r="ISG20" s="314" t="s">
        <v>203</v>
      </c>
      <c r="ISH20" s="314" t="s">
        <v>203</v>
      </c>
      <c r="ISI20" s="314" t="s">
        <v>203</v>
      </c>
      <c r="ISJ20" s="314" t="s">
        <v>203</v>
      </c>
      <c r="ISK20" s="314" t="s">
        <v>203</v>
      </c>
      <c r="ISL20" s="314" t="s">
        <v>203</v>
      </c>
      <c r="ISM20" s="314" t="s">
        <v>203</v>
      </c>
      <c r="ISN20" s="314" t="s">
        <v>203</v>
      </c>
      <c r="ISO20" s="314" t="s">
        <v>203</v>
      </c>
      <c r="ISP20" s="314" t="s">
        <v>203</v>
      </c>
      <c r="ISQ20" s="314" t="s">
        <v>203</v>
      </c>
      <c r="ISR20" s="314" t="s">
        <v>203</v>
      </c>
      <c r="ISS20" s="314" t="s">
        <v>203</v>
      </c>
      <c r="IST20" s="314" t="s">
        <v>203</v>
      </c>
      <c r="ISU20" s="314" t="s">
        <v>203</v>
      </c>
      <c r="ISV20" s="314" t="s">
        <v>203</v>
      </c>
      <c r="ISW20" s="314" t="s">
        <v>203</v>
      </c>
      <c r="ISX20" s="314" t="s">
        <v>203</v>
      </c>
      <c r="ISY20" s="314" t="s">
        <v>203</v>
      </c>
      <c r="ISZ20" s="314" t="s">
        <v>203</v>
      </c>
      <c r="ITA20" s="314" t="s">
        <v>203</v>
      </c>
      <c r="ITB20" s="314" t="s">
        <v>203</v>
      </c>
      <c r="ITC20" s="314" t="s">
        <v>203</v>
      </c>
      <c r="ITD20" s="314" t="s">
        <v>203</v>
      </c>
      <c r="ITE20" s="314" t="s">
        <v>203</v>
      </c>
      <c r="ITF20" s="314" t="s">
        <v>203</v>
      </c>
      <c r="ITG20" s="314" t="s">
        <v>203</v>
      </c>
      <c r="ITH20" s="314" t="s">
        <v>203</v>
      </c>
      <c r="ITI20" s="314" t="s">
        <v>203</v>
      </c>
      <c r="ITJ20" s="314" t="s">
        <v>203</v>
      </c>
      <c r="ITK20" s="314" t="s">
        <v>203</v>
      </c>
      <c r="ITL20" s="314" t="s">
        <v>203</v>
      </c>
      <c r="ITM20" s="314" t="s">
        <v>203</v>
      </c>
      <c r="ITN20" s="314" t="s">
        <v>203</v>
      </c>
      <c r="ITO20" s="314" t="s">
        <v>203</v>
      </c>
      <c r="ITP20" s="314" t="s">
        <v>203</v>
      </c>
      <c r="ITQ20" s="314" t="s">
        <v>203</v>
      </c>
      <c r="ITR20" s="314" t="s">
        <v>203</v>
      </c>
      <c r="ITS20" s="314" t="s">
        <v>203</v>
      </c>
      <c r="ITT20" s="314" t="s">
        <v>203</v>
      </c>
      <c r="ITU20" s="314" t="s">
        <v>203</v>
      </c>
      <c r="ITV20" s="314" t="s">
        <v>203</v>
      </c>
      <c r="ITW20" s="314" t="s">
        <v>203</v>
      </c>
      <c r="ITX20" s="314" t="s">
        <v>203</v>
      </c>
      <c r="ITY20" s="314" t="s">
        <v>203</v>
      </c>
      <c r="ITZ20" s="314" t="s">
        <v>203</v>
      </c>
      <c r="IUA20" s="314" t="s">
        <v>203</v>
      </c>
      <c r="IUB20" s="314" t="s">
        <v>203</v>
      </c>
      <c r="IUC20" s="314" t="s">
        <v>203</v>
      </c>
      <c r="IUD20" s="314" t="s">
        <v>203</v>
      </c>
      <c r="IUE20" s="314" t="s">
        <v>203</v>
      </c>
      <c r="IUF20" s="314" t="s">
        <v>203</v>
      </c>
      <c r="IUG20" s="314" t="s">
        <v>203</v>
      </c>
      <c r="IUH20" s="314" t="s">
        <v>203</v>
      </c>
      <c r="IUI20" s="314" t="s">
        <v>203</v>
      </c>
      <c r="IUJ20" s="314" t="s">
        <v>203</v>
      </c>
      <c r="IUK20" s="314" t="s">
        <v>203</v>
      </c>
      <c r="IUL20" s="314" t="s">
        <v>203</v>
      </c>
      <c r="IUM20" s="314" t="s">
        <v>203</v>
      </c>
      <c r="IUN20" s="314" t="s">
        <v>203</v>
      </c>
      <c r="IUO20" s="314" t="s">
        <v>203</v>
      </c>
      <c r="IUP20" s="314" t="s">
        <v>203</v>
      </c>
      <c r="IUQ20" s="314" t="s">
        <v>203</v>
      </c>
      <c r="IUR20" s="314" t="s">
        <v>203</v>
      </c>
      <c r="IUS20" s="314" t="s">
        <v>203</v>
      </c>
      <c r="IUT20" s="314" t="s">
        <v>203</v>
      </c>
      <c r="IUU20" s="314" t="s">
        <v>203</v>
      </c>
      <c r="IUV20" s="314" t="s">
        <v>203</v>
      </c>
      <c r="IUW20" s="314" t="s">
        <v>203</v>
      </c>
      <c r="IUX20" s="314" t="s">
        <v>203</v>
      </c>
      <c r="IUY20" s="314" t="s">
        <v>203</v>
      </c>
      <c r="IUZ20" s="314" t="s">
        <v>203</v>
      </c>
      <c r="IVA20" s="314" t="s">
        <v>203</v>
      </c>
      <c r="IVB20" s="314" t="s">
        <v>203</v>
      </c>
      <c r="IVC20" s="314" t="s">
        <v>203</v>
      </c>
      <c r="IVD20" s="314" t="s">
        <v>203</v>
      </c>
      <c r="IVE20" s="314" t="s">
        <v>203</v>
      </c>
      <c r="IVF20" s="314" t="s">
        <v>203</v>
      </c>
      <c r="IVG20" s="314" t="s">
        <v>203</v>
      </c>
      <c r="IVH20" s="314" t="s">
        <v>203</v>
      </c>
      <c r="IVI20" s="314" t="s">
        <v>203</v>
      </c>
      <c r="IVJ20" s="314" t="s">
        <v>203</v>
      </c>
      <c r="IVK20" s="314" t="s">
        <v>203</v>
      </c>
      <c r="IVL20" s="314" t="s">
        <v>203</v>
      </c>
      <c r="IVM20" s="314" t="s">
        <v>203</v>
      </c>
      <c r="IVN20" s="314" t="s">
        <v>203</v>
      </c>
      <c r="IVO20" s="314" t="s">
        <v>203</v>
      </c>
      <c r="IVP20" s="314" t="s">
        <v>203</v>
      </c>
      <c r="IVQ20" s="314" t="s">
        <v>203</v>
      </c>
      <c r="IVR20" s="314" t="s">
        <v>203</v>
      </c>
      <c r="IVS20" s="314" t="s">
        <v>203</v>
      </c>
      <c r="IVT20" s="314" t="s">
        <v>203</v>
      </c>
      <c r="IVU20" s="314" t="s">
        <v>203</v>
      </c>
      <c r="IVV20" s="314" t="s">
        <v>203</v>
      </c>
      <c r="IVW20" s="314" t="s">
        <v>203</v>
      </c>
      <c r="IVX20" s="314" t="s">
        <v>203</v>
      </c>
      <c r="IVY20" s="314" t="s">
        <v>203</v>
      </c>
      <c r="IVZ20" s="314" t="s">
        <v>203</v>
      </c>
      <c r="IWA20" s="314" t="s">
        <v>203</v>
      </c>
      <c r="IWB20" s="314" t="s">
        <v>203</v>
      </c>
      <c r="IWC20" s="314" t="s">
        <v>203</v>
      </c>
      <c r="IWD20" s="314" t="s">
        <v>203</v>
      </c>
      <c r="IWE20" s="314" t="s">
        <v>203</v>
      </c>
      <c r="IWF20" s="314" t="s">
        <v>203</v>
      </c>
      <c r="IWG20" s="314" t="s">
        <v>203</v>
      </c>
      <c r="IWH20" s="314" t="s">
        <v>203</v>
      </c>
      <c r="IWI20" s="314" t="s">
        <v>203</v>
      </c>
      <c r="IWJ20" s="314" t="s">
        <v>203</v>
      </c>
      <c r="IWK20" s="314" t="s">
        <v>203</v>
      </c>
      <c r="IWL20" s="314" t="s">
        <v>203</v>
      </c>
      <c r="IWM20" s="314" t="s">
        <v>203</v>
      </c>
      <c r="IWN20" s="314" t="s">
        <v>203</v>
      </c>
      <c r="IWO20" s="314" t="s">
        <v>203</v>
      </c>
      <c r="IWP20" s="314" t="s">
        <v>203</v>
      </c>
      <c r="IWQ20" s="314" t="s">
        <v>203</v>
      </c>
      <c r="IWR20" s="314" t="s">
        <v>203</v>
      </c>
      <c r="IWS20" s="314" t="s">
        <v>203</v>
      </c>
      <c r="IWT20" s="314" t="s">
        <v>203</v>
      </c>
      <c r="IWU20" s="314" t="s">
        <v>203</v>
      </c>
      <c r="IWV20" s="314" t="s">
        <v>203</v>
      </c>
      <c r="IWW20" s="314" t="s">
        <v>203</v>
      </c>
      <c r="IWX20" s="314" t="s">
        <v>203</v>
      </c>
      <c r="IWY20" s="314" t="s">
        <v>203</v>
      </c>
      <c r="IWZ20" s="314" t="s">
        <v>203</v>
      </c>
      <c r="IXA20" s="314" t="s">
        <v>203</v>
      </c>
      <c r="IXB20" s="314" t="s">
        <v>203</v>
      </c>
      <c r="IXC20" s="314" t="s">
        <v>203</v>
      </c>
      <c r="IXD20" s="314" t="s">
        <v>203</v>
      </c>
      <c r="IXE20" s="314" t="s">
        <v>203</v>
      </c>
      <c r="IXF20" s="314" t="s">
        <v>203</v>
      </c>
      <c r="IXG20" s="314" t="s">
        <v>203</v>
      </c>
      <c r="IXH20" s="314" t="s">
        <v>203</v>
      </c>
      <c r="IXI20" s="314" t="s">
        <v>203</v>
      </c>
      <c r="IXJ20" s="314" t="s">
        <v>203</v>
      </c>
      <c r="IXK20" s="314" t="s">
        <v>203</v>
      </c>
      <c r="IXL20" s="314" t="s">
        <v>203</v>
      </c>
      <c r="IXM20" s="314" t="s">
        <v>203</v>
      </c>
      <c r="IXN20" s="314" t="s">
        <v>203</v>
      </c>
      <c r="IXO20" s="314" t="s">
        <v>203</v>
      </c>
      <c r="IXP20" s="314" t="s">
        <v>203</v>
      </c>
      <c r="IXQ20" s="314" t="s">
        <v>203</v>
      </c>
      <c r="IXR20" s="314" t="s">
        <v>203</v>
      </c>
      <c r="IXS20" s="314" t="s">
        <v>203</v>
      </c>
      <c r="IXT20" s="314" t="s">
        <v>203</v>
      </c>
      <c r="IXU20" s="314" t="s">
        <v>203</v>
      </c>
      <c r="IXV20" s="314" t="s">
        <v>203</v>
      </c>
      <c r="IXW20" s="314" t="s">
        <v>203</v>
      </c>
      <c r="IXX20" s="314" t="s">
        <v>203</v>
      </c>
      <c r="IXY20" s="314" t="s">
        <v>203</v>
      </c>
      <c r="IXZ20" s="314" t="s">
        <v>203</v>
      </c>
      <c r="IYA20" s="314" t="s">
        <v>203</v>
      </c>
      <c r="IYB20" s="314" t="s">
        <v>203</v>
      </c>
      <c r="IYC20" s="314" t="s">
        <v>203</v>
      </c>
      <c r="IYD20" s="314" t="s">
        <v>203</v>
      </c>
      <c r="IYE20" s="314" t="s">
        <v>203</v>
      </c>
      <c r="IYF20" s="314" t="s">
        <v>203</v>
      </c>
      <c r="IYG20" s="314" t="s">
        <v>203</v>
      </c>
      <c r="IYH20" s="314" t="s">
        <v>203</v>
      </c>
      <c r="IYI20" s="314" t="s">
        <v>203</v>
      </c>
      <c r="IYJ20" s="314" t="s">
        <v>203</v>
      </c>
      <c r="IYK20" s="314" t="s">
        <v>203</v>
      </c>
      <c r="IYL20" s="314" t="s">
        <v>203</v>
      </c>
      <c r="IYM20" s="314" t="s">
        <v>203</v>
      </c>
      <c r="IYN20" s="314" t="s">
        <v>203</v>
      </c>
      <c r="IYO20" s="314" t="s">
        <v>203</v>
      </c>
      <c r="IYP20" s="314" t="s">
        <v>203</v>
      </c>
      <c r="IYQ20" s="314" t="s">
        <v>203</v>
      </c>
      <c r="IYR20" s="314" t="s">
        <v>203</v>
      </c>
      <c r="IYS20" s="314" t="s">
        <v>203</v>
      </c>
      <c r="IYT20" s="314" t="s">
        <v>203</v>
      </c>
      <c r="IYU20" s="314" t="s">
        <v>203</v>
      </c>
      <c r="IYV20" s="314" t="s">
        <v>203</v>
      </c>
      <c r="IYW20" s="314" t="s">
        <v>203</v>
      </c>
      <c r="IYX20" s="314" t="s">
        <v>203</v>
      </c>
      <c r="IYY20" s="314" t="s">
        <v>203</v>
      </c>
      <c r="IYZ20" s="314" t="s">
        <v>203</v>
      </c>
      <c r="IZA20" s="314" t="s">
        <v>203</v>
      </c>
      <c r="IZB20" s="314" t="s">
        <v>203</v>
      </c>
      <c r="IZC20" s="314" t="s">
        <v>203</v>
      </c>
      <c r="IZD20" s="314" t="s">
        <v>203</v>
      </c>
      <c r="IZE20" s="314" t="s">
        <v>203</v>
      </c>
      <c r="IZF20" s="314" t="s">
        <v>203</v>
      </c>
      <c r="IZG20" s="314" t="s">
        <v>203</v>
      </c>
      <c r="IZH20" s="314" t="s">
        <v>203</v>
      </c>
      <c r="IZI20" s="314" t="s">
        <v>203</v>
      </c>
      <c r="IZJ20" s="314" t="s">
        <v>203</v>
      </c>
      <c r="IZK20" s="314" t="s">
        <v>203</v>
      </c>
      <c r="IZL20" s="314" t="s">
        <v>203</v>
      </c>
      <c r="IZM20" s="314" t="s">
        <v>203</v>
      </c>
      <c r="IZN20" s="314" t="s">
        <v>203</v>
      </c>
      <c r="IZO20" s="314" t="s">
        <v>203</v>
      </c>
      <c r="IZP20" s="314" t="s">
        <v>203</v>
      </c>
      <c r="IZQ20" s="314" t="s">
        <v>203</v>
      </c>
      <c r="IZR20" s="314" t="s">
        <v>203</v>
      </c>
      <c r="IZS20" s="314" t="s">
        <v>203</v>
      </c>
      <c r="IZT20" s="314" t="s">
        <v>203</v>
      </c>
      <c r="IZU20" s="314" t="s">
        <v>203</v>
      </c>
      <c r="IZV20" s="314" t="s">
        <v>203</v>
      </c>
      <c r="IZW20" s="314" t="s">
        <v>203</v>
      </c>
      <c r="IZX20" s="314" t="s">
        <v>203</v>
      </c>
      <c r="IZY20" s="314" t="s">
        <v>203</v>
      </c>
      <c r="IZZ20" s="314" t="s">
        <v>203</v>
      </c>
      <c r="JAA20" s="314" t="s">
        <v>203</v>
      </c>
      <c r="JAB20" s="314" t="s">
        <v>203</v>
      </c>
      <c r="JAC20" s="314" t="s">
        <v>203</v>
      </c>
      <c r="JAD20" s="314" t="s">
        <v>203</v>
      </c>
      <c r="JAE20" s="314" t="s">
        <v>203</v>
      </c>
      <c r="JAF20" s="314" t="s">
        <v>203</v>
      </c>
      <c r="JAG20" s="314" t="s">
        <v>203</v>
      </c>
      <c r="JAH20" s="314" t="s">
        <v>203</v>
      </c>
      <c r="JAI20" s="314" t="s">
        <v>203</v>
      </c>
      <c r="JAJ20" s="314" t="s">
        <v>203</v>
      </c>
      <c r="JAK20" s="314" t="s">
        <v>203</v>
      </c>
      <c r="JAL20" s="314" t="s">
        <v>203</v>
      </c>
      <c r="JAM20" s="314" t="s">
        <v>203</v>
      </c>
      <c r="JAN20" s="314" t="s">
        <v>203</v>
      </c>
      <c r="JAO20" s="314" t="s">
        <v>203</v>
      </c>
      <c r="JAP20" s="314" t="s">
        <v>203</v>
      </c>
      <c r="JAQ20" s="314" t="s">
        <v>203</v>
      </c>
      <c r="JAR20" s="314" t="s">
        <v>203</v>
      </c>
      <c r="JAS20" s="314" t="s">
        <v>203</v>
      </c>
      <c r="JAT20" s="314" t="s">
        <v>203</v>
      </c>
      <c r="JAU20" s="314" t="s">
        <v>203</v>
      </c>
      <c r="JAV20" s="314" t="s">
        <v>203</v>
      </c>
      <c r="JAW20" s="314" t="s">
        <v>203</v>
      </c>
      <c r="JAX20" s="314" t="s">
        <v>203</v>
      </c>
      <c r="JAY20" s="314" t="s">
        <v>203</v>
      </c>
      <c r="JAZ20" s="314" t="s">
        <v>203</v>
      </c>
      <c r="JBA20" s="314" t="s">
        <v>203</v>
      </c>
      <c r="JBB20" s="314" t="s">
        <v>203</v>
      </c>
      <c r="JBC20" s="314" t="s">
        <v>203</v>
      </c>
      <c r="JBD20" s="314" t="s">
        <v>203</v>
      </c>
      <c r="JBE20" s="314" t="s">
        <v>203</v>
      </c>
      <c r="JBF20" s="314" t="s">
        <v>203</v>
      </c>
      <c r="JBG20" s="314" t="s">
        <v>203</v>
      </c>
      <c r="JBH20" s="314" t="s">
        <v>203</v>
      </c>
      <c r="JBI20" s="314" t="s">
        <v>203</v>
      </c>
      <c r="JBJ20" s="314" t="s">
        <v>203</v>
      </c>
      <c r="JBK20" s="314" t="s">
        <v>203</v>
      </c>
      <c r="JBL20" s="314" t="s">
        <v>203</v>
      </c>
      <c r="JBM20" s="314" t="s">
        <v>203</v>
      </c>
      <c r="JBN20" s="314" t="s">
        <v>203</v>
      </c>
      <c r="JBO20" s="314" t="s">
        <v>203</v>
      </c>
      <c r="JBP20" s="314" t="s">
        <v>203</v>
      </c>
      <c r="JBQ20" s="314" t="s">
        <v>203</v>
      </c>
      <c r="JBR20" s="314" t="s">
        <v>203</v>
      </c>
      <c r="JBS20" s="314" t="s">
        <v>203</v>
      </c>
      <c r="JBT20" s="314" t="s">
        <v>203</v>
      </c>
      <c r="JBU20" s="314" t="s">
        <v>203</v>
      </c>
      <c r="JBV20" s="314" t="s">
        <v>203</v>
      </c>
      <c r="JBW20" s="314" t="s">
        <v>203</v>
      </c>
      <c r="JBX20" s="314" t="s">
        <v>203</v>
      </c>
      <c r="JBY20" s="314" t="s">
        <v>203</v>
      </c>
      <c r="JBZ20" s="314" t="s">
        <v>203</v>
      </c>
      <c r="JCA20" s="314" t="s">
        <v>203</v>
      </c>
      <c r="JCB20" s="314" t="s">
        <v>203</v>
      </c>
      <c r="JCC20" s="314" t="s">
        <v>203</v>
      </c>
      <c r="JCD20" s="314" t="s">
        <v>203</v>
      </c>
      <c r="JCE20" s="314" t="s">
        <v>203</v>
      </c>
      <c r="JCF20" s="314" t="s">
        <v>203</v>
      </c>
      <c r="JCG20" s="314" t="s">
        <v>203</v>
      </c>
      <c r="JCH20" s="314" t="s">
        <v>203</v>
      </c>
      <c r="JCI20" s="314" t="s">
        <v>203</v>
      </c>
      <c r="JCJ20" s="314" t="s">
        <v>203</v>
      </c>
      <c r="JCK20" s="314" t="s">
        <v>203</v>
      </c>
      <c r="JCL20" s="314" t="s">
        <v>203</v>
      </c>
      <c r="JCM20" s="314" t="s">
        <v>203</v>
      </c>
      <c r="JCN20" s="314" t="s">
        <v>203</v>
      </c>
      <c r="JCO20" s="314" t="s">
        <v>203</v>
      </c>
      <c r="JCP20" s="314" t="s">
        <v>203</v>
      </c>
      <c r="JCQ20" s="314" t="s">
        <v>203</v>
      </c>
      <c r="JCR20" s="314" t="s">
        <v>203</v>
      </c>
      <c r="JCS20" s="314" t="s">
        <v>203</v>
      </c>
      <c r="JCT20" s="314" t="s">
        <v>203</v>
      </c>
      <c r="JCU20" s="314" t="s">
        <v>203</v>
      </c>
      <c r="JCV20" s="314" t="s">
        <v>203</v>
      </c>
      <c r="JCW20" s="314" t="s">
        <v>203</v>
      </c>
      <c r="JCX20" s="314" t="s">
        <v>203</v>
      </c>
      <c r="JCY20" s="314" t="s">
        <v>203</v>
      </c>
      <c r="JCZ20" s="314" t="s">
        <v>203</v>
      </c>
      <c r="JDA20" s="314" t="s">
        <v>203</v>
      </c>
      <c r="JDB20" s="314" t="s">
        <v>203</v>
      </c>
      <c r="JDC20" s="314" t="s">
        <v>203</v>
      </c>
      <c r="JDD20" s="314" t="s">
        <v>203</v>
      </c>
      <c r="JDE20" s="314" t="s">
        <v>203</v>
      </c>
      <c r="JDF20" s="314" t="s">
        <v>203</v>
      </c>
      <c r="JDG20" s="314" t="s">
        <v>203</v>
      </c>
      <c r="JDH20" s="314" t="s">
        <v>203</v>
      </c>
      <c r="JDI20" s="314" t="s">
        <v>203</v>
      </c>
      <c r="JDJ20" s="314" t="s">
        <v>203</v>
      </c>
      <c r="JDK20" s="314" t="s">
        <v>203</v>
      </c>
      <c r="JDL20" s="314" t="s">
        <v>203</v>
      </c>
      <c r="JDM20" s="314" t="s">
        <v>203</v>
      </c>
      <c r="JDN20" s="314" t="s">
        <v>203</v>
      </c>
      <c r="JDO20" s="314" t="s">
        <v>203</v>
      </c>
      <c r="JDP20" s="314" t="s">
        <v>203</v>
      </c>
      <c r="JDQ20" s="314" t="s">
        <v>203</v>
      </c>
      <c r="JDR20" s="314" t="s">
        <v>203</v>
      </c>
      <c r="JDS20" s="314" t="s">
        <v>203</v>
      </c>
      <c r="JDT20" s="314" t="s">
        <v>203</v>
      </c>
      <c r="JDU20" s="314" t="s">
        <v>203</v>
      </c>
      <c r="JDV20" s="314" t="s">
        <v>203</v>
      </c>
      <c r="JDW20" s="314" t="s">
        <v>203</v>
      </c>
      <c r="JDX20" s="314" t="s">
        <v>203</v>
      </c>
      <c r="JDY20" s="314" t="s">
        <v>203</v>
      </c>
      <c r="JDZ20" s="314" t="s">
        <v>203</v>
      </c>
      <c r="JEA20" s="314" t="s">
        <v>203</v>
      </c>
      <c r="JEB20" s="314" t="s">
        <v>203</v>
      </c>
      <c r="JEC20" s="314" t="s">
        <v>203</v>
      </c>
      <c r="JED20" s="314" t="s">
        <v>203</v>
      </c>
      <c r="JEE20" s="314" t="s">
        <v>203</v>
      </c>
      <c r="JEF20" s="314" t="s">
        <v>203</v>
      </c>
      <c r="JEG20" s="314" t="s">
        <v>203</v>
      </c>
      <c r="JEH20" s="314" t="s">
        <v>203</v>
      </c>
      <c r="JEI20" s="314" t="s">
        <v>203</v>
      </c>
      <c r="JEJ20" s="314" t="s">
        <v>203</v>
      </c>
      <c r="JEK20" s="314" t="s">
        <v>203</v>
      </c>
      <c r="JEL20" s="314" t="s">
        <v>203</v>
      </c>
      <c r="JEM20" s="314" t="s">
        <v>203</v>
      </c>
      <c r="JEN20" s="314" t="s">
        <v>203</v>
      </c>
      <c r="JEO20" s="314" t="s">
        <v>203</v>
      </c>
      <c r="JEP20" s="314" t="s">
        <v>203</v>
      </c>
      <c r="JEQ20" s="314" t="s">
        <v>203</v>
      </c>
      <c r="JER20" s="314" t="s">
        <v>203</v>
      </c>
      <c r="JES20" s="314" t="s">
        <v>203</v>
      </c>
      <c r="JET20" s="314" t="s">
        <v>203</v>
      </c>
      <c r="JEU20" s="314" t="s">
        <v>203</v>
      </c>
      <c r="JEV20" s="314" t="s">
        <v>203</v>
      </c>
      <c r="JEW20" s="314" t="s">
        <v>203</v>
      </c>
      <c r="JEX20" s="314" t="s">
        <v>203</v>
      </c>
      <c r="JEY20" s="314" t="s">
        <v>203</v>
      </c>
      <c r="JEZ20" s="314" t="s">
        <v>203</v>
      </c>
      <c r="JFA20" s="314" t="s">
        <v>203</v>
      </c>
      <c r="JFB20" s="314" t="s">
        <v>203</v>
      </c>
      <c r="JFC20" s="314" t="s">
        <v>203</v>
      </c>
      <c r="JFD20" s="314" t="s">
        <v>203</v>
      </c>
      <c r="JFE20" s="314" t="s">
        <v>203</v>
      </c>
      <c r="JFF20" s="314" t="s">
        <v>203</v>
      </c>
      <c r="JFG20" s="314" t="s">
        <v>203</v>
      </c>
      <c r="JFH20" s="314" t="s">
        <v>203</v>
      </c>
      <c r="JFI20" s="314" t="s">
        <v>203</v>
      </c>
      <c r="JFJ20" s="314" t="s">
        <v>203</v>
      </c>
      <c r="JFK20" s="314" t="s">
        <v>203</v>
      </c>
      <c r="JFL20" s="314" t="s">
        <v>203</v>
      </c>
      <c r="JFM20" s="314" t="s">
        <v>203</v>
      </c>
      <c r="JFN20" s="314" t="s">
        <v>203</v>
      </c>
      <c r="JFO20" s="314" t="s">
        <v>203</v>
      </c>
      <c r="JFP20" s="314" t="s">
        <v>203</v>
      </c>
      <c r="JFQ20" s="314" t="s">
        <v>203</v>
      </c>
      <c r="JFR20" s="314" t="s">
        <v>203</v>
      </c>
      <c r="JFS20" s="314" t="s">
        <v>203</v>
      </c>
      <c r="JFT20" s="314" t="s">
        <v>203</v>
      </c>
      <c r="JFU20" s="314" t="s">
        <v>203</v>
      </c>
      <c r="JFV20" s="314" t="s">
        <v>203</v>
      </c>
      <c r="JFW20" s="314" t="s">
        <v>203</v>
      </c>
      <c r="JFX20" s="314" t="s">
        <v>203</v>
      </c>
      <c r="JFY20" s="314" t="s">
        <v>203</v>
      </c>
      <c r="JFZ20" s="314" t="s">
        <v>203</v>
      </c>
      <c r="JGA20" s="314" t="s">
        <v>203</v>
      </c>
      <c r="JGB20" s="314" t="s">
        <v>203</v>
      </c>
      <c r="JGC20" s="314" t="s">
        <v>203</v>
      </c>
      <c r="JGD20" s="314" t="s">
        <v>203</v>
      </c>
      <c r="JGE20" s="314" t="s">
        <v>203</v>
      </c>
      <c r="JGF20" s="314" t="s">
        <v>203</v>
      </c>
      <c r="JGG20" s="314" t="s">
        <v>203</v>
      </c>
      <c r="JGH20" s="314" t="s">
        <v>203</v>
      </c>
      <c r="JGI20" s="314" t="s">
        <v>203</v>
      </c>
      <c r="JGJ20" s="314" t="s">
        <v>203</v>
      </c>
      <c r="JGK20" s="314" t="s">
        <v>203</v>
      </c>
      <c r="JGL20" s="314" t="s">
        <v>203</v>
      </c>
      <c r="JGM20" s="314" t="s">
        <v>203</v>
      </c>
      <c r="JGN20" s="314" t="s">
        <v>203</v>
      </c>
      <c r="JGO20" s="314" t="s">
        <v>203</v>
      </c>
      <c r="JGP20" s="314" t="s">
        <v>203</v>
      </c>
      <c r="JGQ20" s="314" t="s">
        <v>203</v>
      </c>
      <c r="JGR20" s="314" t="s">
        <v>203</v>
      </c>
      <c r="JGS20" s="314" t="s">
        <v>203</v>
      </c>
      <c r="JGT20" s="314" t="s">
        <v>203</v>
      </c>
      <c r="JGU20" s="314" t="s">
        <v>203</v>
      </c>
      <c r="JGV20" s="314" t="s">
        <v>203</v>
      </c>
      <c r="JGW20" s="314" t="s">
        <v>203</v>
      </c>
      <c r="JGX20" s="314" t="s">
        <v>203</v>
      </c>
      <c r="JGY20" s="314" t="s">
        <v>203</v>
      </c>
      <c r="JGZ20" s="314" t="s">
        <v>203</v>
      </c>
      <c r="JHA20" s="314" t="s">
        <v>203</v>
      </c>
      <c r="JHB20" s="314" t="s">
        <v>203</v>
      </c>
      <c r="JHC20" s="314" t="s">
        <v>203</v>
      </c>
      <c r="JHD20" s="314" t="s">
        <v>203</v>
      </c>
      <c r="JHE20" s="314" t="s">
        <v>203</v>
      </c>
      <c r="JHF20" s="314" t="s">
        <v>203</v>
      </c>
      <c r="JHG20" s="314" t="s">
        <v>203</v>
      </c>
      <c r="JHH20" s="314" t="s">
        <v>203</v>
      </c>
      <c r="JHI20" s="314" t="s">
        <v>203</v>
      </c>
      <c r="JHJ20" s="314" t="s">
        <v>203</v>
      </c>
      <c r="JHK20" s="314" t="s">
        <v>203</v>
      </c>
      <c r="JHL20" s="314" t="s">
        <v>203</v>
      </c>
      <c r="JHM20" s="314" t="s">
        <v>203</v>
      </c>
      <c r="JHN20" s="314" t="s">
        <v>203</v>
      </c>
      <c r="JHO20" s="314" t="s">
        <v>203</v>
      </c>
      <c r="JHP20" s="314" t="s">
        <v>203</v>
      </c>
      <c r="JHQ20" s="314" t="s">
        <v>203</v>
      </c>
      <c r="JHR20" s="314" t="s">
        <v>203</v>
      </c>
      <c r="JHS20" s="314" t="s">
        <v>203</v>
      </c>
      <c r="JHT20" s="314" t="s">
        <v>203</v>
      </c>
      <c r="JHU20" s="314" t="s">
        <v>203</v>
      </c>
      <c r="JHV20" s="314" t="s">
        <v>203</v>
      </c>
      <c r="JHW20" s="314" t="s">
        <v>203</v>
      </c>
      <c r="JHX20" s="314" t="s">
        <v>203</v>
      </c>
      <c r="JHY20" s="314" t="s">
        <v>203</v>
      </c>
      <c r="JHZ20" s="314" t="s">
        <v>203</v>
      </c>
      <c r="JIA20" s="314" t="s">
        <v>203</v>
      </c>
      <c r="JIB20" s="314" t="s">
        <v>203</v>
      </c>
      <c r="JIC20" s="314" t="s">
        <v>203</v>
      </c>
      <c r="JID20" s="314" t="s">
        <v>203</v>
      </c>
      <c r="JIE20" s="314" t="s">
        <v>203</v>
      </c>
      <c r="JIF20" s="314" t="s">
        <v>203</v>
      </c>
      <c r="JIG20" s="314" t="s">
        <v>203</v>
      </c>
      <c r="JIH20" s="314" t="s">
        <v>203</v>
      </c>
      <c r="JII20" s="314" t="s">
        <v>203</v>
      </c>
      <c r="JIJ20" s="314" t="s">
        <v>203</v>
      </c>
      <c r="JIK20" s="314" t="s">
        <v>203</v>
      </c>
      <c r="JIL20" s="314" t="s">
        <v>203</v>
      </c>
      <c r="JIM20" s="314" t="s">
        <v>203</v>
      </c>
      <c r="JIN20" s="314" t="s">
        <v>203</v>
      </c>
      <c r="JIO20" s="314" t="s">
        <v>203</v>
      </c>
      <c r="JIP20" s="314" t="s">
        <v>203</v>
      </c>
      <c r="JIQ20" s="314" t="s">
        <v>203</v>
      </c>
      <c r="JIR20" s="314" t="s">
        <v>203</v>
      </c>
      <c r="JIS20" s="314" t="s">
        <v>203</v>
      </c>
      <c r="JIT20" s="314" t="s">
        <v>203</v>
      </c>
      <c r="JIU20" s="314" t="s">
        <v>203</v>
      </c>
      <c r="JIV20" s="314" t="s">
        <v>203</v>
      </c>
      <c r="JIW20" s="314" t="s">
        <v>203</v>
      </c>
      <c r="JIX20" s="314" t="s">
        <v>203</v>
      </c>
      <c r="JIY20" s="314" t="s">
        <v>203</v>
      </c>
      <c r="JIZ20" s="314" t="s">
        <v>203</v>
      </c>
      <c r="JJA20" s="314" t="s">
        <v>203</v>
      </c>
      <c r="JJB20" s="314" t="s">
        <v>203</v>
      </c>
      <c r="JJC20" s="314" t="s">
        <v>203</v>
      </c>
      <c r="JJD20" s="314" t="s">
        <v>203</v>
      </c>
      <c r="JJE20" s="314" t="s">
        <v>203</v>
      </c>
      <c r="JJF20" s="314" t="s">
        <v>203</v>
      </c>
      <c r="JJG20" s="314" t="s">
        <v>203</v>
      </c>
      <c r="JJH20" s="314" t="s">
        <v>203</v>
      </c>
      <c r="JJI20" s="314" t="s">
        <v>203</v>
      </c>
      <c r="JJJ20" s="314" t="s">
        <v>203</v>
      </c>
      <c r="JJK20" s="314" t="s">
        <v>203</v>
      </c>
      <c r="JJL20" s="314" t="s">
        <v>203</v>
      </c>
      <c r="JJM20" s="314" t="s">
        <v>203</v>
      </c>
      <c r="JJN20" s="314" t="s">
        <v>203</v>
      </c>
      <c r="JJO20" s="314" t="s">
        <v>203</v>
      </c>
      <c r="JJP20" s="314" t="s">
        <v>203</v>
      </c>
      <c r="JJQ20" s="314" t="s">
        <v>203</v>
      </c>
      <c r="JJR20" s="314" t="s">
        <v>203</v>
      </c>
      <c r="JJS20" s="314" t="s">
        <v>203</v>
      </c>
      <c r="JJT20" s="314" t="s">
        <v>203</v>
      </c>
      <c r="JJU20" s="314" t="s">
        <v>203</v>
      </c>
      <c r="JJV20" s="314" t="s">
        <v>203</v>
      </c>
      <c r="JJW20" s="314" t="s">
        <v>203</v>
      </c>
      <c r="JJX20" s="314" t="s">
        <v>203</v>
      </c>
      <c r="JJY20" s="314" t="s">
        <v>203</v>
      </c>
      <c r="JJZ20" s="314" t="s">
        <v>203</v>
      </c>
      <c r="JKA20" s="314" t="s">
        <v>203</v>
      </c>
      <c r="JKB20" s="314" t="s">
        <v>203</v>
      </c>
      <c r="JKC20" s="314" t="s">
        <v>203</v>
      </c>
      <c r="JKD20" s="314" t="s">
        <v>203</v>
      </c>
      <c r="JKE20" s="314" t="s">
        <v>203</v>
      </c>
      <c r="JKF20" s="314" t="s">
        <v>203</v>
      </c>
      <c r="JKG20" s="314" t="s">
        <v>203</v>
      </c>
      <c r="JKH20" s="314" t="s">
        <v>203</v>
      </c>
      <c r="JKI20" s="314" t="s">
        <v>203</v>
      </c>
      <c r="JKJ20" s="314" t="s">
        <v>203</v>
      </c>
      <c r="JKK20" s="314" t="s">
        <v>203</v>
      </c>
      <c r="JKL20" s="314" t="s">
        <v>203</v>
      </c>
      <c r="JKM20" s="314" t="s">
        <v>203</v>
      </c>
      <c r="JKN20" s="314" t="s">
        <v>203</v>
      </c>
      <c r="JKO20" s="314" t="s">
        <v>203</v>
      </c>
      <c r="JKP20" s="314" t="s">
        <v>203</v>
      </c>
      <c r="JKQ20" s="314" t="s">
        <v>203</v>
      </c>
      <c r="JKR20" s="314" t="s">
        <v>203</v>
      </c>
      <c r="JKS20" s="314" t="s">
        <v>203</v>
      </c>
      <c r="JKT20" s="314" t="s">
        <v>203</v>
      </c>
      <c r="JKU20" s="314" t="s">
        <v>203</v>
      </c>
      <c r="JKV20" s="314" t="s">
        <v>203</v>
      </c>
      <c r="JKW20" s="314" t="s">
        <v>203</v>
      </c>
      <c r="JKX20" s="314" t="s">
        <v>203</v>
      </c>
      <c r="JKY20" s="314" t="s">
        <v>203</v>
      </c>
      <c r="JKZ20" s="314" t="s">
        <v>203</v>
      </c>
      <c r="JLA20" s="314" t="s">
        <v>203</v>
      </c>
      <c r="JLB20" s="314" t="s">
        <v>203</v>
      </c>
      <c r="JLC20" s="314" t="s">
        <v>203</v>
      </c>
      <c r="JLD20" s="314" t="s">
        <v>203</v>
      </c>
      <c r="JLE20" s="314" t="s">
        <v>203</v>
      </c>
      <c r="JLF20" s="314" t="s">
        <v>203</v>
      </c>
      <c r="JLG20" s="314" t="s">
        <v>203</v>
      </c>
      <c r="JLH20" s="314" t="s">
        <v>203</v>
      </c>
      <c r="JLI20" s="314" t="s">
        <v>203</v>
      </c>
      <c r="JLJ20" s="314" t="s">
        <v>203</v>
      </c>
      <c r="JLK20" s="314" t="s">
        <v>203</v>
      </c>
      <c r="JLL20" s="314" t="s">
        <v>203</v>
      </c>
      <c r="JLM20" s="314" t="s">
        <v>203</v>
      </c>
      <c r="JLN20" s="314" t="s">
        <v>203</v>
      </c>
      <c r="JLO20" s="314" t="s">
        <v>203</v>
      </c>
      <c r="JLP20" s="314" t="s">
        <v>203</v>
      </c>
      <c r="JLQ20" s="314" t="s">
        <v>203</v>
      </c>
      <c r="JLR20" s="314" t="s">
        <v>203</v>
      </c>
      <c r="JLS20" s="314" t="s">
        <v>203</v>
      </c>
      <c r="JLT20" s="314" t="s">
        <v>203</v>
      </c>
      <c r="JLU20" s="314" t="s">
        <v>203</v>
      </c>
      <c r="JLV20" s="314" t="s">
        <v>203</v>
      </c>
      <c r="JLW20" s="314" t="s">
        <v>203</v>
      </c>
      <c r="JLX20" s="314" t="s">
        <v>203</v>
      </c>
      <c r="JLY20" s="314" t="s">
        <v>203</v>
      </c>
      <c r="JLZ20" s="314" t="s">
        <v>203</v>
      </c>
      <c r="JMA20" s="314" t="s">
        <v>203</v>
      </c>
      <c r="JMB20" s="314" t="s">
        <v>203</v>
      </c>
      <c r="JMC20" s="314" t="s">
        <v>203</v>
      </c>
      <c r="JMD20" s="314" t="s">
        <v>203</v>
      </c>
      <c r="JME20" s="314" t="s">
        <v>203</v>
      </c>
      <c r="JMF20" s="314" t="s">
        <v>203</v>
      </c>
      <c r="JMG20" s="314" t="s">
        <v>203</v>
      </c>
      <c r="JMH20" s="314" t="s">
        <v>203</v>
      </c>
      <c r="JMI20" s="314" t="s">
        <v>203</v>
      </c>
      <c r="JMJ20" s="314" t="s">
        <v>203</v>
      </c>
      <c r="JMK20" s="314" t="s">
        <v>203</v>
      </c>
      <c r="JML20" s="314" t="s">
        <v>203</v>
      </c>
      <c r="JMM20" s="314" t="s">
        <v>203</v>
      </c>
      <c r="JMN20" s="314" t="s">
        <v>203</v>
      </c>
      <c r="JMO20" s="314" t="s">
        <v>203</v>
      </c>
      <c r="JMP20" s="314" t="s">
        <v>203</v>
      </c>
      <c r="JMQ20" s="314" t="s">
        <v>203</v>
      </c>
      <c r="JMR20" s="314" t="s">
        <v>203</v>
      </c>
      <c r="JMS20" s="314" t="s">
        <v>203</v>
      </c>
      <c r="JMT20" s="314" t="s">
        <v>203</v>
      </c>
      <c r="JMU20" s="314" t="s">
        <v>203</v>
      </c>
      <c r="JMV20" s="314" t="s">
        <v>203</v>
      </c>
      <c r="JMW20" s="314" t="s">
        <v>203</v>
      </c>
      <c r="JMX20" s="314" t="s">
        <v>203</v>
      </c>
      <c r="JMY20" s="314" t="s">
        <v>203</v>
      </c>
      <c r="JMZ20" s="314" t="s">
        <v>203</v>
      </c>
      <c r="JNA20" s="314" t="s">
        <v>203</v>
      </c>
      <c r="JNB20" s="314" t="s">
        <v>203</v>
      </c>
      <c r="JNC20" s="314" t="s">
        <v>203</v>
      </c>
      <c r="JND20" s="314" t="s">
        <v>203</v>
      </c>
      <c r="JNE20" s="314" t="s">
        <v>203</v>
      </c>
      <c r="JNF20" s="314" t="s">
        <v>203</v>
      </c>
      <c r="JNG20" s="314" t="s">
        <v>203</v>
      </c>
      <c r="JNH20" s="314" t="s">
        <v>203</v>
      </c>
      <c r="JNI20" s="314" t="s">
        <v>203</v>
      </c>
      <c r="JNJ20" s="314" t="s">
        <v>203</v>
      </c>
      <c r="JNK20" s="314" t="s">
        <v>203</v>
      </c>
      <c r="JNL20" s="314" t="s">
        <v>203</v>
      </c>
      <c r="JNM20" s="314" t="s">
        <v>203</v>
      </c>
      <c r="JNN20" s="314" t="s">
        <v>203</v>
      </c>
      <c r="JNO20" s="314" t="s">
        <v>203</v>
      </c>
      <c r="JNP20" s="314" t="s">
        <v>203</v>
      </c>
      <c r="JNQ20" s="314" t="s">
        <v>203</v>
      </c>
      <c r="JNR20" s="314" t="s">
        <v>203</v>
      </c>
      <c r="JNS20" s="314" t="s">
        <v>203</v>
      </c>
      <c r="JNT20" s="314" t="s">
        <v>203</v>
      </c>
      <c r="JNU20" s="314" t="s">
        <v>203</v>
      </c>
      <c r="JNV20" s="314" t="s">
        <v>203</v>
      </c>
      <c r="JNW20" s="314" t="s">
        <v>203</v>
      </c>
      <c r="JNX20" s="314" t="s">
        <v>203</v>
      </c>
      <c r="JNY20" s="314" t="s">
        <v>203</v>
      </c>
      <c r="JNZ20" s="314" t="s">
        <v>203</v>
      </c>
      <c r="JOA20" s="314" t="s">
        <v>203</v>
      </c>
      <c r="JOB20" s="314" t="s">
        <v>203</v>
      </c>
      <c r="JOC20" s="314" t="s">
        <v>203</v>
      </c>
      <c r="JOD20" s="314" t="s">
        <v>203</v>
      </c>
      <c r="JOE20" s="314" t="s">
        <v>203</v>
      </c>
      <c r="JOF20" s="314" t="s">
        <v>203</v>
      </c>
      <c r="JOG20" s="314" t="s">
        <v>203</v>
      </c>
      <c r="JOH20" s="314" t="s">
        <v>203</v>
      </c>
      <c r="JOI20" s="314" t="s">
        <v>203</v>
      </c>
      <c r="JOJ20" s="314" t="s">
        <v>203</v>
      </c>
      <c r="JOK20" s="314" t="s">
        <v>203</v>
      </c>
      <c r="JOL20" s="314" t="s">
        <v>203</v>
      </c>
      <c r="JOM20" s="314" t="s">
        <v>203</v>
      </c>
      <c r="JON20" s="314" t="s">
        <v>203</v>
      </c>
      <c r="JOO20" s="314" t="s">
        <v>203</v>
      </c>
      <c r="JOP20" s="314" t="s">
        <v>203</v>
      </c>
      <c r="JOQ20" s="314" t="s">
        <v>203</v>
      </c>
      <c r="JOR20" s="314" t="s">
        <v>203</v>
      </c>
      <c r="JOS20" s="314" t="s">
        <v>203</v>
      </c>
      <c r="JOT20" s="314" t="s">
        <v>203</v>
      </c>
      <c r="JOU20" s="314" t="s">
        <v>203</v>
      </c>
      <c r="JOV20" s="314" t="s">
        <v>203</v>
      </c>
      <c r="JOW20" s="314" t="s">
        <v>203</v>
      </c>
      <c r="JOX20" s="314" t="s">
        <v>203</v>
      </c>
      <c r="JOY20" s="314" t="s">
        <v>203</v>
      </c>
      <c r="JOZ20" s="314" t="s">
        <v>203</v>
      </c>
      <c r="JPA20" s="314" t="s">
        <v>203</v>
      </c>
      <c r="JPB20" s="314" t="s">
        <v>203</v>
      </c>
      <c r="JPC20" s="314" t="s">
        <v>203</v>
      </c>
      <c r="JPD20" s="314" t="s">
        <v>203</v>
      </c>
      <c r="JPE20" s="314" t="s">
        <v>203</v>
      </c>
      <c r="JPF20" s="314" t="s">
        <v>203</v>
      </c>
      <c r="JPG20" s="314" t="s">
        <v>203</v>
      </c>
      <c r="JPH20" s="314" t="s">
        <v>203</v>
      </c>
      <c r="JPI20" s="314" t="s">
        <v>203</v>
      </c>
      <c r="JPJ20" s="314" t="s">
        <v>203</v>
      </c>
      <c r="JPK20" s="314" t="s">
        <v>203</v>
      </c>
      <c r="JPL20" s="314" t="s">
        <v>203</v>
      </c>
      <c r="JPM20" s="314" t="s">
        <v>203</v>
      </c>
      <c r="JPN20" s="314" t="s">
        <v>203</v>
      </c>
      <c r="JPO20" s="314" t="s">
        <v>203</v>
      </c>
      <c r="JPP20" s="314" t="s">
        <v>203</v>
      </c>
      <c r="JPQ20" s="314" t="s">
        <v>203</v>
      </c>
      <c r="JPR20" s="314" t="s">
        <v>203</v>
      </c>
      <c r="JPS20" s="314" t="s">
        <v>203</v>
      </c>
      <c r="JPT20" s="314" t="s">
        <v>203</v>
      </c>
      <c r="JPU20" s="314" t="s">
        <v>203</v>
      </c>
      <c r="JPV20" s="314" t="s">
        <v>203</v>
      </c>
      <c r="JPW20" s="314" t="s">
        <v>203</v>
      </c>
      <c r="JPX20" s="314" t="s">
        <v>203</v>
      </c>
      <c r="JPY20" s="314" t="s">
        <v>203</v>
      </c>
      <c r="JPZ20" s="314" t="s">
        <v>203</v>
      </c>
      <c r="JQA20" s="314" t="s">
        <v>203</v>
      </c>
      <c r="JQB20" s="314" t="s">
        <v>203</v>
      </c>
      <c r="JQC20" s="314" t="s">
        <v>203</v>
      </c>
      <c r="JQD20" s="314" t="s">
        <v>203</v>
      </c>
      <c r="JQE20" s="314" t="s">
        <v>203</v>
      </c>
      <c r="JQF20" s="314" t="s">
        <v>203</v>
      </c>
      <c r="JQG20" s="314" t="s">
        <v>203</v>
      </c>
      <c r="JQH20" s="314" t="s">
        <v>203</v>
      </c>
      <c r="JQI20" s="314" t="s">
        <v>203</v>
      </c>
      <c r="JQJ20" s="314" t="s">
        <v>203</v>
      </c>
      <c r="JQK20" s="314" t="s">
        <v>203</v>
      </c>
      <c r="JQL20" s="314" t="s">
        <v>203</v>
      </c>
      <c r="JQM20" s="314" t="s">
        <v>203</v>
      </c>
      <c r="JQN20" s="314" t="s">
        <v>203</v>
      </c>
      <c r="JQO20" s="314" t="s">
        <v>203</v>
      </c>
      <c r="JQP20" s="314" t="s">
        <v>203</v>
      </c>
      <c r="JQQ20" s="314" t="s">
        <v>203</v>
      </c>
      <c r="JQR20" s="314" t="s">
        <v>203</v>
      </c>
      <c r="JQS20" s="314" t="s">
        <v>203</v>
      </c>
      <c r="JQT20" s="314" t="s">
        <v>203</v>
      </c>
      <c r="JQU20" s="314" t="s">
        <v>203</v>
      </c>
      <c r="JQV20" s="314" t="s">
        <v>203</v>
      </c>
      <c r="JQW20" s="314" t="s">
        <v>203</v>
      </c>
      <c r="JQX20" s="314" t="s">
        <v>203</v>
      </c>
      <c r="JQY20" s="314" t="s">
        <v>203</v>
      </c>
      <c r="JQZ20" s="314" t="s">
        <v>203</v>
      </c>
      <c r="JRA20" s="314" t="s">
        <v>203</v>
      </c>
      <c r="JRB20" s="314" t="s">
        <v>203</v>
      </c>
      <c r="JRC20" s="314" t="s">
        <v>203</v>
      </c>
      <c r="JRD20" s="314" t="s">
        <v>203</v>
      </c>
      <c r="JRE20" s="314" t="s">
        <v>203</v>
      </c>
      <c r="JRF20" s="314" t="s">
        <v>203</v>
      </c>
      <c r="JRG20" s="314" t="s">
        <v>203</v>
      </c>
      <c r="JRH20" s="314" t="s">
        <v>203</v>
      </c>
      <c r="JRI20" s="314" t="s">
        <v>203</v>
      </c>
      <c r="JRJ20" s="314" t="s">
        <v>203</v>
      </c>
      <c r="JRK20" s="314" t="s">
        <v>203</v>
      </c>
      <c r="JRL20" s="314" t="s">
        <v>203</v>
      </c>
      <c r="JRM20" s="314" t="s">
        <v>203</v>
      </c>
      <c r="JRN20" s="314" t="s">
        <v>203</v>
      </c>
      <c r="JRO20" s="314" t="s">
        <v>203</v>
      </c>
      <c r="JRP20" s="314" t="s">
        <v>203</v>
      </c>
      <c r="JRQ20" s="314" t="s">
        <v>203</v>
      </c>
      <c r="JRR20" s="314" t="s">
        <v>203</v>
      </c>
      <c r="JRS20" s="314" t="s">
        <v>203</v>
      </c>
      <c r="JRT20" s="314" t="s">
        <v>203</v>
      </c>
      <c r="JRU20" s="314" t="s">
        <v>203</v>
      </c>
      <c r="JRV20" s="314" t="s">
        <v>203</v>
      </c>
      <c r="JRW20" s="314" t="s">
        <v>203</v>
      </c>
      <c r="JRX20" s="314" t="s">
        <v>203</v>
      </c>
      <c r="JRY20" s="314" t="s">
        <v>203</v>
      </c>
      <c r="JRZ20" s="314" t="s">
        <v>203</v>
      </c>
      <c r="JSA20" s="314" t="s">
        <v>203</v>
      </c>
      <c r="JSB20" s="314" t="s">
        <v>203</v>
      </c>
      <c r="JSC20" s="314" t="s">
        <v>203</v>
      </c>
      <c r="JSD20" s="314" t="s">
        <v>203</v>
      </c>
      <c r="JSE20" s="314" t="s">
        <v>203</v>
      </c>
      <c r="JSF20" s="314" t="s">
        <v>203</v>
      </c>
      <c r="JSG20" s="314" t="s">
        <v>203</v>
      </c>
      <c r="JSH20" s="314" t="s">
        <v>203</v>
      </c>
      <c r="JSI20" s="314" t="s">
        <v>203</v>
      </c>
      <c r="JSJ20" s="314" t="s">
        <v>203</v>
      </c>
      <c r="JSK20" s="314" t="s">
        <v>203</v>
      </c>
      <c r="JSL20" s="314" t="s">
        <v>203</v>
      </c>
      <c r="JSM20" s="314" t="s">
        <v>203</v>
      </c>
      <c r="JSN20" s="314" t="s">
        <v>203</v>
      </c>
      <c r="JSO20" s="314" t="s">
        <v>203</v>
      </c>
      <c r="JSP20" s="314" t="s">
        <v>203</v>
      </c>
      <c r="JSQ20" s="314" t="s">
        <v>203</v>
      </c>
      <c r="JSR20" s="314" t="s">
        <v>203</v>
      </c>
      <c r="JSS20" s="314" t="s">
        <v>203</v>
      </c>
      <c r="JST20" s="314" t="s">
        <v>203</v>
      </c>
      <c r="JSU20" s="314" t="s">
        <v>203</v>
      </c>
      <c r="JSV20" s="314" t="s">
        <v>203</v>
      </c>
      <c r="JSW20" s="314" t="s">
        <v>203</v>
      </c>
      <c r="JSX20" s="314" t="s">
        <v>203</v>
      </c>
      <c r="JSY20" s="314" t="s">
        <v>203</v>
      </c>
      <c r="JSZ20" s="314" t="s">
        <v>203</v>
      </c>
      <c r="JTA20" s="314" t="s">
        <v>203</v>
      </c>
      <c r="JTB20" s="314" t="s">
        <v>203</v>
      </c>
      <c r="JTC20" s="314" t="s">
        <v>203</v>
      </c>
      <c r="JTD20" s="314" t="s">
        <v>203</v>
      </c>
      <c r="JTE20" s="314" t="s">
        <v>203</v>
      </c>
      <c r="JTF20" s="314" t="s">
        <v>203</v>
      </c>
      <c r="JTG20" s="314" t="s">
        <v>203</v>
      </c>
      <c r="JTH20" s="314" t="s">
        <v>203</v>
      </c>
      <c r="JTI20" s="314" t="s">
        <v>203</v>
      </c>
      <c r="JTJ20" s="314" t="s">
        <v>203</v>
      </c>
      <c r="JTK20" s="314" t="s">
        <v>203</v>
      </c>
      <c r="JTL20" s="314" t="s">
        <v>203</v>
      </c>
      <c r="JTM20" s="314" t="s">
        <v>203</v>
      </c>
      <c r="JTN20" s="314" t="s">
        <v>203</v>
      </c>
      <c r="JTO20" s="314" t="s">
        <v>203</v>
      </c>
      <c r="JTP20" s="314" t="s">
        <v>203</v>
      </c>
      <c r="JTQ20" s="314" t="s">
        <v>203</v>
      </c>
      <c r="JTR20" s="314" t="s">
        <v>203</v>
      </c>
      <c r="JTS20" s="314" t="s">
        <v>203</v>
      </c>
      <c r="JTT20" s="314" t="s">
        <v>203</v>
      </c>
      <c r="JTU20" s="314" t="s">
        <v>203</v>
      </c>
      <c r="JTV20" s="314" t="s">
        <v>203</v>
      </c>
      <c r="JTW20" s="314" t="s">
        <v>203</v>
      </c>
      <c r="JTX20" s="314" t="s">
        <v>203</v>
      </c>
      <c r="JTY20" s="314" t="s">
        <v>203</v>
      </c>
      <c r="JTZ20" s="314" t="s">
        <v>203</v>
      </c>
      <c r="JUA20" s="314" t="s">
        <v>203</v>
      </c>
      <c r="JUB20" s="314" t="s">
        <v>203</v>
      </c>
      <c r="JUC20" s="314" t="s">
        <v>203</v>
      </c>
      <c r="JUD20" s="314" t="s">
        <v>203</v>
      </c>
      <c r="JUE20" s="314" t="s">
        <v>203</v>
      </c>
      <c r="JUF20" s="314" t="s">
        <v>203</v>
      </c>
      <c r="JUG20" s="314" t="s">
        <v>203</v>
      </c>
      <c r="JUH20" s="314" t="s">
        <v>203</v>
      </c>
      <c r="JUI20" s="314" t="s">
        <v>203</v>
      </c>
      <c r="JUJ20" s="314" t="s">
        <v>203</v>
      </c>
      <c r="JUK20" s="314" t="s">
        <v>203</v>
      </c>
      <c r="JUL20" s="314" t="s">
        <v>203</v>
      </c>
      <c r="JUM20" s="314" t="s">
        <v>203</v>
      </c>
      <c r="JUN20" s="314" t="s">
        <v>203</v>
      </c>
      <c r="JUO20" s="314" t="s">
        <v>203</v>
      </c>
      <c r="JUP20" s="314" t="s">
        <v>203</v>
      </c>
      <c r="JUQ20" s="314" t="s">
        <v>203</v>
      </c>
      <c r="JUR20" s="314" t="s">
        <v>203</v>
      </c>
      <c r="JUS20" s="314" t="s">
        <v>203</v>
      </c>
      <c r="JUT20" s="314" t="s">
        <v>203</v>
      </c>
      <c r="JUU20" s="314" t="s">
        <v>203</v>
      </c>
      <c r="JUV20" s="314" t="s">
        <v>203</v>
      </c>
      <c r="JUW20" s="314" t="s">
        <v>203</v>
      </c>
      <c r="JUX20" s="314" t="s">
        <v>203</v>
      </c>
      <c r="JUY20" s="314" t="s">
        <v>203</v>
      </c>
      <c r="JUZ20" s="314" t="s">
        <v>203</v>
      </c>
      <c r="JVA20" s="314" t="s">
        <v>203</v>
      </c>
      <c r="JVB20" s="314" t="s">
        <v>203</v>
      </c>
      <c r="JVC20" s="314" t="s">
        <v>203</v>
      </c>
      <c r="JVD20" s="314" t="s">
        <v>203</v>
      </c>
      <c r="JVE20" s="314" t="s">
        <v>203</v>
      </c>
      <c r="JVF20" s="314" t="s">
        <v>203</v>
      </c>
      <c r="JVG20" s="314" t="s">
        <v>203</v>
      </c>
      <c r="JVH20" s="314" t="s">
        <v>203</v>
      </c>
      <c r="JVI20" s="314" t="s">
        <v>203</v>
      </c>
      <c r="JVJ20" s="314" t="s">
        <v>203</v>
      </c>
      <c r="JVK20" s="314" t="s">
        <v>203</v>
      </c>
      <c r="JVL20" s="314" t="s">
        <v>203</v>
      </c>
      <c r="JVM20" s="314" t="s">
        <v>203</v>
      </c>
      <c r="JVN20" s="314" t="s">
        <v>203</v>
      </c>
      <c r="JVO20" s="314" t="s">
        <v>203</v>
      </c>
      <c r="JVP20" s="314" t="s">
        <v>203</v>
      </c>
      <c r="JVQ20" s="314" t="s">
        <v>203</v>
      </c>
      <c r="JVR20" s="314" t="s">
        <v>203</v>
      </c>
      <c r="JVS20" s="314" t="s">
        <v>203</v>
      </c>
      <c r="JVT20" s="314" t="s">
        <v>203</v>
      </c>
      <c r="JVU20" s="314" t="s">
        <v>203</v>
      </c>
      <c r="JVV20" s="314" t="s">
        <v>203</v>
      </c>
      <c r="JVW20" s="314" t="s">
        <v>203</v>
      </c>
      <c r="JVX20" s="314" t="s">
        <v>203</v>
      </c>
      <c r="JVY20" s="314" t="s">
        <v>203</v>
      </c>
      <c r="JVZ20" s="314" t="s">
        <v>203</v>
      </c>
      <c r="JWA20" s="314" t="s">
        <v>203</v>
      </c>
      <c r="JWB20" s="314" t="s">
        <v>203</v>
      </c>
      <c r="JWC20" s="314" t="s">
        <v>203</v>
      </c>
      <c r="JWD20" s="314" t="s">
        <v>203</v>
      </c>
      <c r="JWE20" s="314" t="s">
        <v>203</v>
      </c>
      <c r="JWF20" s="314" t="s">
        <v>203</v>
      </c>
      <c r="JWG20" s="314" t="s">
        <v>203</v>
      </c>
      <c r="JWH20" s="314" t="s">
        <v>203</v>
      </c>
      <c r="JWI20" s="314" t="s">
        <v>203</v>
      </c>
      <c r="JWJ20" s="314" t="s">
        <v>203</v>
      </c>
      <c r="JWK20" s="314" t="s">
        <v>203</v>
      </c>
      <c r="JWL20" s="314" t="s">
        <v>203</v>
      </c>
      <c r="JWM20" s="314" t="s">
        <v>203</v>
      </c>
      <c r="JWN20" s="314" t="s">
        <v>203</v>
      </c>
      <c r="JWO20" s="314" t="s">
        <v>203</v>
      </c>
      <c r="JWP20" s="314" t="s">
        <v>203</v>
      </c>
      <c r="JWQ20" s="314" t="s">
        <v>203</v>
      </c>
      <c r="JWR20" s="314" t="s">
        <v>203</v>
      </c>
      <c r="JWS20" s="314" t="s">
        <v>203</v>
      </c>
      <c r="JWT20" s="314" t="s">
        <v>203</v>
      </c>
      <c r="JWU20" s="314" t="s">
        <v>203</v>
      </c>
      <c r="JWV20" s="314" t="s">
        <v>203</v>
      </c>
      <c r="JWW20" s="314" t="s">
        <v>203</v>
      </c>
      <c r="JWX20" s="314" t="s">
        <v>203</v>
      </c>
      <c r="JWY20" s="314" t="s">
        <v>203</v>
      </c>
      <c r="JWZ20" s="314" t="s">
        <v>203</v>
      </c>
      <c r="JXA20" s="314" t="s">
        <v>203</v>
      </c>
      <c r="JXB20" s="314" t="s">
        <v>203</v>
      </c>
      <c r="JXC20" s="314" t="s">
        <v>203</v>
      </c>
      <c r="JXD20" s="314" t="s">
        <v>203</v>
      </c>
      <c r="JXE20" s="314" t="s">
        <v>203</v>
      </c>
      <c r="JXF20" s="314" t="s">
        <v>203</v>
      </c>
      <c r="JXG20" s="314" t="s">
        <v>203</v>
      </c>
      <c r="JXH20" s="314" t="s">
        <v>203</v>
      </c>
      <c r="JXI20" s="314" t="s">
        <v>203</v>
      </c>
      <c r="JXJ20" s="314" t="s">
        <v>203</v>
      </c>
      <c r="JXK20" s="314" t="s">
        <v>203</v>
      </c>
      <c r="JXL20" s="314" t="s">
        <v>203</v>
      </c>
      <c r="JXM20" s="314" t="s">
        <v>203</v>
      </c>
      <c r="JXN20" s="314" t="s">
        <v>203</v>
      </c>
      <c r="JXO20" s="314" t="s">
        <v>203</v>
      </c>
      <c r="JXP20" s="314" t="s">
        <v>203</v>
      </c>
      <c r="JXQ20" s="314" t="s">
        <v>203</v>
      </c>
      <c r="JXR20" s="314" t="s">
        <v>203</v>
      </c>
      <c r="JXS20" s="314" t="s">
        <v>203</v>
      </c>
      <c r="JXT20" s="314" t="s">
        <v>203</v>
      </c>
      <c r="JXU20" s="314" t="s">
        <v>203</v>
      </c>
      <c r="JXV20" s="314" t="s">
        <v>203</v>
      </c>
      <c r="JXW20" s="314" t="s">
        <v>203</v>
      </c>
      <c r="JXX20" s="314" t="s">
        <v>203</v>
      </c>
      <c r="JXY20" s="314" t="s">
        <v>203</v>
      </c>
      <c r="JXZ20" s="314" t="s">
        <v>203</v>
      </c>
      <c r="JYA20" s="314" t="s">
        <v>203</v>
      </c>
      <c r="JYB20" s="314" t="s">
        <v>203</v>
      </c>
      <c r="JYC20" s="314" t="s">
        <v>203</v>
      </c>
      <c r="JYD20" s="314" t="s">
        <v>203</v>
      </c>
      <c r="JYE20" s="314" t="s">
        <v>203</v>
      </c>
      <c r="JYF20" s="314" t="s">
        <v>203</v>
      </c>
      <c r="JYG20" s="314" t="s">
        <v>203</v>
      </c>
      <c r="JYH20" s="314" t="s">
        <v>203</v>
      </c>
      <c r="JYI20" s="314" t="s">
        <v>203</v>
      </c>
      <c r="JYJ20" s="314" t="s">
        <v>203</v>
      </c>
      <c r="JYK20" s="314" t="s">
        <v>203</v>
      </c>
      <c r="JYL20" s="314" t="s">
        <v>203</v>
      </c>
      <c r="JYM20" s="314" t="s">
        <v>203</v>
      </c>
      <c r="JYN20" s="314" t="s">
        <v>203</v>
      </c>
      <c r="JYO20" s="314" t="s">
        <v>203</v>
      </c>
      <c r="JYP20" s="314" t="s">
        <v>203</v>
      </c>
      <c r="JYQ20" s="314" t="s">
        <v>203</v>
      </c>
      <c r="JYR20" s="314" t="s">
        <v>203</v>
      </c>
      <c r="JYS20" s="314" t="s">
        <v>203</v>
      </c>
      <c r="JYT20" s="314" t="s">
        <v>203</v>
      </c>
      <c r="JYU20" s="314" t="s">
        <v>203</v>
      </c>
      <c r="JYV20" s="314" t="s">
        <v>203</v>
      </c>
      <c r="JYW20" s="314" t="s">
        <v>203</v>
      </c>
      <c r="JYX20" s="314" t="s">
        <v>203</v>
      </c>
      <c r="JYY20" s="314" t="s">
        <v>203</v>
      </c>
      <c r="JYZ20" s="314" t="s">
        <v>203</v>
      </c>
      <c r="JZA20" s="314" t="s">
        <v>203</v>
      </c>
      <c r="JZB20" s="314" t="s">
        <v>203</v>
      </c>
      <c r="JZC20" s="314" t="s">
        <v>203</v>
      </c>
      <c r="JZD20" s="314" t="s">
        <v>203</v>
      </c>
      <c r="JZE20" s="314" t="s">
        <v>203</v>
      </c>
      <c r="JZF20" s="314" t="s">
        <v>203</v>
      </c>
      <c r="JZG20" s="314" t="s">
        <v>203</v>
      </c>
      <c r="JZH20" s="314" t="s">
        <v>203</v>
      </c>
      <c r="JZI20" s="314" t="s">
        <v>203</v>
      </c>
      <c r="JZJ20" s="314" t="s">
        <v>203</v>
      </c>
      <c r="JZK20" s="314" t="s">
        <v>203</v>
      </c>
      <c r="JZL20" s="314" t="s">
        <v>203</v>
      </c>
      <c r="JZM20" s="314" t="s">
        <v>203</v>
      </c>
      <c r="JZN20" s="314" t="s">
        <v>203</v>
      </c>
      <c r="JZO20" s="314" t="s">
        <v>203</v>
      </c>
      <c r="JZP20" s="314" t="s">
        <v>203</v>
      </c>
      <c r="JZQ20" s="314" t="s">
        <v>203</v>
      </c>
      <c r="JZR20" s="314" t="s">
        <v>203</v>
      </c>
      <c r="JZS20" s="314" t="s">
        <v>203</v>
      </c>
      <c r="JZT20" s="314" t="s">
        <v>203</v>
      </c>
      <c r="JZU20" s="314" t="s">
        <v>203</v>
      </c>
      <c r="JZV20" s="314" t="s">
        <v>203</v>
      </c>
      <c r="JZW20" s="314" t="s">
        <v>203</v>
      </c>
      <c r="JZX20" s="314" t="s">
        <v>203</v>
      </c>
      <c r="JZY20" s="314" t="s">
        <v>203</v>
      </c>
      <c r="JZZ20" s="314" t="s">
        <v>203</v>
      </c>
      <c r="KAA20" s="314" t="s">
        <v>203</v>
      </c>
      <c r="KAB20" s="314" t="s">
        <v>203</v>
      </c>
      <c r="KAC20" s="314" t="s">
        <v>203</v>
      </c>
      <c r="KAD20" s="314" t="s">
        <v>203</v>
      </c>
      <c r="KAE20" s="314" t="s">
        <v>203</v>
      </c>
      <c r="KAF20" s="314" t="s">
        <v>203</v>
      </c>
      <c r="KAG20" s="314" t="s">
        <v>203</v>
      </c>
      <c r="KAH20" s="314" t="s">
        <v>203</v>
      </c>
      <c r="KAI20" s="314" t="s">
        <v>203</v>
      </c>
      <c r="KAJ20" s="314" t="s">
        <v>203</v>
      </c>
      <c r="KAK20" s="314" t="s">
        <v>203</v>
      </c>
      <c r="KAL20" s="314" t="s">
        <v>203</v>
      </c>
      <c r="KAM20" s="314" t="s">
        <v>203</v>
      </c>
      <c r="KAN20" s="314" t="s">
        <v>203</v>
      </c>
      <c r="KAO20" s="314" t="s">
        <v>203</v>
      </c>
      <c r="KAP20" s="314" t="s">
        <v>203</v>
      </c>
      <c r="KAQ20" s="314" t="s">
        <v>203</v>
      </c>
      <c r="KAR20" s="314" t="s">
        <v>203</v>
      </c>
      <c r="KAS20" s="314" t="s">
        <v>203</v>
      </c>
      <c r="KAT20" s="314" t="s">
        <v>203</v>
      </c>
      <c r="KAU20" s="314" t="s">
        <v>203</v>
      </c>
      <c r="KAV20" s="314" t="s">
        <v>203</v>
      </c>
      <c r="KAW20" s="314" t="s">
        <v>203</v>
      </c>
      <c r="KAX20" s="314" t="s">
        <v>203</v>
      </c>
      <c r="KAY20" s="314" t="s">
        <v>203</v>
      </c>
      <c r="KAZ20" s="314" t="s">
        <v>203</v>
      </c>
      <c r="KBA20" s="314" t="s">
        <v>203</v>
      </c>
      <c r="KBB20" s="314" t="s">
        <v>203</v>
      </c>
      <c r="KBC20" s="314" t="s">
        <v>203</v>
      </c>
      <c r="KBD20" s="314" t="s">
        <v>203</v>
      </c>
      <c r="KBE20" s="314" t="s">
        <v>203</v>
      </c>
      <c r="KBF20" s="314" t="s">
        <v>203</v>
      </c>
      <c r="KBG20" s="314" t="s">
        <v>203</v>
      </c>
      <c r="KBH20" s="314" t="s">
        <v>203</v>
      </c>
      <c r="KBI20" s="314" t="s">
        <v>203</v>
      </c>
      <c r="KBJ20" s="314" t="s">
        <v>203</v>
      </c>
      <c r="KBK20" s="314" t="s">
        <v>203</v>
      </c>
      <c r="KBL20" s="314" t="s">
        <v>203</v>
      </c>
      <c r="KBM20" s="314" t="s">
        <v>203</v>
      </c>
      <c r="KBN20" s="314" t="s">
        <v>203</v>
      </c>
      <c r="KBO20" s="314" t="s">
        <v>203</v>
      </c>
      <c r="KBP20" s="314" t="s">
        <v>203</v>
      </c>
      <c r="KBQ20" s="314" t="s">
        <v>203</v>
      </c>
      <c r="KBR20" s="314" t="s">
        <v>203</v>
      </c>
      <c r="KBS20" s="314" t="s">
        <v>203</v>
      </c>
      <c r="KBT20" s="314" t="s">
        <v>203</v>
      </c>
      <c r="KBU20" s="314" t="s">
        <v>203</v>
      </c>
      <c r="KBV20" s="314" t="s">
        <v>203</v>
      </c>
      <c r="KBW20" s="314" t="s">
        <v>203</v>
      </c>
      <c r="KBX20" s="314" t="s">
        <v>203</v>
      </c>
      <c r="KBY20" s="314" t="s">
        <v>203</v>
      </c>
      <c r="KBZ20" s="314" t="s">
        <v>203</v>
      </c>
      <c r="KCA20" s="314" t="s">
        <v>203</v>
      </c>
      <c r="KCB20" s="314" t="s">
        <v>203</v>
      </c>
      <c r="KCC20" s="314" t="s">
        <v>203</v>
      </c>
      <c r="KCD20" s="314" t="s">
        <v>203</v>
      </c>
      <c r="KCE20" s="314" t="s">
        <v>203</v>
      </c>
      <c r="KCF20" s="314" t="s">
        <v>203</v>
      </c>
      <c r="KCG20" s="314" t="s">
        <v>203</v>
      </c>
      <c r="KCH20" s="314" t="s">
        <v>203</v>
      </c>
      <c r="KCI20" s="314" t="s">
        <v>203</v>
      </c>
      <c r="KCJ20" s="314" t="s">
        <v>203</v>
      </c>
      <c r="KCK20" s="314" t="s">
        <v>203</v>
      </c>
      <c r="KCL20" s="314" t="s">
        <v>203</v>
      </c>
      <c r="KCM20" s="314" t="s">
        <v>203</v>
      </c>
      <c r="KCN20" s="314" t="s">
        <v>203</v>
      </c>
      <c r="KCO20" s="314" t="s">
        <v>203</v>
      </c>
      <c r="KCP20" s="314" t="s">
        <v>203</v>
      </c>
      <c r="KCQ20" s="314" t="s">
        <v>203</v>
      </c>
      <c r="KCR20" s="314" t="s">
        <v>203</v>
      </c>
      <c r="KCS20" s="314" t="s">
        <v>203</v>
      </c>
      <c r="KCT20" s="314" t="s">
        <v>203</v>
      </c>
      <c r="KCU20" s="314" t="s">
        <v>203</v>
      </c>
      <c r="KCV20" s="314" t="s">
        <v>203</v>
      </c>
      <c r="KCW20" s="314" t="s">
        <v>203</v>
      </c>
      <c r="KCX20" s="314" t="s">
        <v>203</v>
      </c>
      <c r="KCY20" s="314" t="s">
        <v>203</v>
      </c>
      <c r="KCZ20" s="314" t="s">
        <v>203</v>
      </c>
      <c r="KDA20" s="314" t="s">
        <v>203</v>
      </c>
      <c r="KDB20" s="314" t="s">
        <v>203</v>
      </c>
      <c r="KDC20" s="314" t="s">
        <v>203</v>
      </c>
      <c r="KDD20" s="314" t="s">
        <v>203</v>
      </c>
      <c r="KDE20" s="314" t="s">
        <v>203</v>
      </c>
      <c r="KDF20" s="314" t="s">
        <v>203</v>
      </c>
      <c r="KDG20" s="314" t="s">
        <v>203</v>
      </c>
      <c r="KDH20" s="314" t="s">
        <v>203</v>
      </c>
      <c r="KDI20" s="314" t="s">
        <v>203</v>
      </c>
      <c r="KDJ20" s="314" t="s">
        <v>203</v>
      </c>
      <c r="KDK20" s="314" t="s">
        <v>203</v>
      </c>
      <c r="KDL20" s="314" t="s">
        <v>203</v>
      </c>
      <c r="KDM20" s="314" t="s">
        <v>203</v>
      </c>
      <c r="KDN20" s="314" t="s">
        <v>203</v>
      </c>
      <c r="KDO20" s="314" t="s">
        <v>203</v>
      </c>
      <c r="KDP20" s="314" t="s">
        <v>203</v>
      </c>
      <c r="KDQ20" s="314" t="s">
        <v>203</v>
      </c>
      <c r="KDR20" s="314" t="s">
        <v>203</v>
      </c>
      <c r="KDS20" s="314" t="s">
        <v>203</v>
      </c>
      <c r="KDT20" s="314" t="s">
        <v>203</v>
      </c>
      <c r="KDU20" s="314" t="s">
        <v>203</v>
      </c>
      <c r="KDV20" s="314" t="s">
        <v>203</v>
      </c>
      <c r="KDW20" s="314" t="s">
        <v>203</v>
      </c>
      <c r="KDX20" s="314" t="s">
        <v>203</v>
      </c>
      <c r="KDY20" s="314" t="s">
        <v>203</v>
      </c>
      <c r="KDZ20" s="314" t="s">
        <v>203</v>
      </c>
      <c r="KEA20" s="314" t="s">
        <v>203</v>
      </c>
      <c r="KEB20" s="314" t="s">
        <v>203</v>
      </c>
      <c r="KEC20" s="314" t="s">
        <v>203</v>
      </c>
      <c r="KED20" s="314" t="s">
        <v>203</v>
      </c>
      <c r="KEE20" s="314" t="s">
        <v>203</v>
      </c>
      <c r="KEF20" s="314" t="s">
        <v>203</v>
      </c>
      <c r="KEG20" s="314" t="s">
        <v>203</v>
      </c>
      <c r="KEH20" s="314" t="s">
        <v>203</v>
      </c>
      <c r="KEI20" s="314" t="s">
        <v>203</v>
      </c>
      <c r="KEJ20" s="314" t="s">
        <v>203</v>
      </c>
      <c r="KEK20" s="314" t="s">
        <v>203</v>
      </c>
      <c r="KEL20" s="314" t="s">
        <v>203</v>
      </c>
      <c r="KEM20" s="314" t="s">
        <v>203</v>
      </c>
      <c r="KEN20" s="314" t="s">
        <v>203</v>
      </c>
      <c r="KEO20" s="314" t="s">
        <v>203</v>
      </c>
      <c r="KEP20" s="314" t="s">
        <v>203</v>
      </c>
      <c r="KEQ20" s="314" t="s">
        <v>203</v>
      </c>
      <c r="KER20" s="314" t="s">
        <v>203</v>
      </c>
      <c r="KES20" s="314" t="s">
        <v>203</v>
      </c>
      <c r="KET20" s="314" t="s">
        <v>203</v>
      </c>
      <c r="KEU20" s="314" t="s">
        <v>203</v>
      </c>
      <c r="KEV20" s="314" t="s">
        <v>203</v>
      </c>
      <c r="KEW20" s="314" t="s">
        <v>203</v>
      </c>
      <c r="KEX20" s="314" t="s">
        <v>203</v>
      </c>
      <c r="KEY20" s="314" t="s">
        <v>203</v>
      </c>
      <c r="KEZ20" s="314" t="s">
        <v>203</v>
      </c>
      <c r="KFA20" s="314" t="s">
        <v>203</v>
      </c>
      <c r="KFB20" s="314" t="s">
        <v>203</v>
      </c>
      <c r="KFC20" s="314" t="s">
        <v>203</v>
      </c>
      <c r="KFD20" s="314" t="s">
        <v>203</v>
      </c>
      <c r="KFE20" s="314" t="s">
        <v>203</v>
      </c>
      <c r="KFF20" s="314" t="s">
        <v>203</v>
      </c>
      <c r="KFG20" s="314" t="s">
        <v>203</v>
      </c>
      <c r="KFH20" s="314" t="s">
        <v>203</v>
      </c>
      <c r="KFI20" s="314" t="s">
        <v>203</v>
      </c>
      <c r="KFJ20" s="314" t="s">
        <v>203</v>
      </c>
      <c r="KFK20" s="314" t="s">
        <v>203</v>
      </c>
      <c r="KFL20" s="314" t="s">
        <v>203</v>
      </c>
      <c r="KFM20" s="314" t="s">
        <v>203</v>
      </c>
      <c r="KFN20" s="314" t="s">
        <v>203</v>
      </c>
      <c r="KFO20" s="314" t="s">
        <v>203</v>
      </c>
      <c r="KFP20" s="314" t="s">
        <v>203</v>
      </c>
      <c r="KFQ20" s="314" t="s">
        <v>203</v>
      </c>
      <c r="KFR20" s="314" t="s">
        <v>203</v>
      </c>
      <c r="KFS20" s="314" t="s">
        <v>203</v>
      </c>
      <c r="KFT20" s="314" t="s">
        <v>203</v>
      </c>
      <c r="KFU20" s="314" t="s">
        <v>203</v>
      </c>
      <c r="KFV20" s="314" t="s">
        <v>203</v>
      </c>
      <c r="KFW20" s="314" t="s">
        <v>203</v>
      </c>
      <c r="KFX20" s="314" t="s">
        <v>203</v>
      </c>
      <c r="KFY20" s="314" t="s">
        <v>203</v>
      </c>
      <c r="KFZ20" s="314" t="s">
        <v>203</v>
      </c>
      <c r="KGA20" s="314" t="s">
        <v>203</v>
      </c>
      <c r="KGB20" s="314" t="s">
        <v>203</v>
      </c>
      <c r="KGC20" s="314" t="s">
        <v>203</v>
      </c>
      <c r="KGD20" s="314" t="s">
        <v>203</v>
      </c>
      <c r="KGE20" s="314" t="s">
        <v>203</v>
      </c>
      <c r="KGF20" s="314" t="s">
        <v>203</v>
      </c>
      <c r="KGG20" s="314" t="s">
        <v>203</v>
      </c>
      <c r="KGH20" s="314" t="s">
        <v>203</v>
      </c>
      <c r="KGI20" s="314" t="s">
        <v>203</v>
      </c>
      <c r="KGJ20" s="314" t="s">
        <v>203</v>
      </c>
      <c r="KGK20" s="314" t="s">
        <v>203</v>
      </c>
      <c r="KGL20" s="314" t="s">
        <v>203</v>
      </c>
      <c r="KGM20" s="314" t="s">
        <v>203</v>
      </c>
      <c r="KGN20" s="314" t="s">
        <v>203</v>
      </c>
      <c r="KGO20" s="314" t="s">
        <v>203</v>
      </c>
      <c r="KGP20" s="314" t="s">
        <v>203</v>
      </c>
      <c r="KGQ20" s="314" t="s">
        <v>203</v>
      </c>
      <c r="KGR20" s="314" t="s">
        <v>203</v>
      </c>
      <c r="KGS20" s="314" t="s">
        <v>203</v>
      </c>
      <c r="KGT20" s="314" t="s">
        <v>203</v>
      </c>
      <c r="KGU20" s="314" t="s">
        <v>203</v>
      </c>
      <c r="KGV20" s="314" t="s">
        <v>203</v>
      </c>
      <c r="KGW20" s="314" t="s">
        <v>203</v>
      </c>
      <c r="KGX20" s="314" t="s">
        <v>203</v>
      </c>
      <c r="KGY20" s="314" t="s">
        <v>203</v>
      </c>
      <c r="KGZ20" s="314" t="s">
        <v>203</v>
      </c>
      <c r="KHA20" s="314" t="s">
        <v>203</v>
      </c>
      <c r="KHB20" s="314" t="s">
        <v>203</v>
      </c>
      <c r="KHC20" s="314" t="s">
        <v>203</v>
      </c>
      <c r="KHD20" s="314" t="s">
        <v>203</v>
      </c>
      <c r="KHE20" s="314" t="s">
        <v>203</v>
      </c>
      <c r="KHF20" s="314" t="s">
        <v>203</v>
      </c>
      <c r="KHG20" s="314" t="s">
        <v>203</v>
      </c>
      <c r="KHH20" s="314" t="s">
        <v>203</v>
      </c>
      <c r="KHI20" s="314" t="s">
        <v>203</v>
      </c>
      <c r="KHJ20" s="314" t="s">
        <v>203</v>
      </c>
      <c r="KHK20" s="314" t="s">
        <v>203</v>
      </c>
      <c r="KHL20" s="314" t="s">
        <v>203</v>
      </c>
      <c r="KHM20" s="314" t="s">
        <v>203</v>
      </c>
      <c r="KHN20" s="314" t="s">
        <v>203</v>
      </c>
      <c r="KHO20" s="314" t="s">
        <v>203</v>
      </c>
      <c r="KHP20" s="314" t="s">
        <v>203</v>
      </c>
      <c r="KHQ20" s="314" t="s">
        <v>203</v>
      </c>
      <c r="KHR20" s="314" t="s">
        <v>203</v>
      </c>
      <c r="KHS20" s="314" t="s">
        <v>203</v>
      </c>
      <c r="KHT20" s="314" t="s">
        <v>203</v>
      </c>
      <c r="KHU20" s="314" t="s">
        <v>203</v>
      </c>
      <c r="KHV20" s="314" t="s">
        <v>203</v>
      </c>
      <c r="KHW20" s="314" t="s">
        <v>203</v>
      </c>
      <c r="KHX20" s="314" t="s">
        <v>203</v>
      </c>
      <c r="KHY20" s="314" t="s">
        <v>203</v>
      </c>
      <c r="KHZ20" s="314" t="s">
        <v>203</v>
      </c>
      <c r="KIA20" s="314" t="s">
        <v>203</v>
      </c>
      <c r="KIB20" s="314" t="s">
        <v>203</v>
      </c>
      <c r="KIC20" s="314" t="s">
        <v>203</v>
      </c>
      <c r="KID20" s="314" t="s">
        <v>203</v>
      </c>
      <c r="KIE20" s="314" t="s">
        <v>203</v>
      </c>
      <c r="KIF20" s="314" t="s">
        <v>203</v>
      </c>
      <c r="KIG20" s="314" t="s">
        <v>203</v>
      </c>
      <c r="KIH20" s="314" t="s">
        <v>203</v>
      </c>
      <c r="KII20" s="314" t="s">
        <v>203</v>
      </c>
      <c r="KIJ20" s="314" t="s">
        <v>203</v>
      </c>
      <c r="KIK20" s="314" t="s">
        <v>203</v>
      </c>
      <c r="KIL20" s="314" t="s">
        <v>203</v>
      </c>
      <c r="KIM20" s="314" t="s">
        <v>203</v>
      </c>
      <c r="KIN20" s="314" t="s">
        <v>203</v>
      </c>
      <c r="KIO20" s="314" t="s">
        <v>203</v>
      </c>
      <c r="KIP20" s="314" t="s">
        <v>203</v>
      </c>
      <c r="KIQ20" s="314" t="s">
        <v>203</v>
      </c>
      <c r="KIR20" s="314" t="s">
        <v>203</v>
      </c>
      <c r="KIS20" s="314" t="s">
        <v>203</v>
      </c>
      <c r="KIT20" s="314" t="s">
        <v>203</v>
      </c>
      <c r="KIU20" s="314" t="s">
        <v>203</v>
      </c>
      <c r="KIV20" s="314" t="s">
        <v>203</v>
      </c>
      <c r="KIW20" s="314" t="s">
        <v>203</v>
      </c>
      <c r="KIX20" s="314" t="s">
        <v>203</v>
      </c>
      <c r="KIY20" s="314" t="s">
        <v>203</v>
      </c>
      <c r="KIZ20" s="314" t="s">
        <v>203</v>
      </c>
      <c r="KJA20" s="314" t="s">
        <v>203</v>
      </c>
      <c r="KJB20" s="314" t="s">
        <v>203</v>
      </c>
      <c r="KJC20" s="314" t="s">
        <v>203</v>
      </c>
      <c r="KJD20" s="314" t="s">
        <v>203</v>
      </c>
      <c r="KJE20" s="314" t="s">
        <v>203</v>
      </c>
      <c r="KJF20" s="314" t="s">
        <v>203</v>
      </c>
      <c r="KJG20" s="314" t="s">
        <v>203</v>
      </c>
      <c r="KJH20" s="314" t="s">
        <v>203</v>
      </c>
      <c r="KJI20" s="314" t="s">
        <v>203</v>
      </c>
      <c r="KJJ20" s="314" t="s">
        <v>203</v>
      </c>
      <c r="KJK20" s="314" t="s">
        <v>203</v>
      </c>
      <c r="KJL20" s="314" t="s">
        <v>203</v>
      </c>
      <c r="KJM20" s="314" t="s">
        <v>203</v>
      </c>
      <c r="KJN20" s="314" t="s">
        <v>203</v>
      </c>
      <c r="KJO20" s="314" t="s">
        <v>203</v>
      </c>
      <c r="KJP20" s="314" t="s">
        <v>203</v>
      </c>
      <c r="KJQ20" s="314" t="s">
        <v>203</v>
      </c>
      <c r="KJR20" s="314" t="s">
        <v>203</v>
      </c>
      <c r="KJS20" s="314" t="s">
        <v>203</v>
      </c>
      <c r="KJT20" s="314" t="s">
        <v>203</v>
      </c>
      <c r="KJU20" s="314" t="s">
        <v>203</v>
      </c>
      <c r="KJV20" s="314" t="s">
        <v>203</v>
      </c>
      <c r="KJW20" s="314" t="s">
        <v>203</v>
      </c>
      <c r="KJX20" s="314" t="s">
        <v>203</v>
      </c>
      <c r="KJY20" s="314" t="s">
        <v>203</v>
      </c>
      <c r="KJZ20" s="314" t="s">
        <v>203</v>
      </c>
      <c r="KKA20" s="314" t="s">
        <v>203</v>
      </c>
      <c r="KKB20" s="314" t="s">
        <v>203</v>
      </c>
      <c r="KKC20" s="314" t="s">
        <v>203</v>
      </c>
      <c r="KKD20" s="314" t="s">
        <v>203</v>
      </c>
      <c r="KKE20" s="314" t="s">
        <v>203</v>
      </c>
      <c r="KKF20" s="314" t="s">
        <v>203</v>
      </c>
      <c r="KKG20" s="314" t="s">
        <v>203</v>
      </c>
      <c r="KKH20" s="314" t="s">
        <v>203</v>
      </c>
      <c r="KKI20" s="314" t="s">
        <v>203</v>
      </c>
      <c r="KKJ20" s="314" t="s">
        <v>203</v>
      </c>
      <c r="KKK20" s="314" t="s">
        <v>203</v>
      </c>
      <c r="KKL20" s="314" t="s">
        <v>203</v>
      </c>
      <c r="KKM20" s="314" t="s">
        <v>203</v>
      </c>
      <c r="KKN20" s="314" t="s">
        <v>203</v>
      </c>
      <c r="KKO20" s="314" t="s">
        <v>203</v>
      </c>
      <c r="KKP20" s="314" t="s">
        <v>203</v>
      </c>
      <c r="KKQ20" s="314" t="s">
        <v>203</v>
      </c>
      <c r="KKR20" s="314" t="s">
        <v>203</v>
      </c>
      <c r="KKS20" s="314" t="s">
        <v>203</v>
      </c>
      <c r="KKT20" s="314" t="s">
        <v>203</v>
      </c>
      <c r="KKU20" s="314" t="s">
        <v>203</v>
      </c>
      <c r="KKV20" s="314" t="s">
        <v>203</v>
      </c>
      <c r="KKW20" s="314" t="s">
        <v>203</v>
      </c>
      <c r="KKX20" s="314" t="s">
        <v>203</v>
      </c>
      <c r="KKY20" s="314" t="s">
        <v>203</v>
      </c>
      <c r="KKZ20" s="314" t="s">
        <v>203</v>
      </c>
      <c r="KLA20" s="314" t="s">
        <v>203</v>
      </c>
      <c r="KLB20" s="314" t="s">
        <v>203</v>
      </c>
      <c r="KLC20" s="314" t="s">
        <v>203</v>
      </c>
      <c r="KLD20" s="314" t="s">
        <v>203</v>
      </c>
      <c r="KLE20" s="314" t="s">
        <v>203</v>
      </c>
      <c r="KLF20" s="314" t="s">
        <v>203</v>
      </c>
      <c r="KLG20" s="314" t="s">
        <v>203</v>
      </c>
      <c r="KLH20" s="314" t="s">
        <v>203</v>
      </c>
      <c r="KLI20" s="314" t="s">
        <v>203</v>
      </c>
      <c r="KLJ20" s="314" t="s">
        <v>203</v>
      </c>
      <c r="KLK20" s="314" t="s">
        <v>203</v>
      </c>
      <c r="KLL20" s="314" t="s">
        <v>203</v>
      </c>
      <c r="KLM20" s="314" t="s">
        <v>203</v>
      </c>
      <c r="KLN20" s="314" t="s">
        <v>203</v>
      </c>
      <c r="KLO20" s="314" t="s">
        <v>203</v>
      </c>
      <c r="KLP20" s="314" t="s">
        <v>203</v>
      </c>
      <c r="KLQ20" s="314" t="s">
        <v>203</v>
      </c>
      <c r="KLR20" s="314" t="s">
        <v>203</v>
      </c>
      <c r="KLS20" s="314" t="s">
        <v>203</v>
      </c>
      <c r="KLT20" s="314" t="s">
        <v>203</v>
      </c>
      <c r="KLU20" s="314" t="s">
        <v>203</v>
      </c>
      <c r="KLV20" s="314" t="s">
        <v>203</v>
      </c>
      <c r="KLW20" s="314" t="s">
        <v>203</v>
      </c>
      <c r="KLX20" s="314" t="s">
        <v>203</v>
      </c>
      <c r="KLY20" s="314" t="s">
        <v>203</v>
      </c>
      <c r="KLZ20" s="314" t="s">
        <v>203</v>
      </c>
      <c r="KMA20" s="314" t="s">
        <v>203</v>
      </c>
      <c r="KMB20" s="314" t="s">
        <v>203</v>
      </c>
      <c r="KMC20" s="314" t="s">
        <v>203</v>
      </c>
      <c r="KMD20" s="314" t="s">
        <v>203</v>
      </c>
      <c r="KME20" s="314" t="s">
        <v>203</v>
      </c>
      <c r="KMF20" s="314" t="s">
        <v>203</v>
      </c>
      <c r="KMG20" s="314" t="s">
        <v>203</v>
      </c>
      <c r="KMH20" s="314" t="s">
        <v>203</v>
      </c>
      <c r="KMI20" s="314" t="s">
        <v>203</v>
      </c>
      <c r="KMJ20" s="314" t="s">
        <v>203</v>
      </c>
      <c r="KMK20" s="314" t="s">
        <v>203</v>
      </c>
      <c r="KML20" s="314" t="s">
        <v>203</v>
      </c>
      <c r="KMM20" s="314" t="s">
        <v>203</v>
      </c>
      <c r="KMN20" s="314" t="s">
        <v>203</v>
      </c>
      <c r="KMO20" s="314" t="s">
        <v>203</v>
      </c>
      <c r="KMP20" s="314" t="s">
        <v>203</v>
      </c>
      <c r="KMQ20" s="314" t="s">
        <v>203</v>
      </c>
      <c r="KMR20" s="314" t="s">
        <v>203</v>
      </c>
      <c r="KMS20" s="314" t="s">
        <v>203</v>
      </c>
      <c r="KMT20" s="314" t="s">
        <v>203</v>
      </c>
      <c r="KMU20" s="314" t="s">
        <v>203</v>
      </c>
      <c r="KMV20" s="314" t="s">
        <v>203</v>
      </c>
      <c r="KMW20" s="314" t="s">
        <v>203</v>
      </c>
      <c r="KMX20" s="314" t="s">
        <v>203</v>
      </c>
      <c r="KMY20" s="314" t="s">
        <v>203</v>
      </c>
      <c r="KMZ20" s="314" t="s">
        <v>203</v>
      </c>
      <c r="KNA20" s="314" t="s">
        <v>203</v>
      </c>
      <c r="KNB20" s="314" t="s">
        <v>203</v>
      </c>
      <c r="KNC20" s="314" t="s">
        <v>203</v>
      </c>
      <c r="KND20" s="314" t="s">
        <v>203</v>
      </c>
      <c r="KNE20" s="314" t="s">
        <v>203</v>
      </c>
      <c r="KNF20" s="314" t="s">
        <v>203</v>
      </c>
      <c r="KNG20" s="314" t="s">
        <v>203</v>
      </c>
      <c r="KNH20" s="314" t="s">
        <v>203</v>
      </c>
      <c r="KNI20" s="314" t="s">
        <v>203</v>
      </c>
      <c r="KNJ20" s="314" t="s">
        <v>203</v>
      </c>
      <c r="KNK20" s="314" t="s">
        <v>203</v>
      </c>
      <c r="KNL20" s="314" t="s">
        <v>203</v>
      </c>
      <c r="KNM20" s="314" t="s">
        <v>203</v>
      </c>
      <c r="KNN20" s="314" t="s">
        <v>203</v>
      </c>
      <c r="KNO20" s="314" t="s">
        <v>203</v>
      </c>
      <c r="KNP20" s="314" t="s">
        <v>203</v>
      </c>
      <c r="KNQ20" s="314" t="s">
        <v>203</v>
      </c>
      <c r="KNR20" s="314" t="s">
        <v>203</v>
      </c>
      <c r="KNS20" s="314" t="s">
        <v>203</v>
      </c>
      <c r="KNT20" s="314" t="s">
        <v>203</v>
      </c>
      <c r="KNU20" s="314" t="s">
        <v>203</v>
      </c>
      <c r="KNV20" s="314" t="s">
        <v>203</v>
      </c>
      <c r="KNW20" s="314" t="s">
        <v>203</v>
      </c>
      <c r="KNX20" s="314" t="s">
        <v>203</v>
      </c>
      <c r="KNY20" s="314" t="s">
        <v>203</v>
      </c>
      <c r="KNZ20" s="314" t="s">
        <v>203</v>
      </c>
      <c r="KOA20" s="314" t="s">
        <v>203</v>
      </c>
      <c r="KOB20" s="314" t="s">
        <v>203</v>
      </c>
      <c r="KOC20" s="314" t="s">
        <v>203</v>
      </c>
      <c r="KOD20" s="314" t="s">
        <v>203</v>
      </c>
      <c r="KOE20" s="314" t="s">
        <v>203</v>
      </c>
      <c r="KOF20" s="314" t="s">
        <v>203</v>
      </c>
      <c r="KOG20" s="314" t="s">
        <v>203</v>
      </c>
      <c r="KOH20" s="314" t="s">
        <v>203</v>
      </c>
      <c r="KOI20" s="314" t="s">
        <v>203</v>
      </c>
      <c r="KOJ20" s="314" t="s">
        <v>203</v>
      </c>
      <c r="KOK20" s="314" t="s">
        <v>203</v>
      </c>
      <c r="KOL20" s="314" t="s">
        <v>203</v>
      </c>
      <c r="KOM20" s="314" t="s">
        <v>203</v>
      </c>
      <c r="KON20" s="314" t="s">
        <v>203</v>
      </c>
      <c r="KOO20" s="314" t="s">
        <v>203</v>
      </c>
      <c r="KOP20" s="314" t="s">
        <v>203</v>
      </c>
      <c r="KOQ20" s="314" t="s">
        <v>203</v>
      </c>
      <c r="KOR20" s="314" t="s">
        <v>203</v>
      </c>
      <c r="KOS20" s="314" t="s">
        <v>203</v>
      </c>
      <c r="KOT20" s="314" t="s">
        <v>203</v>
      </c>
      <c r="KOU20" s="314" t="s">
        <v>203</v>
      </c>
      <c r="KOV20" s="314" t="s">
        <v>203</v>
      </c>
      <c r="KOW20" s="314" t="s">
        <v>203</v>
      </c>
      <c r="KOX20" s="314" t="s">
        <v>203</v>
      </c>
      <c r="KOY20" s="314" t="s">
        <v>203</v>
      </c>
      <c r="KOZ20" s="314" t="s">
        <v>203</v>
      </c>
      <c r="KPA20" s="314" t="s">
        <v>203</v>
      </c>
      <c r="KPB20" s="314" t="s">
        <v>203</v>
      </c>
      <c r="KPC20" s="314" t="s">
        <v>203</v>
      </c>
      <c r="KPD20" s="314" t="s">
        <v>203</v>
      </c>
      <c r="KPE20" s="314" t="s">
        <v>203</v>
      </c>
      <c r="KPF20" s="314" t="s">
        <v>203</v>
      </c>
      <c r="KPG20" s="314" t="s">
        <v>203</v>
      </c>
      <c r="KPH20" s="314" t="s">
        <v>203</v>
      </c>
      <c r="KPI20" s="314" t="s">
        <v>203</v>
      </c>
      <c r="KPJ20" s="314" t="s">
        <v>203</v>
      </c>
      <c r="KPK20" s="314" t="s">
        <v>203</v>
      </c>
      <c r="KPL20" s="314" t="s">
        <v>203</v>
      </c>
      <c r="KPM20" s="314" t="s">
        <v>203</v>
      </c>
      <c r="KPN20" s="314" t="s">
        <v>203</v>
      </c>
      <c r="KPO20" s="314" t="s">
        <v>203</v>
      </c>
      <c r="KPP20" s="314" t="s">
        <v>203</v>
      </c>
      <c r="KPQ20" s="314" t="s">
        <v>203</v>
      </c>
      <c r="KPR20" s="314" t="s">
        <v>203</v>
      </c>
      <c r="KPS20" s="314" t="s">
        <v>203</v>
      </c>
      <c r="KPT20" s="314" t="s">
        <v>203</v>
      </c>
      <c r="KPU20" s="314" t="s">
        <v>203</v>
      </c>
      <c r="KPV20" s="314" t="s">
        <v>203</v>
      </c>
      <c r="KPW20" s="314" t="s">
        <v>203</v>
      </c>
      <c r="KPX20" s="314" t="s">
        <v>203</v>
      </c>
      <c r="KPY20" s="314" t="s">
        <v>203</v>
      </c>
      <c r="KPZ20" s="314" t="s">
        <v>203</v>
      </c>
      <c r="KQA20" s="314" t="s">
        <v>203</v>
      </c>
      <c r="KQB20" s="314" t="s">
        <v>203</v>
      </c>
      <c r="KQC20" s="314" t="s">
        <v>203</v>
      </c>
      <c r="KQD20" s="314" t="s">
        <v>203</v>
      </c>
      <c r="KQE20" s="314" t="s">
        <v>203</v>
      </c>
      <c r="KQF20" s="314" t="s">
        <v>203</v>
      </c>
      <c r="KQG20" s="314" t="s">
        <v>203</v>
      </c>
      <c r="KQH20" s="314" t="s">
        <v>203</v>
      </c>
      <c r="KQI20" s="314" t="s">
        <v>203</v>
      </c>
      <c r="KQJ20" s="314" t="s">
        <v>203</v>
      </c>
      <c r="KQK20" s="314" t="s">
        <v>203</v>
      </c>
      <c r="KQL20" s="314" t="s">
        <v>203</v>
      </c>
      <c r="KQM20" s="314" t="s">
        <v>203</v>
      </c>
      <c r="KQN20" s="314" t="s">
        <v>203</v>
      </c>
      <c r="KQO20" s="314" t="s">
        <v>203</v>
      </c>
      <c r="KQP20" s="314" t="s">
        <v>203</v>
      </c>
      <c r="KQQ20" s="314" t="s">
        <v>203</v>
      </c>
      <c r="KQR20" s="314" t="s">
        <v>203</v>
      </c>
      <c r="KQS20" s="314" t="s">
        <v>203</v>
      </c>
      <c r="KQT20" s="314" t="s">
        <v>203</v>
      </c>
      <c r="KQU20" s="314" t="s">
        <v>203</v>
      </c>
      <c r="KQV20" s="314" t="s">
        <v>203</v>
      </c>
      <c r="KQW20" s="314" t="s">
        <v>203</v>
      </c>
      <c r="KQX20" s="314" t="s">
        <v>203</v>
      </c>
      <c r="KQY20" s="314" t="s">
        <v>203</v>
      </c>
      <c r="KQZ20" s="314" t="s">
        <v>203</v>
      </c>
      <c r="KRA20" s="314" t="s">
        <v>203</v>
      </c>
      <c r="KRB20" s="314" t="s">
        <v>203</v>
      </c>
      <c r="KRC20" s="314" t="s">
        <v>203</v>
      </c>
      <c r="KRD20" s="314" t="s">
        <v>203</v>
      </c>
      <c r="KRE20" s="314" t="s">
        <v>203</v>
      </c>
      <c r="KRF20" s="314" t="s">
        <v>203</v>
      </c>
      <c r="KRG20" s="314" t="s">
        <v>203</v>
      </c>
      <c r="KRH20" s="314" t="s">
        <v>203</v>
      </c>
      <c r="KRI20" s="314" t="s">
        <v>203</v>
      </c>
      <c r="KRJ20" s="314" t="s">
        <v>203</v>
      </c>
      <c r="KRK20" s="314" t="s">
        <v>203</v>
      </c>
      <c r="KRL20" s="314" t="s">
        <v>203</v>
      </c>
      <c r="KRM20" s="314" t="s">
        <v>203</v>
      </c>
      <c r="KRN20" s="314" t="s">
        <v>203</v>
      </c>
      <c r="KRO20" s="314" t="s">
        <v>203</v>
      </c>
      <c r="KRP20" s="314" t="s">
        <v>203</v>
      </c>
      <c r="KRQ20" s="314" t="s">
        <v>203</v>
      </c>
      <c r="KRR20" s="314" t="s">
        <v>203</v>
      </c>
      <c r="KRS20" s="314" t="s">
        <v>203</v>
      </c>
      <c r="KRT20" s="314" t="s">
        <v>203</v>
      </c>
      <c r="KRU20" s="314" t="s">
        <v>203</v>
      </c>
      <c r="KRV20" s="314" t="s">
        <v>203</v>
      </c>
      <c r="KRW20" s="314" t="s">
        <v>203</v>
      </c>
      <c r="KRX20" s="314" t="s">
        <v>203</v>
      </c>
      <c r="KRY20" s="314" t="s">
        <v>203</v>
      </c>
      <c r="KRZ20" s="314" t="s">
        <v>203</v>
      </c>
      <c r="KSA20" s="314" t="s">
        <v>203</v>
      </c>
      <c r="KSB20" s="314" t="s">
        <v>203</v>
      </c>
      <c r="KSC20" s="314" t="s">
        <v>203</v>
      </c>
      <c r="KSD20" s="314" t="s">
        <v>203</v>
      </c>
      <c r="KSE20" s="314" t="s">
        <v>203</v>
      </c>
      <c r="KSF20" s="314" t="s">
        <v>203</v>
      </c>
      <c r="KSG20" s="314" t="s">
        <v>203</v>
      </c>
      <c r="KSH20" s="314" t="s">
        <v>203</v>
      </c>
      <c r="KSI20" s="314" t="s">
        <v>203</v>
      </c>
      <c r="KSJ20" s="314" t="s">
        <v>203</v>
      </c>
      <c r="KSK20" s="314" t="s">
        <v>203</v>
      </c>
      <c r="KSL20" s="314" t="s">
        <v>203</v>
      </c>
      <c r="KSM20" s="314" t="s">
        <v>203</v>
      </c>
      <c r="KSN20" s="314" t="s">
        <v>203</v>
      </c>
      <c r="KSO20" s="314" t="s">
        <v>203</v>
      </c>
      <c r="KSP20" s="314" t="s">
        <v>203</v>
      </c>
      <c r="KSQ20" s="314" t="s">
        <v>203</v>
      </c>
      <c r="KSR20" s="314" t="s">
        <v>203</v>
      </c>
      <c r="KSS20" s="314" t="s">
        <v>203</v>
      </c>
      <c r="KST20" s="314" t="s">
        <v>203</v>
      </c>
      <c r="KSU20" s="314" t="s">
        <v>203</v>
      </c>
      <c r="KSV20" s="314" t="s">
        <v>203</v>
      </c>
      <c r="KSW20" s="314" t="s">
        <v>203</v>
      </c>
      <c r="KSX20" s="314" t="s">
        <v>203</v>
      </c>
      <c r="KSY20" s="314" t="s">
        <v>203</v>
      </c>
      <c r="KSZ20" s="314" t="s">
        <v>203</v>
      </c>
      <c r="KTA20" s="314" t="s">
        <v>203</v>
      </c>
      <c r="KTB20" s="314" t="s">
        <v>203</v>
      </c>
      <c r="KTC20" s="314" t="s">
        <v>203</v>
      </c>
      <c r="KTD20" s="314" t="s">
        <v>203</v>
      </c>
      <c r="KTE20" s="314" t="s">
        <v>203</v>
      </c>
      <c r="KTF20" s="314" t="s">
        <v>203</v>
      </c>
      <c r="KTG20" s="314" t="s">
        <v>203</v>
      </c>
      <c r="KTH20" s="314" t="s">
        <v>203</v>
      </c>
      <c r="KTI20" s="314" t="s">
        <v>203</v>
      </c>
      <c r="KTJ20" s="314" t="s">
        <v>203</v>
      </c>
      <c r="KTK20" s="314" t="s">
        <v>203</v>
      </c>
      <c r="KTL20" s="314" t="s">
        <v>203</v>
      </c>
      <c r="KTM20" s="314" t="s">
        <v>203</v>
      </c>
      <c r="KTN20" s="314" t="s">
        <v>203</v>
      </c>
      <c r="KTO20" s="314" t="s">
        <v>203</v>
      </c>
      <c r="KTP20" s="314" t="s">
        <v>203</v>
      </c>
      <c r="KTQ20" s="314" t="s">
        <v>203</v>
      </c>
      <c r="KTR20" s="314" t="s">
        <v>203</v>
      </c>
      <c r="KTS20" s="314" t="s">
        <v>203</v>
      </c>
      <c r="KTT20" s="314" t="s">
        <v>203</v>
      </c>
      <c r="KTU20" s="314" t="s">
        <v>203</v>
      </c>
      <c r="KTV20" s="314" t="s">
        <v>203</v>
      </c>
      <c r="KTW20" s="314" t="s">
        <v>203</v>
      </c>
      <c r="KTX20" s="314" t="s">
        <v>203</v>
      </c>
      <c r="KTY20" s="314" t="s">
        <v>203</v>
      </c>
      <c r="KTZ20" s="314" t="s">
        <v>203</v>
      </c>
      <c r="KUA20" s="314" t="s">
        <v>203</v>
      </c>
      <c r="KUB20" s="314" t="s">
        <v>203</v>
      </c>
      <c r="KUC20" s="314" t="s">
        <v>203</v>
      </c>
      <c r="KUD20" s="314" t="s">
        <v>203</v>
      </c>
      <c r="KUE20" s="314" t="s">
        <v>203</v>
      </c>
      <c r="KUF20" s="314" t="s">
        <v>203</v>
      </c>
      <c r="KUG20" s="314" t="s">
        <v>203</v>
      </c>
      <c r="KUH20" s="314" t="s">
        <v>203</v>
      </c>
      <c r="KUI20" s="314" t="s">
        <v>203</v>
      </c>
      <c r="KUJ20" s="314" t="s">
        <v>203</v>
      </c>
      <c r="KUK20" s="314" t="s">
        <v>203</v>
      </c>
      <c r="KUL20" s="314" t="s">
        <v>203</v>
      </c>
      <c r="KUM20" s="314" t="s">
        <v>203</v>
      </c>
      <c r="KUN20" s="314" t="s">
        <v>203</v>
      </c>
      <c r="KUO20" s="314" t="s">
        <v>203</v>
      </c>
      <c r="KUP20" s="314" t="s">
        <v>203</v>
      </c>
      <c r="KUQ20" s="314" t="s">
        <v>203</v>
      </c>
      <c r="KUR20" s="314" t="s">
        <v>203</v>
      </c>
      <c r="KUS20" s="314" t="s">
        <v>203</v>
      </c>
      <c r="KUT20" s="314" t="s">
        <v>203</v>
      </c>
      <c r="KUU20" s="314" t="s">
        <v>203</v>
      </c>
      <c r="KUV20" s="314" t="s">
        <v>203</v>
      </c>
      <c r="KUW20" s="314" t="s">
        <v>203</v>
      </c>
      <c r="KUX20" s="314" t="s">
        <v>203</v>
      </c>
      <c r="KUY20" s="314" t="s">
        <v>203</v>
      </c>
      <c r="KUZ20" s="314" t="s">
        <v>203</v>
      </c>
      <c r="KVA20" s="314" t="s">
        <v>203</v>
      </c>
      <c r="KVB20" s="314" t="s">
        <v>203</v>
      </c>
      <c r="KVC20" s="314" t="s">
        <v>203</v>
      </c>
      <c r="KVD20" s="314" t="s">
        <v>203</v>
      </c>
      <c r="KVE20" s="314" t="s">
        <v>203</v>
      </c>
      <c r="KVF20" s="314" t="s">
        <v>203</v>
      </c>
      <c r="KVG20" s="314" t="s">
        <v>203</v>
      </c>
      <c r="KVH20" s="314" t="s">
        <v>203</v>
      </c>
      <c r="KVI20" s="314" t="s">
        <v>203</v>
      </c>
      <c r="KVJ20" s="314" t="s">
        <v>203</v>
      </c>
      <c r="KVK20" s="314" t="s">
        <v>203</v>
      </c>
      <c r="KVL20" s="314" t="s">
        <v>203</v>
      </c>
      <c r="KVM20" s="314" t="s">
        <v>203</v>
      </c>
      <c r="KVN20" s="314" t="s">
        <v>203</v>
      </c>
      <c r="KVO20" s="314" t="s">
        <v>203</v>
      </c>
      <c r="KVP20" s="314" t="s">
        <v>203</v>
      </c>
      <c r="KVQ20" s="314" t="s">
        <v>203</v>
      </c>
      <c r="KVR20" s="314" t="s">
        <v>203</v>
      </c>
      <c r="KVS20" s="314" t="s">
        <v>203</v>
      </c>
      <c r="KVT20" s="314" t="s">
        <v>203</v>
      </c>
      <c r="KVU20" s="314" t="s">
        <v>203</v>
      </c>
      <c r="KVV20" s="314" t="s">
        <v>203</v>
      </c>
      <c r="KVW20" s="314" t="s">
        <v>203</v>
      </c>
      <c r="KVX20" s="314" t="s">
        <v>203</v>
      </c>
      <c r="KVY20" s="314" t="s">
        <v>203</v>
      </c>
      <c r="KVZ20" s="314" t="s">
        <v>203</v>
      </c>
      <c r="KWA20" s="314" t="s">
        <v>203</v>
      </c>
      <c r="KWB20" s="314" t="s">
        <v>203</v>
      </c>
      <c r="KWC20" s="314" t="s">
        <v>203</v>
      </c>
      <c r="KWD20" s="314" t="s">
        <v>203</v>
      </c>
      <c r="KWE20" s="314" t="s">
        <v>203</v>
      </c>
      <c r="KWF20" s="314" t="s">
        <v>203</v>
      </c>
      <c r="KWG20" s="314" t="s">
        <v>203</v>
      </c>
      <c r="KWH20" s="314" t="s">
        <v>203</v>
      </c>
      <c r="KWI20" s="314" t="s">
        <v>203</v>
      </c>
      <c r="KWJ20" s="314" t="s">
        <v>203</v>
      </c>
      <c r="KWK20" s="314" t="s">
        <v>203</v>
      </c>
      <c r="KWL20" s="314" t="s">
        <v>203</v>
      </c>
      <c r="KWM20" s="314" t="s">
        <v>203</v>
      </c>
      <c r="KWN20" s="314" t="s">
        <v>203</v>
      </c>
      <c r="KWO20" s="314" t="s">
        <v>203</v>
      </c>
      <c r="KWP20" s="314" t="s">
        <v>203</v>
      </c>
      <c r="KWQ20" s="314" t="s">
        <v>203</v>
      </c>
      <c r="KWR20" s="314" t="s">
        <v>203</v>
      </c>
      <c r="KWS20" s="314" t="s">
        <v>203</v>
      </c>
      <c r="KWT20" s="314" t="s">
        <v>203</v>
      </c>
      <c r="KWU20" s="314" t="s">
        <v>203</v>
      </c>
      <c r="KWV20" s="314" t="s">
        <v>203</v>
      </c>
      <c r="KWW20" s="314" t="s">
        <v>203</v>
      </c>
      <c r="KWX20" s="314" t="s">
        <v>203</v>
      </c>
      <c r="KWY20" s="314" t="s">
        <v>203</v>
      </c>
      <c r="KWZ20" s="314" t="s">
        <v>203</v>
      </c>
      <c r="KXA20" s="314" t="s">
        <v>203</v>
      </c>
      <c r="KXB20" s="314" t="s">
        <v>203</v>
      </c>
      <c r="KXC20" s="314" t="s">
        <v>203</v>
      </c>
      <c r="KXD20" s="314" t="s">
        <v>203</v>
      </c>
      <c r="KXE20" s="314" t="s">
        <v>203</v>
      </c>
      <c r="KXF20" s="314" t="s">
        <v>203</v>
      </c>
      <c r="KXG20" s="314" t="s">
        <v>203</v>
      </c>
      <c r="KXH20" s="314" t="s">
        <v>203</v>
      </c>
      <c r="KXI20" s="314" t="s">
        <v>203</v>
      </c>
      <c r="KXJ20" s="314" t="s">
        <v>203</v>
      </c>
      <c r="KXK20" s="314" t="s">
        <v>203</v>
      </c>
      <c r="KXL20" s="314" t="s">
        <v>203</v>
      </c>
      <c r="KXM20" s="314" t="s">
        <v>203</v>
      </c>
      <c r="KXN20" s="314" t="s">
        <v>203</v>
      </c>
      <c r="KXO20" s="314" t="s">
        <v>203</v>
      </c>
      <c r="KXP20" s="314" t="s">
        <v>203</v>
      </c>
      <c r="KXQ20" s="314" t="s">
        <v>203</v>
      </c>
      <c r="KXR20" s="314" t="s">
        <v>203</v>
      </c>
      <c r="KXS20" s="314" t="s">
        <v>203</v>
      </c>
      <c r="KXT20" s="314" t="s">
        <v>203</v>
      </c>
      <c r="KXU20" s="314" t="s">
        <v>203</v>
      </c>
      <c r="KXV20" s="314" t="s">
        <v>203</v>
      </c>
      <c r="KXW20" s="314" t="s">
        <v>203</v>
      </c>
      <c r="KXX20" s="314" t="s">
        <v>203</v>
      </c>
      <c r="KXY20" s="314" t="s">
        <v>203</v>
      </c>
      <c r="KXZ20" s="314" t="s">
        <v>203</v>
      </c>
      <c r="KYA20" s="314" t="s">
        <v>203</v>
      </c>
      <c r="KYB20" s="314" t="s">
        <v>203</v>
      </c>
      <c r="KYC20" s="314" t="s">
        <v>203</v>
      </c>
      <c r="KYD20" s="314" t="s">
        <v>203</v>
      </c>
      <c r="KYE20" s="314" t="s">
        <v>203</v>
      </c>
      <c r="KYF20" s="314" t="s">
        <v>203</v>
      </c>
      <c r="KYG20" s="314" t="s">
        <v>203</v>
      </c>
      <c r="KYH20" s="314" t="s">
        <v>203</v>
      </c>
      <c r="KYI20" s="314" t="s">
        <v>203</v>
      </c>
      <c r="KYJ20" s="314" t="s">
        <v>203</v>
      </c>
      <c r="KYK20" s="314" t="s">
        <v>203</v>
      </c>
      <c r="KYL20" s="314" t="s">
        <v>203</v>
      </c>
      <c r="KYM20" s="314" t="s">
        <v>203</v>
      </c>
      <c r="KYN20" s="314" t="s">
        <v>203</v>
      </c>
      <c r="KYO20" s="314" t="s">
        <v>203</v>
      </c>
      <c r="KYP20" s="314" t="s">
        <v>203</v>
      </c>
      <c r="KYQ20" s="314" t="s">
        <v>203</v>
      </c>
      <c r="KYR20" s="314" t="s">
        <v>203</v>
      </c>
      <c r="KYS20" s="314" t="s">
        <v>203</v>
      </c>
      <c r="KYT20" s="314" t="s">
        <v>203</v>
      </c>
      <c r="KYU20" s="314" t="s">
        <v>203</v>
      </c>
      <c r="KYV20" s="314" t="s">
        <v>203</v>
      </c>
      <c r="KYW20" s="314" t="s">
        <v>203</v>
      </c>
      <c r="KYX20" s="314" t="s">
        <v>203</v>
      </c>
      <c r="KYY20" s="314" t="s">
        <v>203</v>
      </c>
      <c r="KYZ20" s="314" t="s">
        <v>203</v>
      </c>
      <c r="KZA20" s="314" t="s">
        <v>203</v>
      </c>
      <c r="KZB20" s="314" t="s">
        <v>203</v>
      </c>
      <c r="KZC20" s="314" t="s">
        <v>203</v>
      </c>
      <c r="KZD20" s="314" t="s">
        <v>203</v>
      </c>
      <c r="KZE20" s="314" t="s">
        <v>203</v>
      </c>
      <c r="KZF20" s="314" t="s">
        <v>203</v>
      </c>
      <c r="KZG20" s="314" t="s">
        <v>203</v>
      </c>
      <c r="KZH20" s="314" t="s">
        <v>203</v>
      </c>
      <c r="KZI20" s="314" t="s">
        <v>203</v>
      </c>
      <c r="KZJ20" s="314" t="s">
        <v>203</v>
      </c>
      <c r="KZK20" s="314" t="s">
        <v>203</v>
      </c>
      <c r="KZL20" s="314" t="s">
        <v>203</v>
      </c>
      <c r="KZM20" s="314" t="s">
        <v>203</v>
      </c>
      <c r="KZN20" s="314" t="s">
        <v>203</v>
      </c>
      <c r="KZO20" s="314" t="s">
        <v>203</v>
      </c>
      <c r="KZP20" s="314" t="s">
        <v>203</v>
      </c>
      <c r="KZQ20" s="314" t="s">
        <v>203</v>
      </c>
      <c r="KZR20" s="314" t="s">
        <v>203</v>
      </c>
      <c r="KZS20" s="314" t="s">
        <v>203</v>
      </c>
      <c r="KZT20" s="314" t="s">
        <v>203</v>
      </c>
      <c r="KZU20" s="314" t="s">
        <v>203</v>
      </c>
      <c r="KZV20" s="314" t="s">
        <v>203</v>
      </c>
      <c r="KZW20" s="314" t="s">
        <v>203</v>
      </c>
      <c r="KZX20" s="314" t="s">
        <v>203</v>
      </c>
      <c r="KZY20" s="314" t="s">
        <v>203</v>
      </c>
      <c r="KZZ20" s="314" t="s">
        <v>203</v>
      </c>
      <c r="LAA20" s="314" t="s">
        <v>203</v>
      </c>
      <c r="LAB20" s="314" t="s">
        <v>203</v>
      </c>
      <c r="LAC20" s="314" t="s">
        <v>203</v>
      </c>
      <c r="LAD20" s="314" t="s">
        <v>203</v>
      </c>
      <c r="LAE20" s="314" t="s">
        <v>203</v>
      </c>
      <c r="LAF20" s="314" t="s">
        <v>203</v>
      </c>
      <c r="LAG20" s="314" t="s">
        <v>203</v>
      </c>
      <c r="LAH20" s="314" t="s">
        <v>203</v>
      </c>
      <c r="LAI20" s="314" t="s">
        <v>203</v>
      </c>
      <c r="LAJ20" s="314" t="s">
        <v>203</v>
      </c>
      <c r="LAK20" s="314" t="s">
        <v>203</v>
      </c>
      <c r="LAL20" s="314" t="s">
        <v>203</v>
      </c>
      <c r="LAM20" s="314" t="s">
        <v>203</v>
      </c>
      <c r="LAN20" s="314" t="s">
        <v>203</v>
      </c>
      <c r="LAO20" s="314" t="s">
        <v>203</v>
      </c>
      <c r="LAP20" s="314" t="s">
        <v>203</v>
      </c>
      <c r="LAQ20" s="314" t="s">
        <v>203</v>
      </c>
      <c r="LAR20" s="314" t="s">
        <v>203</v>
      </c>
      <c r="LAS20" s="314" t="s">
        <v>203</v>
      </c>
      <c r="LAT20" s="314" t="s">
        <v>203</v>
      </c>
      <c r="LAU20" s="314" t="s">
        <v>203</v>
      </c>
      <c r="LAV20" s="314" t="s">
        <v>203</v>
      </c>
      <c r="LAW20" s="314" t="s">
        <v>203</v>
      </c>
      <c r="LAX20" s="314" t="s">
        <v>203</v>
      </c>
      <c r="LAY20" s="314" t="s">
        <v>203</v>
      </c>
      <c r="LAZ20" s="314" t="s">
        <v>203</v>
      </c>
      <c r="LBA20" s="314" t="s">
        <v>203</v>
      </c>
      <c r="LBB20" s="314" t="s">
        <v>203</v>
      </c>
      <c r="LBC20" s="314" t="s">
        <v>203</v>
      </c>
      <c r="LBD20" s="314" t="s">
        <v>203</v>
      </c>
      <c r="LBE20" s="314" t="s">
        <v>203</v>
      </c>
      <c r="LBF20" s="314" t="s">
        <v>203</v>
      </c>
      <c r="LBG20" s="314" t="s">
        <v>203</v>
      </c>
      <c r="LBH20" s="314" t="s">
        <v>203</v>
      </c>
      <c r="LBI20" s="314" t="s">
        <v>203</v>
      </c>
      <c r="LBJ20" s="314" t="s">
        <v>203</v>
      </c>
      <c r="LBK20" s="314" t="s">
        <v>203</v>
      </c>
      <c r="LBL20" s="314" t="s">
        <v>203</v>
      </c>
      <c r="LBM20" s="314" t="s">
        <v>203</v>
      </c>
      <c r="LBN20" s="314" t="s">
        <v>203</v>
      </c>
      <c r="LBO20" s="314" t="s">
        <v>203</v>
      </c>
      <c r="LBP20" s="314" t="s">
        <v>203</v>
      </c>
      <c r="LBQ20" s="314" t="s">
        <v>203</v>
      </c>
      <c r="LBR20" s="314" t="s">
        <v>203</v>
      </c>
      <c r="LBS20" s="314" t="s">
        <v>203</v>
      </c>
      <c r="LBT20" s="314" t="s">
        <v>203</v>
      </c>
      <c r="LBU20" s="314" t="s">
        <v>203</v>
      </c>
      <c r="LBV20" s="314" t="s">
        <v>203</v>
      </c>
      <c r="LBW20" s="314" t="s">
        <v>203</v>
      </c>
      <c r="LBX20" s="314" t="s">
        <v>203</v>
      </c>
      <c r="LBY20" s="314" t="s">
        <v>203</v>
      </c>
      <c r="LBZ20" s="314" t="s">
        <v>203</v>
      </c>
      <c r="LCA20" s="314" t="s">
        <v>203</v>
      </c>
      <c r="LCB20" s="314" t="s">
        <v>203</v>
      </c>
      <c r="LCC20" s="314" t="s">
        <v>203</v>
      </c>
      <c r="LCD20" s="314" t="s">
        <v>203</v>
      </c>
      <c r="LCE20" s="314" t="s">
        <v>203</v>
      </c>
      <c r="LCF20" s="314" t="s">
        <v>203</v>
      </c>
      <c r="LCG20" s="314" t="s">
        <v>203</v>
      </c>
      <c r="LCH20" s="314" t="s">
        <v>203</v>
      </c>
      <c r="LCI20" s="314" t="s">
        <v>203</v>
      </c>
      <c r="LCJ20" s="314" t="s">
        <v>203</v>
      </c>
      <c r="LCK20" s="314" t="s">
        <v>203</v>
      </c>
      <c r="LCL20" s="314" t="s">
        <v>203</v>
      </c>
      <c r="LCM20" s="314" t="s">
        <v>203</v>
      </c>
      <c r="LCN20" s="314" t="s">
        <v>203</v>
      </c>
      <c r="LCO20" s="314" t="s">
        <v>203</v>
      </c>
      <c r="LCP20" s="314" t="s">
        <v>203</v>
      </c>
      <c r="LCQ20" s="314" t="s">
        <v>203</v>
      </c>
      <c r="LCR20" s="314" t="s">
        <v>203</v>
      </c>
      <c r="LCS20" s="314" t="s">
        <v>203</v>
      </c>
      <c r="LCT20" s="314" t="s">
        <v>203</v>
      </c>
      <c r="LCU20" s="314" t="s">
        <v>203</v>
      </c>
      <c r="LCV20" s="314" t="s">
        <v>203</v>
      </c>
      <c r="LCW20" s="314" t="s">
        <v>203</v>
      </c>
      <c r="LCX20" s="314" t="s">
        <v>203</v>
      </c>
      <c r="LCY20" s="314" t="s">
        <v>203</v>
      </c>
      <c r="LCZ20" s="314" t="s">
        <v>203</v>
      </c>
      <c r="LDA20" s="314" t="s">
        <v>203</v>
      </c>
      <c r="LDB20" s="314" t="s">
        <v>203</v>
      </c>
      <c r="LDC20" s="314" t="s">
        <v>203</v>
      </c>
      <c r="LDD20" s="314" t="s">
        <v>203</v>
      </c>
      <c r="LDE20" s="314" t="s">
        <v>203</v>
      </c>
      <c r="LDF20" s="314" t="s">
        <v>203</v>
      </c>
      <c r="LDG20" s="314" t="s">
        <v>203</v>
      </c>
      <c r="LDH20" s="314" t="s">
        <v>203</v>
      </c>
      <c r="LDI20" s="314" t="s">
        <v>203</v>
      </c>
      <c r="LDJ20" s="314" t="s">
        <v>203</v>
      </c>
      <c r="LDK20" s="314" t="s">
        <v>203</v>
      </c>
      <c r="LDL20" s="314" t="s">
        <v>203</v>
      </c>
      <c r="LDM20" s="314" t="s">
        <v>203</v>
      </c>
      <c r="LDN20" s="314" t="s">
        <v>203</v>
      </c>
      <c r="LDO20" s="314" t="s">
        <v>203</v>
      </c>
      <c r="LDP20" s="314" t="s">
        <v>203</v>
      </c>
      <c r="LDQ20" s="314" t="s">
        <v>203</v>
      </c>
      <c r="LDR20" s="314" t="s">
        <v>203</v>
      </c>
      <c r="LDS20" s="314" t="s">
        <v>203</v>
      </c>
      <c r="LDT20" s="314" t="s">
        <v>203</v>
      </c>
      <c r="LDU20" s="314" t="s">
        <v>203</v>
      </c>
      <c r="LDV20" s="314" t="s">
        <v>203</v>
      </c>
      <c r="LDW20" s="314" t="s">
        <v>203</v>
      </c>
      <c r="LDX20" s="314" t="s">
        <v>203</v>
      </c>
      <c r="LDY20" s="314" t="s">
        <v>203</v>
      </c>
      <c r="LDZ20" s="314" t="s">
        <v>203</v>
      </c>
      <c r="LEA20" s="314" t="s">
        <v>203</v>
      </c>
      <c r="LEB20" s="314" t="s">
        <v>203</v>
      </c>
      <c r="LEC20" s="314" t="s">
        <v>203</v>
      </c>
      <c r="LED20" s="314" t="s">
        <v>203</v>
      </c>
      <c r="LEE20" s="314" t="s">
        <v>203</v>
      </c>
      <c r="LEF20" s="314" t="s">
        <v>203</v>
      </c>
      <c r="LEG20" s="314" t="s">
        <v>203</v>
      </c>
      <c r="LEH20" s="314" t="s">
        <v>203</v>
      </c>
      <c r="LEI20" s="314" t="s">
        <v>203</v>
      </c>
      <c r="LEJ20" s="314" t="s">
        <v>203</v>
      </c>
      <c r="LEK20" s="314" t="s">
        <v>203</v>
      </c>
      <c r="LEL20" s="314" t="s">
        <v>203</v>
      </c>
      <c r="LEM20" s="314" t="s">
        <v>203</v>
      </c>
      <c r="LEN20" s="314" t="s">
        <v>203</v>
      </c>
      <c r="LEO20" s="314" t="s">
        <v>203</v>
      </c>
      <c r="LEP20" s="314" t="s">
        <v>203</v>
      </c>
      <c r="LEQ20" s="314" t="s">
        <v>203</v>
      </c>
      <c r="LER20" s="314" t="s">
        <v>203</v>
      </c>
      <c r="LES20" s="314" t="s">
        <v>203</v>
      </c>
      <c r="LET20" s="314" t="s">
        <v>203</v>
      </c>
      <c r="LEU20" s="314" t="s">
        <v>203</v>
      </c>
      <c r="LEV20" s="314" t="s">
        <v>203</v>
      </c>
      <c r="LEW20" s="314" t="s">
        <v>203</v>
      </c>
      <c r="LEX20" s="314" t="s">
        <v>203</v>
      </c>
      <c r="LEY20" s="314" t="s">
        <v>203</v>
      </c>
      <c r="LEZ20" s="314" t="s">
        <v>203</v>
      </c>
      <c r="LFA20" s="314" t="s">
        <v>203</v>
      </c>
      <c r="LFB20" s="314" t="s">
        <v>203</v>
      </c>
      <c r="LFC20" s="314" t="s">
        <v>203</v>
      </c>
      <c r="LFD20" s="314" t="s">
        <v>203</v>
      </c>
      <c r="LFE20" s="314" t="s">
        <v>203</v>
      </c>
      <c r="LFF20" s="314" t="s">
        <v>203</v>
      </c>
      <c r="LFG20" s="314" t="s">
        <v>203</v>
      </c>
      <c r="LFH20" s="314" t="s">
        <v>203</v>
      </c>
      <c r="LFI20" s="314" t="s">
        <v>203</v>
      </c>
      <c r="LFJ20" s="314" t="s">
        <v>203</v>
      </c>
      <c r="LFK20" s="314" t="s">
        <v>203</v>
      </c>
      <c r="LFL20" s="314" t="s">
        <v>203</v>
      </c>
      <c r="LFM20" s="314" t="s">
        <v>203</v>
      </c>
      <c r="LFN20" s="314" t="s">
        <v>203</v>
      </c>
      <c r="LFO20" s="314" t="s">
        <v>203</v>
      </c>
      <c r="LFP20" s="314" t="s">
        <v>203</v>
      </c>
      <c r="LFQ20" s="314" t="s">
        <v>203</v>
      </c>
      <c r="LFR20" s="314" t="s">
        <v>203</v>
      </c>
      <c r="LFS20" s="314" t="s">
        <v>203</v>
      </c>
      <c r="LFT20" s="314" t="s">
        <v>203</v>
      </c>
      <c r="LFU20" s="314" t="s">
        <v>203</v>
      </c>
      <c r="LFV20" s="314" t="s">
        <v>203</v>
      </c>
      <c r="LFW20" s="314" t="s">
        <v>203</v>
      </c>
      <c r="LFX20" s="314" t="s">
        <v>203</v>
      </c>
      <c r="LFY20" s="314" t="s">
        <v>203</v>
      </c>
      <c r="LFZ20" s="314" t="s">
        <v>203</v>
      </c>
      <c r="LGA20" s="314" t="s">
        <v>203</v>
      </c>
      <c r="LGB20" s="314" t="s">
        <v>203</v>
      </c>
      <c r="LGC20" s="314" t="s">
        <v>203</v>
      </c>
      <c r="LGD20" s="314" t="s">
        <v>203</v>
      </c>
      <c r="LGE20" s="314" t="s">
        <v>203</v>
      </c>
      <c r="LGF20" s="314" t="s">
        <v>203</v>
      </c>
      <c r="LGG20" s="314" t="s">
        <v>203</v>
      </c>
      <c r="LGH20" s="314" t="s">
        <v>203</v>
      </c>
      <c r="LGI20" s="314" t="s">
        <v>203</v>
      </c>
      <c r="LGJ20" s="314" t="s">
        <v>203</v>
      </c>
      <c r="LGK20" s="314" t="s">
        <v>203</v>
      </c>
      <c r="LGL20" s="314" t="s">
        <v>203</v>
      </c>
      <c r="LGM20" s="314" t="s">
        <v>203</v>
      </c>
      <c r="LGN20" s="314" t="s">
        <v>203</v>
      </c>
      <c r="LGO20" s="314" t="s">
        <v>203</v>
      </c>
      <c r="LGP20" s="314" t="s">
        <v>203</v>
      </c>
      <c r="LGQ20" s="314" t="s">
        <v>203</v>
      </c>
      <c r="LGR20" s="314" t="s">
        <v>203</v>
      </c>
      <c r="LGS20" s="314" t="s">
        <v>203</v>
      </c>
      <c r="LGT20" s="314" t="s">
        <v>203</v>
      </c>
      <c r="LGU20" s="314" t="s">
        <v>203</v>
      </c>
      <c r="LGV20" s="314" t="s">
        <v>203</v>
      </c>
      <c r="LGW20" s="314" t="s">
        <v>203</v>
      </c>
      <c r="LGX20" s="314" t="s">
        <v>203</v>
      </c>
      <c r="LGY20" s="314" t="s">
        <v>203</v>
      </c>
      <c r="LGZ20" s="314" t="s">
        <v>203</v>
      </c>
      <c r="LHA20" s="314" t="s">
        <v>203</v>
      </c>
      <c r="LHB20" s="314" t="s">
        <v>203</v>
      </c>
      <c r="LHC20" s="314" t="s">
        <v>203</v>
      </c>
      <c r="LHD20" s="314" t="s">
        <v>203</v>
      </c>
      <c r="LHE20" s="314" t="s">
        <v>203</v>
      </c>
      <c r="LHF20" s="314" t="s">
        <v>203</v>
      </c>
      <c r="LHG20" s="314" t="s">
        <v>203</v>
      </c>
      <c r="LHH20" s="314" t="s">
        <v>203</v>
      </c>
      <c r="LHI20" s="314" t="s">
        <v>203</v>
      </c>
      <c r="LHJ20" s="314" t="s">
        <v>203</v>
      </c>
      <c r="LHK20" s="314" t="s">
        <v>203</v>
      </c>
      <c r="LHL20" s="314" t="s">
        <v>203</v>
      </c>
      <c r="LHM20" s="314" t="s">
        <v>203</v>
      </c>
      <c r="LHN20" s="314" t="s">
        <v>203</v>
      </c>
      <c r="LHO20" s="314" t="s">
        <v>203</v>
      </c>
      <c r="LHP20" s="314" t="s">
        <v>203</v>
      </c>
      <c r="LHQ20" s="314" t="s">
        <v>203</v>
      </c>
      <c r="LHR20" s="314" t="s">
        <v>203</v>
      </c>
      <c r="LHS20" s="314" t="s">
        <v>203</v>
      </c>
      <c r="LHT20" s="314" t="s">
        <v>203</v>
      </c>
      <c r="LHU20" s="314" t="s">
        <v>203</v>
      </c>
      <c r="LHV20" s="314" t="s">
        <v>203</v>
      </c>
      <c r="LHW20" s="314" t="s">
        <v>203</v>
      </c>
      <c r="LHX20" s="314" t="s">
        <v>203</v>
      </c>
      <c r="LHY20" s="314" t="s">
        <v>203</v>
      </c>
      <c r="LHZ20" s="314" t="s">
        <v>203</v>
      </c>
      <c r="LIA20" s="314" t="s">
        <v>203</v>
      </c>
      <c r="LIB20" s="314" t="s">
        <v>203</v>
      </c>
      <c r="LIC20" s="314" t="s">
        <v>203</v>
      </c>
      <c r="LID20" s="314" t="s">
        <v>203</v>
      </c>
      <c r="LIE20" s="314" t="s">
        <v>203</v>
      </c>
      <c r="LIF20" s="314" t="s">
        <v>203</v>
      </c>
      <c r="LIG20" s="314" t="s">
        <v>203</v>
      </c>
      <c r="LIH20" s="314" t="s">
        <v>203</v>
      </c>
      <c r="LII20" s="314" t="s">
        <v>203</v>
      </c>
      <c r="LIJ20" s="314" t="s">
        <v>203</v>
      </c>
      <c r="LIK20" s="314" t="s">
        <v>203</v>
      </c>
      <c r="LIL20" s="314" t="s">
        <v>203</v>
      </c>
      <c r="LIM20" s="314" t="s">
        <v>203</v>
      </c>
      <c r="LIN20" s="314" t="s">
        <v>203</v>
      </c>
      <c r="LIO20" s="314" t="s">
        <v>203</v>
      </c>
      <c r="LIP20" s="314" t="s">
        <v>203</v>
      </c>
      <c r="LIQ20" s="314" t="s">
        <v>203</v>
      </c>
      <c r="LIR20" s="314" t="s">
        <v>203</v>
      </c>
      <c r="LIS20" s="314" t="s">
        <v>203</v>
      </c>
      <c r="LIT20" s="314" t="s">
        <v>203</v>
      </c>
      <c r="LIU20" s="314" t="s">
        <v>203</v>
      </c>
      <c r="LIV20" s="314" t="s">
        <v>203</v>
      </c>
      <c r="LIW20" s="314" t="s">
        <v>203</v>
      </c>
      <c r="LIX20" s="314" t="s">
        <v>203</v>
      </c>
      <c r="LIY20" s="314" t="s">
        <v>203</v>
      </c>
      <c r="LIZ20" s="314" t="s">
        <v>203</v>
      </c>
      <c r="LJA20" s="314" t="s">
        <v>203</v>
      </c>
      <c r="LJB20" s="314" t="s">
        <v>203</v>
      </c>
      <c r="LJC20" s="314" t="s">
        <v>203</v>
      </c>
      <c r="LJD20" s="314" t="s">
        <v>203</v>
      </c>
      <c r="LJE20" s="314" t="s">
        <v>203</v>
      </c>
      <c r="LJF20" s="314" t="s">
        <v>203</v>
      </c>
      <c r="LJG20" s="314" t="s">
        <v>203</v>
      </c>
      <c r="LJH20" s="314" t="s">
        <v>203</v>
      </c>
      <c r="LJI20" s="314" t="s">
        <v>203</v>
      </c>
      <c r="LJJ20" s="314" t="s">
        <v>203</v>
      </c>
      <c r="LJK20" s="314" t="s">
        <v>203</v>
      </c>
      <c r="LJL20" s="314" t="s">
        <v>203</v>
      </c>
      <c r="LJM20" s="314" t="s">
        <v>203</v>
      </c>
      <c r="LJN20" s="314" t="s">
        <v>203</v>
      </c>
      <c r="LJO20" s="314" t="s">
        <v>203</v>
      </c>
      <c r="LJP20" s="314" t="s">
        <v>203</v>
      </c>
      <c r="LJQ20" s="314" t="s">
        <v>203</v>
      </c>
      <c r="LJR20" s="314" t="s">
        <v>203</v>
      </c>
      <c r="LJS20" s="314" t="s">
        <v>203</v>
      </c>
      <c r="LJT20" s="314" t="s">
        <v>203</v>
      </c>
      <c r="LJU20" s="314" t="s">
        <v>203</v>
      </c>
      <c r="LJV20" s="314" t="s">
        <v>203</v>
      </c>
      <c r="LJW20" s="314" t="s">
        <v>203</v>
      </c>
      <c r="LJX20" s="314" t="s">
        <v>203</v>
      </c>
      <c r="LJY20" s="314" t="s">
        <v>203</v>
      </c>
      <c r="LJZ20" s="314" t="s">
        <v>203</v>
      </c>
      <c r="LKA20" s="314" t="s">
        <v>203</v>
      </c>
      <c r="LKB20" s="314" t="s">
        <v>203</v>
      </c>
      <c r="LKC20" s="314" t="s">
        <v>203</v>
      </c>
      <c r="LKD20" s="314" t="s">
        <v>203</v>
      </c>
      <c r="LKE20" s="314" t="s">
        <v>203</v>
      </c>
      <c r="LKF20" s="314" t="s">
        <v>203</v>
      </c>
      <c r="LKG20" s="314" t="s">
        <v>203</v>
      </c>
      <c r="LKH20" s="314" t="s">
        <v>203</v>
      </c>
      <c r="LKI20" s="314" t="s">
        <v>203</v>
      </c>
      <c r="LKJ20" s="314" t="s">
        <v>203</v>
      </c>
      <c r="LKK20" s="314" t="s">
        <v>203</v>
      </c>
      <c r="LKL20" s="314" t="s">
        <v>203</v>
      </c>
      <c r="LKM20" s="314" t="s">
        <v>203</v>
      </c>
      <c r="LKN20" s="314" t="s">
        <v>203</v>
      </c>
      <c r="LKO20" s="314" t="s">
        <v>203</v>
      </c>
      <c r="LKP20" s="314" t="s">
        <v>203</v>
      </c>
      <c r="LKQ20" s="314" t="s">
        <v>203</v>
      </c>
      <c r="LKR20" s="314" t="s">
        <v>203</v>
      </c>
      <c r="LKS20" s="314" t="s">
        <v>203</v>
      </c>
      <c r="LKT20" s="314" t="s">
        <v>203</v>
      </c>
      <c r="LKU20" s="314" t="s">
        <v>203</v>
      </c>
      <c r="LKV20" s="314" t="s">
        <v>203</v>
      </c>
      <c r="LKW20" s="314" t="s">
        <v>203</v>
      </c>
      <c r="LKX20" s="314" t="s">
        <v>203</v>
      </c>
      <c r="LKY20" s="314" t="s">
        <v>203</v>
      </c>
      <c r="LKZ20" s="314" t="s">
        <v>203</v>
      </c>
      <c r="LLA20" s="314" t="s">
        <v>203</v>
      </c>
      <c r="LLB20" s="314" t="s">
        <v>203</v>
      </c>
      <c r="LLC20" s="314" t="s">
        <v>203</v>
      </c>
      <c r="LLD20" s="314" t="s">
        <v>203</v>
      </c>
      <c r="LLE20" s="314" t="s">
        <v>203</v>
      </c>
      <c r="LLF20" s="314" t="s">
        <v>203</v>
      </c>
      <c r="LLG20" s="314" t="s">
        <v>203</v>
      </c>
      <c r="LLH20" s="314" t="s">
        <v>203</v>
      </c>
      <c r="LLI20" s="314" t="s">
        <v>203</v>
      </c>
      <c r="LLJ20" s="314" t="s">
        <v>203</v>
      </c>
      <c r="LLK20" s="314" t="s">
        <v>203</v>
      </c>
      <c r="LLL20" s="314" t="s">
        <v>203</v>
      </c>
      <c r="LLM20" s="314" t="s">
        <v>203</v>
      </c>
      <c r="LLN20" s="314" t="s">
        <v>203</v>
      </c>
      <c r="LLO20" s="314" t="s">
        <v>203</v>
      </c>
      <c r="LLP20" s="314" t="s">
        <v>203</v>
      </c>
      <c r="LLQ20" s="314" t="s">
        <v>203</v>
      </c>
      <c r="LLR20" s="314" t="s">
        <v>203</v>
      </c>
      <c r="LLS20" s="314" t="s">
        <v>203</v>
      </c>
      <c r="LLT20" s="314" t="s">
        <v>203</v>
      </c>
      <c r="LLU20" s="314" t="s">
        <v>203</v>
      </c>
      <c r="LLV20" s="314" t="s">
        <v>203</v>
      </c>
      <c r="LLW20" s="314" t="s">
        <v>203</v>
      </c>
      <c r="LLX20" s="314" t="s">
        <v>203</v>
      </c>
      <c r="LLY20" s="314" t="s">
        <v>203</v>
      </c>
      <c r="LLZ20" s="314" t="s">
        <v>203</v>
      </c>
      <c r="LMA20" s="314" t="s">
        <v>203</v>
      </c>
      <c r="LMB20" s="314" t="s">
        <v>203</v>
      </c>
      <c r="LMC20" s="314" t="s">
        <v>203</v>
      </c>
      <c r="LMD20" s="314" t="s">
        <v>203</v>
      </c>
      <c r="LME20" s="314" t="s">
        <v>203</v>
      </c>
      <c r="LMF20" s="314" t="s">
        <v>203</v>
      </c>
      <c r="LMG20" s="314" t="s">
        <v>203</v>
      </c>
      <c r="LMH20" s="314" t="s">
        <v>203</v>
      </c>
      <c r="LMI20" s="314" t="s">
        <v>203</v>
      </c>
      <c r="LMJ20" s="314" t="s">
        <v>203</v>
      </c>
      <c r="LMK20" s="314" t="s">
        <v>203</v>
      </c>
      <c r="LML20" s="314" t="s">
        <v>203</v>
      </c>
      <c r="LMM20" s="314" t="s">
        <v>203</v>
      </c>
      <c r="LMN20" s="314" t="s">
        <v>203</v>
      </c>
      <c r="LMO20" s="314" t="s">
        <v>203</v>
      </c>
      <c r="LMP20" s="314" t="s">
        <v>203</v>
      </c>
      <c r="LMQ20" s="314" t="s">
        <v>203</v>
      </c>
      <c r="LMR20" s="314" t="s">
        <v>203</v>
      </c>
      <c r="LMS20" s="314" t="s">
        <v>203</v>
      </c>
      <c r="LMT20" s="314" t="s">
        <v>203</v>
      </c>
      <c r="LMU20" s="314" t="s">
        <v>203</v>
      </c>
      <c r="LMV20" s="314" t="s">
        <v>203</v>
      </c>
      <c r="LMW20" s="314" t="s">
        <v>203</v>
      </c>
      <c r="LMX20" s="314" t="s">
        <v>203</v>
      </c>
      <c r="LMY20" s="314" t="s">
        <v>203</v>
      </c>
      <c r="LMZ20" s="314" t="s">
        <v>203</v>
      </c>
      <c r="LNA20" s="314" t="s">
        <v>203</v>
      </c>
      <c r="LNB20" s="314" t="s">
        <v>203</v>
      </c>
      <c r="LNC20" s="314" t="s">
        <v>203</v>
      </c>
      <c r="LND20" s="314" t="s">
        <v>203</v>
      </c>
      <c r="LNE20" s="314" t="s">
        <v>203</v>
      </c>
      <c r="LNF20" s="314" t="s">
        <v>203</v>
      </c>
      <c r="LNG20" s="314" t="s">
        <v>203</v>
      </c>
      <c r="LNH20" s="314" t="s">
        <v>203</v>
      </c>
      <c r="LNI20" s="314" t="s">
        <v>203</v>
      </c>
      <c r="LNJ20" s="314" t="s">
        <v>203</v>
      </c>
      <c r="LNK20" s="314" t="s">
        <v>203</v>
      </c>
      <c r="LNL20" s="314" t="s">
        <v>203</v>
      </c>
      <c r="LNM20" s="314" t="s">
        <v>203</v>
      </c>
      <c r="LNN20" s="314" t="s">
        <v>203</v>
      </c>
      <c r="LNO20" s="314" t="s">
        <v>203</v>
      </c>
      <c r="LNP20" s="314" t="s">
        <v>203</v>
      </c>
      <c r="LNQ20" s="314" t="s">
        <v>203</v>
      </c>
      <c r="LNR20" s="314" t="s">
        <v>203</v>
      </c>
      <c r="LNS20" s="314" t="s">
        <v>203</v>
      </c>
      <c r="LNT20" s="314" t="s">
        <v>203</v>
      </c>
      <c r="LNU20" s="314" t="s">
        <v>203</v>
      </c>
      <c r="LNV20" s="314" t="s">
        <v>203</v>
      </c>
      <c r="LNW20" s="314" t="s">
        <v>203</v>
      </c>
      <c r="LNX20" s="314" t="s">
        <v>203</v>
      </c>
      <c r="LNY20" s="314" t="s">
        <v>203</v>
      </c>
      <c r="LNZ20" s="314" t="s">
        <v>203</v>
      </c>
      <c r="LOA20" s="314" t="s">
        <v>203</v>
      </c>
      <c r="LOB20" s="314" t="s">
        <v>203</v>
      </c>
      <c r="LOC20" s="314" t="s">
        <v>203</v>
      </c>
      <c r="LOD20" s="314" t="s">
        <v>203</v>
      </c>
      <c r="LOE20" s="314" t="s">
        <v>203</v>
      </c>
      <c r="LOF20" s="314" t="s">
        <v>203</v>
      </c>
      <c r="LOG20" s="314" t="s">
        <v>203</v>
      </c>
      <c r="LOH20" s="314" t="s">
        <v>203</v>
      </c>
      <c r="LOI20" s="314" t="s">
        <v>203</v>
      </c>
      <c r="LOJ20" s="314" t="s">
        <v>203</v>
      </c>
      <c r="LOK20" s="314" t="s">
        <v>203</v>
      </c>
      <c r="LOL20" s="314" t="s">
        <v>203</v>
      </c>
      <c r="LOM20" s="314" t="s">
        <v>203</v>
      </c>
      <c r="LON20" s="314" t="s">
        <v>203</v>
      </c>
      <c r="LOO20" s="314" t="s">
        <v>203</v>
      </c>
      <c r="LOP20" s="314" t="s">
        <v>203</v>
      </c>
      <c r="LOQ20" s="314" t="s">
        <v>203</v>
      </c>
      <c r="LOR20" s="314" t="s">
        <v>203</v>
      </c>
      <c r="LOS20" s="314" t="s">
        <v>203</v>
      </c>
      <c r="LOT20" s="314" t="s">
        <v>203</v>
      </c>
      <c r="LOU20" s="314" t="s">
        <v>203</v>
      </c>
      <c r="LOV20" s="314" t="s">
        <v>203</v>
      </c>
      <c r="LOW20" s="314" t="s">
        <v>203</v>
      </c>
      <c r="LOX20" s="314" t="s">
        <v>203</v>
      </c>
      <c r="LOY20" s="314" t="s">
        <v>203</v>
      </c>
      <c r="LOZ20" s="314" t="s">
        <v>203</v>
      </c>
      <c r="LPA20" s="314" t="s">
        <v>203</v>
      </c>
      <c r="LPB20" s="314" t="s">
        <v>203</v>
      </c>
      <c r="LPC20" s="314" t="s">
        <v>203</v>
      </c>
      <c r="LPD20" s="314" t="s">
        <v>203</v>
      </c>
      <c r="LPE20" s="314" t="s">
        <v>203</v>
      </c>
      <c r="LPF20" s="314" t="s">
        <v>203</v>
      </c>
      <c r="LPG20" s="314" t="s">
        <v>203</v>
      </c>
      <c r="LPH20" s="314" t="s">
        <v>203</v>
      </c>
      <c r="LPI20" s="314" t="s">
        <v>203</v>
      </c>
      <c r="LPJ20" s="314" t="s">
        <v>203</v>
      </c>
      <c r="LPK20" s="314" t="s">
        <v>203</v>
      </c>
      <c r="LPL20" s="314" t="s">
        <v>203</v>
      </c>
      <c r="LPM20" s="314" t="s">
        <v>203</v>
      </c>
      <c r="LPN20" s="314" t="s">
        <v>203</v>
      </c>
      <c r="LPO20" s="314" t="s">
        <v>203</v>
      </c>
      <c r="LPP20" s="314" t="s">
        <v>203</v>
      </c>
      <c r="LPQ20" s="314" t="s">
        <v>203</v>
      </c>
      <c r="LPR20" s="314" t="s">
        <v>203</v>
      </c>
      <c r="LPS20" s="314" t="s">
        <v>203</v>
      </c>
      <c r="LPT20" s="314" t="s">
        <v>203</v>
      </c>
      <c r="LPU20" s="314" t="s">
        <v>203</v>
      </c>
      <c r="LPV20" s="314" t="s">
        <v>203</v>
      </c>
      <c r="LPW20" s="314" t="s">
        <v>203</v>
      </c>
      <c r="LPX20" s="314" t="s">
        <v>203</v>
      </c>
      <c r="LPY20" s="314" t="s">
        <v>203</v>
      </c>
      <c r="LPZ20" s="314" t="s">
        <v>203</v>
      </c>
      <c r="LQA20" s="314" t="s">
        <v>203</v>
      </c>
      <c r="LQB20" s="314" t="s">
        <v>203</v>
      </c>
      <c r="LQC20" s="314" t="s">
        <v>203</v>
      </c>
      <c r="LQD20" s="314" t="s">
        <v>203</v>
      </c>
      <c r="LQE20" s="314" t="s">
        <v>203</v>
      </c>
      <c r="LQF20" s="314" t="s">
        <v>203</v>
      </c>
      <c r="LQG20" s="314" t="s">
        <v>203</v>
      </c>
      <c r="LQH20" s="314" t="s">
        <v>203</v>
      </c>
      <c r="LQI20" s="314" t="s">
        <v>203</v>
      </c>
      <c r="LQJ20" s="314" t="s">
        <v>203</v>
      </c>
      <c r="LQK20" s="314" t="s">
        <v>203</v>
      </c>
      <c r="LQL20" s="314" t="s">
        <v>203</v>
      </c>
      <c r="LQM20" s="314" t="s">
        <v>203</v>
      </c>
      <c r="LQN20" s="314" t="s">
        <v>203</v>
      </c>
      <c r="LQO20" s="314" t="s">
        <v>203</v>
      </c>
      <c r="LQP20" s="314" t="s">
        <v>203</v>
      </c>
      <c r="LQQ20" s="314" t="s">
        <v>203</v>
      </c>
      <c r="LQR20" s="314" t="s">
        <v>203</v>
      </c>
      <c r="LQS20" s="314" t="s">
        <v>203</v>
      </c>
      <c r="LQT20" s="314" t="s">
        <v>203</v>
      </c>
      <c r="LQU20" s="314" t="s">
        <v>203</v>
      </c>
      <c r="LQV20" s="314" t="s">
        <v>203</v>
      </c>
      <c r="LQW20" s="314" t="s">
        <v>203</v>
      </c>
      <c r="LQX20" s="314" t="s">
        <v>203</v>
      </c>
      <c r="LQY20" s="314" t="s">
        <v>203</v>
      </c>
      <c r="LQZ20" s="314" t="s">
        <v>203</v>
      </c>
      <c r="LRA20" s="314" t="s">
        <v>203</v>
      </c>
      <c r="LRB20" s="314" t="s">
        <v>203</v>
      </c>
      <c r="LRC20" s="314" t="s">
        <v>203</v>
      </c>
      <c r="LRD20" s="314" t="s">
        <v>203</v>
      </c>
      <c r="LRE20" s="314" t="s">
        <v>203</v>
      </c>
      <c r="LRF20" s="314" t="s">
        <v>203</v>
      </c>
      <c r="LRG20" s="314" t="s">
        <v>203</v>
      </c>
      <c r="LRH20" s="314" t="s">
        <v>203</v>
      </c>
      <c r="LRI20" s="314" t="s">
        <v>203</v>
      </c>
      <c r="LRJ20" s="314" t="s">
        <v>203</v>
      </c>
      <c r="LRK20" s="314" t="s">
        <v>203</v>
      </c>
      <c r="LRL20" s="314" t="s">
        <v>203</v>
      </c>
      <c r="LRM20" s="314" t="s">
        <v>203</v>
      </c>
      <c r="LRN20" s="314" t="s">
        <v>203</v>
      </c>
      <c r="LRO20" s="314" t="s">
        <v>203</v>
      </c>
      <c r="LRP20" s="314" t="s">
        <v>203</v>
      </c>
      <c r="LRQ20" s="314" t="s">
        <v>203</v>
      </c>
      <c r="LRR20" s="314" t="s">
        <v>203</v>
      </c>
      <c r="LRS20" s="314" t="s">
        <v>203</v>
      </c>
      <c r="LRT20" s="314" t="s">
        <v>203</v>
      </c>
      <c r="LRU20" s="314" t="s">
        <v>203</v>
      </c>
      <c r="LRV20" s="314" t="s">
        <v>203</v>
      </c>
      <c r="LRW20" s="314" t="s">
        <v>203</v>
      </c>
      <c r="LRX20" s="314" t="s">
        <v>203</v>
      </c>
      <c r="LRY20" s="314" t="s">
        <v>203</v>
      </c>
      <c r="LRZ20" s="314" t="s">
        <v>203</v>
      </c>
      <c r="LSA20" s="314" t="s">
        <v>203</v>
      </c>
      <c r="LSB20" s="314" t="s">
        <v>203</v>
      </c>
      <c r="LSC20" s="314" t="s">
        <v>203</v>
      </c>
      <c r="LSD20" s="314" t="s">
        <v>203</v>
      </c>
      <c r="LSE20" s="314" t="s">
        <v>203</v>
      </c>
      <c r="LSF20" s="314" t="s">
        <v>203</v>
      </c>
      <c r="LSG20" s="314" t="s">
        <v>203</v>
      </c>
      <c r="LSH20" s="314" t="s">
        <v>203</v>
      </c>
      <c r="LSI20" s="314" t="s">
        <v>203</v>
      </c>
      <c r="LSJ20" s="314" t="s">
        <v>203</v>
      </c>
      <c r="LSK20" s="314" t="s">
        <v>203</v>
      </c>
      <c r="LSL20" s="314" t="s">
        <v>203</v>
      </c>
      <c r="LSM20" s="314" t="s">
        <v>203</v>
      </c>
      <c r="LSN20" s="314" t="s">
        <v>203</v>
      </c>
      <c r="LSO20" s="314" t="s">
        <v>203</v>
      </c>
      <c r="LSP20" s="314" t="s">
        <v>203</v>
      </c>
      <c r="LSQ20" s="314" t="s">
        <v>203</v>
      </c>
      <c r="LSR20" s="314" t="s">
        <v>203</v>
      </c>
      <c r="LSS20" s="314" t="s">
        <v>203</v>
      </c>
      <c r="LST20" s="314" t="s">
        <v>203</v>
      </c>
      <c r="LSU20" s="314" t="s">
        <v>203</v>
      </c>
      <c r="LSV20" s="314" t="s">
        <v>203</v>
      </c>
      <c r="LSW20" s="314" t="s">
        <v>203</v>
      </c>
      <c r="LSX20" s="314" t="s">
        <v>203</v>
      </c>
      <c r="LSY20" s="314" t="s">
        <v>203</v>
      </c>
      <c r="LSZ20" s="314" t="s">
        <v>203</v>
      </c>
      <c r="LTA20" s="314" t="s">
        <v>203</v>
      </c>
      <c r="LTB20" s="314" t="s">
        <v>203</v>
      </c>
      <c r="LTC20" s="314" t="s">
        <v>203</v>
      </c>
      <c r="LTD20" s="314" t="s">
        <v>203</v>
      </c>
      <c r="LTE20" s="314" t="s">
        <v>203</v>
      </c>
      <c r="LTF20" s="314" t="s">
        <v>203</v>
      </c>
      <c r="LTG20" s="314" t="s">
        <v>203</v>
      </c>
      <c r="LTH20" s="314" t="s">
        <v>203</v>
      </c>
      <c r="LTI20" s="314" t="s">
        <v>203</v>
      </c>
      <c r="LTJ20" s="314" t="s">
        <v>203</v>
      </c>
      <c r="LTK20" s="314" t="s">
        <v>203</v>
      </c>
      <c r="LTL20" s="314" t="s">
        <v>203</v>
      </c>
      <c r="LTM20" s="314" t="s">
        <v>203</v>
      </c>
      <c r="LTN20" s="314" t="s">
        <v>203</v>
      </c>
      <c r="LTO20" s="314" t="s">
        <v>203</v>
      </c>
      <c r="LTP20" s="314" t="s">
        <v>203</v>
      </c>
      <c r="LTQ20" s="314" t="s">
        <v>203</v>
      </c>
      <c r="LTR20" s="314" t="s">
        <v>203</v>
      </c>
      <c r="LTS20" s="314" t="s">
        <v>203</v>
      </c>
      <c r="LTT20" s="314" t="s">
        <v>203</v>
      </c>
      <c r="LTU20" s="314" t="s">
        <v>203</v>
      </c>
      <c r="LTV20" s="314" t="s">
        <v>203</v>
      </c>
      <c r="LTW20" s="314" t="s">
        <v>203</v>
      </c>
      <c r="LTX20" s="314" t="s">
        <v>203</v>
      </c>
      <c r="LTY20" s="314" t="s">
        <v>203</v>
      </c>
      <c r="LTZ20" s="314" t="s">
        <v>203</v>
      </c>
      <c r="LUA20" s="314" t="s">
        <v>203</v>
      </c>
      <c r="LUB20" s="314" t="s">
        <v>203</v>
      </c>
      <c r="LUC20" s="314" t="s">
        <v>203</v>
      </c>
      <c r="LUD20" s="314" t="s">
        <v>203</v>
      </c>
      <c r="LUE20" s="314" t="s">
        <v>203</v>
      </c>
      <c r="LUF20" s="314" t="s">
        <v>203</v>
      </c>
      <c r="LUG20" s="314" t="s">
        <v>203</v>
      </c>
      <c r="LUH20" s="314" t="s">
        <v>203</v>
      </c>
      <c r="LUI20" s="314" t="s">
        <v>203</v>
      </c>
      <c r="LUJ20" s="314" t="s">
        <v>203</v>
      </c>
      <c r="LUK20" s="314" t="s">
        <v>203</v>
      </c>
      <c r="LUL20" s="314" t="s">
        <v>203</v>
      </c>
      <c r="LUM20" s="314" t="s">
        <v>203</v>
      </c>
      <c r="LUN20" s="314" t="s">
        <v>203</v>
      </c>
      <c r="LUO20" s="314" t="s">
        <v>203</v>
      </c>
      <c r="LUP20" s="314" t="s">
        <v>203</v>
      </c>
      <c r="LUQ20" s="314" t="s">
        <v>203</v>
      </c>
      <c r="LUR20" s="314" t="s">
        <v>203</v>
      </c>
      <c r="LUS20" s="314" t="s">
        <v>203</v>
      </c>
      <c r="LUT20" s="314" t="s">
        <v>203</v>
      </c>
      <c r="LUU20" s="314" t="s">
        <v>203</v>
      </c>
      <c r="LUV20" s="314" t="s">
        <v>203</v>
      </c>
      <c r="LUW20" s="314" t="s">
        <v>203</v>
      </c>
      <c r="LUX20" s="314" t="s">
        <v>203</v>
      </c>
      <c r="LUY20" s="314" t="s">
        <v>203</v>
      </c>
      <c r="LUZ20" s="314" t="s">
        <v>203</v>
      </c>
      <c r="LVA20" s="314" t="s">
        <v>203</v>
      </c>
      <c r="LVB20" s="314" t="s">
        <v>203</v>
      </c>
      <c r="LVC20" s="314" t="s">
        <v>203</v>
      </c>
      <c r="LVD20" s="314" t="s">
        <v>203</v>
      </c>
      <c r="LVE20" s="314" t="s">
        <v>203</v>
      </c>
      <c r="LVF20" s="314" t="s">
        <v>203</v>
      </c>
      <c r="LVG20" s="314" t="s">
        <v>203</v>
      </c>
      <c r="LVH20" s="314" t="s">
        <v>203</v>
      </c>
      <c r="LVI20" s="314" t="s">
        <v>203</v>
      </c>
      <c r="LVJ20" s="314" t="s">
        <v>203</v>
      </c>
      <c r="LVK20" s="314" t="s">
        <v>203</v>
      </c>
      <c r="LVL20" s="314" t="s">
        <v>203</v>
      </c>
      <c r="LVM20" s="314" t="s">
        <v>203</v>
      </c>
      <c r="LVN20" s="314" t="s">
        <v>203</v>
      </c>
      <c r="LVO20" s="314" t="s">
        <v>203</v>
      </c>
      <c r="LVP20" s="314" t="s">
        <v>203</v>
      </c>
      <c r="LVQ20" s="314" t="s">
        <v>203</v>
      </c>
      <c r="LVR20" s="314" t="s">
        <v>203</v>
      </c>
      <c r="LVS20" s="314" t="s">
        <v>203</v>
      </c>
      <c r="LVT20" s="314" t="s">
        <v>203</v>
      </c>
      <c r="LVU20" s="314" t="s">
        <v>203</v>
      </c>
      <c r="LVV20" s="314" t="s">
        <v>203</v>
      </c>
      <c r="LVW20" s="314" t="s">
        <v>203</v>
      </c>
      <c r="LVX20" s="314" t="s">
        <v>203</v>
      </c>
      <c r="LVY20" s="314" t="s">
        <v>203</v>
      </c>
      <c r="LVZ20" s="314" t="s">
        <v>203</v>
      </c>
      <c r="LWA20" s="314" t="s">
        <v>203</v>
      </c>
      <c r="LWB20" s="314" t="s">
        <v>203</v>
      </c>
      <c r="LWC20" s="314" t="s">
        <v>203</v>
      </c>
      <c r="LWD20" s="314" t="s">
        <v>203</v>
      </c>
      <c r="LWE20" s="314" t="s">
        <v>203</v>
      </c>
      <c r="LWF20" s="314" t="s">
        <v>203</v>
      </c>
      <c r="LWG20" s="314" t="s">
        <v>203</v>
      </c>
      <c r="LWH20" s="314" t="s">
        <v>203</v>
      </c>
      <c r="LWI20" s="314" t="s">
        <v>203</v>
      </c>
      <c r="LWJ20" s="314" t="s">
        <v>203</v>
      </c>
      <c r="LWK20" s="314" t="s">
        <v>203</v>
      </c>
      <c r="LWL20" s="314" t="s">
        <v>203</v>
      </c>
      <c r="LWM20" s="314" t="s">
        <v>203</v>
      </c>
      <c r="LWN20" s="314" t="s">
        <v>203</v>
      </c>
      <c r="LWO20" s="314" t="s">
        <v>203</v>
      </c>
      <c r="LWP20" s="314" t="s">
        <v>203</v>
      </c>
      <c r="LWQ20" s="314" t="s">
        <v>203</v>
      </c>
      <c r="LWR20" s="314" t="s">
        <v>203</v>
      </c>
      <c r="LWS20" s="314" t="s">
        <v>203</v>
      </c>
      <c r="LWT20" s="314" t="s">
        <v>203</v>
      </c>
      <c r="LWU20" s="314" t="s">
        <v>203</v>
      </c>
      <c r="LWV20" s="314" t="s">
        <v>203</v>
      </c>
      <c r="LWW20" s="314" t="s">
        <v>203</v>
      </c>
      <c r="LWX20" s="314" t="s">
        <v>203</v>
      </c>
      <c r="LWY20" s="314" t="s">
        <v>203</v>
      </c>
      <c r="LWZ20" s="314" t="s">
        <v>203</v>
      </c>
      <c r="LXA20" s="314" t="s">
        <v>203</v>
      </c>
      <c r="LXB20" s="314" t="s">
        <v>203</v>
      </c>
      <c r="LXC20" s="314" t="s">
        <v>203</v>
      </c>
      <c r="LXD20" s="314" t="s">
        <v>203</v>
      </c>
      <c r="LXE20" s="314" t="s">
        <v>203</v>
      </c>
      <c r="LXF20" s="314" t="s">
        <v>203</v>
      </c>
      <c r="LXG20" s="314" t="s">
        <v>203</v>
      </c>
      <c r="LXH20" s="314" t="s">
        <v>203</v>
      </c>
      <c r="LXI20" s="314" t="s">
        <v>203</v>
      </c>
      <c r="LXJ20" s="314" t="s">
        <v>203</v>
      </c>
      <c r="LXK20" s="314" t="s">
        <v>203</v>
      </c>
      <c r="LXL20" s="314" t="s">
        <v>203</v>
      </c>
      <c r="LXM20" s="314" t="s">
        <v>203</v>
      </c>
      <c r="LXN20" s="314" t="s">
        <v>203</v>
      </c>
      <c r="LXO20" s="314" t="s">
        <v>203</v>
      </c>
      <c r="LXP20" s="314" t="s">
        <v>203</v>
      </c>
      <c r="LXQ20" s="314" t="s">
        <v>203</v>
      </c>
      <c r="LXR20" s="314" t="s">
        <v>203</v>
      </c>
      <c r="LXS20" s="314" t="s">
        <v>203</v>
      </c>
      <c r="LXT20" s="314" t="s">
        <v>203</v>
      </c>
      <c r="LXU20" s="314" t="s">
        <v>203</v>
      </c>
      <c r="LXV20" s="314" t="s">
        <v>203</v>
      </c>
      <c r="LXW20" s="314" t="s">
        <v>203</v>
      </c>
      <c r="LXX20" s="314" t="s">
        <v>203</v>
      </c>
      <c r="LXY20" s="314" t="s">
        <v>203</v>
      </c>
      <c r="LXZ20" s="314" t="s">
        <v>203</v>
      </c>
      <c r="LYA20" s="314" t="s">
        <v>203</v>
      </c>
      <c r="LYB20" s="314" t="s">
        <v>203</v>
      </c>
      <c r="LYC20" s="314" t="s">
        <v>203</v>
      </c>
      <c r="LYD20" s="314" t="s">
        <v>203</v>
      </c>
      <c r="LYE20" s="314" t="s">
        <v>203</v>
      </c>
      <c r="LYF20" s="314" t="s">
        <v>203</v>
      </c>
      <c r="LYG20" s="314" t="s">
        <v>203</v>
      </c>
      <c r="LYH20" s="314" t="s">
        <v>203</v>
      </c>
      <c r="LYI20" s="314" t="s">
        <v>203</v>
      </c>
      <c r="LYJ20" s="314" t="s">
        <v>203</v>
      </c>
      <c r="LYK20" s="314" t="s">
        <v>203</v>
      </c>
      <c r="LYL20" s="314" t="s">
        <v>203</v>
      </c>
      <c r="LYM20" s="314" t="s">
        <v>203</v>
      </c>
      <c r="LYN20" s="314" t="s">
        <v>203</v>
      </c>
      <c r="LYO20" s="314" t="s">
        <v>203</v>
      </c>
      <c r="LYP20" s="314" t="s">
        <v>203</v>
      </c>
      <c r="LYQ20" s="314" t="s">
        <v>203</v>
      </c>
      <c r="LYR20" s="314" t="s">
        <v>203</v>
      </c>
      <c r="LYS20" s="314" t="s">
        <v>203</v>
      </c>
      <c r="LYT20" s="314" t="s">
        <v>203</v>
      </c>
      <c r="LYU20" s="314" t="s">
        <v>203</v>
      </c>
      <c r="LYV20" s="314" t="s">
        <v>203</v>
      </c>
      <c r="LYW20" s="314" t="s">
        <v>203</v>
      </c>
      <c r="LYX20" s="314" t="s">
        <v>203</v>
      </c>
      <c r="LYY20" s="314" t="s">
        <v>203</v>
      </c>
      <c r="LYZ20" s="314" t="s">
        <v>203</v>
      </c>
      <c r="LZA20" s="314" t="s">
        <v>203</v>
      </c>
      <c r="LZB20" s="314" t="s">
        <v>203</v>
      </c>
      <c r="LZC20" s="314" t="s">
        <v>203</v>
      </c>
      <c r="LZD20" s="314" t="s">
        <v>203</v>
      </c>
      <c r="LZE20" s="314" t="s">
        <v>203</v>
      </c>
      <c r="LZF20" s="314" t="s">
        <v>203</v>
      </c>
      <c r="LZG20" s="314" t="s">
        <v>203</v>
      </c>
      <c r="LZH20" s="314" t="s">
        <v>203</v>
      </c>
      <c r="LZI20" s="314" t="s">
        <v>203</v>
      </c>
      <c r="LZJ20" s="314" t="s">
        <v>203</v>
      </c>
      <c r="LZK20" s="314" t="s">
        <v>203</v>
      </c>
      <c r="LZL20" s="314" t="s">
        <v>203</v>
      </c>
      <c r="LZM20" s="314" t="s">
        <v>203</v>
      </c>
      <c r="LZN20" s="314" t="s">
        <v>203</v>
      </c>
      <c r="LZO20" s="314" t="s">
        <v>203</v>
      </c>
      <c r="LZP20" s="314" t="s">
        <v>203</v>
      </c>
      <c r="LZQ20" s="314" t="s">
        <v>203</v>
      </c>
      <c r="LZR20" s="314" t="s">
        <v>203</v>
      </c>
      <c r="LZS20" s="314" t="s">
        <v>203</v>
      </c>
      <c r="LZT20" s="314" t="s">
        <v>203</v>
      </c>
      <c r="LZU20" s="314" t="s">
        <v>203</v>
      </c>
      <c r="LZV20" s="314" t="s">
        <v>203</v>
      </c>
      <c r="LZW20" s="314" t="s">
        <v>203</v>
      </c>
      <c r="LZX20" s="314" t="s">
        <v>203</v>
      </c>
      <c r="LZY20" s="314" t="s">
        <v>203</v>
      </c>
      <c r="LZZ20" s="314" t="s">
        <v>203</v>
      </c>
      <c r="MAA20" s="314" t="s">
        <v>203</v>
      </c>
      <c r="MAB20" s="314" t="s">
        <v>203</v>
      </c>
      <c r="MAC20" s="314" t="s">
        <v>203</v>
      </c>
      <c r="MAD20" s="314" t="s">
        <v>203</v>
      </c>
      <c r="MAE20" s="314" t="s">
        <v>203</v>
      </c>
      <c r="MAF20" s="314" t="s">
        <v>203</v>
      </c>
      <c r="MAG20" s="314" t="s">
        <v>203</v>
      </c>
      <c r="MAH20" s="314" t="s">
        <v>203</v>
      </c>
      <c r="MAI20" s="314" t="s">
        <v>203</v>
      </c>
      <c r="MAJ20" s="314" t="s">
        <v>203</v>
      </c>
      <c r="MAK20" s="314" t="s">
        <v>203</v>
      </c>
      <c r="MAL20" s="314" t="s">
        <v>203</v>
      </c>
      <c r="MAM20" s="314" t="s">
        <v>203</v>
      </c>
      <c r="MAN20" s="314" t="s">
        <v>203</v>
      </c>
      <c r="MAO20" s="314" t="s">
        <v>203</v>
      </c>
      <c r="MAP20" s="314" t="s">
        <v>203</v>
      </c>
      <c r="MAQ20" s="314" t="s">
        <v>203</v>
      </c>
      <c r="MAR20" s="314" t="s">
        <v>203</v>
      </c>
      <c r="MAS20" s="314" t="s">
        <v>203</v>
      </c>
      <c r="MAT20" s="314" t="s">
        <v>203</v>
      </c>
      <c r="MAU20" s="314" t="s">
        <v>203</v>
      </c>
      <c r="MAV20" s="314" t="s">
        <v>203</v>
      </c>
      <c r="MAW20" s="314" t="s">
        <v>203</v>
      </c>
      <c r="MAX20" s="314" t="s">
        <v>203</v>
      </c>
      <c r="MAY20" s="314" t="s">
        <v>203</v>
      </c>
      <c r="MAZ20" s="314" t="s">
        <v>203</v>
      </c>
      <c r="MBA20" s="314" t="s">
        <v>203</v>
      </c>
      <c r="MBB20" s="314" t="s">
        <v>203</v>
      </c>
      <c r="MBC20" s="314" t="s">
        <v>203</v>
      </c>
      <c r="MBD20" s="314" t="s">
        <v>203</v>
      </c>
      <c r="MBE20" s="314" t="s">
        <v>203</v>
      </c>
      <c r="MBF20" s="314" t="s">
        <v>203</v>
      </c>
      <c r="MBG20" s="314" t="s">
        <v>203</v>
      </c>
      <c r="MBH20" s="314" t="s">
        <v>203</v>
      </c>
      <c r="MBI20" s="314" t="s">
        <v>203</v>
      </c>
      <c r="MBJ20" s="314" t="s">
        <v>203</v>
      </c>
      <c r="MBK20" s="314" t="s">
        <v>203</v>
      </c>
      <c r="MBL20" s="314" t="s">
        <v>203</v>
      </c>
      <c r="MBM20" s="314" t="s">
        <v>203</v>
      </c>
      <c r="MBN20" s="314" t="s">
        <v>203</v>
      </c>
      <c r="MBO20" s="314" t="s">
        <v>203</v>
      </c>
      <c r="MBP20" s="314" t="s">
        <v>203</v>
      </c>
      <c r="MBQ20" s="314" t="s">
        <v>203</v>
      </c>
      <c r="MBR20" s="314" t="s">
        <v>203</v>
      </c>
      <c r="MBS20" s="314" t="s">
        <v>203</v>
      </c>
      <c r="MBT20" s="314" t="s">
        <v>203</v>
      </c>
      <c r="MBU20" s="314" t="s">
        <v>203</v>
      </c>
      <c r="MBV20" s="314" t="s">
        <v>203</v>
      </c>
      <c r="MBW20" s="314" t="s">
        <v>203</v>
      </c>
      <c r="MBX20" s="314" t="s">
        <v>203</v>
      </c>
      <c r="MBY20" s="314" t="s">
        <v>203</v>
      </c>
      <c r="MBZ20" s="314" t="s">
        <v>203</v>
      </c>
      <c r="MCA20" s="314" t="s">
        <v>203</v>
      </c>
      <c r="MCB20" s="314" t="s">
        <v>203</v>
      </c>
      <c r="MCC20" s="314" t="s">
        <v>203</v>
      </c>
      <c r="MCD20" s="314" t="s">
        <v>203</v>
      </c>
      <c r="MCE20" s="314" t="s">
        <v>203</v>
      </c>
      <c r="MCF20" s="314" t="s">
        <v>203</v>
      </c>
      <c r="MCG20" s="314" t="s">
        <v>203</v>
      </c>
      <c r="MCH20" s="314" t="s">
        <v>203</v>
      </c>
      <c r="MCI20" s="314" t="s">
        <v>203</v>
      </c>
      <c r="MCJ20" s="314" t="s">
        <v>203</v>
      </c>
      <c r="MCK20" s="314" t="s">
        <v>203</v>
      </c>
      <c r="MCL20" s="314" t="s">
        <v>203</v>
      </c>
      <c r="MCM20" s="314" t="s">
        <v>203</v>
      </c>
      <c r="MCN20" s="314" t="s">
        <v>203</v>
      </c>
      <c r="MCO20" s="314" t="s">
        <v>203</v>
      </c>
      <c r="MCP20" s="314" t="s">
        <v>203</v>
      </c>
      <c r="MCQ20" s="314" t="s">
        <v>203</v>
      </c>
      <c r="MCR20" s="314" t="s">
        <v>203</v>
      </c>
      <c r="MCS20" s="314" t="s">
        <v>203</v>
      </c>
      <c r="MCT20" s="314" t="s">
        <v>203</v>
      </c>
      <c r="MCU20" s="314" t="s">
        <v>203</v>
      </c>
      <c r="MCV20" s="314" t="s">
        <v>203</v>
      </c>
      <c r="MCW20" s="314" t="s">
        <v>203</v>
      </c>
      <c r="MCX20" s="314" t="s">
        <v>203</v>
      </c>
      <c r="MCY20" s="314" t="s">
        <v>203</v>
      </c>
      <c r="MCZ20" s="314" t="s">
        <v>203</v>
      </c>
      <c r="MDA20" s="314" t="s">
        <v>203</v>
      </c>
      <c r="MDB20" s="314" t="s">
        <v>203</v>
      </c>
      <c r="MDC20" s="314" t="s">
        <v>203</v>
      </c>
      <c r="MDD20" s="314" t="s">
        <v>203</v>
      </c>
      <c r="MDE20" s="314" t="s">
        <v>203</v>
      </c>
      <c r="MDF20" s="314" t="s">
        <v>203</v>
      </c>
      <c r="MDG20" s="314" t="s">
        <v>203</v>
      </c>
      <c r="MDH20" s="314" t="s">
        <v>203</v>
      </c>
      <c r="MDI20" s="314" t="s">
        <v>203</v>
      </c>
      <c r="MDJ20" s="314" t="s">
        <v>203</v>
      </c>
      <c r="MDK20" s="314" t="s">
        <v>203</v>
      </c>
      <c r="MDL20" s="314" t="s">
        <v>203</v>
      </c>
      <c r="MDM20" s="314" t="s">
        <v>203</v>
      </c>
      <c r="MDN20" s="314" t="s">
        <v>203</v>
      </c>
      <c r="MDO20" s="314" t="s">
        <v>203</v>
      </c>
      <c r="MDP20" s="314" t="s">
        <v>203</v>
      </c>
      <c r="MDQ20" s="314" t="s">
        <v>203</v>
      </c>
      <c r="MDR20" s="314" t="s">
        <v>203</v>
      </c>
      <c r="MDS20" s="314" t="s">
        <v>203</v>
      </c>
      <c r="MDT20" s="314" t="s">
        <v>203</v>
      </c>
      <c r="MDU20" s="314" t="s">
        <v>203</v>
      </c>
      <c r="MDV20" s="314" t="s">
        <v>203</v>
      </c>
      <c r="MDW20" s="314" t="s">
        <v>203</v>
      </c>
      <c r="MDX20" s="314" t="s">
        <v>203</v>
      </c>
      <c r="MDY20" s="314" t="s">
        <v>203</v>
      </c>
      <c r="MDZ20" s="314" t="s">
        <v>203</v>
      </c>
      <c r="MEA20" s="314" t="s">
        <v>203</v>
      </c>
      <c r="MEB20" s="314" t="s">
        <v>203</v>
      </c>
      <c r="MEC20" s="314" t="s">
        <v>203</v>
      </c>
      <c r="MED20" s="314" t="s">
        <v>203</v>
      </c>
      <c r="MEE20" s="314" t="s">
        <v>203</v>
      </c>
      <c r="MEF20" s="314" t="s">
        <v>203</v>
      </c>
      <c r="MEG20" s="314" t="s">
        <v>203</v>
      </c>
      <c r="MEH20" s="314" t="s">
        <v>203</v>
      </c>
      <c r="MEI20" s="314" t="s">
        <v>203</v>
      </c>
      <c r="MEJ20" s="314" t="s">
        <v>203</v>
      </c>
      <c r="MEK20" s="314" t="s">
        <v>203</v>
      </c>
      <c r="MEL20" s="314" t="s">
        <v>203</v>
      </c>
      <c r="MEM20" s="314" t="s">
        <v>203</v>
      </c>
      <c r="MEN20" s="314" t="s">
        <v>203</v>
      </c>
      <c r="MEO20" s="314" t="s">
        <v>203</v>
      </c>
      <c r="MEP20" s="314" t="s">
        <v>203</v>
      </c>
      <c r="MEQ20" s="314" t="s">
        <v>203</v>
      </c>
      <c r="MER20" s="314" t="s">
        <v>203</v>
      </c>
      <c r="MES20" s="314" t="s">
        <v>203</v>
      </c>
      <c r="MET20" s="314" t="s">
        <v>203</v>
      </c>
      <c r="MEU20" s="314" t="s">
        <v>203</v>
      </c>
      <c r="MEV20" s="314" t="s">
        <v>203</v>
      </c>
      <c r="MEW20" s="314" t="s">
        <v>203</v>
      </c>
      <c r="MEX20" s="314" t="s">
        <v>203</v>
      </c>
      <c r="MEY20" s="314" t="s">
        <v>203</v>
      </c>
      <c r="MEZ20" s="314" t="s">
        <v>203</v>
      </c>
      <c r="MFA20" s="314" t="s">
        <v>203</v>
      </c>
      <c r="MFB20" s="314" t="s">
        <v>203</v>
      </c>
      <c r="MFC20" s="314" t="s">
        <v>203</v>
      </c>
      <c r="MFD20" s="314" t="s">
        <v>203</v>
      </c>
      <c r="MFE20" s="314" t="s">
        <v>203</v>
      </c>
      <c r="MFF20" s="314" t="s">
        <v>203</v>
      </c>
      <c r="MFG20" s="314" t="s">
        <v>203</v>
      </c>
      <c r="MFH20" s="314" t="s">
        <v>203</v>
      </c>
      <c r="MFI20" s="314" t="s">
        <v>203</v>
      </c>
      <c r="MFJ20" s="314" t="s">
        <v>203</v>
      </c>
      <c r="MFK20" s="314" t="s">
        <v>203</v>
      </c>
      <c r="MFL20" s="314" t="s">
        <v>203</v>
      </c>
      <c r="MFM20" s="314" t="s">
        <v>203</v>
      </c>
      <c r="MFN20" s="314" t="s">
        <v>203</v>
      </c>
      <c r="MFO20" s="314" t="s">
        <v>203</v>
      </c>
      <c r="MFP20" s="314" t="s">
        <v>203</v>
      </c>
      <c r="MFQ20" s="314" t="s">
        <v>203</v>
      </c>
      <c r="MFR20" s="314" t="s">
        <v>203</v>
      </c>
      <c r="MFS20" s="314" t="s">
        <v>203</v>
      </c>
      <c r="MFT20" s="314" t="s">
        <v>203</v>
      </c>
      <c r="MFU20" s="314" t="s">
        <v>203</v>
      </c>
      <c r="MFV20" s="314" t="s">
        <v>203</v>
      </c>
      <c r="MFW20" s="314" t="s">
        <v>203</v>
      </c>
      <c r="MFX20" s="314" t="s">
        <v>203</v>
      </c>
      <c r="MFY20" s="314" t="s">
        <v>203</v>
      </c>
      <c r="MFZ20" s="314" t="s">
        <v>203</v>
      </c>
      <c r="MGA20" s="314" t="s">
        <v>203</v>
      </c>
      <c r="MGB20" s="314" t="s">
        <v>203</v>
      </c>
      <c r="MGC20" s="314" t="s">
        <v>203</v>
      </c>
      <c r="MGD20" s="314" t="s">
        <v>203</v>
      </c>
      <c r="MGE20" s="314" t="s">
        <v>203</v>
      </c>
      <c r="MGF20" s="314" t="s">
        <v>203</v>
      </c>
      <c r="MGG20" s="314" t="s">
        <v>203</v>
      </c>
      <c r="MGH20" s="314" t="s">
        <v>203</v>
      </c>
      <c r="MGI20" s="314" t="s">
        <v>203</v>
      </c>
      <c r="MGJ20" s="314" t="s">
        <v>203</v>
      </c>
      <c r="MGK20" s="314" t="s">
        <v>203</v>
      </c>
      <c r="MGL20" s="314" t="s">
        <v>203</v>
      </c>
      <c r="MGM20" s="314" t="s">
        <v>203</v>
      </c>
      <c r="MGN20" s="314" t="s">
        <v>203</v>
      </c>
      <c r="MGO20" s="314" t="s">
        <v>203</v>
      </c>
      <c r="MGP20" s="314" t="s">
        <v>203</v>
      </c>
      <c r="MGQ20" s="314" t="s">
        <v>203</v>
      </c>
      <c r="MGR20" s="314" t="s">
        <v>203</v>
      </c>
      <c r="MGS20" s="314" t="s">
        <v>203</v>
      </c>
      <c r="MGT20" s="314" t="s">
        <v>203</v>
      </c>
      <c r="MGU20" s="314" t="s">
        <v>203</v>
      </c>
      <c r="MGV20" s="314" t="s">
        <v>203</v>
      </c>
      <c r="MGW20" s="314" t="s">
        <v>203</v>
      </c>
      <c r="MGX20" s="314" t="s">
        <v>203</v>
      </c>
      <c r="MGY20" s="314" t="s">
        <v>203</v>
      </c>
      <c r="MGZ20" s="314" t="s">
        <v>203</v>
      </c>
      <c r="MHA20" s="314" t="s">
        <v>203</v>
      </c>
      <c r="MHB20" s="314" t="s">
        <v>203</v>
      </c>
      <c r="MHC20" s="314" t="s">
        <v>203</v>
      </c>
      <c r="MHD20" s="314" t="s">
        <v>203</v>
      </c>
      <c r="MHE20" s="314" t="s">
        <v>203</v>
      </c>
      <c r="MHF20" s="314" t="s">
        <v>203</v>
      </c>
      <c r="MHG20" s="314" t="s">
        <v>203</v>
      </c>
      <c r="MHH20" s="314" t="s">
        <v>203</v>
      </c>
      <c r="MHI20" s="314" t="s">
        <v>203</v>
      </c>
      <c r="MHJ20" s="314" t="s">
        <v>203</v>
      </c>
      <c r="MHK20" s="314" t="s">
        <v>203</v>
      </c>
      <c r="MHL20" s="314" t="s">
        <v>203</v>
      </c>
      <c r="MHM20" s="314" t="s">
        <v>203</v>
      </c>
      <c r="MHN20" s="314" t="s">
        <v>203</v>
      </c>
      <c r="MHO20" s="314" t="s">
        <v>203</v>
      </c>
      <c r="MHP20" s="314" t="s">
        <v>203</v>
      </c>
      <c r="MHQ20" s="314" t="s">
        <v>203</v>
      </c>
      <c r="MHR20" s="314" t="s">
        <v>203</v>
      </c>
      <c r="MHS20" s="314" t="s">
        <v>203</v>
      </c>
      <c r="MHT20" s="314" t="s">
        <v>203</v>
      </c>
      <c r="MHU20" s="314" t="s">
        <v>203</v>
      </c>
      <c r="MHV20" s="314" t="s">
        <v>203</v>
      </c>
      <c r="MHW20" s="314" t="s">
        <v>203</v>
      </c>
      <c r="MHX20" s="314" t="s">
        <v>203</v>
      </c>
      <c r="MHY20" s="314" t="s">
        <v>203</v>
      </c>
      <c r="MHZ20" s="314" t="s">
        <v>203</v>
      </c>
      <c r="MIA20" s="314" t="s">
        <v>203</v>
      </c>
      <c r="MIB20" s="314" t="s">
        <v>203</v>
      </c>
      <c r="MIC20" s="314" t="s">
        <v>203</v>
      </c>
      <c r="MID20" s="314" t="s">
        <v>203</v>
      </c>
      <c r="MIE20" s="314" t="s">
        <v>203</v>
      </c>
      <c r="MIF20" s="314" t="s">
        <v>203</v>
      </c>
      <c r="MIG20" s="314" t="s">
        <v>203</v>
      </c>
      <c r="MIH20" s="314" t="s">
        <v>203</v>
      </c>
      <c r="MII20" s="314" t="s">
        <v>203</v>
      </c>
      <c r="MIJ20" s="314" t="s">
        <v>203</v>
      </c>
      <c r="MIK20" s="314" t="s">
        <v>203</v>
      </c>
      <c r="MIL20" s="314" t="s">
        <v>203</v>
      </c>
      <c r="MIM20" s="314" t="s">
        <v>203</v>
      </c>
      <c r="MIN20" s="314" t="s">
        <v>203</v>
      </c>
      <c r="MIO20" s="314" t="s">
        <v>203</v>
      </c>
      <c r="MIP20" s="314" t="s">
        <v>203</v>
      </c>
      <c r="MIQ20" s="314" t="s">
        <v>203</v>
      </c>
      <c r="MIR20" s="314" t="s">
        <v>203</v>
      </c>
      <c r="MIS20" s="314" t="s">
        <v>203</v>
      </c>
      <c r="MIT20" s="314" t="s">
        <v>203</v>
      </c>
      <c r="MIU20" s="314" t="s">
        <v>203</v>
      </c>
      <c r="MIV20" s="314" t="s">
        <v>203</v>
      </c>
      <c r="MIW20" s="314" t="s">
        <v>203</v>
      </c>
      <c r="MIX20" s="314" t="s">
        <v>203</v>
      </c>
      <c r="MIY20" s="314" t="s">
        <v>203</v>
      </c>
      <c r="MIZ20" s="314" t="s">
        <v>203</v>
      </c>
      <c r="MJA20" s="314" t="s">
        <v>203</v>
      </c>
      <c r="MJB20" s="314" t="s">
        <v>203</v>
      </c>
      <c r="MJC20" s="314" t="s">
        <v>203</v>
      </c>
      <c r="MJD20" s="314" t="s">
        <v>203</v>
      </c>
      <c r="MJE20" s="314" t="s">
        <v>203</v>
      </c>
      <c r="MJF20" s="314" t="s">
        <v>203</v>
      </c>
      <c r="MJG20" s="314" t="s">
        <v>203</v>
      </c>
      <c r="MJH20" s="314" t="s">
        <v>203</v>
      </c>
      <c r="MJI20" s="314" t="s">
        <v>203</v>
      </c>
      <c r="MJJ20" s="314" t="s">
        <v>203</v>
      </c>
      <c r="MJK20" s="314" t="s">
        <v>203</v>
      </c>
      <c r="MJL20" s="314" t="s">
        <v>203</v>
      </c>
      <c r="MJM20" s="314" t="s">
        <v>203</v>
      </c>
      <c r="MJN20" s="314" t="s">
        <v>203</v>
      </c>
      <c r="MJO20" s="314" t="s">
        <v>203</v>
      </c>
      <c r="MJP20" s="314" t="s">
        <v>203</v>
      </c>
      <c r="MJQ20" s="314" t="s">
        <v>203</v>
      </c>
      <c r="MJR20" s="314" t="s">
        <v>203</v>
      </c>
      <c r="MJS20" s="314" t="s">
        <v>203</v>
      </c>
      <c r="MJT20" s="314" t="s">
        <v>203</v>
      </c>
      <c r="MJU20" s="314" t="s">
        <v>203</v>
      </c>
      <c r="MJV20" s="314" t="s">
        <v>203</v>
      </c>
      <c r="MJW20" s="314" t="s">
        <v>203</v>
      </c>
      <c r="MJX20" s="314" t="s">
        <v>203</v>
      </c>
      <c r="MJY20" s="314" t="s">
        <v>203</v>
      </c>
      <c r="MJZ20" s="314" t="s">
        <v>203</v>
      </c>
      <c r="MKA20" s="314" t="s">
        <v>203</v>
      </c>
      <c r="MKB20" s="314" t="s">
        <v>203</v>
      </c>
      <c r="MKC20" s="314" t="s">
        <v>203</v>
      </c>
      <c r="MKD20" s="314" t="s">
        <v>203</v>
      </c>
      <c r="MKE20" s="314" t="s">
        <v>203</v>
      </c>
      <c r="MKF20" s="314" t="s">
        <v>203</v>
      </c>
      <c r="MKG20" s="314" t="s">
        <v>203</v>
      </c>
      <c r="MKH20" s="314" t="s">
        <v>203</v>
      </c>
      <c r="MKI20" s="314" t="s">
        <v>203</v>
      </c>
      <c r="MKJ20" s="314" t="s">
        <v>203</v>
      </c>
      <c r="MKK20" s="314" t="s">
        <v>203</v>
      </c>
      <c r="MKL20" s="314" t="s">
        <v>203</v>
      </c>
      <c r="MKM20" s="314" t="s">
        <v>203</v>
      </c>
      <c r="MKN20" s="314" t="s">
        <v>203</v>
      </c>
      <c r="MKO20" s="314" t="s">
        <v>203</v>
      </c>
      <c r="MKP20" s="314" t="s">
        <v>203</v>
      </c>
      <c r="MKQ20" s="314" t="s">
        <v>203</v>
      </c>
      <c r="MKR20" s="314" t="s">
        <v>203</v>
      </c>
      <c r="MKS20" s="314" t="s">
        <v>203</v>
      </c>
      <c r="MKT20" s="314" t="s">
        <v>203</v>
      </c>
      <c r="MKU20" s="314" t="s">
        <v>203</v>
      </c>
      <c r="MKV20" s="314" t="s">
        <v>203</v>
      </c>
      <c r="MKW20" s="314" t="s">
        <v>203</v>
      </c>
      <c r="MKX20" s="314" t="s">
        <v>203</v>
      </c>
      <c r="MKY20" s="314" t="s">
        <v>203</v>
      </c>
      <c r="MKZ20" s="314" t="s">
        <v>203</v>
      </c>
      <c r="MLA20" s="314" t="s">
        <v>203</v>
      </c>
      <c r="MLB20" s="314" t="s">
        <v>203</v>
      </c>
      <c r="MLC20" s="314" t="s">
        <v>203</v>
      </c>
      <c r="MLD20" s="314" t="s">
        <v>203</v>
      </c>
      <c r="MLE20" s="314" t="s">
        <v>203</v>
      </c>
      <c r="MLF20" s="314" t="s">
        <v>203</v>
      </c>
      <c r="MLG20" s="314" t="s">
        <v>203</v>
      </c>
      <c r="MLH20" s="314" t="s">
        <v>203</v>
      </c>
      <c r="MLI20" s="314" t="s">
        <v>203</v>
      </c>
      <c r="MLJ20" s="314" t="s">
        <v>203</v>
      </c>
      <c r="MLK20" s="314" t="s">
        <v>203</v>
      </c>
      <c r="MLL20" s="314" t="s">
        <v>203</v>
      </c>
      <c r="MLM20" s="314" t="s">
        <v>203</v>
      </c>
      <c r="MLN20" s="314" t="s">
        <v>203</v>
      </c>
      <c r="MLO20" s="314" t="s">
        <v>203</v>
      </c>
      <c r="MLP20" s="314" t="s">
        <v>203</v>
      </c>
      <c r="MLQ20" s="314" t="s">
        <v>203</v>
      </c>
      <c r="MLR20" s="314" t="s">
        <v>203</v>
      </c>
      <c r="MLS20" s="314" t="s">
        <v>203</v>
      </c>
      <c r="MLT20" s="314" t="s">
        <v>203</v>
      </c>
      <c r="MLU20" s="314" t="s">
        <v>203</v>
      </c>
      <c r="MLV20" s="314" t="s">
        <v>203</v>
      </c>
      <c r="MLW20" s="314" t="s">
        <v>203</v>
      </c>
      <c r="MLX20" s="314" t="s">
        <v>203</v>
      </c>
      <c r="MLY20" s="314" t="s">
        <v>203</v>
      </c>
      <c r="MLZ20" s="314" t="s">
        <v>203</v>
      </c>
      <c r="MMA20" s="314" t="s">
        <v>203</v>
      </c>
      <c r="MMB20" s="314" t="s">
        <v>203</v>
      </c>
      <c r="MMC20" s="314" t="s">
        <v>203</v>
      </c>
      <c r="MMD20" s="314" t="s">
        <v>203</v>
      </c>
      <c r="MME20" s="314" t="s">
        <v>203</v>
      </c>
      <c r="MMF20" s="314" t="s">
        <v>203</v>
      </c>
      <c r="MMG20" s="314" t="s">
        <v>203</v>
      </c>
      <c r="MMH20" s="314" t="s">
        <v>203</v>
      </c>
      <c r="MMI20" s="314" t="s">
        <v>203</v>
      </c>
      <c r="MMJ20" s="314" t="s">
        <v>203</v>
      </c>
      <c r="MMK20" s="314" t="s">
        <v>203</v>
      </c>
      <c r="MML20" s="314" t="s">
        <v>203</v>
      </c>
      <c r="MMM20" s="314" t="s">
        <v>203</v>
      </c>
      <c r="MMN20" s="314" t="s">
        <v>203</v>
      </c>
      <c r="MMO20" s="314" t="s">
        <v>203</v>
      </c>
      <c r="MMP20" s="314" t="s">
        <v>203</v>
      </c>
      <c r="MMQ20" s="314" t="s">
        <v>203</v>
      </c>
      <c r="MMR20" s="314" t="s">
        <v>203</v>
      </c>
      <c r="MMS20" s="314" t="s">
        <v>203</v>
      </c>
      <c r="MMT20" s="314" t="s">
        <v>203</v>
      </c>
      <c r="MMU20" s="314" t="s">
        <v>203</v>
      </c>
      <c r="MMV20" s="314" t="s">
        <v>203</v>
      </c>
      <c r="MMW20" s="314" t="s">
        <v>203</v>
      </c>
      <c r="MMX20" s="314" t="s">
        <v>203</v>
      </c>
      <c r="MMY20" s="314" t="s">
        <v>203</v>
      </c>
      <c r="MMZ20" s="314" t="s">
        <v>203</v>
      </c>
      <c r="MNA20" s="314" t="s">
        <v>203</v>
      </c>
      <c r="MNB20" s="314" t="s">
        <v>203</v>
      </c>
      <c r="MNC20" s="314" t="s">
        <v>203</v>
      </c>
      <c r="MND20" s="314" t="s">
        <v>203</v>
      </c>
      <c r="MNE20" s="314" t="s">
        <v>203</v>
      </c>
      <c r="MNF20" s="314" t="s">
        <v>203</v>
      </c>
      <c r="MNG20" s="314" t="s">
        <v>203</v>
      </c>
      <c r="MNH20" s="314" t="s">
        <v>203</v>
      </c>
      <c r="MNI20" s="314" t="s">
        <v>203</v>
      </c>
      <c r="MNJ20" s="314" t="s">
        <v>203</v>
      </c>
      <c r="MNK20" s="314" t="s">
        <v>203</v>
      </c>
      <c r="MNL20" s="314" t="s">
        <v>203</v>
      </c>
      <c r="MNM20" s="314" t="s">
        <v>203</v>
      </c>
      <c r="MNN20" s="314" t="s">
        <v>203</v>
      </c>
      <c r="MNO20" s="314" t="s">
        <v>203</v>
      </c>
      <c r="MNP20" s="314" t="s">
        <v>203</v>
      </c>
      <c r="MNQ20" s="314" t="s">
        <v>203</v>
      </c>
      <c r="MNR20" s="314" t="s">
        <v>203</v>
      </c>
      <c r="MNS20" s="314" t="s">
        <v>203</v>
      </c>
      <c r="MNT20" s="314" t="s">
        <v>203</v>
      </c>
      <c r="MNU20" s="314" t="s">
        <v>203</v>
      </c>
      <c r="MNV20" s="314" t="s">
        <v>203</v>
      </c>
      <c r="MNW20" s="314" t="s">
        <v>203</v>
      </c>
      <c r="MNX20" s="314" t="s">
        <v>203</v>
      </c>
      <c r="MNY20" s="314" t="s">
        <v>203</v>
      </c>
      <c r="MNZ20" s="314" t="s">
        <v>203</v>
      </c>
      <c r="MOA20" s="314" t="s">
        <v>203</v>
      </c>
      <c r="MOB20" s="314" t="s">
        <v>203</v>
      </c>
      <c r="MOC20" s="314" t="s">
        <v>203</v>
      </c>
      <c r="MOD20" s="314" t="s">
        <v>203</v>
      </c>
      <c r="MOE20" s="314" t="s">
        <v>203</v>
      </c>
      <c r="MOF20" s="314" t="s">
        <v>203</v>
      </c>
      <c r="MOG20" s="314" t="s">
        <v>203</v>
      </c>
      <c r="MOH20" s="314" t="s">
        <v>203</v>
      </c>
      <c r="MOI20" s="314" t="s">
        <v>203</v>
      </c>
      <c r="MOJ20" s="314" t="s">
        <v>203</v>
      </c>
      <c r="MOK20" s="314" t="s">
        <v>203</v>
      </c>
      <c r="MOL20" s="314" t="s">
        <v>203</v>
      </c>
      <c r="MOM20" s="314" t="s">
        <v>203</v>
      </c>
      <c r="MON20" s="314" t="s">
        <v>203</v>
      </c>
      <c r="MOO20" s="314" t="s">
        <v>203</v>
      </c>
      <c r="MOP20" s="314" t="s">
        <v>203</v>
      </c>
      <c r="MOQ20" s="314" t="s">
        <v>203</v>
      </c>
      <c r="MOR20" s="314" t="s">
        <v>203</v>
      </c>
      <c r="MOS20" s="314" t="s">
        <v>203</v>
      </c>
      <c r="MOT20" s="314" t="s">
        <v>203</v>
      </c>
      <c r="MOU20" s="314" t="s">
        <v>203</v>
      </c>
      <c r="MOV20" s="314" t="s">
        <v>203</v>
      </c>
      <c r="MOW20" s="314" t="s">
        <v>203</v>
      </c>
      <c r="MOX20" s="314" t="s">
        <v>203</v>
      </c>
      <c r="MOY20" s="314" t="s">
        <v>203</v>
      </c>
      <c r="MOZ20" s="314" t="s">
        <v>203</v>
      </c>
      <c r="MPA20" s="314" t="s">
        <v>203</v>
      </c>
      <c r="MPB20" s="314" t="s">
        <v>203</v>
      </c>
      <c r="MPC20" s="314" t="s">
        <v>203</v>
      </c>
      <c r="MPD20" s="314" t="s">
        <v>203</v>
      </c>
      <c r="MPE20" s="314" t="s">
        <v>203</v>
      </c>
      <c r="MPF20" s="314" t="s">
        <v>203</v>
      </c>
      <c r="MPG20" s="314" t="s">
        <v>203</v>
      </c>
      <c r="MPH20" s="314" t="s">
        <v>203</v>
      </c>
      <c r="MPI20" s="314" t="s">
        <v>203</v>
      </c>
      <c r="MPJ20" s="314" t="s">
        <v>203</v>
      </c>
      <c r="MPK20" s="314" t="s">
        <v>203</v>
      </c>
      <c r="MPL20" s="314" t="s">
        <v>203</v>
      </c>
      <c r="MPM20" s="314" t="s">
        <v>203</v>
      </c>
      <c r="MPN20" s="314" t="s">
        <v>203</v>
      </c>
      <c r="MPO20" s="314" t="s">
        <v>203</v>
      </c>
      <c r="MPP20" s="314" t="s">
        <v>203</v>
      </c>
      <c r="MPQ20" s="314" t="s">
        <v>203</v>
      </c>
      <c r="MPR20" s="314" t="s">
        <v>203</v>
      </c>
      <c r="MPS20" s="314" t="s">
        <v>203</v>
      </c>
      <c r="MPT20" s="314" t="s">
        <v>203</v>
      </c>
      <c r="MPU20" s="314" t="s">
        <v>203</v>
      </c>
      <c r="MPV20" s="314" t="s">
        <v>203</v>
      </c>
      <c r="MPW20" s="314" t="s">
        <v>203</v>
      </c>
      <c r="MPX20" s="314" t="s">
        <v>203</v>
      </c>
      <c r="MPY20" s="314" t="s">
        <v>203</v>
      </c>
      <c r="MPZ20" s="314" t="s">
        <v>203</v>
      </c>
      <c r="MQA20" s="314" t="s">
        <v>203</v>
      </c>
      <c r="MQB20" s="314" t="s">
        <v>203</v>
      </c>
      <c r="MQC20" s="314" t="s">
        <v>203</v>
      </c>
      <c r="MQD20" s="314" t="s">
        <v>203</v>
      </c>
      <c r="MQE20" s="314" t="s">
        <v>203</v>
      </c>
      <c r="MQF20" s="314" t="s">
        <v>203</v>
      </c>
      <c r="MQG20" s="314" t="s">
        <v>203</v>
      </c>
      <c r="MQH20" s="314" t="s">
        <v>203</v>
      </c>
      <c r="MQI20" s="314" t="s">
        <v>203</v>
      </c>
      <c r="MQJ20" s="314" t="s">
        <v>203</v>
      </c>
      <c r="MQK20" s="314" t="s">
        <v>203</v>
      </c>
      <c r="MQL20" s="314" t="s">
        <v>203</v>
      </c>
      <c r="MQM20" s="314" t="s">
        <v>203</v>
      </c>
      <c r="MQN20" s="314" t="s">
        <v>203</v>
      </c>
      <c r="MQO20" s="314" t="s">
        <v>203</v>
      </c>
      <c r="MQP20" s="314" t="s">
        <v>203</v>
      </c>
      <c r="MQQ20" s="314" t="s">
        <v>203</v>
      </c>
      <c r="MQR20" s="314" t="s">
        <v>203</v>
      </c>
      <c r="MQS20" s="314" t="s">
        <v>203</v>
      </c>
      <c r="MQT20" s="314" t="s">
        <v>203</v>
      </c>
      <c r="MQU20" s="314" t="s">
        <v>203</v>
      </c>
      <c r="MQV20" s="314" t="s">
        <v>203</v>
      </c>
      <c r="MQW20" s="314" t="s">
        <v>203</v>
      </c>
      <c r="MQX20" s="314" t="s">
        <v>203</v>
      </c>
      <c r="MQY20" s="314" t="s">
        <v>203</v>
      </c>
      <c r="MQZ20" s="314" t="s">
        <v>203</v>
      </c>
      <c r="MRA20" s="314" t="s">
        <v>203</v>
      </c>
      <c r="MRB20" s="314" t="s">
        <v>203</v>
      </c>
      <c r="MRC20" s="314" t="s">
        <v>203</v>
      </c>
      <c r="MRD20" s="314" t="s">
        <v>203</v>
      </c>
      <c r="MRE20" s="314" t="s">
        <v>203</v>
      </c>
      <c r="MRF20" s="314" t="s">
        <v>203</v>
      </c>
      <c r="MRG20" s="314" t="s">
        <v>203</v>
      </c>
      <c r="MRH20" s="314" t="s">
        <v>203</v>
      </c>
      <c r="MRI20" s="314" t="s">
        <v>203</v>
      </c>
      <c r="MRJ20" s="314" t="s">
        <v>203</v>
      </c>
      <c r="MRK20" s="314" t="s">
        <v>203</v>
      </c>
      <c r="MRL20" s="314" t="s">
        <v>203</v>
      </c>
      <c r="MRM20" s="314" t="s">
        <v>203</v>
      </c>
      <c r="MRN20" s="314" t="s">
        <v>203</v>
      </c>
      <c r="MRO20" s="314" t="s">
        <v>203</v>
      </c>
      <c r="MRP20" s="314" t="s">
        <v>203</v>
      </c>
      <c r="MRQ20" s="314" t="s">
        <v>203</v>
      </c>
      <c r="MRR20" s="314" t="s">
        <v>203</v>
      </c>
      <c r="MRS20" s="314" t="s">
        <v>203</v>
      </c>
      <c r="MRT20" s="314" t="s">
        <v>203</v>
      </c>
      <c r="MRU20" s="314" t="s">
        <v>203</v>
      </c>
      <c r="MRV20" s="314" t="s">
        <v>203</v>
      </c>
      <c r="MRW20" s="314" t="s">
        <v>203</v>
      </c>
      <c r="MRX20" s="314" t="s">
        <v>203</v>
      </c>
      <c r="MRY20" s="314" t="s">
        <v>203</v>
      </c>
      <c r="MRZ20" s="314" t="s">
        <v>203</v>
      </c>
      <c r="MSA20" s="314" t="s">
        <v>203</v>
      </c>
      <c r="MSB20" s="314" t="s">
        <v>203</v>
      </c>
      <c r="MSC20" s="314" t="s">
        <v>203</v>
      </c>
      <c r="MSD20" s="314" t="s">
        <v>203</v>
      </c>
      <c r="MSE20" s="314" t="s">
        <v>203</v>
      </c>
      <c r="MSF20" s="314" t="s">
        <v>203</v>
      </c>
      <c r="MSG20" s="314" t="s">
        <v>203</v>
      </c>
      <c r="MSH20" s="314" t="s">
        <v>203</v>
      </c>
      <c r="MSI20" s="314" t="s">
        <v>203</v>
      </c>
      <c r="MSJ20" s="314" t="s">
        <v>203</v>
      </c>
      <c r="MSK20" s="314" t="s">
        <v>203</v>
      </c>
      <c r="MSL20" s="314" t="s">
        <v>203</v>
      </c>
      <c r="MSM20" s="314" t="s">
        <v>203</v>
      </c>
      <c r="MSN20" s="314" t="s">
        <v>203</v>
      </c>
      <c r="MSO20" s="314" t="s">
        <v>203</v>
      </c>
      <c r="MSP20" s="314" t="s">
        <v>203</v>
      </c>
      <c r="MSQ20" s="314" t="s">
        <v>203</v>
      </c>
      <c r="MSR20" s="314" t="s">
        <v>203</v>
      </c>
      <c r="MSS20" s="314" t="s">
        <v>203</v>
      </c>
      <c r="MST20" s="314" t="s">
        <v>203</v>
      </c>
      <c r="MSU20" s="314" t="s">
        <v>203</v>
      </c>
      <c r="MSV20" s="314" t="s">
        <v>203</v>
      </c>
      <c r="MSW20" s="314" t="s">
        <v>203</v>
      </c>
      <c r="MSX20" s="314" t="s">
        <v>203</v>
      </c>
      <c r="MSY20" s="314" t="s">
        <v>203</v>
      </c>
      <c r="MSZ20" s="314" t="s">
        <v>203</v>
      </c>
      <c r="MTA20" s="314" t="s">
        <v>203</v>
      </c>
      <c r="MTB20" s="314" t="s">
        <v>203</v>
      </c>
      <c r="MTC20" s="314" t="s">
        <v>203</v>
      </c>
      <c r="MTD20" s="314" t="s">
        <v>203</v>
      </c>
      <c r="MTE20" s="314" t="s">
        <v>203</v>
      </c>
      <c r="MTF20" s="314" t="s">
        <v>203</v>
      </c>
      <c r="MTG20" s="314" t="s">
        <v>203</v>
      </c>
      <c r="MTH20" s="314" t="s">
        <v>203</v>
      </c>
      <c r="MTI20" s="314" t="s">
        <v>203</v>
      </c>
      <c r="MTJ20" s="314" t="s">
        <v>203</v>
      </c>
      <c r="MTK20" s="314" t="s">
        <v>203</v>
      </c>
      <c r="MTL20" s="314" t="s">
        <v>203</v>
      </c>
      <c r="MTM20" s="314" t="s">
        <v>203</v>
      </c>
      <c r="MTN20" s="314" t="s">
        <v>203</v>
      </c>
      <c r="MTO20" s="314" t="s">
        <v>203</v>
      </c>
      <c r="MTP20" s="314" t="s">
        <v>203</v>
      </c>
      <c r="MTQ20" s="314" t="s">
        <v>203</v>
      </c>
      <c r="MTR20" s="314" t="s">
        <v>203</v>
      </c>
      <c r="MTS20" s="314" t="s">
        <v>203</v>
      </c>
      <c r="MTT20" s="314" t="s">
        <v>203</v>
      </c>
      <c r="MTU20" s="314" t="s">
        <v>203</v>
      </c>
      <c r="MTV20" s="314" t="s">
        <v>203</v>
      </c>
      <c r="MTW20" s="314" t="s">
        <v>203</v>
      </c>
      <c r="MTX20" s="314" t="s">
        <v>203</v>
      </c>
      <c r="MTY20" s="314" t="s">
        <v>203</v>
      </c>
      <c r="MTZ20" s="314" t="s">
        <v>203</v>
      </c>
      <c r="MUA20" s="314" t="s">
        <v>203</v>
      </c>
      <c r="MUB20" s="314" t="s">
        <v>203</v>
      </c>
      <c r="MUC20" s="314" t="s">
        <v>203</v>
      </c>
      <c r="MUD20" s="314" t="s">
        <v>203</v>
      </c>
      <c r="MUE20" s="314" t="s">
        <v>203</v>
      </c>
      <c r="MUF20" s="314" t="s">
        <v>203</v>
      </c>
      <c r="MUG20" s="314" t="s">
        <v>203</v>
      </c>
      <c r="MUH20" s="314" t="s">
        <v>203</v>
      </c>
      <c r="MUI20" s="314" t="s">
        <v>203</v>
      </c>
      <c r="MUJ20" s="314" t="s">
        <v>203</v>
      </c>
      <c r="MUK20" s="314" t="s">
        <v>203</v>
      </c>
      <c r="MUL20" s="314" t="s">
        <v>203</v>
      </c>
      <c r="MUM20" s="314" t="s">
        <v>203</v>
      </c>
      <c r="MUN20" s="314" t="s">
        <v>203</v>
      </c>
      <c r="MUO20" s="314" t="s">
        <v>203</v>
      </c>
      <c r="MUP20" s="314" t="s">
        <v>203</v>
      </c>
      <c r="MUQ20" s="314" t="s">
        <v>203</v>
      </c>
      <c r="MUR20" s="314" t="s">
        <v>203</v>
      </c>
      <c r="MUS20" s="314" t="s">
        <v>203</v>
      </c>
      <c r="MUT20" s="314" t="s">
        <v>203</v>
      </c>
      <c r="MUU20" s="314" t="s">
        <v>203</v>
      </c>
      <c r="MUV20" s="314" t="s">
        <v>203</v>
      </c>
      <c r="MUW20" s="314" t="s">
        <v>203</v>
      </c>
      <c r="MUX20" s="314" t="s">
        <v>203</v>
      </c>
      <c r="MUY20" s="314" t="s">
        <v>203</v>
      </c>
      <c r="MUZ20" s="314" t="s">
        <v>203</v>
      </c>
      <c r="MVA20" s="314" t="s">
        <v>203</v>
      </c>
      <c r="MVB20" s="314" t="s">
        <v>203</v>
      </c>
      <c r="MVC20" s="314" t="s">
        <v>203</v>
      </c>
      <c r="MVD20" s="314" t="s">
        <v>203</v>
      </c>
      <c r="MVE20" s="314" t="s">
        <v>203</v>
      </c>
      <c r="MVF20" s="314" t="s">
        <v>203</v>
      </c>
      <c r="MVG20" s="314" t="s">
        <v>203</v>
      </c>
      <c r="MVH20" s="314" t="s">
        <v>203</v>
      </c>
      <c r="MVI20" s="314" t="s">
        <v>203</v>
      </c>
      <c r="MVJ20" s="314" t="s">
        <v>203</v>
      </c>
      <c r="MVK20" s="314" t="s">
        <v>203</v>
      </c>
      <c r="MVL20" s="314" t="s">
        <v>203</v>
      </c>
      <c r="MVM20" s="314" t="s">
        <v>203</v>
      </c>
      <c r="MVN20" s="314" t="s">
        <v>203</v>
      </c>
      <c r="MVO20" s="314" t="s">
        <v>203</v>
      </c>
      <c r="MVP20" s="314" t="s">
        <v>203</v>
      </c>
      <c r="MVQ20" s="314" t="s">
        <v>203</v>
      </c>
      <c r="MVR20" s="314" t="s">
        <v>203</v>
      </c>
      <c r="MVS20" s="314" t="s">
        <v>203</v>
      </c>
      <c r="MVT20" s="314" t="s">
        <v>203</v>
      </c>
      <c r="MVU20" s="314" t="s">
        <v>203</v>
      </c>
      <c r="MVV20" s="314" t="s">
        <v>203</v>
      </c>
      <c r="MVW20" s="314" t="s">
        <v>203</v>
      </c>
      <c r="MVX20" s="314" t="s">
        <v>203</v>
      </c>
      <c r="MVY20" s="314" t="s">
        <v>203</v>
      </c>
      <c r="MVZ20" s="314" t="s">
        <v>203</v>
      </c>
      <c r="MWA20" s="314" t="s">
        <v>203</v>
      </c>
      <c r="MWB20" s="314" t="s">
        <v>203</v>
      </c>
      <c r="MWC20" s="314" t="s">
        <v>203</v>
      </c>
      <c r="MWD20" s="314" t="s">
        <v>203</v>
      </c>
      <c r="MWE20" s="314" t="s">
        <v>203</v>
      </c>
      <c r="MWF20" s="314" t="s">
        <v>203</v>
      </c>
      <c r="MWG20" s="314" t="s">
        <v>203</v>
      </c>
      <c r="MWH20" s="314" t="s">
        <v>203</v>
      </c>
      <c r="MWI20" s="314" t="s">
        <v>203</v>
      </c>
      <c r="MWJ20" s="314" t="s">
        <v>203</v>
      </c>
      <c r="MWK20" s="314" t="s">
        <v>203</v>
      </c>
      <c r="MWL20" s="314" t="s">
        <v>203</v>
      </c>
      <c r="MWM20" s="314" t="s">
        <v>203</v>
      </c>
      <c r="MWN20" s="314" t="s">
        <v>203</v>
      </c>
      <c r="MWO20" s="314" t="s">
        <v>203</v>
      </c>
      <c r="MWP20" s="314" t="s">
        <v>203</v>
      </c>
      <c r="MWQ20" s="314" t="s">
        <v>203</v>
      </c>
      <c r="MWR20" s="314" t="s">
        <v>203</v>
      </c>
      <c r="MWS20" s="314" t="s">
        <v>203</v>
      </c>
      <c r="MWT20" s="314" t="s">
        <v>203</v>
      </c>
      <c r="MWU20" s="314" t="s">
        <v>203</v>
      </c>
      <c r="MWV20" s="314" t="s">
        <v>203</v>
      </c>
      <c r="MWW20" s="314" t="s">
        <v>203</v>
      </c>
      <c r="MWX20" s="314" t="s">
        <v>203</v>
      </c>
      <c r="MWY20" s="314" t="s">
        <v>203</v>
      </c>
      <c r="MWZ20" s="314" t="s">
        <v>203</v>
      </c>
      <c r="MXA20" s="314" t="s">
        <v>203</v>
      </c>
      <c r="MXB20" s="314" t="s">
        <v>203</v>
      </c>
      <c r="MXC20" s="314" t="s">
        <v>203</v>
      </c>
      <c r="MXD20" s="314" t="s">
        <v>203</v>
      </c>
      <c r="MXE20" s="314" t="s">
        <v>203</v>
      </c>
      <c r="MXF20" s="314" t="s">
        <v>203</v>
      </c>
      <c r="MXG20" s="314" t="s">
        <v>203</v>
      </c>
      <c r="MXH20" s="314" t="s">
        <v>203</v>
      </c>
      <c r="MXI20" s="314" t="s">
        <v>203</v>
      </c>
      <c r="MXJ20" s="314" t="s">
        <v>203</v>
      </c>
      <c r="MXK20" s="314" t="s">
        <v>203</v>
      </c>
      <c r="MXL20" s="314" t="s">
        <v>203</v>
      </c>
      <c r="MXM20" s="314" t="s">
        <v>203</v>
      </c>
      <c r="MXN20" s="314" t="s">
        <v>203</v>
      </c>
      <c r="MXO20" s="314" t="s">
        <v>203</v>
      </c>
      <c r="MXP20" s="314" t="s">
        <v>203</v>
      </c>
      <c r="MXQ20" s="314" t="s">
        <v>203</v>
      </c>
      <c r="MXR20" s="314" t="s">
        <v>203</v>
      </c>
      <c r="MXS20" s="314" t="s">
        <v>203</v>
      </c>
      <c r="MXT20" s="314" t="s">
        <v>203</v>
      </c>
      <c r="MXU20" s="314" t="s">
        <v>203</v>
      </c>
      <c r="MXV20" s="314" t="s">
        <v>203</v>
      </c>
      <c r="MXW20" s="314" t="s">
        <v>203</v>
      </c>
      <c r="MXX20" s="314" t="s">
        <v>203</v>
      </c>
      <c r="MXY20" s="314" t="s">
        <v>203</v>
      </c>
      <c r="MXZ20" s="314" t="s">
        <v>203</v>
      </c>
      <c r="MYA20" s="314" t="s">
        <v>203</v>
      </c>
      <c r="MYB20" s="314" t="s">
        <v>203</v>
      </c>
      <c r="MYC20" s="314" t="s">
        <v>203</v>
      </c>
      <c r="MYD20" s="314" t="s">
        <v>203</v>
      </c>
      <c r="MYE20" s="314" t="s">
        <v>203</v>
      </c>
      <c r="MYF20" s="314" t="s">
        <v>203</v>
      </c>
      <c r="MYG20" s="314" t="s">
        <v>203</v>
      </c>
      <c r="MYH20" s="314" t="s">
        <v>203</v>
      </c>
      <c r="MYI20" s="314" t="s">
        <v>203</v>
      </c>
      <c r="MYJ20" s="314" t="s">
        <v>203</v>
      </c>
      <c r="MYK20" s="314" t="s">
        <v>203</v>
      </c>
      <c r="MYL20" s="314" t="s">
        <v>203</v>
      </c>
      <c r="MYM20" s="314" t="s">
        <v>203</v>
      </c>
      <c r="MYN20" s="314" t="s">
        <v>203</v>
      </c>
      <c r="MYO20" s="314" t="s">
        <v>203</v>
      </c>
      <c r="MYP20" s="314" t="s">
        <v>203</v>
      </c>
      <c r="MYQ20" s="314" t="s">
        <v>203</v>
      </c>
      <c r="MYR20" s="314" t="s">
        <v>203</v>
      </c>
      <c r="MYS20" s="314" t="s">
        <v>203</v>
      </c>
      <c r="MYT20" s="314" t="s">
        <v>203</v>
      </c>
      <c r="MYU20" s="314" t="s">
        <v>203</v>
      </c>
      <c r="MYV20" s="314" t="s">
        <v>203</v>
      </c>
      <c r="MYW20" s="314" t="s">
        <v>203</v>
      </c>
      <c r="MYX20" s="314" t="s">
        <v>203</v>
      </c>
      <c r="MYY20" s="314" t="s">
        <v>203</v>
      </c>
      <c r="MYZ20" s="314" t="s">
        <v>203</v>
      </c>
      <c r="MZA20" s="314" t="s">
        <v>203</v>
      </c>
      <c r="MZB20" s="314" t="s">
        <v>203</v>
      </c>
      <c r="MZC20" s="314" t="s">
        <v>203</v>
      </c>
      <c r="MZD20" s="314" t="s">
        <v>203</v>
      </c>
      <c r="MZE20" s="314" t="s">
        <v>203</v>
      </c>
      <c r="MZF20" s="314" t="s">
        <v>203</v>
      </c>
      <c r="MZG20" s="314" t="s">
        <v>203</v>
      </c>
      <c r="MZH20" s="314" t="s">
        <v>203</v>
      </c>
      <c r="MZI20" s="314" t="s">
        <v>203</v>
      </c>
      <c r="MZJ20" s="314" t="s">
        <v>203</v>
      </c>
      <c r="MZK20" s="314" t="s">
        <v>203</v>
      </c>
      <c r="MZL20" s="314" t="s">
        <v>203</v>
      </c>
      <c r="MZM20" s="314" t="s">
        <v>203</v>
      </c>
      <c r="MZN20" s="314" t="s">
        <v>203</v>
      </c>
      <c r="MZO20" s="314" t="s">
        <v>203</v>
      </c>
      <c r="MZP20" s="314" t="s">
        <v>203</v>
      </c>
      <c r="MZQ20" s="314" t="s">
        <v>203</v>
      </c>
      <c r="MZR20" s="314" t="s">
        <v>203</v>
      </c>
      <c r="MZS20" s="314" t="s">
        <v>203</v>
      </c>
      <c r="MZT20" s="314" t="s">
        <v>203</v>
      </c>
      <c r="MZU20" s="314" t="s">
        <v>203</v>
      </c>
      <c r="MZV20" s="314" t="s">
        <v>203</v>
      </c>
      <c r="MZW20" s="314" t="s">
        <v>203</v>
      </c>
      <c r="MZX20" s="314" t="s">
        <v>203</v>
      </c>
      <c r="MZY20" s="314" t="s">
        <v>203</v>
      </c>
      <c r="MZZ20" s="314" t="s">
        <v>203</v>
      </c>
      <c r="NAA20" s="314" t="s">
        <v>203</v>
      </c>
      <c r="NAB20" s="314" t="s">
        <v>203</v>
      </c>
      <c r="NAC20" s="314" t="s">
        <v>203</v>
      </c>
      <c r="NAD20" s="314" t="s">
        <v>203</v>
      </c>
      <c r="NAE20" s="314" t="s">
        <v>203</v>
      </c>
      <c r="NAF20" s="314" t="s">
        <v>203</v>
      </c>
      <c r="NAG20" s="314" t="s">
        <v>203</v>
      </c>
      <c r="NAH20" s="314" t="s">
        <v>203</v>
      </c>
      <c r="NAI20" s="314" t="s">
        <v>203</v>
      </c>
      <c r="NAJ20" s="314" t="s">
        <v>203</v>
      </c>
      <c r="NAK20" s="314" t="s">
        <v>203</v>
      </c>
      <c r="NAL20" s="314" t="s">
        <v>203</v>
      </c>
      <c r="NAM20" s="314" t="s">
        <v>203</v>
      </c>
      <c r="NAN20" s="314" t="s">
        <v>203</v>
      </c>
      <c r="NAO20" s="314" t="s">
        <v>203</v>
      </c>
      <c r="NAP20" s="314" t="s">
        <v>203</v>
      </c>
      <c r="NAQ20" s="314" t="s">
        <v>203</v>
      </c>
      <c r="NAR20" s="314" t="s">
        <v>203</v>
      </c>
      <c r="NAS20" s="314" t="s">
        <v>203</v>
      </c>
      <c r="NAT20" s="314" t="s">
        <v>203</v>
      </c>
      <c r="NAU20" s="314" t="s">
        <v>203</v>
      </c>
      <c r="NAV20" s="314" t="s">
        <v>203</v>
      </c>
      <c r="NAW20" s="314" t="s">
        <v>203</v>
      </c>
      <c r="NAX20" s="314" t="s">
        <v>203</v>
      </c>
      <c r="NAY20" s="314" t="s">
        <v>203</v>
      </c>
      <c r="NAZ20" s="314" t="s">
        <v>203</v>
      </c>
      <c r="NBA20" s="314" t="s">
        <v>203</v>
      </c>
      <c r="NBB20" s="314" t="s">
        <v>203</v>
      </c>
      <c r="NBC20" s="314" t="s">
        <v>203</v>
      </c>
      <c r="NBD20" s="314" t="s">
        <v>203</v>
      </c>
      <c r="NBE20" s="314" t="s">
        <v>203</v>
      </c>
      <c r="NBF20" s="314" t="s">
        <v>203</v>
      </c>
      <c r="NBG20" s="314" t="s">
        <v>203</v>
      </c>
      <c r="NBH20" s="314" t="s">
        <v>203</v>
      </c>
      <c r="NBI20" s="314" t="s">
        <v>203</v>
      </c>
      <c r="NBJ20" s="314" t="s">
        <v>203</v>
      </c>
      <c r="NBK20" s="314" t="s">
        <v>203</v>
      </c>
      <c r="NBL20" s="314" t="s">
        <v>203</v>
      </c>
      <c r="NBM20" s="314" t="s">
        <v>203</v>
      </c>
      <c r="NBN20" s="314" t="s">
        <v>203</v>
      </c>
      <c r="NBO20" s="314" t="s">
        <v>203</v>
      </c>
      <c r="NBP20" s="314" t="s">
        <v>203</v>
      </c>
      <c r="NBQ20" s="314" t="s">
        <v>203</v>
      </c>
      <c r="NBR20" s="314" t="s">
        <v>203</v>
      </c>
      <c r="NBS20" s="314" t="s">
        <v>203</v>
      </c>
      <c r="NBT20" s="314" t="s">
        <v>203</v>
      </c>
      <c r="NBU20" s="314" t="s">
        <v>203</v>
      </c>
      <c r="NBV20" s="314" t="s">
        <v>203</v>
      </c>
      <c r="NBW20" s="314" t="s">
        <v>203</v>
      </c>
      <c r="NBX20" s="314" t="s">
        <v>203</v>
      </c>
      <c r="NBY20" s="314" t="s">
        <v>203</v>
      </c>
      <c r="NBZ20" s="314" t="s">
        <v>203</v>
      </c>
      <c r="NCA20" s="314" t="s">
        <v>203</v>
      </c>
      <c r="NCB20" s="314" t="s">
        <v>203</v>
      </c>
      <c r="NCC20" s="314" t="s">
        <v>203</v>
      </c>
      <c r="NCD20" s="314" t="s">
        <v>203</v>
      </c>
      <c r="NCE20" s="314" t="s">
        <v>203</v>
      </c>
      <c r="NCF20" s="314" t="s">
        <v>203</v>
      </c>
      <c r="NCG20" s="314" t="s">
        <v>203</v>
      </c>
      <c r="NCH20" s="314" t="s">
        <v>203</v>
      </c>
      <c r="NCI20" s="314" t="s">
        <v>203</v>
      </c>
      <c r="NCJ20" s="314" t="s">
        <v>203</v>
      </c>
      <c r="NCK20" s="314" t="s">
        <v>203</v>
      </c>
      <c r="NCL20" s="314" t="s">
        <v>203</v>
      </c>
      <c r="NCM20" s="314" t="s">
        <v>203</v>
      </c>
      <c r="NCN20" s="314" t="s">
        <v>203</v>
      </c>
      <c r="NCO20" s="314" t="s">
        <v>203</v>
      </c>
      <c r="NCP20" s="314" t="s">
        <v>203</v>
      </c>
      <c r="NCQ20" s="314" t="s">
        <v>203</v>
      </c>
      <c r="NCR20" s="314" t="s">
        <v>203</v>
      </c>
      <c r="NCS20" s="314" t="s">
        <v>203</v>
      </c>
      <c r="NCT20" s="314" t="s">
        <v>203</v>
      </c>
      <c r="NCU20" s="314" t="s">
        <v>203</v>
      </c>
      <c r="NCV20" s="314" t="s">
        <v>203</v>
      </c>
      <c r="NCW20" s="314" t="s">
        <v>203</v>
      </c>
      <c r="NCX20" s="314" t="s">
        <v>203</v>
      </c>
      <c r="NCY20" s="314" t="s">
        <v>203</v>
      </c>
      <c r="NCZ20" s="314" t="s">
        <v>203</v>
      </c>
      <c r="NDA20" s="314" t="s">
        <v>203</v>
      </c>
      <c r="NDB20" s="314" t="s">
        <v>203</v>
      </c>
      <c r="NDC20" s="314" t="s">
        <v>203</v>
      </c>
      <c r="NDD20" s="314" t="s">
        <v>203</v>
      </c>
      <c r="NDE20" s="314" t="s">
        <v>203</v>
      </c>
      <c r="NDF20" s="314" t="s">
        <v>203</v>
      </c>
      <c r="NDG20" s="314" t="s">
        <v>203</v>
      </c>
      <c r="NDH20" s="314" t="s">
        <v>203</v>
      </c>
      <c r="NDI20" s="314" t="s">
        <v>203</v>
      </c>
      <c r="NDJ20" s="314" t="s">
        <v>203</v>
      </c>
      <c r="NDK20" s="314" t="s">
        <v>203</v>
      </c>
      <c r="NDL20" s="314" t="s">
        <v>203</v>
      </c>
      <c r="NDM20" s="314" t="s">
        <v>203</v>
      </c>
      <c r="NDN20" s="314" t="s">
        <v>203</v>
      </c>
      <c r="NDO20" s="314" t="s">
        <v>203</v>
      </c>
      <c r="NDP20" s="314" t="s">
        <v>203</v>
      </c>
      <c r="NDQ20" s="314" t="s">
        <v>203</v>
      </c>
      <c r="NDR20" s="314" t="s">
        <v>203</v>
      </c>
      <c r="NDS20" s="314" t="s">
        <v>203</v>
      </c>
      <c r="NDT20" s="314" t="s">
        <v>203</v>
      </c>
      <c r="NDU20" s="314" t="s">
        <v>203</v>
      </c>
      <c r="NDV20" s="314" t="s">
        <v>203</v>
      </c>
      <c r="NDW20" s="314" t="s">
        <v>203</v>
      </c>
      <c r="NDX20" s="314" t="s">
        <v>203</v>
      </c>
      <c r="NDY20" s="314" t="s">
        <v>203</v>
      </c>
      <c r="NDZ20" s="314" t="s">
        <v>203</v>
      </c>
      <c r="NEA20" s="314" t="s">
        <v>203</v>
      </c>
      <c r="NEB20" s="314" t="s">
        <v>203</v>
      </c>
      <c r="NEC20" s="314" t="s">
        <v>203</v>
      </c>
      <c r="NED20" s="314" t="s">
        <v>203</v>
      </c>
      <c r="NEE20" s="314" t="s">
        <v>203</v>
      </c>
      <c r="NEF20" s="314" t="s">
        <v>203</v>
      </c>
      <c r="NEG20" s="314" t="s">
        <v>203</v>
      </c>
      <c r="NEH20" s="314" t="s">
        <v>203</v>
      </c>
      <c r="NEI20" s="314" t="s">
        <v>203</v>
      </c>
      <c r="NEJ20" s="314" t="s">
        <v>203</v>
      </c>
      <c r="NEK20" s="314" t="s">
        <v>203</v>
      </c>
      <c r="NEL20" s="314" t="s">
        <v>203</v>
      </c>
      <c r="NEM20" s="314" t="s">
        <v>203</v>
      </c>
      <c r="NEN20" s="314" t="s">
        <v>203</v>
      </c>
      <c r="NEO20" s="314" t="s">
        <v>203</v>
      </c>
      <c r="NEP20" s="314" t="s">
        <v>203</v>
      </c>
      <c r="NEQ20" s="314" t="s">
        <v>203</v>
      </c>
      <c r="NER20" s="314" t="s">
        <v>203</v>
      </c>
      <c r="NES20" s="314" t="s">
        <v>203</v>
      </c>
      <c r="NET20" s="314" t="s">
        <v>203</v>
      </c>
      <c r="NEU20" s="314" t="s">
        <v>203</v>
      </c>
      <c r="NEV20" s="314" t="s">
        <v>203</v>
      </c>
      <c r="NEW20" s="314" t="s">
        <v>203</v>
      </c>
      <c r="NEX20" s="314" t="s">
        <v>203</v>
      </c>
      <c r="NEY20" s="314" t="s">
        <v>203</v>
      </c>
      <c r="NEZ20" s="314" t="s">
        <v>203</v>
      </c>
      <c r="NFA20" s="314" t="s">
        <v>203</v>
      </c>
      <c r="NFB20" s="314" t="s">
        <v>203</v>
      </c>
      <c r="NFC20" s="314" t="s">
        <v>203</v>
      </c>
      <c r="NFD20" s="314" t="s">
        <v>203</v>
      </c>
      <c r="NFE20" s="314" t="s">
        <v>203</v>
      </c>
      <c r="NFF20" s="314" t="s">
        <v>203</v>
      </c>
      <c r="NFG20" s="314" t="s">
        <v>203</v>
      </c>
      <c r="NFH20" s="314" t="s">
        <v>203</v>
      </c>
      <c r="NFI20" s="314" t="s">
        <v>203</v>
      </c>
      <c r="NFJ20" s="314" t="s">
        <v>203</v>
      </c>
      <c r="NFK20" s="314" t="s">
        <v>203</v>
      </c>
      <c r="NFL20" s="314" t="s">
        <v>203</v>
      </c>
      <c r="NFM20" s="314" t="s">
        <v>203</v>
      </c>
      <c r="NFN20" s="314" t="s">
        <v>203</v>
      </c>
      <c r="NFO20" s="314" t="s">
        <v>203</v>
      </c>
      <c r="NFP20" s="314" t="s">
        <v>203</v>
      </c>
      <c r="NFQ20" s="314" t="s">
        <v>203</v>
      </c>
      <c r="NFR20" s="314" t="s">
        <v>203</v>
      </c>
      <c r="NFS20" s="314" t="s">
        <v>203</v>
      </c>
      <c r="NFT20" s="314" t="s">
        <v>203</v>
      </c>
      <c r="NFU20" s="314" t="s">
        <v>203</v>
      </c>
      <c r="NFV20" s="314" t="s">
        <v>203</v>
      </c>
      <c r="NFW20" s="314" t="s">
        <v>203</v>
      </c>
      <c r="NFX20" s="314" t="s">
        <v>203</v>
      </c>
      <c r="NFY20" s="314" t="s">
        <v>203</v>
      </c>
      <c r="NFZ20" s="314" t="s">
        <v>203</v>
      </c>
      <c r="NGA20" s="314" t="s">
        <v>203</v>
      </c>
      <c r="NGB20" s="314" t="s">
        <v>203</v>
      </c>
      <c r="NGC20" s="314" t="s">
        <v>203</v>
      </c>
      <c r="NGD20" s="314" t="s">
        <v>203</v>
      </c>
      <c r="NGE20" s="314" t="s">
        <v>203</v>
      </c>
      <c r="NGF20" s="314" t="s">
        <v>203</v>
      </c>
      <c r="NGG20" s="314" t="s">
        <v>203</v>
      </c>
      <c r="NGH20" s="314" t="s">
        <v>203</v>
      </c>
      <c r="NGI20" s="314" t="s">
        <v>203</v>
      </c>
      <c r="NGJ20" s="314" t="s">
        <v>203</v>
      </c>
      <c r="NGK20" s="314" t="s">
        <v>203</v>
      </c>
      <c r="NGL20" s="314" t="s">
        <v>203</v>
      </c>
      <c r="NGM20" s="314" t="s">
        <v>203</v>
      </c>
      <c r="NGN20" s="314" t="s">
        <v>203</v>
      </c>
      <c r="NGO20" s="314" t="s">
        <v>203</v>
      </c>
      <c r="NGP20" s="314" t="s">
        <v>203</v>
      </c>
      <c r="NGQ20" s="314" t="s">
        <v>203</v>
      </c>
      <c r="NGR20" s="314" t="s">
        <v>203</v>
      </c>
      <c r="NGS20" s="314" t="s">
        <v>203</v>
      </c>
      <c r="NGT20" s="314" t="s">
        <v>203</v>
      </c>
      <c r="NGU20" s="314" t="s">
        <v>203</v>
      </c>
      <c r="NGV20" s="314" t="s">
        <v>203</v>
      </c>
      <c r="NGW20" s="314" t="s">
        <v>203</v>
      </c>
      <c r="NGX20" s="314" t="s">
        <v>203</v>
      </c>
      <c r="NGY20" s="314" t="s">
        <v>203</v>
      </c>
      <c r="NGZ20" s="314" t="s">
        <v>203</v>
      </c>
      <c r="NHA20" s="314" t="s">
        <v>203</v>
      </c>
      <c r="NHB20" s="314" t="s">
        <v>203</v>
      </c>
      <c r="NHC20" s="314" t="s">
        <v>203</v>
      </c>
      <c r="NHD20" s="314" t="s">
        <v>203</v>
      </c>
      <c r="NHE20" s="314" t="s">
        <v>203</v>
      </c>
      <c r="NHF20" s="314" t="s">
        <v>203</v>
      </c>
      <c r="NHG20" s="314" t="s">
        <v>203</v>
      </c>
      <c r="NHH20" s="314" t="s">
        <v>203</v>
      </c>
      <c r="NHI20" s="314" t="s">
        <v>203</v>
      </c>
      <c r="NHJ20" s="314" t="s">
        <v>203</v>
      </c>
      <c r="NHK20" s="314" t="s">
        <v>203</v>
      </c>
      <c r="NHL20" s="314" t="s">
        <v>203</v>
      </c>
      <c r="NHM20" s="314" t="s">
        <v>203</v>
      </c>
      <c r="NHN20" s="314" t="s">
        <v>203</v>
      </c>
      <c r="NHO20" s="314" t="s">
        <v>203</v>
      </c>
      <c r="NHP20" s="314" t="s">
        <v>203</v>
      </c>
      <c r="NHQ20" s="314" t="s">
        <v>203</v>
      </c>
      <c r="NHR20" s="314" t="s">
        <v>203</v>
      </c>
      <c r="NHS20" s="314" t="s">
        <v>203</v>
      </c>
      <c r="NHT20" s="314" t="s">
        <v>203</v>
      </c>
      <c r="NHU20" s="314" t="s">
        <v>203</v>
      </c>
      <c r="NHV20" s="314" t="s">
        <v>203</v>
      </c>
      <c r="NHW20" s="314" t="s">
        <v>203</v>
      </c>
      <c r="NHX20" s="314" t="s">
        <v>203</v>
      </c>
      <c r="NHY20" s="314" t="s">
        <v>203</v>
      </c>
      <c r="NHZ20" s="314" t="s">
        <v>203</v>
      </c>
      <c r="NIA20" s="314" t="s">
        <v>203</v>
      </c>
      <c r="NIB20" s="314" t="s">
        <v>203</v>
      </c>
      <c r="NIC20" s="314" t="s">
        <v>203</v>
      </c>
      <c r="NID20" s="314" t="s">
        <v>203</v>
      </c>
      <c r="NIE20" s="314" t="s">
        <v>203</v>
      </c>
      <c r="NIF20" s="314" t="s">
        <v>203</v>
      </c>
      <c r="NIG20" s="314" t="s">
        <v>203</v>
      </c>
      <c r="NIH20" s="314" t="s">
        <v>203</v>
      </c>
      <c r="NII20" s="314" t="s">
        <v>203</v>
      </c>
      <c r="NIJ20" s="314" t="s">
        <v>203</v>
      </c>
      <c r="NIK20" s="314" t="s">
        <v>203</v>
      </c>
      <c r="NIL20" s="314" t="s">
        <v>203</v>
      </c>
      <c r="NIM20" s="314" t="s">
        <v>203</v>
      </c>
      <c r="NIN20" s="314" t="s">
        <v>203</v>
      </c>
      <c r="NIO20" s="314" t="s">
        <v>203</v>
      </c>
      <c r="NIP20" s="314" t="s">
        <v>203</v>
      </c>
      <c r="NIQ20" s="314" t="s">
        <v>203</v>
      </c>
      <c r="NIR20" s="314" t="s">
        <v>203</v>
      </c>
      <c r="NIS20" s="314" t="s">
        <v>203</v>
      </c>
      <c r="NIT20" s="314" t="s">
        <v>203</v>
      </c>
      <c r="NIU20" s="314" t="s">
        <v>203</v>
      </c>
      <c r="NIV20" s="314" t="s">
        <v>203</v>
      </c>
      <c r="NIW20" s="314" t="s">
        <v>203</v>
      </c>
      <c r="NIX20" s="314" t="s">
        <v>203</v>
      </c>
      <c r="NIY20" s="314" t="s">
        <v>203</v>
      </c>
      <c r="NIZ20" s="314" t="s">
        <v>203</v>
      </c>
      <c r="NJA20" s="314" t="s">
        <v>203</v>
      </c>
      <c r="NJB20" s="314" t="s">
        <v>203</v>
      </c>
      <c r="NJC20" s="314" t="s">
        <v>203</v>
      </c>
      <c r="NJD20" s="314" t="s">
        <v>203</v>
      </c>
      <c r="NJE20" s="314" t="s">
        <v>203</v>
      </c>
      <c r="NJF20" s="314" t="s">
        <v>203</v>
      </c>
      <c r="NJG20" s="314" t="s">
        <v>203</v>
      </c>
      <c r="NJH20" s="314" t="s">
        <v>203</v>
      </c>
      <c r="NJI20" s="314" t="s">
        <v>203</v>
      </c>
      <c r="NJJ20" s="314" t="s">
        <v>203</v>
      </c>
      <c r="NJK20" s="314" t="s">
        <v>203</v>
      </c>
      <c r="NJL20" s="314" t="s">
        <v>203</v>
      </c>
      <c r="NJM20" s="314" t="s">
        <v>203</v>
      </c>
      <c r="NJN20" s="314" t="s">
        <v>203</v>
      </c>
      <c r="NJO20" s="314" t="s">
        <v>203</v>
      </c>
      <c r="NJP20" s="314" t="s">
        <v>203</v>
      </c>
      <c r="NJQ20" s="314" t="s">
        <v>203</v>
      </c>
      <c r="NJR20" s="314" t="s">
        <v>203</v>
      </c>
      <c r="NJS20" s="314" t="s">
        <v>203</v>
      </c>
      <c r="NJT20" s="314" t="s">
        <v>203</v>
      </c>
      <c r="NJU20" s="314" t="s">
        <v>203</v>
      </c>
      <c r="NJV20" s="314" t="s">
        <v>203</v>
      </c>
      <c r="NJW20" s="314" t="s">
        <v>203</v>
      </c>
      <c r="NJX20" s="314" t="s">
        <v>203</v>
      </c>
      <c r="NJY20" s="314" t="s">
        <v>203</v>
      </c>
      <c r="NJZ20" s="314" t="s">
        <v>203</v>
      </c>
      <c r="NKA20" s="314" t="s">
        <v>203</v>
      </c>
      <c r="NKB20" s="314" t="s">
        <v>203</v>
      </c>
      <c r="NKC20" s="314" t="s">
        <v>203</v>
      </c>
      <c r="NKD20" s="314" t="s">
        <v>203</v>
      </c>
      <c r="NKE20" s="314" t="s">
        <v>203</v>
      </c>
      <c r="NKF20" s="314" t="s">
        <v>203</v>
      </c>
      <c r="NKG20" s="314" t="s">
        <v>203</v>
      </c>
      <c r="NKH20" s="314" t="s">
        <v>203</v>
      </c>
      <c r="NKI20" s="314" t="s">
        <v>203</v>
      </c>
      <c r="NKJ20" s="314" t="s">
        <v>203</v>
      </c>
      <c r="NKK20" s="314" t="s">
        <v>203</v>
      </c>
      <c r="NKL20" s="314" t="s">
        <v>203</v>
      </c>
      <c r="NKM20" s="314" t="s">
        <v>203</v>
      </c>
      <c r="NKN20" s="314" t="s">
        <v>203</v>
      </c>
      <c r="NKO20" s="314" t="s">
        <v>203</v>
      </c>
      <c r="NKP20" s="314" t="s">
        <v>203</v>
      </c>
      <c r="NKQ20" s="314" t="s">
        <v>203</v>
      </c>
      <c r="NKR20" s="314" t="s">
        <v>203</v>
      </c>
      <c r="NKS20" s="314" t="s">
        <v>203</v>
      </c>
      <c r="NKT20" s="314" t="s">
        <v>203</v>
      </c>
      <c r="NKU20" s="314" t="s">
        <v>203</v>
      </c>
      <c r="NKV20" s="314" t="s">
        <v>203</v>
      </c>
      <c r="NKW20" s="314" t="s">
        <v>203</v>
      </c>
      <c r="NKX20" s="314" t="s">
        <v>203</v>
      </c>
      <c r="NKY20" s="314" t="s">
        <v>203</v>
      </c>
      <c r="NKZ20" s="314" t="s">
        <v>203</v>
      </c>
      <c r="NLA20" s="314" t="s">
        <v>203</v>
      </c>
      <c r="NLB20" s="314" t="s">
        <v>203</v>
      </c>
      <c r="NLC20" s="314" t="s">
        <v>203</v>
      </c>
      <c r="NLD20" s="314" t="s">
        <v>203</v>
      </c>
      <c r="NLE20" s="314" t="s">
        <v>203</v>
      </c>
      <c r="NLF20" s="314" t="s">
        <v>203</v>
      </c>
      <c r="NLG20" s="314" t="s">
        <v>203</v>
      </c>
      <c r="NLH20" s="314" t="s">
        <v>203</v>
      </c>
      <c r="NLI20" s="314" t="s">
        <v>203</v>
      </c>
      <c r="NLJ20" s="314" t="s">
        <v>203</v>
      </c>
      <c r="NLK20" s="314" t="s">
        <v>203</v>
      </c>
      <c r="NLL20" s="314" t="s">
        <v>203</v>
      </c>
      <c r="NLM20" s="314" t="s">
        <v>203</v>
      </c>
      <c r="NLN20" s="314" t="s">
        <v>203</v>
      </c>
      <c r="NLO20" s="314" t="s">
        <v>203</v>
      </c>
      <c r="NLP20" s="314" t="s">
        <v>203</v>
      </c>
      <c r="NLQ20" s="314" t="s">
        <v>203</v>
      </c>
      <c r="NLR20" s="314" t="s">
        <v>203</v>
      </c>
      <c r="NLS20" s="314" t="s">
        <v>203</v>
      </c>
      <c r="NLT20" s="314" t="s">
        <v>203</v>
      </c>
      <c r="NLU20" s="314" t="s">
        <v>203</v>
      </c>
      <c r="NLV20" s="314" t="s">
        <v>203</v>
      </c>
      <c r="NLW20" s="314" t="s">
        <v>203</v>
      </c>
      <c r="NLX20" s="314" t="s">
        <v>203</v>
      </c>
      <c r="NLY20" s="314" t="s">
        <v>203</v>
      </c>
      <c r="NLZ20" s="314" t="s">
        <v>203</v>
      </c>
      <c r="NMA20" s="314" t="s">
        <v>203</v>
      </c>
      <c r="NMB20" s="314" t="s">
        <v>203</v>
      </c>
      <c r="NMC20" s="314" t="s">
        <v>203</v>
      </c>
      <c r="NMD20" s="314" t="s">
        <v>203</v>
      </c>
      <c r="NME20" s="314" t="s">
        <v>203</v>
      </c>
      <c r="NMF20" s="314" t="s">
        <v>203</v>
      </c>
      <c r="NMG20" s="314" t="s">
        <v>203</v>
      </c>
      <c r="NMH20" s="314" t="s">
        <v>203</v>
      </c>
      <c r="NMI20" s="314" t="s">
        <v>203</v>
      </c>
      <c r="NMJ20" s="314" t="s">
        <v>203</v>
      </c>
      <c r="NMK20" s="314" t="s">
        <v>203</v>
      </c>
      <c r="NML20" s="314" t="s">
        <v>203</v>
      </c>
      <c r="NMM20" s="314" t="s">
        <v>203</v>
      </c>
      <c r="NMN20" s="314" t="s">
        <v>203</v>
      </c>
      <c r="NMO20" s="314" t="s">
        <v>203</v>
      </c>
      <c r="NMP20" s="314" t="s">
        <v>203</v>
      </c>
      <c r="NMQ20" s="314" t="s">
        <v>203</v>
      </c>
      <c r="NMR20" s="314" t="s">
        <v>203</v>
      </c>
      <c r="NMS20" s="314" t="s">
        <v>203</v>
      </c>
      <c r="NMT20" s="314" t="s">
        <v>203</v>
      </c>
      <c r="NMU20" s="314" t="s">
        <v>203</v>
      </c>
      <c r="NMV20" s="314" t="s">
        <v>203</v>
      </c>
      <c r="NMW20" s="314" t="s">
        <v>203</v>
      </c>
      <c r="NMX20" s="314" t="s">
        <v>203</v>
      </c>
      <c r="NMY20" s="314" t="s">
        <v>203</v>
      </c>
      <c r="NMZ20" s="314" t="s">
        <v>203</v>
      </c>
      <c r="NNA20" s="314" t="s">
        <v>203</v>
      </c>
      <c r="NNB20" s="314" t="s">
        <v>203</v>
      </c>
      <c r="NNC20" s="314" t="s">
        <v>203</v>
      </c>
      <c r="NND20" s="314" t="s">
        <v>203</v>
      </c>
      <c r="NNE20" s="314" t="s">
        <v>203</v>
      </c>
      <c r="NNF20" s="314" t="s">
        <v>203</v>
      </c>
      <c r="NNG20" s="314" t="s">
        <v>203</v>
      </c>
      <c r="NNH20" s="314" t="s">
        <v>203</v>
      </c>
      <c r="NNI20" s="314" t="s">
        <v>203</v>
      </c>
      <c r="NNJ20" s="314" t="s">
        <v>203</v>
      </c>
      <c r="NNK20" s="314" t="s">
        <v>203</v>
      </c>
      <c r="NNL20" s="314" t="s">
        <v>203</v>
      </c>
      <c r="NNM20" s="314" t="s">
        <v>203</v>
      </c>
      <c r="NNN20" s="314" t="s">
        <v>203</v>
      </c>
      <c r="NNO20" s="314" t="s">
        <v>203</v>
      </c>
      <c r="NNP20" s="314" t="s">
        <v>203</v>
      </c>
      <c r="NNQ20" s="314" t="s">
        <v>203</v>
      </c>
      <c r="NNR20" s="314" t="s">
        <v>203</v>
      </c>
      <c r="NNS20" s="314" t="s">
        <v>203</v>
      </c>
      <c r="NNT20" s="314" t="s">
        <v>203</v>
      </c>
      <c r="NNU20" s="314" t="s">
        <v>203</v>
      </c>
      <c r="NNV20" s="314" t="s">
        <v>203</v>
      </c>
      <c r="NNW20" s="314" t="s">
        <v>203</v>
      </c>
      <c r="NNX20" s="314" t="s">
        <v>203</v>
      </c>
      <c r="NNY20" s="314" t="s">
        <v>203</v>
      </c>
      <c r="NNZ20" s="314" t="s">
        <v>203</v>
      </c>
      <c r="NOA20" s="314" t="s">
        <v>203</v>
      </c>
      <c r="NOB20" s="314" t="s">
        <v>203</v>
      </c>
      <c r="NOC20" s="314" t="s">
        <v>203</v>
      </c>
      <c r="NOD20" s="314" t="s">
        <v>203</v>
      </c>
      <c r="NOE20" s="314" t="s">
        <v>203</v>
      </c>
      <c r="NOF20" s="314" t="s">
        <v>203</v>
      </c>
      <c r="NOG20" s="314" t="s">
        <v>203</v>
      </c>
      <c r="NOH20" s="314" t="s">
        <v>203</v>
      </c>
      <c r="NOI20" s="314" t="s">
        <v>203</v>
      </c>
      <c r="NOJ20" s="314" t="s">
        <v>203</v>
      </c>
      <c r="NOK20" s="314" t="s">
        <v>203</v>
      </c>
      <c r="NOL20" s="314" t="s">
        <v>203</v>
      </c>
      <c r="NOM20" s="314" t="s">
        <v>203</v>
      </c>
      <c r="NON20" s="314" t="s">
        <v>203</v>
      </c>
      <c r="NOO20" s="314" t="s">
        <v>203</v>
      </c>
      <c r="NOP20" s="314" t="s">
        <v>203</v>
      </c>
      <c r="NOQ20" s="314" t="s">
        <v>203</v>
      </c>
      <c r="NOR20" s="314" t="s">
        <v>203</v>
      </c>
      <c r="NOS20" s="314" t="s">
        <v>203</v>
      </c>
      <c r="NOT20" s="314" t="s">
        <v>203</v>
      </c>
      <c r="NOU20" s="314" t="s">
        <v>203</v>
      </c>
      <c r="NOV20" s="314" t="s">
        <v>203</v>
      </c>
      <c r="NOW20" s="314" t="s">
        <v>203</v>
      </c>
      <c r="NOX20" s="314" t="s">
        <v>203</v>
      </c>
      <c r="NOY20" s="314" t="s">
        <v>203</v>
      </c>
      <c r="NOZ20" s="314" t="s">
        <v>203</v>
      </c>
      <c r="NPA20" s="314" t="s">
        <v>203</v>
      </c>
      <c r="NPB20" s="314" t="s">
        <v>203</v>
      </c>
      <c r="NPC20" s="314" t="s">
        <v>203</v>
      </c>
      <c r="NPD20" s="314" t="s">
        <v>203</v>
      </c>
      <c r="NPE20" s="314" t="s">
        <v>203</v>
      </c>
      <c r="NPF20" s="314" t="s">
        <v>203</v>
      </c>
      <c r="NPG20" s="314" t="s">
        <v>203</v>
      </c>
      <c r="NPH20" s="314" t="s">
        <v>203</v>
      </c>
      <c r="NPI20" s="314" t="s">
        <v>203</v>
      </c>
      <c r="NPJ20" s="314" t="s">
        <v>203</v>
      </c>
      <c r="NPK20" s="314" t="s">
        <v>203</v>
      </c>
      <c r="NPL20" s="314" t="s">
        <v>203</v>
      </c>
      <c r="NPM20" s="314" t="s">
        <v>203</v>
      </c>
      <c r="NPN20" s="314" t="s">
        <v>203</v>
      </c>
      <c r="NPO20" s="314" t="s">
        <v>203</v>
      </c>
      <c r="NPP20" s="314" t="s">
        <v>203</v>
      </c>
      <c r="NPQ20" s="314" t="s">
        <v>203</v>
      </c>
      <c r="NPR20" s="314" t="s">
        <v>203</v>
      </c>
      <c r="NPS20" s="314" t="s">
        <v>203</v>
      </c>
      <c r="NPT20" s="314" t="s">
        <v>203</v>
      </c>
      <c r="NPU20" s="314" t="s">
        <v>203</v>
      </c>
      <c r="NPV20" s="314" t="s">
        <v>203</v>
      </c>
      <c r="NPW20" s="314" t="s">
        <v>203</v>
      </c>
      <c r="NPX20" s="314" t="s">
        <v>203</v>
      </c>
      <c r="NPY20" s="314" t="s">
        <v>203</v>
      </c>
      <c r="NPZ20" s="314" t="s">
        <v>203</v>
      </c>
      <c r="NQA20" s="314" t="s">
        <v>203</v>
      </c>
      <c r="NQB20" s="314" t="s">
        <v>203</v>
      </c>
      <c r="NQC20" s="314" t="s">
        <v>203</v>
      </c>
      <c r="NQD20" s="314" t="s">
        <v>203</v>
      </c>
      <c r="NQE20" s="314" t="s">
        <v>203</v>
      </c>
      <c r="NQF20" s="314" t="s">
        <v>203</v>
      </c>
      <c r="NQG20" s="314" t="s">
        <v>203</v>
      </c>
      <c r="NQH20" s="314" t="s">
        <v>203</v>
      </c>
      <c r="NQI20" s="314" t="s">
        <v>203</v>
      </c>
      <c r="NQJ20" s="314" t="s">
        <v>203</v>
      </c>
      <c r="NQK20" s="314" t="s">
        <v>203</v>
      </c>
      <c r="NQL20" s="314" t="s">
        <v>203</v>
      </c>
      <c r="NQM20" s="314" t="s">
        <v>203</v>
      </c>
      <c r="NQN20" s="314" t="s">
        <v>203</v>
      </c>
      <c r="NQO20" s="314" t="s">
        <v>203</v>
      </c>
      <c r="NQP20" s="314" t="s">
        <v>203</v>
      </c>
      <c r="NQQ20" s="314" t="s">
        <v>203</v>
      </c>
      <c r="NQR20" s="314" t="s">
        <v>203</v>
      </c>
      <c r="NQS20" s="314" t="s">
        <v>203</v>
      </c>
      <c r="NQT20" s="314" t="s">
        <v>203</v>
      </c>
      <c r="NQU20" s="314" t="s">
        <v>203</v>
      </c>
      <c r="NQV20" s="314" t="s">
        <v>203</v>
      </c>
      <c r="NQW20" s="314" t="s">
        <v>203</v>
      </c>
      <c r="NQX20" s="314" t="s">
        <v>203</v>
      </c>
      <c r="NQY20" s="314" t="s">
        <v>203</v>
      </c>
      <c r="NQZ20" s="314" t="s">
        <v>203</v>
      </c>
      <c r="NRA20" s="314" t="s">
        <v>203</v>
      </c>
      <c r="NRB20" s="314" t="s">
        <v>203</v>
      </c>
      <c r="NRC20" s="314" t="s">
        <v>203</v>
      </c>
      <c r="NRD20" s="314" t="s">
        <v>203</v>
      </c>
      <c r="NRE20" s="314" t="s">
        <v>203</v>
      </c>
      <c r="NRF20" s="314" t="s">
        <v>203</v>
      </c>
      <c r="NRG20" s="314" t="s">
        <v>203</v>
      </c>
      <c r="NRH20" s="314" t="s">
        <v>203</v>
      </c>
      <c r="NRI20" s="314" t="s">
        <v>203</v>
      </c>
      <c r="NRJ20" s="314" t="s">
        <v>203</v>
      </c>
      <c r="NRK20" s="314" t="s">
        <v>203</v>
      </c>
      <c r="NRL20" s="314" t="s">
        <v>203</v>
      </c>
      <c r="NRM20" s="314" t="s">
        <v>203</v>
      </c>
      <c r="NRN20" s="314" t="s">
        <v>203</v>
      </c>
      <c r="NRO20" s="314" t="s">
        <v>203</v>
      </c>
      <c r="NRP20" s="314" t="s">
        <v>203</v>
      </c>
      <c r="NRQ20" s="314" t="s">
        <v>203</v>
      </c>
      <c r="NRR20" s="314" t="s">
        <v>203</v>
      </c>
      <c r="NRS20" s="314" t="s">
        <v>203</v>
      </c>
      <c r="NRT20" s="314" t="s">
        <v>203</v>
      </c>
      <c r="NRU20" s="314" t="s">
        <v>203</v>
      </c>
      <c r="NRV20" s="314" t="s">
        <v>203</v>
      </c>
      <c r="NRW20" s="314" t="s">
        <v>203</v>
      </c>
      <c r="NRX20" s="314" t="s">
        <v>203</v>
      </c>
      <c r="NRY20" s="314" t="s">
        <v>203</v>
      </c>
      <c r="NRZ20" s="314" t="s">
        <v>203</v>
      </c>
      <c r="NSA20" s="314" t="s">
        <v>203</v>
      </c>
      <c r="NSB20" s="314" t="s">
        <v>203</v>
      </c>
      <c r="NSC20" s="314" t="s">
        <v>203</v>
      </c>
      <c r="NSD20" s="314" t="s">
        <v>203</v>
      </c>
      <c r="NSE20" s="314" t="s">
        <v>203</v>
      </c>
      <c r="NSF20" s="314" t="s">
        <v>203</v>
      </c>
      <c r="NSG20" s="314" t="s">
        <v>203</v>
      </c>
      <c r="NSH20" s="314" t="s">
        <v>203</v>
      </c>
      <c r="NSI20" s="314" t="s">
        <v>203</v>
      </c>
      <c r="NSJ20" s="314" t="s">
        <v>203</v>
      </c>
      <c r="NSK20" s="314" t="s">
        <v>203</v>
      </c>
      <c r="NSL20" s="314" t="s">
        <v>203</v>
      </c>
      <c r="NSM20" s="314" t="s">
        <v>203</v>
      </c>
      <c r="NSN20" s="314" t="s">
        <v>203</v>
      </c>
      <c r="NSO20" s="314" t="s">
        <v>203</v>
      </c>
      <c r="NSP20" s="314" t="s">
        <v>203</v>
      </c>
      <c r="NSQ20" s="314" t="s">
        <v>203</v>
      </c>
      <c r="NSR20" s="314" t="s">
        <v>203</v>
      </c>
      <c r="NSS20" s="314" t="s">
        <v>203</v>
      </c>
      <c r="NST20" s="314" t="s">
        <v>203</v>
      </c>
      <c r="NSU20" s="314" t="s">
        <v>203</v>
      </c>
      <c r="NSV20" s="314" t="s">
        <v>203</v>
      </c>
      <c r="NSW20" s="314" t="s">
        <v>203</v>
      </c>
      <c r="NSX20" s="314" t="s">
        <v>203</v>
      </c>
      <c r="NSY20" s="314" t="s">
        <v>203</v>
      </c>
      <c r="NSZ20" s="314" t="s">
        <v>203</v>
      </c>
      <c r="NTA20" s="314" t="s">
        <v>203</v>
      </c>
      <c r="NTB20" s="314" t="s">
        <v>203</v>
      </c>
      <c r="NTC20" s="314" t="s">
        <v>203</v>
      </c>
      <c r="NTD20" s="314" t="s">
        <v>203</v>
      </c>
      <c r="NTE20" s="314" t="s">
        <v>203</v>
      </c>
      <c r="NTF20" s="314" t="s">
        <v>203</v>
      </c>
      <c r="NTG20" s="314" t="s">
        <v>203</v>
      </c>
      <c r="NTH20" s="314" t="s">
        <v>203</v>
      </c>
      <c r="NTI20" s="314" t="s">
        <v>203</v>
      </c>
      <c r="NTJ20" s="314" t="s">
        <v>203</v>
      </c>
      <c r="NTK20" s="314" t="s">
        <v>203</v>
      </c>
      <c r="NTL20" s="314" t="s">
        <v>203</v>
      </c>
      <c r="NTM20" s="314" t="s">
        <v>203</v>
      </c>
      <c r="NTN20" s="314" t="s">
        <v>203</v>
      </c>
      <c r="NTO20" s="314" t="s">
        <v>203</v>
      </c>
      <c r="NTP20" s="314" t="s">
        <v>203</v>
      </c>
      <c r="NTQ20" s="314" t="s">
        <v>203</v>
      </c>
      <c r="NTR20" s="314" t="s">
        <v>203</v>
      </c>
      <c r="NTS20" s="314" t="s">
        <v>203</v>
      </c>
      <c r="NTT20" s="314" t="s">
        <v>203</v>
      </c>
      <c r="NTU20" s="314" t="s">
        <v>203</v>
      </c>
      <c r="NTV20" s="314" t="s">
        <v>203</v>
      </c>
      <c r="NTW20" s="314" t="s">
        <v>203</v>
      </c>
      <c r="NTX20" s="314" t="s">
        <v>203</v>
      </c>
      <c r="NTY20" s="314" t="s">
        <v>203</v>
      </c>
      <c r="NTZ20" s="314" t="s">
        <v>203</v>
      </c>
      <c r="NUA20" s="314" t="s">
        <v>203</v>
      </c>
      <c r="NUB20" s="314" t="s">
        <v>203</v>
      </c>
      <c r="NUC20" s="314" t="s">
        <v>203</v>
      </c>
      <c r="NUD20" s="314" t="s">
        <v>203</v>
      </c>
      <c r="NUE20" s="314" t="s">
        <v>203</v>
      </c>
      <c r="NUF20" s="314" t="s">
        <v>203</v>
      </c>
      <c r="NUG20" s="314" t="s">
        <v>203</v>
      </c>
      <c r="NUH20" s="314" t="s">
        <v>203</v>
      </c>
      <c r="NUI20" s="314" t="s">
        <v>203</v>
      </c>
      <c r="NUJ20" s="314" t="s">
        <v>203</v>
      </c>
      <c r="NUK20" s="314" t="s">
        <v>203</v>
      </c>
      <c r="NUL20" s="314" t="s">
        <v>203</v>
      </c>
      <c r="NUM20" s="314" t="s">
        <v>203</v>
      </c>
      <c r="NUN20" s="314" t="s">
        <v>203</v>
      </c>
      <c r="NUO20" s="314" t="s">
        <v>203</v>
      </c>
      <c r="NUP20" s="314" t="s">
        <v>203</v>
      </c>
      <c r="NUQ20" s="314" t="s">
        <v>203</v>
      </c>
      <c r="NUR20" s="314" t="s">
        <v>203</v>
      </c>
      <c r="NUS20" s="314" t="s">
        <v>203</v>
      </c>
      <c r="NUT20" s="314" t="s">
        <v>203</v>
      </c>
      <c r="NUU20" s="314" t="s">
        <v>203</v>
      </c>
      <c r="NUV20" s="314" t="s">
        <v>203</v>
      </c>
      <c r="NUW20" s="314" t="s">
        <v>203</v>
      </c>
      <c r="NUX20" s="314" t="s">
        <v>203</v>
      </c>
      <c r="NUY20" s="314" t="s">
        <v>203</v>
      </c>
      <c r="NUZ20" s="314" t="s">
        <v>203</v>
      </c>
      <c r="NVA20" s="314" t="s">
        <v>203</v>
      </c>
      <c r="NVB20" s="314" t="s">
        <v>203</v>
      </c>
      <c r="NVC20" s="314" t="s">
        <v>203</v>
      </c>
      <c r="NVD20" s="314" t="s">
        <v>203</v>
      </c>
      <c r="NVE20" s="314" t="s">
        <v>203</v>
      </c>
      <c r="NVF20" s="314" t="s">
        <v>203</v>
      </c>
      <c r="NVG20" s="314" t="s">
        <v>203</v>
      </c>
      <c r="NVH20" s="314" t="s">
        <v>203</v>
      </c>
      <c r="NVI20" s="314" t="s">
        <v>203</v>
      </c>
      <c r="NVJ20" s="314" t="s">
        <v>203</v>
      </c>
      <c r="NVK20" s="314" t="s">
        <v>203</v>
      </c>
      <c r="NVL20" s="314" t="s">
        <v>203</v>
      </c>
      <c r="NVM20" s="314" t="s">
        <v>203</v>
      </c>
      <c r="NVN20" s="314" t="s">
        <v>203</v>
      </c>
      <c r="NVO20" s="314" t="s">
        <v>203</v>
      </c>
      <c r="NVP20" s="314" t="s">
        <v>203</v>
      </c>
      <c r="NVQ20" s="314" t="s">
        <v>203</v>
      </c>
      <c r="NVR20" s="314" t="s">
        <v>203</v>
      </c>
      <c r="NVS20" s="314" t="s">
        <v>203</v>
      </c>
      <c r="NVT20" s="314" t="s">
        <v>203</v>
      </c>
      <c r="NVU20" s="314" t="s">
        <v>203</v>
      </c>
      <c r="NVV20" s="314" t="s">
        <v>203</v>
      </c>
      <c r="NVW20" s="314" t="s">
        <v>203</v>
      </c>
      <c r="NVX20" s="314" t="s">
        <v>203</v>
      </c>
      <c r="NVY20" s="314" t="s">
        <v>203</v>
      </c>
      <c r="NVZ20" s="314" t="s">
        <v>203</v>
      </c>
      <c r="NWA20" s="314" t="s">
        <v>203</v>
      </c>
      <c r="NWB20" s="314" t="s">
        <v>203</v>
      </c>
      <c r="NWC20" s="314" t="s">
        <v>203</v>
      </c>
      <c r="NWD20" s="314" t="s">
        <v>203</v>
      </c>
      <c r="NWE20" s="314" t="s">
        <v>203</v>
      </c>
      <c r="NWF20" s="314" t="s">
        <v>203</v>
      </c>
      <c r="NWG20" s="314" t="s">
        <v>203</v>
      </c>
      <c r="NWH20" s="314" t="s">
        <v>203</v>
      </c>
      <c r="NWI20" s="314" t="s">
        <v>203</v>
      </c>
      <c r="NWJ20" s="314" t="s">
        <v>203</v>
      </c>
      <c r="NWK20" s="314" t="s">
        <v>203</v>
      </c>
      <c r="NWL20" s="314" t="s">
        <v>203</v>
      </c>
      <c r="NWM20" s="314" t="s">
        <v>203</v>
      </c>
      <c r="NWN20" s="314" t="s">
        <v>203</v>
      </c>
      <c r="NWO20" s="314" t="s">
        <v>203</v>
      </c>
      <c r="NWP20" s="314" t="s">
        <v>203</v>
      </c>
      <c r="NWQ20" s="314" t="s">
        <v>203</v>
      </c>
      <c r="NWR20" s="314" t="s">
        <v>203</v>
      </c>
      <c r="NWS20" s="314" t="s">
        <v>203</v>
      </c>
      <c r="NWT20" s="314" t="s">
        <v>203</v>
      </c>
      <c r="NWU20" s="314" t="s">
        <v>203</v>
      </c>
      <c r="NWV20" s="314" t="s">
        <v>203</v>
      </c>
      <c r="NWW20" s="314" t="s">
        <v>203</v>
      </c>
      <c r="NWX20" s="314" t="s">
        <v>203</v>
      </c>
      <c r="NWY20" s="314" t="s">
        <v>203</v>
      </c>
      <c r="NWZ20" s="314" t="s">
        <v>203</v>
      </c>
      <c r="NXA20" s="314" t="s">
        <v>203</v>
      </c>
      <c r="NXB20" s="314" t="s">
        <v>203</v>
      </c>
      <c r="NXC20" s="314" t="s">
        <v>203</v>
      </c>
      <c r="NXD20" s="314" t="s">
        <v>203</v>
      </c>
      <c r="NXE20" s="314" t="s">
        <v>203</v>
      </c>
      <c r="NXF20" s="314" t="s">
        <v>203</v>
      </c>
      <c r="NXG20" s="314" t="s">
        <v>203</v>
      </c>
      <c r="NXH20" s="314" t="s">
        <v>203</v>
      </c>
      <c r="NXI20" s="314" t="s">
        <v>203</v>
      </c>
      <c r="NXJ20" s="314" t="s">
        <v>203</v>
      </c>
      <c r="NXK20" s="314" t="s">
        <v>203</v>
      </c>
      <c r="NXL20" s="314" t="s">
        <v>203</v>
      </c>
      <c r="NXM20" s="314" t="s">
        <v>203</v>
      </c>
      <c r="NXN20" s="314" t="s">
        <v>203</v>
      </c>
      <c r="NXO20" s="314" t="s">
        <v>203</v>
      </c>
      <c r="NXP20" s="314" t="s">
        <v>203</v>
      </c>
      <c r="NXQ20" s="314" t="s">
        <v>203</v>
      </c>
      <c r="NXR20" s="314" t="s">
        <v>203</v>
      </c>
      <c r="NXS20" s="314" t="s">
        <v>203</v>
      </c>
      <c r="NXT20" s="314" t="s">
        <v>203</v>
      </c>
      <c r="NXU20" s="314" t="s">
        <v>203</v>
      </c>
      <c r="NXV20" s="314" t="s">
        <v>203</v>
      </c>
      <c r="NXW20" s="314" t="s">
        <v>203</v>
      </c>
      <c r="NXX20" s="314" t="s">
        <v>203</v>
      </c>
      <c r="NXY20" s="314" t="s">
        <v>203</v>
      </c>
      <c r="NXZ20" s="314" t="s">
        <v>203</v>
      </c>
      <c r="NYA20" s="314" t="s">
        <v>203</v>
      </c>
      <c r="NYB20" s="314" t="s">
        <v>203</v>
      </c>
      <c r="NYC20" s="314" t="s">
        <v>203</v>
      </c>
      <c r="NYD20" s="314" t="s">
        <v>203</v>
      </c>
      <c r="NYE20" s="314" t="s">
        <v>203</v>
      </c>
      <c r="NYF20" s="314" t="s">
        <v>203</v>
      </c>
      <c r="NYG20" s="314" t="s">
        <v>203</v>
      </c>
      <c r="NYH20" s="314" t="s">
        <v>203</v>
      </c>
      <c r="NYI20" s="314" t="s">
        <v>203</v>
      </c>
      <c r="NYJ20" s="314" t="s">
        <v>203</v>
      </c>
      <c r="NYK20" s="314" t="s">
        <v>203</v>
      </c>
      <c r="NYL20" s="314" t="s">
        <v>203</v>
      </c>
      <c r="NYM20" s="314" t="s">
        <v>203</v>
      </c>
      <c r="NYN20" s="314" t="s">
        <v>203</v>
      </c>
      <c r="NYO20" s="314" t="s">
        <v>203</v>
      </c>
      <c r="NYP20" s="314" t="s">
        <v>203</v>
      </c>
      <c r="NYQ20" s="314" t="s">
        <v>203</v>
      </c>
      <c r="NYR20" s="314" t="s">
        <v>203</v>
      </c>
      <c r="NYS20" s="314" t="s">
        <v>203</v>
      </c>
      <c r="NYT20" s="314" t="s">
        <v>203</v>
      </c>
      <c r="NYU20" s="314" t="s">
        <v>203</v>
      </c>
      <c r="NYV20" s="314" t="s">
        <v>203</v>
      </c>
      <c r="NYW20" s="314" t="s">
        <v>203</v>
      </c>
      <c r="NYX20" s="314" t="s">
        <v>203</v>
      </c>
      <c r="NYY20" s="314" t="s">
        <v>203</v>
      </c>
      <c r="NYZ20" s="314" t="s">
        <v>203</v>
      </c>
      <c r="NZA20" s="314" t="s">
        <v>203</v>
      </c>
      <c r="NZB20" s="314" t="s">
        <v>203</v>
      </c>
      <c r="NZC20" s="314" t="s">
        <v>203</v>
      </c>
      <c r="NZD20" s="314" t="s">
        <v>203</v>
      </c>
      <c r="NZE20" s="314" t="s">
        <v>203</v>
      </c>
      <c r="NZF20" s="314" t="s">
        <v>203</v>
      </c>
      <c r="NZG20" s="314" t="s">
        <v>203</v>
      </c>
      <c r="NZH20" s="314" t="s">
        <v>203</v>
      </c>
      <c r="NZI20" s="314" t="s">
        <v>203</v>
      </c>
      <c r="NZJ20" s="314" t="s">
        <v>203</v>
      </c>
      <c r="NZK20" s="314" t="s">
        <v>203</v>
      </c>
      <c r="NZL20" s="314" t="s">
        <v>203</v>
      </c>
      <c r="NZM20" s="314" t="s">
        <v>203</v>
      </c>
      <c r="NZN20" s="314" t="s">
        <v>203</v>
      </c>
      <c r="NZO20" s="314" t="s">
        <v>203</v>
      </c>
      <c r="NZP20" s="314" t="s">
        <v>203</v>
      </c>
      <c r="NZQ20" s="314" t="s">
        <v>203</v>
      </c>
      <c r="NZR20" s="314" t="s">
        <v>203</v>
      </c>
      <c r="NZS20" s="314" t="s">
        <v>203</v>
      </c>
      <c r="NZT20" s="314" t="s">
        <v>203</v>
      </c>
      <c r="NZU20" s="314" t="s">
        <v>203</v>
      </c>
      <c r="NZV20" s="314" t="s">
        <v>203</v>
      </c>
      <c r="NZW20" s="314" t="s">
        <v>203</v>
      </c>
      <c r="NZX20" s="314" t="s">
        <v>203</v>
      </c>
      <c r="NZY20" s="314" t="s">
        <v>203</v>
      </c>
      <c r="NZZ20" s="314" t="s">
        <v>203</v>
      </c>
      <c r="OAA20" s="314" t="s">
        <v>203</v>
      </c>
      <c r="OAB20" s="314" t="s">
        <v>203</v>
      </c>
      <c r="OAC20" s="314" t="s">
        <v>203</v>
      </c>
      <c r="OAD20" s="314" t="s">
        <v>203</v>
      </c>
      <c r="OAE20" s="314" t="s">
        <v>203</v>
      </c>
      <c r="OAF20" s="314" t="s">
        <v>203</v>
      </c>
      <c r="OAG20" s="314" t="s">
        <v>203</v>
      </c>
      <c r="OAH20" s="314" t="s">
        <v>203</v>
      </c>
      <c r="OAI20" s="314" t="s">
        <v>203</v>
      </c>
      <c r="OAJ20" s="314" t="s">
        <v>203</v>
      </c>
      <c r="OAK20" s="314" t="s">
        <v>203</v>
      </c>
      <c r="OAL20" s="314" t="s">
        <v>203</v>
      </c>
      <c r="OAM20" s="314" t="s">
        <v>203</v>
      </c>
      <c r="OAN20" s="314" t="s">
        <v>203</v>
      </c>
      <c r="OAO20" s="314" t="s">
        <v>203</v>
      </c>
      <c r="OAP20" s="314" t="s">
        <v>203</v>
      </c>
      <c r="OAQ20" s="314" t="s">
        <v>203</v>
      </c>
      <c r="OAR20" s="314" t="s">
        <v>203</v>
      </c>
      <c r="OAS20" s="314" t="s">
        <v>203</v>
      </c>
      <c r="OAT20" s="314" t="s">
        <v>203</v>
      </c>
      <c r="OAU20" s="314" t="s">
        <v>203</v>
      </c>
      <c r="OAV20" s="314" t="s">
        <v>203</v>
      </c>
      <c r="OAW20" s="314" t="s">
        <v>203</v>
      </c>
      <c r="OAX20" s="314" t="s">
        <v>203</v>
      </c>
      <c r="OAY20" s="314" t="s">
        <v>203</v>
      </c>
      <c r="OAZ20" s="314" t="s">
        <v>203</v>
      </c>
      <c r="OBA20" s="314" t="s">
        <v>203</v>
      </c>
      <c r="OBB20" s="314" t="s">
        <v>203</v>
      </c>
      <c r="OBC20" s="314" t="s">
        <v>203</v>
      </c>
      <c r="OBD20" s="314" t="s">
        <v>203</v>
      </c>
      <c r="OBE20" s="314" t="s">
        <v>203</v>
      </c>
      <c r="OBF20" s="314" t="s">
        <v>203</v>
      </c>
      <c r="OBG20" s="314" t="s">
        <v>203</v>
      </c>
      <c r="OBH20" s="314" t="s">
        <v>203</v>
      </c>
      <c r="OBI20" s="314" t="s">
        <v>203</v>
      </c>
      <c r="OBJ20" s="314" t="s">
        <v>203</v>
      </c>
      <c r="OBK20" s="314" t="s">
        <v>203</v>
      </c>
      <c r="OBL20" s="314" t="s">
        <v>203</v>
      </c>
      <c r="OBM20" s="314" t="s">
        <v>203</v>
      </c>
      <c r="OBN20" s="314" t="s">
        <v>203</v>
      </c>
      <c r="OBO20" s="314" t="s">
        <v>203</v>
      </c>
      <c r="OBP20" s="314" t="s">
        <v>203</v>
      </c>
      <c r="OBQ20" s="314" t="s">
        <v>203</v>
      </c>
      <c r="OBR20" s="314" t="s">
        <v>203</v>
      </c>
      <c r="OBS20" s="314" t="s">
        <v>203</v>
      </c>
      <c r="OBT20" s="314" t="s">
        <v>203</v>
      </c>
      <c r="OBU20" s="314" t="s">
        <v>203</v>
      </c>
      <c r="OBV20" s="314" t="s">
        <v>203</v>
      </c>
      <c r="OBW20" s="314" t="s">
        <v>203</v>
      </c>
      <c r="OBX20" s="314" t="s">
        <v>203</v>
      </c>
      <c r="OBY20" s="314" t="s">
        <v>203</v>
      </c>
      <c r="OBZ20" s="314" t="s">
        <v>203</v>
      </c>
      <c r="OCA20" s="314" t="s">
        <v>203</v>
      </c>
      <c r="OCB20" s="314" t="s">
        <v>203</v>
      </c>
      <c r="OCC20" s="314" t="s">
        <v>203</v>
      </c>
      <c r="OCD20" s="314" t="s">
        <v>203</v>
      </c>
      <c r="OCE20" s="314" t="s">
        <v>203</v>
      </c>
      <c r="OCF20" s="314" t="s">
        <v>203</v>
      </c>
      <c r="OCG20" s="314" t="s">
        <v>203</v>
      </c>
      <c r="OCH20" s="314" t="s">
        <v>203</v>
      </c>
      <c r="OCI20" s="314" t="s">
        <v>203</v>
      </c>
      <c r="OCJ20" s="314" t="s">
        <v>203</v>
      </c>
      <c r="OCK20" s="314" t="s">
        <v>203</v>
      </c>
      <c r="OCL20" s="314" t="s">
        <v>203</v>
      </c>
      <c r="OCM20" s="314" t="s">
        <v>203</v>
      </c>
      <c r="OCN20" s="314" t="s">
        <v>203</v>
      </c>
      <c r="OCO20" s="314" t="s">
        <v>203</v>
      </c>
      <c r="OCP20" s="314" t="s">
        <v>203</v>
      </c>
      <c r="OCQ20" s="314" t="s">
        <v>203</v>
      </c>
      <c r="OCR20" s="314" t="s">
        <v>203</v>
      </c>
      <c r="OCS20" s="314" t="s">
        <v>203</v>
      </c>
      <c r="OCT20" s="314" t="s">
        <v>203</v>
      </c>
      <c r="OCU20" s="314" t="s">
        <v>203</v>
      </c>
      <c r="OCV20" s="314" t="s">
        <v>203</v>
      </c>
      <c r="OCW20" s="314" t="s">
        <v>203</v>
      </c>
      <c r="OCX20" s="314" t="s">
        <v>203</v>
      </c>
      <c r="OCY20" s="314" t="s">
        <v>203</v>
      </c>
      <c r="OCZ20" s="314" t="s">
        <v>203</v>
      </c>
      <c r="ODA20" s="314" t="s">
        <v>203</v>
      </c>
      <c r="ODB20" s="314" t="s">
        <v>203</v>
      </c>
      <c r="ODC20" s="314" t="s">
        <v>203</v>
      </c>
      <c r="ODD20" s="314" t="s">
        <v>203</v>
      </c>
      <c r="ODE20" s="314" t="s">
        <v>203</v>
      </c>
      <c r="ODF20" s="314" t="s">
        <v>203</v>
      </c>
      <c r="ODG20" s="314" t="s">
        <v>203</v>
      </c>
      <c r="ODH20" s="314" t="s">
        <v>203</v>
      </c>
      <c r="ODI20" s="314" t="s">
        <v>203</v>
      </c>
      <c r="ODJ20" s="314" t="s">
        <v>203</v>
      </c>
      <c r="ODK20" s="314" t="s">
        <v>203</v>
      </c>
      <c r="ODL20" s="314" t="s">
        <v>203</v>
      </c>
      <c r="ODM20" s="314" t="s">
        <v>203</v>
      </c>
      <c r="ODN20" s="314" t="s">
        <v>203</v>
      </c>
      <c r="ODO20" s="314" t="s">
        <v>203</v>
      </c>
      <c r="ODP20" s="314" t="s">
        <v>203</v>
      </c>
      <c r="ODQ20" s="314" t="s">
        <v>203</v>
      </c>
      <c r="ODR20" s="314" t="s">
        <v>203</v>
      </c>
      <c r="ODS20" s="314" t="s">
        <v>203</v>
      </c>
      <c r="ODT20" s="314" t="s">
        <v>203</v>
      </c>
      <c r="ODU20" s="314" t="s">
        <v>203</v>
      </c>
      <c r="ODV20" s="314" t="s">
        <v>203</v>
      </c>
      <c r="ODW20" s="314" t="s">
        <v>203</v>
      </c>
      <c r="ODX20" s="314" t="s">
        <v>203</v>
      </c>
      <c r="ODY20" s="314" t="s">
        <v>203</v>
      </c>
      <c r="ODZ20" s="314" t="s">
        <v>203</v>
      </c>
      <c r="OEA20" s="314" t="s">
        <v>203</v>
      </c>
      <c r="OEB20" s="314" t="s">
        <v>203</v>
      </c>
      <c r="OEC20" s="314" t="s">
        <v>203</v>
      </c>
      <c r="OED20" s="314" t="s">
        <v>203</v>
      </c>
      <c r="OEE20" s="314" t="s">
        <v>203</v>
      </c>
      <c r="OEF20" s="314" t="s">
        <v>203</v>
      </c>
      <c r="OEG20" s="314" t="s">
        <v>203</v>
      </c>
      <c r="OEH20" s="314" t="s">
        <v>203</v>
      </c>
      <c r="OEI20" s="314" t="s">
        <v>203</v>
      </c>
      <c r="OEJ20" s="314" t="s">
        <v>203</v>
      </c>
      <c r="OEK20" s="314" t="s">
        <v>203</v>
      </c>
      <c r="OEL20" s="314" t="s">
        <v>203</v>
      </c>
      <c r="OEM20" s="314" t="s">
        <v>203</v>
      </c>
      <c r="OEN20" s="314" t="s">
        <v>203</v>
      </c>
      <c r="OEO20" s="314" t="s">
        <v>203</v>
      </c>
      <c r="OEP20" s="314" t="s">
        <v>203</v>
      </c>
      <c r="OEQ20" s="314" t="s">
        <v>203</v>
      </c>
      <c r="OER20" s="314" t="s">
        <v>203</v>
      </c>
      <c r="OES20" s="314" t="s">
        <v>203</v>
      </c>
      <c r="OET20" s="314" t="s">
        <v>203</v>
      </c>
      <c r="OEU20" s="314" t="s">
        <v>203</v>
      </c>
      <c r="OEV20" s="314" t="s">
        <v>203</v>
      </c>
      <c r="OEW20" s="314" t="s">
        <v>203</v>
      </c>
      <c r="OEX20" s="314" t="s">
        <v>203</v>
      </c>
      <c r="OEY20" s="314" t="s">
        <v>203</v>
      </c>
      <c r="OEZ20" s="314" t="s">
        <v>203</v>
      </c>
      <c r="OFA20" s="314" t="s">
        <v>203</v>
      </c>
      <c r="OFB20" s="314" t="s">
        <v>203</v>
      </c>
      <c r="OFC20" s="314" t="s">
        <v>203</v>
      </c>
      <c r="OFD20" s="314" t="s">
        <v>203</v>
      </c>
      <c r="OFE20" s="314" t="s">
        <v>203</v>
      </c>
      <c r="OFF20" s="314" t="s">
        <v>203</v>
      </c>
      <c r="OFG20" s="314" t="s">
        <v>203</v>
      </c>
      <c r="OFH20" s="314" t="s">
        <v>203</v>
      </c>
      <c r="OFI20" s="314" t="s">
        <v>203</v>
      </c>
      <c r="OFJ20" s="314" t="s">
        <v>203</v>
      </c>
      <c r="OFK20" s="314" t="s">
        <v>203</v>
      </c>
      <c r="OFL20" s="314" t="s">
        <v>203</v>
      </c>
      <c r="OFM20" s="314" t="s">
        <v>203</v>
      </c>
      <c r="OFN20" s="314" t="s">
        <v>203</v>
      </c>
      <c r="OFO20" s="314" t="s">
        <v>203</v>
      </c>
      <c r="OFP20" s="314" t="s">
        <v>203</v>
      </c>
      <c r="OFQ20" s="314" t="s">
        <v>203</v>
      </c>
      <c r="OFR20" s="314" t="s">
        <v>203</v>
      </c>
      <c r="OFS20" s="314" t="s">
        <v>203</v>
      </c>
      <c r="OFT20" s="314" t="s">
        <v>203</v>
      </c>
      <c r="OFU20" s="314" t="s">
        <v>203</v>
      </c>
      <c r="OFV20" s="314" t="s">
        <v>203</v>
      </c>
      <c r="OFW20" s="314" t="s">
        <v>203</v>
      </c>
      <c r="OFX20" s="314" t="s">
        <v>203</v>
      </c>
      <c r="OFY20" s="314" t="s">
        <v>203</v>
      </c>
      <c r="OFZ20" s="314" t="s">
        <v>203</v>
      </c>
      <c r="OGA20" s="314" t="s">
        <v>203</v>
      </c>
      <c r="OGB20" s="314" t="s">
        <v>203</v>
      </c>
      <c r="OGC20" s="314" t="s">
        <v>203</v>
      </c>
      <c r="OGD20" s="314" t="s">
        <v>203</v>
      </c>
      <c r="OGE20" s="314" t="s">
        <v>203</v>
      </c>
      <c r="OGF20" s="314" t="s">
        <v>203</v>
      </c>
      <c r="OGG20" s="314" t="s">
        <v>203</v>
      </c>
      <c r="OGH20" s="314" t="s">
        <v>203</v>
      </c>
      <c r="OGI20" s="314" t="s">
        <v>203</v>
      </c>
      <c r="OGJ20" s="314" t="s">
        <v>203</v>
      </c>
      <c r="OGK20" s="314" t="s">
        <v>203</v>
      </c>
      <c r="OGL20" s="314" t="s">
        <v>203</v>
      </c>
      <c r="OGM20" s="314" t="s">
        <v>203</v>
      </c>
      <c r="OGN20" s="314" t="s">
        <v>203</v>
      </c>
      <c r="OGO20" s="314" t="s">
        <v>203</v>
      </c>
      <c r="OGP20" s="314" t="s">
        <v>203</v>
      </c>
      <c r="OGQ20" s="314" t="s">
        <v>203</v>
      </c>
      <c r="OGR20" s="314" t="s">
        <v>203</v>
      </c>
      <c r="OGS20" s="314" t="s">
        <v>203</v>
      </c>
      <c r="OGT20" s="314" t="s">
        <v>203</v>
      </c>
      <c r="OGU20" s="314" t="s">
        <v>203</v>
      </c>
      <c r="OGV20" s="314" t="s">
        <v>203</v>
      </c>
      <c r="OGW20" s="314" t="s">
        <v>203</v>
      </c>
      <c r="OGX20" s="314" t="s">
        <v>203</v>
      </c>
      <c r="OGY20" s="314" t="s">
        <v>203</v>
      </c>
      <c r="OGZ20" s="314" t="s">
        <v>203</v>
      </c>
      <c r="OHA20" s="314" t="s">
        <v>203</v>
      </c>
      <c r="OHB20" s="314" t="s">
        <v>203</v>
      </c>
      <c r="OHC20" s="314" t="s">
        <v>203</v>
      </c>
      <c r="OHD20" s="314" t="s">
        <v>203</v>
      </c>
      <c r="OHE20" s="314" t="s">
        <v>203</v>
      </c>
      <c r="OHF20" s="314" t="s">
        <v>203</v>
      </c>
      <c r="OHG20" s="314" t="s">
        <v>203</v>
      </c>
      <c r="OHH20" s="314" t="s">
        <v>203</v>
      </c>
      <c r="OHI20" s="314" t="s">
        <v>203</v>
      </c>
      <c r="OHJ20" s="314" t="s">
        <v>203</v>
      </c>
      <c r="OHK20" s="314" t="s">
        <v>203</v>
      </c>
      <c r="OHL20" s="314" t="s">
        <v>203</v>
      </c>
      <c r="OHM20" s="314" t="s">
        <v>203</v>
      </c>
      <c r="OHN20" s="314" t="s">
        <v>203</v>
      </c>
      <c r="OHO20" s="314" t="s">
        <v>203</v>
      </c>
      <c r="OHP20" s="314" t="s">
        <v>203</v>
      </c>
      <c r="OHQ20" s="314" t="s">
        <v>203</v>
      </c>
      <c r="OHR20" s="314" t="s">
        <v>203</v>
      </c>
      <c r="OHS20" s="314" t="s">
        <v>203</v>
      </c>
      <c r="OHT20" s="314" t="s">
        <v>203</v>
      </c>
      <c r="OHU20" s="314" t="s">
        <v>203</v>
      </c>
      <c r="OHV20" s="314" t="s">
        <v>203</v>
      </c>
      <c r="OHW20" s="314" t="s">
        <v>203</v>
      </c>
      <c r="OHX20" s="314" t="s">
        <v>203</v>
      </c>
      <c r="OHY20" s="314" t="s">
        <v>203</v>
      </c>
      <c r="OHZ20" s="314" t="s">
        <v>203</v>
      </c>
      <c r="OIA20" s="314" t="s">
        <v>203</v>
      </c>
      <c r="OIB20" s="314" t="s">
        <v>203</v>
      </c>
      <c r="OIC20" s="314" t="s">
        <v>203</v>
      </c>
      <c r="OID20" s="314" t="s">
        <v>203</v>
      </c>
      <c r="OIE20" s="314" t="s">
        <v>203</v>
      </c>
      <c r="OIF20" s="314" t="s">
        <v>203</v>
      </c>
      <c r="OIG20" s="314" t="s">
        <v>203</v>
      </c>
      <c r="OIH20" s="314" t="s">
        <v>203</v>
      </c>
      <c r="OII20" s="314" t="s">
        <v>203</v>
      </c>
      <c r="OIJ20" s="314" t="s">
        <v>203</v>
      </c>
      <c r="OIK20" s="314" t="s">
        <v>203</v>
      </c>
      <c r="OIL20" s="314" t="s">
        <v>203</v>
      </c>
      <c r="OIM20" s="314" t="s">
        <v>203</v>
      </c>
      <c r="OIN20" s="314" t="s">
        <v>203</v>
      </c>
      <c r="OIO20" s="314" t="s">
        <v>203</v>
      </c>
      <c r="OIP20" s="314" t="s">
        <v>203</v>
      </c>
      <c r="OIQ20" s="314" t="s">
        <v>203</v>
      </c>
      <c r="OIR20" s="314" t="s">
        <v>203</v>
      </c>
      <c r="OIS20" s="314" t="s">
        <v>203</v>
      </c>
      <c r="OIT20" s="314" t="s">
        <v>203</v>
      </c>
      <c r="OIU20" s="314" t="s">
        <v>203</v>
      </c>
      <c r="OIV20" s="314" t="s">
        <v>203</v>
      </c>
      <c r="OIW20" s="314" t="s">
        <v>203</v>
      </c>
      <c r="OIX20" s="314" t="s">
        <v>203</v>
      </c>
      <c r="OIY20" s="314" t="s">
        <v>203</v>
      </c>
      <c r="OIZ20" s="314" t="s">
        <v>203</v>
      </c>
      <c r="OJA20" s="314" t="s">
        <v>203</v>
      </c>
      <c r="OJB20" s="314" t="s">
        <v>203</v>
      </c>
      <c r="OJC20" s="314" t="s">
        <v>203</v>
      </c>
      <c r="OJD20" s="314" t="s">
        <v>203</v>
      </c>
      <c r="OJE20" s="314" t="s">
        <v>203</v>
      </c>
      <c r="OJF20" s="314" t="s">
        <v>203</v>
      </c>
      <c r="OJG20" s="314" t="s">
        <v>203</v>
      </c>
      <c r="OJH20" s="314" t="s">
        <v>203</v>
      </c>
      <c r="OJI20" s="314" t="s">
        <v>203</v>
      </c>
      <c r="OJJ20" s="314" t="s">
        <v>203</v>
      </c>
      <c r="OJK20" s="314" t="s">
        <v>203</v>
      </c>
      <c r="OJL20" s="314" t="s">
        <v>203</v>
      </c>
      <c r="OJM20" s="314" t="s">
        <v>203</v>
      </c>
      <c r="OJN20" s="314" t="s">
        <v>203</v>
      </c>
      <c r="OJO20" s="314" t="s">
        <v>203</v>
      </c>
      <c r="OJP20" s="314" t="s">
        <v>203</v>
      </c>
      <c r="OJQ20" s="314" t="s">
        <v>203</v>
      </c>
      <c r="OJR20" s="314" t="s">
        <v>203</v>
      </c>
      <c r="OJS20" s="314" t="s">
        <v>203</v>
      </c>
      <c r="OJT20" s="314" t="s">
        <v>203</v>
      </c>
      <c r="OJU20" s="314" t="s">
        <v>203</v>
      </c>
      <c r="OJV20" s="314" t="s">
        <v>203</v>
      </c>
      <c r="OJW20" s="314" t="s">
        <v>203</v>
      </c>
      <c r="OJX20" s="314" t="s">
        <v>203</v>
      </c>
      <c r="OJY20" s="314" t="s">
        <v>203</v>
      </c>
      <c r="OJZ20" s="314" t="s">
        <v>203</v>
      </c>
      <c r="OKA20" s="314" t="s">
        <v>203</v>
      </c>
      <c r="OKB20" s="314" t="s">
        <v>203</v>
      </c>
      <c r="OKC20" s="314" t="s">
        <v>203</v>
      </c>
      <c r="OKD20" s="314" t="s">
        <v>203</v>
      </c>
      <c r="OKE20" s="314" t="s">
        <v>203</v>
      </c>
      <c r="OKF20" s="314" t="s">
        <v>203</v>
      </c>
      <c r="OKG20" s="314" t="s">
        <v>203</v>
      </c>
      <c r="OKH20" s="314" t="s">
        <v>203</v>
      </c>
      <c r="OKI20" s="314" t="s">
        <v>203</v>
      </c>
      <c r="OKJ20" s="314" t="s">
        <v>203</v>
      </c>
      <c r="OKK20" s="314" t="s">
        <v>203</v>
      </c>
      <c r="OKL20" s="314" t="s">
        <v>203</v>
      </c>
      <c r="OKM20" s="314" t="s">
        <v>203</v>
      </c>
      <c r="OKN20" s="314" t="s">
        <v>203</v>
      </c>
      <c r="OKO20" s="314" t="s">
        <v>203</v>
      </c>
      <c r="OKP20" s="314" t="s">
        <v>203</v>
      </c>
      <c r="OKQ20" s="314" t="s">
        <v>203</v>
      </c>
      <c r="OKR20" s="314" t="s">
        <v>203</v>
      </c>
      <c r="OKS20" s="314" t="s">
        <v>203</v>
      </c>
      <c r="OKT20" s="314" t="s">
        <v>203</v>
      </c>
      <c r="OKU20" s="314" t="s">
        <v>203</v>
      </c>
      <c r="OKV20" s="314" t="s">
        <v>203</v>
      </c>
      <c r="OKW20" s="314" t="s">
        <v>203</v>
      </c>
      <c r="OKX20" s="314" t="s">
        <v>203</v>
      </c>
      <c r="OKY20" s="314" t="s">
        <v>203</v>
      </c>
      <c r="OKZ20" s="314" t="s">
        <v>203</v>
      </c>
      <c r="OLA20" s="314" t="s">
        <v>203</v>
      </c>
      <c r="OLB20" s="314" t="s">
        <v>203</v>
      </c>
      <c r="OLC20" s="314" t="s">
        <v>203</v>
      </c>
      <c r="OLD20" s="314" t="s">
        <v>203</v>
      </c>
      <c r="OLE20" s="314" t="s">
        <v>203</v>
      </c>
      <c r="OLF20" s="314" t="s">
        <v>203</v>
      </c>
      <c r="OLG20" s="314" t="s">
        <v>203</v>
      </c>
      <c r="OLH20" s="314" t="s">
        <v>203</v>
      </c>
      <c r="OLI20" s="314" t="s">
        <v>203</v>
      </c>
      <c r="OLJ20" s="314" t="s">
        <v>203</v>
      </c>
      <c r="OLK20" s="314" t="s">
        <v>203</v>
      </c>
      <c r="OLL20" s="314" t="s">
        <v>203</v>
      </c>
      <c r="OLM20" s="314" t="s">
        <v>203</v>
      </c>
      <c r="OLN20" s="314" t="s">
        <v>203</v>
      </c>
      <c r="OLO20" s="314" t="s">
        <v>203</v>
      </c>
      <c r="OLP20" s="314" t="s">
        <v>203</v>
      </c>
      <c r="OLQ20" s="314" t="s">
        <v>203</v>
      </c>
      <c r="OLR20" s="314" t="s">
        <v>203</v>
      </c>
      <c r="OLS20" s="314" t="s">
        <v>203</v>
      </c>
      <c r="OLT20" s="314" t="s">
        <v>203</v>
      </c>
      <c r="OLU20" s="314" t="s">
        <v>203</v>
      </c>
      <c r="OLV20" s="314" t="s">
        <v>203</v>
      </c>
      <c r="OLW20" s="314" t="s">
        <v>203</v>
      </c>
      <c r="OLX20" s="314" t="s">
        <v>203</v>
      </c>
      <c r="OLY20" s="314" t="s">
        <v>203</v>
      </c>
      <c r="OLZ20" s="314" t="s">
        <v>203</v>
      </c>
      <c r="OMA20" s="314" t="s">
        <v>203</v>
      </c>
      <c r="OMB20" s="314" t="s">
        <v>203</v>
      </c>
      <c r="OMC20" s="314" t="s">
        <v>203</v>
      </c>
      <c r="OMD20" s="314" t="s">
        <v>203</v>
      </c>
      <c r="OME20" s="314" t="s">
        <v>203</v>
      </c>
      <c r="OMF20" s="314" t="s">
        <v>203</v>
      </c>
      <c r="OMG20" s="314" t="s">
        <v>203</v>
      </c>
      <c r="OMH20" s="314" t="s">
        <v>203</v>
      </c>
      <c r="OMI20" s="314" t="s">
        <v>203</v>
      </c>
      <c r="OMJ20" s="314" t="s">
        <v>203</v>
      </c>
      <c r="OMK20" s="314" t="s">
        <v>203</v>
      </c>
      <c r="OML20" s="314" t="s">
        <v>203</v>
      </c>
      <c r="OMM20" s="314" t="s">
        <v>203</v>
      </c>
      <c r="OMN20" s="314" t="s">
        <v>203</v>
      </c>
      <c r="OMO20" s="314" t="s">
        <v>203</v>
      </c>
      <c r="OMP20" s="314" t="s">
        <v>203</v>
      </c>
      <c r="OMQ20" s="314" t="s">
        <v>203</v>
      </c>
      <c r="OMR20" s="314" t="s">
        <v>203</v>
      </c>
      <c r="OMS20" s="314" t="s">
        <v>203</v>
      </c>
      <c r="OMT20" s="314" t="s">
        <v>203</v>
      </c>
      <c r="OMU20" s="314" t="s">
        <v>203</v>
      </c>
      <c r="OMV20" s="314" t="s">
        <v>203</v>
      </c>
      <c r="OMW20" s="314" t="s">
        <v>203</v>
      </c>
      <c r="OMX20" s="314" t="s">
        <v>203</v>
      </c>
      <c r="OMY20" s="314" t="s">
        <v>203</v>
      </c>
      <c r="OMZ20" s="314" t="s">
        <v>203</v>
      </c>
      <c r="ONA20" s="314" t="s">
        <v>203</v>
      </c>
      <c r="ONB20" s="314" t="s">
        <v>203</v>
      </c>
      <c r="ONC20" s="314" t="s">
        <v>203</v>
      </c>
      <c r="OND20" s="314" t="s">
        <v>203</v>
      </c>
      <c r="ONE20" s="314" t="s">
        <v>203</v>
      </c>
      <c r="ONF20" s="314" t="s">
        <v>203</v>
      </c>
      <c r="ONG20" s="314" t="s">
        <v>203</v>
      </c>
      <c r="ONH20" s="314" t="s">
        <v>203</v>
      </c>
      <c r="ONI20" s="314" t="s">
        <v>203</v>
      </c>
      <c r="ONJ20" s="314" t="s">
        <v>203</v>
      </c>
      <c r="ONK20" s="314" t="s">
        <v>203</v>
      </c>
      <c r="ONL20" s="314" t="s">
        <v>203</v>
      </c>
      <c r="ONM20" s="314" t="s">
        <v>203</v>
      </c>
      <c r="ONN20" s="314" t="s">
        <v>203</v>
      </c>
      <c r="ONO20" s="314" t="s">
        <v>203</v>
      </c>
      <c r="ONP20" s="314" t="s">
        <v>203</v>
      </c>
      <c r="ONQ20" s="314" t="s">
        <v>203</v>
      </c>
      <c r="ONR20" s="314" t="s">
        <v>203</v>
      </c>
      <c r="ONS20" s="314" t="s">
        <v>203</v>
      </c>
      <c r="ONT20" s="314" t="s">
        <v>203</v>
      </c>
      <c r="ONU20" s="314" t="s">
        <v>203</v>
      </c>
      <c r="ONV20" s="314" t="s">
        <v>203</v>
      </c>
      <c r="ONW20" s="314" t="s">
        <v>203</v>
      </c>
      <c r="ONX20" s="314" t="s">
        <v>203</v>
      </c>
      <c r="ONY20" s="314" t="s">
        <v>203</v>
      </c>
      <c r="ONZ20" s="314" t="s">
        <v>203</v>
      </c>
      <c r="OOA20" s="314" t="s">
        <v>203</v>
      </c>
      <c r="OOB20" s="314" t="s">
        <v>203</v>
      </c>
      <c r="OOC20" s="314" t="s">
        <v>203</v>
      </c>
      <c r="OOD20" s="314" t="s">
        <v>203</v>
      </c>
      <c r="OOE20" s="314" t="s">
        <v>203</v>
      </c>
      <c r="OOF20" s="314" t="s">
        <v>203</v>
      </c>
      <c r="OOG20" s="314" t="s">
        <v>203</v>
      </c>
      <c r="OOH20" s="314" t="s">
        <v>203</v>
      </c>
      <c r="OOI20" s="314" t="s">
        <v>203</v>
      </c>
      <c r="OOJ20" s="314" t="s">
        <v>203</v>
      </c>
      <c r="OOK20" s="314" t="s">
        <v>203</v>
      </c>
      <c r="OOL20" s="314" t="s">
        <v>203</v>
      </c>
      <c r="OOM20" s="314" t="s">
        <v>203</v>
      </c>
      <c r="OON20" s="314" t="s">
        <v>203</v>
      </c>
      <c r="OOO20" s="314" t="s">
        <v>203</v>
      </c>
      <c r="OOP20" s="314" t="s">
        <v>203</v>
      </c>
      <c r="OOQ20" s="314" t="s">
        <v>203</v>
      </c>
      <c r="OOR20" s="314" t="s">
        <v>203</v>
      </c>
      <c r="OOS20" s="314" t="s">
        <v>203</v>
      </c>
      <c r="OOT20" s="314" t="s">
        <v>203</v>
      </c>
      <c r="OOU20" s="314" t="s">
        <v>203</v>
      </c>
      <c r="OOV20" s="314" t="s">
        <v>203</v>
      </c>
      <c r="OOW20" s="314" t="s">
        <v>203</v>
      </c>
      <c r="OOX20" s="314" t="s">
        <v>203</v>
      </c>
      <c r="OOY20" s="314" t="s">
        <v>203</v>
      </c>
      <c r="OOZ20" s="314" t="s">
        <v>203</v>
      </c>
      <c r="OPA20" s="314" t="s">
        <v>203</v>
      </c>
      <c r="OPB20" s="314" t="s">
        <v>203</v>
      </c>
      <c r="OPC20" s="314" t="s">
        <v>203</v>
      </c>
      <c r="OPD20" s="314" t="s">
        <v>203</v>
      </c>
      <c r="OPE20" s="314" t="s">
        <v>203</v>
      </c>
      <c r="OPF20" s="314" t="s">
        <v>203</v>
      </c>
      <c r="OPG20" s="314" t="s">
        <v>203</v>
      </c>
      <c r="OPH20" s="314" t="s">
        <v>203</v>
      </c>
      <c r="OPI20" s="314" t="s">
        <v>203</v>
      </c>
      <c r="OPJ20" s="314" t="s">
        <v>203</v>
      </c>
      <c r="OPK20" s="314" t="s">
        <v>203</v>
      </c>
      <c r="OPL20" s="314" t="s">
        <v>203</v>
      </c>
      <c r="OPM20" s="314" t="s">
        <v>203</v>
      </c>
      <c r="OPN20" s="314" t="s">
        <v>203</v>
      </c>
      <c r="OPO20" s="314" t="s">
        <v>203</v>
      </c>
      <c r="OPP20" s="314" t="s">
        <v>203</v>
      </c>
      <c r="OPQ20" s="314" t="s">
        <v>203</v>
      </c>
      <c r="OPR20" s="314" t="s">
        <v>203</v>
      </c>
      <c r="OPS20" s="314" t="s">
        <v>203</v>
      </c>
      <c r="OPT20" s="314" t="s">
        <v>203</v>
      </c>
      <c r="OPU20" s="314" t="s">
        <v>203</v>
      </c>
      <c r="OPV20" s="314" t="s">
        <v>203</v>
      </c>
      <c r="OPW20" s="314" t="s">
        <v>203</v>
      </c>
      <c r="OPX20" s="314" t="s">
        <v>203</v>
      </c>
      <c r="OPY20" s="314" t="s">
        <v>203</v>
      </c>
      <c r="OPZ20" s="314" t="s">
        <v>203</v>
      </c>
      <c r="OQA20" s="314" t="s">
        <v>203</v>
      </c>
      <c r="OQB20" s="314" t="s">
        <v>203</v>
      </c>
      <c r="OQC20" s="314" t="s">
        <v>203</v>
      </c>
      <c r="OQD20" s="314" t="s">
        <v>203</v>
      </c>
      <c r="OQE20" s="314" t="s">
        <v>203</v>
      </c>
      <c r="OQF20" s="314" t="s">
        <v>203</v>
      </c>
      <c r="OQG20" s="314" t="s">
        <v>203</v>
      </c>
      <c r="OQH20" s="314" t="s">
        <v>203</v>
      </c>
      <c r="OQI20" s="314" t="s">
        <v>203</v>
      </c>
      <c r="OQJ20" s="314" t="s">
        <v>203</v>
      </c>
      <c r="OQK20" s="314" t="s">
        <v>203</v>
      </c>
      <c r="OQL20" s="314" t="s">
        <v>203</v>
      </c>
      <c r="OQM20" s="314" t="s">
        <v>203</v>
      </c>
      <c r="OQN20" s="314" t="s">
        <v>203</v>
      </c>
      <c r="OQO20" s="314" t="s">
        <v>203</v>
      </c>
      <c r="OQP20" s="314" t="s">
        <v>203</v>
      </c>
      <c r="OQQ20" s="314" t="s">
        <v>203</v>
      </c>
      <c r="OQR20" s="314" t="s">
        <v>203</v>
      </c>
      <c r="OQS20" s="314" t="s">
        <v>203</v>
      </c>
      <c r="OQT20" s="314" t="s">
        <v>203</v>
      </c>
      <c r="OQU20" s="314" t="s">
        <v>203</v>
      </c>
      <c r="OQV20" s="314" t="s">
        <v>203</v>
      </c>
      <c r="OQW20" s="314" t="s">
        <v>203</v>
      </c>
      <c r="OQX20" s="314" t="s">
        <v>203</v>
      </c>
      <c r="OQY20" s="314" t="s">
        <v>203</v>
      </c>
      <c r="OQZ20" s="314" t="s">
        <v>203</v>
      </c>
      <c r="ORA20" s="314" t="s">
        <v>203</v>
      </c>
      <c r="ORB20" s="314" t="s">
        <v>203</v>
      </c>
      <c r="ORC20" s="314" t="s">
        <v>203</v>
      </c>
      <c r="ORD20" s="314" t="s">
        <v>203</v>
      </c>
      <c r="ORE20" s="314" t="s">
        <v>203</v>
      </c>
      <c r="ORF20" s="314" t="s">
        <v>203</v>
      </c>
      <c r="ORG20" s="314" t="s">
        <v>203</v>
      </c>
      <c r="ORH20" s="314" t="s">
        <v>203</v>
      </c>
      <c r="ORI20" s="314" t="s">
        <v>203</v>
      </c>
      <c r="ORJ20" s="314" t="s">
        <v>203</v>
      </c>
      <c r="ORK20" s="314" t="s">
        <v>203</v>
      </c>
      <c r="ORL20" s="314" t="s">
        <v>203</v>
      </c>
      <c r="ORM20" s="314" t="s">
        <v>203</v>
      </c>
      <c r="ORN20" s="314" t="s">
        <v>203</v>
      </c>
      <c r="ORO20" s="314" t="s">
        <v>203</v>
      </c>
      <c r="ORP20" s="314" t="s">
        <v>203</v>
      </c>
      <c r="ORQ20" s="314" t="s">
        <v>203</v>
      </c>
      <c r="ORR20" s="314" t="s">
        <v>203</v>
      </c>
      <c r="ORS20" s="314" t="s">
        <v>203</v>
      </c>
      <c r="ORT20" s="314" t="s">
        <v>203</v>
      </c>
      <c r="ORU20" s="314" t="s">
        <v>203</v>
      </c>
      <c r="ORV20" s="314" t="s">
        <v>203</v>
      </c>
      <c r="ORW20" s="314" t="s">
        <v>203</v>
      </c>
      <c r="ORX20" s="314" t="s">
        <v>203</v>
      </c>
      <c r="ORY20" s="314" t="s">
        <v>203</v>
      </c>
      <c r="ORZ20" s="314" t="s">
        <v>203</v>
      </c>
      <c r="OSA20" s="314" t="s">
        <v>203</v>
      </c>
      <c r="OSB20" s="314" t="s">
        <v>203</v>
      </c>
      <c r="OSC20" s="314" t="s">
        <v>203</v>
      </c>
      <c r="OSD20" s="314" t="s">
        <v>203</v>
      </c>
      <c r="OSE20" s="314" t="s">
        <v>203</v>
      </c>
      <c r="OSF20" s="314" t="s">
        <v>203</v>
      </c>
      <c r="OSG20" s="314" t="s">
        <v>203</v>
      </c>
      <c r="OSH20" s="314" t="s">
        <v>203</v>
      </c>
      <c r="OSI20" s="314" t="s">
        <v>203</v>
      </c>
      <c r="OSJ20" s="314" t="s">
        <v>203</v>
      </c>
      <c r="OSK20" s="314" t="s">
        <v>203</v>
      </c>
      <c r="OSL20" s="314" t="s">
        <v>203</v>
      </c>
      <c r="OSM20" s="314" t="s">
        <v>203</v>
      </c>
      <c r="OSN20" s="314" t="s">
        <v>203</v>
      </c>
      <c r="OSO20" s="314" t="s">
        <v>203</v>
      </c>
      <c r="OSP20" s="314" t="s">
        <v>203</v>
      </c>
      <c r="OSQ20" s="314" t="s">
        <v>203</v>
      </c>
      <c r="OSR20" s="314" t="s">
        <v>203</v>
      </c>
      <c r="OSS20" s="314" t="s">
        <v>203</v>
      </c>
      <c r="OST20" s="314" t="s">
        <v>203</v>
      </c>
      <c r="OSU20" s="314" t="s">
        <v>203</v>
      </c>
      <c r="OSV20" s="314" t="s">
        <v>203</v>
      </c>
      <c r="OSW20" s="314" t="s">
        <v>203</v>
      </c>
      <c r="OSX20" s="314" t="s">
        <v>203</v>
      </c>
      <c r="OSY20" s="314" t="s">
        <v>203</v>
      </c>
      <c r="OSZ20" s="314" t="s">
        <v>203</v>
      </c>
      <c r="OTA20" s="314" t="s">
        <v>203</v>
      </c>
      <c r="OTB20" s="314" t="s">
        <v>203</v>
      </c>
      <c r="OTC20" s="314" t="s">
        <v>203</v>
      </c>
      <c r="OTD20" s="314" t="s">
        <v>203</v>
      </c>
      <c r="OTE20" s="314" t="s">
        <v>203</v>
      </c>
      <c r="OTF20" s="314" t="s">
        <v>203</v>
      </c>
      <c r="OTG20" s="314" t="s">
        <v>203</v>
      </c>
      <c r="OTH20" s="314" t="s">
        <v>203</v>
      </c>
      <c r="OTI20" s="314" t="s">
        <v>203</v>
      </c>
      <c r="OTJ20" s="314" t="s">
        <v>203</v>
      </c>
      <c r="OTK20" s="314" t="s">
        <v>203</v>
      </c>
      <c r="OTL20" s="314" t="s">
        <v>203</v>
      </c>
      <c r="OTM20" s="314" t="s">
        <v>203</v>
      </c>
      <c r="OTN20" s="314" t="s">
        <v>203</v>
      </c>
      <c r="OTO20" s="314" t="s">
        <v>203</v>
      </c>
      <c r="OTP20" s="314" t="s">
        <v>203</v>
      </c>
      <c r="OTQ20" s="314" t="s">
        <v>203</v>
      </c>
      <c r="OTR20" s="314" t="s">
        <v>203</v>
      </c>
      <c r="OTS20" s="314" t="s">
        <v>203</v>
      </c>
      <c r="OTT20" s="314" t="s">
        <v>203</v>
      </c>
      <c r="OTU20" s="314" t="s">
        <v>203</v>
      </c>
      <c r="OTV20" s="314" t="s">
        <v>203</v>
      </c>
      <c r="OTW20" s="314" t="s">
        <v>203</v>
      </c>
      <c r="OTX20" s="314" t="s">
        <v>203</v>
      </c>
      <c r="OTY20" s="314" t="s">
        <v>203</v>
      </c>
      <c r="OTZ20" s="314" t="s">
        <v>203</v>
      </c>
      <c r="OUA20" s="314" t="s">
        <v>203</v>
      </c>
      <c r="OUB20" s="314" t="s">
        <v>203</v>
      </c>
      <c r="OUC20" s="314" t="s">
        <v>203</v>
      </c>
      <c r="OUD20" s="314" t="s">
        <v>203</v>
      </c>
      <c r="OUE20" s="314" t="s">
        <v>203</v>
      </c>
      <c r="OUF20" s="314" t="s">
        <v>203</v>
      </c>
      <c r="OUG20" s="314" t="s">
        <v>203</v>
      </c>
      <c r="OUH20" s="314" t="s">
        <v>203</v>
      </c>
      <c r="OUI20" s="314" t="s">
        <v>203</v>
      </c>
      <c r="OUJ20" s="314" t="s">
        <v>203</v>
      </c>
      <c r="OUK20" s="314" t="s">
        <v>203</v>
      </c>
      <c r="OUL20" s="314" t="s">
        <v>203</v>
      </c>
      <c r="OUM20" s="314" t="s">
        <v>203</v>
      </c>
      <c r="OUN20" s="314" t="s">
        <v>203</v>
      </c>
      <c r="OUO20" s="314" t="s">
        <v>203</v>
      </c>
      <c r="OUP20" s="314" t="s">
        <v>203</v>
      </c>
      <c r="OUQ20" s="314" t="s">
        <v>203</v>
      </c>
      <c r="OUR20" s="314" t="s">
        <v>203</v>
      </c>
      <c r="OUS20" s="314" t="s">
        <v>203</v>
      </c>
      <c r="OUT20" s="314" t="s">
        <v>203</v>
      </c>
      <c r="OUU20" s="314" t="s">
        <v>203</v>
      </c>
      <c r="OUV20" s="314" t="s">
        <v>203</v>
      </c>
      <c r="OUW20" s="314" t="s">
        <v>203</v>
      </c>
      <c r="OUX20" s="314" t="s">
        <v>203</v>
      </c>
      <c r="OUY20" s="314" t="s">
        <v>203</v>
      </c>
      <c r="OUZ20" s="314" t="s">
        <v>203</v>
      </c>
      <c r="OVA20" s="314" t="s">
        <v>203</v>
      </c>
      <c r="OVB20" s="314" t="s">
        <v>203</v>
      </c>
      <c r="OVC20" s="314" t="s">
        <v>203</v>
      </c>
      <c r="OVD20" s="314" t="s">
        <v>203</v>
      </c>
      <c r="OVE20" s="314" t="s">
        <v>203</v>
      </c>
      <c r="OVF20" s="314" t="s">
        <v>203</v>
      </c>
      <c r="OVG20" s="314" t="s">
        <v>203</v>
      </c>
      <c r="OVH20" s="314" t="s">
        <v>203</v>
      </c>
      <c r="OVI20" s="314" t="s">
        <v>203</v>
      </c>
      <c r="OVJ20" s="314" t="s">
        <v>203</v>
      </c>
      <c r="OVK20" s="314" t="s">
        <v>203</v>
      </c>
      <c r="OVL20" s="314" t="s">
        <v>203</v>
      </c>
      <c r="OVM20" s="314" t="s">
        <v>203</v>
      </c>
      <c r="OVN20" s="314" t="s">
        <v>203</v>
      </c>
      <c r="OVO20" s="314" t="s">
        <v>203</v>
      </c>
      <c r="OVP20" s="314" t="s">
        <v>203</v>
      </c>
      <c r="OVQ20" s="314" t="s">
        <v>203</v>
      </c>
      <c r="OVR20" s="314" t="s">
        <v>203</v>
      </c>
      <c r="OVS20" s="314" t="s">
        <v>203</v>
      </c>
      <c r="OVT20" s="314" t="s">
        <v>203</v>
      </c>
      <c r="OVU20" s="314" t="s">
        <v>203</v>
      </c>
      <c r="OVV20" s="314" t="s">
        <v>203</v>
      </c>
      <c r="OVW20" s="314" t="s">
        <v>203</v>
      </c>
      <c r="OVX20" s="314" t="s">
        <v>203</v>
      </c>
      <c r="OVY20" s="314" t="s">
        <v>203</v>
      </c>
      <c r="OVZ20" s="314" t="s">
        <v>203</v>
      </c>
      <c r="OWA20" s="314" t="s">
        <v>203</v>
      </c>
      <c r="OWB20" s="314" t="s">
        <v>203</v>
      </c>
      <c r="OWC20" s="314" t="s">
        <v>203</v>
      </c>
      <c r="OWD20" s="314" t="s">
        <v>203</v>
      </c>
      <c r="OWE20" s="314" t="s">
        <v>203</v>
      </c>
      <c r="OWF20" s="314" t="s">
        <v>203</v>
      </c>
      <c r="OWG20" s="314" t="s">
        <v>203</v>
      </c>
      <c r="OWH20" s="314" t="s">
        <v>203</v>
      </c>
      <c r="OWI20" s="314" t="s">
        <v>203</v>
      </c>
      <c r="OWJ20" s="314" t="s">
        <v>203</v>
      </c>
      <c r="OWK20" s="314" t="s">
        <v>203</v>
      </c>
      <c r="OWL20" s="314" t="s">
        <v>203</v>
      </c>
      <c r="OWM20" s="314" t="s">
        <v>203</v>
      </c>
      <c r="OWN20" s="314" t="s">
        <v>203</v>
      </c>
      <c r="OWO20" s="314" t="s">
        <v>203</v>
      </c>
      <c r="OWP20" s="314" t="s">
        <v>203</v>
      </c>
      <c r="OWQ20" s="314" t="s">
        <v>203</v>
      </c>
      <c r="OWR20" s="314" t="s">
        <v>203</v>
      </c>
      <c r="OWS20" s="314" t="s">
        <v>203</v>
      </c>
      <c r="OWT20" s="314" t="s">
        <v>203</v>
      </c>
      <c r="OWU20" s="314" t="s">
        <v>203</v>
      </c>
      <c r="OWV20" s="314" t="s">
        <v>203</v>
      </c>
      <c r="OWW20" s="314" t="s">
        <v>203</v>
      </c>
      <c r="OWX20" s="314" t="s">
        <v>203</v>
      </c>
      <c r="OWY20" s="314" t="s">
        <v>203</v>
      </c>
      <c r="OWZ20" s="314" t="s">
        <v>203</v>
      </c>
      <c r="OXA20" s="314" t="s">
        <v>203</v>
      </c>
      <c r="OXB20" s="314" t="s">
        <v>203</v>
      </c>
      <c r="OXC20" s="314" t="s">
        <v>203</v>
      </c>
      <c r="OXD20" s="314" t="s">
        <v>203</v>
      </c>
      <c r="OXE20" s="314" t="s">
        <v>203</v>
      </c>
      <c r="OXF20" s="314" t="s">
        <v>203</v>
      </c>
      <c r="OXG20" s="314" t="s">
        <v>203</v>
      </c>
      <c r="OXH20" s="314" t="s">
        <v>203</v>
      </c>
      <c r="OXI20" s="314" t="s">
        <v>203</v>
      </c>
      <c r="OXJ20" s="314" t="s">
        <v>203</v>
      </c>
      <c r="OXK20" s="314" t="s">
        <v>203</v>
      </c>
      <c r="OXL20" s="314" t="s">
        <v>203</v>
      </c>
      <c r="OXM20" s="314" t="s">
        <v>203</v>
      </c>
      <c r="OXN20" s="314" t="s">
        <v>203</v>
      </c>
      <c r="OXO20" s="314" t="s">
        <v>203</v>
      </c>
      <c r="OXP20" s="314" t="s">
        <v>203</v>
      </c>
      <c r="OXQ20" s="314" t="s">
        <v>203</v>
      </c>
      <c r="OXR20" s="314" t="s">
        <v>203</v>
      </c>
      <c r="OXS20" s="314" t="s">
        <v>203</v>
      </c>
      <c r="OXT20" s="314" t="s">
        <v>203</v>
      </c>
      <c r="OXU20" s="314" t="s">
        <v>203</v>
      </c>
      <c r="OXV20" s="314" t="s">
        <v>203</v>
      </c>
      <c r="OXW20" s="314" t="s">
        <v>203</v>
      </c>
      <c r="OXX20" s="314" t="s">
        <v>203</v>
      </c>
      <c r="OXY20" s="314" t="s">
        <v>203</v>
      </c>
      <c r="OXZ20" s="314" t="s">
        <v>203</v>
      </c>
      <c r="OYA20" s="314" t="s">
        <v>203</v>
      </c>
      <c r="OYB20" s="314" t="s">
        <v>203</v>
      </c>
      <c r="OYC20" s="314" t="s">
        <v>203</v>
      </c>
      <c r="OYD20" s="314" t="s">
        <v>203</v>
      </c>
      <c r="OYE20" s="314" t="s">
        <v>203</v>
      </c>
      <c r="OYF20" s="314" t="s">
        <v>203</v>
      </c>
      <c r="OYG20" s="314" t="s">
        <v>203</v>
      </c>
      <c r="OYH20" s="314" t="s">
        <v>203</v>
      </c>
      <c r="OYI20" s="314" t="s">
        <v>203</v>
      </c>
      <c r="OYJ20" s="314" t="s">
        <v>203</v>
      </c>
      <c r="OYK20" s="314" t="s">
        <v>203</v>
      </c>
      <c r="OYL20" s="314" t="s">
        <v>203</v>
      </c>
      <c r="OYM20" s="314" t="s">
        <v>203</v>
      </c>
      <c r="OYN20" s="314" t="s">
        <v>203</v>
      </c>
      <c r="OYO20" s="314" t="s">
        <v>203</v>
      </c>
      <c r="OYP20" s="314" t="s">
        <v>203</v>
      </c>
      <c r="OYQ20" s="314" t="s">
        <v>203</v>
      </c>
      <c r="OYR20" s="314" t="s">
        <v>203</v>
      </c>
      <c r="OYS20" s="314" t="s">
        <v>203</v>
      </c>
      <c r="OYT20" s="314" t="s">
        <v>203</v>
      </c>
      <c r="OYU20" s="314" t="s">
        <v>203</v>
      </c>
      <c r="OYV20" s="314" t="s">
        <v>203</v>
      </c>
      <c r="OYW20" s="314" t="s">
        <v>203</v>
      </c>
      <c r="OYX20" s="314" t="s">
        <v>203</v>
      </c>
      <c r="OYY20" s="314" t="s">
        <v>203</v>
      </c>
      <c r="OYZ20" s="314" t="s">
        <v>203</v>
      </c>
      <c r="OZA20" s="314" t="s">
        <v>203</v>
      </c>
      <c r="OZB20" s="314" t="s">
        <v>203</v>
      </c>
      <c r="OZC20" s="314" t="s">
        <v>203</v>
      </c>
      <c r="OZD20" s="314" t="s">
        <v>203</v>
      </c>
      <c r="OZE20" s="314" t="s">
        <v>203</v>
      </c>
      <c r="OZF20" s="314" t="s">
        <v>203</v>
      </c>
      <c r="OZG20" s="314" t="s">
        <v>203</v>
      </c>
      <c r="OZH20" s="314" t="s">
        <v>203</v>
      </c>
      <c r="OZI20" s="314" t="s">
        <v>203</v>
      </c>
      <c r="OZJ20" s="314" t="s">
        <v>203</v>
      </c>
      <c r="OZK20" s="314" t="s">
        <v>203</v>
      </c>
      <c r="OZL20" s="314" t="s">
        <v>203</v>
      </c>
      <c r="OZM20" s="314" t="s">
        <v>203</v>
      </c>
      <c r="OZN20" s="314" t="s">
        <v>203</v>
      </c>
      <c r="OZO20" s="314" t="s">
        <v>203</v>
      </c>
      <c r="OZP20" s="314" t="s">
        <v>203</v>
      </c>
      <c r="OZQ20" s="314" t="s">
        <v>203</v>
      </c>
      <c r="OZR20" s="314" t="s">
        <v>203</v>
      </c>
      <c r="OZS20" s="314" t="s">
        <v>203</v>
      </c>
      <c r="OZT20" s="314" t="s">
        <v>203</v>
      </c>
      <c r="OZU20" s="314" t="s">
        <v>203</v>
      </c>
      <c r="OZV20" s="314" t="s">
        <v>203</v>
      </c>
      <c r="OZW20" s="314" t="s">
        <v>203</v>
      </c>
      <c r="OZX20" s="314" t="s">
        <v>203</v>
      </c>
      <c r="OZY20" s="314" t="s">
        <v>203</v>
      </c>
      <c r="OZZ20" s="314" t="s">
        <v>203</v>
      </c>
      <c r="PAA20" s="314" t="s">
        <v>203</v>
      </c>
      <c r="PAB20" s="314" t="s">
        <v>203</v>
      </c>
      <c r="PAC20" s="314" t="s">
        <v>203</v>
      </c>
      <c r="PAD20" s="314" t="s">
        <v>203</v>
      </c>
      <c r="PAE20" s="314" t="s">
        <v>203</v>
      </c>
      <c r="PAF20" s="314" t="s">
        <v>203</v>
      </c>
      <c r="PAG20" s="314" t="s">
        <v>203</v>
      </c>
      <c r="PAH20" s="314" t="s">
        <v>203</v>
      </c>
      <c r="PAI20" s="314" t="s">
        <v>203</v>
      </c>
      <c r="PAJ20" s="314" t="s">
        <v>203</v>
      </c>
      <c r="PAK20" s="314" t="s">
        <v>203</v>
      </c>
      <c r="PAL20" s="314" t="s">
        <v>203</v>
      </c>
      <c r="PAM20" s="314" t="s">
        <v>203</v>
      </c>
      <c r="PAN20" s="314" t="s">
        <v>203</v>
      </c>
      <c r="PAO20" s="314" t="s">
        <v>203</v>
      </c>
      <c r="PAP20" s="314" t="s">
        <v>203</v>
      </c>
      <c r="PAQ20" s="314" t="s">
        <v>203</v>
      </c>
      <c r="PAR20" s="314" t="s">
        <v>203</v>
      </c>
      <c r="PAS20" s="314" t="s">
        <v>203</v>
      </c>
      <c r="PAT20" s="314" t="s">
        <v>203</v>
      </c>
      <c r="PAU20" s="314" t="s">
        <v>203</v>
      </c>
      <c r="PAV20" s="314" t="s">
        <v>203</v>
      </c>
      <c r="PAW20" s="314" t="s">
        <v>203</v>
      </c>
      <c r="PAX20" s="314" t="s">
        <v>203</v>
      </c>
      <c r="PAY20" s="314" t="s">
        <v>203</v>
      </c>
      <c r="PAZ20" s="314" t="s">
        <v>203</v>
      </c>
      <c r="PBA20" s="314" t="s">
        <v>203</v>
      </c>
      <c r="PBB20" s="314" t="s">
        <v>203</v>
      </c>
      <c r="PBC20" s="314" t="s">
        <v>203</v>
      </c>
      <c r="PBD20" s="314" t="s">
        <v>203</v>
      </c>
      <c r="PBE20" s="314" t="s">
        <v>203</v>
      </c>
      <c r="PBF20" s="314" t="s">
        <v>203</v>
      </c>
      <c r="PBG20" s="314" t="s">
        <v>203</v>
      </c>
      <c r="PBH20" s="314" t="s">
        <v>203</v>
      </c>
      <c r="PBI20" s="314" t="s">
        <v>203</v>
      </c>
      <c r="PBJ20" s="314" t="s">
        <v>203</v>
      </c>
      <c r="PBK20" s="314" t="s">
        <v>203</v>
      </c>
      <c r="PBL20" s="314" t="s">
        <v>203</v>
      </c>
      <c r="PBM20" s="314" t="s">
        <v>203</v>
      </c>
      <c r="PBN20" s="314" t="s">
        <v>203</v>
      </c>
      <c r="PBO20" s="314" t="s">
        <v>203</v>
      </c>
      <c r="PBP20" s="314" t="s">
        <v>203</v>
      </c>
      <c r="PBQ20" s="314" t="s">
        <v>203</v>
      </c>
      <c r="PBR20" s="314" t="s">
        <v>203</v>
      </c>
      <c r="PBS20" s="314" t="s">
        <v>203</v>
      </c>
      <c r="PBT20" s="314" t="s">
        <v>203</v>
      </c>
      <c r="PBU20" s="314" t="s">
        <v>203</v>
      </c>
      <c r="PBV20" s="314" t="s">
        <v>203</v>
      </c>
      <c r="PBW20" s="314" t="s">
        <v>203</v>
      </c>
      <c r="PBX20" s="314" t="s">
        <v>203</v>
      </c>
      <c r="PBY20" s="314" t="s">
        <v>203</v>
      </c>
      <c r="PBZ20" s="314" t="s">
        <v>203</v>
      </c>
      <c r="PCA20" s="314" t="s">
        <v>203</v>
      </c>
      <c r="PCB20" s="314" t="s">
        <v>203</v>
      </c>
      <c r="PCC20" s="314" t="s">
        <v>203</v>
      </c>
      <c r="PCD20" s="314" t="s">
        <v>203</v>
      </c>
      <c r="PCE20" s="314" t="s">
        <v>203</v>
      </c>
      <c r="PCF20" s="314" t="s">
        <v>203</v>
      </c>
      <c r="PCG20" s="314" t="s">
        <v>203</v>
      </c>
      <c r="PCH20" s="314" t="s">
        <v>203</v>
      </c>
      <c r="PCI20" s="314" t="s">
        <v>203</v>
      </c>
      <c r="PCJ20" s="314" t="s">
        <v>203</v>
      </c>
      <c r="PCK20" s="314" t="s">
        <v>203</v>
      </c>
      <c r="PCL20" s="314" t="s">
        <v>203</v>
      </c>
      <c r="PCM20" s="314" t="s">
        <v>203</v>
      </c>
      <c r="PCN20" s="314" t="s">
        <v>203</v>
      </c>
      <c r="PCO20" s="314" t="s">
        <v>203</v>
      </c>
      <c r="PCP20" s="314" t="s">
        <v>203</v>
      </c>
      <c r="PCQ20" s="314" t="s">
        <v>203</v>
      </c>
      <c r="PCR20" s="314" t="s">
        <v>203</v>
      </c>
      <c r="PCS20" s="314" t="s">
        <v>203</v>
      </c>
      <c r="PCT20" s="314" t="s">
        <v>203</v>
      </c>
      <c r="PCU20" s="314" t="s">
        <v>203</v>
      </c>
      <c r="PCV20" s="314" t="s">
        <v>203</v>
      </c>
      <c r="PCW20" s="314" t="s">
        <v>203</v>
      </c>
      <c r="PCX20" s="314" t="s">
        <v>203</v>
      </c>
      <c r="PCY20" s="314" t="s">
        <v>203</v>
      </c>
      <c r="PCZ20" s="314" t="s">
        <v>203</v>
      </c>
      <c r="PDA20" s="314" t="s">
        <v>203</v>
      </c>
      <c r="PDB20" s="314" t="s">
        <v>203</v>
      </c>
      <c r="PDC20" s="314" t="s">
        <v>203</v>
      </c>
      <c r="PDD20" s="314" t="s">
        <v>203</v>
      </c>
      <c r="PDE20" s="314" t="s">
        <v>203</v>
      </c>
      <c r="PDF20" s="314" t="s">
        <v>203</v>
      </c>
      <c r="PDG20" s="314" t="s">
        <v>203</v>
      </c>
      <c r="PDH20" s="314" t="s">
        <v>203</v>
      </c>
      <c r="PDI20" s="314" t="s">
        <v>203</v>
      </c>
      <c r="PDJ20" s="314" t="s">
        <v>203</v>
      </c>
      <c r="PDK20" s="314" t="s">
        <v>203</v>
      </c>
      <c r="PDL20" s="314" t="s">
        <v>203</v>
      </c>
      <c r="PDM20" s="314" t="s">
        <v>203</v>
      </c>
      <c r="PDN20" s="314" t="s">
        <v>203</v>
      </c>
      <c r="PDO20" s="314" t="s">
        <v>203</v>
      </c>
      <c r="PDP20" s="314" t="s">
        <v>203</v>
      </c>
      <c r="PDQ20" s="314" t="s">
        <v>203</v>
      </c>
      <c r="PDR20" s="314" t="s">
        <v>203</v>
      </c>
      <c r="PDS20" s="314" t="s">
        <v>203</v>
      </c>
      <c r="PDT20" s="314" t="s">
        <v>203</v>
      </c>
      <c r="PDU20" s="314" t="s">
        <v>203</v>
      </c>
      <c r="PDV20" s="314" t="s">
        <v>203</v>
      </c>
      <c r="PDW20" s="314" t="s">
        <v>203</v>
      </c>
      <c r="PDX20" s="314" t="s">
        <v>203</v>
      </c>
      <c r="PDY20" s="314" t="s">
        <v>203</v>
      </c>
      <c r="PDZ20" s="314" t="s">
        <v>203</v>
      </c>
      <c r="PEA20" s="314" t="s">
        <v>203</v>
      </c>
      <c r="PEB20" s="314" t="s">
        <v>203</v>
      </c>
      <c r="PEC20" s="314" t="s">
        <v>203</v>
      </c>
      <c r="PED20" s="314" t="s">
        <v>203</v>
      </c>
      <c r="PEE20" s="314" t="s">
        <v>203</v>
      </c>
      <c r="PEF20" s="314" t="s">
        <v>203</v>
      </c>
      <c r="PEG20" s="314" t="s">
        <v>203</v>
      </c>
      <c r="PEH20" s="314" t="s">
        <v>203</v>
      </c>
      <c r="PEI20" s="314" t="s">
        <v>203</v>
      </c>
      <c r="PEJ20" s="314" t="s">
        <v>203</v>
      </c>
      <c r="PEK20" s="314" t="s">
        <v>203</v>
      </c>
      <c r="PEL20" s="314" t="s">
        <v>203</v>
      </c>
      <c r="PEM20" s="314" t="s">
        <v>203</v>
      </c>
      <c r="PEN20" s="314" t="s">
        <v>203</v>
      </c>
      <c r="PEO20" s="314" t="s">
        <v>203</v>
      </c>
      <c r="PEP20" s="314" t="s">
        <v>203</v>
      </c>
      <c r="PEQ20" s="314" t="s">
        <v>203</v>
      </c>
      <c r="PER20" s="314" t="s">
        <v>203</v>
      </c>
      <c r="PES20" s="314" t="s">
        <v>203</v>
      </c>
      <c r="PET20" s="314" t="s">
        <v>203</v>
      </c>
      <c r="PEU20" s="314" t="s">
        <v>203</v>
      </c>
      <c r="PEV20" s="314" t="s">
        <v>203</v>
      </c>
      <c r="PEW20" s="314" t="s">
        <v>203</v>
      </c>
      <c r="PEX20" s="314" t="s">
        <v>203</v>
      </c>
      <c r="PEY20" s="314" t="s">
        <v>203</v>
      </c>
      <c r="PEZ20" s="314" t="s">
        <v>203</v>
      </c>
      <c r="PFA20" s="314" t="s">
        <v>203</v>
      </c>
      <c r="PFB20" s="314" t="s">
        <v>203</v>
      </c>
      <c r="PFC20" s="314" t="s">
        <v>203</v>
      </c>
      <c r="PFD20" s="314" t="s">
        <v>203</v>
      </c>
      <c r="PFE20" s="314" t="s">
        <v>203</v>
      </c>
      <c r="PFF20" s="314" t="s">
        <v>203</v>
      </c>
      <c r="PFG20" s="314" t="s">
        <v>203</v>
      </c>
      <c r="PFH20" s="314" t="s">
        <v>203</v>
      </c>
      <c r="PFI20" s="314" t="s">
        <v>203</v>
      </c>
      <c r="PFJ20" s="314" t="s">
        <v>203</v>
      </c>
      <c r="PFK20" s="314" t="s">
        <v>203</v>
      </c>
      <c r="PFL20" s="314" t="s">
        <v>203</v>
      </c>
      <c r="PFM20" s="314" t="s">
        <v>203</v>
      </c>
      <c r="PFN20" s="314" t="s">
        <v>203</v>
      </c>
      <c r="PFO20" s="314" t="s">
        <v>203</v>
      </c>
      <c r="PFP20" s="314" t="s">
        <v>203</v>
      </c>
      <c r="PFQ20" s="314" t="s">
        <v>203</v>
      </c>
      <c r="PFR20" s="314" t="s">
        <v>203</v>
      </c>
      <c r="PFS20" s="314" t="s">
        <v>203</v>
      </c>
      <c r="PFT20" s="314" t="s">
        <v>203</v>
      </c>
      <c r="PFU20" s="314" t="s">
        <v>203</v>
      </c>
      <c r="PFV20" s="314" t="s">
        <v>203</v>
      </c>
      <c r="PFW20" s="314" t="s">
        <v>203</v>
      </c>
      <c r="PFX20" s="314" t="s">
        <v>203</v>
      </c>
      <c r="PFY20" s="314" t="s">
        <v>203</v>
      </c>
      <c r="PFZ20" s="314" t="s">
        <v>203</v>
      </c>
      <c r="PGA20" s="314" t="s">
        <v>203</v>
      </c>
      <c r="PGB20" s="314" t="s">
        <v>203</v>
      </c>
      <c r="PGC20" s="314" t="s">
        <v>203</v>
      </c>
      <c r="PGD20" s="314" t="s">
        <v>203</v>
      </c>
      <c r="PGE20" s="314" t="s">
        <v>203</v>
      </c>
      <c r="PGF20" s="314" t="s">
        <v>203</v>
      </c>
      <c r="PGG20" s="314" t="s">
        <v>203</v>
      </c>
      <c r="PGH20" s="314" t="s">
        <v>203</v>
      </c>
      <c r="PGI20" s="314" t="s">
        <v>203</v>
      </c>
      <c r="PGJ20" s="314" t="s">
        <v>203</v>
      </c>
      <c r="PGK20" s="314" t="s">
        <v>203</v>
      </c>
      <c r="PGL20" s="314" t="s">
        <v>203</v>
      </c>
      <c r="PGM20" s="314" t="s">
        <v>203</v>
      </c>
      <c r="PGN20" s="314" t="s">
        <v>203</v>
      </c>
      <c r="PGO20" s="314" t="s">
        <v>203</v>
      </c>
      <c r="PGP20" s="314" t="s">
        <v>203</v>
      </c>
      <c r="PGQ20" s="314" t="s">
        <v>203</v>
      </c>
      <c r="PGR20" s="314" t="s">
        <v>203</v>
      </c>
      <c r="PGS20" s="314" t="s">
        <v>203</v>
      </c>
      <c r="PGT20" s="314" t="s">
        <v>203</v>
      </c>
      <c r="PGU20" s="314" t="s">
        <v>203</v>
      </c>
      <c r="PGV20" s="314" t="s">
        <v>203</v>
      </c>
      <c r="PGW20" s="314" t="s">
        <v>203</v>
      </c>
      <c r="PGX20" s="314" t="s">
        <v>203</v>
      </c>
      <c r="PGY20" s="314" t="s">
        <v>203</v>
      </c>
      <c r="PGZ20" s="314" t="s">
        <v>203</v>
      </c>
      <c r="PHA20" s="314" t="s">
        <v>203</v>
      </c>
      <c r="PHB20" s="314" t="s">
        <v>203</v>
      </c>
      <c r="PHC20" s="314" t="s">
        <v>203</v>
      </c>
      <c r="PHD20" s="314" t="s">
        <v>203</v>
      </c>
      <c r="PHE20" s="314" t="s">
        <v>203</v>
      </c>
      <c r="PHF20" s="314" t="s">
        <v>203</v>
      </c>
      <c r="PHG20" s="314" t="s">
        <v>203</v>
      </c>
      <c r="PHH20" s="314" t="s">
        <v>203</v>
      </c>
      <c r="PHI20" s="314" t="s">
        <v>203</v>
      </c>
      <c r="PHJ20" s="314" t="s">
        <v>203</v>
      </c>
      <c r="PHK20" s="314" t="s">
        <v>203</v>
      </c>
      <c r="PHL20" s="314" t="s">
        <v>203</v>
      </c>
      <c r="PHM20" s="314" t="s">
        <v>203</v>
      </c>
      <c r="PHN20" s="314" t="s">
        <v>203</v>
      </c>
      <c r="PHO20" s="314" t="s">
        <v>203</v>
      </c>
      <c r="PHP20" s="314" t="s">
        <v>203</v>
      </c>
      <c r="PHQ20" s="314" t="s">
        <v>203</v>
      </c>
      <c r="PHR20" s="314" t="s">
        <v>203</v>
      </c>
      <c r="PHS20" s="314" t="s">
        <v>203</v>
      </c>
      <c r="PHT20" s="314" t="s">
        <v>203</v>
      </c>
      <c r="PHU20" s="314" t="s">
        <v>203</v>
      </c>
      <c r="PHV20" s="314" t="s">
        <v>203</v>
      </c>
      <c r="PHW20" s="314" t="s">
        <v>203</v>
      </c>
      <c r="PHX20" s="314" t="s">
        <v>203</v>
      </c>
      <c r="PHY20" s="314" t="s">
        <v>203</v>
      </c>
      <c r="PHZ20" s="314" t="s">
        <v>203</v>
      </c>
      <c r="PIA20" s="314" t="s">
        <v>203</v>
      </c>
      <c r="PIB20" s="314" t="s">
        <v>203</v>
      </c>
      <c r="PIC20" s="314" t="s">
        <v>203</v>
      </c>
      <c r="PID20" s="314" t="s">
        <v>203</v>
      </c>
      <c r="PIE20" s="314" t="s">
        <v>203</v>
      </c>
      <c r="PIF20" s="314" t="s">
        <v>203</v>
      </c>
      <c r="PIG20" s="314" t="s">
        <v>203</v>
      </c>
      <c r="PIH20" s="314" t="s">
        <v>203</v>
      </c>
      <c r="PII20" s="314" t="s">
        <v>203</v>
      </c>
      <c r="PIJ20" s="314" t="s">
        <v>203</v>
      </c>
      <c r="PIK20" s="314" t="s">
        <v>203</v>
      </c>
      <c r="PIL20" s="314" t="s">
        <v>203</v>
      </c>
      <c r="PIM20" s="314" t="s">
        <v>203</v>
      </c>
      <c r="PIN20" s="314" t="s">
        <v>203</v>
      </c>
      <c r="PIO20" s="314" t="s">
        <v>203</v>
      </c>
      <c r="PIP20" s="314" t="s">
        <v>203</v>
      </c>
      <c r="PIQ20" s="314" t="s">
        <v>203</v>
      </c>
      <c r="PIR20" s="314" t="s">
        <v>203</v>
      </c>
      <c r="PIS20" s="314" t="s">
        <v>203</v>
      </c>
      <c r="PIT20" s="314" t="s">
        <v>203</v>
      </c>
      <c r="PIU20" s="314" t="s">
        <v>203</v>
      </c>
      <c r="PIV20" s="314" t="s">
        <v>203</v>
      </c>
      <c r="PIW20" s="314" t="s">
        <v>203</v>
      </c>
      <c r="PIX20" s="314" t="s">
        <v>203</v>
      </c>
      <c r="PIY20" s="314" t="s">
        <v>203</v>
      </c>
      <c r="PIZ20" s="314" t="s">
        <v>203</v>
      </c>
      <c r="PJA20" s="314" t="s">
        <v>203</v>
      </c>
      <c r="PJB20" s="314" t="s">
        <v>203</v>
      </c>
      <c r="PJC20" s="314" t="s">
        <v>203</v>
      </c>
      <c r="PJD20" s="314" t="s">
        <v>203</v>
      </c>
      <c r="PJE20" s="314" t="s">
        <v>203</v>
      </c>
      <c r="PJF20" s="314" t="s">
        <v>203</v>
      </c>
      <c r="PJG20" s="314" t="s">
        <v>203</v>
      </c>
      <c r="PJH20" s="314" t="s">
        <v>203</v>
      </c>
      <c r="PJI20" s="314" t="s">
        <v>203</v>
      </c>
      <c r="PJJ20" s="314" t="s">
        <v>203</v>
      </c>
      <c r="PJK20" s="314" t="s">
        <v>203</v>
      </c>
      <c r="PJL20" s="314" t="s">
        <v>203</v>
      </c>
      <c r="PJM20" s="314" t="s">
        <v>203</v>
      </c>
      <c r="PJN20" s="314" t="s">
        <v>203</v>
      </c>
      <c r="PJO20" s="314" t="s">
        <v>203</v>
      </c>
      <c r="PJP20" s="314" t="s">
        <v>203</v>
      </c>
      <c r="PJQ20" s="314" t="s">
        <v>203</v>
      </c>
      <c r="PJR20" s="314" t="s">
        <v>203</v>
      </c>
      <c r="PJS20" s="314" t="s">
        <v>203</v>
      </c>
      <c r="PJT20" s="314" t="s">
        <v>203</v>
      </c>
      <c r="PJU20" s="314" t="s">
        <v>203</v>
      </c>
      <c r="PJV20" s="314" t="s">
        <v>203</v>
      </c>
      <c r="PJW20" s="314" t="s">
        <v>203</v>
      </c>
      <c r="PJX20" s="314" t="s">
        <v>203</v>
      </c>
      <c r="PJY20" s="314" t="s">
        <v>203</v>
      </c>
      <c r="PJZ20" s="314" t="s">
        <v>203</v>
      </c>
      <c r="PKA20" s="314" t="s">
        <v>203</v>
      </c>
      <c r="PKB20" s="314" t="s">
        <v>203</v>
      </c>
      <c r="PKC20" s="314" t="s">
        <v>203</v>
      </c>
      <c r="PKD20" s="314" t="s">
        <v>203</v>
      </c>
      <c r="PKE20" s="314" t="s">
        <v>203</v>
      </c>
      <c r="PKF20" s="314" t="s">
        <v>203</v>
      </c>
      <c r="PKG20" s="314" t="s">
        <v>203</v>
      </c>
      <c r="PKH20" s="314" t="s">
        <v>203</v>
      </c>
      <c r="PKI20" s="314" t="s">
        <v>203</v>
      </c>
      <c r="PKJ20" s="314" t="s">
        <v>203</v>
      </c>
      <c r="PKK20" s="314" t="s">
        <v>203</v>
      </c>
      <c r="PKL20" s="314" t="s">
        <v>203</v>
      </c>
      <c r="PKM20" s="314" t="s">
        <v>203</v>
      </c>
      <c r="PKN20" s="314" t="s">
        <v>203</v>
      </c>
      <c r="PKO20" s="314" t="s">
        <v>203</v>
      </c>
      <c r="PKP20" s="314" t="s">
        <v>203</v>
      </c>
      <c r="PKQ20" s="314" t="s">
        <v>203</v>
      </c>
      <c r="PKR20" s="314" t="s">
        <v>203</v>
      </c>
      <c r="PKS20" s="314" t="s">
        <v>203</v>
      </c>
      <c r="PKT20" s="314" t="s">
        <v>203</v>
      </c>
      <c r="PKU20" s="314" t="s">
        <v>203</v>
      </c>
      <c r="PKV20" s="314" t="s">
        <v>203</v>
      </c>
      <c r="PKW20" s="314" t="s">
        <v>203</v>
      </c>
      <c r="PKX20" s="314" t="s">
        <v>203</v>
      </c>
      <c r="PKY20" s="314" t="s">
        <v>203</v>
      </c>
      <c r="PKZ20" s="314" t="s">
        <v>203</v>
      </c>
      <c r="PLA20" s="314" t="s">
        <v>203</v>
      </c>
      <c r="PLB20" s="314" t="s">
        <v>203</v>
      </c>
      <c r="PLC20" s="314" t="s">
        <v>203</v>
      </c>
      <c r="PLD20" s="314" t="s">
        <v>203</v>
      </c>
      <c r="PLE20" s="314" t="s">
        <v>203</v>
      </c>
      <c r="PLF20" s="314" t="s">
        <v>203</v>
      </c>
      <c r="PLG20" s="314" t="s">
        <v>203</v>
      </c>
      <c r="PLH20" s="314" t="s">
        <v>203</v>
      </c>
      <c r="PLI20" s="314" t="s">
        <v>203</v>
      </c>
      <c r="PLJ20" s="314" t="s">
        <v>203</v>
      </c>
      <c r="PLK20" s="314" t="s">
        <v>203</v>
      </c>
      <c r="PLL20" s="314" t="s">
        <v>203</v>
      </c>
      <c r="PLM20" s="314" t="s">
        <v>203</v>
      </c>
      <c r="PLN20" s="314" t="s">
        <v>203</v>
      </c>
      <c r="PLO20" s="314" t="s">
        <v>203</v>
      </c>
      <c r="PLP20" s="314" t="s">
        <v>203</v>
      </c>
      <c r="PLQ20" s="314" t="s">
        <v>203</v>
      </c>
      <c r="PLR20" s="314" t="s">
        <v>203</v>
      </c>
      <c r="PLS20" s="314" t="s">
        <v>203</v>
      </c>
      <c r="PLT20" s="314" t="s">
        <v>203</v>
      </c>
      <c r="PLU20" s="314" t="s">
        <v>203</v>
      </c>
      <c r="PLV20" s="314" t="s">
        <v>203</v>
      </c>
      <c r="PLW20" s="314" t="s">
        <v>203</v>
      </c>
      <c r="PLX20" s="314" t="s">
        <v>203</v>
      </c>
      <c r="PLY20" s="314" t="s">
        <v>203</v>
      </c>
      <c r="PLZ20" s="314" t="s">
        <v>203</v>
      </c>
      <c r="PMA20" s="314" t="s">
        <v>203</v>
      </c>
      <c r="PMB20" s="314" t="s">
        <v>203</v>
      </c>
      <c r="PMC20" s="314" t="s">
        <v>203</v>
      </c>
      <c r="PMD20" s="314" t="s">
        <v>203</v>
      </c>
      <c r="PME20" s="314" t="s">
        <v>203</v>
      </c>
      <c r="PMF20" s="314" t="s">
        <v>203</v>
      </c>
      <c r="PMG20" s="314" t="s">
        <v>203</v>
      </c>
      <c r="PMH20" s="314" t="s">
        <v>203</v>
      </c>
      <c r="PMI20" s="314" t="s">
        <v>203</v>
      </c>
      <c r="PMJ20" s="314" t="s">
        <v>203</v>
      </c>
      <c r="PMK20" s="314" t="s">
        <v>203</v>
      </c>
      <c r="PML20" s="314" t="s">
        <v>203</v>
      </c>
      <c r="PMM20" s="314" t="s">
        <v>203</v>
      </c>
      <c r="PMN20" s="314" t="s">
        <v>203</v>
      </c>
      <c r="PMO20" s="314" t="s">
        <v>203</v>
      </c>
      <c r="PMP20" s="314" t="s">
        <v>203</v>
      </c>
      <c r="PMQ20" s="314" t="s">
        <v>203</v>
      </c>
      <c r="PMR20" s="314" t="s">
        <v>203</v>
      </c>
      <c r="PMS20" s="314" t="s">
        <v>203</v>
      </c>
      <c r="PMT20" s="314" t="s">
        <v>203</v>
      </c>
      <c r="PMU20" s="314" t="s">
        <v>203</v>
      </c>
      <c r="PMV20" s="314" t="s">
        <v>203</v>
      </c>
      <c r="PMW20" s="314" t="s">
        <v>203</v>
      </c>
      <c r="PMX20" s="314" t="s">
        <v>203</v>
      </c>
      <c r="PMY20" s="314" t="s">
        <v>203</v>
      </c>
      <c r="PMZ20" s="314" t="s">
        <v>203</v>
      </c>
      <c r="PNA20" s="314" t="s">
        <v>203</v>
      </c>
      <c r="PNB20" s="314" t="s">
        <v>203</v>
      </c>
      <c r="PNC20" s="314" t="s">
        <v>203</v>
      </c>
      <c r="PND20" s="314" t="s">
        <v>203</v>
      </c>
      <c r="PNE20" s="314" t="s">
        <v>203</v>
      </c>
      <c r="PNF20" s="314" t="s">
        <v>203</v>
      </c>
      <c r="PNG20" s="314" t="s">
        <v>203</v>
      </c>
      <c r="PNH20" s="314" t="s">
        <v>203</v>
      </c>
      <c r="PNI20" s="314" t="s">
        <v>203</v>
      </c>
      <c r="PNJ20" s="314" t="s">
        <v>203</v>
      </c>
      <c r="PNK20" s="314" t="s">
        <v>203</v>
      </c>
      <c r="PNL20" s="314" t="s">
        <v>203</v>
      </c>
      <c r="PNM20" s="314" t="s">
        <v>203</v>
      </c>
      <c r="PNN20" s="314" t="s">
        <v>203</v>
      </c>
      <c r="PNO20" s="314" t="s">
        <v>203</v>
      </c>
      <c r="PNP20" s="314" t="s">
        <v>203</v>
      </c>
      <c r="PNQ20" s="314" t="s">
        <v>203</v>
      </c>
      <c r="PNR20" s="314" t="s">
        <v>203</v>
      </c>
      <c r="PNS20" s="314" t="s">
        <v>203</v>
      </c>
      <c r="PNT20" s="314" t="s">
        <v>203</v>
      </c>
      <c r="PNU20" s="314" t="s">
        <v>203</v>
      </c>
      <c r="PNV20" s="314" t="s">
        <v>203</v>
      </c>
      <c r="PNW20" s="314" t="s">
        <v>203</v>
      </c>
      <c r="PNX20" s="314" t="s">
        <v>203</v>
      </c>
      <c r="PNY20" s="314" t="s">
        <v>203</v>
      </c>
      <c r="PNZ20" s="314" t="s">
        <v>203</v>
      </c>
      <c r="POA20" s="314" t="s">
        <v>203</v>
      </c>
      <c r="POB20" s="314" t="s">
        <v>203</v>
      </c>
      <c r="POC20" s="314" t="s">
        <v>203</v>
      </c>
      <c r="POD20" s="314" t="s">
        <v>203</v>
      </c>
      <c r="POE20" s="314" t="s">
        <v>203</v>
      </c>
      <c r="POF20" s="314" t="s">
        <v>203</v>
      </c>
      <c r="POG20" s="314" t="s">
        <v>203</v>
      </c>
      <c r="POH20" s="314" t="s">
        <v>203</v>
      </c>
      <c r="POI20" s="314" t="s">
        <v>203</v>
      </c>
      <c r="POJ20" s="314" t="s">
        <v>203</v>
      </c>
      <c r="POK20" s="314" t="s">
        <v>203</v>
      </c>
      <c r="POL20" s="314" t="s">
        <v>203</v>
      </c>
      <c r="POM20" s="314" t="s">
        <v>203</v>
      </c>
      <c r="PON20" s="314" t="s">
        <v>203</v>
      </c>
      <c r="POO20" s="314" t="s">
        <v>203</v>
      </c>
      <c r="POP20" s="314" t="s">
        <v>203</v>
      </c>
      <c r="POQ20" s="314" t="s">
        <v>203</v>
      </c>
      <c r="POR20" s="314" t="s">
        <v>203</v>
      </c>
      <c r="POS20" s="314" t="s">
        <v>203</v>
      </c>
      <c r="POT20" s="314" t="s">
        <v>203</v>
      </c>
      <c r="POU20" s="314" t="s">
        <v>203</v>
      </c>
      <c r="POV20" s="314" t="s">
        <v>203</v>
      </c>
      <c r="POW20" s="314" t="s">
        <v>203</v>
      </c>
      <c r="POX20" s="314" t="s">
        <v>203</v>
      </c>
      <c r="POY20" s="314" t="s">
        <v>203</v>
      </c>
      <c r="POZ20" s="314" t="s">
        <v>203</v>
      </c>
      <c r="PPA20" s="314" t="s">
        <v>203</v>
      </c>
      <c r="PPB20" s="314" t="s">
        <v>203</v>
      </c>
      <c r="PPC20" s="314" t="s">
        <v>203</v>
      </c>
      <c r="PPD20" s="314" t="s">
        <v>203</v>
      </c>
      <c r="PPE20" s="314" t="s">
        <v>203</v>
      </c>
      <c r="PPF20" s="314" t="s">
        <v>203</v>
      </c>
      <c r="PPG20" s="314" t="s">
        <v>203</v>
      </c>
      <c r="PPH20" s="314" t="s">
        <v>203</v>
      </c>
      <c r="PPI20" s="314" t="s">
        <v>203</v>
      </c>
      <c r="PPJ20" s="314" t="s">
        <v>203</v>
      </c>
      <c r="PPK20" s="314" t="s">
        <v>203</v>
      </c>
      <c r="PPL20" s="314" t="s">
        <v>203</v>
      </c>
      <c r="PPM20" s="314" t="s">
        <v>203</v>
      </c>
      <c r="PPN20" s="314" t="s">
        <v>203</v>
      </c>
      <c r="PPO20" s="314" t="s">
        <v>203</v>
      </c>
      <c r="PPP20" s="314" t="s">
        <v>203</v>
      </c>
      <c r="PPQ20" s="314" t="s">
        <v>203</v>
      </c>
      <c r="PPR20" s="314" t="s">
        <v>203</v>
      </c>
      <c r="PPS20" s="314" t="s">
        <v>203</v>
      </c>
      <c r="PPT20" s="314" t="s">
        <v>203</v>
      </c>
      <c r="PPU20" s="314" t="s">
        <v>203</v>
      </c>
      <c r="PPV20" s="314" t="s">
        <v>203</v>
      </c>
      <c r="PPW20" s="314" t="s">
        <v>203</v>
      </c>
      <c r="PPX20" s="314" t="s">
        <v>203</v>
      </c>
      <c r="PPY20" s="314" t="s">
        <v>203</v>
      </c>
      <c r="PPZ20" s="314" t="s">
        <v>203</v>
      </c>
      <c r="PQA20" s="314" t="s">
        <v>203</v>
      </c>
      <c r="PQB20" s="314" t="s">
        <v>203</v>
      </c>
      <c r="PQC20" s="314" t="s">
        <v>203</v>
      </c>
      <c r="PQD20" s="314" t="s">
        <v>203</v>
      </c>
      <c r="PQE20" s="314" t="s">
        <v>203</v>
      </c>
      <c r="PQF20" s="314" t="s">
        <v>203</v>
      </c>
      <c r="PQG20" s="314" t="s">
        <v>203</v>
      </c>
      <c r="PQH20" s="314" t="s">
        <v>203</v>
      </c>
      <c r="PQI20" s="314" t="s">
        <v>203</v>
      </c>
      <c r="PQJ20" s="314" t="s">
        <v>203</v>
      </c>
      <c r="PQK20" s="314" t="s">
        <v>203</v>
      </c>
      <c r="PQL20" s="314" t="s">
        <v>203</v>
      </c>
      <c r="PQM20" s="314" t="s">
        <v>203</v>
      </c>
      <c r="PQN20" s="314" t="s">
        <v>203</v>
      </c>
      <c r="PQO20" s="314" t="s">
        <v>203</v>
      </c>
      <c r="PQP20" s="314" t="s">
        <v>203</v>
      </c>
      <c r="PQQ20" s="314" t="s">
        <v>203</v>
      </c>
      <c r="PQR20" s="314" t="s">
        <v>203</v>
      </c>
      <c r="PQS20" s="314" t="s">
        <v>203</v>
      </c>
      <c r="PQT20" s="314" t="s">
        <v>203</v>
      </c>
      <c r="PQU20" s="314" t="s">
        <v>203</v>
      </c>
      <c r="PQV20" s="314" t="s">
        <v>203</v>
      </c>
      <c r="PQW20" s="314" t="s">
        <v>203</v>
      </c>
      <c r="PQX20" s="314" t="s">
        <v>203</v>
      </c>
      <c r="PQY20" s="314" t="s">
        <v>203</v>
      </c>
      <c r="PQZ20" s="314" t="s">
        <v>203</v>
      </c>
      <c r="PRA20" s="314" t="s">
        <v>203</v>
      </c>
      <c r="PRB20" s="314" t="s">
        <v>203</v>
      </c>
      <c r="PRC20" s="314" t="s">
        <v>203</v>
      </c>
      <c r="PRD20" s="314" t="s">
        <v>203</v>
      </c>
      <c r="PRE20" s="314" t="s">
        <v>203</v>
      </c>
      <c r="PRF20" s="314" t="s">
        <v>203</v>
      </c>
      <c r="PRG20" s="314" t="s">
        <v>203</v>
      </c>
      <c r="PRH20" s="314" t="s">
        <v>203</v>
      </c>
      <c r="PRI20" s="314" t="s">
        <v>203</v>
      </c>
      <c r="PRJ20" s="314" t="s">
        <v>203</v>
      </c>
      <c r="PRK20" s="314" t="s">
        <v>203</v>
      </c>
      <c r="PRL20" s="314" t="s">
        <v>203</v>
      </c>
      <c r="PRM20" s="314" t="s">
        <v>203</v>
      </c>
      <c r="PRN20" s="314" t="s">
        <v>203</v>
      </c>
      <c r="PRO20" s="314" t="s">
        <v>203</v>
      </c>
      <c r="PRP20" s="314" t="s">
        <v>203</v>
      </c>
      <c r="PRQ20" s="314" t="s">
        <v>203</v>
      </c>
      <c r="PRR20" s="314" t="s">
        <v>203</v>
      </c>
      <c r="PRS20" s="314" t="s">
        <v>203</v>
      </c>
      <c r="PRT20" s="314" t="s">
        <v>203</v>
      </c>
      <c r="PRU20" s="314" t="s">
        <v>203</v>
      </c>
      <c r="PRV20" s="314" t="s">
        <v>203</v>
      </c>
      <c r="PRW20" s="314" t="s">
        <v>203</v>
      </c>
      <c r="PRX20" s="314" t="s">
        <v>203</v>
      </c>
      <c r="PRY20" s="314" t="s">
        <v>203</v>
      </c>
      <c r="PRZ20" s="314" t="s">
        <v>203</v>
      </c>
      <c r="PSA20" s="314" t="s">
        <v>203</v>
      </c>
      <c r="PSB20" s="314" t="s">
        <v>203</v>
      </c>
      <c r="PSC20" s="314" t="s">
        <v>203</v>
      </c>
      <c r="PSD20" s="314" t="s">
        <v>203</v>
      </c>
      <c r="PSE20" s="314" t="s">
        <v>203</v>
      </c>
      <c r="PSF20" s="314" t="s">
        <v>203</v>
      </c>
      <c r="PSG20" s="314" t="s">
        <v>203</v>
      </c>
      <c r="PSH20" s="314" t="s">
        <v>203</v>
      </c>
      <c r="PSI20" s="314" t="s">
        <v>203</v>
      </c>
      <c r="PSJ20" s="314" t="s">
        <v>203</v>
      </c>
      <c r="PSK20" s="314" t="s">
        <v>203</v>
      </c>
      <c r="PSL20" s="314" t="s">
        <v>203</v>
      </c>
      <c r="PSM20" s="314" t="s">
        <v>203</v>
      </c>
      <c r="PSN20" s="314" t="s">
        <v>203</v>
      </c>
      <c r="PSO20" s="314" t="s">
        <v>203</v>
      </c>
      <c r="PSP20" s="314" t="s">
        <v>203</v>
      </c>
      <c r="PSQ20" s="314" t="s">
        <v>203</v>
      </c>
      <c r="PSR20" s="314" t="s">
        <v>203</v>
      </c>
      <c r="PSS20" s="314" t="s">
        <v>203</v>
      </c>
      <c r="PST20" s="314" t="s">
        <v>203</v>
      </c>
      <c r="PSU20" s="314" t="s">
        <v>203</v>
      </c>
      <c r="PSV20" s="314" t="s">
        <v>203</v>
      </c>
      <c r="PSW20" s="314" t="s">
        <v>203</v>
      </c>
      <c r="PSX20" s="314" t="s">
        <v>203</v>
      </c>
      <c r="PSY20" s="314" t="s">
        <v>203</v>
      </c>
      <c r="PSZ20" s="314" t="s">
        <v>203</v>
      </c>
      <c r="PTA20" s="314" t="s">
        <v>203</v>
      </c>
      <c r="PTB20" s="314" t="s">
        <v>203</v>
      </c>
      <c r="PTC20" s="314" t="s">
        <v>203</v>
      </c>
      <c r="PTD20" s="314" t="s">
        <v>203</v>
      </c>
      <c r="PTE20" s="314" t="s">
        <v>203</v>
      </c>
      <c r="PTF20" s="314" t="s">
        <v>203</v>
      </c>
      <c r="PTG20" s="314" t="s">
        <v>203</v>
      </c>
      <c r="PTH20" s="314" t="s">
        <v>203</v>
      </c>
      <c r="PTI20" s="314" t="s">
        <v>203</v>
      </c>
      <c r="PTJ20" s="314" t="s">
        <v>203</v>
      </c>
      <c r="PTK20" s="314" t="s">
        <v>203</v>
      </c>
      <c r="PTL20" s="314" t="s">
        <v>203</v>
      </c>
      <c r="PTM20" s="314" t="s">
        <v>203</v>
      </c>
      <c r="PTN20" s="314" t="s">
        <v>203</v>
      </c>
      <c r="PTO20" s="314" t="s">
        <v>203</v>
      </c>
      <c r="PTP20" s="314" t="s">
        <v>203</v>
      </c>
      <c r="PTQ20" s="314" t="s">
        <v>203</v>
      </c>
      <c r="PTR20" s="314" t="s">
        <v>203</v>
      </c>
      <c r="PTS20" s="314" t="s">
        <v>203</v>
      </c>
      <c r="PTT20" s="314" t="s">
        <v>203</v>
      </c>
      <c r="PTU20" s="314" t="s">
        <v>203</v>
      </c>
      <c r="PTV20" s="314" t="s">
        <v>203</v>
      </c>
      <c r="PTW20" s="314" t="s">
        <v>203</v>
      </c>
      <c r="PTX20" s="314" t="s">
        <v>203</v>
      </c>
      <c r="PTY20" s="314" t="s">
        <v>203</v>
      </c>
      <c r="PTZ20" s="314" t="s">
        <v>203</v>
      </c>
      <c r="PUA20" s="314" t="s">
        <v>203</v>
      </c>
      <c r="PUB20" s="314" t="s">
        <v>203</v>
      </c>
      <c r="PUC20" s="314" t="s">
        <v>203</v>
      </c>
      <c r="PUD20" s="314" t="s">
        <v>203</v>
      </c>
      <c r="PUE20" s="314" t="s">
        <v>203</v>
      </c>
      <c r="PUF20" s="314" t="s">
        <v>203</v>
      </c>
      <c r="PUG20" s="314" t="s">
        <v>203</v>
      </c>
      <c r="PUH20" s="314" t="s">
        <v>203</v>
      </c>
      <c r="PUI20" s="314" t="s">
        <v>203</v>
      </c>
      <c r="PUJ20" s="314" t="s">
        <v>203</v>
      </c>
      <c r="PUK20" s="314" t="s">
        <v>203</v>
      </c>
      <c r="PUL20" s="314" t="s">
        <v>203</v>
      </c>
      <c r="PUM20" s="314" t="s">
        <v>203</v>
      </c>
      <c r="PUN20" s="314" t="s">
        <v>203</v>
      </c>
      <c r="PUO20" s="314" t="s">
        <v>203</v>
      </c>
      <c r="PUP20" s="314" t="s">
        <v>203</v>
      </c>
      <c r="PUQ20" s="314" t="s">
        <v>203</v>
      </c>
      <c r="PUR20" s="314" t="s">
        <v>203</v>
      </c>
      <c r="PUS20" s="314" t="s">
        <v>203</v>
      </c>
      <c r="PUT20" s="314" t="s">
        <v>203</v>
      </c>
      <c r="PUU20" s="314" t="s">
        <v>203</v>
      </c>
      <c r="PUV20" s="314" t="s">
        <v>203</v>
      </c>
      <c r="PUW20" s="314" t="s">
        <v>203</v>
      </c>
      <c r="PUX20" s="314" t="s">
        <v>203</v>
      </c>
      <c r="PUY20" s="314" t="s">
        <v>203</v>
      </c>
      <c r="PUZ20" s="314" t="s">
        <v>203</v>
      </c>
      <c r="PVA20" s="314" t="s">
        <v>203</v>
      </c>
      <c r="PVB20" s="314" t="s">
        <v>203</v>
      </c>
      <c r="PVC20" s="314" t="s">
        <v>203</v>
      </c>
      <c r="PVD20" s="314" t="s">
        <v>203</v>
      </c>
      <c r="PVE20" s="314" t="s">
        <v>203</v>
      </c>
      <c r="PVF20" s="314" t="s">
        <v>203</v>
      </c>
      <c r="PVG20" s="314" t="s">
        <v>203</v>
      </c>
      <c r="PVH20" s="314" t="s">
        <v>203</v>
      </c>
      <c r="PVI20" s="314" t="s">
        <v>203</v>
      </c>
      <c r="PVJ20" s="314" t="s">
        <v>203</v>
      </c>
      <c r="PVK20" s="314" t="s">
        <v>203</v>
      </c>
      <c r="PVL20" s="314" t="s">
        <v>203</v>
      </c>
      <c r="PVM20" s="314" t="s">
        <v>203</v>
      </c>
      <c r="PVN20" s="314" t="s">
        <v>203</v>
      </c>
      <c r="PVO20" s="314" t="s">
        <v>203</v>
      </c>
      <c r="PVP20" s="314" t="s">
        <v>203</v>
      </c>
      <c r="PVQ20" s="314" t="s">
        <v>203</v>
      </c>
      <c r="PVR20" s="314" t="s">
        <v>203</v>
      </c>
      <c r="PVS20" s="314" t="s">
        <v>203</v>
      </c>
      <c r="PVT20" s="314" t="s">
        <v>203</v>
      </c>
      <c r="PVU20" s="314" t="s">
        <v>203</v>
      </c>
      <c r="PVV20" s="314" t="s">
        <v>203</v>
      </c>
      <c r="PVW20" s="314" t="s">
        <v>203</v>
      </c>
      <c r="PVX20" s="314" t="s">
        <v>203</v>
      </c>
      <c r="PVY20" s="314" t="s">
        <v>203</v>
      </c>
      <c r="PVZ20" s="314" t="s">
        <v>203</v>
      </c>
      <c r="PWA20" s="314" t="s">
        <v>203</v>
      </c>
      <c r="PWB20" s="314" t="s">
        <v>203</v>
      </c>
      <c r="PWC20" s="314" t="s">
        <v>203</v>
      </c>
      <c r="PWD20" s="314" t="s">
        <v>203</v>
      </c>
      <c r="PWE20" s="314" t="s">
        <v>203</v>
      </c>
      <c r="PWF20" s="314" t="s">
        <v>203</v>
      </c>
      <c r="PWG20" s="314" t="s">
        <v>203</v>
      </c>
      <c r="PWH20" s="314" t="s">
        <v>203</v>
      </c>
      <c r="PWI20" s="314" t="s">
        <v>203</v>
      </c>
      <c r="PWJ20" s="314" t="s">
        <v>203</v>
      </c>
      <c r="PWK20" s="314" t="s">
        <v>203</v>
      </c>
      <c r="PWL20" s="314" t="s">
        <v>203</v>
      </c>
      <c r="PWM20" s="314" t="s">
        <v>203</v>
      </c>
      <c r="PWN20" s="314" t="s">
        <v>203</v>
      </c>
      <c r="PWO20" s="314" t="s">
        <v>203</v>
      </c>
      <c r="PWP20" s="314" t="s">
        <v>203</v>
      </c>
      <c r="PWQ20" s="314" t="s">
        <v>203</v>
      </c>
      <c r="PWR20" s="314" t="s">
        <v>203</v>
      </c>
      <c r="PWS20" s="314" t="s">
        <v>203</v>
      </c>
      <c r="PWT20" s="314" t="s">
        <v>203</v>
      </c>
      <c r="PWU20" s="314" t="s">
        <v>203</v>
      </c>
      <c r="PWV20" s="314" t="s">
        <v>203</v>
      </c>
      <c r="PWW20" s="314" t="s">
        <v>203</v>
      </c>
      <c r="PWX20" s="314" t="s">
        <v>203</v>
      </c>
      <c r="PWY20" s="314" t="s">
        <v>203</v>
      </c>
      <c r="PWZ20" s="314" t="s">
        <v>203</v>
      </c>
      <c r="PXA20" s="314" t="s">
        <v>203</v>
      </c>
      <c r="PXB20" s="314" t="s">
        <v>203</v>
      </c>
      <c r="PXC20" s="314" t="s">
        <v>203</v>
      </c>
      <c r="PXD20" s="314" t="s">
        <v>203</v>
      </c>
      <c r="PXE20" s="314" t="s">
        <v>203</v>
      </c>
      <c r="PXF20" s="314" t="s">
        <v>203</v>
      </c>
      <c r="PXG20" s="314" t="s">
        <v>203</v>
      </c>
      <c r="PXH20" s="314" t="s">
        <v>203</v>
      </c>
      <c r="PXI20" s="314" t="s">
        <v>203</v>
      </c>
      <c r="PXJ20" s="314" t="s">
        <v>203</v>
      </c>
      <c r="PXK20" s="314" t="s">
        <v>203</v>
      </c>
      <c r="PXL20" s="314" t="s">
        <v>203</v>
      </c>
      <c r="PXM20" s="314" t="s">
        <v>203</v>
      </c>
      <c r="PXN20" s="314" t="s">
        <v>203</v>
      </c>
      <c r="PXO20" s="314" t="s">
        <v>203</v>
      </c>
      <c r="PXP20" s="314" t="s">
        <v>203</v>
      </c>
      <c r="PXQ20" s="314" t="s">
        <v>203</v>
      </c>
      <c r="PXR20" s="314" t="s">
        <v>203</v>
      </c>
      <c r="PXS20" s="314" t="s">
        <v>203</v>
      </c>
      <c r="PXT20" s="314" t="s">
        <v>203</v>
      </c>
      <c r="PXU20" s="314" t="s">
        <v>203</v>
      </c>
      <c r="PXV20" s="314" t="s">
        <v>203</v>
      </c>
      <c r="PXW20" s="314" t="s">
        <v>203</v>
      </c>
      <c r="PXX20" s="314" t="s">
        <v>203</v>
      </c>
      <c r="PXY20" s="314" t="s">
        <v>203</v>
      </c>
      <c r="PXZ20" s="314" t="s">
        <v>203</v>
      </c>
      <c r="PYA20" s="314" t="s">
        <v>203</v>
      </c>
      <c r="PYB20" s="314" t="s">
        <v>203</v>
      </c>
      <c r="PYC20" s="314" t="s">
        <v>203</v>
      </c>
      <c r="PYD20" s="314" t="s">
        <v>203</v>
      </c>
      <c r="PYE20" s="314" t="s">
        <v>203</v>
      </c>
      <c r="PYF20" s="314" t="s">
        <v>203</v>
      </c>
      <c r="PYG20" s="314" t="s">
        <v>203</v>
      </c>
      <c r="PYH20" s="314" t="s">
        <v>203</v>
      </c>
      <c r="PYI20" s="314" t="s">
        <v>203</v>
      </c>
      <c r="PYJ20" s="314" t="s">
        <v>203</v>
      </c>
      <c r="PYK20" s="314" t="s">
        <v>203</v>
      </c>
      <c r="PYL20" s="314" t="s">
        <v>203</v>
      </c>
      <c r="PYM20" s="314" t="s">
        <v>203</v>
      </c>
      <c r="PYN20" s="314" t="s">
        <v>203</v>
      </c>
      <c r="PYO20" s="314" t="s">
        <v>203</v>
      </c>
      <c r="PYP20" s="314" t="s">
        <v>203</v>
      </c>
      <c r="PYQ20" s="314" t="s">
        <v>203</v>
      </c>
      <c r="PYR20" s="314" t="s">
        <v>203</v>
      </c>
      <c r="PYS20" s="314" t="s">
        <v>203</v>
      </c>
      <c r="PYT20" s="314" t="s">
        <v>203</v>
      </c>
      <c r="PYU20" s="314" t="s">
        <v>203</v>
      </c>
      <c r="PYV20" s="314" t="s">
        <v>203</v>
      </c>
      <c r="PYW20" s="314" t="s">
        <v>203</v>
      </c>
      <c r="PYX20" s="314" t="s">
        <v>203</v>
      </c>
      <c r="PYY20" s="314" t="s">
        <v>203</v>
      </c>
      <c r="PYZ20" s="314" t="s">
        <v>203</v>
      </c>
      <c r="PZA20" s="314" t="s">
        <v>203</v>
      </c>
      <c r="PZB20" s="314" t="s">
        <v>203</v>
      </c>
      <c r="PZC20" s="314" t="s">
        <v>203</v>
      </c>
      <c r="PZD20" s="314" t="s">
        <v>203</v>
      </c>
      <c r="PZE20" s="314" t="s">
        <v>203</v>
      </c>
      <c r="PZF20" s="314" t="s">
        <v>203</v>
      </c>
      <c r="PZG20" s="314" t="s">
        <v>203</v>
      </c>
      <c r="PZH20" s="314" t="s">
        <v>203</v>
      </c>
      <c r="PZI20" s="314" t="s">
        <v>203</v>
      </c>
      <c r="PZJ20" s="314" t="s">
        <v>203</v>
      </c>
      <c r="PZK20" s="314" t="s">
        <v>203</v>
      </c>
      <c r="PZL20" s="314" t="s">
        <v>203</v>
      </c>
      <c r="PZM20" s="314" t="s">
        <v>203</v>
      </c>
      <c r="PZN20" s="314" t="s">
        <v>203</v>
      </c>
      <c r="PZO20" s="314" t="s">
        <v>203</v>
      </c>
      <c r="PZP20" s="314" t="s">
        <v>203</v>
      </c>
      <c r="PZQ20" s="314" t="s">
        <v>203</v>
      </c>
      <c r="PZR20" s="314" t="s">
        <v>203</v>
      </c>
      <c r="PZS20" s="314" t="s">
        <v>203</v>
      </c>
      <c r="PZT20" s="314" t="s">
        <v>203</v>
      </c>
      <c r="PZU20" s="314" t="s">
        <v>203</v>
      </c>
      <c r="PZV20" s="314" t="s">
        <v>203</v>
      </c>
      <c r="PZW20" s="314" t="s">
        <v>203</v>
      </c>
      <c r="PZX20" s="314" t="s">
        <v>203</v>
      </c>
      <c r="PZY20" s="314" t="s">
        <v>203</v>
      </c>
      <c r="PZZ20" s="314" t="s">
        <v>203</v>
      </c>
      <c r="QAA20" s="314" t="s">
        <v>203</v>
      </c>
      <c r="QAB20" s="314" t="s">
        <v>203</v>
      </c>
      <c r="QAC20" s="314" t="s">
        <v>203</v>
      </c>
      <c r="QAD20" s="314" t="s">
        <v>203</v>
      </c>
      <c r="QAE20" s="314" t="s">
        <v>203</v>
      </c>
      <c r="QAF20" s="314" t="s">
        <v>203</v>
      </c>
      <c r="QAG20" s="314" t="s">
        <v>203</v>
      </c>
      <c r="QAH20" s="314" t="s">
        <v>203</v>
      </c>
      <c r="QAI20" s="314" t="s">
        <v>203</v>
      </c>
      <c r="QAJ20" s="314" t="s">
        <v>203</v>
      </c>
      <c r="QAK20" s="314" t="s">
        <v>203</v>
      </c>
      <c r="QAL20" s="314" t="s">
        <v>203</v>
      </c>
      <c r="QAM20" s="314" t="s">
        <v>203</v>
      </c>
      <c r="QAN20" s="314" t="s">
        <v>203</v>
      </c>
      <c r="QAO20" s="314" t="s">
        <v>203</v>
      </c>
      <c r="QAP20" s="314" t="s">
        <v>203</v>
      </c>
      <c r="QAQ20" s="314" t="s">
        <v>203</v>
      </c>
      <c r="QAR20" s="314" t="s">
        <v>203</v>
      </c>
      <c r="QAS20" s="314" t="s">
        <v>203</v>
      </c>
      <c r="QAT20" s="314" t="s">
        <v>203</v>
      </c>
      <c r="QAU20" s="314" t="s">
        <v>203</v>
      </c>
      <c r="QAV20" s="314" t="s">
        <v>203</v>
      </c>
      <c r="QAW20" s="314" t="s">
        <v>203</v>
      </c>
      <c r="QAX20" s="314" t="s">
        <v>203</v>
      </c>
      <c r="QAY20" s="314" t="s">
        <v>203</v>
      </c>
      <c r="QAZ20" s="314" t="s">
        <v>203</v>
      </c>
      <c r="QBA20" s="314" t="s">
        <v>203</v>
      </c>
      <c r="QBB20" s="314" t="s">
        <v>203</v>
      </c>
      <c r="QBC20" s="314" t="s">
        <v>203</v>
      </c>
      <c r="QBD20" s="314" t="s">
        <v>203</v>
      </c>
      <c r="QBE20" s="314" t="s">
        <v>203</v>
      </c>
      <c r="QBF20" s="314" t="s">
        <v>203</v>
      </c>
      <c r="QBG20" s="314" t="s">
        <v>203</v>
      </c>
      <c r="QBH20" s="314" t="s">
        <v>203</v>
      </c>
      <c r="QBI20" s="314" t="s">
        <v>203</v>
      </c>
      <c r="QBJ20" s="314" t="s">
        <v>203</v>
      </c>
      <c r="QBK20" s="314" t="s">
        <v>203</v>
      </c>
      <c r="QBL20" s="314" t="s">
        <v>203</v>
      </c>
      <c r="QBM20" s="314" t="s">
        <v>203</v>
      </c>
      <c r="QBN20" s="314" t="s">
        <v>203</v>
      </c>
      <c r="QBO20" s="314" t="s">
        <v>203</v>
      </c>
      <c r="QBP20" s="314" t="s">
        <v>203</v>
      </c>
      <c r="QBQ20" s="314" t="s">
        <v>203</v>
      </c>
      <c r="QBR20" s="314" t="s">
        <v>203</v>
      </c>
      <c r="QBS20" s="314" t="s">
        <v>203</v>
      </c>
      <c r="QBT20" s="314" t="s">
        <v>203</v>
      </c>
      <c r="QBU20" s="314" t="s">
        <v>203</v>
      </c>
      <c r="QBV20" s="314" t="s">
        <v>203</v>
      </c>
      <c r="QBW20" s="314" t="s">
        <v>203</v>
      </c>
      <c r="QBX20" s="314" t="s">
        <v>203</v>
      </c>
      <c r="QBY20" s="314" t="s">
        <v>203</v>
      </c>
      <c r="QBZ20" s="314" t="s">
        <v>203</v>
      </c>
      <c r="QCA20" s="314" t="s">
        <v>203</v>
      </c>
      <c r="QCB20" s="314" t="s">
        <v>203</v>
      </c>
      <c r="QCC20" s="314" t="s">
        <v>203</v>
      </c>
      <c r="QCD20" s="314" t="s">
        <v>203</v>
      </c>
      <c r="QCE20" s="314" t="s">
        <v>203</v>
      </c>
      <c r="QCF20" s="314" t="s">
        <v>203</v>
      </c>
      <c r="QCG20" s="314" t="s">
        <v>203</v>
      </c>
      <c r="QCH20" s="314" t="s">
        <v>203</v>
      </c>
      <c r="QCI20" s="314" t="s">
        <v>203</v>
      </c>
      <c r="QCJ20" s="314" t="s">
        <v>203</v>
      </c>
      <c r="QCK20" s="314" t="s">
        <v>203</v>
      </c>
      <c r="QCL20" s="314" t="s">
        <v>203</v>
      </c>
      <c r="QCM20" s="314" t="s">
        <v>203</v>
      </c>
      <c r="QCN20" s="314" t="s">
        <v>203</v>
      </c>
      <c r="QCO20" s="314" t="s">
        <v>203</v>
      </c>
      <c r="QCP20" s="314" t="s">
        <v>203</v>
      </c>
      <c r="QCQ20" s="314" t="s">
        <v>203</v>
      </c>
      <c r="QCR20" s="314" t="s">
        <v>203</v>
      </c>
      <c r="QCS20" s="314" t="s">
        <v>203</v>
      </c>
      <c r="QCT20" s="314" t="s">
        <v>203</v>
      </c>
      <c r="QCU20" s="314" t="s">
        <v>203</v>
      </c>
      <c r="QCV20" s="314" t="s">
        <v>203</v>
      </c>
      <c r="QCW20" s="314" t="s">
        <v>203</v>
      </c>
      <c r="QCX20" s="314" t="s">
        <v>203</v>
      </c>
      <c r="QCY20" s="314" t="s">
        <v>203</v>
      </c>
      <c r="QCZ20" s="314" t="s">
        <v>203</v>
      </c>
      <c r="QDA20" s="314" t="s">
        <v>203</v>
      </c>
      <c r="QDB20" s="314" t="s">
        <v>203</v>
      </c>
      <c r="QDC20" s="314" t="s">
        <v>203</v>
      </c>
      <c r="QDD20" s="314" t="s">
        <v>203</v>
      </c>
      <c r="QDE20" s="314" t="s">
        <v>203</v>
      </c>
      <c r="QDF20" s="314" t="s">
        <v>203</v>
      </c>
      <c r="QDG20" s="314" t="s">
        <v>203</v>
      </c>
      <c r="QDH20" s="314" t="s">
        <v>203</v>
      </c>
      <c r="QDI20" s="314" t="s">
        <v>203</v>
      </c>
      <c r="QDJ20" s="314" t="s">
        <v>203</v>
      </c>
      <c r="QDK20" s="314" t="s">
        <v>203</v>
      </c>
      <c r="QDL20" s="314" t="s">
        <v>203</v>
      </c>
      <c r="QDM20" s="314" t="s">
        <v>203</v>
      </c>
      <c r="QDN20" s="314" t="s">
        <v>203</v>
      </c>
      <c r="QDO20" s="314" t="s">
        <v>203</v>
      </c>
      <c r="QDP20" s="314" t="s">
        <v>203</v>
      </c>
      <c r="QDQ20" s="314" t="s">
        <v>203</v>
      </c>
      <c r="QDR20" s="314" t="s">
        <v>203</v>
      </c>
      <c r="QDS20" s="314" t="s">
        <v>203</v>
      </c>
      <c r="QDT20" s="314" t="s">
        <v>203</v>
      </c>
      <c r="QDU20" s="314" t="s">
        <v>203</v>
      </c>
      <c r="QDV20" s="314" t="s">
        <v>203</v>
      </c>
      <c r="QDW20" s="314" t="s">
        <v>203</v>
      </c>
      <c r="QDX20" s="314" t="s">
        <v>203</v>
      </c>
      <c r="QDY20" s="314" t="s">
        <v>203</v>
      </c>
      <c r="QDZ20" s="314" t="s">
        <v>203</v>
      </c>
      <c r="QEA20" s="314" t="s">
        <v>203</v>
      </c>
      <c r="QEB20" s="314" t="s">
        <v>203</v>
      </c>
      <c r="QEC20" s="314" t="s">
        <v>203</v>
      </c>
      <c r="QED20" s="314" t="s">
        <v>203</v>
      </c>
      <c r="QEE20" s="314" t="s">
        <v>203</v>
      </c>
      <c r="QEF20" s="314" t="s">
        <v>203</v>
      </c>
      <c r="QEG20" s="314" t="s">
        <v>203</v>
      </c>
      <c r="QEH20" s="314" t="s">
        <v>203</v>
      </c>
      <c r="QEI20" s="314" t="s">
        <v>203</v>
      </c>
      <c r="QEJ20" s="314" t="s">
        <v>203</v>
      </c>
      <c r="QEK20" s="314" t="s">
        <v>203</v>
      </c>
      <c r="QEL20" s="314" t="s">
        <v>203</v>
      </c>
      <c r="QEM20" s="314" t="s">
        <v>203</v>
      </c>
      <c r="QEN20" s="314" t="s">
        <v>203</v>
      </c>
      <c r="QEO20" s="314" t="s">
        <v>203</v>
      </c>
      <c r="QEP20" s="314" t="s">
        <v>203</v>
      </c>
      <c r="QEQ20" s="314" t="s">
        <v>203</v>
      </c>
      <c r="QER20" s="314" t="s">
        <v>203</v>
      </c>
      <c r="QES20" s="314" t="s">
        <v>203</v>
      </c>
      <c r="QET20" s="314" t="s">
        <v>203</v>
      </c>
      <c r="QEU20" s="314" t="s">
        <v>203</v>
      </c>
      <c r="QEV20" s="314" t="s">
        <v>203</v>
      </c>
      <c r="QEW20" s="314" t="s">
        <v>203</v>
      </c>
      <c r="QEX20" s="314" t="s">
        <v>203</v>
      </c>
      <c r="QEY20" s="314" t="s">
        <v>203</v>
      </c>
      <c r="QEZ20" s="314" t="s">
        <v>203</v>
      </c>
      <c r="QFA20" s="314" t="s">
        <v>203</v>
      </c>
      <c r="QFB20" s="314" t="s">
        <v>203</v>
      </c>
      <c r="QFC20" s="314" t="s">
        <v>203</v>
      </c>
      <c r="QFD20" s="314" t="s">
        <v>203</v>
      </c>
      <c r="QFE20" s="314" t="s">
        <v>203</v>
      </c>
      <c r="QFF20" s="314" t="s">
        <v>203</v>
      </c>
      <c r="QFG20" s="314" t="s">
        <v>203</v>
      </c>
      <c r="QFH20" s="314" t="s">
        <v>203</v>
      </c>
      <c r="QFI20" s="314" t="s">
        <v>203</v>
      </c>
      <c r="QFJ20" s="314" t="s">
        <v>203</v>
      </c>
      <c r="QFK20" s="314" t="s">
        <v>203</v>
      </c>
      <c r="QFL20" s="314" t="s">
        <v>203</v>
      </c>
      <c r="QFM20" s="314" t="s">
        <v>203</v>
      </c>
      <c r="QFN20" s="314" t="s">
        <v>203</v>
      </c>
      <c r="QFO20" s="314" t="s">
        <v>203</v>
      </c>
      <c r="QFP20" s="314" t="s">
        <v>203</v>
      </c>
      <c r="QFQ20" s="314" t="s">
        <v>203</v>
      </c>
      <c r="QFR20" s="314" t="s">
        <v>203</v>
      </c>
      <c r="QFS20" s="314" t="s">
        <v>203</v>
      </c>
      <c r="QFT20" s="314" t="s">
        <v>203</v>
      </c>
      <c r="QFU20" s="314" t="s">
        <v>203</v>
      </c>
      <c r="QFV20" s="314" t="s">
        <v>203</v>
      </c>
      <c r="QFW20" s="314" t="s">
        <v>203</v>
      </c>
      <c r="QFX20" s="314" t="s">
        <v>203</v>
      </c>
      <c r="QFY20" s="314" t="s">
        <v>203</v>
      </c>
      <c r="QFZ20" s="314" t="s">
        <v>203</v>
      </c>
      <c r="QGA20" s="314" t="s">
        <v>203</v>
      </c>
      <c r="QGB20" s="314" t="s">
        <v>203</v>
      </c>
      <c r="QGC20" s="314" t="s">
        <v>203</v>
      </c>
      <c r="QGD20" s="314" t="s">
        <v>203</v>
      </c>
      <c r="QGE20" s="314" t="s">
        <v>203</v>
      </c>
      <c r="QGF20" s="314" t="s">
        <v>203</v>
      </c>
      <c r="QGG20" s="314" t="s">
        <v>203</v>
      </c>
      <c r="QGH20" s="314" t="s">
        <v>203</v>
      </c>
      <c r="QGI20" s="314" t="s">
        <v>203</v>
      </c>
      <c r="QGJ20" s="314" t="s">
        <v>203</v>
      </c>
      <c r="QGK20" s="314" t="s">
        <v>203</v>
      </c>
      <c r="QGL20" s="314" t="s">
        <v>203</v>
      </c>
      <c r="QGM20" s="314" t="s">
        <v>203</v>
      </c>
      <c r="QGN20" s="314" t="s">
        <v>203</v>
      </c>
      <c r="QGO20" s="314" t="s">
        <v>203</v>
      </c>
      <c r="QGP20" s="314" t="s">
        <v>203</v>
      </c>
      <c r="QGQ20" s="314" t="s">
        <v>203</v>
      </c>
      <c r="QGR20" s="314" t="s">
        <v>203</v>
      </c>
      <c r="QGS20" s="314" t="s">
        <v>203</v>
      </c>
      <c r="QGT20" s="314" t="s">
        <v>203</v>
      </c>
      <c r="QGU20" s="314" t="s">
        <v>203</v>
      </c>
      <c r="QGV20" s="314" t="s">
        <v>203</v>
      </c>
      <c r="QGW20" s="314" t="s">
        <v>203</v>
      </c>
      <c r="QGX20" s="314" t="s">
        <v>203</v>
      </c>
      <c r="QGY20" s="314" t="s">
        <v>203</v>
      </c>
      <c r="QGZ20" s="314" t="s">
        <v>203</v>
      </c>
      <c r="QHA20" s="314" t="s">
        <v>203</v>
      </c>
      <c r="QHB20" s="314" t="s">
        <v>203</v>
      </c>
      <c r="QHC20" s="314" t="s">
        <v>203</v>
      </c>
      <c r="QHD20" s="314" t="s">
        <v>203</v>
      </c>
      <c r="QHE20" s="314" t="s">
        <v>203</v>
      </c>
      <c r="QHF20" s="314" t="s">
        <v>203</v>
      </c>
      <c r="QHG20" s="314" t="s">
        <v>203</v>
      </c>
      <c r="QHH20" s="314" t="s">
        <v>203</v>
      </c>
      <c r="QHI20" s="314" t="s">
        <v>203</v>
      </c>
      <c r="QHJ20" s="314" t="s">
        <v>203</v>
      </c>
      <c r="QHK20" s="314" t="s">
        <v>203</v>
      </c>
      <c r="QHL20" s="314" t="s">
        <v>203</v>
      </c>
      <c r="QHM20" s="314" t="s">
        <v>203</v>
      </c>
      <c r="QHN20" s="314" t="s">
        <v>203</v>
      </c>
      <c r="QHO20" s="314" t="s">
        <v>203</v>
      </c>
      <c r="QHP20" s="314" t="s">
        <v>203</v>
      </c>
      <c r="QHQ20" s="314" t="s">
        <v>203</v>
      </c>
      <c r="QHR20" s="314" t="s">
        <v>203</v>
      </c>
      <c r="QHS20" s="314" t="s">
        <v>203</v>
      </c>
      <c r="QHT20" s="314" t="s">
        <v>203</v>
      </c>
      <c r="QHU20" s="314" t="s">
        <v>203</v>
      </c>
      <c r="QHV20" s="314" t="s">
        <v>203</v>
      </c>
      <c r="QHW20" s="314" t="s">
        <v>203</v>
      </c>
      <c r="QHX20" s="314" t="s">
        <v>203</v>
      </c>
      <c r="QHY20" s="314" t="s">
        <v>203</v>
      </c>
      <c r="QHZ20" s="314" t="s">
        <v>203</v>
      </c>
      <c r="QIA20" s="314" t="s">
        <v>203</v>
      </c>
      <c r="QIB20" s="314" t="s">
        <v>203</v>
      </c>
      <c r="QIC20" s="314" t="s">
        <v>203</v>
      </c>
      <c r="QID20" s="314" t="s">
        <v>203</v>
      </c>
      <c r="QIE20" s="314" t="s">
        <v>203</v>
      </c>
      <c r="QIF20" s="314" t="s">
        <v>203</v>
      </c>
      <c r="QIG20" s="314" t="s">
        <v>203</v>
      </c>
      <c r="QIH20" s="314" t="s">
        <v>203</v>
      </c>
      <c r="QII20" s="314" t="s">
        <v>203</v>
      </c>
      <c r="QIJ20" s="314" t="s">
        <v>203</v>
      </c>
      <c r="QIK20" s="314" t="s">
        <v>203</v>
      </c>
      <c r="QIL20" s="314" t="s">
        <v>203</v>
      </c>
      <c r="QIM20" s="314" t="s">
        <v>203</v>
      </c>
      <c r="QIN20" s="314" t="s">
        <v>203</v>
      </c>
      <c r="QIO20" s="314" t="s">
        <v>203</v>
      </c>
      <c r="QIP20" s="314" t="s">
        <v>203</v>
      </c>
      <c r="QIQ20" s="314" t="s">
        <v>203</v>
      </c>
      <c r="QIR20" s="314" t="s">
        <v>203</v>
      </c>
      <c r="QIS20" s="314" t="s">
        <v>203</v>
      </c>
      <c r="QIT20" s="314" t="s">
        <v>203</v>
      </c>
      <c r="QIU20" s="314" t="s">
        <v>203</v>
      </c>
      <c r="QIV20" s="314" t="s">
        <v>203</v>
      </c>
      <c r="QIW20" s="314" t="s">
        <v>203</v>
      </c>
      <c r="QIX20" s="314" t="s">
        <v>203</v>
      </c>
      <c r="QIY20" s="314" t="s">
        <v>203</v>
      </c>
      <c r="QIZ20" s="314" t="s">
        <v>203</v>
      </c>
      <c r="QJA20" s="314" t="s">
        <v>203</v>
      </c>
      <c r="QJB20" s="314" t="s">
        <v>203</v>
      </c>
      <c r="QJC20" s="314" t="s">
        <v>203</v>
      </c>
      <c r="QJD20" s="314" t="s">
        <v>203</v>
      </c>
      <c r="QJE20" s="314" t="s">
        <v>203</v>
      </c>
      <c r="QJF20" s="314" t="s">
        <v>203</v>
      </c>
      <c r="QJG20" s="314" t="s">
        <v>203</v>
      </c>
      <c r="QJH20" s="314" t="s">
        <v>203</v>
      </c>
      <c r="QJI20" s="314" t="s">
        <v>203</v>
      </c>
      <c r="QJJ20" s="314" t="s">
        <v>203</v>
      </c>
      <c r="QJK20" s="314" t="s">
        <v>203</v>
      </c>
      <c r="QJL20" s="314" t="s">
        <v>203</v>
      </c>
      <c r="QJM20" s="314" t="s">
        <v>203</v>
      </c>
      <c r="QJN20" s="314" t="s">
        <v>203</v>
      </c>
      <c r="QJO20" s="314" t="s">
        <v>203</v>
      </c>
      <c r="QJP20" s="314" t="s">
        <v>203</v>
      </c>
      <c r="QJQ20" s="314" t="s">
        <v>203</v>
      </c>
      <c r="QJR20" s="314" t="s">
        <v>203</v>
      </c>
      <c r="QJS20" s="314" t="s">
        <v>203</v>
      </c>
      <c r="QJT20" s="314" t="s">
        <v>203</v>
      </c>
      <c r="QJU20" s="314" t="s">
        <v>203</v>
      </c>
      <c r="QJV20" s="314" t="s">
        <v>203</v>
      </c>
      <c r="QJW20" s="314" t="s">
        <v>203</v>
      </c>
      <c r="QJX20" s="314" t="s">
        <v>203</v>
      </c>
      <c r="QJY20" s="314" t="s">
        <v>203</v>
      </c>
      <c r="QJZ20" s="314" t="s">
        <v>203</v>
      </c>
      <c r="QKA20" s="314" t="s">
        <v>203</v>
      </c>
      <c r="QKB20" s="314" t="s">
        <v>203</v>
      </c>
      <c r="QKC20" s="314" t="s">
        <v>203</v>
      </c>
      <c r="QKD20" s="314" t="s">
        <v>203</v>
      </c>
      <c r="QKE20" s="314" t="s">
        <v>203</v>
      </c>
      <c r="QKF20" s="314" t="s">
        <v>203</v>
      </c>
      <c r="QKG20" s="314" t="s">
        <v>203</v>
      </c>
      <c r="QKH20" s="314" t="s">
        <v>203</v>
      </c>
      <c r="QKI20" s="314" t="s">
        <v>203</v>
      </c>
      <c r="QKJ20" s="314" t="s">
        <v>203</v>
      </c>
      <c r="QKK20" s="314" t="s">
        <v>203</v>
      </c>
      <c r="QKL20" s="314" t="s">
        <v>203</v>
      </c>
      <c r="QKM20" s="314" t="s">
        <v>203</v>
      </c>
      <c r="QKN20" s="314" t="s">
        <v>203</v>
      </c>
      <c r="QKO20" s="314" t="s">
        <v>203</v>
      </c>
      <c r="QKP20" s="314" t="s">
        <v>203</v>
      </c>
      <c r="QKQ20" s="314" t="s">
        <v>203</v>
      </c>
      <c r="QKR20" s="314" t="s">
        <v>203</v>
      </c>
      <c r="QKS20" s="314" t="s">
        <v>203</v>
      </c>
      <c r="QKT20" s="314" t="s">
        <v>203</v>
      </c>
      <c r="QKU20" s="314" t="s">
        <v>203</v>
      </c>
      <c r="QKV20" s="314" t="s">
        <v>203</v>
      </c>
      <c r="QKW20" s="314" t="s">
        <v>203</v>
      </c>
      <c r="QKX20" s="314" t="s">
        <v>203</v>
      </c>
      <c r="QKY20" s="314" t="s">
        <v>203</v>
      </c>
      <c r="QKZ20" s="314" t="s">
        <v>203</v>
      </c>
      <c r="QLA20" s="314" t="s">
        <v>203</v>
      </c>
      <c r="QLB20" s="314" t="s">
        <v>203</v>
      </c>
      <c r="QLC20" s="314" t="s">
        <v>203</v>
      </c>
      <c r="QLD20" s="314" t="s">
        <v>203</v>
      </c>
      <c r="QLE20" s="314" t="s">
        <v>203</v>
      </c>
      <c r="QLF20" s="314" t="s">
        <v>203</v>
      </c>
      <c r="QLG20" s="314" t="s">
        <v>203</v>
      </c>
      <c r="QLH20" s="314" t="s">
        <v>203</v>
      </c>
      <c r="QLI20" s="314" t="s">
        <v>203</v>
      </c>
      <c r="QLJ20" s="314" t="s">
        <v>203</v>
      </c>
      <c r="QLK20" s="314" t="s">
        <v>203</v>
      </c>
      <c r="QLL20" s="314" t="s">
        <v>203</v>
      </c>
      <c r="QLM20" s="314" t="s">
        <v>203</v>
      </c>
      <c r="QLN20" s="314" t="s">
        <v>203</v>
      </c>
      <c r="QLO20" s="314" t="s">
        <v>203</v>
      </c>
      <c r="QLP20" s="314" t="s">
        <v>203</v>
      </c>
      <c r="QLQ20" s="314" t="s">
        <v>203</v>
      </c>
      <c r="QLR20" s="314" t="s">
        <v>203</v>
      </c>
      <c r="QLS20" s="314" t="s">
        <v>203</v>
      </c>
      <c r="QLT20" s="314" t="s">
        <v>203</v>
      </c>
      <c r="QLU20" s="314" t="s">
        <v>203</v>
      </c>
      <c r="QLV20" s="314" t="s">
        <v>203</v>
      </c>
      <c r="QLW20" s="314" t="s">
        <v>203</v>
      </c>
      <c r="QLX20" s="314" t="s">
        <v>203</v>
      </c>
      <c r="QLY20" s="314" t="s">
        <v>203</v>
      </c>
      <c r="QLZ20" s="314" t="s">
        <v>203</v>
      </c>
      <c r="QMA20" s="314" t="s">
        <v>203</v>
      </c>
      <c r="QMB20" s="314" t="s">
        <v>203</v>
      </c>
      <c r="QMC20" s="314" t="s">
        <v>203</v>
      </c>
      <c r="QMD20" s="314" t="s">
        <v>203</v>
      </c>
      <c r="QME20" s="314" t="s">
        <v>203</v>
      </c>
      <c r="QMF20" s="314" t="s">
        <v>203</v>
      </c>
      <c r="QMG20" s="314" t="s">
        <v>203</v>
      </c>
      <c r="QMH20" s="314" t="s">
        <v>203</v>
      </c>
      <c r="QMI20" s="314" t="s">
        <v>203</v>
      </c>
      <c r="QMJ20" s="314" t="s">
        <v>203</v>
      </c>
      <c r="QMK20" s="314" t="s">
        <v>203</v>
      </c>
      <c r="QML20" s="314" t="s">
        <v>203</v>
      </c>
      <c r="QMM20" s="314" t="s">
        <v>203</v>
      </c>
      <c r="QMN20" s="314" t="s">
        <v>203</v>
      </c>
      <c r="QMO20" s="314" t="s">
        <v>203</v>
      </c>
      <c r="QMP20" s="314" t="s">
        <v>203</v>
      </c>
      <c r="QMQ20" s="314" t="s">
        <v>203</v>
      </c>
      <c r="QMR20" s="314" t="s">
        <v>203</v>
      </c>
      <c r="QMS20" s="314" t="s">
        <v>203</v>
      </c>
      <c r="QMT20" s="314" t="s">
        <v>203</v>
      </c>
      <c r="QMU20" s="314" t="s">
        <v>203</v>
      </c>
      <c r="QMV20" s="314" t="s">
        <v>203</v>
      </c>
      <c r="QMW20" s="314" t="s">
        <v>203</v>
      </c>
      <c r="QMX20" s="314" t="s">
        <v>203</v>
      </c>
      <c r="QMY20" s="314" t="s">
        <v>203</v>
      </c>
      <c r="QMZ20" s="314" t="s">
        <v>203</v>
      </c>
      <c r="QNA20" s="314" t="s">
        <v>203</v>
      </c>
      <c r="QNB20" s="314" t="s">
        <v>203</v>
      </c>
      <c r="QNC20" s="314" t="s">
        <v>203</v>
      </c>
      <c r="QND20" s="314" t="s">
        <v>203</v>
      </c>
      <c r="QNE20" s="314" t="s">
        <v>203</v>
      </c>
      <c r="QNF20" s="314" t="s">
        <v>203</v>
      </c>
      <c r="QNG20" s="314" t="s">
        <v>203</v>
      </c>
      <c r="QNH20" s="314" t="s">
        <v>203</v>
      </c>
      <c r="QNI20" s="314" t="s">
        <v>203</v>
      </c>
      <c r="QNJ20" s="314" t="s">
        <v>203</v>
      </c>
      <c r="QNK20" s="314" t="s">
        <v>203</v>
      </c>
      <c r="QNL20" s="314" t="s">
        <v>203</v>
      </c>
      <c r="QNM20" s="314" t="s">
        <v>203</v>
      </c>
      <c r="QNN20" s="314" t="s">
        <v>203</v>
      </c>
      <c r="QNO20" s="314" t="s">
        <v>203</v>
      </c>
      <c r="QNP20" s="314" t="s">
        <v>203</v>
      </c>
      <c r="QNQ20" s="314" t="s">
        <v>203</v>
      </c>
      <c r="QNR20" s="314" t="s">
        <v>203</v>
      </c>
      <c r="QNS20" s="314" t="s">
        <v>203</v>
      </c>
      <c r="QNT20" s="314" t="s">
        <v>203</v>
      </c>
      <c r="QNU20" s="314" t="s">
        <v>203</v>
      </c>
      <c r="QNV20" s="314" t="s">
        <v>203</v>
      </c>
      <c r="QNW20" s="314" t="s">
        <v>203</v>
      </c>
      <c r="QNX20" s="314" t="s">
        <v>203</v>
      </c>
      <c r="QNY20" s="314" t="s">
        <v>203</v>
      </c>
      <c r="QNZ20" s="314" t="s">
        <v>203</v>
      </c>
      <c r="QOA20" s="314" t="s">
        <v>203</v>
      </c>
      <c r="QOB20" s="314" t="s">
        <v>203</v>
      </c>
      <c r="QOC20" s="314" t="s">
        <v>203</v>
      </c>
      <c r="QOD20" s="314" t="s">
        <v>203</v>
      </c>
      <c r="QOE20" s="314" t="s">
        <v>203</v>
      </c>
      <c r="QOF20" s="314" t="s">
        <v>203</v>
      </c>
      <c r="QOG20" s="314" t="s">
        <v>203</v>
      </c>
      <c r="QOH20" s="314" t="s">
        <v>203</v>
      </c>
      <c r="QOI20" s="314" t="s">
        <v>203</v>
      </c>
      <c r="QOJ20" s="314" t="s">
        <v>203</v>
      </c>
      <c r="QOK20" s="314" t="s">
        <v>203</v>
      </c>
      <c r="QOL20" s="314" t="s">
        <v>203</v>
      </c>
      <c r="QOM20" s="314" t="s">
        <v>203</v>
      </c>
      <c r="QON20" s="314" t="s">
        <v>203</v>
      </c>
      <c r="QOO20" s="314" t="s">
        <v>203</v>
      </c>
      <c r="QOP20" s="314" t="s">
        <v>203</v>
      </c>
      <c r="QOQ20" s="314" t="s">
        <v>203</v>
      </c>
      <c r="QOR20" s="314" t="s">
        <v>203</v>
      </c>
      <c r="QOS20" s="314" t="s">
        <v>203</v>
      </c>
      <c r="QOT20" s="314" t="s">
        <v>203</v>
      </c>
      <c r="QOU20" s="314" t="s">
        <v>203</v>
      </c>
      <c r="QOV20" s="314" t="s">
        <v>203</v>
      </c>
      <c r="QOW20" s="314" t="s">
        <v>203</v>
      </c>
      <c r="QOX20" s="314" t="s">
        <v>203</v>
      </c>
      <c r="QOY20" s="314" t="s">
        <v>203</v>
      </c>
      <c r="QOZ20" s="314" t="s">
        <v>203</v>
      </c>
      <c r="QPA20" s="314" t="s">
        <v>203</v>
      </c>
      <c r="QPB20" s="314" t="s">
        <v>203</v>
      </c>
      <c r="QPC20" s="314" t="s">
        <v>203</v>
      </c>
      <c r="QPD20" s="314" t="s">
        <v>203</v>
      </c>
      <c r="QPE20" s="314" t="s">
        <v>203</v>
      </c>
      <c r="QPF20" s="314" t="s">
        <v>203</v>
      </c>
      <c r="QPG20" s="314" t="s">
        <v>203</v>
      </c>
      <c r="QPH20" s="314" t="s">
        <v>203</v>
      </c>
      <c r="QPI20" s="314" t="s">
        <v>203</v>
      </c>
      <c r="QPJ20" s="314" t="s">
        <v>203</v>
      </c>
      <c r="QPK20" s="314" t="s">
        <v>203</v>
      </c>
      <c r="QPL20" s="314" t="s">
        <v>203</v>
      </c>
      <c r="QPM20" s="314" t="s">
        <v>203</v>
      </c>
      <c r="QPN20" s="314" t="s">
        <v>203</v>
      </c>
      <c r="QPO20" s="314" t="s">
        <v>203</v>
      </c>
      <c r="QPP20" s="314" t="s">
        <v>203</v>
      </c>
      <c r="QPQ20" s="314" t="s">
        <v>203</v>
      </c>
      <c r="QPR20" s="314" t="s">
        <v>203</v>
      </c>
      <c r="QPS20" s="314" t="s">
        <v>203</v>
      </c>
      <c r="QPT20" s="314" t="s">
        <v>203</v>
      </c>
      <c r="QPU20" s="314" t="s">
        <v>203</v>
      </c>
      <c r="QPV20" s="314" t="s">
        <v>203</v>
      </c>
      <c r="QPW20" s="314" t="s">
        <v>203</v>
      </c>
      <c r="QPX20" s="314" t="s">
        <v>203</v>
      </c>
      <c r="QPY20" s="314" t="s">
        <v>203</v>
      </c>
      <c r="QPZ20" s="314" t="s">
        <v>203</v>
      </c>
      <c r="QQA20" s="314" t="s">
        <v>203</v>
      </c>
      <c r="QQB20" s="314" t="s">
        <v>203</v>
      </c>
      <c r="QQC20" s="314" t="s">
        <v>203</v>
      </c>
      <c r="QQD20" s="314" t="s">
        <v>203</v>
      </c>
      <c r="QQE20" s="314" t="s">
        <v>203</v>
      </c>
      <c r="QQF20" s="314" t="s">
        <v>203</v>
      </c>
      <c r="QQG20" s="314" t="s">
        <v>203</v>
      </c>
      <c r="QQH20" s="314" t="s">
        <v>203</v>
      </c>
      <c r="QQI20" s="314" t="s">
        <v>203</v>
      </c>
      <c r="QQJ20" s="314" t="s">
        <v>203</v>
      </c>
      <c r="QQK20" s="314" t="s">
        <v>203</v>
      </c>
      <c r="QQL20" s="314" t="s">
        <v>203</v>
      </c>
      <c r="QQM20" s="314" t="s">
        <v>203</v>
      </c>
      <c r="QQN20" s="314" t="s">
        <v>203</v>
      </c>
      <c r="QQO20" s="314" t="s">
        <v>203</v>
      </c>
      <c r="QQP20" s="314" t="s">
        <v>203</v>
      </c>
      <c r="QQQ20" s="314" t="s">
        <v>203</v>
      </c>
      <c r="QQR20" s="314" t="s">
        <v>203</v>
      </c>
      <c r="QQS20" s="314" t="s">
        <v>203</v>
      </c>
      <c r="QQT20" s="314" t="s">
        <v>203</v>
      </c>
      <c r="QQU20" s="314" t="s">
        <v>203</v>
      </c>
      <c r="QQV20" s="314" t="s">
        <v>203</v>
      </c>
      <c r="QQW20" s="314" t="s">
        <v>203</v>
      </c>
      <c r="QQX20" s="314" t="s">
        <v>203</v>
      </c>
      <c r="QQY20" s="314" t="s">
        <v>203</v>
      </c>
      <c r="QQZ20" s="314" t="s">
        <v>203</v>
      </c>
      <c r="QRA20" s="314" t="s">
        <v>203</v>
      </c>
      <c r="QRB20" s="314" t="s">
        <v>203</v>
      </c>
      <c r="QRC20" s="314" t="s">
        <v>203</v>
      </c>
      <c r="QRD20" s="314" t="s">
        <v>203</v>
      </c>
      <c r="QRE20" s="314" t="s">
        <v>203</v>
      </c>
      <c r="QRF20" s="314" t="s">
        <v>203</v>
      </c>
      <c r="QRG20" s="314" t="s">
        <v>203</v>
      </c>
      <c r="QRH20" s="314" t="s">
        <v>203</v>
      </c>
      <c r="QRI20" s="314" t="s">
        <v>203</v>
      </c>
      <c r="QRJ20" s="314" t="s">
        <v>203</v>
      </c>
      <c r="QRK20" s="314" t="s">
        <v>203</v>
      </c>
      <c r="QRL20" s="314" t="s">
        <v>203</v>
      </c>
      <c r="QRM20" s="314" t="s">
        <v>203</v>
      </c>
      <c r="QRN20" s="314" t="s">
        <v>203</v>
      </c>
      <c r="QRO20" s="314" t="s">
        <v>203</v>
      </c>
      <c r="QRP20" s="314" t="s">
        <v>203</v>
      </c>
      <c r="QRQ20" s="314" t="s">
        <v>203</v>
      </c>
      <c r="QRR20" s="314" t="s">
        <v>203</v>
      </c>
      <c r="QRS20" s="314" t="s">
        <v>203</v>
      </c>
      <c r="QRT20" s="314" t="s">
        <v>203</v>
      </c>
      <c r="QRU20" s="314" t="s">
        <v>203</v>
      </c>
      <c r="QRV20" s="314" t="s">
        <v>203</v>
      </c>
      <c r="QRW20" s="314" t="s">
        <v>203</v>
      </c>
      <c r="QRX20" s="314" t="s">
        <v>203</v>
      </c>
      <c r="QRY20" s="314" t="s">
        <v>203</v>
      </c>
      <c r="QRZ20" s="314" t="s">
        <v>203</v>
      </c>
      <c r="QSA20" s="314" t="s">
        <v>203</v>
      </c>
      <c r="QSB20" s="314" t="s">
        <v>203</v>
      </c>
      <c r="QSC20" s="314" t="s">
        <v>203</v>
      </c>
      <c r="QSD20" s="314" t="s">
        <v>203</v>
      </c>
      <c r="QSE20" s="314" t="s">
        <v>203</v>
      </c>
      <c r="QSF20" s="314" t="s">
        <v>203</v>
      </c>
      <c r="QSG20" s="314" t="s">
        <v>203</v>
      </c>
      <c r="QSH20" s="314" t="s">
        <v>203</v>
      </c>
      <c r="QSI20" s="314" t="s">
        <v>203</v>
      </c>
      <c r="QSJ20" s="314" t="s">
        <v>203</v>
      </c>
      <c r="QSK20" s="314" t="s">
        <v>203</v>
      </c>
      <c r="QSL20" s="314" t="s">
        <v>203</v>
      </c>
      <c r="QSM20" s="314" t="s">
        <v>203</v>
      </c>
      <c r="QSN20" s="314" t="s">
        <v>203</v>
      </c>
      <c r="QSO20" s="314" t="s">
        <v>203</v>
      </c>
      <c r="QSP20" s="314" t="s">
        <v>203</v>
      </c>
      <c r="QSQ20" s="314" t="s">
        <v>203</v>
      </c>
      <c r="QSR20" s="314" t="s">
        <v>203</v>
      </c>
      <c r="QSS20" s="314" t="s">
        <v>203</v>
      </c>
      <c r="QST20" s="314" t="s">
        <v>203</v>
      </c>
      <c r="QSU20" s="314" t="s">
        <v>203</v>
      </c>
      <c r="QSV20" s="314" t="s">
        <v>203</v>
      </c>
      <c r="QSW20" s="314" t="s">
        <v>203</v>
      </c>
      <c r="QSX20" s="314" t="s">
        <v>203</v>
      </c>
      <c r="QSY20" s="314" t="s">
        <v>203</v>
      </c>
      <c r="QSZ20" s="314" t="s">
        <v>203</v>
      </c>
      <c r="QTA20" s="314" t="s">
        <v>203</v>
      </c>
      <c r="QTB20" s="314" t="s">
        <v>203</v>
      </c>
      <c r="QTC20" s="314" t="s">
        <v>203</v>
      </c>
      <c r="QTD20" s="314" t="s">
        <v>203</v>
      </c>
      <c r="QTE20" s="314" t="s">
        <v>203</v>
      </c>
      <c r="QTF20" s="314" t="s">
        <v>203</v>
      </c>
      <c r="QTG20" s="314" t="s">
        <v>203</v>
      </c>
      <c r="QTH20" s="314" t="s">
        <v>203</v>
      </c>
      <c r="QTI20" s="314" t="s">
        <v>203</v>
      </c>
      <c r="QTJ20" s="314" t="s">
        <v>203</v>
      </c>
      <c r="QTK20" s="314" t="s">
        <v>203</v>
      </c>
      <c r="QTL20" s="314" t="s">
        <v>203</v>
      </c>
      <c r="QTM20" s="314" t="s">
        <v>203</v>
      </c>
      <c r="QTN20" s="314" t="s">
        <v>203</v>
      </c>
      <c r="QTO20" s="314" t="s">
        <v>203</v>
      </c>
      <c r="QTP20" s="314" t="s">
        <v>203</v>
      </c>
      <c r="QTQ20" s="314" t="s">
        <v>203</v>
      </c>
      <c r="QTR20" s="314" t="s">
        <v>203</v>
      </c>
      <c r="QTS20" s="314" t="s">
        <v>203</v>
      </c>
      <c r="QTT20" s="314" t="s">
        <v>203</v>
      </c>
      <c r="QTU20" s="314" t="s">
        <v>203</v>
      </c>
      <c r="QTV20" s="314" t="s">
        <v>203</v>
      </c>
      <c r="QTW20" s="314" t="s">
        <v>203</v>
      </c>
      <c r="QTX20" s="314" t="s">
        <v>203</v>
      </c>
      <c r="QTY20" s="314" t="s">
        <v>203</v>
      </c>
      <c r="QTZ20" s="314" t="s">
        <v>203</v>
      </c>
      <c r="QUA20" s="314" t="s">
        <v>203</v>
      </c>
      <c r="QUB20" s="314" t="s">
        <v>203</v>
      </c>
      <c r="QUC20" s="314" t="s">
        <v>203</v>
      </c>
      <c r="QUD20" s="314" t="s">
        <v>203</v>
      </c>
      <c r="QUE20" s="314" t="s">
        <v>203</v>
      </c>
      <c r="QUF20" s="314" t="s">
        <v>203</v>
      </c>
      <c r="QUG20" s="314" t="s">
        <v>203</v>
      </c>
      <c r="QUH20" s="314" t="s">
        <v>203</v>
      </c>
      <c r="QUI20" s="314" t="s">
        <v>203</v>
      </c>
      <c r="QUJ20" s="314" t="s">
        <v>203</v>
      </c>
      <c r="QUK20" s="314" t="s">
        <v>203</v>
      </c>
      <c r="QUL20" s="314" t="s">
        <v>203</v>
      </c>
      <c r="QUM20" s="314" t="s">
        <v>203</v>
      </c>
      <c r="QUN20" s="314" t="s">
        <v>203</v>
      </c>
      <c r="QUO20" s="314" t="s">
        <v>203</v>
      </c>
      <c r="QUP20" s="314" t="s">
        <v>203</v>
      </c>
      <c r="QUQ20" s="314" t="s">
        <v>203</v>
      </c>
      <c r="QUR20" s="314" t="s">
        <v>203</v>
      </c>
      <c r="QUS20" s="314" t="s">
        <v>203</v>
      </c>
      <c r="QUT20" s="314" t="s">
        <v>203</v>
      </c>
      <c r="QUU20" s="314" t="s">
        <v>203</v>
      </c>
      <c r="QUV20" s="314" t="s">
        <v>203</v>
      </c>
      <c r="QUW20" s="314" t="s">
        <v>203</v>
      </c>
      <c r="QUX20" s="314" t="s">
        <v>203</v>
      </c>
      <c r="QUY20" s="314" t="s">
        <v>203</v>
      </c>
      <c r="QUZ20" s="314" t="s">
        <v>203</v>
      </c>
      <c r="QVA20" s="314" t="s">
        <v>203</v>
      </c>
      <c r="QVB20" s="314" t="s">
        <v>203</v>
      </c>
      <c r="QVC20" s="314" t="s">
        <v>203</v>
      </c>
      <c r="QVD20" s="314" t="s">
        <v>203</v>
      </c>
      <c r="QVE20" s="314" t="s">
        <v>203</v>
      </c>
      <c r="QVF20" s="314" t="s">
        <v>203</v>
      </c>
      <c r="QVG20" s="314" t="s">
        <v>203</v>
      </c>
      <c r="QVH20" s="314" t="s">
        <v>203</v>
      </c>
      <c r="QVI20" s="314" t="s">
        <v>203</v>
      </c>
      <c r="QVJ20" s="314" t="s">
        <v>203</v>
      </c>
      <c r="QVK20" s="314" t="s">
        <v>203</v>
      </c>
      <c r="QVL20" s="314" t="s">
        <v>203</v>
      </c>
      <c r="QVM20" s="314" t="s">
        <v>203</v>
      </c>
      <c r="QVN20" s="314" t="s">
        <v>203</v>
      </c>
      <c r="QVO20" s="314" t="s">
        <v>203</v>
      </c>
      <c r="QVP20" s="314" t="s">
        <v>203</v>
      </c>
      <c r="QVQ20" s="314" t="s">
        <v>203</v>
      </c>
      <c r="QVR20" s="314" t="s">
        <v>203</v>
      </c>
      <c r="QVS20" s="314" t="s">
        <v>203</v>
      </c>
      <c r="QVT20" s="314" t="s">
        <v>203</v>
      </c>
      <c r="QVU20" s="314" t="s">
        <v>203</v>
      </c>
      <c r="QVV20" s="314" t="s">
        <v>203</v>
      </c>
      <c r="QVW20" s="314" t="s">
        <v>203</v>
      </c>
      <c r="QVX20" s="314" t="s">
        <v>203</v>
      </c>
      <c r="QVY20" s="314" t="s">
        <v>203</v>
      </c>
      <c r="QVZ20" s="314" t="s">
        <v>203</v>
      </c>
      <c r="QWA20" s="314" t="s">
        <v>203</v>
      </c>
      <c r="QWB20" s="314" t="s">
        <v>203</v>
      </c>
      <c r="QWC20" s="314" t="s">
        <v>203</v>
      </c>
      <c r="QWD20" s="314" t="s">
        <v>203</v>
      </c>
      <c r="QWE20" s="314" t="s">
        <v>203</v>
      </c>
      <c r="QWF20" s="314" t="s">
        <v>203</v>
      </c>
      <c r="QWG20" s="314" t="s">
        <v>203</v>
      </c>
      <c r="QWH20" s="314" t="s">
        <v>203</v>
      </c>
      <c r="QWI20" s="314" t="s">
        <v>203</v>
      </c>
      <c r="QWJ20" s="314" t="s">
        <v>203</v>
      </c>
      <c r="QWK20" s="314" t="s">
        <v>203</v>
      </c>
      <c r="QWL20" s="314" t="s">
        <v>203</v>
      </c>
      <c r="QWM20" s="314" t="s">
        <v>203</v>
      </c>
      <c r="QWN20" s="314" t="s">
        <v>203</v>
      </c>
      <c r="QWO20" s="314" t="s">
        <v>203</v>
      </c>
      <c r="QWP20" s="314" t="s">
        <v>203</v>
      </c>
      <c r="QWQ20" s="314" t="s">
        <v>203</v>
      </c>
      <c r="QWR20" s="314" t="s">
        <v>203</v>
      </c>
      <c r="QWS20" s="314" t="s">
        <v>203</v>
      </c>
      <c r="QWT20" s="314" t="s">
        <v>203</v>
      </c>
      <c r="QWU20" s="314" t="s">
        <v>203</v>
      </c>
      <c r="QWV20" s="314" t="s">
        <v>203</v>
      </c>
      <c r="QWW20" s="314" t="s">
        <v>203</v>
      </c>
      <c r="QWX20" s="314" t="s">
        <v>203</v>
      </c>
      <c r="QWY20" s="314" t="s">
        <v>203</v>
      </c>
      <c r="QWZ20" s="314" t="s">
        <v>203</v>
      </c>
      <c r="QXA20" s="314" t="s">
        <v>203</v>
      </c>
      <c r="QXB20" s="314" t="s">
        <v>203</v>
      </c>
      <c r="QXC20" s="314" t="s">
        <v>203</v>
      </c>
      <c r="QXD20" s="314" t="s">
        <v>203</v>
      </c>
      <c r="QXE20" s="314" t="s">
        <v>203</v>
      </c>
      <c r="QXF20" s="314" t="s">
        <v>203</v>
      </c>
      <c r="QXG20" s="314" t="s">
        <v>203</v>
      </c>
      <c r="QXH20" s="314" t="s">
        <v>203</v>
      </c>
      <c r="QXI20" s="314" t="s">
        <v>203</v>
      </c>
      <c r="QXJ20" s="314" t="s">
        <v>203</v>
      </c>
      <c r="QXK20" s="314" t="s">
        <v>203</v>
      </c>
      <c r="QXL20" s="314" t="s">
        <v>203</v>
      </c>
      <c r="QXM20" s="314" t="s">
        <v>203</v>
      </c>
      <c r="QXN20" s="314" t="s">
        <v>203</v>
      </c>
      <c r="QXO20" s="314" t="s">
        <v>203</v>
      </c>
      <c r="QXP20" s="314" t="s">
        <v>203</v>
      </c>
      <c r="QXQ20" s="314" t="s">
        <v>203</v>
      </c>
      <c r="QXR20" s="314" t="s">
        <v>203</v>
      </c>
      <c r="QXS20" s="314" t="s">
        <v>203</v>
      </c>
      <c r="QXT20" s="314" t="s">
        <v>203</v>
      </c>
      <c r="QXU20" s="314" t="s">
        <v>203</v>
      </c>
      <c r="QXV20" s="314" t="s">
        <v>203</v>
      </c>
      <c r="QXW20" s="314" t="s">
        <v>203</v>
      </c>
      <c r="QXX20" s="314" t="s">
        <v>203</v>
      </c>
      <c r="QXY20" s="314" t="s">
        <v>203</v>
      </c>
      <c r="QXZ20" s="314" t="s">
        <v>203</v>
      </c>
      <c r="QYA20" s="314" t="s">
        <v>203</v>
      </c>
      <c r="QYB20" s="314" t="s">
        <v>203</v>
      </c>
      <c r="QYC20" s="314" t="s">
        <v>203</v>
      </c>
      <c r="QYD20" s="314" t="s">
        <v>203</v>
      </c>
      <c r="QYE20" s="314" t="s">
        <v>203</v>
      </c>
      <c r="QYF20" s="314" t="s">
        <v>203</v>
      </c>
      <c r="QYG20" s="314" t="s">
        <v>203</v>
      </c>
      <c r="QYH20" s="314" t="s">
        <v>203</v>
      </c>
      <c r="QYI20" s="314" t="s">
        <v>203</v>
      </c>
      <c r="QYJ20" s="314" t="s">
        <v>203</v>
      </c>
      <c r="QYK20" s="314" t="s">
        <v>203</v>
      </c>
      <c r="QYL20" s="314" t="s">
        <v>203</v>
      </c>
      <c r="QYM20" s="314" t="s">
        <v>203</v>
      </c>
      <c r="QYN20" s="314" t="s">
        <v>203</v>
      </c>
      <c r="QYO20" s="314" t="s">
        <v>203</v>
      </c>
      <c r="QYP20" s="314" t="s">
        <v>203</v>
      </c>
      <c r="QYQ20" s="314" t="s">
        <v>203</v>
      </c>
      <c r="QYR20" s="314" t="s">
        <v>203</v>
      </c>
      <c r="QYS20" s="314" t="s">
        <v>203</v>
      </c>
      <c r="QYT20" s="314" t="s">
        <v>203</v>
      </c>
      <c r="QYU20" s="314" t="s">
        <v>203</v>
      </c>
      <c r="QYV20" s="314" t="s">
        <v>203</v>
      </c>
      <c r="QYW20" s="314" t="s">
        <v>203</v>
      </c>
      <c r="QYX20" s="314" t="s">
        <v>203</v>
      </c>
      <c r="QYY20" s="314" t="s">
        <v>203</v>
      </c>
      <c r="QYZ20" s="314" t="s">
        <v>203</v>
      </c>
      <c r="QZA20" s="314" t="s">
        <v>203</v>
      </c>
      <c r="QZB20" s="314" t="s">
        <v>203</v>
      </c>
      <c r="QZC20" s="314" t="s">
        <v>203</v>
      </c>
      <c r="QZD20" s="314" t="s">
        <v>203</v>
      </c>
      <c r="QZE20" s="314" t="s">
        <v>203</v>
      </c>
      <c r="QZF20" s="314" t="s">
        <v>203</v>
      </c>
      <c r="QZG20" s="314" t="s">
        <v>203</v>
      </c>
      <c r="QZH20" s="314" t="s">
        <v>203</v>
      </c>
      <c r="QZI20" s="314" t="s">
        <v>203</v>
      </c>
      <c r="QZJ20" s="314" t="s">
        <v>203</v>
      </c>
      <c r="QZK20" s="314" t="s">
        <v>203</v>
      </c>
      <c r="QZL20" s="314" t="s">
        <v>203</v>
      </c>
      <c r="QZM20" s="314" t="s">
        <v>203</v>
      </c>
      <c r="QZN20" s="314" t="s">
        <v>203</v>
      </c>
      <c r="QZO20" s="314" t="s">
        <v>203</v>
      </c>
      <c r="QZP20" s="314" t="s">
        <v>203</v>
      </c>
      <c r="QZQ20" s="314" t="s">
        <v>203</v>
      </c>
      <c r="QZR20" s="314" t="s">
        <v>203</v>
      </c>
      <c r="QZS20" s="314" t="s">
        <v>203</v>
      </c>
      <c r="QZT20" s="314" t="s">
        <v>203</v>
      </c>
      <c r="QZU20" s="314" t="s">
        <v>203</v>
      </c>
      <c r="QZV20" s="314" t="s">
        <v>203</v>
      </c>
      <c r="QZW20" s="314" t="s">
        <v>203</v>
      </c>
      <c r="QZX20" s="314" t="s">
        <v>203</v>
      </c>
      <c r="QZY20" s="314" t="s">
        <v>203</v>
      </c>
      <c r="QZZ20" s="314" t="s">
        <v>203</v>
      </c>
      <c r="RAA20" s="314" t="s">
        <v>203</v>
      </c>
      <c r="RAB20" s="314" t="s">
        <v>203</v>
      </c>
      <c r="RAC20" s="314" t="s">
        <v>203</v>
      </c>
      <c r="RAD20" s="314" t="s">
        <v>203</v>
      </c>
      <c r="RAE20" s="314" t="s">
        <v>203</v>
      </c>
      <c r="RAF20" s="314" t="s">
        <v>203</v>
      </c>
      <c r="RAG20" s="314" t="s">
        <v>203</v>
      </c>
      <c r="RAH20" s="314" t="s">
        <v>203</v>
      </c>
      <c r="RAI20" s="314" t="s">
        <v>203</v>
      </c>
      <c r="RAJ20" s="314" t="s">
        <v>203</v>
      </c>
      <c r="RAK20" s="314" t="s">
        <v>203</v>
      </c>
      <c r="RAL20" s="314" t="s">
        <v>203</v>
      </c>
      <c r="RAM20" s="314" t="s">
        <v>203</v>
      </c>
      <c r="RAN20" s="314" t="s">
        <v>203</v>
      </c>
      <c r="RAO20" s="314" t="s">
        <v>203</v>
      </c>
      <c r="RAP20" s="314" t="s">
        <v>203</v>
      </c>
      <c r="RAQ20" s="314" t="s">
        <v>203</v>
      </c>
      <c r="RAR20" s="314" t="s">
        <v>203</v>
      </c>
      <c r="RAS20" s="314" t="s">
        <v>203</v>
      </c>
      <c r="RAT20" s="314" t="s">
        <v>203</v>
      </c>
      <c r="RAU20" s="314" t="s">
        <v>203</v>
      </c>
      <c r="RAV20" s="314" t="s">
        <v>203</v>
      </c>
      <c r="RAW20" s="314" t="s">
        <v>203</v>
      </c>
      <c r="RAX20" s="314" t="s">
        <v>203</v>
      </c>
      <c r="RAY20" s="314" t="s">
        <v>203</v>
      </c>
      <c r="RAZ20" s="314" t="s">
        <v>203</v>
      </c>
      <c r="RBA20" s="314" t="s">
        <v>203</v>
      </c>
      <c r="RBB20" s="314" t="s">
        <v>203</v>
      </c>
      <c r="RBC20" s="314" t="s">
        <v>203</v>
      </c>
      <c r="RBD20" s="314" t="s">
        <v>203</v>
      </c>
      <c r="RBE20" s="314" t="s">
        <v>203</v>
      </c>
      <c r="RBF20" s="314" t="s">
        <v>203</v>
      </c>
      <c r="RBG20" s="314" t="s">
        <v>203</v>
      </c>
      <c r="RBH20" s="314" t="s">
        <v>203</v>
      </c>
      <c r="RBI20" s="314" t="s">
        <v>203</v>
      </c>
      <c r="RBJ20" s="314" t="s">
        <v>203</v>
      </c>
      <c r="RBK20" s="314" t="s">
        <v>203</v>
      </c>
      <c r="RBL20" s="314" t="s">
        <v>203</v>
      </c>
      <c r="RBM20" s="314" t="s">
        <v>203</v>
      </c>
      <c r="RBN20" s="314" t="s">
        <v>203</v>
      </c>
      <c r="RBO20" s="314" t="s">
        <v>203</v>
      </c>
      <c r="RBP20" s="314" t="s">
        <v>203</v>
      </c>
      <c r="RBQ20" s="314" t="s">
        <v>203</v>
      </c>
      <c r="RBR20" s="314" t="s">
        <v>203</v>
      </c>
      <c r="RBS20" s="314" t="s">
        <v>203</v>
      </c>
      <c r="RBT20" s="314" t="s">
        <v>203</v>
      </c>
      <c r="RBU20" s="314" t="s">
        <v>203</v>
      </c>
      <c r="RBV20" s="314" t="s">
        <v>203</v>
      </c>
      <c r="RBW20" s="314" t="s">
        <v>203</v>
      </c>
      <c r="RBX20" s="314" t="s">
        <v>203</v>
      </c>
      <c r="RBY20" s="314" t="s">
        <v>203</v>
      </c>
      <c r="RBZ20" s="314" t="s">
        <v>203</v>
      </c>
      <c r="RCA20" s="314" t="s">
        <v>203</v>
      </c>
      <c r="RCB20" s="314" t="s">
        <v>203</v>
      </c>
      <c r="RCC20" s="314" t="s">
        <v>203</v>
      </c>
      <c r="RCD20" s="314" t="s">
        <v>203</v>
      </c>
      <c r="RCE20" s="314" t="s">
        <v>203</v>
      </c>
      <c r="RCF20" s="314" t="s">
        <v>203</v>
      </c>
      <c r="RCG20" s="314" t="s">
        <v>203</v>
      </c>
      <c r="RCH20" s="314" t="s">
        <v>203</v>
      </c>
      <c r="RCI20" s="314" t="s">
        <v>203</v>
      </c>
      <c r="RCJ20" s="314" t="s">
        <v>203</v>
      </c>
      <c r="RCK20" s="314" t="s">
        <v>203</v>
      </c>
      <c r="RCL20" s="314" t="s">
        <v>203</v>
      </c>
      <c r="RCM20" s="314" t="s">
        <v>203</v>
      </c>
      <c r="RCN20" s="314" t="s">
        <v>203</v>
      </c>
      <c r="RCO20" s="314" t="s">
        <v>203</v>
      </c>
      <c r="RCP20" s="314" t="s">
        <v>203</v>
      </c>
      <c r="RCQ20" s="314" t="s">
        <v>203</v>
      </c>
      <c r="RCR20" s="314" t="s">
        <v>203</v>
      </c>
      <c r="RCS20" s="314" t="s">
        <v>203</v>
      </c>
      <c r="RCT20" s="314" t="s">
        <v>203</v>
      </c>
      <c r="RCU20" s="314" t="s">
        <v>203</v>
      </c>
      <c r="RCV20" s="314" t="s">
        <v>203</v>
      </c>
      <c r="RCW20" s="314" t="s">
        <v>203</v>
      </c>
      <c r="RCX20" s="314" t="s">
        <v>203</v>
      </c>
      <c r="RCY20" s="314" t="s">
        <v>203</v>
      </c>
      <c r="RCZ20" s="314" t="s">
        <v>203</v>
      </c>
      <c r="RDA20" s="314" t="s">
        <v>203</v>
      </c>
      <c r="RDB20" s="314" t="s">
        <v>203</v>
      </c>
      <c r="RDC20" s="314" t="s">
        <v>203</v>
      </c>
      <c r="RDD20" s="314" t="s">
        <v>203</v>
      </c>
      <c r="RDE20" s="314" t="s">
        <v>203</v>
      </c>
      <c r="RDF20" s="314" t="s">
        <v>203</v>
      </c>
      <c r="RDG20" s="314" t="s">
        <v>203</v>
      </c>
      <c r="RDH20" s="314" t="s">
        <v>203</v>
      </c>
      <c r="RDI20" s="314" t="s">
        <v>203</v>
      </c>
      <c r="RDJ20" s="314" t="s">
        <v>203</v>
      </c>
      <c r="RDK20" s="314" t="s">
        <v>203</v>
      </c>
      <c r="RDL20" s="314" t="s">
        <v>203</v>
      </c>
      <c r="RDM20" s="314" t="s">
        <v>203</v>
      </c>
      <c r="RDN20" s="314" t="s">
        <v>203</v>
      </c>
      <c r="RDO20" s="314" t="s">
        <v>203</v>
      </c>
      <c r="RDP20" s="314" t="s">
        <v>203</v>
      </c>
      <c r="RDQ20" s="314" t="s">
        <v>203</v>
      </c>
      <c r="RDR20" s="314" t="s">
        <v>203</v>
      </c>
      <c r="RDS20" s="314" t="s">
        <v>203</v>
      </c>
      <c r="RDT20" s="314" t="s">
        <v>203</v>
      </c>
      <c r="RDU20" s="314" t="s">
        <v>203</v>
      </c>
      <c r="RDV20" s="314" t="s">
        <v>203</v>
      </c>
      <c r="RDW20" s="314" t="s">
        <v>203</v>
      </c>
      <c r="RDX20" s="314" t="s">
        <v>203</v>
      </c>
      <c r="RDY20" s="314" t="s">
        <v>203</v>
      </c>
      <c r="RDZ20" s="314" t="s">
        <v>203</v>
      </c>
      <c r="REA20" s="314" t="s">
        <v>203</v>
      </c>
      <c r="REB20" s="314" t="s">
        <v>203</v>
      </c>
      <c r="REC20" s="314" t="s">
        <v>203</v>
      </c>
      <c r="RED20" s="314" t="s">
        <v>203</v>
      </c>
      <c r="REE20" s="314" t="s">
        <v>203</v>
      </c>
      <c r="REF20" s="314" t="s">
        <v>203</v>
      </c>
      <c r="REG20" s="314" t="s">
        <v>203</v>
      </c>
      <c r="REH20" s="314" t="s">
        <v>203</v>
      </c>
      <c r="REI20" s="314" t="s">
        <v>203</v>
      </c>
      <c r="REJ20" s="314" t="s">
        <v>203</v>
      </c>
      <c r="REK20" s="314" t="s">
        <v>203</v>
      </c>
      <c r="REL20" s="314" t="s">
        <v>203</v>
      </c>
      <c r="REM20" s="314" t="s">
        <v>203</v>
      </c>
      <c r="REN20" s="314" t="s">
        <v>203</v>
      </c>
      <c r="REO20" s="314" t="s">
        <v>203</v>
      </c>
      <c r="REP20" s="314" t="s">
        <v>203</v>
      </c>
      <c r="REQ20" s="314" t="s">
        <v>203</v>
      </c>
      <c r="RER20" s="314" t="s">
        <v>203</v>
      </c>
      <c r="RES20" s="314" t="s">
        <v>203</v>
      </c>
      <c r="RET20" s="314" t="s">
        <v>203</v>
      </c>
      <c r="REU20" s="314" t="s">
        <v>203</v>
      </c>
      <c r="REV20" s="314" t="s">
        <v>203</v>
      </c>
      <c r="REW20" s="314" t="s">
        <v>203</v>
      </c>
      <c r="REX20" s="314" t="s">
        <v>203</v>
      </c>
      <c r="REY20" s="314" t="s">
        <v>203</v>
      </c>
      <c r="REZ20" s="314" t="s">
        <v>203</v>
      </c>
      <c r="RFA20" s="314" t="s">
        <v>203</v>
      </c>
      <c r="RFB20" s="314" t="s">
        <v>203</v>
      </c>
      <c r="RFC20" s="314" t="s">
        <v>203</v>
      </c>
      <c r="RFD20" s="314" t="s">
        <v>203</v>
      </c>
      <c r="RFE20" s="314" t="s">
        <v>203</v>
      </c>
      <c r="RFF20" s="314" t="s">
        <v>203</v>
      </c>
      <c r="RFG20" s="314" t="s">
        <v>203</v>
      </c>
      <c r="RFH20" s="314" t="s">
        <v>203</v>
      </c>
      <c r="RFI20" s="314" t="s">
        <v>203</v>
      </c>
      <c r="RFJ20" s="314" t="s">
        <v>203</v>
      </c>
      <c r="RFK20" s="314" t="s">
        <v>203</v>
      </c>
      <c r="RFL20" s="314" t="s">
        <v>203</v>
      </c>
      <c r="RFM20" s="314" t="s">
        <v>203</v>
      </c>
      <c r="RFN20" s="314" t="s">
        <v>203</v>
      </c>
      <c r="RFO20" s="314" t="s">
        <v>203</v>
      </c>
      <c r="RFP20" s="314" t="s">
        <v>203</v>
      </c>
      <c r="RFQ20" s="314" t="s">
        <v>203</v>
      </c>
      <c r="RFR20" s="314" t="s">
        <v>203</v>
      </c>
      <c r="RFS20" s="314" t="s">
        <v>203</v>
      </c>
      <c r="RFT20" s="314" t="s">
        <v>203</v>
      </c>
      <c r="RFU20" s="314" t="s">
        <v>203</v>
      </c>
      <c r="RFV20" s="314" t="s">
        <v>203</v>
      </c>
      <c r="RFW20" s="314" t="s">
        <v>203</v>
      </c>
      <c r="RFX20" s="314" t="s">
        <v>203</v>
      </c>
      <c r="RFY20" s="314" t="s">
        <v>203</v>
      </c>
      <c r="RFZ20" s="314" t="s">
        <v>203</v>
      </c>
      <c r="RGA20" s="314" t="s">
        <v>203</v>
      </c>
      <c r="RGB20" s="314" t="s">
        <v>203</v>
      </c>
      <c r="RGC20" s="314" t="s">
        <v>203</v>
      </c>
      <c r="RGD20" s="314" t="s">
        <v>203</v>
      </c>
      <c r="RGE20" s="314" t="s">
        <v>203</v>
      </c>
      <c r="RGF20" s="314" t="s">
        <v>203</v>
      </c>
      <c r="RGG20" s="314" t="s">
        <v>203</v>
      </c>
      <c r="RGH20" s="314" t="s">
        <v>203</v>
      </c>
      <c r="RGI20" s="314" t="s">
        <v>203</v>
      </c>
      <c r="RGJ20" s="314" t="s">
        <v>203</v>
      </c>
      <c r="RGK20" s="314" t="s">
        <v>203</v>
      </c>
      <c r="RGL20" s="314" t="s">
        <v>203</v>
      </c>
      <c r="RGM20" s="314" t="s">
        <v>203</v>
      </c>
      <c r="RGN20" s="314" t="s">
        <v>203</v>
      </c>
      <c r="RGO20" s="314" t="s">
        <v>203</v>
      </c>
      <c r="RGP20" s="314" t="s">
        <v>203</v>
      </c>
      <c r="RGQ20" s="314" t="s">
        <v>203</v>
      </c>
      <c r="RGR20" s="314" t="s">
        <v>203</v>
      </c>
      <c r="RGS20" s="314" t="s">
        <v>203</v>
      </c>
      <c r="RGT20" s="314" t="s">
        <v>203</v>
      </c>
      <c r="RGU20" s="314" t="s">
        <v>203</v>
      </c>
      <c r="RGV20" s="314" t="s">
        <v>203</v>
      </c>
      <c r="RGW20" s="314" t="s">
        <v>203</v>
      </c>
      <c r="RGX20" s="314" t="s">
        <v>203</v>
      </c>
      <c r="RGY20" s="314" t="s">
        <v>203</v>
      </c>
      <c r="RGZ20" s="314" t="s">
        <v>203</v>
      </c>
      <c r="RHA20" s="314" t="s">
        <v>203</v>
      </c>
      <c r="RHB20" s="314" t="s">
        <v>203</v>
      </c>
      <c r="RHC20" s="314" t="s">
        <v>203</v>
      </c>
      <c r="RHD20" s="314" t="s">
        <v>203</v>
      </c>
      <c r="RHE20" s="314" t="s">
        <v>203</v>
      </c>
      <c r="RHF20" s="314" t="s">
        <v>203</v>
      </c>
      <c r="RHG20" s="314" t="s">
        <v>203</v>
      </c>
      <c r="RHH20" s="314" t="s">
        <v>203</v>
      </c>
      <c r="RHI20" s="314" t="s">
        <v>203</v>
      </c>
      <c r="RHJ20" s="314" t="s">
        <v>203</v>
      </c>
      <c r="RHK20" s="314" t="s">
        <v>203</v>
      </c>
      <c r="RHL20" s="314" t="s">
        <v>203</v>
      </c>
      <c r="RHM20" s="314" t="s">
        <v>203</v>
      </c>
      <c r="RHN20" s="314" t="s">
        <v>203</v>
      </c>
      <c r="RHO20" s="314" t="s">
        <v>203</v>
      </c>
      <c r="RHP20" s="314" t="s">
        <v>203</v>
      </c>
      <c r="RHQ20" s="314" t="s">
        <v>203</v>
      </c>
      <c r="RHR20" s="314" t="s">
        <v>203</v>
      </c>
      <c r="RHS20" s="314" t="s">
        <v>203</v>
      </c>
      <c r="RHT20" s="314" t="s">
        <v>203</v>
      </c>
      <c r="RHU20" s="314" t="s">
        <v>203</v>
      </c>
      <c r="RHV20" s="314" t="s">
        <v>203</v>
      </c>
      <c r="RHW20" s="314" t="s">
        <v>203</v>
      </c>
      <c r="RHX20" s="314" t="s">
        <v>203</v>
      </c>
      <c r="RHY20" s="314" t="s">
        <v>203</v>
      </c>
      <c r="RHZ20" s="314" t="s">
        <v>203</v>
      </c>
      <c r="RIA20" s="314" t="s">
        <v>203</v>
      </c>
      <c r="RIB20" s="314" t="s">
        <v>203</v>
      </c>
      <c r="RIC20" s="314" t="s">
        <v>203</v>
      </c>
      <c r="RID20" s="314" t="s">
        <v>203</v>
      </c>
      <c r="RIE20" s="314" t="s">
        <v>203</v>
      </c>
      <c r="RIF20" s="314" t="s">
        <v>203</v>
      </c>
      <c r="RIG20" s="314" t="s">
        <v>203</v>
      </c>
      <c r="RIH20" s="314" t="s">
        <v>203</v>
      </c>
      <c r="RII20" s="314" t="s">
        <v>203</v>
      </c>
      <c r="RIJ20" s="314" t="s">
        <v>203</v>
      </c>
      <c r="RIK20" s="314" t="s">
        <v>203</v>
      </c>
      <c r="RIL20" s="314" t="s">
        <v>203</v>
      </c>
      <c r="RIM20" s="314" t="s">
        <v>203</v>
      </c>
      <c r="RIN20" s="314" t="s">
        <v>203</v>
      </c>
      <c r="RIO20" s="314" t="s">
        <v>203</v>
      </c>
      <c r="RIP20" s="314" t="s">
        <v>203</v>
      </c>
      <c r="RIQ20" s="314" t="s">
        <v>203</v>
      </c>
      <c r="RIR20" s="314" t="s">
        <v>203</v>
      </c>
      <c r="RIS20" s="314" t="s">
        <v>203</v>
      </c>
      <c r="RIT20" s="314" t="s">
        <v>203</v>
      </c>
      <c r="RIU20" s="314" t="s">
        <v>203</v>
      </c>
      <c r="RIV20" s="314" t="s">
        <v>203</v>
      </c>
      <c r="RIW20" s="314" t="s">
        <v>203</v>
      </c>
      <c r="RIX20" s="314" t="s">
        <v>203</v>
      </c>
      <c r="RIY20" s="314" t="s">
        <v>203</v>
      </c>
      <c r="RIZ20" s="314" t="s">
        <v>203</v>
      </c>
      <c r="RJA20" s="314" t="s">
        <v>203</v>
      </c>
      <c r="RJB20" s="314" t="s">
        <v>203</v>
      </c>
      <c r="RJC20" s="314" t="s">
        <v>203</v>
      </c>
      <c r="RJD20" s="314" t="s">
        <v>203</v>
      </c>
      <c r="RJE20" s="314" t="s">
        <v>203</v>
      </c>
      <c r="RJF20" s="314" t="s">
        <v>203</v>
      </c>
      <c r="RJG20" s="314" t="s">
        <v>203</v>
      </c>
      <c r="RJH20" s="314" t="s">
        <v>203</v>
      </c>
      <c r="RJI20" s="314" t="s">
        <v>203</v>
      </c>
      <c r="RJJ20" s="314" t="s">
        <v>203</v>
      </c>
      <c r="RJK20" s="314" t="s">
        <v>203</v>
      </c>
      <c r="RJL20" s="314" t="s">
        <v>203</v>
      </c>
      <c r="RJM20" s="314" t="s">
        <v>203</v>
      </c>
      <c r="RJN20" s="314" t="s">
        <v>203</v>
      </c>
      <c r="RJO20" s="314" t="s">
        <v>203</v>
      </c>
      <c r="RJP20" s="314" t="s">
        <v>203</v>
      </c>
      <c r="RJQ20" s="314" t="s">
        <v>203</v>
      </c>
      <c r="RJR20" s="314" t="s">
        <v>203</v>
      </c>
      <c r="RJS20" s="314" t="s">
        <v>203</v>
      </c>
      <c r="RJT20" s="314" t="s">
        <v>203</v>
      </c>
      <c r="RJU20" s="314" t="s">
        <v>203</v>
      </c>
      <c r="RJV20" s="314" t="s">
        <v>203</v>
      </c>
      <c r="RJW20" s="314" t="s">
        <v>203</v>
      </c>
      <c r="RJX20" s="314" t="s">
        <v>203</v>
      </c>
      <c r="RJY20" s="314" t="s">
        <v>203</v>
      </c>
      <c r="RJZ20" s="314" t="s">
        <v>203</v>
      </c>
      <c r="RKA20" s="314" t="s">
        <v>203</v>
      </c>
      <c r="RKB20" s="314" t="s">
        <v>203</v>
      </c>
      <c r="RKC20" s="314" t="s">
        <v>203</v>
      </c>
      <c r="RKD20" s="314" t="s">
        <v>203</v>
      </c>
      <c r="RKE20" s="314" t="s">
        <v>203</v>
      </c>
      <c r="RKF20" s="314" t="s">
        <v>203</v>
      </c>
      <c r="RKG20" s="314" t="s">
        <v>203</v>
      </c>
      <c r="RKH20" s="314" t="s">
        <v>203</v>
      </c>
      <c r="RKI20" s="314" t="s">
        <v>203</v>
      </c>
      <c r="RKJ20" s="314" t="s">
        <v>203</v>
      </c>
      <c r="RKK20" s="314" t="s">
        <v>203</v>
      </c>
      <c r="RKL20" s="314" t="s">
        <v>203</v>
      </c>
      <c r="RKM20" s="314" t="s">
        <v>203</v>
      </c>
      <c r="RKN20" s="314" t="s">
        <v>203</v>
      </c>
      <c r="RKO20" s="314" t="s">
        <v>203</v>
      </c>
      <c r="RKP20" s="314" t="s">
        <v>203</v>
      </c>
      <c r="RKQ20" s="314" t="s">
        <v>203</v>
      </c>
      <c r="RKR20" s="314" t="s">
        <v>203</v>
      </c>
      <c r="RKS20" s="314" t="s">
        <v>203</v>
      </c>
      <c r="RKT20" s="314" t="s">
        <v>203</v>
      </c>
      <c r="RKU20" s="314" t="s">
        <v>203</v>
      </c>
      <c r="RKV20" s="314" t="s">
        <v>203</v>
      </c>
      <c r="RKW20" s="314" t="s">
        <v>203</v>
      </c>
      <c r="RKX20" s="314" t="s">
        <v>203</v>
      </c>
      <c r="RKY20" s="314" t="s">
        <v>203</v>
      </c>
      <c r="RKZ20" s="314" t="s">
        <v>203</v>
      </c>
      <c r="RLA20" s="314" t="s">
        <v>203</v>
      </c>
      <c r="RLB20" s="314" t="s">
        <v>203</v>
      </c>
      <c r="RLC20" s="314" t="s">
        <v>203</v>
      </c>
      <c r="RLD20" s="314" t="s">
        <v>203</v>
      </c>
      <c r="RLE20" s="314" t="s">
        <v>203</v>
      </c>
      <c r="RLF20" s="314" t="s">
        <v>203</v>
      </c>
      <c r="RLG20" s="314" t="s">
        <v>203</v>
      </c>
      <c r="RLH20" s="314" t="s">
        <v>203</v>
      </c>
      <c r="RLI20" s="314" t="s">
        <v>203</v>
      </c>
      <c r="RLJ20" s="314" t="s">
        <v>203</v>
      </c>
      <c r="RLK20" s="314" t="s">
        <v>203</v>
      </c>
      <c r="RLL20" s="314" t="s">
        <v>203</v>
      </c>
      <c r="RLM20" s="314" t="s">
        <v>203</v>
      </c>
      <c r="RLN20" s="314" t="s">
        <v>203</v>
      </c>
      <c r="RLO20" s="314" t="s">
        <v>203</v>
      </c>
      <c r="RLP20" s="314" t="s">
        <v>203</v>
      </c>
      <c r="RLQ20" s="314" t="s">
        <v>203</v>
      </c>
      <c r="RLR20" s="314" t="s">
        <v>203</v>
      </c>
      <c r="RLS20" s="314" t="s">
        <v>203</v>
      </c>
      <c r="RLT20" s="314" t="s">
        <v>203</v>
      </c>
      <c r="RLU20" s="314" t="s">
        <v>203</v>
      </c>
      <c r="RLV20" s="314" t="s">
        <v>203</v>
      </c>
      <c r="RLW20" s="314" t="s">
        <v>203</v>
      </c>
      <c r="RLX20" s="314" t="s">
        <v>203</v>
      </c>
      <c r="RLY20" s="314" t="s">
        <v>203</v>
      </c>
      <c r="RLZ20" s="314" t="s">
        <v>203</v>
      </c>
      <c r="RMA20" s="314" t="s">
        <v>203</v>
      </c>
      <c r="RMB20" s="314" t="s">
        <v>203</v>
      </c>
      <c r="RMC20" s="314" t="s">
        <v>203</v>
      </c>
      <c r="RMD20" s="314" t="s">
        <v>203</v>
      </c>
      <c r="RME20" s="314" t="s">
        <v>203</v>
      </c>
      <c r="RMF20" s="314" t="s">
        <v>203</v>
      </c>
      <c r="RMG20" s="314" t="s">
        <v>203</v>
      </c>
      <c r="RMH20" s="314" t="s">
        <v>203</v>
      </c>
      <c r="RMI20" s="314" t="s">
        <v>203</v>
      </c>
      <c r="RMJ20" s="314" t="s">
        <v>203</v>
      </c>
      <c r="RMK20" s="314" t="s">
        <v>203</v>
      </c>
      <c r="RML20" s="314" t="s">
        <v>203</v>
      </c>
      <c r="RMM20" s="314" t="s">
        <v>203</v>
      </c>
      <c r="RMN20" s="314" t="s">
        <v>203</v>
      </c>
      <c r="RMO20" s="314" t="s">
        <v>203</v>
      </c>
      <c r="RMP20" s="314" t="s">
        <v>203</v>
      </c>
      <c r="RMQ20" s="314" t="s">
        <v>203</v>
      </c>
      <c r="RMR20" s="314" t="s">
        <v>203</v>
      </c>
      <c r="RMS20" s="314" t="s">
        <v>203</v>
      </c>
      <c r="RMT20" s="314" t="s">
        <v>203</v>
      </c>
      <c r="RMU20" s="314" t="s">
        <v>203</v>
      </c>
      <c r="RMV20" s="314" t="s">
        <v>203</v>
      </c>
      <c r="RMW20" s="314" t="s">
        <v>203</v>
      </c>
      <c r="RMX20" s="314" t="s">
        <v>203</v>
      </c>
      <c r="RMY20" s="314" t="s">
        <v>203</v>
      </c>
      <c r="RMZ20" s="314" t="s">
        <v>203</v>
      </c>
      <c r="RNA20" s="314" t="s">
        <v>203</v>
      </c>
      <c r="RNB20" s="314" t="s">
        <v>203</v>
      </c>
      <c r="RNC20" s="314" t="s">
        <v>203</v>
      </c>
      <c r="RND20" s="314" t="s">
        <v>203</v>
      </c>
      <c r="RNE20" s="314" t="s">
        <v>203</v>
      </c>
      <c r="RNF20" s="314" t="s">
        <v>203</v>
      </c>
      <c r="RNG20" s="314" t="s">
        <v>203</v>
      </c>
      <c r="RNH20" s="314" t="s">
        <v>203</v>
      </c>
      <c r="RNI20" s="314" t="s">
        <v>203</v>
      </c>
      <c r="RNJ20" s="314" t="s">
        <v>203</v>
      </c>
      <c r="RNK20" s="314" t="s">
        <v>203</v>
      </c>
      <c r="RNL20" s="314" t="s">
        <v>203</v>
      </c>
      <c r="RNM20" s="314" t="s">
        <v>203</v>
      </c>
      <c r="RNN20" s="314" t="s">
        <v>203</v>
      </c>
      <c r="RNO20" s="314" t="s">
        <v>203</v>
      </c>
      <c r="RNP20" s="314" t="s">
        <v>203</v>
      </c>
      <c r="RNQ20" s="314" t="s">
        <v>203</v>
      </c>
      <c r="RNR20" s="314" t="s">
        <v>203</v>
      </c>
      <c r="RNS20" s="314" t="s">
        <v>203</v>
      </c>
      <c r="RNT20" s="314" t="s">
        <v>203</v>
      </c>
      <c r="RNU20" s="314" t="s">
        <v>203</v>
      </c>
      <c r="RNV20" s="314" t="s">
        <v>203</v>
      </c>
      <c r="RNW20" s="314" t="s">
        <v>203</v>
      </c>
      <c r="RNX20" s="314" t="s">
        <v>203</v>
      </c>
      <c r="RNY20" s="314" t="s">
        <v>203</v>
      </c>
      <c r="RNZ20" s="314" t="s">
        <v>203</v>
      </c>
      <c r="ROA20" s="314" t="s">
        <v>203</v>
      </c>
      <c r="ROB20" s="314" t="s">
        <v>203</v>
      </c>
      <c r="ROC20" s="314" t="s">
        <v>203</v>
      </c>
      <c r="ROD20" s="314" t="s">
        <v>203</v>
      </c>
      <c r="ROE20" s="314" t="s">
        <v>203</v>
      </c>
      <c r="ROF20" s="314" t="s">
        <v>203</v>
      </c>
      <c r="ROG20" s="314" t="s">
        <v>203</v>
      </c>
      <c r="ROH20" s="314" t="s">
        <v>203</v>
      </c>
      <c r="ROI20" s="314" t="s">
        <v>203</v>
      </c>
      <c r="ROJ20" s="314" t="s">
        <v>203</v>
      </c>
      <c r="ROK20" s="314" t="s">
        <v>203</v>
      </c>
      <c r="ROL20" s="314" t="s">
        <v>203</v>
      </c>
      <c r="ROM20" s="314" t="s">
        <v>203</v>
      </c>
      <c r="RON20" s="314" t="s">
        <v>203</v>
      </c>
      <c r="ROO20" s="314" t="s">
        <v>203</v>
      </c>
      <c r="ROP20" s="314" t="s">
        <v>203</v>
      </c>
      <c r="ROQ20" s="314" t="s">
        <v>203</v>
      </c>
      <c r="ROR20" s="314" t="s">
        <v>203</v>
      </c>
      <c r="ROS20" s="314" t="s">
        <v>203</v>
      </c>
      <c r="ROT20" s="314" t="s">
        <v>203</v>
      </c>
      <c r="ROU20" s="314" t="s">
        <v>203</v>
      </c>
      <c r="ROV20" s="314" t="s">
        <v>203</v>
      </c>
      <c r="ROW20" s="314" t="s">
        <v>203</v>
      </c>
      <c r="ROX20" s="314" t="s">
        <v>203</v>
      </c>
      <c r="ROY20" s="314" t="s">
        <v>203</v>
      </c>
      <c r="ROZ20" s="314" t="s">
        <v>203</v>
      </c>
      <c r="RPA20" s="314" t="s">
        <v>203</v>
      </c>
      <c r="RPB20" s="314" t="s">
        <v>203</v>
      </c>
      <c r="RPC20" s="314" t="s">
        <v>203</v>
      </c>
      <c r="RPD20" s="314" t="s">
        <v>203</v>
      </c>
      <c r="RPE20" s="314" t="s">
        <v>203</v>
      </c>
      <c r="RPF20" s="314" t="s">
        <v>203</v>
      </c>
      <c r="RPG20" s="314" t="s">
        <v>203</v>
      </c>
      <c r="RPH20" s="314" t="s">
        <v>203</v>
      </c>
      <c r="RPI20" s="314" t="s">
        <v>203</v>
      </c>
      <c r="RPJ20" s="314" t="s">
        <v>203</v>
      </c>
      <c r="RPK20" s="314" t="s">
        <v>203</v>
      </c>
      <c r="RPL20" s="314" t="s">
        <v>203</v>
      </c>
      <c r="RPM20" s="314" t="s">
        <v>203</v>
      </c>
      <c r="RPN20" s="314" t="s">
        <v>203</v>
      </c>
      <c r="RPO20" s="314" t="s">
        <v>203</v>
      </c>
      <c r="RPP20" s="314" t="s">
        <v>203</v>
      </c>
      <c r="RPQ20" s="314" t="s">
        <v>203</v>
      </c>
      <c r="RPR20" s="314" t="s">
        <v>203</v>
      </c>
      <c r="RPS20" s="314" t="s">
        <v>203</v>
      </c>
      <c r="RPT20" s="314" t="s">
        <v>203</v>
      </c>
      <c r="RPU20" s="314" t="s">
        <v>203</v>
      </c>
      <c r="RPV20" s="314" t="s">
        <v>203</v>
      </c>
      <c r="RPW20" s="314" t="s">
        <v>203</v>
      </c>
      <c r="RPX20" s="314" t="s">
        <v>203</v>
      </c>
      <c r="RPY20" s="314" t="s">
        <v>203</v>
      </c>
      <c r="RPZ20" s="314" t="s">
        <v>203</v>
      </c>
      <c r="RQA20" s="314" t="s">
        <v>203</v>
      </c>
      <c r="RQB20" s="314" t="s">
        <v>203</v>
      </c>
      <c r="RQC20" s="314" t="s">
        <v>203</v>
      </c>
      <c r="RQD20" s="314" t="s">
        <v>203</v>
      </c>
      <c r="RQE20" s="314" t="s">
        <v>203</v>
      </c>
      <c r="RQF20" s="314" t="s">
        <v>203</v>
      </c>
      <c r="RQG20" s="314" t="s">
        <v>203</v>
      </c>
      <c r="RQH20" s="314" t="s">
        <v>203</v>
      </c>
      <c r="RQI20" s="314" t="s">
        <v>203</v>
      </c>
      <c r="RQJ20" s="314" t="s">
        <v>203</v>
      </c>
      <c r="RQK20" s="314" t="s">
        <v>203</v>
      </c>
      <c r="RQL20" s="314" t="s">
        <v>203</v>
      </c>
      <c r="RQM20" s="314" t="s">
        <v>203</v>
      </c>
      <c r="RQN20" s="314" t="s">
        <v>203</v>
      </c>
      <c r="RQO20" s="314" t="s">
        <v>203</v>
      </c>
      <c r="RQP20" s="314" t="s">
        <v>203</v>
      </c>
      <c r="RQQ20" s="314" t="s">
        <v>203</v>
      </c>
      <c r="RQR20" s="314" t="s">
        <v>203</v>
      </c>
      <c r="RQS20" s="314" t="s">
        <v>203</v>
      </c>
      <c r="RQT20" s="314" t="s">
        <v>203</v>
      </c>
      <c r="RQU20" s="314" t="s">
        <v>203</v>
      </c>
      <c r="RQV20" s="314" t="s">
        <v>203</v>
      </c>
      <c r="RQW20" s="314" t="s">
        <v>203</v>
      </c>
      <c r="RQX20" s="314" t="s">
        <v>203</v>
      </c>
      <c r="RQY20" s="314" t="s">
        <v>203</v>
      </c>
      <c r="RQZ20" s="314" t="s">
        <v>203</v>
      </c>
      <c r="RRA20" s="314" t="s">
        <v>203</v>
      </c>
      <c r="RRB20" s="314" t="s">
        <v>203</v>
      </c>
      <c r="RRC20" s="314" t="s">
        <v>203</v>
      </c>
      <c r="RRD20" s="314" t="s">
        <v>203</v>
      </c>
      <c r="RRE20" s="314" t="s">
        <v>203</v>
      </c>
      <c r="RRF20" s="314" t="s">
        <v>203</v>
      </c>
      <c r="RRG20" s="314" t="s">
        <v>203</v>
      </c>
      <c r="RRH20" s="314" t="s">
        <v>203</v>
      </c>
      <c r="RRI20" s="314" t="s">
        <v>203</v>
      </c>
      <c r="RRJ20" s="314" t="s">
        <v>203</v>
      </c>
      <c r="RRK20" s="314" t="s">
        <v>203</v>
      </c>
      <c r="RRL20" s="314" t="s">
        <v>203</v>
      </c>
      <c r="RRM20" s="314" t="s">
        <v>203</v>
      </c>
      <c r="RRN20" s="314" t="s">
        <v>203</v>
      </c>
      <c r="RRO20" s="314" t="s">
        <v>203</v>
      </c>
      <c r="RRP20" s="314" t="s">
        <v>203</v>
      </c>
      <c r="RRQ20" s="314" t="s">
        <v>203</v>
      </c>
      <c r="RRR20" s="314" t="s">
        <v>203</v>
      </c>
      <c r="RRS20" s="314" t="s">
        <v>203</v>
      </c>
      <c r="RRT20" s="314" t="s">
        <v>203</v>
      </c>
      <c r="RRU20" s="314" t="s">
        <v>203</v>
      </c>
      <c r="RRV20" s="314" t="s">
        <v>203</v>
      </c>
      <c r="RRW20" s="314" t="s">
        <v>203</v>
      </c>
      <c r="RRX20" s="314" t="s">
        <v>203</v>
      </c>
      <c r="RRY20" s="314" t="s">
        <v>203</v>
      </c>
      <c r="RRZ20" s="314" t="s">
        <v>203</v>
      </c>
      <c r="RSA20" s="314" t="s">
        <v>203</v>
      </c>
      <c r="RSB20" s="314" t="s">
        <v>203</v>
      </c>
      <c r="RSC20" s="314" t="s">
        <v>203</v>
      </c>
      <c r="RSD20" s="314" t="s">
        <v>203</v>
      </c>
      <c r="RSE20" s="314" t="s">
        <v>203</v>
      </c>
      <c r="RSF20" s="314" t="s">
        <v>203</v>
      </c>
      <c r="RSG20" s="314" t="s">
        <v>203</v>
      </c>
      <c r="RSH20" s="314" t="s">
        <v>203</v>
      </c>
      <c r="RSI20" s="314" t="s">
        <v>203</v>
      </c>
      <c r="RSJ20" s="314" t="s">
        <v>203</v>
      </c>
      <c r="RSK20" s="314" t="s">
        <v>203</v>
      </c>
      <c r="RSL20" s="314" t="s">
        <v>203</v>
      </c>
      <c r="RSM20" s="314" t="s">
        <v>203</v>
      </c>
      <c r="RSN20" s="314" t="s">
        <v>203</v>
      </c>
      <c r="RSO20" s="314" t="s">
        <v>203</v>
      </c>
      <c r="RSP20" s="314" t="s">
        <v>203</v>
      </c>
      <c r="RSQ20" s="314" t="s">
        <v>203</v>
      </c>
      <c r="RSR20" s="314" t="s">
        <v>203</v>
      </c>
      <c r="RSS20" s="314" t="s">
        <v>203</v>
      </c>
      <c r="RST20" s="314" t="s">
        <v>203</v>
      </c>
      <c r="RSU20" s="314" t="s">
        <v>203</v>
      </c>
      <c r="RSV20" s="314" t="s">
        <v>203</v>
      </c>
      <c r="RSW20" s="314" t="s">
        <v>203</v>
      </c>
      <c r="RSX20" s="314" t="s">
        <v>203</v>
      </c>
      <c r="RSY20" s="314" t="s">
        <v>203</v>
      </c>
      <c r="RSZ20" s="314" t="s">
        <v>203</v>
      </c>
      <c r="RTA20" s="314" t="s">
        <v>203</v>
      </c>
      <c r="RTB20" s="314" t="s">
        <v>203</v>
      </c>
      <c r="RTC20" s="314" t="s">
        <v>203</v>
      </c>
      <c r="RTD20" s="314" t="s">
        <v>203</v>
      </c>
      <c r="RTE20" s="314" t="s">
        <v>203</v>
      </c>
      <c r="RTF20" s="314" t="s">
        <v>203</v>
      </c>
      <c r="RTG20" s="314" t="s">
        <v>203</v>
      </c>
      <c r="RTH20" s="314" t="s">
        <v>203</v>
      </c>
      <c r="RTI20" s="314" t="s">
        <v>203</v>
      </c>
      <c r="RTJ20" s="314" t="s">
        <v>203</v>
      </c>
      <c r="RTK20" s="314" t="s">
        <v>203</v>
      </c>
      <c r="RTL20" s="314" t="s">
        <v>203</v>
      </c>
      <c r="RTM20" s="314" t="s">
        <v>203</v>
      </c>
      <c r="RTN20" s="314" t="s">
        <v>203</v>
      </c>
      <c r="RTO20" s="314" t="s">
        <v>203</v>
      </c>
      <c r="RTP20" s="314" t="s">
        <v>203</v>
      </c>
      <c r="RTQ20" s="314" t="s">
        <v>203</v>
      </c>
      <c r="RTR20" s="314" t="s">
        <v>203</v>
      </c>
      <c r="RTS20" s="314" t="s">
        <v>203</v>
      </c>
      <c r="RTT20" s="314" t="s">
        <v>203</v>
      </c>
      <c r="RTU20" s="314" t="s">
        <v>203</v>
      </c>
      <c r="RTV20" s="314" t="s">
        <v>203</v>
      </c>
      <c r="RTW20" s="314" t="s">
        <v>203</v>
      </c>
      <c r="RTX20" s="314" t="s">
        <v>203</v>
      </c>
      <c r="RTY20" s="314" t="s">
        <v>203</v>
      </c>
      <c r="RTZ20" s="314" t="s">
        <v>203</v>
      </c>
      <c r="RUA20" s="314" t="s">
        <v>203</v>
      </c>
      <c r="RUB20" s="314" t="s">
        <v>203</v>
      </c>
      <c r="RUC20" s="314" t="s">
        <v>203</v>
      </c>
      <c r="RUD20" s="314" t="s">
        <v>203</v>
      </c>
      <c r="RUE20" s="314" t="s">
        <v>203</v>
      </c>
      <c r="RUF20" s="314" t="s">
        <v>203</v>
      </c>
      <c r="RUG20" s="314" t="s">
        <v>203</v>
      </c>
      <c r="RUH20" s="314" t="s">
        <v>203</v>
      </c>
      <c r="RUI20" s="314" t="s">
        <v>203</v>
      </c>
      <c r="RUJ20" s="314" t="s">
        <v>203</v>
      </c>
      <c r="RUK20" s="314" t="s">
        <v>203</v>
      </c>
      <c r="RUL20" s="314" t="s">
        <v>203</v>
      </c>
      <c r="RUM20" s="314" t="s">
        <v>203</v>
      </c>
      <c r="RUN20" s="314" t="s">
        <v>203</v>
      </c>
      <c r="RUO20" s="314" t="s">
        <v>203</v>
      </c>
      <c r="RUP20" s="314" t="s">
        <v>203</v>
      </c>
      <c r="RUQ20" s="314" t="s">
        <v>203</v>
      </c>
      <c r="RUR20" s="314" t="s">
        <v>203</v>
      </c>
      <c r="RUS20" s="314" t="s">
        <v>203</v>
      </c>
      <c r="RUT20" s="314" t="s">
        <v>203</v>
      </c>
      <c r="RUU20" s="314" t="s">
        <v>203</v>
      </c>
      <c r="RUV20" s="314" t="s">
        <v>203</v>
      </c>
      <c r="RUW20" s="314" t="s">
        <v>203</v>
      </c>
      <c r="RUX20" s="314" t="s">
        <v>203</v>
      </c>
      <c r="RUY20" s="314" t="s">
        <v>203</v>
      </c>
      <c r="RUZ20" s="314" t="s">
        <v>203</v>
      </c>
      <c r="RVA20" s="314" t="s">
        <v>203</v>
      </c>
      <c r="RVB20" s="314" t="s">
        <v>203</v>
      </c>
      <c r="RVC20" s="314" t="s">
        <v>203</v>
      </c>
      <c r="RVD20" s="314" t="s">
        <v>203</v>
      </c>
      <c r="RVE20" s="314" t="s">
        <v>203</v>
      </c>
      <c r="RVF20" s="314" t="s">
        <v>203</v>
      </c>
      <c r="RVG20" s="314" t="s">
        <v>203</v>
      </c>
      <c r="RVH20" s="314" t="s">
        <v>203</v>
      </c>
      <c r="RVI20" s="314" t="s">
        <v>203</v>
      </c>
      <c r="RVJ20" s="314" t="s">
        <v>203</v>
      </c>
      <c r="RVK20" s="314" t="s">
        <v>203</v>
      </c>
      <c r="RVL20" s="314" t="s">
        <v>203</v>
      </c>
      <c r="RVM20" s="314" t="s">
        <v>203</v>
      </c>
      <c r="RVN20" s="314" t="s">
        <v>203</v>
      </c>
      <c r="RVO20" s="314" t="s">
        <v>203</v>
      </c>
      <c r="RVP20" s="314" t="s">
        <v>203</v>
      </c>
      <c r="RVQ20" s="314" t="s">
        <v>203</v>
      </c>
      <c r="RVR20" s="314" t="s">
        <v>203</v>
      </c>
      <c r="RVS20" s="314" t="s">
        <v>203</v>
      </c>
      <c r="RVT20" s="314" t="s">
        <v>203</v>
      </c>
      <c r="RVU20" s="314" t="s">
        <v>203</v>
      </c>
      <c r="RVV20" s="314" t="s">
        <v>203</v>
      </c>
      <c r="RVW20" s="314" t="s">
        <v>203</v>
      </c>
      <c r="RVX20" s="314" t="s">
        <v>203</v>
      </c>
      <c r="RVY20" s="314" t="s">
        <v>203</v>
      </c>
      <c r="RVZ20" s="314" t="s">
        <v>203</v>
      </c>
      <c r="RWA20" s="314" t="s">
        <v>203</v>
      </c>
      <c r="RWB20" s="314" t="s">
        <v>203</v>
      </c>
      <c r="RWC20" s="314" t="s">
        <v>203</v>
      </c>
      <c r="RWD20" s="314" t="s">
        <v>203</v>
      </c>
      <c r="RWE20" s="314" t="s">
        <v>203</v>
      </c>
      <c r="RWF20" s="314" t="s">
        <v>203</v>
      </c>
      <c r="RWG20" s="314" t="s">
        <v>203</v>
      </c>
      <c r="RWH20" s="314" t="s">
        <v>203</v>
      </c>
      <c r="RWI20" s="314" t="s">
        <v>203</v>
      </c>
      <c r="RWJ20" s="314" t="s">
        <v>203</v>
      </c>
      <c r="RWK20" s="314" t="s">
        <v>203</v>
      </c>
      <c r="RWL20" s="314" t="s">
        <v>203</v>
      </c>
      <c r="RWM20" s="314" t="s">
        <v>203</v>
      </c>
      <c r="RWN20" s="314" t="s">
        <v>203</v>
      </c>
      <c r="RWO20" s="314" t="s">
        <v>203</v>
      </c>
      <c r="RWP20" s="314" t="s">
        <v>203</v>
      </c>
      <c r="RWQ20" s="314" t="s">
        <v>203</v>
      </c>
      <c r="RWR20" s="314" t="s">
        <v>203</v>
      </c>
      <c r="RWS20" s="314" t="s">
        <v>203</v>
      </c>
      <c r="RWT20" s="314" t="s">
        <v>203</v>
      </c>
      <c r="RWU20" s="314" t="s">
        <v>203</v>
      </c>
      <c r="RWV20" s="314" t="s">
        <v>203</v>
      </c>
      <c r="RWW20" s="314" t="s">
        <v>203</v>
      </c>
      <c r="RWX20" s="314" t="s">
        <v>203</v>
      </c>
      <c r="RWY20" s="314" t="s">
        <v>203</v>
      </c>
      <c r="RWZ20" s="314" t="s">
        <v>203</v>
      </c>
      <c r="RXA20" s="314" t="s">
        <v>203</v>
      </c>
      <c r="RXB20" s="314" t="s">
        <v>203</v>
      </c>
      <c r="RXC20" s="314" t="s">
        <v>203</v>
      </c>
      <c r="RXD20" s="314" t="s">
        <v>203</v>
      </c>
      <c r="RXE20" s="314" t="s">
        <v>203</v>
      </c>
      <c r="RXF20" s="314" t="s">
        <v>203</v>
      </c>
      <c r="RXG20" s="314" t="s">
        <v>203</v>
      </c>
      <c r="RXH20" s="314" t="s">
        <v>203</v>
      </c>
      <c r="RXI20" s="314" t="s">
        <v>203</v>
      </c>
      <c r="RXJ20" s="314" t="s">
        <v>203</v>
      </c>
      <c r="RXK20" s="314" t="s">
        <v>203</v>
      </c>
      <c r="RXL20" s="314" t="s">
        <v>203</v>
      </c>
      <c r="RXM20" s="314" t="s">
        <v>203</v>
      </c>
      <c r="RXN20" s="314" t="s">
        <v>203</v>
      </c>
      <c r="RXO20" s="314" t="s">
        <v>203</v>
      </c>
      <c r="RXP20" s="314" t="s">
        <v>203</v>
      </c>
      <c r="RXQ20" s="314" t="s">
        <v>203</v>
      </c>
      <c r="RXR20" s="314" t="s">
        <v>203</v>
      </c>
      <c r="RXS20" s="314" t="s">
        <v>203</v>
      </c>
      <c r="RXT20" s="314" t="s">
        <v>203</v>
      </c>
      <c r="RXU20" s="314" t="s">
        <v>203</v>
      </c>
      <c r="RXV20" s="314" t="s">
        <v>203</v>
      </c>
      <c r="RXW20" s="314" t="s">
        <v>203</v>
      </c>
      <c r="RXX20" s="314" t="s">
        <v>203</v>
      </c>
      <c r="RXY20" s="314" t="s">
        <v>203</v>
      </c>
      <c r="RXZ20" s="314" t="s">
        <v>203</v>
      </c>
      <c r="RYA20" s="314" t="s">
        <v>203</v>
      </c>
      <c r="RYB20" s="314" t="s">
        <v>203</v>
      </c>
      <c r="RYC20" s="314" t="s">
        <v>203</v>
      </c>
      <c r="RYD20" s="314" t="s">
        <v>203</v>
      </c>
      <c r="RYE20" s="314" t="s">
        <v>203</v>
      </c>
      <c r="RYF20" s="314" t="s">
        <v>203</v>
      </c>
      <c r="RYG20" s="314" t="s">
        <v>203</v>
      </c>
      <c r="RYH20" s="314" t="s">
        <v>203</v>
      </c>
      <c r="RYI20" s="314" t="s">
        <v>203</v>
      </c>
      <c r="RYJ20" s="314" t="s">
        <v>203</v>
      </c>
      <c r="RYK20" s="314" t="s">
        <v>203</v>
      </c>
      <c r="RYL20" s="314" t="s">
        <v>203</v>
      </c>
      <c r="RYM20" s="314" t="s">
        <v>203</v>
      </c>
      <c r="RYN20" s="314" t="s">
        <v>203</v>
      </c>
      <c r="RYO20" s="314" t="s">
        <v>203</v>
      </c>
      <c r="RYP20" s="314" t="s">
        <v>203</v>
      </c>
      <c r="RYQ20" s="314" t="s">
        <v>203</v>
      </c>
      <c r="RYR20" s="314" t="s">
        <v>203</v>
      </c>
      <c r="RYS20" s="314" t="s">
        <v>203</v>
      </c>
      <c r="RYT20" s="314" t="s">
        <v>203</v>
      </c>
      <c r="RYU20" s="314" t="s">
        <v>203</v>
      </c>
      <c r="RYV20" s="314" t="s">
        <v>203</v>
      </c>
      <c r="RYW20" s="314" t="s">
        <v>203</v>
      </c>
      <c r="RYX20" s="314" t="s">
        <v>203</v>
      </c>
      <c r="RYY20" s="314" t="s">
        <v>203</v>
      </c>
      <c r="RYZ20" s="314" t="s">
        <v>203</v>
      </c>
      <c r="RZA20" s="314" t="s">
        <v>203</v>
      </c>
      <c r="RZB20" s="314" t="s">
        <v>203</v>
      </c>
      <c r="RZC20" s="314" t="s">
        <v>203</v>
      </c>
      <c r="RZD20" s="314" t="s">
        <v>203</v>
      </c>
      <c r="RZE20" s="314" t="s">
        <v>203</v>
      </c>
      <c r="RZF20" s="314" t="s">
        <v>203</v>
      </c>
      <c r="RZG20" s="314" t="s">
        <v>203</v>
      </c>
      <c r="RZH20" s="314" t="s">
        <v>203</v>
      </c>
      <c r="RZI20" s="314" t="s">
        <v>203</v>
      </c>
      <c r="RZJ20" s="314" t="s">
        <v>203</v>
      </c>
      <c r="RZK20" s="314" t="s">
        <v>203</v>
      </c>
      <c r="RZL20" s="314" t="s">
        <v>203</v>
      </c>
      <c r="RZM20" s="314" t="s">
        <v>203</v>
      </c>
      <c r="RZN20" s="314" t="s">
        <v>203</v>
      </c>
      <c r="RZO20" s="314" t="s">
        <v>203</v>
      </c>
      <c r="RZP20" s="314" t="s">
        <v>203</v>
      </c>
      <c r="RZQ20" s="314" t="s">
        <v>203</v>
      </c>
      <c r="RZR20" s="314" t="s">
        <v>203</v>
      </c>
      <c r="RZS20" s="314" t="s">
        <v>203</v>
      </c>
      <c r="RZT20" s="314" t="s">
        <v>203</v>
      </c>
      <c r="RZU20" s="314" t="s">
        <v>203</v>
      </c>
      <c r="RZV20" s="314" t="s">
        <v>203</v>
      </c>
      <c r="RZW20" s="314" t="s">
        <v>203</v>
      </c>
      <c r="RZX20" s="314" t="s">
        <v>203</v>
      </c>
      <c r="RZY20" s="314" t="s">
        <v>203</v>
      </c>
      <c r="RZZ20" s="314" t="s">
        <v>203</v>
      </c>
      <c r="SAA20" s="314" t="s">
        <v>203</v>
      </c>
      <c r="SAB20" s="314" t="s">
        <v>203</v>
      </c>
      <c r="SAC20" s="314" t="s">
        <v>203</v>
      </c>
      <c r="SAD20" s="314" t="s">
        <v>203</v>
      </c>
      <c r="SAE20" s="314" t="s">
        <v>203</v>
      </c>
      <c r="SAF20" s="314" t="s">
        <v>203</v>
      </c>
      <c r="SAG20" s="314" t="s">
        <v>203</v>
      </c>
      <c r="SAH20" s="314" t="s">
        <v>203</v>
      </c>
      <c r="SAI20" s="314" t="s">
        <v>203</v>
      </c>
      <c r="SAJ20" s="314" t="s">
        <v>203</v>
      </c>
      <c r="SAK20" s="314" t="s">
        <v>203</v>
      </c>
      <c r="SAL20" s="314" t="s">
        <v>203</v>
      </c>
      <c r="SAM20" s="314" t="s">
        <v>203</v>
      </c>
      <c r="SAN20" s="314" t="s">
        <v>203</v>
      </c>
      <c r="SAO20" s="314" t="s">
        <v>203</v>
      </c>
      <c r="SAP20" s="314" t="s">
        <v>203</v>
      </c>
      <c r="SAQ20" s="314" t="s">
        <v>203</v>
      </c>
      <c r="SAR20" s="314" t="s">
        <v>203</v>
      </c>
      <c r="SAS20" s="314" t="s">
        <v>203</v>
      </c>
      <c r="SAT20" s="314" t="s">
        <v>203</v>
      </c>
      <c r="SAU20" s="314" t="s">
        <v>203</v>
      </c>
      <c r="SAV20" s="314" t="s">
        <v>203</v>
      </c>
      <c r="SAW20" s="314" t="s">
        <v>203</v>
      </c>
      <c r="SAX20" s="314" t="s">
        <v>203</v>
      </c>
      <c r="SAY20" s="314" t="s">
        <v>203</v>
      </c>
      <c r="SAZ20" s="314" t="s">
        <v>203</v>
      </c>
      <c r="SBA20" s="314" t="s">
        <v>203</v>
      </c>
      <c r="SBB20" s="314" t="s">
        <v>203</v>
      </c>
      <c r="SBC20" s="314" t="s">
        <v>203</v>
      </c>
      <c r="SBD20" s="314" t="s">
        <v>203</v>
      </c>
      <c r="SBE20" s="314" t="s">
        <v>203</v>
      </c>
      <c r="SBF20" s="314" t="s">
        <v>203</v>
      </c>
      <c r="SBG20" s="314" t="s">
        <v>203</v>
      </c>
      <c r="SBH20" s="314" t="s">
        <v>203</v>
      </c>
      <c r="SBI20" s="314" t="s">
        <v>203</v>
      </c>
      <c r="SBJ20" s="314" t="s">
        <v>203</v>
      </c>
      <c r="SBK20" s="314" t="s">
        <v>203</v>
      </c>
      <c r="SBL20" s="314" t="s">
        <v>203</v>
      </c>
      <c r="SBM20" s="314" t="s">
        <v>203</v>
      </c>
      <c r="SBN20" s="314" t="s">
        <v>203</v>
      </c>
      <c r="SBO20" s="314" t="s">
        <v>203</v>
      </c>
      <c r="SBP20" s="314" t="s">
        <v>203</v>
      </c>
      <c r="SBQ20" s="314" t="s">
        <v>203</v>
      </c>
      <c r="SBR20" s="314" t="s">
        <v>203</v>
      </c>
      <c r="SBS20" s="314" t="s">
        <v>203</v>
      </c>
      <c r="SBT20" s="314" t="s">
        <v>203</v>
      </c>
      <c r="SBU20" s="314" t="s">
        <v>203</v>
      </c>
      <c r="SBV20" s="314" t="s">
        <v>203</v>
      </c>
      <c r="SBW20" s="314" t="s">
        <v>203</v>
      </c>
      <c r="SBX20" s="314" t="s">
        <v>203</v>
      </c>
      <c r="SBY20" s="314" t="s">
        <v>203</v>
      </c>
      <c r="SBZ20" s="314" t="s">
        <v>203</v>
      </c>
      <c r="SCA20" s="314" t="s">
        <v>203</v>
      </c>
      <c r="SCB20" s="314" t="s">
        <v>203</v>
      </c>
      <c r="SCC20" s="314" t="s">
        <v>203</v>
      </c>
      <c r="SCD20" s="314" t="s">
        <v>203</v>
      </c>
      <c r="SCE20" s="314" t="s">
        <v>203</v>
      </c>
      <c r="SCF20" s="314" t="s">
        <v>203</v>
      </c>
      <c r="SCG20" s="314" t="s">
        <v>203</v>
      </c>
      <c r="SCH20" s="314" t="s">
        <v>203</v>
      </c>
      <c r="SCI20" s="314" t="s">
        <v>203</v>
      </c>
      <c r="SCJ20" s="314" t="s">
        <v>203</v>
      </c>
      <c r="SCK20" s="314" t="s">
        <v>203</v>
      </c>
      <c r="SCL20" s="314" t="s">
        <v>203</v>
      </c>
      <c r="SCM20" s="314" t="s">
        <v>203</v>
      </c>
      <c r="SCN20" s="314" t="s">
        <v>203</v>
      </c>
      <c r="SCO20" s="314" t="s">
        <v>203</v>
      </c>
      <c r="SCP20" s="314" t="s">
        <v>203</v>
      </c>
      <c r="SCQ20" s="314" t="s">
        <v>203</v>
      </c>
      <c r="SCR20" s="314" t="s">
        <v>203</v>
      </c>
      <c r="SCS20" s="314" t="s">
        <v>203</v>
      </c>
      <c r="SCT20" s="314" t="s">
        <v>203</v>
      </c>
      <c r="SCU20" s="314" t="s">
        <v>203</v>
      </c>
      <c r="SCV20" s="314" t="s">
        <v>203</v>
      </c>
      <c r="SCW20" s="314" t="s">
        <v>203</v>
      </c>
      <c r="SCX20" s="314" t="s">
        <v>203</v>
      </c>
      <c r="SCY20" s="314" t="s">
        <v>203</v>
      </c>
      <c r="SCZ20" s="314" t="s">
        <v>203</v>
      </c>
      <c r="SDA20" s="314" t="s">
        <v>203</v>
      </c>
      <c r="SDB20" s="314" t="s">
        <v>203</v>
      </c>
      <c r="SDC20" s="314" t="s">
        <v>203</v>
      </c>
      <c r="SDD20" s="314" t="s">
        <v>203</v>
      </c>
      <c r="SDE20" s="314" t="s">
        <v>203</v>
      </c>
      <c r="SDF20" s="314" t="s">
        <v>203</v>
      </c>
      <c r="SDG20" s="314" t="s">
        <v>203</v>
      </c>
      <c r="SDH20" s="314" t="s">
        <v>203</v>
      </c>
      <c r="SDI20" s="314" t="s">
        <v>203</v>
      </c>
      <c r="SDJ20" s="314" t="s">
        <v>203</v>
      </c>
      <c r="SDK20" s="314" t="s">
        <v>203</v>
      </c>
      <c r="SDL20" s="314" t="s">
        <v>203</v>
      </c>
      <c r="SDM20" s="314" t="s">
        <v>203</v>
      </c>
      <c r="SDN20" s="314" t="s">
        <v>203</v>
      </c>
      <c r="SDO20" s="314" t="s">
        <v>203</v>
      </c>
      <c r="SDP20" s="314" t="s">
        <v>203</v>
      </c>
      <c r="SDQ20" s="314" t="s">
        <v>203</v>
      </c>
      <c r="SDR20" s="314" t="s">
        <v>203</v>
      </c>
      <c r="SDS20" s="314" t="s">
        <v>203</v>
      </c>
      <c r="SDT20" s="314" t="s">
        <v>203</v>
      </c>
      <c r="SDU20" s="314" t="s">
        <v>203</v>
      </c>
      <c r="SDV20" s="314" t="s">
        <v>203</v>
      </c>
      <c r="SDW20" s="314" t="s">
        <v>203</v>
      </c>
      <c r="SDX20" s="314" t="s">
        <v>203</v>
      </c>
      <c r="SDY20" s="314" t="s">
        <v>203</v>
      </c>
      <c r="SDZ20" s="314" t="s">
        <v>203</v>
      </c>
      <c r="SEA20" s="314" t="s">
        <v>203</v>
      </c>
      <c r="SEB20" s="314" t="s">
        <v>203</v>
      </c>
      <c r="SEC20" s="314" t="s">
        <v>203</v>
      </c>
      <c r="SED20" s="314" t="s">
        <v>203</v>
      </c>
      <c r="SEE20" s="314" t="s">
        <v>203</v>
      </c>
      <c r="SEF20" s="314" t="s">
        <v>203</v>
      </c>
      <c r="SEG20" s="314" t="s">
        <v>203</v>
      </c>
      <c r="SEH20" s="314" t="s">
        <v>203</v>
      </c>
      <c r="SEI20" s="314" t="s">
        <v>203</v>
      </c>
      <c r="SEJ20" s="314" t="s">
        <v>203</v>
      </c>
      <c r="SEK20" s="314" t="s">
        <v>203</v>
      </c>
      <c r="SEL20" s="314" t="s">
        <v>203</v>
      </c>
      <c r="SEM20" s="314" t="s">
        <v>203</v>
      </c>
      <c r="SEN20" s="314" t="s">
        <v>203</v>
      </c>
      <c r="SEO20" s="314" t="s">
        <v>203</v>
      </c>
      <c r="SEP20" s="314" t="s">
        <v>203</v>
      </c>
      <c r="SEQ20" s="314" t="s">
        <v>203</v>
      </c>
      <c r="SER20" s="314" t="s">
        <v>203</v>
      </c>
      <c r="SES20" s="314" t="s">
        <v>203</v>
      </c>
      <c r="SET20" s="314" t="s">
        <v>203</v>
      </c>
      <c r="SEU20" s="314" t="s">
        <v>203</v>
      </c>
      <c r="SEV20" s="314" t="s">
        <v>203</v>
      </c>
      <c r="SEW20" s="314" t="s">
        <v>203</v>
      </c>
      <c r="SEX20" s="314" t="s">
        <v>203</v>
      </c>
      <c r="SEY20" s="314" t="s">
        <v>203</v>
      </c>
      <c r="SEZ20" s="314" t="s">
        <v>203</v>
      </c>
      <c r="SFA20" s="314" t="s">
        <v>203</v>
      </c>
      <c r="SFB20" s="314" t="s">
        <v>203</v>
      </c>
      <c r="SFC20" s="314" t="s">
        <v>203</v>
      </c>
      <c r="SFD20" s="314" t="s">
        <v>203</v>
      </c>
      <c r="SFE20" s="314" t="s">
        <v>203</v>
      </c>
      <c r="SFF20" s="314" t="s">
        <v>203</v>
      </c>
      <c r="SFG20" s="314" t="s">
        <v>203</v>
      </c>
      <c r="SFH20" s="314" t="s">
        <v>203</v>
      </c>
      <c r="SFI20" s="314" t="s">
        <v>203</v>
      </c>
      <c r="SFJ20" s="314" t="s">
        <v>203</v>
      </c>
      <c r="SFK20" s="314" t="s">
        <v>203</v>
      </c>
      <c r="SFL20" s="314" t="s">
        <v>203</v>
      </c>
      <c r="SFM20" s="314" t="s">
        <v>203</v>
      </c>
      <c r="SFN20" s="314" t="s">
        <v>203</v>
      </c>
      <c r="SFO20" s="314" t="s">
        <v>203</v>
      </c>
      <c r="SFP20" s="314" t="s">
        <v>203</v>
      </c>
      <c r="SFQ20" s="314" t="s">
        <v>203</v>
      </c>
      <c r="SFR20" s="314" t="s">
        <v>203</v>
      </c>
      <c r="SFS20" s="314" t="s">
        <v>203</v>
      </c>
      <c r="SFT20" s="314" t="s">
        <v>203</v>
      </c>
      <c r="SFU20" s="314" t="s">
        <v>203</v>
      </c>
      <c r="SFV20" s="314" t="s">
        <v>203</v>
      </c>
      <c r="SFW20" s="314" t="s">
        <v>203</v>
      </c>
      <c r="SFX20" s="314" t="s">
        <v>203</v>
      </c>
      <c r="SFY20" s="314" t="s">
        <v>203</v>
      </c>
      <c r="SFZ20" s="314" t="s">
        <v>203</v>
      </c>
      <c r="SGA20" s="314" t="s">
        <v>203</v>
      </c>
      <c r="SGB20" s="314" t="s">
        <v>203</v>
      </c>
      <c r="SGC20" s="314" t="s">
        <v>203</v>
      </c>
      <c r="SGD20" s="314" t="s">
        <v>203</v>
      </c>
      <c r="SGE20" s="314" t="s">
        <v>203</v>
      </c>
      <c r="SGF20" s="314" t="s">
        <v>203</v>
      </c>
      <c r="SGG20" s="314" t="s">
        <v>203</v>
      </c>
      <c r="SGH20" s="314" t="s">
        <v>203</v>
      </c>
      <c r="SGI20" s="314" t="s">
        <v>203</v>
      </c>
      <c r="SGJ20" s="314" t="s">
        <v>203</v>
      </c>
      <c r="SGK20" s="314" t="s">
        <v>203</v>
      </c>
      <c r="SGL20" s="314" t="s">
        <v>203</v>
      </c>
      <c r="SGM20" s="314" t="s">
        <v>203</v>
      </c>
      <c r="SGN20" s="314" t="s">
        <v>203</v>
      </c>
      <c r="SGO20" s="314" t="s">
        <v>203</v>
      </c>
      <c r="SGP20" s="314" t="s">
        <v>203</v>
      </c>
      <c r="SGQ20" s="314" t="s">
        <v>203</v>
      </c>
      <c r="SGR20" s="314" t="s">
        <v>203</v>
      </c>
      <c r="SGS20" s="314" t="s">
        <v>203</v>
      </c>
      <c r="SGT20" s="314" t="s">
        <v>203</v>
      </c>
      <c r="SGU20" s="314" t="s">
        <v>203</v>
      </c>
      <c r="SGV20" s="314" t="s">
        <v>203</v>
      </c>
      <c r="SGW20" s="314" t="s">
        <v>203</v>
      </c>
      <c r="SGX20" s="314" t="s">
        <v>203</v>
      </c>
      <c r="SGY20" s="314" t="s">
        <v>203</v>
      </c>
      <c r="SGZ20" s="314" t="s">
        <v>203</v>
      </c>
      <c r="SHA20" s="314" t="s">
        <v>203</v>
      </c>
      <c r="SHB20" s="314" t="s">
        <v>203</v>
      </c>
      <c r="SHC20" s="314" t="s">
        <v>203</v>
      </c>
      <c r="SHD20" s="314" t="s">
        <v>203</v>
      </c>
      <c r="SHE20" s="314" t="s">
        <v>203</v>
      </c>
      <c r="SHF20" s="314" t="s">
        <v>203</v>
      </c>
      <c r="SHG20" s="314" t="s">
        <v>203</v>
      </c>
      <c r="SHH20" s="314" t="s">
        <v>203</v>
      </c>
      <c r="SHI20" s="314" t="s">
        <v>203</v>
      </c>
      <c r="SHJ20" s="314" t="s">
        <v>203</v>
      </c>
      <c r="SHK20" s="314" t="s">
        <v>203</v>
      </c>
      <c r="SHL20" s="314" t="s">
        <v>203</v>
      </c>
      <c r="SHM20" s="314" t="s">
        <v>203</v>
      </c>
      <c r="SHN20" s="314" t="s">
        <v>203</v>
      </c>
      <c r="SHO20" s="314" t="s">
        <v>203</v>
      </c>
      <c r="SHP20" s="314" t="s">
        <v>203</v>
      </c>
      <c r="SHQ20" s="314" t="s">
        <v>203</v>
      </c>
      <c r="SHR20" s="314" t="s">
        <v>203</v>
      </c>
      <c r="SHS20" s="314" t="s">
        <v>203</v>
      </c>
      <c r="SHT20" s="314" t="s">
        <v>203</v>
      </c>
      <c r="SHU20" s="314" t="s">
        <v>203</v>
      </c>
      <c r="SHV20" s="314" t="s">
        <v>203</v>
      </c>
      <c r="SHW20" s="314" t="s">
        <v>203</v>
      </c>
      <c r="SHX20" s="314" t="s">
        <v>203</v>
      </c>
      <c r="SHY20" s="314" t="s">
        <v>203</v>
      </c>
      <c r="SHZ20" s="314" t="s">
        <v>203</v>
      </c>
      <c r="SIA20" s="314" t="s">
        <v>203</v>
      </c>
      <c r="SIB20" s="314" t="s">
        <v>203</v>
      </c>
      <c r="SIC20" s="314" t="s">
        <v>203</v>
      </c>
      <c r="SID20" s="314" t="s">
        <v>203</v>
      </c>
      <c r="SIE20" s="314" t="s">
        <v>203</v>
      </c>
      <c r="SIF20" s="314" t="s">
        <v>203</v>
      </c>
      <c r="SIG20" s="314" t="s">
        <v>203</v>
      </c>
      <c r="SIH20" s="314" t="s">
        <v>203</v>
      </c>
      <c r="SII20" s="314" t="s">
        <v>203</v>
      </c>
      <c r="SIJ20" s="314" t="s">
        <v>203</v>
      </c>
      <c r="SIK20" s="314" t="s">
        <v>203</v>
      </c>
      <c r="SIL20" s="314" t="s">
        <v>203</v>
      </c>
      <c r="SIM20" s="314" t="s">
        <v>203</v>
      </c>
      <c r="SIN20" s="314" t="s">
        <v>203</v>
      </c>
      <c r="SIO20" s="314" t="s">
        <v>203</v>
      </c>
      <c r="SIP20" s="314" t="s">
        <v>203</v>
      </c>
      <c r="SIQ20" s="314" t="s">
        <v>203</v>
      </c>
      <c r="SIR20" s="314" t="s">
        <v>203</v>
      </c>
      <c r="SIS20" s="314" t="s">
        <v>203</v>
      </c>
      <c r="SIT20" s="314" t="s">
        <v>203</v>
      </c>
      <c r="SIU20" s="314" t="s">
        <v>203</v>
      </c>
      <c r="SIV20" s="314" t="s">
        <v>203</v>
      </c>
      <c r="SIW20" s="314" t="s">
        <v>203</v>
      </c>
      <c r="SIX20" s="314" t="s">
        <v>203</v>
      </c>
      <c r="SIY20" s="314" t="s">
        <v>203</v>
      </c>
      <c r="SIZ20" s="314" t="s">
        <v>203</v>
      </c>
      <c r="SJA20" s="314" t="s">
        <v>203</v>
      </c>
      <c r="SJB20" s="314" t="s">
        <v>203</v>
      </c>
      <c r="SJC20" s="314" t="s">
        <v>203</v>
      </c>
      <c r="SJD20" s="314" t="s">
        <v>203</v>
      </c>
      <c r="SJE20" s="314" t="s">
        <v>203</v>
      </c>
      <c r="SJF20" s="314" t="s">
        <v>203</v>
      </c>
      <c r="SJG20" s="314" t="s">
        <v>203</v>
      </c>
      <c r="SJH20" s="314" t="s">
        <v>203</v>
      </c>
      <c r="SJI20" s="314" t="s">
        <v>203</v>
      </c>
      <c r="SJJ20" s="314" t="s">
        <v>203</v>
      </c>
      <c r="SJK20" s="314" t="s">
        <v>203</v>
      </c>
      <c r="SJL20" s="314" t="s">
        <v>203</v>
      </c>
      <c r="SJM20" s="314" t="s">
        <v>203</v>
      </c>
      <c r="SJN20" s="314" t="s">
        <v>203</v>
      </c>
      <c r="SJO20" s="314" t="s">
        <v>203</v>
      </c>
      <c r="SJP20" s="314" t="s">
        <v>203</v>
      </c>
      <c r="SJQ20" s="314" t="s">
        <v>203</v>
      </c>
      <c r="SJR20" s="314" t="s">
        <v>203</v>
      </c>
      <c r="SJS20" s="314" t="s">
        <v>203</v>
      </c>
      <c r="SJT20" s="314" t="s">
        <v>203</v>
      </c>
      <c r="SJU20" s="314" t="s">
        <v>203</v>
      </c>
      <c r="SJV20" s="314" t="s">
        <v>203</v>
      </c>
      <c r="SJW20" s="314" t="s">
        <v>203</v>
      </c>
      <c r="SJX20" s="314" t="s">
        <v>203</v>
      </c>
      <c r="SJY20" s="314" t="s">
        <v>203</v>
      </c>
      <c r="SJZ20" s="314" t="s">
        <v>203</v>
      </c>
      <c r="SKA20" s="314" t="s">
        <v>203</v>
      </c>
      <c r="SKB20" s="314" t="s">
        <v>203</v>
      </c>
      <c r="SKC20" s="314" t="s">
        <v>203</v>
      </c>
      <c r="SKD20" s="314" t="s">
        <v>203</v>
      </c>
      <c r="SKE20" s="314" t="s">
        <v>203</v>
      </c>
      <c r="SKF20" s="314" t="s">
        <v>203</v>
      </c>
      <c r="SKG20" s="314" t="s">
        <v>203</v>
      </c>
      <c r="SKH20" s="314" t="s">
        <v>203</v>
      </c>
      <c r="SKI20" s="314" t="s">
        <v>203</v>
      </c>
      <c r="SKJ20" s="314" t="s">
        <v>203</v>
      </c>
      <c r="SKK20" s="314" t="s">
        <v>203</v>
      </c>
      <c r="SKL20" s="314" t="s">
        <v>203</v>
      </c>
      <c r="SKM20" s="314" t="s">
        <v>203</v>
      </c>
      <c r="SKN20" s="314" t="s">
        <v>203</v>
      </c>
      <c r="SKO20" s="314" t="s">
        <v>203</v>
      </c>
      <c r="SKP20" s="314" t="s">
        <v>203</v>
      </c>
      <c r="SKQ20" s="314" t="s">
        <v>203</v>
      </c>
      <c r="SKR20" s="314" t="s">
        <v>203</v>
      </c>
      <c r="SKS20" s="314" t="s">
        <v>203</v>
      </c>
      <c r="SKT20" s="314" t="s">
        <v>203</v>
      </c>
      <c r="SKU20" s="314" t="s">
        <v>203</v>
      </c>
      <c r="SKV20" s="314" t="s">
        <v>203</v>
      </c>
      <c r="SKW20" s="314" t="s">
        <v>203</v>
      </c>
      <c r="SKX20" s="314" t="s">
        <v>203</v>
      </c>
      <c r="SKY20" s="314" t="s">
        <v>203</v>
      </c>
      <c r="SKZ20" s="314" t="s">
        <v>203</v>
      </c>
      <c r="SLA20" s="314" t="s">
        <v>203</v>
      </c>
      <c r="SLB20" s="314" t="s">
        <v>203</v>
      </c>
      <c r="SLC20" s="314" t="s">
        <v>203</v>
      </c>
      <c r="SLD20" s="314" t="s">
        <v>203</v>
      </c>
      <c r="SLE20" s="314" t="s">
        <v>203</v>
      </c>
      <c r="SLF20" s="314" t="s">
        <v>203</v>
      </c>
      <c r="SLG20" s="314" t="s">
        <v>203</v>
      </c>
      <c r="SLH20" s="314" t="s">
        <v>203</v>
      </c>
      <c r="SLI20" s="314" t="s">
        <v>203</v>
      </c>
      <c r="SLJ20" s="314" t="s">
        <v>203</v>
      </c>
      <c r="SLK20" s="314" t="s">
        <v>203</v>
      </c>
      <c r="SLL20" s="314" t="s">
        <v>203</v>
      </c>
      <c r="SLM20" s="314" t="s">
        <v>203</v>
      </c>
      <c r="SLN20" s="314" t="s">
        <v>203</v>
      </c>
      <c r="SLO20" s="314" t="s">
        <v>203</v>
      </c>
      <c r="SLP20" s="314" t="s">
        <v>203</v>
      </c>
      <c r="SLQ20" s="314" t="s">
        <v>203</v>
      </c>
      <c r="SLR20" s="314" t="s">
        <v>203</v>
      </c>
      <c r="SLS20" s="314" t="s">
        <v>203</v>
      </c>
      <c r="SLT20" s="314" t="s">
        <v>203</v>
      </c>
      <c r="SLU20" s="314" t="s">
        <v>203</v>
      </c>
      <c r="SLV20" s="314" t="s">
        <v>203</v>
      </c>
      <c r="SLW20" s="314" t="s">
        <v>203</v>
      </c>
      <c r="SLX20" s="314" t="s">
        <v>203</v>
      </c>
      <c r="SLY20" s="314" t="s">
        <v>203</v>
      </c>
      <c r="SLZ20" s="314" t="s">
        <v>203</v>
      </c>
      <c r="SMA20" s="314" t="s">
        <v>203</v>
      </c>
      <c r="SMB20" s="314" t="s">
        <v>203</v>
      </c>
      <c r="SMC20" s="314" t="s">
        <v>203</v>
      </c>
      <c r="SMD20" s="314" t="s">
        <v>203</v>
      </c>
      <c r="SME20" s="314" t="s">
        <v>203</v>
      </c>
      <c r="SMF20" s="314" t="s">
        <v>203</v>
      </c>
      <c r="SMG20" s="314" t="s">
        <v>203</v>
      </c>
      <c r="SMH20" s="314" t="s">
        <v>203</v>
      </c>
      <c r="SMI20" s="314" t="s">
        <v>203</v>
      </c>
      <c r="SMJ20" s="314" t="s">
        <v>203</v>
      </c>
      <c r="SMK20" s="314" t="s">
        <v>203</v>
      </c>
      <c r="SML20" s="314" t="s">
        <v>203</v>
      </c>
      <c r="SMM20" s="314" t="s">
        <v>203</v>
      </c>
      <c r="SMN20" s="314" t="s">
        <v>203</v>
      </c>
      <c r="SMO20" s="314" t="s">
        <v>203</v>
      </c>
      <c r="SMP20" s="314" t="s">
        <v>203</v>
      </c>
      <c r="SMQ20" s="314" t="s">
        <v>203</v>
      </c>
      <c r="SMR20" s="314" t="s">
        <v>203</v>
      </c>
      <c r="SMS20" s="314" t="s">
        <v>203</v>
      </c>
      <c r="SMT20" s="314" t="s">
        <v>203</v>
      </c>
      <c r="SMU20" s="314" t="s">
        <v>203</v>
      </c>
      <c r="SMV20" s="314" t="s">
        <v>203</v>
      </c>
      <c r="SMW20" s="314" t="s">
        <v>203</v>
      </c>
      <c r="SMX20" s="314" t="s">
        <v>203</v>
      </c>
      <c r="SMY20" s="314" t="s">
        <v>203</v>
      </c>
      <c r="SMZ20" s="314" t="s">
        <v>203</v>
      </c>
      <c r="SNA20" s="314" t="s">
        <v>203</v>
      </c>
      <c r="SNB20" s="314" t="s">
        <v>203</v>
      </c>
      <c r="SNC20" s="314" t="s">
        <v>203</v>
      </c>
      <c r="SND20" s="314" t="s">
        <v>203</v>
      </c>
      <c r="SNE20" s="314" t="s">
        <v>203</v>
      </c>
      <c r="SNF20" s="314" t="s">
        <v>203</v>
      </c>
      <c r="SNG20" s="314" t="s">
        <v>203</v>
      </c>
      <c r="SNH20" s="314" t="s">
        <v>203</v>
      </c>
      <c r="SNI20" s="314" t="s">
        <v>203</v>
      </c>
      <c r="SNJ20" s="314" t="s">
        <v>203</v>
      </c>
      <c r="SNK20" s="314" t="s">
        <v>203</v>
      </c>
      <c r="SNL20" s="314" t="s">
        <v>203</v>
      </c>
      <c r="SNM20" s="314" t="s">
        <v>203</v>
      </c>
      <c r="SNN20" s="314" t="s">
        <v>203</v>
      </c>
      <c r="SNO20" s="314" t="s">
        <v>203</v>
      </c>
      <c r="SNP20" s="314" t="s">
        <v>203</v>
      </c>
      <c r="SNQ20" s="314" t="s">
        <v>203</v>
      </c>
      <c r="SNR20" s="314" t="s">
        <v>203</v>
      </c>
      <c r="SNS20" s="314" t="s">
        <v>203</v>
      </c>
      <c r="SNT20" s="314" t="s">
        <v>203</v>
      </c>
      <c r="SNU20" s="314" t="s">
        <v>203</v>
      </c>
      <c r="SNV20" s="314" t="s">
        <v>203</v>
      </c>
      <c r="SNW20" s="314" t="s">
        <v>203</v>
      </c>
      <c r="SNX20" s="314" t="s">
        <v>203</v>
      </c>
      <c r="SNY20" s="314" t="s">
        <v>203</v>
      </c>
      <c r="SNZ20" s="314" t="s">
        <v>203</v>
      </c>
      <c r="SOA20" s="314" t="s">
        <v>203</v>
      </c>
      <c r="SOB20" s="314" t="s">
        <v>203</v>
      </c>
      <c r="SOC20" s="314" t="s">
        <v>203</v>
      </c>
      <c r="SOD20" s="314" t="s">
        <v>203</v>
      </c>
      <c r="SOE20" s="314" t="s">
        <v>203</v>
      </c>
      <c r="SOF20" s="314" t="s">
        <v>203</v>
      </c>
      <c r="SOG20" s="314" t="s">
        <v>203</v>
      </c>
      <c r="SOH20" s="314" t="s">
        <v>203</v>
      </c>
      <c r="SOI20" s="314" t="s">
        <v>203</v>
      </c>
      <c r="SOJ20" s="314" t="s">
        <v>203</v>
      </c>
      <c r="SOK20" s="314" t="s">
        <v>203</v>
      </c>
      <c r="SOL20" s="314" t="s">
        <v>203</v>
      </c>
      <c r="SOM20" s="314" t="s">
        <v>203</v>
      </c>
      <c r="SON20" s="314" t="s">
        <v>203</v>
      </c>
      <c r="SOO20" s="314" t="s">
        <v>203</v>
      </c>
      <c r="SOP20" s="314" t="s">
        <v>203</v>
      </c>
      <c r="SOQ20" s="314" t="s">
        <v>203</v>
      </c>
      <c r="SOR20" s="314" t="s">
        <v>203</v>
      </c>
      <c r="SOS20" s="314" t="s">
        <v>203</v>
      </c>
      <c r="SOT20" s="314" t="s">
        <v>203</v>
      </c>
      <c r="SOU20" s="314" t="s">
        <v>203</v>
      </c>
      <c r="SOV20" s="314" t="s">
        <v>203</v>
      </c>
      <c r="SOW20" s="314" t="s">
        <v>203</v>
      </c>
      <c r="SOX20" s="314" t="s">
        <v>203</v>
      </c>
      <c r="SOY20" s="314" t="s">
        <v>203</v>
      </c>
      <c r="SOZ20" s="314" t="s">
        <v>203</v>
      </c>
      <c r="SPA20" s="314" t="s">
        <v>203</v>
      </c>
      <c r="SPB20" s="314" t="s">
        <v>203</v>
      </c>
      <c r="SPC20" s="314" t="s">
        <v>203</v>
      </c>
      <c r="SPD20" s="314" t="s">
        <v>203</v>
      </c>
      <c r="SPE20" s="314" t="s">
        <v>203</v>
      </c>
      <c r="SPF20" s="314" t="s">
        <v>203</v>
      </c>
      <c r="SPG20" s="314" t="s">
        <v>203</v>
      </c>
      <c r="SPH20" s="314" t="s">
        <v>203</v>
      </c>
      <c r="SPI20" s="314" t="s">
        <v>203</v>
      </c>
      <c r="SPJ20" s="314" t="s">
        <v>203</v>
      </c>
      <c r="SPK20" s="314" t="s">
        <v>203</v>
      </c>
      <c r="SPL20" s="314" t="s">
        <v>203</v>
      </c>
      <c r="SPM20" s="314" t="s">
        <v>203</v>
      </c>
      <c r="SPN20" s="314" t="s">
        <v>203</v>
      </c>
      <c r="SPO20" s="314" t="s">
        <v>203</v>
      </c>
      <c r="SPP20" s="314" t="s">
        <v>203</v>
      </c>
      <c r="SPQ20" s="314" t="s">
        <v>203</v>
      </c>
      <c r="SPR20" s="314" t="s">
        <v>203</v>
      </c>
      <c r="SPS20" s="314" t="s">
        <v>203</v>
      </c>
      <c r="SPT20" s="314" t="s">
        <v>203</v>
      </c>
      <c r="SPU20" s="314" t="s">
        <v>203</v>
      </c>
      <c r="SPV20" s="314" t="s">
        <v>203</v>
      </c>
      <c r="SPW20" s="314" t="s">
        <v>203</v>
      </c>
      <c r="SPX20" s="314" t="s">
        <v>203</v>
      </c>
      <c r="SPY20" s="314" t="s">
        <v>203</v>
      </c>
      <c r="SPZ20" s="314" t="s">
        <v>203</v>
      </c>
      <c r="SQA20" s="314" t="s">
        <v>203</v>
      </c>
      <c r="SQB20" s="314" t="s">
        <v>203</v>
      </c>
      <c r="SQC20" s="314" t="s">
        <v>203</v>
      </c>
      <c r="SQD20" s="314" t="s">
        <v>203</v>
      </c>
      <c r="SQE20" s="314" t="s">
        <v>203</v>
      </c>
      <c r="SQF20" s="314" t="s">
        <v>203</v>
      </c>
      <c r="SQG20" s="314" t="s">
        <v>203</v>
      </c>
      <c r="SQH20" s="314" t="s">
        <v>203</v>
      </c>
      <c r="SQI20" s="314" t="s">
        <v>203</v>
      </c>
      <c r="SQJ20" s="314" t="s">
        <v>203</v>
      </c>
      <c r="SQK20" s="314" t="s">
        <v>203</v>
      </c>
      <c r="SQL20" s="314" t="s">
        <v>203</v>
      </c>
      <c r="SQM20" s="314" t="s">
        <v>203</v>
      </c>
      <c r="SQN20" s="314" t="s">
        <v>203</v>
      </c>
      <c r="SQO20" s="314" t="s">
        <v>203</v>
      </c>
      <c r="SQP20" s="314" t="s">
        <v>203</v>
      </c>
      <c r="SQQ20" s="314" t="s">
        <v>203</v>
      </c>
      <c r="SQR20" s="314" t="s">
        <v>203</v>
      </c>
      <c r="SQS20" s="314" t="s">
        <v>203</v>
      </c>
      <c r="SQT20" s="314" t="s">
        <v>203</v>
      </c>
      <c r="SQU20" s="314" t="s">
        <v>203</v>
      </c>
      <c r="SQV20" s="314" t="s">
        <v>203</v>
      </c>
      <c r="SQW20" s="314" t="s">
        <v>203</v>
      </c>
      <c r="SQX20" s="314" t="s">
        <v>203</v>
      </c>
      <c r="SQY20" s="314" t="s">
        <v>203</v>
      </c>
      <c r="SQZ20" s="314" t="s">
        <v>203</v>
      </c>
      <c r="SRA20" s="314" t="s">
        <v>203</v>
      </c>
      <c r="SRB20" s="314" t="s">
        <v>203</v>
      </c>
      <c r="SRC20" s="314" t="s">
        <v>203</v>
      </c>
      <c r="SRD20" s="314" t="s">
        <v>203</v>
      </c>
      <c r="SRE20" s="314" t="s">
        <v>203</v>
      </c>
      <c r="SRF20" s="314" t="s">
        <v>203</v>
      </c>
      <c r="SRG20" s="314" t="s">
        <v>203</v>
      </c>
      <c r="SRH20" s="314" t="s">
        <v>203</v>
      </c>
      <c r="SRI20" s="314" t="s">
        <v>203</v>
      </c>
      <c r="SRJ20" s="314" t="s">
        <v>203</v>
      </c>
      <c r="SRK20" s="314" t="s">
        <v>203</v>
      </c>
      <c r="SRL20" s="314" t="s">
        <v>203</v>
      </c>
      <c r="SRM20" s="314" t="s">
        <v>203</v>
      </c>
      <c r="SRN20" s="314" t="s">
        <v>203</v>
      </c>
      <c r="SRO20" s="314" t="s">
        <v>203</v>
      </c>
      <c r="SRP20" s="314" t="s">
        <v>203</v>
      </c>
      <c r="SRQ20" s="314" t="s">
        <v>203</v>
      </c>
      <c r="SRR20" s="314" t="s">
        <v>203</v>
      </c>
      <c r="SRS20" s="314" t="s">
        <v>203</v>
      </c>
      <c r="SRT20" s="314" t="s">
        <v>203</v>
      </c>
      <c r="SRU20" s="314" t="s">
        <v>203</v>
      </c>
      <c r="SRV20" s="314" t="s">
        <v>203</v>
      </c>
      <c r="SRW20" s="314" t="s">
        <v>203</v>
      </c>
      <c r="SRX20" s="314" t="s">
        <v>203</v>
      </c>
      <c r="SRY20" s="314" t="s">
        <v>203</v>
      </c>
      <c r="SRZ20" s="314" t="s">
        <v>203</v>
      </c>
      <c r="SSA20" s="314" t="s">
        <v>203</v>
      </c>
      <c r="SSB20" s="314" t="s">
        <v>203</v>
      </c>
      <c r="SSC20" s="314" t="s">
        <v>203</v>
      </c>
      <c r="SSD20" s="314" t="s">
        <v>203</v>
      </c>
      <c r="SSE20" s="314" t="s">
        <v>203</v>
      </c>
      <c r="SSF20" s="314" t="s">
        <v>203</v>
      </c>
      <c r="SSG20" s="314" t="s">
        <v>203</v>
      </c>
      <c r="SSH20" s="314" t="s">
        <v>203</v>
      </c>
      <c r="SSI20" s="314" t="s">
        <v>203</v>
      </c>
      <c r="SSJ20" s="314" t="s">
        <v>203</v>
      </c>
      <c r="SSK20" s="314" t="s">
        <v>203</v>
      </c>
      <c r="SSL20" s="314" t="s">
        <v>203</v>
      </c>
      <c r="SSM20" s="314" t="s">
        <v>203</v>
      </c>
      <c r="SSN20" s="314" t="s">
        <v>203</v>
      </c>
      <c r="SSO20" s="314" t="s">
        <v>203</v>
      </c>
      <c r="SSP20" s="314" t="s">
        <v>203</v>
      </c>
      <c r="SSQ20" s="314" t="s">
        <v>203</v>
      </c>
      <c r="SSR20" s="314" t="s">
        <v>203</v>
      </c>
      <c r="SSS20" s="314" t="s">
        <v>203</v>
      </c>
      <c r="SST20" s="314" t="s">
        <v>203</v>
      </c>
      <c r="SSU20" s="314" t="s">
        <v>203</v>
      </c>
      <c r="SSV20" s="314" t="s">
        <v>203</v>
      </c>
      <c r="SSW20" s="314" t="s">
        <v>203</v>
      </c>
      <c r="SSX20" s="314" t="s">
        <v>203</v>
      </c>
      <c r="SSY20" s="314" t="s">
        <v>203</v>
      </c>
      <c r="SSZ20" s="314" t="s">
        <v>203</v>
      </c>
      <c r="STA20" s="314" t="s">
        <v>203</v>
      </c>
      <c r="STB20" s="314" t="s">
        <v>203</v>
      </c>
      <c r="STC20" s="314" t="s">
        <v>203</v>
      </c>
      <c r="STD20" s="314" t="s">
        <v>203</v>
      </c>
      <c r="STE20" s="314" t="s">
        <v>203</v>
      </c>
      <c r="STF20" s="314" t="s">
        <v>203</v>
      </c>
      <c r="STG20" s="314" t="s">
        <v>203</v>
      </c>
      <c r="STH20" s="314" t="s">
        <v>203</v>
      </c>
      <c r="STI20" s="314" t="s">
        <v>203</v>
      </c>
      <c r="STJ20" s="314" t="s">
        <v>203</v>
      </c>
      <c r="STK20" s="314" t="s">
        <v>203</v>
      </c>
      <c r="STL20" s="314" t="s">
        <v>203</v>
      </c>
      <c r="STM20" s="314" t="s">
        <v>203</v>
      </c>
      <c r="STN20" s="314" t="s">
        <v>203</v>
      </c>
      <c r="STO20" s="314" t="s">
        <v>203</v>
      </c>
      <c r="STP20" s="314" t="s">
        <v>203</v>
      </c>
      <c r="STQ20" s="314" t="s">
        <v>203</v>
      </c>
      <c r="STR20" s="314" t="s">
        <v>203</v>
      </c>
      <c r="STS20" s="314" t="s">
        <v>203</v>
      </c>
      <c r="STT20" s="314" t="s">
        <v>203</v>
      </c>
      <c r="STU20" s="314" t="s">
        <v>203</v>
      </c>
      <c r="STV20" s="314" t="s">
        <v>203</v>
      </c>
      <c r="STW20" s="314" t="s">
        <v>203</v>
      </c>
      <c r="STX20" s="314" t="s">
        <v>203</v>
      </c>
      <c r="STY20" s="314" t="s">
        <v>203</v>
      </c>
      <c r="STZ20" s="314" t="s">
        <v>203</v>
      </c>
      <c r="SUA20" s="314" t="s">
        <v>203</v>
      </c>
      <c r="SUB20" s="314" t="s">
        <v>203</v>
      </c>
      <c r="SUC20" s="314" t="s">
        <v>203</v>
      </c>
      <c r="SUD20" s="314" t="s">
        <v>203</v>
      </c>
      <c r="SUE20" s="314" t="s">
        <v>203</v>
      </c>
      <c r="SUF20" s="314" t="s">
        <v>203</v>
      </c>
      <c r="SUG20" s="314" t="s">
        <v>203</v>
      </c>
      <c r="SUH20" s="314" t="s">
        <v>203</v>
      </c>
      <c r="SUI20" s="314" t="s">
        <v>203</v>
      </c>
      <c r="SUJ20" s="314" t="s">
        <v>203</v>
      </c>
      <c r="SUK20" s="314" t="s">
        <v>203</v>
      </c>
      <c r="SUL20" s="314" t="s">
        <v>203</v>
      </c>
      <c r="SUM20" s="314" t="s">
        <v>203</v>
      </c>
      <c r="SUN20" s="314" t="s">
        <v>203</v>
      </c>
      <c r="SUO20" s="314" t="s">
        <v>203</v>
      </c>
      <c r="SUP20" s="314" t="s">
        <v>203</v>
      </c>
      <c r="SUQ20" s="314" t="s">
        <v>203</v>
      </c>
      <c r="SUR20" s="314" t="s">
        <v>203</v>
      </c>
      <c r="SUS20" s="314" t="s">
        <v>203</v>
      </c>
      <c r="SUT20" s="314" t="s">
        <v>203</v>
      </c>
      <c r="SUU20" s="314" t="s">
        <v>203</v>
      </c>
      <c r="SUV20" s="314" t="s">
        <v>203</v>
      </c>
      <c r="SUW20" s="314" t="s">
        <v>203</v>
      </c>
      <c r="SUX20" s="314" t="s">
        <v>203</v>
      </c>
      <c r="SUY20" s="314" t="s">
        <v>203</v>
      </c>
      <c r="SUZ20" s="314" t="s">
        <v>203</v>
      </c>
      <c r="SVA20" s="314" t="s">
        <v>203</v>
      </c>
      <c r="SVB20" s="314" t="s">
        <v>203</v>
      </c>
      <c r="SVC20" s="314" t="s">
        <v>203</v>
      </c>
      <c r="SVD20" s="314" t="s">
        <v>203</v>
      </c>
      <c r="SVE20" s="314" t="s">
        <v>203</v>
      </c>
      <c r="SVF20" s="314" t="s">
        <v>203</v>
      </c>
      <c r="SVG20" s="314" t="s">
        <v>203</v>
      </c>
      <c r="SVH20" s="314" t="s">
        <v>203</v>
      </c>
      <c r="SVI20" s="314" t="s">
        <v>203</v>
      </c>
      <c r="SVJ20" s="314" t="s">
        <v>203</v>
      </c>
      <c r="SVK20" s="314" t="s">
        <v>203</v>
      </c>
      <c r="SVL20" s="314" t="s">
        <v>203</v>
      </c>
      <c r="SVM20" s="314" t="s">
        <v>203</v>
      </c>
      <c r="SVN20" s="314" t="s">
        <v>203</v>
      </c>
      <c r="SVO20" s="314" t="s">
        <v>203</v>
      </c>
      <c r="SVP20" s="314" t="s">
        <v>203</v>
      </c>
      <c r="SVQ20" s="314" t="s">
        <v>203</v>
      </c>
      <c r="SVR20" s="314" t="s">
        <v>203</v>
      </c>
      <c r="SVS20" s="314" t="s">
        <v>203</v>
      </c>
      <c r="SVT20" s="314" t="s">
        <v>203</v>
      </c>
      <c r="SVU20" s="314" t="s">
        <v>203</v>
      </c>
      <c r="SVV20" s="314" t="s">
        <v>203</v>
      </c>
      <c r="SVW20" s="314" t="s">
        <v>203</v>
      </c>
      <c r="SVX20" s="314" t="s">
        <v>203</v>
      </c>
      <c r="SVY20" s="314" t="s">
        <v>203</v>
      </c>
      <c r="SVZ20" s="314" t="s">
        <v>203</v>
      </c>
      <c r="SWA20" s="314" t="s">
        <v>203</v>
      </c>
      <c r="SWB20" s="314" t="s">
        <v>203</v>
      </c>
      <c r="SWC20" s="314" t="s">
        <v>203</v>
      </c>
      <c r="SWD20" s="314" t="s">
        <v>203</v>
      </c>
      <c r="SWE20" s="314" t="s">
        <v>203</v>
      </c>
      <c r="SWF20" s="314" t="s">
        <v>203</v>
      </c>
      <c r="SWG20" s="314" t="s">
        <v>203</v>
      </c>
      <c r="SWH20" s="314" t="s">
        <v>203</v>
      </c>
      <c r="SWI20" s="314" t="s">
        <v>203</v>
      </c>
      <c r="SWJ20" s="314" t="s">
        <v>203</v>
      </c>
      <c r="SWK20" s="314" t="s">
        <v>203</v>
      </c>
      <c r="SWL20" s="314" t="s">
        <v>203</v>
      </c>
      <c r="SWM20" s="314" t="s">
        <v>203</v>
      </c>
      <c r="SWN20" s="314" t="s">
        <v>203</v>
      </c>
      <c r="SWO20" s="314" t="s">
        <v>203</v>
      </c>
      <c r="SWP20" s="314" t="s">
        <v>203</v>
      </c>
      <c r="SWQ20" s="314" t="s">
        <v>203</v>
      </c>
      <c r="SWR20" s="314" t="s">
        <v>203</v>
      </c>
      <c r="SWS20" s="314" t="s">
        <v>203</v>
      </c>
      <c r="SWT20" s="314" t="s">
        <v>203</v>
      </c>
      <c r="SWU20" s="314" t="s">
        <v>203</v>
      </c>
      <c r="SWV20" s="314" t="s">
        <v>203</v>
      </c>
      <c r="SWW20" s="314" t="s">
        <v>203</v>
      </c>
      <c r="SWX20" s="314" t="s">
        <v>203</v>
      </c>
      <c r="SWY20" s="314" t="s">
        <v>203</v>
      </c>
      <c r="SWZ20" s="314" t="s">
        <v>203</v>
      </c>
      <c r="SXA20" s="314" t="s">
        <v>203</v>
      </c>
      <c r="SXB20" s="314" t="s">
        <v>203</v>
      </c>
      <c r="SXC20" s="314" t="s">
        <v>203</v>
      </c>
      <c r="SXD20" s="314" t="s">
        <v>203</v>
      </c>
      <c r="SXE20" s="314" t="s">
        <v>203</v>
      </c>
      <c r="SXF20" s="314" t="s">
        <v>203</v>
      </c>
      <c r="SXG20" s="314" t="s">
        <v>203</v>
      </c>
      <c r="SXH20" s="314" t="s">
        <v>203</v>
      </c>
      <c r="SXI20" s="314" t="s">
        <v>203</v>
      </c>
      <c r="SXJ20" s="314" t="s">
        <v>203</v>
      </c>
      <c r="SXK20" s="314" t="s">
        <v>203</v>
      </c>
      <c r="SXL20" s="314" t="s">
        <v>203</v>
      </c>
      <c r="SXM20" s="314" t="s">
        <v>203</v>
      </c>
      <c r="SXN20" s="314" t="s">
        <v>203</v>
      </c>
      <c r="SXO20" s="314" t="s">
        <v>203</v>
      </c>
      <c r="SXP20" s="314" t="s">
        <v>203</v>
      </c>
      <c r="SXQ20" s="314" t="s">
        <v>203</v>
      </c>
      <c r="SXR20" s="314" t="s">
        <v>203</v>
      </c>
      <c r="SXS20" s="314" t="s">
        <v>203</v>
      </c>
      <c r="SXT20" s="314" t="s">
        <v>203</v>
      </c>
      <c r="SXU20" s="314" t="s">
        <v>203</v>
      </c>
      <c r="SXV20" s="314" t="s">
        <v>203</v>
      </c>
      <c r="SXW20" s="314" t="s">
        <v>203</v>
      </c>
      <c r="SXX20" s="314" t="s">
        <v>203</v>
      </c>
      <c r="SXY20" s="314" t="s">
        <v>203</v>
      </c>
      <c r="SXZ20" s="314" t="s">
        <v>203</v>
      </c>
      <c r="SYA20" s="314" t="s">
        <v>203</v>
      </c>
      <c r="SYB20" s="314" t="s">
        <v>203</v>
      </c>
      <c r="SYC20" s="314" t="s">
        <v>203</v>
      </c>
      <c r="SYD20" s="314" t="s">
        <v>203</v>
      </c>
      <c r="SYE20" s="314" t="s">
        <v>203</v>
      </c>
      <c r="SYF20" s="314" t="s">
        <v>203</v>
      </c>
      <c r="SYG20" s="314" t="s">
        <v>203</v>
      </c>
      <c r="SYH20" s="314" t="s">
        <v>203</v>
      </c>
      <c r="SYI20" s="314" t="s">
        <v>203</v>
      </c>
      <c r="SYJ20" s="314" t="s">
        <v>203</v>
      </c>
      <c r="SYK20" s="314" t="s">
        <v>203</v>
      </c>
      <c r="SYL20" s="314" t="s">
        <v>203</v>
      </c>
      <c r="SYM20" s="314" t="s">
        <v>203</v>
      </c>
      <c r="SYN20" s="314" t="s">
        <v>203</v>
      </c>
      <c r="SYO20" s="314" t="s">
        <v>203</v>
      </c>
      <c r="SYP20" s="314" t="s">
        <v>203</v>
      </c>
      <c r="SYQ20" s="314" t="s">
        <v>203</v>
      </c>
      <c r="SYR20" s="314" t="s">
        <v>203</v>
      </c>
      <c r="SYS20" s="314" t="s">
        <v>203</v>
      </c>
      <c r="SYT20" s="314" t="s">
        <v>203</v>
      </c>
      <c r="SYU20" s="314" t="s">
        <v>203</v>
      </c>
      <c r="SYV20" s="314" t="s">
        <v>203</v>
      </c>
      <c r="SYW20" s="314" t="s">
        <v>203</v>
      </c>
      <c r="SYX20" s="314" t="s">
        <v>203</v>
      </c>
      <c r="SYY20" s="314" t="s">
        <v>203</v>
      </c>
      <c r="SYZ20" s="314" t="s">
        <v>203</v>
      </c>
      <c r="SZA20" s="314" t="s">
        <v>203</v>
      </c>
      <c r="SZB20" s="314" t="s">
        <v>203</v>
      </c>
      <c r="SZC20" s="314" t="s">
        <v>203</v>
      </c>
      <c r="SZD20" s="314" t="s">
        <v>203</v>
      </c>
      <c r="SZE20" s="314" t="s">
        <v>203</v>
      </c>
      <c r="SZF20" s="314" t="s">
        <v>203</v>
      </c>
      <c r="SZG20" s="314" t="s">
        <v>203</v>
      </c>
      <c r="SZH20" s="314" t="s">
        <v>203</v>
      </c>
      <c r="SZI20" s="314" t="s">
        <v>203</v>
      </c>
      <c r="SZJ20" s="314" t="s">
        <v>203</v>
      </c>
      <c r="SZK20" s="314" t="s">
        <v>203</v>
      </c>
      <c r="SZL20" s="314" t="s">
        <v>203</v>
      </c>
      <c r="SZM20" s="314" t="s">
        <v>203</v>
      </c>
      <c r="SZN20" s="314" t="s">
        <v>203</v>
      </c>
      <c r="SZO20" s="314" t="s">
        <v>203</v>
      </c>
      <c r="SZP20" s="314" t="s">
        <v>203</v>
      </c>
      <c r="SZQ20" s="314" t="s">
        <v>203</v>
      </c>
      <c r="SZR20" s="314" t="s">
        <v>203</v>
      </c>
      <c r="SZS20" s="314" t="s">
        <v>203</v>
      </c>
      <c r="SZT20" s="314" t="s">
        <v>203</v>
      </c>
      <c r="SZU20" s="314" t="s">
        <v>203</v>
      </c>
      <c r="SZV20" s="314" t="s">
        <v>203</v>
      </c>
      <c r="SZW20" s="314" t="s">
        <v>203</v>
      </c>
      <c r="SZX20" s="314" t="s">
        <v>203</v>
      </c>
      <c r="SZY20" s="314" t="s">
        <v>203</v>
      </c>
      <c r="SZZ20" s="314" t="s">
        <v>203</v>
      </c>
      <c r="TAA20" s="314" t="s">
        <v>203</v>
      </c>
      <c r="TAB20" s="314" t="s">
        <v>203</v>
      </c>
      <c r="TAC20" s="314" t="s">
        <v>203</v>
      </c>
      <c r="TAD20" s="314" t="s">
        <v>203</v>
      </c>
      <c r="TAE20" s="314" t="s">
        <v>203</v>
      </c>
      <c r="TAF20" s="314" t="s">
        <v>203</v>
      </c>
      <c r="TAG20" s="314" t="s">
        <v>203</v>
      </c>
      <c r="TAH20" s="314" t="s">
        <v>203</v>
      </c>
      <c r="TAI20" s="314" t="s">
        <v>203</v>
      </c>
      <c r="TAJ20" s="314" t="s">
        <v>203</v>
      </c>
      <c r="TAK20" s="314" t="s">
        <v>203</v>
      </c>
      <c r="TAL20" s="314" t="s">
        <v>203</v>
      </c>
      <c r="TAM20" s="314" t="s">
        <v>203</v>
      </c>
      <c r="TAN20" s="314" t="s">
        <v>203</v>
      </c>
      <c r="TAO20" s="314" t="s">
        <v>203</v>
      </c>
      <c r="TAP20" s="314" t="s">
        <v>203</v>
      </c>
      <c r="TAQ20" s="314" t="s">
        <v>203</v>
      </c>
      <c r="TAR20" s="314" t="s">
        <v>203</v>
      </c>
      <c r="TAS20" s="314" t="s">
        <v>203</v>
      </c>
      <c r="TAT20" s="314" t="s">
        <v>203</v>
      </c>
      <c r="TAU20" s="314" t="s">
        <v>203</v>
      </c>
      <c r="TAV20" s="314" t="s">
        <v>203</v>
      </c>
      <c r="TAW20" s="314" t="s">
        <v>203</v>
      </c>
      <c r="TAX20" s="314" t="s">
        <v>203</v>
      </c>
      <c r="TAY20" s="314" t="s">
        <v>203</v>
      </c>
      <c r="TAZ20" s="314" t="s">
        <v>203</v>
      </c>
      <c r="TBA20" s="314" t="s">
        <v>203</v>
      </c>
      <c r="TBB20" s="314" t="s">
        <v>203</v>
      </c>
      <c r="TBC20" s="314" t="s">
        <v>203</v>
      </c>
      <c r="TBD20" s="314" t="s">
        <v>203</v>
      </c>
      <c r="TBE20" s="314" t="s">
        <v>203</v>
      </c>
      <c r="TBF20" s="314" t="s">
        <v>203</v>
      </c>
      <c r="TBG20" s="314" t="s">
        <v>203</v>
      </c>
      <c r="TBH20" s="314" t="s">
        <v>203</v>
      </c>
      <c r="TBI20" s="314" t="s">
        <v>203</v>
      </c>
      <c r="TBJ20" s="314" t="s">
        <v>203</v>
      </c>
      <c r="TBK20" s="314" t="s">
        <v>203</v>
      </c>
      <c r="TBL20" s="314" t="s">
        <v>203</v>
      </c>
      <c r="TBM20" s="314" t="s">
        <v>203</v>
      </c>
      <c r="TBN20" s="314" t="s">
        <v>203</v>
      </c>
      <c r="TBO20" s="314" t="s">
        <v>203</v>
      </c>
      <c r="TBP20" s="314" t="s">
        <v>203</v>
      </c>
      <c r="TBQ20" s="314" t="s">
        <v>203</v>
      </c>
      <c r="TBR20" s="314" t="s">
        <v>203</v>
      </c>
      <c r="TBS20" s="314" t="s">
        <v>203</v>
      </c>
      <c r="TBT20" s="314" t="s">
        <v>203</v>
      </c>
      <c r="TBU20" s="314" t="s">
        <v>203</v>
      </c>
      <c r="TBV20" s="314" t="s">
        <v>203</v>
      </c>
      <c r="TBW20" s="314" t="s">
        <v>203</v>
      </c>
      <c r="TBX20" s="314" t="s">
        <v>203</v>
      </c>
      <c r="TBY20" s="314" t="s">
        <v>203</v>
      </c>
      <c r="TBZ20" s="314" t="s">
        <v>203</v>
      </c>
      <c r="TCA20" s="314" t="s">
        <v>203</v>
      </c>
      <c r="TCB20" s="314" t="s">
        <v>203</v>
      </c>
      <c r="TCC20" s="314" t="s">
        <v>203</v>
      </c>
      <c r="TCD20" s="314" t="s">
        <v>203</v>
      </c>
      <c r="TCE20" s="314" t="s">
        <v>203</v>
      </c>
      <c r="TCF20" s="314" t="s">
        <v>203</v>
      </c>
      <c r="TCG20" s="314" t="s">
        <v>203</v>
      </c>
      <c r="TCH20" s="314" t="s">
        <v>203</v>
      </c>
      <c r="TCI20" s="314" t="s">
        <v>203</v>
      </c>
      <c r="TCJ20" s="314" t="s">
        <v>203</v>
      </c>
      <c r="TCK20" s="314" t="s">
        <v>203</v>
      </c>
      <c r="TCL20" s="314" t="s">
        <v>203</v>
      </c>
      <c r="TCM20" s="314" t="s">
        <v>203</v>
      </c>
      <c r="TCN20" s="314" t="s">
        <v>203</v>
      </c>
      <c r="TCO20" s="314" t="s">
        <v>203</v>
      </c>
      <c r="TCP20" s="314" t="s">
        <v>203</v>
      </c>
      <c r="TCQ20" s="314" t="s">
        <v>203</v>
      </c>
      <c r="TCR20" s="314" t="s">
        <v>203</v>
      </c>
      <c r="TCS20" s="314" t="s">
        <v>203</v>
      </c>
      <c r="TCT20" s="314" t="s">
        <v>203</v>
      </c>
      <c r="TCU20" s="314" t="s">
        <v>203</v>
      </c>
      <c r="TCV20" s="314" t="s">
        <v>203</v>
      </c>
      <c r="TCW20" s="314" t="s">
        <v>203</v>
      </c>
      <c r="TCX20" s="314" t="s">
        <v>203</v>
      </c>
      <c r="TCY20" s="314" t="s">
        <v>203</v>
      </c>
      <c r="TCZ20" s="314" t="s">
        <v>203</v>
      </c>
      <c r="TDA20" s="314" t="s">
        <v>203</v>
      </c>
      <c r="TDB20" s="314" t="s">
        <v>203</v>
      </c>
      <c r="TDC20" s="314" t="s">
        <v>203</v>
      </c>
      <c r="TDD20" s="314" t="s">
        <v>203</v>
      </c>
      <c r="TDE20" s="314" t="s">
        <v>203</v>
      </c>
      <c r="TDF20" s="314" t="s">
        <v>203</v>
      </c>
      <c r="TDG20" s="314" t="s">
        <v>203</v>
      </c>
      <c r="TDH20" s="314" t="s">
        <v>203</v>
      </c>
      <c r="TDI20" s="314" t="s">
        <v>203</v>
      </c>
      <c r="TDJ20" s="314" t="s">
        <v>203</v>
      </c>
      <c r="TDK20" s="314" t="s">
        <v>203</v>
      </c>
      <c r="TDL20" s="314" t="s">
        <v>203</v>
      </c>
      <c r="TDM20" s="314" t="s">
        <v>203</v>
      </c>
      <c r="TDN20" s="314" t="s">
        <v>203</v>
      </c>
      <c r="TDO20" s="314" t="s">
        <v>203</v>
      </c>
      <c r="TDP20" s="314" t="s">
        <v>203</v>
      </c>
      <c r="TDQ20" s="314" t="s">
        <v>203</v>
      </c>
      <c r="TDR20" s="314" t="s">
        <v>203</v>
      </c>
      <c r="TDS20" s="314" t="s">
        <v>203</v>
      </c>
      <c r="TDT20" s="314" t="s">
        <v>203</v>
      </c>
      <c r="TDU20" s="314" t="s">
        <v>203</v>
      </c>
      <c r="TDV20" s="314" t="s">
        <v>203</v>
      </c>
      <c r="TDW20" s="314" t="s">
        <v>203</v>
      </c>
      <c r="TDX20" s="314" t="s">
        <v>203</v>
      </c>
      <c r="TDY20" s="314" t="s">
        <v>203</v>
      </c>
      <c r="TDZ20" s="314" t="s">
        <v>203</v>
      </c>
      <c r="TEA20" s="314" t="s">
        <v>203</v>
      </c>
      <c r="TEB20" s="314" t="s">
        <v>203</v>
      </c>
      <c r="TEC20" s="314" t="s">
        <v>203</v>
      </c>
      <c r="TED20" s="314" t="s">
        <v>203</v>
      </c>
      <c r="TEE20" s="314" t="s">
        <v>203</v>
      </c>
      <c r="TEF20" s="314" t="s">
        <v>203</v>
      </c>
      <c r="TEG20" s="314" t="s">
        <v>203</v>
      </c>
      <c r="TEH20" s="314" t="s">
        <v>203</v>
      </c>
      <c r="TEI20" s="314" t="s">
        <v>203</v>
      </c>
      <c r="TEJ20" s="314" t="s">
        <v>203</v>
      </c>
      <c r="TEK20" s="314" t="s">
        <v>203</v>
      </c>
      <c r="TEL20" s="314" t="s">
        <v>203</v>
      </c>
      <c r="TEM20" s="314" t="s">
        <v>203</v>
      </c>
      <c r="TEN20" s="314" t="s">
        <v>203</v>
      </c>
      <c r="TEO20" s="314" t="s">
        <v>203</v>
      </c>
      <c r="TEP20" s="314" t="s">
        <v>203</v>
      </c>
      <c r="TEQ20" s="314" t="s">
        <v>203</v>
      </c>
      <c r="TER20" s="314" t="s">
        <v>203</v>
      </c>
      <c r="TES20" s="314" t="s">
        <v>203</v>
      </c>
      <c r="TET20" s="314" t="s">
        <v>203</v>
      </c>
      <c r="TEU20" s="314" t="s">
        <v>203</v>
      </c>
      <c r="TEV20" s="314" t="s">
        <v>203</v>
      </c>
      <c r="TEW20" s="314" t="s">
        <v>203</v>
      </c>
      <c r="TEX20" s="314" t="s">
        <v>203</v>
      </c>
      <c r="TEY20" s="314" t="s">
        <v>203</v>
      </c>
      <c r="TEZ20" s="314" t="s">
        <v>203</v>
      </c>
      <c r="TFA20" s="314" t="s">
        <v>203</v>
      </c>
      <c r="TFB20" s="314" t="s">
        <v>203</v>
      </c>
      <c r="TFC20" s="314" t="s">
        <v>203</v>
      </c>
      <c r="TFD20" s="314" t="s">
        <v>203</v>
      </c>
      <c r="TFE20" s="314" t="s">
        <v>203</v>
      </c>
      <c r="TFF20" s="314" t="s">
        <v>203</v>
      </c>
      <c r="TFG20" s="314" t="s">
        <v>203</v>
      </c>
      <c r="TFH20" s="314" t="s">
        <v>203</v>
      </c>
      <c r="TFI20" s="314" t="s">
        <v>203</v>
      </c>
      <c r="TFJ20" s="314" t="s">
        <v>203</v>
      </c>
      <c r="TFK20" s="314" t="s">
        <v>203</v>
      </c>
      <c r="TFL20" s="314" t="s">
        <v>203</v>
      </c>
      <c r="TFM20" s="314" t="s">
        <v>203</v>
      </c>
      <c r="TFN20" s="314" t="s">
        <v>203</v>
      </c>
      <c r="TFO20" s="314" t="s">
        <v>203</v>
      </c>
      <c r="TFP20" s="314" t="s">
        <v>203</v>
      </c>
      <c r="TFQ20" s="314" t="s">
        <v>203</v>
      </c>
      <c r="TFR20" s="314" t="s">
        <v>203</v>
      </c>
      <c r="TFS20" s="314" t="s">
        <v>203</v>
      </c>
      <c r="TFT20" s="314" t="s">
        <v>203</v>
      </c>
      <c r="TFU20" s="314" t="s">
        <v>203</v>
      </c>
      <c r="TFV20" s="314" t="s">
        <v>203</v>
      </c>
      <c r="TFW20" s="314" t="s">
        <v>203</v>
      </c>
      <c r="TFX20" s="314" t="s">
        <v>203</v>
      </c>
      <c r="TFY20" s="314" t="s">
        <v>203</v>
      </c>
      <c r="TFZ20" s="314" t="s">
        <v>203</v>
      </c>
      <c r="TGA20" s="314" t="s">
        <v>203</v>
      </c>
      <c r="TGB20" s="314" t="s">
        <v>203</v>
      </c>
      <c r="TGC20" s="314" t="s">
        <v>203</v>
      </c>
      <c r="TGD20" s="314" t="s">
        <v>203</v>
      </c>
      <c r="TGE20" s="314" t="s">
        <v>203</v>
      </c>
      <c r="TGF20" s="314" t="s">
        <v>203</v>
      </c>
      <c r="TGG20" s="314" t="s">
        <v>203</v>
      </c>
      <c r="TGH20" s="314" t="s">
        <v>203</v>
      </c>
      <c r="TGI20" s="314" t="s">
        <v>203</v>
      </c>
      <c r="TGJ20" s="314" t="s">
        <v>203</v>
      </c>
      <c r="TGK20" s="314" t="s">
        <v>203</v>
      </c>
      <c r="TGL20" s="314" t="s">
        <v>203</v>
      </c>
      <c r="TGM20" s="314" t="s">
        <v>203</v>
      </c>
      <c r="TGN20" s="314" t="s">
        <v>203</v>
      </c>
      <c r="TGO20" s="314" t="s">
        <v>203</v>
      </c>
      <c r="TGP20" s="314" t="s">
        <v>203</v>
      </c>
      <c r="TGQ20" s="314" t="s">
        <v>203</v>
      </c>
      <c r="TGR20" s="314" t="s">
        <v>203</v>
      </c>
      <c r="TGS20" s="314" t="s">
        <v>203</v>
      </c>
      <c r="TGT20" s="314" t="s">
        <v>203</v>
      </c>
      <c r="TGU20" s="314" t="s">
        <v>203</v>
      </c>
      <c r="TGV20" s="314" t="s">
        <v>203</v>
      </c>
      <c r="TGW20" s="314" t="s">
        <v>203</v>
      </c>
      <c r="TGX20" s="314" t="s">
        <v>203</v>
      </c>
      <c r="TGY20" s="314" t="s">
        <v>203</v>
      </c>
      <c r="TGZ20" s="314" t="s">
        <v>203</v>
      </c>
      <c r="THA20" s="314" t="s">
        <v>203</v>
      </c>
      <c r="THB20" s="314" t="s">
        <v>203</v>
      </c>
      <c r="THC20" s="314" t="s">
        <v>203</v>
      </c>
      <c r="THD20" s="314" t="s">
        <v>203</v>
      </c>
      <c r="THE20" s="314" t="s">
        <v>203</v>
      </c>
      <c r="THF20" s="314" t="s">
        <v>203</v>
      </c>
      <c r="THG20" s="314" t="s">
        <v>203</v>
      </c>
      <c r="THH20" s="314" t="s">
        <v>203</v>
      </c>
      <c r="THI20" s="314" t="s">
        <v>203</v>
      </c>
      <c r="THJ20" s="314" t="s">
        <v>203</v>
      </c>
      <c r="THK20" s="314" t="s">
        <v>203</v>
      </c>
      <c r="THL20" s="314" t="s">
        <v>203</v>
      </c>
      <c r="THM20" s="314" t="s">
        <v>203</v>
      </c>
      <c r="THN20" s="314" t="s">
        <v>203</v>
      </c>
      <c r="THO20" s="314" t="s">
        <v>203</v>
      </c>
      <c r="THP20" s="314" t="s">
        <v>203</v>
      </c>
      <c r="THQ20" s="314" t="s">
        <v>203</v>
      </c>
      <c r="THR20" s="314" t="s">
        <v>203</v>
      </c>
      <c r="THS20" s="314" t="s">
        <v>203</v>
      </c>
      <c r="THT20" s="314" t="s">
        <v>203</v>
      </c>
      <c r="THU20" s="314" t="s">
        <v>203</v>
      </c>
      <c r="THV20" s="314" t="s">
        <v>203</v>
      </c>
      <c r="THW20" s="314" t="s">
        <v>203</v>
      </c>
      <c r="THX20" s="314" t="s">
        <v>203</v>
      </c>
      <c r="THY20" s="314" t="s">
        <v>203</v>
      </c>
      <c r="THZ20" s="314" t="s">
        <v>203</v>
      </c>
      <c r="TIA20" s="314" t="s">
        <v>203</v>
      </c>
      <c r="TIB20" s="314" t="s">
        <v>203</v>
      </c>
      <c r="TIC20" s="314" t="s">
        <v>203</v>
      </c>
      <c r="TID20" s="314" t="s">
        <v>203</v>
      </c>
      <c r="TIE20" s="314" t="s">
        <v>203</v>
      </c>
      <c r="TIF20" s="314" t="s">
        <v>203</v>
      </c>
      <c r="TIG20" s="314" t="s">
        <v>203</v>
      </c>
      <c r="TIH20" s="314" t="s">
        <v>203</v>
      </c>
      <c r="TII20" s="314" t="s">
        <v>203</v>
      </c>
      <c r="TIJ20" s="314" t="s">
        <v>203</v>
      </c>
      <c r="TIK20" s="314" t="s">
        <v>203</v>
      </c>
      <c r="TIL20" s="314" t="s">
        <v>203</v>
      </c>
      <c r="TIM20" s="314" t="s">
        <v>203</v>
      </c>
      <c r="TIN20" s="314" t="s">
        <v>203</v>
      </c>
      <c r="TIO20" s="314" t="s">
        <v>203</v>
      </c>
      <c r="TIP20" s="314" t="s">
        <v>203</v>
      </c>
      <c r="TIQ20" s="314" t="s">
        <v>203</v>
      </c>
      <c r="TIR20" s="314" t="s">
        <v>203</v>
      </c>
      <c r="TIS20" s="314" t="s">
        <v>203</v>
      </c>
      <c r="TIT20" s="314" t="s">
        <v>203</v>
      </c>
      <c r="TIU20" s="314" t="s">
        <v>203</v>
      </c>
      <c r="TIV20" s="314" t="s">
        <v>203</v>
      </c>
      <c r="TIW20" s="314" t="s">
        <v>203</v>
      </c>
      <c r="TIX20" s="314" t="s">
        <v>203</v>
      </c>
      <c r="TIY20" s="314" t="s">
        <v>203</v>
      </c>
      <c r="TIZ20" s="314" t="s">
        <v>203</v>
      </c>
      <c r="TJA20" s="314" t="s">
        <v>203</v>
      </c>
      <c r="TJB20" s="314" t="s">
        <v>203</v>
      </c>
      <c r="TJC20" s="314" t="s">
        <v>203</v>
      </c>
      <c r="TJD20" s="314" t="s">
        <v>203</v>
      </c>
      <c r="TJE20" s="314" t="s">
        <v>203</v>
      </c>
      <c r="TJF20" s="314" t="s">
        <v>203</v>
      </c>
      <c r="TJG20" s="314" t="s">
        <v>203</v>
      </c>
      <c r="TJH20" s="314" t="s">
        <v>203</v>
      </c>
      <c r="TJI20" s="314" t="s">
        <v>203</v>
      </c>
      <c r="TJJ20" s="314" t="s">
        <v>203</v>
      </c>
      <c r="TJK20" s="314" t="s">
        <v>203</v>
      </c>
      <c r="TJL20" s="314" t="s">
        <v>203</v>
      </c>
      <c r="TJM20" s="314" t="s">
        <v>203</v>
      </c>
      <c r="TJN20" s="314" t="s">
        <v>203</v>
      </c>
      <c r="TJO20" s="314" t="s">
        <v>203</v>
      </c>
      <c r="TJP20" s="314" t="s">
        <v>203</v>
      </c>
      <c r="TJQ20" s="314" t="s">
        <v>203</v>
      </c>
      <c r="TJR20" s="314" t="s">
        <v>203</v>
      </c>
      <c r="TJS20" s="314" t="s">
        <v>203</v>
      </c>
      <c r="TJT20" s="314" t="s">
        <v>203</v>
      </c>
      <c r="TJU20" s="314" t="s">
        <v>203</v>
      </c>
      <c r="TJV20" s="314" t="s">
        <v>203</v>
      </c>
      <c r="TJW20" s="314" t="s">
        <v>203</v>
      </c>
      <c r="TJX20" s="314" t="s">
        <v>203</v>
      </c>
      <c r="TJY20" s="314" t="s">
        <v>203</v>
      </c>
      <c r="TJZ20" s="314" t="s">
        <v>203</v>
      </c>
      <c r="TKA20" s="314" t="s">
        <v>203</v>
      </c>
      <c r="TKB20" s="314" t="s">
        <v>203</v>
      </c>
      <c r="TKC20" s="314" t="s">
        <v>203</v>
      </c>
      <c r="TKD20" s="314" t="s">
        <v>203</v>
      </c>
      <c r="TKE20" s="314" t="s">
        <v>203</v>
      </c>
      <c r="TKF20" s="314" t="s">
        <v>203</v>
      </c>
      <c r="TKG20" s="314" t="s">
        <v>203</v>
      </c>
      <c r="TKH20" s="314" t="s">
        <v>203</v>
      </c>
      <c r="TKI20" s="314" t="s">
        <v>203</v>
      </c>
      <c r="TKJ20" s="314" t="s">
        <v>203</v>
      </c>
      <c r="TKK20" s="314" t="s">
        <v>203</v>
      </c>
      <c r="TKL20" s="314" t="s">
        <v>203</v>
      </c>
      <c r="TKM20" s="314" t="s">
        <v>203</v>
      </c>
      <c r="TKN20" s="314" t="s">
        <v>203</v>
      </c>
      <c r="TKO20" s="314" t="s">
        <v>203</v>
      </c>
      <c r="TKP20" s="314" t="s">
        <v>203</v>
      </c>
      <c r="TKQ20" s="314" t="s">
        <v>203</v>
      </c>
      <c r="TKR20" s="314" t="s">
        <v>203</v>
      </c>
      <c r="TKS20" s="314" t="s">
        <v>203</v>
      </c>
      <c r="TKT20" s="314" t="s">
        <v>203</v>
      </c>
      <c r="TKU20" s="314" t="s">
        <v>203</v>
      </c>
      <c r="TKV20" s="314" t="s">
        <v>203</v>
      </c>
      <c r="TKW20" s="314" t="s">
        <v>203</v>
      </c>
      <c r="TKX20" s="314" t="s">
        <v>203</v>
      </c>
      <c r="TKY20" s="314" t="s">
        <v>203</v>
      </c>
      <c r="TKZ20" s="314" t="s">
        <v>203</v>
      </c>
      <c r="TLA20" s="314" t="s">
        <v>203</v>
      </c>
      <c r="TLB20" s="314" t="s">
        <v>203</v>
      </c>
      <c r="TLC20" s="314" t="s">
        <v>203</v>
      </c>
      <c r="TLD20" s="314" t="s">
        <v>203</v>
      </c>
      <c r="TLE20" s="314" t="s">
        <v>203</v>
      </c>
      <c r="TLF20" s="314" t="s">
        <v>203</v>
      </c>
      <c r="TLG20" s="314" t="s">
        <v>203</v>
      </c>
      <c r="TLH20" s="314" t="s">
        <v>203</v>
      </c>
      <c r="TLI20" s="314" t="s">
        <v>203</v>
      </c>
      <c r="TLJ20" s="314" t="s">
        <v>203</v>
      </c>
      <c r="TLK20" s="314" t="s">
        <v>203</v>
      </c>
      <c r="TLL20" s="314" t="s">
        <v>203</v>
      </c>
      <c r="TLM20" s="314" t="s">
        <v>203</v>
      </c>
      <c r="TLN20" s="314" t="s">
        <v>203</v>
      </c>
      <c r="TLO20" s="314" t="s">
        <v>203</v>
      </c>
      <c r="TLP20" s="314" t="s">
        <v>203</v>
      </c>
      <c r="TLQ20" s="314" t="s">
        <v>203</v>
      </c>
      <c r="TLR20" s="314" t="s">
        <v>203</v>
      </c>
      <c r="TLS20" s="314" t="s">
        <v>203</v>
      </c>
      <c r="TLT20" s="314" t="s">
        <v>203</v>
      </c>
      <c r="TLU20" s="314" t="s">
        <v>203</v>
      </c>
      <c r="TLV20" s="314" t="s">
        <v>203</v>
      </c>
      <c r="TLW20" s="314" t="s">
        <v>203</v>
      </c>
      <c r="TLX20" s="314" t="s">
        <v>203</v>
      </c>
      <c r="TLY20" s="314" t="s">
        <v>203</v>
      </c>
      <c r="TLZ20" s="314" t="s">
        <v>203</v>
      </c>
      <c r="TMA20" s="314" t="s">
        <v>203</v>
      </c>
      <c r="TMB20" s="314" t="s">
        <v>203</v>
      </c>
      <c r="TMC20" s="314" t="s">
        <v>203</v>
      </c>
      <c r="TMD20" s="314" t="s">
        <v>203</v>
      </c>
      <c r="TME20" s="314" t="s">
        <v>203</v>
      </c>
      <c r="TMF20" s="314" t="s">
        <v>203</v>
      </c>
      <c r="TMG20" s="314" t="s">
        <v>203</v>
      </c>
      <c r="TMH20" s="314" t="s">
        <v>203</v>
      </c>
      <c r="TMI20" s="314" t="s">
        <v>203</v>
      </c>
      <c r="TMJ20" s="314" t="s">
        <v>203</v>
      </c>
      <c r="TMK20" s="314" t="s">
        <v>203</v>
      </c>
      <c r="TML20" s="314" t="s">
        <v>203</v>
      </c>
      <c r="TMM20" s="314" t="s">
        <v>203</v>
      </c>
      <c r="TMN20" s="314" t="s">
        <v>203</v>
      </c>
      <c r="TMO20" s="314" t="s">
        <v>203</v>
      </c>
      <c r="TMP20" s="314" t="s">
        <v>203</v>
      </c>
      <c r="TMQ20" s="314" t="s">
        <v>203</v>
      </c>
      <c r="TMR20" s="314" t="s">
        <v>203</v>
      </c>
      <c r="TMS20" s="314" t="s">
        <v>203</v>
      </c>
      <c r="TMT20" s="314" t="s">
        <v>203</v>
      </c>
      <c r="TMU20" s="314" t="s">
        <v>203</v>
      </c>
      <c r="TMV20" s="314" t="s">
        <v>203</v>
      </c>
      <c r="TMW20" s="314" t="s">
        <v>203</v>
      </c>
      <c r="TMX20" s="314" t="s">
        <v>203</v>
      </c>
      <c r="TMY20" s="314" t="s">
        <v>203</v>
      </c>
      <c r="TMZ20" s="314" t="s">
        <v>203</v>
      </c>
      <c r="TNA20" s="314" t="s">
        <v>203</v>
      </c>
      <c r="TNB20" s="314" t="s">
        <v>203</v>
      </c>
      <c r="TNC20" s="314" t="s">
        <v>203</v>
      </c>
      <c r="TND20" s="314" t="s">
        <v>203</v>
      </c>
      <c r="TNE20" s="314" t="s">
        <v>203</v>
      </c>
      <c r="TNF20" s="314" t="s">
        <v>203</v>
      </c>
      <c r="TNG20" s="314" t="s">
        <v>203</v>
      </c>
      <c r="TNH20" s="314" t="s">
        <v>203</v>
      </c>
      <c r="TNI20" s="314" t="s">
        <v>203</v>
      </c>
      <c r="TNJ20" s="314" t="s">
        <v>203</v>
      </c>
      <c r="TNK20" s="314" t="s">
        <v>203</v>
      </c>
      <c r="TNL20" s="314" t="s">
        <v>203</v>
      </c>
      <c r="TNM20" s="314" t="s">
        <v>203</v>
      </c>
      <c r="TNN20" s="314" t="s">
        <v>203</v>
      </c>
      <c r="TNO20" s="314" t="s">
        <v>203</v>
      </c>
      <c r="TNP20" s="314" t="s">
        <v>203</v>
      </c>
      <c r="TNQ20" s="314" t="s">
        <v>203</v>
      </c>
      <c r="TNR20" s="314" t="s">
        <v>203</v>
      </c>
      <c r="TNS20" s="314" t="s">
        <v>203</v>
      </c>
      <c r="TNT20" s="314" t="s">
        <v>203</v>
      </c>
      <c r="TNU20" s="314" t="s">
        <v>203</v>
      </c>
      <c r="TNV20" s="314" t="s">
        <v>203</v>
      </c>
      <c r="TNW20" s="314" t="s">
        <v>203</v>
      </c>
      <c r="TNX20" s="314" t="s">
        <v>203</v>
      </c>
      <c r="TNY20" s="314" t="s">
        <v>203</v>
      </c>
      <c r="TNZ20" s="314" t="s">
        <v>203</v>
      </c>
      <c r="TOA20" s="314" t="s">
        <v>203</v>
      </c>
      <c r="TOB20" s="314" t="s">
        <v>203</v>
      </c>
      <c r="TOC20" s="314" t="s">
        <v>203</v>
      </c>
      <c r="TOD20" s="314" t="s">
        <v>203</v>
      </c>
      <c r="TOE20" s="314" t="s">
        <v>203</v>
      </c>
      <c r="TOF20" s="314" t="s">
        <v>203</v>
      </c>
      <c r="TOG20" s="314" t="s">
        <v>203</v>
      </c>
      <c r="TOH20" s="314" t="s">
        <v>203</v>
      </c>
      <c r="TOI20" s="314" t="s">
        <v>203</v>
      </c>
      <c r="TOJ20" s="314" t="s">
        <v>203</v>
      </c>
      <c r="TOK20" s="314" t="s">
        <v>203</v>
      </c>
      <c r="TOL20" s="314" t="s">
        <v>203</v>
      </c>
      <c r="TOM20" s="314" t="s">
        <v>203</v>
      </c>
      <c r="TON20" s="314" t="s">
        <v>203</v>
      </c>
      <c r="TOO20" s="314" t="s">
        <v>203</v>
      </c>
      <c r="TOP20" s="314" t="s">
        <v>203</v>
      </c>
      <c r="TOQ20" s="314" t="s">
        <v>203</v>
      </c>
      <c r="TOR20" s="314" t="s">
        <v>203</v>
      </c>
      <c r="TOS20" s="314" t="s">
        <v>203</v>
      </c>
      <c r="TOT20" s="314" t="s">
        <v>203</v>
      </c>
      <c r="TOU20" s="314" t="s">
        <v>203</v>
      </c>
      <c r="TOV20" s="314" t="s">
        <v>203</v>
      </c>
      <c r="TOW20" s="314" t="s">
        <v>203</v>
      </c>
      <c r="TOX20" s="314" t="s">
        <v>203</v>
      </c>
      <c r="TOY20" s="314" t="s">
        <v>203</v>
      </c>
      <c r="TOZ20" s="314" t="s">
        <v>203</v>
      </c>
      <c r="TPA20" s="314" t="s">
        <v>203</v>
      </c>
      <c r="TPB20" s="314" t="s">
        <v>203</v>
      </c>
      <c r="TPC20" s="314" t="s">
        <v>203</v>
      </c>
      <c r="TPD20" s="314" t="s">
        <v>203</v>
      </c>
      <c r="TPE20" s="314" t="s">
        <v>203</v>
      </c>
      <c r="TPF20" s="314" t="s">
        <v>203</v>
      </c>
      <c r="TPG20" s="314" t="s">
        <v>203</v>
      </c>
      <c r="TPH20" s="314" t="s">
        <v>203</v>
      </c>
      <c r="TPI20" s="314" t="s">
        <v>203</v>
      </c>
      <c r="TPJ20" s="314" t="s">
        <v>203</v>
      </c>
      <c r="TPK20" s="314" t="s">
        <v>203</v>
      </c>
      <c r="TPL20" s="314" t="s">
        <v>203</v>
      </c>
      <c r="TPM20" s="314" t="s">
        <v>203</v>
      </c>
      <c r="TPN20" s="314" t="s">
        <v>203</v>
      </c>
      <c r="TPO20" s="314" t="s">
        <v>203</v>
      </c>
      <c r="TPP20" s="314" t="s">
        <v>203</v>
      </c>
      <c r="TPQ20" s="314" t="s">
        <v>203</v>
      </c>
      <c r="TPR20" s="314" t="s">
        <v>203</v>
      </c>
      <c r="TPS20" s="314" t="s">
        <v>203</v>
      </c>
      <c r="TPT20" s="314" t="s">
        <v>203</v>
      </c>
      <c r="TPU20" s="314" t="s">
        <v>203</v>
      </c>
      <c r="TPV20" s="314" t="s">
        <v>203</v>
      </c>
      <c r="TPW20" s="314" t="s">
        <v>203</v>
      </c>
      <c r="TPX20" s="314" t="s">
        <v>203</v>
      </c>
      <c r="TPY20" s="314" t="s">
        <v>203</v>
      </c>
      <c r="TPZ20" s="314" t="s">
        <v>203</v>
      </c>
      <c r="TQA20" s="314" t="s">
        <v>203</v>
      </c>
      <c r="TQB20" s="314" t="s">
        <v>203</v>
      </c>
      <c r="TQC20" s="314" t="s">
        <v>203</v>
      </c>
      <c r="TQD20" s="314" t="s">
        <v>203</v>
      </c>
      <c r="TQE20" s="314" t="s">
        <v>203</v>
      </c>
      <c r="TQF20" s="314" t="s">
        <v>203</v>
      </c>
      <c r="TQG20" s="314" t="s">
        <v>203</v>
      </c>
      <c r="TQH20" s="314" t="s">
        <v>203</v>
      </c>
      <c r="TQI20" s="314" t="s">
        <v>203</v>
      </c>
      <c r="TQJ20" s="314" t="s">
        <v>203</v>
      </c>
      <c r="TQK20" s="314" t="s">
        <v>203</v>
      </c>
      <c r="TQL20" s="314" t="s">
        <v>203</v>
      </c>
      <c r="TQM20" s="314" t="s">
        <v>203</v>
      </c>
      <c r="TQN20" s="314" t="s">
        <v>203</v>
      </c>
      <c r="TQO20" s="314" t="s">
        <v>203</v>
      </c>
      <c r="TQP20" s="314" t="s">
        <v>203</v>
      </c>
      <c r="TQQ20" s="314" t="s">
        <v>203</v>
      </c>
      <c r="TQR20" s="314" t="s">
        <v>203</v>
      </c>
      <c r="TQS20" s="314" t="s">
        <v>203</v>
      </c>
      <c r="TQT20" s="314" t="s">
        <v>203</v>
      </c>
      <c r="TQU20" s="314" t="s">
        <v>203</v>
      </c>
      <c r="TQV20" s="314" t="s">
        <v>203</v>
      </c>
      <c r="TQW20" s="314" t="s">
        <v>203</v>
      </c>
      <c r="TQX20" s="314" t="s">
        <v>203</v>
      </c>
      <c r="TQY20" s="314" t="s">
        <v>203</v>
      </c>
      <c r="TQZ20" s="314" t="s">
        <v>203</v>
      </c>
      <c r="TRA20" s="314" t="s">
        <v>203</v>
      </c>
      <c r="TRB20" s="314" t="s">
        <v>203</v>
      </c>
      <c r="TRC20" s="314" t="s">
        <v>203</v>
      </c>
      <c r="TRD20" s="314" t="s">
        <v>203</v>
      </c>
      <c r="TRE20" s="314" t="s">
        <v>203</v>
      </c>
      <c r="TRF20" s="314" t="s">
        <v>203</v>
      </c>
      <c r="TRG20" s="314" t="s">
        <v>203</v>
      </c>
      <c r="TRH20" s="314" t="s">
        <v>203</v>
      </c>
      <c r="TRI20" s="314" t="s">
        <v>203</v>
      </c>
      <c r="TRJ20" s="314" t="s">
        <v>203</v>
      </c>
      <c r="TRK20" s="314" t="s">
        <v>203</v>
      </c>
      <c r="TRL20" s="314" t="s">
        <v>203</v>
      </c>
      <c r="TRM20" s="314" t="s">
        <v>203</v>
      </c>
      <c r="TRN20" s="314" t="s">
        <v>203</v>
      </c>
      <c r="TRO20" s="314" t="s">
        <v>203</v>
      </c>
      <c r="TRP20" s="314" t="s">
        <v>203</v>
      </c>
      <c r="TRQ20" s="314" t="s">
        <v>203</v>
      </c>
      <c r="TRR20" s="314" t="s">
        <v>203</v>
      </c>
      <c r="TRS20" s="314" t="s">
        <v>203</v>
      </c>
      <c r="TRT20" s="314" t="s">
        <v>203</v>
      </c>
      <c r="TRU20" s="314" t="s">
        <v>203</v>
      </c>
      <c r="TRV20" s="314" t="s">
        <v>203</v>
      </c>
      <c r="TRW20" s="314" t="s">
        <v>203</v>
      </c>
      <c r="TRX20" s="314" t="s">
        <v>203</v>
      </c>
      <c r="TRY20" s="314" t="s">
        <v>203</v>
      </c>
      <c r="TRZ20" s="314" t="s">
        <v>203</v>
      </c>
      <c r="TSA20" s="314" t="s">
        <v>203</v>
      </c>
      <c r="TSB20" s="314" t="s">
        <v>203</v>
      </c>
      <c r="TSC20" s="314" t="s">
        <v>203</v>
      </c>
      <c r="TSD20" s="314" t="s">
        <v>203</v>
      </c>
      <c r="TSE20" s="314" t="s">
        <v>203</v>
      </c>
      <c r="TSF20" s="314" t="s">
        <v>203</v>
      </c>
      <c r="TSG20" s="314" t="s">
        <v>203</v>
      </c>
      <c r="TSH20" s="314" t="s">
        <v>203</v>
      </c>
      <c r="TSI20" s="314" t="s">
        <v>203</v>
      </c>
      <c r="TSJ20" s="314" t="s">
        <v>203</v>
      </c>
      <c r="TSK20" s="314" t="s">
        <v>203</v>
      </c>
      <c r="TSL20" s="314" t="s">
        <v>203</v>
      </c>
      <c r="TSM20" s="314" t="s">
        <v>203</v>
      </c>
      <c r="TSN20" s="314" t="s">
        <v>203</v>
      </c>
      <c r="TSO20" s="314" t="s">
        <v>203</v>
      </c>
      <c r="TSP20" s="314" t="s">
        <v>203</v>
      </c>
      <c r="TSQ20" s="314" t="s">
        <v>203</v>
      </c>
      <c r="TSR20" s="314" t="s">
        <v>203</v>
      </c>
      <c r="TSS20" s="314" t="s">
        <v>203</v>
      </c>
      <c r="TST20" s="314" t="s">
        <v>203</v>
      </c>
      <c r="TSU20" s="314" t="s">
        <v>203</v>
      </c>
      <c r="TSV20" s="314" t="s">
        <v>203</v>
      </c>
      <c r="TSW20" s="314" t="s">
        <v>203</v>
      </c>
      <c r="TSX20" s="314" t="s">
        <v>203</v>
      </c>
      <c r="TSY20" s="314" t="s">
        <v>203</v>
      </c>
      <c r="TSZ20" s="314" t="s">
        <v>203</v>
      </c>
      <c r="TTA20" s="314" t="s">
        <v>203</v>
      </c>
      <c r="TTB20" s="314" t="s">
        <v>203</v>
      </c>
      <c r="TTC20" s="314" t="s">
        <v>203</v>
      </c>
      <c r="TTD20" s="314" t="s">
        <v>203</v>
      </c>
      <c r="TTE20" s="314" t="s">
        <v>203</v>
      </c>
      <c r="TTF20" s="314" t="s">
        <v>203</v>
      </c>
      <c r="TTG20" s="314" t="s">
        <v>203</v>
      </c>
      <c r="TTH20" s="314" t="s">
        <v>203</v>
      </c>
      <c r="TTI20" s="314" t="s">
        <v>203</v>
      </c>
      <c r="TTJ20" s="314" t="s">
        <v>203</v>
      </c>
      <c r="TTK20" s="314" t="s">
        <v>203</v>
      </c>
      <c r="TTL20" s="314" t="s">
        <v>203</v>
      </c>
      <c r="TTM20" s="314" t="s">
        <v>203</v>
      </c>
      <c r="TTN20" s="314" t="s">
        <v>203</v>
      </c>
      <c r="TTO20" s="314" t="s">
        <v>203</v>
      </c>
      <c r="TTP20" s="314" t="s">
        <v>203</v>
      </c>
      <c r="TTQ20" s="314" t="s">
        <v>203</v>
      </c>
      <c r="TTR20" s="314" t="s">
        <v>203</v>
      </c>
      <c r="TTS20" s="314" t="s">
        <v>203</v>
      </c>
      <c r="TTT20" s="314" t="s">
        <v>203</v>
      </c>
      <c r="TTU20" s="314" t="s">
        <v>203</v>
      </c>
      <c r="TTV20" s="314" t="s">
        <v>203</v>
      </c>
      <c r="TTW20" s="314" t="s">
        <v>203</v>
      </c>
      <c r="TTX20" s="314" t="s">
        <v>203</v>
      </c>
      <c r="TTY20" s="314" t="s">
        <v>203</v>
      </c>
      <c r="TTZ20" s="314" t="s">
        <v>203</v>
      </c>
      <c r="TUA20" s="314" t="s">
        <v>203</v>
      </c>
      <c r="TUB20" s="314" t="s">
        <v>203</v>
      </c>
      <c r="TUC20" s="314" t="s">
        <v>203</v>
      </c>
      <c r="TUD20" s="314" t="s">
        <v>203</v>
      </c>
      <c r="TUE20" s="314" t="s">
        <v>203</v>
      </c>
      <c r="TUF20" s="314" t="s">
        <v>203</v>
      </c>
      <c r="TUG20" s="314" t="s">
        <v>203</v>
      </c>
      <c r="TUH20" s="314" t="s">
        <v>203</v>
      </c>
      <c r="TUI20" s="314" t="s">
        <v>203</v>
      </c>
      <c r="TUJ20" s="314" t="s">
        <v>203</v>
      </c>
      <c r="TUK20" s="314" t="s">
        <v>203</v>
      </c>
      <c r="TUL20" s="314" t="s">
        <v>203</v>
      </c>
      <c r="TUM20" s="314" t="s">
        <v>203</v>
      </c>
      <c r="TUN20" s="314" t="s">
        <v>203</v>
      </c>
      <c r="TUO20" s="314" t="s">
        <v>203</v>
      </c>
      <c r="TUP20" s="314" t="s">
        <v>203</v>
      </c>
      <c r="TUQ20" s="314" t="s">
        <v>203</v>
      </c>
      <c r="TUR20" s="314" t="s">
        <v>203</v>
      </c>
      <c r="TUS20" s="314" t="s">
        <v>203</v>
      </c>
      <c r="TUT20" s="314" t="s">
        <v>203</v>
      </c>
      <c r="TUU20" s="314" t="s">
        <v>203</v>
      </c>
      <c r="TUV20" s="314" t="s">
        <v>203</v>
      </c>
      <c r="TUW20" s="314" t="s">
        <v>203</v>
      </c>
      <c r="TUX20" s="314" t="s">
        <v>203</v>
      </c>
      <c r="TUY20" s="314" t="s">
        <v>203</v>
      </c>
      <c r="TUZ20" s="314" t="s">
        <v>203</v>
      </c>
      <c r="TVA20" s="314" t="s">
        <v>203</v>
      </c>
      <c r="TVB20" s="314" t="s">
        <v>203</v>
      </c>
      <c r="TVC20" s="314" t="s">
        <v>203</v>
      </c>
      <c r="TVD20" s="314" t="s">
        <v>203</v>
      </c>
      <c r="TVE20" s="314" t="s">
        <v>203</v>
      </c>
      <c r="TVF20" s="314" t="s">
        <v>203</v>
      </c>
      <c r="TVG20" s="314" t="s">
        <v>203</v>
      </c>
      <c r="TVH20" s="314" t="s">
        <v>203</v>
      </c>
      <c r="TVI20" s="314" t="s">
        <v>203</v>
      </c>
      <c r="TVJ20" s="314" t="s">
        <v>203</v>
      </c>
      <c r="TVK20" s="314" t="s">
        <v>203</v>
      </c>
      <c r="TVL20" s="314" t="s">
        <v>203</v>
      </c>
      <c r="TVM20" s="314" t="s">
        <v>203</v>
      </c>
      <c r="TVN20" s="314" t="s">
        <v>203</v>
      </c>
      <c r="TVO20" s="314" t="s">
        <v>203</v>
      </c>
      <c r="TVP20" s="314" t="s">
        <v>203</v>
      </c>
      <c r="TVQ20" s="314" t="s">
        <v>203</v>
      </c>
      <c r="TVR20" s="314" t="s">
        <v>203</v>
      </c>
      <c r="TVS20" s="314" t="s">
        <v>203</v>
      </c>
      <c r="TVT20" s="314" t="s">
        <v>203</v>
      </c>
      <c r="TVU20" s="314" t="s">
        <v>203</v>
      </c>
      <c r="TVV20" s="314" t="s">
        <v>203</v>
      </c>
      <c r="TVW20" s="314" t="s">
        <v>203</v>
      </c>
      <c r="TVX20" s="314" t="s">
        <v>203</v>
      </c>
      <c r="TVY20" s="314" t="s">
        <v>203</v>
      </c>
      <c r="TVZ20" s="314" t="s">
        <v>203</v>
      </c>
      <c r="TWA20" s="314" t="s">
        <v>203</v>
      </c>
      <c r="TWB20" s="314" t="s">
        <v>203</v>
      </c>
      <c r="TWC20" s="314" t="s">
        <v>203</v>
      </c>
      <c r="TWD20" s="314" t="s">
        <v>203</v>
      </c>
      <c r="TWE20" s="314" t="s">
        <v>203</v>
      </c>
      <c r="TWF20" s="314" t="s">
        <v>203</v>
      </c>
      <c r="TWG20" s="314" t="s">
        <v>203</v>
      </c>
      <c r="TWH20" s="314" t="s">
        <v>203</v>
      </c>
      <c r="TWI20" s="314" t="s">
        <v>203</v>
      </c>
      <c r="TWJ20" s="314" t="s">
        <v>203</v>
      </c>
      <c r="TWK20" s="314" t="s">
        <v>203</v>
      </c>
      <c r="TWL20" s="314" t="s">
        <v>203</v>
      </c>
      <c r="TWM20" s="314" t="s">
        <v>203</v>
      </c>
      <c r="TWN20" s="314" t="s">
        <v>203</v>
      </c>
      <c r="TWO20" s="314" t="s">
        <v>203</v>
      </c>
      <c r="TWP20" s="314" t="s">
        <v>203</v>
      </c>
      <c r="TWQ20" s="314" t="s">
        <v>203</v>
      </c>
      <c r="TWR20" s="314" t="s">
        <v>203</v>
      </c>
      <c r="TWS20" s="314" t="s">
        <v>203</v>
      </c>
      <c r="TWT20" s="314" t="s">
        <v>203</v>
      </c>
      <c r="TWU20" s="314" t="s">
        <v>203</v>
      </c>
      <c r="TWV20" s="314" t="s">
        <v>203</v>
      </c>
      <c r="TWW20" s="314" t="s">
        <v>203</v>
      </c>
      <c r="TWX20" s="314" t="s">
        <v>203</v>
      </c>
      <c r="TWY20" s="314" t="s">
        <v>203</v>
      </c>
      <c r="TWZ20" s="314" t="s">
        <v>203</v>
      </c>
      <c r="TXA20" s="314" t="s">
        <v>203</v>
      </c>
      <c r="TXB20" s="314" t="s">
        <v>203</v>
      </c>
      <c r="TXC20" s="314" t="s">
        <v>203</v>
      </c>
      <c r="TXD20" s="314" t="s">
        <v>203</v>
      </c>
      <c r="TXE20" s="314" t="s">
        <v>203</v>
      </c>
      <c r="TXF20" s="314" t="s">
        <v>203</v>
      </c>
      <c r="TXG20" s="314" t="s">
        <v>203</v>
      </c>
      <c r="TXH20" s="314" t="s">
        <v>203</v>
      </c>
      <c r="TXI20" s="314" t="s">
        <v>203</v>
      </c>
      <c r="TXJ20" s="314" t="s">
        <v>203</v>
      </c>
      <c r="TXK20" s="314" t="s">
        <v>203</v>
      </c>
      <c r="TXL20" s="314" t="s">
        <v>203</v>
      </c>
      <c r="TXM20" s="314" t="s">
        <v>203</v>
      </c>
      <c r="TXN20" s="314" t="s">
        <v>203</v>
      </c>
      <c r="TXO20" s="314" t="s">
        <v>203</v>
      </c>
      <c r="TXP20" s="314" t="s">
        <v>203</v>
      </c>
      <c r="TXQ20" s="314" t="s">
        <v>203</v>
      </c>
      <c r="TXR20" s="314" t="s">
        <v>203</v>
      </c>
      <c r="TXS20" s="314" t="s">
        <v>203</v>
      </c>
      <c r="TXT20" s="314" t="s">
        <v>203</v>
      </c>
      <c r="TXU20" s="314" t="s">
        <v>203</v>
      </c>
      <c r="TXV20" s="314" t="s">
        <v>203</v>
      </c>
      <c r="TXW20" s="314" t="s">
        <v>203</v>
      </c>
      <c r="TXX20" s="314" t="s">
        <v>203</v>
      </c>
      <c r="TXY20" s="314" t="s">
        <v>203</v>
      </c>
      <c r="TXZ20" s="314" t="s">
        <v>203</v>
      </c>
      <c r="TYA20" s="314" t="s">
        <v>203</v>
      </c>
      <c r="TYB20" s="314" t="s">
        <v>203</v>
      </c>
      <c r="TYC20" s="314" t="s">
        <v>203</v>
      </c>
      <c r="TYD20" s="314" t="s">
        <v>203</v>
      </c>
      <c r="TYE20" s="314" t="s">
        <v>203</v>
      </c>
      <c r="TYF20" s="314" t="s">
        <v>203</v>
      </c>
      <c r="TYG20" s="314" t="s">
        <v>203</v>
      </c>
      <c r="TYH20" s="314" t="s">
        <v>203</v>
      </c>
      <c r="TYI20" s="314" t="s">
        <v>203</v>
      </c>
      <c r="TYJ20" s="314" t="s">
        <v>203</v>
      </c>
      <c r="TYK20" s="314" t="s">
        <v>203</v>
      </c>
      <c r="TYL20" s="314" t="s">
        <v>203</v>
      </c>
      <c r="TYM20" s="314" t="s">
        <v>203</v>
      </c>
      <c r="TYN20" s="314" t="s">
        <v>203</v>
      </c>
      <c r="TYO20" s="314" t="s">
        <v>203</v>
      </c>
      <c r="TYP20" s="314" t="s">
        <v>203</v>
      </c>
      <c r="TYQ20" s="314" t="s">
        <v>203</v>
      </c>
      <c r="TYR20" s="314" t="s">
        <v>203</v>
      </c>
      <c r="TYS20" s="314" t="s">
        <v>203</v>
      </c>
      <c r="TYT20" s="314" t="s">
        <v>203</v>
      </c>
      <c r="TYU20" s="314" t="s">
        <v>203</v>
      </c>
      <c r="TYV20" s="314" t="s">
        <v>203</v>
      </c>
      <c r="TYW20" s="314" t="s">
        <v>203</v>
      </c>
      <c r="TYX20" s="314" t="s">
        <v>203</v>
      </c>
      <c r="TYY20" s="314" t="s">
        <v>203</v>
      </c>
      <c r="TYZ20" s="314" t="s">
        <v>203</v>
      </c>
      <c r="TZA20" s="314" t="s">
        <v>203</v>
      </c>
      <c r="TZB20" s="314" t="s">
        <v>203</v>
      </c>
      <c r="TZC20" s="314" t="s">
        <v>203</v>
      </c>
      <c r="TZD20" s="314" t="s">
        <v>203</v>
      </c>
      <c r="TZE20" s="314" t="s">
        <v>203</v>
      </c>
      <c r="TZF20" s="314" t="s">
        <v>203</v>
      </c>
      <c r="TZG20" s="314" t="s">
        <v>203</v>
      </c>
      <c r="TZH20" s="314" t="s">
        <v>203</v>
      </c>
      <c r="TZI20" s="314" t="s">
        <v>203</v>
      </c>
      <c r="TZJ20" s="314" t="s">
        <v>203</v>
      </c>
      <c r="TZK20" s="314" t="s">
        <v>203</v>
      </c>
      <c r="TZL20" s="314" t="s">
        <v>203</v>
      </c>
      <c r="TZM20" s="314" t="s">
        <v>203</v>
      </c>
      <c r="TZN20" s="314" t="s">
        <v>203</v>
      </c>
      <c r="TZO20" s="314" t="s">
        <v>203</v>
      </c>
      <c r="TZP20" s="314" t="s">
        <v>203</v>
      </c>
      <c r="TZQ20" s="314" t="s">
        <v>203</v>
      </c>
      <c r="TZR20" s="314" t="s">
        <v>203</v>
      </c>
      <c r="TZS20" s="314" t="s">
        <v>203</v>
      </c>
      <c r="TZT20" s="314" t="s">
        <v>203</v>
      </c>
      <c r="TZU20" s="314" t="s">
        <v>203</v>
      </c>
      <c r="TZV20" s="314" t="s">
        <v>203</v>
      </c>
      <c r="TZW20" s="314" t="s">
        <v>203</v>
      </c>
      <c r="TZX20" s="314" t="s">
        <v>203</v>
      </c>
      <c r="TZY20" s="314" t="s">
        <v>203</v>
      </c>
      <c r="TZZ20" s="314" t="s">
        <v>203</v>
      </c>
      <c r="UAA20" s="314" t="s">
        <v>203</v>
      </c>
      <c r="UAB20" s="314" t="s">
        <v>203</v>
      </c>
      <c r="UAC20" s="314" t="s">
        <v>203</v>
      </c>
      <c r="UAD20" s="314" t="s">
        <v>203</v>
      </c>
      <c r="UAE20" s="314" t="s">
        <v>203</v>
      </c>
      <c r="UAF20" s="314" t="s">
        <v>203</v>
      </c>
      <c r="UAG20" s="314" t="s">
        <v>203</v>
      </c>
      <c r="UAH20" s="314" t="s">
        <v>203</v>
      </c>
      <c r="UAI20" s="314" t="s">
        <v>203</v>
      </c>
      <c r="UAJ20" s="314" t="s">
        <v>203</v>
      </c>
      <c r="UAK20" s="314" t="s">
        <v>203</v>
      </c>
      <c r="UAL20" s="314" t="s">
        <v>203</v>
      </c>
      <c r="UAM20" s="314" t="s">
        <v>203</v>
      </c>
      <c r="UAN20" s="314" t="s">
        <v>203</v>
      </c>
      <c r="UAO20" s="314" t="s">
        <v>203</v>
      </c>
      <c r="UAP20" s="314" t="s">
        <v>203</v>
      </c>
      <c r="UAQ20" s="314" t="s">
        <v>203</v>
      </c>
      <c r="UAR20" s="314" t="s">
        <v>203</v>
      </c>
      <c r="UAS20" s="314" t="s">
        <v>203</v>
      </c>
      <c r="UAT20" s="314" t="s">
        <v>203</v>
      </c>
      <c r="UAU20" s="314" t="s">
        <v>203</v>
      </c>
      <c r="UAV20" s="314" t="s">
        <v>203</v>
      </c>
      <c r="UAW20" s="314" t="s">
        <v>203</v>
      </c>
      <c r="UAX20" s="314" t="s">
        <v>203</v>
      </c>
      <c r="UAY20" s="314" t="s">
        <v>203</v>
      </c>
      <c r="UAZ20" s="314" t="s">
        <v>203</v>
      </c>
      <c r="UBA20" s="314" t="s">
        <v>203</v>
      </c>
      <c r="UBB20" s="314" t="s">
        <v>203</v>
      </c>
      <c r="UBC20" s="314" t="s">
        <v>203</v>
      </c>
      <c r="UBD20" s="314" t="s">
        <v>203</v>
      </c>
      <c r="UBE20" s="314" t="s">
        <v>203</v>
      </c>
      <c r="UBF20" s="314" t="s">
        <v>203</v>
      </c>
      <c r="UBG20" s="314" t="s">
        <v>203</v>
      </c>
      <c r="UBH20" s="314" t="s">
        <v>203</v>
      </c>
      <c r="UBI20" s="314" t="s">
        <v>203</v>
      </c>
      <c r="UBJ20" s="314" t="s">
        <v>203</v>
      </c>
      <c r="UBK20" s="314" t="s">
        <v>203</v>
      </c>
      <c r="UBL20" s="314" t="s">
        <v>203</v>
      </c>
      <c r="UBM20" s="314" t="s">
        <v>203</v>
      </c>
      <c r="UBN20" s="314" t="s">
        <v>203</v>
      </c>
      <c r="UBO20" s="314" t="s">
        <v>203</v>
      </c>
      <c r="UBP20" s="314" t="s">
        <v>203</v>
      </c>
      <c r="UBQ20" s="314" t="s">
        <v>203</v>
      </c>
      <c r="UBR20" s="314" t="s">
        <v>203</v>
      </c>
      <c r="UBS20" s="314" t="s">
        <v>203</v>
      </c>
      <c r="UBT20" s="314" t="s">
        <v>203</v>
      </c>
      <c r="UBU20" s="314" t="s">
        <v>203</v>
      </c>
      <c r="UBV20" s="314" t="s">
        <v>203</v>
      </c>
      <c r="UBW20" s="314" t="s">
        <v>203</v>
      </c>
      <c r="UBX20" s="314" t="s">
        <v>203</v>
      </c>
      <c r="UBY20" s="314" t="s">
        <v>203</v>
      </c>
      <c r="UBZ20" s="314" t="s">
        <v>203</v>
      </c>
      <c r="UCA20" s="314" t="s">
        <v>203</v>
      </c>
      <c r="UCB20" s="314" t="s">
        <v>203</v>
      </c>
      <c r="UCC20" s="314" t="s">
        <v>203</v>
      </c>
      <c r="UCD20" s="314" t="s">
        <v>203</v>
      </c>
      <c r="UCE20" s="314" t="s">
        <v>203</v>
      </c>
      <c r="UCF20" s="314" t="s">
        <v>203</v>
      </c>
      <c r="UCG20" s="314" t="s">
        <v>203</v>
      </c>
      <c r="UCH20" s="314" t="s">
        <v>203</v>
      </c>
      <c r="UCI20" s="314" t="s">
        <v>203</v>
      </c>
      <c r="UCJ20" s="314" t="s">
        <v>203</v>
      </c>
      <c r="UCK20" s="314" t="s">
        <v>203</v>
      </c>
      <c r="UCL20" s="314" t="s">
        <v>203</v>
      </c>
      <c r="UCM20" s="314" t="s">
        <v>203</v>
      </c>
      <c r="UCN20" s="314" t="s">
        <v>203</v>
      </c>
      <c r="UCO20" s="314" t="s">
        <v>203</v>
      </c>
      <c r="UCP20" s="314" t="s">
        <v>203</v>
      </c>
      <c r="UCQ20" s="314" t="s">
        <v>203</v>
      </c>
      <c r="UCR20" s="314" t="s">
        <v>203</v>
      </c>
      <c r="UCS20" s="314" t="s">
        <v>203</v>
      </c>
      <c r="UCT20" s="314" t="s">
        <v>203</v>
      </c>
      <c r="UCU20" s="314" t="s">
        <v>203</v>
      </c>
      <c r="UCV20" s="314" t="s">
        <v>203</v>
      </c>
      <c r="UCW20" s="314" t="s">
        <v>203</v>
      </c>
      <c r="UCX20" s="314" t="s">
        <v>203</v>
      </c>
      <c r="UCY20" s="314" t="s">
        <v>203</v>
      </c>
      <c r="UCZ20" s="314" t="s">
        <v>203</v>
      </c>
      <c r="UDA20" s="314" t="s">
        <v>203</v>
      </c>
      <c r="UDB20" s="314" t="s">
        <v>203</v>
      </c>
      <c r="UDC20" s="314" t="s">
        <v>203</v>
      </c>
      <c r="UDD20" s="314" t="s">
        <v>203</v>
      </c>
      <c r="UDE20" s="314" t="s">
        <v>203</v>
      </c>
      <c r="UDF20" s="314" t="s">
        <v>203</v>
      </c>
      <c r="UDG20" s="314" t="s">
        <v>203</v>
      </c>
      <c r="UDH20" s="314" t="s">
        <v>203</v>
      </c>
      <c r="UDI20" s="314" t="s">
        <v>203</v>
      </c>
      <c r="UDJ20" s="314" t="s">
        <v>203</v>
      </c>
      <c r="UDK20" s="314" t="s">
        <v>203</v>
      </c>
      <c r="UDL20" s="314" t="s">
        <v>203</v>
      </c>
      <c r="UDM20" s="314" t="s">
        <v>203</v>
      </c>
      <c r="UDN20" s="314" t="s">
        <v>203</v>
      </c>
      <c r="UDO20" s="314" t="s">
        <v>203</v>
      </c>
      <c r="UDP20" s="314" t="s">
        <v>203</v>
      </c>
      <c r="UDQ20" s="314" t="s">
        <v>203</v>
      </c>
      <c r="UDR20" s="314" t="s">
        <v>203</v>
      </c>
      <c r="UDS20" s="314" t="s">
        <v>203</v>
      </c>
      <c r="UDT20" s="314" t="s">
        <v>203</v>
      </c>
      <c r="UDU20" s="314" t="s">
        <v>203</v>
      </c>
      <c r="UDV20" s="314" t="s">
        <v>203</v>
      </c>
      <c r="UDW20" s="314" t="s">
        <v>203</v>
      </c>
      <c r="UDX20" s="314" t="s">
        <v>203</v>
      </c>
      <c r="UDY20" s="314" t="s">
        <v>203</v>
      </c>
      <c r="UDZ20" s="314" t="s">
        <v>203</v>
      </c>
      <c r="UEA20" s="314" t="s">
        <v>203</v>
      </c>
      <c r="UEB20" s="314" t="s">
        <v>203</v>
      </c>
      <c r="UEC20" s="314" t="s">
        <v>203</v>
      </c>
      <c r="UED20" s="314" t="s">
        <v>203</v>
      </c>
      <c r="UEE20" s="314" t="s">
        <v>203</v>
      </c>
      <c r="UEF20" s="314" t="s">
        <v>203</v>
      </c>
      <c r="UEG20" s="314" t="s">
        <v>203</v>
      </c>
      <c r="UEH20" s="314" t="s">
        <v>203</v>
      </c>
      <c r="UEI20" s="314" t="s">
        <v>203</v>
      </c>
      <c r="UEJ20" s="314" t="s">
        <v>203</v>
      </c>
      <c r="UEK20" s="314" t="s">
        <v>203</v>
      </c>
      <c r="UEL20" s="314" t="s">
        <v>203</v>
      </c>
      <c r="UEM20" s="314" t="s">
        <v>203</v>
      </c>
      <c r="UEN20" s="314" t="s">
        <v>203</v>
      </c>
      <c r="UEO20" s="314" t="s">
        <v>203</v>
      </c>
      <c r="UEP20" s="314" t="s">
        <v>203</v>
      </c>
      <c r="UEQ20" s="314" t="s">
        <v>203</v>
      </c>
      <c r="UER20" s="314" t="s">
        <v>203</v>
      </c>
      <c r="UES20" s="314" t="s">
        <v>203</v>
      </c>
      <c r="UET20" s="314" t="s">
        <v>203</v>
      </c>
      <c r="UEU20" s="314" t="s">
        <v>203</v>
      </c>
      <c r="UEV20" s="314" t="s">
        <v>203</v>
      </c>
      <c r="UEW20" s="314" t="s">
        <v>203</v>
      </c>
      <c r="UEX20" s="314" t="s">
        <v>203</v>
      </c>
      <c r="UEY20" s="314" t="s">
        <v>203</v>
      </c>
      <c r="UEZ20" s="314" t="s">
        <v>203</v>
      </c>
      <c r="UFA20" s="314" t="s">
        <v>203</v>
      </c>
      <c r="UFB20" s="314" t="s">
        <v>203</v>
      </c>
      <c r="UFC20" s="314" t="s">
        <v>203</v>
      </c>
      <c r="UFD20" s="314" t="s">
        <v>203</v>
      </c>
      <c r="UFE20" s="314" t="s">
        <v>203</v>
      </c>
      <c r="UFF20" s="314" t="s">
        <v>203</v>
      </c>
      <c r="UFG20" s="314" t="s">
        <v>203</v>
      </c>
      <c r="UFH20" s="314" t="s">
        <v>203</v>
      </c>
      <c r="UFI20" s="314" t="s">
        <v>203</v>
      </c>
      <c r="UFJ20" s="314" t="s">
        <v>203</v>
      </c>
      <c r="UFK20" s="314" t="s">
        <v>203</v>
      </c>
      <c r="UFL20" s="314" t="s">
        <v>203</v>
      </c>
      <c r="UFM20" s="314" t="s">
        <v>203</v>
      </c>
      <c r="UFN20" s="314" t="s">
        <v>203</v>
      </c>
      <c r="UFO20" s="314" t="s">
        <v>203</v>
      </c>
      <c r="UFP20" s="314" t="s">
        <v>203</v>
      </c>
      <c r="UFQ20" s="314" t="s">
        <v>203</v>
      </c>
      <c r="UFR20" s="314" t="s">
        <v>203</v>
      </c>
      <c r="UFS20" s="314" t="s">
        <v>203</v>
      </c>
      <c r="UFT20" s="314" t="s">
        <v>203</v>
      </c>
      <c r="UFU20" s="314" t="s">
        <v>203</v>
      </c>
      <c r="UFV20" s="314" t="s">
        <v>203</v>
      </c>
      <c r="UFW20" s="314" t="s">
        <v>203</v>
      </c>
      <c r="UFX20" s="314" t="s">
        <v>203</v>
      </c>
      <c r="UFY20" s="314" t="s">
        <v>203</v>
      </c>
      <c r="UFZ20" s="314" t="s">
        <v>203</v>
      </c>
      <c r="UGA20" s="314" t="s">
        <v>203</v>
      </c>
      <c r="UGB20" s="314" t="s">
        <v>203</v>
      </c>
      <c r="UGC20" s="314" t="s">
        <v>203</v>
      </c>
      <c r="UGD20" s="314" t="s">
        <v>203</v>
      </c>
      <c r="UGE20" s="314" t="s">
        <v>203</v>
      </c>
      <c r="UGF20" s="314" t="s">
        <v>203</v>
      </c>
      <c r="UGG20" s="314" t="s">
        <v>203</v>
      </c>
      <c r="UGH20" s="314" t="s">
        <v>203</v>
      </c>
      <c r="UGI20" s="314" t="s">
        <v>203</v>
      </c>
      <c r="UGJ20" s="314" t="s">
        <v>203</v>
      </c>
      <c r="UGK20" s="314" t="s">
        <v>203</v>
      </c>
      <c r="UGL20" s="314" t="s">
        <v>203</v>
      </c>
      <c r="UGM20" s="314" t="s">
        <v>203</v>
      </c>
      <c r="UGN20" s="314" t="s">
        <v>203</v>
      </c>
      <c r="UGO20" s="314" t="s">
        <v>203</v>
      </c>
      <c r="UGP20" s="314" t="s">
        <v>203</v>
      </c>
      <c r="UGQ20" s="314" t="s">
        <v>203</v>
      </c>
      <c r="UGR20" s="314" t="s">
        <v>203</v>
      </c>
      <c r="UGS20" s="314" t="s">
        <v>203</v>
      </c>
      <c r="UGT20" s="314" t="s">
        <v>203</v>
      </c>
      <c r="UGU20" s="314" t="s">
        <v>203</v>
      </c>
      <c r="UGV20" s="314" t="s">
        <v>203</v>
      </c>
      <c r="UGW20" s="314" t="s">
        <v>203</v>
      </c>
      <c r="UGX20" s="314" t="s">
        <v>203</v>
      </c>
      <c r="UGY20" s="314" t="s">
        <v>203</v>
      </c>
      <c r="UGZ20" s="314" t="s">
        <v>203</v>
      </c>
      <c r="UHA20" s="314" t="s">
        <v>203</v>
      </c>
      <c r="UHB20" s="314" t="s">
        <v>203</v>
      </c>
      <c r="UHC20" s="314" t="s">
        <v>203</v>
      </c>
      <c r="UHD20" s="314" t="s">
        <v>203</v>
      </c>
      <c r="UHE20" s="314" t="s">
        <v>203</v>
      </c>
      <c r="UHF20" s="314" t="s">
        <v>203</v>
      </c>
      <c r="UHG20" s="314" t="s">
        <v>203</v>
      </c>
      <c r="UHH20" s="314" t="s">
        <v>203</v>
      </c>
      <c r="UHI20" s="314" t="s">
        <v>203</v>
      </c>
      <c r="UHJ20" s="314" t="s">
        <v>203</v>
      </c>
      <c r="UHK20" s="314" t="s">
        <v>203</v>
      </c>
      <c r="UHL20" s="314" t="s">
        <v>203</v>
      </c>
      <c r="UHM20" s="314" t="s">
        <v>203</v>
      </c>
      <c r="UHN20" s="314" t="s">
        <v>203</v>
      </c>
      <c r="UHO20" s="314" t="s">
        <v>203</v>
      </c>
      <c r="UHP20" s="314" t="s">
        <v>203</v>
      </c>
      <c r="UHQ20" s="314" t="s">
        <v>203</v>
      </c>
      <c r="UHR20" s="314" t="s">
        <v>203</v>
      </c>
      <c r="UHS20" s="314" t="s">
        <v>203</v>
      </c>
      <c r="UHT20" s="314" t="s">
        <v>203</v>
      </c>
      <c r="UHU20" s="314" t="s">
        <v>203</v>
      </c>
      <c r="UHV20" s="314" t="s">
        <v>203</v>
      </c>
      <c r="UHW20" s="314" t="s">
        <v>203</v>
      </c>
      <c r="UHX20" s="314" t="s">
        <v>203</v>
      </c>
      <c r="UHY20" s="314" t="s">
        <v>203</v>
      </c>
      <c r="UHZ20" s="314" t="s">
        <v>203</v>
      </c>
      <c r="UIA20" s="314" t="s">
        <v>203</v>
      </c>
      <c r="UIB20" s="314" t="s">
        <v>203</v>
      </c>
      <c r="UIC20" s="314" t="s">
        <v>203</v>
      </c>
      <c r="UID20" s="314" t="s">
        <v>203</v>
      </c>
      <c r="UIE20" s="314" t="s">
        <v>203</v>
      </c>
      <c r="UIF20" s="314" t="s">
        <v>203</v>
      </c>
      <c r="UIG20" s="314" t="s">
        <v>203</v>
      </c>
      <c r="UIH20" s="314" t="s">
        <v>203</v>
      </c>
      <c r="UII20" s="314" t="s">
        <v>203</v>
      </c>
      <c r="UIJ20" s="314" t="s">
        <v>203</v>
      </c>
      <c r="UIK20" s="314" t="s">
        <v>203</v>
      </c>
      <c r="UIL20" s="314" t="s">
        <v>203</v>
      </c>
      <c r="UIM20" s="314" t="s">
        <v>203</v>
      </c>
      <c r="UIN20" s="314" t="s">
        <v>203</v>
      </c>
      <c r="UIO20" s="314" t="s">
        <v>203</v>
      </c>
      <c r="UIP20" s="314" t="s">
        <v>203</v>
      </c>
      <c r="UIQ20" s="314" t="s">
        <v>203</v>
      </c>
      <c r="UIR20" s="314" t="s">
        <v>203</v>
      </c>
      <c r="UIS20" s="314" t="s">
        <v>203</v>
      </c>
      <c r="UIT20" s="314" t="s">
        <v>203</v>
      </c>
      <c r="UIU20" s="314" t="s">
        <v>203</v>
      </c>
      <c r="UIV20" s="314" t="s">
        <v>203</v>
      </c>
      <c r="UIW20" s="314" t="s">
        <v>203</v>
      </c>
      <c r="UIX20" s="314" t="s">
        <v>203</v>
      </c>
      <c r="UIY20" s="314" t="s">
        <v>203</v>
      </c>
      <c r="UIZ20" s="314" t="s">
        <v>203</v>
      </c>
      <c r="UJA20" s="314" t="s">
        <v>203</v>
      </c>
      <c r="UJB20" s="314" t="s">
        <v>203</v>
      </c>
      <c r="UJC20" s="314" t="s">
        <v>203</v>
      </c>
      <c r="UJD20" s="314" t="s">
        <v>203</v>
      </c>
      <c r="UJE20" s="314" t="s">
        <v>203</v>
      </c>
      <c r="UJF20" s="314" t="s">
        <v>203</v>
      </c>
      <c r="UJG20" s="314" t="s">
        <v>203</v>
      </c>
      <c r="UJH20" s="314" t="s">
        <v>203</v>
      </c>
      <c r="UJI20" s="314" t="s">
        <v>203</v>
      </c>
      <c r="UJJ20" s="314" t="s">
        <v>203</v>
      </c>
      <c r="UJK20" s="314" t="s">
        <v>203</v>
      </c>
      <c r="UJL20" s="314" t="s">
        <v>203</v>
      </c>
      <c r="UJM20" s="314" t="s">
        <v>203</v>
      </c>
      <c r="UJN20" s="314" t="s">
        <v>203</v>
      </c>
      <c r="UJO20" s="314" t="s">
        <v>203</v>
      </c>
      <c r="UJP20" s="314" t="s">
        <v>203</v>
      </c>
      <c r="UJQ20" s="314" t="s">
        <v>203</v>
      </c>
      <c r="UJR20" s="314" t="s">
        <v>203</v>
      </c>
      <c r="UJS20" s="314" t="s">
        <v>203</v>
      </c>
      <c r="UJT20" s="314" t="s">
        <v>203</v>
      </c>
      <c r="UJU20" s="314" t="s">
        <v>203</v>
      </c>
      <c r="UJV20" s="314" t="s">
        <v>203</v>
      </c>
      <c r="UJW20" s="314" t="s">
        <v>203</v>
      </c>
      <c r="UJX20" s="314" t="s">
        <v>203</v>
      </c>
      <c r="UJY20" s="314" t="s">
        <v>203</v>
      </c>
      <c r="UJZ20" s="314" t="s">
        <v>203</v>
      </c>
      <c r="UKA20" s="314" t="s">
        <v>203</v>
      </c>
      <c r="UKB20" s="314" t="s">
        <v>203</v>
      </c>
      <c r="UKC20" s="314" t="s">
        <v>203</v>
      </c>
      <c r="UKD20" s="314" t="s">
        <v>203</v>
      </c>
      <c r="UKE20" s="314" t="s">
        <v>203</v>
      </c>
      <c r="UKF20" s="314" t="s">
        <v>203</v>
      </c>
      <c r="UKG20" s="314" t="s">
        <v>203</v>
      </c>
      <c r="UKH20" s="314" t="s">
        <v>203</v>
      </c>
      <c r="UKI20" s="314" t="s">
        <v>203</v>
      </c>
      <c r="UKJ20" s="314" t="s">
        <v>203</v>
      </c>
      <c r="UKK20" s="314" t="s">
        <v>203</v>
      </c>
      <c r="UKL20" s="314" t="s">
        <v>203</v>
      </c>
      <c r="UKM20" s="314" t="s">
        <v>203</v>
      </c>
      <c r="UKN20" s="314" t="s">
        <v>203</v>
      </c>
      <c r="UKO20" s="314" t="s">
        <v>203</v>
      </c>
      <c r="UKP20" s="314" t="s">
        <v>203</v>
      </c>
      <c r="UKQ20" s="314" t="s">
        <v>203</v>
      </c>
      <c r="UKR20" s="314" t="s">
        <v>203</v>
      </c>
      <c r="UKS20" s="314" t="s">
        <v>203</v>
      </c>
      <c r="UKT20" s="314" t="s">
        <v>203</v>
      </c>
      <c r="UKU20" s="314" t="s">
        <v>203</v>
      </c>
      <c r="UKV20" s="314" t="s">
        <v>203</v>
      </c>
      <c r="UKW20" s="314" t="s">
        <v>203</v>
      </c>
      <c r="UKX20" s="314" t="s">
        <v>203</v>
      </c>
      <c r="UKY20" s="314" t="s">
        <v>203</v>
      </c>
      <c r="UKZ20" s="314" t="s">
        <v>203</v>
      </c>
      <c r="ULA20" s="314" t="s">
        <v>203</v>
      </c>
      <c r="ULB20" s="314" t="s">
        <v>203</v>
      </c>
      <c r="ULC20" s="314" t="s">
        <v>203</v>
      </c>
      <c r="ULD20" s="314" t="s">
        <v>203</v>
      </c>
      <c r="ULE20" s="314" t="s">
        <v>203</v>
      </c>
      <c r="ULF20" s="314" t="s">
        <v>203</v>
      </c>
      <c r="ULG20" s="314" t="s">
        <v>203</v>
      </c>
      <c r="ULH20" s="314" t="s">
        <v>203</v>
      </c>
      <c r="ULI20" s="314" t="s">
        <v>203</v>
      </c>
      <c r="ULJ20" s="314" t="s">
        <v>203</v>
      </c>
      <c r="ULK20" s="314" t="s">
        <v>203</v>
      </c>
      <c r="ULL20" s="314" t="s">
        <v>203</v>
      </c>
      <c r="ULM20" s="314" t="s">
        <v>203</v>
      </c>
      <c r="ULN20" s="314" t="s">
        <v>203</v>
      </c>
      <c r="ULO20" s="314" t="s">
        <v>203</v>
      </c>
      <c r="ULP20" s="314" t="s">
        <v>203</v>
      </c>
      <c r="ULQ20" s="314" t="s">
        <v>203</v>
      </c>
      <c r="ULR20" s="314" t="s">
        <v>203</v>
      </c>
      <c r="ULS20" s="314" t="s">
        <v>203</v>
      </c>
      <c r="ULT20" s="314" t="s">
        <v>203</v>
      </c>
      <c r="ULU20" s="314" t="s">
        <v>203</v>
      </c>
      <c r="ULV20" s="314" t="s">
        <v>203</v>
      </c>
      <c r="ULW20" s="314" t="s">
        <v>203</v>
      </c>
      <c r="ULX20" s="314" t="s">
        <v>203</v>
      </c>
      <c r="ULY20" s="314" t="s">
        <v>203</v>
      </c>
      <c r="ULZ20" s="314" t="s">
        <v>203</v>
      </c>
      <c r="UMA20" s="314" t="s">
        <v>203</v>
      </c>
      <c r="UMB20" s="314" t="s">
        <v>203</v>
      </c>
      <c r="UMC20" s="314" t="s">
        <v>203</v>
      </c>
      <c r="UMD20" s="314" t="s">
        <v>203</v>
      </c>
      <c r="UME20" s="314" t="s">
        <v>203</v>
      </c>
      <c r="UMF20" s="314" t="s">
        <v>203</v>
      </c>
      <c r="UMG20" s="314" t="s">
        <v>203</v>
      </c>
      <c r="UMH20" s="314" t="s">
        <v>203</v>
      </c>
      <c r="UMI20" s="314" t="s">
        <v>203</v>
      </c>
      <c r="UMJ20" s="314" t="s">
        <v>203</v>
      </c>
      <c r="UMK20" s="314" t="s">
        <v>203</v>
      </c>
      <c r="UML20" s="314" t="s">
        <v>203</v>
      </c>
      <c r="UMM20" s="314" t="s">
        <v>203</v>
      </c>
      <c r="UMN20" s="314" t="s">
        <v>203</v>
      </c>
      <c r="UMO20" s="314" t="s">
        <v>203</v>
      </c>
      <c r="UMP20" s="314" t="s">
        <v>203</v>
      </c>
      <c r="UMQ20" s="314" t="s">
        <v>203</v>
      </c>
      <c r="UMR20" s="314" t="s">
        <v>203</v>
      </c>
      <c r="UMS20" s="314" t="s">
        <v>203</v>
      </c>
      <c r="UMT20" s="314" t="s">
        <v>203</v>
      </c>
      <c r="UMU20" s="314" t="s">
        <v>203</v>
      </c>
      <c r="UMV20" s="314" t="s">
        <v>203</v>
      </c>
      <c r="UMW20" s="314" t="s">
        <v>203</v>
      </c>
      <c r="UMX20" s="314" t="s">
        <v>203</v>
      </c>
      <c r="UMY20" s="314" t="s">
        <v>203</v>
      </c>
      <c r="UMZ20" s="314" t="s">
        <v>203</v>
      </c>
      <c r="UNA20" s="314" t="s">
        <v>203</v>
      </c>
      <c r="UNB20" s="314" t="s">
        <v>203</v>
      </c>
      <c r="UNC20" s="314" t="s">
        <v>203</v>
      </c>
      <c r="UND20" s="314" t="s">
        <v>203</v>
      </c>
      <c r="UNE20" s="314" t="s">
        <v>203</v>
      </c>
      <c r="UNF20" s="314" t="s">
        <v>203</v>
      </c>
      <c r="UNG20" s="314" t="s">
        <v>203</v>
      </c>
      <c r="UNH20" s="314" t="s">
        <v>203</v>
      </c>
      <c r="UNI20" s="314" t="s">
        <v>203</v>
      </c>
      <c r="UNJ20" s="314" t="s">
        <v>203</v>
      </c>
      <c r="UNK20" s="314" t="s">
        <v>203</v>
      </c>
      <c r="UNL20" s="314" t="s">
        <v>203</v>
      </c>
      <c r="UNM20" s="314" t="s">
        <v>203</v>
      </c>
      <c r="UNN20" s="314" t="s">
        <v>203</v>
      </c>
      <c r="UNO20" s="314" t="s">
        <v>203</v>
      </c>
      <c r="UNP20" s="314" t="s">
        <v>203</v>
      </c>
      <c r="UNQ20" s="314" t="s">
        <v>203</v>
      </c>
      <c r="UNR20" s="314" t="s">
        <v>203</v>
      </c>
      <c r="UNS20" s="314" t="s">
        <v>203</v>
      </c>
      <c r="UNT20" s="314" t="s">
        <v>203</v>
      </c>
      <c r="UNU20" s="314" t="s">
        <v>203</v>
      </c>
      <c r="UNV20" s="314" t="s">
        <v>203</v>
      </c>
      <c r="UNW20" s="314" t="s">
        <v>203</v>
      </c>
      <c r="UNX20" s="314" t="s">
        <v>203</v>
      </c>
      <c r="UNY20" s="314" t="s">
        <v>203</v>
      </c>
      <c r="UNZ20" s="314" t="s">
        <v>203</v>
      </c>
      <c r="UOA20" s="314" t="s">
        <v>203</v>
      </c>
      <c r="UOB20" s="314" t="s">
        <v>203</v>
      </c>
      <c r="UOC20" s="314" t="s">
        <v>203</v>
      </c>
      <c r="UOD20" s="314" t="s">
        <v>203</v>
      </c>
      <c r="UOE20" s="314" t="s">
        <v>203</v>
      </c>
      <c r="UOF20" s="314" t="s">
        <v>203</v>
      </c>
      <c r="UOG20" s="314" t="s">
        <v>203</v>
      </c>
      <c r="UOH20" s="314" t="s">
        <v>203</v>
      </c>
      <c r="UOI20" s="314" t="s">
        <v>203</v>
      </c>
      <c r="UOJ20" s="314" t="s">
        <v>203</v>
      </c>
      <c r="UOK20" s="314" t="s">
        <v>203</v>
      </c>
      <c r="UOL20" s="314" t="s">
        <v>203</v>
      </c>
      <c r="UOM20" s="314" t="s">
        <v>203</v>
      </c>
      <c r="UON20" s="314" t="s">
        <v>203</v>
      </c>
      <c r="UOO20" s="314" t="s">
        <v>203</v>
      </c>
      <c r="UOP20" s="314" t="s">
        <v>203</v>
      </c>
      <c r="UOQ20" s="314" t="s">
        <v>203</v>
      </c>
      <c r="UOR20" s="314" t="s">
        <v>203</v>
      </c>
      <c r="UOS20" s="314" t="s">
        <v>203</v>
      </c>
      <c r="UOT20" s="314" t="s">
        <v>203</v>
      </c>
      <c r="UOU20" s="314" t="s">
        <v>203</v>
      </c>
      <c r="UOV20" s="314" t="s">
        <v>203</v>
      </c>
      <c r="UOW20" s="314" t="s">
        <v>203</v>
      </c>
      <c r="UOX20" s="314" t="s">
        <v>203</v>
      </c>
      <c r="UOY20" s="314" t="s">
        <v>203</v>
      </c>
      <c r="UOZ20" s="314" t="s">
        <v>203</v>
      </c>
      <c r="UPA20" s="314" t="s">
        <v>203</v>
      </c>
      <c r="UPB20" s="314" t="s">
        <v>203</v>
      </c>
      <c r="UPC20" s="314" t="s">
        <v>203</v>
      </c>
      <c r="UPD20" s="314" t="s">
        <v>203</v>
      </c>
      <c r="UPE20" s="314" t="s">
        <v>203</v>
      </c>
      <c r="UPF20" s="314" t="s">
        <v>203</v>
      </c>
      <c r="UPG20" s="314" t="s">
        <v>203</v>
      </c>
      <c r="UPH20" s="314" t="s">
        <v>203</v>
      </c>
      <c r="UPI20" s="314" t="s">
        <v>203</v>
      </c>
      <c r="UPJ20" s="314" t="s">
        <v>203</v>
      </c>
      <c r="UPK20" s="314" t="s">
        <v>203</v>
      </c>
      <c r="UPL20" s="314" t="s">
        <v>203</v>
      </c>
      <c r="UPM20" s="314" t="s">
        <v>203</v>
      </c>
      <c r="UPN20" s="314" t="s">
        <v>203</v>
      </c>
      <c r="UPO20" s="314" t="s">
        <v>203</v>
      </c>
      <c r="UPP20" s="314" t="s">
        <v>203</v>
      </c>
      <c r="UPQ20" s="314" t="s">
        <v>203</v>
      </c>
      <c r="UPR20" s="314" t="s">
        <v>203</v>
      </c>
      <c r="UPS20" s="314" t="s">
        <v>203</v>
      </c>
      <c r="UPT20" s="314" t="s">
        <v>203</v>
      </c>
      <c r="UPU20" s="314" t="s">
        <v>203</v>
      </c>
      <c r="UPV20" s="314" t="s">
        <v>203</v>
      </c>
      <c r="UPW20" s="314" t="s">
        <v>203</v>
      </c>
      <c r="UPX20" s="314" t="s">
        <v>203</v>
      </c>
      <c r="UPY20" s="314" t="s">
        <v>203</v>
      </c>
      <c r="UPZ20" s="314" t="s">
        <v>203</v>
      </c>
      <c r="UQA20" s="314" t="s">
        <v>203</v>
      </c>
      <c r="UQB20" s="314" t="s">
        <v>203</v>
      </c>
      <c r="UQC20" s="314" t="s">
        <v>203</v>
      </c>
      <c r="UQD20" s="314" t="s">
        <v>203</v>
      </c>
      <c r="UQE20" s="314" t="s">
        <v>203</v>
      </c>
      <c r="UQF20" s="314" t="s">
        <v>203</v>
      </c>
      <c r="UQG20" s="314" t="s">
        <v>203</v>
      </c>
      <c r="UQH20" s="314" t="s">
        <v>203</v>
      </c>
      <c r="UQI20" s="314" t="s">
        <v>203</v>
      </c>
      <c r="UQJ20" s="314" t="s">
        <v>203</v>
      </c>
      <c r="UQK20" s="314" t="s">
        <v>203</v>
      </c>
      <c r="UQL20" s="314" t="s">
        <v>203</v>
      </c>
      <c r="UQM20" s="314" t="s">
        <v>203</v>
      </c>
      <c r="UQN20" s="314" t="s">
        <v>203</v>
      </c>
      <c r="UQO20" s="314" t="s">
        <v>203</v>
      </c>
      <c r="UQP20" s="314" t="s">
        <v>203</v>
      </c>
      <c r="UQQ20" s="314" t="s">
        <v>203</v>
      </c>
      <c r="UQR20" s="314" t="s">
        <v>203</v>
      </c>
      <c r="UQS20" s="314" t="s">
        <v>203</v>
      </c>
      <c r="UQT20" s="314" t="s">
        <v>203</v>
      </c>
      <c r="UQU20" s="314" t="s">
        <v>203</v>
      </c>
      <c r="UQV20" s="314" t="s">
        <v>203</v>
      </c>
      <c r="UQW20" s="314" t="s">
        <v>203</v>
      </c>
      <c r="UQX20" s="314" t="s">
        <v>203</v>
      </c>
      <c r="UQY20" s="314" t="s">
        <v>203</v>
      </c>
      <c r="UQZ20" s="314" t="s">
        <v>203</v>
      </c>
      <c r="URA20" s="314" t="s">
        <v>203</v>
      </c>
      <c r="URB20" s="314" t="s">
        <v>203</v>
      </c>
      <c r="URC20" s="314" t="s">
        <v>203</v>
      </c>
      <c r="URD20" s="314" t="s">
        <v>203</v>
      </c>
      <c r="URE20" s="314" t="s">
        <v>203</v>
      </c>
      <c r="URF20" s="314" t="s">
        <v>203</v>
      </c>
      <c r="URG20" s="314" t="s">
        <v>203</v>
      </c>
      <c r="URH20" s="314" t="s">
        <v>203</v>
      </c>
      <c r="URI20" s="314" t="s">
        <v>203</v>
      </c>
      <c r="URJ20" s="314" t="s">
        <v>203</v>
      </c>
      <c r="URK20" s="314" t="s">
        <v>203</v>
      </c>
      <c r="URL20" s="314" t="s">
        <v>203</v>
      </c>
      <c r="URM20" s="314" t="s">
        <v>203</v>
      </c>
      <c r="URN20" s="314" t="s">
        <v>203</v>
      </c>
      <c r="URO20" s="314" t="s">
        <v>203</v>
      </c>
      <c r="URP20" s="314" t="s">
        <v>203</v>
      </c>
      <c r="URQ20" s="314" t="s">
        <v>203</v>
      </c>
      <c r="URR20" s="314" t="s">
        <v>203</v>
      </c>
      <c r="URS20" s="314" t="s">
        <v>203</v>
      </c>
      <c r="URT20" s="314" t="s">
        <v>203</v>
      </c>
      <c r="URU20" s="314" t="s">
        <v>203</v>
      </c>
      <c r="URV20" s="314" t="s">
        <v>203</v>
      </c>
      <c r="URW20" s="314" t="s">
        <v>203</v>
      </c>
      <c r="URX20" s="314" t="s">
        <v>203</v>
      </c>
      <c r="URY20" s="314" t="s">
        <v>203</v>
      </c>
      <c r="URZ20" s="314" t="s">
        <v>203</v>
      </c>
      <c r="USA20" s="314" t="s">
        <v>203</v>
      </c>
      <c r="USB20" s="314" t="s">
        <v>203</v>
      </c>
      <c r="USC20" s="314" t="s">
        <v>203</v>
      </c>
      <c r="USD20" s="314" t="s">
        <v>203</v>
      </c>
      <c r="USE20" s="314" t="s">
        <v>203</v>
      </c>
      <c r="USF20" s="314" t="s">
        <v>203</v>
      </c>
      <c r="USG20" s="314" t="s">
        <v>203</v>
      </c>
      <c r="USH20" s="314" t="s">
        <v>203</v>
      </c>
      <c r="USI20" s="314" t="s">
        <v>203</v>
      </c>
      <c r="USJ20" s="314" t="s">
        <v>203</v>
      </c>
      <c r="USK20" s="314" t="s">
        <v>203</v>
      </c>
      <c r="USL20" s="314" t="s">
        <v>203</v>
      </c>
      <c r="USM20" s="314" t="s">
        <v>203</v>
      </c>
      <c r="USN20" s="314" t="s">
        <v>203</v>
      </c>
      <c r="USO20" s="314" t="s">
        <v>203</v>
      </c>
      <c r="USP20" s="314" t="s">
        <v>203</v>
      </c>
      <c r="USQ20" s="314" t="s">
        <v>203</v>
      </c>
      <c r="USR20" s="314" t="s">
        <v>203</v>
      </c>
      <c r="USS20" s="314" t="s">
        <v>203</v>
      </c>
      <c r="UST20" s="314" t="s">
        <v>203</v>
      </c>
      <c r="USU20" s="314" t="s">
        <v>203</v>
      </c>
      <c r="USV20" s="314" t="s">
        <v>203</v>
      </c>
      <c r="USW20" s="314" t="s">
        <v>203</v>
      </c>
      <c r="USX20" s="314" t="s">
        <v>203</v>
      </c>
      <c r="USY20" s="314" t="s">
        <v>203</v>
      </c>
      <c r="USZ20" s="314" t="s">
        <v>203</v>
      </c>
      <c r="UTA20" s="314" t="s">
        <v>203</v>
      </c>
      <c r="UTB20" s="314" t="s">
        <v>203</v>
      </c>
      <c r="UTC20" s="314" t="s">
        <v>203</v>
      </c>
      <c r="UTD20" s="314" t="s">
        <v>203</v>
      </c>
      <c r="UTE20" s="314" t="s">
        <v>203</v>
      </c>
      <c r="UTF20" s="314" t="s">
        <v>203</v>
      </c>
      <c r="UTG20" s="314" t="s">
        <v>203</v>
      </c>
      <c r="UTH20" s="314" t="s">
        <v>203</v>
      </c>
      <c r="UTI20" s="314" t="s">
        <v>203</v>
      </c>
      <c r="UTJ20" s="314" t="s">
        <v>203</v>
      </c>
      <c r="UTK20" s="314" t="s">
        <v>203</v>
      </c>
      <c r="UTL20" s="314" t="s">
        <v>203</v>
      </c>
      <c r="UTM20" s="314" t="s">
        <v>203</v>
      </c>
      <c r="UTN20" s="314" t="s">
        <v>203</v>
      </c>
      <c r="UTO20" s="314" t="s">
        <v>203</v>
      </c>
      <c r="UTP20" s="314" t="s">
        <v>203</v>
      </c>
      <c r="UTQ20" s="314" t="s">
        <v>203</v>
      </c>
      <c r="UTR20" s="314" t="s">
        <v>203</v>
      </c>
      <c r="UTS20" s="314" t="s">
        <v>203</v>
      </c>
      <c r="UTT20" s="314" t="s">
        <v>203</v>
      </c>
      <c r="UTU20" s="314" t="s">
        <v>203</v>
      </c>
      <c r="UTV20" s="314" t="s">
        <v>203</v>
      </c>
      <c r="UTW20" s="314" t="s">
        <v>203</v>
      </c>
      <c r="UTX20" s="314" t="s">
        <v>203</v>
      </c>
      <c r="UTY20" s="314" t="s">
        <v>203</v>
      </c>
      <c r="UTZ20" s="314" t="s">
        <v>203</v>
      </c>
      <c r="UUA20" s="314" t="s">
        <v>203</v>
      </c>
      <c r="UUB20" s="314" t="s">
        <v>203</v>
      </c>
      <c r="UUC20" s="314" t="s">
        <v>203</v>
      </c>
      <c r="UUD20" s="314" t="s">
        <v>203</v>
      </c>
      <c r="UUE20" s="314" t="s">
        <v>203</v>
      </c>
      <c r="UUF20" s="314" t="s">
        <v>203</v>
      </c>
      <c r="UUG20" s="314" t="s">
        <v>203</v>
      </c>
      <c r="UUH20" s="314" t="s">
        <v>203</v>
      </c>
      <c r="UUI20" s="314" t="s">
        <v>203</v>
      </c>
      <c r="UUJ20" s="314" t="s">
        <v>203</v>
      </c>
      <c r="UUK20" s="314" t="s">
        <v>203</v>
      </c>
      <c r="UUL20" s="314" t="s">
        <v>203</v>
      </c>
      <c r="UUM20" s="314" t="s">
        <v>203</v>
      </c>
      <c r="UUN20" s="314" t="s">
        <v>203</v>
      </c>
      <c r="UUO20" s="314" t="s">
        <v>203</v>
      </c>
      <c r="UUP20" s="314" t="s">
        <v>203</v>
      </c>
      <c r="UUQ20" s="314" t="s">
        <v>203</v>
      </c>
      <c r="UUR20" s="314" t="s">
        <v>203</v>
      </c>
      <c r="UUS20" s="314" t="s">
        <v>203</v>
      </c>
      <c r="UUT20" s="314" t="s">
        <v>203</v>
      </c>
      <c r="UUU20" s="314" t="s">
        <v>203</v>
      </c>
      <c r="UUV20" s="314" t="s">
        <v>203</v>
      </c>
      <c r="UUW20" s="314" t="s">
        <v>203</v>
      </c>
      <c r="UUX20" s="314" t="s">
        <v>203</v>
      </c>
      <c r="UUY20" s="314" t="s">
        <v>203</v>
      </c>
      <c r="UUZ20" s="314" t="s">
        <v>203</v>
      </c>
      <c r="UVA20" s="314" t="s">
        <v>203</v>
      </c>
      <c r="UVB20" s="314" t="s">
        <v>203</v>
      </c>
      <c r="UVC20" s="314" t="s">
        <v>203</v>
      </c>
      <c r="UVD20" s="314" t="s">
        <v>203</v>
      </c>
      <c r="UVE20" s="314" t="s">
        <v>203</v>
      </c>
      <c r="UVF20" s="314" t="s">
        <v>203</v>
      </c>
      <c r="UVG20" s="314" t="s">
        <v>203</v>
      </c>
      <c r="UVH20" s="314" t="s">
        <v>203</v>
      </c>
      <c r="UVI20" s="314" t="s">
        <v>203</v>
      </c>
      <c r="UVJ20" s="314" t="s">
        <v>203</v>
      </c>
      <c r="UVK20" s="314" t="s">
        <v>203</v>
      </c>
      <c r="UVL20" s="314" t="s">
        <v>203</v>
      </c>
      <c r="UVM20" s="314" t="s">
        <v>203</v>
      </c>
      <c r="UVN20" s="314" t="s">
        <v>203</v>
      </c>
      <c r="UVO20" s="314" t="s">
        <v>203</v>
      </c>
      <c r="UVP20" s="314" t="s">
        <v>203</v>
      </c>
      <c r="UVQ20" s="314" t="s">
        <v>203</v>
      </c>
      <c r="UVR20" s="314" t="s">
        <v>203</v>
      </c>
      <c r="UVS20" s="314" t="s">
        <v>203</v>
      </c>
      <c r="UVT20" s="314" t="s">
        <v>203</v>
      </c>
      <c r="UVU20" s="314" t="s">
        <v>203</v>
      </c>
      <c r="UVV20" s="314" t="s">
        <v>203</v>
      </c>
      <c r="UVW20" s="314" t="s">
        <v>203</v>
      </c>
      <c r="UVX20" s="314" t="s">
        <v>203</v>
      </c>
      <c r="UVY20" s="314" t="s">
        <v>203</v>
      </c>
      <c r="UVZ20" s="314" t="s">
        <v>203</v>
      </c>
      <c r="UWA20" s="314" t="s">
        <v>203</v>
      </c>
      <c r="UWB20" s="314" t="s">
        <v>203</v>
      </c>
      <c r="UWC20" s="314" t="s">
        <v>203</v>
      </c>
      <c r="UWD20" s="314" t="s">
        <v>203</v>
      </c>
      <c r="UWE20" s="314" t="s">
        <v>203</v>
      </c>
      <c r="UWF20" s="314" t="s">
        <v>203</v>
      </c>
      <c r="UWG20" s="314" t="s">
        <v>203</v>
      </c>
      <c r="UWH20" s="314" t="s">
        <v>203</v>
      </c>
      <c r="UWI20" s="314" t="s">
        <v>203</v>
      </c>
      <c r="UWJ20" s="314" t="s">
        <v>203</v>
      </c>
      <c r="UWK20" s="314" t="s">
        <v>203</v>
      </c>
      <c r="UWL20" s="314" t="s">
        <v>203</v>
      </c>
      <c r="UWM20" s="314" t="s">
        <v>203</v>
      </c>
      <c r="UWN20" s="314" t="s">
        <v>203</v>
      </c>
      <c r="UWO20" s="314" t="s">
        <v>203</v>
      </c>
      <c r="UWP20" s="314" t="s">
        <v>203</v>
      </c>
      <c r="UWQ20" s="314" t="s">
        <v>203</v>
      </c>
      <c r="UWR20" s="314" t="s">
        <v>203</v>
      </c>
      <c r="UWS20" s="314" t="s">
        <v>203</v>
      </c>
      <c r="UWT20" s="314" t="s">
        <v>203</v>
      </c>
      <c r="UWU20" s="314" t="s">
        <v>203</v>
      </c>
      <c r="UWV20" s="314" t="s">
        <v>203</v>
      </c>
      <c r="UWW20" s="314" t="s">
        <v>203</v>
      </c>
      <c r="UWX20" s="314" t="s">
        <v>203</v>
      </c>
      <c r="UWY20" s="314" t="s">
        <v>203</v>
      </c>
      <c r="UWZ20" s="314" t="s">
        <v>203</v>
      </c>
      <c r="UXA20" s="314" t="s">
        <v>203</v>
      </c>
      <c r="UXB20" s="314" t="s">
        <v>203</v>
      </c>
      <c r="UXC20" s="314" t="s">
        <v>203</v>
      </c>
      <c r="UXD20" s="314" t="s">
        <v>203</v>
      </c>
      <c r="UXE20" s="314" t="s">
        <v>203</v>
      </c>
      <c r="UXF20" s="314" t="s">
        <v>203</v>
      </c>
      <c r="UXG20" s="314" t="s">
        <v>203</v>
      </c>
      <c r="UXH20" s="314" t="s">
        <v>203</v>
      </c>
      <c r="UXI20" s="314" t="s">
        <v>203</v>
      </c>
      <c r="UXJ20" s="314" t="s">
        <v>203</v>
      </c>
      <c r="UXK20" s="314" t="s">
        <v>203</v>
      </c>
      <c r="UXL20" s="314" t="s">
        <v>203</v>
      </c>
      <c r="UXM20" s="314" t="s">
        <v>203</v>
      </c>
      <c r="UXN20" s="314" t="s">
        <v>203</v>
      </c>
      <c r="UXO20" s="314" t="s">
        <v>203</v>
      </c>
      <c r="UXP20" s="314" t="s">
        <v>203</v>
      </c>
      <c r="UXQ20" s="314" t="s">
        <v>203</v>
      </c>
      <c r="UXR20" s="314" t="s">
        <v>203</v>
      </c>
      <c r="UXS20" s="314" t="s">
        <v>203</v>
      </c>
      <c r="UXT20" s="314" t="s">
        <v>203</v>
      </c>
      <c r="UXU20" s="314" t="s">
        <v>203</v>
      </c>
      <c r="UXV20" s="314" t="s">
        <v>203</v>
      </c>
      <c r="UXW20" s="314" t="s">
        <v>203</v>
      </c>
      <c r="UXX20" s="314" t="s">
        <v>203</v>
      </c>
      <c r="UXY20" s="314" t="s">
        <v>203</v>
      </c>
      <c r="UXZ20" s="314" t="s">
        <v>203</v>
      </c>
      <c r="UYA20" s="314" t="s">
        <v>203</v>
      </c>
      <c r="UYB20" s="314" t="s">
        <v>203</v>
      </c>
      <c r="UYC20" s="314" t="s">
        <v>203</v>
      </c>
      <c r="UYD20" s="314" t="s">
        <v>203</v>
      </c>
      <c r="UYE20" s="314" t="s">
        <v>203</v>
      </c>
      <c r="UYF20" s="314" t="s">
        <v>203</v>
      </c>
      <c r="UYG20" s="314" t="s">
        <v>203</v>
      </c>
      <c r="UYH20" s="314" t="s">
        <v>203</v>
      </c>
      <c r="UYI20" s="314" t="s">
        <v>203</v>
      </c>
      <c r="UYJ20" s="314" t="s">
        <v>203</v>
      </c>
      <c r="UYK20" s="314" t="s">
        <v>203</v>
      </c>
      <c r="UYL20" s="314" t="s">
        <v>203</v>
      </c>
      <c r="UYM20" s="314" t="s">
        <v>203</v>
      </c>
      <c r="UYN20" s="314" t="s">
        <v>203</v>
      </c>
      <c r="UYO20" s="314" t="s">
        <v>203</v>
      </c>
      <c r="UYP20" s="314" t="s">
        <v>203</v>
      </c>
      <c r="UYQ20" s="314" t="s">
        <v>203</v>
      </c>
      <c r="UYR20" s="314" t="s">
        <v>203</v>
      </c>
      <c r="UYS20" s="314" t="s">
        <v>203</v>
      </c>
      <c r="UYT20" s="314" t="s">
        <v>203</v>
      </c>
      <c r="UYU20" s="314" t="s">
        <v>203</v>
      </c>
      <c r="UYV20" s="314" t="s">
        <v>203</v>
      </c>
      <c r="UYW20" s="314" t="s">
        <v>203</v>
      </c>
      <c r="UYX20" s="314" t="s">
        <v>203</v>
      </c>
      <c r="UYY20" s="314" t="s">
        <v>203</v>
      </c>
      <c r="UYZ20" s="314" t="s">
        <v>203</v>
      </c>
      <c r="UZA20" s="314" t="s">
        <v>203</v>
      </c>
      <c r="UZB20" s="314" t="s">
        <v>203</v>
      </c>
      <c r="UZC20" s="314" t="s">
        <v>203</v>
      </c>
      <c r="UZD20" s="314" t="s">
        <v>203</v>
      </c>
      <c r="UZE20" s="314" t="s">
        <v>203</v>
      </c>
      <c r="UZF20" s="314" t="s">
        <v>203</v>
      </c>
      <c r="UZG20" s="314" t="s">
        <v>203</v>
      </c>
      <c r="UZH20" s="314" t="s">
        <v>203</v>
      </c>
      <c r="UZI20" s="314" t="s">
        <v>203</v>
      </c>
      <c r="UZJ20" s="314" t="s">
        <v>203</v>
      </c>
      <c r="UZK20" s="314" t="s">
        <v>203</v>
      </c>
      <c r="UZL20" s="314" t="s">
        <v>203</v>
      </c>
      <c r="UZM20" s="314" t="s">
        <v>203</v>
      </c>
      <c r="UZN20" s="314" t="s">
        <v>203</v>
      </c>
      <c r="UZO20" s="314" t="s">
        <v>203</v>
      </c>
      <c r="UZP20" s="314" t="s">
        <v>203</v>
      </c>
      <c r="UZQ20" s="314" t="s">
        <v>203</v>
      </c>
      <c r="UZR20" s="314" t="s">
        <v>203</v>
      </c>
      <c r="UZS20" s="314" t="s">
        <v>203</v>
      </c>
      <c r="UZT20" s="314" t="s">
        <v>203</v>
      </c>
      <c r="UZU20" s="314" t="s">
        <v>203</v>
      </c>
      <c r="UZV20" s="314" t="s">
        <v>203</v>
      </c>
      <c r="UZW20" s="314" t="s">
        <v>203</v>
      </c>
      <c r="UZX20" s="314" t="s">
        <v>203</v>
      </c>
      <c r="UZY20" s="314" t="s">
        <v>203</v>
      </c>
      <c r="UZZ20" s="314" t="s">
        <v>203</v>
      </c>
      <c r="VAA20" s="314" t="s">
        <v>203</v>
      </c>
      <c r="VAB20" s="314" t="s">
        <v>203</v>
      </c>
      <c r="VAC20" s="314" t="s">
        <v>203</v>
      </c>
      <c r="VAD20" s="314" t="s">
        <v>203</v>
      </c>
      <c r="VAE20" s="314" t="s">
        <v>203</v>
      </c>
      <c r="VAF20" s="314" t="s">
        <v>203</v>
      </c>
      <c r="VAG20" s="314" t="s">
        <v>203</v>
      </c>
      <c r="VAH20" s="314" t="s">
        <v>203</v>
      </c>
      <c r="VAI20" s="314" t="s">
        <v>203</v>
      </c>
      <c r="VAJ20" s="314" t="s">
        <v>203</v>
      </c>
      <c r="VAK20" s="314" t="s">
        <v>203</v>
      </c>
      <c r="VAL20" s="314" t="s">
        <v>203</v>
      </c>
      <c r="VAM20" s="314" t="s">
        <v>203</v>
      </c>
      <c r="VAN20" s="314" t="s">
        <v>203</v>
      </c>
      <c r="VAO20" s="314" t="s">
        <v>203</v>
      </c>
      <c r="VAP20" s="314" t="s">
        <v>203</v>
      </c>
      <c r="VAQ20" s="314" t="s">
        <v>203</v>
      </c>
      <c r="VAR20" s="314" t="s">
        <v>203</v>
      </c>
      <c r="VAS20" s="314" t="s">
        <v>203</v>
      </c>
      <c r="VAT20" s="314" t="s">
        <v>203</v>
      </c>
      <c r="VAU20" s="314" t="s">
        <v>203</v>
      </c>
      <c r="VAV20" s="314" t="s">
        <v>203</v>
      </c>
      <c r="VAW20" s="314" t="s">
        <v>203</v>
      </c>
      <c r="VAX20" s="314" t="s">
        <v>203</v>
      </c>
      <c r="VAY20" s="314" t="s">
        <v>203</v>
      </c>
      <c r="VAZ20" s="314" t="s">
        <v>203</v>
      </c>
      <c r="VBA20" s="314" t="s">
        <v>203</v>
      </c>
      <c r="VBB20" s="314" t="s">
        <v>203</v>
      </c>
      <c r="VBC20" s="314" t="s">
        <v>203</v>
      </c>
      <c r="VBD20" s="314" t="s">
        <v>203</v>
      </c>
      <c r="VBE20" s="314" t="s">
        <v>203</v>
      </c>
      <c r="VBF20" s="314" t="s">
        <v>203</v>
      </c>
      <c r="VBG20" s="314" t="s">
        <v>203</v>
      </c>
      <c r="VBH20" s="314" t="s">
        <v>203</v>
      </c>
      <c r="VBI20" s="314" t="s">
        <v>203</v>
      </c>
      <c r="VBJ20" s="314" t="s">
        <v>203</v>
      </c>
      <c r="VBK20" s="314" t="s">
        <v>203</v>
      </c>
      <c r="VBL20" s="314" t="s">
        <v>203</v>
      </c>
      <c r="VBM20" s="314" t="s">
        <v>203</v>
      </c>
      <c r="VBN20" s="314" t="s">
        <v>203</v>
      </c>
      <c r="VBO20" s="314" t="s">
        <v>203</v>
      </c>
      <c r="VBP20" s="314" t="s">
        <v>203</v>
      </c>
      <c r="VBQ20" s="314" t="s">
        <v>203</v>
      </c>
      <c r="VBR20" s="314" t="s">
        <v>203</v>
      </c>
      <c r="VBS20" s="314" t="s">
        <v>203</v>
      </c>
      <c r="VBT20" s="314" t="s">
        <v>203</v>
      </c>
      <c r="VBU20" s="314" t="s">
        <v>203</v>
      </c>
      <c r="VBV20" s="314" t="s">
        <v>203</v>
      </c>
      <c r="VBW20" s="314" t="s">
        <v>203</v>
      </c>
      <c r="VBX20" s="314" t="s">
        <v>203</v>
      </c>
      <c r="VBY20" s="314" t="s">
        <v>203</v>
      </c>
      <c r="VBZ20" s="314" t="s">
        <v>203</v>
      </c>
      <c r="VCA20" s="314" t="s">
        <v>203</v>
      </c>
      <c r="VCB20" s="314" t="s">
        <v>203</v>
      </c>
      <c r="VCC20" s="314" t="s">
        <v>203</v>
      </c>
      <c r="VCD20" s="314" t="s">
        <v>203</v>
      </c>
      <c r="VCE20" s="314" t="s">
        <v>203</v>
      </c>
      <c r="VCF20" s="314" t="s">
        <v>203</v>
      </c>
      <c r="VCG20" s="314" t="s">
        <v>203</v>
      </c>
      <c r="VCH20" s="314" t="s">
        <v>203</v>
      </c>
      <c r="VCI20" s="314" t="s">
        <v>203</v>
      </c>
      <c r="VCJ20" s="314" t="s">
        <v>203</v>
      </c>
      <c r="VCK20" s="314" t="s">
        <v>203</v>
      </c>
      <c r="VCL20" s="314" t="s">
        <v>203</v>
      </c>
      <c r="VCM20" s="314" t="s">
        <v>203</v>
      </c>
      <c r="VCN20" s="314" t="s">
        <v>203</v>
      </c>
      <c r="VCO20" s="314" t="s">
        <v>203</v>
      </c>
      <c r="VCP20" s="314" t="s">
        <v>203</v>
      </c>
      <c r="VCQ20" s="314" t="s">
        <v>203</v>
      </c>
      <c r="VCR20" s="314" t="s">
        <v>203</v>
      </c>
      <c r="VCS20" s="314" t="s">
        <v>203</v>
      </c>
      <c r="VCT20" s="314" t="s">
        <v>203</v>
      </c>
      <c r="VCU20" s="314" t="s">
        <v>203</v>
      </c>
      <c r="VCV20" s="314" t="s">
        <v>203</v>
      </c>
      <c r="VCW20" s="314" t="s">
        <v>203</v>
      </c>
      <c r="VCX20" s="314" t="s">
        <v>203</v>
      </c>
      <c r="VCY20" s="314" t="s">
        <v>203</v>
      </c>
      <c r="VCZ20" s="314" t="s">
        <v>203</v>
      </c>
      <c r="VDA20" s="314" t="s">
        <v>203</v>
      </c>
      <c r="VDB20" s="314" t="s">
        <v>203</v>
      </c>
      <c r="VDC20" s="314" t="s">
        <v>203</v>
      </c>
      <c r="VDD20" s="314" t="s">
        <v>203</v>
      </c>
      <c r="VDE20" s="314" t="s">
        <v>203</v>
      </c>
      <c r="VDF20" s="314" t="s">
        <v>203</v>
      </c>
      <c r="VDG20" s="314" t="s">
        <v>203</v>
      </c>
      <c r="VDH20" s="314" t="s">
        <v>203</v>
      </c>
      <c r="VDI20" s="314" t="s">
        <v>203</v>
      </c>
      <c r="VDJ20" s="314" t="s">
        <v>203</v>
      </c>
      <c r="VDK20" s="314" t="s">
        <v>203</v>
      </c>
      <c r="VDL20" s="314" t="s">
        <v>203</v>
      </c>
      <c r="VDM20" s="314" t="s">
        <v>203</v>
      </c>
      <c r="VDN20" s="314" t="s">
        <v>203</v>
      </c>
      <c r="VDO20" s="314" t="s">
        <v>203</v>
      </c>
      <c r="VDP20" s="314" t="s">
        <v>203</v>
      </c>
      <c r="VDQ20" s="314" t="s">
        <v>203</v>
      </c>
      <c r="VDR20" s="314" t="s">
        <v>203</v>
      </c>
      <c r="VDS20" s="314" t="s">
        <v>203</v>
      </c>
      <c r="VDT20" s="314" t="s">
        <v>203</v>
      </c>
      <c r="VDU20" s="314" t="s">
        <v>203</v>
      </c>
      <c r="VDV20" s="314" t="s">
        <v>203</v>
      </c>
      <c r="VDW20" s="314" t="s">
        <v>203</v>
      </c>
      <c r="VDX20" s="314" t="s">
        <v>203</v>
      </c>
      <c r="VDY20" s="314" t="s">
        <v>203</v>
      </c>
      <c r="VDZ20" s="314" t="s">
        <v>203</v>
      </c>
      <c r="VEA20" s="314" t="s">
        <v>203</v>
      </c>
      <c r="VEB20" s="314" t="s">
        <v>203</v>
      </c>
      <c r="VEC20" s="314" t="s">
        <v>203</v>
      </c>
      <c r="VED20" s="314" t="s">
        <v>203</v>
      </c>
      <c r="VEE20" s="314" t="s">
        <v>203</v>
      </c>
      <c r="VEF20" s="314" t="s">
        <v>203</v>
      </c>
      <c r="VEG20" s="314" t="s">
        <v>203</v>
      </c>
      <c r="VEH20" s="314" t="s">
        <v>203</v>
      </c>
      <c r="VEI20" s="314" t="s">
        <v>203</v>
      </c>
      <c r="VEJ20" s="314" t="s">
        <v>203</v>
      </c>
      <c r="VEK20" s="314" t="s">
        <v>203</v>
      </c>
      <c r="VEL20" s="314" t="s">
        <v>203</v>
      </c>
      <c r="VEM20" s="314" t="s">
        <v>203</v>
      </c>
      <c r="VEN20" s="314" t="s">
        <v>203</v>
      </c>
      <c r="VEO20" s="314" t="s">
        <v>203</v>
      </c>
      <c r="VEP20" s="314" t="s">
        <v>203</v>
      </c>
      <c r="VEQ20" s="314" t="s">
        <v>203</v>
      </c>
      <c r="VER20" s="314" t="s">
        <v>203</v>
      </c>
      <c r="VES20" s="314" t="s">
        <v>203</v>
      </c>
      <c r="VET20" s="314" t="s">
        <v>203</v>
      </c>
      <c r="VEU20" s="314" t="s">
        <v>203</v>
      </c>
      <c r="VEV20" s="314" t="s">
        <v>203</v>
      </c>
      <c r="VEW20" s="314" t="s">
        <v>203</v>
      </c>
      <c r="VEX20" s="314" t="s">
        <v>203</v>
      </c>
      <c r="VEY20" s="314" t="s">
        <v>203</v>
      </c>
      <c r="VEZ20" s="314" t="s">
        <v>203</v>
      </c>
      <c r="VFA20" s="314" t="s">
        <v>203</v>
      </c>
      <c r="VFB20" s="314" t="s">
        <v>203</v>
      </c>
      <c r="VFC20" s="314" t="s">
        <v>203</v>
      </c>
      <c r="VFD20" s="314" t="s">
        <v>203</v>
      </c>
      <c r="VFE20" s="314" t="s">
        <v>203</v>
      </c>
      <c r="VFF20" s="314" t="s">
        <v>203</v>
      </c>
      <c r="VFG20" s="314" t="s">
        <v>203</v>
      </c>
      <c r="VFH20" s="314" t="s">
        <v>203</v>
      </c>
      <c r="VFI20" s="314" t="s">
        <v>203</v>
      </c>
      <c r="VFJ20" s="314" t="s">
        <v>203</v>
      </c>
      <c r="VFK20" s="314" t="s">
        <v>203</v>
      </c>
      <c r="VFL20" s="314" t="s">
        <v>203</v>
      </c>
      <c r="VFM20" s="314" t="s">
        <v>203</v>
      </c>
      <c r="VFN20" s="314" t="s">
        <v>203</v>
      </c>
      <c r="VFO20" s="314" t="s">
        <v>203</v>
      </c>
      <c r="VFP20" s="314" t="s">
        <v>203</v>
      </c>
      <c r="VFQ20" s="314" t="s">
        <v>203</v>
      </c>
      <c r="VFR20" s="314" t="s">
        <v>203</v>
      </c>
      <c r="VFS20" s="314" t="s">
        <v>203</v>
      </c>
      <c r="VFT20" s="314" t="s">
        <v>203</v>
      </c>
      <c r="VFU20" s="314" t="s">
        <v>203</v>
      </c>
      <c r="VFV20" s="314" t="s">
        <v>203</v>
      </c>
      <c r="VFW20" s="314" t="s">
        <v>203</v>
      </c>
      <c r="VFX20" s="314" t="s">
        <v>203</v>
      </c>
      <c r="VFY20" s="314" t="s">
        <v>203</v>
      </c>
      <c r="VFZ20" s="314" t="s">
        <v>203</v>
      </c>
      <c r="VGA20" s="314" t="s">
        <v>203</v>
      </c>
      <c r="VGB20" s="314" t="s">
        <v>203</v>
      </c>
      <c r="VGC20" s="314" t="s">
        <v>203</v>
      </c>
      <c r="VGD20" s="314" t="s">
        <v>203</v>
      </c>
      <c r="VGE20" s="314" t="s">
        <v>203</v>
      </c>
      <c r="VGF20" s="314" t="s">
        <v>203</v>
      </c>
      <c r="VGG20" s="314" t="s">
        <v>203</v>
      </c>
      <c r="VGH20" s="314" t="s">
        <v>203</v>
      </c>
      <c r="VGI20" s="314" t="s">
        <v>203</v>
      </c>
      <c r="VGJ20" s="314" t="s">
        <v>203</v>
      </c>
      <c r="VGK20" s="314" t="s">
        <v>203</v>
      </c>
      <c r="VGL20" s="314" t="s">
        <v>203</v>
      </c>
      <c r="VGM20" s="314" t="s">
        <v>203</v>
      </c>
      <c r="VGN20" s="314" t="s">
        <v>203</v>
      </c>
      <c r="VGO20" s="314" t="s">
        <v>203</v>
      </c>
      <c r="VGP20" s="314" t="s">
        <v>203</v>
      </c>
      <c r="VGQ20" s="314" t="s">
        <v>203</v>
      </c>
      <c r="VGR20" s="314" t="s">
        <v>203</v>
      </c>
      <c r="VGS20" s="314" t="s">
        <v>203</v>
      </c>
      <c r="VGT20" s="314" t="s">
        <v>203</v>
      </c>
      <c r="VGU20" s="314" t="s">
        <v>203</v>
      </c>
      <c r="VGV20" s="314" t="s">
        <v>203</v>
      </c>
      <c r="VGW20" s="314" t="s">
        <v>203</v>
      </c>
      <c r="VGX20" s="314" t="s">
        <v>203</v>
      </c>
      <c r="VGY20" s="314" t="s">
        <v>203</v>
      </c>
      <c r="VGZ20" s="314" t="s">
        <v>203</v>
      </c>
      <c r="VHA20" s="314" t="s">
        <v>203</v>
      </c>
      <c r="VHB20" s="314" t="s">
        <v>203</v>
      </c>
      <c r="VHC20" s="314" t="s">
        <v>203</v>
      </c>
      <c r="VHD20" s="314" t="s">
        <v>203</v>
      </c>
      <c r="VHE20" s="314" t="s">
        <v>203</v>
      </c>
      <c r="VHF20" s="314" t="s">
        <v>203</v>
      </c>
      <c r="VHG20" s="314" t="s">
        <v>203</v>
      </c>
      <c r="VHH20" s="314" t="s">
        <v>203</v>
      </c>
      <c r="VHI20" s="314" t="s">
        <v>203</v>
      </c>
      <c r="VHJ20" s="314" t="s">
        <v>203</v>
      </c>
      <c r="VHK20" s="314" t="s">
        <v>203</v>
      </c>
      <c r="VHL20" s="314" t="s">
        <v>203</v>
      </c>
      <c r="VHM20" s="314" t="s">
        <v>203</v>
      </c>
      <c r="VHN20" s="314" t="s">
        <v>203</v>
      </c>
      <c r="VHO20" s="314" t="s">
        <v>203</v>
      </c>
      <c r="VHP20" s="314" t="s">
        <v>203</v>
      </c>
      <c r="VHQ20" s="314" t="s">
        <v>203</v>
      </c>
      <c r="VHR20" s="314" t="s">
        <v>203</v>
      </c>
      <c r="VHS20" s="314" t="s">
        <v>203</v>
      </c>
      <c r="VHT20" s="314" t="s">
        <v>203</v>
      </c>
      <c r="VHU20" s="314" t="s">
        <v>203</v>
      </c>
      <c r="VHV20" s="314" t="s">
        <v>203</v>
      </c>
      <c r="VHW20" s="314" t="s">
        <v>203</v>
      </c>
      <c r="VHX20" s="314" t="s">
        <v>203</v>
      </c>
      <c r="VHY20" s="314" t="s">
        <v>203</v>
      </c>
      <c r="VHZ20" s="314" t="s">
        <v>203</v>
      </c>
      <c r="VIA20" s="314" t="s">
        <v>203</v>
      </c>
      <c r="VIB20" s="314" t="s">
        <v>203</v>
      </c>
      <c r="VIC20" s="314" t="s">
        <v>203</v>
      </c>
      <c r="VID20" s="314" t="s">
        <v>203</v>
      </c>
      <c r="VIE20" s="314" t="s">
        <v>203</v>
      </c>
      <c r="VIF20" s="314" t="s">
        <v>203</v>
      </c>
      <c r="VIG20" s="314" t="s">
        <v>203</v>
      </c>
      <c r="VIH20" s="314" t="s">
        <v>203</v>
      </c>
      <c r="VII20" s="314" t="s">
        <v>203</v>
      </c>
      <c r="VIJ20" s="314" t="s">
        <v>203</v>
      </c>
      <c r="VIK20" s="314" t="s">
        <v>203</v>
      </c>
      <c r="VIL20" s="314" t="s">
        <v>203</v>
      </c>
      <c r="VIM20" s="314" t="s">
        <v>203</v>
      </c>
      <c r="VIN20" s="314" t="s">
        <v>203</v>
      </c>
      <c r="VIO20" s="314" t="s">
        <v>203</v>
      </c>
      <c r="VIP20" s="314" t="s">
        <v>203</v>
      </c>
      <c r="VIQ20" s="314" t="s">
        <v>203</v>
      </c>
      <c r="VIR20" s="314" t="s">
        <v>203</v>
      </c>
      <c r="VIS20" s="314" t="s">
        <v>203</v>
      </c>
      <c r="VIT20" s="314" t="s">
        <v>203</v>
      </c>
      <c r="VIU20" s="314" t="s">
        <v>203</v>
      </c>
      <c r="VIV20" s="314" t="s">
        <v>203</v>
      </c>
      <c r="VIW20" s="314" t="s">
        <v>203</v>
      </c>
      <c r="VIX20" s="314" t="s">
        <v>203</v>
      </c>
      <c r="VIY20" s="314" t="s">
        <v>203</v>
      </c>
      <c r="VIZ20" s="314" t="s">
        <v>203</v>
      </c>
      <c r="VJA20" s="314" t="s">
        <v>203</v>
      </c>
      <c r="VJB20" s="314" t="s">
        <v>203</v>
      </c>
      <c r="VJC20" s="314" t="s">
        <v>203</v>
      </c>
      <c r="VJD20" s="314" t="s">
        <v>203</v>
      </c>
      <c r="VJE20" s="314" t="s">
        <v>203</v>
      </c>
      <c r="VJF20" s="314" t="s">
        <v>203</v>
      </c>
      <c r="VJG20" s="314" t="s">
        <v>203</v>
      </c>
      <c r="VJH20" s="314" t="s">
        <v>203</v>
      </c>
      <c r="VJI20" s="314" t="s">
        <v>203</v>
      </c>
      <c r="VJJ20" s="314" t="s">
        <v>203</v>
      </c>
      <c r="VJK20" s="314" t="s">
        <v>203</v>
      </c>
      <c r="VJL20" s="314" t="s">
        <v>203</v>
      </c>
      <c r="VJM20" s="314" t="s">
        <v>203</v>
      </c>
      <c r="VJN20" s="314" t="s">
        <v>203</v>
      </c>
      <c r="VJO20" s="314" t="s">
        <v>203</v>
      </c>
      <c r="VJP20" s="314" t="s">
        <v>203</v>
      </c>
      <c r="VJQ20" s="314" t="s">
        <v>203</v>
      </c>
      <c r="VJR20" s="314" t="s">
        <v>203</v>
      </c>
      <c r="VJS20" s="314" t="s">
        <v>203</v>
      </c>
      <c r="VJT20" s="314" t="s">
        <v>203</v>
      </c>
      <c r="VJU20" s="314" t="s">
        <v>203</v>
      </c>
      <c r="VJV20" s="314" t="s">
        <v>203</v>
      </c>
      <c r="VJW20" s="314" t="s">
        <v>203</v>
      </c>
      <c r="VJX20" s="314" t="s">
        <v>203</v>
      </c>
      <c r="VJY20" s="314" t="s">
        <v>203</v>
      </c>
      <c r="VJZ20" s="314" t="s">
        <v>203</v>
      </c>
      <c r="VKA20" s="314" t="s">
        <v>203</v>
      </c>
      <c r="VKB20" s="314" t="s">
        <v>203</v>
      </c>
      <c r="VKC20" s="314" t="s">
        <v>203</v>
      </c>
      <c r="VKD20" s="314" t="s">
        <v>203</v>
      </c>
      <c r="VKE20" s="314" t="s">
        <v>203</v>
      </c>
      <c r="VKF20" s="314" t="s">
        <v>203</v>
      </c>
      <c r="VKG20" s="314" t="s">
        <v>203</v>
      </c>
      <c r="VKH20" s="314" t="s">
        <v>203</v>
      </c>
      <c r="VKI20" s="314" t="s">
        <v>203</v>
      </c>
      <c r="VKJ20" s="314" t="s">
        <v>203</v>
      </c>
      <c r="VKK20" s="314" t="s">
        <v>203</v>
      </c>
      <c r="VKL20" s="314" t="s">
        <v>203</v>
      </c>
      <c r="VKM20" s="314" t="s">
        <v>203</v>
      </c>
      <c r="VKN20" s="314" t="s">
        <v>203</v>
      </c>
      <c r="VKO20" s="314" t="s">
        <v>203</v>
      </c>
      <c r="VKP20" s="314" t="s">
        <v>203</v>
      </c>
      <c r="VKQ20" s="314" t="s">
        <v>203</v>
      </c>
      <c r="VKR20" s="314" t="s">
        <v>203</v>
      </c>
      <c r="VKS20" s="314" t="s">
        <v>203</v>
      </c>
      <c r="VKT20" s="314" t="s">
        <v>203</v>
      </c>
      <c r="VKU20" s="314" t="s">
        <v>203</v>
      </c>
      <c r="VKV20" s="314" t="s">
        <v>203</v>
      </c>
      <c r="VKW20" s="314" t="s">
        <v>203</v>
      </c>
      <c r="VKX20" s="314" t="s">
        <v>203</v>
      </c>
      <c r="VKY20" s="314" t="s">
        <v>203</v>
      </c>
      <c r="VKZ20" s="314" t="s">
        <v>203</v>
      </c>
      <c r="VLA20" s="314" t="s">
        <v>203</v>
      </c>
      <c r="VLB20" s="314" t="s">
        <v>203</v>
      </c>
      <c r="VLC20" s="314" t="s">
        <v>203</v>
      </c>
      <c r="VLD20" s="314" t="s">
        <v>203</v>
      </c>
      <c r="VLE20" s="314" t="s">
        <v>203</v>
      </c>
      <c r="VLF20" s="314" t="s">
        <v>203</v>
      </c>
      <c r="VLG20" s="314" t="s">
        <v>203</v>
      </c>
      <c r="VLH20" s="314" t="s">
        <v>203</v>
      </c>
      <c r="VLI20" s="314" t="s">
        <v>203</v>
      </c>
      <c r="VLJ20" s="314" t="s">
        <v>203</v>
      </c>
      <c r="VLK20" s="314" t="s">
        <v>203</v>
      </c>
      <c r="VLL20" s="314" t="s">
        <v>203</v>
      </c>
      <c r="VLM20" s="314" t="s">
        <v>203</v>
      </c>
      <c r="VLN20" s="314" t="s">
        <v>203</v>
      </c>
      <c r="VLO20" s="314" t="s">
        <v>203</v>
      </c>
      <c r="VLP20" s="314" t="s">
        <v>203</v>
      </c>
      <c r="VLQ20" s="314" t="s">
        <v>203</v>
      </c>
      <c r="VLR20" s="314" t="s">
        <v>203</v>
      </c>
      <c r="VLS20" s="314" t="s">
        <v>203</v>
      </c>
      <c r="VLT20" s="314" t="s">
        <v>203</v>
      </c>
      <c r="VLU20" s="314" t="s">
        <v>203</v>
      </c>
      <c r="VLV20" s="314" t="s">
        <v>203</v>
      </c>
      <c r="VLW20" s="314" t="s">
        <v>203</v>
      </c>
      <c r="VLX20" s="314" t="s">
        <v>203</v>
      </c>
      <c r="VLY20" s="314" t="s">
        <v>203</v>
      </c>
      <c r="VLZ20" s="314" t="s">
        <v>203</v>
      </c>
      <c r="VMA20" s="314" t="s">
        <v>203</v>
      </c>
      <c r="VMB20" s="314" t="s">
        <v>203</v>
      </c>
      <c r="VMC20" s="314" t="s">
        <v>203</v>
      </c>
      <c r="VMD20" s="314" t="s">
        <v>203</v>
      </c>
      <c r="VME20" s="314" t="s">
        <v>203</v>
      </c>
      <c r="VMF20" s="314" t="s">
        <v>203</v>
      </c>
      <c r="VMG20" s="314" t="s">
        <v>203</v>
      </c>
      <c r="VMH20" s="314" t="s">
        <v>203</v>
      </c>
      <c r="VMI20" s="314" t="s">
        <v>203</v>
      </c>
      <c r="VMJ20" s="314" t="s">
        <v>203</v>
      </c>
      <c r="VMK20" s="314" t="s">
        <v>203</v>
      </c>
      <c r="VML20" s="314" t="s">
        <v>203</v>
      </c>
      <c r="VMM20" s="314" t="s">
        <v>203</v>
      </c>
      <c r="VMN20" s="314" t="s">
        <v>203</v>
      </c>
      <c r="VMO20" s="314" t="s">
        <v>203</v>
      </c>
      <c r="VMP20" s="314" t="s">
        <v>203</v>
      </c>
      <c r="VMQ20" s="314" t="s">
        <v>203</v>
      </c>
      <c r="VMR20" s="314" t="s">
        <v>203</v>
      </c>
      <c r="VMS20" s="314" t="s">
        <v>203</v>
      </c>
      <c r="VMT20" s="314" t="s">
        <v>203</v>
      </c>
      <c r="VMU20" s="314" t="s">
        <v>203</v>
      </c>
      <c r="VMV20" s="314" t="s">
        <v>203</v>
      </c>
      <c r="VMW20" s="314" t="s">
        <v>203</v>
      </c>
      <c r="VMX20" s="314" t="s">
        <v>203</v>
      </c>
      <c r="VMY20" s="314" t="s">
        <v>203</v>
      </c>
      <c r="VMZ20" s="314" t="s">
        <v>203</v>
      </c>
      <c r="VNA20" s="314" t="s">
        <v>203</v>
      </c>
      <c r="VNB20" s="314" t="s">
        <v>203</v>
      </c>
      <c r="VNC20" s="314" t="s">
        <v>203</v>
      </c>
      <c r="VND20" s="314" t="s">
        <v>203</v>
      </c>
      <c r="VNE20" s="314" t="s">
        <v>203</v>
      </c>
      <c r="VNF20" s="314" t="s">
        <v>203</v>
      </c>
      <c r="VNG20" s="314" t="s">
        <v>203</v>
      </c>
      <c r="VNH20" s="314" t="s">
        <v>203</v>
      </c>
      <c r="VNI20" s="314" t="s">
        <v>203</v>
      </c>
      <c r="VNJ20" s="314" t="s">
        <v>203</v>
      </c>
      <c r="VNK20" s="314" t="s">
        <v>203</v>
      </c>
      <c r="VNL20" s="314" t="s">
        <v>203</v>
      </c>
      <c r="VNM20" s="314" t="s">
        <v>203</v>
      </c>
      <c r="VNN20" s="314" t="s">
        <v>203</v>
      </c>
      <c r="VNO20" s="314" t="s">
        <v>203</v>
      </c>
      <c r="VNP20" s="314" t="s">
        <v>203</v>
      </c>
      <c r="VNQ20" s="314" t="s">
        <v>203</v>
      </c>
      <c r="VNR20" s="314" t="s">
        <v>203</v>
      </c>
      <c r="VNS20" s="314" t="s">
        <v>203</v>
      </c>
      <c r="VNT20" s="314" t="s">
        <v>203</v>
      </c>
      <c r="VNU20" s="314" t="s">
        <v>203</v>
      </c>
      <c r="VNV20" s="314" t="s">
        <v>203</v>
      </c>
      <c r="VNW20" s="314" t="s">
        <v>203</v>
      </c>
      <c r="VNX20" s="314" t="s">
        <v>203</v>
      </c>
      <c r="VNY20" s="314" t="s">
        <v>203</v>
      </c>
      <c r="VNZ20" s="314" t="s">
        <v>203</v>
      </c>
      <c r="VOA20" s="314" t="s">
        <v>203</v>
      </c>
      <c r="VOB20" s="314" t="s">
        <v>203</v>
      </c>
      <c r="VOC20" s="314" t="s">
        <v>203</v>
      </c>
      <c r="VOD20" s="314" t="s">
        <v>203</v>
      </c>
      <c r="VOE20" s="314" t="s">
        <v>203</v>
      </c>
      <c r="VOF20" s="314" t="s">
        <v>203</v>
      </c>
      <c r="VOG20" s="314" t="s">
        <v>203</v>
      </c>
      <c r="VOH20" s="314" t="s">
        <v>203</v>
      </c>
      <c r="VOI20" s="314" t="s">
        <v>203</v>
      </c>
      <c r="VOJ20" s="314" t="s">
        <v>203</v>
      </c>
      <c r="VOK20" s="314" t="s">
        <v>203</v>
      </c>
      <c r="VOL20" s="314" t="s">
        <v>203</v>
      </c>
      <c r="VOM20" s="314" t="s">
        <v>203</v>
      </c>
      <c r="VON20" s="314" t="s">
        <v>203</v>
      </c>
      <c r="VOO20" s="314" t="s">
        <v>203</v>
      </c>
      <c r="VOP20" s="314" t="s">
        <v>203</v>
      </c>
      <c r="VOQ20" s="314" t="s">
        <v>203</v>
      </c>
      <c r="VOR20" s="314" t="s">
        <v>203</v>
      </c>
      <c r="VOS20" s="314" t="s">
        <v>203</v>
      </c>
      <c r="VOT20" s="314" t="s">
        <v>203</v>
      </c>
      <c r="VOU20" s="314" t="s">
        <v>203</v>
      </c>
      <c r="VOV20" s="314" t="s">
        <v>203</v>
      </c>
      <c r="VOW20" s="314" t="s">
        <v>203</v>
      </c>
      <c r="VOX20" s="314" t="s">
        <v>203</v>
      </c>
      <c r="VOY20" s="314" t="s">
        <v>203</v>
      </c>
      <c r="VOZ20" s="314" t="s">
        <v>203</v>
      </c>
      <c r="VPA20" s="314" t="s">
        <v>203</v>
      </c>
      <c r="VPB20" s="314" t="s">
        <v>203</v>
      </c>
      <c r="VPC20" s="314" t="s">
        <v>203</v>
      </c>
      <c r="VPD20" s="314" t="s">
        <v>203</v>
      </c>
      <c r="VPE20" s="314" t="s">
        <v>203</v>
      </c>
      <c r="VPF20" s="314" t="s">
        <v>203</v>
      </c>
      <c r="VPG20" s="314" t="s">
        <v>203</v>
      </c>
      <c r="VPH20" s="314" t="s">
        <v>203</v>
      </c>
      <c r="VPI20" s="314" t="s">
        <v>203</v>
      </c>
      <c r="VPJ20" s="314" t="s">
        <v>203</v>
      </c>
      <c r="VPK20" s="314" t="s">
        <v>203</v>
      </c>
      <c r="VPL20" s="314" t="s">
        <v>203</v>
      </c>
      <c r="VPM20" s="314" t="s">
        <v>203</v>
      </c>
      <c r="VPN20" s="314" t="s">
        <v>203</v>
      </c>
      <c r="VPO20" s="314" t="s">
        <v>203</v>
      </c>
      <c r="VPP20" s="314" t="s">
        <v>203</v>
      </c>
      <c r="VPQ20" s="314" t="s">
        <v>203</v>
      </c>
      <c r="VPR20" s="314" t="s">
        <v>203</v>
      </c>
      <c r="VPS20" s="314" t="s">
        <v>203</v>
      </c>
      <c r="VPT20" s="314" t="s">
        <v>203</v>
      </c>
      <c r="VPU20" s="314" t="s">
        <v>203</v>
      </c>
      <c r="VPV20" s="314" t="s">
        <v>203</v>
      </c>
      <c r="VPW20" s="314" t="s">
        <v>203</v>
      </c>
      <c r="VPX20" s="314" t="s">
        <v>203</v>
      </c>
      <c r="VPY20" s="314" t="s">
        <v>203</v>
      </c>
      <c r="VPZ20" s="314" t="s">
        <v>203</v>
      </c>
      <c r="VQA20" s="314" t="s">
        <v>203</v>
      </c>
      <c r="VQB20" s="314" t="s">
        <v>203</v>
      </c>
      <c r="VQC20" s="314" t="s">
        <v>203</v>
      </c>
      <c r="VQD20" s="314" t="s">
        <v>203</v>
      </c>
      <c r="VQE20" s="314" t="s">
        <v>203</v>
      </c>
      <c r="VQF20" s="314" t="s">
        <v>203</v>
      </c>
      <c r="VQG20" s="314" t="s">
        <v>203</v>
      </c>
      <c r="VQH20" s="314" t="s">
        <v>203</v>
      </c>
      <c r="VQI20" s="314" t="s">
        <v>203</v>
      </c>
      <c r="VQJ20" s="314" t="s">
        <v>203</v>
      </c>
      <c r="VQK20" s="314" t="s">
        <v>203</v>
      </c>
      <c r="VQL20" s="314" t="s">
        <v>203</v>
      </c>
      <c r="VQM20" s="314" t="s">
        <v>203</v>
      </c>
      <c r="VQN20" s="314" t="s">
        <v>203</v>
      </c>
      <c r="VQO20" s="314" t="s">
        <v>203</v>
      </c>
      <c r="VQP20" s="314" t="s">
        <v>203</v>
      </c>
      <c r="VQQ20" s="314" t="s">
        <v>203</v>
      </c>
      <c r="VQR20" s="314" t="s">
        <v>203</v>
      </c>
      <c r="VQS20" s="314" t="s">
        <v>203</v>
      </c>
      <c r="VQT20" s="314" t="s">
        <v>203</v>
      </c>
      <c r="VQU20" s="314" t="s">
        <v>203</v>
      </c>
      <c r="VQV20" s="314" t="s">
        <v>203</v>
      </c>
      <c r="VQW20" s="314" t="s">
        <v>203</v>
      </c>
      <c r="VQX20" s="314" t="s">
        <v>203</v>
      </c>
      <c r="VQY20" s="314" t="s">
        <v>203</v>
      </c>
      <c r="VQZ20" s="314" t="s">
        <v>203</v>
      </c>
      <c r="VRA20" s="314" t="s">
        <v>203</v>
      </c>
      <c r="VRB20" s="314" t="s">
        <v>203</v>
      </c>
      <c r="VRC20" s="314" t="s">
        <v>203</v>
      </c>
      <c r="VRD20" s="314" t="s">
        <v>203</v>
      </c>
      <c r="VRE20" s="314" t="s">
        <v>203</v>
      </c>
      <c r="VRF20" s="314" t="s">
        <v>203</v>
      </c>
      <c r="VRG20" s="314" t="s">
        <v>203</v>
      </c>
      <c r="VRH20" s="314" t="s">
        <v>203</v>
      </c>
      <c r="VRI20" s="314" t="s">
        <v>203</v>
      </c>
      <c r="VRJ20" s="314" t="s">
        <v>203</v>
      </c>
      <c r="VRK20" s="314" t="s">
        <v>203</v>
      </c>
      <c r="VRL20" s="314" t="s">
        <v>203</v>
      </c>
      <c r="VRM20" s="314" t="s">
        <v>203</v>
      </c>
      <c r="VRN20" s="314" t="s">
        <v>203</v>
      </c>
      <c r="VRO20" s="314" t="s">
        <v>203</v>
      </c>
      <c r="VRP20" s="314" t="s">
        <v>203</v>
      </c>
      <c r="VRQ20" s="314" t="s">
        <v>203</v>
      </c>
      <c r="VRR20" s="314" t="s">
        <v>203</v>
      </c>
      <c r="VRS20" s="314" t="s">
        <v>203</v>
      </c>
      <c r="VRT20" s="314" t="s">
        <v>203</v>
      </c>
      <c r="VRU20" s="314" t="s">
        <v>203</v>
      </c>
      <c r="VRV20" s="314" t="s">
        <v>203</v>
      </c>
      <c r="VRW20" s="314" t="s">
        <v>203</v>
      </c>
      <c r="VRX20" s="314" t="s">
        <v>203</v>
      </c>
      <c r="VRY20" s="314" t="s">
        <v>203</v>
      </c>
      <c r="VRZ20" s="314" t="s">
        <v>203</v>
      </c>
      <c r="VSA20" s="314" t="s">
        <v>203</v>
      </c>
      <c r="VSB20" s="314" t="s">
        <v>203</v>
      </c>
      <c r="VSC20" s="314" t="s">
        <v>203</v>
      </c>
      <c r="VSD20" s="314" t="s">
        <v>203</v>
      </c>
      <c r="VSE20" s="314" t="s">
        <v>203</v>
      </c>
      <c r="VSF20" s="314" t="s">
        <v>203</v>
      </c>
      <c r="VSG20" s="314" t="s">
        <v>203</v>
      </c>
      <c r="VSH20" s="314" t="s">
        <v>203</v>
      </c>
      <c r="VSI20" s="314" t="s">
        <v>203</v>
      </c>
      <c r="VSJ20" s="314" t="s">
        <v>203</v>
      </c>
      <c r="VSK20" s="314" t="s">
        <v>203</v>
      </c>
      <c r="VSL20" s="314" t="s">
        <v>203</v>
      </c>
      <c r="VSM20" s="314" t="s">
        <v>203</v>
      </c>
      <c r="VSN20" s="314" t="s">
        <v>203</v>
      </c>
      <c r="VSO20" s="314" t="s">
        <v>203</v>
      </c>
      <c r="VSP20" s="314" t="s">
        <v>203</v>
      </c>
      <c r="VSQ20" s="314" t="s">
        <v>203</v>
      </c>
      <c r="VSR20" s="314" t="s">
        <v>203</v>
      </c>
      <c r="VSS20" s="314" t="s">
        <v>203</v>
      </c>
      <c r="VST20" s="314" t="s">
        <v>203</v>
      </c>
      <c r="VSU20" s="314" t="s">
        <v>203</v>
      </c>
      <c r="VSV20" s="314" t="s">
        <v>203</v>
      </c>
      <c r="VSW20" s="314" t="s">
        <v>203</v>
      </c>
      <c r="VSX20" s="314" t="s">
        <v>203</v>
      </c>
      <c r="VSY20" s="314" t="s">
        <v>203</v>
      </c>
      <c r="VSZ20" s="314" t="s">
        <v>203</v>
      </c>
      <c r="VTA20" s="314" t="s">
        <v>203</v>
      </c>
      <c r="VTB20" s="314" t="s">
        <v>203</v>
      </c>
      <c r="VTC20" s="314" t="s">
        <v>203</v>
      </c>
      <c r="VTD20" s="314" t="s">
        <v>203</v>
      </c>
      <c r="VTE20" s="314" t="s">
        <v>203</v>
      </c>
      <c r="VTF20" s="314" t="s">
        <v>203</v>
      </c>
      <c r="VTG20" s="314" t="s">
        <v>203</v>
      </c>
      <c r="VTH20" s="314" t="s">
        <v>203</v>
      </c>
      <c r="VTI20" s="314" t="s">
        <v>203</v>
      </c>
      <c r="VTJ20" s="314" t="s">
        <v>203</v>
      </c>
      <c r="VTK20" s="314" t="s">
        <v>203</v>
      </c>
      <c r="VTL20" s="314" t="s">
        <v>203</v>
      </c>
      <c r="VTM20" s="314" t="s">
        <v>203</v>
      </c>
      <c r="VTN20" s="314" t="s">
        <v>203</v>
      </c>
      <c r="VTO20" s="314" t="s">
        <v>203</v>
      </c>
      <c r="VTP20" s="314" t="s">
        <v>203</v>
      </c>
      <c r="VTQ20" s="314" t="s">
        <v>203</v>
      </c>
      <c r="VTR20" s="314" t="s">
        <v>203</v>
      </c>
      <c r="VTS20" s="314" t="s">
        <v>203</v>
      </c>
      <c r="VTT20" s="314" t="s">
        <v>203</v>
      </c>
      <c r="VTU20" s="314" t="s">
        <v>203</v>
      </c>
      <c r="VTV20" s="314" t="s">
        <v>203</v>
      </c>
      <c r="VTW20" s="314" t="s">
        <v>203</v>
      </c>
      <c r="VTX20" s="314" t="s">
        <v>203</v>
      </c>
      <c r="VTY20" s="314" t="s">
        <v>203</v>
      </c>
      <c r="VTZ20" s="314" t="s">
        <v>203</v>
      </c>
      <c r="VUA20" s="314" t="s">
        <v>203</v>
      </c>
      <c r="VUB20" s="314" t="s">
        <v>203</v>
      </c>
      <c r="VUC20" s="314" t="s">
        <v>203</v>
      </c>
      <c r="VUD20" s="314" t="s">
        <v>203</v>
      </c>
      <c r="VUE20" s="314" t="s">
        <v>203</v>
      </c>
      <c r="VUF20" s="314" t="s">
        <v>203</v>
      </c>
      <c r="VUG20" s="314" t="s">
        <v>203</v>
      </c>
      <c r="VUH20" s="314" t="s">
        <v>203</v>
      </c>
      <c r="VUI20" s="314" t="s">
        <v>203</v>
      </c>
      <c r="VUJ20" s="314" t="s">
        <v>203</v>
      </c>
      <c r="VUK20" s="314" t="s">
        <v>203</v>
      </c>
      <c r="VUL20" s="314" t="s">
        <v>203</v>
      </c>
      <c r="VUM20" s="314" t="s">
        <v>203</v>
      </c>
      <c r="VUN20" s="314" t="s">
        <v>203</v>
      </c>
      <c r="VUO20" s="314" t="s">
        <v>203</v>
      </c>
      <c r="VUP20" s="314" t="s">
        <v>203</v>
      </c>
      <c r="VUQ20" s="314" t="s">
        <v>203</v>
      </c>
      <c r="VUR20" s="314" t="s">
        <v>203</v>
      </c>
      <c r="VUS20" s="314" t="s">
        <v>203</v>
      </c>
      <c r="VUT20" s="314" t="s">
        <v>203</v>
      </c>
      <c r="VUU20" s="314" t="s">
        <v>203</v>
      </c>
      <c r="VUV20" s="314" t="s">
        <v>203</v>
      </c>
      <c r="VUW20" s="314" t="s">
        <v>203</v>
      </c>
      <c r="VUX20" s="314" t="s">
        <v>203</v>
      </c>
      <c r="VUY20" s="314" t="s">
        <v>203</v>
      </c>
      <c r="VUZ20" s="314" t="s">
        <v>203</v>
      </c>
      <c r="VVA20" s="314" t="s">
        <v>203</v>
      </c>
      <c r="VVB20" s="314" t="s">
        <v>203</v>
      </c>
      <c r="VVC20" s="314" t="s">
        <v>203</v>
      </c>
      <c r="VVD20" s="314" t="s">
        <v>203</v>
      </c>
      <c r="VVE20" s="314" t="s">
        <v>203</v>
      </c>
      <c r="VVF20" s="314" t="s">
        <v>203</v>
      </c>
      <c r="VVG20" s="314" t="s">
        <v>203</v>
      </c>
      <c r="VVH20" s="314" t="s">
        <v>203</v>
      </c>
      <c r="VVI20" s="314" t="s">
        <v>203</v>
      </c>
      <c r="VVJ20" s="314" t="s">
        <v>203</v>
      </c>
      <c r="VVK20" s="314" t="s">
        <v>203</v>
      </c>
      <c r="VVL20" s="314" t="s">
        <v>203</v>
      </c>
      <c r="VVM20" s="314" t="s">
        <v>203</v>
      </c>
      <c r="VVN20" s="314" t="s">
        <v>203</v>
      </c>
      <c r="VVO20" s="314" t="s">
        <v>203</v>
      </c>
      <c r="VVP20" s="314" t="s">
        <v>203</v>
      </c>
      <c r="VVQ20" s="314" t="s">
        <v>203</v>
      </c>
      <c r="VVR20" s="314" t="s">
        <v>203</v>
      </c>
      <c r="VVS20" s="314" t="s">
        <v>203</v>
      </c>
      <c r="VVT20" s="314" t="s">
        <v>203</v>
      </c>
      <c r="VVU20" s="314" t="s">
        <v>203</v>
      </c>
      <c r="VVV20" s="314" t="s">
        <v>203</v>
      </c>
      <c r="VVW20" s="314" t="s">
        <v>203</v>
      </c>
      <c r="VVX20" s="314" t="s">
        <v>203</v>
      </c>
      <c r="VVY20" s="314" t="s">
        <v>203</v>
      </c>
      <c r="VVZ20" s="314" t="s">
        <v>203</v>
      </c>
      <c r="VWA20" s="314" t="s">
        <v>203</v>
      </c>
      <c r="VWB20" s="314" t="s">
        <v>203</v>
      </c>
      <c r="VWC20" s="314" t="s">
        <v>203</v>
      </c>
      <c r="VWD20" s="314" t="s">
        <v>203</v>
      </c>
      <c r="VWE20" s="314" t="s">
        <v>203</v>
      </c>
      <c r="VWF20" s="314" t="s">
        <v>203</v>
      </c>
      <c r="VWG20" s="314" t="s">
        <v>203</v>
      </c>
      <c r="VWH20" s="314" t="s">
        <v>203</v>
      </c>
      <c r="VWI20" s="314" t="s">
        <v>203</v>
      </c>
      <c r="VWJ20" s="314" t="s">
        <v>203</v>
      </c>
      <c r="VWK20" s="314" t="s">
        <v>203</v>
      </c>
      <c r="VWL20" s="314" t="s">
        <v>203</v>
      </c>
      <c r="VWM20" s="314" t="s">
        <v>203</v>
      </c>
      <c r="VWN20" s="314" t="s">
        <v>203</v>
      </c>
      <c r="VWO20" s="314" t="s">
        <v>203</v>
      </c>
      <c r="VWP20" s="314" t="s">
        <v>203</v>
      </c>
      <c r="VWQ20" s="314" t="s">
        <v>203</v>
      </c>
      <c r="VWR20" s="314" t="s">
        <v>203</v>
      </c>
      <c r="VWS20" s="314" t="s">
        <v>203</v>
      </c>
      <c r="VWT20" s="314" t="s">
        <v>203</v>
      </c>
      <c r="VWU20" s="314" t="s">
        <v>203</v>
      </c>
      <c r="VWV20" s="314" t="s">
        <v>203</v>
      </c>
      <c r="VWW20" s="314" t="s">
        <v>203</v>
      </c>
      <c r="VWX20" s="314" t="s">
        <v>203</v>
      </c>
      <c r="VWY20" s="314" t="s">
        <v>203</v>
      </c>
      <c r="VWZ20" s="314" t="s">
        <v>203</v>
      </c>
      <c r="VXA20" s="314" t="s">
        <v>203</v>
      </c>
      <c r="VXB20" s="314" t="s">
        <v>203</v>
      </c>
      <c r="VXC20" s="314" t="s">
        <v>203</v>
      </c>
      <c r="VXD20" s="314" t="s">
        <v>203</v>
      </c>
      <c r="VXE20" s="314" t="s">
        <v>203</v>
      </c>
      <c r="VXF20" s="314" t="s">
        <v>203</v>
      </c>
      <c r="VXG20" s="314" t="s">
        <v>203</v>
      </c>
      <c r="VXH20" s="314" t="s">
        <v>203</v>
      </c>
      <c r="VXI20" s="314" t="s">
        <v>203</v>
      </c>
      <c r="VXJ20" s="314" t="s">
        <v>203</v>
      </c>
      <c r="VXK20" s="314" t="s">
        <v>203</v>
      </c>
      <c r="VXL20" s="314" t="s">
        <v>203</v>
      </c>
      <c r="VXM20" s="314" t="s">
        <v>203</v>
      </c>
      <c r="VXN20" s="314" t="s">
        <v>203</v>
      </c>
      <c r="VXO20" s="314" t="s">
        <v>203</v>
      </c>
      <c r="VXP20" s="314" t="s">
        <v>203</v>
      </c>
      <c r="VXQ20" s="314" t="s">
        <v>203</v>
      </c>
      <c r="VXR20" s="314" t="s">
        <v>203</v>
      </c>
      <c r="VXS20" s="314" t="s">
        <v>203</v>
      </c>
      <c r="VXT20" s="314" t="s">
        <v>203</v>
      </c>
      <c r="VXU20" s="314" t="s">
        <v>203</v>
      </c>
      <c r="VXV20" s="314" t="s">
        <v>203</v>
      </c>
      <c r="VXW20" s="314" t="s">
        <v>203</v>
      </c>
      <c r="VXX20" s="314" t="s">
        <v>203</v>
      </c>
      <c r="VXY20" s="314" t="s">
        <v>203</v>
      </c>
      <c r="VXZ20" s="314" t="s">
        <v>203</v>
      </c>
      <c r="VYA20" s="314" t="s">
        <v>203</v>
      </c>
      <c r="VYB20" s="314" t="s">
        <v>203</v>
      </c>
      <c r="VYC20" s="314" t="s">
        <v>203</v>
      </c>
      <c r="VYD20" s="314" t="s">
        <v>203</v>
      </c>
      <c r="VYE20" s="314" t="s">
        <v>203</v>
      </c>
      <c r="VYF20" s="314" t="s">
        <v>203</v>
      </c>
      <c r="VYG20" s="314" t="s">
        <v>203</v>
      </c>
      <c r="VYH20" s="314" t="s">
        <v>203</v>
      </c>
      <c r="VYI20" s="314" t="s">
        <v>203</v>
      </c>
      <c r="VYJ20" s="314" t="s">
        <v>203</v>
      </c>
      <c r="VYK20" s="314" t="s">
        <v>203</v>
      </c>
      <c r="VYL20" s="314" t="s">
        <v>203</v>
      </c>
      <c r="VYM20" s="314" t="s">
        <v>203</v>
      </c>
      <c r="VYN20" s="314" t="s">
        <v>203</v>
      </c>
      <c r="VYO20" s="314" t="s">
        <v>203</v>
      </c>
      <c r="VYP20" s="314" t="s">
        <v>203</v>
      </c>
      <c r="VYQ20" s="314" t="s">
        <v>203</v>
      </c>
      <c r="VYR20" s="314" t="s">
        <v>203</v>
      </c>
      <c r="VYS20" s="314" t="s">
        <v>203</v>
      </c>
      <c r="VYT20" s="314" t="s">
        <v>203</v>
      </c>
      <c r="VYU20" s="314" t="s">
        <v>203</v>
      </c>
      <c r="VYV20" s="314" t="s">
        <v>203</v>
      </c>
      <c r="VYW20" s="314" t="s">
        <v>203</v>
      </c>
      <c r="VYX20" s="314" t="s">
        <v>203</v>
      </c>
      <c r="VYY20" s="314" t="s">
        <v>203</v>
      </c>
      <c r="VYZ20" s="314" t="s">
        <v>203</v>
      </c>
      <c r="VZA20" s="314" t="s">
        <v>203</v>
      </c>
      <c r="VZB20" s="314" t="s">
        <v>203</v>
      </c>
      <c r="VZC20" s="314" t="s">
        <v>203</v>
      </c>
      <c r="VZD20" s="314" t="s">
        <v>203</v>
      </c>
      <c r="VZE20" s="314" t="s">
        <v>203</v>
      </c>
      <c r="VZF20" s="314" t="s">
        <v>203</v>
      </c>
      <c r="VZG20" s="314" t="s">
        <v>203</v>
      </c>
      <c r="VZH20" s="314" t="s">
        <v>203</v>
      </c>
      <c r="VZI20" s="314" t="s">
        <v>203</v>
      </c>
      <c r="VZJ20" s="314" t="s">
        <v>203</v>
      </c>
      <c r="VZK20" s="314" t="s">
        <v>203</v>
      </c>
      <c r="VZL20" s="314" t="s">
        <v>203</v>
      </c>
      <c r="VZM20" s="314" t="s">
        <v>203</v>
      </c>
      <c r="VZN20" s="314" t="s">
        <v>203</v>
      </c>
      <c r="VZO20" s="314" t="s">
        <v>203</v>
      </c>
      <c r="VZP20" s="314" t="s">
        <v>203</v>
      </c>
      <c r="VZQ20" s="314" t="s">
        <v>203</v>
      </c>
      <c r="VZR20" s="314" t="s">
        <v>203</v>
      </c>
      <c r="VZS20" s="314" t="s">
        <v>203</v>
      </c>
      <c r="VZT20" s="314" t="s">
        <v>203</v>
      </c>
      <c r="VZU20" s="314" t="s">
        <v>203</v>
      </c>
      <c r="VZV20" s="314" t="s">
        <v>203</v>
      </c>
      <c r="VZW20" s="314" t="s">
        <v>203</v>
      </c>
      <c r="VZX20" s="314" t="s">
        <v>203</v>
      </c>
      <c r="VZY20" s="314" t="s">
        <v>203</v>
      </c>
      <c r="VZZ20" s="314" t="s">
        <v>203</v>
      </c>
      <c r="WAA20" s="314" t="s">
        <v>203</v>
      </c>
      <c r="WAB20" s="314" t="s">
        <v>203</v>
      </c>
      <c r="WAC20" s="314" t="s">
        <v>203</v>
      </c>
      <c r="WAD20" s="314" t="s">
        <v>203</v>
      </c>
      <c r="WAE20" s="314" t="s">
        <v>203</v>
      </c>
      <c r="WAF20" s="314" t="s">
        <v>203</v>
      </c>
      <c r="WAG20" s="314" t="s">
        <v>203</v>
      </c>
      <c r="WAH20" s="314" t="s">
        <v>203</v>
      </c>
      <c r="WAI20" s="314" t="s">
        <v>203</v>
      </c>
      <c r="WAJ20" s="314" t="s">
        <v>203</v>
      </c>
      <c r="WAK20" s="314" t="s">
        <v>203</v>
      </c>
      <c r="WAL20" s="314" t="s">
        <v>203</v>
      </c>
      <c r="WAM20" s="314" t="s">
        <v>203</v>
      </c>
      <c r="WAN20" s="314" t="s">
        <v>203</v>
      </c>
      <c r="WAO20" s="314" t="s">
        <v>203</v>
      </c>
      <c r="WAP20" s="314" t="s">
        <v>203</v>
      </c>
      <c r="WAQ20" s="314" t="s">
        <v>203</v>
      </c>
      <c r="WAR20" s="314" t="s">
        <v>203</v>
      </c>
      <c r="WAS20" s="314" t="s">
        <v>203</v>
      </c>
      <c r="WAT20" s="314" t="s">
        <v>203</v>
      </c>
      <c r="WAU20" s="314" t="s">
        <v>203</v>
      </c>
      <c r="WAV20" s="314" t="s">
        <v>203</v>
      </c>
      <c r="WAW20" s="314" t="s">
        <v>203</v>
      </c>
      <c r="WAX20" s="314" t="s">
        <v>203</v>
      </c>
      <c r="WAY20" s="314" t="s">
        <v>203</v>
      </c>
      <c r="WAZ20" s="314" t="s">
        <v>203</v>
      </c>
      <c r="WBA20" s="314" t="s">
        <v>203</v>
      </c>
      <c r="WBB20" s="314" t="s">
        <v>203</v>
      </c>
      <c r="WBC20" s="314" t="s">
        <v>203</v>
      </c>
      <c r="WBD20" s="314" t="s">
        <v>203</v>
      </c>
      <c r="WBE20" s="314" t="s">
        <v>203</v>
      </c>
      <c r="WBF20" s="314" t="s">
        <v>203</v>
      </c>
      <c r="WBG20" s="314" t="s">
        <v>203</v>
      </c>
      <c r="WBH20" s="314" t="s">
        <v>203</v>
      </c>
      <c r="WBI20" s="314" t="s">
        <v>203</v>
      </c>
      <c r="WBJ20" s="314" t="s">
        <v>203</v>
      </c>
      <c r="WBK20" s="314" t="s">
        <v>203</v>
      </c>
      <c r="WBL20" s="314" t="s">
        <v>203</v>
      </c>
      <c r="WBM20" s="314" t="s">
        <v>203</v>
      </c>
      <c r="WBN20" s="314" t="s">
        <v>203</v>
      </c>
      <c r="WBO20" s="314" t="s">
        <v>203</v>
      </c>
      <c r="WBP20" s="314" t="s">
        <v>203</v>
      </c>
      <c r="WBQ20" s="314" t="s">
        <v>203</v>
      </c>
      <c r="WBR20" s="314" t="s">
        <v>203</v>
      </c>
      <c r="WBS20" s="314" t="s">
        <v>203</v>
      </c>
      <c r="WBT20" s="314" t="s">
        <v>203</v>
      </c>
      <c r="WBU20" s="314" t="s">
        <v>203</v>
      </c>
      <c r="WBV20" s="314" t="s">
        <v>203</v>
      </c>
      <c r="WBW20" s="314" t="s">
        <v>203</v>
      </c>
      <c r="WBX20" s="314" t="s">
        <v>203</v>
      </c>
      <c r="WBY20" s="314" t="s">
        <v>203</v>
      </c>
      <c r="WBZ20" s="314" t="s">
        <v>203</v>
      </c>
      <c r="WCA20" s="314" t="s">
        <v>203</v>
      </c>
      <c r="WCB20" s="314" t="s">
        <v>203</v>
      </c>
      <c r="WCC20" s="314" t="s">
        <v>203</v>
      </c>
      <c r="WCD20" s="314" t="s">
        <v>203</v>
      </c>
      <c r="WCE20" s="314" t="s">
        <v>203</v>
      </c>
      <c r="WCF20" s="314" t="s">
        <v>203</v>
      </c>
      <c r="WCG20" s="314" t="s">
        <v>203</v>
      </c>
      <c r="WCH20" s="314" t="s">
        <v>203</v>
      </c>
      <c r="WCI20" s="314" t="s">
        <v>203</v>
      </c>
      <c r="WCJ20" s="314" t="s">
        <v>203</v>
      </c>
      <c r="WCK20" s="314" t="s">
        <v>203</v>
      </c>
      <c r="WCL20" s="314" t="s">
        <v>203</v>
      </c>
      <c r="WCM20" s="314" t="s">
        <v>203</v>
      </c>
      <c r="WCN20" s="314" t="s">
        <v>203</v>
      </c>
      <c r="WCO20" s="314" t="s">
        <v>203</v>
      </c>
      <c r="WCP20" s="314" t="s">
        <v>203</v>
      </c>
      <c r="WCQ20" s="314" t="s">
        <v>203</v>
      </c>
      <c r="WCR20" s="314" t="s">
        <v>203</v>
      </c>
      <c r="WCS20" s="314" t="s">
        <v>203</v>
      </c>
      <c r="WCT20" s="314" t="s">
        <v>203</v>
      </c>
      <c r="WCU20" s="314" t="s">
        <v>203</v>
      </c>
      <c r="WCV20" s="314" t="s">
        <v>203</v>
      </c>
      <c r="WCW20" s="314" t="s">
        <v>203</v>
      </c>
      <c r="WCX20" s="314" t="s">
        <v>203</v>
      </c>
      <c r="WCY20" s="314" t="s">
        <v>203</v>
      </c>
      <c r="WCZ20" s="314" t="s">
        <v>203</v>
      </c>
      <c r="WDA20" s="314" t="s">
        <v>203</v>
      </c>
      <c r="WDB20" s="314" t="s">
        <v>203</v>
      </c>
      <c r="WDC20" s="314" t="s">
        <v>203</v>
      </c>
      <c r="WDD20" s="314" t="s">
        <v>203</v>
      </c>
      <c r="WDE20" s="314" t="s">
        <v>203</v>
      </c>
      <c r="WDF20" s="314" t="s">
        <v>203</v>
      </c>
      <c r="WDG20" s="314" t="s">
        <v>203</v>
      </c>
      <c r="WDH20" s="314" t="s">
        <v>203</v>
      </c>
      <c r="WDI20" s="314" t="s">
        <v>203</v>
      </c>
      <c r="WDJ20" s="314" t="s">
        <v>203</v>
      </c>
      <c r="WDK20" s="314" t="s">
        <v>203</v>
      </c>
      <c r="WDL20" s="314" t="s">
        <v>203</v>
      </c>
      <c r="WDM20" s="314" t="s">
        <v>203</v>
      </c>
      <c r="WDN20" s="314" t="s">
        <v>203</v>
      </c>
      <c r="WDO20" s="314" t="s">
        <v>203</v>
      </c>
      <c r="WDP20" s="314" t="s">
        <v>203</v>
      </c>
      <c r="WDQ20" s="314" t="s">
        <v>203</v>
      </c>
      <c r="WDR20" s="314" t="s">
        <v>203</v>
      </c>
      <c r="WDS20" s="314" t="s">
        <v>203</v>
      </c>
      <c r="WDT20" s="314" t="s">
        <v>203</v>
      </c>
      <c r="WDU20" s="314" t="s">
        <v>203</v>
      </c>
      <c r="WDV20" s="314" t="s">
        <v>203</v>
      </c>
      <c r="WDW20" s="314" t="s">
        <v>203</v>
      </c>
      <c r="WDX20" s="314" t="s">
        <v>203</v>
      </c>
      <c r="WDY20" s="314" t="s">
        <v>203</v>
      </c>
      <c r="WDZ20" s="314" t="s">
        <v>203</v>
      </c>
      <c r="WEA20" s="314" t="s">
        <v>203</v>
      </c>
      <c r="WEB20" s="314" t="s">
        <v>203</v>
      </c>
      <c r="WEC20" s="314" t="s">
        <v>203</v>
      </c>
      <c r="WED20" s="314" t="s">
        <v>203</v>
      </c>
      <c r="WEE20" s="314" t="s">
        <v>203</v>
      </c>
      <c r="WEF20" s="314" t="s">
        <v>203</v>
      </c>
      <c r="WEG20" s="314" t="s">
        <v>203</v>
      </c>
      <c r="WEH20" s="314" t="s">
        <v>203</v>
      </c>
      <c r="WEI20" s="314" t="s">
        <v>203</v>
      </c>
      <c r="WEJ20" s="314" t="s">
        <v>203</v>
      </c>
      <c r="WEK20" s="314" t="s">
        <v>203</v>
      </c>
      <c r="WEL20" s="314" t="s">
        <v>203</v>
      </c>
      <c r="WEM20" s="314" t="s">
        <v>203</v>
      </c>
      <c r="WEN20" s="314" t="s">
        <v>203</v>
      </c>
      <c r="WEO20" s="314" t="s">
        <v>203</v>
      </c>
      <c r="WEP20" s="314" t="s">
        <v>203</v>
      </c>
      <c r="WEQ20" s="314" t="s">
        <v>203</v>
      </c>
      <c r="WER20" s="314" t="s">
        <v>203</v>
      </c>
      <c r="WES20" s="314" t="s">
        <v>203</v>
      </c>
      <c r="WET20" s="314" t="s">
        <v>203</v>
      </c>
      <c r="WEU20" s="314" t="s">
        <v>203</v>
      </c>
      <c r="WEV20" s="314" t="s">
        <v>203</v>
      </c>
      <c r="WEW20" s="314" t="s">
        <v>203</v>
      </c>
      <c r="WEX20" s="314" t="s">
        <v>203</v>
      </c>
      <c r="WEY20" s="314" t="s">
        <v>203</v>
      </c>
      <c r="WEZ20" s="314" t="s">
        <v>203</v>
      </c>
      <c r="WFA20" s="314" t="s">
        <v>203</v>
      </c>
      <c r="WFB20" s="314" t="s">
        <v>203</v>
      </c>
      <c r="WFC20" s="314" t="s">
        <v>203</v>
      </c>
      <c r="WFD20" s="314" t="s">
        <v>203</v>
      </c>
      <c r="WFE20" s="314" t="s">
        <v>203</v>
      </c>
      <c r="WFF20" s="314" t="s">
        <v>203</v>
      </c>
      <c r="WFG20" s="314" t="s">
        <v>203</v>
      </c>
      <c r="WFH20" s="314" t="s">
        <v>203</v>
      </c>
      <c r="WFI20" s="314" t="s">
        <v>203</v>
      </c>
      <c r="WFJ20" s="314" t="s">
        <v>203</v>
      </c>
      <c r="WFK20" s="314" t="s">
        <v>203</v>
      </c>
      <c r="WFL20" s="314" t="s">
        <v>203</v>
      </c>
      <c r="WFM20" s="314" t="s">
        <v>203</v>
      </c>
      <c r="WFN20" s="314" t="s">
        <v>203</v>
      </c>
      <c r="WFO20" s="314" t="s">
        <v>203</v>
      </c>
      <c r="WFP20" s="314" t="s">
        <v>203</v>
      </c>
      <c r="WFQ20" s="314" t="s">
        <v>203</v>
      </c>
      <c r="WFR20" s="314" t="s">
        <v>203</v>
      </c>
      <c r="WFS20" s="314" t="s">
        <v>203</v>
      </c>
      <c r="WFT20" s="314" t="s">
        <v>203</v>
      </c>
      <c r="WFU20" s="314" t="s">
        <v>203</v>
      </c>
      <c r="WFV20" s="314" t="s">
        <v>203</v>
      </c>
      <c r="WFW20" s="314" t="s">
        <v>203</v>
      </c>
      <c r="WFX20" s="314" t="s">
        <v>203</v>
      </c>
      <c r="WFY20" s="314" t="s">
        <v>203</v>
      </c>
      <c r="WFZ20" s="314" t="s">
        <v>203</v>
      </c>
      <c r="WGA20" s="314" t="s">
        <v>203</v>
      </c>
      <c r="WGB20" s="314" t="s">
        <v>203</v>
      </c>
      <c r="WGC20" s="314" t="s">
        <v>203</v>
      </c>
      <c r="WGD20" s="314" t="s">
        <v>203</v>
      </c>
      <c r="WGE20" s="314" t="s">
        <v>203</v>
      </c>
      <c r="WGF20" s="314" t="s">
        <v>203</v>
      </c>
      <c r="WGG20" s="314" t="s">
        <v>203</v>
      </c>
      <c r="WGH20" s="314" t="s">
        <v>203</v>
      </c>
      <c r="WGI20" s="314" t="s">
        <v>203</v>
      </c>
      <c r="WGJ20" s="314" t="s">
        <v>203</v>
      </c>
      <c r="WGK20" s="314" t="s">
        <v>203</v>
      </c>
      <c r="WGL20" s="314" t="s">
        <v>203</v>
      </c>
      <c r="WGM20" s="314" t="s">
        <v>203</v>
      </c>
      <c r="WGN20" s="314" t="s">
        <v>203</v>
      </c>
      <c r="WGO20" s="314" t="s">
        <v>203</v>
      </c>
      <c r="WGP20" s="314" t="s">
        <v>203</v>
      </c>
      <c r="WGQ20" s="314" t="s">
        <v>203</v>
      </c>
      <c r="WGR20" s="314" t="s">
        <v>203</v>
      </c>
      <c r="WGS20" s="314" t="s">
        <v>203</v>
      </c>
      <c r="WGT20" s="314" t="s">
        <v>203</v>
      </c>
      <c r="WGU20" s="314" t="s">
        <v>203</v>
      </c>
      <c r="WGV20" s="314" t="s">
        <v>203</v>
      </c>
      <c r="WGW20" s="314" t="s">
        <v>203</v>
      </c>
      <c r="WGX20" s="314" t="s">
        <v>203</v>
      </c>
      <c r="WGY20" s="314" t="s">
        <v>203</v>
      </c>
      <c r="WGZ20" s="314" t="s">
        <v>203</v>
      </c>
      <c r="WHA20" s="314" t="s">
        <v>203</v>
      </c>
      <c r="WHB20" s="314" t="s">
        <v>203</v>
      </c>
      <c r="WHC20" s="314" t="s">
        <v>203</v>
      </c>
      <c r="WHD20" s="314" t="s">
        <v>203</v>
      </c>
      <c r="WHE20" s="314" t="s">
        <v>203</v>
      </c>
      <c r="WHF20" s="314" t="s">
        <v>203</v>
      </c>
      <c r="WHG20" s="314" t="s">
        <v>203</v>
      </c>
      <c r="WHH20" s="314" t="s">
        <v>203</v>
      </c>
      <c r="WHI20" s="314" t="s">
        <v>203</v>
      </c>
      <c r="WHJ20" s="314" t="s">
        <v>203</v>
      </c>
      <c r="WHK20" s="314" t="s">
        <v>203</v>
      </c>
      <c r="WHL20" s="314" t="s">
        <v>203</v>
      </c>
      <c r="WHM20" s="314" t="s">
        <v>203</v>
      </c>
      <c r="WHN20" s="314" t="s">
        <v>203</v>
      </c>
      <c r="WHO20" s="314" t="s">
        <v>203</v>
      </c>
      <c r="WHP20" s="314" t="s">
        <v>203</v>
      </c>
      <c r="WHQ20" s="314" t="s">
        <v>203</v>
      </c>
      <c r="WHR20" s="314" t="s">
        <v>203</v>
      </c>
      <c r="WHS20" s="314" t="s">
        <v>203</v>
      </c>
      <c r="WHT20" s="314" t="s">
        <v>203</v>
      </c>
      <c r="WHU20" s="314" t="s">
        <v>203</v>
      </c>
      <c r="WHV20" s="314" t="s">
        <v>203</v>
      </c>
      <c r="WHW20" s="314" t="s">
        <v>203</v>
      </c>
      <c r="WHX20" s="314" t="s">
        <v>203</v>
      </c>
      <c r="WHY20" s="314" t="s">
        <v>203</v>
      </c>
      <c r="WHZ20" s="314" t="s">
        <v>203</v>
      </c>
      <c r="WIA20" s="314" t="s">
        <v>203</v>
      </c>
      <c r="WIB20" s="314" t="s">
        <v>203</v>
      </c>
      <c r="WIC20" s="314" t="s">
        <v>203</v>
      </c>
      <c r="WID20" s="314" t="s">
        <v>203</v>
      </c>
      <c r="WIE20" s="314" t="s">
        <v>203</v>
      </c>
      <c r="WIF20" s="314" t="s">
        <v>203</v>
      </c>
      <c r="WIG20" s="314" t="s">
        <v>203</v>
      </c>
      <c r="WIH20" s="314" t="s">
        <v>203</v>
      </c>
      <c r="WII20" s="314" t="s">
        <v>203</v>
      </c>
      <c r="WIJ20" s="314" t="s">
        <v>203</v>
      </c>
      <c r="WIK20" s="314" t="s">
        <v>203</v>
      </c>
      <c r="WIL20" s="314" t="s">
        <v>203</v>
      </c>
      <c r="WIM20" s="314" t="s">
        <v>203</v>
      </c>
      <c r="WIN20" s="314" t="s">
        <v>203</v>
      </c>
      <c r="WIO20" s="314" t="s">
        <v>203</v>
      </c>
      <c r="WIP20" s="314" t="s">
        <v>203</v>
      </c>
      <c r="WIQ20" s="314" t="s">
        <v>203</v>
      </c>
      <c r="WIR20" s="314" t="s">
        <v>203</v>
      </c>
      <c r="WIS20" s="314" t="s">
        <v>203</v>
      </c>
      <c r="WIT20" s="314" t="s">
        <v>203</v>
      </c>
      <c r="WIU20" s="314" t="s">
        <v>203</v>
      </c>
      <c r="WIV20" s="314" t="s">
        <v>203</v>
      </c>
      <c r="WIW20" s="314" t="s">
        <v>203</v>
      </c>
      <c r="WIX20" s="314" t="s">
        <v>203</v>
      </c>
      <c r="WIY20" s="314" t="s">
        <v>203</v>
      </c>
      <c r="WIZ20" s="314" t="s">
        <v>203</v>
      </c>
      <c r="WJA20" s="314" t="s">
        <v>203</v>
      </c>
      <c r="WJB20" s="314" t="s">
        <v>203</v>
      </c>
      <c r="WJC20" s="314" t="s">
        <v>203</v>
      </c>
      <c r="WJD20" s="314" t="s">
        <v>203</v>
      </c>
      <c r="WJE20" s="314" t="s">
        <v>203</v>
      </c>
      <c r="WJF20" s="314" t="s">
        <v>203</v>
      </c>
      <c r="WJG20" s="314" t="s">
        <v>203</v>
      </c>
      <c r="WJH20" s="314" t="s">
        <v>203</v>
      </c>
      <c r="WJI20" s="314" t="s">
        <v>203</v>
      </c>
      <c r="WJJ20" s="314" t="s">
        <v>203</v>
      </c>
      <c r="WJK20" s="314" t="s">
        <v>203</v>
      </c>
      <c r="WJL20" s="314" t="s">
        <v>203</v>
      </c>
      <c r="WJM20" s="314" t="s">
        <v>203</v>
      </c>
      <c r="WJN20" s="314" t="s">
        <v>203</v>
      </c>
      <c r="WJO20" s="314" t="s">
        <v>203</v>
      </c>
      <c r="WJP20" s="314" t="s">
        <v>203</v>
      </c>
      <c r="WJQ20" s="314" t="s">
        <v>203</v>
      </c>
      <c r="WJR20" s="314" t="s">
        <v>203</v>
      </c>
      <c r="WJS20" s="314" t="s">
        <v>203</v>
      </c>
      <c r="WJT20" s="314" t="s">
        <v>203</v>
      </c>
      <c r="WJU20" s="314" t="s">
        <v>203</v>
      </c>
      <c r="WJV20" s="314" t="s">
        <v>203</v>
      </c>
      <c r="WJW20" s="314" t="s">
        <v>203</v>
      </c>
      <c r="WJX20" s="314" t="s">
        <v>203</v>
      </c>
      <c r="WJY20" s="314" t="s">
        <v>203</v>
      </c>
      <c r="WJZ20" s="314" t="s">
        <v>203</v>
      </c>
      <c r="WKA20" s="314" t="s">
        <v>203</v>
      </c>
      <c r="WKB20" s="314" t="s">
        <v>203</v>
      </c>
      <c r="WKC20" s="314" t="s">
        <v>203</v>
      </c>
      <c r="WKD20" s="314" t="s">
        <v>203</v>
      </c>
      <c r="WKE20" s="314" t="s">
        <v>203</v>
      </c>
      <c r="WKF20" s="314" t="s">
        <v>203</v>
      </c>
      <c r="WKG20" s="314" t="s">
        <v>203</v>
      </c>
      <c r="WKH20" s="314" t="s">
        <v>203</v>
      </c>
      <c r="WKI20" s="314" t="s">
        <v>203</v>
      </c>
      <c r="WKJ20" s="314" t="s">
        <v>203</v>
      </c>
      <c r="WKK20" s="314" t="s">
        <v>203</v>
      </c>
      <c r="WKL20" s="314" t="s">
        <v>203</v>
      </c>
      <c r="WKM20" s="314" t="s">
        <v>203</v>
      </c>
      <c r="WKN20" s="314" t="s">
        <v>203</v>
      </c>
      <c r="WKO20" s="314" t="s">
        <v>203</v>
      </c>
      <c r="WKP20" s="314" t="s">
        <v>203</v>
      </c>
      <c r="WKQ20" s="314" t="s">
        <v>203</v>
      </c>
      <c r="WKR20" s="314" t="s">
        <v>203</v>
      </c>
      <c r="WKS20" s="314" t="s">
        <v>203</v>
      </c>
      <c r="WKT20" s="314" t="s">
        <v>203</v>
      </c>
      <c r="WKU20" s="314" t="s">
        <v>203</v>
      </c>
      <c r="WKV20" s="314" t="s">
        <v>203</v>
      </c>
      <c r="WKW20" s="314" t="s">
        <v>203</v>
      </c>
      <c r="WKX20" s="314" t="s">
        <v>203</v>
      </c>
      <c r="WKY20" s="314" t="s">
        <v>203</v>
      </c>
      <c r="WKZ20" s="314" t="s">
        <v>203</v>
      </c>
      <c r="WLA20" s="314" t="s">
        <v>203</v>
      </c>
      <c r="WLB20" s="314" t="s">
        <v>203</v>
      </c>
      <c r="WLC20" s="314" t="s">
        <v>203</v>
      </c>
      <c r="WLD20" s="314" t="s">
        <v>203</v>
      </c>
      <c r="WLE20" s="314" t="s">
        <v>203</v>
      </c>
      <c r="WLF20" s="314" t="s">
        <v>203</v>
      </c>
      <c r="WLG20" s="314" t="s">
        <v>203</v>
      </c>
      <c r="WLH20" s="314" t="s">
        <v>203</v>
      </c>
      <c r="WLI20" s="314" t="s">
        <v>203</v>
      </c>
      <c r="WLJ20" s="314" t="s">
        <v>203</v>
      </c>
      <c r="WLK20" s="314" t="s">
        <v>203</v>
      </c>
      <c r="WLL20" s="314" t="s">
        <v>203</v>
      </c>
      <c r="WLM20" s="314" t="s">
        <v>203</v>
      </c>
      <c r="WLN20" s="314" t="s">
        <v>203</v>
      </c>
      <c r="WLO20" s="314" t="s">
        <v>203</v>
      </c>
      <c r="WLP20" s="314" t="s">
        <v>203</v>
      </c>
      <c r="WLQ20" s="314" t="s">
        <v>203</v>
      </c>
      <c r="WLR20" s="314" t="s">
        <v>203</v>
      </c>
      <c r="WLS20" s="314" t="s">
        <v>203</v>
      </c>
      <c r="WLT20" s="314" t="s">
        <v>203</v>
      </c>
      <c r="WLU20" s="314" t="s">
        <v>203</v>
      </c>
      <c r="WLV20" s="314" t="s">
        <v>203</v>
      </c>
      <c r="WLW20" s="314" t="s">
        <v>203</v>
      </c>
      <c r="WLX20" s="314" t="s">
        <v>203</v>
      </c>
      <c r="WLY20" s="314" t="s">
        <v>203</v>
      </c>
      <c r="WLZ20" s="314" t="s">
        <v>203</v>
      </c>
      <c r="WMA20" s="314" t="s">
        <v>203</v>
      </c>
      <c r="WMB20" s="314" t="s">
        <v>203</v>
      </c>
      <c r="WMC20" s="314" t="s">
        <v>203</v>
      </c>
      <c r="WMD20" s="314" t="s">
        <v>203</v>
      </c>
      <c r="WME20" s="314" t="s">
        <v>203</v>
      </c>
      <c r="WMF20" s="314" t="s">
        <v>203</v>
      </c>
      <c r="WMG20" s="314" t="s">
        <v>203</v>
      </c>
      <c r="WMH20" s="314" t="s">
        <v>203</v>
      </c>
      <c r="WMI20" s="314" t="s">
        <v>203</v>
      </c>
      <c r="WMJ20" s="314" t="s">
        <v>203</v>
      </c>
      <c r="WMK20" s="314" t="s">
        <v>203</v>
      </c>
      <c r="WML20" s="314" t="s">
        <v>203</v>
      </c>
      <c r="WMM20" s="314" t="s">
        <v>203</v>
      </c>
      <c r="WMN20" s="314" t="s">
        <v>203</v>
      </c>
      <c r="WMO20" s="314" t="s">
        <v>203</v>
      </c>
      <c r="WMP20" s="314" t="s">
        <v>203</v>
      </c>
      <c r="WMQ20" s="314" t="s">
        <v>203</v>
      </c>
      <c r="WMR20" s="314" t="s">
        <v>203</v>
      </c>
      <c r="WMS20" s="314" t="s">
        <v>203</v>
      </c>
      <c r="WMT20" s="314" t="s">
        <v>203</v>
      </c>
      <c r="WMU20" s="314" t="s">
        <v>203</v>
      </c>
      <c r="WMV20" s="314" t="s">
        <v>203</v>
      </c>
      <c r="WMW20" s="314" t="s">
        <v>203</v>
      </c>
      <c r="WMX20" s="314" t="s">
        <v>203</v>
      </c>
      <c r="WMY20" s="314" t="s">
        <v>203</v>
      </c>
      <c r="WMZ20" s="314" t="s">
        <v>203</v>
      </c>
      <c r="WNA20" s="314" t="s">
        <v>203</v>
      </c>
      <c r="WNB20" s="314" t="s">
        <v>203</v>
      </c>
      <c r="WNC20" s="314" t="s">
        <v>203</v>
      </c>
      <c r="WND20" s="314" t="s">
        <v>203</v>
      </c>
      <c r="WNE20" s="314" t="s">
        <v>203</v>
      </c>
      <c r="WNF20" s="314" t="s">
        <v>203</v>
      </c>
      <c r="WNG20" s="314" t="s">
        <v>203</v>
      </c>
      <c r="WNH20" s="314" t="s">
        <v>203</v>
      </c>
      <c r="WNI20" s="314" t="s">
        <v>203</v>
      </c>
      <c r="WNJ20" s="314" t="s">
        <v>203</v>
      </c>
      <c r="WNK20" s="314" t="s">
        <v>203</v>
      </c>
      <c r="WNL20" s="314" t="s">
        <v>203</v>
      </c>
      <c r="WNM20" s="314" t="s">
        <v>203</v>
      </c>
      <c r="WNN20" s="314" t="s">
        <v>203</v>
      </c>
      <c r="WNO20" s="314" t="s">
        <v>203</v>
      </c>
      <c r="WNP20" s="314" t="s">
        <v>203</v>
      </c>
      <c r="WNQ20" s="314" t="s">
        <v>203</v>
      </c>
      <c r="WNR20" s="314" t="s">
        <v>203</v>
      </c>
      <c r="WNS20" s="314" t="s">
        <v>203</v>
      </c>
      <c r="WNT20" s="314" t="s">
        <v>203</v>
      </c>
      <c r="WNU20" s="314" t="s">
        <v>203</v>
      </c>
      <c r="WNV20" s="314" t="s">
        <v>203</v>
      </c>
      <c r="WNW20" s="314" t="s">
        <v>203</v>
      </c>
      <c r="WNX20" s="314" t="s">
        <v>203</v>
      </c>
      <c r="WNY20" s="314" t="s">
        <v>203</v>
      </c>
      <c r="WNZ20" s="314" t="s">
        <v>203</v>
      </c>
      <c r="WOA20" s="314" t="s">
        <v>203</v>
      </c>
      <c r="WOB20" s="314" t="s">
        <v>203</v>
      </c>
      <c r="WOC20" s="314" t="s">
        <v>203</v>
      </c>
      <c r="WOD20" s="314" t="s">
        <v>203</v>
      </c>
      <c r="WOE20" s="314" t="s">
        <v>203</v>
      </c>
      <c r="WOF20" s="314" t="s">
        <v>203</v>
      </c>
      <c r="WOG20" s="314" t="s">
        <v>203</v>
      </c>
      <c r="WOH20" s="314" t="s">
        <v>203</v>
      </c>
      <c r="WOI20" s="314" t="s">
        <v>203</v>
      </c>
      <c r="WOJ20" s="314" t="s">
        <v>203</v>
      </c>
      <c r="WOK20" s="314" t="s">
        <v>203</v>
      </c>
      <c r="WOL20" s="314" t="s">
        <v>203</v>
      </c>
      <c r="WOM20" s="314" t="s">
        <v>203</v>
      </c>
      <c r="WON20" s="314" t="s">
        <v>203</v>
      </c>
      <c r="WOO20" s="314" t="s">
        <v>203</v>
      </c>
      <c r="WOP20" s="314" t="s">
        <v>203</v>
      </c>
      <c r="WOQ20" s="314" t="s">
        <v>203</v>
      </c>
      <c r="WOR20" s="314" t="s">
        <v>203</v>
      </c>
      <c r="WOS20" s="314" t="s">
        <v>203</v>
      </c>
      <c r="WOT20" s="314" t="s">
        <v>203</v>
      </c>
      <c r="WOU20" s="314" t="s">
        <v>203</v>
      </c>
      <c r="WOV20" s="314" t="s">
        <v>203</v>
      </c>
      <c r="WOW20" s="314" t="s">
        <v>203</v>
      </c>
      <c r="WOX20" s="314" t="s">
        <v>203</v>
      </c>
      <c r="WOY20" s="314" t="s">
        <v>203</v>
      </c>
      <c r="WOZ20" s="314" t="s">
        <v>203</v>
      </c>
      <c r="WPA20" s="314" t="s">
        <v>203</v>
      </c>
      <c r="WPB20" s="314" t="s">
        <v>203</v>
      </c>
      <c r="WPC20" s="314" t="s">
        <v>203</v>
      </c>
      <c r="WPD20" s="314" t="s">
        <v>203</v>
      </c>
      <c r="WPE20" s="314" t="s">
        <v>203</v>
      </c>
      <c r="WPF20" s="314" t="s">
        <v>203</v>
      </c>
      <c r="WPG20" s="314" t="s">
        <v>203</v>
      </c>
      <c r="WPH20" s="314" t="s">
        <v>203</v>
      </c>
      <c r="WPI20" s="314" t="s">
        <v>203</v>
      </c>
      <c r="WPJ20" s="314" t="s">
        <v>203</v>
      </c>
      <c r="WPK20" s="314" t="s">
        <v>203</v>
      </c>
      <c r="WPL20" s="314" t="s">
        <v>203</v>
      </c>
      <c r="WPM20" s="314" t="s">
        <v>203</v>
      </c>
      <c r="WPN20" s="314" t="s">
        <v>203</v>
      </c>
      <c r="WPO20" s="314" t="s">
        <v>203</v>
      </c>
      <c r="WPP20" s="314" t="s">
        <v>203</v>
      </c>
      <c r="WPQ20" s="314" t="s">
        <v>203</v>
      </c>
      <c r="WPR20" s="314" t="s">
        <v>203</v>
      </c>
      <c r="WPS20" s="314" t="s">
        <v>203</v>
      </c>
      <c r="WPT20" s="314" t="s">
        <v>203</v>
      </c>
      <c r="WPU20" s="314" t="s">
        <v>203</v>
      </c>
      <c r="WPV20" s="314" t="s">
        <v>203</v>
      </c>
      <c r="WPW20" s="314" t="s">
        <v>203</v>
      </c>
      <c r="WPX20" s="314" t="s">
        <v>203</v>
      </c>
      <c r="WPY20" s="314" t="s">
        <v>203</v>
      </c>
      <c r="WPZ20" s="314" t="s">
        <v>203</v>
      </c>
      <c r="WQA20" s="314" t="s">
        <v>203</v>
      </c>
      <c r="WQB20" s="314" t="s">
        <v>203</v>
      </c>
      <c r="WQC20" s="314" t="s">
        <v>203</v>
      </c>
      <c r="WQD20" s="314" t="s">
        <v>203</v>
      </c>
      <c r="WQE20" s="314" t="s">
        <v>203</v>
      </c>
      <c r="WQF20" s="314" t="s">
        <v>203</v>
      </c>
      <c r="WQG20" s="314" t="s">
        <v>203</v>
      </c>
      <c r="WQH20" s="314" t="s">
        <v>203</v>
      </c>
      <c r="WQI20" s="314" t="s">
        <v>203</v>
      </c>
      <c r="WQJ20" s="314" t="s">
        <v>203</v>
      </c>
      <c r="WQK20" s="314" t="s">
        <v>203</v>
      </c>
      <c r="WQL20" s="314" t="s">
        <v>203</v>
      </c>
      <c r="WQM20" s="314" t="s">
        <v>203</v>
      </c>
      <c r="WQN20" s="314" t="s">
        <v>203</v>
      </c>
      <c r="WQO20" s="314" t="s">
        <v>203</v>
      </c>
      <c r="WQP20" s="314" t="s">
        <v>203</v>
      </c>
      <c r="WQQ20" s="314" t="s">
        <v>203</v>
      </c>
      <c r="WQR20" s="314" t="s">
        <v>203</v>
      </c>
      <c r="WQS20" s="314" t="s">
        <v>203</v>
      </c>
      <c r="WQT20" s="314" t="s">
        <v>203</v>
      </c>
      <c r="WQU20" s="314" t="s">
        <v>203</v>
      </c>
      <c r="WQV20" s="314" t="s">
        <v>203</v>
      </c>
      <c r="WQW20" s="314" t="s">
        <v>203</v>
      </c>
      <c r="WQX20" s="314" t="s">
        <v>203</v>
      </c>
      <c r="WQY20" s="314" t="s">
        <v>203</v>
      </c>
      <c r="WQZ20" s="314" t="s">
        <v>203</v>
      </c>
      <c r="WRA20" s="314" t="s">
        <v>203</v>
      </c>
      <c r="WRB20" s="314" t="s">
        <v>203</v>
      </c>
      <c r="WRC20" s="314" t="s">
        <v>203</v>
      </c>
      <c r="WRD20" s="314" t="s">
        <v>203</v>
      </c>
      <c r="WRE20" s="314" t="s">
        <v>203</v>
      </c>
      <c r="WRF20" s="314" t="s">
        <v>203</v>
      </c>
      <c r="WRG20" s="314" t="s">
        <v>203</v>
      </c>
      <c r="WRH20" s="314" t="s">
        <v>203</v>
      </c>
      <c r="WRI20" s="314" t="s">
        <v>203</v>
      </c>
      <c r="WRJ20" s="314" t="s">
        <v>203</v>
      </c>
      <c r="WRK20" s="314" t="s">
        <v>203</v>
      </c>
      <c r="WRL20" s="314" t="s">
        <v>203</v>
      </c>
      <c r="WRM20" s="314" t="s">
        <v>203</v>
      </c>
      <c r="WRN20" s="314" t="s">
        <v>203</v>
      </c>
      <c r="WRO20" s="314" t="s">
        <v>203</v>
      </c>
      <c r="WRP20" s="314" t="s">
        <v>203</v>
      </c>
      <c r="WRQ20" s="314" t="s">
        <v>203</v>
      </c>
      <c r="WRR20" s="314" t="s">
        <v>203</v>
      </c>
      <c r="WRS20" s="314" t="s">
        <v>203</v>
      </c>
      <c r="WRT20" s="314" t="s">
        <v>203</v>
      </c>
      <c r="WRU20" s="314" t="s">
        <v>203</v>
      </c>
      <c r="WRV20" s="314" t="s">
        <v>203</v>
      </c>
      <c r="WRW20" s="314" t="s">
        <v>203</v>
      </c>
      <c r="WRX20" s="314" t="s">
        <v>203</v>
      </c>
      <c r="WRY20" s="314" t="s">
        <v>203</v>
      </c>
      <c r="WRZ20" s="314" t="s">
        <v>203</v>
      </c>
      <c r="WSA20" s="314" t="s">
        <v>203</v>
      </c>
      <c r="WSB20" s="314" t="s">
        <v>203</v>
      </c>
      <c r="WSC20" s="314" t="s">
        <v>203</v>
      </c>
      <c r="WSD20" s="314" t="s">
        <v>203</v>
      </c>
      <c r="WSE20" s="314" t="s">
        <v>203</v>
      </c>
      <c r="WSF20" s="314" t="s">
        <v>203</v>
      </c>
      <c r="WSG20" s="314" t="s">
        <v>203</v>
      </c>
      <c r="WSH20" s="314" t="s">
        <v>203</v>
      </c>
      <c r="WSI20" s="314" t="s">
        <v>203</v>
      </c>
      <c r="WSJ20" s="314" t="s">
        <v>203</v>
      </c>
      <c r="WSK20" s="314" t="s">
        <v>203</v>
      </c>
      <c r="WSL20" s="314" t="s">
        <v>203</v>
      </c>
      <c r="WSM20" s="314" t="s">
        <v>203</v>
      </c>
      <c r="WSN20" s="314" t="s">
        <v>203</v>
      </c>
      <c r="WSO20" s="314" t="s">
        <v>203</v>
      </c>
      <c r="WSP20" s="314" t="s">
        <v>203</v>
      </c>
      <c r="WSQ20" s="314" t="s">
        <v>203</v>
      </c>
      <c r="WSR20" s="314" t="s">
        <v>203</v>
      </c>
      <c r="WSS20" s="314" t="s">
        <v>203</v>
      </c>
      <c r="WST20" s="314" t="s">
        <v>203</v>
      </c>
      <c r="WSU20" s="314" t="s">
        <v>203</v>
      </c>
      <c r="WSV20" s="314" t="s">
        <v>203</v>
      </c>
      <c r="WSW20" s="314" t="s">
        <v>203</v>
      </c>
      <c r="WSX20" s="314" t="s">
        <v>203</v>
      </c>
      <c r="WSY20" s="314" t="s">
        <v>203</v>
      </c>
      <c r="WSZ20" s="314" t="s">
        <v>203</v>
      </c>
      <c r="WTA20" s="314" t="s">
        <v>203</v>
      </c>
      <c r="WTB20" s="314" t="s">
        <v>203</v>
      </c>
      <c r="WTC20" s="314" t="s">
        <v>203</v>
      </c>
      <c r="WTD20" s="314" t="s">
        <v>203</v>
      </c>
      <c r="WTE20" s="314" t="s">
        <v>203</v>
      </c>
      <c r="WTF20" s="314" t="s">
        <v>203</v>
      </c>
      <c r="WTG20" s="314" t="s">
        <v>203</v>
      </c>
      <c r="WTH20" s="314" t="s">
        <v>203</v>
      </c>
      <c r="WTI20" s="314" t="s">
        <v>203</v>
      </c>
      <c r="WTJ20" s="314" t="s">
        <v>203</v>
      </c>
      <c r="WTK20" s="314" t="s">
        <v>203</v>
      </c>
      <c r="WTL20" s="314" t="s">
        <v>203</v>
      </c>
      <c r="WTM20" s="314" t="s">
        <v>203</v>
      </c>
      <c r="WTN20" s="314" t="s">
        <v>203</v>
      </c>
      <c r="WTO20" s="314" t="s">
        <v>203</v>
      </c>
      <c r="WTP20" s="314" t="s">
        <v>203</v>
      </c>
      <c r="WTQ20" s="314" t="s">
        <v>203</v>
      </c>
      <c r="WTR20" s="314" t="s">
        <v>203</v>
      </c>
      <c r="WTS20" s="314" t="s">
        <v>203</v>
      </c>
      <c r="WTT20" s="314" t="s">
        <v>203</v>
      </c>
      <c r="WTU20" s="314" t="s">
        <v>203</v>
      </c>
      <c r="WTV20" s="314" t="s">
        <v>203</v>
      </c>
      <c r="WTW20" s="314" t="s">
        <v>203</v>
      </c>
      <c r="WTX20" s="314" t="s">
        <v>203</v>
      </c>
      <c r="WTY20" s="314" t="s">
        <v>203</v>
      </c>
      <c r="WTZ20" s="314" t="s">
        <v>203</v>
      </c>
      <c r="WUA20" s="314" t="s">
        <v>203</v>
      </c>
      <c r="WUB20" s="314" t="s">
        <v>203</v>
      </c>
      <c r="WUC20" s="314" t="s">
        <v>203</v>
      </c>
      <c r="WUD20" s="314" t="s">
        <v>203</v>
      </c>
      <c r="WUE20" s="314" t="s">
        <v>203</v>
      </c>
      <c r="WUF20" s="314" t="s">
        <v>203</v>
      </c>
      <c r="WUG20" s="314" t="s">
        <v>203</v>
      </c>
      <c r="WUH20" s="314" t="s">
        <v>203</v>
      </c>
      <c r="WUI20" s="314" t="s">
        <v>203</v>
      </c>
      <c r="WUJ20" s="314" t="s">
        <v>203</v>
      </c>
      <c r="WUK20" s="314" t="s">
        <v>203</v>
      </c>
      <c r="WUL20" s="314" t="s">
        <v>203</v>
      </c>
      <c r="WUM20" s="314" t="s">
        <v>203</v>
      </c>
      <c r="WUN20" s="314" t="s">
        <v>203</v>
      </c>
      <c r="WUO20" s="314" t="s">
        <v>203</v>
      </c>
      <c r="WUP20" s="314" t="s">
        <v>203</v>
      </c>
      <c r="WUQ20" s="314" t="s">
        <v>203</v>
      </c>
      <c r="WUR20" s="314" t="s">
        <v>203</v>
      </c>
      <c r="WUS20" s="314" t="s">
        <v>203</v>
      </c>
      <c r="WUT20" s="314" t="s">
        <v>203</v>
      </c>
      <c r="WUU20" s="314" t="s">
        <v>203</v>
      </c>
      <c r="WUV20" s="314" t="s">
        <v>203</v>
      </c>
      <c r="WUW20" s="314" t="s">
        <v>203</v>
      </c>
      <c r="WUX20" s="314" t="s">
        <v>203</v>
      </c>
      <c r="WUY20" s="314" t="s">
        <v>203</v>
      </c>
      <c r="WUZ20" s="314" t="s">
        <v>203</v>
      </c>
      <c r="WVA20" s="314" t="s">
        <v>203</v>
      </c>
      <c r="WVB20" s="314" t="s">
        <v>203</v>
      </c>
      <c r="WVC20" s="314" t="s">
        <v>203</v>
      </c>
      <c r="WVD20" s="314" t="s">
        <v>203</v>
      </c>
      <c r="WVE20" s="314" t="s">
        <v>203</v>
      </c>
      <c r="WVF20" s="314" t="s">
        <v>203</v>
      </c>
      <c r="WVG20" s="314" t="s">
        <v>203</v>
      </c>
      <c r="WVH20" s="314" t="s">
        <v>203</v>
      </c>
      <c r="WVI20" s="314" t="s">
        <v>203</v>
      </c>
      <c r="WVJ20" s="314" t="s">
        <v>203</v>
      </c>
      <c r="WVK20" s="314" t="s">
        <v>203</v>
      </c>
      <c r="WVL20" s="314" t="s">
        <v>203</v>
      </c>
      <c r="WVM20" s="314" t="s">
        <v>203</v>
      </c>
      <c r="WVN20" s="314" t="s">
        <v>203</v>
      </c>
      <c r="WVO20" s="314" t="s">
        <v>203</v>
      </c>
      <c r="WVP20" s="314" t="s">
        <v>203</v>
      </c>
      <c r="WVQ20" s="314" t="s">
        <v>203</v>
      </c>
      <c r="WVR20" s="314" t="s">
        <v>203</v>
      </c>
      <c r="WVS20" s="314" t="s">
        <v>203</v>
      </c>
      <c r="WVT20" s="314" t="s">
        <v>203</v>
      </c>
      <c r="WVU20" s="314" t="s">
        <v>203</v>
      </c>
      <c r="WVV20" s="314" t="s">
        <v>203</v>
      </c>
      <c r="WVW20" s="314" t="s">
        <v>203</v>
      </c>
      <c r="WVX20" s="314" t="s">
        <v>203</v>
      </c>
      <c r="WVY20" s="314" t="s">
        <v>203</v>
      </c>
      <c r="WVZ20" s="314" t="s">
        <v>203</v>
      </c>
      <c r="WWA20" s="314" t="s">
        <v>203</v>
      </c>
      <c r="WWB20" s="314" t="s">
        <v>203</v>
      </c>
      <c r="WWC20" s="314" t="s">
        <v>203</v>
      </c>
      <c r="WWD20" s="314" t="s">
        <v>203</v>
      </c>
      <c r="WWE20" s="314" t="s">
        <v>203</v>
      </c>
      <c r="WWF20" s="314" t="s">
        <v>203</v>
      </c>
      <c r="WWG20" s="314" t="s">
        <v>203</v>
      </c>
      <c r="WWH20" s="314" t="s">
        <v>203</v>
      </c>
      <c r="WWI20" s="314" t="s">
        <v>203</v>
      </c>
      <c r="WWJ20" s="314" t="s">
        <v>203</v>
      </c>
      <c r="WWK20" s="314" t="s">
        <v>203</v>
      </c>
      <c r="WWL20" s="314" t="s">
        <v>203</v>
      </c>
      <c r="WWM20" s="314" t="s">
        <v>203</v>
      </c>
      <c r="WWN20" s="314" t="s">
        <v>203</v>
      </c>
      <c r="WWO20" s="314" t="s">
        <v>203</v>
      </c>
      <c r="WWP20" s="314" t="s">
        <v>203</v>
      </c>
      <c r="WWQ20" s="314" t="s">
        <v>203</v>
      </c>
      <c r="WWR20" s="314" t="s">
        <v>203</v>
      </c>
      <c r="WWS20" s="314" t="s">
        <v>203</v>
      </c>
      <c r="WWT20" s="314" t="s">
        <v>203</v>
      </c>
      <c r="WWU20" s="314" t="s">
        <v>203</v>
      </c>
      <c r="WWV20" s="314" t="s">
        <v>203</v>
      </c>
      <c r="WWW20" s="314" t="s">
        <v>203</v>
      </c>
      <c r="WWX20" s="314" t="s">
        <v>203</v>
      </c>
      <c r="WWY20" s="314" t="s">
        <v>203</v>
      </c>
      <c r="WWZ20" s="314" t="s">
        <v>203</v>
      </c>
      <c r="WXA20" s="314" t="s">
        <v>203</v>
      </c>
      <c r="WXB20" s="314" t="s">
        <v>203</v>
      </c>
      <c r="WXC20" s="314" t="s">
        <v>203</v>
      </c>
      <c r="WXD20" s="314" t="s">
        <v>203</v>
      </c>
      <c r="WXE20" s="314" t="s">
        <v>203</v>
      </c>
      <c r="WXF20" s="314" t="s">
        <v>203</v>
      </c>
      <c r="WXG20" s="314" t="s">
        <v>203</v>
      </c>
      <c r="WXH20" s="314" t="s">
        <v>203</v>
      </c>
      <c r="WXI20" s="314" t="s">
        <v>203</v>
      </c>
      <c r="WXJ20" s="314" t="s">
        <v>203</v>
      </c>
      <c r="WXK20" s="314" t="s">
        <v>203</v>
      </c>
      <c r="WXL20" s="314" t="s">
        <v>203</v>
      </c>
      <c r="WXM20" s="314" t="s">
        <v>203</v>
      </c>
      <c r="WXN20" s="314" t="s">
        <v>203</v>
      </c>
      <c r="WXO20" s="314" t="s">
        <v>203</v>
      </c>
      <c r="WXP20" s="314" t="s">
        <v>203</v>
      </c>
      <c r="WXQ20" s="314" t="s">
        <v>203</v>
      </c>
      <c r="WXR20" s="314" t="s">
        <v>203</v>
      </c>
      <c r="WXS20" s="314" t="s">
        <v>203</v>
      </c>
      <c r="WXT20" s="314" t="s">
        <v>203</v>
      </c>
      <c r="WXU20" s="314" t="s">
        <v>203</v>
      </c>
      <c r="WXV20" s="314" t="s">
        <v>203</v>
      </c>
      <c r="WXW20" s="314" t="s">
        <v>203</v>
      </c>
      <c r="WXX20" s="314" t="s">
        <v>203</v>
      </c>
      <c r="WXY20" s="314" t="s">
        <v>203</v>
      </c>
      <c r="WXZ20" s="314" t="s">
        <v>203</v>
      </c>
      <c r="WYA20" s="314" t="s">
        <v>203</v>
      </c>
      <c r="WYB20" s="314" t="s">
        <v>203</v>
      </c>
      <c r="WYC20" s="314" t="s">
        <v>203</v>
      </c>
      <c r="WYD20" s="314" t="s">
        <v>203</v>
      </c>
      <c r="WYE20" s="314" t="s">
        <v>203</v>
      </c>
      <c r="WYF20" s="314" t="s">
        <v>203</v>
      </c>
      <c r="WYG20" s="314" t="s">
        <v>203</v>
      </c>
      <c r="WYH20" s="314" t="s">
        <v>203</v>
      </c>
      <c r="WYI20" s="314" t="s">
        <v>203</v>
      </c>
      <c r="WYJ20" s="314" t="s">
        <v>203</v>
      </c>
      <c r="WYK20" s="314" t="s">
        <v>203</v>
      </c>
      <c r="WYL20" s="314" t="s">
        <v>203</v>
      </c>
      <c r="WYM20" s="314" t="s">
        <v>203</v>
      </c>
      <c r="WYN20" s="314" t="s">
        <v>203</v>
      </c>
      <c r="WYO20" s="314" t="s">
        <v>203</v>
      </c>
      <c r="WYP20" s="314" t="s">
        <v>203</v>
      </c>
      <c r="WYQ20" s="314" t="s">
        <v>203</v>
      </c>
      <c r="WYR20" s="314" t="s">
        <v>203</v>
      </c>
      <c r="WYS20" s="314" t="s">
        <v>203</v>
      </c>
      <c r="WYT20" s="314" t="s">
        <v>203</v>
      </c>
      <c r="WYU20" s="314" t="s">
        <v>203</v>
      </c>
      <c r="WYV20" s="314" t="s">
        <v>203</v>
      </c>
      <c r="WYW20" s="314" t="s">
        <v>203</v>
      </c>
      <c r="WYX20" s="314" t="s">
        <v>203</v>
      </c>
      <c r="WYY20" s="314" t="s">
        <v>203</v>
      </c>
      <c r="WYZ20" s="314" t="s">
        <v>203</v>
      </c>
      <c r="WZA20" s="314" t="s">
        <v>203</v>
      </c>
      <c r="WZB20" s="314" t="s">
        <v>203</v>
      </c>
      <c r="WZC20" s="314" t="s">
        <v>203</v>
      </c>
      <c r="WZD20" s="314" t="s">
        <v>203</v>
      </c>
      <c r="WZE20" s="314" t="s">
        <v>203</v>
      </c>
      <c r="WZF20" s="314" t="s">
        <v>203</v>
      </c>
      <c r="WZG20" s="314" t="s">
        <v>203</v>
      </c>
      <c r="WZH20" s="314" t="s">
        <v>203</v>
      </c>
      <c r="WZI20" s="314" t="s">
        <v>203</v>
      </c>
      <c r="WZJ20" s="314" t="s">
        <v>203</v>
      </c>
      <c r="WZK20" s="314" t="s">
        <v>203</v>
      </c>
      <c r="WZL20" s="314" t="s">
        <v>203</v>
      </c>
      <c r="WZM20" s="314" t="s">
        <v>203</v>
      </c>
      <c r="WZN20" s="314" t="s">
        <v>203</v>
      </c>
      <c r="WZO20" s="314" t="s">
        <v>203</v>
      </c>
      <c r="WZP20" s="314" t="s">
        <v>203</v>
      </c>
      <c r="WZQ20" s="314" t="s">
        <v>203</v>
      </c>
      <c r="WZR20" s="314" t="s">
        <v>203</v>
      </c>
      <c r="WZS20" s="314" t="s">
        <v>203</v>
      </c>
      <c r="WZT20" s="314" t="s">
        <v>203</v>
      </c>
      <c r="WZU20" s="314" t="s">
        <v>203</v>
      </c>
      <c r="WZV20" s="314" t="s">
        <v>203</v>
      </c>
      <c r="WZW20" s="314" t="s">
        <v>203</v>
      </c>
      <c r="WZX20" s="314" t="s">
        <v>203</v>
      </c>
      <c r="WZY20" s="314" t="s">
        <v>203</v>
      </c>
      <c r="WZZ20" s="314" t="s">
        <v>203</v>
      </c>
      <c r="XAA20" s="314" t="s">
        <v>203</v>
      </c>
      <c r="XAB20" s="314" t="s">
        <v>203</v>
      </c>
      <c r="XAC20" s="314" t="s">
        <v>203</v>
      </c>
      <c r="XAD20" s="314" t="s">
        <v>203</v>
      </c>
      <c r="XAE20" s="314" t="s">
        <v>203</v>
      </c>
      <c r="XAF20" s="314" t="s">
        <v>203</v>
      </c>
      <c r="XAG20" s="314" t="s">
        <v>203</v>
      </c>
      <c r="XAH20" s="314" t="s">
        <v>203</v>
      </c>
      <c r="XAI20" s="314" t="s">
        <v>203</v>
      </c>
      <c r="XAJ20" s="314" t="s">
        <v>203</v>
      </c>
      <c r="XAK20" s="314" t="s">
        <v>203</v>
      </c>
      <c r="XAL20" s="314" t="s">
        <v>203</v>
      </c>
      <c r="XAM20" s="314" t="s">
        <v>203</v>
      </c>
      <c r="XAN20" s="314" t="s">
        <v>203</v>
      </c>
      <c r="XAO20" s="314" t="s">
        <v>203</v>
      </c>
      <c r="XAP20" s="314" t="s">
        <v>203</v>
      </c>
      <c r="XAQ20" s="314" t="s">
        <v>203</v>
      </c>
      <c r="XAR20" s="314" t="s">
        <v>203</v>
      </c>
      <c r="XAS20" s="314" t="s">
        <v>203</v>
      </c>
      <c r="XAT20" s="314" t="s">
        <v>203</v>
      </c>
      <c r="XAU20" s="314" t="s">
        <v>203</v>
      </c>
      <c r="XAV20" s="314" t="s">
        <v>203</v>
      </c>
      <c r="XAW20" s="314" t="s">
        <v>203</v>
      </c>
      <c r="XAX20" s="314" t="s">
        <v>203</v>
      </c>
      <c r="XAY20" s="314" t="s">
        <v>203</v>
      </c>
      <c r="XAZ20" s="314" t="s">
        <v>203</v>
      </c>
      <c r="XBA20" s="314" t="s">
        <v>203</v>
      </c>
      <c r="XBB20" s="314" t="s">
        <v>203</v>
      </c>
      <c r="XBC20" s="314" t="s">
        <v>203</v>
      </c>
      <c r="XBD20" s="314" t="s">
        <v>203</v>
      </c>
      <c r="XBE20" s="314" t="s">
        <v>203</v>
      </c>
      <c r="XBF20" s="314" t="s">
        <v>203</v>
      </c>
      <c r="XBG20" s="314" t="s">
        <v>203</v>
      </c>
      <c r="XBH20" s="314" t="s">
        <v>203</v>
      </c>
      <c r="XBI20" s="314" t="s">
        <v>203</v>
      </c>
      <c r="XBJ20" s="314" t="s">
        <v>203</v>
      </c>
      <c r="XBK20" s="314" t="s">
        <v>203</v>
      </c>
      <c r="XBL20" s="314" t="s">
        <v>203</v>
      </c>
      <c r="XBM20" s="314" t="s">
        <v>203</v>
      </c>
      <c r="XBN20" s="314" t="s">
        <v>203</v>
      </c>
      <c r="XBO20" s="314" t="s">
        <v>203</v>
      </c>
      <c r="XBP20" s="314" t="s">
        <v>203</v>
      </c>
      <c r="XBQ20" s="314" t="s">
        <v>203</v>
      </c>
      <c r="XBR20" s="314" t="s">
        <v>203</v>
      </c>
      <c r="XBS20" s="314" t="s">
        <v>203</v>
      </c>
      <c r="XBT20" s="314" t="s">
        <v>203</v>
      </c>
      <c r="XBU20" s="314" t="s">
        <v>203</v>
      </c>
      <c r="XBV20" s="314" t="s">
        <v>203</v>
      </c>
      <c r="XBW20" s="314" t="s">
        <v>203</v>
      </c>
      <c r="XBX20" s="314" t="s">
        <v>203</v>
      </c>
      <c r="XBY20" s="314" t="s">
        <v>203</v>
      </c>
      <c r="XBZ20" s="314" t="s">
        <v>203</v>
      </c>
      <c r="XCA20" s="314" t="s">
        <v>203</v>
      </c>
      <c r="XCB20" s="314" t="s">
        <v>203</v>
      </c>
      <c r="XCC20" s="314" t="s">
        <v>203</v>
      </c>
      <c r="XCD20" s="314" t="s">
        <v>203</v>
      </c>
      <c r="XCE20" s="314" t="s">
        <v>203</v>
      </c>
      <c r="XCF20" s="314" t="s">
        <v>203</v>
      </c>
      <c r="XCG20" s="314" t="s">
        <v>203</v>
      </c>
      <c r="XCH20" s="314" t="s">
        <v>203</v>
      </c>
      <c r="XCI20" s="314" t="s">
        <v>203</v>
      </c>
      <c r="XCJ20" s="314" t="s">
        <v>203</v>
      </c>
      <c r="XCK20" s="314" t="s">
        <v>203</v>
      </c>
      <c r="XCL20" s="314" t="s">
        <v>203</v>
      </c>
      <c r="XCM20" s="314" t="s">
        <v>203</v>
      </c>
      <c r="XCN20" s="314" t="s">
        <v>203</v>
      </c>
      <c r="XCO20" s="314" t="s">
        <v>203</v>
      </c>
      <c r="XCP20" s="314" t="s">
        <v>203</v>
      </c>
      <c r="XCQ20" s="314" t="s">
        <v>203</v>
      </c>
      <c r="XCR20" s="314" t="s">
        <v>203</v>
      </c>
      <c r="XCS20" s="314" t="s">
        <v>203</v>
      </c>
      <c r="XCT20" s="314" t="s">
        <v>203</v>
      </c>
      <c r="XCU20" s="314" t="s">
        <v>203</v>
      </c>
      <c r="XCV20" s="314" t="s">
        <v>203</v>
      </c>
      <c r="XCW20" s="314" t="s">
        <v>203</v>
      </c>
      <c r="XCX20" s="314" t="s">
        <v>203</v>
      </c>
      <c r="XCY20" s="314" t="s">
        <v>203</v>
      </c>
      <c r="XCZ20" s="314" t="s">
        <v>203</v>
      </c>
      <c r="XDA20" s="314" t="s">
        <v>203</v>
      </c>
      <c r="XDB20" s="314" t="s">
        <v>203</v>
      </c>
      <c r="XDC20" s="314" t="s">
        <v>203</v>
      </c>
      <c r="XDD20" s="314" t="s">
        <v>203</v>
      </c>
      <c r="XDE20" s="314" t="s">
        <v>203</v>
      </c>
      <c r="XDF20" s="314" t="s">
        <v>203</v>
      </c>
      <c r="XDG20" s="314" t="s">
        <v>203</v>
      </c>
      <c r="XDH20" s="314" t="s">
        <v>203</v>
      </c>
      <c r="XDI20" s="314" t="s">
        <v>203</v>
      </c>
      <c r="XDJ20" s="314" t="s">
        <v>203</v>
      </c>
      <c r="XDK20" s="314" t="s">
        <v>203</v>
      </c>
      <c r="XDL20" s="314" t="s">
        <v>203</v>
      </c>
      <c r="XDM20" s="314" t="s">
        <v>203</v>
      </c>
      <c r="XDN20" s="314" t="s">
        <v>203</v>
      </c>
      <c r="XDO20" s="314" t="s">
        <v>203</v>
      </c>
      <c r="XDP20" s="314" t="s">
        <v>203</v>
      </c>
      <c r="XDQ20" s="314" t="s">
        <v>203</v>
      </c>
      <c r="XDR20" s="314" t="s">
        <v>203</v>
      </c>
      <c r="XDS20" s="314" t="s">
        <v>203</v>
      </c>
      <c r="XDT20" s="314" t="s">
        <v>203</v>
      </c>
      <c r="XDU20" s="314" t="s">
        <v>203</v>
      </c>
      <c r="XDV20" s="314" t="s">
        <v>203</v>
      </c>
      <c r="XDW20" s="314" t="s">
        <v>203</v>
      </c>
      <c r="XDX20" s="314" t="s">
        <v>203</v>
      </c>
      <c r="XDY20" s="314" t="s">
        <v>203</v>
      </c>
      <c r="XDZ20" s="314" t="s">
        <v>203</v>
      </c>
      <c r="XEA20" s="314" t="s">
        <v>203</v>
      </c>
      <c r="XEB20" s="314" t="s">
        <v>203</v>
      </c>
      <c r="XEC20" s="314" t="s">
        <v>203</v>
      </c>
      <c r="XED20" s="314" t="s">
        <v>203</v>
      </c>
      <c r="XEE20" s="314" t="s">
        <v>203</v>
      </c>
      <c r="XEF20" s="314" t="s">
        <v>203</v>
      </c>
      <c r="XEG20" s="314" t="s">
        <v>203</v>
      </c>
      <c r="XEH20" s="314" t="s">
        <v>203</v>
      </c>
      <c r="XEI20" s="314" t="s">
        <v>203</v>
      </c>
      <c r="XEJ20" s="314" t="s">
        <v>203</v>
      </c>
      <c r="XEK20" s="314" t="s">
        <v>203</v>
      </c>
      <c r="XEL20" s="314" t="s">
        <v>203</v>
      </c>
      <c r="XEM20" s="314" t="s">
        <v>203</v>
      </c>
      <c r="XEN20" s="314" t="s">
        <v>203</v>
      </c>
      <c r="XEO20" s="314" t="s">
        <v>203</v>
      </c>
      <c r="XEP20" s="314" t="s">
        <v>203</v>
      </c>
      <c r="XEQ20" s="314" t="s">
        <v>203</v>
      </c>
      <c r="XER20" s="314" t="s">
        <v>203</v>
      </c>
      <c r="XES20" s="314" t="s">
        <v>203</v>
      </c>
      <c r="XET20" s="314" t="s">
        <v>203</v>
      </c>
      <c r="XEU20" s="314" t="s">
        <v>203</v>
      </c>
      <c r="XEV20" s="314" t="s">
        <v>203</v>
      </c>
      <c r="XEW20" s="314" t="s">
        <v>203</v>
      </c>
      <c r="XEX20" s="314" t="s">
        <v>203</v>
      </c>
      <c r="XEY20" s="314" t="s">
        <v>203</v>
      </c>
      <c r="XEZ20" s="314" t="s">
        <v>203</v>
      </c>
      <c r="XFA20" s="314" t="s">
        <v>203</v>
      </c>
      <c r="XFB20" s="314" t="s">
        <v>203</v>
      </c>
      <c r="XFC20" s="314" t="s">
        <v>203</v>
      </c>
      <c r="XFD20" s="314" t="s">
        <v>203</v>
      </c>
    </row>
    <row r="21" spans="1:16384" x14ac:dyDescent="0.25">
      <c r="A21" s="320" t="s">
        <v>198</v>
      </c>
      <c r="B21" s="305"/>
      <c r="C21" s="302"/>
      <c r="D21" s="294"/>
      <c r="E21" s="293"/>
      <c r="F21" s="293"/>
      <c r="G21" s="296" t="s">
        <v>221</v>
      </c>
      <c r="H21" s="296"/>
      <c r="I21" s="303"/>
      <c r="J21" s="303"/>
      <c r="K21" s="293"/>
      <c r="L21" s="293"/>
      <c r="M21" s="293"/>
      <c r="N21" s="293"/>
      <c r="O21" s="298"/>
      <c r="P21" s="293"/>
      <c r="Q21" s="293"/>
      <c r="R21" s="293"/>
      <c r="S21" s="325"/>
      <c r="T21" s="293"/>
      <c r="U21" s="293"/>
      <c r="V21" s="300"/>
      <c r="W21" s="300"/>
      <c r="X21" s="300"/>
      <c r="Y21" s="321"/>
      <c r="Z21" s="319">
        <v>4000</v>
      </c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</row>
    <row r="22" spans="1:16384" s="319" customFormat="1" x14ac:dyDescent="0.25">
      <c r="A22" s="315" t="s">
        <v>205</v>
      </c>
      <c r="B22" s="316">
        <v>45793</v>
      </c>
      <c r="C22" s="317"/>
      <c r="D22" s="82"/>
      <c r="E22" s="217"/>
      <c r="F22" s="217"/>
      <c r="G22" s="84" t="s">
        <v>216</v>
      </c>
      <c r="H22" s="84" t="s">
        <v>206</v>
      </c>
      <c r="I22" s="215">
        <v>1758</v>
      </c>
      <c r="J22" s="215"/>
      <c r="K22" s="217"/>
      <c r="L22" s="217"/>
      <c r="M22" s="217"/>
      <c r="N22" s="217"/>
      <c r="O22" s="86"/>
      <c r="P22" s="217"/>
      <c r="Q22" s="217"/>
      <c r="R22" s="217"/>
      <c r="S22" s="328"/>
      <c r="T22" s="217"/>
      <c r="U22" s="217"/>
      <c r="V22" s="318">
        <v>200</v>
      </c>
      <c r="W22" s="318">
        <v>200</v>
      </c>
      <c r="X22" s="318">
        <f>652-50-50</f>
        <v>552</v>
      </c>
      <c r="Y22" s="84" t="s">
        <v>209</v>
      </c>
    </row>
    <row r="23" spans="1:16384" x14ac:dyDescent="0.25">
      <c r="A23" s="261" t="s">
        <v>207</v>
      </c>
      <c r="B23" s="277">
        <v>45797</v>
      </c>
      <c r="C23" s="278"/>
      <c r="D23" s="279"/>
      <c r="E23" s="280"/>
      <c r="F23" s="280"/>
      <c r="G23" s="281" t="s">
        <v>120</v>
      </c>
      <c r="H23" s="281" t="s">
        <v>208</v>
      </c>
      <c r="I23" s="282">
        <f>1634.98+653.98</f>
        <v>2288.96</v>
      </c>
      <c r="J23" s="282"/>
      <c r="K23" s="280"/>
      <c r="L23" s="280"/>
      <c r="M23" s="280"/>
      <c r="N23" s="280"/>
      <c r="O23" s="283"/>
      <c r="P23" s="280"/>
      <c r="Q23" s="280"/>
      <c r="R23" s="280"/>
      <c r="S23" s="291"/>
      <c r="T23" s="280"/>
      <c r="U23" s="280"/>
      <c r="V23" s="284"/>
      <c r="W23" s="284"/>
      <c r="X23" s="284">
        <f>I23/30*11-50.35</f>
        <v>788.93533333333323</v>
      </c>
      <c r="Y23" s="271">
        <v>10019082606</v>
      </c>
      <c r="Z23" t="s">
        <v>224</v>
      </c>
    </row>
    <row r="24" spans="1:16384" x14ac:dyDescent="0.25">
      <c r="A24" s="261" t="s">
        <v>219</v>
      </c>
      <c r="B24" s="277"/>
      <c r="C24" s="278"/>
      <c r="D24" s="279"/>
      <c r="E24" s="280"/>
      <c r="F24" s="280"/>
      <c r="G24" s="281" t="s">
        <v>222</v>
      </c>
      <c r="H24" s="281"/>
      <c r="I24" s="282"/>
      <c r="J24" s="282"/>
      <c r="K24" s="280"/>
      <c r="L24" s="280"/>
      <c r="M24" s="280"/>
      <c r="N24" s="280"/>
      <c r="O24" s="283"/>
      <c r="P24" s="280"/>
      <c r="Q24" s="280"/>
      <c r="R24" s="280"/>
      <c r="S24" s="291"/>
      <c r="T24" s="280"/>
      <c r="U24" s="280"/>
      <c r="V24" s="284"/>
      <c r="W24" s="284"/>
      <c r="X24" s="284"/>
      <c r="Y24" s="271"/>
      <c r="Z24">
        <v>392</v>
      </c>
    </row>
    <row r="25" spans="1:16384" x14ac:dyDescent="0.25">
      <c r="A25" s="261" t="s">
        <v>223</v>
      </c>
      <c r="B25" s="277">
        <v>45808</v>
      </c>
      <c r="C25" s="278"/>
      <c r="D25" s="279"/>
      <c r="E25" s="280"/>
      <c r="F25" s="280"/>
      <c r="G25" s="281"/>
      <c r="H25" s="281"/>
      <c r="I25" s="282"/>
      <c r="J25" s="282"/>
      <c r="K25" s="280"/>
      <c r="L25" s="280"/>
      <c r="M25" s="280"/>
      <c r="N25" s="280"/>
      <c r="O25" s="283"/>
      <c r="P25" s="280"/>
      <c r="Q25" s="280"/>
      <c r="R25" s="280"/>
      <c r="S25" s="291"/>
      <c r="T25" s="280"/>
      <c r="U25" s="280"/>
      <c r="V25" s="284"/>
      <c r="W25" s="284"/>
      <c r="X25" s="284">
        <f>1634.96/31</f>
        <v>52.740645161290324</v>
      </c>
      <c r="Y25" s="271">
        <v>10093674635</v>
      </c>
    </row>
    <row r="26" spans="1:16384" x14ac:dyDescent="0.25">
      <c r="A26" s="261" t="s">
        <v>225</v>
      </c>
      <c r="B26" s="277">
        <v>45808</v>
      </c>
      <c r="C26" s="278"/>
      <c r="D26" s="279"/>
      <c r="E26" s="280"/>
      <c r="F26" s="280"/>
      <c r="G26" s="281" t="s">
        <v>226</v>
      </c>
      <c r="H26" s="281"/>
      <c r="I26" s="282"/>
      <c r="J26" s="282"/>
      <c r="K26" s="280"/>
      <c r="L26" s="280"/>
      <c r="M26" s="280"/>
      <c r="N26" s="280"/>
      <c r="O26" s="283"/>
      <c r="P26" s="280"/>
      <c r="Q26" s="280"/>
      <c r="R26" s="280"/>
      <c r="S26" s="291"/>
      <c r="T26" s="280"/>
      <c r="U26" s="280"/>
      <c r="V26" s="284"/>
      <c r="W26" s="284"/>
      <c r="X26" s="284">
        <f>1634.96/31</f>
        <v>52.740645161290324</v>
      </c>
      <c r="Y26" s="271">
        <v>31975198916</v>
      </c>
    </row>
    <row r="27" spans="1:16384" x14ac:dyDescent="0.25">
      <c r="A27" s="332"/>
      <c r="B27" s="266"/>
      <c r="C27" s="266"/>
      <c r="D27" s="264"/>
      <c r="E27" s="266"/>
      <c r="F27" s="266"/>
      <c r="G27" s="333"/>
      <c r="H27" s="281"/>
      <c r="I27" s="282"/>
      <c r="J27" s="282"/>
      <c r="K27" s="280"/>
      <c r="L27" s="280"/>
      <c r="M27" s="280"/>
      <c r="N27" s="280"/>
      <c r="O27" s="283"/>
      <c r="P27" s="280"/>
      <c r="Q27" s="280"/>
      <c r="R27" s="280"/>
      <c r="S27" s="291"/>
      <c r="T27" s="280"/>
      <c r="U27" s="280"/>
      <c r="V27" s="284"/>
      <c r="W27" s="284"/>
      <c r="X27" s="284"/>
      <c r="Y27" s="271"/>
    </row>
    <row r="28" spans="1:16384" x14ac:dyDescent="0.25">
      <c r="A28" s="67"/>
      <c r="B28" s="69"/>
      <c r="C28" s="69"/>
      <c r="D28" s="162"/>
      <c r="E28" s="69"/>
      <c r="F28" s="69"/>
      <c r="G28" s="160"/>
      <c r="H28" s="69"/>
      <c r="I28" s="109"/>
      <c r="J28" s="109"/>
      <c r="K28" s="69"/>
      <c r="L28" s="74">
        <f>SUM(L3:L13)</f>
        <v>2957.5</v>
      </c>
      <c r="M28" s="69"/>
      <c r="N28" s="70">
        <v>11401.9</v>
      </c>
      <c r="O28" s="70">
        <f t="shared" si="3"/>
        <v>0</v>
      </c>
      <c r="P28" s="69"/>
      <c r="Q28" s="69"/>
      <c r="R28" s="69"/>
      <c r="S28" s="292"/>
      <c r="T28" s="69"/>
      <c r="U28" s="69"/>
      <c r="V28" s="74">
        <v>11961.92</v>
      </c>
      <c r="W28" s="177"/>
      <c r="X28" s="177">
        <v>15699.34</v>
      </c>
      <c r="Y28" s="72"/>
    </row>
    <row r="31" spans="1:16384" x14ac:dyDescent="0.25">
      <c r="G31" s="75"/>
    </row>
    <row r="35" spans="27:27" x14ac:dyDescent="0.25">
      <c r="AA35" s="272"/>
    </row>
  </sheetData>
  <autoFilter ref="G1:G31" xr:uid="{6A25047E-EEC9-4EB5-8E39-790574A310E0}"/>
  <mergeCells count="2">
    <mergeCell ref="A1:Y1"/>
    <mergeCell ref="Z19:AF19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BDC5-6EF2-41D0-BBC5-0AE1F721AD90}">
  <dimension ref="A1:XFD35"/>
  <sheetViews>
    <sheetView workbookViewId="0">
      <selection activeCell="X16" sqref="X16"/>
    </sheetView>
  </sheetViews>
  <sheetFormatPr defaultRowHeight="15" x14ac:dyDescent="0.25"/>
  <cols>
    <col min="1" max="1" width="32.85546875" customWidth="1"/>
    <col min="2" max="3" width="9.85546875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21" customWidth="1"/>
    <col min="8" max="8" width="15.140625" customWidth="1"/>
    <col min="9" max="9" width="11.7109375" customWidth="1"/>
    <col min="10" max="10" width="10.42578125" hidden="1" customWidth="1"/>
    <col min="11" max="11" width="9.140625" hidden="1" customWidth="1"/>
    <col min="12" max="12" width="13.28515625" hidden="1" customWidth="1"/>
    <col min="13" max="13" width="9.140625" hidden="1" customWidth="1"/>
    <col min="14" max="14" width="14.42578125" hidden="1" customWidth="1"/>
    <col min="15" max="15" width="10.28515625" hidden="1" customWidth="1"/>
    <col min="16" max="16" width="16.140625" hidden="1" customWidth="1"/>
    <col min="17" max="17" width="9.7109375" hidden="1" customWidth="1"/>
    <col min="18" max="18" width="10.28515625" hidden="1" customWidth="1"/>
    <col min="19" max="19" width="13.140625" style="118" hidden="1" customWidth="1"/>
    <col min="20" max="20" width="13.140625" hidden="1" customWidth="1"/>
    <col min="21" max="21" width="14.5703125" customWidth="1"/>
    <col min="22" max="24" width="15" customWidth="1"/>
    <col min="25" max="25" width="28.28515625" customWidth="1"/>
    <col min="26" max="27" width="10.140625" bestFit="1" customWidth="1"/>
  </cols>
  <sheetData>
    <row r="1" spans="1:26" ht="24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</row>
    <row r="2" spans="1:26" x14ac:dyDescent="0.25">
      <c r="A2" s="120" t="s">
        <v>1</v>
      </c>
      <c r="B2" s="120" t="s">
        <v>2</v>
      </c>
      <c r="C2" s="120" t="s">
        <v>3</v>
      </c>
      <c r="D2" s="119" t="s">
        <v>91</v>
      </c>
      <c r="E2" s="120" t="s">
        <v>9</v>
      </c>
      <c r="F2" s="120" t="s">
        <v>5</v>
      </c>
      <c r="G2" s="120" t="s">
        <v>6</v>
      </c>
      <c r="H2" s="120" t="s">
        <v>7</v>
      </c>
      <c r="I2" s="122" t="s">
        <v>8</v>
      </c>
      <c r="J2" s="122" t="s">
        <v>92</v>
      </c>
      <c r="K2" s="120" t="s">
        <v>10</v>
      </c>
      <c r="L2" s="120" t="s">
        <v>11</v>
      </c>
      <c r="M2" s="120" t="s">
        <v>12</v>
      </c>
      <c r="N2" s="120" t="s">
        <v>13</v>
      </c>
      <c r="O2" s="120" t="s">
        <v>245</v>
      </c>
      <c r="P2" s="120" t="s">
        <v>15</v>
      </c>
      <c r="Q2" s="120" t="s">
        <v>16</v>
      </c>
      <c r="R2" s="120" t="s">
        <v>17</v>
      </c>
      <c r="S2" s="155" t="s">
        <v>18</v>
      </c>
      <c r="T2" s="120" t="s">
        <v>19</v>
      </c>
      <c r="U2" s="120" t="s">
        <v>99</v>
      </c>
      <c r="V2" s="120" t="s">
        <v>100</v>
      </c>
      <c r="W2" s="120" t="s">
        <v>101</v>
      </c>
      <c r="X2" s="120" t="s">
        <v>102</v>
      </c>
      <c r="Y2" s="120" t="s">
        <v>22</v>
      </c>
    </row>
    <row r="3" spans="1:26" x14ac:dyDescent="0.25">
      <c r="A3" s="383" t="s">
        <v>38</v>
      </c>
      <c r="B3" s="8"/>
      <c r="C3" s="8">
        <v>45632</v>
      </c>
      <c r="D3" s="8"/>
      <c r="E3" s="11"/>
      <c r="F3" s="9"/>
      <c r="G3" s="10" t="s">
        <v>35</v>
      </c>
      <c r="H3" s="2" t="s">
        <v>25</v>
      </c>
      <c r="I3" s="384">
        <v>1634.96</v>
      </c>
      <c r="J3" s="11">
        <v>300</v>
      </c>
      <c r="K3" s="11"/>
      <c r="L3" s="11">
        <v>1478.75</v>
      </c>
      <c r="M3" s="11"/>
      <c r="N3" s="11">
        <v>653.98</v>
      </c>
      <c r="O3" s="11"/>
      <c r="P3" s="12"/>
      <c r="Q3" s="12"/>
      <c r="R3" s="12"/>
      <c r="S3" s="385"/>
      <c r="T3" s="12"/>
      <c r="U3" s="11">
        <v>30</v>
      </c>
      <c r="V3" s="11">
        <f>654-U3</f>
        <v>624</v>
      </c>
      <c r="W3" s="5"/>
      <c r="X3" s="5">
        <v>759</v>
      </c>
      <c r="Y3" s="10">
        <v>31981052930</v>
      </c>
    </row>
    <row r="4" spans="1:26" x14ac:dyDescent="0.25">
      <c r="A4" s="339" t="s">
        <v>39</v>
      </c>
      <c r="B4" s="327">
        <v>45293</v>
      </c>
      <c r="C4" s="327"/>
      <c r="D4" s="327"/>
      <c r="E4" s="313"/>
      <c r="F4" s="311"/>
      <c r="G4" s="311" t="s">
        <v>35</v>
      </c>
      <c r="H4" s="311" t="s">
        <v>25</v>
      </c>
      <c r="I4" s="312">
        <v>1634.96</v>
      </c>
      <c r="J4" s="313">
        <v>300</v>
      </c>
      <c r="K4" s="313"/>
      <c r="L4" s="313">
        <v>1478.75</v>
      </c>
      <c r="M4" s="313"/>
      <c r="N4" s="313">
        <v>653.98</v>
      </c>
      <c r="O4" s="313"/>
      <c r="P4" s="386"/>
      <c r="Q4" s="386"/>
      <c r="R4" s="386"/>
      <c r="S4" s="326"/>
      <c r="T4" s="386"/>
      <c r="U4" s="313">
        <v>60</v>
      </c>
      <c r="V4" s="11">
        <f t="shared" ref="V4:V24" si="0">654-U4</f>
        <v>594</v>
      </c>
      <c r="W4" s="313"/>
      <c r="X4" s="313">
        <f>1634.96-98.1-654</f>
        <v>882.86000000000013</v>
      </c>
      <c r="Y4" s="311" t="s">
        <v>40</v>
      </c>
    </row>
    <row r="5" spans="1:26" hidden="1" x14ac:dyDescent="0.25">
      <c r="A5" s="383" t="s">
        <v>41</v>
      </c>
      <c r="B5" s="8">
        <v>45621</v>
      </c>
      <c r="C5" s="8">
        <v>45643</v>
      </c>
      <c r="D5" s="8"/>
      <c r="E5" s="11"/>
      <c r="F5" s="9"/>
      <c r="G5" s="10" t="s">
        <v>105</v>
      </c>
      <c r="H5" s="2" t="s">
        <v>25</v>
      </c>
      <c r="I5" s="384">
        <v>1634.96</v>
      </c>
      <c r="J5" s="11">
        <v>300</v>
      </c>
      <c r="K5" s="11"/>
      <c r="L5" s="11">
        <f t="shared" ref="L5:L9" si="1">I5/30*K5</f>
        <v>0</v>
      </c>
      <c r="M5" s="11"/>
      <c r="N5" s="11">
        <v>653.98</v>
      </c>
      <c r="O5" s="11"/>
      <c r="P5" s="10"/>
      <c r="Q5" s="10"/>
      <c r="R5" s="12"/>
      <c r="S5" s="385"/>
      <c r="T5" s="12"/>
      <c r="U5" s="11">
        <f>60+450</f>
        <v>510</v>
      </c>
      <c r="V5" s="11">
        <f t="shared" si="0"/>
        <v>144</v>
      </c>
      <c r="W5" s="5"/>
      <c r="X5" s="5"/>
      <c r="Y5" s="10">
        <v>10105933660</v>
      </c>
    </row>
    <row r="6" spans="1:26" x14ac:dyDescent="0.25">
      <c r="A6" s="340" t="s">
        <v>46</v>
      </c>
      <c r="B6" s="1"/>
      <c r="C6" s="1">
        <v>45497</v>
      </c>
      <c r="D6" s="1"/>
      <c r="E6" s="5"/>
      <c r="F6" s="7"/>
      <c r="G6" s="2" t="s">
        <v>105</v>
      </c>
      <c r="H6" s="2" t="s">
        <v>25</v>
      </c>
      <c r="I6" s="387">
        <v>1634.96</v>
      </c>
      <c r="J6" s="3"/>
      <c r="K6" s="5"/>
      <c r="L6" s="5">
        <f t="shared" si="1"/>
        <v>0</v>
      </c>
      <c r="M6" s="5"/>
      <c r="N6" s="5">
        <v>653.98</v>
      </c>
      <c r="O6" s="5"/>
      <c r="P6" s="4"/>
      <c r="Q6" s="4"/>
      <c r="R6" s="4"/>
      <c r="S6" s="388"/>
      <c r="T6" s="4"/>
      <c r="U6" s="5">
        <f>50+115+30</f>
        <v>195</v>
      </c>
      <c r="V6" s="11">
        <f t="shared" si="0"/>
        <v>459</v>
      </c>
      <c r="W6" s="5">
        <v>78</v>
      </c>
      <c r="X6" s="5">
        <v>745</v>
      </c>
      <c r="Y6" s="2">
        <v>11282952617</v>
      </c>
    </row>
    <row r="7" spans="1:26" x14ac:dyDescent="0.25">
      <c r="A7" s="340" t="s">
        <v>49</v>
      </c>
      <c r="B7" s="1"/>
      <c r="C7" s="1">
        <v>45472</v>
      </c>
      <c r="D7" s="1"/>
      <c r="E7" s="5"/>
      <c r="F7" s="2"/>
      <c r="G7" s="2" t="s">
        <v>105</v>
      </c>
      <c r="H7" s="2" t="s">
        <v>25</v>
      </c>
      <c r="I7" s="387">
        <v>1634.96</v>
      </c>
      <c r="J7" s="3"/>
      <c r="K7" s="5"/>
      <c r="L7" s="5">
        <f t="shared" si="1"/>
        <v>0</v>
      </c>
      <c r="M7" s="5"/>
      <c r="N7" s="5">
        <v>653.98</v>
      </c>
      <c r="O7" s="5"/>
      <c r="P7" s="4"/>
      <c r="Q7" s="4"/>
      <c r="R7" s="4"/>
      <c r="S7" s="388"/>
      <c r="T7" s="4"/>
      <c r="U7" s="5">
        <v>62.5</v>
      </c>
      <c r="V7" s="11">
        <f t="shared" si="0"/>
        <v>591.5</v>
      </c>
      <c r="W7" s="5"/>
      <c r="X7" s="5">
        <v>987</v>
      </c>
      <c r="Y7" s="2" t="s">
        <v>87</v>
      </c>
    </row>
    <row r="8" spans="1:26" x14ac:dyDescent="0.25">
      <c r="A8" s="340" t="s">
        <v>53</v>
      </c>
      <c r="B8" s="1"/>
      <c r="C8" s="1">
        <v>45527</v>
      </c>
      <c r="D8" s="1"/>
      <c r="E8" s="5"/>
      <c r="F8" s="2"/>
      <c r="G8" s="2" t="s">
        <v>105</v>
      </c>
      <c r="H8" s="2" t="s">
        <v>107</v>
      </c>
      <c r="I8" s="387">
        <v>1478.76</v>
      </c>
      <c r="J8" s="3">
        <v>400</v>
      </c>
      <c r="K8" s="5"/>
      <c r="L8" s="5">
        <f t="shared" si="1"/>
        <v>0</v>
      </c>
      <c r="M8" s="5"/>
      <c r="N8" s="5">
        <v>607.20000000000005</v>
      </c>
      <c r="O8" s="5"/>
      <c r="P8" s="4"/>
      <c r="Q8" s="4"/>
      <c r="R8" s="4"/>
      <c r="S8" s="388"/>
      <c r="T8" s="4"/>
      <c r="U8" s="5">
        <v>30</v>
      </c>
      <c r="V8" s="11">
        <f>1518*40%-30</f>
        <v>577.20000000000005</v>
      </c>
      <c r="W8" s="5"/>
      <c r="X8" s="5">
        <v>770</v>
      </c>
      <c r="Y8" s="2">
        <v>31982397405</v>
      </c>
    </row>
    <row r="9" spans="1:26" ht="12.75" customHeight="1" x14ac:dyDescent="0.25">
      <c r="A9" s="340" t="s">
        <v>57</v>
      </c>
      <c r="B9" s="1"/>
      <c r="C9" s="1">
        <v>45569</v>
      </c>
      <c r="D9" s="1"/>
      <c r="E9" s="5"/>
      <c r="F9" s="2"/>
      <c r="G9" s="2" t="s">
        <v>105</v>
      </c>
      <c r="H9" s="2" t="s">
        <v>25</v>
      </c>
      <c r="I9" s="387">
        <v>1634.96</v>
      </c>
      <c r="J9" s="3">
        <v>300</v>
      </c>
      <c r="K9" s="5"/>
      <c r="L9" s="5">
        <f t="shared" si="1"/>
        <v>0</v>
      </c>
      <c r="M9" s="5"/>
      <c r="N9" s="5">
        <v>653.98</v>
      </c>
      <c r="O9" s="5"/>
      <c r="P9" s="4"/>
      <c r="Q9" s="4"/>
      <c r="R9" s="4"/>
      <c r="S9" s="388" t="s">
        <v>246</v>
      </c>
      <c r="T9" s="4" t="s">
        <v>37</v>
      </c>
      <c r="U9" s="5"/>
      <c r="V9" s="11">
        <f t="shared" si="0"/>
        <v>654</v>
      </c>
      <c r="W9" s="5"/>
      <c r="X9" s="5">
        <v>509</v>
      </c>
      <c r="Y9" s="2" t="s">
        <v>58</v>
      </c>
    </row>
    <row r="10" spans="1:26" s="331" customFormat="1" x14ac:dyDescent="0.25">
      <c r="A10" s="339" t="s">
        <v>89</v>
      </c>
      <c r="B10" s="327">
        <v>45663</v>
      </c>
      <c r="C10" s="327"/>
      <c r="D10" s="327"/>
      <c r="E10" s="329"/>
      <c r="F10" s="301"/>
      <c r="G10" s="311" t="s">
        <v>96</v>
      </c>
      <c r="H10" s="311" t="s">
        <v>25</v>
      </c>
      <c r="I10" s="312">
        <f>3000/31*26</f>
        <v>2516.1290322580649</v>
      </c>
      <c r="J10" s="329"/>
      <c r="K10" s="329"/>
      <c r="L10" s="313"/>
      <c r="M10" s="329"/>
      <c r="N10" s="313">
        <v>1000</v>
      </c>
      <c r="O10" s="313"/>
      <c r="P10" s="301"/>
      <c r="Q10" s="301"/>
      <c r="R10" s="301"/>
      <c r="S10" s="326"/>
      <c r="T10" s="301"/>
      <c r="U10" s="329">
        <v>30</v>
      </c>
      <c r="V10" s="11">
        <f>1000-30</f>
        <v>970</v>
      </c>
      <c r="W10" s="313">
        <f>400+50</f>
        <v>450</v>
      </c>
      <c r="X10" s="313">
        <f>1000-W10</f>
        <v>550</v>
      </c>
      <c r="Y10" s="330">
        <v>13196831698</v>
      </c>
      <c r="Z10" s="331" t="s">
        <v>248</v>
      </c>
    </row>
    <row r="11" spans="1:26" hidden="1" x14ac:dyDescent="0.25">
      <c r="A11" s="340" t="s">
        <v>95</v>
      </c>
      <c r="B11" s="1">
        <v>45698</v>
      </c>
      <c r="C11" s="1">
        <v>45713</v>
      </c>
      <c r="D11" s="1">
        <v>45742</v>
      </c>
      <c r="E11" s="276"/>
      <c r="F11" s="15"/>
      <c r="G11" s="2" t="s">
        <v>105</v>
      </c>
      <c r="H11" s="2" t="s">
        <v>25</v>
      </c>
      <c r="I11" s="389">
        <v>1634.96</v>
      </c>
      <c r="J11" s="276"/>
      <c r="K11" s="276"/>
      <c r="L11" s="5"/>
      <c r="M11" s="276"/>
      <c r="N11" s="5">
        <v>420.98</v>
      </c>
      <c r="O11" s="5"/>
      <c r="P11" s="15"/>
      <c r="Q11" s="15"/>
      <c r="R11" s="15"/>
      <c r="S11" s="388">
        <v>45793</v>
      </c>
      <c r="T11" s="15" t="s">
        <v>218</v>
      </c>
      <c r="U11" s="276"/>
      <c r="V11" s="11">
        <f t="shared" si="0"/>
        <v>654</v>
      </c>
      <c r="W11" s="5"/>
      <c r="X11" s="5"/>
      <c r="Y11" s="179" t="s">
        <v>97</v>
      </c>
    </row>
    <row r="12" spans="1:26" x14ac:dyDescent="0.25">
      <c r="A12" s="340" t="s">
        <v>108</v>
      </c>
      <c r="B12" s="1">
        <v>45716</v>
      </c>
      <c r="C12" s="1">
        <v>45728</v>
      </c>
      <c r="D12" s="1">
        <v>45786</v>
      </c>
      <c r="E12" s="276"/>
      <c r="F12" s="15"/>
      <c r="G12" s="2" t="s">
        <v>238</v>
      </c>
      <c r="H12" s="2" t="s">
        <v>25</v>
      </c>
      <c r="I12" s="389">
        <v>1758</v>
      </c>
      <c r="J12" s="276"/>
      <c r="K12" s="276"/>
      <c r="L12" s="5"/>
      <c r="M12" s="276"/>
      <c r="N12" s="5">
        <v>703.2</v>
      </c>
      <c r="O12" s="5"/>
      <c r="P12" s="15"/>
      <c r="Q12" s="15"/>
      <c r="R12" s="15"/>
      <c r="S12" s="388"/>
      <c r="T12" s="15"/>
      <c r="U12" s="276"/>
      <c r="V12" s="11">
        <v>703.2</v>
      </c>
      <c r="W12" s="5"/>
      <c r="X12" s="5">
        <v>814</v>
      </c>
      <c r="Y12" s="179" t="s">
        <v>110</v>
      </c>
    </row>
    <row r="13" spans="1:26" x14ac:dyDescent="0.25">
      <c r="A13" s="390" t="s">
        <v>166</v>
      </c>
      <c r="B13" s="386"/>
      <c r="C13" s="327">
        <v>45628</v>
      </c>
      <c r="D13" s="386"/>
      <c r="E13" s="391"/>
      <c r="F13" s="391"/>
      <c r="G13" s="386" t="s">
        <v>96</v>
      </c>
      <c r="H13" s="391" t="s">
        <v>170</v>
      </c>
      <c r="I13" s="312">
        <v>2500</v>
      </c>
      <c r="J13" s="391"/>
      <c r="K13" s="391"/>
      <c r="L13" s="391"/>
      <c r="M13" s="391"/>
      <c r="N13" s="391">
        <v>300</v>
      </c>
      <c r="O13" s="391"/>
      <c r="P13" s="391"/>
      <c r="Q13" s="391"/>
      <c r="R13" s="391"/>
      <c r="S13" s="327"/>
      <c r="T13" s="391"/>
      <c r="U13" s="329">
        <v>30</v>
      </c>
      <c r="V13" s="11">
        <v>300</v>
      </c>
      <c r="W13" s="329"/>
      <c r="X13" s="329">
        <f>2500-300</f>
        <v>2200</v>
      </c>
      <c r="Y13" s="311">
        <v>31991288601</v>
      </c>
    </row>
    <row r="14" spans="1:26" x14ac:dyDescent="0.25">
      <c r="A14" s="340" t="s">
        <v>76</v>
      </c>
      <c r="B14" s="2"/>
      <c r="C14" s="14">
        <v>45566</v>
      </c>
      <c r="D14" s="1"/>
      <c r="E14" s="15"/>
      <c r="F14" s="15"/>
      <c r="G14" s="2" t="s">
        <v>217</v>
      </c>
      <c r="H14" s="2" t="s">
        <v>171</v>
      </c>
      <c r="I14" s="389">
        <v>1634.96</v>
      </c>
      <c r="J14" s="392"/>
      <c r="K14" s="15"/>
      <c r="L14" s="15"/>
      <c r="M14" s="15"/>
      <c r="N14" s="15"/>
      <c r="O14" s="4"/>
      <c r="P14" s="15"/>
      <c r="Q14" s="15"/>
      <c r="R14" s="15"/>
      <c r="S14" s="388"/>
      <c r="T14" s="15"/>
      <c r="U14" s="276"/>
      <c r="V14" s="11"/>
      <c r="W14" s="276"/>
      <c r="X14" s="276">
        <v>1412</v>
      </c>
      <c r="Y14" s="2">
        <v>31982078680</v>
      </c>
    </row>
    <row r="15" spans="1:26" ht="14.25" customHeight="1" x14ac:dyDescent="0.25">
      <c r="A15" s="339" t="s">
        <v>167</v>
      </c>
      <c r="B15" s="311"/>
      <c r="C15" s="393">
        <v>45980</v>
      </c>
      <c r="D15" s="327"/>
      <c r="E15" s="301"/>
      <c r="F15" s="301"/>
      <c r="G15" s="311" t="s">
        <v>104</v>
      </c>
      <c r="H15" s="311" t="s">
        <v>74</v>
      </c>
      <c r="I15" s="312">
        <v>1758</v>
      </c>
      <c r="J15" s="394"/>
      <c r="K15" s="301"/>
      <c r="L15" s="301"/>
      <c r="M15" s="301"/>
      <c r="N15" s="301">
        <v>703.2</v>
      </c>
      <c r="O15" s="386"/>
      <c r="P15" s="301"/>
      <c r="Q15" s="301"/>
      <c r="R15" s="301"/>
      <c r="S15" s="326" t="s">
        <v>247</v>
      </c>
      <c r="T15" s="301"/>
      <c r="U15" s="329">
        <v>30</v>
      </c>
      <c r="V15" s="11">
        <f>703.2-U15</f>
        <v>673.2</v>
      </c>
      <c r="W15" s="329"/>
      <c r="X15" s="329">
        <f>1758/30*27-703.2-105.48</f>
        <v>773.52</v>
      </c>
      <c r="Y15" s="311">
        <v>14760536698</v>
      </c>
      <c r="Z15">
        <f>1758*6%</f>
        <v>105.47999999999999</v>
      </c>
    </row>
    <row r="16" spans="1:26" x14ac:dyDescent="0.25">
      <c r="A16" s="342" t="s">
        <v>168</v>
      </c>
      <c r="B16" s="311"/>
      <c r="C16" s="393">
        <v>45723</v>
      </c>
      <c r="D16" s="327"/>
      <c r="E16" s="301"/>
      <c r="F16" s="301"/>
      <c r="G16" s="311" t="s">
        <v>236</v>
      </c>
      <c r="H16" s="311" t="s">
        <v>74</v>
      </c>
      <c r="I16" s="312">
        <v>1758</v>
      </c>
      <c r="J16" s="394"/>
      <c r="K16" s="301"/>
      <c r="L16" s="301"/>
      <c r="M16" s="301"/>
      <c r="N16" s="301">
        <v>703.2</v>
      </c>
      <c r="O16" s="386"/>
      <c r="P16" s="301"/>
      <c r="Q16" s="301"/>
      <c r="R16" s="301"/>
      <c r="S16" s="326"/>
      <c r="T16" s="301"/>
      <c r="U16" s="329">
        <v>60</v>
      </c>
      <c r="V16" s="11">
        <f>703.2-U16</f>
        <v>643.20000000000005</v>
      </c>
      <c r="W16" s="329"/>
      <c r="X16" s="329">
        <f>1758-703.2-105.48</f>
        <v>949.31999999999994</v>
      </c>
      <c r="Y16" s="311">
        <v>70278968694</v>
      </c>
    </row>
    <row r="17" spans="1:16384" s="310" customFormat="1" ht="13.5" customHeight="1" x14ac:dyDescent="0.2">
      <c r="A17" s="342" t="s">
        <v>201</v>
      </c>
      <c r="B17" s="306"/>
      <c r="C17" s="306"/>
      <c r="D17" s="306"/>
      <c r="E17" s="306"/>
      <c r="F17" s="306"/>
      <c r="G17" s="306" t="s">
        <v>213</v>
      </c>
      <c r="H17" s="306" t="s">
        <v>78</v>
      </c>
      <c r="I17" s="307">
        <v>1518</v>
      </c>
      <c r="J17" s="306"/>
      <c r="K17" s="306"/>
      <c r="L17" s="306"/>
      <c r="M17" s="306"/>
      <c r="N17" s="301">
        <f t="shared" ref="N17:N18" si="2">1518*40%</f>
        <v>607.20000000000005</v>
      </c>
      <c r="O17" s="306"/>
      <c r="P17" s="306"/>
      <c r="Q17" s="306"/>
      <c r="R17" s="306"/>
      <c r="S17" s="326"/>
      <c r="T17" s="306"/>
      <c r="U17" s="308"/>
      <c r="V17" s="11">
        <f>1518*40%</f>
        <v>607.20000000000005</v>
      </c>
      <c r="W17" s="308"/>
      <c r="X17" s="308">
        <f>1518-607.2-91.08</f>
        <v>819.71999999999991</v>
      </c>
      <c r="Y17" s="395">
        <v>31992951142</v>
      </c>
      <c r="Z17" s="322">
        <f>1518*6%</f>
        <v>91.08</v>
      </c>
      <c r="AA17" s="322"/>
      <c r="AB17" s="322"/>
      <c r="AC17" s="322"/>
      <c r="AD17" s="322"/>
      <c r="AE17" s="322"/>
      <c r="AF17" s="322"/>
      <c r="AG17" s="322"/>
      <c r="AH17" s="322"/>
      <c r="AI17" s="322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22"/>
      <c r="AU17" s="322"/>
      <c r="AV17" s="322"/>
      <c r="AW17" s="322"/>
      <c r="AX17" s="322"/>
      <c r="AY17" s="322"/>
      <c r="BP17" s="310" t="s">
        <v>201</v>
      </c>
      <c r="BQ17" s="310" t="s">
        <v>201</v>
      </c>
      <c r="BR17" s="310" t="s">
        <v>201</v>
      </c>
      <c r="BS17" s="310" t="s">
        <v>201</v>
      </c>
      <c r="BT17" s="310" t="s">
        <v>201</v>
      </c>
      <c r="BU17" s="310" t="s">
        <v>201</v>
      </c>
      <c r="BV17" s="310" t="s">
        <v>201</v>
      </c>
      <c r="BW17" s="310" t="s">
        <v>201</v>
      </c>
      <c r="BX17" s="310" t="s">
        <v>201</v>
      </c>
      <c r="BY17" s="310" t="s">
        <v>201</v>
      </c>
      <c r="BZ17" s="310" t="s">
        <v>201</v>
      </c>
      <c r="CA17" s="310" t="s">
        <v>201</v>
      </c>
      <c r="CB17" s="310" t="s">
        <v>201</v>
      </c>
      <c r="CC17" s="310" t="s">
        <v>201</v>
      </c>
      <c r="CD17" s="310" t="s">
        <v>201</v>
      </c>
      <c r="CE17" s="310" t="s">
        <v>201</v>
      </c>
      <c r="CF17" s="310" t="s">
        <v>201</v>
      </c>
      <c r="CG17" s="310" t="s">
        <v>201</v>
      </c>
      <c r="CH17" s="310" t="s">
        <v>201</v>
      </c>
      <c r="CI17" s="310" t="s">
        <v>201</v>
      </c>
      <c r="CJ17" s="310" t="s">
        <v>201</v>
      </c>
      <c r="CK17" s="310" t="s">
        <v>201</v>
      </c>
      <c r="CL17" s="310" t="s">
        <v>201</v>
      </c>
      <c r="CM17" s="310" t="s">
        <v>201</v>
      </c>
      <c r="CN17" s="310" t="s">
        <v>201</v>
      </c>
      <c r="CO17" s="310" t="s">
        <v>201</v>
      </c>
      <c r="CP17" s="310" t="s">
        <v>201</v>
      </c>
      <c r="CQ17" s="310" t="s">
        <v>201</v>
      </c>
      <c r="CR17" s="310" t="s">
        <v>201</v>
      </c>
      <c r="CS17" s="310" t="s">
        <v>201</v>
      </c>
      <c r="CT17" s="310" t="s">
        <v>201</v>
      </c>
      <c r="CU17" s="310" t="s">
        <v>201</v>
      </c>
      <c r="CV17" s="310" t="s">
        <v>201</v>
      </c>
      <c r="CW17" s="310" t="s">
        <v>201</v>
      </c>
      <c r="CX17" s="310" t="s">
        <v>201</v>
      </c>
      <c r="CY17" s="310" t="s">
        <v>201</v>
      </c>
      <c r="CZ17" s="310" t="s">
        <v>201</v>
      </c>
      <c r="DA17" s="310" t="s">
        <v>201</v>
      </c>
      <c r="DB17" s="310" t="s">
        <v>201</v>
      </c>
      <c r="DC17" s="310" t="s">
        <v>201</v>
      </c>
      <c r="DD17" s="310" t="s">
        <v>201</v>
      </c>
      <c r="DE17" s="310" t="s">
        <v>201</v>
      </c>
      <c r="DF17" s="310" t="s">
        <v>201</v>
      </c>
      <c r="DG17" s="310" t="s">
        <v>201</v>
      </c>
      <c r="DH17" s="310" t="s">
        <v>201</v>
      </c>
      <c r="DI17" s="310" t="s">
        <v>201</v>
      </c>
      <c r="DJ17" s="310" t="s">
        <v>201</v>
      </c>
      <c r="DK17" s="310" t="s">
        <v>201</v>
      </c>
      <c r="DL17" s="310" t="s">
        <v>201</v>
      </c>
      <c r="DM17" s="310" t="s">
        <v>201</v>
      </c>
      <c r="DN17" s="310" t="s">
        <v>201</v>
      </c>
      <c r="DO17" s="310" t="s">
        <v>201</v>
      </c>
      <c r="DP17" s="310" t="s">
        <v>201</v>
      </c>
      <c r="DQ17" s="310" t="s">
        <v>201</v>
      </c>
      <c r="DR17" s="310" t="s">
        <v>201</v>
      </c>
      <c r="DS17" s="310" t="s">
        <v>201</v>
      </c>
      <c r="DT17" s="310" t="s">
        <v>201</v>
      </c>
      <c r="DU17" s="310" t="s">
        <v>201</v>
      </c>
      <c r="DV17" s="310" t="s">
        <v>201</v>
      </c>
      <c r="DW17" s="310" t="s">
        <v>201</v>
      </c>
      <c r="DX17" s="310" t="s">
        <v>201</v>
      </c>
      <c r="DY17" s="310" t="s">
        <v>201</v>
      </c>
      <c r="DZ17" s="310" t="s">
        <v>201</v>
      </c>
      <c r="EA17" s="310" t="s">
        <v>201</v>
      </c>
      <c r="EB17" s="310" t="s">
        <v>201</v>
      </c>
      <c r="EC17" s="310" t="s">
        <v>201</v>
      </c>
      <c r="ED17" s="310" t="s">
        <v>201</v>
      </c>
      <c r="EE17" s="310" t="s">
        <v>201</v>
      </c>
      <c r="EF17" s="310" t="s">
        <v>201</v>
      </c>
      <c r="EG17" s="310" t="s">
        <v>201</v>
      </c>
      <c r="EH17" s="310" t="s">
        <v>201</v>
      </c>
      <c r="EI17" s="310" t="s">
        <v>201</v>
      </c>
      <c r="EJ17" s="310" t="s">
        <v>201</v>
      </c>
      <c r="EK17" s="310" t="s">
        <v>201</v>
      </c>
      <c r="EL17" s="310" t="s">
        <v>201</v>
      </c>
      <c r="EM17" s="310" t="s">
        <v>201</v>
      </c>
      <c r="EN17" s="310" t="s">
        <v>201</v>
      </c>
      <c r="EO17" s="310" t="s">
        <v>201</v>
      </c>
      <c r="EP17" s="310" t="s">
        <v>201</v>
      </c>
      <c r="EQ17" s="310" t="s">
        <v>201</v>
      </c>
      <c r="ER17" s="310" t="s">
        <v>201</v>
      </c>
      <c r="ES17" s="310" t="s">
        <v>201</v>
      </c>
      <c r="ET17" s="310" t="s">
        <v>201</v>
      </c>
      <c r="EU17" s="310" t="s">
        <v>201</v>
      </c>
      <c r="EV17" s="310" t="s">
        <v>201</v>
      </c>
      <c r="EW17" s="310" t="s">
        <v>201</v>
      </c>
      <c r="EX17" s="310" t="s">
        <v>201</v>
      </c>
      <c r="EY17" s="310" t="s">
        <v>201</v>
      </c>
      <c r="EZ17" s="310" t="s">
        <v>201</v>
      </c>
      <c r="FA17" s="310" t="s">
        <v>201</v>
      </c>
      <c r="FB17" s="310" t="s">
        <v>201</v>
      </c>
      <c r="FC17" s="310" t="s">
        <v>201</v>
      </c>
      <c r="FD17" s="310" t="s">
        <v>201</v>
      </c>
      <c r="FE17" s="310" t="s">
        <v>201</v>
      </c>
      <c r="FF17" s="310" t="s">
        <v>201</v>
      </c>
      <c r="FG17" s="310" t="s">
        <v>201</v>
      </c>
      <c r="FH17" s="310" t="s">
        <v>201</v>
      </c>
      <c r="FI17" s="310" t="s">
        <v>201</v>
      </c>
      <c r="FJ17" s="310" t="s">
        <v>201</v>
      </c>
      <c r="FK17" s="310" t="s">
        <v>201</v>
      </c>
      <c r="FL17" s="310" t="s">
        <v>201</v>
      </c>
      <c r="FM17" s="310" t="s">
        <v>201</v>
      </c>
      <c r="FN17" s="310" t="s">
        <v>201</v>
      </c>
      <c r="FO17" s="310" t="s">
        <v>201</v>
      </c>
      <c r="FP17" s="310" t="s">
        <v>201</v>
      </c>
      <c r="FQ17" s="310" t="s">
        <v>201</v>
      </c>
      <c r="FR17" s="310" t="s">
        <v>201</v>
      </c>
      <c r="FS17" s="310" t="s">
        <v>201</v>
      </c>
      <c r="FT17" s="310" t="s">
        <v>201</v>
      </c>
      <c r="FU17" s="310" t="s">
        <v>201</v>
      </c>
      <c r="FV17" s="310" t="s">
        <v>201</v>
      </c>
      <c r="FW17" s="310" t="s">
        <v>201</v>
      </c>
      <c r="FX17" s="310" t="s">
        <v>201</v>
      </c>
      <c r="FY17" s="310" t="s">
        <v>201</v>
      </c>
      <c r="FZ17" s="310" t="s">
        <v>201</v>
      </c>
      <c r="GA17" s="310" t="s">
        <v>201</v>
      </c>
      <c r="GB17" s="310" t="s">
        <v>201</v>
      </c>
      <c r="GC17" s="310" t="s">
        <v>201</v>
      </c>
      <c r="GD17" s="310" t="s">
        <v>201</v>
      </c>
      <c r="GE17" s="310" t="s">
        <v>201</v>
      </c>
      <c r="GF17" s="310" t="s">
        <v>201</v>
      </c>
      <c r="GG17" s="310" t="s">
        <v>201</v>
      </c>
      <c r="GH17" s="310" t="s">
        <v>201</v>
      </c>
      <c r="GI17" s="310" t="s">
        <v>201</v>
      </c>
      <c r="GJ17" s="310" t="s">
        <v>201</v>
      </c>
      <c r="GK17" s="310" t="s">
        <v>201</v>
      </c>
      <c r="GL17" s="310" t="s">
        <v>201</v>
      </c>
      <c r="GM17" s="310" t="s">
        <v>201</v>
      </c>
      <c r="GN17" s="310" t="s">
        <v>201</v>
      </c>
      <c r="GO17" s="310" t="s">
        <v>201</v>
      </c>
      <c r="GP17" s="310" t="s">
        <v>201</v>
      </c>
      <c r="GQ17" s="310" t="s">
        <v>201</v>
      </c>
      <c r="GR17" s="310" t="s">
        <v>201</v>
      </c>
      <c r="GS17" s="310" t="s">
        <v>201</v>
      </c>
      <c r="GT17" s="310" t="s">
        <v>201</v>
      </c>
      <c r="GU17" s="310" t="s">
        <v>201</v>
      </c>
      <c r="GV17" s="310" t="s">
        <v>201</v>
      </c>
      <c r="GW17" s="310" t="s">
        <v>201</v>
      </c>
      <c r="GX17" s="310" t="s">
        <v>201</v>
      </c>
      <c r="GY17" s="310" t="s">
        <v>201</v>
      </c>
      <c r="GZ17" s="310" t="s">
        <v>201</v>
      </c>
      <c r="HA17" s="310" t="s">
        <v>201</v>
      </c>
      <c r="HB17" s="310" t="s">
        <v>201</v>
      </c>
      <c r="HC17" s="310" t="s">
        <v>201</v>
      </c>
      <c r="HD17" s="310" t="s">
        <v>201</v>
      </c>
      <c r="HE17" s="310" t="s">
        <v>201</v>
      </c>
      <c r="HF17" s="310" t="s">
        <v>201</v>
      </c>
      <c r="HG17" s="310" t="s">
        <v>201</v>
      </c>
      <c r="HH17" s="310" t="s">
        <v>201</v>
      </c>
      <c r="HI17" s="310" t="s">
        <v>201</v>
      </c>
      <c r="HJ17" s="310" t="s">
        <v>201</v>
      </c>
      <c r="HK17" s="310" t="s">
        <v>201</v>
      </c>
      <c r="HL17" s="310" t="s">
        <v>201</v>
      </c>
      <c r="HM17" s="310" t="s">
        <v>201</v>
      </c>
      <c r="HN17" s="310" t="s">
        <v>201</v>
      </c>
      <c r="HO17" s="310" t="s">
        <v>201</v>
      </c>
      <c r="HP17" s="310" t="s">
        <v>201</v>
      </c>
      <c r="HQ17" s="310" t="s">
        <v>201</v>
      </c>
      <c r="HR17" s="310" t="s">
        <v>201</v>
      </c>
      <c r="HS17" s="310" t="s">
        <v>201</v>
      </c>
      <c r="HT17" s="310" t="s">
        <v>201</v>
      </c>
      <c r="HU17" s="310" t="s">
        <v>201</v>
      </c>
      <c r="HV17" s="310" t="s">
        <v>201</v>
      </c>
      <c r="HW17" s="310" t="s">
        <v>201</v>
      </c>
      <c r="HX17" s="310" t="s">
        <v>201</v>
      </c>
      <c r="HY17" s="310" t="s">
        <v>201</v>
      </c>
      <c r="HZ17" s="310" t="s">
        <v>201</v>
      </c>
      <c r="IA17" s="310" t="s">
        <v>201</v>
      </c>
      <c r="IB17" s="310" t="s">
        <v>201</v>
      </c>
      <c r="IC17" s="310" t="s">
        <v>201</v>
      </c>
      <c r="ID17" s="310" t="s">
        <v>201</v>
      </c>
      <c r="IE17" s="310" t="s">
        <v>201</v>
      </c>
      <c r="IF17" s="310" t="s">
        <v>201</v>
      </c>
      <c r="IG17" s="310" t="s">
        <v>201</v>
      </c>
      <c r="IH17" s="310" t="s">
        <v>201</v>
      </c>
      <c r="II17" s="310" t="s">
        <v>201</v>
      </c>
      <c r="IJ17" s="310" t="s">
        <v>201</v>
      </c>
      <c r="IK17" s="310" t="s">
        <v>201</v>
      </c>
      <c r="IL17" s="310" t="s">
        <v>201</v>
      </c>
      <c r="IM17" s="310" t="s">
        <v>201</v>
      </c>
      <c r="IN17" s="310" t="s">
        <v>201</v>
      </c>
      <c r="IO17" s="310" t="s">
        <v>201</v>
      </c>
      <c r="IP17" s="310" t="s">
        <v>201</v>
      </c>
      <c r="IQ17" s="310" t="s">
        <v>201</v>
      </c>
      <c r="IR17" s="310" t="s">
        <v>201</v>
      </c>
      <c r="IS17" s="310" t="s">
        <v>201</v>
      </c>
      <c r="IT17" s="310" t="s">
        <v>201</v>
      </c>
      <c r="IU17" s="310" t="s">
        <v>201</v>
      </c>
      <c r="IV17" s="310" t="s">
        <v>201</v>
      </c>
      <c r="IW17" s="310" t="s">
        <v>201</v>
      </c>
      <c r="IX17" s="310" t="s">
        <v>201</v>
      </c>
      <c r="IY17" s="310" t="s">
        <v>201</v>
      </c>
      <c r="IZ17" s="310" t="s">
        <v>201</v>
      </c>
      <c r="JA17" s="310" t="s">
        <v>201</v>
      </c>
      <c r="JB17" s="310" t="s">
        <v>201</v>
      </c>
      <c r="JC17" s="310" t="s">
        <v>201</v>
      </c>
      <c r="JD17" s="310" t="s">
        <v>201</v>
      </c>
      <c r="JE17" s="310" t="s">
        <v>201</v>
      </c>
      <c r="JF17" s="310" t="s">
        <v>201</v>
      </c>
      <c r="JG17" s="310" t="s">
        <v>201</v>
      </c>
      <c r="JH17" s="310" t="s">
        <v>201</v>
      </c>
      <c r="JI17" s="310" t="s">
        <v>201</v>
      </c>
      <c r="JJ17" s="310" t="s">
        <v>201</v>
      </c>
      <c r="JK17" s="310" t="s">
        <v>201</v>
      </c>
      <c r="JL17" s="310" t="s">
        <v>201</v>
      </c>
      <c r="JM17" s="310" t="s">
        <v>201</v>
      </c>
      <c r="JN17" s="310" t="s">
        <v>201</v>
      </c>
      <c r="JO17" s="310" t="s">
        <v>201</v>
      </c>
      <c r="JP17" s="310" t="s">
        <v>201</v>
      </c>
      <c r="JQ17" s="310" t="s">
        <v>201</v>
      </c>
      <c r="JR17" s="310" t="s">
        <v>201</v>
      </c>
      <c r="JS17" s="310" t="s">
        <v>201</v>
      </c>
      <c r="JT17" s="310" t="s">
        <v>201</v>
      </c>
      <c r="JU17" s="310" t="s">
        <v>201</v>
      </c>
      <c r="JV17" s="310" t="s">
        <v>201</v>
      </c>
      <c r="JW17" s="310" t="s">
        <v>201</v>
      </c>
      <c r="JX17" s="310" t="s">
        <v>201</v>
      </c>
      <c r="JY17" s="310" t="s">
        <v>201</v>
      </c>
      <c r="JZ17" s="310" t="s">
        <v>201</v>
      </c>
      <c r="KA17" s="310" t="s">
        <v>201</v>
      </c>
      <c r="KB17" s="310" t="s">
        <v>201</v>
      </c>
      <c r="KC17" s="310" t="s">
        <v>201</v>
      </c>
      <c r="KD17" s="310" t="s">
        <v>201</v>
      </c>
      <c r="KE17" s="310" t="s">
        <v>201</v>
      </c>
      <c r="KF17" s="310" t="s">
        <v>201</v>
      </c>
      <c r="KG17" s="310" t="s">
        <v>201</v>
      </c>
      <c r="KH17" s="310" t="s">
        <v>201</v>
      </c>
      <c r="KI17" s="310" t="s">
        <v>201</v>
      </c>
      <c r="KJ17" s="310" t="s">
        <v>201</v>
      </c>
      <c r="KK17" s="310" t="s">
        <v>201</v>
      </c>
      <c r="KL17" s="310" t="s">
        <v>201</v>
      </c>
      <c r="KM17" s="310" t="s">
        <v>201</v>
      </c>
      <c r="KN17" s="310" t="s">
        <v>201</v>
      </c>
      <c r="KO17" s="310" t="s">
        <v>201</v>
      </c>
      <c r="KP17" s="310" t="s">
        <v>201</v>
      </c>
      <c r="KQ17" s="310" t="s">
        <v>201</v>
      </c>
      <c r="KR17" s="310" t="s">
        <v>201</v>
      </c>
      <c r="KS17" s="310" t="s">
        <v>201</v>
      </c>
      <c r="KT17" s="310" t="s">
        <v>201</v>
      </c>
      <c r="KU17" s="310" t="s">
        <v>201</v>
      </c>
      <c r="KV17" s="310" t="s">
        <v>201</v>
      </c>
      <c r="KW17" s="310" t="s">
        <v>201</v>
      </c>
      <c r="KX17" s="310" t="s">
        <v>201</v>
      </c>
      <c r="KY17" s="310" t="s">
        <v>201</v>
      </c>
      <c r="KZ17" s="310" t="s">
        <v>201</v>
      </c>
      <c r="LA17" s="310" t="s">
        <v>201</v>
      </c>
      <c r="LB17" s="310" t="s">
        <v>201</v>
      </c>
      <c r="LC17" s="310" t="s">
        <v>201</v>
      </c>
      <c r="LD17" s="310" t="s">
        <v>201</v>
      </c>
      <c r="LE17" s="310" t="s">
        <v>201</v>
      </c>
      <c r="LF17" s="310" t="s">
        <v>201</v>
      </c>
      <c r="LG17" s="310" t="s">
        <v>201</v>
      </c>
      <c r="LH17" s="310" t="s">
        <v>201</v>
      </c>
      <c r="LI17" s="310" t="s">
        <v>201</v>
      </c>
      <c r="LJ17" s="310" t="s">
        <v>201</v>
      </c>
      <c r="LK17" s="310" t="s">
        <v>201</v>
      </c>
      <c r="LL17" s="310" t="s">
        <v>201</v>
      </c>
      <c r="LM17" s="310" t="s">
        <v>201</v>
      </c>
      <c r="LN17" s="310" t="s">
        <v>201</v>
      </c>
      <c r="LO17" s="310" t="s">
        <v>201</v>
      </c>
      <c r="LP17" s="310" t="s">
        <v>201</v>
      </c>
      <c r="LQ17" s="310" t="s">
        <v>201</v>
      </c>
      <c r="LR17" s="310" t="s">
        <v>201</v>
      </c>
      <c r="LS17" s="310" t="s">
        <v>201</v>
      </c>
      <c r="LT17" s="310" t="s">
        <v>201</v>
      </c>
      <c r="LU17" s="310" t="s">
        <v>201</v>
      </c>
      <c r="LV17" s="310" t="s">
        <v>201</v>
      </c>
      <c r="LW17" s="310" t="s">
        <v>201</v>
      </c>
      <c r="LX17" s="310" t="s">
        <v>201</v>
      </c>
      <c r="LY17" s="310" t="s">
        <v>201</v>
      </c>
      <c r="LZ17" s="310" t="s">
        <v>201</v>
      </c>
      <c r="MA17" s="310" t="s">
        <v>201</v>
      </c>
      <c r="MB17" s="310" t="s">
        <v>201</v>
      </c>
      <c r="MC17" s="310" t="s">
        <v>201</v>
      </c>
      <c r="MD17" s="310" t="s">
        <v>201</v>
      </c>
      <c r="ME17" s="310" t="s">
        <v>201</v>
      </c>
      <c r="MF17" s="310" t="s">
        <v>201</v>
      </c>
      <c r="MG17" s="310" t="s">
        <v>201</v>
      </c>
      <c r="MH17" s="310" t="s">
        <v>201</v>
      </c>
      <c r="MI17" s="310" t="s">
        <v>201</v>
      </c>
      <c r="MJ17" s="310" t="s">
        <v>201</v>
      </c>
      <c r="MK17" s="310" t="s">
        <v>201</v>
      </c>
      <c r="ML17" s="310" t="s">
        <v>201</v>
      </c>
      <c r="MM17" s="310" t="s">
        <v>201</v>
      </c>
      <c r="MN17" s="310" t="s">
        <v>201</v>
      </c>
      <c r="MO17" s="310" t="s">
        <v>201</v>
      </c>
      <c r="MP17" s="310" t="s">
        <v>201</v>
      </c>
      <c r="MQ17" s="310" t="s">
        <v>201</v>
      </c>
      <c r="MR17" s="310" t="s">
        <v>201</v>
      </c>
      <c r="MS17" s="310" t="s">
        <v>201</v>
      </c>
      <c r="MT17" s="310" t="s">
        <v>201</v>
      </c>
      <c r="MU17" s="310" t="s">
        <v>201</v>
      </c>
      <c r="MV17" s="310" t="s">
        <v>201</v>
      </c>
      <c r="MW17" s="310" t="s">
        <v>201</v>
      </c>
      <c r="MX17" s="310" t="s">
        <v>201</v>
      </c>
      <c r="MY17" s="310" t="s">
        <v>201</v>
      </c>
      <c r="MZ17" s="310" t="s">
        <v>201</v>
      </c>
      <c r="NA17" s="310" t="s">
        <v>201</v>
      </c>
      <c r="NB17" s="310" t="s">
        <v>201</v>
      </c>
      <c r="NC17" s="310" t="s">
        <v>201</v>
      </c>
      <c r="ND17" s="310" t="s">
        <v>201</v>
      </c>
      <c r="NE17" s="310" t="s">
        <v>201</v>
      </c>
      <c r="NF17" s="310" t="s">
        <v>201</v>
      </c>
      <c r="NG17" s="310" t="s">
        <v>201</v>
      </c>
      <c r="NH17" s="310" t="s">
        <v>201</v>
      </c>
      <c r="NI17" s="310" t="s">
        <v>201</v>
      </c>
      <c r="NJ17" s="310" t="s">
        <v>201</v>
      </c>
      <c r="NK17" s="310" t="s">
        <v>201</v>
      </c>
      <c r="NL17" s="310" t="s">
        <v>201</v>
      </c>
      <c r="NM17" s="310" t="s">
        <v>201</v>
      </c>
      <c r="NN17" s="310" t="s">
        <v>201</v>
      </c>
      <c r="NO17" s="310" t="s">
        <v>201</v>
      </c>
      <c r="NP17" s="310" t="s">
        <v>201</v>
      </c>
      <c r="NQ17" s="310" t="s">
        <v>201</v>
      </c>
      <c r="NR17" s="310" t="s">
        <v>201</v>
      </c>
      <c r="NS17" s="310" t="s">
        <v>201</v>
      </c>
      <c r="NT17" s="310" t="s">
        <v>201</v>
      </c>
      <c r="NU17" s="310" t="s">
        <v>201</v>
      </c>
      <c r="NV17" s="310" t="s">
        <v>201</v>
      </c>
      <c r="NW17" s="310" t="s">
        <v>201</v>
      </c>
      <c r="NX17" s="310" t="s">
        <v>201</v>
      </c>
      <c r="NY17" s="310" t="s">
        <v>201</v>
      </c>
      <c r="NZ17" s="310" t="s">
        <v>201</v>
      </c>
      <c r="OA17" s="310" t="s">
        <v>201</v>
      </c>
      <c r="OB17" s="310" t="s">
        <v>201</v>
      </c>
      <c r="OC17" s="310" t="s">
        <v>201</v>
      </c>
      <c r="OD17" s="310" t="s">
        <v>201</v>
      </c>
      <c r="OE17" s="310" t="s">
        <v>201</v>
      </c>
      <c r="OF17" s="310" t="s">
        <v>201</v>
      </c>
      <c r="OG17" s="310" t="s">
        <v>201</v>
      </c>
      <c r="OH17" s="310" t="s">
        <v>201</v>
      </c>
      <c r="OI17" s="310" t="s">
        <v>201</v>
      </c>
      <c r="OJ17" s="310" t="s">
        <v>201</v>
      </c>
      <c r="OK17" s="310" t="s">
        <v>201</v>
      </c>
      <c r="OL17" s="310" t="s">
        <v>201</v>
      </c>
      <c r="OM17" s="310" t="s">
        <v>201</v>
      </c>
      <c r="ON17" s="310" t="s">
        <v>201</v>
      </c>
      <c r="OO17" s="310" t="s">
        <v>201</v>
      </c>
      <c r="OP17" s="310" t="s">
        <v>201</v>
      </c>
      <c r="OQ17" s="310" t="s">
        <v>201</v>
      </c>
      <c r="OR17" s="310" t="s">
        <v>201</v>
      </c>
      <c r="OS17" s="310" t="s">
        <v>201</v>
      </c>
      <c r="OT17" s="310" t="s">
        <v>201</v>
      </c>
      <c r="OU17" s="310" t="s">
        <v>201</v>
      </c>
      <c r="OV17" s="310" t="s">
        <v>201</v>
      </c>
      <c r="OW17" s="310" t="s">
        <v>201</v>
      </c>
      <c r="OX17" s="310" t="s">
        <v>201</v>
      </c>
      <c r="OY17" s="310" t="s">
        <v>201</v>
      </c>
      <c r="OZ17" s="310" t="s">
        <v>201</v>
      </c>
      <c r="PA17" s="310" t="s">
        <v>201</v>
      </c>
      <c r="PB17" s="310" t="s">
        <v>201</v>
      </c>
      <c r="PC17" s="310" t="s">
        <v>201</v>
      </c>
      <c r="PD17" s="310" t="s">
        <v>201</v>
      </c>
      <c r="PE17" s="310" t="s">
        <v>201</v>
      </c>
      <c r="PF17" s="310" t="s">
        <v>201</v>
      </c>
      <c r="PG17" s="310" t="s">
        <v>201</v>
      </c>
      <c r="PH17" s="310" t="s">
        <v>201</v>
      </c>
      <c r="PI17" s="310" t="s">
        <v>201</v>
      </c>
      <c r="PJ17" s="310" t="s">
        <v>201</v>
      </c>
      <c r="PK17" s="310" t="s">
        <v>201</v>
      </c>
      <c r="PL17" s="310" t="s">
        <v>201</v>
      </c>
      <c r="PM17" s="310" t="s">
        <v>201</v>
      </c>
      <c r="PN17" s="310" t="s">
        <v>201</v>
      </c>
      <c r="PO17" s="310" t="s">
        <v>201</v>
      </c>
      <c r="PP17" s="310" t="s">
        <v>201</v>
      </c>
      <c r="PQ17" s="310" t="s">
        <v>201</v>
      </c>
      <c r="PR17" s="310" t="s">
        <v>201</v>
      </c>
      <c r="PS17" s="310" t="s">
        <v>201</v>
      </c>
      <c r="PT17" s="310" t="s">
        <v>201</v>
      </c>
      <c r="PU17" s="310" t="s">
        <v>201</v>
      </c>
      <c r="PV17" s="310" t="s">
        <v>201</v>
      </c>
      <c r="PW17" s="310" t="s">
        <v>201</v>
      </c>
      <c r="PX17" s="310" t="s">
        <v>201</v>
      </c>
      <c r="PY17" s="310" t="s">
        <v>201</v>
      </c>
      <c r="PZ17" s="310" t="s">
        <v>201</v>
      </c>
      <c r="QA17" s="310" t="s">
        <v>201</v>
      </c>
      <c r="QB17" s="310" t="s">
        <v>201</v>
      </c>
      <c r="QC17" s="310" t="s">
        <v>201</v>
      </c>
      <c r="QD17" s="310" t="s">
        <v>201</v>
      </c>
      <c r="QE17" s="310" t="s">
        <v>201</v>
      </c>
      <c r="QF17" s="310" t="s">
        <v>201</v>
      </c>
      <c r="QG17" s="310" t="s">
        <v>201</v>
      </c>
      <c r="QH17" s="310" t="s">
        <v>201</v>
      </c>
      <c r="QI17" s="310" t="s">
        <v>201</v>
      </c>
      <c r="QJ17" s="310" t="s">
        <v>201</v>
      </c>
      <c r="QK17" s="310" t="s">
        <v>201</v>
      </c>
      <c r="QL17" s="310" t="s">
        <v>201</v>
      </c>
      <c r="QM17" s="310" t="s">
        <v>201</v>
      </c>
      <c r="QN17" s="310" t="s">
        <v>201</v>
      </c>
      <c r="QO17" s="310" t="s">
        <v>201</v>
      </c>
      <c r="QP17" s="310" t="s">
        <v>201</v>
      </c>
      <c r="QQ17" s="310" t="s">
        <v>201</v>
      </c>
      <c r="QR17" s="310" t="s">
        <v>201</v>
      </c>
      <c r="QS17" s="310" t="s">
        <v>201</v>
      </c>
      <c r="QT17" s="310" t="s">
        <v>201</v>
      </c>
      <c r="QU17" s="310" t="s">
        <v>201</v>
      </c>
      <c r="QV17" s="310" t="s">
        <v>201</v>
      </c>
      <c r="QW17" s="310" t="s">
        <v>201</v>
      </c>
      <c r="QX17" s="310" t="s">
        <v>201</v>
      </c>
      <c r="QY17" s="310" t="s">
        <v>201</v>
      </c>
      <c r="QZ17" s="310" t="s">
        <v>201</v>
      </c>
      <c r="RA17" s="310" t="s">
        <v>201</v>
      </c>
      <c r="RB17" s="310" t="s">
        <v>201</v>
      </c>
      <c r="RC17" s="310" t="s">
        <v>201</v>
      </c>
      <c r="RD17" s="310" t="s">
        <v>201</v>
      </c>
      <c r="RE17" s="310" t="s">
        <v>201</v>
      </c>
      <c r="RF17" s="310" t="s">
        <v>201</v>
      </c>
      <c r="RG17" s="310" t="s">
        <v>201</v>
      </c>
      <c r="RH17" s="310" t="s">
        <v>201</v>
      </c>
      <c r="RI17" s="310" t="s">
        <v>201</v>
      </c>
      <c r="RJ17" s="310" t="s">
        <v>201</v>
      </c>
      <c r="RK17" s="310" t="s">
        <v>201</v>
      </c>
      <c r="RL17" s="310" t="s">
        <v>201</v>
      </c>
      <c r="RM17" s="310" t="s">
        <v>201</v>
      </c>
      <c r="RN17" s="310" t="s">
        <v>201</v>
      </c>
      <c r="RO17" s="310" t="s">
        <v>201</v>
      </c>
      <c r="RP17" s="310" t="s">
        <v>201</v>
      </c>
      <c r="RQ17" s="310" t="s">
        <v>201</v>
      </c>
      <c r="RR17" s="310" t="s">
        <v>201</v>
      </c>
      <c r="RS17" s="310" t="s">
        <v>201</v>
      </c>
      <c r="RT17" s="310" t="s">
        <v>201</v>
      </c>
      <c r="RU17" s="310" t="s">
        <v>201</v>
      </c>
      <c r="RV17" s="310" t="s">
        <v>201</v>
      </c>
      <c r="RW17" s="310" t="s">
        <v>201</v>
      </c>
      <c r="RX17" s="310" t="s">
        <v>201</v>
      </c>
      <c r="RY17" s="310" t="s">
        <v>201</v>
      </c>
      <c r="RZ17" s="310" t="s">
        <v>201</v>
      </c>
      <c r="SA17" s="310" t="s">
        <v>201</v>
      </c>
      <c r="SB17" s="310" t="s">
        <v>201</v>
      </c>
      <c r="SC17" s="310" t="s">
        <v>201</v>
      </c>
      <c r="SD17" s="310" t="s">
        <v>201</v>
      </c>
      <c r="SE17" s="310" t="s">
        <v>201</v>
      </c>
      <c r="SF17" s="310" t="s">
        <v>201</v>
      </c>
      <c r="SG17" s="310" t="s">
        <v>201</v>
      </c>
      <c r="SH17" s="310" t="s">
        <v>201</v>
      </c>
      <c r="SI17" s="310" t="s">
        <v>201</v>
      </c>
      <c r="SJ17" s="310" t="s">
        <v>201</v>
      </c>
      <c r="SK17" s="310" t="s">
        <v>201</v>
      </c>
      <c r="SL17" s="310" t="s">
        <v>201</v>
      </c>
      <c r="SM17" s="310" t="s">
        <v>201</v>
      </c>
      <c r="SN17" s="310" t="s">
        <v>201</v>
      </c>
      <c r="SO17" s="310" t="s">
        <v>201</v>
      </c>
      <c r="SP17" s="310" t="s">
        <v>201</v>
      </c>
      <c r="SQ17" s="310" t="s">
        <v>201</v>
      </c>
      <c r="SR17" s="310" t="s">
        <v>201</v>
      </c>
      <c r="SS17" s="310" t="s">
        <v>201</v>
      </c>
      <c r="ST17" s="310" t="s">
        <v>201</v>
      </c>
      <c r="SU17" s="310" t="s">
        <v>201</v>
      </c>
      <c r="SV17" s="310" t="s">
        <v>201</v>
      </c>
      <c r="SW17" s="310" t="s">
        <v>201</v>
      </c>
      <c r="SX17" s="310" t="s">
        <v>201</v>
      </c>
      <c r="SY17" s="310" t="s">
        <v>201</v>
      </c>
      <c r="SZ17" s="310" t="s">
        <v>201</v>
      </c>
      <c r="TA17" s="310" t="s">
        <v>201</v>
      </c>
      <c r="TB17" s="310" t="s">
        <v>201</v>
      </c>
      <c r="TC17" s="310" t="s">
        <v>201</v>
      </c>
      <c r="TD17" s="310" t="s">
        <v>201</v>
      </c>
      <c r="TE17" s="310" t="s">
        <v>201</v>
      </c>
      <c r="TF17" s="310" t="s">
        <v>201</v>
      </c>
      <c r="TG17" s="310" t="s">
        <v>201</v>
      </c>
      <c r="TH17" s="310" t="s">
        <v>201</v>
      </c>
      <c r="TI17" s="310" t="s">
        <v>201</v>
      </c>
      <c r="TJ17" s="310" t="s">
        <v>201</v>
      </c>
      <c r="TK17" s="310" t="s">
        <v>201</v>
      </c>
      <c r="TL17" s="310" t="s">
        <v>201</v>
      </c>
      <c r="TM17" s="310" t="s">
        <v>201</v>
      </c>
      <c r="TN17" s="310" t="s">
        <v>201</v>
      </c>
      <c r="TO17" s="310" t="s">
        <v>201</v>
      </c>
      <c r="TP17" s="310" t="s">
        <v>201</v>
      </c>
      <c r="TQ17" s="310" t="s">
        <v>201</v>
      </c>
      <c r="TR17" s="310" t="s">
        <v>201</v>
      </c>
      <c r="TS17" s="310" t="s">
        <v>201</v>
      </c>
      <c r="TT17" s="310" t="s">
        <v>201</v>
      </c>
      <c r="TU17" s="310" t="s">
        <v>201</v>
      </c>
      <c r="TV17" s="310" t="s">
        <v>201</v>
      </c>
      <c r="TW17" s="310" t="s">
        <v>201</v>
      </c>
      <c r="TX17" s="310" t="s">
        <v>201</v>
      </c>
      <c r="TY17" s="310" t="s">
        <v>201</v>
      </c>
      <c r="TZ17" s="310" t="s">
        <v>201</v>
      </c>
      <c r="UA17" s="310" t="s">
        <v>201</v>
      </c>
      <c r="UB17" s="310" t="s">
        <v>201</v>
      </c>
      <c r="UC17" s="310" t="s">
        <v>201</v>
      </c>
      <c r="UD17" s="310" t="s">
        <v>201</v>
      </c>
      <c r="UE17" s="310" t="s">
        <v>201</v>
      </c>
      <c r="UF17" s="310" t="s">
        <v>201</v>
      </c>
      <c r="UG17" s="310" t="s">
        <v>201</v>
      </c>
      <c r="UH17" s="310" t="s">
        <v>201</v>
      </c>
      <c r="UI17" s="310" t="s">
        <v>201</v>
      </c>
      <c r="UJ17" s="310" t="s">
        <v>201</v>
      </c>
      <c r="UK17" s="310" t="s">
        <v>201</v>
      </c>
      <c r="UL17" s="310" t="s">
        <v>201</v>
      </c>
      <c r="UM17" s="310" t="s">
        <v>201</v>
      </c>
      <c r="UN17" s="310" t="s">
        <v>201</v>
      </c>
      <c r="UO17" s="310" t="s">
        <v>201</v>
      </c>
      <c r="UP17" s="310" t="s">
        <v>201</v>
      </c>
      <c r="UQ17" s="310" t="s">
        <v>201</v>
      </c>
      <c r="UR17" s="310" t="s">
        <v>201</v>
      </c>
      <c r="US17" s="310" t="s">
        <v>201</v>
      </c>
      <c r="UT17" s="310" t="s">
        <v>201</v>
      </c>
      <c r="UU17" s="310" t="s">
        <v>201</v>
      </c>
      <c r="UV17" s="310" t="s">
        <v>201</v>
      </c>
      <c r="UW17" s="310" t="s">
        <v>201</v>
      </c>
      <c r="UX17" s="310" t="s">
        <v>201</v>
      </c>
      <c r="UY17" s="310" t="s">
        <v>201</v>
      </c>
      <c r="UZ17" s="310" t="s">
        <v>201</v>
      </c>
      <c r="VA17" s="310" t="s">
        <v>201</v>
      </c>
      <c r="VB17" s="310" t="s">
        <v>201</v>
      </c>
      <c r="VC17" s="310" t="s">
        <v>201</v>
      </c>
      <c r="VD17" s="310" t="s">
        <v>201</v>
      </c>
      <c r="VE17" s="310" t="s">
        <v>201</v>
      </c>
      <c r="VF17" s="310" t="s">
        <v>201</v>
      </c>
      <c r="VG17" s="310" t="s">
        <v>201</v>
      </c>
      <c r="VH17" s="310" t="s">
        <v>201</v>
      </c>
      <c r="VI17" s="310" t="s">
        <v>201</v>
      </c>
      <c r="VJ17" s="310" t="s">
        <v>201</v>
      </c>
      <c r="VK17" s="310" t="s">
        <v>201</v>
      </c>
      <c r="VL17" s="310" t="s">
        <v>201</v>
      </c>
      <c r="VM17" s="310" t="s">
        <v>201</v>
      </c>
      <c r="VN17" s="310" t="s">
        <v>201</v>
      </c>
      <c r="VO17" s="310" t="s">
        <v>201</v>
      </c>
      <c r="VP17" s="310" t="s">
        <v>201</v>
      </c>
      <c r="VQ17" s="310" t="s">
        <v>201</v>
      </c>
      <c r="VR17" s="310" t="s">
        <v>201</v>
      </c>
      <c r="VS17" s="310" t="s">
        <v>201</v>
      </c>
      <c r="VT17" s="310" t="s">
        <v>201</v>
      </c>
      <c r="VU17" s="310" t="s">
        <v>201</v>
      </c>
      <c r="VV17" s="310" t="s">
        <v>201</v>
      </c>
      <c r="VW17" s="310" t="s">
        <v>201</v>
      </c>
      <c r="VX17" s="310" t="s">
        <v>201</v>
      </c>
      <c r="VY17" s="310" t="s">
        <v>201</v>
      </c>
      <c r="VZ17" s="310" t="s">
        <v>201</v>
      </c>
      <c r="WA17" s="310" t="s">
        <v>201</v>
      </c>
      <c r="WB17" s="310" t="s">
        <v>201</v>
      </c>
      <c r="WC17" s="310" t="s">
        <v>201</v>
      </c>
      <c r="WD17" s="310" t="s">
        <v>201</v>
      </c>
      <c r="WE17" s="310" t="s">
        <v>201</v>
      </c>
      <c r="WF17" s="310" t="s">
        <v>201</v>
      </c>
      <c r="WG17" s="310" t="s">
        <v>201</v>
      </c>
      <c r="WH17" s="310" t="s">
        <v>201</v>
      </c>
      <c r="WI17" s="310" t="s">
        <v>201</v>
      </c>
      <c r="WJ17" s="310" t="s">
        <v>201</v>
      </c>
      <c r="WK17" s="310" t="s">
        <v>201</v>
      </c>
      <c r="WL17" s="310" t="s">
        <v>201</v>
      </c>
      <c r="WM17" s="310" t="s">
        <v>201</v>
      </c>
      <c r="WN17" s="310" t="s">
        <v>201</v>
      </c>
      <c r="WO17" s="310" t="s">
        <v>201</v>
      </c>
      <c r="WP17" s="310" t="s">
        <v>201</v>
      </c>
      <c r="WQ17" s="310" t="s">
        <v>201</v>
      </c>
      <c r="WR17" s="310" t="s">
        <v>201</v>
      </c>
      <c r="WS17" s="310" t="s">
        <v>201</v>
      </c>
      <c r="WT17" s="310" t="s">
        <v>201</v>
      </c>
      <c r="WU17" s="310" t="s">
        <v>201</v>
      </c>
      <c r="WV17" s="310" t="s">
        <v>201</v>
      </c>
      <c r="WW17" s="310" t="s">
        <v>201</v>
      </c>
      <c r="WX17" s="310" t="s">
        <v>201</v>
      </c>
      <c r="WY17" s="310" t="s">
        <v>201</v>
      </c>
      <c r="WZ17" s="310" t="s">
        <v>201</v>
      </c>
      <c r="XA17" s="310" t="s">
        <v>201</v>
      </c>
      <c r="XB17" s="310" t="s">
        <v>201</v>
      </c>
      <c r="XC17" s="310" t="s">
        <v>201</v>
      </c>
      <c r="XD17" s="310" t="s">
        <v>201</v>
      </c>
      <c r="XE17" s="310" t="s">
        <v>201</v>
      </c>
      <c r="XF17" s="310" t="s">
        <v>201</v>
      </c>
      <c r="XG17" s="310" t="s">
        <v>201</v>
      </c>
      <c r="XH17" s="310" t="s">
        <v>201</v>
      </c>
      <c r="XI17" s="310" t="s">
        <v>201</v>
      </c>
      <c r="XJ17" s="310" t="s">
        <v>201</v>
      </c>
      <c r="XK17" s="310" t="s">
        <v>201</v>
      </c>
      <c r="XL17" s="310" t="s">
        <v>201</v>
      </c>
      <c r="XM17" s="310" t="s">
        <v>201</v>
      </c>
      <c r="XN17" s="310" t="s">
        <v>201</v>
      </c>
      <c r="XO17" s="310" t="s">
        <v>201</v>
      </c>
      <c r="XP17" s="310" t="s">
        <v>201</v>
      </c>
      <c r="XQ17" s="310" t="s">
        <v>201</v>
      </c>
      <c r="XR17" s="310" t="s">
        <v>201</v>
      </c>
      <c r="XS17" s="310" t="s">
        <v>201</v>
      </c>
      <c r="XT17" s="310" t="s">
        <v>201</v>
      </c>
      <c r="XU17" s="310" t="s">
        <v>201</v>
      </c>
      <c r="XV17" s="310" t="s">
        <v>201</v>
      </c>
      <c r="XW17" s="310" t="s">
        <v>201</v>
      </c>
      <c r="XX17" s="310" t="s">
        <v>201</v>
      </c>
      <c r="XY17" s="310" t="s">
        <v>201</v>
      </c>
      <c r="XZ17" s="310" t="s">
        <v>201</v>
      </c>
      <c r="YA17" s="310" t="s">
        <v>201</v>
      </c>
      <c r="YB17" s="310" t="s">
        <v>201</v>
      </c>
      <c r="YC17" s="310" t="s">
        <v>201</v>
      </c>
      <c r="YD17" s="310" t="s">
        <v>201</v>
      </c>
      <c r="YE17" s="310" t="s">
        <v>201</v>
      </c>
      <c r="YF17" s="310" t="s">
        <v>201</v>
      </c>
      <c r="YG17" s="310" t="s">
        <v>201</v>
      </c>
      <c r="YH17" s="310" t="s">
        <v>201</v>
      </c>
      <c r="YI17" s="310" t="s">
        <v>201</v>
      </c>
      <c r="YJ17" s="310" t="s">
        <v>201</v>
      </c>
      <c r="YK17" s="310" t="s">
        <v>201</v>
      </c>
      <c r="YL17" s="310" t="s">
        <v>201</v>
      </c>
      <c r="YM17" s="310" t="s">
        <v>201</v>
      </c>
      <c r="YN17" s="310" t="s">
        <v>201</v>
      </c>
      <c r="YO17" s="310" t="s">
        <v>201</v>
      </c>
      <c r="YP17" s="310" t="s">
        <v>201</v>
      </c>
      <c r="YQ17" s="310" t="s">
        <v>201</v>
      </c>
      <c r="YR17" s="310" t="s">
        <v>201</v>
      </c>
      <c r="YS17" s="310" t="s">
        <v>201</v>
      </c>
      <c r="YT17" s="310" t="s">
        <v>201</v>
      </c>
      <c r="YU17" s="310" t="s">
        <v>201</v>
      </c>
      <c r="YV17" s="310" t="s">
        <v>201</v>
      </c>
      <c r="YW17" s="310" t="s">
        <v>201</v>
      </c>
      <c r="YX17" s="310" t="s">
        <v>201</v>
      </c>
      <c r="YY17" s="310" t="s">
        <v>201</v>
      </c>
      <c r="YZ17" s="310" t="s">
        <v>201</v>
      </c>
      <c r="ZA17" s="310" t="s">
        <v>201</v>
      </c>
      <c r="ZB17" s="310" t="s">
        <v>201</v>
      </c>
      <c r="ZC17" s="310" t="s">
        <v>201</v>
      </c>
      <c r="ZD17" s="310" t="s">
        <v>201</v>
      </c>
      <c r="ZE17" s="310" t="s">
        <v>201</v>
      </c>
      <c r="ZF17" s="310" t="s">
        <v>201</v>
      </c>
      <c r="ZG17" s="310" t="s">
        <v>201</v>
      </c>
      <c r="ZH17" s="310" t="s">
        <v>201</v>
      </c>
      <c r="ZI17" s="310" t="s">
        <v>201</v>
      </c>
      <c r="ZJ17" s="310" t="s">
        <v>201</v>
      </c>
      <c r="ZK17" s="310" t="s">
        <v>201</v>
      </c>
      <c r="ZL17" s="310" t="s">
        <v>201</v>
      </c>
      <c r="ZM17" s="310" t="s">
        <v>201</v>
      </c>
      <c r="ZN17" s="310" t="s">
        <v>201</v>
      </c>
      <c r="ZO17" s="310" t="s">
        <v>201</v>
      </c>
      <c r="ZP17" s="310" t="s">
        <v>201</v>
      </c>
      <c r="ZQ17" s="310" t="s">
        <v>201</v>
      </c>
      <c r="ZR17" s="310" t="s">
        <v>201</v>
      </c>
      <c r="ZS17" s="310" t="s">
        <v>201</v>
      </c>
      <c r="ZT17" s="310" t="s">
        <v>201</v>
      </c>
      <c r="ZU17" s="310" t="s">
        <v>201</v>
      </c>
      <c r="ZV17" s="310" t="s">
        <v>201</v>
      </c>
      <c r="ZW17" s="310" t="s">
        <v>201</v>
      </c>
      <c r="ZX17" s="310" t="s">
        <v>201</v>
      </c>
      <c r="ZY17" s="310" t="s">
        <v>201</v>
      </c>
      <c r="ZZ17" s="310" t="s">
        <v>201</v>
      </c>
      <c r="AAA17" s="310" t="s">
        <v>201</v>
      </c>
      <c r="AAB17" s="310" t="s">
        <v>201</v>
      </c>
      <c r="AAC17" s="310" t="s">
        <v>201</v>
      </c>
      <c r="AAD17" s="310" t="s">
        <v>201</v>
      </c>
      <c r="AAE17" s="310" t="s">
        <v>201</v>
      </c>
      <c r="AAF17" s="310" t="s">
        <v>201</v>
      </c>
      <c r="AAG17" s="310" t="s">
        <v>201</v>
      </c>
      <c r="AAH17" s="310" t="s">
        <v>201</v>
      </c>
      <c r="AAI17" s="310" t="s">
        <v>201</v>
      </c>
      <c r="AAJ17" s="310" t="s">
        <v>201</v>
      </c>
      <c r="AAK17" s="310" t="s">
        <v>201</v>
      </c>
      <c r="AAL17" s="310" t="s">
        <v>201</v>
      </c>
      <c r="AAM17" s="310" t="s">
        <v>201</v>
      </c>
      <c r="AAN17" s="310" t="s">
        <v>201</v>
      </c>
      <c r="AAO17" s="310" t="s">
        <v>201</v>
      </c>
      <c r="AAP17" s="310" t="s">
        <v>201</v>
      </c>
      <c r="AAQ17" s="310" t="s">
        <v>201</v>
      </c>
      <c r="AAR17" s="310" t="s">
        <v>201</v>
      </c>
      <c r="AAS17" s="310" t="s">
        <v>201</v>
      </c>
      <c r="AAT17" s="310" t="s">
        <v>201</v>
      </c>
      <c r="AAU17" s="310" t="s">
        <v>201</v>
      </c>
      <c r="AAV17" s="310" t="s">
        <v>201</v>
      </c>
      <c r="AAW17" s="310" t="s">
        <v>201</v>
      </c>
      <c r="AAX17" s="310" t="s">
        <v>201</v>
      </c>
      <c r="AAY17" s="310" t="s">
        <v>201</v>
      </c>
      <c r="AAZ17" s="310" t="s">
        <v>201</v>
      </c>
      <c r="ABA17" s="310" t="s">
        <v>201</v>
      </c>
      <c r="ABB17" s="310" t="s">
        <v>201</v>
      </c>
      <c r="ABC17" s="310" t="s">
        <v>201</v>
      </c>
      <c r="ABD17" s="310" t="s">
        <v>201</v>
      </c>
      <c r="ABE17" s="310" t="s">
        <v>201</v>
      </c>
      <c r="ABF17" s="310" t="s">
        <v>201</v>
      </c>
      <c r="ABG17" s="310" t="s">
        <v>201</v>
      </c>
      <c r="ABH17" s="310" t="s">
        <v>201</v>
      </c>
      <c r="ABI17" s="310" t="s">
        <v>201</v>
      </c>
      <c r="ABJ17" s="310" t="s">
        <v>201</v>
      </c>
      <c r="ABK17" s="310" t="s">
        <v>201</v>
      </c>
      <c r="ABL17" s="310" t="s">
        <v>201</v>
      </c>
      <c r="ABM17" s="310" t="s">
        <v>201</v>
      </c>
      <c r="ABN17" s="310" t="s">
        <v>201</v>
      </c>
      <c r="ABO17" s="310" t="s">
        <v>201</v>
      </c>
      <c r="ABP17" s="310" t="s">
        <v>201</v>
      </c>
      <c r="ABQ17" s="310" t="s">
        <v>201</v>
      </c>
      <c r="ABR17" s="310" t="s">
        <v>201</v>
      </c>
      <c r="ABS17" s="310" t="s">
        <v>201</v>
      </c>
      <c r="ABT17" s="310" t="s">
        <v>201</v>
      </c>
      <c r="ABU17" s="310" t="s">
        <v>201</v>
      </c>
      <c r="ABV17" s="310" t="s">
        <v>201</v>
      </c>
      <c r="ABW17" s="310" t="s">
        <v>201</v>
      </c>
      <c r="ABX17" s="310" t="s">
        <v>201</v>
      </c>
      <c r="ABY17" s="310" t="s">
        <v>201</v>
      </c>
      <c r="ABZ17" s="310" t="s">
        <v>201</v>
      </c>
      <c r="ACA17" s="310" t="s">
        <v>201</v>
      </c>
      <c r="ACB17" s="310" t="s">
        <v>201</v>
      </c>
      <c r="ACC17" s="310" t="s">
        <v>201</v>
      </c>
      <c r="ACD17" s="310" t="s">
        <v>201</v>
      </c>
      <c r="ACE17" s="310" t="s">
        <v>201</v>
      </c>
      <c r="ACF17" s="310" t="s">
        <v>201</v>
      </c>
      <c r="ACG17" s="310" t="s">
        <v>201</v>
      </c>
      <c r="ACH17" s="310" t="s">
        <v>201</v>
      </c>
      <c r="ACI17" s="310" t="s">
        <v>201</v>
      </c>
      <c r="ACJ17" s="310" t="s">
        <v>201</v>
      </c>
      <c r="ACK17" s="310" t="s">
        <v>201</v>
      </c>
      <c r="ACL17" s="310" t="s">
        <v>201</v>
      </c>
      <c r="ACM17" s="310" t="s">
        <v>201</v>
      </c>
      <c r="ACN17" s="310" t="s">
        <v>201</v>
      </c>
      <c r="ACO17" s="310" t="s">
        <v>201</v>
      </c>
      <c r="ACP17" s="310" t="s">
        <v>201</v>
      </c>
      <c r="ACQ17" s="310" t="s">
        <v>201</v>
      </c>
      <c r="ACR17" s="310" t="s">
        <v>201</v>
      </c>
      <c r="ACS17" s="310" t="s">
        <v>201</v>
      </c>
      <c r="ACT17" s="310" t="s">
        <v>201</v>
      </c>
      <c r="ACU17" s="310" t="s">
        <v>201</v>
      </c>
      <c r="ACV17" s="310" t="s">
        <v>201</v>
      </c>
      <c r="ACW17" s="310" t="s">
        <v>201</v>
      </c>
      <c r="ACX17" s="310" t="s">
        <v>201</v>
      </c>
      <c r="ACY17" s="310" t="s">
        <v>201</v>
      </c>
      <c r="ACZ17" s="310" t="s">
        <v>201</v>
      </c>
      <c r="ADA17" s="310" t="s">
        <v>201</v>
      </c>
      <c r="ADB17" s="310" t="s">
        <v>201</v>
      </c>
      <c r="ADC17" s="310" t="s">
        <v>201</v>
      </c>
      <c r="ADD17" s="310" t="s">
        <v>201</v>
      </c>
      <c r="ADE17" s="310" t="s">
        <v>201</v>
      </c>
      <c r="ADF17" s="310" t="s">
        <v>201</v>
      </c>
      <c r="ADG17" s="310" t="s">
        <v>201</v>
      </c>
      <c r="ADH17" s="310" t="s">
        <v>201</v>
      </c>
      <c r="ADI17" s="310" t="s">
        <v>201</v>
      </c>
      <c r="ADJ17" s="310" t="s">
        <v>201</v>
      </c>
      <c r="ADK17" s="310" t="s">
        <v>201</v>
      </c>
      <c r="ADL17" s="310" t="s">
        <v>201</v>
      </c>
      <c r="ADM17" s="310" t="s">
        <v>201</v>
      </c>
      <c r="ADN17" s="310" t="s">
        <v>201</v>
      </c>
      <c r="ADO17" s="310" t="s">
        <v>201</v>
      </c>
      <c r="ADP17" s="310" t="s">
        <v>201</v>
      </c>
      <c r="ADQ17" s="310" t="s">
        <v>201</v>
      </c>
      <c r="ADR17" s="310" t="s">
        <v>201</v>
      </c>
      <c r="ADS17" s="310" t="s">
        <v>201</v>
      </c>
      <c r="ADT17" s="310" t="s">
        <v>201</v>
      </c>
      <c r="ADU17" s="310" t="s">
        <v>201</v>
      </c>
      <c r="ADV17" s="310" t="s">
        <v>201</v>
      </c>
      <c r="ADW17" s="310" t="s">
        <v>201</v>
      </c>
      <c r="ADX17" s="310" t="s">
        <v>201</v>
      </c>
      <c r="ADY17" s="310" t="s">
        <v>201</v>
      </c>
      <c r="ADZ17" s="310" t="s">
        <v>201</v>
      </c>
      <c r="AEA17" s="310" t="s">
        <v>201</v>
      </c>
      <c r="AEB17" s="310" t="s">
        <v>201</v>
      </c>
      <c r="AEC17" s="310" t="s">
        <v>201</v>
      </c>
      <c r="AED17" s="310" t="s">
        <v>201</v>
      </c>
      <c r="AEE17" s="310" t="s">
        <v>201</v>
      </c>
      <c r="AEF17" s="310" t="s">
        <v>201</v>
      </c>
      <c r="AEG17" s="310" t="s">
        <v>201</v>
      </c>
      <c r="AEH17" s="310" t="s">
        <v>201</v>
      </c>
      <c r="AEI17" s="310" t="s">
        <v>201</v>
      </c>
      <c r="AEJ17" s="310" t="s">
        <v>201</v>
      </c>
      <c r="AEK17" s="310" t="s">
        <v>201</v>
      </c>
      <c r="AEL17" s="310" t="s">
        <v>201</v>
      </c>
      <c r="AEM17" s="310" t="s">
        <v>201</v>
      </c>
      <c r="AEN17" s="310" t="s">
        <v>201</v>
      </c>
      <c r="AEO17" s="310" t="s">
        <v>201</v>
      </c>
      <c r="AEP17" s="310" t="s">
        <v>201</v>
      </c>
      <c r="AEQ17" s="310" t="s">
        <v>201</v>
      </c>
      <c r="AER17" s="310" t="s">
        <v>201</v>
      </c>
      <c r="AES17" s="310" t="s">
        <v>201</v>
      </c>
      <c r="AET17" s="310" t="s">
        <v>201</v>
      </c>
      <c r="AEU17" s="310" t="s">
        <v>201</v>
      </c>
      <c r="AEV17" s="310" t="s">
        <v>201</v>
      </c>
      <c r="AEW17" s="310" t="s">
        <v>201</v>
      </c>
      <c r="AEX17" s="310" t="s">
        <v>201</v>
      </c>
      <c r="AEY17" s="310" t="s">
        <v>201</v>
      </c>
      <c r="AEZ17" s="310" t="s">
        <v>201</v>
      </c>
      <c r="AFA17" s="310" t="s">
        <v>201</v>
      </c>
      <c r="AFB17" s="310" t="s">
        <v>201</v>
      </c>
      <c r="AFC17" s="310" t="s">
        <v>201</v>
      </c>
      <c r="AFD17" s="310" t="s">
        <v>201</v>
      </c>
      <c r="AFE17" s="310" t="s">
        <v>201</v>
      </c>
      <c r="AFF17" s="310" t="s">
        <v>201</v>
      </c>
      <c r="AFG17" s="310" t="s">
        <v>201</v>
      </c>
      <c r="AFH17" s="310" t="s">
        <v>201</v>
      </c>
      <c r="AFI17" s="310" t="s">
        <v>201</v>
      </c>
      <c r="AFJ17" s="310" t="s">
        <v>201</v>
      </c>
      <c r="AFK17" s="310" t="s">
        <v>201</v>
      </c>
      <c r="AFL17" s="310" t="s">
        <v>201</v>
      </c>
      <c r="AFM17" s="310" t="s">
        <v>201</v>
      </c>
      <c r="AFN17" s="310" t="s">
        <v>201</v>
      </c>
      <c r="AFO17" s="310" t="s">
        <v>201</v>
      </c>
      <c r="AFP17" s="310" t="s">
        <v>201</v>
      </c>
      <c r="AFQ17" s="310" t="s">
        <v>201</v>
      </c>
      <c r="AFR17" s="310" t="s">
        <v>201</v>
      </c>
      <c r="AFS17" s="310" t="s">
        <v>201</v>
      </c>
      <c r="AFT17" s="310" t="s">
        <v>201</v>
      </c>
      <c r="AFU17" s="310" t="s">
        <v>201</v>
      </c>
      <c r="AFV17" s="310" t="s">
        <v>201</v>
      </c>
      <c r="AFW17" s="310" t="s">
        <v>201</v>
      </c>
      <c r="AFX17" s="310" t="s">
        <v>201</v>
      </c>
      <c r="AFY17" s="310" t="s">
        <v>201</v>
      </c>
      <c r="AFZ17" s="310" t="s">
        <v>201</v>
      </c>
      <c r="AGA17" s="310" t="s">
        <v>201</v>
      </c>
      <c r="AGB17" s="310" t="s">
        <v>201</v>
      </c>
      <c r="AGC17" s="310" t="s">
        <v>201</v>
      </c>
      <c r="AGD17" s="310" t="s">
        <v>201</v>
      </c>
      <c r="AGE17" s="310" t="s">
        <v>201</v>
      </c>
      <c r="AGF17" s="310" t="s">
        <v>201</v>
      </c>
      <c r="AGG17" s="310" t="s">
        <v>201</v>
      </c>
      <c r="AGH17" s="310" t="s">
        <v>201</v>
      </c>
      <c r="AGI17" s="310" t="s">
        <v>201</v>
      </c>
      <c r="AGJ17" s="310" t="s">
        <v>201</v>
      </c>
      <c r="AGK17" s="310" t="s">
        <v>201</v>
      </c>
      <c r="AGL17" s="310" t="s">
        <v>201</v>
      </c>
      <c r="AGM17" s="310" t="s">
        <v>201</v>
      </c>
      <c r="AGN17" s="310" t="s">
        <v>201</v>
      </c>
      <c r="AGO17" s="310" t="s">
        <v>201</v>
      </c>
      <c r="AGP17" s="310" t="s">
        <v>201</v>
      </c>
      <c r="AGQ17" s="310" t="s">
        <v>201</v>
      </c>
      <c r="AGR17" s="310" t="s">
        <v>201</v>
      </c>
      <c r="AGS17" s="310" t="s">
        <v>201</v>
      </c>
      <c r="AGT17" s="310" t="s">
        <v>201</v>
      </c>
      <c r="AGU17" s="310" t="s">
        <v>201</v>
      </c>
      <c r="AGV17" s="310" t="s">
        <v>201</v>
      </c>
      <c r="AGW17" s="310" t="s">
        <v>201</v>
      </c>
      <c r="AGX17" s="310" t="s">
        <v>201</v>
      </c>
      <c r="AGY17" s="310" t="s">
        <v>201</v>
      </c>
      <c r="AGZ17" s="310" t="s">
        <v>201</v>
      </c>
      <c r="AHA17" s="310" t="s">
        <v>201</v>
      </c>
      <c r="AHB17" s="310" t="s">
        <v>201</v>
      </c>
      <c r="AHC17" s="310" t="s">
        <v>201</v>
      </c>
      <c r="AHD17" s="310" t="s">
        <v>201</v>
      </c>
      <c r="AHE17" s="310" t="s">
        <v>201</v>
      </c>
      <c r="AHF17" s="310" t="s">
        <v>201</v>
      </c>
      <c r="AHG17" s="310" t="s">
        <v>201</v>
      </c>
      <c r="AHH17" s="310" t="s">
        <v>201</v>
      </c>
      <c r="AHI17" s="310" t="s">
        <v>201</v>
      </c>
      <c r="AHJ17" s="310" t="s">
        <v>201</v>
      </c>
      <c r="AHK17" s="310" t="s">
        <v>201</v>
      </c>
      <c r="AHL17" s="310" t="s">
        <v>201</v>
      </c>
      <c r="AHM17" s="310" t="s">
        <v>201</v>
      </c>
      <c r="AHN17" s="310" t="s">
        <v>201</v>
      </c>
      <c r="AHO17" s="310" t="s">
        <v>201</v>
      </c>
      <c r="AHP17" s="310" t="s">
        <v>201</v>
      </c>
      <c r="AHQ17" s="310" t="s">
        <v>201</v>
      </c>
      <c r="AHR17" s="310" t="s">
        <v>201</v>
      </c>
      <c r="AHS17" s="310" t="s">
        <v>201</v>
      </c>
      <c r="AHT17" s="310" t="s">
        <v>201</v>
      </c>
      <c r="AHU17" s="310" t="s">
        <v>201</v>
      </c>
      <c r="AHV17" s="310" t="s">
        <v>201</v>
      </c>
      <c r="AHW17" s="310" t="s">
        <v>201</v>
      </c>
      <c r="AHX17" s="310" t="s">
        <v>201</v>
      </c>
      <c r="AHY17" s="310" t="s">
        <v>201</v>
      </c>
      <c r="AHZ17" s="310" t="s">
        <v>201</v>
      </c>
      <c r="AIA17" s="310" t="s">
        <v>201</v>
      </c>
      <c r="AIB17" s="310" t="s">
        <v>201</v>
      </c>
      <c r="AIC17" s="310" t="s">
        <v>201</v>
      </c>
      <c r="AID17" s="310" t="s">
        <v>201</v>
      </c>
      <c r="AIE17" s="310" t="s">
        <v>201</v>
      </c>
      <c r="AIF17" s="310" t="s">
        <v>201</v>
      </c>
      <c r="AIG17" s="310" t="s">
        <v>201</v>
      </c>
      <c r="AIH17" s="310" t="s">
        <v>201</v>
      </c>
      <c r="AII17" s="310" t="s">
        <v>201</v>
      </c>
      <c r="AIJ17" s="310" t="s">
        <v>201</v>
      </c>
      <c r="AIK17" s="310" t="s">
        <v>201</v>
      </c>
      <c r="AIL17" s="310" t="s">
        <v>201</v>
      </c>
      <c r="AIM17" s="310" t="s">
        <v>201</v>
      </c>
      <c r="AIN17" s="310" t="s">
        <v>201</v>
      </c>
      <c r="AIO17" s="310" t="s">
        <v>201</v>
      </c>
      <c r="AIP17" s="310" t="s">
        <v>201</v>
      </c>
      <c r="AIQ17" s="310" t="s">
        <v>201</v>
      </c>
      <c r="AIR17" s="310" t="s">
        <v>201</v>
      </c>
      <c r="AIS17" s="310" t="s">
        <v>201</v>
      </c>
      <c r="AIT17" s="310" t="s">
        <v>201</v>
      </c>
      <c r="AIU17" s="310" t="s">
        <v>201</v>
      </c>
      <c r="AIV17" s="310" t="s">
        <v>201</v>
      </c>
      <c r="AIW17" s="310" t="s">
        <v>201</v>
      </c>
      <c r="AIX17" s="310" t="s">
        <v>201</v>
      </c>
      <c r="AIY17" s="310" t="s">
        <v>201</v>
      </c>
      <c r="AIZ17" s="310" t="s">
        <v>201</v>
      </c>
      <c r="AJA17" s="310" t="s">
        <v>201</v>
      </c>
      <c r="AJB17" s="310" t="s">
        <v>201</v>
      </c>
      <c r="AJC17" s="310" t="s">
        <v>201</v>
      </c>
      <c r="AJD17" s="310" t="s">
        <v>201</v>
      </c>
      <c r="AJE17" s="310" t="s">
        <v>201</v>
      </c>
      <c r="AJF17" s="310" t="s">
        <v>201</v>
      </c>
      <c r="AJG17" s="310" t="s">
        <v>201</v>
      </c>
      <c r="AJH17" s="310" t="s">
        <v>201</v>
      </c>
      <c r="AJI17" s="310" t="s">
        <v>201</v>
      </c>
      <c r="AJJ17" s="310" t="s">
        <v>201</v>
      </c>
      <c r="AJK17" s="310" t="s">
        <v>201</v>
      </c>
      <c r="AJL17" s="310" t="s">
        <v>201</v>
      </c>
      <c r="AJM17" s="310" t="s">
        <v>201</v>
      </c>
      <c r="AJN17" s="310" t="s">
        <v>201</v>
      </c>
      <c r="AJO17" s="310" t="s">
        <v>201</v>
      </c>
      <c r="AJP17" s="310" t="s">
        <v>201</v>
      </c>
      <c r="AJQ17" s="310" t="s">
        <v>201</v>
      </c>
      <c r="AJR17" s="310" t="s">
        <v>201</v>
      </c>
      <c r="AJS17" s="310" t="s">
        <v>201</v>
      </c>
      <c r="AJT17" s="310" t="s">
        <v>201</v>
      </c>
      <c r="AJU17" s="310" t="s">
        <v>201</v>
      </c>
      <c r="AJV17" s="310" t="s">
        <v>201</v>
      </c>
      <c r="AJW17" s="310" t="s">
        <v>201</v>
      </c>
      <c r="AJX17" s="310" t="s">
        <v>201</v>
      </c>
      <c r="AJY17" s="310" t="s">
        <v>201</v>
      </c>
      <c r="AJZ17" s="310" t="s">
        <v>201</v>
      </c>
      <c r="AKA17" s="310" t="s">
        <v>201</v>
      </c>
      <c r="AKB17" s="310" t="s">
        <v>201</v>
      </c>
      <c r="AKC17" s="310" t="s">
        <v>201</v>
      </c>
      <c r="AKD17" s="310" t="s">
        <v>201</v>
      </c>
      <c r="AKE17" s="310" t="s">
        <v>201</v>
      </c>
      <c r="AKF17" s="310" t="s">
        <v>201</v>
      </c>
      <c r="AKG17" s="310" t="s">
        <v>201</v>
      </c>
      <c r="AKH17" s="310" t="s">
        <v>201</v>
      </c>
      <c r="AKI17" s="310" t="s">
        <v>201</v>
      </c>
      <c r="AKJ17" s="310" t="s">
        <v>201</v>
      </c>
      <c r="AKK17" s="310" t="s">
        <v>201</v>
      </c>
      <c r="AKL17" s="310" t="s">
        <v>201</v>
      </c>
      <c r="AKM17" s="310" t="s">
        <v>201</v>
      </c>
      <c r="AKN17" s="310" t="s">
        <v>201</v>
      </c>
      <c r="AKO17" s="310" t="s">
        <v>201</v>
      </c>
      <c r="AKP17" s="310" t="s">
        <v>201</v>
      </c>
      <c r="AKQ17" s="310" t="s">
        <v>201</v>
      </c>
      <c r="AKR17" s="310" t="s">
        <v>201</v>
      </c>
      <c r="AKS17" s="310" t="s">
        <v>201</v>
      </c>
      <c r="AKT17" s="310" t="s">
        <v>201</v>
      </c>
      <c r="AKU17" s="310" t="s">
        <v>201</v>
      </c>
      <c r="AKV17" s="310" t="s">
        <v>201</v>
      </c>
      <c r="AKW17" s="310" t="s">
        <v>201</v>
      </c>
      <c r="AKX17" s="310" t="s">
        <v>201</v>
      </c>
      <c r="AKY17" s="310" t="s">
        <v>201</v>
      </c>
      <c r="AKZ17" s="310" t="s">
        <v>201</v>
      </c>
      <c r="ALA17" s="310" t="s">
        <v>201</v>
      </c>
      <c r="ALB17" s="310" t="s">
        <v>201</v>
      </c>
      <c r="ALC17" s="310" t="s">
        <v>201</v>
      </c>
      <c r="ALD17" s="310" t="s">
        <v>201</v>
      </c>
      <c r="ALE17" s="310" t="s">
        <v>201</v>
      </c>
      <c r="ALF17" s="310" t="s">
        <v>201</v>
      </c>
      <c r="ALG17" s="310" t="s">
        <v>201</v>
      </c>
      <c r="ALH17" s="310" t="s">
        <v>201</v>
      </c>
      <c r="ALI17" s="310" t="s">
        <v>201</v>
      </c>
      <c r="ALJ17" s="310" t="s">
        <v>201</v>
      </c>
      <c r="ALK17" s="310" t="s">
        <v>201</v>
      </c>
      <c r="ALL17" s="310" t="s">
        <v>201</v>
      </c>
      <c r="ALM17" s="310" t="s">
        <v>201</v>
      </c>
      <c r="ALN17" s="310" t="s">
        <v>201</v>
      </c>
      <c r="ALO17" s="310" t="s">
        <v>201</v>
      </c>
      <c r="ALP17" s="310" t="s">
        <v>201</v>
      </c>
      <c r="ALQ17" s="310" t="s">
        <v>201</v>
      </c>
      <c r="ALR17" s="310" t="s">
        <v>201</v>
      </c>
      <c r="ALS17" s="310" t="s">
        <v>201</v>
      </c>
      <c r="ALT17" s="310" t="s">
        <v>201</v>
      </c>
      <c r="ALU17" s="310" t="s">
        <v>201</v>
      </c>
      <c r="ALV17" s="310" t="s">
        <v>201</v>
      </c>
      <c r="ALW17" s="310" t="s">
        <v>201</v>
      </c>
      <c r="ALX17" s="310" t="s">
        <v>201</v>
      </c>
      <c r="ALY17" s="310" t="s">
        <v>201</v>
      </c>
      <c r="ALZ17" s="310" t="s">
        <v>201</v>
      </c>
      <c r="AMA17" s="310" t="s">
        <v>201</v>
      </c>
      <c r="AMB17" s="310" t="s">
        <v>201</v>
      </c>
      <c r="AMC17" s="310" t="s">
        <v>201</v>
      </c>
      <c r="AMD17" s="310" t="s">
        <v>201</v>
      </c>
      <c r="AME17" s="310" t="s">
        <v>201</v>
      </c>
      <c r="AMF17" s="310" t="s">
        <v>201</v>
      </c>
      <c r="AMG17" s="310" t="s">
        <v>201</v>
      </c>
      <c r="AMH17" s="310" t="s">
        <v>201</v>
      </c>
      <c r="AMI17" s="310" t="s">
        <v>201</v>
      </c>
      <c r="AMJ17" s="310" t="s">
        <v>201</v>
      </c>
      <c r="AMK17" s="310" t="s">
        <v>201</v>
      </c>
      <c r="AML17" s="310" t="s">
        <v>201</v>
      </c>
      <c r="AMM17" s="310" t="s">
        <v>201</v>
      </c>
      <c r="AMN17" s="310" t="s">
        <v>201</v>
      </c>
      <c r="AMO17" s="310" t="s">
        <v>201</v>
      </c>
      <c r="AMP17" s="310" t="s">
        <v>201</v>
      </c>
      <c r="AMQ17" s="310" t="s">
        <v>201</v>
      </c>
      <c r="AMR17" s="310" t="s">
        <v>201</v>
      </c>
      <c r="AMS17" s="310" t="s">
        <v>201</v>
      </c>
      <c r="AMT17" s="310" t="s">
        <v>201</v>
      </c>
      <c r="AMU17" s="310" t="s">
        <v>201</v>
      </c>
      <c r="AMV17" s="310" t="s">
        <v>201</v>
      </c>
      <c r="AMW17" s="310" t="s">
        <v>201</v>
      </c>
      <c r="AMX17" s="310" t="s">
        <v>201</v>
      </c>
      <c r="AMY17" s="310" t="s">
        <v>201</v>
      </c>
      <c r="AMZ17" s="310" t="s">
        <v>201</v>
      </c>
      <c r="ANA17" s="310" t="s">
        <v>201</v>
      </c>
      <c r="ANB17" s="310" t="s">
        <v>201</v>
      </c>
      <c r="ANC17" s="310" t="s">
        <v>201</v>
      </c>
      <c r="AND17" s="310" t="s">
        <v>201</v>
      </c>
      <c r="ANE17" s="310" t="s">
        <v>201</v>
      </c>
      <c r="ANF17" s="310" t="s">
        <v>201</v>
      </c>
      <c r="ANG17" s="310" t="s">
        <v>201</v>
      </c>
      <c r="ANH17" s="310" t="s">
        <v>201</v>
      </c>
      <c r="ANI17" s="310" t="s">
        <v>201</v>
      </c>
      <c r="ANJ17" s="310" t="s">
        <v>201</v>
      </c>
      <c r="ANK17" s="310" t="s">
        <v>201</v>
      </c>
      <c r="ANL17" s="310" t="s">
        <v>201</v>
      </c>
      <c r="ANM17" s="310" t="s">
        <v>201</v>
      </c>
      <c r="ANN17" s="310" t="s">
        <v>201</v>
      </c>
      <c r="ANO17" s="310" t="s">
        <v>201</v>
      </c>
      <c r="ANP17" s="310" t="s">
        <v>201</v>
      </c>
      <c r="ANQ17" s="310" t="s">
        <v>201</v>
      </c>
      <c r="ANR17" s="310" t="s">
        <v>201</v>
      </c>
      <c r="ANS17" s="310" t="s">
        <v>201</v>
      </c>
      <c r="ANT17" s="310" t="s">
        <v>201</v>
      </c>
      <c r="ANU17" s="310" t="s">
        <v>201</v>
      </c>
      <c r="ANV17" s="310" t="s">
        <v>201</v>
      </c>
      <c r="ANW17" s="310" t="s">
        <v>201</v>
      </c>
      <c r="ANX17" s="310" t="s">
        <v>201</v>
      </c>
      <c r="ANY17" s="310" t="s">
        <v>201</v>
      </c>
      <c r="ANZ17" s="310" t="s">
        <v>201</v>
      </c>
      <c r="AOA17" s="310" t="s">
        <v>201</v>
      </c>
      <c r="AOB17" s="310" t="s">
        <v>201</v>
      </c>
      <c r="AOC17" s="310" t="s">
        <v>201</v>
      </c>
      <c r="AOD17" s="310" t="s">
        <v>201</v>
      </c>
      <c r="AOE17" s="310" t="s">
        <v>201</v>
      </c>
      <c r="AOF17" s="310" t="s">
        <v>201</v>
      </c>
      <c r="AOG17" s="310" t="s">
        <v>201</v>
      </c>
      <c r="AOH17" s="310" t="s">
        <v>201</v>
      </c>
      <c r="AOI17" s="310" t="s">
        <v>201</v>
      </c>
      <c r="AOJ17" s="310" t="s">
        <v>201</v>
      </c>
      <c r="AOK17" s="310" t="s">
        <v>201</v>
      </c>
      <c r="AOL17" s="310" t="s">
        <v>201</v>
      </c>
      <c r="AOM17" s="310" t="s">
        <v>201</v>
      </c>
      <c r="AON17" s="310" t="s">
        <v>201</v>
      </c>
      <c r="AOO17" s="310" t="s">
        <v>201</v>
      </c>
      <c r="AOP17" s="310" t="s">
        <v>201</v>
      </c>
      <c r="AOQ17" s="310" t="s">
        <v>201</v>
      </c>
      <c r="AOR17" s="310" t="s">
        <v>201</v>
      </c>
      <c r="AOS17" s="310" t="s">
        <v>201</v>
      </c>
      <c r="AOT17" s="310" t="s">
        <v>201</v>
      </c>
      <c r="AOU17" s="310" t="s">
        <v>201</v>
      </c>
      <c r="AOV17" s="310" t="s">
        <v>201</v>
      </c>
      <c r="AOW17" s="310" t="s">
        <v>201</v>
      </c>
      <c r="AOX17" s="310" t="s">
        <v>201</v>
      </c>
      <c r="AOY17" s="310" t="s">
        <v>201</v>
      </c>
      <c r="AOZ17" s="310" t="s">
        <v>201</v>
      </c>
      <c r="APA17" s="310" t="s">
        <v>201</v>
      </c>
      <c r="APB17" s="310" t="s">
        <v>201</v>
      </c>
      <c r="APC17" s="310" t="s">
        <v>201</v>
      </c>
      <c r="APD17" s="310" t="s">
        <v>201</v>
      </c>
      <c r="APE17" s="310" t="s">
        <v>201</v>
      </c>
      <c r="APF17" s="310" t="s">
        <v>201</v>
      </c>
      <c r="APG17" s="310" t="s">
        <v>201</v>
      </c>
      <c r="APH17" s="310" t="s">
        <v>201</v>
      </c>
      <c r="API17" s="310" t="s">
        <v>201</v>
      </c>
      <c r="APJ17" s="310" t="s">
        <v>201</v>
      </c>
      <c r="APK17" s="310" t="s">
        <v>201</v>
      </c>
      <c r="APL17" s="310" t="s">
        <v>201</v>
      </c>
      <c r="APM17" s="310" t="s">
        <v>201</v>
      </c>
      <c r="APN17" s="310" t="s">
        <v>201</v>
      </c>
      <c r="APO17" s="310" t="s">
        <v>201</v>
      </c>
      <c r="APP17" s="310" t="s">
        <v>201</v>
      </c>
      <c r="APQ17" s="310" t="s">
        <v>201</v>
      </c>
      <c r="APR17" s="310" t="s">
        <v>201</v>
      </c>
      <c r="APS17" s="310" t="s">
        <v>201</v>
      </c>
      <c r="APT17" s="310" t="s">
        <v>201</v>
      </c>
      <c r="APU17" s="310" t="s">
        <v>201</v>
      </c>
      <c r="APV17" s="310" t="s">
        <v>201</v>
      </c>
      <c r="APW17" s="310" t="s">
        <v>201</v>
      </c>
      <c r="APX17" s="310" t="s">
        <v>201</v>
      </c>
      <c r="APY17" s="310" t="s">
        <v>201</v>
      </c>
      <c r="APZ17" s="310" t="s">
        <v>201</v>
      </c>
      <c r="AQA17" s="310" t="s">
        <v>201</v>
      </c>
      <c r="AQB17" s="310" t="s">
        <v>201</v>
      </c>
      <c r="AQC17" s="310" t="s">
        <v>201</v>
      </c>
      <c r="AQD17" s="310" t="s">
        <v>201</v>
      </c>
      <c r="AQE17" s="310" t="s">
        <v>201</v>
      </c>
      <c r="AQF17" s="310" t="s">
        <v>201</v>
      </c>
      <c r="AQG17" s="310" t="s">
        <v>201</v>
      </c>
      <c r="AQH17" s="310" t="s">
        <v>201</v>
      </c>
      <c r="AQI17" s="310" t="s">
        <v>201</v>
      </c>
      <c r="AQJ17" s="310" t="s">
        <v>201</v>
      </c>
      <c r="AQK17" s="310" t="s">
        <v>201</v>
      </c>
      <c r="AQL17" s="310" t="s">
        <v>201</v>
      </c>
      <c r="AQM17" s="310" t="s">
        <v>201</v>
      </c>
      <c r="AQN17" s="310" t="s">
        <v>201</v>
      </c>
      <c r="AQO17" s="310" t="s">
        <v>201</v>
      </c>
      <c r="AQP17" s="310" t="s">
        <v>201</v>
      </c>
      <c r="AQQ17" s="310" t="s">
        <v>201</v>
      </c>
      <c r="AQR17" s="310" t="s">
        <v>201</v>
      </c>
      <c r="AQS17" s="310" t="s">
        <v>201</v>
      </c>
      <c r="AQT17" s="310" t="s">
        <v>201</v>
      </c>
      <c r="AQU17" s="310" t="s">
        <v>201</v>
      </c>
      <c r="AQV17" s="310" t="s">
        <v>201</v>
      </c>
      <c r="AQW17" s="310" t="s">
        <v>201</v>
      </c>
      <c r="AQX17" s="310" t="s">
        <v>201</v>
      </c>
      <c r="AQY17" s="310" t="s">
        <v>201</v>
      </c>
      <c r="AQZ17" s="310" t="s">
        <v>201</v>
      </c>
      <c r="ARA17" s="310" t="s">
        <v>201</v>
      </c>
      <c r="ARB17" s="310" t="s">
        <v>201</v>
      </c>
      <c r="ARC17" s="310" t="s">
        <v>201</v>
      </c>
      <c r="ARD17" s="310" t="s">
        <v>201</v>
      </c>
      <c r="ARE17" s="310" t="s">
        <v>201</v>
      </c>
      <c r="ARF17" s="310" t="s">
        <v>201</v>
      </c>
      <c r="ARG17" s="310" t="s">
        <v>201</v>
      </c>
      <c r="ARH17" s="310" t="s">
        <v>201</v>
      </c>
      <c r="ARI17" s="310" t="s">
        <v>201</v>
      </c>
      <c r="ARJ17" s="310" t="s">
        <v>201</v>
      </c>
      <c r="ARK17" s="310" t="s">
        <v>201</v>
      </c>
      <c r="ARL17" s="310" t="s">
        <v>201</v>
      </c>
      <c r="ARM17" s="310" t="s">
        <v>201</v>
      </c>
      <c r="ARN17" s="310" t="s">
        <v>201</v>
      </c>
      <c r="ARO17" s="310" t="s">
        <v>201</v>
      </c>
      <c r="ARP17" s="310" t="s">
        <v>201</v>
      </c>
      <c r="ARQ17" s="310" t="s">
        <v>201</v>
      </c>
      <c r="ARR17" s="310" t="s">
        <v>201</v>
      </c>
      <c r="ARS17" s="310" t="s">
        <v>201</v>
      </c>
      <c r="ART17" s="310" t="s">
        <v>201</v>
      </c>
      <c r="ARU17" s="310" t="s">
        <v>201</v>
      </c>
      <c r="ARV17" s="310" t="s">
        <v>201</v>
      </c>
      <c r="ARW17" s="310" t="s">
        <v>201</v>
      </c>
      <c r="ARX17" s="310" t="s">
        <v>201</v>
      </c>
      <c r="ARY17" s="310" t="s">
        <v>201</v>
      </c>
      <c r="ARZ17" s="310" t="s">
        <v>201</v>
      </c>
      <c r="ASA17" s="310" t="s">
        <v>201</v>
      </c>
      <c r="ASB17" s="310" t="s">
        <v>201</v>
      </c>
      <c r="ASC17" s="310" t="s">
        <v>201</v>
      </c>
      <c r="ASD17" s="310" t="s">
        <v>201</v>
      </c>
      <c r="ASE17" s="310" t="s">
        <v>201</v>
      </c>
      <c r="ASF17" s="310" t="s">
        <v>201</v>
      </c>
      <c r="ASG17" s="310" t="s">
        <v>201</v>
      </c>
      <c r="ASH17" s="310" t="s">
        <v>201</v>
      </c>
      <c r="ASI17" s="310" t="s">
        <v>201</v>
      </c>
      <c r="ASJ17" s="310" t="s">
        <v>201</v>
      </c>
      <c r="ASK17" s="310" t="s">
        <v>201</v>
      </c>
      <c r="ASL17" s="310" t="s">
        <v>201</v>
      </c>
      <c r="ASM17" s="310" t="s">
        <v>201</v>
      </c>
      <c r="ASN17" s="310" t="s">
        <v>201</v>
      </c>
      <c r="ASO17" s="310" t="s">
        <v>201</v>
      </c>
      <c r="ASP17" s="310" t="s">
        <v>201</v>
      </c>
      <c r="ASQ17" s="310" t="s">
        <v>201</v>
      </c>
      <c r="ASR17" s="310" t="s">
        <v>201</v>
      </c>
      <c r="ASS17" s="310" t="s">
        <v>201</v>
      </c>
      <c r="AST17" s="310" t="s">
        <v>201</v>
      </c>
      <c r="ASU17" s="310" t="s">
        <v>201</v>
      </c>
      <c r="ASV17" s="310" t="s">
        <v>201</v>
      </c>
      <c r="ASW17" s="310" t="s">
        <v>201</v>
      </c>
      <c r="ASX17" s="310" t="s">
        <v>201</v>
      </c>
      <c r="ASY17" s="310" t="s">
        <v>201</v>
      </c>
      <c r="ASZ17" s="310" t="s">
        <v>201</v>
      </c>
      <c r="ATA17" s="310" t="s">
        <v>201</v>
      </c>
      <c r="ATB17" s="310" t="s">
        <v>201</v>
      </c>
      <c r="ATC17" s="310" t="s">
        <v>201</v>
      </c>
      <c r="ATD17" s="310" t="s">
        <v>201</v>
      </c>
      <c r="ATE17" s="310" t="s">
        <v>201</v>
      </c>
      <c r="ATF17" s="310" t="s">
        <v>201</v>
      </c>
      <c r="ATG17" s="310" t="s">
        <v>201</v>
      </c>
      <c r="ATH17" s="310" t="s">
        <v>201</v>
      </c>
      <c r="ATI17" s="310" t="s">
        <v>201</v>
      </c>
      <c r="ATJ17" s="310" t="s">
        <v>201</v>
      </c>
      <c r="ATK17" s="310" t="s">
        <v>201</v>
      </c>
      <c r="ATL17" s="310" t="s">
        <v>201</v>
      </c>
      <c r="ATM17" s="310" t="s">
        <v>201</v>
      </c>
      <c r="ATN17" s="310" t="s">
        <v>201</v>
      </c>
      <c r="ATO17" s="310" t="s">
        <v>201</v>
      </c>
      <c r="ATP17" s="310" t="s">
        <v>201</v>
      </c>
      <c r="ATQ17" s="310" t="s">
        <v>201</v>
      </c>
      <c r="ATR17" s="310" t="s">
        <v>201</v>
      </c>
      <c r="ATS17" s="310" t="s">
        <v>201</v>
      </c>
      <c r="ATT17" s="310" t="s">
        <v>201</v>
      </c>
      <c r="ATU17" s="310" t="s">
        <v>201</v>
      </c>
      <c r="ATV17" s="310" t="s">
        <v>201</v>
      </c>
      <c r="ATW17" s="310" t="s">
        <v>201</v>
      </c>
      <c r="ATX17" s="310" t="s">
        <v>201</v>
      </c>
      <c r="ATY17" s="310" t="s">
        <v>201</v>
      </c>
      <c r="ATZ17" s="310" t="s">
        <v>201</v>
      </c>
      <c r="AUA17" s="310" t="s">
        <v>201</v>
      </c>
      <c r="AUB17" s="310" t="s">
        <v>201</v>
      </c>
      <c r="AUC17" s="310" t="s">
        <v>201</v>
      </c>
      <c r="AUD17" s="310" t="s">
        <v>201</v>
      </c>
      <c r="AUE17" s="310" t="s">
        <v>201</v>
      </c>
      <c r="AUF17" s="310" t="s">
        <v>201</v>
      </c>
      <c r="AUG17" s="310" t="s">
        <v>201</v>
      </c>
      <c r="AUH17" s="310" t="s">
        <v>201</v>
      </c>
      <c r="AUI17" s="310" t="s">
        <v>201</v>
      </c>
      <c r="AUJ17" s="310" t="s">
        <v>201</v>
      </c>
      <c r="AUK17" s="310" t="s">
        <v>201</v>
      </c>
      <c r="AUL17" s="310" t="s">
        <v>201</v>
      </c>
      <c r="AUM17" s="310" t="s">
        <v>201</v>
      </c>
      <c r="AUN17" s="310" t="s">
        <v>201</v>
      </c>
      <c r="AUO17" s="310" t="s">
        <v>201</v>
      </c>
      <c r="AUP17" s="310" t="s">
        <v>201</v>
      </c>
      <c r="AUQ17" s="310" t="s">
        <v>201</v>
      </c>
      <c r="AUR17" s="310" t="s">
        <v>201</v>
      </c>
      <c r="AUS17" s="310" t="s">
        <v>201</v>
      </c>
      <c r="AUT17" s="310" t="s">
        <v>201</v>
      </c>
      <c r="AUU17" s="310" t="s">
        <v>201</v>
      </c>
      <c r="AUV17" s="310" t="s">
        <v>201</v>
      </c>
      <c r="AUW17" s="310" t="s">
        <v>201</v>
      </c>
      <c r="AUX17" s="310" t="s">
        <v>201</v>
      </c>
      <c r="AUY17" s="310" t="s">
        <v>201</v>
      </c>
      <c r="AUZ17" s="310" t="s">
        <v>201</v>
      </c>
      <c r="AVA17" s="310" t="s">
        <v>201</v>
      </c>
      <c r="AVB17" s="310" t="s">
        <v>201</v>
      </c>
      <c r="AVC17" s="310" t="s">
        <v>201</v>
      </c>
      <c r="AVD17" s="310" t="s">
        <v>201</v>
      </c>
      <c r="AVE17" s="310" t="s">
        <v>201</v>
      </c>
      <c r="AVF17" s="310" t="s">
        <v>201</v>
      </c>
      <c r="AVG17" s="310" t="s">
        <v>201</v>
      </c>
      <c r="AVH17" s="310" t="s">
        <v>201</v>
      </c>
      <c r="AVI17" s="310" t="s">
        <v>201</v>
      </c>
      <c r="AVJ17" s="310" t="s">
        <v>201</v>
      </c>
      <c r="AVK17" s="310" t="s">
        <v>201</v>
      </c>
      <c r="AVL17" s="310" t="s">
        <v>201</v>
      </c>
      <c r="AVM17" s="310" t="s">
        <v>201</v>
      </c>
      <c r="AVN17" s="310" t="s">
        <v>201</v>
      </c>
      <c r="AVO17" s="310" t="s">
        <v>201</v>
      </c>
      <c r="AVP17" s="310" t="s">
        <v>201</v>
      </c>
      <c r="AVQ17" s="310" t="s">
        <v>201</v>
      </c>
      <c r="AVR17" s="310" t="s">
        <v>201</v>
      </c>
      <c r="AVS17" s="310" t="s">
        <v>201</v>
      </c>
      <c r="AVT17" s="310" t="s">
        <v>201</v>
      </c>
      <c r="AVU17" s="310" t="s">
        <v>201</v>
      </c>
      <c r="AVV17" s="310" t="s">
        <v>201</v>
      </c>
      <c r="AVW17" s="310" t="s">
        <v>201</v>
      </c>
      <c r="AVX17" s="310" t="s">
        <v>201</v>
      </c>
      <c r="AVY17" s="310" t="s">
        <v>201</v>
      </c>
      <c r="AVZ17" s="310" t="s">
        <v>201</v>
      </c>
      <c r="AWA17" s="310" t="s">
        <v>201</v>
      </c>
      <c r="AWB17" s="310" t="s">
        <v>201</v>
      </c>
      <c r="AWC17" s="310" t="s">
        <v>201</v>
      </c>
      <c r="AWD17" s="310" t="s">
        <v>201</v>
      </c>
      <c r="AWE17" s="310" t="s">
        <v>201</v>
      </c>
      <c r="AWF17" s="310" t="s">
        <v>201</v>
      </c>
      <c r="AWG17" s="310" t="s">
        <v>201</v>
      </c>
      <c r="AWH17" s="310" t="s">
        <v>201</v>
      </c>
      <c r="AWI17" s="310" t="s">
        <v>201</v>
      </c>
      <c r="AWJ17" s="310" t="s">
        <v>201</v>
      </c>
      <c r="AWK17" s="310" t="s">
        <v>201</v>
      </c>
      <c r="AWL17" s="310" t="s">
        <v>201</v>
      </c>
      <c r="AWM17" s="310" t="s">
        <v>201</v>
      </c>
      <c r="AWN17" s="310" t="s">
        <v>201</v>
      </c>
      <c r="AWO17" s="310" t="s">
        <v>201</v>
      </c>
      <c r="AWP17" s="310" t="s">
        <v>201</v>
      </c>
      <c r="AWQ17" s="310" t="s">
        <v>201</v>
      </c>
      <c r="AWR17" s="310" t="s">
        <v>201</v>
      </c>
      <c r="AWS17" s="310" t="s">
        <v>201</v>
      </c>
      <c r="AWT17" s="310" t="s">
        <v>201</v>
      </c>
      <c r="AWU17" s="310" t="s">
        <v>201</v>
      </c>
      <c r="AWV17" s="310" t="s">
        <v>201</v>
      </c>
      <c r="AWW17" s="310" t="s">
        <v>201</v>
      </c>
      <c r="AWX17" s="310" t="s">
        <v>201</v>
      </c>
      <c r="AWY17" s="310" t="s">
        <v>201</v>
      </c>
      <c r="AWZ17" s="310" t="s">
        <v>201</v>
      </c>
      <c r="AXA17" s="310" t="s">
        <v>201</v>
      </c>
      <c r="AXB17" s="310" t="s">
        <v>201</v>
      </c>
      <c r="AXC17" s="310" t="s">
        <v>201</v>
      </c>
      <c r="AXD17" s="310" t="s">
        <v>201</v>
      </c>
      <c r="AXE17" s="310" t="s">
        <v>201</v>
      </c>
      <c r="AXF17" s="310" t="s">
        <v>201</v>
      </c>
      <c r="AXG17" s="310" t="s">
        <v>201</v>
      </c>
      <c r="AXH17" s="310" t="s">
        <v>201</v>
      </c>
      <c r="AXI17" s="310" t="s">
        <v>201</v>
      </c>
      <c r="AXJ17" s="310" t="s">
        <v>201</v>
      </c>
      <c r="AXK17" s="310" t="s">
        <v>201</v>
      </c>
      <c r="AXL17" s="310" t="s">
        <v>201</v>
      </c>
      <c r="AXM17" s="310" t="s">
        <v>201</v>
      </c>
      <c r="AXN17" s="310" t="s">
        <v>201</v>
      </c>
      <c r="AXO17" s="310" t="s">
        <v>201</v>
      </c>
      <c r="AXP17" s="310" t="s">
        <v>201</v>
      </c>
      <c r="AXQ17" s="310" t="s">
        <v>201</v>
      </c>
      <c r="AXR17" s="310" t="s">
        <v>201</v>
      </c>
      <c r="AXS17" s="310" t="s">
        <v>201</v>
      </c>
      <c r="AXT17" s="310" t="s">
        <v>201</v>
      </c>
      <c r="AXU17" s="310" t="s">
        <v>201</v>
      </c>
      <c r="AXV17" s="310" t="s">
        <v>201</v>
      </c>
      <c r="AXW17" s="310" t="s">
        <v>201</v>
      </c>
      <c r="AXX17" s="310" t="s">
        <v>201</v>
      </c>
      <c r="AXY17" s="310" t="s">
        <v>201</v>
      </c>
      <c r="AXZ17" s="310" t="s">
        <v>201</v>
      </c>
      <c r="AYA17" s="310" t="s">
        <v>201</v>
      </c>
      <c r="AYB17" s="310" t="s">
        <v>201</v>
      </c>
      <c r="AYC17" s="310" t="s">
        <v>201</v>
      </c>
      <c r="AYD17" s="310" t="s">
        <v>201</v>
      </c>
      <c r="AYE17" s="310" t="s">
        <v>201</v>
      </c>
      <c r="AYF17" s="310" t="s">
        <v>201</v>
      </c>
      <c r="AYG17" s="310" t="s">
        <v>201</v>
      </c>
      <c r="AYH17" s="310" t="s">
        <v>201</v>
      </c>
      <c r="AYI17" s="310" t="s">
        <v>201</v>
      </c>
      <c r="AYJ17" s="310" t="s">
        <v>201</v>
      </c>
      <c r="AYK17" s="310" t="s">
        <v>201</v>
      </c>
      <c r="AYL17" s="310" t="s">
        <v>201</v>
      </c>
      <c r="AYM17" s="310" t="s">
        <v>201</v>
      </c>
      <c r="AYN17" s="310" t="s">
        <v>201</v>
      </c>
      <c r="AYO17" s="310" t="s">
        <v>201</v>
      </c>
      <c r="AYP17" s="310" t="s">
        <v>201</v>
      </c>
      <c r="AYQ17" s="310" t="s">
        <v>201</v>
      </c>
      <c r="AYR17" s="310" t="s">
        <v>201</v>
      </c>
      <c r="AYS17" s="310" t="s">
        <v>201</v>
      </c>
      <c r="AYT17" s="310" t="s">
        <v>201</v>
      </c>
      <c r="AYU17" s="310" t="s">
        <v>201</v>
      </c>
      <c r="AYV17" s="310" t="s">
        <v>201</v>
      </c>
      <c r="AYW17" s="310" t="s">
        <v>201</v>
      </c>
      <c r="AYX17" s="310" t="s">
        <v>201</v>
      </c>
      <c r="AYY17" s="310" t="s">
        <v>201</v>
      </c>
      <c r="AYZ17" s="310" t="s">
        <v>201</v>
      </c>
      <c r="AZA17" s="310" t="s">
        <v>201</v>
      </c>
      <c r="AZB17" s="310" t="s">
        <v>201</v>
      </c>
      <c r="AZC17" s="310" t="s">
        <v>201</v>
      </c>
      <c r="AZD17" s="310" t="s">
        <v>201</v>
      </c>
      <c r="AZE17" s="310" t="s">
        <v>201</v>
      </c>
      <c r="AZF17" s="310" t="s">
        <v>201</v>
      </c>
      <c r="AZG17" s="310" t="s">
        <v>201</v>
      </c>
      <c r="AZH17" s="310" t="s">
        <v>201</v>
      </c>
      <c r="AZI17" s="310" t="s">
        <v>201</v>
      </c>
      <c r="AZJ17" s="310" t="s">
        <v>201</v>
      </c>
      <c r="AZK17" s="310" t="s">
        <v>201</v>
      </c>
      <c r="AZL17" s="310" t="s">
        <v>201</v>
      </c>
      <c r="AZM17" s="310" t="s">
        <v>201</v>
      </c>
      <c r="AZN17" s="310" t="s">
        <v>201</v>
      </c>
      <c r="AZO17" s="310" t="s">
        <v>201</v>
      </c>
      <c r="AZP17" s="310" t="s">
        <v>201</v>
      </c>
      <c r="AZQ17" s="310" t="s">
        <v>201</v>
      </c>
      <c r="AZR17" s="310" t="s">
        <v>201</v>
      </c>
      <c r="AZS17" s="310" t="s">
        <v>201</v>
      </c>
      <c r="AZT17" s="310" t="s">
        <v>201</v>
      </c>
      <c r="AZU17" s="310" t="s">
        <v>201</v>
      </c>
      <c r="AZV17" s="310" t="s">
        <v>201</v>
      </c>
      <c r="AZW17" s="310" t="s">
        <v>201</v>
      </c>
      <c r="AZX17" s="310" t="s">
        <v>201</v>
      </c>
      <c r="AZY17" s="310" t="s">
        <v>201</v>
      </c>
      <c r="AZZ17" s="310" t="s">
        <v>201</v>
      </c>
      <c r="BAA17" s="310" t="s">
        <v>201</v>
      </c>
      <c r="BAB17" s="310" t="s">
        <v>201</v>
      </c>
      <c r="BAC17" s="310" t="s">
        <v>201</v>
      </c>
      <c r="BAD17" s="310" t="s">
        <v>201</v>
      </c>
      <c r="BAE17" s="310" t="s">
        <v>201</v>
      </c>
      <c r="BAF17" s="310" t="s">
        <v>201</v>
      </c>
      <c r="BAG17" s="310" t="s">
        <v>201</v>
      </c>
      <c r="BAH17" s="310" t="s">
        <v>201</v>
      </c>
      <c r="BAI17" s="310" t="s">
        <v>201</v>
      </c>
      <c r="BAJ17" s="310" t="s">
        <v>201</v>
      </c>
      <c r="BAK17" s="310" t="s">
        <v>201</v>
      </c>
      <c r="BAL17" s="310" t="s">
        <v>201</v>
      </c>
      <c r="BAM17" s="310" t="s">
        <v>201</v>
      </c>
      <c r="BAN17" s="310" t="s">
        <v>201</v>
      </c>
      <c r="BAO17" s="310" t="s">
        <v>201</v>
      </c>
      <c r="BAP17" s="310" t="s">
        <v>201</v>
      </c>
      <c r="BAQ17" s="310" t="s">
        <v>201</v>
      </c>
      <c r="BAR17" s="310" t="s">
        <v>201</v>
      </c>
      <c r="BAS17" s="310" t="s">
        <v>201</v>
      </c>
      <c r="BAT17" s="310" t="s">
        <v>201</v>
      </c>
      <c r="BAU17" s="310" t="s">
        <v>201</v>
      </c>
      <c r="BAV17" s="310" t="s">
        <v>201</v>
      </c>
      <c r="BAW17" s="310" t="s">
        <v>201</v>
      </c>
      <c r="BAX17" s="310" t="s">
        <v>201</v>
      </c>
      <c r="BAY17" s="310" t="s">
        <v>201</v>
      </c>
      <c r="BAZ17" s="310" t="s">
        <v>201</v>
      </c>
      <c r="BBA17" s="310" t="s">
        <v>201</v>
      </c>
      <c r="BBB17" s="310" t="s">
        <v>201</v>
      </c>
      <c r="BBC17" s="310" t="s">
        <v>201</v>
      </c>
      <c r="BBD17" s="310" t="s">
        <v>201</v>
      </c>
      <c r="BBE17" s="310" t="s">
        <v>201</v>
      </c>
      <c r="BBF17" s="310" t="s">
        <v>201</v>
      </c>
      <c r="BBG17" s="310" t="s">
        <v>201</v>
      </c>
      <c r="BBH17" s="310" t="s">
        <v>201</v>
      </c>
      <c r="BBI17" s="310" t="s">
        <v>201</v>
      </c>
      <c r="BBJ17" s="310" t="s">
        <v>201</v>
      </c>
      <c r="BBK17" s="310" t="s">
        <v>201</v>
      </c>
      <c r="BBL17" s="310" t="s">
        <v>201</v>
      </c>
      <c r="BBM17" s="310" t="s">
        <v>201</v>
      </c>
      <c r="BBN17" s="310" t="s">
        <v>201</v>
      </c>
      <c r="BBO17" s="310" t="s">
        <v>201</v>
      </c>
      <c r="BBP17" s="310" t="s">
        <v>201</v>
      </c>
      <c r="BBQ17" s="310" t="s">
        <v>201</v>
      </c>
      <c r="BBR17" s="310" t="s">
        <v>201</v>
      </c>
      <c r="BBS17" s="310" t="s">
        <v>201</v>
      </c>
      <c r="BBT17" s="310" t="s">
        <v>201</v>
      </c>
      <c r="BBU17" s="310" t="s">
        <v>201</v>
      </c>
      <c r="BBV17" s="310" t="s">
        <v>201</v>
      </c>
      <c r="BBW17" s="310" t="s">
        <v>201</v>
      </c>
      <c r="BBX17" s="310" t="s">
        <v>201</v>
      </c>
      <c r="BBY17" s="310" t="s">
        <v>201</v>
      </c>
      <c r="BBZ17" s="310" t="s">
        <v>201</v>
      </c>
      <c r="BCA17" s="310" t="s">
        <v>201</v>
      </c>
      <c r="BCB17" s="310" t="s">
        <v>201</v>
      </c>
      <c r="BCC17" s="310" t="s">
        <v>201</v>
      </c>
      <c r="BCD17" s="310" t="s">
        <v>201</v>
      </c>
      <c r="BCE17" s="310" t="s">
        <v>201</v>
      </c>
      <c r="BCF17" s="310" t="s">
        <v>201</v>
      </c>
      <c r="BCG17" s="310" t="s">
        <v>201</v>
      </c>
      <c r="BCH17" s="310" t="s">
        <v>201</v>
      </c>
      <c r="BCI17" s="310" t="s">
        <v>201</v>
      </c>
      <c r="BCJ17" s="310" t="s">
        <v>201</v>
      </c>
      <c r="BCK17" s="310" t="s">
        <v>201</v>
      </c>
      <c r="BCL17" s="310" t="s">
        <v>201</v>
      </c>
      <c r="BCM17" s="310" t="s">
        <v>201</v>
      </c>
      <c r="BCN17" s="310" t="s">
        <v>201</v>
      </c>
      <c r="BCO17" s="310" t="s">
        <v>201</v>
      </c>
      <c r="BCP17" s="310" t="s">
        <v>201</v>
      </c>
      <c r="BCQ17" s="310" t="s">
        <v>201</v>
      </c>
      <c r="BCR17" s="310" t="s">
        <v>201</v>
      </c>
      <c r="BCS17" s="310" t="s">
        <v>201</v>
      </c>
      <c r="BCT17" s="310" t="s">
        <v>201</v>
      </c>
      <c r="BCU17" s="310" t="s">
        <v>201</v>
      </c>
      <c r="BCV17" s="310" t="s">
        <v>201</v>
      </c>
      <c r="BCW17" s="310" t="s">
        <v>201</v>
      </c>
      <c r="BCX17" s="310" t="s">
        <v>201</v>
      </c>
      <c r="BCY17" s="310" t="s">
        <v>201</v>
      </c>
      <c r="BCZ17" s="310" t="s">
        <v>201</v>
      </c>
      <c r="BDA17" s="310" t="s">
        <v>201</v>
      </c>
      <c r="BDB17" s="310" t="s">
        <v>201</v>
      </c>
      <c r="BDC17" s="310" t="s">
        <v>201</v>
      </c>
      <c r="BDD17" s="310" t="s">
        <v>201</v>
      </c>
      <c r="BDE17" s="310" t="s">
        <v>201</v>
      </c>
      <c r="BDF17" s="310" t="s">
        <v>201</v>
      </c>
      <c r="BDG17" s="310" t="s">
        <v>201</v>
      </c>
      <c r="BDH17" s="310" t="s">
        <v>201</v>
      </c>
      <c r="BDI17" s="310" t="s">
        <v>201</v>
      </c>
      <c r="BDJ17" s="310" t="s">
        <v>201</v>
      </c>
      <c r="BDK17" s="310" t="s">
        <v>201</v>
      </c>
      <c r="BDL17" s="310" t="s">
        <v>201</v>
      </c>
      <c r="BDM17" s="310" t="s">
        <v>201</v>
      </c>
      <c r="BDN17" s="310" t="s">
        <v>201</v>
      </c>
      <c r="BDO17" s="310" t="s">
        <v>201</v>
      </c>
      <c r="BDP17" s="310" t="s">
        <v>201</v>
      </c>
      <c r="BDQ17" s="310" t="s">
        <v>201</v>
      </c>
      <c r="BDR17" s="310" t="s">
        <v>201</v>
      </c>
      <c r="BDS17" s="310" t="s">
        <v>201</v>
      </c>
      <c r="BDT17" s="310" t="s">
        <v>201</v>
      </c>
      <c r="BDU17" s="310" t="s">
        <v>201</v>
      </c>
      <c r="BDV17" s="310" t="s">
        <v>201</v>
      </c>
      <c r="BDW17" s="310" t="s">
        <v>201</v>
      </c>
      <c r="BDX17" s="310" t="s">
        <v>201</v>
      </c>
      <c r="BDY17" s="310" t="s">
        <v>201</v>
      </c>
      <c r="BDZ17" s="310" t="s">
        <v>201</v>
      </c>
      <c r="BEA17" s="310" t="s">
        <v>201</v>
      </c>
      <c r="BEB17" s="310" t="s">
        <v>201</v>
      </c>
      <c r="BEC17" s="310" t="s">
        <v>201</v>
      </c>
      <c r="BED17" s="310" t="s">
        <v>201</v>
      </c>
      <c r="BEE17" s="310" t="s">
        <v>201</v>
      </c>
      <c r="BEF17" s="310" t="s">
        <v>201</v>
      </c>
      <c r="BEG17" s="310" t="s">
        <v>201</v>
      </c>
      <c r="BEH17" s="310" t="s">
        <v>201</v>
      </c>
      <c r="BEI17" s="310" t="s">
        <v>201</v>
      </c>
      <c r="BEJ17" s="310" t="s">
        <v>201</v>
      </c>
      <c r="BEK17" s="310" t="s">
        <v>201</v>
      </c>
      <c r="BEL17" s="310" t="s">
        <v>201</v>
      </c>
      <c r="BEM17" s="310" t="s">
        <v>201</v>
      </c>
      <c r="BEN17" s="310" t="s">
        <v>201</v>
      </c>
      <c r="BEO17" s="310" t="s">
        <v>201</v>
      </c>
      <c r="BEP17" s="310" t="s">
        <v>201</v>
      </c>
      <c r="BEQ17" s="310" t="s">
        <v>201</v>
      </c>
      <c r="BER17" s="310" t="s">
        <v>201</v>
      </c>
      <c r="BES17" s="310" t="s">
        <v>201</v>
      </c>
      <c r="BET17" s="310" t="s">
        <v>201</v>
      </c>
      <c r="BEU17" s="310" t="s">
        <v>201</v>
      </c>
      <c r="BEV17" s="310" t="s">
        <v>201</v>
      </c>
      <c r="BEW17" s="310" t="s">
        <v>201</v>
      </c>
      <c r="BEX17" s="310" t="s">
        <v>201</v>
      </c>
      <c r="BEY17" s="310" t="s">
        <v>201</v>
      </c>
      <c r="BEZ17" s="310" t="s">
        <v>201</v>
      </c>
      <c r="BFA17" s="310" t="s">
        <v>201</v>
      </c>
      <c r="BFB17" s="310" t="s">
        <v>201</v>
      </c>
      <c r="BFC17" s="310" t="s">
        <v>201</v>
      </c>
      <c r="BFD17" s="310" t="s">
        <v>201</v>
      </c>
      <c r="BFE17" s="310" t="s">
        <v>201</v>
      </c>
      <c r="BFF17" s="310" t="s">
        <v>201</v>
      </c>
      <c r="BFG17" s="310" t="s">
        <v>201</v>
      </c>
      <c r="BFH17" s="310" t="s">
        <v>201</v>
      </c>
      <c r="BFI17" s="310" t="s">
        <v>201</v>
      </c>
      <c r="BFJ17" s="310" t="s">
        <v>201</v>
      </c>
      <c r="BFK17" s="310" t="s">
        <v>201</v>
      </c>
      <c r="BFL17" s="310" t="s">
        <v>201</v>
      </c>
      <c r="BFM17" s="310" t="s">
        <v>201</v>
      </c>
      <c r="BFN17" s="310" t="s">
        <v>201</v>
      </c>
      <c r="BFO17" s="310" t="s">
        <v>201</v>
      </c>
      <c r="BFP17" s="310" t="s">
        <v>201</v>
      </c>
      <c r="BFQ17" s="310" t="s">
        <v>201</v>
      </c>
      <c r="BFR17" s="310" t="s">
        <v>201</v>
      </c>
      <c r="BFS17" s="310" t="s">
        <v>201</v>
      </c>
      <c r="BFT17" s="310" t="s">
        <v>201</v>
      </c>
      <c r="BFU17" s="310" t="s">
        <v>201</v>
      </c>
      <c r="BFV17" s="310" t="s">
        <v>201</v>
      </c>
      <c r="BFW17" s="310" t="s">
        <v>201</v>
      </c>
      <c r="BFX17" s="310" t="s">
        <v>201</v>
      </c>
      <c r="BFY17" s="310" t="s">
        <v>201</v>
      </c>
      <c r="BFZ17" s="310" t="s">
        <v>201</v>
      </c>
      <c r="BGA17" s="310" t="s">
        <v>201</v>
      </c>
      <c r="BGB17" s="310" t="s">
        <v>201</v>
      </c>
      <c r="BGC17" s="310" t="s">
        <v>201</v>
      </c>
      <c r="BGD17" s="310" t="s">
        <v>201</v>
      </c>
      <c r="BGE17" s="310" t="s">
        <v>201</v>
      </c>
      <c r="BGF17" s="310" t="s">
        <v>201</v>
      </c>
      <c r="BGG17" s="310" t="s">
        <v>201</v>
      </c>
      <c r="BGH17" s="310" t="s">
        <v>201</v>
      </c>
      <c r="BGI17" s="310" t="s">
        <v>201</v>
      </c>
      <c r="BGJ17" s="310" t="s">
        <v>201</v>
      </c>
      <c r="BGK17" s="310" t="s">
        <v>201</v>
      </c>
      <c r="BGL17" s="310" t="s">
        <v>201</v>
      </c>
      <c r="BGM17" s="310" t="s">
        <v>201</v>
      </c>
      <c r="BGN17" s="310" t="s">
        <v>201</v>
      </c>
      <c r="BGO17" s="310" t="s">
        <v>201</v>
      </c>
      <c r="BGP17" s="310" t="s">
        <v>201</v>
      </c>
      <c r="BGQ17" s="310" t="s">
        <v>201</v>
      </c>
      <c r="BGR17" s="310" t="s">
        <v>201</v>
      </c>
      <c r="BGS17" s="310" t="s">
        <v>201</v>
      </c>
      <c r="BGT17" s="310" t="s">
        <v>201</v>
      </c>
      <c r="BGU17" s="310" t="s">
        <v>201</v>
      </c>
      <c r="BGV17" s="310" t="s">
        <v>201</v>
      </c>
      <c r="BGW17" s="310" t="s">
        <v>201</v>
      </c>
      <c r="BGX17" s="310" t="s">
        <v>201</v>
      </c>
      <c r="BGY17" s="310" t="s">
        <v>201</v>
      </c>
      <c r="BGZ17" s="310" t="s">
        <v>201</v>
      </c>
      <c r="BHA17" s="310" t="s">
        <v>201</v>
      </c>
      <c r="BHB17" s="310" t="s">
        <v>201</v>
      </c>
      <c r="BHC17" s="310" t="s">
        <v>201</v>
      </c>
      <c r="BHD17" s="310" t="s">
        <v>201</v>
      </c>
      <c r="BHE17" s="310" t="s">
        <v>201</v>
      </c>
      <c r="BHF17" s="310" t="s">
        <v>201</v>
      </c>
      <c r="BHG17" s="310" t="s">
        <v>201</v>
      </c>
      <c r="BHH17" s="310" t="s">
        <v>201</v>
      </c>
      <c r="BHI17" s="310" t="s">
        <v>201</v>
      </c>
      <c r="BHJ17" s="310" t="s">
        <v>201</v>
      </c>
      <c r="BHK17" s="310" t="s">
        <v>201</v>
      </c>
      <c r="BHL17" s="310" t="s">
        <v>201</v>
      </c>
      <c r="BHM17" s="310" t="s">
        <v>201</v>
      </c>
      <c r="BHN17" s="310" t="s">
        <v>201</v>
      </c>
      <c r="BHO17" s="310" t="s">
        <v>201</v>
      </c>
      <c r="BHP17" s="310" t="s">
        <v>201</v>
      </c>
      <c r="BHQ17" s="310" t="s">
        <v>201</v>
      </c>
      <c r="BHR17" s="310" t="s">
        <v>201</v>
      </c>
      <c r="BHS17" s="310" t="s">
        <v>201</v>
      </c>
      <c r="BHT17" s="310" t="s">
        <v>201</v>
      </c>
      <c r="BHU17" s="310" t="s">
        <v>201</v>
      </c>
      <c r="BHV17" s="310" t="s">
        <v>201</v>
      </c>
      <c r="BHW17" s="310" t="s">
        <v>201</v>
      </c>
      <c r="BHX17" s="310" t="s">
        <v>201</v>
      </c>
      <c r="BHY17" s="310" t="s">
        <v>201</v>
      </c>
      <c r="BHZ17" s="310" t="s">
        <v>201</v>
      </c>
      <c r="BIA17" s="310" t="s">
        <v>201</v>
      </c>
      <c r="BIB17" s="310" t="s">
        <v>201</v>
      </c>
      <c r="BIC17" s="310" t="s">
        <v>201</v>
      </c>
      <c r="BID17" s="310" t="s">
        <v>201</v>
      </c>
      <c r="BIE17" s="310" t="s">
        <v>201</v>
      </c>
      <c r="BIF17" s="310" t="s">
        <v>201</v>
      </c>
      <c r="BIG17" s="310" t="s">
        <v>201</v>
      </c>
      <c r="BIH17" s="310" t="s">
        <v>201</v>
      </c>
      <c r="BII17" s="310" t="s">
        <v>201</v>
      </c>
      <c r="BIJ17" s="310" t="s">
        <v>201</v>
      </c>
      <c r="BIK17" s="310" t="s">
        <v>201</v>
      </c>
      <c r="BIL17" s="310" t="s">
        <v>201</v>
      </c>
      <c r="BIM17" s="310" t="s">
        <v>201</v>
      </c>
      <c r="BIN17" s="310" t="s">
        <v>201</v>
      </c>
      <c r="BIO17" s="310" t="s">
        <v>201</v>
      </c>
      <c r="BIP17" s="310" t="s">
        <v>201</v>
      </c>
      <c r="BIQ17" s="310" t="s">
        <v>201</v>
      </c>
      <c r="BIR17" s="310" t="s">
        <v>201</v>
      </c>
      <c r="BIS17" s="310" t="s">
        <v>201</v>
      </c>
      <c r="BIT17" s="310" t="s">
        <v>201</v>
      </c>
      <c r="BIU17" s="310" t="s">
        <v>201</v>
      </c>
      <c r="BIV17" s="310" t="s">
        <v>201</v>
      </c>
      <c r="BIW17" s="310" t="s">
        <v>201</v>
      </c>
      <c r="BIX17" s="310" t="s">
        <v>201</v>
      </c>
      <c r="BIY17" s="310" t="s">
        <v>201</v>
      </c>
      <c r="BIZ17" s="310" t="s">
        <v>201</v>
      </c>
      <c r="BJA17" s="310" t="s">
        <v>201</v>
      </c>
      <c r="BJB17" s="310" t="s">
        <v>201</v>
      </c>
      <c r="BJC17" s="310" t="s">
        <v>201</v>
      </c>
      <c r="BJD17" s="310" t="s">
        <v>201</v>
      </c>
      <c r="BJE17" s="310" t="s">
        <v>201</v>
      </c>
      <c r="BJF17" s="310" t="s">
        <v>201</v>
      </c>
      <c r="BJG17" s="310" t="s">
        <v>201</v>
      </c>
      <c r="BJH17" s="310" t="s">
        <v>201</v>
      </c>
      <c r="BJI17" s="310" t="s">
        <v>201</v>
      </c>
      <c r="BJJ17" s="310" t="s">
        <v>201</v>
      </c>
      <c r="BJK17" s="310" t="s">
        <v>201</v>
      </c>
      <c r="BJL17" s="310" t="s">
        <v>201</v>
      </c>
      <c r="BJM17" s="310" t="s">
        <v>201</v>
      </c>
      <c r="BJN17" s="310" t="s">
        <v>201</v>
      </c>
      <c r="BJO17" s="310" t="s">
        <v>201</v>
      </c>
      <c r="BJP17" s="310" t="s">
        <v>201</v>
      </c>
      <c r="BJQ17" s="310" t="s">
        <v>201</v>
      </c>
      <c r="BJR17" s="310" t="s">
        <v>201</v>
      </c>
      <c r="BJS17" s="310" t="s">
        <v>201</v>
      </c>
      <c r="BJT17" s="310" t="s">
        <v>201</v>
      </c>
      <c r="BJU17" s="310" t="s">
        <v>201</v>
      </c>
      <c r="BJV17" s="310" t="s">
        <v>201</v>
      </c>
      <c r="BJW17" s="310" t="s">
        <v>201</v>
      </c>
      <c r="BJX17" s="310" t="s">
        <v>201</v>
      </c>
      <c r="BJY17" s="310" t="s">
        <v>201</v>
      </c>
      <c r="BJZ17" s="310" t="s">
        <v>201</v>
      </c>
      <c r="BKA17" s="310" t="s">
        <v>201</v>
      </c>
      <c r="BKB17" s="310" t="s">
        <v>201</v>
      </c>
      <c r="BKC17" s="310" t="s">
        <v>201</v>
      </c>
      <c r="BKD17" s="310" t="s">
        <v>201</v>
      </c>
      <c r="BKE17" s="310" t="s">
        <v>201</v>
      </c>
      <c r="BKF17" s="310" t="s">
        <v>201</v>
      </c>
      <c r="BKG17" s="310" t="s">
        <v>201</v>
      </c>
      <c r="BKH17" s="310" t="s">
        <v>201</v>
      </c>
      <c r="BKI17" s="310" t="s">
        <v>201</v>
      </c>
      <c r="BKJ17" s="310" t="s">
        <v>201</v>
      </c>
      <c r="BKK17" s="310" t="s">
        <v>201</v>
      </c>
      <c r="BKL17" s="310" t="s">
        <v>201</v>
      </c>
      <c r="BKM17" s="310" t="s">
        <v>201</v>
      </c>
      <c r="BKN17" s="310" t="s">
        <v>201</v>
      </c>
      <c r="BKO17" s="310" t="s">
        <v>201</v>
      </c>
      <c r="BKP17" s="310" t="s">
        <v>201</v>
      </c>
      <c r="BKQ17" s="310" t="s">
        <v>201</v>
      </c>
      <c r="BKR17" s="310" t="s">
        <v>201</v>
      </c>
      <c r="BKS17" s="310" t="s">
        <v>201</v>
      </c>
      <c r="BKT17" s="310" t="s">
        <v>201</v>
      </c>
      <c r="BKU17" s="310" t="s">
        <v>201</v>
      </c>
      <c r="BKV17" s="310" t="s">
        <v>201</v>
      </c>
      <c r="BKW17" s="310" t="s">
        <v>201</v>
      </c>
      <c r="BKX17" s="310" t="s">
        <v>201</v>
      </c>
      <c r="BKY17" s="310" t="s">
        <v>201</v>
      </c>
      <c r="BKZ17" s="310" t="s">
        <v>201</v>
      </c>
      <c r="BLA17" s="310" t="s">
        <v>201</v>
      </c>
      <c r="BLB17" s="310" t="s">
        <v>201</v>
      </c>
      <c r="BLC17" s="310" t="s">
        <v>201</v>
      </c>
      <c r="BLD17" s="310" t="s">
        <v>201</v>
      </c>
      <c r="BLE17" s="310" t="s">
        <v>201</v>
      </c>
      <c r="BLF17" s="310" t="s">
        <v>201</v>
      </c>
      <c r="BLG17" s="310" t="s">
        <v>201</v>
      </c>
      <c r="BLH17" s="310" t="s">
        <v>201</v>
      </c>
      <c r="BLI17" s="310" t="s">
        <v>201</v>
      </c>
      <c r="BLJ17" s="310" t="s">
        <v>201</v>
      </c>
      <c r="BLK17" s="310" t="s">
        <v>201</v>
      </c>
      <c r="BLL17" s="310" t="s">
        <v>201</v>
      </c>
      <c r="BLM17" s="310" t="s">
        <v>201</v>
      </c>
      <c r="BLN17" s="310" t="s">
        <v>201</v>
      </c>
      <c r="BLO17" s="310" t="s">
        <v>201</v>
      </c>
      <c r="BLP17" s="310" t="s">
        <v>201</v>
      </c>
      <c r="BLQ17" s="310" t="s">
        <v>201</v>
      </c>
      <c r="BLR17" s="310" t="s">
        <v>201</v>
      </c>
      <c r="BLS17" s="310" t="s">
        <v>201</v>
      </c>
      <c r="BLT17" s="310" t="s">
        <v>201</v>
      </c>
      <c r="BLU17" s="310" t="s">
        <v>201</v>
      </c>
      <c r="BLV17" s="310" t="s">
        <v>201</v>
      </c>
      <c r="BLW17" s="310" t="s">
        <v>201</v>
      </c>
      <c r="BLX17" s="310" t="s">
        <v>201</v>
      </c>
      <c r="BLY17" s="310" t="s">
        <v>201</v>
      </c>
      <c r="BLZ17" s="310" t="s">
        <v>201</v>
      </c>
      <c r="BMA17" s="310" t="s">
        <v>201</v>
      </c>
      <c r="BMB17" s="310" t="s">
        <v>201</v>
      </c>
      <c r="BMC17" s="310" t="s">
        <v>201</v>
      </c>
      <c r="BMD17" s="310" t="s">
        <v>201</v>
      </c>
      <c r="BME17" s="310" t="s">
        <v>201</v>
      </c>
      <c r="BMF17" s="310" t="s">
        <v>201</v>
      </c>
      <c r="BMG17" s="310" t="s">
        <v>201</v>
      </c>
      <c r="BMH17" s="310" t="s">
        <v>201</v>
      </c>
      <c r="BMI17" s="310" t="s">
        <v>201</v>
      </c>
      <c r="BMJ17" s="310" t="s">
        <v>201</v>
      </c>
      <c r="BMK17" s="310" t="s">
        <v>201</v>
      </c>
      <c r="BML17" s="310" t="s">
        <v>201</v>
      </c>
      <c r="BMM17" s="310" t="s">
        <v>201</v>
      </c>
      <c r="BMN17" s="310" t="s">
        <v>201</v>
      </c>
      <c r="BMO17" s="310" t="s">
        <v>201</v>
      </c>
      <c r="BMP17" s="310" t="s">
        <v>201</v>
      </c>
      <c r="BMQ17" s="310" t="s">
        <v>201</v>
      </c>
      <c r="BMR17" s="310" t="s">
        <v>201</v>
      </c>
      <c r="BMS17" s="310" t="s">
        <v>201</v>
      </c>
      <c r="BMT17" s="310" t="s">
        <v>201</v>
      </c>
      <c r="BMU17" s="310" t="s">
        <v>201</v>
      </c>
      <c r="BMV17" s="310" t="s">
        <v>201</v>
      </c>
      <c r="BMW17" s="310" t="s">
        <v>201</v>
      </c>
      <c r="BMX17" s="310" t="s">
        <v>201</v>
      </c>
      <c r="BMY17" s="310" t="s">
        <v>201</v>
      </c>
      <c r="BMZ17" s="310" t="s">
        <v>201</v>
      </c>
      <c r="BNA17" s="310" t="s">
        <v>201</v>
      </c>
      <c r="BNB17" s="310" t="s">
        <v>201</v>
      </c>
      <c r="BNC17" s="310" t="s">
        <v>201</v>
      </c>
      <c r="BND17" s="310" t="s">
        <v>201</v>
      </c>
      <c r="BNE17" s="310" t="s">
        <v>201</v>
      </c>
      <c r="BNF17" s="310" t="s">
        <v>201</v>
      </c>
      <c r="BNG17" s="310" t="s">
        <v>201</v>
      </c>
      <c r="BNH17" s="310" t="s">
        <v>201</v>
      </c>
      <c r="BNI17" s="310" t="s">
        <v>201</v>
      </c>
      <c r="BNJ17" s="310" t="s">
        <v>201</v>
      </c>
      <c r="BNK17" s="310" t="s">
        <v>201</v>
      </c>
      <c r="BNL17" s="310" t="s">
        <v>201</v>
      </c>
      <c r="BNM17" s="310" t="s">
        <v>201</v>
      </c>
      <c r="BNN17" s="310" t="s">
        <v>201</v>
      </c>
      <c r="BNO17" s="310" t="s">
        <v>201</v>
      </c>
      <c r="BNP17" s="310" t="s">
        <v>201</v>
      </c>
      <c r="BNQ17" s="310" t="s">
        <v>201</v>
      </c>
      <c r="BNR17" s="310" t="s">
        <v>201</v>
      </c>
      <c r="BNS17" s="310" t="s">
        <v>201</v>
      </c>
      <c r="BNT17" s="310" t="s">
        <v>201</v>
      </c>
      <c r="BNU17" s="310" t="s">
        <v>201</v>
      </c>
      <c r="BNV17" s="310" t="s">
        <v>201</v>
      </c>
      <c r="BNW17" s="310" t="s">
        <v>201</v>
      </c>
      <c r="BNX17" s="310" t="s">
        <v>201</v>
      </c>
      <c r="BNY17" s="310" t="s">
        <v>201</v>
      </c>
      <c r="BNZ17" s="310" t="s">
        <v>201</v>
      </c>
      <c r="BOA17" s="310" t="s">
        <v>201</v>
      </c>
      <c r="BOB17" s="310" t="s">
        <v>201</v>
      </c>
      <c r="BOC17" s="310" t="s">
        <v>201</v>
      </c>
      <c r="BOD17" s="310" t="s">
        <v>201</v>
      </c>
      <c r="BOE17" s="310" t="s">
        <v>201</v>
      </c>
      <c r="BOF17" s="310" t="s">
        <v>201</v>
      </c>
      <c r="BOG17" s="310" t="s">
        <v>201</v>
      </c>
      <c r="BOH17" s="310" t="s">
        <v>201</v>
      </c>
      <c r="BOI17" s="310" t="s">
        <v>201</v>
      </c>
      <c r="BOJ17" s="310" t="s">
        <v>201</v>
      </c>
      <c r="BOK17" s="310" t="s">
        <v>201</v>
      </c>
      <c r="BOL17" s="310" t="s">
        <v>201</v>
      </c>
      <c r="BOM17" s="310" t="s">
        <v>201</v>
      </c>
      <c r="BON17" s="310" t="s">
        <v>201</v>
      </c>
      <c r="BOO17" s="310" t="s">
        <v>201</v>
      </c>
      <c r="BOP17" s="310" t="s">
        <v>201</v>
      </c>
      <c r="BOQ17" s="310" t="s">
        <v>201</v>
      </c>
      <c r="BOR17" s="310" t="s">
        <v>201</v>
      </c>
      <c r="BOS17" s="310" t="s">
        <v>201</v>
      </c>
      <c r="BOT17" s="310" t="s">
        <v>201</v>
      </c>
      <c r="BOU17" s="310" t="s">
        <v>201</v>
      </c>
      <c r="BOV17" s="310" t="s">
        <v>201</v>
      </c>
      <c r="BOW17" s="310" t="s">
        <v>201</v>
      </c>
      <c r="BOX17" s="310" t="s">
        <v>201</v>
      </c>
      <c r="BOY17" s="310" t="s">
        <v>201</v>
      </c>
      <c r="BOZ17" s="310" t="s">
        <v>201</v>
      </c>
      <c r="BPA17" s="310" t="s">
        <v>201</v>
      </c>
      <c r="BPB17" s="310" t="s">
        <v>201</v>
      </c>
      <c r="BPC17" s="310" t="s">
        <v>201</v>
      </c>
      <c r="BPD17" s="310" t="s">
        <v>201</v>
      </c>
      <c r="BPE17" s="310" t="s">
        <v>201</v>
      </c>
      <c r="BPF17" s="310" t="s">
        <v>201</v>
      </c>
      <c r="BPG17" s="310" t="s">
        <v>201</v>
      </c>
      <c r="BPH17" s="310" t="s">
        <v>201</v>
      </c>
      <c r="BPI17" s="310" t="s">
        <v>201</v>
      </c>
      <c r="BPJ17" s="310" t="s">
        <v>201</v>
      </c>
      <c r="BPK17" s="310" t="s">
        <v>201</v>
      </c>
      <c r="BPL17" s="310" t="s">
        <v>201</v>
      </c>
      <c r="BPM17" s="310" t="s">
        <v>201</v>
      </c>
      <c r="BPN17" s="310" t="s">
        <v>201</v>
      </c>
      <c r="BPO17" s="310" t="s">
        <v>201</v>
      </c>
      <c r="BPP17" s="310" t="s">
        <v>201</v>
      </c>
      <c r="BPQ17" s="310" t="s">
        <v>201</v>
      </c>
      <c r="BPR17" s="310" t="s">
        <v>201</v>
      </c>
      <c r="BPS17" s="310" t="s">
        <v>201</v>
      </c>
      <c r="BPT17" s="310" t="s">
        <v>201</v>
      </c>
      <c r="BPU17" s="310" t="s">
        <v>201</v>
      </c>
      <c r="BPV17" s="310" t="s">
        <v>201</v>
      </c>
      <c r="BPW17" s="310" t="s">
        <v>201</v>
      </c>
      <c r="BPX17" s="310" t="s">
        <v>201</v>
      </c>
      <c r="BPY17" s="310" t="s">
        <v>201</v>
      </c>
      <c r="BPZ17" s="310" t="s">
        <v>201</v>
      </c>
      <c r="BQA17" s="310" t="s">
        <v>201</v>
      </c>
      <c r="BQB17" s="310" t="s">
        <v>201</v>
      </c>
      <c r="BQC17" s="310" t="s">
        <v>201</v>
      </c>
      <c r="BQD17" s="310" t="s">
        <v>201</v>
      </c>
      <c r="BQE17" s="310" t="s">
        <v>201</v>
      </c>
      <c r="BQF17" s="310" t="s">
        <v>201</v>
      </c>
      <c r="BQG17" s="310" t="s">
        <v>201</v>
      </c>
      <c r="BQH17" s="310" t="s">
        <v>201</v>
      </c>
      <c r="BQI17" s="310" t="s">
        <v>201</v>
      </c>
      <c r="BQJ17" s="310" t="s">
        <v>201</v>
      </c>
      <c r="BQK17" s="310" t="s">
        <v>201</v>
      </c>
      <c r="BQL17" s="310" t="s">
        <v>201</v>
      </c>
      <c r="BQM17" s="310" t="s">
        <v>201</v>
      </c>
      <c r="BQN17" s="310" t="s">
        <v>201</v>
      </c>
      <c r="BQO17" s="310" t="s">
        <v>201</v>
      </c>
      <c r="BQP17" s="310" t="s">
        <v>201</v>
      </c>
      <c r="BQQ17" s="310" t="s">
        <v>201</v>
      </c>
      <c r="BQR17" s="310" t="s">
        <v>201</v>
      </c>
      <c r="BQS17" s="310" t="s">
        <v>201</v>
      </c>
      <c r="BQT17" s="310" t="s">
        <v>201</v>
      </c>
      <c r="BQU17" s="310" t="s">
        <v>201</v>
      </c>
      <c r="BQV17" s="310" t="s">
        <v>201</v>
      </c>
      <c r="BQW17" s="310" t="s">
        <v>201</v>
      </c>
      <c r="BQX17" s="310" t="s">
        <v>201</v>
      </c>
      <c r="BQY17" s="310" t="s">
        <v>201</v>
      </c>
      <c r="BQZ17" s="310" t="s">
        <v>201</v>
      </c>
      <c r="BRA17" s="310" t="s">
        <v>201</v>
      </c>
      <c r="BRB17" s="310" t="s">
        <v>201</v>
      </c>
      <c r="BRC17" s="310" t="s">
        <v>201</v>
      </c>
      <c r="BRD17" s="310" t="s">
        <v>201</v>
      </c>
      <c r="BRE17" s="310" t="s">
        <v>201</v>
      </c>
      <c r="BRF17" s="310" t="s">
        <v>201</v>
      </c>
      <c r="BRG17" s="310" t="s">
        <v>201</v>
      </c>
      <c r="BRH17" s="310" t="s">
        <v>201</v>
      </c>
      <c r="BRI17" s="310" t="s">
        <v>201</v>
      </c>
      <c r="BRJ17" s="310" t="s">
        <v>201</v>
      </c>
      <c r="BRK17" s="310" t="s">
        <v>201</v>
      </c>
      <c r="BRL17" s="310" t="s">
        <v>201</v>
      </c>
      <c r="BRM17" s="310" t="s">
        <v>201</v>
      </c>
      <c r="BRN17" s="310" t="s">
        <v>201</v>
      </c>
      <c r="BRO17" s="310" t="s">
        <v>201</v>
      </c>
      <c r="BRP17" s="310" t="s">
        <v>201</v>
      </c>
      <c r="BRQ17" s="310" t="s">
        <v>201</v>
      </c>
      <c r="BRR17" s="310" t="s">
        <v>201</v>
      </c>
      <c r="BRS17" s="310" t="s">
        <v>201</v>
      </c>
      <c r="BRT17" s="310" t="s">
        <v>201</v>
      </c>
      <c r="BRU17" s="310" t="s">
        <v>201</v>
      </c>
      <c r="BRV17" s="310" t="s">
        <v>201</v>
      </c>
      <c r="BRW17" s="310" t="s">
        <v>201</v>
      </c>
      <c r="BRX17" s="310" t="s">
        <v>201</v>
      </c>
      <c r="BRY17" s="310" t="s">
        <v>201</v>
      </c>
      <c r="BRZ17" s="310" t="s">
        <v>201</v>
      </c>
      <c r="BSA17" s="310" t="s">
        <v>201</v>
      </c>
      <c r="BSB17" s="310" t="s">
        <v>201</v>
      </c>
      <c r="BSC17" s="310" t="s">
        <v>201</v>
      </c>
      <c r="BSD17" s="310" t="s">
        <v>201</v>
      </c>
      <c r="BSE17" s="310" t="s">
        <v>201</v>
      </c>
      <c r="BSF17" s="310" t="s">
        <v>201</v>
      </c>
      <c r="BSG17" s="310" t="s">
        <v>201</v>
      </c>
      <c r="BSH17" s="310" t="s">
        <v>201</v>
      </c>
      <c r="BSI17" s="310" t="s">
        <v>201</v>
      </c>
      <c r="BSJ17" s="310" t="s">
        <v>201</v>
      </c>
      <c r="BSK17" s="310" t="s">
        <v>201</v>
      </c>
      <c r="BSL17" s="310" t="s">
        <v>201</v>
      </c>
      <c r="BSM17" s="310" t="s">
        <v>201</v>
      </c>
      <c r="BSN17" s="310" t="s">
        <v>201</v>
      </c>
      <c r="BSO17" s="310" t="s">
        <v>201</v>
      </c>
      <c r="BSP17" s="310" t="s">
        <v>201</v>
      </c>
      <c r="BSQ17" s="310" t="s">
        <v>201</v>
      </c>
      <c r="BSR17" s="310" t="s">
        <v>201</v>
      </c>
      <c r="BSS17" s="310" t="s">
        <v>201</v>
      </c>
      <c r="BST17" s="310" t="s">
        <v>201</v>
      </c>
      <c r="BSU17" s="310" t="s">
        <v>201</v>
      </c>
      <c r="BSV17" s="310" t="s">
        <v>201</v>
      </c>
      <c r="BSW17" s="310" t="s">
        <v>201</v>
      </c>
      <c r="BSX17" s="310" t="s">
        <v>201</v>
      </c>
      <c r="BSY17" s="310" t="s">
        <v>201</v>
      </c>
      <c r="BSZ17" s="310" t="s">
        <v>201</v>
      </c>
      <c r="BTA17" s="310" t="s">
        <v>201</v>
      </c>
      <c r="BTB17" s="310" t="s">
        <v>201</v>
      </c>
      <c r="BTC17" s="310" t="s">
        <v>201</v>
      </c>
      <c r="BTD17" s="310" t="s">
        <v>201</v>
      </c>
      <c r="BTE17" s="310" t="s">
        <v>201</v>
      </c>
      <c r="BTF17" s="310" t="s">
        <v>201</v>
      </c>
      <c r="BTG17" s="310" t="s">
        <v>201</v>
      </c>
      <c r="BTH17" s="310" t="s">
        <v>201</v>
      </c>
      <c r="BTI17" s="310" t="s">
        <v>201</v>
      </c>
      <c r="BTJ17" s="310" t="s">
        <v>201</v>
      </c>
      <c r="BTK17" s="310" t="s">
        <v>201</v>
      </c>
      <c r="BTL17" s="310" t="s">
        <v>201</v>
      </c>
      <c r="BTM17" s="310" t="s">
        <v>201</v>
      </c>
      <c r="BTN17" s="310" t="s">
        <v>201</v>
      </c>
      <c r="BTO17" s="310" t="s">
        <v>201</v>
      </c>
      <c r="BTP17" s="310" t="s">
        <v>201</v>
      </c>
      <c r="BTQ17" s="310" t="s">
        <v>201</v>
      </c>
      <c r="BTR17" s="310" t="s">
        <v>201</v>
      </c>
      <c r="BTS17" s="310" t="s">
        <v>201</v>
      </c>
      <c r="BTT17" s="310" t="s">
        <v>201</v>
      </c>
      <c r="BTU17" s="310" t="s">
        <v>201</v>
      </c>
      <c r="BTV17" s="310" t="s">
        <v>201</v>
      </c>
      <c r="BTW17" s="310" t="s">
        <v>201</v>
      </c>
      <c r="BTX17" s="310" t="s">
        <v>201</v>
      </c>
      <c r="BTY17" s="310" t="s">
        <v>201</v>
      </c>
      <c r="BTZ17" s="310" t="s">
        <v>201</v>
      </c>
      <c r="BUA17" s="310" t="s">
        <v>201</v>
      </c>
      <c r="BUB17" s="310" t="s">
        <v>201</v>
      </c>
      <c r="BUC17" s="310" t="s">
        <v>201</v>
      </c>
      <c r="BUD17" s="310" t="s">
        <v>201</v>
      </c>
      <c r="BUE17" s="310" t="s">
        <v>201</v>
      </c>
      <c r="BUF17" s="310" t="s">
        <v>201</v>
      </c>
      <c r="BUG17" s="310" t="s">
        <v>201</v>
      </c>
      <c r="BUH17" s="310" t="s">
        <v>201</v>
      </c>
      <c r="BUI17" s="310" t="s">
        <v>201</v>
      </c>
      <c r="BUJ17" s="310" t="s">
        <v>201</v>
      </c>
      <c r="BUK17" s="310" t="s">
        <v>201</v>
      </c>
      <c r="BUL17" s="310" t="s">
        <v>201</v>
      </c>
      <c r="BUM17" s="310" t="s">
        <v>201</v>
      </c>
      <c r="BUN17" s="310" t="s">
        <v>201</v>
      </c>
      <c r="BUO17" s="310" t="s">
        <v>201</v>
      </c>
      <c r="BUP17" s="310" t="s">
        <v>201</v>
      </c>
      <c r="BUQ17" s="310" t="s">
        <v>201</v>
      </c>
      <c r="BUR17" s="310" t="s">
        <v>201</v>
      </c>
      <c r="BUS17" s="310" t="s">
        <v>201</v>
      </c>
      <c r="BUT17" s="310" t="s">
        <v>201</v>
      </c>
      <c r="BUU17" s="310" t="s">
        <v>201</v>
      </c>
      <c r="BUV17" s="310" t="s">
        <v>201</v>
      </c>
      <c r="BUW17" s="310" t="s">
        <v>201</v>
      </c>
      <c r="BUX17" s="310" t="s">
        <v>201</v>
      </c>
      <c r="BUY17" s="310" t="s">
        <v>201</v>
      </c>
      <c r="BUZ17" s="310" t="s">
        <v>201</v>
      </c>
      <c r="BVA17" s="310" t="s">
        <v>201</v>
      </c>
      <c r="BVB17" s="310" t="s">
        <v>201</v>
      </c>
      <c r="BVC17" s="310" t="s">
        <v>201</v>
      </c>
      <c r="BVD17" s="310" t="s">
        <v>201</v>
      </c>
      <c r="BVE17" s="310" t="s">
        <v>201</v>
      </c>
      <c r="BVF17" s="310" t="s">
        <v>201</v>
      </c>
      <c r="BVG17" s="310" t="s">
        <v>201</v>
      </c>
      <c r="BVH17" s="310" t="s">
        <v>201</v>
      </c>
      <c r="BVI17" s="310" t="s">
        <v>201</v>
      </c>
      <c r="BVJ17" s="310" t="s">
        <v>201</v>
      </c>
      <c r="BVK17" s="310" t="s">
        <v>201</v>
      </c>
      <c r="BVL17" s="310" t="s">
        <v>201</v>
      </c>
      <c r="BVM17" s="310" t="s">
        <v>201</v>
      </c>
      <c r="BVN17" s="310" t="s">
        <v>201</v>
      </c>
      <c r="BVO17" s="310" t="s">
        <v>201</v>
      </c>
      <c r="BVP17" s="310" t="s">
        <v>201</v>
      </c>
      <c r="BVQ17" s="310" t="s">
        <v>201</v>
      </c>
      <c r="BVR17" s="310" t="s">
        <v>201</v>
      </c>
      <c r="BVS17" s="310" t="s">
        <v>201</v>
      </c>
      <c r="BVT17" s="310" t="s">
        <v>201</v>
      </c>
      <c r="BVU17" s="310" t="s">
        <v>201</v>
      </c>
      <c r="BVV17" s="310" t="s">
        <v>201</v>
      </c>
      <c r="BVW17" s="310" t="s">
        <v>201</v>
      </c>
      <c r="BVX17" s="310" t="s">
        <v>201</v>
      </c>
      <c r="BVY17" s="310" t="s">
        <v>201</v>
      </c>
      <c r="BVZ17" s="310" t="s">
        <v>201</v>
      </c>
      <c r="BWA17" s="310" t="s">
        <v>201</v>
      </c>
      <c r="BWB17" s="310" t="s">
        <v>201</v>
      </c>
      <c r="BWC17" s="310" t="s">
        <v>201</v>
      </c>
      <c r="BWD17" s="310" t="s">
        <v>201</v>
      </c>
      <c r="BWE17" s="310" t="s">
        <v>201</v>
      </c>
      <c r="BWF17" s="310" t="s">
        <v>201</v>
      </c>
      <c r="BWG17" s="310" t="s">
        <v>201</v>
      </c>
      <c r="BWH17" s="310" t="s">
        <v>201</v>
      </c>
      <c r="BWI17" s="310" t="s">
        <v>201</v>
      </c>
      <c r="BWJ17" s="310" t="s">
        <v>201</v>
      </c>
      <c r="BWK17" s="310" t="s">
        <v>201</v>
      </c>
      <c r="BWL17" s="310" t="s">
        <v>201</v>
      </c>
      <c r="BWM17" s="310" t="s">
        <v>201</v>
      </c>
      <c r="BWN17" s="310" t="s">
        <v>201</v>
      </c>
      <c r="BWO17" s="310" t="s">
        <v>201</v>
      </c>
      <c r="BWP17" s="310" t="s">
        <v>201</v>
      </c>
      <c r="BWQ17" s="310" t="s">
        <v>201</v>
      </c>
      <c r="BWR17" s="310" t="s">
        <v>201</v>
      </c>
      <c r="BWS17" s="310" t="s">
        <v>201</v>
      </c>
      <c r="BWT17" s="310" t="s">
        <v>201</v>
      </c>
      <c r="BWU17" s="310" t="s">
        <v>201</v>
      </c>
      <c r="BWV17" s="310" t="s">
        <v>201</v>
      </c>
      <c r="BWW17" s="310" t="s">
        <v>201</v>
      </c>
      <c r="BWX17" s="310" t="s">
        <v>201</v>
      </c>
      <c r="BWY17" s="310" t="s">
        <v>201</v>
      </c>
      <c r="BWZ17" s="310" t="s">
        <v>201</v>
      </c>
      <c r="BXA17" s="310" t="s">
        <v>201</v>
      </c>
      <c r="BXB17" s="310" t="s">
        <v>201</v>
      </c>
      <c r="BXC17" s="310" t="s">
        <v>201</v>
      </c>
      <c r="BXD17" s="310" t="s">
        <v>201</v>
      </c>
      <c r="BXE17" s="310" t="s">
        <v>201</v>
      </c>
      <c r="BXF17" s="310" t="s">
        <v>201</v>
      </c>
      <c r="BXG17" s="310" t="s">
        <v>201</v>
      </c>
      <c r="BXH17" s="310" t="s">
        <v>201</v>
      </c>
      <c r="BXI17" s="310" t="s">
        <v>201</v>
      </c>
      <c r="BXJ17" s="310" t="s">
        <v>201</v>
      </c>
      <c r="BXK17" s="310" t="s">
        <v>201</v>
      </c>
      <c r="BXL17" s="310" t="s">
        <v>201</v>
      </c>
      <c r="BXM17" s="310" t="s">
        <v>201</v>
      </c>
      <c r="BXN17" s="310" t="s">
        <v>201</v>
      </c>
      <c r="BXO17" s="310" t="s">
        <v>201</v>
      </c>
      <c r="BXP17" s="310" t="s">
        <v>201</v>
      </c>
      <c r="BXQ17" s="310" t="s">
        <v>201</v>
      </c>
      <c r="BXR17" s="310" t="s">
        <v>201</v>
      </c>
      <c r="BXS17" s="310" t="s">
        <v>201</v>
      </c>
      <c r="BXT17" s="310" t="s">
        <v>201</v>
      </c>
      <c r="BXU17" s="310" t="s">
        <v>201</v>
      </c>
      <c r="BXV17" s="310" t="s">
        <v>201</v>
      </c>
      <c r="BXW17" s="310" t="s">
        <v>201</v>
      </c>
      <c r="BXX17" s="310" t="s">
        <v>201</v>
      </c>
      <c r="BXY17" s="310" t="s">
        <v>201</v>
      </c>
      <c r="BXZ17" s="310" t="s">
        <v>201</v>
      </c>
      <c r="BYA17" s="310" t="s">
        <v>201</v>
      </c>
      <c r="BYB17" s="310" t="s">
        <v>201</v>
      </c>
      <c r="BYC17" s="310" t="s">
        <v>201</v>
      </c>
      <c r="BYD17" s="310" t="s">
        <v>201</v>
      </c>
      <c r="BYE17" s="310" t="s">
        <v>201</v>
      </c>
      <c r="BYF17" s="310" t="s">
        <v>201</v>
      </c>
      <c r="BYG17" s="310" t="s">
        <v>201</v>
      </c>
      <c r="BYH17" s="310" t="s">
        <v>201</v>
      </c>
      <c r="BYI17" s="310" t="s">
        <v>201</v>
      </c>
      <c r="BYJ17" s="310" t="s">
        <v>201</v>
      </c>
      <c r="BYK17" s="310" t="s">
        <v>201</v>
      </c>
      <c r="BYL17" s="310" t="s">
        <v>201</v>
      </c>
      <c r="BYM17" s="310" t="s">
        <v>201</v>
      </c>
      <c r="BYN17" s="310" t="s">
        <v>201</v>
      </c>
      <c r="BYO17" s="310" t="s">
        <v>201</v>
      </c>
      <c r="BYP17" s="310" t="s">
        <v>201</v>
      </c>
      <c r="BYQ17" s="310" t="s">
        <v>201</v>
      </c>
      <c r="BYR17" s="310" t="s">
        <v>201</v>
      </c>
      <c r="BYS17" s="310" t="s">
        <v>201</v>
      </c>
      <c r="BYT17" s="310" t="s">
        <v>201</v>
      </c>
      <c r="BYU17" s="310" t="s">
        <v>201</v>
      </c>
      <c r="BYV17" s="310" t="s">
        <v>201</v>
      </c>
      <c r="BYW17" s="310" t="s">
        <v>201</v>
      </c>
      <c r="BYX17" s="310" t="s">
        <v>201</v>
      </c>
      <c r="BYY17" s="310" t="s">
        <v>201</v>
      </c>
      <c r="BYZ17" s="310" t="s">
        <v>201</v>
      </c>
      <c r="BZA17" s="310" t="s">
        <v>201</v>
      </c>
      <c r="BZB17" s="310" t="s">
        <v>201</v>
      </c>
      <c r="BZC17" s="310" t="s">
        <v>201</v>
      </c>
      <c r="BZD17" s="310" t="s">
        <v>201</v>
      </c>
      <c r="BZE17" s="310" t="s">
        <v>201</v>
      </c>
      <c r="BZF17" s="310" t="s">
        <v>201</v>
      </c>
      <c r="BZG17" s="310" t="s">
        <v>201</v>
      </c>
      <c r="BZH17" s="310" t="s">
        <v>201</v>
      </c>
      <c r="BZI17" s="310" t="s">
        <v>201</v>
      </c>
      <c r="BZJ17" s="310" t="s">
        <v>201</v>
      </c>
      <c r="BZK17" s="310" t="s">
        <v>201</v>
      </c>
      <c r="BZL17" s="310" t="s">
        <v>201</v>
      </c>
      <c r="BZM17" s="310" t="s">
        <v>201</v>
      </c>
      <c r="BZN17" s="310" t="s">
        <v>201</v>
      </c>
      <c r="BZO17" s="310" t="s">
        <v>201</v>
      </c>
      <c r="BZP17" s="310" t="s">
        <v>201</v>
      </c>
      <c r="BZQ17" s="310" t="s">
        <v>201</v>
      </c>
      <c r="BZR17" s="310" t="s">
        <v>201</v>
      </c>
      <c r="BZS17" s="310" t="s">
        <v>201</v>
      </c>
      <c r="BZT17" s="310" t="s">
        <v>201</v>
      </c>
      <c r="BZU17" s="310" t="s">
        <v>201</v>
      </c>
      <c r="BZV17" s="310" t="s">
        <v>201</v>
      </c>
      <c r="BZW17" s="310" t="s">
        <v>201</v>
      </c>
      <c r="BZX17" s="310" t="s">
        <v>201</v>
      </c>
      <c r="BZY17" s="310" t="s">
        <v>201</v>
      </c>
      <c r="BZZ17" s="310" t="s">
        <v>201</v>
      </c>
      <c r="CAA17" s="310" t="s">
        <v>201</v>
      </c>
      <c r="CAB17" s="310" t="s">
        <v>201</v>
      </c>
      <c r="CAC17" s="310" t="s">
        <v>201</v>
      </c>
      <c r="CAD17" s="310" t="s">
        <v>201</v>
      </c>
      <c r="CAE17" s="310" t="s">
        <v>201</v>
      </c>
      <c r="CAF17" s="310" t="s">
        <v>201</v>
      </c>
      <c r="CAG17" s="310" t="s">
        <v>201</v>
      </c>
      <c r="CAH17" s="310" t="s">
        <v>201</v>
      </c>
      <c r="CAI17" s="310" t="s">
        <v>201</v>
      </c>
      <c r="CAJ17" s="310" t="s">
        <v>201</v>
      </c>
      <c r="CAK17" s="310" t="s">
        <v>201</v>
      </c>
      <c r="CAL17" s="310" t="s">
        <v>201</v>
      </c>
      <c r="CAM17" s="310" t="s">
        <v>201</v>
      </c>
      <c r="CAN17" s="310" t="s">
        <v>201</v>
      </c>
      <c r="CAO17" s="310" t="s">
        <v>201</v>
      </c>
      <c r="CAP17" s="310" t="s">
        <v>201</v>
      </c>
      <c r="CAQ17" s="310" t="s">
        <v>201</v>
      </c>
      <c r="CAR17" s="310" t="s">
        <v>201</v>
      </c>
      <c r="CAS17" s="310" t="s">
        <v>201</v>
      </c>
      <c r="CAT17" s="310" t="s">
        <v>201</v>
      </c>
      <c r="CAU17" s="310" t="s">
        <v>201</v>
      </c>
      <c r="CAV17" s="310" t="s">
        <v>201</v>
      </c>
      <c r="CAW17" s="310" t="s">
        <v>201</v>
      </c>
      <c r="CAX17" s="310" t="s">
        <v>201</v>
      </c>
      <c r="CAY17" s="310" t="s">
        <v>201</v>
      </c>
      <c r="CAZ17" s="310" t="s">
        <v>201</v>
      </c>
      <c r="CBA17" s="310" t="s">
        <v>201</v>
      </c>
      <c r="CBB17" s="310" t="s">
        <v>201</v>
      </c>
      <c r="CBC17" s="310" t="s">
        <v>201</v>
      </c>
      <c r="CBD17" s="310" t="s">
        <v>201</v>
      </c>
      <c r="CBE17" s="310" t="s">
        <v>201</v>
      </c>
      <c r="CBF17" s="310" t="s">
        <v>201</v>
      </c>
      <c r="CBG17" s="310" t="s">
        <v>201</v>
      </c>
      <c r="CBH17" s="310" t="s">
        <v>201</v>
      </c>
      <c r="CBI17" s="310" t="s">
        <v>201</v>
      </c>
      <c r="CBJ17" s="310" t="s">
        <v>201</v>
      </c>
      <c r="CBK17" s="310" t="s">
        <v>201</v>
      </c>
      <c r="CBL17" s="310" t="s">
        <v>201</v>
      </c>
      <c r="CBM17" s="310" t="s">
        <v>201</v>
      </c>
      <c r="CBN17" s="310" t="s">
        <v>201</v>
      </c>
      <c r="CBO17" s="310" t="s">
        <v>201</v>
      </c>
      <c r="CBP17" s="310" t="s">
        <v>201</v>
      </c>
      <c r="CBQ17" s="310" t="s">
        <v>201</v>
      </c>
      <c r="CBR17" s="310" t="s">
        <v>201</v>
      </c>
      <c r="CBS17" s="310" t="s">
        <v>201</v>
      </c>
      <c r="CBT17" s="310" t="s">
        <v>201</v>
      </c>
      <c r="CBU17" s="310" t="s">
        <v>201</v>
      </c>
      <c r="CBV17" s="310" t="s">
        <v>201</v>
      </c>
      <c r="CBW17" s="310" t="s">
        <v>201</v>
      </c>
      <c r="CBX17" s="310" t="s">
        <v>201</v>
      </c>
      <c r="CBY17" s="310" t="s">
        <v>201</v>
      </c>
      <c r="CBZ17" s="310" t="s">
        <v>201</v>
      </c>
      <c r="CCA17" s="310" t="s">
        <v>201</v>
      </c>
      <c r="CCB17" s="310" t="s">
        <v>201</v>
      </c>
      <c r="CCC17" s="310" t="s">
        <v>201</v>
      </c>
      <c r="CCD17" s="310" t="s">
        <v>201</v>
      </c>
      <c r="CCE17" s="310" t="s">
        <v>201</v>
      </c>
      <c r="CCF17" s="310" t="s">
        <v>201</v>
      </c>
      <c r="CCG17" s="310" t="s">
        <v>201</v>
      </c>
      <c r="CCH17" s="310" t="s">
        <v>201</v>
      </c>
      <c r="CCI17" s="310" t="s">
        <v>201</v>
      </c>
      <c r="CCJ17" s="310" t="s">
        <v>201</v>
      </c>
      <c r="CCK17" s="310" t="s">
        <v>201</v>
      </c>
      <c r="CCL17" s="310" t="s">
        <v>201</v>
      </c>
      <c r="CCM17" s="310" t="s">
        <v>201</v>
      </c>
      <c r="CCN17" s="310" t="s">
        <v>201</v>
      </c>
      <c r="CCO17" s="310" t="s">
        <v>201</v>
      </c>
      <c r="CCP17" s="310" t="s">
        <v>201</v>
      </c>
      <c r="CCQ17" s="310" t="s">
        <v>201</v>
      </c>
      <c r="CCR17" s="310" t="s">
        <v>201</v>
      </c>
      <c r="CCS17" s="310" t="s">
        <v>201</v>
      </c>
      <c r="CCT17" s="310" t="s">
        <v>201</v>
      </c>
      <c r="CCU17" s="310" t="s">
        <v>201</v>
      </c>
      <c r="CCV17" s="310" t="s">
        <v>201</v>
      </c>
      <c r="CCW17" s="310" t="s">
        <v>201</v>
      </c>
      <c r="CCX17" s="310" t="s">
        <v>201</v>
      </c>
      <c r="CCY17" s="310" t="s">
        <v>201</v>
      </c>
      <c r="CCZ17" s="310" t="s">
        <v>201</v>
      </c>
      <c r="CDA17" s="310" t="s">
        <v>201</v>
      </c>
      <c r="CDB17" s="310" t="s">
        <v>201</v>
      </c>
      <c r="CDC17" s="310" t="s">
        <v>201</v>
      </c>
      <c r="CDD17" s="310" t="s">
        <v>201</v>
      </c>
      <c r="CDE17" s="310" t="s">
        <v>201</v>
      </c>
      <c r="CDF17" s="310" t="s">
        <v>201</v>
      </c>
      <c r="CDG17" s="310" t="s">
        <v>201</v>
      </c>
      <c r="CDH17" s="310" t="s">
        <v>201</v>
      </c>
      <c r="CDI17" s="310" t="s">
        <v>201</v>
      </c>
      <c r="CDJ17" s="310" t="s">
        <v>201</v>
      </c>
      <c r="CDK17" s="310" t="s">
        <v>201</v>
      </c>
      <c r="CDL17" s="310" t="s">
        <v>201</v>
      </c>
      <c r="CDM17" s="310" t="s">
        <v>201</v>
      </c>
      <c r="CDN17" s="310" t="s">
        <v>201</v>
      </c>
      <c r="CDO17" s="310" t="s">
        <v>201</v>
      </c>
      <c r="CDP17" s="310" t="s">
        <v>201</v>
      </c>
      <c r="CDQ17" s="310" t="s">
        <v>201</v>
      </c>
      <c r="CDR17" s="310" t="s">
        <v>201</v>
      </c>
      <c r="CDS17" s="310" t="s">
        <v>201</v>
      </c>
      <c r="CDT17" s="310" t="s">
        <v>201</v>
      </c>
      <c r="CDU17" s="310" t="s">
        <v>201</v>
      </c>
      <c r="CDV17" s="310" t="s">
        <v>201</v>
      </c>
      <c r="CDW17" s="310" t="s">
        <v>201</v>
      </c>
      <c r="CDX17" s="310" t="s">
        <v>201</v>
      </c>
      <c r="CDY17" s="310" t="s">
        <v>201</v>
      </c>
      <c r="CDZ17" s="310" t="s">
        <v>201</v>
      </c>
      <c r="CEA17" s="310" t="s">
        <v>201</v>
      </c>
      <c r="CEB17" s="310" t="s">
        <v>201</v>
      </c>
      <c r="CEC17" s="310" t="s">
        <v>201</v>
      </c>
      <c r="CED17" s="310" t="s">
        <v>201</v>
      </c>
      <c r="CEE17" s="310" t="s">
        <v>201</v>
      </c>
      <c r="CEF17" s="310" t="s">
        <v>201</v>
      </c>
      <c r="CEG17" s="310" t="s">
        <v>201</v>
      </c>
      <c r="CEH17" s="310" t="s">
        <v>201</v>
      </c>
      <c r="CEI17" s="310" t="s">
        <v>201</v>
      </c>
      <c r="CEJ17" s="310" t="s">
        <v>201</v>
      </c>
      <c r="CEK17" s="310" t="s">
        <v>201</v>
      </c>
      <c r="CEL17" s="310" t="s">
        <v>201</v>
      </c>
      <c r="CEM17" s="310" t="s">
        <v>201</v>
      </c>
      <c r="CEN17" s="310" t="s">
        <v>201</v>
      </c>
      <c r="CEO17" s="310" t="s">
        <v>201</v>
      </c>
      <c r="CEP17" s="310" t="s">
        <v>201</v>
      </c>
      <c r="CEQ17" s="310" t="s">
        <v>201</v>
      </c>
      <c r="CER17" s="310" t="s">
        <v>201</v>
      </c>
      <c r="CES17" s="310" t="s">
        <v>201</v>
      </c>
      <c r="CET17" s="310" t="s">
        <v>201</v>
      </c>
      <c r="CEU17" s="310" t="s">
        <v>201</v>
      </c>
      <c r="CEV17" s="310" t="s">
        <v>201</v>
      </c>
      <c r="CEW17" s="310" t="s">
        <v>201</v>
      </c>
      <c r="CEX17" s="310" t="s">
        <v>201</v>
      </c>
      <c r="CEY17" s="310" t="s">
        <v>201</v>
      </c>
      <c r="CEZ17" s="310" t="s">
        <v>201</v>
      </c>
      <c r="CFA17" s="310" t="s">
        <v>201</v>
      </c>
      <c r="CFB17" s="310" t="s">
        <v>201</v>
      </c>
      <c r="CFC17" s="310" t="s">
        <v>201</v>
      </c>
      <c r="CFD17" s="310" t="s">
        <v>201</v>
      </c>
      <c r="CFE17" s="310" t="s">
        <v>201</v>
      </c>
      <c r="CFF17" s="310" t="s">
        <v>201</v>
      </c>
      <c r="CFG17" s="310" t="s">
        <v>201</v>
      </c>
      <c r="CFH17" s="310" t="s">
        <v>201</v>
      </c>
      <c r="CFI17" s="310" t="s">
        <v>201</v>
      </c>
      <c r="CFJ17" s="310" t="s">
        <v>201</v>
      </c>
      <c r="CFK17" s="310" t="s">
        <v>201</v>
      </c>
      <c r="CFL17" s="310" t="s">
        <v>201</v>
      </c>
      <c r="CFM17" s="310" t="s">
        <v>201</v>
      </c>
      <c r="CFN17" s="310" t="s">
        <v>201</v>
      </c>
      <c r="CFO17" s="310" t="s">
        <v>201</v>
      </c>
      <c r="CFP17" s="310" t="s">
        <v>201</v>
      </c>
      <c r="CFQ17" s="310" t="s">
        <v>201</v>
      </c>
      <c r="CFR17" s="310" t="s">
        <v>201</v>
      </c>
      <c r="CFS17" s="310" t="s">
        <v>201</v>
      </c>
      <c r="CFT17" s="310" t="s">
        <v>201</v>
      </c>
      <c r="CFU17" s="310" t="s">
        <v>201</v>
      </c>
      <c r="CFV17" s="310" t="s">
        <v>201</v>
      </c>
      <c r="CFW17" s="310" t="s">
        <v>201</v>
      </c>
      <c r="CFX17" s="310" t="s">
        <v>201</v>
      </c>
      <c r="CFY17" s="310" t="s">
        <v>201</v>
      </c>
      <c r="CFZ17" s="310" t="s">
        <v>201</v>
      </c>
      <c r="CGA17" s="310" t="s">
        <v>201</v>
      </c>
      <c r="CGB17" s="310" t="s">
        <v>201</v>
      </c>
      <c r="CGC17" s="310" t="s">
        <v>201</v>
      </c>
      <c r="CGD17" s="310" t="s">
        <v>201</v>
      </c>
      <c r="CGE17" s="310" t="s">
        <v>201</v>
      </c>
      <c r="CGF17" s="310" t="s">
        <v>201</v>
      </c>
      <c r="CGG17" s="310" t="s">
        <v>201</v>
      </c>
      <c r="CGH17" s="310" t="s">
        <v>201</v>
      </c>
      <c r="CGI17" s="310" t="s">
        <v>201</v>
      </c>
      <c r="CGJ17" s="310" t="s">
        <v>201</v>
      </c>
      <c r="CGK17" s="310" t="s">
        <v>201</v>
      </c>
      <c r="CGL17" s="310" t="s">
        <v>201</v>
      </c>
      <c r="CGM17" s="310" t="s">
        <v>201</v>
      </c>
      <c r="CGN17" s="310" t="s">
        <v>201</v>
      </c>
      <c r="CGO17" s="310" t="s">
        <v>201</v>
      </c>
      <c r="CGP17" s="310" t="s">
        <v>201</v>
      </c>
      <c r="CGQ17" s="310" t="s">
        <v>201</v>
      </c>
      <c r="CGR17" s="310" t="s">
        <v>201</v>
      </c>
      <c r="CGS17" s="310" t="s">
        <v>201</v>
      </c>
      <c r="CGT17" s="310" t="s">
        <v>201</v>
      </c>
      <c r="CGU17" s="310" t="s">
        <v>201</v>
      </c>
      <c r="CGV17" s="310" t="s">
        <v>201</v>
      </c>
      <c r="CGW17" s="310" t="s">
        <v>201</v>
      </c>
      <c r="CGX17" s="310" t="s">
        <v>201</v>
      </c>
      <c r="CGY17" s="310" t="s">
        <v>201</v>
      </c>
      <c r="CGZ17" s="310" t="s">
        <v>201</v>
      </c>
      <c r="CHA17" s="310" t="s">
        <v>201</v>
      </c>
      <c r="CHB17" s="310" t="s">
        <v>201</v>
      </c>
      <c r="CHC17" s="310" t="s">
        <v>201</v>
      </c>
      <c r="CHD17" s="310" t="s">
        <v>201</v>
      </c>
      <c r="CHE17" s="310" t="s">
        <v>201</v>
      </c>
      <c r="CHF17" s="310" t="s">
        <v>201</v>
      </c>
      <c r="CHG17" s="310" t="s">
        <v>201</v>
      </c>
      <c r="CHH17" s="310" t="s">
        <v>201</v>
      </c>
      <c r="CHI17" s="310" t="s">
        <v>201</v>
      </c>
      <c r="CHJ17" s="310" t="s">
        <v>201</v>
      </c>
      <c r="CHK17" s="310" t="s">
        <v>201</v>
      </c>
      <c r="CHL17" s="310" t="s">
        <v>201</v>
      </c>
      <c r="CHM17" s="310" t="s">
        <v>201</v>
      </c>
      <c r="CHN17" s="310" t="s">
        <v>201</v>
      </c>
      <c r="CHO17" s="310" t="s">
        <v>201</v>
      </c>
      <c r="CHP17" s="310" t="s">
        <v>201</v>
      </c>
      <c r="CHQ17" s="310" t="s">
        <v>201</v>
      </c>
      <c r="CHR17" s="310" t="s">
        <v>201</v>
      </c>
      <c r="CHS17" s="310" t="s">
        <v>201</v>
      </c>
      <c r="CHT17" s="310" t="s">
        <v>201</v>
      </c>
      <c r="CHU17" s="310" t="s">
        <v>201</v>
      </c>
      <c r="CHV17" s="310" t="s">
        <v>201</v>
      </c>
      <c r="CHW17" s="310" t="s">
        <v>201</v>
      </c>
      <c r="CHX17" s="310" t="s">
        <v>201</v>
      </c>
      <c r="CHY17" s="310" t="s">
        <v>201</v>
      </c>
      <c r="CHZ17" s="310" t="s">
        <v>201</v>
      </c>
      <c r="CIA17" s="310" t="s">
        <v>201</v>
      </c>
      <c r="CIB17" s="310" t="s">
        <v>201</v>
      </c>
      <c r="CIC17" s="310" t="s">
        <v>201</v>
      </c>
      <c r="CID17" s="310" t="s">
        <v>201</v>
      </c>
      <c r="CIE17" s="310" t="s">
        <v>201</v>
      </c>
      <c r="CIF17" s="310" t="s">
        <v>201</v>
      </c>
      <c r="CIG17" s="310" t="s">
        <v>201</v>
      </c>
      <c r="CIH17" s="310" t="s">
        <v>201</v>
      </c>
      <c r="CII17" s="310" t="s">
        <v>201</v>
      </c>
      <c r="CIJ17" s="310" t="s">
        <v>201</v>
      </c>
      <c r="CIK17" s="310" t="s">
        <v>201</v>
      </c>
      <c r="CIL17" s="310" t="s">
        <v>201</v>
      </c>
      <c r="CIM17" s="310" t="s">
        <v>201</v>
      </c>
      <c r="CIN17" s="310" t="s">
        <v>201</v>
      </c>
      <c r="CIO17" s="310" t="s">
        <v>201</v>
      </c>
      <c r="CIP17" s="310" t="s">
        <v>201</v>
      </c>
      <c r="CIQ17" s="310" t="s">
        <v>201</v>
      </c>
      <c r="CIR17" s="310" t="s">
        <v>201</v>
      </c>
      <c r="CIS17" s="310" t="s">
        <v>201</v>
      </c>
      <c r="CIT17" s="310" t="s">
        <v>201</v>
      </c>
      <c r="CIU17" s="310" t="s">
        <v>201</v>
      </c>
      <c r="CIV17" s="310" t="s">
        <v>201</v>
      </c>
      <c r="CIW17" s="310" t="s">
        <v>201</v>
      </c>
      <c r="CIX17" s="310" t="s">
        <v>201</v>
      </c>
      <c r="CIY17" s="310" t="s">
        <v>201</v>
      </c>
      <c r="CIZ17" s="310" t="s">
        <v>201</v>
      </c>
      <c r="CJA17" s="310" t="s">
        <v>201</v>
      </c>
      <c r="CJB17" s="310" t="s">
        <v>201</v>
      </c>
      <c r="CJC17" s="310" t="s">
        <v>201</v>
      </c>
      <c r="CJD17" s="310" t="s">
        <v>201</v>
      </c>
      <c r="CJE17" s="310" t="s">
        <v>201</v>
      </c>
      <c r="CJF17" s="310" t="s">
        <v>201</v>
      </c>
      <c r="CJG17" s="310" t="s">
        <v>201</v>
      </c>
      <c r="CJH17" s="310" t="s">
        <v>201</v>
      </c>
      <c r="CJI17" s="310" t="s">
        <v>201</v>
      </c>
      <c r="CJJ17" s="310" t="s">
        <v>201</v>
      </c>
      <c r="CJK17" s="310" t="s">
        <v>201</v>
      </c>
      <c r="CJL17" s="310" t="s">
        <v>201</v>
      </c>
      <c r="CJM17" s="310" t="s">
        <v>201</v>
      </c>
      <c r="CJN17" s="310" t="s">
        <v>201</v>
      </c>
      <c r="CJO17" s="310" t="s">
        <v>201</v>
      </c>
      <c r="CJP17" s="310" t="s">
        <v>201</v>
      </c>
      <c r="CJQ17" s="310" t="s">
        <v>201</v>
      </c>
      <c r="CJR17" s="310" t="s">
        <v>201</v>
      </c>
      <c r="CJS17" s="310" t="s">
        <v>201</v>
      </c>
      <c r="CJT17" s="310" t="s">
        <v>201</v>
      </c>
      <c r="CJU17" s="310" t="s">
        <v>201</v>
      </c>
      <c r="CJV17" s="310" t="s">
        <v>201</v>
      </c>
      <c r="CJW17" s="310" t="s">
        <v>201</v>
      </c>
      <c r="CJX17" s="310" t="s">
        <v>201</v>
      </c>
      <c r="CJY17" s="310" t="s">
        <v>201</v>
      </c>
      <c r="CJZ17" s="310" t="s">
        <v>201</v>
      </c>
      <c r="CKA17" s="310" t="s">
        <v>201</v>
      </c>
      <c r="CKB17" s="310" t="s">
        <v>201</v>
      </c>
      <c r="CKC17" s="310" t="s">
        <v>201</v>
      </c>
      <c r="CKD17" s="310" t="s">
        <v>201</v>
      </c>
      <c r="CKE17" s="310" t="s">
        <v>201</v>
      </c>
      <c r="CKF17" s="310" t="s">
        <v>201</v>
      </c>
      <c r="CKG17" s="310" t="s">
        <v>201</v>
      </c>
      <c r="CKH17" s="310" t="s">
        <v>201</v>
      </c>
      <c r="CKI17" s="310" t="s">
        <v>201</v>
      </c>
      <c r="CKJ17" s="310" t="s">
        <v>201</v>
      </c>
      <c r="CKK17" s="310" t="s">
        <v>201</v>
      </c>
      <c r="CKL17" s="310" t="s">
        <v>201</v>
      </c>
      <c r="CKM17" s="310" t="s">
        <v>201</v>
      </c>
      <c r="CKN17" s="310" t="s">
        <v>201</v>
      </c>
      <c r="CKO17" s="310" t="s">
        <v>201</v>
      </c>
      <c r="CKP17" s="310" t="s">
        <v>201</v>
      </c>
      <c r="CKQ17" s="310" t="s">
        <v>201</v>
      </c>
      <c r="CKR17" s="310" t="s">
        <v>201</v>
      </c>
      <c r="CKS17" s="310" t="s">
        <v>201</v>
      </c>
      <c r="CKT17" s="310" t="s">
        <v>201</v>
      </c>
      <c r="CKU17" s="310" t="s">
        <v>201</v>
      </c>
      <c r="CKV17" s="310" t="s">
        <v>201</v>
      </c>
      <c r="CKW17" s="310" t="s">
        <v>201</v>
      </c>
      <c r="CKX17" s="310" t="s">
        <v>201</v>
      </c>
      <c r="CKY17" s="310" t="s">
        <v>201</v>
      </c>
      <c r="CKZ17" s="310" t="s">
        <v>201</v>
      </c>
      <c r="CLA17" s="310" t="s">
        <v>201</v>
      </c>
      <c r="CLB17" s="310" t="s">
        <v>201</v>
      </c>
      <c r="CLC17" s="310" t="s">
        <v>201</v>
      </c>
      <c r="CLD17" s="310" t="s">
        <v>201</v>
      </c>
      <c r="CLE17" s="310" t="s">
        <v>201</v>
      </c>
      <c r="CLF17" s="310" t="s">
        <v>201</v>
      </c>
      <c r="CLG17" s="310" t="s">
        <v>201</v>
      </c>
      <c r="CLH17" s="310" t="s">
        <v>201</v>
      </c>
      <c r="CLI17" s="310" t="s">
        <v>201</v>
      </c>
      <c r="CLJ17" s="310" t="s">
        <v>201</v>
      </c>
      <c r="CLK17" s="310" t="s">
        <v>201</v>
      </c>
      <c r="CLL17" s="310" t="s">
        <v>201</v>
      </c>
      <c r="CLM17" s="310" t="s">
        <v>201</v>
      </c>
      <c r="CLN17" s="310" t="s">
        <v>201</v>
      </c>
      <c r="CLO17" s="310" t="s">
        <v>201</v>
      </c>
      <c r="CLP17" s="310" t="s">
        <v>201</v>
      </c>
      <c r="CLQ17" s="310" t="s">
        <v>201</v>
      </c>
      <c r="CLR17" s="310" t="s">
        <v>201</v>
      </c>
      <c r="CLS17" s="310" t="s">
        <v>201</v>
      </c>
      <c r="CLT17" s="310" t="s">
        <v>201</v>
      </c>
      <c r="CLU17" s="310" t="s">
        <v>201</v>
      </c>
      <c r="CLV17" s="310" t="s">
        <v>201</v>
      </c>
      <c r="CLW17" s="310" t="s">
        <v>201</v>
      </c>
      <c r="CLX17" s="310" t="s">
        <v>201</v>
      </c>
      <c r="CLY17" s="310" t="s">
        <v>201</v>
      </c>
      <c r="CLZ17" s="310" t="s">
        <v>201</v>
      </c>
      <c r="CMA17" s="310" t="s">
        <v>201</v>
      </c>
      <c r="CMB17" s="310" t="s">
        <v>201</v>
      </c>
      <c r="CMC17" s="310" t="s">
        <v>201</v>
      </c>
      <c r="CMD17" s="310" t="s">
        <v>201</v>
      </c>
      <c r="CME17" s="310" t="s">
        <v>201</v>
      </c>
      <c r="CMF17" s="310" t="s">
        <v>201</v>
      </c>
      <c r="CMG17" s="310" t="s">
        <v>201</v>
      </c>
      <c r="CMH17" s="310" t="s">
        <v>201</v>
      </c>
      <c r="CMI17" s="310" t="s">
        <v>201</v>
      </c>
      <c r="CMJ17" s="310" t="s">
        <v>201</v>
      </c>
      <c r="CMK17" s="310" t="s">
        <v>201</v>
      </c>
      <c r="CML17" s="310" t="s">
        <v>201</v>
      </c>
      <c r="CMM17" s="310" t="s">
        <v>201</v>
      </c>
      <c r="CMN17" s="310" t="s">
        <v>201</v>
      </c>
      <c r="CMO17" s="310" t="s">
        <v>201</v>
      </c>
      <c r="CMP17" s="310" t="s">
        <v>201</v>
      </c>
      <c r="CMQ17" s="310" t="s">
        <v>201</v>
      </c>
      <c r="CMR17" s="310" t="s">
        <v>201</v>
      </c>
      <c r="CMS17" s="310" t="s">
        <v>201</v>
      </c>
      <c r="CMT17" s="310" t="s">
        <v>201</v>
      </c>
      <c r="CMU17" s="310" t="s">
        <v>201</v>
      </c>
      <c r="CMV17" s="310" t="s">
        <v>201</v>
      </c>
      <c r="CMW17" s="310" t="s">
        <v>201</v>
      </c>
      <c r="CMX17" s="310" t="s">
        <v>201</v>
      </c>
      <c r="CMY17" s="310" t="s">
        <v>201</v>
      </c>
      <c r="CMZ17" s="310" t="s">
        <v>201</v>
      </c>
      <c r="CNA17" s="310" t="s">
        <v>201</v>
      </c>
      <c r="CNB17" s="310" t="s">
        <v>201</v>
      </c>
      <c r="CNC17" s="310" t="s">
        <v>201</v>
      </c>
      <c r="CND17" s="310" t="s">
        <v>201</v>
      </c>
      <c r="CNE17" s="310" t="s">
        <v>201</v>
      </c>
      <c r="CNF17" s="310" t="s">
        <v>201</v>
      </c>
      <c r="CNG17" s="310" t="s">
        <v>201</v>
      </c>
      <c r="CNH17" s="310" t="s">
        <v>201</v>
      </c>
      <c r="CNI17" s="310" t="s">
        <v>201</v>
      </c>
      <c r="CNJ17" s="310" t="s">
        <v>201</v>
      </c>
      <c r="CNK17" s="310" t="s">
        <v>201</v>
      </c>
      <c r="CNL17" s="310" t="s">
        <v>201</v>
      </c>
      <c r="CNM17" s="310" t="s">
        <v>201</v>
      </c>
      <c r="CNN17" s="310" t="s">
        <v>201</v>
      </c>
      <c r="CNO17" s="310" t="s">
        <v>201</v>
      </c>
      <c r="CNP17" s="310" t="s">
        <v>201</v>
      </c>
      <c r="CNQ17" s="310" t="s">
        <v>201</v>
      </c>
      <c r="CNR17" s="310" t="s">
        <v>201</v>
      </c>
      <c r="CNS17" s="310" t="s">
        <v>201</v>
      </c>
      <c r="CNT17" s="310" t="s">
        <v>201</v>
      </c>
      <c r="CNU17" s="310" t="s">
        <v>201</v>
      </c>
      <c r="CNV17" s="310" t="s">
        <v>201</v>
      </c>
      <c r="CNW17" s="310" t="s">
        <v>201</v>
      </c>
      <c r="CNX17" s="310" t="s">
        <v>201</v>
      </c>
      <c r="CNY17" s="310" t="s">
        <v>201</v>
      </c>
      <c r="CNZ17" s="310" t="s">
        <v>201</v>
      </c>
      <c r="COA17" s="310" t="s">
        <v>201</v>
      </c>
      <c r="COB17" s="310" t="s">
        <v>201</v>
      </c>
      <c r="COC17" s="310" t="s">
        <v>201</v>
      </c>
      <c r="COD17" s="310" t="s">
        <v>201</v>
      </c>
      <c r="COE17" s="310" t="s">
        <v>201</v>
      </c>
      <c r="COF17" s="310" t="s">
        <v>201</v>
      </c>
      <c r="COG17" s="310" t="s">
        <v>201</v>
      </c>
      <c r="COH17" s="310" t="s">
        <v>201</v>
      </c>
      <c r="COI17" s="310" t="s">
        <v>201</v>
      </c>
      <c r="COJ17" s="310" t="s">
        <v>201</v>
      </c>
      <c r="COK17" s="310" t="s">
        <v>201</v>
      </c>
      <c r="COL17" s="310" t="s">
        <v>201</v>
      </c>
      <c r="COM17" s="310" t="s">
        <v>201</v>
      </c>
      <c r="CON17" s="310" t="s">
        <v>201</v>
      </c>
      <c r="COO17" s="310" t="s">
        <v>201</v>
      </c>
      <c r="COP17" s="310" t="s">
        <v>201</v>
      </c>
      <c r="COQ17" s="310" t="s">
        <v>201</v>
      </c>
      <c r="COR17" s="310" t="s">
        <v>201</v>
      </c>
      <c r="COS17" s="310" t="s">
        <v>201</v>
      </c>
      <c r="COT17" s="310" t="s">
        <v>201</v>
      </c>
      <c r="COU17" s="310" t="s">
        <v>201</v>
      </c>
      <c r="COV17" s="310" t="s">
        <v>201</v>
      </c>
      <c r="COW17" s="310" t="s">
        <v>201</v>
      </c>
      <c r="COX17" s="310" t="s">
        <v>201</v>
      </c>
      <c r="COY17" s="310" t="s">
        <v>201</v>
      </c>
      <c r="COZ17" s="310" t="s">
        <v>201</v>
      </c>
      <c r="CPA17" s="310" t="s">
        <v>201</v>
      </c>
      <c r="CPB17" s="310" t="s">
        <v>201</v>
      </c>
      <c r="CPC17" s="310" t="s">
        <v>201</v>
      </c>
      <c r="CPD17" s="310" t="s">
        <v>201</v>
      </c>
      <c r="CPE17" s="310" t="s">
        <v>201</v>
      </c>
      <c r="CPF17" s="310" t="s">
        <v>201</v>
      </c>
      <c r="CPG17" s="310" t="s">
        <v>201</v>
      </c>
      <c r="CPH17" s="310" t="s">
        <v>201</v>
      </c>
      <c r="CPI17" s="310" t="s">
        <v>201</v>
      </c>
      <c r="CPJ17" s="310" t="s">
        <v>201</v>
      </c>
      <c r="CPK17" s="310" t="s">
        <v>201</v>
      </c>
      <c r="CPL17" s="310" t="s">
        <v>201</v>
      </c>
      <c r="CPM17" s="310" t="s">
        <v>201</v>
      </c>
      <c r="CPN17" s="310" t="s">
        <v>201</v>
      </c>
      <c r="CPO17" s="310" t="s">
        <v>201</v>
      </c>
      <c r="CPP17" s="310" t="s">
        <v>201</v>
      </c>
      <c r="CPQ17" s="310" t="s">
        <v>201</v>
      </c>
      <c r="CPR17" s="310" t="s">
        <v>201</v>
      </c>
      <c r="CPS17" s="310" t="s">
        <v>201</v>
      </c>
      <c r="CPT17" s="310" t="s">
        <v>201</v>
      </c>
      <c r="CPU17" s="310" t="s">
        <v>201</v>
      </c>
      <c r="CPV17" s="310" t="s">
        <v>201</v>
      </c>
      <c r="CPW17" s="310" t="s">
        <v>201</v>
      </c>
      <c r="CPX17" s="310" t="s">
        <v>201</v>
      </c>
      <c r="CPY17" s="310" t="s">
        <v>201</v>
      </c>
      <c r="CPZ17" s="310" t="s">
        <v>201</v>
      </c>
      <c r="CQA17" s="310" t="s">
        <v>201</v>
      </c>
      <c r="CQB17" s="310" t="s">
        <v>201</v>
      </c>
      <c r="CQC17" s="310" t="s">
        <v>201</v>
      </c>
      <c r="CQD17" s="310" t="s">
        <v>201</v>
      </c>
      <c r="CQE17" s="310" t="s">
        <v>201</v>
      </c>
      <c r="CQF17" s="310" t="s">
        <v>201</v>
      </c>
      <c r="CQG17" s="310" t="s">
        <v>201</v>
      </c>
      <c r="CQH17" s="310" t="s">
        <v>201</v>
      </c>
      <c r="CQI17" s="310" t="s">
        <v>201</v>
      </c>
      <c r="CQJ17" s="310" t="s">
        <v>201</v>
      </c>
      <c r="CQK17" s="310" t="s">
        <v>201</v>
      </c>
      <c r="CQL17" s="310" t="s">
        <v>201</v>
      </c>
      <c r="CQM17" s="310" t="s">
        <v>201</v>
      </c>
      <c r="CQN17" s="310" t="s">
        <v>201</v>
      </c>
      <c r="CQO17" s="310" t="s">
        <v>201</v>
      </c>
      <c r="CQP17" s="310" t="s">
        <v>201</v>
      </c>
      <c r="CQQ17" s="310" t="s">
        <v>201</v>
      </c>
      <c r="CQR17" s="310" t="s">
        <v>201</v>
      </c>
      <c r="CQS17" s="310" t="s">
        <v>201</v>
      </c>
      <c r="CQT17" s="310" t="s">
        <v>201</v>
      </c>
      <c r="CQU17" s="310" t="s">
        <v>201</v>
      </c>
      <c r="CQV17" s="310" t="s">
        <v>201</v>
      </c>
      <c r="CQW17" s="310" t="s">
        <v>201</v>
      </c>
      <c r="CQX17" s="310" t="s">
        <v>201</v>
      </c>
      <c r="CQY17" s="310" t="s">
        <v>201</v>
      </c>
      <c r="CQZ17" s="310" t="s">
        <v>201</v>
      </c>
      <c r="CRA17" s="310" t="s">
        <v>201</v>
      </c>
      <c r="CRB17" s="310" t="s">
        <v>201</v>
      </c>
      <c r="CRC17" s="310" t="s">
        <v>201</v>
      </c>
      <c r="CRD17" s="310" t="s">
        <v>201</v>
      </c>
      <c r="CRE17" s="310" t="s">
        <v>201</v>
      </c>
      <c r="CRF17" s="310" t="s">
        <v>201</v>
      </c>
      <c r="CRG17" s="310" t="s">
        <v>201</v>
      </c>
      <c r="CRH17" s="310" t="s">
        <v>201</v>
      </c>
      <c r="CRI17" s="310" t="s">
        <v>201</v>
      </c>
      <c r="CRJ17" s="310" t="s">
        <v>201</v>
      </c>
      <c r="CRK17" s="310" t="s">
        <v>201</v>
      </c>
      <c r="CRL17" s="310" t="s">
        <v>201</v>
      </c>
      <c r="CRM17" s="310" t="s">
        <v>201</v>
      </c>
      <c r="CRN17" s="310" t="s">
        <v>201</v>
      </c>
      <c r="CRO17" s="310" t="s">
        <v>201</v>
      </c>
      <c r="CRP17" s="310" t="s">
        <v>201</v>
      </c>
      <c r="CRQ17" s="310" t="s">
        <v>201</v>
      </c>
      <c r="CRR17" s="310" t="s">
        <v>201</v>
      </c>
      <c r="CRS17" s="310" t="s">
        <v>201</v>
      </c>
      <c r="CRT17" s="310" t="s">
        <v>201</v>
      </c>
      <c r="CRU17" s="310" t="s">
        <v>201</v>
      </c>
      <c r="CRV17" s="310" t="s">
        <v>201</v>
      </c>
      <c r="CRW17" s="310" t="s">
        <v>201</v>
      </c>
      <c r="CRX17" s="310" t="s">
        <v>201</v>
      </c>
      <c r="CRY17" s="310" t="s">
        <v>201</v>
      </c>
      <c r="CRZ17" s="310" t="s">
        <v>201</v>
      </c>
      <c r="CSA17" s="310" t="s">
        <v>201</v>
      </c>
      <c r="CSB17" s="310" t="s">
        <v>201</v>
      </c>
      <c r="CSC17" s="310" t="s">
        <v>201</v>
      </c>
      <c r="CSD17" s="310" t="s">
        <v>201</v>
      </c>
      <c r="CSE17" s="310" t="s">
        <v>201</v>
      </c>
      <c r="CSF17" s="310" t="s">
        <v>201</v>
      </c>
      <c r="CSG17" s="310" t="s">
        <v>201</v>
      </c>
      <c r="CSH17" s="310" t="s">
        <v>201</v>
      </c>
      <c r="CSI17" s="310" t="s">
        <v>201</v>
      </c>
      <c r="CSJ17" s="310" t="s">
        <v>201</v>
      </c>
      <c r="CSK17" s="310" t="s">
        <v>201</v>
      </c>
      <c r="CSL17" s="310" t="s">
        <v>201</v>
      </c>
      <c r="CSM17" s="310" t="s">
        <v>201</v>
      </c>
      <c r="CSN17" s="310" t="s">
        <v>201</v>
      </c>
      <c r="CSO17" s="310" t="s">
        <v>201</v>
      </c>
      <c r="CSP17" s="310" t="s">
        <v>201</v>
      </c>
      <c r="CSQ17" s="310" t="s">
        <v>201</v>
      </c>
      <c r="CSR17" s="310" t="s">
        <v>201</v>
      </c>
      <c r="CSS17" s="310" t="s">
        <v>201</v>
      </c>
      <c r="CST17" s="310" t="s">
        <v>201</v>
      </c>
      <c r="CSU17" s="310" t="s">
        <v>201</v>
      </c>
      <c r="CSV17" s="310" t="s">
        <v>201</v>
      </c>
      <c r="CSW17" s="310" t="s">
        <v>201</v>
      </c>
      <c r="CSX17" s="310" t="s">
        <v>201</v>
      </c>
      <c r="CSY17" s="310" t="s">
        <v>201</v>
      </c>
      <c r="CSZ17" s="310" t="s">
        <v>201</v>
      </c>
      <c r="CTA17" s="310" t="s">
        <v>201</v>
      </c>
      <c r="CTB17" s="310" t="s">
        <v>201</v>
      </c>
      <c r="CTC17" s="310" t="s">
        <v>201</v>
      </c>
      <c r="CTD17" s="310" t="s">
        <v>201</v>
      </c>
      <c r="CTE17" s="310" t="s">
        <v>201</v>
      </c>
      <c r="CTF17" s="310" t="s">
        <v>201</v>
      </c>
      <c r="CTG17" s="310" t="s">
        <v>201</v>
      </c>
      <c r="CTH17" s="310" t="s">
        <v>201</v>
      </c>
      <c r="CTI17" s="310" t="s">
        <v>201</v>
      </c>
      <c r="CTJ17" s="310" t="s">
        <v>201</v>
      </c>
      <c r="CTK17" s="310" t="s">
        <v>201</v>
      </c>
      <c r="CTL17" s="310" t="s">
        <v>201</v>
      </c>
      <c r="CTM17" s="310" t="s">
        <v>201</v>
      </c>
      <c r="CTN17" s="310" t="s">
        <v>201</v>
      </c>
      <c r="CTO17" s="310" t="s">
        <v>201</v>
      </c>
      <c r="CTP17" s="310" t="s">
        <v>201</v>
      </c>
      <c r="CTQ17" s="310" t="s">
        <v>201</v>
      </c>
      <c r="CTR17" s="310" t="s">
        <v>201</v>
      </c>
      <c r="CTS17" s="310" t="s">
        <v>201</v>
      </c>
      <c r="CTT17" s="310" t="s">
        <v>201</v>
      </c>
      <c r="CTU17" s="310" t="s">
        <v>201</v>
      </c>
      <c r="CTV17" s="310" t="s">
        <v>201</v>
      </c>
      <c r="CTW17" s="310" t="s">
        <v>201</v>
      </c>
      <c r="CTX17" s="310" t="s">
        <v>201</v>
      </c>
      <c r="CTY17" s="310" t="s">
        <v>201</v>
      </c>
      <c r="CTZ17" s="310" t="s">
        <v>201</v>
      </c>
      <c r="CUA17" s="310" t="s">
        <v>201</v>
      </c>
      <c r="CUB17" s="310" t="s">
        <v>201</v>
      </c>
      <c r="CUC17" s="310" t="s">
        <v>201</v>
      </c>
      <c r="CUD17" s="310" t="s">
        <v>201</v>
      </c>
      <c r="CUE17" s="310" t="s">
        <v>201</v>
      </c>
      <c r="CUF17" s="310" t="s">
        <v>201</v>
      </c>
      <c r="CUG17" s="310" t="s">
        <v>201</v>
      </c>
      <c r="CUH17" s="310" t="s">
        <v>201</v>
      </c>
      <c r="CUI17" s="310" t="s">
        <v>201</v>
      </c>
      <c r="CUJ17" s="310" t="s">
        <v>201</v>
      </c>
      <c r="CUK17" s="310" t="s">
        <v>201</v>
      </c>
      <c r="CUL17" s="310" t="s">
        <v>201</v>
      </c>
      <c r="CUM17" s="310" t="s">
        <v>201</v>
      </c>
      <c r="CUN17" s="310" t="s">
        <v>201</v>
      </c>
      <c r="CUO17" s="310" t="s">
        <v>201</v>
      </c>
      <c r="CUP17" s="310" t="s">
        <v>201</v>
      </c>
      <c r="CUQ17" s="310" t="s">
        <v>201</v>
      </c>
      <c r="CUR17" s="310" t="s">
        <v>201</v>
      </c>
      <c r="CUS17" s="310" t="s">
        <v>201</v>
      </c>
      <c r="CUT17" s="310" t="s">
        <v>201</v>
      </c>
      <c r="CUU17" s="310" t="s">
        <v>201</v>
      </c>
      <c r="CUV17" s="310" t="s">
        <v>201</v>
      </c>
      <c r="CUW17" s="310" t="s">
        <v>201</v>
      </c>
      <c r="CUX17" s="310" t="s">
        <v>201</v>
      </c>
      <c r="CUY17" s="310" t="s">
        <v>201</v>
      </c>
      <c r="CUZ17" s="310" t="s">
        <v>201</v>
      </c>
      <c r="CVA17" s="310" t="s">
        <v>201</v>
      </c>
      <c r="CVB17" s="310" t="s">
        <v>201</v>
      </c>
      <c r="CVC17" s="310" t="s">
        <v>201</v>
      </c>
      <c r="CVD17" s="310" t="s">
        <v>201</v>
      </c>
      <c r="CVE17" s="310" t="s">
        <v>201</v>
      </c>
      <c r="CVF17" s="310" t="s">
        <v>201</v>
      </c>
      <c r="CVG17" s="310" t="s">
        <v>201</v>
      </c>
      <c r="CVH17" s="310" t="s">
        <v>201</v>
      </c>
      <c r="CVI17" s="310" t="s">
        <v>201</v>
      </c>
      <c r="CVJ17" s="310" t="s">
        <v>201</v>
      </c>
      <c r="CVK17" s="310" t="s">
        <v>201</v>
      </c>
      <c r="CVL17" s="310" t="s">
        <v>201</v>
      </c>
      <c r="CVM17" s="310" t="s">
        <v>201</v>
      </c>
      <c r="CVN17" s="310" t="s">
        <v>201</v>
      </c>
      <c r="CVO17" s="310" t="s">
        <v>201</v>
      </c>
      <c r="CVP17" s="310" t="s">
        <v>201</v>
      </c>
      <c r="CVQ17" s="310" t="s">
        <v>201</v>
      </c>
      <c r="CVR17" s="310" t="s">
        <v>201</v>
      </c>
      <c r="CVS17" s="310" t="s">
        <v>201</v>
      </c>
      <c r="CVT17" s="310" t="s">
        <v>201</v>
      </c>
      <c r="CVU17" s="310" t="s">
        <v>201</v>
      </c>
      <c r="CVV17" s="310" t="s">
        <v>201</v>
      </c>
      <c r="CVW17" s="310" t="s">
        <v>201</v>
      </c>
      <c r="CVX17" s="310" t="s">
        <v>201</v>
      </c>
      <c r="CVY17" s="310" t="s">
        <v>201</v>
      </c>
      <c r="CVZ17" s="310" t="s">
        <v>201</v>
      </c>
      <c r="CWA17" s="310" t="s">
        <v>201</v>
      </c>
      <c r="CWB17" s="310" t="s">
        <v>201</v>
      </c>
      <c r="CWC17" s="310" t="s">
        <v>201</v>
      </c>
      <c r="CWD17" s="310" t="s">
        <v>201</v>
      </c>
      <c r="CWE17" s="310" t="s">
        <v>201</v>
      </c>
      <c r="CWF17" s="310" t="s">
        <v>201</v>
      </c>
      <c r="CWG17" s="310" t="s">
        <v>201</v>
      </c>
      <c r="CWH17" s="310" t="s">
        <v>201</v>
      </c>
      <c r="CWI17" s="310" t="s">
        <v>201</v>
      </c>
      <c r="CWJ17" s="310" t="s">
        <v>201</v>
      </c>
      <c r="CWK17" s="310" t="s">
        <v>201</v>
      </c>
      <c r="CWL17" s="310" t="s">
        <v>201</v>
      </c>
      <c r="CWM17" s="310" t="s">
        <v>201</v>
      </c>
      <c r="CWN17" s="310" t="s">
        <v>201</v>
      </c>
      <c r="CWO17" s="310" t="s">
        <v>201</v>
      </c>
      <c r="CWP17" s="310" t="s">
        <v>201</v>
      </c>
      <c r="CWQ17" s="310" t="s">
        <v>201</v>
      </c>
      <c r="CWR17" s="310" t="s">
        <v>201</v>
      </c>
      <c r="CWS17" s="310" t="s">
        <v>201</v>
      </c>
      <c r="CWT17" s="310" t="s">
        <v>201</v>
      </c>
      <c r="CWU17" s="310" t="s">
        <v>201</v>
      </c>
      <c r="CWV17" s="310" t="s">
        <v>201</v>
      </c>
      <c r="CWW17" s="310" t="s">
        <v>201</v>
      </c>
      <c r="CWX17" s="310" t="s">
        <v>201</v>
      </c>
      <c r="CWY17" s="310" t="s">
        <v>201</v>
      </c>
      <c r="CWZ17" s="310" t="s">
        <v>201</v>
      </c>
      <c r="CXA17" s="310" t="s">
        <v>201</v>
      </c>
      <c r="CXB17" s="310" t="s">
        <v>201</v>
      </c>
      <c r="CXC17" s="310" t="s">
        <v>201</v>
      </c>
      <c r="CXD17" s="310" t="s">
        <v>201</v>
      </c>
      <c r="CXE17" s="310" t="s">
        <v>201</v>
      </c>
      <c r="CXF17" s="310" t="s">
        <v>201</v>
      </c>
      <c r="CXG17" s="310" t="s">
        <v>201</v>
      </c>
      <c r="CXH17" s="310" t="s">
        <v>201</v>
      </c>
      <c r="CXI17" s="310" t="s">
        <v>201</v>
      </c>
      <c r="CXJ17" s="310" t="s">
        <v>201</v>
      </c>
      <c r="CXK17" s="310" t="s">
        <v>201</v>
      </c>
      <c r="CXL17" s="310" t="s">
        <v>201</v>
      </c>
      <c r="CXM17" s="310" t="s">
        <v>201</v>
      </c>
      <c r="CXN17" s="310" t="s">
        <v>201</v>
      </c>
      <c r="CXO17" s="310" t="s">
        <v>201</v>
      </c>
      <c r="CXP17" s="310" t="s">
        <v>201</v>
      </c>
      <c r="CXQ17" s="310" t="s">
        <v>201</v>
      </c>
      <c r="CXR17" s="310" t="s">
        <v>201</v>
      </c>
      <c r="CXS17" s="310" t="s">
        <v>201</v>
      </c>
      <c r="CXT17" s="310" t="s">
        <v>201</v>
      </c>
      <c r="CXU17" s="310" t="s">
        <v>201</v>
      </c>
      <c r="CXV17" s="310" t="s">
        <v>201</v>
      </c>
      <c r="CXW17" s="310" t="s">
        <v>201</v>
      </c>
      <c r="CXX17" s="310" t="s">
        <v>201</v>
      </c>
      <c r="CXY17" s="310" t="s">
        <v>201</v>
      </c>
      <c r="CXZ17" s="310" t="s">
        <v>201</v>
      </c>
      <c r="CYA17" s="310" t="s">
        <v>201</v>
      </c>
      <c r="CYB17" s="310" t="s">
        <v>201</v>
      </c>
      <c r="CYC17" s="310" t="s">
        <v>201</v>
      </c>
      <c r="CYD17" s="310" t="s">
        <v>201</v>
      </c>
      <c r="CYE17" s="310" t="s">
        <v>201</v>
      </c>
      <c r="CYF17" s="310" t="s">
        <v>201</v>
      </c>
      <c r="CYG17" s="310" t="s">
        <v>201</v>
      </c>
      <c r="CYH17" s="310" t="s">
        <v>201</v>
      </c>
      <c r="CYI17" s="310" t="s">
        <v>201</v>
      </c>
      <c r="CYJ17" s="310" t="s">
        <v>201</v>
      </c>
      <c r="CYK17" s="310" t="s">
        <v>201</v>
      </c>
      <c r="CYL17" s="310" t="s">
        <v>201</v>
      </c>
      <c r="CYM17" s="310" t="s">
        <v>201</v>
      </c>
      <c r="CYN17" s="310" t="s">
        <v>201</v>
      </c>
      <c r="CYO17" s="310" t="s">
        <v>201</v>
      </c>
      <c r="CYP17" s="310" t="s">
        <v>201</v>
      </c>
      <c r="CYQ17" s="310" t="s">
        <v>201</v>
      </c>
      <c r="CYR17" s="310" t="s">
        <v>201</v>
      </c>
      <c r="CYS17" s="310" t="s">
        <v>201</v>
      </c>
      <c r="CYT17" s="310" t="s">
        <v>201</v>
      </c>
      <c r="CYU17" s="310" t="s">
        <v>201</v>
      </c>
      <c r="CYV17" s="310" t="s">
        <v>201</v>
      </c>
      <c r="CYW17" s="310" t="s">
        <v>201</v>
      </c>
      <c r="CYX17" s="310" t="s">
        <v>201</v>
      </c>
      <c r="CYY17" s="310" t="s">
        <v>201</v>
      </c>
      <c r="CYZ17" s="310" t="s">
        <v>201</v>
      </c>
      <c r="CZA17" s="310" t="s">
        <v>201</v>
      </c>
      <c r="CZB17" s="310" t="s">
        <v>201</v>
      </c>
      <c r="CZC17" s="310" t="s">
        <v>201</v>
      </c>
      <c r="CZD17" s="310" t="s">
        <v>201</v>
      </c>
      <c r="CZE17" s="310" t="s">
        <v>201</v>
      </c>
      <c r="CZF17" s="310" t="s">
        <v>201</v>
      </c>
      <c r="CZG17" s="310" t="s">
        <v>201</v>
      </c>
      <c r="CZH17" s="310" t="s">
        <v>201</v>
      </c>
      <c r="CZI17" s="310" t="s">
        <v>201</v>
      </c>
      <c r="CZJ17" s="310" t="s">
        <v>201</v>
      </c>
      <c r="CZK17" s="310" t="s">
        <v>201</v>
      </c>
      <c r="CZL17" s="310" t="s">
        <v>201</v>
      </c>
      <c r="CZM17" s="310" t="s">
        <v>201</v>
      </c>
      <c r="CZN17" s="310" t="s">
        <v>201</v>
      </c>
      <c r="CZO17" s="310" t="s">
        <v>201</v>
      </c>
      <c r="CZP17" s="310" t="s">
        <v>201</v>
      </c>
      <c r="CZQ17" s="310" t="s">
        <v>201</v>
      </c>
      <c r="CZR17" s="310" t="s">
        <v>201</v>
      </c>
      <c r="CZS17" s="310" t="s">
        <v>201</v>
      </c>
      <c r="CZT17" s="310" t="s">
        <v>201</v>
      </c>
      <c r="CZU17" s="310" t="s">
        <v>201</v>
      </c>
      <c r="CZV17" s="310" t="s">
        <v>201</v>
      </c>
      <c r="CZW17" s="310" t="s">
        <v>201</v>
      </c>
      <c r="CZX17" s="310" t="s">
        <v>201</v>
      </c>
      <c r="CZY17" s="310" t="s">
        <v>201</v>
      </c>
      <c r="CZZ17" s="310" t="s">
        <v>201</v>
      </c>
      <c r="DAA17" s="310" t="s">
        <v>201</v>
      </c>
      <c r="DAB17" s="310" t="s">
        <v>201</v>
      </c>
      <c r="DAC17" s="310" t="s">
        <v>201</v>
      </c>
      <c r="DAD17" s="310" t="s">
        <v>201</v>
      </c>
      <c r="DAE17" s="310" t="s">
        <v>201</v>
      </c>
      <c r="DAF17" s="310" t="s">
        <v>201</v>
      </c>
      <c r="DAG17" s="310" t="s">
        <v>201</v>
      </c>
      <c r="DAH17" s="310" t="s">
        <v>201</v>
      </c>
      <c r="DAI17" s="310" t="s">
        <v>201</v>
      </c>
      <c r="DAJ17" s="310" t="s">
        <v>201</v>
      </c>
      <c r="DAK17" s="310" t="s">
        <v>201</v>
      </c>
      <c r="DAL17" s="310" t="s">
        <v>201</v>
      </c>
      <c r="DAM17" s="310" t="s">
        <v>201</v>
      </c>
      <c r="DAN17" s="310" t="s">
        <v>201</v>
      </c>
      <c r="DAO17" s="310" t="s">
        <v>201</v>
      </c>
      <c r="DAP17" s="310" t="s">
        <v>201</v>
      </c>
      <c r="DAQ17" s="310" t="s">
        <v>201</v>
      </c>
      <c r="DAR17" s="310" t="s">
        <v>201</v>
      </c>
      <c r="DAS17" s="310" t="s">
        <v>201</v>
      </c>
      <c r="DAT17" s="310" t="s">
        <v>201</v>
      </c>
      <c r="DAU17" s="310" t="s">
        <v>201</v>
      </c>
      <c r="DAV17" s="310" t="s">
        <v>201</v>
      </c>
      <c r="DAW17" s="310" t="s">
        <v>201</v>
      </c>
      <c r="DAX17" s="310" t="s">
        <v>201</v>
      </c>
      <c r="DAY17" s="310" t="s">
        <v>201</v>
      </c>
      <c r="DAZ17" s="310" t="s">
        <v>201</v>
      </c>
      <c r="DBA17" s="310" t="s">
        <v>201</v>
      </c>
      <c r="DBB17" s="310" t="s">
        <v>201</v>
      </c>
      <c r="DBC17" s="310" t="s">
        <v>201</v>
      </c>
      <c r="DBD17" s="310" t="s">
        <v>201</v>
      </c>
      <c r="DBE17" s="310" t="s">
        <v>201</v>
      </c>
      <c r="DBF17" s="310" t="s">
        <v>201</v>
      </c>
      <c r="DBG17" s="310" t="s">
        <v>201</v>
      </c>
      <c r="DBH17" s="310" t="s">
        <v>201</v>
      </c>
      <c r="DBI17" s="310" t="s">
        <v>201</v>
      </c>
      <c r="DBJ17" s="310" t="s">
        <v>201</v>
      </c>
      <c r="DBK17" s="310" t="s">
        <v>201</v>
      </c>
      <c r="DBL17" s="310" t="s">
        <v>201</v>
      </c>
      <c r="DBM17" s="310" t="s">
        <v>201</v>
      </c>
      <c r="DBN17" s="310" t="s">
        <v>201</v>
      </c>
      <c r="DBO17" s="310" t="s">
        <v>201</v>
      </c>
      <c r="DBP17" s="310" t="s">
        <v>201</v>
      </c>
      <c r="DBQ17" s="310" t="s">
        <v>201</v>
      </c>
      <c r="DBR17" s="310" t="s">
        <v>201</v>
      </c>
      <c r="DBS17" s="310" t="s">
        <v>201</v>
      </c>
      <c r="DBT17" s="310" t="s">
        <v>201</v>
      </c>
      <c r="DBU17" s="310" t="s">
        <v>201</v>
      </c>
      <c r="DBV17" s="310" t="s">
        <v>201</v>
      </c>
      <c r="DBW17" s="310" t="s">
        <v>201</v>
      </c>
      <c r="DBX17" s="310" t="s">
        <v>201</v>
      </c>
      <c r="DBY17" s="310" t="s">
        <v>201</v>
      </c>
      <c r="DBZ17" s="310" t="s">
        <v>201</v>
      </c>
      <c r="DCA17" s="310" t="s">
        <v>201</v>
      </c>
      <c r="DCB17" s="310" t="s">
        <v>201</v>
      </c>
      <c r="DCC17" s="310" t="s">
        <v>201</v>
      </c>
      <c r="DCD17" s="310" t="s">
        <v>201</v>
      </c>
      <c r="DCE17" s="310" t="s">
        <v>201</v>
      </c>
      <c r="DCF17" s="310" t="s">
        <v>201</v>
      </c>
      <c r="DCG17" s="310" t="s">
        <v>201</v>
      </c>
      <c r="DCH17" s="310" t="s">
        <v>201</v>
      </c>
      <c r="DCI17" s="310" t="s">
        <v>201</v>
      </c>
      <c r="DCJ17" s="310" t="s">
        <v>201</v>
      </c>
      <c r="DCK17" s="310" t="s">
        <v>201</v>
      </c>
      <c r="DCL17" s="310" t="s">
        <v>201</v>
      </c>
      <c r="DCM17" s="310" t="s">
        <v>201</v>
      </c>
      <c r="DCN17" s="310" t="s">
        <v>201</v>
      </c>
      <c r="DCO17" s="310" t="s">
        <v>201</v>
      </c>
      <c r="DCP17" s="310" t="s">
        <v>201</v>
      </c>
      <c r="DCQ17" s="310" t="s">
        <v>201</v>
      </c>
      <c r="DCR17" s="310" t="s">
        <v>201</v>
      </c>
      <c r="DCS17" s="310" t="s">
        <v>201</v>
      </c>
      <c r="DCT17" s="310" t="s">
        <v>201</v>
      </c>
      <c r="DCU17" s="310" t="s">
        <v>201</v>
      </c>
      <c r="DCV17" s="310" t="s">
        <v>201</v>
      </c>
      <c r="DCW17" s="310" t="s">
        <v>201</v>
      </c>
      <c r="DCX17" s="310" t="s">
        <v>201</v>
      </c>
      <c r="DCY17" s="310" t="s">
        <v>201</v>
      </c>
      <c r="DCZ17" s="310" t="s">
        <v>201</v>
      </c>
      <c r="DDA17" s="310" t="s">
        <v>201</v>
      </c>
      <c r="DDB17" s="310" t="s">
        <v>201</v>
      </c>
      <c r="DDC17" s="310" t="s">
        <v>201</v>
      </c>
      <c r="DDD17" s="310" t="s">
        <v>201</v>
      </c>
      <c r="DDE17" s="310" t="s">
        <v>201</v>
      </c>
      <c r="DDF17" s="310" t="s">
        <v>201</v>
      </c>
      <c r="DDG17" s="310" t="s">
        <v>201</v>
      </c>
      <c r="DDH17" s="310" t="s">
        <v>201</v>
      </c>
      <c r="DDI17" s="310" t="s">
        <v>201</v>
      </c>
      <c r="DDJ17" s="310" t="s">
        <v>201</v>
      </c>
      <c r="DDK17" s="310" t="s">
        <v>201</v>
      </c>
      <c r="DDL17" s="310" t="s">
        <v>201</v>
      </c>
      <c r="DDM17" s="310" t="s">
        <v>201</v>
      </c>
      <c r="DDN17" s="310" t="s">
        <v>201</v>
      </c>
      <c r="DDO17" s="310" t="s">
        <v>201</v>
      </c>
      <c r="DDP17" s="310" t="s">
        <v>201</v>
      </c>
      <c r="DDQ17" s="310" t="s">
        <v>201</v>
      </c>
      <c r="DDR17" s="310" t="s">
        <v>201</v>
      </c>
      <c r="DDS17" s="310" t="s">
        <v>201</v>
      </c>
      <c r="DDT17" s="310" t="s">
        <v>201</v>
      </c>
      <c r="DDU17" s="310" t="s">
        <v>201</v>
      </c>
      <c r="DDV17" s="310" t="s">
        <v>201</v>
      </c>
      <c r="DDW17" s="310" t="s">
        <v>201</v>
      </c>
      <c r="DDX17" s="310" t="s">
        <v>201</v>
      </c>
      <c r="DDY17" s="310" t="s">
        <v>201</v>
      </c>
      <c r="DDZ17" s="310" t="s">
        <v>201</v>
      </c>
      <c r="DEA17" s="310" t="s">
        <v>201</v>
      </c>
      <c r="DEB17" s="310" t="s">
        <v>201</v>
      </c>
      <c r="DEC17" s="310" t="s">
        <v>201</v>
      </c>
      <c r="DED17" s="310" t="s">
        <v>201</v>
      </c>
      <c r="DEE17" s="310" t="s">
        <v>201</v>
      </c>
      <c r="DEF17" s="310" t="s">
        <v>201</v>
      </c>
      <c r="DEG17" s="310" t="s">
        <v>201</v>
      </c>
      <c r="DEH17" s="310" t="s">
        <v>201</v>
      </c>
      <c r="DEI17" s="310" t="s">
        <v>201</v>
      </c>
      <c r="DEJ17" s="310" t="s">
        <v>201</v>
      </c>
      <c r="DEK17" s="310" t="s">
        <v>201</v>
      </c>
      <c r="DEL17" s="310" t="s">
        <v>201</v>
      </c>
      <c r="DEM17" s="310" t="s">
        <v>201</v>
      </c>
      <c r="DEN17" s="310" t="s">
        <v>201</v>
      </c>
      <c r="DEO17" s="310" t="s">
        <v>201</v>
      </c>
      <c r="DEP17" s="310" t="s">
        <v>201</v>
      </c>
      <c r="DEQ17" s="310" t="s">
        <v>201</v>
      </c>
      <c r="DER17" s="310" t="s">
        <v>201</v>
      </c>
      <c r="DES17" s="310" t="s">
        <v>201</v>
      </c>
      <c r="DET17" s="310" t="s">
        <v>201</v>
      </c>
      <c r="DEU17" s="310" t="s">
        <v>201</v>
      </c>
      <c r="DEV17" s="310" t="s">
        <v>201</v>
      </c>
      <c r="DEW17" s="310" t="s">
        <v>201</v>
      </c>
      <c r="DEX17" s="310" t="s">
        <v>201</v>
      </c>
      <c r="DEY17" s="310" t="s">
        <v>201</v>
      </c>
      <c r="DEZ17" s="310" t="s">
        <v>201</v>
      </c>
      <c r="DFA17" s="310" t="s">
        <v>201</v>
      </c>
      <c r="DFB17" s="310" t="s">
        <v>201</v>
      </c>
      <c r="DFC17" s="310" t="s">
        <v>201</v>
      </c>
      <c r="DFD17" s="310" t="s">
        <v>201</v>
      </c>
      <c r="DFE17" s="310" t="s">
        <v>201</v>
      </c>
      <c r="DFF17" s="310" t="s">
        <v>201</v>
      </c>
      <c r="DFG17" s="310" t="s">
        <v>201</v>
      </c>
      <c r="DFH17" s="310" t="s">
        <v>201</v>
      </c>
      <c r="DFI17" s="310" t="s">
        <v>201</v>
      </c>
      <c r="DFJ17" s="310" t="s">
        <v>201</v>
      </c>
      <c r="DFK17" s="310" t="s">
        <v>201</v>
      </c>
      <c r="DFL17" s="310" t="s">
        <v>201</v>
      </c>
      <c r="DFM17" s="310" t="s">
        <v>201</v>
      </c>
      <c r="DFN17" s="310" t="s">
        <v>201</v>
      </c>
      <c r="DFO17" s="310" t="s">
        <v>201</v>
      </c>
      <c r="DFP17" s="310" t="s">
        <v>201</v>
      </c>
      <c r="DFQ17" s="310" t="s">
        <v>201</v>
      </c>
      <c r="DFR17" s="310" t="s">
        <v>201</v>
      </c>
      <c r="DFS17" s="310" t="s">
        <v>201</v>
      </c>
      <c r="DFT17" s="310" t="s">
        <v>201</v>
      </c>
      <c r="DFU17" s="310" t="s">
        <v>201</v>
      </c>
      <c r="DFV17" s="310" t="s">
        <v>201</v>
      </c>
      <c r="DFW17" s="310" t="s">
        <v>201</v>
      </c>
      <c r="DFX17" s="310" t="s">
        <v>201</v>
      </c>
      <c r="DFY17" s="310" t="s">
        <v>201</v>
      </c>
      <c r="DFZ17" s="310" t="s">
        <v>201</v>
      </c>
      <c r="DGA17" s="310" t="s">
        <v>201</v>
      </c>
      <c r="DGB17" s="310" t="s">
        <v>201</v>
      </c>
      <c r="DGC17" s="310" t="s">
        <v>201</v>
      </c>
      <c r="DGD17" s="310" t="s">
        <v>201</v>
      </c>
      <c r="DGE17" s="310" t="s">
        <v>201</v>
      </c>
      <c r="DGF17" s="310" t="s">
        <v>201</v>
      </c>
      <c r="DGG17" s="310" t="s">
        <v>201</v>
      </c>
      <c r="DGH17" s="310" t="s">
        <v>201</v>
      </c>
      <c r="DGI17" s="310" t="s">
        <v>201</v>
      </c>
      <c r="DGJ17" s="310" t="s">
        <v>201</v>
      </c>
      <c r="DGK17" s="310" t="s">
        <v>201</v>
      </c>
      <c r="DGL17" s="310" t="s">
        <v>201</v>
      </c>
      <c r="DGM17" s="310" t="s">
        <v>201</v>
      </c>
      <c r="DGN17" s="310" t="s">
        <v>201</v>
      </c>
      <c r="DGO17" s="310" t="s">
        <v>201</v>
      </c>
      <c r="DGP17" s="310" t="s">
        <v>201</v>
      </c>
      <c r="DGQ17" s="310" t="s">
        <v>201</v>
      </c>
      <c r="DGR17" s="310" t="s">
        <v>201</v>
      </c>
      <c r="DGS17" s="310" t="s">
        <v>201</v>
      </c>
      <c r="DGT17" s="310" t="s">
        <v>201</v>
      </c>
      <c r="DGU17" s="310" t="s">
        <v>201</v>
      </c>
      <c r="DGV17" s="310" t="s">
        <v>201</v>
      </c>
      <c r="DGW17" s="310" t="s">
        <v>201</v>
      </c>
      <c r="DGX17" s="310" t="s">
        <v>201</v>
      </c>
      <c r="DGY17" s="310" t="s">
        <v>201</v>
      </c>
      <c r="DGZ17" s="310" t="s">
        <v>201</v>
      </c>
      <c r="DHA17" s="310" t="s">
        <v>201</v>
      </c>
      <c r="DHB17" s="310" t="s">
        <v>201</v>
      </c>
      <c r="DHC17" s="310" t="s">
        <v>201</v>
      </c>
      <c r="DHD17" s="310" t="s">
        <v>201</v>
      </c>
      <c r="DHE17" s="310" t="s">
        <v>201</v>
      </c>
      <c r="DHF17" s="310" t="s">
        <v>201</v>
      </c>
      <c r="DHG17" s="310" t="s">
        <v>201</v>
      </c>
      <c r="DHH17" s="310" t="s">
        <v>201</v>
      </c>
      <c r="DHI17" s="310" t="s">
        <v>201</v>
      </c>
      <c r="DHJ17" s="310" t="s">
        <v>201</v>
      </c>
      <c r="DHK17" s="310" t="s">
        <v>201</v>
      </c>
      <c r="DHL17" s="310" t="s">
        <v>201</v>
      </c>
      <c r="DHM17" s="310" t="s">
        <v>201</v>
      </c>
      <c r="DHN17" s="310" t="s">
        <v>201</v>
      </c>
      <c r="DHO17" s="310" t="s">
        <v>201</v>
      </c>
      <c r="DHP17" s="310" t="s">
        <v>201</v>
      </c>
      <c r="DHQ17" s="310" t="s">
        <v>201</v>
      </c>
      <c r="DHR17" s="310" t="s">
        <v>201</v>
      </c>
      <c r="DHS17" s="310" t="s">
        <v>201</v>
      </c>
      <c r="DHT17" s="310" t="s">
        <v>201</v>
      </c>
      <c r="DHU17" s="310" t="s">
        <v>201</v>
      </c>
      <c r="DHV17" s="310" t="s">
        <v>201</v>
      </c>
      <c r="DHW17" s="310" t="s">
        <v>201</v>
      </c>
      <c r="DHX17" s="310" t="s">
        <v>201</v>
      </c>
      <c r="DHY17" s="310" t="s">
        <v>201</v>
      </c>
      <c r="DHZ17" s="310" t="s">
        <v>201</v>
      </c>
      <c r="DIA17" s="310" t="s">
        <v>201</v>
      </c>
      <c r="DIB17" s="310" t="s">
        <v>201</v>
      </c>
      <c r="DIC17" s="310" t="s">
        <v>201</v>
      </c>
      <c r="DID17" s="310" t="s">
        <v>201</v>
      </c>
      <c r="DIE17" s="310" t="s">
        <v>201</v>
      </c>
      <c r="DIF17" s="310" t="s">
        <v>201</v>
      </c>
      <c r="DIG17" s="310" t="s">
        <v>201</v>
      </c>
      <c r="DIH17" s="310" t="s">
        <v>201</v>
      </c>
      <c r="DII17" s="310" t="s">
        <v>201</v>
      </c>
      <c r="DIJ17" s="310" t="s">
        <v>201</v>
      </c>
      <c r="DIK17" s="310" t="s">
        <v>201</v>
      </c>
      <c r="DIL17" s="310" t="s">
        <v>201</v>
      </c>
      <c r="DIM17" s="310" t="s">
        <v>201</v>
      </c>
      <c r="DIN17" s="310" t="s">
        <v>201</v>
      </c>
      <c r="DIO17" s="310" t="s">
        <v>201</v>
      </c>
      <c r="DIP17" s="310" t="s">
        <v>201</v>
      </c>
      <c r="DIQ17" s="310" t="s">
        <v>201</v>
      </c>
      <c r="DIR17" s="310" t="s">
        <v>201</v>
      </c>
      <c r="DIS17" s="310" t="s">
        <v>201</v>
      </c>
      <c r="DIT17" s="310" t="s">
        <v>201</v>
      </c>
      <c r="DIU17" s="310" t="s">
        <v>201</v>
      </c>
      <c r="DIV17" s="310" t="s">
        <v>201</v>
      </c>
      <c r="DIW17" s="310" t="s">
        <v>201</v>
      </c>
      <c r="DIX17" s="310" t="s">
        <v>201</v>
      </c>
      <c r="DIY17" s="310" t="s">
        <v>201</v>
      </c>
      <c r="DIZ17" s="310" t="s">
        <v>201</v>
      </c>
      <c r="DJA17" s="310" t="s">
        <v>201</v>
      </c>
      <c r="DJB17" s="310" t="s">
        <v>201</v>
      </c>
      <c r="DJC17" s="310" t="s">
        <v>201</v>
      </c>
      <c r="DJD17" s="310" t="s">
        <v>201</v>
      </c>
      <c r="DJE17" s="310" t="s">
        <v>201</v>
      </c>
      <c r="DJF17" s="310" t="s">
        <v>201</v>
      </c>
      <c r="DJG17" s="310" t="s">
        <v>201</v>
      </c>
      <c r="DJH17" s="310" t="s">
        <v>201</v>
      </c>
      <c r="DJI17" s="310" t="s">
        <v>201</v>
      </c>
      <c r="DJJ17" s="310" t="s">
        <v>201</v>
      </c>
      <c r="DJK17" s="310" t="s">
        <v>201</v>
      </c>
      <c r="DJL17" s="310" t="s">
        <v>201</v>
      </c>
      <c r="DJM17" s="310" t="s">
        <v>201</v>
      </c>
      <c r="DJN17" s="310" t="s">
        <v>201</v>
      </c>
      <c r="DJO17" s="310" t="s">
        <v>201</v>
      </c>
      <c r="DJP17" s="310" t="s">
        <v>201</v>
      </c>
      <c r="DJQ17" s="310" t="s">
        <v>201</v>
      </c>
      <c r="DJR17" s="310" t="s">
        <v>201</v>
      </c>
      <c r="DJS17" s="310" t="s">
        <v>201</v>
      </c>
      <c r="DJT17" s="310" t="s">
        <v>201</v>
      </c>
      <c r="DJU17" s="310" t="s">
        <v>201</v>
      </c>
      <c r="DJV17" s="310" t="s">
        <v>201</v>
      </c>
      <c r="DJW17" s="310" t="s">
        <v>201</v>
      </c>
      <c r="DJX17" s="310" t="s">
        <v>201</v>
      </c>
      <c r="DJY17" s="310" t="s">
        <v>201</v>
      </c>
      <c r="DJZ17" s="310" t="s">
        <v>201</v>
      </c>
      <c r="DKA17" s="310" t="s">
        <v>201</v>
      </c>
      <c r="DKB17" s="310" t="s">
        <v>201</v>
      </c>
      <c r="DKC17" s="310" t="s">
        <v>201</v>
      </c>
      <c r="DKD17" s="310" t="s">
        <v>201</v>
      </c>
      <c r="DKE17" s="310" t="s">
        <v>201</v>
      </c>
      <c r="DKF17" s="310" t="s">
        <v>201</v>
      </c>
      <c r="DKG17" s="310" t="s">
        <v>201</v>
      </c>
      <c r="DKH17" s="310" t="s">
        <v>201</v>
      </c>
      <c r="DKI17" s="310" t="s">
        <v>201</v>
      </c>
      <c r="DKJ17" s="310" t="s">
        <v>201</v>
      </c>
      <c r="DKK17" s="310" t="s">
        <v>201</v>
      </c>
      <c r="DKL17" s="310" t="s">
        <v>201</v>
      </c>
      <c r="DKM17" s="310" t="s">
        <v>201</v>
      </c>
      <c r="DKN17" s="310" t="s">
        <v>201</v>
      </c>
      <c r="DKO17" s="310" t="s">
        <v>201</v>
      </c>
      <c r="DKP17" s="310" t="s">
        <v>201</v>
      </c>
      <c r="DKQ17" s="310" t="s">
        <v>201</v>
      </c>
      <c r="DKR17" s="310" t="s">
        <v>201</v>
      </c>
      <c r="DKS17" s="310" t="s">
        <v>201</v>
      </c>
      <c r="DKT17" s="310" t="s">
        <v>201</v>
      </c>
      <c r="DKU17" s="310" t="s">
        <v>201</v>
      </c>
      <c r="DKV17" s="310" t="s">
        <v>201</v>
      </c>
      <c r="DKW17" s="310" t="s">
        <v>201</v>
      </c>
      <c r="DKX17" s="310" t="s">
        <v>201</v>
      </c>
      <c r="DKY17" s="310" t="s">
        <v>201</v>
      </c>
      <c r="DKZ17" s="310" t="s">
        <v>201</v>
      </c>
      <c r="DLA17" s="310" t="s">
        <v>201</v>
      </c>
      <c r="DLB17" s="310" t="s">
        <v>201</v>
      </c>
      <c r="DLC17" s="310" t="s">
        <v>201</v>
      </c>
      <c r="DLD17" s="310" t="s">
        <v>201</v>
      </c>
      <c r="DLE17" s="310" t="s">
        <v>201</v>
      </c>
      <c r="DLF17" s="310" t="s">
        <v>201</v>
      </c>
      <c r="DLG17" s="310" t="s">
        <v>201</v>
      </c>
      <c r="DLH17" s="310" t="s">
        <v>201</v>
      </c>
      <c r="DLI17" s="310" t="s">
        <v>201</v>
      </c>
      <c r="DLJ17" s="310" t="s">
        <v>201</v>
      </c>
      <c r="DLK17" s="310" t="s">
        <v>201</v>
      </c>
      <c r="DLL17" s="310" t="s">
        <v>201</v>
      </c>
      <c r="DLM17" s="310" t="s">
        <v>201</v>
      </c>
      <c r="DLN17" s="310" t="s">
        <v>201</v>
      </c>
      <c r="DLO17" s="310" t="s">
        <v>201</v>
      </c>
      <c r="DLP17" s="310" t="s">
        <v>201</v>
      </c>
      <c r="DLQ17" s="310" t="s">
        <v>201</v>
      </c>
      <c r="DLR17" s="310" t="s">
        <v>201</v>
      </c>
      <c r="DLS17" s="310" t="s">
        <v>201</v>
      </c>
      <c r="DLT17" s="310" t="s">
        <v>201</v>
      </c>
      <c r="DLU17" s="310" t="s">
        <v>201</v>
      </c>
      <c r="DLV17" s="310" t="s">
        <v>201</v>
      </c>
      <c r="DLW17" s="310" t="s">
        <v>201</v>
      </c>
      <c r="DLX17" s="310" t="s">
        <v>201</v>
      </c>
      <c r="DLY17" s="310" t="s">
        <v>201</v>
      </c>
      <c r="DLZ17" s="310" t="s">
        <v>201</v>
      </c>
      <c r="DMA17" s="310" t="s">
        <v>201</v>
      </c>
      <c r="DMB17" s="310" t="s">
        <v>201</v>
      </c>
      <c r="DMC17" s="310" t="s">
        <v>201</v>
      </c>
      <c r="DMD17" s="310" t="s">
        <v>201</v>
      </c>
      <c r="DME17" s="310" t="s">
        <v>201</v>
      </c>
      <c r="DMF17" s="310" t="s">
        <v>201</v>
      </c>
      <c r="DMG17" s="310" t="s">
        <v>201</v>
      </c>
      <c r="DMH17" s="310" t="s">
        <v>201</v>
      </c>
      <c r="DMI17" s="310" t="s">
        <v>201</v>
      </c>
      <c r="DMJ17" s="310" t="s">
        <v>201</v>
      </c>
      <c r="DMK17" s="310" t="s">
        <v>201</v>
      </c>
      <c r="DML17" s="310" t="s">
        <v>201</v>
      </c>
      <c r="DMM17" s="310" t="s">
        <v>201</v>
      </c>
      <c r="DMN17" s="310" t="s">
        <v>201</v>
      </c>
      <c r="DMO17" s="310" t="s">
        <v>201</v>
      </c>
      <c r="DMP17" s="310" t="s">
        <v>201</v>
      </c>
      <c r="DMQ17" s="310" t="s">
        <v>201</v>
      </c>
      <c r="DMR17" s="310" t="s">
        <v>201</v>
      </c>
      <c r="DMS17" s="310" t="s">
        <v>201</v>
      </c>
      <c r="DMT17" s="310" t="s">
        <v>201</v>
      </c>
      <c r="DMU17" s="310" t="s">
        <v>201</v>
      </c>
      <c r="DMV17" s="310" t="s">
        <v>201</v>
      </c>
      <c r="DMW17" s="310" t="s">
        <v>201</v>
      </c>
      <c r="DMX17" s="310" t="s">
        <v>201</v>
      </c>
      <c r="DMY17" s="310" t="s">
        <v>201</v>
      </c>
      <c r="DMZ17" s="310" t="s">
        <v>201</v>
      </c>
      <c r="DNA17" s="310" t="s">
        <v>201</v>
      </c>
      <c r="DNB17" s="310" t="s">
        <v>201</v>
      </c>
      <c r="DNC17" s="310" t="s">
        <v>201</v>
      </c>
      <c r="DND17" s="310" t="s">
        <v>201</v>
      </c>
      <c r="DNE17" s="310" t="s">
        <v>201</v>
      </c>
      <c r="DNF17" s="310" t="s">
        <v>201</v>
      </c>
      <c r="DNG17" s="310" t="s">
        <v>201</v>
      </c>
      <c r="DNH17" s="310" t="s">
        <v>201</v>
      </c>
      <c r="DNI17" s="310" t="s">
        <v>201</v>
      </c>
      <c r="DNJ17" s="310" t="s">
        <v>201</v>
      </c>
      <c r="DNK17" s="310" t="s">
        <v>201</v>
      </c>
      <c r="DNL17" s="310" t="s">
        <v>201</v>
      </c>
      <c r="DNM17" s="310" t="s">
        <v>201</v>
      </c>
      <c r="DNN17" s="310" t="s">
        <v>201</v>
      </c>
      <c r="DNO17" s="310" t="s">
        <v>201</v>
      </c>
      <c r="DNP17" s="310" t="s">
        <v>201</v>
      </c>
      <c r="DNQ17" s="310" t="s">
        <v>201</v>
      </c>
      <c r="DNR17" s="310" t="s">
        <v>201</v>
      </c>
      <c r="DNS17" s="310" t="s">
        <v>201</v>
      </c>
      <c r="DNT17" s="310" t="s">
        <v>201</v>
      </c>
      <c r="DNU17" s="310" t="s">
        <v>201</v>
      </c>
      <c r="DNV17" s="310" t="s">
        <v>201</v>
      </c>
      <c r="DNW17" s="310" t="s">
        <v>201</v>
      </c>
      <c r="DNX17" s="310" t="s">
        <v>201</v>
      </c>
      <c r="DNY17" s="310" t="s">
        <v>201</v>
      </c>
      <c r="DNZ17" s="310" t="s">
        <v>201</v>
      </c>
      <c r="DOA17" s="310" t="s">
        <v>201</v>
      </c>
      <c r="DOB17" s="310" t="s">
        <v>201</v>
      </c>
      <c r="DOC17" s="310" t="s">
        <v>201</v>
      </c>
      <c r="DOD17" s="310" t="s">
        <v>201</v>
      </c>
      <c r="DOE17" s="310" t="s">
        <v>201</v>
      </c>
      <c r="DOF17" s="310" t="s">
        <v>201</v>
      </c>
      <c r="DOG17" s="310" t="s">
        <v>201</v>
      </c>
      <c r="DOH17" s="310" t="s">
        <v>201</v>
      </c>
      <c r="DOI17" s="310" t="s">
        <v>201</v>
      </c>
      <c r="DOJ17" s="310" t="s">
        <v>201</v>
      </c>
      <c r="DOK17" s="310" t="s">
        <v>201</v>
      </c>
      <c r="DOL17" s="310" t="s">
        <v>201</v>
      </c>
      <c r="DOM17" s="310" t="s">
        <v>201</v>
      </c>
      <c r="DON17" s="310" t="s">
        <v>201</v>
      </c>
      <c r="DOO17" s="310" t="s">
        <v>201</v>
      </c>
      <c r="DOP17" s="310" t="s">
        <v>201</v>
      </c>
      <c r="DOQ17" s="310" t="s">
        <v>201</v>
      </c>
      <c r="DOR17" s="310" t="s">
        <v>201</v>
      </c>
      <c r="DOS17" s="310" t="s">
        <v>201</v>
      </c>
      <c r="DOT17" s="310" t="s">
        <v>201</v>
      </c>
      <c r="DOU17" s="310" t="s">
        <v>201</v>
      </c>
      <c r="DOV17" s="310" t="s">
        <v>201</v>
      </c>
      <c r="DOW17" s="310" t="s">
        <v>201</v>
      </c>
      <c r="DOX17" s="310" t="s">
        <v>201</v>
      </c>
      <c r="DOY17" s="310" t="s">
        <v>201</v>
      </c>
      <c r="DOZ17" s="310" t="s">
        <v>201</v>
      </c>
      <c r="DPA17" s="310" t="s">
        <v>201</v>
      </c>
      <c r="DPB17" s="310" t="s">
        <v>201</v>
      </c>
      <c r="DPC17" s="310" t="s">
        <v>201</v>
      </c>
      <c r="DPD17" s="310" t="s">
        <v>201</v>
      </c>
      <c r="DPE17" s="310" t="s">
        <v>201</v>
      </c>
      <c r="DPF17" s="310" t="s">
        <v>201</v>
      </c>
      <c r="DPG17" s="310" t="s">
        <v>201</v>
      </c>
      <c r="DPH17" s="310" t="s">
        <v>201</v>
      </c>
      <c r="DPI17" s="310" t="s">
        <v>201</v>
      </c>
      <c r="DPJ17" s="310" t="s">
        <v>201</v>
      </c>
      <c r="DPK17" s="310" t="s">
        <v>201</v>
      </c>
      <c r="DPL17" s="310" t="s">
        <v>201</v>
      </c>
      <c r="DPM17" s="310" t="s">
        <v>201</v>
      </c>
      <c r="DPN17" s="310" t="s">
        <v>201</v>
      </c>
      <c r="DPO17" s="310" t="s">
        <v>201</v>
      </c>
      <c r="DPP17" s="310" t="s">
        <v>201</v>
      </c>
      <c r="DPQ17" s="310" t="s">
        <v>201</v>
      </c>
      <c r="DPR17" s="310" t="s">
        <v>201</v>
      </c>
      <c r="DPS17" s="310" t="s">
        <v>201</v>
      </c>
      <c r="DPT17" s="310" t="s">
        <v>201</v>
      </c>
      <c r="DPU17" s="310" t="s">
        <v>201</v>
      </c>
      <c r="DPV17" s="310" t="s">
        <v>201</v>
      </c>
      <c r="DPW17" s="310" t="s">
        <v>201</v>
      </c>
      <c r="DPX17" s="310" t="s">
        <v>201</v>
      </c>
      <c r="DPY17" s="310" t="s">
        <v>201</v>
      </c>
      <c r="DPZ17" s="310" t="s">
        <v>201</v>
      </c>
      <c r="DQA17" s="310" t="s">
        <v>201</v>
      </c>
      <c r="DQB17" s="310" t="s">
        <v>201</v>
      </c>
      <c r="DQC17" s="310" t="s">
        <v>201</v>
      </c>
      <c r="DQD17" s="310" t="s">
        <v>201</v>
      </c>
      <c r="DQE17" s="310" t="s">
        <v>201</v>
      </c>
      <c r="DQF17" s="310" t="s">
        <v>201</v>
      </c>
      <c r="DQG17" s="310" t="s">
        <v>201</v>
      </c>
      <c r="DQH17" s="310" t="s">
        <v>201</v>
      </c>
      <c r="DQI17" s="310" t="s">
        <v>201</v>
      </c>
      <c r="DQJ17" s="310" t="s">
        <v>201</v>
      </c>
      <c r="DQK17" s="310" t="s">
        <v>201</v>
      </c>
      <c r="DQL17" s="310" t="s">
        <v>201</v>
      </c>
      <c r="DQM17" s="310" t="s">
        <v>201</v>
      </c>
      <c r="DQN17" s="310" t="s">
        <v>201</v>
      </c>
      <c r="DQO17" s="310" t="s">
        <v>201</v>
      </c>
      <c r="DQP17" s="310" t="s">
        <v>201</v>
      </c>
      <c r="DQQ17" s="310" t="s">
        <v>201</v>
      </c>
      <c r="DQR17" s="310" t="s">
        <v>201</v>
      </c>
      <c r="DQS17" s="310" t="s">
        <v>201</v>
      </c>
      <c r="DQT17" s="310" t="s">
        <v>201</v>
      </c>
      <c r="DQU17" s="310" t="s">
        <v>201</v>
      </c>
      <c r="DQV17" s="310" t="s">
        <v>201</v>
      </c>
      <c r="DQW17" s="310" t="s">
        <v>201</v>
      </c>
      <c r="DQX17" s="310" t="s">
        <v>201</v>
      </c>
      <c r="DQY17" s="310" t="s">
        <v>201</v>
      </c>
      <c r="DQZ17" s="310" t="s">
        <v>201</v>
      </c>
      <c r="DRA17" s="310" t="s">
        <v>201</v>
      </c>
      <c r="DRB17" s="310" t="s">
        <v>201</v>
      </c>
      <c r="DRC17" s="310" t="s">
        <v>201</v>
      </c>
      <c r="DRD17" s="310" t="s">
        <v>201</v>
      </c>
      <c r="DRE17" s="310" t="s">
        <v>201</v>
      </c>
      <c r="DRF17" s="310" t="s">
        <v>201</v>
      </c>
      <c r="DRG17" s="310" t="s">
        <v>201</v>
      </c>
      <c r="DRH17" s="310" t="s">
        <v>201</v>
      </c>
      <c r="DRI17" s="310" t="s">
        <v>201</v>
      </c>
      <c r="DRJ17" s="310" t="s">
        <v>201</v>
      </c>
      <c r="DRK17" s="310" t="s">
        <v>201</v>
      </c>
      <c r="DRL17" s="310" t="s">
        <v>201</v>
      </c>
      <c r="DRM17" s="310" t="s">
        <v>201</v>
      </c>
      <c r="DRN17" s="310" t="s">
        <v>201</v>
      </c>
      <c r="DRO17" s="310" t="s">
        <v>201</v>
      </c>
      <c r="DRP17" s="310" t="s">
        <v>201</v>
      </c>
      <c r="DRQ17" s="310" t="s">
        <v>201</v>
      </c>
      <c r="DRR17" s="310" t="s">
        <v>201</v>
      </c>
      <c r="DRS17" s="310" t="s">
        <v>201</v>
      </c>
      <c r="DRT17" s="310" t="s">
        <v>201</v>
      </c>
      <c r="DRU17" s="310" t="s">
        <v>201</v>
      </c>
      <c r="DRV17" s="310" t="s">
        <v>201</v>
      </c>
      <c r="DRW17" s="310" t="s">
        <v>201</v>
      </c>
      <c r="DRX17" s="310" t="s">
        <v>201</v>
      </c>
      <c r="DRY17" s="310" t="s">
        <v>201</v>
      </c>
      <c r="DRZ17" s="310" t="s">
        <v>201</v>
      </c>
      <c r="DSA17" s="310" t="s">
        <v>201</v>
      </c>
      <c r="DSB17" s="310" t="s">
        <v>201</v>
      </c>
      <c r="DSC17" s="310" t="s">
        <v>201</v>
      </c>
      <c r="DSD17" s="310" t="s">
        <v>201</v>
      </c>
      <c r="DSE17" s="310" t="s">
        <v>201</v>
      </c>
      <c r="DSF17" s="310" t="s">
        <v>201</v>
      </c>
      <c r="DSG17" s="310" t="s">
        <v>201</v>
      </c>
      <c r="DSH17" s="310" t="s">
        <v>201</v>
      </c>
      <c r="DSI17" s="310" t="s">
        <v>201</v>
      </c>
      <c r="DSJ17" s="310" t="s">
        <v>201</v>
      </c>
      <c r="DSK17" s="310" t="s">
        <v>201</v>
      </c>
      <c r="DSL17" s="310" t="s">
        <v>201</v>
      </c>
      <c r="DSM17" s="310" t="s">
        <v>201</v>
      </c>
      <c r="DSN17" s="310" t="s">
        <v>201</v>
      </c>
      <c r="DSO17" s="310" t="s">
        <v>201</v>
      </c>
      <c r="DSP17" s="310" t="s">
        <v>201</v>
      </c>
      <c r="DSQ17" s="310" t="s">
        <v>201</v>
      </c>
      <c r="DSR17" s="310" t="s">
        <v>201</v>
      </c>
      <c r="DSS17" s="310" t="s">
        <v>201</v>
      </c>
      <c r="DST17" s="310" t="s">
        <v>201</v>
      </c>
      <c r="DSU17" s="310" t="s">
        <v>201</v>
      </c>
      <c r="DSV17" s="310" t="s">
        <v>201</v>
      </c>
      <c r="DSW17" s="310" t="s">
        <v>201</v>
      </c>
      <c r="DSX17" s="310" t="s">
        <v>201</v>
      </c>
      <c r="DSY17" s="310" t="s">
        <v>201</v>
      </c>
      <c r="DSZ17" s="310" t="s">
        <v>201</v>
      </c>
      <c r="DTA17" s="310" t="s">
        <v>201</v>
      </c>
      <c r="DTB17" s="310" t="s">
        <v>201</v>
      </c>
      <c r="DTC17" s="310" t="s">
        <v>201</v>
      </c>
      <c r="DTD17" s="310" t="s">
        <v>201</v>
      </c>
      <c r="DTE17" s="310" t="s">
        <v>201</v>
      </c>
      <c r="DTF17" s="310" t="s">
        <v>201</v>
      </c>
      <c r="DTG17" s="310" t="s">
        <v>201</v>
      </c>
      <c r="DTH17" s="310" t="s">
        <v>201</v>
      </c>
      <c r="DTI17" s="310" t="s">
        <v>201</v>
      </c>
      <c r="DTJ17" s="310" t="s">
        <v>201</v>
      </c>
      <c r="DTK17" s="310" t="s">
        <v>201</v>
      </c>
      <c r="DTL17" s="310" t="s">
        <v>201</v>
      </c>
      <c r="DTM17" s="310" t="s">
        <v>201</v>
      </c>
      <c r="DTN17" s="310" t="s">
        <v>201</v>
      </c>
      <c r="DTO17" s="310" t="s">
        <v>201</v>
      </c>
      <c r="DTP17" s="310" t="s">
        <v>201</v>
      </c>
      <c r="DTQ17" s="310" t="s">
        <v>201</v>
      </c>
      <c r="DTR17" s="310" t="s">
        <v>201</v>
      </c>
      <c r="DTS17" s="310" t="s">
        <v>201</v>
      </c>
      <c r="DTT17" s="310" t="s">
        <v>201</v>
      </c>
      <c r="DTU17" s="310" t="s">
        <v>201</v>
      </c>
      <c r="DTV17" s="310" t="s">
        <v>201</v>
      </c>
      <c r="DTW17" s="310" t="s">
        <v>201</v>
      </c>
      <c r="DTX17" s="310" t="s">
        <v>201</v>
      </c>
      <c r="DTY17" s="310" t="s">
        <v>201</v>
      </c>
      <c r="DTZ17" s="310" t="s">
        <v>201</v>
      </c>
      <c r="DUA17" s="310" t="s">
        <v>201</v>
      </c>
      <c r="DUB17" s="310" t="s">
        <v>201</v>
      </c>
      <c r="DUC17" s="310" t="s">
        <v>201</v>
      </c>
      <c r="DUD17" s="310" t="s">
        <v>201</v>
      </c>
      <c r="DUE17" s="310" t="s">
        <v>201</v>
      </c>
      <c r="DUF17" s="310" t="s">
        <v>201</v>
      </c>
      <c r="DUG17" s="310" t="s">
        <v>201</v>
      </c>
      <c r="DUH17" s="310" t="s">
        <v>201</v>
      </c>
      <c r="DUI17" s="310" t="s">
        <v>201</v>
      </c>
      <c r="DUJ17" s="310" t="s">
        <v>201</v>
      </c>
      <c r="DUK17" s="310" t="s">
        <v>201</v>
      </c>
      <c r="DUL17" s="310" t="s">
        <v>201</v>
      </c>
      <c r="DUM17" s="310" t="s">
        <v>201</v>
      </c>
      <c r="DUN17" s="310" t="s">
        <v>201</v>
      </c>
      <c r="DUO17" s="310" t="s">
        <v>201</v>
      </c>
      <c r="DUP17" s="310" t="s">
        <v>201</v>
      </c>
      <c r="DUQ17" s="310" t="s">
        <v>201</v>
      </c>
      <c r="DUR17" s="310" t="s">
        <v>201</v>
      </c>
      <c r="DUS17" s="310" t="s">
        <v>201</v>
      </c>
      <c r="DUT17" s="310" t="s">
        <v>201</v>
      </c>
      <c r="DUU17" s="310" t="s">
        <v>201</v>
      </c>
      <c r="DUV17" s="310" t="s">
        <v>201</v>
      </c>
      <c r="DUW17" s="310" t="s">
        <v>201</v>
      </c>
      <c r="DUX17" s="310" t="s">
        <v>201</v>
      </c>
      <c r="DUY17" s="310" t="s">
        <v>201</v>
      </c>
      <c r="DUZ17" s="310" t="s">
        <v>201</v>
      </c>
      <c r="DVA17" s="310" t="s">
        <v>201</v>
      </c>
      <c r="DVB17" s="310" t="s">
        <v>201</v>
      </c>
      <c r="DVC17" s="310" t="s">
        <v>201</v>
      </c>
      <c r="DVD17" s="310" t="s">
        <v>201</v>
      </c>
      <c r="DVE17" s="310" t="s">
        <v>201</v>
      </c>
      <c r="DVF17" s="310" t="s">
        <v>201</v>
      </c>
      <c r="DVG17" s="310" t="s">
        <v>201</v>
      </c>
      <c r="DVH17" s="310" t="s">
        <v>201</v>
      </c>
      <c r="DVI17" s="310" t="s">
        <v>201</v>
      </c>
      <c r="DVJ17" s="310" t="s">
        <v>201</v>
      </c>
      <c r="DVK17" s="310" t="s">
        <v>201</v>
      </c>
      <c r="DVL17" s="310" t="s">
        <v>201</v>
      </c>
      <c r="DVM17" s="310" t="s">
        <v>201</v>
      </c>
      <c r="DVN17" s="310" t="s">
        <v>201</v>
      </c>
      <c r="DVO17" s="310" t="s">
        <v>201</v>
      </c>
      <c r="DVP17" s="310" t="s">
        <v>201</v>
      </c>
      <c r="DVQ17" s="310" t="s">
        <v>201</v>
      </c>
      <c r="DVR17" s="310" t="s">
        <v>201</v>
      </c>
      <c r="DVS17" s="310" t="s">
        <v>201</v>
      </c>
      <c r="DVT17" s="310" t="s">
        <v>201</v>
      </c>
      <c r="DVU17" s="310" t="s">
        <v>201</v>
      </c>
      <c r="DVV17" s="310" t="s">
        <v>201</v>
      </c>
      <c r="DVW17" s="310" t="s">
        <v>201</v>
      </c>
      <c r="DVX17" s="310" t="s">
        <v>201</v>
      </c>
      <c r="DVY17" s="310" t="s">
        <v>201</v>
      </c>
      <c r="DVZ17" s="310" t="s">
        <v>201</v>
      </c>
      <c r="DWA17" s="310" t="s">
        <v>201</v>
      </c>
      <c r="DWB17" s="310" t="s">
        <v>201</v>
      </c>
      <c r="DWC17" s="310" t="s">
        <v>201</v>
      </c>
      <c r="DWD17" s="310" t="s">
        <v>201</v>
      </c>
      <c r="DWE17" s="310" t="s">
        <v>201</v>
      </c>
      <c r="DWF17" s="310" t="s">
        <v>201</v>
      </c>
      <c r="DWG17" s="310" t="s">
        <v>201</v>
      </c>
      <c r="DWH17" s="310" t="s">
        <v>201</v>
      </c>
      <c r="DWI17" s="310" t="s">
        <v>201</v>
      </c>
      <c r="DWJ17" s="310" t="s">
        <v>201</v>
      </c>
      <c r="DWK17" s="310" t="s">
        <v>201</v>
      </c>
      <c r="DWL17" s="310" t="s">
        <v>201</v>
      </c>
      <c r="DWM17" s="310" t="s">
        <v>201</v>
      </c>
      <c r="DWN17" s="310" t="s">
        <v>201</v>
      </c>
      <c r="DWO17" s="310" t="s">
        <v>201</v>
      </c>
      <c r="DWP17" s="310" t="s">
        <v>201</v>
      </c>
      <c r="DWQ17" s="310" t="s">
        <v>201</v>
      </c>
      <c r="DWR17" s="310" t="s">
        <v>201</v>
      </c>
      <c r="DWS17" s="310" t="s">
        <v>201</v>
      </c>
      <c r="DWT17" s="310" t="s">
        <v>201</v>
      </c>
      <c r="DWU17" s="310" t="s">
        <v>201</v>
      </c>
      <c r="DWV17" s="310" t="s">
        <v>201</v>
      </c>
      <c r="DWW17" s="310" t="s">
        <v>201</v>
      </c>
      <c r="DWX17" s="310" t="s">
        <v>201</v>
      </c>
      <c r="DWY17" s="310" t="s">
        <v>201</v>
      </c>
      <c r="DWZ17" s="310" t="s">
        <v>201</v>
      </c>
      <c r="DXA17" s="310" t="s">
        <v>201</v>
      </c>
      <c r="DXB17" s="310" t="s">
        <v>201</v>
      </c>
      <c r="DXC17" s="310" t="s">
        <v>201</v>
      </c>
      <c r="DXD17" s="310" t="s">
        <v>201</v>
      </c>
      <c r="DXE17" s="310" t="s">
        <v>201</v>
      </c>
      <c r="DXF17" s="310" t="s">
        <v>201</v>
      </c>
      <c r="DXG17" s="310" t="s">
        <v>201</v>
      </c>
      <c r="DXH17" s="310" t="s">
        <v>201</v>
      </c>
      <c r="DXI17" s="310" t="s">
        <v>201</v>
      </c>
      <c r="DXJ17" s="310" t="s">
        <v>201</v>
      </c>
      <c r="DXK17" s="310" t="s">
        <v>201</v>
      </c>
      <c r="DXL17" s="310" t="s">
        <v>201</v>
      </c>
      <c r="DXM17" s="310" t="s">
        <v>201</v>
      </c>
      <c r="DXN17" s="310" t="s">
        <v>201</v>
      </c>
      <c r="DXO17" s="310" t="s">
        <v>201</v>
      </c>
      <c r="DXP17" s="310" t="s">
        <v>201</v>
      </c>
      <c r="DXQ17" s="310" t="s">
        <v>201</v>
      </c>
      <c r="DXR17" s="310" t="s">
        <v>201</v>
      </c>
      <c r="DXS17" s="310" t="s">
        <v>201</v>
      </c>
      <c r="DXT17" s="310" t="s">
        <v>201</v>
      </c>
      <c r="DXU17" s="310" t="s">
        <v>201</v>
      </c>
      <c r="DXV17" s="310" t="s">
        <v>201</v>
      </c>
      <c r="DXW17" s="310" t="s">
        <v>201</v>
      </c>
      <c r="DXX17" s="310" t="s">
        <v>201</v>
      </c>
      <c r="DXY17" s="310" t="s">
        <v>201</v>
      </c>
      <c r="DXZ17" s="310" t="s">
        <v>201</v>
      </c>
      <c r="DYA17" s="310" t="s">
        <v>201</v>
      </c>
      <c r="DYB17" s="310" t="s">
        <v>201</v>
      </c>
      <c r="DYC17" s="310" t="s">
        <v>201</v>
      </c>
      <c r="DYD17" s="310" t="s">
        <v>201</v>
      </c>
      <c r="DYE17" s="310" t="s">
        <v>201</v>
      </c>
      <c r="DYF17" s="310" t="s">
        <v>201</v>
      </c>
      <c r="DYG17" s="310" t="s">
        <v>201</v>
      </c>
      <c r="DYH17" s="310" t="s">
        <v>201</v>
      </c>
      <c r="DYI17" s="310" t="s">
        <v>201</v>
      </c>
      <c r="DYJ17" s="310" t="s">
        <v>201</v>
      </c>
      <c r="DYK17" s="310" t="s">
        <v>201</v>
      </c>
      <c r="DYL17" s="310" t="s">
        <v>201</v>
      </c>
      <c r="DYM17" s="310" t="s">
        <v>201</v>
      </c>
      <c r="DYN17" s="310" t="s">
        <v>201</v>
      </c>
      <c r="DYO17" s="310" t="s">
        <v>201</v>
      </c>
      <c r="DYP17" s="310" t="s">
        <v>201</v>
      </c>
      <c r="DYQ17" s="310" t="s">
        <v>201</v>
      </c>
      <c r="DYR17" s="310" t="s">
        <v>201</v>
      </c>
      <c r="DYS17" s="310" t="s">
        <v>201</v>
      </c>
      <c r="DYT17" s="310" t="s">
        <v>201</v>
      </c>
      <c r="DYU17" s="310" t="s">
        <v>201</v>
      </c>
      <c r="DYV17" s="310" t="s">
        <v>201</v>
      </c>
      <c r="DYW17" s="310" t="s">
        <v>201</v>
      </c>
      <c r="DYX17" s="310" t="s">
        <v>201</v>
      </c>
      <c r="DYY17" s="310" t="s">
        <v>201</v>
      </c>
      <c r="DYZ17" s="310" t="s">
        <v>201</v>
      </c>
      <c r="DZA17" s="310" t="s">
        <v>201</v>
      </c>
      <c r="DZB17" s="310" t="s">
        <v>201</v>
      </c>
      <c r="DZC17" s="310" t="s">
        <v>201</v>
      </c>
      <c r="DZD17" s="310" t="s">
        <v>201</v>
      </c>
      <c r="DZE17" s="310" t="s">
        <v>201</v>
      </c>
      <c r="DZF17" s="310" t="s">
        <v>201</v>
      </c>
      <c r="DZG17" s="310" t="s">
        <v>201</v>
      </c>
      <c r="DZH17" s="310" t="s">
        <v>201</v>
      </c>
      <c r="DZI17" s="310" t="s">
        <v>201</v>
      </c>
      <c r="DZJ17" s="310" t="s">
        <v>201</v>
      </c>
      <c r="DZK17" s="310" t="s">
        <v>201</v>
      </c>
      <c r="DZL17" s="310" t="s">
        <v>201</v>
      </c>
      <c r="DZM17" s="310" t="s">
        <v>201</v>
      </c>
      <c r="DZN17" s="310" t="s">
        <v>201</v>
      </c>
      <c r="DZO17" s="310" t="s">
        <v>201</v>
      </c>
      <c r="DZP17" s="310" t="s">
        <v>201</v>
      </c>
      <c r="DZQ17" s="310" t="s">
        <v>201</v>
      </c>
      <c r="DZR17" s="310" t="s">
        <v>201</v>
      </c>
      <c r="DZS17" s="310" t="s">
        <v>201</v>
      </c>
      <c r="DZT17" s="310" t="s">
        <v>201</v>
      </c>
      <c r="DZU17" s="310" t="s">
        <v>201</v>
      </c>
      <c r="DZV17" s="310" t="s">
        <v>201</v>
      </c>
      <c r="DZW17" s="310" t="s">
        <v>201</v>
      </c>
      <c r="DZX17" s="310" t="s">
        <v>201</v>
      </c>
      <c r="DZY17" s="310" t="s">
        <v>201</v>
      </c>
      <c r="DZZ17" s="310" t="s">
        <v>201</v>
      </c>
      <c r="EAA17" s="310" t="s">
        <v>201</v>
      </c>
      <c r="EAB17" s="310" t="s">
        <v>201</v>
      </c>
      <c r="EAC17" s="310" t="s">
        <v>201</v>
      </c>
      <c r="EAD17" s="310" t="s">
        <v>201</v>
      </c>
      <c r="EAE17" s="310" t="s">
        <v>201</v>
      </c>
      <c r="EAF17" s="310" t="s">
        <v>201</v>
      </c>
      <c r="EAG17" s="310" t="s">
        <v>201</v>
      </c>
      <c r="EAH17" s="310" t="s">
        <v>201</v>
      </c>
      <c r="EAI17" s="310" t="s">
        <v>201</v>
      </c>
      <c r="EAJ17" s="310" t="s">
        <v>201</v>
      </c>
      <c r="EAK17" s="310" t="s">
        <v>201</v>
      </c>
      <c r="EAL17" s="310" t="s">
        <v>201</v>
      </c>
      <c r="EAM17" s="310" t="s">
        <v>201</v>
      </c>
      <c r="EAN17" s="310" t="s">
        <v>201</v>
      </c>
      <c r="EAO17" s="310" t="s">
        <v>201</v>
      </c>
      <c r="EAP17" s="310" t="s">
        <v>201</v>
      </c>
      <c r="EAQ17" s="310" t="s">
        <v>201</v>
      </c>
      <c r="EAR17" s="310" t="s">
        <v>201</v>
      </c>
      <c r="EAS17" s="310" t="s">
        <v>201</v>
      </c>
      <c r="EAT17" s="310" t="s">
        <v>201</v>
      </c>
      <c r="EAU17" s="310" t="s">
        <v>201</v>
      </c>
      <c r="EAV17" s="310" t="s">
        <v>201</v>
      </c>
      <c r="EAW17" s="310" t="s">
        <v>201</v>
      </c>
      <c r="EAX17" s="310" t="s">
        <v>201</v>
      </c>
      <c r="EAY17" s="310" t="s">
        <v>201</v>
      </c>
      <c r="EAZ17" s="310" t="s">
        <v>201</v>
      </c>
      <c r="EBA17" s="310" t="s">
        <v>201</v>
      </c>
      <c r="EBB17" s="310" t="s">
        <v>201</v>
      </c>
      <c r="EBC17" s="310" t="s">
        <v>201</v>
      </c>
      <c r="EBD17" s="310" t="s">
        <v>201</v>
      </c>
      <c r="EBE17" s="310" t="s">
        <v>201</v>
      </c>
      <c r="EBF17" s="310" t="s">
        <v>201</v>
      </c>
      <c r="EBG17" s="310" t="s">
        <v>201</v>
      </c>
      <c r="EBH17" s="310" t="s">
        <v>201</v>
      </c>
      <c r="EBI17" s="310" t="s">
        <v>201</v>
      </c>
      <c r="EBJ17" s="310" t="s">
        <v>201</v>
      </c>
      <c r="EBK17" s="310" t="s">
        <v>201</v>
      </c>
      <c r="EBL17" s="310" t="s">
        <v>201</v>
      </c>
      <c r="EBM17" s="310" t="s">
        <v>201</v>
      </c>
      <c r="EBN17" s="310" t="s">
        <v>201</v>
      </c>
      <c r="EBO17" s="310" t="s">
        <v>201</v>
      </c>
      <c r="EBP17" s="310" t="s">
        <v>201</v>
      </c>
      <c r="EBQ17" s="310" t="s">
        <v>201</v>
      </c>
      <c r="EBR17" s="310" t="s">
        <v>201</v>
      </c>
      <c r="EBS17" s="310" t="s">
        <v>201</v>
      </c>
      <c r="EBT17" s="310" t="s">
        <v>201</v>
      </c>
      <c r="EBU17" s="310" t="s">
        <v>201</v>
      </c>
      <c r="EBV17" s="310" t="s">
        <v>201</v>
      </c>
      <c r="EBW17" s="310" t="s">
        <v>201</v>
      </c>
      <c r="EBX17" s="310" t="s">
        <v>201</v>
      </c>
      <c r="EBY17" s="310" t="s">
        <v>201</v>
      </c>
      <c r="EBZ17" s="310" t="s">
        <v>201</v>
      </c>
      <c r="ECA17" s="310" t="s">
        <v>201</v>
      </c>
      <c r="ECB17" s="310" t="s">
        <v>201</v>
      </c>
      <c r="ECC17" s="310" t="s">
        <v>201</v>
      </c>
      <c r="ECD17" s="310" t="s">
        <v>201</v>
      </c>
      <c r="ECE17" s="310" t="s">
        <v>201</v>
      </c>
      <c r="ECF17" s="310" t="s">
        <v>201</v>
      </c>
      <c r="ECG17" s="310" t="s">
        <v>201</v>
      </c>
      <c r="ECH17" s="310" t="s">
        <v>201</v>
      </c>
      <c r="ECI17" s="310" t="s">
        <v>201</v>
      </c>
      <c r="ECJ17" s="310" t="s">
        <v>201</v>
      </c>
      <c r="ECK17" s="310" t="s">
        <v>201</v>
      </c>
      <c r="ECL17" s="310" t="s">
        <v>201</v>
      </c>
      <c r="ECM17" s="310" t="s">
        <v>201</v>
      </c>
      <c r="ECN17" s="310" t="s">
        <v>201</v>
      </c>
      <c r="ECO17" s="310" t="s">
        <v>201</v>
      </c>
      <c r="ECP17" s="310" t="s">
        <v>201</v>
      </c>
      <c r="ECQ17" s="310" t="s">
        <v>201</v>
      </c>
      <c r="ECR17" s="310" t="s">
        <v>201</v>
      </c>
      <c r="ECS17" s="310" t="s">
        <v>201</v>
      </c>
      <c r="ECT17" s="310" t="s">
        <v>201</v>
      </c>
      <c r="ECU17" s="310" t="s">
        <v>201</v>
      </c>
      <c r="ECV17" s="310" t="s">
        <v>201</v>
      </c>
      <c r="ECW17" s="310" t="s">
        <v>201</v>
      </c>
      <c r="ECX17" s="310" t="s">
        <v>201</v>
      </c>
      <c r="ECY17" s="310" t="s">
        <v>201</v>
      </c>
      <c r="ECZ17" s="310" t="s">
        <v>201</v>
      </c>
      <c r="EDA17" s="310" t="s">
        <v>201</v>
      </c>
      <c r="EDB17" s="310" t="s">
        <v>201</v>
      </c>
      <c r="EDC17" s="310" t="s">
        <v>201</v>
      </c>
      <c r="EDD17" s="310" t="s">
        <v>201</v>
      </c>
      <c r="EDE17" s="310" t="s">
        <v>201</v>
      </c>
      <c r="EDF17" s="310" t="s">
        <v>201</v>
      </c>
      <c r="EDG17" s="310" t="s">
        <v>201</v>
      </c>
      <c r="EDH17" s="310" t="s">
        <v>201</v>
      </c>
      <c r="EDI17" s="310" t="s">
        <v>201</v>
      </c>
      <c r="EDJ17" s="310" t="s">
        <v>201</v>
      </c>
      <c r="EDK17" s="310" t="s">
        <v>201</v>
      </c>
      <c r="EDL17" s="310" t="s">
        <v>201</v>
      </c>
      <c r="EDM17" s="310" t="s">
        <v>201</v>
      </c>
      <c r="EDN17" s="310" t="s">
        <v>201</v>
      </c>
      <c r="EDO17" s="310" t="s">
        <v>201</v>
      </c>
      <c r="EDP17" s="310" t="s">
        <v>201</v>
      </c>
      <c r="EDQ17" s="310" t="s">
        <v>201</v>
      </c>
      <c r="EDR17" s="310" t="s">
        <v>201</v>
      </c>
      <c r="EDS17" s="310" t="s">
        <v>201</v>
      </c>
      <c r="EDT17" s="310" t="s">
        <v>201</v>
      </c>
      <c r="EDU17" s="310" t="s">
        <v>201</v>
      </c>
      <c r="EDV17" s="310" t="s">
        <v>201</v>
      </c>
      <c r="EDW17" s="310" t="s">
        <v>201</v>
      </c>
      <c r="EDX17" s="310" t="s">
        <v>201</v>
      </c>
      <c r="EDY17" s="310" t="s">
        <v>201</v>
      </c>
      <c r="EDZ17" s="310" t="s">
        <v>201</v>
      </c>
      <c r="EEA17" s="310" t="s">
        <v>201</v>
      </c>
      <c r="EEB17" s="310" t="s">
        <v>201</v>
      </c>
      <c r="EEC17" s="310" t="s">
        <v>201</v>
      </c>
      <c r="EED17" s="310" t="s">
        <v>201</v>
      </c>
      <c r="EEE17" s="310" t="s">
        <v>201</v>
      </c>
      <c r="EEF17" s="310" t="s">
        <v>201</v>
      </c>
      <c r="EEG17" s="310" t="s">
        <v>201</v>
      </c>
      <c r="EEH17" s="310" t="s">
        <v>201</v>
      </c>
      <c r="EEI17" s="310" t="s">
        <v>201</v>
      </c>
      <c r="EEJ17" s="310" t="s">
        <v>201</v>
      </c>
      <c r="EEK17" s="310" t="s">
        <v>201</v>
      </c>
      <c r="EEL17" s="310" t="s">
        <v>201</v>
      </c>
      <c r="EEM17" s="310" t="s">
        <v>201</v>
      </c>
      <c r="EEN17" s="310" t="s">
        <v>201</v>
      </c>
      <c r="EEO17" s="310" t="s">
        <v>201</v>
      </c>
      <c r="EEP17" s="310" t="s">
        <v>201</v>
      </c>
      <c r="EEQ17" s="310" t="s">
        <v>201</v>
      </c>
      <c r="EER17" s="310" t="s">
        <v>201</v>
      </c>
      <c r="EES17" s="310" t="s">
        <v>201</v>
      </c>
      <c r="EET17" s="310" t="s">
        <v>201</v>
      </c>
      <c r="EEU17" s="310" t="s">
        <v>201</v>
      </c>
      <c r="EEV17" s="310" t="s">
        <v>201</v>
      </c>
      <c r="EEW17" s="310" t="s">
        <v>201</v>
      </c>
      <c r="EEX17" s="310" t="s">
        <v>201</v>
      </c>
      <c r="EEY17" s="310" t="s">
        <v>201</v>
      </c>
      <c r="EEZ17" s="310" t="s">
        <v>201</v>
      </c>
      <c r="EFA17" s="310" t="s">
        <v>201</v>
      </c>
      <c r="EFB17" s="310" t="s">
        <v>201</v>
      </c>
      <c r="EFC17" s="310" t="s">
        <v>201</v>
      </c>
      <c r="EFD17" s="310" t="s">
        <v>201</v>
      </c>
      <c r="EFE17" s="310" t="s">
        <v>201</v>
      </c>
      <c r="EFF17" s="310" t="s">
        <v>201</v>
      </c>
      <c r="EFG17" s="310" t="s">
        <v>201</v>
      </c>
      <c r="EFH17" s="310" t="s">
        <v>201</v>
      </c>
      <c r="EFI17" s="310" t="s">
        <v>201</v>
      </c>
      <c r="EFJ17" s="310" t="s">
        <v>201</v>
      </c>
      <c r="EFK17" s="310" t="s">
        <v>201</v>
      </c>
      <c r="EFL17" s="310" t="s">
        <v>201</v>
      </c>
      <c r="EFM17" s="310" t="s">
        <v>201</v>
      </c>
      <c r="EFN17" s="310" t="s">
        <v>201</v>
      </c>
      <c r="EFO17" s="310" t="s">
        <v>201</v>
      </c>
      <c r="EFP17" s="310" t="s">
        <v>201</v>
      </c>
      <c r="EFQ17" s="310" t="s">
        <v>201</v>
      </c>
      <c r="EFR17" s="310" t="s">
        <v>201</v>
      </c>
      <c r="EFS17" s="310" t="s">
        <v>201</v>
      </c>
      <c r="EFT17" s="310" t="s">
        <v>201</v>
      </c>
      <c r="EFU17" s="310" t="s">
        <v>201</v>
      </c>
      <c r="EFV17" s="310" t="s">
        <v>201</v>
      </c>
      <c r="EFW17" s="310" t="s">
        <v>201</v>
      </c>
      <c r="EFX17" s="310" t="s">
        <v>201</v>
      </c>
      <c r="EFY17" s="310" t="s">
        <v>201</v>
      </c>
      <c r="EFZ17" s="310" t="s">
        <v>201</v>
      </c>
      <c r="EGA17" s="310" t="s">
        <v>201</v>
      </c>
      <c r="EGB17" s="310" t="s">
        <v>201</v>
      </c>
      <c r="EGC17" s="310" t="s">
        <v>201</v>
      </c>
      <c r="EGD17" s="310" t="s">
        <v>201</v>
      </c>
      <c r="EGE17" s="310" t="s">
        <v>201</v>
      </c>
      <c r="EGF17" s="310" t="s">
        <v>201</v>
      </c>
      <c r="EGG17" s="310" t="s">
        <v>201</v>
      </c>
      <c r="EGH17" s="310" t="s">
        <v>201</v>
      </c>
      <c r="EGI17" s="310" t="s">
        <v>201</v>
      </c>
      <c r="EGJ17" s="310" t="s">
        <v>201</v>
      </c>
      <c r="EGK17" s="310" t="s">
        <v>201</v>
      </c>
      <c r="EGL17" s="310" t="s">
        <v>201</v>
      </c>
      <c r="EGM17" s="310" t="s">
        <v>201</v>
      </c>
      <c r="EGN17" s="310" t="s">
        <v>201</v>
      </c>
      <c r="EGO17" s="310" t="s">
        <v>201</v>
      </c>
      <c r="EGP17" s="310" t="s">
        <v>201</v>
      </c>
      <c r="EGQ17" s="310" t="s">
        <v>201</v>
      </c>
      <c r="EGR17" s="310" t="s">
        <v>201</v>
      </c>
      <c r="EGS17" s="310" t="s">
        <v>201</v>
      </c>
      <c r="EGT17" s="310" t="s">
        <v>201</v>
      </c>
      <c r="EGU17" s="310" t="s">
        <v>201</v>
      </c>
      <c r="EGV17" s="310" t="s">
        <v>201</v>
      </c>
      <c r="EGW17" s="310" t="s">
        <v>201</v>
      </c>
      <c r="EGX17" s="310" t="s">
        <v>201</v>
      </c>
      <c r="EGY17" s="310" t="s">
        <v>201</v>
      </c>
      <c r="EGZ17" s="310" t="s">
        <v>201</v>
      </c>
      <c r="EHA17" s="310" t="s">
        <v>201</v>
      </c>
      <c r="EHB17" s="310" t="s">
        <v>201</v>
      </c>
      <c r="EHC17" s="310" t="s">
        <v>201</v>
      </c>
      <c r="EHD17" s="310" t="s">
        <v>201</v>
      </c>
      <c r="EHE17" s="310" t="s">
        <v>201</v>
      </c>
      <c r="EHF17" s="310" t="s">
        <v>201</v>
      </c>
      <c r="EHG17" s="310" t="s">
        <v>201</v>
      </c>
      <c r="EHH17" s="310" t="s">
        <v>201</v>
      </c>
      <c r="EHI17" s="310" t="s">
        <v>201</v>
      </c>
      <c r="EHJ17" s="310" t="s">
        <v>201</v>
      </c>
      <c r="EHK17" s="310" t="s">
        <v>201</v>
      </c>
      <c r="EHL17" s="310" t="s">
        <v>201</v>
      </c>
      <c r="EHM17" s="310" t="s">
        <v>201</v>
      </c>
      <c r="EHN17" s="310" t="s">
        <v>201</v>
      </c>
      <c r="EHO17" s="310" t="s">
        <v>201</v>
      </c>
      <c r="EHP17" s="310" t="s">
        <v>201</v>
      </c>
      <c r="EHQ17" s="310" t="s">
        <v>201</v>
      </c>
      <c r="EHR17" s="310" t="s">
        <v>201</v>
      </c>
      <c r="EHS17" s="310" t="s">
        <v>201</v>
      </c>
      <c r="EHT17" s="310" t="s">
        <v>201</v>
      </c>
      <c r="EHU17" s="310" t="s">
        <v>201</v>
      </c>
      <c r="EHV17" s="310" t="s">
        <v>201</v>
      </c>
      <c r="EHW17" s="310" t="s">
        <v>201</v>
      </c>
      <c r="EHX17" s="310" t="s">
        <v>201</v>
      </c>
      <c r="EHY17" s="310" t="s">
        <v>201</v>
      </c>
      <c r="EHZ17" s="310" t="s">
        <v>201</v>
      </c>
      <c r="EIA17" s="310" t="s">
        <v>201</v>
      </c>
      <c r="EIB17" s="310" t="s">
        <v>201</v>
      </c>
      <c r="EIC17" s="310" t="s">
        <v>201</v>
      </c>
      <c r="EID17" s="310" t="s">
        <v>201</v>
      </c>
      <c r="EIE17" s="310" t="s">
        <v>201</v>
      </c>
      <c r="EIF17" s="310" t="s">
        <v>201</v>
      </c>
      <c r="EIG17" s="310" t="s">
        <v>201</v>
      </c>
      <c r="EIH17" s="310" t="s">
        <v>201</v>
      </c>
      <c r="EII17" s="310" t="s">
        <v>201</v>
      </c>
      <c r="EIJ17" s="310" t="s">
        <v>201</v>
      </c>
      <c r="EIK17" s="310" t="s">
        <v>201</v>
      </c>
      <c r="EIL17" s="310" t="s">
        <v>201</v>
      </c>
      <c r="EIM17" s="310" t="s">
        <v>201</v>
      </c>
      <c r="EIN17" s="310" t="s">
        <v>201</v>
      </c>
      <c r="EIO17" s="310" t="s">
        <v>201</v>
      </c>
      <c r="EIP17" s="310" t="s">
        <v>201</v>
      </c>
      <c r="EIQ17" s="310" t="s">
        <v>201</v>
      </c>
      <c r="EIR17" s="310" t="s">
        <v>201</v>
      </c>
      <c r="EIS17" s="310" t="s">
        <v>201</v>
      </c>
      <c r="EIT17" s="310" t="s">
        <v>201</v>
      </c>
      <c r="EIU17" s="310" t="s">
        <v>201</v>
      </c>
      <c r="EIV17" s="310" t="s">
        <v>201</v>
      </c>
      <c r="EIW17" s="310" t="s">
        <v>201</v>
      </c>
      <c r="EIX17" s="310" t="s">
        <v>201</v>
      </c>
      <c r="EIY17" s="310" t="s">
        <v>201</v>
      </c>
      <c r="EIZ17" s="310" t="s">
        <v>201</v>
      </c>
      <c r="EJA17" s="310" t="s">
        <v>201</v>
      </c>
      <c r="EJB17" s="310" t="s">
        <v>201</v>
      </c>
      <c r="EJC17" s="310" t="s">
        <v>201</v>
      </c>
      <c r="EJD17" s="310" t="s">
        <v>201</v>
      </c>
      <c r="EJE17" s="310" t="s">
        <v>201</v>
      </c>
      <c r="EJF17" s="310" t="s">
        <v>201</v>
      </c>
      <c r="EJG17" s="310" t="s">
        <v>201</v>
      </c>
      <c r="EJH17" s="310" t="s">
        <v>201</v>
      </c>
      <c r="EJI17" s="310" t="s">
        <v>201</v>
      </c>
      <c r="EJJ17" s="310" t="s">
        <v>201</v>
      </c>
      <c r="EJK17" s="310" t="s">
        <v>201</v>
      </c>
      <c r="EJL17" s="310" t="s">
        <v>201</v>
      </c>
      <c r="EJM17" s="310" t="s">
        <v>201</v>
      </c>
      <c r="EJN17" s="310" t="s">
        <v>201</v>
      </c>
      <c r="EJO17" s="310" t="s">
        <v>201</v>
      </c>
      <c r="EJP17" s="310" t="s">
        <v>201</v>
      </c>
      <c r="EJQ17" s="310" t="s">
        <v>201</v>
      </c>
      <c r="EJR17" s="310" t="s">
        <v>201</v>
      </c>
      <c r="EJS17" s="310" t="s">
        <v>201</v>
      </c>
      <c r="EJT17" s="310" t="s">
        <v>201</v>
      </c>
      <c r="EJU17" s="310" t="s">
        <v>201</v>
      </c>
      <c r="EJV17" s="310" t="s">
        <v>201</v>
      </c>
      <c r="EJW17" s="310" t="s">
        <v>201</v>
      </c>
      <c r="EJX17" s="310" t="s">
        <v>201</v>
      </c>
      <c r="EJY17" s="310" t="s">
        <v>201</v>
      </c>
      <c r="EJZ17" s="310" t="s">
        <v>201</v>
      </c>
      <c r="EKA17" s="310" t="s">
        <v>201</v>
      </c>
      <c r="EKB17" s="310" t="s">
        <v>201</v>
      </c>
      <c r="EKC17" s="310" t="s">
        <v>201</v>
      </c>
      <c r="EKD17" s="310" t="s">
        <v>201</v>
      </c>
      <c r="EKE17" s="310" t="s">
        <v>201</v>
      </c>
      <c r="EKF17" s="310" t="s">
        <v>201</v>
      </c>
      <c r="EKG17" s="310" t="s">
        <v>201</v>
      </c>
      <c r="EKH17" s="310" t="s">
        <v>201</v>
      </c>
      <c r="EKI17" s="310" t="s">
        <v>201</v>
      </c>
      <c r="EKJ17" s="310" t="s">
        <v>201</v>
      </c>
      <c r="EKK17" s="310" t="s">
        <v>201</v>
      </c>
      <c r="EKL17" s="310" t="s">
        <v>201</v>
      </c>
      <c r="EKM17" s="310" t="s">
        <v>201</v>
      </c>
      <c r="EKN17" s="310" t="s">
        <v>201</v>
      </c>
      <c r="EKO17" s="310" t="s">
        <v>201</v>
      </c>
      <c r="EKP17" s="310" t="s">
        <v>201</v>
      </c>
      <c r="EKQ17" s="310" t="s">
        <v>201</v>
      </c>
      <c r="EKR17" s="310" t="s">
        <v>201</v>
      </c>
      <c r="EKS17" s="310" t="s">
        <v>201</v>
      </c>
      <c r="EKT17" s="310" t="s">
        <v>201</v>
      </c>
      <c r="EKU17" s="310" t="s">
        <v>201</v>
      </c>
      <c r="EKV17" s="310" t="s">
        <v>201</v>
      </c>
      <c r="EKW17" s="310" t="s">
        <v>201</v>
      </c>
      <c r="EKX17" s="310" t="s">
        <v>201</v>
      </c>
      <c r="EKY17" s="310" t="s">
        <v>201</v>
      </c>
      <c r="EKZ17" s="310" t="s">
        <v>201</v>
      </c>
      <c r="ELA17" s="310" t="s">
        <v>201</v>
      </c>
      <c r="ELB17" s="310" t="s">
        <v>201</v>
      </c>
      <c r="ELC17" s="310" t="s">
        <v>201</v>
      </c>
      <c r="ELD17" s="310" t="s">
        <v>201</v>
      </c>
      <c r="ELE17" s="310" t="s">
        <v>201</v>
      </c>
      <c r="ELF17" s="310" t="s">
        <v>201</v>
      </c>
      <c r="ELG17" s="310" t="s">
        <v>201</v>
      </c>
      <c r="ELH17" s="310" t="s">
        <v>201</v>
      </c>
      <c r="ELI17" s="310" t="s">
        <v>201</v>
      </c>
      <c r="ELJ17" s="310" t="s">
        <v>201</v>
      </c>
      <c r="ELK17" s="310" t="s">
        <v>201</v>
      </c>
      <c r="ELL17" s="310" t="s">
        <v>201</v>
      </c>
      <c r="ELM17" s="310" t="s">
        <v>201</v>
      </c>
      <c r="ELN17" s="310" t="s">
        <v>201</v>
      </c>
      <c r="ELO17" s="310" t="s">
        <v>201</v>
      </c>
      <c r="ELP17" s="310" t="s">
        <v>201</v>
      </c>
      <c r="ELQ17" s="310" t="s">
        <v>201</v>
      </c>
      <c r="ELR17" s="310" t="s">
        <v>201</v>
      </c>
      <c r="ELS17" s="310" t="s">
        <v>201</v>
      </c>
      <c r="ELT17" s="310" t="s">
        <v>201</v>
      </c>
      <c r="ELU17" s="310" t="s">
        <v>201</v>
      </c>
      <c r="ELV17" s="310" t="s">
        <v>201</v>
      </c>
      <c r="ELW17" s="310" t="s">
        <v>201</v>
      </c>
      <c r="ELX17" s="310" t="s">
        <v>201</v>
      </c>
      <c r="ELY17" s="310" t="s">
        <v>201</v>
      </c>
      <c r="ELZ17" s="310" t="s">
        <v>201</v>
      </c>
      <c r="EMA17" s="310" t="s">
        <v>201</v>
      </c>
      <c r="EMB17" s="310" t="s">
        <v>201</v>
      </c>
      <c r="EMC17" s="310" t="s">
        <v>201</v>
      </c>
      <c r="EMD17" s="310" t="s">
        <v>201</v>
      </c>
      <c r="EME17" s="310" t="s">
        <v>201</v>
      </c>
      <c r="EMF17" s="310" t="s">
        <v>201</v>
      </c>
      <c r="EMG17" s="310" t="s">
        <v>201</v>
      </c>
      <c r="EMH17" s="310" t="s">
        <v>201</v>
      </c>
      <c r="EMI17" s="310" t="s">
        <v>201</v>
      </c>
      <c r="EMJ17" s="310" t="s">
        <v>201</v>
      </c>
      <c r="EMK17" s="310" t="s">
        <v>201</v>
      </c>
      <c r="EML17" s="310" t="s">
        <v>201</v>
      </c>
      <c r="EMM17" s="310" t="s">
        <v>201</v>
      </c>
      <c r="EMN17" s="310" t="s">
        <v>201</v>
      </c>
      <c r="EMO17" s="310" t="s">
        <v>201</v>
      </c>
      <c r="EMP17" s="310" t="s">
        <v>201</v>
      </c>
      <c r="EMQ17" s="310" t="s">
        <v>201</v>
      </c>
      <c r="EMR17" s="310" t="s">
        <v>201</v>
      </c>
      <c r="EMS17" s="310" t="s">
        <v>201</v>
      </c>
      <c r="EMT17" s="310" t="s">
        <v>201</v>
      </c>
      <c r="EMU17" s="310" t="s">
        <v>201</v>
      </c>
      <c r="EMV17" s="310" t="s">
        <v>201</v>
      </c>
      <c r="EMW17" s="310" t="s">
        <v>201</v>
      </c>
      <c r="EMX17" s="310" t="s">
        <v>201</v>
      </c>
      <c r="EMY17" s="310" t="s">
        <v>201</v>
      </c>
      <c r="EMZ17" s="310" t="s">
        <v>201</v>
      </c>
      <c r="ENA17" s="310" t="s">
        <v>201</v>
      </c>
      <c r="ENB17" s="310" t="s">
        <v>201</v>
      </c>
      <c r="ENC17" s="310" t="s">
        <v>201</v>
      </c>
      <c r="END17" s="310" t="s">
        <v>201</v>
      </c>
      <c r="ENE17" s="310" t="s">
        <v>201</v>
      </c>
      <c r="ENF17" s="310" t="s">
        <v>201</v>
      </c>
      <c r="ENG17" s="310" t="s">
        <v>201</v>
      </c>
      <c r="ENH17" s="310" t="s">
        <v>201</v>
      </c>
      <c r="ENI17" s="310" t="s">
        <v>201</v>
      </c>
      <c r="ENJ17" s="310" t="s">
        <v>201</v>
      </c>
      <c r="ENK17" s="310" t="s">
        <v>201</v>
      </c>
      <c r="ENL17" s="310" t="s">
        <v>201</v>
      </c>
      <c r="ENM17" s="310" t="s">
        <v>201</v>
      </c>
      <c r="ENN17" s="310" t="s">
        <v>201</v>
      </c>
      <c r="ENO17" s="310" t="s">
        <v>201</v>
      </c>
      <c r="ENP17" s="310" t="s">
        <v>201</v>
      </c>
      <c r="ENQ17" s="310" t="s">
        <v>201</v>
      </c>
      <c r="ENR17" s="310" t="s">
        <v>201</v>
      </c>
      <c r="ENS17" s="310" t="s">
        <v>201</v>
      </c>
      <c r="ENT17" s="310" t="s">
        <v>201</v>
      </c>
      <c r="ENU17" s="310" t="s">
        <v>201</v>
      </c>
      <c r="ENV17" s="310" t="s">
        <v>201</v>
      </c>
      <c r="ENW17" s="310" t="s">
        <v>201</v>
      </c>
      <c r="ENX17" s="310" t="s">
        <v>201</v>
      </c>
      <c r="ENY17" s="310" t="s">
        <v>201</v>
      </c>
      <c r="ENZ17" s="310" t="s">
        <v>201</v>
      </c>
      <c r="EOA17" s="310" t="s">
        <v>201</v>
      </c>
      <c r="EOB17" s="310" t="s">
        <v>201</v>
      </c>
      <c r="EOC17" s="310" t="s">
        <v>201</v>
      </c>
      <c r="EOD17" s="310" t="s">
        <v>201</v>
      </c>
      <c r="EOE17" s="310" t="s">
        <v>201</v>
      </c>
      <c r="EOF17" s="310" t="s">
        <v>201</v>
      </c>
      <c r="EOG17" s="310" t="s">
        <v>201</v>
      </c>
      <c r="EOH17" s="310" t="s">
        <v>201</v>
      </c>
      <c r="EOI17" s="310" t="s">
        <v>201</v>
      </c>
      <c r="EOJ17" s="310" t="s">
        <v>201</v>
      </c>
      <c r="EOK17" s="310" t="s">
        <v>201</v>
      </c>
      <c r="EOL17" s="310" t="s">
        <v>201</v>
      </c>
      <c r="EOM17" s="310" t="s">
        <v>201</v>
      </c>
      <c r="EON17" s="310" t="s">
        <v>201</v>
      </c>
      <c r="EOO17" s="310" t="s">
        <v>201</v>
      </c>
      <c r="EOP17" s="310" t="s">
        <v>201</v>
      </c>
      <c r="EOQ17" s="310" t="s">
        <v>201</v>
      </c>
      <c r="EOR17" s="310" t="s">
        <v>201</v>
      </c>
      <c r="EOS17" s="310" t="s">
        <v>201</v>
      </c>
      <c r="EOT17" s="310" t="s">
        <v>201</v>
      </c>
      <c r="EOU17" s="310" t="s">
        <v>201</v>
      </c>
      <c r="EOV17" s="310" t="s">
        <v>201</v>
      </c>
      <c r="EOW17" s="310" t="s">
        <v>201</v>
      </c>
      <c r="EOX17" s="310" t="s">
        <v>201</v>
      </c>
      <c r="EOY17" s="310" t="s">
        <v>201</v>
      </c>
      <c r="EOZ17" s="310" t="s">
        <v>201</v>
      </c>
      <c r="EPA17" s="310" t="s">
        <v>201</v>
      </c>
      <c r="EPB17" s="310" t="s">
        <v>201</v>
      </c>
      <c r="EPC17" s="310" t="s">
        <v>201</v>
      </c>
      <c r="EPD17" s="310" t="s">
        <v>201</v>
      </c>
      <c r="EPE17" s="310" t="s">
        <v>201</v>
      </c>
      <c r="EPF17" s="310" t="s">
        <v>201</v>
      </c>
      <c r="EPG17" s="310" t="s">
        <v>201</v>
      </c>
      <c r="EPH17" s="310" t="s">
        <v>201</v>
      </c>
      <c r="EPI17" s="310" t="s">
        <v>201</v>
      </c>
      <c r="EPJ17" s="310" t="s">
        <v>201</v>
      </c>
      <c r="EPK17" s="310" t="s">
        <v>201</v>
      </c>
      <c r="EPL17" s="310" t="s">
        <v>201</v>
      </c>
      <c r="EPM17" s="310" t="s">
        <v>201</v>
      </c>
      <c r="EPN17" s="310" t="s">
        <v>201</v>
      </c>
      <c r="EPO17" s="310" t="s">
        <v>201</v>
      </c>
      <c r="EPP17" s="310" t="s">
        <v>201</v>
      </c>
      <c r="EPQ17" s="310" t="s">
        <v>201</v>
      </c>
      <c r="EPR17" s="310" t="s">
        <v>201</v>
      </c>
      <c r="EPS17" s="310" t="s">
        <v>201</v>
      </c>
      <c r="EPT17" s="310" t="s">
        <v>201</v>
      </c>
      <c r="EPU17" s="310" t="s">
        <v>201</v>
      </c>
      <c r="EPV17" s="310" t="s">
        <v>201</v>
      </c>
      <c r="EPW17" s="310" t="s">
        <v>201</v>
      </c>
      <c r="EPX17" s="310" t="s">
        <v>201</v>
      </c>
      <c r="EPY17" s="310" t="s">
        <v>201</v>
      </c>
      <c r="EPZ17" s="310" t="s">
        <v>201</v>
      </c>
      <c r="EQA17" s="310" t="s">
        <v>201</v>
      </c>
      <c r="EQB17" s="310" t="s">
        <v>201</v>
      </c>
      <c r="EQC17" s="310" t="s">
        <v>201</v>
      </c>
      <c r="EQD17" s="310" t="s">
        <v>201</v>
      </c>
      <c r="EQE17" s="310" t="s">
        <v>201</v>
      </c>
      <c r="EQF17" s="310" t="s">
        <v>201</v>
      </c>
      <c r="EQG17" s="310" t="s">
        <v>201</v>
      </c>
      <c r="EQH17" s="310" t="s">
        <v>201</v>
      </c>
      <c r="EQI17" s="310" t="s">
        <v>201</v>
      </c>
      <c r="EQJ17" s="310" t="s">
        <v>201</v>
      </c>
      <c r="EQK17" s="310" t="s">
        <v>201</v>
      </c>
      <c r="EQL17" s="310" t="s">
        <v>201</v>
      </c>
      <c r="EQM17" s="310" t="s">
        <v>201</v>
      </c>
      <c r="EQN17" s="310" t="s">
        <v>201</v>
      </c>
      <c r="EQO17" s="310" t="s">
        <v>201</v>
      </c>
      <c r="EQP17" s="310" t="s">
        <v>201</v>
      </c>
      <c r="EQQ17" s="310" t="s">
        <v>201</v>
      </c>
      <c r="EQR17" s="310" t="s">
        <v>201</v>
      </c>
      <c r="EQS17" s="310" t="s">
        <v>201</v>
      </c>
      <c r="EQT17" s="310" t="s">
        <v>201</v>
      </c>
      <c r="EQU17" s="310" t="s">
        <v>201</v>
      </c>
      <c r="EQV17" s="310" t="s">
        <v>201</v>
      </c>
      <c r="EQW17" s="310" t="s">
        <v>201</v>
      </c>
      <c r="EQX17" s="310" t="s">
        <v>201</v>
      </c>
      <c r="EQY17" s="310" t="s">
        <v>201</v>
      </c>
      <c r="EQZ17" s="310" t="s">
        <v>201</v>
      </c>
      <c r="ERA17" s="310" t="s">
        <v>201</v>
      </c>
      <c r="ERB17" s="310" t="s">
        <v>201</v>
      </c>
      <c r="ERC17" s="310" t="s">
        <v>201</v>
      </c>
      <c r="ERD17" s="310" t="s">
        <v>201</v>
      </c>
      <c r="ERE17" s="310" t="s">
        <v>201</v>
      </c>
      <c r="ERF17" s="310" t="s">
        <v>201</v>
      </c>
      <c r="ERG17" s="310" t="s">
        <v>201</v>
      </c>
      <c r="ERH17" s="310" t="s">
        <v>201</v>
      </c>
      <c r="ERI17" s="310" t="s">
        <v>201</v>
      </c>
      <c r="ERJ17" s="310" t="s">
        <v>201</v>
      </c>
      <c r="ERK17" s="310" t="s">
        <v>201</v>
      </c>
      <c r="ERL17" s="310" t="s">
        <v>201</v>
      </c>
      <c r="ERM17" s="310" t="s">
        <v>201</v>
      </c>
      <c r="ERN17" s="310" t="s">
        <v>201</v>
      </c>
      <c r="ERO17" s="310" t="s">
        <v>201</v>
      </c>
      <c r="ERP17" s="310" t="s">
        <v>201</v>
      </c>
      <c r="ERQ17" s="310" t="s">
        <v>201</v>
      </c>
      <c r="ERR17" s="310" t="s">
        <v>201</v>
      </c>
      <c r="ERS17" s="310" t="s">
        <v>201</v>
      </c>
      <c r="ERT17" s="310" t="s">
        <v>201</v>
      </c>
      <c r="ERU17" s="310" t="s">
        <v>201</v>
      </c>
      <c r="ERV17" s="310" t="s">
        <v>201</v>
      </c>
      <c r="ERW17" s="310" t="s">
        <v>201</v>
      </c>
      <c r="ERX17" s="310" t="s">
        <v>201</v>
      </c>
      <c r="ERY17" s="310" t="s">
        <v>201</v>
      </c>
      <c r="ERZ17" s="310" t="s">
        <v>201</v>
      </c>
      <c r="ESA17" s="310" t="s">
        <v>201</v>
      </c>
      <c r="ESB17" s="310" t="s">
        <v>201</v>
      </c>
      <c r="ESC17" s="310" t="s">
        <v>201</v>
      </c>
      <c r="ESD17" s="310" t="s">
        <v>201</v>
      </c>
      <c r="ESE17" s="310" t="s">
        <v>201</v>
      </c>
      <c r="ESF17" s="310" t="s">
        <v>201</v>
      </c>
      <c r="ESG17" s="310" t="s">
        <v>201</v>
      </c>
      <c r="ESH17" s="310" t="s">
        <v>201</v>
      </c>
      <c r="ESI17" s="310" t="s">
        <v>201</v>
      </c>
      <c r="ESJ17" s="310" t="s">
        <v>201</v>
      </c>
      <c r="ESK17" s="310" t="s">
        <v>201</v>
      </c>
      <c r="ESL17" s="310" t="s">
        <v>201</v>
      </c>
      <c r="ESM17" s="310" t="s">
        <v>201</v>
      </c>
      <c r="ESN17" s="310" t="s">
        <v>201</v>
      </c>
      <c r="ESO17" s="310" t="s">
        <v>201</v>
      </c>
      <c r="ESP17" s="310" t="s">
        <v>201</v>
      </c>
      <c r="ESQ17" s="310" t="s">
        <v>201</v>
      </c>
      <c r="ESR17" s="310" t="s">
        <v>201</v>
      </c>
      <c r="ESS17" s="310" t="s">
        <v>201</v>
      </c>
      <c r="EST17" s="310" t="s">
        <v>201</v>
      </c>
      <c r="ESU17" s="310" t="s">
        <v>201</v>
      </c>
      <c r="ESV17" s="310" t="s">
        <v>201</v>
      </c>
      <c r="ESW17" s="310" t="s">
        <v>201</v>
      </c>
      <c r="ESX17" s="310" t="s">
        <v>201</v>
      </c>
      <c r="ESY17" s="310" t="s">
        <v>201</v>
      </c>
      <c r="ESZ17" s="310" t="s">
        <v>201</v>
      </c>
      <c r="ETA17" s="310" t="s">
        <v>201</v>
      </c>
      <c r="ETB17" s="310" t="s">
        <v>201</v>
      </c>
      <c r="ETC17" s="310" t="s">
        <v>201</v>
      </c>
      <c r="ETD17" s="310" t="s">
        <v>201</v>
      </c>
      <c r="ETE17" s="310" t="s">
        <v>201</v>
      </c>
      <c r="ETF17" s="310" t="s">
        <v>201</v>
      </c>
      <c r="ETG17" s="310" t="s">
        <v>201</v>
      </c>
      <c r="ETH17" s="310" t="s">
        <v>201</v>
      </c>
      <c r="ETI17" s="310" t="s">
        <v>201</v>
      </c>
      <c r="ETJ17" s="310" t="s">
        <v>201</v>
      </c>
      <c r="ETK17" s="310" t="s">
        <v>201</v>
      </c>
      <c r="ETL17" s="310" t="s">
        <v>201</v>
      </c>
      <c r="ETM17" s="310" t="s">
        <v>201</v>
      </c>
      <c r="ETN17" s="310" t="s">
        <v>201</v>
      </c>
      <c r="ETO17" s="310" t="s">
        <v>201</v>
      </c>
      <c r="ETP17" s="310" t="s">
        <v>201</v>
      </c>
      <c r="ETQ17" s="310" t="s">
        <v>201</v>
      </c>
      <c r="ETR17" s="310" t="s">
        <v>201</v>
      </c>
      <c r="ETS17" s="310" t="s">
        <v>201</v>
      </c>
      <c r="ETT17" s="310" t="s">
        <v>201</v>
      </c>
      <c r="ETU17" s="310" t="s">
        <v>201</v>
      </c>
      <c r="ETV17" s="310" t="s">
        <v>201</v>
      </c>
      <c r="ETW17" s="310" t="s">
        <v>201</v>
      </c>
      <c r="ETX17" s="310" t="s">
        <v>201</v>
      </c>
      <c r="ETY17" s="310" t="s">
        <v>201</v>
      </c>
      <c r="ETZ17" s="310" t="s">
        <v>201</v>
      </c>
      <c r="EUA17" s="310" t="s">
        <v>201</v>
      </c>
      <c r="EUB17" s="310" t="s">
        <v>201</v>
      </c>
      <c r="EUC17" s="310" t="s">
        <v>201</v>
      </c>
      <c r="EUD17" s="310" t="s">
        <v>201</v>
      </c>
      <c r="EUE17" s="310" t="s">
        <v>201</v>
      </c>
      <c r="EUF17" s="310" t="s">
        <v>201</v>
      </c>
      <c r="EUG17" s="310" t="s">
        <v>201</v>
      </c>
      <c r="EUH17" s="310" t="s">
        <v>201</v>
      </c>
      <c r="EUI17" s="310" t="s">
        <v>201</v>
      </c>
      <c r="EUJ17" s="310" t="s">
        <v>201</v>
      </c>
      <c r="EUK17" s="310" t="s">
        <v>201</v>
      </c>
      <c r="EUL17" s="310" t="s">
        <v>201</v>
      </c>
      <c r="EUM17" s="310" t="s">
        <v>201</v>
      </c>
      <c r="EUN17" s="310" t="s">
        <v>201</v>
      </c>
      <c r="EUO17" s="310" t="s">
        <v>201</v>
      </c>
      <c r="EUP17" s="310" t="s">
        <v>201</v>
      </c>
      <c r="EUQ17" s="310" t="s">
        <v>201</v>
      </c>
      <c r="EUR17" s="310" t="s">
        <v>201</v>
      </c>
      <c r="EUS17" s="310" t="s">
        <v>201</v>
      </c>
      <c r="EUT17" s="310" t="s">
        <v>201</v>
      </c>
      <c r="EUU17" s="310" t="s">
        <v>201</v>
      </c>
      <c r="EUV17" s="310" t="s">
        <v>201</v>
      </c>
      <c r="EUW17" s="310" t="s">
        <v>201</v>
      </c>
      <c r="EUX17" s="310" t="s">
        <v>201</v>
      </c>
      <c r="EUY17" s="310" t="s">
        <v>201</v>
      </c>
      <c r="EUZ17" s="310" t="s">
        <v>201</v>
      </c>
      <c r="EVA17" s="310" t="s">
        <v>201</v>
      </c>
      <c r="EVB17" s="310" t="s">
        <v>201</v>
      </c>
      <c r="EVC17" s="310" t="s">
        <v>201</v>
      </c>
      <c r="EVD17" s="310" t="s">
        <v>201</v>
      </c>
      <c r="EVE17" s="310" t="s">
        <v>201</v>
      </c>
      <c r="EVF17" s="310" t="s">
        <v>201</v>
      </c>
      <c r="EVG17" s="310" t="s">
        <v>201</v>
      </c>
      <c r="EVH17" s="310" t="s">
        <v>201</v>
      </c>
      <c r="EVI17" s="310" t="s">
        <v>201</v>
      </c>
      <c r="EVJ17" s="310" t="s">
        <v>201</v>
      </c>
      <c r="EVK17" s="310" t="s">
        <v>201</v>
      </c>
      <c r="EVL17" s="310" t="s">
        <v>201</v>
      </c>
      <c r="EVM17" s="310" t="s">
        <v>201</v>
      </c>
      <c r="EVN17" s="310" t="s">
        <v>201</v>
      </c>
      <c r="EVO17" s="310" t="s">
        <v>201</v>
      </c>
      <c r="EVP17" s="310" t="s">
        <v>201</v>
      </c>
      <c r="EVQ17" s="310" t="s">
        <v>201</v>
      </c>
      <c r="EVR17" s="310" t="s">
        <v>201</v>
      </c>
      <c r="EVS17" s="310" t="s">
        <v>201</v>
      </c>
      <c r="EVT17" s="310" t="s">
        <v>201</v>
      </c>
      <c r="EVU17" s="310" t="s">
        <v>201</v>
      </c>
      <c r="EVV17" s="310" t="s">
        <v>201</v>
      </c>
      <c r="EVW17" s="310" t="s">
        <v>201</v>
      </c>
      <c r="EVX17" s="310" t="s">
        <v>201</v>
      </c>
      <c r="EVY17" s="310" t="s">
        <v>201</v>
      </c>
      <c r="EVZ17" s="310" t="s">
        <v>201</v>
      </c>
      <c r="EWA17" s="310" t="s">
        <v>201</v>
      </c>
      <c r="EWB17" s="310" t="s">
        <v>201</v>
      </c>
      <c r="EWC17" s="310" t="s">
        <v>201</v>
      </c>
      <c r="EWD17" s="310" t="s">
        <v>201</v>
      </c>
      <c r="EWE17" s="310" t="s">
        <v>201</v>
      </c>
      <c r="EWF17" s="310" t="s">
        <v>201</v>
      </c>
      <c r="EWG17" s="310" t="s">
        <v>201</v>
      </c>
      <c r="EWH17" s="310" t="s">
        <v>201</v>
      </c>
      <c r="EWI17" s="310" t="s">
        <v>201</v>
      </c>
      <c r="EWJ17" s="310" t="s">
        <v>201</v>
      </c>
      <c r="EWK17" s="310" t="s">
        <v>201</v>
      </c>
      <c r="EWL17" s="310" t="s">
        <v>201</v>
      </c>
      <c r="EWM17" s="310" t="s">
        <v>201</v>
      </c>
      <c r="EWN17" s="310" t="s">
        <v>201</v>
      </c>
      <c r="EWO17" s="310" t="s">
        <v>201</v>
      </c>
      <c r="EWP17" s="310" t="s">
        <v>201</v>
      </c>
      <c r="EWQ17" s="310" t="s">
        <v>201</v>
      </c>
      <c r="EWR17" s="310" t="s">
        <v>201</v>
      </c>
      <c r="EWS17" s="310" t="s">
        <v>201</v>
      </c>
      <c r="EWT17" s="310" t="s">
        <v>201</v>
      </c>
      <c r="EWU17" s="310" t="s">
        <v>201</v>
      </c>
      <c r="EWV17" s="310" t="s">
        <v>201</v>
      </c>
      <c r="EWW17" s="310" t="s">
        <v>201</v>
      </c>
      <c r="EWX17" s="310" t="s">
        <v>201</v>
      </c>
      <c r="EWY17" s="310" t="s">
        <v>201</v>
      </c>
      <c r="EWZ17" s="310" t="s">
        <v>201</v>
      </c>
      <c r="EXA17" s="310" t="s">
        <v>201</v>
      </c>
      <c r="EXB17" s="310" t="s">
        <v>201</v>
      </c>
      <c r="EXC17" s="310" t="s">
        <v>201</v>
      </c>
      <c r="EXD17" s="310" t="s">
        <v>201</v>
      </c>
      <c r="EXE17" s="310" t="s">
        <v>201</v>
      </c>
      <c r="EXF17" s="310" t="s">
        <v>201</v>
      </c>
      <c r="EXG17" s="310" t="s">
        <v>201</v>
      </c>
      <c r="EXH17" s="310" t="s">
        <v>201</v>
      </c>
      <c r="EXI17" s="310" t="s">
        <v>201</v>
      </c>
      <c r="EXJ17" s="310" t="s">
        <v>201</v>
      </c>
      <c r="EXK17" s="310" t="s">
        <v>201</v>
      </c>
      <c r="EXL17" s="310" t="s">
        <v>201</v>
      </c>
      <c r="EXM17" s="310" t="s">
        <v>201</v>
      </c>
      <c r="EXN17" s="310" t="s">
        <v>201</v>
      </c>
      <c r="EXO17" s="310" t="s">
        <v>201</v>
      </c>
      <c r="EXP17" s="310" t="s">
        <v>201</v>
      </c>
      <c r="EXQ17" s="310" t="s">
        <v>201</v>
      </c>
      <c r="EXR17" s="310" t="s">
        <v>201</v>
      </c>
      <c r="EXS17" s="310" t="s">
        <v>201</v>
      </c>
      <c r="EXT17" s="310" t="s">
        <v>201</v>
      </c>
      <c r="EXU17" s="310" t="s">
        <v>201</v>
      </c>
      <c r="EXV17" s="310" t="s">
        <v>201</v>
      </c>
      <c r="EXW17" s="310" t="s">
        <v>201</v>
      </c>
      <c r="EXX17" s="310" t="s">
        <v>201</v>
      </c>
      <c r="EXY17" s="310" t="s">
        <v>201</v>
      </c>
      <c r="EXZ17" s="310" t="s">
        <v>201</v>
      </c>
      <c r="EYA17" s="310" t="s">
        <v>201</v>
      </c>
      <c r="EYB17" s="310" t="s">
        <v>201</v>
      </c>
      <c r="EYC17" s="310" t="s">
        <v>201</v>
      </c>
      <c r="EYD17" s="310" t="s">
        <v>201</v>
      </c>
      <c r="EYE17" s="310" t="s">
        <v>201</v>
      </c>
      <c r="EYF17" s="310" t="s">
        <v>201</v>
      </c>
      <c r="EYG17" s="310" t="s">
        <v>201</v>
      </c>
      <c r="EYH17" s="310" t="s">
        <v>201</v>
      </c>
      <c r="EYI17" s="310" t="s">
        <v>201</v>
      </c>
      <c r="EYJ17" s="310" t="s">
        <v>201</v>
      </c>
      <c r="EYK17" s="310" t="s">
        <v>201</v>
      </c>
      <c r="EYL17" s="310" t="s">
        <v>201</v>
      </c>
      <c r="EYM17" s="310" t="s">
        <v>201</v>
      </c>
      <c r="EYN17" s="310" t="s">
        <v>201</v>
      </c>
      <c r="EYO17" s="310" t="s">
        <v>201</v>
      </c>
      <c r="EYP17" s="310" t="s">
        <v>201</v>
      </c>
      <c r="EYQ17" s="310" t="s">
        <v>201</v>
      </c>
      <c r="EYR17" s="310" t="s">
        <v>201</v>
      </c>
      <c r="EYS17" s="310" t="s">
        <v>201</v>
      </c>
      <c r="EYT17" s="310" t="s">
        <v>201</v>
      </c>
      <c r="EYU17" s="310" t="s">
        <v>201</v>
      </c>
      <c r="EYV17" s="310" t="s">
        <v>201</v>
      </c>
      <c r="EYW17" s="310" t="s">
        <v>201</v>
      </c>
      <c r="EYX17" s="310" t="s">
        <v>201</v>
      </c>
      <c r="EYY17" s="310" t="s">
        <v>201</v>
      </c>
      <c r="EYZ17" s="310" t="s">
        <v>201</v>
      </c>
      <c r="EZA17" s="310" t="s">
        <v>201</v>
      </c>
      <c r="EZB17" s="310" t="s">
        <v>201</v>
      </c>
      <c r="EZC17" s="310" t="s">
        <v>201</v>
      </c>
      <c r="EZD17" s="310" t="s">
        <v>201</v>
      </c>
      <c r="EZE17" s="310" t="s">
        <v>201</v>
      </c>
      <c r="EZF17" s="310" t="s">
        <v>201</v>
      </c>
      <c r="EZG17" s="310" t="s">
        <v>201</v>
      </c>
      <c r="EZH17" s="310" t="s">
        <v>201</v>
      </c>
      <c r="EZI17" s="310" t="s">
        <v>201</v>
      </c>
      <c r="EZJ17" s="310" t="s">
        <v>201</v>
      </c>
      <c r="EZK17" s="310" t="s">
        <v>201</v>
      </c>
      <c r="EZL17" s="310" t="s">
        <v>201</v>
      </c>
      <c r="EZM17" s="310" t="s">
        <v>201</v>
      </c>
      <c r="EZN17" s="310" t="s">
        <v>201</v>
      </c>
      <c r="EZO17" s="310" t="s">
        <v>201</v>
      </c>
      <c r="EZP17" s="310" t="s">
        <v>201</v>
      </c>
      <c r="EZQ17" s="310" t="s">
        <v>201</v>
      </c>
      <c r="EZR17" s="310" t="s">
        <v>201</v>
      </c>
      <c r="EZS17" s="310" t="s">
        <v>201</v>
      </c>
      <c r="EZT17" s="310" t="s">
        <v>201</v>
      </c>
      <c r="EZU17" s="310" t="s">
        <v>201</v>
      </c>
      <c r="EZV17" s="310" t="s">
        <v>201</v>
      </c>
      <c r="EZW17" s="310" t="s">
        <v>201</v>
      </c>
      <c r="EZX17" s="310" t="s">
        <v>201</v>
      </c>
      <c r="EZY17" s="310" t="s">
        <v>201</v>
      </c>
      <c r="EZZ17" s="310" t="s">
        <v>201</v>
      </c>
      <c r="FAA17" s="310" t="s">
        <v>201</v>
      </c>
      <c r="FAB17" s="310" t="s">
        <v>201</v>
      </c>
      <c r="FAC17" s="310" t="s">
        <v>201</v>
      </c>
      <c r="FAD17" s="310" t="s">
        <v>201</v>
      </c>
      <c r="FAE17" s="310" t="s">
        <v>201</v>
      </c>
      <c r="FAF17" s="310" t="s">
        <v>201</v>
      </c>
      <c r="FAG17" s="310" t="s">
        <v>201</v>
      </c>
      <c r="FAH17" s="310" t="s">
        <v>201</v>
      </c>
      <c r="FAI17" s="310" t="s">
        <v>201</v>
      </c>
      <c r="FAJ17" s="310" t="s">
        <v>201</v>
      </c>
      <c r="FAK17" s="310" t="s">
        <v>201</v>
      </c>
      <c r="FAL17" s="310" t="s">
        <v>201</v>
      </c>
      <c r="FAM17" s="310" t="s">
        <v>201</v>
      </c>
      <c r="FAN17" s="310" t="s">
        <v>201</v>
      </c>
      <c r="FAO17" s="310" t="s">
        <v>201</v>
      </c>
      <c r="FAP17" s="310" t="s">
        <v>201</v>
      </c>
      <c r="FAQ17" s="310" t="s">
        <v>201</v>
      </c>
      <c r="FAR17" s="310" t="s">
        <v>201</v>
      </c>
      <c r="FAS17" s="310" t="s">
        <v>201</v>
      </c>
      <c r="FAT17" s="310" t="s">
        <v>201</v>
      </c>
      <c r="FAU17" s="310" t="s">
        <v>201</v>
      </c>
      <c r="FAV17" s="310" t="s">
        <v>201</v>
      </c>
      <c r="FAW17" s="310" t="s">
        <v>201</v>
      </c>
      <c r="FAX17" s="310" t="s">
        <v>201</v>
      </c>
      <c r="FAY17" s="310" t="s">
        <v>201</v>
      </c>
      <c r="FAZ17" s="310" t="s">
        <v>201</v>
      </c>
      <c r="FBA17" s="310" t="s">
        <v>201</v>
      </c>
      <c r="FBB17" s="310" t="s">
        <v>201</v>
      </c>
      <c r="FBC17" s="310" t="s">
        <v>201</v>
      </c>
      <c r="FBD17" s="310" t="s">
        <v>201</v>
      </c>
      <c r="FBE17" s="310" t="s">
        <v>201</v>
      </c>
      <c r="FBF17" s="310" t="s">
        <v>201</v>
      </c>
      <c r="FBG17" s="310" t="s">
        <v>201</v>
      </c>
      <c r="FBH17" s="310" t="s">
        <v>201</v>
      </c>
      <c r="FBI17" s="310" t="s">
        <v>201</v>
      </c>
      <c r="FBJ17" s="310" t="s">
        <v>201</v>
      </c>
      <c r="FBK17" s="310" t="s">
        <v>201</v>
      </c>
      <c r="FBL17" s="310" t="s">
        <v>201</v>
      </c>
      <c r="FBM17" s="310" t="s">
        <v>201</v>
      </c>
      <c r="FBN17" s="310" t="s">
        <v>201</v>
      </c>
      <c r="FBO17" s="310" t="s">
        <v>201</v>
      </c>
      <c r="FBP17" s="310" t="s">
        <v>201</v>
      </c>
      <c r="FBQ17" s="310" t="s">
        <v>201</v>
      </c>
      <c r="FBR17" s="310" t="s">
        <v>201</v>
      </c>
      <c r="FBS17" s="310" t="s">
        <v>201</v>
      </c>
      <c r="FBT17" s="310" t="s">
        <v>201</v>
      </c>
      <c r="FBU17" s="310" t="s">
        <v>201</v>
      </c>
      <c r="FBV17" s="310" t="s">
        <v>201</v>
      </c>
      <c r="FBW17" s="310" t="s">
        <v>201</v>
      </c>
      <c r="FBX17" s="310" t="s">
        <v>201</v>
      </c>
      <c r="FBY17" s="310" t="s">
        <v>201</v>
      </c>
      <c r="FBZ17" s="310" t="s">
        <v>201</v>
      </c>
      <c r="FCA17" s="310" t="s">
        <v>201</v>
      </c>
      <c r="FCB17" s="310" t="s">
        <v>201</v>
      </c>
      <c r="FCC17" s="310" t="s">
        <v>201</v>
      </c>
      <c r="FCD17" s="310" t="s">
        <v>201</v>
      </c>
      <c r="FCE17" s="310" t="s">
        <v>201</v>
      </c>
      <c r="FCF17" s="310" t="s">
        <v>201</v>
      </c>
      <c r="FCG17" s="310" t="s">
        <v>201</v>
      </c>
      <c r="FCH17" s="310" t="s">
        <v>201</v>
      </c>
      <c r="FCI17" s="310" t="s">
        <v>201</v>
      </c>
      <c r="FCJ17" s="310" t="s">
        <v>201</v>
      </c>
      <c r="FCK17" s="310" t="s">
        <v>201</v>
      </c>
      <c r="FCL17" s="310" t="s">
        <v>201</v>
      </c>
      <c r="FCM17" s="310" t="s">
        <v>201</v>
      </c>
      <c r="FCN17" s="310" t="s">
        <v>201</v>
      </c>
      <c r="FCO17" s="310" t="s">
        <v>201</v>
      </c>
      <c r="FCP17" s="310" t="s">
        <v>201</v>
      </c>
      <c r="FCQ17" s="310" t="s">
        <v>201</v>
      </c>
      <c r="FCR17" s="310" t="s">
        <v>201</v>
      </c>
      <c r="FCS17" s="310" t="s">
        <v>201</v>
      </c>
      <c r="FCT17" s="310" t="s">
        <v>201</v>
      </c>
      <c r="FCU17" s="310" t="s">
        <v>201</v>
      </c>
      <c r="FCV17" s="310" t="s">
        <v>201</v>
      </c>
      <c r="FCW17" s="310" t="s">
        <v>201</v>
      </c>
      <c r="FCX17" s="310" t="s">
        <v>201</v>
      </c>
      <c r="FCY17" s="310" t="s">
        <v>201</v>
      </c>
      <c r="FCZ17" s="310" t="s">
        <v>201</v>
      </c>
      <c r="FDA17" s="310" t="s">
        <v>201</v>
      </c>
      <c r="FDB17" s="310" t="s">
        <v>201</v>
      </c>
      <c r="FDC17" s="310" t="s">
        <v>201</v>
      </c>
      <c r="FDD17" s="310" t="s">
        <v>201</v>
      </c>
      <c r="FDE17" s="310" t="s">
        <v>201</v>
      </c>
      <c r="FDF17" s="310" t="s">
        <v>201</v>
      </c>
      <c r="FDG17" s="310" t="s">
        <v>201</v>
      </c>
      <c r="FDH17" s="310" t="s">
        <v>201</v>
      </c>
      <c r="FDI17" s="310" t="s">
        <v>201</v>
      </c>
      <c r="FDJ17" s="310" t="s">
        <v>201</v>
      </c>
      <c r="FDK17" s="310" t="s">
        <v>201</v>
      </c>
      <c r="FDL17" s="310" t="s">
        <v>201</v>
      </c>
      <c r="FDM17" s="310" t="s">
        <v>201</v>
      </c>
      <c r="FDN17" s="310" t="s">
        <v>201</v>
      </c>
      <c r="FDO17" s="310" t="s">
        <v>201</v>
      </c>
      <c r="FDP17" s="310" t="s">
        <v>201</v>
      </c>
      <c r="FDQ17" s="310" t="s">
        <v>201</v>
      </c>
      <c r="FDR17" s="310" t="s">
        <v>201</v>
      </c>
      <c r="FDS17" s="310" t="s">
        <v>201</v>
      </c>
      <c r="FDT17" s="310" t="s">
        <v>201</v>
      </c>
      <c r="FDU17" s="310" t="s">
        <v>201</v>
      </c>
      <c r="FDV17" s="310" t="s">
        <v>201</v>
      </c>
      <c r="FDW17" s="310" t="s">
        <v>201</v>
      </c>
      <c r="FDX17" s="310" t="s">
        <v>201</v>
      </c>
      <c r="FDY17" s="310" t="s">
        <v>201</v>
      </c>
      <c r="FDZ17" s="310" t="s">
        <v>201</v>
      </c>
      <c r="FEA17" s="310" t="s">
        <v>201</v>
      </c>
      <c r="FEB17" s="310" t="s">
        <v>201</v>
      </c>
      <c r="FEC17" s="310" t="s">
        <v>201</v>
      </c>
      <c r="FED17" s="310" t="s">
        <v>201</v>
      </c>
      <c r="FEE17" s="310" t="s">
        <v>201</v>
      </c>
      <c r="FEF17" s="310" t="s">
        <v>201</v>
      </c>
      <c r="FEG17" s="310" t="s">
        <v>201</v>
      </c>
      <c r="FEH17" s="310" t="s">
        <v>201</v>
      </c>
      <c r="FEI17" s="310" t="s">
        <v>201</v>
      </c>
      <c r="FEJ17" s="310" t="s">
        <v>201</v>
      </c>
      <c r="FEK17" s="310" t="s">
        <v>201</v>
      </c>
      <c r="FEL17" s="310" t="s">
        <v>201</v>
      </c>
      <c r="FEM17" s="310" t="s">
        <v>201</v>
      </c>
      <c r="FEN17" s="310" t="s">
        <v>201</v>
      </c>
      <c r="FEO17" s="310" t="s">
        <v>201</v>
      </c>
      <c r="FEP17" s="310" t="s">
        <v>201</v>
      </c>
      <c r="FEQ17" s="310" t="s">
        <v>201</v>
      </c>
      <c r="FER17" s="310" t="s">
        <v>201</v>
      </c>
      <c r="FES17" s="310" t="s">
        <v>201</v>
      </c>
      <c r="FET17" s="310" t="s">
        <v>201</v>
      </c>
      <c r="FEU17" s="310" t="s">
        <v>201</v>
      </c>
      <c r="FEV17" s="310" t="s">
        <v>201</v>
      </c>
      <c r="FEW17" s="310" t="s">
        <v>201</v>
      </c>
      <c r="FEX17" s="310" t="s">
        <v>201</v>
      </c>
      <c r="FEY17" s="310" t="s">
        <v>201</v>
      </c>
      <c r="FEZ17" s="310" t="s">
        <v>201</v>
      </c>
      <c r="FFA17" s="310" t="s">
        <v>201</v>
      </c>
      <c r="FFB17" s="310" t="s">
        <v>201</v>
      </c>
      <c r="FFC17" s="310" t="s">
        <v>201</v>
      </c>
      <c r="FFD17" s="310" t="s">
        <v>201</v>
      </c>
      <c r="FFE17" s="310" t="s">
        <v>201</v>
      </c>
      <c r="FFF17" s="310" t="s">
        <v>201</v>
      </c>
      <c r="FFG17" s="310" t="s">
        <v>201</v>
      </c>
      <c r="FFH17" s="310" t="s">
        <v>201</v>
      </c>
      <c r="FFI17" s="310" t="s">
        <v>201</v>
      </c>
      <c r="FFJ17" s="310" t="s">
        <v>201</v>
      </c>
      <c r="FFK17" s="310" t="s">
        <v>201</v>
      </c>
      <c r="FFL17" s="310" t="s">
        <v>201</v>
      </c>
      <c r="FFM17" s="310" t="s">
        <v>201</v>
      </c>
      <c r="FFN17" s="310" t="s">
        <v>201</v>
      </c>
      <c r="FFO17" s="310" t="s">
        <v>201</v>
      </c>
      <c r="FFP17" s="310" t="s">
        <v>201</v>
      </c>
      <c r="FFQ17" s="310" t="s">
        <v>201</v>
      </c>
      <c r="FFR17" s="310" t="s">
        <v>201</v>
      </c>
      <c r="FFS17" s="310" t="s">
        <v>201</v>
      </c>
      <c r="FFT17" s="310" t="s">
        <v>201</v>
      </c>
      <c r="FFU17" s="310" t="s">
        <v>201</v>
      </c>
      <c r="FFV17" s="310" t="s">
        <v>201</v>
      </c>
      <c r="FFW17" s="310" t="s">
        <v>201</v>
      </c>
      <c r="FFX17" s="310" t="s">
        <v>201</v>
      </c>
      <c r="FFY17" s="310" t="s">
        <v>201</v>
      </c>
      <c r="FFZ17" s="310" t="s">
        <v>201</v>
      </c>
      <c r="FGA17" s="310" t="s">
        <v>201</v>
      </c>
      <c r="FGB17" s="310" t="s">
        <v>201</v>
      </c>
      <c r="FGC17" s="310" t="s">
        <v>201</v>
      </c>
      <c r="FGD17" s="310" t="s">
        <v>201</v>
      </c>
      <c r="FGE17" s="310" t="s">
        <v>201</v>
      </c>
      <c r="FGF17" s="310" t="s">
        <v>201</v>
      </c>
      <c r="FGG17" s="310" t="s">
        <v>201</v>
      </c>
      <c r="FGH17" s="310" t="s">
        <v>201</v>
      </c>
      <c r="FGI17" s="310" t="s">
        <v>201</v>
      </c>
      <c r="FGJ17" s="310" t="s">
        <v>201</v>
      </c>
      <c r="FGK17" s="310" t="s">
        <v>201</v>
      </c>
      <c r="FGL17" s="310" t="s">
        <v>201</v>
      </c>
      <c r="FGM17" s="310" t="s">
        <v>201</v>
      </c>
      <c r="FGN17" s="310" t="s">
        <v>201</v>
      </c>
      <c r="FGO17" s="310" t="s">
        <v>201</v>
      </c>
      <c r="FGP17" s="310" t="s">
        <v>201</v>
      </c>
      <c r="FGQ17" s="310" t="s">
        <v>201</v>
      </c>
      <c r="FGR17" s="310" t="s">
        <v>201</v>
      </c>
      <c r="FGS17" s="310" t="s">
        <v>201</v>
      </c>
      <c r="FGT17" s="310" t="s">
        <v>201</v>
      </c>
      <c r="FGU17" s="310" t="s">
        <v>201</v>
      </c>
      <c r="FGV17" s="310" t="s">
        <v>201</v>
      </c>
      <c r="FGW17" s="310" t="s">
        <v>201</v>
      </c>
      <c r="FGX17" s="310" t="s">
        <v>201</v>
      </c>
      <c r="FGY17" s="310" t="s">
        <v>201</v>
      </c>
      <c r="FGZ17" s="310" t="s">
        <v>201</v>
      </c>
      <c r="FHA17" s="310" t="s">
        <v>201</v>
      </c>
      <c r="FHB17" s="310" t="s">
        <v>201</v>
      </c>
      <c r="FHC17" s="310" t="s">
        <v>201</v>
      </c>
      <c r="FHD17" s="310" t="s">
        <v>201</v>
      </c>
      <c r="FHE17" s="310" t="s">
        <v>201</v>
      </c>
      <c r="FHF17" s="310" t="s">
        <v>201</v>
      </c>
      <c r="FHG17" s="310" t="s">
        <v>201</v>
      </c>
      <c r="FHH17" s="310" t="s">
        <v>201</v>
      </c>
      <c r="FHI17" s="310" t="s">
        <v>201</v>
      </c>
      <c r="FHJ17" s="310" t="s">
        <v>201</v>
      </c>
      <c r="FHK17" s="310" t="s">
        <v>201</v>
      </c>
      <c r="FHL17" s="310" t="s">
        <v>201</v>
      </c>
      <c r="FHM17" s="310" t="s">
        <v>201</v>
      </c>
      <c r="FHN17" s="310" t="s">
        <v>201</v>
      </c>
      <c r="FHO17" s="310" t="s">
        <v>201</v>
      </c>
      <c r="FHP17" s="310" t="s">
        <v>201</v>
      </c>
      <c r="FHQ17" s="310" t="s">
        <v>201</v>
      </c>
      <c r="FHR17" s="310" t="s">
        <v>201</v>
      </c>
      <c r="FHS17" s="310" t="s">
        <v>201</v>
      </c>
      <c r="FHT17" s="310" t="s">
        <v>201</v>
      </c>
      <c r="FHU17" s="310" t="s">
        <v>201</v>
      </c>
      <c r="FHV17" s="310" t="s">
        <v>201</v>
      </c>
      <c r="FHW17" s="310" t="s">
        <v>201</v>
      </c>
      <c r="FHX17" s="310" t="s">
        <v>201</v>
      </c>
      <c r="FHY17" s="310" t="s">
        <v>201</v>
      </c>
      <c r="FHZ17" s="310" t="s">
        <v>201</v>
      </c>
      <c r="FIA17" s="310" t="s">
        <v>201</v>
      </c>
      <c r="FIB17" s="310" t="s">
        <v>201</v>
      </c>
      <c r="FIC17" s="310" t="s">
        <v>201</v>
      </c>
      <c r="FID17" s="310" t="s">
        <v>201</v>
      </c>
      <c r="FIE17" s="310" t="s">
        <v>201</v>
      </c>
      <c r="FIF17" s="310" t="s">
        <v>201</v>
      </c>
      <c r="FIG17" s="310" t="s">
        <v>201</v>
      </c>
      <c r="FIH17" s="310" t="s">
        <v>201</v>
      </c>
      <c r="FII17" s="310" t="s">
        <v>201</v>
      </c>
      <c r="FIJ17" s="310" t="s">
        <v>201</v>
      </c>
      <c r="FIK17" s="310" t="s">
        <v>201</v>
      </c>
      <c r="FIL17" s="310" t="s">
        <v>201</v>
      </c>
      <c r="FIM17" s="310" t="s">
        <v>201</v>
      </c>
      <c r="FIN17" s="310" t="s">
        <v>201</v>
      </c>
      <c r="FIO17" s="310" t="s">
        <v>201</v>
      </c>
      <c r="FIP17" s="310" t="s">
        <v>201</v>
      </c>
      <c r="FIQ17" s="310" t="s">
        <v>201</v>
      </c>
      <c r="FIR17" s="310" t="s">
        <v>201</v>
      </c>
      <c r="FIS17" s="310" t="s">
        <v>201</v>
      </c>
      <c r="FIT17" s="310" t="s">
        <v>201</v>
      </c>
      <c r="FIU17" s="310" t="s">
        <v>201</v>
      </c>
      <c r="FIV17" s="310" t="s">
        <v>201</v>
      </c>
      <c r="FIW17" s="310" t="s">
        <v>201</v>
      </c>
      <c r="FIX17" s="310" t="s">
        <v>201</v>
      </c>
      <c r="FIY17" s="310" t="s">
        <v>201</v>
      </c>
      <c r="FIZ17" s="310" t="s">
        <v>201</v>
      </c>
      <c r="FJA17" s="310" t="s">
        <v>201</v>
      </c>
      <c r="FJB17" s="310" t="s">
        <v>201</v>
      </c>
      <c r="FJC17" s="310" t="s">
        <v>201</v>
      </c>
      <c r="FJD17" s="310" t="s">
        <v>201</v>
      </c>
      <c r="FJE17" s="310" t="s">
        <v>201</v>
      </c>
      <c r="FJF17" s="310" t="s">
        <v>201</v>
      </c>
      <c r="FJG17" s="310" t="s">
        <v>201</v>
      </c>
      <c r="FJH17" s="310" t="s">
        <v>201</v>
      </c>
      <c r="FJI17" s="310" t="s">
        <v>201</v>
      </c>
      <c r="FJJ17" s="310" t="s">
        <v>201</v>
      </c>
      <c r="FJK17" s="310" t="s">
        <v>201</v>
      </c>
      <c r="FJL17" s="310" t="s">
        <v>201</v>
      </c>
      <c r="FJM17" s="310" t="s">
        <v>201</v>
      </c>
      <c r="FJN17" s="310" t="s">
        <v>201</v>
      </c>
      <c r="FJO17" s="310" t="s">
        <v>201</v>
      </c>
      <c r="FJP17" s="310" t="s">
        <v>201</v>
      </c>
      <c r="FJQ17" s="310" t="s">
        <v>201</v>
      </c>
      <c r="FJR17" s="310" t="s">
        <v>201</v>
      </c>
      <c r="FJS17" s="310" t="s">
        <v>201</v>
      </c>
      <c r="FJT17" s="310" t="s">
        <v>201</v>
      </c>
      <c r="FJU17" s="310" t="s">
        <v>201</v>
      </c>
      <c r="FJV17" s="310" t="s">
        <v>201</v>
      </c>
      <c r="FJW17" s="310" t="s">
        <v>201</v>
      </c>
      <c r="FJX17" s="310" t="s">
        <v>201</v>
      </c>
      <c r="FJY17" s="310" t="s">
        <v>201</v>
      </c>
      <c r="FJZ17" s="310" t="s">
        <v>201</v>
      </c>
      <c r="FKA17" s="310" t="s">
        <v>201</v>
      </c>
      <c r="FKB17" s="310" t="s">
        <v>201</v>
      </c>
      <c r="FKC17" s="310" t="s">
        <v>201</v>
      </c>
      <c r="FKD17" s="310" t="s">
        <v>201</v>
      </c>
      <c r="FKE17" s="310" t="s">
        <v>201</v>
      </c>
      <c r="FKF17" s="310" t="s">
        <v>201</v>
      </c>
      <c r="FKG17" s="310" t="s">
        <v>201</v>
      </c>
      <c r="FKH17" s="310" t="s">
        <v>201</v>
      </c>
      <c r="FKI17" s="310" t="s">
        <v>201</v>
      </c>
      <c r="FKJ17" s="310" t="s">
        <v>201</v>
      </c>
      <c r="FKK17" s="310" t="s">
        <v>201</v>
      </c>
      <c r="FKL17" s="310" t="s">
        <v>201</v>
      </c>
      <c r="FKM17" s="310" t="s">
        <v>201</v>
      </c>
      <c r="FKN17" s="310" t="s">
        <v>201</v>
      </c>
      <c r="FKO17" s="310" t="s">
        <v>201</v>
      </c>
      <c r="FKP17" s="310" t="s">
        <v>201</v>
      </c>
      <c r="FKQ17" s="310" t="s">
        <v>201</v>
      </c>
      <c r="FKR17" s="310" t="s">
        <v>201</v>
      </c>
      <c r="FKS17" s="310" t="s">
        <v>201</v>
      </c>
      <c r="FKT17" s="310" t="s">
        <v>201</v>
      </c>
      <c r="FKU17" s="310" t="s">
        <v>201</v>
      </c>
      <c r="FKV17" s="310" t="s">
        <v>201</v>
      </c>
      <c r="FKW17" s="310" t="s">
        <v>201</v>
      </c>
      <c r="FKX17" s="310" t="s">
        <v>201</v>
      </c>
      <c r="FKY17" s="310" t="s">
        <v>201</v>
      </c>
      <c r="FKZ17" s="310" t="s">
        <v>201</v>
      </c>
      <c r="FLA17" s="310" t="s">
        <v>201</v>
      </c>
      <c r="FLB17" s="310" t="s">
        <v>201</v>
      </c>
      <c r="FLC17" s="310" t="s">
        <v>201</v>
      </c>
      <c r="FLD17" s="310" t="s">
        <v>201</v>
      </c>
      <c r="FLE17" s="310" t="s">
        <v>201</v>
      </c>
      <c r="FLF17" s="310" t="s">
        <v>201</v>
      </c>
      <c r="FLG17" s="310" t="s">
        <v>201</v>
      </c>
      <c r="FLH17" s="310" t="s">
        <v>201</v>
      </c>
      <c r="FLI17" s="310" t="s">
        <v>201</v>
      </c>
      <c r="FLJ17" s="310" t="s">
        <v>201</v>
      </c>
      <c r="FLK17" s="310" t="s">
        <v>201</v>
      </c>
      <c r="FLL17" s="310" t="s">
        <v>201</v>
      </c>
      <c r="FLM17" s="310" t="s">
        <v>201</v>
      </c>
      <c r="FLN17" s="310" t="s">
        <v>201</v>
      </c>
      <c r="FLO17" s="310" t="s">
        <v>201</v>
      </c>
      <c r="FLP17" s="310" t="s">
        <v>201</v>
      </c>
      <c r="FLQ17" s="310" t="s">
        <v>201</v>
      </c>
      <c r="FLR17" s="310" t="s">
        <v>201</v>
      </c>
      <c r="FLS17" s="310" t="s">
        <v>201</v>
      </c>
      <c r="FLT17" s="310" t="s">
        <v>201</v>
      </c>
      <c r="FLU17" s="310" t="s">
        <v>201</v>
      </c>
      <c r="FLV17" s="310" t="s">
        <v>201</v>
      </c>
      <c r="FLW17" s="310" t="s">
        <v>201</v>
      </c>
      <c r="FLX17" s="310" t="s">
        <v>201</v>
      </c>
      <c r="FLY17" s="310" t="s">
        <v>201</v>
      </c>
      <c r="FLZ17" s="310" t="s">
        <v>201</v>
      </c>
      <c r="FMA17" s="310" t="s">
        <v>201</v>
      </c>
      <c r="FMB17" s="310" t="s">
        <v>201</v>
      </c>
      <c r="FMC17" s="310" t="s">
        <v>201</v>
      </c>
      <c r="FMD17" s="310" t="s">
        <v>201</v>
      </c>
      <c r="FME17" s="310" t="s">
        <v>201</v>
      </c>
      <c r="FMF17" s="310" t="s">
        <v>201</v>
      </c>
      <c r="FMG17" s="310" t="s">
        <v>201</v>
      </c>
      <c r="FMH17" s="310" t="s">
        <v>201</v>
      </c>
      <c r="FMI17" s="310" t="s">
        <v>201</v>
      </c>
      <c r="FMJ17" s="310" t="s">
        <v>201</v>
      </c>
      <c r="FMK17" s="310" t="s">
        <v>201</v>
      </c>
      <c r="FML17" s="310" t="s">
        <v>201</v>
      </c>
      <c r="FMM17" s="310" t="s">
        <v>201</v>
      </c>
      <c r="FMN17" s="310" t="s">
        <v>201</v>
      </c>
      <c r="FMO17" s="310" t="s">
        <v>201</v>
      </c>
      <c r="FMP17" s="310" t="s">
        <v>201</v>
      </c>
      <c r="FMQ17" s="310" t="s">
        <v>201</v>
      </c>
      <c r="FMR17" s="310" t="s">
        <v>201</v>
      </c>
      <c r="FMS17" s="310" t="s">
        <v>201</v>
      </c>
      <c r="FMT17" s="310" t="s">
        <v>201</v>
      </c>
      <c r="FMU17" s="310" t="s">
        <v>201</v>
      </c>
      <c r="FMV17" s="310" t="s">
        <v>201</v>
      </c>
      <c r="FMW17" s="310" t="s">
        <v>201</v>
      </c>
      <c r="FMX17" s="310" t="s">
        <v>201</v>
      </c>
      <c r="FMY17" s="310" t="s">
        <v>201</v>
      </c>
      <c r="FMZ17" s="310" t="s">
        <v>201</v>
      </c>
      <c r="FNA17" s="310" t="s">
        <v>201</v>
      </c>
      <c r="FNB17" s="310" t="s">
        <v>201</v>
      </c>
      <c r="FNC17" s="310" t="s">
        <v>201</v>
      </c>
      <c r="FND17" s="310" t="s">
        <v>201</v>
      </c>
      <c r="FNE17" s="310" t="s">
        <v>201</v>
      </c>
      <c r="FNF17" s="310" t="s">
        <v>201</v>
      </c>
      <c r="FNG17" s="310" t="s">
        <v>201</v>
      </c>
      <c r="FNH17" s="310" t="s">
        <v>201</v>
      </c>
      <c r="FNI17" s="310" t="s">
        <v>201</v>
      </c>
      <c r="FNJ17" s="310" t="s">
        <v>201</v>
      </c>
      <c r="FNK17" s="310" t="s">
        <v>201</v>
      </c>
      <c r="FNL17" s="310" t="s">
        <v>201</v>
      </c>
      <c r="FNM17" s="310" t="s">
        <v>201</v>
      </c>
      <c r="FNN17" s="310" t="s">
        <v>201</v>
      </c>
      <c r="FNO17" s="310" t="s">
        <v>201</v>
      </c>
      <c r="FNP17" s="310" t="s">
        <v>201</v>
      </c>
      <c r="FNQ17" s="310" t="s">
        <v>201</v>
      </c>
      <c r="FNR17" s="310" t="s">
        <v>201</v>
      </c>
      <c r="FNS17" s="310" t="s">
        <v>201</v>
      </c>
      <c r="FNT17" s="310" t="s">
        <v>201</v>
      </c>
      <c r="FNU17" s="310" t="s">
        <v>201</v>
      </c>
      <c r="FNV17" s="310" t="s">
        <v>201</v>
      </c>
      <c r="FNW17" s="310" t="s">
        <v>201</v>
      </c>
      <c r="FNX17" s="310" t="s">
        <v>201</v>
      </c>
      <c r="FNY17" s="310" t="s">
        <v>201</v>
      </c>
      <c r="FNZ17" s="310" t="s">
        <v>201</v>
      </c>
      <c r="FOA17" s="310" t="s">
        <v>201</v>
      </c>
      <c r="FOB17" s="310" t="s">
        <v>201</v>
      </c>
      <c r="FOC17" s="310" t="s">
        <v>201</v>
      </c>
      <c r="FOD17" s="310" t="s">
        <v>201</v>
      </c>
      <c r="FOE17" s="310" t="s">
        <v>201</v>
      </c>
      <c r="FOF17" s="310" t="s">
        <v>201</v>
      </c>
      <c r="FOG17" s="310" t="s">
        <v>201</v>
      </c>
      <c r="FOH17" s="310" t="s">
        <v>201</v>
      </c>
      <c r="FOI17" s="310" t="s">
        <v>201</v>
      </c>
      <c r="FOJ17" s="310" t="s">
        <v>201</v>
      </c>
      <c r="FOK17" s="310" t="s">
        <v>201</v>
      </c>
      <c r="FOL17" s="310" t="s">
        <v>201</v>
      </c>
      <c r="FOM17" s="310" t="s">
        <v>201</v>
      </c>
      <c r="FON17" s="310" t="s">
        <v>201</v>
      </c>
      <c r="FOO17" s="310" t="s">
        <v>201</v>
      </c>
      <c r="FOP17" s="310" t="s">
        <v>201</v>
      </c>
      <c r="FOQ17" s="310" t="s">
        <v>201</v>
      </c>
      <c r="FOR17" s="310" t="s">
        <v>201</v>
      </c>
      <c r="FOS17" s="310" t="s">
        <v>201</v>
      </c>
      <c r="FOT17" s="310" t="s">
        <v>201</v>
      </c>
      <c r="FOU17" s="310" t="s">
        <v>201</v>
      </c>
      <c r="FOV17" s="310" t="s">
        <v>201</v>
      </c>
      <c r="FOW17" s="310" t="s">
        <v>201</v>
      </c>
      <c r="FOX17" s="310" t="s">
        <v>201</v>
      </c>
      <c r="FOY17" s="310" t="s">
        <v>201</v>
      </c>
      <c r="FOZ17" s="310" t="s">
        <v>201</v>
      </c>
      <c r="FPA17" s="310" t="s">
        <v>201</v>
      </c>
      <c r="FPB17" s="310" t="s">
        <v>201</v>
      </c>
      <c r="FPC17" s="310" t="s">
        <v>201</v>
      </c>
      <c r="FPD17" s="310" t="s">
        <v>201</v>
      </c>
      <c r="FPE17" s="310" t="s">
        <v>201</v>
      </c>
      <c r="FPF17" s="310" t="s">
        <v>201</v>
      </c>
      <c r="FPG17" s="310" t="s">
        <v>201</v>
      </c>
      <c r="FPH17" s="310" t="s">
        <v>201</v>
      </c>
      <c r="FPI17" s="310" t="s">
        <v>201</v>
      </c>
      <c r="FPJ17" s="310" t="s">
        <v>201</v>
      </c>
      <c r="FPK17" s="310" t="s">
        <v>201</v>
      </c>
      <c r="FPL17" s="310" t="s">
        <v>201</v>
      </c>
      <c r="FPM17" s="310" t="s">
        <v>201</v>
      </c>
      <c r="FPN17" s="310" t="s">
        <v>201</v>
      </c>
      <c r="FPO17" s="310" t="s">
        <v>201</v>
      </c>
      <c r="FPP17" s="310" t="s">
        <v>201</v>
      </c>
      <c r="FPQ17" s="310" t="s">
        <v>201</v>
      </c>
      <c r="FPR17" s="310" t="s">
        <v>201</v>
      </c>
      <c r="FPS17" s="310" t="s">
        <v>201</v>
      </c>
      <c r="FPT17" s="310" t="s">
        <v>201</v>
      </c>
      <c r="FPU17" s="310" t="s">
        <v>201</v>
      </c>
      <c r="FPV17" s="310" t="s">
        <v>201</v>
      </c>
      <c r="FPW17" s="310" t="s">
        <v>201</v>
      </c>
      <c r="FPX17" s="310" t="s">
        <v>201</v>
      </c>
      <c r="FPY17" s="310" t="s">
        <v>201</v>
      </c>
      <c r="FPZ17" s="310" t="s">
        <v>201</v>
      </c>
      <c r="FQA17" s="310" t="s">
        <v>201</v>
      </c>
      <c r="FQB17" s="310" t="s">
        <v>201</v>
      </c>
      <c r="FQC17" s="310" t="s">
        <v>201</v>
      </c>
      <c r="FQD17" s="310" t="s">
        <v>201</v>
      </c>
      <c r="FQE17" s="310" t="s">
        <v>201</v>
      </c>
      <c r="FQF17" s="310" t="s">
        <v>201</v>
      </c>
      <c r="FQG17" s="310" t="s">
        <v>201</v>
      </c>
      <c r="FQH17" s="310" t="s">
        <v>201</v>
      </c>
      <c r="FQI17" s="310" t="s">
        <v>201</v>
      </c>
      <c r="FQJ17" s="310" t="s">
        <v>201</v>
      </c>
      <c r="FQK17" s="310" t="s">
        <v>201</v>
      </c>
      <c r="FQL17" s="310" t="s">
        <v>201</v>
      </c>
      <c r="FQM17" s="310" t="s">
        <v>201</v>
      </c>
      <c r="FQN17" s="310" t="s">
        <v>201</v>
      </c>
      <c r="FQO17" s="310" t="s">
        <v>201</v>
      </c>
      <c r="FQP17" s="310" t="s">
        <v>201</v>
      </c>
      <c r="FQQ17" s="310" t="s">
        <v>201</v>
      </c>
      <c r="FQR17" s="310" t="s">
        <v>201</v>
      </c>
      <c r="FQS17" s="310" t="s">
        <v>201</v>
      </c>
      <c r="FQT17" s="310" t="s">
        <v>201</v>
      </c>
      <c r="FQU17" s="310" t="s">
        <v>201</v>
      </c>
      <c r="FQV17" s="310" t="s">
        <v>201</v>
      </c>
      <c r="FQW17" s="310" t="s">
        <v>201</v>
      </c>
      <c r="FQX17" s="310" t="s">
        <v>201</v>
      </c>
      <c r="FQY17" s="310" t="s">
        <v>201</v>
      </c>
      <c r="FQZ17" s="310" t="s">
        <v>201</v>
      </c>
      <c r="FRA17" s="310" t="s">
        <v>201</v>
      </c>
      <c r="FRB17" s="310" t="s">
        <v>201</v>
      </c>
      <c r="FRC17" s="310" t="s">
        <v>201</v>
      </c>
      <c r="FRD17" s="310" t="s">
        <v>201</v>
      </c>
      <c r="FRE17" s="310" t="s">
        <v>201</v>
      </c>
      <c r="FRF17" s="310" t="s">
        <v>201</v>
      </c>
      <c r="FRG17" s="310" t="s">
        <v>201</v>
      </c>
      <c r="FRH17" s="310" t="s">
        <v>201</v>
      </c>
      <c r="FRI17" s="310" t="s">
        <v>201</v>
      </c>
      <c r="FRJ17" s="310" t="s">
        <v>201</v>
      </c>
      <c r="FRK17" s="310" t="s">
        <v>201</v>
      </c>
      <c r="FRL17" s="310" t="s">
        <v>201</v>
      </c>
      <c r="FRM17" s="310" t="s">
        <v>201</v>
      </c>
      <c r="FRN17" s="310" t="s">
        <v>201</v>
      </c>
      <c r="FRO17" s="310" t="s">
        <v>201</v>
      </c>
      <c r="FRP17" s="310" t="s">
        <v>201</v>
      </c>
      <c r="FRQ17" s="310" t="s">
        <v>201</v>
      </c>
      <c r="FRR17" s="310" t="s">
        <v>201</v>
      </c>
      <c r="FRS17" s="310" t="s">
        <v>201</v>
      </c>
      <c r="FRT17" s="310" t="s">
        <v>201</v>
      </c>
      <c r="FRU17" s="310" t="s">
        <v>201</v>
      </c>
      <c r="FRV17" s="310" t="s">
        <v>201</v>
      </c>
      <c r="FRW17" s="310" t="s">
        <v>201</v>
      </c>
      <c r="FRX17" s="310" t="s">
        <v>201</v>
      </c>
      <c r="FRY17" s="310" t="s">
        <v>201</v>
      </c>
      <c r="FRZ17" s="310" t="s">
        <v>201</v>
      </c>
      <c r="FSA17" s="310" t="s">
        <v>201</v>
      </c>
      <c r="FSB17" s="310" t="s">
        <v>201</v>
      </c>
      <c r="FSC17" s="310" t="s">
        <v>201</v>
      </c>
      <c r="FSD17" s="310" t="s">
        <v>201</v>
      </c>
      <c r="FSE17" s="310" t="s">
        <v>201</v>
      </c>
      <c r="FSF17" s="310" t="s">
        <v>201</v>
      </c>
      <c r="FSG17" s="310" t="s">
        <v>201</v>
      </c>
      <c r="FSH17" s="310" t="s">
        <v>201</v>
      </c>
      <c r="FSI17" s="310" t="s">
        <v>201</v>
      </c>
      <c r="FSJ17" s="310" t="s">
        <v>201</v>
      </c>
      <c r="FSK17" s="310" t="s">
        <v>201</v>
      </c>
      <c r="FSL17" s="310" t="s">
        <v>201</v>
      </c>
      <c r="FSM17" s="310" t="s">
        <v>201</v>
      </c>
      <c r="FSN17" s="310" t="s">
        <v>201</v>
      </c>
      <c r="FSO17" s="310" t="s">
        <v>201</v>
      </c>
      <c r="FSP17" s="310" t="s">
        <v>201</v>
      </c>
      <c r="FSQ17" s="310" t="s">
        <v>201</v>
      </c>
      <c r="FSR17" s="310" t="s">
        <v>201</v>
      </c>
      <c r="FSS17" s="310" t="s">
        <v>201</v>
      </c>
      <c r="FST17" s="310" t="s">
        <v>201</v>
      </c>
      <c r="FSU17" s="310" t="s">
        <v>201</v>
      </c>
      <c r="FSV17" s="310" t="s">
        <v>201</v>
      </c>
      <c r="FSW17" s="310" t="s">
        <v>201</v>
      </c>
      <c r="FSX17" s="310" t="s">
        <v>201</v>
      </c>
      <c r="FSY17" s="310" t="s">
        <v>201</v>
      </c>
      <c r="FSZ17" s="310" t="s">
        <v>201</v>
      </c>
      <c r="FTA17" s="310" t="s">
        <v>201</v>
      </c>
      <c r="FTB17" s="310" t="s">
        <v>201</v>
      </c>
      <c r="FTC17" s="310" t="s">
        <v>201</v>
      </c>
      <c r="FTD17" s="310" t="s">
        <v>201</v>
      </c>
      <c r="FTE17" s="310" t="s">
        <v>201</v>
      </c>
      <c r="FTF17" s="310" t="s">
        <v>201</v>
      </c>
      <c r="FTG17" s="310" t="s">
        <v>201</v>
      </c>
      <c r="FTH17" s="310" t="s">
        <v>201</v>
      </c>
      <c r="FTI17" s="310" t="s">
        <v>201</v>
      </c>
      <c r="FTJ17" s="310" t="s">
        <v>201</v>
      </c>
      <c r="FTK17" s="310" t="s">
        <v>201</v>
      </c>
      <c r="FTL17" s="310" t="s">
        <v>201</v>
      </c>
      <c r="FTM17" s="310" t="s">
        <v>201</v>
      </c>
      <c r="FTN17" s="310" t="s">
        <v>201</v>
      </c>
      <c r="FTO17" s="310" t="s">
        <v>201</v>
      </c>
      <c r="FTP17" s="310" t="s">
        <v>201</v>
      </c>
      <c r="FTQ17" s="310" t="s">
        <v>201</v>
      </c>
      <c r="FTR17" s="310" t="s">
        <v>201</v>
      </c>
      <c r="FTS17" s="310" t="s">
        <v>201</v>
      </c>
      <c r="FTT17" s="310" t="s">
        <v>201</v>
      </c>
      <c r="FTU17" s="310" t="s">
        <v>201</v>
      </c>
      <c r="FTV17" s="310" t="s">
        <v>201</v>
      </c>
      <c r="FTW17" s="310" t="s">
        <v>201</v>
      </c>
      <c r="FTX17" s="310" t="s">
        <v>201</v>
      </c>
      <c r="FTY17" s="310" t="s">
        <v>201</v>
      </c>
      <c r="FTZ17" s="310" t="s">
        <v>201</v>
      </c>
      <c r="FUA17" s="310" t="s">
        <v>201</v>
      </c>
      <c r="FUB17" s="310" t="s">
        <v>201</v>
      </c>
      <c r="FUC17" s="310" t="s">
        <v>201</v>
      </c>
      <c r="FUD17" s="310" t="s">
        <v>201</v>
      </c>
      <c r="FUE17" s="310" t="s">
        <v>201</v>
      </c>
      <c r="FUF17" s="310" t="s">
        <v>201</v>
      </c>
      <c r="FUG17" s="310" t="s">
        <v>201</v>
      </c>
      <c r="FUH17" s="310" t="s">
        <v>201</v>
      </c>
      <c r="FUI17" s="310" t="s">
        <v>201</v>
      </c>
      <c r="FUJ17" s="310" t="s">
        <v>201</v>
      </c>
      <c r="FUK17" s="310" t="s">
        <v>201</v>
      </c>
      <c r="FUL17" s="310" t="s">
        <v>201</v>
      </c>
      <c r="FUM17" s="310" t="s">
        <v>201</v>
      </c>
      <c r="FUN17" s="310" t="s">
        <v>201</v>
      </c>
      <c r="FUO17" s="310" t="s">
        <v>201</v>
      </c>
      <c r="FUP17" s="310" t="s">
        <v>201</v>
      </c>
      <c r="FUQ17" s="310" t="s">
        <v>201</v>
      </c>
      <c r="FUR17" s="310" t="s">
        <v>201</v>
      </c>
      <c r="FUS17" s="310" t="s">
        <v>201</v>
      </c>
      <c r="FUT17" s="310" t="s">
        <v>201</v>
      </c>
      <c r="FUU17" s="310" t="s">
        <v>201</v>
      </c>
      <c r="FUV17" s="310" t="s">
        <v>201</v>
      </c>
      <c r="FUW17" s="310" t="s">
        <v>201</v>
      </c>
      <c r="FUX17" s="310" t="s">
        <v>201</v>
      </c>
      <c r="FUY17" s="310" t="s">
        <v>201</v>
      </c>
      <c r="FUZ17" s="310" t="s">
        <v>201</v>
      </c>
      <c r="FVA17" s="310" t="s">
        <v>201</v>
      </c>
      <c r="FVB17" s="310" t="s">
        <v>201</v>
      </c>
      <c r="FVC17" s="310" t="s">
        <v>201</v>
      </c>
      <c r="FVD17" s="310" t="s">
        <v>201</v>
      </c>
      <c r="FVE17" s="310" t="s">
        <v>201</v>
      </c>
      <c r="FVF17" s="310" t="s">
        <v>201</v>
      </c>
      <c r="FVG17" s="310" t="s">
        <v>201</v>
      </c>
      <c r="FVH17" s="310" t="s">
        <v>201</v>
      </c>
      <c r="FVI17" s="310" t="s">
        <v>201</v>
      </c>
      <c r="FVJ17" s="310" t="s">
        <v>201</v>
      </c>
      <c r="FVK17" s="310" t="s">
        <v>201</v>
      </c>
      <c r="FVL17" s="310" t="s">
        <v>201</v>
      </c>
      <c r="FVM17" s="310" t="s">
        <v>201</v>
      </c>
      <c r="FVN17" s="310" t="s">
        <v>201</v>
      </c>
      <c r="FVO17" s="310" t="s">
        <v>201</v>
      </c>
      <c r="FVP17" s="310" t="s">
        <v>201</v>
      </c>
      <c r="FVQ17" s="310" t="s">
        <v>201</v>
      </c>
      <c r="FVR17" s="310" t="s">
        <v>201</v>
      </c>
      <c r="FVS17" s="310" t="s">
        <v>201</v>
      </c>
      <c r="FVT17" s="310" t="s">
        <v>201</v>
      </c>
      <c r="FVU17" s="310" t="s">
        <v>201</v>
      </c>
      <c r="FVV17" s="310" t="s">
        <v>201</v>
      </c>
      <c r="FVW17" s="310" t="s">
        <v>201</v>
      </c>
      <c r="FVX17" s="310" t="s">
        <v>201</v>
      </c>
      <c r="FVY17" s="310" t="s">
        <v>201</v>
      </c>
      <c r="FVZ17" s="310" t="s">
        <v>201</v>
      </c>
      <c r="FWA17" s="310" t="s">
        <v>201</v>
      </c>
      <c r="FWB17" s="310" t="s">
        <v>201</v>
      </c>
      <c r="FWC17" s="310" t="s">
        <v>201</v>
      </c>
      <c r="FWD17" s="310" t="s">
        <v>201</v>
      </c>
      <c r="FWE17" s="310" t="s">
        <v>201</v>
      </c>
      <c r="FWF17" s="310" t="s">
        <v>201</v>
      </c>
      <c r="FWG17" s="310" t="s">
        <v>201</v>
      </c>
      <c r="FWH17" s="310" t="s">
        <v>201</v>
      </c>
      <c r="FWI17" s="310" t="s">
        <v>201</v>
      </c>
      <c r="FWJ17" s="310" t="s">
        <v>201</v>
      </c>
      <c r="FWK17" s="310" t="s">
        <v>201</v>
      </c>
      <c r="FWL17" s="310" t="s">
        <v>201</v>
      </c>
      <c r="FWM17" s="310" t="s">
        <v>201</v>
      </c>
      <c r="FWN17" s="310" t="s">
        <v>201</v>
      </c>
      <c r="FWO17" s="310" t="s">
        <v>201</v>
      </c>
      <c r="FWP17" s="310" t="s">
        <v>201</v>
      </c>
      <c r="FWQ17" s="310" t="s">
        <v>201</v>
      </c>
      <c r="FWR17" s="310" t="s">
        <v>201</v>
      </c>
      <c r="FWS17" s="310" t="s">
        <v>201</v>
      </c>
      <c r="FWT17" s="310" t="s">
        <v>201</v>
      </c>
      <c r="FWU17" s="310" t="s">
        <v>201</v>
      </c>
      <c r="FWV17" s="310" t="s">
        <v>201</v>
      </c>
      <c r="FWW17" s="310" t="s">
        <v>201</v>
      </c>
      <c r="FWX17" s="310" t="s">
        <v>201</v>
      </c>
      <c r="FWY17" s="310" t="s">
        <v>201</v>
      </c>
      <c r="FWZ17" s="310" t="s">
        <v>201</v>
      </c>
      <c r="FXA17" s="310" t="s">
        <v>201</v>
      </c>
      <c r="FXB17" s="310" t="s">
        <v>201</v>
      </c>
      <c r="FXC17" s="310" t="s">
        <v>201</v>
      </c>
      <c r="FXD17" s="310" t="s">
        <v>201</v>
      </c>
      <c r="FXE17" s="310" t="s">
        <v>201</v>
      </c>
      <c r="FXF17" s="310" t="s">
        <v>201</v>
      </c>
      <c r="FXG17" s="310" t="s">
        <v>201</v>
      </c>
      <c r="FXH17" s="310" t="s">
        <v>201</v>
      </c>
      <c r="FXI17" s="310" t="s">
        <v>201</v>
      </c>
      <c r="FXJ17" s="310" t="s">
        <v>201</v>
      </c>
      <c r="FXK17" s="310" t="s">
        <v>201</v>
      </c>
      <c r="FXL17" s="310" t="s">
        <v>201</v>
      </c>
      <c r="FXM17" s="310" t="s">
        <v>201</v>
      </c>
      <c r="FXN17" s="310" t="s">
        <v>201</v>
      </c>
      <c r="FXO17" s="310" t="s">
        <v>201</v>
      </c>
      <c r="FXP17" s="310" t="s">
        <v>201</v>
      </c>
      <c r="FXQ17" s="310" t="s">
        <v>201</v>
      </c>
      <c r="FXR17" s="310" t="s">
        <v>201</v>
      </c>
      <c r="FXS17" s="310" t="s">
        <v>201</v>
      </c>
      <c r="FXT17" s="310" t="s">
        <v>201</v>
      </c>
      <c r="FXU17" s="310" t="s">
        <v>201</v>
      </c>
      <c r="FXV17" s="310" t="s">
        <v>201</v>
      </c>
      <c r="FXW17" s="310" t="s">
        <v>201</v>
      </c>
      <c r="FXX17" s="310" t="s">
        <v>201</v>
      </c>
      <c r="FXY17" s="310" t="s">
        <v>201</v>
      </c>
      <c r="FXZ17" s="310" t="s">
        <v>201</v>
      </c>
      <c r="FYA17" s="310" t="s">
        <v>201</v>
      </c>
      <c r="FYB17" s="310" t="s">
        <v>201</v>
      </c>
      <c r="FYC17" s="310" t="s">
        <v>201</v>
      </c>
      <c r="FYD17" s="310" t="s">
        <v>201</v>
      </c>
      <c r="FYE17" s="310" t="s">
        <v>201</v>
      </c>
      <c r="FYF17" s="310" t="s">
        <v>201</v>
      </c>
      <c r="FYG17" s="310" t="s">
        <v>201</v>
      </c>
      <c r="FYH17" s="310" t="s">
        <v>201</v>
      </c>
      <c r="FYI17" s="310" t="s">
        <v>201</v>
      </c>
      <c r="FYJ17" s="310" t="s">
        <v>201</v>
      </c>
      <c r="FYK17" s="310" t="s">
        <v>201</v>
      </c>
      <c r="FYL17" s="310" t="s">
        <v>201</v>
      </c>
      <c r="FYM17" s="310" t="s">
        <v>201</v>
      </c>
      <c r="FYN17" s="310" t="s">
        <v>201</v>
      </c>
      <c r="FYO17" s="310" t="s">
        <v>201</v>
      </c>
      <c r="FYP17" s="310" t="s">
        <v>201</v>
      </c>
      <c r="FYQ17" s="310" t="s">
        <v>201</v>
      </c>
      <c r="FYR17" s="310" t="s">
        <v>201</v>
      </c>
      <c r="FYS17" s="310" t="s">
        <v>201</v>
      </c>
      <c r="FYT17" s="310" t="s">
        <v>201</v>
      </c>
      <c r="FYU17" s="310" t="s">
        <v>201</v>
      </c>
      <c r="FYV17" s="310" t="s">
        <v>201</v>
      </c>
      <c r="FYW17" s="310" t="s">
        <v>201</v>
      </c>
      <c r="FYX17" s="310" t="s">
        <v>201</v>
      </c>
      <c r="FYY17" s="310" t="s">
        <v>201</v>
      </c>
      <c r="FYZ17" s="310" t="s">
        <v>201</v>
      </c>
      <c r="FZA17" s="310" t="s">
        <v>201</v>
      </c>
      <c r="FZB17" s="310" t="s">
        <v>201</v>
      </c>
      <c r="FZC17" s="310" t="s">
        <v>201</v>
      </c>
      <c r="FZD17" s="310" t="s">
        <v>201</v>
      </c>
      <c r="FZE17" s="310" t="s">
        <v>201</v>
      </c>
      <c r="FZF17" s="310" t="s">
        <v>201</v>
      </c>
      <c r="FZG17" s="310" t="s">
        <v>201</v>
      </c>
      <c r="FZH17" s="310" t="s">
        <v>201</v>
      </c>
      <c r="FZI17" s="310" t="s">
        <v>201</v>
      </c>
      <c r="FZJ17" s="310" t="s">
        <v>201</v>
      </c>
      <c r="FZK17" s="310" t="s">
        <v>201</v>
      </c>
      <c r="FZL17" s="310" t="s">
        <v>201</v>
      </c>
      <c r="FZM17" s="310" t="s">
        <v>201</v>
      </c>
      <c r="FZN17" s="310" t="s">
        <v>201</v>
      </c>
      <c r="FZO17" s="310" t="s">
        <v>201</v>
      </c>
      <c r="FZP17" s="310" t="s">
        <v>201</v>
      </c>
      <c r="FZQ17" s="310" t="s">
        <v>201</v>
      </c>
      <c r="FZR17" s="310" t="s">
        <v>201</v>
      </c>
      <c r="FZS17" s="310" t="s">
        <v>201</v>
      </c>
      <c r="FZT17" s="310" t="s">
        <v>201</v>
      </c>
      <c r="FZU17" s="310" t="s">
        <v>201</v>
      </c>
      <c r="FZV17" s="310" t="s">
        <v>201</v>
      </c>
      <c r="FZW17" s="310" t="s">
        <v>201</v>
      </c>
      <c r="FZX17" s="310" t="s">
        <v>201</v>
      </c>
      <c r="FZY17" s="310" t="s">
        <v>201</v>
      </c>
      <c r="FZZ17" s="310" t="s">
        <v>201</v>
      </c>
      <c r="GAA17" s="310" t="s">
        <v>201</v>
      </c>
      <c r="GAB17" s="310" t="s">
        <v>201</v>
      </c>
      <c r="GAC17" s="310" t="s">
        <v>201</v>
      </c>
      <c r="GAD17" s="310" t="s">
        <v>201</v>
      </c>
      <c r="GAE17" s="310" t="s">
        <v>201</v>
      </c>
      <c r="GAF17" s="310" t="s">
        <v>201</v>
      </c>
      <c r="GAG17" s="310" t="s">
        <v>201</v>
      </c>
      <c r="GAH17" s="310" t="s">
        <v>201</v>
      </c>
      <c r="GAI17" s="310" t="s">
        <v>201</v>
      </c>
      <c r="GAJ17" s="310" t="s">
        <v>201</v>
      </c>
      <c r="GAK17" s="310" t="s">
        <v>201</v>
      </c>
      <c r="GAL17" s="310" t="s">
        <v>201</v>
      </c>
      <c r="GAM17" s="310" t="s">
        <v>201</v>
      </c>
      <c r="GAN17" s="310" t="s">
        <v>201</v>
      </c>
      <c r="GAO17" s="310" t="s">
        <v>201</v>
      </c>
      <c r="GAP17" s="310" t="s">
        <v>201</v>
      </c>
      <c r="GAQ17" s="310" t="s">
        <v>201</v>
      </c>
      <c r="GAR17" s="310" t="s">
        <v>201</v>
      </c>
      <c r="GAS17" s="310" t="s">
        <v>201</v>
      </c>
      <c r="GAT17" s="310" t="s">
        <v>201</v>
      </c>
      <c r="GAU17" s="310" t="s">
        <v>201</v>
      </c>
      <c r="GAV17" s="310" t="s">
        <v>201</v>
      </c>
      <c r="GAW17" s="310" t="s">
        <v>201</v>
      </c>
      <c r="GAX17" s="310" t="s">
        <v>201</v>
      </c>
      <c r="GAY17" s="310" t="s">
        <v>201</v>
      </c>
      <c r="GAZ17" s="310" t="s">
        <v>201</v>
      </c>
      <c r="GBA17" s="310" t="s">
        <v>201</v>
      </c>
      <c r="GBB17" s="310" t="s">
        <v>201</v>
      </c>
      <c r="GBC17" s="310" t="s">
        <v>201</v>
      </c>
      <c r="GBD17" s="310" t="s">
        <v>201</v>
      </c>
      <c r="GBE17" s="310" t="s">
        <v>201</v>
      </c>
      <c r="GBF17" s="310" t="s">
        <v>201</v>
      </c>
      <c r="GBG17" s="310" t="s">
        <v>201</v>
      </c>
      <c r="GBH17" s="310" t="s">
        <v>201</v>
      </c>
      <c r="GBI17" s="310" t="s">
        <v>201</v>
      </c>
      <c r="GBJ17" s="310" t="s">
        <v>201</v>
      </c>
      <c r="GBK17" s="310" t="s">
        <v>201</v>
      </c>
      <c r="GBL17" s="310" t="s">
        <v>201</v>
      </c>
      <c r="GBM17" s="310" t="s">
        <v>201</v>
      </c>
      <c r="GBN17" s="310" t="s">
        <v>201</v>
      </c>
      <c r="GBO17" s="310" t="s">
        <v>201</v>
      </c>
      <c r="GBP17" s="310" t="s">
        <v>201</v>
      </c>
      <c r="GBQ17" s="310" t="s">
        <v>201</v>
      </c>
      <c r="GBR17" s="310" t="s">
        <v>201</v>
      </c>
      <c r="GBS17" s="310" t="s">
        <v>201</v>
      </c>
      <c r="GBT17" s="310" t="s">
        <v>201</v>
      </c>
      <c r="GBU17" s="310" t="s">
        <v>201</v>
      </c>
      <c r="GBV17" s="310" t="s">
        <v>201</v>
      </c>
      <c r="GBW17" s="310" t="s">
        <v>201</v>
      </c>
      <c r="GBX17" s="310" t="s">
        <v>201</v>
      </c>
      <c r="GBY17" s="310" t="s">
        <v>201</v>
      </c>
      <c r="GBZ17" s="310" t="s">
        <v>201</v>
      </c>
      <c r="GCA17" s="310" t="s">
        <v>201</v>
      </c>
      <c r="GCB17" s="310" t="s">
        <v>201</v>
      </c>
      <c r="GCC17" s="310" t="s">
        <v>201</v>
      </c>
      <c r="GCD17" s="310" t="s">
        <v>201</v>
      </c>
      <c r="GCE17" s="310" t="s">
        <v>201</v>
      </c>
      <c r="GCF17" s="310" t="s">
        <v>201</v>
      </c>
      <c r="GCG17" s="310" t="s">
        <v>201</v>
      </c>
      <c r="GCH17" s="310" t="s">
        <v>201</v>
      </c>
      <c r="GCI17" s="310" t="s">
        <v>201</v>
      </c>
      <c r="GCJ17" s="310" t="s">
        <v>201</v>
      </c>
      <c r="GCK17" s="310" t="s">
        <v>201</v>
      </c>
      <c r="GCL17" s="310" t="s">
        <v>201</v>
      </c>
      <c r="GCM17" s="310" t="s">
        <v>201</v>
      </c>
      <c r="GCN17" s="310" t="s">
        <v>201</v>
      </c>
      <c r="GCO17" s="310" t="s">
        <v>201</v>
      </c>
      <c r="GCP17" s="310" t="s">
        <v>201</v>
      </c>
      <c r="GCQ17" s="310" t="s">
        <v>201</v>
      </c>
      <c r="GCR17" s="310" t="s">
        <v>201</v>
      </c>
      <c r="GCS17" s="310" t="s">
        <v>201</v>
      </c>
      <c r="GCT17" s="310" t="s">
        <v>201</v>
      </c>
      <c r="GCU17" s="310" t="s">
        <v>201</v>
      </c>
      <c r="GCV17" s="310" t="s">
        <v>201</v>
      </c>
      <c r="GCW17" s="310" t="s">
        <v>201</v>
      </c>
      <c r="GCX17" s="310" t="s">
        <v>201</v>
      </c>
      <c r="GCY17" s="310" t="s">
        <v>201</v>
      </c>
      <c r="GCZ17" s="310" t="s">
        <v>201</v>
      </c>
      <c r="GDA17" s="310" t="s">
        <v>201</v>
      </c>
      <c r="GDB17" s="310" t="s">
        <v>201</v>
      </c>
      <c r="GDC17" s="310" t="s">
        <v>201</v>
      </c>
      <c r="GDD17" s="310" t="s">
        <v>201</v>
      </c>
      <c r="GDE17" s="310" t="s">
        <v>201</v>
      </c>
      <c r="GDF17" s="310" t="s">
        <v>201</v>
      </c>
      <c r="GDG17" s="310" t="s">
        <v>201</v>
      </c>
      <c r="GDH17" s="310" t="s">
        <v>201</v>
      </c>
      <c r="GDI17" s="310" t="s">
        <v>201</v>
      </c>
      <c r="GDJ17" s="310" t="s">
        <v>201</v>
      </c>
      <c r="GDK17" s="310" t="s">
        <v>201</v>
      </c>
      <c r="GDL17" s="310" t="s">
        <v>201</v>
      </c>
      <c r="GDM17" s="310" t="s">
        <v>201</v>
      </c>
      <c r="GDN17" s="310" t="s">
        <v>201</v>
      </c>
      <c r="GDO17" s="310" t="s">
        <v>201</v>
      </c>
      <c r="GDP17" s="310" t="s">
        <v>201</v>
      </c>
      <c r="GDQ17" s="310" t="s">
        <v>201</v>
      </c>
      <c r="GDR17" s="310" t="s">
        <v>201</v>
      </c>
      <c r="GDS17" s="310" t="s">
        <v>201</v>
      </c>
      <c r="GDT17" s="310" t="s">
        <v>201</v>
      </c>
      <c r="GDU17" s="310" t="s">
        <v>201</v>
      </c>
      <c r="GDV17" s="310" t="s">
        <v>201</v>
      </c>
      <c r="GDW17" s="310" t="s">
        <v>201</v>
      </c>
      <c r="GDX17" s="310" t="s">
        <v>201</v>
      </c>
      <c r="GDY17" s="310" t="s">
        <v>201</v>
      </c>
      <c r="GDZ17" s="310" t="s">
        <v>201</v>
      </c>
      <c r="GEA17" s="310" t="s">
        <v>201</v>
      </c>
      <c r="GEB17" s="310" t="s">
        <v>201</v>
      </c>
      <c r="GEC17" s="310" t="s">
        <v>201</v>
      </c>
      <c r="GED17" s="310" t="s">
        <v>201</v>
      </c>
      <c r="GEE17" s="310" t="s">
        <v>201</v>
      </c>
      <c r="GEF17" s="310" t="s">
        <v>201</v>
      </c>
      <c r="GEG17" s="310" t="s">
        <v>201</v>
      </c>
      <c r="GEH17" s="310" t="s">
        <v>201</v>
      </c>
      <c r="GEI17" s="310" t="s">
        <v>201</v>
      </c>
      <c r="GEJ17" s="310" t="s">
        <v>201</v>
      </c>
      <c r="GEK17" s="310" t="s">
        <v>201</v>
      </c>
      <c r="GEL17" s="310" t="s">
        <v>201</v>
      </c>
      <c r="GEM17" s="310" t="s">
        <v>201</v>
      </c>
      <c r="GEN17" s="310" t="s">
        <v>201</v>
      </c>
      <c r="GEO17" s="310" t="s">
        <v>201</v>
      </c>
      <c r="GEP17" s="310" t="s">
        <v>201</v>
      </c>
      <c r="GEQ17" s="310" t="s">
        <v>201</v>
      </c>
      <c r="GER17" s="310" t="s">
        <v>201</v>
      </c>
      <c r="GES17" s="310" t="s">
        <v>201</v>
      </c>
      <c r="GET17" s="310" t="s">
        <v>201</v>
      </c>
      <c r="GEU17" s="310" t="s">
        <v>201</v>
      </c>
      <c r="GEV17" s="310" t="s">
        <v>201</v>
      </c>
      <c r="GEW17" s="310" t="s">
        <v>201</v>
      </c>
      <c r="GEX17" s="310" t="s">
        <v>201</v>
      </c>
      <c r="GEY17" s="310" t="s">
        <v>201</v>
      </c>
      <c r="GEZ17" s="310" t="s">
        <v>201</v>
      </c>
      <c r="GFA17" s="310" t="s">
        <v>201</v>
      </c>
      <c r="GFB17" s="310" t="s">
        <v>201</v>
      </c>
      <c r="GFC17" s="310" t="s">
        <v>201</v>
      </c>
      <c r="GFD17" s="310" t="s">
        <v>201</v>
      </c>
      <c r="GFE17" s="310" t="s">
        <v>201</v>
      </c>
      <c r="GFF17" s="310" t="s">
        <v>201</v>
      </c>
      <c r="GFG17" s="310" t="s">
        <v>201</v>
      </c>
      <c r="GFH17" s="310" t="s">
        <v>201</v>
      </c>
      <c r="GFI17" s="310" t="s">
        <v>201</v>
      </c>
      <c r="GFJ17" s="310" t="s">
        <v>201</v>
      </c>
      <c r="GFK17" s="310" t="s">
        <v>201</v>
      </c>
      <c r="GFL17" s="310" t="s">
        <v>201</v>
      </c>
      <c r="GFM17" s="310" t="s">
        <v>201</v>
      </c>
      <c r="GFN17" s="310" t="s">
        <v>201</v>
      </c>
      <c r="GFO17" s="310" t="s">
        <v>201</v>
      </c>
      <c r="GFP17" s="310" t="s">
        <v>201</v>
      </c>
      <c r="GFQ17" s="310" t="s">
        <v>201</v>
      </c>
      <c r="GFR17" s="310" t="s">
        <v>201</v>
      </c>
      <c r="GFS17" s="310" t="s">
        <v>201</v>
      </c>
      <c r="GFT17" s="310" t="s">
        <v>201</v>
      </c>
      <c r="GFU17" s="310" t="s">
        <v>201</v>
      </c>
      <c r="GFV17" s="310" t="s">
        <v>201</v>
      </c>
      <c r="GFW17" s="310" t="s">
        <v>201</v>
      </c>
      <c r="GFX17" s="310" t="s">
        <v>201</v>
      </c>
      <c r="GFY17" s="310" t="s">
        <v>201</v>
      </c>
      <c r="GFZ17" s="310" t="s">
        <v>201</v>
      </c>
      <c r="GGA17" s="310" t="s">
        <v>201</v>
      </c>
      <c r="GGB17" s="310" t="s">
        <v>201</v>
      </c>
      <c r="GGC17" s="310" t="s">
        <v>201</v>
      </c>
      <c r="GGD17" s="310" t="s">
        <v>201</v>
      </c>
      <c r="GGE17" s="310" t="s">
        <v>201</v>
      </c>
      <c r="GGF17" s="310" t="s">
        <v>201</v>
      </c>
      <c r="GGG17" s="310" t="s">
        <v>201</v>
      </c>
      <c r="GGH17" s="310" t="s">
        <v>201</v>
      </c>
      <c r="GGI17" s="310" t="s">
        <v>201</v>
      </c>
      <c r="GGJ17" s="310" t="s">
        <v>201</v>
      </c>
      <c r="GGK17" s="310" t="s">
        <v>201</v>
      </c>
      <c r="GGL17" s="310" t="s">
        <v>201</v>
      </c>
      <c r="GGM17" s="310" t="s">
        <v>201</v>
      </c>
      <c r="GGN17" s="310" t="s">
        <v>201</v>
      </c>
      <c r="GGO17" s="310" t="s">
        <v>201</v>
      </c>
      <c r="GGP17" s="310" t="s">
        <v>201</v>
      </c>
      <c r="GGQ17" s="310" t="s">
        <v>201</v>
      </c>
      <c r="GGR17" s="310" t="s">
        <v>201</v>
      </c>
      <c r="GGS17" s="310" t="s">
        <v>201</v>
      </c>
      <c r="GGT17" s="310" t="s">
        <v>201</v>
      </c>
      <c r="GGU17" s="310" t="s">
        <v>201</v>
      </c>
      <c r="GGV17" s="310" t="s">
        <v>201</v>
      </c>
      <c r="GGW17" s="310" t="s">
        <v>201</v>
      </c>
      <c r="GGX17" s="310" t="s">
        <v>201</v>
      </c>
      <c r="GGY17" s="310" t="s">
        <v>201</v>
      </c>
      <c r="GGZ17" s="310" t="s">
        <v>201</v>
      </c>
      <c r="GHA17" s="310" t="s">
        <v>201</v>
      </c>
      <c r="GHB17" s="310" t="s">
        <v>201</v>
      </c>
      <c r="GHC17" s="310" t="s">
        <v>201</v>
      </c>
      <c r="GHD17" s="310" t="s">
        <v>201</v>
      </c>
      <c r="GHE17" s="310" t="s">
        <v>201</v>
      </c>
      <c r="GHF17" s="310" t="s">
        <v>201</v>
      </c>
      <c r="GHG17" s="310" t="s">
        <v>201</v>
      </c>
      <c r="GHH17" s="310" t="s">
        <v>201</v>
      </c>
      <c r="GHI17" s="310" t="s">
        <v>201</v>
      </c>
      <c r="GHJ17" s="310" t="s">
        <v>201</v>
      </c>
      <c r="GHK17" s="310" t="s">
        <v>201</v>
      </c>
      <c r="GHL17" s="310" t="s">
        <v>201</v>
      </c>
      <c r="GHM17" s="310" t="s">
        <v>201</v>
      </c>
      <c r="GHN17" s="310" t="s">
        <v>201</v>
      </c>
      <c r="GHO17" s="310" t="s">
        <v>201</v>
      </c>
      <c r="GHP17" s="310" t="s">
        <v>201</v>
      </c>
      <c r="GHQ17" s="310" t="s">
        <v>201</v>
      </c>
      <c r="GHR17" s="310" t="s">
        <v>201</v>
      </c>
      <c r="GHS17" s="310" t="s">
        <v>201</v>
      </c>
      <c r="GHT17" s="310" t="s">
        <v>201</v>
      </c>
      <c r="GHU17" s="310" t="s">
        <v>201</v>
      </c>
      <c r="GHV17" s="310" t="s">
        <v>201</v>
      </c>
      <c r="GHW17" s="310" t="s">
        <v>201</v>
      </c>
      <c r="GHX17" s="310" t="s">
        <v>201</v>
      </c>
      <c r="GHY17" s="310" t="s">
        <v>201</v>
      </c>
      <c r="GHZ17" s="310" t="s">
        <v>201</v>
      </c>
      <c r="GIA17" s="310" t="s">
        <v>201</v>
      </c>
      <c r="GIB17" s="310" t="s">
        <v>201</v>
      </c>
      <c r="GIC17" s="310" t="s">
        <v>201</v>
      </c>
      <c r="GID17" s="310" t="s">
        <v>201</v>
      </c>
      <c r="GIE17" s="310" t="s">
        <v>201</v>
      </c>
      <c r="GIF17" s="310" t="s">
        <v>201</v>
      </c>
      <c r="GIG17" s="310" t="s">
        <v>201</v>
      </c>
      <c r="GIH17" s="310" t="s">
        <v>201</v>
      </c>
      <c r="GII17" s="310" t="s">
        <v>201</v>
      </c>
      <c r="GIJ17" s="310" t="s">
        <v>201</v>
      </c>
      <c r="GIK17" s="310" t="s">
        <v>201</v>
      </c>
      <c r="GIL17" s="310" t="s">
        <v>201</v>
      </c>
      <c r="GIM17" s="310" t="s">
        <v>201</v>
      </c>
      <c r="GIN17" s="310" t="s">
        <v>201</v>
      </c>
      <c r="GIO17" s="310" t="s">
        <v>201</v>
      </c>
      <c r="GIP17" s="310" t="s">
        <v>201</v>
      </c>
      <c r="GIQ17" s="310" t="s">
        <v>201</v>
      </c>
      <c r="GIR17" s="310" t="s">
        <v>201</v>
      </c>
      <c r="GIS17" s="310" t="s">
        <v>201</v>
      </c>
      <c r="GIT17" s="310" t="s">
        <v>201</v>
      </c>
      <c r="GIU17" s="310" t="s">
        <v>201</v>
      </c>
      <c r="GIV17" s="310" t="s">
        <v>201</v>
      </c>
      <c r="GIW17" s="310" t="s">
        <v>201</v>
      </c>
      <c r="GIX17" s="310" t="s">
        <v>201</v>
      </c>
      <c r="GIY17" s="310" t="s">
        <v>201</v>
      </c>
      <c r="GIZ17" s="310" t="s">
        <v>201</v>
      </c>
      <c r="GJA17" s="310" t="s">
        <v>201</v>
      </c>
      <c r="GJB17" s="310" t="s">
        <v>201</v>
      </c>
      <c r="GJC17" s="310" t="s">
        <v>201</v>
      </c>
      <c r="GJD17" s="310" t="s">
        <v>201</v>
      </c>
      <c r="GJE17" s="310" t="s">
        <v>201</v>
      </c>
      <c r="GJF17" s="310" t="s">
        <v>201</v>
      </c>
      <c r="GJG17" s="310" t="s">
        <v>201</v>
      </c>
      <c r="GJH17" s="310" t="s">
        <v>201</v>
      </c>
      <c r="GJI17" s="310" t="s">
        <v>201</v>
      </c>
      <c r="GJJ17" s="310" t="s">
        <v>201</v>
      </c>
      <c r="GJK17" s="310" t="s">
        <v>201</v>
      </c>
      <c r="GJL17" s="310" t="s">
        <v>201</v>
      </c>
      <c r="GJM17" s="310" t="s">
        <v>201</v>
      </c>
      <c r="GJN17" s="310" t="s">
        <v>201</v>
      </c>
      <c r="GJO17" s="310" t="s">
        <v>201</v>
      </c>
      <c r="GJP17" s="310" t="s">
        <v>201</v>
      </c>
      <c r="GJQ17" s="310" t="s">
        <v>201</v>
      </c>
      <c r="GJR17" s="310" t="s">
        <v>201</v>
      </c>
      <c r="GJS17" s="310" t="s">
        <v>201</v>
      </c>
      <c r="GJT17" s="310" t="s">
        <v>201</v>
      </c>
      <c r="GJU17" s="310" t="s">
        <v>201</v>
      </c>
      <c r="GJV17" s="310" t="s">
        <v>201</v>
      </c>
      <c r="GJW17" s="310" t="s">
        <v>201</v>
      </c>
      <c r="GJX17" s="310" t="s">
        <v>201</v>
      </c>
      <c r="GJY17" s="310" t="s">
        <v>201</v>
      </c>
      <c r="GJZ17" s="310" t="s">
        <v>201</v>
      </c>
      <c r="GKA17" s="310" t="s">
        <v>201</v>
      </c>
      <c r="GKB17" s="310" t="s">
        <v>201</v>
      </c>
      <c r="GKC17" s="310" t="s">
        <v>201</v>
      </c>
      <c r="GKD17" s="310" t="s">
        <v>201</v>
      </c>
      <c r="GKE17" s="310" t="s">
        <v>201</v>
      </c>
      <c r="GKF17" s="310" t="s">
        <v>201</v>
      </c>
      <c r="GKG17" s="310" t="s">
        <v>201</v>
      </c>
      <c r="GKH17" s="310" t="s">
        <v>201</v>
      </c>
      <c r="GKI17" s="310" t="s">
        <v>201</v>
      </c>
      <c r="GKJ17" s="310" t="s">
        <v>201</v>
      </c>
      <c r="GKK17" s="310" t="s">
        <v>201</v>
      </c>
      <c r="GKL17" s="310" t="s">
        <v>201</v>
      </c>
      <c r="GKM17" s="310" t="s">
        <v>201</v>
      </c>
      <c r="GKN17" s="310" t="s">
        <v>201</v>
      </c>
      <c r="GKO17" s="310" t="s">
        <v>201</v>
      </c>
      <c r="GKP17" s="310" t="s">
        <v>201</v>
      </c>
      <c r="GKQ17" s="310" t="s">
        <v>201</v>
      </c>
      <c r="GKR17" s="310" t="s">
        <v>201</v>
      </c>
      <c r="GKS17" s="310" t="s">
        <v>201</v>
      </c>
      <c r="GKT17" s="310" t="s">
        <v>201</v>
      </c>
      <c r="GKU17" s="310" t="s">
        <v>201</v>
      </c>
      <c r="GKV17" s="310" t="s">
        <v>201</v>
      </c>
      <c r="GKW17" s="310" t="s">
        <v>201</v>
      </c>
      <c r="GKX17" s="310" t="s">
        <v>201</v>
      </c>
      <c r="GKY17" s="310" t="s">
        <v>201</v>
      </c>
      <c r="GKZ17" s="310" t="s">
        <v>201</v>
      </c>
      <c r="GLA17" s="310" t="s">
        <v>201</v>
      </c>
      <c r="GLB17" s="310" t="s">
        <v>201</v>
      </c>
      <c r="GLC17" s="310" t="s">
        <v>201</v>
      </c>
      <c r="GLD17" s="310" t="s">
        <v>201</v>
      </c>
      <c r="GLE17" s="310" t="s">
        <v>201</v>
      </c>
      <c r="GLF17" s="310" t="s">
        <v>201</v>
      </c>
      <c r="GLG17" s="310" t="s">
        <v>201</v>
      </c>
      <c r="GLH17" s="310" t="s">
        <v>201</v>
      </c>
      <c r="GLI17" s="310" t="s">
        <v>201</v>
      </c>
      <c r="GLJ17" s="310" t="s">
        <v>201</v>
      </c>
      <c r="GLK17" s="310" t="s">
        <v>201</v>
      </c>
      <c r="GLL17" s="310" t="s">
        <v>201</v>
      </c>
      <c r="GLM17" s="310" t="s">
        <v>201</v>
      </c>
      <c r="GLN17" s="310" t="s">
        <v>201</v>
      </c>
      <c r="GLO17" s="310" t="s">
        <v>201</v>
      </c>
      <c r="GLP17" s="310" t="s">
        <v>201</v>
      </c>
      <c r="GLQ17" s="310" t="s">
        <v>201</v>
      </c>
      <c r="GLR17" s="310" t="s">
        <v>201</v>
      </c>
      <c r="GLS17" s="310" t="s">
        <v>201</v>
      </c>
      <c r="GLT17" s="310" t="s">
        <v>201</v>
      </c>
      <c r="GLU17" s="310" t="s">
        <v>201</v>
      </c>
      <c r="GLV17" s="310" t="s">
        <v>201</v>
      </c>
      <c r="GLW17" s="310" t="s">
        <v>201</v>
      </c>
      <c r="GLX17" s="310" t="s">
        <v>201</v>
      </c>
      <c r="GLY17" s="310" t="s">
        <v>201</v>
      </c>
      <c r="GLZ17" s="310" t="s">
        <v>201</v>
      </c>
      <c r="GMA17" s="310" t="s">
        <v>201</v>
      </c>
      <c r="GMB17" s="310" t="s">
        <v>201</v>
      </c>
      <c r="GMC17" s="310" t="s">
        <v>201</v>
      </c>
      <c r="GMD17" s="310" t="s">
        <v>201</v>
      </c>
      <c r="GME17" s="310" t="s">
        <v>201</v>
      </c>
      <c r="GMF17" s="310" t="s">
        <v>201</v>
      </c>
      <c r="GMG17" s="310" t="s">
        <v>201</v>
      </c>
      <c r="GMH17" s="310" t="s">
        <v>201</v>
      </c>
      <c r="GMI17" s="310" t="s">
        <v>201</v>
      </c>
      <c r="GMJ17" s="310" t="s">
        <v>201</v>
      </c>
      <c r="GMK17" s="310" t="s">
        <v>201</v>
      </c>
      <c r="GML17" s="310" t="s">
        <v>201</v>
      </c>
      <c r="GMM17" s="310" t="s">
        <v>201</v>
      </c>
      <c r="GMN17" s="310" t="s">
        <v>201</v>
      </c>
      <c r="GMO17" s="310" t="s">
        <v>201</v>
      </c>
      <c r="GMP17" s="310" t="s">
        <v>201</v>
      </c>
      <c r="GMQ17" s="310" t="s">
        <v>201</v>
      </c>
      <c r="GMR17" s="310" t="s">
        <v>201</v>
      </c>
      <c r="GMS17" s="310" t="s">
        <v>201</v>
      </c>
      <c r="GMT17" s="310" t="s">
        <v>201</v>
      </c>
      <c r="GMU17" s="310" t="s">
        <v>201</v>
      </c>
      <c r="GMV17" s="310" t="s">
        <v>201</v>
      </c>
      <c r="GMW17" s="310" t="s">
        <v>201</v>
      </c>
      <c r="GMX17" s="310" t="s">
        <v>201</v>
      </c>
      <c r="GMY17" s="310" t="s">
        <v>201</v>
      </c>
      <c r="GMZ17" s="310" t="s">
        <v>201</v>
      </c>
      <c r="GNA17" s="310" t="s">
        <v>201</v>
      </c>
      <c r="GNB17" s="310" t="s">
        <v>201</v>
      </c>
      <c r="GNC17" s="310" t="s">
        <v>201</v>
      </c>
      <c r="GND17" s="310" t="s">
        <v>201</v>
      </c>
      <c r="GNE17" s="310" t="s">
        <v>201</v>
      </c>
      <c r="GNF17" s="310" t="s">
        <v>201</v>
      </c>
      <c r="GNG17" s="310" t="s">
        <v>201</v>
      </c>
      <c r="GNH17" s="310" t="s">
        <v>201</v>
      </c>
      <c r="GNI17" s="310" t="s">
        <v>201</v>
      </c>
      <c r="GNJ17" s="310" t="s">
        <v>201</v>
      </c>
      <c r="GNK17" s="310" t="s">
        <v>201</v>
      </c>
      <c r="GNL17" s="310" t="s">
        <v>201</v>
      </c>
      <c r="GNM17" s="310" t="s">
        <v>201</v>
      </c>
      <c r="GNN17" s="310" t="s">
        <v>201</v>
      </c>
      <c r="GNO17" s="310" t="s">
        <v>201</v>
      </c>
      <c r="GNP17" s="310" t="s">
        <v>201</v>
      </c>
      <c r="GNQ17" s="310" t="s">
        <v>201</v>
      </c>
      <c r="GNR17" s="310" t="s">
        <v>201</v>
      </c>
      <c r="GNS17" s="310" t="s">
        <v>201</v>
      </c>
      <c r="GNT17" s="310" t="s">
        <v>201</v>
      </c>
      <c r="GNU17" s="310" t="s">
        <v>201</v>
      </c>
      <c r="GNV17" s="310" t="s">
        <v>201</v>
      </c>
      <c r="GNW17" s="310" t="s">
        <v>201</v>
      </c>
      <c r="GNX17" s="310" t="s">
        <v>201</v>
      </c>
      <c r="GNY17" s="310" t="s">
        <v>201</v>
      </c>
      <c r="GNZ17" s="310" t="s">
        <v>201</v>
      </c>
      <c r="GOA17" s="310" t="s">
        <v>201</v>
      </c>
      <c r="GOB17" s="310" t="s">
        <v>201</v>
      </c>
      <c r="GOC17" s="310" t="s">
        <v>201</v>
      </c>
      <c r="GOD17" s="310" t="s">
        <v>201</v>
      </c>
      <c r="GOE17" s="310" t="s">
        <v>201</v>
      </c>
      <c r="GOF17" s="310" t="s">
        <v>201</v>
      </c>
      <c r="GOG17" s="310" t="s">
        <v>201</v>
      </c>
      <c r="GOH17" s="310" t="s">
        <v>201</v>
      </c>
      <c r="GOI17" s="310" t="s">
        <v>201</v>
      </c>
      <c r="GOJ17" s="310" t="s">
        <v>201</v>
      </c>
      <c r="GOK17" s="310" t="s">
        <v>201</v>
      </c>
      <c r="GOL17" s="310" t="s">
        <v>201</v>
      </c>
      <c r="GOM17" s="310" t="s">
        <v>201</v>
      </c>
      <c r="GON17" s="310" t="s">
        <v>201</v>
      </c>
      <c r="GOO17" s="310" t="s">
        <v>201</v>
      </c>
      <c r="GOP17" s="310" t="s">
        <v>201</v>
      </c>
      <c r="GOQ17" s="310" t="s">
        <v>201</v>
      </c>
      <c r="GOR17" s="310" t="s">
        <v>201</v>
      </c>
      <c r="GOS17" s="310" t="s">
        <v>201</v>
      </c>
      <c r="GOT17" s="310" t="s">
        <v>201</v>
      </c>
      <c r="GOU17" s="310" t="s">
        <v>201</v>
      </c>
      <c r="GOV17" s="310" t="s">
        <v>201</v>
      </c>
      <c r="GOW17" s="310" t="s">
        <v>201</v>
      </c>
      <c r="GOX17" s="310" t="s">
        <v>201</v>
      </c>
      <c r="GOY17" s="310" t="s">
        <v>201</v>
      </c>
      <c r="GOZ17" s="310" t="s">
        <v>201</v>
      </c>
      <c r="GPA17" s="310" t="s">
        <v>201</v>
      </c>
      <c r="GPB17" s="310" t="s">
        <v>201</v>
      </c>
      <c r="GPC17" s="310" t="s">
        <v>201</v>
      </c>
      <c r="GPD17" s="310" t="s">
        <v>201</v>
      </c>
      <c r="GPE17" s="310" t="s">
        <v>201</v>
      </c>
      <c r="GPF17" s="310" t="s">
        <v>201</v>
      </c>
      <c r="GPG17" s="310" t="s">
        <v>201</v>
      </c>
      <c r="GPH17" s="310" t="s">
        <v>201</v>
      </c>
      <c r="GPI17" s="310" t="s">
        <v>201</v>
      </c>
      <c r="GPJ17" s="310" t="s">
        <v>201</v>
      </c>
      <c r="GPK17" s="310" t="s">
        <v>201</v>
      </c>
      <c r="GPL17" s="310" t="s">
        <v>201</v>
      </c>
      <c r="GPM17" s="310" t="s">
        <v>201</v>
      </c>
      <c r="GPN17" s="310" t="s">
        <v>201</v>
      </c>
      <c r="GPO17" s="310" t="s">
        <v>201</v>
      </c>
      <c r="GPP17" s="310" t="s">
        <v>201</v>
      </c>
      <c r="GPQ17" s="310" t="s">
        <v>201</v>
      </c>
      <c r="GPR17" s="310" t="s">
        <v>201</v>
      </c>
      <c r="GPS17" s="310" t="s">
        <v>201</v>
      </c>
      <c r="GPT17" s="310" t="s">
        <v>201</v>
      </c>
      <c r="GPU17" s="310" t="s">
        <v>201</v>
      </c>
      <c r="GPV17" s="310" t="s">
        <v>201</v>
      </c>
      <c r="GPW17" s="310" t="s">
        <v>201</v>
      </c>
      <c r="GPX17" s="310" t="s">
        <v>201</v>
      </c>
      <c r="GPY17" s="310" t="s">
        <v>201</v>
      </c>
      <c r="GPZ17" s="310" t="s">
        <v>201</v>
      </c>
      <c r="GQA17" s="310" t="s">
        <v>201</v>
      </c>
      <c r="GQB17" s="310" t="s">
        <v>201</v>
      </c>
      <c r="GQC17" s="310" t="s">
        <v>201</v>
      </c>
      <c r="GQD17" s="310" t="s">
        <v>201</v>
      </c>
      <c r="GQE17" s="310" t="s">
        <v>201</v>
      </c>
      <c r="GQF17" s="310" t="s">
        <v>201</v>
      </c>
      <c r="GQG17" s="310" t="s">
        <v>201</v>
      </c>
      <c r="GQH17" s="310" t="s">
        <v>201</v>
      </c>
      <c r="GQI17" s="310" t="s">
        <v>201</v>
      </c>
      <c r="GQJ17" s="310" t="s">
        <v>201</v>
      </c>
      <c r="GQK17" s="310" t="s">
        <v>201</v>
      </c>
      <c r="GQL17" s="310" t="s">
        <v>201</v>
      </c>
      <c r="GQM17" s="310" t="s">
        <v>201</v>
      </c>
      <c r="GQN17" s="310" t="s">
        <v>201</v>
      </c>
      <c r="GQO17" s="310" t="s">
        <v>201</v>
      </c>
      <c r="GQP17" s="310" t="s">
        <v>201</v>
      </c>
      <c r="GQQ17" s="310" t="s">
        <v>201</v>
      </c>
      <c r="GQR17" s="310" t="s">
        <v>201</v>
      </c>
      <c r="GQS17" s="310" t="s">
        <v>201</v>
      </c>
      <c r="GQT17" s="310" t="s">
        <v>201</v>
      </c>
      <c r="GQU17" s="310" t="s">
        <v>201</v>
      </c>
      <c r="GQV17" s="310" t="s">
        <v>201</v>
      </c>
      <c r="GQW17" s="310" t="s">
        <v>201</v>
      </c>
      <c r="GQX17" s="310" t="s">
        <v>201</v>
      </c>
      <c r="GQY17" s="310" t="s">
        <v>201</v>
      </c>
      <c r="GQZ17" s="310" t="s">
        <v>201</v>
      </c>
      <c r="GRA17" s="310" t="s">
        <v>201</v>
      </c>
      <c r="GRB17" s="310" t="s">
        <v>201</v>
      </c>
      <c r="GRC17" s="310" t="s">
        <v>201</v>
      </c>
      <c r="GRD17" s="310" t="s">
        <v>201</v>
      </c>
      <c r="GRE17" s="310" t="s">
        <v>201</v>
      </c>
      <c r="GRF17" s="310" t="s">
        <v>201</v>
      </c>
      <c r="GRG17" s="310" t="s">
        <v>201</v>
      </c>
      <c r="GRH17" s="310" t="s">
        <v>201</v>
      </c>
      <c r="GRI17" s="310" t="s">
        <v>201</v>
      </c>
      <c r="GRJ17" s="310" t="s">
        <v>201</v>
      </c>
      <c r="GRK17" s="310" t="s">
        <v>201</v>
      </c>
      <c r="GRL17" s="310" t="s">
        <v>201</v>
      </c>
      <c r="GRM17" s="310" t="s">
        <v>201</v>
      </c>
      <c r="GRN17" s="310" t="s">
        <v>201</v>
      </c>
      <c r="GRO17" s="310" t="s">
        <v>201</v>
      </c>
      <c r="GRP17" s="310" t="s">
        <v>201</v>
      </c>
      <c r="GRQ17" s="310" t="s">
        <v>201</v>
      </c>
      <c r="GRR17" s="310" t="s">
        <v>201</v>
      </c>
      <c r="GRS17" s="310" t="s">
        <v>201</v>
      </c>
      <c r="GRT17" s="310" t="s">
        <v>201</v>
      </c>
      <c r="GRU17" s="310" t="s">
        <v>201</v>
      </c>
      <c r="GRV17" s="310" t="s">
        <v>201</v>
      </c>
      <c r="GRW17" s="310" t="s">
        <v>201</v>
      </c>
      <c r="GRX17" s="310" t="s">
        <v>201</v>
      </c>
      <c r="GRY17" s="310" t="s">
        <v>201</v>
      </c>
      <c r="GRZ17" s="310" t="s">
        <v>201</v>
      </c>
      <c r="GSA17" s="310" t="s">
        <v>201</v>
      </c>
      <c r="GSB17" s="310" t="s">
        <v>201</v>
      </c>
      <c r="GSC17" s="310" t="s">
        <v>201</v>
      </c>
      <c r="GSD17" s="310" t="s">
        <v>201</v>
      </c>
      <c r="GSE17" s="310" t="s">
        <v>201</v>
      </c>
      <c r="GSF17" s="310" t="s">
        <v>201</v>
      </c>
      <c r="GSG17" s="310" t="s">
        <v>201</v>
      </c>
      <c r="GSH17" s="310" t="s">
        <v>201</v>
      </c>
      <c r="GSI17" s="310" t="s">
        <v>201</v>
      </c>
      <c r="GSJ17" s="310" t="s">
        <v>201</v>
      </c>
      <c r="GSK17" s="310" t="s">
        <v>201</v>
      </c>
      <c r="GSL17" s="310" t="s">
        <v>201</v>
      </c>
      <c r="GSM17" s="310" t="s">
        <v>201</v>
      </c>
      <c r="GSN17" s="310" t="s">
        <v>201</v>
      </c>
      <c r="GSO17" s="310" t="s">
        <v>201</v>
      </c>
      <c r="GSP17" s="310" t="s">
        <v>201</v>
      </c>
      <c r="GSQ17" s="310" t="s">
        <v>201</v>
      </c>
      <c r="GSR17" s="310" t="s">
        <v>201</v>
      </c>
      <c r="GSS17" s="310" t="s">
        <v>201</v>
      </c>
      <c r="GST17" s="310" t="s">
        <v>201</v>
      </c>
      <c r="GSU17" s="310" t="s">
        <v>201</v>
      </c>
      <c r="GSV17" s="310" t="s">
        <v>201</v>
      </c>
      <c r="GSW17" s="310" t="s">
        <v>201</v>
      </c>
      <c r="GSX17" s="310" t="s">
        <v>201</v>
      </c>
      <c r="GSY17" s="310" t="s">
        <v>201</v>
      </c>
      <c r="GSZ17" s="310" t="s">
        <v>201</v>
      </c>
      <c r="GTA17" s="310" t="s">
        <v>201</v>
      </c>
      <c r="GTB17" s="310" t="s">
        <v>201</v>
      </c>
      <c r="GTC17" s="310" t="s">
        <v>201</v>
      </c>
      <c r="GTD17" s="310" t="s">
        <v>201</v>
      </c>
      <c r="GTE17" s="310" t="s">
        <v>201</v>
      </c>
      <c r="GTF17" s="310" t="s">
        <v>201</v>
      </c>
      <c r="GTG17" s="310" t="s">
        <v>201</v>
      </c>
      <c r="GTH17" s="310" t="s">
        <v>201</v>
      </c>
      <c r="GTI17" s="310" t="s">
        <v>201</v>
      </c>
      <c r="GTJ17" s="310" t="s">
        <v>201</v>
      </c>
      <c r="GTK17" s="310" t="s">
        <v>201</v>
      </c>
      <c r="GTL17" s="310" t="s">
        <v>201</v>
      </c>
      <c r="GTM17" s="310" t="s">
        <v>201</v>
      </c>
      <c r="GTN17" s="310" t="s">
        <v>201</v>
      </c>
      <c r="GTO17" s="310" t="s">
        <v>201</v>
      </c>
      <c r="GTP17" s="310" t="s">
        <v>201</v>
      </c>
      <c r="GTQ17" s="310" t="s">
        <v>201</v>
      </c>
      <c r="GTR17" s="310" t="s">
        <v>201</v>
      </c>
      <c r="GTS17" s="310" t="s">
        <v>201</v>
      </c>
      <c r="GTT17" s="310" t="s">
        <v>201</v>
      </c>
      <c r="GTU17" s="310" t="s">
        <v>201</v>
      </c>
      <c r="GTV17" s="310" t="s">
        <v>201</v>
      </c>
      <c r="GTW17" s="310" t="s">
        <v>201</v>
      </c>
      <c r="GTX17" s="310" t="s">
        <v>201</v>
      </c>
      <c r="GTY17" s="310" t="s">
        <v>201</v>
      </c>
      <c r="GTZ17" s="310" t="s">
        <v>201</v>
      </c>
      <c r="GUA17" s="310" t="s">
        <v>201</v>
      </c>
      <c r="GUB17" s="310" t="s">
        <v>201</v>
      </c>
      <c r="GUC17" s="310" t="s">
        <v>201</v>
      </c>
      <c r="GUD17" s="310" t="s">
        <v>201</v>
      </c>
      <c r="GUE17" s="310" t="s">
        <v>201</v>
      </c>
      <c r="GUF17" s="310" t="s">
        <v>201</v>
      </c>
      <c r="GUG17" s="310" t="s">
        <v>201</v>
      </c>
      <c r="GUH17" s="310" t="s">
        <v>201</v>
      </c>
      <c r="GUI17" s="310" t="s">
        <v>201</v>
      </c>
      <c r="GUJ17" s="310" t="s">
        <v>201</v>
      </c>
      <c r="GUK17" s="310" t="s">
        <v>201</v>
      </c>
      <c r="GUL17" s="310" t="s">
        <v>201</v>
      </c>
      <c r="GUM17" s="310" t="s">
        <v>201</v>
      </c>
      <c r="GUN17" s="310" t="s">
        <v>201</v>
      </c>
      <c r="GUO17" s="310" t="s">
        <v>201</v>
      </c>
      <c r="GUP17" s="310" t="s">
        <v>201</v>
      </c>
      <c r="GUQ17" s="310" t="s">
        <v>201</v>
      </c>
      <c r="GUR17" s="310" t="s">
        <v>201</v>
      </c>
      <c r="GUS17" s="310" t="s">
        <v>201</v>
      </c>
      <c r="GUT17" s="310" t="s">
        <v>201</v>
      </c>
      <c r="GUU17" s="310" t="s">
        <v>201</v>
      </c>
      <c r="GUV17" s="310" t="s">
        <v>201</v>
      </c>
      <c r="GUW17" s="310" t="s">
        <v>201</v>
      </c>
      <c r="GUX17" s="310" t="s">
        <v>201</v>
      </c>
      <c r="GUY17" s="310" t="s">
        <v>201</v>
      </c>
      <c r="GUZ17" s="310" t="s">
        <v>201</v>
      </c>
      <c r="GVA17" s="310" t="s">
        <v>201</v>
      </c>
      <c r="GVB17" s="310" t="s">
        <v>201</v>
      </c>
      <c r="GVC17" s="310" t="s">
        <v>201</v>
      </c>
      <c r="GVD17" s="310" t="s">
        <v>201</v>
      </c>
      <c r="GVE17" s="310" t="s">
        <v>201</v>
      </c>
      <c r="GVF17" s="310" t="s">
        <v>201</v>
      </c>
      <c r="GVG17" s="310" t="s">
        <v>201</v>
      </c>
      <c r="GVH17" s="310" t="s">
        <v>201</v>
      </c>
      <c r="GVI17" s="310" t="s">
        <v>201</v>
      </c>
      <c r="GVJ17" s="310" t="s">
        <v>201</v>
      </c>
      <c r="GVK17" s="310" t="s">
        <v>201</v>
      </c>
      <c r="GVL17" s="310" t="s">
        <v>201</v>
      </c>
      <c r="GVM17" s="310" t="s">
        <v>201</v>
      </c>
      <c r="GVN17" s="310" t="s">
        <v>201</v>
      </c>
      <c r="GVO17" s="310" t="s">
        <v>201</v>
      </c>
      <c r="GVP17" s="310" t="s">
        <v>201</v>
      </c>
      <c r="GVQ17" s="310" t="s">
        <v>201</v>
      </c>
      <c r="GVR17" s="310" t="s">
        <v>201</v>
      </c>
      <c r="GVS17" s="310" t="s">
        <v>201</v>
      </c>
      <c r="GVT17" s="310" t="s">
        <v>201</v>
      </c>
      <c r="GVU17" s="310" t="s">
        <v>201</v>
      </c>
      <c r="GVV17" s="310" t="s">
        <v>201</v>
      </c>
      <c r="GVW17" s="310" t="s">
        <v>201</v>
      </c>
      <c r="GVX17" s="310" t="s">
        <v>201</v>
      </c>
      <c r="GVY17" s="310" t="s">
        <v>201</v>
      </c>
      <c r="GVZ17" s="310" t="s">
        <v>201</v>
      </c>
      <c r="GWA17" s="310" t="s">
        <v>201</v>
      </c>
      <c r="GWB17" s="310" t="s">
        <v>201</v>
      </c>
      <c r="GWC17" s="310" t="s">
        <v>201</v>
      </c>
      <c r="GWD17" s="310" t="s">
        <v>201</v>
      </c>
      <c r="GWE17" s="310" t="s">
        <v>201</v>
      </c>
      <c r="GWF17" s="310" t="s">
        <v>201</v>
      </c>
      <c r="GWG17" s="310" t="s">
        <v>201</v>
      </c>
      <c r="GWH17" s="310" t="s">
        <v>201</v>
      </c>
      <c r="GWI17" s="310" t="s">
        <v>201</v>
      </c>
      <c r="GWJ17" s="310" t="s">
        <v>201</v>
      </c>
      <c r="GWK17" s="310" t="s">
        <v>201</v>
      </c>
      <c r="GWL17" s="310" t="s">
        <v>201</v>
      </c>
      <c r="GWM17" s="310" t="s">
        <v>201</v>
      </c>
      <c r="GWN17" s="310" t="s">
        <v>201</v>
      </c>
      <c r="GWO17" s="310" t="s">
        <v>201</v>
      </c>
      <c r="GWP17" s="310" t="s">
        <v>201</v>
      </c>
      <c r="GWQ17" s="310" t="s">
        <v>201</v>
      </c>
      <c r="GWR17" s="310" t="s">
        <v>201</v>
      </c>
      <c r="GWS17" s="310" t="s">
        <v>201</v>
      </c>
      <c r="GWT17" s="310" t="s">
        <v>201</v>
      </c>
      <c r="GWU17" s="310" t="s">
        <v>201</v>
      </c>
      <c r="GWV17" s="310" t="s">
        <v>201</v>
      </c>
      <c r="GWW17" s="310" t="s">
        <v>201</v>
      </c>
      <c r="GWX17" s="310" t="s">
        <v>201</v>
      </c>
      <c r="GWY17" s="310" t="s">
        <v>201</v>
      </c>
      <c r="GWZ17" s="310" t="s">
        <v>201</v>
      </c>
      <c r="GXA17" s="310" t="s">
        <v>201</v>
      </c>
      <c r="GXB17" s="310" t="s">
        <v>201</v>
      </c>
      <c r="GXC17" s="310" t="s">
        <v>201</v>
      </c>
      <c r="GXD17" s="310" t="s">
        <v>201</v>
      </c>
      <c r="GXE17" s="310" t="s">
        <v>201</v>
      </c>
      <c r="GXF17" s="310" t="s">
        <v>201</v>
      </c>
      <c r="GXG17" s="310" t="s">
        <v>201</v>
      </c>
      <c r="GXH17" s="310" t="s">
        <v>201</v>
      </c>
      <c r="GXI17" s="310" t="s">
        <v>201</v>
      </c>
      <c r="GXJ17" s="310" t="s">
        <v>201</v>
      </c>
      <c r="GXK17" s="310" t="s">
        <v>201</v>
      </c>
      <c r="GXL17" s="310" t="s">
        <v>201</v>
      </c>
      <c r="GXM17" s="310" t="s">
        <v>201</v>
      </c>
      <c r="GXN17" s="310" t="s">
        <v>201</v>
      </c>
      <c r="GXO17" s="310" t="s">
        <v>201</v>
      </c>
      <c r="GXP17" s="310" t="s">
        <v>201</v>
      </c>
      <c r="GXQ17" s="310" t="s">
        <v>201</v>
      </c>
      <c r="GXR17" s="310" t="s">
        <v>201</v>
      </c>
      <c r="GXS17" s="310" t="s">
        <v>201</v>
      </c>
      <c r="GXT17" s="310" t="s">
        <v>201</v>
      </c>
      <c r="GXU17" s="310" t="s">
        <v>201</v>
      </c>
      <c r="GXV17" s="310" t="s">
        <v>201</v>
      </c>
      <c r="GXW17" s="310" t="s">
        <v>201</v>
      </c>
      <c r="GXX17" s="310" t="s">
        <v>201</v>
      </c>
      <c r="GXY17" s="310" t="s">
        <v>201</v>
      </c>
      <c r="GXZ17" s="310" t="s">
        <v>201</v>
      </c>
      <c r="GYA17" s="310" t="s">
        <v>201</v>
      </c>
      <c r="GYB17" s="310" t="s">
        <v>201</v>
      </c>
      <c r="GYC17" s="310" t="s">
        <v>201</v>
      </c>
      <c r="GYD17" s="310" t="s">
        <v>201</v>
      </c>
      <c r="GYE17" s="310" t="s">
        <v>201</v>
      </c>
      <c r="GYF17" s="310" t="s">
        <v>201</v>
      </c>
      <c r="GYG17" s="310" t="s">
        <v>201</v>
      </c>
      <c r="GYH17" s="310" t="s">
        <v>201</v>
      </c>
      <c r="GYI17" s="310" t="s">
        <v>201</v>
      </c>
      <c r="GYJ17" s="310" t="s">
        <v>201</v>
      </c>
      <c r="GYK17" s="310" t="s">
        <v>201</v>
      </c>
      <c r="GYL17" s="310" t="s">
        <v>201</v>
      </c>
      <c r="GYM17" s="310" t="s">
        <v>201</v>
      </c>
      <c r="GYN17" s="310" t="s">
        <v>201</v>
      </c>
      <c r="GYO17" s="310" t="s">
        <v>201</v>
      </c>
      <c r="GYP17" s="310" t="s">
        <v>201</v>
      </c>
      <c r="GYQ17" s="310" t="s">
        <v>201</v>
      </c>
      <c r="GYR17" s="310" t="s">
        <v>201</v>
      </c>
      <c r="GYS17" s="310" t="s">
        <v>201</v>
      </c>
      <c r="GYT17" s="310" t="s">
        <v>201</v>
      </c>
      <c r="GYU17" s="310" t="s">
        <v>201</v>
      </c>
      <c r="GYV17" s="310" t="s">
        <v>201</v>
      </c>
      <c r="GYW17" s="310" t="s">
        <v>201</v>
      </c>
      <c r="GYX17" s="310" t="s">
        <v>201</v>
      </c>
      <c r="GYY17" s="310" t="s">
        <v>201</v>
      </c>
      <c r="GYZ17" s="310" t="s">
        <v>201</v>
      </c>
      <c r="GZA17" s="310" t="s">
        <v>201</v>
      </c>
      <c r="GZB17" s="310" t="s">
        <v>201</v>
      </c>
      <c r="GZC17" s="310" t="s">
        <v>201</v>
      </c>
      <c r="GZD17" s="310" t="s">
        <v>201</v>
      </c>
      <c r="GZE17" s="310" t="s">
        <v>201</v>
      </c>
      <c r="GZF17" s="310" t="s">
        <v>201</v>
      </c>
      <c r="GZG17" s="310" t="s">
        <v>201</v>
      </c>
      <c r="GZH17" s="310" t="s">
        <v>201</v>
      </c>
      <c r="GZI17" s="310" t="s">
        <v>201</v>
      </c>
      <c r="GZJ17" s="310" t="s">
        <v>201</v>
      </c>
      <c r="GZK17" s="310" t="s">
        <v>201</v>
      </c>
      <c r="GZL17" s="310" t="s">
        <v>201</v>
      </c>
      <c r="GZM17" s="310" t="s">
        <v>201</v>
      </c>
      <c r="GZN17" s="310" t="s">
        <v>201</v>
      </c>
      <c r="GZO17" s="310" t="s">
        <v>201</v>
      </c>
      <c r="GZP17" s="310" t="s">
        <v>201</v>
      </c>
      <c r="GZQ17" s="310" t="s">
        <v>201</v>
      </c>
      <c r="GZR17" s="310" t="s">
        <v>201</v>
      </c>
      <c r="GZS17" s="310" t="s">
        <v>201</v>
      </c>
      <c r="GZT17" s="310" t="s">
        <v>201</v>
      </c>
      <c r="GZU17" s="310" t="s">
        <v>201</v>
      </c>
      <c r="GZV17" s="310" t="s">
        <v>201</v>
      </c>
      <c r="GZW17" s="310" t="s">
        <v>201</v>
      </c>
      <c r="GZX17" s="310" t="s">
        <v>201</v>
      </c>
      <c r="GZY17" s="310" t="s">
        <v>201</v>
      </c>
      <c r="GZZ17" s="310" t="s">
        <v>201</v>
      </c>
      <c r="HAA17" s="310" t="s">
        <v>201</v>
      </c>
      <c r="HAB17" s="310" t="s">
        <v>201</v>
      </c>
      <c r="HAC17" s="310" t="s">
        <v>201</v>
      </c>
      <c r="HAD17" s="310" t="s">
        <v>201</v>
      </c>
      <c r="HAE17" s="310" t="s">
        <v>201</v>
      </c>
      <c r="HAF17" s="310" t="s">
        <v>201</v>
      </c>
      <c r="HAG17" s="310" t="s">
        <v>201</v>
      </c>
      <c r="HAH17" s="310" t="s">
        <v>201</v>
      </c>
      <c r="HAI17" s="310" t="s">
        <v>201</v>
      </c>
      <c r="HAJ17" s="310" t="s">
        <v>201</v>
      </c>
      <c r="HAK17" s="310" t="s">
        <v>201</v>
      </c>
      <c r="HAL17" s="310" t="s">
        <v>201</v>
      </c>
      <c r="HAM17" s="310" t="s">
        <v>201</v>
      </c>
      <c r="HAN17" s="310" t="s">
        <v>201</v>
      </c>
      <c r="HAO17" s="310" t="s">
        <v>201</v>
      </c>
      <c r="HAP17" s="310" t="s">
        <v>201</v>
      </c>
      <c r="HAQ17" s="310" t="s">
        <v>201</v>
      </c>
      <c r="HAR17" s="310" t="s">
        <v>201</v>
      </c>
      <c r="HAS17" s="310" t="s">
        <v>201</v>
      </c>
      <c r="HAT17" s="310" t="s">
        <v>201</v>
      </c>
      <c r="HAU17" s="310" t="s">
        <v>201</v>
      </c>
      <c r="HAV17" s="310" t="s">
        <v>201</v>
      </c>
      <c r="HAW17" s="310" t="s">
        <v>201</v>
      </c>
      <c r="HAX17" s="310" t="s">
        <v>201</v>
      </c>
      <c r="HAY17" s="310" t="s">
        <v>201</v>
      </c>
      <c r="HAZ17" s="310" t="s">
        <v>201</v>
      </c>
      <c r="HBA17" s="310" t="s">
        <v>201</v>
      </c>
      <c r="HBB17" s="310" t="s">
        <v>201</v>
      </c>
      <c r="HBC17" s="310" t="s">
        <v>201</v>
      </c>
      <c r="HBD17" s="310" t="s">
        <v>201</v>
      </c>
      <c r="HBE17" s="310" t="s">
        <v>201</v>
      </c>
      <c r="HBF17" s="310" t="s">
        <v>201</v>
      </c>
      <c r="HBG17" s="310" t="s">
        <v>201</v>
      </c>
      <c r="HBH17" s="310" t="s">
        <v>201</v>
      </c>
      <c r="HBI17" s="310" t="s">
        <v>201</v>
      </c>
      <c r="HBJ17" s="310" t="s">
        <v>201</v>
      </c>
      <c r="HBK17" s="310" t="s">
        <v>201</v>
      </c>
      <c r="HBL17" s="310" t="s">
        <v>201</v>
      </c>
      <c r="HBM17" s="310" t="s">
        <v>201</v>
      </c>
      <c r="HBN17" s="310" t="s">
        <v>201</v>
      </c>
      <c r="HBO17" s="310" t="s">
        <v>201</v>
      </c>
      <c r="HBP17" s="310" t="s">
        <v>201</v>
      </c>
      <c r="HBQ17" s="310" t="s">
        <v>201</v>
      </c>
      <c r="HBR17" s="310" t="s">
        <v>201</v>
      </c>
      <c r="HBS17" s="310" t="s">
        <v>201</v>
      </c>
      <c r="HBT17" s="310" t="s">
        <v>201</v>
      </c>
      <c r="HBU17" s="310" t="s">
        <v>201</v>
      </c>
      <c r="HBV17" s="310" t="s">
        <v>201</v>
      </c>
      <c r="HBW17" s="310" t="s">
        <v>201</v>
      </c>
      <c r="HBX17" s="310" t="s">
        <v>201</v>
      </c>
      <c r="HBY17" s="310" t="s">
        <v>201</v>
      </c>
      <c r="HBZ17" s="310" t="s">
        <v>201</v>
      </c>
      <c r="HCA17" s="310" t="s">
        <v>201</v>
      </c>
      <c r="HCB17" s="310" t="s">
        <v>201</v>
      </c>
      <c r="HCC17" s="310" t="s">
        <v>201</v>
      </c>
      <c r="HCD17" s="310" t="s">
        <v>201</v>
      </c>
      <c r="HCE17" s="310" t="s">
        <v>201</v>
      </c>
      <c r="HCF17" s="310" t="s">
        <v>201</v>
      </c>
      <c r="HCG17" s="310" t="s">
        <v>201</v>
      </c>
      <c r="HCH17" s="310" t="s">
        <v>201</v>
      </c>
      <c r="HCI17" s="310" t="s">
        <v>201</v>
      </c>
      <c r="HCJ17" s="310" t="s">
        <v>201</v>
      </c>
      <c r="HCK17" s="310" t="s">
        <v>201</v>
      </c>
      <c r="HCL17" s="310" t="s">
        <v>201</v>
      </c>
      <c r="HCM17" s="310" t="s">
        <v>201</v>
      </c>
      <c r="HCN17" s="310" t="s">
        <v>201</v>
      </c>
      <c r="HCO17" s="310" t="s">
        <v>201</v>
      </c>
      <c r="HCP17" s="310" t="s">
        <v>201</v>
      </c>
      <c r="HCQ17" s="310" t="s">
        <v>201</v>
      </c>
      <c r="HCR17" s="310" t="s">
        <v>201</v>
      </c>
      <c r="HCS17" s="310" t="s">
        <v>201</v>
      </c>
      <c r="HCT17" s="310" t="s">
        <v>201</v>
      </c>
      <c r="HCU17" s="310" t="s">
        <v>201</v>
      </c>
      <c r="HCV17" s="310" t="s">
        <v>201</v>
      </c>
      <c r="HCW17" s="310" t="s">
        <v>201</v>
      </c>
      <c r="HCX17" s="310" t="s">
        <v>201</v>
      </c>
      <c r="HCY17" s="310" t="s">
        <v>201</v>
      </c>
      <c r="HCZ17" s="310" t="s">
        <v>201</v>
      </c>
      <c r="HDA17" s="310" t="s">
        <v>201</v>
      </c>
      <c r="HDB17" s="310" t="s">
        <v>201</v>
      </c>
      <c r="HDC17" s="310" t="s">
        <v>201</v>
      </c>
      <c r="HDD17" s="310" t="s">
        <v>201</v>
      </c>
      <c r="HDE17" s="310" t="s">
        <v>201</v>
      </c>
      <c r="HDF17" s="310" t="s">
        <v>201</v>
      </c>
      <c r="HDG17" s="310" t="s">
        <v>201</v>
      </c>
      <c r="HDH17" s="310" t="s">
        <v>201</v>
      </c>
      <c r="HDI17" s="310" t="s">
        <v>201</v>
      </c>
      <c r="HDJ17" s="310" t="s">
        <v>201</v>
      </c>
      <c r="HDK17" s="310" t="s">
        <v>201</v>
      </c>
      <c r="HDL17" s="310" t="s">
        <v>201</v>
      </c>
      <c r="HDM17" s="310" t="s">
        <v>201</v>
      </c>
      <c r="HDN17" s="310" t="s">
        <v>201</v>
      </c>
      <c r="HDO17" s="310" t="s">
        <v>201</v>
      </c>
      <c r="HDP17" s="310" t="s">
        <v>201</v>
      </c>
      <c r="HDQ17" s="310" t="s">
        <v>201</v>
      </c>
      <c r="HDR17" s="310" t="s">
        <v>201</v>
      </c>
      <c r="HDS17" s="310" t="s">
        <v>201</v>
      </c>
      <c r="HDT17" s="310" t="s">
        <v>201</v>
      </c>
      <c r="HDU17" s="310" t="s">
        <v>201</v>
      </c>
      <c r="HDV17" s="310" t="s">
        <v>201</v>
      </c>
      <c r="HDW17" s="310" t="s">
        <v>201</v>
      </c>
      <c r="HDX17" s="310" t="s">
        <v>201</v>
      </c>
      <c r="HDY17" s="310" t="s">
        <v>201</v>
      </c>
      <c r="HDZ17" s="310" t="s">
        <v>201</v>
      </c>
      <c r="HEA17" s="310" t="s">
        <v>201</v>
      </c>
      <c r="HEB17" s="310" t="s">
        <v>201</v>
      </c>
      <c r="HEC17" s="310" t="s">
        <v>201</v>
      </c>
      <c r="HED17" s="310" t="s">
        <v>201</v>
      </c>
      <c r="HEE17" s="310" t="s">
        <v>201</v>
      </c>
      <c r="HEF17" s="310" t="s">
        <v>201</v>
      </c>
      <c r="HEG17" s="310" t="s">
        <v>201</v>
      </c>
      <c r="HEH17" s="310" t="s">
        <v>201</v>
      </c>
      <c r="HEI17" s="310" t="s">
        <v>201</v>
      </c>
      <c r="HEJ17" s="310" t="s">
        <v>201</v>
      </c>
      <c r="HEK17" s="310" t="s">
        <v>201</v>
      </c>
      <c r="HEL17" s="310" t="s">
        <v>201</v>
      </c>
      <c r="HEM17" s="310" t="s">
        <v>201</v>
      </c>
      <c r="HEN17" s="310" t="s">
        <v>201</v>
      </c>
      <c r="HEO17" s="310" t="s">
        <v>201</v>
      </c>
      <c r="HEP17" s="310" t="s">
        <v>201</v>
      </c>
      <c r="HEQ17" s="310" t="s">
        <v>201</v>
      </c>
      <c r="HER17" s="310" t="s">
        <v>201</v>
      </c>
      <c r="HES17" s="310" t="s">
        <v>201</v>
      </c>
      <c r="HET17" s="310" t="s">
        <v>201</v>
      </c>
      <c r="HEU17" s="310" t="s">
        <v>201</v>
      </c>
      <c r="HEV17" s="310" t="s">
        <v>201</v>
      </c>
      <c r="HEW17" s="310" t="s">
        <v>201</v>
      </c>
      <c r="HEX17" s="310" t="s">
        <v>201</v>
      </c>
      <c r="HEY17" s="310" t="s">
        <v>201</v>
      </c>
      <c r="HEZ17" s="310" t="s">
        <v>201</v>
      </c>
      <c r="HFA17" s="310" t="s">
        <v>201</v>
      </c>
      <c r="HFB17" s="310" t="s">
        <v>201</v>
      </c>
      <c r="HFC17" s="310" t="s">
        <v>201</v>
      </c>
      <c r="HFD17" s="310" t="s">
        <v>201</v>
      </c>
      <c r="HFE17" s="310" t="s">
        <v>201</v>
      </c>
      <c r="HFF17" s="310" t="s">
        <v>201</v>
      </c>
      <c r="HFG17" s="310" t="s">
        <v>201</v>
      </c>
      <c r="HFH17" s="310" t="s">
        <v>201</v>
      </c>
      <c r="HFI17" s="310" t="s">
        <v>201</v>
      </c>
      <c r="HFJ17" s="310" t="s">
        <v>201</v>
      </c>
      <c r="HFK17" s="310" t="s">
        <v>201</v>
      </c>
      <c r="HFL17" s="310" t="s">
        <v>201</v>
      </c>
      <c r="HFM17" s="310" t="s">
        <v>201</v>
      </c>
      <c r="HFN17" s="310" t="s">
        <v>201</v>
      </c>
      <c r="HFO17" s="310" t="s">
        <v>201</v>
      </c>
      <c r="HFP17" s="310" t="s">
        <v>201</v>
      </c>
      <c r="HFQ17" s="310" t="s">
        <v>201</v>
      </c>
      <c r="HFR17" s="310" t="s">
        <v>201</v>
      </c>
      <c r="HFS17" s="310" t="s">
        <v>201</v>
      </c>
      <c r="HFT17" s="310" t="s">
        <v>201</v>
      </c>
      <c r="HFU17" s="310" t="s">
        <v>201</v>
      </c>
      <c r="HFV17" s="310" t="s">
        <v>201</v>
      </c>
      <c r="HFW17" s="310" t="s">
        <v>201</v>
      </c>
      <c r="HFX17" s="310" t="s">
        <v>201</v>
      </c>
      <c r="HFY17" s="310" t="s">
        <v>201</v>
      </c>
      <c r="HFZ17" s="310" t="s">
        <v>201</v>
      </c>
      <c r="HGA17" s="310" t="s">
        <v>201</v>
      </c>
      <c r="HGB17" s="310" t="s">
        <v>201</v>
      </c>
      <c r="HGC17" s="310" t="s">
        <v>201</v>
      </c>
      <c r="HGD17" s="310" t="s">
        <v>201</v>
      </c>
      <c r="HGE17" s="310" t="s">
        <v>201</v>
      </c>
      <c r="HGF17" s="310" t="s">
        <v>201</v>
      </c>
      <c r="HGG17" s="310" t="s">
        <v>201</v>
      </c>
      <c r="HGH17" s="310" t="s">
        <v>201</v>
      </c>
      <c r="HGI17" s="310" t="s">
        <v>201</v>
      </c>
      <c r="HGJ17" s="310" t="s">
        <v>201</v>
      </c>
      <c r="HGK17" s="310" t="s">
        <v>201</v>
      </c>
      <c r="HGL17" s="310" t="s">
        <v>201</v>
      </c>
      <c r="HGM17" s="310" t="s">
        <v>201</v>
      </c>
      <c r="HGN17" s="310" t="s">
        <v>201</v>
      </c>
      <c r="HGO17" s="310" t="s">
        <v>201</v>
      </c>
      <c r="HGP17" s="310" t="s">
        <v>201</v>
      </c>
      <c r="HGQ17" s="310" t="s">
        <v>201</v>
      </c>
      <c r="HGR17" s="310" t="s">
        <v>201</v>
      </c>
      <c r="HGS17" s="310" t="s">
        <v>201</v>
      </c>
      <c r="HGT17" s="310" t="s">
        <v>201</v>
      </c>
      <c r="HGU17" s="310" t="s">
        <v>201</v>
      </c>
      <c r="HGV17" s="310" t="s">
        <v>201</v>
      </c>
      <c r="HGW17" s="310" t="s">
        <v>201</v>
      </c>
      <c r="HGX17" s="310" t="s">
        <v>201</v>
      </c>
      <c r="HGY17" s="310" t="s">
        <v>201</v>
      </c>
      <c r="HGZ17" s="310" t="s">
        <v>201</v>
      </c>
      <c r="HHA17" s="310" t="s">
        <v>201</v>
      </c>
      <c r="HHB17" s="310" t="s">
        <v>201</v>
      </c>
      <c r="HHC17" s="310" t="s">
        <v>201</v>
      </c>
      <c r="HHD17" s="310" t="s">
        <v>201</v>
      </c>
      <c r="HHE17" s="310" t="s">
        <v>201</v>
      </c>
      <c r="HHF17" s="310" t="s">
        <v>201</v>
      </c>
      <c r="HHG17" s="310" t="s">
        <v>201</v>
      </c>
      <c r="HHH17" s="310" t="s">
        <v>201</v>
      </c>
      <c r="HHI17" s="310" t="s">
        <v>201</v>
      </c>
      <c r="HHJ17" s="310" t="s">
        <v>201</v>
      </c>
      <c r="HHK17" s="310" t="s">
        <v>201</v>
      </c>
      <c r="HHL17" s="310" t="s">
        <v>201</v>
      </c>
      <c r="HHM17" s="310" t="s">
        <v>201</v>
      </c>
      <c r="HHN17" s="310" t="s">
        <v>201</v>
      </c>
      <c r="HHO17" s="310" t="s">
        <v>201</v>
      </c>
      <c r="HHP17" s="310" t="s">
        <v>201</v>
      </c>
      <c r="HHQ17" s="310" t="s">
        <v>201</v>
      </c>
      <c r="HHR17" s="310" t="s">
        <v>201</v>
      </c>
      <c r="HHS17" s="310" t="s">
        <v>201</v>
      </c>
      <c r="HHT17" s="310" t="s">
        <v>201</v>
      </c>
      <c r="HHU17" s="310" t="s">
        <v>201</v>
      </c>
      <c r="HHV17" s="310" t="s">
        <v>201</v>
      </c>
      <c r="HHW17" s="310" t="s">
        <v>201</v>
      </c>
      <c r="HHX17" s="310" t="s">
        <v>201</v>
      </c>
      <c r="HHY17" s="310" t="s">
        <v>201</v>
      </c>
      <c r="HHZ17" s="310" t="s">
        <v>201</v>
      </c>
      <c r="HIA17" s="310" t="s">
        <v>201</v>
      </c>
      <c r="HIB17" s="310" t="s">
        <v>201</v>
      </c>
      <c r="HIC17" s="310" t="s">
        <v>201</v>
      </c>
      <c r="HID17" s="310" t="s">
        <v>201</v>
      </c>
      <c r="HIE17" s="310" t="s">
        <v>201</v>
      </c>
      <c r="HIF17" s="310" t="s">
        <v>201</v>
      </c>
      <c r="HIG17" s="310" t="s">
        <v>201</v>
      </c>
      <c r="HIH17" s="310" t="s">
        <v>201</v>
      </c>
      <c r="HII17" s="310" t="s">
        <v>201</v>
      </c>
      <c r="HIJ17" s="310" t="s">
        <v>201</v>
      </c>
      <c r="HIK17" s="310" t="s">
        <v>201</v>
      </c>
      <c r="HIL17" s="310" t="s">
        <v>201</v>
      </c>
      <c r="HIM17" s="310" t="s">
        <v>201</v>
      </c>
      <c r="HIN17" s="310" t="s">
        <v>201</v>
      </c>
      <c r="HIO17" s="310" t="s">
        <v>201</v>
      </c>
      <c r="HIP17" s="310" t="s">
        <v>201</v>
      </c>
      <c r="HIQ17" s="310" t="s">
        <v>201</v>
      </c>
      <c r="HIR17" s="310" t="s">
        <v>201</v>
      </c>
      <c r="HIS17" s="310" t="s">
        <v>201</v>
      </c>
      <c r="HIT17" s="310" t="s">
        <v>201</v>
      </c>
      <c r="HIU17" s="310" t="s">
        <v>201</v>
      </c>
      <c r="HIV17" s="310" t="s">
        <v>201</v>
      </c>
      <c r="HIW17" s="310" t="s">
        <v>201</v>
      </c>
      <c r="HIX17" s="310" t="s">
        <v>201</v>
      </c>
      <c r="HIY17" s="310" t="s">
        <v>201</v>
      </c>
      <c r="HIZ17" s="310" t="s">
        <v>201</v>
      </c>
      <c r="HJA17" s="310" t="s">
        <v>201</v>
      </c>
      <c r="HJB17" s="310" t="s">
        <v>201</v>
      </c>
      <c r="HJC17" s="310" t="s">
        <v>201</v>
      </c>
      <c r="HJD17" s="310" t="s">
        <v>201</v>
      </c>
      <c r="HJE17" s="310" t="s">
        <v>201</v>
      </c>
      <c r="HJF17" s="310" t="s">
        <v>201</v>
      </c>
      <c r="HJG17" s="310" t="s">
        <v>201</v>
      </c>
      <c r="HJH17" s="310" t="s">
        <v>201</v>
      </c>
      <c r="HJI17" s="310" t="s">
        <v>201</v>
      </c>
      <c r="HJJ17" s="310" t="s">
        <v>201</v>
      </c>
      <c r="HJK17" s="310" t="s">
        <v>201</v>
      </c>
      <c r="HJL17" s="310" t="s">
        <v>201</v>
      </c>
      <c r="HJM17" s="310" t="s">
        <v>201</v>
      </c>
      <c r="HJN17" s="310" t="s">
        <v>201</v>
      </c>
      <c r="HJO17" s="310" t="s">
        <v>201</v>
      </c>
      <c r="HJP17" s="310" t="s">
        <v>201</v>
      </c>
      <c r="HJQ17" s="310" t="s">
        <v>201</v>
      </c>
      <c r="HJR17" s="310" t="s">
        <v>201</v>
      </c>
      <c r="HJS17" s="310" t="s">
        <v>201</v>
      </c>
      <c r="HJT17" s="310" t="s">
        <v>201</v>
      </c>
      <c r="HJU17" s="310" t="s">
        <v>201</v>
      </c>
      <c r="HJV17" s="310" t="s">
        <v>201</v>
      </c>
      <c r="HJW17" s="310" t="s">
        <v>201</v>
      </c>
      <c r="HJX17" s="310" t="s">
        <v>201</v>
      </c>
      <c r="HJY17" s="310" t="s">
        <v>201</v>
      </c>
      <c r="HJZ17" s="310" t="s">
        <v>201</v>
      </c>
      <c r="HKA17" s="310" t="s">
        <v>201</v>
      </c>
      <c r="HKB17" s="310" t="s">
        <v>201</v>
      </c>
      <c r="HKC17" s="310" t="s">
        <v>201</v>
      </c>
      <c r="HKD17" s="310" t="s">
        <v>201</v>
      </c>
      <c r="HKE17" s="310" t="s">
        <v>201</v>
      </c>
      <c r="HKF17" s="310" t="s">
        <v>201</v>
      </c>
      <c r="HKG17" s="310" t="s">
        <v>201</v>
      </c>
      <c r="HKH17" s="310" t="s">
        <v>201</v>
      </c>
      <c r="HKI17" s="310" t="s">
        <v>201</v>
      </c>
      <c r="HKJ17" s="310" t="s">
        <v>201</v>
      </c>
      <c r="HKK17" s="310" t="s">
        <v>201</v>
      </c>
      <c r="HKL17" s="310" t="s">
        <v>201</v>
      </c>
      <c r="HKM17" s="310" t="s">
        <v>201</v>
      </c>
      <c r="HKN17" s="310" t="s">
        <v>201</v>
      </c>
      <c r="HKO17" s="310" t="s">
        <v>201</v>
      </c>
      <c r="HKP17" s="310" t="s">
        <v>201</v>
      </c>
      <c r="HKQ17" s="310" t="s">
        <v>201</v>
      </c>
      <c r="HKR17" s="310" t="s">
        <v>201</v>
      </c>
      <c r="HKS17" s="310" t="s">
        <v>201</v>
      </c>
      <c r="HKT17" s="310" t="s">
        <v>201</v>
      </c>
      <c r="HKU17" s="310" t="s">
        <v>201</v>
      </c>
      <c r="HKV17" s="310" t="s">
        <v>201</v>
      </c>
      <c r="HKW17" s="310" t="s">
        <v>201</v>
      </c>
      <c r="HKX17" s="310" t="s">
        <v>201</v>
      </c>
      <c r="HKY17" s="310" t="s">
        <v>201</v>
      </c>
      <c r="HKZ17" s="310" t="s">
        <v>201</v>
      </c>
      <c r="HLA17" s="310" t="s">
        <v>201</v>
      </c>
      <c r="HLB17" s="310" t="s">
        <v>201</v>
      </c>
      <c r="HLC17" s="310" t="s">
        <v>201</v>
      </c>
      <c r="HLD17" s="310" t="s">
        <v>201</v>
      </c>
      <c r="HLE17" s="310" t="s">
        <v>201</v>
      </c>
      <c r="HLF17" s="310" t="s">
        <v>201</v>
      </c>
      <c r="HLG17" s="310" t="s">
        <v>201</v>
      </c>
      <c r="HLH17" s="310" t="s">
        <v>201</v>
      </c>
      <c r="HLI17" s="310" t="s">
        <v>201</v>
      </c>
      <c r="HLJ17" s="310" t="s">
        <v>201</v>
      </c>
      <c r="HLK17" s="310" t="s">
        <v>201</v>
      </c>
      <c r="HLL17" s="310" t="s">
        <v>201</v>
      </c>
      <c r="HLM17" s="310" t="s">
        <v>201</v>
      </c>
      <c r="HLN17" s="310" t="s">
        <v>201</v>
      </c>
      <c r="HLO17" s="310" t="s">
        <v>201</v>
      </c>
      <c r="HLP17" s="310" t="s">
        <v>201</v>
      </c>
      <c r="HLQ17" s="310" t="s">
        <v>201</v>
      </c>
      <c r="HLR17" s="310" t="s">
        <v>201</v>
      </c>
      <c r="HLS17" s="310" t="s">
        <v>201</v>
      </c>
      <c r="HLT17" s="310" t="s">
        <v>201</v>
      </c>
      <c r="HLU17" s="310" t="s">
        <v>201</v>
      </c>
      <c r="HLV17" s="310" t="s">
        <v>201</v>
      </c>
      <c r="HLW17" s="310" t="s">
        <v>201</v>
      </c>
      <c r="HLX17" s="310" t="s">
        <v>201</v>
      </c>
      <c r="HLY17" s="310" t="s">
        <v>201</v>
      </c>
      <c r="HLZ17" s="310" t="s">
        <v>201</v>
      </c>
      <c r="HMA17" s="310" t="s">
        <v>201</v>
      </c>
      <c r="HMB17" s="310" t="s">
        <v>201</v>
      </c>
      <c r="HMC17" s="310" t="s">
        <v>201</v>
      </c>
      <c r="HMD17" s="310" t="s">
        <v>201</v>
      </c>
      <c r="HME17" s="310" t="s">
        <v>201</v>
      </c>
      <c r="HMF17" s="310" t="s">
        <v>201</v>
      </c>
      <c r="HMG17" s="310" t="s">
        <v>201</v>
      </c>
      <c r="HMH17" s="310" t="s">
        <v>201</v>
      </c>
      <c r="HMI17" s="310" t="s">
        <v>201</v>
      </c>
      <c r="HMJ17" s="310" t="s">
        <v>201</v>
      </c>
      <c r="HMK17" s="310" t="s">
        <v>201</v>
      </c>
      <c r="HML17" s="310" t="s">
        <v>201</v>
      </c>
      <c r="HMM17" s="310" t="s">
        <v>201</v>
      </c>
      <c r="HMN17" s="310" t="s">
        <v>201</v>
      </c>
      <c r="HMO17" s="310" t="s">
        <v>201</v>
      </c>
      <c r="HMP17" s="310" t="s">
        <v>201</v>
      </c>
      <c r="HMQ17" s="310" t="s">
        <v>201</v>
      </c>
      <c r="HMR17" s="310" t="s">
        <v>201</v>
      </c>
      <c r="HMS17" s="310" t="s">
        <v>201</v>
      </c>
      <c r="HMT17" s="310" t="s">
        <v>201</v>
      </c>
      <c r="HMU17" s="310" t="s">
        <v>201</v>
      </c>
      <c r="HMV17" s="310" t="s">
        <v>201</v>
      </c>
      <c r="HMW17" s="310" t="s">
        <v>201</v>
      </c>
      <c r="HMX17" s="310" t="s">
        <v>201</v>
      </c>
      <c r="HMY17" s="310" t="s">
        <v>201</v>
      </c>
      <c r="HMZ17" s="310" t="s">
        <v>201</v>
      </c>
      <c r="HNA17" s="310" t="s">
        <v>201</v>
      </c>
      <c r="HNB17" s="310" t="s">
        <v>201</v>
      </c>
      <c r="HNC17" s="310" t="s">
        <v>201</v>
      </c>
      <c r="HND17" s="310" t="s">
        <v>201</v>
      </c>
      <c r="HNE17" s="310" t="s">
        <v>201</v>
      </c>
      <c r="HNF17" s="310" t="s">
        <v>201</v>
      </c>
      <c r="HNG17" s="310" t="s">
        <v>201</v>
      </c>
      <c r="HNH17" s="310" t="s">
        <v>201</v>
      </c>
      <c r="HNI17" s="310" t="s">
        <v>201</v>
      </c>
      <c r="HNJ17" s="310" t="s">
        <v>201</v>
      </c>
      <c r="HNK17" s="310" t="s">
        <v>201</v>
      </c>
      <c r="HNL17" s="310" t="s">
        <v>201</v>
      </c>
      <c r="HNM17" s="310" t="s">
        <v>201</v>
      </c>
      <c r="HNN17" s="310" t="s">
        <v>201</v>
      </c>
      <c r="HNO17" s="310" t="s">
        <v>201</v>
      </c>
      <c r="HNP17" s="310" t="s">
        <v>201</v>
      </c>
      <c r="HNQ17" s="310" t="s">
        <v>201</v>
      </c>
      <c r="HNR17" s="310" t="s">
        <v>201</v>
      </c>
      <c r="HNS17" s="310" t="s">
        <v>201</v>
      </c>
      <c r="HNT17" s="310" t="s">
        <v>201</v>
      </c>
      <c r="HNU17" s="310" t="s">
        <v>201</v>
      </c>
      <c r="HNV17" s="310" t="s">
        <v>201</v>
      </c>
      <c r="HNW17" s="310" t="s">
        <v>201</v>
      </c>
      <c r="HNX17" s="310" t="s">
        <v>201</v>
      </c>
      <c r="HNY17" s="310" t="s">
        <v>201</v>
      </c>
      <c r="HNZ17" s="310" t="s">
        <v>201</v>
      </c>
      <c r="HOA17" s="310" t="s">
        <v>201</v>
      </c>
      <c r="HOB17" s="310" t="s">
        <v>201</v>
      </c>
      <c r="HOC17" s="310" t="s">
        <v>201</v>
      </c>
      <c r="HOD17" s="310" t="s">
        <v>201</v>
      </c>
      <c r="HOE17" s="310" t="s">
        <v>201</v>
      </c>
      <c r="HOF17" s="310" t="s">
        <v>201</v>
      </c>
      <c r="HOG17" s="310" t="s">
        <v>201</v>
      </c>
      <c r="HOH17" s="310" t="s">
        <v>201</v>
      </c>
      <c r="HOI17" s="310" t="s">
        <v>201</v>
      </c>
      <c r="HOJ17" s="310" t="s">
        <v>201</v>
      </c>
      <c r="HOK17" s="310" t="s">
        <v>201</v>
      </c>
      <c r="HOL17" s="310" t="s">
        <v>201</v>
      </c>
      <c r="HOM17" s="310" t="s">
        <v>201</v>
      </c>
      <c r="HON17" s="310" t="s">
        <v>201</v>
      </c>
      <c r="HOO17" s="310" t="s">
        <v>201</v>
      </c>
      <c r="HOP17" s="310" t="s">
        <v>201</v>
      </c>
      <c r="HOQ17" s="310" t="s">
        <v>201</v>
      </c>
      <c r="HOR17" s="310" t="s">
        <v>201</v>
      </c>
      <c r="HOS17" s="310" t="s">
        <v>201</v>
      </c>
      <c r="HOT17" s="310" t="s">
        <v>201</v>
      </c>
      <c r="HOU17" s="310" t="s">
        <v>201</v>
      </c>
      <c r="HOV17" s="310" t="s">
        <v>201</v>
      </c>
      <c r="HOW17" s="310" t="s">
        <v>201</v>
      </c>
      <c r="HOX17" s="310" t="s">
        <v>201</v>
      </c>
      <c r="HOY17" s="310" t="s">
        <v>201</v>
      </c>
      <c r="HOZ17" s="310" t="s">
        <v>201</v>
      </c>
      <c r="HPA17" s="310" t="s">
        <v>201</v>
      </c>
      <c r="HPB17" s="310" t="s">
        <v>201</v>
      </c>
      <c r="HPC17" s="310" t="s">
        <v>201</v>
      </c>
      <c r="HPD17" s="310" t="s">
        <v>201</v>
      </c>
      <c r="HPE17" s="310" t="s">
        <v>201</v>
      </c>
      <c r="HPF17" s="310" t="s">
        <v>201</v>
      </c>
      <c r="HPG17" s="310" t="s">
        <v>201</v>
      </c>
      <c r="HPH17" s="310" t="s">
        <v>201</v>
      </c>
      <c r="HPI17" s="310" t="s">
        <v>201</v>
      </c>
      <c r="HPJ17" s="310" t="s">
        <v>201</v>
      </c>
      <c r="HPK17" s="310" t="s">
        <v>201</v>
      </c>
      <c r="HPL17" s="310" t="s">
        <v>201</v>
      </c>
      <c r="HPM17" s="310" t="s">
        <v>201</v>
      </c>
      <c r="HPN17" s="310" t="s">
        <v>201</v>
      </c>
      <c r="HPO17" s="310" t="s">
        <v>201</v>
      </c>
      <c r="HPP17" s="310" t="s">
        <v>201</v>
      </c>
      <c r="HPQ17" s="310" t="s">
        <v>201</v>
      </c>
      <c r="HPR17" s="310" t="s">
        <v>201</v>
      </c>
      <c r="HPS17" s="310" t="s">
        <v>201</v>
      </c>
      <c r="HPT17" s="310" t="s">
        <v>201</v>
      </c>
      <c r="HPU17" s="310" t="s">
        <v>201</v>
      </c>
      <c r="HPV17" s="310" t="s">
        <v>201</v>
      </c>
      <c r="HPW17" s="310" t="s">
        <v>201</v>
      </c>
      <c r="HPX17" s="310" t="s">
        <v>201</v>
      </c>
      <c r="HPY17" s="310" t="s">
        <v>201</v>
      </c>
      <c r="HPZ17" s="310" t="s">
        <v>201</v>
      </c>
      <c r="HQA17" s="310" t="s">
        <v>201</v>
      </c>
      <c r="HQB17" s="310" t="s">
        <v>201</v>
      </c>
      <c r="HQC17" s="310" t="s">
        <v>201</v>
      </c>
      <c r="HQD17" s="310" t="s">
        <v>201</v>
      </c>
      <c r="HQE17" s="310" t="s">
        <v>201</v>
      </c>
      <c r="HQF17" s="310" t="s">
        <v>201</v>
      </c>
      <c r="HQG17" s="310" t="s">
        <v>201</v>
      </c>
      <c r="HQH17" s="310" t="s">
        <v>201</v>
      </c>
      <c r="HQI17" s="310" t="s">
        <v>201</v>
      </c>
      <c r="HQJ17" s="310" t="s">
        <v>201</v>
      </c>
      <c r="HQK17" s="310" t="s">
        <v>201</v>
      </c>
      <c r="HQL17" s="310" t="s">
        <v>201</v>
      </c>
      <c r="HQM17" s="310" t="s">
        <v>201</v>
      </c>
      <c r="HQN17" s="310" t="s">
        <v>201</v>
      </c>
      <c r="HQO17" s="310" t="s">
        <v>201</v>
      </c>
      <c r="HQP17" s="310" t="s">
        <v>201</v>
      </c>
      <c r="HQQ17" s="310" t="s">
        <v>201</v>
      </c>
      <c r="HQR17" s="310" t="s">
        <v>201</v>
      </c>
      <c r="HQS17" s="310" t="s">
        <v>201</v>
      </c>
      <c r="HQT17" s="310" t="s">
        <v>201</v>
      </c>
      <c r="HQU17" s="310" t="s">
        <v>201</v>
      </c>
      <c r="HQV17" s="310" t="s">
        <v>201</v>
      </c>
      <c r="HQW17" s="310" t="s">
        <v>201</v>
      </c>
      <c r="HQX17" s="310" t="s">
        <v>201</v>
      </c>
      <c r="HQY17" s="310" t="s">
        <v>201</v>
      </c>
      <c r="HQZ17" s="310" t="s">
        <v>201</v>
      </c>
      <c r="HRA17" s="310" t="s">
        <v>201</v>
      </c>
      <c r="HRB17" s="310" t="s">
        <v>201</v>
      </c>
      <c r="HRC17" s="310" t="s">
        <v>201</v>
      </c>
      <c r="HRD17" s="310" t="s">
        <v>201</v>
      </c>
      <c r="HRE17" s="310" t="s">
        <v>201</v>
      </c>
      <c r="HRF17" s="310" t="s">
        <v>201</v>
      </c>
      <c r="HRG17" s="310" t="s">
        <v>201</v>
      </c>
      <c r="HRH17" s="310" t="s">
        <v>201</v>
      </c>
      <c r="HRI17" s="310" t="s">
        <v>201</v>
      </c>
      <c r="HRJ17" s="310" t="s">
        <v>201</v>
      </c>
      <c r="HRK17" s="310" t="s">
        <v>201</v>
      </c>
      <c r="HRL17" s="310" t="s">
        <v>201</v>
      </c>
      <c r="HRM17" s="310" t="s">
        <v>201</v>
      </c>
      <c r="HRN17" s="310" t="s">
        <v>201</v>
      </c>
      <c r="HRO17" s="310" t="s">
        <v>201</v>
      </c>
      <c r="HRP17" s="310" t="s">
        <v>201</v>
      </c>
      <c r="HRQ17" s="310" t="s">
        <v>201</v>
      </c>
      <c r="HRR17" s="310" t="s">
        <v>201</v>
      </c>
      <c r="HRS17" s="310" t="s">
        <v>201</v>
      </c>
      <c r="HRT17" s="310" t="s">
        <v>201</v>
      </c>
      <c r="HRU17" s="310" t="s">
        <v>201</v>
      </c>
      <c r="HRV17" s="310" t="s">
        <v>201</v>
      </c>
      <c r="HRW17" s="310" t="s">
        <v>201</v>
      </c>
      <c r="HRX17" s="310" t="s">
        <v>201</v>
      </c>
      <c r="HRY17" s="310" t="s">
        <v>201</v>
      </c>
      <c r="HRZ17" s="310" t="s">
        <v>201</v>
      </c>
      <c r="HSA17" s="310" t="s">
        <v>201</v>
      </c>
      <c r="HSB17" s="310" t="s">
        <v>201</v>
      </c>
      <c r="HSC17" s="310" t="s">
        <v>201</v>
      </c>
      <c r="HSD17" s="310" t="s">
        <v>201</v>
      </c>
      <c r="HSE17" s="310" t="s">
        <v>201</v>
      </c>
      <c r="HSF17" s="310" t="s">
        <v>201</v>
      </c>
      <c r="HSG17" s="310" t="s">
        <v>201</v>
      </c>
      <c r="HSH17" s="310" t="s">
        <v>201</v>
      </c>
      <c r="HSI17" s="310" t="s">
        <v>201</v>
      </c>
      <c r="HSJ17" s="310" t="s">
        <v>201</v>
      </c>
      <c r="HSK17" s="310" t="s">
        <v>201</v>
      </c>
      <c r="HSL17" s="310" t="s">
        <v>201</v>
      </c>
      <c r="HSM17" s="310" t="s">
        <v>201</v>
      </c>
      <c r="HSN17" s="310" t="s">
        <v>201</v>
      </c>
      <c r="HSO17" s="310" t="s">
        <v>201</v>
      </c>
      <c r="HSP17" s="310" t="s">
        <v>201</v>
      </c>
      <c r="HSQ17" s="310" t="s">
        <v>201</v>
      </c>
      <c r="HSR17" s="310" t="s">
        <v>201</v>
      </c>
      <c r="HSS17" s="310" t="s">
        <v>201</v>
      </c>
      <c r="HST17" s="310" t="s">
        <v>201</v>
      </c>
      <c r="HSU17" s="310" t="s">
        <v>201</v>
      </c>
      <c r="HSV17" s="310" t="s">
        <v>201</v>
      </c>
      <c r="HSW17" s="310" t="s">
        <v>201</v>
      </c>
      <c r="HSX17" s="310" t="s">
        <v>201</v>
      </c>
      <c r="HSY17" s="310" t="s">
        <v>201</v>
      </c>
      <c r="HSZ17" s="310" t="s">
        <v>201</v>
      </c>
      <c r="HTA17" s="310" t="s">
        <v>201</v>
      </c>
      <c r="HTB17" s="310" t="s">
        <v>201</v>
      </c>
      <c r="HTC17" s="310" t="s">
        <v>201</v>
      </c>
      <c r="HTD17" s="310" t="s">
        <v>201</v>
      </c>
      <c r="HTE17" s="310" t="s">
        <v>201</v>
      </c>
      <c r="HTF17" s="310" t="s">
        <v>201</v>
      </c>
      <c r="HTG17" s="310" t="s">
        <v>201</v>
      </c>
      <c r="HTH17" s="310" t="s">
        <v>201</v>
      </c>
      <c r="HTI17" s="310" t="s">
        <v>201</v>
      </c>
      <c r="HTJ17" s="310" t="s">
        <v>201</v>
      </c>
      <c r="HTK17" s="310" t="s">
        <v>201</v>
      </c>
      <c r="HTL17" s="310" t="s">
        <v>201</v>
      </c>
      <c r="HTM17" s="310" t="s">
        <v>201</v>
      </c>
      <c r="HTN17" s="310" t="s">
        <v>201</v>
      </c>
      <c r="HTO17" s="310" t="s">
        <v>201</v>
      </c>
      <c r="HTP17" s="310" t="s">
        <v>201</v>
      </c>
      <c r="HTQ17" s="310" t="s">
        <v>201</v>
      </c>
      <c r="HTR17" s="310" t="s">
        <v>201</v>
      </c>
      <c r="HTS17" s="310" t="s">
        <v>201</v>
      </c>
      <c r="HTT17" s="310" t="s">
        <v>201</v>
      </c>
      <c r="HTU17" s="310" t="s">
        <v>201</v>
      </c>
      <c r="HTV17" s="310" t="s">
        <v>201</v>
      </c>
      <c r="HTW17" s="310" t="s">
        <v>201</v>
      </c>
      <c r="HTX17" s="310" t="s">
        <v>201</v>
      </c>
      <c r="HTY17" s="310" t="s">
        <v>201</v>
      </c>
      <c r="HTZ17" s="310" t="s">
        <v>201</v>
      </c>
      <c r="HUA17" s="310" t="s">
        <v>201</v>
      </c>
      <c r="HUB17" s="310" t="s">
        <v>201</v>
      </c>
      <c r="HUC17" s="310" t="s">
        <v>201</v>
      </c>
      <c r="HUD17" s="310" t="s">
        <v>201</v>
      </c>
      <c r="HUE17" s="310" t="s">
        <v>201</v>
      </c>
      <c r="HUF17" s="310" t="s">
        <v>201</v>
      </c>
      <c r="HUG17" s="310" t="s">
        <v>201</v>
      </c>
      <c r="HUH17" s="310" t="s">
        <v>201</v>
      </c>
      <c r="HUI17" s="310" t="s">
        <v>201</v>
      </c>
      <c r="HUJ17" s="310" t="s">
        <v>201</v>
      </c>
      <c r="HUK17" s="310" t="s">
        <v>201</v>
      </c>
      <c r="HUL17" s="310" t="s">
        <v>201</v>
      </c>
      <c r="HUM17" s="310" t="s">
        <v>201</v>
      </c>
      <c r="HUN17" s="310" t="s">
        <v>201</v>
      </c>
      <c r="HUO17" s="310" t="s">
        <v>201</v>
      </c>
      <c r="HUP17" s="310" t="s">
        <v>201</v>
      </c>
      <c r="HUQ17" s="310" t="s">
        <v>201</v>
      </c>
      <c r="HUR17" s="310" t="s">
        <v>201</v>
      </c>
      <c r="HUS17" s="310" t="s">
        <v>201</v>
      </c>
      <c r="HUT17" s="310" t="s">
        <v>201</v>
      </c>
      <c r="HUU17" s="310" t="s">
        <v>201</v>
      </c>
      <c r="HUV17" s="310" t="s">
        <v>201</v>
      </c>
      <c r="HUW17" s="310" t="s">
        <v>201</v>
      </c>
      <c r="HUX17" s="310" t="s">
        <v>201</v>
      </c>
      <c r="HUY17" s="310" t="s">
        <v>201</v>
      </c>
      <c r="HUZ17" s="310" t="s">
        <v>201</v>
      </c>
      <c r="HVA17" s="310" t="s">
        <v>201</v>
      </c>
      <c r="HVB17" s="310" t="s">
        <v>201</v>
      </c>
      <c r="HVC17" s="310" t="s">
        <v>201</v>
      </c>
      <c r="HVD17" s="310" t="s">
        <v>201</v>
      </c>
      <c r="HVE17" s="310" t="s">
        <v>201</v>
      </c>
      <c r="HVF17" s="310" t="s">
        <v>201</v>
      </c>
      <c r="HVG17" s="310" t="s">
        <v>201</v>
      </c>
      <c r="HVH17" s="310" t="s">
        <v>201</v>
      </c>
      <c r="HVI17" s="310" t="s">
        <v>201</v>
      </c>
      <c r="HVJ17" s="310" t="s">
        <v>201</v>
      </c>
      <c r="HVK17" s="310" t="s">
        <v>201</v>
      </c>
      <c r="HVL17" s="310" t="s">
        <v>201</v>
      </c>
      <c r="HVM17" s="310" t="s">
        <v>201</v>
      </c>
      <c r="HVN17" s="310" t="s">
        <v>201</v>
      </c>
      <c r="HVO17" s="310" t="s">
        <v>201</v>
      </c>
      <c r="HVP17" s="310" t="s">
        <v>201</v>
      </c>
      <c r="HVQ17" s="310" t="s">
        <v>201</v>
      </c>
      <c r="HVR17" s="310" t="s">
        <v>201</v>
      </c>
      <c r="HVS17" s="310" t="s">
        <v>201</v>
      </c>
      <c r="HVT17" s="310" t="s">
        <v>201</v>
      </c>
      <c r="HVU17" s="310" t="s">
        <v>201</v>
      </c>
      <c r="HVV17" s="310" t="s">
        <v>201</v>
      </c>
      <c r="HVW17" s="310" t="s">
        <v>201</v>
      </c>
      <c r="HVX17" s="310" t="s">
        <v>201</v>
      </c>
      <c r="HVY17" s="310" t="s">
        <v>201</v>
      </c>
      <c r="HVZ17" s="310" t="s">
        <v>201</v>
      </c>
      <c r="HWA17" s="310" t="s">
        <v>201</v>
      </c>
      <c r="HWB17" s="310" t="s">
        <v>201</v>
      </c>
      <c r="HWC17" s="310" t="s">
        <v>201</v>
      </c>
      <c r="HWD17" s="310" t="s">
        <v>201</v>
      </c>
      <c r="HWE17" s="310" t="s">
        <v>201</v>
      </c>
      <c r="HWF17" s="310" t="s">
        <v>201</v>
      </c>
      <c r="HWG17" s="310" t="s">
        <v>201</v>
      </c>
      <c r="HWH17" s="310" t="s">
        <v>201</v>
      </c>
      <c r="HWI17" s="310" t="s">
        <v>201</v>
      </c>
      <c r="HWJ17" s="310" t="s">
        <v>201</v>
      </c>
      <c r="HWK17" s="310" t="s">
        <v>201</v>
      </c>
      <c r="HWL17" s="310" t="s">
        <v>201</v>
      </c>
      <c r="HWM17" s="310" t="s">
        <v>201</v>
      </c>
      <c r="HWN17" s="310" t="s">
        <v>201</v>
      </c>
      <c r="HWO17" s="310" t="s">
        <v>201</v>
      </c>
      <c r="HWP17" s="310" t="s">
        <v>201</v>
      </c>
      <c r="HWQ17" s="310" t="s">
        <v>201</v>
      </c>
      <c r="HWR17" s="310" t="s">
        <v>201</v>
      </c>
      <c r="HWS17" s="310" t="s">
        <v>201</v>
      </c>
      <c r="HWT17" s="310" t="s">
        <v>201</v>
      </c>
      <c r="HWU17" s="310" t="s">
        <v>201</v>
      </c>
      <c r="HWV17" s="310" t="s">
        <v>201</v>
      </c>
      <c r="HWW17" s="310" t="s">
        <v>201</v>
      </c>
      <c r="HWX17" s="310" t="s">
        <v>201</v>
      </c>
      <c r="HWY17" s="310" t="s">
        <v>201</v>
      </c>
      <c r="HWZ17" s="310" t="s">
        <v>201</v>
      </c>
      <c r="HXA17" s="310" t="s">
        <v>201</v>
      </c>
      <c r="HXB17" s="310" t="s">
        <v>201</v>
      </c>
      <c r="HXC17" s="310" t="s">
        <v>201</v>
      </c>
      <c r="HXD17" s="310" t="s">
        <v>201</v>
      </c>
      <c r="HXE17" s="310" t="s">
        <v>201</v>
      </c>
      <c r="HXF17" s="310" t="s">
        <v>201</v>
      </c>
      <c r="HXG17" s="310" t="s">
        <v>201</v>
      </c>
      <c r="HXH17" s="310" t="s">
        <v>201</v>
      </c>
      <c r="HXI17" s="310" t="s">
        <v>201</v>
      </c>
      <c r="HXJ17" s="310" t="s">
        <v>201</v>
      </c>
      <c r="HXK17" s="310" t="s">
        <v>201</v>
      </c>
      <c r="HXL17" s="310" t="s">
        <v>201</v>
      </c>
      <c r="HXM17" s="310" t="s">
        <v>201</v>
      </c>
      <c r="HXN17" s="310" t="s">
        <v>201</v>
      </c>
      <c r="HXO17" s="310" t="s">
        <v>201</v>
      </c>
      <c r="HXP17" s="310" t="s">
        <v>201</v>
      </c>
      <c r="HXQ17" s="310" t="s">
        <v>201</v>
      </c>
      <c r="HXR17" s="310" t="s">
        <v>201</v>
      </c>
      <c r="HXS17" s="310" t="s">
        <v>201</v>
      </c>
      <c r="HXT17" s="310" t="s">
        <v>201</v>
      </c>
      <c r="HXU17" s="310" t="s">
        <v>201</v>
      </c>
      <c r="HXV17" s="310" t="s">
        <v>201</v>
      </c>
      <c r="HXW17" s="310" t="s">
        <v>201</v>
      </c>
      <c r="HXX17" s="310" t="s">
        <v>201</v>
      </c>
      <c r="HXY17" s="310" t="s">
        <v>201</v>
      </c>
      <c r="HXZ17" s="310" t="s">
        <v>201</v>
      </c>
      <c r="HYA17" s="310" t="s">
        <v>201</v>
      </c>
      <c r="HYB17" s="310" t="s">
        <v>201</v>
      </c>
      <c r="HYC17" s="310" t="s">
        <v>201</v>
      </c>
      <c r="HYD17" s="310" t="s">
        <v>201</v>
      </c>
      <c r="HYE17" s="310" t="s">
        <v>201</v>
      </c>
      <c r="HYF17" s="310" t="s">
        <v>201</v>
      </c>
      <c r="HYG17" s="310" t="s">
        <v>201</v>
      </c>
      <c r="HYH17" s="310" t="s">
        <v>201</v>
      </c>
      <c r="HYI17" s="310" t="s">
        <v>201</v>
      </c>
      <c r="HYJ17" s="310" t="s">
        <v>201</v>
      </c>
      <c r="HYK17" s="310" t="s">
        <v>201</v>
      </c>
      <c r="HYL17" s="310" t="s">
        <v>201</v>
      </c>
      <c r="HYM17" s="310" t="s">
        <v>201</v>
      </c>
      <c r="HYN17" s="310" t="s">
        <v>201</v>
      </c>
      <c r="HYO17" s="310" t="s">
        <v>201</v>
      </c>
      <c r="HYP17" s="310" t="s">
        <v>201</v>
      </c>
      <c r="HYQ17" s="310" t="s">
        <v>201</v>
      </c>
      <c r="HYR17" s="310" t="s">
        <v>201</v>
      </c>
      <c r="HYS17" s="310" t="s">
        <v>201</v>
      </c>
      <c r="HYT17" s="310" t="s">
        <v>201</v>
      </c>
      <c r="HYU17" s="310" t="s">
        <v>201</v>
      </c>
      <c r="HYV17" s="310" t="s">
        <v>201</v>
      </c>
      <c r="HYW17" s="310" t="s">
        <v>201</v>
      </c>
      <c r="HYX17" s="310" t="s">
        <v>201</v>
      </c>
      <c r="HYY17" s="310" t="s">
        <v>201</v>
      </c>
      <c r="HYZ17" s="310" t="s">
        <v>201</v>
      </c>
      <c r="HZA17" s="310" t="s">
        <v>201</v>
      </c>
      <c r="HZB17" s="310" t="s">
        <v>201</v>
      </c>
      <c r="HZC17" s="310" t="s">
        <v>201</v>
      </c>
      <c r="HZD17" s="310" t="s">
        <v>201</v>
      </c>
      <c r="HZE17" s="310" t="s">
        <v>201</v>
      </c>
      <c r="HZF17" s="310" t="s">
        <v>201</v>
      </c>
      <c r="HZG17" s="310" t="s">
        <v>201</v>
      </c>
      <c r="HZH17" s="310" t="s">
        <v>201</v>
      </c>
      <c r="HZI17" s="310" t="s">
        <v>201</v>
      </c>
      <c r="HZJ17" s="310" t="s">
        <v>201</v>
      </c>
      <c r="HZK17" s="310" t="s">
        <v>201</v>
      </c>
      <c r="HZL17" s="310" t="s">
        <v>201</v>
      </c>
      <c r="HZM17" s="310" t="s">
        <v>201</v>
      </c>
      <c r="HZN17" s="310" t="s">
        <v>201</v>
      </c>
      <c r="HZO17" s="310" t="s">
        <v>201</v>
      </c>
      <c r="HZP17" s="310" t="s">
        <v>201</v>
      </c>
      <c r="HZQ17" s="310" t="s">
        <v>201</v>
      </c>
      <c r="HZR17" s="310" t="s">
        <v>201</v>
      </c>
      <c r="HZS17" s="310" t="s">
        <v>201</v>
      </c>
      <c r="HZT17" s="310" t="s">
        <v>201</v>
      </c>
      <c r="HZU17" s="310" t="s">
        <v>201</v>
      </c>
      <c r="HZV17" s="310" t="s">
        <v>201</v>
      </c>
      <c r="HZW17" s="310" t="s">
        <v>201</v>
      </c>
      <c r="HZX17" s="310" t="s">
        <v>201</v>
      </c>
      <c r="HZY17" s="310" t="s">
        <v>201</v>
      </c>
      <c r="HZZ17" s="310" t="s">
        <v>201</v>
      </c>
      <c r="IAA17" s="310" t="s">
        <v>201</v>
      </c>
      <c r="IAB17" s="310" t="s">
        <v>201</v>
      </c>
      <c r="IAC17" s="310" t="s">
        <v>201</v>
      </c>
      <c r="IAD17" s="310" t="s">
        <v>201</v>
      </c>
      <c r="IAE17" s="310" t="s">
        <v>201</v>
      </c>
      <c r="IAF17" s="310" t="s">
        <v>201</v>
      </c>
      <c r="IAG17" s="310" t="s">
        <v>201</v>
      </c>
      <c r="IAH17" s="310" t="s">
        <v>201</v>
      </c>
      <c r="IAI17" s="310" t="s">
        <v>201</v>
      </c>
      <c r="IAJ17" s="310" t="s">
        <v>201</v>
      </c>
      <c r="IAK17" s="310" t="s">
        <v>201</v>
      </c>
      <c r="IAL17" s="310" t="s">
        <v>201</v>
      </c>
      <c r="IAM17" s="310" t="s">
        <v>201</v>
      </c>
      <c r="IAN17" s="310" t="s">
        <v>201</v>
      </c>
      <c r="IAO17" s="310" t="s">
        <v>201</v>
      </c>
      <c r="IAP17" s="310" t="s">
        <v>201</v>
      </c>
      <c r="IAQ17" s="310" t="s">
        <v>201</v>
      </c>
      <c r="IAR17" s="310" t="s">
        <v>201</v>
      </c>
      <c r="IAS17" s="310" t="s">
        <v>201</v>
      </c>
      <c r="IAT17" s="310" t="s">
        <v>201</v>
      </c>
      <c r="IAU17" s="310" t="s">
        <v>201</v>
      </c>
      <c r="IAV17" s="310" t="s">
        <v>201</v>
      </c>
      <c r="IAW17" s="310" t="s">
        <v>201</v>
      </c>
      <c r="IAX17" s="310" t="s">
        <v>201</v>
      </c>
      <c r="IAY17" s="310" t="s">
        <v>201</v>
      </c>
      <c r="IAZ17" s="310" t="s">
        <v>201</v>
      </c>
      <c r="IBA17" s="310" t="s">
        <v>201</v>
      </c>
      <c r="IBB17" s="310" t="s">
        <v>201</v>
      </c>
      <c r="IBC17" s="310" t="s">
        <v>201</v>
      </c>
      <c r="IBD17" s="310" t="s">
        <v>201</v>
      </c>
      <c r="IBE17" s="310" t="s">
        <v>201</v>
      </c>
      <c r="IBF17" s="310" t="s">
        <v>201</v>
      </c>
      <c r="IBG17" s="310" t="s">
        <v>201</v>
      </c>
      <c r="IBH17" s="310" t="s">
        <v>201</v>
      </c>
      <c r="IBI17" s="310" t="s">
        <v>201</v>
      </c>
      <c r="IBJ17" s="310" t="s">
        <v>201</v>
      </c>
      <c r="IBK17" s="310" t="s">
        <v>201</v>
      </c>
      <c r="IBL17" s="310" t="s">
        <v>201</v>
      </c>
      <c r="IBM17" s="310" t="s">
        <v>201</v>
      </c>
      <c r="IBN17" s="310" t="s">
        <v>201</v>
      </c>
      <c r="IBO17" s="310" t="s">
        <v>201</v>
      </c>
      <c r="IBP17" s="310" t="s">
        <v>201</v>
      </c>
      <c r="IBQ17" s="310" t="s">
        <v>201</v>
      </c>
      <c r="IBR17" s="310" t="s">
        <v>201</v>
      </c>
      <c r="IBS17" s="310" t="s">
        <v>201</v>
      </c>
      <c r="IBT17" s="310" t="s">
        <v>201</v>
      </c>
      <c r="IBU17" s="310" t="s">
        <v>201</v>
      </c>
      <c r="IBV17" s="310" t="s">
        <v>201</v>
      </c>
      <c r="IBW17" s="310" t="s">
        <v>201</v>
      </c>
      <c r="IBX17" s="310" t="s">
        <v>201</v>
      </c>
      <c r="IBY17" s="310" t="s">
        <v>201</v>
      </c>
      <c r="IBZ17" s="310" t="s">
        <v>201</v>
      </c>
      <c r="ICA17" s="310" t="s">
        <v>201</v>
      </c>
      <c r="ICB17" s="310" t="s">
        <v>201</v>
      </c>
      <c r="ICC17" s="310" t="s">
        <v>201</v>
      </c>
      <c r="ICD17" s="310" t="s">
        <v>201</v>
      </c>
      <c r="ICE17" s="310" t="s">
        <v>201</v>
      </c>
      <c r="ICF17" s="310" t="s">
        <v>201</v>
      </c>
      <c r="ICG17" s="310" t="s">
        <v>201</v>
      </c>
      <c r="ICH17" s="310" t="s">
        <v>201</v>
      </c>
      <c r="ICI17" s="310" t="s">
        <v>201</v>
      </c>
      <c r="ICJ17" s="310" t="s">
        <v>201</v>
      </c>
      <c r="ICK17" s="310" t="s">
        <v>201</v>
      </c>
      <c r="ICL17" s="310" t="s">
        <v>201</v>
      </c>
      <c r="ICM17" s="310" t="s">
        <v>201</v>
      </c>
      <c r="ICN17" s="310" t="s">
        <v>201</v>
      </c>
      <c r="ICO17" s="310" t="s">
        <v>201</v>
      </c>
      <c r="ICP17" s="310" t="s">
        <v>201</v>
      </c>
      <c r="ICQ17" s="310" t="s">
        <v>201</v>
      </c>
      <c r="ICR17" s="310" t="s">
        <v>201</v>
      </c>
      <c r="ICS17" s="310" t="s">
        <v>201</v>
      </c>
      <c r="ICT17" s="310" t="s">
        <v>201</v>
      </c>
      <c r="ICU17" s="310" t="s">
        <v>201</v>
      </c>
      <c r="ICV17" s="310" t="s">
        <v>201</v>
      </c>
      <c r="ICW17" s="310" t="s">
        <v>201</v>
      </c>
      <c r="ICX17" s="310" t="s">
        <v>201</v>
      </c>
      <c r="ICY17" s="310" t="s">
        <v>201</v>
      </c>
      <c r="ICZ17" s="310" t="s">
        <v>201</v>
      </c>
      <c r="IDA17" s="310" t="s">
        <v>201</v>
      </c>
      <c r="IDB17" s="310" t="s">
        <v>201</v>
      </c>
      <c r="IDC17" s="310" t="s">
        <v>201</v>
      </c>
      <c r="IDD17" s="310" t="s">
        <v>201</v>
      </c>
      <c r="IDE17" s="310" t="s">
        <v>201</v>
      </c>
      <c r="IDF17" s="310" t="s">
        <v>201</v>
      </c>
      <c r="IDG17" s="310" t="s">
        <v>201</v>
      </c>
      <c r="IDH17" s="310" t="s">
        <v>201</v>
      </c>
      <c r="IDI17" s="310" t="s">
        <v>201</v>
      </c>
      <c r="IDJ17" s="310" t="s">
        <v>201</v>
      </c>
      <c r="IDK17" s="310" t="s">
        <v>201</v>
      </c>
      <c r="IDL17" s="310" t="s">
        <v>201</v>
      </c>
      <c r="IDM17" s="310" t="s">
        <v>201</v>
      </c>
      <c r="IDN17" s="310" t="s">
        <v>201</v>
      </c>
      <c r="IDO17" s="310" t="s">
        <v>201</v>
      </c>
      <c r="IDP17" s="310" t="s">
        <v>201</v>
      </c>
      <c r="IDQ17" s="310" t="s">
        <v>201</v>
      </c>
      <c r="IDR17" s="310" t="s">
        <v>201</v>
      </c>
      <c r="IDS17" s="310" t="s">
        <v>201</v>
      </c>
      <c r="IDT17" s="310" t="s">
        <v>201</v>
      </c>
      <c r="IDU17" s="310" t="s">
        <v>201</v>
      </c>
      <c r="IDV17" s="310" t="s">
        <v>201</v>
      </c>
      <c r="IDW17" s="310" t="s">
        <v>201</v>
      </c>
      <c r="IDX17" s="310" t="s">
        <v>201</v>
      </c>
      <c r="IDY17" s="310" t="s">
        <v>201</v>
      </c>
      <c r="IDZ17" s="310" t="s">
        <v>201</v>
      </c>
      <c r="IEA17" s="310" t="s">
        <v>201</v>
      </c>
      <c r="IEB17" s="310" t="s">
        <v>201</v>
      </c>
      <c r="IEC17" s="310" t="s">
        <v>201</v>
      </c>
      <c r="IED17" s="310" t="s">
        <v>201</v>
      </c>
      <c r="IEE17" s="310" t="s">
        <v>201</v>
      </c>
      <c r="IEF17" s="310" t="s">
        <v>201</v>
      </c>
      <c r="IEG17" s="310" t="s">
        <v>201</v>
      </c>
      <c r="IEH17" s="310" t="s">
        <v>201</v>
      </c>
      <c r="IEI17" s="310" t="s">
        <v>201</v>
      </c>
      <c r="IEJ17" s="310" t="s">
        <v>201</v>
      </c>
      <c r="IEK17" s="310" t="s">
        <v>201</v>
      </c>
      <c r="IEL17" s="310" t="s">
        <v>201</v>
      </c>
      <c r="IEM17" s="310" t="s">
        <v>201</v>
      </c>
      <c r="IEN17" s="310" t="s">
        <v>201</v>
      </c>
      <c r="IEO17" s="310" t="s">
        <v>201</v>
      </c>
      <c r="IEP17" s="310" t="s">
        <v>201</v>
      </c>
      <c r="IEQ17" s="310" t="s">
        <v>201</v>
      </c>
      <c r="IER17" s="310" t="s">
        <v>201</v>
      </c>
      <c r="IES17" s="310" t="s">
        <v>201</v>
      </c>
      <c r="IET17" s="310" t="s">
        <v>201</v>
      </c>
      <c r="IEU17" s="310" t="s">
        <v>201</v>
      </c>
      <c r="IEV17" s="310" t="s">
        <v>201</v>
      </c>
      <c r="IEW17" s="310" t="s">
        <v>201</v>
      </c>
      <c r="IEX17" s="310" t="s">
        <v>201</v>
      </c>
      <c r="IEY17" s="310" t="s">
        <v>201</v>
      </c>
      <c r="IEZ17" s="310" t="s">
        <v>201</v>
      </c>
      <c r="IFA17" s="310" t="s">
        <v>201</v>
      </c>
      <c r="IFB17" s="310" t="s">
        <v>201</v>
      </c>
      <c r="IFC17" s="310" t="s">
        <v>201</v>
      </c>
      <c r="IFD17" s="310" t="s">
        <v>201</v>
      </c>
      <c r="IFE17" s="310" t="s">
        <v>201</v>
      </c>
      <c r="IFF17" s="310" t="s">
        <v>201</v>
      </c>
      <c r="IFG17" s="310" t="s">
        <v>201</v>
      </c>
      <c r="IFH17" s="310" t="s">
        <v>201</v>
      </c>
      <c r="IFI17" s="310" t="s">
        <v>201</v>
      </c>
      <c r="IFJ17" s="310" t="s">
        <v>201</v>
      </c>
      <c r="IFK17" s="310" t="s">
        <v>201</v>
      </c>
      <c r="IFL17" s="310" t="s">
        <v>201</v>
      </c>
      <c r="IFM17" s="310" t="s">
        <v>201</v>
      </c>
      <c r="IFN17" s="310" t="s">
        <v>201</v>
      </c>
      <c r="IFO17" s="310" t="s">
        <v>201</v>
      </c>
      <c r="IFP17" s="310" t="s">
        <v>201</v>
      </c>
      <c r="IFQ17" s="310" t="s">
        <v>201</v>
      </c>
      <c r="IFR17" s="310" t="s">
        <v>201</v>
      </c>
      <c r="IFS17" s="310" t="s">
        <v>201</v>
      </c>
      <c r="IFT17" s="310" t="s">
        <v>201</v>
      </c>
      <c r="IFU17" s="310" t="s">
        <v>201</v>
      </c>
      <c r="IFV17" s="310" t="s">
        <v>201</v>
      </c>
      <c r="IFW17" s="310" t="s">
        <v>201</v>
      </c>
      <c r="IFX17" s="310" t="s">
        <v>201</v>
      </c>
      <c r="IFY17" s="310" t="s">
        <v>201</v>
      </c>
      <c r="IFZ17" s="310" t="s">
        <v>201</v>
      </c>
      <c r="IGA17" s="310" t="s">
        <v>201</v>
      </c>
      <c r="IGB17" s="310" t="s">
        <v>201</v>
      </c>
      <c r="IGC17" s="310" t="s">
        <v>201</v>
      </c>
      <c r="IGD17" s="310" t="s">
        <v>201</v>
      </c>
      <c r="IGE17" s="310" t="s">
        <v>201</v>
      </c>
      <c r="IGF17" s="310" t="s">
        <v>201</v>
      </c>
      <c r="IGG17" s="310" t="s">
        <v>201</v>
      </c>
      <c r="IGH17" s="310" t="s">
        <v>201</v>
      </c>
      <c r="IGI17" s="310" t="s">
        <v>201</v>
      </c>
      <c r="IGJ17" s="310" t="s">
        <v>201</v>
      </c>
      <c r="IGK17" s="310" t="s">
        <v>201</v>
      </c>
      <c r="IGL17" s="310" t="s">
        <v>201</v>
      </c>
      <c r="IGM17" s="310" t="s">
        <v>201</v>
      </c>
      <c r="IGN17" s="310" t="s">
        <v>201</v>
      </c>
      <c r="IGO17" s="310" t="s">
        <v>201</v>
      </c>
      <c r="IGP17" s="310" t="s">
        <v>201</v>
      </c>
      <c r="IGQ17" s="310" t="s">
        <v>201</v>
      </c>
      <c r="IGR17" s="310" t="s">
        <v>201</v>
      </c>
      <c r="IGS17" s="310" t="s">
        <v>201</v>
      </c>
      <c r="IGT17" s="310" t="s">
        <v>201</v>
      </c>
      <c r="IGU17" s="310" t="s">
        <v>201</v>
      </c>
      <c r="IGV17" s="310" t="s">
        <v>201</v>
      </c>
      <c r="IGW17" s="310" t="s">
        <v>201</v>
      </c>
      <c r="IGX17" s="310" t="s">
        <v>201</v>
      </c>
      <c r="IGY17" s="310" t="s">
        <v>201</v>
      </c>
      <c r="IGZ17" s="310" t="s">
        <v>201</v>
      </c>
      <c r="IHA17" s="310" t="s">
        <v>201</v>
      </c>
      <c r="IHB17" s="310" t="s">
        <v>201</v>
      </c>
      <c r="IHC17" s="310" t="s">
        <v>201</v>
      </c>
      <c r="IHD17" s="310" t="s">
        <v>201</v>
      </c>
      <c r="IHE17" s="310" t="s">
        <v>201</v>
      </c>
      <c r="IHF17" s="310" t="s">
        <v>201</v>
      </c>
      <c r="IHG17" s="310" t="s">
        <v>201</v>
      </c>
      <c r="IHH17" s="310" t="s">
        <v>201</v>
      </c>
      <c r="IHI17" s="310" t="s">
        <v>201</v>
      </c>
      <c r="IHJ17" s="310" t="s">
        <v>201</v>
      </c>
      <c r="IHK17" s="310" t="s">
        <v>201</v>
      </c>
      <c r="IHL17" s="310" t="s">
        <v>201</v>
      </c>
      <c r="IHM17" s="310" t="s">
        <v>201</v>
      </c>
      <c r="IHN17" s="310" t="s">
        <v>201</v>
      </c>
      <c r="IHO17" s="310" t="s">
        <v>201</v>
      </c>
      <c r="IHP17" s="310" t="s">
        <v>201</v>
      </c>
      <c r="IHQ17" s="310" t="s">
        <v>201</v>
      </c>
      <c r="IHR17" s="310" t="s">
        <v>201</v>
      </c>
      <c r="IHS17" s="310" t="s">
        <v>201</v>
      </c>
      <c r="IHT17" s="310" t="s">
        <v>201</v>
      </c>
      <c r="IHU17" s="310" t="s">
        <v>201</v>
      </c>
      <c r="IHV17" s="310" t="s">
        <v>201</v>
      </c>
      <c r="IHW17" s="310" t="s">
        <v>201</v>
      </c>
      <c r="IHX17" s="310" t="s">
        <v>201</v>
      </c>
      <c r="IHY17" s="310" t="s">
        <v>201</v>
      </c>
      <c r="IHZ17" s="310" t="s">
        <v>201</v>
      </c>
      <c r="IIA17" s="310" t="s">
        <v>201</v>
      </c>
      <c r="IIB17" s="310" t="s">
        <v>201</v>
      </c>
      <c r="IIC17" s="310" t="s">
        <v>201</v>
      </c>
      <c r="IID17" s="310" t="s">
        <v>201</v>
      </c>
      <c r="IIE17" s="310" t="s">
        <v>201</v>
      </c>
      <c r="IIF17" s="310" t="s">
        <v>201</v>
      </c>
      <c r="IIG17" s="310" t="s">
        <v>201</v>
      </c>
      <c r="IIH17" s="310" t="s">
        <v>201</v>
      </c>
      <c r="III17" s="310" t="s">
        <v>201</v>
      </c>
      <c r="IIJ17" s="310" t="s">
        <v>201</v>
      </c>
      <c r="IIK17" s="310" t="s">
        <v>201</v>
      </c>
      <c r="IIL17" s="310" t="s">
        <v>201</v>
      </c>
      <c r="IIM17" s="310" t="s">
        <v>201</v>
      </c>
      <c r="IIN17" s="310" t="s">
        <v>201</v>
      </c>
      <c r="IIO17" s="310" t="s">
        <v>201</v>
      </c>
      <c r="IIP17" s="310" t="s">
        <v>201</v>
      </c>
      <c r="IIQ17" s="310" t="s">
        <v>201</v>
      </c>
      <c r="IIR17" s="310" t="s">
        <v>201</v>
      </c>
      <c r="IIS17" s="310" t="s">
        <v>201</v>
      </c>
      <c r="IIT17" s="310" t="s">
        <v>201</v>
      </c>
      <c r="IIU17" s="310" t="s">
        <v>201</v>
      </c>
      <c r="IIV17" s="310" t="s">
        <v>201</v>
      </c>
      <c r="IIW17" s="310" t="s">
        <v>201</v>
      </c>
      <c r="IIX17" s="310" t="s">
        <v>201</v>
      </c>
      <c r="IIY17" s="310" t="s">
        <v>201</v>
      </c>
      <c r="IIZ17" s="310" t="s">
        <v>201</v>
      </c>
      <c r="IJA17" s="310" t="s">
        <v>201</v>
      </c>
      <c r="IJB17" s="310" t="s">
        <v>201</v>
      </c>
      <c r="IJC17" s="310" t="s">
        <v>201</v>
      </c>
      <c r="IJD17" s="310" t="s">
        <v>201</v>
      </c>
      <c r="IJE17" s="310" t="s">
        <v>201</v>
      </c>
      <c r="IJF17" s="310" t="s">
        <v>201</v>
      </c>
      <c r="IJG17" s="310" t="s">
        <v>201</v>
      </c>
      <c r="IJH17" s="310" t="s">
        <v>201</v>
      </c>
      <c r="IJI17" s="310" t="s">
        <v>201</v>
      </c>
      <c r="IJJ17" s="310" t="s">
        <v>201</v>
      </c>
      <c r="IJK17" s="310" t="s">
        <v>201</v>
      </c>
      <c r="IJL17" s="310" t="s">
        <v>201</v>
      </c>
      <c r="IJM17" s="310" t="s">
        <v>201</v>
      </c>
      <c r="IJN17" s="310" t="s">
        <v>201</v>
      </c>
      <c r="IJO17" s="310" t="s">
        <v>201</v>
      </c>
      <c r="IJP17" s="310" t="s">
        <v>201</v>
      </c>
      <c r="IJQ17" s="310" t="s">
        <v>201</v>
      </c>
      <c r="IJR17" s="310" t="s">
        <v>201</v>
      </c>
      <c r="IJS17" s="310" t="s">
        <v>201</v>
      </c>
      <c r="IJT17" s="310" t="s">
        <v>201</v>
      </c>
      <c r="IJU17" s="310" t="s">
        <v>201</v>
      </c>
      <c r="IJV17" s="310" t="s">
        <v>201</v>
      </c>
      <c r="IJW17" s="310" t="s">
        <v>201</v>
      </c>
      <c r="IJX17" s="310" t="s">
        <v>201</v>
      </c>
      <c r="IJY17" s="310" t="s">
        <v>201</v>
      </c>
      <c r="IJZ17" s="310" t="s">
        <v>201</v>
      </c>
      <c r="IKA17" s="310" t="s">
        <v>201</v>
      </c>
      <c r="IKB17" s="310" t="s">
        <v>201</v>
      </c>
      <c r="IKC17" s="310" t="s">
        <v>201</v>
      </c>
      <c r="IKD17" s="310" t="s">
        <v>201</v>
      </c>
      <c r="IKE17" s="310" t="s">
        <v>201</v>
      </c>
      <c r="IKF17" s="310" t="s">
        <v>201</v>
      </c>
      <c r="IKG17" s="310" t="s">
        <v>201</v>
      </c>
      <c r="IKH17" s="310" t="s">
        <v>201</v>
      </c>
      <c r="IKI17" s="310" t="s">
        <v>201</v>
      </c>
      <c r="IKJ17" s="310" t="s">
        <v>201</v>
      </c>
      <c r="IKK17" s="310" t="s">
        <v>201</v>
      </c>
      <c r="IKL17" s="310" t="s">
        <v>201</v>
      </c>
      <c r="IKM17" s="310" t="s">
        <v>201</v>
      </c>
      <c r="IKN17" s="310" t="s">
        <v>201</v>
      </c>
      <c r="IKO17" s="310" t="s">
        <v>201</v>
      </c>
      <c r="IKP17" s="310" t="s">
        <v>201</v>
      </c>
      <c r="IKQ17" s="310" t="s">
        <v>201</v>
      </c>
      <c r="IKR17" s="310" t="s">
        <v>201</v>
      </c>
      <c r="IKS17" s="310" t="s">
        <v>201</v>
      </c>
      <c r="IKT17" s="310" t="s">
        <v>201</v>
      </c>
      <c r="IKU17" s="310" t="s">
        <v>201</v>
      </c>
      <c r="IKV17" s="310" t="s">
        <v>201</v>
      </c>
      <c r="IKW17" s="310" t="s">
        <v>201</v>
      </c>
      <c r="IKX17" s="310" t="s">
        <v>201</v>
      </c>
      <c r="IKY17" s="310" t="s">
        <v>201</v>
      </c>
      <c r="IKZ17" s="310" t="s">
        <v>201</v>
      </c>
      <c r="ILA17" s="310" t="s">
        <v>201</v>
      </c>
      <c r="ILB17" s="310" t="s">
        <v>201</v>
      </c>
      <c r="ILC17" s="310" t="s">
        <v>201</v>
      </c>
      <c r="ILD17" s="310" t="s">
        <v>201</v>
      </c>
      <c r="ILE17" s="310" t="s">
        <v>201</v>
      </c>
      <c r="ILF17" s="310" t="s">
        <v>201</v>
      </c>
      <c r="ILG17" s="310" t="s">
        <v>201</v>
      </c>
      <c r="ILH17" s="310" t="s">
        <v>201</v>
      </c>
      <c r="ILI17" s="310" t="s">
        <v>201</v>
      </c>
      <c r="ILJ17" s="310" t="s">
        <v>201</v>
      </c>
      <c r="ILK17" s="310" t="s">
        <v>201</v>
      </c>
      <c r="ILL17" s="310" t="s">
        <v>201</v>
      </c>
      <c r="ILM17" s="310" t="s">
        <v>201</v>
      </c>
      <c r="ILN17" s="310" t="s">
        <v>201</v>
      </c>
      <c r="ILO17" s="310" t="s">
        <v>201</v>
      </c>
      <c r="ILP17" s="310" t="s">
        <v>201</v>
      </c>
      <c r="ILQ17" s="310" t="s">
        <v>201</v>
      </c>
      <c r="ILR17" s="310" t="s">
        <v>201</v>
      </c>
      <c r="ILS17" s="310" t="s">
        <v>201</v>
      </c>
      <c r="ILT17" s="310" t="s">
        <v>201</v>
      </c>
      <c r="ILU17" s="310" t="s">
        <v>201</v>
      </c>
      <c r="ILV17" s="310" t="s">
        <v>201</v>
      </c>
      <c r="ILW17" s="310" t="s">
        <v>201</v>
      </c>
      <c r="ILX17" s="310" t="s">
        <v>201</v>
      </c>
      <c r="ILY17" s="310" t="s">
        <v>201</v>
      </c>
      <c r="ILZ17" s="310" t="s">
        <v>201</v>
      </c>
      <c r="IMA17" s="310" t="s">
        <v>201</v>
      </c>
      <c r="IMB17" s="310" t="s">
        <v>201</v>
      </c>
      <c r="IMC17" s="310" t="s">
        <v>201</v>
      </c>
      <c r="IMD17" s="310" t="s">
        <v>201</v>
      </c>
      <c r="IME17" s="310" t="s">
        <v>201</v>
      </c>
      <c r="IMF17" s="310" t="s">
        <v>201</v>
      </c>
      <c r="IMG17" s="310" t="s">
        <v>201</v>
      </c>
      <c r="IMH17" s="310" t="s">
        <v>201</v>
      </c>
      <c r="IMI17" s="310" t="s">
        <v>201</v>
      </c>
      <c r="IMJ17" s="310" t="s">
        <v>201</v>
      </c>
      <c r="IMK17" s="310" t="s">
        <v>201</v>
      </c>
      <c r="IML17" s="310" t="s">
        <v>201</v>
      </c>
      <c r="IMM17" s="310" t="s">
        <v>201</v>
      </c>
      <c r="IMN17" s="310" t="s">
        <v>201</v>
      </c>
      <c r="IMO17" s="310" t="s">
        <v>201</v>
      </c>
      <c r="IMP17" s="310" t="s">
        <v>201</v>
      </c>
      <c r="IMQ17" s="310" t="s">
        <v>201</v>
      </c>
      <c r="IMR17" s="310" t="s">
        <v>201</v>
      </c>
      <c r="IMS17" s="310" t="s">
        <v>201</v>
      </c>
      <c r="IMT17" s="310" t="s">
        <v>201</v>
      </c>
      <c r="IMU17" s="310" t="s">
        <v>201</v>
      </c>
      <c r="IMV17" s="310" t="s">
        <v>201</v>
      </c>
      <c r="IMW17" s="310" t="s">
        <v>201</v>
      </c>
      <c r="IMX17" s="310" t="s">
        <v>201</v>
      </c>
      <c r="IMY17" s="310" t="s">
        <v>201</v>
      </c>
      <c r="IMZ17" s="310" t="s">
        <v>201</v>
      </c>
      <c r="INA17" s="310" t="s">
        <v>201</v>
      </c>
      <c r="INB17" s="310" t="s">
        <v>201</v>
      </c>
      <c r="INC17" s="310" t="s">
        <v>201</v>
      </c>
      <c r="IND17" s="310" t="s">
        <v>201</v>
      </c>
      <c r="INE17" s="310" t="s">
        <v>201</v>
      </c>
      <c r="INF17" s="310" t="s">
        <v>201</v>
      </c>
      <c r="ING17" s="310" t="s">
        <v>201</v>
      </c>
      <c r="INH17" s="310" t="s">
        <v>201</v>
      </c>
      <c r="INI17" s="310" t="s">
        <v>201</v>
      </c>
      <c r="INJ17" s="310" t="s">
        <v>201</v>
      </c>
      <c r="INK17" s="310" t="s">
        <v>201</v>
      </c>
      <c r="INL17" s="310" t="s">
        <v>201</v>
      </c>
      <c r="INM17" s="310" t="s">
        <v>201</v>
      </c>
      <c r="INN17" s="310" t="s">
        <v>201</v>
      </c>
      <c r="INO17" s="310" t="s">
        <v>201</v>
      </c>
      <c r="INP17" s="310" t="s">
        <v>201</v>
      </c>
      <c r="INQ17" s="310" t="s">
        <v>201</v>
      </c>
      <c r="INR17" s="310" t="s">
        <v>201</v>
      </c>
      <c r="INS17" s="310" t="s">
        <v>201</v>
      </c>
      <c r="INT17" s="310" t="s">
        <v>201</v>
      </c>
      <c r="INU17" s="310" t="s">
        <v>201</v>
      </c>
      <c r="INV17" s="310" t="s">
        <v>201</v>
      </c>
      <c r="INW17" s="310" t="s">
        <v>201</v>
      </c>
      <c r="INX17" s="310" t="s">
        <v>201</v>
      </c>
      <c r="INY17" s="310" t="s">
        <v>201</v>
      </c>
      <c r="INZ17" s="310" t="s">
        <v>201</v>
      </c>
      <c r="IOA17" s="310" t="s">
        <v>201</v>
      </c>
      <c r="IOB17" s="310" t="s">
        <v>201</v>
      </c>
      <c r="IOC17" s="310" t="s">
        <v>201</v>
      </c>
      <c r="IOD17" s="310" t="s">
        <v>201</v>
      </c>
      <c r="IOE17" s="310" t="s">
        <v>201</v>
      </c>
      <c r="IOF17" s="310" t="s">
        <v>201</v>
      </c>
      <c r="IOG17" s="310" t="s">
        <v>201</v>
      </c>
      <c r="IOH17" s="310" t="s">
        <v>201</v>
      </c>
      <c r="IOI17" s="310" t="s">
        <v>201</v>
      </c>
      <c r="IOJ17" s="310" t="s">
        <v>201</v>
      </c>
      <c r="IOK17" s="310" t="s">
        <v>201</v>
      </c>
      <c r="IOL17" s="310" t="s">
        <v>201</v>
      </c>
      <c r="IOM17" s="310" t="s">
        <v>201</v>
      </c>
      <c r="ION17" s="310" t="s">
        <v>201</v>
      </c>
      <c r="IOO17" s="310" t="s">
        <v>201</v>
      </c>
      <c r="IOP17" s="310" t="s">
        <v>201</v>
      </c>
      <c r="IOQ17" s="310" t="s">
        <v>201</v>
      </c>
      <c r="IOR17" s="310" t="s">
        <v>201</v>
      </c>
      <c r="IOS17" s="310" t="s">
        <v>201</v>
      </c>
      <c r="IOT17" s="310" t="s">
        <v>201</v>
      </c>
      <c r="IOU17" s="310" t="s">
        <v>201</v>
      </c>
      <c r="IOV17" s="310" t="s">
        <v>201</v>
      </c>
      <c r="IOW17" s="310" t="s">
        <v>201</v>
      </c>
      <c r="IOX17" s="310" t="s">
        <v>201</v>
      </c>
      <c r="IOY17" s="310" t="s">
        <v>201</v>
      </c>
      <c r="IOZ17" s="310" t="s">
        <v>201</v>
      </c>
      <c r="IPA17" s="310" t="s">
        <v>201</v>
      </c>
      <c r="IPB17" s="310" t="s">
        <v>201</v>
      </c>
      <c r="IPC17" s="310" t="s">
        <v>201</v>
      </c>
      <c r="IPD17" s="310" t="s">
        <v>201</v>
      </c>
      <c r="IPE17" s="310" t="s">
        <v>201</v>
      </c>
      <c r="IPF17" s="310" t="s">
        <v>201</v>
      </c>
      <c r="IPG17" s="310" t="s">
        <v>201</v>
      </c>
      <c r="IPH17" s="310" t="s">
        <v>201</v>
      </c>
      <c r="IPI17" s="310" t="s">
        <v>201</v>
      </c>
      <c r="IPJ17" s="310" t="s">
        <v>201</v>
      </c>
      <c r="IPK17" s="310" t="s">
        <v>201</v>
      </c>
      <c r="IPL17" s="310" t="s">
        <v>201</v>
      </c>
      <c r="IPM17" s="310" t="s">
        <v>201</v>
      </c>
      <c r="IPN17" s="310" t="s">
        <v>201</v>
      </c>
      <c r="IPO17" s="310" t="s">
        <v>201</v>
      </c>
      <c r="IPP17" s="310" t="s">
        <v>201</v>
      </c>
      <c r="IPQ17" s="310" t="s">
        <v>201</v>
      </c>
      <c r="IPR17" s="310" t="s">
        <v>201</v>
      </c>
      <c r="IPS17" s="310" t="s">
        <v>201</v>
      </c>
      <c r="IPT17" s="310" t="s">
        <v>201</v>
      </c>
      <c r="IPU17" s="310" t="s">
        <v>201</v>
      </c>
      <c r="IPV17" s="310" t="s">
        <v>201</v>
      </c>
      <c r="IPW17" s="310" t="s">
        <v>201</v>
      </c>
      <c r="IPX17" s="310" t="s">
        <v>201</v>
      </c>
      <c r="IPY17" s="310" t="s">
        <v>201</v>
      </c>
      <c r="IPZ17" s="310" t="s">
        <v>201</v>
      </c>
      <c r="IQA17" s="310" t="s">
        <v>201</v>
      </c>
      <c r="IQB17" s="310" t="s">
        <v>201</v>
      </c>
      <c r="IQC17" s="310" t="s">
        <v>201</v>
      </c>
      <c r="IQD17" s="310" t="s">
        <v>201</v>
      </c>
      <c r="IQE17" s="310" t="s">
        <v>201</v>
      </c>
      <c r="IQF17" s="310" t="s">
        <v>201</v>
      </c>
      <c r="IQG17" s="310" t="s">
        <v>201</v>
      </c>
      <c r="IQH17" s="310" t="s">
        <v>201</v>
      </c>
      <c r="IQI17" s="310" t="s">
        <v>201</v>
      </c>
      <c r="IQJ17" s="310" t="s">
        <v>201</v>
      </c>
      <c r="IQK17" s="310" t="s">
        <v>201</v>
      </c>
      <c r="IQL17" s="310" t="s">
        <v>201</v>
      </c>
      <c r="IQM17" s="310" t="s">
        <v>201</v>
      </c>
      <c r="IQN17" s="310" t="s">
        <v>201</v>
      </c>
      <c r="IQO17" s="310" t="s">
        <v>201</v>
      </c>
      <c r="IQP17" s="310" t="s">
        <v>201</v>
      </c>
      <c r="IQQ17" s="310" t="s">
        <v>201</v>
      </c>
      <c r="IQR17" s="310" t="s">
        <v>201</v>
      </c>
      <c r="IQS17" s="310" t="s">
        <v>201</v>
      </c>
      <c r="IQT17" s="310" t="s">
        <v>201</v>
      </c>
      <c r="IQU17" s="310" t="s">
        <v>201</v>
      </c>
      <c r="IQV17" s="310" t="s">
        <v>201</v>
      </c>
      <c r="IQW17" s="310" t="s">
        <v>201</v>
      </c>
      <c r="IQX17" s="310" t="s">
        <v>201</v>
      </c>
      <c r="IQY17" s="310" t="s">
        <v>201</v>
      </c>
      <c r="IQZ17" s="310" t="s">
        <v>201</v>
      </c>
      <c r="IRA17" s="310" t="s">
        <v>201</v>
      </c>
      <c r="IRB17" s="310" t="s">
        <v>201</v>
      </c>
      <c r="IRC17" s="310" t="s">
        <v>201</v>
      </c>
      <c r="IRD17" s="310" t="s">
        <v>201</v>
      </c>
      <c r="IRE17" s="310" t="s">
        <v>201</v>
      </c>
      <c r="IRF17" s="310" t="s">
        <v>201</v>
      </c>
      <c r="IRG17" s="310" t="s">
        <v>201</v>
      </c>
      <c r="IRH17" s="310" t="s">
        <v>201</v>
      </c>
      <c r="IRI17" s="310" t="s">
        <v>201</v>
      </c>
      <c r="IRJ17" s="310" t="s">
        <v>201</v>
      </c>
      <c r="IRK17" s="310" t="s">
        <v>201</v>
      </c>
      <c r="IRL17" s="310" t="s">
        <v>201</v>
      </c>
      <c r="IRM17" s="310" t="s">
        <v>201</v>
      </c>
      <c r="IRN17" s="310" t="s">
        <v>201</v>
      </c>
      <c r="IRO17" s="310" t="s">
        <v>201</v>
      </c>
      <c r="IRP17" s="310" t="s">
        <v>201</v>
      </c>
      <c r="IRQ17" s="310" t="s">
        <v>201</v>
      </c>
      <c r="IRR17" s="310" t="s">
        <v>201</v>
      </c>
      <c r="IRS17" s="310" t="s">
        <v>201</v>
      </c>
      <c r="IRT17" s="310" t="s">
        <v>201</v>
      </c>
      <c r="IRU17" s="310" t="s">
        <v>201</v>
      </c>
      <c r="IRV17" s="310" t="s">
        <v>201</v>
      </c>
      <c r="IRW17" s="310" t="s">
        <v>201</v>
      </c>
      <c r="IRX17" s="310" t="s">
        <v>201</v>
      </c>
      <c r="IRY17" s="310" t="s">
        <v>201</v>
      </c>
      <c r="IRZ17" s="310" t="s">
        <v>201</v>
      </c>
      <c r="ISA17" s="310" t="s">
        <v>201</v>
      </c>
      <c r="ISB17" s="310" t="s">
        <v>201</v>
      </c>
      <c r="ISC17" s="310" t="s">
        <v>201</v>
      </c>
      <c r="ISD17" s="310" t="s">
        <v>201</v>
      </c>
      <c r="ISE17" s="310" t="s">
        <v>201</v>
      </c>
      <c r="ISF17" s="310" t="s">
        <v>201</v>
      </c>
      <c r="ISG17" s="310" t="s">
        <v>201</v>
      </c>
      <c r="ISH17" s="310" t="s">
        <v>201</v>
      </c>
      <c r="ISI17" s="310" t="s">
        <v>201</v>
      </c>
      <c r="ISJ17" s="310" t="s">
        <v>201</v>
      </c>
      <c r="ISK17" s="310" t="s">
        <v>201</v>
      </c>
      <c r="ISL17" s="310" t="s">
        <v>201</v>
      </c>
      <c r="ISM17" s="310" t="s">
        <v>201</v>
      </c>
      <c r="ISN17" s="310" t="s">
        <v>201</v>
      </c>
      <c r="ISO17" s="310" t="s">
        <v>201</v>
      </c>
      <c r="ISP17" s="310" t="s">
        <v>201</v>
      </c>
      <c r="ISQ17" s="310" t="s">
        <v>201</v>
      </c>
      <c r="ISR17" s="310" t="s">
        <v>201</v>
      </c>
      <c r="ISS17" s="310" t="s">
        <v>201</v>
      </c>
      <c r="IST17" s="310" t="s">
        <v>201</v>
      </c>
      <c r="ISU17" s="310" t="s">
        <v>201</v>
      </c>
      <c r="ISV17" s="310" t="s">
        <v>201</v>
      </c>
      <c r="ISW17" s="310" t="s">
        <v>201</v>
      </c>
      <c r="ISX17" s="310" t="s">
        <v>201</v>
      </c>
      <c r="ISY17" s="310" t="s">
        <v>201</v>
      </c>
      <c r="ISZ17" s="310" t="s">
        <v>201</v>
      </c>
      <c r="ITA17" s="310" t="s">
        <v>201</v>
      </c>
      <c r="ITB17" s="310" t="s">
        <v>201</v>
      </c>
      <c r="ITC17" s="310" t="s">
        <v>201</v>
      </c>
      <c r="ITD17" s="310" t="s">
        <v>201</v>
      </c>
      <c r="ITE17" s="310" t="s">
        <v>201</v>
      </c>
      <c r="ITF17" s="310" t="s">
        <v>201</v>
      </c>
      <c r="ITG17" s="310" t="s">
        <v>201</v>
      </c>
      <c r="ITH17" s="310" t="s">
        <v>201</v>
      </c>
      <c r="ITI17" s="310" t="s">
        <v>201</v>
      </c>
      <c r="ITJ17" s="310" t="s">
        <v>201</v>
      </c>
      <c r="ITK17" s="310" t="s">
        <v>201</v>
      </c>
      <c r="ITL17" s="310" t="s">
        <v>201</v>
      </c>
      <c r="ITM17" s="310" t="s">
        <v>201</v>
      </c>
      <c r="ITN17" s="310" t="s">
        <v>201</v>
      </c>
      <c r="ITO17" s="310" t="s">
        <v>201</v>
      </c>
      <c r="ITP17" s="310" t="s">
        <v>201</v>
      </c>
      <c r="ITQ17" s="310" t="s">
        <v>201</v>
      </c>
      <c r="ITR17" s="310" t="s">
        <v>201</v>
      </c>
      <c r="ITS17" s="310" t="s">
        <v>201</v>
      </c>
      <c r="ITT17" s="310" t="s">
        <v>201</v>
      </c>
      <c r="ITU17" s="310" t="s">
        <v>201</v>
      </c>
      <c r="ITV17" s="310" t="s">
        <v>201</v>
      </c>
      <c r="ITW17" s="310" t="s">
        <v>201</v>
      </c>
      <c r="ITX17" s="310" t="s">
        <v>201</v>
      </c>
      <c r="ITY17" s="310" t="s">
        <v>201</v>
      </c>
      <c r="ITZ17" s="310" t="s">
        <v>201</v>
      </c>
      <c r="IUA17" s="310" t="s">
        <v>201</v>
      </c>
      <c r="IUB17" s="310" t="s">
        <v>201</v>
      </c>
      <c r="IUC17" s="310" t="s">
        <v>201</v>
      </c>
      <c r="IUD17" s="310" t="s">
        <v>201</v>
      </c>
      <c r="IUE17" s="310" t="s">
        <v>201</v>
      </c>
      <c r="IUF17" s="310" t="s">
        <v>201</v>
      </c>
      <c r="IUG17" s="310" t="s">
        <v>201</v>
      </c>
      <c r="IUH17" s="310" t="s">
        <v>201</v>
      </c>
      <c r="IUI17" s="310" t="s">
        <v>201</v>
      </c>
      <c r="IUJ17" s="310" t="s">
        <v>201</v>
      </c>
      <c r="IUK17" s="310" t="s">
        <v>201</v>
      </c>
      <c r="IUL17" s="310" t="s">
        <v>201</v>
      </c>
      <c r="IUM17" s="310" t="s">
        <v>201</v>
      </c>
      <c r="IUN17" s="310" t="s">
        <v>201</v>
      </c>
      <c r="IUO17" s="310" t="s">
        <v>201</v>
      </c>
      <c r="IUP17" s="310" t="s">
        <v>201</v>
      </c>
      <c r="IUQ17" s="310" t="s">
        <v>201</v>
      </c>
      <c r="IUR17" s="310" t="s">
        <v>201</v>
      </c>
      <c r="IUS17" s="310" t="s">
        <v>201</v>
      </c>
      <c r="IUT17" s="310" t="s">
        <v>201</v>
      </c>
      <c r="IUU17" s="310" t="s">
        <v>201</v>
      </c>
      <c r="IUV17" s="310" t="s">
        <v>201</v>
      </c>
      <c r="IUW17" s="310" t="s">
        <v>201</v>
      </c>
      <c r="IUX17" s="310" t="s">
        <v>201</v>
      </c>
      <c r="IUY17" s="310" t="s">
        <v>201</v>
      </c>
      <c r="IUZ17" s="310" t="s">
        <v>201</v>
      </c>
      <c r="IVA17" s="310" t="s">
        <v>201</v>
      </c>
      <c r="IVB17" s="310" t="s">
        <v>201</v>
      </c>
      <c r="IVC17" s="310" t="s">
        <v>201</v>
      </c>
      <c r="IVD17" s="310" t="s">
        <v>201</v>
      </c>
      <c r="IVE17" s="310" t="s">
        <v>201</v>
      </c>
      <c r="IVF17" s="310" t="s">
        <v>201</v>
      </c>
      <c r="IVG17" s="310" t="s">
        <v>201</v>
      </c>
      <c r="IVH17" s="310" t="s">
        <v>201</v>
      </c>
      <c r="IVI17" s="310" t="s">
        <v>201</v>
      </c>
      <c r="IVJ17" s="310" t="s">
        <v>201</v>
      </c>
      <c r="IVK17" s="310" t="s">
        <v>201</v>
      </c>
      <c r="IVL17" s="310" t="s">
        <v>201</v>
      </c>
      <c r="IVM17" s="310" t="s">
        <v>201</v>
      </c>
      <c r="IVN17" s="310" t="s">
        <v>201</v>
      </c>
      <c r="IVO17" s="310" t="s">
        <v>201</v>
      </c>
      <c r="IVP17" s="310" t="s">
        <v>201</v>
      </c>
      <c r="IVQ17" s="310" t="s">
        <v>201</v>
      </c>
      <c r="IVR17" s="310" t="s">
        <v>201</v>
      </c>
      <c r="IVS17" s="310" t="s">
        <v>201</v>
      </c>
      <c r="IVT17" s="310" t="s">
        <v>201</v>
      </c>
      <c r="IVU17" s="310" t="s">
        <v>201</v>
      </c>
      <c r="IVV17" s="310" t="s">
        <v>201</v>
      </c>
      <c r="IVW17" s="310" t="s">
        <v>201</v>
      </c>
      <c r="IVX17" s="310" t="s">
        <v>201</v>
      </c>
      <c r="IVY17" s="310" t="s">
        <v>201</v>
      </c>
      <c r="IVZ17" s="310" t="s">
        <v>201</v>
      </c>
      <c r="IWA17" s="310" t="s">
        <v>201</v>
      </c>
      <c r="IWB17" s="310" t="s">
        <v>201</v>
      </c>
      <c r="IWC17" s="310" t="s">
        <v>201</v>
      </c>
      <c r="IWD17" s="310" t="s">
        <v>201</v>
      </c>
      <c r="IWE17" s="310" t="s">
        <v>201</v>
      </c>
      <c r="IWF17" s="310" t="s">
        <v>201</v>
      </c>
      <c r="IWG17" s="310" t="s">
        <v>201</v>
      </c>
      <c r="IWH17" s="310" t="s">
        <v>201</v>
      </c>
      <c r="IWI17" s="310" t="s">
        <v>201</v>
      </c>
      <c r="IWJ17" s="310" t="s">
        <v>201</v>
      </c>
      <c r="IWK17" s="310" t="s">
        <v>201</v>
      </c>
      <c r="IWL17" s="310" t="s">
        <v>201</v>
      </c>
      <c r="IWM17" s="310" t="s">
        <v>201</v>
      </c>
      <c r="IWN17" s="310" t="s">
        <v>201</v>
      </c>
      <c r="IWO17" s="310" t="s">
        <v>201</v>
      </c>
      <c r="IWP17" s="310" t="s">
        <v>201</v>
      </c>
      <c r="IWQ17" s="310" t="s">
        <v>201</v>
      </c>
      <c r="IWR17" s="310" t="s">
        <v>201</v>
      </c>
      <c r="IWS17" s="310" t="s">
        <v>201</v>
      </c>
      <c r="IWT17" s="310" t="s">
        <v>201</v>
      </c>
      <c r="IWU17" s="310" t="s">
        <v>201</v>
      </c>
      <c r="IWV17" s="310" t="s">
        <v>201</v>
      </c>
      <c r="IWW17" s="310" t="s">
        <v>201</v>
      </c>
      <c r="IWX17" s="310" t="s">
        <v>201</v>
      </c>
      <c r="IWY17" s="310" t="s">
        <v>201</v>
      </c>
      <c r="IWZ17" s="310" t="s">
        <v>201</v>
      </c>
      <c r="IXA17" s="310" t="s">
        <v>201</v>
      </c>
      <c r="IXB17" s="310" t="s">
        <v>201</v>
      </c>
      <c r="IXC17" s="310" t="s">
        <v>201</v>
      </c>
      <c r="IXD17" s="310" t="s">
        <v>201</v>
      </c>
      <c r="IXE17" s="310" t="s">
        <v>201</v>
      </c>
      <c r="IXF17" s="310" t="s">
        <v>201</v>
      </c>
      <c r="IXG17" s="310" t="s">
        <v>201</v>
      </c>
      <c r="IXH17" s="310" t="s">
        <v>201</v>
      </c>
      <c r="IXI17" s="310" t="s">
        <v>201</v>
      </c>
      <c r="IXJ17" s="310" t="s">
        <v>201</v>
      </c>
      <c r="IXK17" s="310" t="s">
        <v>201</v>
      </c>
      <c r="IXL17" s="310" t="s">
        <v>201</v>
      </c>
      <c r="IXM17" s="310" t="s">
        <v>201</v>
      </c>
      <c r="IXN17" s="310" t="s">
        <v>201</v>
      </c>
      <c r="IXO17" s="310" t="s">
        <v>201</v>
      </c>
      <c r="IXP17" s="310" t="s">
        <v>201</v>
      </c>
      <c r="IXQ17" s="310" t="s">
        <v>201</v>
      </c>
      <c r="IXR17" s="310" t="s">
        <v>201</v>
      </c>
      <c r="IXS17" s="310" t="s">
        <v>201</v>
      </c>
      <c r="IXT17" s="310" t="s">
        <v>201</v>
      </c>
      <c r="IXU17" s="310" t="s">
        <v>201</v>
      </c>
      <c r="IXV17" s="310" t="s">
        <v>201</v>
      </c>
      <c r="IXW17" s="310" t="s">
        <v>201</v>
      </c>
      <c r="IXX17" s="310" t="s">
        <v>201</v>
      </c>
      <c r="IXY17" s="310" t="s">
        <v>201</v>
      </c>
      <c r="IXZ17" s="310" t="s">
        <v>201</v>
      </c>
      <c r="IYA17" s="310" t="s">
        <v>201</v>
      </c>
      <c r="IYB17" s="310" t="s">
        <v>201</v>
      </c>
      <c r="IYC17" s="310" t="s">
        <v>201</v>
      </c>
      <c r="IYD17" s="310" t="s">
        <v>201</v>
      </c>
      <c r="IYE17" s="310" t="s">
        <v>201</v>
      </c>
      <c r="IYF17" s="310" t="s">
        <v>201</v>
      </c>
      <c r="IYG17" s="310" t="s">
        <v>201</v>
      </c>
      <c r="IYH17" s="310" t="s">
        <v>201</v>
      </c>
      <c r="IYI17" s="310" t="s">
        <v>201</v>
      </c>
      <c r="IYJ17" s="310" t="s">
        <v>201</v>
      </c>
      <c r="IYK17" s="310" t="s">
        <v>201</v>
      </c>
      <c r="IYL17" s="310" t="s">
        <v>201</v>
      </c>
      <c r="IYM17" s="310" t="s">
        <v>201</v>
      </c>
      <c r="IYN17" s="310" t="s">
        <v>201</v>
      </c>
      <c r="IYO17" s="310" t="s">
        <v>201</v>
      </c>
      <c r="IYP17" s="310" t="s">
        <v>201</v>
      </c>
      <c r="IYQ17" s="310" t="s">
        <v>201</v>
      </c>
      <c r="IYR17" s="310" t="s">
        <v>201</v>
      </c>
      <c r="IYS17" s="310" t="s">
        <v>201</v>
      </c>
      <c r="IYT17" s="310" t="s">
        <v>201</v>
      </c>
      <c r="IYU17" s="310" t="s">
        <v>201</v>
      </c>
      <c r="IYV17" s="310" t="s">
        <v>201</v>
      </c>
      <c r="IYW17" s="310" t="s">
        <v>201</v>
      </c>
      <c r="IYX17" s="310" t="s">
        <v>201</v>
      </c>
      <c r="IYY17" s="310" t="s">
        <v>201</v>
      </c>
      <c r="IYZ17" s="310" t="s">
        <v>201</v>
      </c>
      <c r="IZA17" s="310" t="s">
        <v>201</v>
      </c>
      <c r="IZB17" s="310" t="s">
        <v>201</v>
      </c>
      <c r="IZC17" s="310" t="s">
        <v>201</v>
      </c>
      <c r="IZD17" s="310" t="s">
        <v>201</v>
      </c>
      <c r="IZE17" s="310" t="s">
        <v>201</v>
      </c>
      <c r="IZF17" s="310" t="s">
        <v>201</v>
      </c>
      <c r="IZG17" s="310" t="s">
        <v>201</v>
      </c>
      <c r="IZH17" s="310" t="s">
        <v>201</v>
      </c>
      <c r="IZI17" s="310" t="s">
        <v>201</v>
      </c>
      <c r="IZJ17" s="310" t="s">
        <v>201</v>
      </c>
      <c r="IZK17" s="310" t="s">
        <v>201</v>
      </c>
      <c r="IZL17" s="310" t="s">
        <v>201</v>
      </c>
      <c r="IZM17" s="310" t="s">
        <v>201</v>
      </c>
      <c r="IZN17" s="310" t="s">
        <v>201</v>
      </c>
      <c r="IZO17" s="310" t="s">
        <v>201</v>
      </c>
      <c r="IZP17" s="310" t="s">
        <v>201</v>
      </c>
      <c r="IZQ17" s="310" t="s">
        <v>201</v>
      </c>
      <c r="IZR17" s="310" t="s">
        <v>201</v>
      </c>
      <c r="IZS17" s="310" t="s">
        <v>201</v>
      </c>
      <c r="IZT17" s="310" t="s">
        <v>201</v>
      </c>
      <c r="IZU17" s="310" t="s">
        <v>201</v>
      </c>
      <c r="IZV17" s="310" t="s">
        <v>201</v>
      </c>
      <c r="IZW17" s="310" t="s">
        <v>201</v>
      </c>
      <c r="IZX17" s="310" t="s">
        <v>201</v>
      </c>
      <c r="IZY17" s="310" t="s">
        <v>201</v>
      </c>
      <c r="IZZ17" s="310" t="s">
        <v>201</v>
      </c>
      <c r="JAA17" s="310" t="s">
        <v>201</v>
      </c>
      <c r="JAB17" s="310" t="s">
        <v>201</v>
      </c>
      <c r="JAC17" s="310" t="s">
        <v>201</v>
      </c>
      <c r="JAD17" s="310" t="s">
        <v>201</v>
      </c>
      <c r="JAE17" s="310" t="s">
        <v>201</v>
      </c>
      <c r="JAF17" s="310" t="s">
        <v>201</v>
      </c>
      <c r="JAG17" s="310" t="s">
        <v>201</v>
      </c>
      <c r="JAH17" s="310" t="s">
        <v>201</v>
      </c>
      <c r="JAI17" s="310" t="s">
        <v>201</v>
      </c>
      <c r="JAJ17" s="310" t="s">
        <v>201</v>
      </c>
      <c r="JAK17" s="310" t="s">
        <v>201</v>
      </c>
      <c r="JAL17" s="310" t="s">
        <v>201</v>
      </c>
      <c r="JAM17" s="310" t="s">
        <v>201</v>
      </c>
      <c r="JAN17" s="310" t="s">
        <v>201</v>
      </c>
      <c r="JAO17" s="310" t="s">
        <v>201</v>
      </c>
      <c r="JAP17" s="310" t="s">
        <v>201</v>
      </c>
      <c r="JAQ17" s="310" t="s">
        <v>201</v>
      </c>
      <c r="JAR17" s="310" t="s">
        <v>201</v>
      </c>
      <c r="JAS17" s="310" t="s">
        <v>201</v>
      </c>
      <c r="JAT17" s="310" t="s">
        <v>201</v>
      </c>
      <c r="JAU17" s="310" t="s">
        <v>201</v>
      </c>
      <c r="JAV17" s="310" t="s">
        <v>201</v>
      </c>
      <c r="JAW17" s="310" t="s">
        <v>201</v>
      </c>
      <c r="JAX17" s="310" t="s">
        <v>201</v>
      </c>
      <c r="JAY17" s="310" t="s">
        <v>201</v>
      </c>
      <c r="JAZ17" s="310" t="s">
        <v>201</v>
      </c>
      <c r="JBA17" s="310" t="s">
        <v>201</v>
      </c>
      <c r="JBB17" s="310" t="s">
        <v>201</v>
      </c>
      <c r="JBC17" s="310" t="s">
        <v>201</v>
      </c>
      <c r="JBD17" s="310" t="s">
        <v>201</v>
      </c>
      <c r="JBE17" s="310" t="s">
        <v>201</v>
      </c>
      <c r="JBF17" s="310" t="s">
        <v>201</v>
      </c>
      <c r="JBG17" s="310" t="s">
        <v>201</v>
      </c>
      <c r="JBH17" s="310" t="s">
        <v>201</v>
      </c>
      <c r="JBI17" s="310" t="s">
        <v>201</v>
      </c>
      <c r="JBJ17" s="310" t="s">
        <v>201</v>
      </c>
      <c r="JBK17" s="310" t="s">
        <v>201</v>
      </c>
      <c r="JBL17" s="310" t="s">
        <v>201</v>
      </c>
      <c r="JBM17" s="310" t="s">
        <v>201</v>
      </c>
      <c r="JBN17" s="310" t="s">
        <v>201</v>
      </c>
      <c r="JBO17" s="310" t="s">
        <v>201</v>
      </c>
      <c r="JBP17" s="310" t="s">
        <v>201</v>
      </c>
      <c r="JBQ17" s="310" t="s">
        <v>201</v>
      </c>
      <c r="JBR17" s="310" t="s">
        <v>201</v>
      </c>
      <c r="JBS17" s="310" t="s">
        <v>201</v>
      </c>
      <c r="JBT17" s="310" t="s">
        <v>201</v>
      </c>
      <c r="JBU17" s="310" t="s">
        <v>201</v>
      </c>
      <c r="JBV17" s="310" t="s">
        <v>201</v>
      </c>
      <c r="JBW17" s="310" t="s">
        <v>201</v>
      </c>
      <c r="JBX17" s="310" t="s">
        <v>201</v>
      </c>
      <c r="JBY17" s="310" t="s">
        <v>201</v>
      </c>
      <c r="JBZ17" s="310" t="s">
        <v>201</v>
      </c>
      <c r="JCA17" s="310" t="s">
        <v>201</v>
      </c>
      <c r="JCB17" s="310" t="s">
        <v>201</v>
      </c>
      <c r="JCC17" s="310" t="s">
        <v>201</v>
      </c>
      <c r="JCD17" s="310" t="s">
        <v>201</v>
      </c>
      <c r="JCE17" s="310" t="s">
        <v>201</v>
      </c>
      <c r="JCF17" s="310" t="s">
        <v>201</v>
      </c>
      <c r="JCG17" s="310" t="s">
        <v>201</v>
      </c>
      <c r="JCH17" s="310" t="s">
        <v>201</v>
      </c>
      <c r="JCI17" s="310" t="s">
        <v>201</v>
      </c>
      <c r="JCJ17" s="310" t="s">
        <v>201</v>
      </c>
      <c r="JCK17" s="310" t="s">
        <v>201</v>
      </c>
      <c r="JCL17" s="310" t="s">
        <v>201</v>
      </c>
      <c r="JCM17" s="310" t="s">
        <v>201</v>
      </c>
      <c r="JCN17" s="310" t="s">
        <v>201</v>
      </c>
      <c r="JCO17" s="310" t="s">
        <v>201</v>
      </c>
      <c r="JCP17" s="310" t="s">
        <v>201</v>
      </c>
      <c r="JCQ17" s="310" t="s">
        <v>201</v>
      </c>
      <c r="JCR17" s="310" t="s">
        <v>201</v>
      </c>
      <c r="JCS17" s="310" t="s">
        <v>201</v>
      </c>
      <c r="JCT17" s="310" t="s">
        <v>201</v>
      </c>
      <c r="JCU17" s="310" t="s">
        <v>201</v>
      </c>
      <c r="JCV17" s="310" t="s">
        <v>201</v>
      </c>
      <c r="JCW17" s="310" t="s">
        <v>201</v>
      </c>
      <c r="JCX17" s="310" t="s">
        <v>201</v>
      </c>
      <c r="JCY17" s="310" t="s">
        <v>201</v>
      </c>
      <c r="JCZ17" s="310" t="s">
        <v>201</v>
      </c>
      <c r="JDA17" s="310" t="s">
        <v>201</v>
      </c>
      <c r="JDB17" s="310" t="s">
        <v>201</v>
      </c>
      <c r="JDC17" s="310" t="s">
        <v>201</v>
      </c>
      <c r="JDD17" s="310" t="s">
        <v>201</v>
      </c>
      <c r="JDE17" s="310" t="s">
        <v>201</v>
      </c>
      <c r="JDF17" s="310" t="s">
        <v>201</v>
      </c>
      <c r="JDG17" s="310" t="s">
        <v>201</v>
      </c>
      <c r="JDH17" s="310" t="s">
        <v>201</v>
      </c>
      <c r="JDI17" s="310" t="s">
        <v>201</v>
      </c>
      <c r="JDJ17" s="310" t="s">
        <v>201</v>
      </c>
      <c r="JDK17" s="310" t="s">
        <v>201</v>
      </c>
      <c r="JDL17" s="310" t="s">
        <v>201</v>
      </c>
      <c r="JDM17" s="310" t="s">
        <v>201</v>
      </c>
      <c r="JDN17" s="310" t="s">
        <v>201</v>
      </c>
      <c r="JDO17" s="310" t="s">
        <v>201</v>
      </c>
      <c r="JDP17" s="310" t="s">
        <v>201</v>
      </c>
      <c r="JDQ17" s="310" t="s">
        <v>201</v>
      </c>
      <c r="JDR17" s="310" t="s">
        <v>201</v>
      </c>
      <c r="JDS17" s="310" t="s">
        <v>201</v>
      </c>
      <c r="JDT17" s="310" t="s">
        <v>201</v>
      </c>
      <c r="JDU17" s="310" t="s">
        <v>201</v>
      </c>
      <c r="JDV17" s="310" t="s">
        <v>201</v>
      </c>
      <c r="JDW17" s="310" t="s">
        <v>201</v>
      </c>
      <c r="JDX17" s="310" t="s">
        <v>201</v>
      </c>
      <c r="JDY17" s="310" t="s">
        <v>201</v>
      </c>
      <c r="JDZ17" s="310" t="s">
        <v>201</v>
      </c>
      <c r="JEA17" s="310" t="s">
        <v>201</v>
      </c>
      <c r="JEB17" s="310" t="s">
        <v>201</v>
      </c>
      <c r="JEC17" s="310" t="s">
        <v>201</v>
      </c>
      <c r="JED17" s="310" t="s">
        <v>201</v>
      </c>
      <c r="JEE17" s="310" t="s">
        <v>201</v>
      </c>
      <c r="JEF17" s="310" t="s">
        <v>201</v>
      </c>
      <c r="JEG17" s="310" t="s">
        <v>201</v>
      </c>
      <c r="JEH17" s="310" t="s">
        <v>201</v>
      </c>
      <c r="JEI17" s="310" t="s">
        <v>201</v>
      </c>
      <c r="JEJ17" s="310" t="s">
        <v>201</v>
      </c>
      <c r="JEK17" s="310" t="s">
        <v>201</v>
      </c>
      <c r="JEL17" s="310" t="s">
        <v>201</v>
      </c>
      <c r="JEM17" s="310" t="s">
        <v>201</v>
      </c>
      <c r="JEN17" s="310" t="s">
        <v>201</v>
      </c>
      <c r="JEO17" s="310" t="s">
        <v>201</v>
      </c>
      <c r="JEP17" s="310" t="s">
        <v>201</v>
      </c>
      <c r="JEQ17" s="310" t="s">
        <v>201</v>
      </c>
      <c r="JER17" s="310" t="s">
        <v>201</v>
      </c>
      <c r="JES17" s="310" t="s">
        <v>201</v>
      </c>
      <c r="JET17" s="310" t="s">
        <v>201</v>
      </c>
      <c r="JEU17" s="310" t="s">
        <v>201</v>
      </c>
      <c r="JEV17" s="310" t="s">
        <v>201</v>
      </c>
      <c r="JEW17" s="310" t="s">
        <v>201</v>
      </c>
      <c r="JEX17" s="310" t="s">
        <v>201</v>
      </c>
      <c r="JEY17" s="310" t="s">
        <v>201</v>
      </c>
      <c r="JEZ17" s="310" t="s">
        <v>201</v>
      </c>
      <c r="JFA17" s="310" t="s">
        <v>201</v>
      </c>
      <c r="JFB17" s="310" t="s">
        <v>201</v>
      </c>
      <c r="JFC17" s="310" t="s">
        <v>201</v>
      </c>
      <c r="JFD17" s="310" t="s">
        <v>201</v>
      </c>
      <c r="JFE17" s="310" t="s">
        <v>201</v>
      </c>
      <c r="JFF17" s="310" t="s">
        <v>201</v>
      </c>
      <c r="JFG17" s="310" t="s">
        <v>201</v>
      </c>
      <c r="JFH17" s="310" t="s">
        <v>201</v>
      </c>
      <c r="JFI17" s="310" t="s">
        <v>201</v>
      </c>
      <c r="JFJ17" s="310" t="s">
        <v>201</v>
      </c>
      <c r="JFK17" s="310" t="s">
        <v>201</v>
      </c>
      <c r="JFL17" s="310" t="s">
        <v>201</v>
      </c>
      <c r="JFM17" s="310" t="s">
        <v>201</v>
      </c>
      <c r="JFN17" s="310" t="s">
        <v>201</v>
      </c>
      <c r="JFO17" s="310" t="s">
        <v>201</v>
      </c>
      <c r="JFP17" s="310" t="s">
        <v>201</v>
      </c>
      <c r="JFQ17" s="310" t="s">
        <v>201</v>
      </c>
      <c r="JFR17" s="310" t="s">
        <v>201</v>
      </c>
      <c r="JFS17" s="310" t="s">
        <v>201</v>
      </c>
      <c r="JFT17" s="310" t="s">
        <v>201</v>
      </c>
      <c r="JFU17" s="310" t="s">
        <v>201</v>
      </c>
      <c r="JFV17" s="310" t="s">
        <v>201</v>
      </c>
      <c r="JFW17" s="310" t="s">
        <v>201</v>
      </c>
      <c r="JFX17" s="310" t="s">
        <v>201</v>
      </c>
      <c r="JFY17" s="310" t="s">
        <v>201</v>
      </c>
      <c r="JFZ17" s="310" t="s">
        <v>201</v>
      </c>
      <c r="JGA17" s="310" t="s">
        <v>201</v>
      </c>
      <c r="JGB17" s="310" t="s">
        <v>201</v>
      </c>
      <c r="JGC17" s="310" t="s">
        <v>201</v>
      </c>
      <c r="JGD17" s="310" t="s">
        <v>201</v>
      </c>
      <c r="JGE17" s="310" t="s">
        <v>201</v>
      </c>
      <c r="JGF17" s="310" t="s">
        <v>201</v>
      </c>
      <c r="JGG17" s="310" t="s">
        <v>201</v>
      </c>
      <c r="JGH17" s="310" t="s">
        <v>201</v>
      </c>
      <c r="JGI17" s="310" t="s">
        <v>201</v>
      </c>
      <c r="JGJ17" s="310" t="s">
        <v>201</v>
      </c>
      <c r="JGK17" s="310" t="s">
        <v>201</v>
      </c>
      <c r="JGL17" s="310" t="s">
        <v>201</v>
      </c>
      <c r="JGM17" s="310" t="s">
        <v>201</v>
      </c>
      <c r="JGN17" s="310" t="s">
        <v>201</v>
      </c>
      <c r="JGO17" s="310" t="s">
        <v>201</v>
      </c>
      <c r="JGP17" s="310" t="s">
        <v>201</v>
      </c>
      <c r="JGQ17" s="310" t="s">
        <v>201</v>
      </c>
      <c r="JGR17" s="310" t="s">
        <v>201</v>
      </c>
      <c r="JGS17" s="310" t="s">
        <v>201</v>
      </c>
      <c r="JGT17" s="310" t="s">
        <v>201</v>
      </c>
      <c r="JGU17" s="310" t="s">
        <v>201</v>
      </c>
      <c r="JGV17" s="310" t="s">
        <v>201</v>
      </c>
      <c r="JGW17" s="310" t="s">
        <v>201</v>
      </c>
      <c r="JGX17" s="310" t="s">
        <v>201</v>
      </c>
      <c r="JGY17" s="310" t="s">
        <v>201</v>
      </c>
      <c r="JGZ17" s="310" t="s">
        <v>201</v>
      </c>
      <c r="JHA17" s="310" t="s">
        <v>201</v>
      </c>
      <c r="JHB17" s="310" t="s">
        <v>201</v>
      </c>
      <c r="JHC17" s="310" t="s">
        <v>201</v>
      </c>
      <c r="JHD17" s="310" t="s">
        <v>201</v>
      </c>
      <c r="JHE17" s="310" t="s">
        <v>201</v>
      </c>
      <c r="JHF17" s="310" t="s">
        <v>201</v>
      </c>
      <c r="JHG17" s="310" t="s">
        <v>201</v>
      </c>
      <c r="JHH17" s="310" t="s">
        <v>201</v>
      </c>
      <c r="JHI17" s="310" t="s">
        <v>201</v>
      </c>
      <c r="JHJ17" s="310" t="s">
        <v>201</v>
      </c>
      <c r="JHK17" s="310" t="s">
        <v>201</v>
      </c>
      <c r="JHL17" s="310" t="s">
        <v>201</v>
      </c>
      <c r="JHM17" s="310" t="s">
        <v>201</v>
      </c>
      <c r="JHN17" s="310" t="s">
        <v>201</v>
      </c>
      <c r="JHO17" s="310" t="s">
        <v>201</v>
      </c>
      <c r="JHP17" s="310" t="s">
        <v>201</v>
      </c>
      <c r="JHQ17" s="310" t="s">
        <v>201</v>
      </c>
      <c r="JHR17" s="310" t="s">
        <v>201</v>
      </c>
      <c r="JHS17" s="310" t="s">
        <v>201</v>
      </c>
      <c r="JHT17" s="310" t="s">
        <v>201</v>
      </c>
      <c r="JHU17" s="310" t="s">
        <v>201</v>
      </c>
      <c r="JHV17" s="310" t="s">
        <v>201</v>
      </c>
      <c r="JHW17" s="310" t="s">
        <v>201</v>
      </c>
      <c r="JHX17" s="310" t="s">
        <v>201</v>
      </c>
      <c r="JHY17" s="310" t="s">
        <v>201</v>
      </c>
      <c r="JHZ17" s="310" t="s">
        <v>201</v>
      </c>
      <c r="JIA17" s="310" t="s">
        <v>201</v>
      </c>
      <c r="JIB17" s="310" t="s">
        <v>201</v>
      </c>
      <c r="JIC17" s="310" t="s">
        <v>201</v>
      </c>
      <c r="JID17" s="310" t="s">
        <v>201</v>
      </c>
      <c r="JIE17" s="310" t="s">
        <v>201</v>
      </c>
      <c r="JIF17" s="310" t="s">
        <v>201</v>
      </c>
      <c r="JIG17" s="310" t="s">
        <v>201</v>
      </c>
      <c r="JIH17" s="310" t="s">
        <v>201</v>
      </c>
      <c r="JII17" s="310" t="s">
        <v>201</v>
      </c>
      <c r="JIJ17" s="310" t="s">
        <v>201</v>
      </c>
      <c r="JIK17" s="310" t="s">
        <v>201</v>
      </c>
      <c r="JIL17" s="310" t="s">
        <v>201</v>
      </c>
      <c r="JIM17" s="310" t="s">
        <v>201</v>
      </c>
      <c r="JIN17" s="310" t="s">
        <v>201</v>
      </c>
      <c r="JIO17" s="310" t="s">
        <v>201</v>
      </c>
      <c r="JIP17" s="310" t="s">
        <v>201</v>
      </c>
      <c r="JIQ17" s="310" t="s">
        <v>201</v>
      </c>
      <c r="JIR17" s="310" t="s">
        <v>201</v>
      </c>
      <c r="JIS17" s="310" t="s">
        <v>201</v>
      </c>
      <c r="JIT17" s="310" t="s">
        <v>201</v>
      </c>
      <c r="JIU17" s="310" t="s">
        <v>201</v>
      </c>
      <c r="JIV17" s="310" t="s">
        <v>201</v>
      </c>
      <c r="JIW17" s="310" t="s">
        <v>201</v>
      </c>
      <c r="JIX17" s="310" t="s">
        <v>201</v>
      </c>
      <c r="JIY17" s="310" t="s">
        <v>201</v>
      </c>
      <c r="JIZ17" s="310" t="s">
        <v>201</v>
      </c>
      <c r="JJA17" s="310" t="s">
        <v>201</v>
      </c>
      <c r="JJB17" s="310" t="s">
        <v>201</v>
      </c>
      <c r="JJC17" s="310" t="s">
        <v>201</v>
      </c>
      <c r="JJD17" s="310" t="s">
        <v>201</v>
      </c>
      <c r="JJE17" s="310" t="s">
        <v>201</v>
      </c>
      <c r="JJF17" s="310" t="s">
        <v>201</v>
      </c>
      <c r="JJG17" s="310" t="s">
        <v>201</v>
      </c>
      <c r="JJH17" s="310" t="s">
        <v>201</v>
      </c>
      <c r="JJI17" s="310" t="s">
        <v>201</v>
      </c>
      <c r="JJJ17" s="310" t="s">
        <v>201</v>
      </c>
      <c r="JJK17" s="310" t="s">
        <v>201</v>
      </c>
      <c r="JJL17" s="310" t="s">
        <v>201</v>
      </c>
      <c r="JJM17" s="310" t="s">
        <v>201</v>
      </c>
      <c r="JJN17" s="310" t="s">
        <v>201</v>
      </c>
      <c r="JJO17" s="310" t="s">
        <v>201</v>
      </c>
      <c r="JJP17" s="310" t="s">
        <v>201</v>
      </c>
      <c r="JJQ17" s="310" t="s">
        <v>201</v>
      </c>
      <c r="JJR17" s="310" t="s">
        <v>201</v>
      </c>
      <c r="JJS17" s="310" t="s">
        <v>201</v>
      </c>
      <c r="JJT17" s="310" t="s">
        <v>201</v>
      </c>
      <c r="JJU17" s="310" t="s">
        <v>201</v>
      </c>
      <c r="JJV17" s="310" t="s">
        <v>201</v>
      </c>
      <c r="JJW17" s="310" t="s">
        <v>201</v>
      </c>
      <c r="JJX17" s="310" t="s">
        <v>201</v>
      </c>
      <c r="JJY17" s="310" t="s">
        <v>201</v>
      </c>
      <c r="JJZ17" s="310" t="s">
        <v>201</v>
      </c>
      <c r="JKA17" s="310" t="s">
        <v>201</v>
      </c>
      <c r="JKB17" s="310" t="s">
        <v>201</v>
      </c>
      <c r="JKC17" s="310" t="s">
        <v>201</v>
      </c>
      <c r="JKD17" s="310" t="s">
        <v>201</v>
      </c>
      <c r="JKE17" s="310" t="s">
        <v>201</v>
      </c>
      <c r="JKF17" s="310" t="s">
        <v>201</v>
      </c>
      <c r="JKG17" s="310" t="s">
        <v>201</v>
      </c>
      <c r="JKH17" s="310" t="s">
        <v>201</v>
      </c>
      <c r="JKI17" s="310" t="s">
        <v>201</v>
      </c>
      <c r="JKJ17" s="310" t="s">
        <v>201</v>
      </c>
      <c r="JKK17" s="310" t="s">
        <v>201</v>
      </c>
      <c r="JKL17" s="310" t="s">
        <v>201</v>
      </c>
      <c r="JKM17" s="310" t="s">
        <v>201</v>
      </c>
      <c r="JKN17" s="310" t="s">
        <v>201</v>
      </c>
      <c r="JKO17" s="310" t="s">
        <v>201</v>
      </c>
      <c r="JKP17" s="310" t="s">
        <v>201</v>
      </c>
      <c r="JKQ17" s="310" t="s">
        <v>201</v>
      </c>
      <c r="JKR17" s="310" t="s">
        <v>201</v>
      </c>
      <c r="JKS17" s="310" t="s">
        <v>201</v>
      </c>
      <c r="JKT17" s="310" t="s">
        <v>201</v>
      </c>
      <c r="JKU17" s="310" t="s">
        <v>201</v>
      </c>
      <c r="JKV17" s="310" t="s">
        <v>201</v>
      </c>
      <c r="JKW17" s="310" t="s">
        <v>201</v>
      </c>
      <c r="JKX17" s="310" t="s">
        <v>201</v>
      </c>
      <c r="JKY17" s="310" t="s">
        <v>201</v>
      </c>
      <c r="JKZ17" s="310" t="s">
        <v>201</v>
      </c>
      <c r="JLA17" s="310" t="s">
        <v>201</v>
      </c>
      <c r="JLB17" s="310" t="s">
        <v>201</v>
      </c>
      <c r="JLC17" s="310" t="s">
        <v>201</v>
      </c>
      <c r="JLD17" s="310" t="s">
        <v>201</v>
      </c>
      <c r="JLE17" s="310" t="s">
        <v>201</v>
      </c>
      <c r="JLF17" s="310" t="s">
        <v>201</v>
      </c>
      <c r="JLG17" s="310" t="s">
        <v>201</v>
      </c>
      <c r="JLH17" s="310" t="s">
        <v>201</v>
      </c>
      <c r="JLI17" s="310" t="s">
        <v>201</v>
      </c>
      <c r="JLJ17" s="310" t="s">
        <v>201</v>
      </c>
      <c r="JLK17" s="310" t="s">
        <v>201</v>
      </c>
      <c r="JLL17" s="310" t="s">
        <v>201</v>
      </c>
      <c r="JLM17" s="310" t="s">
        <v>201</v>
      </c>
      <c r="JLN17" s="310" t="s">
        <v>201</v>
      </c>
      <c r="JLO17" s="310" t="s">
        <v>201</v>
      </c>
      <c r="JLP17" s="310" t="s">
        <v>201</v>
      </c>
      <c r="JLQ17" s="310" t="s">
        <v>201</v>
      </c>
      <c r="JLR17" s="310" t="s">
        <v>201</v>
      </c>
      <c r="JLS17" s="310" t="s">
        <v>201</v>
      </c>
      <c r="JLT17" s="310" t="s">
        <v>201</v>
      </c>
      <c r="JLU17" s="310" t="s">
        <v>201</v>
      </c>
      <c r="JLV17" s="310" t="s">
        <v>201</v>
      </c>
      <c r="JLW17" s="310" t="s">
        <v>201</v>
      </c>
      <c r="JLX17" s="310" t="s">
        <v>201</v>
      </c>
      <c r="JLY17" s="310" t="s">
        <v>201</v>
      </c>
      <c r="JLZ17" s="310" t="s">
        <v>201</v>
      </c>
      <c r="JMA17" s="310" t="s">
        <v>201</v>
      </c>
      <c r="JMB17" s="310" t="s">
        <v>201</v>
      </c>
      <c r="JMC17" s="310" t="s">
        <v>201</v>
      </c>
      <c r="JMD17" s="310" t="s">
        <v>201</v>
      </c>
      <c r="JME17" s="310" t="s">
        <v>201</v>
      </c>
      <c r="JMF17" s="310" t="s">
        <v>201</v>
      </c>
      <c r="JMG17" s="310" t="s">
        <v>201</v>
      </c>
      <c r="JMH17" s="310" t="s">
        <v>201</v>
      </c>
      <c r="JMI17" s="310" t="s">
        <v>201</v>
      </c>
      <c r="JMJ17" s="310" t="s">
        <v>201</v>
      </c>
      <c r="JMK17" s="310" t="s">
        <v>201</v>
      </c>
      <c r="JML17" s="310" t="s">
        <v>201</v>
      </c>
      <c r="JMM17" s="310" t="s">
        <v>201</v>
      </c>
      <c r="JMN17" s="310" t="s">
        <v>201</v>
      </c>
      <c r="JMO17" s="310" t="s">
        <v>201</v>
      </c>
      <c r="JMP17" s="310" t="s">
        <v>201</v>
      </c>
      <c r="JMQ17" s="310" t="s">
        <v>201</v>
      </c>
      <c r="JMR17" s="310" t="s">
        <v>201</v>
      </c>
      <c r="JMS17" s="310" t="s">
        <v>201</v>
      </c>
      <c r="JMT17" s="310" t="s">
        <v>201</v>
      </c>
      <c r="JMU17" s="310" t="s">
        <v>201</v>
      </c>
      <c r="JMV17" s="310" t="s">
        <v>201</v>
      </c>
      <c r="JMW17" s="310" t="s">
        <v>201</v>
      </c>
      <c r="JMX17" s="310" t="s">
        <v>201</v>
      </c>
      <c r="JMY17" s="310" t="s">
        <v>201</v>
      </c>
      <c r="JMZ17" s="310" t="s">
        <v>201</v>
      </c>
      <c r="JNA17" s="310" t="s">
        <v>201</v>
      </c>
      <c r="JNB17" s="310" t="s">
        <v>201</v>
      </c>
      <c r="JNC17" s="310" t="s">
        <v>201</v>
      </c>
      <c r="JND17" s="310" t="s">
        <v>201</v>
      </c>
      <c r="JNE17" s="310" t="s">
        <v>201</v>
      </c>
      <c r="JNF17" s="310" t="s">
        <v>201</v>
      </c>
      <c r="JNG17" s="310" t="s">
        <v>201</v>
      </c>
      <c r="JNH17" s="310" t="s">
        <v>201</v>
      </c>
      <c r="JNI17" s="310" t="s">
        <v>201</v>
      </c>
      <c r="JNJ17" s="310" t="s">
        <v>201</v>
      </c>
      <c r="JNK17" s="310" t="s">
        <v>201</v>
      </c>
      <c r="JNL17" s="310" t="s">
        <v>201</v>
      </c>
      <c r="JNM17" s="310" t="s">
        <v>201</v>
      </c>
      <c r="JNN17" s="310" t="s">
        <v>201</v>
      </c>
      <c r="JNO17" s="310" t="s">
        <v>201</v>
      </c>
      <c r="JNP17" s="310" t="s">
        <v>201</v>
      </c>
      <c r="JNQ17" s="310" t="s">
        <v>201</v>
      </c>
      <c r="JNR17" s="310" t="s">
        <v>201</v>
      </c>
      <c r="JNS17" s="310" t="s">
        <v>201</v>
      </c>
      <c r="JNT17" s="310" t="s">
        <v>201</v>
      </c>
      <c r="JNU17" s="310" t="s">
        <v>201</v>
      </c>
      <c r="JNV17" s="310" t="s">
        <v>201</v>
      </c>
      <c r="JNW17" s="310" t="s">
        <v>201</v>
      </c>
      <c r="JNX17" s="310" t="s">
        <v>201</v>
      </c>
      <c r="JNY17" s="310" t="s">
        <v>201</v>
      </c>
      <c r="JNZ17" s="310" t="s">
        <v>201</v>
      </c>
      <c r="JOA17" s="310" t="s">
        <v>201</v>
      </c>
      <c r="JOB17" s="310" t="s">
        <v>201</v>
      </c>
      <c r="JOC17" s="310" t="s">
        <v>201</v>
      </c>
      <c r="JOD17" s="310" t="s">
        <v>201</v>
      </c>
      <c r="JOE17" s="310" t="s">
        <v>201</v>
      </c>
      <c r="JOF17" s="310" t="s">
        <v>201</v>
      </c>
      <c r="JOG17" s="310" t="s">
        <v>201</v>
      </c>
      <c r="JOH17" s="310" t="s">
        <v>201</v>
      </c>
      <c r="JOI17" s="310" t="s">
        <v>201</v>
      </c>
      <c r="JOJ17" s="310" t="s">
        <v>201</v>
      </c>
      <c r="JOK17" s="310" t="s">
        <v>201</v>
      </c>
      <c r="JOL17" s="310" t="s">
        <v>201</v>
      </c>
      <c r="JOM17" s="310" t="s">
        <v>201</v>
      </c>
      <c r="JON17" s="310" t="s">
        <v>201</v>
      </c>
      <c r="JOO17" s="310" t="s">
        <v>201</v>
      </c>
      <c r="JOP17" s="310" t="s">
        <v>201</v>
      </c>
      <c r="JOQ17" s="310" t="s">
        <v>201</v>
      </c>
      <c r="JOR17" s="310" t="s">
        <v>201</v>
      </c>
      <c r="JOS17" s="310" t="s">
        <v>201</v>
      </c>
      <c r="JOT17" s="310" t="s">
        <v>201</v>
      </c>
      <c r="JOU17" s="310" t="s">
        <v>201</v>
      </c>
      <c r="JOV17" s="310" t="s">
        <v>201</v>
      </c>
      <c r="JOW17" s="310" t="s">
        <v>201</v>
      </c>
      <c r="JOX17" s="310" t="s">
        <v>201</v>
      </c>
      <c r="JOY17" s="310" t="s">
        <v>201</v>
      </c>
      <c r="JOZ17" s="310" t="s">
        <v>201</v>
      </c>
      <c r="JPA17" s="310" t="s">
        <v>201</v>
      </c>
      <c r="JPB17" s="310" t="s">
        <v>201</v>
      </c>
      <c r="JPC17" s="310" t="s">
        <v>201</v>
      </c>
      <c r="JPD17" s="310" t="s">
        <v>201</v>
      </c>
      <c r="JPE17" s="310" t="s">
        <v>201</v>
      </c>
      <c r="JPF17" s="310" t="s">
        <v>201</v>
      </c>
      <c r="JPG17" s="310" t="s">
        <v>201</v>
      </c>
      <c r="JPH17" s="310" t="s">
        <v>201</v>
      </c>
      <c r="JPI17" s="310" t="s">
        <v>201</v>
      </c>
      <c r="JPJ17" s="310" t="s">
        <v>201</v>
      </c>
      <c r="JPK17" s="310" t="s">
        <v>201</v>
      </c>
      <c r="JPL17" s="310" t="s">
        <v>201</v>
      </c>
      <c r="JPM17" s="310" t="s">
        <v>201</v>
      </c>
      <c r="JPN17" s="310" t="s">
        <v>201</v>
      </c>
      <c r="JPO17" s="310" t="s">
        <v>201</v>
      </c>
      <c r="JPP17" s="310" t="s">
        <v>201</v>
      </c>
      <c r="JPQ17" s="310" t="s">
        <v>201</v>
      </c>
      <c r="JPR17" s="310" t="s">
        <v>201</v>
      </c>
      <c r="JPS17" s="310" t="s">
        <v>201</v>
      </c>
      <c r="JPT17" s="310" t="s">
        <v>201</v>
      </c>
      <c r="JPU17" s="310" t="s">
        <v>201</v>
      </c>
      <c r="JPV17" s="310" t="s">
        <v>201</v>
      </c>
      <c r="JPW17" s="310" t="s">
        <v>201</v>
      </c>
      <c r="JPX17" s="310" t="s">
        <v>201</v>
      </c>
      <c r="JPY17" s="310" t="s">
        <v>201</v>
      </c>
      <c r="JPZ17" s="310" t="s">
        <v>201</v>
      </c>
      <c r="JQA17" s="310" t="s">
        <v>201</v>
      </c>
      <c r="JQB17" s="310" t="s">
        <v>201</v>
      </c>
      <c r="JQC17" s="310" t="s">
        <v>201</v>
      </c>
      <c r="JQD17" s="310" t="s">
        <v>201</v>
      </c>
      <c r="JQE17" s="310" t="s">
        <v>201</v>
      </c>
      <c r="JQF17" s="310" t="s">
        <v>201</v>
      </c>
      <c r="JQG17" s="310" t="s">
        <v>201</v>
      </c>
      <c r="JQH17" s="310" t="s">
        <v>201</v>
      </c>
      <c r="JQI17" s="310" t="s">
        <v>201</v>
      </c>
      <c r="JQJ17" s="310" t="s">
        <v>201</v>
      </c>
      <c r="JQK17" s="310" t="s">
        <v>201</v>
      </c>
      <c r="JQL17" s="310" t="s">
        <v>201</v>
      </c>
      <c r="JQM17" s="310" t="s">
        <v>201</v>
      </c>
      <c r="JQN17" s="310" t="s">
        <v>201</v>
      </c>
      <c r="JQO17" s="310" t="s">
        <v>201</v>
      </c>
      <c r="JQP17" s="310" t="s">
        <v>201</v>
      </c>
      <c r="JQQ17" s="310" t="s">
        <v>201</v>
      </c>
      <c r="JQR17" s="310" t="s">
        <v>201</v>
      </c>
      <c r="JQS17" s="310" t="s">
        <v>201</v>
      </c>
      <c r="JQT17" s="310" t="s">
        <v>201</v>
      </c>
      <c r="JQU17" s="310" t="s">
        <v>201</v>
      </c>
      <c r="JQV17" s="310" t="s">
        <v>201</v>
      </c>
      <c r="JQW17" s="310" t="s">
        <v>201</v>
      </c>
      <c r="JQX17" s="310" t="s">
        <v>201</v>
      </c>
      <c r="JQY17" s="310" t="s">
        <v>201</v>
      </c>
      <c r="JQZ17" s="310" t="s">
        <v>201</v>
      </c>
      <c r="JRA17" s="310" t="s">
        <v>201</v>
      </c>
      <c r="JRB17" s="310" t="s">
        <v>201</v>
      </c>
      <c r="JRC17" s="310" t="s">
        <v>201</v>
      </c>
      <c r="JRD17" s="310" t="s">
        <v>201</v>
      </c>
      <c r="JRE17" s="310" t="s">
        <v>201</v>
      </c>
      <c r="JRF17" s="310" t="s">
        <v>201</v>
      </c>
      <c r="JRG17" s="310" t="s">
        <v>201</v>
      </c>
      <c r="JRH17" s="310" t="s">
        <v>201</v>
      </c>
      <c r="JRI17" s="310" t="s">
        <v>201</v>
      </c>
      <c r="JRJ17" s="310" t="s">
        <v>201</v>
      </c>
      <c r="JRK17" s="310" t="s">
        <v>201</v>
      </c>
      <c r="JRL17" s="310" t="s">
        <v>201</v>
      </c>
      <c r="JRM17" s="310" t="s">
        <v>201</v>
      </c>
      <c r="JRN17" s="310" t="s">
        <v>201</v>
      </c>
      <c r="JRO17" s="310" t="s">
        <v>201</v>
      </c>
      <c r="JRP17" s="310" t="s">
        <v>201</v>
      </c>
      <c r="JRQ17" s="310" t="s">
        <v>201</v>
      </c>
      <c r="JRR17" s="310" t="s">
        <v>201</v>
      </c>
      <c r="JRS17" s="310" t="s">
        <v>201</v>
      </c>
      <c r="JRT17" s="310" t="s">
        <v>201</v>
      </c>
      <c r="JRU17" s="310" t="s">
        <v>201</v>
      </c>
      <c r="JRV17" s="310" t="s">
        <v>201</v>
      </c>
      <c r="JRW17" s="310" t="s">
        <v>201</v>
      </c>
      <c r="JRX17" s="310" t="s">
        <v>201</v>
      </c>
      <c r="JRY17" s="310" t="s">
        <v>201</v>
      </c>
      <c r="JRZ17" s="310" t="s">
        <v>201</v>
      </c>
      <c r="JSA17" s="310" t="s">
        <v>201</v>
      </c>
      <c r="JSB17" s="310" t="s">
        <v>201</v>
      </c>
      <c r="JSC17" s="310" t="s">
        <v>201</v>
      </c>
      <c r="JSD17" s="310" t="s">
        <v>201</v>
      </c>
      <c r="JSE17" s="310" t="s">
        <v>201</v>
      </c>
      <c r="JSF17" s="310" t="s">
        <v>201</v>
      </c>
      <c r="JSG17" s="310" t="s">
        <v>201</v>
      </c>
      <c r="JSH17" s="310" t="s">
        <v>201</v>
      </c>
      <c r="JSI17" s="310" t="s">
        <v>201</v>
      </c>
      <c r="JSJ17" s="310" t="s">
        <v>201</v>
      </c>
      <c r="JSK17" s="310" t="s">
        <v>201</v>
      </c>
      <c r="JSL17" s="310" t="s">
        <v>201</v>
      </c>
      <c r="JSM17" s="310" t="s">
        <v>201</v>
      </c>
      <c r="JSN17" s="310" t="s">
        <v>201</v>
      </c>
      <c r="JSO17" s="310" t="s">
        <v>201</v>
      </c>
      <c r="JSP17" s="310" t="s">
        <v>201</v>
      </c>
      <c r="JSQ17" s="310" t="s">
        <v>201</v>
      </c>
      <c r="JSR17" s="310" t="s">
        <v>201</v>
      </c>
      <c r="JSS17" s="310" t="s">
        <v>201</v>
      </c>
      <c r="JST17" s="310" t="s">
        <v>201</v>
      </c>
      <c r="JSU17" s="310" t="s">
        <v>201</v>
      </c>
      <c r="JSV17" s="310" t="s">
        <v>201</v>
      </c>
      <c r="JSW17" s="310" t="s">
        <v>201</v>
      </c>
      <c r="JSX17" s="310" t="s">
        <v>201</v>
      </c>
      <c r="JSY17" s="310" t="s">
        <v>201</v>
      </c>
      <c r="JSZ17" s="310" t="s">
        <v>201</v>
      </c>
      <c r="JTA17" s="310" t="s">
        <v>201</v>
      </c>
      <c r="JTB17" s="310" t="s">
        <v>201</v>
      </c>
      <c r="JTC17" s="310" t="s">
        <v>201</v>
      </c>
      <c r="JTD17" s="310" t="s">
        <v>201</v>
      </c>
      <c r="JTE17" s="310" t="s">
        <v>201</v>
      </c>
      <c r="JTF17" s="310" t="s">
        <v>201</v>
      </c>
      <c r="JTG17" s="310" t="s">
        <v>201</v>
      </c>
      <c r="JTH17" s="310" t="s">
        <v>201</v>
      </c>
      <c r="JTI17" s="310" t="s">
        <v>201</v>
      </c>
      <c r="JTJ17" s="310" t="s">
        <v>201</v>
      </c>
      <c r="JTK17" s="310" t="s">
        <v>201</v>
      </c>
      <c r="JTL17" s="310" t="s">
        <v>201</v>
      </c>
      <c r="JTM17" s="310" t="s">
        <v>201</v>
      </c>
      <c r="JTN17" s="310" t="s">
        <v>201</v>
      </c>
      <c r="JTO17" s="310" t="s">
        <v>201</v>
      </c>
      <c r="JTP17" s="310" t="s">
        <v>201</v>
      </c>
      <c r="JTQ17" s="310" t="s">
        <v>201</v>
      </c>
      <c r="JTR17" s="310" t="s">
        <v>201</v>
      </c>
      <c r="JTS17" s="310" t="s">
        <v>201</v>
      </c>
      <c r="JTT17" s="310" t="s">
        <v>201</v>
      </c>
      <c r="JTU17" s="310" t="s">
        <v>201</v>
      </c>
      <c r="JTV17" s="310" t="s">
        <v>201</v>
      </c>
      <c r="JTW17" s="310" t="s">
        <v>201</v>
      </c>
      <c r="JTX17" s="310" t="s">
        <v>201</v>
      </c>
      <c r="JTY17" s="310" t="s">
        <v>201</v>
      </c>
      <c r="JTZ17" s="310" t="s">
        <v>201</v>
      </c>
      <c r="JUA17" s="310" t="s">
        <v>201</v>
      </c>
      <c r="JUB17" s="310" t="s">
        <v>201</v>
      </c>
      <c r="JUC17" s="310" t="s">
        <v>201</v>
      </c>
      <c r="JUD17" s="310" t="s">
        <v>201</v>
      </c>
      <c r="JUE17" s="310" t="s">
        <v>201</v>
      </c>
      <c r="JUF17" s="310" t="s">
        <v>201</v>
      </c>
      <c r="JUG17" s="310" t="s">
        <v>201</v>
      </c>
      <c r="JUH17" s="310" t="s">
        <v>201</v>
      </c>
      <c r="JUI17" s="310" t="s">
        <v>201</v>
      </c>
      <c r="JUJ17" s="310" t="s">
        <v>201</v>
      </c>
      <c r="JUK17" s="310" t="s">
        <v>201</v>
      </c>
      <c r="JUL17" s="310" t="s">
        <v>201</v>
      </c>
      <c r="JUM17" s="310" t="s">
        <v>201</v>
      </c>
      <c r="JUN17" s="310" t="s">
        <v>201</v>
      </c>
      <c r="JUO17" s="310" t="s">
        <v>201</v>
      </c>
      <c r="JUP17" s="310" t="s">
        <v>201</v>
      </c>
      <c r="JUQ17" s="310" t="s">
        <v>201</v>
      </c>
      <c r="JUR17" s="310" t="s">
        <v>201</v>
      </c>
      <c r="JUS17" s="310" t="s">
        <v>201</v>
      </c>
      <c r="JUT17" s="310" t="s">
        <v>201</v>
      </c>
      <c r="JUU17" s="310" t="s">
        <v>201</v>
      </c>
      <c r="JUV17" s="310" t="s">
        <v>201</v>
      </c>
      <c r="JUW17" s="310" t="s">
        <v>201</v>
      </c>
      <c r="JUX17" s="310" t="s">
        <v>201</v>
      </c>
      <c r="JUY17" s="310" t="s">
        <v>201</v>
      </c>
      <c r="JUZ17" s="310" t="s">
        <v>201</v>
      </c>
      <c r="JVA17" s="310" t="s">
        <v>201</v>
      </c>
      <c r="JVB17" s="310" t="s">
        <v>201</v>
      </c>
      <c r="JVC17" s="310" t="s">
        <v>201</v>
      </c>
      <c r="JVD17" s="310" t="s">
        <v>201</v>
      </c>
      <c r="JVE17" s="310" t="s">
        <v>201</v>
      </c>
      <c r="JVF17" s="310" t="s">
        <v>201</v>
      </c>
      <c r="JVG17" s="310" t="s">
        <v>201</v>
      </c>
      <c r="JVH17" s="310" t="s">
        <v>201</v>
      </c>
      <c r="JVI17" s="310" t="s">
        <v>201</v>
      </c>
      <c r="JVJ17" s="310" t="s">
        <v>201</v>
      </c>
      <c r="JVK17" s="310" t="s">
        <v>201</v>
      </c>
      <c r="JVL17" s="310" t="s">
        <v>201</v>
      </c>
      <c r="JVM17" s="310" t="s">
        <v>201</v>
      </c>
      <c r="JVN17" s="310" t="s">
        <v>201</v>
      </c>
      <c r="JVO17" s="310" t="s">
        <v>201</v>
      </c>
      <c r="JVP17" s="310" t="s">
        <v>201</v>
      </c>
      <c r="JVQ17" s="310" t="s">
        <v>201</v>
      </c>
      <c r="JVR17" s="310" t="s">
        <v>201</v>
      </c>
      <c r="JVS17" s="310" t="s">
        <v>201</v>
      </c>
      <c r="JVT17" s="310" t="s">
        <v>201</v>
      </c>
      <c r="JVU17" s="310" t="s">
        <v>201</v>
      </c>
      <c r="JVV17" s="310" t="s">
        <v>201</v>
      </c>
      <c r="JVW17" s="310" t="s">
        <v>201</v>
      </c>
      <c r="JVX17" s="310" t="s">
        <v>201</v>
      </c>
      <c r="JVY17" s="310" t="s">
        <v>201</v>
      </c>
      <c r="JVZ17" s="310" t="s">
        <v>201</v>
      </c>
      <c r="JWA17" s="310" t="s">
        <v>201</v>
      </c>
      <c r="JWB17" s="310" t="s">
        <v>201</v>
      </c>
      <c r="JWC17" s="310" t="s">
        <v>201</v>
      </c>
      <c r="JWD17" s="310" t="s">
        <v>201</v>
      </c>
      <c r="JWE17" s="310" t="s">
        <v>201</v>
      </c>
      <c r="JWF17" s="310" t="s">
        <v>201</v>
      </c>
      <c r="JWG17" s="310" t="s">
        <v>201</v>
      </c>
      <c r="JWH17" s="310" t="s">
        <v>201</v>
      </c>
      <c r="JWI17" s="310" t="s">
        <v>201</v>
      </c>
      <c r="JWJ17" s="310" t="s">
        <v>201</v>
      </c>
      <c r="JWK17" s="310" t="s">
        <v>201</v>
      </c>
      <c r="JWL17" s="310" t="s">
        <v>201</v>
      </c>
      <c r="JWM17" s="310" t="s">
        <v>201</v>
      </c>
      <c r="JWN17" s="310" t="s">
        <v>201</v>
      </c>
      <c r="JWO17" s="310" t="s">
        <v>201</v>
      </c>
      <c r="JWP17" s="310" t="s">
        <v>201</v>
      </c>
      <c r="JWQ17" s="310" t="s">
        <v>201</v>
      </c>
      <c r="JWR17" s="310" t="s">
        <v>201</v>
      </c>
      <c r="JWS17" s="310" t="s">
        <v>201</v>
      </c>
      <c r="JWT17" s="310" t="s">
        <v>201</v>
      </c>
      <c r="JWU17" s="310" t="s">
        <v>201</v>
      </c>
      <c r="JWV17" s="310" t="s">
        <v>201</v>
      </c>
      <c r="JWW17" s="310" t="s">
        <v>201</v>
      </c>
      <c r="JWX17" s="310" t="s">
        <v>201</v>
      </c>
      <c r="JWY17" s="310" t="s">
        <v>201</v>
      </c>
      <c r="JWZ17" s="310" t="s">
        <v>201</v>
      </c>
      <c r="JXA17" s="310" t="s">
        <v>201</v>
      </c>
      <c r="JXB17" s="310" t="s">
        <v>201</v>
      </c>
      <c r="JXC17" s="310" t="s">
        <v>201</v>
      </c>
      <c r="JXD17" s="310" t="s">
        <v>201</v>
      </c>
      <c r="JXE17" s="310" t="s">
        <v>201</v>
      </c>
      <c r="JXF17" s="310" t="s">
        <v>201</v>
      </c>
      <c r="JXG17" s="310" t="s">
        <v>201</v>
      </c>
      <c r="JXH17" s="310" t="s">
        <v>201</v>
      </c>
      <c r="JXI17" s="310" t="s">
        <v>201</v>
      </c>
      <c r="JXJ17" s="310" t="s">
        <v>201</v>
      </c>
      <c r="JXK17" s="310" t="s">
        <v>201</v>
      </c>
      <c r="JXL17" s="310" t="s">
        <v>201</v>
      </c>
      <c r="JXM17" s="310" t="s">
        <v>201</v>
      </c>
      <c r="JXN17" s="310" t="s">
        <v>201</v>
      </c>
      <c r="JXO17" s="310" t="s">
        <v>201</v>
      </c>
      <c r="JXP17" s="310" t="s">
        <v>201</v>
      </c>
      <c r="JXQ17" s="310" t="s">
        <v>201</v>
      </c>
      <c r="JXR17" s="310" t="s">
        <v>201</v>
      </c>
      <c r="JXS17" s="310" t="s">
        <v>201</v>
      </c>
      <c r="JXT17" s="310" t="s">
        <v>201</v>
      </c>
      <c r="JXU17" s="310" t="s">
        <v>201</v>
      </c>
      <c r="JXV17" s="310" t="s">
        <v>201</v>
      </c>
      <c r="JXW17" s="310" t="s">
        <v>201</v>
      </c>
      <c r="JXX17" s="310" t="s">
        <v>201</v>
      </c>
      <c r="JXY17" s="310" t="s">
        <v>201</v>
      </c>
      <c r="JXZ17" s="310" t="s">
        <v>201</v>
      </c>
      <c r="JYA17" s="310" t="s">
        <v>201</v>
      </c>
      <c r="JYB17" s="310" t="s">
        <v>201</v>
      </c>
      <c r="JYC17" s="310" t="s">
        <v>201</v>
      </c>
      <c r="JYD17" s="310" t="s">
        <v>201</v>
      </c>
      <c r="JYE17" s="310" t="s">
        <v>201</v>
      </c>
      <c r="JYF17" s="310" t="s">
        <v>201</v>
      </c>
      <c r="JYG17" s="310" t="s">
        <v>201</v>
      </c>
      <c r="JYH17" s="310" t="s">
        <v>201</v>
      </c>
      <c r="JYI17" s="310" t="s">
        <v>201</v>
      </c>
      <c r="JYJ17" s="310" t="s">
        <v>201</v>
      </c>
      <c r="JYK17" s="310" t="s">
        <v>201</v>
      </c>
      <c r="JYL17" s="310" t="s">
        <v>201</v>
      </c>
      <c r="JYM17" s="310" t="s">
        <v>201</v>
      </c>
      <c r="JYN17" s="310" t="s">
        <v>201</v>
      </c>
      <c r="JYO17" s="310" t="s">
        <v>201</v>
      </c>
      <c r="JYP17" s="310" t="s">
        <v>201</v>
      </c>
      <c r="JYQ17" s="310" t="s">
        <v>201</v>
      </c>
      <c r="JYR17" s="310" t="s">
        <v>201</v>
      </c>
      <c r="JYS17" s="310" t="s">
        <v>201</v>
      </c>
      <c r="JYT17" s="310" t="s">
        <v>201</v>
      </c>
      <c r="JYU17" s="310" t="s">
        <v>201</v>
      </c>
      <c r="JYV17" s="310" t="s">
        <v>201</v>
      </c>
      <c r="JYW17" s="310" t="s">
        <v>201</v>
      </c>
      <c r="JYX17" s="310" t="s">
        <v>201</v>
      </c>
      <c r="JYY17" s="310" t="s">
        <v>201</v>
      </c>
      <c r="JYZ17" s="310" t="s">
        <v>201</v>
      </c>
      <c r="JZA17" s="310" t="s">
        <v>201</v>
      </c>
      <c r="JZB17" s="310" t="s">
        <v>201</v>
      </c>
      <c r="JZC17" s="310" t="s">
        <v>201</v>
      </c>
      <c r="JZD17" s="310" t="s">
        <v>201</v>
      </c>
      <c r="JZE17" s="310" t="s">
        <v>201</v>
      </c>
      <c r="JZF17" s="310" t="s">
        <v>201</v>
      </c>
      <c r="JZG17" s="310" t="s">
        <v>201</v>
      </c>
      <c r="JZH17" s="310" t="s">
        <v>201</v>
      </c>
      <c r="JZI17" s="310" t="s">
        <v>201</v>
      </c>
      <c r="JZJ17" s="310" t="s">
        <v>201</v>
      </c>
      <c r="JZK17" s="310" t="s">
        <v>201</v>
      </c>
      <c r="JZL17" s="310" t="s">
        <v>201</v>
      </c>
      <c r="JZM17" s="310" t="s">
        <v>201</v>
      </c>
      <c r="JZN17" s="310" t="s">
        <v>201</v>
      </c>
      <c r="JZO17" s="310" t="s">
        <v>201</v>
      </c>
      <c r="JZP17" s="310" t="s">
        <v>201</v>
      </c>
      <c r="JZQ17" s="310" t="s">
        <v>201</v>
      </c>
      <c r="JZR17" s="310" t="s">
        <v>201</v>
      </c>
      <c r="JZS17" s="310" t="s">
        <v>201</v>
      </c>
      <c r="JZT17" s="310" t="s">
        <v>201</v>
      </c>
      <c r="JZU17" s="310" t="s">
        <v>201</v>
      </c>
      <c r="JZV17" s="310" t="s">
        <v>201</v>
      </c>
      <c r="JZW17" s="310" t="s">
        <v>201</v>
      </c>
      <c r="JZX17" s="310" t="s">
        <v>201</v>
      </c>
      <c r="JZY17" s="310" t="s">
        <v>201</v>
      </c>
      <c r="JZZ17" s="310" t="s">
        <v>201</v>
      </c>
      <c r="KAA17" s="310" t="s">
        <v>201</v>
      </c>
      <c r="KAB17" s="310" t="s">
        <v>201</v>
      </c>
      <c r="KAC17" s="310" t="s">
        <v>201</v>
      </c>
      <c r="KAD17" s="310" t="s">
        <v>201</v>
      </c>
      <c r="KAE17" s="310" t="s">
        <v>201</v>
      </c>
      <c r="KAF17" s="310" t="s">
        <v>201</v>
      </c>
      <c r="KAG17" s="310" t="s">
        <v>201</v>
      </c>
      <c r="KAH17" s="310" t="s">
        <v>201</v>
      </c>
      <c r="KAI17" s="310" t="s">
        <v>201</v>
      </c>
      <c r="KAJ17" s="310" t="s">
        <v>201</v>
      </c>
      <c r="KAK17" s="310" t="s">
        <v>201</v>
      </c>
      <c r="KAL17" s="310" t="s">
        <v>201</v>
      </c>
      <c r="KAM17" s="310" t="s">
        <v>201</v>
      </c>
      <c r="KAN17" s="310" t="s">
        <v>201</v>
      </c>
      <c r="KAO17" s="310" t="s">
        <v>201</v>
      </c>
      <c r="KAP17" s="310" t="s">
        <v>201</v>
      </c>
      <c r="KAQ17" s="310" t="s">
        <v>201</v>
      </c>
      <c r="KAR17" s="310" t="s">
        <v>201</v>
      </c>
      <c r="KAS17" s="310" t="s">
        <v>201</v>
      </c>
      <c r="KAT17" s="310" t="s">
        <v>201</v>
      </c>
      <c r="KAU17" s="310" t="s">
        <v>201</v>
      </c>
      <c r="KAV17" s="310" t="s">
        <v>201</v>
      </c>
      <c r="KAW17" s="310" t="s">
        <v>201</v>
      </c>
      <c r="KAX17" s="310" t="s">
        <v>201</v>
      </c>
      <c r="KAY17" s="310" t="s">
        <v>201</v>
      </c>
      <c r="KAZ17" s="310" t="s">
        <v>201</v>
      </c>
      <c r="KBA17" s="310" t="s">
        <v>201</v>
      </c>
      <c r="KBB17" s="310" t="s">
        <v>201</v>
      </c>
      <c r="KBC17" s="310" t="s">
        <v>201</v>
      </c>
      <c r="KBD17" s="310" t="s">
        <v>201</v>
      </c>
      <c r="KBE17" s="310" t="s">
        <v>201</v>
      </c>
      <c r="KBF17" s="310" t="s">
        <v>201</v>
      </c>
      <c r="KBG17" s="310" t="s">
        <v>201</v>
      </c>
      <c r="KBH17" s="310" t="s">
        <v>201</v>
      </c>
      <c r="KBI17" s="310" t="s">
        <v>201</v>
      </c>
      <c r="KBJ17" s="310" t="s">
        <v>201</v>
      </c>
      <c r="KBK17" s="310" t="s">
        <v>201</v>
      </c>
      <c r="KBL17" s="310" t="s">
        <v>201</v>
      </c>
      <c r="KBM17" s="310" t="s">
        <v>201</v>
      </c>
      <c r="KBN17" s="310" t="s">
        <v>201</v>
      </c>
      <c r="KBO17" s="310" t="s">
        <v>201</v>
      </c>
      <c r="KBP17" s="310" t="s">
        <v>201</v>
      </c>
      <c r="KBQ17" s="310" t="s">
        <v>201</v>
      </c>
      <c r="KBR17" s="310" t="s">
        <v>201</v>
      </c>
      <c r="KBS17" s="310" t="s">
        <v>201</v>
      </c>
      <c r="KBT17" s="310" t="s">
        <v>201</v>
      </c>
      <c r="KBU17" s="310" t="s">
        <v>201</v>
      </c>
      <c r="KBV17" s="310" t="s">
        <v>201</v>
      </c>
      <c r="KBW17" s="310" t="s">
        <v>201</v>
      </c>
      <c r="KBX17" s="310" t="s">
        <v>201</v>
      </c>
      <c r="KBY17" s="310" t="s">
        <v>201</v>
      </c>
      <c r="KBZ17" s="310" t="s">
        <v>201</v>
      </c>
      <c r="KCA17" s="310" t="s">
        <v>201</v>
      </c>
      <c r="KCB17" s="310" t="s">
        <v>201</v>
      </c>
      <c r="KCC17" s="310" t="s">
        <v>201</v>
      </c>
      <c r="KCD17" s="310" t="s">
        <v>201</v>
      </c>
      <c r="KCE17" s="310" t="s">
        <v>201</v>
      </c>
      <c r="KCF17" s="310" t="s">
        <v>201</v>
      </c>
      <c r="KCG17" s="310" t="s">
        <v>201</v>
      </c>
      <c r="KCH17" s="310" t="s">
        <v>201</v>
      </c>
      <c r="KCI17" s="310" t="s">
        <v>201</v>
      </c>
      <c r="KCJ17" s="310" t="s">
        <v>201</v>
      </c>
      <c r="KCK17" s="310" t="s">
        <v>201</v>
      </c>
      <c r="KCL17" s="310" t="s">
        <v>201</v>
      </c>
      <c r="KCM17" s="310" t="s">
        <v>201</v>
      </c>
      <c r="KCN17" s="310" t="s">
        <v>201</v>
      </c>
      <c r="KCO17" s="310" t="s">
        <v>201</v>
      </c>
      <c r="KCP17" s="310" t="s">
        <v>201</v>
      </c>
      <c r="KCQ17" s="310" t="s">
        <v>201</v>
      </c>
      <c r="KCR17" s="310" t="s">
        <v>201</v>
      </c>
      <c r="KCS17" s="310" t="s">
        <v>201</v>
      </c>
      <c r="KCT17" s="310" t="s">
        <v>201</v>
      </c>
      <c r="KCU17" s="310" t="s">
        <v>201</v>
      </c>
      <c r="KCV17" s="310" t="s">
        <v>201</v>
      </c>
      <c r="KCW17" s="310" t="s">
        <v>201</v>
      </c>
      <c r="KCX17" s="310" t="s">
        <v>201</v>
      </c>
      <c r="KCY17" s="310" t="s">
        <v>201</v>
      </c>
      <c r="KCZ17" s="310" t="s">
        <v>201</v>
      </c>
      <c r="KDA17" s="310" t="s">
        <v>201</v>
      </c>
      <c r="KDB17" s="310" t="s">
        <v>201</v>
      </c>
      <c r="KDC17" s="310" t="s">
        <v>201</v>
      </c>
      <c r="KDD17" s="310" t="s">
        <v>201</v>
      </c>
      <c r="KDE17" s="310" t="s">
        <v>201</v>
      </c>
      <c r="KDF17" s="310" t="s">
        <v>201</v>
      </c>
      <c r="KDG17" s="310" t="s">
        <v>201</v>
      </c>
      <c r="KDH17" s="310" t="s">
        <v>201</v>
      </c>
      <c r="KDI17" s="310" t="s">
        <v>201</v>
      </c>
      <c r="KDJ17" s="310" t="s">
        <v>201</v>
      </c>
      <c r="KDK17" s="310" t="s">
        <v>201</v>
      </c>
      <c r="KDL17" s="310" t="s">
        <v>201</v>
      </c>
      <c r="KDM17" s="310" t="s">
        <v>201</v>
      </c>
      <c r="KDN17" s="310" t="s">
        <v>201</v>
      </c>
      <c r="KDO17" s="310" t="s">
        <v>201</v>
      </c>
      <c r="KDP17" s="310" t="s">
        <v>201</v>
      </c>
      <c r="KDQ17" s="310" t="s">
        <v>201</v>
      </c>
      <c r="KDR17" s="310" t="s">
        <v>201</v>
      </c>
      <c r="KDS17" s="310" t="s">
        <v>201</v>
      </c>
      <c r="KDT17" s="310" t="s">
        <v>201</v>
      </c>
      <c r="KDU17" s="310" t="s">
        <v>201</v>
      </c>
      <c r="KDV17" s="310" t="s">
        <v>201</v>
      </c>
      <c r="KDW17" s="310" t="s">
        <v>201</v>
      </c>
      <c r="KDX17" s="310" t="s">
        <v>201</v>
      </c>
      <c r="KDY17" s="310" t="s">
        <v>201</v>
      </c>
      <c r="KDZ17" s="310" t="s">
        <v>201</v>
      </c>
      <c r="KEA17" s="310" t="s">
        <v>201</v>
      </c>
      <c r="KEB17" s="310" t="s">
        <v>201</v>
      </c>
      <c r="KEC17" s="310" t="s">
        <v>201</v>
      </c>
      <c r="KED17" s="310" t="s">
        <v>201</v>
      </c>
      <c r="KEE17" s="310" t="s">
        <v>201</v>
      </c>
      <c r="KEF17" s="310" t="s">
        <v>201</v>
      </c>
      <c r="KEG17" s="310" t="s">
        <v>201</v>
      </c>
      <c r="KEH17" s="310" t="s">
        <v>201</v>
      </c>
      <c r="KEI17" s="310" t="s">
        <v>201</v>
      </c>
      <c r="KEJ17" s="310" t="s">
        <v>201</v>
      </c>
      <c r="KEK17" s="310" t="s">
        <v>201</v>
      </c>
      <c r="KEL17" s="310" t="s">
        <v>201</v>
      </c>
      <c r="KEM17" s="310" t="s">
        <v>201</v>
      </c>
      <c r="KEN17" s="310" t="s">
        <v>201</v>
      </c>
      <c r="KEO17" s="310" t="s">
        <v>201</v>
      </c>
      <c r="KEP17" s="310" t="s">
        <v>201</v>
      </c>
      <c r="KEQ17" s="310" t="s">
        <v>201</v>
      </c>
      <c r="KER17" s="310" t="s">
        <v>201</v>
      </c>
      <c r="KES17" s="310" t="s">
        <v>201</v>
      </c>
      <c r="KET17" s="310" t="s">
        <v>201</v>
      </c>
      <c r="KEU17" s="310" t="s">
        <v>201</v>
      </c>
      <c r="KEV17" s="310" t="s">
        <v>201</v>
      </c>
      <c r="KEW17" s="310" t="s">
        <v>201</v>
      </c>
      <c r="KEX17" s="310" t="s">
        <v>201</v>
      </c>
      <c r="KEY17" s="310" t="s">
        <v>201</v>
      </c>
      <c r="KEZ17" s="310" t="s">
        <v>201</v>
      </c>
      <c r="KFA17" s="310" t="s">
        <v>201</v>
      </c>
      <c r="KFB17" s="310" t="s">
        <v>201</v>
      </c>
      <c r="KFC17" s="310" t="s">
        <v>201</v>
      </c>
      <c r="KFD17" s="310" t="s">
        <v>201</v>
      </c>
      <c r="KFE17" s="310" t="s">
        <v>201</v>
      </c>
      <c r="KFF17" s="310" t="s">
        <v>201</v>
      </c>
      <c r="KFG17" s="310" t="s">
        <v>201</v>
      </c>
      <c r="KFH17" s="310" t="s">
        <v>201</v>
      </c>
      <c r="KFI17" s="310" t="s">
        <v>201</v>
      </c>
      <c r="KFJ17" s="310" t="s">
        <v>201</v>
      </c>
      <c r="KFK17" s="310" t="s">
        <v>201</v>
      </c>
      <c r="KFL17" s="310" t="s">
        <v>201</v>
      </c>
      <c r="KFM17" s="310" t="s">
        <v>201</v>
      </c>
      <c r="KFN17" s="310" t="s">
        <v>201</v>
      </c>
      <c r="KFO17" s="310" t="s">
        <v>201</v>
      </c>
      <c r="KFP17" s="310" t="s">
        <v>201</v>
      </c>
      <c r="KFQ17" s="310" t="s">
        <v>201</v>
      </c>
      <c r="KFR17" s="310" t="s">
        <v>201</v>
      </c>
      <c r="KFS17" s="310" t="s">
        <v>201</v>
      </c>
      <c r="KFT17" s="310" t="s">
        <v>201</v>
      </c>
      <c r="KFU17" s="310" t="s">
        <v>201</v>
      </c>
      <c r="KFV17" s="310" t="s">
        <v>201</v>
      </c>
      <c r="KFW17" s="310" t="s">
        <v>201</v>
      </c>
      <c r="KFX17" s="310" t="s">
        <v>201</v>
      </c>
      <c r="KFY17" s="310" t="s">
        <v>201</v>
      </c>
      <c r="KFZ17" s="310" t="s">
        <v>201</v>
      </c>
      <c r="KGA17" s="310" t="s">
        <v>201</v>
      </c>
      <c r="KGB17" s="310" t="s">
        <v>201</v>
      </c>
      <c r="KGC17" s="310" t="s">
        <v>201</v>
      </c>
      <c r="KGD17" s="310" t="s">
        <v>201</v>
      </c>
      <c r="KGE17" s="310" t="s">
        <v>201</v>
      </c>
      <c r="KGF17" s="310" t="s">
        <v>201</v>
      </c>
      <c r="KGG17" s="310" t="s">
        <v>201</v>
      </c>
      <c r="KGH17" s="310" t="s">
        <v>201</v>
      </c>
      <c r="KGI17" s="310" t="s">
        <v>201</v>
      </c>
      <c r="KGJ17" s="310" t="s">
        <v>201</v>
      </c>
      <c r="KGK17" s="310" t="s">
        <v>201</v>
      </c>
      <c r="KGL17" s="310" t="s">
        <v>201</v>
      </c>
      <c r="KGM17" s="310" t="s">
        <v>201</v>
      </c>
      <c r="KGN17" s="310" t="s">
        <v>201</v>
      </c>
      <c r="KGO17" s="310" t="s">
        <v>201</v>
      </c>
      <c r="KGP17" s="310" t="s">
        <v>201</v>
      </c>
      <c r="KGQ17" s="310" t="s">
        <v>201</v>
      </c>
      <c r="KGR17" s="310" t="s">
        <v>201</v>
      </c>
      <c r="KGS17" s="310" t="s">
        <v>201</v>
      </c>
      <c r="KGT17" s="310" t="s">
        <v>201</v>
      </c>
      <c r="KGU17" s="310" t="s">
        <v>201</v>
      </c>
      <c r="KGV17" s="310" t="s">
        <v>201</v>
      </c>
      <c r="KGW17" s="310" t="s">
        <v>201</v>
      </c>
      <c r="KGX17" s="310" t="s">
        <v>201</v>
      </c>
      <c r="KGY17" s="310" t="s">
        <v>201</v>
      </c>
      <c r="KGZ17" s="310" t="s">
        <v>201</v>
      </c>
      <c r="KHA17" s="310" t="s">
        <v>201</v>
      </c>
      <c r="KHB17" s="310" t="s">
        <v>201</v>
      </c>
      <c r="KHC17" s="310" t="s">
        <v>201</v>
      </c>
      <c r="KHD17" s="310" t="s">
        <v>201</v>
      </c>
      <c r="KHE17" s="310" t="s">
        <v>201</v>
      </c>
      <c r="KHF17" s="310" t="s">
        <v>201</v>
      </c>
      <c r="KHG17" s="310" t="s">
        <v>201</v>
      </c>
      <c r="KHH17" s="310" t="s">
        <v>201</v>
      </c>
      <c r="KHI17" s="310" t="s">
        <v>201</v>
      </c>
      <c r="KHJ17" s="310" t="s">
        <v>201</v>
      </c>
      <c r="KHK17" s="310" t="s">
        <v>201</v>
      </c>
      <c r="KHL17" s="310" t="s">
        <v>201</v>
      </c>
      <c r="KHM17" s="310" t="s">
        <v>201</v>
      </c>
      <c r="KHN17" s="310" t="s">
        <v>201</v>
      </c>
      <c r="KHO17" s="310" t="s">
        <v>201</v>
      </c>
      <c r="KHP17" s="310" t="s">
        <v>201</v>
      </c>
      <c r="KHQ17" s="310" t="s">
        <v>201</v>
      </c>
      <c r="KHR17" s="310" t="s">
        <v>201</v>
      </c>
      <c r="KHS17" s="310" t="s">
        <v>201</v>
      </c>
      <c r="KHT17" s="310" t="s">
        <v>201</v>
      </c>
      <c r="KHU17" s="310" t="s">
        <v>201</v>
      </c>
      <c r="KHV17" s="310" t="s">
        <v>201</v>
      </c>
      <c r="KHW17" s="310" t="s">
        <v>201</v>
      </c>
      <c r="KHX17" s="310" t="s">
        <v>201</v>
      </c>
      <c r="KHY17" s="310" t="s">
        <v>201</v>
      </c>
      <c r="KHZ17" s="310" t="s">
        <v>201</v>
      </c>
      <c r="KIA17" s="310" t="s">
        <v>201</v>
      </c>
      <c r="KIB17" s="310" t="s">
        <v>201</v>
      </c>
      <c r="KIC17" s="310" t="s">
        <v>201</v>
      </c>
      <c r="KID17" s="310" t="s">
        <v>201</v>
      </c>
      <c r="KIE17" s="310" t="s">
        <v>201</v>
      </c>
      <c r="KIF17" s="310" t="s">
        <v>201</v>
      </c>
      <c r="KIG17" s="310" t="s">
        <v>201</v>
      </c>
      <c r="KIH17" s="310" t="s">
        <v>201</v>
      </c>
      <c r="KII17" s="310" t="s">
        <v>201</v>
      </c>
      <c r="KIJ17" s="310" t="s">
        <v>201</v>
      </c>
      <c r="KIK17" s="310" t="s">
        <v>201</v>
      </c>
      <c r="KIL17" s="310" t="s">
        <v>201</v>
      </c>
      <c r="KIM17" s="310" t="s">
        <v>201</v>
      </c>
      <c r="KIN17" s="310" t="s">
        <v>201</v>
      </c>
      <c r="KIO17" s="310" t="s">
        <v>201</v>
      </c>
      <c r="KIP17" s="310" t="s">
        <v>201</v>
      </c>
      <c r="KIQ17" s="310" t="s">
        <v>201</v>
      </c>
      <c r="KIR17" s="310" t="s">
        <v>201</v>
      </c>
      <c r="KIS17" s="310" t="s">
        <v>201</v>
      </c>
      <c r="KIT17" s="310" t="s">
        <v>201</v>
      </c>
      <c r="KIU17" s="310" t="s">
        <v>201</v>
      </c>
      <c r="KIV17" s="310" t="s">
        <v>201</v>
      </c>
      <c r="KIW17" s="310" t="s">
        <v>201</v>
      </c>
      <c r="KIX17" s="310" t="s">
        <v>201</v>
      </c>
      <c r="KIY17" s="310" t="s">
        <v>201</v>
      </c>
      <c r="KIZ17" s="310" t="s">
        <v>201</v>
      </c>
      <c r="KJA17" s="310" t="s">
        <v>201</v>
      </c>
      <c r="KJB17" s="310" t="s">
        <v>201</v>
      </c>
      <c r="KJC17" s="310" t="s">
        <v>201</v>
      </c>
      <c r="KJD17" s="310" t="s">
        <v>201</v>
      </c>
      <c r="KJE17" s="310" t="s">
        <v>201</v>
      </c>
      <c r="KJF17" s="310" t="s">
        <v>201</v>
      </c>
      <c r="KJG17" s="310" t="s">
        <v>201</v>
      </c>
      <c r="KJH17" s="310" t="s">
        <v>201</v>
      </c>
      <c r="KJI17" s="310" t="s">
        <v>201</v>
      </c>
      <c r="KJJ17" s="310" t="s">
        <v>201</v>
      </c>
      <c r="KJK17" s="310" t="s">
        <v>201</v>
      </c>
      <c r="KJL17" s="310" t="s">
        <v>201</v>
      </c>
      <c r="KJM17" s="310" t="s">
        <v>201</v>
      </c>
      <c r="KJN17" s="310" t="s">
        <v>201</v>
      </c>
      <c r="KJO17" s="310" t="s">
        <v>201</v>
      </c>
      <c r="KJP17" s="310" t="s">
        <v>201</v>
      </c>
      <c r="KJQ17" s="310" t="s">
        <v>201</v>
      </c>
      <c r="KJR17" s="310" t="s">
        <v>201</v>
      </c>
      <c r="KJS17" s="310" t="s">
        <v>201</v>
      </c>
      <c r="KJT17" s="310" t="s">
        <v>201</v>
      </c>
      <c r="KJU17" s="310" t="s">
        <v>201</v>
      </c>
      <c r="KJV17" s="310" t="s">
        <v>201</v>
      </c>
      <c r="KJW17" s="310" t="s">
        <v>201</v>
      </c>
      <c r="KJX17" s="310" t="s">
        <v>201</v>
      </c>
      <c r="KJY17" s="310" t="s">
        <v>201</v>
      </c>
      <c r="KJZ17" s="310" t="s">
        <v>201</v>
      </c>
      <c r="KKA17" s="310" t="s">
        <v>201</v>
      </c>
      <c r="KKB17" s="310" t="s">
        <v>201</v>
      </c>
      <c r="KKC17" s="310" t="s">
        <v>201</v>
      </c>
      <c r="KKD17" s="310" t="s">
        <v>201</v>
      </c>
      <c r="KKE17" s="310" t="s">
        <v>201</v>
      </c>
      <c r="KKF17" s="310" t="s">
        <v>201</v>
      </c>
      <c r="KKG17" s="310" t="s">
        <v>201</v>
      </c>
      <c r="KKH17" s="310" t="s">
        <v>201</v>
      </c>
      <c r="KKI17" s="310" t="s">
        <v>201</v>
      </c>
      <c r="KKJ17" s="310" t="s">
        <v>201</v>
      </c>
      <c r="KKK17" s="310" t="s">
        <v>201</v>
      </c>
      <c r="KKL17" s="310" t="s">
        <v>201</v>
      </c>
      <c r="KKM17" s="310" t="s">
        <v>201</v>
      </c>
      <c r="KKN17" s="310" t="s">
        <v>201</v>
      </c>
      <c r="KKO17" s="310" t="s">
        <v>201</v>
      </c>
      <c r="KKP17" s="310" t="s">
        <v>201</v>
      </c>
      <c r="KKQ17" s="310" t="s">
        <v>201</v>
      </c>
      <c r="KKR17" s="310" t="s">
        <v>201</v>
      </c>
      <c r="KKS17" s="310" t="s">
        <v>201</v>
      </c>
      <c r="KKT17" s="310" t="s">
        <v>201</v>
      </c>
      <c r="KKU17" s="310" t="s">
        <v>201</v>
      </c>
      <c r="KKV17" s="310" t="s">
        <v>201</v>
      </c>
      <c r="KKW17" s="310" t="s">
        <v>201</v>
      </c>
      <c r="KKX17" s="310" t="s">
        <v>201</v>
      </c>
      <c r="KKY17" s="310" t="s">
        <v>201</v>
      </c>
      <c r="KKZ17" s="310" t="s">
        <v>201</v>
      </c>
      <c r="KLA17" s="310" t="s">
        <v>201</v>
      </c>
      <c r="KLB17" s="310" t="s">
        <v>201</v>
      </c>
      <c r="KLC17" s="310" t="s">
        <v>201</v>
      </c>
      <c r="KLD17" s="310" t="s">
        <v>201</v>
      </c>
      <c r="KLE17" s="310" t="s">
        <v>201</v>
      </c>
      <c r="KLF17" s="310" t="s">
        <v>201</v>
      </c>
      <c r="KLG17" s="310" t="s">
        <v>201</v>
      </c>
      <c r="KLH17" s="310" t="s">
        <v>201</v>
      </c>
      <c r="KLI17" s="310" t="s">
        <v>201</v>
      </c>
      <c r="KLJ17" s="310" t="s">
        <v>201</v>
      </c>
      <c r="KLK17" s="310" t="s">
        <v>201</v>
      </c>
      <c r="KLL17" s="310" t="s">
        <v>201</v>
      </c>
      <c r="KLM17" s="310" t="s">
        <v>201</v>
      </c>
      <c r="KLN17" s="310" t="s">
        <v>201</v>
      </c>
      <c r="KLO17" s="310" t="s">
        <v>201</v>
      </c>
      <c r="KLP17" s="310" t="s">
        <v>201</v>
      </c>
      <c r="KLQ17" s="310" t="s">
        <v>201</v>
      </c>
      <c r="KLR17" s="310" t="s">
        <v>201</v>
      </c>
      <c r="KLS17" s="310" t="s">
        <v>201</v>
      </c>
      <c r="KLT17" s="310" t="s">
        <v>201</v>
      </c>
      <c r="KLU17" s="310" t="s">
        <v>201</v>
      </c>
      <c r="KLV17" s="310" t="s">
        <v>201</v>
      </c>
      <c r="KLW17" s="310" t="s">
        <v>201</v>
      </c>
      <c r="KLX17" s="310" t="s">
        <v>201</v>
      </c>
      <c r="KLY17" s="310" t="s">
        <v>201</v>
      </c>
      <c r="KLZ17" s="310" t="s">
        <v>201</v>
      </c>
      <c r="KMA17" s="310" t="s">
        <v>201</v>
      </c>
      <c r="KMB17" s="310" t="s">
        <v>201</v>
      </c>
      <c r="KMC17" s="310" t="s">
        <v>201</v>
      </c>
      <c r="KMD17" s="310" t="s">
        <v>201</v>
      </c>
      <c r="KME17" s="310" t="s">
        <v>201</v>
      </c>
      <c r="KMF17" s="310" t="s">
        <v>201</v>
      </c>
      <c r="KMG17" s="310" t="s">
        <v>201</v>
      </c>
      <c r="KMH17" s="310" t="s">
        <v>201</v>
      </c>
      <c r="KMI17" s="310" t="s">
        <v>201</v>
      </c>
      <c r="KMJ17" s="310" t="s">
        <v>201</v>
      </c>
      <c r="KMK17" s="310" t="s">
        <v>201</v>
      </c>
      <c r="KML17" s="310" t="s">
        <v>201</v>
      </c>
      <c r="KMM17" s="310" t="s">
        <v>201</v>
      </c>
      <c r="KMN17" s="310" t="s">
        <v>201</v>
      </c>
      <c r="KMO17" s="310" t="s">
        <v>201</v>
      </c>
      <c r="KMP17" s="310" t="s">
        <v>201</v>
      </c>
      <c r="KMQ17" s="310" t="s">
        <v>201</v>
      </c>
      <c r="KMR17" s="310" t="s">
        <v>201</v>
      </c>
      <c r="KMS17" s="310" t="s">
        <v>201</v>
      </c>
      <c r="KMT17" s="310" t="s">
        <v>201</v>
      </c>
      <c r="KMU17" s="310" t="s">
        <v>201</v>
      </c>
      <c r="KMV17" s="310" t="s">
        <v>201</v>
      </c>
      <c r="KMW17" s="310" t="s">
        <v>201</v>
      </c>
      <c r="KMX17" s="310" t="s">
        <v>201</v>
      </c>
      <c r="KMY17" s="310" t="s">
        <v>201</v>
      </c>
      <c r="KMZ17" s="310" t="s">
        <v>201</v>
      </c>
      <c r="KNA17" s="310" t="s">
        <v>201</v>
      </c>
      <c r="KNB17" s="310" t="s">
        <v>201</v>
      </c>
      <c r="KNC17" s="310" t="s">
        <v>201</v>
      </c>
      <c r="KND17" s="310" t="s">
        <v>201</v>
      </c>
      <c r="KNE17" s="310" t="s">
        <v>201</v>
      </c>
      <c r="KNF17" s="310" t="s">
        <v>201</v>
      </c>
      <c r="KNG17" s="310" t="s">
        <v>201</v>
      </c>
      <c r="KNH17" s="310" t="s">
        <v>201</v>
      </c>
      <c r="KNI17" s="310" t="s">
        <v>201</v>
      </c>
      <c r="KNJ17" s="310" t="s">
        <v>201</v>
      </c>
      <c r="KNK17" s="310" t="s">
        <v>201</v>
      </c>
      <c r="KNL17" s="310" t="s">
        <v>201</v>
      </c>
      <c r="KNM17" s="310" t="s">
        <v>201</v>
      </c>
      <c r="KNN17" s="310" t="s">
        <v>201</v>
      </c>
      <c r="KNO17" s="310" t="s">
        <v>201</v>
      </c>
      <c r="KNP17" s="310" t="s">
        <v>201</v>
      </c>
      <c r="KNQ17" s="310" t="s">
        <v>201</v>
      </c>
      <c r="KNR17" s="310" t="s">
        <v>201</v>
      </c>
      <c r="KNS17" s="310" t="s">
        <v>201</v>
      </c>
      <c r="KNT17" s="310" t="s">
        <v>201</v>
      </c>
      <c r="KNU17" s="310" t="s">
        <v>201</v>
      </c>
      <c r="KNV17" s="310" t="s">
        <v>201</v>
      </c>
      <c r="KNW17" s="310" t="s">
        <v>201</v>
      </c>
      <c r="KNX17" s="310" t="s">
        <v>201</v>
      </c>
      <c r="KNY17" s="310" t="s">
        <v>201</v>
      </c>
      <c r="KNZ17" s="310" t="s">
        <v>201</v>
      </c>
      <c r="KOA17" s="310" t="s">
        <v>201</v>
      </c>
      <c r="KOB17" s="310" t="s">
        <v>201</v>
      </c>
      <c r="KOC17" s="310" t="s">
        <v>201</v>
      </c>
      <c r="KOD17" s="310" t="s">
        <v>201</v>
      </c>
      <c r="KOE17" s="310" t="s">
        <v>201</v>
      </c>
      <c r="KOF17" s="310" t="s">
        <v>201</v>
      </c>
      <c r="KOG17" s="310" t="s">
        <v>201</v>
      </c>
      <c r="KOH17" s="310" t="s">
        <v>201</v>
      </c>
      <c r="KOI17" s="310" t="s">
        <v>201</v>
      </c>
      <c r="KOJ17" s="310" t="s">
        <v>201</v>
      </c>
      <c r="KOK17" s="310" t="s">
        <v>201</v>
      </c>
      <c r="KOL17" s="310" t="s">
        <v>201</v>
      </c>
      <c r="KOM17" s="310" t="s">
        <v>201</v>
      </c>
      <c r="KON17" s="310" t="s">
        <v>201</v>
      </c>
      <c r="KOO17" s="310" t="s">
        <v>201</v>
      </c>
      <c r="KOP17" s="310" t="s">
        <v>201</v>
      </c>
      <c r="KOQ17" s="310" t="s">
        <v>201</v>
      </c>
      <c r="KOR17" s="310" t="s">
        <v>201</v>
      </c>
      <c r="KOS17" s="310" t="s">
        <v>201</v>
      </c>
      <c r="KOT17" s="310" t="s">
        <v>201</v>
      </c>
      <c r="KOU17" s="310" t="s">
        <v>201</v>
      </c>
      <c r="KOV17" s="310" t="s">
        <v>201</v>
      </c>
      <c r="KOW17" s="310" t="s">
        <v>201</v>
      </c>
      <c r="KOX17" s="310" t="s">
        <v>201</v>
      </c>
      <c r="KOY17" s="310" t="s">
        <v>201</v>
      </c>
      <c r="KOZ17" s="310" t="s">
        <v>201</v>
      </c>
      <c r="KPA17" s="310" t="s">
        <v>201</v>
      </c>
      <c r="KPB17" s="310" t="s">
        <v>201</v>
      </c>
      <c r="KPC17" s="310" t="s">
        <v>201</v>
      </c>
      <c r="KPD17" s="310" t="s">
        <v>201</v>
      </c>
      <c r="KPE17" s="310" t="s">
        <v>201</v>
      </c>
      <c r="KPF17" s="310" t="s">
        <v>201</v>
      </c>
      <c r="KPG17" s="310" t="s">
        <v>201</v>
      </c>
      <c r="KPH17" s="310" t="s">
        <v>201</v>
      </c>
      <c r="KPI17" s="310" t="s">
        <v>201</v>
      </c>
      <c r="KPJ17" s="310" t="s">
        <v>201</v>
      </c>
      <c r="KPK17" s="310" t="s">
        <v>201</v>
      </c>
      <c r="KPL17" s="310" t="s">
        <v>201</v>
      </c>
      <c r="KPM17" s="310" t="s">
        <v>201</v>
      </c>
      <c r="KPN17" s="310" t="s">
        <v>201</v>
      </c>
      <c r="KPO17" s="310" t="s">
        <v>201</v>
      </c>
      <c r="KPP17" s="310" t="s">
        <v>201</v>
      </c>
      <c r="KPQ17" s="310" t="s">
        <v>201</v>
      </c>
      <c r="KPR17" s="310" t="s">
        <v>201</v>
      </c>
      <c r="KPS17" s="310" t="s">
        <v>201</v>
      </c>
      <c r="KPT17" s="310" t="s">
        <v>201</v>
      </c>
      <c r="KPU17" s="310" t="s">
        <v>201</v>
      </c>
      <c r="KPV17" s="310" t="s">
        <v>201</v>
      </c>
      <c r="KPW17" s="310" t="s">
        <v>201</v>
      </c>
      <c r="KPX17" s="310" t="s">
        <v>201</v>
      </c>
      <c r="KPY17" s="310" t="s">
        <v>201</v>
      </c>
      <c r="KPZ17" s="310" t="s">
        <v>201</v>
      </c>
      <c r="KQA17" s="310" t="s">
        <v>201</v>
      </c>
      <c r="KQB17" s="310" t="s">
        <v>201</v>
      </c>
      <c r="KQC17" s="310" t="s">
        <v>201</v>
      </c>
      <c r="KQD17" s="310" t="s">
        <v>201</v>
      </c>
      <c r="KQE17" s="310" t="s">
        <v>201</v>
      </c>
      <c r="KQF17" s="310" t="s">
        <v>201</v>
      </c>
      <c r="KQG17" s="310" t="s">
        <v>201</v>
      </c>
      <c r="KQH17" s="310" t="s">
        <v>201</v>
      </c>
      <c r="KQI17" s="310" t="s">
        <v>201</v>
      </c>
      <c r="KQJ17" s="310" t="s">
        <v>201</v>
      </c>
      <c r="KQK17" s="310" t="s">
        <v>201</v>
      </c>
      <c r="KQL17" s="310" t="s">
        <v>201</v>
      </c>
      <c r="KQM17" s="310" t="s">
        <v>201</v>
      </c>
      <c r="KQN17" s="310" t="s">
        <v>201</v>
      </c>
      <c r="KQO17" s="310" t="s">
        <v>201</v>
      </c>
      <c r="KQP17" s="310" t="s">
        <v>201</v>
      </c>
      <c r="KQQ17" s="310" t="s">
        <v>201</v>
      </c>
      <c r="KQR17" s="310" t="s">
        <v>201</v>
      </c>
      <c r="KQS17" s="310" t="s">
        <v>201</v>
      </c>
      <c r="KQT17" s="310" t="s">
        <v>201</v>
      </c>
      <c r="KQU17" s="310" t="s">
        <v>201</v>
      </c>
      <c r="KQV17" s="310" t="s">
        <v>201</v>
      </c>
      <c r="KQW17" s="310" t="s">
        <v>201</v>
      </c>
      <c r="KQX17" s="310" t="s">
        <v>201</v>
      </c>
      <c r="KQY17" s="310" t="s">
        <v>201</v>
      </c>
      <c r="KQZ17" s="310" t="s">
        <v>201</v>
      </c>
      <c r="KRA17" s="310" t="s">
        <v>201</v>
      </c>
      <c r="KRB17" s="310" t="s">
        <v>201</v>
      </c>
      <c r="KRC17" s="310" t="s">
        <v>201</v>
      </c>
      <c r="KRD17" s="310" t="s">
        <v>201</v>
      </c>
      <c r="KRE17" s="310" t="s">
        <v>201</v>
      </c>
      <c r="KRF17" s="310" t="s">
        <v>201</v>
      </c>
      <c r="KRG17" s="310" t="s">
        <v>201</v>
      </c>
      <c r="KRH17" s="310" t="s">
        <v>201</v>
      </c>
      <c r="KRI17" s="310" t="s">
        <v>201</v>
      </c>
      <c r="KRJ17" s="310" t="s">
        <v>201</v>
      </c>
      <c r="KRK17" s="310" t="s">
        <v>201</v>
      </c>
      <c r="KRL17" s="310" t="s">
        <v>201</v>
      </c>
      <c r="KRM17" s="310" t="s">
        <v>201</v>
      </c>
      <c r="KRN17" s="310" t="s">
        <v>201</v>
      </c>
      <c r="KRO17" s="310" t="s">
        <v>201</v>
      </c>
      <c r="KRP17" s="310" t="s">
        <v>201</v>
      </c>
      <c r="KRQ17" s="310" t="s">
        <v>201</v>
      </c>
      <c r="KRR17" s="310" t="s">
        <v>201</v>
      </c>
      <c r="KRS17" s="310" t="s">
        <v>201</v>
      </c>
      <c r="KRT17" s="310" t="s">
        <v>201</v>
      </c>
      <c r="KRU17" s="310" t="s">
        <v>201</v>
      </c>
      <c r="KRV17" s="310" t="s">
        <v>201</v>
      </c>
      <c r="KRW17" s="310" t="s">
        <v>201</v>
      </c>
      <c r="KRX17" s="310" t="s">
        <v>201</v>
      </c>
      <c r="KRY17" s="310" t="s">
        <v>201</v>
      </c>
      <c r="KRZ17" s="310" t="s">
        <v>201</v>
      </c>
      <c r="KSA17" s="310" t="s">
        <v>201</v>
      </c>
      <c r="KSB17" s="310" t="s">
        <v>201</v>
      </c>
      <c r="KSC17" s="310" t="s">
        <v>201</v>
      </c>
      <c r="KSD17" s="310" t="s">
        <v>201</v>
      </c>
      <c r="KSE17" s="310" t="s">
        <v>201</v>
      </c>
      <c r="KSF17" s="310" t="s">
        <v>201</v>
      </c>
      <c r="KSG17" s="310" t="s">
        <v>201</v>
      </c>
      <c r="KSH17" s="310" t="s">
        <v>201</v>
      </c>
      <c r="KSI17" s="310" t="s">
        <v>201</v>
      </c>
      <c r="KSJ17" s="310" t="s">
        <v>201</v>
      </c>
      <c r="KSK17" s="310" t="s">
        <v>201</v>
      </c>
      <c r="KSL17" s="310" t="s">
        <v>201</v>
      </c>
      <c r="KSM17" s="310" t="s">
        <v>201</v>
      </c>
      <c r="KSN17" s="310" t="s">
        <v>201</v>
      </c>
      <c r="KSO17" s="310" t="s">
        <v>201</v>
      </c>
      <c r="KSP17" s="310" t="s">
        <v>201</v>
      </c>
      <c r="KSQ17" s="310" t="s">
        <v>201</v>
      </c>
      <c r="KSR17" s="310" t="s">
        <v>201</v>
      </c>
      <c r="KSS17" s="310" t="s">
        <v>201</v>
      </c>
      <c r="KST17" s="310" t="s">
        <v>201</v>
      </c>
      <c r="KSU17" s="310" t="s">
        <v>201</v>
      </c>
      <c r="KSV17" s="310" t="s">
        <v>201</v>
      </c>
      <c r="KSW17" s="310" t="s">
        <v>201</v>
      </c>
      <c r="KSX17" s="310" t="s">
        <v>201</v>
      </c>
      <c r="KSY17" s="310" t="s">
        <v>201</v>
      </c>
      <c r="KSZ17" s="310" t="s">
        <v>201</v>
      </c>
      <c r="KTA17" s="310" t="s">
        <v>201</v>
      </c>
      <c r="KTB17" s="310" t="s">
        <v>201</v>
      </c>
      <c r="KTC17" s="310" t="s">
        <v>201</v>
      </c>
      <c r="KTD17" s="310" t="s">
        <v>201</v>
      </c>
      <c r="KTE17" s="310" t="s">
        <v>201</v>
      </c>
      <c r="KTF17" s="310" t="s">
        <v>201</v>
      </c>
      <c r="KTG17" s="310" t="s">
        <v>201</v>
      </c>
      <c r="KTH17" s="310" t="s">
        <v>201</v>
      </c>
      <c r="KTI17" s="310" t="s">
        <v>201</v>
      </c>
      <c r="KTJ17" s="310" t="s">
        <v>201</v>
      </c>
      <c r="KTK17" s="310" t="s">
        <v>201</v>
      </c>
      <c r="KTL17" s="310" t="s">
        <v>201</v>
      </c>
      <c r="KTM17" s="310" t="s">
        <v>201</v>
      </c>
      <c r="KTN17" s="310" t="s">
        <v>201</v>
      </c>
      <c r="KTO17" s="310" t="s">
        <v>201</v>
      </c>
      <c r="KTP17" s="310" t="s">
        <v>201</v>
      </c>
      <c r="KTQ17" s="310" t="s">
        <v>201</v>
      </c>
      <c r="KTR17" s="310" t="s">
        <v>201</v>
      </c>
      <c r="KTS17" s="310" t="s">
        <v>201</v>
      </c>
      <c r="KTT17" s="310" t="s">
        <v>201</v>
      </c>
      <c r="KTU17" s="310" t="s">
        <v>201</v>
      </c>
      <c r="KTV17" s="310" t="s">
        <v>201</v>
      </c>
      <c r="KTW17" s="310" t="s">
        <v>201</v>
      </c>
      <c r="KTX17" s="310" t="s">
        <v>201</v>
      </c>
      <c r="KTY17" s="310" t="s">
        <v>201</v>
      </c>
      <c r="KTZ17" s="310" t="s">
        <v>201</v>
      </c>
      <c r="KUA17" s="310" t="s">
        <v>201</v>
      </c>
      <c r="KUB17" s="310" t="s">
        <v>201</v>
      </c>
      <c r="KUC17" s="310" t="s">
        <v>201</v>
      </c>
      <c r="KUD17" s="310" t="s">
        <v>201</v>
      </c>
      <c r="KUE17" s="310" t="s">
        <v>201</v>
      </c>
      <c r="KUF17" s="310" t="s">
        <v>201</v>
      </c>
      <c r="KUG17" s="310" t="s">
        <v>201</v>
      </c>
      <c r="KUH17" s="310" t="s">
        <v>201</v>
      </c>
      <c r="KUI17" s="310" t="s">
        <v>201</v>
      </c>
      <c r="KUJ17" s="310" t="s">
        <v>201</v>
      </c>
      <c r="KUK17" s="310" t="s">
        <v>201</v>
      </c>
      <c r="KUL17" s="310" t="s">
        <v>201</v>
      </c>
      <c r="KUM17" s="310" t="s">
        <v>201</v>
      </c>
      <c r="KUN17" s="310" t="s">
        <v>201</v>
      </c>
      <c r="KUO17" s="310" t="s">
        <v>201</v>
      </c>
      <c r="KUP17" s="310" t="s">
        <v>201</v>
      </c>
      <c r="KUQ17" s="310" t="s">
        <v>201</v>
      </c>
      <c r="KUR17" s="310" t="s">
        <v>201</v>
      </c>
      <c r="KUS17" s="310" t="s">
        <v>201</v>
      </c>
      <c r="KUT17" s="310" t="s">
        <v>201</v>
      </c>
      <c r="KUU17" s="310" t="s">
        <v>201</v>
      </c>
      <c r="KUV17" s="310" t="s">
        <v>201</v>
      </c>
      <c r="KUW17" s="310" t="s">
        <v>201</v>
      </c>
      <c r="KUX17" s="310" t="s">
        <v>201</v>
      </c>
      <c r="KUY17" s="310" t="s">
        <v>201</v>
      </c>
      <c r="KUZ17" s="310" t="s">
        <v>201</v>
      </c>
      <c r="KVA17" s="310" t="s">
        <v>201</v>
      </c>
      <c r="KVB17" s="310" t="s">
        <v>201</v>
      </c>
      <c r="KVC17" s="310" t="s">
        <v>201</v>
      </c>
      <c r="KVD17" s="310" t="s">
        <v>201</v>
      </c>
      <c r="KVE17" s="310" t="s">
        <v>201</v>
      </c>
      <c r="KVF17" s="310" t="s">
        <v>201</v>
      </c>
      <c r="KVG17" s="310" t="s">
        <v>201</v>
      </c>
      <c r="KVH17" s="310" t="s">
        <v>201</v>
      </c>
      <c r="KVI17" s="310" t="s">
        <v>201</v>
      </c>
      <c r="KVJ17" s="310" t="s">
        <v>201</v>
      </c>
      <c r="KVK17" s="310" t="s">
        <v>201</v>
      </c>
      <c r="KVL17" s="310" t="s">
        <v>201</v>
      </c>
      <c r="KVM17" s="310" t="s">
        <v>201</v>
      </c>
      <c r="KVN17" s="310" t="s">
        <v>201</v>
      </c>
      <c r="KVO17" s="310" t="s">
        <v>201</v>
      </c>
      <c r="KVP17" s="310" t="s">
        <v>201</v>
      </c>
      <c r="KVQ17" s="310" t="s">
        <v>201</v>
      </c>
      <c r="KVR17" s="310" t="s">
        <v>201</v>
      </c>
      <c r="KVS17" s="310" t="s">
        <v>201</v>
      </c>
      <c r="KVT17" s="310" t="s">
        <v>201</v>
      </c>
      <c r="KVU17" s="310" t="s">
        <v>201</v>
      </c>
      <c r="KVV17" s="310" t="s">
        <v>201</v>
      </c>
      <c r="KVW17" s="310" t="s">
        <v>201</v>
      </c>
      <c r="KVX17" s="310" t="s">
        <v>201</v>
      </c>
      <c r="KVY17" s="310" t="s">
        <v>201</v>
      </c>
      <c r="KVZ17" s="310" t="s">
        <v>201</v>
      </c>
      <c r="KWA17" s="310" t="s">
        <v>201</v>
      </c>
      <c r="KWB17" s="310" t="s">
        <v>201</v>
      </c>
      <c r="KWC17" s="310" t="s">
        <v>201</v>
      </c>
      <c r="KWD17" s="310" t="s">
        <v>201</v>
      </c>
      <c r="KWE17" s="310" t="s">
        <v>201</v>
      </c>
      <c r="KWF17" s="310" t="s">
        <v>201</v>
      </c>
      <c r="KWG17" s="310" t="s">
        <v>201</v>
      </c>
      <c r="KWH17" s="310" t="s">
        <v>201</v>
      </c>
      <c r="KWI17" s="310" t="s">
        <v>201</v>
      </c>
      <c r="KWJ17" s="310" t="s">
        <v>201</v>
      </c>
      <c r="KWK17" s="310" t="s">
        <v>201</v>
      </c>
      <c r="KWL17" s="310" t="s">
        <v>201</v>
      </c>
      <c r="KWM17" s="310" t="s">
        <v>201</v>
      </c>
      <c r="KWN17" s="310" t="s">
        <v>201</v>
      </c>
      <c r="KWO17" s="310" t="s">
        <v>201</v>
      </c>
      <c r="KWP17" s="310" t="s">
        <v>201</v>
      </c>
      <c r="KWQ17" s="310" t="s">
        <v>201</v>
      </c>
      <c r="KWR17" s="310" t="s">
        <v>201</v>
      </c>
      <c r="KWS17" s="310" t="s">
        <v>201</v>
      </c>
      <c r="KWT17" s="310" t="s">
        <v>201</v>
      </c>
      <c r="KWU17" s="310" t="s">
        <v>201</v>
      </c>
      <c r="KWV17" s="310" t="s">
        <v>201</v>
      </c>
      <c r="KWW17" s="310" t="s">
        <v>201</v>
      </c>
      <c r="KWX17" s="310" t="s">
        <v>201</v>
      </c>
      <c r="KWY17" s="310" t="s">
        <v>201</v>
      </c>
      <c r="KWZ17" s="310" t="s">
        <v>201</v>
      </c>
      <c r="KXA17" s="310" t="s">
        <v>201</v>
      </c>
      <c r="KXB17" s="310" t="s">
        <v>201</v>
      </c>
      <c r="KXC17" s="310" t="s">
        <v>201</v>
      </c>
      <c r="KXD17" s="310" t="s">
        <v>201</v>
      </c>
      <c r="KXE17" s="310" t="s">
        <v>201</v>
      </c>
      <c r="KXF17" s="310" t="s">
        <v>201</v>
      </c>
      <c r="KXG17" s="310" t="s">
        <v>201</v>
      </c>
      <c r="KXH17" s="310" t="s">
        <v>201</v>
      </c>
      <c r="KXI17" s="310" t="s">
        <v>201</v>
      </c>
      <c r="KXJ17" s="310" t="s">
        <v>201</v>
      </c>
      <c r="KXK17" s="310" t="s">
        <v>201</v>
      </c>
      <c r="KXL17" s="310" t="s">
        <v>201</v>
      </c>
      <c r="KXM17" s="310" t="s">
        <v>201</v>
      </c>
      <c r="KXN17" s="310" t="s">
        <v>201</v>
      </c>
      <c r="KXO17" s="310" t="s">
        <v>201</v>
      </c>
      <c r="KXP17" s="310" t="s">
        <v>201</v>
      </c>
      <c r="KXQ17" s="310" t="s">
        <v>201</v>
      </c>
      <c r="KXR17" s="310" t="s">
        <v>201</v>
      </c>
      <c r="KXS17" s="310" t="s">
        <v>201</v>
      </c>
      <c r="KXT17" s="310" t="s">
        <v>201</v>
      </c>
      <c r="KXU17" s="310" t="s">
        <v>201</v>
      </c>
      <c r="KXV17" s="310" t="s">
        <v>201</v>
      </c>
      <c r="KXW17" s="310" t="s">
        <v>201</v>
      </c>
      <c r="KXX17" s="310" t="s">
        <v>201</v>
      </c>
      <c r="KXY17" s="310" t="s">
        <v>201</v>
      </c>
      <c r="KXZ17" s="310" t="s">
        <v>201</v>
      </c>
      <c r="KYA17" s="310" t="s">
        <v>201</v>
      </c>
      <c r="KYB17" s="310" t="s">
        <v>201</v>
      </c>
      <c r="KYC17" s="310" t="s">
        <v>201</v>
      </c>
      <c r="KYD17" s="310" t="s">
        <v>201</v>
      </c>
      <c r="KYE17" s="310" t="s">
        <v>201</v>
      </c>
      <c r="KYF17" s="310" t="s">
        <v>201</v>
      </c>
      <c r="KYG17" s="310" t="s">
        <v>201</v>
      </c>
      <c r="KYH17" s="310" t="s">
        <v>201</v>
      </c>
      <c r="KYI17" s="310" t="s">
        <v>201</v>
      </c>
      <c r="KYJ17" s="310" t="s">
        <v>201</v>
      </c>
      <c r="KYK17" s="310" t="s">
        <v>201</v>
      </c>
      <c r="KYL17" s="310" t="s">
        <v>201</v>
      </c>
      <c r="KYM17" s="310" t="s">
        <v>201</v>
      </c>
      <c r="KYN17" s="310" t="s">
        <v>201</v>
      </c>
      <c r="KYO17" s="310" t="s">
        <v>201</v>
      </c>
      <c r="KYP17" s="310" t="s">
        <v>201</v>
      </c>
      <c r="KYQ17" s="310" t="s">
        <v>201</v>
      </c>
      <c r="KYR17" s="310" t="s">
        <v>201</v>
      </c>
      <c r="KYS17" s="310" t="s">
        <v>201</v>
      </c>
      <c r="KYT17" s="310" t="s">
        <v>201</v>
      </c>
      <c r="KYU17" s="310" t="s">
        <v>201</v>
      </c>
      <c r="KYV17" s="310" t="s">
        <v>201</v>
      </c>
      <c r="KYW17" s="310" t="s">
        <v>201</v>
      </c>
      <c r="KYX17" s="310" t="s">
        <v>201</v>
      </c>
      <c r="KYY17" s="310" t="s">
        <v>201</v>
      </c>
      <c r="KYZ17" s="310" t="s">
        <v>201</v>
      </c>
      <c r="KZA17" s="310" t="s">
        <v>201</v>
      </c>
      <c r="KZB17" s="310" t="s">
        <v>201</v>
      </c>
      <c r="KZC17" s="310" t="s">
        <v>201</v>
      </c>
      <c r="KZD17" s="310" t="s">
        <v>201</v>
      </c>
      <c r="KZE17" s="310" t="s">
        <v>201</v>
      </c>
      <c r="KZF17" s="310" t="s">
        <v>201</v>
      </c>
      <c r="KZG17" s="310" t="s">
        <v>201</v>
      </c>
      <c r="KZH17" s="310" t="s">
        <v>201</v>
      </c>
      <c r="KZI17" s="310" t="s">
        <v>201</v>
      </c>
      <c r="KZJ17" s="310" t="s">
        <v>201</v>
      </c>
      <c r="KZK17" s="310" t="s">
        <v>201</v>
      </c>
      <c r="KZL17" s="310" t="s">
        <v>201</v>
      </c>
      <c r="KZM17" s="310" t="s">
        <v>201</v>
      </c>
      <c r="KZN17" s="310" t="s">
        <v>201</v>
      </c>
      <c r="KZO17" s="310" t="s">
        <v>201</v>
      </c>
      <c r="KZP17" s="310" t="s">
        <v>201</v>
      </c>
      <c r="KZQ17" s="310" t="s">
        <v>201</v>
      </c>
      <c r="KZR17" s="310" t="s">
        <v>201</v>
      </c>
      <c r="KZS17" s="310" t="s">
        <v>201</v>
      </c>
      <c r="KZT17" s="310" t="s">
        <v>201</v>
      </c>
      <c r="KZU17" s="310" t="s">
        <v>201</v>
      </c>
      <c r="KZV17" s="310" t="s">
        <v>201</v>
      </c>
      <c r="KZW17" s="310" t="s">
        <v>201</v>
      </c>
      <c r="KZX17" s="310" t="s">
        <v>201</v>
      </c>
      <c r="KZY17" s="310" t="s">
        <v>201</v>
      </c>
      <c r="KZZ17" s="310" t="s">
        <v>201</v>
      </c>
      <c r="LAA17" s="310" t="s">
        <v>201</v>
      </c>
      <c r="LAB17" s="310" t="s">
        <v>201</v>
      </c>
      <c r="LAC17" s="310" t="s">
        <v>201</v>
      </c>
      <c r="LAD17" s="310" t="s">
        <v>201</v>
      </c>
      <c r="LAE17" s="310" t="s">
        <v>201</v>
      </c>
      <c r="LAF17" s="310" t="s">
        <v>201</v>
      </c>
      <c r="LAG17" s="310" t="s">
        <v>201</v>
      </c>
      <c r="LAH17" s="310" t="s">
        <v>201</v>
      </c>
      <c r="LAI17" s="310" t="s">
        <v>201</v>
      </c>
      <c r="LAJ17" s="310" t="s">
        <v>201</v>
      </c>
      <c r="LAK17" s="310" t="s">
        <v>201</v>
      </c>
      <c r="LAL17" s="310" t="s">
        <v>201</v>
      </c>
      <c r="LAM17" s="310" t="s">
        <v>201</v>
      </c>
      <c r="LAN17" s="310" t="s">
        <v>201</v>
      </c>
      <c r="LAO17" s="310" t="s">
        <v>201</v>
      </c>
      <c r="LAP17" s="310" t="s">
        <v>201</v>
      </c>
      <c r="LAQ17" s="310" t="s">
        <v>201</v>
      </c>
      <c r="LAR17" s="310" t="s">
        <v>201</v>
      </c>
      <c r="LAS17" s="310" t="s">
        <v>201</v>
      </c>
      <c r="LAT17" s="310" t="s">
        <v>201</v>
      </c>
      <c r="LAU17" s="310" t="s">
        <v>201</v>
      </c>
      <c r="LAV17" s="310" t="s">
        <v>201</v>
      </c>
      <c r="LAW17" s="310" t="s">
        <v>201</v>
      </c>
      <c r="LAX17" s="310" t="s">
        <v>201</v>
      </c>
      <c r="LAY17" s="310" t="s">
        <v>201</v>
      </c>
      <c r="LAZ17" s="310" t="s">
        <v>201</v>
      </c>
      <c r="LBA17" s="310" t="s">
        <v>201</v>
      </c>
      <c r="LBB17" s="310" t="s">
        <v>201</v>
      </c>
      <c r="LBC17" s="310" t="s">
        <v>201</v>
      </c>
      <c r="LBD17" s="310" t="s">
        <v>201</v>
      </c>
      <c r="LBE17" s="310" t="s">
        <v>201</v>
      </c>
      <c r="LBF17" s="310" t="s">
        <v>201</v>
      </c>
      <c r="LBG17" s="310" t="s">
        <v>201</v>
      </c>
      <c r="LBH17" s="310" t="s">
        <v>201</v>
      </c>
      <c r="LBI17" s="310" t="s">
        <v>201</v>
      </c>
      <c r="LBJ17" s="310" t="s">
        <v>201</v>
      </c>
      <c r="LBK17" s="310" t="s">
        <v>201</v>
      </c>
      <c r="LBL17" s="310" t="s">
        <v>201</v>
      </c>
      <c r="LBM17" s="310" t="s">
        <v>201</v>
      </c>
      <c r="LBN17" s="310" t="s">
        <v>201</v>
      </c>
      <c r="LBO17" s="310" t="s">
        <v>201</v>
      </c>
      <c r="LBP17" s="310" t="s">
        <v>201</v>
      </c>
      <c r="LBQ17" s="310" t="s">
        <v>201</v>
      </c>
      <c r="LBR17" s="310" t="s">
        <v>201</v>
      </c>
      <c r="LBS17" s="310" t="s">
        <v>201</v>
      </c>
      <c r="LBT17" s="310" t="s">
        <v>201</v>
      </c>
      <c r="LBU17" s="310" t="s">
        <v>201</v>
      </c>
      <c r="LBV17" s="310" t="s">
        <v>201</v>
      </c>
      <c r="LBW17" s="310" t="s">
        <v>201</v>
      </c>
      <c r="LBX17" s="310" t="s">
        <v>201</v>
      </c>
      <c r="LBY17" s="310" t="s">
        <v>201</v>
      </c>
      <c r="LBZ17" s="310" t="s">
        <v>201</v>
      </c>
      <c r="LCA17" s="310" t="s">
        <v>201</v>
      </c>
      <c r="LCB17" s="310" t="s">
        <v>201</v>
      </c>
      <c r="LCC17" s="310" t="s">
        <v>201</v>
      </c>
      <c r="LCD17" s="310" t="s">
        <v>201</v>
      </c>
      <c r="LCE17" s="310" t="s">
        <v>201</v>
      </c>
      <c r="LCF17" s="310" t="s">
        <v>201</v>
      </c>
      <c r="LCG17" s="310" t="s">
        <v>201</v>
      </c>
      <c r="LCH17" s="310" t="s">
        <v>201</v>
      </c>
      <c r="LCI17" s="310" t="s">
        <v>201</v>
      </c>
      <c r="LCJ17" s="310" t="s">
        <v>201</v>
      </c>
      <c r="LCK17" s="310" t="s">
        <v>201</v>
      </c>
      <c r="LCL17" s="310" t="s">
        <v>201</v>
      </c>
      <c r="LCM17" s="310" t="s">
        <v>201</v>
      </c>
      <c r="LCN17" s="310" t="s">
        <v>201</v>
      </c>
      <c r="LCO17" s="310" t="s">
        <v>201</v>
      </c>
      <c r="LCP17" s="310" t="s">
        <v>201</v>
      </c>
      <c r="LCQ17" s="310" t="s">
        <v>201</v>
      </c>
      <c r="LCR17" s="310" t="s">
        <v>201</v>
      </c>
      <c r="LCS17" s="310" t="s">
        <v>201</v>
      </c>
      <c r="LCT17" s="310" t="s">
        <v>201</v>
      </c>
      <c r="LCU17" s="310" t="s">
        <v>201</v>
      </c>
      <c r="LCV17" s="310" t="s">
        <v>201</v>
      </c>
      <c r="LCW17" s="310" t="s">
        <v>201</v>
      </c>
      <c r="LCX17" s="310" t="s">
        <v>201</v>
      </c>
      <c r="LCY17" s="310" t="s">
        <v>201</v>
      </c>
      <c r="LCZ17" s="310" t="s">
        <v>201</v>
      </c>
      <c r="LDA17" s="310" t="s">
        <v>201</v>
      </c>
      <c r="LDB17" s="310" t="s">
        <v>201</v>
      </c>
      <c r="LDC17" s="310" t="s">
        <v>201</v>
      </c>
      <c r="LDD17" s="310" t="s">
        <v>201</v>
      </c>
      <c r="LDE17" s="310" t="s">
        <v>201</v>
      </c>
      <c r="LDF17" s="310" t="s">
        <v>201</v>
      </c>
      <c r="LDG17" s="310" t="s">
        <v>201</v>
      </c>
      <c r="LDH17" s="310" t="s">
        <v>201</v>
      </c>
      <c r="LDI17" s="310" t="s">
        <v>201</v>
      </c>
      <c r="LDJ17" s="310" t="s">
        <v>201</v>
      </c>
      <c r="LDK17" s="310" t="s">
        <v>201</v>
      </c>
      <c r="LDL17" s="310" t="s">
        <v>201</v>
      </c>
      <c r="LDM17" s="310" t="s">
        <v>201</v>
      </c>
      <c r="LDN17" s="310" t="s">
        <v>201</v>
      </c>
      <c r="LDO17" s="310" t="s">
        <v>201</v>
      </c>
      <c r="LDP17" s="310" t="s">
        <v>201</v>
      </c>
      <c r="LDQ17" s="310" t="s">
        <v>201</v>
      </c>
      <c r="LDR17" s="310" t="s">
        <v>201</v>
      </c>
      <c r="LDS17" s="310" t="s">
        <v>201</v>
      </c>
      <c r="LDT17" s="310" t="s">
        <v>201</v>
      </c>
      <c r="LDU17" s="310" t="s">
        <v>201</v>
      </c>
      <c r="LDV17" s="310" t="s">
        <v>201</v>
      </c>
      <c r="LDW17" s="310" t="s">
        <v>201</v>
      </c>
      <c r="LDX17" s="310" t="s">
        <v>201</v>
      </c>
      <c r="LDY17" s="310" t="s">
        <v>201</v>
      </c>
      <c r="LDZ17" s="310" t="s">
        <v>201</v>
      </c>
      <c r="LEA17" s="310" t="s">
        <v>201</v>
      </c>
      <c r="LEB17" s="310" t="s">
        <v>201</v>
      </c>
      <c r="LEC17" s="310" t="s">
        <v>201</v>
      </c>
      <c r="LED17" s="310" t="s">
        <v>201</v>
      </c>
      <c r="LEE17" s="310" t="s">
        <v>201</v>
      </c>
      <c r="LEF17" s="310" t="s">
        <v>201</v>
      </c>
      <c r="LEG17" s="310" t="s">
        <v>201</v>
      </c>
      <c r="LEH17" s="310" t="s">
        <v>201</v>
      </c>
      <c r="LEI17" s="310" t="s">
        <v>201</v>
      </c>
      <c r="LEJ17" s="310" t="s">
        <v>201</v>
      </c>
      <c r="LEK17" s="310" t="s">
        <v>201</v>
      </c>
      <c r="LEL17" s="310" t="s">
        <v>201</v>
      </c>
      <c r="LEM17" s="310" t="s">
        <v>201</v>
      </c>
      <c r="LEN17" s="310" t="s">
        <v>201</v>
      </c>
      <c r="LEO17" s="310" t="s">
        <v>201</v>
      </c>
      <c r="LEP17" s="310" t="s">
        <v>201</v>
      </c>
      <c r="LEQ17" s="310" t="s">
        <v>201</v>
      </c>
      <c r="LER17" s="310" t="s">
        <v>201</v>
      </c>
      <c r="LES17" s="310" t="s">
        <v>201</v>
      </c>
      <c r="LET17" s="310" t="s">
        <v>201</v>
      </c>
      <c r="LEU17" s="310" t="s">
        <v>201</v>
      </c>
      <c r="LEV17" s="310" t="s">
        <v>201</v>
      </c>
      <c r="LEW17" s="310" t="s">
        <v>201</v>
      </c>
      <c r="LEX17" s="310" t="s">
        <v>201</v>
      </c>
      <c r="LEY17" s="310" t="s">
        <v>201</v>
      </c>
      <c r="LEZ17" s="310" t="s">
        <v>201</v>
      </c>
      <c r="LFA17" s="310" t="s">
        <v>201</v>
      </c>
      <c r="LFB17" s="310" t="s">
        <v>201</v>
      </c>
      <c r="LFC17" s="310" t="s">
        <v>201</v>
      </c>
      <c r="LFD17" s="310" t="s">
        <v>201</v>
      </c>
      <c r="LFE17" s="310" t="s">
        <v>201</v>
      </c>
      <c r="LFF17" s="310" t="s">
        <v>201</v>
      </c>
      <c r="LFG17" s="310" t="s">
        <v>201</v>
      </c>
      <c r="LFH17" s="310" t="s">
        <v>201</v>
      </c>
      <c r="LFI17" s="310" t="s">
        <v>201</v>
      </c>
      <c r="LFJ17" s="310" t="s">
        <v>201</v>
      </c>
      <c r="LFK17" s="310" t="s">
        <v>201</v>
      </c>
      <c r="LFL17" s="310" t="s">
        <v>201</v>
      </c>
      <c r="LFM17" s="310" t="s">
        <v>201</v>
      </c>
      <c r="LFN17" s="310" t="s">
        <v>201</v>
      </c>
      <c r="LFO17" s="310" t="s">
        <v>201</v>
      </c>
      <c r="LFP17" s="310" t="s">
        <v>201</v>
      </c>
      <c r="LFQ17" s="310" t="s">
        <v>201</v>
      </c>
      <c r="LFR17" s="310" t="s">
        <v>201</v>
      </c>
      <c r="LFS17" s="310" t="s">
        <v>201</v>
      </c>
      <c r="LFT17" s="310" t="s">
        <v>201</v>
      </c>
      <c r="LFU17" s="310" t="s">
        <v>201</v>
      </c>
      <c r="LFV17" s="310" t="s">
        <v>201</v>
      </c>
      <c r="LFW17" s="310" t="s">
        <v>201</v>
      </c>
      <c r="LFX17" s="310" t="s">
        <v>201</v>
      </c>
      <c r="LFY17" s="310" t="s">
        <v>201</v>
      </c>
      <c r="LFZ17" s="310" t="s">
        <v>201</v>
      </c>
      <c r="LGA17" s="310" t="s">
        <v>201</v>
      </c>
      <c r="LGB17" s="310" t="s">
        <v>201</v>
      </c>
      <c r="LGC17" s="310" t="s">
        <v>201</v>
      </c>
      <c r="LGD17" s="310" t="s">
        <v>201</v>
      </c>
      <c r="LGE17" s="310" t="s">
        <v>201</v>
      </c>
      <c r="LGF17" s="310" t="s">
        <v>201</v>
      </c>
      <c r="LGG17" s="310" t="s">
        <v>201</v>
      </c>
      <c r="LGH17" s="310" t="s">
        <v>201</v>
      </c>
      <c r="LGI17" s="310" t="s">
        <v>201</v>
      </c>
      <c r="LGJ17" s="310" t="s">
        <v>201</v>
      </c>
      <c r="LGK17" s="310" t="s">
        <v>201</v>
      </c>
      <c r="LGL17" s="310" t="s">
        <v>201</v>
      </c>
      <c r="LGM17" s="310" t="s">
        <v>201</v>
      </c>
      <c r="LGN17" s="310" t="s">
        <v>201</v>
      </c>
      <c r="LGO17" s="310" t="s">
        <v>201</v>
      </c>
      <c r="LGP17" s="310" t="s">
        <v>201</v>
      </c>
      <c r="LGQ17" s="310" t="s">
        <v>201</v>
      </c>
      <c r="LGR17" s="310" t="s">
        <v>201</v>
      </c>
      <c r="LGS17" s="310" t="s">
        <v>201</v>
      </c>
      <c r="LGT17" s="310" t="s">
        <v>201</v>
      </c>
      <c r="LGU17" s="310" t="s">
        <v>201</v>
      </c>
      <c r="LGV17" s="310" t="s">
        <v>201</v>
      </c>
      <c r="LGW17" s="310" t="s">
        <v>201</v>
      </c>
      <c r="LGX17" s="310" t="s">
        <v>201</v>
      </c>
      <c r="LGY17" s="310" t="s">
        <v>201</v>
      </c>
      <c r="LGZ17" s="310" t="s">
        <v>201</v>
      </c>
      <c r="LHA17" s="310" t="s">
        <v>201</v>
      </c>
      <c r="LHB17" s="310" t="s">
        <v>201</v>
      </c>
      <c r="LHC17" s="310" t="s">
        <v>201</v>
      </c>
      <c r="LHD17" s="310" t="s">
        <v>201</v>
      </c>
      <c r="LHE17" s="310" t="s">
        <v>201</v>
      </c>
      <c r="LHF17" s="310" t="s">
        <v>201</v>
      </c>
      <c r="LHG17" s="310" t="s">
        <v>201</v>
      </c>
      <c r="LHH17" s="310" t="s">
        <v>201</v>
      </c>
      <c r="LHI17" s="310" t="s">
        <v>201</v>
      </c>
      <c r="LHJ17" s="310" t="s">
        <v>201</v>
      </c>
      <c r="LHK17" s="310" t="s">
        <v>201</v>
      </c>
      <c r="LHL17" s="310" t="s">
        <v>201</v>
      </c>
      <c r="LHM17" s="310" t="s">
        <v>201</v>
      </c>
      <c r="LHN17" s="310" t="s">
        <v>201</v>
      </c>
      <c r="LHO17" s="310" t="s">
        <v>201</v>
      </c>
      <c r="LHP17" s="310" t="s">
        <v>201</v>
      </c>
      <c r="LHQ17" s="310" t="s">
        <v>201</v>
      </c>
      <c r="LHR17" s="310" t="s">
        <v>201</v>
      </c>
      <c r="LHS17" s="310" t="s">
        <v>201</v>
      </c>
      <c r="LHT17" s="310" t="s">
        <v>201</v>
      </c>
      <c r="LHU17" s="310" t="s">
        <v>201</v>
      </c>
      <c r="LHV17" s="310" t="s">
        <v>201</v>
      </c>
      <c r="LHW17" s="310" t="s">
        <v>201</v>
      </c>
      <c r="LHX17" s="310" t="s">
        <v>201</v>
      </c>
      <c r="LHY17" s="310" t="s">
        <v>201</v>
      </c>
      <c r="LHZ17" s="310" t="s">
        <v>201</v>
      </c>
      <c r="LIA17" s="310" t="s">
        <v>201</v>
      </c>
      <c r="LIB17" s="310" t="s">
        <v>201</v>
      </c>
      <c r="LIC17" s="310" t="s">
        <v>201</v>
      </c>
      <c r="LID17" s="310" t="s">
        <v>201</v>
      </c>
      <c r="LIE17" s="310" t="s">
        <v>201</v>
      </c>
      <c r="LIF17" s="310" t="s">
        <v>201</v>
      </c>
      <c r="LIG17" s="310" t="s">
        <v>201</v>
      </c>
      <c r="LIH17" s="310" t="s">
        <v>201</v>
      </c>
      <c r="LII17" s="310" t="s">
        <v>201</v>
      </c>
      <c r="LIJ17" s="310" t="s">
        <v>201</v>
      </c>
      <c r="LIK17" s="310" t="s">
        <v>201</v>
      </c>
      <c r="LIL17" s="310" t="s">
        <v>201</v>
      </c>
      <c r="LIM17" s="310" t="s">
        <v>201</v>
      </c>
      <c r="LIN17" s="310" t="s">
        <v>201</v>
      </c>
      <c r="LIO17" s="310" t="s">
        <v>201</v>
      </c>
      <c r="LIP17" s="310" t="s">
        <v>201</v>
      </c>
      <c r="LIQ17" s="310" t="s">
        <v>201</v>
      </c>
      <c r="LIR17" s="310" t="s">
        <v>201</v>
      </c>
      <c r="LIS17" s="310" t="s">
        <v>201</v>
      </c>
      <c r="LIT17" s="310" t="s">
        <v>201</v>
      </c>
      <c r="LIU17" s="310" t="s">
        <v>201</v>
      </c>
      <c r="LIV17" s="310" t="s">
        <v>201</v>
      </c>
      <c r="LIW17" s="310" t="s">
        <v>201</v>
      </c>
      <c r="LIX17" s="310" t="s">
        <v>201</v>
      </c>
      <c r="LIY17" s="310" t="s">
        <v>201</v>
      </c>
      <c r="LIZ17" s="310" t="s">
        <v>201</v>
      </c>
      <c r="LJA17" s="310" t="s">
        <v>201</v>
      </c>
      <c r="LJB17" s="310" t="s">
        <v>201</v>
      </c>
      <c r="LJC17" s="310" t="s">
        <v>201</v>
      </c>
      <c r="LJD17" s="310" t="s">
        <v>201</v>
      </c>
      <c r="LJE17" s="310" t="s">
        <v>201</v>
      </c>
      <c r="LJF17" s="310" t="s">
        <v>201</v>
      </c>
      <c r="LJG17" s="310" t="s">
        <v>201</v>
      </c>
      <c r="LJH17" s="310" t="s">
        <v>201</v>
      </c>
      <c r="LJI17" s="310" t="s">
        <v>201</v>
      </c>
      <c r="LJJ17" s="310" t="s">
        <v>201</v>
      </c>
      <c r="LJK17" s="310" t="s">
        <v>201</v>
      </c>
      <c r="LJL17" s="310" t="s">
        <v>201</v>
      </c>
      <c r="LJM17" s="310" t="s">
        <v>201</v>
      </c>
      <c r="LJN17" s="310" t="s">
        <v>201</v>
      </c>
      <c r="LJO17" s="310" t="s">
        <v>201</v>
      </c>
      <c r="LJP17" s="310" t="s">
        <v>201</v>
      </c>
      <c r="LJQ17" s="310" t="s">
        <v>201</v>
      </c>
      <c r="LJR17" s="310" t="s">
        <v>201</v>
      </c>
      <c r="LJS17" s="310" t="s">
        <v>201</v>
      </c>
      <c r="LJT17" s="310" t="s">
        <v>201</v>
      </c>
      <c r="LJU17" s="310" t="s">
        <v>201</v>
      </c>
      <c r="LJV17" s="310" t="s">
        <v>201</v>
      </c>
      <c r="LJW17" s="310" t="s">
        <v>201</v>
      </c>
      <c r="LJX17" s="310" t="s">
        <v>201</v>
      </c>
      <c r="LJY17" s="310" t="s">
        <v>201</v>
      </c>
      <c r="LJZ17" s="310" t="s">
        <v>201</v>
      </c>
      <c r="LKA17" s="310" t="s">
        <v>201</v>
      </c>
      <c r="LKB17" s="310" t="s">
        <v>201</v>
      </c>
      <c r="LKC17" s="310" t="s">
        <v>201</v>
      </c>
      <c r="LKD17" s="310" t="s">
        <v>201</v>
      </c>
      <c r="LKE17" s="310" t="s">
        <v>201</v>
      </c>
      <c r="LKF17" s="310" t="s">
        <v>201</v>
      </c>
      <c r="LKG17" s="310" t="s">
        <v>201</v>
      </c>
      <c r="LKH17" s="310" t="s">
        <v>201</v>
      </c>
      <c r="LKI17" s="310" t="s">
        <v>201</v>
      </c>
      <c r="LKJ17" s="310" t="s">
        <v>201</v>
      </c>
      <c r="LKK17" s="310" t="s">
        <v>201</v>
      </c>
      <c r="LKL17" s="310" t="s">
        <v>201</v>
      </c>
      <c r="LKM17" s="310" t="s">
        <v>201</v>
      </c>
      <c r="LKN17" s="310" t="s">
        <v>201</v>
      </c>
      <c r="LKO17" s="310" t="s">
        <v>201</v>
      </c>
      <c r="LKP17" s="310" t="s">
        <v>201</v>
      </c>
      <c r="LKQ17" s="310" t="s">
        <v>201</v>
      </c>
      <c r="LKR17" s="310" t="s">
        <v>201</v>
      </c>
      <c r="LKS17" s="310" t="s">
        <v>201</v>
      </c>
      <c r="LKT17" s="310" t="s">
        <v>201</v>
      </c>
      <c r="LKU17" s="310" t="s">
        <v>201</v>
      </c>
      <c r="LKV17" s="310" t="s">
        <v>201</v>
      </c>
      <c r="LKW17" s="310" t="s">
        <v>201</v>
      </c>
      <c r="LKX17" s="310" t="s">
        <v>201</v>
      </c>
      <c r="LKY17" s="310" t="s">
        <v>201</v>
      </c>
      <c r="LKZ17" s="310" t="s">
        <v>201</v>
      </c>
      <c r="LLA17" s="310" t="s">
        <v>201</v>
      </c>
      <c r="LLB17" s="310" t="s">
        <v>201</v>
      </c>
      <c r="LLC17" s="310" t="s">
        <v>201</v>
      </c>
      <c r="LLD17" s="310" t="s">
        <v>201</v>
      </c>
      <c r="LLE17" s="310" t="s">
        <v>201</v>
      </c>
      <c r="LLF17" s="310" t="s">
        <v>201</v>
      </c>
      <c r="LLG17" s="310" t="s">
        <v>201</v>
      </c>
      <c r="LLH17" s="310" t="s">
        <v>201</v>
      </c>
      <c r="LLI17" s="310" t="s">
        <v>201</v>
      </c>
      <c r="LLJ17" s="310" t="s">
        <v>201</v>
      </c>
      <c r="LLK17" s="310" t="s">
        <v>201</v>
      </c>
      <c r="LLL17" s="310" t="s">
        <v>201</v>
      </c>
      <c r="LLM17" s="310" t="s">
        <v>201</v>
      </c>
      <c r="LLN17" s="310" t="s">
        <v>201</v>
      </c>
      <c r="LLO17" s="310" t="s">
        <v>201</v>
      </c>
      <c r="LLP17" s="310" t="s">
        <v>201</v>
      </c>
      <c r="LLQ17" s="310" t="s">
        <v>201</v>
      </c>
      <c r="LLR17" s="310" t="s">
        <v>201</v>
      </c>
      <c r="LLS17" s="310" t="s">
        <v>201</v>
      </c>
      <c r="LLT17" s="310" t="s">
        <v>201</v>
      </c>
      <c r="LLU17" s="310" t="s">
        <v>201</v>
      </c>
      <c r="LLV17" s="310" t="s">
        <v>201</v>
      </c>
      <c r="LLW17" s="310" t="s">
        <v>201</v>
      </c>
      <c r="LLX17" s="310" t="s">
        <v>201</v>
      </c>
      <c r="LLY17" s="310" t="s">
        <v>201</v>
      </c>
      <c r="LLZ17" s="310" t="s">
        <v>201</v>
      </c>
      <c r="LMA17" s="310" t="s">
        <v>201</v>
      </c>
      <c r="LMB17" s="310" t="s">
        <v>201</v>
      </c>
      <c r="LMC17" s="310" t="s">
        <v>201</v>
      </c>
      <c r="LMD17" s="310" t="s">
        <v>201</v>
      </c>
      <c r="LME17" s="310" t="s">
        <v>201</v>
      </c>
      <c r="LMF17" s="310" t="s">
        <v>201</v>
      </c>
      <c r="LMG17" s="310" t="s">
        <v>201</v>
      </c>
      <c r="LMH17" s="310" t="s">
        <v>201</v>
      </c>
      <c r="LMI17" s="310" t="s">
        <v>201</v>
      </c>
      <c r="LMJ17" s="310" t="s">
        <v>201</v>
      </c>
      <c r="LMK17" s="310" t="s">
        <v>201</v>
      </c>
      <c r="LML17" s="310" t="s">
        <v>201</v>
      </c>
      <c r="LMM17" s="310" t="s">
        <v>201</v>
      </c>
      <c r="LMN17" s="310" t="s">
        <v>201</v>
      </c>
      <c r="LMO17" s="310" t="s">
        <v>201</v>
      </c>
      <c r="LMP17" s="310" t="s">
        <v>201</v>
      </c>
      <c r="LMQ17" s="310" t="s">
        <v>201</v>
      </c>
      <c r="LMR17" s="310" t="s">
        <v>201</v>
      </c>
      <c r="LMS17" s="310" t="s">
        <v>201</v>
      </c>
      <c r="LMT17" s="310" t="s">
        <v>201</v>
      </c>
      <c r="LMU17" s="310" t="s">
        <v>201</v>
      </c>
      <c r="LMV17" s="310" t="s">
        <v>201</v>
      </c>
      <c r="LMW17" s="310" t="s">
        <v>201</v>
      </c>
      <c r="LMX17" s="310" t="s">
        <v>201</v>
      </c>
      <c r="LMY17" s="310" t="s">
        <v>201</v>
      </c>
      <c r="LMZ17" s="310" t="s">
        <v>201</v>
      </c>
      <c r="LNA17" s="310" t="s">
        <v>201</v>
      </c>
      <c r="LNB17" s="310" t="s">
        <v>201</v>
      </c>
      <c r="LNC17" s="310" t="s">
        <v>201</v>
      </c>
      <c r="LND17" s="310" t="s">
        <v>201</v>
      </c>
      <c r="LNE17" s="310" t="s">
        <v>201</v>
      </c>
      <c r="LNF17" s="310" t="s">
        <v>201</v>
      </c>
      <c r="LNG17" s="310" t="s">
        <v>201</v>
      </c>
      <c r="LNH17" s="310" t="s">
        <v>201</v>
      </c>
      <c r="LNI17" s="310" t="s">
        <v>201</v>
      </c>
      <c r="LNJ17" s="310" t="s">
        <v>201</v>
      </c>
      <c r="LNK17" s="310" t="s">
        <v>201</v>
      </c>
      <c r="LNL17" s="310" t="s">
        <v>201</v>
      </c>
      <c r="LNM17" s="310" t="s">
        <v>201</v>
      </c>
      <c r="LNN17" s="310" t="s">
        <v>201</v>
      </c>
      <c r="LNO17" s="310" t="s">
        <v>201</v>
      </c>
      <c r="LNP17" s="310" t="s">
        <v>201</v>
      </c>
      <c r="LNQ17" s="310" t="s">
        <v>201</v>
      </c>
      <c r="LNR17" s="310" t="s">
        <v>201</v>
      </c>
      <c r="LNS17" s="310" t="s">
        <v>201</v>
      </c>
      <c r="LNT17" s="310" t="s">
        <v>201</v>
      </c>
      <c r="LNU17" s="310" t="s">
        <v>201</v>
      </c>
      <c r="LNV17" s="310" t="s">
        <v>201</v>
      </c>
      <c r="LNW17" s="310" t="s">
        <v>201</v>
      </c>
      <c r="LNX17" s="310" t="s">
        <v>201</v>
      </c>
      <c r="LNY17" s="310" t="s">
        <v>201</v>
      </c>
      <c r="LNZ17" s="310" t="s">
        <v>201</v>
      </c>
      <c r="LOA17" s="310" t="s">
        <v>201</v>
      </c>
      <c r="LOB17" s="310" t="s">
        <v>201</v>
      </c>
      <c r="LOC17" s="310" t="s">
        <v>201</v>
      </c>
      <c r="LOD17" s="310" t="s">
        <v>201</v>
      </c>
      <c r="LOE17" s="310" t="s">
        <v>201</v>
      </c>
      <c r="LOF17" s="310" t="s">
        <v>201</v>
      </c>
      <c r="LOG17" s="310" t="s">
        <v>201</v>
      </c>
      <c r="LOH17" s="310" t="s">
        <v>201</v>
      </c>
      <c r="LOI17" s="310" t="s">
        <v>201</v>
      </c>
      <c r="LOJ17" s="310" t="s">
        <v>201</v>
      </c>
      <c r="LOK17" s="310" t="s">
        <v>201</v>
      </c>
      <c r="LOL17" s="310" t="s">
        <v>201</v>
      </c>
      <c r="LOM17" s="310" t="s">
        <v>201</v>
      </c>
      <c r="LON17" s="310" t="s">
        <v>201</v>
      </c>
      <c r="LOO17" s="310" t="s">
        <v>201</v>
      </c>
      <c r="LOP17" s="310" t="s">
        <v>201</v>
      </c>
      <c r="LOQ17" s="310" t="s">
        <v>201</v>
      </c>
      <c r="LOR17" s="310" t="s">
        <v>201</v>
      </c>
      <c r="LOS17" s="310" t="s">
        <v>201</v>
      </c>
      <c r="LOT17" s="310" t="s">
        <v>201</v>
      </c>
      <c r="LOU17" s="310" t="s">
        <v>201</v>
      </c>
      <c r="LOV17" s="310" t="s">
        <v>201</v>
      </c>
      <c r="LOW17" s="310" t="s">
        <v>201</v>
      </c>
      <c r="LOX17" s="310" t="s">
        <v>201</v>
      </c>
      <c r="LOY17" s="310" t="s">
        <v>201</v>
      </c>
      <c r="LOZ17" s="310" t="s">
        <v>201</v>
      </c>
      <c r="LPA17" s="310" t="s">
        <v>201</v>
      </c>
      <c r="LPB17" s="310" t="s">
        <v>201</v>
      </c>
      <c r="LPC17" s="310" t="s">
        <v>201</v>
      </c>
      <c r="LPD17" s="310" t="s">
        <v>201</v>
      </c>
      <c r="LPE17" s="310" t="s">
        <v>201</v>
      </c>
      <c r="LPF17" s="310" t="s">
        <v>201</v>
      </c>
      <c r="LPG17" s="310" t="s">
        <v>201</v>
      </c>
      <c r="LPH17" s="310" t="s">
        <v>201</v>
      </c>
      <c r="LPI17" s="310" t="s">
        <v>201</v>
      </c>
      <c r="LPJ17" s="310" t="s">
        <v>201</v>
      </c>
      <c r="LPK17" s="310" t="s">
        <v>201</v>
      </c>
      <c r="LPL17" s="310" t="s">
        <v>201</v>
      </c>
      <c r="LPM17" s="310" t="s">
        <v>201</v>
      </c>
      <c r="LPN17" s="310" t="s">
        <v>201</v>
      </c>
      <c r="LPO17" s="310" t="s">
        <v>201</v>
      </c>
      <c r="LPP17" s="310" t="s">
        <v>201</v>
      </c>
      <c r="LPQ17" s="310" t="s">
        <v>201</v>
      </c>
      <c r="LPR17" s="310" t="s">
        <v>201</v>
      </c>
      <c r="LPS17" s="310" t="s">
        <v>201</v>
      </c>
      <c r="LPT17" s="310" t="s">
        <v>201</v>
      </c>
      <c r="LPU17" s="310" t="s">
        <v>201</v>
      </c>
      <c r="LPV17" s="310" t="s">
        <v>201</v>
      </c>
      <c r="LPW17" s="310" t="s">
        <v>201</v>
      </c>
      <c r="LPX17" s="310" t="s">
        <v>201</v>
      </c>
      <c r="LPY17" s="310" t="s">
        <v>201</v>
      </c>
      <c r="LPZ17" s="310" t="s">
        <v>201</v>
      </c>
      <c r="LQA17" s="310" t="s">
        <v>201</v>
      </c>
      <c r="LQB17" s="310" t="s">
        <v>201</v>
      </c>
      <c r="LQC17" s="310" t="s">
        <v>201</v>
      </c>
      <c r="LQD17" s="310" t="s">
        <v>201</v>
      </c>
      <c r="LQE17" s="310" t="s">
        <v>201</v>
      </c>
      <c r="LQF17" s="310" t="s">
        <v>201</v>
      </c>
      <c r="LQG17" s="310" t="s">
        <v>201</v>
      </c>
      <c r="LQH17" s="310" t="s">
        <v>201</v>
      </c>
      <c r="LQI17" s="310" t="s">
        <v>201</v>
      </c>
      <c r="LQJ17" s="310" t="s">
        <v>201</v>
      </c>
      <c r="LQK17" s="310" t="s">
        <v>201</v>
      </c>
      <c r="LQL17" s="310" t="s">
        <v>201</v>
      </c>
      <c r="LQM17" s="310" t="s">
        <v>201</v>
      </c>
      <c r="LQN17" s="310" t="s">
        <v>201</v>
      </c>
      <c r="LQO17" s="310" t="s">
        <v>201</v>
      </c>
      <c r="LQP17" s="310" t="s">
        <v>201</v>
      </c>
      <c r="LQQ17" s="310" t="s">
        <v>201</v>
      </c>
      <c r="LQR17" s="310" t="s">
        <v>201</v>
      </c>
      <c r="LQS17" s="310" t="s">
        <v>201</v>
      </c>
      <c r="LQT17" s="310" t="s">
        <v>201</v>
      </c>
      <c r="LQU17" s="310" t="s">
        <v>201</v>
      </c>
      <c r="LQV17" s="310" t="s">
        <v>201</v>
      </c>
      <c r="LQW17" s="310" t="s">
        <v>201</v>
      </c>
      <c r="LQX17" s="310" t="s">
        <v>201</v>
      </c>
      <c r="LQY17" s="310" t="s">
        <v>201</v>
      </c>
      <c r="LQZ17" s="310" t="s">
        <v>201</v>
      </c>
      <c r="LRA17" s="310" t="s">
        <v>201</v>
      </c>
      <c r="LRB17" s="310" t="s">
        <v>201</v>
      </c>
      <c r="LRC17" s="310" t="s">
        <v>201</v>
      </c>
      <c r="LRD17" s="310" t="s">
        <v>201</v>
      </c>
      <c r="LRE17" s="310" t="s">
        <v>201</v>
      </c>
      <c r="LRF17" s="310" t="s">
        <v>201</v>
      </c>
      <c r="LRG17" s="310" t="s">
        <v>201</v>
      </c>
      <c r="LRH17" s="310" t="s">
        <v>201</v>
      </c>
      <c r="LRI17" s="310" t="s">
        <v>201</v>
      </c>
      <c r="LRJ17" s="310" t="s">
        <v>201</v>
      </c>
      <c r="LRK17" s="310" t="s">
        <v>201</v>
      </c>
      <c r="LRL17" s="310" t="s">
        <v>201</v>
      </c>
      <c r="LRM17" s="310" t="s">
        <v>201</v>
      </c>
      <c r="LRN17" s="310" t="s">
        <v>201</v>
      </c>
      <c r="LRO17" s="310" t="s">
        <v>201</v>
      </c>
      <c r="LRP17" s="310" t="s">
        <v>201</v>
      </c>
      <c r="LRQ17" s="310" t="s">
        <v>201</v>
      </c>
      <c r="LRR17" s="310" t="s">
        <v>201</v>
      </c>
      <c r="LRS17" s="310" t="s">
        <v>201</v>
      </c>
      <c r="LRT17" s="310" t="s">
        <v>201</v>
      </c>
      <c r="LRU17" s="310" t="s">
        <v>201</v>
      </c>
      <c r="LRV17" s="310" t="s">
        <v>201</v>
      </c>
      <c r="LRW17" s="310" t="s">
        <v>201</v>
      </c>
      <c r="LRX17" s="310" t="s">
        <v>201</v>
      </c>
      <c r="LRY17" s="310" t="s">
        <v>201</v>
      </c>
      <c r="LRZ17" s="310" t="s">
        <v>201</v>
      </c>
      <c r="LSA17" s="310" t="s">
        <v>201</v>
      </c>
      <c r="LSB17" s="310" t="s">
        <v>201</v>
      </c>
      <c r="LSC17" s="310" t="s">
        <v>201</v>
      </c>
      <c r="LSD17" s="310" t="s">
        <v>201</v>
      </c>
      <c r="LSE17" s="310" t="s">
        <v>201</v>
      </c>
      <c r="LSF17" s="310" t="s">
        <v>201</v>
      </c>
      <c r="LSG17" s="310" t="s">
        <v>201</v>
      </c>
      <c r="LSH17" s="310" t="s">
        <v>201</v>
      </c>
      <c r="LSI17" s="310" t="s">
        <v>201</v>
      </c>
      <c r="LSJ17" s="310" t="s">
        <v>201</v>
      </c>
      <c r="LSK17" s="310" t="s">
        <v>201</v>
      </c>
      <c r="LSL17" s="310" t="s">
        <v>201</v>
      </c>
      <c r="LSM17" s="310" t="s">
        <v>201</v>
      </c>
      <c r="LSN17" s="310" t="s">
        <v>201</v>
      </c>
      <c r="LSO17" s="310" t="s">
        <v>201</v>
      </c>
      <c r="LSP17" s="310" t="s">
        <v>201</v>
      </c>
      <c r="LSQ17" s="310" t="s">
        <v>201</v>
      </c>
      <c r="LSR17" s="310" t="s">
        <v>201</v>
      </c>
      <c r="LSS17" s="310" t="s">
        <v>201</v>
      </c>
      <c r="LST17" s="310" t="s">
        <v>201</v>
      </c>
      <c r="LSU17" s="310" t="s">
        <v>201</v>
      </c>
      <c r="LSV17" s="310" t="s">
        <v>201</v>
      </c>
      <c r="LSW17" s="310" t="s">
        <v>201</v>
      </c>
      <c r="LSX17" s="310" t="s">
        <v>201</v>
      </c>
      <c r="LSY17" s="310" t="s">
        <v>201</v>
      </c>
      <c r="LSZ17" s="310" t="s">
        <v>201</v>
      </c>
      <c r="LTA17" s="310" t="s">
        <v>201</v>
      </c>
      <c r="LTB17" s="310" t="s">
        <v>201</v>
      </c>
      <c r="LTC17" s="310" t="s">
        <v>201</v>
      </c>
      <c r="LTD17" s="310" t="s">
        <v>201</v>
      </c>
      <c r="LTE17" s="310" t="s">
        <v>201</v>
      </c>
      <c r="LTF17" s="310" t="s">
        <v>201</v>
      </c>
      <c r="LTG17" s="310" t="s">
        <v>201</v>
      </c>
      <c r="LTH17" s="310" t="s">
        <v>201</v>
      </c>
      <c r="LTI17" s="310" t="s">
        <v>201</v>
      </c>
      <c r="LTJ17" s="310" t="s">
        <v>201</v>
      </c>
      <c r="LTK17" s="310" t="s">
        <v>201</v>
      </c>
      <c r="LTL17" s="310" t="s">
        <v>201</v>
      </c>
      <c r="LTM17" s="310" t="s">
        <v>201</v>
      </c>
      <c r="LTN17" s="310" t="s">
        <v>201</v>
      </c>
      <c r="LTO17" s="310" t="s">
        <v>201</v>
      </c>
      <c r="LTP17" s="310" t="s">
        <v>201</v>
      </c>
      <c r="LTQ17" s="310" t="s">
        <v>201</v>
      </c>
      <c r="LTR17" s="310" t="s">
        <v>201</v>
      </c>
      <c r="LTS17" s="310" t="s">
        <v>201</v>
      </c>
      <c r="LTT17" s="310" t="s">
        <v>201</v>
      </c>
      <c r="LTU17" s="310" t="s">
        <v>201</v>
      </c>
      <c r="LTV17" s="310" t="s">
        <v>201</v>
      </c>
      <c r="LTW17" s="310" t="s">
        <v>201</v>
      </c>
      <c r="LTX17" s="310" t="s">
        <v>201</v>
      </c>
      <c r="LTY17" s="310" t="s">
        <v>201</v>
      </c>
      <c r="LTZ17" s="310" t="s">
        <v>201</v>
      </c>
      <c r="LUA17" s="310" t="s">
        <v>201</v>
      </c>
      <c r="LUB17" s="310" t="s">
        <v>201</v>
      </c>
      <c r="LUC17" s="310" t="s">
        <v>201</v>
      </c>
      <c r="LUD17" s="310" t="s">
        <v>201</v>
      </c>
      <c r="LUE17" s="310" t="s">
        <v>201</v>
      </c>
      <c r="LUF17" s="310" t="s">
        <v>201</v>
      </c>
      <c r="LUG17" s="310" t="s">
        <v>201</v>
      </c>
      <c r="LUH17" s="310" t="s">
        <v>201</v>
      </c>
      <c r="LUI17" s="310" t="s">
        <v>201</v>
      </c>
      <c r="LUJ17" s="310" t="s">
        <v>201</v>
      </c>
      <c r="LUK17" s="310" t="s">
        <v>201</v>
      </c>
      <c r="LUL17" s="310" t="s">
        <v>201</v>
      </c>
      <c r="LUM17" s="310" t="s">
        <v>201</v>
      </c>
      <c r="LUN17" s="310" t="s">
        <v>201</v>
      </c>
      <c r="LUO17" s="310" t="s">
        <v>201</v>
      </c>
      <c r="LUP17" s="310" t="s">
        <v>201</v>
      </c>
      <c r="LUQ17" s="310" t="s">
        <v>201</v>
      </c>
      <c r="LUR17" s="310" t="s">
        <v>201</v>
      </c>
      <c r="LUS17" s="310" t="s">
        <v>201</v>
      </c>
      <c r="LUT17" s="310" t="s">
        <v>201</v>
      </c>
      <c r="LUU17" s="310" t="s">
        <v>201</v>
      </c>
      <c r="LUV17" s="310" t="s">
        <v>201</v>
      </c>
      <c r="LUW17" s="310" t="s">
        <v>201</v>
      </c>
      <c r="LUX17" s="310" t="s">
        <v>201</v>
      </c>
      <c r="LUY17" s="310" t="s">
        <v>201</v>
      </c>
      <c r="LUZ17" s="310" t="s">
        <v>201</v>
      </c>
      <c r="LVA17" s="310" t="s">
        <v>201</v>
      </c>
      <c r="LVB17" s="310" t="s">
        <v>201</v>
      </c>
      <c r="LVC17" s="310" t="s">
        <v>201</v>
      </c>
      <c r="LVD17" s="310" t="s">
        <v>201</v>
      </c>
      <c r="LVE17" s="310" t="s">
        <v>201</v>
      </c>
      <c r="LVF17" s="310" t="s">
        <v>201</v>
      </c>
      <c r="LVG17" s="310" t="s">
        <v>201</v>
      </c>
      <c r="LVH17" s="310" t="s">
        <v>201</v>
      </c>
      <c r="LVI17" s="310" t="s">
        <v>201</v>
      </c>
      <c r="LVJ17" s="310" t="s">
        <v>201</v>
      </c>
      <c r="LVK17" s="310" t="s">
        <v>201</v>
      </c>
      <c r="LVL17" s="310" t="s">
        <v>201</v>
      </c>
      <c r="LVM17" s="310" t="s">
        <v>201</v>
      </c>
      <c r="LVN17" s="310" t="s">
        <v>201</v>
      </c>
      <c r="LVO17" s="310" t="s">
        <v>201</v>
      </c>
      <c r="LVP17" s="310" t="s">
        <v>201</v>
      </c>
      <c r="LVQ17" s="310" t="s">
        <v>201</v>
      </c>
      <c r="LVR17" s="310" t="s">
        <v>201</v>
      </c>
      <c r="LVS17" s="310" t="s">
        <v>201</v>
      </c>
      <c r="LVT17" s="310" t="s">
        <v>201</v>
      </c>
      <c r="LVU17" s="310" t="s">
        <v>201</v>
      </c>
      <c r="LVV17" s="310" t="s">
        <v>201</v>
      </c>
      <c r="LVW17" s="310" t="s">
        <v>201</v>
      </c>
      <c r="LVX17" s="310" t="s">
        <v>201</v>
      </c>
      <c r="LVY17" s="310" t="s">
        <v>201</v>
      </c>
      <c r="LVZ17" s="310" t="s">
        <v>201</v>
      </c>
      <c r="LWA17" s="310" t="s">
        <v>201</v>
      </c>
      <c r="LWB17" s="310" t="s">
        <v>201</v>
      </c>
      <c r="LWC17" s="310" t="s">
        <v>201</v>
      </c>
      <c r="LWD17" s="310" t="s">
        <v>201</v>
      </c>
      <c r="LWE17" s="310" t="s">
        <v>201</v>
      </c>
      <c r="LWF17" s="310" t="s">
        <v>201</v>
      </c>
      <c r="LWG17" s="310" t="s">
        <v>201</v>
      </c>
      <c r="LWH17" s="310" t="s">
        <v>201</v>
      </c>
      <c r="LWI17" s="310" t="s">
        <v>201</v>
      </c>
      <c r="LWJ17" s="310" t="s">
        <v>201</v>
      </c>
      <c r="LWK17" s="310" t="s">
        <v>201</v>
      </c>
      <c r="LWL17" s="310" t="s">
        <v>201</v>
      </c>
      <c r="LWM17" s="310" t="s">
        <v>201</v>
      </c>
      <c r="LWN17" s="310" t="s">
        <v>201</v>
      </c>
      <c r="LWO17" s="310" t="s">
        <v>201</v>
      </c>
      <c r="LWP17" s="310" t="s">
        <v>201</v>
      </c>
      <c r="LWQ17" s="310" t="s">
        <v>201</v>
      </c>
      <c r="LWR17" s="310" t="s">
        <v>201</v>
      </c>
      <c r="LWS17" s="310" t="s">
        <v>201</v>
      </c>
      <c r="LWT17" s="310" t="s">
        <v>201</v>
      </c>
      <c r="LWU17" s="310" t="s">
        <v>201</v>
      </c>
      <c r="LWV17" s="310" t="s">
        <v>201</v>
      </c>
      <c r="LWW17" s="310" t="s">
        <v>201</v>
      </c>
      <c r="LWX17" s="310" t="s">
        <v>201</v>
      </c>
      <c r="LWY17" s="310" t="s">
        <v>201</v>
      </c>
      <c r="LWZ17" s="310" t="s">
        <v>201</v>
      </c>
      <c r="LXA17" s="310" t="s">
        <v>201</v>
      </c>
      <c r="LXB17" s="310" t="s">
        <v>201</v>
      </c>
      <c r="LXC17" s="310" t="s">
        <v>201</v>
      </c>
      <c r="LXD17" s="310" t="s">
        <v>201</v>
      </c>
      <c r="LXE17" s="310" t="s">
        <v>201</v>
      </c>
      <c r="LXF17" s="310" t="s">
        <v>201</v>
      </c>
      <c r="LXG17" s="310" t="s">
        <v>201</v>
      </c>
      <c r="LXH17" s="310" t="s">
        <v>201</v>
      </c>
      <c r="LXI17" s="310" t="s">
        <v>201</v>
      </c>
      <c r="LXJ17" s="310" t="s">
        <v>201</v>
      </c>
      <c r="LXK17" s="310" t="s">
        <v>201</v>
      </c>
      <c r="LXL17" s="310" t="s">
        <v>201</v>
      </c>
      <c r="LXM17" s="310" t="s">
        <v>201</v>
      </c>
      <c r="LXN17" s="310" t="s">
        <v>201</v>
      </c>
      <c r="LXO17" s="310" t="s">
        <v>201</v>
      </c>
      <c r="LXP17" s="310" t="s">
        <v>201</v>
      </c>
      <c r="LXQ17" s="310" t="s">
        <v>201</v>
      </c>
      <c r="LXR17" s="310" t="s">
        <v>201</v>
      </c>
      <c r="LXS17" s="310" t="s">
        <v>201</v>
      </c>
      <c r="LXT17" s="310" t="s">
        <v>201</v>
      </c>
      <c r="LXU17" s="310" t="s">
        <v>201</v>
      </c>
      <c r="LXV17" s="310" t="s">
        <v>201</v>
      </c>
      <c r="LXW17" s="310" t="s">
        <v>201</v>
      </c>
      <c r="LXX17" s="310" t="s">
        <v>201</v>
      </c>
      <c r="LXY17" s="310" t="s">
        <v>201</v>
      </c>
      <c r="LXZ17" s="310" t="s">
        <v>201</v>
      </c>
      <c r="LYA17" s="310" t="s">
        <v>201</v>
      </c>
      <c r="LYB17" s="310" t="s">
        <v>201</v>
      </c>
      <c r="LYC17" s="310" t="s">
        <v>201</v>
      </c>
      <c r="LYD17" s="310" t="s">
        <v>201</v>
      </c>
      <c r="LYE17" s="310" t="s">
        <v>201</v>
      </c>
      <c r="LYF17" s="310" t="s">
        <v>201</v>
      </c>
      <c r="LYG17" s="310" t="s">
        <v>201</v>
      </c>
      <c r="LYH17" s="310" t="s">
        <v>201</v>
      </c>
      <c r="LYI17" s="310" t="s">
        <v>201</v>
      </c>
      <c r="LYJ17" s="310" t="s">
        <v>201</v>
      </c>
      <c r="LYK17" s="310" t="s">
        <v>201</v>
      </c>
      <c r="LYL17" s="310" t="s">
        <v>201</v>
      </c>
      <c r="LYM17" s="310" t="s">
        <v>201</v>
      </c>
      <c r="LYN17" s="310" t="s">
        <v>201</v>
      </c>
      <c r="LYO17" s="310" t="s">
        <v>201</v>
      </c>
      <c r="LYP17" s="310" t="s">
        <v>201</v>
      </c>
      <c r="LYQ17" s="310" t="s">
        <v>201</v>
      </c>
      <c r="LYR17" s="310" t="s">
        <v>201</v>
      </c>
      <c r="LYS17" s="310" t="s">
        <v>201</v>
      </c>
      <c r="LYT17" s="310" t="s">
        <v>201</v>
      </c>
      <c r="LYU17" s="310" t="s">
        <v>201</v>
      </c>
      <c r="LYV17" s="310" t="s">
        <v>201</v>
      </c>
      <c r="LYW17" s="310" t="s">
        <v>201</v>
      </c>
      <c r="LYX17" s="310" t="s">
        <v>201</v>
      </c>
      <c r="LYY17" s="310" t="s">
        <v>201</v>
      </c>
      <c r="LYZ17" s="310" t="s">
        <v>201</v>
      </c>
      <c r="LZA17" s="310" t="s">
        <v>201</v>
      </c>
      <c r="LZB17" s="310" t="s">
        <v>201</v>
      </c>
      <c r="LZC17" s="310" t="s">
        <v>201</v>
      </c>
      <c r="LZD17" s="310" t="s">
        <v>201</v>
      </c>
      <c r="LZE17" s="310" t="s">
        <v>201</v>
      </c>
      <c r="LZF17" s="310" t="s">
        <v>201</v>
      </c>
      <c r="LZG17" s="310" t="s">
        <v>201</v>
      </c>
      <c r="LZH17" s="310" t="s">
        <v>201</v>
      </c>
      <c r="LZI17" s="310" t="s">
        <v>201</v>
      </c>
      <c r="LZJ17" s="310" t="s">
        <v>201</v>
      </c>
      <c r="LZK17" s="310" t="s">
        <v>201</v>
      </c>
      <c r="LZL17" s="310" t="s">
        <v>201</v>
      </c>
      <c r="LZM17" s="310" t="s">
        <v>201</v>
      </c>
      <c r="LZN17" s="310" t="s">
        <v>201</v>
      </c>
      <c r="LZO17" s="310" t="s">
        <v>201</v>
      </c>
      <c r="LZP17" s="310" t="s">
        <v>201</v>
      </c>
      <c r="LZQ17" s="310" t="s">
        <v>201</v>
      </c>
      <c r="LZR17" s="310" t="s">
        <v>201</v>
      </c>
      <c r="LZS17" s="310" t="s">
        <v>201</v>
      </c>
      <c r="LZT17" s="310" t="s">
        <v>201</v>
      </c>
      <c r="LZU17" s="310" t="s">
        <v>201</v>
      </c>
      <c r="LZV17" s="310" t="s">
        <v>201</v>
      </c>
      <c r="LZW17" s="310" t="s">
        <v>201</v>
      </c>
      <c r="LZX17" s="310" t="s">
        <v>201</v>
      </c>
      <c r="LZY17" s="310" t="s">
        <v>201</v>
      </c>
      <c r="LZZ17" s="310" t="s">
        <v>201</v>
      </c>
      <c r="MAA17" s="310" t="s">
        <v>201</v>
      </c>
      <c r="MAB17" s="310" t="s">
        <v>201</v>
      </c>
      <c r="MAC17" s="310" t="s">
        <v>201</v>
      </c>
      <c r="MAD17" s="310" t="s">
        <v>201</v>
      </c>
      <c r="MAE17" s="310" t="s">
        <v>201</v>
      </c>
      <c r="MAF17" s="310" t="s">
        <v>201</v>
      </c>
      <c r="MAG17" s="310" t="s">
        <v>201</v>
      </c>
      <c r="MAH17" s="310" t="s">
        <v>201</v>
      </c>
      <c r="MAI17" s="310" t="s">
        <v>201</v>
      </c>
      <c r="MAJ17" s="310" t="s">
        <v>201</v>
      </c>
      <c r="MAK17" s="310" t="s">
        <v>201</v>
      </c>
      <c r="MAL17" s="310" t="s">
        <v>201</v>
      </c>
      <c r="MAM17" s="310" t="s">
        <v>201</v>
      </c>
      <c r="MAN17" s="310" t="s">
        <v>201</v>
      </c>
      <c r="MAO17" s="310" t="s">
        <v>201</v>
      </c>
      <c r="MAP17" s="310" t="s">
        <v>201</v>
      </c>
      <c r="MAQ17" s="310" t="s">
        <v>201</v>
      </c>
      <c r="MAR17" s="310" t="s">
        <v>201</v>
      </c>
      <c r="MAS17" s="310" t="s">
        <v>201</v>
      </c>
      <c r="MAT17" s="310" t="s">
        <v>201</v>
      </c>
      <c r="MAU17" s="310" t="s">
        <v>201</v>
      </c>
      <c r="MAV17" s="310" t="s">
        <v>201</v>
      </c>
      <c r="MAW17" s="310" t="s">
        <v>201</v>
      </c>
      <c r="MAX17" s="310" t="s">
        <v>201</v>
      </c>
      <c r="MAY17" s="310" t="s">
        <v>201</v>
      </c>
      <c r="MAZ17" s="310" t="s">
        <v>201</v>
      </c>
      <c r="MBA17" s="310" t="s">
        <v>201</v>
      </c>
      <c r="MBB17" s="310" t="s">
        <v>201</v>
      </c>
      <c r="MBC17" s="310" t="s">
        <v>201</v>
      </c>
      <c r="MBD17" s="310" t="s">
        <v>201</v>
      </c>
      <c r="MBE17" s="310" t="s">
        <v>201</v>
      </c>
      <c r="MBF17" s="310" t="s">
        <v>201</v>
      </c>
      <c r="MBG17" s="310" t="s">
        <v>201</v>
      </c>
      <c r="MBH17" s="310" t="s">
        <v>201</v>
      </c>
      <c r="MBI17" s="310" t="s">
        <v>201</v>
      </c>
      <c r="MBJ17" s="310" t="s">
        <v>201</v>
      </c>
      <c r="MBK17" s="310" t="s">
        <v>201</v>
      </c>
      <c r="MBL17" s="310" t="s">
        <v>201</v>
      </c>
      <c r="MBM17" s="310" t="s">
        <v>201</v>
      </c>
      <c r="MBN17" s="310" t="s">
        <v>201</v>
      </c>
      <c r="MBO17" s="310" t="s">
        <v>201</v>
      </c>
      <c r="MBP17" s="310" t="s">
        <v>201</v>
      </c>
      <c r="MBQ17" s="310" t="s">
        <v>201</v>
      </c>
      <c r="MBR17" s="310" t="s">
        <v>201</v>
      </c>
      <c r="MBS17" s="310" t="s">
        <v>201</v>
      </c>
      <c r="MBT17" s="310" t="s">
        <v>201</v>
      </c>
      <c r="MBU17" s="310" t="s">
        <v>201</v>
      </c>
      <c r="MBV17" s="310" t="s">
        <v>201</v>
      </c>
      <c r="MBW17" s="310" t="s">
        <v>201</v>
      </c>
      <c r="MBX17" s="310" t="s">
        <v>201</v>
      </c>
      <c r="MBY17" s="310" t="s">
        <v>201</v>
      </c>
      <c r="MBZ17" s="310" t="s">
        <v>201</v>
      </c>
      <c r="MCA17" s="310" t="s">
        <v>201</v>
      </c>
      <c r="MCB17" s="310" t="s">
        <v>201</v>
      </c>
      <c r="MCC17" s="310" t="s">
        <v>201</v>
      </c>
      <c r="MCD17" s="310" t="s">
        <v>201</v>
      </c>
      <c r="MCE17" s="310" t="s">
        <v>201</v>
      </c>
      <c r="MCF17" s="310" t="s">
        <v>201</v>
      </c>
      <c r="MCG17" s="310" t="s">
        <v>201</v>
      </c>
      <c r="MCH17" s="310" t="s">
        <v>201</v>
      </c>
      <c r="MCI17" s="310" t="s">
        <v>201</v>
      </c>
      <c r="MCJ17" s="310" t="s">
        <v>201</v>
      </c>
      <c r="MCK17" s="310" t="s">
        <v>201</v>
      </c>
      <c r="MCL17" s="310" t="s">
        <v>201</v>
      </c>
      <c r="MCM17" s="310" t="s">
        <v>201</v>
      </c>
      <c r="MCN17" s="310" t="s">
        <v>201</v>
      </c>
      <c r="MCO17" s="310" t="s">
        <v>201</v>
      </c>
      <c r="MCP17" s="310" t="s">
        <v>201</v>
      </c>
      <c r="MCQ17" s="310" t="s">
        <v>201</v>
      </c>
      <c r="MCR17" s="310" t="s">
        <v>201</v>
      </c>
      <c r="MCS17" s="310" t="s">
        <v>201</v>
      </c>
      <c r="MCT17" s="310" t="s">
        <v>201</v>
      </c>
      <c r="MCU17" s="310" t="s">
        <v>201</v>
      </c>
      <c r="MCV17" s="310" t="s">
        <v>201</v>
      </c>
      <c r="MCW17" s="310" t="s">
        <v>201</v>
      </c>
      <c r="MCX17" s="310" t="s">
        <v>201</v>
      </c>
      <c r="MCY17" s="310" t="s">
        <v>201</v>
      </c>
      <c r="MCZ17" s="310" t="s">
        <v>201</v>
      </c>
      <c r="MDA17" s="310" t="s">
        <v>201</v>
      </c>
      <c r="MDB17" s="310" t="s">
        <v>201</v>
      </c>
      <c r="MDC17" s="310" t="s">
        <v>201</v>
      </c>
      <c r="MDD17" s="310" t="s">
        <v>201</v>
      </c>
      <c r="MDE17" s="310" t="s">
        <v>201</v>
      </c>
      <c r="MDF17" s="310" t="s">
        <v>201</v>
      </c>
      <c r="MDG17" s="310" t="s">
        <v>201</v>
      </c>
      <c r="MDH17" s="310" t="s">
        <v>201</v>
      </c>
      <c r="MDI17" s="310" t="s">
        <v>201</v>
      </c>
      <c r="MDJ17" s="310" t="s">
        <v>201</v>
      </c>
      <c r="MDK17" s="310" t="s">
        <v>201</v>
      </c>
      <c r="MDL17" s="310" t="s">
        <v>201</v>
      </c>
      <c r="MDM17" s="310" t="s">
        <v>201</v>
      </c>
      <c r="MDN17" s="310" t="s">
        <v>201</v>
      </c>
      <c r="MDO17" s="310" t="s">
        <v>201</v>
      </c>
      <c r="MDP17" s="310" t="s">
        <v>201</v>
      </c>
      <c r="MDQ17" s="310" t="s">
        <v>201</v>
      </c>
      <c r="MDR17" s="310" t="s">
        <v>201</v>
      </c>
      <c r="MDS17" s="310" t="s">
        <v>201</v>
      </c>
      <c r="MDT17" s="310" t="s">
        <v>201</v>
      </c>
      <c r="MDU17" s="310" t="s">
        <v>201</v>
      </c>
      <c r="MDV17" s="310" t="s">
        <v>201</v>
      </c>
      <c r="MDW17" s="310" t="s">
        <v>201</v>
      </c>
      <c r="MDX17" s="310" t="s">
        <v>201</v>
      </c>
      <c r="MDY17" s="310" t="s">
        <v>201</v>
      </c>
      <c r="MDZ17" s="310" t="s">
        <v>201</v>
      </c>
      <c r="MEA17" s="310" t="s">
        <v>201</v>
      </c>
      <c r="MEB17" s="310" t="s">
        <v>201</v>
      </c>
      <c r="MEC17" s="310" t="s">
        <v>201</v>
      </c>
      <c r="MED17" s="310" t="s">
        <v>201</v>
      </c>
      <c r="MEE17" s="310" t="s">
        <v>201</v>
      </c>
      <c r="MEF17" s="310" t="s">
        <v>201</v>
      </c>
      <c r="MEG17" s="310" t="s">
        <v>201</v>
      </c>
      <c r="MEH17" s="310" t="s">
        <v>201</v>
      </c>
      <c r="MEI17" s="310" t="s">
        <v>201</v>
      </c>
      <c r="MEJ17" s="310" t="s">
        <v>201</v>
      </c>
      <c r="MEK17" s="310" t="s">
        <v>201</v>
      </c>
      <c r="MEL17" s="310" t="s">
        <v>201</v>
      </c>
      <c r="MEM17" s="310" t="s">
        <v>201</v>
      </c>
      <c r="MEN17" s="310" t="s">
        <v>201</v>
      </c>
      <c r="MEO17" s="310" t="s">
        <v>201</v>
      </c>
      <c r="MEP17" s="310" t="s">
        <v>201</v>
      </c>
      <c r="MEQ17" s="310" t="s">
        <v>201</v>
      </c>
      <c r="MER17" s="310" t="s">
        <v>201</v>
      </c>
      <c r="MES17" s="310" t="s">
        <v>201</v>
      </c>
      <c r="MET17" s="310" t="s">
        <v>201</v>
      </c>
      <c r="MEU17" s="310" t="s">
        <v>201</v>
      </c>
      <c r="MEV17" s="310" t="s">
        <v>201</v>
      </c>
      <c r="MEW17" s="310" t="s">
        <v>201</v>
      </c>
      <c r="MEX17" s="310" t="s">
        <v>201</v>
      </c>
      <c r="MEY17" s="310" t="s">
        <v>201</v>
      </c>
      <c r="MEZ17" s="310" t="s">
        <v>201</v>
      </c>
      <c r="MFA17" s="310" t="s">
        <v>201</v>
      </c>
      <c r="MFB17" s="310" t="s">
        <v>201</v>
      </c>
      <c r="MFC17" s="310" t="s">
        <v>201</v>
      </c>
      <c r="MFD17" s="310" t="s">
        <v>201</v>
      </c>
      <c r="MFE17" s="310" t="s">
        <v>201</v>
      </c>
      <c r="MFF17" s="310" t="s">
        <v>201</v>
      </c>
      <c r="MFG17" s="310" t="s">
        <v>201</v>
      </c>
      <c r="MFH17" s="310" t="s">
        <v>201</v>
      </c>
      <c r="MFI17" s="310" t="s">
        <v>201</v>
      </c>
      <c r="MFJ17" s="310" t="s">
        <v>201</v>
      </c>
      <c r="MFK17" s="310" t="s">
        <v>201</v>
      </c>
      <c r="MFL17" s="310" t="s">
        <v>201</v>
      </c>
      <c r="MFM17" s="310" t="s">
        <v>201</v>
      </c>
      <c r="MFN17" s="310" t="s">
        <v>201</v>
      </c>
      <c r="MFO17" s="310" t="s">
        <v>201</v>
      </c>
      <c r="MFP17" s="310" t="s">
        <v>201</v>
      </c>
      <c r="MFQ17" s="310" t="s">
        <v>201</v>
      </c>
      <c r="MFR17" s="310" t="s">
        <v>201</v>
      </c>
      <c r="MFS17" s="310" t="s">
        <v>201</v>
      </c>
      <c r="MFT17" s="310" t="s">
        <v>201</v>
      </c>
      <c r="MFU17" s="310" t="s">
        <v>201</v>
      </c>
      <c r="MFV17" s="310" t="s">
        <v>201</v>
      </c>
      <c r="MFW17" s="310" t="s">
        <v>201</v>
      </c>
      <c r="MFX17" s="310" t="s">
        <v>201</v>
      </c>
      <c r="MFY17" s="310" t="s">
        <v>201</v>
      </c>
      <c r="MFZ17" s="310" t="s">
        <v>201</v>
      </c>
      <c r="MGA17" s="310" t="s">
        <v>201</v>
      </c>
      <c r="MGB17" s="310" t="s">
        <v>201</v>
      </c>
      <c r="MGC17" s="310" t="s">
        <v>201</v>
      </c>
      <c r="MGD17" s="310" t="s">
        <v>201</v>
      </c>
      <c r="MGE17" s="310" t="s">
        <v>201</v>
      </c>
      <c r="MGF17" s="310" t="s">
        <v>201</v>
      </c>
      <c r="MGG17" s="310" t="s">
        <v>201</v>
      </c>
      <c r="MGH17" s="310" t="s">
        <v>201</v>
      </c>
      <c r="MGI17" s="310" t="s">
        <v>201</v>
      </c>
      <c r="MGJ17" s="310" t="s">
        <v>201</v>
      </c>
      <c r="MGK17" s="310" t="s">
        <v>201</v>
      </c>
      <c r="MGL17" s="310" t="s">
        <v>201</v>
      </c>
      <c r="MGM17" s="310" t="s">
        <v>201</v>
      </c>
      <c r="MGN17" s="310" t="s">
        <v>201</v>
      </c>
      <c r="MGO17" s="310" t="s">
        <v>201</v>
      </c>
      <c r="MGP17" s="310" t="s">
        <v>201</v>
      </c>
      <c r="MGQ17" s="310" t="s">
        <v>201</v>
      </c>
      <c r="MGR17" s="310" t="s">
        <v>201</v>
      </c>
      <c r="MGS17" s="310" t="s">
        <v>201</v>
      </c>
      <c r="MGT17" s="310" t="s">
        <v>201</v>
      </c>
      <c r="MGU17" s="310" t="s">
        <v>201</v>
      </c>
      <c r="MGV17" s="310" t="s">
        <v>201</v>
      </c>
      <c r="MGW17" s="310" t="s">
        <v>201</v>
      </c>
      <c r="MGX17" s="310" t="s">
        <v>201</v>
      </c>
      <c r="MGY17" s="310" t="s">
        <v>201</v>
      </c>
      <c r="MGZ17" s="310" t="s">
        <v>201</v>
      </c>
      <c r="MHA17" s="310" t="s">
        <v>201</v>
      </c>
      <c r="MHB17" s="310" t="s">
        <v>201</v>
      </c>
      <c r="MHC17" s="310" t="s">
        <v>201</v>
      </c>
      <c r="MHD17" s="310" t="s">
        <v>201</v>
      </c>
      <c r="MHE17" s="310" t="s">
        <v>201</v>
      </c>
      <c r="MHF17" s="310" t="s">
        <v>201</v>
      </c>
      <c r="MHG17" s="310" t="s">
        <v>201</v>
      </c>
      <c r="MHH17" s="310" t="s">
        <v>201</v>
      </c>
      <c r="MHI17" s="310" t="s">
        <v>201</v>
      </c>
      <c r="MHJ17" s="310" t="s">
        <v>201</v>
      </c>
      <c r="MHK17" s="310" t="s">
        <v>201</v>
      </c>
      <c r="MHL17" s="310" t="s">
        <v>201</v>
      </c>
      <c r="MHM17" s="310" t="s">
        <v>201</v>
      </c>
      <c r="MHN17" s="310" t="s">
        <v>201</v>
      </c>
      <c r="MHO17" s="310" t="s">
        <v>201</v>
      </c>
      <c r="MHP17" s="310" t="s">
        <v>201</v>
      </c>
      <c r="MHQ17" s="310" t="s">
        <v>201</v>
      </c>
      <c r="MHR17" s="310" t="s">
        <v>201</v>
      </c>
      <c r="MHS17" s="310" t="s">
        <v>201</v>
      </c>
      <c r="MHT17" s="310" t="s">
        <v>201</v>
      </c>
      <c r="MHU17" s="310" t="s">
        <v>201</v>
      </c>
      <c r="MHV17" s="310" t="s">
        <v>201</v>
      </c>
      <c r="MHW17" s="310" t="s">
        <v>201</v>
      </c>
      <c r="MHX17" s="310" t="s">
        <v>201</v>
      </c>
      <c r="MHY17" s="310" t="s">
        <v>201</v>
      </c>
      <c r="MHZ17" s="310" t="s">
        <v>201</v>
      </c>
      <c r="MIA17" s="310" t="s">
        <v>201</v>
      </c>
      <c r="MIB17" s="310" t="s">
        <v>201</v>
      </c>
      <c r="MIC17" s="310" t="s">
        <v>201</v>
      </c>
      <c r="MID17" s="310" t="s">
        <v>201</v>
      </c>
      <c r="MIE17" s="310" t="s">
        <v>201</v>
      </c>
      <c r="MIF17" s="310" t="s">
        <v>201</v>
      </c>
      <c r="MIG17" s="310" t="s">
        <v>201</v>
      </c>
      <c r="MIH17" s="310" t="s">
        <v>201</v>
      </c>
      <c r="MII17" s="310" t="s">
        <v>201</v>
      </c>
      <c r="MIJ17" s="310" t="s">
        <v>201</v>
      </c>
      <c r="MIK17" s="310" t="s">
        <v>201</v>
      </c>
      <c r="MIL17" s="310" t="s">
        <v>201</v>
      </c>
      <c r="MIM17" s="310" t="s">
        <v>201</v>
      </c>
      <c r="MIN17" s="310" t="s">
        <v>201</v>
      </c>
      <c r="MIO17" s="310" t="s">
        <v>201</v>
      </c>
      <c r="MIP17" s="310" t="s">
        <v>201</v>
      </c>
      <c r="MIQ17" s="310" t="s">
        <v>201</v>
      </c>
      <c r="MIR17" s="310" t="s">
        <v>201</v>
      </c>
      <c r="MIS17" s="310" t="s">
        <v>201</v>
      </c>
      <c r="MIT17" s="310" t="s">
        <v>201</v>
      </c>
      <c r="MIU17" s="310" t="s">
        <v>201</v>
      </c>
      <c r="MIV17" s="310" t="s">
        <v>201</v>
      </c>
      <c r="MIW17" s="310" t="s">
        <v>201</v>
      </c>
      <c r="MIX17" s="310" t="s">
        <v>201</v>
      </c>
      <c r="MIY17" s="310" t="s">
        <v>201</v>
      </c>
      <c r="MIZ17" s="310" t="s">
        <v>201</v>
      </c>
      <c r="MJA17" s="310" t="s">
        <v>201</v>
      </c>
      <c r="MJB17" s="310" t="s">
        <v>201</v>
      </c>
      <c r="MJC17" s="310" t="s">
        <v>201</v>
      </c>
      <c r="MJD17" s="310" t="s">
        <v>201</v>
      </c>
      <c r="MJE17" s="310" t="s">
        <v>201</v>
      </c>
      <c r="MJF17" s="310" t="s">
        <v>201</v>
      </c>
      <c r="MJG17" s="310" t="s">
        <v>201</v>
      </c>
      <c r="MJH17" s="310" t="s">
        <v>201</v>
      </c>
      <c r="MJI17" s="310" t="s">
        <v>201</v>
      </c>
      <c r="MJJ17" s="310" t="s">
        <v>201</v>
      </c>
      <c r="MJK17" s="310" t="s">
        <v>201</v>
      </c>
      <c r="MJL17" s="310" t="s">
        <v>201</v>
      </c>
      <c r="MJM17" s="310" t="s">
        <v>201</v>
      </c>
      <c r="MJN17" s="310" t="s">
        <v>201</v>
      </c>
      <c r="MJO17" s="310" t="s">
        <v>201</v>
      </c>
      <c r="MJP17" s="310" t="s">
        <v>201</v>
      </c>
      <c r="MJQ17" s="310" t="s">
        <v>201</v>
      </c>
      <c r="MJR17" s="310" t="s">
        <v>201</v>
      </c>
      <c r="MJS17" s="310" t="s">
        <v>201</v>
      </c>
      <c r="MJT17" s="310" t="s">
        <v>201</v>
      </c>
      <c r="MJU17" s="310" t="s">
        <v>201</v>
      </c>
      <c r="MJV17" s="310" t="s">
        <v>201</v>
      </c>
      <c r="MJW17" s="310" t="s">
        <v>201</v>
      </c>
      <c r="MJX17" s="310" t="s">
        <v>201</v>
      </c>
      <c r="MJY17" s="310" t="s">
        <v>201</v>
      </c>
      <c r="MJZ17" s="310" t="s">
        <v>201</v>
      </c>
      <c r="MKA17" s="310" t="s">
        <v>201</v>
      </c>
      <c r="MKB17" s="310" t="s">
        <v>201</v>
      </c>
      <c r="MKC17" s="310" t="s">
        <v>201</v>
      </c>
      <c r="MKD17" s="310" t="s">
        <v>201</v>
      </c>
      <c r="MKE17" s="310" t="s">
        <v>201</v>
      </c>
      <c r="MKF17" s="310" t="s">
        <v>201</v>
      </c>
      <c r="MKG17" s="310" t="s">
        <v>201</v>
      </c>
      <c r="MKH17" s="310" t="s">
        <v>201</v>
      </c>
      <c r="MKI17" s="310" t="s">
        <v>201</v>
      </c>
      <c r="MKJ17" s="310" t="s">
        <v>201</v>
      </c>
      <c r="MKK17" s="310" t="s">
        <v>201</v>
      </c>
      <c r="MKL17" s="310" t="s">
        <v>201</v>
      </c>
      <c r="MKM17" s="310" t="s">
        <v>201</v>
      </c>
      <c r="MKN17" s="310" t="s">
        <v>201</v>
      </c>
      <c r="MKO17" s="310" t="s">
        <v>201</v>
      </c>
      <c r="MKP17" s="310" t="s">
        <v>201</v>
      </c>
      <c r="MKQ17" s="310" t="s">
        <v>201</v>
      </c>
      <c r="MKR17" s="310" t="s">
        <v>201</v>
      </c>
      <c r="MKS17" s="310" t="s">
        <v>201</v>
      </c>
      <c r="MKT17" s="310" t="s">
        <v>201</v>
      </c>
      <c r="MKU17" s="310" t="s">
        <v>201</v>
      </c>
      <c r="MKV17" s="310" t="s">
        <v>201</v>
      </c>
      <c r="MKW17" s="310" t="s">
        <v>201</v>
      </c>
      <c r="MKX17" s="310" t="s">
        <v>201</v>
      </c>
      <c r="MKY17" s="310" t="s">
        <v>201</v>
      </c>
      <c r="MKZ17" s="310" t="s">
        <v>201</v>
      </c>
      <c r="MLA17" s="310" t="s">
        <v>201</v>
      </c>
      <c r="MLB17" s="310" t="s">
        <v>201</v>
      </c>
      <c r="MLC17" s="310" t="s">
        <v>201</v>
      </c>
      <c r="MLD17" s="310" t="s">
        <v>201</v>
      </c>
      <c r="MLE17" s="310" t="s">
        <v>201</v>
      </c>
      <c r="MLF17" s="310" t="s">
        <v>201</v>
      </c>
      <c r="MLG17" s="310" t="s">
        <v>201</v>
      </c>
      <c r="MLH17" s="310" t="s">
        <v>201</v>
      </c>
      <c r="MLI17" s="310" t="s">
        <v>201</v>
      </c>
      <c r="MLJ17" s="310" t="s">
        <v>201</v>
      </c>
      <c r="MLK17" s="310" t="s">
        <v>201</v>
      </c>
      <c r="MLL17" s="310" t="s">
        <v>201</v>
      </c>
      <c r="MLM17" s="310" t="s">
        <v>201</v>
      </c>
      <c r="MLN17" s="310" t="s">
        <v>201</v>
      </c>
      <c r="MLO17" s="310" t="s">
        <v>201</v>
      </c>
      <c r="MLP17" s="310" t="s">
        <v>201</v>
      </c>
      <c r="MLQ17" s="310" t="s">
        <v>201</v>
      </c>
      <c r="MLR17" s="310" t="s">
        <v>201</v>
      </c>
      <c r="MLS17" s="310" t="s">
        <v>201</v>
      </c>
      <c r="MLT17" s="310" t="s">
        <v>201</v>
      </c>
      <c r="MLU17" s="310" t="s">
        <v>201</v>
      </c>
      <c r="MLV17" s="310" t="s">
        <v>201</v>
      </c>
      <c r="MLW17" s="310" t="s">
        <v>201</v>
      </c>
      <c r="MLX17" s="310" t="s">
        <v>201</v>
      </c>
      <c r="MLY17" s="310" t="s">
        <v>201</v>
      </c>
      <c r="MLZ17" s="310" t="s">
        <v>201</v>
      </c>
      <c r="MMA17" s="310" t="s">
        <v>201</v>
      </c>
      <c r="MMB17" s="310" t="s">
        <v>201</v>
      </c>
      <c r="MMC17" s="310" t="s">
        <v>201</v>
      </c>
      <c r="MMD17" s="310" t="s">
        <v>201</v>
      </c>
      <c r="MME17" s="310" t="s">
        <v>201</v>
      </c>
      <c r="MMF17" s="310" t="s">
        <v>201</v>
      </c>
      <c r="MMG17" s="310" t="s">
        <v>201</v>
      </c>
      <c r="MMH17" s="310" t="s">
        <v>201</v>
      </c>
      <c r="MMI17" s="310" t="s">
        <v>201</v>
      </c>
      <c r="MMJ17" s="310" t="s">
        <v>201</v>
      </c>
      <c r="MMK17" s="310" t="s">
        <v>201</v>
      </c>
      <c r="MML17" s="310" t="s">
        <v>201</v>
      </c>
      <c r="MMM17" s="310" t="s">
        <v>201</v>
      </c>
      <c r="MMN17" s="310" t="s">
        <v>201</v>
      </c>
      <c r="MMO17" s="310" t="s">
        <v>201</v>
      </c>
      <c r="MMP17" s="310" t="s">
        <v>201</v>
      </c>
      <c r="MMQ17" s="310" t="s">
        <v>201</v>
      </c>
      <c r="MMR17" s="310" t="s">
        <v>201</v>
      </c>
      <c r="MMS17" s="310" t="s">
        <v>201</v>
      </c>
      <c r="MMT17" s="310" t="s">
        <v>201</v>
      </c>
      <c r="MMU17" s="310" t="s">
        <v>201</v>
      </c>
      <c r="MMV17" s="310" t="s">
        <v>201</v>
      </c>
      <c r="MMW17" s="310" t="s">
        <v>201</v>
      </c>
      <c r="MMX17" s="310" t="s">
        <v>201</v>
      </c>
      <c r="MMY17" s="310" t="s">
        <v>201</v>
      </c>
      <c r="MMZ17" s="310" t="s">
        <v>201</v>
      </c>
      <c r="MNA17" s="310" t="s">
        <v>201</v>
      </c>
      <c r="MNB17" s="310" t="s">
        <v>201</v>
      </c>
      <c r="MNC17" s="310" t="s">
        <v>201</v>
      </c>
      <c r="MND17" s="310" t="s">
        <v>201</v>
      </c>
      <c r="MNE17" s="310" t="s">
        <v>201</v>
      </c>
      <c r="MNF17" s="310" t="s">
        <v>201</v>
      </c>
      <c r="MNG17" s="310" t="s">
        <v>201</v>
      </c>
      <c r="MNH17" s="310" t="s">
        <v>201</v>
      </c>
      <c r="MNI17" s="310" t="s">
        <v>201</v>
      </c>
      <c r="MNJ17" s="310" t="s">
        <v>201</v>
      </c>
      <c r="MNK17" s="310" t="s">
        <v>201</v>
      </c>
      <c r="MNL17" s="310" t="s">
        <v>201</v>
      </c>
      <c r="MNM17" s="310" t="s">
        <v>201</v>
      </c>
      <c r="MNN17" s="310" t="s">
        <v>201</v>
      </c>
      <c r="MNO17" s="310" t="s">
        <v>201</v>
      </c>
      <c r="MNP17" s="310" t="s">
        <v>201</v>
      </c>
      <c r="MNQ17" s="310" t="s">
        <v>201</v>
      </c>
      <c r="MNR17" s="310" t="s">
        <v>201</v>
      </c>
      <c r="MNS17" s="310" t="s">
        <v>201</v>
      </c>
      <c r="MNT17" s="310" t="s">
        <v>201</v>
      </c>
      <c r="MNU17" s="310" t="s">
        <v>201</v>
      </c>
      <c r="MNV17" s="310" t="s">
        <v>201</v>
      </c>
      <c r="MNW17" s="310" t="s">
        <v>201</v>
      </c>
      <c r="MNX17" s="310" t="s">
        <v>201</v>
      </c>
      <c r="MNY17" s="310" t="s">
        <v>201</v>
      </c>
      <c r="MNZ17" s="310" t="s">
        <v>201</v>
      </c>
      <c r="MOA17" s="310" t="s">
        <v>201</v>
      </c>
      <c r="MOB17" s="310" t="s">
        <v>201</v>
      </c>
      <c r="MOC17" s="310" t="s">
        <v>201</v>
      </c>
      <c r="MOD17" s="310" t="s">
        <v>201</v>
      </c>
      <c r="MOE17" s="310" t="s">
        <v>201</v>
      </c>
      <c r="MOF17" s="310" t="s">
        <v>201</v>
      </c>
      <c r="MOG17" s="310" t="s">
        <v>201</v>
      </c>
      <c r="MOH17" s="310" t="s">
        <v>201</v>
      </c>
      <c r="MOI17" s="310" t="s">
        <v>201</v>
      </c>
      <c r="MOJ17" s="310" t="s">
        <v>201</v>
      </c>
      <c r="MOK17" s="310" t="s">
        <v>201</v>
      </c>
      <c r="MOL17" s="310" t="s">
        <v>201</v>
      </c>
      <c r="MOM17" s="310" t="s">
        <v>201</v>
      </c>
      <c r="MON17" s="310" t="s">
        <v>201</v>
      </c>
      <c r="MOO17" s="310" t="s">
        <v>201</v>
      </c>
      <c r="MOP17" s="310" t="s">
        <v>201</v>
      </c>
      <c r="MOQ17" s="310" t="s">
        <v>201</v>
      </c>
      <c r="MOR17" s="310" t="s">
        <v>201</v>
      </c>
      <c r="MOS17" s="310" t="s">
        <v>201</v>
      </c>
      <c r="MOT17" s="310" t="s">
        <v>201</v>
      </c>
      <c r="MOU17" s="310" t="s">
        <v>201</v>
      </c>
      <c r="MOV17" s="310" t="s">
        <v>201</v>
      </c>
      <c r="MOW17" s="310" t="s">
        <v>201</v>
      </c>
      <c r="MOX17" s="310" t="s">
        <v>201</v>
      </c>
      <c r="MOY17" s="310" t="s">
        <v>201</v>
      </c>
      <c r="MOZ17" s="310" t="s">
        <v>201</v>
      </c>
      <c r="MPA17" s="310" t="s">
        <v>201</v>
      </c>
      <c r="MPB17" s="310" t="s">
        <v>201</v>
      </c>
      <c r="MPC17" s="310" t="s">
        <v>201</v>
      </c>
      <c r="MPD17" s="310" t="s">
        <v>201</v>
      </c>
      <c r="MPE17" s="310" t="s">
        <v>201</v>
      </c>
      <c r="MPF17" s="310" t="s">
        <v>201</v>
      </c>
      <c r="MPG17" s="310" t="s">
        <v>201</v>
      </c>
      <c r="MPH17" s="310" t="s">
        <v>201</v>
      </c>
      <c r="MPI17" s="310" t="s">
        <v>201</v>
      </c>
      <c r="MPJ17" s="310" t="s">
        <v>201</v>
      </c>
      <c r="MPK17" s="310" t="s">
        <v>201</v>
      </c>
      <c r="MPL17" s="310" t="s">
        <v>201</v>
      </c>
      <c r="MPM17" s="310" t="s">
        <v>201</v>
      </c>
      <c r="MPN17" s="310" t="s">
        <v>201</v>
      </c>
      <c r="MPO17" s="310" t="s">
        <v>201</v>
      </c>
      <c r="MPP17" s="310" t="s">
        <v>201</v>
      </c>
      <c r="MPQ17" s="310" t="s">
        <v>201</v>
      </c>
      <c r="MPR17" s="310" t="s">
        <v>201</v>
      </c>
      <c r="MPS17" s="310" t="s">
        <v>201</v>
      </c>
      <c r="MPT17" s="310" t="s">
        <v>201</v>
      </c>
      <c r="MPU17" s="310" t="s">
        <v>201</v>
      </c>
      <c r="MPV17" s="310" t="s">
        <v>201</v>
      </c>
      <c r="MPW17" s="310" t="s">
        <v>201</v>
      </c>
      <c r="MPX17" s="310" t="s">
        <v>201</v>
      </c>
      <c r="MPY17" s="310" t="s">
        <v>201</v>
      </c>
      <c r="MPZ17" s="310" t="s">
        <v>201</v>
      </c>
      <c r="MQA17" s="310" t="s">
        <v>201</v>
      </c>
      <c r="MQB17" s="310" t="s">
        <v>201</v>
      </c>
      <c r="MQC17" s="310" t="s">
        <v>201</v>
      </c>
      <c r="MQD17" s="310" t="s">
        <v>201</v>
      </c>
      <c r="MQE17" s="310" t="s">
        <v>201</v>
      </c>
      <c r="MQF17" s="310" t="s">
        <v>201</v>
      </c>
      <c r="MQG17" s="310" t="s">
        <v>201</v>
      </c>
      <c r="MQH17" s="310" t="s">
        <v>201</v>
      </c>
      <c r="MQI17" s="310" t="s">
        <v>201</v>
      </c>
      <c r="MQJ17" s="310" t="s">
        <v>201</v>
      </c>
      <c r="MQK17" s="310" t="s">
        <v>201</v>
      </c>
      <c r="MQL17" s="310" t="s">
        <v>201</v>
      </c>
      <c r="MQM17" s="310" t="s">
        <v>201</v>
      </c>
      <c r="MQN17" s="310" t="s">
        <v>201</v>
      </c>
      <c r="MQO17" s="310" t="s">
        <v>201</v>
      </c>
      <c r="MQP17" s="310" t="s">
        <v>201</v>
      </c>
      <c r="MQQ17" s="310" t="s">
        <v>201</v>
      </c>
      <c r="MQR17" s="310" t="s">
        <v>201</v>
      </c>
      <c r="MQS17" s="310" t="s">
        <v>201</v>
      </c>
      <c r="MQT17" s="310" t="s">
        <v>201</v>
      </c>
      <c r="MQU17" s="310" t="s">
        <v>201</v>
      </c>
      <c r="MQV17" s="310" t="s">
        <v>201</v>
      </c>
      <c r="MQW17" s="310" t="s">
        <v>201</v>
      </c>
      <c r="MQX17" s="310" t="s">
        <v>201</v>
      </c>
      <c r="MQY17" s="310" t="s">
        <v>201</v>
      </c>
      <c r="MQZ17" s="310" t="s">
        <v>201</v>
      </c>
      <c r="MRA17" s="310" t="s">
        <v>201</v>
      </c>
      <c r="MRB17" s="310" t="s">
        <v>201</v>
      </c>
      <c r="MRC17" s="310" t="s">
        <v>201</v>
      </c>
      <c r="MRD17" s="310" t="s">
        <v>201</v>
      </c>
      <c r="MRE17" s="310" t="s">
        <v>201</v>
      </c>
      <c r="MRF17" s="310" t="s">
        <v>201</v>
      </c>
      <c r="MRG17" s="310" t="s">
        <v>201</v>
      </c>
      <c r="MRH17" s="310" t="s">
        <v>201</v>
      </c>
      <c r="MRI17" s="310" t="s">
        <v>201</v>
      </c>
      <c r="MRJ17" s="310" t="s">
        <v>201</v>
      </c>
      <c r="MRK17" s="310" t="s">
        <v>201</v>
      </c>
      <c r="MRL17" s="310" t="s">
        <v>201</v>
      </c>
      <c r="MRM17" s="310" t="s">
        <v>201</v>
      </c>
      <c r="MRN17" s="310" t="s">
        <v>201</v>
      </c>
      <c r="MRO17" s="310" t="s">
        <v>201</v>
      </c>
      <c r="MRP17" s="310" t="s">
        <v>201</v>
      </c>
      <c r="MRQ17" s="310" t="s">
        <v>201</v>
      </c>
      <c r="MRR17" s="310" t="s">
        <v>201</v>
      </c>
      <c r="MRS17" s="310" t="s">
        <v>201</v>
      </c>
      <c r="MRT17" s="310" t="s">
        <v>201</v>
      </c>
      <c r="MRU17" s="310" t="s">
        <v>201</v>
      </c>
      <c r="MRV17" s="310" t="s">
        <v>201</v>
      </c>
      <c r="MRW17" s="310" t="s">
        <v>201</v>
      </c>
      <c r="MRX17" s="310" t="s">
        <v>201</v>
      </c>
      <c r="MRY17" s="310" t="s">
        <v>201</v>
      </c>
      <c r="MRZ17" s="310" t="s">
        <v>201</v>
      </c>
      <c r="MSA17" s="310" t="s">
        <v>201</v>
      </c>
      <c r="MSB17" s="310" t="s">
        <v>201</v>
      </c>
      <c r="MSC17" s="310" t="s">
        <v>201</v>
      </c>
      <c r="MSD17" s="310" t="s">
        <v>201</v>
      </c>
      <c r="MSE17" s="310" t="s">
        <v>201</v>
      </c>
      <c r="MSF17" s="310" t="s">
        <v>201</v>
      </c>
      <c r="MSG17" s="310" t="s">
        <v>201</v>
      </c>
      <c r="MSH17" s="310" t="s">
        <v>201</v>
      </c>
      <c r="MSI17" s="310" t="s">
        <v>201</v>
      </c>
      <c r="MSJ17" s="310" t="s">
        <v>201</v>
      </c>
      <c r="MSK17" s="310" t="s">
        <v>201</v>
      </c>
      <c r="MSL17" s="310" t="s">
        <v>201</v>
      </c>
      <c r="MSM17" s="310" t="s">
        <v>201</v>
      </c>
      <c r="MSN17" s="310" t="s">
        <v>201</v>
      </c>
      <c r="MSO17" s="310" t="s">
        <v>201</v>
      </c>
      <c r="MSP17" s="310" t="s">
        <v>201</v>
      </c>
      <c r="MSQ17" s="310" t="s">
        <v>201</v>
      </c>
      <c r="MSR17" s="310" t="s">
        <v>201</v>
      </c>
      <c r="MSS17" s="310" t="s">
        <v>201</v>
      </c>
      <c r="MST17" s="310" t="s">
        <v>201</v>
      </c>
      <c r="MSU17" s="310" t="s">
        <v>201</v>
      </c>
      <c r="MSV17" s="310" t="s">
        <v>201</v>
      </c>
      <c r="MSW17" s="310" t="s">
        <v>201</v>
      </c>
      <c r="MSX17" s="310" t="s">
        <v>201</v>
      </c>
      <c r="MSY17" s="310" t="s">
        <v>201</v>
      </c>
      <c r="MSZ17" s="310" t="s">
        <v>201</v>
      </c>
      <c r="MTA17" s="310" t="s">
        <v>201</v>
      </c>
      <c r="MTB17" s="310" t="s">
        <v>201</v>
      </c>
      <c r="MTC17" s="310" t="s">
        <v>201</v>
      </c>
      <c r="MTD17" s="310" t="s">
        <v>201</v>
      </c>
      <c r="MTE17" s="310" t="s">
        <v>201</v>
      </c>
      <c r="MTF17" s="310" t="s">
        <v>201</v>
      </c>
      <c r="MTG17" s="310" t="s">
        <v>201</v>
      </c>
      <c r="MTH17" s="310" t="s">
        <v>201</v>
      </c>
      <c r="MTI17" s="310" t="s">
        <v>201</v>
      </c>
      <c r="MTJ17" s="310" t="s">
        <v>201</v>
      </c>
      <c r="MTK17" s="310" t="s">
        <v>201</v>
      </c>
      <c r="MTL17" s="310" t="s">
        <v>201</v>
      </c>
      <c r="MTM17" s="310" t="s">
        <v>201</v>
      </c>
      <c r="MTN17" s="310" t="s">
        <v>201</v>
      </c>
      <c r="MTO17" s="310" t="s">
        <v>201</v>
      </c>
      <c r="MTP17" s="310" t="s">
        <v>201</v>
      </c>
      <c r="MTQ17" s="310" t="s">
        <v>201</v>
      </c>
      <c r="MTR17" s="310" t="s">
        <v>201</v>
      </c>
      <c r="MTS17" s="310" t="s">
        <v>201</v>
      </c>
      <c r="MTT17" s="310" t="s">
        <v>201</v>
      </c>
      <c r="MTU17" s="310" t="s">
        <v>201</v>
      </c>
      <c r="MTV17" s="310" t="s">
        <v>201</v>
      </c>
      <c r="MTW17" s="310" t="s">
        <v>201</v>
      </c>
      <c r="MTX17" s="310" t="s">
        <v>201</v>
      </c>
      <c r="MTY17" s="310" t="s">
        <v>201</v>
      </c>
      <c r="MTZ17" s="310" t="s">
        <v>201</v>
      </c>
      <c r="MUA17" s="310" t="s">
        <v>201</v>
      </c>
      <c r="MUB17" s="310" t="s">
        <v>201</v>
      </c>
      <c r="MUC17" s="310" t="s">
        <v>201</v>
      </c>
      <c r="MUD17" s="310" t="s">
        <v>201</v>
      </c>
      <c r="MUE17" s="310" t="s">
        <v>201</v>
      </c>
      <c r="MUF17" s="310" t="s">
        <v>201</v>
      </c>
      <c r="MUG17" s="310" t="s">
        <v>201</v>
      </c>
      <c r="MUH17" s="310" t="s">
        <v>201</v>
      </c>
      <c r="MUI17" s="310" t="s">
        <v>201</v>
      </c>
      <c r="MUJ17" s="310" t="s">
        <v>201</v>
      </c>
      <c r="MUK17" s="310" t="s">
        <v>201</v>
      </c>
      <c r="MUL17" s="310" t="s">
        <v>201</v>
      </c>
      <c r="MUM17" s="310" t="s">
        <v>201</v>
      </c>
      <c r="MUN17" s="310" t="s">
        <v>201</v>
      </c>
      <c r="MUO17" s="310" t="s">
        <v>201</v>
      </c>
      <c r="MUP17" s="310" t="s">
        <v>201</v>
      </c>
      <c r="MUQ17" s="310" t="s">
        <v>201</v>
      </c>
      <c r="MUR17" s="310" t="s">
        <v>201</v>
      </c>
      <c r="MUS17" s="310" t="s">
        <v>201</v>
      </c>
      <c r="MUT17" s="310" t="s">
        <v>201</v>
      </c>
      <c r="MUU17" s="310" t="s">
        <v>201</v>
      </c>
      <c r="MUV17" s="310" t="s">
        <v>201</v>
      </c>
      <c r="MUW17" s="310" t="s">
        <v>201</v>
      </c>
      <c r="MUX17" s="310" t="s">
        <v>201</v>
      </c>
      <c r="MUY17" s="310" t="s">
        <v>201</v>
      </c>
      <c r="MUZ17" s="310" t="s">
        <v>201</v>
      </c>
      <c r="MVA17" s="310" t="s">
        <v>201</v>
      </c>
      <c r="MVB17" s="310" t="s">
        <v>201</v>
      </c>
      <c r="MVC17" s="310" t="s">
        <v>201</v>
      </c>
      <c r="MVD17" s="310" t="s">
        <v>201</v>
      </c>
      <c r="MVE17" s="310" t="s">
        <v>201</v>
      </c>
      <c r="MVF17" s="310" t="s">
        <v>201</v>
      </c>
      <c r="MVG17" s="310" t="s">
        <v>201</v>
      </c>
      <c r="MVH17" s="310" t="s">
        <v>201</v>
      </c>
      <c r="MVI17" s="310" t="s">
        <v>201</v>
      </c>
      <c r="MVJ17" s="310" t="s">
        <v>201</v>
      </c>
      <c r="MVK17" s="310" t="s">
        <v>201</v>
      </c>
      <c r="MVL17" s="310" t="s">
        <v>201</v>
      </c>
      <c r="MVM17" s="310" t="s">
        <v>201</v>
      </c>
      <c r="MVN17" s="310" t="s">
        <v>201</v>
      </c>
      <c r="MVO17" s="310" t="s">
        <v>201</v>
      </c>
      <c r="MVP17" s="310" t="s">
        <v>201</v>
      </c>
      <c r="MVQ17" s="310" t="s">
        <v>201</v>
      </c>
      <c r="MVR17" s="310" t="s">
        <v>201</v>
      </c>
      <c r="MVS17" s="310" t="s">
        <v>201</v>
      </c>
      <c r="MVT17" s="310" t="s">
        <v>201</v>
      </c>
      <c r="MVU17" s="310" t="s">
        <v>201</v>
      </c>
      <c r="MVV17" s="310" t="s">
        <v>201</v>
      </c>
      <c r="MVW17" s="310" t="s">
        <v>201</v>
      </c>
      <c r="MVX17" s="310" t="s">
        <v>201</v>
      </c>
      <c r="MVY17" s="310" t="s">
        <v>201</v>
      </c>
      <c r="MVZ17" s="310" t="s">
        <v>201</v>
      </c>
      <c r="MWA17" s="310" t="s">
        <v>201</v>
      </c>
      <c r="MWB17" s="310" t="s">
        <v>201</v>
      </c>
      <c r="MWC17" s="310" t="s">
        <v>201</v>
      </c>
      <c r="MWD17" s="310" t="s">
        <v>201</v>
      </c>
      <c r="MWE17" s="310" t="s">
        <v>201</v>
      </c>
      <c r="MWF17" s="310" t="s">
        <v>201</v>
      </c>
      <c r="MWG17" s="310" t="s">
        <v>201</v>
      </c>
      <c r="MWH17" s="310" t="s">
        <v>201</v>
      </c>
      <c r="MWI17" s="310" t="s">
        <v>201</v>
      </c>
      <c r="MWJ17" s="310" t="s">
        <v>201</v>
      </c>
      <c r="MWK17" s="310" t="s">
        <v>201</v>
      </c>
      <c r="MWL17" s="310" t="s">
        <v>201</v>
      </c>
      <c r="MWM17" s="310" t="s">
        <v>201</v>
      </c>
      <c r="MWN17" s="310" t="s">
        <v>201</v>
      </c>
      <c r="MWO17" s="310" t="s">
        <v>201</v>
      </c>
      <c r="MWP17" s="310" t="s">
        <v>201</v>
      </c>
      <c r="MWQ17" s="310" t="s">
        <v>201</v>
      </c>
      <c r="MWR17" s="310" t="s">
        <v>201</v>
      </c>
      <c r="MWS17" s="310" t="s">
        <v>201</v>
      </c>
      <c r="MWT17" s="310" t="s">
        <v>201</v>
      </c>
      <c r="MWU17" s="310" t="s">
        <v>201</v>
      </c>
      <c r="MWV17" s="310" t="s">
        <v>201</v>
      </c>
      <c r="MWW17" s="310" t="s">
        <v>201</v>
      </c>
      <c r="MWX17" s="310" t="s">
        <v>201</v>
      </c>
      <c r="MWY17" s="310" t="s">
        <v>201</v>
      </c>
      <c r="MWZ17" s="310" t="s">
        <v>201</v>
      </c>
      <c r="MXA17" s="310" t="s">
        <v>201</v>
      </c>
      <c r="MXB17" s="310" t="s">
        <v>201</v>
      </c>
      <c r="MXC17" s="310" t="s">
        <v>201</v>
      </c>
      <c r="MXD17" s="310" t="s">
        <v>201</v>
      </c>
      <c r="MXE17" s="310" t="s">
        <v>201</v>
      </c>
      <c r="MXF17" s="310" t="s">
        <v>201</v>
      </c>
      <c r="MXG17" s="310" t="s">
        <v>201</v>
      </c>
      <c r="MXH17" s="310" t="s">
        <v>201</v>
      </c>
      <c r="MXI17" s="310" t="s">
        <v>201</v>
      </c>
      <c r="MXJ17" s="310" t="s">
        <v>201</v>
      </c>
      <c r="MXK17" s="310" t="s">
        <v>201</v>
      </c>
      <c r="MXL17" s="310" t="s">
        <v>201</v>
      </c>
      <c r="MXM17" s="310" t="s">
        <v>201</v>
      </c>
      <c r="MXN17" s="310" t="s">
        <v>201</v>
      </c>
      <c r="MXO17" s="310" t="s">
        <v>201</v>
      </c>
      <c r="MXP17" s="310" t="s">
        <v>201</v>
      </c>
      <c r="MXQ17" s="310" t="s">
        <v>201</v>
      </c>
      <c r="MXR17" s="310" t="s">
        <v>201</v>
      </c>
      <c r="MXS17" s="310" t="s">
        <v>201</v>
      </c>
      <c r="MXT17" s="310" t="s">
        <v>201</v>
      </c>
      <c r="MXU17" s="310" t="s">
        <v>201</v>
      </c>
      <c r="MXV17" s="310" t="s">
        <v>201</v>
      </c>
      <c r="MXW17" s="310" t="s">
        <v>201</v>
      </c>
      <c r="MXX17" s="310" t="s">
        <v>201</v>
      </c>
      <c r="MXY17" s="310" t="s">
        <v>201</v>
      </c>
      <c r="MXZ17" s="310" t="s">
        <v>201</v>
      </c>
      <c r="MYA17" s="310" t="s">
        <v>201</v>
      </c>
      <c r="MYB17" s="310" t="s">
        <v>201</v>
      </c>
      <c r="MYC17" s="310" t="s">
        <v>201</v>
      </c>
      <c r="MYD17" s="310" t="s">
        <v>201</v>
      </c>
      <c r="MYE17" s="310" t="s">
        <v>201</v>
      </c>
      <c r="MYF17" s="310" t="s">
        <v>201</v>
      </c>
      <c r="MYG17" s="310" t="s">
        <v>201</v>
      </c>
      <c r="MYH17" s="310" t="s">
        <v>201</v>
      </c>
      <c r="MYI17" s="310" t="s">
        <v>201</v>
      </c>
      <c r="MYJ17" s="310" t="s">
        <v>201</v>
      </c>
      <c r="MYK17" s="310" t="s">
        <v>201</v>
      </c>
      <c r="MYL17" s="310" t="s">
        <v>201</v>
      </c>
      <c r="MYM17" s="310" t="s">
        <v>201</v>
      </c>
      <c r="MYN17" s="310" t="s">
        <v>201</v>
      </c>
      <c r="MYO17" s="310" t="s">
        <v>201</v>
      </c>
      <c r="MYP17" s="310" t="s">
        <v>201</v>
      </c>
      <c r="MYQ17" s="310" t="s">
        <v>201</v>
      </c>
      <c r="MYR17" s="310" t="s">
        <v>201</v>
      </c>
      <c r="MYS17" s="310" t="s">
        <v>201</v>
      </c>
      <c r="MYT17" s="310" t="s">
        <v>201</v>
      </c>
      <c r="MYU17" s="310" t="s">
        <v>201</v>
      </c>
      <c r="MYV17" s="310" t="s">
        <v>201</v>
      </c>
      <c r="MYW17" s="310" t="s">
        <v>201</v>
      </c>
      <c r="MYX17" s="310" t="s">
        <v>201</v>
      </c>
      <c r="MYY17" s="310" t="s">
        <v>201</v>
      </c>
      <c r="MYZ17" s="310" t="s">
        <v>201</v>
      </c>
      <c r="MZA17" s="310" t="s">
        <v>201</v>
      </c>
      <c r="MZB17" s="310" t="s">
        <v>201</v>
      </c>
      <c r="MZC17" s="310" t="s">
        <v>201</v>
      </c>
      <c r="MZD17" s="310" t="s">
        <v>201</v>
      </c>
      <c r="MZE17" s="310" t="s">
        <v>201</v>
      </c>
      <c r="MZF17" s="310" t="s">
        <v>201</v>
      </c>
      <c r="MZG17" s="310" t="s">
        <v>201</v>
      </c>
      <c r="MZH17" s="310" t="s">
        <v>201</v>
      </c>
      <c r="MZI17" s="310" t="s">
        <v>201</v>
      </c>
      <c r="MZJ17" s="310" t="s">
        <v>201</v>
      </c>
      <c r="MZK17" s="310" t="s">
        <v>201</v>
      </c>
      <c r="MZL17" s="310" t="s">
        <v>201</v>
      </c>
      <c r="MZM17" s="310" t="s">
        <v>201</v>
      </c>
      <c r="MZN17" s="310" t="s">
        <v>201</v>
      </c>
      <c r="MZO17" s="310" t="s">
        <v>201</v>
      </c>
      <c r="MZP17" s="310" t="s">
        <v>201</v>
      </c>
      <c r="MZQ17" s="310" t="s">
        <v>201</v>
      </c>
      <c r="MZR17" s="310" t="s">
        <v>201</v>
      </c>
      <c r="MZS17" s="310" t="s">
        <v>201</v>
      </c>
      <c r="MZT17" s="310" t="s">
        <v>201</v>
      </c>
      <c r="MZU17" s="310" t="s">
        <v>201</v>
      </c>
      <c r="MZV17" s="310" t="s">
        <v>201</v>
      </c>
      <c r="MZW17" s="310" t="s">
        <v>201</v>
      </c>
      <c r="MZX17" s="310" t="s">
        <v>201</v>
      </c>
      <c r="MZY17" s="310" t="s">
        <v>201</v>
      </c>
      <c r="MZZ17" s="310" t="s">
        <v>201</v>
      </c>
      <c r="NAA17" s="310" t="s">
        <v>201</v>
      </c>
      <c r="NAB17" s="310" t="s">
        <v>201</v>
      </c>
      <c r="NAC17" s="310" t="s">
        <v>201</v>
      </c>
      <c r="NAD17" s="310" t="s">
        <v>201</v>
      </c>
      <c r="NAE17" s="310" t="s">
        <v>201</v>
      </c>
      <c r="NAF17" s="310" t="s">
        <v>201</v>
      </c>
      <c r="NAG17" s="310" t="s">
        <v>201</v>
      </c>
      <c r="NAH17" s="310" t="s">
        <v>201</v>
      </c>
      <c r="NAI17" s="310" t="s">
        <v>201</v>
      </c>
      <c r="NAJ17" s="310" t="s">
        <v>201</v>
      </c>
      <c r="NAK17" s="310" t="s">
        <v>201</v>
      </c>
      <c r="NAL17" s="310" t="s">
        <v>201</v>
      </c>
      <c r="NAM17" s="310" t="s">
        <v>201</v>
      </c>
      <c r="NAN17" s="310" t="s">
        <v>201</v>
      </c>
      <c r="NAO17" s="310" t="s">
        <v>201</v>
      </c>
      <c r="NAP17" s="310" t="s">
        <v>201</v>
      </c>
      <c r="NAQ17" s="310" t="s">
        <v>201</v>
      </c>
      <c r="NAR17" s="310" t="s">
        <v>201</v>
      </c>
      <c r="NAS17" s="310" t="s">
        <v>201</v>
      </c>
      <c r="NAT17" s="310" t="s">
        <v>201</v>
      </c>
      <c r="NAU17" s="310" t="s">
        <v>201</v>
      </c>
      <c r="NAV17" s="310" t="s">
        <v>201</v>
      </c>
      <c r="NAW17" s="310" t="s">
        <v>201</v>
      </c>
      <c r="NAX17" s="310" t="s">
        <v>201</v>
      </c>
      <c r="NAY17" s="310" t="s">
        <v>201</v>
      </c>
      <c r="NAZ17" s="310" t="s">
        <v>201</v>
      </c>
      <c r="NBA17" s="310" t="s">
        <v>201</v>
      </c>
      <c r="NBB17" s="310" t="s">
        <v>201</v>
      </c>
      <c r="NBC17" s="310" t="s">
        <v>201</v>
      </c>
      <c r="NBD17" s="310" t="s">
        <v>201</v>
      </c>
      <c r="NBE17" s="310" t="s">
        <v>201</v>
      </c>
      <c r="NBF17" s="310" t="s">
        <v>201</v>
      </c>
      <c r="NBG17" s="310" t="s">
        <v>201</v>
      </c>
      <c r="NBH17" s="310" t="s">
        <v>201</v>
      </c>
      <c r="NBI17" s="310" t="s">
        <v>201</v>
      </c>
      <c r="NBJ17" s="310" t="s">
        <v>201</v>
      </c>
      <c r="NBK17" s="310" t="s">
        <v>201</v>
      </c>
      <c r="NBL17" s="310" t="s">
        <v>201</v>
      </c>
      <c r="NBM17" s="310" t="s">
        <v>201</v>
      </c>
      <c r="NBN17" s="310" t="s">
        <v>201</v>
      </c>
      <c r="NBO17" s="310" t="s">
        <v>201</v>
      </c>
      <c r="NBP17" s="310" t="s">
        <v>201</v>
      </c>
      <c r="NBQ17" s="310" t="s">
        <v>201</v>
      </c>
      <c r="NBR17" s="310" t="s">
        <v>201</v>
      </c>
      <c r="NBS17" s="310" t="s">
        <v>201</v>
      </c>
      <c r="NBT17" s="310" t="s">
        <v>201</v>
      </c>
      <c r="NBU17" s="310" t="s">
        <v>201</v>
      </c>
      <c r="NBV17" s="310" t="s">
        <v>201</v>
      </c>
      <c r="NBW17" s="310" t="s">
        <v>201</v>
      </c>
      <c r="NBX17" s="310" t="s">
        <v>201</v>
      </c>
      <c r="NBY17" s="310" t="s">
        <v>201</v>
      </c>
      <c r="NBZ17" s="310" t="s">
        <v>201</v>
      </c>
      <c r="NCA17" s="310" t="s">
        <v>201</v>
      </c>
      <c r="NCB17" s="310" t="s">
        <v>201</v>
      </c>
      <c r="NCC17" s="310" t="s">
        <v>201</v>
      </c>
      <c r="NCD17" s="310" t="s">
        <v>201</v>
      </c>
      <c r="NCE17" s="310" t="s">
        <v>201</v>
      </c>
      <c r="NCF17" s="310" t="s">
        <v>201</v>
      </c>
      <c r="NCG17" s="310" t="s">
        <v>201</v>
      </c>
      <c r="NCH17" s="310" t="s">
        <v>201</v>
      </c>
      <c r="NCI17" s="310" t="s">
        <v>201</v>
      </c>
      <c r="NCJ17" s="310" t="s">
        <v>201</v>
      </c>
      <c r="NCK17" s="310" t="s">
        <v>201</v>
      </c>
      <c r="NCL17" s="310" t="s">
        <v>201</v>
      </c>
      <c r="NCM17" s="310" t="s">
        <v>201</v>
      </c>
      <c r="NCN17" s="310" t="s">
        <v>201</v>
      </c>
      <c r="NCO17" s="310" t="s">
        <v>201</v>
      </c>
      <c r="NCP17" s="310" t="s">
        <v>201</v>
      </c>
      <c r="NCQ17" s="310" t="s">
        <v>201</v>
      </c>
      <c r="NCR17" s="310" t="s">
        <v>201</v>
      </c>
      <c r="NCS17" s="310" t="s">
        <v>201</v>
      </c>
      <c r="NCT17" s="310" t="s">
        <v>201</v>
      </c>
      <c r="NCU17" s="310" t="s">
        <v>201</v>
      </c>
      <c r="NCV17" s="310" t="s">
        <v>201</v>
      </c>
      <c r="NCW17" s="310" t="s">
        <v>201</v>
      </c>
      <c r="NCX17" s="310" t="s">
        <v>201</v>
      </c>
      <c r="NCY17" s="310" t="s">
        <v>201</v>
      </c>
      <c r="NCZ17" s="310" t="s">
        <v>201</v>
      </c>
      <c r="NDA17" s="310" t="s">
        <v>201</v>
      </c>
      <c r="NDB17" s="310" t="s">
        <v>201</v>
      </c>
      <c r="NDC17" s="310" t="s">
        <v>201</v>
      </c>
      <c r="NDD17" s="310" t="s">
        <v>201</v>
      </c>
      <c r="NDE17" s="310" t="s">
        <v>201</v>
      </c>
      <c r="NDF17" s="310" t="s">
        <v>201</v>
      </c>
      <c r="NDG17" s="310" t="s">
        <v>201</v>
      </c>
      <c r="NDH17" s="310" t="s">
        <v>201</v>
      </c>
      <c r="NDI17" s="310" t="s">
        <v>201</v>
      </c>
      <c r="NDJ17" s="310" t="s">
        <v>201</v>
      </c>
      <c r="NDK17" s="310" t="s">
        <v>201</v>
      </c>
      <c r="NDL17" s="310" t="s">
        <v>201</v>
      </c>
      <c r="NDM17" s="310" t="s">
        <v>201</v>
      </c>
      <c r="NDN17" s="310" t="s">
        <v>201</v>
      </c>
      <c r="NDO17" s="310" t="s">
        <v>201</v>
      </c>
      <c r="NDP17" s="310" t="s">
        <v>201</v>
      </c>
      <c r="NDQ17" s="310" t="s">
        <v>201</v>
      </c>
      <c r="NDR17" s="310" t="s">
        <v>201</v>
      </c>
      <c r="NDS17" s="310" t="s">
        <v>201</v>
      </c>
      <c r="NDT17" s="310" t="s">
        <v>201</v>
      </c>
      <c r="NDU17" s="310" t="s">
        <v>201</v>
      </c>
      <c r="NDV17" s="310" t="s">
        <v>201</v>
      </c>
      <c r="NDW17" s="310" t="s">
        <v>201</v>
      </c>
      <c r="NDX17" s="310" t="s">
        <v>201</v>
      </c>
      <c r="NDY17" s="310" t="s">
        <v>201</v>
      </c>
      <c r="NDZ17" s="310" t="s">
        <v>201</v>
      </c>
      <c r="NEA17" s="310" t="s">
        <v>201</v>
      </c>
      <c r="NEB17" s="310" t="s">
        <v>201</v>
      </c>
      <c r="NEC17" s="310" t="s">
        <v>201</v>
      </c>
      <c r="NED17" s="310" t="s">
        <v>201</v>
      </c>
      <c r="NEE17" s="310" t="s">
        <v>201</v>
      </c>
      <c r="NEF17" s="310" t="s">
        <v>201</v>
      </c>
      <c r="NEG17" s="310" t="s">
        <v>201</v>
      </c>
      <c r="NEH17" s="310" t="s">
        <v>201</v>
      </c>
      <c r="NEI17" s="310" t="s">
        <v>201</v>
      </c>
      <c r="NEJ17" s="310" t="s">
        <v>201</v>
      </c>
      <c r="NEK17" s="310" t="s">
        <v>201</v>
      </c>
      <c r="NEL17" s="310" t="s">
        <v>201</v>
      </c>
      <c r="NEM17" s="310" t="s">
        <v>201</v>
      </c>
      <c r="NEN17" s="310" t="s">
        <v>201</v>
      </c>
      <c r="NEO17" s="310" t="s">
        <v>201</v>
      </c>
      <c r="NEP17" s="310" t="s">
        <v>201</v>
      </c>
      <c r="NEQ17" s="310" t="s">
        <v>201</v>
      </c>
      <c r="NER17" s="310" t="s">
        <v>201</v>
      </c>
      <c r="NES17" s="310" t="s">
        <v>201</v>
      </c>
      <c r="NET17" s="310" t="s">
        <v>201</v>
      </c>
      <c r="NEU17" s="310" t="s">
        <v>201</v>
      </c>
      <c r="NEV17" s="310" t="s">
        <v>201</v>
      </c>
      <c r="NEW17" s="310" t="s">
        <v>201</v>
      </c>
      <c r="NEX17" s="310" t="s">
        <v>201</v>
      </c>
      <c r="NEY17" s="310" t="s">
        <v>201</v>
      </c>
      <c r="NEZ17" s="310" t="s">
        <v>201</v>
      </c>
      <c r="NFA17" s="310" t="s">
        <v>201</v>
      </c>
      <c r="NFB17" s="310" t="s">
        <v>201</v>
      </c>
      <c r="NFC17" s="310" t="s">
        <v>201</v>
      </c>
      <c r="NFD17" s="310" t="s">
        <v>201</v>
      </c>
      <c r="NFE17" s="310" t="s">
        <v>201</v>
      </c>
      <c r="NFF17" s="310" t="s">
        <v>201</v>
      </c>
      <c r="NFG17" s="310" t="s">
        <v>201</v>
      </c>
      <c r="NFH17" s="310" t="s">
        <v>201</v>
      </c>
      <c r="NFI17" s="310" t="s">
        <v>201</v>
      </c>
      <c r="NFJ17" s="310" t="s">
        <v>201</v>
      </c>
      <c r="NFK17" s="310" t="s">
        <v>201</v>
      </c>
      <c r="NFL17" s="310" t="s">
        <v>201</v>
      </c>
      <c r="NFM17" s="310" t="s">
        <v>201</v>
      </c>
      <c r="NFN17" s="310" t="s">
        <v>201</v>
      </c>
      <c r="NFO17" s="310" t="s">
        <v>201</v>
      </c>
      <c r="NFP17" s="310" t="s">
        <v>201</v>
      </c>
      <c r="NFQ17" s="310" t="s">
        <v>201</v>
      </c>
      <c r="NFR17" s="310" t="s">
        <v>201</v>
      </c>
      <c r="NFS17" s="310" t="s">
        <v>201</v>
      </c>
      <c r="NFT17" s="310" t="s">
        <v>201</v>
      </c>
      <c r="NFU17" s="310" t="s">
        <v>201</v>
      </c>
      <c r="NFV17" s="310" t="s">
        <v>201</v>
      </c>
      <c r="NFW17" s="310" t="s">
        <v>201</v>
      </c>
      <c r="NFX17" s="310" t="s">
        <v>201</v>
      </c>
      <c r="NFY17" s="310" t="s">
        <v>201</v>
      </c>
      <c r="NFZ17" s="310" t="s">
        <v>201</v>
      </c>
      <c r="NGA17" s="310" t="s">
        <v>201</v>
      </c>
      <c r="NGB17" s="310" t="s">
        <v>201</v>
      </c>
      <c r="NGC17" s="310" t="s">
        <v>201</v>
      </c>
      <c r="NGD17" s="310" t="s">
        <v>201</v>
      </c>
      <c r="NGE17" s="310" t="s">
        <v>201</v>
      </c>
      <c r="NGF17" s="310" t="s">
        <v>201</v>
      </c>
      <c r="NGG17" s="310" t="s">
        <v>201</v>
      </c>
      <c r="NGH17" s="310" t="s">
        <v>201</v>
      </c>
      <c r="NGI17" s="310" t="s">
        <v>201</v>
      </c>
      <c r="NGJ17" s="310" t="s">
        <v>201</v>
      </c>
      <c r="NGK17" s="310" t="s">
        <v>201</v>
      </c>
      <c r="NGL17" s="310" t="s">
        <v>201</v>
      </c>
      <c r="NGM17" s="310" t="s">
        <v>201</v>
      </c>
      <c r="NGN17" s="310" t="s">
        <v>201</v>
      </c>
      <c r="NGO17" s="310" t="s">
        <v>201</v>
      </c>
      <c r="NGP17" s="310" t="s">
        <v>201</v>
      </c>
      <c r="NGQ17" s="310" t="s">
        <v>201</v>
      </c>
      <c r="NGR17" s="310" t="s">
        <v>201</v>
      </c>
      <c r="NGS17" s="310" t="s">
        <v>201</v>
      </c>
      <c r="NGT17" s="310" t="s">
        <v>201</v>
      </c>
      <c r="NGU17" s="310" t="s">
        <v>201</v>
      </c>
      <c r="NGV17" s="310" t="s">
        <v>201</v>
      </c>
      <c r="NGW17" s="310" t="s">
        <v>201</v>
      </c>
      <c r="NGX17" s="310" t="s">
        <v>201</v>
      </c>
      <c r="NGY17" s="310" t="s">
        <v>201</v>
      </c>
      <c r="NGZ17" s="310" t="s">
        <v>201</v>
      </c>
      <c r="NHA17" s="310" t="s">
        <v>201</v>
      </c>
      <c r="NHB17" s="310" t="s">
        <v>201</v>
      </c>
      <c r="NHC17" s="310" t="s">
        <v>201</v>
      </c>
      <c r="NHD17" s="310" t="s">
        <v>201</v>
      </c>
      <c r="NHE17" s="310" t="s">
        <v>201</v>
      </c>
      <c r="NHF17" s="310" t="s">
        <v>201</v>
      </c>
      <c r="NHG17" s="310" t="s">
        <v>201</v>
      </c>
      <c r="NHH17" s="310" t="s">
        <v>201</v>
      </c>
      <c r="NHI17" s="310" t="s">
        <v>201</v>
      </c>
      <c r="NHJ17" s="310" t="s">
        <v>201</v>
      </c>
      <c r="NHK17" s="310" t="s">
        <v>201</v>
      </c>
      <c r="NHL17" s="310" t="s">
        <v>201</v>
      </c>
      <c r="NHM17" s="310" t="s">
        <v>201</v>
      </c>
      <c r="NHN17" s="310" t="s">
        <v>201</v>
      </c>
      <c r="NHO17" s="310" t="s">
        <v>201</v>
      </c>
      <c r="NHP17" s="310" t="s">
        <v>201</v>
      </c>
      <c r="NHQ17" s="310" t="s">
        <v>201</v>
      </c>
      <c r="NHR17" s="310" t="s">
        <v>201</v>
      </c>
      <c r="NHS17" s="310" t="s">
        <v>201</v>
      </c>
      <c r="NHT17" s="310" t="s">
        <v>201</v>
      </c>
      <c r="NHU17" s="310" t="s">
        <v>201</v>
      </c>
      <c r="NHV17" s="310" t="s">
        <v>201</v>
      </c>
      <c r="NHW17" s="310" t="s">
        <v>201</v>
      </c>
      <c r="NHX17" s="310" t="s">
        <v>201</v>
      </c>
      <c r="NHY17" s="310" t="s">
        <v>201</v>
      </c>
      <c r="NHZ17" s="310" t="s">
        <v>201</v>
      </c>
      <c r="NIA17" s="310" t="s">
        <v>201</v>
      </c>
      <c r="NIB17" s="310" t="s">
        <v>201</v>
      </c>
      <c r="NIC17" s="310" t="s">
        <v>201</v>
      </c>
      <c r="NID17" s="310" t="s">
        <v>201</v>
      </c>
      <c r="NIE17" s="310" t="s">
        <v>201</v>
      </c>
      <c r="NIF17" s="310" t="s">
        <v>201</v>
      </c>
      <c r="NIG17" s="310" t="s">
        <v>201</v>
      </c>
      <c r="NIH17" s="310" t="s">
        <v>201</v>
      </c>
      <c r="NII17" s="310" t="s">
        <v>201</v>
      </c>
      <c r="NIJ17" s="310" t="s">
        <v>201</v>
      </c>
      <c r="NIK17" s="310" t="s">
        <v>201</v>
      </c>
      <c r="NIL17" s="310" t="s">
        <v>201</v>
      </c>
      <c r="NIM17" s="310" t="s">
        <v>201</v>
      </c>
      <c r="NIN17" s="310" t="s">
        <v>201</v>
      </c>
      <c r="NIO17" s="310" t="s">
        <v>201</v>
      </c>
      <c r="NIP17" s="310" t="s">
        <v>201</v>
      </c>
      <c r="NIQ17" s="310" t="s">
        <v>201</v>
      </c>
      <c r="NIR17" s="310" t="s">
        <v>201</v>
      </c>
      <c r="NIS17" s="310" t="s">
        <v>201</v>
      </c>
      <c r="NIT17" s="310" t="s">
        <v>201</v>
      </c>
      <c r="NIU17" s="310" t="s">
        <v>201</v>
      </c>
      <c r="NIV17" s="310" t="s">
        <v>201</v>
      </c>
      <c r="NIW17" s="310" t="s">
        <v>201</v>
      </c>
      <c r="NIX17" s="310" t="s">
        <v>201</v>
      </c>
      <c r="NIY17" s="310" t="s">
        <v>201</v>
      </c>
      <c r="NIZ17" s="310" t="s">
        <v>201</v>
      </c>
      <c r="NJA17" s="310" t="s">
        <v>201</v>
      </c>
      <c r="NJB17" s="310" t="s">
        <v>201</v>
      </c>
      <c r="NJC17" s="310" t="s">
        <v>201</v>
      </c>
      <c r="NJD17" s="310" t="s">
        <v>201</v>
      </c>
      <c r="NJE17" s="310" t="s">
        <v>201</v>
      </c>
      <c r="NJF17" s="310" t="s">
        <v>201</v>
      </c>
      <c r="NJG17" s="310" t="s">
        <v>201</v>
      </c>
      <c r="NJH17" s="310" t="s">
        <v>201</v>
      </c>
      <c r="NJI17" s="310" t="s">
        <v>201</v>
      </c>
      <c r="NJJ17" s="310" t="s">
        <v>201</v>
      </c>
      <c r="NJK17" s="310" t="s">
        <v>201</v>
      </c>
      <c r="NJL17" s="310" t="s">
        <v>201</v>
      </c>
      <c r="NJM17" s="310" t="s">
        <v>201</v>
      </c>
      <c r="NJN17" s="310" t="s">
        <v>201</v>
      </c>
      <c r="NJO17" s="310" t="s">
        <v>201</v>
      </c>
      <c r="NJP17" s="310" t="s">
        <v>201</v>
      </c>
      <c r="NJQ17" s="310" t="s">
        <v>201</v>
      </c>
      <c r="NJR17" s="310" t="s">
        <v>201</v>
      </c>
      <c r="NJS17" s="310" t="s">
        <v>201</v>
      </c>
      <c r="NJT17" s="310" t="s">
        <v>201</v>
      </c>
      <c r="NJU17" s="310" t="s">
        <v>201</v>
      </c>
      <c r="NJV17" s="310" t="s">
        <v>201</v>
      </c>
      <c r="NJW17" s="310" t="s">
        <v>201</v>
      </c>
      <c r="NJX17" s="310" t="s">
        <v>201</v>
      </c>
      <c r="NJY17" s="310" t="s">
        <v>201</v>
      </c>
      <c r="NJZ17" s="310" t="s">
        <v>201</v>
      </c>
      <c r="NKA17" s="310" t="s">
        <v>201</v>
      </c>
      <c r="NKB17" s="310" t="s">
        <v>201</v>
      </c>
      <c r="NKC17" s="310" t="s">
        <v>201</v>
      </c>
      <c r="NKD17" s="310" t="s">
        <v>201</v>
      </c>
      <c r="NKE17" s="310" t="s">
        <v>201</v>
      </c>
      <c r="NKF17" s="310" t="s">
        <v>201</v>
      </c>
      <c r="NKG17" s="310" t="s">
        <v>201</v>
      </c>
      <c r="NKH17" s="310" t="s">
        <v>201</v>
      </c>
      <c r="NKI17" s="310" t="s">
        <v>201</v>
      </c>
      <c r="NKJ17" s="310" t="s">
        <v>201</v>
      </c>
      <c r="NKK17" s="310" t="s">
        <v>201</v>
      </c>
      <c r="NKL17" s="310" t="s">
        <v>201</v>
      </c>
      <c r="NKM17" s="310" t="s">
        <v>201</v>
      </c>
      <c r="NKN17" s="310" t="s">
        <v>201</v>
      </c>
      <c r="NKO17" s="310" t="s">
        <v>201</v>
      </c>
      <c r="NKP17" s="310" t="s">
        <v>201</v>
      </c>
      <c r="NKQ17" s="310" t="s">
        <v>201</v>
      </c>
      <c r="NKR17" s="310" t="s">
        <v>201</v>
      </c>
      <c r="NKS17" s="310" t="s">
        <v>201</v>
      </c>
      <c r="NKT17" s="310" t="s">
        <v>201</v>
      </c>
      <c r="NKU17" s="310" t="s">
        <v>201</v>
      </c>
      <c r="NKV17" s="310" t="s">
        <v>201</v>
      </c>
      <c r="NKW17" s="310" t="s">
        <v>201</v>
      </c>
      <c r="NKX17" s="310" t="s">
        <v>201</v>
      </c>
      <c r="NKY17" s="310" t="s">
        <v>201</v>
      </c>
      <c r="NKZ17" s="310" t="s">
        <v>201</v>
      </c>
      <c r="NLA17" s="310" t="s">
        <v>201</v>
      </c>
      <c r="NLB17" s="310" t="s">
        <v>201</v>
      </c>
      <c r="NLC17" s="310" t="s">
        <v>201</v>
      </c>
      <c r="NLD17" s="310" t="s">
        <v>201</v>
      </c>
      <c r="NLE17" s="310" t="s">
        <v>201</v>
      </c>
      <c r="NLF17" s="310" t="s">
        <v>201</v>
      </c>
      <c r="NLG17" s="310" t="s">
        <v>201</v>
      </c>
      <c r="NLH17" s="310" t="s">
        <v>201</v>
      </c>
      <c r="NLI17" s="310" t="s">
        <v>201</v>
      </c>
      <c r="NLJ17" s="310" t="s">
        <v>201</v>
      </c>
      <c r="NLK17" s="310" t="s">
        <v>201</v>
      </c>
      <c r="NLL17" s="310" t="s">
        <v>201</v>
      </c>
      <c r="NLM17" s="310" t="s">
        <v>201</v>
      </c>
      <c r="NLN17" s="310" t="s">
        <v>201</v>
      </c>
      <c r="NLO17" s="310" t="s">
        <v>201</v>
      </c>
      <c r="NLP17" s="310" t="s">
        <v>201</v>
      </c>
      <c r="NLQ17" s="310" t="s">
        <v>201</v>
      </c>
      <c r="NLR17" s="310" t="s">
        <v>201</v>
      </c>
      <c r="NLS17" s="310" t="s">
        <v>201</v>
      </c>
      <c r="NLT17" s="310" t="s">
        <v>201</v>
      </c>
      <c r="NLU17" s="310" t="s">
        <v>201</v>
      </c>
      <c r="NLV17" s="310" t="s">
        <v>201</v>
      </c>
      <c r="NLW17" s="310" t="s">
        <v>201</v>
      </c>
      <c r="NLX17" s="310" t="s">
        <v>201</v>
      </c>
      <c r="NLY17" s="310" t="s">
        <v>201</v>
      </c>
      <c r="NLZ17" s="310" t="s">
        <v>201</v>
      </c>
      <c r="NMA17" s="310" t="s">
        <v>201</v>
      </c>
      <c r="NMB17" s="310" t="s">
        <v>201</v>
      </c>
      <c r="NMC17" s="310" t="s">
        <v>201</v>
      </c>
      <c r="NMD17" s="310" t="s">
        <v>201</v>
      </c>
      <c r="NME17" s="310" t="s">
        <v>201</v>
      </c>
      <c r="NMF17" s="310" t="s">
        <v>201</v>
      </c>
      <c r="NMG17" s="310" t="s">
        <v>201</v>
      </c>
      <c r="NMH17" s="310" t="s">
        <v>201</v>
      </c>
      <c r="NMI17" s="310" t="s">
        <v>201</v>
      </c>
      <c r="NMJ17" s="310" t="s">
        <v>201</v>
      </c>
      <c r="NMK17" s="310" t="s">
        <v>201</v>
      </c>
      <c r="NML17" s="310" t="s">
        <v>201</v>
      </c>
      <c r="NMM17" s="310" t="s">
        <v>201</v>
      </c>
      <c r="NMN17" s="310" t="s">
        <v>201</v>
      </c>
      <c r="NMO17" s="310" t="s">
        <v>201</v>
      </c>
      <c r="NMP17" s="310" t="s">
        <v>201</v>
      </c>
      <c r="NMQ17" s="310" t="s">
        <v>201</v>
      </c>
      <c r="NMR17" s="310" t="s">
        <v>201</v>
      </c>
      <c r="NMS17" s="310" t="s">
        <v>201</v>
      </c>
      <c r="NMT17" s="310" t="s">
        <v>201</v>
      </c>
      <c r="NMU17" s="310" t="s">
        <v>201</v>
      </c>
      <c r="NMV17" s="310" t="s">
        <v>201</v>
      </c>
      <c r="NMW17" s="310" t="s">
        <v>201</v>
      </c>
      <c r="NMX17" s="310" t="s">
        <v>201</v>
      </c>
      <c r="NMY17" s="310" t="s">
        <v>201</v>
      </c>
      <c r="NMZ17" s="310" t="s">
        <v>201</v>
      </c>
      <c r="NNA17" s="310" t="s">
        <v>201</v>
      </c>
      <c r="NNB17" s="310" t="s">
        <v>201</v>
      </c>
      <c r="NNC17" s="310" t="s">
        <v>201</v>
      </c>
      <c r="NND17" s="310" t="s">
        <v>201</v>
      </c>
      <c r="NNE17" s="310" t="s">
        <v>201</v>
      </c>
      <c r="NNF17" s="310" t="s">
        <v>201</v>
      </c>
      <c r="NNG17" s="310" t="s">
        <v>201</v>
      </c>
      <c r="NNH17" s="310" t="s">
        <v>201</v>
      </c>
      <c r="NNI17" s="310" t="s">
        <v>201</v>
      </c>
      <c r="NNJ17" s="310" t="s">
        <v>201</v>
      </c>
      <c r="NNK17" s="310" t="s">
        <v>201</v>
      </c>
      <c r="NNL17" s="310" t="s">
        <v>201</v>
      </c>
      <c r="NNM17" s="310" t="s">
        <v>201</v>
      </c>
      <c r="NNN17" s="310" t="s">
        <v>201</v>
      </c>
      <c r="NNO17" s="310" t="s">
        <v>201</v>
      </c>
      <c r="NNP17" s="310" t="s">
        <v>201</v>
      </c>
      <c r="NNQ17" s="310" t="s">
        <v>201</v>
      </c>
      <c r="NNR17" s="310" t="s">
        <v>201</v>
      </c>
      <c r="NNS17" s="310" t="s">
        <v>201</v>
      </c>
      <c r="NNT17" s="310" t="s">
        <v>201</v>
      </c>
      <c r="NNU17" s="310" t="s">
        <v>201</v>
      </c>
      <c r="NNV17" s="310" t="s">
        <v>201</v>
      </c>
      <c r="NNW17" s="310" t="s">
        <v>201</v>
      </c>
      <c r="NNX17" s="310" t="s">
        <v>201</v>
      </c>
      <c r="NNY17" s="310" t="s">
        <v>201</v>
      </c>
      <c r="NNZ17" s="310" t="s">
        <v>201</v>
      </c>
      <c r="NOA17" s="310" t="s">
        <v>201</v>
      </c>
      <c r="NOB17" s="310" t="s">
        <v>201</v>
      </c>
      <c r="NOC17" s="310" t="s">
        <v>201</v>
      </c>
      <c r="NOD17" s="310" t="s">
        <v>201</v>
      </c>
      <c r="NOE17" s="310" t="s">
        <v>201</v>
      </c>
      <c r="NOF17" s="310" t="s">
        <v>201</v>
      </c>
      <c r="NOG17" s="310" t="s">
        <v>201</v>
      </c>
      <c r="NOH17" s="310" t="s">
        <v>201</v>
      </c>
      <c r="NOI17" s="310" t="s">
        <v>201</v>
      </c>
      <c r="NOJ17" s="310" t="s">
        <v>201</v>
      </c>
      <c r="NOK17" s="310" t="s">
        <v>201</v>
      </c>
      <c r="NOL17" s="310" t="s">
        <v>201</v>
      </c>
      <c r="NOM17" s="310" t="s">
        <v>201</v>
      </c>
      <c r="NON17" s="310" t="s">
        <v>201</v>
      </c>
      <c r="NOO17" s="310" t="s">
        <v>201</v>
      </c>
      <c r="NOP17" s="310" t="s">
        <v>201</v>
      </c>
      <c r="NOQ17" s="310" t="s">
        <v>201</v>
      </c>
      <c r="NOR17" s="310" t="s">
        <v>201</v>
      </c>
      <c r="NOS17" s="310" t="s">
        <v>201</v>
      </c>
      <c r="NOT17" s="310" t="s">
        <v>201</v>
      </c>
      <c r="NOU17" s="310" t="s">
        <v>201</v>
      </c>
      <c r="NOV17" s="310" t="s">
        <v>201</v>
      </c>
      <c r="NOW17" s="310" t="s">
        <v>201</v>
      </c>
      <c r="NOX17" s="310" t="s">
        <v>201</v>
      </c>
      <c r="NOY17" s="310" t="s">
        <v>201</v>
      </c>
      <c r="NOZ17" s="310" t="s">
        <v>201</v>
      </c>
      <c r="NPA17" s="310" t="s">
        <v>201</v>
      </c>
      <c r="NPB17" s="310" t="s">
        <v>201</v>
      </c>
      <c r="NPC17" s="310" t="s">
        <v>201</v>
      </c>
      <c r="NPD17" s="310" t="s">
        <v>201</v>
      </c>
      <c r="NPE17" s="310" t="s">
        <v>201</v>
      </c>
      <c r="NPF17" s="310" t="s">
        <v>201</v>
      </c>
      <c r="NPG17" s="310" t="s">
        <v>201</v>
      </c>
      <c r="NPH17" s="310" t="s">
        <v>201</v>
      </c>
      <c r="NPI17" s="310" t="s">
        <v>201</v>
      </c>
      <c r="NPJ17" s="310" t="s">
        <v>201</v>
      </c>
      <c r="NPK17" s="310" t="s">
        <v>201</v>
      </c>
      <c r="NPL17" s="310" t="s">
        <v>201</v>
      </c>
      <c r="NPM17" s="310" t="s">
        <v>201</v>
      </c>
      <c r="NPN17" s="310" t="s">
        <v>201</v>
      </c>
      <c r="NPO17" s="310" t="s">
        <v>201</v>
      </c>
      <c r="NPP17" s="310" t="s">
        <v>201</v>
      </c>
      <c r="NPQ17" s="310" t="s">
        <v>201</v>
      </c>
      <c r="NPR17" s="310" t="s">
        <v>201</v>
      </c>
      <c r="NPS17" s="310" t="s">
        <v>201</v>
      </c>
      <c r="NPT17" s="310" t="s">
        <v>201</v>
      </c>
      <c r="NPU17" s="310" t="s">
        <v>201</v>
      </c>
      <c r="NPV17" s="310" t="s">
        <v>201</v>
      </c>
      <c r="NPW17" s="310" t="s">
        <v>201</v>
      </c>
      <c r="NPX17" s="310" t="s">
        <v>201</v>
      </c>
      <c r="NPY17" s="310" t="s">
        <v>201</v>
      </c>
      <c r="NPZ17" s="310" t="s">
        <v>201</v>
      </c>
      <c r="NQA17" s="310" t="s">
        <v>201</v>
      </c>
      <c r="NQB17" s="310" t="s">
        <v>201</v>
      </c>
      <c r="NQC17" s="310" t="s">
        <v>201</v>
      </c>
      <c r="NQD17" s="310" t="s">
        <v>201</v>
      </c>
      <c r="NQE17" s="310" t="s">
        <v>201</v>
      </c>
      <c r="NQF17" s="310" t="s">
        <v>201</v>
      </c>
      <c r="NQG17" s="310" t="s">
        <v>201</v>
      </c>
      <c r="NQH17" s="310" t="s">
        <v>201</v>
      </c>
      <c r="NQI17" s="310" t="s">
        <v>201</v>
      </c>
      <c r="NQJ17" s="310" t="s">
        <v>201</v>
      </c>
      <c r="NQK17" s="310" t="s">
        <v>201</v>
      </c>
      <c r="NQL17" s="310" t="s">
        <v>201</v>
      </c>
      <c r="NQM17" s="310" t="s">
        <v>201</v>
      </c>
      <c r="NQN17" s="310" t="s">
        <v>201</v>
      </c>
      <c r="NQO17" s="310" t="s">
        <v>201</v>
      </c>
      <c r="NQP17" s="310" t="s">
        <v>201</v>
      </c>
      <c r="NQQ17" s="310" t="s">
        <v>201</v>
      </c>
      <c r="NQR17" s="310" t="s">
        <v>201</v>
      </c>
      <c r="NQS17" s="310" t="s">
        <v>201</v>
      </c>
      <c r="NQT17" s="310" t="s">
        <v>201</v>
      </c>
      <c r="NQU17" s="310" t="s">
        <v>201</v>
      </c>
      <c r="NQV17" s="310" t="s">
        <v>201</v>
      </c>
      <c r="NQW17" s="310" t="s">
        <v>201</v>
      </c>
      <c r="NQX17" s="310" t="s">
        <v>201</v>
      </c>
      <c r="NQY17" s="310" t="s">
        <v>201</v>
      </c>
      <c r="NQZ17" s="310" t="s">
        <v>201</v>
      </c>
      <c r="NRA17" s="310" t="s">
        <v>201</v>
      </c>
      <c r="NRB17" s="310" t="s">
        <v>201</v>
      </c>
      <c r="NRC17" s="310" t="s">
        <v>201</v>
      </c>
      <c r="NRD17" s="310" t="s">
        <v>201</v>
      </c>
      <c r="NRE17" s="310" t="s">
        <v>201</v>
      </c>
      <c r="NRF17" s="310" t="s">
        <v>201</v>
      </c>
      <c r="NRG17" s="310" t="s">
        <v>201</v>
      </c>
      <c r="NRH17" s="310" t="s">
        <v>201</v>
      </c>
      <c r="NRI17" s="310" t="s">
        <v>201</v>
      </c>
      <c r="NRJ17" s="310" t="s">
        <v>201</v>
      </c>
      <c r="NRK17" s="310" t="s">
        <v>201</v>
      </c>
      <c r="NRL17" s="310" t="s">
        <v>201</v>
      </c>
      <c r="NRM17" s="310" t="s">
        <v>201</v>
      </c>
      <c r="NRN17" s="310" t="s">
        <v>201</v>
      </c>
      <c r="NRO17" s="310" t="s">
        <v>201</v>
      </c>
      <c r="NRP17" s="310" t="s">
        <v>201</v>
      </c>
      <c r="NRQ17" s="310" t="s">
        <v>201</v>
      </c>
      <c r="NRR17" s="310" t="s">
        <v>201</v>
      </c>
      <c r="NRS17" s="310" t="s">
        <v>201</v>
      </c>
      <c r="NRT17" s="310" t="s">
        <v>201</v>
      </c>
      <c r="NRU17" s="310" t="s">
        <v>201</v>
      </c>
      <c r="NRV17" s="310" t="s">
        <v>201</v>
      </c>
      <c r="NRW17" s="310" t="s">
        <v>201</v>
      </c>
      <c r="NRX17" s="310" t="s">
        <v>201</v>
      </c>
      <c r="NRY17" s="310" t="s">
        <v>201</v>
      </c>
      <c r="NRZ17" s="310" t="s">
        <v>201</v>
      </c>
      <c r="NSA17" s="310" t="s">
        <v>201</v>
      </c>
      <c r="NSB17" s="310" t="s">
        <v>201</v>
      </c>
      <c r="NSC17" s="310" t="s">
        <v>201</v>
      </c>
      <c r="NSD17" s="310" t="s">
        <v>201</v>
      </c>
      <c r="NSE17" s="310" t="s">
        <v>201</v>
      </c>
      <c r="NSF17" s="310" t="s">
        <v>201</v>
      </c>
      <c r="NSG17" s="310" t="s">
        <v>201</v>
      </c>
      <c r="NSH17" s="310" t="s">
        <v>201</v>
      </c>
      <c r="NSI17" s="310" t="s">
        <v>201</v>
      </c>
      <c r="NSJ17" s="310" t="s">
        <v>201</v>
      </c>
      <c r="NSK17" s="310" t="s">
        <v>201</v>
      </c>
      <c r="NSL17" s="310" t="s">
        <v>201</v>
      </c>
      <c r="NSM17" s="310" t="s">
        <v>201</v>
      </c>
      <c r="NSN17" s="310" t="s">
        <v>201</v>
      </c>
      <c r="NSO17" s="310" t="s">
        <v>201</v>
      </c>
      <c r="NSP17" s="310" t="s">
        <v>201</v>
      </c>
      <c r="NSQ17" s="310" t="s">
        <v>201</v>
      </c>
      <c r="NSR17" s="310" t="s">
        <v>201</v>
      </c>
      <c r="NSS17" s="310" t="s">
        <v>201</v>
      </c>
      <c r="NST17" s="310" t="s">
        <v>201</v>
      </c>
      <c r="NSU17" s="310" t="s">
        <v>201</v>
      </c>
      <c r="NSV17" s="310" t="s">
        <v>201</v>
      </c>
      <c r="NSW17" s="310" t="s">
        <v>201</v>
      </c>
      <c r="NSX17" s="310" t="s">
        <v>201</v>
      </c>
      <c r="NSY17" s="310" t="s">
        <v>201</v>
      </c>
      <c r="NSZ17" s="310" t="s">
        <v>201</v>
      </c>
      <c r="NTA17" s="310" t="s">
        <v>201</v>
      </c>
      <c r="NTB17" s="310" t="s">
        <v>201</v>
      </c>
      <c r="NTC17" s="310" t="s">
        <v>201</v>
      </c>
      <c r="NTD17" s="310" t="s">
        <v>201</v>
      </c>
      <c r="NTE17" s="310" t="s">
        <v>201</v>
      </c>
      <c r="NTF17" s="310" t="s">
        <v>201</v>
      </c>
      <c r="NTG17" s="310" t="s">
        <v>201</v>
      </c>
      <c r="NTH17" s="310" t="s">
        <v>201</v>
      </c>
      <c r="NTI17" s="310" t="s">
        <v>201</v>
      </c>
      <c r="NTJ17" s="310" t="s">
        <v>201</v>
      </c>
      <c r="NTK17" s="310" t="s">
        <v>201</v>
      </c>
      <c r="NTL17" s="310" t="s">
        <v>201</v>
      </c>
      <c r="NTM17" s="310" t="s">
        <v>201</v>
      </c>
      <c r="NTN17" s="310" t="s">
        <v>201</v>
      </c>
      <c r="NTO17" s="310" t="s">
        <v>201</v>
      </c>
      <c r="NTP17" s="310" t="s">
        <v>201</v>
      </c>
      <c r="NTQ17" s="310" t="s">
        <v>201</v>
      </c>
      <c r="NTR17" s="310" t="s">
        <v>201</v>
      </c>
      <c r="NTS17" s="310" t="s">
        <v>201</v>
      </c>
      <c r="NTT17" s="310" t="s">
        <v>201</v>
      </c>
      <c r="NTU17" s="310" t="s">
        <v>201</v>
      </c>
      <c r="NTV17" s="310" t="s">
        <v>201</v>
      </c>
      <c r="NTW17" s="310" t="s">
        <v>201</v>
      </c>
      <c r="NTX17" s="310" t="s">
        <v>201</v>
      </c>
      <c r="NTY17" s="310" t="s">
        <v>201</v>
      </c>
      <c r="NTZ17" s="310" t="s">
        <v>201</v>
      </c>
      <c r="NUA17" s="310" t="s">
        <v>201</v>
      </c>
      <c r="NUB17" s="310" t="s">
        <v>201</v>
      </c>
      <c r="NUC17" s="310" t="s">
        <v>201</v>
      </c>
      <c r="NUD17" s="310" t="s">
        <v>201</v>
      </c>
      <c r="NUE17" s="310" t="s">
        <v>201</v>
      </c>
      <c r="NUF17" s="310" t="s">
        <v>201</v>
      </c>
      <c r="NUG17" s="310" t="s">
        <v>201</v>
      </c>
      <c r="NUH17" s="310" t="s">
        <v>201</v>
      </c>
      <c r="NUI17" s="310" t="s">
        <v>201</v>
      </c>
      <c r="NUJ17" s="310" t="s">
        <v>201</v>
      </c>
      <c r="NUK17" s="310" t="s">
        <v>201</v>
      </c>
      <c r="NUL17" s="310" t="s">
        <v>201</v>
      </c>
      <c r="NUM17" s="310" t="s">
        <v>201</v>
      </c>
      <c r="NUN17" s="310" t="s">
        <v>201</v>
      </c>
      <c r="NUO17" s="310" t="s">
        <v>201</v>
      </c>
      <c r="NUP17" s="310" t="s">
        <v>201</v>
      </c>
      <c r="NUQ17" s="310" t="s">
        <v>201</v>
      </c>
      <c r="NUR17" s="310" t="s">
        <v>201</v>
      </c>
      <c r="NUS17" s="310" t="s">
        <v>201</v>
      </c>
      <c r="NUT17" s="310" t="s">
        <v>201</v>
      </c>
      <c r="NUU17" s="310" t="s">
        <v>201</v>
      </c>
      <c r="NUV17" s="310" t="s">
        <v>201</v>
      </c>
      <c r="NUW17" s="310" t="s">
        <v>201</v>
      </c>
      <c r="NUX17" s="310" t="s">
        <v>201</v>
      </c>
      <c r="NUY17" s="310" t="s">
        <v>201</v>
      </c>
      <c r="NUZ17" s="310" t="s">
        <v>201</v>
      </c>
      <c r="NVA17" s="310" t="s">
        <v>201</v>
      </c>
      <c r="NVB17" s="310" t="s">
        <v>201</v>
      </c>
      <c r="NVC17" s="310" t="s">
        <v>201</v>
      </c>
      <c r="NVD17" s="310" t="s">
        <v>201</v>
      </c>
      <c r="NVE17" s="310" t="s">
        <v>201</v>
      </c>
      <c r="NVF17" s="310" t="s">
        <v>201</v>
      </c>
      <c r="NVG17" s="310" t="s">
        <v>201</v>
      </c>
      <c r="NVH17" s="310" t="s">
        <v>201</v>
      </c>
      <c r="NVI17" s="310" t="s">
        <v>201</v>
      </c>
      <c r="NVJ17" s="310" t="s">
        <v>201</v>
      </c>
      <c r="NVK17" s="310" t="s">
        <v>201</v>
      </c>
      <c r="NVL17" s="310" t="s">
        <v>201</v>
      </c>
      <c r="NVM17" s="310" t="s">
        <v>201</v>
      </c>
      <c r="NVN17" s="310" t="s">
        <v>201</v>
      </c>
      <c r="NVO17" s="310" t="s">
        <v>201</v>
      </c>
      <c r="NVP17" s="310" t="s">
        <v>201</v>
      </c>
      <c r="NVQ17" s="310" t="s">
        <v>201</v>
      </c>
      <c r="NVR17" s="310" t="s">
        <v>201</v>
      </c>
      <c r="NVS17" s="310" t="s">
        <v>201</v>
      </c>
      <c r="NVT17" s="310" t="s">
        <v>201</v>
      </c>
      <c r="NVU17" s="310" t="s">
        <v>201</v>
      </c>
      <c r="NVV17" s="310" t="s">
        <v>201</v>
      </c>
      <c r="NVW17" s="310" t="s">
        <v>201</v>
      </c>
      <c r="NVX17" s="310" t="s">
        <v>201</v>
      </c>
      <c r="NVY17" s="310" t="s">
        <v>201</v>
      </c>
      <c r="NVZ17" s="310" t="s">
        <v>201</v>
      </c>
      <c r="NWA17" s="310" t="s">
        <v>201</v>
      </c>
      <c r="NWB17" s="310" t="s">
        <v>201</v>
      </c>
      <c r="NWC17" s="310" t="s">
        <v>201</v>
      </c>
      <c r="NWD17" s="310" t="s">
        <v>201</v>
      </c>
      <c r="NWE17" s="310" t="s">
        <v>201</v>
      </c>
      <c r="NWF17" s="310" t="s">
        <v>201</v>
      </c>
      <c r="NWG17" s="310" t="s">
        <v>201</v>
      </c>
      <c r="NWH17" s="310" t="s">
        <v>201</v>
      </c>
      <c r="NWI17" s="310" t="s">
        <v>201</v>
      </c>
      <c r="NWJ17" s="310" t="s">
        <v>201</v>
      </c>
      <c r="NWK17" s="310" t="s">
        <v>201</v>
      </c>
      <c r="NWL17" s="310" t="s">
        <v>201</v>
      </c>
      <c r="NWM17" s="310" t="s">
        <v>201</v>
      </c>
      <c r="NWN17" s="310" t="s">
        <v>201</v>
      </c>
      <c r="NWO17" s="310" t="s">
        <v>201</v>
      </c>
      <c r="NWP17" s="310" t="s">
        <v>201</v>
      </c>
      <c r="NWQ17" s="310" t="s">
        <v>201</v>
      </c>
      <c r="NWR17" s="310" t="s">
        <v>201</v>
      </c>
      <c r="NWS17" s="310" t="s">
        <v>201</v>
      </c>
      <c r="NWT17" s="310" t="s">
        <v>201</v>
      </c>
      <c r="NWU17" s="310" t="s">
        <v>201</v>
      </c>
      <c r="NWV17" s="310" t="s">
        <v>201</v>
      </c>
      <c r="NWW17" s="310" t="s">
        <v>201</v>
      </c>
      <c r="NWX17" s="310" t="s">
        <v>201</v>
      </c>
      <c r="NWY17" s="310" t="s">
        <v>201</v>
      </c>
      <c r="NWZ17" s="310" t="s">
        <v>201</v>
      </c>
      <c r="NXA17" s="310" t="s">
        <v>201</v>
      </c>
      <c r="NXB17" s="310" t="s">
        <v>201</v>
      </c>
      <c r="NXC17" s="310" t="s">
        <v>201</v>
      </c>
      <c r="NXD17" s="310" t="s">
        <v>201</v>
      </c>
      <c r="NXE17" s="310" t="s">
        <v>201</v>
      </c>
      <c r="NXF17" s="310" t="s">
        <v>201</v>
      </c>
      <c r="NXG17" s="310" t="s">
        <v>201</v>
      </c>
      <c r="NXH17" s="310" t="s">
        <v>201</v>
      </c>
      <c r="NXI17" s="310" t="s">
        <v>201</v>
      </c>
      <c r="NXJ17" s="310" t="s">
        <v>201</v>
      </c>
      <c r="NXK17" s="310" t="s">
        <v>201</v>
      </c>
      <c r="NXL17" s="310" t="s">
        <v>201</v>
      </c>
      <c r="NXM17" s="310" t="s">
        <v>201</v>
      </c>
      <c r="NXN17" s="310" t="s">
        <v>201</v>
      </c>
      <c r="NXO17" s="310" t="s">
        <v>201</v>
      </c>
      <c r="NXP17" s="310" t="s">
        <v>201</v>
      </c>
      <c r="NXQ17" s="310" t="s">
        <v>201</v>
      </c>
      <c r="NXR17" s="310" t="s">
        <v>201</v>
      </c>
      <c r="NXS17" s="310" t="s">
        <v>201</v>
      </c>
      <c r="NXT17" s="310" t="s">
        <v>201</v>
      </c>
      <c r="NXU17" s="310" t="s">
        <v>201</v>
      </c>
      <c r="NXV17" s="310" t="s">
        <v>201</v>
      </c>
      <c r="NXW17" s="310" t="s">
        <v>201</v>
      </c>
      <c r="NXX17" s="310" t="s">
        <v>201</v>
      </c>
      <c r="NXY17" s="310" t="s">
        <v>201</v>
      </c>
      <c r="NXZ17" s="310" t="s">
        <v>201</v>
      </c>
      <c r="NYA17" s="310" t="s">
        <v>201</v>
      </c>
      <c r="NYB17" s="310" t="s">
        <v>201</v>
      </c>
      <c r="NYC17" s="310" t="s">
        <v>201</v>
      </c>
      <c r="NYD17" s="310" t="s">
        <v>201</v>
      </c>
      <c r="NYE17" s="310" t="s">
        <v>201</v>
      </c>
      <c r="NYF17" s="310" t="s">
        <v>201</v>
      </c>
      <c r="NYG17" s="310" t="s">
        <v>201</v>
      </c>
      <c r="NYH17" s="310" t="s">
        <v>201</v>
      </c>
      <c r="NYI17" s="310" t="s">
        <v>201</v>
      </c>
      <c r="NYJ17" s="310" t="s">
        <v>201</v>
      </c>
      <c r="NYK17" s="310" t="s">
        <v>201</v>
      </c>
      <c r="NYL17" s="310" t="s">
        <v>201</v>
      </c>
      <c r="NYM17" s="310" t="s">
        <v>201</v>
      </c>
      <c r="NYN17" s="310" t="s">
        <v>201</v>
      </c>
      <c r="NYO17" s="310" t="s">
        <v>201</v>
      </c>
      <c r="NYP17" s="310" t="s">
        <v>201</v>
      </c>
      <c r="NYQ17" s="310" t="s">
        <v>201</v>
      </c>
      <c r="NYR17" s="310" t="s">
        <v>201</v>
      </c>
      <c r="NYS17" s="310" t="s">
        <v>201</v>
      </c>
      <c r="NYT17" s="310" t="s">
        <v>201</v>
      </c>
      <c r="NYU17" s="310" t="s">
        <v>201</v>
      </c>
      <c r="NYV17" s="310" t="s">
        <v>201</v>
      </c>
      <c r="NYW17" s="310" t="s">
        <v>201</v>
      </c>
      <c r="NYX17" s="310" t="s">
        <v>201</v>
      </c>
      <c r="NYY17" s="310" t="s">
        <v>201</v>
      </c>
      <c r="NYZ17" s="310" t="s">
        <v>201</v>
      </c>
      <c r="NZA17" s="310" t="s">
        <v>201</v>
      </c>
      <c r="NZB17" s="310" t="s">
        <v>201</v>
      </c>
      <c r="NZC17" s="310" t="s">
        <v>201</v>
      </c>
      <c r="NZD17" s="310" t="s">
        <v>201</v>
      </c>
      <c r="NZE17" s="310" t="s">
        <v>201</v>
      </c>
      <c r="NZF17" s="310" t="s">
        <v>201</v>
      </c>
      <c r="NZG17" s="310" t="s">
        <v>201</v>
      </c>
      <c r="NZH17" s="310" t="s">
        <v>201</v>
      </c>
      <c r="NZI17" s="310" t="s">
        <v>201</v>
      </c>
      <c r="NZJ17" s="310" t="s">
        <v>201</v>
      </c>
      <c r="NZK17" s="310" t="s">
        <v>201</v>
      </c>
      <c r="NZL17" s="310" t="s">
        <v>201</v>
      </c>
      <c r="NZM17" s="310" t="s">
        <v>201</v>
      </c>
      <c r="NZN17" s="310" t="s">
        <v>201</v>
      </c>
      <c r="NZO17" s="310" t="s">
        <v>201</v>
      </c>
      <c r="NZP17" s="310" t="s">
        <v>201</v>
      </c>
      <c r="NZQ17" s="310" t="s">
        <v>201</v>
      </c>
      <c r="NZR17" s="310" t="s">
        <v>201</v>
      </c>
      <c r="NZS17" s="310" t="s">
        <v>201</v>
      </c>
      <c r="NZT17" s="310" t="s">
        <v>201</v>
      </c>
      <c r="NZU17" s="310" t="s">
        <v>201</v>
      </c>
      <c r="NZV17" s="310" t="s">
        <v>201</v>
      </c>
      <c r="NZW17" s="310" t="s">
        <v>201</v>
      </c>
      <c r="NZX17" s="310" t="s">
        <v>201</v>
      </c>
      <c r="NZY17" s="310" t="s">
        <v>201</v>
      </c>
      <c r="NZZ17" s="310" t="s">
        <v>201</v>
      </c>
      <c r="OAA17" s="310" t="s">
        <v>201</v>
      </c>
      <c r="OAB17" s="310" t="s">
        <v>201</v>
      </c>
      <c r="OAC17" s="310" t="s">
        <v>201</v>
      </c>
      <c r="OAD17" s="310" t="s">
        <v>201</v>
      </c>
      <c r="OAE17" s="310" t="s">
        <v>201</v>
      </c>
      <c r="OAF17" s="310" t="s">
        <v>201</v>
      </c>
      <c r="OAG17" s="310" t="s">
        <v>201</v>
      </c>
      <c r="OAH17" s="310" t="s">
        <v>201</v>
      </c>
      <c r="OAI17" s="310" t="s">
        <v>201</v>
      </c>
      <c r="OAJ17" s="310" t="s">
        <v>201</v>
      </c>
      <c r="OAK17" s="310" t="s">
        <v>201</v>
      </c>
      <c r="OAL17" s="310" t="s">
        <v>201</v>
      </c>
      <c r="OAM17" s="310" t="s">
        <v>201</v>
      </c>
      <c r="OAN17" s="310" t="s">
        <v>201</v>
      </c>
      <c r="OAO17" s="310" t="s">
        <v>201</v>
      </c>
      <c r="OAP17" s="310" t="s">
        <v>201</v>
      </c>
      <c r="OAQ17" s="310" t="s">
        <v>201</v>
      </c>
      <c r="OAR17" s="310" t="s">
        <v>201</v>
      </c>
      <c r="OAS17" s="310" t="s">
        <v>201</v>
      </c>
      <c r="OAT17" s="310" t="s">
        <v>201</v>
      </c>
      <c r="OAU17" s="310" t="s">
        <v>201</v>
      </c>
      <c r="OAV17" s="310" t="s">
        <v>201</v>
      </c>
      <c r="OAW17" s="310" t="s">
        <v>201</v>
      </c>
      <c r="OAX17" s="310" t="s">
        <v>201</v>
      </c>
      <c r="OAY17" s="310" t="s">
        <v>201</v>
      </c>
      <c r="OAZ17" s="310" t="s">
        <v>201</v>
      </c>
      <c r="OBA17" s="310" t="s">
        <v>201</v>
      </c>
      <c r="OBB17" s="310" t="s">
        <v>201</v>
      </c>
      <c r="OBC17" s="310" t="s">
        <v>201</v>
      </c>
      <c r="OBD17" s="310" t="s">
        <v>201</v>
      </c>
      <c r="OBE17" s="310" t="s">
        <v>201</v>
      </c>
      <c r="OBF17" s="310" t="s">
        <v>201</v>
      </c>
      <c r="OBG17" s="310" t="s">
        <v>201</v>
      </c>
      <c r="OBH17" s="310" t="s">
        <v>201</v>
      </c>
      <c r="OBI17" s="310" t="s">
        <v>201</v>
      </c>
      <c r="OBJ17" s="310" t="s">
        <v>201</v>
      </c>
      <c r="OBK17" s="310" t="s">
        <v>201</v>
      </c>
      <c r="OBL17" s="310" t="s">
        <v>201</v>
      </c>
      <c r="OBM17" s="310" t="s">
        <v>201</v>
      </c>
      <c r="OBN17" s="310" t="s">
        <v>201</v>
      </c>
      <c r="OBO17" s="310" t="s">
        <v>201</v>
      </c>
      <c r="OBP17" s="310" t="s">
        <v>201</v>
      </c>
      <c r="OBQ17" s="310" t="s">
        <v>201</v>
      </c>
      <c r="OBR17" s="310" t="s">
        <v>201</v>
      </c>
      <c r="OBS17" s="310" t="s">
        <v>201</v>
      </c>
      <c r="OBT17" s="310" t="s">
        <v>201</v>
      </c>
      <c r="OBU17" s="310" t="s">
        <v>201</v>
      </c>
      <c r="OBV17" s="310" t="s">
        <v>201</v>
      </c>
      <c r="OBW17" s="310" t="s">
        <v>201</v>
      </c>
      <c r="OBX17" s="310" t="s">
        <v>201</v>
      </c>
      <c r="OBY17" s="310" t="s">
        <v>201</v>
      </c>
      <c r="OBZ17" s="310" t="s">
        <v>201</v>
      </c>
      <c r="OCA17" s="310" t="s">
        <v>201</v>
      </c>
      <c r="OCB17" s="310" t="s">
        <v>201</v>
      </c>
      <c r="OCC17" s="310" t="s">
        <v>201</v>
      </c>
      <c r="OCD17" s="310" t="s">
        <v>201</v>
      </c>
      <c r="OCE17" s="310" t="s">
        <v>201</v>
      </c>
      <c r="OCF17" s="310" t="s">
        <v>201</v>
      </c>
      <c r="OCG17" s="310" t="s">
        <v>201</v>
      </c>
      <c r="OCH17" s="310" t="s">
        <v>201</v>
      </c>
      <c r="OCI17" s="310" t="s">
        <v>201</v>
      </c>
      <c r="OCJ17" s="310" t="s">
        <v>201</v>
      </c>
      <c r="OCK17" s="310" t="s">
        <v>201</v>
      </c>
      <c r="OCL17" s="310" t="s">
        <v>201</v>
      </c>
      <c r="OCM17" s="310" t="s">
        <v>201</v>
      </c>
      <c r="OCN17" s="310" t="s">
        <v>201</v>
      </c>
      <c r="OCO17" s="310" t="s">
        <v>201</v>
      </c>
      <c r="OCP17" s="310" t="s">
        <v>201</v>
      </c>
      <c r="OCQ17" s="310" t="s">
        <v>201</v>
      </c>
      <c r="OCR17" s="310" t="s">
        <v>201</v>
      </c>
      <c r="OCS17" s="310" t="s">
        <v>201</v>
      </c>
      <c r="OCT17" s="310" t="s">
        <v>201</v>
      </c>
      <c r="OCU17" s="310" t="s">
        <v>201</v>
      </c>
      <c r="OCV17" s="310" t="s">
        <v>201</v>
      </c>
      <c r="OCW17" s="310" t="s">
        <v>201</v>
      </c>
      <c r="OCX17" s="310" t="s">
        <v>201</v>
      </c>
      <c r="OCY17" s="310" t="s">
        <v>201</v>
      </c>
      <c r="OCZ17" s="310" t="s">
        <v>201</v>
      </c>
      <c r="ODA17" s="310" t="s">
        <v>201</v>
      </c>
      <c r="ODB17" s="310" t="s">
        <v>201</v>
      </c>
      <c r="ODC17" s="310" t="s">
        <v>201</v>
      </c>
      <c r="ODD17" s="310" t="s">
        <v>201</v>
      </c>
      <c r="ODE17" s="310" t="s">
        <v>201</v>
      </c>
      <c r="ODF17" s="310" t="s">
        <v>201</v>
      </c>
      <c r="ODG17" s="310" t="s">
        <v>201</v>
      </c>
      <c r="ODH17" s="310" t="s">
        <v>201</v>
      </c>
      <c r="ODI17" s="310" t="s">
        <v>201</v>
      </c>
      <c r="ODJ17" s="310" t="s">
        <v>201</v>
      </c>
      <c r="ODK17" s="310" t="s">
        <v>201</v>
      </c>
      <c r="ODL17" s="310" t="s">
        <v>201</v>
      </c>
      <c r="ODM17" s="310" t="s">
        <v>201</v>
      </c>
      <c r="ODN17" s="310" t="s">
        <v>201</v>
      </c>
      <c r="ODO17" s="310" t="s">
        <v>201</v>
      </c>
      <c r="ODP17" s="310" t="s">
        <v>201</v>
      </c>
      <c r="ODQ17" s="310" t="s">
        <v>201</v>
      </c>
      <c r="ODR17" s="310" t="s">
        <v>201</v>
      </c>
      <c r="ODS17" s="310" t="s">
        <v>201</v>
      </c>
      <c r="ODT17" s="310" t="s">
        <v>201</v>
      </c>
      <c r="ODU17" s="310" t="s">
        <v>201</v>
      </c>
      <c r="ODV17" s="310" t="s">
        <v>201</v>
      </c>
      <c r="ODW17" s="310" t="s">
        <v>201</v>
      </c>
      <c r="ODX17" s="310" t="s">
        <v>201</v>
      </c>
      <c r="ODY17" s="310" t="s">
        <v>201</v>
      </c>
      <c r="ODZ17" s="310" t="s">
        <v>201</v>
      </c>
      <c r="OEA17" s="310" t="s">
        <v>201</v>
      </c>
      <c r="OEB17" s="310" t="s">
        <v>201</v>
      </c>
      <c r="OEC17" s="310" t="s">
        <v>201</v>
      </c>
      <c r="OED17" s="310" t="s">
        <v>201</v>
      </c>
      <c r="OEE17" s="310" t="s">
        <v>201</v>
      </c>
      <c r="OEF17" s="310" t="s">
        <v>201</v>
      </c>
      <c r="OEG17" s="310" t="s">
        <v>201</v>
      </c>
      <c r="OEH17" s="310" t="s">
        <v>201</v>
      </c>
      <c r="OEI17" s="310" t="s">
        <v>201</v>
      </c>
      <c r="OEJ17" s="310" t="s">
        <v>201</v>
      </c>
      <c r="OEK17" s="310" t="s">
        <v>201</v>
      </c>
      <c r="OEL17" s="310" t="s">
        <v>201</v>
      </c>
      <c r="OEM17" s="310" t="s">
        <v>201</v>
      </c>
      <c r="OEN17" s="310" t="s">
        <v>201</v>
      </c>
      <c r="OEO17" s="310" t="s">
        <v>201</v>
      </c>
      <c r="OEP17" s="310" t="s">
        <v>201</v>
      </c>
      <c r="OEQ17" s="310" t="s">
        <v>201</v>
      </c>
      <c r="OER17" s="310" t="s">
        <v>201</v>
      </c>
      <c r="OES17" s="310" t="s">
        <v>201</v>
      </c>
      <c r="OET17" s="310" t="s">
        <v>201</v>
      </c>
      <c r="OEU17" s="310" t="s">
        <v>201</v>
      </c>
      <c r="OEV17" s="310" t="s">
        <v>201</v>
      </c>
      <c r="OEW17" s="310" t="s">
        <v>201</v>
      </c>
      <c r="OEX17" s="310" t="s">
        <v>201</v>
      </c>
      <c r="OEY17" s="310" t="s">
        <v>201</v>
      </c>
      <c r="OEZ17" s="310" t="s">
        <v>201</v>
      </c>
      <c r="OFA17" s="310" t="s">
        <v>201</v>
      </c>
      <c r="OFB17" s="310" t="s">
        <v>201</v>
      </c>
      <c r="OFC17" s="310" t="s">
        <v>201</v>
      </c>
      <c r="OFD17" s="310" t="s">
        <v>201</v>
      </c>
      <c r="OFE17" s="310" t="s">
        <v>201</v>
      </c>
      <c r="OFF17" s="310" t="s">
        <v>201</v>
      </c>
      <c r="OFG17" s="310" t="s">
        <v>201</v>
      </c>
      <c r="OFH17" s="310" t="s">
        <v>201</v>
      </c>
      <c r="OFI17" s="310" t="s">
        <v>201</v>
      </c>
      <c r="OFJ17" s="310" t="s">
        <v>201</v>
      </c>
      <c r="OFK17" s="310" t="s">
        <v>201</v>
      </c>
      <c r="OFL17" s="310" t="s">
        <v>201</v>
      </c>
      <c r="OFM17" s="310" t="s">
        <v>201</v>
      </c>
      <c r="OFN17" s="310" t="s">
        <v>201</v>
      </c>
      <c r="OFO17" s="310" t="s">
        <v>201</v>
      </c>
      <c r="OFP17" s="310" t="s">
        <v>201</v>
      </c>
      <c r="OFQ17" s="310" t="s">
        <v>201</v>
      </c>
      <c r="OFR17" s="310" t="s">
        <v>201</v>
      </c>
      <c r="OFS17" s="310" t="s">
        <v>201</v>
      </c>
      <c r="OFT17" s="310" t="s">
        <v>201</v>
      </c>
      <c r="OFU17" s="310" t="s">
        <v>201</v>
      </c>
      <c r="OFV17" s="310" t="s">
        <v>201</v>
      </c>
      <c r="OFW17" s="310" t="s">
        <v>201</v>
      </c>
      <c r="OFX17" s="310" t="s">
        <v>201</v>
      </c>
      <c r="OFY17" s="310" t="s">
        <v>201</v>
      </c>
      <c r="OFZ17" s="310" t="s">
        <v>201</v>
      </c>
      <c r="OGA17" s="310" t="s">
        <v>201</v>
      </c>
      <c r="OGB17" s="310" t="s">
        <v>201</v>
      </c>
      <c r="OGC17" s="310" t="s">
        <v>201</v>
      </c>
      <c r="OGD17" s="310" t="s">
        <v>201</v>
      </c>
      <c r="OGE17" s="310" t="s">
        <v>201</v>
      </c>
      <c r="OGF17" s="310" t="s">
        <v>201</v>
      </c>
      <c r="OGG17" s="310" t="s">
        <v>201</v>
      </c>
      <c r="OGH17" s="310" t="s">
        <v>201</v>
      </c>
      <c r="OGI17" s="310" t="s">
        <v>201</v>
      </c>
      <c r="OGJ17" s="310" t="s">
        <v>201</v>
      </c>
      <c r="OGK17" s="310" t="s">
        <v>201</v>
      </c>
      <c r="OGL17" s="310" t="s">
        <v>201</v>
      </c>
      <c r="OGM17" s="310" t="s">
        <v>201</v>
      </c>
      <c r="OGN17" s="310" t="s">
        <v>201</v>
      </c>
      <c r="OGO17" s="310" t="s">
        <v>201</v>
      </c>
      <c r="OGP17" s="310" t="s">
        <v>201</v>
      </c>
      <c r="OGQ17" s="310" t="s">
        <v>201</v>
      </c>
      <c r="OGR17" s="310" t="s">
        <v>201</v>
      </c>
      <c r="OGS17" s="310" t="s">
        <v>201</v>
      </c>
      <c r="OGT17" s="310" t="s">
        <v>201</v>
      </c>
      <c r="OGU17" s="310" t="s">
        <v>201</v>
      </c>
      <c r="OGV17" s="310" t="s">
        <v>201</v>
      </c>
      <c r="OGW17" s="310" t="s">
        <v>201</v>
      </c>
      <c r="OGX17" s="310" t="s">
        <v>201</v>
      </c>
      <c r="OGY17" s="310" t="s">
        <v>201</v>
      </c>
      <c r="OGZ17" s="310" t="s">
        <v>201</v>
      </c>
      <c r="OHA17" s="310" t="s">
        <v>201</v>
      </c>
      <c r="OHB17" s="310" t="s">
        <v>201</v>
      </c>
      <c r="OHC17" s="310" t="s">
        <v>201</v>
      </c>
      <c r="OHD17" s="310" t="s">
        <v>201</v>
      </c>
      <c r="OHE17" s="310" t="s">
        <v>201</v>
      </c>
      <c r="OHF17" s="310" t="s">
        <v>201</v>
      </c>
      <c r="OHG17" s="310" t="s">
        <v>201</v>
      </c>
      <c r="OHH17" s="310" t="s">
        <v>201</v>
      </c>
      <c r="OHI17" s="310" t="s">
        <v>201</v>
      </c>
      <c r="OHJ17" s="310" t="s">
        <v>201</v>
      </c>
      <c r="OHK17" s="310" t="s">
        <v>201</v>
      </c>
      <c r="OHL17" s="310" t="s">
        <v>201</v>
      </c>
      <c r="OHM17" s="310" t="s">
        <v>201</v>
      </c>
      <c r="OHN17" s="310" t="s">
        <v>201</v>
      </c>
      <c r="OHO17" s="310" t="s">
        <v>201</v>
      </c>
      <c r="OHP17" s="310" t="s">
        <v>201</v>
      </c>
      <c r="OHQ17" s="310" t="s">
        <v>201</v>
      </c>
      <c r="OHR17" s="310" t="s">
        <v>201</v>
      </c>
      <c r="OHS17" s="310" t="s">
        <v>201</v>
      </c>
      <c r="OHT17" s="310" t="s">
        <v>201</v>
      </c>
      <c r="OHU17" s="310" t="s">
        <v>201</v>
      </c>
      <c r="OHV17" s="310" t="s">
        <v>201</v>
      </c>
      <c r="OHW17" s="310" t="s">
        <v>201</v>
      </c>
      <c r="OHX17" s="310" t="s">
        <v>201</v>
      </c>
      <c r="OHY17" s="310" t="s">
        <v>201</v>
      </c>
      <c r="OHZ17" s="310" t="s">
        <v>201</v>
      </c>
      <c r="OIA17" s="310" t="s">
        <v>201</v>
      </c>
      <c r="OIB17" s="310" t="s">
        <v>201</v>
      </c>
      <c r="OIC17" s="310" t="s">
        <v>201</v>
      </c>
      <c r="OID17" s="310" t="s">
        <v>201</v>
      </c>
      <c r="OIE17" s="310" t="s">
        <v>201</v>
      </c>
      <c r="OIF17" s="310" t="s">
        <v>201</v>
      </c>
      <c r="OIG17" s="310" t="s">
        <v>201</v>
      </c>
      <c r="OIH17" s="310" t="s">
        <v>201</v>
      </c>
      <c r="OII17" s="310" t="s">
        <v>201</v>
      </c>
      <c r="OIJ17" s="310" t="s">
        <v>201</v>
      </c>
      <c r="OIK17" s="310" t="s">
        <v>201</v>
      </c>
      <c r="OIL17" s="310" t="s">
        <v>201</v>
      </c>
      <c r="OIM17" s="310" t="s">
        <v>201</v>
      </c>
      <c r="OIN17" s="310" t="s">
        <v>201</v>
      </c>
      <c r="OIO17" s="310" t="s">
        <v>201</v>
      </c>
      <c r="OIP17" s="310" t="s">
        <v>201</v>
      </c>
      <c r="OIQ17" s="310" t="s">
        <v>201</v>
      </c>
      <c r="OIR17" s="310" t="s">
        <v>201</v>
      </c>
      <c r="OIS17" s="310" t="s">
        <v>201</v>
      </c>
      <c r="OIT17" s="310" t="s">
        <v>201</v>
      </c>
      <c r="OIU17" s="310" t="s">
        <v>201</v>
      </c>
      <c r="OIV17" s="310" t="s">
        <v>201</v>
      </c>
      <c r="OIW17" s="310" t="s">
        <v>201</v>
      </c>
      <c r="OIX17" s="310" t="s">
        <v>201</v>
      </c>
      <c r="OIY17" s="310" t="s">
        <v>201</v>
      </c>
      <c r="OIZ17" s="310" t="s">
        <v>201</v>
      </c>
      <c r="OJA17" s="310" t="s">
        <v>201</v>
      </c>
      <c r="OJB17" s="310" t="s">
        <v>201</v>
      </c>
      <c r="OJC17" s="310" t="s">
        <v>201</v>
      </c>
      <c r="OJD17" s="310" t="s">
        <v>201</v>
      </c>
      <c r="OJE17" s="310" t="s">
        <v>201</v>
      </c>
      <c r="OJF17" s="310" t="s">
        <v>201</v>
      </c>
      <c r="OJG17" s="310" t="s">
        <v>201</v>
      </c>
      <c r="OJH17" s="310" t="s">
        <v>201</v>
      </c>
      <c r="OJI17" s="310" t="s">
        <v>201</v>
      </c>
      <c r="OJJ17" s="310" t="s">
        <v>201</v>
      </c>
      <c r="OJK17" s="310" t="s">
        <v>201</v>
      </c>
      <c r="OJL17" s="310" t="s">
        <v>201</v>
      </c>
      <c r="OJM17" s="310" t="s">
        <v>201</v>
      </c>
      <c r="OJN17" s="310" t="s">
        <v>201</v>
      </c>
      <c r="OJO17" s="310" t="s">
        <v>201</v>
      </c>
      <c r="OJP17" s="310" t="s">
        <v>201</v>
      </c>
      <c r="OJQ17" s="310" t="s">
        <v>201</v>
      </c>
      <c r="OJR17" s="310" t="s">
        <v>201</v>
      </c>
      <c r="OJS17" s="310" t="s">
        <v>201</v>
      </c>
      <c r="OJT17" s="310" t="s">
        <v>201</v>
      </c>
      <c r="OJU17" s="310" t="s">
        <v>201</v>
      </c>
      <c r="OJV17" s="310" t="s">
        <v>201</v>
      </c>
      <c r="OJW17" s="310" t="s">
        <v>201</v>
      </c>
      <c r="OJX17" s="310" t="s">
        <v>201</v>
      </c>
      <c r="OJY17" s="310" t="s">
        <v>201</v>
      </c>
      <c r="OJZ17" s="310" t="s">
        <v>201</v>
      </c>
      <c r="OKA17" s="310" t="s">
        <v>201</v>
      </c>
      <c r="OKB17" s="310" t="s">
        <v>201</v>
      </c>
      <c r="OKC17" s="310" t="s">
        <v>201</v>
      </c>
      <c r="OKD17" s="310" t="s">
        <v>201</v>
      </c>
      <c r="OKE17" s="310" t="s">
        <v>201</v>
      </c>
      <c r="OKF17" s="310" t="s">
        <v>201</v>
      </c>
      <c r="OKG17" s="310" t="s">
        <v>201</v>
      </c>
      <c r="OKH17" s="310" t="s">
        <v>201</v>
      </c>
      <c r="OKI17" s="310" t="s">
        <v>201</v>
      </c>
      <c r="OKJ17" s="310" t="s">
        <v>201</v>
      </c>
      <c r="OKK17" s="310" t="s">
        <v>201</v>
      </c>
      <c r="OKL17" s="310" t="s">
        <v>201</v>
      </c>
      <c r="OKM17" s="310" t="s">
        <v>201</v>
      </c>
      <c r="OKN17" s="310" t="s">
        <v>201</v>
      </c>
      <c r="OKO17" s="310" t="s">
        <v>201</v>
      </c>
      <c r="OKP17" s="310" t="s">
        <v>201</v>
      </c>
      <c r="OKQ17" s="310" t="s">
        <v>201</v>
      </c>
      <c r="OKR17" s="310" t="s">
        <v>201</v>
      </c>
      <c r="OKS17" s="310" t="s">
        <v>201</v>
      </c>
      <c r="OKT17" s="310" t="s">
        <v>201</v>
      </c>
      <c r="OKU17" s="310" t="s">
        <v>201</v>
      </c>
      <c r="OKV17" s="310" t="s">
        <v>201</v>
      </c>
      <c r="OKW17" s="310" t="s">
        <v>201</v>
      </c>
      <c r="OKX17" s="310" t="s">
        <v>201</v>
      </c>
      <c r="OKY17" s="310" t="s">
        <v>201</v>
      </c>
      <c r="OKZ17" s="310" t="s">
        <v>201</v>
      </c>
      <c r="OLA17" s="310" t="s">
        <v>201</v>
      </c>
      <c r="OLB17" s="310" t="s">
        <v>201</v>
      </c>
      <c r="OLC17" s="310" t="s">
        <v>201</v>
      </c>
      <c r="OLD17" s="310" t="s">
        <v>201</v>
      </c>
      <c r="OLE17" s="310" t="s">
        <v>201</v>
      </c>
      <c r="OLF17" s="310" t="s">
        <v>201</v>
      </c>
      <c r="OLG17" s="310" t="s">
        <v>201</v>
      </c>
      <c r="OLH17" s="310" t="s">
        <v>201</v>
      </c>
      <c r="OLI17" s="310" t="s">
        <v>201</v>
      </c>
      <c r="OLJ17" s="310" t="s">
        <v>201</v>
      </c>
      <c r="OLK17" s="310" t="s">
        <v>201</v>
      </c>
      <c r="OLL17" s="310" t="s">
        <v>201</v>
      </c>
      <c r="OLM17" s="310" t="s">
        <v>201</v>
      </c>
      <c r="OLN17" s="310" t="s">
        <v>201</v>
      </c>
      <c r="OLO17" s="310" t="s">
        <v>201</v>
      </c>
      <c r="OLP17" s="310" t="s">
        <v>201</v>
      </c>
      <c r="OLQ17" s="310" t="s">
        <v>201</v>
      </c>
      <c r="OLR17" s="310" t="s">
        <v>201</v>
      </c>
      <c r="OLS17" s="310" t="s">
        <v>201</v>
      </c>
      <c r="OLT17" s="310" t="s">
        <v>201</v>
      </c>
      <c r="OLU17" s="310" t="s">
        <v>201</v>
      </c>
      <c r="OLV17" s="310" t="s">
        <v>201</v>
      </c>
      <c r="OLW17" s="310" t="s">
        <v>201</v>
      </c>
      <c r="OLX17" s="310" t="s">
        <v>201</v>
      </c>
      <c r="OLY17" s="310" t="s">
        <v>201</v>
      </c>
      <c r="OLZ17" s="310" t="s">
        <v>201</v>
      </c>
      <c r="OMA17" s="310" t="s">
        <v>201</v>
      </c>
      <c r="OMB17" s="310" t="s">
        <v>201</v>
      </c>
      <c r="OMC17" s="310" t="s">
        <v>201</v>
      </c>
      <c r="OMD17" s="310" t="s">
        <v>201</v>
      </c>
      <c r="OME17" s="310" t="s">
        <v>201</v>
      </c>
      <c r="OMF17" s="310" t="s">
        <v>201</v>
      </c>
      <c r="OMG17" s="310" t="s">
        <v>201</v>
      </c>
      <c r="OMH17" s="310" t="s">
        <v>201</v>
      </c>
      <c r="OMI17" s="310" t="s">
        <v>201</v>
      </c>
      <c r="OMJ17" s="310" t="s">
        <v>201</v>
      </c>
      <c r="OMK17" s="310" t="s">
        <v>201</v>
      </c>
      <c r="OML17" s="310" t="s">
        <v>201</v>
      </c>
      <c r="OMM17" s="310" t="s">
        <v>201</v>
      </c>
      <c r="OMN17" s="310" t="s">
        <v>201</v>
      </c>
      <c r="OMO17" s="310" t="s">
        <v>201</v>
      </c>
      <c r="OMP17" s="310" t="s">
        <v>201</v>
      </c>
      <c r="OMQ17" s="310" t="s">
        <v>201</v>
      </c>
      <c r="OMR17" s="310" t="s">
        <v>201</v>
      </c>
      <c r="OMS17" s="310" t="s">
        <v>201</v>
      </c>
      <c r="OMT17" s="310" t="s">
        <v>201</v>
      </c>
      <c r="OMU17" s="310" t="s">
        <v>201</v>
      </c>
      <c r="OMV17" s="310" t="s">
        <v>201</v>
      </c>
      <c r="OMW17" s="310" t="s">
        <v>201</v>
      </c>
      <c r="OMX17" s="310" t="s">
        <v>201</v>
      </c>
      <c r="OMY17" s="310" t="s">
        <v>201</v>
      </c>
      <c r="OMZ17" s="310" t="s">
        <v>201</v>
      </c>
      <c r="ONA17" s="310" t="s">
        <v>201</v>
      </c>
      <c r="ONB17" s="310" t="s">
        <v>201</v>
      </c>
      <c r="ONC17" s="310" t="s">
        <v>201</v>
      </c>
      <c r="OND17" s="310" t="s">
        <v>201</v>
      </c>
      <c r="ONE17" s="310" t="s">
        <v>201</v>
      </c>
      <c r="ONF17" s="310" t="s">
        <v>201</v>
      </c>
      <c r="ONG17" s="310" t="s">
        <v>201</v>
      </c>
      <c r="ONH17" s="310" t="s">
        <v>201</v>
      </c>
      <c r="ONI17" s="310" t="s">
        <v>201</v>
      </c>
      <c r="ONJ17" s="310" t="s">
        <v>201</v>
      </c>
      <c r="ONK17" s="310" t="s">
        <v>201</v>
      </c>
      <c r="ONL17" s="310" t="s">
        <v>201</v>
      </c>
      <c r="ONM17" s="310" t="s">
        <v>201</v>
      </c>
      <c r="ONN17" s="310" t="s">
        <v>201</v>
      </c>
      <c r="ONO17" s="310" t="s">
        <v>201</v>
      </c>
      <c r="ONP17" s="310" t="s">
        <v>201</v>
      </c>
      <c r="ONQ17" s="310" t="s">
        <v>201</v>
      </c>
      <c r="ONR17" s="310" t="s">
        <v>201</v>
      </c>
      <c r="ONS17" s="310" t="s">
        <v>201</v>
      </c>
      <c r="ONT17" s="310" t="s">
        <v>201</v>
      </c>
      <c r="ONU17" s="310" t="s">
        <v>201</v>
      </c>
      <c r="ONV17" s="310" t="s">
        <v>201</v>
      </c>
      <c r="ONW17" s="310" t="s">
        <v>201</v>
      </c>
      <c r="ONX17" s="310" t="s">
        <v>201</v>
      </c>
      <c r="ONY17" s="310" t="s">
        <v>201</v>
      </c>
      <c r="ONZ17" s="310" t="s">
        <v>201</v>
      </c>
      <c r="OOA17" s="310" t="s">
        <v>201</v>
      </c>
      <c r="OOB17" s="310" t="s">
        <v>201</v>
      </c>
      <c r="OOC17" s="310" t="s">
        <v>201</v>
      </c>
      <c r="OOD17" s="310" t="s">
        <v>201</v>
      </c>
      <c r="OOE17" s="310" t="s">
        <v>201</v>
      </c>
      <c r="OOF17" s="310" t="s">
        <v>201</v>
      </c>
      <c r="OOG17" s="310" t="s">
        <v>201</v>
      </c>
      <c r="OOH17" s="310" t="s">
        <v>201</v>
      </c>
      <c r="OOI17" s="310" t="s">
        <v>201</v>
      </c>
      <c r="OOJ17" s="310" t="s">
        <v>201</v>
      </c>
      <c r="OOK17" s="310" t="s">
        <v>201</v>
      </c>
      <c r="OOL17" s="310" t="s">
        <v>201</v>
      </c>
      <c r="OOM17" s="310" t="s">
        <v>201</v>
      </c>
      <c r="OON17" s="310" t="s">
        <v>201</v>
      </c>
      <c r="OOO17" s="310" t="s">
        <v>201</v>
      </c>
      <c r="OOP17" s="310" t="s">
        <v>201</v>
      </c>
      <c r="OOQ17" s="310" t="s">
        <v>201</v>
      </c>
      <c r="OOR17" s="310" t="s">
        <v>201</v>
      </c>
      <c r="OOS17" s="310" t="s">
        <v>201</v>
      </c>
      <c r="OOT17" s="310" t="s">
        <v>201</v>
      </c>
      <c r="OOU17" s="310" t="s">
        <v>201</v>
      </c>
      <c r="OOV17" s="310" t="s">
        <v>201</v>
      </c>
      <c r="OOW17" s="310" t="s">
        <v>201</v>
      </c>
      <c r="OOX17" s="310" t="s">
        <v>201</v>
      </c>
      <c r="OOY17" s="310" t="s">
        <v>201</v>
      </c>
      <c r="OOZ17" s="310" t="s">
        <v>201</v>
      </c>
      <c r="OPA17" s="310" t="s">
        <v>201</v>
      </c>
      <c r="OPB17" s="310" t="s">
        <v>201</v>
      </c>
      <c r="OPC17" s="310" t="s">
        <v>201</v>
      </c>
      <c r="OPD17" s="310" t="s">
        <v>201</v>
      </c>
      <c r="OPE17" s="310" t="s">
        <v>201</v>
      </c>
      <c r="OPF17" s="310" t="s">
        <v>201</v>
      </c>
      <c r="OPG17" s="310" t="s">
        <v>201</v>
      </c>
      <c r="OPH17" s="310" t="s">
        <v>201</v>
      </c>
      <c r="OPI17" s="310" t="s">
        <v>201</v>
      </c>
      <c r="OPJ17" s="310" t="s">
        <v>201</v>
      </c>
      <c r="OPK17" s="310" t="s">
        <v>201</v>
      </c>
      <c r="OPL17" s="310" t="s">
        <v>201</v>
      </c>
      <c r="OPM17" s="310" t="s">
        <v>201</v>
      </c>
      <c r="OPN17" s="310" t="s">
        <v>201</v>
      </c>
      <c r="OPO17" s="310" t="s">
        <v>201</v>
      </c>
      <c r="OPP17" s="310" t="s">
        <v>201</v>
      </c>
      <c r="OPQ17" s="310" t="s">
        <v>201</v>
      </c>
      <c r="OPR17" s="310" t="s">
        <v>201</v>
      </c>
      <c r="OPS17" s="310" t="s">
        <v>201</v>
      </c>
      <c r="OPT17" s="310" t="s">
        <v>201</v>
      </c>
      <c r="OPU17" s="310" t="s">
        <v>201</v>
      </c>
      <c r="OPV17" s="310" t="s">
        <v>201</v>
      </c>
      <c r="OPW17" s="310" t="s">
        <v>201</v>
      </c>
      <c r="OPX17" s="310" t="s">
        <v>201</v>
      </c>
      <c r="OPY17" s="310" t="s">
        <v>201</v>
      </c>
      <c r="OPZ17" s="310" t="s">
        <v>201</v>
      </c>
      <c r="OQA17" s="310" t="s">
        <v>201</v>
      </c>
      <c r="OQB17" s="310" t="s">
        <v>201</v>
      </c>
      <c r="OQC17" s="310" t="s">
        <v>201</v>
      </c>
      <c r="OQD17" s="310" t="s">
        <v>201</v>
      </c>
      <c r="OQE17" s="310" t="s">
        <v>201</v>
      </c>
      <c r="OQF17" s="310" t="s">
        <v>201</v>
      </c>
      <c r="OQG17" s="310" t="s">
        <v>201</v>
      </c>
      <c r="OQH17" s="310" t="s">
        <v>201</v>
      </c>
      <c r="OQI17" s="310" t="s">
        <v>201</v>
      </c>
      <c r="OQJ17" s="310" t="s">
        <v>201</v>
      </c>
      <c r="OQK17" s="310" t="s">
        <v>201</v>
      </c>
      <c r="OQL17" s="310" t="s">
        <v>201</v>
      </c>
      <c r="OQM17" s="310" t="s">
        <v>201</v>
      </c>
      <c r="OQN17" s="310" t="s">
        <v>201</v>
      </c>
      <c r="OQO17" s="310" t="s">
        <v>201</v>
      </c>
      <c r="OQP17" s="310" t="s">
        <v>201</v>
      </c>
      <c r="OQQ17" s="310" t="s">
        <v>201</v>
      </c>
      <c r="OQR17" s="310" t="s">
        <v>201</v>
      </c>
      <c r="OQS17" s="310" t="s">
        <v>201</v>
      </c>
      <c r="OQT17" s="310" t="s">
        <v>201</v>
      </c>
      <c r="OQU17" s="310" t="s">
        <v>201</v>
      </c>
      <c r="OQV17" s="310" t="s">
        <v>201</v>
      </c>
      <c r="OQW17" s="310" t="s">
        <v>201</v>
      </c>
      <c r="OQX17" s="310" t="s">
        <v>201</v>
      </c>
      <c r="OQY17" s="310" t="s">
        <v>201</v>
      </c>
      <c r="OQZ17" s="310" t="s">
        <v>201</v>
      </c>
      <c r="ORA17" s="310" t="s">
        <v>201</v>
      </c>
      <c r="ORB17" s="310" t="s">
        <v>201</v>
      </c>
      <c r="ORC17" s="310" t="s">
        <v>201</v>
      </c>
      <c r="ORD17" s="310" t="s">
        <v>201</v>
      </c>
      <c r="ORE17" s="310" t="s">
        <v>201</v>
      </c>
      <c r="ORF17" s="310" t="s">
        <v>201</v>
      </c>
      <c r="ORG17" s="310" t="s">
        <v>201</v>
      </c>
      <c r="ORH17" s="310" t="s">
        <v>201</v>
      </c>
      <c r="ORI17" s="310" t="s">
        <v>201</v>
      </c>
      <c r="ORJ17" s="310" t="s">
        <v>201</v>
      </c>
      <c r="ORK17" s="310" t="s">
        <v>201</v>
      </c>
      <c r="ORL17" s="310" t="s">
        <v>201</v>
      </c>
      <c r="ORM17" s="310" t="s">
        <v>201</v>
      </c>
      <c r="ORN17" s="310" t="s">
        <v>201</v>
      </c>
      <c r="ORO17" s="310" t="s">
        <v>201</v>
      </c>
      <c r="ORP17" s="310" t="s">
        <v>201</v>
      </c>
      <c r="ORQ17" s="310" t="s">
        <v>201</v>
      </c>
      <c r="ORR17" s="310" t="s">
        <v>201</v>
      </c>
      <c r="ORS17" s="310" t="s">
        <v>201</v>
      </c>
      <c r="ORT17" s="310" t="s">
        <v>201</v>
      </c>
      <c r="ORU17" s="310" t="s">
        <v>201</v>
      </c>
      <c r="ORV17" s="310" t="s">
        <v>201</v>
      </c>
      <c r="ORW17" s="310" t="s">
        <v>201</v>
      </c>
      <c r="ORX17" s="310" t="s">
        <v>201</v>
      </c>
      <c r="ORY17" s="310" t="s">
        <v>201</v>
      </c>
      <c r="ORZ17" s="310" t="s">
        <v>201</v>
      </c>
      <c r="OSA17" s="310" t="s">
        <v>201</v>
      </c>
      <c r="OSB17" s="310" t="s">
        <v>201</v>
      </c>
      <c r="OSC17" s="310" t="s">
        <v>201</v>
      </c>
      <c r="OSD17" s="310" t="s">
        <v>201</v>
      </c>
      <c r="OSE17" s="310" t="s">
        <v>201</v>
      </c>
      <c r="OSF17" s="310" t="s">
        <v>201</v>
      </c>
      <c r="OSG17" s="310" t="s">
        <v>201</v>
      </c>
      <c r="OSH17" s="310" t="s">
        <v>201</v>
      </c>
      <c r="OSI17" s="310" t="s">
        <v>201</v>
      </c>
      <c r="OSJ17" s="310" t="s">
        <v>201</v>
      </c>
      <c r="OSK17" s="310" t="s">
        <v>201</v>
      </c>
      <c r="OSL17" s="310" t="s">
        <v>201</v>
      </c>
      <c r="OSM17" s="310" t="s">
        <v>201</v>
      </c>
      <c r="OSN17" s="310" t="s">
        <v>201</v>
      </c>
      <c r="OSO17" s="310" t="s">
        <v>201</v>
      </c>
      <c r="OSP17" s="310" t="s">
        <v>201</v>
      </c>
      <c r="OSQ17" s="310" t="s">
        <v>201</v>
      </c>
      <c r="OSR17" s="310" t="s">
        <v>201</v>
      </c>
      <c r="OSS17" s="310" t="s">
        <v>201</v>
      </c>
      <c r="OST17" s="310" t="s">
        <v>201</v>
      </c>
      <c r="OSU17" s="310" t="s">
        <v>201</v>
      </c>
      <c r="OSV17" s="310" t="s">
        <v>201</v>
      </c>
      <c r="OSW17" s="310" t="s">
        <v>201</v>
      </c>
      <c r="OSX17" s="310" t="s">
        <v>201</v>
      </c>
      <c r="OSY17" s="310" t="s">
        <v>201</v>
      </c>
      <c r="OSZ17" s="310" t="s">
        <v>201</v>
      </c>
      <c r="OTA17" s="310" t="s">
        <v>201</v>
      </c>
      <c r="OTB17" s="310" t="s">
        <v>201</v>
      </c>
      <c r="OTC17" s="310" t="s">
        <v>201</v>
      </c>
      <c r="OTD17" s="310" t="s">
        <v>201</v>
      </c>
      <c r="OTE17" s="310" t="s">
        <v>201</v>
      </c>
      <c r="OTF17" s="310" t="s">
        <v>201</v>
      </c>
      <c r="OTG17" s="310" t="s">
        <v>201</v>
      </c>
      <c r="OTH17" s="310" t="s">
        <v>201</v>
      </c>
      <c r="OTI17" s="310" t="s">
        <v>201</v>
      </c>
      <c r="OTJ17" s="310" t="s">
        <v>201</v>
      </c>
      <c r="OTK17" s="310" t="s">
        <v>201</v>
      </c>
      <c r="OTL17" s="310" t="s">
        <v>201</v>
      </c>
      <c r="OTM17" s="310" t="s">
        <v>201</v>
      </c>
      <c r="OTN17" s="310" t="s">
        <v>201</v>
      </c>
      <c r="OTO17" s="310" t="s">
        <v>201</v>
      </c>
      <c r="OTP17" s="310" t="s">
        <v>201</v>
      </c>
      <c r="OTQ17" s="310" t="s">
        <v>201</v>
      </c>
      <c r="OTR17" s="310" t="s">
        <v>201</v>
      </c>
      <c r="OTS17" s="310" t="s">
        <v>201</v>
      </c>
      <c r="OTT17" s="310" t="s">
        <v>201</v>
      </c>
      <c r="OTU17" s="310" t="s">
        <v>201</v>
      </c>
      <c r="OTV17" s="310" t="s">
        <v>201</v>
      </c>
      <c r="OTW17" s="310" t="s">
        <v>201</v>
      </c>
      <c r="OTX17" s="310" t="s">
        <v>201</v>
      </c>
      <c r="OTY17" s="310" t="s">
        <v>201</v>
      </c>
      <c r="OTZ17" s="310" t="s">
        <v>201</v>
      </c>
      <c r="OUA17" s="310" t="s">
        <v>201</v>
      </c>
      <c r="OUB17" s="310" t="s">
        <v>201</v>
      </c>
      <c r="OUC17" s="310" t="s">
        <v>201</v>
      </c>
      <c r="OUD17" s="310" t="s">
        <v>201</v>
      </c>
      <c r="OUE17" s="310" t="s">
        <v>201</v>
      </c>
      <c r="OUF17" s="310" t="s">
        <v>201</v>
      </c>
      <c r="OUG17" s="310" t="s">
        <v>201</v>
      </c>
      <c r="OUH17" s="310" t="s">
        <v>201</v>
      </c>
      <c r="OUI17" s="310" t="s">
        <v>201</v>
      </c>
      <c r="OUJ17" s="310" t="s">
        <v>201</v>
      </c>
      <c r="OUK17" s="310" t="s">
        <v>201</v>
      </c>
      <c r="OUL17" s="310" t="s">
        <v>201</v>
      </c>
      <c r="OUM17" s="310" t="s">
        <v>201</v>
      </c>
      <c r="OUN17" s="310" t="s">
        <v>201</v>
      </c>
      <c r="OUO17" s="310" t="s">
        <v>201</v>
      </c>
      <c r="OUP17" s="310" t="s">
        <v>201</v>
      </c>
      <c r="OUQ17" s="310" t="s">
        <v>201</v>
      </c>
      <c r="OUR17" s="310" t="s">
        <v>201</v>
      </c>
      <c r="OUS17" s="310" t="s">
        <v>201</v>
      </c>
      <c r="OUT17" s="310" t="s">
        <v>201</v>
      </c>
      <c r="OUU17" s="310" t="s">
        <v>201</v>
      </c>
      <c r="OUV17" s="310" t="s">
        <v>201</v>
      </c>
      <c r="OUW17" s="310" t="s">
        <v>201</v>
      </c>
      <c r="OUX17" s="310" t="s">
        <v>201</v>
      </c>
      <c r="OUY17" s="310" t="s">
        <v>201</v>
      </c>
      <c r="OUZ17" s="310" t="s">
        <v>201</v>
      </c>
      <c r="OVA17" s="310" t="s">
        <v>201</v>
      </c>
      <c r="OVB17" s="310" t="s">
        <v>201</v>
      </c>
      <c r="OVC17" s="310" t="s">
        <v>201</v>
      </c>
      <c r="OVD17" s="310" t="s">
        <v>201</v>
      </c>
      <c r="OVE17" s="310" t="s">
        <v>201</v>
      </c>
      <c r="OVF17" s="310" t="s">
        <v>201</v>
      </c>
      <c r="OVG17" s="310" t="s">
        <v>201</v>
      </c>
      <c r="OVH17" s="310" t="s">
        <v>201</v>
      </c>
      <c r="OVI17" s="310" t="s">
        <v>201</v>
      </c>
      <c r="OVJ17" s="310" t="s">
        <v>201</v>
      </c>
      <c r="OVK17" s="310" t="s">
        <v>201</v>
      </c>
      <c r="OVL17" s="310" t="s">
        <v>201</v>
      </c>
      <c r="OVM17" s="310" t="s">
        <v>201</v>
      </c>
      <c r="OVN17" s="310" t="s">
        <v>201</v>
      </c>
      <c r="OVO17" s="310" t="s">
        <v>201</v>
      </c>
      <c r="OVP17" s="310" t="s">
        <v>201</v>
      </c>
      <c r="OVQ17" s="310" t="s">
        <v>201</v>
      </c>
      <c r="OVR17" s="310" t="s">
        <v>201</v>
      </c>
      <c r="OVS17" s="310" t="s">
        <v>201</v>
      </c>
      <c r="OVT17" s="310" t="s">
        <v>201</v>
      </c>
      <c r="OVU17" s="310" t="s">
        <v>201</v>
      </c>
      <c r="OVV17" s="310" t="s">
        <v>201</v>
      </c>
      <c r="OVW17" s="310" t="s">
        <v>201</v>
      </c>
      <c r="OVX17" s="310" t="s">
        <v>201</v>
      </c>
      <c r="OVY17" s="310" t="s">
        <v>201</v>
      </c>
      <c r="OVZ17" s="310" t="s">
        <v>201</v>
      </c>
      <c r="OWA17" s="310" t="s">
        <v>201</v>
      </c>
      <c r="OWB17" s="310" t="s">
        <v>201</v>
      </c>
      <c r="OWC17" s="310" t="s">
        <v>201</v>
      </c>
      <c r="OWD17" s="310" t="s">
        <v>201</v>
      </c>
      <c r="OWE17" s="310" t="s">
        <v>201</v>
      </c>
      <c r="OWF17" s="310" t="s">
        <v>201</v>
      </c>
      <c r="OWG17" s="310" t="s">
        <v>201</v>
      </c>
      <c r="OWH17" s="310" t="s">
        <v>201</v>
      </c>
      <c r="OWI17" s="310" t="s">
        <v>201</v>
      </c>
      <c r="OWJ17" s="310" t="s">
        <v>201</v>
      </c>
      <c r="OWK17" s="310" t="s">
        <v>201</v>
      </c>
      <c r="OWL17" s="310" t="s">
        <v>201</v>
      </c>
      <c r="OWM17" s="310" t="s">
        <v>201</v>
      </c>
      <c r="OWN17" s="310" t="s">
        <v>201</v>
      </c>
      <c r="OWO17" s="310" t="s">
        <v>201</v>
      </c>
      <c r="OWP17" s="310" t="s">
        <v>201</v>
      </c>
      <c r="OWQ17" s="310" t="s">
        <v>201</v>
      </c>
      <c r="OWR17" s="310" t="s">
        <v>201</v>
      </c>
      <c r="OWS17" s="310" t="s">
        <v>201</v>
      </c>
      <c r="OWT17" s="310" t="s">
        <v>201</v>
      </c>
      <c r="OWU17" s="310" t="s">
        <v>201</v>
      </c>
      <c r="OWV17" s="310" t="s">
        <v>201</v>
      </c>
      <c r="OWW17" s="310" t="s">
        <v>201</v>
      </c>
      <c r="OWX17" s="310" t="s">
        <v>201</v>
      </c>
      <c r="OWY17" s="310" t="s">
        <v>201</v>
      </c>
      <c r="OWZ17" s="310" t="s">
        <v>201</v>
      </c>
      <c r="OXA17" s="310" t="s">
        <v>201</v>
      </c>
      <c r="OXB17" s="310" t="s">
        <v>201</v>
      </c>
      <c r="OXC17" s="310" t="s">
        <v>201</v>
      </c>
      <c r="OXD17" s="310" t="s">
        <v>201</v>
      </c>
      <c r="OXE17" s="310" t="s">
        <v>201</v>
      </c>
      <c r="OXF17" s="310" t="s">
        <v>201</v>
      </c>
      <c r="OXG17" s="310" t="s">
        <v>201</v>
      </c>
      <c r="OXH17" s="310" t="s">
        <v>201</v>
      </c>
      <c r="OXI17" s="310" t="s">
        <v>201</v>
      </c>
      <c r="OXJ17" s="310" t="s">
        <v>201</v>
      </c>
      <c r="OXK17" s="310" t="s">
        <v>201</v>
      </c>
      <c r="OXL17" s="310" t="s">
        <v>201</v>
      </c>
      <c r="OXM17" s="310" t="s">
        <v>201</v>
      </c>
      <c r="OXN17" s="310" t="s">
        <v>201</v>
      </c>
      <c r="OXO17" s="310" t="s">
        <v>201</v>
      </c>
      <c r="OXP17" s="310" t="s">
        <v>201</v>
      </c>
      <c r="OXQ17" s="310" t="s">
        <v>201</v>
      </c>
      <c r="OXR17" s="310" t="s">
        <v>201</v>
      </c>
      <c r="OXS17" s="310" t="s">
        <v>201</v>
      </c>
      <c r="OXT17" s="310" t="s">
        <v>201</v>
      </c>
      <c r="OXU17" s="310" t="s">
        <v>201</v>
      </c>
      <c r="OXV17" s="310" t="s">
        <v>201</v>
      </c>
      <c r="OXW17" s="310" t="s">
        <v>201</v>
      </c>
      <c r="OXX17" s="310" t="s">
        <v>201</v>
      </c>
      <c r="OXY17" s="310" t="s">
        <v>201</v>
      </c>
      <c r="OXZ17" s="310" t="s">
        <v>201</v>
      </c>
      <c r="OYA17" s="310" t="s">
        <v>201</v>
      </c>
      <c r="OYB17" s="310" t="s">
        <v>201</v>
      </c>
      <c r="OYC17" s="310" t="s">
        <v>201</v>
      </c>
      <c r="OYD17" s="310" t="s">
        <v>201</v>
      </c>
      <c r="OYE17" s="310" t="s">
        <v>201</v>
      </c>
      <c r="OYF17" s="310" t="s">
        <v>201</v>
      </c>
      <c r="OYG17" s="310" t="s">
        <v>201</v>
      </c>
      <c r="OYH17" s="310" t="s">
        <v>201</v>
      </c>
      <c r="OYI17" s="310" t="s">
        <v>201</v>
      </c>
      <c r="OYJ17" s="310" t="s">
        <v>201</v>
      </c>
      <c r="OYK17" s="310" t="s">
        <v>201</v>
      </c>
      <c r="OYL17" s="310" t="s">
        <v>201</v>
      </c>
      <c r="OYM17" s="310" t="s">
        <v>201</v>
      </c>
      <c r="OYN17" s="310" t="s">
        <v>201</v>
      </c>
      <c r="OYO17" s="310" t="s">
        <v>201</v>
      </c>
      <c r="OYP17" s="310" t="s">
        <v>201</v>
      </c>
      <c r="OYQ17" s="310" t="s">
        <v>201</v>
      </c>
      <c r="OYR17" s="310" t="s">
        <v>201</v>
      </c>
      <c r="OYS17" s="310" t="s">
        <v>201</v>
      </c>
      <c r="OYT17" s="310" t="s">
        <v>201</v>
      </c>
      <c r="OYU17" s="310" t="s">
        <v>201</v>
      </c>
      <c r="OYV17" s="310" t="s">
        <v>201</v>
      </c>
      <c r="OYW17" s="310" t="s">
        <v>201</v>
      </c>
      <c r="OYX17" s="310" t="s">
        <v>201</v>
      </c>
      <c r="OYY17" s="310" t="s">
        <v>201</v>
      </c>
      <c r="OYZ17" s="310" t="s">
        <v>201</v>
      </c>
      <c r="OZA17" s="310" t="s">
        <v>201</v>
      </c>
      <c r="OZB17" s="310" t="s">
        <v>201</v>
      </c>
      <c r="OZC17" s="310" t="s">
        <v>201</v>
      </c>
      <c r="OZD17" s="310" t="s">
        <v>201</v>
      </c>
      <c r="OZE17" s="310" t="s">
        <v>201</v>
      </c>
      <c r="OZF17" s="310" t="s">
        <v>201</v>
      </c>
      <c r="OZG17" s="310" t="s">
        <v>201</v>
      </c>
      <c r="OZH17" s="310" t="s">
        <v>201</v>
      </c>
      <c r="OZI17" s="310" t="s">
        <v>201</v>
      </c>
      <c r="OZJ17" s="310" t="s">
        <v>201</v>
      </c>
      <c r="OZK17" s="310" t="s">
        <v>201</v>
      </c>
      <c r="OZL17" s="310" t="s">
        <v>201</v>
      </c>
      <c r="OZM17" s="310" t="s">
        <v>201</v>
      </c>
      <c r="OZN17" s="310" t="s">
        <v>201</v>
      </c>
      <c r="OZO17" s="310" t="s">
        <v>201</v>
      </c>
      <c r="OZP17" s="310" t="s">
        <v>201</v>
      </c>
      <c r="OZQ17" s="310" t="s">
        <v>201</v>
      </c>
      <c r="OZR17" s="310" t="s">
        <v>201</v>
      </c>
      <c r="OZS17" s="310" t="s">
        <v>201</v>
      </c>
      <c r="OZT17" s="310" t="s">
        <v>201</v>
      </c>
      <c r="OZU17" s="310" t="s">
        <v>201</v>
      </c>
      <c r="OZV17" s="310" t="s">
        <v>201</v>
      </c>
      <c r="OZW17" s="310" t="s">
        <v>201</v>
      </c>
      <c r="OZX17" s="310" t="s">
        <v>201</v>
      </c>
      <c r="OZY17" s="310" t="s">
        <v>201</v>
      </c>
      <c r="OZZ17" s="310" t="s">
        <v>201</v>
      </c>
      <c r="PAA17" s="310" t="s">
        <v>201</v>
      </c>
      <c r="PAB17" s="310" t="s">
        <v>201</v>
      </c>
      <c r="PAC17" s="310" t="s">
        <v>201</v>
      </c>
      <c r="PAD17" s="310" t="s">
        <v>201</v>
      </c>
      <c r="PAE17" s="310" t="s">
        <v>201</v>
      </c>
      <c r="PAF17" s="310" t="s">
        <v>201</v>
      </c>
      <c r="PAG17" s="310" t="s">
        <v>201</v>
      </c>
      <c r="PAH17" s="310" t="s">
        <v>201</v>
      </c>
      <c r="PAI17" s="310" t="s">
        <v>201</v>
      </c>
      <c r="PAJ17" s="310" t="s">
        <v>201</v>
      </c>
      <c r="PAK17" s="310" t="s">
        <v>201</v>
      </c>
      <c r="PAL17" s="310" t="s">
        <v>201</v>
      </c>
      <c r="PAM17" s="310" t="s">
        <v>201</v>
      </c>
      <c r="PAN17" s="310" t="s">
        <v>201</v>
      </c>
      <c r="PAO17" s="310" t="s">
        <v>201</v>
      </c>
      <c r="PAP17" s="310" t="s">
        <v>201</v>
      </c>
      <c r="PAQ17" s="310" t="s">
        <v>201</v>
      </c>
      <c r="PAR17" s="310" t="s">
        <v>201</v>
      </c>
      <c r="PAS17" s="310" t="s">
        <v>201</v>
      </c>
      <c r="PAT17" s="310" t="s">
        <v>201</v>
      </c>
      <c r="PAU17" s="310" t="s">
        <v>201</v>
      </c>
      <c r="PAV17" s="310" t="s">
        <v>201</v>
      </c>
      <c r="PAW17" s="310" t="s">
        <v>201</v>
      </c>
      <c r="PAX17" s="310" t="s">
        <v>201</v>
      </c>
      <c r="PAY17" s="310" t="s">
        <v>201</v>
      </c>
      <c r="PAZ17" s="310" t="s">
        <v>201</v>
      </c>
      <c r="PBA17" s="310" t="s">
        <v>201</v>
      </c>
      <c r="PBB17" s="310" t="s">
        <v>201</v>
      </c>
      <c r="PBC17" s="310" t="s">
        <v>201</v>
      </c>
      <c r="PBD17" s="310" t="s">
        <v>201</v>
      </c>
      <c r="PBE17" s="310" t="s">
        <v>201</v>
      </c>
      <c r="PBF17" s="310" t="s">
        <v>201</v>
      </c>
      <c r="PBG17" s="310" t="s">
        <v>201</v>
      </c>
      <c r="PBH17" s="310" t="s">
        <v>201</v>
      </c>
      <c r="PBI17" s="310" t="s">
        <v>201</v>
      </c>
      <c r="PBJ17" s="310" t="s">
        <v>201</v>
      </c>
      <c r="PBK17" s="310" t="s">
        <v>201</v>
      </c>
      <c r="PBL17" s="310" t="s">
        <v>201</v>
      </c>
      <c r="PBM17" s="310" t="s">
        <v>201</v>
      </c>
      <c r="PBN17" s="310" t="s">
        <v>201</v>
      </c>
      <c r="PBO17" s="310" t="s">
        <v>201</v>
      </c>
      <c r="PBP17" s="310" t="s">
        <v>201</v>
      </c>
      <c r="PBQ17" s="310" t="s">
        <v>201</v>
      </c>
      <c r="PBR17" s="310" t="s">
        <v>201</v>
      </c>
      <c r="PBS17" s="310" t="s">
        <v>201</v>
      </c>
      <c r="PBT17" s="310" t="s">
        <v>201</v>
      </c>
      <c r="PBU17" s="310" t="s">
        <v>201</v>
      </c>
      <c r="PBV17" s="310" t="s">
        <v>201</v>
      </c>
      <c r="PBW17" s="310" t="s">
        <v>201</v>
      </c>
      <c r="PBX17" s="310" t="s">
        <v>201</v>
      </c>
      <c r="PBY17" s="310" t="s">
        <v>201</v>
      </c>
      <c r="PBZ17" s="310" t="s">
        <v>201</v>
      </c>
      <c r="PCA17" s="310" t="s">
        <v>201</v>
      </c>
      <c r="PCB17" s="310" t="s">
        <v>201</v>
      </c>
      <c r="PCC17" s="310" t="s">
        <v>201</v>
      </c>
      <c r="PCD17" s="310" t="s">
        <v>201</v>
      </c>
      <c r="PCE17" s="310" t="s">
        <v>201</v>
      </c>
      <c r="PCF17" s="310" t="s">
        <v>201</v>
      </c>
      <c r="PCG17" s="310" t="s">
        <v>201</v>
      </c>
      <c r="PCH17" s="310" t="s">
        <v>201</v>
      </c>
      <c r="PCI17" s="310" t="s">
        <v>201</v>
      </c>
      <c r="PCJ17" s="310" t="s">
        <v>201</v>
      </c>
      <c r="PCK17" s="310" t="s">
        <v>201</v>
      </c>
      <c r="PCL17" s="310" t="s">
        <v>201</v>
      </c>
      <c r="PCM17" s="310" t="s">
        <v>201</v>
      </c>
      <c r="PCN17" s="310" t="s">
        <v>201</v>
      </c>
      <c r="PCO17" s="310" t="s">
        <v>201</v>
      </c>
      <c r="PCP17" s="310" t="s">
        <v>201</v>
      </c>
      <c r="PCQ17" s="310" t="s">
        <v>201</v>
      </c>
      <c r="PCR17" s="310" t="s">
        <v>201</v>
      </c>
      <c r="PCS17" s="310" t="s">
        <v>201</v>
      </c>
      <c r="PCT17" s="310" t="s">
        <v>201</v>
      </c>
      <c r="PCU17" s="310" t="s">
        <v>201</v>
      </c>
      <c r="PCV17" s="310" t="s">
        <v>201</v>
      </c>
      <c r="PCW17" s="310" t="s">
        <v>201</v>
      </c>
      <c r="PCX17" s="310" t="s">
        <v>201</v>
      </c>
      <c r="PCY17" s="310" t="s">
        <v>201</v>
      </c>
      <c r="PCZ17" s="310" t="s">
        <v>201</v>
      </c>
      <c r="PDA17" s="310" t="s">
        <v>201</v>
      </c>
      <c r="PDB17" s="310" t="s">
        <v>201</v>
      </c>
      <c r="PDC17" s="310" t="s">
        <v>201</v>
      </c>
      <c r="PDD17" s="310" t="s">
        <v>201</v>
      </c>
      <c r="PDE17" s="310" t="s">
        <v>201</v>
      </c>
      <c r="PDF17" s="310" t="s">
        <v>201</v>
      </c>
      <c r="PDG17" s="310" t="s">
        <v>201</v>
      </c>
      <c r="PDH17" s="310" t="s">
        <v>201</v>
      </c>
      <c r="PDI17" s="310" t="s">
        <v>201</v>
      </c>
      <c r="PDJ17" s="310" t="s">
        <v>201</v>
      </c>
      <c r="PDK17" s="310" t="s">
        <v>201</v>
      </c>
      <c r="PDL17" s="310" t="s">
        <v>201</v>
      </c>
      <c r="PDM17" s="310" t="s">
        <v>201</v>
      </c>
      <c r="PDN17" s="310" t="s">
        <v>201</v>
      </c>
      <c r="PDO17" s="310" t="s">
        <v>201</v>
      </c>
      <c r="PDP17" s="310" t="s">
        <v>201</v>
      </c>
      <c r="PDQ17" s="310" t="s">
        <v>201</v>
      </c>
      <c r="PDR17" s="310" t="s">
        <v>201</v>
      </c>
      <c r="PDS17" s="310" t="s">
        <v>201</v>
      </c>
      <c r="PDT17" s="310" t="s">
        <v>201</v>
      </c>
      <c r="PDU17" s="310" t="s">
        <v>201</v>
      </c>
      <c r="PDV17" s="310" t="s">
        <v>201</v>
      </c>
      <c r="PDW17" s="310" t="s">
        <v>201</v>
      </c>
      <c r="PDX17" s="310" t="s">
        <v>201</v>
      </c>
      <c r="PDY17" s="310" t="s">
        <v>201</v>
      </c>
      <c r="PDZ17" s="310" t="s">
        <v>201</v>
      </c>
      <c r="PEA17" s="310" t="s">
        <v>201</v>
      </c>
      <c r="PEB17" s="310" t="s">
        <v>201</v>
      </c>
      <c r="PEC17" s="310" t="s">
        <v>201</v>
      </c>
      <c r="PED17" s="310" t="s">
        <v>201</v>
      </c>
      <c r="PEE17" s="310" t="s">
        <v>201</v>
      </c>
      <c r="PEF17" s="310" t="s">
        <v>201</v>
      </c>
      <c r="PEG17" s="310" t="s">
        <v>201</v>
      </c>
      <c r="PEH17" s="310" t="s">
        <v>201</v>
      </c>
      <c r="PEI17" s="310" t="s">
        <v>201</v>
      </c>
      <c r="PEJ17" s="310" t="s">
        <v>201</v>
      </c>
      <c r="PEK17" s="310" t="s">
        <v>201</v>
      </c>
      <c r="PEL17" s="310" t="s">
        <v>201</v>
      </c>
      <c r="PEM17" s="310" t="s">
        <v>201</v>
      </c>
      <c r="PEN17" s="310" t="s">
        <v>201</v>
      </c>
      <c r="PEO17" s="310" t="s">
        <v>201</v>
      </c>
      <c r="PEP17" s="310" t="s">
        <v>201</v>
      </c>
      <c r="PEQ17" s="310" t="s">
        <v>201</v>
      </c>
      <c r="PER17" s="310" t="s">
        <v>201</v>
      </c>
      <c r="PES17" s="310" t="s">
        <v>201</v>
      </c>
      <c r="PET17" s="310" t="s">
        <v>201</v>
      </c>
      <c r="PEU17" s="310" t="s">
        <v>201</v>
      </c>
      <c r="PEV17" s="310" t="s">
        <v>201</v>
      </c>
      <c r="PEW17" s="310" t="s">
        <v>201</v>
      </c>
      <c r="PEX17" s="310" t="s">
        <v>201</v>
      </c>
      <c r="PEY17" s="310" t="s">
        <v>201</v>
      </c>
      <c r="PEZ17" s="310" t="s">
        <v>201</v>
      </c>
      <c r="PFA17" s="310" t="s">
        <v>201</v>
      </c>
      <c r="PFB17" s="310" t="s">
        <v>201</v>
      </c>
      <c r="PFC17" s="310" t="s">
        <v>201</v>
      </c>
      <c r="PFD17" s="310" t="s">
        <v>201</v>
      </c>
      <c r="PFE17" s="310" t="s">
        <v>201</v>
      </c>
      <c r="PFF17" s="310" t="s">
        <v>201</v>
      </c>
      <c r="PFG17" s="310" t="s">
        <v>201</v>
      </c>
      <c r="PFH17" s="310" t="s">
        <v>201</v>
      </c>
      <c r="PFI17" s="310" t="s">
        <v>201</v>
      </c>
      <c r="PFJ17" s="310" t="s">
        <v>201</v>
      </c>
      <c r="PFK17" s="310" t="s">
        <v>201</v>
      </c>
      <c r="PFL17" s="310" t="s">
        <v>201</v>
      </c>
      <c r="PFM17" s="310" t="s">
        <v>201</v>
      </c>
      <c r="PFN17" s="310" t="s">
        <v>201</v>
      </c>
      <c r="PFO17" s="310" t="s">
        <v>201</v>
      </c>
      <c r="PFP17" s="310" t="s">
        <v>201</v>
      </c>
      <c r="PFQ17" s="310" t="s">
        <v>201</v>
      </c>
      <c r="PFR17" s="310" t="s">
        <v>201</v>
      </c>
      <c r="PFS17" s="310" t="s">
        <v>201</v>
      </c>
      <c r="PFT17" s="310" t="s">
        <v>201</v>
      </c>
      <c r="PFU17" s="310" t="s">
        <v>201</v>
      </c>
      <c r="PFV17" s="310" t="s">
        <v>201</v>
      </c>
      <c r="PFW17" s="310" t="s">
        <v>201</v>
      </c>
      <c r="PFX17" s="310" t="s">
        <v>201</v>
      </c>
      <c r="PFY17" s="310" t="s">
        <v>201</v>
      </c>
      <c r="PFZ17" s="310" t="s">
        <v>201</v>
      </c>
      <c r="PGA17" s="310" t="s">
        <v>201</v>
      </c>
      <c r="PGB17" s="310" t="s">
        <v>201</v>
      </c>
      <c r="PGC17" s="310" t="s">
        <v>201</v>
      </c>
      <c r="PGD17" s="310" t="s">
        <v>201</v>
      </c>
      <c r="PGE17" s="310" t="s">
        <v>201</v>
      </c>
      <c r="PGF17" s="310" t="s">
        <v>201</v>
      </c>
      <c r="PGG17" s="310" t="s">
        <v>201</v>
      </c>
      <c r="PGH17" s="310" t="s">
        <v>201</v>
      </c>
      <c r="PGI17" s="310" t="s">
        <v>201</v>
      </c>
      <c r="PGJ17" s="310" t="s">
        <v>201</v>
      </c>
      <c r="PGK17" s="310" t="s">
        <v>201</v>
      </c>
      <c r="PGL17" s="310" t="s">
        <v>201</v>
      </c>
      <c r="PGM17" s="310" t="s">
        <v>201</v>
      </c>
      <c r="PGN17" s="310" t="s">
        <v>201</v>
      </c>
      <c r="PGO17" s="310" t="s">
        <v>201</v>
      </c>
      <c r="PGP17" s="310" t="s">
        <v>201</v>
      </c>
      <c r="PGQ17" s="310" t="s">
        <v>201</v>
      </c>
      <c r="PGR17" s="310" t="s">
        <v>201</v>
      </c>
      <c r="PGS17" s="310" t="s">
        <v>201</v>
      </c>
      <c r="PGT17" s="310" t="s">
        <v>201</v>
      </c>
      <c r="PGU17" s="310" t="s">
        <v>201</v>
      </c>
      <c r="PGV17" s="310" t="s">
        <v>201</v>
      </c>
      <c r="PGW17" s="310" t="s">
        <v>201</v>
      </c>
      <c r="PGX17" s="310" t="s">
        <v>201</v>
      </c>
      <c r="PGY17" s="310" t="s">
        <v>201</v>
      </c>
      <c r="PGZ17" s="310" t="s">
        <v>201</v>
      </c>
      <c r="PHA17" s="310" t="s">
        <v>201</v>
      </c>
      <c r="PHB17" s="310" t="s">
        <v>201</v>
      </c>
      <c r="PHC17" s="310" t="s">
        <v>201</v>
      </c>
      <c r="PHD17" s="310" t="s">
        <v>201</v>
      </c>
      <c r="PHE17" s="310" t="s">
        <v>201</v>
      </c>
      <c r="PHF17" s="310" t="s">
        <v>201</v>
      </c>
      <c r="PHG17" s="310" t="s">
        <v>201</v>
      </c>
      <c r="PHH17" s="310" t="s">
        <v>201</v>
      </c>
      <c r="PHI17" s="310" t="s">
        <v>201</v>
      </c>
      <c r="PHJ17" s="310" t="s">
        <v>201</v>
      </c>
      <c r="PHK17" s="310" t="s">
        <v>201</v>
      </c>
      <c r="PHL17" s="310" t="s">
        <v>201</v>
      </c>
      <c r="PHM17" s="310" t="s">
        <v>201</v>
      </c>
      <c r="PHN17" s="310" t="s">
        <v>201</v>
      </c>
      <c r="PHO17" s="310" t="s">
        <v>201</v>
      </c>
      <c r="PHP17" s="310" t="s">
        <v>201</v>
      </c>
      <c r="PHQ17" s="310" t="s">
        <v>201</v>
      </c>
      <c r="PHR17" s="310" t="s">
        <v>201</v>
      </c>
      <c r="PHS17" s="310" t="s">
        <v>201</v>
      </c>
      <c r="PHT17" s="310" t="s">
        <v>201</v>
      </c>
      <c r="PHU17" s="310" t="s">
        <v>201</v>
      </c>
      <c r="PHV17" s="310" t="s">
        <v>201</v>
      </c>
      <c r="PHW17" s="310" t="s">
        <v>201</v>
      </c>
      <c r="PHX17" s="310" t="s">
        <v>201</v>
      </c>
      <c r="PHY17" s="310" t="s">
        <v>201</v>
      </c>
      <c r="PHZ17" s="310" t="s">
        <v>201</v>
      </c>
      <c r="PIA17" s="310" t="s">
        <v>201</v>
      </c>
      <c r="PIB17" s="310" t="s">
        <v>201</v>
      </c>
      <c r="PIC17" s="310" t="s">
        <v>201</v>
      </c>
      <c r="PID17" s="310" t="s">
        <v>201</v>
      </c>
      <c r="PIE17" s="310" t="s">
        <v>201</v>
      </c>
      <c r="PIF17" s="310" t="s">
        <v>201</v>
      </c>
      <c r="PIG17" s="310" t="s">
        <v>201</v>
      </c>
      <c r="PIH17" s="310" t="s">
        <v>201</v>
      </c>
      <c r="PII17" s="310" t="s">
        <v>201</v>
      </c>
      <c r="PIJ17" s="310" t="s">
        <v>201</v>
      </c>
      <c r="PIK17" s="310" t="s">
        <v>201</v>
      </c>
      <c r="PIL17" s="310" t="s">
        <v>201</v>
      </c>
      <c r="PIM17" s="310" t="s">
        <v>201</v>
      </c>
      <c r="PIN17" s="310" t="s">
        <v>201</v>
      </c>
      <c r="PIO17" s="310" t="s">
        <v>201</v>
      </c>
      <c r="PIP17" s="310" t="s">
        <v>201</v>
      </c>
      <c r="PIQ17" s="310" t="s">
        <v>201</v>
      </c>
      <c r="PIR17" s="310" t="s">
        <v>201</v>
      </c>
      <c r="PIS17" s="310" t="s">
        <v>201</v>
      </c>
      <c r="PIT17" s="310" t="s">
        <v>201</v>
      </c>
      <c r="PIU17" s="310" t="s">
        <v>201</v>
      </c>
      <c r="PIV17" s="310" t="s">
        <v>201</v>
      </c>
      <c r="PIW17" s="310" t="s">
        <v>201</v>
      </c>
      <c r="PIX17" s="310" t="s">
        <v>201</v>
      </c>
      <c r="PIY17" s="310" t="s">
        <v>201</v>
      </c>
      <c r="PIZ17" s="310" t="s">
        <v>201</v>
      </c>
      <c r="PJA17" s="310" t="s">
        <v>201</v>
      </c>
      <c r="PJB17" s="310" t="s">
        <v>201</v>
      </c>
      <c r="PJC17" s="310" t="s">
        <v>201</v>
      </c>
      <c r="PJD17" s="310" t="s">
        <v>201</v>
      </c>
      <c r="PJE17" s="310" t="s">
        <v>201</v>
      </c>
      <c r="PJF17" s="310" t="s">
        <v>201</v>
      </c>
      <c r="PJG17" s="310" t="s">
        <v>201</v>
      </c>
      <c r="PJH17" s="310" t="s">
        <v>201</v>
      </c>
      <c r="PJI17" s="310" t="s">
        <v>201</v>
      </c>
      <c r="PJJ17" s="310" t="s">
        <v>201</v>
      </c>
      <c r="PJK17" s="310" t="s">
        <v>201</v>
      </c>
      <c r="PJL17" s="310" t="s">
        <v>201</v>
      </c>
      <c r="PJM17" s="310" t="s">
        <v>201</v>
      </c>
      <c r="PJN17" s="310" t="s">
        <v>201</v>
      </c>
      <c r="PJO17" s="310" t="s">
        <v>201</v>
      </c>
      <c r="PJP17" s="310" t="s">
        <v>201</v>
      </c>
      <c r="PJQ17" s="310" t="s">
        <v>201</v>
      </c>
      <c r="PJR17" s="310" t="s">
        <v>201</v>
      </c>
      <c r="PJS17" s="310" t="s">
        <v>201</v>
      </c>
      <c r="PJT17" s="310" t="s">
        <v>201</v>
      </c>
      <c r="PJU17" s="310" t="s">
        <v>201</v>
      </c>
      <c r="PJV17" s="310" t="s">
        <v>201</v>
      </c>
      <c r="PJW17" s="310" t="s">
        <v>201</v>
      </c>
      <c r="PJX17" s="310" t="s">
        <v>201</v>
      </c>
      <c r="PJY17" s="310" t="s">
        <v>201</v>
      </c>
      <c r="PJZ17" s="310" t="s">
        <v>201</v>
      </c>
      <c r="PKA17" s="310" t="s">
        <v>201</v>
      </c>
      <c r="PKB17" s="310" t="s">
        <v>201</v>
      </c>
      <c r="PKC17" s="310" t="s">
        <v>201</v>
      </c>
      <c r="PKD17" s="310" t="s">
        <v>201</v>
      </c>
      <c r="PKE17" s="310" t="s">
        <v>201</v>
      </c>
      <c r="PKF17" s="310" t="s">
        <v>201</v>
      </c>
      <c r="PKG17" s="310" t="s">
        <v>201</v>
      </c>
      <c r="PKH17" s="310" t="s">
        <v>201</v>
      </c>
      <c r="PKI17" s="310" t="s">
        <v>201</v>
      </c>
      <c r="PKJ17" s="310" t="s">
        <v>201</v>
      </c>
      <c r="PKK17" s="310" t="s">
        <v>201</v>
      </c>
      <c r="PKL17" s="310" t="s">
        <v>201</v>
      </c>
      <c r="PKM17" s="310" t="s">
        <v>201</v>
      </c>
      <c r="PKN17" s="310" t="s">
        <v>201</v>
      </c>
      <c r="PKO17" s="310" t="s">
        <v>201</v>
      </c>
      <c r="PKP17" s="310" t="s">
        <v>201</v>
      </c>
      <c r="PKQ17" s="310" t="s">
        <v>201</v>
      </c>
      <c r="PKR17" s="310" t="s">
        <v>201</v>
      </c>
      <c r="PKS17" s="310" t="s">
        <v>201</v>
      </c>
      <c r="PKT17" s="310" t="s">
        <v>201</v>
      </c>
      <c r="PKU17" s="310" t="s">
        <v>201</v>
      </c>
      <c r="PKV17" s="310" t="s">
        <v>201</v>
      </c>
      <c r="PKW17" s="310" t="s">
        <v>201</v>
      </c>
      <c r="PKX17" s="310" t="s">
        <v>201</v>
      </c>
      <c r="PKY17" s="310" t="s">
        <v>201</v>
      </c>
      <c r="PKZ17" s="310" t="s">
        <v>201</v>
      </c>
      <c r="PLA17" s="310" t="s">
        <v>201</v>
      </c>
      <c r="PLB17" s="310" t="s">
        <v>201</v>
      </c>
      <c r="PLC17" s="310" t="s">
        <v>201</v>
      </c>
      <c r="PLD17" s="310" t="s">
        <v>201</v>
      </c>
      <c r="PLE17" s="310" t="s">
        <v>201</v>
      </c>
      <c r="PLF17" s="310" t="s">
        <v>201</v>
      </c>
      <c r="PLG17" s="310" t="s">
        <v>201</v>
      </c>
      <c r="PLH17" s="310" t="s">
        <v>201</v>
      </c>
      <c r="PLI17" s="310" t="s">
        <v>201</v>
      </c>
      <c r="PLJ17" s="310" t="s">
        <v>201</v>
      </c>
      <c r="PLK17" s="310" t="s">
        <v>201</v>
      </c>
      <c r="PLL17" s="310" t="s">
        <v>201</v>
      </c>
      <c r="PLM17" s="310" t="s">
        <v>201</v>
      </c>
      <c r="PLN17" s="310" t="s">
        <v>201</v>
      </c>
      <c r="PLO17" s="310" t="s">
        <v>201</v>
      </c>
      <c r="PLP17" s="310" t="s">
        <v>201</v>
      </c>
      <c r="PLQ17" s="310" t="s">
        <v>201</v>
      </c>
      <c r="PLR17" s="310" t="s">
        <v>201</v>
      </c>
      <c r="PLS17" s="310" t="s">
        <v>201</v>
      </c>
      <c r="PLT17" s="310" t="s">
        <v>201</v>
      </c>
      <c r="PLU17" s="310" t="s">
        <v>201</v>
      </c>
      <c r="PLV17" s="310" t="s">
        <v>201</v>
      </c>
      <c r="PLW17" s="310" t="s">
        <v>201</v>
      </c>
      <c r="PLX17" s="310" t="s">
        <v>201</v>
      </c>
      <c r="PLY17" s="310" t="s">
        <v>201</v>
      </c>
      <c r="PLZ17" s="310" t="s">
        <v>201</v>
      </c>
      <c r="PMA17" s="310" t="s">
        <v>201</v>
      </c>
      <c r="PMB17" s="310" t="s">
        <v>201</v>
      </c>
      <c r="PMC17" s="310" t="s">
        <v>201</v>
      </c>
      <c r="PMD17" s="310" t="s">
        <v>201</v>
      </c>
      <c r="PME17" s="310" t="s">
        <v>201</v>
      </c>
      <c r="PMF17" s="310" t="s">
        <v>201</v>
      </c>
      <c r="PMG17" s="310" t="s">
        <v>201</v>
      </c>
      <c r="PMH17" s="310" t="s">
        <v>201</v>
      </c>
      <c r="PMI17" s="310" t="s">
        <v>201</v>
      </c>
      <c r="PMJ17" s="310" t="s">
        <v>201</v>
      </c>
      <c r="PMK17" s="310" t="s">
        <v>201</v>
      </c>
      <c r="PML17" s="310" t="s">
        <v>201</v>
      </c>
      <c r="PMM17" s="310" t="s">
        <v>201</v>
      </c>
      <c r="PMN17" s="310" t="s">
        <v>201</v>
      </c>
      <c r="PMO17" s="310" t="s">
        <v>201</v>
      </c>
      <c r="PMP17" s="310" t="s">
        <v>201</v>
      </c>
      <c r="PMQ17" s="310" t="s">
        <v>201</v>
      </c>
      <c r="PMR17" s="310" t="s">
        <v>201</v>
      </c>
      <c r="PMS17" s="310" t="s">
        <v>201</v>
      </c>
      <c r="PMT17" s="310" t="s">
        <v>201</v>
      </c>
      <c r="PMU17" s="310" t="s">
        <v>201</v>
      </c>
      <c r="PMV17" s="310" t="s">
        <v>201</v>
      </c>
      <c r="PMW17" s="310" t="s">
        <v>201</v>
      </c>
      <c r="PMX17" s="310" t="s">
        <v>201</v>
      </c>
      <c r="PMY17" s="310" t="s">
        <v>201</v>
      </c>
      <c r="PMZ17" s="310" t="s">
        <v>201</v>
      </c>
      <c r="PNA17" s="310" t="s">
        <v>201</v>
      </c>
      <c r="PNB17" s="310" t="s">
        <v>201</v>
      </c>
      <c r="PNC17" s="310" t="s">
        <v>201</v>
      </c>
      <c r="PND17" s="310" t="s">
        <v>201</v>
      </c>
      <c r="PNE17" s="310" t="s">
        <v>201</v>
      </c>
      <c r="PNF17" s="310" t="s">
        <v>201</v>
      </c>
      <c r="PNG17" s="310" t="s">
        <v>201</v>
      </c>
      <c r="PNH17" s="310" t="s">
        <v>201</v>
      </c>
      <c r="PNI17" s="310" t="s">
        <v>201</v>
      </c>
      <c r="PNJ17" s="310" t="s">
        <v>201</v>
      </c>
      <c r="PNK17" s="310" t="s">
        <v>201</v>
      </c>
      <c r="PNL17" s="310" t="s">
        <v>201</v>
      </c>
      <c r="PNM17" s="310" t="s">
        <v>201</v>
      </c>
      <c r="PNN17" s="310" t="s">
        <v>201</v>
      </c>
      <c r="PNO17" s="310" t="s">
        <v>201</v>
      </c>
      <c r="PNP17" s="310" t="s">
        <v>201</v>
      </c>
      <c r="PNQ17" s="310" t="s">
        <v>201</v>
      </c>
      <c r="PNR17" s="310" t="s">
        <v>201</v>
      </c>
      <c r="PNS17" s="310" t="s">
        <v>201</v>
      </c>
      <c r="PNT17" s="310" t="s">
        <v>201</v>
      </c>
      <c r="PNU17" s="310" t="s">
        <v>201</v>
      </c>
      <c r="PNV17" s="310" t="s">
        <v>201</v>
      </c>
      <c r="PNW17" s="310" t="s">
        <v>201</v>
      </c>
      <c r="PNX17" s="310" t="s">
        <v>201</v>
      </c>
      <c r="PNY17" s="310" t="s">
        <v>201</v>
      </c>
      <c r="PNZ17" s="310" t="s">
        <v>201</v>
      </c>
      <c r="POA17" s="310" t="s">
        <v>201</v>
      </c>
      <c r="POB17" s="310" t="s">
        <v>201</v>
      </c>
      <c r="POC17" s="310" t="s">
        <v>201</v>
      </c>
      <c r="POD17" s="310" t="s">
        <v>201</v>
      </c>
      <c r="POE17" s="310" t="s">
        <v>201</v>
      </c>
      <c r="POF17" s="310" t="s">
        <v>201</v>
      </c>
      <c r="POG17" s="310" t="s">
        <v>201</v>
      </c>
      <c r="POH17" s="310" t="s">
        <v>201</v>
      </c>
      <c r="POI17" s="310" t="s">
        <v>201</v>
      </c>
      <c r="POJ17" s="310" t="s">
        <v>201</v>
      </c>
      <c r="POK17" s="310" t="s">
        <v>201</v>
      </c>
      <c r="POL17" s="310" t="s">
        <v>201</v>
      </c>
      <c r="POM17" s="310" t="s">
        <v>201</v>
      </c>
      <c r="PON17" s="310" t="s">
        <v>201</v>
      </c>
      <c r="POO17" s="310" t="s">
        <v>201</v>
      </c>
      <c r="POP17" s="310" t="s">
        <v>201</v>
      </c>
      <c r="POQ17" s="310" t="s">
        <v>201</v>
      </c>
      <c r="POR17" s="310" t="s">
        <v>201</v>
      </c>
      <c r="POS17" s="310" t="s">
        <v>201</v>
      </c>
      <c r="POT17" s="310" t="s">
        <v>201</v>
      </c>
      <c r="POU17" s="310" t="s">
        <v>201</v>
      </c>
      <c r="POV17" s="310" t="s">
        <v>201</v>
      </c>
      <c r="POW17" s="310" t="s">
        <v>201</v>
      </c>
      <c r="POX17" s="310" t="s">
        <v>201</v>
      </c>
      <c r="POY17" s="310" t="s">
        <v>201</v>
      </c>
      <c r="POZ17" s="310" t="s">
        <v>201</v>
      </c>
      <c r="PPA17" s="310" t="s">
        <v>201</v>
      </c>
      <c r="PPB17" s="310" t="s">
        <v>201</v>
      </c>
      <c r="PPC17" s="310" t="s">
        <v>201</v>
      </c>
      <c r="PPD17" s="310" t="s">
        <v>201</v>
      </c>
      <c r="PPE17" s="310" t="s">
        <v>201</v>
      </c>
      <c r="PPF17" s="310" t="s">
        <v>201</v>
      </c>
      <c r="PPG17" s="310" t="s">
        <v>201</v>
      </c>
      <c r="PPH17" s="310" t="s">
        <v>201</v>
      </c>
      <c r="PPI17" s="310" t="s">
        <v>201</v>
      </c>
      <c r="PPJ17" s="310" t="s">
        <v>201</v>
      </c>
      <c r="PPK17" s="310" t="s">
        <v>201</v>
      </c>
      <c r="PPL17" s="310" t="s">
        <v>201</v>
      </c>
      <c r="PPM17" s="310" t="s">
        <v>201</v>
      </c>
      <c r="PPN17" s="310" t="s">
        <v>201</v>
      </c>
      <c r="PPO17" s="310" t="s">
        <v>201</v>
      </c>
      <c r="PPP17" s="310" t="s">
        <v>201</v>
      </c>
      <c r="PPQ17" s="310" t="s">
        <v>201</v>
      </c>
      <c r="PPR17" s="310" t="s">
        <v>201</v>
      </c>
      <c r="PPS17" s="310" t="s">
        <v>201</v>
      </c>
      <c r="PPT17" s="310" t="s">
        <v>201</v>
      </c>
      <c r="PPU17" s="310" t="s">
        <v>201</v>
      </c>
      <c r="PPV17" s="310" t="s">
        <v>201</v>
      </c>
      <c r="PPW17" s="310" t="s">
        <v>201</v>
      </c>
      <c r="PPX17" s="310" t="s">
        <v>201</v>
      </c>
      <c r="PPY17" s="310" t="s">
        <v>201</v>
      </c>
      <c r="PPZ17" s="310" t="s">
        <v>201</v>
      </c>
      <c r="PQA17" s="310" t="s">
        <v>201</v>
      </c>
      <c r="PQB17" s="310" t="s">
        <v>201</v>
      </c>
      <c r="PQC17" s="310" t="s">
        <v>201</v>
      </c>
      <c r="PQD17" s="310" t="s">
        <v>201</v>
      </c>
      <c r="PQE17" s="310" t="s">
        <v>201</v>
      </c>
      <c r="PQF17" s="310" t="s">
        <v>201</v>
      </c>
      <c r="PQG17" s="310" t="s">
        <v>201</v>
      </c>
      <c r="PQH17" s="310" t="s">
        <v>201</v>
      </c>
      <c r="PQI17" s="310" t="s">
        <v>201</v>
      </c>
      <c r="PQJ17" s="310" t="s">
        <v>201</v>
      </c>
      <c r="PQK17" s="310" t="s">
        <v>201</v>
      </c>
      <c r="PQL17" s="310" t="s">
        <v>201</v>
      </c>
      <c r="PQM17" s="310" t="s">
        <v>201</v>
      </c>
      <c r="PQN17" s="310" t="s">
        <v>201</v>
      </c>
      <c r="PQO17" s="310" t="s">
        <v>201</v>
      </c>
      <c r="PQP17" s="310" t="s">
        <v>201</v>
      </c>
      <c r="PQQ17" s="310" t="s">
        <v>201</v>
      </c>
      <c r="PQR17" s="310" t="s">
        <v>201</v>
      </c>
      <c r="PQS17" s="310" t="s">
        <v>201</v>
      </c>
      <c r="PQT17" s="310" t="s">
        <v>201</v>
      </c>
      <c r="PQU17" s="310" t="s">
        <v>201</v>
      </c>
      <c r="PQV17" s="310" t="s">
        <v>201</v>
      </c>
      <c r="PQW17" s="310" t="s">
        <v>201</v>
      </c>
      <c r="PQX17" s="310" t="s">
        <v>201</v>
      </c>
      <c r="PQY17" s="310" t="s">
        <v>201</v>
      </c>
      <c r="PQZ17" s="310" t="s">
        <v>201</v>
      </c>
      <c r="PRA17" s="310" t="s">
        <v>201</v>
      </c>
      <c r="PRB17" s="310" t="s">
        <v>201</v>
      </c>
      <c r="PRC17" s="310" t="s">
        <v>201</v>
      </c>
      <c r="PRD17" s="310" t="s">
        <v>201</v>
      </c>
      <c r="PRE17" s="310" t="s">
        <v>201</v>
      </c>
      <c r="PRF17" s="310" t="s">
        <v>201</v>
      </c>
      <c r="PRG17" s="310" t="s">
        <v>201</v>
      </c>
      <c r="PRH17" s="310" t="s">
        <v>201</v>
      </c>
      <c r="PRI17" s="310" t="s">
        <v>201</v>
      </c>
      <c r="PRJ17" s="310" t="s">
        <v>201</v>
      </c>
      <c r="PRK17" s="310" t="s">
        <v>201</v>
      </c>
      <c r="PRL17" s="310" t="s">
        <v>201</v>
      </c>
      <c r="PRM17" s="310" t="s">
        <v>201</v>
      </c>
      <c r="PRN17" s="310" t="s">
        <v>201</v>
      </c>
      <c r="PRO17" s="310" t="s">
        <v>201</v>
      </c>
      <c r="PRP17" s="310" t="s">
        <v>201</v>
      </c>
      <c r="PRQ17" s="310" t="s">
        <v>201</v>
      </c>
      <c r="PRR17" s="310" t="s">
        <v>201</v>
      </c>
      <c r="PRS17" s="310" t="s">
        <v>201</v>
      </c>
      <c r="PRT17" s="310" t="s">
        <v>201</v>
      </c>
      <c r="PRU17" s="310" t="s">
        <v>201</v>
      </c>
      <c r="PRV17" s="310" t="s">
        <v>201</v>
      </c>
      <c r="PRW17" s="310" t="s">
        <v>201</v>
      </c>
      <c r="PRX17" s="310" t="s">
        <v>201</v>
      </c>
      <c r="PRY17" s="310" t="s">
        <v>201</v>
      </c>
      <c r="PRZ17" s="310" t="s">
        <v>201</v>
      </c>
      <c r="PSA17" s="310" t="s">
        <v>201</v>
      </c>
      <c r="PSB17" s="310" t="s">
        <v>201</v>
      </c>
      <c r="PSC17" s="310" t="s">
        <v>201</v>
      </c>
      <c r="PSD17" s="310" t="s">
        <v>201</v>
      </c>
      <c r="PSE17" s="310" t="s">
        <v>201</v>
      </c>
      <c r="PSF17" s="310" t="s">
        <v>201</v>
      </c>
      <c r="PSG17" s="310" t="s">
        <v>201</v>
      </c>
      <c r="PSH17" s="310" t="s">
        <v>201</v>
      </c>
      <c r="PSI17" s="310" t="s">
        <v>201</v>
      </c>
      <c r="PSJ17" s="310" t="s">
        <v>201</v>
      </c>
      <c r="PSK17" s="310" t="s">
        <v>201</v>
      </c>
      <c r="PSL17" s="310" t="s">
        <v>201</v>
      </c>
      <c r="PSM17" s="310" t="s">
        <v>201</v>
      </c>
      <c r="PSN17" s="310" t="s">
        <v>201</v>
      </c>
      <c r="PSO17" s="310" t="s">
        <v>201</v>
      </c>
      <c r="PSP17" s="310" t="s">
        <v>201</v>
      </c>
      <c r="PSQ17" s="310" t="s">
        <v>201</v>
      </c>
      <c r="PSR17" s="310" t="s">
        <v>201</v>
      </c>
      <c r="PSS17" s="310" t="s">
        <v>201</v>
      </c>
      <c r="PST17" s="310" t="s">
        <v>201</v>
      </c>
      <c r="PSU17" s="310" t="s">
        <v>201</v>
      </c>
      <c r="PSV17" s="310" t="s">
        <v>201</v>
      </c>
      <c r="PSW17" s="310" t="s">
        <v>201</v>
      </c>
      <c r="PSX17" s="310" t="s">
        <v>201</v>
      </c>
      <c r="PSY17" s="310" t="s">
        <v>201</v>
      </c>
      <c r="PSZ17" s="310" t="s">
        <v>201</v>
      </c>
      <c r="PTA17" s="310" t="s">
        <v>201</v>
      </c>
      <c r="PTB17" s="310" t="s">
        <v>201</v>
      </c>
      <c r="PTC17" s="310" t="s">
        <v>201</v>
      </c>
      <c r="PTD17" s="310" t="s">
        <v>201</v>
      </c>
      <c r="PTE17" s="310" t="s">
        <v>201</v>
      </c>
      <c r="PTF17" s="310" t="s">
        <v>201</v>
      </c>
      <c r="PTG17" s="310" t="s">
        <v>201</v>
      </c>
      <c r="PTH17" s="310" t="s">
        <v>201</v>
      </c>
      <c r="PTI17" s="310" t="s">
        <v>201</v>
      </c>
      <c r="PTJ17" s="310" t="s">
        <v>201</v>
      </c>
      <c r="PTK17" s="310" t="s">
        <v>201</v>
      </c>
      <c r="PTL17" s="310" t="s">
        <v>201</v>
      </c>
      <c r="PTM17" s="310" t="s">
        <v>201</v>
      </c>
      <c r="PTN17" s="310" t="s">
        <v>201</v>
      </c>
      <c r="PTO17" s="310" t="s">
        <v>201</v>
      </c>
      <c r="PTP17" s="310" t="s">
        <v>201</v>
      </c>
      <c r="PTQ17" s="310" t="s">
        <v>201</v>
      </c>
      <c r="PTR17" s="310" t="s">
        <v>201</v>
      </c>
      <c r="PTS17" s="310" t="s">
        <v>201</v>
      </c>
      <c r="PTT17" s="310" t="s">
        <v>201</v>
      </c>
      <c r="PTU17" s="310" t="s">
        <v>201</v>
      </c>
      <c r="PTV17" s="310" t="s">
        <v>201</v>
      </c>
      <c r="PTW17" s="310" t="s">
        <v>201</v>
      </c>
      <c r="PTX17" s="310" t="s">
        <v>201</v>
      </c>
      <c r="PTY17" s="310" t="s">
        <v>201</v>
      </c>
      <c r="PTZ17" s="310" t="s">
        <v>201</v>
      </c>
      <c r="PUA17" s="310" t="s">
        <v>201</v>
      </c>
      <c r="PUB17" s="310" t="s">
        <v>201</v>
      </c>
      <c r="PUC17" s="310" t="s">
        <v>201</v>
      </c>
      <c r="PUD17" s="310" t="s">
        <v>201</v>
      </c>
      <c r="PUE17" s="310" t="s">
        <v>201</v>
      </c>
      <c r="PUF17" s="310" t="s">
        <v>201</v>
      </c>
      <c r="PUG17" s="310" t="s">
        <v>201</v>
      </c>
      <c r="PUH17" s="310" t="s">
        <v>201</v>
      </c>
      <c r="PUI17" s="310" t="s">
        <v>201</v>
      </c>
      <c r="PUJ17" s="310" t="s">
        <v>201</v>
      </c>
      <c r="PUK17" s="310" t="s">
        <v>201</v>
      </c>
      <c r="PUL17" s="310" t="s">
        <v>201</v>
      </c>
      <c r="PUM17" s="310" t="s">
        <v>201</v>
      </c>
      <c r="PUN17" s="310" t="s">
        <v>201</v>
      </c>
      <c r="PUO17" s="310" t="s">
        <v>201</v>
      </c>
      <c r="PUP17" s="310" t="s">
        <v>201</v>
      </c>
      <c r="PUQ17" s="310" t="s">
        <v>201</v>
      </c>
      <c r="PUR17" s="310" t="s">
        <v>201</v>
      </c>
      <c r="PUS17" s="310" t="s">
        <v>201</v>
      </c>
      <c r="PUT17" s="310" t="s">
        <v>201</v>
      </c>
      <c r="PUU17" s="310" t="s">
        <v>201</v>
      </c>
      <c r="PUV17" s="310" t="s">
        <v>201</v>
      </c>
      <c r="PUW17" s="310" t="s">
        <v>201</v>
      </c>
      <c r="PUX17" s="310" t="s">
        <v>201</v>
      </c>
      <c r="PUY17" s="310" t="s">
        <v>201</v>
      </c>
      <c r="PUZ17" s="310" t="s">
        <v>201</v>
      </c>
      <c r="PVA17" s="310" t="s">
        <v>201</v>
      </c>
      <c r="PVB17" s="310" t="s">
        <v>201</v>
      </c>
      <c r="PVC17" s="310" t="s">
        <v>201</v>
      </c>
      <c r="PVD17" s="310" t="s">
        <v>201</v>
      </c>
      <c r="PVE17" s="310" t="s">
        <v>201</v>
      </c>
      <c r="PVF17" s="310" t="s">
        <v>201</v>
      </c>
      <c r="PVG17" s="310" t="s">
        <v>201</v>
      </c>
      <c r="PVH17" s="310" t="s">
        <v>201</v>
      </c>
      <c r="PVI17" s="310" t="s">
        <v>201</v>
      </c>
      <c r="PVJ17" s="310" t="s">
        <v>201</v>
      </c>
      <c r="PVK17" s="310" t="s">
        <v>201</v>
      </c>
      <c r="PVL17" s="310" t="s">
        <v>201</v>
      </c>
      <c r="PVM17" s="310" t="s">
        <v>201</v>
      </c>
      <c r="PVN17" s="310" t="s">
        <v>201</v>
      </c>
      <c r="PVO17" s="310" t="s">
        <v>201</v>
      </c>
      <c r="PVP17" s="310" t="s">
        <v>201</v>
      </c>
      <c r="PVQ17" s="310" t="s">
        <v>201</v>
      </c>
      <c r="PVR17" s="310" t="s">
        <v>201</v>
      </c>
      <c r="PVS17" s="310" t="s">
        <v>201</v>
      </c>
      <c r="PVT17" s="310" t="s">
        <v>201</v>
      </c>
      <c r="PVU17" s="310" t="s">
        <v>201</v>
      </c>
      <c r="PVV17" s="310" t="s">
        <v>201</v>
      </c>
      <c r="PVW17" s="310" t="s">
        <v>201</v>
      </c>
      <c r="PVX17" s="310" t="s">
        <v>201</v>
      </c>
      <c r="PVY17" s="310" t="s">
        <v>201</v>
      </c>
      <c r="PVZ17" s="310" t="s">
        <v>201</v>
      </c>
      <c r="PWA17" s="310" t="s">
        <v>201</v>
      </c>
      <c r="PWB17" s="310" t="s">
        <v>201</v>
      </c>
      <c r="PWC17" s="310" t="s">
        <v>201</v>
      </c>
      <c r="PWD17" s="310" t="s">
        <v>201</v>
      </c>
      <c r="PWE17" s="310" t="s">
        <v>201</v>
      </c>
      <c r="PWF17" s="310" t="s">
        <v>201</v>
      </c>
      <c r="PWG17" s="310" t="s">
        <v>201</v>
      </c>
      <c r="PWH17" s="310" t="s">
        <v>201</v>
      </c>
      <c r="PWI17" s="310" t="s">
        <v>201</v>
      </c>
      <c r="PWJ17" s="310" t="s">
        <v>201</v>
      </c>
      <c r="PWK17" s="310" t="s">
        <v>201</v>
      </c>
      <c r="PWL17" s="310" t="s">
        <v>201</v>
      </c>
      <c r="PWM17" s="310" t="s">
        <v>201</v>
      </c>
      <c r="PWN17" s="310" t="s">
        <v>201</v>
      </c>
      <c r="PWO17" s="310" t="s">
        <v>201</v>
      </c>
      <c r="PWP17" s="310" t="s">
        <v>201</v>
      </c>
      <c r="PWQ17" s="310" t="s">
        <v>201</v>
      </c>
      <c r="PWR17" s="310" t="s">
        <v>201</v>
      </c>
      <c r="PWS17" s="310" t="s">
        <v>201</v>
      </c>
      <c r="PWT17" s="310" t="s">
        <v>201</v>
      </c>
      <c r="PWU17" s="310" t="s">
        <v>201</v>
      </c>
      <c r="PWV17" s="310" t="s">
        <v>201</v>
      </c>
      <c r="PWW17" s="310" t="s">
        <v>201</v>
      </c>
      <c r="PWX17" s="310" t="s">
        <v>201</v>
      </c>
      <c r="PWY17" s="310" t="s">
        <v>201</v>
      </c>
      <c r="PWZ17" s="310" t="s">
        <v>201</v>
      </c>
      <c r="PXA17" s="310" t="s">
        <v>201</v>
      </c>
      <c r="PXB17" s="310" t="s">
        <v>201</v>
      </c>
      <c r="PXC17" s="310" t="s">
        <v>201</v>
      </c>
      <c r="PXD17" s="310" t="s">
        <v>201</v>
      </c>
      <c r="PXE17" s="310" t="s">
        <v>201</v>
      </c>
      <c r="PXF17" s="310" t="s">
        <v>201</v>
      </c>
      <c r="PXG17" s="310" t="s">
        <v>201</v>
      </c>
      <c r="PXH17" s="310" t="s">
        <v>201</v>
      </c>
      <c r="PXI17" s="310" t="s">
        <v>201</v>
      </c>
      <c r="PXJ17" s="310" t="s">
        <v>201</v>
      </c>
      <c r="PXK17" s="310" t="s">
        <v>201</v>
      </c>
      <c r="PXL17" s="310" t="s">
        <v>201</v>
      </c>
      <c r="PXM17" s="310" t="s">
        <v>201</v>
      </c>
      <c r="PXN17" s="310" t="s">
        <v>201</v>
      </c>
      <c r="PXO17" s="310" t="s">
        <v>201</v>
      </c>
      <c r="PXP17" s="310" t="s">
        <v>201</v>
      </c>
      <c r="PXQ17" s="310" t="s">
        <v>201</v>
      </c>
      <c r="PXR17" s="310" t="s">
        <v>201</v>
      </c>
      <c r="PXS17" s="310" t="s">
        <v>201</v>
      </c>
      <c r="PXT17" s="310" t="s">
        <v>201</v>
      </c>
      <c r="PXU17" s="310" t="s">
        <v>201</v>
      </c>
      <c r="PXV17" s="310" t="s">
        <v>201</v>
      </c>
      <c r="PXW17" s="310" t="s">
        <v>201</v>
      </c>
      <c r="PXX17" s="310" t="s">
        <v>201</v>
      </c>
      <c r="PXY17" s="310" t="s">
        <v>201</v>
      </c>
      <c r="PXZ17" s="310" t="s">
        <v>201</v>
      </c>
      <c r="PYA17" s="310" t="s">
        <v>201</v>
      </c>
      <c r="PYB17" s="310" t="s">
        <v>201</v>
      </c>
      <c r="PYC17" s="310" t="s">
        <v>201</v>
      </c>
      <c r="PYD17" s="310" t="s">
        <v>201</v>
      </c>
      <c r="PYE17" s="310" t="s">
        <v>201</v>
      </c>
      <c r="PYF17" s="310" t="s">
        <v>201</v>
      </c>
      <c r="PYG17" s="310" t="s">
        <v>201</v>
      </c>
      <c r="PYH17" s="310" t="s">
        <v>201</v>
      </c>
      <c r="PYI17" s="310" t="s">
        <v>201</v>
      </c>
      <c r="PYJ17" s="310" t="s">
        <v>201</v>
      </c>
      <c r="PYK17" s="310" t="s">
        <v>201</v>
      </c>
      <c r="PYL17" s="310" t="s">
        <v>201</v>
      </c>
      <c r="PYM17" s="310" t="s">
        <v>201</v>
      </c>
      <c r="PYN17" s="310" t="s">
        <v>201</v>
      </c>
      <c r="PYO17" s="310" t="s">
        <v>201</v>
      </c>
      <c r="PYP17" s="310" t="s">
        <v>201</v>
      </c>
      <c r="PYQ17" s="310" t="s">
        <v>201</v>
      </c>
      <c r="PYR17" s="310" t="s">
        <v>201</v>
      </c>
      <c r="PYS17" s="310" t="s">
        <v>201</v>
      </c>
      <c r="PYT17" s="310" t="s">
        <v>201</v>
      </c>
      <c r="PYU17" s="310" t="s">
        <v>201</v>
      </c>
      <c r="PYV17" s="310" t="s">
        <v>201</v>
      </c>
      <c r="PYW17" s="310" t="s">
        <v>201</v>
      </c>
      <c r="PYX17" s="310" t="s">
        <v>201</v>
      </c>
      <c r="PYY17" s="310" t="s">
        <v>201</v>
      </c>
      <c r="PYZ17" s="310" t="s">
        <v>201</v>
      </c>
      <c r="PZA17" s="310" t="s">
        <v>201</v>
      </c>
      <c r="PZB17" s="310" t="s">
        <v>201</v>
      </c>
      <c r="PZC17" s="310" t="s">
        <v>201</v>
      </c>
      <c r="PZD17" s="310" t="s">
        <v>201</v>
      </c>
      <c r="PZE17" s="310" t="s">
        <v>201</v>
      </c>
      <c r="PZF17" s="310" t="s">
        <v>201</v>
      </c>
      <c r="PZG17" s="310" t="s">
        <v>201</v>
      </c>
      <c r="PZH17" s="310" t="s">
        <v>201</v>
      </c>
      <c r="PZI17" s="310" t="s">
        <v>201</v>
      </c>
      <c r="PZJ17" s="310" t="s">
        <v>201</v>
      </c>
      <c r="PZK17" s="310" t="s">
        <v>201</v>
      </c>
      <c r="PZL17" s="310" t="s">
        <v>201</v>
      </c>
      <c r="PZM17" s="310" t="s">
        <v>201</v>
      </c>
      <c r="PZN17" s="310" t="s">
        <v>201</v>
      </c>
      <c r="PZO17" s="310" t="s">
        <v>201</v>
      </c>
      <c r="PZP17" s="310" t="s">
        <v>201</v>
      </c>
      <c r="PZQ17" s="310" t="s">
        <v>201</v>
      </c>
      <c r="PZR17" s="310" t="s">
        <v>201</v>
      </c>
      <c r="PZS17" s="310" t="s">
        <v>201</v>
      </c>
      <c r="PZT17" s="310" t="s">
        <v>201</v>
      </c>
      <c r="PZU17" s="310" t="s">
        <v>201</v>
      </c>
      <c r="PZV17" s="310" t="s">
        <v>201</v>
      </c>
      <c r="PZW17" s="310" t="s">
        <v>201</v>
      </c>
      <c r="PZX17" s="310" t="s">
        <v>201</v>
      </c>
      <c r="PZY17" s="310" t="s">
        <v>201</v>
      </c>
      <c r="PZZ17" s="310" t="s">
        <v>201</v>
      </c>
      <c r="QAA17" s="310" t="s">
        <v>201</v>
      </c>
      <c r="QAB17" s="310" t="s">
        <v>201</v>
      </c>
      <c r="QAC17" s="310" t="s">
        <v>201</v>
      </c>
      <c r="QAD17" s="310" t="s">
        <v>201</v>
      </c>
      <c r="QAE17" s="310" t="s">
        <v>201</v>
      </c>
      <c r="QAF17" s="310" t="s">
        <v>201</v>
      </c>
      <c r="QAG17" s="310" t="s">
        <v>201</v>
      </c>
      <c r="QAH17" s="310" t="s">
        <v>201</v>
      </c>
      <c r="QAI17" s="310" t="s">
        <v>201</v>
      </c>
      <c r="QAJ17" s="310" t="s">
        <v>201</v>
      </c>
      <c r="QAK17" s="310" t="s">
        <v>201</v>
      </c>
      <c r="QAL17" s="310" t="s">
        <v>201</v>
      </c>
      <c r="QAM17" s="310" t="s">
        <v>201</v>
      </c>
      <c r="QAN17" s="310" t="s">
        <v>201</v>
      </c>
      <c r="QAO17" s="310" t="s">
        <v>201</v>
      </c>
      <c r="QAP17" s="310" t="s">
        <v>201</v>
      </c>
      <c r="QAQ17" s="310" t="s">
        <v>201</v>
      </c>
      <c r="QAR17" s="310" t="s">
        <v>201</v>
      </c>
      <c r="QAS17" s="310" t="s">
        <v>201</v>
      </c>
      <c r="QAT17" s="310" t="s">
        <v>201</v>
      </c>
      <c r="QAU17" s="310" t="s">
        <v>201</v>
      </c>
      <c r="QAV17" s="310" t="s">
        <v>201</v>
      </c>
      <c r="QAW17" s="310" t="s">
        <v>201</v>
      </c>
      <c r="QAX17" s="310" t="s">
        <v>201</v>
      </c>
      <c r="QAY17" s="310" t="s">
        <v>201</v>
      </c>
      <c r="QAZ17" s="310" t="s">
        <v>201</v>
      </c>
      <c r="QBA17" s="310" t="s">
        <v>201</v>
      </c>
      <c r="QBB17" s="310" t="s">
        <v>201</v>
      </c>
      <c r="QBC17" s="310" t="s">
        <v>201</v>
      </c>
      <c r="QBD17" s="310" t="s">
        <v>201</v>
      </c>
      <c r="QBE17" s="310" t="s">
        <v>201</v>
      </c>
      <c r="QBF17" s="310" t="s">
        <v>201</v>
      </c>
      <c r="QBG17" s="310" t="s">
        <v>201</v>
      </c>
      <c r="QBH17" s="310" t="s">
        <v>201</v>
      </c>
      <c r="QBI17" s="310" t="s">
        <v>201</v>
      </c>
      <c r="QBJ17" s="310" t="s">
        <v>201</v>
      </c>
      <c r="QBK17" s="310" t="s">
        <v>201</v>
      </c>
      <c r="QBL17" s="310" t="s">
        <v>201</v>
      </c>
      <c r="QBM17" s="310" t="s">
        <v>201</v>
      </c>
      <c r="QBN17" s="310" t="s">
        <v>201</v>
      </c>
      <c r="QBO17" s="310" t="s">
        <v>201</v>
      </c>
      <c r="QBP17" s="310" t="s">
        <v>201</v>
      </c>
      <c r="QBQ17" s="310" t="s">
        <v>201</v>
      </c>
      <c r="QBR17" s="310" t="s">
        <v>201</v>
      </c>
      <c r="QBS17" s="310" t="s">
        <v>201</v>
      </c>
      <c r="QBT17" s="310" t="s">
        <v>201</v>
      </c>
      <c r="QBU17" s="310" t="s">
        <v>201</v>
      </c>
      <c r="QBV17" s="310" t="s">
        <v>201</v>
      </c>
      <c r="QBW17" s="310" t="s">
        <v>201</v>
      </c>
      <c r="QBX17" s="310" t="s">
        <v>201</v>
      </c>
      <c r="QBY17" s="310" t="s">
        <v>201</v>
      </c>
      <c r="QBZ17" s="310" t="s">
        <v>201</v>
      </c>
      <c r="QCA17" s="310" t="s">
        <v>201</v>
      </c>
      <c r="QCB17" s="310" t="s">
        <v>201</v>
      </c>
      <c r="QCC17" s="310" t="s">
        <v>201</v>
      </c>
      <c r="QCD17" s="310" t="s">
        <v>201</v>
      </c>
      <c r="QCE17" s="310" t="s">
        <v>201</v>
      </c>
      <c r="QCF17" s="310" t="s">
        <v>201</v>
      </c>
      <c r="QCG17" s="310" t="s">
        <v>201</v>
      </c>
      <c r="QCH17" s="310" t="s">
        <v>201</v>
      </c>
      <c r="QCI17" s="310" t="s">
        <v>201</v>
      </c>
      <c r="QCJ17" s="310" t="s">
        <v>201</v>
      </c>
      <c r="QCK17" s="310" t="s">
        <v>201</v>
      </c>
      <c r="QCL17" s="310" t="s">
        <v>201</v>
      </c>
      <c r="QCM17" s="310" t="s">
        <v>201</v>
      </c>
      <c r="QCN17" s="310" t="s">
        <v>201</v>
      </c>
      <c r="QCO17" s="310" t="s">
        <v>201</v>
      </c>
      <c r="QCP17" s="310" t="s">
        <v>201</v>
      </c>
      <c r="QCQ17" s="310" t="s">
        <v>201</v>
      </c>
      <c r="QCR17" s="310" t="s">
        <v>201</v>
      </c>
      <c r="QCS17" s="310" t="s">
        <v>201</v>
      </c>
      <c r="QCT17" s="310" t="s">
        <v>201</v>
      </c>
      <c r="QCU17" s="310" t="s">
        <v>201</v>
      </c>
      <c r="QCV17" s="310" t="s">
        <v>201</v>
      </c>
      <c r="QCW17" s="310" t="s">
        <v>201</v>
      </c>
      <c r="QCX17" s="310" t="s">
        <v>201</v>
      </c>
      <c r="QCY17" s="310" t="s">
        <v>201</v>
      </c>
      <c r="QCZ17" s="310" t="s">
        <v>201</v>
      </c>
      <c r="QDA17" s="310" t="s">
        <v>201</v>
      </c>
      <c r="QDB17" s="310" t="s">
        <v>201</v>
      </c>
      <c r="QDC17" s="310" t="s">
        <v>201</v>
      </c>
      <c r="QDD17" s="310" t="s">
        <v>201</v>
      </c>
      <c r="QDE17" s="310" t="s">
        <v>201</v>
      </c>
      <c r="QDF17" s="310" t="s">
        <v>201</v>
      </c>
      <c r="QDG17" s="310" t="s">
        <v>201</v>
      </c>
      <c r="QDH17" s="310" t="s">
        <v>201</v>
      </c>
      <c r="QDI17" s="310" t="s">
        <v>201</v>
      </c>
      <c r="QDJ17" s="310" t="s">
        <v>201</v>
      </c>
      <c r="QDK17" s="310" t="s">
        <v>201</v>
      </c>
      <c r="QDL17" s="310" t="s">
        <v>201</v>
      </c>
      <c r="QDM17" s="310" t="s">
        <v>201</v>
      </c>
      <c r="QDN17" s="310" t="s">
        <v>201</v>
      </c>
      <c r="QDO17" s="310" t="s">
        <v>201</v>
      </c>
      <c r="QDP17" s="310" t="s">
        <v>201</v>
      </c>
      <c r="QDQ17" s="310" t="s">
        <v>201</v>
      </c>
      <c r="QDR17" s="310" t="s">
        <v>201</v>
      </c>
      <c r="QDS17" s="310" t="s">
        <v>201</v>
      </c>
      <c r="QDT17" s="310" t="s">
        <v>201</v>
      </c>
      <c r="QDU17" s="310" t="s">
        <v>201</v>
      </c>
      <c r="QDV17" s="310" t="s">
        <v>201</v>
      </c>
      <c r="QDW17" s="310" t="s">
        <v>201</v>
      </c>
      <c r="QDX17" s="310" t="s">
        <v>201</v>
      </c>
      <c r="QDY17" s="310" t="s">
        <v>201</v>
      </c>
      <c r="QDZ17" s="310" t="s">
        <v>201</v>
      </c>
      <c r="QEA17" s="310" t="s">
        <v>201</v>
      </c>
      <c r="QEB17" s="310" t="s">
        <v>201</v>
      </c>
      <c r="QEC17" s="310" t="s">
        <v>201</v>
      </c>
      <c r="QED17" s="310" t="s">
        <v>201</v>
      </c>
      <c r="QEE17" s="310" t="s">
        <v>201</v>
      </c>
      <c r="QEF17" s="310" t="s">
        <v>201</v>
      </c>
      <c r="QEG17" s="310" t="s">
        <v>201</v>
      </c>
      <c r="QEH17" s="310" t="s">
        <v>201</v>
      </c>
      <c r="QEI17" s="310" t="s">
        <v>201</v>
      </c>
      <c r="QEJ17" s="310" t="s">
        <v>201</v>
      </c>
      <c r="QEK17" s="310" t="s">
        <v>201</v>
      </c>
      <c r="QEL17" s="310" t="s">
        <v>201</v>
      </c>
      <c r="QEM17" s="310" t="s">
        <v>201</v>
      </c>
      <c r="QEN17" s="310" t="s">
        <v>201</v>
      </c>
      <c r="QEO17" s="310" t="s">
        <v>201</v>
      </c>
      <c r="QEP17" s="310" t="s">
        <v>201</v>
      </c>
      <c r="QEQ17" s="310" t="s">
        <v>201</v>
      </c>
      <c r="QER17" s="310" t="s">
        <v>201</v>
      </c>
      <c r="QES17" s="310" t="s">
        <v>201</v>
      </c>
      <c r="QET17" s="310" t="s">
        <v>201</v>
      </c>
      <c r="QEU17" s="310" t="s">
        <v>201</v>
      </c>
      <c r="QEV17" s="310" t="s">
        <v>201</v>
      </c>
      <c r="QEW17" s="310" t="s">
        <v>201</v>
      </c>
      <c r="QEX17" s="310" t="s">
        <v>201</v>
      </c>
      <c r="QEY17" s="310" t="s">
        <v>201</v>
      </c>
      <c r="QEZ17" s="310" t="s">
        <v>201</v>
      </c>
      <c r="QFA17" s="310" t="s">
        <v>201</v>
      </c>
      <c r="QFB17" s="310" t="s">
        <v>201</v>
      </c>
      <c r="QFC17" s="310" t="s">
        <v>201</v>
      </c>
      <c r="QFD17" s="310" t="s">
        <v>201</v>
      </c>
      <c r="QFE17" s="310" t="s">
        <v>201</v>
      </c>
      <c r="QFF17" s="310" t="s">
        <v>201</v>
      </c>
      <c r="QFG17" s="310" t="s">
        <v>201</v>
      </c>
      <c r="QFH17" s="310" t="s">
        <v>201</v>
      </c>
      <c r="QFI17" s="310" t="s">
        <v>201</v>
      </c>
      <c r="QFJ17" s="310" t="s">
        <v>201</v>
      </c>
      <c r="QFK17" s="310" t="s">
        <v>201</v>
      </c>
      <c r="QFL17" s="310" t="s">
        <v>201</v>
      </c>
      <c r="QFM17" s="310" t="s">
        <v>201</v>
      </c>
      <c r="QFN17" s="310" t="s">
        <v>201</v>
      </c>
      <c r="QFO17" s="310" t="s">
        <v>201</v>
      </c>
      <c r="QFP17" s="310" t="s">
        <v>201</v>
      </c>
      <c r="QFQ17" s="310" t="s">
        <v>201</v>
      </c>
      <c r="QFR17" s="310" t="s">
        <v>201</v>
      </c>
      <c r="QFS17" s="310" t="s">
        <v>201</v>
      </c>
      <c r="QFT17" s="310" t="s">
        <v>201</v>
      </c>
      <c r="QFU17" s="310" t="s">
        <v>201</v>
      </c>
      <c r="QFV17" s="310" t="s">
        <v>201</v>
      </c>
      <c r="QFW17" s="310" t="s">
        <v>201</v>
      </c>
      <c r="QFX17" s="310" t="s">
        <v>201</v>
      </c>
      <c r="QFY17" s="310" t="s">
        <v>201</v>
      </c>
      <c r="QFZ17" s="310" t="s">
        <v>201</v>
      </c>
      <c r="QGA17" s="310" t="s">
        <v>201</v>
      </c>
      <c r="QGB17" s="310" t="s">
        <v>201</v>
      </c>
      <c r="QGC17" s="310" t="s">
        <v>201</v>
      </c>
      <c r="QGD17" s="310" t="s">
        <v>201</v>
      </c>
      <c r="QGE17" s="310" t="s">
        <v>201</v>
      </c>
      <c r="QGF17" s="310" t="s">
        <v>201</v>
      </c>
      <c r="QGG17" s="310" t="s">
        <v>201</v>
      </c>
      <c r="QGH17" s="310" t="s">
        <v>201</v>
      </c>
      <c r="QGI17" s="310" t="s">
        <v>201</v>
      </c>
      <c r="QGJ17" s="310" t="s">
        <v>201</v>
      </c>
      <c r="QGK17" s="310" t="s">
        <v>201</v>
      </c>
      <c r="QGL17" s="310" t="s">
        <v>201</v>
      </c>
      <c r="QGM17" s="310" t="s">
        <v>201</v>
      </c>
      <c r="QGN17" s="310" t="s">
        <v>201</v>
      </c>
      <c r="QGO17" s="310" t="s">
        <v>201</v>
      </c>
      <c r="QGP17" s="310" t="s">
        <v>201</v>
      </c>
      <c r="QGQ17" s="310" t="s">
        <v>201</v>
      </c>
      <c r="QGR17" s="310" t="s">
        <v>201</v>
      </c>
      <c r="QGS17" s="310" t="s">
        <v>201</v>
      </c>
      <c r="QGT17" s="310" t="s">
        <v>201</v>
      </c>
      <c r="QGU17" s="310" t="s">
        <v>201</v>
      </c>
      <c r="QGV17" s="310" t="s">
        <v>201</v>
      </c>
      <c r="QGW17" s="310" t="s">
        <v>201</v>
      </c>
      <c r="QGX17" s="310" t="s">
        <v>201</v>
      </c>
      <c r="QGY17" s="310" t="s">
        <v>201</v>
      </c>
      <c r="QGZ17" s="310" t="s">
        <v>201</v>
      </c>
      <c r="QHA17" s="310" t="s">
        <v>201</v>
      </c>
      <c r="QHB17" s="310" t="s">
        <v>201</v>
      </c>
      <c r="QHC17" s="310" t="s">
        <v>201</v>
      </c>
      <c r="QHD17" s="310" t="s">
        <v>201</v>
      </c>
      <c r="QHE17" s="310" t="s">
        <v>201</v>
      </c>
      <c r="QHF17" s="310" t="s">
        <v>201</v>
      </c>
      <c r="QHG17" s="310" t="s">
        <v>201</v>
      </c>
      <c r="QHH17" s="310" t="s">
        <v>201</v>
      </c>
      <c r="QHI17" s="310" t="s">
        <v>201</v>
      </c>
      <c r="QHJ17" s="310" t="s">
        <v>201</v>
      </c>
      <c r="QHK17" s="310" t="s">
        <v>201</v>
      </c>
      <c r="QHL17" s="310" t="s">
        <v>201</v>
      </c>
      <c r="QHM17" s="310" t="s">
        <v>201</v>
      </c>
      <c r="QHN17" s="310" t="s">
        <v>201</v>
      </c>
      <c r="QHO17" s="310" t="s">
        <v>201</v>
      </c>
      <c r="QHP17" s="310" t="s">
        <v>201</v>
      </c>
      <c r="QHQ17" s="310" t="s">
        <v>201</v>
      </c>
      <c r="QHR17" s="310" t="s">
        <v>201</v>
      </c>
      <c r="QHS17" s="310" t="s">
        <v>201</v>
      </c>
      <c r="QHT17" s="310" t="s">
        <v>201</v>
      </c>
      <c r="QHU17" s="310" t="s">
        <v>201</v>
      </c>
      <c r="QHV17" s="310" t="s">
        <v>201</v>
      </c>
      <c r="QHW17" s="310" t="s">
        <v>201</v>
      </c>
      <c r="QHX17" s="310" t="s">
        <v>201</v>
      </c>
      <c r="QHY17" s="310" t="s">
        <v>201</v>
      </c>
      <c r="QHZ17" s="310" t="s">
        <v>201</v>
      </c>
      <c r="QIA17" s="310" t="s">
        <v>201</v>
      </c>
      <c r="QIB17" s="310" t="s">
        <v>201</v>
      </c>
      <c r="QIC17" s="310" t="s">
        <v>201</v>
      </c>
      <c r="QID17" s="310" t="s">
        <v>201</v>
      </c>
      <c r="QIE17" s="310" t="s">
        <v>201</v>
      </c>
      <c r="QIF17" s="310" t="s">
        <v>201</v>
      </c>
      <c r="QIG17" s="310" t="s">
        <v>201</v>
      </c>
      <c r="QIH17" s="310" t="s">
        <v>201</v>
      </c>
      <c r="QII17" s="310" t="s">
        <v>201</v>
      </c>
      <c r="QIJ17" s="310" t="s">
        <v>201</v>
      </c>
      <c r="QIK17" s="310" t="s">
        <v>201</v>
      </c>
      <c r="QIL17" s="310" t="s">
        <v>201</v>
      </c>
      <c r="QIM17" s="310" t="s">
        <v>201</v>
      </c>
      <c r="QIN17" s="310" t="s">
        <v>201</v>
      </c>
      <c r="QIO17" s="310" t="s">
        <v>201</v>
      </c>
      <c r="QIP17" s="310" t="s">
        <v>201</v>
      </c>
      <c r="QIQ17" s="310" t="s">
        <v>201</v>
      </c>
      <c r="QIR17" s="310" t="s">
        <v>201</v>
      </c>
      <c r="QIS17" s="310" t="s">
        <v>201</v>
      </c>
      <c r="QIT17" s="310" t="s">
        <v>201</v>
      </c>
      <c r="QIU17" s="310" t="s">
        <v>201</v>
      </c>
      <c r="QIV17" s="310" t="s">
        <v>201</v>
      </c>
      <c r="QIW17" s="310" t="s">
        <v>201</v>
      </c>
      <c r="QIX17" s="310" t="s">
        <v>201</v>
      </c>
      <c r="QIY17" s="310" t="s">
        <v>201</v>
      </c>
      <c r="QIZ17" s="310" t="s">
        <v>201</v>
      </c>
      <c r="QJA17" s="310" t="s">
        <v>201</v>
      </c>
      <c r="QJB17" s="310" t="s">
        <v>201</v>
      </c>
      <c r="QJC17" s="310" t="s">
        <v>201</v>
      </c>
      <c r="QJD17" s="310" t="s">
        <v>201</v>
      </c>
      <c r="QJE17" s="310" t="s">
        <v>201</v>
      </c>
      <c r="QJF17" s="310" t="s">
        <v>201</v>
      </c>
      <c r="QJG17" s="310" t="s">
        <v>201</v>
      </c>
      <c r="QJH17" s="310" t="s">
        <v>201</v>
      </c>
      <c r="QJI17" s="310" t="s">
        <v>201</v>
      </c>
      <c r="QJJ17" s="310" t="s">
        <v>201</v>
      </c>
      <c r="QJK17" s="310" t="s">
        <v>201</v>
      </c>
      <c r="QJL17" s="310" t="s">
        <v>201</v>
      </c>
      <c r="QJM17" s="310" t="s">
        <v>201</v>
      </c>
      <c r="QJN17" s="310" t="s">
        <v>201</v>
      </c>
      <c r="QJO17" s="310" t="s">
        <v>201</v>
      </c>
      <c r="QJP17" s="310" t="s">
        <v>201</v>
      </c>
      <c r="QJQ17" s="310" t="s">
        <v>201</v>
      </c>
      <c r="QJR17" s="310" t="s">
        <v>201</v>
      </c>
      <c r="QJS17" s="310" t="s">
        <v>201</v>
      </c>
      <c r="QJT17" s="310" t="s">
        <v>201</v>
      </c>
      <c r="QJU17" s="310" t="s">
        <v>201</v>
      </c>
      <c r="QJV17" s="310" t="s">
        <v>201</v>
      </c>
      <c r="QJW17" s="310" t="s">
        <v>201</v>
      </c>
      <c r="QJX17" s="310" t="s">
        <v>201</v>
      </c>
      <c r="QJY17" s="310" t="s">
        <v>201</v>
      </c>
      <c r="QJZ17" s="310" t="s">
        <v>201</v>
      </c>
      <c r="QKA17" s="310" t="s">
        <v>201</v>
      </c>
      <c r="QKB17" s="310" t="s">
        <v>201</v>
      </c>
      <c r="QKC17" s="310" t="s">
        <v>201</v>
      </c>
      <c r="QKD17" s="310" t="s">
        <v>201</v>
      </c>
      <c r="QKE17" s="310" t="s">
        <v>201</v>
      </c>
      <c r="QKF17" s="310" t="s">
        <v>201</v>
      </c>
      <c r="QKG17" s="310" t="s">
        <v>201</v>
      </c>
      <c r="QKH17" s="310" t="s">
        <v>201</v>
      </c>
      <c r="QKI17" s="310" t="s">
        <v>201</v>
      </c>
      <c r="QKJ17" s="310" t="s">
        <v>201</v>
      </c>
      <c r="QKK17" s="310" t="s">
        <v>201</v>
      </c>
      <c r="QKL17" s="310" t="s">
        <v>201</v>
      </c>
      <c r="QKM17" s="310" t="s">
        <v>201</v>
      </c>
      <c r="QKN17" s="310" t="s">
        <v>201</v>
      </c>
      <c r="QKO17" s="310" t="s">
        <v>201</v>
      </c>
      <c r="QKP17" s="310" t="s">
        <v>201</v>
      </c>
      <c r="QKQ17" s="310" t="s">
        <v>201</v>
      </c>
      <c r="QKR17" s="310" t="s">
        <v>201</v>
      </c>
      <c r="QKS17" s="310" t="s">
        <v>201</v>
      </c>
      <c r="QKT17" s="310" t="s">
        <v>201</v>
      </c>
      <c r="QKU17" s="310" t="s">
        <v>201</v>
      </c>
      <c r="QKV17" s="310" t="s">
        <v>201</v>
      </c>
      <c r="QKW17" s="310" t="s">
        <v>201</v>
      </c>
      <c r="QKX17" s="310" t="s">
        <v>201</v>
      </c>
      <c r="QKY17" s="310" t="s">
        <v>201</v>
      </c>
      <c r="QKZ17" s="310" t="s">
        <v>201</v>
      </c>
      <c r="QLA17" s="310" t="s">
        <v>201</v>
      </c>
      <c r="QLB17" s="310" t="s">
        <v>201</v>
      </c>
      <c r="QLC17" s="310" t="s">
        <v>201</v>
      </c>
      <c r="QLD17" s="310" t="s">
        <v>201</v>
      </c>
      <c r="QLE17" s="310" t="s">
        <v>201</v>
      </c>
      <c r="QLF17" s="310" t="s">
        <v>201</v>
      </c>
      <c r="QLG17" s="310" t="s">
        <v>201</v>
      </c>
      <c r="QLH17" s="310" t="s">
        <v>201</v>
      </c>
      <c r="QLI17" s="310" t="s">
        <v>201</v>
      </c>
      <c r="QLJ17" s="310" t="s">
        <v>201</v>
      </c>
      <c r="QLK17" s="310" t="s">
        <v>201</v>
      </c>
      <c r="QLL17" s="310" t="s">
        <v>201</v>
      </c>
      <c r="QLM17" s="310" t="s">
        <v>201</v>
      </c>
      <c r="QLN17" s="310" t="s">
        <v>201</v>
      </c>
      <c r="QLO17" s="310" t="s">
        <v>201</v>
      </c>
      <c r="QLP17" s="310" t="s">
        <v>201</v>
      </c>
      <c r="QLQ17" s="310" t="s">
        <v>201</v>
      </c>
      <c r="QLR17" s="310" t="s">
        <v>201</v>
      </c>
      <c r="QLS17" s="310" t="s">
        <v>201</v>
      </c>
      <c r="QLT17" s="310" t="s">
        <v>201</v>
      </c>
      <c r="QLU17" s="310" t="s">
        <v>201</v>
      </c>
      <c r="QLV17" s="310" t="s">
        <v>201</v>
      </c>
      <c r="QLW17" s="310" t="s">
        <v>201</v>
      </c>
      <c r="QLX17" s="310" t="s">
        <v>201</v>
      </c>
      <c r="QLY17" s="310" t="s">
        <v>201</v>
      </c>
      <c r="QLZ17" s="310" t="s">
        <v>201</v>
      </c>
      <c r="QMA17" s="310" t="s">
        <v>201</v>
      </c>
      <c r="QMB17" s="310" t="s">
        <v>201</v>
      </c>
      <c r="QMC17" s="310" t="s">
        <v>201</v>
      </c>
      <c r="QMD17" s="310" t="s">
        <v>201</v>
      </c>
      <c r="QME17" s="310" t="s">
        <v>201</v>
      </c>
      <c r="QMF17" s="310" t="s">
        <v>201</v>
      </c>
      <c r="QMG17" s="310" t="s">
        <v>201</v>
      </c>
      <c r="QMH17" s="310" t="s">
        <v>201</v>
      </c>
      <c r="QMI17" s="310" t="s">
        <v>201</v>
      </c>
      <c r="QMJ17" s="310" t="s">
        <v>201</v>
      </c>
      <c r="QMK17" s="310" t="s">
        <v>201</v>
      </c>
      <c r="QML17" s="310" t="s">
        <v>201</v>
      </c>
      <c r="QMM17" s="310" t="s">
        <v>201</v>
      </c>
      <c r="QMN17" s="310" t="s">
        <v>201</v>
      </c>
      <c r="QMO17" s="310" t="s">
        <v>201</v>
      </c>
      <c r="QMP17" s="310" t="s">
        <v>201</v>
      </c>
      <c r="QMQ17" s="310" t="s">
        <v>201</v>
      </c>
      <c r="QMR17" s="310" t="s">
        <v>201</v>
      </c>
      <c r="QMS17" s="310" t="s">
        <v>201</v>
      </c>
      <c r="QMT17" s="310" t="s">
        <v>201</v>
      </c>
      <c r="QMU17" s="310" t="s">
        <v>201</v>
      </c>
      <c r="QMV17" s="310" t="s">
        <v>201</v>
      </c>
      <c r="QMW17" s="310" t="s">
        <v>201</v>
      </c>
      <c r="QMX17" s="310" t="s">
        <v>201</v>
      </c>
      <c r="QMY17" s="310" t="s">
        <v>201</v>
      </c>
      <c r="QMZ17" s="310" t="s">
        <v>201</v>
      </c>
      <c r="QNA17" s="310" t="s">
        <v>201</v>
      </c>
      <c r="QNB17" s="310" t="s">
        <v>201</v>
      </c>
      <c r="QNC17" s="310" t="s">
        <v>201</v>
      </c>
      <c r="QND17" s="310" t="s">
        <v>201</v>
      </c>
      <c r="QNE17" s="310" t="s">
        <v>201</v>
      </c>
      <c r="QNF17" s="310" t="s">
        <v>201</v>
      </c>
      <c r="QNG17" s="310" t="s">
        <v>201</v>
      </c>
      <c r="QNH17" s="310" t="s">
        <v>201</v>
      </c>
      <c r="QNI17" s="310" t="s">
        <v>201</v>
      </c>
      <c r="QNJ17" s="310" t="s">
        <v>201</v>
      </c>
      <c r="QNK17" s="310" t="s">
        <v>201</v>
      </c>
      <c r="QNL17" s="310" t="s">
        <v>201</v>
      </c>
      <c r="QNM17" s="310" t="s">
        <v>201</v>
      </c>
      <c r="QNN17" s="310" t="s">
        <v>201</v>
      </c>
      <c r="QNO17" s="310" t="s">
        <v>201</v>
      </c>
      <c r="QNP17" s="310" t="s">
        <v>201</v>
      </c>
      <c r="QNQ17" s="310" t="s">
        <v>201</v>
      </c>
      <c r="QNR17" s="310" t="s">
        <v>201</v>
      </c>
      <c r="QNS17" s="310" t="s">
        <v>201</v>
      </c>
      <c r="QNT17" s="310" t="s">
        <v>201</v>
      </c>
      <c r="QNU17" s="310" t="s">
        <v>201</v>
      </c>
      <c r="QNV17" s="310" t="s">
        <v>201</v>
      </c>
      <c r="QNW17" s="310" t="s">
        <v>201</v>
      </c>
      <c r="QNX17" s="310" t="s">
        <v>201</v>
      </c>
      <c r="QNY17" s="310" t="s">
        <v>201</v>
      </c>
      <c r="QNZ17" s="310" t="s">
        <v>201</v>
      </c>
      <c r="QOA17" s="310" t="s">
        <v>201</v>
      </c>
      <c r="QOB17" s="310" t="s">
        <v>201</v>
      </c>
      <c r="QOC17" s="310" t="s">
        <v>201</v>
      </c>
      <c r="QOD17" s="310" t="s">
        <v>201</v>
      </c>
      <c r="QOE17" s="310" t="s">
        <v>201</v>
      </c>
      <c r="QOF17" s="310" t="s">
        <v>201</v>
      </c>
      <c r="QOG17" s="310" t="s">
        <v>201</v>
      </c>
      <c r="QOH17" s="310" t="s">
        <v>201</v>
      </c>
      <c r="QOI17" s="310" t="s">
        <v>201</v>
      </c>
      <c r="QOJ17" s="310" t="s">
        <v>201</v>
      </c>
      <c r="QOK17" s="310" t="s">
        <v>201</v>
      </c>
      <c r="QOL17" s="310" t="s">
        <v>201</v>
      </c>
      <c r="QOM17" s="310" t="s">
        <v>201</v>
      </c>
      <c r="QON17" s="310" t="s">
        <v>201</v>
      </c>
      <c r="QOO17" s="310" t="s">
        <v>201</v>
      </c>
      <c r="QOP17" s="310" t="s">
        <v>201</v>
      </c>
      <c r="QOQ17" s="310" t="s">
        <v>201</v>
      </c>
      <c r="QOR17" s="310" t="s">
        <v>201</v>
      </c>
      <c r="QOS17" s="310" t="s">
        <v>201</v>
      </c>
      <c r="QOT17" s="310" t="s">
        <v>201</v>
      </c>
      <c r="QOU17" s="310" t="s">
        <v>201</v>
      </c>
      <c r="QOV17" s="310" t="s">
        <v>201</v>
      </c>
      <c r="QOW17" s="310" t="s">
        <v>201</v>
      </c>
      <c r="QOX17" s="310" t="s">
        <v>201</v>
      </c>
      <c r="QOY17" s="310" t="s">
        <v>201</v>
      </c>
      <c r="QOZ17" s="310" t="s">
        <v>201</v>
      </c>
      <c r="QPA17" s="310" t="s">
        <v>201</v>
      </c>
      <c r="QPB17" s="310" t="s">
        <v>201</v>
      </c>
      <c r="QPC17" s="310" t="s">
        <v>201</v>
      </c>
      <c r="QPD17" s="310" t="s">
        <v>201</v>
      </c>
      <c r="QPE17" s="310" t="s">
        <v>201</v>
      </c>
      <c r="QPF17" s="310" t="s">
        <v>201</v>
      </c>
      <c r="QPG17" s="310" t="s">
        <v>201</v>
      </c>
      <c r="QPH17" s="310" t="s">
        <v>201</v>
      </c>
      <c r="QPI17" s="310" t="s">
        <v>201</v>
      </c>
      <c r="QPJ17" s="310" t="s">
        <v>201</v>
      </c>
      <c r="QPK17" s="310" t="s">
        <v>201</v>
      </c>
      <c r="QPL17" s="310" t="s">
        <v>201</v>
      </c>
      <c r="QPM17" s="310" t="s">
        <v>201</v>
      </c>
      <c r="QPN17" s="310" t="s">
        <v>201</v>
      </c>
      <c r="QPO17" s="310" t="s">
        <v>201</v>
      </c>
      <c r="QPP17" s="310" t="s">
        <v>201</v>
      </c>
      <c r="QPQ17" s="310" t="s">
        <v>201</v>
      </c>
      <c r="QPR17" s="310" t="s">
        <v>201</v>
      </c>
      <c r="QPS17" s="310" t="s">
        <v>201</v>
      </c>
      <c r="QPT17" s="310" t="s">
        <v>201</v>
      </c>
      <c r="QPU17" s="310" t="s">
        <v>201</v>
      </c>
      <c r="QPV17" s="310" t="s">
        <v>201</v>
      </c>
      <c r="QPW17" s="310" t="s">
        <v>201</v>
      </c>
      <c r="QPX17" s="310" t="s">
        <v>201</v>
      </c>
      <c r="QPY17" s="310" t="s">
        <v>201</v>
      </c>
      <c r="QPZ17" s="310" t="s">
        <v>201</v>
      </c>
      <c r="QQA17" s="310" t="s">
        <v>201</v>
      </c>
      <c r="QQB17" s="310" t="s">
        <v>201</v>
      </c>
      <c r="QQC17" s="310" t="s">
        <v>201</v>
      </c>
      <c r="QQD17" s="310" t="s">
        <v>201</v>
      </c>
      <c r="QQE17" s="310" t="s">
        <v>201</v>
      </c>
      <c r="QQF17" s="310" t="s">
        <v>201</v>
      </c>
      <c r="QQG17" s="310" t="s">
        <v>201</v>
      </c>
      <c r="QQH17" s="310" t="s">
        <v>201</v>
      </c>
      <c r="QQI17" s="310" t="s">
        <v>201</v>
      </c>
      <c r="QQJ17" s="310" t="s">
        <v>201</v>
      </c>
      <c r="QQK17" s="310" t="s">
        <v>201</v>
      </c>
      <c r="QQL17" s="310" t="s">
        <v>201</v>
      </c>
      <c r="QQM17" s="310" t="s">
        <v>201</v>
      </c>
      <c r="QQN17" s="310" t="s">
        <v>201</v>
      </c>
      <c r="QQO17" s="310" t="s">
        <v>201</v>
      </c>
      <c r="QQP17" s="310" t="s">
        <v>201</v>
      </c>
      <c r="QQQ17" s="310" t="s">
        <v>201</v>
      </c>
      <c r="QQR17" s="310" t="s">
        <v>201</v>
      </c>
      <c r="QQS17" s="310" t="s">
        <v>201</v>
      </c>
      <c r="QQT17" s="310" t="s">
        <v>201</v>
      </c>
      <c r="QQU17" s="310" t="s">
        <v>201</v>
      </c>
      <c r="QQV17" s="310" t="s">
        <v>201</v>
      </c>
      <c r="QQW17" s="310" t="s">
        <v>201</v>
      </c>
      <c r="QQX17" s="310" t="s">
        <v>201</v>
      </c>
      <c r="QQY17" s="310" t="s">
        <v>201</v>
      </c>
      <c r="QQZ17" s="310" t="s">
        <v>201</v>
      </c>
      <c r="QRA17" s="310" t="s">
        <v>201</v>
      </c>
      <c r="QRB17" s="310" t="s">
        <v>201</v>
      </c>
      <c r="QRC17" s="310" t="s">
        <v>201</v>
      </c>
      <c r="QRD17" s="310" t="s">
        <v>201</v>
      </c>
      <c r="QRE17" s="310" t="s">
        <v>201</v>
      </c>
      <c r="QRF17" s="310" t="s">
        <v>201</v>
      </c>
      <c r="QRG17" s="310" t="s">
        <v>201</v>
      </c>
      <c r="QRH17" s="310" t="s">
        <v>201</v>
      </c>
      <c r="QRI17" s="310" t="s">
        <v>201</v>
      </c>
      <c r="QRJ17" s="310" t="s">
        <v>201</v>
      </c>
      <c r="QRK17" s="310" t="s">
        <v>201</v>
      </c>
      <c r="QRL17" s="310" t="s">
        <v>201</v>
      </c>
      <c r="QRM17" s="310" t="s">
        <v>201</v>
      </c>
      <c r="QRN17" s="310" t="s">
        <v>201</v>
      </c>
      <c r="QRO17" s="310" t="s">
        <v>201</v>
      </c>
      <c r="QRP17" s="310" t="s">
        <v>201</v>
      </c>
      <c r="QRQ17" s="310" t="s">
        <v>201</v>
      </c>
      <c r="QRR17" s="310" t="s">
        <v>201</v>
      </c>
      <c r="QRS17" s="310" t="s">
        <v>201</v>
      </c>
      <c r="QRT17" s="310" t="s">
        <v>201</v>
      </c>
      <c r="QRU17" s="310" t="s">
        <v>201</v>
      </c>
      <c r="QRV17" s="310" t="s">
        <v>201</v>
      </c>
      <c r="QRW17" s="310" t="s">
        <v>201</v>
      </c>
      <c r="QRX17" s="310" t="s">
        <v>201</v>
      </c>
      <c r="QRY17" s="310" t="s">
        <v>201</v>
      </c>
      <c r="QRZ17" s="310" t="s">
        <v>201</v>
      </c>
      <c r="QSA17" s="310" t="s">
        <v>201</v>
      </c>
      <c r="QSB17" s="310" t="s">
        <v>201</v>
      </c>
      <c r="QSC17" s="310" t="s">
        <v>201</v>
      </c>
      <c r="QSD17" s="310" t="s">
        <v>201</v>
      </c>
      <c r="QSE17" s="310" t="s">
        <v>201</v>
      </c>
      <c r="QSF17" s="310" t="s">
        <v>201</v>
      </c>
      <c r="QSG17" s="310" t="s">
        <v>201</v>
      </c>
      <c r="QSH17" s="310" t="s">
        <v>201</v>
      </c>
      <c r="QSI17" s="310" t="s">
        <v>201</v>
      </c>
      <c r="QSJ17" s="310" t="s">
        <v>201</v>
      </c>
      <c r="QSK17" s="310" t="s">
        <v>201</v>
      </c>
      <c r="QSL17" s="310" t="s">
        <v>201</v>
      </c>
      <c r="QSM17" s="310" t="s">
        <v>201</v>
      </c>
      <c r="QSN17" s="310" t="s">
        <v>201</v>
      </c>
      <c r="QSO17" s="310" t="s">
        <v>201</v>
      </c>
      <c r="QSP17" s="310" t="s">
        <v>201</v>
      </c>
      <c r="QSQ17" s="310" t="s">
        <v>201</v>
      </c>
      <c r="QSR17" s="310" t="s">
        <v>201</v>
      </c>
      <c r="QSS17" s="310" t="s">
        <v>201</v>
      </c>
      <c r="QST17" s="310" t="s">
        <v>201</v>
      </c>
      <c r="QSU17" s="310" t="s">
        <v>201</v>
      </c>
      <c r="QSV17" s="310" t="s">
        <v>201</v>
      </c>
      <c r="QSW17" s="310" t="s">
        <v>201</v>
      </c>
      <c r="QSX17" s="310" t="s">
        <v>201</v>
      </c>
      <c r="QSY17" s="310" t="s">
        <v>201</v>
      </c>
      <c r="QSZ17" s="310" t="s">
        <v>201</v>
      </c>
      <c r="QTA17" s="310" t="s">
        <v>201</v>
      </c>
      <c r="QTB17" s="310" t="s">
        <v>201</v>
      </c>
      <c r="QTC17" s="310" t="s">
        <v>201</v>
      </c>
      <c r="QTD17" s="310" t="s">
        <v>201</v>
      </c>
      <c r="QTE17" s="310" t="s">
        <v>201</v>
      </c>
      <c r="QTF17" s="310" t="s">
        <v>201</v>
      </c>
      <c r="QTG17" s="310" t="s">
        <v>201</v>
      </c>
      <c r="QTH17" s="310" t="s">
        <v>201</v>
      </c>
      <c r="QTI17" s="310" t="s">
        <v>201</v>
      </c>
      <c r="QTJ17" s="310" t="s">
        <v>201</v>
      </c>
      <c r="QTK17" s="310" t="s">
        <v>201</v>
      </c>
      <c r="QTL17" s="310" t="s">
        <v>201</v>
      </c>
      <c r="QTM17" s="310" t="s">
        <v>201</v>
      </c>
      <c r="QTN17" s="310" t="s">
        <v>201</v>
      </c>
      <c r="QTO17" s="310" t="s">
        <v>201</v>
      </c>
      <c r="QTP17" s="310" t="s">
        <v>201</v>
      </c>
      <c r="QTQ17" s="310" t="s">
        <v>201</v>
      </c>
      <c r="QTR17" s="310" t="s">
        <v>201</v>
      </c>
      <c r="QTS17" s="310" t="s">
        <v>201</v>
      </c>
      <c r="QTT17" s="310" t="s">
        <v>201</v>
      </c>
      <c r="QTU17" s="310" t="s">
        <v>201</v>
      </c>
      <c r="QTV17" s="310" t="s">
        <v>201</v>
      </c>
      <c r="QTW17" s="310" t="s">
        <v>201</v>
      </c>
      <c r="QTX17" s="310" t="s">
        <v>201</v>
      </c>
      <c r="QTY17" s="310" t="s">
        <v>201</v>
      </c>
      <c r="QTZ17" s="310" t="s">
        <v>201</v>
      </c>
      <c r="QUA17" s="310" t="s">
        <v>201</v>
      </c>
      <c r="QUB17" s="310" t="s">
        <v>201</v>
      </c>
      <c r="QUC17" s="310" t="s">
        <v>201</v>
      </c>
      <c r="QUD17" s="310" t="s">
        <v>201</v>
      </c>
      <c r="QUE17" s="310" t="s">
        <v>201</v>
      </c>
      <c r="QUF17" s="310" t="s">
        <v>201</v>
      </c>
      <c r="QUG17" s="310" t="s">
        <v>201</v>
      </c>
      <c r="QUH17" s="310" t="s">
        <v>201</v>
      </c>
      <c r="QUI17" s="310" t="s">
        <v>201</v>
      </c>
      <c r="QUJ17" s="310" t="s">
        <v>201</v>
      </c>
      <c r="QUK17" s="310" t="s">
        <v>201</v>
      </c>
      <c r="QUL17" s="310" t="s">
        <v>201</v>
      </c>
      <c r="QUM17" s="310" t="s">
        <v>201</v>
      </c>
      <c r="QUN17" s="310" t="s">
        <v>201</v>
      </c>
      <c r="QUO17" s="310" t="s">
        <v>201</v>
      </c>
      <c r="QUP17" s="310" t="s">
        <v>201</v>
      </c>
      <c r="QUQ17" s="310" t="s">
        <v>201</v>
      </c>
      <c r="QUR17" s="310" t="s">
        <v>201</v>
      </c>
      <c r="QUS17" s="310" t="s">
        <v>201</v>
      </c>
      <c r="QUT17" s="310" t="s">
        <v>201</v>
      </c>
      <c r="QUU17" s="310" t="s">
        <v>201</v>
      </c>
      <c r="QUV17" s="310" t="s">
        <v>201</v>
      </c>
      <c r="QUW17" s="310" t="s">
        <v>201</v>
      </c>
      <c r="QUX17" s="310" t="s">
        <v>201</v>
      </c>
      <c r="QUY17" s="310" t="s">
        <v>201</v>
      </c>
      <c r="QUZ17" s="310" t="s">
        <v>201</v>
      </c>
      <c r="QVA17" s="310" t="s">
        <v>201</v>
      </c>
      <c r="QVB17" s="310" t="s">
        <v>201</v>
      </c>
      <c r="QVC17" s="310" t="s">
        <v>201</v>
      </c>
      <c r="QVD17" s="310" t="s">
        <v>201</v>
      </c>
      <c r="QVE17" s="310" t="s">
        <v>201</v>
      </c>
      <c r="QVF17" s="310" t="s">
        <v>201</v>
      </c>
      <c r="QVG17" s="310" t="s">
        <v>201</v>
      </c>
      <c r="QVH17" s="310" t="s">
        <v>201</v>
      </c>
      <c r="QVI17" s="310" t="s">
        <v>201</v>
      </c>
      <c r="QVJ17" s="310" t="s">
        <v>201</v>
      </c>
      <c r="QVK17" s="310" t="s">
        <v>201</v>
      </c>
      <c r="QVL17" s="310" t="s">
        <v>201</v>
      </c>
      <c r="QVM17" s="310" t="s">
        <v>201</v>
      </c>
      <c r="QVN17" s="310" t="s">
        <v>201</v>
      </c>
      <c r="QVO17" s="310" t="s">
        <v>201</v>
      </c>
      <c r="QVP17" s="310" t="s">
        <v>201</v>
      </c>
      <c r="QVQ17" s="310" t="s">
        <v>201</v>
      </c>
      <c r="QVR17" s="310" t="s">
        <v>201</v>
      </c>
      <c r="QVS17" s="310" t="s">
        <v>201</v>
      </c>
      <c r="QVT17" s="310" t="s">
        <v>201</v>
      </c>
      <c r="QVU17" s="310" t="s">
        <v>201</v>
      </c>
      <c r="QVV17" s="310" t="s">
        <v>201</v>
      </c>
      <c r="QVW17" s="310" t="s">
        <v>201</v>
      </c>
      <c r="QVX17" s="310" t="s">
        <v>201</v>
      </c>
      <c r="QVY17" s="310" t="s">
        <v>201</v>
      </c>
      <c r="QVZ17" s="310" t="s">
        <v>201</v>
      </c>
      <c r="QWA17" s="310" t="s">
        <v>201</v>
      </c>
      <c r="QWB17" s="310" t="s">
        <v>201</v>
      </c>
      <c r="QWC17" s="310" t="s">
        <v>201</v>
      </c>
      <c r="QWD17" s="310" t="s">
        <v>201</v>
      </c>
      <c r="QWE17" s="310" t="s">
        <v>201</v>
      </c>
      <c r="QWF17" s="310" t="s">
        <v>201</v>
      </c>
      <c r="QWG17" s="310" t="s">
        <v>201</v>
      </c>
      <c r="QWH17" s="310" t="s">
        <v>201</v>
      </c>
      <c r="QWI17" s="310" t="s">
        <v>201</v>
      </c>
      <c r="QWJ17" s="310" t="s">
        <v>201</v>
      </c>
      <c r="QWK17" s="310" t="s">
        <v>201</v>
      </c>
      <c r="QWL17" s="310" t="s">
        <v>201</v>
      </c>
      <c r="QWM17" s="310" t="s">
        <v>201</v>
      </c>
      <c r="QWN17" s="310" t="s">
        <v>201</v>
      </c>
      <c r="QWO17" s="310" t="s">
        <v>201</v>
      </c>
      <c r="QWP17" s="310" t="s">
        <v>201</v>
      </c>
      <c r="QWQ17" s="310" t="s">
        <v>201</v>
      </c>
      <c r="QWR17" s="310" t="s">
        <v>201</v>
      </c>
      <c r="QWS17" s="310" t="s">
        <v>201</v>
      </c>
      <c r="QWT17" s="310" t="s">
        <v>201</v>
      </c>
      <c r="QWU17" s="310" t="s">
        <v>201</v>
      </c>
      <c r="QWV17" s="310" t="s">
        <v>201</v>
      </c>
      <c r="QWW17" s="310" t="s">
        <v>201</v>
      </c>
      <c r="QWX17" s="310" t="s">
        <v>201</v>
      </c>
      <c r="QWY17" s="310" t="s">
        <v>201</v>
      </c>
      <c r="QWZ17" s="310" t="s">
        <v>201</v>
      </c>
      <c r="QXA17" s="310" t="s">
        <v>201</v>
      </c>
      <c r="QXB17" s="310" t="s">
        <v>201</v>
      </c>
      <c r="QXC17" s="310" t="s">
        <v>201</v>
      </c>
      <c r="QXD17" s="310" t="s">
        <v>201</v>
      </c>
      <c r="QXE17" s="310" t="s">
        <v>201</v>
      </c>
      <c r="QXF17" s="310" t="s">
        <v>201</v>
      </c>
      <c r="QXG17" s="310" t="s">
        <v>201</v>
      </c>
      <c r="QXH17" s="310" t="s">
        <v>201</v>
      </c>
      <c r="QXI17" s="310" t="s">
        <v>201</v>
      </c>
      <c r="QXJ17" s="310" t="s">
        <v>201</v>
      </c>
      <c r="QXK17" s="310" t="s">
        <v>201</v>
      </c>
      <c r="QXL17" s="310" t="s">
        <v>201</v>
      </c>
      <c r="QXM17" s="310" t="s">
        <v>201</v>
      </c>
      <c r="QXN17" s="310" t="s">
        <v>201</v>
      </c>
      <c r="QXO17" s="310" t="s">
        <v>201</v>
      </c>
      <c r="QXP17" s="310" t="s">
        <v>201</v>
      </c>
      <c r="QXQ17" s="310" t="s">
        <v>201</v>
      </c>
      <c r="QXR17" s="310" t="s">
        <v>201</v>
      </c>
      <c r="QXS17" s="310" t="s">
        <v>201</v>
      </c>
      <c r="QXT17" s="310" t="s">
        <v>201</v>
      </c>
      <c r="QXU17" s="310" t="s">
        <v>201</v>
      </c>
      <c r="QXV17" s="310" t="s">
        <v>201</v>
      </c>
      <c r="QXW17" s="310" t="s">
        <v>201</v>
      </c>
      <c r="QXX17" s="310" t="s">
        <v>201</v>
      </c>
      <c r="QXY17" s="310" t="s">
        <v>201</v>
      </c>
      <c r="QXZ17" s="310" t="s">
        <v>201</v>
      </c>
      <c r="QYA17" s="310" t="s">
        <v>201</v>
      </c>
      <c r="QYB17" s="310" t="s">
        <v>201</v>
      </c>
      <c r="QYC17" s="310" t="s">
        <v>201</v>
      </c>
      <c r="QYD17" s="310" t="s">
        <v>201</v>
      </c>
      <c r="QYE17" s="310" t="s">
        <v>201</v>
      </c>
      <c r="QYF17" s="310" t="s">
        <v>201</v>
      </c>
      <c r="QYG17" s="310" t="s">
        <v>201</v>
      </c>
      <c r="QYH17" s="310" t="s">
        <v>201</v>
      </c>
      <c r="QYI17" s="310" t="s">
        <v>201</v>
      </c>
      <c r="QYJ17" s="310" t="s">
        <v>201</v>
      </c>
      <c r="QYK17" s="310" t="s">
        <v>201</v>
      </c>
      <c r="QYL17" s="310" t="s">
        <v>201</v>
      </c>
      <c r="QYM17" s="310" t="s">
        <v>201</v>
      </c>
      <c r="QYN17" s="310" t="s">
        <v>201</v>
      </c>
      <c r="QYO17" s="310" t="s">
        <v>201</v>
      </c>
      <c r="QYP17" s="310" t="s">
        <v>201</v>
      </c>
      <c r="QYQ17" s="310" t="s">
        <v>201</v>
      </c>
      <c r="QYR17" s="310" t="s">
        <v>201</v>
      </c>
      <c r="QYS17" s="310" t="s">
        <v>201</v>
      </c>
      <c r="QYT17" s="310" t="s">
        <v>201</v>
      </c>
      <c r="QYU17" s="310" t="s">
        <v>201</v>
      </c>
      <c r="QYV17" s="310" t="s">
        <v>201</v>
      </c>
      <c r="QYW17" s="310" t="s">
        <v>201</v>
      </c>
      <c r="QYX17" s="310" t="s">
        <v>201</v>
      </c>
      <c r="QYY17" s="310" t="s">
        <v>201</v>
      </c>
      <c r="QYZ17" s="310" t="s">
        <v>201</v>
      </c>
      <c r="QZA17" s="310" t="s">
        <v>201</v>
      </c>
      <c r="QZB17" s="310" t="s">
        <v>201</v>
      </c>
      <c r="QZC17" s="310" t="s">
        <v>201</v>
      </c>
      <c r="QZD17" s="310" t="s">
        <v>201</v>
      </c>
      <c r="QZE17" s="310" t="s">
        <v>201</v>
      </c>
      <c r="QZF17" s="310" t="s">
        <v>201</v>
      </c>
      <c r="QZG17" s="310" t="s">
        <v>201</v>
      </c>
      <c r="QZH17" s="310" t="s">
        <v>201</v>
      </c>
      <c r="QZI17" s="310" t="s">
        <v>201</v>
      </c>
      <c r="QZJ17" s="310" t="s">
        <v>201</v>
      </c>
      <c r="QZK17" s="310" t="s">
        <v>201</v>
      </c>
      <c r="QZL17" s="310" t="s">
        <v>201</v>
      </c>
      <c r="QZM17" s="310" t="s">
        <v>201</v>
      </c>
      <c r="QZN17" s="310" t="s">
        <v>201</v>
      </c>
      <c r="QZO17" s="310" t="s">
        <v>201</v>
      </c>
      <c r="QZP17" s="310" t="s">
        <v>201</v>
      </c>
      <c r="QZQ17" s="310" t="s">
        <v>201</v>
      </c>
      <c r="QZR17" s="310" t="s">
        <v>201</v>
      </c>
      <c r="QZS17" s="310" t="s">
        <v>201</v>
      </c>
      <c r="QZT17" s="310" t="s">
        <v>201</v>
      </c>
      <c r="QZU17" s="310" t="s">
        <v>201</v>
      </c>
      <c r="QZV17" s="310" t="s">
        <v>201</v>
      </c>
      <c r="QZW17" s="310" t="s">
        <v>201</v>
      </c>
      <c r="QZX17" s="310" t="s">
        <v>201</v>
      </c>
      <c r="QZY17" s="310" t="s">
        <v>201</v>
      </c>
      <c r="QZZ17" s="310" t="s">
        <v>201</v>
      </c>
      <c r="RAA17" s="310" t="s">
        <v>201</v>
      </c>
      <c r="RAB17" s="310" t="s">
        <v>201</v>
      </c>
      <c r="RAC17" s="310" t="s">
        <v>201</v>
      </c>
      <c r="RAD17" s="310" t="s">
        <v>201</v>
      </c>
      <c r="RAE17" s="310" t="s">
        <v>201</v>
      </c>
      <c r="RAF17" s="310" t="s">
        <v>201</v>
      </c>
      <c r="RAG17" s="310" t="s">
        <v>201</v>
      </c>
      <c r="RAH17" s="310" t="s">
        <v>201</v>
      </c>
      <c r="RAI17" s="310" t="s">
        <v>201</v>
      </c>
      <c r="RAJ17" s="310" t="s">
        <v>201</v>
      </c>
      <c r="RAK17" s="310" t="s">
        <v>201</v>
      </c>
      <c r="RAL17" s="310" t="s">
        <v>201</v>
      </c>
      <c r="RAM17" s="310" t="s">
        <v>201</v>
      </c>
      <c r="RAN17" s="310" t="s">
        <v>201</v>
      </c>
      <c r="RAO17" s="310" t="s">
        <v>201</v>
      </c>
      <c r="RAP17" s="310" t="s">
        <v>201</v>
      </c>
      <c r="RAQ17" s="310" t="s">
        <v>201</v>
      </c>
      <c r="RAR17" s="310" t="s">
        <v>201</v>
      </c>
      <c r="RAS17" s="310" t="s">
        <v>201</v>
      </c>
      <c r="RAT17" s="310" t="s">
        <v>201</v>
      </c>
      <c r="RAU17" s="310" t="s">
        <v>201</v>
      </c>
      <c r="RAV17" s="310" t="s">
        <v>201</v>
      </c>
      <c r="RAW17" s="310" t="s">
        <v>201</v>
      </c>
      <c r="RAX17" s="310" t="s">
        <v>201</v>
      </c>
      <c r="RAY17" s="310" t="s">
        <v>201</v>
      </c>
      <c r="RAZ17" s="310" t="s">
        <v>201</v>
      </c>
      <c r="RBA17" s="310" t="s">
        <v>201</v>
      </c>
      <c r="RBB17" s="310" t="s">
        <v>201</v>
      </c>
      <c r="RBC17" s="310" t="s">
        <v>201</v>
      </c>
      <c r="RBD17" s="310" t="s">
        <v>201</v>
      </c>
      <c r="RBE17" s="310" t="s">
        <v>201</v>
      </c>
      <c r="RBF17" s="310" t="s">
        <v>201</v>
      </c>
      <c r="RBG17" s="310" t="s">
        <v>201</v>
      </c>
      <c r="RBH17" s="310" t="s">
        <v>201</v>
      </c>
      <c r="RBI17" s="310" t="s">
        <v>201</v>
      </c>
      <c r="RBJ17" s="310" t="s">
        <v>201</v>
      </c>
      <c r="RBK17" s="310" t="s">
        <v>201</v>
      </c>
      <c r="RBL17" s="310" t="s">
        <v>201</v>
      </c>
      <c r="RBM17" s="310" t="s">
        <v>201</v>
      </c>
      <c r="RBN17" s="310" t="s">
        <v>201</v>
      </c>
      <c r="RBO17" s="310" t="s">
        <v>201</v>
      </c>
      <c r="RBP17" s="310" t="s">
        <v>201</v>
      </c>
      <c r="RBQ17" s="310" t="s">
        <v>201</v>
      </c>
      <c r="RBR17" s="310" t="s">
        <v>201</v>
      </c>
      <c r="RBS17" s="310" t="s">
        <v>201</v>
      </c>
      <c r="RBT17" s="310" t="s">
        <v>201</v>
      </c>
      <c r="RBU17" s="310" t="s">
        <v>201</v>
      </c>
      <c r="RBV17" s="310" t="s">
        <v>201</v>
      </c>
      <c r="RBW17" s="310" t="s">
        <v>201</v>
      </c>
      <c r="RBX17" s="310" t="s">
        <v>201</v>
      </c>
      <c r="RBY17" s="310" t="s">
        <v>201</v>
      </c>
      <c r="RBZ17" s="310" t="s">
        <v>201</v>
      </c>
      <c r="RCA17" s="310" t="s">
        <v>201</v>
      </c>
      <c r="RCB17" s="310" t="s">
        <v>201</v>
      </c>
      <c r="RCC17" s="310" t="s">
        <v>201</v>
      </c>
      <c r="RCD17" s="310" t="s">
        <v>201</v>
      </c>
      <c r="RCE17" s="310" t="s">
        <v>201</v>
      </c>
      <c r="RCF17" s="310" t="s">
        <v>201</v>
      </c>
      <c r="RCG17" s="310" t="s">
        <v>201</v>
      </c>
      <c r="RCH17" s="310" t="s">
        <v>201</v>
      </c>
      <c r="RCI17" s="310" t="s">
        <v>201</v>
      </c>
      <c r="RCJ17" s="310" t="s">
        <v>201</v>
      </c>
      <c r="RCK17" s="310" t="s">
        <v>201</v>
      </c>
      <c r="RCL17" s="310" t="s">
        <v>201</v>
      </c>
      <c r="RCM17" s="310" t="s">
        <v>201</v>
      </c>
      <c r="RCN17" s="310" t="s">
        <v>201</v>
      </c>
      <c r="RCO17" s="310" t="s">
        <v>201</v>
      </c>
      <c r="RCP17" s="310" t="s">
        <v>201</v>
      </c>
      <c r="RCQ17" s="310" t="s">
        <v>201</v>
      </c>
      <c r="RCR17" s="310" t="s">
        <v>201</v>
      </c>
      <c r="RCS17" s="310" t="s">
        <v>201</v>
      </c>
      <c r="RCT17" s="310" t="s">
        <v>201</v>
      </c>
      <c r="RCU17" s="310" t="s">
        <v>201</v>
      </c>
      <c r="RCV17" s="310" t="s">
        <v>201</v>
      </c>
      <c r="RCW17" s="310" t="s">
        <v>201</v>
      </c>
      <c r="RCX17" s="310" t="s">
        <v>201</v>
      </c>
      <c r="RCY17" s="310" t="s">
        <v>201</v>
      </c>
      <c r="RCZ17" s="310" t="s">
        <v>201</v>
      </c>
      <c r="RDA17" s="310" t="s">
        <v>201</v>
      </c>
      <c r="RDB17" s="310" t="s">
        <v>201</v>
      </c>
      <c r="RDC17" s="310" t="s">
        <v>201</v>
      </c>
      <c r="RDD17" s="310" t="s">
        <v>201</v>
      </c>
      <c r="RDE17" s="310" t="s">
        <v>201</v>
      </c>
      <c r="RDF17" s="310" t="s">
        <v>201</v>
      </c>
      <c r="RDG17" s="310" t="s">
        <v>201</v>
      </c>
      <c r="RDH17" s="310" t="s">
        <v>201</v>
      </c>
      <c r="RDI17" s="310" t="s">
        <v>201</v>
      </c>
      <c r="RDJ17" s="310" t="s">
        <v>201</v>
      </c>
      <c r="RDK17" s="310" t="s">
        <v>201</v>
      </c>
      <c r="RDL17" s="310" t="s">
        <v>201</v>
      </c>
      <c r="RDM17" s="310" t="s">
        <v>201</v>
      </c>
      <c r="RDN17" s="310" t="s">
        <v>201</v>
      </c>
      <c r="RDO17" s="310" t="s">
        <v>201</v>
      </c>
      <c r="RDP17" s="310" t="s">
        <v>201</v>
      </c>
      <c r="RDQ17" s="310" t="s">
        <v>201</v>
      </c>
      <c r="RDR17" s="310" t="s">
        <v>201</v>
      </c>
      <c r="RDS17" s="310" t="s">
        <v>201</v>
      </c>
      <c r="RDT17" s="310" t="s">
        <v>201</v>
      </c>
      <c r="RDU17" s="310" t="s">
        <v>201</v>
      </c>
      <c r="RDV17" s="310" t="s">
        <v>201</v>
      </c>
      <c r="RDW17" s="310" t="s">
        <v>201</v>
      </c>
      <c r="RDX17" s="310" t="s">
        <v>201</v>
      </c>
      <c r="RDY17" s="310" t="s">
        <v>201</v>
      </c>
      <c r="RDZ17" s="310" t="s">
        <v>201</v>
      </c>
      <c r="REA17" s="310" t="s">
        <v>201</v>
      </c>
      <c r="REB17" s="310" t="s">
        <v>201</v>
      </c>
      <c r="REC17" s="310" t="s">
        <v>201</v>
      </c>
      <c r="RED17" s="310" t="s">
        <v>201</v>
      </c>
      <c r="REE17" s="310" t="s">
        <v>201</v>
      </c>
      <c r="REF17" s="310" t="s">
        <v>201</v>
      </c>
      <c r="REG17" s="310" t="s">
        <v>201</v>
      </c>
      <c r="REH17" s="310" t="s">
        <v>201</v>
      </c>
      <c r="REI17" s="310" t="s">
        <v>201</v>
      </c>
      <c r="REJ17" s="310" t="s">
        <v>201</v>
      </c>
      <c r="REK17" s="310" t="s">
        <v>201</v>
      </c>
      <c r="REL17" s="310" t="s">
        <v>201</v>
      </c>
      <c r="REM17" s="310" t="s">
        <v>201</v>
      </c>
      <c r="REN17" s="310" t="s">
        <v>201</v>
      </c>
      <c r="REO17" s="310" t="s">
        <v>201</v>
      </c>
      <c r="REP17" s="310" t="s">
        <v>201</v>
      </c>
      <c r="REQ17" s="310" t="s">
        <v>201</v>
      </c>
      <c r="RER17" s="310" t="s">
        <v>201</v>
      </c>
      <c r="RES17" s="310" t="s">
        <v>201</v>
      </c>
      <c r="RET17" s="310" t="s">
        <v>201</v>
      </c>
      <c r="REU17" s="310" t="s">
        <v>201</v>
      </c>
      <c r="REV17" s="310" t="s">
        <v>201</v>
      </c>
      <c r="REW17" s="310" t="s">
        <v>201</v>
      </c>
      <c r="REX17" s="310" t="s">
        <v>201</v>
      </c>
      <c r="REY17" s="310" t="s">
        <v>201</v>
      </c>
      <c r="REZ17" s="310" t="s">
        <v>201</v>
      </c>
      <c r="RFA17" s="310" t="s">
        <v>201</v>
      </c>
      <c r="RFB17" s="310" t="s">
        <v>201</v>
      </c>
      <c r="RFC17" s="310" t="s">
        <v>201</v>
      </c>
      <c r="RFD17" s="310" t="s">
        <v>201</v>
      </c>
      <c r="RFE17" s="310" t="s">
        <v>201</v>
      </c>
      <c r="RFF17" s="310" t="s">
        <v>201</v>
      </c>
      <c r="RFG17" s="310" t="s">
        <v>201</v>
      </c>
      <c r="RFH17" s="310" t="s">
        <v>201</v>
      </c>
      <c r="RFI17" s="310" t="s">
        <v>201</v>
      </c>
      <c r="RFJ17" s="310" t="s">
        <v>201</v>
      </c>
      <c r="RFK17" s="310" t="s">
        <v>201</v>
      </c>
      <c r="RFL17" s="310" t="s">
        <v>201</v>
      </c>
      <c r="RFM17" s="310" t="s">
        <v>201</v>
      </c>
      <c r="RFN17" s="310" t="s">
        <v>201</v>
      </c>
      <c r="RFO17" s="310" t="s">
        <v>201</v>
      </c>
      <c r="RFP17" s="310" t="s">
        <v>201</v>
      </c>
      <c r="RFQ17" s="310" t="s">
        <v>201</v>
      </c>
      <c r="RFR17" s="310" t="s">
        <v>201</v>
      </c>
      <c r="RFS17" s="310" t="s">
        <v>201</v>
      </c>
      <c r="RFT17" s="310" t="s">
        <v>201</v>
      </c>
      <c r="RFU17" s="310" t="s">
        <v>201</v>
      </c>
      <c r="RFV17" s="310" t="s">
        <v>201</v>
      </c>
      <c r="RFW17" s="310" t="s">
        <v>201</v>
      </c>
      <c r="RFX17" s="310" t="s">
        <v>201</v>
      </c>
      <c r="RFY17" s="310" t="s">
        <v>201</v>
      </c>
      <c r="RFZ17" s="310" t="s">
        <v>201</v>
      </c>
      <c r="RGA17" s="310" t="s">
        <v>201</v>
      </c>
      <c r="RGB17" s="310" t="s">
        <v>201</v>
      </c>
      <c r="RGC17" s="310" t="s">
        <v>201</v>
      </c>
      <c r="RGD17" s="310" t="s">
        <v>201</v>
      </c>
      <c r="RGE17" s="310" t="s">
        <v>201</v>
      </c>
      <c r="RGF17" s="310" t="s">
        <v>201</v>
      </c>
      <c r="RGG17" s="310" t="s">
        <v>201</v>
      </c>
      <c r="RGH17" s="310" t="s">
        <v>201</v>
      </c>
      <c r="RGI17" s="310" t="s">
        <v>201</v>
      </c>
      <c r="RGJ17" s="310" t="s">
        <v>201</v>
      </c>
      <c r="RGK17" s="310" t="s">
        <v>201</v>
      </c>
      <c r="RGL17" s="310" t="s">
        <v>201</v>
      </c>
      <c r="RGM17" s="310" t="s">
        <v>201</v>
      </c>
      <c r="RGN17" s="310" t="s">
        <v>201</v>
      </c>
      <c r="RGO17" s="310" t="s">
        <v>201</v>
      </c>
      <c r="RGP17" s="310" t="s">
        <v>201</v>
      </c>
      <c r="RGQ17" s="310" t="s">
        <v>201</v>
      </c>
      <c r="RGR17" s="310" t="s">
        <v>201</v>
      </c>
      <c r="RGS17" s="310" t="s">
        <v>201</v>
      </c>
      <c r="RGT17" s="310" t="s">
        <v>201</v>
      </c>
      <c r="RGU17" s="310" t="s">
        <v>201</v>
      </c>
      <c r="RGV17" s="310" t="s">
        <v>201</v>
      </c>
      <c r="RGW17" s="310" t="s">
        <v>201</v>
      </c>
      <c r="RGX17" s="310" t="s">
        <v>201</v>
      </c>
      <c r="RGY17" s="310" t="s">
        <v>201</v>
      </c>
      <c r="RGZ17" s="310" t="s">
        <v>201</v>
      </c>
      <c r="RHA17" s="310" t="s">
        <v>201</v>
      </c>
      <c r="RHB17" s="310" t="s">
        <v>201</v>
      </c>
      <c r="RHC17" s="310" t="s">
        <v>201</v>
      </c>
      <c r="RHD17" s="310" t="s">
        <v>201</v>
      </c>
      <c r="RHE17" s="310" t="s">
        <v>201</v>
      </c>
      <c r="RHF17" s="310" t="s">
        <v>201</v>
      </c>
      <c r="RHG17" s="310" t="s">
        <v>201</v>
      </c>
      <c r="RHH17" s="310" t="s">
        <v>201</v>
      </c>
      <c r="RHI17" s="310" t="s">
        <v>201</v>
      </c>
      <c r="RHJ17" s="310" t="s">
        <v>201</v>
      </c>
      <c r="RHK17" s="310" t="s">
        <v>201</v>
      </c>
      <c r="RHL17" s="310" t="s">
        <v>201</v>
      </c>
      <c r="RHM17" s="310" t="s">
        <v>201</v>
      </c>
      <c r="RHN17" s="310" t="s">
        <v>201</v>
      </c>
      <c r="RHO17" s="310" t="s">
        <v>201</v>
      </c>
      <c r="RHP17" s="310" t="s">
        <v>201</v>
      </c>
      <c r="RHQ17" s="310" t="s">
        <v>201</v>
      </c>
      <c r="RHR17" s="310" t="s">
        <v>201</v>
      </c>
      <c r="RHS17" s="310" t="s">
        <v>201</v>
      </c>
      <c r="RHT17" s="310" t="s">
        <v>201</v>
      </c>
      <c r="RHU17" s="310" t="s">
        <v>201</v>
      </c>
      <c r="RHV17" s="310" t="s">
        <v>201</v>
      </c>
      <c r="RHW17" s="310" t="s">
        <v>201</v>
      </c>
      <c r="RHX17" s="310" t="s">
        <v>201</v>
      </c>
      <c r="RHY17" s="310" t="s">
        <v>201</v>
      </c>
      <c r="RHZ17" s="310" t="s">
        <v>201</v>
      </c>
      <c r="RIA17" s="310" t="s">
        <v>201</v>
      </c>
      <c r="RIB17" s="310" t="s">
        <v>201</v>
      </c>
      <c r="RIC17" s="310" t="s">
        <v>201</v>
      </c>
      <c r="RID17" s="310" t="s">
        <v>201</v>
      </c>
      <c r="RIE17" s="310" t="s">
        <v>201</v>
      </c>
      <c r="RIF17" s="310" t="s">
        <v>201</v>
      </c>
      <c r="RIG17" s="310" t="s">
        <v>201</v>
      </c>
      <c r="RIH17" s="310" t="s">
        <v>201</v>
      </c>
      <c r="RII17" s="310" t="s">
        <v>201</v>
      </c>
      <c r="RIJ17" s="310" t="s">
        <v>201</v>
      </c>
      <c r="RIK17" s="310" t="s">
        <v>201</v>
      </c>
      <c r="RIL17" s="310" t="s">
        <v>201</v>
      </c>
      <c r="RIM17" s="310" t="s">
        <v>201</v>
      </c>
      <c r="RIN17" s="310" t="s">
        <v>201</v>
      </c>
      <c r="RIO17" s="310" t="s">
        <v>201</v>
      </c>
      <c r="RIP17" s="310" t="s">
        <v>201</v>
      </c>
      <c r="RIQ17" s="310" t="s">
        <v>201</v>
      </c>
      <c r="RIR17" s="310" t="s">
        <v>201</v>
      </c>
      <c r="RIS17" s="310" t="s">
        <v>201</v>
      </c>
      <c r="RIT17" s="310" t="s">
        <v>201</v>
      </c>
      <c r="RIU17" s="310" t="s">
        <v>201</v>
      </c>
      <c r="RIV17" s="310" t="s">
        <v>201</v>
      </c>
      <c r="RIW17" s="310" t="s">
        <v>201</v>
      </c>
      <c r="RIX17" s="310" t="s">
        <v>201</v>
      </c>
      <c r="RIY17" s="310" t="s">
        <v>201</v>
      </c>
      <c r="RIZ17" s="310" t="s">
        <v>201</v>
      </c>
      <c r="RJA17" s="310" t="s">
        <v>201</v>
      </c>
      <c r="RJB17" s="310" t="s">
        <v>201</v>
      </c>
      <c r="RJC17" s="310" t="s">
        <v>201</v>
      </c>
      <c r="RJD17" s="310" t="s">
        <v>201</v>
      </c>
      <c r="RJE17" s="310" t="s">
        <v>201</v>
      </c>
      <c r="RJF17" s="310" t="s">
        <v>201</v>
      </c>
      <c r="RJG17" s="310" t="s">
        <v>201</v>
      </c>
      <c r="RJH17" s="310" t="s">
        <v>201</v>
      </c>
      <c r="RJI17" s="310" t="s">
        <v>201</v>
      </c>
      <c r="RJJ17" s="310" t="s">
        <v>201</v>
      </c>
      <c r="RJK17" s="310" t="s">
        <v>201</v>
      </c>
      <c r="RJL17" s="310" t="s">
        <v>201</v>
      </c>
      <c r="RJM17" s="310" t="s">
        <v>201</v>
      </c>
      <c r="RJN17" s="310" t="s">
        <v>201</v>
      </c>
      <c r="RJO17" s="310" t="s">
        <v>201</v>
      </c>
      <c r="RJP17" s="310" t="s">
        <v>201</v>
      </c>
      <c r="RJQ17" s="310" t="s">
        <v>201</v>
      </c>
      <c r="RJR17" s="310" t="s">
        <v>201</v>
      </c>
      <c r="RJS17" s="310" t="s">
        <v>201</v>
      </c>
      <c r="RJT17" s="310" t="s">
        <v>201</v>
      </c>
      <c r="RJU17" s="310" t="s">
        <v>201</v>
      </c>
      <c r="RJV17" s="310" t="s">
        <v>201</v>
      </c>
      <c r="RJW17" s="310" t="s">
        <v>201</v>
      </c>
      <c r="RJX17" s="310" t="s">
        <v>201</v>
      </c>
      <c r="RJY17" s="310" t="s">
        <v>201</v>
      </c>
      <c r="RJZ17" s="310" t="s">
        <v>201</v>
      </c>
      <c r="RKA17" s="310" t="s">
        <v>201</v>
      </c>
      <c r="RKB17" s="310" t="s">
        <v>201</v>
      </c>
      <c r="RKC17" s="310" t="s">
        <v>201</v>
      </c>
      <c r="RKD17" s="310" t="s">
        <v>201</v>
      </c>
      <c r="RKE17" s="310" t="s">
        <v>201</v>
      </c>
      <c r="RKF17" s="310" t="s">
        <v>201</v>
      </c>
      <c r="RKG17" s="310" t="s">
        <v>201</v>
      </c>
      <c r="RKH17" s="310" t="s">
        <v>201</v>
      </c>
      <c r="RKI17" s="310" t="s">
        <v>201</v>
      </c>
      <c r="RKJ17" s="310" t="s">
        <v>201</v>
      </c>
      <c r="RKK17" s="310" t="s">
        <v>201</v>
      </c>
      <c r="RKL17" s="310" t="s">
        <v>201</v>
      </c>
      <c r="RKM17" s="310" t="s">
        <v>201</v>
      </c>
      <c r="RKN17" s="310" t="s">
        <v>201</v>
      </c>
      <c r="RKO17" s="310" t="s">
        <v>201</v>
      </c>
      <c r="RKP17" s="310" t="s">
        <v>201</v>
      </c>
      <c r="RKQ17" s="310" t="s">
        <v>201</v>
      </c>
      <c r="RKR17" s="310" t="s">
        <v>201</v>
      </c>
      <c r="RKS17" s="310" t="s">
        <v>201</v>
      </c>
      <c r="RKT17" s="310" t="s">
        <v>201</v>
      </c>
      <c r="RKU17" s="310" t="s">
        <v>201</v>
      </c>
      <c r="RKV17" s="310" t="s">
        <v>201</v>
      </c>
      <c r="RKW17" s="310" t="s">
        <v>201</v>
      </c>
      <c r="RKX17" s="310" t="s">
        <v>201</v>
      </c>
      <c r="RKY17" s="310" t="s">
        <v>201</v>
      </c>
      <c r="RKZ17" s="310" t="s">
        <v>201</v>
      </c>
      <c r="RLA17" s="310" t="s">
        <v>201</v>
      </c>
      <c r="RLB17" s="310" t="s">
        <v>201</v>
      </c>
      <c r="RLC17" s="310" t="s">
        <v>201</v>
      </c>
      <c r="RLD17" s="310" t="s">
        <v>201</v>
      </c>
      <c r="RLE17" s="310" t="s">
        <v>201</v>
      </c>
      <c r="RLF17" s="310" t="s">
        <v>201</v>
      </c>
      <c r="RLG17" s="310" t="s">
        <v>201</v>
      </c>
      <c r="RLH17" s="310" t="s">
        <v>201</v>
      </c>
      <c r="RLI17" s="310" t="s">
        <v>201</v>
      </c>
      <c r="RLJ17" s="310" t="s">
        <v>201</v>
      </c>
      <c r="RLK17" s="310" t="s">
        <v>201</v>
      </c>
      <c r="RLL17" s="310" t="s">
        <v>201</v>
      </c>
      <c r="RLM17" s="310" t="s">
        <v>201</v>
      </c>
      <c r="RLN17" s="310" t="s">
        <v>201</v>
      </c>
      <c r="RLO17" s="310" t="s">
        <v>201</v>
      </c>
      <c r="RLP17" s="310" t="s">
        <v>201</v>
      </c>
      <c r="RLQ17" s="310" t="s">
        <v>201</v>
      </c>
      <c r="RLR17" s="310" t="s">
        <v>201</v>
      </c>
      <c r="RLS17" s="310" t="s">
        <v>201</v>
      </c>
      <c r="RLT17" s="310" t="s">
        <v>201</v>
      </c>
      <c r="RLU17" s="310" t="s">
        <v>201</v>
      </c>
      <c r="RLV17" s="310" t="s">
        <v>201</v>
      </c>
      <c r="RLW17" s="310" t="s">
        <v>201</v>
      </c>
      <c r="RLX17" s="310" t="s">
        <v>201</v>
      </c>
      <c r="RLY17" s="310" t="s">
        <v>201</v>
      </c>
      <c r="RLZ17" s="310" t="s">
        <v>201</v>
      </c>
      <c r="RMA17" s="310" t="s">
        <v>201</v>
      </c>
      <c r="RMB17" s="310" t="s">
        <v>201</v>
      </c>
      <c r="RMC17" s="310" t="s">
        <v>201</v>
      </c>
      <c r="RMD17" s="310" t="s">
        <v>201</v>
      </c>
      <c r="RME17" s="310" t="s">
        <v>201</v>
      </c>
      <c r="RMF17" s="310" t="s">
        <v>201</v>
      </c>
      <c r="RMG17" s="310" t="s">
        <v>201</v>
      </c>
      <c r="RMH17" s="310" t="s">
        <v>201</v>
      </c>
      <c r="RMI17" s="310" t="s">
        <v>201</v>
      </c>
      <c r="RMJ17" s="310" t="s">
        <v>201</v>
      </c>
      <c r="RMK17" s="310" t="s">
        <v>201</v>
      </c>
      <c r="RML17" s="310" t="s">
        <v>201</v>
      </c>
      <c r="RMM17" s="310" t="s">
        <v>201</v>
      </c>
      <c r="RMN17" s="310" t="s">
        <v>201</v>
      </c>
      <c r="RMO17" s="310" t="s">
        <v>201</v>
      </c>
      <c r="RMP17" s="310" t="s">
        <v>201</v>
      </c>
      <c r="RMQ17" s="310" t="s">
        <v>201</v>
      </c>
      <c r="RMR17" s="310" t="s">
        <v>201</v>
      </c>
      <c r="RMS17" s="310" t="s">
        <v>201</v>
      </c>
      <c r="RMT17" s="310" t="s">
        <v>201</v>
      </c>
      <c r="RMU17" s="310" t="s">
        <v>201</v>
      </c>
      <c r="RMV17" s="310" t="s">
        <v>201</v>
      </c>
      <c r="RMW17" s="310" t="s">
        <v>201</v>
      </c>
      <c r="RMX17" s="310" t="s">
        <v>201</v>
      </c>
      <c r="RMY17" s="310" t="s">
        <v>201</v>
      </c>
      <c r="RMZ17" s="310" t="s">
        <v>201</v>
      </c>
      <c r="RNA17" s="310" t="s">
        <v>201</v>
      </c>
      <c r="RNB17" s="310" t="s">
        <v>201</v>
      </c>
      <c r="RNC17" s="310" t="s">
        <v>201</v>
      </c>
      <c r="RND17" s="310" t="s">
        <v>201</v>
      </c>
      <c r="RNE17" s="310" t="s">
        <v>201</v>
      </c>
      <c r="RNF17" s="310" t="s">
        <v>201</v>
      </c>
      <c r="RNG17" s="310" t="s">
        <v>201</v>
      </c>
      <c r="RNH17" s="310" t="s">
        <v>201</v>
      </c>
      <c r="RNI17" s="310" t="s">
        <v>201</v>
      </c>
      <c r="RNJ17" s="310" t="s">
        <v>201</v>
      </c>
      <c r="RNK17" s="310" t="s">
        <v>201</v>
      </c>
      <c r="RNL17" s="310" t="s">
        <v>201</v>
      </c>
      <c r="RNM17" s="310" t="s">
        <v>201</v>
      </c>
      <c r="RNN17" s="310" t="s">
        <v>201</v>
      </c>
      <c r="RNO17" s="310" t="s">
        <v>201</v>
      </c>
      <c r="RNP17" s="310" t="s">
        <v>201</v>
      </c>
      <c r="RNQ17" s="310" t="s">
        <v>201</v>
      </c>
      <c r="RNR17" s="310" t="s">
        <v>201</v>
      </c>
      <c r="RNS17" s="310" t="s">
        <v>201</v>
      </c>
      <c r="RNT17" s="310" t="s">
        <v>201</v>
      </c>
      <c r="RNU17" s="310" t="s">
        <v>201</v>
      </c>
      <c r="RNV17" s="310" t="s">
        <v>201</v>
      </c>
      <c r="RNW17" s="310" t="s">
        <v>201</v>
      </c>
      <c r="RNX17" s="310" t="s">
        <v>201</v>
      </c>
      <c r="RNY17" s="310" t="s">
        <v>201</v>
      </c>
      <c r="RNZ17" s="310" t="s">
        <v>201</v>
      </c>
      <c r="ROA17" s="310" t="s">
        <v>201</v>
      </c>
      <c r="ROB17" s="310" t="s">
        <v>201</v>
      </c>
      <c r="ROC17" s="310" t="s">
        <v>201</v>
      </c>
      <c r="ROD17" s="310" t="s">
        <v>201</v>
      </c>
      <c r="ROE17" s="310" t="s">
        <v>201</v>
      </c>
      <c r="ROF17" s="310" t="s">
        <v>201</v>
      </c>
      <c r="ROG17" s="310" t="s">
        <v>201</v>
      </c>
      <c r="ROH17" s="310" t="s">
        <v>201</v>
      </c>
      <c r="ROI17" s="310" t="s">
        <v>201</v>
      </c>
      <c r="ROJ17" s="310" t="s">
        <v>201</v>
      </c>
      <c r="ROK17" s="310" t="s">
        <v>201</v>
      </c>
      <c r="ROL17" s="310" t="s">
        <v>201</v>
      </c>
      <c r="ROM17" s="310" t="s">
        <v>201</v>
      </c>
      <c r="RON17" s="310" t="s">
        <v>201</v>
      </c>
      <c r="ROO17" s="310" t="s">
        <v>201</v>
      </c>
      <c r="ROP17" s="310" t="s">
        <v>201</v>
      </c>
      <c r="ROQ17" s="310" t="s">
        <v>201</v>
      </c>
      <c r="ROR17" s="310" t="s">
        <v>201</v>
      </c>
      <c r="ROS17" s="310" t="s">
        <v>201</v>
      </c>
      <c r="ROT17" s="310" t="s">
        <v>201</v>
      </c>
      <c r="ROU17" s="310" t="s">
        <v>201</v>
      </c>
      <c r="ROV17" s="310" t="s">
        <v>201</v>
      </c>
      <c r="ROW17" s="310" t="s">
        <v>201</v>
      </c>
      <c r="ROX17" s="310" t="s">
        <v>201</v>
      </c>
      <c r="ROY17" s="310" t="s">
        <v>201</v>
      </c>
      <c r="ROZ17" s="310" t="s">
        <v>201</v>
      </c>
      <c r="RPA17" s="310" t="s">
        <v>201</v>
      </c>
      <c r="RPB17" s="310" t="s">
        <v>201</v>
      </c>
      <c r="RPC17" s="310" t="s">
        <v>201</v>
      </c>
      <c r="RPD17" s="310" t="s">
        <v>201</v>
      </c>
      <c r="RPE17" s="310" t="s">
        <v>201</v>
      </c>
      <c r="RPF17" s="310" t="s">
        <v>201</v>
      </c>
      <c r="RPG17" s="310" t="s">
        <v>201</v>
      </c>
      <c r="RPH17" s="310" t="s">
        <v>201</v>
      </c>
      <c r="RPI17" s="310" t="s">
        <v>201</v>
      </c>
      <c r="RPJ17" s="310" t="s">
        <v>201</v>
      </c>
      <c r="RPK17" s="310" t="s">
        <v>201</v>
      </c>
      <c r="RPL17" s="310" t="s">
        <v>201</v>
      </c>
      <c r="RPM17" s="310" t="s">
        <v>201</v>
      </c>
      <c r="RPN17" s="310" t="s">
        <v>201</v>
      </c>
      <c r="RPO17" s="310" t="s">
        <v>201</v>
      </c>
      <c r="RPP17" s="310" t="s">
        <v>201</v>
      </c>
      <c r="RPQ17" s="310" t="s">
        <v>201</v>
      </c>
      <c r="RPR17" s="310" t="s">
        <v>201</v>
      </c>
      <c r="RPS17" s="310" t="s">
        <v>201</v>
      </c>
      <c r="RPT17" s="310" t="s">
        <v>201</v>
      </c>
      <c r="RPU17" s="310" t="s">
        <v>201</v>
      </c>
      <c r="RPV17" s="310" t="s">
        <v>201</v>
      </c>
      <c r="RPW17" s="310" t="s">
        <v>201</v>
      </c>
      <c r="RPX17" s="310" t="s">
        <v>201</v>
      </c>
      <c r="RPY17" s="310" t="s">
        <v>201</v>
      </c>
      <c r="RPZ17" s="310" t="s">
        <v>201</v>
      </c>
      <c r="RQA17" s="310" t="s">
        <v>201</v>
      </c>
      <c r="RQB17" s="310" t="s">
        <v>201</v>
      </c>
      <c r="RQC17" s="310" t="s">
        <v>201</v>
      </c>
      <c r="RQD17" s="310" t="s">
        <v>201</v>
      </c>
      <c r="RQE17" s="310" t="s">
        <v>201</v>
      </c>
      <c r="RQF17" s="310" t="s">
        <v>201</v>
      </c>
      <c r="RQG17" s="310" t="s">
        <v>201</v>
      </c>
      <c r="RQH17" s="310" t="s">
        <v>201</v>
      </c>
      <c r="RQI17" s="310" t="s">
        <v>201</v>
      </c>
      <c r="RQJ17" s="310" t="s">
        <v>201</v>
      </c>
      <c r="RQK17" s="310" t="s">
        <v>201</v>
      </c>
      <c r="RQL17" s="310" t="s">
        <v>201</v>
      </c>
      <c r="RQM17" s="310" t="s">
        <v>201</v>
      </c>
      <c r="RQN17" s="310" t="s">
        <v>201</v>
      </c>
      <c r="RQO17" s="310" t="s">
        <v>201</v>
      </c>
      <c r="RQP17" s="310" t="s">
        <v>201</v>
      </c>
      <c r="RQQ17" s="310" t="s">
        <v>201</v>
      </c>
      <c r="RQR17" s="310" t="s">
        <v>201</v>
      </c>
      <c r="RQS17" s="310" t="s">
        <v>201</v>
      </c>
      <c r="RQT17" s="310" t="s">
        <v>201</v>
      </c>
      <c r="RQU17" s="310" t="s">
        <v>201</v>
      </c>
      <c r="RQV17" s="310" t="s">
        <v>201</v>
      </c>
      <c r="RQW17" s="310" t="s">
        <v>201</v>
      </c>
      <c r="RQX17" s="310" t="s">
        <v>201</v>
      </c>
      <c r="RQY17" s="310" t="s">
        <v>201</v>
      </c>
      <c r="RQZ17" s="310" t="s">
        <v>201</v>
      </c>
      <c r="RRA17" s="310" t="s">
        <v>201</v>
      </c>
      <c r="RRB17" s="310" t="s">
        <v>201</v>
      </c>
      <c r="RRC17" s="310" t="s">
        <v>201</v>
      </c>
      <c r="RRD17" s="310" t="s">
        <v>201</v>
      </c>
      <c r="RRE17" s="310" t="s">
        <v>201</v>
      </c>
      <c r="RRF17" s="310" t="s">
        <v>201</v>
      </c>
      <c r="RRG17" s="310" t="s">
        <v>201</v>
      </c>
      <c r="RRH17" s="310" t="s">
        <v>201</v>
      </c>
      <c r="RRI17" s="310" t="s">
        <v>201</v>
      </c>
      <c r="RRJ17" s="310" t="s">
        <v>201</v>
      </c>
      <c r="RRK17" s="310" t="s">
        <v>201</v>
      </c>
      <c r="RRL17" s="310" t="s">
        <v>201</v>
      </c>
      <c r="RRM17" s="310" t="s">
        <v>201</v>
      </c>
      <c r="RRN17" s="310" t="s">
        <v>201</v>
      </c>
      <c r="RRO17" s="310" t="s">
        <v>201</v>
      </c>
      <c r="RRP17" s="310" t="s">
        <v>201</v>
      </c>
      <c r="RRQ17" s="310" t="s">
        <v>201</v>
      </c>
      <c r="RRR17" s="310" t="s">
        <v>201</v>
      </c>
      <c r="RRS17" s="310" t="s">
        <v>201</v>
      </c>
      <c r="RRT17" s="310" t="s">
        <v>201</v>
      </c>
      <c r="RRU17" s="310" t="s">
        <v>201</v>
      </c>
      <c r="RRV17" s="310" t="s">
        <v>201</v>
      </c>
      <c r="RRW17" s="310" t="s">
        <v>201</v>
      </c>
      <c r="RRX17" s="310" t="s">
        <v>201</v>
      </c>
      <c r="RRY17" s="310" t="s">
        <v>201</v>
      </c>
      <c r="RRZ17" s="310" t="s">
        <v>201</v>
      </c>
      <c r="RSA17" s="310" t="s">
        <v>201</v>
      </c>
      <c r="RSB17" s="310" t="s">
        <v>201</v>
      </c>
      <c r="RSC17" s="310" t="s">
        <v>201</v>
      </c>
      <c r="RSD17" s="310" t="s">
        <v>201</v>
      </c>
      <c r="RSE17" s="310" t="s">
        <v>201</v>
      </c>
      <c r="RSF17" s="310" t="s">
        <v>201</v>
      </c>
      <c r="RSG17" s="310" t="s">
        <v>201</v>
      </c>
      <c r="RSH17" s="310" t="s">
        <v>201</v>
      </c>
      <c r="RSI17" s="310" t="s">
        <v>201</v>
      </c>
      <c r="RSJ17" s="310" t="s">
        <v>201</v>
      </c>
      <c r="RSK17" s="310" t="s">
        <v>201</v>
      </c>
      <c r="RSL17" s="310" t="s">
        <v>201</v>
      </c>
      <c r="RSM17" s="310" t="s">
        <v>201</v>
      </c>
      <c r="RSN17" s="310" t="s">
        <v>201</v>
      </c>
      <c r="RSO17" s="310" t="s">
        <v>201</v>
      </c>
      <c r="RSP17" s="310" t="s">
        <v>201</v>
      </c>
      <c r="RSQ17" s="310" t="s">
        <v>201</v>
      </c>
      <c r="RSR17" s="310" t="s">
        <v>201</v>
      </c>
      <c r="RSS17" s="310" t="s">
        <v>201</v>
      </c>
      <c r="RST17" s="310" t="s">
        <v>201</v>
      </c>
      <c r="RSU17" s="310" t="s">
        <v>201</v>
      </c>
      <c r="RSV17" s="310" t="s">
        <v>201</v>
      </c>
      <c r="RSW17" s="310" t="s">
        <v>201</v>
      </c>
      <c r="RSX17" s="310" t="s">
        <v>201</v>
      </c>
      <c r="RSY17" s="310" t="s">
        <v>201</v>
      </c>
      <c r="RSZ17" s="310" t="s">
        <v>201</v>
      </c>
      <c r="RTA17" s="310" t="s">
        <v>201</v>
      </c>
      <c r="RTB17" s="310" t="s">
        <v>201</v>
      </c>
      <c r="RTC17" s="310" t="s">
        <v>201</v>
      </c>
      <c r="RTD17" s="310" t="s">
        <v>201</v>
      </c>
      <c r="RTE17" s="310" t="s">
        <v>201</v>
      </c>
      <c r="RTF17" s="310" t="s">
        <v>201</v>
      </c>
      <c r="RTG17" s="310" t="s">
        <v>201</v>
      </c>
      <c r="RTH17" s="310" t="s">
        <v>201</v>
      </c>
      <c r="RTI17" s="310" t="s">
        <v>201</v>
      </c>
      <c r="RTJ17" s="310" t="s">
        <v>201</v>
      </c>
      <c r="RTK17" s="310" t="s">
        <v>201</v>
      </c>
      <c r="RTL17" s="310" t="s">
        <v>201</v>
      </c>
      <c r="RTM17" s="310" t="s">
        <v>201</v>
      </c>
      <c r="RTN17" s="310" t="s">
        <v>201</v>
      </c>
      <c r="RTO17" s="310" t="s">
        <v>201</v>
      </c>
      <c r="RTP17" s="310" t="s">
        <v>201</v>
      </c>
      <c r="RTQ17" s="310" t="s">
        <v>201</v>
      </c>
      <c r="RTR17" s="310" t="s">
        <v>201</v>
      </c>
      <c r="RTS17" s="310" t="s">
        <v>201</v>
      </c>
      <c r="RTT17" s="310" t="s">
        <v>201</v>
      </c>
      <c r="RTU17" s="310" t="s">
        <v>201</v>
      </c>
      <c r="RTV17" s="310" t="s">
        <v>201</v>
      </c>
      <c r="RTW17" s="310" t="s">
        <v>201</v>
      </c>
      <c r="RTX17" s="310" t="s">
        <v>201</v>
      </c>
      <c r="RTY17" s="310" t="s">
        <v>201</v>
      </c>
      <c r="RTZ17" s="310" t="s">
        <v>201</v>
      </c>
      <c r="RUA17" s="310" t="s">
        <v>201</v>
      </c>
      <c r="RUB17" s="310" t="s">
        <v>201</v>
      </c>
      <c r="RUC17" s="310" t="s">
        <v>201</v>
      </c>
      <c r="RUD17" s="310" t="s">
        <v>201</v>
      </c>
      <c r="RUE17" s="310" t="s">
        <v>201</v>
      </c>
      <c r="RUF17" s="310" t="s">
        <v>201</v>
      </c>
      <c r="RUG17" s="310" t="s">
        <v>201</v>
      </c>
      <c r="RUH17" s="310" t="s">
        <v>201</v>
      </c>
      <c r="RUI17" s="310" t="s">
        <v>201</v>
      </c>
      <c r="RUJ17" s="310" t="s">
        <v>201</v>
      </c>
      <c r="RUK17" s="310" t="s">
        <v>201</v>
      </c>
      <c r="RUL17" s="310" t="s">
        <v>201</v>
      </c>
      <c r="RUM17" s="310" t="s">
        <v>201</v>
      </c>
      <c r="RUN17" s="310" t="s">
        <v>201</v>
      </c>
      <c r="RUO17" s="310" t="s">
        <v>201</v>
      </c>
      <c r="RUP17" s="310" t="s">
        <v>201</v>
      </c>
      <c r="RUQ17" s="310" t="s">
        <v>201</v>
      </c>
      <c r="RUR17" s="310" t="s">
        <v>201</v>
      </c>
      <c r="RUS17" s="310" t="s">
        <v>201</v>
      </c>
      <c r="RUT17" s="310" t="s">
        <v>201</v>
      </c>
      <c r="RUU17" s="310" t="s">
        <v>201</v>
      </c>
      <c r="RUV17" s="310" t="s">
        <v>201</v>
      </c>
      <c r="RUW17" s="310" t="s">
        <v>201</v>
      </c>
      <c r="RUX17" s="310" t="s">
        <v>201</v>
      </c>
      <c r="RUY17" s="310" t="s">
        <v>201</v>
      </c>
      <c r="RUZ17" s="310" t="s">
        <v>201</v>
      </c>
      <c r="RVA17" s="310" t="s">
        <v>201</v>
      </c>
      <c r="RVB17" s="310" t="s">
        <v>201</v>
      </c>
      <c r="RVC17" s="310" t="s">
        <v>201</v>
      </c>
      <c r="RVD17" s="310" t="s">
        <v>201</v>
      </c>
      <c r="RVE17" s="310" t="s">
        <v>201</v>
      </c>
      <c r="RVF17" s="310" t="s">
        <v>201</v>
      </c>
      <c r="RVG17" s="310" t="s">
        <v>201</v>
      </c>
      <c r="RVH17" s="310" t="s">
        <v>201</v>
      </c>
      <c r="RVI17" s="310" t="s">
        <v>201</v>
      </c>
      <c r="RVJ17" s="310" t="s">
        <v>201</v>
      </c>
      <c r="RVK17" s="310" t="s">
        <v>201</v>
      </c>
      <c r="RVL17" s="310" t="s">
        <v>201</v>
      </c>
      <c r="RVM17" s="310" t="s">
        <v>201</v>
      </c>
      <c r="RVN17" s="310" t="s">
        <v>201</v>
      </c>
      <c r="RVO17" s="310" t="s">
        <v>201</v>
      </c>
      <c r="RVP17" s="310" t="s">
        <v>201</v>
      </c>
      <c r="RVQ17" s="310" t="s">
        <v>201</v>
      </c>
      <c r="RVR17" s="310" t="s">
        <v>201</v>
      </c>
      <c r="RVS17" s="310" t="s">
        <v>201</v>
      </c>
      <c r="RVT17" s="310" t="s">
        <v>201</v>
      </c>
      <c r="RVU17" s="310" t="s">
        <v>201</v>
      </c>
      <c r="RVV17" s="310" t="s">
        <v>201</v>
      </c>
      <c r="RVW17" s="310" t="s">
        <v>201</v>
      </c>
      <c r="RVX17" s="310" t="s">
        <v>201</v>
      </c>
      <c r="RVY17" s="310" t="s">
        <v>201</v>
      </c>
      <c r="RVZ17" s="310" t="s">
        <v>201</v>
      </c>
      <c r="RWA17" s="310" t="s">
        <v>201</v>
      </c>
      <c r="RWB17" s="310" t="s">
        <v>201</v>
      </c>
      <c r="RWC17" s="310" t="s">
        <v>201</v>
      </c>
      <c r="RWD17" s="310" t="s">
        <v>201</v>
      </c>
      <c r="RWE17" s="310" t="s">
        <v>201</v>
      </c>
      <c r="RWF17" s="310" t="s">
        <v>201</v>
      </c>
      <c r="RWG17" s="310" t="s">
        <v>201</v>
      </c>
      <c r="RWH17" s="310" t="s">
        <v>201</v>
      </c>
      <c r="RWI17" s="310" t="s">
        <v>201</v>
      </c>
      <c r="RWJ17" s="310" t="s">
        <v>201</v>
      </c>
      <c r="RWK17" s="310" t="s">
        <v>201</v>
      </c>
      <c r="RWL17" s="310" t="s">
        <v>201</v>
      </c>
      <c r="RWM17" s="310" t="s">
        <v>201</v>
      </c>
      <c r="RWN17" s="310" t="s">
        <v>201</v>
      </c>
      <c r="RWO17" s="310" t="s">
        <v>201</v>
      </c>
      <c r="RWP17" s="310" t="s">
        <v>201</v>
      </c>
      <c r="RWQ17" s="310" t="s">
        <v>201</v>
      </c>
      <c r="RWR17" s="310" t="s">
        <v>201</v>
      </c>
      <c r="RWS17" s="310" t="s">
        <v>201</v>
      </c>
      <c r="RWT17" s="310" t="s">
        <v>201</v>
      </c>
      <c r="RWU17" s="310" t="s">
        <v>201</v>
      </c>
      <c r="RWV17" s="310" t="s">
        <v>201</v>
      </c>
      <c r="RWW17" s="310" t="s">
        <v>201</v>
      </c>
      <c r="RWX17" s="310" t="s">
        <v>201</v>
      </c>
      <c r="RWY17" s="310" t="s">
        <v>201</v>
      </c>
      <c r="RWZ17" s="310" t="s">
        <v>201</v>
      </c>
      <c r="RXA17" s="310" t="s">
        <v>201</v>
      </c>
      <c r="RXB17" s="310" t="s">
        <v>201</v>
      </c>
      <c r="RXC17" s="310" t="s">
        <v>201</v>
      </c>
      <c r="RXD17" s="310" t="s">
        <v>201</v>
      </c>
      <c r="RXE17" s="310" t="s">
        <v>201</v>
      </c>
      <c r="RXF17" s="310" t="s">
        <v>201</v>
      </c>
      <c r="RXG17" s="310" t="s">
        <v>201</v>
      </c>
      <c r="RXH17" s="310" t="s">
        <v>201</v>
      </c>
      <c r="RXI17" s="310" t="s">
        <v>201</v>
      </c>
      <c r="RXJ17" s="310" t="s">
        <v>201</v>
      </c>
      <c r="RXK17" s="310" t="s">
        <v>201</v>
      </c>
      <c r="RXL17" s="310" t="s">
        <v>201</v>
      </c>
      <c r="RXM17" s="310" t="s">
        <v>201</v>
      </c>
      <c r="RXN17" s="310" t="s">
        <v>201</v>
      </c>
      <c r="RXO17" s="310" t="s">
        <v>201</v>
      </c>
      <c r="RXP17" s="310" t="s">
        <v>201</v>
      </c>
      <c r="RXQ17" s="310" t="s">
        <v>201</v>
      </c>
      <c r="RXR17" s="310" t="s">
        <v>201</v>
      </c>
      <c r="RXS17" s="310" t="s">
        <v>201</v>
      </c>
      <c r="RXT17" s="310" t="s">
        <v>201</v>
      </c>
      <c r="RXU17" s="310" t="s">
        <v>201</v>
      </c>
      <c r="RXV17" s="310" t="s">
        <v>201</v>
      </c>
      <c r="RXW17" s="310" t="s">
        <v>201</v>
      </c>
      <c r="RXX17" s="310" t="s">
        <v>201</v>
      </c>
      <c r="RXY17" s="310" t="s">
        <v>201</v>
      </c>
      <c r="RXZ17" s="310" t="s">
        <v>201</v>
      </c>
      <c r="RYA17" s="310" t="s">
        <v>201</v>
      </c>
      <c r="RYB17" s="310" t="s">
        <v>201</v>
      </c>
      <c r="RYC17" s="310" t="s">
        <v>201</v>
      </c>
      <c r="RYD17" s="310" t="s">
        <v>201</v>
      </c>
      <c r="RYE17" s="310" t="s">
        <v>201</v>
      </c>
      <c r="RYF17" s="310" t="s">
        <v>201</v>
      </c>
      <c r="RYG17" s="310" t="s">
        <v>201</v>
      </c>
      <c r="RYH17" s="310" t="s">
        <v>201</v>
      </c>
      <c r="RYI17" s="310" t="s">
        <v>201</v>
      </c>
      <c r="RYJ17" s="310" t="s">
        <v>201</v>
      </c>
      <c r="RYK17" s="310" t="s">
        <v>201</v>
      </c>
      <c r="RYL17" s="310" t="s">
        <v>201</v>
      </c>
      <c r="RYM17" s="310" t="s">
        <v>201</v>
      </c>
      <c r="RYN17" s="310" t="s">
        <v>201</v>
      </c>
      <c r="RYO17" s="310" t="s">
        <v>201</v>
      </c>
      <c r="RYP17" s="310" t="s">
        <v>201</v>
      </c>
      <c r="RYQ17" s="310" t="s">
        <v>201</v>
      </c>
      <c r="RYR17" s="310" t="s">
        <v>201</v>
      </c>
      <c r="RYS17" s="310" t="s">
        <v>201</v>
      </c>
      <c r="RYT17" s="310" t="s">
        <v>201</v>
      </c>
      <c r="RYU17" s="310" t="s">
        <v>201</v>
      </c>
      <c r="RYV17" s="310" t="s">
        <v>201</v>
      </c>
      <c r="RYW17" s="310" t="s">
        <v>201</v>
      </c>
      <c r="RYX17" s="310" t="s">
        <v>201</v>
      </c>
      <c r="RYY17" s="310" t="s">
        <v>201</v>
      </c>
      <c r="RYZ17" s="310" t="s">
        <v>201</v>
      </c>
      <c r="RZA17" s="310" t="s">
        <v>201</v>
      </c>
      <c r="RZB17" s="310" t="s">
        <v>201</v>
      </c>
      <c r="RZC17" s="310" t="s">
        <v>201</v>
      </c>
      <c r="RZD17" s="310" t="s">
        <v>201</v>
      </c>
      <c r="RZE17" s="310" t="s">
        <v>201</v>
      </c>
      <c r="RZF17" s="310" t="s">
        <v>201</v>
      </c>
      <c r="RZG17" s="310" t="s">
        <v>201</v>
      </c>
      <c r="RZH17" s="310" t="s">
        <v>201</v>
      </c>
      <c r="RZI17" s="310" t="s">
        <v>201</v>
      </c>
      <c r="RZJ17" s="310" t="s">
        <v>201</v>
      </c>
      <c r="RZK17" s="310" t="s">
        <v>201</v>
      </c>
      <c r="RZL17" s="310" t="s">
        <v>201</v>
      </c>
      <c r="RZM17" s="310" t="s">
        <v>201</v>
      </c>
      <c r="RZN17" s="310" t="s">
        <v>201</v>
      </c>
      <c r="RZO17" s="310" t="s">
        <v>201</v>
      </c>
      <c r="RZP17" s="310" t="s">
        <v>201</v>
      </c>
      <c r="RZQ17" s="310" t="s">
        <v>201</v>
      </c>
      <c r="RZR17" s="310" t="s">
        <v>201</v>
      </c>
      <c r="RZS17" s="310" t="s">
        <v>201</v>
      </c>
      <c r="RZT17" s="310" t="s">
        <v>201</v>
      </c>
      <c r="RZU17" s="310" t="s">
        <v>201</v>
      </c>
      <c r="RZV17" s="310" t="s">
        <v>201</v>
      </c>
      <c r="RZW17" s="310" t="s">
        <v>201</v>
      </c>
      <c r="RZX17" s="310" t="s">
        <v>201</v>
      </c>
      <c r="RZY17" s="310" t="s">
        <v>201</v>
      </c>
      <c r="RZZ17" s="310" t="s">
        <v>201</v>
      </c>
      <c r="SAA17" s="310" t="s">
        <v>201</v>
      </c>
      <c r="SAB17" s="310" t="s">
        <v>201</v>
      </c>
      <c r="SAC17" s="310" t="s">
        <v>201</v>
      </c>
      <c r="SAD17" s="310" t="s">
        <v>201</v>
      </c>
      <c r="SAE17" s="310" t="s">
        <v>201</v>
      </c>
      <c r="SAF17" s="310" t="s">
        <v>201</v>
      </c>
      <c r="SAG17" s="310" t="s">
        <v>201</v>
      </c>
      <c r="SAH17" s="310" t="s">
        <v>201</v>
      </c>
      <c r="SAI17" s="310" t="s">
        <v>201</v>
      </c>
      <c r="SAJ17" s="310" t="s">
        <v>201</v>
      </c>
      <c r="SAK17" s="310" t="s">
        <v>201</v>
      </c>
      <c r="SAL17" s="310" t="s">
        <v>201</v>
      </c>
      <c r="SAM17" s="310" t="s">
        <v>201</v>
      </c>
      <c r="SAN17" s="310" t="s">
        <v>201</v>
      </c>
      <c r="SAO17" s="310" t="s">
        <v>201</v>
      </c>
      <c r="SAP17" s="310" t="s">
        <v>201</v>
      </c>
      <c r="SAQ17" s="310" t="s">
        <v>201</v>
      </c>
      <c r="SAR17" s="310" t="s">
        <v>201</v>
      </c>
      <c r="SAS17" s="310" t="s">
        <v>201</v>
      </c>
      <c r="SAT17" s="310" t="s">
        <v>201</v>
      </c>
      <c r="SAU17" s="310" t="s">
        <v>201</v>
      </c>
      <c r="SAV17" s="310" t="s">
        <v>201</v>
      </c>
      <c r="SAW17" s="310" t="s">
        <v>201</v>
      </c>
      <c r="SAX17" s="310" t="s">
        <v>201</v>
      </c>
      <c r="SAY17" s="310" t="s">
        <v>201</v>
      </c>
      <c r="SAZ17" s="310" t="s">
        <v>201</v>
      </c>
      <c r="SBA17" s="310" t="s">
        <v>201</v>
      </c>
      <c r="SBB17" s="310" t="s">
        <v>201</v>
      </c>
      <c r="SBC17" s="310" t="s">
        <v>201</v>
      </c>
      <c r="SBD17" s="310" t="s">
        <v>201</v>
      </c>
      <c r="SBE17" s="310" t="s">
        <v>201</v>
      </c>
      <c r="SBF17" s="310" t="s">
        <v>201</v>
      </c>
      <c r="SBG17" s="310" t="s">
        <v>201</v>
      </c>
      <c r="SBH17" s="310" t="s">
        <v>201</v>
      </c>
      <c r="SBI17" s="310" t="s">
        <v>201</v>
      </c>
      <c r="SBJ17" s="310" t="s">
        <v>201</v>
      </c>
      <c r="SBK17" s="310" t="s">
        <v>201</v>
      </c>
      <c r="SBL17" s="310" t="s">
        <v>201</v>
      </c>
      <c r="SBM17" s="310" t="s">
        <v>201</v>
      </c>
      <c r="SBN17" s="310" t="s">
        <v>201</v>
      </c>
      <c r="SBO17" s="310" t="s">
        <v>201</v>
      </c>
      <c r="SBP17" s="310" t="s">
        <v>201</v>
      </c>
      <c r="SBQ17" s="310" t="s">
        <v>201</v>
      </c>
      <c r="SBR17" s="310" t="s">
        <v>201</v>
      </c>
      <c r="SBS17" s="310" t="s">
        <v>201</v>
      </c>
      <c r="SBT17" s="310" t="s">
        <v>201</v>
      </c>
      <c r="SBU17" s="310" t="s">
        <v>201</v>
      </c>
      <c r="SBV17" s="310" t="s">
        <v>201</v>
      </c>
      <c r="SBW17" s="310" t="s">
        <v>201</v>
      </c>
      <c r="SBX17" s="310" t="s">
        <v>201</v>
      </c>
      <c r="SBY17" s="310" t="s">
        <v>201</v>
      </c>
      <c r="SBZ17" s="310" t="s">
        <v>201</v>
      </c>
      <c r="SCA17" s="310" t="s">
        <v>201</v>
      </c>
      <c r="SCB17" s="310" t="s">
        <v>201</v>
      </c>
      <c r="SCC17" s="310" t="s">
        <v>201</v>
      </c>
      <c r="SCD17" s="310" t="s">
        <v>201</v>
      </c>
      <c r="SCE17" s="310" t="s">
        <v>201</v>
      </c>
      <c r="SCF17" s="310" t="s">
        <v>201</v>
      </c>
      <c r="SCG17" s="310" t="s">
        <v>201</v>
      </c>
      <c r="SCH17" s="310" t="s">
        <v>201</v>
      </c>
      <c r="SCI17" s="310" t="s">
        <v>201</v>
      </c>
      <c r="SCJ17" s="310" t="s">
        <v>201</v>
      </c>
      <c r="SCK17" s="310" t="s">
        <v>201</v>
      </c>
      <c r="SCL17" s="310" t="s">
        <v>201</v>
      </c>
      <c r="SCM17" s="310" t="s">
        <v>201</v>
      </c>
      <c r="SCN17" s="310" t="s">
        <v>201</v>
      </c>
      <c r="SCO17" s="310" t="s">
        <v>201</v>
      </c>
      <c r="SCP17" s="310" t="s">
        <v>201</v>
      </c>
      <c r="SCQ17" s="310" t="s">
        <v>201</v>
      </c>
      <c r="SCR17" s="310" t="s">
        <v>201</v>
      </c>
      <c r="SCS17" s="310" t="s">
        <v>201</v>
      </c>
      <c r="SCT17" s="310" t="s">
        <v>201</v>
      </c>
      <c r="SCU17" s="310" t="s">
        <v>201</v>
      </c>
      <c r="SCV17" s="310" t="s">
        <v>201</v>
      </c>
      <c r="SCW17" s="310" t="s">
        <v>201</v>
      </c>
      <c r="SCX17" s="310" t="s">
        <v>201</v>
      </c>
      <c r="SCY17" s="310" t="s">
        <v>201</v>
      </c>
      <c r="SCZ17" s="310" t="s">
        <v>201</v>
      </c>
      <c r="SDA17" s="310" t="s">
        <v>201</v>
      </c>
      <c r="SDB17" s="310" t="s">
        <v>201</v>
      </c>
      <c r="SDC17" s="310" t="s">
        <v>201</v>
      </c>
      <c r="SDD17" s="310" t="s">
        <v>201</v>
      </c>
      <c r="SDE17" s="310" t="s">
        <v>201</v>
      </c>
      <c r="SDF17" s="310" t="s">
        <v>201</v>
      </c>
      <c r="SDG17" s="310" t="s">
        <v>201</v>
      </c>
      <c r="SDH17" s="310" t="s">
        <v>201</v>
      </c>
      <c r="SDI17" s="310" t="s">
        <v>201</v>
      </c>
      <c r="SDJ17" s="310" t="s">
        <v>201</v>
      </c>
      <c r="SDK17" s="310" t="s">
        <v>201</v>
      </c>
      <c r="SDL17" s="310" t="s">
        <v>201</v>
      </c>
      <c r="SDM17" s="310" t="s">
        <v>201</v>
      </c>
      <c r="SDN17" s="310" t="s">
        <v>201</v>
      </c>
      <c r="SDO17" s="310" t="s">
        <v>201</v>
      </c>
      <c r="SDP17" s="310" t="s">
        <v>201</v>
      </c>
      <c r="SDQ17" s="310" t="s">
        <v>201</v>
      </c>
      <c r="SDR17" s="310" t="s">
        <v>201</v>
      </c>
      <c r="SDS17" s="310" t="s">
        <v>201</v>
      </c>
      <c r="SDT17" s="310" t="s">
        <v>201</v>
      </c>
      <c r="SDU17" s="310" t="s">
        <v>201</v>
      </c>
      <c r="SDV17" s="310" t="s">
        <v>201</v>
      </c>
      <c r="SDW17" s="310" t="s">
        <v>201</v>
      </c>
      <c r="SDX17" s="310" t="s">
        <v>201</v>
      </c>
      <c r="SDY17" s="310" t="s">
        <v>201</v>
      </c>
      <c r="SDZ17" s="310" t="s">
        <v>201</v>
      </c>
      <c r="SEA17" s="310" t="s">
        <v>201</v>
      </c>
      <c r="SEB17" s="310" t="s">
        <v>201</v>
      </c>
      <c r="SEC17" s="310" t="s">
        <v>201</v>
      </c>
      <c r="SED17" s="310" t="s">
        <v>201</v>
      </c>
      <c r="SEE17" s="310" t="s">
        <v>201</v>
      </c>
      <c r="SEF17" s="310" t="s">
        <v>201</v>
      </c>
      <c r="SEG17" s="310" t="s">
        <v>201</v>
      </c>
      <c r="SEH17" s="310" t="s">
        <v>201</v>
      </c>
      <c r="SEI17" s="310" t="s">
        <v>201</v>
      </c>
      <c r="SEJ17" s="310" t="s">
        <v>201</v>
      </c>
      <c r="SEK17" s="310" t="s">
        <v>201</v>
      </c>
      <c r="SEL17" s="310" t="s">
        <v>201</v>
      </c>
      <c r="SEM17" s="310" t="s">
        <v>201</v>
      </c>
      <c r="SEN17" s="310" t="s">
        <v>201</v>
      </c>
      <c r="SEO17" s="310" t="s">
        <v>201</v>
      </c>
      <c r="SEP17" s="310" t="s">
        <v>201</v>
      </c>
      <c r="SEQ17" s="310" t="s">
        <v>201</v>
      </c>
      <c r="SER17" s="310" t="s">
        <v>201</v>
      </c>
      <c r="SES17" s="310" t="s">
        <v>201</v>
      </c>
      <c r="SET17" s="310" t="s">
        <v>201</v>
      </c>
      <c r="SEU17" s="310" t="s">
        <v>201</v>
      </c>
      <c r="SEV17" s="310" t="s">
        <v>201</v>
      </c>
      <c r="SEW17" s="310" t="s">
        <v>201</v>
      </c>
      <c r="SEX17" s="310" t="s">
        <v>201</v>
      </c>
      <c r="SEY17" s="310" t="s">
        <v>201</v>
      </c>
      <c r="SEZ17" s="310" t="s">
        <v>201</v>
      </c>
      <c r="SFA17" s="310" t="s">
        <v>201</v>
      </c>
      <c r="SFB17" s="310" t="s">
        <v>201</v>
      </c>
      <c r="SFC17" s="310" t="s">
        <v>201</v>
      </c>
      <c r="SFD17" s="310" t="s">
        <v>201</v>
      </c>
      <c r="SFE17" s="310" t="s">
        <v>201</v>
      </c>
      <c r="SFF17" s="310" t="s">
        <v>201</v>
      </c>
      <c r="SFG17" s="310" t="s">
        <v>201</v>
      </c>
      <c r="SFH17" s="310" t="s">
        <v>201</v>
      </c>
      <c r="SFI17" s="310" t="s">
        <v>201</v>
      </c>
      <c r="SFJ17" s="310" t="s">
        <v>201</v>
      </c>
      <c r="SFK17" s="310" t="s">
        <v>201</v>
      </c>
      <c r="SFL17" s="310" t="s">
        <v>201</v>
      </c>
      <c r="SFM17" s="310" t="s">
        <v>201</v>
      </c>
      <c r="SFN17" s="310" t="s">
        <v>201</v>
      </c>
      <c r="SFO17" s="310" t="s">
        <v>201</v>
      </c>
      <c r="SFP17" s="310" t="s">
        <v>201</v>
      </c>
      <c r="SFQ17" s="310" t="s">
        <v>201</v>
      </c>
      <c r="SFR17" s="310" t="s">
        <v>201</v>
      </c>
      <c r="SFS17" s="310" t="s">
        <v>201</v>
      </c>
      <c r="SFT17" s="310" t="s">
        <v>201</v>
      </c>
      <c r="SFU17" s="310" t="s">
        <v>201</v>
      </c>
      <c r="SFV17" s="310" t="s">
        <v>201</v>
      </c>
      <c r="SFW17" s="310" t="s">
        <v>201</v>
      </c>
      <c r="SFX17" s="310" t="s">
        <v>201</v>
      </c>
      <c r="SFY17" s="310" t="s">
        <v>201</v>
      </c>
      <c r="SFZ17" s="310" t="s">
        <v>201</v>
      </c>
      <c r="SGA17" s="310" t="s">
        <v>201</v>
      </c>
      <c r="SGB17" s="310" t="s">
        <v>201</v>
      </c>
      <c r="SGC17" s="310" t="s">
        <v>201</v>
      </c>
      <c r="SGD17" s="310" t="s">
        <v>201</v>
      </c>
      <c r="SGE17" s="310" t="s">
        <v>201</v>
      </c>
      <c r="SGF17" s="310" t="s">
        <v>201</v>
      </c>
      <c r="SGG17" s="310" t="s">
        <v>201</v>
      </c>
      <c r="SGH17" s="310" t="s">
        <v>201</v>
      </c>
      <c r="SGI17" s="310" t="s">
        <v>201</v>
      </c>
      <c r="SGJ17" s="310" t="s">
        <v>201</v>
      </c>
      <c r="SGK17" s="310" t="s">
        <v>201</v>
      </c>
      <c r="SGL17" s="310" t="s">
        <v>201</v>
      </c>
      <c r="SGM17" s="310" t="s">
        <v>201</v>
      </c>
      <c r="SGN17" s="310" t="s">
        <v>201</v>
      </c>
      <c r="SGO17" s="310" t="s">
        <v>201</v>
      </c>
      <c r="SGP17" s="310" t="s">
        <v>201</v>
      </c>
      <c r="SGQ17" s="310" t="s">
        <v>201</v>
      </c>
      <c r="SGR17" s="310" t="s">
        <v>201</v>
      </c>
      <c r="SGS17" s="310" t="s">
        <v>201</v>
      </c>
      <c r="SGT17" s="310" t="s">
        <v>201</v>
      </c>
      <c r="SGU17" s="310" t="s">
        <v>201</v>
      </c>
      <c r="SGV17" s="310" t="s">
        <v>201</v>
      </c>
      <c r="SGW17" s="310" t="s">
        <v>201</v>
      </c>
      <c r="SGX17" s="310" t="s">
        <v>201</v>
      </c>
      <c r="SGY17" s="310" t="s">
        <v>201</v>
      </c>
      <c r="SGZ17" s="310" t="s">
        <v>201</v>
      </c>
      <c r="SHA17" s="310" t="s">
        <v>201</v>
      </c>
      <c r="SHB17" s="310" t="s">
        <v>201</v>
      </c>
      <c r="SHC17" s="310" t="s">
        <v>201</v>
      </c>
      <c r="SHD17" s="310" t="s">
        <v>201</v>
      </c>
      <c r="SHE17" s="310" t="s">
        <v>201</v>
      </c>
      <c r="SHF17" s="310" t="s">
        <v>201</v>
      </c>
      <c r="SHG17" s="310" t="s">
        <v>201</v>
      </c>
      <c r="SHH17" s="310" t="s">
        <v>201</v>
      </c>
      <c r="SHI17" s="310" t="s">
        <v>201</v>
      </c>
      <c r="SHJ17" s="310" t="s">
        <v>201</v>
      </c>
      <c r="SHK17" s="310" t="s">
        <v>201</v>
      </c>
      <c r="SHL17" s="310" t="s">
        <v>201</v>
      </c>
      <c r="SHM17" s="310" t="s">
        <v>201</v>
      </c>
      <c r="SHN17" s="310" t="s">
        <v>201</v>
      </c>
      <c r="SHO17" s="310" t="s">
        <v>201</v>
      </c>
      <c r="SHP17" s="310" t="s">
        <v>201</v>
      </c>
      <c r="SHQ17" s="310" t="s">
        <v>201</v>
      </c>
      <c r="SHR17" s="310" t="s">
        <v>201</v>
      </c>
      <c r="SHS17" s="310" t="s">
        <v>201</v>
      </c>
      <c r="SHT17" s="310" t="s">
        <v>201</v>
      </c>
      <c r="SHU17" s="310" t="s">
        <v>201</v>
      </c>
      <c r="SHV17" s="310" t="s">
        <v>201</v>
      </c>
      <c r="SHW17" s="310" t="s">
        <v>201</v>
      </c>
      <c r="SHX17" s="310" t="s">
        <v>201</v>
      </c>
      <c r="SHY17" s="310" t="s">
        <v>201</v>
      </c>
      <c r="SHZ17" s="310" t="s">
        <v>201</v>
      </c>
      <c r="SIA17" s="310" t="s">
        <v>201</v>
      </c>
      <c r="SIB17" s="310" t="s">
        <v>201</v>
      </c>
      <c r="SIC17" s="310" t="s">
        <v>201</v>
      </c>
      <c r="SID17" s="310" t="s">
        <v>201</v>
      </c>
      <c r="SIE17" s="310" t="s">
        <v>201</v>
      </c>
      <c r="SIF17" s="310" t="s">
        <v>201</v>
      </c>
      <c r="SIG17" s="310" t="s">
        <v>201</v>
      </c>
      <c r="SIH17" s="310" t="s">
        <v>201</v>
      </c>
      <c r="SII17" s="310" t="s">
        <v>201</v>
      </c>
      <c r="SIJ17" s="310" t="s">
        <v>201</v>
      </c>
      <c r="SIK17" s="310" t="s">
        <v>201</v>
      </c>
      <c r="SIL17" s="310" t="s">
        <v>201</v>
      </c>
      <c r="SIM17" s="310" t="s">
        <v>201</v>
      </c>
      <c r="SIN17" s="310" t="s">
        <v>201</v>
      </c>
      <c r="SIO17" s="310" t="s">
        <v>201</v>
      </c>
      <c r="SIP17" s="310" t="s">
        <v>201</v>
      </c>
      <c r="SIQ17" s="310" t="s">
        <v>201</v>
      </c>
      <c r="SIR17" s="310" t="s">
        <v>201</v>
      </c>
      <c r="SIS17" s="310" t="s">
        <v>201</v>
      </c>
      <c r="SIT17" s="310" t="s">
        <v>201</v>
      </c>
      <c r="SIU17" s="310" t="s">
        <v>201</v>
      </c>
      <c r="SIV17" s="310" t="s">
        <v>201</v>
      </c>
      <c r="SIW17" s="310" t="s">
        <v>201</v>
      </c>
      <c r="SIX17" s="310" t="s">
        <v>201</v>
      </c>
      <c r="SIY17" s="310" t="s">
        <v>201</v>
      </c>
      <c r="SIZ17" s="310" t="s">
        <v>201</v>
      </c>
      <c r="SJA17" s="310" t="s">
        <v>201</v>
      </c>
      <c r="SJB17" s="310" t="s">
        <v>201</v>
      </c>
      <c r="SJC17" s="310" t="s">
        <v>201</v>
      </c>
      <c r="SJD17" s="310" t="s">
        <v>201</v>
      </c>
      <c r="SJE17" s="310" t="s">
        <v>201</v>
      </c>
      <c r="SJF17" s="310" t="s">
        <v>201</v>
      </c>
      <c r="SJG17" s="310" t="s">
        <v>201</v>
      </c>
      <c r="SJH17" s="310" t="s">
        <v>201</v>
      </c>
      <c r="SJI17" s="310" t="s">
        <v>201</v>
      </c>
      <c r="SJJ17" s="310" t="s">
        <v>201</v>
      </c>
      <c r="SJK17" s="310" t="s">
        <v>201</v>
      </c>
      <c r="SJL17" s="310" t="s">
        <v>201</v>
      </c>
      <c r="SJM17" s="310" t="s">
        <v>201</v>
      </c>
      <c r="SJN17" s="310" t="s">
        <v>201</v>
      </c>
      <c r="SJO17" s="310" t="s">
        <v>201</v>
      </c>
      <c r="SJP17" s="310" t="s">
        <v>201</v>
      </c>
      <c r="SJQ17" s="310" t="s">
        <v>201</v>
      </c>
      <c r="SJR17" s="310" t="s">
        <v>201</v>
      </c>
      <c r="SJS17" s="310" t="s">
        <v>201</v>
      </c>
      <c r="SJT17" s="310" t="s">
        <v>201</v>
      </c>
      <c r="SJU17" s="310" t="s">
        <v>201</v>
      </c>
      <c r="SJV17" s="310" t="s">
        <v>201</v>
      </c>
      <c r="SJW17" s="310" t="s">
        <v>201</v>
      </c>
      <c r="SJX17" s="310" t="s">
        <v>201</v>
      </c>
      <c r="SJY17" s="310" t="s">
        <v>201</v>
      </c>
      <c r="SJZ17" s="310" t="s">
        <v>201</v>
      </c>
      <c r="SKA17" s="310" t="s">
        <v>201</v>
      </c>
      <c r="SKB17" s="310" t="s">
        <v>201</v>
      </c>
      <c r="SKC17" s="310" t="s">
        <v>201</v>
      </c>
      <c r="SKD17" s="310" t="s">
        <v>201</v>
      </c>
      <c r="SKE17" s="310" t="s">
        <v>201</v>
      </c>
      <c r="SKF17" s="310" t="s">
        <v>201</v>
      </c>
      <c r="SKG17" s="310" t="s">
        <v>201</v>
      </c>
      <c r="SKH17" s="310" t="s">
        <v>201</v>
      </c>
      <c r="SKI17" s="310" t="s">
        <v>201</v>
      </c>
      <c r="SKJ17" s="310" t="s">
        <v>201</v>
      </c>
      <c r="SKK17" s="310" t="s">
        <v>201</v>
      </c>
      <c r="SKL17" s="310" t="s">
        <v>201</v>
      </c>
      <c r="SKM17" s="310" t="s">
        <v>201</v>
      </c>
      <c r="SKN17" s="310" t="s">
        <v>201</v>
      </c>
      <c r="SKO17" s="310" t="s">
        <v>201</v>
      </c>
      <c r="SKP17" s="310" t="s">
        <v>201</v>
      </c>
      <c r="SKQ17" s="310" t="s">
        <v>201</v>
      </c>
      <c r="SKR17" s="310" t="s">
        <v>201</v>
      </c>
      <c r="SKS17" s="310" t="s">
        <v>201</v>
      </c>
      <c r="SKT17" s="310" t="s">
        <v>201</v>
      </c>
      <c r="SKU17" s="310" t="s">
        <v>201</v>
      </c>
      <c r="SKV17" s="310" t="s">
        <v>201</v>
      </c>
      <c r="SKW17" s="310" t="s">
        <v>201</v>
      </c>
      <c r="SKX17" s="310" t="s">
        <v>201</v>
      </c>
      <c r="SKY17" s="310" t="s">
        <v>201</v>
      </c>
      <c r="SKZ17" s="310" t="s">
        <v>201</v>
      </c>
      <c r="SLA17" s="310" t="s">
        <v>201</v>
      </c>
      <c r="SLB17" s="310" t="s">
        <v>201</v>
      </c>
      <c r="SLC17" s="310" t="s">
        <v>201</v>
      </c>
      <c r="SLD17" s="310" t="s">
        <v>201</v>
      </c>
      <c r="SLE17" s="310" t="s">
        <v>201</v>
      </c>
      <c r="SLF17" s="310" t="s">
        <v>201</v>
      </c>
      <c r="SLG17" s="310" t="s">
        <v>201</v>
      </c>
      <c r="SLH17" s="310" t="s">
        <v>201</v>
      </c>
      <c r="SLI17" s="310" t="s">
        <v>201</v>
      </c>
      <c r="SLJ17" s="310" t="s">
        <v>201</v>
      </c>
      <c r="SLK17" s="310" t="s">
        <v>201</v>
      </c>
      <c r="SLL17" s="310" t="s">
        <v>201</v>
      </c>
      <c r="SLM17" s="310" t="s">
        <v>201</v>
      </c>
      <c r="SLN17" s="310" t="s">
        <v>201</v>
      </c>
      <c r="SLO17" s="310" t="s">
        <v>201</v>
      </c>
      <c r="SLP17" s="310" t="s">
        <v>201</v>
      </c>
      <c r="SLQ17" s="310" t="s">
        <v>201</v>
      </c>
      <c r="SLR17" s="310" t="s">
        <v>201</v>
      </c>
      <c r="SLS17" s="310" t="s">
        <v>201</v>
      </c>
      <c r="SLT17" s="310" t="s">
        <v>201</v>
      </c>
      <c r="SLU17" s="310" t="s">
        <v>201</v>
      </c>
      <c r="SLV17" s="310" t="s">
        <v>201</v>
      </c>
      <c r="SLW17" s="310" t="s">
        <v>201</v>
      </c>
      <c r="SLX17" s="310" t="s">
        <v>201</v>
      </c>
      <c r="SLY17" s="310" t="s">
        <v>201</v>
      </c>
      <c r="SLZ17" s="310" t="s">
        <v>201</v>
      </c>
      <c r="SMA17" s="310" t="s">
        <v>201</v>
      </c>
      <c r="SMB17" s="310" t="s">
        <v>201</v>
      </c>
      <c r="SMC17" s="310" t="s">
        <v>201</v>
      </c>
      <c r="SMD17" s="310" t="s">
        <v>201</v>
      </c>
      <c r="SME17" s="310" t="s">
        <v>201</v>
      </c>
      <c r="SMF17" s="310" t="s">
        <v>201</v>
      </c>
      <c r="SMG17" s="310" t="s">
        <v>201</v>
      </c>
      <c r="SMH17" s="310" t="s">
        <v>201</v>
      </c>
      <c r="SMI17" s="310" t="s">
        <v>201</v>
      </c>
      <c r="SMJ17" s="310" t="s">
        <v>201</v>
      </c>
      <c r="SMK17" s="310" t="s">
        <v>201</v>
      </c>
      <c r="SML17" s="310" t="s">
        <v>201</v>
      </c>
      <c r="SMM17" s="310" t="s">
        <v>201</v>
      </c>
      <c r="SMN17" s="310" t="s">
        <v>201</v>
      </c>
      <c r="SMO17" s="310" t="s">
        <v>201</v>
      </c>
      <c r="SMP17" s="310" t="s">
        <v>201</v>
      </c>
      <c r="SMQ17" s="310" t="s">
        <v>201</v>
      </c>
      <c r="SMR17" s="310" t="s">
        <v>201</v>
      </c>
      <c r="SMS17" s="310" t="s">
        <v>201</v>
      </c>
      <c r="SMT17" s="310" t="s">
        <v>201</v>
      </c>
      <c r="SMU17" s="310" t="s">
        <v>201</v>
      </c>
      <c r="SMV17" s="310" t="s">
        <v>201</v>
      </c>
      <c r="SMW17" s="310" t="s">
        <v>201</v>
      </c>
      <c r="SMX17" s="310" t="s">
        <v>201</v>
      </c>
      <c r="SMY17" s="310" t="s">
        <v>201</v>
      </c>
      <c r="SMZ17" s="310" t="s">
        <v>201</v>
      </c>
      <c r="SNA17" s="310" t="s">
        <v>201</v>
      </c>
      <c r="SNB17" s="310" t="s">
        <v>201</v>
      </c>
      <c r="SNC17" s="310" t="s">
        <v>201</v>
      </c>
      <c r="SND17" s="310" t="s">
        <v>201</v>
      </c>
      <c r="SNE17" s="310" t="s">
        <v>201</v>
      </c>
      <c r="SNF17" s="310" t="s">
        <v>201</v>
      </c>
      <c r="SNG17" s="310" t="s">
        <v>201</v>
      </c>
      <c r="SNH17" s="310" t="s">
        <v>201</v>
      </c>
      <c r="SNI17" s="310" t="s">
        <v>201</v>
      </c>
      <c r="SNJ17" s="310" t="s">
        <v>201</v>
      </c>
      <c r="SNK17" s="310" t="s">
        <v>201</v>
      </c>
      <c r="SNL17" s="310" t="s">
        <v>201</v>
      </c>
      <c r="SNM17" s="310" t="s">
        <v>201</v>
      </c>
      <c r="SNN17" s="310" t="s">
        <v>201</v>
      </c>
      <c r="SNO17" s="310" t="s">
        <v>201</v>
      </c>
      <c r="SNP17" s="310" t="s">
        <v>201</v>
      </c>
      <c r="SNQ17" s="310" t="s">
        <v>201</v>
      </c>
      <c r="SNR17" s="310" t="s">
        <v>201</v>
      </c>
      <c r="SNS17" s="310" t="s">
        <v>201</v>
      </c>
      <c r="SNT17" s="310" t="s">
        <v>201</v>
      </c>
      <c r="SNU17" s="310" t="s">
        <v>201</v>
      </c>
      <c r="SNV17" s="310" t="s">
        <v>201</v>
      </c>
      <c r="SNW17" s="310" t="s">
        <v>201</v>
      </c>
      <c r="SNX17" s="310" t="s">
        <v>201</v>
      </c>
      <c r="SNY17" s="310" t="s">
        <v>201</v>
      </c>
      <c r="SNZ17" s="310" t="s">
        <v>201</v>
      </c>
      <c r="SOA17" s="310" t="s">
        <v>201</v>
      </c>
      <c r="SOB17" s="310" t="s">
        <v>201</v>
      </c>
      <c r="SOC17" s="310" t="s">
        <v>201</v>
      </c>
      <c r="SOD17" s="310" t="s">
        <v>201</v>
      </c>
      <c r="SOE17" s="310" t="s">
        <v>201</v>
      </c>
      <c r="SOF17" s="310" t="s">
        <v>201</v>
      </c>
      <c r="SOG17" s="310" t="s">
        <v>201</v>
      </c>
      <c r="SOH17" s="310" t="s">
        <v>201</v>
      </c>
      <c r="SOI17" s="310" t="s">
        <v>201</v>
      </c>
      <c r="SOJ17" s="310" t="s">
        <v>201</v>
      </c>
      <c r="SOK17" s="310" t="s">
        <v>201</v>
      </c>
      <c r="SOL17" s="310" t="s">
        <v>201</v>
      </c>
      <c r="SOM17" s="310" t="s">
        <v>201</v>
      </c>
      <c r="SON17" s="310" t="s">
        <v>201</v>
      </c>
      <c r="SOO17" s="310" t="s">
        <v>201</v>
      </c>
      <c r="SOP17" s="310" t="s">
        <v>201</v>
      </c>
      <c r="SOQ17" s="310" t="s">
        <v>201</v>
      </c>
      <c r="SOR17" s="310" t="s">
        <v>201</v>
      </c>
      <c r="SOS17" s="310" t="s">
        <v>201</v>
      </c>
      <c r="SOT17" s="310" t="s">
        <v>201</v>
      </c>
      <c r="SOU17" s="310" t="s">
        <v>201</v>
      </c>
      <c r="SOV17" s="310" t="s">
        <v>201</v>
      </c>
      <c r="SOW17" s="310" t="s">
        <v>201</v>
      </c>
      <c r="SOX17" s="310" t="s">
        <v>201</v>
      </c>
      <c r="SOY17" s="310" t="s">
        <v>201</v>
      </c>
      <c r="SOZ17" s="310" t="s">
        <v>201</v>
      </c>
      <c r="SPA17" s="310" t="s">
        <v>201</v>
      </c>
      <c r="SPB17" s="310" t="s">
        <v>201</v>
      </c>
      <c r="SPC17" s="310" t="s">
        <v>201</v>
      </c>
      <c r="SPD17" s="310" t="s">
        <v>201</v>
      </c>
      <c r="SPE17" s="310" t="s">
        <v>201</v>
      </c>
      <c r="SPF17" s="310" t="s">
        <v>201</v>
      </c>
      <c r="SPG17" s="310" t="s">
        <v>201</v>
      </c>
      <c r="SPH17" s="310" t="s">
        <v>201</v>
      </c>
      <c r="SPI17" s="310" t="s">
        <v>201</v>
      </c>
      <c r="SPJ17" s="310" t="s">
        <v>201</v>
      </c>
      <c r="SPK17" s="310" t="s">
        <v>201</v>
      </c>
      <c r="SPL17" s="310" t="s">
        <v>201</v>
      </c>
      <c r="SPM17" s="310" t="s">
        <v>201</v>
      </c>
      <c r="SPN17" s="310" t="s">
        <v>201</v>
      </c>
      <c r="SPO17" s="310" t="s">
        <v>201</v>
      </c>
      <c r="SPP17" s="310" t="s">
        <v>201</v>
      </c>
      <c r="SPQ17" s="310" t="s">
        <v>201</v>
      </c>
      <c r="SPR17" s="310" t="s">
        <v>201</v>
      </c>
      <c r="SPS17" s="310" t="s">
        <v>201</v>
      </c>
      <c r="SPT17" s="310" t="s">
        <v>201</v>
      </c>
      <c r="SPU17" s="310" t="s">
        <v>201</v>
      </c>
      <c r="SPV17" s="310" t="s">
        <v>201</v>
      </c>
      <c r="SPW17" s="310" t="s">
        <v>201</v>
      </c>
      <c r="SPX17" s="310" t="s">
        <v>201</v>
      </c>
      <c r="SPY17" s="310" t="s">
        <v>201</v>
      </c>
      <c r="SPZ17" s="310" t="s">
        <v>201</v>
      </c>
      <c r="SQA17" s="310" t="s">
        <v>201</v>
      </c>
      <c r="SQB17" s="310" t="s">
        <v>201</v>
      </c>
      <c r="SQC17" s="310" t="s">
        <v>201</v>
      </c>
      <c r="SQD17" s="310" t="s">
        <v>201</v>
      </c>
      <c r="SQE17" s="310" t="s">
        <v>201</v>
      </c>
      <c r="SQF17" s="310" t="s">
        <v>201</v>
      </c>
      <c r="SQG17" s="310" t="s">
        <v>201</v>
      </c>
      <c r="SQH17" s="310" t="s">
        <v>201</v>
      </c>
      <c r="SQI17" s="310" t="s">
        <v>201</v>
      </c>
      <c r="SQJ17" s="310" t="s">
        <v>201</v>
      </c>
      <c r="SQK17" s="310" t="s">
        <v>201</v>
      </c>
      <c r="SQL17" s="310" t="s">
        <v>201</v>
      </c>
      <c r="SQM17" s="310" t="s">
        <v>201</v>
      </c>
      <c r="SQN17" s="310" t="s">
        <v>201</v>
      </c>
      <c r="SQO17" s="310" t="s">
        <v>201</v>
      </c>
      <c r="SQP17" s="310" t="s">
        <v>201</v>
      </c>
      <c r="SQQ17" s="310" t="s">
        <v>201</v>
      </c>
      <c r="SQR17" s="310" t="s">
        <v>201</v>
      </c>
      <c r="SQS17" s="310" t="s">
        <v>201</v>
      </c>
      <c r="SQT17" s="310" t="s">
        <v>201</v>
      </c>
      <c r="SQU17" s="310" t="s">
        <v>201</v>
      </c>
      <c r="SQV17" s="310" t="s">
        <v>201</v>
      </c>
      <c r="SQW17" s="310" t="s">
        <v>201</v>
      </c>
      <c r="SQX17" s="310" t="s">
        <v>201</v>
      </c>
      <c r="SQY17" s="310" t="s">
        <v>201</v>
      </c>
      <c r="SQZ17" s="310" t="s">
        <v>201</v>
      </c>
      <c r="SRA17" s="310" t="s">
        <v>201</v>
      </c>
      <c r="SRB17" s="310" t="s">
        <v>201</v>
      </c>
      <c r="SRC17" s="310" t="s">
        <v>201</v>
      </c>
      <c r="SRD17" s="310" t="s">
        <v>201</v>
      </c>
      <c r="SRE17" s="310" t="s">
        <v>201</v>
      </c>
      <c r="SRF17" s="310" t="s">
        <v>201</v>
      </c>
      <c r="SRG17" s="310" t="s">
        <v>201</v>
      </c>
      <c r="SRH17" s="310" t="s">
        <v>201</v>
      </c>
      <c r="SRI17" s="310" t="s">
        <v>201</v>
      </c>
      <c r="SRJ17" s="310" t="s">
        <v>201</v>
      </c>
      <c r="SRK17" s="310" t="s">
        <v>201</v>
      </c>
      <c r="SRL17" s="310" t="s">
        <v>201</v>
      </c>
      <c r="SRM17" s="310" t="s">
        <v>201</v>
      </c>
      <c r="SRN17" s="310" t="s">
        <v>201</v>
      </c>
      <c r="SRO17" s="310" t="s">
        <v>201</v>
      </c>
      <c r="SRP17" s="310" t="s">
        <v>201</v>
      </c>
      <c r="SRQ17" s="310" t="s">
        <v>201</v>
      </c>
      <c r="SRR17" s="310" t="s">
        <v>201</v>
      </c>
      <c r="SRS17" s="310" t="s">
        <v>201</v>
      </c>
      <c r="SRT17" s="310" t="s">
        <v>201</v>
      </c>
      <c r="SRU17" s="310" t="s">
        <v>201</v>
      </c>
      <c r="SRV17" s="310" t="s">
        <v>201</v>
      </c>
      <c r="SRW17" s="310" t="s">
        <v>201</v>
      </c>
      <c r="SRX17" s="310" t="s">
        <v>201</v>
      </c>
      <c r="SRY17" s="310" t="s">
        <v>201</v>
      </c>
      <c r="SRZ17" s="310" t="s">
        <v>201</v>
      </c>
      <c r="SSA17" s="310" t="s">
        <v>201</v>
      </c>
      <c r="SSB17" s="310" t="s">
        <v>201</v>
      </c>
      <c r="SSC17" s="310" t="s">
        <v>201</v>
      </c>
      <c r="SSD17" s="310" t="s">
        <v>201</v>
      </c>
      <c r="SSE17" s="310" t="s">
        <v>201</v>
      </c>
      <c r="SSF17" s="310" t="s">
        <v>201</v>
      </c>
      <c r="SSG17" s="310" t="s">
        <v>201</v>
      </c>
      <c r="SSH17" s="310" t="s">
        <v>201</v>
      </c>
      <c r="SSI17" s="310" t="s">
        <v>201</v>
      </c>
      <c r="SSJ17" s="310" t="s">
        <v>201</v>
      </c>
      <c r="SSK17" s="310" t="s">
        <v>201</v>
      </c>
      <c r="SSL17" s="310" t="s">
        <v>201</v>
      </c>
      <c r="SSM17" s="310" t="s">
        <v>201</v>
      </c>
      <c r="SSN17" s="310" t="s">
        <v>201</v>
      </c>
      <c r="SSO17" s="310" t="s">
        <v>201</v>
      </c>
      <c r="SSP17" s="310" t="s">
        <v>201</v>
      </c>
      <c r="SSQ17" s="310" t="s">
        <v>201</v>
      </c>
      <c r="SSR17" s="310" t="s">
        <v>201</v>
      </c>
      <c r="SSS17" s="310" t="s">
        <v>201</v>
      </c>
      <c r="SST17" s="310" t="s">
        <v>201</v>
      </c>
      <c r="SSU17" s="310" t="s">
        <v>201</v>
      </c>
      <c r="SSV17" s="310" t="s">
        <v>201</v>
      </c>
      <c r="SSW17" s="310" t="s">
        <v>201</v>
      </c>
      <c r="SSX17" s="310" t="s">
        <v>201</v>
      </c>
      <c r="SSY17" s="310" t="s">
        <v>201</v>
      </c>
      <c r="SSZ17" s="310" t="s">
        <v>201</v>
      </c>
      <c r="STA17" s="310" t="s">
        <v>201</v>
      </c>
      <c r="STB17" s="310" t="s">
        <v>201</v>
      </c>
      <c r="STC17" s="310" t="s">
        <v>201</v>
      </c>
      <c r="STD17" s="310" t="s">
        <v>201</v>
      </c>
      <c r="STE17" s="310" t="s">
        <v>201</v>
      </c>
      <c r="STF17" s="310" t="s">
        <v>201</v>
      </c>
      <c r="STG17" s="310" t="s">
        <v>201</v>
      </c>
      <c r="STH17" s="310" t="s">
        <v>201</v>
      </c>
      <c r="STI17" s="310" t="s">
        <v>201</v>
      </c>
      <c r="STJ17" s="310" t="s">
        <v>201</v>
      </c>
      <c r="STK17" s="310" t="s">
        <v>201</v>
      </c>
      <c r="STL17" s="310" t="s">
        <v>201</v>
      </c>
      <c r="STM17" s="310" t="s">
        <v>201</v>
      </c>
      <c r="STN17" s="310" t="s">
        <v>201</v>
      </c>
      <c r="STO17" s="310" t="s">
        <v>201</v>
      </c>
      <c r="STP17" s="310" t="s">
        <v>201</v>
      </c>
      <c r="STQ17" s="310" t="s">
        <v>201</v>
      </c>
      <c r="STR17" s="310" t="s">
        <v>201</v>
      </c>
      <c r="STS17" s="310" t="s">
        <v>201</v>
      </c>
      <c r="STT17" s="310" t="s">
        <v>201</v>
      </c>
      <c r="STU17" s="310" t="s">
        <v>201</v>
      </c>
      <c r="STV17" s="310" t="s">
        <v>201</v>
      </c>
      <c r="STW17" s="310" t="s">
        <v>201</v>
      </c>
      <c r="STX17" s="310" t="s">
        <v>201</v>
      </c>
      <c r="STY17" s="310" t="s">
        <v>201</v>
      </c>
      <c r="STZ17" s="310" t="s">
        <v>201</v>
      </c>
      <c r="SUA17" s="310" t="s">
        <v>201</v>
      </c>
      <c r="SUB17" s="310" t="s">
        <v>201</v>
      </c>
      <c r="SUC17" s="310" t="s">
        <v>201</v>
      </c>
      <c r="SUD17" s="310" t="s">
        <v>201</v>
      </c>
      <c r="SUE17" s="310" t="s">
        <v>201</v>
      </c>
      <c r="SUF17" s="310" t="s">
        <v>201</v>
      </c>
      <c r="SUG17" s="310" t="s">
        <v>201</v>
      </c>
      <c r="SUH17" s="310" t="s">
        <v>201</v>
      </c>
      <c r="SUI17" s="310" t="s">
        <v>201</v>
      </c>
      <c r="SUJ17" s="310" t="s">
        <v>201</v>
      </c>
      <c r="SUK17" s="310" t="s">
        <v>201</v>
      </c>
      <c r="SUL17" s="310" t="s">
        <v>201</v>
      </c>
      <c r="SUM17" s="310" t="s">
        <v>201</v>
      </c>
      <c r="SUN17" s="310" t="s">
        <v>201</v>
      </c>
      <c r="SUO17" s="310" t="s">
        <v>201</v>
      </c>
      <c r="SUP17" s="310" t="s">
        <v>201</v>
      </c>
      <c r="SUQ17" s="310" t="s">
        <v>201</v>
      </c>
      <c r="SUR17" s="310" t="s">
        <v>201</v>
      </c>
      <c r="SUS17" s="310" t="s">
        <v>201</v>
      </c>
      <c r="SUT17" s="310" t="s">
        <v>201</v>
      </c>
      <c r="SUU17" s="310" t="s">
        <v>201</v>
      </c>
      <c r="SUV17" s="310" t="s">
        <v>201</v>
      </c>
      <c r="SUW17" s="310" t="s">
        <v>201</v>
      </c>
      <c r="SUX17" s="310" t="s">
        <v>201</v>
      </c>
      <c r="SUY17" s="310" t="s">
        <v>201</v>
      </c>
      <c r="SUZ17" s="310" t="s">
        <v>201</v>
      </c>
      <c r="SVA17" s="310" t="s">
        <v>201</v>
      </c>
      <c r="SVB17" s="310" t="s">
        <v>201</v>
      </c>
      <c r="SVC17" s="310" t="s">
        <v>201</v>
      </c>
      <c r="SVD17" s="310" t="s">
        <v>201</v>
      </c>
      <c r="SVE17" s="310" t="s">
        <v>201</v>
      </c>
      <c r="SVF17" s="310" t="s">
        <v>201</v>
      </c>
      <c r="SVG17" s="310" t="s">
        <v>201</v>
      </c>
      <c r="SVH17" s="310" t="s">
        <v>201</v>
      </c>
      <c r="SVI17" s="310" t="s">
        <v>201</v>
      </c>
      <c r="SVJ17" s="310" t="s">
        <v>201</v>
      </c>
      <c r="SVK17" s="310" t="s">
        <v>201</v>
      </c>
      <c r="SVL17" s="310" t="s">
        <v>201</v>
      </c>
      <c r="SVM17" s="310" t="s">
        <v>201</v>
      </c>
      <c r="SVN17" s="310" t="s">
        <v>201</v>
      </c>
      <c r="SVO17" s="310" t="s">
        <v>201</v>
      </c>
      <c r="SVP17" s="310" t="s">
        <v>201</v>
      </c>
      <c r="SVQ17" s="310" t="s">
        <v>201</v>
      </c>
      <c r="SVR17" s="310" t="s">
        <v>201</v>
      </c>
      <c r="SVS17" s="310" t="s">
        <v>201</v>
      </c>
      <c r="SVT17" s="310" t="s">
        <v>201</v>
      </c>
      <c r="SVU17" s="310" t="s">
        <v>201</v>
      </c>
      <c r="SVV17" s="310" t="s">
        <v>201</v>
      </c>
      <c r="SVW17" s="310" t="s">
        <v>201</v>
      </c>
      <c r="SVX17" s="310" t="s">
        <v>201</v>
      </c>
      <c r="SVY17" s="310" t="s">
        <v>201</v>
      </c>
      <c r="SVZ17" s="310" t="s">
        <v>201</v>
      </c>
      <c r="SWA17" s="310" t="s">
        <v>201</v>
      </c>
      <c r="SWB17" s="310" t="s">
        <v>201</v>
      </c>
      <c r="SWC17" s="310" t="s">
        <v>201</v>
      </c>
      <c r="SWD17" s="310" t="s">
        <v>201</v>
      </c>
      <c r="SWE17" s="310" t="s">
        <v>201</v>
      </c>
      <c r="SWF17" s="310" t="s">
        <v>201</v>
      </c>
      <c r="SWG17" s="310" t="s">
        <v>201</v>
      </c>
      <c r="SWH17" s="310" t="s">
        <v>201</v>
      </c>
      <c r="SWI17" s="310" t="s">
        <v>201</v>
      </c>
      <c r="SWJ17" s="310" t="s">
        <v>201</v>
      </c>
      <c r="SWK17" s="310" t="s">
        <v>201</v>
      </c>
      <c r="SWL17" s="310" t="s">
        <v>201</v>
      </c>
      <c r="SWM17" s="310" t="s">
        <v>201</v>
      </c>
      <c r="SWN17" s="310" t="s">
        <v>201</v>
      </c>
      <c r="SWO17" s="310" t="s">
        <v>201</v>
      </c>
      <c r="SWP17" s="310" t="s">
        <v>201</v>
      </c>
      <c r="SWQ17" s="310" t="s">
        <v>201</v>
      </c>
      <c r="SWR17" s="310" t="s">
        <v>201</v>
      </c>
      <c r="SWS17" s="310" t="s">
        <v>201</v>
      </c>
      <c r="SWT17" s="310" t="s">
        <v>201</v>
      </c>
      <c r="SWU17" s="310" t="s">
        <v>201</v>
      </c>
      <c r="SWV17" s="310" t="s">
        <v>201</v>
      </c>
      <c r="SWW17" s="310" t="s">
        <v>201</v>
      </c>
      <c r="SWX17" s="310" t="s">
        <v>201</v>
      </c>
      <c r="SWY17" s="310" t="s">
        <v>201</v>
      </c>
      <c r="SWZ17" s="310" t="s">
        <v>201</v>
      </c>
      <c r="SXA17" s="310" t="s">
        <v>201</v>
      </c>
      <c r="SXB17" s="310" t="s">
        <v>201</v>
      </c>
      <c r="SXC17" s="310" t="s">
        <v>201</v>
      </c>
      <c r="SXD17" s="310" t="s">
        <v>201</v>
      </c>
      <c r="SXE17" s="310" t="s">
        <v>201</v>
      </c>
      <c r="SXF17" s="310" t="s">
        <v>201</v>
      </c>
      <c r="SXG17" s="310" t="s">
        <v>201</v>
      </c>
      <c r="SXH17" s="310" t="s">
        <v>201</v>
      </c>
      <c r="SXI17" s="310" t="s">
        <v>201</v>
      </c>
      <c r="SXJ17" s="310" t="s">
        <v>201</v>
      </c>
      <c r="SXK17" s="310" t="s">
        <v>201</v>
      </c>
      <c r="SXL17" s="310" t="s">
        <v>201</v>
      </c>
      <c r="SXM17" s="310" t="s">
        <v>201</v>
      </c>
      <c r="SXN17" s="310" t="s">
        <v>201</v>
      </c>
      <c r="SXO17" s="310" t="s">
        <v>201</v>
      </c>
      <c r="SXP17" s="310" t="s">
        <v>201</v>
      </c>
      <c r="SXQ17" s="310" t="s">
        <v>201</v>
      </c>
      <c r="SXR17" s="310" t="s">
        <v>201</v>
      </c>
      <c r="SXS17" s="310" t="s">
        <v>201</v>
      </c>
      <c r="SXT17" s="310" t="s">
        <v>201</v>
      </c>
      <c r="SXU17" s="310" t="s">
        <v>201</v>
      </c>
      <c r="SXV17" s="310" t="s">
        <v>201</v>
      </c>
      <c r="SXW17" s="310" t="s">
        <v>201</v>
      </c>
      <c r="SXX17" s="310" t="s">
        <v>201</v>
      </c>
      <c r="SXY17" s="310" t="s">
        <v>201</v>
      </c>
      <c r="SXZ17" s="310" t="s">
        <v>201</v>
      </c>
      <c r="SYA17" s="310" t="s">
        <v>201</v>
      </c>
      <c r="SYB17" s="310" t="s">
        <v>201</v>
      </c>
      <c r="SYC17" s="310" t="s">
        <v>201</v>
      </c>
      <c r="SYD17" s="310" t="s">
        <v>201</v>
      </c>
      <c r="SYE17" s="310" t="s">
        <v>201</v>
      </c>
      <c r="SYF17" s="310" t="s">
        <v>201</v>
      </c>
      <c r="SYG17" s="310" t="s">
        <v>201</v>
      </c>
      <c r="SYH17" s="310" t="s">
        <v>201</v>
      </c>
      <c r="SYI17" s="310" t="s">
        <v>201</v>
      </c>
      <c r="SYJ17" s="310" t="s">
        <v>201</v>
      </c>
      <c r="SYK17" s="310" t="s">
        <v>201</v>
      </c>
      <c r="SYL17" s="310" t="s">
        <v>201</v>
      </c>
      <c r="SYM17" s="310" t="s">
        <v>201</v>
      </c>
      <c r="SYN17" s="310" t="s">
        <v>201</v>
      </c>
      <c r="SYO17" s="310" t="s">
        <v>201</v>
      </c>
      <c r="SYP17" s="310" t="s">
        <v>201</v>
      </c>
      <c r="SYQ17" s="310" t="s">
        <v>201</v>
      </c>
      <c r="SYR17" s="310" t="s">
        <v>201</v>
      </c>
      <c r="SYS17" s="310" t="s">
        <v>201</v>
      </c>
      <c r="SYT17" s="310" t="s">
        <v>201</v>
      </c>
      <c r="SYU17" s="310" t="s">
        <v>201</v>
      </c>
      <c r="SYV17" s="310" t="s">
        <v>201</v>
      </c>
      <c r="SYW17" s="310" t="s">
        <v>201</v>
      </c>
      <c r="SYX17" s="310" t="s">
        <v>201</v>
      </c>
      <c r="SYY17" s="310" t="s">
        <v>201</v>
      </c>
      <c r="SYZ17" s="310" t="s">
        <v>201</v>
      </c>
      <c r="SZA17" s="310" t="s">
        <v>201</v>
      </c>
      <c r="SZB17" s="310" t="s">
        <v>201</v>
      </c>
      <c r="SZC17" s="310" t="s">
        <v>201</v>
      </c>
      <c r="SZD17" s="310" t="s">
        <v>201</v>
      </c>
      <c r="SZE17" s="310" t="s">
        <v>201</v>
      </c>
      <c r="SZF17" s="310" t="s">
        <v>201</v>
      </c>
      <c r="SZG17" s="310" t="s">
        <v>201</v>
      </c>
      <c r="SZH17" s="310" t="s">
        <v>201</v>
      </c>
      <c r="SZI17" s="310" t="s">
        <v>201</v>
      </c>
      <c r="SZJ17" s="310" t="s">
        <v>201</v>
      </c>
      <c r="SZK17" s="310" t="s">
        <v>201</v>
      </c>
      <c r="SZL17" s="310" t="s">
        <v>201</v>
      </c>
      <c r="SZM17" s="310" t="s">
        <v>201</v>
      </c>
      <c r="SZN17" s="310" t="s">
        <v>201</v>
      </c>
      <c r="SZO17" s="310" t="s">
        <v>201</v>
      </c>
      <c r="SZP17" s="310" t="s">
        <v>201</v>
      </c>
      <c r="SZQ17" s="310" t="s">
        <v>201</v>
      </c>
      <c r="SZR17" s="310" t="s">
        <v>201</v>
      </c>
      <c r="SZS17" s="310" t="s">
        <v>201</v>
      </c>
      <c r="SZT17" s="310" t="s">
        <v>201</v>
      </c>
      <c r="SZU17" s="310" t="s">
        <v>201</v>
      </c>
      <c r="SZV17" s="310" t="s">
        <v>201</v>
      </c>
      <c r="SZW17" s="310" t="s">
        <v>201</v>
      </c>
      <c r="SZX17" s="310" t="s">
        <v>201</v>
      </c>
      <c r="SZY17" s="310" t="s">
        <v>201</v>
      </c>
      <c r="SZZ17" s="310" t="s">
        <v>201</v>
      </c>
      <c r="TAA17" s="310" t="s">
        <v>201</v>
      </c>
      <c r="TAB17" s="310" t="s">
        <v>201</v>
      </c>
      <c r="TAC17" s="310" t="s">
        <v>201</v>
      </c>
      <c r="TAD17" s="310" t="s">
        <v>201</v>
      </c>
      <c r="TAE17" s="310" t="s">
        <v>201</v>
      </c>
      <c r="TAF17" s="310" t="s">
        <v>201</v>
      </c>
      <c r="TAG17" s="310" t="s">
        <v>201</v>
      </c>
      <c r="TAH17" s="310" t="s">
        <v>201</v>
      </c>
      <c r="TAI17" s="310" t="s">
        <v>201</v>
      </c>
      <c r="TAJ17" s="310" t="s">
        <v>201</v>
      </c>
      <c r="TAK17" s="310" t="s">
        <v>201</v>
      </c>
      <c r="TAL17" s="310" t="s">
        <v>201</v>
      </c>
      <c r="TAM17" s="310" t="s">
        <v>201</v>
      </c>
      <c r="TAN17" s="310" t="s">
        <v>201</v>
      </c>
      <c r="TAO17" s="310" t="s">
        <v>201</v>
      </c>
      <c r="TAP17" s="310" t="s">
        <v>201</v>
      </c>
      <c r="TAQ17" s="310" t="s">
        <v>201</v>
      </c>
      <c r="TAR17" s="310" t="s">
        <v>201</v>
      </c>
      <c r="TAS17" s="310" t="s">
        <v>201</v>
      </c>
      <c r="TAT17" s="310" t="s">
        <v>201</v>
      </c>
      <c r="TAU17" s="310" t="s">
        <v>201</v>
      </c>
      <c r="TAV17" s="310" t="s">
        <v>201</v>
      </c>
      <c r="TAW17" s="310" t="s">
        <v>201</v>
      </c>
      <c r="TAX17" s="310" t="s">
        <v>201</v>
      </c>
      <c r="TAY17" s="310" t="s">
        <v>201</v>
      </c>
      <c r="TAZ17" s="310" t="s">
        <v>201</v>
      </c>
      <c r="TBA17" s="310" t="s">
        <v>201</v>
      </c>
      <c r="TBB17" s="310" t="s">
        <v>201</v>
      </c>
      <c r="TBC17" s="310" t="s">
        <v>201</v>
      </c>
      <c r="TBD17" s="310" t="s">
        <v>201</v>
      </c>
      <c r="TBE17" s="310" t="s">
        <v>201</v>
      </c>
      <c r="TBF17" s="310" t="s">
        <v>201</v>
      </c>
      <c r="TBG17" s="310" t="s">
        <v>201</v>
      </c>
      <c r="TBH17" s="310" t="s">
        <v>201</v>
      </c>
      <c r="TBI17" s="310" t="s">
        <v>201</v>
      </c>
      <c r="TBJ17" s="310" t="s">
        <v>201</v>
      </c>
      <c r="TBK17" s="310" t="s">
        <v>201</v>
      </c>
      <c r="TBL17" s="310" t="s">
        <v>201</v>
      </c>
      <c r="TBM17" s="310" t="s">
        <v>201</v>
      </c>
      <c r="TBN17" s="310" t="s">
        <v>201</v>
      </c>
      <c r="TBO17" s="310" t="s">
        <v>201</v>
      </c>
      <c r="TBP17" s="310" t="s">
        <v>201</v>
      </c>
      <c r="TBQ17" s="310" t="s">
        <v>201</v>
      </c>
      <c r="TBR17" s="310" t="s">
        <v>201</v>
      </c>
      <c r="TBS17" s="310" t="s">
        <v>201</v>
      </c>
      <c r="TBT17" s="310" t="s">
        <v>201</v>
      </c>
      <c r="TBU17" s="310" t="s">
        <v>201</v>
      </c>
      <c r="TBV17" s="310" t="s">
        <v>201</v>
      </c>
      <c r="TBW17" s="310" t="s">
        <v>201</v>
      </c>
      <c r="TBX17" s="310" t="s">
        <v>201</v>
      </c>
      <c r="TBY17" s="310" t="s">
        <v>201</v>
      </c>
      <c r="TBZ17" s="310" t="s">
        <v>201</v>
      </c>
      <c r="TCA17" s="310" t="s">
        <v>201</v>
      </c>
      <c r="TCB17" s="310" t="s">
        <v>201</v>
      </c>
      <c r="TCC17" s="310" t="s">
        <v>201</v>
      </c>
      <c r="TCD17" s="310" t="s">
        <v>201</v>
      </c>
      <c r="TCE17" s="310" t="s">
        <v>201</v>
      </c>
      <c r="TCF17" s="310" t="s">
        <v>201</v>
      </c>
      <c r="TCG17" s="310" t="s">
        <v>201</v>
      </c>
      <c r="TCH17" s="310" t="s">
        <v>201</v>
      </c>
      <c r="TCI17" s="310" t="s">
        <v>201</v>
      </c>
      <c r="TCJ17" s="310" t="s">
        <v>201</v>
      </c>
      <c r="TCK17" s="310" t="s">
        <v>201</v>
      </c>
      <c r="TCL17" s="310" t="s">
        <v>201</v>
      </c>
      <c r="TCM17" s="310" t="s">
        <v>201</v>
      </c>
      <c r="TCN17" s="310" t="s">
        <v>201</v>
      </c>
      <c r="TCO17" s="310" t="s">
        <v>201</v>
      </c>
      <c r="TCP17" s="310" t="s">
        <v>201</v>
      </c>
      <c r="TCQ17" s="310" t="s">
        <v>201</v>
      </c>
      <c r="TCR17" s="310" t="s">
        <v>201</v>
      </c>
      <c r="TCS17" s="310" t="s">
        <v>201</v>
      </c>
      <c r="TCT17" s="310" t="s">
        <v>201</v>
      </c>
      <c r="TCU17" s="310" t="s">
        <v>201</v>
      </c>
      <c r="TCV17" s="310" t="s">
        <v>201</v>
      </c>
      <c r="TCW17" s="310" t="s">
        <v>201</v>
      </c>
      <c r="TCX17" s="310" t="s">
        <v>201</v>
      </c>
      <c r="TCY17" s="310" t="s">
        <v>201</v>
      </c>
      <c r="TCZ17" s="310" t="s">
        <v>201</v>
      </c>
      <c r="TDA17" s="310" t="s">
        <v>201</v>
      </c>
      <c r="TDB17" s="310" t="s">
        <v>201</v>
      </c>
      <c r="TDC17" s="310" t="s">
        <v>201</v>
      </c>
      <c r="TDD17" s="310" t="s">
        <v>201</v>
      </c>
      <c r="TDE17" s="310" t="s">
        <v>201</v>
      </c>
      <c r="TDF17" s="310" t="s">
        <v>201</v>
      </c>
      <c r="TDG17" s="310" t="s">
        <v>201</v>
      </c>
      <c r="TDH17" s="310" t="s">
        <v>201</v>
      </c>
      <c r="TDI17" s="310" t="s">
        <v>201</v>
      </c>
      <c r="TDJ17" s="310" t="s">
        <v>201</v>
      </c>
      <c r="TDK17" s="310" t="s">
        <v>201</v>
      </c>
      <c r="TDL17" s="310" t="s">
        <v>201</v>
      </c>
      <c r="TDM17" s="310" t="s">
        <v>201</v>
      </c>
      <c r="TDN17" s="310" t="s">
        <v>201</v>
      </c>
      <c r="TDO17" s="310" t="s">
        <v>201</v>
      </c>
      <c r="TDP17" s="310" t="s">
        <v>201</v>
      </c>
      <c r="TDQ17" s="310" t="s">
        <v>201</v>
      </c>
      <c r="TDR17" s="310" t="s">
        <v>201</v>
      </c>
      <c r="TDS17" s="310" t="s">
        <v>201</v>
      </c>
      <c r="TDT17" s="310" t="s">
        <v>201</v>
      </c>
      <c r="TDU17" s="310" t="s">
        <v>201</v>
      </c>
      <c r="TDV17" s="310" t="s">
        <v>201</v>
      </c>
      <c r="TDW17" s="310" t="s">
        <v>201</v>
      </c>
      <c r="TDX17" s="310" t="s">
        <v>201</v>
      </c>
      <c r="TDY17" s="310" t="s">
        <v>201</v>
      </c>
      <c r="TDZ17" s="310" t="s">
        <v>201</v>
      </c>
      <c r="TEA17" s="310" t="s">
        <v>201</v>
      </c>
      <c r="TEB17" s="310" t="s">
        <v>201</v>
      </c>
      <c r="TEC17" s="310" t="s">
        <v>201</v>
      </c>
      <c r="TED17" s="310" t="s">
        <v>201</v>
      </c>
      <c r="TEE17" s="310" t="s">
        <v>201</v>
      </c>
      <c r="TEF17" s="310" t="s">
        <v>201</v>
      </c>
      <c r="TEG17" s="310" t="s">
        <v>201</v>
      </c>
      <c r="TEH17" s="310" t="s">
        <v>201</v>
      </c>
      <c r="TEI17" s="310" t="s">
        <v>201</v>
      </c>
      <c r="TEJ17" s="310" t="s">
        <v>201</v>
      </c>
      <c r="TEK17" s="310" t="s">
        <v>201</v>
      </c>
      <c r="TEL17" s="310" t="s">
        <v>201</v>
      </c>
      <c r="TEM17" s="310" t="s">
        <v>201</v>
      </c>
      <c r="TEN17" s="310" t="s">
        <v>201</v>
      </c>
      <c r="TEO17" s="310" t="s">
        <v>201</v>
      </c>
      <c r="TEP17" s="310" t="s">
        <v>201</v>
      </c>
      <c r="TEQ17" s="310" t="s">
        <v>201</v>
      </c>
      <c r="TER17" s="310" t="s">
        <v>201</v>
      </c>
      <c r="TES17" s="310" t="s">
        <v>201</v>
      </c>
      <c r="TET17" s="310" t="s">
        <v>201</v>
      </c>
      <c r="TEU17" s="310" t="s">
        <v>201</v>
      </c>
      <c r="TEV17" s="310" t="s">
        <v>201</v>
      </c>
      <c r="TEW17" s="310" t="s">
        <v>201</v>
      </c>
      <c r="TEX17" s="310" t="s">
        <v>201</v>
      </c>
      <c r="TEY17" s="310" t="s">
        <v>201</v>
      </c>
      <c r="TEZ17" s="310" t="s">
        <v>201</v>
      </c>
      <c r="TFA17" s="310" t="s">
        <v>201</v>
      </c>
      <c r="TFB17" s="310" t="s">
        <v>201</v>
      </c>
      <c r="TFC17" s="310" t="s">
        <v>201</v>
      </c>
      <c r="TFD17" s="310" t="s">
        <v>201</v>
      </c>
      <c r="TFE17" s="310" t="s">
        <v>201</v>
      </c>
      <c r="TFF17" s="310" t="s">
        <v>201</v>
      </c>
      <c r="TFG17" s="310" t="s">
        <v>201</v>
      </c>
      <c r="TFH17" s="310" t="s">
        <v>201</v>
      </c>
      <c r="TFI17" s="310" t="s">
        <v>201</v>
      </c>
      <c r="TFJ17" s="310" t="s">
        <v>201</v>
      </c>
      <c r="TFK17" s="310" t="s">
        <v>201</v>
      </c>
      <c r="TFL17" s="310" t="s">
        <v>201</v>
      </c>
      <c r="TFM17" s="310" t="s">
        <v>201</v>
      </c>
      <c r="TFN17" s="310" t="s">
        <v>201</v>
      </c>
      <c r="TFO17" s="310" t="s">
        <v>201</v>
      </c>
      <c r="TFP17" s="310" t="s">
        <v>201</v>
      </c>
      <c r="TFQ17" s="310" t="s">
        <v>201</v>
      </c>
      <c r="TFR17" s="310" t="s">
        <v>201</v>
      </c>
      <c r="TFS17" s="310" t="s">
        <v>201</v>
      </c>
      <c r="TFT17" s="310" t="s">
        <v>201</v>
      </c>
      <c r="TFU17" s="310" t="s">
        <v>201</v>
      </c>
      <c r="TFV17" s="310" t="s">
        <v>201</v>
      </c>
      <c r="TFW17" s="310" t="s">
        <v>201</v>
      </c>
      <c r="TFX17" s="310" t="s">
        <v>201</v>
      </c>
      <c r="TFY17" s="310" t="s">
        <v>201</v>
      </c>
      <c r="TFZ17" s="310" t="s">
        <v>201</v>
      </c>
      <c r="TGA17" s="310" t="s">
        <v>201</v>
      </c>
      <c r="TGB17" s="310" t="s">
        <v>201</v>
      </c>
      <c r="TGC17" s="310" t="s">
        <v>201</v>
      </c>
      <c r="TGD17" s="310" t="s">
        <v>201</v>
      </c>
      <c r="TGE17" s="310" t="s">
        <v>201</v>
      </c>
      <c r="TGF17" s="310" t="s">
        <v>201</v>
      </c>
      <c r="TGG17" s="310" t="s">
        <v>201</v>
      </c>
      <c r="TGH17" s="310" t="s">
        <v>201</v>
      </c>
      <c r="TGI17" s="310" t="s">
        <v>201</v>
      </c>
      <c r="TGJ17" s="310" t="s">
        <v>201</v>
      </c>
      <c r="TGK17" s="310" t="s">
        <v>201</v>
      </c>
      <c r="TGL17" s="310" t="s">
        <v>201</v>
      </c>
      <c r="TGM17" s="310" t="s">
        <v>201</v>
      </c>
      <c r="TGN17" s="310" t="s">
        <v>201</v>
      </c>
      <c r="TGO17" s="310" t="s">
        <v>201</v>
      </c>
      <c r="TGP17" s="310" t="s">
        <v>201</v>
      </c>
      <c r="TGQ17" s="310" t="s">
        <v>201</v>
      </c>
      <c r="TGR17" s="310" t="s">
        <v>201</v>
      </c>
      <c r="TGS17" s="310" t="s">
        <v>201</v>
      </c>
      <c r="TGT17" s="310" t="s">
        <v>201</v>
      </c>
      <c r="TGU17" s="310" t="s">
        <v>201</v>
      </c>
      <c r="TGV17" s="310" t="s">
        <v>201</v>
      </c>
      <c r="TGW17" s="310" t="s">
        <v>201</v>
      </c>
      <c r="TGX17" s="310" t="s">
        <v>201</v>
      </c>
      <c r="TGY17" s="310" t="s">
        <v>201</v>
      </c>
      <c r="TGZ17" s="310" t="s">
        <v>201</v>
      </c>
      <c r="THA17" s="310" t="s">
        <v>201</v>
      </c>
      <c r="THB17" s="310" t="s">
        <v>201</v>
      </c>
      <c r="THC17" s="310" t="s">
        <v>201</v>
      </c>
      <c r="THD17" s="310" t="s">
        <v>201</v>
      </c>
      <c r="THE17" s="310" t="s">
        <v>201</v>
      </c>
      <c r="THF17" s="310" t="s">
        <v>201</v>
      </c>
      <c r="THG17" s="310" t="s">
        <v>201</v>
      </c>
      <c r="THH17" s="310" t="s">
        <v>201</v>
      </c>
      <c r="THI17" s="310" t="s">
        <v>201</v>
      </c>
      <c r="THJ17" s="310" t="s">
        <v>201</v>
      </c>
      <c r="THK17" s="310" t="s">
        <v>201</v>
      </c>
      <c r="THL17" s="310" t="s">
        <v>201</v>
      </c>
      <c r="THM17" s="310" t="s">
        <v>201</v>
      </c>
      <c r="THN17" s="310" t="s">
        <v>201</v>
      </c>
      <c r="THO17" s="310" t="s">
        <v>201</v>
      </c>
      <c r="THP17" s="310" t="s">
        <v>201</v>
      </c>
      <c r="THQ17" s="310" t="s">
        <v>201</v>
      </c>
      <c r="THR17" s="310" t="s">
        <v>201</v>
      </c>
      <c r="THS17" s="310" t="s">
        <v>201</v>
      </c>
      <c r="THT17" s="310" t="s">
        <v>201</v>
      </c>
      <c r="THU17" s="310" t="s">
        <v>201</v>
      </c>
      <c r="THV17" s="310" t="s">
        <v>201</v>
      </c>
      <c r="THW17" s="310" t="s">
        <v>201</v>
      </c>
      <c r="THX17" s="310" t="s">
        <v>201</v>
      </c>
      <c r="THY17" s="310" t="s">
        <v>201</v>
      </c>
      <c r="THZ17" s="310" t="s">
        <v>201</v>
      </c>
      <c r="TIA17" s="310" t="s">
        <v>201</v>
      </c>
      <c r="TIB17" s="310" t="s">
        <v>201</v>
      </c>
      <c r="TIC17" s="310" t="s">
        <v>201</v>
      </c>
      <c r="TID17" s="310" t="s">
        <v>201</v>
      </c>
      <c r="TIE17" s="310" t="s">
        <v>201</v>
      </c>
      <c r="TIF17" s="310" t="s">
        <v>201</v>
      </c>
      <c r="TIG17" s="310" t="s">
        <v>201</v>
      </c>
      <c r="TIH17" s="310" t="s">
        <v>201</v>
      </c>
      <c r="TII17" s="310" t="s">
        <v>201</v>
      </c>
      <c r="TIJ17" s="310" t="s">
        <v>201</v>
      </c>
      <c r="TIK17" s="310" t="s">
        <v>201</v>
      </c>
      <c r="TIL17" s="310" t="s">
        <v>201</v>
      </c>
      <c r="TIM17" s="310" t="s">
        <v>201</v>
      </c>
      <c r="TIN17" s="310" t="s">
        <v>201</v>
      </c>
      <c r="TIO17" s="310" t="s">
        <v>201</v>
      </c>
      <c r="TIP17" s="310" t="s">
        <v>201</v>
      </c>
      <c r="TIQ17" s="310" t="s">
        <v>201</v>
      </c>
      <c r="TIR17" s="310" t="s">
        <v>201</v>
      </c>
      <c r="TIS17" s="310" t="s">
        <v>201</v>
      </c>
      <c r="TIT17" s="310" t="s">
        <v>201</v>
      </c>
      <c r="TIU17" s="310" t="s">
        <v>201</v>
      </c>
      <c r="TIV17" s="310" t="s">
        <v>201</v>
      </c>
      <c r="TIW17" s="310" t="s">
        <v>201</v>
      </c>
      <c r="TIX17" s="310" t="s">
        <v>201</v>
      </c>
      <c r="TIY17" s="310" t="s">
        <v>201</v>
      </c>
      <c r="TIZ17" s="310" t="s">
        <v>201</v>
      </c>
      <c r="TJA17" s="310" t="s">
        <v>201</v>
      </c>
      <c r="TJB17" s="310" t="s">
        <v>201</v>
      </c>
      <c r="TJC17" s="310" t="s">
        <v>201</v>
      </c>
      <c r="TJD17" s="310" t="s">
        <v>201</v>
      </c>
      <c r="TJE17" s="310" t="s">
        <v>201</v>
      </c>
      <c r="TJF17" s="310" t="s">
        <v>201</v>
      </c>
      <c r="TJG17" s="310" t="s">
        <v>201</v>
      </c>
      <c r="TJH17" s="310" t="s">
        <v>201</v>
      </c>
      <c r="TJI17" s="310" t="s">
        <v>201</v>
      </c>
      <c r="TJJ17" s="310" t="s">
        <v>201</v>
      </c>
      <c r="TJK17" s="310" t="s">
        <v>201</v>
      </c>
      <c r="TJL17" s="310" t="s">
        <v>201</v>
      </c>
      <c r="TJM17" s="310" t="s">
        <v>201</v>
      </c>
      <c r="TJN17" s="310" t="s">
        <v>201</v>
      </c>
      <c r="TJO17" s="310" t="s">
        <v>201</v>
      </c>
      <c r="TJP17" s="310" t="s">
        <v>201</v>
      </c>
      <c r="TJQ17" s="310" t="s">
        <v>201</v>
      </c>
      <c r="TJR17" s="310" t="s">
        <v>201</v>
      </c>
      <c r="TJS17" s="310" t="s">
        <v>201</v>
      </c>
      <c r="TJT17" s="310" t="s">
        <v>201</v>
      </c>
      <c r="TJU17" s="310" t="s">
        <v>201</v>
      </c>
      <c r="TJV17" s="310" t="s">
        <v>201</v>
      </c>
      <c r="TJW17" s="310" t="s">
        <v>201</v>
      </c>
      <c r="TJX17" s="310" t="s">
        <v>201</v>
      </c>
      <c r="TJY17" s="310" t="s">
        <v>201</v>
      </c>
      <c r="TJZ17" s="310" t="s">
        <v>201</v>
      </c>
      <c r="TKA17" s="310" t="s">
        <v>201</v>
      </c>
      <c r="TKB17" s="310" t="s">
        <v>201</v>
      </c>
      <c r="TKC17" s="310" t="s">
        <v>201</v>
      </c>
      <c r="TKD17" s="310" t="s">
        <v>201</v>
      </c>
      <c r="TKE17" s="310" t="s">
        <v>201</v>
      </c>
      <c r="TKF17" s="310" t="s">
        <v>201</v>
      </c>
      <c r="TKG17" s="310" t="s">
        <v>201</v>
      </c>
      <c r="TKH17" s="310" t="s">
        <v>201</v>
      </c>
      <c r="TKI17" s="310" t="s">
        <v>201</v>
      </c>
      <c r="TKJ17" s="310" t="s">
        <v>201</v>
      </c>
      <c r="TKK17" s="310" t="s">
        <v>201</v>
      </c>
      <c r="TKL17" s="310" t="s">
        <v>201</v>
      </c>
      <c r="TKM17" s="310" t="s">
        <v>201</v>
      </c>
      <c r="TKN17" s="310" t="s">
        <v>201</v>
      </c>
      <c r="TKO17" s="310" t="s">
        <v>201</v>
      </c>
      <c r="TKP17" s="310" t="s">
        <v>201</v>
      </c>
      <c r="TKQ17" s="310" t="s">
        <v>201</v>
      </c>
      <c r="TKR17" s="310" t="s">
        <v>201</v>
      </c>
      <c r="TKS17" s="310" t="s">
        <v>201</v>
      </c>
      <c r="TKT17" s="310" t="s">
        <v>201</v>
      </c>
      <c r="TKU17" s="310" t="s">
        <v>201</v>
      </c>
      <c r="TKV17" s="310" t="s">
        <v>201</v>
      </c>
      <c r="TKW17" s="310" t="s">
        <v>201</v>
      </c>
      <c r="TKX17" s="310" t="s">
        <v>201</v>
      </c>
      <c r="TKY17" s="310" t="s">
        <v>201</v>
      </c>
      <c r="TKZ17" s="310" t="s">
        <v>201</v>
      </c>
      <c r="TLA17" s="310" t="s">
        <v>201</v>
      </c>
      <c r="TLB17" s="310" t="s">
        <v>201</v>
      </c>
      <c r="TLC17" s="310" t="s">
        <v>201</v>
      </c>
      <c r="TLD17" s="310" t="s">
        <v>201</v>
      </c>
      <c r="TLE17" s="310" t="s">
        <v>201</v>
      </c>
      <c r="TLF17" s="310" t="s">
        <v>201</v>
      </c>
      <c r="TLG17" s="310" t="s">
        <v>201</v>
      </c>
      <c r="TLH17" s="310" t="s">
        <v>201</v>
      </c>
      <c r="TLI17" s="310" t="s">
        <v>201</v>
      </c>
      <c r="TLJ17" s="310" t="s">
        <v>201</v>
      </c>
      <c r="TLK17" s="310" t="s">
        <v>201</v>
      </c>
      <c r="TLL17" s="310" t="s">
        <v>201</v>
      </c>
      <c r="TLM17" s="310" t="s">
        <v>201</v>
      </c>
      <c r="TLN17" s="310" t="s">
        <v>201</v>
      </c>
      <c r="TLO17" s="310" t="s">
        <v>201</v>
      </c>
      <c r="TLP17" s="310" t="s">
        <v>201</v>
      </c>
      <c r="TLQ17" s="310" t="s">
        <v>201</v>
      </c>
      <c r="TLR17" s="310" t="s">
        <v>201</v>
      </c>
      <c r="TLS17" s="310" t="s">
        <v>201</v>
      </c>
      <c r="TLT17" s="310" t="s">
        <v>201</v>
      </c>
      <c r="TLU17" s="310" t="s">
        <v>201</v>
      </c>
      <c r="TLV17" s="310" t="s">
        <v>201</v>
      </c>
      <c r="TLW17" s="310" t="s">
        <v>201</v>
      </c>
      <c r="TLX17" s="310" t="s">
        <v>201</v>
      </c>
      <c r="TLY17" s="310" t="s">
        <v>201</v>
      </c>
      <c r="TLZ17" s="310" t="s">
        <v>201</v>
      </c>
      <c r="TMA17" s="310" t="s">
        <v>201</v>
      </c>
      <c r="TMB17" s="310" t="s">
        <v>201</v>
      </c>
      <c r="TMC17" s="310" t="s">
        <v>201</v>
      </c>
      <c r="TMD17" s="310" t="s">
        <v>201</v>
      </c>
      <c r="TME17" s="310" t="s">
        <v>201</v>
      </c>
      <c r="TMF17" s="310" t="s">
        <v>201</v>
      </c>
      <c r="TMG17" s="310" t="s">
        <v>201</v>
      </c>
      <c r="TMH17" s="310" t="s">
        <v>201</v>
      </c>
      <c r="TMI17" s="310" t="s">
        <v>201</v>
      </c>
      <c r="TMJ17" s="310" t="s">
        <v>201</v>
      </c>
      <c r="TMK17" s="310" t="s">
        <v>201</v>
      </c>
      <c r="TML17" s="310" t="s">
        <v>201</v>
      </c>
      <c r="TMM17" s="310" t="s">
        <v>201</v>
      </c>
      <c r="TMN17" s="310" t="s">
        <v>201</v>
      </c>
      <c r="TMO17" s="310" t="s">
        <v>201</v>
      </c>
      <c r="TMP17" s="310" t="s">
        <v>201</v>
      </c>
      <c r="TMQ17" s="310" t="s">
        <v>201</v>
      </c>
      <c r="TMR17" s="310" t="s">
        <v>201</v>
      </c>
      <c r="TMS17" s="310" t="s">
        <v>201</v>
      </c>
      <c r="TMT17" s="310" t="s">
        <v>201</v>
      </c>
      <c r="TMU17" s="310" t="s">
        <v>201</v>
      </c>
      <c r="TMV17" s="310" t="s">
        <v>201</v>
      </c>
      <c r="TMW17" s="310" t="s">
        <v>201</v>
      </c>
      <c r="TMX17" s="310" t="s">
        <v>201</v>
      </c>
      <c r="TMY17" s="310" t="s">
        <v>201</v>
      </c>
      <c r="TMZ17" s="310" t="s">
        <v>201</v>
      </c>
      <c r="TNA17" s="310" t="s">
        <v>201</v>
      </c>
      <c r="TNB17" s="310" t="s">
        <v>201</v>
      </c>
      <c r="TNC17" s="310" t="s">
        <v>201</v>
      </c>
      <c r="TND17" s="310" t="s">
        <v>201</v>
      </c>
      <c r="TNE17" s="310" t="s">
        <v>201</v>
      </c>
      <c r="TNF17" s="310" t="s">
        <v>201</v>
      </c>
      <c r="TNG17" s="310" t="s">
        <v>201</v>
      </c>
      <c r="TNH17" s="310" t="s">
        <v>201</v>
      </c>
      <c r="TNI17" s="310" t="s">
        <v>201</v>
      </c>
      <c r="TNJ17" s="310" t="s">
        <v>201</v>
      </c>
      <c r="TNK17" s="310" t="s">
        <v>201</v>
      </c>
      <c r="TNL17" s="310" t="s">
        <v>201</v>
      </c>
      <c r="TNM17" s="310" t="s">
        <v>201</v>
      </c>
      <c r="TNN17" s="310" t="s">
        <v>201</v>
      </c>
      <c r="TNO17" s="310" t="s">
        <v>201</v>
      </c>
      <c r="TNP17" s="310" t="s">
        <v>201</v>
      </c>
      <c r="TNQ17" s="310" t="s">
        <v>201</v>
      </c>
      <c r="TNR17" s="310" t="s">
        <v>201</v>
      </c>
      <c r="TNS17" s="310" t="s">
        <v>201</v>
      </c>
      <c r="TNT17" s="310" t="s">
        <v>201</v>
      </c>
      <c r="TNU17" s="310" t="s">
        <v>201</v>
      </c>
      <c r="TNV17" s="310" t="s">
        <v>201</v>
      </c>
      <c r="TNW17" s="310" t="s">
        <v>201</v>
      </c>
      <c r="TNX17" s="310" t="s">
        <v>201</v>
      </c>
      <c r="TNY17" s="310" t="s">
        <v>201</v>
      </c>
      <c r="TNZ17" s="310" t="s">
        <v>201</v>
      </c>
      <c r="TOA17" s="310" t="s">
        <v>201</v>
      </c>
      <c r="TOB17" s="310" t="s">
        <v>201</v>
      </c>
      <c r="TOC17" s="310" t="s">
        <v>201</v>
      </c>
      <c r="TOD17" s="310" t="s">
        <v>201</v>
      </c>
      <c r="TOE17" s="310" t="s">
        <v>201</v>
      </c>
      <c r="TOF17" s="310" t="s">
        <v>201</v>
      </c>
      <c r="TOG17" s="310" t="s">
        <v>201</v>
      </c>
      <c r="TOH17" s="310" t="s">
        <v>201</v>
      </c>
      <c r="TOI17" s="310" t="s">
        <v>201</v>
      </c>
      <c r="TOJ17" s="310" t="s">
        <v>201</v>
      </c>
      <c r="TOK17" s="310" t="s">
        <v>201</v>
      </c>
      <c r="TOL17" s="310" t="s">
        <v>201</v>
      </c>
      <c r="TOM17" s="310" t="s">
        <v>201</v>
      </c>
      <c r="TON17" s="310" t="s">
        <v>201</v>
      </c>
      <c r="TOO17" s="310" t="s">
        <v>201</v>
      </c>
      <c r="TOP17" s="310" t="s">
        <v>201</v>
      </c>
      <c r="TOQ17" s="310" t="s">
        <v>201</v>
      </c>
      <c r="TOR17" s="310" t="s">
        <v>201</v>
      </c>
      <c r="TOS17" s="310" t="s">
        <v>201</v>
      </c>
      <c r="TOT17" s="310" t="s">
        <v>201</v>
      </c>
      <c r="TOU17" s="310" t="s">
        <v>201</v>
      </c>
      <c r="TOV17" s="310" t="s">
        <v>201</v>
      </c>
      <c r="TOW17" s="310" t="s">
        <v>201</v>
      </c>
      <c r="TOX17" s="310" t="s">
        <v>201</v>
      </c>
      <c r="TOY17" s="310" t="s">
        <v>201</v>
      </c>
      <c r="TOZ17" s="310" t="s">
        <v>201</v>
      </c>
      <c r="TPA17" s="310" t="s">
        <v>201</v>
      </c>
      <c r="TPB17" s="310" t="s">
        <v>201</v>
      </c>
      <c r="TPC17" s="310" t="s">
        <v>201</v>
      </c>
      <c r="TPD17" s="310" t="s">
        <v>201</v>
      </c>
      <c r="TPE17" s="310" t="s">
        <v>201</v>
      </c>
      <c r="TPF17" s="310" t="s">
        <v>201</v>
      </c>
      <c r="TPG17" s="310" t="s">
        <v>201</v>
      </c>
      <c r="TPH17" s="310" t="s">
        <v>201</v>
      </c>
      <c r="TPI17" s="310" t="s">
        <v>201</v>
      </c>
      <c r="TPJ17" s="310" t="s">
        <v>201</v>
      </c>
      <c r="TPK17" s="310" t="s">
        <v>201</v>
      </c>
      <c r="TPL17" s="310" t="s">
        <v>201</v>
      </c>
      <c r="TPM17" s="310" t="s">
        <v>201</v>
      </c>
      <c r="TPN17" s="310" t="s">
        <v>201</v>
      </c>
      <c r="TPO17" s="310" t="s">
        <v>201</v>
      </c>
      <c r="TPP17" s="310" t="s">
        <v>201</v>
      </c>
      <c r="TPQ17" s="310" t="s">
        <v>201</v>
      </c>
      <c r="TPR17" s="310" t="s">
        <v>201</v>
      </c>
      <c r="TPS17" s="310" t="s">
        <v>201</v>
      </c>
      <c r="TPT17" s="310" t="s">
        <v>201</v>
      </c>
      <c r="TPU17" s="310" t="s">
        <v>201</v>
      </c>
      <c r="TPV17" s="310" t="s">
        <v>201</v>
      </c>
      <c r="TPW17" s="310" t="s">
        <v>201</v>
      </c>
      <c r="TPX17" s="310" t="s">
        <v>201</v>
      </c>
      <c r="TPY17" s="310" t="s">
        <v>201</v>
      </c>
      <c r="TPZ17" s="310" t="s">
        <v>201</v>
      </c>
      <c r="TQA17" s="310" t="s">
        <v>201</v>
      </c>
      <c r="TQB17" s="310" t="s">
        <v>201</v>
      </c>
      <c r="TQC17" s="310" t="s">
        <v>201</v>
      </c>
      <c r="TQD17" s="310" t="s">
        <v>201</v>
      </c>
      <c r="TQE17" s="310" t="s">
        <v>201</v>
      </c>
      <c r="TQF17" s="310" t="s">
        <v>201</v>
      </c>
      <c r="TQG17" s="310" t="s">
        <v>201</v>
      </c>
      <c r="TQH17" s="310" t="s">
        <v>201</v>
      </c>
      <c r="TQI17" s="310" t="s">
        <v>201</v>
      </c>
      <c r="TQJ17" s="310" t="s">
        <v>201</v>
      </c>
      <c r="TQK17" s="310" t="s">
        <v>201</v>
      </c>
      <c r="TQL17" s="310" t="s">
        <v>201</v>
      </c>
      <c r="TQM17" s="310" t="s">
        <v>201</v>
      </c>
      <c r="TQN17" s="310" t="s">
        <v>201</v>
      </c>
      <c r="TQO17" s="310" t="s">
        <v>201</v>
      </c>
      <c r="TQP17" s="310" t="s">
        <v>201</v>
      </c>
      <c r="TQQ17" s="310" t="s">
        <v>201</v>
      </c>
      <c r="TQR17" s="310" t="s">
        <v>201</v>
      </c>
      <c r="TQS17" s="310" t="s">
        <v>201</v>
      </c>
      <c r="TQT17" s="310" t="s">
        <v>201</v>
      </c>
      <c r="TQU17" s="310" t="s">
        <v>201</v>
      </c>
      <c r="TQV17" s="310" t="s">
        <v>201</v>
      </c>
      <c r="TQW17" s="310" t="s">
        <v>201</v>
      </c>
      <c r="TQX17" s="310" t="s">
        <v>201</v>
      </c>
      <c r="TQY17" s="310" t="s">
        <v>201</v>
      </c>
      <c r="TQZ17" s="310" t="s">
        <v>201</v>
      </c>
      <c r="TRA17" s="310" t="s">
        <v>201</v>
      </c>
      <c r="TRB17" s="310" t="s">
        <v>201</v>
      </c>
      <c r="TRC17" s="310" t="s">
        <v>201</v>
      </c>
      <c r="TRD17" s="310" t="s">
        <v>201</v>
      </c>
      <c r="TRE17" s="310" t="s">
        <v>201</v>
      </c>
      <c r="TRF17" s="310" t="s">
        <v>201</v>
      </c>
      <c r="TRG17" s="310" t="s">
        <v>201</v>
      </c>
      <c r="TRH17" s="310" t="s">
        <v>201</v>
      </c>
      <c r="TRI17" s="310" t="s">
        <v>201</v>
      </c>
      <c r="TRJ17" s="310" t="s">
        <v>201</v>
      </c>
      <c r="TRK17" s="310" t="s">
        <v>201</v>
      </c>
      <c r="TRL17" s="310" t="s">
        <v>201</v>
      </c>
      <c r="TRM17" s="310" t="s">
        <v>201</v>
      </c>
      <c r="TRN17" s="310" t="s">
        <v>201</v>
      </c>
      <c r="TRO17" s="310" t="s">
        <v>201</v>
      </c>
      <c r="TRP17" s="310" t="s">
        <v>201</v>
      </c>
      <c r="TRQ17" s="310" t="s">
        <v>201</v>
      </c>
      <c r="TRR17" s="310" t="s">
        <v>201</v>
      </c>
      <c r="TRS17" s="310" t="s">
        <v>201</v>
      </c>
      <c r="TRT17" s="310" t="s">
        <v>201</v>
      </c>
      <c r="TRU17" s="310" t="s">
        <v>201</v>
      </c>
      <c r="TRV17" s="310" t="s">
        <v>201</v>
      </c>
      <c r="TRW17" s="310" t="s">
        <v>201</v>
      </c>
      <c r="TRX17" s="310" t="s">
        <v>201</v>
      </c>
      <c r="TRY17" s="310" t="s">
        <v>201</v>
      </c>
      <c r="TRZ17" s="310" t="s">
        <v>201</v>
      </c>
      <c r="TSA17" s="310" t="s">
        <v>201</v>
      </c>
      <c r="TSB17" s="310" t="s">
        <v>201</v>
      </c>
      <c r="TSC17" s="310" t="s">
        <v>201</v>
      </c>
      <c r="TSD17" s="310" t="s">
        <v>201</v>
      </c>
      <c r="TSE17" s="310" t="s">
        <v>201</v>
      </c>
      <c r="TSF17" s="310" t="s">
        <v>201</v>
      </c>
      <c r="TSG17" s="310" t="s">
        <v>201</v>
      </c>
      <c r="TSH17" s="310" t="s">
        <v>201</v>
      </c>
      <c r="TSI17" s="310" t="s">
        <v>201</v>
      </c>
      <c r="TSJ17" s="310" t="s">
        <v>201</v>
      </c>
      <c r="TSK17" s="310" t="s">
        <v>201</v>
      </c>
      <c r="TSL17" s="310" t="s">
        <v>201</v>
      </c>
      <c r="TSM17" s="310" t="s">
        <v>201</v>
      </c>
      <c r="TSN17" s="310" t="s">
        <v>201</v>
      </c>
      <c r="TSO17" s="310" t="s">
        <v>201</v>
      </c>
      <c r="TSP17" s="310" t="s">
        <v>201</v>
      </c>
      <c r="TSQ17" s="310" t="s">
        <v>201</v>
      </c>
      <c r="TSR17" s="310" t="s">
        <v>201</v>
      </c>
      <c r="TSS17" s="310" t="s">
        <v>201</v>
      </c>
      <c r="TST17" s="310" t="s">
        <v>201</v>
      </c>
      <c r="TSU17" s="310" t="s">
        <v>201</v>
      </c>
      <c r="TSV17" s="310" t="s">
        <v>201</v>
      </c>
      <c r="TSW17" s="310" t="s">
        <v>201</v>
      </c>
      <c r="TSX17" s="310" t="s">
        <v>201</v>
      </c>
      <c r="TSY17" s="310" t="s">
        <v>201</v>
      </c>
      <c r="TSZ17" s="310" t="s">
        <v>201</v>
      </c>
      <c r="TTA17" s="310" t="s">
        <v>201</v>
      </c>
      <c r="TTB17" s="310" t="s">
        <v>201</v>
      </c>
      <c r="TTC17" s="310" t="s">
        <v>201</v>
      </c>
      <c r="TTD17" s="310" t="s">
        <v>201</v>
      </c>
      <c r="TTE17" s="310" t="s">
        <v>201</v>
      </c>
      <c r="TTF17" s="310" t="s">
        <v>201</v>
      </c>
      <c r="TTG17" s="310" t="s">
        <v>201</v>
      </c>
      <c r="TTH17" s="310" t="s">
        <v>201</v>
      </c>
      <c r="TTI17" s="310" t="s">
        <v>201</v>
      </c>
      <c r="TTJ17" s="310" t="s">
        <v>201</v>
      </c>
      <c r="TTK17" s="310" t="s">
        <v>201</v>
      </c>
      <c r="TTL17" s="310" t="s">
        <v>201</v>
      </c>
      <c r="TTM17" s="310" t="s">
        <v>201</v>
      </c>
      <c r="TTN17" s="310" t="s">
        <v>201</v>
      </c>
      <c r="TTO17" s="310" t="s">
        <v>201</v>
      </c>
      <c r="TTP17" s="310" t="s">
        <v>201</v>
      </c>
      <c r="TTQ17" s="310" t="s">
        <v>201</v>
      </c>
      <c r="TTR17" s="310" t="s">
        <v>201</v>
      </c>
      <c r="TTS17" s="310" t="s">
        <v>201</v>
      </c>
      <c r="TTT17" s="310" t="s">
        <v>201</v>
      </c>
      <c r="TTU17" s="310" t="s">
        <v>201</v>
      </c>
      <c r="TTV17" s="310" t="s">
        <v>201</v>
      </c>
      <c r="TTW17" s="310" t="s">
        <v>201</v>
      </c>
      <c r="TTX17" s="310" t="s">
        <v>201</v>
      </c>
      <c r="TTY17" s="310" t="s">
        <v>201</v>
      </c>
      <c r="TTZ17" s="310" t="s">
        <v>201</v>
      </c>
      <c r="TUA17" s="310" t="s">
        <v>201</v>
      </c>
      <c r="TUB17" s="310" t="s">
        <v>201</v>
      </c>
      <c r="TUC17" s="310" t="s">
        <v>201</v>
      </c>
      <c r="TUD17" s="310" t="s">
        <v>201</v>
      </c>
      <c r="TUE17" s="310" t="s">
        <v>201</v>
      </c>
      <c r="TUF17" s="310" t="s">
        <v>201</v>
      </c>
      <c r="TUG17" s="310" t="s">
        <v>201</v>
      </c>
      <c r="TUH17" s="310" t="s">
        <v>201</v>
      </c>
      <c r="TUI17" s="310" t="s">
        <v>201</v>
      </c>
      <c r="TUJ17" s="310" t="s">
        <v>201</v>
      </c>
      <c r="TUK17" s="310" t="s">
        <v>201</v>
      </c>
      <c r="TUL17" s="310" t="s">
        <v>201</v>
      </c>
      <c r="TUM17" s="310" t="s">
        <v>201</v>
      </c>
      <c r="TUN17" s="310" t="s">
        <v>201</v>
      </c>
      <c r="TUO17" s="310" t="s">
        <v>201</v>
      </c>
      <c r="TUP17" s="310" t="s">
        <v>201</v>
      </c>
      <c r="TUQ17" s="310" t="s">
        <v>201</v>
      </c>
      <c r="TUR17" s="310" t="s">
        <v>201</v>
      </c>
      <c r="TUS17" s="310" t="s">
        <v>201</v>
      </c>
      <c r="TUT17" s="310" t="s">
        <v>201</v>
      </c>
      <c r="TUU17" s="310" t="s">
        <v>201</v>
      </c>
      <c r="TUV17" s="310" t="s">
        <v>201</v>
      </c>
      <c r="TUW17" s="310" t="s">
        <v>201</v>
      </c>
      <c r="TUX17" s="310" t="s">
        <v>201</v>
      </c>
      <c r="TUY17" s="310" t="s">
        <v>201</v>
      </c>
      <c r="TUZ17" s="310" t="s">
        <v>201</v>
      </c>
      <c r="TVA17" s="310" t="s">
        <v>201</v>
      </c>
      <c r="TVB17" s="310" t="s">
        <v>201</v>
      </c>
      <c r="TVC17" s="310" t="s">
        <v>201</v>
      </c>
      <c r="TVD17" s="310" t="s">
        <v>201</v>
      </c>
      <c r="TVE17" s="310" t="s">
        <v>201</v>
      </c>
      <c r="TVF17" s="310" t="s">
        <v>201</v>
      </c>
      <c r="TVG17" s="310" t="s">
        <v>201</v>
      </c>
      <c r="TVH17" s="310" t="s">
        <v>201</v>
      </c>
      <c r="TVI17" s="310" t="s">
        <v>201</v>
      </c>
      <c r="TVJ17" s="310" t="s">
        <v>201</v>
      </c>
      <c r="TVK17" s="310" t="s">
        <v>201</v>
      </c>
      <c r="TVL17" s="310" t="s">
        <v>201</v>
      </c>
      <c r="TVM17" s="310" t="s">
        <v>201</v>
      </c>
      <c r="TVN17" s="310" t="s">
        <v>201</v>
      </c>
      <c r="TVO17" s="310" t="s">
        <v>201</v>
      </c>
      <c r="TVP17" s="310" t="s">
        <v>201</v>
      </c>
      <c r="TVQ17" s="310" t="s">
        <v>201</v>
      </c>
      <c r="TVR17" s="310" t="s">
        <v>201</v>
      </c>
      <c r="TVS17" s="310" t="s">
        <v>201</v>
      </c>
      <c r="TVT17" s="310" t="s">
        <v>201</v>
      </c>
      <c r="TVU17" s="310" t="s">
        <v>201</v>
      </c>
      <c r="TVV17" s="310" t="s">
        <v>201</v>
      </c>
      <c r="TVW17" s="310" t="s">
        <v>201</v>
      </c>
      <c r="TVX17" s="310" t="s">
        <v>201</v>
      </c>
      <c r="TVY17" s="310" t="s">
        <v>201</v>
      </c>
      <c r="TVZ17" s="310" t="s">
        <v>201</v>
      </c>
      <c r="TWA17" s="310" t="s">
        <v>201</v>
      </c>
      <c r="TWB17" s="310" t="s">
        <v>201</v>
      </c>
      <c r="TWC17" s="310" t="s">
        <v>201</v>
      </c>
      <c r="TWD17" s="310" t="s">
        <v>201</v>
      </c>
      <c r="TWE17" s="310" t="s">
        <v>201</v>
      </c>
      <c r="TWF17" s="310" t="s">
        <v>201</v>
      </c>
      <c r="TWG17" s="310" t="s">
        <v>201</v>
      </c>
      <c r="TWH17" s="310" t="s">
        <v>201</v>
      </c>
      <c r="TWI17" s="310" t="s">
        <v>201</v>
      </c>
      <c r="TWJ17" s="310" t="s">
        <v>201</v>
      </c>
      <c r="TWK17" s="310" t="s">
        <v>201</v>
      </c>
      <c r="TWL17" s="310" t="s">
        <v>201</v>
      </c>
      <c r="TWM17" s="310" t="s">
        <v>201</v>
      </c>
      <c r="TWN17" s="310" t="s">
        <v>201</v>
      </c>
      <c r="TWO17" s="310" t="s">
        <v>201</v>
      </c>
      <c r="TWP17" s="310" t="s">
        <v>201</v>
      </c>
      <c r="TWQ17" s="310" t="s">
        <v>201</v>
      </c>
      <c r="TWR17" s="310" t="s">
        <v>201</v>
      </c>
      <c r="TWS17" s="310" t="s">
        <v>201</v>
      </c>
      <c r="TWT17" s="310" t="s">
        <v>201</v>
      </c>
      <c r="TWU17" s="310" t="s">
        <v>201</v>
      </c>
      <c r="TWV17" s="310" t="s">
        <v>201</v>
      </c>
      <c r="TWW17" s="310" t="s">
        <v>201</v>
      </c>
      <c r="TWX17" s="310" t="s">
        <v>201</v>
      </c>
      <c r="TWY17" s="310" t="s">
        <v>201</v>
      </c>
      <c r="TWZ17" s="310" t="s">
        <v>201</v>
      </c>
      <c r="TXA17" s="310" t="s">
        <v>201</v>
      </c>
      <c r="TXB17" s="310" t="s">
        <v>201</v>
      </c>
      <c r="TXC17" s="310" t="s">
        <v>201</v>
      </c>
      <c r="TXD17" s="310" t="s">
        <v>201</v>
      </c>
      <c r="TXE17" s="310" t="s">
        <v>201</v>
      </c>
      <c r="TXF17" s="310" t="s">
        <v>201</v>
      </c>
      <c r="TXG17" s="310" t="s">
        <v>201</v>
      </c>
      <c r="TXH17" s="310" t="s">
        <v>201</v>
      </c>
      <c r="TXI17" s="310" t="s">
        <v>201</v>
      </c>
      <c r="TXJ17" s="310" t="s">
        <v>201</v>
      </c>
      <c r="TXK17" s="310" t="s">
        <v>201</v>
      </c>
      <c r="TXL17" s="310" t="s">
        <v>201</v>
      </c>
      <c r="TXM17" s="310" t="s">
        <v>201</v>
      </c>
      <c r="TXN17" s="310" t="s">
        <v>201</v>
      </c>
      <c r="TXO17" s="310" t="s">
        <v>201</v>
      </c>
      <c r="TXP17" s="310" t="s">
        <v>201</v>
      </c>
      <c r="TXQ17" s="310" t="s">
        <v>201</v>
      </c>
      <c r="TXR17" s="310" t="s">
        <v>201</v>
      </c>
      <c r="TXS17" s="310" t="s">
        <v>201</v>
      </c>
      <c r="TXT17" s="310" t="s">
        <v>201</v>
      </c>
      <c r="TXU17" s="310" t="s">
        <v>201</v>
      </c>
      <c r="TXV17" s="310" t="s">
        <v>201</v>
      </c>
      <c r="TXW17" s="310" t="s">
        <v>201</v>
      </c>
      <c r="TXX17" s="310" t="s">
        <v>201</v>
      </c>
      <c r="TXY17" s="310" t="s">
        <v>201</v>
      </c>
      <c r="TXZ17" s="310" t="s">
        <v>201</v>
      </c>
      <c r="TYA17" s="310" t="s">
        <v>201</v>
      </c>
      <c r="TYB17" s="310" t="s">
        <v>201</v>
      </c>
      <c r="TYC17" s="310" t="s">
        <v>201</v>
      </c>
      <c r="TYD17" s="310" t="s">
        <v>201</v>
      </c>
      <c r="TYE17" s="310" t="s">
        <v>201</v>
      </c>
      <c r="TYF17" s="310" t="s">
        <v>201</v>
      </c>
      <c r="TYG17" s="310" t="s">
        <v>201</v>
      </c>
      <c r="TYH17" s="310" t="s">
        <v>201</v>
      </c>
      <c r="TYI17" s="310" t="s">
        <v>201</v>
      </c>
      <c r="TYJ17" s="310" t="s">
        <v>201</v>
      </c>
      <c r="TYK17" s="310" t="s">
        <v>201</v>
      </c>
      <c r="TYL17" s="310" t="s">
        <v>201</v>
      </c>
      <c r="TYM17" s="310" t="s">
        <v>201</v>
      </c>
      <c r="TYN17" s="310" t="s">
        <v>201</v>
      </c>
      <c r="TYO17" s="310" t="s">
        <v>201</v>
      </c>
      <c r="TYP17" s="310" t="s">
        <v>201</v>
      </c>
      <c r="TYQ17" s="310" t="s">
        <v>201</v>
      </c>
      <c r="TYR17" s="310" t="s">
        <v>201</v>
      </c>
      <c r="TYS17" s="310" t="s">
        <v>201</v>
      </c>
      <c r="TYT17" s="310" t="s">
        <v>201</v>
      </c>
      <c r="TYU17" s="310" t="s">
        <v>201</v>
      </c>
      <c r="TYV17" s="310" t="s">
        <v>201</v>
      </c>
      <c r="TYW17" s="310" t="s">
        <v>201</v>
      </c>
      <c r="TYX17" s="310" t="s">
        <v>201</v>
      </c>
      <c r="TYY17" s="310" t="s">
        <v>201</v>
      </c>
      <c r="TYZ17" s="310" t="s">
        <v>201</v>
      </c>
      <c r="TZA17" s="310" t="s">
        <v>201</v>
      </c>
      <c r="TZB17" s="310" t="s">
        <v>201</v>
      </c>
      <c r="TZC17" s="310" t="s">
        <v>201</v>
      </c>
      <c r="TZD17" s="310" t="s">
        <v>201</v>
      </c>
      <c r="TZE17" s="310" t="s">
        <v>201</v>
      </c>
      <c r="TZF17" s="310" t="s">
        <v>201</v>
      </c>
      <c r="TZG17" s="310" t="s">
        <v>201</v>
      </c>
      <c r="TZH17" s="310" t="s">
        <v>201</v>
      </c>
      <c r="TZI17" s="310" t="s">
        <v>201</v>
      </c>
      <c r="TZJ17" s="310" t="s">
        <v>201</v>
      </c>
      <c r="TZK17" s="310" t="s">
        <v>201</v>
      </c>
      <c r="TZL17" s="310" t="s">
        <v>201</v>
      </c>
      <c r="TZM17" s="310" t="s">
        <v>201</v>
      </c>
      <c r="TZN17" s="310" t="s">
        <v>201</v>
      </c>
      <c r="TZO17" s="310" t="s">
        <v>201</v>
      </c>
      <c r="TZP17" s="310" t="s">
        <v>201</v>
      </c>
      <c r="TZQ17" s="310" t="s">
        <v>201</v>
      </c>
      <c r="TZR17" s="310" t="s">
        <v>201</v>
      </c>
      <c r="TZS17" s="310" t="s">
        <v>201</v>
      </c>
      <c r="TZT17" s="310" t="s">
        <v>201</v>
      </c>
      <c r="TZU17" s="310" t="s">
        <v>201</v>
      </c>
      <c r="TZV17" s="310" t="s">
        <v>201</v>
      </c>
      <c r="TZW17" s="310" t="s">
        <v>201</v>
      </c>
      <c r="TZX17" s="310" t="s">
        <v>201</v>
      </c>
      <c r="TZY17" s="310" t="s">
        <v>201</v>
      </c>
      <c r="TZZ17" s="310" t="s">
        <v>201</v>
      </c>
      <c r="UAA17" s="310" t="s">
        <v>201</v>
      </c>
      <c r="UAB17" s="310" t="s">
        <v>201</v>
      </c>
      <c r="UAC17" s="310" t="s">
        <v>201</v>
      </c>
      <c r="UAD17" s="310" t="s">
        <v>201</v>
      </c>
      <c r="UAE17" s="310" t="s">
        <v>201</v>
      </c>
      <c r="UAF17" s="310" t="s">
        <v>201</v>
      </c>
      <c r="UAG17" s="310" t="s">
        <v>201</v>
      </c>
      <c r="UAH17" s="310" t="s">
        <v>201</v>
      </c>
      <c r="UAI17" s="310" t="s">
        <v>201</v>
      </c>
      <c r="UAJ17" s="310" t="s">
        <v>201</v>
      </c>
      <c r="UAK17" s="310" t="s">
        <v>201</v>
      </c>
      <c r="UAL17" s="310" t="s">
        <v>201</v>
      </c>
      <c r="UAM17" s="310" t="s">
        <v>201</v>
      </c>
      <c r="UAN17" s="310" t="s">
        <v>201</v>
      </c>
      <c r="UAO17" s="310" t="s">
        <v>201</v>
      </c>
      <c r="UAP17" s="310" t="s">
        <v>201</v>
      </c>
      <c r="UAQ17" s="310" t="s">
        <v>201</v>
      </c>
      <c r="UAR17" s="310" t="s">
        <v>201</v>
      </c>
      <c r="UAS17" s="310" t="s">
        <v>201</v>
      </c>
      <c r="UAT17" s="310" t="s">
        <v>201</v>
      </c>
      <c r="UAU17" s="310" t="s">
        <v>201</v>
      </c>
      <c r="UAV17" s="310" t="s">
        <v>201</v>
      </c>
      <c r="UAW17" s="310" t="s">
        <v>201</v>
      </c>
      <c r="UAX17" s="310" t="s">
        <v>201</v>
      </c>
      <c r="UAY17" s="310" t="s">
        <v>201</v>
      </c>
      <c r="UAZ17" s="310" t="s">
        <v>201</v>
      </c>
      <c r="UBA17" s="310" t="s">
        <v>201</v>
      </c>
      <c r="UBB17" s="310" t="s">
        <v>201</v>
      </c>
      <c r="UBC17" s="310" t="s">
        <v>201</v>
      </c>
      <c r="UBD17" s="310" t="s">
        <v>201</v>
      </c>
      <c r="UBE17" s="310" t="s">
        <v>201</v>
      </c>
      <c r="UBF17" s="310" t="s">
        <v>201</v>
      </c>
      <c r="UBG17" s="310" t="s">
        <v>201</v>
      </c>
      <c r="UBH17" s="310" t="s">
        <v>201</v>
      </c>
      <c r="UBI17" s="310" t="s">
        <v>201</v>
      </c>
      <c r="UBJ17" s="310" t="s">
        <v>201</v>
      </c>
      <c r="UBK17" s="310" t="s">
        <v>201</v>
      </c>
      <c r="UBL17" s="310" t="s">
        <v>201</v>
      </c>
      <c r="UBM17" s="310" t="s">
        <v>201</v>
      </c>
      <c r="UBN17" s="310" t="s">
        <v>201</v>
      </c>
      <c r="UBO17" s="310" t="s">
        <v>201</v>
      </c>
      <c r="UBP17" s="310" t="s">
        <v>201</v>
      </c>
      <c r="UBQ17" s="310" t="s">
        <v>201</v>
      </c>
      <c r="UBR17" s="310" t="s">
        <v>201</v>
      </c>
      <c r="UBS17" s="310" t="s">
        <v>201</v>
      </c>
      <c r="UBT17" s="310" t="s">
        <v>201</v>
      </c>
      <c r="UBU17" s="310" t="s">
        <v>201</v>
      </c>
      <c r="UBV17" s="310" t="s">
        <v>201</v>
      </c>
      <c r="UBW17" s="310" t="s">
        <v>201</v>
      </c>
      <c r="UBX17" s="310" t="s">
        <v>201</v>
      </c>
      <c r="UBY17" s="310" t="s">
        <v>201</v>
      </c>
      <c r="UBZ17" s="310" t="s">
        <v>201</v>
      </c>
      <c r="UCA17" s="310" t="s">
        <v>201</v>
      </c>
      <c r="UCB17" s="310" t="s">
        <v>201</v>
      </c>
      <c r="UCC17" s="310" t="s">
        <v>201</v>
      </c>
      <c r="UCD17" s="310" t="s">
        <v>201</v>
      </c>
      <c r="UCE17" s="310" t="s">
        <v>201</v>
      </c>
      <c r="UCF17" s="310" t="s">
        <v>201</v>
      </c>
      <c r="UCG17" s="310" t="s">
        <v>201</v>
      </c>
      <c r="UCH17" s="310" t="s">
        <v>201</v>
      </c>
      <c r="UCI17" s="310" t="s">
        <v>201</v>
      </c>
      <c r="UCJ17" s="310" t="s">
        <v>201</v>
      </c>
      <c r="UCK17" s="310" t="s">
        <v>201</v>
      </c>
      <c r="UCL17" s="310" t="s">
        <v>201</v>
      </c>
      <c r="UCM17" s="310" t="s">
        <v>201</v>
      </c>
      <c r="UCN17" s="310" t="s">
        <v>201</v>
      </c>
      <c r="UCO17" s="310" t="s">
        <v>201</v>
      </c>
      <c r="UCP17" s="310" t="s">
        <v>201</v>
      </c>
      <c r="UCQ17" s="310" t="s">
        <v>201</v>
      </c>
      <c r="UCR17" s="310" t="s">
        <v>201</v>
      </c>
      <c r="UCS17" s="310" t="s">
        <v>201</v>
      </c>
      <c r="UCT17" s="310" t="s">
        <v>201</v>
      </c>
      <c r="UCU17" s="310" t="s">
        <v>201</v>
      </c>
      <c r="UCV17" s="310" t="s">
        <v>201</v>
      </c>
      <c r="UCW17" s="310" t="s">
        <v>201</v>
      </c>
      <c r="UCX17" s="310" t="s">
        <v>201</v>
      </c>
      <c r="UCY17" s="310" t="s">
        <v>201</v>
      </c>
      <c r="UCZ17" s="310" t="s">
        <v>201</v>
      </c>
      <c r="UDA17" s="310" t="s">
        <v>201</v>
      </c>
      <c r="UDB17" s="310" t="s">
        <v>201</v>
      </c>
      <c r="UDC17" s="310" t="s">
        <v>201</v>
      </c>
      <c r="UDD17" s="310" t="s">
        <v>201</v>
      </c>
      <c r="UDE17" s="310" t="s">
        <v>201</v>
      </c>
      <c r="UDF17" s="310" t="s">
        <v>201</v>
      </c>
      <c r="UDG17" s="310" t="s">
        <v>201</v>
      </c>
      <c r="UDH17" s="310" t="s">
        <v>201</v>
      </c>
      <c r="UDI17" s="310" t="s">
        <v>201</v>
      </c>
      <c r="UDJ17" s="310" t="s">
        <v>201</v>
      </c>
      <c r="UDK17" s="310" t="s">
        <v>201</v>
      </c>
      <c r="UDL17" s="310" t="s">
        <v>201</v>
      </c>
      <c r="UDM17" s="310" t="s">
        <v>201</v>
      </c>
      <c r="UDN17" s="310" t="s">
        <v>201</v>
      </c>
      <c r="UDO17" s="310" t="s">
        <v>201</v>
      </c>
      <c r="UDP17" s="310" t="s">
        <v>201</v>
      </c>
      <c r="UDQ17" s="310" t="s">
        <v>201</v>
      </c>
      <c r="UDR17" s="310" t="s">
        <v>201</v>
      </c>
      <c r="UDS17" s="310" t="s">
        <v>201</v>
      </c>
      <c r="UDT17" s="310" t="s">
        <v>201</v>
      </c>
      <c r="UDU17" s="310" t="s">
        <v>201</v>
      </c>
      <c r="UDV17" s="310" t="s">
        <v>201</v>
      </c>
      <c r="UDW17" s="310" t="s">
        <v>201</v>
      </c>
      <c r="UDX17" s="310" t="s">
        <v>201</v>
      </c>
      <c r="UDY17" s="310" t="s">
        <v>201</v>
      </c>
      <c r="UDZ17" s="310" t="s">
        <v>201</v>
      </c>
      <c r="UEA17" s="310" t="s">
        <v>201</v>
      </c>
      <c r="UEB17" s="310" t="s">
        <v>201</v>
      </c>
      <c r="UEC17" s="310" t="s">
        <v>201</v>
      </c>
      <c r="UED17" s="310" t="s">
        <v>201</v>
      </c>
      <c r="UEE17" s="310" t="s">
        <v>201</v>
      </c>
      <c r="UEF17" s="310" t="s">
        <v>201</v>
      </c>
      <c r="UEG17" s="310" t="s">
        <v>201</v>
      </c>
      <c r="UEH17" s="310" t="s">
        <v>201</v>
      </c>
      <c r="UEI17" s="310" t="s">
        <v>201</v>
      </c>
      <c r="UEJ17" s="310" t="s">
        <v>201</v>
      </c>
      <c r="UEK17" s="310" t="s">
        <v>201</v>
      </c>
      <c r="UEL17" s="310" t="s">
        <v>201</v>
      </c>
      <c r="UEM17" s="310" t="s">
        <v>201</v>
      </c>
      <c r="UEN17" s="310" t="s">
        <v>201</v>
      </c>
      <c r="UEO17" s="310" t="s">
        <v>201</v>
      </c>
      <c r="UEP17" s="310" t="s">
        <v>201</v>
      </c>
      <c r="UEQ17" s="310" t="s">
        <v>201</v>
      </c>
      <c r="UER17" s="310" t="s">
        <v>201</v>
      </c>
      <c r="UES17" s="310" t="s">
        <v>201</v>
      </c>
      <c r="UET17" s="310" t="s">
        <v>201</v>
      </c>
      <c r="UEU17" s="310" t="s">
        <v>201</v>
      </c>
      <c r="UEV17" s="310" t="s">
        <v>201</v>
      </c>
      <c r="UEW17" s="310" t="s">
        <v>201</v>
      </c>
      <c r="UEX17" s="310" t="s">
        <v>201</v>
      </c>
      <c r="UEY17" s="310" t="s">
        <v>201</v>
      </c>
      <c r="UEZ17" s="310" t="s">
        <v>201</v>
      </c>
      <c r="UFA17" s="310" t="s">
        <v>201</v>
      </c>
      <c r="UFB17" s="310" t="s">
        <v>201</v>
      </c>
      <c r="UFC17" s="310" t="s">
        <v>201</v>
      </c>
      <c r="UFD17" s="310" t="s">
        <v>201</v>
      </c>
      <c r="UFE17" s="310" t="s">
        <v>201</v>
      </c>
      <c r="UFF17" s="310" t="s">
        <v>201</v>
      </c>
      <c r="UFG17" s="310" t="s">
        <v>201</v>
      </c>
      <c r="UFH17" s="310" t="s">
        <v>201</v>
      </c>
      <c r="UFI17" s="310" t="s">
        <v>201</v>
      </c>
      <c r="UFJ17" s="310" t="s">
        <v>201</v>
      </c>
      <c r="UFK17" s="310" t="s">
        <v>201</v>
      </c>
      <c r="UFL17" s="310" t="s">
        <v>201</v>
      </c>
      <c r="UFM17" s="310" t="s">
        <v>201</v>
      </c>
      <c r="UFN17" s="310" t="s">
        <v>201</v>
      </c>
      <c r="UFO17" s="310" t="s">
        <v>201</v>
      </c>
      <c r="UFP17" s="310" t="s">
        <v>201</v>
      </c>
      <c r="UFQ17" s="310" t="s">
        <v>201</v>
      </c>
      <c r="UFR17" s="310" t="s">
        <v>201</v>
      </c>
      <c r="UFS17" s="310" t="s">
        <v>201</v>
      </c>
      <c r="UFT17" s="310" t="s">
        <v>201</v>
      </c>
      <c r="UFU17" s="310" t="s">
        <v>201</v>
      </c>
      <c r="UFV17" s="310" t="s">
        <v>201</v>
      </c>
      <c r="UFW17" s="310" t="s">
        <v>201</v>
      </c>
      <c r="UFX17" s="310" t="s">
        <v>201</v>
      </c>
      <c r="UFY17" s="310" t="s">
        <v>201</v>
      </c>
      <c r="UFZ17" s="310" t="s">
        <v>201</v>
      </c>
      <c r="UGA17" s="310" t="s">
        <v>201</v>
      </c>
      <c r="UGB17" s="310" t="s">
        <v>201</v>
      </c>
      <c r="UGC17" s="310" t="s">
        <v>201</v>
      </c>
      <c r="UGD17" s="310" t="s">
        <v>201</v>
      </c>
      <c r="UGE17" s="310" t="s">
        <v>201</v>
      </c>
      <c r="UGF17" s="310" t="s">
        <v>201</v>
      </c>
      <c r="UGG17" s="310" t="s">
        <v>201</v>
      </c>
      <c r="UGH17" s="310" t="s">
        <v>201</v>
      </c>
      <c r="UGI17" s="310" t="s">
        <v>201</v>
      </c>
      <c r="UGJ17" s="310" t="s">
        <v>201</v>
      </c>
      <c r="UGK17" s="310" t="s">
        <v>201</v>
      </c>
      <c r="UGL17" s="310" t="s">
        <v>201</v>
      </c>
      <c r="UGM17" s="310" t="s">
        <v>201</v>
      </c>
      <c r="UGN17" s="310" t="s">
        <v>201</v>
      </c>
      <c r="UGO17" s="310" t="s">
        <v>201</v>
      </c>
      <c r="UGP17" s="310" t="s">
        <v>201</v>
      </c>
      <c r="UGQ17" s="310" t="s">
        <v>201</v>
      </c>
      <c r="UGR17" s="310" t="s">
        <v>201</v>
      </c>
      <c r="UGS17" s="310" t="s">
        <v>201</v>
      </c>
      <c r="UGT17" s="310" t="s">
        <v>201</v>
      </c>
      <c r="UGU17" s="310" t="s">
        <v>201</v>
      </c>
      <c r="UGV17" s="310" t="s">
        <v>201</v>
      </c>
      <c r="UGW17" s="310" t="s">
        <v>201</v>
      </c>
      <c r="UGX17" s="310" t="s">
        <v>201</v>
      </c>
      <c r="UGY17" s="310" t="s">
        <v>201</v>
      </c>
      <c r="UGZ17" s="310" t="s">
        <v>201</v>
      </c>
      <c r="UHA17" s="310" t="s">
        <v>201</v>
      </c>
      <c r="UHB17" s="310" t="s">
        <v>201</v>
      </c>
      <c r="UHC17" s="310" t="s">
        <v>201</v>
      </c>
      <c r="UHD17" s="310" t="s">
        <v>201</v>
      </c>
      <c r="UHE17" s="310" t="s">
        <v>201</v>
      </c>
      <c r="UHF17" s="310" t="s">
        <v>201</v>
      </c>
      <c r="UHG17" s="310" t="s">
        <v>201</v>
      </c>
      <c r="UHH17" s="310" t="s">
        <v>201</v>
      </c>
      <c r="UHI17" s="310" t="s">
        <v>201</v>
      </c>
      <c r="UHJ17" s="310" t="s">
        <v>201</v>
      </c>
      <c r="UHK17" s="310" t="s">
        <v>201</v>
      </c>
      <c r="UHL17" s="310" t="s">
        <v>201</v>
      </c>
      <c r="UHM17" s="310" t="s">
        <v>201</v>
      </c>
      <c r="UHN17" s="310" t="s">
        <v>201</v>
      </c>
      <c r="UHO17" s="310" t="s">
        <v>201</v>
      </c>
      <c r="UHP17" s="310" t="s">
        <v>201</v>
      </c>
      <c r="UHQ17" s="310" t="s">
        <v>201</v>
      </c>
      <c r="UHR17" s="310" t="s">
        <v>201</v>
      </c>
      <c r="UHS17" s="310" t="s">
        <v>201</v>
      </c>
      <c r="UHT17" s="310" t="s">
        <v>201</v>
      </c>
      <c r="UHU17" s="310" t="s">
        <v>201</v>
      </c>
      <c r="UHV17" s="310" t="s">
        <v>201</v>
      </c>
      <c r="UHW17" s="310" t="s">
        <v>201</v>
      </c>
      <c r="UHX17" s="310" t="s">
        <v>201</v>
      </c>
      <c r="UHY17" s="310" t="s">
        <v>201</v>
      </c>
      <c r="UHZ17" s="310" t="s">
        <v>201</v>
      </c>
      <c r="UIA17" s="310" t="s">
        <v>201</v>
      </c>
      <c r="UIB17" s="310" t="s">
        <v>201</v>
      </c>
      <c r="UIC17" s="310" t="s">
        <v>201</v>
      </c>
      <c r="UID17" s="310" t="s">
        <v>201</v>
      </c>
      <c r="UIE17" s="310" t="s">
        <v>201</v>
      </c>
      <c r="UIF17" s="310" t="s">
        <v>201</v>
      </c>
      <c r="UIG17" s="310" t="s">
        <v>201</v>
      </c>
      <c r="UIH17" s="310" t="s">
        <v>201</v>
      </c>
      <c r="UII17" s="310" t="s">
        <v>201</v>
      </c>
      <c r="UIJ17" s="310" t="s">
        <v>201</v>
      </c>
      <c r="UIK17" s="310" t="s">
        <v>201</v>
      </c>
      <c r="UIL17" s="310" t="s">
        <v>201</v>
      </c>
      <c r="UIM17" s="310" t="s">
        <v>201</v>
      </c>
      <c r="UIN17" s="310" t="s">
        <v>201</v>
      </c>
      <c r="UIO17" s="310" t="s">
        <v>201</v>
      </c>
      <c r="UIP17" s="310" t="s">
        <v>201</v>
      </c>
      <c r="UIQ17" s="310" t="s">
        <v>201</v>
      </c>
      <c r="UIR17" s="310" t="s">
        <v>201</v>
      </c>
      <c r="UIS17" s="310" t="s">
        <v>201</v>
      </c>
      <c r="UIT17" s="310" t="s">
        <v>201</v>
      </c>
      <c r="UIU17" s="310" t="s">
        <v>201</v>
      </c>
      <c r="UIV17" s="310" t="s">
        <v>201</v>
      </c>
      <c r="UIW17" s="310" t="s">
        <v>201</v>
      </c>
      <c r="UIX17" s="310" t="s">
        <v>201</v>
      </c>
      <c r="UIY17" s="310" t="s">
        <v>201</v>
      </c>
      <c r="UIZ17" s="310" t="s">
        <v>201</v>
      </c>
      <c r="UJA17" s="310" t="s">
        <v>201</v>
      </c>
      <c r="UJB17" s="310" t="s">
        <v>201</v>
      </c>
      <c r="UJC17" s="310" t="s">
        <v>201</v>
      </c>
      <c r="UJD17" s="310" t="s">
        <v>201</v>
      </c>
      <c r="UJE17" s="310" t="s">
        <v>201</v>
      </c>
      <c r="UJF17" s="310" t="s">
        <v>201</v>
      </c>
      <c r="UJG17" s="310" t="s">
        <v>201</v>
      </c>
      <c r="UJH17" s="310" t="s">
        <v>201</v>
      </c>
      <c r="UJI17" s="310" t="s">
        <v>201</v>
      </c>
      <c r="UJJ17" s="310" t="s">
        <v>201</v>
      </c>
      <c r="UJK17" s="310" t="s">
        <v>201</v>
      </c>
      <c r="UJL17" s="310" t="s">
        <v>201</v>
      </c>
      <c r="UJM17" s="310" t="s">
        <v>201</v>
      </c>
      <c r="UJN17" s="310" t="s">
        <v>201</v>
      </c>
      <c r="UJO17" s="310" t="s">
        <v>201</v>
      </c>
      <c r="UJP17" s="310" t="s">
        <v>201</v>
      </c>
      <c r="UJQ17" s="310" t="s">
        <v>201</v>
      </c>
      <c r="UJR17" s="310" t="s">
        <v>201</v>
      </c>
      <c r="UJS17" s="310" t="s">
        <v>201</v>
      </c>
      <c r="UJT17" s="310" t="s">
        <v>201</v>
      </c>
      <c r="UJU17" s="310" t="s">
        <v>201</v>
      </c>
      <c r="UJV17" s="310" t="s">
        <v>201</v>
      </c>
      <c r="UJW17" s="310" t="s">
        <v>201</v>
      </c>
      <c r="UJX17" s="310" t="s">
        <v>201</v>
      </c>
      <c r="UJY17" s="310" t="s">
        <v>201</v>
      </c>
      <c r="UJZ17" s="310" t="s">
        <v>201</v>
      </c>
      <c r="UKA17" s="310" t="s">
        <v>201</v>
      </c>
      <c r="UKB17" s="310" t="s">
        <v>201</v>
      </c>
      <c r="UKC17" s="310" t="s">
        <v>201</v>
      </c>
      <c r="UKD17" s="310" t="s">
        <v>201</v>
      </c>
      <c r="UKE17" s="310" t="s">
        <v>201</v>
      </c>
      <c r="UKF17" s="310" t="s">
        <v>201</v>
      </c>
      <c r="UKG17" s="310" t="s">
        <v>201</v>
      </c>
      <c r="UKH17" s="310" t="s">
        <v>201</v>
      </c>
      <c r="UKI17" s="310" t="s">
        <v>201</v>
      </c>
      <c r="UKJ17" s="310" t="s">
        <v>201</v>
      </c>
      <c r="UKK17" s="310" t="s">
        <v>201</v>
      </c>
      <c r="UKL17" s="310" t="s">
        <v>201</v>
      </c>
      <c r="UKM17" s="310" t="s">
        <v>201</v>
      </c>
      <c r="UKN17" s="310" t="s">
        <v>201</v>
      </c>
      <c r="UKO17" s="310" t="s">
        <v>201</v>
      </c>
      <c r="UKP17" s="310" t="s">
        <v>201</v>
      </c>
      <c r="UKQ17" s="310" t="s">
        <v>201</v>
      </c>
      <c r="UKR17" s="310" t="s">
        <v>201</v>
      </c>
      <c r="UKS17" s="310" t="s">
        <v>201</v>
      </c>
      <c r="UKT17" s="310" t="s">
        <v>201</v>
      </c>
      <c r="UKU17" s="310" t="s">
        <v>201</v>
      </c>
      <c r="UKV17" s="310" t="s">
        <v>201</v>
      </c>
      <c r="UKW17" s="310" t="s">
        <v>201</v>
      </c>
      <c r="UKX17" s="310" t="s">
        <v>201</v>
      </c>
      <c r="UKY17" s="310" t="s">
        <v>201</v>
      </c>
      <c r="UKZ17" s="310" t="s">
        <v>201</v>
      </c>
      <c r="ULA17" s="310" t="s">
        <v>201</v>
      </c>
      <c r="ULB17" s="310" t="s">
        <v>201</v>
      </c>
      <c r="ULC17" s="310" t="s">
        <v>201</v>
      </c>
      <c r="ULD17" s="310" t="s">
        <v>201</v>
      </c>
      <c r="ULE17" s="310" t="s">
        <v>201</v>
      </c>
      <c r="ULF17" s="310" t="s">
        <v>201</v>
      </c>
      <c r="ULG17" s="310" t="s">
        <v>201</v>
      </c>
      <c r="ULH17" s="310" t="s">
        <v>201</v>
      </c>
      <c r="ULI17" s="310" t="s">
        <v>201</v>
      </c>
      <c r="ULJ17" s="310" t="s">
        <v>201</v>
      </c>
      <c r="ULK17" s="310" t="s">
        <v>201</v>
      </c>
      <c r="ULL17" s="310" t="s">
        <v>201</v>
      </c>
      <c r="ULM17" s="310" t="s">
        <v>201</v>
      </c>
      <c r="ULN17" s="310" t="s">
        <v>201</v>
      </c>
      <c r="ULO17" s="310" t="s">
        <v>201</v>
      </c>
      <c r="ULP17" s="310" t="s">
        <v>201</v>
      </c>
      <c r="ULQ17" s="310" t="s">
        <v>201</v>
      </c>
      <c r="ULR17" s="310" t="s">
        <v>201</v>
      </c>
      <c r="ULS17" s="310" t="s">
        <v>201</v>
      </c>
      <c r="ULT17" s="310" t="s">
        <v>201</v>
      </c>
      <c r="ULU17" s="310" t="s">
        <v>201</v>
      </c>
      <c r="ULV17" s="310" t="s">
        <v>201</v>
      </c>
      <c r="ULW17" s="310" t="s">
        <v>201</v>
      </c>
      <c r="ULX17" s="310" t="s">
        <v>201</v>
      </c>
      <c r="ULY17" s="310" t="s">
        <v>201</v>
      </c>
      <c r="ULZ17" s="310" t="s">
        <v>201</v>
      </c>
      <c r="UMA17" s="310" t="s">
        <v>201</v>
      </c>
      <c r="UMB17" s="310" t="s">
        <v>201</v>
      </c>
      <c r="UMC17" s="310" t="s">
        <v>201</v>
      </c>
      <c r="UMD17" s="310" t="s">
        <v>201</v>
      </c>
      <c r="UME17" s="310" t="s">
        <v>201</v>
      </c>
      <c r="UMF17" s="310" t="s">
        <v>201</v>
      </c>
      <c r="UMG17" s="310" t="s">
        <v>201</v>
      </c>
      <c r="UMH17" s="310" t="s">
        <v>201</v>
      </c>
      <c r="UMI17" s="310" t="s">
        <v>201</v>
      </c>
      <c r="UMJ17" s="310" t="s">
        <v>201</v>
      </c>
      <c r="UMK17" s="310" t="s">
        <v>201</v>
      </c>
      <c r="UML17" s="310" t="s">
        <v>201</v>
      </c>
      <c r="UMM17" s="310" t="s">
        <v>201</v>
      </c>
      <c r="UMN17" s="310" t="s">
        <v>201</v>
      </c>
      <c r="UMO17" s="310" t="s">
        <v>201</v>
      </c>
      <c r="UMP17" s="310" t="s">
        <v>201</v>
      </c>
      <c r="UMQ17" s="310" t="s">
        <v>201</v>
      </c>
      <c r="UMR17" s="310" t="s">
        <v>201</v>
      </c>
      <c r="UMS17" s="310" t="s">
        <v>201</v>
      </c>
      <c r="UMT17" s="310" t="s">
        <v>201</v>
      </c>
      <c r="UMU17" s="310" t="s">
        <v>201</v>
      </c>
      <c r="UMV17" s="310" t="s">
        <v>201</v>
      </c>
      <c r="UMW17" s="310" t="s">
        <v>201</v>
      </c>
      <c r="UMX17" s="310" t="s">
        <v>201</v>
      </c>
      <c r="UMY17" s="310" t="s">
        <v>201</v>
      </c>
      <c r="UMZ17" s="310" t="s">
        <v>201</v>
      </c>
      <c r="UNA17" s="310" t="s">
        <v>201</v>
      </c>
      <c r="UNB17" s="310" t="s">
        <v>201</v>
      </c>
      <c r="UNC17" s="310" t="s">
        <v>201</v>
      </c>
      <c r="UND17" s="310" t="s">
        <v>201</v>
      </c>
      <c r="UNE17" s="310" t="s">
        <v>201</v>
      </c>
      <c r="UNF17" s="310" t="s">
        <v>201</v>
      </c>
      <c r="UNG17" s="310" t="s">
        <v>201</v>
      </c>
      <c r="UNH17" s="310" t="s">
        <v>201</v>
      </c>
      <c r="UNI17" s="310" t="s">
        <v>201</v>
      </c>
      <c r="UNJ17" s="310" t="s">
        <v>201</v>
      </c>
      <c r="UNK17" s="310" t="s">
        <v>201</v>
      </c>
      <c r="UNL17" s="310" t="s">
        <v>201</v>
      </c>
      <c r="UNM17" s="310" t="s">
        <v>201</v>
      </c>
      <c r="UNN17" s="310" t="s">
        <v>201</v>
      </c>
      <c r="UNO17" s="310" t="s">
        <v>201</v>
      </c>
      <c r="UNP17" s="310" t="s">
        <v>201</v>
      </c>
      <c r="UNQ17" s="310" t="s">
        <v>201</v>
      </c>
      <c r="UNR17" s="310" t="s">
        <v>201</v>
      </c>
      <c r="UNS17" s="310" t="s">
        <v>201</v>
      </c>
      <c r="UNT17" s="310" t="s">
        <v>201</v>
      </c>
      <c r="UNU17" s="310" t="s">
        <v>201</v>
      </c>
      <c r="UNV17" s="310" t="s">
        <v>201</v>
      </c>
      <c r="UNW17" s="310" t="s">
        <v>201</v>
      </c>
      <c r="UNX17" s="310" t="s">
        <v>201</v>
      </c>
      <c r="UNY17" s="310" t="s">
        <v>201</v>
      </c>
      <c r="UNZ17" s="310" t="s">
        <v>201</v>
      </c>
      <c r="UOA17" s="310" t="s">
        <v>201</v>
      </c>
      <c r="UOB17" s="310" t="s">
        <v>201</v>
      </c>
      <c r="UOC17" s="310" t="s">
        <v>201</v>
      </c>
      <c r="UOD17" s="310" t="s">
        <v>201</v>
      </c>
      <c r="UOE17" s="310" t="s">
        <v>201</v>
      </c>
      <c r="UOF17" s="310" t="s">
        <v>201</v>
      </c>
      <c r="UOG17" s="310" t="s">
        <v>201</v>
      </c>
      <c r="UOH17" s="310" t="s">
        <v>201</v>
      </c>
      <c r="UOI17" s="310" t="s">
        <v>201</v>
      </c>
      <c r="UOJ17" s="310" t="s">
        <v>201</v>
      </c>
      <c r="UOK17" s="310" t="s">
        <v>201</v>
      </c>
      <c r="UOL17" s="310" t="s">
        <v>201</v>
      </c>
      <c r="UOM17" s="310" t="s">
        <v>201</v>
      </c>
      <c r="UON17" s="310" t="s">
        <v>201</v>
      </c>
      <c r="UOO17" s="310" t="s">
        <v>201</v>
      </c>
      <c r="UOP17" s="310" t="s">
        <v>201</v>
      </c>
      <c r="UOQ17" s="310" t="s">
        <v>201</v>
      </c>
      <c r="UOR17" s="310" t="s">
        <v>201</v>
      </c>
      <c r="UOS17" s="310" t="s">
        <v>201</v>
      </c>
      <c r="UOT17" s="310" t="s">
        <v>201</v>
      </c>
      <c r="UOU17" s="310" t="s">
        <v>201</v>
      </c>
      <c r="UOV17" s="310" t="s">
        <v>201</v>
      </c>
      <c r="UOW17" s="310" t="s">
        <v>201</v>
      </c>
      <c r="UOX17" s="310" t="s">
        <v>201</v>
      </c>
      <c r="UOY17" s="310" t="s">
        <v>201</v>
      </c>
      <c r="UOZ17" s="310" t="s">
        <v>201</v>
      </c>
      <c r="UPA17" s="310" t="s">
        <v>201</v>
      </c>
      <c r="UPB17" s="310" t="s">
        <v>201</v>
      </c>
      <c r="UPC17" s="310" t="s">
        <v>201</v>
      </c>
      <c r="UPD17" s="310" t="s">
        <v>201</v>
      </c>
      <c r="UPE17" s="310" t="s">
        <v>201</v>
      </c>
      <c r="UPF17" s="310" t="s">
        <v>201</v>
      </c>
      <c r="UPG17" s="310" t="s">
        <v>201</v>
      </c>
      <c r="UPH17" s="310" t="s">
        <v>201</v>
      </c>
      <c r="UPI17" s="310" t="s">
        <v>201</v>
      </c>
      <c r="UPJ17" s="310" t="s">
        <v>201</v>
      </c>
      <c r="UPK17" s="310" t="s">
        <v>201</v>
      </c>
      <c r="UPL17" s="310" t="s">
        <v>201</v>
      </c>
      <c r="UPM17" s="310" t="s">
        <v>201</v>
      </c>
      <c r="UPN17" s="310" t="s">
        <v>201</v>
      </c>
      <c r="UPO17" s="310" t="s">
        <v>201</v>
      </c>
      <c r="UPP17" s="310" t="s">
        <v>201</v>
      </c>
      <c r="UPQ17" s="310" t="s">
        <v>201</v>
      </c>
      <c r="UPR17" s="310" t="s">
        <v>201</v>
      </c>
      <c r="UPS17" s="310" t="s">
        <v>201</v>
      </c>
      <c r="UPT17" s="310" t="s">
        <v>201</v>
      </c>
      <c r="UPU17" s="310" t="s">
        <v>201</v>
      </c>
      <c r="UPV17" s="310" t="s">
        <v>201</v>
      </c>
      <c r="UPW17" s="310" t="s">
        <v>201</v>
      </c>
      <c r="UPX17" s="310" t="s">
        <v>201</v>
      </c>
      <c r="UPY17" s="310" t="s">
        <v>201</v>
      </c>
      <c r="UPZ17" s="310" t="s">
        <v>201</v>
      </c>
      <c r="UQA17" s="310" t="s">
        <v>201</v>
      </c>
      <c r="UQB17" s="310" t="s">
        <v>201</v>
      </c>
      <c r="UQC17" s="310" t="s">
        <v>201</v>
      </c>
      <c r="UQD17" s="310" t="s">
        <v>201</v>
      </c>
      <c r="UQE17" s="310" t="s">
        <v>201</v>
      </c>
      <c r="UQF17" s="310" t="s">
        <v>201</v>
      </c>
      <c r="UQG17" s="310" t="s">
        <v>201</v>
      </c>
      <c r="UQH17" s="310" t="s">
        <v>201</v>
      </c>
      <c r="UQI17" s="310" t="s">
        <v>201</v>
      </c>
      <c r="UQJ17" s="310" t="s">
        <v>201</v>
      </c>
      <c r="UQK17" s="310" t="s">
        <v>201</v>
      </c>
      <c r="UQL17" s="310" t="s">
        <v>201</v>
      </c>
      <c r="UQM17" s="310" t="s">
        <v>201</v>
      </c>
      <c r="UQN17" s="310" t="s">
        <v>201</v>
      </c>
      <c r="UQO17" s="310" t="s">
        <v>201</v>
      </c>
      <c r="UQP17" s="310" t="s">
        <v>201</v>
      </c>
      <c r="UQQ17" s="310" t="s">
        <v>201</v>
      </c>
      <c r="UQR17" s="310" t="s">
        <v>201</v>
      </c>
      <c r="UQS17" s="310" t="s">
        <v>201</v>
      </c>
      <c r="UQT17" s="310" t="s">
        <v>201</v>
      </c>
      <c r="UQU17" s="310" t="s">
        <v>201</v>
      </c>
      <c r="UQV17" s="310" t="s">
        <v>201</v>
      </c>
      <c r="UQW17" s="310" t="s">
        <v>201</v>
      </c>
      <c r="UQX17" s="310" t="s">
        <v>201</v>
      </c>
      <c r="UQY17" s="310" t="s">
        <v>201</v>
      </c>
      <c r="UQZ17" s="310" t="s">
        <v>201</v>
      </c>
      <c r="URA17" s="310" t="s">
        <v>201</v>
      </c>
      <c r="URB17" s="310" t="s">
        <v>201</v>
      </c>
      <c r="URC17" s="310" t="s">
        <v>201</v>
      </c>
      <c r="URD17" s="310" t="s">
        <v>201</v>
      </c>
      <c r="URE17" s="310" t="s">
        <v>201</v>
      </c>
      <c r="URF17" s="310" t="s">
        <v>201</v>
      </c>
      <c r="URG17" s="310" t="s">
        <v>201</v>
      </c>
      <c r="URH17" s="310" t="s">
        <v>201</v>
      </c>
      <c r="URI17" s="310" t="s">
        <v>201</v>
      </c>
      <c r="URJ17" s="310" t="s">
        <v>201</v>
      </c>
      <c r="URK17" s="310" t="s">
        <v>201</v>
      </c>
      <c r="URL17" s="310" t="s">
        <v>201</v>
      </c>
      <c r="URM17" s="310" t="s">
        <v>201</v>
      </c>
      <c r="URN17" s="310" t="s">
        <v>201</v>
      </c>
      <c r="URO17" s="310" t="s">
        <v>201</v>
      </c>
      <c r="URP17" s="310" t="s">
        <v>201</v>
      </c>
      <c r="URQ17" s="310" t="s">
        <v>201</v>
      </c>
      <c r="URR17" s="310" t="s">
        <v>201</v>
      </c>
      <c r="URS17" s="310" t="s">
        <v>201</v>
      </c>
      <c r="URT17" s="310" t="s">
        <v>201</v>
      </c>
      <c r="URU17" s="310" t="s">
        <v>201</v>
      </c>
      <c r="URV17" s="310" t="s">
        <v>201</v>
      </c>
      <c r="URW17" s="310" t="s">
        <v>201</v>
      </c>
      <c r="URX17" s="310" t="s">
        <v>201</v>
      </c>
      <c r="URY17" s="310" t="s">
        <v>201</v>
      </c>
      <c r="URZ17" s="310" t="s">
        <v>201</v>
      </c>
      <c r="USA17" s="310" t="s">
        <v>201</v>
      </c>
      <c r="USB17" s="310" t="s">
        <v>201</v>
      </c>
      <c r="USC17" s="310" t="s">
        <v>201</v>
      </c>
      <c r="USD17" s="310" t="s">
        <v>201</v>
      </c>
      <c r="USE17" s="310" t="s">
        <v>201</v>
      </c>
      <c r="USF17" s="310" t="s">
        <v>201</v>
      </c>
      <c r="USG17" s="310" t="s">
        <v>201</v>
      </c>
      <c r="USH17" s="310" t="s">
        <v>201</v>
      </c>
      <c r="USI17" s="310" t="s">
        <v>201</v>
      </c>
      <c r="USJ17" s="310" t="s">
        <v>201</v>
      </c>
      <c r="USK17" s="310" t="s">
        <v>201</v>
      </c>
      <c r="USL17" s="310" t="s">
        <v>201</v>
      </c>
      <c r="USM17" s="310" t="s">
        <v>201</v>
      </c>
      <c r="USN17" s="310" t="s">
        <v>201</v>
      </c>
      <c r="USO17" s="310" t="s">
        <v>201</v>
      </c>
      <c r="USP17" s="310" t="s">
        <v>201</v>
      </c>
      <c r="USQ17" s="310" t="s">
        <v>201</v>
      </c>
      <c r="USR17" s="310" t="s">
        <v>201</v>
      </c>
      <c r="USS17" s="310" t="s">
        <v>201</v>
      </c>
      <c r="UST17" s="310" t="s">
        <v>201</v>
      </c>
      <c r="USU17" s="310" t="s">
        <v>201</v>
      </c>
      <c r="USV17" s="310" t="s">
        <v>201</v>
      </c>
      <c r="USW17" s="310" t="s">
        <v>201</v>
      </c>
      <c r="USX17" s="310" t="s">
        <v>201</v>
      </c>
      <c r="USY17" s="310" t="s">
        <v>201</v>
      </c>
      <c r="USZ17" s="310" t="s">
        <v>201</v>
      </c>
      <c r="UTA17" s="310" t="s">
        <v>201</v>
      </c>
      <c r="UTB17" s="310" t="s">
        <v>201</v>
      </c>
      <c r="UTC17" s="310" t="s">
        <v>201</v>
      </c>
      <c r="UTD17" s="310" t="s">
        <v>201</v>
      </c>
      <c r="UTE17" s="310" t="s">
        <v>201</v>
      </c>
      <c r="UTF17" s="310" t="s">
        <v>201</v>
      </c>
      <c r="UTG17" s="310" t="s">
        <v>201</v>
      </c>
      <c r="UTH17" s="310" t="s">
        <v>201</v>
      </c>
      <c r="UTI17" s="310" t="s">
        <v>201</v>
      </c>
      <c r="UTJ17" s="310" t="s">
        <v>201</v>
      </c>
      <c r="UTK17" s="310" t="s">
        <v>201</v>
      </c>
      <c r="UTL17" s="310" t="s">
        <v>201</v>
      </c>
      <c r="UTM17" s="310" t="s">
        <v>201</v>
      </c>
      <c r="UTN17" s="310" t="s">
        <v>201</v>
      </c>
      <c r="UTO17" s="310" t="s">
        <v>201</v>
      </c>
      <c r="UTP17" s="310" t="s">
        <v>201</v>
      </c>
      <c r="UTQ17" s="310" t="s">
        <v>201</v>
      </c>
      <c r="UTR17" s="310" t="s">
        <v>201</v>
      </c>
      <c r="UTS17" s="310" t="s">
        <v>201</v>
      </c>
      <c r="UTT17" s="310" t="s">
        <v>201</v>
      </c>
      <c r="UTU17" s="310" t="s">
        <v>201</v>
      </c>
      <c r="UTV17" s="310" t="s">
        <v>201</v>
      </c>
      <c r="UTW17" s="310" t="s">
        <v>201</v>
      </c>
      <c r="UTX17" s="310" t="s">
        <v>201</v>
      </c>
      <c r="UTY17" s="310" t="s">
        <v>201</v>
      </c>
      <c r="UTZ17" s="310" t="s">
        <v>201</v>
      </c>
      <c r="UUA17" s="310" t="s">
        <v>201</v>
      </c>
      <c r="UUB17" s="310" t="s">
        <v>201</v>
      </c>
      <c r="UUC17" s="310" t="s">
        <v>201</v>
      </c>
      <c r="UUD17" s="310" t="s">
        <v>201</v>
      </c>
      <c r="UUE17" s="310" t="s">
        <v>201</v>
      </c>
      <c r="UUF17" s="310" t="s">
        <v>201</v>
      </c>
      <c r="UUG17" s="310" t="s">
        <v>201</v>
      </c>
      <c r="UUH17" s="310" t="s">
        <v>201</v>
      </c>
      <c r="UUI17" s="310" t="s">
        <v>201</v>
      </c>
      <c r="UUJ17" s="310" t="s">
        <v>201</v>
      </c>
      <c r="UUK17" s="310" t="s">
        <v>201</v>
      </c>
      <c r="UUL17" s="310" t="s">
        <v>201</v>
      </c>
      <c r="UUM17" s="310" t="s">
        <v>201</v>
      </c>
      <c r="UUN17" s="310" t="s">
        <v>201</v>
      </c>
      <c r="UUO17" s="310" t="s">
        <v>201</v>
      </c>
      <c r="UUP17" s="310" t="s">
        <v>201</v>
      </c>
      <c r="UUQ17" s="310" t="s">
        <v>201</v>
      </c>
      <c r="UUR17" s="310" t="s">
        <v>201</v>
      </c>
      <c r="UUS17" s="310" t="s">
        <v>201</v>
      </c>
      <c r="UUT17" s="310" t="s">
        <v>201</v>
      </c>
      <c r="UUU17" s="310" t="s">
        <v>201</v>
      </c>
      <c r="UUV17" s="310" t="s">
        <v>201</v>
      </c>
      <c r="UUW17" s="310" t="s">
        <v>201</v>
      </c>
      <c r="UUX17" s="310" t="s">
        <v>201</v>
      </c>
      <c r="UUY17" s="310" t="s">
        <v>201</v>
      </c>
      <c r="UUZ17" s="310" t="s">
        <v>201</v>
      </c>
      <c r="UVA17" s="310" t="s">
        <v>201</v>
      </c>
      <c r="UVB17" s="310" t="s">
        <v>201</v>
      </c>
      <c r="UVC17" s="310" t="s">
        <v>201</v>
      </c>
      <c r="UVD17" s="310" t="s">
        <v>201</v>
      </c>
      <c r="UVE17" s="310" t="s">
        <v>201</v>
      </c>
      <c r="UVF17" s="310" t="s">
        <v>201</v>
      </c>
      <c r="UVG17" s="310" t="s">
        <v>201</v>
      </c>
      <c r="UVH17" s="310" t="s">
        <v>201</v>
      </c>
      <c r="UVI17" s="310" t="s">
        <v>201</v>
      </c>
      <c r="UVJ17" s="310" t="s">
        <v>201</v>
      </c>
      <c r="UVK17" s="310" t="s">
        <v>201</v>
      </c>
      <c r="UVL17" s="310" t="s">
        <v>201</v>
      </c>
      <c r="UVM17" s="310" t="s">
        <v>201</v>
      </c>
      <c r="UVN17" s="310" t="s">
        <v>201</v>
      </c>
      <c r="UVO17" s="310" t="s">
        <v>201</v>
      </c>
      <c r="UVP17" s="310" t="s">
        <v>201</v>
      </c>
      <c r="UVQ17" s="310" t="s">
        <v>201</v>
      </c>
      <c r="UVR17" s="310" t="s">
        <v>201</v>
      </c>
      <c r="UVS17" s="310" t="s">
        <v>201</v>
      </c>
      <c r="UVT17" s="310" t="s">
        <v>201</v>
      </c>
      <c r="UVU17" s="310" t="s">
        <v>201</v>
      </c>
      <c r="UVV17" s="310" t="s">
        <v>201</v>
      </c>
      <c r="UVW17" s="310" t="s">
        <v>201</v>
      </c>
      <c r="UVX17" s="310" t="s">
        <v>201</v>
      </c>
      <c r="UVY17" s="310" t="s">
        <v>201</v>
      </c>
      <c r="UVZ17" s="310" t="s">
        <v>201</v>
      </c>
      <c r="UWA17" s="310" t="s">
        <v>201</v>
      </c>
      <c r="UWB17" s="310" t="s">
        <v>201</v>
      </c>
      <c r="UWC17" s="310" t="s">
        <v>201</v>
      </c>
      <c r="UWD17" s="310" t="s">
        <v>201</v>
      </c>
      <c r="UWE17" s="310" t="s">
        <v>201</v>
      </c>
      <c r="UWF17" s="310" t="s">
        <v>201</v>
      </c>
      <c r="UWG17" s="310" t="s">
        <v>201</v>
      </c>
      <c r="UWH17" s="310" t="s">
        <v>201</v>
      </c>
      <c r="UWI17" s="310" t="s">
        <v>201</v>
      </c>
      <c r="UWJ17" s="310" t="s">
        <v>201</v>
      </c>
      <c r="UWK17" s="310" t="s">
        <v>201</v>
      </c>
      <c r="UWL17" s="310" t="s">
        <v>201</v>
      </c>
      <c r="UWM17" s="310" t="s">
        <v>201</v>
      </c>
      <c r="UWN17" s="310" t="s">
        <v>201</v>
      </c>
      <c r="UWO17" s="310" t="s">
        <v>201</v>
      </c>
      <c r="UWP17" s="310" t="s">
        <v>201</v>
      </c>
      <c r="UWQ17" s="310" t="s">
        <v>201</v>
      </c>
      <c r="UWR17" s="310" t="s">
        <v>201</v>
      </c>
      <c r="UWS17" s="310" t="s">
        <v>201</v>
      </c>
      <c r="UWT17" s="310" t="s">
        <v>201</v>
      </c>
      <c r="UWU17" s="310" t="s">
        <v>201</v>
      </c>
      <c r="UWV17" s="310" t="s">
        <v>201</v>
      </c>
      <c r="UWW17" s="310" t="s">
        <v>201</v>
      </c>
      <c r="UWX17" s="310" t="s">
        <v>201</v>
      </c>
      <c r="UWY17" s="310" t="s">
        <v>201</v>
      </c>
      <c r="UWZ17" s="310" t="s">
        <v>201</v>
      </c>
      <c r="UXA17" s="310" t="s">
        <v>201</v>
      </c>
      <c r="UXB17" s="310" t="s">
        <v>201</v>
      </c>
      <c r="UXC17" s="310" t="s">
        <v>201</v>
      </c>
      <c r="UXD17" s="310" t="s">
        <v>201</v>
      </c>
      <c r="UXE17" s="310" t="s">
        <v>201</v>
      </c>
      <c r="UXF17" s="310" t="s">
        <v>201</v>
      </c>
      <c r="UXG17" s="310" t="s">
        <v>201</v>
      </c>
      <c r="UXH17" s="310" t="s">
        <v>201</v>
      </c>
      <c r="UXI17" s="310" t="s">
        <v>201</v>
      </c>
      <c r="UXJ17" s="310" t="s">
        <v>201</v>
      </c>
      <c r="UXK17" s="310" t="s">
        <v>201</v>
      </c>
      <c r="UXL17" s="310" t="s">
        <v>201</v>
      </c>
      <c r="UXM17" s="310" t="s">
        <v>201</v>
      </c>
      <c r="UXN17" s="310" t="s">
        <v>201</v>
      </c>
      <c r="UXO17" s="310" t="s">
        <v>201</v>
      </c>
      <c r="UXP17" s="310" t="s">
        <v>201</v>
      </c>
      <c r="UXQ17" s="310" t="s">
        <v>201</v>
      </c>
      <c r="UXR17" s="310" t="s">
        <v>201</v>
      </c>
      <c r="UXS17" s="310" t="s">
        <v>201</v>
      </c>
      <c r="UXT17" s="310" t="s">
        <v>201</v>
      </c>
      <c r="UXU17" s="310" t="s">
        <v>201</v>
      </c>
      <c r="UXV17" s="310" t="s">
        <v>201</v>
      </c>
      <c r="UXW17" s="310" t="s">
        <v>201</v>
      </c>
      <c r="UXX17" s="310" t="s">
        <v>201</v>
      </c>
      <c r="UXY17" s="310" t="s">
        <v>201</v>
      </c>
      <c r="UXZ17" s="310" t="s">
        <v>201</v>
      </c>
      <c r="UYA17" s="310" t="s">
        <v>201</v>
      </c>
      <c r="UYB17" s="310" t="s">
        <v>201</v>
      </c>
      <c r="UYC17" s="310" t="s">
        <v>201</v>
      </c>
      <c r="UYD17" s="310" t="s">
        <v>201</v>
      </c>
      <c r="UYE17" s="310" t="s">
        <v>201</v>
      </c>
      <c r="UYF17" s="310" t="s">
        <v>201</v>
      </c>
      <c r="UYG17" s="310" t="s">
        <v>201</v>
      </c>
      <c r="UYH17" s="310" t="s">
        <v>201</v>
      </c>
      <c r="UYI17" s="310" t="s">
        <v>201</v>
      </c>
      <c r="UYJ17" s="310" t="s">
        <v>201</v>
      </c>
      <c r="UYK17" s="310" t="s">
        <v>201</v>
      </c>
      <c r="UYL17" s="310" t="s">
        <v>201</v>
      </c>
      <c r="UYM17" s="310" t="s">
        <v>201</v>
      </c>
      <c r="UYN17" s="310" t="s">
        <v>201</v>
      </c>
      <c r="UYO17" s="310" t="s">
        <v>201</v>
      </c>
      <c r="UYP17" s="310" t="s">
        <v>201</v>
      </c>
      <c r="UYQ17" s="310" t="s">
        <v>201</v>
      </c>
      <c r="UYR17" s="310" t="s">
        <v>201</v>
      </c>
      <c r="UYS17" s="310" t="s">
        <v>201</v>
      </c>
      <c r="UYT17" s="310" t="s">
        <v>201</v>
      </c>
      <c r="UYU17" s="310" t="s">
        <v>201</v>
      </c>
      <c r="UYV17" s="310" t="s">
        <v>201</v>
      </c>
      <c r="UYW17" s="310" t="s">
        <v>201</v>
      </c>
      <c r="UYX17" s="310" t="s">
        <v>201</v>
      </c>
      <c r="UYY17" s="310" t="s">
        <v>201</v>
      </c>
      <c r="UYZ17" s="310" t="s">
        <v>201</v>
      </c>
      <c r="UZA17" s="310" t="s">
        <v>201</v>
      </c>
      <c r="UZB17" s="310" t="s">
        <v>201</v>
      </c>
      <c r="UZC17" s="310" t="s">
        <v>201</v>
      </c>
      <c r="UZD17" s="310" t="s">
        <v>201</v>
      </c>
      <c r="UZE17" s="310" t="s">
        <v>201</v>
      </c>
      <c r="UZF17" s="310" t="s">
        <v>201</v>
      </c>
      <c r="UZG17" s="310" t="s">
        <v>201</v>
      </c>
      <c r="UZH17" s="310" t="s">
        <v>201</v>
      </c>
      <c r="UZI17" s="310" t="s">
        <v>201</v>
      </c>
      <c r="UZJ17" s="310" t="s">
        <v>201</v>
      </c>
      <c r="UZK17" s="310" t="s">
        <v>201</v>
      </c>
      <c r="UZL17" s="310" t="s">
        <v>201</v>
      </c>
      <c r="UZM17" s="310" t="s">
        <v>201</v>
      </c>
      <c r="UZN17" s="310" t="s">
        <v>201</v>
      </c>
      <c r="UZO17" s="310" t="s">
        <v>201</v>
      </c>
      <c r="UZP17" s="310" t="s">
        <v>201</v>
      </c>
      <c r="UZQ17" s="310" t="s">
        <v>201</v>
      </c>
      <c r="UZR17" s="310" t="s">
        <v>201</v>
      </c>
      <c r="UZS17" s="310" t="s">
        <v>201</v>
      </c>
      <c r="UZT17" s="310" t="s">
        <v>201</v>
      </c>
      <c r="UZU17" s="310" t="s">
        <v>201</v>
      </c>
      <c r="UZV17" s="310" t="s">
        <v>201</v>
      </c>
      <c r="UZW17" s="310" t="s">
        <v>201</v>
      </c>
      <c r="UZX17" s="310" t="s">
        <v>201</v>
      </c>
      <c r="UZY17" s="310" t="s">
        <v>201</v>
      </c>
      <c r="UZZ17" s="310" t="s">
        <v>201</v>
      </c>
      <c r="VAA17" s="310" t="s">
        <v>201</v>
      </c>
      <c r="VAB17" s="310" t="s">
        <v>201</v>
      </c>
      <c r="VAC17" s="310" t="s">
        <v>201</v>
      </c>
      <c r="VAD17" s="310" t="s">
        <v>201</v>
      </c>
      <c r="VAE17" s="310" t="s">
        <v>201</v>
      </c>
      <c r="VAF17" s="310" t="s">
        <v>201</v>
      </c>
      <c r="VAG17" s="310" t="s">
        <v>201</v>
      </c>
      <c r="VAH17" s="310" t="s">
        <v>201</v>
      </c>
      <c r="VAI17" s="310" t="s">
        <v>201</v>
      </c>
      <c r="VAJ17" s="310" t="s">
        <v>201</v>
      </c>
      <c r="VAK17" s="310" t="s">
        <v>201</v>
      </c>
      <c r="VAL17" s="310" t="s">
        <v>201</v>
      </c>
      <c r="VAM17" s="310" t="s">
        <v>201</v>
      </c>
      <c r="VAN17" s="310" t="s">
        <v>201</v>
      </c>
      <c r="VAO17" s="310" t="s">
        <v>201</v>
      </c>
      <c r="VAP17" s="310" t="s">
        <v>201</v>
      </c>
      <c r="VAQ17" s="310" t="s">
        <v>201</v>
      </c>
      <c r="VAR17" s="310" t="s">
        <v>201</v>
      </c>
      <c r="VAS17" s="310" t="s">
        <v>201</v>
      </c>
      <c r="VAT17" s="310" t="s">
        <v>201</v>
      </c>
      <c r="VAU17" s="310" t="s">
        <v>201</v>
      </c>
      <c r="VAV17" s="310" t="s">
        <v>201</v>
      </c>
      <c r="VAW17" s="310" t="s">
        <v>201</v>
      </c>
      <c r="VAX17" s="310" t="s">
        <v>201</v>
      </c>
      <c r="VAY17" s="310" t="s">
        <v>201</v>
      </c>
      <c r="VAZ17" s="310" t="s">
        <v>201</v>
      </c>
      <c r="VBA17" s="310" t="s">
        <v>201</v>
      </c>
      <c r="VBB17" s="310" t="s">
        <v>201</v>
      </c>
      <c r="VBC17" s="310" t="s">
        <v>201</v>
      </c>
      <c r="VBD17" s="310" t="s">
        <v>201</v>
      </c>
      <c r="VBE17" s="310" t="s">
        <v>201</v>
      </c>
      <c r="VBF17" s="310" t="s">
        <v>201</v>
      </c>
      <c r="VBG17" s="310" t="s">
        <v>201</v>
      </c>
      <c r="VBH17" s="310" t="s">
        <v>201</v>
      </c>
      <c r="VBI17" s="310" t="s">
        <v>201</v>
      </c>
      <c r="VBJ17" s="310" t="s">
        <v>201</v>
      </c>
      <c r="VBK17" s="310" t="s">
        <v>201</v>
      </c>
      <c r="VBL17" s="310" t="s">
        <v>201</v>
      </c>
      <c r="VBM17" s="310" t="s">
        <v>201</v>
      </c>
      <c r="VBN17" s="310" t="s">
        <v>201</v>
      </c>
      <c r="VBO17" s="310" t="s">
        <v>201</v>
      </c>
      <c r="VBP17" s="310" t="s">
        <v>201</v>
      </c>
      <c r="VBQ17" s="310" t="s">
        <v>201</v>
      </c>
      <c r="VBR17" s="310" t="s">
        <v>201</v>
      </c>
      <c r="VBS17" s="310" t="s">
        <v>201</v>
      </c>
      <c r="VBT17" s="310" t="s">
        <v>201</v>
      </c>
      <c r="VBU17" s="310" t="s">
        <v>201</v>
      </c>
      <c r="VBV17" s="310" t="s">
        <v>201</v>
      </c>
      <c r="VBW17" s="310" t="s">
        <v>201</v>
      </c>
      <c r="VBX17" s="310" t="s">
        <v>201</v>
      </c>
      <c r="VBY17" s="310" t="s">
        <v>201</v>
      </c>
      <c r="VBZ17" s="310" t="s">
        <v>201</v>
      </c>
      <c r="VCA17" s="310" t="s">
        <v>201</v>
      </c>
      <c r="VCB17" s="310" t="s">
        <v>201</v>
      </c>
      <c r="VCC17" s="310" t="s">
        <v>201</v>
      </c>
      <c r="VCD17" s="310" t="s">
        <v>201</v>
      </c>
      <c r="VCE17" s="310" t="s">
        <v>201</v>
      </c>
      <c r="VCF17" s="310" t="s">
        <v>201</v>
      </c>
      <c r="VCG17" s="310" t="s">
        <v>201</v>
      </c>
      <c r="VCH17" s="310" t="s">
        <v>201</v>
      </c>
      <c r="VCI17" s="310" t="s">
        <v>201</v>
      </c>
      <c r="VCJ17" s="310" t="s">
        <v>201</v>
      </c>
      <c r="VCK17" s="310" t="s">
        <v>201</v>
      </c>
      <c r="VCL17" s="310" t="s">
        <v>201</v>
      </c>
      <c r="VCM17" s="310" t="s">
        <v>201</v>
      </c>
      <c r="VCN17" s="310" t="s">
        <v>201</v>
      </c>
      <c r="VCO17" s="310" t="s">
        <v>201</v>
      </c>
      <c r="VCP17" s="310" t="s">
        <v>201</v>
      </c>
      <c r="VCQ17" s="310" t="s">
        <v>201</v>
      </c>
      <c r="VCR17" s="310" t="s">
        <v>201</v>
      </c>
      <c r="VCS17" s="310" t="s">
        <v>201</v>
      </c>
      <c r="VCT17" s="310" t="s">
        <v>201</v>
      </c>
      <c r="VCU17" s="310" t="s">
        <v>201</v>
      </c>
      <c r="VCV17" s="310" t="s">
        <v>201</v>
      </c>
      <c r="VCW17" s="310" t="s">
        <v>201</v>
      </c>
      <c r="VCX17" s="310" t="s">
        <v>201</v>
      </c>
      <c r="VCY17" s="310" t="s">
        <v>201</v>
      </c>
      <c r="VCZ17" s="310" t="s">
        <v>201</v>
      </c>
      <c r="VDA17" s="310" t="s">
        <v>201</v>
      </c>
      <c r="VDB17" s="310" t="s">
        <v>201</v>
      </c>
      <c r="VDC17" s="310" t="s">
        <v>201</v>
      </c>
      <c r="VDD17" s="310" t="s">
        <v>201</v>
      </c>
      <c r="VDE17" s="310" t="s">
        <v>201</v>
      </c>
      <c r="VDF17" s="310" t="s">
        <v>201</v>
      </c>
      <c r="VDG17" s="310" t="s">
        <v>201</v>
      </c>
      <c r="VDH17" s="310" t="s">
        <v>201</v>
      </c>
      <c r="VDI17" s="310" t="s">
        <v>201</v>
      </c>
      <c r="VDJ17" s="310" t="s">
        <v>201</v>
      </c>
      <c r="VDK17" s="310" t="s">
        <v>201</v>
      </c>
      <c r="VDL17" s="310" t="s">
        <v>201</v>
      </c>
      <c r="VDM17" s="310" t="s">
        <v>201</v>
      </c>
      <c r="VDN17" s="310" t="s">
        <v>201</v>
      </c>
      <c r="VDO17" s="310" t="s">
        <v>201</v>
      </c>
      <c r="VDP17" s="310" t="s">
        <v>201</v>
      </c>
      <c r="VDQ17" s="310" t="s">
        <v>201</v>
      </c>
      <c r="VDR17" s="310" t="s">
        <v>201</v>
      </c>
      <c r="VDS17" s="310" t="s">
        <v>201</v>
      </c>
      <c r="VDT17" s="310" t="s">
        <v>201</v>
      </c>
      <c r="VDU17" s="310" t="s">
        <v>201</v>
      </c>
      <c r="VDV17" s="310" t="s">
        <v>201</v>
      </c>
      <c r="VDW17" s="310" t="s">
        <v>201</v>
      </c>
      <c r="VDX17" s="310" t="s">
        <v>201</v>
      </c>
      <c r="VDY17" s="310" t="s">
        <v>201</v>
      </c>
      <c r="VDZ17" s="310" t="s">
        <v>201</v>
      </c>
      <c r="VEA17" s="310" t="s">
        <v>201</v>
      </c>
      <c r="VEB17" s="310" t="s">
        <v>201</v>
      </c>
      <c r="VEC17" s="310" t="s">
        <v>201</v>
      </c>
      <c r="VED17" s="310" t="s">
        <v>201</v>
      </c>
      <c r="VEE17" s="310" t="s">
        <v>201</v>
      </c>
      <c r="VEF17" s="310" t="s">
        <v>201</v>
      </c>
      <c r="VEG17" s="310" t="s">
        <v>201</v>
      </c>
      <c r="VEH17" s="310" t="s">
        <v>201</v>
      </c>
      <c r="VEI17" s="310" t="s">
        <v>201</v>
      </c>
      <c r="VEJ17" s="310" t="s">
        <v>201</v>
      </c>
      <c r="VEK17" s="310" t="s">
        <v>201</v>
      </c>
      <c r="VEL17" s="310" t="s">
        <v>201</v>
      </c>
      <c r="VEM17" s="310" t="s">
        <v>201</v>
      </c>
      <c r="VEN17" s="310" t="s">
        <v>201</v>
      </c>
      <c r="VEO17" s="310" t="s">
        <v>201</v>
      </c>
      <c r="VEP17" s="310" t="s">
        <v>201</v>
      </c>
      <c r="VEQ17" s="310" t="s">
        <v>201</v>
      </c>
      <c r="VER17" s="310" t="s">
        <v>201</v>
      </c>
      <c r="VES17" s="310" t="s">
        <v>201</v>
      </c>
      <c r="VET17" s="310" t="s">
        <v>201</v>
      </c>
      <c r="VEU17" s="310" t="s">
        <v>201</v>
      </c>
      <c r="VEV17" s="310" t="s">
        <v>201</v>
      </c>
      <c r="VEW17" s="310" t="s">
        <v>201</v>
      </c>
      <c r="VEX17" s="310" t="s">
        <v>201</v>
      </c>
      <c r="VEY17" s="310" t="s">
        <v>201</v>
      </c>
      <c r="VEZ17" s="310" t="s">
        <v>201</v>
      </c>
      <c r="VFA17" s="310" t="s">
        <v>201</v>
      </c>
      <c r="VFB17" s="310" t="s">
        <v>201</v>
      </c>
      <c r="VFC17" s="310" t="s">
        <v>201</v>
      </c>
      <c r="VFD17" s="310" t="s">
        <v>201</v>
      </c>
      <c r="VFE17" s="310" t="s">
        <v>201</v>
      </c>
      <c r="VFF17" s="310" t="s">
        <v>201</v>
      </c>
      <c r="VFG17" s="310" t="s">
        <v>201</v>
      </c>
      <c r="VFH17" s="310" t="s">
        <v>201</v>
      </c>
      <c r="VFI17" s="310" t="s">
        <v>201</v>
      </c>
      <c r="VFJ17" s="310" t="s">
        <v>201</v>
      </c>
      <c r="VFK17" s="310" t="s">
        <v>201</v>
      </c>
      <c r="VFL17" s="310" t="s">
        <v>201</v>
      </c>
      <c r="VFM17" s="310" t="s">
        <v>201</v>
      </c>
      <c r="VFN17" s="310" t="s">
        <v>201</v>
      </c>
      <c r="VFO17" s="310" t="s">
        <v>201</v>
      </c>
      <c r="VFP17" s="310" t="s">
        <v>201</v>
      </c>
      <c r="VFQ17" s="310" t="s">
        <v>201</v>
      </c>
      <c r="VFR17" s="310" t="s">
        <v>201</v>
      </c>
      <c r="VFS17" s="310" t="s">
        <v>201</v>
      </c>
      <c r="VFT17" s="310" t="s">
        <v>201</v>
      </c>
      <c r="VFU17" s="310" t="s">
        <v>201</v>
      </c>
      <c r="VFV17" s="310" t="s">
        <v>201</v>
      </c>
      <c r="VFW17" s="310" t="s">
        <v>201</v>
      </c>
      <c r="VFX17" s="310" t="s">
        <v>201</v>
      </c>
      <c r="VFY17" s="310" t="s">
        <v>201</v>
      </c>
      <c r="VFZ17" s="310" t="s">
        <v>201</v>
      </c>
      <c r="VGA17" s="310" t="s">
        <v>201</v>
      </c>
      <c r="VGB17" s="310" t="s">
        <v>201</v>
      </c>
      <c r="VGC17" s="310" t="s">
        <v>201</v>
      </c>
      <c r="VGD17" s="310" t="s">
        <v>201</v>
      </c>
      <c r="VGE17" s="310" t="s">
        <v>201</v>
      </c>
      <c r="VGF17" s="310" t="s">
        <v>201</v>
      </c>
      <c r="VGG17" s="310" t="s">
        <v>201</v>
      </c>
      <c r="VGH17" s="310" t="s">
        <v>201</v>
      </c>
      <c r="VGI17" s="310" t="s">
        <v>201</v>
      </c>
      <c r="VGJ17" s="310" t="s">
        <v>201</v>
      </c>
      <c r="VGK17" s="310" t="s">
        <v>201</v>
      </c>
      <c r="VGL17" s="310" t="s">
        <v>201</v>
      </c>
      <c r="VGM17" s="310" t="s">
        <v>201</v>
      </c>
      <c r="VGN17" s="310" t="s">
        <v>201</v>
      </c>
      <c r="VGO17" s="310" t="s">
        <v>201</v>
      </c>
      <c r="VGP17" s="310" t="s">
        <v>201</v>
      </c>
      <c r="VGQ17" s="310" t="s">
        <v>201</v>
      </c>
      <c r="VGR17" s="310" t="s">
        <v>201</v>
      </c>
      <c r="VGS17" s="310" t="s">
        <v>201</v>
      </c>
      <c r="VGT17" s="310" t="s">
        <v>201</v>
      </c>
      <c r="VGU17" s="310" t="s">
        <v>201</v>
      </c>
      <c r="VGV17" s="310" t="s">
        <v>201</v>
      </c>
      <c r="VGW17" s="310" t="s">
        <v>201</v>
      </c>
      <c r="VGX17" s="310" t="s">
        <v>201</v>
      </c>
      <c r="VGY17" s="310" t="s">
        <v>201</v>
      </c>
      <c r="VGZ17" s="310" t="s">
        <v>201</v>
      </c>
      <c r="VHA17" s="310" t="s">
        <v>201</v>
      </c>
      <c r="VHB17" s="310" t="s">
        <v>201</v>
      </c>
      <c r="VHC17" s="310" t="s">
        <v>201</v>
      </c>
      <c r="VHD17" s="310" t="s">
        <v>201</v>
      </c>
      <c r="VHE17" s="310" t="s">
        <v>201</v>
      </c>
      <c r="VHF17" s="310" t="s">
        <v>201</v>
      </c>
      <c r="VHG17" s="310" t="s">
        <v>201</v>
      </c>
      <c r="VHH17" s="310" t="s">
        <v>201</v>
      </c>
      <c r="VHI17" s="310" t="s">
        <v>201</v>
      </c>
      <c r="VHJ17" s="310" t="s">
        <v>201</v>
      </c>
      <c r="VHK17" s="310" t="s">
        <v>201</v>
      </c>
      <c r="VHL17" s="310" t="s">
        <v>201</v>
      </c>
      <c r="VHM17" s="310" t="s">
        <v>201</v>
      </c>
      <c r="VHN17" s="310" t="s">
        <v>201</v>
      </c>
      <c r="VHO17" s="310" t="s">
        <v>201</v>
      </c>
      <c r="VHP17" s="310" t="s">
        <v>201</v>
      </c>
      <c r="VHQ17" s="310" t="s">
        <v>201</v>
      </c>
      <c r="VHR17" s="310" t="s">
        <v>201</v>
      </c>
      <c r="VHS17" s="310" t="s">
        <v>201</v>
      </c>
      <c r="VHT17" s="310" t="s">
        <v>201</v>
      </c>
      <c r="VHU17" s="310" t="s">
        <v>201</v>
      </c>
      <c r="VHV17" s="310" t="s">
        <v>201</v>
      </c>
      <c r="VHW17" s="310" t="s">
        <v>201</v>
      </c>
      <c r="VHX17" s="310" t="s">
        <v>201</v>
      </c>
      <c r="VHY17" s="310" t="s">
        <v>201</v>
      </c>
      <c r="VHZ17" s="310" t="s">
        <v>201</v>
      </c>
      <c r="VIA17" s="310" t="s">
        <v>201</v>
      </c>
      <c r="VIB17" s="310" t="s">
        <v>201</v>
      </c>
      <c r="VIC17" s="310" t="s">
        <v>201</v>
      </c>
      <c r="VID17" s="310" t="s">
        <v>201</v>
      </c>
      <c r="VIE17" s="310" t="s">
        <v>201</v>
      </c>
      <c r="VIF17" s="310" t="s">
        <v>201</v>
      </c>
      <c r="VIG17" s="310" t="s">
        <v>201</v>
      </c>
      <c r="VIH17" s="310" t="s">
        <v>201</v>
      </c>
      <c r="VII17" s="310" t="s">
        <v>201</v>
      </c>
      <c r="VIJ17" s="310" t="s">
        <v>201</v>
      </c>
      <c r="VIK17" s="310" t="s">
        <v>201</v>
      </c>
      <c r="VIL17" s="310" t="s">
        <v>201</v>
      </c>
      <c r="VIM17" s="310" t="s">
        <v>201</v>
      </c>
      <c r="VIN17" s="310" t="s">
        <v>201</v>
      </c>
      <c r="VIO17" s="310" t="s">
        <v>201</v>
      </c>
      <c r="VIP17" s="310" t="s">
        <v>201</v>
      </c>
      <c r="VIQ17" s="310" t="s">
        <v>201</v>
      </c>
      <c r="VIR17" s="310" t="s">
        <v>201</v>
      </c>
      <c r="VIS17" s="310" t="s">
        <v>201</v>
      </c>
      <c r="VIT17" s="310" t="s">
        <v>201</v>
      </c>
      <c r="VIU17" s="310" t="s">
        <v>201</v>
      </c>
      <c r="VIV17" s="310" t="s">
        <v>201</v>
      </c>
      <c r="VIW17" s="310" t="s">
        <v>201</v>
      </c>
      <c r="VIX17" s="310" t="s">
        <v>201</v>
      </c>
      <c r="VIY17" s="310" t="s">
        <v>201</v>
      </c>
      <c r="VIZ17" s="310" t="s">
        <v>201</v>
      </c>
      <c r="VJA17" s="310" t="s">
        <v>201</v>
      </c>
      <c r="VJB17" s="310" t="s">
        <v>201</v>
      </c>
      <c r="VJC17" s="310" t="s">
        <v>201</v>
      </c>
      <c r="VJD17" s="310" t="s">
        <v>201</v>
      </c>
      <c r="VJE17" s="310" t="s">
        <v>201</v>
      </c>
      <c r="VJF17" s="310" t="s">
        <v>201</v>
      </c>
      <c r="VJG17" s="310" t="s">
        <v>201</v>
      </c>
      <c r="VJH17" s="310" t="s">
        <v>201</v>
      </c>
      <c r="VJI17" s="310" t="s">
        <v>201</v>
      </c>
      <c r="VJJ17" s="310" t="s">
        <v>201</v>
      </c>
      <c r="VJK17" s="310" t="s">
        <v>201</v>
      </c>
      <c r="VJL17" s="310" t="s">
        <v>201</v>
      </c>
      <c r="VJM17" s="310" t="s">
        <v>201</v>
      </c>
      <c r="VJN17" s="310" t="s">
        <v>201</v>
      </c>
      <c r="VJO17" s="310" t="s">
        <v>201</v>
      </c>
      <c r="VJP17" s="310" t="s">
        <v>201</v>
      </c>
      <c r="VJQ17" s="310" t="s">
        <v>201</v>
      </c>
      <c r="VJR17" s="310" t="s">
        <v>201</v>
      </c>
      <c r="VJS17" s="310" t="s">
        <v>201</v>
      </c>
      <c r="VJT17" s="310" t="s">
        <v>201</v>
      </c>
      <c r="VJU17" s="310" t="s">
        <v>201</v>
      </c>
      <c r="VJV17" s="310" t="s">
        <v>201</v>
      </c>
      <c r="VJW17" s="310" t="s">
        <v>201</v>
      </c>
      <c r="VJX17" s="310" t="s">
        <v>201</v>
      </c>
      <c r="VJY17" s="310" t="s">
        <v>201</v>
      </c>
      <c r="VJZ17" s="310" t="s">
        <v>201</v>
      </c>
      <c r="VKA17" s="310" t="s">
        <v>201</v>
      </c>
      <c r="VKB17" s="310" t="s">
        <v>201</v>
      </c>
      <c r="VKC17" s="310" t="s">
        <v>201</v>
      </c>
      <c r="VKD17" s="310" t="s">
        <v>201</v>
      </c>
      <c r="VKE17" s="310" t="s">
        <v>201</v>
      </c>
      <c r="VKF17" s="310" t="s">
        <v>201</v>
      </c>
      <c r="VKG17" s="310" t="s">
        <v>201</v>
      </c>
      <c r="VKH17" s="310" t="s">
        <v>201</v>
      </c>
      <c r="VKI17" s="310" t="s">
        <v>201</v>
      </c>
      <c r="VKJ17" s="310" t="s">
        <v>201</v>
      </c>
      <c r="VKK17" s="310" t="s">
        <v>201</v>
      </c>
      <c r="VKL17" s="310" t="s">
        <v>201</v>
      </c>
      <c r="VKM17" s="310" t="s">
        <v>201</v>
      </c>
      <c r="VKN17" s="310" t="s">
        <v>201</v>
      </c>
      <c r="VKO17" s="310" t="s">
        <v>201</v>
      </c>
      <c r="VKP17" s="310" t="s">
        <v>201</v>
      </c>
      <c r="VKQ17" s="310" t="s">
        <v>201</v>
      </c>
      <c r="VKR17" s="310" t="s">
        <v>201</v>
      </c>
      <c r="VKS17" s="310" t="s">
        <v>201</v>
      </c>
      <c r="VKT17" s="310" t="s">
        <v>201</v>
      </c>
      <c r="VKU17" s="310" t="s">
        <v>201</v>
      </c>
      <c r="VKV17" s="310" t="s">
        <v>201</v>
      </c>
      <c r="VKW17" s="310" t="s">
        <v>201</v>
      </c>
      <c r="VKX17" s="310" t="s">
        <v>201</v>
      </c>
      <c r="VKY17" s="310" t="s">
        <v>201</v>
      </c>
      <c r="VKZ17" s="310" t="s">
        <v>201</v>
      </c>
      <c r="VLA17" s="310" t="s">
        <v>201</v>
      </c>
      <c r="VLB17" s="310" t="s">
        <v>201</v>
      </c>
      <c r="VLC17" s="310" t="s">
        <v>201</v>
      </c>
      <c r="VLD17" s="310" t="s">
        <v>201</v>
      </c>
      <c r="VLE17" s="310" t="s">
        <v>201</v>
      </c>
      <c r="VLF17" s="310" t="s">
        <v>201</v>
      </c>
      <c r="VLG17" s="310" t="s">
        <v>201</v>
      </c>
      <c r="VLH17" s="310" t="s">
        <v>201</v>
      </c>
      <c r="VLI17" s="310" t="s">
        <v>201</v>
      </c>
      <c r="VLJ17" s="310" t="s">
        <v>201</v>
      </c>
      <c r="VLK17" s="310" t="s">
        <v>201</v>
      </c>
      <c r="VLL17" s="310" t="s">
        <v>201</v>
      </c>
      <c r="VLM17" s="310" t="s">
        <v>201</v>
      </c>
      <c r="VLN17" s="310" t="s">
        <v>201</v>
      </c>
      <c r="VLO17" s="310" t="s">
        <v>201</v>
      </c>
      <c r="VLP17" s="310" t="s">
        <v>201</v>
      </c>
      <c r="VLQ17" s="310" t="s">
        <v>201</v>
      </c>
      <c r="VLR17" s="310" t="s">
        <v>201</v>
      </c>
      <c r="VLS17" s="310" t="s">
        <v>201</v>
      </c>
      <c r="VLT17" s="310" t="s">
        <v>201</v>
      </c>
      <c r="VLU17" s="310" t="s">
        <v>201</v>
      </c>
      <c r="VLV17" s="310" t="s">
        <v>201</v>
      </c>
      <c r="VLW17" s="310" t="s">
        <v>201</v>
      </c>
      <c r="VLX17" s="310" t="s">
        <v>201</v>
      </c>
      <c r="VLY17" s="310" t="s">
        <v>201</v>
      </c>
      <c r="VLZ17" s="310" t="s">
        <v>201</v>
      </c>
      <c r="VMA17" s="310" t="s">
        <v>201</v>
      </c>
      <c r="VMB17" s="310" t="s">
        <v>201</v>
      </c>
      <c r="VMC17" s="310" t="s">
        <v>201</v>
      </c>
      <c r="VMD17" s="310" t="s">
        <v>201</v>
      </c>
      <c r="VME17" s="310" t="s">
        <v>201</v>
      </c>
      <c r="VMF17" s="310" t="s">
        <v>201</v>
      </c>
      <c r="VMG17" s="310" t="s">
        <v>201</v>
      </c>
      <c r="VMH17" s="310" t="s">
        <v>201</v>
      </c>
      <c r="VMI17" s="310" t="s">
        <v>201</v>
      </c>
      <c r="VMJ17" s="310" t="s">
        <v>201</v>
      </c>
      <c r="VMK17" s="310" t="s">
        <v>201</v>
      </c>
      <c r="VML17" s="310" t="s">
        <v>201</v>
      </c>
      <c r="VMM17" s="310" t="s">
        <v>201</v>
      </c>
      <c r="VMN17" s="310" t="s">
        <v>201</v>
      </c>
      <c r="VMO17" s="310" t="s">
        <v>201</v>
      </c>
      <c r="VMP17" s="310" t="s">
        <v>201</v>
      </c>
      <c r="VMQ17" s="310" t="s">
        <v>201</v>
      </c>
      <c r="VMR17" s="310" t="s">
        <v>201</v>
      </c>
      <c r="VMS17" s="310" t="s">
        <v>201</v>
      </c>
      <c r="VMT17" s="310" t="s">
        <v>201</v>
      </c>
      <c r="VMU17" s="310" t="s">
        <v>201</v>
      </c>
      <c r="VMV17" s="310" t="s">
        <v>201</v>
      </c>
      <c r="VMW17" s="310" t="s">
        <v>201</v>
      </c>
      <c r="VMX17" s="310" t="s">
        <v>201</v>
      </c>
      <c r="VMY17" s="310" t="s">
        <v>201</v>
      </c>
      <c r="VMZ17" s="310" t="s">
        <v>201</v>
      </c>
      <c r="VNA17" s="310" t="s">
        <v>201</v>
      </c>
      <c r="VNB17" s="310" t="s">
        <v>201</v>
      </c>
      <c r="VNC17" s="310" t="s">
        <v>201</v>
      </c>
      <c r="VND17" s="310" t="s">
        <v>201</v>
      </c>
      <c r="VNE17" s="310" t="s">
        <v>201</v>
      </c>
      <c r="VNF17" s="310" t="s">
        <v>201</v>
      </c>
      <c r="VNG17" s="310" t="s">
        <v>201</v>
      </c>
      <c r="VNH17" s="310" t="s">
        <v>201</v>
      </c>
      <c r="VNI17" s="310" t="s">
        <v>201</v>
      </c>
      <c r="VNJ17" s="310" t="s">
        <v>201</v>
      </c>
      <c r="VNK17" s="310" t="s">
        <v>201</v>
      </c>
      <c r="VNL17" s="310" t="s">
        <v>201</v>
      </c>
      <c r="VNM17" s="310" t="s">
        <v>201</v>
      </c>
      <c r="VNN17" s="310" t="s">
        <v>201</v>
      </c>
      <c r="VNO17" s="310" t="s">
        <v>201</v>
      </c>
      <c r="VNP17" s="310" t="s">
        <v>201</v>
      </c>
      <c r="VNQ17" s="310" t="s">
        <v>201</v>
      </c>
      <c r="VNR17" s="310" t="s">
        <v>201</v>
      </c>
      <c r="VNS17" s="310" t="s">
        <v>201</v>
      </c>
      <c r="VNT17" s="310" t="s">
        <v>201</v>
      </c>
      <c r="VNU17" s="310" t="s">
        <v>201</v>
      </c>
      <c r="VNV17" s="310" t="s">
        <v>201</v>
      </c>
      <c r="VNW17" s="310" t="s">
        <v>201</v>
      </c>
      <c r="VNX17" s="310" t="s">
        <v>201</v>
      </c>
      <c r="VNY17" s="310" t="s">
        <v>201</v>
      </c>
      <c r="VNZ17" s="310" t="s">
        <v>201</v>
      </c>
      <c r="VOA17" s="310" t="s">
        <v>201</v>
      </c>
      <c r="VOB17" s="310" t="s">
        <v>201</v>
      </c>
      <c r="VOC17" s="310" t="s">
        <v>201</v>
      </c>
      <c r="VOD17" s="310" t="s">
        <v>201</v>
      </c>
      <c r="VOE17" s="310" t="s">
        <v>201</v>
      </c>
      <c r="VOF17" s="310" t="s">
        <v>201</v>
      </c>
      <c r="VOG17" s="310" t="s">
        <v>201</v>
      </c>
      <c r="VOH17" s="310" t="s">
        <v>201</v>
      </c>
      <c r="VOI17" s="310" t="s">
        <v>201</v>
      </c>
      <c r="VOJ17" s="310" t="s">
        <v>201</v>
      </c>
      <c r="VOK17" s="310" t="s">
        <v>201</v>
      </c>
      <c r="VOL17" s="310" t="s">
        <v>201</v>
      </c>
      <c r="VOM17" s="310" t="s">
        <v>201</v>
      </c>
      <c r="VON17" s="310" t="s">
        <v>201</v>
      </c>
      <c r="VOO17" s="310" t="s">
        <v>201</v>
      </c>
      <c r="VOP17" s="310" t="s">
        <v>201</v>
      </c>
      <c r="VOQ17" s="310" t="s">
        <v>201</v>
      </c>
      <c r="VOR17" s="310" t="s">
        <v>201</v>
      </c>
      <c r="VOS17" s="310" t="s">
        <v>201</v>
      </c>
      <c r="VOT17" s="310" t="s">
        <v>201</v>
      </c>
      <c r="VOU17" s="310" t="s">
        <v>201</v>
      </c>
      <c r="VOV17" s="310" t="s">
        <v>201</v>
      </c>
      <c r="VOW17" s="310" t="s">
        <v>201</v>
      </c>
      <c r="VOX17" s="310" t="s">
        <v>201</v>
      </c>
      <c r="VOY17" s="310" t="s">
        <v>201</v>
      </c>
      <c r="VOZ17" s="310" t="s">
        <v>201</v>
      </c>
      <c r="VPA17" s="310" t="s">
        <v>201</v>
      </c>
      <c r="VPB17" s="310" t="s">
        <v>201</v>
      </c>
      <c r="VPC17" s="310" t="s">
        <v>201</v>
      </c>
      <c r="VPD17" s="310" t="s">
        <v>201</v>
      </c>
      <c r="VPE17" s="310" t="s">
        <v>201</v>
      </c>
      <c r="VPF17" s="310" t="s">
        <v>201</v>
      </c>
      <c r="VPG17" s="310" t="s">
        <v>201</v>
      </c>
      <c r="VPH17" s="310" t="s">
        <v>201</v>
      </c>
      <c r="VPI17" s="310" t="s">
        <v>201</v>
      </c>
      <c r="VPJ17" s="310" t="s">
        <v>201</v>
      </c>
      <c r="VPK17" s="310" t="s">
        <v>201</v>
      </c>
      <c r="VPL17" s="310" t="s">
        <v>201</v>
      </c>
      <c r="VPM17" s="310" t="s">
        <v>201</v>
      </c>
      <c r="VPN17" s="310" t="s">
        <v>201</v>
      </c>
      <c r="VPO17" s="310" t="s">
        <v>201</v>
      </c>
      <c r="VPP17" s="310" t="s">
        <v>201</v>
      </c>
      <c r="VPQ17" s="310" t="s">
        <v>201</v>
      </c>
      <c r="VPR17" s="310" t="s">
        <v>201</v>
      </c>
      <c r="VPS17" s="310" t="s">
        <v>201</v>
      </c>
      <c r="VPT17" s="310" t="s">
        <v>201</v>
      </c>
      <c r="VPU17" s="310" t="s">
        <v>201</v>
      </c>
      <c r="VPV17" s="310" t="s">
        <v>201</v>
      </c>
      <c r="VPW17" s="310" t="s">
        <v>201</v>
      </c>
      <c r="VPX17" s="310" t="s">
        <v>201</v>
      </c>
      <c r="VPY17" s="310" t="s">
        <v>201</v>
      </c>
      <c r="VPZ17" s="310" t="s">
        <v>201</v>
      </c>
      <c r="VQA17" s="310" t="s">
        <v>201</v>
      </c>
      <c r="VQB17" s="310" t="s">
        <v>201</v>
      </c>
      <c r="VQC17" s="310" t="s">
        <v>201</v>
      </c>
      <c r="VQD17" s="310" t="s">
        <v>201</v>
      </c>
      <c r="VQE17" s="310" t="s">
        <v>201</v>
      </c>
      <c r="VQF17" s="310" t="s">
        <v>201</v>
      </c>
      <c r="VQG17" s="310" t="s">
        <v>201</v>
      </c>
      <c r="VQH17" s="310" t="s">
        <v>201</v>
      </c>
      <c r="VQI17" s="310" t="s">
        <v>201</v>
      </c>
      <c r="VQJ17" s="310" t="s">
        <v>201</v>
      </c>
      <c r="VQK17" s="310" t="s">
        <v>201</v>
      </c>
      <c r="VQL17" s="310" t="s">
        <v>201</v>
      </c>
      <c r="VQM17" s="310" t="s">
        <v>201</v>
      </c>
      <c r="VQN17" s="310" t="s">
        <v>201</v>
      </c>
      <c r="VQO17" s="310" t="s">
        <v>201</v>
      </c>
      <c r="VQP17" s="310" t="s">
        <v>201</v>
      </c>
      <c r="VQQ17" s="310" t="s">
        <v>201</v>
      </c>
      <c r="VQR17" s="310" t="s">
        <v>201</v>
      </c>
      <c r="VQS17" s="310" t="s">
        <v>201</v>
      </c>
      <c r="VQT17" s="310" t="s">
        <v>201</v>
      </c>
      <c r="VQU17" s="310" t="s">
        <v>201</v>
      </c>
      <c r="VQV17" s="310" t="s">
        <v>201</v>
      </c>
      <c r="VQW17" s="310" t="s">
        <v>201</v>
      </c>
      <c r="VQX17" s="310" t="s">
        <v>201</v>
      </c>
      <c r="VQY17" s="310" t="s">
        <v>201</v>
      </c>
      <c r="VQZ17" s="310" t="s">
        <v>201</v>
      </c>
      <c r="VRA17" s="310" t="s">
        <v>201</v>
      </c>
      <c r="VRB17" s="310" t="s">
        <v>201</v>
      </c>
      <c r="VRC17" s="310" t="s">
        <v>201</v>
      </c>
      <c r="VRD17" s="310" t="s">
        <v>201</v>
      </c>
      <c r="VRE17" s="310" t="s">
        <v>201</v>
      </c>
      <c r="VRF17" s="310" t="s">
        <v>201</v>
      </c>
      <c r="VRG17" s="310" t="s">
        <v>201</v>
      </c>
      <c r="VRH17" s="310" t="s">
        <v>201</v>
      </c>
      <c r="VRI17" s="310" t="s">
        <v>201</v>
      </c>
      <c r="VRJ17" s="310" t="s">
        <v>201</v>
      </c>
      <c r="VRK17" s="310" t="s">
        <v>201</v>
      </c>
      <c r="VRL17" s="310" t="s">
        <v>201</v>
      </c>
      <c r="VRM17" s="310" t="s">
        <v>201</v>
      </c>
      <c r="VRN17" s="310" t="s">
        <v>201</v>
      </c>
      <c r="VRO17" s="310" t="s">
        <v>201</v>
      </c>
      <c r="VRP17" s="310" t="s">
        <v>201</v>
      </c>
      <c r="VRQ17" s="310" t="s">
        <v>201</v>
      </c>
      <c r="VRR17" s="310" t="s">
        <v>201</v>
      </c>
      <c r="VRS17" s="310" t="s">
        <v>201</v>
      </c>
      <c r="VRT17" s="310" t="s">
        <v>201</v>
      </c>
      <c r="VRU17" s="310" t="s">
        <v>201</v>
      </c>
      <c r="VRV17" s="310" t="s">
        <v>201</v>
      </c>
      <c r="VRW17" s="310" t="s">
        <v>201</v>
      </c>
      <c r="VRX17" s="310" t="s">
        <v>201</v>
      </c>
      <c r="VRY17" s="310" t="s">
        <v>201</v>
      </c>
      <c r="VRZ17" s="310" t="s">
        <v>201</v>
      </c>
      <c r="VSA17" s="310" t="s">
        <v>201</v>
      </c>
      <c r="VSB17" s="310" t="s">
        <v>201</v>
      </c>
      <c r="VSC17" s="310" t="s">
        <v>201</v>
      </c>
      <c r="VSD17" s="310" t="s">
        <v>201</v>
      </c>
      <c r="VSE17" s="310" t="s">
        <v>201</v>
      </c>
      <c r="VSF17" s="310" t="s">
        <v>201</v>
      </c>
      <c r="VSG17" s="310" t="s">
        <v>201</v>
      </c>
      <c r="VSH17" s="310" t="s">
        <v>201</v>
      </c>
      <c r="VSI17" s="310" t="s">
        <v>201</v>
      </c>
      <c r="VSJ17" s="310" t="s">
        <v>201</v>
      </c>
      <c r="VSK17" s="310" t="s">
        <v>201</v>
      </c>
      <c r="VSL17" s="310" t="s">
        <v>201</v>
      </c>
      <c r="VSM17" s="310" t="s">
        <v>201</v>
      </c>
      <c r="VSN17" s="310" t="s">
        <v>201</v>
      </c>
      <c r="VSO17" s="310" t="s">
        <v>201</v>
      </c>
      <c r="VSP17" s="310" t="s">
        <v>201</v>
      </c>
      <c r="VSQ17" s="310" t="s">
        <v>201</v>
      </c>
      <c r="VSR17" s="310" t="s">
        <v>201</v>
      </c>
      <c r="VSS17" s="310" t="s">
        <v>201</v>
      </c>
      <c r="VST17" s="310" t="s">
        <v>201</v>
      </c>
      <c r="VSU17" s="310" t="s">
        <v>201</v>
      </c>
      <c r="VSV17" s="310" t="s">
        <v>201</v>
      </c>
      <c r="VSW17" s="310" t="s">
        <v>201</v>
      </c>
      <c r="VSX17" s="310" t="s">
        <v>201</v>
      </c>
      <c r="VSY17" s="310" t="s">
        <v>201</v>
      </c>
      <c r="VSZ17" s="310" t="s">
        <v>201</v>
      </c>
      <c r="VTA17" s="310" t="s">
        <v>201</v>
      </c>
      <c r="VTB17" s="310" t="s">
        <v>201</v>
      </c>
      <c r="VTC17" s="310" t="s">
        <v>201</v>
      </c>
      <c r="VTD17" s="310" t="s">
        <v>201</v>
      </c>
      <c r="VTE17" s="310" t="s">
        <v>201</v>
      </c>
      <c r="VTF17" s="310" t="s">
        <v>201</v>
      </c>
      <c r="VTG17" s="310" t="s">
        <v>201</v>
      </c>
      <c r="VTH17" s="310" t="s">
        <v>201</v>
      </c>
      <c r="VTI17" s="310" t="s">
        <v>201</v>
      </c>
      <c r="VTJ17" s="310" t="s">
        <v>201</v>
      </c>
      <c r="VTK17" s="310" t="s">
        <v>201</v>
      </c>
      <c r="VTL17" s="310" t="s">
        <v>201</v>
      </c>
      <c r="VTM17" s="310" t="s">
        <v>201</v>
      </c>
      <c r="VTN17" s="310" t="s">
        <v>201</v>
      </c>
      <c r="VTO17" s="310" t="s">
        <v>201</v>
      </c>
      <c r="VTP17" s="310" t="s">
        <v>201</v>
      </c>
      <c r="VTQ17" s="310" t="s">
        <v>201</v>
      </c>
      <c r="VTR17" s="310" t="s">
        <v>201</v>
      </c>
      <c r="VTS17" s="310" t="s">
        <v>201</v>
      </c>
      <c r="VTT17" s="310" t="s">
        <v>201</v>
      </c>
      <c r="VTU17" s="310" t="s">
        <v>201</v>
      </c>
      <c r="VTV17" s="310" t="s">
        <v>201</v>
      </c>
      <c r="VTW17" s="310" t="s">
        <v>201</v>
      </c>
      <c r="VTX17" s="310" t="s">
        <v>201</v>
      </c>
      <c r="VTY17" s="310" t="s">
        <v>201</v>
      </c>
      <c r="VTZ17" s="310" t="s">
        <v>201</v>
      </c>
      <c r="VUA17" s="310" t="s">
        <v>201</v>
      </c>
      <c r="VUB17" s="310" t="s">
        <v>201</v>
      </c>
      <c r="VUC17" s="310" t="s">
        <v>201</v>
      </c>
      <c r="VUD17" s="310" t="s">
        <v>201</v>
      </c>
      <c r="VUE17" s="310" t="s">
        <v>201</v>
      </c>
      <c r="VUF17" s="310" t="s">
        <v>201</v>
      </c>
      <c r="VUG17" s="310" t="s">
        <v>201</v>
      </c>
      <c r="VUH17" s="310" t="s">
        <v>201</v>
      </c>
      <c r="VUI17" s="310" t="s">
        <v>201</v>
      </c>
      <c r="VUJ17" s="310" t="s">
        <v>201</v>
      </c>
      <c r="VUK17" s="310" t="s">
        <v>201</v>
      </c>
      <c r="VUL17" s="310" t="s">
        <v>201</v>
      </c>
      <c r="VUM17" s="310" t="s">
        <v>201</v>
      </c>
      <c r="VUN17" s="310" t="s">
        <v>201</v>
      </c>
      <c r="VUO17" s="310" t="s">
        <v>201</v>
      </c>
      <c r="VUP17" s="310" t="s">
        <v>201</v>
      </c>
      <c r="VUQ17" s="310" t="s">
        <v>201</v>
      </c>
      <c r="VUR17" s="310" t="s">
        <v>201</v>
      </c>
      <c r="VUS17" s="310" t="s">
        <v>201</v>
      </c>
      <c r="VUT17" s="310" t="s">
        <v>201</v>
      </c>
      <c r="VUU17" s="310" t="s">
        <v>201</v>
      </c>
      <c r="VUV17" s="310" t="s">
        <v>201</v>
      </c>
      <c r="VUW17" s="310" t="s">
        <v>201</v>
      </c>
      <c r="VUX17" s="310" t="s">
        <v>201</v>
      </c>
      <c r="VUY17" s="310" t="s">
        <v>201</v>
      </c>
      <c r="VUZ17" s="310" t="s">
        <v>201</v>
      </c>
      <c r="VVA17" s="310" t="s">
        <v>201</v>
      </c>
      <c r="VVB17" s="310" t="s">
        <v>201</v>
      </c>
      <c r="VVC17" s="310" t="s">
        <v>201</v>
      </c>
      <c r="VVD17" s="310" t="s">
        <v>201</v>
      </c>
      <c r="VVE17" s="310" t="s">
        <v>201</v>
      </c>
      <c r="VVF17" s="310" t="s">
        <v>201</v>
      </c>
      <c r="VVG17" s="310" t="s">
        <v>201</v>
      </c>
      <c r="VVH17" s="310" t="s">
        <v>201</v>
      </c>
      <c r="VVI17" s="310" t="s">
        <v>201</v>
      </c>
      <c r="VVJ17" s="310" t="s">
        <v>201</v>
      </c>
      <c r="VVK17" s="310" t="s">
        <v>201</v>
      </c>
      <c r="VVL17" s="310" t="s">
        <v>201</v>
      </c>
      <c r="VVM17" s="310" t="s">
        <v>201</v>
      </c>
      <c r="VVN17" s="310" t="s">
        <v>201</v>
      </c>
      <c r="VVO17" s="310" t="s">
        <v>201</v>
      </c>
      <c r="VVP17" s="310" t="s">
        <v>201</v>
      </c>
      <c r="VVQ17" s="310" t="s">
        <v>201</v>
      </c>
      <c r="VVR17" s="310" t="s">
        <v>201</v>
      </c>
      <c r="VVS17" s="310" t="s">
        <v>201</v>
      </c>
      <c r="VVT17" s="310" t="s">
        <v>201</v>
      </c>
      <c r="VVU17" s="310" t="s">
        <v>201</v>
      </c>
      <c r="VVV17" s="310" t="s">
        <v>201</v>
      </c>
      <c r="VVW17" s="310" t="s">
        <v>201</v>
      </c>
      <c r="VVX17" s="310" t="s">
        <v>201</v>
      </c>
      <c r="VVY17" s="310" t="s">
        <v>201</v>
      </c>
      <c r="VVZ17" s="310" t="s">
        <v>201</v>
      </c>
      <c r="VWA17" s="310" t="s">
        <v>201</v>
      </c>
      <c r="VWB17" s="310" t="s">
        <v>201</v>
      </c>
      <c r="VWC17" s="310" t="s">
        <v>201</v>
      </c>
      <c r="VWD17" s="310" t="s">
        <v>201</v>
      </c>
      <c r="VWE17" s="310" t="s">
        <v>201</v>
      </c>
      <c r="VWF17" s="310" t="s">
        <v>201</v>
      </c>
      <c r="VWG17" s="310" t="s">
        <v>201</v>
      </c>
      <c r="VWH17" s="310" t="s">
        <v>201</v>
      </c>
      <c r="VWI17" s="310" t="s">
        <v>201</v>
      </c>
      <c r="VWJ17" s="310" t="s">
        <v>201</v>
      </c>
      <c r="VWK17" s="310" t="s">
        <v>201</v>
      </c>
      <c r="VWL17" s="310" t="s">
        <v>201</v>
      </c>
      <c r="VWM17" s="310" t="s">
        <v>201</v>
      </c>
      <c r="VWN17" s="310" t="s">
        <v>201</v>
      </c>
      <c r="VWO17" s="310" t="s">
        <v>201</v>
      </c>
      <c r="VWP17" s="310" t="s">
        <v>201</v>
      </c>
      <c r="VWQ17" s="310" t="s">
        <v>201</v>
      </c>
      <c r="VWR17" s="310" t="s">
        <v>201</v>
      </c>
      <c r="VWS17" s="310" t="s">
        <v>201</v>
      </c>
      <c r="VWT17" s="310" t="s">
        <v>201</v>
      </c>
      <c r="VWU17" s="310" t="s">
        <v>201</v>
      </c>
      <c r="VWV17" s="310" t="s">
        <v>201</v>
      </c>
      <c r="VWW17" s="310" t="s">
        <v>201</v>
      </c>
      <c r="VWX17" s="310" t="s">
        <v>201</v>
      </c>
      <c r="VWY17" s="310" t="s">
        <v>201</v>
      </c>
      <c r="VWZ17" s="310" t="s">
        <v>201</v>
      </c>
      <c r="VXA17" s="310" t="s">
        <v>201</v>
      </c>
      <c r="VXB17" s="310" t="s">
        <v>201</v>
      </c>
      <c r="VXC17" s="310" t="s">
        <v>201</v>
      </c>
      <c r="VXD17" s="310" t="s">
        <v>201</v>
      </c>
      <c r="VXE17" s="310" t="s">
        <v>201</v>
      </c>
      <c r="VXF17" s="310" t="s">
        <v>201</v>
      </c>
      <c r="VXG17" s="310" t="s">
        <v>201</v>
      </c>
      <c r="VXH17" s="310" t="s">
        <v>201</v>
      </c>
      <c r="VXI17" s="310" t="s">
        <v>201</v>
      </c>
      <c r="VXJ17" s="310" t="s">
        <v>201</v>
      </c>
      <c r="VXK17" s="310" t="s">
        <v>201</v>
      </c>
      <c r="VXL17" s="310" t="s">
        <v>201</v>
      </c>
      <c r="VXM17" s="310" t="s">
        <v>201</v>
      </c>
      <c r="VXN17" s="310" t="s">
        <v>201</v>
      </c>
      <c r="VXO17" s="310" t="s">
        <v>201</v>
      </c>
      <c r="VXP17" s="310" t="s">
        <v>201</v>
      </c>
      <c r="VXQ17" s="310" t="s">
        <v>201</v>
      </c>
      <c r="VXR17" s="310" t="s">
        <v>201</v>
      </c>
      <c r="VXS17" s="310" t="s">
        <v>201</v>
      </c>
      <c r="VXT17" s="310" t="s">
        <v>201</v>
      </c>
      <c r="VXU17" s="310" t="s">
        <v>201</v>
      </c>
      <c r="VXV17" s="310" t="s">
        <v>201</v>
      </c>
      <c r="VXW17" s="310" t="s">
        <v>201</v>
      </c>
      <c r="VXX17" s="310" t="s">
        <v>201</v>
      </c>
      <c r="VXY17" s="310" t="s">
        <v>201</v>
      </c>
      <c r="VXZ17" s="310" t="s">
        <v>201</v>
      </c>
      <c r="VYA17" s="310" t="s">
        <v>201</v>
      </c>
      <c r="VYB17" s="310" t="s">
        <v>201</v>
      </c>
      <c r="VYC17" s="310" t="s">
        <v>201</v>
      </c>
      <c r="VYD17" s="310" t="s">
        <v>201</v>
      </c>
      <c r="VYE17" s="310" t="s">
        <v>201</v>
      </c>
      <c r="VYF17" s="310" t="s">
        <v>201</v>
      </c>
      <c r="VYG17" s="310" t="s">
        <v>201</v>
      </c>
      <c r="VYH17" s="310" t="s">
        <v>201</v>
      </c>
      <c r="VYI17" s="310" t="s">
        <v>201</v>
      </c>
      <c r="VYJ17" s="310" t="s">
        <v>201</v>
      </c>
      <c r="VYK17" s="310" t="s">
        <v>201</v>
      </c>
      <c r="VYL17" s="310" t="s">
        <v>201</v>
      </c>
      <c r="VYM17" s="310" t="s">
        <v>201</v>
      </c>
      <c r="VYN17" s="310" t="s">
        <v>201</v>
      </c>
      <c r="VYO17" s="310" t="s">
        <v>201</v>
      </c>
      <c r="VYP17" s="310" t="s">
        <v>201</v>
      </c>
      <c r="VYQ17" s="310" t="s">
        <v>201</v>
      </c>
      <c r="VYR17" s="310" t="s">
        <v>201</v>
      </c>
      <c r="VYS17" s="310" t="s">
        <v>201</v>
      </c>
      <c r="VYT17" s="310" t="s">
        <v>201</v>
      </c>
      <c r="VYU17" s="310" t="s">
        <v>201</v>
      </c>
      <c r="VYV17" s="310" t="s">
        <v>201</v>
      </c>
      <c r="VYW17" s="310" t="s">
        <v>201</v>
      </c>
      <c r="VYX17" s="310" t="s">
        <v>201</v>
      </c>
      <c r="VYY17" s="310" t="s">
        <v>201</v>
      </c>
      <c r="VYZ17" s="310" t="s">
        <v>201</v>
      </c>
      <c r="VZA17" s="310" t="s">
        <v>201</v>
      </c>
      <c r="VZB17" s="310" t="s">
        <v>201</v>
      </c>
      <c r="VZC17" s="310" t="s">
        <v>201</v>
      </c>
      <c r="VZD17" s="310" t="s">
        <v>201</v>
      </c>
      <c r="VZE17" s="310" t="s">
        <v>201</v>
      </c>
      <c r="VZF17" s="310" t="s">
        <v>201</v>
      </c>
      <c r="VZG17" s="310" t="s">
        <v>201</v>
      </c>
      <c r="VZH17" s="310" t="s">
        <v>201</v>
      </c>
      <c r="VZI17" s="310" t="s">
        <v>201</v>
      </c>
      <c r="VZJ17" s="310" t="s">
        <v>201</v>
      </c>
      <c r="VZK17" s="310" t="s">
        <v>201</v>
      </c>
      <c r="VZL17" s="310" t="s">
        <v>201</v>
      </c>
      <c r="VZM17" s="310" t="s">
        <v>201</v>
      </c>
      <c r="VZN17" s="310" t="s">
        <v>201</v>
      </c>
      <c r="VZO17" s="310" t="s">
        <v>201</v>
      </c>
      <c r="VZP17" s="310" t="s">
        <v>201</v>
      </c>
      <c r="VZQ17" s="310" t="s">
        <v>201</v>
      </c>
      <c r="VZR17" s="310" t="s">
        <v>201</v>
      </c>
      <c r="VZS17" s="310" t="s">
        <v>201</v>
      </c>
      <c r="VZT17" s="310" t="s">
        <v>201</v>
      </c>
      <c r="VZU17" s="310" t="s">
        <v>201</v>
      </c>
      <c r="VZV17" s="310" t="s">
        <v>201</v>
      </c>
      <c r="VZW17" s="310" t="s">
        <v>201</v>
      </c>
      <c r="VZX17" s="310" t="s">
        <v>201</v>
      </c>
      <c r="VZY17" s="310" t="s">
        <v>201</v>
      </c>
      <c r="VZZ17" s="310" t="s">
        <v>201</v>
      </c>
      <c r="WAA17" s="310" t="s">
        <v>201</v>
      </c>
      <c r="WAB17" s="310" t="s">
        <v>201</v>
      </c>
      <c r="WAC17" s="310" t="s">
        <v>201</v>
      </c>
      <c r="WAD17" s="310" t="s">
        <v>201</v>
      </c>
      <c r="WAE17" s="310" t="s">
        <v>201</v>
      </c>
      <c r="WAF17" s="310" t="s">
        <v>201</v>
      </c>
      <c r="WAG17" s="310" t="s">
        <v>201</v>
      </c>
      <c r="WAH17" s="310" t="s">
        <v>201</v>
      </c>
      <c r="WAI17" s="310" t="s">
        <v>201</v>
      </c>
      <c r="WAJ17" s="310" t="s">
        <v>201</v>
      </c>
      <c r="WAK17" s="310" t="s">
        <v>201</v>
      </c>
      <c r="WAL17" s="310" t="s">
        <v>201</v>
      </c>
      <c r="WAM17" s="310" t="s">
        <v>201</v>
      </c>
      <c r="WAN17" s="310" t="s">
        <v>201</v>
      </c>
      <c r="WAO17" s="310" t="s">
        <v>201</v>
      </c>
      <c r="WAP17" s="310" t="s">
        <v>201</v>
      </c>
      <c r="WAQ17" s="310" t="s">
        <v>201</v>
      </c>
      <c r="WAR17" s="310" t="s">
        <v>201</v>
      </c>
      <c r="WAS17" s="310" t="s">
        <v>201</v>
      </c>
      <c r="WAT17" s="310" t="s">
        <v>201</v>
      </c>
      <c r="WAU17" s="310" t="s">
        <v>201</v>
      </c>
      <c r="WAV17" s="310" t="s">
        <v>201</v>
      </c>
      <c r="WAW17" s="310" t="s">
        <v>201</v>
      </c>
      <c r="WAX17" s="310" t="s">
        <v>201</v>
      </c>
      <c r="WAY17" s="310" t="s">
        <v>201</v>
      </c>
      <c r="WAZ17" s="310" t="s">
        <v>201</v>
      </c>
      <c r="WBA17" s="310" t="s">
        <v>201</v>
      </c>
      <c r="WBB17" s="310" t="s">
        <v>201</v>
      </c>
      <c r="WBC17" s="310" t="s">
        <v>201</v>
      </c>
      <c r="WBD17" s="310" t="s">
        <v>201</v>
      </c>
      <c r="WBE17" s="310" t="s">
        <v>201</v>
      </c>
      <c r="WBF17" s="310" t="s">
        <v>201</v>
      </c>
      <c r="WBG17" s="310" t="s">
        <v>201</v>
      </c>
      <c r="WBH17" s="310" t="s">
        <v>201</v>
      </c>
      <c r="WBI17" s="310" t="s">
        <v>201</v>
      </c>
      <c r="WBJ17" s="310" t="s">
        <v>201</v>
      </c>
      <c r="WBK17" s="310" t="s">
        <v>201</v>
      </c>
      <c r="WBL17" s="310" t="s">
        <v>201</v>
      </c>
      <c r="WBM17" s="310" t="s">
        <v>201</v>
      </c>
      <c r="WBN17" s="310" t="s">
        <v>201</v>
      </c>
      <c r="WBO17" s="310" t="s">
        <v>201</v>
      </c>
      <c r="WBP17" s="310" t="s">
        <v>201</v>
      </c>
      <c r="WBQ17" s="310" t="s">
        <v>201</v>
      </c>
      <c r="WBR17" s="310" t="s">
        <v>201</v>
      </c>
      <c r="WBS17" s="310" t="s">
        <v>201</v>
      </c>
      <c r="WBT17" s="310" t="s">
        <v>201</v>
      </c>
      <c r="WBU17" s="310" t="s">
        <v>201</v>
      </c>
      <c r="WBV17" s="310" t="s">
        <v>201</v>
      </c>
      <c r="WBW17" s="310" t="s">
        <v>201</v>
      </c>
      <c r="WBX17" s="310" t="s">
        <v>201</v>
      </c>
      <c r="WBY17" s="310" t="s">
        <v>201</v>
      </c>
      <c r="WBZ17" s="310" t="s">
        <v>201</v>
      </c>
      <c r="WCA17" s="310" t="s">
        <v>201</v>
      </c>
      <c r="WCB17" s="310" t="s">
        <v>201</v>
      </c>
      <c r="WCC17" s="310" t="s">
        <v>201</v>
      </c>
      <c r="WCD17" s="310" t="s">
        <v>201</v>
      </c>
      <c r="WCE17" s="310" t="s">
        <v>201</v>
      </c>
      <c r="WCF17" s="310" t="s">
        <v>201</v>
      </c>
      <c r="WCG17" s="310" t="s">
        <v>201</v>
      </c>
      <c r="WCH17" s="310" t="s">
        <v>201</v>
      </c>
      <c r="WCI17" s="310" t="s">
        <v>201</v>
      </c>
      <c r="WCJ17" s="310" t="s">
        <v>201</v>
      </c>
      <c r="WCK17" s="310" t="s">
        <v>201</v>
      </c>
      <c r="WCL17" s="310" t="s">
        <v>201</v>
      </c>
      <c r="WCM17" s="310" t="s">
        <v>201</v>
      </c>
      <c r="WCN17" s="310" t="s">
        <v>201</v>
      </c>
      <c r="WCO17" s="310" t="s">
        <v>201</v>
      </c>
      <c r="WCP17" s="310" t="s">
        <v>201</v>
      </c>
      <c r="WCQ17" s="310" t="s">
        <v>201</v>
      </c>
      <c r="WCR17" s="310" t="s">
        <v>201</v>
      </c>
      <c r="WCS17" s="310" t="s">
        <v>201</v>
      </c>
      <c r="WCT17" s="310" t="s">
        <v>201</v>
      </c>
      <c r="WCU17" s="310" t="s">
        <v>201</v>
      </c>
      <c r="WCV17" s="310" t="s">
        <v>201</v>
      </c>
      <c r="WCW17" s="310" t="s">
        <v>201</v>
      </c>
      <c r="WCX17" s="310" t="s">
        <v>201</v>
      </c>
      <c r="WCY17" s="310" t="s">
        <v>201</v>
      </c>
      <c r="WCZ17" s="310" t="s">
        <v>201</v>
      </c>
      <c r="WDA17" s="310" t="s">
        <v>201</v>
      </c>
      <c r="WDB17" s="310" t="s">
        <v>201</v>
      </c>
      <c r="WDC17" s="310" t="s">
        <v>201</v>
      </c>
      <c r="WDD17" s="310" t="s">
        <v>201</v>
      </c>
      <c r="WDE17" s="310" t="s">
        <v>201</v>
      </c>
      <c r="WDF17" s="310" t="s">
        <v>201</v>
      </c>
      <c r="WDG17" s="310" t="s">
        <v>201</v>
      </c>
      <c r="WDH17" s="310" t="s">
        <v>201</v>
      </c>
      <c r="WDI17" s="310" t="s">
        <v>201</v>
      </c>
      <c r="WDJ17" s="310" t="s">
        <v>201</v>
      </c>
      <c r="WDK17" s="310" t="s">
        <v>201</v>
      </c>
      <c r="WDL17" s="310" t="s">
        <v>201</v>
      </c>
      <c r="WDM17" s="310" t="s">
        <v>201</v>
      </c>
      <c r="WDN17" s="310" t="s">
        <v>201</v>
      </c>
      <c r="WDO17" s="310" t="s">
        <v>201</v>
      </c>
      <c r="WDP17" s="310" t="s">
        <v>201</v>
      </c>
      <c r="WDQ17" s="310" t="s">
        <v>201</v>
      </c>
      <c r="WDR17" s="310" t="s">
        <v>201</v>
      </c>
      <c r="WDS17" s="310" t="s">
        <v>201</v>
      </c>
      <c r="WDT17" s="310" t="s">
        <v>201</v>
      </c>
      <c r="WDU17" s="310" t="s">
        <v>201</v>
      </c>
      <c r="WDV17" s="310" t="s">
        <v>201</v>
      </c>
      <c r="WDW17" s="310" t="s">
        <v>201</v>
      </c>
      <c r="WDX17" s="310" t="s">
        <v>201</v>
      </c>
      <c r="WDY17" s="310" t="s">
        <v>201</v>
      </c>
      <c r="WDZ17" s="310" t="s">
        <v>201</v>
      </c>
      <c r="WEA17" s="310" t="s">
        <v>201</v>
      </c>
      <c r="WEB17" s="310" t="s">
        <v>201</v>
      </c>
      <c r="WEC17" s="310" t="s">
        <v>201</v>
      </c>
      <c r="WED17" s="310" t="s">
        <v>201</v>
      </c>
      <c r="WEE17" s="310" t="s">
        <v>201</v>
      </c>
      <c r="WEF17" s="310" t="s">
        <v>201</v>
      </c>
      <c r="WEG17" s="310" t="s">
        <v>201</v>
      </c>
      <c r="WEH17" s="310" t="s">
        <v>201</v>
      </c>
      <c r="WEI17" s="310" t="s">
        <v>201</v>
      </c>
      <c r="WEJ17" s="310" t="s">
        <v>201</v>
      </c>
      <c r="WEK17" s="310" t="s">
        <v>201</v>
      </c>
      <c r="WEL17" s="310" t="s">
        <v>201</v>
      </c>
      <c r="WEM17" s="310" t="s">
        <v>201</v>
      </c>
      <c r="WEN17" s="310" t="s">
        <v>201</v>
      </c>
      <c r="WEO17" s="310" t="s">
        <v>201</v>
      </c>
      <c r="WEP17" s="310" t="s">
        <v>201</v>
      </c>
      <c r="WEQ17" s="310" t="s">
        <v>201</v>
      </c>
      <c r="WER17" s="310" t="s">
        <v>201</v>
      </c>
      <c r="WES17" s="310" t="s">
        <v>201</v>
      </c>
      <c r="WET17" s="310" t="s">
        <v>201</v>
      </c>
      <c r="WEU17" s="310" t="s">
        <v>201</v>
      </c>
      <c r="WEV17" s="310" t="s">
        <v>201</v>
      </c>
      <c r="WEW17" s="310" t="s">
        <v>201</v>
      </c>
      <c r="WEX17" s="310" t="s">
        <v>201</v>
      </c>
      <c r="WEY17" s="310" t="s">
        <v>201</v>
      </c>
      <c r="WEZ17" s="310" t="s">
        <v>201</v>
      </c>
      <c r="WFA17" s="310" t="s">
        <v>201</v>
      </c>
      <c r="WFB17" s="310" t="s">
        <v>201</v>
      </c>
      <c r="WFC17" s="310" t="s">
        <v>201</v>
      </c>
      <c r="WFD17" s="310" t="s">
        <v>201</v>
      </c>
      <c r="WFE17" s="310" t="s">
        <v>201</v>
      </c>
      <c r="WFF17" s="310" t="s">
        <v>201</v>
      </c>
      <c r="WFG17" s="310" t="s">
        <v>201</v>
      </c>
      <c r="WFH17" s="310" t="s">
        <v>201</v>
      </c>
      <c r="WFI17" s="310" t="s">
        <v>201</v>
      </c>
      <c r="WFJ17" s="310" t="s">
        <v>201</v>
      </c>
      <c r="WFK17" s="310" t="s">
        <v>201</v>
      </c>
      <c r="WFL17" s="310" t="s">
        <v>201</v>
      </c>
      <c r="WFM17" s="310" t="s">
        <v>201</v>
      </c>
      <c r="WFN17" s="310" t="s">
        <v>201</v>
      </c>
      <c r="WFO17" s="310" t="s">
        <v>201</v>
      </c>
      <c r="WFP17" s="310" t="s">
        <v>201</v>
      </c>
      <c r="WFQ17" s="310" t="s">
        <v>201</v>
      </c>
      <c r="WFR17" s="310" t="s">
        <v>201</v>
      </c>
      <c r="WFS17" s="310" t="s">
        <v>201</v>
      </c>
      <c r="WFT17" s="310" t="s">
        <v>201</v>
      </c>
      <c r="WFU17" s="310" t="s">
        <v>201</v>
      </c>
      <c r="WFV17" s="310" t="s">
        <v>201</v>
      </c>
      <c r="WFW17" s="310" t="s">
        <v>201</v>
      </c>
      <c r="WFX17" s="310" t="s">
        <v>201</v>
      </c>
      <c r="WFY17" s="310" t="s">
        <v>201</v>
      </c>
      <c r="WFZ17" s="310" t="s">
        <v>201</v>
      </c>
      <c r="WGA17" s="310" t="s">
        <v>201</v>
      </c>
      <c r="WGB17" s="310" t="s">
        <v>201</v>
      </c>
      <c r="WGC17" s="310" t="s">
        <v>201</v>
      </c>
      <c r="WGD17" s="310" t="s">
        <v>201</v>
      </c>
      <c r="WGE17" s="310" t="s">
        <v>201</v>
      </c>
      <c r="WGF17" s="310" t="s">
        <v>201</v>
      </c>
      <c r="WGG17" s="310" t="s">
        <v>201</v>
      </c>
      <c r="WGH17" s="310" t="s">
        <v>201</v>
      </c>
      <c r="WGI17" s="310" t="s">
        <v>201</v>
      </c>
      <c r="WGJ17" s="310" t="s">
        <v>201</v>
      </c>
      <c r="WGK17" s="310" t="s">
        <v>201</v>
      </c>
      <c r="WGL17" s="310" t="s">
        <v>201</v>
      </c>
      <c r="WGM17" s="310" t="s">
        <v>201</v>
      </c>
      <c r="WGN17" s="310" t="s">
        <v>201</v>
      </c>
      <c r="WGO17" s="310" t="s">
        <v>201</v>
      </c>
      <c r="WGP17" s="310" t="s">
        <v>201</v>
      </c>
      <c r="WGQ17" s="310" t="s">
        <v>201</v>
      </c>
      <c r="WGR17" s="310" t="s">
        <v>201</v>
      </c>
      <c r="WGS17" s="310" t="s">
        <v>201</v>
      </c>
      <c r="WGT17" s="310" t="s">
        <v>201</v>
      </c>
      <c r="WGU17" s="310" t="s">
        <v>201</v>
      </c>
      <c r="WGV17" s="310" t="s">
        <v>201</v>
      </c>
      <c r="WGW17" s="310" t="s">
        <v>201</v>
      </c>
      <c r="WGX17" s="310" t="s">
        <v>201</v>
      </c>
      <c r="WGY17" s="310" t="s">
        <v>201</v>
      </c>
      <c r="WGZ17" s="310" t="s">
        <v>201</v>
      </c>
      <c r="WHA17" s="310" t="s">
        <v>201</v>
      </c>
      <c r="WHB17" s="310" t="s">
        <v>201</v>
      </c>
      <c r="WHC17" s="310" t="s">
        <v>201</v>
      </c>
      <c r="WHD17" s="310" t="s">
        <v>201</v>
      </c>
      <c r="WHE17" s="310" t="s">
        <v>201</v>
      </c>
      <c r="WHF17" s="310" t="s">
        <v>201</v>
      </c>
      <c r="WHG17" s="310" t="s">
        <v>201</v>
      </c>
      <c r="WHH17" s="310" t="s">
        <v>201</v>
      </c>
      <c r="WHI17" s="310" t="s">
        <v>201</v>
      </c>
      <c r="WHJ17" s="310" t="s">
        <v>201</v>
      </c>
      <c r="WHK17" s="310" t="s">
        <v>201</v>
      </c>
      <c r="WHL17" s="310" t="s">
        <v>201</v>
      </c>
      <c r="WHM17" s="310" t="s">
        <v>201</v>
      </c>
      <c r="WHN17" s="310" t="s">
        <v>201</v>
      </c>
      <c r="WHO17" s="310" t="s">
        <v>201</v>
      </c>
      <c r="WHP17" s="310" t="s">
        <v>201</v>
      </c>
      <c r="WHQ17" s="310" t="s">
        <v>201</v>
      </c>
      <c r="WHR17" s="310" t="s">
        <v>201</v>
      </c>
      <c r="WHS17" s="310" t="s">
        <v>201</v>
      </c>
      <c r="WHT17" s="310" t="s">
        <v>201</v>
      </c>
      <c r="WHU17" s="310" t="s">
        <v>201</v>
      </c>
      <c r="WHV17" s="310" t="s">
        <v>201</v>
      </c>
      <c r="WHW17" s="310" t="s">
        <v>201</v>
      </c>
      <c r="WHX17" s="310" t="s">
        <v>201</v>
      </c>
      <c r="WHY17" s="310" t="s">
        <v>201</v>
      </c>
      <c r="WHZ17" s="310" t="s">
        <v>201</v>
      </c>
      <c r="WIA17" s="310" t="s">
        <v>201</v>
      </c>
      <c r="WIB17" s="310" t="s">
        <v>201</v>
      </c>
      <c r="WIC17" s="310" t="s">
        <v>201</v>
      </c>
      <c r="WID17" s="310" t="s">
        <v>201</v>
      </c>
      <c r="WIE17" s="310" t="s">
        <v>201</v>
      </c>
      <c r="WIF17" s="310" t="s">
        <v>201</v>
      </c>
      <c r="WIG17" s="310" t="s">
        <v>201</v>
      </c>
      <c r="WIH17" s="310" t="s">
        <v>201</v>
      </c>
      <c r="WII17" s="310" t="s">
        <v>201</v>
      </c>
      <c r="WIJ17" s="310" t="s">
        <v>201</v>
      </c>
      <c r="WIK17" s="310" t="s">
        <v>201</v>
      </c>
      <c r="WIL17" s="310" t="s">
        <v>201</v>
      </c>
      <c r="WIM17" s="310" t="s">
        <v>201</v>
      </c>
      <c r="WIN17" s="310" t="s">
        <v>201</v>
      </c>
      <c r="WIO17" s="310" t="s">
        <v>201</v>
      </c>
      <c r="WIP17" s="310" t="s">
        <v>201</v>
      </c>
      <c r="WIQ17" s="310" t="s">
        <v>201</v>
      </c>
      <c r="WIR17" s="310" t="s">
        <v>201</v>
      </c>
      <c r="WIS17" s="310" t="s">
        <v>201</v>
      </c>
      <c r="WIT17" s="310" t="s">
        <v>201</v>
      </c>
      <c r="WIU17" s="310" t="s">
        <v>201</v>
      </c>
      <c r="WIV17" s="310" t="s">
        <v>201</v>
      </c>
      <c r="WIW17" s="310" t="s">
        <v>201</v>
      </c>
      <c r="WIX17" s="310" t="s">
        <v>201</v>
      </c>
      <c r="WIY17" s="310" t="s">
        <v>201</v>
      </c>
      <c r="WIZ17" s="310" t="s">
        <v>201</v>
      </c>
      <c r="WJA17" s="310" t="s">
        <v>201</v>
      </c>
      <c r="WJB17" s="310" t="s">
        <v>201</v>
      </c>
      <c r="WJC17" s="310" t="s">
        <v>201</v>
      </c>
      <c r="WJD17" s="310" t="s">
        <v>201</v>
      </c>
      <c r="WJE17" s="310" t="s">
        <v>201</v>
      </c>
      <c r="WJF17" s="310" t="s">
        <v>201</v>
      </c>
      <c r="WJG17" s="310" t="s">
        <v>201</v>
      </c>
      <c r="WJH17" s="310" t="s">
        <v>201</v>
      </c>
      <c r="WJI17" s="310" t="s">
        <v>201</v>
      </c>
      <c r="WJJ17" s="310" t="s">
        <v>201</v>
      </c>
      <c r="WJK17" s="310" t="s">
        <v>201</v>
      </c>
      <c r="WJL17" s="310" t="s">
        <v>201</v>
      </c>
      <c r="WJM17" s="310" t="s">
        <v>201</v>
      </c>
      <c r="WJN17" s="310" t="s">
        <v>201</v>
      </c>
      <c r="WJO17" s="310" t="s">
        <v>201</v>
      </c>
      <c r="WJP17" s="310" t="s">
        <v>201</v>
      </c>
      <c r="WJQ17" s="310" t="s">
        <v>201</v>
      </c>
      <c r="WJR17" s="310" t="s">
        <v>201</v>
      </c>
      <c r="WJS17" s="310" t="s">
        <v>201</v>
      </c>
      <c r="WJT17" s="310" t="s">
        <v>201</v>
      </c>
      <c r="WJU17" s="310" t="s">
        <v>201</v>
      </c>
      <c r="WJV17" s="310" t="s">
        <v>201</v>
      </c>
      <c r="WJW17" s="310" t="s">
        <v>201</v>
      </c>
      <c r="WJX17" s="310" t="s">
        <v>201</v>
      </c>
      <c r="WJY17" s="310" t="s">
        <v>201</v>
      </c>
      <c r="WJZ17" s="310" t="s">
        <v>201</v>
      </c>
      <c r="WKA17" s="310" t="s">
        <v>201</v>
      </c>
      <c r="WKB17" s="310" t="s">
        <v>201</v>
      </c>
      <c r="WKC17" s="310" t="s">
        <v>201</v>
      </c>
      <c r="WKD17" s="310" t="s">
        <v>201</v>
      </c>
      <c r="WKE17" s="310" t="s">
        <v>201</v>
      </c>
      <c r="WKF17" s="310" t="s">
        <v>201</v>
      </c>
      <c r="WKG17" s="310" t="s">
        <v>201</v>
      </c>
      <c r="WKH17" s="310" t="s">
        <v>201</v>
      </c>
      <c r="WKI17" s="310" t="s">
        <v>201</v>
      </c>
      <c r="WKJ17" s="310" t="s">
        <v>201</v>
      </c>
      <c r="WKK17" s="310" t="s">
        <v>201</v>
      </c>
      <c r="WKL17" s="310" t="s">
        <v>201</v>
      </c>
      <c r="WKM17" s="310" t="s">
        <v>201</v>
      </c>
      <c r="WKN17" s="310" t="s">
        <v>201</v>
      </c>
      <c r="WKO17" s="310" t="s">
        <v>201</v>
      </c>
      <c r="WKP17" s="310" t="s">
        <v>201</v>
      </c>
      <c r="WKQ17" s="310" t="s">
        <v>201</v>
      </c>
      <c r="WKR17" s="310" t="s">
        <v>201</v>
      </c>
      <c r="WKS17" s="310" t="s">
        <v>201</v>
      </c>
      <c r="WKT17" s="310" t="s">
        <v>201</v>
      </c>
      <c r="WKU17" s="310" t="s">
        <v>201</v>
      </c>
      <c r="WKV17" s="310" t="s">
        <v>201</v>
      </c>
      <c r="WKW17" s="310" t="s">
        <v>201</v>
      </c>
      <c r="WKX17" s="310" t="s">
        <v>201</v>
      </c>
      <c r="WKY17" s="310" t="s">
        <v>201</v>
      </c>
      <c r="WKZ17" s="310" t="s">
        <v>201</v>
      </c>
      <c r="WLA17" s="310" t="s">
        <v>201</v>
      </c>
      <c r="WLB17" s="310" t="s">
        <v>201</v>
      </c>
      <c r="WLC17" s="310" t="s">
        <v>201</v>
      </c>
      <c r="WLD17" s="310" t="s">
        <v>201</v>
      </c>
      <c r="WLE17" s="310" t="s">
        <v>201</v>
      </c>
      <c r="WLF17" s="310" t="s">
        <v>201</v>
      </c>
      <c r="WLG17" s="310" t="s">
        <v>201</v>
      </c>
      <c r="WLH17" s="310" t="s">
        <v>201</v>
      </c>
      <c r="WLI17" s="310" t="s">
        <v>201</v>
      </c>
      <c r="WLJ17" s="310" t="s">
        <v>201</v>
      </c>
      <c r="WLK17" s="310" t="s">
        <v>201</v>
      </c>
      <c r="WLL17" s="310" t="s">
        <v>201</v>
      </c>
      <c r="WLM17" s="310" t="s">
        <v>201</v>
      </c>
      <c r="WLN17" s="310" t="s">
        <v>201</v>
      </c>
      <c r="WLO17" s="310" t="s">
        <v>201</v>
      </c>
      <c r="WLP17" s="310" t="s">
        <v>201</v>
      </c>
      <c r="WLQ17" s="310" t="s">
        <v>201</v>
      </c>
      <c r="WLR17" s="310" t="s">
        <v>201</v>
      </c>
      <c r="WLS17" s="310" t="s">
        <v>201</v>
      </c>
      <c r="WLT17" s="310" t="s">
        <v>201</v>
      </c>
      <c r="WLU17" s="310" t="s">
        <v>201</v>
      </c>
      <c r="WLV17" s="310" t="s">
        <v>201</v>
      </c>
      <c r="WLW17" s="310" t="s">
        <v>201</v>
      </c>
      <c r="WLX17" s="310" t="s">
        <v>201</v>
      </c>
      <c r="WLY17" s="310" t="s">
        <v>201</v>
      </c>
      <c r="WLZ17" s="310" t="s">
        <v>201</v>
      </c>
      <c r="WMA17" s="310" t="s">
        <v>201</v>
      </c>
      <c r="WMB17" s="310" t="s">
        <v>201</v>
      </c>
      <c r="WMC17" s="310" t="s">
        <v>201</v>
      </c>
      <c r="WMD17" s="310" t="s">
        <v>201</v>
      </c>
      <c r="WME17" s="310" t="s">
        <v>201</v>
      </c>
      <c r="WMF17" s="310" t="s">
        <v>201</v>
      </c>
      <c r="WMG17" s="310" t="s">
        <v>201</v>
      </c>
      <c r="WMH17" s="310" t="s">
        <v>201</v>
      </c>
      <c r="WMI17" s="310" t="s">
        <v>201</v>
      </c>
      <c r="WMJ17" s="310" t="s">
        <v>201</v>
      </c>
      <c r="WMK17" s="310" t="s">
        <v>201</v>
      </c>
      <c r="WML17" s="310" t="s">
        <v>201</v>
      </c>
      <c r="WMM17" s="310" t="s">
        <v>201</v>
      </c>
      <c r="WMN17" s="310" t="s">
        <v>201</v>
      </c>
      <c r="WMO17" s="310" t="s">
        <v>201</v>
      </c>
      <c r="WMP17" s="310" t="s">
        <v>201</v>
      </c>
      <c r="WMQ17" s="310" t="s">
        <v>201</v>
      </c>
      <c r="WMR17" s="310" t="s">
        <v>201</v>
      </c>
      <c r="WMS17" s="310" t="s">
        <v>201</v>
      </c>
      <c r="WMT17" s="310" t="s">
        <v>201</v>
      </c>
      <c r="WMU17" s="310" t="s">
        <v>201</v>
      </c>
      <c r="WMV17" s="310" t="s">
        <v>201</v>
      </c>
      <c r="WMW17" s="310" t="s">
        <v>201</v>
      </c>
      <c r="WMX17" s="310" t="s">
        <v>201</v>
      </c>
      <c r="WMY17" s="310" t="s">
        <v>201</v>
      </c>
      <c r="WMZ17" s="310" t="s">
        <v>201</v>
      </c>
      <c r="WNA17" s="310" t="s">
        <v>201</v>
      </c>
      <c r="WNB17" s="310" t="s">
        <v>201</v>
      </c>
      <c r="WNC17" s="310" t="s">
        <v>201</v>
      </c>
      <c r="WND17" s="310" t="s">
        <v>201</v>
      </c>
      <c r="WNE17" s="310" t="s">
        <v>201</v>
      </c>
      <c r="WNF17" s="310" t="s">
        <v>201</v>
      </c>
      <c r="WNG17" s="310" t="s">
        <v>201</v>
      </c>
      <c r="WNH17" s="310" t="s">
        <v>201</v>
      </c>
      <c r="WNI17" s="310" t="s">
        <v>201</v>
      </c>
      <c r="WNJ17" s="310" t="s">
        <v>201</v>
      </c>
      <c r="WNK17" s="310" t="s">
        <v>201</v>
      </c>
      <c r="WNL17" s="310" t="s">
        <v>201</v>
      </c>
      <c r="WNM17" s="310" t="s">
        <v>201</v>
      </c>
      <c r="WNN17" s="310" t="s">
        <v>201</v>
      </c>
      <c r="WNO17" s="310" t="s">
        <v>201</v>
      </c>
      <c r="WNP17" s="310" t="s">
        <v>201</v>
      </c>
      <c r="WNQ17" s="310" t="s">
        <v>201</v>
      </c>
      <c r="WNR17" s="310" t="s">
        <v>201</v>
      </c>
      <c r="WNS17" s="310" t="s">
        <v>201</v>
      </c>
      <c r="WNT17" s="310" t="s">
        <v>201</v>
      </c>
      <c r="WNU17" s="310" t="s">
        <v>201</v>
      </c>
      <c r="WNV17" s="310" t="s">
        <v>201</v>
      </c>
      <c r="WNW17" s="310" t="s">
        <v>201</v>
      </c>
      <c r="WNX17" s="310" t="s">
        <v>201</v>
      </c>
      <c r="WNY17" s="310" t="s">
        <v>201</v>
      </c>
      <c r="WNZ17" s="310" t="s">
        <v>201</v>
      </c>
      <c r="WOA17" s="310" t="s">
        <v>201</v>
      </c>
      <c r="WOB17" s="310" t="s">
        <v>201</v>
      </c>
      <c r="WOC17" s="310" t="s">
        <v>201</v>
      </c>
      <c r="WOD17" s="310" t="s">
        <v>201</v>
      </c>
      <c r="WOE17" s="310" t="s">
        <v>201</v>
      </c>
      <c r="WOF17" s="310" t="s">
        <v>201</v>
      </c>
      <c r="WOG17" s="310" t="s">
        <v>201</v>
      </c>
      <c r="WOH17" s="310" t="s">
        <v>201</v>
      </c>
      <c r="WOI17" s="310" t="s">
        <v>201</v>
      </c>
      <c r="WOJ17" s="310" t="s">
        <v>201</v>
      </c>
      <c r="WOK17" s="310" t="s">
        <v>201</v>
      </c>
      <c r="WOL17" s="310" t="s">
        <v>201</v>
      </c>
      <c r="WOM17" s="310" t="s">
        <v>201</v>
      </c>
      <c r="WON17" s="310" t="s">
        <v>201</v>
      </c>
      <c r="WOO17" s="310" t="s">
        <v>201</v>
      </c>
      <c r="WOP17" s="310" t="s">
        <v>201</v>
      </c>
      <c r="WOQ17" s="310" t="s">
        <v>201</v>
      </c>
      <c r="WOR17" s="310" t="s">
        <v>201</v>
      </c>
      <c r="WOS17" s="310" t="s">
        <v>201</v>
      </c>
      <c r="WOT17" s="310" t="s">
        <v>201</v>
      </c>
      <c r="WOU17" s="310" t="s">
        <v>201</v>
      </c>
      <c r="WOV17" s="310" t="s">
        <v>201</v>
      </c>
      <c r="WOW17" s="310" t="s">
        <v>201</v>
      </c>
      <c r="WOX17" s="310" t="s">
        <v>201</v>
      </c>
      <c r="WOY17" s="310" t="s">
        <v>201</v>
      </c>
      <c r="WOZ17" s="310" t="s">
        <v>201</v>
      </c>
      <c r="WPA17" s="310" t="s">
        <v>201</v>
      </c>
      <c r="WPB17" s="310" t="s">
        <v>201</v>
      </c>
      <c r="WPC17" s="310" t="s">
        <v>201</v>
      </c>
      <c r="WPD17" s="310" t="s">
        <v>201</v>
      </c>
      <c r="WPE17" s="310" t="s">
        <v>201</v>
      </c>
      <c r="WPF17" s="310" t="s">
        <v>201</v>
      </c>
      <c r="WPG17" s="310" t="s">
        <v>201</v>
      </c>
      <c r="WPH17" s="310" t="s">
        <v>201</v>
      </c>
      <c r="WPI17" s="310" t="s">
        <v>201</v>
      </c>
      <c r="WPJ17" s="310" t="s">
        <v>201</v>
      </c>
      <c r="WPK17" s="310" t="s">
        <v>201</v>
      </c>
      <c r="WPL17" s="310" t="s">
        <v>201</v>
      </c>
      <c r="WPM17" s="310" t="s">
        <v>201</v>
      </c>
      <c r="WPN17" s="310" t="s">
        <v>201</v>
      </c>
      <c r="WPO17" s="310" t="s">
        <v>201</v>
      </c>
      <c r="WPP17" s="310" t="s">
        <v>201</v>
      </c>
      <c r="WPQ17" s="310" t="s">
        <v>201</v>
      </c>
      <c r="WPR17" s="310" t="s">
        <v>201</v>
      </c>
      <c r="WPS17" s="310" t="s">
        <v>201</v>
      </c>
      <c r="WPT17" s="310" t="s">
        <v>201</v>
      </c>
      <c r="WPU17" s="310" t="s">
        <v>201</v>
      </c>
      <c r="WPV17" s="310" t="s">
        <v>201</v>
      </c>
      <c r="WPW17" s="310" t="s">
        <v>201</v>
      </c>
      <c r="WPX17" s="310" t="s">
        <v>201</v>
      </c>
      <c r="WPY17" s="310" t="s">
        <v>201</v>
      </c>
      <c r="WPZ17" s="310" t="s">
        <v>201</v>
      </c>
      <c r="WQA17" s="310" t="s">
        <v>201</v>
      </c>
      <c r="WQB17" s="310" t="s">
        <v>201</v>
      </c>
      <c r="WQC17" s="310" t="s">
        <v>201</v>
      </c>
      <c r="WQD17" s="310" t="s">
        <v>201</v>
      </c>
      <c r="WQE17" s="310" t="s">
        <v>201</v>
      </c>
      <c r="WQF17" s="310" t="s">
        <v>201</v>
      </c>
      <c r="WQG17" s="310" t="s">
        <v>201</v>
      </c>
      <c r="WQH17" s="310" t="s">
        <v>201</v>
      </c>
      <c r="WQI17" s="310" t="s">
        <v>201</v>
      </c>
      <c r="WQJ17" s="310" t="s">
        <v>201</v>
      </c>
      <c r="WQK17" s="310" t="s">
        <v>201</v>
      </c>
      <c r="WQL17" s="310" t="s">
        <v>201</v>
      </c>
      <c r="WQM17" s="310" t="s">
        <v>201</v>
      </c>
      <c r="WQN17" s="310" t="s">
        <v>201</v>
      </c>
      <c r="WQO17" s="310" t="s">
        <v>201</v>
      </c>
      <c r="WQP17" s="310" t="s">
        <v>201</v>
      </c>
      <c r="WQQ17" s="310" t="s">
        <v>201</v>
      </c>
      <c r="WQR17" s="310" t="s">
        <v>201</v>
      </c>
      <c r="WQS17" s="310" t="s">
        <v>201</v>
      </c>
      <c r="WQT17" s="310" t="s">
        <v>201</v>
      </c>
      <c r="WQU17" s="310" t="s">
        <v>201</v>
      </c>
      <c r="WQV17" s="310" t="s">
        <v>201</v>
      </c>
      <c r="WQW17" s="310" t="s">
        <v>201</v>
      </c>
      <c r="WQX17" s="310" t="s">
        <v>201</v>
      </c>
      <c r="WQY17" s="310" t="s">
        <v>201</v>
      </c>
      <c r="WQZ17" s="310" t="s">
        <v>201</v>
      </c>
      <c r="WRA17" s="310" t="s">
        <v>201</v>
      </c>
      <c r="WRB17" s="310" t="s">
        <v>201</v>
      </c>
      <c r="WRC17" s="310" t="s">
        <v>201</v>
      </c>
      <c r="WRD17" s="310" t="s">
        <v>201</v>
      </c>
      <c r="WRE17" s="310" t="s">
        <v>201</v>
      </c>
      <c r="WRF17" s="310" t="s">
        <v>201</v>
      </c>
      <c r="WRG17" s="310" t="s">
        <v>201</v>
      </c>
      <c r="WRH17" s="310" t="s">
        <v>201</v>
      </c>
      <c r="WRI17" s="310" t="s">
        <v>201</v>
      </c>
      <c r="WRJ17" s="310" t="s">
        <v>201</v>
      </c>
      <c r="WRK17" s="310" t="s">
        <v>201</v>
      </c>
      <c r="WRL17" s="310" t="s">
        <v>201</v>
      </c>
      <c r="WRM17" s="310" t="s">
        <v>201</v>
      </c>
      <c r="WRN17" s="310" t="s">
        <v>201</v>
      </c>
      <c r="WRO17" s="310" t="s">
        <v>201</v>
      </c>
      <c r="WRP17" s="310" t="s">
        <v>201</v>
      </c>
      <c r="WRQ17" s="310" t="s">
        <v>201</v>
      </c>
      <c r="WRR17" s="310" t="s">
        <v>201</v>
      </c>
      <c r="WRS17" s="310" t="s">
        <v>201</v>
      </c>
      <c r="WRT17" s="310" t="s">
        <v>201</v>
      </c>
      <c r="WRU17" s="310" t="s">
        <v>201</v>
      </c>
      <c r="WRV17" s="310" t="s">
        <v>201</v>
      </c>
      <c r="WRW17" s="310" t="s">
        <v>201</v>
      </c>
      <c r="WRX17" s="310" t="s">
        <v>201</v>
      </c>
      <c r="WRY17" s="310" t="s">
        <v>201</v>
      </c>
      <c r="WRZ17" s="310" t="s">
        <v>201</v>
      </c>
      <c r="WSA17" s="310" t="s">
        <v>201</v>
      </c>
      <c r="WSB17" s="310" t="s">
        <v>201</v>
      </c>
      <c r="WSC17" s="310" t="s">
        <v>201</v>
      </c>
      <c r="WSD17" s="310" t="s">
        <v>201</v>
      </c>
      <c r="WSE17" s="310" t="s">
        <v>201</v>
      </c>
      <c r="WSF17" s="310" t="s">
        <v>201</v>
      </c>
      <c r="WSG17" s="310" t="s">
        <v>201</v>
      </c>
      <c r="WSH17" s="310" t="s">
        <v>201</v>
      </c>
      <c r="WSI17" s="310" t="s">
        <v>201</v>
      </c>
      <c r="WSJ17" s="310" t="s">
        <v>201</v>
      </c>
      <c r="WSK17" s="310" t="s">
        <v>201</v>
      </c>
      <c r="WSL17" s="310" t="s">
        <v>201</v>
      </c>
      <c r="WSM17" s="310" t="s">
        <v>201</v>
      </c>
      <c r="WSN17" s="310" t="s">
        <v>201</v>
      </c>
      <c r="WSO17" s="310" t="s">
        <v>201</v>
      </c>
      <c r="WSP17" s="310" t="s">
        <v>201</v>
      </c>
      <c r="WSQ17" s="310" t="s">
        <v>201</v>
      </c>
      <c r="WSR17" s="310" t="s">
        <v>201</v>
      </c>
      <c r="WSS17" s="310" t="s">
        <v>201</v>
      </c>
      <c r="WST17" s="310" t="s">
        <v>201</v>
      </c>
      <c r="WSU17" s="310" t="s">
        <v>201</v>
      </c>
      <c r="WSV17" s="310" t="s">
        <v>201</v>
      </c>
      <c r="WSW17" s="310" t="s">
        <v>201</v>
      </c>
      <c r="WSX17" s="310" t="s">
        <v>201</v>
      </c>
      <c r="WSY17" s="310" t="s">
        <v>201</v>
      </c>
      <c r="WSZ17" s="310" t="s">
        <v>201</v>
      </c>
      <c r="WTA17" s="310" t="s">
        <v>201</v>
      </c>
      <c r="WTB17" s="310" t="s">
        <v>201</v>
      </c>
      <c r="WTC17" s="310" t="s">
        <v>201</v>
      </c>
      <c r="WTD17" s="310" t="s">
        <v>201</v>
      </c>
      <c r="WTE17" s="310" t="s">
        <v>201</v>
      </c>
      <c r="WTF17" s="310" t="s">
        <v>201</v>
      </c>
      <c r="WTG17" s="310" t="s">
        <v>201</v>
      </c>
      <c r="WTH17" s="310" t="s">
        <v>201</v>
      </c>
      <c r="WTI17" s="310" t="s">
        <v>201</v>
      </c>
      <c r="WTJ17" s="310" t="s">
        <v>201</v>
      </c>
      <c r="WTK17" s="310" t="s">
        <v>201</v>
      </c>
      <c r="WTL17" s="310" t="s">
        <v>201</v>
      </c>
      <c r="WTM17" s="310" t="s">
        <v>201</v>
      </c>
      <c r="WTN17" s="310" t="s">
        <v>201</v>
      </c>
      <c r="WTO17" s="310" t="s">
        <v>201</v>
      </c>
      <c r="WTP17" s="310" t="s">
        <v>201</v>
      </c>
      <c r="WTQ17" s="310" t="s">
        <v>201</v>
      </c>
      <c r="WTR17" s="310" t="s">
        <v>201</v>
      </c>
      <c r="WTS17" s="310" t="s">
        <v>201</v>
      </c>
      <c r="WTT17" s="310" t="s">
        <v>201</v>
      </c>
      <c r="WTU17" s="310" t="s">
        <v>201</v>
      </c>
      <c r="WTV17" s="310" t="s">
        <v>201</v>
      </c>
      <c r="WTW17" s="310" t="s">
        <v>201</v>
      </c>
      <c r="WTX17" s="310" t="s">
        <v>201</v>
      </c>
      <c r="WTY17" s="310" t="s">
        <v>201</v>
      </c>
      <c r="WTZ17" s="310" t="s">
        <v>201</v>
      </c>
      <c r="WUA17" s="310" t="s">
        <v>201</v>
      </c>
      <c r="WUB17" s="310" t="s">
        <v>201</v>
      </c>
      <c r="WUC17" s="310" t="s">
        <v>201</v>
      </c>
      <c r="WUD17" s="310" t="s">
        <v>201</v>
      </c>
      <c r="WUE17" s="310" t="s">
        <v>201</v>
      </c>
      <c r="WUF17" s="310" t="s">
        <v>201</v>
      </c>
      <c r="WUG17" s="310" t="s">
        <v>201</v>
      </c>
      <c r="WUH17" s="310" t="s">
        <v>201</v>
      </c>
      <c r="WUI17" s="310" t="s">
        <v>201</v>
      </c>
      <c r="WUJ17" s="310" t="s">
        <v>201</v>
      </c>
      <c r="WUK17" s="310" t="s">
        <v>201</v>
      </c>
      <c r="WUL17" s="310" t="s">
        <v>201</v>
      </c>
      <c r="WUM17" s="310" t="s">
        <v>201</v>
      </c>
      <c r="WUN17" s="310" t="s">
        <v>201</v>
      </c>
      <c r="WUO17" s="310" t="s">
        <v>201</v>
      </c>
      <c r="WUP17" s="310" t="s">
        <v>201</v>
      </c>
      <c r="WUQ17" s="310" t="s">
        <v>201</v>
      </c>
      <c r="WUR17" s="310" t="s">
        <v>201</v>
      </c>
      <c r="WUS17" s="310" t="s">
        <v>201</v>
      </c>
      <c r="WUT17" s="310" t="s">
        <v>201</v>
      </c>
      <c r="WUU17" s="310" t="s">
        <v>201</v>
      </c>
      <c r="WUV17" s="310" t="s">
        <v>201</v>
      </c>
      <c r="WUW17" s="310" t="s">
        <v>201</v>
      </c>
      <c r="WUX17" s="310" t="s">
        <v>201</v>
      </c>
      <c r="WUY17" s="310" t="s">
        <v>201</v>
      </c>
      <c r="WUZ17" s="310" t="s">
        <v>201</v>
      </c>
      <c r="WVA17" s="310" t="s">
        <v>201</v>
      </c>
      <c r="WVB17" s="310" t="s">
        <v>201</v>
      </c>
      <c r="WVC17" s="310" t="s">
        <v>201</v>
      </c>
      <c r="WVD17" s="310" t="s">
        <v>201</v>
      </c>
      <c r="WVE17" s="310" t="s">
        <v>201</v>
      </c>
      <c r="WVF17" s="310" t="s">
        <v>201</v>
      </c>
      <c r="WVG17" s="310" t="s">
        <v>201</v>
      </c>
      <c r="WVH17" s="310" t="s">
        <v>201</v>
      </c>
      <c r="WVI17" s="310" t="s">
        <v>201</v>
      </c>
      <c r="WVJ17" s="310" t="s">
        <v>201</v>
      </c>
      <c r="WVK17" s="310" t="s">
        <v>201</v>
      </c>
      <c r="WVL17" s="310" t="s">
        <v>201</v>
      </c>
      <c r="WVM17" s="310" t="s">
        <v>201</v>
      </c>
      <c r="WVN17" s="310" t="s">
        <v>201</v>
      </c>
      <c r="WVO17" s="310" t="s">
        <v>201</v>
      </c>
      <c r="WVP17" s="310" t="s">
        <v>201</v>
      </c>
      <c r="WVQ17" s="310" t="s">
        <v>201</v>
      </c>
      <c r="WVR17" s="310" t="s">
        <v>201</v>
      </c>
      <c r="WVS17" s="310" t="s">
        <v>201</v>
      </c>
      <c r="WVT17" s="310" t="s">
        <v>201</v>
      </c>
      <c r="WVU17" s="310" t="s">
        <v>201</v>
      </c>
      <c r="WVV17" s="310" t="s">
        <v>201</v>
      </c>
      <c r="WVW17" s="310" t="s">
        <v>201</v>
      </c>
      <c r="WVX17" s="310" t="s">
        <v>201</v>
      </c>
      <c r="WVY17" s="310" t="s">
        <v>201</v>
      </c>
      <c r="WVZ17" s="310" t="s">
        <v>201</v>
      </c>
      <c r="WWA17" s="310" t="s">
        <v>201</v>
      </c>
      <c r="WWB17" s="310" t="s">
        <v>201</v>
      </c>
      <c r="WWC17" s="310" t="s">
        <v>201</v>
      </c>
      <c r="WWD17" s="310" t="s">
        <v>201</v>
      </c>
      <c r="WWE17" s="310" t="s">
        <v>201</v>
      </c>
      <c r="WWF17" s="310" t="s">
        <v>201</v>
      </c>
      <c r="WWG17" s="310" t="s">
        <v>201</v>
      </c>
      <c r="WWH17" s="310" t="s">
        <v>201</v>
      </c>
      <c r="WWI17" s="310" t="s">
        <v>201</v>
      </c>
      <c r="WWJ17" s="310" t="s">
        <v>201</v>
      </c>
      <c r="WWK17" s="310" t="s">
        <v>201</v>
      </c>
      <c r="WWL17" s="310" t="s">
        <v>201</v>
      </c>
      <c r="WWM17" s="310" t="s">
        <v>201</v>
      </c>
      <c r="WWN17" s="310" t="s">
        <v>201</v>
      </c>
      <c r="WWO17" s="310" t="s">
        <v>201</v>
      </c>
      <c r="WWP17" s="310" t="s">
        <v>201</v>
      </c>
      <c r="WWQ17" s="310" t="s">
        <v>201</v>
      </c>
      <c r="WWR17" s="310" t="s">
        <v>201</v>
      </c>
      <c r="WWS17" s="310" t="s">
        <v>201</v>
      </c>
      <c r="WWT17" s="310" t="s">
        <v>201</v>
      </c>
      <c r="WWU17" s="310" t="s">
        <v>201</v>
      </c>
      <c r="WWV17" s="310" t="s">
        <v>201</v>
      </c>
      <c r="WWW17" s="310" t="s">
        <v>201</v>
      </c>
      <c r="WWX17" s="310" t="s">
        <v>201</v>
      </c>
      <c r="WWY17" s="310" t="s">
        <v>201</v>
      </c>
      <c r="WWZ17" s="310" t="s">
        <v>201</v>
      </c>
      <c r="WXA17" s="310" t="s">
        <v>201</v>
      </c>
      <c r="WXB17" s="310" t="s">
        <v>201</v>
      </c>
      <c r="WXC17" s="310" t="s">
        <v>201</v>
      </c>
      <c r="WXD17" s="310" t="s">
        <v>201</v>
      </c>
      <c r="WXE17" s="310" t="s">
        <v>201</v>
      </c>
      <c r="WXF17" s="310" t="s">
        <v>201</v>
      </c>
      <c r="WXG17" s="310" t="s">
        <v>201</v>
      </c>
      <c r="WXH17" s="310" t="s">
        <v>201</v>
      </c>
      <c r="WXI17" s="310" t="s">
        <v>201</v>
      </c>
      <c r="WXJ17" s="310" t="s">
        <v>201</v>
      </c>
      <c r="WXK17" s="310" t="s">
        <v>201</v>
      </c>
      <c r="WXL17" s="310" t="s">
        <v>201</v>
      </c>
      <c r="WXM17" s="310" t="s">
        <v>201</v>
      </c>
      <c r="WXN17" s="310" t="s">
        <v>201</v>
      </c>
      <c r="WXO17" s="310" t="s">
        <v>201</v>
      </c>
      <c r="WXP17" s="310" t="s">
        <v>201</v>
      </c>
      <c r="WXQ17" s="310" t="s">
        <v>201</v>
      </c>
      <c r="WXR17" s="310" t="s">
        <v>201</v>
      </c>
      <c r="WXS17" s="310" t="s">
        <v>201</v>
      </c>
      <c r="WXT17" s="310" t="s">
        <v>201</v>
      </c>
      <c r="WXU17" s="310" t="s">
        <v>201</v>
      </c>
      <c r="WXV17" s="310" t="s">
        <v>201</v>
      </c>
      <c r="WXW17" s="310" t="s">
        <v>201</v>
      </c>
      <c r="WXX17" s="310" t="s">
        <v>201</v>
      </c>
      <c r="WXY17" s="310" t="s">
        <v>201</v>
      </c>
      <c r="WXZ17" s="310" t="s">
        <v>201</v>
      </c>
      <c r="WYA17" s="310" t="s">
        <v>201</v>
      </c>
      <c r="WYB17" s="310" t="s">
        <v>201</v>
      </c>
      <c r="WYC17" s="310" t="s">
        <v>201</v>
      </c>
      <c r="WYD17" s="310" t="s">
        <v>201</v>
      </c>
      <c r="WYE17" s="310" t="s">
        <v>201</v>
      </c>
      <c r="WYF17" s="310" t="s">
        <v>201</v>
      </c>
      <c r="WYG17" s="310" t="s">
        <v>201</v>
      </c>
      <c r="WYH17" s="310" t="s">
        <v>201</v>
      </c>
      <c r="WYI17" s="310" t="s">
        <v>201</v>
      </c>
      <c r="WYJ17" s="310" t="s">
        <v>201</v>
      </c>
      <c r="WYK17" s="310" t="s">
        <v>201</v>
      </c>
      <c r="WYL17" s="310" t="s">
        <v>201</v>
      </c>
      <c r="WYM17" s="310" t="s">
        <v>201</v>
      </c>
      <c r="WYN17" s="310" t="s">
        <v>201</v>
      </c>
      <c r="WYO17" s="310" t="s">
        <v>201</v>
      </c>
      <c r="WYP17" s="310" t="s">
        <v>201</v>
      </c>
      <c r="WYQ17" s="310" t="s">
        <v>201</v>
      </c>
      <c r="WYR17" s="310" t="s">
        <v>201</v>
      </c>
      <c r="WYS17" s="310" t="s">
        <v>201</v>
      </c>
      <c r="WYT17" s="310" t="s">
        <v>201</v>
      </c>
      <c r="WYU17" s="310" t="s">
        <v>201</v>
      </c>
      <c r="WYV17" s="310" t="s">
        <v>201</v>
      </c>
      <c r="WYW17" s="310" t="s">
        <v>201</v>
      </c>
      <c r="WYX17" s="310" t="s">
        <v>201</v>
      </c>
      <c r="WYY17" s="310" t="s">
        <v>201</v>
      </c>
      <c r="WYZ17" s="310" t="s">
        <v>201</v>
      </c>
      <c r="WZA17" s="310" t="s">
        <v>201</v>
      </c>
      <c r="WZB17" s="310" t="s">
        <v>201</v>
      </c>
      <c r="WZC17" s="310" t="s">
        <v>201</v>
      </c>
      <c r="WZD17" s="310" t="s">
        <v>201</v>
      </c>
      <c r="WZE17" s="310" t="s">
        <v>201</v>
      </c>
      <c r="WZF17" s="310" t="s">
        <v>201</v>
      </c>
      <c r="WZG17" s="310" t="s">
        <v>201</v>
      </c>
      <c r="WZH17" s="310" t="s">
        <v>201</v>
      </c>
      <c r="WZI17" s="310" t="s">
        <v>201</v>
      </c>
      <c r="WZJ17" s="310" t="s">
        <v>201</v>
      </c>
      <c r="WZK17" s="310" t="s">
        <v>201</v>
      </c>
      <c r="WZL17" s="310" t="s">
        <v>201</v>
      </c>
      <c r="WZM17" s="310" t="s">
        <v>201</v>
      </c>
      <c r="WZN17" s="310" t="s">
        <v>201</v>
      </c>
      <c r="WZO17" s="310" t="s">
        <v>201</v>
      </c>
      <c r="WZP17" s="310" t="s">
        <v>201</v>
      </c>
      <c r="WZQ17" s="310" t="s">
        <v>201</v>
      </c>
      <c r="WZR17" s="310" t="s">
        <v>201</v>
      </c>
      <c r="WZS17" s="310" t="s">
        <v>201</v>
      </c>
      <c r="WZT17" s="310" t="s">
        <v>201</v>
      </c>
      <c r="WZU17" s="310" t="s">
        <v>201</v>
      </c>
      <c r="WZV17" s="310" t="s">
        <v>201</v>
      </c>
      <c r="WZW17" s="310" t="s">
        <v>201</v>
      </c>
      <c r="WZX17" s="310" t="s">
        <v>201</v>
      </c>
      <c r="WZY17" s="310" t="s">
        <v>201</v>
      </c>
      <c r="WZZ17" s="310" t="s">
        <v>201</v>
      </c>
      <c r="XAA17" s="310" t="s">
        <v>201</v>
      </c>
      <c r="XAB17" s="310" t="s">
        <v>201</v>
      </c>
      <c r="XAC17" s="310" t="s">
        <v>201</v>
      </c>
      <c r="XAD17" s="310" t="s">
        <v>201</v>
      </c>
      <c r="XAE17" s="310" t="s">
        <v>201</v>
      </c>
      <c r="XAF17" s="310" t="s">
        <v>201</v>
      </c>
      <c r="XAG17" s="310" t="s">
        <v>201</v>
      </c>
      <c r="XAH17" s="310" t="s">
        <v>201</v>
      </c>
      <c r="XAI17" s="310" t="s">
        <v>201</v>
      </c>
      <c r="XAJ17" s="310" t="s">
        <v>201</v>
      </c>
      <c r="XAK17" s="310" t="s">
        <v>201</v>
      </c>
      <c r="XAL17" s="310" t="s">
        <v>201</v>
      </c>
      <c r="XAM17" s="310" t="s">
        <v>201</v>
      </c>
      <c r="XAN17" s="310" t="s">
        <v>201</v>
      </c>
      <c r="XAO17" s="310" t="s">
        <v>201</v>
      </c>
      <c r="XAP17" s="310" t="s">
        <v>201</v>
      </c>
      <c r="XAQ17" s="310" t="s">
        <v>201</v>
      </c>
      <c r="XAR17" s="310" t="s">
        <v>201</v>
      </c>
      <c r="XAS17" s="310" t="s">
        <v>201</v>
      </c>
      <c r="XAT17" s="310" t="s">
        <v>201</v>
      </c>
      <c r="XAU17" s="310" t="s">
        <v>201</v>
      </c>
      <c r="XAV17" s="310" t="s">
        <v>201</v>
      </c>
      <c r="XAW17" s="310" t="s">
        <v>201</v>
      </c>
      <c r="XAX17" s="310" t="s">
        <v>201</v>
      </c>
      <c r="XAY17" s="310" t="s">
        <v>201</v>
      </c>
      <c r="XAZ17" s="310" t="s">
        <v>201</v>
      </c>
      <c r="XBA17" s="310" t="s">
        <v>201</v>
      </c>
      <c r="XBB17" s="310" t="s">
        <v>201</v>
      </c>
      <c r="XBC17" s="310" t="s">
        <v>201</v>
      </c>
      <c r="XBD17" s="310" t="s">
        <v>201</v>
      </c>
      <c r="XBE17" s="310" t="s">
        <v>201</v>
      </c>
      <c r="XBF17" s="310" t="s">
        <v>201</v>
      </c>
      <c r="XBG17" s="310" t="s">
        <v>201</v>
      </c>
      <c r="XBH17" s="310" t="s">
        <v>201</v>
      </c>
      <c r="XBI17" s="310" t="s">
        <v>201</v>
      </c>
      <c r="XBJ17" s="310" t="s">
        <v>201</v>
      </c>
      <c r="XBK17" s="310" t="s">
        <v>201</v>
      </c>
      <c r="XBL17" s="310" t="s">
        <v>201</v>
      </c>
      <c r="XBM17" s="310" t="s">
        <v>201</v>
      </c>
      <c r="XBN17" s="310" t="s">
        <v>201</v>
      </c>
      <c r="XBO17" s="310" t="s">
        <v>201</v>
      </c>
      <c r="XBP17" s="310" t="s">
        <v>201</v>
      </c>
      <c r="XBQ17" s="310" t="s">
        <v>201</v>
      </c>
      <c r="XBR17" s="310" t="s">
        <v>201</v>
      </c>
      <c r="XBS17" s="310" t="s">
        <v>201</v>
      </c>
      <c r="XBT17" s="310" t="s">
        <v>201</v>
      </c>
      <c r="XBU17" s="310" t="s">
        <v>201</v>
      </c>
      <c r="XBV17" s="310" t="s">
        <v>201</v>
      </c>
      <c r="XBW17" s="310" t="s">
        <v>201</v>
      </c>
      <c r="XBX17" s="310" t="s">
        <v>201</v>
      </c>
      <c r="XBY17" s="310" t="s">
        <v>201</v>
      </c>
      <c r="XBZ17" s="310" t="s">
        <v>201</v>
      </c>
      <c r="XCA17" s="310" t="s">
        <v>201</v>
      </c>
      <c r="XCB17" s="310" t="s">
        <v>201</v>
      </c>
      <c r="XCC17" s="310" t="s">
        <v>201</v>
      </c>
      <c r="XCD17" s="310" t="s">
        <v>201</v>
      </c>
      <c r="XCE17" s="310" t="s">
        <v>201</v>
      </c>
      <c r="XCF17" s="310" t="s">
        <v>201</v>
      </c>
      <c r="XCG17" s="310" t="s">
        <v>201</v>
      </c>
      <c r="XCH17" s="310" t="s">
        <v>201</v>
      </c>
      <c r="XCI17" s="310" t="s">
        <v>201</v>
      </c>
      <c r="XCJ17" s="310" t="s">
        <v>201</v>
      </c>
      <c r="XCK17" s="310" t="s">
        <v>201</v>
      </c>
      <c r="XCL17" s="310" t="s">
        <v>201</v>
      </c>
      <c r="XCM17" s="310" t="s">
        <v>201</v>
      </c>
      <c r="XCN17" s="310" t="s">
        <v>201</v>
      </c>
      <c r="XCO17" s="310" t="s">
        <v>201</v>
      </c>
      <c r="XCP17" s="310" t="s">
        <v>201</v>
      </c>
      <c r="XCQ17" s="310" t="s">
        <v>201</v>
      </c>
      <c r="XCR17" s="310" t="s">
        <v>201</v>
      </c>
      <c r="XCS17" s="310" t="s">
        <v>201</v>
      </c>
      <c r="XCT17" s="310" t="s">
        <v>201</v>
      </c>
      <c r="XCU17" s="310" t="s">
        <v>201</v>
      </c>
      <c r="XCV17" s="310" t="s">
        <v>201</v>
      </c>
      <c r="XCW17" s="310" t="s">
        <v>201</v>
      </c>
      <c r="XCX17" s="310" t="s">
        <v>201</v>
      </c>
      <c r="XCY17" s="310" t="s">
        <v>201</v>
      </c>
      <c r="XCZ17" s="310" t="s">
        <v>201</v>
      </c>
      <c r="XDA17" s="310" t="s">
        <v>201</v>
      </c>
      <c r="XDB17" s="310" t="s">
        <v>201</v>
      </c>
      <c r="XDC17" s="310" t="s">
        <v>201</v>
      </c>
      <c r="XDD17" s="310" t="s">
        <v>201</v>
      </c>
      <c r="XDE17" s="310" t="s">
        <v>201</v>
      </c>
      <c r="XDF17" s="310" t="s">
        <v>201</v>
      </c>
      <c r="XDG17" s="310" t="s">
        <v>201</v>
      </c>
      <c r="XDH17" s="310" t="s">
        <v>201</v>
      </c>
      <c r="XDI17" s="310" t="s">
        <v>201</v>
      </c>
      <c r="XDJ17" s="310" t="s">
        <v>201</v>
      </c>
      <c r="XDK17" s="310" t="s">
        <v>201</v>
      </c>
      <c r="XDL17" s="310" t="s">
        <v>201</v>
      </c>
      <c r="XDM17" s="310" t="s">
        <v>201</v>
      </c>
      <c r="XDN17" s="310" t="s">
        <v>201</v>
      </c>
      <c r="XDO17" s="310" t="s">
        <v>201</v>
      </c>
      <c r="XDP17" s="310" t="s">
        <v>201</v>
      </c>
      <c r="XDQ17" s="310" t="s">
        <v>201</v>
      </c>
      <c r="XDR17" s="310" t="s">
        <v>201</v>
      </c>
      <c r="XDS17" s="310" t="s">
        <v>201</v>
      </c>
      <c r="XDT17" s="310" t="s">
        <v>201</v>
      </c>
      <c r="XDU17" s="310" t="s">
        <v>201</v>
      </c>
      <c r="XDV17" s="310" t="s">
        <v>201</v>
      </c>
      <c r="XDW17" s="310" t="s">
        <v>201</v>
      </c>
      <c r="XDX17" s="310" t="s">
        <v>201</v>
      </c>
      <c r="XDY17" s="310" t="s">
        <v>201</v>
      </c>
      <c r="XDZ17" s="310" t="s">
        <v>201</v>
      </c>
      <c r="XEA17" s="310" t="s">
        <v>201</v>
      </c>
      <c r="XEB17" s="310" t="s">
        <v>201</v>
      </c>
      <c r="XEC17" s="310" t="s">
        <v>201</v>
      </c>
      <c r="XED17" s="310" t="s">
        <v>201</v>
      </c>
      <c r="XEE17" s="310" t="s">
        <v>201</v>
      </c>
      <c r="XEF17" s="310" t="s">
        <v>201</v>
      </c>
      <c r="XEG17" s="310" t="s">
        <v>201</v>
      </c>
      <c r="XEH17" s="310" t="s">
        <v>201</v>
      </c>
      <c r="XEI17" s="310" t="s">
        <v>201</v>
      </c>
      <c r="XEJ17" s="310" t="s">
        <v>201</v>
      </c>
      <c r="XEK17" s="310" t="s">
        <v>201</v>
      </c>
      <c r="XEL17" s="310" t="s">
        <v>201</v>
      </c>
      <c r="XEM17" s="310" t="s">
        <v>201</v>
      </c>
      <c r="XEN17" s="310" t="s">
        <v>201</v>
      </c>
      <c r="XEO17" s="310" t="s">
        <v>201</v>
      </c>
      <c r="XEP17" s="310" t="s">
        <v>201</v>
      </c>
      <c r="XEQ17" s="310" t="s">
        <v>201</v>
      </c>
      <c r="XER17" s="310" t="s">
        <v>201</v>
      </c>
      <c r="XES17" s="310" t="s">
        <v>201</v>
      </c>
      <c r="XET17" s="310" t="s">
        <v>201</v>
      </c>
      <c r="XEU17" s="310" t="s">
        <v>201</v>
      </c>
      <c r="XEV17" s="310" t="s">
        <v>201</v>
      </c>
      <c r="XEW17" s="310" t="s">
        <v>201</v>
      </c>
      <c r="XEX17" s="310" t="s">
        <v>201</v>
      </c>
      <c r="XEY17" s="310" t="s">
        <v>201</v>
      </c>
      <c r="XEZ17" s="310" t="s">
        <v>201</v>
      </c>
      <c r="XFA17" s="310" t="s">
        <v>201</v>
      </c>
      <c r="XFB17" s="310" t="s">
        <v>201</v>
      </c>
      <c r="XFC17" s="310" t="s">
        <v>201</v>
      </c>
      <c r="XFD17" s="310" t="s">
        <v>201</v>
      </c>
    </row>
    <row r="18" spans="1:16384" s="314" customFormat="1" ht="12.75" x14ac:dyDescent="0.2">
      <c r="A18" s="339" t="s">
        <v>203</v>
      </c>
      <c r="B18" s="311"/>
      <c r="C18" s="311"/>
      <c r="D18" s="311"/>
      <c r="E18" s="311"/>
      <c r="F18" s="311"/>
      <c r="G18" s="311" t="s">
        <v>213</v>
      </c>
      <c r="H18" s="311" t="s">
        <v>78</v>
      </c>
      <c r="I18" s="312">
        <v>1518</v>
      </c>
      <c r="J18" s="311"/>
      <c r="K18" s="311"/>
      <c r="L18" s="311"/>
      <c r="M18" s="311"/>
      <c r="N18" s="301">
        <f t="shared" si="2"/>
        <v>607.20000000000005</v>
      </c>
      <c r="O18" s="311"/>
      <c r="P18" s="311"/>
      <c r="Q18" s="311"/>
      <c r="R18" s="311"/>
      <c r="S18" s="327"/>
      <c r="T18" s="311"/>
      <c r="U18" s="313">
        <v>120</v>
      </c>
      <c r="V18" s="11">
        <f>607.2-U18</f>
        <v>487.20000000000005</v>
      </c>
      <c r="W18" s="313"/>
      <c r="X18" s="313">
        <f>819.72-180</f>
        <v>639.72</v>
      </c>
      <c r="Y18" s="395">
        <v>31991443051</v>
      </c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BP18" s="314" t="s">
        <v>203</v>
      </c>
      <c r="BQ18" s="314" t="s">
        <v>203</v>
      </c>
      <c r="BR18" s="314" t="s">
        <v>203</v>
      </c>
      <c r="BS18" s="314" t="s">
        <v>203</v>
      </c>
      <c r="BT18" s="314" t="s">
        <v>203</v>
      </c>
      <c r="BU18" s="314" t="s">
        <v>203</v>
      </c>
      <c r="BV18" s="314" t="s">
        <v>203</v>
      </c>
      <c r="BW18" s="314" t="s">
        <v>203</v>
      </c>
      <c r="BX18" s="314" t="s">
        <v>203</v>
      </c>
      <c r="BY18" s="314" t="s">
        <v>203</v>
      </c>
      <c r="BZ18" s="314" t="s">
        <v>203</v>
      </c>
      <c r="CA18" s="314" t="s">
        <v>203</v>
      </c>
      <c r="CB18" s="314" t="s">
        <v>203</v>
      </c>
      <c r="CC18" s="314" t="s">
        <v>203</v>
      </c>
      <c r="CD18" s="314" t="s">
        <v>203</v>
      </c>
      <c r="CE18" s="314" t="s">
        <v>203</v>
      </c>
      <c r="CF18" s="314" t="s">
        <v>203</v>
      </c>
      <c r="CG18" s="314" t="s">
        <v>203</v>
      </c>
      <c r="CH18" s="314" t="s">
        <v>203</v>
      </c>
      <c r="CI18" s="314" t="s">
        <v>203</v>
      </c>
      <c r="CJ18" s="314" t="s">
        <v>203</v>
      </c>
      <c r="CK18" s="314" t="s">
        <v>203</v>
      </c>
      <c r="CL18" s="314" t="s">
        <v>203</v>
      </c>
      <c r="CM18" s="314" t="s">
        <v>203</v>
      </c>
      <c r="CN18" s="314" t="s">
        <v>203</v>
      </c>
      <c r="CO18" s="314" t="s">
        <v>203</v>
      </c>
      <c r="CP18" s="314" t="s">
        <v>203</v>
      </c>
      <c r="CQ18" s="314" t="s">
        <v>203</v>
      </c>
      <c r="CR18" s="314" t="s">
        <v>203</v>
      </c>
      <c r="CS18" s="314" t="s">
        <v>203</v>
      </c>
      <c r="CT18" s="314" t="s">
        <v>203</v>
      </c>
      <c r="CU18" s="314" t="s">
        <v>203</v>
      </c>
      <c r="CV18" s="314" t="s">
        <v>203</v>
      </c>
      <c r="CW18" s="314" t="s">
        <v>203</v>
      </c>
      <c r="CX18" s="314" t="s">
        <v>203</v>
      </c>
      <c r="CY18" s="314" t="s">
        <v>203</v>
      </c>
      <c r="CZ18" s="314" t="s">
        <v>203</v>
      </c>
      <c r="DA18" s="314" t="s">
        <v>203</v>
      </c>
      <c r="DB18" s="314" t="s">
        <v>203</v>
      </c>
      <c r="DC18" s="314" t="s">
        <v>203</v>
      </c>
      <c r="DD18" s="314" t="s">
        <v>203</v>
      </c>
      <c r="DE18" s="314" t="s">
        <v>203</v>
      </c>
      <c r="DF18" s="314" t="s">
        <v>203</v>
      </c>
      <c r="DG18" s="314" t="s">
        <v>203</v>
      </c>
      <c r="DH18" s="314" t="s">
        <v>203</v>
      </c>
      <c r="DI18" s="314" t="s">
        <v>203</v>
      </c>
      <c r="DJ18" s="314" t="s">
        <v>203</v>
      </c>
      <c r="DK18" s="314" t="s">
        <v>203</v>
      </c>
      <c r="DL18" s="314" t="s">
        <v>203</v>
      </c>
      <c r="DM18" s="314" t="s">
        <v>203</v>
      </c>
      <c r="DN18" s="314" t="s">
        <v>203</v>
      </c>
      <c r="DO18" s="314" t="s">
        <v>203</v>
      </c>
      <c r="DP18" s="314" t="s">
        <v>203</v>
      </c>
      <c r="DQ18" s="314" t="s">
        <v>203</v>
      </c>
      <c r="DR18" s="314" t="s">
        <v>203</v>
      </c>
      <c r="DS18" s="314" t="s">
        <v>203</v>
      </c>
      <c r="DT18" s="314" t="s">
        <v>203</v>
      </c>
      <c r="DU18" s="314" t="s">
        <v>203</v>
      </c>
      <c r="DV18" s="314" t="s">
        <v>203</v>
      </c>
      <c r="DW18" s="314" t="s">
        <v>203</v>
      </c>
      <c r="DX18" s="314" t="s">
        <v>203</v>
      </c>
      <c r="DY18" s="314" t="s">
        <v>203</v>
      </c>
      <c r="DZ18" s="314" t="s">
        <v>203</v>
      </c>
      <c r="EA18" s="314" t="s">
        <v>203</v>
      </c>
      <c r="EB18" s="314" t="s">
        <v>203</v>
      </c>
      <c r="EC18" s="314" t="s">
        <v>203</v>
      </c>
      <c r="ED18" s="314" t="s">
        <v>203</v>
      </c>
      <c r="EE18" s="314" t="s">
        <v>203</v>
      </c>
      <c r="EF18" s="314" t="s">
        <v>203</v>
      </c>
      <c r="EG18" s="314" t="s">
        <v>203</v>
      </c>
      <c r="EH18" s="314" t="s">
        <v>203</v>
      </c>
      <c r="EI18" s="314" t="s">
        <v>203</v>
      </c>
      <c r="EJ18" s="314" t="s">
        <v>203</v>
      </c>
      <c r="EK18" s="314" t="s">
        <v>203</v>
      </c>
      <c r="EL18" s="314" t="s">
        <v>203</v>
      </c>
      <c r="EM18" s="314" t="s">
        <v>203</v>
      </c>
      <c r="EN18" s="314" t="s">
        <v>203</v>
      </c>
      <c r="EO18" s="314" t="s">
        <v>203</v>
      </c>
      <c r="EP18" s="314" t="s">
        <v>203</v>
      </c>
      <c r="EQ18" s="314" t="s">
        <v>203</v>
      </c>
      <c r="ER18" s="314" t="s">
        <v>203</v>
      </c>
      <c r="ES18" s="314" t="s">
        <v>203</v>
      </c>
      <c r="ET18" s="314" t="s">
        <v>203</v>
      </c>
      <c r="EU18" s="314" t="s">
        <v>203</v>
      </c>
      <c r="EV18" s="314" t="s">
        <v>203</v>
      </c>
      <c r="EW18" s="314" t="s">
        <v>203</v>
      </c>
      <c r="EX18" s="314" t="s">
        <v>203</v>
      </c>
      <c r="EY18" s="314" t="s">
        <v>203</v>
      </c>
      <c r="EZ18" s="314" t="s">
        <v>203</v>
      </c>
      <c r="FA18" s="314" t="s">
        <v>203</v>
      </c>
      <c r="FB18" s="314" t="s">
        <v>203</v>
      </c>
      <c r="FC18" s="314" t="s">
        <v>203</v>
      </c>
      <c r="FD18" s="314" t="s">
        <v>203</v>
      </c>
      <c r="FE18" s="314" t="s">
        <v>203</v>
      </c>
      <c r="FF18" s="314" t="s">
        <v>203</v>
      </c>
      <c r="FG18" s="314" t="s">
        <v>203</v>
      </c>
      <c r="FH18" s="314" t="s">
        <v>203</v>
      </c>
      <c r="FI18" s="314" t="s">
        <v>203</v>
      </c>
      <c r="FJ18" s="314" t="s">
        <v>203</v>
      </c>
      <c r="FK18" s="314" t="s">
        <v>203</v>
      </c>
      <c r="FL18" s="314" t="s">
        <v>203</v>
      </c>
      <c r="FM18" s="314" t="s">
        <v>203</v>
      </c>
      <c r="FN18" s="314" t="s">
        <v>203</v>
      </c>
      <c r="FO18" s="314" t="s">
        <v>203</v>
      </c>
      <c r="FP18" s="314" t="s">
        <v>203</v>
      </c>
      <c r="FQ18" s="314" t="s">
        <v>203</v>
      </c>
      <c r="FR18" s="314" t="s">
        <v>203</v>
      </c>
      <c r="FS18" s="314" t="s">
        <v>203</v>
      </c>
      <c r="FT18" s="314" t="s">
        <v>203</v>
      </c>
      <c r="FU18" s="314" t="s">
        <v>203</v>
      </c>
      <c r="FV18" s="314" t="s">
        <v>203</v>
      </c>
      <c r="FW18" s="314" t="s">
        <v>203</v>
      </c>
      <c r="FX18" s="314" t="s">
        <v>203</v>
      </c>
      <c r="FY18" s="314" t="s">
        <v>203</v>
      </c>
      <c r="FZ18" s="314" t="s">
        <v>203</v>
      </c>
      <c r="GA18" s="314" t="s">
        <v>203</v>
      </c>
      <c r="GB18" s="314" t="s">
        <v>203</v>
      </c>
      <c r="GC18" s="314" t="s">
        <v>203</v>
      </c>
      <c r="GD18" s="314" t="s">
        <v>203</v>
      </c>
      <c r="GE18" s="314" t="s">
        <v>203</v>
      </c>
      <c r="GF18" s="314" t="s">
        <v>203</v>
      </c>
      <c r="GG18" s="314" t="s">
        <v>203</v>
      </c>
      <c r="GH18" s="314" t="s">
        <v>203</v>
      </c>
      <c r="GI18" s="314" t="s">
        <v>203</v>
      </c>
      <c r="GJ18" s="314" t="s">
        <v>203</v>
      </c>
      <c r="GK18" s="314" t="s">
        <v>203</v>
      </c>
      <c r="GL18" s="314" t="s">
        <v>203</v>
      </c>
      <c r="GM18" s="314" t="s">
        <v>203</v>
      </c>
      <c r="GN18" s="314" t="s">
        <v>203</v>
      </c>
      <c r="GO18" s="314" t="s">
        <v>203</v>
      </c>
      <c r="GP18" s="314" t="s">
        <v>203</v>
      </c>
      <c r="GQ18" s="314" t="s">
        <v>203</v>
      </c>
      <c r="GR18" s="314" t="s">
        <v>203</v>
      </c>
      <c r="GS18" s="314" t="s">
        <v>203</v>
      </c>
      <c r="GT18" s="314" t="s">
        <v>203</v>
      </c>
      <c r="GU18" s="314" t="s">
        <v>203</v>
      </c>
      <c r="GV18" s="314" t="s">
        <v>203</v>
      </c>
      <c r="GW18" s="314" t="s">
        <v>203</v>
      </c>
      <c r="GX18" s="314" t="s">
        <v>203</v>
      </c>
      <c r="GY18" s="314" t="s">
        <v>203</v>
      </c>
      <c r="GZ18" s="314" t="s">
        <v>203</v>
      </c>
      <c r="HA18" s="314" t="s">
        <v>203</v>
      </c>
      <c r="HB18" s="314" t="s">
        <v>203</v>
      </c>
      <c r="HC18" s="314" t="s">
        <v>203</v>
      </c>
      <c r="HD18" s="314" t="s">
        <v>203</v>
      </c>
      <c r="HE18" s="314" t="s">
        <v>203</v>
      </c>
      <c r="HF18" s="314" t="s">
        <v>203</v>
      </c>
      <c r="HG18" s="314" t="s">
        <v>203</v>
      </c>
      <c r="HH18" s="314" t="s">
        <v>203</v>
      </c>
      <c r="HI18" s="314" t="s">
        <v>203</v>
      </c>
      <c r="HJ18" s="314" t="s">
        <v>203</v>
      </c>
      <c r="HK18" s="314" t="s">
        <v>203</v>
      </c>
      <c r="HL18" s="314" t="s">
        <v>203</v>
      </c>
      <c r="HM18" s="314" t="s">
        <v>203</v>
      </c>
      <c r="HN18" s="314" t="s">
        <v>203</v>
      </c>
      <c r="HO18" s="314" t="s">
        <v>203</v>
      </c>
      <c r="HP18" s="314" t="s">
        <v>203</v>
      </c>
      <c r="HQ18" s="314" t="s">
        <v>203</v>
      </c>
      <c r="HR18" s="314" t="s">
        <v>203</v>
      </c>
      <c r="HS18" s="314" t="s">
        <v>203</v>
      </c>
      <c r="HT18" s="314" t="s">
        <v>203</v>
      </c>
      <c r="HU18" s="314" t="s">
        <v>203</v>
      </c>
      <c r="HV18" s="314" t="s">
        <v>203</v>
      </c>
      <c r="HW18" s="314" t="s">
        <v>203</v>
      </c>
      <c r="HX18" s="314" t="s">
        <v>203</v>
      </c>
      <c r="HY18" s="314" t="s">
        <v>203</v>
      </c>
      <c r="HZ18" s="314" t="s">
        <v>203</v>
      </c>
      <c r="IA18" s="314" t="s">
        <v>203</v>
      </c>
      <c r="IB18" s="314" t="s">
        <v>203</v>
      </c>
      <c r="IC18" s="314" t="s">
        <v>203</v>
      </c>
      <c r="ID18" s="314" t="s">
        <v>203</v>
      </c>
      <c r="IE18" s="314" t="s">
        <v>203</v>
      </c>
      <c r="IF18" s="314" t="s">
        <v>203</v>
      </c>
      <c r="IG18" s="314" t="s">
        <v>203</v>
      </c>
      <c r="IH18" s="314" t="s">
        <v>203</v>
      </c>
      <c r="II18" s="314" t="s">
        <v>203</v>
      </c>
      <c r="IJ18" s="314" t="s">
        <v>203</v>
      </c>
      <c r="IK18" s="314" t="s">
        <v>203</v>
      </c>
      <c r="IL18" s="314" t="s">
        <v>203</v>
      </c>
      <c r="IM18" s="314" t="s">
        <v>203</v>
      </c>
      <c r="IN18" s="314" t="s">
        <v>203</v>
      </c>
      <c r="IO18" s="314" t="s">
        <v>203</v>
      </c>
      <c r="IP18" s="314" t="s">
        <v>203</v>
      </c>
      <c r="IQ18" s="314" t="s">
        <v>203</v>
      </c>
      <c r="IR18" s="314" t="s">
        <v>203</v>
      </c>
      <c r="IS18" s="314" t="s">
        <v>203</v>
      </c>
      <c r="IT18" s="314" t="s">
        <v>203</v>
      </c>
      <c r="IU18" s="314" t="s">
        <v>203</v>
      </c>
      <c r="IV18" s="314" t="s">
        <v>203</v>
      </c>
      <c r="IW18" s="314" t="s">
        <v>203</v>
      </c>
      <c r="IX18" s="314" t="s">
        <v>203</v>
      </c>
      <c r="IY18" s="314" t="s">
        <v>203</v>
      </c>
      <c r="IZ18" s="314" t="s">
        <v>203</v>
      </c>
      <c r="JA18" s="314" t="s">
        <v>203</v>
      </c>
      <c r="JB18" s="314" t="s">
        <v>203</v>
      </c>
      <c r="JC18" s="314" t="s">
        <v>203</v>
      </c>
      <c r="JD18" s="314" t="s">
        <v>203</v>
      </c>
      <c r="JE18" s="314" t="s">
        <v>203</v>
      </c>
      <c r="JF18" s="314" t="s">
        <v>203</v>
      </c>
      <c r="JG18" s="314" t="s">
        <v>203</v>
      </c>
      <c r="JH18" s="314" t="s">
        <v>203</v>
      </c>
      <c r="JI18" s="314" t="s">
        <v>203</v>
      </c>
      <c r="JJ18" s="314" t="s">
        <v>203</v>
      </c>
      <c r="JK18" s="314" t="s">
        <v>203</v>
      </c>
      <c r="JL18" s="314" t="s">
        <v>203</v>
      </c>
      <c r="JM18" s="314" t="s">
        <v>203</v>
      </c>
      <c r="JN18" s="314" t="s">
        <v>203</v>
      </c>
      <c r="JO18" s="314" t="s">
        <v>203</v>
      </c>
      <c r="JP18" s="314" t="s">
        <v>203</v>
      </c>
      <c r="JQ18" s="314" t="s">
        <v>203</v>
      </c>
      <c r="JR18" s="314" t="s">
        <v>203</v>
      </c>
      <c r="JS18" s="314" t="s">
        <v>203</v>
      </c>
      <c r="JT18" s="314" t="s">
        <v>203</v>
      </c>
      <c r="JU18" s="314" t="s">
        <v>203</v>
      </c>
      <c r="JV18" s="314" t="s">
        <v>203</v>
      </c>
      <c r="JW18" s="314" t="s">
        <v>203</v>
      </c>
      <c r="JX18" s="314" t="s">
        <v>203</v>
      </c>
      <c r="JY18" s="314" t="s">
        <v>203</v>
      </c>
      <c r="JZ18" s="314" t="s">
        <v>203</v>
      </c>
      <c r="KA18" s="314" t="s">
        <v>203</v>
      </c>
      <c r="KB18" s="314" t="s">
        <v>203</v>
      </c>
      <c r="KC18" s="314" t="s">
        <v>203</v>
      </c>
      <c r="KD18" s="314" t="s">
        <v>203</v>
      </c>
      <c r="KE18" s="314" t="s">
        <v>203</v>
      </c>
      <c r="KF18" s="314" t="s">
        <v>203</v>
      </c>
      <c r="KG18" s="314" t="s">
        <v>203</v>
      </c>
      <c r="KH18" s="314" t="s">
        <v>203</v>
      </c>
      <c r="KI18" s="314" t="s">
        <v>203</v>
      </c>
      <c r="KJ18" s="314" t="s">
        <v>203</v>
      </c>
      <c r="KK18" s="314" t="s">
        <v>203</v>
      </c>
      <c r="KL18" s="314" t="s">
        <v>203</v>
      </c>
      <c r="KM18" s="314" t="s">
        <v>203</v>
      </c>
      <c r="KN18" s="314" t="s">
        <v>203</v>
      </c>
      <c r="KO18" s="314" t="s">
        <v>203</v>
      </c>
      <c r="KP18" s="314" t="s">
        <v>203</v>
      </c>
      <c r="KQ18" s="314" t="s">
        <v>203</v>
      </c>
      <c r="KR18" s="314" t="s">
        <v>203</v>
      </c>
      <c r="KS18" s="314" t="s">
        <v>203</v>
      </c>
      <c r="KT18" s="314" t="s">
        <v>203</v>
      </c>
      <c r="KU18" s="314" t="s">
        <v>203</v>
      </c>
      <c r="KV18" s="314" t="s">
        <v>203</v>
      </c>
      <c r="KW18" s="314" t="s">
        <v>203</v>
      </c>
      <c r="KX18" s="314" t="s">
        <v>203</v>
      </c>
      <c r="KY18" s="314" t="s">
        <v>203</v>
      </c>
      <c r="KZ18" s="314" t="s">
        <v>203</v>
      </c>
      <c r="LA18" s="314" t="s">
        <v>203</v>
      </c>
      <c r="LB18" s="314" t="s">
        <v>203</v>
      </c>
      <c r="LC18" s="314" t="s">
        <v>203</v>
      </c>
      <c r="LD18" s="314" t="s">
        <v>203</v>
      </c>
      <c r="LE18" s="314" t="s">
        <v>203</v>
      </c>
      <c r="LF18" s="314" t="s">
        <v>203</v>
      </c>
      <c r="LG18" s="314" t="s">
        <v>203</v>
      </c>
      <c r="LH18" s="314" t="s">
        <v>203</v>
      </c>
      <c r="LI18" s="314" t="s">
        <v>203</v>
      </c>
      <c r="LJ18" s="314" t="s">
        <v>203</v>
      </c>
      <c r="LK18" s="314" t="s">
        <v>203</v>
      </c>
      <c r="LL18" s="314" t="s">
        <v>203</v>
      </c>
      <c r="LM18" s="314" t="s">
        <v>203</v>
      </c>
      <c r="LN18" s="314" t="s">
        <v>203</v>
      </c>
      <c r="LO18" s="314" t="s">
        <v>203</v>
      </c>
      <c r="LP18" s="314" t="s">
        <v>203</v>
      </c>
      <c r="LQ18" s="314" t="s">
        <v>203</v>
      </c>
      <c r="LR18" s="314" t="s">
        <v>203</v>
      </c>
      <c r="LS18" s="314" t="s">
        <v>203</v>
      </c>
      <c r="LT18" s="314" t="s">
        <v>203</v>
      </c>
      <c r="LU18" s="314" t="s">
        <v>203</v>
      </c>
      <c r="LV18" s="314" t="s">
        <v>203</v>
      </c>
      <c r="LW18" s="314" t="s">
        <v>203</v>
      </c>
      <c r="LX18" s="314" t="s">
        <v>203</v>
      </c>
      <c r="LY18" s="314" t="s">
        <v>203</v>
      </c>
      <c r="LZ18" s="314" t="s">
        <v>203</v>
      </c>
      <c r="MA18" s="314" t="s">
        <v>203</v>
      </c>
      <c r="MB18" s="314" t="s">
        <v>203</v>
      </c>
      <c r="MC18" s="314" t="s">
        <v>203</v>
      </c>
      <c r="MD18" s="314" t="s">
        <v>203</v>
      </c>
      <c r="ME18" s="314" t="s">
        <v>203</v>
      </c>
      <c r="MF18" s="314" t="s">
        <v>203</v>
      </c>
      <c r="MG18" s="314" t="s">
        <v>203</v>
      </c>
      <c r="MH18" s="314" t="s">
        <v>203</v>
      </c>
      <c r="MI18" s="314" t="s">
        <v>203</v>
      </c>
      <c r="MJ18" s="314" t="s">
        <v>203</v>
      </c>
      <c r="MK18" s="314" t="s">
        <v>203</v>
      </c>
      <c r="ML18" s="314" t="s">
        <v>203</v>
      </c>
      <c r="MM18" s="314" t="s">
        <v>203</v>
      </c>
      <c r="MN18" s="314" t="s">
        <v>203</v>
      </c>
      <c r="MO18" s="314" t="s">
        <v>203</v>
      </c>
      <c r="MP18" s="314" t="s">
        <v>203</v>
      </c>
      <c r="MQ18" s="314" t="s">
        <v>203</v>
      </c>
      <c r="MR18" s="314" t="s">
        <v>203</v>
      </c>
      <c r="MS18" s="314" t="s">
        <v>203</v>
      </c>
      <c r="MT18" s="314" t="s">
        <v>203</v>
      </c>
      <c r="MU18" s="314" t="s">
        <v>203</v>
      </c>
      <c r="MV18" s="314" t="s">
        <v>203</v>
      </c>
      <c r="MW18" s="314" t="s">
        <v>203</v>
      </c>
      <c r="MX18" s="314" t="s">
        <v>203</v>
      </c>
      <c r="MY18" s="314" t="s">
        <v>203</v>
      </c>
      <c r="MZ18" s="314" t="s">
        <v>203</v>
      </c>
      <c r="NA18" s="314" t="s">
        <v>203</v>
      </c>
      <c r="NB18" s="314" t="s">
        <v>203</v>
      </c>
      <c r="NC18" s="314" t="s">
        <v>203</v>
      </c>
      <c r="ND18" s="314" t="s">
        <v>203</v>
      </c>
      <c r="NE18" s="314" t="s">
        <v>203</v>
      </c>
      <c r="NF18" s="314" t="s">
        <v>203</v>
      </c>
      <c r="NG18" s="314" t="s">
        <v>203</v>
      </c>
      <c r="NH18" s="314" t="s">
        <v>203</v>
      </c>
      <c r="NI18" s="314" t="s">
        <v>203</v>
      </c>
      <c r="NJ18" s="314" t="s">
        <v>203</v>
      </c>
      <c r="NK18" s="314" t="s">
        <v>203</v>
      </c>
      <c r="NL18" s="314" t="s">
        <v>203</v>
      </c>
      <c r="NM18" s="314" t="s">
        <v>203</v>
      </c>
      <c r="NN18" s="314" t="s">
        <v>203</v>
      </c>
      <c r="NO18" s="314" t="s">
        <v>203</v>
      </c>
      <c r="NP18" s="314" t="s">
        <v>203</v>
      </c>
      <c r="NQ18" s="314" t="s">
        <v>203</v>
      </c>
      <c r="NR18" s="314" t="s">
        <v>203</v>
      </c>
      <c r="NS18" s="314" t="s">
        <v>203</v>
      </c>
      <c r="NT18" s="314" t="s">
        <v>203</v>
      </c>
      <c r="NU18" s="314" t="s">
        <v>203</v>
      </c>
      <c r="NV18" s="314" t="s">
        <v>203</v>
      </c>
      <c r="NW18" s="314" t="s">
        <v>203</v>
      </c>
      <c r="NX18" s="314" t="s">
        <v>203</v>
      </c>
      <c r="NY18" s="314" t="s">
        <v>203</v>
      </c>
      <c r="NZ18" s="314" t="s">
        <v>203</v>
      </c>
      <c r="OA18" s="314" t="s">
        <v>203</v>
      </c>
      <c r="OB18" s="314" t="s">
        <v>203</v>
      </c>
      <c r="OC18" s="314" t="s">
        <v>203</v>
      </c>
      <c r="OD18" s="314" t="s">
        <v>203</v>
      </c>
      <c r="OE18" s="314" t="s">
        <v>203</v>
      </c>
      <c r="OF18" s="314" t="s">
        <v>203</v>
      </c>
      <c r="OG18" s="314" t="s">
        <v>203</v>
      </c>
      <c r="OH18" s="314" t="s">
        <v>203</v>
      </c>
      <c r="OI18" s="314" t="s">
        <v>203</v>
      </c>
      <c r="OJ18" s="314" t="s">
        <v>203</v>
      </c>
      <c r="OK18" s="314" t="s">
        <v>203</v>
      </c>
      <c r="OL18" s="314" t="s">
        <v>203</v>
      </c>
      <c r="OM18" s="314" t="s">
        <v>203</v>
      </c>
      <c r="ON18" s="314" t="s">
        <v>203</v>
      </c>
      <c r="OO18" s="314" t="s">
        <v>203</v>
      </c>
      <c r="OP18" s="314" t="s">
        <v>203</v>
      </c>
      <c r="OQ18" s="314" t="s">
        <v>203</v>
      </c>
      <c r="OR18" s="314" t="s">
        <v>203</v>
      </c>
      <c r="OS18" s="314" t="s">
        <v>203</v>
      </c>
      <c r="OT18" s="314" t="s">
        <v>203</v>
      </c>
      <c r="OU18" s="314" t="s">
        <v>203</v>
      </c>
      <c r="OV18" s="314" t="s">
        <v>203</v>
      </c>
      <c r="OW18" s="314" t="s">
        <v>203</v>
      </c>
      <c r="OX18" s="314" t="s">
        <v>203</v>
      </c>
      <c r="OY18" s="314" t="s">
        <v>203</v>
      </c>
      <c r="OZ18" s="314" t="s">
        <v>203</v>
      </c>
      <c r="PA18" s="314" t="s">
        <v>203</v>
      </c>
      <c r="PB18" s="314" t="s">
        <v>203</v>
      </c>
      <c r="PC18" s="314" t="s">
        <v>203</v>
      </c>
      <c r="PD18" s="314" t="s">
        <v>203</v>
      </c>
      <c r="PE18" s="314" t="s">
        <v>203</v>
      </c>
      <c r="PF18" s="314" t="s">
        <v>203</v>
      </c>
      <c r="PG18" s="314" t="s">
        <v>203</v>
      </c>
      <c r="PH18" s="314" t="s">
        <v>203</v>
      </c>
      <c r="PI18" s="314" t="s">
        <v>203</v>
      </c>
      <c r="PJ18" s="314" t="s">
        <v>203</v>
      </c>
      <c r="PK18" s="314" t="s">
        <v>203</v>
      </c>
      <c r="PL18" s="314" t="s">
        <v>203</v>
      </c>
      <c r="PM18" s="314" t="s">
        <v>203</v>
      </c>
      <c r="PN18" s="314" t="s">
        <v>203</v>
      </c>
      <c r="PO18" s="314" t="s">
        <v>203</v>
      </c>
      <c r="PP18" s="314" t="s">
        <v>203</v>
      </c>
      <c r="PQ18" s="314" t="s">
        <v>203</v>
      </c>
      <c r="PR18" s="314" t="s">
        <v>203</v>
      </c>
      <c r="PS18" s="314" t="s">
        <v>203</v>
      </c>
      <c r="PT18" s="314" t="s">
        <v>203</v>
      </c>
      <c r="PU18" s="314" t="s">
        <v>203</v>
      </c>
      <c r="PV18" s="314" t="s">
        <v>203</v>
      </c>
      <c r="PW18" s="314" t="s">
        <v>203</v>
      </c>
      <c r="PX18" s="314" t="s">
        <v>203</v>
      </c>
      <c r="PY18" s="314" t="s">
        <v>203</v>
      </c>
      <c r="PZ18" s="314" t="s">
        <v>203</v>
      </c>
      <c r="QA18" s="314" t="s">
        <v>203</v>
      </c>
      <c r="QB18" s="314" t="s">
        <v>203</v>
      </c>
      <c r="QC18" s="314" t="s">
        <v>203</v>
      </c>
      <c r="QD18" s="314" t="s">
        <v>203</v>
      </c>
      <c r="QE18" s="314" t="s">
        <v>203</v>
      </c>
      <c r="QF18" s="314" t="s">
        <v>203</v>
      </c>
      <c r="QG18" s="314" t="s">
        <v>203</v>
      </c>
      <c r="QH18" s="314" t="s">
        <v>203</v>
      </c>
      <c r="QI18" s="314" t="s">
        <v>203</v>
      </c>
      <c r="QJ18" s="314" t="s">
        <v>203</v>
      </c>
      <c r="QK18" s="314" t="s">
        <v>203</v>
      </c>
      <c r="QL18" s="314" t="s">
        <v>203</v>
      </c>
      <c r="QM18" s="314" t="s">
        <v>203</v>
      </c>
      <c r="QN18" s="314" t="s">
        <v>203</v>
      </c>
      <c r="QO18" s="314" t="s">
        <v>203</v>
      </c>
      <c r="QP18" s="314" t="s">
        <v>203</v>
      </c>
      <c r="QQ18" s="314" t="s">
        <v>203</v>
      </c>
      <c r="QR18" s="314" t="s">
        <v>203</v>
      </c>
      <c r="QS18" s="314" t="s">
        <v>203</v>
      </c>
      <c r="QT18" s="314" t="s">
        <v>203</v>
      </c>
      <c r="QU18" s="314" t="s">
        <v>203</v>
      </c>
      <c r="QV18" s="314" t="s">
        <v>203</v>
      </c>
      <c r="QW18" s="314" t="s">
        <v>203</v>
      </c>
      <c r="QX18" s="314" t="s">
        <v>203</v>
      </c>
      <c r="QY18" s="314" t="s">
        <v>203</v>
      </c>
      <c r="QZ18" s="314" t="s">
        <v>203</v>
      </c>
      <c r="RA18" s="314" t="s">
        <v>203</v>
      </c>
      <c r="RB18" s="314" t="s">
        <v>203</v>
      </c>
      <c r="RC18" s="314" t="s">
        <v>203</v>
      </c>
      <c r="RD18" s="314" t="s">
        <v>203</v>
      </c>
      <c r="RE18" s="314" t="s">
        <v>203</v>
      </c>
      <c r="RF18" s="314" t="s">
        <v>203</v>
      </c>
      <c r="RG18" s="314" t="s">
        <v>203</v>
      </c>
      <c r="RH18" s="314" t="s">
        <v>203</v>
      </c>
      <c r="RI18" s="314" t="s">
        <v>203</v>
      </c>
      <c r="RJ18" s="314" t="s">
        <v>203</v>
      </c>
      <c r="RK18" s="314" t="s">
        <v>203</v>
      </c>
      <c r="RL18" s="314" t="s">
        <v>203</v>
      </c>
      <c r="RM18" s="314" t="s">
        <v>203</v>
      </c>
      <c r="RN18" s="314" t="s">
        <v>203</v>
      </c>
      <c r="RO18" s="314" t="s">
        <v>203</v>
      </c>
      <c r="RP18" s="314" t="s">
        <v>203</v>
      </c>
      <c r="RQ18" s="314" t="s">
        <v>203</v>
      </c>
      <c r="RR18" s="314" t="s">
        <v>203</v>
      </c>
      <c r="RS18" s="314" t="s">
        <v>203</v>
      </c>
      <c r="RT18" s="314" t="s">
        <v>203</v>
      </c>
      <c r="RU18" s="314" t="s">
        <v>203</v>
      </c>
      <c r="RV18" s="314" t="s">
        <v>203</v>
      </c>
      <c r="RW18" s="314" t="s">
        <v>203</v>
      </c>
      <c r="RX18" s="314" t="s">
        <v>203</v>
      </c>
      <c r="RY18" s="314" t="s">
        <v>203</v>
      </c>
      <c r="RZ18" s="314" t="s">
        <v>203</v>
      </c>
      <c r="SA18" s="314" t="s">
        <v>203</v>
      </c>
      <c r="SB18" s="314" t="s">
        <v>203</v>
      </c>
      <c r="SC18" s="314" t="s">
        <v>203</v>
      </c>
      <c r="SD18" s="314" t="s">
        <v>203</v>
      </c>
      <c r="SE18" s="314" t="s">
        <v>203</v>
      </c>
      <c r="SF18" s="314" t="s">
        <v>203</v>
      </c>
      <c r="SG18" s="314" t="s">
        <v>203</v>
      </c>
      <c r="SH18" s="314" t="s">
        <v>203</v>
      </c>
      <c r="SI18" s="314" t="s">
        <v>203</v>
      </c>
      <c r="SJ18" s="314" t="s">
        <v>203</v>
      </c>
      <c r="SK18" s="314" t="s">
        <v>203</v>
      </c>
      <c r="SL18" s="314" t="s">
        <v>203</v>
      </c>
      <c r="SM18" s="314" t="s">
        <v>203</v>
      </c>
      <c r="SN18" s="314" t="s">
        <v>203</v>
      </c>
      <c r="SO18" s="314" t="s">
        <v>203</v>
      </c>
      <c r="SP18" s="314" t="s">
        <v>203</v>
      </c>
      <c r="SQ18" s="314" t="s">
        <v>203</v>
      </c>
      <c r="SR18" s="314" t="s">
        <v>203</v>
      </c>
      <c r="SS18" s="314" t="s">
        <v>203</v>
      </c>
      <c r="ST18" s="314" t="s">
        <v>203</v>
      </c>
      <c r="SU18" s="314" t="s">
        <v>203</v>
      </c>
      <c r="SV18" s="314" t="s">
        <v>203</v>
      </c>
      <c r="SW18" s="314" t="s">
        <v>203</v>
      </c>
      <c r="SX18" s="314" t="s">
        <v>203</v>
      </c>
      <c r="SY18" s="314" t="s">
        <v>203</v>
      </c>
      <c r="SZ18" s="314" t="s">
        <v>203</v>
      </c>
      <c r="TA18" s="314" t="s">
        <v>203</v>
      </c>
      <c r="TB18" s="314" t="s">
        <v>203</v>
      </c>
      <c r="TC18" s="314" t="s">
        <v>203</v>
      </c>
      <c r="TD18" s="314" t="s">
        <v>203</v>
      </c>
      <c r="TE18" s="314" t="s">
        <v>203</v>
      </c>
      <c r="TF18" s="314" t="s">
        <v>203</v>
      </c>
      <c r="TG18" s="314" t="s">
        <v>203</v>
      </c>
      <c r="TH18" s="314" t="s">
        <v>203</v>
      </c>
      <c r="TI18" s="314" t="s">
        <v>203</v>
      </c>
      <c r="TJ18" s="314" t="s">
        <v>203</v>
      </c>
      <c r="TK18" s="314" t="s">
        <v>203</v>
      </c>
      <c r="TL18" s="314" t="s">
        <v>203</v>
      </c>
      <c r="TM18" s="314" t="s">
        <v>203</v>
      </c>
      <c r="TN18" s="314" t="s">
        <v>203</v>
      </c>
      <c r="TO18" s="314" t="s">
        <v>203</v>
      </c>
      <c r="TP18" s="314" t="s">
        <v>203</v>
      </c>
      <c r="TQ18" s="314" t="s">
        <v>203</v>
      </c>
      <c r="TR18" s="314" t="s">
        <v>203</v>
      </c>
      <c r="TS18" s="314" t="s">
        <v>203</v>
      </c>
      <c r="TT18" s="314" t="s">
        <v>203</v>
      </c>
      <c r="TU18" s="314" t="s">
        <v>203</v>
      </c>
      <c r="TV18" s="314" t="s">
        <v>203</v>
      </c>
      <c r="TW18" s="314" t="s">
        <v>203</v>
      </c>
      <c r="TX18" s="314" t="s">
        <v>203</v>
      </c>
      <c r="TY18" s="314" t="s">
        <v>203</v>
      </c>
      <c r="TZ18" s="314" t="s">
        <v>203</v>
      </c>
      <c r="UA18" s="314" t="s">
        <v>203</v>
      </c>
      <c r="UB18" s="314" t="s">
        <v>203</v>
      </c>
      <c r="UC18" s="314" t="s">
        <v>203</v>
      </c>
      <c r="UD18" s="314" t="s">
        <v>203</v>
      </c>
      <c r="UE18" s="314" t="s">
        <v>203</v>
      </c>
      <c r="UF18" s="314" t="s">
        <v>203</v>
      </c>
      <c r="UG18" s="314" t="s">
        <v>203</v>
      </c>
      <c r="UH18" s="314" t="s">
        <v>203</v>
      </c>
      <c r="UI18" s="314" t="s">
        <v>203</v>
      </c>
      <c r="UJ18" s="314" t="s">
        <v>203</v>
      </c>
      <c r="UK18" s="314" t="s">
        <v>203</v>
      </c>
      <c r="UL18" s="314" t="s">
        <v>203</v>
      </c>
      <c r="UM18" s="314" t="s">
        <v>203</v>
      </c>
      <c r="UN18" s="314" t="s">
        <v>203</v>
      </c>
      <c r="UO18" s="314" t="s">
        <v>203</v>
      </c>
      <c r="UP18" s="314" t="s">
        <v>203</v>
      </c>
      <c r="UQ18" s="314" t="s">
        <v>203</v>
      </c>
      <c r="UR18" s="314" t="s">
        <v>203</v>
      </c>
      <c r="US18" s="314" t="s">
        <v>203</v>
      </c>
      <c r="UT18" s="314" t="s">
        <v>203</v>
      </c>
      <c r="UU18" s="314" t="s">
        <v>203</v>
      </c>
      <c r="UV18" s="314" t="s">
        <v>203</v>
      </c>
      <c r="UW18" s="314" t="s">
        <v>203</v>
      </c>
      <c r="UX18" s="314" t="s">
        <v>203</v>
      </c>
      <c r="UY18" s="314" t="s">
        <v>203</v>
      </c>
      <c r="UZ18" s="314" t="s">
        <v>203</v>
      </c>
      <c r="VA18" s="314" t="s">
        <v>203</v>
      </c>
      <c r="VB18" s="314" t="s">
        <v>203</v>
      </c>
      <c r="VC18" s="314" t="s">
        <v>203</v>
      </c>
      <c r="VD18" s="314" t="s">
        <v>203</v>
      </c>
      <c r="VE18" s="314" t="s">
        <v>203</v>
      </c>
      <c r="VF18" s="314" t="s">
        <v>203</v>
      </c>
      <c r="VG18" s="314" t="s">
        <v>203</v>
      </c>
      <c r="VH18" s="314" t="s">
        <v>203</v>
      </c>
      <c r="VI18" s="314" t="s">
        <v>203</v>
      </c>
      <c r="VJ18" s="314" t="s">
        <v>203</v>
      </c>
      <c r="VK18" s="314" t="s">
        <v>203</v>
      </c>
      <c r="VL18" s="314" t="s">
        <v>203</v>
      </c>
      <c r="VM18" s="314" t="s">
        <v>203</v>
      </c>
      <c r="VN18" s="314" t="s">
        <v>203</v>
      </c>
      <c r="VO18" s="314" t="s">
        <v>203</v>
      </c>
      <c r="VP18" s="314" t="s">
        <v>203</v>
      </c>
      <c r="VQ18" s="314" t="s">
        <v>203</v>
      </c>
      <c r="VR18" s="314" t="s">
        <v>203</v>
      </c>
      <c r="VS18" s="314" t="s">
        <v>203</v>
      </c>
      <c r="VT18" s="314" t="s">
        <v>203</v>
      </c>
      <c r="VU18" s="314" t="s">
        <v>203</v>
      </c>
      <c r="VV18" s="314" t="s">
        <v>203</v>
      </c>
      <c r="VW18" s="314" t="s">
        <v>203</v>
      </c>
      <c r="VX18" s="314" t="s">
        <v>203</v>
      </c>
      <c r="VY18" s="314" t="s">
        <v>203</v>
      </c>
      <c r="VZ18" s="314" t="s">
        <v>203</v>
      </c>
      <c r="WA18" s="314" t="s">
        <v>203</v>
      </c>
      <c r="WB18" s="314" t="s">
        <v>203</v>
      </c>
      <c r="WC18" s="314" t="s">
        <v>203</v>
      </c>
      <c r="WD18" s="314" t="s">
        <v>203</v>
      </c>
      <c r="WE18" s="314" t="s">
        <v>203</v>
      </c>
      <c r="WF18" s="314" t="s">
        <v>203</v>
      </c>
      <c r="WG18" s="314" t="s">
        <v>203</v>
      </c>
      <c r="WH18" s="314" t="s">
        <v>203</v>
      </c>
      <c r="WI18" s="314" t="s">
        <v>203</v>
      </c>
      <c r="WJ18" s="314" t="s">
        <v>203</v>
      </c>
      <c r="WK18" s="314" t="s">
        <v>203</v>
      </c>
      <c r="WL18" s="314" t="s">
        <v>203</v>
      </c>
      <c r="WM18" s="314" t="s">
        <v>203</v>
      </c>
      <c r="WN18" s="314" t="s">
        <v>203</v>
      </c>
      <c r="WO18" s="314" t="s">
        <v>203</v>
      </c>
      <c r="WP18" s="314" t="s">
        <v>203</v>
      </c>
      <c r="WQ18" s="314" t="s">
        <v>203</v>
      </c>
      <c r="WR18" s="314" t="s">
        <v>203</v>
      </c>
      <c r="WS18" s="314" t="s">
        <v>203</v>
      </c>
      <c r="WT18" s="314" t="s">
        <v>203</v>
      </c>
      <c r="WU18" s="314" t="s">
        <v>203</v>
      </c>
      <c r="WV18" s="314" t="s">
        <v>203</v>
      </c>
      <c r="WW18" s="314" t="s">
        <v>203</v>
      </c>
      <c r="WX18" s="314" t="s">
        <v>203</v>
      </c>
      <c r="WY18" s="314" t="s">
        <v>203</v>
      </c>
      <c r="WZ18" s="314" t="s">
        <v>203</v>
      </c>
      <c r="XA18" s="314" t="s">
        <v>203</v>
      </c>
      <c r="XB18" s="314" t="s">
        <v>203</v>
      </c>
      <c r="XC18" s="314" t="s">
        <v>203</v>
      </c>
      <c r="XD18" s="314" t="s">
        <v>203</v>
      </c>
      <c r="XE18" s="314" t="s">
        <v>203</v>
      </c>
      <c r="XF18" s="314" t="s">
        <v>203</v>
      </c>
      <c r="XG18" s="314" t="s">
        <v>203</v>
      </c>
      <c r="XH18" s="314" t="s">
        <v>203</v>
      </c>
      <c r="XI18" s="314" t="s">
        <v>203</v>
      </c>
      <c r="XJ18" s="314" t="s">
        <v>203</v>
      </c>
      <c r="XK18" s="314" t="s">
        <v>203</v>
      </c>
      <c r="XL18" s="314" t="s">
        <v>203</v>
      </c>
      <c r="XM18" s="314" t="s">
        <v>203</v>
      </c>
      <c r="XN18" s="314" t="s">
        <v>203</v>
      </c>
      <c r="XO18" s="314" t="s">
        <v>203</v>
      </c>
      <c r="XP18" s="314" t="s">
        <v>203</v>
      </c>
      <c r="XQ18" s="314" t="s">
        <v>203</v>
      </c>
      <c r="XR18" s="314" t="s">
        <v>203</v>
      </c>
      <c r="XS18" s="314" t="s">
        <v>203</v>
      </c>
      <c r="XT18" s="314" t="s">
        <v>203</v>
      </c>
      <c r="XU18" s="314" t="s">
        <v>203</v>
      </c>
      <c r="XV18" s="314" t="s">
        <v>203</v>
      </c>
      <c r="XW18" s="314" t="s">
        <v>203</v>
      </c>
      <c r="XX18" s="314" t="s">
        <v>203</v>
      </c>
      <c r="XY18" s="314" t="s">
        <v>203</v>
      </c>
      <c r="XZ18" s="314" t="s">
        <v>203</v>
      </c>
      <c r="YA18" s="314" t="s">
        <v>203</v>
      </c>
      <c r="YB18" s="314" t="s">
        <v>203</v>
      </c>
      <c r="YC18" s="314" t="s">
        <v>203</v>
      </c>
      <c r="YD18" s="314" t="s">
        <v>203</v>
      </c>
      <c r="YE18" s="314" t="s">
        <v>203</v>
      </c>
      <c r="YF18" s="314" t="s">
        <v>203</v>
      </c>
      <c r="YG18" s="314" t="s">
        <v>203</v>
      </c>
      <c r="YH18" s="314" t="s">
        <v>203</v>
      </c>
      <c r="YI18" s="314" t="s">
        <v>203</v>
      </c>
      <c r="YJ18" s="314" t="s">
        <v>203</v>
      </c>
      <c r="YK18" s="314" t="s">
        <v>203</v>
      </c>
      <c r="YL18" s="314" t="s">
        <v>203</v>
      </c>
      <c r="YM18" s="314" t="s">
        <v>203</v>
      </c>
      <c r="YN18" s="314" t="s">
        <v>203</v>
      </c>
      <c r="YO18" s="314" t="s">
        <v>203</v>
      </c>
      <c r="YP18" s="314" t="s">
        <v>203</v>
      </c>
      <c r="YQ18" s="314" t="s">
        <v>203</v>
      </c>
      <c r="YR18" s="314" t="s">
        <v>203</v>
      </c>
      <c r="YS18" s="314" t="s">
        <v>203</v>
      </c>
      <c r="YT18" s="314" t="s">
        <v>203</v>
      </c>
      <c r="YU18" s="314" t="s">
        <v>203</v>
      </c>
      <c r="YV18" s="314" t="s">
        <v>203</v>
      </c>
      <c r="YW18" s="314" t="s">
        <v>203</v>
      </c>
      <c r="YX18" s="314" t="s">
        <v>203</v>
      </c>
      <c r="YY18" s="314" t="s">
        <v>203</v>
      </c>
      <c r="YZ18" s="314" t="s">
        <v>203</v>
      </c>
      <c r="ZA18" s="314" t="s">
        <v>203</v>
      </c>
      <c r="ZB18" s="314" t="s">
        <v>203</v>
      </c>
      <c r="ZC18" s="314" t="s">
        <v>203</v>
      </c>
      <c r="ZD18" s="314" t="s">
        <v>203</v>
      </c>
      <c r="ZE18" s="314" t="s">
        <v>203</v>
      </c>
      <c r="ZF18" s="314" t="s">
        <v>203</v>
      </c>
      <c r="ZG18" s="314" t="s">
        <v>203</v>
      </c>
      <c r="ZH18" s="314" t="s">
        <v>203</v>
      </c>
      <c r="ZI18" s="314" t="s">
        <v>203</v>
      </c>
      <c r="ZJ18" s="314" t="s">
        <v>203</v>
      </c>
      <c r="ZK18" s="314" t="s">
        <v>203</v>
      </c>
      <c r="ZL18" s="314" t="s">
        <v>203</v>
      </c>
      <c r="ZM18" s="314" t="s">
        <v>203</v>
      </c>
      <c r="ZN18" s="314" t="s">
        <v>203</v>
      </c>
      <c r="ZO18" s="314" t="s">
        <v>203</v>
      </c>
      <c r="ZP18" s="314" t="s">
        <v>203</v>
      </c>
      <c r="ZQ18" s="314" t="s">
        <v>203</v>
      </c>
      <c r="ZR18" s="314" t="s">
        <v>203</v>
      </c>
      <c r="ZS18" s="314" t="s">
        <v>203</v>
      </c>
      <c r="ZT18" s="314" t="s">
        <v>203</v>
      </c>
      <c r="ZU18" s="314" t="s">
        <v>203</v>
      </c>
      <c r="ZV18" s="314" t="s">
        <v>203</v>
      </c>
      <c r="ZW18" s="314" t="s">
        <v>203</v>
      </c>
      <c r="ZX18" s="314" t="s">
        <v>203</v>
      </c>
      <c r="ZY18" s="314" t="s">
        <v>203</v>
      </c>
      <c r="ZZ18" s="314" t="s">
        <v>203</v>
      </c>
      <c r="AAA18" s="314" t="s">
        <v>203</v>
      </c>
      <c r="AAB18" s="314" t="s">
        <v>203</v>
      </c>
      <c r="AAC18" s="314" t="s">
        <v>203</v>
      </c>
      <c r="AAD18" s="314" t="s">
        <v>203</v>
      </c>
      <c r="AAE18" s="314" t="s">
        <v>203</v>
      </c>
      <c r="AAF18" s="314" t="s">
        <v>203</v>
      </c>
      <c r="AAG18" s="314" t="s">
        <v>203</v>
      </c>
      <c r="AAH18" s="314" t="s">
        <v>203</v>
      </c>
      <c r="AAI18" s="314" t="s">
        <v>203</v>
      </c>
      <c r="AAJ18" s="314" t="s">
        <v>203</v>
      </c>
      <c r="AAK18" s="314" t="s">
        <v>203</v>
      </c>
      <c r="AAL18" s="314" t="s">
        <v>203</v>
      </c>
      <c r="AAM18" s="314" t="s">
        <v>203</v>
      </c>
      <c r="AAN18" s="314" t="s">
        <v>203</v>
      </c>
      <c r="AAO18" s="314" t="s">
        <v>203</v>
      </c>
      <c r="AAP18" s="314" t="s">
        <v>203</v>
      </c>
      <c r="AAQ18" s="314" t="s">
        <v>203</v>
      </c>
      <c r="AAR18" s="314" t="s">
        <v>203</v>
      </c>
      <c r="AAS18" s="314" t="s">
        <v>203</v>
      </c>
      <c r="AAT18" s="314" t="s">
        <v>203</v>
      </c>
      <c r="AAU18" s="314" t="s">
        <v>203</v>
      </c>
      <c r="AAV18" s="314" t="s">
        <v>203</v>
      </c>
      <c r="AAW18" s="314" t="s">
        <v>203</v>
      </c>
      <c r="AAX18" s="314" t="s">
        <v>203</v>
      </c>
      <c r="AAY18" s="314" t="s">
        <v>203</v>
      </c>
      <c r="AAZ18" s="314" t="s">
        <v>203</v>
      </c>
      <c r="ABA18" s="314" t="s">
        <v>203</v>
      </c>
      <c r="ABB18" s="314" t="s">
        <v>203</v>
      </c>
      <c r="ABC18" s="314" t="s">
        <v>203</v>
      </c>
      <c r="ABD18" s="314" t="s">
        <v>203</v>
      </c>
      <c r="ABE18" s="314" t="s">
        <v>203</v>
      </c>
      <c r="ABF18" s="314" t="s">
        <v>203</v>
      </c>
      <c r="ABG18" s="314" t="s">
        <v>203</v>
      </c>
      <c r="ABH18" s="314" t="s">
        <v>203</v>
      </c>
      <c r="ABI18" s="314" t="s">
        <v>203</v>
      </c>
      <c r="ABJ18" s="314" t="s">
        <v>203</v>
      </c>
      <c r="ABK18" s="314" t="s">
        <v>203</v>
      </c>
      <c r="ABL18" s="314" t="s">
        <v>203</v>
      </c>
      <c r="ABM18" s="314" t="s">
        <v>203</v>
      </c>
      <c r="ABN18" s="314" t="s">
        <v>203</v>
      </c>
      <c r="ABO18" s="314" t="s">
        <v>203</v>
      </c>
      <c r="ABP18" s="314" t="s">
        <v>203</v>
      </c>
      <c r="ABQ18" s="314" t="s">
        <v>203</v>
      </c>
      <c r="ABR18" s="314" t="s">
        <v>203</v>
      </c>
      <c r="ABS18" s="314" t="s">
        <v>203</v>
      </c>
      <c r="ABT18" s="314" t="s">
        <v>203</v>
      </c>
      <c r="ABU18" s="314" t="s">
        <v>203</v>
      </c>
      <c r="ABV18" s="314" t="s">
        <v>203</v>
      </c>
      <c r="ABW18" s="314" t="s">
        <v>203</v>
      </c>
      <c r="ABX18" s="314" t="s">
        <v>203</v>
      </c>
      <c r="ABY18" s="314" t="s">
        <v>203</v>
      </c>
      <c r="ABZ18" s="314" t="s">
        <v>203</v>
      </c>
      <c r="ACA18" s="314" t="s">
        <v>203</v>
      </c>
      <c r="ACB18" s="314" t="s">
        <v>203</v>
      </c>
      <c r="ACC18" s="314" t="s">
        <v>203</v>
      </c>
      <c r="ACD18" s="314" t="s">
        <v>203</v>
      </c>
      <c r="ACE18" s="314" t="s">
        <v>203</v>
      </c>
      <c r="ACF18" s="314" t="s">
        <v>203</v>
      </c>
      <c r="ACG18" s="314" t="s">
        <v>203</v>
      </c>
      <c r="ACH18" s="314" t="s">
        <v>203</v>
      </c>
      <c r="ACI18" s="314" t="s">
        <v>203</v>
      </c>
      <c r="ACJ18" s="314" t="s">
        <v>203</v>
      </c>
      <c r="ACK18" s="314" t="s">
        <v>203</v>
      </c>
      <c r="ACL18" s="314" t="s">
        <v>203</v>
      </c>
      <c r="ACM18" s="314" t="s">
        <v>203</v>
      </c>
      <c r="ACN18" s="314" t="s">
        <v>203</v>
      </c>
      <c r="ACO18" s="314" t="s">
        <v>203</v>
      </c>
      <c r="ACP18" s="314" t="s">
        <v>203</v>
      </c>
      <c r="ACQ18" s="314" t="s">
        <v>203</v>
      </c>
      <c r="ACR18" s="314" t="s">
        <v>203</v>
      </c>
      <c r="ACS18" s="314" t="s">
        <v>203</v>
      </c>
      <c r="ACT18" s="314" t="s">
        <v>203</v>
      </c>
      <c r="ACU18" s="314" t="s">
        <v>203</v>
      </c>
      <c r="ACV18" s="314" t="s">
        <v>203</v>
      </c>
      <c r="ACW18" s="314" t="s">
        <v>203</v>
      </c>
      <c r="ACX18" s="314" t="s">
        <v>203</v>
      </c>
      <c r="ACY18" s="314" t="s">
        <v>203</v>
      </c>
      <c r="ACZ18" s="314" t="s">
        <v>203</v>
      </c>
      <c r="ADA18" s="314" t="s">
        <v>203</v>
      </c>
      <c r="ADB18" s="314" t="s">
        <v>203</v>
      </c>
      <c r="ADC18" s="314" t="s">
        <v>203</v>
      </c>
      <c r="ADD18" s="314" t="s">
        <v>203</v>
      </c>
      <c r="ADE18" s="314" t="s">
        <v>203</v>
      </c>
      <c r="ADF18" s="314" t="s">
        <v>203</v>
      </c>
      <c r="ADG18" s="314" t="s">
        <v>203</v>
      </c>
      <c r="ADH18" s="314" t="s">
        <v>203</v>
      </c>
      <c r="ADI18" s="314" t="s">
        <v>203</v>
      </c>
      <c r="ADJ18" s="314" t="s">
        <v>203</v>
      </c>
      <c r="ADK18" s="314" t="s">
        <v>203</v>
      </c>
      <c r="ADL18" s="314" t="s">
        <v>203</v>
      </c>
      <c r="ADM18" s="314" t="s">
        <v>203</v>
      </c>
      <c r="ADN18" s="314" t="s">
        <v>203</v>
      </c>
      <c r="ADO18" s="314" t="s">
        <v>203</v>
      </c>
      <c r="ADP18" s="314" t="s">
        <v>203</v>
      </c>
      <c r="ADQ18" s="314" t="s">
        <v>203</v>
      </c>
      <c r="ADR18" s="314" t="s">
        <v>203</v>
      </c>
      <c r="ADS18" s="314" t="s">
        <v>203</v>
      </c>
      <c r="ADT18" s="314" t="s">
        <v>203</v>
      </c>
      <c r="ADU18" s="314" t="s">
        <v>203</v>
      </c>
      <c r="ADV18" s="314" t="s">
        <v>203</v>
      </c>
      <c r="ADW18" s="314" t="s">
        <v>203</v>
      </c>
      <c r="ADX18" s="314" t="s">
        <v>203</v>
      </c>
      <c r="ADY18" s="314" t="s">
        <v>203</v>
      </c>
      <c r="ADZ18" s="314" t="s">
        <v>203</v>
      </c>
      <c r="AEA18" s="314" t="s">
        <v>203</v>
      </c>
      <c r="AEB18" s="314" t="s">
        <v>203</v>
      </c>
      <c r="AEC18" s="314" t="s">
        <v>203</v>
      </c>
      <c r="AED18" s="314" t="s">
        <v>203</v>
      </c>
      <c r="AEE18" s="314" t="s">
        <v>203</v>
      </c>
      <c r="AEF18" s="314" t="s">
        <v>203</v>
      </c>
      <c r="AEG18" s="314" t="s">
        <v>203</v>
      </c>
      <c r="AEH18" s="314" t="s">
        <v>203</v>
      </c>
      <c r="AEI18" s="314" t="s">
        <v>203</v>
      </c>
      <c r="AEJ18" s="314" t="s">
        <v>203</v>
      </c>
      <c r="AEK18" s="314" t="s">
        <v>203</v>
      </c>
      <c r="AEL18" s="314" t="s">
        <v>203</v>
      </c>
      <c r="AEM18" s="314" t="s">
        <v>203</v>
      </c>
      <c r="AEN18" s="314" t="s">
        <v>203</v>
      </c>
      <c r="AEO18" s="314" t="s">
        <v>203</v>
      </c>
      <c r="AEP18" s="314" t="s">
        <v>203</v>
      </c>
      <c r="AEQ18" s="314" t="s">
        <v>203</v>
      </c>
      <c r="AER18" s="314" t="s">
        <v>203</v>
      </c>
      <c r="AES18" s="314" t="s">
        <v>203</v>
      </c>
      <c r="AET18" s="314" t="s">
        <v>203</v>
      </c>
      <c r="AEU18" s="314" t="s">
        <v>203</v>
      </c>
      <c r="AEV18" s="314" t="s">
        <v>203</v>
      </c>
      <c r="AEW18" s="314" t="s">
        <v>203</v>
      </c>
      <c r="AEX18" s="314" t="s">
        <v>203</v>
      </c>
      <c r="AEY18" s="314" t="s">
        <v>203</v>
      </c>
      <c r="AEZ18" s="314" t="s">
        <v>203</v>
      </c>
      <c r="AFA18" s="314" t="s">
        <v>203</v>
      </c>
      <c r="AFB18" s="314" t="s">
        <v>203</v>
      </c>
      <c r="AFC18" s="314" t="s">
        <v>203</v>
      </c>
      <c r="AFD18" s="314" t="s">
        <v>203</v>
      </c>
      <c r="AFE18" s="314" t="s">
        <v>203</v>
      </c>
      <c r="AFF18" s="314" t="s">
        <v>203</v>
      </c>
      <c r="AFG18" s="314" t="s">
        <v>203</v>
      </c>
      <c r="AFH18" s="314" t="s">
        <v>203</v>
      </c>
      <c r="AFI18" s="314" t="s">
        <v>203</v>
      </c>
      <c r="AFJ18" s="314" t="s">
        <v>203</v>
      </c>
      <c r="AFK18" s="314" t="s">
        <v>203</v>
      </c>
      <c r="AFL18" s="314" t="s">
        <v>203</v>
      </c>
      <c r="AFM18" s="314" t="s">
        <v>203</v>
      </c>
      <c r="AFN18" s="314" t="s">
        <v>203</v>
      </c>
      <c r="AFO18" s="314" t="s">
        <v>203</v>
      </c>
      <c r="AFP18" s="314" t="s">
        <v>203</v>
      </c>
      <c r="AFQ18" s="314" t="s">
        <v>203</v>
      </c>
      <c r="AFR18" s="314" t="s">
        <v>203</v>
      </c>
      <c r="AFS18" s="314" t="s">
        <v>203</v>
      </c>
      <c r="AFT18" s="314" t="s">
        <v>203</v>
      </c>
      <c r="AFU18" s="314" t="s">
        <v>203</v>
      </c>
      <c r="AFV18" s="314" t="s">
        <v>203</v>
      </c>
      <c r="AFW18" s="314" t="s">
        <v>203</v>
      </c>
      <c r="AFX18" s="314" t="s">
        <v>203</v>
      </c>
      <c r="AFY18" s="314" t="s">
        <v>203</v>
      </c>
      <c r="AFZ18" s="314" t="s">
        <v>203</v>
      </c>
      <c r="AGA18" s="314" t="s">
        <v>203</v>
      </c>
      <c r="AGB18" s="314" t="s">
        <v>203</v>
      </c>
      <c r="AGC18" s="314" t="s">
        <v>203</v>
      </c>
      <c r="AGD18" s="314" t="s">
        <v>203</v>
      </c>
      <c r="AGE18" s="314" t="s">
        <v>203</v>
      </c>
      <c r="AGF18" s="314" t="s">
        <v>203</v>
      </c>
      <c r="AGG18" s="314" t="s">
        <v>203</v>
      </c>
      <c r="AGH18" s="314" t="s">
        <v>203</v>
      </c>
      <c r="AGI18" s="314" t="s">
        <v>203</v>
      </c>
      <c r="AGJ18" s="314" t="s">
        <v>203</v>
      </c>
      <c r="AGK18" s="314" t="s">
        <v>203</v>
      </c>
      <c r="AGL18" s="314" t="s">
        <v>203</v>
      </c>
      <c r="AGM18" s="314" t="s">
        <v>203</v>
      </c>
      <c r="AGN18" s="314" t="s">
        <v>203</v>
      </c>
      <c r="AGO18" s="314" t="s">
        <v>203</v>
      </c>
      <c r="AGP18" s="314" t="s">
        <v>203</v>
      </c>
      <c r="AGQ18" s="314" t="s">
        <v>203</v>
      </c>
      <c r="AGR18" s="314" t="s">
        <v>203</v>
      </c>
      <c r="AGS18" s="314" t="s">
        <v>203</v>
      </c>
      <c r="AGT18" s="314" t="s">
        <v>203</v>
      </c>
      <c r="AGU18" s="314" t="s">
        <v>203</v>
      </c>
      <c r="AGV18" s="314" t="s">
        <v>203</v>
      </c>
      <c r="AGW18" s="314" t="s">
        <v>203</v>
      </c>
      <c r="AGX18" s="314" t="s">
        <v>203</v>
      </c>
      <c r="AGY18" s="314" t="s">
        <v>203</v>
      </c>
      <c r="AGZ18" s="314" t="s">
        <v>203</v>
      </c>
      <c r="AHA18" s="314" t="s">
        <v>203</v>
      </c>
      <c r="AHB18" s="314" t="s">
        <v>203</v>
      </c>
      <c r="AHC18" s="314" t="s">
        <v>203</v>
      </c>
      <c r="AHD18" s="314" t="s">
        <v>203</v>
      </c>
      <c r="AHE18" s="314" t="s">
        <v>203</v>
      </c>
      <c r="AHF18" s="314" t="s">
        <v>203</v>
      </c>
      <c r="AHG18" s="314" t="s">
        <v>203</v>
      </c>
      <c r="AHH18" s="314" t="s">
        <v>203</v>
      </c>
      <c r="AHI18" s="314" t="s">
        <v>203</v>
      </c>
      <c r="AHJ18" s="314" t="s">
        <v>203</v>
      </c>
      <c r="AHK18" s="314" t="s">
        <v>203</v>
      </c>
      <c r="AHL18" s="314" t="s">
        <v>203</v>
      </c>
      <c r="AHM18" s="314" t="s">
        <v>203</v>
      </c>
      <c r="AHN18" s="314" t="s">
        <v>203</v>
      </c>
      <c r="AHO18" s="314" t="s">
        <v>203</v>
      </c>
      <c r="AHP18" s="314" t="s">
        <v>203</v>
      </c>
      <c r="AHQ18" s="314" t="s">
        <v>203</v>
      </c>
      <c r="AHR18" s="314" t="s">
        <v>203</v>
      </c>
      <c r="AHS18" s="314" t="s">
        <v>203</v>
      </c>
      <c r="AHT18" s="314" t="s">
        <v>203</v>
      </c>
      <c r="AHU18" s="314" t="s">
        <v>203</v>
      </c>
      <c r="AHV18" s="314" t="s">
        <v>203</v>
      </c>
      <c r="AHW18" s="314" t="s">
        <v>203</v>
      </c>
      <c r="AHX18" s="314" t="s">
        <v>203</v>
      </c>
      <c r="AHY18" s="314" t="s">
        <v>203</v>
      </c>
      <c r="AHZ18" s="314" t="s">
        <v>203</v>
      </c>
      <c r="AIA18" s="314" t="s">
        <v>203</v>
      </c>
      <c r="AIB18" s="314" t="s">
        <v>203</v>
      </c>
      <c r="AIC18" s="314" t="s">
        <v>203</v>
      </c>
      <c r="AID18" s="314" t="s">
        <v>203</v>
      </c>
      <c r="AIE18" s="314" t="s">
        <v>203</v>
      </c>
      <c r="AIF18" s="314" t="s">
        <v>203</v>
      </c>
      <c r="AIG18" s="314" t="s">
        <v>203</v>
      </c>
      <c r="AIH18" s="314" t="s">
        <v>203</v>
      </c>
      <c r="AII18" s="314" t="s">
        <v>203</v>
      </c>
      <c r="AIJ18" s="314" t="s">
        <v>203</v>
      </c>
      <c r="AIK18" s="314" t="s">
        <v>203</v>
      </c>
      <c r="AIL18" s="314" t="s">
        <v>203</v>
      </c>
      <c r="AIM18" s="314" t="s">
        <v>203</v>
      </c>
      <c r="AIN18" s="314" t="s">
        <v>203</v>
      </c>
      <c r="AIO18" s="314" t="s">
        <v>203</v>
      </c>
      <c r="AIP18" s="314" t="s">
        <v>203</v>
      </c>
      <c r="AIQ18" s="314" t="s">
        <v>203</v>
      </c>
      <c r="AIR18" s="314" t="s">
        <v>203</v>
      </c>
      <c r="AIS18" s="314" t="s">
        <v>203</v>
      </c>
      <c r="AIT18" s="314" t="s">
        <v>203</v>
      </c>
      <c r="AIU18" s="314" t="s">
        <v>203</v>
      </c>
      <c r="AIV18" s="314" t="s">
        <v>203</v>
      </c>
      <c r="AIW18" s="314" t="s">
        <v>203</v>
      </c>
      <c r="AIX18" s="314" t="s">
        <v>203</v>
      </c>
      <c r="AIY18" s="314" t="s">
        <v>203</v>
      </c>
      <c r="AIZ18" s="314" t="s">
        <v>203</v>
      </c>
      <c r="AJA18" s="314" t="s">
        <v>203</v>
      </c>
      <c r="AJB18" s="314" t="s">
        <v>203</v>
      </c>
      <c r="AJC18" s="314" t="s">
        <v>203</v>
      </c>
      <c r="AJD18" s="314" t="s">
        <v>203</v>
      </c>
      <c r="AJE18" s="314" t="s">
        <v>203</v>
      </c>
      <c r="AJF18" s="314" t="s">
        <v>203</v>
      </c>
      <c r="AJG18" s="314" t="s">
        <v>203</v>
      </c>
      <c r="AJH18" s="314" t="s">
        <v>203</v>
      </c>
      <c r="AJI18" s="314" t="s">
        <v>203</v>
      </c>
      <c r="AJJ18" s="314" t="s">
        <v>203</v>
      </c>
      <c r="AJK18" s="314" t="s">
        <v>203</v>
      </c>
      <c r="AJL18" s="314" t="s">
        <v>203</v>
      </c>
      <c r="AJM18" s="314" t="s">
        <v>203</v>
      </c>
      <c r="AJN18" s="314" t="s">
        <v>203</v>
      </c>
      <c r="AJO18" s="314" t="s">
        <v>203</v>
      </c>
      <c r="AJP18" s="314" t="s">
        <v>203</v>
      </c>
      <c r="AJQ18" s="314" t="s">
        <v>203</v>
      </c>
      <c r="AJR18" s="314" t="s">
        <v>203</v>
      </c>
      <c r="AJS18" s="314" t="s">
        <v>203</v>
      </c>
      <c r="AJT18" s="314" t="s">
        <v>203</v>
      </c>
      <c r="AJU18" s="314" t="s">
        <v>203</v>
      </c>
      <c r="AJV18" s="314" t="s">
        <v>203</v>
      </c>
      <c r="AJW18" s="314" t="s">
        <v>203</v>
      </c>
      <c r="AJX18" s="314" t="s">
        <v>203</v>
      </c>
      <c r="AJY18" s="314" t="s">
        <v>203</v>
      </c>
      <c r="AJZ18" s="314" t="s">
        <v>203</v>
      </c>
      <c r="AKA18" s="314" t="s">
        <v>203</v>
      </c>
      <c r="AKB18" s="314" t="s">
        <v>203</v>
      </c>
      <c r="AKC18" s="314" t="s">
        <v>203</v>
      </c>
      <c r="AKD18" s="314" t="s">
        <v>203</v>
      </c>
      <c r="AKE18" s="314" t="s">
        <v>203</v>
      </c>
      <c r="AKF18" s="314" t="s">
        <v>203</v>
      </c>
      <c r="AKG18" s="314" t="s">
        <v>203</v>
      </c>
      <c r="AKH18" s="314" t="s">
        <v>203</v>
      </c>
      <c r="AKI18" s="314" t="s">
        <v>203</v>
      </c>
      <c r="AKJ18" s="314" t="s">
        <v>203</v>
      </c>
      <c r="AKK18" s="314" t="s">
        <v>203</v>
      </c>
      <c r="AKL18" s="314" t="s">
        <v>203</v>
      </c>
      <c r="AKM18" s="314" t="s">
        <v>203</v>
      </c>
      <c r="AKN18" s="314" t="s">
        <v>203</v>
      </c>
      <c r="AKO18" s="314" t="s">
        <v>203</v>
      </c>
      <c r="AKP18" s="314" t="s">
        <v>203</v>
      </c>
      <c r="AKQ18" s="314" t="s">
        <v>203</v>
      </c>
      <c r="AKR18" s="314" t="s">
        <v>203</v>
      </c>
      <c r="AKS18" s="314" t="s">
        <v>203</v>
      </c>
      <c r="AKT18" s="314" t="s">
        <v>203</v>
      </c>
      <c r="AKU18" s="314" t="s">
        <v>203</v>
      </c>
      <c r="AKV18" s="314" t="s">
        <v>203</v>
      </c>
      <c r="AKW18" s="314" t="s">
        <v>203</v>
      </c>
      <c r="AKX18" s="314" t="s">
        <v>203</v>
      </c>
      <c r="AKY18" s="314" t="s">
        <v>203</v>
      </c>
      <c r="AKZ18" s="314" t="s">
        <v>203</v>
      </c>
      <c r="ALA18" s="314" t="s">
        <v>203</v>
      </c>
      <c r="ALB18" s="314" t="s">
        <v>203</v>
      </c>
      <c r="ALC18" s="314" t="s">
        <v>203</v>
      </c>
      <c r="ALD18" s="314" t="s">
        <v>203</v>
      </c>
      <c r="ALE18" s="314" t="s">
        <v>203</v>
      </c>
      <c r="ALF18" s="314" t="s">
        <v>203</v>
      </c>
      <c r="ALG18" s="314" t="s">
        <v>203</v>
      </c>
      <c r="ALH18" s="314" t="s">
        <v>203</v>
      </c>
      <c r="ALI18" s="314" t="s">
        <v>203</v>
      </c>
      <c r="ALJ18" s="314" t="s">
        <v>203</v>
      </c>
      <c r="ALK18" s="314" t="s">
        <v>203</v>
      </c>
      <c r="ALL18" s="314" t="s">
        <v>203</v>
      </c>
      <c r="ALM18" s="314" t="s">
        <v>203</v>
      </c>
      <c r="ALN18" s="314" t="s">
        <v>203</v>
      </c>
      <c r="ALO18" s="314" t="s">
        <v>203</v>
      </c>
      <c r="ALP18" s="314" t="s">
        <v>203</v>
      </c>
      <c r="ALQ18" s="314" t="s">
        <v>203</v>
      </c>
      <c r="ALR18" s="314" t="s">
        <v>203</v>
      </c>
      <c r="ALS18" s="314" t="s">
        <v>203</v>
      </c>
      <c r="ALT18" s="314" t="s">
        <v>203</v>
      </c>
      <c r="ALU18" s="314" t="s">
        <v>203</v>
      </c>
      <c r="ALV18" s="314" t="s">
        <v>203</v>
      </c>
      <c r="ALW18" s="314" t="s">
        <v>203</v>
      </c>
      <c r="ALX18" s="314" t="s">
        <v>203</v>
      </c>
      <c r="ALY18" s="314" t="s">
        <v>203</v>
      </c>
      <c r="ALZ18" s="314" t="s">
        <v>203</v>
      </c>
      <c r="AMA18" s="314" t="s">
        <v>203</v>
      </c>
      <c r="AMB18" s="314" t="s">
        <v>203</v>
      </c>
      <c r="AMC18" s="314" t="s">
        <v>203</v>
      </c>
      <c r="AMD18" s="314" t="s">
        <v>203</v>
      </c>
      <c r="AME18" s="314" t="s">
        <v>203</v>
      </c>
      <c r="AMF18" s="314" t="s">
        <v>203</v>
      </c>
      <c r="AMG18" s="314" t="s">
        <v>203</v>
      </c>
      <c r="AMH18" s="314" t="s">
        <v>203</v>
      </c>
      <c r="AMI18" s="314" t="s">
        <v>203</v>
      </c>
      <c r="AMJ18" s="314" t="s">
        <v>203</v>
      </c>
      <c r="AMK18" s="314" t="s">
        <v>203</v>
      </c>
      <c r="AML18" s="314" t="s">
        <v>203</v>
      </c>
      <c r="AMM18" s="314" t="s">
        <v>203</v>
      </c>
      <c r="AMN18" s="314" t="s">
        <v>203</v>
      </c>
      <c r="AMO18" s="314" t="s">
        <v>203</v>
      </c>
      <c r="AMP18" s="314" t="s">
        <v>203</v>
      </c>
      <c r="AMQ18" s="314" t="s">
        <v>203</v>
      </c>
      <c r="AMR18" s="314" t="s">
        <v>203</v>
      </c>
      <c r="AMS18" s="314" t="s">
        <v>203</v>
      </c>
      <c r="AMT18" s="314" t="s">
        <v>203</v>
      </c>
      <c r="AMU18" s="314" t="s">
        <v>203</v>
      </c>
      <c r="AMV18" s="314" t="s">
        <v>203</v>
      </c>
      <c r="AMW18" s="314" t="s">
        <v>203</v>
      </c>
      <c r="AMX18" s="314" t="s">
        <v>203</v>
      </c>
      <c r="AMY18" s="314" t="s">
        <v>203</v>
      </c>
      <c r="AMZ18" s="314" t="s">
        <v>203</v>
      </c>
      <c r="ANA18" s="314" t="s">
        <v>203</v>
      </c>
      <c r="ANB18" s="314" t="s">
        <v>203</v>
      </c>
      <c r="ANC18" s="314" t="s">
        <v>203</v>
      </c>
      <c r="AND18" s="314" t="s">
        <v>203</v>
      </c>
      <c r="ANE18" s="314" t="s">
        <v>203</v>
      </c>
      <c r="ANF18" s="314" t="s">
        <v>203</v>
      </c>
      <c r="ANG18" s="314" t="s">
        <v>203</v>
      </c>
      <c r="ANH18" s="314" t="s">
        <v>203</v>
      </c>
      <c r="ANI18" s="314" t="s">
        <v>203</v>
      </c>
      <c r="ANJ18" s="314" t="s">
        <v>203</v>
      </c>
      <c r="ANK18" s="314" t="s">
        <v>203</v>
      </c>
      <c r="ANL18" s="314" t="s">
        <v>203</v>
      </c>
      <c r="ANM18" s="314" t="s">
        <v>203</v>
      </c>
      <c r="ANN18" s="314" t="s">
        <v>203</v>
      </c>
      <c r="ANO18" s="314" t="s">
        <v>203</v>
      </c>
      <c r="ANP18" s="314" t="s">
        <v>203</v>
      </c>
      <c r="ANQ18" s="314" t="s">
        <v>203</v>
      </c>
      <c r="ANR18" s="314" t="s">
        <v>203</v>
      </c>
      <c r="ANS18" s="314" t="s">
        <v>203</v>
      </c>
      <c r="ANT18" s="314" t="s">
        <v>203</v>
      </c>
      <c r="ANU18" s="314" t="s">
        <v>203</v>
      </c>
      <c r="ANV18" s="314" t="s">
        <v>203</v>
      </c>
      <c r="ANW18" s="314" t="s">
        <v>203</v>
      </c>
      <c r="ANX18" s="314" t="s">
        <v>203</v>
      </c>
      <c r="ANY18" s="314" t="s">
        <v>203</v>
      </c>
      <c r="ANZ18" s="314" t="s">
        <v>203</v>
      </c>
      <c r="AOA18" s="314" t="s">
        <v>203</v>
      </c>
      <c r="AOB18" s="314" t="s">
        <v>203</v>
      </c>
      <c r="AOC18" s="314" t="s">
        <v>203</v>
      </c>
      <c r="AOD18" s="314" t="s">
        <v>203</v>
      </c>
      <c r="AOE18" s="314" t="s">
        <v>203</v>
      </c>
      <c r="AOF18" s="314" t="s">
        <v>203</v>
      </c>
      <c r="AOG18" s="314" t="s">
        <v>203</v>
      </c>
      <c r="AOH18" s="314" t="s">
        <v>203</v>
      </c>
      <c r="AOI18" s="314" t="s">
        <v>203</v>
      </c>
      <c r="AOJ18" s="314" t="s">
        <v>203</v>
      </c>
      <c r="AOK18" s="314" t="s">
        <v>203</v>
      </c>
      <c r="AOL18" s="314" t="s">
        <v>203</v>
      </c>
      <c r="AOM18" s="314" t="s">
        <v>203</v>
      </c>
      <c r="AON18" s="314" t="s">
        <v>203</v>
      </c>
      <c r="AOO18" s="314" t="s">
        <v>203</v>
      </c>
      <c r="AOP18" s="314" t="s">
        <v>203</v>
      </c>
      <c r="AOQ18" s="314" t="s">
        <v>203</v>
      </c>
      <c r="AOR18" s="314" t="s">
        <v>203</v>
      </c>
      <c r="AOS18" s="314" t="s">
        <v>203</v>
      </c>
      <c r="AOT18" s="314" t="s">
        <v>203</v>
      </c>
      <c r="AOU18" s="314" t="s">
        <v>203</v>
      </c>
      <c r="AOV18" s="314" t="s">
        <v>203</v>
      </c>
      <c r="AOW18" s="314" t="s">
        <v>203</v>
      </c>
      <c r="AOX18" s="314" t="s">
        <v>203</v>
      </c>
      <c r="AOY18" s="314" t="s">
        <v>203</v>
      </c>
      <c r="AOZ18" s="314" t="s">
        <v>203</v>
      </c>
      <c r="APA18" s="314" t="s">
        <v>203</v>
      </c>
      <c r="APB18" s="314" t="s">
        <v>203</v>
      </c>
      <c r="APC18" s="314" t="s">
        <v>203</v>
      </c>
      <c r="APD18" s="314" t="s">
        <v>203</v>
      </c>
      <c r="APE18" s="314" t="s">
        <v>203</v>
      </c>
      <c r="APF18" s="314" t="s">
        <v>203</v>
      </c>
      <c r="APG18" s="314" t="s">
        <v>203</v>
      </c>
      <c r="APH18" s="314" t="s">
        <v>203</v>
      </c>
      <c r="API18" s="314" t="s">
        <v>203</v>
      </c>
      <c r="APJ18" s="314" t="s">
        <v>203</v>
      </c>
      <c r="APK18" s="314" t="s">
        <v>203</v>
      </c>
      <c r="APL18" s="314" t="s">
        <v>203</v>
      </c>
      <c r="APM18" s="314" t="s">
        <v>203</v>
      </c>
      <c r="APN18" s="314" t="s">
        <v>203</v>
      </c>
      <c r="APO18" s="314" t="s">
        <v>203</v>
      </c>
      <c r="APP18" s="314" t="s">
        <v>203</v>
      </c>
      <c r="APQ18" s="314" t="s">
        <v>203</v>
      </c>
      <c r="APR18" s="314" t="s">
        <v>203</v>
      </c>
      <c r="APS18" s="314" t="s">
        <v>203</v>
      </c>
      <c r="APT18" s="314" t="s">
        <v>203</v>
      </c>
      <c r="APU18" s="314" t="s">
        <v>203</v>
      </c>
      <c r="APV18" s="314" t="s">
        <v>203</v>
      </c>
      <c r="APW18" s="314" t="s">
        <v>203</v>
      </c>
      <c r="APX18" s="314" t="s">
        <v>203</v>
      </c>
      <c r="APY18" s="314" t="s">
        <v>203</v>
      </c>
      <c r="APZ18" s="314" t="s">
        <v>203</v>
      </c>
      <c r="AQA18" s="314" t="s">
        <v>203</v>
      </c>
      <c r="AQB18" s="314" t="s">
        <v>203</v>
      </c>
      <c r="AQC18" s="314" t="s">
        <v>203</v>
      </c>
      <c r="AQD18" s="314" t="s">
        <v>203</v>
      </c>
      <c r="AQE18" s="314" t="s">
        <v>203</v>
      </c>
      <c r="AQF18" s="314" t="s">
        <v>203</v>
      </c>
      <c r="AQG18" s="314" t="s">
        <v>203</v>
      </c>
      <c r="AQH18" s="314" t="s">
        <v>203</v>
      </c>
      <c r="AQI18" s="314" t="s">
        <v>203</v>
      </c>
      <c r="AQJ18" s="314" t="s">
        <v>203</v>
      </c>
      <c r="AQK18" s="314" t="s">
        <v>203</v>
      </c>
      <c r="AQL18" s="314" t="s">
        <v>203</v>
      </c>
      <c r="AQM18" s="314" t="s">
        <v>203</v>
      </c>
      <c r="AQN18" s="314" t="s">
        <v>203</v>
      </c>
      <c r="AQO18" s="314" t="s">
        <v>203</v>
      </c>
      <c r="AQP18" s="314" t="s">
        <v>203</v>
      </c>
      <c r="AQQ18" s="314" t="s">
        <v>203</v>
      </c>
      <c r="AQR18" s="314" t="s">
        <v>203</v>
      </c>
      <c r="AQS18" s="314" t="s">
        <v>203</v>
      </c>
      <c r="AQT18" s="314" t="s">
        <v>203</v>
      </c>
      <c r="AQU18" s="314" t="s">
        <v>203</v>
      </c>
      <c r="AQV18" s="314" t="s">
        <v>203</v>
      </c>
      <c r="AQW18" s="314" t="s">
        <v>203</v>
      </c>
      <c r="AQX18" s="314" t="s">
        <v>203</v>
      </c>
      <c r="AQY18" s="314" t="s">
        <v>203</v>
      </c>
      <c r="AQZ18" s="314" t="s">
        <v>203</v>
      </c>
      <c r="ARA18" s="314" t="s">
        <v>203</v>
      </c>
      <c r="ARB18" s="314" t="s">
        <v>203</v>
      </c>
      <c r="ARC18" s="314" t="s">
        <v>203</v>
      </c>
      <c r="ARD18" s="314" t="s">
        <v>203</v>
      </c>
      <c r="ARE18" s="314" t="s">
        <v>203</v>
      </c>
      <c r="ARF18" s="314" t="s">
        <v>203</v>
      </c>
      <c r="ARG18" s="314" t="s">
        <v>203</v>
      </c>
      <c r="ARH18" s="314" t="s">
        <v>203</v>
      </c>
      <c r="ARI18" s="314" t="s">
        <v>203</v>
      </c>
      <c r="ARJ18" s="314" t="s">
        <v>203</v>
      </c>
      <c r="ARK18" s="314" t="s">
        <v>203</v>
      </c>
      <c r="ARL18" s="314" t="s">
        <v>203</v>
      </c>
      <c r="ARM18" s="314" t="s">
        <v>203</v>
      </c>
      <c r="ARN18" s="314" t="s">
        <v>203</v>
      </c>
      <c r="ARO18" s="314" t="s">
        <v>203</v>
      </c>
      <c r="ARP18" s="314" t="s">
        <v>203</v>
      </c>
      <c r="ARQ18" s="314" t="s">
        <v>203</v>
      </c>
      <c r="ARR18" s="314" t="s">
        <v>203</v>
      </c>
      <c r="ARS18" s="314" t="s">
        <v>203</v>
      </c>
      <c r="ART18" s="314" t="s">
        <v>203</v>
      </c>
      <c r="ARU18" s="314" t="s">
        <v>203</v>
      </c>
      <c r="ARV18" s="314" t="s">
        <v>203</v>
      </c>
      <c r="ARW18" s="314" t="s">
        <v>203</v>
      </c>
      <c r="ARX18" s="314" t="s">
        <v>203</v>
      </c>
      <c r="ARY18" s="314" t="s">
        <v>203</v>
      </c>
      <c r="ARZ18" s="314" t="s">
        <v>203</v>
      </c>
      <c r="ASA18" s="314" t="s">
        <v>203</v>
      </c>
      <c r="ASB18" s="314" t="s">
        <v>203</v>
      </c>
      <c r="ASC18" s="314" t="s">
        <v>203</v>
      </c>
      <c r="ASD18" s="314" t="s">
        <v>203</v>
      </c>
      <c r="ASE18" s="314" t="s">
        <v>203</v>
      </c>
      <c r="ASF18" s="314" t="s">
        <v>203</v>
      </c>
      <c r="ASG18" s="314" t="s">
        <v>203</v>
      </c>
      <c r="ASH18" s="314" t="s">
        <v>203</v>
      </c>
      <c r="ASI18" s="314" t="s">
        <v>203</v>
      </c>
      <c r="ASJ18" s="314" t="s">
        <v>203</v>
      </c>
      <c r="ASK18" s="314" t="s">
        <v>203</v>
      </c>
      <c r="ASL18" s="314" t="s">
        <v>203</v>
      </c>
      <c r="ASM18" s="314" t="s">
        <v>203</v>
      </c>
      <c r="ASN18" s="314" t="s">
        <v>203</v>
      </c>
      <c r="ASO18" s="314" t="s">
        <v>203</v>
      </c>
      <c r="ASP18" s="314" t="s">
        <v>203</v>
      </c>
      <c r="ASQ18" s="314" t="s">
        <v>203</v>
      </c>
      <c r="ASR18" s="314" t="s">
        <v>203</v>
      </c>
      <c r="ASS18" s="314" t="s">
        <v>203</v>
      </c>
      <c r="AST18" s="314" t="s">
        <v>203</v>
      </c>
      <c r="ASU18" s="314" t="s">
        <v>203</v>
      </c>
      <c r="ASV18" s="314" t="s">
        <v>203</v>
      </c>
      <c r="ASW18" s="314" t="s">
        <v>203</v>
      </c>
      <c r="ASX18" s="314" t="s">
        <v>203</v>
      </c>
      <c r="ASY18" s="314" t="s">
        <v>203</v>
      </c>
      <c r="ASZ18" s="314" t="s">
        <v>203</v>
      </c>
      <c r="ATA18" s="314" t="s">
        <v>203</v>
      </c>
      <c r="ATB18" s="314" t="s">
        <v>203</v>
      </c>
      <c r="ATC18" s="314" t="s">
        <v>203</v>
      </c>
      <c r="ATD18" s="314" t="s">
        <v>203</v>
      </c>
      <c r="ATE18" s="314" t="s">
        <v>203</v>
      </c>
      <c r="ATF18" s="314" t="s">
        <v>203</v>
      </c>
      <c r="ATG18" s="314" t="s">
        <v>203</v>
      </c>
      <c r="ATH18" s="314" t="s">
        <v>203</v>
      </c>
      <c r="ATI18" s="314" t="s">
        <v>203</v>
      </c>
      <c r="ATJ18" s="314" t="s">
        <v>203</v>
      </c>
      <c r="ATK18" s="314" t="s">
        <v>203</v>
      </c>
      <c r="ATL18" s="314" t="s">
        <v>203</v>
      </c>
      <c r="ATM18" s="314" t="s">
        <v>203</v>
      </c>
      <c r="ATN18" s="314" t="s">
        <v>203</v>
      </c>
      <c r="ATO18" s="314" t="s">
        <v>203</v>
      </c>
      <c r="ATP18" s="314" t="s">
        <v>203</v>
      </c>
      <c r="ATQ18" s="314" t="s">
        <v>203</v>
      </c>
      <c r="ATR18" s="314" t="s">
        <v>203</v>
      </c>
      <c r="ATS18" s="314" t="s">
        <v>203</v>
      </c>
      <c r="ATT18" s="314" t="s">
        <v>203</v>
      </c>
      <c r="ATU18" s="314" t="s">
        <v>203</v>
      </c>
      <c r="ATV18" s="314" t="s">
        <v>203</v>
      </c>
      <c r="ATW18" s="314" t="s">
        <v>203</v>
      </c>
      <c r="ATX18" s="314" t="s">
        <v>203</v>
      </c>
      <c r="ATY18" s="314" t="s">
        <v>203</v>
      </c>
      <c r="ATZ18" s="314" t="s">
        <v>203</v>
      </c>
      <c r="AUA18" s="314" t="s">
        <v>203</v>
      </c>
      <c r="AUB18" s="314" t="s">
        <v>203</v>
      </c>
      <c r="AUC18" s="314" t="s">
        <v>203</v>
      </c>
      <c r="AUD18" s="314" t="s">
        <v>203</v>
      </c>
      <c r="AUE18" s="314" t="s">
        <v>203</v>
      </c>
      <c r="AUF18" s="314" t="s">
        <v>203</v>
      </c>
      <c r="AUG18" s="314" t="s">
        <v>203</v>
      </c>
      <c r="AUH18" s="314" t="s">
        <v>203</v>
      </c>
      <c r="AUI18" s="314" t="s">
        <v>203</v>
      </c>
      <c r="AUJ18" s="314" t="s">
        <v>203</v>
      </c>
      <c r="AUK18" s="314" t="s">
        <v>203</v>
      </c>
      <c r="AUL18" s="314" t="s">
        <v>203</v>
      </c>
      <c r="AUM18" s="314" t="s">
        <v>203</v>
      </c>
      <c r="AUN18" s="314" t="s">
        <v>203</v>
      </c>
      <c r="AUO18" s="314" t="s">
        <v>203</v>
      </c>
      <c r="AUP18" s="314" t="s">
        <v>203</v>
      </c>
      <c r="AUQ18" s="314" t="s">
        <v>203</v>
      </c>
      <c r="AUR18" s="314" t="s">
        <v>203</v>
      </c>
      <c r="AUS18" s="314" t="s">
        <v>203</v>
      </c>
      <c r="AUT18" s="314" t="s">
        <v>203</v>
      </c>
      <c r="AUU18" s="314" t="s">
        <v>203</v>
      </c>
      <c r="AUV18" s="314" t="s">
        <v>203</v>
      </c>
      <c r="AUW18" s="314" t="s">
        <v>203</v>
      </c>
      <c r="AUX18" s="314" t="s">
        <v>203</v>
      </c>
      <c r="AUY18" s="314" t="s">
        <v>203</v>
      </c>
      <c r="AUZ18" s="314" t="s">
        <v>203</v>
      </c>
      <c r="AVA18" s="314" t="s">
        <v>203</v>
      </c>
      <c r="AVB18" s="314" t="s">
        <v>203</v>
      </c>
      <c r="AVC18" s="314" t="s">
        <v>203</v>
      </c>
      <c r="AVD18" s="314" t="s">
        <v>203</v>
      </c>
      <c r="AVE18" s="314" t="s">
        <v>203</v>
      </c>
      <c r="AVF18" s="314" t="s">
        <v>203</v>
      </c>
      <c r="AVG18" s="314" t="s">
        <v>203</v>
      </c>
      <c r="AVH18" s="314" t="s">
        <v>203</v>
      </c>
      <c r="AVI18" s="314" t="s">
        <v>203</v>
      </c>
      <c r="AVJ18" s="314" t="s">
        <v>203</v>
      </c>
      <c r="AVK18" s="314" t="s">
        <v>203</v>
      </c>
      <c r="AVL18" s="314" t="s">
        <v>203</v>
      </c>
      <c r="AVM18" s="314" t="s">
        <v>203</v>
      </c>
      <c r="AVN18" s="314" t="s">
        <v>203</v>
      </c>
      <c r="AVO18" s="314" t="s">
        <v>203</v>
      </c>
      <c r="AVP18" s="314" t="s">
        <v>203</v>
      </c>
      <c r="AVQ18" s="314" t="s">
        <v>203</v>
      </c>
      <c r="AVR18" s="314" t="s">
        <v>203</v>
      </c>
      <c r="AVS18" s="314" t="s">
        <v>203</v>
      </c>
      <c r="AVT18" s="314" t="s">
        <v>203</v>
      </c>
      <c r="AVU18" s="314" t="s">
        <v>203</v>
      </c>
      <c r="AVV18" s="314" t="s">
        <v>203</v>
      </c>
      <c r="AVW18" s="314" t="s">
        <v>203</v>
      </c>
      <c r="AVX18" s="314" t="s">
        <v>203</v>
      </c>
      <c r="AVY18" s="314" t="s">
        <v>203</v>
      </c>
      <c r="AVZ18" s="314" t="s">
        <v>203</v>
      </c>
      <c r="AWA18" s="314" t="s">
        <v>203</v>
      </c>
      <c r="AWB18" s="314" t="s">
        <v>203</v>
      </c>
      <c r="AWC18" s="314" t="s">
        <v>203</v>
      </c>
      <c r="AWD18" s="314" t="s">
        <v>203</v>
      </c>
      <c r="AWE18" s="314" t="s">
        <v>203</v>
      </c>
      <c r="AWF18" s="314" t="s">
        <v>203</v>
      </c>
      <c r="AWG18" s="314" t="s">
        <v>203</v>
      </c>
      <c r="AWH18" s="314" t="s">
        <v>203</v>
      </c>
      <c r="AWI18" s="314" t="s">
        <v>203</v>
      </c>
      <c r="AWJ18" s="314" t="s">
        <v>203</v>
      </c>
      <c r="AWK18" s="314" t="s">
        <v>203</v>
      </c>
      <c r="AWL18" s="314" t="s">
        <v>203</v>
      </c>
      <c r="AWM18" s="314" t="s">
        <v>203</v>
      </c>
      <c r="AWN18" s="314" t="s">
        <v>203</v>
      </c>
      <c r="AWO18" s="314" t="s">
        <v>203</v>
      </c>
      <c r="AWP18" s="314" t="s">
        <v>203</v>
      </c>
      <c r="AWQ18" s="314" t="s">
        <v>203</v>
      </c>
      <c r="AWR18" s="314" t="s">
        <v>203</v>
      </c>
      <c r="AWS18" s="314" t="s">
        <v>203</v>
      </c>
      <c r="AWT18" s="314" t="s">
        <v>203</v>
      </c>
      <c r="AWU18" s="314" t="s">
        <v>203</v>
      </c>
      <c r="AWV18" s="314" t="s">
        <v>203</v>
      </c>
      <c r="AWW18" s="314" t="s">
        <v>203</v>
      </c>
      <c r="AWX18" s="314" t="s">
        <v>203</v>
      </c>
      <c r="AWY18" s="314" t="s">
        <v>203</v>
      </c>
      <c r="AWZ18" s="314" t="s">
        <v>203</v>
      </c>
      <c r="AXA18" s="314" t="s">
        <v>203</v>
      </c>
      <c r="AXB18" s="314" t="s">
        <v>203</v>
      </c>
      <c r="AXC18" s="314" t="s">
        <v>203</v>
      </c>
      <c r="AXD18" s="314" t="s">
        <v>203</v>
      </c>
      <c r="AXE18" s="314" t="s">
        <v>203</v>
      </c>
      <c r="AXF18" s="314" t="s">
        <v>203</v>
      </c>
      <c r="AXG18" s="314" t="s">
        <v>203</v>
      </c>
      <c r="AXH18" s="314" t="s">
        <v>203</v>
      </c>
      <c r="AXI18" s="314" t="s">
        <v>203</v>
      </c>
      <c r="AXJ18" s="314" t="s">
        <v>203</v>
      </c>
      <c r="AXK18" s="314" t="s">
        <v>203</v>
      </c>
      <c r="AXL18" s="314" t="s">
        <v>203</v>
      </c>
      <c r="AXM18" s="314" t="s">
        <v>203</v>
      </c>
      <c r="AXN18" s="314" t="s">
        <v>203</v>
      </c>
      <c r="AXO18" s="314" t="s">
        <v>203</v>
      </c>
      <c r="AXP18" s="314" t="s">
        <v>203</v>
      </c>
      <c r="AXQ18" s="314" t="s">
        <v>203</v>
      </c>
      <c r="AXR18" s="314" t="s">
        <v>203</v>
      </c>
      <c r="AXS18" s="314" t="s">
        <v>203</v>
      </c>
      <c r="AXT18" s="314" t="s">
        <v>203</v>
      </c>
      <c r="AXU18" s="314" t="s">
        <v>203</v>
      </c>
      <c r="AXV18" s="314" t="s">
        <v>203</v>
      </c>
      <c r="AXW18" s="314" t="s">
        <v>203</v>
      </c>
      <c r="AXX18" s="314" t="s">
        <v>203</v>
      </c>
      <c r="AXY18" s="314" t="s">
        <v>203</v>
      </c>
      <c r="AXZ18" s="314" t="s">
        <v>203</v>
      </c>
      <c r="AYA18" s="314" t="s">
        <v>203</v>
      </c>
      <c r="AYB18" s="314" t="s">
        <v>203</v>
      </c>
      <c r="AYC18" s="314" t="s">
        <v>203</v>
      </c>
      <c r="AYD18" s="314" t="s">
        <v>203</v>
      </c>
      <c r="AYE18" s="314" t="s">
        <v>203</v>
      </c>
      <c r="AYF18" s="314" t="s">
        <v>203</v>
      </c>
      <c r="AYG18" s="314" t="s">
        <v>203</v>
      </c>
      <c r="AYH18" s="314" t="s">
        <v>203</v>
      </c>
      <c r="AYI18" s="314" t="s">
        <v>203</v>
      </c>
      <c r="AYJ18" s="314" t="s">
        <v>203</v>
      </c>
      <c r="AYK18" s="314" t="s">
        <v>203</v>
      </c>
      <c r="AYL18" s="314" t="s">
        <v>203</v>
      </c>
      <c r="AYM18" s="314" t="s">
        <v>203</v>
      </c>
      <c r="AYN18" s="314" t="s">
        <v>203</v>
      </c>
      <c r="AYO18" s="314" t="s">
        <v>203</v>
      </c>
      <c r="AYP18" s="314" t="s">
        <v>203</v>
      </c>
      <c r="AYQ18" s="314" t="s">
        <v>203</v>
      </c>
      <c r="AYR18" s="314" t="s">
        <v>203</v>
      </c>
      <c r="AYS18" s="314" t="s">
        <v>203</v>
      </c>
      <c r="AYT18" s="314" t="s">
        <v>203</v>
      </c>
      <c r="AYU18" s="314" t="s">
        <v>203</v>
      </c>
      <c r="AYV18" s="314" t="s">
        <v>203</v>
      </c>
      <c r="AYW18" s="314" t="s">
        <v>203</v>
      </c>
      <c r="AYX18" s="314" t="s">
        <v>203</v>
      </c>
      <c r="AYY18" s="314" t="s">
        <v>203</v>
      </c>
      <c r="AYZ18" s="314" t="s">
        <v>203</v>
      </c>
      <c r="AZA18" s="314" t="s">
        <v>203</v>
      </c>
      <c r="AZB18" s="314" t="s">
        <v>203</v>
      </c>
      <c r="AZC18" s="314" t="s">
        <v>203</v>
      </c>
      <c r="AZD18" s="314" t="s">
        <v>203</v>
      </c>
      <c r="AZE18" s="314" t="s">
        <v>203</v>
      </c>
      <c r="AZF18" s="314" t="s">
        <v>203</v>
      </c>
      <c r="AZG18" s="314" t="s">
        <v>203</v>
      </c>
      <c r="AZH18" s="314" t="s">
        <v>203</v>
      </c>
      <c r="AZI18" s="314" t="s">
        <v>203</v>
      </c>
      <c r="AZJ18" s="314" t="s">
        <v>203</v>
      </c>
      <c r="AZK18" s="314" t="s">
        <v>203</v>
      </c>
      <c r="AZL18" s="314" t="s">
        <v>203</v>
      </c>
      <c r="AZM18" s="314" t="s">
        <v>203</v>
      </c>
      <c r="AZN18" s="314" t="s">
        <v>203</v>
      </c>
      <c r="AZO18" s="314" t="s">
        <v>203</v>
      </c>
      <c r="AZP18" s="314" t="s">
        <v>203</v>
      </c>
      <c r="AZQ18" s="314" t="s">
        <v>203</v>
      </c>
      <c r="AZR18" s="314" t="s">
        <v>203</v>
      </c>
      <c r="AZS18" s="314" t="s">
        <v>203</v>
      </c>
      <c r="AZT18" s="314" t="s">
        <v>203</v>
      </c>
      <c r="AZU18" s="314" t="s">
        <v>203</v>
      </c>
      <c r="AZV18" s="314" t="s">
        <v>203</v>
      </c>
      <c r="AZW18" s="314" t="s">
        <v>203</v>
      </c>
      <c r="AZX18" s="314" t="s">
        <v>203</v>
      </c>
      <c r="AZY18" s="314" t="s">
        <v>203</v>
      </c>
      <c r="AZZ18" s="314" t="s">
        <v>203</v>
      </c>
      <c r="BAA18" s="314" t="s">
        <v>203</v>
      </c>
      <c r="BAB18" s="314" t="s">
        <v>203</v>
      </c>
      <c r="BAC18" s="314" t="s">
        <v>203</v>
      </c>
      <c r="BAD18" s="314" t="s">
        <v>203</v>
      </c>
      <c r="BAE18" s="314" t="s">
        <v>203</v>
      </c>
      <c r="BAF18" s="314" t="s">
        <v>203</v>
      </c>
      <c r="BAG18" s="314" t="s">
        <v>203</v>
      </c>
      <c r="BAH18" s="314" t="s">
        <v>203</v>
      </c>
      <c r="BAI18" s="314" t="s">
        <v>203</v>
      </c>
      <c r="BAJ18" s="314" t="s">
        <v>203</v>
      </c>
      <c r="BAK18" s="314" t="s">
        <v>203</v>
      </c>
      <c r="BAL18" s="314" t="s">
        <v>203</v>
      </c>
      <c r="BAM18" s="314" t="s">
        <v>203</v>
      </c>
      <c r="BAN18" s="314" t="s">
        <v>203</v>
      </c>
      <c r="BAO18" s="314" t="s">
        <v>203</v>
      </c>
      <c r="BAP18" s="314" t="s">
        <v>203</v>
      </c>
      <c r="BAQ18" s="314" t="s">
        <v>203</v>
      </c>
      <c r="BAR18" s="314" t="s">
        <v>203</v>
      </c>
      <c r="BAS18" s="314" t="s">
        <v>203</v>
      </c>
      <c r="BAT18" s="314" t="s">
        <v>203</v>
      </c>
      <c r="BAU18" s="314" t="s">
        <v>203</v>
      </c>
      <c r="BAV18" s="314" t="s">
        <v>203</v>
      </c>
      <c r="BAW18" s="314" t="s">
        <v>203</v>
      </c>
      <c r="BAX18" s="314" t="s">
        <v>203</v>
      </c>
      <c r="BAY18" s="314" t="s">
        <v>203</v>
      </c>
      <c r="BAZ18" s="314" t="s">
        <v>203</v>
      </c>
      <c r="BBA18" s="314" t="s">
        <v>203</v>
      </c>
      <c r="BBB18" s="314" t="s">
        <v>203</v>
      </c>
      <c r="BBC18" s="314" t="s">
        <v>203</v>
      </c>
      <c r="BBD18" s="314" t="s">
        <v>203</v>
      </c>
      <c r="BBE18" s="314" t="s">
        <v>203</v>
      </c>
      <c r="BBF18" s="314" t="s">
        <v>203</v>
      </c>
      <c r="BBG18" s="314" t="s">
        <v>203</v>
      </c>
      <c r="BBH18" s="314" t="s">
        <v>203</v>
      </c>
      <c r="BBI18" s="314" t="s">
        <v>203</v>
      </c>
      <c r="BBJ18" s="314" t="s">
        <v>203</v>
      </c>
      <c r="BBK18" s="314" t="s">
        <v>203</v>
      </c>
      <c r="BBL18" s="314" t="s">
        <v>203</v>
      </c>
      <c r="BBM18" s="314" t="s">
        <v>203</v>
      </c>
      <c r="BBN18" s="314" t="s">
        <v>203</v>
      </c>
      <c r="BBO18" s="314" t="s">
        <v>203</v>
      </c>
      <c r="BBP18" s="314" t="s">
        <v>203</v>
      </c>
      <c r="BBQ18" s="314" t="s">
        <v>203</v>
      </c>
      <c r="BBR18" s="314" t="s">
        <v>203</v>
      </c>
      <c r="BBS18" s="314" t="s">
        <v>203</v>
      </c>
      <c r="BBT18" s="314" t="s">
        <v>203</v>
      </c>
      <c r="BBU18" s="314" t="s">
        <v>203</v>
      </c>
      <c r="BBV18" s="314" t="s">
        <v>203</v>
      </c>
      <c r="BBW18" s="314" t="s">
        <v>203</v>
      </c>
      <c r="BBX18" s="314" t="s">
        <v>203</v>
      </c>
      <c r="BBY18" s="314" t="s">
        <v>203</v>
      </c>
      <c r="BBZ18" s="314" t="s">
        <v>203</v>
      </c>
      <c r="BCA18" s="314" t="s">
        <v>203</v>
      </c>
      <c r="BCB18" s="314" t="s">
        <v>203</v>
      </c>
      <c r="BCC18" s="314" t="s">
        <v>203</v>
      </c>
      <c r="BCD18" s="314" t="s">
        <v>203</v>
      </c>
      <c r="BCE18" s="314" t="s">
        <v>203</v>
      </c>
      <c r="BCF18" s="314" t="s">
        <v>203</v>
      </c>
      <c r="BCG18" s="314" t="s">
        <v>203</v>
      </c>
      <c r="BCH18" s="314" t="s">
        <v>203</v>
      </c>
      <c r="BCI18" s="314" t="s">
        <v>203</v>
      </c>
      <c r="BCJ18" s="314" t="s">
        <v>203</v>
      </c>
      <c r="BCK18" s="314" t="s">
        <v>203</v>
      </c>
      <c r="BCL18" s="314" t="s">
        <v>203</v>
      </c>
      <c r="BCM18" s="314" t="s">
        <v>203</v>
      </c>
      <c r="BCN18" s="314" t="s">
        <v>203</v>
      </c>
      <c r="BCO18" s="314" t="s">
        <v>203</v>
      </c>
      <c r="BCP18" s="314" t="s">
        <v>203</v>
      </c>
      <c r="BCQ18" s="314" t="s">
        <v>203</v>
      </c>
      <c r="BCR18" s="314" t="s">
        <v>203</v>
      </c>
      <c r="BCS18" s="314" t="s">
        <v>203</v>
      </c>
      <c r="BCT18" s="314" t="s">
        <v>203</v>
      </c>
      <c r="BCU18" s="314" t="s">
        <v>203</v>
      </c>
      <c r="BCV18" s="314" t="s">
        <v>203</v>
      </c>
      <c r="BCW18" s="314" t="s">
        <v>203</v>
      </c>
      <c r="BCX18" s="314" t="s">
        <v>203</v>
      </c>
      <c r="BCY18" s="314" t="s">
        <v>203</v>
      </c>
      <c r="BCZ18" s="314" t="s">
        <v>203</v>
      </c>
      <c r="BDA18" s="314" t="s">
        <v>203</v>
      </c>
      <c r="BDB18" s="314" t="s">
        <v>203</v>
      </c>
      <c r="BDC18" s="314" t="s">
        <v>203</v>
      </c>
      <c r="BDD18" s="314" t="s">
        <v>203</v>
      </c>
      <c r="BDE18" s="314" t="s">
        <v>203</v>
      </c>
      <c r="BDF18" s="314" t="s">
        <v>203</v>
      </c>
      <c r="BDG18" s="314" t="s">
        <v>203</v>
      </c>
      <c r="BDH18" s="314" t="s">
        <v>203</v>
      </c>
      <c r="BDI18" s="314" t="s">
        <v>203</v>
      </c>
      <c r="BDJ18" s="314" t="s">
        <v>203</v>
      </c>
      <c r="BDK18" s="314" t="s">
        <v>203</v>
      </c>
      <c r="BDL18" s="314" t="s">
        <v>203</v>
      </c>
      <c r="BDM18" s="314" t="s">
        <v>203</v>
      </c>
      <c r="BDN18" s="314" t="s">
        <v>203</v>
      </c>
      <c r="BDO18" s="314" t="s">
        <v>203</v>
      </c>
      <c r="BDP18" s="314" t="s">
        <v>203</v>
      </c>
      <c r="BDQ18" s="314" t="s">
        <v>203</v>
      </c>
      <c r="BDR18" s="314" t="s">
        <v>203</v>
      </c>
      <c r="BDS18" s="314" t="s">
        <v>203</v>
      </c>
      <c r="BDT18" s="314" t="s">
        <v>203</v>
      </c>
      <c r="BDU18" s="314" t="s">
        <v>203</v>
      </c>
      <c r="BDV18" s="314" t="s">
        <v>203</v>
      </c>
      <c r="BDW18" s="314" t="s">
        <v>203</v>
      </c>
      <c r="BDX18" s="314" t="s">
        <v>203</v>
      </c>
      <c r="BDY18" s="314" t="s">
        <v>203</v>
      </c>
      <c r="BDZ18" s="314" t="s">
        <v>203</v>
      </c>
      <c r="BEA18" s="314" t="s">
        <v>203</v>
      </c>
      <c r="BEB18" s="314" t="s">
        <v>203</v>
      </c>
      <c r="BEC18" s="314" t="s">
        <v>203</v>
      </c>
      <c r="BED18" s="314" t="s">
        <v>203</v>
      </c>
      <c r="BEE18" s="314" t="s">
        <v>203</v>
      </c>
      <c r="BEF18" s="314" t="s">
        <v>203</v>
      </c>
      <c r="BEG18" s="314" t="s">
        <v>203</v>
      </c>
      <c r="BEH18" s="314" t="s">
        <v>203</v>
      </c>
      <c r="BEI18" s="314" t="s">
        <v>203</v>
      </c>
      <c r="BEJ18" s="314" t="s">
        <v>203</v>
      </c>
      <c r="BEK18" s="314" t="s">
        <v>203</v>
      </c>
      <c r="BEL18" s="314" t="s">
        <v>203</v>
      </c>
      <c r="BEM18" s="314" t="s">
        <v>203</v>
      </c>
      <c r="BEN18" s="314" t="s">
        <v>203</v>
      </c>
      <c r="BEO18" s="314" t="s">
        <v>203</v>
      </c>
      <c r="BEP18" s="314" t="s">
        <v>203</v>
      </c>
      <c r="BEQ18" s="314" t="s">
        <v>203</v>
      </c>
      <c r="BER18" s="314" t="s">
        <v>203</v>
      </c>
      <c r="BES18" s="314" t="s">
        <v>203</v>
      </c>
      <c r="BET18" s="314" t="s">
        <v>203</v>
      </c>
      <c r="BEU18" s="314" t="s">
        <v>203</v>
      </c>
      <c r="BEV18" s="314" t="s">
        <v>203</v>
      </c>
      <c r="BEW18" s="314" t="s">
        <v>203</v>
      </c>
      <c r="BEX18" s="314" t="s">
        <v>203</v>
      </c>
      <c r="BEY18" s="314" t="s">
        <v>203</v>
      </c>
      <c r="BEZ18" s="314" t="s">
        <v>203</v>
      </c>
      <c r="BFA18" s="314" t="s">
        <v>203</v>
      </c>
      <c r="BFB18" s="314" t="s">
        <v>203</v>
      </c>
      <c r="BFC18" s="314" t="s">
        <v>203</v>
      </c>
      <c r="BFD18" s="314" t="s">
        <v>203</v>
      </c>
      <c r="BFE18" s="314" t="s">
        <v>203</v>
      </c>
      <c r="BFF18" s="314" t="s">
        <v>203</v>
      </c>
      <c r="BFG18" s="314" t="s">
        <v>203</v>
      </c>
      <c r="BFH18" s="314" t="s">
        <v>203</v>
      </c>
      <c r="BFI18" s="314" t="s">
        <v>203</v>
      </c>
      <c r="BFJ18" s="314" t="s">
        <v>203</v>
      </c>
      <c r="BFK18" s="314" t="s">
        <v>203</v>
      </c>
      <c r="BFL18" s="314" t="s">
        <v>203</v>
      </c>
      <c r="BFM18" s="314" t="s">
        <v>203</v>
      </c>
      <c r="BFN18" s="314" t="s">
        <v>203</v>
      </c>
      <c r="BFO18" s="314" t="s">
        <v>203</v>
      </c>
      <c r="BFP18" s="314" t="s">
        <v>203</v>
      </c>
      <c r="BFQ18" s="314" t="s">
        <v>203</v>
      </c>
      <c r="BFR18" s="314" t="s">
        <v>203</v>
      </c>
      <c r="BFS18" s="314" t="s">
        <v>203</v>
      </c>
      <c r="BFT18" s="314" t="s">
        <v>203</v>
      </c>
      <c r="BFU18" s="314" t="s">
        <v>203</v>
      </c>
      <c r="BFV18" s="314" t="s">
        <v>203</v>
      </c>
      <c r="BFW18" s="314" t="s">
        <v>203</v>
      </c>
      <c r="BFX18" s="314" t="s">
        <v>203</v>
      </c>
      <c r="BFY18" s="314" t="s">
        <v>203</v>
      </c>
      <c r="BFZ18" s="314" t="s">
        <v>203</v>
      </c>
      <c r="BGA18" s="314" t="s">
        <v>203</v>
      </c>
      <c r="BGB18" s="314" t="s">
        <v>203</v>
      </c>
      <c r="BGC18" s="314" t="s">
        <v>203</v>
      </c>
      <c r="BGD18" s="314" t="s">
        <v>203</v>
      </c>
      <c r="BGE18" s="314" t="s">
        <v>203</v>
      </c>
      <c r="BGF18" s="314" t="s">
        <v>203</v>
      </c>
      <c r="BGG18" s="314" t="s">
        <v>203</v>
      </c>
      <c r="BGH18" s="314" t="s">
        <v>203</v>
      </c>
      <c r="BGI18" s="314" t="s">
        <v>203</v>
      </c>
      <c r="BGJ18" s="314" t="s">
        <v>203</v>
      </c>
      <c r="BGK18" s="314" t="s">
        <v>203</v>
      </c>
      <c r="BGL18" s="314" t="s">
        <v>203</v>
      </c>
      <c r="BGM18" s="314" t="s">
        <v>203</v>
      </c>
      <c r="BGN18" s="314" t="s">
        <v>203</v>
      </c>
      <c r="BGO18" s="314" t="s">
        <v>203</v>
      </c>
      <c r="BGP18" s="314" t="s">
        <v>203</v>
      </c>
      <c r="BGQ18" s="314" t="s">
        <v>203</v>
      </c>
      <c r="BGR18" s="314" t="s">
        <v>203</v>
      </c>
      <c r="BGS18" s="314" t="s">
        <v>203</v>
      </c>
      <c r="BGT18" s="314" t="s">
        <v>203</v>
      </c>
      <c r="BGU18" s="314" t="s">
        <v>203</v>
      </c>
      <c r="BGV18" s="314" t="s">
        <v>203</v>
      </c>
      <c r="BGW18" s="314" t="s">
        <v>203</v>
      </c>
      <c r="BGX18" s="314" t="s">
        <v>203</v>
      </c>
      <c r="BGY18" s="314" t="s">
        <v>203</v>
      </c>
      <c r="BGZ18" s="314" t="s">
        <v>203</v>
      </c>
      <c r="BHA18" s="314" t="s">
        <v>203</v>
      </c>
      <c r="BHB18" s="314" t="s">
        <v>203</v>
      </c>
      <c r="BHC18" s="314" t="s">
        <v>203</v>
      </c>
      <c r="BHD18" s="314" t="s">
        <v>203</v>
      </c>
      <c r="BHE18" s="314" t="s">
        <v>203</v>
      </c>
      <c r="BHF18" s="314" t="s">
        <v>203</v>
      </c>
      <c r="BHG18" s="314" t="s">
        <v>203</v>
      </c>
      <c r="BHH18" s="314" t="s">
        <v>203</v>
      </c>
      <c r="BHI18" s="314" t="s">
        <v>203</v>
      </c>
      <c r="BHJ18" s="314" t="s">
        <v>203</v>
      </c>
      <c r="BHK18" s="314" t="s">
        <v>203</v>
      </c>
      <c r="BHL18" s="314" t="s">
        <v>203</v>
      </c>
      <c r="BHM18" s="314" t="s">
        <v>203</v>
      </c>
      <c r="BHN18" s="314" t="s">
        <v>203</v>
      </c>
      <c r="BHO18" s="314" t="s">
        <v>203</v>
      </c>
      <c r="BHP18" s="314" t="s">
        <v>203</v>
      </c>
      <c r="BHQ18" s="314" t="s">
        <v>203</v>
      </c>
      <c r="BHR18" s="314" t="s">
        <v>203</v>
      </c>
      <c r="BHS18" s="314" t="s">
        <v>203</v>
      </c>
      <c r="BHT18" s="314" t="s">
        <v>203</v>
      </c>
      <c r="BHU18" s="314" t="s">
        <v>203</v>
      </c>
      <c r="BHV18" s="314" t="s">
        <v>203</v>
      </c>
      <c r="BHW18" s="314" t="s">
        <v>203</v>
      </c>
      <c r="BHX18" s="314" t="s">
        <v>203</v>
      </c>
      <c r="BHY18" s="314" t="s">
        <v>203</v>
      </c>
      <c r="BHZ18" s="314" t="s">
        <v>203</v>
      </c>
      <c r="BIA18" s="314" t="s">
        <v>203</v>
      </c>
      <c r="BIB18" s="314" t="s">
        <v>203</v>
      </c>
      <c r="BIC18" s="314" t="s">
        <v>203</v>
      </c>
      <c r="BID18" s="314" t="s">
        <v>203</v>
      </c>
      <c r="BIE18" s="314" t="s">
        <v>203</v>
      </c>
      <c r="BIF18" s="314" t="s">
        <v>203</v>
      </c>
      <c r="BIG18" s="314" t="s">
        <v>203</v>
      </c>
      <c r="BIH18" s="314" t="s">
        <v>203</v>
      </c>
      <c r="BII18" s="314" t="s">
        <v>203</v>
      </c>
      <c r="BIJ18" s="314" t="s">
        <v>203</v>
      </c>
      <c r="BIK18" s="314" t="s">
        <v>203</v>
      </c>
      <c r="BIL18" s="314" t="s">
        <v>203</v>
      </c>
      <c r="BIM18" s="314" t="s">
        <v>203</v>
      </c>
      <c r="BIN18" s="314" t="s">
        <v>203</v>
      </c>
      <c r="BIO18" s="314" t="s">
        <v>203</v>
      </c>
      <c r="BIP18" s="314" t="s">
        <v>203</v>
      </c>
      <c r="BIQ18" s="314" t="s">
        <v>203</v>
      </c>
      <c r="BIR18" s="314" t="s">
        <v>203</v>
      </c>
      <c r="BIS18" s="314" t="s">
        <v>203</v>
      </c>
      <c r="BIT18" s="314" t="s">
        <v>203</v>
      </c>
      <c r="BIU18" s="314" t="s">
        <v>203</v>
      </c>
      <c r="BIV18" s="314" t="s">
        <v>203</v>
      </c>
      <c r="BIW18" s="314" t="s">
        <v>203</v>
      </c>
      <c r="BIX18" s="314" t="s">
        <v>203</v>
      </c>
      <c r="BIY18" s="314" t="s">
        <v>203</v>
      </c>
      <c r="BIZ18" s="314" t="s">
        <v>203</v>
      </c>
      <c r="BJA18" s="314" t="s">
        <v>203</v>
      </c>
      <c r="BJB18" s="314" t="s">
        <v>203</v>
      </c>
      <c r="BJC18" s="314" t="s">
        <v>203</v>
      </c>
      <c r="BJD18" s="314" t="s">
        <v>203</v>
      </c>
      <c r="BJE18" s="314" t="s">
        <v>203</v>
      </c>
      <c r="BJF18" s="314" t="s">
        <v>203</v>
      </c>
      <c r="BJG18" s="314" t="s">
        <v>203</v>
      </c>
      <c r="BJH18" s="314" t="s">
        <v>203</v>
      </c>
      <c r="BJI18" s="314" t="s">
        <v>203</v>
      </c>
      <c r="BJJ18" s="314" t="s">
        <v>203</v>
      </c>
      <c r="BJK18" s="314" t="s">
        <v>203</v>
      </c>
      <c r="BJL18" s="314" t="s">
        <v>203</v>
      </c>
      <c r="BJM18" s="314" t="s">
        <v>203</v>
      </c>
      <c r="BJN18" s="314" t="s">
        <v>203</v>
      </c>
      <c r="BJO18" s="314" t="s">
        <v>203</v>
      </c>
      <c r="BJP18" s="314" t="s">
        <v>203</v>
      </c>
      <c r="BJQ18" s="314" t="s">
        <v>203</v>
      </c>
      <c r="BJR18" s="314" t="s">
        <v>203</v>
      </c>
      <c r="BJS18" s="314" t="s">
        <v>203</v>
      </c>
      <c r="BJT18" s="314" t="s">
        <v>203</v>
      </c>
      <c r="BJU18" s="314" t="s">
        <v>203</v>
      </c>
      <c r="BJV18" s="314" t="s">
        <v>203</v>
      </c>
      <c r="BJW18" s="314" t="s">
        <v>203</v>
      </c>
      <c r="BJX18" s="314" t="s">
        <v>203</v>
      </c>
      <c r="BJY18" s="314" t="s">
        <v>203</v>
      </c>
      <c r="BJZ18" s="314" t="s">
        <v>203</v>
      </c>
      <c r="BKA18" s="314" t="s">
        <v>203</v>
      </c>
      <c r="BKB18" s="314" t="s">
        <v>203</v>
      </c>
      <c r="BKC18" s="314" t="s">
        <v>203</v>
      </c>
      <c r="BKD18" s="314" t="s">
        <v>203</v>
      </c>
      <c r="BKE18" s="314" t="s">
        <v>203</v>
      </c>
      <c r="BKF18" s="314" t="s">
        <v>203</v>
      </c>
      <c r="BKG18" s="314" t="s">
        <v>203</v>
      </c>
      <c r="BKH18" s="314" t="s">
        <v>203</v>
      </c>
      <c r="BKI18" s="314" t="s">
        <v>203</v>
      </c>
      <c r="BKJ18" s="314" t="s">
        <v>203</v>
      </c>
      <c r="BKK18" s="314" t="s">
        <v>203</v>
      </c>
      <c r="BKL18" s="314" t="s">
        <v>203</v>
      </c>
      <c r="BKM18" s="314" t="s">
        <v>203</v>
      </c>
      <c r="BKN18" s="314" t="s">
        <v>203</v>
      </c>
      <c r="BKO18" s="314" t="s">
        <v>203</v>
      </c>
      <c r="BKP18" s="314" t="s">
        <v>203</v>
      </c>
      <c r="BKQ18" s="314" t="s">
        <v>203</v>
      </c>
      <c r="BKR18" s="314" t="s">
        <v>203</v>
      </c>
      <c r="BKS18" s="314" t="s">
        <v>203</v>
      </c>
      <c r="BKT18" s="314" t="s">
        <v>203</v>
      </c>
      <c r="BKU18" s="314" t="s">
        <v>203</v>
      </c>
      <c r="BKV18" s="314" t="s">
        <v>203</v>
      </c>
      <c r="BKW18" s="314" t="s">
        <v>203</v>
      </c>
      <c r="BKX18" s="314" t="s">
        <v>203</v>
      </c>
      <c r="BKY18" s="314" t="s">
        <v>203</v>
      </c>
      <c r="BKZ18" s="314" t="s">
        <v>203</v>
      </c>
      <c r="BLA18" s="314" t="s">
        <v>203</v>
      </c>
      <c r="BLB18" s="314" t="s">
        <v>203</v>
      </c>
      <c r="BLC18" s="314" t="s">
        <v>203</v>
      </c>
      <c r="BLD18" s="314" t="s">
        <v>203</v>
      </c>
      <c r="BLE18" s="314" t="s">
        <v>203</v>
      </c>
      <c r="BLF18" s="314" t="s">
        <v>203</v>
      </c>
      <c r="BLG18" s="314" t="s">
        <v>203</v>
      </c>
      <c r="BLH18" s="314" t="s">
        <v>203</v>
      </c>
      <c r="BLI18" s="314" t="s">
        <v>203</v>
      </c>
      <c r="BLJ18" s="314" t="s">
        <v>203</v>
      </c>
      <c r="BLK18" s="314" t="s">
        <v>203</v>
      </c>
      <c r="BLL18" s="314" t="s">
        <v>203</v>
      </c>
      <c r="BLM18" s="314" t="s">
        <v>203</v>
      </c>
      <c r="BLN18" s="314" t="s">
        <v>203</v>
      </c>
      <c r="BLO18" s="314" t="s">
        <v>203</v>
      </c>
      <c r="BLP18" s="314" t="s">
        <v>203</v>
      </c>
      <c r="BLQ18" s="314" t="s">
        <v>203</v>
      </c>
      <c r="BLR18" s="314" t="s">
        <v>203</v>
      </c>
      <c r="BLS18" s="314" t="s">
        <v>203</v>
      </c>
      <c r="BLT18" s="314" t="s">
        <v>203</v>
      </c>
      <c r="BLU18" s="314" t="s">
        <v>203</v>
      </c>
      <c r="BLV18" s="314" t="s">
        <v>203</v>
      </c>
      <c r="BLW18" s="314" t="s">
        <v>203</v>
      </c>
      <c r="BLX18" s="314" t="s">
        <v>203</v>
      </c>
      <c r="BLY18" s="314" t="s">
        <v>203</v>
      </c>
      <c r="BLZ18" s="314" t="s">
        <v>203</v>
      </c>
      <c r="BMA18" s="314" t="s">
        <v>203</v>
      </c>
      <c r="BMB18" s="314" t="s">
        <v>203</v>
      </c>
      <c r="BMC18" s="314" t="s">
        <v>203</v>
      </c>
      <c r="BMD18" s="314" t="s">
        <v>203</v>
      </c>
      <c r="BME18" s="314" t="s">
        <v>203</v>
      </c>
      <c r="BMF18" s="314" t="s">
        <v>203</v>
      </c>
      <c r="BMG18" s="314" t="s">
        <v>203</v>
      </c>
      <c r="BMH18" s="314" t="s">
        <v>203</v>
      </c>
      <c r="BMI18" s="314" t="s">
        <v>203</v>
      </c>
      <c r="BMJ18" s="314" t="s">
        <v>203</v>
      </c>
      <c r="BMK18" s="314" t="s">
        <v>203</v>
      </c>
      <c r="BML18" s="314" t="s">
        <v>203</v>
      </c>
      <c r="BMM18" s="314" t="s">
        <v>203</v>
      </c>
      <c r="BMN18" s="314" t="s">
        <v>203</v>
      </c>
      <c r="BMO18" s="314" t="s">
        <v>203</v>
      </c>
      <c r="BMP18" s="314" t="s">
        <v>203</v>
      </c>
      <c r="BMQ18" s="314" t="s">
        <v>203</v>
      </c>
      <c r="BMR18" s="314" t="s">
        <v>203</v>
      </c>
      <c r="BMS18" s="314" t="s">
        <v>203</v>
      </c>
      <c r="BMT18" s="314" t="s">
        <v>203</v>
      </c>
      <c r="BMU18" s="314" t="s">
        <v>203</v>
      </c>
      <c r="BMV18" s="314" t="s">
        <v>203</v>
      </c>
      <c r="BMW18" s="314" t="s">
        <v>203</v>
      </c>
      <c r="BMX18" s="314" t="s">
        <v>203</v>
      </c>
      <c r="BMY18" s="314" t="s">
        <v>203</v>
      </c>
      <c r="BMZ18" s="314" t="s">
        <v>203</v>
      </c>
      <c r="BNA18" s="314" t="s">
        <v>203</v>
      </c>
      <c r="BNB18" s="314" t="s">
        <v>203</v>
      </c>
      <c r="BNC18" s="314" t="s">
        <v>203</v>
      </c>
      <c r="BND18" s="314" t="s">
        <v>203</v>
      </c>
      <c r="BNE18" s="314" t="s">
        <v>203</v>
      </c>
      <c r="BNF18" s="314" t="s">
        <v>203</v>
      </c>
      <c r="BNG18" s="314" t="s">
        <v>203</v>
      </c>
      <c r="BNH18" s="314" t="s">
        <v>203</v>
      </c>
      <c r="BNI18" s="314" t="s">
        <v>203</v>
      </c>
      <c r="BNJ18" s="314" t="s">
        <v>203</v>
      </c>
      <c r="BNK18" s="314" t="s">
        <v>203</v>
      </c>
      <c r="BNL18" s="314" t="s">
        <v>203</v>
      </c>
      <c r="BNM18" s="314" t="s">
        <v>203</v>
      </c>
      <c r="BNN18" s="314" t="s">
        <v>203</v>
      </c>
      <c r="BNO18" s="314" t="s">
        <v>203</v>
      </c>
      <c r="BNP18" s="314" t="s">
        <v>203</v>
      </c>
      <c r="BNQ18" s="314" t="s">
        <v>203</v>
      </c>
      <c r="BNR18" s="314" t="s">
        <v>203</v>
      </c>
      <c r="BNS18" s="314" t="s">
        <v>203</v>
      </c>
      <c r="BNT18" s="314" t="s">
        <v>203</v>
      </c>
      <c r="BNU18" s="314" t="s">
        <v>203</v>
      </c>
      <c r="BNV18" s="314" t="s">
        <v>203</v>
      </c>
      <c r="BNW18" s="314" t="s">
        <v>203</v>
      </c>
      <c r="BNX18" s="314" t="s">
        <v>203</v>
      </c>
      <c r="BNY18" s="314" t="s">
        <v>203</v>
      </c>
      <c r="BNZ18" s="314" t="s">
        <v>203</v>
      </c>
      <c r="BOA18" s="314" t="s">
        <v>203</v>
      </c>
      <c r="BOB18" s="314" t="s">
        <v>203</v>
      </c>
      <c r="BOC18" s="314" t="s">
        <v>203</v>
      </c>
      <c r="BOD18" s="314" t="s">
        <v>203</v>
      </c>
      <c r="BOE18" s="314" t="s">
        <v>203</v>
      </c>
      <c r="BOF18" s="314" t="s">
        <v>203</v>
      </c>
      <c r="BOG18" s="314" t="s">
        <v>203</v>
      </c>
      <c r="BOH18" s="314" t="s">
        <v>203</v>
      </c>
      <c r="BOI18" s="314" t="s">
        <v>203</v>
      </c>
      <c r="BOJ18" s="314" t="s">
        <v>203</v>
      </c>
      <c r="BOK18" s="314" t="s">
        <v>203</v>
      </c>
      <c r="BOL18" s="314" t="s">
        <v>203</v>
      </c>
      <c r="BOM18" s="314" t="s">
        <v>203</v>
      </c>
      <c r="BON18" s="314" t="s">
        <v>203</v>
      </c>
      <c r="BOO18" s="314" t="s">
        <v>203</v>
      </c>
      <c r="BOP18" s="314" t="s">
        <v>203</v>
      </c>
      <c r="BOQ18" s="314" t="s">
        <v>203</v>
      </c>
      <c r="BOR18" s="314" t="s">
        <v>203</v>
      </c>
      <c r="BOS18" s="314" t="s">
        <v>203</v>
      </c>
      <c r="BOT18" s="314" t="s">
        <v>203</v>
      </c>
      <c r="BOU18" s="314" t="s">
        <v>203</v>
      </c>
      <c r="BOV18" s="314" t="s">
        <v>203</v>
      </c>
      <c r="BOW18" s="314" t="s">
        <v>203</v>
      </c>
      <c r="BOX18" s="314" t="s">
        <v>203</v>
      </c>
      <c r="BOY18" s="314" t="s">
        <v>203</v>
      </c>
      <c r="BOZ18" s="314" t="s">
        <v>203</v>
      </c>
      <c r="BPA18" s="314" t="s">
        <v>203</v>
      </c>
      <c r="BPB18" s="314" t="s">
        <v>203</v>
      </c>
      <c r="BPC18" s="314" t="s">
        <v>203</v>
      </c>
      <c r="BPD18" s="314" t="s">
        <v>203</v>
      </c>
      <c r="BPE18" s="314" t="s">
        <v>203</v>
      </c>
      <c r="BPF18" s="314" t="s">
        <v>203</v>
      </c>
      <c r="BPG18" s="314" t="s">
        <v>203</v>
      </c>
      <c r="BPH18" s="314" t="s">
        <v>203</v>
      </c>
      <c r="BPI18" s="314" t="s">
        <v>203</v>
      </c>
      <c r="BPJ18" s="314" t="s">
        <v>203</v>
      </c>
      <c r="BPK18" s="314" t="s">
        <v>203</v>
      </c>
      <c r="BPL18" s="314" t="s">
        <v>203</v>
      </c>
      <c r="BPM18" s="314" t="s">
        <v>203</v>
      </c>
      <c r="BPN18" s="314" t="s">
        <v>203</v>
      </c>
      <c r="BPO18" s="314" t="s">
        <v>203</v>
      </c>
      <c r="BPP18" s="314" t="s">
        <v>203</v>
      </c>
      <c r="BPQ18" s="314" t="s">
        <v>203</v>
      </c>
      <c r="BPR18" s="314" t="s">
        <v>203</v>
      </c>
      <c r="BPS18" s="314" t="s">
        <v>203</v>
      </c>
      <c r="BPT18" s="314" t="s">
        <v>203</v>
      </c>
      <c r="BPU18" s="314" t="s">
        <v>203</v>
      </c>
      <c r="BPV18" s="314" t="s">
        <v>203</v>
      </c>
      <c r="BPW18" s="314" t="s">
        <v>203</v>
      </c>
      <c r="BPX18" s="314" t="s">
        <v>203</v>
      </c>
      <c r="BPY18" s="314" t="s">
        <v>203</v>
      </c>
      <c r="BPZ18" s="314" t="s">
        <v>203</v>
      </c>
      <c r="BQA18" s="314" t="s">
        <v>203</v>
      </c>
      <c r="BQB18" s="314" t="s">
        <v>203</v>
      </c>
      <c r="BQC18" s="314" t="s">
        <v>203</v>
      </c>
      <c r="BQD18" s="314" t="s">
        <v>203</v>
      </c>
      <c r="BQE18" s="314" t="s">
        <v>203</v>
      </c>
      <c r="BQF18" s="314" t="s">
        <v>203</v>
      </c>
      <c r="BQG18" s="314" t="s">
        <v>203</v>
      </c>
      <c r="BQH18" s="314" t="s">
        <v>203</v>
      </c>
      <c r="BQI18" s="314" t="s">
        <v>203</v>
      </c>
      <c r="BQJ18" s="314" t="s">
        <v>203</v>
      </c>
      <c r="BQK18" s="314" t="s">
        <v>203</v>
      </c>
      <c r="BQL18" s="314" t="s">
        <v>203</v>
      </c>
      <c r="BQM18" s="314" t="s">
        <v>203</v>
      </c>
      <c r="BQN18" s="314" t="s">
        <v>203</v>
      </c>
      <c r="BQO18" s="314" t="s">
        <v>203</v>
      </c>
      <c r="BQP18" s="314" t="s">
        <v>203</v>
      </c>
      <c r="BQQ18" s="314" t="s">
        <v>203</v>
      </c>
      <c r="BQR18" s="314" t="s">
        <v>203</v>
      </c>
      <c r="BQS18" s="314" t="s">
        <v>203</v>
      </c>
      <c r="BQT18" s="314" t="s">
        <v>203</v>
      </c>
      <c r="BQU18" s="314" t="s">
        <v>203</v>
      </c>
      <c r="BQV18" s="314" t="s">
        <v>203</v>
      </c>
      <c r="BQW18" s="314" t="s">
        <v>203</v>
      </c>
      <c r="BQX18" s="314" t="s">
        <v>203</v>
      </c>
      <c r="BQY18" s="314" t="s">
        <v>203</v>
      </c>
      <c r="BQZ18" s="314" t="s">
        <v>203</v>
      </c>
      <c r="BRA18" s="314" t="s">
        <v>203</v>
      </c>
      <c r="BRB18" s="314" t="s">
        <v>203</v>
      </c>
      <c r="BRC18" s="314" t="s">
        <v>203</v>
      </c>
      <c r="BRD18" s="314" t="s">
        <v>203</v>
      </c>
      <c r="BRE18" s="314" t="s">
        <v>203</v>
      </c>
      <c r="BRF18" s="314" t="s">
        <v>203</v>
      </c>
      <c r="BRG18" s="314" t="s">
        <v>203</v>
      </c>
      <c r="BRH18" s="314" t="s">
        <v>203</v>
      </c>
      <c r="BRI18" s="314" t="s">
        <v>203</v>
      </c>
      <c r="BRJ18" s="314" t="s">
        <v>203</v>
      </c>
      <c r="BRK18" s="314" t="s">
        <v>203</v>
      </c>
      <c r="BRL18" s="314" t="s">
        <v>203</v>
      </c>
      <c r="BRM18" s="314" t="s">
        <v>203</v>
      </c>
      <c r="BRN18" s="314" t="s">
        <v>203</v>
      </c>
      <c r="BRO18" s="314" t="s">
        <v>203</v>
      </c>
      <c r="BRP18" s="314" t="s">
        <v>203</v>
      </c>
      <c r="BRQ18" s="314" t="s">
        <v>203</v>
      </c>
      <c r="BRR18" s="314" t="s">
        <v>203</v>
      </c>
      <c r="BRS18" s="314" t="s">
        <v>203</v>
      </c>
      <c r="BRT18" s="314" t="s">
        <v>203</v>
      </c>
      <c r="BRU18" s="314" t="s">
        <v>203</v>
      </c>
      <c r="BRV18" s="314" t="s">
        <v>203</v>
      </c>
      <c r="BRW18" s="314" t="s">
        <v>203</v>
      </c>
      <c r="BRX18" s="314" t="s">
        <v>203</v>
      </c>
      <c r="BRY18" s="314" t="s">
        <v>203</v>
      </c>
      <c r="BRZ18" s="314" t="s">
        <v>203</v>
      </c>
      <c r="BSA18" s="314" t="s">
        <v>203</v>
      </c>
      <c r="BSB18" s="314" t="s">
        <v>203</v>
      </c>
      <c r="BSC18" s="314" t="s">
        <v>203</v>
      </c>
      <c r="BSD18" s="314" t="s">
        <v>203</v>
      </c>
      <c r="BSE18" s="314" t="s">
        <v>203</v>
      </c>
      <c r="BSF18" s="314" t="s">
        <v>203</v>
      </c>
      <c r="BSG18" s="314" t="s">
        <v>203</v>
      </c>
      <c r="BSH18" s="314" t="s">
        <v>203</v>
      </c>
      <c r="BSI18" s="314" t="s">
        <v>203</v>
      </c>
      <c r="BSJ18" s="314" t="s">
        <v>203</v>
      </c>
      <c r="BSK18" s="314" t="s">
        <v>203</v>
      </c>
      <c r="BSL18" s="314" t="s">
        <v>203</v>
      </c>
      <c r="BSM18" s="314" t="s">
        <v>203</v>
      </c>
      <c r="BSN18" s="314" t="s">
        <v>203</v>
      </c>
      <c r="BSO18" s="314" t="s">
        <v>203</v>
      </c>
      <c r="BSP18" s="314" t="s">
        <v>203</v>
      </c>
      <c r="BSQ18" s="314" t="s">
        <v>203</v>
      </c>
      <c r="BSR18" s="314" t="s">
        <v>203</v>
      </c>
      <c r="BSS18" s="314" t="s">
        <v>203</v>
      </c>
      <c r="BST18" s="314" t="s">
        <v>203</v>
      </c>
      <c r="BSU18" s="314" t="s">
        <v>203</v>
      </c>
      <c r="BSV18" s="314" t="s">
        <v>203</v>
      </c>
      <c r="BSW18" s="314" t="s">
        <v>203</v>
      </c>
      <c r="BSX18" s="314" t="s">
        <v>203</v>
      </c>
      <c r="BSY18" s="314" t="s">
        <v>203</v>
      </c>
      <c r="BSZ18" s="314" t="s">
        <v>203</v>
      </c>
      <c r="BTA18" s="314" t="s">
        <v>203</v>
      </c>
      <c r="BTB18" s="314" t="s">
        <v>203</v>
      </c>
      <c r="BTC18" s="314" t="s">
        <v>203</v>
      </c>
      <c r="BTD18" s="314" t="s">
        <v>203</v>
      </c>
      <c r="BTE18" s="314" t="s">
        <v>203</v>
      </c>
      <c r="BTF18" s="314" t="s">
        <v>203</v>
      </c>
      <c r="BTG18" s="314" t="s">
        <v>203</v>
      </c>
      <c r="BTH18" s="314" t="s">
        <v>203</v>
      </c>
      <c r="BTI18" s="314" t="s">
        <v>203</v>
      </c>
      <c r="BTJ18" s="314" t="s">
        <v>203</v>
      </c>
      <c r="BTK18" s="314" t="s">
        <v>203</v>
      </c>
      <c r="BTL18" s="314" t="s">
        <v>203</v>
      </c>
      <c r="BTM18" s="314" t="s">
        <v>203</v>
      </c>
      <c r="BTN18" s="314" t="s">
        <v>203</v>
      </c>
      <c r="BTO18" s="314" t="s">
        <v>203</v>
      </c>
      <c r="BTP18" s="314" t="s">
        <v>203</v>
      </c>
      <c r="BTQ18" s="314" t="s">
        <v>203</v>
      </c>
      <c r="BTR18" s="314" t="s">
        <v>203</v>
      </c>
      <c r="BTS18" s="314" t="s">
        <v>203</v>
      </c>
      <c r="BTT18" s="314" t="s">
        <v>203</v>
      </c>
      <c r="BTU18" s="314" t="s">
        <v>203</v>
      </c>
      <c r="BTV18" s="314" t="s">
        <v>203</v>
      </c>
      <c r="BTW18" s="314" t="s">
        <v>203</v>
      </c>
      <c r="BTX18" s="314" t="s">
        <v>203</v>
      </c>
      <c r="BTY18" s="314" t="s">
        <v>203</v>
      </c>
      <c r="BTZ18" s="314" t="s">
        <v>203</v>
      </c>
      <c r="BUA18" s="314" t="s">
        <v>203</v>
      </c>
      <c r="BUB18" s="314" t="s">
        <v>203</v>
      </c>
      <c r="BUC18" s="314" t="s">
        <v>203</v>
      </c>
      <c r="BUD18" s="314" t="s">
        <v>203</v>
      </c>
      <c r="BUE18" s="314" t="s">
        <v>203</v>
      </c>
      <c r="BUF18" s="314" t="s">
        <v>203</v>
      </c>
      <c r="BUG18" s="314" t="s">
        <v>203</v>
      </c>
      <c r="BUH18" s="314" t="s">
        <v>203</v>
      </c>
      <c r="BUI18" s="314" t="s">
        <v>203</v>
      </c>
      <c r="BUJ18" s="314" t="s">
        <v>203</v>
      </c>
      <c r="BUK18" s="314" t="s">
        <v>203</v>
      </c>
      <c r="BUL18" s="314" t="s">
        <v>203</v>
      </c>
      <c r="BUM18" s="314" t="s">
        <v>203</v>
      </c>
      <c r="BUN18" s="314" t="s">
        <v>203</v>
      </c>
      <c r="BUO18" s="314" t="s">
        <v>203</v>
      </c>
      <c r="BUP18" s="314" t="s">
        <v>203</v>
      </c>
      <c r="BUQ18" s="314" t="s">
        <v>203</v>
      </c>
      <c r="BUR18" s="314" t="s">
        <v>203</v>
      </c>
      <c r="BUS18" s="314" t="s">
        <v>203</v>
      </c>
      <c r="BUT18" s="314" t="s">
        <v>203</v>
      </c>
      <c r="BUU18" s="314" t="s">
        <v>203</v>
      </c>
      <c r="BUV18" s="314" t="s">
        <v>203</v>
      </c>
      <c r="BUW18" s="314" t="s">
        <v>203</v>
      </c>
      <c r="BUX18" s="314" t="s">
        <v>203</v>
      </c>
      <c r="BUY18" s="314" t="s">
        <v>203</v>
      </c>
      <c r="BUZ18" s="314" t="s">
        <v>203</v>
      </c>
      <c r="BVA18" s="314" t="s">
        <v>203</v>
      </c>
      <c r="BVB18" s="314" t="s">
        <v>203</v>
      </c>
      <c r="BVC18" s="314" t="s">
        <v>203</v>
      </c>
      <c r="BVD18" s="314" t="s">
        <v>203</v>
      </c>
      <c r="BVE18" s="314" t="s">
        <v>203</v>
      </c>
      <c r="BVF18" s="314" t="s">
        <v>203</v>
      </c>
      <c r="BVG18" s="314" t="s">
        <v>203</v>
      </c>
      <c r="BVH18" s="314" t="s">
        <v>203</v>
      </c>
      <c r="BVI18" s="314" t="s">
        <v>203</v>
      </c>
      <c r="BVJ18" s="314" t="s">
        <v>203</v>
      </c>
      <c r="BVK18" s="314" t="s">
        <v>203</v>
      </c>
      <c r="BVL18" s="314" t="s">
        <v>203</v>
      </c>
      <c r="BVM18" s="314" t="s">
        <v>203</v>
      </c>
      <c r="BVN18" s="314" t="s">
        <v>203</v>
      </c>
      <c r="BVO18" s="314" t="s">
        <v>203</v>
      </c>
      <c r="BVP18" s="314" t="s">
        <v>203</v>
      </c>
      <c r="BVQ18" s="314" t="s">
        <v>203</v>
      </c>
      <c r="BVR18" s="314" t="s">
        <v>203</v>
      </c>
      <c r="BVS18" s="314" t="s">
        <v>203</v>
      </c>
      <c r="BVT18" s="314" t="s">
        <v>203</v>
      </c>
      <c r="BVU18" s="314" t="s">
        <v>203</v>
      </c>
      <c r="BVV18" s="314" t="s">
        <v>203</v>
      </c>
      <c r="BVW18" s="314" t="s">
        <v>203</v>
      </c>
      <c r="BVX18" s="314" t="s">
        <v>203</v>
      </c>
      <c r="BVY18" s="314" t="s">
        <v>203</v>
      </c>
      <c r="BVZ18" s="314" t="s">
        <v>203</v>
      </c>
      <c r="BWA18" s="314" t="s">
        <v>203</v>
      </c>
      <c r="BWB18" s="314" t="s">
        <v>203</v>
      </c>
      <c r="BWC18" s="314" t="s">
        <v>203</v>
      </c>
      <c r="BWD18" s="314" t="s">
        <v>203</v>
      </c>
      <c r="BWE18" s="314" t="s">
        <v>203</v>
      </c>
      <c r="BWF18" s="314" t="s">
        <v>203</v>
      </c>
      <c r="BWG18" s="314" t="s">
        <v>203</v>
      </c>
      <c r="BWH18" s="314" t="s">
        <v>203</v>
      </c>
      <c r="BWI18" s="314" t="s">
        <v>203</v>
      </c>
      <c r="BWJ18" s="314" t="s">
        <v>203</v>
      </c>
      <c r="BWK18" s="314" t="s">
        <v>203</v>
      </c>
      <c r="BWL18" s="314" t="s">
        <v>203</v>
      </c>
      <c r="BWM18" s="314" t="s">
        <v>203</v>
      </c>
      <c r="BWN18" s="314" t="s">
        <v>203</v>
      </c>
      <c r="BWO18" s="314" t="s">
        <v>203</v>
      </c>
      <c r="BWP18" s="314" t="s">
        <v>203</v>
      </c>
      <c r="BWQ18" s="314" t="s">
        <v>203</v>
      </c>
      <c r="BWR18" s="314" t="s">
        <v>203</v>
      </c>
      <c r="BWS18" s="314" t="s">
        <v>203</v>
      </c>
      <c r="BWT18" s="314" t="s">
        <v>203</v>
      </c>
      <c r="BWU18" s="314" t="s">
        <v>203</v>
      </c>
      <c r="BWV18" s="314" t="s">
        <v>203</v>
      </c>
      <c r="BWW18" s="314" t="s">
        <v>203</v>
      </c>
      <c r="BWX18" s="314" t="s">
        <v>203</v>
      </c>
      <c r="BWY18" s="314" t="s">
        <v>203</v>
      </c>
      <c r="BWZ18" s="314" t="s">
        <v>203</v>
      </c>
      <c r="BXA18" s="314" t="s">
        <v>203</v>
      </c>
      <c r="BXB18" s="314" t="s">
        <v>203</v>
      </c>
      <c r="BXC18" s="314" t="s">
        <v>203</v>
      </c>
      <c r="BXD18" s="314" t="s">
        <v>203</v>
      </c>
      <c r="BXE18" s="314" t="s">
        <v>203</v>
      </c>
      <c r="BXF18" s="314" t="s">
        <v>203</v>
      </c>
      <c r="BXG18" s="314" t="s">
        <v>203</v>
      </c>
      <c r="BXH18" s="314" t="s">
        <v>203</v>
      </c>
      <c r="BXI18" s="314" t="s">
        <v>203</v>
      </c>
      <c r="BXJ18" s="314" t="s">
        <v>203</v>
      </c>
      <c r="BXK18" s="314" t="s">
        <v>203</v>
      </c>
      <c r="BXL18" s="314" t="s">
        <v>203</v>
      </c>
      <c r="BXM18" s="314" t="s">
        <v>203</v>
      </c>
      <c r="BXN18" s="314" t="s">
        <v>203</v>
      </c>
      <c r="BXO18" s="314" t="s">
        <v>203</v>
      </c>
      <c r="BXP18" s="314" t="s">
        <v>203</v>
      </c>
      <c r="BXQ18" s="314" t="s">
        <v>203</v>
      </c>
      <c r="BXR18" s="314" t="s">
        <v>203</v>
      </c>
      <c r="BXS18" s="314" t="s">
        <v>203</v>
      </c>
      <c r="BXT18" s="314" t="s">
        <v>203</v>
      </c>
      <c r="BXU18" s="314" t="s">
        <v>203</v>
      </c>
      <c r="BXV18" s="314" t="s">
        <v>203</v>
      </c>
      <c r="BXW18" s="314" t="s">
        <v>203</v>
      </c>
      <c r="BXX18" s="314" t="s">
        <v>203</v>
      </c>
      <c r="BXY18" s="314" t="s">
        <v>203</v>
      </c>
      <c r="BXZ18" s="314" t="s">
        <v>203</v>
      </c>
      <c r="BYA18" s="314" t="s">
        <v>203</v>
      </c>
      <c r="BYB18" s="314" t="s">
        <v>203</v>
      </c>
      <c r="BYC18" s="314" t="s">
        <v>203</v>
      </c>
      <c r="BYD18" s="314" t="s">
        <v>203</v>
      </c>
      <c r="BYE18" s="314" t="s">
        <v>203</v>
      </c>
      <c r="BYF18" s="314" t="s">
        <v>203</v>
      </c>
      <c r="BYG18" s="314" t="s">
        <v>203</v>
      </c>
      <c r="BYH18" s="314" t="s">
        <v>203</v>
      </c>
      <c r="BYI18" s="314" t="s">
        <v>203</v>
      </c>
      <c r="BYJ18" s="314" t="s">
        <v>203</v>
      </c>
      <c r="BYK18" s="314" t="s">
        <v>203</v>
      </c>
      <c r="BYL18" s="314" t="s">
        <v>203</v>
      </c>
      <c r="BYM18" s="314" t="s">
        <v>203</v>
      </c>
      <c r="BYN18" s="314" t="s">
        <v>203</v>
      </c>
      <c r="BYO18" s="314" t="s">
        <v>203</v>
      </c>
      <c r="BYP18" s="314" t="s">
        <v>203</v>
      </c>
      <c r="BYQ18" s="314" t="s">
        <v>203</v>
      </c>
      <c r="BYR18" s="314" t="s">
        <v>203</v>
      </c>
      <c r="BYS18" s="314" t="s">
        <v>203</v>
      </c>
      <c r="BYT18" s="314" t="s">
        <v>203</v>
      </c>
      <c r="BYU18" s="314" t="s">
        <v>203</v>
      </c>
      <c r="BYV18" s="314" t="s">
        <v>203</v>
      </c>
      <c r="BYW18" s="314" t="s">
        <v>203</v>
      </c>
      <c r="BYX18" s="314" t="s">
        <v>203</v>
      </c>
      <c r="BYY18" s="314" t="s">
        <v>203</v>
      </c>
      <c r="BYZ18" s="314" t="s">
        <v>203</v>
      </c>
      <c r="BZA18" s="314" t="s">
        <v>203</v>
      </c>
      <c r="BZB18" s="314" t="s">
        <v>203</v>
      </c>
      <c r="BZC18" s="314" t="s">
        <v>203</v>
      </c>
      <c r="BZD18" s="314" t="s">
        <v>203</v>
      </c>
      <c r="BZE18" s="314" t="s">
        <v>203</v>
      </c>
      <c r="BZF18" s="314" t="s">
        <v>203</v>
      </c>
      <c r="BZG18" s="314" t="s">
        <v>203</v>
      </c>
      <c r="BZH18" s="314" t="s">
        <v>203</v>
      </c>
      <c r="BZI18" s="314" t="s">
        <v>203</v>
      </c>
      <c r="BZJ18" s="314" t="s">
        <v>203</v>
      </c>
      <c r="BZK18" s="314" t="s">
        <v>203</v>
      </c>
      <c r="BZL18" s="314" t="s">
        <v>203</v>
      </c>
      <c r="BZM18" s="314" t="s">
        <v>203</v>
      </c>
      <c r="BZN18" s="314" t="s">
        <v>203</v>
      </c>
      <c r="BZO18" s="314" t="s">
        <v>203</v>
      </c>
      <c r="BZP18" s="314" t="s">
        <v>203</v>
      </c>
      <c r="BZQ18" s="314" t="s">
        <v>203</v>
      </c>
      <c r="BZR18" s="314" t="s">
        <v>203</v>
      </c>
      <c r="BZS18" s="314" t="s">
        <v>203</v>
      </c>
      <c r="BZT18" s="314" t="s">
        <v>203</v>
      </c>
      <c r="BZU18" s="314" t="s">
        <v>203</v>
      </c>
      <c r="BZV18" s="314" t="s">
        <v>203</v>
      </c>
      <c r="BZW18" s="314" t="s">
        <v>203</v>
      </c>
      <c r="BZX18" s="314" t="s">
        <v>203</v>
      </c>
      <c r="BZY18" s="314" t="s">
        <v>203</v>
      </c>
      <c r="BZZ18" s="314" t="s">
        <v>203</v>
      </c>
      <c r="CAA18" s="314" t="s">
        <v>203</v>
      </c>
      <c r="CAB18" s="314" t="s">
        <v>203</v>
      </c>
      <c r="CAC18" s="314" t="s">
        <v>203</v>
      </c>
      <c r="CAD18" s="314" t="s">
        <v>203</v>
      </c>
      <c r="CAE18" s="314" t="s">
        <v>203</v>
      </c>
      <c r="CAF18" s="314" t="s">
        <v>203</v>
      </c>
      <c r="CAG18" s="314" t="s">
        <v>203</v>
      </c>
      <c r="CAH18" s="314" t="s">
        <v>203</v>
      </c>
      <c r="CAI18" s="314" t="s">
        <v>203</v>
      </c>
      <c r="CAJ18" s="314" t="s">
        <v>203</v>
      </c>
      <c r="CAK18" s="314" t="s">
        <v>203</v>
      </c>
      <c r="CAL18" s="314" t="s">
        <v>203</v>
      </c>
      <c r="CAM18" s="314" t="s">
        <v>203</v>
      </c>
      <c r="CAN18" s="314" t="s">
        <v>203</v>
      </c>
      <c r="CAO18" s="314" t="s">
        <v>203</v>
      </c>
      <c r="CAP18" s="314" t="s">
        <v>203</v>
      </c>
      <c r="CAQ18" s="314" t="s">
        <v>203</v>
      </c>
      <c r="CAR18" s="314" t="s">
        <v>203</v>
      </c>
      <c r="CAS18" s="314" t="s">
        <v>203</v>
      </c>
      <c r="CAT18" s="314" t="s">
        <v>203</v>
      </c>
      <c r="CAU18" s="314" t="s">
        <v>203</v>
      </c>
      <c r="CAV18" s="314" t="s">
        <v>203</v>
      </c>
      <c r="CAW18" s="314" t="s">
        <v>203</v>
      </c>
      <c r="CAX18" s="314" t="s">
        <v>203</v>
      </c>
      <c r="CAY18" s="314" t="s">
        <v>203</v>
      </c>
      <c r="CAZ18" s="314" t="s">
        <v>203</v>
      </c>
      <c r="CBA18" s="314" t="s">
        <v>203</v>
      </c>
      <c r="CBB18" s="314" t="s">
        <v>203</v>
      </c>
      <c r="CBC18" s="314" t="s">
        <v>203</v>
      </c>
      <c r="CBD18" s="314" t="s">
        <v>203</v>
      </c>
      <c r="CBE18" s="314" t="s">
        <v>203</v>
      </c>
      <c r="CBF18" s="314" t="s">
        <v>203</v>
      </c>
      <c r="CBG18" s="314" t="s">
        <v>203</v>
      </c>
      <c r="CBH18" s="314" t="s">
        <v>203</v>
      </c>
      <c r="CBI18" s="314" t="s">
        <v>203</v>
      </c>
      <c r="CBJ18" s="314" t="s">
        <v>203</v>
      </c>
      <c r="CBK18" s="314" t="s">
        <v>203</v>
      </c>
      <c r="CBL18" s="314" t="s">
        <v>203</v>
      </c>
      <c r="CBM18" s="314" t="s">
        <v>203</v>
      </c>
      <c r="CBN18" s="314" t="s">
        <v>203</v>
      </c>
      <c r="CBO18" s="314" t="s">
        <v>203</v>
      </c>
      <c r="CBP18" s="314" t="s">
        <v>203</v>
      </c>
      <c r="CBQ18" s="314" t="s">
        <v>203</v>
      </c>
      <c r="CBR18" s="314" t="s">
        <v>203</v>
      </c>
      <c r="CBS18" s="314" t="s">
        <v>203</v>
      </c>
      <c r="CBT18" s="314" t="s">
        <v>203</v>
      </c>
      <c r="CBU18" s="314" t="s">
        <v>203</v>
      </c>
      <c r="CBV18" s="314" t="s">
        <v>203</v>
      </c>
      <c r="CBW18" s="314" t="s">
        <v>203</v>
      </c>
      <c r="CBX18" s="314" t="s">
        <v>203</v>
      </c>
      <c r="CBY18" s="314" t="s">
        <v>203</v>
      </c>
      <c r="CBZ18" s="314" t="s">
        <v>203</v>
      </c>
      <c r="CCA18" s="314" t="s">
        <v>203</v>
      </c>
      <c r="CCB18" s="314" t="s">
        <v>203</v>
      </c>
      <c r="CCC18" s="314" t="s">
        <v>203</v>
      </c>
      <c r="CCD18" s="314" t="s">
        <v>203</v>
      </c>
      <c r="CCE18" s="314" t="s">
        <v>203</v>
      </c>
      <c r="CCF18" s="314" t="s">
        <v>203</v>
      </c>
      <c r="CCG18" s="314" t="s">
        <v>203</v>
      </c>
      <c r="CCH18" s="314" t="s">
        <v>203</v>
      </c>
      <c r="CCI18" s="314" t="s">
        <v>203</v>
      </c>
      <c r="CCJ18" s="314" t="s">
        <v>203</v>
      </c>
      <c r="CCK18" s="314" t="s">
        <v>203</v>
      </c>
      <c r="CCL18" s="314" t="s">
        <v>203</v>
      </c>
      <c r="CCM18" s="314" t="s">
        <v>203</v>
      </c>
      <c r="CCN18" s="314" t="s">
        <v>203</v>
      </c>
      <c r="CCO18" s="314" t="s">
        <v>203</v>
      </c>
      <c r="CCP18" s="314" t="s">
        <v>203</v>
      </c>
      <c r="CCQ18" s="314" t="s">
        <v>203</v>
      </c>
      <c r="CCR18" s="314" t="s">
        <v>203</v>
      </c>
      <c r="CCS18" s="314" t="s">
        <v>203</v>
      </c>
      <c r="CCT18" s="314" t="s">
        <v>203</v>
      </c>
      <c r="CCU18" s="314" t="s">
        <v>203</v>
      </c>
      <c r="CCV18" s="314" t="s">
        <v>203</v>
      </c>
      <c r="CCW18" s="314" t="s">
        <v>203</v>
      </c>
      <c r="CCX18" s="314" t="s">
        <v>203</v>
      </c>
      <c r="CCY18" s="314" t="s">
        <v>203</v>
      </c>
      <c r="CCZ18" s="314" t="s">
        <v>203</v>
      </c>
      <c r="CDA18" s="314" t="s">
        <v>203</v>
      </c>
      <c r="CDB18" s="314" t="s">
        <v>203</v>
      </c>
      <c r="CDC18" s="314" t="s">
        <v>203</v>
      </c>
      <c r="CDD18" s="314" t="s">
        <v>203</v>
      </c>
      <c r="CDE18" s="314" t="s">
        <v>203</v>
      </c>
      <c r="CDF18" s="314" t="s">
        <v>203</v>
      </c>
      <c r="CDG18" s="314" t="s">
        <v>203</v>
      </c>
      <c r="CDH18" s="314" t="s">
        <v>203</v>
      </c>
      <c r="CDI18" s="314" t="s">
        <v>203</v>
      </c>
      <c r="CDJ18" s="314" t="s">
        <v>203</v>
      </c>
      <c r="CDK18" s="314" t="s">
        <v>203</v>
      </c>
      <c r="CDL18" s="314" t="s">
        <v>203</v>
      </c>
      <c r="CDM18" s="314" t="s">
        <v>203</v>
      </c>
      <c r="CDN18" s="314" t="s">
        <v>203</v>
      </c>
      <c r="CDO18" s="314" t="s">
        <v>203</v>
      </c>
      <c r="CDP18" s="314" t="s">
        <v>203</v>
      </c>
      <c r="CDQ18" s="314" t="s">
        <v>203</v>
      </c>
      <c r="CDR18" s="314" t="s">
        <v>203</v>
      </c>
      <c r="CDS18" s="314" t="s">
        <v>203</v>
      </c>
      <c r="CDT18" s="314" t="s">
        <v>203</v>
      </c>
      <c r="CDU18" s="314" t="s">
        <v>203</v>
      </c>
      <c r="CDV18" s="314" t="s">
        <v>203</v>
      </c>
      <c r="CDW18" s="314" t="s">
        <v>203</v>
      </c>
      <c r="CDX18" s="314" t="s">
        <v>203</v>
      </c>
      <c r="CDY18" s="314" t="s">
        <v>203</v>
      </c>
      <c r="CDZ18" s="314" t="s">
        <v>203</v>
      </c>
      <c r="CEA18" s="314" t="s">
        <v>203</v>
      </c>
      <c r="CEB18" s="314" t="s">
        <v>203</v>
      </c>
      <c r="CEC18" s="314" t="s">
        <v>203</v>
      </c>
      <c r="CED18" s="314" t="s">
        <v>203</v>
      </c>
      <c r="CEE18" s="314" t="s">
        <v>203</v>
      </c>
      <c r="CEF18" s="314" t="s">
        <v>203</v>
      </c>
      <c r="CEG18" s="314" t="s">
        <v>203</v>
      </c>
      <c r="CEH18" s="314" t="s">
        <v>203</v>
      </c>
      <c r="CEI18" s="314" t="s">
        <v>203</v>
      </c>
      <c r="CEJ18" s="314" t="s">
        <v>203</v>
      </c>
      <c r="CEK18" s="314" t="s">
        <v>203</v>
      </c>
      <c r="CEL18" s="314" t="s">
        <v>203</v>
      </c>
      <c r="CEM18" s="314" t="s">
        <v>203</v>
      </c>
      <c r="CEN18" s="314" t="s">
        <v>203</v>
      </c>
      <c r="CEO18" s="314" t="s">
        <v>203</v>
      </c>
      <c r="CEP18" s="314" t="s">
        <v>203</v>
      </c>
      <c r="CEQ18" s="314" t="s">
        <v>203</v>
      </c>
      <c r="CER18" s="314" t="s">
        <v>203</v>
      </c>
      <c r="CES18" s="314" t="s">
        <v>203</v>
      </c>
      <c r="CET18" s="314" t="s">
        <v>203</v>
      </c>
      <c r="CEU18" s="314" t="s">
        <v>203</v>
      </c>
      <c r="CEV18" s="314" t="s">
        <v>203</v>
      </c>
      <c r="CEW18" s="314" t="s">
        <v>203</v>
      </c>
      <c r="CEX18" s="314" t="s">
        <v>203</v>
      </c>
      <c r="CEY18" s="314" t="s">
        <v>203</v>
      </c>
      <c r="CEZ18" s="314" t="s">
        <v>203</v>
      </c>
      <c r="CFA18" s="314" t="s">
        <v>203</v>
      </c>
      <c r="CFB18" s="314" t="s">
        <v>203</v>
      </c>
      <c r="CFC18" s="314" t="s">
        <v>203</v>
      </c>
      <c r="CFD18" s="314" t="s">
        <v>203</v>
      </c>
      <c r="CFE18" s="314" t="s">
        <v>203</v>
      </c>
      <c r="CFF18" s="314" t="s">
        <v>203</v>
      </c>
      <c r="CFG18" s="314" t="s">
        <v>203</v>
      </c>
      <c r="CFH18" s="314" t="s">
        <v>203</v>
      </c>
      <c r="CFI18" s="314" t="s">
        <v>203</v>
      </c>
      <c r="CFJ18" s="314" t="s">
        <v>203</v>
      </c>
      <c r="CFK18" s="314" t="s">
        <v>203</v>
      </c>
      <c r="CFL18" s="314" t="s">
        <v>203</v>
      </c>
      <c r="CFM18" s="314" t="s">
        <v>203</v>
      </c>
      <c r="CFN18" s="314" t="s">
        <v>203</v>
      </c>
      <c r="CFO18" s="314" t="s">
        <v>203</v>
      </c>
      <c r="CFP18" s="314" t="s">
        <v>203</v>
      </c>
      <c r="CFQ18" s="314" t="s">
        <v>203</v>
      </c>
      <c r="CFR18" s="314" t="s">
        <v>203</v>
      </c>
      <c r="CFS18" s="314" t="s">
        <v>203</v>
      </c>
      <c r="CFT18" s="314" t="s">
        <v>203</v>
      </c>
      <c r="CFU18" s="314" t="s">
        <v>203</v>
      </c>
      <c r="CFV18" s="314" t="s">
        <v>203</v>
      </c>
      <c r="CFW18" s="314" t="s">
        <v>203</v>
      </c>
      <c r="CFX18" s="314" t="s">
        <v>203</v>
      </c>
      <c r="CFY18" s="314" t="s">
        <v>203</v>
      </c>
      <c r="CFZ18" s="314" t="s">
        <v>203</v>
      </c>
      <c r="CGA18" s="314" t="s">
        <v>203</v>
      </c>
      <c r="CGB18" s="314" t="s">
        <v>203</v>
      </c>
      <c r="CGC18" s="314" t="s">
        <v>203</v>
      </c>
      <c r="CGD18" s="314" t="s">
        <v>203</v>
      </c>
      <c r="CGE18" s="314" t="s">
        <v>203</v>
      </c>
      <c r="CGF18" s="314" t="s">
        <v>203</v>
      </c>
      <c r="CGG18" s="314" t="s">
        <v>203</v>
      </c>
      <c r="CGH18" s="314" t="s">
        <v>203</v>
      </c>
      <c r="CGI18" s="314" t="s">
        <v>203</v>
      </c>
      <c r="CGJ18" s="314" t="s">
        <v>203</v>
      </c>
      <c r="CGK18" s="314" t="s">
        <v>203</v>
      </c>
      <c r="CGL18" s="314" t="s">
        <v>203</v>
      </c>
      <c r="CGM18" s="314" t="s">
        <v>203</v>
      </c>
      <c r="CGN18" s="314" t="s">
        <v>203</v>
      </c>
      <c r="CGO18" s="314" t="s">
        <v>203</v>
      </c>
      <c r="CGP18" s="314" t="s">
        <v>203</v>
      </c>
      <c r="CGQ18" s="314" t="s">
        <v>203</v>
      </c>
      <c r="CGR18" s="314" t="s">
        <v>203</v>
      </c>
      <c r="CGS18" s="314" t="s">
        <v>203</v>
      </c>
      <c r="CGT18" s="314" t="s">
        <v>203</v>
      </c>
      <c r="CGU18" s="314" t="s">
        <v>203</v>
      </c>
      <c r="CGV18" s="314" t="s">
        <v>203</v>
      </c>
      <c r="CGW18" s="314" t="s">
        <v>203</v>
      </c>
      <c r="CGX18" s="314" t="s">
        <v>203</v>
      </c>
      <c r="CGY18" s="314" t="s">
        <v>203</v>
      </c>
      <c r="CGZ18" s="314" t="s">
        <v>203</v>
      </c>
      <c r="CHA18" s="314" t="s">
        <v>203</v>
      </c>
      <c r="CHB18" s="314" t="s">
        <v>203</v>
      </c>
      <c r="CHC18" s="314" t="s">
        <v>203</v>
      </c>
      <c r="CHD18" s="314" t="s">
        <v>203</v>
      </c>
      <c r="CHE18" s="314" t="s">
        <v>203</v>
      </c>
      <c r="CHF18" s="314" t="s">
        <v>203</v>
      </c>
      <c r="CHG18" s="314" t="s">
        <v>203</v>
      </c>
      <c r="CHH18" s="314" t="s">
        <v>203</v>
      </c>
      <c r="CHI18" s="314" t="s">
        <v>203</v>
      </c>
      <c r="CHJ18" s="314" t="s">
        <v>203</v>
      </c>
      <c r="CHK18" s="314" t="s">
        <v>203</v>
      </c>
      <c r="CHL18" s="314" t="s">
        <v>203</v>
      </c>
      <c r="CHM18" s="314" t="s">
        <v>203</v>
      </c>
      <c r="CHN18" s="314" t="s">
        <v>203</v>
      </c>
      <c r="CHO18" s="314" t="s">
        <v>203</v>
      </c>
      <c r="CHP18" s="314" t="s">
        <v>203</v>
      </c>
      <c r="CHQ18" s="314" t="s">
        <v>203</v>
      </c>
      <c r="CHR18" s="314" t="s">
        <v>203</v>
      </c>
      <c r="CHS18" s="314" t="s">
        <v>203</v>
      </c>
      <c r="CHT18" s="314" t="s">
        <v>203</v>
      </c>
      <c r="CHU18" s="314" t="s">
        <v>203</v>
      </c>
      <c r="CHV18" s="314" t="s">
        <v>203</v>
      </c>
      <c r="CHW18" s="314" t="s">
        <v>203</v>
      </c>
      <c r="CHX18" s="314" t="s">
        <v>203</v>
      </c>
      <c r="CHY18" s="314" t="s">
        <v>203</v>
      </c>
      <c r="CHZ18" s="314" t="s">
        <v>203</v>
      </c>
      <c r="CIA18" s="314" t="s">
        <v>203</v>
      </c>
      <c r="CIB18" s="314" t="s">
        <v>203</v>
      </c>
      <c r="CIC18" s="314" t="s">
        <v>203</v>
      </c>
      <c r="CID18" s="314" t="s">
        <v>203</v>
      </c>
      <c r="CIE18" s="314" t="s">
        <v>203</v>
      </c>
      <c r="CIF18" s="314" t="s">
        <v>203</v>
      </c>
      <c r="CIG18" s="314" t="s">
        <v>203</v>
      </c>
      <c r="CIH18" s="314" t="s">
        <v>203</v>
      </c>
      <c r="CII18" s="314" t="s">
        <v>203</v>
      </c>
      <c r="CIJ18" s="314" t="s">
        <v>203</v>
      </c>
      <c r="CIK18" s="314" t="s">
        <v>203</v>
      </c>
      <c r="CIL18" s="314" t="s">
        <v>203</v>
      </c>
      <c r="CIM18" s="314" t="s">
        <v>203</v>
      </c>
      <c r="CIN18" s="314" t="s">
        <v>203</v>
      </c>
      <c r="CIO18" s="314" t="s">
        <v>203</v>
      </c>
      <c r="CIP18" s="314" t="s">
        <v>203</v>
      </c>
      <c r="CIQ18" s="314" t="s">
        <v>203</v>
      </c>
      <c r="CIR18" s="314" t="s">
        <v>203</v>
      </c>
      <c r="CIS18" s="314" t="s">
        <v>203</v>
      </c>
      <c r="CIT18" s="314" t="s">
        <v>203</v>
      </c>
      <c r="CIU18" s="314" t="s">
        <v>203</v>
      </c>
      <c r="CIV18" s="314" t="s">
        <v>203</v>
      </c>
      <c r="CIW18" s="314" t="s">
        <v>203</v>
      </c>
      <c r="CIX18" s="314" t="s">
        <v>203</v>
      </c>
      <c r="CIY18" s="314" t="s">
        <v>203</v>
      </c>
      <c r="CIZ18" s="314" t="s">
        <v>203</v>
      </c>
      <c r="CJA18" s="314" t="s">
        <v>203</v>
      </c>
      <c r="CJB18" s="314" t="s">
        <v>203</v>
      </c>
      <c r="CJC18" s="314" t="s">
        <v>203</v>
      </c>
      <c r="CJD18" s="314" t="s">
        <v>203</v>
      </c>
      <c r="CJE18" s="314" t="s">
        <v>203</v>
      </c>
      <c r="CJF18" s="314" t="s">
        <v>203</v>
      </c>
      <c r="CJG18" s="314" t="s">
        <v>203</v>
      </c>
      <c r="CJH18" s="314" t="s">
        <v>203</v>
      </c>
      <c r="CJI18" s="314" t="s">
        <v>203</v>
      </c>
      <c r="CJJ18" s="314" t="s">
        <v>203</v>
      </c>
      <c r="CJK18" s="314" t="s">
        <v>203</v>
      </c>
      <c r="CJL18" s="314" t="s">
        <v>203</v>
      </c>
      <c r="CJM18" s="314" t="s">
        <v>203</v>
      </c>
      <c r="CJN18" s="314" t="s">
        <v>203</v>
      </c>
      <c r="CJO18" s="314" t="s">
        <v>203</v>
      </c>
      <c r="CJP18" s="314" t="s">
        <v>203</v>
      </c>
      <c r="CJQ18" s="314" t="s">
        <v>203</v>
      </c>
      <c r="CJR18" s="314" t="s">
        <v>203</v>
      </c>
      <c r="CJS18" s="314" t="s">
        <v>203</v>
      </c>
      <c r="CJT18" s="314" t="s">
        <v>203</v>
      </c>
      <c r="CJU18" s="314" t="s">
        <v>203</v>
      </c>
      <c r="CJV18" s="314" t="s">
        <v>203</v>
      </c>
      <c r="CJW18" s="314" t="s">
        <v>203</v>
      </c>
      <c r="CJX18" s="314" t="s">
        <v>203</v>
      </c>
      <c r="CJY18" s="314" t="s">
        <v>203</v>
      </c>
      <c r="CJZ18" s="314" t="s">
        <v>203</v>
      </c>
      <c r="CKA18" s="314" t="s">
        <v>203</v>
      </c>
      <c r="CKB18" s="314" t="s">
        <v>203</v>
      </c>
      <c r="CKC18" s="314" t="s">
        <v>203</v>
      </c>
      <c r="CKD18" s="314" t="s">
        <v>203</v>
      </c>
      <c r="CKE18" s="314" t="s">
        <v>203</v>
      </c>
      <c r="CKF18" s="314" t="s">
        <v>203</v>
      </c>
      <c r="CKG18" s="314" t="s">
        <v>203</v>
      </c>
      <c r="CKH18" s="314" t="s">
        <v>203</v>
      </c>
      <c r="CKI18" s="314" t="s">
        <v>203</v>
      </c>
      <c r="CKJ18" s="314" t="s">
        <v>203</v>
      </c>
      <c r="CKK18" s="314" t="s">
        <v>203</v>
      </c>
      <c r="CKL18" s="314" t="s">
        <v>203</v>
      </c>
      <c r="CKM18" s="314" t="s">
        <v>203</v>
      </c>
      <c r="CKN18" s="314" t="s">
        <v>203</v>
      </c>
      <c r="CKO18" s="314" t="s">
        <v>203</v>
      </c>
      <c r="CKP18" s="314" t="s">
        <v>203</v>
      </c>
      <c r="CKQ18" s="314" t="s">
        <v>203</v>
      </c>
      <c r="CKR18" s="314" t="s">
        <v>203</v>
      </c>
      <c r="CKS18" s="314" t="s">
        <v>203</v>
      </c>
      <c r="CKT18" s="314" t="s">
        <v>203</v>
      </c>
      <c r="CKU18" s="314" t="s">
        <v>203</v>
      </c>
      <c r="CKV18" s="314" t="s">
        <v>203</v>
      </c>
      <c r="CKW18" s="314" t="s">
        <v>203</v>
      </c>
      <c r="CKX18" s="314" t="s">
        <v>203</v>
      </c>
      <c r="CKY18" s="314" t="s">
        <v>203</v>
      </c>
      <c r="CKZ18" s="314" t="s">
        <v>203</v>
      </c>
      <c r="CLA18" s="314" t="s">
        <v>203</v>
      </c>
      <c r="CLB18" s="314" t="s">
        <v>203</v>
      </c>
      <c r="CLC18" s="314" t="s">
        <v>203</v>
      </c>
      <c r="CLD18" s="314" t="s">
        <v>203</v>
      </c>
      <c r="CLE18" s="314" t="s">
        <v>203</v>
      </c>
      <c r="CLF18" s="314" t="s">
        <v>203</v>
      </c>
      <c r="CLG18" s="314" t="s">
        <v>203</v>
      </c>
      <c r="CLH18" s="314" t="s">
        <v>203</v>
      </c>
      <c r="CLI18" s="314" t="s">
        <v>203</v>
      </c>
      <c r="CLJ18" s="314" t="s">
        <v>203</v>
      </c>
      <c r="CLK18" s="314" t="s">
        <v>203</v>
      </c>
      <c r="CLL18" s="314" t="s">
        <v>203</v>
      </c>
      <c r="CLM18" s="314" t="s">
        <v>203</v>
      </c>
      <c r="CLN18" s="314" t="s">
        <v>203</v>
      </c>
      <c r="CLO18" s="314" t="s">
        <v>203</v>
      </c>
      <c r="CLP18" s="314" t="s">
        <v>203</v>
      </c>
      <c r="CLQ18" s="314" t="s">
        <v>203</v>
      </c>
      <c r="CLR18" s="314" t="s">
        <v>203</v>
      </c>
      <c r="CLS18" s="314" t="s">
        <v>203</v>
      </c>
      <c r="CLT18" s="314" t="s">
        <v>203</v>
      </c>
      <c r="CLU18" s="314" t="s">
        <v>203</v>
      </c>
      <c r="CLV18" s="314" t="s">
        <v>203</v>
      </c>
      <c r="CLW18" s="314" t="s">
        <v>203</v>
      </c>
      <c r="CLX18" s="314" t="s">
        <v>203</v>
      </c>
      <c r="CLY18" s="314" t="s">
        <v>203</v>
      </c>
      <c r="CLZ18" s="314" t="s">
        <v>203</v>
      </c>
      <c r="CMA18" s="314" t="s">
        <v>203</v>
      </c>
      <c r="CMB18" s="314" t="s">
        <v>203</v>
      </c>
      <c r="CMC18" s="314" t="s">
        <v>203</v>
      </c>
      <c r="CMD18" s="314" t="s">
        <v>203</v>
      </c>
      <c r="CME18" s="314" t="s">
        <v>203</v>
      </c>
      <c r="CMF18" s="314" t="s">
        <v>203</v>
      </c>
      <c r="CMG18" s="314" t="s">
        <v>203</v>
      </c>
      <c r="CMH18" s="314" t="s">
        <v>203</v>
      </c>
      <c r="CMI18" s="314" t="s">
        <v>203</v>
      </c>
      <c r="CMJ18" s="314" t="s">
        <v>203</v>
      </c>
      <c r="CMK18" s="314" t="s">
        <v>203</v>
      </c>
      <c r="CML18" s="314" t="s">
        <v>203</v>
      </c>
      <c r="CMM18" s="314" t="s">
        <v>203</v>
      </c>
      <c r="CMN18" s="314" t="s">
        <v>203</v>
      </c>
      <c r="CMO18" s="314" t="s">
        <v>203</v>
      </c>
      <c r="CMP18" s="314" t="s">
        <v>203</v>
      </c>
      <c r="CMQ18" s="314" t="s">
        <v>203</v>
      </c>
      <c r="CMR18" s="314" t="s">
        <v>203</v>
      </c>
      <c r="CMS18" s="314" t="s">
        <v>203</v>
      </c>
      <c r="CMT18" s="314" t="s">
        <v>203</v>
      </c>
      <c r="CMU18" s="314" t="s">
        <v>203</v>
      </c>
      <c r="CMV18" s="314" t="s">
        <v>203</v>
      </c>
      <c r="CMW18" s="314" t="s">
        <v>203</v>
      </c>
      <c r="CMX18" s="314" t="s">
        <v>203</v>
      </c>
      <c r="CMY18" s="314" t="s">
        <v>203</v>
      </c>
      <c r="CMZ18" s="314" t="s">
        <v>203</v>
      </c>
      <c r="CNA18" s="314" t="s">
        <v>203</v>
      </c>
      <c r="CNB18" s="314" t="s">
        <v>203</v>
      </c>
      <c r="CNC18" s="314" t="s">
        <v>203</v>
      </c>
      <c r="CND18" s="314" t="s">
        <v>203</v>
      </c>
      <c r="CNE18" s="314" t="s">
        <v>203</v>
      </c>
      <c r="CNF18" s="314" t="s">
        <v>203</v>
      </c>
      <c r="CNG18" s="314" t="s">
        <v>203</v>
      </c>
      <c r="CNH18" s="314" t="s">
        <v>203</v>
      </c>
      <c r="CNI18" s="314" t="s">
        <v>203</v>
      </c>
      <c r="CNJ18" s="314" t="s">
        <v>203</v>
      </c>
      <c r="CNK18" s="314" t="s">
        <v>203</v>
      </c>
      <c r="CNL18" s="314" t="s">
        <v>203</v>
      </c>
      <c r="CNM18" s="314" t="s">
        <v>203</v>
      </c>
      <c r="CNN18" s="314" t="s">
        <v>203</v>
      </c>
      <c r="CNO18" s="314" t="s">
        <v>203</v>
      </c>
      <c r="CNP18" s="314" t="s">
        <v>203</v>
      </c>
      <c r="CNQ18" s="314" t="s">
        <v>203</v>
      </c>
      <c r="CNR18" s="314" t="s">
        <v>203</v>
      </c>
      <c r="CNS18" s="314" t="s">
        <v>203</v>
      </c>
      <c r="CNT18" s="314" t="s">
        <v>203</v>
      </c>
      <c r="CNU18" s="314" t="s">
        <v>203</v>
      </c>
      <c r="CNV18" s="314" t="s">
        <v>203</v>
      </c>
      <c r="CNW18" s="314" t="s">
        <v>203</v>
      </c>
      <c r="CNX18" s="314" t="s">
        <v>203</v>
      </c>
      <c r="CNY18" s="314" t="s">
        <v>203</v>
      </c>
      <c r="CNZ18" s="314" t="s">
        <v>203</v>
      </c>
      <c r="COA18" s="314" t="s">
        <v>203</v>
      </c>
      <c r="COB18" s="314" t="s">
        <v>203</v>
      </c>
      <c r="COC18" s="314" t="s">
        <v>203</v>
      </c>
      <c r="COD18" s="314" t="s">
        <v>203</v>
      </c>
      <c r="COE18" s="314" t="s">
        <v>203</v>
      </c>
      <c r="COF18" s="314" t="s">
        <v>203</v>
      </c>
      <c r="COG18" s="314" t="s">
        <v>203</v>
      </c>
      <c r="COH18" s="314" t="s">
        <v>203</v>
      </c>
      <c r="COI18" s="314" t="s">
        <v>203</v>
      </c>
      <c r="COJ18" s="314" t="s">
        <v>203</v>
      </c>
      <c r="COK18" s="314" t="s">
        <v>203</v>
      </c>
      <c r="COL18" s="314" t="s">
        <v>203</v>
      </c>
      <c r="COM18" s="314" t="s">
        <v>203</v>
      </c>
      <c r="CON18" s="314" t="s">
        <v>203</v>
      </c>
      <c r="COO18" s="314" t="s">
        <v>203</v>
      </c>
      <c r="COP18" s="314" t="s">
        <v>203</v>
      </c>
      <c r="COQ18" s="314" t="s">
        <v>203</v>
      </c>
      <c r="COR18" s="314" t="s">
        <v>203</v>
      </c>
      <c r="COS18" s="314" t="s">
        <v>203</v>
      </c>
      <c r="COT18" s="314" t="s">
        <v>203</v>
      </c>
      <c r="COU18" s="314" t="s">
        <v>203</v>
      </c>
      <c r="COV18" s="314" t="s">
        <v>203</v>
      </c>
      <c r="COW18" s="314" t="s">
        <v>203</v>
      </c>
      <c r="COX18" s="314" t="s">
        <v>203</v>
      </c>
      <c r="COY18" s="314" t="s">
        <v>203</v>
      </c>
      <c r="COZ18" s="314" t="s">
        <v>203</v>
      </c>
      <c r="CPA18" s="314" t="s">
        <v>203</v>
      </c>
      <c r="CPB18" s="314" t="s">
        <v>203</v>
      </c>
      <c r="CPC18" s="314" t="s">
        <v>203</v>
      </c>
      <c r="CPD18" s="314" t="s">
        <v>203</v>
      </c>
      <c r="CPE18" s="314" t="s">
        <v>203</v>
      </c>
      <c r="CPF18" s="314" t="s">
        <v>203</v>
      </c>
      <c r="CPG18" s="314" t="s">
        <v>203</v>
      </c>
      <c r="CPH18" s="314" t="s">
        <v>203</v>
      </c>
      <c r="CPI18" s="314" t="s">
        <v>203</v>
      </c>
      <c r="CPJ18" s="314" t="s">
        <v>203</v>
      </c>
      <c r="CPK18" s="314" t="s">
        <v>203</v>
      </c>
      <c r="CPL18" s="314" t="s">
        <v>203</v>
      </c>
      <c r="CPM18" s="314" t="s">
        <v>203</v>
      </c>
      <c r="CPN18" s="314" t="s">
        <v>203</v>
      </c>
      <c r="CPO18" s="314" t="s">
        <v>203</v>
      </c>
      <c r="CPP18" s="314" t="s">
        <v>203</v>
      </c>
      <c r="CPQ18" s="314" t="s">
        <v>203</v>
      </c>
      <c r="CPR18" s="314" t="s">
        <v>203</v>
      </c>
      <c r="CPS18" s="314" t="s">
        <v>203</v>
      </c>
      <c r="CPT18" s="314" t="s">
        <v>203</v>
      </c>
      <c r="CPU18" s="314" t="s">
        <v>203</v>
      </c>
      <c r="CPV18" s="314" t="s">
        <v>203</v>
      </c>
      <c r="CPW18" s="314" t="s">
        <v>203</v>
      </c>
      <c r="CPX18" s="314" t="s">
        <v>203</v>
      </c>
      <c r="CPY18" s="314" t="s">
        <v>203</v>
      </c>
      <c r="CPZ18" s="314" t="s">
        <v>203</v>
      </c>
      <c r="CQA18" s="314" t="s">
        <v>203</v>
      </c>
      <c r="CQB18" s="314" t="s">
        <v>203</v>
      </c>
      <c r="CQC18" s="314" t="s">
        <v>203</v>
      </c>
      <c r="CQD18" s="314" t="s">
        <v>203</v>
      </c>
      <c r="CQE18" s="314" t="s">
        <v>203</v>
      </c>
      <c r="CQF18" s="314" t="s">
        <v>203</v>
      </c>
      <c r="CQG18" s="314" t="s">
        <v>203</v>
      </c>
      <c r="CQH18" s="314" t="s">
        <v>203</v>
      </c>
      <c r="CQI18" s="314" t="s">
        <v>203</v>
      </c>
      <c r="CQJ18" s="314" t="s">
        <v>203</v>
      </c>
      <c r="CQK18" s="314" t="s">
        <v>203</v>
      </c>
      <c r="CQL18" s="314" t="s">
        <v>203</v>
      </c>
      <c r="CQM18" s="314" t="s">
        <v>203</v>
      </c>
      <c r="CQN18" s="314" t="s">
        <v>203</v>
      </c>
      <c r="CQO18" s="314" t="s">
        <v>203</v>
      </c>
      <c r="CQP18" s="314" t="s">
        <v>203</v>
      </c>
      <c r="CQQ18" s="314" t="s">
        <v>203</v>
      </c>
      <c r="CQR18" s="314" t="s">
        <v>203</v>
      </c>
      <c r="CQS18" s="314" t="s">
        <v>203</v>
      </c>
      <c r="CQT18" s="314" t="s">
        <v>203</v>
      </c>
      <c r="CQU18" s="314" t="s">
        <v>203</v>
      </c>
      <c r="CQV18" s="314" t="s">
        <v>203</v>
      </c>
      <c r="CQW18" s="314" t="s">
        <v>203</v>
      </c>
      <c r="CQX18" s="314" t="s">
        <v>203</v>
      </c>
      <c r="CQY18" s="314" t="s">
        <v>203</v>
      </c>
      <c r="CQZ18" s="314" t="s">
        <v>203</v>
      </c>
      <c r="CRA18" s="314" t="s">
        <v>203</v>
      </c>
      <c r="CRB18" s="314" t="s">
        <v>203</v>
      </c>
      <c r="CRC18" s="314" t="s">
        <v>203</v>
      </c>
      <c r="CRD18" s="314" t="s">
        <v>203</v>
      </c>
      <c r="CRE18" s="314" t="s">
        <v>203</v>
      </c>
      <c r="CRF18" s="314" t="s">
        <v>203</v>
      </c>
      <c r="CRG18" s="314" t="s">
        <v>203</v>
      </c>
      <c r="CRH18" s="314" t="s">
        <v>203</v>
      </c>
      <c r="CRI18" s="314" t="s">
        <v>203</v>
      </c>
      <c r="CRJ18" s="314" t="s">
        <v>203</v>
      </c>
      <c r="CRK18" s="314" t="s">
        <v>203</v>
      </c>
      <c r="CRL18" s="314" t="s">
        <v>203</v>
      </c>
      <c r="CRM18" s="314" t="s">
        <v>203</v>
      </c>
      <c r="CRN18" s="314" t="s">
        <v>203</v>
      </c>
      <c r="CRO18" s="314" t="s">
        <v>203</v>
      </c>
      <c r="CRP18" s="314" t="s">
        <v>203</v>
      </c>
      <c r="CRQ18" s="314" t="s">
        <v>203</v>
      </c>
      <c r="CRR18" s="314" t="s">
        <v>203</v>
      </c>
      <c r="CRS18" s="314" t="s">
        <v>203</v>
      </c>
      <c r="CRT18" s="314" t="s">
        <v>203</v>
      </c>
      <c r="CRU18" s="314" t="s">
        <v>203</v>
      </c>
      <c r="CRV18" s="314" t="s">
        <v>203</v>
      </c>
      <c r="CRW18" s="314" t="s">
        <v>203</v>
      </c>
      <c r="CRX18" s="314" t="s">
        <v>203</v>
      </c>
      <c r="CRY18" s="314" t="s">
        <v>203</v>
      </c>
      <c r="CRZ18" s="314" t="s">
        <v>203</v>
      </c>
      <c r="CSA18" s="314" t="s">
        <v>203</v>
      </c>
      <c r="CSB18" s="314" t="s">
        <v>203</v>
      </c>
      <c r="CSC18" s="314" t="s">
        <v>203</v>
      </c>
      <c r="CSD18" s="314" t="s">
        <v>203</v>
      </c>
      <c r="CSE18" s="314" t="s">
        <v>203</v>
      </c>
      <c r="CSF18" s="314" t="s">
        <v>203</v>
      </c>
      <c r="CSG18" s="314" t="s">
        <v>203</v>
      </c>
      <c r="CSH18" s="314" t="s">
        <v>203</v>
      </c>
      <c r="CSI18" s="314" t="s">
        <v>203</v>
      </c>
      <c r="CSJ18" s="314" t="s">
        <v>203</v>
      </c>
      <c r="CSK18" s="314" t="s">
        <v>203</v>
      </c>
      <c r="CSL18" s="314" t="s">
        <v>203</v>
      </c>
      <c r="CSM18" s="314" t="s">
        <v>203</v>
      </c>
      <c r="CSN18" s="314" t="s">
        <v>203</v>
      </c>
      <c r="CSO18" s="314" t="s">
        <v>203</v>
      </c>
      <c r="CSP18" s="314" t="s">
        <v>203</v>
      </c>
      <c r="CSQ18" s="314" t="s">
        <v>203</v>
      </c>
      <c r="CSR18" s="314" t="s">
        <v>203</v>
      </c>
      <c r="CSS18" s="314" t="s">
        <v>203</v>
      </c>
      <c r="CST18" s="314" t="s">
        <v>203</v>
      </c>
      <c r="CSU18" s="314" t="s">
        <v>203</v>
      </c>
      <c r="CSV18" s="314" t="s">
        <v>203</v>
      </c>
      <c r="CSW18" s="314" t="s">
        <v>203</v>
      </c>
      <c r="CSX18" s="314" t="s">
        <v>203</v>
      </c>
      <c r="CSY18" s="314" t="s">
        <v>203</v>
      </c>
      <c r="CSZ18" s="314" t="s">
        <v>203</v>
      </c>
      <c r="CTA18" s="314" t="s">
        <v>203</v>
      </c>
      <c r="CTB18" s="314" t="s">
        <v>203</v>
      </c>
      <c r="CTC18" s="314" t="s">
        <v>203</v>
      </c>
      <c r="CTD18" s="314" t="s">
        <v>203</v>
      </c>
      <c r="CTE18" s="314" t="s">
        <v>203</v>
      </c>
      <c r="CTF18" s="314" t="s">
        <v>203</v>
      </c>
      <c r="CTG18" s="314" t="s">
        <v>203</v>
      </c>
      <c r="CTH18" s="314" t="s">
        <v>203</v>
      </c>
      <c r="CTI18" s="314" t="s">
        <v>203</v>
      </c>
      <c r="CTJ18" s="314" t="s">
        <v>203</v>
      </c>
      <c r="CTK18" s="314" t="s">
        <v>203</v>
      </c>
      <c r="CTL18" s="314" t="s">
        <v>203</v>
      </c>
      <c r="CTM18" s="314" t="s">
        <v>203</v>
      </c>
      <c r="CTN18" s="314" t="s">
        <v>203</v>
      </c>
      <c r="CTO18" s="314" t="s">
        <v>203</v>
      </c>
      <c r="CTP18" s="314" t="s">
        <v>203</v>
      </c>
      <c r="CTQ18" s="314" t="s">
        <v>203</v>
      </c>
      <c r="CTR18" s="314" t="s">
        <v>203</v>
      </c>
      <c r="CTS18" s="314" t="s">
        <v>203</v>
      </c>
      <c r="CTT18" s="314" t="s">
        <v>203</v>
      </c>
      <c r="CTU18" s="314" t="s">
        <v>203</v>
      </c>
      <c r="CTV18" s="314" t="s">
        <v>203</v>
      </c>
      <c r="CTW18" s="314" t="s">
        <v>203</v>
      </c>
      <c r="CTX18" s="314" t="s">
        <v>203</v>
      </c>
      <c r="CTY18" s="314" t="s">
        <v>203</v>
      </c>
      <c r="CTZ18" s="314" t="s">
        <v>203</v>
      </c>
      <c r="CUA18" s="314" t="s">
        <v>203</v>
      </c>
      <c r="CUB18" s="314" t="s">
        <v>203</v>
      </c>
      <c r="CUC18" s="314" t="s">
        <v>203</v>
      </c>
      <c r="CUD18" s="314" t="s">
        <v>203</v>
      </c>
      <c r="CUE18" s="314" t="s">
        <v>203</v>
      </c>
      <c r="CUF18" s="314" t="s">
        <v>203</v>
      </c>
      <c r="CUG18" s="314" t="s">
        <v>203</v>
      </c>
      <c r="CUH18" s="314" t="s">
        <v>203</v>
      </c>
      <c r="CUI18" s="314" t="s">
        <v>203</v>
      </c>
      <c r="CUJ18" s="314" t="s">
        <v>203</v>
      </c>
      <c r="CUK18" s="314" t="s">
        <v>203</v>
      </c>
      <c r="CUL18" s="314" t="s">
        <v>203</v>
      </c>
      <c r="CUM18" s="314" t="s">
        <v>203</v>
      </c>
      <c r="CUN18" s="314" t="s">
        <v>203</v>
      </c>
      <c r="CUO18" s="314" t="s">
        <v>203</v>
      </c>
      <c r="CUP18" s="314" t="s">
        <v>203</v>
      </c>
      <c r="CUQ18" s="314" t="s">
        <v>203</v>
      </c>
      <c r="CUR18" s="314" t="s">
        <v>203</v>
      </c>
      <c r="CUS18" s="314" t="s">
        <v>203</v>
      </c>
      <c r="CUT18" s="314" t="s">
        <v>203</v>
      </c>
      <c r="CUU18" s="314" t="s">
        <v>203</v>
      </c>
      <c r="CUV18" s="314" t="s">
        <v>203</v>
      </c>
      <c r="CUW18" s="314" t="s">
        <v>203</v>
      </c>
      <c r="CUX18" s="314" t="s">
        <v>203</v>
      </c>
      <c r="CUY18" s="314" t="s">
        <v>203</v>
      </c>
      <c r="CUZ18" s="314" t="s">
        <v>203</v>
      </c>
      <c r="CVA18" s="314" t="s">
        <v>203</v>
      </c>
      <c r="CVB18" s="314" t="s">
        <v>203</v>
      </c>
      <c r="CVC18" s="314" t="s">
        <v>203</v>
      </c>
      <c r="CVD18" s="314" t="s">
        <v>203</v>
      </c>
      <c r="CVE18" s="314" t="s">
        <v>203</v>
      </c>
      <c r="CVF18" s="314" t="s">
        <v>203</v>
      </c>
      <c r="CVG18" s="314" t="s">
        <v>203</v>
      </c>
      <c r="CVH18" s="314" t="s">
        <v>203</v>
      </c>
      <c r="CVI18" s="314" t="s">
        <v>203</v>
      </c>
      <c r="CVJ18" s="314" t="s">
        <v>203</v>
      </c>
      <c r="CVK18" s="314" t="s">
        <v>203</v>
      </c>
      <c r="CVL18" s="314" t="s">
        <v>203</v>
      </c>
      <c r="CVM18" s="314" t="s">
        <v>203</v>
      </c>
      <c r="CVN18" s="314" t="s">
        <v>203</v>
      </c>
      <c r="CVO18" s="314" t="s">
        <v>203</v>
      </c>
      <c r="CVP18" s="314" t="s">
        <v>203</v>
      </c>
      <c r="CVQ18" s="314" t="s">
        <v>203</v>
      </c>
      <c r="CVR18" s="314" t="s">
        <v>203</v>
      </c>
      <c r="CVS18" s="314" t="s">
        <v>203</v>
      </c>
      <c r="CVT18" s="314" t="s">
        <v>203</v>
      </c>
      <c r="CVU18" s="314" t="s">
        <v>203</v>
      </c>
      <c r="CVV18" s="314" t="s">
        <v>203</v>
      </c>
      <c r="CVW18" s="314" t="s">
        <v>203</v>
      </c>
      <c r="CVX18" s="314" t="s">
        <v>203</v>
      </c>
      <c r="CVY18" s="314" t="s">
        <v>203</v>
      </c>
      <c r="CVZ18" s="314" t="s">
        <v>203</v>
      </c>
      <c r="CWA18" s="314" t="s">
        <v>203</v>
      </c>
      <c r="CWB18" s="314" t="s">
        <v>203</v>
      </c>
      <c r="CWC18" s="314" t="s">
        <v>203</v>
      </c>
      <c r="CWD18" s="314" t="s">
        <v>203</v>
      </c>
      <c r="CWE18" s="314" t="s">
        <v>203</v>
      </c>
      <c r="CWF18" s="314" t="s">
        <v>203</v>
      </c>
      <c r="CWG18" s="314" t="s">
        <v>203</v>
      </c>
      <c r="CWH18" s="314" t="s">
        <v>203</v>
      </c>
      <c r="CWI18" s="314" t="s">
        <v>203</v>
      </c>
      <c r="CWJ18" s="314" t="s">
        <v>203</v>
      </c>
      <c r="CWK18" s="314" t="s">
        <v>203</v>
      </c>
      <c r="CWL18" s="314" t="s">
        <v>203</v>
      </c>
      <c r="CWM18" s="314" t="s">
        <v>203</v>
      </c>
      <c r="CWN18" s="314" t="s">
        <v>203</v>
      </c>
      <c r="CWO18" s="314" t="s">
        <v>203</v>
      </c>
      <c r="CWP18" s="314" t="s">
        <v>203</v>
      </c>
      <c r="CWQ18" s="314" t="s">
        <v>203</v>
      </c>
      <c r="CWR18" s="314" t="s">
        <v>203</v>
      </c>
      <c r="CWS18" s="314" t="s">
        <v>203</v>
      </c>
      <c r="CWT18" s="314" t="s">
        <v>203</v>
      </c>
      <c r="CWU18" s="314" t="s">
        <v>203</v>
      </c>
      <c r="CWV18" s="314" t="s">
        <v>203</v>
      </c>
      <c r="CWW18" s="314" t="s">
        <v>203</v>
      </c>
      <c r="CWX18" s="314" t="s">
        <v>203</v>
      </c>
      <c r="CWY18" s="314" t="s">
        <v>203</v>
      </c>
      <c r="CWZ18" s="314" t="s">
        <v>203</v>
      </c>
      <c r="CXA18" s="314" t="s">
        <v>203</v>
      </c>
      <c r="CXB18" s="314" t="s">
        <v>203</v>
      </c>
      <c r="CXC18" s="314" t="s">
        <v>203</v>
      </c>
      <c r="CXD18" s="314" t="s">
        <v>203</v>
      </c>
      <c r="CXE18" s="314" t="s">
        <v>203</v>
      </c>
      <c r="CXF18" s="314" t="s">
        <v>203</v>
      </c>
      <c r="CXG18" s="314" t="s">
        <v>203</v>
      </c>
      <c r="CXH18" s="314" t="s">
        <v>203</v>
      </c>
      <c r="CXI18" s="314" t="s">
        <v>203</v>
      </c>
      <c r="CXJ18" s="314" t="s">
        <v>203</v>
      </c>
      <c r="CXK18" s="314" t="s">
        <v>203</v>
      </c>
      <c r="CXL18" s="314" t="s">
        <v>203</v>
      </c>
      <c r="CXM18" s="314" t="s">
        <v>203</v>
      </c>
      <c r="CXN18" s="314" t="s">
        <v>203</v>
      </c>
      <c r="CXO18" s="314" t="s">
        <v>203</v>
      </c>
      <c r="CXP18" s="314" t="s">
        <v>203</v>
      </c>
      <c r="CXQ18" s="314" t="s">
        <v>203</v>
      </c>
      <c r="CXR18" s="314" t="s">
        <v>203</v>
      </c>
      <c r="CXS18" s="314" t="s">
        <v>203</v>
      </c>
      <c r="CXT18" s="314" t="s">
        <v>203</v>
      </c>
      <c r="CXU18" s="314" t="s">
        <v>203</v>
      </c>
      <c r="CXV18" s="314" t="s">
        <v>203</v>
      </c>
      <c r="CXW18" s="314" t="s">
        <v>203</v>
      </c>
      <c r="CXX18" s="314" t="s">
        <v>203</v>
      </c>
      <c r="CXY18" s="314" t="s">
        <v>203</v>
      </c>
      <c r="CXZ18" s="314" t="s">
        <v>203</v>
      </c>
      <c r="CYA18" s="314" t="s">
        <v>203</v>
      </c>
      <c r="CYB18" s="314" t="s">
        <v>203</v>
      </c>
      <c r="CYC18" s="314" t="s">
        <v>203</v>
      </c>
      <c r="CYD18" s="314" t="s">
        <v>203</v>
      </c>
      <c r="CYE18" s="314" t="s">
        <v>203</v>
      </c>
      <c r="CYF18" s="314" t="s">
        <v>203</v>
      </c>
      <c r="CYG18" s="314" t="s">
        <v>203</v>
      </c>
      <c r="CYH18" s="314" t="s">
        <v>203</v>
      </c>
      <c r="CYI18" s="314" t="s">
        <v>203</v>
      </c>
      <c r="CYJ18" s="314" t="s">
        <v>203</v>
      </c>
      <c r="CYK18" s="314" t="s">
        <v>203</v>
      </c>
      <c r="CYL18" s="314" t="s">
        <v>203</v>
      </c>
      <c r="CYM18" s="314" t="s">
        <v>203</v>
      </c>
      <c r="CYN18" s="314" t="s">
        <v>203</v>
      </c>
      <c r="CYO18" s="314" t="s">
        <v>203</v>
      </c>
      <c r="CYP18" s="314" t="s">
        <v>203</v>
      </c>
      <c r="CYQ18" s="314" t="s">
        <v>203</v>
      </c>
      <c r="CYR18" s="314" t="s">
        <v>203</v>
      </c>
      <c r="CYS18" s="314" t="s">
        <v>203</v>
      </c>
      <c r="CYT18" s="314" t="s">
        <v>203</v>
      </c>
      <c r="CYU18" s="314" t="s">
        <v>203</v>
      </c>
      <c r="CYV18" s="314" t="s">
        <v>203</v>
      </c>
      <c r="CYW18" s="314" t="s">
        <v>203</v>
      </c>
      <c r="CYX18" s="314" t="s">
        <v>203</v>
      </c>
      <c r="CYY18" s="314" t="s">
        <v>203</v>
      </c>
      <c r="CYZ18" s="314" t="s">
        <v>203</v>
      </c>
      <c r="CZA18" s="314" t="s">
        <v>203</v>
      </c>
      <c r="CZB18" s="314" t="s">
        <v>203</v>
      </c>
      <c r="CZC18" s="314" t="s">
        <v>203</v>
      </c>
      <c r="CZD18" s="314" t="s">
        <v>203</v>
      </c>
      <c r="CZE18" s="314" t="s">
        <v>203</v>
      </c>
      <c r="CZF18" s="314" t="s">
        <v>203</v>
      </c>
      <c r="CZG18" s="314" t="s">
        <v>203</v>
      </c>
      <c r="CZH18" s="314" t="s">
        <v>203</v>
      </c>
      <c r="CZI18" s="314" t="s">
        <v>203</v>
      </c>
      <c r="CZJ18" s="314" t="s">
        <v>203</v>
      </c>
      <c r="CZK18" s="314" t="s">
        <v>203</v>
      </c>
      <c r="CZL18" s="314" t="s">
        <v>203</v>
      </c>
      <c r="CZM18" s="314" t="s">
        <v>203</v>
      </c>
      <c r="CZN18" s="314" t="s">
        <v>203</v>
      </c>
      <c r="CZO18" s="314" t="s">
        <v>203</v>
      </c>
      <c r="CZP18" s="314" t="s">
        <v>203</v>
      </c>
      <c r="CZQ18" s="314" t="s">
        <v>203</v>
      </c>
      <c r="CZR18" s="314" t="s">
        <v>203</v>
      </c>
      <c r="CZS18" s="314" t="s">
        <v>203</v>
      </c>
      <c r="CZT18" s="314" t="s">
        <v>203</v>
      </c>
      <c r="CZU18" s="314" t="s">
        <v>203</v>
      </c>
      <c r="CZV18" s="314" t="s">
        <v>203</v>
      </c>
      <c r="CZW18" s="314" t="s">
        <v>203</v>
      </c>
      <c r="CZX18" s="314" t="s">
        <v>203</v>
      </c>
      <c r="CZY18" s="314" t="s">
        <v>203</v>
      </c>
      <c r="CZZ18" s="314" t="s">
        <v>203</v>
      </c>
      <c r="DAA18" s="314" t="s">
        <v>203</v>
      </c>
      <c r="DAB18" s="314" t="s">
        <v>203</v>
      </c>
      <c r="DAC18" s="314" t="s">
        <v>203</v>
      </c>
      <c r="DAD18" s="314" t="s">
        <v>203</v>
      </c>
      <c r="DAE18" s="314" t="s">
        <v>203</v>
      </c>
      <c r="DAF18" s="314" t="s">
        <v>203</v>
      </c>
      <c r="DAG18" s="314" t="s">
        <v>203</v>
      </c>
      <c r="DAH18" s="314" t="s">
        <v>203</v>
      </c>
      <c r="DAI18" s="314" t="s">
        <v>203</v>
      </c>
      <c r="DAJ18" s="314" t="s">
        <v>203</v>
      </c>
      <c r="DAK18" s="314" t="s">
        <v>203</v>
      </c>
      <c r="DAL18" s="314" t="s">
        <v>203</v>
      </c>
      <c r="DAM18" s="314" t="s">
        <v>203</v>
      </c>
      <c r="DAN18" s="314" t="s">
        <v>203</v>
      </c>
      <c r="DAO18" s="314" t="s">
        <v>203</v>
      </c>
      <c r="DAP18" s="314" t="s">
        <v>203</v>
      </c>
      <c r="DAQ18" s="314" t="s">
        <v>203</v>
      </c>
      <c r="DAR18" s="314" t="s">
        <v>203</v>
      </c>
      <c r="DAS18" s="314" t="s">
        <v>203</v>
      </c>
      <c r="DAT18" s="314" t="s">
        <v>203</v>
      </c>
      <c r="DAU18" s="314" t="s">
        <v>203</v>
      </c>
      <c r="DAV18" s="314" t="s">
        <v>203</v>
      </c>
      <c r="DAW18" s="314" t="s">
        <v>203</v>
      </c>
      <c r="DAX18" s="314" t="s">
        <v>203</v>
      </c>
      <c r="DAY18" s="314" t="s">
        <v>203</v>
      </c>
      <c r="DAZ18" s="314" t="s">
        <v>203</v>
      </c>
      <c r="DBA18" s="314" t="s">
        <v>203</v>
      </c>
      <c r="DBB18" s="314" t="s">
        <v>203</v>
      </c>
      <c r="DBC18" s="314" t="s">
        <v>203</v>
      </c>
      <c r="DBD18" s="314" t="s">
        <v>203</v>
      </c>
      <c r="DBE18" s="314" t="s">
        <v>203</v>
      </c>
      <c r="DBF18" s="314" t="s">
        <v>203</v>
      </c>
      <c r="DBG18" s="314" t="s">
        <v>203</v>
      </c>
      <c r="DBH18" s="314" t="s">
        <v>203</v>
      </c>
      <c r="DBI18" s="314" t="s">
        <v>203</v>
      </c>
      <c r="DBJ18" s="314" t="s">
        <v>203</v>
      </c>
      <c r="DBK18" s="314" t="s">
        <v>203</v>
      </c>
      <c r="DBL18" s="314" t="s">
        <v>203</v>
      </c>
      <c r="DBM18" s="314" t="s">
        <v>203</v>
      </c>
      <c r="DBN18" s="314" t="s">
        <v>203</v>
      </c>
      <c r="DBO18" s="314" t="s">
        <v>203</v>
      </c>
      <c r="DBP18" s="314" t="s">
        <v>203</v>
      </c>
      <c r="DBQ18" s="314" t="s">
        <v>203</v>
      </c>
      <c r="DBR18" s="314" t="s">
        <v>203</v>
      </c>
      <c r="DBS18" s="314" t="s">
        <v>203</v>
      </c>
      <c r="DBT18" s="314" t="s">
        <v>203</v>
      </c>
      <c r="DBU18" s="314" t="s">
        <v>203</v>
      </c>
      <c r="DBV18" s="314" t="s">
        <v>203</v>
      </c>
      <c r="DBW18" s="314" t="s">
        <v>203</v>
      </c>
      <c r="DBX18" s="314" t="s">
        <v>203</v>
      </c>
      <c r="DBY18" s="314" t="s">
        <v>203</v>
      </c>
      <c r="DBZ18" s="314" t="s">
        <v>203</v>
      </c>
      <c r="DCA18" s="314" t="s">
        <v>203</v>
      </c>
      <c r="DCB18" s="314" t="s">
        <v>203</v>
      </c>
      <c r="DCC18" s="314" t="s">
        <v>203</v>
      </c>
      <c r="DCD18" s="314" t="s">
        <v>203</v>
      </c>
      <c r="DCE18" s="314" t="s">
        <v>203</v>
      </c>
      <c r="DCF18" s="314" t="s">
        <v>203</v>
      </c>
      <c r="DCG18" s="314" t="s">
        <v>203</v>
      </c>
      <c r="DCH18" s="314" t="s">
        <v>203</v>
      </c>
      <c r="DCI18" s="314" t="s">
        <v>203</v>
      </c>
      <c r="DCJ18" s="314" t="s">
        <v>203</v>
      </c>
      <c r="DCK18" s="314" t="s">
        <v>203</v>
      </c>
      <c r="DCL18" s="314" t="s">
        <v>203</v>
      </c>
      <c r="DCM18" s="314" t="s">
        <v>203</v>
      </c>
      <c r="DCN18" s="314" t="s">
        <v>203</v>
      </c>
      <c r="DCO18" s="314" t="s">
        <v>203</v>
      </c>
      <c r="DCP18" s="314" t="s">
        <v>203</v>
      </c>
      <c r="DCQ18" s="314" t="s">
        <v>203</v>
      </c>
      <c r="DCR18" s="314" t="s">
        <v>203</v>
      </c>
      <c r="DCS18" s="314" t="s">
        <v>203</v>
      </c>
      <c r="DCT18" s="314" t="s">
        <v>203</v>
      </c>
      <c r="DCU18" s="314" t="s">
        <v>203</v>
      </c>
      <c r="DCV18" s="314" t="s">
        <v>203</v>
      </c>
      <c r="DCW18" s="314" t="s">
        <v>203</v>
      </c>
      <c r="DCX18" s="314" t="s">
        <v>203</v>
      </c>
      <c r="DCY18" s="314" t="s">
        <v>203</v>
      </c>
      <c r="DCZ18" s="314" t="s">
        <v>203</v>
      </c>
      <c r="DDA18" s="314" t="s">
        <v>203</v>
      </c>
      <c r="DDB18" s="314" t="s">
        <v>203</v>
      </c>
      <c r="DDC18" s="314" t="s">
        <v>203</v>
      </c>
      <c r="DDD18" s="314" t="s">
        <v>203</v>
      </c>
      <c r="DDE18" s="314" t="s">
        <v>203</v>
      </c>
      <c r="DDF18" s="314" t="s">
        <v>203</v>
      </c>
      <c r="DDG18" s="314" t="s">
        <v>203</v>
      </c>
      <c r="DDH18" s="314" t="s">
        <v>203</v>
      </c>
      <c r="DDI18" s="314" t="s">
        <v>203</v>
      </c>
      <c r="DDJ18" s="314" t="s">
        <v>203</v>
      </c>
      <c r="DDK18" s="314" t="s">
        <v>203</v>
      </c>
      <c r="DDL18" s="314" t="s">
        <v>203</v>
      </c>
      <c r="DDM18" s="314" t="s">
        <v>203</v>
      </c>
      <c r="DDN18" s="314" t="s">
        <v>203</v>
      </c>
      <c r="DDO18" s="314" t="s">
        <v>203</v>
      </c>
      <c r="DDP18" s="314" t="s">
        <v>203</v>
      </c>
      <c r="DDQ18" s="314" t="s">
        <v>203</v>
      </c>
      <c r="DDR18" s="314" t="s">
        <v>203</v>
      </c>
      <c r="DDS18" s="314" t="s">
        <v>203</v>
      </c>
      <c r="DDT18" s="314" t="s">
        <v>203</v>
      </c>
      <c r="DDU18" s="314" t="s">
        <v>203</v>
      </c>
      <c r="DDV18" s="314" t="s">
        <v>203</v>
      </c>
      <c r="DDW18" s="314" t="s">
        <v>203</v>
      </c>
      <c r="DDX18" s="314" t="s">
        <v>203</v>
      </c>
      <c r="DDY18" s="314" t="s">
        <v>203</v>
      </c>
      <c r="DDZ18" s="314" t="s">
        <v>203</v>
      </c>
      <c r="DEA18" s="314" t="s">
        <v>203</v>
      </c>
      <c r="DEB18" s="314" t="s">
        <v>203</v>
      </c>
      <c r="DEC18" s="314" t="s">
        <v>203</v>
      </c>
      <c r="DED18" s="314" t="s">
        <v>203</v>
      </c>
      <c r="DEE18" s="314" t="s">
        <v>203</v>
      </c>
      <c r="DEF18" s="314" t="s">
        <v>203</v>
      </c>
      <c r="DEG18" s="314" t="s">
        <v>203</v>
      </c>
      <c r="DEH18" s="314" t="s">
        <v>203</v>
      </c>
      <c r="DEI18" s="314" t="s">
        <v>203</v>
      </c>
      <c r="DEJ18" s="314" t="s">
        <v>203</v>
      </c>
      <c r="DEK18" s="314" t="s">
        <v>203</v>
      </c>
      <c r="DEL18" s="314" t="s">
        <v>203</v>
      </c>
      <c r="DEM18" s="314" t="s">
        <v>203</v>
      </c>
      <c r="DEN18" s="314" t="s">
        <v>203</v>
      </c>
      <c r="DEO18" s="314" t="s">
        <v>203</v>
      </c>
      <c r="DEP18" s="314" t="s">
        <v>203</v>
      </c>
      <c r="DEQ18" s="314" t="s">
        <v>203</v>
      </c>
      <c r="DER18" s="314" t="s">
        <v>203</v>
      </c>
      <c r="DES18" s="314" t="s">
        <v>203</v>
      </c>
      <c r="DET18" s="314" t="s">
        <v>203</v>
      </c>
      <c r="DEU18" s="314" t="s">
        <v>203</v>
      </c>
      <c r="DEV18" s="314" t="s">
        <v>203</v>
      </c>
      <c r="DEW18" s="314" t="s">
        <v>203</v>
      </c>
      <c r="DEX18" s="314" t="s">
        <v>203</v>
      </c>
      <c r="DEY18" s="314" t="s">
        <v>203</v>
      </c>
      <c r="DEZ18" s="314" t="s">
        <v>203</v>
      </c>
      <c r="DFA18" s="314" t="s">
        <v>203</v>
      </c>
      <c r="DFB18" s="314" t="s">
        <v>203</v>
      </c>
      <c r="DFC18" s="314" t="s">
        <v>203</v>
      </c>
      <c r="DFD18" s="314" t="s">
        <v>203</v>
      </c>
      <c r="DFE18" s="314" t="s">
        <v>203</v>
      </c>
      <c r="DFF18" s="314" t="s">
        <v>203</v>
      </c>
      <c r="DFG18" s="314" t="s">
        <v>203</v>
      </c>
      <c r="DFH18" s="314" t="s">
        <v>203</v>
      </c>
      <c r="DFI18" s="314" t="s">
        <v>203</v>
      </c>
      <c r="DFJ18" s="314" t="s">
        <v>203</v>
      </c>
      <c r="DFK18" s="314" t="s">
        <v>203</v>
      </c>
      <c r="DFL18" s="314" t="s">
        <v>203</v>
      </c>
      <c r="DFM18" s="314" t="s">
        <v>203</v>
      </c>
      <c r="DFN18" s="314" t="s">
        <v>203</v>
      </c>
      <c r="DFO18" s="314" t="s">
        <v>203</v>
      </c>
      <c r="DFP18" s="314" t="s">
        <v>203</v>
      </c>
      <c r="DFQ18" s="314" t="s">
        <v>203</v>
      </c>
      <c r="DFR18" s="314" t="s">
        <v>203</v>
      </c>
      <c r="DFS18" s="314" t="s">
        <v>203</v>
      </c>
      <c r="DFT18" s="314" t="s">
        <v>203</v>
      </c>
      <c r="DFU18" s="314" t="s">
        <v>203</v>
      </c>
      <c r="DFV18" s="314" t="s">
        <v>203</v>
      </c>
      <c r="DFW18" s="314" t="s">
        <v>203</v>
      </c>
      <c r="DFX18" s="314" t="s">
        <v>203</v>
      </c>
      <c r="DFY18" s="314" t="s">
        <v>203</v>
      </c>
      <c r="DFZ18" s="314" t="s">
        <v>203</v>
      </c>
      <c r="DGA18" s="314" t="s">
        <v>203</v>
      </c>
      <c r="DGB18" s="314" t="s">
        <v>203</v>
      </c>
      <c r="DGC18" s="314" t="s">
        <v>203</v>
      </c>
      <c r="DGD18" s="314" t="s">
        <v>203</v>
      </c>
      <c r="DGE18" s="314" t="s">
        <v>203</v>
      </c>
      <c r="DGF18" s="314" t="s">
        <v>203</v>
      </c>
      <c r="DGG18" s="314" t="s">
        <v>203</v>
      </c>
      <c r="DGH18" s="314" t="s">
        <v>203</v>
      </c>
      <c r="DGI18" s="314" t="s">
        <v>203</v>
      </c>
      <c r="DGJ18" s="314" t="s">
        <v>203</v>
      </c>
      <c r="DGK18" s="314" t="s">
        <v>203</v>
      </c>
      <c r="DGL18" s="314" t="s">
        <v>203</v>
      </c>
      <c r="DGM18" s="314" t="s">
        <v>203</v>
      </c>
      <c r="DGN18" s="314" t="s">
        <v>203</v>
      </c>
      <c r="DGO18" s="314" t="s">
        <v>203</v>
      </c>
      <c r="DGP18" s="314" t="s">
        <v>203</v>
      </c>
      <c r="DGQ18" s="314" t="s">
        <v>203</v>
      </c>
      <c r="DGR18" s="314" t="s">
        <v>203</v>
      </c>
      <c r="DGS18" s="314" t="s">
        <v>203</v>
      </c>
      <c r="DGT18" s="314" t="s">
        <v>203</v>
      </c>
      <c r="DGU18" s="314" t="s">
        <v>203</v>
      </c>
      <c r="DGV18" s="314" t="s">
        <v>203</v>
      </c>
      <c r="DGW18" s="314" t="s">
        <v>203</v>
      </c>
      <c r="DGX18" s="314" t="s">
        <v>203</v>
      </c>
      <c r="DGY18" s="314" t="s">
        <v>203</v>
      </c>
      <c r="DGZ18" s="314" t="s">
        <v>203</v>
      </c>
      <c r="DHA18" s="314" t="s">
        <v>203</v>
      </c>
      <c r="DHB18" s="314" t="s">
        <v>203</v>
      </c>
      <c r="DHC18" s="314" t="s">
        <v>203</v>
      </c>
      <c r="DHD18" s="314" t="s">
        <v>203</v>
      </c>
      <c r="DHE18" s="314" t="s">
        <v>203</v>
      </c>
      <c r="DHF18" s="314" t="s">
        <v>203</v>
      </c>
      <c r="DHG18" s="314" t="s">
        <v>203</v>
      </c>
      <c r="DHH18" s="314" t="s">
        <v>203</v>
      </c>
      <c r="DHI18" s="314" t="s">
        <v>203</v>
      </c>
      <c r="DHJ18" s="314" t="s">
        <v>203</v>
      </c>
      <c r="DHK18" s="314" t="s">
        <v>203</v>
      </c>
      <c r="DHL18" s="314" t="s">
        <v>203</v>
      </c>
      <c r="DHM18" s="314" t="s">
        <v>203</v>
      </c>
      <c r="DHN18" s="314" t="s">
        <v>203</v>
      </c>
      <c r="DHO18" s="314" t="s">
        <v>203</v>
      </c>
      <c r="DHP18" s="314" t="s">
        <v>203</v>
      </c>
      <c r="DHQ18" s="314" t="s">
        <v>203</v>
      </c>
      <c r="DHR18" s="314" t="s">
        <v>203</v>
      </c>
      <c r="DHS18" s="314" t="s">
        <v>203</v>
      </c>
      <c r="DHT18" s="314" t="s">
        <v>203</v>
      </c>
      <c r="DHU18" s="314" t="s">
        <v>203</v>
      </c>
      <c r="DHV18" s="314" t="s">
        <v>203</v>
      </c>
      <c r="DHW18" s="314" t="s">
        <v>203</v>
      </c>
      <c r="DHX18" s="314" t="s">
        <v>203</v>
      </c>
      <c r="DHY18" s="314" t="s">
        <v>203</v>
      </c>
      <c r="DHZ18" s="314" t="s">
        <v>203</v>
      </c>
      <c r="DIA18" s="314" t="s">
        <v>203</v>
      </c>
      <c r="DIB18" s="314" t="s">
        <v>203</v>
      </c>
      <c r="DIC18" s="314" t="s">
        <v>203</v>
      </c>
      <c r="DID18" s="314" t="s">
        <v>203</v>
      </c>
      <c r="DIE18" s="314" t="s">
        <v>203</v>
      </c>
      <c r="DIF18" s="314" t="s">
        <v>203</v>
      </c>
      <c r="DIG18" s="314" t="s">
        <v>203</v>
      </c>
      <c r="DIH18" s="314" t="s">
        <v>203</v>
      </c>
      <c r="DII18" s="314" t="s">
        <v>203</v>
      </c>
      <c r="DIJ18" s="314" t="s">
        <v>203</v>
      </c>
      <c r="DIK18" s="314" t="s">
        <v>203</v>
      </c>
      <c r="DIL18" s="314" t="s">
        <v>203</v>
      </c>
      <c r="DIM18" s="314" t="s">
        <v>203</v>
      </c>
      <c r="DIN18" s="314" t="s">
        <v>203</v>
      </c>
      <c r="DIO18" s="314" t="s">
        <v>203</v>
      </c>
      <c r="DIP18" s="314" t="s">
        <v>203</v>
      </c>
      <c r="DIQ18" s="314" t="s">
        <v>203</v>
      </c>
      <c r="DIR18" s="314" t="s">
        <v>203</v>
      </c>
      <c r="DIS18" s="314" t="s">
        <v>203</v>
      </c>
      <c r="DIT18" s="314" t="s">
        <v>203</v>
      </c>
      <c r="DIU18" s="314" t="s">
        <v>203</v>
      </c>
      <c r="DIV18" s="314" t="s">
        <v>203</v>
      </c>
      <c r="DIW18" s="314" t="s">
        <v>203</v>
      </c>
      <c r="DIX18" s="314" t="s">
        <v>203</v>
      </c>
      <c r="DIY18" s="314" t="s">
        <v>203</v>
      </c>
      <c r="DIZ18" s="314" t="s">
        <v>203</v>
      </c>
      <c r="DJA18" s="314" t="s">
        <v>203</v>
      </c>
      <c r="DJB18" s="314" t="s">
        <v>203</v>
      </c>
      <c r="DJC18" s="314" t="s">
        <v>203</v>
      </c>
      <c r="DJD18" s="314" t="s">
        <v>203</v>
      </c>
      <c r="DJE18" s="314" t="s">
        <v>203</v>
      </c>
      <c r="DJF18" s="314" t="s">
        <v>203</v>
      </c>
      <c r="DJG18" s="314" t="s">
        <v>203</v>
      </c>
      <c r="DJH18" s="314" t="s">
        <v>203</v>
      </c>
      <c r="DJI18" s="314" t="s">
        <v>203</v>
      </c>
      <c r="DJJ18" s="314" t="s">
        <v>203</v>
      </c>
      <c r="DJK18" s="314" t="s">
        <v>203</v>
      </c>
      <c r="DJL18" s="314" t="s">
        <v>203</v>
      </c>
      <c r="DJM18" s="314" t="s">
        <v>203</v>
      </c>
      <c r="DJN18" s="314" t="s">
        <v>203</v>
      </c>
      <c r="DJO18" s="314" t="s">
        <v>203</v>
      </c>
      <c r="DJP18" s="314" t="s">
        <v>203</v>
      </c>
      <c r="DJQ18" s="314" t="s">
        <v>203</v>
      </c>
      <c r="DJR18" s="314" t="s">
        <v>203</v>
      </c>
      <c r="DJS18" s="314" t="s">
        <v>203</v>
      </c>
      <c r="DJT18" s="314" t="s">
        <v>203</v>
      </c>
      <c r="DJU18" s="314" t="s">
        <v>203</v>
      </c>
      <c r="DJV18" s="314" t="s">
        <v>203</v>
      </c>
      <c r="DJW18" s="314" t="s">
        <v>203</v>
      </c>
      <c r="DJX18" s="314" t="s">
        <v>203</v>
      </c>
      <c r="DJY18" s="314" t="s">
        <v>203</v>
      </c>
      <c r="DJZ18" s="314" t="s">
        <v>203</v>
      </c>
      <c r="DKA18" s="314" t="s">
        <v>203</v>
      </c>
      <c r="DKB18" s="314" t="s">
        <v>203</v>
      </c>
      <c r="DKC18" s="314" t="s">
        <v>203</v>
      </c>
      <c r="DKD18" s="314" t="s">
        <v>203</v>
      </c>
      <c r="DKE18" s="314" t="s">
        <v>203</v>
      </c>
      <c r="DKF18" s="314" t="s">
        <v>203</v>
      </c>
      <c r="DKG18" s="314" t="s">
        <v>203</v>
      </c>
      <c r="DKH18" s="314" t="s">
        <v>203</v>
      </c>
      <c r="DKI18" s="314" t="s">
        <v>203</v>
      </c>
      <c r="DKJ18" s="314" t="s">
        <v>203</v>
      </c>
      <c r="DKK18" s="314" t="s">
        <v>203</v>
      </c>
      <c r="DKL18" s="314" t="s">
        <v>203</v>
      </c>
      <c r="DKM18" s="314" t="s">
        <v>203</v>
      </c>
      <c r="DKN18" s="314" t="s">
        <v>203</v>
      </c>
      <c r="DKO18" s="314" t="s">
        <v>203</v>
      </c>
      <c r="DKP18" s="314" t="s">
        <v>203</v>
      </c>
      <c r="DKQ18" s="314" t="s">
        <v>203</v>
      </c>
      <c r="DKR18" s="314" t="s">
        <v>203</v>
      </c>
      <c r="DKS18" s="314" t="s">
        <v>203</v>
      </c>
      <c r="DKT18" s="314" t="s">
        <v>203</v>
      </c>
      <c r="DKU18" s="314" t="s">
        <v>203</v>
      </c>
      <c r="DKV18" s="314" t="s">
        <v>203</v>
      </c>
      <c r="DKW18" s="314" t="s">
        <v>203</v>
      </c>
      <c r="DKX18" s="314" t="s">
        <v>203</v>
      </c>
      <c r="DKY18" s="314" t="s">
        <v>203</v>
      </c>
      <c r="DKZ18" s="314" t="s">
        <v>203</v>
      </c>
      <c r="DLA18" s="314" t="s">
        <v>203</v>
      </c>
      <c r="DLB18" s="314" t="s">
        <v>203</v>
      </c>
      <c r="DLC18" s="314" t="s">
        <v>203</v>
      </c>
      <c r="DLD18" s="314" t="s">
        <v>203</v>
      </c>
      <c r="DLE18" s="314" t="s">
        <v>203</v>
      </c>
      <c r="DLF18" s="314" t="s">
        <v>203</v>
      </c>
      <c r="DLG18" s="314" t="s">
        <v>203</v>
      </c>
      <c r="DLH18" s="314" t="s">
        <v>203</v>
      </c>
      <c r="DLI18" s="314" t="s">
        <v>203</v>
      </c>
      <c r="DLJ18" s="314" t="s">
        <v>203</v>
      </c>
      <c r="DLK18" s="314" t="s">
        <v>203</v>
      </c>
      <c r="DLL18" s="314" t="s">
        <v>203</v>
      </c>
      <c r="DLM18" s="314" t="s">
        <v>203</v>
      </c>
      <c r="DLN18" s="314" t="s">
        <v>203</v>
      </c>
      <c r="DLO18" s="314" t="s">
        <v>203</v>
      </c>
      <c r="DLP18" s="314" t="s">
        <v>203</v>
      </c>
      <c r="DLQ18" s="314" t="s">
        <v>203</v>
      </c>
      <c r="DLR18" s="314" t="s">
        <v>203</v>
      </c>
      <c r="DLS18" s="314" t="s">
        <v>203</v>
      </c>
      <c r="DLT18" s="314" t="s">
        <v>203</v>
      </c>
      <c r="DLU18" s="314" t="s">
        <v>203</v>
      </c>
      <c r="DLV18" s="314" t="s">
        <v>203</v>
      </c>
      <c r="DLW18" s="314" t="s">
        <v>203</v>
      </c>
      <c r="DLX18" s="314" t="s">
        <v>203</v>
      </c>
      <c r="DLY18" s="314" t="s">
        <v>203</v>
      </c>
      <c r="DLZ18" s="314" t="s">
        <v>203</v>
      </c>
      <c r="DMA18" s="314" t="s">
        <v>203</v>
      </c>
      <c r="DMB18" s="314" t="s">
        <v>203</v>
      </c>
      <c r="DMC18" s="314" t="s">
        <v>203</v>
      </c>
      <c r="DMD18" s="314" t="s">
        <v>203</v>
      </c>
      <c r="DME18" s="314" t="s">
        <v>203</v>
      </c>
      <c r="DMF18" s="314" t="s">
        <v>203</v>
      </c>
      <c r="DMG18" s="314" t="s">
        <v>203</v>
      </c>
      <c r="DMH18" s="314" t="s">
        <v>203</v>
      </c>
      <c r="DMI18" s="314" t="s">
        <v>203</v>
      </c>
      <c r="DMJ18" s="314" t="s">
        <v>203</v>
      </c>
      <c r="DMK18" s="314" t="s">
        <v>203</v>
      </c>
      <c r="DML18" s="314" t="s">
        <v>203</v>
      </c>
      <c r="DMM18" s="314" t="s">
        <v>203</v>
      </c>
      <c r="DMN18" s="314" t="s">
        <v>203</v>
      </c>
      <c r="DMO18" s="314" t="s">
        <v>203</v>
      </c>
      <c r="DMP18" s="314" t="s">
        <v>203</v>
      </c>
      <c r="DMQ18" s="314" t="s">
        <v>203</v>
      </c>
      <c r="DMR18" s="314" t="s">
        <v>203</v>
      </c>
      <c r="DMS18" s="314" t="s">
        <v>203</v>
      </c>
      <c r="DMT18" s="314" t="s">
        <v>203</v>
      </c>
      <c r="DMU18" s="314" t="s">
        <v>203</v>
      </c>
      <c r="DMV18" s="314" t="s">
        <v>203</v>
      </c>
      <c r="DMW18" s="314" t="s">
        <v>203</v>
      </c>
      <c r="DMX18" s="314" t="s">
        <v>203</v>
      </c>
      <c r="DMY18" s="314" t="s">
        <v>203</v>
      </c>
      <c r="DMZ18" s="314" t="s">
        <v>203</v>
      </c>
      <c r="DNA18" s="314" t="s">
        <v>203</v>
      </c>
      <c r="DNB18" s="314" t="s">
        <v>203</v>
      </c>
      <c r="DNC18" s="314" t="s">
        <v>203</v>
      </c>
      <c r="DND18" s="314" t="s">
        <v>203</v>
      </c>
      <c r="DNE18" s="314" t="s">
        <v>203</v>
      </c>
      <c r="DNF18" s="314" t="s">
        <v>203</v>
      </c>
      <c r="DNG18" s="314" t="s">
        <v>203</v>
      </c>
      <c r="DNH18" s="314" t="s">
        <v>203</v>
      </c>
      <c r="DNI18" s="314" t="s">
        <v>203</v>
      </c>
      <c r="DNJ18" s="314" t="s">
        <v>203</v>
      </c>
      <c r="DNK18" s="314" t="s">
        <v>203</v>
      </c>
      <c r="DNL18" s="314" t="s">
        <v>203</v>
      </c>
      <c r="DNM18" s="314" t="s">
        <v>203</v>
      </c>
      <c r="DNN18" s="314" t="s">
        <v>203</v>
      </c>
      <c r="DNO18" s="314" t="s">
        <v>203</v>
      </c>
      <c r="DNP18" s="314" t="s">
        <v>203</v>
      </c>
      <c r="DNQ18" s="314" t="s">
        <v>203</v>
      </c>
      <c r="DNR18" s="314" t="s">
        <v>203</v>
      </c>
      <c r="DNS18" s="314" t="s">
        <v>203</v>
      </c>
      <c r="DNT18" s="314" t="s">
        <v>203</v>
      </c>
      <c r="DNU18" s="314" t="s">
        <v>203</v>
      </c>
      <c r="DNV18" s="314" t="s">
        <v>203</v>
      </c>
      <c r="DNW18" s="314" t="s">
        <v>203</v>
      </c>
      <c r="DNX18" s="314" t="s">
        <v>203</v>
      </c>
      <c r="DNY18" s="314" t="s">
        <v>203</v>
      </c>
      <c r="DNZ18" s="314" t="s">
        <v>203</v>
      </c>
      <c r="DOA18" s="314" t="s">
        <v>203</v>
      </c>
      <c r="DOB18" s="314" t="s">
        <v>203</v>
      </c>
      <c r="DOC18" s="314" t="s">
        <v>203</v>
      </c>
      <c r="DOD18" s="314" t="s">
        <v>203</v>
      </c>
      <c r="DOE18" s="314" t="s">
        <v>203</v>
      </c>
      <c r="DOF18" s="314" t="s">
        <v>203</v>
      </c>
      <c r="DOG18" s="314" t="s">
        <v>203</v>
      </c>
      <c r="DOH18" s="314" t="s">
        <v>203</v>
      </c>
      <c r="DOI18" s="314" t="s">
        <v>203</v>
      </c>
      <c r="DOJ18" s="314" t="s">
        <v>203</v>
      </c>
      <c r="DOK18" s="314" t="s">
        <v>203</v>
      </c>
      <c r="DOL18" s="314" t="s">
        <v>203</v>
      </c>
      <c r="DOM18" s="314" t="s">
        <v>203</v>
      </c>
      <c r="DON18" s="314" t="s">
        <v>203</v>
      </c>
      <c r="DOO18" s="314" t="s">
        <v>203</v>
      </c>
      <c r="DOP18" s="314" t="s">
        <v>203</v>
      </c>
      <c r="DOQ18" s="314" t="s">
        <v>203</v>
      </c>
      <c r="DOR18" s="314" t="s">
        <v>203</v>
      </c>
      <c r="DOS18" s="314" t="s">
        <v>203</v>
      </c>
      <c r="DOT18" s="314" t="s">
        <v>203</v>
      </c>
      <c r="DOU18" s="314" t="s">
        <v>203</v>
      </c>
      <c r="DOV18" s="314" t="s">
        <v>203</v>
      </c>
      <c r="DOW18" s="314" t="s">
        <v>203</v>
      </c>
      <c r="DOX18" s="314" t="s">
        <v>203</v>
      </c>
      <c r="DOY18" s="314" t="s">
        <v>203</v>
      </c>
      <c r="DOZ18" s="314" t="s">
        <v>203</v>
      </c>
      <c r="DPA18" s="314" t="s">
        <v>203</v>
      </c>
      <c r="DPB18" s="314" t="s">
        <v>203</v>
      </c>
      <c r="DPC18" s="314" t="s">
        <v>203</v>
      </c>
      <c r="DPD18" s="314" t="s">
        <v>203</v>
      </c>
      <c r="DPE18" s="314" t="s">
        <v>203</v>
      </c>
      <c r="DPF18" s="314" t="s">
        <v>203</v>
      </c>
      <c r="DPG18" s="314" t="s">
        <v>203</v>
      </c>
      <c r="DPH18" s="314" t="s">
        <v>203</v>
      </c>
      <c r="DPI18" s="314" t="s">
        <v>203</v>
      </c>
      <c r="DPJ18" s="314" t="s">
        <v>203</v>
      </c>
      <c r="DPK18" s="314" t="s">
        <v>203</v>
      </c>
      <c r="DPL18" s="314" t="s">
        <v>203</v>
      </c>
      <c r="DPM18" s="314" t="s">
        <v>203</v>
      </c>
      <c r="DPN18" s="314" t="s">
        <v>203</v>
      </c>
      <c r="DPO18" s="314" t="s">
        <v>203</v>
      </c>
      <c r="DPP18" s="314" t="s">
        <v>203</v>
      </c>
      <c r="DPQ18" s="314" t="s">
        <v>203</v>
      </c>
      <c r="DPR18" s="314" t="s">
        <v>203</v>
      </c>
      <c r="DPS18" s="314" t="s">
        <v>203</v>
      </c>
      <c r="DPT18" s="314" t="s">
        <v>203</v>
      </c>
      <c r="DPU18" s="314" t="s">
        <v>203</v>
      </c>
      <c r="DPV18" s="314" t="s">
        <v>203</v>
      </c>
      <c r="DPW18" s="314" t="s">
        <v>203</v>
      </c>
      <c r="DPX18" s="314" t="s">
        <v>203</v>
      </c>
      <c r="DPY18" s="314" t="s">
        <v>203</v>
      </c>
      <c r="DPZ18" s="314" t="s">
        <v>203</v>
      </c>
      <c r="DQA18" s="314" t="s">
        <v>203</v>
      </c>
      <c r="DQB18" s="314" t="s">
        <v>203</v>
      </c>
      <c r="DQC18" s="314" t="s">
        <v>203</v>
      </c>
      <c r="DQD18" s="314" t="s">
        <v>203</v>
      </c>
      <c r="DQE18" s="314" t="s">
        <v>203</v>
      </c>
      <c r="DQF18" s="314" t="s">
        <v>203</v>
      </c>
      <c r="DQG18" s="314" t="s">
        <v>203</v>
      </c>
      <c r="DQH18" s="314" t="s">
        <v>203</v>
      </c>
      <c r="DQI18" s="314" t="s">
        <v>203</v>
      </c>
      <c r="DQJ18" s="314" t="s">
        <v>203</v>
      </c>
      <c r="DQK18" s="314" t="s">
        <v>203</v>
      </c>
      <c r="DQL18" s="314" t="s">
        <v>203</v>
      </c>
      <c r="DQM18" s="314" t="s">
        <v>203</v>
      </c>
      <c r="DQN18" s="314" t="s">
        <v>203</v>
      </c>
      <c r="DQO18" s="314" t="s">
        <v>203</v>
      </c>
      <c r="DQP18" s="314" t="s">
        <v>203</v>
      </c>
      <c r="DQQ18" s="314" t="s">
        <v>203</v>
      </c>
      <c r="DQR18" s="314" t="s">
        <v>203</v>
      </c>
      <c r="DQS18" s="314" t="s">
        <v>203</v>
      </c>
      <c r="DQT18" s="314" t="s">
        <v>203</v>
      </c>
      <c r="DQU18" s="314" t="s">
        <v>203</v>
      </c>
      <c r="DQV18" s="314" t="s">
        <v>203</v>
      </c>
      <c r="DQW18" s="314" t="s">
        <v>203</v>
      </c>
      <c r="DQX18" s="314" t="s">
        <v>203</v>
      </c>
      <c r="DQY18" s="314" t="s">
        <v>203</v>
      </c>
      <c r="DQZ18" s="314" t="s">
        <v>203</v>
      </c>
      <c r="DRA18" s="314" t="s">
        <v>203</v>
      </c>
      <c r="DRB18" s="314" t="s">
        <v>203</v>
      </c>
      <c r="DRC18" s="314" t="s">
        <v>203</v>
      </c>
      <c r="DRD18" s="314" t="s">
        <v>203</v>
      </c>
      <c r="DRE18" s="314" t="s">
        <v>203</v>
      </c>
      <c r="DRF18" s="314" t="s">
        <v>203</v>
      </c>
      <c r="DRG18" s="314" t="s">
        <v>203</v>
      </c>
      <c r="DRH18" s="314" t="s">
        <v>203</v>
      </c>
      <c r="DRI18" s="314" t="s">
        <v>203</v>
      </c>
      <c r="DRJ18" s="314" t="s">
        <v>203</v>
      </c>
      <c r="DRK18" s="314" t="s">
        <v>203</v>
      </c>
      <c r="DRL18" s="314" t="s">
        <v>203</v>
      </c>
      <c r="DRM18" s="314" t="s">
        <v>203</v>
      </c>
      <c r="DRN18" s="314" t="s">
        <v>203</v>
      </c>
      <c r="DRO18" s="314" t="s">
        <v>203</v>
      </c>
      <c r="DRP18" s="314" t="s">
        <v>203</v>
      </c>
      <c r="DRQ18" s="314" t="s">
        <v>203</v>
      </c>
      <c r="DRR18" s="314" t="s">
        <v>203</v>
      </c>
      <c r="DRS18" s="314" t="s">
        <v>203</v>
      </c>
      <c r="DRT18" s="314" t="s">
        <v>203</v>
      </c>
      <c r="DRU18" s="314" t="s">
        <v>203</v>
      </c>
      <c r="DRV18" s="314" t="s">
        <v>203</v>
      </c>
      <c r="DRW18" s="314" t="s">
        <v>203</v>
      </c>
      <c r="DRX18" s="314" t="s">
        <v>203</v>
      </c>
      <c r="DRY18" s="314" t="s">
        <v>203</v>
      </c>
      <c r="DRZ18" s="314" t="s">
        <v>203</v>
      </c>
      <c r="DSA18" s="314" t="s">
        <v>203</v>
      </c>
      <c r="DSB18" s="314" t="s">
        <v>203</v>
      </c>
      <c r="DSC18" s="314" t="s">
        <v>203</v>
      </c>
      <c r="DSD18" s="314" t="s">
        <v>203</v>
      </c>
      <c r="DSE18" s="314" t="s">
        <v>203</v>
      </c>
      <c r="DSF18" s="314" t="s">
        <v>203</v>
      </c>
      <c r="DSG18" s="314" t="s">
        <v>203</v>
      </c>
      <c r="DSH18" s="314" t="s">
        <v>203</v>
      </c>
      <c r="DSI18" s="314" t="s">
        <v>203</v>
      </c>
      <c r="DSJ18" s="314" t="s">
        <v>203</v>
      </c>
      <c r="DSK18" s="314" t="s">
        <v>203</v>
      </c>
      <c r="DSL18" s="314" t="s">
        <v>203</v>
      </c>
      <c r="DSM18" s="314" t="s">
        <v>203</v>
      </c>
      <c r="DSN18" s="314" t="s">
        <v>203</v>
      </c>
      <c r="DSO18" s="314" t="s">
        <v>203</v>
      </c>
      <c r="DSP18" s="314" t="s">
        <v>203</v>
      </c>
      <c r="DSQ18" s="314" t="s">
        <v>203</v>
      </c>
      <c r="DSR18" s="314" t="s">
        <v>203</v>
      </c>
      <c r="DSS18" s="314" t="s">
        <v>203</v>
      </c>
      <c r="DST18" s="314" t="s">
        <v>203</v>
      </c>
      <c r="DSU18" s="314" t="s">
        <v>203</v>
      </c>
      <c r="DSV18" s="314" t="s">
        <v>203</v>
      </c>
      <c r="DSW18" s="314" t="s">
        <v>203</v>
      </c>
      <c r="DSX18" s="314" t="s">
        <v>203</v>
      </c>
      <c r="DSY18" s="314" t="s">
        <v>203</v>
      </c>
      <c r="DSZ18" s="314" t="s">
        <v>203</v>
      </c>
      <c r="DTA18" s="314" t="s">
        <v>203</v>
      </c>
      <c r="DTB18" s="314" t="s">
        <v>203</v>
      </c>
      <c r="DTC18" s="314" t="s">
        <v>203</v>
      </c>
      <c r="DTD18" s="314" t="s">
        <v>203</v>
      </c>
      <c r="DTE18" s="314" t="s">
        <v>203</v>
      </c>
      <c r="DTF18" s="314" t="s">
        <v>203</v>
      </c>
      <c r="DTG18" s="314" t="s">
        <v>203</v>
      </c>
      <c r="DTH18" s="314" t="s">
        <v>203</v>
      </c>
      <c r="DTI18" s="314" t="s">
        <v>203</v>
      </c>
      <c r="DTJ18" s="314" t="s">
        <v>203</v>
      </c>
      <c r="DTK18" s="314" t="s">
        <v>203</v>
      </c>
      <c r="DTL18" s="314" t="s">
        <v>203</v>
      </c>
      <c r="DTM18" s="314" t="s">
        <v>203</v>
      </c>
      <c r="DTN18" s="314" t="s">
        <v>203</v>
      </c>
      <c r="DTO18" s="314" t="s">
        <v>203</v>
      </c>
      <c r="DTP18" s="314" t="s">
        <v>203</v>
      </c>
      <c r="DTQ18" s="314" t="s">
        <v>203</v>
      </c>
      <c r="DTR18" s="314" t="s">
        <v>203</v>
      </c>
      <c r="DTS18" s="314" t="s">
        <v>203</v>
      </c>
      <c r="DTT18" s="314" t="s">
        <v>203</v>
      </c>
      <c r="DTU18" s="314" t="s">
        <v>203</v>
      </c>
      <c r="DTV18" s="314" t="s">
        <v>203</v>
      </c>
      <c r="DTW18" s="314" t="s">
        <v>203</v>
      </c>
      <c r="DTX18" s="314" t="s">
        <v>203</v>
      </c>
      <c r="DTY18" s="314" t="s">
        <v>203</v>
      </c>
      <c r="DTZ18" s="314" t="s">
        <v>203</v>
      </c>
      <c r="DUA18" s="314" t="s">
        <v>203</v>
      </c>
      <c r="DUB18" s="314" t="s">
        <v>203</v>
      </c>
      <c r="DUC18" s="314" t="s">
        <v>203</v>
      </c>
      <c r="DUD18" s="314" t="s">
        <v>203</v>
      </c>
      <c r="DUE18" s="314" t="s">
        <v>203</v>
      </c>
      <c r="DUF18" s="314" t="s">
        <v>203</v>
      </c>
      <c r="DUG18" s="314" t="s">
        <v>203</v>
      </c>
      <c r="DUH18" s="314" t="s">
        <v>203</v>
      </c>
      <c r="DUI18" s="314" t="s">
        <v>203</v>
      </c>
      <c r="DUJ18" s="314" t="s">
        <v>203</v>
      </c>
      <c r="DUK18" s="314" t="s">
        <v>203</v>
      </c>
      <c r="DUL18" s="314" t="s">
        <v>203</v>
      </c>
      <c r="DUM18" s="314" t="s">
        <v>203</v>
      </c>
      <c r="DUN18" s="314" t="s">
        <v>203</v>
      </c>
      <c r="DUO18" s="314" t="s">
        <v>203</v>
      </c>
      <c r="DUP18" s="314" t="s">
        <v>203</v>
      </c>
      <c r="DUQ18" s="314" t="s">
        <v>203</v>
      </c>
      <c r="DUR18" s="314" t="s">
        <v>203</v>
      </c>
      <c r="DUS18" s="314" t="s">
        <v>203</v>
      </c>
      <c r="DUT18" s="314" t="s">
        <v>203</v>
      </c>
      <c r="DUU18" s="314" t="s">
        <v>203</v>
      </c>
      <c r="DUV18" s="314" t="s">
        <v>203</v>
      </c>
      <c r="DUW18" s="314" t="s">
        <v>203</v>
      </c>
      <c r="DUX18" s="314" t="s">
        <v>203</v>
      </c>
      <c r="DUY18" s="314" t="s">
        <v>203</v>
      </c>
      <c r="DUZ18" s="314" t="s">
        <v>203</v>
      </c>
      <c r="DVA18" s="314" t="s">
        <v>203</v>
      </c>
      <c r="DVB18" s="314" t="s">
        <v>203</v>
      </c>
      <c r="DVC18" s="314" t="s">
        <v>203</v>
      </c>
      <c r="DVD18" s="314" t="s">
        <v>203</v>
      </c>
      <c r="DVE18" s="314" t="s">
        <v>203</v>
      </c>
      <c r="DVF18" s="314" t="s">
        <v>203</v>
      </c>
      <c r="DVG18" s="314" t="s">
        <v>203</v>
      </c>
      <c r="DVH18" s="314" t="s">
        <v>203</v>
      </c>
      <c r="DVI18" s="314" t="s">
        <v>203</v>
      </c>
      <c r="DVJ18" s="314" t="s">
        <v>203</v>
      </c>
      <c r="DVK18" s="314" t="s">
        <v>203</v>
      </c>
      <c r="DVL18" s="314" t="s">
        <v>203</v>
      </c>
      <c r="DVM18" s="314" t="s">
        <v>203</v>
      </c>
      <c r="DVN18" s="314" t="s">
        <v>203</v>
      </c>
      <c r="DVO18" s="314" t="s">
        <v>203</v>
      </c>
      <c r="DVP18" s="314" t="s">
        <v>203</v>
      </c>
      <c r="DVQ18" s="314" t="s">
        <v>203</v>
      </c>
      <c r="DVR18" s="314" t="s">
        <v>203</v>
      </c>
      <c r="DVS18" s="314" t="s">
        <v>203</v>
      </c>
      <c r="DVT18" s="314" t="s">
        <v>203</v>
      </c>
      <c r="DVU18" s="314" t="s">
        <v>203</v>
      </c>
      <c r="DVV18" s="314" t="s">
        <v>203</v>
      </c>
      <c r="DVW18" s="314" t="s">
        <v>203</v>
      </c>
      <c r="DVX18" s="314" t="s">
        <v>203</v>
      </c>
      <c r="DVY18" s="314" t="s">
        <v>203</v>
      </c>
      <c r="DVZ18" s="314" t="s">
        <v>203</v>
      </c>
      <c r="DWA18" s="314" t="s">
        <v>203</v>
      </c>
      <c r="DWB18" s="314" t="s">
        <v>203</v>
      </c>
      <c r="DWC18" s="314" t="s">
        <v>203</v>
      </c>
      <c r="DWD18" s="314" t="s">
        <v>203</v>
      </c>
      <c r="DWE18" s="314" t="s">
        <v>203</v>
      </c>
      <c r="DWF18" s="314" t="s">
        <v>203</v>
      </c>
      <c r="DWG18" s="314" t="s">
        <v>203</v>
      </c>
      <c r="DWH18" s="314" t="s">
        <v>203</v>
      </c>
      <c r="DWI18" s="314" t="s">
        <v>203</v>
      </c>
      <c r="DWJ18" s="314" t="s">
        <v>203</v>
      </c>
      <c r="DWK18" s="314" t="s">
        <v>203</v>
      </c>
      <c r="DWL18" s="314" t="s">
        <v>203</v>
      </c>
      <c r="DWM18" s="314" t="s">
        <v>203</v>
      </c>
      <c r="DWN18" s="314" t="s">
        <v>203</v>
      </c>
      <c r="DWO18" s="314" t="s">
        <v>203</v>
      </c>
      <c r="DWP18" s="314" t="s">
        <v>203</v>
      </c>
      <c r="DWQ18" s="314" t="s">
        <v>203</v>
      </c>
      <c r="DWR18" s="314" t="s">
        <v>203</v>
      </c>
      <c r="DWS18" s="314" t="s">
        <v>203</v>
      </c>
      <c r="DWT18" s="314" t="s">
        <v>203</v>
      </c>
      <c r="DWU18" s="314" t="s">
        <v>203</v>
      </c>
      <c r="DWV18" s="314" t="s">
        <v>203</v>
      </c>
      <c r="DWW18" s="314" t="s">
        <v>203</v>
      </c>
      <c r="DWX18" s="314" t="s">
        <v>203</v>
      </c>
      <c r="DWY18" s="314" t="s">
        <v>203</v>
      </c>
      <c r="DWZ18" s="314" t="s">
        <v>203</v>
      </c>
      <c r="DXA18" s="314" t="s">
        <v>203</v>
      </c>
      <c r="DXB18" s="314" t="s">
        <v>203</v>
      </c>
      <c r="DXC18" s="314" t="s">
        <v>203</v>
      </c>
      <c r="DXD18" s="314" t="s">
        <v>203</v>
      </c>
      <c r="DXE18" s="314" t="s">
        <v>203</v>
      </c>
      <c r="DXF18" s="314" t="s">
        <v>203</v>
      </c>
      <c r="DXG18" s="314" t="s">
        <v>203</v>
      </c>
      <c r="DXH18" s="314" t="s">
        <v>203</v>
      </c>
      <c r="DXI18" s="314" t="s">
        <v>203</v>
      </c>
      <c r="DXJ18" s="314" t="s">
        <v>203</v>
      </c>
      <c r="DXK18" s="314" t="s">
        <v>203</v>
      </c>
      <c r="DXL18" s="314" t="s">
        <v>203</v>
      </c>
      <c r="DXM18" s="314" t="s">
        <v>203</v>
      </c>
      <c r="DXN18" s="314" t="s">
        <v>203</v>
      </c>
      <c r="DXO18" s="314" t="s">
        <v>203</v>
      </c>
      <c r="DXP18" s="314" t="s">
        <v>203</v>
      </c>
      <c r="DXQ18" s="314" t="s">
        <v>203</v>
      </c>
      <c r="DXR18" s="314" t="s">
        <v>203</v>
      </c>
      <c r="DXS18" s="314" t="s">
        <v>203</v>
      </c>
      <c r="DXT18" s="314" t="s">
        <v>203</v>
      </c>
      <c r="DXU18" s="314" t="s">
        <v>203</v>
      </c>
      <c r="DXV18" s="314" t="s">
        <v>203</v>
      </c>
      <c r="DXW18" s="314" t="s">
        <v>203</v>
      </c>
      <c r="DXX18" s="314" t="s">
        <v>203</v>
      </c>
      <c r="DXY18" s="314" t="s">
        <v>203</v>
      </c>
      <c r="DXZ18" s="314" t="s">
        <v>203</v>
      </c>
      <c r="DYA18" s="314" t="s">
        <v>203</v>
      </c>
      <c r="DYB18" s="314" t="s">
        <v>203</v>
      </c>
      <c r="DYC18" s="314" t="s">
        <v>203</v>
      </c>
      <c r="DYD18" s="314" t="s">
        <v>203</v>
      </c>
      <c r="DYE18" s="314" t="s">
        <v>203</v>
      </c>
      <c r="DYF18" s="314" t="s">
        <v>203</v>
      </c>
      <c r="DYG18" s="314" t="s">
        <v>203</v>
      </c>
      <c r="DYH18" s="314" t="s">
        <v>203</v>
      </c>
      <c r="DYI18" s="314" t="s">
        <v>203</v>
      </c>
      <c r="DYJ18" s="314" t="s">
        <v>203</v>
      </c>
      <c r="DYK18" s="314" t="s">
        <v>203</v>
      </c>
      <c r="DYL18" s="314" t="s">
        <v>203</v>
      </c>
      <c r="DYM18" s="314" t="s">
        <v>203</v>
      </c>
      <c r="DYN18" s="314" t="s">
        <v>203</v>
      </c>
      <c r="DYO18" s="314" t="s">
        <v>203</v>
      </c>
      <c r="DYP18" s="314" t="s">
        <v>203</v>
      </c>
      <c r="DYQ18" s="314" t="s">
        <v>203</v>
      </c>
      <c r="DYR18" s="314" t="s">
        <v>203</v>
      </c>
      <c r="DYS18" s="314" t="s">
        <v>203</v>
      </c>
      <c r="DYT18" s="314" t="s">
        <v>203</v>
      </c>
      <c r="DYU18" s="314" t="s">
        <v>203</v>
      </c>
      <c r="DYV18" s="314" t="s">
        <v>203</v>
      </c>
      <c r="DYW18" s="314" t="s">
        <v>203</v>
      </c>
      <c r="DYX18" s="314" t="s">
        <v>203</v>
      </c>
      <c r="DYY18" s="314" t="s">
        <v>203</v>
      </c>
      <c r="DYZ18" s="314" t="s">
        <v>203</v>
      </c>
      <c r="DZA18" s="314" t="s">
        <v>203</v>
      </c>
      <c r="DZB18" s="314" t="s">
        <v>203</v>
      </c>
      <c r="DZC18" s="314" t="s">
        <v>203</v>
      </c>
      <c r="DZD18" s="314" t="s">
        <v>203</v>
      </c>
      <c r="DZE18" s="314" t="s">
        <v>203</v>
      </c>
      <c r="DZF18" s="314" t="s">
        <v>203</v>
      </c>
      <c r="DZG18" s="314" t="s">
        <v>203</v>
      </c>
      <c r="DZH18" s="314" t="s">
        <v>203</v>
      </c>
      <c r="DZI18" s="314" t="s">
        <v>203</v>
      </c>
      <c r="DZJ18" s="314" t="s">
        <v>203</v>
      </c>
      <c r="DZK18" s="314" t="s">
        <v>203</v>
      </c>
      <c r="DZL18" s="314" t="s">
        <v>203</v>
      </c>
      <c r="DZM18" s="314" t="s">
        <v>203</v>
      </c>
      <c r="DZN18" s="314" t="s">
        <v>203</v>
      </c>
      <c r="DZO18" s="314" t="s">
        <v>203</v>
      </c>
      <c r="DZP18" s="314" t="s">
        <v>203</v>
      </c>
      <c r="DZQ18" s="314" t="s">
        <v>203</v>
      </c>
      <c r="DZR18" s="314" t="s">
        <v>203</v>
      </c>
      <c r="DZS18" s="314" t="s">
        <v>203</v>
      </c>
      <c r="DZT18" s="314" t="s">
        <v>203</v>
      </c>
      <c r="DZU18" s="314" t="s">
        <v>203</v>
      </c>
      <c r="DZV18" s="314" t="s">
        <v>203</v>
      </c>
      <c r="DZW18" s="314" t="s">
        <v>203</v>
      </c>
      <c r="DZX18" s="314" t="s">
        <v>203</v>
      </c>
      <c r="DZY18" s="314" t="s">
        <v>203</v>
      </c>
      <c r="DZZ18" s="314" t="s">
        <v>203</v>
      </c>
      <c r="EAA18" s="314" t="s">
        <v>203</v>
      </c>
      <c r="EAB18" s="314" t="s">
        <v>203</v>
      </c>
      <c r="EAC18" s="314" t="s">
        <v>203</v>
      </c>
      <c r="EAD18" s="314" t="s">
        <v>203</v>
      </c>
      <c r="EAE18" s="314" t="s">
        <v>203</v>
      </c>
      <c r="EAF18" s="314" t="s">
        <v>203</v>
      </c>
      <c r="EAG18" s="314" t="s">
        <v>203</v>
      </c>
      <c r="EAH18" s="314" t="s">
        <v>203</v>
      </c>
      <c r="EAI18" s="314" t="s">
        <v>203</v>
      </c>
      <c r="EAJ18" s="314" t="s">
        <v>203</v>
      </c>
      <c r="EAK18" s="314" t="s">
        <v>203</v>
      </c>
      <c r="EAL18" s="314" t="s">
        <v>203</v>
      </c>
      <c r="EAM18" s="314" t="s">
        <v>203</v>
      </c>
      <c r="EAN18" s="314" t="s">
        <v>203</v>
      </c>
      <c r="EAO18" s="314" t="s">
        <v>203</v>
      </c>
      <c r="EAP18" s="314" t="s">
        <v>203</v>
      </c>
      <c r="EAQ18" s="314" t="s">
        <v>203</v>
      </c>
      <c r="EAR18" s="314" t="s">
        <v>203</v>
      </c>
      <c r="EAS18" s="314" t="s">
        <v>203</v>
      </c>
      <c r="EAT18" s="314" t="s">
        <v>203</v>
      </c>
      <c r="EAU18" s="314" t="s">
        <v>203</v>
      </c>
      <c r="EAV18" s="314" t="s">
        <v>203</v>
      </c>
      <c r="EAW18" s="314" t="s">
        <v>203</v>
      </c>
      <c r="EAX18" s="314" t="s">
        <v>203</v>
      </c>
      <c r="EAY18" s="314" t="s">
        <v>203</v>
      </c>
      <c r="EAZ18" s="314" t="s">
        <v>203</v>
      </c>
      <c r="EBA18" s="314" t="s">
        <v>203</v>
      </c>
      <c r="EBB18" s="314" t="s">
        <v>203</v>
      </c>
      <c r="EBC18" s="314" t="s">
        <v>203</v>
      </c>
      <c r="EBD18" s="314" t="s">
        <v>203</v>
      </c>
      <c r="EBE18" s="314" t="s">
        <v>203</v>
      </c>
      <c r="EBF18" s="314" t="s">
        <v>203</v>
      </c>
      <c r="EBG18" s="314" t="s">
        <v>203</v>
      </c>
      <c r="EBH18" s="314" t="s">
        <v>203</v>
      </c>
      <c r="EBI18" s="314" t="s">
        <v>203</v>
      </c>
      <c r="EBJ18" s="314" t="s">
        <v>203</v>
      </c>
      <c r="EBK18" s="314" t="s">
        <v>203</v>
      </c>
      <c r="EBL18" s="314" t="s">
        <v>203</v>
      </c>
      <c r="EBM18" s="314" t="s">
        <v>203</v>
      </c>
      <c r="EBN18" s="314" t="s">
        <v>203</v>
      </c>
      <c r="EBO18" s="314" t="s">
        <v>203</v>
      </c>
      <c r="EBP18" s="314" t="s">
        <v>203</v>
      </c>
      <c r="EBQ18" s="314" t="s">
        <v>203</v>
      </c>
      <c r="EBR18" s="314" t="s">
        <v>203</v>
      </c>
      <c r="EBS18" s="314" t="s">
        <v>203</v>
      </c>
      <c r="EBT18" s="314" t="s">
        <v>203</v>
      </c>
      <c r="EBU18" s="314" t="s">
        <v>203</v>
      </c>
      <c r="EBV18" s="314" t="s">
        <v>203</v>
      </c>
      <c r="EBW18" s="314" t="s">
        <v>203</v>
      </c>
      <c r="EBX18" s="314" t="s">
        <v>203</v>
      </c>
      <c r="EBY18" s="314" t="s">
        <v>203</v>
      </c>
      <c r="EBZ18" s="314" t="s">
        <v>203</v>
      </c>
      <c r="ECA18" s="314" t="s">
        <v>203</v>
      </c>
      <c r="ECB18" s="314" t="s">
        <v>203</v>
      </c>
      <c r="ECC18" s="314" t="s">
        <v>203</v>
      </c>
      <c r="ECD18" s="314" t="s">
        <v>203</v>
      </c>
      <c r="ECE18" s="314" t="s">
        <v>203</v>
      </c>
      <c r="ECF18" s="314" t="s">
        <v>203</v>
      </c>
      <c r="ECG18" s="314" t="s">
        <v>203</v>
      </c>
      <c r="ECH18" s="314" t="s">
        <v>203</v>
      </c>
      <c r="ECI18" s="314" t="s">
        <v>203</v>
      </c>
      <c r="ECJ18" s="314" t="s">
        <v>203</v>
      </c>
      <c r="ECK18" s="314" t="s">
        <v>203</v>
      </c>
      <c r="ECL18" s="314" t="s">
        <v>203</v>
      </c>
      <c r="ECM18" s="314" t="s">
        <v>203</v>
      </c>
      <c r="ECN18" s="314" t="s">
        <v>203</v>
      </c>
      <c r="ECO18" s="314" t="s">
        <v>203</v>
      </c>
      <c r="ECP18" s="314" t="s">
        <v>203</v>
      </c>
      <c r="ECQ18" s="314" t="s">
        <v>203</v>
      </c>
      <c r="ECR18" s="314" t="s">
        <v>203</v>
      </c>
      <c r="ECS18" s="314" t="s">
        <v>203</v>
      </c>
      <c r="ECT18" s="314" t="s">
        <v>203</v>
      </c>
      <c r="ECU18" s="314" t="s">
        <v>203</v>
      </c>
      <c r="ECV18" s="314" t="s">
        <v>203</v>
      </c>
      <c r="ECW18" s="314" t="s">
        <v>203</v>
      </c>
      <c r="ECX18" s="314" t="s">
        <v>203</v>
      </c>
      <c r="ECY18" s="314" t="s">
        <v>203</v>
      </c>
      <c r="ECZ18" s="314" t="s">
        <v>203</v>
      </c>
      <c r="EDA18" s="314" t="s">
        <v>203</v>
      </c>
      <c r="EDB18" s="314" t="s">
        <v>203</v>
      </c>
      <c r="EDC18" s="314" t="s">
        <v>203</v>
      </c>
      <c r="EDD18" s="314" t="s">
        <v>203</v>
      </c>
      <c r="EDE18" s="314" t="s">
        <v>203</v>
      </c>
      <c r="EDF18" s="314" t="s">
        <v>203</v>
      </c>
      <c r="EDG18" s="314" t="s">
        <v>203</v>
      </c>
      <c r="EDH18" s="314" t="s">
        <v>203</v>
      </c>
      <c r="EDI18" s="314" t="s">
        <v>203</v>
      </c>
      <c r="EDJ18" s="314" t="s">
        <v>203</v>
      </c>
      <c r="EDK18" s="314" t="s">
        <v>203</v>
      </c>
      <c r="EDL18" s="314" t="s">
        <v>203</v>
      </c>
      <c r="EDM18" s="314" t="s">
        <v>203</v>
      </c>
      <c r="EDN18" s="314" t="s">
        <v>203</v>
      </c>
      <c r="EDO18" s="314" t="s">
        <v>203</v>
      </c>
      <c r="EDP18" s="314" t="s">
        <v>203</v>
      </c>
      <c r="EDQ18" s="314" t="s">
        <v>203</v>
      </c>
      <c r="EDR18" s="314" t="s">
        <v>203</v>
      </c>
      <c r="EDS18" s="314" t="s">
        <v>203</v>
      </c>
      <c r="EDT18" s="314" t="s">
        <v>203</v>
      </c>
      <c r="EDU18" s="314" t="s">
        <v>203</v>
      </c>
      <c r="EDV18" s="314" t="s">
        <v>203</v>
      </c>
      <c r="EDW18" s="314" t="s">
        <v>203</v>
      </c>
      <c r="EDX18" s="314" t="s">
        <v>203</v>
      </c>
      <c r="EDY18" s="314" t="s">
        <v>203</v>
      </c>
      <c r="EDZ18" s="314" t="s">
        <v>203</v>
      </c>
      <c r="EEA18" s="314" t="s">
        <v>203</v>
      </c>
      <c r="EEB18" s="314" t="s">
        <v>203</v>
      </c>
      <c r="EEC18" s="314" t="s">
        <v>203</v>
      </c>
      <c r="EED18" s="314" t="s">
        <v>203</v>
      </c>
      <c r="EEE18" s="314" t="s">
        <v>203</v>
      </c>
      <c r="EEF18" s="314" t="s">
        <v>203</v>
      </c>
      <c r="EEG18" s="314" t="s">
        <v>203</v>
      </c>
      <c r="EEH18" s="314" t="s">
        <v>203</v>
      </c>
      <c r="EEI18" s="314" t="s">
        <v>203</v>
      </c>
      <c r="EEJ18" s="314" t="s">
        <v>203</v>
      </c>
      <c r="EEK18" s="314" t="s">
        <v>203</v>
      </c>
      <c r="EEL18" s="314" t="s">
        <v>203</v>
      </c>
      <c r="EEM18" s="314" t="s">
        <v>203</v>
      </c>
      <c r="EEN18" s="314" t="s">
        <v>203</v>
      </c>
      <c r="EEO18" s="314" t="s">
        <v>203</v>
      </c>
      <c r="EEP18" s="314" t="s">
        <v>203</v>
      </c>
      <c r="EEQ18" s="314" t="s">
        <v>203</v>
      </c>
      <c r="EER18" s="314" t="s">
        <v>203</v>
      </c>
      <c r="EES18" s="314" t="s">
        <v>203</v>
      </c>
      <c r="EET18" s="314" t="s">
        <v>203</v>
      </c>
      <c r="EEU18" s="314" t="s">
        <v>203</v>
      </c>
      <c r="EEV18" s="314" t="s">
        <v>203</v>
      </c>
      <c r="EEW18" s="314" t="s">
        <v>203</v>
      </c>
      <c r="EEX18" s="314" t="s">
        <v>203</v>
      </c>
      <c r="EEY18" s="314" t="s">
        <v>203</v>
      </c>
      <c r="EEZ18" s="314" t="s">
        <v>203</v>
      </c>
      <c r="EFA18" s="314" t="s">
        <v>203</v>
      </c>
      <c r="EFB18" s="314" t="s">
        <v>203</v>
      </c>
      <c r="EFC18" s="314" t="s">
        <v>203</v>
      </c>
      <c r="EFD18" s="314" t="s">
        <v>203</v>
      </c>
      <c r="EFE18" s="314" t="s">
        <v>203</v>
      </c>
      <c r="EFF18" s="314" t="s">
        <v>203</v>
      </c>
      <c r="EFG18" s="314" t="s">
        <v>203</v>
      </c>
      <c r="EFH18" s="314" t="s">
        <v>203</v>
      </c>
      <c r="EFI18" s="314" t="s">
        <v>203</v>
      </c>
      <c r="EFJ18" s="314" t="s">
        <v>203</v>
      </c>
      <c r="EFK18" s="314" t="s">
        <v>203</v>
      </c>
      <c r="EFL18" s="314" t="s">
        <v>203</v>
      </c>
      <c r="EFM18" s="314" t="s">
        <v>203</v>
      </c>
      <c r="EFN18" s="314" t="s">
        <v>203</v>
      </c>
      <c r="EFO18" s="314" t="s">
        <v>203</v>
      </c>
      <c r="EFP18" s="314" t="s">
        <v>203</v>
      </c>
      <c r="EFQ18" s="314" t="s">
        <v>203</v>
      </c>
      <c r="EFR18" s="314" t="s">
        <v>203</v>
      </c>
      <c r="EFS18" s="314" t="s">
        <v>203</v>
      </c>
      <c r="EFT18" s="314" t="s">
        <v>203</v>
      </c>
      <c r="EFU18" s="314" t="s">
        <v>203</v>
      </c>
      <c r="EFV18" s="314" t="s">
        <v>203</v>
      </c>
      <c r="EFW18" s="314" t="s">
        <v>203</v>
      </c>
      <c r="EFX18" s="314" t="s">
        <v>203</v>
      </c>
      <c r="EFY18" s="314" t="s">
        <v>203</v>
      </c>
      <c r="EFZ18" s="314" t="s">
        <v>203</v>
      </c>
      <c r="EGA18" s="314" t="s">
        <v>203</v>
      </c>
      <c r="EGB18" s="314" t="s">
        <v>203</v>
      </c>
      <c r="EGC18" s="314" t="s">
        <v>203</v>
      </c>
      <c r="EGD18" s="314" t="s">
        <v>203</v>
      </c>
      <c r="EGE18" s="314" t="s">
        <v>203</v>
      </c>
      <c r="EGF18" s="314" t="s">
        <v>203</v>
      </c>
      <c r="EGG18" s="314" t="s">
        <v>203</v>
      </c>
      <c r="EGH18" s="314" t="s">
        <v>203</v>
      </c>
      <c r="EGI18" s="314" t="s">
        <v>203</v>
      </c>
      <c r="EGJ18" s="314" t="s">
        <v>203</v>
      </c>
      <c r="EGK18" s="314" t="s">
        <v>203</v>
      </c>
      <c r="EGL18" s="314" t="s">
        <v>203</v>
      </c>
      <c r="EGM18" s="314" t="s">
        <v>203</v>
      </c>
      <c r="EGN18" s="314" t="s">
        <v>203</v>
      </c>
      <c r="EGO18" s="314" t="s">
        <v>203</v>
      </c>
      <c r="EGP18" s="314" t="s">
        <v>203</v>
      </c>
      <c r="EGQ18" s="314" t="s">
        <v>203</v>
      </c>
      <c r="EGR18" s="314" t="s">
        <v>203</v>
      </c>
      <c r="EGS18" s="314" t="s">
        <v>203</v>
      </c>
      <c r="EGT18" s="314" t="s">
        <v>203</v>
      </c>
      <c r="EGU18" s="314" t="s">
        <v>203</v>
      </c>
      <c r="EGV18" s="314" t="s">
        <v>203</v>
      </c>
      <c r="EGW18" s="314" t="s">
        <v>203</v>
      </c>
      <c r="EGX18" s="314" t="s">
        <v>203</v>
      </c>
      <c r="EGY18" s="314" t="s">
        <v>203</v>
      </c>
      <c r="EGZ18" s="314" t="s">
        <v>203</v>
      </c>
      <c r="EHA18" s="314" t="s">
        <v>203</v>
      </c>
      <c r="EHB18" s="314" t="s">
        <v>203</v>
      </c>
      <c r="EHC18" s="314" t="s">
        <v>203</v>
      </c>
      <c r="EHD18" s="314" t="s">
        <v>203</v>
      </c>
      <c r="EHE18" s="314" t="s">
        <v>203</v>
      </c>
      <c r="EHF18" s="314" t="s">
        <v>203</v>
      </c>
      <c r="EHG18" s="314" t="s">
        <v>203</v>
      </c>
      <c r="EHH18" s="314" t="s">
        <v>203</v>
      </c>
      <c r="EHI18" s="314" t="s">
        <v>203</v>
      </c>
      <c r="EHJ18" s="314" t="s">
        <v>203</v>
      </c>
      <c r="EHK18" s="314" t="s">
        <v>203</v>
      </c>
      <c r="EHL18" s="314" t="s">
        <v>203</v>
      </c>
      <c r="EHM18" s="314" t="s">
        <v>203</v>
      </c>
      <c r="EHN18" s="314" t="s">
        <v>203</v>
      </c>
      <c r="EHO18" s="314" t="s">
        <v>203</v>
      </c>
      <c r="EHP18" s="314" t="s">
        <v>203</v>
      </c>
      <c r="EHQ18" s="314" t="s">
        <v>203</v>
      </c>
      <c r="EHR18" s="314" t="s">
        <v>203</v>
      </c>
      <c r="EHS18" s="314" t="s">
        <v>203</v>
      </c>
      <c r="EHT18" s="314" t="s">
        <v>203</v>
      </c>
      <c r="EHU18" s="314" t="s">
        <v>203</v>
      </c>
      <c r="EHV18" s="314" t="s">
        <v>203</v>
      </c>
      <c r="EHW18" s="314" t="s">
        <v>203</v>
      </c>
      <c r="EHX18" s="314" t="s">
        <v>203</v>
      </c>
      <c r="EHY18" s="314" t="s">
        <v>203</v>
      </c>
      <c r="EHZ18" s="314" t="s">
        <v>203</v>
      </c>
      <c r="EIA18" s="314" t="s">
        <v>203</v>
      </c>
      <c r="EIB18" s="314" t="s">
        <v>203</v>
      </c>
      <c r="EIC18" s="314" t="s">
        <v>203</v>
      </c>
      <c r="EID18" s="314" t="s">
        <v>203</v>
      </c>
      <c r="EIE18" s="314" t="s">
        <v>203</v>
      </c>
      <c r="EIF18" s="314" t="s">
        <v>203</v>
      </c>
      <c r="EIG18" s="314" t="s">
        <v>203</v>
      </c>
      <c r="EIH18" s="314" t="s">
        <v>203</v>
      </c>
      <c r="EII18" s="314" t="s">
        <v>203</v>
      </c>
      <c r="EIJ18" s="314" t="s">
        <v>203</v>
      </c>
      <c r="EIK18" s="314" t="s">
        <v>203</v>
      </c>
      <c r="EIL18" s="314" t="s">
        <v>203</v>
      </c>
      <c r="EIM18" s="314" t="s">
        <v>203</v>
      </c>
      <c r="EIN18" s="314" t="s">
        <v>203</v>
      </c>
      <c r="EIO18" s="314" t="s">
        <v>203</v>
      </c>
      <c r="EIP18" s="314" t="s">
        <v>203</v>
      </c>
      <c r="EIQ18" s="314" t="s">
        <v>203</v>
      </c>
      <c r="EIR18" s="314" t="s">
        <v>203</v>
      </c>
      <c r="EIS18" s="314" t="s">
        <v>203</v>
      </c>
      <c r="EIT18" s="314" t="s">
        <v>203</v>
      </c>
      <c r="EIU18" s="314" t="s">
        <v>203</v>
      </c>
      <c r="EIV18" s="314" t="s">
        <v>203</v>
      </c>
      <c r="EIW18" s="314" t="s">
        <v>203</v>
      </c>
      <c r="EIX18" s="314" t="s">
        <v>203</v>
      </c>
      <c r="EIY18" s="314" t="s">
        <v>203</v>
      </c>
      <c r="EIZ18" s="314" t="s">
        <v>203</v>
      </c>
      <c r="EJA18" s="314" t="s">
        <v>203</v>
      </c>
      <c r="EJB18" s="314" t="s">
        <v>203</v>
      </c>
      <c r="EJC18" s="314" t="s">
        <v>203</v>
      </c>
      <c r="EJD18" s="314" t="s">
        <v>203</v>
      </c>
      <c r="EJE18" s="314" t="s">
        <v>203</v>
      </c>
      <c r="EJF18" s="314" t="s">
        <v>203</v>
      </c>
      <c r="EJG18" s="314" t="s">
        <v>203</v>
      </c>
      <c r="EJH18" s="314" t="s">
        <v>203</v>
      </c>
      <c r="EJI18" s="314" t="s">
        <v>203</v>
      </c>
      <c r="EJJ18" s="314" t="s">
        <v>203</v>
      </c>
      <c r="EJK18" s="314" t="s">
        <v>203</v>
      </c>
      <c r="EJL18" s="314" t="s">
        <v>203</v>
      </c>
      <c r="EJM18" s="314" t="s">
        <v>203</v>
      </c>
      <c r="EJN18" s="314" t="s">
        <v>203</v>
      </c>
      <c r="EJO18" s="314" t="s">
        <v>203</v>
      </c>
      <c r="EJP18" s="314" t="s">
        <v>203</v>
      </c>
      <c r="EJQ18" s="314" t="s">
        <v>203</v>
      </c>
      <c r="EJR18" s="314" t="s">
        <v>203</v>
      </c>
      <c r="EJS18" s="314" t="s">
        <v>203</v>
      </c>
      <c r="EJT18" s="314" t="s">
        <v>203</v>
      </c>
      <c r="EJU18" s="314" t="s">
        <v>203</v>
      </c>
      <c r="EJV18" s="314" t="s">
        <v>203</v>
      </c>
      <c r="EJW18" s="314" t="s">
        <v>203</v>
      </c>
      <c r="EJX18" s="314" t="s">
        <v>203</v>
      </c>
      <c r="EJY18" s="314" t="s">
        <v>203</v>
      </c>
      <c r="EJZ18" s="314" t="s">
        <v>203</v>
      </c>
      <c r="EKA18" s="314" t="s">
        <v>203</v>
      </c>
      <c r="EKB18" s="314" t="s">
        <v>203</v>
      </c>
      <c r="EKC18" s="314" t="s">
        <v>203</v>
      </c>
      <c r="EKD18" s="314" t="s">
        <v>203</v>
      </c>
      <c r="EKE18" s="314" t="s">
        <v>203</v>
      </c>
      <c r="EKF18" s="314" t="s">
        <v>203</v>
      </c>
      <c r="EKG18" s="314" t="s">
        <v>203</v>
      </c>
      <c r="EKH18" s="314" t="s">
        <v>203</v>
      </c>
      <c r="EKI18" s="314" t="s">
        <v>203</v>
      </c>
      <c r="EKJ18" s="314" t="s">
        <v>203</v>
      </c>
      <c r="EKK18" s="314" t="s">
        <v>203</v>
      </c>
      <c r="EKL18" s="314" t="s">
        <v>203</v>
      </c>
      <c r="EKM18" s="314" t="s">
        <v>203</v>
      </c>
      <c r="EKN18" s="314" t="s">
        <v>203</v>
      </c>
      <c r="EKO18" s="314" t="s">
        <v>203</v>
      </c>
      <c r="EKP18" s="314" t="s">
        <v>203</v>
      </c>
      <c r="EKQ18" s="314" t="s">
        <v>203</v>
      </c>
      <c r="EKR18" s="314" t="s">
        <v>203</v>
      </c>
      <c r="EKS18" s="314" t="s">
        <v>203</v>
      </c>
      <c r="EKT18" s="314" t="s">
        <v>203</v>
      </c>
      <c r="EKU18" s="314" t="s">
        <v>203</v>
      </c>
      <c r="EKV18" s="314" t="s">
        <v>203</v>
      </c>
      <c r="EKW18" s="314" t="s">
        <v>203</v>
      </c>
      <c r="EKX18" s="314" t="s">
        <v>203</v>
      </c>
      <c r="EKY18" s="314" t="s">
        <v>203</v>
      </c>
      <c r="EKZ18" s="314" t="s">
        <v>203</v>
      </c>
      <c r="ELA18" s="314" t="s">
        <v>203</v>
      </c>
      <c r="ELB18" s="314" t="s">
        <v>203</v>
      </c>
      <c r="ELC18" s="314" t="s">
        <v>203</v>
      </c>
      <c r="ELD18" s="314" t="s">
        <v>203</v>
      </c>
      <c r="ELE18" s="314" t="s">
        <v>203</v>
      </c>
      <c r="ELF18" s="314" t="s">
        <v>203</v>
      </c>
      <c r="ELG18" s="314" t="s">
        <v>203</v>
      </c>
      <c r="ELH18" s="314" t="s">
        <v>203</v>
      </c>
      <c r="ELI18" s="314" t="s">
        <v>203</v>
      </c>
      <c r="ELJ18" s="314" t="s">
        <v>203</v>
      </c>
      <c r="ELK18" s="314" t="s">
        <v>203</v>
      </c>
      <c r="ELL18" s="314" t="s">
        <v>203</v>
      </c>
      <c r="ELM18" s="314" t="s">
        <v>203</v>
      </c>
      <c r="ELN18" s="314" t="s">
        <v>203</v>
      </c>
      <c r="ELO18" s="314" t="s">
        <v>203</v>
      </c>
      <c r="ELP18" s="314" t="s">
        <v>203</v>
      </c>
      <c r="ELQ18" s="314" t="s">
        <v>203</v>
      </c>
      <c r="ELR18" s="314" t="s">
        <v>203</v>
      </c>
      <c r="ELS18" s="314" t="s">
        <v>203</v>
      </c>
      <c r="ELT18" s="314" t="s">
        <v>203</v>
      </c>
      <c r="ELU18" s="314" t="s">
        <v>203</v>
      </c>
      <c r="ELV18" s="314" t="s">
        <v>203</v>
      </c>
      <c r="ELW18" s="314" t="s">
        <v>203</v>
      </c>
      <c r="ELX18" s="314" t="s">
        <v>203</v>
      </c>
      <c r="ELY18" s="314" t="s">
        <v>203</v>
      </c>
      <c r="ELZ18" s="314" t="s">
        <v>203</v>
      </c>
      <c r="EMA18" s="314" t="s">
        <v>203</v>
      </c>
      <c r="EMB18" s="314" t="s">
        <v>203</v>
      </c>
      <c r="EMC18" s="314" t="s">
        <v>203</v>
      </c>
      <c r="EMD18" s="314" t="s">
        <v>203</v>
      </c>
      <c r="EME18" s="314" t="s">
        <v>203</v>
      </c>
      <c r="EMF18" s="314" t="s">
        <v>203</v>
      </c>
      <c r="EMG18" s="314" t="s">
        <v>203</v>
      </c>
      <c r="EMH18" s="314" t="s">
        <v>203</v>
      </c>
      <c r="EMI18" s="314" t="s">
        <v>203</v>
      </c>
      <c r="EMJ18" s="314" t="s">
        <v>203</v>
      </c>
      <c r="EMK18" s="314" t="s">
        <v>203</v>
      </c>
      <c r="EML18" s="314" t="s">
        <v>203</v>
      </c>
      <c r="EMM18" s="314" t="s">
        <v>203</v>
      </c>
      <c r="EMN18" s="314" t="s">
        <v>203</v>
      </c>
      <c r="EMO18" s="314" t="s">
        <v>203</v>
      </c>
      <c r="EMP18" s="314" t="s">
        <v>203</v>
      </c>
      <c r="EMQ18" s="314" t="s">
        <v>203</v>
      </c>
      <c r="EMR18" s="314" t="s">
        <v>203</v>
      </c>
      <c r="EMS18" s="314" t="s">
        <v>203</v>
      </c>
      <c r="EMT18" s="314" t="s">
        <v>203</v>
      </c>
      <c r="EMU18" s="314" t="s">
        <v>203</v>
      </c>
      <c r="EMV18" s="314" t="s">
        <v>203</v>
      </c>
      <c r="EMW18" s="314" t="s">
        <v>203</v>
      </c>
      <c r="EMX18" s="314" t="s">
        <v>203</v>
      </c>
      <c r="EMY18" s="314" t="s">
        <v>203</v>
      </c>
      <c r="EMZ18" s="314" t="s">
        <v>203</v>
      </c>
      <c r="ENA18" s="314" t="s">
        <v>203</v>
      </c>
      <c r="ENB18" s="314" t="s">
        <v>203</v>
      </c>
      <c r="ENC18" s="314" t="s">
        <v>203</v>
      </c>
      <c r="END18" s="314" t="s">
        <v>203</v>
      </c>
      <c r="ENE18" s="314" t="s">
        <v>203</v>
      </c>
      <c r="ENF18" s="314" t="s">
        <v>203</v>
      </c>
      <c r="ENG18" s="314" t="s">
        <v>203</v>
      </c>
      <c r="ENH18" s="314" t="s">
        <v>203</v>
      </c>
      <c r="ENI18" s="314" t="s">
        <v>203</v>
      </c>
      <c r="ENJ18" s="314" t="s">
        <v>203</v>
      </c>
      <c r="ENK18" s="314" t="s">
        <v>203</v>
      </c>
      <c r="ENL18" s="314" t="s">
        <v>203</v>
      </c>
      <c r="ENM18" s="314" t="s">
        <v>203</v>
      </c>
      <c r="ENN18" s="314" t="s">
        <v>203</v>
      </c>
      <c r="ENO18" s="314" t="s">
        <v>203</v>
      </c>
      <c r="ENP18" s="314" t="s">
        <v>203</v>
      </c>
      <c r="ENQ18" s="314" t="s">
        <v>203</v>
      </c>
      <c r="ENR18" s="314" t="s">
        <v>203</v>
      </c>
      <c r="ENS18" s="314" t="s">
        <v>203</v>
      </c>
      <c r="ENT18" s="314" t="s">
        <v>203</v>
      </c>
      <c r="ENU18" s="314" t="s">
        <v>203</v>
      </c>
      <c r="ENV18" s="314" t="s">
        <v>203</v>
      </c>
      <c r="ENW18" s="314" t="s">
        <v>203</v>
      </c>
      <c r="ENX18" s="314" t="s">
        <v>203</v>
      </c>
      <c r="ENY18" s="314" t="s">
        <v>203</v>
      </c>
      <c r="ENZ18" s="314" t="s">
        <v>203</v>
      </c>
      <c r="EOA18" s="314" t="s">
        <v>203</v>
      </c>
      <c r="EOB18" s="314" t="s">
        <v>203</v>
      </c>
      <c r="EOC18" s="314" t="s">
        <v>203</v>
      </c>
      <c r="EOD18" s="314" t="s">
        <v>203</v>
      </c>
      <c r="EOE18" s="314" t="s">
        <v>203</v>
      </c>
      <c r="EOF18" s="314" t="s">
        <v>203</v>
      </c>
      <c r="EOG18" s="314" t="s">
        <v>203</v>
      </c>
      <c r="EOH18" s="314" t="s">
        <v>203</v>
      </c>
      <c r="EOI18" s="314" t="s">
        <v>203</v>
      </c>
      <c r="EOJ18" s="314" t="s">
        <v>203</v>
      </c>
      <c r="EOK18" s="314" t="s">
        <v>203</v>
      </c>
      <c r="EOL18" s="314" t="s">
        <v>203</v>
      </c>
      <c r="EOM18" s="314" t="s">
        <v>203</v>
      </c>
      <c r="EON18" s="314" t="s">
        <v>203</v>
      </c>
      <c r="EOO18" s="314" t="s">
        <v>203</v>
      </c>
      <c r="EOP18" s="314" t="s">
        <v>203</v>
      </c>
      <c r="EOQ18" s="314" t="s">
        <v>203</v>
      </c>
      <c r="EOR18" s="314" t="s">
        <v>203</v>
      </c>
      <c r="EOS18" s="314" t="s">
        <v>203</v>
      </c>
      <c r="EOT18" s="314" t="s">
        <v>203</v>
      </c>
      <c r="EOU18" s="314" t="s">
        <v>203</v>
      </c>
      <c r="EOV18" s="314" t="s">
        <v>203</v>
      </c>
      <c r="EOW18" s="314" t="s">
        <v>203</v>
      </c>
      <c r="EOX18" s="314" t="s">
        <v>203</v>
      </c>
      <c r="EOY18" s="314" t="s">
        <v>203</v>
      </c>
      <c r="EOZ18" s="314" t="s">
        <v>203</v>
      </c>
      <c r="EPA18" s="314" t="s">
        <v>203</v>
      </c>
      <c r="EPB18" s="314" t="s">
        <v>203</v>
      </c>
      <c r="EPC18" s="314" t="s">
        <v>203</v>
      </c>
      <c r="EPD18" s="314" t="s">
        <v>203</v>
      </c>
      <c r="EPE18" s="314" t="s">
        <v>203</v>
      </c>
      <c r="EPF18" s="314" t="s">
        <v>203</v>
      </c>
      <c r="EPG18" s="314" t="s">
        <v>203</v>
      </c>
      <c r="EPH18" s="314" t="s">
        <v>203</v>
      </c>
      <c r="EPI18" s="314" t="s">
        <v>203</v>
      </c>
      <c r="EPJ18" s="314" t="s">
        <v>203</v>
      </c>
      <c r="EPK18" s="314" t="s">
        <v>203</v>
      </c>
      <c r="EPL18" s="314" t="s">
        <v>203</v>
      </c>
      <c r="EPM18" s="314" t="s">
        <v>203</v>
      </c>
      <c r="EPN18" s="314" t="s">
        <v>203</v>
      </c>
      <c r="EPO18" s="314" t="s">
        <v>203</v>
      </c>
      <c r="EPP18" s="314" t="s">
        <v>203</v>
      </c>
      <c r="EPQ18" s="314" t="s">
        <v>203</v>
      </c>
      <c r="EPR18" s="314" t="s">
        <v>203</v>
      </c>
      <c r="EPS18" s="314" t="s">
        <v>203</v>
      </c>
      <c r="EPT18" s="314" t="s">
        <v>203</v>
      </c>
      <c r="EPU18" s="314" t="s">
        <v>203</v>
      </c>
      <c r="EPV18" s="314" t="s">
        <v>203</v>
      </c>
      <c r="EPW18" s="314" t="s">
        <v>203</v>
      </c>
      <c r="EPX18" s="314" t="s">
        <v>203</v>
      </c>
      <c r="EPY18" s="314" t="s">
        <v>203</v>
      </c>
      <c r="EPZ18" s="314" t="s">
        <v>203</v>
      </c>
      <c r="EQA18" s="314" t="s">
        <v>203</v>
      </c>
      <c r="EQB18" s="314" t="s">
        <v>203</v>
      </c>
      <c r="EQC18" s="314" t="s">
        <v>203</v>
      </c>
      <c r="EQD18" s="314" t="s">
        <v>203</v>
      </c>
      <c r="EQE18" s="314" t="s">
        <v>203</v>
      </c>
      <c r="EQF18" s="314" t="s">
        <v>203</v>
      </c>
      <c r="EQG18" s="314" t="s">
        <v>203</v>
      </c>
      <c r="EQH18" s="314" t="s">
        <v>203</v>
      </c>
      <c r="EQI18" s="314" t="s">
        <v>203</v>
      </c>
      <c r="EQJ18" s="314" t="s">
        <v>203</v>
      </c>
      <c r="EQK18" s="314" t="s">
        <v>203</v>
      </c>
      <c r="EQL18" s="314" t="s">
        <v>203</v>
      </c>
      <c r="EQM18" s="314" t="s">
        <v>203</v>
      </c>
      <c r="EQN18" s="314" t="s">
        <v>203</v>
      </c>
      <c r="EQO18" s="314" t="s">
        <v>203</v>
      </c>
      <c r="EQP18" s="314" t="s">
        <v>203</v>
      </c>
      <c r="EQQ18" s="314" t="s">
        <v>203</v>
      </c>
      <c r="EQR18" s="314" t="s">
        <v>203</v>
      </c>
      <c r="EQS18" s="314" t="s">
        <v>203</v>
      </c>
      <c r="EQT18" s="314" t="s">
        <v>203</v>
      </c>
      <c r="EQU18" s="314" t="s">
        <v>203</v>
      </c>
      <c r="EQV18" s="314" t="s">
        <v>203</v>
      </c>
      <c r="EQW18" s="314" t="s">
        <v>203</v>
      </c>
      <c r="EQX18" s="314" t="s">
        <v>203</v>
      </c>
      <c r="EQY18" s="314" t="s">
        <v>203</v>
      </c>
      <c r="EQZ18" s="314" t="s">
        <v>203</v>
      </c>
      <c r="ERA18" s="314" t="s">
        <v>203</v>
      </c>
      <c r="ERB18" s="314" t="s">
        <v>203</v>
      </c>
      <c r="ERC18" s="314" t="s">
        <v>203</v>
      </c>
      <c r="ERD18" s="314" t="s">
        <v>203</v>
      </c>
      <c r="ERE18" s="314" t="s">
        <v>203</v>
      </c>
      <c r="ERF18" s="314" t="s">
        <v>203</v>
      </c>
      <c r="ERG18" s="314" t="s">
        <v>203</v>
      </c>
      <c r="ERH18" s="314" t="s">
        <v>203</v>
      </c>
      <c r="ERI18" s="314" t="s">
        <v>203</v>
      </c>
      <c r="ERJ18" s="314" t="s">
        <v>203</v>
      </c>
      <c r="ERK18" s="314" t="s">
        <v>203</v>
      </c>
      <c r="ERL18" s="314" t="s">
        <v>203</v>
      </c>
      <c r="ERM18" s="314" t="s">
        <v>203</v>
      </c>
      <c r="ERN18" s="314" t="s">
        <v>203</v>
      </c>
      <c r="ERO18" s="314" t="s">
        <v>203</v>
      </c>
      <c r="ERP18" s="314" t="s">
        <v>203</v>
      </c>
      <c r="ERQ18" s="314" t="s">
        <v>203</v>
      </c>
      <c r="ERR18" s="314" t="s">
        <v>203</v>
      </c>
      <c r="ERS18" s="314" t="s">
        <v>203</v>
      </c>
      <c r="ERT18" s="314" t="s">
        <v>203</v>
      </c>
      <c r="ERU18" s="314" t="s">
        <v>203</v>
      </c>
      <c r="ERV18" s="314" t="s">
        <v>203</v>
      </c>
      <c r="ERW18" s="314" t="s">
        <v>203</v>
      </c>
      <c r="ERX18" s="314" t="s">
        <v>203</v>
      </c>
      <c r="ERY18" s="314" t="s">
        <v>203</v>
      </c>
      <c r="ERZ18" s="314" t="s">
        <v>203</v>
      </c>
      <c r="ESA18" s="314" t="s">
        <v>203</v>
      </c>
      <c r="ESB18" s="314" t="s">
        <v>203</v>
      </c>
      <c r="ESC18" s="314" t="s">
        <v>203</v>
      </c>
      <c r="ESD18" s="314" t="s">
        <v>203</v>
      </c>
      <c r="ESE18" s="314" t="s">
        <v>203</v>
      </c>
      <c r="ESF18" s="314" t="s">
        <v>203</v>
      </c>
      <c r="ESG18" s="314" t="s">
        <v>203</v>
      </c>
      <c r="ESH18" s="314" t="s">
        <v>203</v>
      </c>
      <c r="ESI18" s="314" t="s">
        <v>203</v>
      </c>
      <c r="ESJ18" s="314" t="s">
        <v>203</v>
      </c>
      <c r="ESK18" s="314" t="s">
        <v>203</v>
      </c>
      <c r="ESL18" s="314" t="s">
        <v>203</v>
      </c>
      <c r="ESM18" s="314" t="s">
        <v>203</v>
      </c>
      <c r="ESN18" s="314" t="s">
        <v>203</v>
      </c>
      <c r="ESO18" s="314" t="s">
        <v>203</v>
      </c>
      <c r="ESP18" s="314" t="s">
        <v>203</v>
      </c>
      <c r="ESQ18" s="314" t="s">
        <v>203</v>
      </c>
      <c r="ESR18" s="314" t="s">
        <v>203</v>
      </c>
      <c r="ESS18" s="314" t="s">
        <v>203</v>
      </c>
      <c r="EST18" s="314" t="s">
        <v>203</v>
      </c>
      <c r="ESU18" s="314" t="s">
        <v>203</v>
      </c>
      <c r="ESV18" s="314" t="s">
        <v>203</v>
      </c>
      <c r="ESW18" s="314" t="s">
        <v>203</v>
      </c>
      <c r="ESX18" s="314" t="s">
        <v>203</v>
      </c>
      <c r="ESY18" s="314" t="s">
        <v>203</v>
      </c>
      <c r="ESZ18" s="314" t="s">
        <v>203</v>
      </c>
      <c r="ETA18" s="314" t="s">
        <v>203</v>
      </c>
      <c r="ETB18" s="314" t="s">
        <v>203</v>
      </c>
      <c r="ETC18" s="314" t="s">
        <v>203</v>
      </c>
      <c r="ETD18" s="314" t="s">
        <v>203</v>
      </c>
      <c r="ETE18" s="314" t="s">
        <v>203</v>
      </c>
      <c r="ETF18" s="314" t="s">
        <v>203</v>
      </c>
      <c r="ETG18" s="314" t="s">
        <v>203</v>
      </c>
      <c r="ETH18" s="314" t="s">
        <v>203</v>
      </c>
      <c r="ETI18" s="314" t="s">
        <v>203</v>
      </c>
      <c r="ETJ18" s="314" t="s">
        <v>203</v>
      </c>
      <c r="ETK18" s="314" t="s">
        <v>203</v>
      </c>
      <c r="ETL18" s="314" t="s">
        <v>203</v>
      </c>
      <c r="ETM18" s="314" t="s">
        <v>203</v>
      </c>
      <c r="ETN18" s="314" t="s">
        <v>203</v>
      </c>
      <c r="ETO18" s="314" t="s">
        <v>203</v>
      </c>
      <c r="ETP18" s="314" t="s">
        <v>203</v>
      </c>
      <c r="ETQ18" s="314" t="s">
        <v>203</v>
      </c>
      <c r="ETR18" s="314" t="s">
        <v>203</v>
      </c>
      <c r="ETS18" s="314" t="s">
        <v>203</v>
      </c>
      <c r="ETT18" s="314" t="s">
        <v>203</v>
      </c>
      <c r="ETU18" s="314" t="s">
        <v>203</v>
      </c>
      <c r="ETV18" s="314" t="s">
        <v>203</v>
      </c>
      <c r="ETW18" s="314" t="s">
        <v>203</v>
      </c>
      <c r="ETX18" s="314" t="s">
        <v>203</v>
      </c>
      <c r="ETY18" s="314" t="s">
        <v>203</v>
      </c>
      <c r="ETZ18" s="314" t="s">
        <v>203</v>
      </c>
      <c r="EUA18" s="314" t="s">
        <v>203</v>
      </c>
      <c r="EUB18" s="314" t="s">
        <v>203</v>
      </c>
      <c r="EUC18" s="314" t="s">
        <v>203</v>
      </c>
      <c r="EUD18" s="314" t="s">
        <v>203</v>
      </c>
      <c r="EUE18" s="314" t="s">
        <v>203</v>
      </c>
      <c r="EUF18" s="314" t="s">
        <v>203</v>
      </c>
      <c r="EUG18" s="314" t="s">
        <v>203</v>
      </c>
      <c r="EUH18" s="314" t="s">
        <v>203</v>
      </c>
      <c r="EUI18" s="314" t="s">
        <v>203</v>
      </c>
      <c r="EUJ18" s="314" t="s">
        <v>203</v>
      </c>
      <c r="EUK18" s="314" t="s">
        <v>203</v>
      </c>
      <c r="EUL18" s="314" t="s">
        <v>203</v>
      </c>
      <c r="EUM18" s="314" t="s">
        <v>203</v>
      </c>
      <c r="EUN18" s="314" t="s">
        <v>203</v>
      </c>
      <c r="EUO18" s="314" t="s">
        <v>203</v>
      </c>
      <c r="EUP18" s="314" t="s">
        <v>203</v>
      </c>
      <c r="EUQ18" s="314" t="s">
        <v>203</v>
      </c>
      <c r="EUR18" s="314" t="s">
        <v>203</v>
      </c>
      <c r="EUS18" s="314" t="s">
        <v>203</v>
      </c>
      <c r="EUT18" s="314" t="s">
        <v>203</v>
      </c>
      <c r="EUU18" s="314" t="s">
        <v>203</v>
      </c>
      <c r="EUV18" s="314" t="s">
        <v>203</v>
      </c>
      <c r="EUW18" s="314" t="s">
        <v>203</v>
      </c>
      <c r="EUX18" s="314" t="s">
        <v>203</v>
      </c>
      <c r="EUY18" s="314" t="s">
        <v>203</v>
      </c>
      <c r="EUZ18" s="314" t="s">
        <v>203</v>
      </c>
      <c r="EVA18" s="314" t="s">
        <v>203</v>
      </c>
      <c r="EVB18" s="314" t="s">
        <v>203</v>
      </c>
      <c r="EVC18" s="314" t="s">
        <v>203</v>
      </c>
      <c r="EVD18" s="314" t="s">
        <v>203</v>
      </c>
      <c r="EVE18" s="314" t="s">
        <v>203</v>
      </c>
      <c r="EVF18" s="314" t="s">
        <v>203</v>
      </c>
      <c r="EVG18" s="314" t="s">
        <v>203</v>
      </c>
      <c r="EVH18" s="314" t="s">
        <v>203</v>
      </c>
      <c r="EVI18" s="314" t="s">
        <v>203</v>
      </c>
      <c r="EVJ18" s="314" t="s">
        <v>203</v>
      </c>
      <c r="EVK18" s="314" t="s">
        <v>203</v>
      </c>
      <c r="EVL18" s="314" t="s">
        <v>203</v>
      </c>
      <c r="EVM18" s="314" t="s">
        <v>203</v>
      </c>
      <c r="EVN18" s="314" t="s">
        <v>203</v>
      </c>
      <c r="EVO18" s="314" t="s">
        <v>203</v>
      </c>
      <c r="EVP18" s="314" t="s">
        <v>203</v>
      </c>
      <c r="EVQ18" s="314" t="s">
        <v>203</v>
      </c>
      <c r="EVR18" s="314" t="s">
        <v>203</v>
      </c>
      <c r="EVS18" s="314" t="s">
        <v>203</v>
      </c>
      <c r="EVT18" s="314" t="s">
        <v>203</v>
      </c>
      <c r="EVU18" s="314" t="s">
        <v>203</v>
      </c>
      <c r="EVV18" s="314" t="s">
        <v>203</v>
      </c>
      <c r="EVW18" s="314" t="s">
        <v>203</v>
      </c>
      <c r="EVX18" s="314" t="s">
        <v>203</v>
      </c>
      <c r="EVY18" s="314" t="s">
        <v>203</v>
      </c>
      <c r="EVZ18" s="314" t="s">
        <v>203</v>
      </c>
      <c r="EWA18" s="314" t="s">
        <v>203</v>
      </c>
      <c r="EWB18" s="314" t="s">
        <v>203</v>
      </c>
      <c r="EWC18" s="314" t="s">
        <v>203</v>
      </c>
      <c r="EWD18" s="314" t="s">
        <v>203</v>
      </c>
      <c r="EWE18" s="314" t="s">
        <v>203</v>
      </c>
      <c r="EWF18" s="314" t="s">
        <v>203</v>
      </c>
      <c r="EWG18" s="314" t="s">
        <v>203</v>
      </c>
      <c r="EWH18" s="314" t="s">
        <v>203</v>
      </c>
      <c r="EWI18" s="314" t="s">
        <v>203</v>
      </c>
      <c r="EWJ18" s="314" t="s">
        <v>203</v>
      </c>
      <c r="EWK18" s="314" t="s">
        <v>203</v>
      </c>
      <c r="EWL18" s="314" t="s">
        <v>203</v>
      </c>
      <c r="EWM18" s="314" t="s">
        <v>203</v>
      </c>
      <c r="EWN18" s="314" t="s">
        <v>203</v>
      </c>
      <c r="EWO18" s="314" t="s">
        <v>203</v>
      </c>
      <c r="EWP18" s="314" t="s">
        <v>203</v>
      </c>
      <c r="EWQ18" s="314" t="s">
        <v>203</v>
      </c>
      <c r="EWR18" s="314" t="s">
        <v>203</v>
      </c>
      <c r="EWS18" s="314" t="s">
        <v>203</v>
      </c>
      <c r="EWT18" s="314" t="s">
        <v>203</v>
      </c>
      <c r="EWU18" s="314" t="s">
        <v>203</v>
      </c>
      <c r="EWV18" s="314" t="s">
        <v>203</v>
      </c>
      <c r="EWW18" s="314" t="s">
        <v>203</v>
      </c>
      <c r="EWX18" s="314" t="s">
        <v>203</v>
      </c>
      <c r="EWY18" s="314" t="s">
        <v>203</v>
      </c>
      <c r="EWZ18" s="314" t="s">
        <v>203</v>
      </c>
      <c r="EXA18" s="314" t="s">
        <v>203</v>
      </c>
      <c r="EXB18" s="314" t="s">
        <v>203</v>
      </c>
      <c r="EXC18" s="314" t="s">
        <v>203</v>
      </c>
      <c r="EXD18" s="314" t="s">
        <v>203</v>
      </c>
      <c r="EXE18" s="314" t="s">
        <v>203</v>
      </c>
      <c r="EXF18" s="314" t="s">
        <v>203</v>
      </c>
      <c r="EXG18" s="314" t="s">
        <v>203</v>
      </c>
      <c r="EXH18" s="314" t="s">
        <v>203</v>
      </c>
      <c r="EXI18" s="314" t="s">
        <v>203</v>
      </c>
      <c r="EXJ18" s="314" t="s">
        <v>203</v>
      </c>
      <c r="EXK18" s="314" t="s">
        <v>203</v>
      </c>
      <c r="EXL18" s="314" t="s">
        <v>203</v>
      </c>
      <c r="EXM18" s="314" t="s">
        <v>203</v>
      </c>
      <c r="EXN18" s="314" t="s">
        <v>203</v>
      </c>
      <c r="EXO18" s="314" t="s">
        <v>203</v>
      </c>
      <c r="EXP18" s="314" t="s">
        <v>203</v>
      </c>
      <c r="EXQ18" s="314" t="s">
        <v>203</v>
      </c>
      <c r="EXR18" s="314" t="s">
        <v>203</v>
      </c>
      <c r="EXS18" s="314" t="s">
        <v>203</v>
      </c>
      <c r="EXT18" s="314" t="s">
        <v>203</v>
      </c>
      <c r="EXU18" s="314" t="s">
        <v>203</v>
      </c>
      <c r="EXV18" s="314" t="s">
        <v>203</v>
      </c>
      <c r="EXW18" s="314" t="s">
        <v>203</v>
      </c>
      <c r="EXX18" s="314" t="s">
        <v>203</v>
      </c>
      <c r="EXY18" s="314" t="s">
        <v>203</v>
      </c>
      <c r="EXZ18" s="314" t="s">
        <v>203</v>
      </c>
      <c r="EYA18" s="314" t="s">
        <v>203</v>
      </c>
      <c r="EYB18" s="314" t="s">
        <v>203</v>
      </c>
      <c r="EYC18" s="314" t="s">
        <v>203</v>
      </c>
      <c r="EYD18" s="314" t="s">
        <v>203</v>
      </c>
      <c r="EYE18" s="314" t="s">
        <v>203</v>
      </c>
      <c r="EYF18" s="314" t="s">
        <v>203</v>
      </c>
      <c r="EYG18" s="314" t="s">
        <v>203</v>
      </c>
      <c r="EYH18" s="314" t="s">
        <v>203</v>
      </c>
      <c r="EYI18" s="314" t="s">
        <v>203</v>
      </c>
      <c r="EYJ18" s="314" t="s">
        <v>203</v>
      </c>
      <c r="EYK18" s="314" t="s">
        <v>203</v>
      </c>
      <c r="EYL18" s="314" t="s">
        <v>203</v>
      </c>
      <c r="EYM18" s="314" t="s">
        <v>203</v>
      </c>
      <c r="EYN18" s="314" t="s">
        <v>203</v>
      </c>
      <c r="EYO18" s="314" t="s">
        <v>203</v>
      </c>
      <c r="EYP18" s="314" t="s">
        <v>203</v>
      </c>
      <c r="EYQ18" s="314" t="s">
        <v>203</v>
      </c>
      <c r="EYR18" s="314" t="s">
        <v>203</v>
      </c>
      <c r="EYS18" s="314" t="s">
        <v>203</v>
      </c>
      <c r="EYT18" s="314" t="s">
        <v>203</v>
      </c>
      <c r="EYU18" s="314" t="s">
        <v>203</v>
      </c>
      <c r="EYV18" s="314" t="s">
        <v>203</v>
      </c>
      <c r="EYW18" s="314" t="s">
        <v>203</v>
      </c>
      <c r="EYX18" s="314" t="s">
        <v>203</v>
      </c>
      <c r="EYY18" s="314" t="s">
        <v>203</v>
      </c>
      <c r="EYZ18" s="314" t="s">
        <v>203</v>
      </c>
      <c r="EZA18" s="314" t="s">
        <v>203</v>
      </c>
      <c r="EZB18" s="314" t="s">
        <v>203</v>
      </c>
      <c r="EZC18" s="314" t="s">
        <v>203</v>
      </c>
      <c r="EZD18" s="314" t="s">
        <v>203</v>
      </c>
      <c r="EZE18" s="314" t="s">
        <v>203</v>
      </c>
      <c r="EZF18" s="314" t="s">
        <v>203</v>
      </c>
      <c r="EZG18" s="314" t="s">
        <v>203</v>
      </c>
      <c r="EZH18" s="314" t="s">
        <v>203</v>
      </c>
      <c r="EZI18" s="314" t="s">
        <v>203</v>
      </c>
      <c r="EZJ18" s="314" t="s">
        <v>203</v>
      </c>
      <c r="EZK18" s="314" t="s">
        <v>203</v>
      </c>
      <c r="EZL18" s="314" t="s">
        <v>203</v>
      </c>
      <c r="EZM18" s="314" t="s">
        <v>203</v>
      </c>
      <c r="EZN18" s="314" t="s">
        <v>203</v>
      </c>
      <c r="EZO18" s="314" t="s">
        <v>203</v>
      </c>
      <c r="EZP18" s="314" t="s">
        <v>203</v>
      </c>
      <c r="EZQ18" s="314" t="s">
        <v>203</v>
      </c>
      <c r="EZR18" s="314" t="s">
        <v>203</v>
      </c>
      <c r="EZS18" s="314" t="s">
        <v>203</v>
      </c>
      <c r="EZT18" s="314" t="s">
        <v>203</v>
      </c>
      <c r="EZU18" s="314" t="s">
        <v>203</v>
      </c>
      <c r="EZV18" s="314" t="s">
        <v>203</v>
      </c>
      <c r="EZW18" s="314" t="s">
        <v>203</v>
      </c>
      <c r="EZX18" s="314" t="s">
        <v>203</v>
      </c>
      <c r="EZY18" s="314" t="s">
        <v>203</v>
      </c>
      <c r="EZZ18" s="314" t="s">
        <v>203</v>
      </c>
      <c r="FAA18" s="314" t="s">
        <v>203</v>
      </c>
      <c r="FAB18" s="314" t="s">
        <v>203</v>
      </c>
      <c r="FAC18" s="314" t="s">
        <v>203</v>
      </c>
      <c r="FAD18" s="314" t="s">
        <v>203</v>
      </c>
      <c r="FAE18" s="314" t="s">
        <v>203</v>
      </c>
      <c r="FAF18" s="314" t="s">
        <v>203</v>
      </c>
      <c r="FAG18" s="314" t="s">
        <v>203</v>
      </c>
      <c r="FAH18" s="314" t="s">
        <v>203</v>
      </c>
      <c r="FAI18" s="314" t="s">
        <v>203</v>
      </c>
      <c r="FAJ18" s="314" t="s">
        <v>203</v>
      </c>
      <c r="FAK18" s="314" t="s">
        <v>203</v>
      </c>
      <c r="FAL18" s="314" t="s">
        <v>203</v>
      </c>
      <c r="FAM18" s="314" t="s">
        <v>203</v>
      </c>
      <c r="FAN18" s="314" t="s">
        <v>203</v>
      </c>
      <c r="FAO18" s="314" t="s">
        <v>203</v>
      </c>
      <c r="FAP18" s="314" t="s">
        <v>203</v>
      </c>
      <c r="FAQ18" s="314" t="s">
        <v>203</v>
      </c>
      <c r="FAR18" s="314" t="s">
        <v>203</v>
      </c>
      <c r="FAS18" s="314" t="s">
        <v>203</v>
      </c>
      <c r="FAT18" s="314" t="s">
        <v>203</v>
      </c>
      <c r="FAU18" s="314" t="s">
        <v>203</v>
      </c>
      <c r="FAV18" s="314" t="s">
        <v>203</v>
      </c>
      <c r="FAW18" s="314" t="s">
        <v>203</v>
      </c>
      <c r="FAX18" s="314" t="s">
        <v>203</v>
      </c>
      <c r="FAY18" s="314" t="s">
        <v>203</v>
      </c>
      <c r="FAZ18" s="314" t="s">
        <v>203</v>
      </c>
      <c r="FBA18" s="314" t="s">
        <v>203</v>
      </c>
      <c r="FBB18" s="314" t="s">
        <v>203</v>
      </c>
      <c r="FBC18" s="314" t="s">
        <v>203</v>
      </c>
      <c r="FBD18" s="314" t="s">
        <v>203</v>
      </c>
      <c r="FBE18" s="314" t="s">
        <v>203</v>
      </c>
      <c r="FBF18" s="314" t="s">
        <v>203</v>
      </c>
      <c r="FBG18" s="314" t="s">
        <v>203</v>
      </c>
      <c r="FBH18" s="314" t="s">
        <v>203</v>
      </c>
      <c r="FBI18" s="314" t="s">
        <v>203</v>
      </c>
      <c r="FBJ18" s="314" t="s">
        <v>203</v>
      </c>
      <c r="FBK18" s="314" t="s">
        <v>203</v>
      </c>
      <c r="FBL18" s="314" t="s">
        <v>203</v>
      </c>
      <c r="FBM18" s="314" t="s">
        <v>203</v>
      </c>
      <c r="FBN18" s="314" t="s">
        <v>203</v>
      </c>
      <c r="FBO18" s="314" t="s">
        <v>203</v>
      </c>
      <c r="FBP18" s="314" t="s">
        <v>203</v>
      </c>
      <c r="FBQ18" s="314" t="s">
        <v>203</v>
      </c>
      <c r="FBR18" s="314" t="s">
        <v>203</v>
      </c>
      <c r="FBS18" s="314" t="s">
        <v>203</v>
      </c>
      <c r="FBT18" s="314" t="s">
        <v>203</v>
      </c>
      <c r="FBU18" s="314" t="s">
        <v>203</v>
      </c>
      <c r="FBV18" s="314" t="s">
        <v>203</v>
      </c>
      <c r="FBW18" s="314" t="s">
        <v>203</v>
      </c>
      <c r="FBX18" s="314" t="s">
        <v>203</v>
      </c>
      <c r="FBY18" s="314" t="s">
        <v>203</v>
      </c>
      <c r="FBZ18" s="314" t="s">
        <v>203</v>
      </c>
      <c r="FCA18" s="314" t="s">
        <v>203</v>
      </c>
      <c r="FCB18" s="314" t="s">
        <v>203</v>
      </c>
      <c r="FCC18" s="314" t="s">
        <v>203</v>
      </c>
      <c r="FCD18" s="314" t="s">
        <v>203</v>
      </c>
      <c r="FCE18" s="314" t="s">
        <v>203</v>
      </c>
      <c r="FCF18" s="314" t="s">
        <v>203</v>
      </c>
      <c r="FCG18" s="314" t="s">
        <v>203</v>
      </c>
      <c r="FCH18" s="314" t="s">
        <v>203</v>
      </c>
      <c r="FCI18" s="314" t="s">
        <v>203</v>
      </c>
      <c r="FCJ18" s="314" t="s">
        <v>203</v>
      </c>
      <c r="FCK18" s="314" t="s">
        <v>203</v>
      </c>
      <c r="FCL18" s="314" t="s">
        <v>203</v>
      </c>
      <c r="FCM18" s="314" t="s">
        <v>203</v>
      </c>
      <c r="FCN18" s="314" t="s">
        <v>203</v>
      </c>
      <c r="FCO18" s="314" t="s">
        <v>203</v>
      </c>
      <c r="FCP18" s="314" t="s">
        <v>203</v>
      </c>
      <c r="FCQ18" s="314" t="s">
        <v>203</v>
      </c>
      <c r="FCR18" s="314" t="s">
        <v>203</v>
      </c>
      <c r="FCS18" s="314" t="s">
        <v>203</v>
      </c>
      <c r="FCT18" s="314" t="s">
        <v>203</v>
      </c>
      <c r="FCU18" s="314" t="s">
        <v>203</v>
      </c>
      <c r="FCV18" s="314" t="s">
        <v>203</v>
      </c>
      <c r="FCW18" s="314" t="s">
        <v>203</v>
      </c>
      <c r="FCX18" s="314" t="s">
        <v>203</v>
      </c>
      <c r="FCY18" s="314" t="s">
        <v>203</v>
      </c>
      <c r="FCZ18" s="314" t="s">
        <v>203</v>
      </c>
      <c r="FDA18" s="314" t="s">
        <v>203</v>
      </c>
      <c r="FDB18" s="314" t="s">
        <v>203</v>
      </c>
      <c r="FDC18" s="314" t="s">
        <v>203</v>
      </c>
      <c r="FDD18" s="314" t="s">
        <v>203</v>
      </c>
      <c r="FDE18" s="314" t="s">
        <v>203</v>
      </c>
      <c r="FDF18" s="314" t="s">
        <v>203</v>
      </c>
      <c r="FDG18" s="314" t="s">
        <v>203</v>
      </c>
      <c r="FDH18" s="314" t="s">
        <v>203</v>
      </c>
      <c r="FDI18" s="314" t="s">
        <v>203</v>
      </c>
      <c r="FDJ18" s="314" t="s">
        <v>203</v>
      </c>
      <c r="FDK18" s="314" t="s">
        <v>203</v>
      </c>
      <c r="FDL18" s="314" t="s">
        <v>203</v>
      </c>
      <c r="FDM18" s="314" t="s">
        <v>203</v>
      </c>
      <c r="FDN18" s="314" t="s">
        <v>203</v>
      </c>
      <c r="FDO18" s="314" t="s">
        <v>203</v>
      </c>
      <c r="FDP18" s="314" t="s">
        <v>203</v>
      </c>
      <c r="FDQ18" s="314" t="s">
        <v>203</v>
      </c>
      <c r="FDR18" s="314" t="s">
        <v>203</v>
      </c>
      <c r="FDS18" s="314" t="s">
        <v>203</v>
      </c>
      <c r="FDT18" s="314" t="s">
        <v>203</v>
      </c>
      <c r="FDU18" s="314" t="s">
        <v>203</v>
      </c>
      <c r="FDV18" s="314" t="s">
        <v>203</v>
      </c>
      <c r="FDW18" s="314" t="s">
        <v>203</v>
      </c>
      <c r="FDX18" s="314" t="s">
        <v>203</v>
      </c>
      <c r="FDY18" s="314" t="s">
        <v>203</v>
      </c>
      <c r="FDZ18" s="314" t="s">
        <v>203</v>
      </c>
      <c r="FEA18" s="314" t="s">
        <v>203</v>
      </c>
      <c r="FEB18" s="314" t="s">
        <v>203</v>
      </c>
      <c r="FEC18" s="314" t="s">
        <v>203</v>
      </c>
      <c r="FED18" s="314" t="s">
        <v>203</v>
      </c>
      <c r="FEE18" s="314" t="s">
        <v>203</v>
      </c>
      <c r="FEF18" s="314" t="s">
        <v>203</v>
      </c>
      <c r="FEG18" s="314" t="s">
        <v>203</v>
      </c>
      <c r="FEH18" s="314" t="s">
        <v>203</v>
      </c>
      <c r="FEI18" s="314" t="s">
        <v>203</v>
      </c>
      <c r="FEJ18" s="314" t="s">
        <v>203</v>
      </c>
      <c r="FEK18" s="314" t="s">
        <v>203</v>
      </c>
      <c r="FEL18" s="314" t="s">
        <v>203</v>
      </c>
      <c r="FEM18" s="314" t="s">
        <v>203</v>
      </c>
      <c r="FEN18" s="314" t="s">
        <v>203</v>
      </c>
      <c r="FEO18" s="314" t="s">
        <v>203</v>
      </c>
      <c r="FEP18" s="314" t="s">
        <v>203</v>
      </c>
      <c r="FEQ18" s="314" t="s">
        <v>203</v>
      </c>
      <c r="FER18" s="314" t="s">
        <v>203</v>
      </c>
      <c r="FES18" s="314" t="s">
        <v>203</v>
      </c>
      <c r="FET18" s="314" t="s">
        <v>203</v>
      </c>
      <c r="FEU18" s="314" t="s">
        <v>203</v>
      </c>
      <c r="FEV18" s="314" t="s">
        <v>203</v>
      </c>
      <c r="FEW18" s="314" t="s">
        <v>203</v>
      </c>
      <c r="FEX18" s="314" t="s">
        <v>203</v>
      </c>
      <c r="FEY18" s="314" t="s">
        <v>203</v>
      </c>
      <c r="FEZ18" s="314" t="s">
        <v>203</v>
      </c>
      <c r="FFA18" s="314" t="s">
        <v>203</v>
      </c>
      <c r="FFB18" s="314" t="s">
        <v>203</v>
      </c>
      <c r="FFC18" s="314" t="s">
        <v>203</v>
      </c>
      <c r="FFD18" s="314" t="s">
        <v>203</v>
      </c>
      <c r="FFE18" s="314" t="s">
        <v>203</v>
      </c>
      <c r="FFF18" s="314" t="s">
        <v>203</v>
      </c>
      <c r="FFG18" s="314" t="s">
        <v>203</v>
      </c>
      <c r="FFH18" s="314" t="s">
        <v>203</v>
      </c>
      <c r="FFI18" s="314" t="s">
        <v>203</v>
      </c>
      <c r="FFJ18" s="314" t="s">
        <v>203</v>
      </c>
      <c r="FFK18" s="314" t="s">
        <v>203</v>
      </c>
      <c r="FFL18" s="314" t="s">
        <v>203</v>
      </c>
      <c r="FFM18" s="314" t="s">
        <v>203</v>
      </c>
      <c r="FFN18" s="314" t="s">
        <v>203</v>
      </c>
      <c r="FFO18" s="314" t="s">
        <v>203</v>
      </c>
      <c r="FFP18" s="314" t="s">
        <v>203</v>
      </c>
      <c r="FFQ18" s="314" t="s">
        <v>203</v>
      </c>
      <c r="FFR18" s="314" t="s">
        <v>203</v>
      </c>
      <c r="FFS18" s="314" t="s">
        <v>203</v>
      </c>
      <c r="FFT18" s="314" t="s">
        <v>203</v>
      </c>
      <c r="FFU18" s="314" t="s">
        <v>203</v>
      </c>
      <c r="FFV18" s="314" t="s">
        <v>203</v>
      </c>
      <c r="FFW18" s="314" t="s">
        <v>203</v>
      </c>
      <c r="FFX18" s="314" t="s">
        <v>203</v>
      </c>
      <c r="FFY18" s="314" t="s">
        <v>203</v>
      </c>
      <c r="FFZ18" s="314" t="s">
        <v>203</v>
      </c>
      <c r="FGA18" s="314" t="s">
        <v>203</v>
      </c>
      <c r="FGB18" s="314" t="s">
        <v>203</v>
      </c>
      <c r="FGC18" s="314" t="s">
        <v>203</v>
      </c>
      <c r="FGD18" s="314" t="s">
        <v>203</v>
      </c>
      <c r="FGE18" s="314" t="s">
        <v>203</v>
      </c>
      <c r="FGF18" s="314" t="s">
        <v>203</v>
      </c>
      <c r="FGG18" s="314" t="s">
        <v>203</v>
      </c>
      <c r="FGH18" s="314" t="s">
        <v>203</v>
      </c>
      <c r="FGI18" s="314" t="s">
        <v>203</v>
      </c>
      <c r="FGJ18" s="314" t="s">
        <v>203</v>
      </c>
      <c r="FGK18" s="314" t="s">
        <v>203</v>
      </c>
      <c r="FGL18" s="314" t="s">
        <v>203</v>
      </c>
      <c r="FGM18" s="314" t="s">
        <v>203</v>
      </c>
      <c r="FGN18" s="314" t="s">
        <v>203</v>
      </c>
      <c r="FGO18" s="314" t="s">
        <v>203</v>
      </c>
      <c r="FGP18" s="314" t="s">
        <v>203</v>
      </c>
      <c r="FGQ18" s="314" t="s">
        <v>203</v>
      </c>
      <c r="FGR18" s="314" t="s">
        <v>203</v>
      </c>
      <c r="FGS18" s="314" t="s">
        <v>203</v>
      </c>
      <c r="FGT18" s="314" t="s">
        <v>203</v>
      </c>
      <c r="FGU18" s="314" t="s">
        <v>203</v>
      </c>
      <c r="FGV18" s="314" t="s">
        <v>203</v>
      </c>
      <c r="FGW18" s="314" t="s">
        <v>203</v>
      </c>
      <c r="FGX18" s="314" t="s">
        <v>203</v>
      </c>
      <c r="FGY18" s="314" t="s">
        <v>203</v>
      </c>
      <c r="FGZ18" s="314" t="s">
        <v>203</v>
      </c>
      <c r="FHA18" s="314" t="s">
        <v>203</v>
      </c>
      <c r="FHB18" s="314" t="s">
        <v>203</v>
      </c>
      <c r="FHC18" s="314" t="s">
        <v>203</v>
      </c>
      <c r="FHD18" s="314" t="s">
        <v>203</v>
      </c>
      <c r="FHE18" s="314" t="s">
        <v>203</v>
      </c>
      <c r="FHF18" s="314" t="s">
        <v>203</v>
      </c>
      <c r="FHG18" s="314" t="s">
        <v>203</v>
      </c>
      <c r="FHH18" s="314" t="s">
        <v>203</v>
      </c>
      <c r="FHI18" s="314" t="s">
        <v>203</v>
      </c>
      <c r="FHJ18" s="314" t="s">
        <v>203</v>
      </c>
      <c r="FHK18" s="314" t="s">
        <v>203</v>
      </c>
      <c r="FHL18" s="314" t="s">
        <v>203</v>
      </c>
      <c r="FHM18" s="314" t="s">
        <v>203</v>
      </c>
      <c r="FHN18" s="314" t="s">
        <v>203</v>
      </c>
      <c r="FHO18" s="314" t="s">
        <v>203</v>
      </c>
      <c r="FHP18" s="314" t="s">
        <v>203</v>
      </c>
      <c r="FHQ18" s="314" t="s">
        <v>203</v>
      </c>
      <c r="FHR18" s="314" t="s">
        <v>203</v>
      </c>
      <c r="FHS18" s="314" t="s">
        <v>203</v>
      </c>
      <c r="FHT18" s="314" t="s">
        <v>203</v>
      </c>
      <c r="FHU18" s="314" t="s">
        <v>203</v>
      </c>
      <c r="FHV18" s="314" t="s">
        <v>203</v>
      </c>
      <c r="FHW18" s="314" t="s">
        <v>203</v>
      </c>
      <c r="FHX18" s="314" t="s">
        <v>203</v>
      </c>
      <c r="FHY18" s="314" t="s">
        <v>203</v>
      </c>
      <c r="FHZ18" s="314" t="s">
        <v>203</v>
      </c>
      <c r="FIA18" s="314" t="s">
        <v>203</v>
      </c>
      <c r="FIB18" s="314" t="s">
        <v>203</v>
      </c>
      <c r="FIC18" s="314" t="s">
        <v>203</v>
      </c>
      <c r="FID18" s="314" t="s">
        <v>203</v>
      </c>
      <c r="FIE18" s="314" t="s">
        <v>203</v>
      </c>
      <c r="FIF18" s="314" t="s">
        <v>203</v>
      </c>
      <c r="FIG18" s="314" t="s">
        <v>203</v>
      </c>
      <c r="FIH18" s="314" t="s">
        <v>203</v>
      </c>
      <c r="FII18" s="314" t="s">
        <v>203</v>
      </c>
      <c r="FIJ18" s="314" t="s">
        <v>203</v>
      </c>
      <c r="FIK18" s="314" t="s">
        <v>203</v>
      </c>
      <c r="FIL18" s="314" t="s">
        <v>203</v>
      </c>
      <c r="FIM18" s="314" t="s">
        <v>203</v>
      </c>
      <c r="FIN18" s="314" t="s">
        <v>203</v>
      </c>
      <c r="FIO18" s="314" t="s">
        <v>203</v>
      </c>
      <c r="FIP18" s="314" t="s">
        <v>203</v>
      </c>
      <c r="FIQ18" s="314" t="s">
        <v>203</v>
      </c>
      <c r="FIR18" s="314" t="s">
        <v>203</v>
      </c>
      <c r="FIS18" s="314" t="s">
        <v>203</v>
      </c>
      <c r="FIT18" s="314" t="s">
        <v>203</v>
      </c>
      <c r="FIU18" s="314" t="s">
        <v>203</v>
      </c>
      <c r="FIV18" s="314" t="s">
        <v>203</v>
      </c>
      <c r="FIW18" s="314" t="s">
        <v>203</v>
      </c>
      <c r="FIX18" s="314" t="s">
        <v>203</v>
      </c>
      <c r="FIY18" s="314" t="s">
        <v>203</v>
      </c>
      <c r="FIZ18" s="314" t="s">
        <v>203</v>
      </c>
      <c r="FJA18" s="314" t="s">
        <v>203</v>
      </c>
      <c r="FJB18" s="314" t="s">
        <v>203</v>
      </c>
      <c r="FJC18" s="314" t="s">
        <v>203</v>
      </c>
      <c r="FJD18" s="314" t="s">
        <v>203</v>
      </c>
      <c r="FJE18" s="314" t="s">
        <v>203</v>
      </c>
      <c r="FJF18" s="314" t="s">
        <v>203</v>
      </c>
      <c r="FJG18" s="314" t="s">
        <v>203</v>
      </c>
      <c r="FJH18" s="314" t="s">
        <v>203</v>
      </c>
      <c r="FJI18" s="314" t="s">
        <v>203</v>
      </c>
      <c r="FJJ18" s="314" t="s">
        <v>203</v>
      </c>
      <c r="FJK18" s="314" t="s">
        <v>203</v>
      </c>
      <c r="FJL18" s="314" t="s">
        <v>203</v>
      </c>
      <c r="FJM18" s="314" t="s">
        <v>203</v>
      </c>
      <c r="FJN18" s="314" t="s">
        <v>203</v>
      </c>
      <c r="FJO18" s="314" t="s">
        <v>203</v>
      </c>
      <c r="FJP18" s="314" t="s">
        <v>203</v>
      </c>
      <c r="FJQ18" s="314" t="s">
        <v>203</v>
      </c>
      <c r="FJR18" s="314" t="s">
        <v>203</v>
      </c>
      <c r="FJS18" s="314" t="s">
        <v>203</v>
      </c>
      <c r="FJT18" s="314" t="s">
        <v>203</v>
      </c>
      <c r="FJU18" s="314" t="s">
        <v>203</v>
      </c>
      <c r="FJV18" s="314" t="s">
        <v>203</v>
      </c>
      <c r="FJW18" s="314" t="s">
        <v>203</v>
      </c>
      <c r="FJX18" s="314" t="s">
        <v>203</v>
      </c>
      <c r="FJY18" s="314" t="s">
        <v>203</v>
      </c>
      <c r="FJZ18" s="314" t="s">
        <v>203</v>
      </c>
      <c r="FKA18" s="314" t="s">
        <v>203</v>
      </c>
      <c r="FKB18" s="314" t="s">
        <v>203</v>
      </c>
      <c r="FKC18" s="314" t="s">
        <v>203</v>
      </c>
      <c r="FKD18" s="314" t="s">
        <v>203</v>
      </c>
      <c r="FKE18" s="314" t="s">
        <v>203</v>
      </c>
      <c r="FKF18" s="314" t="s">
        <v>203</v>
      </c>
      <c r="FKG18" s="314" t="s">
        <v>203</v>
      </c>
      <c r="FKH18" s="314" t="s">
        <v>203</v>
      </c>
      <c r="FKI18" s="314" t="s">
        <v>203</v>
      </c>
      <c r="FKJ18" s="314" t="s">
        <v>203</v>
      </c>
      <c r="FKK18" s="314" t="s">
        <v>203</v>
      </c>
      <c r="FKL18" s="314" t="s">
        <v>203</v>
      </c>
      <c r="FKM18" s="314" t="s">
        <v>203</v>
      </c>
      <c r="FKN18" s="314" t="s">
        <v>203</v>
      </c>
      <c r="FKO18" s="314" t="s">
        <v>203</v>
      </c>
      <c r="FKP18" s="314" t="s">
        <v>203</v>
      </c>
      <c r="FKQ18" s="314" t="s">
        <v>203</v>
      </c>
      <c r="FKR18" s="314" t="s">
        <v>203</v>
      </c>
      <c r="FKS18" s="314" t="s">
        <v>203</v>
      </c>
      <c r="FKT18" s="314" t="s">
        <v>203</v>
      </c>
      <c r="FKU18" s="314" t="s">
        <v>203</v>
      </c>
      <c r="FKV18" s="314" t="s">
        <v>203</v>
      </c>
      <c r="FKW18" s="314" t="s">
        <v>203</v>
      </c>
      <c r="FKX18" s="314" t="s">
        <v>203</v>
      </c>
      <c r="FKY18" s="314" t="s">
        <v>203</v>
      </c>
      <c r="FKZ18" s="314" t="s">
        <v>203</v>
      </c>
      <c r="FLA18" s="314" t="s">
        <v>203</v>
      </c>
      <c r="FLB18" s="314" t="s">
        <v>203</v>
      </c>
      <c r="FLC18" s="314" t="s">
        <v>203</v>
      </c>
      <c r="FLD18" s="314" t="s">
        <v>203</v>
      </c>
      <c r="FLE18" s="314" t="s">
        <v>203</v>
      </c>
      <c r="FLF18" s="314" t="s">
        <v>203</v>
      </c>
      <c r="FLG18" s="314" t="s">
        <v>203</v>
      </c>
      <c r="FLH18" s="314" t="s">
        <v>203</v>
      </c>
      <c r="FLI18" s="314" t="s">
        <v>203</v>
      </c>
      <c r="FLJ18" s="314" t="s">
        <v>203</v>
      </c>
      <c r="FLK18" s="314" t="s">
        <v>203</v>
      </c>
      <c r="FLL18" s="314" t="s">
        <v>203</v>
      </c>
      <c r="FLM18" s="314" t="s">
        <v>203</v>
      </c>
      <c r="FLN18" s="314" t="s">
        <v>203</v>
      </c>
      <c r="FLO18" s="314" t="s">
        <v>203</v>
      </c>
      <c r="FLP18" s="314" t="s">
        <v>203</v>
      </c>
      <c r="FLQ18" s="314" t="s">
        <v>203</v>
      </c>
      <c r="FLR18" s="314" t="s">
        <v>203</v>
      </c>
      <c r="FLS18" s="314" t="s">
        <v>203</v>
      </c>
      <c r="FLT18" s="314" t="s">
        <v>203</v>
      </c>
      <c r="FLU18" s="314" t="s">
        <v>203</v>
      </c>
      <c r="FLV18" s="314" t="s">
        <v>203</v>
      </c>
      <c r="FLW18" s="314" t="s">
        <v>203</v>
      </c>
      <c r="FLX18" s="314" t="s">
        <v>203</v>
      </c>
      <c r="FLY18" s="314" t="s">
        <v>203</v>
      </c>
      <c r="FLZ18" s="314" t="s">
        <v>203</v>
      </c>
      <c r="FMA18" s="314" t="s">
        <v>203</v>
      </c>
      <c r="FMB18" s="314" t="s">
        <v>203</v>
      </c>
      <c r="FMC18" s="314" t="s">
        <v>203</v>
      </c>
      <c r="FMD18" s="314" t="s">
        <v>203</v>
      </c>
      <c r="FME18" s="314" t="s">
        <v>203</v>
      </c>
      <c r="FMF18" s="314" t="s">
        <v>203</v>
      </c>
      <c r="FMG18" s="314" t="s">
        <v>203</v>
      </c>
      <c r="FMH18" s="314" t="s">
        <v>203</v>
      </c>
      <c r="FMI18" s="314" t="s">
        <v>203</v>
      </c>
      <c r="FMJ18" s="314" t="s">
        <v>203</v>
      </c>
      <c r="FMK18" s="314" t="s">
        <v>203</v>
      </c>
      <c r="FML18" s="314" t="s">
        <v>203</v>
      </c>
      <c r="FMM18" s="314" t="s">
        <v>203</v>
      </c>
      <c r="FMN18" s="314" t="s">
        <v>203</v>
      </c>
      <c r="FMO18" s="314" t="s">
        <v>203</v>
      </c>
      <c r="FMP18" s="314" t="s">
        <v>203</v>
      </c>
      <c r="FMQ18" s="314" t="s">
        <v>203</v>
      </c>
      <c r="FMR18" s="314" t="s">
        <v>203</v>
      </c>
      <c r="FMS18" s="314" t="s">
        <v>203</v>
      </c>
      <c r="FMT18" s="314" t="s">
        <v>203</v>
      </c>
      <c r="FMU18" s="314" t="s">
        <v>203</v>
      </c>
      <c r="FMV18" s="314" t="s">
        <v>203</v>
      </c>
      <c r="FMW18" s="314" t="s">
        <v>203</v>
      </c>
      <c r="FMX18" s="314" t="s">
        <v>203</v>
      </c>
      <c r="FMY18" s="314" t="s">
        <v>203</v>
      </c>
      <c r="FMZ18" s="314" t="s">
        <v>203</v>
      </c>
      <c r="FNA18" s="314" t="s">
        <v>203</v>
      </c>
      <c r="FNB18" s="314" t="s">
        <v>203</v>
      </c>
      <c r="FNC18" s="314" t="s">
        <v>203</v>
      </c>
      <c r="FND18" s="314" t="s">
        <v>203</v>
      </c>
      <c r="FNE18" s="314" t="s">
        <v>203</v>
      </c>
      <c r="FNF18" s="314" t="s">
        <v>203</v>
      </c>
      <c r="FNG18" s="314" t="s">
        <v>203</v>
      </c>
      <c r="FNH18" s="314" t="s">
        <v>203</v>
      </c>
      <c r="FNI18" s="314" t="s">
        <v>203</v>
      </c>
      <c r="FNJ18" s="314" t="s">
        <v>203</v>
      </c>
      <c r="FNK18" s="314" t="s">
        <v>203</v>
      </c>
      <c r="FNL18" s="314" t="s">
        <v>203</v>
      </c>
      <c r="FNM18" s="314" t="s">
        <v>203</v>
      </c>
      <c r="FNN18" s="314" t="s">
        <v>203</v>
      </c>
      <c r="FNO18" s="314" t="s">
        <v>203</v>
      </c>
      <c r="FNP18" s="314" t="s">
        <v>203</v>
      </c>
      <c r="FNQ18" s="314" t="s">
        <v>203</v>
      </c>
      <c r="FNR18" s="314" t="s">
        <v>203</v>
      </c>
      <c r="FNS18" s="314" t="s">
        <v>203</v>
      </c>
      <c r="FNT18" s="314" t="s">
        <v>203</v>
      </c>
      <c r="FNU18" s="314" t="s">
        <v>203</v>
      </c>
      <c r="FNV18" s="314" t="s">
        <v>203</v>
      </c>
      <c r="FNW18" s="314" t="s">
        <v>203</v>
      </c>
      <c r="FNX18" s="314" t="s">
        <v>203</v>
      </c>
      <c r="FNY18" s="314" t="s">
        <v>203</v>
      </c>
      <c r="FNZ18" s="314" t="s">
        <v>203</v>
      </c>
      <c r="FOA18" s="314" t="s">
        <v>203</v>
      </c>
      <c r="FOB18" s="314" t="s">
        <v>203</v>
      </c>
      <c r="FOC18" s="314" t="s">
        <v>203</v>
      </c>
      <c r="FOD18" s="314" t="s">
        <v>203</v>
      </c>
      <c r="FOE18" s="314" t="s">
        <v>203</v>
      </c>
      <c r="FOF18" s="314" t="s">
        <v>203</v>
      </c>
      <c r="FOG18" s="314" t="s">
        <v>203</v>
      </c>
      <c r="FOH18" s="314" t="s">
        <v>203</v>
      </c>
      <c r="FOI18" s="314" t="s">
        <v>203</v>
      </c>
      <c r="FOJ18" s="314" t="s">
        <v>203</v>
      </c>
      <c r="FOK18" s="314" t="s">
        <v>203</v>
      </c>
      <c r="FOL18" s="314" t="s">
        <v>203</v>
      </c>
      <c r="FOM18" s="314" t="s">
        <v>203</v>
      </c>
      <c r="FON18" s="314" t="s">
        <v>203</v>
      </c>
      <c r="FOO18" s="314" t="s">
        <v>203</v>
      </c>
      <c r="FOP18" s="314" t="s">
        <v>203</v>
      </c>
      <c r="FOQ18" s="314" t="s">
        <v>203</v>
      </c>
      <c r="FOR18" s="314" t="s">
        <v>203</v>
      </c>
      <c r="FOS18" s="314" t="s">
        <v>203</v>
      </c>
      <c r="FOT18" s="314" t="s">
        <v>203</v>
      </c>
      <c r="FOU18" s="314" t="s">
        <v>203</v>
      </c>
      <c r="FOV18" s="314" t="s">
        <v>203</v>
      </c>
      <c r="FOW18" s="314" t="s">
        <v>203</v>
      </c>
      <c r="FOX18" s="314" t="s">
        <v>203</v>
      </c>
      <c r="FOY18" s="314" t="s">
        <v>203</v>
      </c>
      <c r="FOZ18" s="314" t="s">
        <v>203</v>
      </c>
      <c r="FPA18" s="314" t="s">
        <v>203</v>
      </c>
      <c r="FPB18" s="314" t="s">
        <v>203</v>
      </c>
      <c r="FPC18" s="314" t="s">
        <v>203</v>
      </c>
      <c r="FPD18" s="314" t="s">
        <v>203</v>
      </c>
      <c r="FPE18" s="314" t="s">
        <v>203</v>
      </c>
      <c r="FPF18" s="314" t="s">
        <v>203</v>
      </c>
      <c r="FPG18" s="314" t="s">
        <v>203</v>
      </c>
      <c r="FPH18" s="314" t="s">
        <v>203</v>
      </c>
      <c r="FPI18" s="314" t="s">
        <v>203</v>
      </c>
      <c r="FPJ18" s="314" t="s">
        <v>203</v>
      </c>
      <c r="FPK18" s="314" t="s">
        <v>203</v>
      </c>
      <c r="FPL18" s="314" t="s">
        <v>203</v>
      </c>
      <c r="FPM18" s="314" t="s">
        <v>203</v>
      </c>
      <c r="FPN18" s="314" t="s">
        <v>203</v>
      </c>
      <c r="FPO18" s="314" t="s">
        <v>203</v>
      </c>
      <c r="FPP18" s="314" t="s">
        <v>203</v>
      </c>
      <c r="FPQ18" s="314" t="s">
        <v>203</v>
      </c>
      <c r="FPR18" s="314" t="s">
        <v>203</v>
      </c>
      <c r="FPS18" s="314" t="s">
        <v>203</v>
      </c>
      <c r="FPT18" s="314" t="s">
        <v>203</v>
      </c>
      <c r="FPU18" s="314" t="s">
        <v>203</v>
      </c>
      <c r="FPV18" s="314" t="s">
        <v>203</v>
      </c>
      <c r="FPW18" s="314" t="s">
        <v>203</v>
      </c>
      <c r="FPX18" s="314" t="s">
        <v>203</v>
      </c>
      <c r="FPY18" s="314" t="s">
        <v>203</v>
      </c>
      <c r="FPZ18" s="314" t="s">
        <v>203</v>
      </c>
      <c r="FQA18" s="314" t="s">
        <v>203</v>
      </c>
      <c r="FQB18" s="314" t="s">
        <v>203</v>
      </c>
      <c r="FQC18" s="314" t="s">
        <v>203</v>
      </c>
      <c r="FQD18" s="314" t="s">
        <v>203</v>
      </c>
      <c r="FQE18" s="314" t="s">
        <v>203</v>
      </c>
      <c r="FQF18" s="314" t="s">
        <v>203</v>
      </c>
      <c r="FQG18" s="314" t="s">
        <v>203</v>
      </c>
      <c r="FQH18" s="314" t="s">
        <v>203</v>
      </c>
      <c r="FQI18" s="314" t="s">
        <v>203</v>
      </c>
      <c r="FQJ18" s="314" t="s">
        <v>203</v>
      </c>
      <c r="FQK18" s="314" t="s">
        <v>203</v>
      </c>
      <c r="FQL18" s="314" t="s">
        <v>203</v>
      </c>
      <c r="FQM18" s="314" t="s">
        <v>203</v>
      </c>
      <c r="FQN18" s="314" t="s">
        <v>203</v>
      </c>
      <c r="FQO18" s="314" t="s">
        <v>203</v>
      </c>
      <c r="FQP18" s="314" t="s">
        <v>203</v>
      </c>
      <c r="FQQ18" s="314" t="s">
        <v>203</v>
      </c>
      <c r="FQR18" s="314" t="s">
        <v>203</v>
      </c>
      <c r="FQS18" s="314" t="s">
        <v>203</v>
      </c>
      <c r="FQT18" s="314" t="s">
        <v>203</v>
      </c>
      <c r="FQU18" s="314" t="s">
        <v>203</v>
      </c>
      <c r="FQV18" s="314" t="s">
        <v>203</v>
      </c>
      <c r="FQW18" s="314" t="s">
        <v>203</v>
      </c>
      <c r="FQX18" s="314" t="s">
        <v>203</v>
      </c>
      <c r="FQY18" s="314" t="s">
        <v>203</v>
      </c>
      <c r="FQZ18" s="314" t="s">
        <v>203</v>
      </c>
      <c r="FRA18" s="314" t="s">
        <v>203</v>
      </c>
      <c r="FRB18" s="314" t="s">
        <v>203</v>
      </c>
      <c r="FRC18" s="314" t="s">
        <v>203</v>
      </c>
      <c r="FRD18" s="314" t="s">
        <v>203</v>
      </c>
      <c r="FRE18" s="314" t="s">
        <v>203</v>
      </c>
      <c r="FRF18" s="314" t="s">
        <v>203</v>
      </c>
      <c r="FRG18" s="314" t="s">
        <v>203</v>
      </c>
      <c r="FRH18" s="314" t="s">
        <v>203</v>
      </c>
      <c r="FRI18" s="314" t="s">
        <v>203</v>
      </c>
      <c r="FRJ18" s="314" t="s">
        <v>203</v>
      </c>
      <c r="FRK18" s="314" t="s">
        <v>203</v>
      </c>
      <c r="FRL18" s="314" t="s">
        <v>203</v>
      </c>
      <c r="FRM18" s="314" t="s">
        <v>203</v>
      </c>
      <c r="FRN18" s="314" t="s">
        <v>203</v>
      </c>
      <c r="FRO18" s="314" t="s">
        <v>203</v>
      </c>
      <c r="FRP18" s="314" t="s">
        <v>203</v>
      </c>
      <c r="FRQ18" s="314" t="s">
        <v>203</v>
      </c>
      <c r="FRR18" s="314" t="s">
        <v>203</v>
      </c>
      <c r="FRS18" s="314" t="s">
        <v>203</v>
      </c>
      <c r="FRT18" s="314" t="s">
        <v>203</v>
      </c>
      <c r="FRU18" s="314" t="s">
        <v>203</v>
      </c>
      <c r="FRV18" s="314" t="s">
        <v>203</v>
      </c>
      <c r="FRW18" s="314" t="s">
        <v>203</v>
      </c>
      <c r="FRX18" s="314" t="s">
        <v>203</v>
      </c>
      <c r="FRY18" s="314" t="s">
        <v>203</v>
      </c>
      <c r="FRZ18" s="314" t="s">
        <v>203</v>
      </c>
      <c r="FSA18" s="314" t="s">
        <v>203</v>
      </c>
      <c r="FSB18" s="314" t="s">
        <v>203</v>
      </c>
      <c r="FSC18" s="314" t="s">
        <v>203</v>
      </c>
      <c r="FSD18" s="314" t="s">
        <v>203</v>
      </c>
      <c r="FSE18" s="314" t="s">
        <v>203</v>
      </c>
      <c r="FSF18" s="314" t="s">
        <v>203</v>
      </c>
      <c r="FSG18" s="314" t="s">
        <v>203</v>
      </c>
      <c r="FSH18" s="314" t="s">
        <v>203</v>
      </c>
      <c r="FSI18" s="314" t="s">
        <v>203</v>
      </c>
      <c r="FSJ18" s="314" t="s">
        <v>203</v>
      </c>
      <c r="FSK18" s="314" t="s">
        <v>203</v>
      </c>
      <c r="FSL18" s="314" t="s">
        <v>203</v>
      </c>
      <c r="FSM18" s="314" t="s">
        <v>203</v>
      </c>
      <c r="FSN18" s="314" t="s">
        <v>203</v>
      </c>
      <c r="FSO18" s="314" t="s">
        <v>203</v>
      </c>
      <c r="FSP18" s="314" t="s">
        <v>203</v>
      </c>
      <c r="FSQ18" s="314" t="s">
        <v>203</v>
      </c>
      <c r="FSR18" s="314" t="s">
        <v>203</v>
      </c>
      <c r="FSS18" s="314" t="s">
        <v>203</v>
      </c>
      <c r="FST18" s="314" t="s">
        <v>203</v>
      </c>
      <c r="FSU18" s="314" t="s">
        <v>203</v>
      </c>
      <c r="FSV18" s="314" t="s">
        <v>203</v>
      </c>
      <c r="FSW18" s="314" t="s">
        <v>203</v>
      </c>
      <c r="FSX18" s="314" t="s">
        <v>203</v>
      </c>
      <c r="FSY18" s="314" t="s">
        <v>203</v>
      </c>
      <c r="FSZ18" s="314" t="s">
        <v>203</v>
      </c>
      <c r="FTA18" s="314" t="s">
        <v>203</v>
      </c>
      <c r="FTB18" s="314" t="s">
        <v>203</v>
      </c>
      <c r="FTC18" s="314" t="s">
        <v>203</v>
      </c>
      <c r="FTD18" s="314" t="s">
        <v>203</v>
      </c>
      <c r="FTE18" s="314" t="s">
        <v>203</v>
      </c>
      <c r="FTF18" s="314" t="s">
        <v>203</v>
      </c>
      <c r="FTG18" s="314" t="s">
        <v>203</v>
      </c>
      <c r="FTH18" s="314" t="s">
        <v>203</v>
      </c>
      <c r="FTI18" s="314" t="s">
        <v>203</v>
      </c>
      <c r="FTJ18" s="314" t="s">
        <v>203</v>
      </c>
      <c r="FTK18" s="314" t="s">
        <v>203</v>
      </c>
      <c r="FTL18" s="314" t="s">
        <v>203</v>
      </c>
      <c r="FTM18" s="314" t="s">
        <v>203</v>
      </c>
      <c r="FTN18" s="314" t="s">
        <v>203</v>
      </c>
      <c r="FTO18" s="314" t="s">
        <v>203</v>
      </c>
      <c r="FTP18" s="314" t="s">
        <v>203</v>
      </c>
      <c r="FTQ18" s="314" t="s">
        <v>203</v>
      </c>
      <c r="FTR18" s="314" t="s">
        <v>203</v>
      </c>
      <c r="FTS18" s="314" t="s">
        <v>203</v>
      </c>
      <c r="FTT18" s="314" t="s">
        <v>203</v>
      </c>
      <c r="FTU18" s="314" t="s">
        <v>203</v>
      </c>
      <c r="FTV18" s="314" t="s">
        <v>203</v>
      </c>
      <c r="FTW18" s="314" t="s">
        <v>203</v>
      </c>
      <c r="FTX18" s="314" t="s">
        <v>203</v>
      </c>
      <c r="FTY18" s="314" t="s">
        <v>203</v>
      </c>
      <c r="FTZ18" s="314" t="s">
        <v>203</v>
      </c>
      <c r="FUA18" s="314" t="s">
        <v>203</v>
      </c>
      <c r="FUB18" s="314" t="s">
        <v>203</v>
      </c>
      <c r="FUC18" s="314" t="s">
        <v>203</v>
      </c>
      <c r="FUD18" s="314" t="s">
        <v>203</v>
      </c>
      <c r="FUE18" s="314" t="s">
        <v>203</v>
      </c>
      <c r="FUF18" s="314" t="s">
        <v>203</v>
      </c>
      <c r="FUG18" s="314" t="s">
        <v>203</v>
      </c>
      <c r="FUH18" s="314" t="s">
        <v>203</v>
      </c>
      <c r="FUI18" s="314" t="s">
        <v>203</v>
      </c>
      <c r="FUJ18" s="314" t="s">
        <v>203</v>
      </c>
      <c r="FUK18" s="314" t="s">
        <v>203</v>
      </c>
      <c r="FUL18" s="314" t="s">
        <v>203</v>
      </c>
      <c r="FUM18" s="314" t="s">
        <v>203</v>
      </c>
      <c r="FUN18" s="314" t="s">
        <v>203</v>
      </c>
      <c r="FUO18" s="314" t="s">
        <v>203</v>
      </c>
      <c r="FUP18" s="314" t="s">
        <v>203</v>
      </c>
      <c r="FUQ18" s="314" t="s">
        <v>203</v>
      </c>
      <c r="FUR18" s="314" t="s">
        <v>203</v>
      </c>
      <c r="FUS18" s="314" t="s">
        <v>203</v>
      </c>
      <c r="FUT18" s="314" t="s">
        <v>203</v>
      </c>
      <c r="FUU18" s="314" t="s">
        <v>203</v>
      </c>
      <c r="FUV18" s="314" t="s">
        <v>203</v>
      </c>
      <c r="FUW18" s="314" t="s">
        <v>203</v>
      </c>
      <c r="FUX18" s="314" t="s">
        <v>203</v>
      </c>
      <c r="FUY18" s="314" t="s">
        <v>203</v>
      </c>
      <c r="FUZ18" s="314" t="s">
        <v>203</v>
      </c>
      <c r="FVA18" s="314" t="s">
        <v>203</v>
      </c>
      <c r="FVB18" s="314" t="s">
        <v>203</v>
      </c>
      <c r="FVC18" s="314" t="s">
        <v>203</v>
      </c>
      <c r="FVD18" s="314" t="s">
        <v>203</v>
      </c>
      <c r="FVE18" s="314" t="s">
        <v>203</v>
      </c>
      <c r="FVF18" s="314" t="s">
        <v>203</v>
      </c>
      <c r="FVG18" s="314" t="s">
        <v>203</v>
      </c>
      <c r="FVH18" s="314" t="s">
        <v>203</v>
      </c>
      <c r="FVI18" s="314" t="s">
        <v>203</v>
      </c>
      <c r="FVJ18" s="314" t="s">
        <v>203</v>
      </c>
      <c r="FVK18" s="314" t="s">
        <v>203</v>
      </c>
      <c r="FVL18" s="314" t="s">
        <v>203</v>
      </c>
      <c r="FVM18" s="314" t="s">
        <v>203</v>
      </c>
      <c r="FVN18" s="314" t="s">
        <v>203</v>
      </c>
      <c r="FVO18" s="314" t="s">
        <v>203</v>
      </c>
      <c r="FVP18" s="314" t="s">
        <v>203</v>
      </c>
      <c r="FVQ18" s="314" t="s">
        <v>203</v>
      </c>
      <c r="FVR18" s="314" t="s">
        <v>203</v>
      </c>
      <c r="FVS18" s="314" t="s">
        <v>203</v>
      </c>
      <c r="FVT18" s="314" t="s">
        <v>203</v>
      </c>
      <c r="FVU18" s="314" t="s">
        <v>203</v>
      </c>
      <c r="FVV18" s="314" t="s">
        <v>203</v>
      </c>
      <c r="FVW18" s="314" t="s">
        <v>203</v>
      </c>
      <c r="FVX18" s="314" t="s">
        <v>203</v>
      </c>
      <c r="FVY18" s="314" t="s">
        <v>203</v>
      </c>
      <c r="FVZ18" s="314" t="s">
        <v>203</v>
      </c>
      <c r="FWA18" s="314" t="s">
        <v>203</v>
      </c>
      <c r="FWB18" s="314" t="s">
        <v>203</v>
      </c>
      <c r="FWC18" s="314" t="s">
        <v>203</v>
      </c>
      <c r="FWD18" s="314" t="s">
        <v>203</v>
      </c>
      <c r="FWE18" s="314" t="s">
        <v>203</v>
      </c>
      <c r="FWF18" s="314" t="s">
        <v>203</v>
      </c>
      <c r="FWG18" s="314" t="s">
        <v>203</v>
      </c>
      <c r="FWH18" s="314" t="s">
        <v>203</v>
      </c>
      <c r="FWI18" s="314" t="s">
        <v>203</v>
      </c>
      <c r="FWJ18" s="314" t="s">
        <v>203</v>
      </c>
      <c r="FWK18" s="314" t="s">
        <v>203</v>
      </c>
      <c r="FWL18" s="314" t="s">
        <v>203</v>
      </c>
      <c r="FWM18" s="314" t="s">
        <v>203</v>
      </c>
      <c r="FWN18" s="314" t="s">
        <v>203</v>
      </c>
      <c r="FWO18" s="314" t="s">
        <v>203</v>
      </c>
      <c r="FWP18" s="314" t="s">
        <v>203</v>
      </c>
      <c r="FWQ18" s="314" t="s">
        <v>203</v>
      </c>
      <c r="FWR18" s="314" t="s">
        <v>203</v>
      </c>
      <c r="FWS18" s="314" t="s">
        <v>203</v>
      </c>
      <c r="FWT18" s="314" t="s">
        <v>203</v>
      </c>
      <c r="FWU18" s="314" t="s">
        <v>203</v>
      </c>
      <c r="FWV18" s="314" t="s">
        <v>203</v>
      </c>
      <c r="FWW18" s="314" t="s">
        <v>203</v>
      </c>
      <c r="FWX18" s="314" t="s">
        <v>203</v>
      </c>
      <c r="FWY18" s="314" t="s">
        <v>203</v>
      </c>
      <c r="FWZ18" s="314" t="s">
        <v>203</v>
      </c>
      <c r="FXA18" s="314" t="s">
        <v>203</v>
      </c>
      <c r="FXB18" s="314" t="s">
        <v>203</v>
      </c>
      <c r="FXC18" s="314" t="s">
        <v>203</v>
      </c>
      <c r="FXD18" s="314" t="s">
        <v>203</v>
      </c>
      <c r="FXE18" s="314" t="s">
        <v>203</v>
      </c>
      <c r="FXF18" s="314" t="s">
        <v>203</v>
      </c>
      <c r="FXG18" s="314" t="s">
        <v>203</v>
      </c>
      <c r="FXH18" s="314" t="s">
        <v>203</v>
      </c>
      <c r="FXI18" s="314" t="s">
        <v>203</v>
      </c>
      <c r="FXJ18" s="314" t="s">
        <v>203</v>
      </c>
      <c r="FXK18" s="314" t="s">
        <v>203</v>
      </c>
      <c r="FXL18" s="314" t="s">
        <v>203</v>
      </c>
      <c r="FXM18" s="314" t="s">
        <v>203</v>
      </c>
      <c r="FXN18" s="314" t="s">
        <v>203</v>
      </c>
      <c r="FXO18" s="314" t="s">
        <v>203</v>
      </c>
      <c r="FXP18" s="314" t="s">
        <v>203</v>
      </c>
      <c r="FXQ18" s="314" t="s">
        <v>203</v>
      </c>
      <c r="FXR18" s="314" t="s">
        <v>203</v>
      </c>
      <c r="FXS18" s="314" t="s">
        <v>203</v>
      </c>
      <c r="FXT18" s="314" t="s">
        <v>203</v>
      </c>
      <c r="FXU18" s="314" t="s">
        <v>203</v>
      </c>
      <c r="FXV18" s="314" t="s">
        <v>203</v>
      </c>
      <c r="FXW18" s="314" t="s">
        <v>203</v>
      </c>
      <c r="FXX18" s="314" t="s">
        <v>203</v>
      </c>
      <c r="FXY18" s="314" t="s">
        <v>203</v>
      </c>
      <c r="FXZ18" s="314" t="s">
        <v>203</v>
      </c>
      <c r="FYA18" s="314" t="s">
        <v>203</v>
      </c>
      <c r="FYB18" s="314" t="s">
        <v>203</v>
      </c>
      <c r="FYC18" s="314" t="s">
        <v>203</v>
      </c>
      <c r="FYD18" s="314" t="s">
        <v>203</v>
      </c>
      <c r="FYE18" s="314" t="s">
        <v>203</v>
      </c>
      <c r="FYF18" s="314" t="s">
        <v>203</v>
      </c>
      <c r="FYG18" s="314" t="s">
        <v>203</v>
      </c>
      <c r="FYH18" s="314" t="s">
        <v>203</v>
      </c>
      <c r="FYI18" s="314" t="s">
        <v>203</v>
      </c>
      <c r="FYJ18" s="314" t="s">
        <v>203</v>
      </c>
      <c r="FYK18" s="314" t="s">
        <v>203</v>
      </c>
      <c r="FYL18" s="314" t="s">
        <v>203</v>
      </c>
      <c r="FYM18" s="314" t="s">
        <v>203</v>
      </c>
      <c r="FYN18" s="314" t="s">
        <v>203</v>
      </c>
      <c r="FYO18" s="314" t="s">
        <v>203</v>
      </c>
      <c r="FYP18" s="314" t="s">
        <v>203</v>
      </c>
      <c r="FYQ18" s="314" t="s">
        <v>203</v>
      </c>
      <c r="FYR18" s="314" t="s">
        <v>203</v>
      </c>
      <c r="FYS18" s="314" t="s">
        <v>203</v>
      </c>
      <c r="FYT18" s="314" t="s">
        <v>203</v>
      </c>
      <c r="FYU18" s="314" t="s">
        <v>203</v>
      </c>
      <c r="FYV18" s="314" t="s">
        <v>203</v>
      </c>
      <c r="FYW18" s="314" t="s">
        <v>203</v>
      </c>
      <c r="FYX18" s="314" t="s">
        <v>203</v>
      </c>
      <c r="FYY18" s="314" t="s">
        <v>203</v>
      </c>
      <c r="FYZ18" s="314" t="s">
        <v>203</v>
      </c>
      <c r="FZA18" s="314" t="s">
        <v>203</v>
      </c>
      <c r="FZB18" s="314" t="s">
        <v>203</v>
      </c>
      <c r="FZC18" s="314" t="s">
        <v>203</v>
      </c>
      <c r="FZD18" s="314" t="s">
        <v>203</v>
      </c>
      <c r="FZE18" s="314" t="s">
        <v>203</v>
      </c>
      <c r="FZF18" s="314" t="s">
        <v>203</v>
      </c>
      <c r="FZG18" s="314" t="s">
        <v>203</v>
      </c>
      <c r="FZH18" s="314" t="s">
        <v>203</v>
      </c>
      <c r="FZI18" s="314" t="s">
        <v>203</v>
      </c>
      <c r="FZJ18" s="314" t="s">
        <v>203</v>
      </c>
      <c r="FZK18" s="314" t="s">
        <v>203</v>
      </c>
      <c r="FZL18" s="314" t="s">
        <v>203</v>
      </c>
      <c r="FZM18" s="314" t="s">
        <v>203</v>
      </c>
      <c r="FZN18" s="314" t="s">
        <v>203</v>
      </c>
      <c r="FZO18" s="314" t="s">
        <v>203</v>
      </c>
      <c r="FZP18" s="314" t="s">
        <v>203</v>
      </c>
      <c r="FZQ18" s="314" t="s">
        <v>203</v>
      </c>
      <c r="FZR18" s="314" t="s">
        <v>203</v>
      </c>
      <c r="FZS18" s="314" t="s">
        <v>203</v>
      </c>
      <c r="FZT18" s="314" t="s">
        <v>203</v>
      </c>
      <c r="FZU18" s="314" t="s">
        <v>203</v>
      </c>
      <c r="FZV18" s="314" t="s">
        <v>203</v>
      </c>
      <c r="FZW18" s="314" t="s">
        <v>203</v>
      </c>
      <c r="FZX18" s="314" t="s">
        <v>203</v>
      </c>
      <c r="FZY18" s="314" t="s">
        <v>203</v>
      </c>
      <c r="FZZ18" s="314" t="s">
        <v>203</v>
      </c>
      <c r="GAA18" s="314" t="s">
        <v>203</v>
      </c>
      <c r="GAB18" s="314" t="s">
        <v>203</v>
      </c>
      <c r="GAC18" s="314" t="s">
        <v>203</v>
      </c>
      <c r="GAD18" s="314" t="s">
        <v>203</v>
      </c>
      <c r="GAE18" s="314" t="s">
        <v>203</v>
      </c>
      <c r="GAF18" s="314" t="s">
        <v>203</v>
      </c>
      <c r="GAG18" s="314" t="s">
        <v>203</v>
      </c>
      <c r="GAH18" s="314" t="s">
        <v>203</v>
      </c>
      <c r="GAI18" s="314" t="s">
        <v>203</v>
      </c>
      <c r="GAJ18" s="314" t="s">
        <v>203</v>
      </c>
      <c r="GAK18" s="314" t="s">
        <v>203</v>
      </c>
      <c r="GAL18" s="314" t="s">
        <v>203</v>
      </c>
      <c r="GAM18" s="314" t="s">
        <v>203</v>
      </c>
      <c r="GAN18" s="314" t="s">
        <v>203</v>
      </c>
      <c r="GAO18" s="314" t="s">
        <v>203</v>
      </c>
      <c r="GAP18" s="314" t="s">
        <v>203</v>
      </c>
      <c r="GAQ18" s="314" t="s">
        <v>203</v>
      </c>
      <c r="GAR18" s="314" t="s">
        <v>203</v>
      </c>
      <c r="GAS18" s="314" t="s">
        <v>203</v>
      </c>
      <c r="GAT18" s="314" t="s">
        <v>203</v>
      </c>
      <c r="GAU18" s="314" t="s">
        <v>203</v>
      </c>
      <c r="GAV18" s="314" t="s">
        <v>203</v>
      </c>
      <c r="GAW18" s="314" t="s">
        <v>203</v>
      </c>
      <c r="GAX18" s="314" t="s">
        <v>203</v>
      </c>
      <c r="GAY18" s="314" t="s">
        <v>203</v>
      </c>
      <c r="GAZ18" s="314" t="s">
        <v>203</v>
      </c>
      <c r="GBA18" s="314" t="s">
        <v>203</v>
      </c>
      <c r="GBB18" s="314" t="s">
        <v>203</v>
      </c>
      <c r="GBC18" s="314" t="s">
        <v>203</v>
      </c>
      <c r="GBD18" s="314" t="s">
        <v>203</v>
      </c>
      <c r="GBE18" s="314" t="s">
        <v>203</v>
      </c>
      <c r="GBF18" s="314" t="s">
        <v>203</v>
      </c>
      <c r="GBG18" s="314" t="s">
        <v>203</v>
      </c>
      <c r="GBH18" s="314" t="s">
        <v>203</v>
      </c>
      <c r="GBI18" s="314" t="s">
        <v>203</v>
      </c>
      <c r="GBJ18" s="314" t="s">
        <v>203</v>
      </c>
      <c r="GBK18" s="314" t="s">
        <v>203</v>
      </c>
      <c r="GBL18" s="314" t="s">
        <v>203</v>
      </c>
      <c r="GBM18" s="314" t="s">
        <v>203</v>
      </c>
      <c r="GBN18" s="314" t="s">
        <v>203</v>
      </c>
      <c r="GBO18" s="314" t="s">
        <v>203</v>
      </c>
      <c r="GBP18" s="314" t="s">
        <v>203</v>
      </c>
      <c r="GBQ18" s="314" t="s">
        <v>203</v>
      </c>
      <c r="GBR18" s="314" t="s">
        <v>203</v>
      </c>
      <c r="GBS18" s="314" t="s">
        <v>203</v>
      </c>
      <c r="GBT18" s="314" t="s">
        <v>203</v>
      </c>
      <c r="GBU18" s="314" t="s">
        <v>203</v>
      </c>
      <c r="GBV18" s="314" t="s">
        <v>203</v>
      </c>
      <c r="GBW18" s="314" t="s">
        <v>203</v>
      </c>
      <c r="GBX18" s="314" t="s">
        <v>203</v>
      </c>
      <c r="GBY18" s="314" t="s">
        <v>203</v>
      </c>
      <c r="GBZ18" s="314" t="s">
        <v>203</v>
      </c>
      <c r="GCA18" s="314" t="s">
        <v>203</v>
      </c>
      <c r="GCB18" s="314" t="s">
        <v>203</v>
      </c>
      <c r="GCC18" s="314" t="s">
        <v>203</v>
      </c>
      <c r="GCD18" s="314" t="s">
        <v>203</v>
      </c>
      <c r="GCE18" s="314" t="s">
        <v>203</v>
      </c>
      <c r="GCF18" s="314" t="s">
        <v>203</v>
      </c>
      <c r="GCG18" s="314" t="s">
        <v>203</v>
      </c>
      <c r="GCH18" s="314" t="s">
        <v>203</v>
      </c>
      <c r="GCI18" s="314" t="s">
        <v>203</v>
      </c>
      <c r="GCJ18" s="314" t="s">
        <v>203</v>
      </c>
      <c r="GCK18" s="314" t="s">
        <v>203</v>
      </c>
      <c r="GCL18" s="314" t="s">
        <v>203</v>
      </c>
      <c r="GCM18" s="314" t="s">
        <v>203</v>
      </c>
      <c r="GCN18" s="314" t="s">
        <v>203</v>
      </c>
      <c r="GCO18" s="314" t="s">
        <v>203</v>
      </c>
      <c r="GCP18" s="314" t="s">
        <v>203</v>
      </c>
      <c r="GCQ18" s="314" t="s">
        <v>203</v>
      </c>
      <c r="GCR18" s="314" t="s">
        <v>203</v>
      </c>
      <c r="GCS18" s="314" t="s">
        <v>203</v>
      </c>
      <c r="GCT18" s="314" t="s">
        <v>203</v>
      </c>
      <c r="GCU18" s="314" t="s">
        <v>203</v>
      </c>
      <c r="GCV18" s="314" t="s">
        <v>203</v>
      </c>
      <c r="GCW18" s="314" t="s">
        <v>203</v>
      </c>
      <c r="GCX18" s="314" t="s">
        <v>203</v>
      </c>
      <c r="GCY18" s="314" t="s">
        <v>203</v>
      </c>
      <c r="GCZ18" s="314" t="s">
        <v>203</v>
      </c>
      <c r="GDA18" s="314" t="s">
        <v>203</v>
      </c>
      <c r="GDB18" s="314" t="s">
        <v>203</v>
      </c>
      <c r="GDC18" s="314" t="s">
        <v>203</v>
      </c>
      <c r="GDD18" s="314" t="s">
        <v>203</v>
      </c>
      <c r="GDE18" s="314" t="s">
        <v>203</v>
      </c>
      <c r="GDF18" s="314" t="s">
        <v>203</v>
      </c>
      <c r="GDG18" s="314" t="s">
        <v>203</v>
      </c>
      <c r="GDH18" s="314" t="s">
        <v>203</v>
      </c>
      <c r="GDI18" s="314" t="s">
        <v>203</v>
      </c>
      <c r="GDJ18" s="314" t="s">
        <v>203</v>
      </c>
      <c r="GDK18" s="314" t="s">
        <v>203</v>
      </c>
      <c r="GDL18" s="314" t="s">
        <v>203</v>
      </c>
      <c r="GDM18" s="314" t="s">
        <v>203</v>
      </c>
      <c r="GDN18" s="314" t="s">
        <v>203</v>
      </c>
      <c r="GDO18" s="314" t="s">
        <v>203</v>
      </c>
      <c r="GDP18" s="314" t="s">
        <v>203</v>
      </c>
      <c r="GDQ18" s="314" t="s">
        <v>203</v>
      </c>
      <c r="GDR18" s="314" t="s">
        <v>203</v>
      </c>
      <c r="GDS18" s="314" t="s">
        <v>203</v>
      </c>
      <c r="GDT18" s="314" t="s">
        <v>203</v>
      </c>
      <c r="GDU18" s="314" t="s">
        <v>203</v>
      </c>
      <c r="GDV18" s="314" t="s">
        <v>203</v>
      </c>
      <c r="GDW18" s="314" t="s">
        <v>203</v>
      </c>
      <c r="GDX18" s="314" t="s">
        <v>203</v>
      </c>
      <c r="GDY18" s="314" t="s">
        <v>203</v>
      </c>
      <c r="GDZ18" s="314" t="s">
        <v>203</v>
      </c>
      <c r="GEA18" s="314" t="s">
        <v>203</v>
      </c>
      <c r="GEB18" s="314" t="s">
        <v>203</v>
      </c>
      <c r="GEC18" s="314" t="s">
        <v>203</v>
      </c>
      <c r="GED18" s="314" t="s">
        <v>203</v>
      </c>
      <c r="GEE18" s="314" t="s">
        <v>203</v>
      </c>
      <c r="GEF18" s="314" t="s">
        <v>203</v>
      </c>
      <c r="GEG18" s="314" t="s">
        <v>203</v>
      </c>
      <c r="GEH18" s="314" t="s">
        <v>203</v>
      </c>
      <c r="GEI18" s="314" t="s">
        <v>203</v>
      </c>
      <c r="GEJ18" s="314" t="s">
        <v>203</v>
      </c>
      <c r="GEK18" s="314" t="s">
        <v>203</v>
      </c>
      <c r="GEL18" s="314" t="s">
        <v>203</v>
      </c>
      <c r="GEM18" s="314" t="s">
        <v>203</v>
      </c>
      <c r="GEN18" s="314" t="s">
        <v>203</v>
      </c>
      <c r="GEO18" s="314" t="s">
        <v>203</v>
      </c>
      <c r="GEP18" s="314" t="s">
        <v>203</v>
      </c>
      <c r="GEQ18" s="314" t="s">
        <v>203</v>
      </c>
      <c r="GER18" s="314" t="s">
        <v>203</v>
      </c>
      <c r="GES18" s="314" t="s">
        <v>203</v>
      </c>
      <c r="GET18" s="314" t="s">
        <v>203</v>
      </c>
      <c r="GEU18" s="314" t="s">
        <v>203</v>
      </c>
      <c r="GEV18" s="314" t="s">
        <v>203</v>
      </c>
      <c r="GEW18" s="314" t="s">
        <v>203</v>
      </c>
      <c r="GEX18" s="314" t="s">
        <v>203</v>
      </c>
      <c r="GEY18" s="314" t="s">
        <v>203</v>
      </c>
      <c r="GEZ18" s="314" t="s">
        <v>203</v>
      </c>
      <c r="GFA18" s="314" t="s">
        <v>203</v>
      </c>
      <c r="GFB18" s="314" t="s">
        <v>203</v>
      </c>
      <c r="GFC18" s="314" t="s">
        <v>203</v>
      </c>
      <c r="GFD18" s="314" t="s">
        <v>203</v>
      </c>
      <c r="GFE18" s="314" t="s">
        <v>203</v>
      </c>
      <c r="GFF18" s="314" t="s">
        <v>203</v>
      </c>
      <c r="GFG18" s="314" t="s">
        <v>203</v>
      </c>
      <c r="GFH18" s="314" t="s">
        <v>203</v>
      </c>
      <c r="GFI18" s="314" t="s">
        <v>203</v>
      </c>
      <c r="GFJ18" s="314" t="s">
        <v>203</v>
      </c>
      <c r="GFK18" s="314" t="s">
        <v>203</v>
      </c>
      <c r="GFL18" s="314" t="s">
        <v>203</v>
      </c>
      <c r="GFM18" s="314" t="s">
        <v>203</v>
      </c>
      <c r="GFN18" s="314" t="s">
        <v>203</v>
      </c>
      <c r="GFO18" s="314" t="s">
        <v>203</v>
      </c>
      <c r="GFP18" s="314" t="s">
        <v>203</v>
      </c>
      <c r="GFQ18" s="314" t="s">
        <v>203</v>
      </c>
      <c r="GFR18" s="314" t="s">
        <v>203</v>
      </c>
      <c r="GFS18" s="314" t="s">
        <v>203</v>
      </c>
      <c r="GFT18" s="314" t="s">
        <v>203</v>
      </c>
      <c r="GFU18" s="314" t="s">
        <v>203</v>
      </c>
      <c r="GFV18" s="314" t="s">
        <v>203</v>
      </c>
      <c r="GFW18" s="314" t="s">
        <v>203</v>
      </c>
      <c r="GFX18" s="314" t="s">
        <v>203</v>
      </c>
      <c r="GFY18" s="314" t="s">
        <v>203</v>
      </c>
      <c r="GFZ18" s="314" t="s">
        <v>203</v>
      </c>
      <c r="GGA18" s="314" t="s">
        <v>203</v>
      </c>
      <c r="GGB18" s="314" t="s">
        <v>203</v>
      </c>
      <c r="GGC18" s="314" t="s">
        <v>203</v>
      </c>
      <c r="GGD18" s="314" t="s">
        <v>203</v>
      </c>
      <c r="GGE18" s="314" t="s">
        <v>203</v>
      </c>
      <c r="GGF18" s="314" t="s">
        <v>203</v>
      </c>
      <c r="GGG18" s="314" t="s">
        <v>203</v>
      </c>
      <c r="GGH18" s="314" t="s">
        <v>203</v>
      </c>
      <c r="GGI18" s="314" t="s">
        <v>203</v>
      </c>
      <c r="GGJ18" s="314" t="s">
        <v>203</v>
      </c>
      <c r="GGK18" s="314" t="s">
        <v>203</v>
      </c>
      <c r="GGL18" s="314" t="s">
        <v>203</v>
      </c>
      <c r="GGM18" s="314" t="s">
        <v>203</v>
      </c>
      <c r="GGN18" s="314" t="s">
        <v>203</v>
      </c>
      <c r="GGO18" s="314" t="s">
        <v>203</v>
      </c>
      <c r="GGP18" s="314" t="s">
        <v>203</v>
      </c>
      <c r="GGQ18" s="314" t="s">
        <v>203</v>
      </c>
      <c r="GGR18" s="314" t="s">
        <v>203</v>
      </c>
      <c r="GGS18" s="314" t="s">
        <v>203</v>
      </c>
      <c r="GGT18" s="314" t="s">
        <v>203</v>
      </c>
      <c r="GGU18" s="314" t="s">
        <v>203</v>
      </c>
      <c r="GGV18" s="314" t="s">
        <v>203</v>
      </c>
      <c r="GGW18" s="314" t="s">
        <v>203</v>
      </c>
      <c r="GGX18" s="314" t="s">
        <v>203</v>
      </c>
      <c r="GGY18" s="314" t="s">
        <v>203</v>
      </c>
      <c r="GGZ18" s="314" t="s">
        <v>203</v>
      </c>
      <c r="GHA18" s="314" t="s">
        <v>203</v>
      </c>
      <c r="GHB18" s="314" t="s">
        <v>203</v>
      </c>
      <c r="GHC18" s="314" t="s">
        <v>203</v>
      </c>
      <c r="GHD18" s="314" t="s">
        <v>203</v>
      </c>
      <c r="GHE18" s="314" t="s">
        <v>203</v>
      </c>
      <c r="GHF18" s="314" t="s">
        <v>203</v>
      </c>
      <c r="GHG18" s="314" t="s">
        <v>203</v>
      </c>
      <c r="GHH18" s="314" t="s">
        <v>203</v>
      </c>
      <c r="GHI18" s="314" t="s">
        <v>203</v>
      </c>
      <c r="GHJ18" s="314" t="s">
        <v>203</v>
      </c>
      <c r="GHK18" s="314" t="s">
        <v>203</v>
      </c>
      <c r="GHL18" s="314" t="s">
        <v>203</v>
      </c>
      <c r="GHM18" s="314" t="s">
        <v>203</v>
      </c>
      <c r="GHN18" s="314" t="s">
        <v>203</v>
      </c>
      <c r="GHO18" s="314" t="s">
        <v>203</v>
      </c>
      <c r="GHP18" s="314" t="s">
        <v>203</v>
      </c>
      <c r="GHQ18" s="314" t="s">
        <v>203</v>
      </c>
      <c r="GHR18" s="314" t="s">
        <v>203</v>
      </c>
      <c r="GHS18" s="314" t="s">
        <v>203</v>
      </c>
      <c r="GHT18" s="314" t="s">
        <v>203</v>
      </c>
      <c r="GHU18" s="314" t="s">
        <v>203</v>
      </c>
      <c r="GHV18" s="314" t="s">
        <v>203</v>
      </c>
      <c r="GHW18" s="314" t="s">
        <v>203</v>
      </c>
      <c r="GHX18" s="314" t="s">
        <v>203</v>
      </c>
      <c r="GHY18" s="314" t="s">
        <v>203</v>
      </c>
      <c r="GHZ18" s="314" t="s">
        <v>203</v>
      </c>
      <c r="GIA18" s="314" t="s">
        <v>203</v>
      </c>
      <c r="GIB18" s="314" t="s">
        <v>203</v>
      </c>
      <c r="GIC18" s="314" t="s">
        <v>203</v>
      </c>
      <c r="GID18" s="314" t="s">
        <v>203</v>
      </c>
      <c r="GIE18" s="314" t="s">
        <v>203</v>
      </c>
      <c r="GIF18" s="314" t="s">
        <v>203</v>
      </c>
      <c r="GIG18" s="314" t="s">
        <v>203</v>
      </c>
      <c r="GIH18" s="314" t="s">
        <v>203</v>
      </c>
      <c r="GII18" s="314" t="s">
        <v>203</v>
      </c>
      <c r="GIJ18" s="314" t="s">
        <v>203</v>
      </c>
      <c r="GIK18" s="314" t="s">
        <v>203</v>
      </c>
      <c r="GIL18" s="314" t="s">
        <v>203</v>
      </c>
      <c r="GIM18" s="314" t="s">
        <v>203</v>
      </c>
      <c r="GIN18" s="314" t="s">
        <v>203</v>
      </c>
      <c r="GIO18" s="314" t="s">
        <v>203</v>
      </c>
      <c r="GIP18" s="314" t="s">
        <v>203</v>
      </c>
      <c r="GIQ18" s="314" t="s">
        <v>203</v>
      </c>
      <c r="GIR18" s="314" t="s">
        <v>203</v>
      </c>
      <c r="GIS18" s="314" t="s">
        <v>203</v>
      </c>
      <c r="GIT18" s="314" t="s">
        <v>203</v>
      </c>
      <c r="GIU18" s="314" t="s">
        <v>203</v>
      </c>
      <c r="GIV18" s="314" t="s">
        <v>203</v>
      </c>
      <c r="GIW18" s="314" t="s">
        <v>203</v>
      </c>
      <c r="GIX18" s="314" t="s">
        <v>203</v>
      </c>
      <c r="GIY18" s="314" t="s">
        <v>203</v>
      </c>
      <c r="GIZ18" s="314" t="s">
        <v>203</v>
      </c>
      <c r="GJA18" s="314" t="s">
        <v>203</v>
      </c>
      <c r="GJB18" s="314" t="s">
        <v>203</v>
      </c>
      <c r="GJC18" s="314" t="s">
        <v>203</v>
      </c>
      <c r="GJD18" s="314" t="s">
        <v>203</v>
      </c>
      <c r="GJE18" s="314" t="s">
        <v>203</v>
      </c>
      <c r="GJF18" s="314" t="s">
        <v>203</v>
      </c>
      <c r="GJG18" s="314" t="s">
        <v>203</v>
      </c>
      <c r="GJH18" s="314" t="s">
        <v>203</v>
      </c>
      <c r="GJI18" s="314" t="s">
        <v>203</v>
      </c>
      <c r="GJJ18" s="314" t="s">
        <v>203</v>
      </c>
      <c r="GJK18" s="314" t="s">
        <v>203</v>
      </c>
      <c r="GJL18" s="314" t="s">
        <v>203</v>
      </c>
      <c r="GJM18" s="314" t="s">
        <v>203</v>
      </c>
      <c r="GJN18" s="314" t="s">
        <v>203</v>
      </c>
      <c r="GJO18" s="314" t="s">
        <v>203</v>
      </c>
      <c r="GJP18" s="314" t="s">
        <v>203</v>
      </c>
      <c r="GJQ18" s="314" t="s">
        <v>203</v>
      </c>
      <c r="GJR18" s="314" t="s">
        <v>203</v>
      </c>
      <c r="GJS18" s="314" t="s">
        <v>203</v>
      </c>
      <c r="GJT18" s="314" t="s">
        <v>203</v>
      </c>
      <c r="GJU18" s="314" t="s">
        <v>203</v>
      </c>
      <c r="GJV18" s="314" t="s">
        <v>203</v>
      </c>
      <c r="GJW18" s="314" t="s">
        <v>203</v>
      </c>
      <c r="GJX18" s="314" t="s">
        <v>203</v>
      </c>
      <c r="GJY18" s="314" t="s">
        <v>203</v>
      </c>
      <c r="GJZ18" s="314" t="s">
        <v>203</v>
      </c>
      <c r="GKA18" s="314" t="s">
        <v>203</v>
      </c>
      <c r="GKB18" s="314" t="s">
        <v>203</v>
      </c>
      <c r="GKC18" s="314" t="s">
        <v>203</v>
      </c>
      <c r="GKD18" s="314" t="s">
        <v>203</v>
      </c>
      <c r="GKE18" s="314" t="s">
        <v>203</v>
      </c>
      <c r="GKF18" s="314" t="s">
        <v>203</v>
      </c>
      <c r="GKG18" s="314" t="s">
        <v>203</v>
      </c>
      <c r="GKH18" s="314" t="s">
        <v>203</v>
      </c>
      <c r="GKI18" s="314" t="s">
        <v>203</v>
      </c>
      <c r="GKJ18" s="314" t="s">
        <v>203</v>
      </c>
      <c r="GKK18" s="314" t="s">
        <v>203</v>
      </c>
      <c r="GKL18" s="314" t="s">
        <v>203</v>
      </c>
      <c r="GKM18" s="314" t="s">
        <v>203</v>
      </c>
      <c r="GKN18" s="314" t="s">
        <v>203</v>
      </c>
      <c r="GKO18" s="314" t="s">
        <v>203</v>
      </c>
      <c r="GKP18" s="314" t="s">
        <v>203</v>
      </c>
      <c r="GKQ18" s="314" t="s">
        <v>203</v>
      </c>
      <c r="GKR18" s="314" t="s">
        <v>203</v>
      </c>
      <c r="GKS18" s="314" t="s">
        <v>203</v>
      </c>
      <c r="GKT18" s="314" t="s">
        <v>203</v>
      </c>
      <c r="GKU18" s="314" t="s">
        <v>203</v>
      </c>
      <c r="GKV18" s="314" t="s">
        <v>203</v>
      </c>
      <c r="GKW18" s="314" t="s">
        <v>203</v>
      </c>
      <c r="GKX18" s="314" t="s">
        <v>203</v>
      </c>
      <c r="GKY18" s="314" t="s">
        <v>203</v>
      </c>
      <c r="GKZ18" s="314" t="s">
        <v>203</v>
      </c>
      <c r="GLA18" s="314" t="s">
        <v>203</v>
      </c>
      <c r="GLB18" s="314" t="s">
        <v>203</v>
      </c>
      <c r="GLC18" s="314" t="s">
        <v>203</v>
      </c>
      <c r="GLD18" s="314" t="s">
        <v>203</v>
      </c>
      <c r="GLE18" s="314" t="s">
        <v>203</v>
      </c>
      <c r="GLF18" s="314" t="s">
        <v>203</v>
      </c>
      <c r="GLG18" s="314" t="s">
        <v>203</v>
      </c>
      <c r="GLH18" s="314" t="s">
        <v>203</v>
      </c>
      <c r="GLI18" s="314" t="s">
        <v>203</v>
      </c>
      <c r="GLJ18" s="314" t="s">
        <v>203</v>
      </c>
      <c r="GLK18" s="314" t="s">
        <v>203</v>
      </c>
      <c r="GLL18" s="314" t="s">
        <v>203</v>
      </c>
      <c r="GLM18" s="314" t="s">
        <v>203</v>
      </c>
      <c r="GLN18" s="314" t="s">
        <v>203</v>
      </c>
      <c r="GLO18" s="314" t="s">
        <v>203</v>
      </c>
      <c r="GLP18" s="314" t="s">
        <v>203</v>
      </c>
      <c r="GLQ18" s="314" t="s">
        <v>203</v>
      </c>
      <c r="GLR18" s="314" t="s">
        <v>203</v>
      </c>
      <c r="GLS18" s="314" t="s">
        <v>203</v>
      </c>
      <c r="GLT18" s="314" t="s">
        <v>203</v>
      </c>
      <c r="GLU18" s="314" t="s">
        <v>203</v>
      </c>
      <c r="GLV18" s="314" t="s">
        <v>203</v>
      </c>
      <c r="GLW18" s="314" t="s">
        <v>203</v>
      </c>
      <c r="GLX18" s="314" t="s">
        <v>203</v>
      </c>
      <c r="GLY18" s="314" t="s">
        <v>203</v>
      </c>
      <c r="GLZ18" s="314" t="s">
        <v>203</v>
      </c>
      <c r="GMA18" s="314" t="s">
        <v>203</v>
      </c>
      <c r="GMB18" s="314" t="s">
        <v>203</v>
      </c>
      <c r="GMC18" s="314" t="s">
        <v>203</v>
      </c>
      <c r="GMD18" s="314" t="s">
        <v>203</v>
      </c>
      <c r="GME18" s="314" t="s">
        <v>203</v>
      </c>
      <c r="GMF18" s="314" t="s">
        <v>203</v>
      </c>
      <c r="GMG18" s="314" t="s">
        <v>203</v>
      </c>
      <c r="GMH18" s="314" t="s">
        <v>203</v>
      </c>
      <c r="GMI18" s="314" t="s">
        <v>203</v>
      </c>
      <c r="GMJ18" s="314" t="s">
        <v>203</v>
      </c>
      <c r="GMK18" s="314" t="s">
        <v>203</v>
      </c>
      <c r="GML18" s="314" t="s">
        <v>203</v>
      </c>
      <c r="GMM18" s="314" t="s">
        <v>203</v>
      </c>
      <c r="GMN18" s="314" t="s">
        <v>203</v>
      </c>
      <c r="GMO18" s="314" t="s">
        <v>203</v>
      </c>
      <c r="GMP18" s="314" t="s">
        <v>203</v>
      </c>
      <c r="GMQ18" s="314" t="s">
        <v>203</v>
      </c>
      <c r="GMR18" s="314" t="s">
        <v>203</v>
      </c>
      <c r="GMS18" s="314" t="s">
        <v>203</v>
      </c>
      <c r="GMT18" s="314" t="s">
        <v>203</v>
      </c>
      <c r="GMU18" s="314" t="s">
        <v>203</v>
      </c>
      <c r="GMV18" s="314" t="s">
        <v>203</v>
      </c>
      <c r="GMW18" s="314" t="s">
        <v>203</v>
      </c>
      <c r="GMX18" s="314" t="s">
        <v>203</v>
      </c>
      <c r="GMY18" s="314" t="s">
        <v>203</v>
      </c>
      <c r="GMZ18" s="314" t="s">
        <v>203</v>
      </c>
      <c r="GNA18" s="314" t="s">
        <v>203</v>
      </c>
      <c r="GNB18" s="314" t="s">
        <v>203</v>
      </c>
      <c r="GNC18" s="314" t="s">
        <v>203</v>
      </c>
      <c r="GND18" s="314" t="s">
        <v>203</v>
      </c>
      <c r="GNE18" s="314" t="s">
        <v>203</v>
      </c>
      <c r="GNF18" s="314" t="s">
        <v>203</v>
      </c>
      <c r="GNG18" s="314" t="s">
        <v>203</v>
      </c>
      <c r="GNH18" s="314" t="s">
        <v>203</v>
      </c>
      <c r="GNI18" s="314" t="s">
        <v>203</v>
      </c>
      <c r="GNJ18" s="314" t="s">
        <v>203</v>
      </c>
      <c r="GNK18" s="314" t="s">
        <v>203</v>
      </c>
      <c r="GNL18" s="314" t="s">
        <v>203</v>
      </c>
      <c r="GNM18" s="314" t="s">
        <v>203</v>
      </c>
      <c r="GNN18" s="314" t="s">
        <v>203</v>
      </c>
      <c r="GNO18" s="314" t="s">
        <v>203</v>
      </c>
      <c r="GNP18" s="314" t="s">
        <v>203</v>
      </c>
      <c r="GNQ18" s="314" t="s">
        <v>203</v>
      </c>
      <c r="GNR18" s="314" t="s">
        <v>203</v>
      </c>
      <c r="GNS18" s="314" t="s">
        <v>203</v>
      </c>
      <c r="GNT18" s="314" t="s">
        <v>203</v>
      </c>
      <c r="GNU18" s="314" t="s">
        <v>203</v>
      </c>
      <c r="GNV18" s="314" t="s">
        <v>203</v>
      </c>
      <c r="GNW18" s="314" t="s">
        <v>203</v>
      </c>
      <c r="GNX18" s="314" t="s">
        <v>203</v>
      </c>
      <c r="GNY18" s="314" t="s">
        <v>203</v>
      </c>
      <c r="GNZ18" s="314" t="s">
        <v>203</v>
      </c>
      <c r="GOA18" s="314" t="s">
        <v>203</v>
      </c>
      <c r="GOB18" s="314" t="s">
        <v>203</v>
      </c>
      <c r="GOC18" s="314" t="s">
        <v>203</v>
      </c>
      <c r="GOD18" s="314" t="s">
        <v>203</v>
      </c>
      <c r="GOE18" s="314" t="s">
        <v>203</v>
      </c>
      <c r="GOF18" s="314" t="s">
        <v>203</v>
      </c>
      <c r="GOG18" s="314" t="s">
        <v>203</v>
      </c>
      <c r="GOH18" s="314" t="s">
        <v>203</v>
      </c>
      <c r="GOI18" s="314" t="s">
        <v>203</v>
      </c>
      <c r="GOJ18" s="314" t="s">
        <v>203</v>
      </c>
      <c r="GOK18" s="314" t="s">
        <v>203</v>
      </c>
      <c r="GOL18" s="314" t="s">
        <v>203</v>
      </c>
      <c r="GOM18" s="314" t="s">
        <v>203</v>
      </c>
      <c r="GON18" s="314" t="s">
        <v>203</v>
      </c>
      <c r="GOO18" s="314" t="s">
        <v>203</v>
      </c>
      <c r="GOP18" s="314" t="s">
        <v>203</v>
      </c>
      <c r="GOQ18" s="314" t="s">
        <v>203</v>
      </c>
      <c r="GOR18" s="314" t="s">
        <v>203</v>
      </c>
      <c r="GOS18" s="314" t="s">
        <v>203</v>
      </c>
      <c r="GOT18" s="314" t="s">
        <v>203</v>
      </c>
      <c r="GOU18" s="314" t="s">
        <v>203</v>
      </c>
      <c r="GOV18" s="314" t="s">
        <v>203</v>
      </c>
      <c r="GOW18" s="314" t="s">
        <v>203</v>
      </c>
      <c r="GOX18" s="314" t="s">
        <v>203</v>
      </c>
      <c r="GOY18" s="314" t="s">
        <v>203</v>
      </c>
      <c r="GOZ18" s="314" t="s">
        <v>203</v>
      </c>
      <c r="GPA18" s="314" t="s">
        <v>203</v>
      </c>
      <c r="GPB18" s="314" t="s">
        <v>203</v>
      </c>
      <c r="GPC18" s="314" t="s">
        <v>203</v>
      </c>
      <c r="GPD18" s="314" t="s">
        <v>203</v>
      </c>
      <c r="GPE18" s="314" t="s">
        <v>203</v>
      </c>
      <c r="GPF18" s="314" t="s">
        <v>203</v>
      </c>
      <c r="GPG18" s="314" t="s">
        <v>203</v>
      </c>
      <c r="GPH18" s="314" t="s">
        <v>203</v>
      </c>
      <c r="GPI18" s="314" t="s">
        <v>203</v>
      </c>
      <c r="GPJ18" s="314" t="s">
        <v>203</v>
      </c>
      <c r="GPK18" s="314" t="s">
        <v>203</v>
      </c>
      <c r="GPL18" s="314" t="s">
        <v>203</v>
      </c>
      <c r="GPM18" s="314" t="s">
        <v>203</v>
      </c>
      <c r="GPN18" s="314" t="s">
        <v>203</v>
      </c>
      <c r="GPO18" s="314" t="s">
        <v>203</v>
      </c>
      <c r="GPP18" s="314" t="s">
        <v>203</v>
      </c>
      <c r="GPQ18" s="314" t="s">
        <v>203</v>
      </c>
      <c r="GPR18" s="314" t="s">
        <v>203</v>
      </c>
      <c r="GPS18" s="314" t="s">
        <v>203</v>
      </c>
      <c r="GPT18" s="314" t="s">
        <v>203</v>
      </c>
      <c r="GPU18" s="314" t="s">
        <v>203</v>
      </c>
      <c r="GPV18" s="314" t="s">
        <v>203</v>
      </c>
      <c r="GPW18" s="314" t="s">
        <v>203</v>
      </c>
      <c r="GPX18" s="314" t="s">
        <v>203</v>
      </c>
      <c r="GPY18" s="314" t="s">
        <v>203</v>
      </c>
      <c r="GPZ18" s="314" t="s">
        <v>203</v>
      </c>
      <c r="GQA18" s="314" t="s">
        <v>203</v>
      </c>
      <c r="GQB18" s="314" t="s">
        <v>203</v>
      </c>
      <c r="GQC18" s="314" t="s">
        <v>203</v>
      </c>
      <c r="GQD18" s="314" t="s">
        <v>203</v>
      </c>
      <c r="GQE18" s="314" t="s">
        <v>203</v>
      </c>
      <c r="GQF18" s="314" t="s">
        <v>203</v>
      </c>
      <c r="GQG18" s="314" t="s">
        <v>203</v>
      </c>
      <c r="GQH18" s="314" t="s">
        <v>203</v>
      </c>
      <c r="GQI18" s="314" t="s">
        <v>203</v>
      </c>
      <c r="GQJ18" s="314" t="s">
        <v>203</v>
      </c>
      <c r="GQK18" s="314" t="s">
        <v>203</v>
      </c>
      <c r="GQL18" s="314" t="s">
        <v>203</v>
      </c>
      <c r="GQM18" s="314" t="s">
        <v>203</v>
      </c>
      <c r="GQN18" s="314" t="s">
        <v>203</v>
      </c>
      <c r="GQO18" s="314" t="s">
        <v>203</v>
      </c>
      <c r="GQP18" s="314" t="s">
        <v>203</v>
      </c>
      <c r="GQQ18" s="314" t="s">
        <v>203</v>
      </c>
      <c r="GQR18" s="314" t="s">
        <v>203</v>
      </c>
      <c r="GQS18" s="314" t="s">
        <v>203</v>
      </c>
      <c r="GQT18" s="314" t="s">
        <v>203</v>
      </c>
      <c r="GQU18" s="314" t="s">
        <v>203</v>
      </c>
      <c r="GQV18" s="314" t="s">
        <v>203</v>
      </c>
      <c r="GQW18" s="314" t="s">
        <v>203</v>
      </c>
      <c r="GQX18" s="314" t="s">
        <v>203</v>
      </c>
      <c r="GQY18" s="314" t="s">
        <v>203</v>
      </c>
      <c r="GQZ18" s="314" t="s">
        <v>203</v>
      </c>
      <c r="GRA18" s="314" t="s">
        <v>203</v>
      </c>
      <c r="GRB18" s="314" t="s">
        <v>203</v>
      </c>
      <c r="GRC18" s="314" t="s">
        <v>203</v>
      </c>
      <c r="GRD18" s="314" t="s">
        <v>203</v>
      </c>
      <c r="GRE18" s="314" t="s">
        <v>203</v>
      </c>
      <c r="GRF18" s="314" t="s">
        <v>203</v>
      </c>
      <c r="GRG18" s="314" t="s">
        <v>203</v>
      </c>
      <c r="GRH18" s="314" t="s">
        <v>203</v>
      </c>
      <c r="GRI18" s="314" t="s">
        <v>203</v>
      </c>
      <c r="GRJ18" s="314" t="s">
        <v>203</v>
      </c>
      <c r="GRK18" s="314" t="s">
        <v>203</v>
      </c>
      <c r="GRL18" s="314" t="s">
        <v>203</v>
      </c>
      <c r="GRM18" s="314" t="s">
        <v>203</v>
      </c>
      <c r="GRN18" s="314" t="s">
        <v>203</v>
      </c>
      <c r="GRO18" s="314" t="s">
        <v>203</v>
      </c>
      <c r="GRP18" s="314" t="s">
        <v>203</v>
      </c>
      <c r="GRQ18" s="314" t="s">
        <v>203</v>
      </c>
      <c r="GRR18" s="314" t="s">
        <v>203</v>
      </c>
      <c r="GRS18" s="314" t="s">
        <v>203</v>
      </c>
      <c r="GRT18" s="314" t="s">
        <v>203</v>
      </c>
      <c r="GRU18" s="314" t="s">
        <v>203</v>
      </c>
      <c r="GRV18" s="314" t="s">
        <v>203</v>
      </c>
      <c r="GRW18" s="314" t="s">
        <v>203</v>
      </c>
      <c r="GRX18" s="314" t="s">
        <v>203</v>
      </c>
      <c r="GRY18" s="314" t="s">
        <v>203</v>
      </c>
      <c r="GRZ18" s="314" t="s">
        <v>203</v>
      </c>
      <c r="GSA18" s="314" t="s">
        <v>203</v>
      </c>
      <c r="GSB18" s="314" t="s">
        <v>203</v>
      </c>
      <c r="GSC18" s="314" t="s">
        <v>203</v>
      </c>
      <c r="GSD18" s="314" t="s">
        <v>203</v>
      </c>
      <c r="GSE18" s="314" t="s">
        <v>203</v>
      </c>
      <c r="GSF18" s="314" t="s">
        <v>203</v>
      </c>
      <c r="GSG18" s="314" t="s">
        <v>203</v>
      </c>
      <c r="GSH18" s="314" t="s">
        <v>203</v>
      </c>
      <c r="GSI18" s="314" t="s">
        <v>203</v>
      </c>
      <c r="GSJ18" s="314" t="s">
        <v>203</v>
      </c>
      <c r="GSK18" s="314" t="s">
        <v>203</v>
      </c>
      <c r="GSL18" s="314" t="s">
        <v>203</v>
      </c>
      <c r="GSM18" s="314" t="s">
        <v>203</v>
      </c>
      <c r="GSN18" s="314" t="s">
        <v>203</v>
      </c>
      <c r="GSO18" s="314" t="s">
        <v>203</v>
      </c>
      <c r="GSP18" s="314" t="s">
        <v>203</v>
      </c>
      <c r="GSQ18" s="314" t="s">
        <v>203</v>
      </c>
      <c r="GSR18" s="314" t="s">
        <v>203</v>
      </c>
      <c r="GSS18" s="314" t="s">
        <v>203</v>
      </c>
      <c r="GST18" s="314" t="s">
        <v>203</v>
      </c>
      <c r="GSU18" s="314" t="s">
        <v>203</v>
      </c>
      <c r="GSV18" s="314" t="s">
        <v>203</v>
      </c>
      <c r="GSW18" s="314" t="s">
        <v>203</v>
      </c>
      <c r="GSX18" s="314" t="s">
        <v>203</v>
      </c>
      <c r="GSY18" s="314" t="s">
        <v>203</v>
      </c>
      <c r="GSZ18" s="314" t="s">
        <v>203</v>
      </c>
      <c r="GTA18" s="314" t="s">
        <v>203</v>
      </c>
      <c r="GTB18" s="314" t="s">
        <v>203</v>
      </c>
      <c r="GTC18" s="314" t="s">
        <v>203</v>
      </c>
      <c r="GTD18" s="314" t="s">
        <v>203</v>
      </c>
      <c r="GTE18" s="314" t="s">
        <v>203</v>
      </c>
      <c r="GTF18" s="314" t="s">
        <v>203</v>
      </c>
      <c r="GTG18" s="314" t="s">
        <v>203</v>
      </c>
      <c r="GTH18" s="314" t="s">
        <v>203</v>
      </c>
      <c r="GTI18" s="314" t="s">
        <v>203</v>
      </c>
      <c r="GTJ18" s="314" t="s">
        <v>203</v>
      </c>
      <c r="GTK18" s="314" t="s">
        <v>203</v>
      </c>
      <c r="GTL18" s="314" t="s">
        <v>203</v>
      </c>
      <c r="GTM18" s="314" t="s">
        <v>203</v>
      </c>
      <c r="GTN18" s="314" t="s">
        <v>203</v>
      </c>
      <c r="GTO18" s="314" t="s">
        <v>203</v>
      </c>
      <c r="GTP18" s="314" t="s">
        <v>203</v>
      </c>
      <c r="GTQ18" s="314" t="s">
        <v>203</v>
      </c>
      <c r="GTR18" s="314" t="s">
        <v>203</v>
      </c>
      <c r="GTS18" s="314" t="s">
        <v>203</v>
      </c>
      <c r="GTT18" s="314" t="s">
        <v>203</v>
      </c>
      <c r="GTU18" s="314" t="s">
        <v>203</v>
      </c>
      <c r="GTV18" s="314" t="s">
        <v>203</v>
      </c>
      <c r="GTW18" s="314" t="s">
        <v>203</v>
      </c>
      <c r="GTX18" s="314" t="s">
        <v>203</v>
      </c>
      <c r="GTY18" s="314" t="s">
        <v>203</v>
      </c>
      <c r="GTZ18" s="314" t="s">
        <v>203</v>
      </c>
      <c r="GUA18" s="314" t="s">
        <v>203</v>
      </c>
      <c r="GUB18" s="314" t="s">
        <v>203</v>
      </c>
      <c r="GUC18" s="314" t="s">
        <v>203</v>
      </c>
      <c r="GUD18" s="314" t="s">
        <v>203</v>
      </c>
      <c r="GUE18" s="314" t="s">
        <v>203</v>
      </c>
      <c r="GUF18" s="314" t="s">
        <v>203</v>
      </c>
      <c r="GUG18" s="314" t="s">
        <v>203</v>
      </c>
      <c r="GUH18" s="314" t="s">
        <v>203</v>
      </c>
      <c r="GUI18" s="314" t="s">
        <v>203</v>
      </c>
      <c r="GUJ18" s="314" t="s">
        <v>203</v>
      </c>
      <c r="GUK18" s="314" t="s">
        <v>203</v>
      </c>
      <c r="GUL18" s="314" t="s">
        <v>203</v>
      </c>
      <c r="GUM18" s="314" t="s">
        <v>203</v>
      </c>
      <c r="GUN18" s="314" t="s">
        <v>203</v>
      </c>
      <c r="GUO18" s="314" t="s">
        <v>203</v>
      </c>
      <c r="GUP18" s="314" t="s">
        <v>203</v>
      </c>
      <c r="GUQ18" s="314" t="s">
        <v>203</v>
      </c>
      <c r="GUR18" s="314" t="s">
        <v>203</v>
      </c>
      <c r="GUS18" s="314" t="s">
        <v>203</v>
      </c>
      <c r="GUT18" s="314" t="s">
        <v>203</v>
      </c>
      <c r="GUU18" s="314" t="s">
        <v>203</v>
      </c>
      <c r="GUV18" s="314" t="s">
        <v>203</v>
      </c>
      <c r="GUW18" s="314" t="s">
        <v>203</v>
      </c>
      <c r="GUX18" s="314" t="s">
        <v>203</v>
      </c>
      <c r="GUY18" s="314" t="s">
        <v>203</v>
      </c>
      <c r="GUZ18" s="314" t="s">
        <v>203</v>
      </c>
      <c r="GVA18" s="314" t="s">
        <v>203</v>
      </c>
      <c r="GVB18" s="314" t="s">
        <v>203</v>
      </c>
      <c r="GVC18" s="314" t="s">
        <v>203</v>
      </c>
      <c r="GVD18" s="314" t="s">
        <v>203</v>
      </c>
      <c r="GVE18" s="314" t="s">
        <v>203</v>
      </c>
      <c r="GVF18" s="314" t="s">
        <v>203</v>
      </c>
      <c r="GVG18" s="314" t="s">
        <v>203</v>
      </c>
      <c r="GVH18" s="314" t="s">
        <v>203</v>
      </c>
      <c r="GVI18" s="314" t="s">
        <v>203</v>
      </c>
      <c r="GVJ18" s="314" t="s">
        <v>203</v>
      </c>
      <c r="GVK18" s="314" t="s">
        <v>203</v>
      </c>
      <c r="GVL18" s="314" t="s">
        <v>203</v>
      </c>
      <c r="GVM18" s="314" t="s">
        <v>203</v>
      </c>
      <c r="GVN18" s="314" t="s">
        <v>203</v>
      </c>
      <c r="GVO18" s="314" t="s">
        <v>203</v>
      </c>
      <c r="GVP18" s="314" t="s">
        <v>203</v>
      </c>
      <c r="GVQ18" s="314" t="s">
        <v>203</v>
      </c>
      <c r="GVR18" s="314" t="s">
        <v>203</v>
      </c>
      <c r="GVS18" s="314" t="s">
        <v>203</v>
      </c>
      <c r="GVT18" s="314" t="s">
        <v>203</v>
      </c>
      <c r="GVU18" s="314" t="s">
        <v>203</v>
      </c>
      <c r="GVV18" s="314" t="s">
        <v>203</v>
      </c>
      <c r="GVW18" s="314" t="s">
        <v>203</v>
      </c>
      <c r="GVX18" s="314" t="s">
        <v>203</v>
      </c>
      <c r="GVY18" s="314" t="s">
        <v>203</v>
      </c>
      <c r="GVZ18" s="314" t="s">
        <v>203</v>
      </c>
      <c r="GWA18" s="314" t="s">
        <v>203</v>
      </c>
      <c r="GWB18" s="314" t="s">
        <v>203</v>
      </c>
      <c r="GWC18" s="314" t="s">
        <v>203</v>
      </c>
      <c r="GWD18" s="314" t="s">
        <v>203</v>
      </c>
      <c r="GWE18" s="314" t="s">
        <v>203</v>
      </c>
      <c r="GWF18" s="314" t="s">
        <v>203</v>
      </c>
      <c r="GWG18" s="314" t="s">
        <v>203</v>
      </c>
      <c r="GWH18" s="314" t="s">
        <v>203</v>
      </c>
      <c r="GWI18" s="314" t="s">
        <v>203</v>
      </c>
      <c r="GWJ18" s="314" t="s">
        <v>203</v>
      </c>
      <c r="GWK18" s="314" t="s">
        <v>203</v>
      </c>
      <c r="GWL18" s="314" t="s">
        <v>203</v>
      </c>
      <c r="GWM18" s="314" t="s">
        <v>203</v>
      </c>
      <c r="GWN18" s="314" t="s">
        <v>203</v>
      </c>
      <c r="GWO18" s="314" t="s">
        <v>203</v>
      </c>
      <c r="GWP18" s="314" t="s">
        <v>203</v>
      </c>
      <c r="GWQ18" s="314" t="s">
        <v>203</v>
      </c>
      <c r="GWR18" s="314" t="s">
        <v>203</v>
      </c>
      <c r="GWS18" s="314" t="s">
        <v>203</v>
      </c>
      <c r="GWT18" s="314" t="s">
        <v>203</v>
      </c>
      <c r="GWU18" s="314" t="s">
        <v>203</v>
      </c>
      <c r="GWV18" s="314" t="s">
        <v>203</v>
      </c>
      <c r="GWW18" s="314" t="s">
        <v>203</v>
      </c>
      <c r="GWX18" s="314" t="s">
        <v>203</v>
      </c>
      <c r="GWY18" s="314" t="s">
        <v>203</v>
      </c>
      <c r="GWZ18" s="314" t="s">
        <v>203</v>
      </c>
      <c r="GXA18" s="314" t="s">
        <v>203</v>
      </c>
      <c r="GXB18" s="314" t="s">
        <v>203</v>
      </c>
      <c r="GXC18" s="314" t="s">
        <v>203</v>
      </c>
      <c r="GXD18" s="314" t="s">
        <v>203</v>
      </c>
      <c r="GXE18" s="314" t="s">
        <v>203</v>
      </c>
      <c r="GXF18" s="314" t="s">
        <v>203</v>
      </c>
      <c r="GXG18" s="314" t="s">
        <v>203</v>
      </c>
      <c r="GXH18" s="314" t="s">
        <v>203</v>
      </c>
      <c r="GXI18" s="314" t="s">
        <v>203</v>
      </c>
      <c r="GXJ18" s="314" t="s">
        <v>203</v>
      </c>
      <c r="GXK18" s="314" t="s">
        <v>203</v>
      </c>
      <c r="GXL18" s="314" t="s">
        <v>203</v>
      </c>
      <c r="GXM18" s="314" t="s">
        <v>203</v>
      </c>
      <c r="GXN18" s="314" t="s">
        <v>203</v>
      </c>
      <c r="GXO18" s="314" t="s">
        <v>203</v>
      </c>
      <c r="GXP18" s="314" t="s">
        <v>203</v>
      </c>
      <c r="GXQ18" s="314" t="s">
        <v>203</v>
      </c>
      <c r="GXR18" s="314" t="s">
        <v>203</v>
      </c>
      <c r="GXS18" s="314" t="s">
        <v>203</v>
      </c>
      <c r="GXT18" s="314" t="s">
        <v>203</v>
      </c>
      <c r="GXU18" s="314" t="s">
        <v>203</v>
      </c>
      <c r="GXV18" s="314" t="s">
        <v>203</v>
      </c>
      <c r="GXW18" s="314" t="s">
        <v>203</v>
      </c>
      <c r="GXX18" s="314" t="s">
        <v>203</v>
      </c>
      <c r="GXY18" s="314" t="s">
        <v>203</v>
      </c>
      <c r="GXZ18" s="314" t="s">
        <v>203</v>
      </c>
      <c r="GYA18" s="314" t="s">
        <v>203</v>
      </c>
      <c r="GYB18" s="314" t="s">
        <v>203</v>
      </c>
      <c r="GYC18" s="314" t="s">
        <v>203</v>
      </c>
      <c r="GYD18" s="314" t="s">
        <v>203</v>
      </c>
      <c r="GYE18" s="314" t="s">
        <v>203</v>
      </c>
      <c r="GYF18" s="314" t="s">
        <v>203</v>
      </c>
      <c r="GYG18" s="314" t="s">
        <v>203</v>
      </c>
      <c r="GYH18" s="314" t="s">
        <v>203</v>
      </c>
      <c r="GYI18" s="314" t="s">
        <v>203</v>
      </c>
      <c r="GYJ18" s="314" t="s">
        <v>203</v>
      </c>
      <c r="GYK18" s="314" t="s">
        <v>203</v>
      </c>
      <c r="GYL18" s="314" t="s">
        <v>203</v>
      </c>
      <c r="GYM18" s="314" t="s">
        <v>203</v>
      </c>
      <c r="GYN18" s="314" t="s">
        <v>203</v>
      </c>
      <c r="GYO18" s="314" t="s">
        <v>203</v>
      </c>
      <c r="GYP18" s="314" t="s">
        <v>203</v>
      </c>
      <c r="GYQ18" s="314" t="s">
        <v>203</v>
      </c>
      <c r="GYR18" s="314" t="s">
        <v>203</v>
      </c>
      <c r="GYS18" s="314" t="s">
        <v>203</v>
      </c>
      <c r="GYT18" s="314" t="s">
        <v>203</v>
      </c>
      <c r="GYU18" s="314" t="s">
        <v>203</v>
      </c>
      <c r="GYV18" s="314" t="s">
        <v>203</v>
      </c>
      <c r="GYW18" s="314" t="s">
        <v>203</v>
      </c>
      <c r="GYX18" s="314" t="s">
        <v>203</v>
      </c>
      <c r="GYY18" s="314" t="s">
        <v>203</v>
      </c>
      <c r="GYZ18" s="314" t="s">
        <v>203</v>
      </c>
      <c r="GZA18" s="314" t="s">
        <v>203</v>
      </c>
      <c r="GZB18" s="314" t="s">
        <v>203</v>
      </c>
      <c r="GZC18" s="314" t="s">
        <v>203</v>
      </c>
      <c r="GZD18" s="314" t="s">
        <v>203</v>
      </c>
      <c r="GZE18" s="314" t="s">
        <v>203</v>
      </c>
      <c r="GZF18" s="314" t="s">
        <v>203</v>
      </c>
      <c r="GZG18" s="314" t="s">
        <v>203</v>
      </c>
      <c r="GZH18" s="314" t="s">
        <v>203</v>
      </c>
      <c r="GZI18" s="314" t="s">
        <v>203</v>
      </c>
      <c r="GZJ18" s="314" t="s">
        <v>203</v>
      </c>
      <c r="GZK18" s="314" t="s">
        <v>203</v>
      </c>
      <c r="GZL18" s="314" t="s">
        <v>203</v>
      </c>
      <c r="GZM18" s="314" t="s">
        <v>203</v>
      </c>
      <c r="GZN18" s="314" t="s">
        <v>203</v>
      </c>
      <c r="GZO18" s="314" t="s">
        <v>203</v>
      </c>
      <c r="GZP18" s="314" t="s">
        <v>203</v>
      </c>
      <c r="GZQ18" s="314" t="s">
        <v>203</v>
      </c>
      <c r="GZR18" s="314" t="s">
        <v>203</v>
      </c>
      <c r="GZS18" s="314" t="s">
        <v>203</v>
      </c>
      <c r="GZT18" s="314" t="s">
        <v>203</v>
      </c>
      <c r="GZU18" s="314" t="s">
        <v>203</v>
      </c>
      <c r="GZV18" s="314" t="s">
        <v>203</v>
      </c>
      <c r="GZW18" s="314" t="s">
        <v>203</v>
      </c>
      <c r="GZX18" s="314" t="s">
        <v>203</v>
      </c>
      <c r="GZY18" s="314" t="s">
        <v>203</v>
      </c>
      <c r="GZZ18" s="314" t="s">
        <v>203</v>
      </c>
      <c r="HAA18" s="314" t="s">
        <v>203</v>
      </c>
      <c r="HAB18" s="314" t="s">
        <v>203</v>
      </c>
      <c r="HAC18" s="314" t="s">
        <v>203</v>
      </c>
      <c r="HAD18" s="314" t="s">
        <v>203</v>
      </c>
      <c r="HAE18" s="314" t="s">
        <v>203</v>
      </c>
      <c r="HAF18" s="314" t="s">
        <v>203</v>
      </c>
      <c r="HAG18" s="314" t="s">
        <v>203</v>
      </c>
      <c r="HAH18" s="314" t="s">
        <v>203</v>
      </c>
      <c r="HAI18" s="314" t="s">
        <v>203</v>
      </c>
      <c r="HAJ18" s="314" t="s">
        <v>203</v>
      </c>
      <c r="HAK18" s="314" t="s">
        <v>203</v>
      </c>
      <c r="HAL18" s="314" t="s">
        <v>203</v>
      </c>
      <c r="HAM18" s="314" t="s">
        <v>203</v>
      </c>
      <c r="HAN18" s="314" t="s">
        <v>203</v>
      </c>
      <c r="HAO18" s="314" t="s">
        <v>203</v>
      </c>
      <c r="HAP18" s="314" t="s">
        <v>203</v>
      </c>
      <c r="HAQ18" s="314" t="s">
        <v>203</v>
      </c>
      <c r="HAR18" s="314" t="s">
        <v>203</v>
      </c>
      <c r="HAS18" s="314" t="s">
        <v>203</v>
      </c>
      <c r="HAT18" s="314" t="s">
        <v>203</v>
      </c>
      <c r="HAU18" s="314" t="s">
        <v>203</v>
      </c>
      <c r="HAV18" s="314" t="s">
        <v>203</v>
      </c>
      <c r="HAW18" s="314" t="s">
        <v>203</v>
      </c>
      <c r="HAX18" s="314" t="s">
        <v>203</v>
      </c>
      <c r="HAY18" s="314" t="s">
        <v>203</v>
      </c>
      <c r="HAZ18" s="314" t="s">
        <v>203</v>
      </c>
      <c r="HBA18" s="314" t="s">
        <v>203</v>
      </c>
      <c r="HBB18" s="314" t="s">
        <v>203</v>
      </c>
      <c r="HBC18" s="314" t="s">
        <v>203</v>
      </c>
      <c r="HBD18" s="314" t="s">
        <v>203</v>
      </c>
      <c r="HBE18" s="314" t="s">
        <v>203</v>
      </c>
      <c r="HBF18" s="314" t="s">
        <v>203</v>
      </c>
      <c r="HBG18" s="314" t="s">
        <v>203</v>
      </c>
      <c r="HBH18" s="314" t="s">
        <v>203</v>
      </c>
      <c r="HBI18" s="314" t="s">
        <v>203</v>
      </c>
      <c r="HBJ18" s="314" t="s">
        <v>203</v>
      </c>
      <c r="HBK18" s="314" t="s">
        <v>203</v>
      </c>
      <c r="HBL18" s="314" t="s">
        <v>203</v>
      </c>
      <c r="HBM18" s="314" t="s">
        <v>203</v>
      </c>
      <c r="HBN18" s="314" t="s">
        <v>203</v>
      </c>
      <c r="HBO18" s="314" t="s">
        <v>203</v>
      </c>
      <c r="HBP18" s="314" t="s">
        <v>203</v>
      </c>
      <c r="HBQ18" s="314" t="s">
        <v>203</v>
      </c>
      <c r="HBR18" s="314" t="s">
        <v>203</v>
      </c>
      <c r="HBS18" s="314" t="s">
        <v>203</v>
      </c>
      <c r="HBT18" s="314" t="s">
        <v>203</v>
      </c>
      <c r="HBU18" s="314" t="s">
        <v>203</v>
      </c>
      <c r="HBV18" s="314" t="s">
        <v>203</v>
      </c>
      <c r="HBW18" s="314" t="s">
        <v>203</v>
      </c>
      <c r="HBX18" s="314" t="s">
        <v>203</v>
      </c>
      <c r="HBY18" s="314" t="s">
        <v>203</v>
      </c>
      <c r="HBZ18" s="314" t="s">
        <v>203</v>
      </c>
      <c r="HCA18" s="314" t="s">
        <v>203</v>
      </c>
      <c r="HCB18" s="314" t="s">
        <v>203</v>
      </c>
      <c r="HCC18" s="314" t="s">
        <v>203</v>
      </c>
      <c r="HCD18" s="314" t="s">
        <v>203</v>
      </c>
      <c r="HCE18" s="314" t="s">
        <v>203</v>
      </c>
      <c r="HCF18" s="314" t="s">
        <v>203</v>
      </c>
      <c r="HCG18" s="314" t="s">
        <v>203</v>
      </c>
      <c r="HCH18" s="314" t="s">
        <v>203</v>
      </c>
      <c r="HCI18" s="314" t="s">
        <v>203</v>
      </c>
      <c r="HCJ18" s="314" t="s">
        <v>203</v>
      </c>
      <c r="HCK18" s="314" t="s">
        <v>203</v>
      </c>
      <c r="HCL18" s="314" t="s">
        <v>203</v>
      </c>
      <c r="HCM18" s="314" t="s">
        <v>203</v>
      </c>
      <c r="HCN18" s="314" t="s">
        <v>203</v>
      </c>
      <c r="HCO18" s="314" t="s">
        <v>203</v>
      </c>
      <c r="HCP18" s="314" t="s">
        <v>203</v>
      </c>
      <c r="HCQ18" s="314" t="s">
        <v>203</v>
      </c>
      <c r="HCR18" s="314" t="s">
        <v>203</v>
      </c>
      <c r="HCS18" s="314" t="s">
        <v>203</v>
      </c>
      <c r="HCT18" s="314" t="s">
        <v>203</v>
      </c>
      <c r="HCU18" s="314" t="s">
        <v>203</v>
      </c>
      <c r="HCV18" s="314" t="s">
        <v>203</v>
      </c>
      <c r="HCW18" s="314" t="s">
        <v>203</v>
      </c>
      <c r="HCX18" s="314" t="s">
        <v>203</v>
      </c>
      <c r="HCY18" s="314" t="s">
        <v>203</v>
      </c>
      <c r="HCZ18" s="314" t="s">
        <v>203</v>
      </c>
      <c r="HDA18" s="314" t="s">
        <v>203</v>
      </c>
      <c r="HDB18" s="314" t="s">
        <v>203</v>
      </c>
      <c r="HDC18" s="314" t="s">
        <v>203</v>
      </c>
      <c r="HDD18" s="314" t="s">
        <v>203</v>
      </c>
      <c r="HDE18" s="314" t="s">
        <v>203</v>
      </c>
      <c r="HDF18" s="314" t="s">
        <v>203</v>
      </c>
      <c r="HDG18" s="314" t="s">
        <v>203</v>
      </c>
      <c r="HDH18" s="314" t="s">
        <v>203</v>
      </c>
      <c r="HDI18" s="314" t="s">
        <v>203</v>
      </c>
      <c r="HDJ18" s="314" t="s">
        <v>203</v>
      </c>
      <c r="HDK18" s="314" t="s">
        <v>203</v>
      </c>
      <c r="HDL18" s="314" t="s">
        <v>203</v>
      </c>
      <c r="HDM18" s="314" t="s">
        <v>203</v>
      </c>
      <c r="HDN18" s="314" t="s">
        <v>203</v>
      </c>
      <c r="HDO18" s="314" t="s">
        <v>203</v>
      </c>
      <c r="HDP18" s="314" t="s">
        <v>203</v>
      </c>
      <c r="HDQ18" s="314" t="s">
        <v>203</v>
      </c>
      <c r="HDR18" s="314" t="s">
        <v>203</v>
      </c>
      <c r="HDS18" s="314" t="s">
        <v>203</v>
      </c>
      <c r="HDT18" s="314" t="s">
        <v>203</v>
      </c>
      <c r="HDU18" s="314" t="s">
        <v>203</v>
      </c>
      <c r="HDV18" s="314" t="s">
        <v>203</v>
      </c>
      <c r="HDW18" s="314" t="s">
        <v>203</v>
      </c>
      <c r="HDX18" s="314" t="s">
        <v>203</v>
      </c>
      <c r="HDY18" s="314" t="s">
        <v>203</v>
      </c>
      <c r="HDZ18" s="314" t="s">
        <v>203</v>
      </c>
      <c r="HEA18" s="314" t="s">
        <v>203</v>
      </c>
      <c r="HEB18" s="314" t="s">
        <v>203</v>
      </c>
      <c r="HEC18" s="314" t="s">
        <v>203</v>
      </c>
      <c r="HED18" s="314" t="s">
        <v>203</v>
      </c>
      <c r="HEE18" s="314" t="s">
        <v>203</v>
      </c>
      <c r="HEF18" s="314" t="s">
        <v>203</v>
      </c>
      <c r="HEG18" s="314" t="s">
        <v>203</v>
      </c>
      <c r="HEH18" s="314" t="s">
        <v>203</v>
      </c>
      <c r="HEI18" s="314" t="s">
        <v>203</v>
      </c>
      <c r="HEJ18" s="314" t="s">
        <v>203</v>
      </c>
      <c r="HEK18" s="314" t="s">
        <v>203</v>
      </c>
      <c r="HEL18" s="314" t="s">
        <v>203</v>
      </c>
      <c r="HEM18" s="314" t="s">
        <v>203</v>
      </c>
      <c r="HEN18" s="314" t="s">
        <v>203</v>
      </c>
      <c r="HEO18" s="314" t="s">
        <v>203</v>
      </c>
      <c r="HEP18" s="314" t="s">
        <v>203</v>
      </c>
      <c r="HEQ18" s="314" t="s">
        <v>203</v>
      </c>
      <c r="HER18" s="314" t="s">
        <v>203</v>
      </c>
      <c r="HES18" s="314" t="s">
        <v>203</v>
      </c>
      <c r="HET18" s="314" t="s">
        <v>203</v>
      </c>
      <c r="HEU18" s="314" t="s">
        <v>203</v>
      </c>
      <c r="HEV18" s="314" t="s">
        <v>203</v>
      </c>
      <c r="HEW18" s="314" t="s">
        <v>203</v>
      </c>
      <c r="HEX18" s="314" t="s">
        <v>203</v>
      </c>
      <c r="HEY18" s="314" t="s">
        <v>203</v>
      </c>
      <c r="HEZ18" s="314" t="s">
        <v>203</v>
      </c>
      <c r="HFA18" s="314" t="s">
        <v>203</v>
      </c>
      <c r="HFB18" s="314" t="s">
        <v>203</v>
      </c>
      <c r="HFC18" s="314" t="s">
        <v>203</v>
      </c>
      <c r="HFD18" s="314" t="s">
        <v>203</v>
      </c>
      <c r="HFE18" s="314" t="s">
        <v>203</v>
      </c>
      <c r="HFF18" s="314" t="s">
        <v>203</v>
      </c>
      <c r="HFG18" s="314" t="s">
        <v>203</v>
      </c>
      <c r="HFH18" s="314" t="s">
        <v>203</v>
      </c>
      <c r="HFI18" s="314" t="s">
        <v>203</v>
      </c>
      <c r="HFJ18" s="314" t="s">
        <v>203</v>
      </c>
      <c r="HFK18" s="314" t="s">
        <v>203</v>
      </c>
      <c r="HFL18" s="314" t="s">
        <v>203</v>
      </c>
      <c r="HFM18" s="314" t="s">
        <v>203</v>
      </c>
      <c r="HFN18" s="314" t="s">
        <v>203</v>
      </c>
      <c r="HFO18" s="314" t="s">
        <v>203</v>
      </c>
      <c r="HFP18" s="314" t="s">
        <v>203</v>
      </c>
      <c r="HFQ18" s="314" t="s">
        <v>203</v>
      </c>
      <c r="HFR18" s="314" t="s">
        <v>203</v>
      </c>
      <c r="HFS18" s="314" t="s">
        <v>203</v>
      </c>
      <c r="HFT18" s="314" t="s">
        <v>203</v>
      </c>
      <c r="HFU18" s="314" t="s">
        <v>203</v>
      </c>
      <c r="HFV18" s="314" t="s">
        <v>203</v>
      </c>
      <c r="HFW18" s="314" t="s">
        <v>203</v>
      </c>
      <c r="HFX18" s="314" t="s">
        <v>203</v>
      </c>
      <c r="HFY18" s="314" t="s">
        <v>203</v>
      </c>
      <c r="HFZ18" s="314" t="s">
        <v>203</v>
      </c>
      <c r="HGA18" s="314" t="s">
        <v>203</v>
      </c>
      <c r="HGB18" s="314" t="s">
        <v>203</v>
      </c>
      <c r="HGC18" s="314" t="s">
        <v>203</v>
      </c>
      <c r="HGD18" s="314" t="s">
        <v>203</v>
      </c>
      <c r="HGE18" s="314" t="s">
        <v>203</v>
      </c>
      <c r="HGF18" s="314" t="s">
        <v>203</v>
      </c>
      <c r="HGG18" s="314" t="s">
        <v>203</v>
      </c>
      <c r="HGH18" s="314" t="s">
        <v>203</v>
      </c>
      <c r="HGI18" s="314" t="s">
        <v>203</v>
      </c>
      <c r="HGJ18" s="314" t="s">
        <v>203</v>
      </c>
      <c r="HGK18" s="314" t="s">
        <v>203</v>
      </c>
      <c r="HGL18" s="314" t="s">
        <v>203</v>
      </c>
      <c r="HGM18" s="314" t="s">
        <v>203</v>
      </c>
      <c r="HGN18" s="314" t="s">
        <v>203</v>
      </c>
      <c r="HGO18" s="314" t="s">
        <v>203</v>
      </c>
      <c r="HGP18" s="314" t="s">
        <v>203</v>
      </c>
      <c r="HGQ18" s="314" t="s">
        <v>203</v>
      </c>
      <c r="HGR18" s="314" t="s">
        <v>203</v>
      </c>
      <c r="HGS18" s="314" t="s">
        <v>203</v>
      </c>
      <c r="HGT18" s="314" t="s">
        <v>203</v>
      </c>
      <c r="HGU18" s="314" t="s">
        <v>203</v>
      </c>
      <c r="HGV18" s="314" t="s">
        <v>203</v>
      </c>
      <c r="HGW18" s="314" t="s">
        <v>203</v>
      </c>
      <c r="HGX18" s="314" t="s">
        <v>203</v>
      </c>
      <c r="HGY18" s="314" t="s">
        <v>203</v>
      </c>
      <c r="HGZ18" s="314" t="s">
        <v>203</v>
      </c>
      <c r="HHA18" s="314" t="s">
        <v>203</v>
      </c>
      <c r="HHB18" s="314" t="s">
        <v>203</v>
      </c>
      <c r="HHC18" s="314" t="s">
        <v>203</v>
      </c>
      <c r="HHD18" s="314" t="s">
        <v>203</v>
      </c>
      <c r="HHE18" s="314" t="s">
        <v>203</v>
      </c>
      <c r="HHF18" s="314" t="s">
        <v>203</v>
      </c>
      <c r="HHG18" s="314" t="s">
        <v>203</v>
      </c>
      <c r="HHH18" s="314" t="s">
        <v>203</v>
      </c>
      <c r="HHI18" s="314" t="s">
        <v>203</v>
      </c>
      <c r="HHJ18" s="314" t="s">
        <v>203</v>
      </c>
      <c r="HHK18" s="314" t="s">
        <v>203</v>
      </c>
      <c r="HHL18" s="314" t="s">
        <v>203</v>
      </c>
      <c r="HHM18" s="314" t="s">
        <v>203</v>
      </c>
      <c r="HHN18" s="314" t="s">
        <v>203</v>
      </c>
      <c r="HHO18" s="314" t="s">
        <v>203</v>
      </c>
      <c r="HHP18" s="314" t="s">
        <v>203</v>
      </c>
      <c r="HHQ18" s="314" t="s">
        <v>203</v>
      </c>
      <c r="HHR18" s="314" t="s">
        <v>203</v>
      </c>
      <c r="HHS18" s="314" t="s">
        <v>203</v>
      </c>
      <c r="HHT18" s="314" t="s">
        <v>203</v>
      </c>
      <c r="HHU18" s="314" t="s">
        <v>203</v>
      </c>
      <c r="HHV18" s="314" t="s">
        <v>203</v>
      </c>
      <c r="HHW18" s="314" t="s">
        <v>203</v>
      </c>
      <c r="HHX18" s="314" t="s">
        <v>203</v>
      </c>
      <c r="HHY18" s="314" t="s">
        <v>203</v>
      </c>
      <c r="HHZ18" s="314" t="s">
        <v>203</v>
      </c>
      <c r="HIA18" s="314" t="s">
        <v>203</v>
      </c>
      <c r="HIB18" s="314" t="s">
        <v>203</v>
      </c>
      <c r="HIC18" s="314" t="s">
        <v>203</v>
      </c>
      <c r="HID18" s="314" t="s">
        <v>203</v>
      </c>
      <c r="HIE18" s="314" t="s">
        <v>203</v>
      </c>
      <c r="HIF18" s="314" t="s">
        <v>203</v>
      </c>
      <c r="HIG18" s="314" t="s">
        <v>203</v>
      </c>
      <c r="HIH18" s="314" t="s">
        <v>203</v>
      </c>
      <c r="HII18" s="314" t="s">
        <v>203</v>
      </c>
      <c r="HIJ18" s="314" t="s">
        <v>203</v>
      </c>
      <c r="HIK18" s="314" t="s">
        <v>203</v>
      </c>
      <c r="HIL18" s="314" t="s">
        <v>203</v>
      </c>
      <c r="HIM18" s="314" t="s">
        <v>203</v>
      </c>
      <c r="HIN18" s="314" t="s">
        <v>203</v>
      </c>
      <c r="HIO18" s="314" t="s">
        <v>203</v>
      </c>
      <c r="HIP18" s="314" t="s">
        <v>203</v>
      </c>
      <c r="HIQ18" s="314" t="s">
        <v>203</v>
      </c>
      <c r="HIR18" s="314" t="s">
        <v>203</v>
      </c>
      <c r="HIS18" s="314" t="s">
        <v>203</v>
      </c>
      <c r="HIT18" s="314" t="s">
        <v>203</v>
      </c>
      <c r="HIU18" s="314" t="s">
        <v>203</v>
      </c>
      <c r="HIV18" s="314" t="s">
        <v>203</v>
      </c>
      <c r="HIW18" s="314" t="s">
        <v>203</v>
      </c>
      <c r="HIX18" s="314" t="s">
        <v>203</v>
      </c>
      <c r="HIY18" s="314" t="s">
        <v>203</v>
      </c>
      <c r="HIZ18" s="314" t="s">
        <v>203</v>
      </c>
      <c r="HJA18" s="314" t="s">
        <v>203</v>
      </c>
      <c r="HJB18" s="314" t="s">
        <v>203</v>
      </c>
      <c r="HJC18" s="314" t="s">
        <v>203</v>
      </c>
      <c r="HJD18" s="314" t="s">
        <v>203</v>
      </c>
      <c r="HJE18" s="314" t="s">
        <v>203</v>
      </c>
      <c r="HJF18" s="314" t="s">
        <v>203</v>
      </c>
      <c r="HJG18" s="314" t="s">
        <v>203</v>
      </c>
      <c r="HJH18" s="314" t="s">
        <v>203</v>
      </c>
      <c r="HJI18" s="314" t="s">
        <v>203</v>
      </c>
      <c r="HJJ18" s="314" t="s">
        <v>203</v>
      </c>
      <c r="HJK18" s="314" t="s">
        <v>203</v>
      </c>
      <c r="HJL18" s="314" t="s">
        <v>203</v>
      </c>
      <c r="HJM18" s="314" t="s">
        <v>203</v>
      </c>
      <c r="HJN18" s="314" t="s">
        <v>203</v>
      </c>
      <c r="HJO18" s="314" t="s">
        <v>203</v>
      </c>
      <c r="HJP18" s="314" t="s">
        <v>203</v>
      </c>
      <c r="HJQ18" s="314" t="s">
        <v>203</v>
      </c>
      <c r="HJR18" s="314" t="s">
        <v>203</v>
      </c>
      <c r="HJS18" s="314" t="s">
        <v>203</v>
      </c>
      <c r="HJT18" s="314" t="s">
        <v>203</v>
      </c>
      <c r="HJU18" s="314" t="s">
        <v>203</v>
      </c>
      <c r="HJV18" s="314" t="s">
        <v>203</v>
      </c>
      <c r="HJW18" s="314" t="s">
        <v>203</v>
      </c>
      <c r="HJX18" s="314" t="s">
        <v>203</v>
      </c>
      <c r="HJY18" s="314" t="s">
        <v>203</v>
      </c>
      <c r="HJZ18" s="314" t="s">
        <v>203</v>
      </c>
      <c r="HKA18" s="314" t="s">
        <v>203</v>
      </c>
      <c r="HKB18" s="314" t="s">
        <v>203</v>
      </c>
      <c r="HKC18" s="314" t="s">
        <v>203</v>
      </c>
      <c r="HKD18" s="314" t="s">
        <v>203</v>
      </c>
      <c r="HKE18" s="314" t="s">
        <v>203</v>
      </c>
      <c r="HKF18" s="314" t="s">
        <v>203</v>
      </c>
      <c r="HKG18" s="314" t="s">
        <v>203</v>
      </c>
      <c r="HKH18" s="314" t="s">
        <v>203</v>
      </c>
      <c r="HKI18" s="314" t="s">
        <v>203</v>
      </c>
      <c r="HKJ18" s="314" t="s">
        <v>203</v>
      </c>
      <c r="HKK18" s="314" t="s">
        <v>203</v>
      </c>
      <c r="HKL18" s="314" t="s">
        <v>203</v>
      </c>
      <c r="HKM18" s="314" t="s">
        <v>203</v>
      </c>
      <c r="HKN18" s="314" t="s">
        <v>203</v>
      </c>
      <c r="HKO18" s="314" t="s">
        <v>203</v>
      </c>
      <c r="HKP18" s="314" t="s">
        <v>203</v>
      </c>
      <c r="HKQ18" s="314" t="s">
        <v>203</v>
      </c>
      <c r="HKR18" s="314" t="s">
        <v>203</v>
      </c>
      <c r="HKS18" s="314" t="s">
        <v>203</v>
      </c>
      <c r="HKT18" s="314" t="s">
        <v>203</v>
      </c>
      <c r="HKU18" s="314" t="s">
        <v>203</v>
      </c>
      <c r="HKV18" s="314" t="s">
        <v>203</v>
      </c>
      <c r="HKW18" s="314" t="s">
        <v>203</v>
      </c>
      <c r="HKX18" s="314" t="s">
        <v>203</v>
      </c>
      <c r="HKY18" s="314" t="s">
        <v>203</v>
      </c>
      <c r="HKZ18" s="314" t="s">
        <v>203</v>
      </c>
      <c r="HLA18" s="314" t="s">
        <v>203</v>
      </c>
      <c r="HLB18" s="314" t="s">
        <v>203</v>
      </c>
      <c r="HLC18" s="314" t="s">
        <v>203</v>
      </c>
      <c r="HLD18" s="314" t="s">
        <v>203</v>
      </c>
      <c r="HLE18" s="314" t="s">
        <v>203</v>
      </c>
      <c r="HLF18" s="314" t="s">
        <v>203</v>
      </c>
      <c r="HLG18" s="314" t="s">
        <v>203</v>
      </c>
      <c r="HLH18" s="314" t="s">
        <v>203</v>
      </c>
      <c r="HLI18" s="314" t="s">
        <v>203</v>
      </c>
      <c r="HLJ18" s="314" t="s">
        <v>203</v>
      </c>
      <c r="HLK18" s="314" t="s">
        <v>203</v>
      </c>
      <c r="HLL18" s="314" t="s">
        <v>203</v>
      </c>
      <c r="HLM18" s="314" t="s">
        <v>203</v>
      </c>
      <c r="HLN18" s="314" t="s">
        <v>203</v>
      </c>
      <c r="HLO18" s="314" t="s">
        <v>203</v>
      </c>
      <c r="HLP18" s="314" t="s">
        <v>203</v>
      </c>
      <c r="HLQ18" s="314" t="s">
        <v>203</v>
      </c>
      <c r="HLR18" s="314" t="s">
        <v>203</v>
      </c>
      <c r="HLS18" s="314" t="s">
        <v>203</v>
      </c>
      <c r="HLT18" s="314" t="s">
        <v>203</v>
      </c>
      <c r="HLU18" s="314" t="s">
        <v>203</v>
      </c>
      <c r="HLV18" s="314" t="s">
        <v>203</v>
      </c>
      <c r="HLW18" s="314" t="s">
        <v>203</v>
      </c>
      <c r="HLX18" s="314" t="s">
        <v>203</v>
      </c>
      <c r="HLY18" s="314" t="s">
        <v>203</v>
      </c>
      <c r="HLZ18" s="314" t="s">
        <v>203</v>
      </c>
      <c r="HMA18" s="314" t="s">
        <v>203</v>
      </c>
      <c r="HMB18" s="314" t="s">
        <v>203</v>
      </c>
      <c r="HMC18" s="314" t="s">
        <v>203</v>
      </c>
      <c r="HMD18" s="314" t="s">
        <v>203</v>
      </c>
      <c r="HME18" s="314" t="s">
        <v>203</v>
      </c>
      <c r="HMF18" s="314" t="s">
        <v>203</v>
      </c>
      <c r="HMG18" s="314" t="s">
        <v>203</v>
      </c>
      <c r="HMH18" s="314" t="s">
        <v>203</v>
      </c>
      <c r="HMI18" s="314" t="s">
        <v>203</v>
      </c>
      <c r="HMJ18" s="314" t="s">
        <v>203</v>
      </c>
      <c r="HMK18" s="314" t="s">
        <v>203</v>
      </c>
      <c r="HML18" s="314" t="s">
        <v>203</v>
      </c>
      <c r="HMM18" s="314" t="s">
        <v>203</v>
      </c>
      <c r="HMN18" s="314" t="s">
        <v>203</v>
      </c>
      <c r="HMO18" s="314" t="s">
        <v>203</v>
      </c>
      <c r="HMP18" s="314" t="s">
        <v>203</v>
      </c>
      <c r="HMQ18" s="314" t="s">
        <v>203</v>
      </c>
      <c r="HMR18" s="314" t="s">
        <v>203</v>
      </c>
      <c r="HMS18" s="314" t="s">
        <v>203</v>
      </c>
      <c r="HMT18" s="314" t="s">
        <v>203</v>
      </c>
      <c r="HMU18" s="314" t="s">
        <v>203</v>
      </c>
      <c r="HMV18" s="314" t="s">
        <v>203</v>
      </c>
      <c r="HMW18" s="314" t="s">
        <v>203</v>
      </c>
      <c r="HMX18" s="314" t="s">
        <v>203</v>
      </c>
      <c r="HMY18" s="314" t="s">
        <v>203</v>
      </c>
      <c r="HMZ18" s="314" t="s">
        <v>203</v>
      </c>
      <c r="HNA18" s="314" t="s">
        <v>203</v>
      </c>
      <c r="HNB18" s="314" t="s">
        <v>203</v>
      </c>
      <c r="HNC18" s="314" t="s">
        <v>203</v>
      </c>
      <c r="HND18" s="314" t="s">
        <v>203</v>
      </c>
      <c r="HNE18" s="314" t="s">
        <v>203</v>
      </c>
      <c r="HNF18" s="314" t="s">
        <v>203</v>
      </c>
      <c r="HNG18" s="314" t="s">
        <v>203</v>
      </c>
      <c r="HNH18" s="314" t="s">
        <v>203</v>
      </c>
      <c r="HNI18" s="314" t="s">
        <v>203</v>
      </c>
      <c r="HNJ18" s="314" t="s">
        <v>203</v>
      </c>
      <c r="HNK18" s="314" t="s">
        <v>203</v>
      </c>
      <c r="HNL18" s="314" t="s">
        <v>203</v>
      </c>
      <c r="HNM18" s="314" t="s">
        <v>203</v>
      </c>
      <c r="HNN18" s="314" t="s">
        <v>203</v>
      </c>
      <c r="HNO18" s="314" t="s">
        <v>203</v>
      </c>
      <c r="HNP18" s="314" t="s">
        <v>203</v>
      </c>
      <c r="HNQ18" s="314" t="s">
        <v>203</v>
      </c>
      <c r="HNR18" s="314" t="s">
        <v>203</v>
      </c>
      <c r="HNS18" s="314" t="s">
        <v>203</v>
      </c>
      <c r="HNT18" s="314" t="s">
        <v>203</v>
      </c>
      <c r="HNU18" s="314" t="s">
        <v>203</v>
      </c>
      <c r="HNV18" s="314" t="s">
        <v>203</v>
      </c>
      <c r="HNW18" s="314" t="s">
        <v>203</v>
      </c>
      <c r="HNX18" s="314" t="s">
        <v>203</v>
      </c>
      <c r="HNY18" s="314" t="s">
        <v>203</v>
      </c>
      <c r="HNZ18" s="314" t="s">
        <v>203</v>
      </c>
      <c r="HOA18" s="314" t="s">
        <v>203</v>
      </c>
      <c r="HOB18" s="314" t="s">
        <v>203</v>
      </c>
      <c r="HOC18" s="314" t="s">
        <v>203</v>
      </c>
      <c r="HOD18" s="314" t="s">
        <v>203</v>
      </c>
      <c r="HOE18" s="314" t="s">
        <v>203</v>
      </c>
      <c r="HOF18" s="314" t="s">
        <v>203</v>
      </c>
      <c r="HOG18" s="314" t="s">
        <v>203</v>
      </c>
      <c r="HOH18" s="314" t="s">
        <v>203</v>
      </c>
      <c r="HOI18" s="314" t="s">
        <v>203</v>
      </c>
      <c r="HOJ18" s="314" t="s">
        <v>203</v>
      </c>
      <c r="HOK18" s="314" t="s">
        <v>203</v>
      </c>
      <c r="HOL18" s="314" t="s">
        <v>203</v>
      </c>
      <c r="HOM18" s="314" t="s">
        <v>203</v>
      </c>
      <c r="HON18" s="314" t="s">
        <v>203</v>
      </c>
      <c r="HOO18" s="314" t="s">
        <v>203</v>
      </c>
      <c r="HOP18" s="314" t="s">
        <v>203</v>
      </c>
      <c r="HOQ18" s="314" t="s">
        <v>203</v>
      </c>
      <c r="HOR18" s="314" t="s">
        <v>203</v>
      </c>
      <c r="HOS18" s="314" t="s">
        <v>203</v>
      </c>
      <c r="HOT18" s="314" t="s">
        <v>203</v>
      </c>
      <c r="HOU18" s="314" t="s">
        <v>203</v>
      </c>
      <c r="HOV18" s="314" t="s">
        <v>203</v>
      </c>
      <c r="HOW18" s="314" t="s">
        <v>203</v>
      </c>
      <c r="HOX18" s="314" t="s">
        <v>203</v>
      </c>
      <c r="HOY18" s="314" t="s">
        <v>203</v>
      </c>
      <c r="HOZ18" s="314" t="s">
        <v>203</v>
      </c>
      <c r="HPA18" s="314" t="s">
        <v>203</v>
      </c>
      <c r="HPB18" s="314" t="s">
        <v>203</v>
      </c>
      <c r="HPC18" s="314" t="s">
        <v>203</v>
      </c>
      <c r="HPD18" s="314" t="s">
        <v>203</v>
      </c>
      <c r="HPE18" s="314" t="s">
        <v>203</v>
      </c>
      <c r="HPF18" s="314" t="s">
        <v>203</v>
      </c>
      <c r="HPG18" s="314" t="s">
        <v>203</v>
      </c>
      <c r="HPH18" s="314" t="s">
        <v>203</v>
      </c>
      <c r="HPI18" s="314" t="s">
        <v>203</v>
      </c>
      <c r="HPJ18" s="314" t="s">
        <v>203</v>
      </c>
      <c r="HPK18" s="314" t="s">
        <v>203</v>
      </c>
      <c r="HPL18" s="314" t="s">
        <v>203</v>
      </c>
      <c r="HPM18" s="314" t="s">
        <v>203</v>
      </c>
      <c r="HPN18" s="314" t="s">
        <v>203</v>
      </c>
      <c r="HPO18" s="314" t="s">
        <v>203</v>
      </c>
      <c r="HPP18" s="314" t="s">
        <v>203</v>
      </c>
      <c r="HPQ18" s="314" t="s">
        <v>203</v>
      </c>
      <c r="HPR18" s="314" t="s">
        <v>203</v>
      </c>
      <c r="HPS18" s="314" t="s">
        <v>203</v>
      </c>
      <c r="HPT18" s="314" t="s">
        <v>203</v>
      </c>
      <c r="HPU18" s="314" t="s">
        <v>203</v>
      </c>
      <c r="HPV18" s="314" t="s">
        <v>203</v>
      </c>
      <c r="HPW18" s="314" t="s">
        <v>203</v>
      </c>
      <c r="HPX18" s="314" t="s">
        <v>203</v>
      </c>
      <c r="HPY18" s="314" t="s">
        <v>203</v>
      </c>
      <c r="HPZ18" s="314" t="s">
        <v>203</v>
      </c>
      <c r="HQA18" s="314" t="s">
        <v>203</v>
      </c>
      <c r="HQB18" s="314" t="s">
        <v>203</v>
      </c>
      <c r="HQC18" s="314" t="s">
        <v>203</v>
      </c>
      <c r="HQD18" s="314" t="s">
        <v>203</v>
      </c>
      <c r="HQE18" s="314" t="s">
        <v>203</v>
      </c>
      <c r="HQF18" s="314" t="s">
        <v>203</v>
      </c>
      <c r="HQG18" s="314" t="s">
        <v>203</v>
      </c>
      <c r="HQH18" s="314" t="s">
        <v>203</v>
      </c>
      <c r="HQI18" s="314" t="s">
        <v>203</v>
      </c>
      <c r="HQJ18" s="314" t="s">
        <v>203</v>
      </c>
      <c r="HQK18" s="314" t="s">
        <v>203</v>
      </c>
      <c r="HQL18" s="314" t="s">
        <v>203</v>
      </c>
      <c r="HQM18" s="314" t="s">
        <v>203</v>
      </c>
      <c r="HQN18" s="314" t="s">
        <v>203</v>
      </c>
      <c r="HQO18" s="314" t="s">
        <v>203</v>
      </c>
      <c r="HQP18" s="314" t="s">
        <v>203</v>
      </c>
      <c r="HQQ18" s="314" t="s">
        <v>203</v>
      </c>
      <c r="HQR18" s="314" t="s">
        <v>203</v>
      </c>
      <c r="HQS18" s="314" t="s">
        <v>203</v>
      </c>
      <c r="HQT18" s="314" t="s">
        <v>203</v>
      </c>
      <c r="HQU18" s="314" t="s">
        <v>203</v>
      </c>
      <c r="HQV18" s="314" t="s">
        <v>203</v>
      </c>
      <c r="HQW18" s="314" t="s">
        <v>203</v>
      </c>
      <c r="HQX18" s="314" t="s">
        <v>203</v>
      </c>
      <c r="HQY18" s="314" t="s">
        <v>203</v>
      </c>
      <c r="HQZ18" s="314" t="s">
        <v>203</v>
      </c>
      <c r="HRA18" s="314" t="s">
        <v>203</v>
      </c>
      <c r="HRB18" s="314" t="s">
        <v>203</v>
      </c>
      <c r="HRC18" s="314" t="s">
        <v>203</v>
      </c>
      <c r="HRD18" s="314" t="s">
        <v>203</v>
      </c>
      <c r="HRE18" s="314" t="s">
        <v>203</v>
      </c>
      <c r="HRF18" s="314" t="s">
        <v>203</v>
      </c>
      <c r="HRG18" s="314" t="s">
        <v>203</v>
      </c>
      <c r="HRH18" s="314" t="s">
        <v>203</v>
      </c>
      <c r="HRI18" s="314" t="s">
        <v>203</v>
      </c>
      <c r="HRJ18" s="314" t="s">
        <v>203</v>
      </c>
      <c r="HRK18" s="314" t="s">
        <v>203</v>
      </c>
      <c r="HRL18" s="314" t="s">
        <v>203</v>
      </c>
      <c r="HRM18" s="314" t="s">
        <v>203</v>
      </c>
      <c r="HRN18" s="314" t="s">
        <v>203</v>
      </c>
      <c r="HRO18" s="314" t="s">
        <v>203</v>
      </c>
      <c r="HRP18" s="314" t="s">
        <v>203</v>
      </c>
      <c r="HRQ18" s="314" t="s">
        <v>203</v>
      </c>
      <c r="HRR18" s="314" t="s">
        <v>203</v>
      </c>
      <c r="HRS18" s="314" t="s">
        <v>203</v>
      </c>
      <c r="HRT18" s="314" t="s">
        <v>203</v>
      </c>
      <c r="HRU18" s="314" t="s">
        <v>203</v>
      </c>
      <c r="HRV18" s="314" t="s">
        <v>203</v>
      </c>
      <c r="HRW18" s="314" t="s">
        <v>203</v>
      </c>
      <c r="HRX18" s="314" t="s">
        <v>203</v>
      </c>
      <c r="HRY18" s="314" t="s">
        <v>203</v>
      </c>
      <c r="HRZ18" s="314" t="s">
        <v>203</v>
      </c>
      <c r="HSA18" s="314" t="s">
        <v>203</v>
      </c>
      <c r="HSB18" s="314" t="s">
        <v>203</v>
      </c>
      <c r="HSC18" s="314" t="s">
        <v>203</v>
      </c>
      <c r="HSD18" s="314" t="s">
        <v>203</v>
      </c>
      <c r="HSE18" s="314" t="s">
        <v>203</v>
      </c>
      <c r="HSF18" s="314" t="s">
        <v>203</v>
      </c>
      <c r="HSG18" s="314" t="s">
        <v>203</v>
      </c>
      <c r="HSH18" s="314" t="s">
        <v>203</v>
      </c>
      <c r="HSI18" s="314" t="s">
        <v>203</v>
      </c>
      <c r="HSJ18" s="314" t="s">
        <v>203</v>
      </c>
      <c r="HSK18" s="314" t="s">
        <v>203</v>
      </c>
      <c r="HSL18" s="314" t="s">
        <v>203</v>
      </c>
      <c r="HSM18" s="314" t="s">
        <v>203</v>
      </c>
      <c r="HSN18" s="314" t="s">
        <v>203</v>
      </c>
      <c r="HSO18" s="314" t="s">
        <v>203</v>
      </c>
      <c r="HSP18" s="314" t="s">
        <v>203</v>
      </c>
      <c r="HSQ18" s="314" t="s">
        <v>203</v>
      </c>
      <c r="HSR18" s="314" t="s">
        <v>203</v>
      </c>
      <c r="HSS18" s="314" t="s">
        <v>203</v>
      </c>
      <c r="HST18" s="314" t="s">
        <v>203</v>
      </c>
      <c r="HSU18" s="314" t="s">
        <v>203</v>
      </c>
      <c r="HSV18" s="314" t="s">
        <v>203</v>
      </c>
      <c r="HSW18" s="314" t="s">
        <v>203</v>
      </c>
      <c r="HSX18" s="314" t="s">
        <v>203</v>
      </c>
      <c r="HSY18" s="314" t="s">
        <v>203</v>
      </c>
      <c r="HSZ18" s="314" t="s">
        <v>203</v>
      </c>
      <c r="HTA18" s="314" t="s">
        <v>203</v>
      </c>
      <c r="HTB18" s="314" t="s">
        <v>203</v>
      </c>
      <c r="HTC18" s="314" t="s">
        <v>203</v>
      </c>
      <c r="HTD18" s="314" t="s">
        <v>203</v>
      </c>
      <c r="HTE18" s="314" t="s">
        <v>203</v>
      </c>
      <c r="HTF18" s="314" t="s">
        <v>203</v>
      </c>
      <c r="HTG18" s="314" t="s">
        <v>203</v>
      </c>
      <c r="HTH18" s="314" t="s">
        <v>203</v>
      </c>
      <c r="HTI18" s="314" t="s">
        <v>203</v>
      </c>
      <c r="HTJ18" s="314" t="s">
        <v>203</v>
      </c>
      <c r="HTK18" s="314" t="s">
        <v>203</v>
      </c>
      <c r="HTL18" s="314" t="s">
        <v>203</v>
      </c>
      <c r="HTM18" s="314" t="s">
        <v>203</v>
      </c>
      <c r="HTN18" s="314" t="s">
        <v>203</v>
      </c>
      <c r="HTO18" s="314" t="s">
        <v>203</v>
      </c>
      <c r="HTP18" s="314" t="s">
        <v>203</v>
      </c>
      <c r="HTQ18" s="314" t="s">
        <v>203</v>
      </c>
      <c r="HTR18" s="314" t="s">
        <v>203</v>
      </c>
      <c r="HTS18" s="314" t="s">
        <v>203</v>
      </c>
      <c r="HTT18" s="314" t="s">
        <v>203</v>
      </c>
      <c r="HTU18" s="314" t="s">
        <v>203</v>
      </c>
      <c r="HTV18" s="314" t="s">
        <v>203</v>
      </c>
      <c r="HTW18" s="314" t="s">
        <v>203</v>
      </c>
      <c r="HTX18" s="314" t="s">
        <v>203</v>
      </c>
      <c r="HTY18" s="314" t="s">
        <v>203</v>
      </c>
      <c r="HTZ18" s="314" t="s">
        <v>203</v>
      </c>
      <c r="HUA18" s="314" t="s">
        <v>203</v>
      </c>
      <c r="HUB18" s="314" t="s">
        <v>203</v>
      </c>
      <c r="HUC18" s="314" t="s">
        <v>203</v>
      </c>
      <c r="HUD18" s="314" t="s">
        <v>203</v>
      </c>
      <c r="HUE18" s="314" t="s">
        <v>203</v>
      </c>
      <c r="HUF18" s="314" t="s">
        <v>203</v>
      </c>
      <c r="HUG18" s="314" t="s">
        <v>203</v>
      </c>
      <c r="HUH18" s="314" t="s">
        <v>203</v>
      </c>
      <c r="HUI18" s="314" t="s">
        <v>203</v>
      </c>
      <c r="HUJ18" s="314" t="s">
        <v>203</v>
      </c>
      <c r="HUK18" s="314" t="s">
        <v>203</v>
      </c>
      <c r="HUL18" s="314" t="s">
        <v>203</v>
      </c>
      <c r="HUM18" s="314" t="s">
        <v>203</v>
      </c>
      <c r="HUN18" s="314" t="s">
        <v>203</v>
      </c>
      <c r="HUO18" s="314" t="s">
        <v>203</v>
      </c>
      <c r="HUP18" s="314" t="s">
        <v>203</v>
      </c>
      <c r="HUQ18" s="314" t="s">
        <v>203</v>
      </c>
      <c r="HUR18" s="314" t="s">
        <v>203</v>
      </c>
      <c r="HUS18" s="314" t="s">
        <v>203</v>
      </c>
      <c r="HUT18" s="314" t="s">
        <v>203</v>
      </c>
      <c r="HUU18" s="314" t="s">
        <v>203</v>
      </c>
      <c r="HUV18" s="314" t="s">
        <v>203</v>
      </c>
      <c r="HUW18" s="314" t="s">
        <v>203</v>
      </c>
      <c r="HUX18" s="314" t="s">
        <v>203</v>
      </c>
      <c r="HUY18" s="314" t="s">
        <v>203</v>
      </c>
      <c r="HUZ18" s="314" t="s">
        <v>203</v>
      </c>
      <c r="HVA18" s="314" t="s">
        <v>203</v>
      </c>
      <c r="HVB18" s="314" t="s">
        <v>203</v>
      </c>
      <c r="HVC18" s="314" t="s">
        <v>203</v>
      </c>
      <c r="HVD18" s="314" t="s">
        <v>203</v>
      </c>
      <c r="HVE18" s="314" t="s">
        <v>203</v>
      </c>
      <c r="HVF18" s="314" t="s">
        <v>203</v>
      </c>
      <c r="HVG18" s="314" t="s">
        <v>203</v>
      </c>
      <c r="HVH18" s="314" t="s">
        <v>203</v>
      </c>
      <c r="HVI18" s="314" t="s">
        <v>203</v>
      </c>
      <c r="HVJ18" s="314" t="s">
        <v>203</v>
      </c>
      <c r="HVK18" s="314" t="s">
        <v>203</v>
      </c>
      <c r="HVL18" s="314" t="s">
        <v>203</v>
      </c>
      <c r="HVM18" s="314" t="s">
        <v>203</v>
      </c>
      <c r="HVN18" s="314" t="s">
        <v>203</v>
      </c>
      <c r="HVO18" s="314" t="s">
        <v>203</v>
      </c>
      <c r="HVP18" s="314" t="s">
        <v>203</v>
      </c>
      <c r="HVQ18" s="314" t="s">
        <v>203</v>
      </c>
      <c r="HVR18" s="314" t="s">
        <v>203</v>
      </c>
      <c r="HVS18" s="314" t="s">
        <v>203</v>
      </c>
      <c r="HVT18" s="314" t="s">
        <v>203</v>
      </c>
      <c r="HVU18" s="314" t="s">
        <v>203</v>
      </c>
      <c r="HVV18" s="314" t="s">
        <v>203</v>
      </c>
      <c r="HVW18" s="314" t="s">
        <v>203</v>
      </c>
      <c r="HVX18" s="314" t="s">
        <v>203</v>
      </c>
      <c r="HVY18" s="314" t="s">
        <v>203</v>
      </c>
      <c r="HVZ18" s="314" t="s">
        <v>203</v>
      </c>
      <c r="HWA18" s="314" t="s">
        <v>203</v>
      </c>
      <c r="HWB18" s="314" t="s">
        <v>203</v>
      </c>
      <c r="HWC18" s="314" t="s">
        <v>203</v>
      </c>
      <c r="HWD18" s="314" t="s">
        <v>203</v>
      </c>
      <c r="HWE18" s="314" t="s">
        <v>203</v>
      </c>
      <c r="HWF18" s="314" t="s">
        <v>203</v>
      </c>
      <c r="HWG18" s="314" t="s">
        <v>203</v>
      </c>
      <c r="HWH18" s="314" t="s">
        <v>203</v>
      </c>
      <c r="HWI18" s="314" t="s">
        <v>203</v>
      </c>
      <c r="HWJ18" s="314" t="s">
        <v>203</v>
      </c>
      <c r="HWK18" s="314" t="s">
        <v>203</v>
      </c>
      <c r="HWL18" s="314" t="s">
        <v>203</v>
      </c>
      <c r="HWM18" s="314" t="s">
        <v>203</v>
      </c>
      <c r="HWN18" s="314" t="s">
        <v>203</v>
      </c>
      <c r="HWO18" s="314" t="s">
        <v>203</v>
      </c>
      <c r="HWP18" s="314" t="s">
        <v>203</v>
      </c>
      <c r="HWQ18" s="314" t="s">
        <v>203</v>
      </c>
      <c r="HWR18" s="314" t="s">
        <v>203</v>
      </c>
      <c r="HWS18" s="314" t="s">
        <v>203</v>
      </c>
      <c r="HWT18" s="314" t="s">
        <v>203</v>
      </c>
      <c r="HWU18" s="314" t="s">
        <v>203</v>
      </c>
      <c r="HWV18" s="314" t="s">
        <v>203</v>
      </c>
      <c r="HWW18" s="314" t="s">
        <v>203</v>
      </c>
      <c r="HWX18" s="314" t="s">
        <v>203</v>
      </c>
      <c r="HWY18" s="314" t="s">
        <v>203</v>
      </c>
      <c r="HWZ18" s="314" t="s">
        <v>203</v>
      </c>
      <c r="HXA18" s="314" t="s">
        <v>203</v>
      </c>
      <c r="HXB18" s="314" t="s">
        <v>203</v>
      </c>
      <c r="HXC18" s="314" t="s">
        <v>203</v>
      </c>
      <c r="HXD18" s="314" t="s">
        <v>203</v>
      </c>
      <c r="HXE18" s="314" t="s">
        <v>203</v>
      </c>
      <c r="HXF18" s="314" t="s">
        <v>203</v>
      </c>
      <c r="HXG18" s="314" t="s">
        <v>203</v>
      </c>
      <c r="HXH18" s="314" t="s">
        <v>203</v>
      </c>
      <c r="HXI18" s="314" t="s">
        <v>203</v>
      </c>
      <c r="HXJ18" s="314" t="s">
        <v>203</v>
      </c>
      <c r="HXK18" s="314" t="s">
        <v>203</v>
      </c>
      <c r="HXL18" s="314" t="s">
        <v>203</v>
      </c>
      <c r="HXM18" s="314" t="s">
        <v>203</v>
      </c>
      <c r="HXN18" s="314" t="s">
        <v>203</v>
      </c>
      <c r="HXO18" s="314" t="s">
        <v>203</v>
      </c>
      <c r="HXP18" s="314" t="s">
        <v>203</v>
      </c>
      <c r="HXQ18" s="314" t="s">
        <v>203</v>
      </c>
      <c r="HXR18" s="314" t="s">
        <v>203</v>
      </c>
      <c r="HXS18" s="314" t="s">
        <v>203</v>
      </c>
      <c r="HXT18" s="314" t="s">
        <v>203</v>
      </c>
      <c r="HXU18" s="314" t="s">
        <v>203</v>
      </c>
      <c r="HXV18" s="314" t="s">
        <v>203</v>
      </c>
      <c r="HXW18" s="314" t="s">
        <v>203</v>
      </c>
      <c r="HXX18" s="314" t="s">
        <v>203</v>
      </c>
      <c r="HXY18" s="314" t="s">
        <v>203</v>
      </c>
      <c r="HXZ18" s="314" t="s">
        <v>203</v>
      </c>
      <c r="HYA18" s="314" t="s">
        <v>203</v>
      </c>
      <c r="HYB18" s="314" t="s">
        <v>203</v>
      </c>
      <c r="HYC18" s="314" t="s">
        <v>203</v>
      </c>
      <c r="HYD18" s="314" t="s">
        <v>203</v>
      </c>
      <c r="HYE18" s="314" t="s">
        <v>203</v>
      </c>
      <c r="HYF18" s="314" t="s">
        <v>203</v>
      </c>
      <c r="HYG18" s="314" t="s">
        <v>203</v>
      </c>
      <c r="HYH18" s="314" t="s">
        <v>203</v>
      </c>
      <c r="HYI18" s="314" t="s">
        <v>203</v>
      </c>
      <c r="HYJ18" s="314" t="s">
        <v>203</v>
      </c>
      <c r="HYK18" s="314" t="s">
        <v>203</v>
      </c>
      <c r="HYL18" s="314" t="s">
        <v>203</v>
      </c>
      <c r="HYM18" s="314" t="s">
        <v>203</v>
      </c>
      <c r="HYN18" s="314" t="s">
        <v>203</v>
      </c>
      <c r="HYO18" s="314" t="s">
        <v>203</v>
      </c>
      <c r="HYP18" s="314" t="s">
        <v>203</v>
      </c>
      <c r="HYQ18" s="314" t="s">
        <v>203</v>
      </c>
      <c r="HYR18" s="314" t="s">
        <v>203</v>
      </c>
      <c r="HYS18" s="314" t="s">
        <v>203</v>
      </c>
      <c r="HYT18" s="314" t="s">
        <v>203</v>
      </c>
      <c r="HYU18" s="314" t="s">
        <v>203</v>
      </c>
      <c r="HYV18" s="314" t="s">
        <v>203</v>
      </c>
      <c r="HYW18" s="314" t="s">
        <v>203</v>
      </c>
      <c r="HYX18" s="314" t="s">
        <v>203</v>
      </c>
      <c r="HYY18" s="314" t="s">
        <v>203</v>
      </c>
      <c r="HYZ18" s="314" t="s">
        <v>203</v>
      </c>
      <c r="HZA18" s="314" t="s">
        <v>203</v>
      </c>
      <c r="HZB18" s="314" t="s">
        <v>203</v>
      </c>
      <c r="HZC18" s="314" t="s">
        <v>203</v>
      </c>
      <c r="HZD18" s="314" t="s">
        <v>203</v>
      </c>
      <c r="HZE18" s="314" t="s">
        <v>203</v>
      </c>
      <c r="HZF18" s="314" t="s">
        <v>203</v>
      </c>
      <c r="HZG18" s="314" t="s">
        <v>203</v>
      </c>
      <c r="HZH18" s="314" t="s">
        <v>203</v>
      </c>
      <c r="HZI18" s="314" t="s">
        <v>203</v>
      </c>
      <c r="HZJ18" s="314" t="s">
        <v>203</v>
      </c>
      <c r="HZK18" s="314" t="s">
        <v>203</v>
      </c>
      <c r="HZL18" s="314" t="s">
        <v>203</v>
      </c>
      <c r="HZM18" s="314" t="s">
        <v>203</v>
      </c>
      <c r="HZN18" s="314" t="s">
        <v>203</v>
      </c>
      <c r="HZO18" s="314" t="s">
        <v>203</v>
      </c>
      <c r="HZP18" s="314" t="s">
        <v>203</v>
      </c>
      <c r="HZQ18" s="314" t="s">
        <v>203</v>
      </c>
      <c r="HZR18" s="314" t="s">
        <v>203</v>
      </c>
      <c r="HZS18" s="314" t="s">
        <v>203</v>
      </c>
      <c r="HZT18" s="314" t="s">
        <v>203</v>
      </c>
      <c r="HZU18" s="314" t="s">
        <v>203</v>
      </c>
      <c r="HZV18" s="314" t="s">
        <v>203</v>
      </c>
      <c r="HZW18" s="314" t="s">
        <v>203</v>
      </c>
      <c r="HZX18" s="314" t="s">
        <v>203</v>
      </c>
      <c r="HZY18" s="314" t="s">
        <v>203</v>
      </c>
      <c r="HZZ18" s="314" t="s">
        <v>203</v>
      </c>
      <c r="IAA18" s="314" t="s">
        <v>203</v>
      </c>
      <c r="IAB18" s="314" t="s">
        <v>203</v>
      </c>
      <c r="IAC18" s="314" t="s">
        <v>203</v>
      </c>
      <c r="IAD18" s="314" t="s">
        <v>203</v>
      </c>
      <c r="IAE18" s="314" t="s">
        <v>203</v>
      </c>
      <c r="IAF18" s="314" t="s">
        <v>203</v>
      </c>
      <c r="IAG18" s="314" t="s">
        <v>203</v>
      </c>
      <c r="IAH18" s="314" t="s">
        <v>203</v>
      </c>
      <c r="IAI18" s="314" t="s">
        <v>203</v>
      </c>
      <c r="IAJ18" s="314" t="s">
        <v>203</v>
      </c>
      <c r="IAK18" s="314" t="s">
        <v>203</v>
      </c>
      <c r="IAL18" s="314" t="s">
        <v>203</v>
      </c>
      <c r="IAM18" s="314" t="s">
        <v>203</v>
      </c>
      <c r="IAN18" s="314" t="s">
        <v>203</v>
      </c>
      <c r="IAO18" s="314" t="s">
        <v>203</v>
      </c>
      <c r="IAP18" s="314" t="s">
        <v>203</v>
      </c>
      <c r="IAQ18" s="314" t="s">
        <v>203</v>
      </c>
      <c r="IAR18" s="314" t="s">
        <v>203</v>
      </c>
      <c r="IAS18" s="314" t="s">
        <v>203</v>
      </c>
      <c r="IAT18" s="314" t="s">
        <v>203</v>
      </c>
      <c r="IAU18" s="314" t="s">
        <v>203</v>
      </c>
      <c r="IAV18" s="314" t="s">
        <v>203</v>
      </c>
      <c r="IAW18" s="314" t="s">
        <v>203</v>
      </c>
      <c r="IAX18" s="314" t="s">
        <v>203</v>
      </c>
      <c r="IAY18" s="314" t="s">
        <v>203</v>
      </c>
      <c r="IAZ18" s="314" t="s">
        <v>203</v>
      </c>
      <c r="IBA18" s="314" t="s">
        <v>203</v>
      </c>
      <c r="IBB18" s="314" t="s">
        <v>203</v>
      </c>
      <c r="IBC18" s="314" t="s">
        <v>203</v>
      </c>
      <c r="IBD18" s="314" t="s">
        <v>203</v>
      </c>
      <c r="IBE18" s="314" t="s">
        <v>203</v>
      </c>
      <c r="IBF18" s="314" t="s">
        <v>203</v>
      </c>
      <c r="IBG18" s="314" t="s">
        <v>203</v>
      </c>
      <c r="IBH18" s="314" t="s">
        <v>203</v>
      </c>
      <c r="IBI18" s="314" t="s">
        <v>203</v>
      </c>
      <c r="IBJ18" s="314" t="s">
        <v>203</v>
      </c>
      <c r="IBK18" s="314" t="s">
        <v>203</v>
      </c>
      <c r="IBL18" s="314" t="s">
        <v>203</v>
      </c>
      <c r="IBM18" s="314" t="s">
        <v>203</v>
      </c>
      <c r="IBN18" s="314" t="s">
        <v>203</v>
      </c>
      <c r="IBO18" s="314" t="s">
        <v>203</v>
      </c>
      <c r="IBP18" s="314" t="s">
        <v>203</v>
      </c>
      <c r="IBQ18" s="314" t="s">
        <v>203</v>
      </c>
      <c r="IBR18" s="314" t="s">
        <v>203</v>
      </c>
      <c r="IBS18" s="314" t="s">
        <v>203</v>
      </c>
      <c r="IBT18" s="314" t="s">
        <v>203</v>
      </c>
      <c r="IBU18" s="314" t="s">
        <v>203</v>
      </c>
      <c r="IBV18" s="314" t="s">
        <v>203</v>
      </c>
      <c r="IBW18" s="314" t="s">
        <v>203</v>
      </c>
      <c r="IBX18" s="314" t="s">
        <v>203</v>
      </c>
      <c r="IBY18" s="314" t="s">
        <v>203</v>
      </c>
      <c r="IBZ18" s="314" t="s">
        <v>203</v>
      </c>
      <c r="ICA18" s="314" t="s">
        <v>203</v>
      </c>
      <c r="ICB18" s="314" t="s">
        <v>203</v>
      </c>
      <c r="ICC18" s="314" t="s">
        <v>203</v>
      </c>
      <c r="ICD18" s="314" t="s">
        <v>203</v>
      </c>
      <c r="ICE18" s="314" t="s">
        <v>203</v>
      </c>
      <c r="ICF18" s="314" t="s">
        <v>203</v>
      </c>
      <c r="ICG18" s="314" t="s">
        <v>203</v>
      </c>
      <c r="ICH18" s="314" t="s">
        <v>203</v>
      </c>
      <c r="ICI18" s="314" t="s">
        <v>203</v>
      </c>
      <c r="ICJ18" s="314" t="s">
        <v>203</v>
      </c>
      <c r="ICK18" s="314" t="s">
        <v>203</v>
      </c>
      <c r="ICL18" s="314" t="s">
        <v>203</v>
      </c>
      <c r="ICM18" s="314" t="s">
        <v>203</v>
      </c>
      <c r="ICN18" s="314" t="s">
        <v>203</v>
      </c>
      <c r="ICO18" s="314" t="s">
        <v>203</v>
      </c>
      <c r="ICP18" s="314" t="s">
        <v>203</v>
      </c>
      <c r="ICQ18" s="314" t="s">
        <v>203</v>
      </c>
      <c r="ICR18" s="314" t="s">
        <v>203</v>
      </c>
      <c r="ICS18" s="314" t="s">
        <v>203</v>
      </c>
      <c r="ICT18" s="314" t="s">
        <v>203</v>
      </c>
      <c r="ICU18" s="314" t="s">
        <v>203</v>
      </c>
      <c r="ICV18" s="314" t="s">
        <v>203</v>
      </c>
      <c r="ICW18" s="314" t="s">
        <v>203</v>
      </c>
      <c r="ICX18" s="314" t="s">
        <v>203</v>
      </c>
      <c r="ICY18" s="314" t="s">
        <v>203</v>
      </c>
      <c r="ICZ18" s="314" t="s">
        <v>203</v>
      </c>
      <c r="IDA18" s="314" t="s">
        <v>203</v>
      </c>
      <c r="IDB18" s="314" t="s">
        <v>203</v>
      </c>
      <c r="IDC18" s="314" t="s">
        <v>203</v>
      </c>
      <c r="IDD18" s="314" t="s">
        <v>203</v>
      </c>
      <c r="IDE18" s="314" t="s">
        <v>203</v>
      </c>
      <c r="IDF18" s="314" t="s">
        <v>203</v>
      </c>
      <c r="IDG18" s="314" t="s">
        <v>203</v>
      </c>
      <c r="IDH18" s="314" t="s">
        <v>203</v>
      </c>
      <c r="IDI18" s="314" t="s">
        <v>203</v>
      </c>
      <c r="IDJ18" s="314" t="s">
        <v>203</v>
      </c>
      <c r="IDK18" s="314" t="s">
        <v>203</v>
      </c>
      <c r="IDL18" s="314" t="s">
        <v>203</v>
      </c>
      <c r="IDM18" s="314" t="s">
        <v>203</v>
      </c>
      <c r="IDN18" s="314" t="s">
        <v>203</v>
      </c>
      <c r="IDO18" s="314" t="s">
        <v>203</v>
      </c>
      <c r="IDP18" s="314" t="s">
        <v>203</v>
      </c>
      <c r="IDQ18" s="314" t="s">
        <v>203</v>
      </c>
      <c r="IDR18" s="314" t="s">
        <v>203</v>
      </c>
      <c r="IDS18" s="314" t="s">
        <v>203</v>
      </c>
      <c r="IDT18" s="314" t="s">
        <v>203</v>
      </c>
      <c r="IDU18" s="314" t="s">
        <v>203</v>
      </c>
      <c r="IDV18" s="314" t="s">
        <v>203</v>
      </c>
      <c r="IDW18" s="314" t="s">
        <v>203</v>
      </c>
      <c r="IDX18" s="314" t="s">
        <v>203</v>
      </c>
      <c r="IDY18" s="314" t="s">
        <v>203</v>
      </c>
      <c r="IDZ18" s="314" t="s">
        <v>203</v>
      </c>
      <c r="IEA18" s="314" t="s">
        <v>203</v>
      </c>
      <c r="IEB18" s="314" t="s">
        <v>203</v>
      </c>
      <c r="IEC18" s="314" t="s">
        <v>203</v>
      </c>
      <c r="IED18" s="314" t="s">
        <v>203</v>
      </c>
      <c r="IEE18" s="314" t="s">
        <v>203</v>
      </c>
      <c r="IEF18" s="314" t="s">
        <v>203</v>
      </c>
      <c r="IEG18" s="314" t="s">
        <v>203</v>
      </c>
      <c r="IEH18" s="314" t="s">
        <v>203</v>
      </c>
      <c r="IEI18" s="314" t="s">
        <v>203</v>
      </c>
      <c r="IEJ18" s="314" t="s">
        <v>203</v>
      </c>
      <c r="IEK18" s="314" t="s">
        <v>203</v>
      </c>
      <c r="IEL18" s="314" t="s">
        <v>203</v>
      </c>
      <c r="IEM18" s="314" t="s">
        <v>203</v>
      </c>
      <c r="IEN18" s="314" t="s">
        <v>203</v>
      </c>
      <c r="IEO18" s="314" t="s">
        <v>203</v>
      </c>
      <c r="IEP18" s="314" t="s">
        <v>203</v>
      </c>
      <c r="IEQ18" s="314" t="s">
        <v>203</v>
      </c>
      <c r="IER18" s="314" t="s">
        <v>203</v>
      </c>
      <c r="IES18" s="314" t="s">
        <v>203</v>
      </c>
      <c r="IET18" s="314" t="s">
        <v>203</v>
      </c>
      <c r="IEU18" s="314" t="s">
        <v>203</v>
      </c>
      <c r="IEV18" s="314" t="s">
        <v>203</v>
      </c>
      <c r="IEW18" s="314" t="s">
        <v>203</v>
      </c>
      <c r="IEX18" s="314" t="s">
        <v>203</v>
      </c>
      <c r="IEY18" s="314" t="s">
        <v>203</v>
      </c>
      <c r="IEZ18" s="314" t="s">
        <v>203</v>
      </c>
      <c r="IFA18" s="314" t="s">
        <v>203</v>
      </c>
      <c r="IFB18" s="314" t="s">
        <v>203</v>
      </c>
      <c r="IFC18" s="314" t="s">
        <v>203</v>
      </c>
      <c r="IFD18" s="314" t="s">
        <v>203</v>
      </c>
      <c r="IFE18" s="314" t="s">
        <v>203</v>
      </c>
      <c r="IFF18" s="314" t="s">
        <v>203</v>
      </c>
      <c r="IFG18" s="314" t="s">
        <v>203</v>
      </c>
      <c r="IFH18" s="314" t="s">
        <v>203</v>
      </c>
      <c r="IFI18" s="314" t="s">
        <v>203</v>
      </c>
      <c r="IFJ18" s="314" t="s">
        <v>203</v>
      </c>
      <c r="IFK18" s="314" t="s">
        <v>203</v>
      </c>
      <c r="IFL18" s="314" t="s">
        <v>203</v>
      </c>
      <c r="IFM18" s="314" t="s">
        <v>203</v>
      </c>
      <c r="IFN18" s="314" t="s">
        <v>203</v>
      </c>
      <c r="IFO18" s="314" t="s">
        <v>203</v>
      </c>
      <c r="IFP18" s="314" t="s">
        <v>203</v>
      </c>
      <c r="IFQ18" s="314" t="s">
        <v>203</v>
      </c>
      <c r="IFR18" s="314" t="s">
        <v>203</v>
      </c>
      <c r="IFS18" s="314" t="s">
        <v>203</v>
      </c>
      <c r="IFT18" s="314" t="s">
        <v>203</v>
      </c>
      <c r="IFU18" s="314" t="s">
        <v>203</v>
      </c>
      <c r="IFV18" s="314" t="s">
        <v>203</v>
      </c>
      <c r="IFW18" s="314" t="s">
        <v>203</v>
      </c>
      <c r="IFX18" s="314" t="s">
        <v>203</v>
      </c>
      <c r="IFY18" s="314" t="s">
        <v>203</v>
      </c>
      <c r="IFZ18" s="314" t="s">
        <v>203</v>
      </c>
      <c r="IGA18" s="314" t="s">
        <v>203</v>
      </c>
      <c r="IGB18" s="314" t="s">
        <v>203</v>
      </c>
      <c r="IGC18" s="314" t="s">
        <v>203</v>
      </c>
      <c r="IGD18" s="314" t="s">
        <v>203</v>
      </c>
      <c r="IGE18" s="314" t="s">
        <v>203</v>
      </c>
      <c r="IGF18" s="314" t="s">
        <v>203</v>
      </c>
      <c r="IGG18" s="314" t="s">
        <v>203</v>
      </c>
      <c r="IGH18" s="314" t="s">
        <v>203</v>
      </c>
      <c r="IGI18" s="314" t="s">
        <v>203</v>
      </c>
      <c r="IGJ18" s="314" t="s">
        <v>203</v>
      </c>
      <c r="IGK18" s="314" t="s">
        <v>203</v>
      </c>
      <c r="IGL18" s="314" t="s">
        <v>203</v>
      </c>
      <c r="IGM18" s="314" t="s">
        <v>203</v>
      </c>
      <c r="IGN18" s="314" t="s">
        <v>203</v>
      </c>
      <c r="IGO18" s="314" t="s">
        <v>203</v>
      </c>
      <c r="IGP18" s="314" t="s">
        <v>203</v>
      </c>
      <c r="IGQ18" s="314" t="s">
        <v>203</v>
      </c>
      <c r="IGR18" s="314" t="s">
        <v>203</v>
      </c>
      <c r="IGS18" s="314" t="s">
        <v>203</v>
      </c>
      <c r="IGT18" s="314" t="s">
        <v>203</v>
      </c>
      <c r="IGU18" s="314" t="s">
        <v>203</v>
      </c>
      <c r="IGV18" s="314" t="s">
        <v>203</v>
      </c>
      <c r="IGW18" s="314" t="s">
        <v>203</v>
      </c>
      <c r="IGX18" s="314" t="s">
        <v>203</v>
      </c>
      <c r="IGY18" s="314" t="s">
        <v>203</v>
      </c>
      <c r="IGZ18" s="314" t="s">
        <v>203</v>
      </c>
      <c r="IHA18" s="314" t="s">
        <v>203</v>
      </c>
      <c r="IHB18" s="314" t="s">
        <v>203</v>
      </c>
      <c r="IHC18" s="314" t="s">
        <v>203</v>
      </c>
      <c r="IHD18" s="314" t="s">
        <v>203</v>
      </c>
      <c r="IHE18" s="314" t="s">
        <v>203</v>
      </c>
      <c r="IHF18" s="314" t="s">
        <v>203</v>
      </c>
      <c r="IHG18" s="314" t="s">
        <v>203</v>
      </c>
      <c r="IHH18" s="314" t="s">
        <v>203</v>
      </c>
      <c r="IHI18" s="314" t="s">
        <v>203</v>
      </c>
      <c r="IHJ18" s="314" t="s">
        <v>203</v>
      </c>
      <c r="IHK18" s="314" t="s">
        <v>203</v>
      </c>
      <c r="IHL18" s="314" t="s">
        <v>203</v>
      </c>
      <c r="IHM18" s="314" t="s">
        <v>203</v>
      </c>
      <c r="IHN18" s="314" t="s">
        <v>203</v>
      </c>
      <c r="IHO18" s="314" t="s">
        <v>203</v>
      </c>
      <c r="IHP18" s="314" t="s">
        <v>203</v>
      </c>
      <c r="IHQ18" s="314" t="s">
        <v>203</v>
      </c>
      <c r="IHR18" s="314" t="s">
        <v>203</v>
      </c>
      <c r="IHS18" s="314" t="s">
        <v>203</v>
      </c>
      <c r="IHT18" s="314" t="s">
        <v>203</v>
      </c>
      <c r="IHU18" s="314" t="s">
        <v>203</v>
      </c>
      <c r="IHV18" s="314" t="s">
        <v>203</v>
      </c>
      <c r="IHW18" s="314" t="s">
        <v>203</v>
      </c>
      <c r="IHX18" s="314" t="s">
        <v>203</v>
      </c>
      <c r="IHY18" s="314" t="s">
        <v>203</v>
      </c>
      <c r="IHZ18" s="314" t="s">
        <v>203</v>
      </c>
      <c r="IIA18" s="314" t="s">
        <v>203</v>
      </c>
      <c r="IIB18" s="314" t="s">
        <v>203</v>
      </c>
      <c r="IIC18" s="314" t="s">
        <v>203</v>
      </c>
      <c r="IID18" s="314" t="s">
        <v>203</v>
      </c>
      <c r="IIE18" s="314" t="s">
        <v>203</v>
      </c>
      <c r="IIF18" s="314" t="s">
        <v>203</v>
      </c>
      <c r="IIG18" s="314" t="s">
        <v>203</v>
      </c>
      <c r="IIH18" s="314" t="s">
        <v>203</v>
      </c>
      <c r="III18" s="314" t="s">
        <v>203</v>
      </c>
      <c r="IIJ18" s="314" t="s">
        <v>203</v>
      </c>
      <c r="IIK18" s="314" t="s">
        <v>203</v>
      </c>
      <c r="IIL18" s="314" t="s">
        <v>203</v>
      </c>
      <c r="IIM18" s="314" t="s">
        <v>203</v>
      </c>
      <c r="IIN18" s="314" t="s">
        <v>203</v>
      </c>
      <c r="IIO18" s="314" t="s">
        <v>203</v>
      </c>
      <c r="IIP18" s="314" t="s">
        <v>203</v>
      </c>
      <c r="IIQ18" s="314" t="s">
        <v>203</v>
      </c>
      <c r="IIR18" s="314" t="s">
        <v>203</v>
      </c>
      <c r="IIS18" s="314" t="s">
        <v>203</v>
      </c>
      <c r="IIT18" s="314" t="s">
        <v>203</v>
      </c>
      <c r="IIU18" s="314" t="s">
        <v>203</v>
      </c>
      <c r="IIV18" s="314" t="s">
        <v>203</v>
      </c>
      <c r="IIW18" s="314" t="s">
        <v>203</v>
      </c>
      <c r="IIX18" s="314" t="s">
        <v>203</v>
      </c>
      <c r="IIY18" s="314" t="s">
        <v>203</v>
      </c>
      <c r="IIZ18" s="314" t="s">
        <v>203</v>
      </c>
      <c r="IJA18" s="314" t="s">
        <v>203</v>
      </c>
      <c r="IJB18" s="314" t="s">
        <v>203</v>
      </c>
      <c r="IJC18" s="314" t="s">
        <v>203</v>
      </c>
      <c r="IJD18" s="314" t="s">
        <v>203</v>
      </c>
      <c r="IJE18" s="314" t="s">
        <v>203</v>
      </c>
      <c r="IJF18" s="314" t="s">
        <v>203</v>
      </c>
      <c r="IJG18" s="314" t="s">
        <v>203</v>
      </c>
      <c r="IJH18" s="314" t="s">
        <v>203</v>
      </c>
      <c r="IJI18" s="314" t="s">
        <v>203</v>
      </c>
      <c r="IJJ18" s="314" t="s">
        <v>203</v>
      </c>
      <c r="IJK18" s="314" t="s">
        <v>203</v>
      </c>
      <c r="IJL18" s="314" t="s">
        <v>203</v>
      </c>
      <c r="IJM18" s="314" t="s">
        <v>203</v>
      </c>
      <c r="IJN18" s="314" t="s">
        <v>203</v>
      </c>
      <c r="IJO18" s="314" t="s">
        <v>203</v>
      </c>
      <c r="IJP18" s="314" t="s">
        <v>203</v>
      </c>
      <c r="IJQ18" s="314" t="s">
        <v>203</v>
      </c>
      <c r="IJR18" s="314" t="s">
        <v>203</v>
      </c>
      <c r="IJS18" s="314" t="s">
        <v>203</v>
      </c>
      <c r="IJT18" s="314" t="s">
        <v>203</v>
      </c>
      <c r="IJU18" s="314" t="s">
        <v>203</v>
      </c>
      <c r="IJV18" s="314" t="s">
        <v>203</v>
      </c>
      <c r="IJW18" s="314" t="s">
        <v>203</v>
      </c>
      <c r="IJX18" s="314" t="s">
        <v>203</v>
      </c>
      <c r="IJY18" s="314" t="s">
        <v>203</v>
      </c>
      <c r="IJZ18" s="314" t="s">
        <v>203</v>
      </c>
      <c r="IKA18" s="314" t="s">
        <v>203</v>
      </c>
      <c r="IKB18" s="314" t="s">
        <v>203</v>
      </c>
      <c r="IKC18" s="314" t="s">
        <v>203</v>
      </c>
      <c r="IKD18" s="314" t="s">
        <v>203</v>
      </c>
      <c r="IKE18" s="314" t="s">
        <v>203</v>
      </c>
      <c r="IKF18" s="314" t="s">
        <v>203</v>
      </c>
      <c r="IKG18" s="314" t="s">
        <v>203</v>
      </c>
      <c r="IKH18" s="314" t="s">
        <v>203</v>
      </c>
      <c r="IKI18" s="314" t="s">
        <v>203</v>
      </c>
      <c r="IKJ18" s="314" t="s">
        <v>203</v>
      </c>
      <c r="IKK18" s="314" t="s">
        <v>203</v>
      </c>
      <c r="IKL18" s="314" t="s">
        <v>203</v>
      </c>
      <c r="IKM18" s="314" t="s">
        <v>203</v>
      </c>
      <c r="IKN18" s="314" t="s">
        <v>203</v>
      </c>
      <c r="IKO18" s="314" t="s">
        <v>203</v>
      </c>
      <c r="IKP18" s="314" t="s">
        <v>203</v>
      </c>
      <c r="IKQ18" s="314" t="s">
        <v>203</v>
      </c>
      <c r="IKR18" s="314" t="s">
        <v>203</v>
      </c>
      <c r="IKS18" s="314" t="s">
        <v>203</v>
      </c>
      <c r="IKT18" s="314" t="s">
        <v>203</v>
      </c>
      <c r="IKU18" s="314" t="s">
        <v>203</v>
      </c>
      <c r="IKV18" s="314" t="s">
        <v>203</v>
      </c>
      <c r="IKW18" s="314" t="s">
        <v>203</v>
      </c>
      <c r="IKX18" s="314" t="s">
        <v>203</v>
      </c>
      <c r="IKY18" s="314" t="s">
        <v>203</v>
      </c>
      <c r="IKZ18" s="314" t="s">
        <v>203</v>
      </c>
      <c r="ILA18" s="314" t="s">
        <v>203</v>
      </c>
      <c r="ILB18" s="314" t="s">
        <v>203</v>
      </c>
      <c r="ILC18" s="314" t="s">
        <v>203</v>
      </c>
      <c r="ILD18" s="314" t="s">
        <v>203</v>
      </c>
      <c r="ILE18" s="314" t="s">
        <v>203</v>
      </c>
      <c r="ILF18" s="314" t="s">
        <v>203</v>
      </c>
      <c r="ILG18" s="314" t="s">
        <v>203</v>
      </c>
      <c r="ILH18" s="314" t="s">
        <v>203</v>
      </c>
      <c r="ILI18" s="314" t="s">
        <v>203</v>
      </c>
      <c r="ILJ18" s="314" t="s">
        <v>203</v>
      </c>
      <c r="ILK18" s="314" t="s">
        <v>203</v>
      </c>
      <c r="ILL18" s="314" t="s">
        <v>203</v>
      </c>
      <c r="ILM18" s="314" t="s">
        <v>203</v>
      </c>
      <c r="ILN18" s="314" t="s">
        <v>203</v>
      </c>
      <c r="ILO18" s="314" t="s">
        <v>203</v>
      </c>
      <c r="ILP18" s="314" t="s">
        <v>203</v>
      </c>
      <c r="ILQ18" s="314" t="s">
        <v>203</v>
      </c>
      <c r="ILR18" s="314" t="s">
        <v>203</v>
      </c>
      <c r="ILS18" s="314" t="s">
        <v>203</v>
      </c>
      <c r="ILT18" s="314" t="s">
        <v>203</v>
      </c>
      <c r="ILU18" s="314" t="s">
        <v>203</v>
      </c>
      <c r="ILV18" s="314" t="s">
        <v>203</v>
      </c>
      <c r="ILW18" s="314" t="s">
        <v>203</v>
      </c>
      <c r="ILX18" s="314" t="s">
        <v>203</v>
      </c>
      <c r="ILY18" s="314" t="s">
        <v>203</v>
      </c>
      <c r="ILZ18" s="314" t="s">
        <v>203</v>
      </c>
      <c r="IMA18" s="314" t="s">
        <v>203</v>
      </c>
      <c r="IMB18" s="314" t="s">
        <v>203</v>
      </c>
      <c r="IMC18" s="314" t="s">
        <v>203</v>
      </c>
      <c r="IMD18" s="314" t="s">
        <v>203</v>
      </c>
      <c r="IME18" s="314" t="s">
        <v>203</v>
      </c>
      <c r="IMF18" s="314" t="s">
        <v>203</v>
      </c>
      <c r="IMG18" s="314" t="s">
        <v>203</v>
      </c>
      <c r="IMH18" s="314" t="s">
        <v>203</v>
      </c>
      <c r="IMI18" s="314" t="s">
        <v>203</v>
      </c>
      <c r="IMJ18" s="314" t="s">
        <v>203</v>
      </c>
      <c r="IMK18" s="314" t="s">
        <v>203</v>
      </c>
      <c r="IML18" s="314" t="s">
        <v>203</v>
      </c>
      <c r="IMM18" s="314" t="s">
        <v>203</v>
      </c>
      <c r="IMN18" s="314" t="s">
        <v>203</v>
      </c>
      <c r="IMO18" s="314" t="s">
        <v>203</v>
      </c>
      <c r="IMP18" s="314" t="s">
        <v>203</v>
      </c>
      <c r="IMQ18" s="314" t="s">
        <v>203</v>
      </c>
      <c r="IMR18" s="314" t="s">
        <v>203</v>
      </c>
      <c r="IMS18" s="314" t="s">
        <v>203</v>
      </c>
      <c r="IMT18" s="314" t="s">
        <v>203</v>
      </c>
      <c r="IMU18" s="314" t="s">
        <v>203</v>
      </c>
      <c r="IMV18" s="314" t="s">
        <v>203</v>
      </c>
      <c r="IMW18" s="314" t="s">
        <v>203</v>
      </c>
      <c r="IMX18" s="314" t="s">
        <v>203</v>
      </c>
      <c r="IMY18" s="314" t="s">
        <v>203</v>
      </c>
      <c r="IMZ18" s="314" t="s">
        <v>203</v>
      </c>
      <c r="INA18" s="314" t="s">
        <v>203</v>
      </c>
      <c r="INB18" s="314" t="s">
        <v>203</v>
      </c>
      <c r="INC18" s="314" t="s">
        <v>203</v>
      </c>
      <c r="IND18" s="314" t="s">
        <v>203</v>
      </c>
      <c r="INE18" s="314" t="s">
        <v>203</v>
      </c>
      <c r="INF18" s="314" t="s">
        <v>203</v>
      </c>
      <c r="ING18" s="314" t="s">
        <v>203</v>
      </c>
      <c r="INH18" s="314" t="s">
        <v>203</v>
      </c>
      <c r="INI18" s="314" t="s">
        <v>203</v>
      </c>
      <c r="INJ18" s="314" t="s">
        <v>203</v>
      </c>
      <c r="INK18" s="314" t="s">
        <v>203</v>
      </c>
      <c r="INL18" s="314" t="s">
        <v>203</v>
      </c>
      <c r="INM18" s="314" t="s">
        <v>203</v>
      </c>
      <c r="INN18" s="314" t="s">
        <v>203</v>
      </c>
      <c r="INO18" s="314" t="s">
        <v>203</v>
      </c>
      <c r="INP18" s="314" t="s">
        <v>203</v>
      </c>
      <c r="INQ18" s="314" t="s">
        <v>203</v>
      </c>
      <c r="INR18" s="314" t="s">
        <v>203</v>
      </c>
      <c r="INS18" s="314" t="s">
        <v>203</v>
      </c>
      <c r="INT18" s="314" t="s">
        <v>203</v>
      </c>
      <c r="INU18" s="314" t="s">
        <v>203</v>
      </c>
      <c r="INV18" s="314" t="s">
        <v>203</v>
      </c>
      <c r="INW18" s="314" t="s">
        <v>203</v>
      </c>
      <c r="INX18" s="314" t="s">
        <v>203</v>
      </c>
      <c r="INY18" s="314" t="s">
        <v>203</v>
      </c>
      <c r="INZ18" s="314" t="s">
        <v>203</v>
      </c>
      <c r="IOA18" s="314" t="s">
        <v>203</v>
      </c>
      <c r="IOB18" s="314" t="s">
        <v>203</v>
      </c>
      <c r="IOC18" s="314" t="s">
        <v>203</v>
      </c>
      <c r="IOD18" s="314" t="s">
        <v>203</v>
      </c>
      <c r="IOE18" s="314" t="s">
        <v>203</v>
      </c>
      <c r="IOF18" s="314" t="s">
        <v>203</v>
      </c>
      <c r="IOG18" s="314" t="s">
        <v>203</v>
      </c>
      <c r="IOH18" s="314" t="s">
        <v>203</v>
      </c>
      <c r="IOI18" s="314" t="s">
        <v>203</v>
      </c>
      <c r="IOJ18" s="314" t="s">
        <v>203</v>
      </c>
      <c r="IOK18" s="314" t="s">
        <v>203</v>
      </c>
      <c r="IOL18" s="314" t="s">
        <v>203</v>
      </c>
      <c r="IOM18" s="314" t="s">
        <v>203</v>
      </c>
      <c r="ION18" s="314" t="s">
        <v>203</v>
      </c>
      <c r="IOO18" s="314" t="s">
        <v>203</v>
      </c>
      <c r="IOP18" s="314" t="s">
        <v>203</v>
      </c>
      <c r="IOQ18" s="314" t="s">
        <v>203</v>
      </c>
      <c r="IOR18" s="314" t="s">
        <v>203</v>
      </c>
      <c r="IOS18" s="314" t="s">
        <v>203</v>
      </c>
      <c r="IOT18" s="314" t="s">
        <v>203</v>
      </c>
      <c r="IOU18" s="314" t="s">
        <v>203</v>
      </c>
      <c r="IOV18" s="314" t="s">
        <v>203</v>
      </c>
      <c r="IOW18" s="314" t="s">
        <v>203</v>
      </c>
      <c r="IOX18" s="314" t="s">
        <v>203</v>
      </c>
      <c r="IOY18" s="314" t="s">
        <v>203</v>
      </c>
      <c r="IOZ18" s="314" t="s">
        <v>203</v>
      </c>
      <c r="IPA18" s="314" t="s">
        <v>203</v>
      </c>
      <c r="IPB18" s="314" t="s">
        <v>203</v>
      </c>
      <c r="IPC18" s="314" t="s">
        <v>203</v>
      </c>
      <c r="IPD18" s="314" t="s">
        <v>203</v>
      </c>
      <c r="IPE18" s="314" t="s">
        <v>203</v>
      </c>
      <c r="IPF18" s="314" t="s">
        <v>203</v>
      </c>
      <c r="IPG18" s="314" t="s">
        <v>203</v>
      </c>
      <c r="IPH18" s="314" t="s">
        <v>203</v>
      </c>
      <c r="IPI18" s="314" t="s">
        <v>203</v>
      </c>
      <c r="IPJ18" s="314" t="s">
        <v>203</v>
      </c>
      <c r="IPK18" s="314" t="s">
        <v>203</v>
      </c>
      <c r="IPL18" s="314" t="s">
        <v>203</v>
      </c>
      <c r="IPM18" s="314" t="s">
        <v>203</v>
      </c>
      <c r="IPN18" s="314" t="s">
        <v>203</v>
      </c>
      <c r="IPO18" s="314" t="s">
        <v>203</v>
      </c>
      <c r="IPP18" s="314" t="s">
        <v>203</v>
      </c>
      <c r="IPQ18" s="314" t="s">
        <v>203</v>
      </c>
      <c r="IPR18" s="314" t="s">
        <v>203</v>
      </c>
      <c r="IPS18" s="314" t="s">
        <v>203</v>
      </c>
      <c r="IPT18" s="314" t="s">
        <v>203</v>
      </c>
      <c r="IPU18" s="314" t="s">
        <v>203</v>
      </c>
      <c r="IPV18" s="314" t="s">
        <v>203</v>
      </c>
      <c r="IPW18" s="314" t="s">
        <v>203</v>
      </c>
      <c r="IPX18" s="314" t="s">
        <v>203</v>
      </c>
      <c r="IPY18" s="314" t="s">
        <v>203</v>
      </c>
      <c r="IPZ18" s="314" t="s">
        <v>203</v>
      </c>
      <c r="IQA18" s="314" t="s">
        <v>203</v>
      </c>
      <c r="IQB18" s="314" t="s">
        <v>203</v>
      </c>
      <c r="IQC18" s="314" t="s">
        <v>203</v>
      </c>
      <c r="IQD18" s="314" t="s">
        <v>203</v>
      </c>
      <c r="IQE18" s="314" t="s">
        <v>203</v>
      </c>
      <c r="IQF18" s="314" t="s">
        <v>203</v>
      </c>
      <c r="IQG18" s="314" t="s">
        <v>203</v>
      </c>
      <c r="IQH18" s="314" t="s">
        <v>203</v>
      </c>
      <c r="IQI18" s="314" t="s">
        <v>203</v>
      </c>
      <c r="IQJ18" s="314" t="s">
        <v>203</v>
      </c>
      <c r="IQK18" s="314" t="s">
        <v>203</v>
      </c>
      <c r="IQL18" s="314" t="s">
        <v>203</v>
      </c>
      <c r="IQM18" s="314" t="s">
        <v>203</v>
      </c>
      <c r="IQN18" s="314" t="s">
        <v>203</v>
      </c>
      <c r="IQO18" s="314" t="s">
        <v>203</v>
      </c>
      <c r="IQP18" s="314" t="s">
        <v>203</v>
      </c>
      <c r="IQQ18" s="314" t="s">
        <v>203</v>
      </c>
      <c r="IQR18" s="314" t="s">
        <v>203</v>
      </c>
      <c r="IQS18" s="314" t="s">
        <v>203</v>
      </c>
      <c r="IQT18" s="314" t="s">
        <v>203</v>
      </c>
      <c r="IQU18" s="314" t="s">
        <v>203</v>
      </c>
      <c r="IQV18" s="314" t="s">
        <v>203</v>
      </c>
      <c r="IQW18" s="314" t="s">
        <v>203</v>
      </c>
      <c r="IQX18" s="314" t="s">
        <v>203</v>
      </c>
      <c r="IQY18" s="314" t="s">
        <v>203</v>
      </c>
      <c r="IQZ18" s="314" t="s">
        <v>203</v>
      </c>
      <c r="IRA18" s="314" t="s">
        <v>203</v>
      </c>
      <c r="IRB18" s="314" t="s">
        <v>203</v>
      </c>
      <c r="IRC18" s="314" t="s">
        <v>203</v>
      </c>
      <c r="IRD18" s="314" t="s">
        <v>203</v>
      </c>
      <c r="IRE18" s="314" t="s">
        <v>203</v>
      </c>
      <c r="IRF18" s="314" t="s">
        <v>203</v>
      </c>
      <c r="IRG18" s="314" t="s">
        <v>203</v>
      </c>
      <c r="IRH18" s="314" t="s">
        <v>203</v>
      </c>
      <c r="IRI18" s="314" t="s">
        <v>203</v>
      </c>
      <c r="IRJ18" s="314" t="s">
        <v>203</v>
      </c>
      <c r="IRK18" s="314" t="s">
        <v>203</v>
      </c>
      <c r="IRL18" s="314" t="s">
        <v>203</v>
      </c>
      <c r="IRM18" s="314" t="s">
        <v>203</v>
      </c>
      <c r="IRN18" s="314" t="s">
        <v>203</v>
      </c>
      <c r="IRO18" s="314" t="s">
        <v>203</v>
      </c>
      <c r="IRP18" s="314" t="s">
        <v>203</v>
      </c>
      <c r="IRQ18" s="314" t="s">
        <v>203</v>
      </c>
      <c r="IRR18" s="314" t="s">
        <v>203</v>
      </c>
      <c r="IRS18" s="314" t="s">
        <v>203</v>
      </c>
      <c r="IRT18" s="314" t="s">
        <v>203</v>
      </c>
      <c r="IRU18" s="314" t="s">
        <v>203</v>
      </c>
      <c r="IRV18" s="314" t="s">
        <v>203</v>
      </c>
      <c r="IRW18" s="314" t="s">
        <v>203</v>
      </c>
      <c r="IRX18" s="314" t="s">
        <v>203</v>
      </c>
      <c r="IRY18" s="314" t="s">
        <v>203</v>
      </c>
      <c r="IRZ18" s="314" t="s">
        <v>203</v>
      </c>
      <c r="ISA18" s="314" t="s">
        <v>203</v>
      </c>
      <c r="ISB18" s="314" t="s">
        <v>203</v>
      </c>
      <c r="ISC18" s="314" t="s">
        <v>203</v>
      </c>
      <c r="ISD18" s="314" t="s">
        <v>203</v>
      </c>
      <c r="ISE18" s="314" t="s">
        <v>203</v>
      </c>
      <c r="ISF18" s="314" t="s">
        <v>203</v>
      </c>
      <c r="ISG18" s="314" t="s">
        <v>203</v>
      </c>
      <c r="ISH18" s="314" t="s">
        <v>203</v>
      </c>
      <c r="ISI18" s="314" t="s">
        <v>203</v>
      </c>
      <c r="ISJ18" s="314" t="s">
        <v>203</v>
      </c>
      <c r="ISK18" s="314" t="s">
        <v>203</v>
      </c>
      <c r="ISL18" s="314" t="s">
        <v>203</v>
      </c>
      <c r="ISM18" s="314" t="s">
        <v>203</v>
      </c>
      <c r="ISN18" s="314" t="s">
        <v>203</v>
      </c>
      <c r="ISO18" s="314" t="s">
        <v>203</v>
      </c>
      <c r="ISP18" s="314" t="s">
        <v>203</v>
      </c>
      <c r="ISQ18" s="314" t="s">
        <v>203</v>
      </c>
      <c r="ISR18" s="314" t="s">
        <v>203</v>
      </c>
      <c r="ISS18" s="314" t="s">
        <v>203</v>
      </c>
      <c r="IST18" s="314" t="s">
        <v>203</v>
      </c>
      <c r="ISU18" s="314" t="s">
        <v>203</v>
      </c>
      <c r="ISV18" s="314" t="s">
        <v>203</v>
      </c>
      <c r="ISW18" s="314" t="s">
        <v>203</v>
      </c>
      <c r="ISX18" s="314" t="s">
        <v>203</v>
      </c>
      <c r="ISY18" s="314" t="s">
        <v>203</v>
      </c>
      <c r="ISZ18" s="314" t="s">
        <v>203</v>
      </c>
      <c r="ITA18" s="314" t="s">
        <v>203</v>
      </c>
      <c r="ITB18" s="314" t="s">
        <v>203</v>
      </c>
      <c r="ITC18" s="314" t="s">
        <v>203</v>
      </c>
      <c r="ITD18" s="314" t="s">
        <v>203</v>
      </c>
      <c r="ITE18" s="314" t="s">
        <v>203</v>
      </c>
      <c r="ITF18" s="314" t="s">
        <v>203</v>
      </c>
      <c r="ITG18" s="314" t="s">
        <v>203</v>
      </c>
      <c r="ITH18" s="314" t="s">
        <v>203</v>
      </c>
      <c r="ITI18" s="314" t="s">
        <v>203</v>
      </c>
      <c r="ITJ18" s="314" t="s">
        <v>203</v>
      </c>
      <c r="ITK18" s="314" t="s">
        <v>203</v>
      </c>
      <c r="ITL18" s="314" t="s">
        <v>203</v>
      </c>
      <c r="ITM18" s="314" t="s">
        <v>203</v>
      </c>
      <c r="ITN18" s="314" t="s">
        <v>203</v>
      </c>
      <c r="ITO18" s="314" t="s">
        <v>203</v>
      </c>
      <c r="ITP18" s="314" t="s">
        <v>203</v>
      </c>
      <c r="ITQ18" s="314" t="s">
        <v>203</v>
      </c>
      <c r="ITR18" s="314" t="s">
        <v>203</v>
      </c>
      <c r="ITS18" s="314" t="s">
        <v>203</v>
      </c>
      <c r="ITT18" s="314" t="s">
        <v>203</v>
      </c>
      <c r="ITU18" s="314" t="s">
        <v>203</v>
      </c>
      <c r="ITV18" s="314" t="s">
        <v>203</v>
      </c>
      <c r="ITW18" s="314" t="s">
        <v>203</v>
      </c>
      <c r="ITX18" s="314" t="s">
        <v>203</v>
      </c>
      <c r="ITY18" s="314" t="s">
        <v>203</v>
      </c>
      <c r="ITZ18" s="314" t="s">
        <v>203</v>
      </c>
      <c r="IUA18" s="314" t="s">
        <v>203</v>
      </c>
      <c r="IUB18" s="314" t="s">
        <v>203</v>
      </c>
      <c r="IUC18" s="314" t="s">
        <v>203</v>
      </c>
      <c r="IUD18" s="314" t="s">
        <v>203</v>
      </c>
      <c r="IUE18" s="314" t="s">
        <v>203</v>
      </c>
      <c r="IUF18" s="314" t="s">
        <v>203</v>
      </c>
      <c r="IUG18" s="314" t="s">
        <v>203</v>
      </c>
      <c r="IUH18" s="314" t="s">
        <v>203</v>
      </c>
      <c r="IUI18" s="314" t="s">
        <v>203</v>
      </c>
      <c r="IUJ18" s="314" t="s">
        <v>203</v>
      </c>
      <c r="IUK18" s="314" t="s">
        <v>203</v>
      </c>
      <c r="IUL18" s="314" t="s">
        <v>203</v>
      </c>
      <c r="IUM18" s="314" t="s">
        <v>203</v>
      </c>
      <c r="IUN18" s="314" t="s">
        <v>203</v>
      </c>
      <c r="IUO18" s="314" t="s">
        <v>203</v>
      </c>
      <c r="IUP18" s="314" t="s">
        <v>203</v>
      </c>
      <c r="IUQ18" s="314" t="s">
        <v>203</v>
      </c>
      <c r="IUR18" s="314" t="s">
        <v>203</v>
      </c>
      <c r="IUS18" s="314" t="s">
        <v>203</v>
      </c>
      <c r="IUT18" s="314" t="s">
        <v>203</v>
      </c>
      <c r="IUU18" s="314" t="s">
        <v>203</v>
      </c>
      <c r="IUV18" s="314" t="s">
        <v>203</v>
      </c>
      <c r="IUW18" s="314" t="s">
        <v>203</v>
      </c>
      <c r="IUX18" s="314" t="s">
        <v>203</v>
      </c>
      <c r="IUY18" s="314" t="s">
        <v>203</v>
      </c>
      <c r="IUZ18" s="314" t="s">
        <v>203</v>
      </c>
      <c r="IVA18" s="314" t="s">
        <v>203</v>
      </c>
      <c r="IVB18" s="314" t="s">
        <v>203</v>
      </c>
      <c r="IVC18" s="314" t="s">
        <v>203</v>
      </c>
      <c r="IVD18" s="314" t="s">
        <v>203</v>
      </c>
      <c r="IVE18" s="314" t="s">
        <v>203</v>
      </c>
      <c r="IVF18" s="314" t="s">
        <v>203</v>
      </c>
      <c r="IVG18" s="314" t="s">
        <v>203</v>
      </c>
      <c r="IVH18" s="314" t="s">
        <v>203</v>
      </c>
      <c r="IVI18" s="314" t="s">
        <v>203</v>
      </c>
      <c r="IVJ18" s="314" t="s">
        <v>203</v>
      </c>
      <c r="IVK18" s="314" t="s">
        <v>203</v>
      </c>
      <c r="IVL18" s="314" t="s">
        <v>203</v>
      </c>
      <c r="IVM18" s="314" t="s">
        <v>203</v>
      </c>
      <c r="IVN18" s="314" t="s">
        <v>203</v>
      </c>
      <c r="IVO18" s="314" t="s">
        <v>203</v>
      </c>
      <c r="IVP18" s="314" t="s">
        <v>203</v>
      </c>
      <c r="IVQ18" s="314" t="s">
        <v>203</v>
      </c>
      <c r="IVR18" s="314" t="s">
        <v>203</v>
      </c>
      <c r="IVS18" s="314" t="s">
        <v>203</v>
      </c>
      <c r="IVT18" s="314" t="s">
        <v>203</v>
      </c>
      <c r="IVU18" s="314" t="s">
        <v>203</v>
      </c>
      <c r="IVV18" s="314" t="s">
        <v>203</v>
      </c>
      <c r="IVW18" s="314" t="s">
        <v>203</v>
      </c>
      <c r="IVX18" s="314" t="s">
        <v>203</v>
      </c>
      <c r="IVY18" s="314" t="s">
        <v>203</v>
      </c>
      <c r="IVZ18" s="314" t="s">
        <v>203</v>
      </c>
      <c r="IWA18" s="314" t="s">
        <v>203</v>
      </c>
      <c r="IWB18" s="314" t="s">
        <v>203</v>
      </c>
      <c r="IWC18" s="314" t="s">
        <v>203</v>
      </c>
      <c r="IWD18" s="314" t="s">
        <v>203</v>
      </c>
      <c r="IWE18" s="314" t="s">
        <v>203</v>
      </c>
      <c r="IWF18" s="314" t="s">
        <v>203</v>
      </c>
      <c r="IWG18" s="314" t="s">
        <v>203</v>
      </c>
      <c r="IWH18" s="314" t="s">
        <v>203</v>
      </c>
      <c r="IWI18" s="314" t="s">
        <v>203</v>
      </c>
      <c r="IWJ18" s="314" t="s">
        <v>203</v>
      </c>
      <c r="IWK18" s="314" t="s">
        <v>203</v>
      </c>
      <c r="IWL18" s="314" t="s">
        <v>203</v>
      </c>
      <c r="IWM18" s="314" t="s">
        <v>203</v>
      </c>
      <c r="IWN18" s="314" t="s">
        <v>203</v>
      </c>
      <c r="IWO18" s="314" t="s">
        <v>203</v>
      </c>
      <c r="IWP18" s="314" t="s">
        <v>203</v>
      </c>
      <c r="IWQ18" s="314" t="s">
        <v>203</v>
      </c>
      <c r="IWR18" s="314" t="s">
        <v>203</v>
      </c>
      <c r="IWS18" s="314" t="s">
        <v>203</v>
      </c>
      <c r="IWT18" s="314" t="s">
        <v>203</v>
      </c>
      <c r="IWU18" s="314" t="s">
        <v>203</v>
      </c>
      <c r="IWV18" s="314" t="s">
        <v>203</v>
      </c>
      <c r="IWW18" s="314" t="s">
        <v>203</v>
      </c>
      <c r="IWX18" s="314" t="s">
        <v>203</v>
      </c>
      <c r="IWY18" s="314" t="s">
        <v>203</v>
      </c>
      <c r="IWZ18" s="314" t="s">
        <v>203</v>
      </c>
      <c r="IXA18" s="314" t="s">
        <v>203</v>
      </c>
      <c r="IXB18" s="314" t="s">
        <v>203</v>
      </c>
      <c r="IXC18" s="314" t="s">
        <v>203</v>
      </c>
      <c r="IXD18" s="314" t="s">
        <v>203</v>
      </c>
      <c r="IXE18" s="314" t="s">
        <v>203</v>
      </c>
      <c r="IXF18" s="314" t="s">
        <v>203</v>
      </c>
      <c r="IXG18" s="314" t="s">
        <v>203</v>
      </c>
      <c r="IXH18" s="314" t="s">
        <v>203</v>
      </c>
      <c r="IXI18" s="314" t="s">
        <v>203</v>
      </c>
      <c r="IXJ18" s="314" t="s">
        <v>203</v>
      </c>
      <c r="IXK18" s="314" t="s">
        <v>203</v>
      </c>
      <c r="IXL18" s="314" t="s">
        <v>203</v>
      </c>
      <c r="IXM18" s="314" t="s">
        <v>203</v>
      </c>
      <c r="IXN18" s="314" t="s">
        <v>203</v>
      </c>
      <c r="IXO18" s="314" t="s">
        <v>203</v>
      </c>
      <c r="IXP18" s="314" t="s">
        <v>203</v>
      </c>
      <c r="IXQ18" s="314" t="s">
        <v>203</v>
      </c>
      <c r="IXR18" s="314" t="s">
        <v>203</v>
      </c>
      <c r="IXS18" s="314" t="s">
        <v>203</v>
      </c>
      <c r="IXT18" s="314" t="s">
        <v>203</v>
      </c>
      <c r="IXU18" s="314" t="s">
        <v>203</v>
      </c>
      <c r="IXV18" s="314" t="s">
        <v>203</v>
      </c>
      <c r="IXW18" s="314" t="s">
        <v>203</v>
      </c>
      <c r="IXX18" s="314" t="s">
        <v>203</v>
      </c>
      <c r="IXY18" s="314" t="s">
        <v>203</v>
      </c>
      <c r="IXZ18" s="314" t="s">
        <v>203</v>
      </c>
      <c r="IYA18" s="314" t="s">
        <v>203</v>
      </c>
      <c r="IYB18" s="314" t="s">
        <v>203</v>
      </c>
      <c r="IYC18" s="314" t="s">
        <v>203</v>
      </c>
      <c r="IYD18" s="314" t="s">
        <v>203</v>
      </c>
      <c r="IYE18" s="314" t="s">
        <v>203</v>
      </c>
      <c r="IYF18" s="314" t="s">
        <v>203</v>
      </c>
      <c r="IYG18" s="314" t="s">
        <v>203</v>
      </c>
      <c r="IYH18" s="314" t="s">
        <v>203</v>
      </c>
      <c r="IYI18" s="314" t="s">
        <v>203</v>
      </c>
      <c r="IYJ18" s="314" t="s">
        <v>203</v>
      </c>
      <c r="IYK18" s="314" t="s">
        <v>203</v>
      </c>
      <c r="IYL18" s="314" t="s">
        <v>203</v>
      </c>
      <c r="IYM18" s="314" t="s">
        <v>203</v>
      </c>
      <c r="IYN18" s="314" t="s">
        <v>203</v>
      </c>
      <c r="IYO18" s="314" t="s">
        <v>203</v>
      </c>
      <c r="IYP18" s="314" t="s">
        <v>203</v>
      </c>
      <c r="IYQ18" s="314" t="s">
        <v>203</v>
      </c>
      <c r="IYR18" s="314" t="s">
        <v>203</v>
      </c>
      <c r="IYS18" s="314" t="s">
        <v>203</v>
      </c>
      <c r="IYT18" s="314" t="s">
        <v>203</v>
      </c>
      <c r="IYU18" s="314" t="s">
        <v>203</v>
      </c>
      <c r="IYV18" s="314" t="s">
        <v>203</v>
      </c>
      <c r="IYW18" s="314" t="s">
        <v>203</v>
      </c>
      <c r="IYX18" s="314" t="s">
        <v>203</v>
      </c>
      <c r="IYY18" s="314" t="s">
        <v>203</v>
      </c>
      <c r="IYZ18" s="314" t="s">
        <v>203</v>
      </c>
      <c r="IZA18" s="314" t="s">
        <v>203</v>
      </c>
      <c r="IZB18" s="314" t="s">
        <v>203</v>
      </c>
      <c r="IZC18" s="314" t="s">
        <v>203</v>
      </c>
      <c r="IZD18" s="314" t="s">
        <v>203</v>
      </c>
      <c r="IZE18" s="314" t="s">
        <v>203</v>
      </c>
      <c r="IZF18" s="314" t="s">
        <v>203</v>
      </c>
      <c r="IZG18" s="314" t="s">
        <v>203</v>
      </c>
      <c r="IZH18" s="314" t="s">
        <v>203</v>
      </c>
      <c r="IZI18" s="314" t="s">
        <v>203</v>
      </c>
      <c r="IZJ18" s="314" t="s">
        <v>203</v>
      </c>
      <c r="IZK18" s="314" t="s">
        <v>203</v>
      </c>
      <c r="IZL18" s="314" t="s">
        <v>203</v>
      </c>
      <c r="IZM18" s="314" t="s">
        <v>203</v>
      </c>
      <c r="IZN18" s="314" t="s">
        <v>203</v>
      </c>
      <c r="IZO18" s="314" t="s">
        <v>203</v>
      </c>
      <c r="IZP18" s="314" t="s">
        <v>203</v>
      </c>
      <c r="IZQ18" s="314" t="s">
        <v>203</v>
      </c>
      <c r="IZR18" s="314" t="s">
        <v>203</v>
      </c>
      <c r="IZS18" s="314" t="s">
        <v>203</v>
      </c>
      <c r="IZT18" s="314" t="s">
        <v>203</v>
      </c>
      <c r="IZU18" s="314" t="s">
        <v>203</v>
      </c>
      <c r="IZV18" s="314" t="s">
        <v>203</v>
      </c>
      <c r="IZW18" s="314" t="s">
        <v>203</v>
      </c>
      <c r="IZX18" s="314" t="s">
        <v>203</v>
      </c>
      <c r="IZY18" s="314" t="s">
        <v>203</v>
      </c>
      <c r="IZZ18" s="314" t="s">
        <v>203</v>
      </c>
      <c r="JAA18" s="314" t="s">
        <v>203</v>
      </c>
      <c r="JAB18" s="314" t="s">
        <v>203</v>
      </c>
      <c r="JAC18" s="314" t="s">
        <v>203</v>
      </c>
      <c r="JAD18" s="314" t="s">
        <v>203</v>
      </c>
      <c r="JAE18" s="314" t="s">
        <v>203</v>
      </c>
      <c r="JAF18" s="314" t="s">
        <v>203</v>
      </c>
      <c r="JAG18" s="314" t="s">
        <v>203</v>
      </c>
      <c r="JAH18" s="314" t="s">
        <v>203</v>
      </c>
      <c r="JAI18" s="314" t="s">
        <v>203</v>
      </c>
      <c r="JAJ18" s="314" t="s">
        <v>203</v>
      </c>
      <c r="JAK18" s="314" t="s">
        <v>203</v>
      </c>
      <c r="JAL18" s="314" t="s">
        <v>203</v>
      </c>
      <c r="JAM18" s="314" t="s">
        <v>203</v>
      </c>
      <c r="JAN18" s="314" t="s">
        <v>203</v>
      </c>
      <c r="JAO18" s="314" t="s">
        <v>203</v>
      </c>
      <c r="JAP18" s="314" t="s">
        <v>203</v>
      </c>
      <c r="JAQ18" s="314" t="s">
        <v>203</v>
      </c>
      <c r="JAR18" s="314" t="s">
        <v>203</v>
      </c>
      <c r="JAS18" s="314" t="s">
        <v>203</v>
      </c>
      <c r="JAT18" s="314" t="s">
        <v>203</v>
      </c>
      <c r="JAU18" s="314" t="s">
        <v>203</v>
      </c>
      <c r="JAV18" s="314" t="s">
        <v>203</v>
      </c>
      <c r="JAW18" s="314" t="s">
        <v>203</v>
      </c>
      <c r="JAX18" s="314" t="s">
        <v>203</v>
      </c>
      <c r="JAY18" s="314" t="s">
        <v>203</v>
      </c>
      <c r="JAZ18" s="314" t="s">
        <v>203</v>
      </c>
      <c r="JBA18" s="314" t="s">
        <v>203</v>
      </c>
      <c r="JBB18" s="314" t="s">
        <v>203</v>
      </c>
      <c r="JBC18" s="314" t="s">
        <v>203</v>
      </c>
      <c r="JBD18" s="314" t="s">
        <v>203</v>
      </c>
      <c r="JBE18" s="314" t="s">
        <v>203</v>
      </c>
      <c r="JBF18" s="314" t="s">
        <v>203</v>
      </c>
      <c r="JBG18" s="314" t="s">
        <v>203</v>
      </c>
      <c r="JBH18" s="314" t="s">
        <v>203</v>
      </c>
      <c r="JBI18" s="314" t="s">
        <v>203</v>
      </c>
      <c r="JBJ18" s="314" t="s">
        <v>203</v>
      </c>
      <c r="JBK18" s="314" t="s">
        <v>203</v>
      </c>
      <c r="JBL18" s="314" t="s">
        <v>203</v>
      </c>
      <c r="JBM18" s="314" t="s">
        <v>203</v>
      </c>
      <c r="JBN18" s="314" t="s">
        <v>203</v>
      </c>
      <c r="JBO18" s="314" t="s">
        <v>203</v>
      </c>
      <c r="JBP18" s="314" t="s">
        <v>203</v>
      </c>
      <c r="JBQ18" s="314" t="s">
        <v>203</v>
      </c>
      <c r="JBR18" s="314" t="s">
        <v>203</v>
      </c>
      <c r="JBS18" s="314" t="s">
        <v>203</v>
      </c>
      <c r="JBT18" s="314" t="s">
        <v>203</v>
      </c>
      <c r="JBU18" s="314" t="s">
        <v>203</v>
      </c>
      <c r="JBV18" s="314" t="s">
        <v>203</v>
      </c>
      <c r="JBW18" s="314" t="s">
        <v>203</v>
      </c>
      <c r="JBX18" s="314" t="s">
        <v>203</v>
      </c>
      <c r="JBY18" s="314" t="s">
        <v>203</v>
      </c>
      <c r="JBZ18" s="314" t="s">
        <v>203</v>
      </c>
      <c r="JCA18" s="314" t="s">
        <v>203</v>
      </c>
      <c r="JCB18" s="314" t="s">
        <v>203</v>
      </c>
      <c r="JCC18" s="314" t="s">
        <v>203</v>
      </c>
      <c r="JCD18" s="314" t="s">
        <v>203</v>
      </c>
      <c r="JCE18" s="314" t="s">
        <v>203</v>
      </c>
      <c r="JCF18" s="314" t="s">
        <v>203</v>
      </c>
      <c r="JCG18" s="314" t="s">
        <v>203</v>
      </c>
      <c r="JCH18" s="314" t="s">
        <v>203</v>
      </c>
      <c r="JCI18" s="314" t="s">
        <v>203</v>
      </c>
      <c r="JCJ18" s="314" t="s">
        <v>203</v>
      </c>
      <c r="JCK18" s="314" t="s">
        <v>203</v>
      </c>
      <c r="JCL18" s="314" t="s">
        <v>203</v>
      </c>
      <c r="JCM18" s="314" t="s">
        <v>203</v>
      </c>
      <c r="JCN18" s="314" t="s">
        <v>203</v>
      </c>
      <c r="JCO18" s="314" t="s">
        <v>203</v>
      </c>
      <c r="JCP18" s="314" t="s">
        <v>203</v>
      </c>
      <c r="JCQ18" s="314" t="s">
        <v>203</v>
      </c>
      <c r="JCR18" s="314" t="s">
        <v>203</v>
      </c>
      <c r="JCS18" s="314" t="s">
        <v>203</v>
      </c>
      <c r="JCT18" s="314" t="s">
        <v>203</v>
      </c>
      <c r="JCU18" s="314" t="s">
        <v>203</v>
      </c>
      <c r="JCV18" s="314" t="s">
        <v>203</v>
      </c>
      <c r="JCW18" s="314" t="s">
        <v>203</v>
      </c>
      <c r="JCX18" s="314" t="s">
        <v>203</v>
      </c>
      <c r="JCY18" s="314" t="s">
        <v>203</v>
      </c>
      <c r="JCZ18" s="314" t="s">
        <v>203</v>
      </c>
      <c r="JDA18" s="314" t="s">
        <v>203</v>
      </c>
      <c r="JDB18" s="314" t="s">
        <v>203</v>
      </c>
      <c r="JDC18" s="314" t="s">
        <v>203</v>
      </c>
      <c r="JDD18" s="314" t="s">
        <v>203</v>
      </c>
      <c r="JDE18" s="314" t="s">
        <v>203</v>
      </c>
      <c r="JDF18" s="314" t="s">
        <v>203</v>
      </c>
      <c r="JDG18" s="314" t="s">
        <v>203</v>
      </c>
      <c r="JDH18" s="314" t="s">
        <v>203</v>
      </c>
      <c r="JDI18" s="314" t="s">
        <v>203</v>
      </c>
      <c r="JDJ18" s="314" t="s">
        <v>203</v>
      </c>
      <c r="JDK18" s="314" t="s">
        <v>203</v>
      </c>
      <c r="JDL18" s="314" t="s">
        <v>203</v>
      </c>
      <c r="JDM18" s="314" t="s">
        <v>203</v>
      </c>
      <c r="JDN18" s="314" t="s">
        <v>203</v>
      </c>
      <c r="JDO18" s="314" t="s">
        <v>203</v>
      </c>
      <c r="JDP18" s="314" t="s">
        <v>203</v>
      </c>
      <c r="JDQ18" s="314" t="s">
        <v>203</v>
      </c>
      <c r="JDR18" s="314" t="s">
        <v>203</v>
      </c>
      <c r="JDS18" s="314" t="s">
        <v>203</v>
      </c>
      <c r="JDT18" s="314" t="s">
        <v>203</v>
      </c>
      <c r="JDU18" s="314" t="s">
        <v>203</v>
      </c>
      <c r="JDV18" s="314" t="s">
        <v>203</v>
      </c>
      <c r="JDW18" s="314" t="s">
        <v>203</v>
      </c>
      <c r="JDX18" s="314" t="s">
        <v>203</v>
      </c>
      <c r="JDY18" s="314" t="s">
        <v>203</v>
      </c>
      <c r="JDZ18" s="314" t="s">
        <v>203</v>
      </c>
      <c r="JEA18" s="314" t="s">
        <v>203</v>
      </c>
      <c r="JEB18" s="314" t="s">
        <v>203</v>
      </c>
      <c r="JEC18" s="314" t="s">
        <v>203</v>
      </c>
      <c r="JED18" s="314" t="s">
        <v>203</v>
      </c>
      <c r="JEE18" s="314" t="s">
        <v>203</v>
      </c>
      <c r="JEF18" s="314" t="s">
        <v>203</v>
      </c>
      <c r="JEG18" s="314" t="s">
        <v>203</v>
      </c>
      <c r="JEH18" s="314" t="s">
        <v>203</v>
      </c>
      <c r="JEI18" s="314" t="s">
        <v>203</v>
      </c>
      <c r="JEJ18" s="314" t="s">
        <v>203</v>
      </c>
      <c r="JEK18" s="314" t="s">
        <v>203</v>
      </c>
      <c r="JEL18" s="314" t="s">
        <v>203</v>
      </c>
      <c r="JEM18" s="314" t="s">
        <v>203</v>
      </c>
      <c r="JEN18" s="314" t="s">
        <v>203</v>
      </c>
      <c r="JEO18" s="314" t="s">
        <v>203</v>
      </c>
      <c r="JEP18" s="314" t="s">
        <v>203</v>
      </c>
      <c r="JEQ18" s="314" t="s">
        <v>203</v>
      </c>
      <c r="JER18" s="314" t="s">
        <v>203</v>
      </c>
      <c r="JES18" s="314" t="s">
        <v>203</v>
      </c>
      <c r="JET18" s="314" t="s">
        <v>203</v>
      </c>
      <c r="JEU18" s="314" t="s">
        <v>203</v>
      </c>
      <c r="JEV18" s="314" t="s">
        <v>203</v>
      </c>
      <c r="JEW18" s="314" t="s">
        <v>203</v>
      </c>
      <c r="JEX18" s="314" t="s">
        <v>203</v>
      </c>
      <c r="JEY18" s="314" t="s">
        <v>203</v>
      </c>
      <c r="JEZ18" s="314" t="s">
        <v>203</v>
      </c>
      <c r="JFA18" s="314" t="s">
        <v>203</v>
      </c>
      <c r="JFB18" s="314" t="s">
        <v>203</v>
      </c>
      <c r="JFC18" s="314" t="s">
        <v>203</v>
      </c>
      <c r="JFD18" s="314" t="s">
        <v>203</v>
      </c>
      <c r="JFE18" s="314" t="s">
        <v>203</v>
      </c>
      <c r="JFF18" s="314" t="s">
        <v>203</v>
      </c>
      <c r="JFG18" s="314" t="s">
        <v>203</v>
      </c>
      <c r="JFH18" s="314" t="s">
        <v>203</v>
      </c>
      <c r="JFI18" s="314" t="s">
        <v>203</v>
      </c>
      <c r="JFJ18" s="314" t="s">
        <v>203</v>
      </c>
      <c r="JFK18" s="314" t="s">
        <v>203</v>
      </c>
      <c r="JFL18" s="314" t="s">
        <v>203</v>
      </c>
      <c r="JFM18" s="314" t="s">
        <v>203</v>
      </c>
      <c r="JFN18" s="314" t="s">
        <v>203</v>
      </c>
      <c r="JFO18" s="314" t="s">
        <v>203</v>
      </c>
      <c r="JFP18" s="314" t="s">
        <v>203</v>
      </c>
      <c r="JFQ18" s="314" t="s">
        <v>203</v>
      </c>
      <c r="JFR18" s="314" t="s">
        <v>203</v>
      </c>
      <c r="JFS18" s="314" t="s">
        <v>203</v>
      </c>
      <c r="JFT18" s="314" t="s">
        <v>203</v>
      </c>
      <c r="JFU18" s="314" t="s">
        <v>203</v>
      </c>
      <c r="JFV18" s="314" t="s">
        <v>203</v>
      </c>
      <c r="JFW18" s="314" t="s">
        <v>203</v>
      </c>
      <c r="JFX18" s="314" t="s">
        <v>203</v>
      </c>
      <c r="JFY18" s="314" t="s">
        <v>203</v>
      </c>
      <c r="JFZ18" s="314" t="s">
        <v>203</v>
      </c>
      <c r="JGA18" s="314" t="s">
        <v>203</v>
      </c>
      <c r="JGB18" s="314" t="s">
        <v>203</v>
      </c>
      <c r="JGC18" s="314" t="s">
        <v>203</v>
      </c>
      <c r="JGD18" s="314" t="s">
        <v>203</v>
      </c>
      <c r="JGE18" s="314" t="s">
        <v>203</v>
      </c>
      <c r="JGF18" s="314" t="s">
        <v>203</v>
      </c>
      <c r="JGG18" s="314" t="s">
        <v>203</v>
      </c>
      <c r="JGH18" s="314" t="s">
        <v>203</v>
      </c>
      <c r="JGI18" s="314" t="s">
        <v>203</v>
      </c>
      <c r="JGJ18" s="314" t="s">
        <v>203</v>
      </c>
      <c r="JGK18" s="314" t="s">
        <v>203</v>
      </c>
      <c r="JGL18" s="314" t="s">
        <v>203</v>
      </c>
      <c r="JGM18" s="314" t="s">
        <v>203</v>
      </c>
      <c r="JGN18" s="314" t="s">
        <v>203</v>
      </c>
      <c r="JGO18" s="314" t="s">
        <v>203</v>
      </c>
      <c r="JGP18" s="314" t="s">
        <v>203</v>
      </c>
      <c r="JGQ18" s="314" t="s">
        <v>203</v>
      </c>
      <c r="JGR18" s="314" t="s">
        <v>203</v>
      </c>
      <c r="JGS18" s="314" t="s">
        <v>203</v>
      </c>
      <c r="JGT18" s="314" t="s">
        <v>203</v>
      </c>
      <c r="JGU18" s="314" t="s">
        <v>203</v>
      </c>
      <c r="JGV18" s="314" t="s">
        <v>203</v>
      </c>
      <c r="JGW18" s="314" t="s">
        <v>203</v>
      </c>
      <c r="JGX18" s="314" t="s">
        <v>203</v>
      </c>
      <c r="JGY18" s="314" t="s">
        <v>203</v>
      </c>
      <c r="JGZ18" s="314" t="s">
        <v>203</v>
      </c>
      <c r="JHA18" s="314" t="s">
        <v>203</v>
      </c>
      <c r="JHB18" s="314" t="s">
        <v>203</v>
      </c>
      <c r="JHC18" s="314" t="s">
        <v>203</v>
      </c>
      <c r="JHD18" s="314" t="s">
        <v>203</v>
      </c>
      <c r="JHE18" s="314" t="s">
        <v>203</v>
      </c>
      <c r="JHF18" s="314" t="s">
        <v>203</v>
      </c>
      <c r="JHG18" s="314" t="s">
        <v>203</v>
      </c>
      <c r="JHH18" s="314" t="s">
        <v>203</v>
      </c>
      <c r="JHI18" s="314" t="s">
        <v>203</v>
      </c>
      <c r="JHJ18" s="314" t="s">
        <v>203</v>
      </c>
      <c r="JHK18" s="314" t="s">
        <v>203</v>
      </c>
      <c r="JHL18" s="314" t="s">
        <v>203</v>
      </c>
      <c r="JHM18" s="314" t="s">
        <v>203</v>
      </c>
      <c r="JHN18" s="314" t="s">
        <v>203</v>
      </c>
      <c r="JHO18" s="314" t="s">
        <v>203</v>
      </c>
      <c r="JHP18" s="314" t="s">
        <v>203</v>
      </c>
      <c r="JHQ18" s="314" t="s">
        <v>203</v>
      </c>
      <c r="JHR18" s="314" t="s">
        <v>203</v>
      </c>
      <c r="JHS18" s="314" t="s">
        <v>203</v>
      </c>
      <c r="JHT18" s="314" t="s">
        <v>203</v>
      </c>
      <c r="JHU18" s="314" t="s">
        <v>203</v>
      </c>
      <c r="JHV18" s="314" t="s">
        <v>203</v>
      </c>
      <c r="JHW18" s="314" t="s">
        <v>203</v>
      </c>
      <c r="JHX18" s="314" t="s">
        <v>203</v>
      </c>
      <c r="JHY18" s="314" t="s">
        <v>203</v>
      </c>
      <c r="JHZ18" s="314" t="s">
        <v>203</v>
      </c>
      <c r="JIA18" s="314" t="s">
        <v>203</v>
      </c>
      <c r="JIB18" s="314" t="s">
        <v>203</v>
      </c>
      <c r="JIC18" s="314" t="s">
        <v>203</v>
      </c>
      <c r="JID18" s="314" t="s">
        <v>203</v>
      </c>
      <c r="JIE18" s="314" t="s">
        <v>203</v>
      </c>
      <c r="JIF18" s="314" t="s">
        <v>203</v>
      </c>
      <c r="JIG18" s="314" t="s">
        <v>203</v>
      </c>
      <c r="JIH18" s="314" t="s">
        <v>203</v>
      </c>
      <c r="JII18" s="314" t="s">
        <v>203</v>
      </c>
      <c r="JIJ18" s="314" t="s">
        <v>203</v>
      </c>
      <c r="JIK18" s="314" t="s">
        <v>203</v>
      </c>
      <c r="JIL18" s="314" t="s">
        <v>203</v>
      </c>
      <c r="JIM18" s="314" t="s">
        <v>203</v>
      </c>
      <c r="JIN18" s="314" t="s">
        <v>203</v>
      </c>
      <c r="JIO18" s="314" t="s">
        <v>203</v>
      </c>
      <c r="JIP18" s="314" t="s">
        <v>203</v>
      </c>
      <c r="JIQ18" s="314" t="s">
        <v>203</v>
      </c>
      <c r="JIR18" s="314" t="s">
        <v>203</v>
      </c>
      <c r="JIS18" s="314" t="s">
        <v>203</v>
      </c>
      <c r="JIT18" s="314" t="s">
        <v>203</v>
      </c>
      <c r="JIU18" s="314" t="s">
        <v>203</v>
      </c>
      <c r="JIV18" s="314" t="s">
        <v>203</v>
      </c>
      <c r="JIW18" s="314" t="s">
        <v>203</v>
      </c>
      <c r="JIX18" s="314" t="s">
        <v>203</v>
      </c>
      <c r="JIY18" s="314" t="s">
        <v>203</v>
      </c>
      <c r="JIZ18" s="314" t="s">
        <v>203</v>
      </c>
      <c r="JJA18" s="314" t="s">
        <v>203</v>
      </c>
      <c r="JJB18" s="314" t="s">
        <v>203</v>
      </c>
      <c r="JJC18" s="314" t="s">
        <v>203</v>
      </c>
      <c r="JJD18" s="314" t="s">
        <v>203</v>
      </c>
      <c r="JJE18" s="314" t="s">
        <v>203</v>
      </c>
      <c r="JJF18" s="314" t="s">
        <v>203</v>
      </c>
      <c r="JJG18" s="314" t="s">
        <v>203</v>
      </c>
      <c r="JJH18" s="314" t="s">
        <v>203</v>
      </c>
      <c r="JJI18" s="314" t="s">
        <v>203</v>
      </c>
      <c r="JJJ18" s="314" t="s">
        <v>203</v>
      </c>
      <c r="JJK18" s="314" t="s">
        <v>203</v>
      </c>
      <c r="JJL18" s="314" t="s">
        <v>203</v>
      </c>
      <c r="JJM18" s="314" t="s">
        <v>203</v>
      </c>
      <c r="JJN18" s="314" t="s">
        <v>203</v>
      </c>
      <c r="JJO18" s="314" t="s">
        <v>203</v>
      </c>
      <c r="JJP18" s="314" t="s">
        <v>203</v>
      </c>
      <c r="JJQ18" s="314" t="s">
        <v>203</v>
      </c>
      <c r="JJR18" s="314" t="s">
        <v>203</v>
      </c>
      <c r="JJS18" s="314" t="s">
        <v>203</v>
      </c>
      <c r="JJT18" s="314" t="s">
        <v>203</v>
      </c>
      <c r="JJU18" s="314" t="s">
        <v>203</v>
      </c>
      <c r="JJV18" s="314" t="s">
        <v>203</v>
      </c>
      <c r="JJW18" s="314" t="s">
        <v>203</v>
      </c>
      <c r="JJX18" s="314" t="s">
        <v>203</v>
      </c>
      <c r="JJY18" s="314" t="s">
        <v>203</v>
      </c>
      <c r="JJZ18" s="314" t="s">
        <v>203</v>
      </c>
      <c r="JKA18" s="314" t="s">
        <v>203</v>
      </c>
      <c r="JKB18" s="314" t="s">
        <v>203</v>
      </c>
      <c r="JKC18" s="314" t="s">
        <v>203</v>
      </c>
      <c r="JKD18" s="314" t="s">
        <v>203</v>
      </c>
      <c r="JKE18" s="314" t="s">
        <v>203</v>
      </c>
      <c r="JKF18" s="314" t="s">
        <v>203</v>
      </c>
      <c r="JKG18" s="314" t="s">
        <v>203</v>
      </c>
      <c r="JKH18" s="314" t="s">
        <v>203</v>
      </c>
      <c r="JKI18" s="314" t="s">
        <v>203</v>
      </c>
      <c r="JKJ18" s="314" t="s">
        <v>203</v>
      </c>
      <c r="JKK18" s="314" t="s">
        <v>203</v>
      </c>
      <c r="JKL18" s="314" t="s">
        <v>203</v>
      </c>
      <c r="JKM18" s="314" t="s">
        <v>203</v>
      </c>
      <c r="JKN18" s="314" t="s">
        <v>203</v>
      </c>
      <c r="JKO18" s="314" t="s">
        <v>203</v>
      </c>
      <c r="JKP18" s="314" t="s">
        <v>203</v>
      </c>
      <c r="JKQ18" s="314" t="s">
        <v>203</v>
      </c>
      <c r="JKR18" s="314" t="s">
        <v>203</v>
      </c>
      <c r="JKS18" s="314" t="s">
        <v>203</v>
      </c>
      <c r="JKT18" s="314" t="s">
        <v>203</v>
      </c>
      <c r="JKU18" s="314" t="s">
        <v>203</v>
      </c>
      <c r="JKV18" s="314" t="s">
        <v>203</v>
      </c>
      <c r="JKW18" s="314" t="s">
        <v>203</v>
      </c>
      <c r="JKX18" s="314" t="s">
        <v>203</v>
      </c>
      <c r="JKY18" s="314" t="s">
        <v>203</v>
      </c>
      <c r="JKZ18" s="314" t="s">
        <v>203</v>
      </c>
      <c r="JLA18" s="314" t="s">
        <v>203</v>
      </c>
      <c r="JLB18" s="314" t="s">
        <v>203</v>
      </c>
      <c r="JLC18" s="314" t="s">
        <v>203</v>
      </c>
      <c r="JLD18" s="314" t="s">
        <v>203</v>
      </c>
      <c r="JLE18" s="314" t="s">
        <v>203</v>
      </c>
      <c r="JLF18" s="314" t="s">
        <v>203</v>
      </c>
      <c r="JLG18" s="314" t="s">
        <v>203</v>
      </c>
      <c r="JLH18" s="314" t="s">
        <v>203</v>
      </c>
      <c r="JLI18" s="314" t="s">
        <v>203</v>
      </c>
      <c r="JLJ18" s="314" t="s">
        <v>203</v>
      </c>
      <c r="JLK18" s="314" t="s">
        <v>203</v>
      </c>
      <c r="JLL18" s="314" t="s">
        <v>203</v>
      </c>
      <c r="JLM18" s="314" t="s">
        <v>203</v>
      </c>
      <c r="JLN18" s="314" t="s">
        <v>203</v>
      </c>
      <c r="JLO18" s="314" t="s">
        <v>203</v>
      </c>
      <c r="JLP18" s="314" t="s">
        <v>203</v>
      </c>
      <c r="JLQ18" s="314" t="s">
        <v>203</v>
      </c>
      <c r="JLR18" s="314" t="s">
        <v>203</v>
      </c>
      <c r="JLS18" s="314" t="s">
        <v>203</v>
      </c>
      <c r="JLT18" s="314" t="s">
        <v>203</v>
      </c>
      <c r="JLU18" s="314" t="s">
        <v>203</v>
      </c>
      <c r="JLV18" s="314" t="s">
        <v>203</v>
      </c>
      <c r="JLW18" s="314" t="s">
        <v>203</v>
      </c>
      <c r="JLX18" s="314" t="s">
        <v>203</v>
      </c>
      <c r="JLY18" s="314" t="s">
        <v>203</v>
      </c>
      <c r="JLZ18" s="314" t="s">
        <v>203</v>
      </c>
      <c r="JMA18" s="314" t="s">
        <v>203</v>
      </c>
      <c r="JMB18" s="314" t="s">
        <v>203</v>
      </c>
      <c r="JMC18" s="314" t="s">
        <v>203</v>
      </c>
      <c r="JMD18" s="314" t="s">
        <v>203</v>
      </c>
      <c r="JME18" s="314" t="s">
        <v>203</v>
      </c>
      <c r="JMF18" s="314" t="s">
        <v>203</v>
      </c>
      <c r="JMG18" s="314" t="s">
        <v>203</v>
      </c>
      <c r="JMH18" s="314" t="s">
        <v>203</v>
      </c>
      <c r="JMI18" s="314" t="s">
        <v>203</v>
      </c>
      <c r="JMJ18" s="314" t="s">
        <v>203</v>
      </c>
      <c r="JMK18" s="314" t="s">
        <v>203</v>
      </c>
      <c r="JML18" s="314" t="s">
        <v>203</v>
      </c>
      <c r="JMM18" s="314" t="s">
        <v>203</v>
      </c>
      <c r="JMN18" s="314" t="s">
        <v>203</v>
      </c>
      <c r="JMO18" s="314" t="s">
        <v>203</v>
      </c>
      <c r="JMP18" s="314" t="s">
        <v>203</v>
      </c>
      <c r="JMQ18" s="314" t="s">
        <v>203</v>
      </c>
      <c r="JMR18" s="314" t="s">
        <v>203</v>
      </c>
      <c r="JMS18" s="314" t="s">
        <v>203</v>
      </c>
      <c r="JMT18" s="314" t="s">
        <v>203</v>
      </c>
      <c r="JMU18" s="314" t="s">
        <v>203</v>
      </c>
      <c r="JMV18" s="314" t="s">
        <v>203</v>
      </c>
      <c r="JMW18" s="314" t="s">
        <v>203</v>
      </c>
      <c r="JMX18" s="314" t="s">
        <v>203</v>
      </c>
      <c r="JMY18" s="314" t="s">
        <v>203</v>
      </c>
      <c r="JMZ18" s="314" t="s">
        <v>203</v>
      </c>
      <c r="JNA18" s="314" t="s">
        <v>203</v>
      </c>
      <c r="JNB18" s="314" t="s">
        <v>203</v>
      </c>
      <c r="JNC18" s="314" t="s">
        <v>203</v>
      </c>
      <c r="JND18" s="314" t="s">
        <v>203</v>
      </c>
      <c r="JNE18" s="314" t="s">
        <v>203</v>
      </c>
      <c r="JNF18" s="314" t="s">
        <v>203</v>
      </c>
      <c r="JNG18" s="314" t="s">
        <v>203</v>
      </c>
      <c r="JNH18" s="314" t="s">
        <v>203</v>
      </c>
      <c r="JNI18" s="314" t="s">
        <v>203</v>
      </c>
      <c r="JNJ18" s="314" t="s">
        <v>203</v>
      </c>
      <c r="JNK18" s="314" t="s">
        <v>203</v>
      </c>
      <c r="JNL18" s="314" t="s">
        <v>203</v>
      </c>
      <c r="JNM18" s="314" t="s">
        <v>203</v>
      </c>
      <c r="JNN18" s="314" t="s">
        <v>203</v>
      </c>
      <c r="JNO18" s="314" t="s">
        <v>203</v>
      </c>
      <c r="JNP18" s="314" t="s">
        <v>203</v>
      </c>
      <c r="JNQ18" s="314" t="s">
        <v>203</v>
      </c>
      <c r="JNR18" s="314" t="s">
        <v>203</v>
      </c>
      <c r="JNS18" s="314" t="s">
        <v>203</v>
      </c>
      <c r="JNT18" s="314" t="s">
        <v>203</v>
      </c>
      <c r="JNU18" s="314" t="s">
        <v>203</v>
      </c>
      <c r="JNV18" s="314" t="s">
        <v>203</v>
      </c>
      <c r="JNW18" s="314" t="s">
        <v>203</v>
      </c>
      <c r="JNX18" s="314" t="s">
        <v>203</v>
      </c>
      <c r="JNY18" s="314" t="s">
        <v>203</v>
      </c>
      <c r="JNZ18" s="314" t="s">
        <v>203</v>
      </c>
      <c r="JOA18" s="314" t="s">
        <v>203</v>
      </c>
      <c r="JOB18" s="314" t="s">
        <v>203</v>
      </c>
      <c r="JOC18" s="314" t="s">
        <v>203</v>
      </c>
      <c r="JOD18" s="314" t="s">
        <v>203</v>
      </c>
      <c r="JOE18" s="314" t="s">
        <v>203</v>
      </c>
      <c r="JOF18" s="314" t="s">
        <v>203</v>
      </c>
      <c r="JOG18" s="314" t="s">
        <v>203</v>
      </c>
      <c r="JOH18" s="314" t="s">
        <v>203</v>
      </c>
      <c r="JOI18" s="314" t="s">
        <v>203</v>
      </c>
      <c r="JOJ18" s="314" t="s">
        <v>203</v>
      </c>
      <c r="JOK18" s="314" t="s">
        <v>203</v>
      </c>
      <c r="JOL18" s="314" t="s">
        <v>203</v>
      </c>
      <c r="JOM18" s="314" t="s">
        <v>203</v>
      </c>
      <c r="JON18" s="314" t="s">
        <v>203</v>
      </c>
      <c r="JOO18" s="314" t="s">
        <v>203</v>
      </c>
      <c r="JOP18" s="314" t="s">
        <v>203</v>
      </c>
      <c r="JOQ18" s="314" t="s">
        <v>203</v>
      </c>
      <c r="JOR18" s="314" t="s">
        <v>203</v>
      </c>
      <c r="JOS18" s="314" t="s">
        <v>203</v>
      </c>
      <c r="JOT18" s="314" t="s">
        <v>203</v>
      </c>
      <c r="JOU18" s="314" t="s">
        <v>203</v>
      </c>
      <c r="JOV18" s="314" t="s">
        <v>203</v>
      </c>
      <c r="JOW18" s="314" t="s">
        <v>203</v>
      </c>
      <c r="JOX18" s="314" t="s">
        <v>203</v>
      </c>
      <c r="JOY18" s="314" t="s">
        <v>203</v>
      </c>
      <c r="JOZ18" s="314" t="s">
        <v>203</v>
      </c>
      <c r="JPA18" s="314" t="s">
        <v>203</v>
      </c>
      <c r="JPB18" s="314" t="s">
        <v>203</v>
      </c>
      <c r="JPC18" s="314" t="s">
        <v>203</v>
      </c>
      <c r="JPD18" s="314" t="s">
        <v>203</v>
      </c>
      <c r="JPE18" s="314" t="s">
        <v>203</v>
      </c>
      <c r="JPF18" s="314" t="s">
        <v>203</v>
      </c>
      <c r="JPG18" s="314" t="s">
        <v>203</v>
      </c>
      <c r="JPH18" s="314" t="s">
        <v>203</v>
      </c>
      <c r="JPI18" s="314" t="s">
        <v>203</v>
      </c>
      <c r="JPJ18" s="314" t="s">
        <v>203</v>
      </c>
      <c r="JPK18" s="314" t="s">
        <v>203</v>
      </c>
      <c r="JPL18" s="314" t="s">
        <v>203</v>
      </c>
      <c r="JPM18" s="314" t="s">
        <v>203</v>
      </c>
      <c r="JPN18" s="314" t="s">
        <v>203</v>
      </c>
      <c r="JPO18" s="314" t="s">
        <v>203</v>
      </c>
      <c r="JPP18" s="314" t="s">
        <v>203</v>
      </c>
      <c r="JPQ18" s="314" t="s">
        <v>203</v>
      </c>
      <c r="JPR18" s="314" t="s">
        <v>203</v>
      </c>
      <c r="JPS18" s="314" t="s">
        <v>203</v>
      </c>
      <c r="JPT18" s="314" t="s">
        <v>203</v>
      </c>
      <c r="JPU18" s="314" t="s">
        <v>203</v>
      </c>
      <c r="JPV18" s="314" t="s">
        <v>203</v>
      </c>
      <c r="JPW18" s="314" t="s">
        <v>203</v>
      </c>
      <c r="JPX18" s="314" t="s">
        <v>203</v>
      </c>
      <c r="JPY18" s="314" t="s">
        <v>203</v>
      </c>
      <c r="JPZ18" s="314" t="s">
        <v>203</v>
      </c>
      <c r="JQA18" s="314" t="s">
        <v>203</v>
      </c>
      <c r="JQB18" s="314" t="s">
        <v>203</v>
      </c>
      <c r="JQC18" s="314" t="s">
        <v>203</v>
      </c>
      <c r="JQD18" s="314" t="s">
        <v>203</v>
      </c>
      <c r="JQE18" s="314" t="s">
        <v>203</v>
      </c>
      <c r="JQF18" s="314" t="s">
        <v>203</v>
      </c>
      <c r="JQG18" s="314" t="s">
        <v>203</v>
      </c>
      <c r="JQH18" s="314" t="s">
        <v>203</v>
      </c>
      <c r="JQI18" s="314" t="s">
        <v>203</v>
      </c>
      <c r="JQJ18" s="314" t="s">
        <v>203</v>
      </c>
      <c r="JQK18" s="314" t="s">
        <v>203</v>
      </c>
      <c r="JQL18" s="314" t="s">
        <v>203</v>
      </c>
      <c r="JQM18" s="314" t="s">
        <v>203</v>
      </c>
      <c r="JQN18" s="314" t="s">
        <v>203</v>
      </c>
      <c r="JQO18" s="314" t="s">
        <v>203</v>
      </c>
      <c r="JQP18" s="314" t="s">
        <v>203</v>
      </c>
      <c r="JQQ18" s="314" t="s">
        <v>203</v>
      </c>
      <c r="JQR18" s="314" t="s">
        <v>203</v>
      </c>
      <c r="JQS18" s="314" t="s">
        <v>203</v>
      </c>
      <c r="JQT18" s="314" t="s">
        <v>203</v>
      </c>
      <c r="JQU18" s="314" t="s">
        <v>203</v>
      </c>
      <c r="JQV18" s="314" t="s">
        <v>203</v>
      </c>
      <c r="JQW18" s="314" t="s">
        <v>203</v>
      </c>
      <c r="JQX18" s="314" t="s">
        <v>203</v>
      </c>
      <c r="JQY18" s="314" t="s">
        <v>203</v>
      </c>
      <c r="JQZ18" s="314" t="s">
        <v>203</v>
      </c>
      <c r="JRA18" s="314" t="s">
        <v>203</v>
      </c>
      <c r="JRB18" s="314" t="s">
        <v>203</v>
      </c>
      <c r="JRC18" s="314" t="s">
        <v>203</v>
      </c>
      <c r="JRD18" s="314" t="s">
        <v>203</v>
      </c>
      <c r="JRE18" s="314" t="s">
        <v>203</v>
      </c>
      <c r="JRF18" s="314" t="s">
        <v>203</v>
      </c>
      <c r="JRG18" s="314" t="s">
        <v>203</v>
      </c>
      <c r="JRH18" s="314" t="s">
        <v>203</v>
      </c>
      <c r="JRI18" s="314" t="s">
        <v>203</v>
      </c>
      <c r="JRJ18" s="314" t="s">
        <v>203</v>
      </c>
      <c r="JRK18" s="314" t="s">
        <v>203</v>
      </c>
      <c r="JRL18" s="314" t="s">
        <v>203</v>
      </c>
      <c r="JRM18" s="314" t="s">
        <v>203</v>
      </c>
      <c r="JRN18" s="314" t="s">
        <v>203</v>
      </c>
      <c r="JRO18" s="314" t="s">
        <v>203</v>
      </c>
      <c r="JRP18" s="314" t="s">
        <v>203</v>
      </c>
      <c r="JRQ18" s="314" t="s">
        <v>203</v>
      </c>
      <c r="JRR18" s="314" t="s">
        <v>203</v>
      </c>
      <c r="JRS18" s="314" t="s">
        <v>203</v>
      </c>
      <c r="JRT18" s="314" t="s">
        <v>203</v>
      </c>
      <c r="JRU18" s="314" t="s">
        <v>203</v>
      </c>
      <c r="JRV18" s="314" t="s">
        <v>203</v>
      </c>
      <c r="JRW18" s="314" t="s">
        <v>203</v>
      </c>
      <c r="JRX18" s="314" t="s">
        <v>203</v>
      </c>
      <c r="JRY18" s="314" t="s">
        <v>203</v>
      </c>
      <c r="JRZ18" s="314" t="s">
        <v>203</v>
      </c>
      <c r="JSA18" s="314" t="s">
        <v>203</v>
      </c>
      <c r="JSB18" s="314" t="s">
        <v>203</v>
      </c>
      <c r="JSC18" s="314" t="s">
        <v>203</v>
      </c>
      <c r="JSD18" s="314" t="s">
        <v>203</v>
      </c>
      <c r="JSE18" s="314" t="s">
        <v>203</v>
      </c>
      <c r="JSF18" s="314" t="s">
        <v>203</v>
      </c>
      <c r="JSG18" s="314" t="s">
        <v>203</v>
      </c>
      <c r="JSH18" s="314" t="s">
        <v>203</v>
      </c>
      <c r="JSI18" s="314" t="s">
        <v>203</v>
      </c>
      <c r="JSJ18" s="314" t="s">
        <v>203</v>
      </c>
      <c r="JSK18" s="314" t="s">
        <v>203</v>
      </c>
      <c r="JSL18" s="314" t="s">
        <v>203</v>
      </c>
      <c r="JSM18" s="314" t="s">
        <v>203</v>
      </c>
      <c r="JSN18" s="314" t="s">
        <v>203</v>
      </c>
      <c r="JSO18" s="314" t="s">
        <v>203</v>
      </c>
      <c r="JSP18" s="314" t="s">
        <v>203</v>
      </c>
      <c r="JSQ18" s="314" t="s">
        <v>203</v>
      </c>
      <c r="JSR18" s="314" t="s">
        <v>203</v>
      </c>
      <c r="JSS18" s="314" t="s">
        <v>203</v>
      </c>
      <c r="JST18" s="314" t="s">
        <v>203</v>
      </c>
      <c r="JSU18" s="314" t="s">
        <v>203</v>
      </c>
      <c r="JSV18" s="314" t="s">
        <v>203</v>
      </c>
      <c r="JSW18" s="314" t="s">
        <v>203</v>
      </c>
      <c r="JSX18" s="314" t="s">
        <v>203</v>
      </c>
      <c r="JSY18" s="314" t="s">
        <v>203</v>
      </c>
      <c r="JSZ18" s="314" t="s">
        <v>203</v>
      </c>
      <c r="JTA18" s="314" t="s">
        <v>203</v>
      </c>
      <c r="JTB18" s="314" t="s">
        <v>203</v>
      </c>
      <c r="JTC18" s="314" t="s">
        <v>203</v>
      </c>
      <c r="JTD18" s="314" t="s">
        <v>203</v>
      </c>
      <c r="JTE18" s="314" t="s">
        <v>203</v>
      </c>
      <c r="JTF18" s="314" t="s">
        <v>203</v>
      </c>
      <c r="JTG18" s="314" t="s">
        <v>203</v>
      </c>
      <c r="JTH18" s="314" t="s">
        <v>203</v>
      </c>
      <c r="JTI18" s="314" t="s">
        <v>203</v>
      </c>
      <c r="JTJ18" s="314" t="s">
        <v>203</v>
      </c>
      <c r="JTK18" s="314" t="s">
        <v>203</v>
      </c>
      <c r="JTL18" s="314" t="s">
        <v>203</v>
      </c>
      <c r="JTM18" s="314" t="s">
        <v>203</v>
      </c>
      <c r="JTN18" s="314" t="s">
        <v>203</v>
      </c>
      <c r="JTO18" s="314" t="s">
        <v>203</v>
      </c>
      <c r="JTP18" s="314" t="s">
        <v>203</v>
      </c>
      <c r="JTQ18" s="314" t="s">
        <v>203</v>
      </c>
      <c r="JTR18" s="314" t="s">
        <v>203</v>
      </c>
      <c r="JTS18" s="314" t="s">
        <v>203</v>
      </c>
      <c r="JTT18" s="314" t="s">
        <v>203</v>
      </c>
      <c r="JTU18" s="314" t="s">
        <v>203</v>
      </c>
      <c r="JTV18" s="314" t="s">
        <v>203</v>
      </c>
      <c r="JTW18" s="314" t="s">
        <v>203</v>
      </c>
      <c r="JTX18" s="314" t="s">
        <v>203</v>
      </c>
      <c r="JTY18" s="314" t="s">
        <v>203</v>
      </c>
      <c r="JTZ18" s="314" t="s">
        <v>203</v>
      </c>
      <c r="JUA18" s="314" t="s">
        <v>203</v>
      </c>
      <c r="JUB18" s="314" t="s">
        <v>203</v>
      </c>
      <c r="JUC18" s="314" t="s">
        <v>203</v>
      </c>
      <c r="JUD18" s="314" t="s">
        <v>203</v>
      </c>
      <c r="JUE18" s="314" t="s">
        <v>203</v>
      </c>
      <c r="JUF18" s="314" t="s">
        <v>203</v>
      </c>
      <c r="JUG18" s="314" t="s">
        <v>203</v>
      </c>
      <c r="JUH18" s="314" t="s">
        <v>203</v>
      </c>
      <c r="JUI18" s="314" t="s">
        <v>203</v>
      </c>
      <c r="JUJ18" s="314" t="s">
        <v>203</v>
      </c>
      <c r="JUK18" s="314" t="s">
        <v>203</v>
      </c>
      <c r="JUL18" s="314" t="s">
        <v>203</v>
      </c>
      <c r="JUM18" s="314" t="s">
        <v>203</v>
      </c>
      <c r="JUN18" s="314" t="s">
        <v>203</v>
      </c>
      <c r="JUO18" s="314" t="s">
        <v>203</v>
      </c>
      <c r="JUP18" s="314" t="s">
        <v>203</v>
      </c>
      <c r="JUQ18" s="314" t="s">
        <v>203</v>
      </c>
      <c r="JUR18" s="314" t="s">
        <v>203</v>
      </c>
      <c r="JUS18" s="314" t="s">
        <v>203</v>
      </c>
      <c r="JUT18" s="314" t="s">
        <v>203</v>
      </c>
      <c r="JUU18" s="314" t="s">
        <v>203</v>
      </c>
      <c r="JUV18" s="314" t="s">
        <v>203</v>
      </c>
      <c r="JUW18" s="314" t="s">
        <v>203</v>
      </c>
      <c r="JUX18" s="314" t="s">
        <v>203</v>
      </c>
      <c r="JUY18" s="314" t="s">
        <v>203</v>
      </c>
      <c r="JUZ18" s="314" t="s">
        <v>203</v>
      </c>
      <c r="JVA18" s="314" t="s">
        <v>203</v>
      </c>
      <c r="JVB18" s="314" t="s">
        <v>203</v>
      </c>
      <c r="JVC18" s="314" t="s">
        <v>203</v>
      </c>
      <c r="JVD18" s="314" t="s">
        <v>203</v>
      </c>
      <c r="JVE18" s="314" t="s">
        <v>203</v>
      </c>
      <c r="JVF18" s="314" t="s">
        <v>203</v>
      </c>
      <c r="JVG18" s="314" t="s">
        <v>203</v>
      </c>
      <c r="JVH18" s="314" t="s">
        <v>203</v>
      </c>
      <c r="JVI18" s="314" t="s">
        <v>203</v>
      </c>
      <c r="JVJ18" s="314" t="s">
        <v>203</v>
      </c>
      <c r="JVK18" s="314" t="s">
        <v>203</v>
      </c>
      <c r="JVL18" s="314" t="s">
        <v>203</v>
      </c>
      <c r="JVM18" s="314" t="s">
        <v>203</v>
      </c>
      <c r="JVN18" s="314" t="s">
        <v>203</v>
      </c>
      <c r="JVO18" s="314" t="s">
        <v>203</v>
      </c>
      <c r="JVP18" s="314" t="s">
        <v>203</v>
      </c>
      <c r="JVQ18" s="314" t="s">
        <v>203</v>
      </c>
      <c r="JVR18" s="314" t="s">
        <v>203</v>
      </c>
      <c r="JVS18" s="314" t="s">
        <v>203</v>
      </c>
      <c r="JVT18" s="314" t="s">
        <v>203</v>
      </c>
      <c r="JVU18" s="314" t="s">
        <v>203</v>
      </c>
      <c r="JVV18" s="314" t="s">
        <v>203</v>
      </c>
      <c r="JVW18" s="314" t="s">
        <v>203</v>
      </c>
      <c r="JVX18" s="314" t="s">
        <v>203</v>
      </c>
      <c r="JVY18" s="314" t="s">
        <v>203</v>
      </c>
      <c r="JVZ18" s="314" t="s">
        <v>203</v>
      </c>
      <c r="JWA18" s="314" t="s">
        <v>203</v>
      </c>
      <c r="JWB18" s="314" t="s">
        <v>203</v>
      </c>
      <c r="JWC18" s="314" t="s">
        <v>203</v>
      </c>
      <c r="JWD18" s="314" t="s">
        <v>203</v>
      </c>
      <c r="JWE18" s="314" t="s">
        <v>203</v>
      </c>
      <c r="JWF18" s="314" t="s">
        <v>203</v>
      </c>
      <c r="JWG18" s="314" t="s">
        <v>203</v>
      </c>
      <c r="JWH18" s="314" t="s">
        <v>203</v>
      </c>
      <c r="JWI18" s="314" t="s">
        <v>203</v>
      </c>
      <c r="JWJ18" s="314" t="s">
        <v>203</v>
      </c>
      <c r="JWK18" s="314" t="s">
        <v>203</v>
      </c>
      <c r="JWL18" s="314" t="s">
        <v>203</v>
      </c>
      <c r="JWM18" s="314" t="s">
        <v>203</v>
      </c>
      <c r="JWN18" s="314" t="s">
        <v>203</v>
      </c>
      <c r="JWO18" s="314" t="s">
        <v>203</v>
      </c>
      <c r="JWP18" s="314" t="s">
        <v>203</v>
      </c>
      <c r="JWQ18" s="314" t="s">
        <v>203</v>
      </c>
      <c r="JWR18" s="314" t="s">
        <v>203</v>
      </c>
      <c r="JWS18" s="314" t="s">
        <v>203</v>
      </c>
      <c r="JWT18" s="314" t="s">
        <v>203</v>
      </c>
      <c r="JWU18" s="314" t="s">
        <v>203</v>
      </c>
      <c r="JWV18" s="314" t="s">
        <v>203</v>
      </c>
      <c r="JWW18" s="314" t="s">
        <v>203</v>
      </c>
      <c r="JWX18" s="314" t="s">
        <v>203</v>
      </c>
      <c r="JWY18" s="314" t="s">
        <v>203</v>
      </c>
      <c r="JWZ18" s="314" t="s">
        <v>203</v>
      </c>
      <c r="JXA18" s="314" t="s">
        <v>203</v>
      </c>
      <c r="JXB18" s="314" t="s">
        <v>203</v>
      </c>
      <c r="JXC18" s="314" t="s">
        <v>203</v>
      </c>
      <c r="JXD18" s="314" t="s">
        <v>203</v>
      </c>
      <c r="JXE18" s="314" t="s">
        <v>203</v>
      </c>
      <c r="JXF18" s="314" t="s">
        <v>203</v>
      </c>
      <c r="JXG18" s="314" t="s">
        <v>203</v>
      </c>
      <c r="JXH18" s="314" t="s">
        <v>203</v>
      </c>
      <c r="JXI18" s="314" t="s">
        <v>203</v>
      </c>
      <c r="JXJ18" s="314" t="s">
        <v>203</v>
      </c>
      <c r="JXK18" s="314" t="s">
        <v>203</v>
      </c>
      <c r="JXL18" s="314" t="s">
        <v>203</v>
      </c>
      <c r="JXM18" s="314" t="s">
        <v>203</v>
      </c>
      <c r="JXN18" s="314" t="s">
        <v>203</v>
      </c>
      <c r="JXO18" s="314" t="s">
        <v>203</v>
      </c>
      <c r="JXP18" s="314" t="s">
        <v>203</v>
      </c>
      <c r="JXQ18" s="314" t="s">
        <v>203</v>
      </c>
      <c r="JXR18" s="314" t="s">
        <v>203</v>
      </c>
      <c r="JXS18" s="314" t="s">
        <v>203</v>
      </c>
      <c r="JXT18" s="314" t="s">
        <v>203</v>
      </c>
      <c r="JXU18" s="314" t="s">
        <v>203</v>
      </c>
      <c r="JXV18" s="314" t="s">
        <v>203</v>
      </c>
      <c r="JXW18" s="314" t="s">
        <v>203</v>
      </c>
      <c r="JXX18" s="314" t="s">
        <v>203</v>
      </c>
      <c r="JXY18" s="314" t="s">
        <v>203</v>
      </c>
      <c r="JXZ18" s="314" t="s">
        <v>203</v>
      </c>
      <c r="JYA18" s="314" t="s">
        <v>203</v>
      </c>
      <c r="JYB18" s="314" t="s">
        <v>203</v>
      </c>
      <c r="JYC18" s="314" t="s">
        <v>203</v>
      </c>
      <c r="JYD18" s="314" t="s">
        <v>203</v>
      </c>
      <c r="JYE18" s="314" t="s">
        <v>203</v>
      </c>
      <c r="JYF18" s="314" t="s">
        <v>203</v>
      </c>
      <c r="JYG18" s="314" t="s">
        <v>203</v>
      </c>
      <c r="JYH18" s="314" t="s">
        <v>203</v>
      </c>
      <c r="JYI18" s="314" t="s">
        <v>203</v>
      </c>
      <c r="JYJ18" s="314" t="s">
        <v>203</v>
      </c>
      <c r="JYK18" s="314" t="s">
        <v>203</v>
      </c>
      <c r="JYL18" s="314" t="s">
        <v>203</v>
      </c>
      <c r="JYM18" s="314" t="s">
        <v>203</v>
      </c>
      <c r="JYN18" s="314" t="s">
        <v>203</v>
      </c>
      <c r="JYO18" s="314" t="s">
        <v>203</v>
      </c>
      <c r="JYP18" s="314" t="s">
        <v>203</v>
      </c>
      <c r="JYQ18" s="314" t="s">
        <v>203</v>
      </c>
      <c r="JYR18" s="314" t="s">
        <v>203</v>
      </c>
      <c r="JYS18" s="314" t="s">
        <v>203</v>
      </c>
      <c r="JYT18" s="314" t="s">
        <v>203</v>
      </c>
      <c r="JYU18" s="314" t="s">
        <v>203</v>
      </c>
      <c r="JYV18" s="314" t="s">
        <v>203</v>
      </c>
      <c r="JYW18" s="314" t="s">
        <v>203</v>
      </c>
      <c r="JYX18" s="314" t="s">
        <v>203</v>
      </c>
      <c r="JYY18" s="314" t="s">
        <v>203</v>
      </c>
      <c r="JYZ18" s="314" t="s">
        <v>203</v>
      </c>
      <c r="JZA18" s="314" t="s">
        <v>203</v>
      </c>
      <c r="JZB18" s="314" t="s">
        <v>203</v>
      </c>
      <c r="JZC18" s="314" t="s">
        <v>203</v>
      </c>
      <c r="JZD18" s="314" t="s">
        <v>203</v>
      </c>
      <c r="JZE18" s="314" t="s">
        <v>203</v>
      </c>
      <c r="JZF18" s="314" t="s">
        <v>203</v>
      </c>
      <c r="JZG18" s="314" t="s">
        <v>203</v>
      </c>
      <c r="JZH18" s="314" t="s">
        <v>203</v>
      </c>
      <c r="JZI18" s="314" t="s">
        <v>203</v>
      </c>
      <c r="JZJ18" s="314" t="s">
        <v>203</v>
      </c>
      <c r="JZK18" s="314" t="s">
        <v>203</v>
      </c>
      <c r="JZL18" s="314" t="s">
        <v>203</v>
      </c>
      <c r="JZM18" s="314" t="s">
        <v>203</v>
      </c>
      <c r="JZN18" s="314" t="s">
        <v>203</v>
      </c>
      <c r="JZO18" s="314" t="s">
        <v>203</v>
      </c>
      <c r="JZP18" s="314" t="s">
        <v>203</v>
      </c>
      <c r="JZQ18" s="314" t="s">
        <v>203</v>
      </c>
      <c r="JZR18" s="314" t="s">
        <v>203</v>
      </c>
      <c r="JZS18" s="314" t="s">
        <v>203</v>
      </c>
      <c r="JZT18" s="314" t="s">
        <v>203</v>
      </c>
      <c r="JZU18" s="314" t="s">
        <v>203</v>
      </c>
      <c r="JZV18" s="314" t="s">
        <v>203</v>
      </c>
      <c r="JZW18" s="314" t="s">
        <v>203</v>
      </c>
      <c r="JZX18" s="314" t="s">
        <v>203</v>
      </c>
      <c r="JZY18" s="314" t="s">
        <v>203</v>
      </c>
      <c r="JZZ18" s="314" t="s">
        <v>203</v>
      </c>
      <c r="KAA18" s="314" t="s">
        <v>203</v>
      </c>
      <c r="KAB18" s="314" t="s">
        <v>203</v>
      </c>
      <c r="KAC18" s="314" t="s">
        <v>203</v>
      </c>
      <c r="KAD18" s="314" t="s">
        <v>203</v>
      </c>
      <c r="KAE18" s="314" t="s">
        <v>203</v>
      </c>
      <c r="KAF18" s="314" t="s">
        <v>203</v>
      </c>
      <c r="KAG18" s="314" t="s">
        <v>203</v>
      </c>
      <c r="KAH18" s="314" t="s">
        <v>203</v>
      </c>
      <c r="KAI18" s="314" t="s">
        <v>203</v>
      </c>
      <c r="KAJ18" s="314" t="s">
        <v>203</v>
      </c>
      <c r="KAK18" s="314" t="s">
        <v>203</v>
      </c>
      <c r="KAL18" s="314" t="s">
        <v>203</v>
      </c>
      <c r="KAM18" s="314" t="s">
        <v>203</v>
      </c>
      <c r="KAN18" s="314" t="s">
        <v>203</v>
      </c>
      <c r="KAO18" s="314" t="s">
        <v>203</v>
      </c>
      <c r="KAP18" s="314" t="s">
        <v>203</v>
      </c>
      <c r="KAQ18" s="314" t="s">
        <v>203</v>
      </c>
      <c r="KAR18" s="314" t="s">
        <v>203</v>
      </c>
      <c r="KAS18" s="314" t="s">
        <v>203</v>
      </c>
      <c r="KAT18" s="314" t="s">
        <v>203</v>
      </c>
      <c r="KAU18" s="314" t="s">
        <v>203</v>
      </c>
      <c r="KAV18" s="314" t="s">
        <v>203</v>
      </c>
      <c r="KAW18" s="314" t="s">
        <v>203</v>
      </c>
      <c r="KAX18" s="314" t="s">
        <v>203</v>
      </c>
      <c r="KAY18" s="314" t="s">
        <v>203</v>
      </c>
      <c r="KAZ18" s="314" t="s">
        <v>203</v>
      </c>
      <c r="KBA18" s="314" t="s">
        <v>203</v>
      </c>
      <c r="KBB18" s="314" t="s">
        <v>203</v>
      </c>
      <c r="KBC18" s="314" t="s">
        <v>203</v>
      </c>
      <c r="KBD18" s="314" t="s">
        <v>203</v>
      </c>
      <c r="KBE18" s="314" t="s">
        <v>203</v>
      </c>
      <c r="KBF18" s="314" t="s">
        <v>203</v>
      </c>
      <c r="KBG18" s="314" t="s">
        <v>203</v>
      </c>
      <c r="KBH18" s="314" t="s">
        <v>203</v>
      </c>
      <c r="KBI18" s="314" t="s">
        <v>203</v>
      </c>
      <c r="KBJ18" s="314" t="s">
        <v>203</v>
      </c>
      <c r="KBK18" s="314" t="s">
        <v>203</v>
      </c>
      <c r="KBL18" s="314" t="s">
        <v>203</v>
      </c>
      <c r="KBM18" s="314" t="s">
        <v>203</v>
      </c>
      <c r="KBN18" s="314" t="s">
        <v>203</v>
      </c>
      <c r="KBO18" s="314" t="s">
        <v>203</v>
      </c>
      <c r="KBP18" s="314" t="s">
        <v>203</v>
      </c>
      <c r="KBQ18" s="314" t="s">
        <v>203</v>
      </c>
      <c r="KBR18" s="314" t="s">
        <v>203</v>
      </c>
      <c r="KBS18" s="314" t="s">
        <v>203</v>
      </c>
      <c r="KBT18" s="314" t="s">
        <v>203</v>
      </c>
      <c r="KBU18" s="314" t="s">
        <v>203</v>
      </c>
      <c r="KBV18" s="314" t="s">
        <v>203</v>
      </c>
      <c r="KBW18" s="314" t="s">
        <v>203</v>
      </c>
      <c r="KBX18" s="314" t="s">
        <v>203</v>
      </c>
      <c r="KBY18" s="314" t="s">
        <v>203</v>
      </c>
      <c r="KBZ18" s="314" t="s">
        <v>203</v>
      </c>
      <c r="KCA18" s="314" t="s">
        <v>203</v>
      </c>
      <c r="KCB18" s="314" t="s">
        <v>203</v>
      </c>
      <c r="KCC18" s="314" t="s">
        <v>203</v>
      </c>
      <c r="KCD18" s="314" t="s">
        <v>203</v>
      </c>
      <c r="KCE18" s="314" t="s">
        <v>203</v>
      </c>
      <c r="KCF18" s="314" t="s">
        <v>203</v>
      </c>
      <c r="KCG18" s="314" t="s">
        <v>203</v>
      </c>
      <c r="KCH18" s="314" t="s">
        <v>203</v>
      </c>
      <c r="KCI18" s="314" t="s">
        <v>203</v>
      </c>
      <c r="KCJ18" s="314" t="s">
        <v>203</v>
      </c>
      <c r="KCK18" s="314" t="s">
        <v>203</v>
      </c>
      <c r="KCL18" s="314" t="s">
        <v>203</v>
      </c>
      <c r="KCM18" s="314" t="s">
        <v>203</v>
      </c>
      <c r="KCN18" s="314" t="s">
        <v>203</v>
      </c>
      <c r="KCO18" s="314" t="s">
        <v>203</v>
      </c>
      <c r="KCP18" s="314" t="s">
        <v>203</v>
      </c>
      <c r="KCQ18" s="314" t="s">
        <v>203</v>
      </c>
      <c r="KCR18" s="314" t="s">
        <v>203</v>
      </c>
      <c r="KCS18" s="314" t="s">
        <v>203</v>
      </c>
      <c r="KCT18" s="314" t="s">
        <v>203</v>
      </c>
      <c r="KCU18" s="314" t="s">
        <v>203</v>
      </c>
      <c r="KCV18" s="314" t="s">
        <v>203</v>
      </c>
      <c r="KCW18" s="314" t="s">
        <v>203</v>
      </c>
      <c r="KCX18" s="314" t="s">
        <v>203</v>
      </c>
      <c r="KCY18" s="314" t="s">
        <v>203</v>
      </c>
      <c r="KCZ18" s="314" t="s">
        <v>203</v>
      </c>
      <c r="KDA18" s="314" t="s">
        <v>203</v>
      </c>
      <c r="KDB18" s="314" t="s">
        <v>203</v>
      </c>
      <c r="KDC18" s="314" t="s">
        <v>203</v>
      </c>
      <c r="KDD18" s="314" t="s">
        <v>203</v>
      </c>
      <c r="KDE18" s="314" t="s">
        <v>203</v>
      </c>
      <c r="KDF18" s="314" t="s">
        <v>203</v>
      </c>
      <c r="KDG18" s="314" t="s">
        <v>203</v>
      </c>
      <c r="KDH18" s="314" t="s">
        <v>203</v>
      </c>
      <c r="KDI18" s="314" t="s">
        <v>203</v>
      </c>
      <c r="KDJ18" s="314" t="s">
        <v>203</v>
      </c>
      <c r="KDK18" s="314" t="s">
        <v>203</v>
      </c>
      <c r="KDL18" s="314" t="s">
        <v>203</v>
      </c>
      <c r="KDM18" s="314" t="s">
        <v>203</v>
      </c>
      <c r="KDN18" s="314" t="s">
        <v>203</v>
      </c>
      <c r="KDO18" s="314" t="s">
        <v>203</v>
      </c>
      <c r="KDP18" s="314" t="s">
        <v>203</v>
      </c>
      <c r="KDQ18" s="314" t="s">
        <v>203</v>
      </c>
      <c r="KDR18" s="314" t="s">
        <v>203</v>
      </c>
      <c r="KDS18" s="314" t="s">
        <v>203</v>
      </c>
      <c r="KDT18" s="314" t="s">
        <v>203</v>
      </c>
      <c r="KDU18" s="314" t="s">
        <v>203</v>
      </c>
      <c r="KDV18" s="314" t="s">
        <v>203</v>
      </c>
      <c r="KDW18" s="314" t="s">
        <v>203</v>
      </c>
      <c r="KDX18" s="314" t="s">
        <v>203</v>
      </c>
      <c r="KDY18" s="314" t="s">
        <v>203</v>
      </c>
      <c r="KDZ18" s="314" t="s">
        <v>203</v>
      </c>
      <c r="KEA18" s="314" t="s">
        <v>203</v>
      </c>
      <c r="KEB18" s="314" t="s">
        <v>203</v>
      </c>
      <c r="KEC18" s="314" t="s">
        <v>203</v>
      </c>
      <c r="KED18" s="314" t="s">
        <v>203</v>
      </c>
      <c r="KEE18" s="314" t="s">
        <v>203</v>
      </c>
      <c r="KEF18" s="314" t="s">
        <v>203</v>
      </c>
      <c r="KEG18" s="314" t="s">
        <v>203</v>
      </c>
      <c r="KEH18" s="314" t="s">
        <v>203</v>
      </c>
      <c r="KEI18" s="314" t="s">
        <v>203</v>
      </c>
      <c r="KEJ18" s="314" t="s">
        <v>203</v>
      </c>
      <c r="KEK18" s="314" t="s">
        <v>203</v>
      </c>
      <c r="KEL18" s="314" t="s">
        <v>203</v>
      </c>
      <c r="KEM18" s="314" t="s">
        <v>203</v>
      </c>
      <c r="KEN18" s="314" t="s">
        <v>203</v>
      </c>
      <c r="KEO18" s="314" t="s">
        <v>203</v>
      </c>
      <c r="KEP18" s="314" t="s">
        <v>203</v>
      </c>
      <c r="KEQ18" s="314" t="s">
        <v>203</v>
      </c>
      <c r="KER18" s="314" t="s">
        <v>203</v>
      </c>
      <c r="KES18" s="314" t="s">
        <v>203</v>
      </c>
      <c r="KET18" s="314" t="s">
        <v>203</v>
      </c>
      <c r="KEU18" s="314" t="s">
        <v>203</v>
      </c>
      <c r="KEV18" s="314" t="s">
        <v>203</v>
      </c>
      <c r="KEW18" s="314" t="s">
        <v>203</v>
      </c>
      <c r="KEX18" s="314" t="s">
        <v>203</v>
      </c>
      <c r="KEY18" s="314" t="s">
        <v>203</v>
      </c>
      <c r="KEZ18" s="314" t="s">
        <v>203</v>
      </c>
      <c r="KFA18" s="314" t="s">
        <v>203</v>
      </c>
      <c r="KFB18" s="314" t="s">
        <v>203</v>
      </c>
      <c r="KFC18" s="314" t="s">
        <v>203</v>
      </c>
      <c r="KFD18" s="314" t="s">
        <v>203</v>
      </c>
      <c r="KFE18" s="314" t="s">
        <v>203</v>
      </c>
      <c r="KFF18" s="314" t="s">
        <v>203</v>
      </c>
      <c r="KFG18" s="314" t="s">
        <v>203</v>
      </c>
      <c r="KFH18" s="314" t="s">
        <v>203</v>
      </c>
      <c r="KFI18" s="314" t="s">
        <v>203</v>
      </c>
      <c r="KFJ18" s="314" t="s">
        <v>203</v>
      </c>
      <c r="KFK18" s="314" t="s">
        <v>203</v>
      </c>
      <c r="KFL18" s="314" t="s">
        <v>203</v>
      </c>
      <c r="KFM18" s="314" t="s">
        <v>203</v>
      </c>
      <c r="KFN18" s="314" t="s">
        <v>203</v>
      </c>
      <c r="KFO18" s="314" t="s">
        <v>203</v>
      </c>
      <c r="KFP18" s="314" t="s">
        <v>203</v>
      </c>
      <c r="KFQ18" s="314" t="s">
        <v>203</v>
      </c>
      <c r="KFR18" s="314" t="s">
        <v>203</v>
      </c>
      <c r="KFS18" s="314" t="s">
        <v>203</v>
      </c>
      <c r="KFT18" s="314" t="s">
        <v>203</v>
      </c>
      <c r="KFU18" s="314" t="s">
        <v>203</v>
      </c>
      <c r="KFV18" s="314" t="s">
        <v>203</v>
      </c>
      <c r="KFW18" s="314" t="s">
        <v>203</v>
      </c>
      <c r="KFX18" s="314" t="s">
        <v>203</v>
      </c>
      <c r="KFY18" s="314" t="s">
        <v>203</v>
      </c>
      <c r="KFZ18" s="314" t="s">
        <v>203</v>
      </c>
      <c r="KGA18" s="314" t="s">
        <v>203</v>
      </c>
      <c r="KGB18" s="314" t="s">
        <v>203</v>
      </c>
      <c r="KGC18" s="314" t="s">
        <v>203</v>
      </c>
      <c r="KGD18" s="314" t="s">
        <v>203</v>
      </c>
      <c r="KGE18" s="314" t="s">
        <v>203</v>
      </c>
      <c r="KGF18" s="314" t="s">
        <v>203</v>
      </c>
      <c r="KGG18" s="314" t="s">
        <v>203</v>
      </c>
      <c r="KGH18" s="314" t="s">
        <v>203</v>
      </c>
      <c r="KGI18" s="314" t="s">
        <v>203</v>
      </c>
      <c r="KGJ18" s="314" t="s">
        <v>203</v>
      </c>
      <c r="KGK18" s="314" t="s">
        <v>203</v>
      </c>
      <c r="KGL18" s="314" t="s">
        <v>203</v>
      </c>
      <c r="KGM18" s="314" t="s">
        <v>203</v>
      </c>
      <c r="KGN18" s="314" t="s">
        <v>203</v>
      </c>
      <c r="KGO18" s="314" t="s">
        <v>203</v>
      </c>
      <c r="KGP18" s="314" t="s">
        <v>203</v>
      </c>
      <c r="KGQ18" s="314" t="s">
        <v>203</v>
      </c>
      <c r="KGR18" s="314" t="s">
        <v>203</v>
      </c>
      <c r="KGS18" s="314" t="s">
        <v>203</v>
      </c>
      <c r="KGT18" s="314" t="s">
        <v>203</v>
      </c>
      <c r="KGU18" s="314" t="s">
        <v>203</v>
      </c>
      <c r="KGV18" s="314" t="s">
        <v>203</v>
      </c>
      <c r="KGW18" s="314" t="s">
        <v>203</v>
      </c>
      <c r="KGX18" s="314" t="s">
        <v>203</v>
      </c>
      <c r="KGY18" s="314" t="s">
        <v>203</v>
      </c>
      <c r="KGZ18" s="314" t="s">
        <v>203</v>
      </c>
      <c r="KHA18" s="314" t="s">
        <v>203</v>
      </c>
      <c r="KHB18" s="314" t="s">
        <v>203</v>
      </c>
      <c r="KHC18" s="314" t="s">
        <v>203</v>
      </c>
      <c r="KHD18" s="314" t="s">
        <v>203</v>
      </c>
      <c r="KHE18" s="314" t="s">
        <v>203</v>
      </c>
      <c r="KHF18" s="314" t="s">
        <v>203</v>
      </c>
      <c r="KHG18" s="314" t="s">
        <v>203</v>
      </c>
      <c r="KHH18" s="314" t="s">
        <v>203</v>
      </c>
      <c r="KHI18" s="314" t="s">
        <v>203</v>
      </c>
      <c r="KHJ18" s="314" t="s">
        <v>203</v>
      </c>
      <c r="KHK18" s="314" t="s">
        <v>203</v>
      </c>
      <c r="KHL18" s="314" t="s">
        <v>203</v>
      </c>
      <c r="KHM18" s="314" t="s">
        <v>203</v>
      </c>
      <c r="KHN18" s="314" t="s">
        <v>203</v>
      </c>
      <c r="KHO18" s="314" t="s">
        <v>203</v>
      </c>
      <c r="KHP18" s="314" t="s">
        <v>203</v>
      </c>
      <c r="KHQ18" s="314" t="s">
        <v>203</v>
      </c>
      <c r="KHR18" s="314" t="s">
        <v>203</v>
      </c>
      <c r="KHS18" s="314" t="s">
        <v>203</v>
      </c>
      <c r="KHT18" s="314" t="s">
        <v>203</v>
      </c>
      <c r="KHU18" s="314" t="s">
        <v>203</v>
      </c>
      <c r="KHV18" s="314" t="s">
        <v>203</v>
      </c>
      <c r="KHW18" s="314" t="s">
        <v>203</v>
      </c>
      <c r="KHX18" s="314" t="s">
        <v>203</v>
      </c>
      <c r="KHY18" s="314" t="s">
        <v>203</v>
      </c>
      <c r="KHZ18" s="314" t="s">
        <v>203</v>
      </c>
      <c r="KIA18" s="314" t="s">
        <v>203</v>
      </c>
      <c r="KIB18" s="314" t="s">
        <v>203</v>
      </c>
      <c r="KIC18" s="314" t="s">
        <v>203</v>
      </c>
      <c r="KID18" s="314" t="s">
        <v>203</v>
      </c>
      <c r="KIE18" s="314" t="s">
        <v>203</v>
      </c>
      <c r="KIF18" s="314" t="s">
        <v>203</v>
      </c>
      <c r="KIG18" s="314" t="s">
        <v>203</v>
      </c>
      <c r="KIH18" s="314" t="s">
        <v>203</v>
      </c>
      <c r="KII18" s="314" t="s">
        <v>203</v>
      </c>
      <c r="KIJ18" s="314" t="s">
        <v>203</v>
      </c>
      <c r="KIK18" s="314" t="s">
        <v>203</v>
      </c>
      <c r="KIL18" s="314" t="s">
        <v>203</v>
      </c>
      <c r="KIM18" s="314" t="s">
        <v>203</v>
      </c>
      <c r="KIN18" s="314" t="s">
        <v>203</v>
      </c>
      <c r="KIO18" s="314" t="s">
        <v>203</v>
      </c>
      <c r="KIP18" s="314" t="s">
        <v>203</v>
      </c>
      <c r="KIQ18" s="314" t="s">
        <v>203</v>
      </c>
      <c r="KIR18" s="314" t="s">
        <v>203</v>
      </c>
      <c r="KIS18" s="314" t="s">
        <v>203</v>
      </c>
      <c r="KIT18" s="314" t="s">
        <v>203</v>
      </c>
      <c r="KIU18" s="314" t="s">
        <v>203</v>
      </c>
      <c r="KIV18" s="314" t="s">
        <v>203</v>
      </c>
      <c r="KIW18" s="314" t="s">
        <v>203</v>
      </c>
      <c r="KIX18" s="314" t="s">
        <v>203</v>
      </c>
      <c r="KIY18" s="314" t="s">
        <v>203</v>
      </c>
      <c r="KIZ18" s="314" t="s">
        <v>203</v>
      </c>
      <c r="KJA18" s="314" t="s">
        <v>203</v>
      </c>
      <c r="KJB18" s="314" t="s">
        <v>203</v>
      </c>
      <c r="KJC18" s="314" t="s">
        <v>203</v>
      </c>
      <c r="KJD18" s="314" t="s">
        <v>203</v>
      </c>
      <c r="KJE18" s="314" t="s">
        <v>203</v>
      </c>
      <c r="KJF18" s="314" t="s">
        <v>203</v>
      </c>
      <c r="KJG18" s="314" t="s">
        <v>203</v>
      </c>
      <c r="KJH18" s="314" t="s">
        <v>203</v>
      </c>
      <c r="KJI18" s="314" t="s">
        <v>203</v>
      </c>
      <c r="KJJ18" s="314" t="s">
        <v>203</v>
      </c>
      <c r="KJK18" s="314" t="s">
        <v>203</v>
      </c>
      <c r="KJL18" s="314" t="s">
        <v>203</v>
      </c>
      <c r="KJM18" s="314" t="s">
        <v>203</v>
      </c>
      <c r="KJN18" s="314" t="s">
        <v>203</v>
      </c>
      <c r="KJO18" s="314" t="s">
        <v>203</v>
      </c>
      <c r="KJP18" s="314" t="s">
        <v>203</v>
      </c>
      <c r="KJQ18" s="314" t="s">
        <v>203</v>
      </c>
      <c r="KJR18" s="314" t="s">
        <v>203</v>
      </c>
      <c r="KJS18" s="314" t="s">
        <v>203</v>
      </c>
      <c r="KJT18" s="314" t="s">
        <v>203</v>
      </c>
      <c r="KJU18" s="314" t="s">
        <v>203</v>
      </c>
      <c r="KJV18" s="314" t="s">
        <v>203</v>
      </c>
      <c r="KJW18" s="314" t="s">
        <v>203</v>
      </c>
      <c r="KJX18" s="314" t="s">
        <v>203</v>
      </c>
      <c r="KJY18" s="314" t="s">
        <v>203</v>
      </c>
      <c r="KJZ18" s="314" t="s">
        <v>203</v>
      </c>
      <c r="KKA18" s="314" t="s">
        <v>203</v>
      </c>
      <c r="KKB18" s="314" t="s">
        <v>203</v>
      </c>
      <c r="KKC18" s="314" t="s">
        <v>203</v>
      </c>
      <c r="KKD18" s="314" t="s">
        <v>203</v>
      </c>
      <c r="KKE18" s="314" t="s">
        <v>203</v>
      </c>
      <c r="KKF18" s="314" t="s">
        <v>203</v>
      </c>
      <c r="KKG18" s="314" t="s">
        <v>203</v>
      </c>
      <c r="KKH18" s="314" t="s">
        <v>203</v>
      </c>
      <c r="KKI18" s="314" t="s">
        <v>203</v>
      </c>
      <c r="KKJ18" s="314" t="s">
        <v>203</v>
      </c>
      <c r="KKK18" s="314" t="s">
        <v>203</v>
      </c>
      <c r="KKL18" s="314" t="s">
        <v>203</v>
      </c>
      <c r="KKM18" s="314" t="s">
        <v>203</v>
      </c>
      <c r="KKN18" s="314" t="s">
        <v>203</v>
      </c>
      <c r="KKO18" s="314" t="s">
        <v>203</v>
      </c>
      <c r="KKP18" s="314" t="s">
        <v>203</v>
      </c>
      <c r="KKQ18" s="314" t="s">
        <v>203</v>
      </c>
      <c r="KKR18" s="314" t="s">
        <v>203</v>
      </c>
      <c r="KKS18" s="314" t="s">
        <v>203</v>
      </c>
      <c r="KKT18" s="314" t="s">
        <v>203</v>
      </c>
      <c r="KKU18" s="314" t="s">
        <v>203</v>
      </c>
      <c r="KKV18" s="314" t="s">
        <v>203</v>
      </c>
      <c r="KKW18" s="314" t="s">
        <v>203</v>
      </c>
      <c r="KKX18" s="314" t="s">
        <v>203</v>
      </c>
      <c r="KKY18" s="314" t="s">
        <v>203</v>
      </c>
      <c r="KKZ18" s="314" t="s">
        <v>203</v>
      </c>
      <c r="KLA18" s="314" t="s">
        <v>203</v>
      </c>
      <c r="KLB18" s="314" t="s">
        <v>203</v>
      </c>
      <c r="KLC18" s="314" t="s">
        <v>203</v>
      </c>
      <c r="KLD18" s="314" t="s">
        <v>203</v>
      </c>
      <c r="KLE18" s="314" t="s">
        <v>203</v>
      </c>
      <c r="KLF18" s="314" t="s">
        <v>203</v>
      </c>
      <c r="KLG18" s="314" t="s">
        <v>203</v>
      </c>
      <c r="KLH18" s="314" t="s">
        <v>203</v>
      </c>
      <c r="KLI18" s="314" t="s">
        <v>203</v>
      </c>
      <c r="KLJ18" s="314" t="s">
        <v>203</v>
      </c>
      <c r="KLK18" s="314" t="s">
        <v>203</v>
      </c>
      <c r="KLL18" s="314" t="s">
        <v>203</v>
      </c>
      <c r="KLM18" s="314" t="s">
        <v>203</v>
      </c>
      <c r="KLN18" s="314" t="s">
        <v>203</v>
      </c>
      <c r="KLO18" s="314" t="s">
        <v>203</v>
      </c>
      <c r="KLP18" s="314" t="s">
        <v>203</v>
      </c>
      <c r="KLQ18" s="314" t="s">
        <v>203</v>
      </c>
      <c r="KLR18" s="314" t="s">
        <v>203</v>
      </c>
      <c r="KLS18" s="314" t="s">
        <v>203</v>
      </c>
      <c r="KLT18" s="314" t="s">
        <v>203</v>
      </c>
      <c r="KLU18" s="314" t="s">
        <v>203</v>
      </c>
      <c r="KLV18" s="314" t="s">
        <v>203</v>
      </c>
      <c r="KLW18" s="314" t="s">
        <v>203</v>
      </c>
      <c r="KLX18" s="314" t="s">
        <v>203</v>
      </c>
      <c r="KLY18" s="314" t="s">
        <v>203</v>
      </c>
      <c r="KLZ18" s="314" t="s">
        <v>203</v>
      </c>
      <c r="KMA18" s="314" t="s">
        <v>203</v>
      </c>
      <c r="KMB18" s="314" t="s">
        <v>203</v>
      </c>
      <c r="KMC18" s="314" t="s">
        <v>203</v>
      </c>
      <c r="KMD18" s="314" t="s">
        <v>203</v>
      </c>
      <c r="KME18" s="314" t="s">
        <v>203</v>
      </c>
      <c r="KMF18" s="314" t="s">
        <v>203</v>
      </c>
      <c r="KMG18" s="314" t="s">
        <v>203</v>
      </c>
      <c r="KMH18" s="314" t="s">
        <v>203</v>
      </c>
      <c r="KMI18" s="314" t="s">
        <v>203</v>
      </c>
      <c r="KMJ18" s="314" t="s">
        <v>203</v>
      </c>
      <c r="KMK18" s="314" t="s">
        <v>203</v>
      </c>
      <c r="KML18" s="314" t="s">
        <v>203</v>
      </c>
      <c r="KMM18" s="314" t="s">
        <v>203</v>
      </c>
      <c r="KMN18" s="314" t="s">
        <v>203</v>
      </c>
      <c r="KMO18" s="314" t="s">
        <v>203</v>
      </c>
      <c r="KMP18" s="314" t="s">
        <v>203</v>
      </c>
      <c r="KMQ18" s="314" t="s">
        <v>203</v>
      </c>
      <c r="KMR18" s="314" t="s">
        <v>203</v>
      </c>
      <c r="KMS18" s="314" t="s">
        <v>203</v>
      </c>
      <c r="KMT18" s="314" t="s">
        <v>203</v>
      </c>
      <c r="KMU18" s="314" t="s">
        <v>203</v>
      </c>
      <c r="KMV18" s="314" t="s">
        <v>203</v>
      </c>
      <c r="KMW18" s="314" t="s">
        <v>203</v>
      </c>
      <c r="KMX18" s="314" t="s">
        <v>203</v>
      </c>
      <c r="KMY18" s="314" t="s">
        <v>203</v>
      </c>
      <c r="KMZ18" s="314" t="s">
        <v>203</v>
      </c>
      <c r="KNA18" s="314" t="s">
        <v>203</v>
      </c>
      <c r="KNB18" s="314" t="s">
        <v>203</v>
      </c>
      <c r="KNC18" s="314" t="s">
        <v>203</v>
      </c>
      <c r="KND18" s="314" t="s">
        <v>203</v>
      </c>
      <c r="KNE18" s="314" t="s">
        <v>203</v>
      </c>
      <c r="KNF18" s="314" t="s">
        <v>203</v>
      </c>
      <c r="KNG18" s="314" t="s">
        <v>203</v>
      </c>
      <c r="KNH18" s="314" t="s">
        <v>203</v>
      </c>
      <c r="KNI18" s="314" t="s">
        <v>203</v>
      </c>
      <c r="KNJ18" s="314" t="s">
        <v>203</v>
      </c>
      <c r="KNK18" s="314" t="s">
        <v>203</v>
      </c>
      <c r="KNL18" s="314" t="s">
        <v>203</v>
      </c>
      <c r="KNM18" s="314" t="s">
        <v>203</v>
      </c>
      <c r="KNN18" s="314" t="s">
        <v>203</v>
      </c>
      <c r="KNO18" s="314" t="s">
        <v>203</v>
      </c>
      <c r="KNP18" s="314" t="s">
        <v>203</v>
      </c>
      <c r="KNQ18" s="314" t="s">
        <v>203</v>
      </c>
      <c r="KNR18" s="314" t="s">
        <v>203</v>
      </c>
      <c r="KNS18" s="314" t="s">
        <v>203</v>
      </c>
      <c r="KNT18" s="314" t="s">
        <v>203</v>
      </c>
      <c r="KNU18" s="314" t="s">
        <v>203</v>
      </c>
      <c r="KNV18" s="314" t="s">
        <v>203</v>
      </c>
      <c r="KNW18" s="314" t="s">
        <v>203</v>
      </c>
      <c r="KNX18" s="314" t="s">
        <v>203</v>
      </c>
      <c r="KNY18" s="314" t="s">
        <v>203</v>
      </c>
      <c r="KNZ18" s="314" t="s">
        <v>203</v>
      </c>
      <c r="KOA18" s="314" t="s">
        <v>203</v>
      </c>
      <c r="KOB18" s="314" t="s">
        <v>203</v>
      </c>
      <c r="KOC18" s="314" t="s">
        <v>203</v>
      </c>
      <c r="KOD18" s="314" t="s">
        <v>203</v>
      </c>
      <c r="KOE18" s="314" t="s">
        <v>203</v>
      </c>
      <c r="KOF18" s="314" t="s">
        <v>203</v>
      </c>
      <c r="KOG18" s="314" t="s">
        <v>203</v>
      </c>
      <c r="KOH18" s="314" t="s">
        <v>203</v>
      </c>
      <c r="KOI18" s="314" t="s">
        <v>203</v>
      </c>
      <c r="KOJ18" s="314" t="s">
        <v>203</v>
      </c>
      <c r="KOK18" s="314" t="s">
        <v>203</v>
      </c>
      <c r="KOL18" s="314" t="s">
        <v>203</v>
      </c>
      <c r="KOM18" s="314" t="s">
        <v>203</v>
      </c>
      <c r="KON18" s="314" t="s">
        <v>203</v>
      </c>
      <c r="KOO18" s="314" t="s">
        <v>203</v>
      </c>
      <c r="KOP18" s="314" t="s">
        <v>203</v>
      </c>
      <c r="KOQ18" s="314" t="s">
        <v>203</v>
      </c>
      <c r="KOR18" s="314" t="s">
        <v>203</v>
      </c>
      <c r="KOS18" s="314" t="s">
        <v>203</v>
      </c>
      <c r="KOT18" s="314" t="s">
        <v>203</v>
      </c>
      <c r="KOU18" s="314" t="s">
        <v>203</v>
      </c>
      <c r="KOV18" s="314" t="s">
        <v>203</v>
      </c>
      <c r="KOW18" s="314" t="s">
        <v>203</v>
      </c>
      <c r="KOX18" s="314" t="s">
        <v>203</v>
      </c>
      <c r="KOY18" s="314" t="s">
        <v>203</v>
      </c>
      <c r="KOZ18" s="314" t="s">
        <v>203</v>
      </c>
      <c r="KPA18" s="314" t="s">
        <v>203</v>
      </c>
      <c r="KPB18" s="314" t="s">
        <v>203</v>
      </c>
      <c r="KPC18" s="314" t="s">
        <v>203</v>
      </c>
      <c r="KPD18" s="314" t="s">
        <v>203</v>
      </c>
      <c r="KPE18" s="314" t="s">
        <v>203</v>
      </c>
      <c r="KPF18" s="314" t="s">
        <v>203</v>
      </c>
      <c r="KPG18" s="314" t="s">
        <v>203</v>
      </c>
      <c r="KPH18" s="314" t="s">
        <v>203</v>
      </c>
      <c r="KPI18" s="314" t="s">
        <v>203</v>
      </c>
      <c r="KPJ18" s="314" t="s">
        <v>203</v>
      </c>
      <c r="KPK18" s="314" t="s">
        <v>203</v>
      </c>
      <c r="KPL18" s="314" t="s">
        <v>203</v>
      </c>
      <c r="KPM18" s="314" t="s">
        <v>203</v>
      </c>
      <c r="KPN18" s="314" t="s">
        <v>203</v>
      </c>
      <c r="KPO18" s="314" t="s">
        <v>203</v>
      </c>
      <c r="KPP18" s="314" t="s">
        <v>203</v>
      </c>
      <c r="KPQ18" s="314" t="s">
        <v>203</v>
      </c>
      <c r="KPR18" s="314" t="s">
        <v>203</v>
      </c>
      <c r="KPS18" s="314" t="s">
        <v>203</v>
      </c>
      <c r="KPT18" s="314" t="s">
        <v>203</v>
      </c>
      <c r="KPU18" s="314" t="s">
        <v>203</v>
      </c>
      <c r="KPV18" s="314" t="s">
        <v>203</v>
      </c>
      <c r="KPW18" s="314" t="s">
        <v>203</v>
      </c>
      <c r="KPX18" s="314" t="s">
        <v>203</v>
      </c>
      <c r="KPY18" s="314" t="s">
        <v>203</v>
      </c>
      <c r="KPZ18" s="314" t="s">
        <v>203</v>
      </c>
      <c r="KQA18" s="314" t="s">
        <v>203</v>
      </c>
      <c r="KQB18" s="314" t="s">
        <v>203</v>
      </c>
      <c r="KQC18" s="314" t="s">
        <v>203</v>
      </c>
      <c r="KQD18" s="314" t="s">
        <v>203</v>
      </c>
      <c r="KQE18" s="314" t="s">
        <v>203</v>
      </c>
      <c r="KQF18" s="314" t="s">
        <v>203</v>
      </c>
      <c r="KQG18" s="314" t="s">
        <v>203</v>
      </c>
      <c r="KQH18" s="314" t="s">
        <v>203</v>
      </c>
      <c r="KQI18" s="314" t="s">
        <v>203</v>
      </c>
      <c r="KQJ18" s="314" t="s">
        <v>203</v>
      </c>
      <c r="KQK18" s="314" t="s">
        <v>203</v>
      </c>
      <c r="KQL18" s="314" t="s">
        <v>203</v>
      </c>
      <c r="KQM18" s="314" t="s">
        <v>203</v>
      </c>
      <c r="KQN18" s="314" t="s">
        <v>203</v>
      </c>
      <c r="KQO18" s="314" t="s">
        <v>203</v>
      </c>
      <c r="KQP18" s="314" t="s">
        <v>203</v>
      </c>
      <c r="KQQ18" s="314" t="s">
        <v>203</v>
      </c>
      <c r="KQR18" s="314" t="s">
        <v>203</v>
      </c>
      <c r="KQS18" s="314" t="s">
        <v>203</v>
      </c>
      <c r="KQT18" s="314" t="s">
        <v>203</v>
      </c>
      <c r="KQU18" s="314" t="s">
        <v>203</v>
      </c>
      <c r="KQV18" s="314" t="s">
        <v>203</v>
      </c>
      <c r="KQW18" s="314" t="s">
        <v>203</v>
      </c>
      <c r="KQX18" s="314" t="s">
        <v>203</v>
      </c>
      <c r="KQY18" s="314" t="s">
        <v>203</v>
      </c>
      <c r="KQZ18" s="314" t="s">
        <v>203</v>
      </c>
      <c r="KRA18" s="314" t="s">
        <v>203</v>
      </c>
      <c r="KRB18" s="314" t="s">
        <v>203</v>
      </c>
      <c r="KRC18" s="314" t="s">
        <v>203</v>
      </c>
      <c r="KRD18" s="314" t="s">
        <v>203</v>
      </c>
      <c r="KRE18" s="314" t="s">
        <v>203</v>
      </c>
      <c r="KRF18" s="314" t="s">
        <v>203</v>
      </c>
      <c r="KRG18" s="314" t="s">
        <v>203</v>
      </c>
      <c r="KRH18" s="314" t="s">
        <v>203</v>
      </c>
      <c r="KRI18" s="314" t="s">
        <v>203</v>
      </c>
      <c r="KRJ18" s="314" t="s">
        <v>203</v>
      </c>
      <c r="KRK18" s="314" t="s">
        <v>203</v>
      </c>
      <c r="KRL18" s="314" t="s">
        <v>203</v>
      </c>
      <c r="KRM18" s="314" t="s">
        <v>203</v>
      </c>
      <c r="KRN18" s="314" t="s">
        <v>203</v>
      </c>
      <c r="KRO18" s="314" t="s">
        <v>203</v>
      </c>
      <c r="KRP18" s="314" t="s">
        <v>203</v>
      </c>
      <c r="KRQ18" s="314" t="s">
        <v>203</v>
      </c>
      <c r="KRR18" s="314" t="s">
        <v>203</v>
      </c>
      <c r="KRS18" s="314" t="s">
        <v>203</v>
      </c>
      <c r="KRT18" s="314" t="s">
        <v>203</v>
      </c>
      <c r="KRU18" s="314" t="s">
        <v>203</v>
      </c>
      <c r="KRV18" s="314" t="s">
        <v>203</v>
      </c>
      <c r="KRW18" s="314" t="s">
        <v>203</v>
      </c>
      <c r="KRX18" s="314" t="s">
        <v>203</v>
      </c>
      <c r="KRY18" s="314" t="s">
        <v>203</v>
      </c>
      <c r="KRZ18" s="314" t="s">
        <v>203</v>
      </c>
      <c r="KSA18" s="314" t="s">
        <v>203</v>
      </c>
      <c r="KSB18" s="314" t="s">
        <v>203</v>
      </c>
      <c r="KSC18" s="314" t="s">
        <v>203</v>
      </c>
      <c r="KSD18" s="314" t="s">
        <v>203</v>
      </c>
      <c r="KSE18" s="314" t="s">
        <v>203</v>
      </c>
      <c r="KSF18" s="314" t="s">
        <v>203</v>
      </c>
      <c r="KSG18" s="314" t="s">
        <v>203</v>
      </c>
      <c r="KSH18" s="314" t="s">
        <v>203</v>
      </c>
      <c r="KSI18" s="314" t="s">
        <v>203</v>
      </c>
      <c r="KSJ18" s="314" t="s">
        <v>203</v>
      </c>
      <c r="KSK18" s="314" t="s">
        <v>203</v>
      </c>
      <c r="KSL18" s="314" t="s">
        <v>203</v>
      </c>
      <c r="KSM18" s="314" t="s">
        <v>203</v>
      </c>
      <c r="KSN18" s="314" t="s">
        <v>203</v>
      </c>
      <c r="KSO18" s="314" t="s">
        <v>203</v>
      </c>
      <c r="KSP18" s="314" t="s">
        <v>203</v>
      </c>
      <c r="KSQ18" s="314" t="s">
        <v>203</v>
      </c>
      <c r="KSR18" s="314" t="s">
        <v>203</v>
      </c>
      <c r="KSS18" s="314" t="s">
        <v>203</v>
      </c>
      <c r="KST18" s="314" t="s">
        <v>203</v>
      </c>
      <c r="KSU18" s="314" t="s">
        <v>203</v>
      </c>
      <c r="KSV18" s="314" t="s">
        <v>203</v>
      </c>
      <c r="KSW18" s="314" t="s">
        <v>203</v>
      </c>
      <c r="KSX18" s="314" t="s">
        <v>203</v>
      </c>
      <c r="KSY18" s="314" t="s">
        <v>203</v>
      </c>
      <c r="KSZ18" s="314" t="s">
        <v>203</v>
      </c>
      <c r="KTA18" s="314" t="s">
        <v>203</v>
      </c>
      <c r="KTB18" s="314" t="s">
        <v>203</v>
      </c>
      <c r="KTC18" s="314" t="s">
        <v>203</v>
      </c>
      <c r="KTD18" s="314" t="s">
        <v>203</v>
      </c>
      <c r="KTE18" s="314" t="s">
        <v>203</v>
      </c>
      <c r="KTF18" s="314" t="s">
        <v>203</v>
      </c>
      <c r="KTG18" s="314" t="s">
        <v>203</v>
      </c>
      <c r="KTH18" s="314" t="s">
        <v>203</v>
      </c>
      <c r="KTI18" s="314" t="s">
        <v>203</v>
      </c>
      <c r="KTJ18" s="314" t="s">
        <v>203</v>
      </c>
      <c r="KTK18" s="314" t="s">
        <v>203</v>
      </c>
      <c r="KTL18" s="314" t="s">
        <v>203</v>
      </c>
      <c r="KTM18" s="314" t="s">
        <v>203</v>
      </c>
      <c r="KTN18" s="314" t="s">
        <v>203</v>
      </c>
      <c r="KTO18" s="314" t="s">
        <v>203</v>
      </c>
      <c r="KTP18" s="314" t="s">
        <v>203</v>
      </c>
      <c r="KTQ18" s="314" t="s">
        <v>203</v>
      </c>
      <c r="KTR18" s="314" t="s">
        <v>203</v>
      </c>
      <c r="KTS18" s="314" t="s">
        <v>203</v>
      </c>
      <c r="KTT18" s="314" t="s">
        <v>203</v>
      </c>
      <c r="KTU18" s="314" t="s">
        <v>203</v>
      </c>
      <c r="KTV18" s="314" t="s">
        <v>203</v>
      </c>
      <c r="KTW18" s="314" t="s">
        <v>203</v>
      </c>
      <c r="KTX18" s="314" t="s">
        <v>203</v>
      </c>
      <c r="KTY18" s="314" t="s">
        <v>203</v>
      </c>
      <c r="KTZ18" s="314" t="s">
        <v>203</v>
      </c>
      <c r="KUA18" s="314" t="s">
        <v>203</v>
      </c>
      <c r="KUB18" s="314" t="s">
        <v>203</v>
      </c>
      <c r="KUC18" s="314" t="s">
        <v>203</v>
      </c>
      <c r="KUD18" s="314" t="s">
        <v>203</v>
      </c>
      <c r="KUE18" s="314" t="s">
        <v>203</v>
      </c>
      <c r="KUF18" s="314" t="s">
        <v>203</v>
      </c>
      <c r="KUG18" s="314" t="s">
        <v>203</v>
      </c>
      <c r="KUH18" s="314" t="s">
        <v>203</v>
      </c>
      <c r="KUI18" s="314" t="s">
        <v>203</v>
      </c>
      <c r="KUJ18" s="314" t="s">
        <v>203</v>
      </c>
      <c r="KUK18" s="314" t="s">
        <v>203</v>
      </c>
      <c r="KUL18" s="314" t="s">
        <v>203</v>
      </c>
      <c r="KUM18" s="314" t="s">
        <v>203</v>
      </c>
      <c r="KUN18" s="314" t="s">
        <v>203</v>
      </c>
      <c r="KUO18" s="314" t="s">
        <v>203</v>
      </c>
      <c r="KUP18" s="314" t="s">
        <v>203</v>
      </c>
      <c r="KUQ18" s="314" t="s">
        <v>203</v>
      </c>
      <c r="KUR18" s="314" t="s">
        <v>203</v>
      </c>
      <c r="KUS18" s="314" t="s">
        <v>203</v>
      </c>
      <c r="KUT18" s="314" t="s">
        <v>203</v>
      </c>
      <c r="KUU18" s="314" t="s">
        <v>203</v>
      </c>
      <c r="KUV18" s="314" t="s">
        <v>203</v>
      </c>
      <c r="KUW18" s="314" t="s">
        <v>203</v>
      </c>
      <c r="KUX18" s="314" t="s">
        <v>203</v>
      </c>
      <c r="KUY18" s="314" t="s">
        <v>203</v>
      </c>
      <c r="KUZ18" s="314" t="s">
        <v>203</v>
      </c>
      <c r="KVA18" s="314" t="s">
        <v>203</v>
      </c>
      <c r="KVB18" s="314" t="s">
        <v>203</v>
      </c>
      <c r="KVC18" s="314" t="s">
        <v>203</v>
      </c>
      <c r="KVD18" s="314" t="s">
        <v>203</v>
      </c>
      <c r="KVE18" s="314" t="s">
        <v>203</v>
      </c>
      <c r="KVF18" s="314" t="s">
        <v>203</v>
      </c>
      <c r="KVG18" s="314" t="s">
        <v>203</v>
      </c>
      <c r="KVH18" s="314" t="s">
        <v>203</v>
      </c>
      <c r="KVI18" s="314" t="s">
        <v>203</v>
      </c>
      <c r="KVJ18" s="314" t="s">
        <v>203</v>
      </c>
      <c r="KVK18" s="314" t="s">
        <v>203</v>
      </c>
      <c r="KVL18" s="314" t="s">
        <v>203</v>
      </c>
      <c r="KVM18" s="314" t="s">
        <v>203</v>
      </c>
      <c r="KVN18" s="314" t="s">
        <v>203</v>
      </c>
      <c r="KVO18" s="314" t="s">
        <v>203</v>
      </c>
      <c r="KVP18" s="314" t="s">
        <v>203</v>
      </c>
      <c r="KVQ18" s="314" t="s">
        <v>203</v>
      </c>
      <c r="KVR18" s="314" t="s">
        <v>203</v>
      </c>
      <c r="KVS18" s="314" t="s">
        <v>203</v>
      </c>
      <c r="KVT18" s="314" t="s">
        <v>203</v>
      </c>
      <c r="KVU18" s="314" t="s">
        <v>203</v>
      </c>
      <c r="KVV18" s="314" t="s">
        <v>203</v>
      </c>
      <c r="KVW18" s="314" t="s">
        <v>203</v>
      </c>
      <c r="KVX18" s="314" t="s">
        <v>203</v>
      </c>
      <c r="KVY18" s="314" t="s">
        <v>203</v>
      </c>
      <c r="KVZ18" s="314" t="s">
        <v>203</v>
      </c>
      <c r="KWA18" s="314" t="s">
        <v>203</v>
      </c>
      <c r="KWB18" s="314" t="s">
        <v>203</v>
      </c>
      <c r="KWC18" s="314" t="s">
        <v>203</v>
      </c>
      <c r="KWD18" s="314" t="s">
        <v>203</v>
      </c>
      <c r="KWE18" s="314" t="s">
        <v>203</v>
      </c>
      <c r="KWF18" s="314" t="s">
        <v>203</v>
      </c>
      <c r="KWG18" s="314" t="s">
        <v>203</v>
      </c>
      <c r="KWH18" s="314" t="s">
        <v>203</v>
      </c>
      <c r="KWI18" s="314" t="s">
        <v>203</v>
      </c>
      <c r="KWJ18" s="314" t="s">
        <v>203</v>
      </c>
      <c r="KWK18" s="314" t="s">
        <v>203</v>
      </c>
      <c r="KWL18" s="314" t="s">
        <v>203</v>
      </c>
      <c r="KWM18" s="314" t="s">
        <v>203</v>
      </c>
      <c r="KWN18" s="314" t="s">
        <v>203</v>
      </c>
      <c r="KWO18" s="314" t="s">
        <v>203</v>
      </c>
      <c r="KWP18" s="314" t="s">
        <v>203</v>
      </c>
      <c r="KWQ18" s="314" t="s">
        <v>203</v>
      </c>
      <c r="KWR18" s="314" t="s">
        <v>203</v>
      </c>
      <c r="KWS18" s="314" t="s">
        <v>203</v>
      </c>
      <c r="KWT18" s="314" t="s">
        <v>203</v>
      </c>
      <c r="KWU18" s="314" t="s">
        <v>203</v>
      </c>
      <c r="KWV18" s="314" t="s">
        <v>203</v>
      </c>
      <c r="KWW18" s="314" t="s">
        <v>203</v>
      </c>
      <c r="KWX18" s="314" t="s">
        <v>203</v>
      </c>
      <c r="KWY18" s="314" t="s">
        <v>203</v>
      </c>
      <c r="KWZ18" s="314" t="s">
        <v>203</v>
      </c>
      <c r="KXA18" s="314" t="s">
        <v>203</v>
      </c>
      <c r="KXB18" s="314" t="s">
        <v>203</v>
      </c>
      <c r="KXC18" s="314" t="s">
        <v>203</v>
      </c>
      <c r="KXD18" s="314" t="s">
        <v>203</v>
      </c>
      <c r="KXE18" s="314" t="s">
        <v>203</v>
      </c>
      <c r="KXF18" s="314" t="s">
        <v>203</v>
      </c>
      <c r="KXG18" s="314" t="s">
        <v>203</v>
      </c>
      <c r="KXH18" s="314" t="s">
        <v>203</v>
      </c>
      <c r="KXI18" s="314" t="s">
        <v>203</v>
      </c>
      <c r="KXJ18" s="314" t="s">
        <v>203</v>
      </c>
      <c r="KXK18" s="314" t="s">
        <v>203</v>
      </c>
      <c r="KXL18" s="314" t="s">
        <v>203</v>
      </c>
      <c r="KXM18" s="314" t="s">
        <v>203</v>
      </c>
      <c r="KXN18" s="314" t="s">
        <v>203</v>
      </c>
      <c r="KXO18" s="314" t="s">
        <v>203</v>
      </c>
      <c r="KXP18" s="314" t="s">
        <v>203</v>
      </c>
      <c r="KXQ18" s="314" t="s">
        <v>203</v>
      </c>
      <c r="KXR18" s="314" t="s">
        <v>203</v>
      </c>
      <c r="KXS18" s="314" t="s">
        <v>203</v>
      </c>
      <c r="KXT18" s="314" t="s">
        <v>203</v>
      </c>
      <c r="KXU18" s="314" t="s">
        <v>203</v>
      </c>
      <c r="KXV18" s="314" t="s">
        <v>203</v>
      </c>
      <c r="KXW18" s="314" t="s">
        <v>203</v>
      </c>
      <c r="KXX18" s="314" t="s">
        <v>203</v>
      </c>
      <c r="KXY18" s="314" t="s">
        <v>203</v>
      </c>
      <c r="KXZ18" s="314" t="s">
        <v>203</v>
      </c>
      <c r="KYA18" s="314" t="s">
        <v>203</v>
      </c>
      <c r="KYB18" s="314" t="s">
        <v>203</v>
      </c>
      <c r="KYC18" s="314" t="s">
        <v>203</v>
      </c>
      <c r="KYD18" s="314" t="s">
        <v>203</v>
      </c>
      <c r="KYE18" s="314" t="s">
        <v>203</v>
      </c>
      <c r="KYF18" s="314" t="s">
        <v>203</v>
      </c>
      <c r="KYG18" s="314" t="s">
        <v>203</v>
      </c>
      <c r="KYH18" s="314" t="s">
        <v>203</v>
      </c>
      <c r="KYI18" s="314" t="s">
        <v>203</v>
      </c>
      <c r="KYJ18" s="314" t="s">
        <v>203</v>
      </c>
      <c r="KYK18" s="314" t="s">
        <v>203</v>
      </c>
      <c r="KYL18" s="314" t="s">
        <v>203</v>
      </c>
      <c r="KYM18" s="314" t="s">
        <v>203</v>
      </c>
      <c r="KYN18" s="314" t="s">
        <v>203</v>
      </c>
      <c r="KYO18" s="314" t="s">
        <v>203</v>
      </c>
      <c r="KYP18" s="314" t="s">
        <v>203</v>
      </c>
      <c r="KYQ18" s="314" t="s">
        <v>203</v>
      </c>
      <c r="KYR18" s="314" t="s">
        <v>203</v>
      </c>
      <c r="KYS18" s="314" t="s">
        <v>203</v>
      </c>
      <c r="KYT18" s="314" t="s">
        <v>203</v>
      </c>
      <c r="KYU18" s="314" t="s">
        <v>203</v>
      </c>
      <c r="KYV18" s="314" t="s">
        <v>203</v>
      </c>
      <c r="KYW18" s="314" t="s">
        <v>203</v>
      </c>
      <c r="KYX18" s="314" t="s">
        <v>203</v>
      </c>
      <c r="KYY18" s="314" t="s">
        <v>203</v>
      </c>
      <c r="KYZ18" s="314" t="s">
        <v>203</v>
      </c>
      <c r="KZA18" s="314" t="s">
        <v>203</v>
      </c>
      <c r="KZB18" s="314" t="s">
        <v>203</v>
      </c>
      <c r="KZC18" s="314" t="s">
        <v>203</v>
      </c>
      <c r="KZD18" s="314" t="s">
        <v>203</v>
      </c>
      <c r="KZE18" s="314" t="s">
        <v>203</v>
      </c>
      <c r="KZF18" s="314" t="s">
        <v>203</v>
      </c>
      <c r="KZG18" s="314" t="s">
        <v>203</v>
      </c>
      <c r="KZH18" s="314" t="s">
        <v>203</v>
      </c>
      <c r="KZI18" s="314" t="s">
        <v>203</v>
      </c>
      <c r="KZJ18" s="314" t="s">
        <v>203</v>
      </c>
      <c r="KZK18" s="314" t="s">
        <v>203</v>
      </c>
      <c r="KZL18" s="314" t="s">
        <v>203</v>
      </c>
      <c r="KZM18" s="314" t="s">
        <v>203</v>
      </c>
      <c r="KZN18" s="314" t="s">
        <v>203</v>
      </c>
      <c r="KZO18" s="314" t="s">
        <v>203</v>
      </c>
      <c r="KZP18" s="314" t="s">
        <v>203</v>
      </c>
      <c r="KZQ18" s="314" t="s">
        <v>203</v>
      </c>
      <c r="KZR18" s="314" t="s">
        <v>203</v>
      </c>
      <c r="KZS18" s="314" t="s">
        <v>203</v>
      </c>
      <c r="KZT18" s="314" t="s">
        <v>203</v>
      </c>
      <c r="KZU18" s="314" t="s">
        <v>203</v>
      </c>
      <c r="KZV18" s="314" t="s">
        <v>203</v>
      </c>
      <c r="KZW18" s="314" t="s">
        <v>203</v>
      </c>
      <c r="KZX18" s="314" t="s">
        <v>203</v>
      </c>
      <c r="KZY18" s="314" t="s">
        <v>203</v>
      </c>
      <c r="KZZ18" s="314" t="s">
        <v>203</v>
      </c>
      <c r="LAA18" s="314" t="s">
        <v>203</v>
      </c>
      <c r="LAB18" s="314" t="s">
        <v>203</v>
      </c>
      <c r="LAC18" s="314" t="s">
        <v>203</v>
      </c>
      <c r="LAD18" s="314" t="s">
        <v>203</v>
      </c>
      <c r="LAE18" s="314" t="s">
        <v>203</v>
      </c>
      <c r="LAF18" s="314" t="s">
        <v>203</v>
      </c>
      <c r="LAG18" s="314" t="s">
        <v>203</v>
      </c>
      <c r="LAH18" s="314" t="s">
        <v>203</v>
      </c>
      <c r="LAI18" s="314" t="s">
        <v>203</v>
      </c>
      <c r="LAJ18" s="314" t="s">
        <v>203</v>
      </c>
      <c r="LAK18" s="314" t="s">
        <v>203</v>
      </c>
      <c r="LAL18" s="314" t="s">
        <v>203</v>
      </c>
      <c r="LAM18" s="314" t="s">
        <v>203</v>
      </c>
      <c r="LAN18" s="314" t="s">
        <v>203</v>
      </c>
      <c r="LAO18" s="314" t="s">
        <v>203</v>
      </c>
      <c r="LAP18" s="314" t="s">
        <v>203</v>
      </c>
      <c r="LAQ18" s="314" t="s">
        <v>203</v>
      </c>
      <c r="LAR18" s="314" t="s">
        <v>203</v>
      </c>
      <c r="LAS18" s="314" t="s">
        <v>203</v>
      </c>
      <c r="LAT18" s="314" t="s">
        <v>203</v>
      </c>
      <c r="LAU18" s="314" t="s">
        <v>203</v>
      </c>
      <c r="LAV18" s="314" t="s">
        <v>203</v>
      </c>
      <c r="LAW18" s="314" t="s">
        <v>203</v>
      </c>
      <c r="LAX18" s="314" t="s">
        <v>203</v>
      </c>
      <c r="LAY18" s="314" t="s">
        <v>203</v>
      </c>
      <c r="LAZ18" s="314" t="s">
        <v>203</v>
      </c>
      <c r="LBA18" s="314" t="s">
        <v>203</v>
      </c>
      <c r="LBB18" s="314" t="s">
        <v>203</v>
      </c>
      <c r="LBC18" s="314" t="s">
        <v>203</v>
      </c>
      <c r="LBD18" s="314" t="s">
        <v>203</v>
      </c>
      <c r="LBE18" s="314" t="s">
        <v>203</v>
      </c>
      <c r="LBF18" s="314" t="s">
        <v>203</v>
      </c>
      <c r="LBG18" s="314" t="s">
        <v>203</v>
      </c>
      <c r="LBH18" s="314" t="s">
        <v>203</v>
      </c>
      <c r="LBI18" s="314" t="s">
        <v>203</v>
      </c>
      <c r="LBJ18" s="314" t="s">
        <v>203</v>
      </c>
      <c r="LBK18" s="314" t="s">
        <v>203</v>
      </c>
      <c r="LBL18" s="314" t="s">
        <v>203</v>
      </c>
      <c r="LBM18" s="314" t="s">
        <v>203</v>
      </c>
      <c r="LBN18" s="314" t="s">
        <v>203</v>
      </c>
      <c r="LBO18" s="314" t="s">
        <v>203</v>
      </c>
      <c r="LBP18" s="314" t="s">
        <v>203</v>
      </c>
      <c r="LBQ18" s="314" t="s">
        <v>203</v>
      </c>
      <c r="LBR18" s="314" t="s">
        <v>203</v>
      </c>
      <c r="LBS18" s="314" t="s">
        <v>203</v>
      </c>
      <c r="LBT18" s="314" t="s">
        <v>203</v>
      </c>
      <c r="LBU18" s="314" t="s">
        <v>203</v>
      </c>
      <c r="LBV18" s="314" t="s">
        <v>203</v>
      </c>
      <c r="LBW18" s="314" t="s">
        <v>203</v>
      </c>
      <c r="LBX18" s="314" t="s">
        <v>203</v>
      </c>
      <c r="LBY18" s="314" t="s">
        <v>203</v>
      </c>
      <c r="LBZ18" s="314" t="s">
        <v>203</v>
      </c>
      <c r="LCA18" s="314" t="s">
        <v>203</v>
      </c>
      <c r="LCB18" s="314" t="s">
        <v>203</v>
      </c>
      <c r="LCC18" s="314" t="s">
        <v>203</v>
      </c>
      <c r="LCD18" s="314" t="s">
        <v>203</v>
      </c>
      <c r="LCE18" s="314" t="s">
        <v>203</v>
      </c>
      <c r="LCF18" s="314" t="s">
        <v>203</v>
      </c>
      <c r="LCG18" s="314" t="s">
        <v>203</v>
      </c>
      <c r="LCH18" s="314" t="s">
        <v>203</v>
      </c>
      <c r="LCI18" s="314" t="s">
        <v>203</v>
      </c>
      <c r="LCJ18" s="314" t="s">
        <v>203</v>
      </c>
      <c r="LCK18" s="314" t="s">
        <v>203</v>
      </c>
      <c r="LCL18" s="314" t="s">
        <v>203</v>
      </c>
      <c r="LCM18" s="314" t="s">
        <v>203</v>
      </c>
      <c r="LCN18" s="314" t="s">
        <v>203</v>
      </c>
      <c r="LCO18" s="314" t="s">
        <v>203</v>
      </c>
      <c r="LCP18" s="314" t="s">
        <v>203</v>
      </c>
      <c r="LCQ18" s="314" t="s">
        <v>203</v>
      </c>
      <c r="LCR18" s="314" t="s">
        <v>203</v>
      </c>
      <c r="LCS18" s="314" t="s">
        <v>203</v>
      </c>
      <c r="LCT18" s="314" t="s">
        <v>203</v>
      </c>
      <c r="LCU18" s="314" t="s">
        <v>203</v>
      </c>
      <c r="LCV18" s="314" t="s">
        <v>203</v>
      </c>
      <c r="LCW18" s="314" t="s">
        <v>203</v>
      </c>
      <c r="LCX18" s="314" t="s">
        <v>203</v>
      </c>
      <c r="LCY18" s="314" t="s">
        <v>203</v>
      </c>
      <c r="LCZ18" s="314" t="s">
        <v>203</v>
      </c>
      <c r="LDA18" s="314" t="s">
        <v>203</v>
      </c>
      <c r="LDB18" s="314" t="s">
        <v>203</v>
      </c>
      <c r="LDC18" s="314" t="s">
        <v>203</v>
      </c>
      <c r="LDD18" s="314" t="s">
        <v>203</v>
      </c>
      <c r="LDE18" s="314" t="s">
        <v>203</v>
      </c>
      <c r="LDF18" s="314" t="s">
        <v>203</v>
      </c>
      <c r="LDG18" s="314" t="s">
        <v>203</v>
      </c>
      <c r="LDH18" s="314" t="s">
        <v>203</v>
      </c>
      <c r="LDI18" s="314" t="s">
        <v>203</v>
      </c>
      <c r="LDJ18" s="314" t="s">
        <v>203</v>
      </c>
      <c r="LDK18" s="314" t="s">
        <v>203</v>
      </c>
      <c r="LDL18" s="314" t="s">
        <v>203</v>
      </c>
      <c r="LDM18" s="314" t="s">
        <v>203</v>
      </c>
      <c r="LDN18" s="314" t="s">
        <v>203</v>
      </c>
      <c r="LDO18" s="314" t="s">
        <v>203</v>
      </c>
      <c r="LDP18" s="314" t="s">
        <v>203</v>
      </c>
      <c r="LDQ18" s="314" t="s">
        <v>203</v>
      </c>
      <c r="LDR18" s="314" t="s">
        <v>203</v>
      </c>
      <c r="LDS18" s="314" t="s">
        <v>203</v>
      </c>
      <c r="LDT18" s="314" t="s">
        <v>203</v>
      </c>
      <c r="LDU18" s="314" t="s">
        <v>203</v>
      </c>
      <c r="LDV18" s="314" t="s">
        <v>203</v>
      </c>
      <c r="LDW18" s="314" t="s">
        <v>203</v>
      </c>
      <c r="LDX18" s="314" t="s">
        <v>203</v>
      </c>
      <c r="LDY18" s="314" t="s">
        <v>203</v>
      </c>
      <c r="LDZ18" s="314" t="s">
        <v>203</v>
      </c>
      <c r="LEA18" s="314" t="s">
        <v>203</v>
      </c>
      <c r="LEB18" s="314" t="s">
        <v>203</v>
      </c>
      <c r="LEC18" s="314" t="s">
        <v>203</v>
      </c>
      <c r="LED18" s="314" t="s">
        <v>203</v>
      </c>
      <c r="LEE18" s="314" t="s">
        <v>203</v>
      </c>
      <c r="LEF18" s="314" t="s">
        <v>203</v>
      </c>
      <c r="LEG18" s="314" t="s">
        <v>203</v>
      </c>
      <c r="LEH18" s="314" t="s">
        <v>203</v>
      </c>
      <c r="LEI18" s="314" t="s">
        <v>203</v>
      </c>
      <c r="LEJ18" s="314" t="s">
        <v>203</v>
      </c>
      <c r="LEK18" s="314" t="s">
        <v>203</v>
      </c>
      <c r="LEL18" s="314" t="s">
        <v>203</v>
      </c>
      <c r="LEM18" s="314" t="s">
        <v>203</v>
      </c>
      <c r="LEN18" s="314" t="s">
        <v>203</v>
      </c>
      <c r="LEO18" s="314" t="s">
        <v>203</v>
      </c>
      <c r="LEP18" s="314" t="s">
        <v>203</v>
      </c>
      <c r="LEQ18" s="314" t="s">
        <v>203</v>
      </c>
      <c r="LER18" s="314" t="s">
        <v>203</v>
      </c>
      <c r="LES18" s="314" t="s">
        <v>203</v>
      </c>
      <c r="LET18" s="314" t="s">
        <v>203</v>
      </c>
      <c r="LEU18" s="314" t="s">
        <v>203</v>
      </c>
      <c r="LEV18" s="314" t="s">
        <v>203</v>
      </c>
      <c r="LEW18" s="314" t="s">
        <v>203</v>
      </c>
      <c r="LEX18" s="314" t="s">
        <v>203</v>
      </c>
      <c r="LEY18" s="314" t="s">
        <v>203</v>
      </c>
      <c r="LEZ18" s="314" t="s">
        <v>203</v>
      </c>
      <c r="LFA18" s="314" t="s">
        <v>203</v>
      </c>
      <c r="LFB18" s="314" t="s">
        <v>203</v>
      </c>
      <c r="LFC18" s="314" t="s">
        <v>203</v>
      </c>
      <c r="LFD18" s="314" t="s">
        <v>203</v>
      </c>
      <c r="LFE18" s="314" t="s">
        <v>203</v>
      </c>
      <c r="LFF18" s="314" t="s">
        <v>203</v>
      </c>
      <c r="LFG18" s="314" t="s">
        <v>203</v>
      </c>
      <c r="LFH18" s="314" t="s">
        <v>203</v>
      </c>
      <c r="LFI18" s="314" t="s">
        <v>203</v>
      </c>
      <c r="LFJ18" s="314" t="s">
        <v>203</v>
      </c>
      <c r="LFK18" s="314" t="s">
        <v>203</v>
      </c>
      <c r="LFL18" s="314" t="s">
        <v>203</v>
      </c>
      <c r="LFM18" s="314" t="s">
        <v>203</v>
      </c>
      <c r="LFN18" s="314" t="s">
        <v>203</v>
      </c>
      <c r="LFO18" s="314" t="s">
        <v>203</v>
      </c>
      <c r="LFP18" s="314" t="s">
        <v>203</v>
      </c>
      <c r="LFQ18" s="314" t="s">
        <v>203</v>
      </c>
      <c r="LFR18" s="314" t="s">
        <v>203</v>
      </c>
      <c r="LFS18" s="314" t="s">
        <v>203</v>
      </c>
      <c r="LFT18" s="314" t="s">
        <v>203</v>
      </c>
      <c r="LFU18" s="314" t="s">
        <v>203</v>
      </c>
      <c r="LFV18" s="314" t="s">
        <v>203</v>
      </c>
      <c r="LFW18" s="314" t="s">
        <v>203</v>
      </c>
      <c r="LFX18" s="314" t="s">
        <v>203</v>
      </c>
      <c r="LFY18" s="314" t="s">
        <v>203</v>
      </c>
      <c r="LFZ18" s="314" t="s">
        <v>203</v>
      </c>
      <c r="LGA18" s="314" t="s">
        <v>203</v>
      </c>
      <c r="LGB18" s="314" t="s">
        <v>203</v>
      </c>
      <c r="LGC18" s="314" t="s">
        <v>203</v>
      </c>
      <c r="LGD18" s="314" t="s">
        <v>203</v>
      </c>
      <c r="LGE18" s="314" t="s">
        <v>203</v>
      </c>
      <c r="LGF18" s="314" t="s">
        <v>203</v>
      </c>
      <c r="LGG18" s="314" t="s">
        <v>203</v>
      </c>
      <c r="LGH18" s="314" t="s">
        <v>203</v>
      </c>
      <c r="LGI18" s="314" t="s">
        <v>203</v>
      </c>
      <c r="LGJ18" s="314" t="s">
        <v>203</v>
      </c>
      <c r="LGK18" s="314" t="s">
        <v>203</v>
      </c>
      <c r="LGL18" s="314" t="s">
        <v>203</v>
      </c>
      <c r="LGM18" s="314" t="s">
        <v>203</v>
      </c>
      <c r="LGN18" s="314" t="s">
        <v>203</v>
      </c>
      <c r="LGO18" s="314" t="s">
        <v>203</v>
      </c>
      <c r="LGP18" s="314" t="s">
        <v>203</v>
      </c>
      <c r="LGQ18" s="314" t="s">
        <v>203</v>
      </c>
      <c r="LGR18" s="314" t="s">
        <v>203</v>
      </c>
      <c r="LGS18" s="314" t="s">
        <v>203</v>
      </c>
      <c r="LGT18" s="314" t="s">
        <v>203</v>
      </c>
      <c r="LGU18" s="314" t="s">
        <v>203</v>
      </c>
      <c r="LGV18" s="314" t="s">
        <v>203</v>
      </c>
      <c r="LGW18" s="314" t="s">
        <v>203</v>
      </c>
      <c r="LGX18" s="314" t="s">
        <v>203</v>
      </c>
      <c r="LGY18" s="314" t="s">
        <v>203</v>
      </c>
      <c r="LGZ18" s="314" t="s">
        <v>203</v>
      </c>
      <c r="LHA18" s="314" t="s">
        <v>203</v>
      </c>
      <c r="LHB18" s="314" t="s">
        <v>203</v>
      </c>
      <c r="LHC18" s="314" t="s">
        <v>203</v>
      </c>
      <c r="LHD18" s="314" t="s">
        <v>203</v>
      </c>
      <c r="LHE18" s="314" t="s">
        <v>203</v>
      </c>
      <c r="LHF18" s="314" t="s">
        <v>203</v>
      </c>
      <c r="LHG18" s="314" t="s">
        <v>203</v>
      </c>
      <c r="LHH18" s="314" t="s">
        <v>203</v>
      </c>
      <c r="LHI18" s="314" t="s">
        <v>203</v>
      </c>
      <c r="LHJ18" s="314" t="s">
        <v>203</v>
      </c>
      <c r="LHK18" s="314" t="s">
        <v>203</v>
      </c>
      <c r="LHL18" s="314" t="s">
        <v>203</v>
      </c>
      <c r="LHM18" s="314" t="s">
        <v>203</v>
      </c>
      <c r="LHN18" s="314" t="s">
        <v>203</v>
      </c>
      <c r="LHO18" s="314" t="s">
        <v>203</v>
      </c>
      <c r="LHP18" s="314" t="s">
        <v>203</v>
      </c>
      <c r="LHQ18" s="314" t="s">
        <v>203</v>
      </c>
      <c r="LHR18" s="314" t="s">
        <v>203</v>
      </c>
      <c r="LHS18" s="314" t="s">
        <v>203</v>
      </c>
      <c r="LHT18" s="314" t="s">
        <v>203</v>
      </c>
      <c r="LHU18" s="314" t="s">
        <v>203</v>
      </c>
      <c r="LHV18" s="314" t="s">
        <v>203</v>
      </c>
      <c r="LHW18" s="314" t="s">
        <v>203</v>
      </c>
      <c r="LHX18" s="314" t="s">
        <v>203</v>
      </c>
      <c r="LHY18" s="314" t="s">
        <v>203</v>
      </c>
      <c r="LHZ18" s="314" t="s">
        <v>203</v>
      </c>
      <c r="LIA18" s="314" t="s">
        <v>203</v>
      </c>
      <c r="LIB18" s="314" t="s">
        <v>203</v>
      </c>
      <c r="LIC18" s="314" t="s">
        <v>203</v>
      </c>
      <c r="LID18" s="314" t="s">
        <v>203</v>
      </c>
      <c r="LIE18" s="314" t="s">
        <v>203</v>
      </c>
      <c r="LIF18" s="314" t="s">
        <v>203</v>
      </c>
      <c r="LIG18" s="314" t="s">
        <v>203</v>
      </c>
      <c r="LIH18" s="314" t="s">
        <v>203</v>
      </c>
      <c r="LII18" s="314" t="s">
        <v>203</v>
      </c>
      <c r="LIJ18" s="314" t="s">
        <v>203</v>
      </c>
      <c r="LIK18" s="314" t="s">
        <v>203</v>
      </c>
      <c r="LIL18" s="314" t="s">
        <v>203</v>
      </c>
      <c r="LIM18" s="314" t="s">
        <v>203</v>
      </c>
      <c r="LIN18" s="314" t="s">
        <v>203</v>
      </c>
      <c r="LIO18" s="314" t="s">
        <v>203</v>
      </c>
      <c r="LIP18" s="314" t="s">
        <v>203</v>
      </c>
      <c r="LIQ18" s="314" t="s">
        <v>203</v>
      </c>
      <c r="LIR18" s="314" t="s">
        <v>203</v>
      </c>
      <c r="LIS18" s="314" t="s">
        <v>203</v>
      </c>
      <c r="LIT18" s="314" t="s">
        <v>203</v>
      </c>
      <c r="LIU18" s="314" t="s">
        <v>203</v>
      </c>
      <c r="LIV18" s="314" t="s">
        <v>203</v>
      </c>
      <c r="LIW18" s="314" t="s">
        <v>203</v>
      </c>
      <c r="LIX18" s="314" t="s">
        <v>203</v>
      </c>
      <c r="LIY18" s="314" t="s">
        <v>203</v>
      </c>
      <c r="LIZ18" s="314" t="s">
        <v>203</v>
      </c>
      <c r="LJA18" s="314" t="s">
        <v>203</v>
      </c>
      <c r="LJB18" s="314" t="s">
        <v>203</v>
      </c>
      <c r="LJC18" s="314" t="s">
        <v>203</v>
      </c>
      <c r="LJD18" s="314" t="s">
        <v>203</v>
      </c>
      <c r="LJE18" s="314" t="s">
        <v>203</v>
      </c>
      <c r="LJF18" s="314" t="s">
        <v>203</v>
      </c>
      <c r="LJG18" s="314" t="s">
        <v>203</v>
      </c>
      <c r="LJH18" s="314" t="s">
        <v>203</v>
      </c>
      <c r="LJI18" s="314" t="s">
        <v>203</v>
      </c>
      <c r="LJJ18" s="314" t="s">
        <v>203</v>
      </c>
      <c r="LJK18" s="314" t="s">
        <v>203</v>
      </c>
      <c r="LJL18" s="314" t="s">
        <v>203</v>
      </c>
      <c r="LJM18" s="314" t="s">
        <v>203</v>
      </c>
      <c r="LJN18" s="314" t="s">
        <v>203</v>
      </c>
      <c r="LJO18" s="314" t="s">
        <v>203</v>
      </c>
      <c r="LJP18" s="314" t="s">
        <v>203</v>
      </c>
      <c r="LJQ18" s="314" t="s">
        <v>203</v>
      </c>
      <c r="LJR18" s="314" t="s">
        <v>203</v>
      </c>
      <c r="LJS18" s="314" t="s">
        <v>203</v>
      </c>
      <c r="LJT18" s="314" t="s">
        <v>203</v>
      </c>
      <c r="LJU18" s="314" t="s">
        <v>203</v>
      </c>
      <c r="LJV18" s="314" t="s">
        <v>203</v>
      </c>
      <c r="LJW18" s="314" t="s">
        <v>203</v>
      </c>
      <c r="LJX18" s="314" t="s">
        <v>203</v>
      </c>
      <c r="LJY18" s="314" t="s">
        <v>203</v>
      </c>
      <c r="LJZ18" s="314" t="s">
        <v>203</v>
      </c>
      <c r="LKA18" s="314" t="s">
        <v>203</v>
      </c>
      <c r="LKB18" s="314" t="s">
        <v>203</v>
      </c>
      <c r="LKC18" s="314" t="s">
        <v>203</v>
      </c>
      <c r="LKD18" s="314" t="s">
        <v>203</v>
      </c>
      <c r="LKE18" s="314" t="s">
        <v>203</v>
      </c>
      <c r="LKF18" s="314" t="s">
        <v>203</v>
      </c>
      <c r="LKG18" s="314" t="s">
        <v>203</v>
      </c>
      <c r="LKH18" s="314" t="s">
        <v>203</v>
      </c>
      <c r="LKI18" s="314" t="s">
        <v>203</v>
      </c>
      <c r="LKJ18" s="314" t="s">
        <v>203</v>
      </c>
      <c r="LKK18" s="314" t="s">
        <v>203</v>
      </c>
      <c r="LKL18" s="314" t="s">
        <v>203</v>
      </c>
      <c r="LKM18" s="314" t="s">
        <v>203</v>
      </c>
      <c r="LKN18" s="314" t="s">
        <v>203</v>
      </c>
      <c r="LKO18" s="314" t="s">
        <v>203</v>
      </c>
      <c r="LKP18" s="314" t="s">
        <v>203</v>
      </c>
      <c r="LKQ18" s="314" t="s">
        <v>203</v>
      </c>
      <c r="LKR18" s="314" t="s">
        <v>203</v>
      </c>
      <c r="LKS18" s="314" t="s">
        <v>203</v>
      </c>
      <c r="LKT18" s="314" t="s">
        <v>203</v>
      </c>
      <c r="LKU18" s="314" t="s">
        <v>203</v>
      </c>
      <c r="LKV18" s="314" t="s">
        <v>203</v>
      </c>
      <c r="LKW18" s="314" t="s">
        <v>203</v>
      </c>
      <c r="LKX18" s="314" t="s">
        <v>203</v>
      </c>
      <c r="LKY18" s="314" t="s">
        <v>203</v>
      </c>
      <c r="LKZ18" s="314" t="s">
        <v>203</v>
      </c>
      <c r="LLA18" s="314" t="s">
        <v>203</v>
      </c>
      <c r="LLB18" s="314" t="s">
        <v>203</v>
      </c>
      <c r="LLC18" s="314" t="s">
        <v>203</v>
      </c>
      <c r="LLD18" s="314" t="s">
        <v>203</v>
      </c>
      <c r="LLE18" s="314" t="s">
        <v>203</v>
      </c>
      <c r="LLF18" s="314" t="s">
        <v>203</v>
      </c>
      <c r="LLG18" s="314" t="s">
        <v>203</v>
      </c>
      <c r="LLH18" s="314" t="s">
        <v>203</v>
      </c>
      <c r="LLI18" s="314" t="s">
        <v>203</v>
      </c>
      <c r="LLJ18" s="314" t="s">
        <v>203</v>
      </c>
      <c r="LLK18" s="314" t="s">
        <v>203</v>
      </c>
      <c r="LLL18" s="314" t="s">
        <v>203</v>
      </c>
      <c r="LLM18" s="314" t="s">
        <v>203</v>
      </c>
      <c r="LLN18" s="314" t="s">
        <v>203</v>
      </c>
      <c r="LLO18" s="314" t="s">
        <v>203</v>
      </c>
      <c r="LLP18" s="314" t="s">
        <v>203</v>
      </c>
      <c r="LLQ18" s="314" t="s">
        <v>203</v>
      </c>
      <c r="LLR18" s="314" t="s">
        <v>203</v>
      </c>
      <c r="LLS18" s="314" t="s">
        <v>203</v>
      </c>
      <c r="LLT18" s="314" t="s">
        <v>203</v>
      </c>
      <c r="LLU18" s="314" t="s">
        <v>203</v>
      </c>
      <c r="LLV18" s="314" t="s">
        <v>203</v>
      </c>
      <c r="LLW18" s="314" t="s">
        <v>203</v>
      </c>
      <c r="LLX18" s="314" t="s">
        <v>203</v>
      </c>
      <c r="LLY18" s="314" t="s">
        <v>203</v>
      </c>
      <c r="LLZ18" s="314" t="s">
        <v>203</v>
      </c>
      <c r="LMA18" s="314" t="s">
        <v>203</v>
      </c>
      <c r="LMB18" s="314" t="s">
        <v>203</v>
      </c>
      <c r="LMC18" s="314" t="s">
        <v>203</v>
      </c>
      <c r="LMD18" s="314" t="s">
        <v>203</v>
      </c>
      <c r="LME18" s="314" t="s">
        <v>203</v>
      </c>
      <c r="LMF18" s="314" t="s">
        <v>203</v>
      </c>
      <c r="LMG18" s="314" t="s">
        <v>203</v>
      </c>
      <c r="LMH18" s="314" t="s">
        <v>203</v>
      </c>
      <c r="LMI18" s="314" t="s">
        <v>203</v>
      </c>
      <c r="LMJ18" s="314" t="s">
        <v>203</v>
      </c>
      <c r="LMK18" s="314" t="s">
        <v>203</v>
      </c>
      <c r="LML18" s="314" t="s">
        <v>203</v>
      </c>
      <c r="LMM18" s="314" t="s">
        <v>203</v>
      </c>
      <c r="LMN18" s="314" t="s">
        <v>203</v>
      </c>
      <c r="LMO18" s="314" t="s">
        <v>203</v>
      </c>
      <c r="LMP18" s="314" t="s">
        <v>203</v>
      </c>
      <c r="LMQ18" s="314" t="s">
        <v>203</v>
      </c>
      <c r="LMR18" s="314" t="s">
        <v>203</v>
      </c>
      <c r="LMS18" s="314" t="s">
        <v>203</v>
      </c>
      <c r="LMT18" s="314" t="s">
        <v>203</v>
      </c>
      <c r="LMU18" s="314" t="s">
        <v>203</v>
      </c>
      <c r="LMV18" s="314" t="s">
        <v>203</v>
      </c>
      <c r="LMW18" s="314" t="s">
        <v>203</v>
      </c>
      <c r="LMX18" s="314" t="s">
        <v>203</v>
      </c>
      <c r="LMY18" s="314" t="s">
        <v>203</v>
      </c>
      <c r="LMZ18" s="314" t="s">
        <v>203</v>
      </c>
      <c r="LNA18" s="314" t="s">
        <v>203</v>
      </c>
      <c r="LNB18" s="314" t="s">
        <v>203</v>
      </c>
      <c r="LNC18" s="314" t="s">
        <v>203</v>
      </c>
      <c r="LND18" s="314" t="s">
        <v>203</v>
      </c>
      <c r="LNE18" s="314" t="s">
        <v>203</v>
      </c>
      <c r="LNF18" s="314" t="s">
        <v>203</v>
      </c>
      <c r="LNG18" s="314" t="s">
        <v>203</v>
      </c>
      <c r="LNH18" s="314" t="s">
        <v>203</v>
      </c>
      <c r="LNI18" s="314" t="s">
        <v>203</v>
      </c>
      <c r="LNJ18" s="314" t="s">
        <v>203</v>
      </c>
      <c r="LNK18" s="314" t="s">
        <v>203</v>
      </c>
      <c r="LNL18" s="314" t="s">
        <v>203</v>
      </c>
      <c r="LNM18" s="314" t="s">
        <v>203</v>
      </c>
      <c r="LNN18" s="314" t="s">
        <v>203</v>
      </c>
      <c r="LNO18" s="314" t="s">
        <v>203</v>
      </c>
      <c r="LNP18" s="314" t="s">
        <v>203</v>
      </c>
      <c r="LNQ18" s="314" t="s">
        <v>203</v>
      </c>
      <c r="LNR18" s="314" t="s">
        <v>203</v>
      </c>
      <c r="LNS18" s="314" t="s">
        <v>203</v>
      </c>
      <c r="LNT18" s="314" t="s">
        <v>203</v>
      </c>
      <c r="LNU18" s="314" t="s">
        <v>203</v>
      </c>
      <c r="LNV18" s="314" t="s">
        <v>203</v>
      </c>
      <c r="LNW18" s="314" t="s">
        <v>203</v>
      </c>
      <c r="LNX18" s="314" t="s">
        <v>203</v>
      </c>
      <c r="LNY18" s="314" t="s">
        <v>203</v>
      </c>
      <c r="LNZ18" s="314" t="s">
        <v>203</v>
      </c>
      <c r="LOA18" s="314" t="s">
        <v>203</v>
      </c>
      <c r="LOB18" s="314" t="s">
        <v>203</v>
      </c>
      <c r="LOC18" s="314" t="s">
        <v>203</v>
      </c>
      <c r="LOD18" s="314" t="s">
        <v>203</v>
      </c>
      <c r="LOE18" s="314" t="s">
        <v>203</v>
      </c>
      <c r="LOF18" s="314" t="s">
        <v>203</v>
      </c>
      <c r="LOG18" s="314" t="s">
        <v>203</v>
      </c>
      <c r="LOH18" s="314" t="s">
        <v>203</v>
      </c>
      <c r="LOI18" s="314" t="s">
        <v>203</v>
      </c>
      <c r="LOJ18" s="314" t="s">
        <v>203</v>
      </c>
      <c r="LOK18" s="314" t="s">
        <v>203</v>
      </c>
      <c r="LOL18" s="314" t="s">
        <v>203</v>
      </c>
      <c r="LOM18" s="314" t="s">
        <v>203</v>
      </c>
      <c r="LON18" s="314" t="s">
        <v>203</v>
      </c>
      <c r="LOO18" s="314" t="s">
        <v>203</v>
      </c>
      <c r="LOP18" s="314" t="s">
        <v>203</v>
      </c>
      <c r="LOQ18" s="314" t="s">
        <v>203</v>
      </c>
      <c r="LOR18" s="314" t="s">
        <v>203</v>
      </c>
      <c r="LOS18" s="314" t="s">
        <v>203</v>
      </c>
      <c r="LOT18" s="314" t="s">
        <v>203</v>
      </c>
      <c r="LOU18" s="314" t="s">
        <v>203</v>
      </c>
      <c r="LOV18" s="314" t="s">
        <v>203</v>
      </c>
      <c r="LOW18" s="314" t="s">
        <v>203</v>
      </c>
      <c r="LOX18" s="314" t="s">
        <v>203</v>
      </c>
      <c r="LOY18" s="314" t="s">
        <v>203</v>
      </c>
      <c r="LOZ18" s="314" t="s">
        <v>203</v>
      </c>
      <c r="LPA18" s="314" t="s">
        <v>203</v>
      </c>
      <c r="LPB18" s="314" t="s">
        <v>203</v>
      </c>
      <c r="LPC18" s="314" t="s">
        <v>203</v>
      </c>
      <c r="LPD18" s="314" t="s">
        <v>203</v>
      </c>
      <c r="LPE18" s="314" t="s">
        <v>203</v>
      </c>
      <c r="LPF18" s="314" t="s">
        <v>203</v>
      </c>
      <c r="LPG18" s="314" t="s">
        <v>203</v>
      </c>
      <c r="LPH18" s="314" t="s">
        <v>203</v>
      </c>
      <c r="LPI18" s="314" t="s">
        <v>203</v>
      </c>
      <c r="LPJ18" s="314" t="s">
        <v>203</v>
      </c>
      <c r="LPK18" s="314" t="s">
        <v>203</v>
      </c>
      <c r="LPL18" s="314" t="s">
        <v>203</v>
      </c>
      <c r="LPM18" s="314" t="s">
        <v>203</v>
      </c>
      <c r="LPN18" s="314" t="s">
        <v>203</v>
      </c>
      <c r="LPO18" s="314" t="s">
        <v>203</v>
      </c>
      <c r="LPP18" s="314" t="s">
        <v>203</v>
      </c>
      <c r="LPQ18" s="314" t="s">
        <v>203</v>
      </c>
      <c r="LPR18" s="314" t="s">
        <v>203</v>
      </c>
      <c r="LPS18" s="314" t="s">
        <v>203</v>
      </c>
      <c r="LPT18" s="314" t="s">
        <v>203</v>
      </c>
      <c r="LPU18" s="314" t="s">
        <v>203</v>
      </c>
      <c r="LPV18" s="314" t="s">
        <v>203</v>
      </c>
      <c r="LPW18" s="314" t="s">
        <v>203</v>
      </c>
      <c r="LPX18" s="314" t="s">
        <v>203</v>
      </c>
      <c r="LPY18" s="314" t="s">
        <v>203</v>
      </c>
      <c r="LPZ18" s="314" t="s">
        <v>203</v>
      </c>
      <c r="LQA18" s="314" t="s">
        <v>203</v>
      </c>
      <c r="LQB18" s="314" t="s">
        <v>203</v>
      </c>
      <c r="LQC18" s="314" t="s">
        <v>203</v>
      </c>
      <c r="LQD18" s="314" t="s">
        <v>203</v>
      </c>
      <c r="LQE18" s="314" t="s">
        <v>203</v>
      </c>
      <c r="LQF18" s="314" t="s">
        <v>203</v>
      </c>
      <c r="LQG18" s="314" t="s">
        <v>203</v>
      </c>
      <c r="LQH18" s="314" t="s">
        <v>203</v>
      </c>
      <c r="LQI18" s="314" t="s">
        <v>203</v>
      </c>
      <c r="LQJ18" s="314" t="s">
        <v>203</v>
      </c>
      <c r="LQK18" s="314" t="s">
        <v>203</v>
      </c>
      <c r="LQL18" s="314" t="s">
        <v>203</v>
      </c>
      <c r="LQM18" s="314" t="s">
        <v>203</v>
      </c>
      <c r="LQN18" s="314" t="s">
        <v>203</v>
      </c>
      <c r="LQO18" s="314" t="s">
        <v>203</v>
      </c>
      <c r="LQP18" s="314" t="s">
        <v>203</v>
      </c>
      <c r="LQQ18" s="314" t="s">
        <v>203</v>
      </c>
      <c r="LQR18" s="314" t="s">
        <v>203</v>
      </c>
      <c r="LQS18" s="314" t="s">
        <v>203</v>
      </c>
      <c r="LQT18" s="314" t="s">
        <v>203</v>
      </c>
      <c r="LQU18" s="314" t="s">
        <v>203</v>
      </c>
      <c r="LQV18" s="314" t="s">
        <v>203</v>
      </c>
      <c r="LQW18" s="314" t="s">
        <v>203</v>
      </c>
      <c r="LQX18" s="314" t="s">
        <v>203</v>
      </c>
      <c r="LQY18" s="314" t="s">
        <v>203</v>
      </c>
      <c r="LQZ18" s="314" t="s">
        <v>203</v>
      </c>
      <c r="LRA18" s="314" t="s">
        <v>203</v>
      </c>
      <c r="LRB18" s="314" t="s">
        <v>203</v>
      </c>
      <c r="LRC18" s="314" t="s">
        <v>203</v>
      </c>
      <c r="LRD18" s="314" t="s">
        <v>203</v>
      </c>
      <c r="LRE18" s="314" t="s">
        <v>203</v>
      </c>
      <c r="LRF18" s="314" t="s">
        <v>203</v>
      </c>
      <c r="LRG18" s="314" t="s">
        <v>203</v>
      </c>
      <c r="LRH18" s="314" t="s">
        <v>203</v>
      </c>
      <c r="LRI18" s="314" t="s">
        <v>203</v>
      </c>
      <c r="LRJ18" s="314" t="s">
        <v>203</v>
      </c>
      <c r="LRK18" s="314" t="s">
        <v>203</v>
      </c>
      <c r="LRL18" s="314" t="s">
        <v>203</v>
      </c>
      <c r="LRM18" s="314" t="s">
        <v>203</v>
      </c>
      <c r="LRN18" s="314" t="s">
        <v>203</v>
      </c>
      <c r="LRO18" s="314" t="s">
        <v>203</v>
      </c>
      <c r="LRP18" s="314" t="s">
        <v>203</v>
      </c>
      <c r="LRQ18" s="314" t="s">
        <v>203</v>
      </c>
      <c r="LRR18" s="314" t="s">
        <v>203</v>
      </c>
      <c r="LRS18" s="314" t="s">
        <v>203</v>
      </c>
      <c r="LRT18" s="314" t="s">
        <v>203</v>
      </c>
      <c r="LRU18" s="314" t="s">
        <v>203</v>
      </c>
      <c r="LRV18" s="314" t="s">
        <v>203</v>
      </c>
      <c r="LRW18" s="314" t="s">
        <v>203</v>
      </c>
      <c r="LRX18" s="314" t="s">
        <v>203</v>
      </c>
      <c r="LRY18" s="314" t="s">
        <v>203</v>
      </c>
      <c r="LRZ18" s="314" t="s">
        <v>203</v>
      </c>
      <c r="LSA18" s="314" t="s">
        <v>203</v>
      </c>
      <c r="LSB18" s="314" t="s">
        <v>203</v>
      </c>
      <c r="LSC18" s="314" t="s">
        <v>203</v>
      </c>
      <c r="LSD18" s="314" t="s">
        <v>203</v>
      </c>
      <c r="LSE18" s="314" t="s">
        <v>203</v>
      </c>
      <c r="LSF18" s="314" t="s">
        <v>203</v>
      </c>
      <c r="LSG18" s="314" t="s">
        <v>203</v>
      </c>
      <c r="LSH18" s="314" t="s">
        <v>203</v>
      </c>
      <c r="LSI18" s="314" t="s">
        <v>203</v>
      </c>
      <c r="LSJ18" s="314" t="s">
        <v>203</v>
      </c>
      <c r="LSK18" s="314" t="s">
        <v>203</v>
      </c>
      <c r="LSL18" s="314" t="s">
        <v>203</v>
      </c>
      <c r="LSM18" s="314" t="s">
        <v>203</v>
      </c>
      <c r="LSN18" s="314" t="s">
        <v>203</v>
      </c>
      <c r="LSO18" s="314" t="s">
        <v>203</v>
      </c>
      <c r="LSP18" s="314" t="s">
        <v>203</v>
      </c>
      <c r="LSQ18" s="314" t="s">
        <v>203</v>
      </c>
      <c r="LSR18" s="314" t="s">
        <v>203</v>
      </c>
      <c r="LSS18" s="314" t="s">
        <v>203</v>
      </c>
      <c r="LST18" s="314" t="s">
        <v>203</v>
      </c>
      <c r="LSU18" s="314" t="s">
        <v>203</v>
      </c>
      <c r="LSV18" s="314" t="s">
        <v>203</v>
      </c>
      <c r="LSW18" s="314" t="s">
        <v>203</v>
      </c>
      <c r="LSX18" s="314" t="s">
        <v>203</v>
      </c>
      <c r="LSY18" s="314" t="s">
        <v>203</v>
      </c>
      <c r="LSZ18" s="314" t="s">
        <v>203</v>
      </c>
      <c r="LTA18" s="314" t="s">
        <v>203</v>
      </c>
      <c r="LTB18" s="314" t="s">
        <v>203</v>
      </c>
      <c r="LTC18" s="314" t="s">
        <v>203</v>
      </c>
      <c r="LTD18" s="314" t="s">
        <v>203</v>
      </c>
      <c r="LTE18" s="314" t="s">
        <v>203</v>
      </c>
      <c r="LTF18" s="314" t="s">
        <v>203</v>
      </c>
      <c r="LTG18" s="314" t="s">
        <v>203</v>
      </c>
      <c r="LTH18" s="314" t="s">
        <v>203</v>
      </c>
      <c r="LTI18" s="314" t="s">
        <v>203</v>
      </c>
      <c r="LTJ18" s="314" t="s">
        <v>203</v>
      </c>
      <c r="LTK18" s="314" t="s">
        <v>203</v>
      </c>
      <c r="LTL18" s="314" t="s">
        <v>203</v>
      </c>
      <c r="LTM18" s="314" t="s">
        <v>203</v>
      </c>
      <c r="LTN18" s="314" t="s">
        <v>203</v>
      </c>
      <c r="LTO18" s="314" t="s">
        <v>203</v>
      </c>
      <c r="LTP18" s="314" t="s">
        <v>203</v>
      </c>
      <c r="LTQ18" s="314" t="s">
        <v>203</v>
      </c>
      <c r="LTR18" s="314" t="s">
        <v>203</v>
      </c>
      <c r="LTS18" s="314" t="s">
        <v>203</v>
      </c>
      <c r="LTT18" s="314" t="s">
        <v>203</v>
      </c>
      <c r="LTU18" s="314" t="s">
        <v>203</v>
      </c>
      <c r="LTV18" s="314" t="s">
        <v>203</v>
      </c>
      <c r="LTW18" s="314" t="s">
        <v>203</v>
      </c>
      <c r="LTX18" s="314" t="s">
        <v>203</v>
      </c>
      <c r="LTY18" s="314" t="s">
        <v>203</v>
      </c>
      <c r="LTZ18" s="314" t="s">
        <v>203</v>
      </c>
      <c r="LUA18" s="314" t="s">
        <v>203</v>
      </c>
      <c r="LUB18" s="314" t="s">
        <v>203</v>
      </c>
      <c r="LUC18" s="314" t="s">
        <v>203</v>
      </c>
      <c r="LUD18" s="314" t="s">
        <v>203</v>
      </c>
      <c r="LUE18" s="314" t="s">
        <v>203</v>
      </c>
      <c r="LUF18" s="314" t="s">
        <v>203</v>
      </c>
      <c r="LUG18" s="314" t="s">
        <v>203</v>
      </c>
      <c r="LUH18" s="314" t="s">
        <v>203</v>
      </c>
      <c r="LUI18" s="314" t="s">
        <v>203</v>
      </c>
      <c r="LUJ18" s="314" t="s">
        <v>203</v>
      </c>
      <c r="LUK18" s="314" t="s">
        <v>203</v>
      </c>
      <c r="LUL18" s="314" t="s">
        <v>203</v>
      </c>
      <c r="LUM18" s="314" t="s">
        <v>203</v>
      </c>
      <c r="LUN18" s="314" t="s">
        <v>203</v>
      </c>
      <c r="LUO18" s="314" t="s">
        <v>203</v>
      </c>
      <c r="LUP18" s="314" t="s">
        <v>203</v>
      </c>
      <c r="LUQ18" s="314" t="s">
        <v>203</v>
      </c>
      <c r="LUR18" s="314" t="s">
        <v>203</v>
      </c>
      <c r="LUS18" s="314" t="s">
        <v>203</v>
      </c>
      <c r="LUT18" s="314" t="s">
        <v>203</v>
      </c>
      <c r="LUU18" s="314" t="s">
        <v>203</v>
      </c>
      <c r="LUV18" s="314" t="s">
        <v>203</v>
      </c>
      <c r="LUW18" s="314" t="s">
        <v>203</v>
      </c>
      <c r="LUX18" s="314" t="s">
        <v>203</v>
      </c>
      <c r="LUY18" s="314" t="s">
        <v>203</v>
      </c>
      <c r="LUZ18" s="314" t="s">
        <v>203</v>
      </c>
      <c r="LVA18" s="314" t="s">
        <v>203</v>
      </c>
      <c r="LVB18" s="314" t="s">
        <v>203</v>
      </c>
      <c r="LVC18" s="314" t="s">
        <v>203</v>
      </c>
      <c r="LVD18" s="314" t="s">
        <v>203</v>
      </c>
      <c r="LVE18" s="314" t="s">
        <v>203</v>
      </c>
      <c r="LVF18" s="314" t="s">
        <v>203</v>
      </c>
      <c r="LVG18" s="314" t="s">
        <v>203</v>
      </c>
      <c r="LVH18" s="314" t="s">
        <v>203</v>
      </c>
      <c r="LVI18" s="314" t="s">
        <v>203</v>
      </c>
      <c r="LVJ18" s="314" t="s">
        <v>203</v>
      </c>
      <c r="LVK18" s="314" t="s">
        <v>203</v>
      </c>
      <c r="LVL18" s="314" t="s">
        <v>203</v>
      </c>
      <c r="LVM18" s="314" t="s">
        <v>203</v>
      </c>
      <c r="LVN18" s="314" t="s">
        <v>203</v>
      </c>
      <c r="LVO18" s="314" t="s">
        <v>203</v>
      </c>
      <c r="LVP18" s="314" t="s">
        <v>203</v>
      </c>
      <c r="LVQ18" s="314" t="s">
        <v>203</v>
      </c>
      <c r="LVR18" s="314" t="s">
        <v>203</v>
      </c>
      <c r="LVS18" s="314" t="s">
        <v>203</v>
      </c>
      <c r="LVT18" s="314" t="s">
        <v>203</v>
      </c>
      <c r="LVU18" s="314" t="s">
        <v>203</v>
      </c>
      <c r="LVV18" s="314" t="s">
        <v>203</v>
      </c>
      <c r="LVW18" s="314" t="s">
        <v>203</v>
      </c>
      <c r="LVX18" s="314" t="s">
        <v>203</v>
      </c>
      <c r="LVY18" s="314" t="s">
        <v>203</v>
      </c>
      <c r="LVZ18" s="314" t="s">
        <v>203</v>
      </c>
      <c r="LWA18" s="314" t="s">
        <v>203</v>
      </c>
      <c r="LWB18" s="314" t="s">
        <v>203</v>
      </c>
      <c r="LWC18" s="314" t="s">
        <v>203</v>
      </c>
      <c r="LWD18" s="314" t="s">
        <v>203</v>
      </c>
      <c r="LWE18" s="314" t="s">
        <v>203</v>
      </c>
      <c r="LWF18" s="314" t="s">
        <v>203</v>
      </c>
      <c r="LWG18" s="314" t="s">
        <v>203</v>
      </c>
      <c r="LWH18" s="314" t="s">
        <v>203</v>
      </c>
      <c r="LWI18" s="314" t="s">
        <v>203</v>
      </c>
      <c r="LWJ18" s="314" t="s">
        <v>203</v>
      </c>
      <c r="LWK18" s="314" t="s">
        <v>203</v>
      </c>
      <c r="LWL18" s="314" t="s">
        <v>203</v>
      </c>
      <c r="LWM18" s="314" t="s">
        <v>203</v>
      </c>
      <c r="LWN18" s="314" t="s">
        <v>203</v>
      </c>
      <c r="LWO18" s="314" t="s">
        <v>203</v>
      </c>
      <c r="LWP18" s="314" t="s">
        <v>203</v>
      </c>
      <c r="LWQ18" s="314" t="s">
        <v>203</v>
      </c>
      <c r="LWR18" s="314" t="s">
        <v>203</v>
      </c>
      <c r="LWS18" s="314" t="s">
        <v>203</v>
      </c>
      <c r="LWT18" s="314" t="s">
        <v>203</v>
      </c>
      <c r="LWU18" s="314" t="s">
        <v>203</v>
      </c>
      <c r="LWV18" s="314" t="s">
        <v>203</v>
      </c>
      <c r="LWW18" s="314" t="s">
        <v>203</v>
      </c>
      <c r="LWX18" s="314" t="s">
        <v>203</v>
      </c>
      <c r="LWY18" s="314" t="s">
        <v>203</v>
      </c>
      <c r="LWZ18" s="314" t="s">
        <v>203</v>
      </c>
      <c r="LXA18" s="314" t="s">
        <v>203</v>
      </c>
      <c r="LXB18" s="314" t="s">
        <v>203</v>
      </c>
      <c r="LXC18" s="314" t="s">
        <v>203</v>
      </c>
      <c r="LXD18" s="314" t="s">
        <v>203</v>
      </c>
      <c r="LXE18" s="314" t="s">
        <v>203</v>
      </c>
      <c r="LXF18" s="314" t="s">
        <v>203</v>
      </c>
      <c r="LXG18" s="314" t="s">
        <v>203</v>
      </c>
      <c r="LXH18" s="314" t="s">
        <v>203</v>
      </c>
      <c r="LXI18" s="314" t="s">
        <v>203</v>
      </c>
      <c r="LXJ18" s="314" t="s">
        <v>203</v>
      </c>
      <c r="LXK18" s="314" t="s">
        <v>203</v>
      </c>
      <c r="LXL18" s="314" t="s">
        <v>203</v>
      </c>
      <c r="LXM18" s="314" t="s">
        <v>203</v>
      </c>
      <c r="LXN18" s="314" t="s">
        <v>203</v>
      </c>
      <c r="LXO18" s="314" t="s">
        <v>203</v>
      </c>
      <c r="LXP18" s="314" t="s">
        <v>203</v>
      </c>
      <c r="LXQ18" s="314" t="s">
        <v>203</v>
      </c>
      <c r="LXR18" s="314" t="s">
        <v>203</v>
      </c>
      <c r="LXS18" s="314" t="s">
        <v>203</v>
      </c>
      <c r="LXT18" s="314" t="s">
        <v>203</v>
      </c>
      <c r="LXU18" s="314" t="s">
        <v>203</v>
      </c>
      <c r="LXV18" s="314" t="s">
        <v>203</v>
      </c>
      <c r="LXW18" s="314" t="s">
        <v>203</v>
      </c>
      <c r="LXX18" s="314" t="s">
        <v>203</v>
      </c>
      <c r="LXY18" s="314" t="s">
        <v>203</v>
      </c>
      <c r="LXZ18" s="314" t="s">
        <v>203</v>
      </c>
      <c r="LYA18" s="314" t="s">
        <v>203</v>
      </c>
      <c r="LYB18" s="314" t="s">
        <v>203</v>
      </c>
      <c r="LYC18" s="314" t="s">
        <v>203</v>
      </c>
      <c r="LYD18" s="314" t="s">
        <v>203</v>
      </c>
      <c r="LYE18" s="314" t="s">
        <v>203</v>
      </c>
      <c r="LYF18" s="314" t="s">
        <v>203</v>
      </c>
      <c r="LYG18" s="314" t="s">
        <v>203</v>
      </c>
      <c r="LYH18" s="314" t="s">
        <v>203</v>
      </c>
      <c r="LYI18" s="314" t="s">
        <v>203</v>
      </c>
      <c r="LYJ18" s="314" t="s">
        <v>203</v>
      </c>
      <c r="LYK18" s="314" t="s">
        <v>203</v>
      </c>
      <c r="LYL18" s="314" t="s">
        <v>203</v>
      </c>
      <c r="LYM18" s="314" t="s">
        <v>203</v>
      </c>
      <c r="LYN18" s="314" t="s">
        <v>203</v>
      </c>
      <c r="LYO18" s="314" t="s">
        <v>203</v>
      </c>
      <c r="LYP18" s="314" t="s">
        <v>203</v>
      </c>
      <c r="LYQ18" s="314" t="s">
        <v>203</v>
      </c>
      <c r="LYR18" s="314" t="s">
        <v>203</v>
      </c>
      <c r="LYS18" s="314" t="s">
        <v>203</v>
      </c>
      <c r="LYT18" s="314" t="s">
        <v>203</v>
      </c>
      <c r="LYU18" s="314" t="s">
        <v>203</v>
      </c>
      <c r="LYV18" s="314" t="s">
        <v>203</v>
      </c>
      <c r="LYW18" s="314" t="s">
        <v>203</v>
      </c>
      <c r="LYX18" s="314" t="s">
        <v>203</v>
      </c>
      <c r="LYY18" s="314" t="s">
        <v>203</v>
      </c>
      <c r="LYZ18" s="314" t="s">
        <v>203</v>
      </c>
      <c r="LZA18" s="314" t="s">
        <v>203</v>
      </c>
      <c r="LZB18" s="314" t="s">
        <v>203</v>
      </c>
      <c r="LZC18" s="314" t="s">
        <v>203</v>
      </c>
      <c r="LZD18" s="314" t="s">
        <v>203</v>
      </c>
      <c r="LZE18" s="314" t="s">
        <v>203</v>
      </c>
      <c r="LZF18" s="314" t="s">
        <v>203</v>
      </c>
      <c r="LZG18" s="314" t="s">
        <v>203</v>
      </c>
      <c r="LZH18" s="314" t="s">
        <v>203</v>
      </c>
      <c r="LZI18" s="314" t="s">
        <v>203</v>
      </c>
      <c r="LZJ18" s="314" t="s">
        <v>203</v>
      </c>
      <c r="LZK18" s="314" t="s">
        <v>203</v>
      </c>
      <c r="LZL18" s="314" t="s">
        <v>203</v>
      </c>
      <c r="LZM18" s="314" t="s">
        <v>203</v>
      </c>
      <c r="LZN18" s="314" t="s">
        <v>203</v>
      </c>
      <c r="LZO18" s="314" t="s">
        <v>203</v>
      </c>
      <c r="LZP18" s="314" t="s">
        <v>203</v>
      </c>
      <c r="LZQ18" s="314" t="s">
        <v>203</v>
      </c>
      <c r="LZR18" s="314" t="s">
        <v>203</v>
      </c>
      <c r="LZS18" s="314" t="s">
        <v>203</v>
      </c>
      <c r="LZT18" s="314" t="s">
        <v>203</v>
      </c>
      <c r="LZU18" s="314" t="s">
        <v>203</v>
      </c>
      <c r="LZV18" s="314" t="s">
        <v>203</v>
      </c>
      <c r="LZW18" s="314" t="s">
        <v>203</v>
      </c>
      <c r="LZX18" s="314" t="s">
        <v>203</v>
      </c>
      <c r="LZY18" s="314" t="s">
        <v>203</v>
      </c>
      <c r="LZZ18" s="314" t="s">
        <v>203</v>
      </c>
      <c r="MAA18" s="314" t="s">
        <v>203</v>
      </c>
      <c r="MAB18" s="314" t="s">
        <v>203</v>
      </c>
      <c r="MAC18" s="314" t="s">
        <v>203</v>
      </c>
      <c r="MAD18" s="314" t="s">
        <v>203</v>
      </c>
      <c r="MAE18" s="314" t="s">
        <v>203</v>
      </c>
      <c r="MAF18" s="314" t="s">
        <v>203</v>
      </c>
      <c r="MAG18" s="314" t="s">
        <v>203</v>
      </c>
      <c r="MAH18" s="314" t="s">
        <v>203</v>
      </c>
      <c r="MAI18" s="314" t="s">
        <v>203</v>
      </c>
      <c r="MAJ18" s="314" t="s">
        <v>203</v>
      </c>
      <c r="MAK18" s="314" t="s">
        <v>203</v>
      </c>
      <c r="MAL18" s="314" t="s">
        <v>203</v>
      </c>
      <c r="MAM18" s="314" t="s">
        <v>203</v>
      </c>
      <c r="MAN18" s="314" t="s">
        <v>203</v>
      </c>
      <c r="MAO18" s="314" t="s">
        <v>203</v>
      </c>
      <c r="MAP18" s="314" t="s">
        <v>203</v>
      </c>
      <c r="MAQ18" s="314" t="s">
        <v>203</v>
      </c>
      <c r="MAR18" s="314" t="s">
        <v>203</v>
      </c>
      <c r="MAS18" s="314" t="s">
        <v>203</v>
      </c>
      <c r="MAT18" s="314" t="s">
        <v>203</v>
      </c>
      <c r="MAU18" s="314" t="s">
        <v>203</v>
      </c>
      <c r="MAV18" s="314" t="s">
        <v>203</v>
      </c>
      <c r="MAW18" s="314" t="s">
        <v>203</v>
      </c>
      <c r="MAX18" s="314" t="s">
        <v>203</v>
      </c>
      <c r="MAY18" s="314" t="s">
        <v>203</v>
      </c>
      <c r="MAZ18" s="314" t="s">
        <v>203</v>
      </c>
      <c r="MBA18" s="314" t="s">
        <v>203</v>
      </c>
      <c r="MBB18" s="314" t="s">
        <v>203</v>
      </c>
      <c r="MBC18" s="314" t="s">
        <v>203</v>
      </c>
      <c r="MBD18" s="314" t="s">
        <v>203</v>
      </c>
      <c r="MBE18" s="314" t="s">
        <v>203</v>
      </c>
      <c r="MBF18" s="314" t="s">
        <v>203</v>
      </c>
      <c r="MBG18" s="314" t="s">
        <v>203</v>
      </c>
      <c r="MBH18" s="314" t="s">
        <v>203</v>
      </c>
      <c r="MBI18" s="314" t="s">
        <v>203</v>
      </c>
      <c r="MBJ18" s="314" t="s">
        <v>203</v>
      </c>
      <c r="MBK18" s="314" t="s">
        <v>203</v>
      </c>
      <c r="MBL18" s="314" t="s">
        <v>203</v>
      </c>
      <c r="MBM18" s="314" t="s">
        <v>203</v>
      </c>
      <c r="MBN18" s="314" t="s">
        <v>203</v>
      </c>
      <c r="MBO18" s="314" t="s">
        <v>203</v>
      </c>
      <c r="MBP18" s="314" t="s">
        <v>203</v>
      </c>
      <c r="MBQ18" s="314" t="s">
        <v>203</v>
      </c>
      <c r="MBR18" s="314" t="s">
        <v>203</v>
      </c>
      <c r="MBS18" s="314" t="s">
        <v>203</v>
      </c>
      <c r="MBT18" s="314" t="s">
        <v>203</v>
      </c>
      <c r="MBU18" s="314" t="s">
        <v>203</v>
      </c>
      <c r="MBV18" s="314" t="s">
        <v>203</v>
      </c>
      <c r="MBW18" s="314" t="s">
        <v>203</v>
      </c>
      <c r="MBX18" s="314" t="s">
        <v>203</v>
      </c>
      <c r="MBY18" s="314" t="s">
        <v>203</v>
      </c>
      <c r="MBZ18" s="314" t="s">
        <v>203</v>
      </c>
      <c r="MCA18" s="314" t="s">
        <v>203</v>
      </c>
      <c r="MCB18" s="314" t="s">
        <v>203</v>
      </c>
      <c r="MCC18" s="314" t="s">
        <v>203</v>
      </c>
      <c r="MCD18" s="314" t="s">
        <v>203</v>
      </c>
      <c r="MCE18" s="314" t="s">
        <v>203</v>
      </c>
      <c r="MCF18" s="314" t="s">
        <v>203</v>
      </c>
      <c r="MCG18" s="314" t="s">
        <v>203</v>
      </c>
      <c r="MCH18" s="314" t="s">
        <v>203</v>
      </c>
      <c r="MCI18" s="314" t="s">
        <v>203</v>
      </c>
      <c r="MCJ18" s="314" t="s">
        <v>203</v>
      </c>
      <c r="MCK18" s="314" t="s">
        <v>203</v>
      </c>
      <c r="MCL18" s="314" t="s">
        <v>203</v>
      </c>
      <c r="MCM18" s="314" t="s">
        <v>203</v>
      </c>
      <c r="MCN18" s="314" t="s">
        <v>203</v>
      </c>
      <c r="MCO18" s="314" t="s">
        <v>203</v>
      </c>
      <c r="MCP18" s="314" t="s">
        <v>203</v>
      </c>
      <c r="MCQ18" s="314" t="s">
        <v>203</v>
      </c>
      <c r="MCR18" s="314" t="s">
        <v>203</v>
      </c>
      <c r="MCS18" s="314" t="s">
        <v>203</v>
      </c>
      <c r="MCT18" s="314" t="s">
        <v>203</v>
      </c>
      <c r="MCU18" s="314" t="s">
        <v>203</v>
      </c>
      <c r="MCV18" s="314" t="s">
        <v>203</v>
      </c>
      <c r="MCW18" s="314" t="s">
        <v>203</v>
      </c>
      <c r="MCX18" s="314" t="s">
        <v>203</v>
      </c>
      <c r="MCY18" s="314" t="s">
        <v>203</v>
      </c>
      <c r="MCZ18" s="314" t="s">
        <v>203</v>
      </c>
      <c r="MDA18" s="314" t="s">
        <v>203</v>
      </c>
      <c r="MDB18" s="314" t="s">
        <v>203</v>
      </c>
      <c r="MDC18" s="314" t="s">
        <v>203</v>
      </c>
      <c r="MDD18" s="314" t="s">
        <v>203</v>
      </c>
      <c r="MDE18" s="314" t="s">
        <v>203</v>
      </c>
      <c r="MDF18" s="314" t="s">
        <v>203</v>
      </c>
      <c r="MDG18" s="314" t="s">
        <v>203</v>
      </c>
      <c r="MDH18" s="314" t="s">
        <v>203</v>
      </c>
      <c r="MDI18" s="314" t="s">
        <v>203</v>
      </c>
      <c r="MDJ18" s="314" t="s">
        <v>203</v>
      </c>
      <c r="MDK18" s="314" t="s">
        <v>203</v>
      </c>
      <c r="MDL18" s="314" t="s">
        <v>203</v>
      </c>
      <c r="MDM18" s="314" t="s">
        <v>203</v>
      </c>
      <c r="MDN18" s="314" t="s">
        <v>203</v>
      </c>
      <c r="MDO18" s="314" t="s">
        <v>203</v>
      </c>
      <c r="MDP18" s="314" t="s">
        <v>203</v>
      </c>
      <c r="MDQ18" s="314" t="s">
        <v>203</v>
      </c>
      <c r="MDR18" s="314" t="s">
        <v>203</v>
      </c>
      <c r="MDS18" s="314" t="s">
        <v>203</v>
      </c>
      <c r="MDT18" s="314" t="s">
        <v>203</v>
      </c>
      <c r="MDU18" s="314" t="s">
        <v>203</v>
      </c>
      <c r="MDV18" s="314" t="s">
        <v>203</v>
      </c>
      <c r="MDW18" s="314" t="s">
        <v>203</v>
      </c>
      <c r="MDX18" s="314" t="s">
        <v>203</v>
      </c>
      <c r="MDY18" s="314" t="s">
        <v>203</v>
      </c>
      <c r="MDZ18" s="314" t="s">
        <v>203</v>
      </c>
      <c r="MEA18" s="314" t="s">
        <v>203</v>
      </c>
      <c r="MEB18" s="314" t="s">
        <v>203</v>
      </c>
      <c r="MEC18" s="314" t="s">
        <v>203</v>
      </c>
      <c r="MED18" s="314" t="s">
        <v>203</v>
      </c>
      <c r="MEE18" s="314" t="s">
        <v>203</v>
      </c>
      <c r="MEF18" s="314" t="s">
        <v>203</v>
      </c>
      <c r="MEG18" s="314" t="s">
        <v>203</v>
      </c>
      <c r="MEH18" s="314" t="s">
        <v>203</v>
      </c>
      <c r="MEI18" s="314" t="s">
        <v>203</v>
      </c>
      <c r="MEJ18" s="314" t="s">
        <v>203</v>
      </c>
      <c r="MEK18" s="314" t="s">
        <v>203</v>
      </c>
      <c r="MEL18" s="314" t="s">
        <v>203</v>
      </c>
      <c r="MEM18" s="314" t="s">
        <v>203</v>
      </c>
      <c r="MEN18" s="314" t="s">
        <v>203</v>
      </c>
      <c r="MEO18" s="314" t="s">
        <v>203</v>
      </c>
      <c r="MEP18" s="314" t="s">
        <v>203</v>
      </c>
      <c r="MEQ18" s="314" t="s">
        <v>203</v>
      </c>
      <c r="MER18" s="314" t="s">
        <v>203</v>
      </c>
      <c r="MES18" s="314" t="s">
        <v>203</v>
      </c>
      <c r="MET18" s="314" t="s">
        <v>203</v>
      </c>
      <c r="MEU18" s="314" t="s">
        <v>203</v>
      </c>
      <c r="MEV18" s="314" t="s">
        <v>203</v>
      </c>
      <c r="MEW18" s="314" t="s">
        <v>203</v>
      </c>
      <c r="MEX18" s="314" t="s">
        <v>203</v>
      </c>
      <c r="MEY18" s="314" t="s">
        <v>203</v>
      </c>
      <c r="MEZ18" s="314" t="s">
        <v>203</v>
      </c>
      <c r="MFA18" s="314" t="s">
        <v>203</v>
      </c>
      <c r="MFB18" s="314" t="s">
        <v>203</v>
      </c>
      <c r="MFC18" s="314" t="s">
        <v>203</v>
      </c>
      <c r="MFD18" s="314" t="s">
        <v>203</v>
      </c>
      <c r="MFE18" s="314" t="s">
        <v>203</v>
      </c>
      <c r="MFF18" s="314" t="s">
        <v>203</v>
      </c>
      <c r="MFG18" s="314" t="s">
        <v>203</v>
      </c>
      <c r="MFH18" s="314" t="s">
        <v>203</v>
      </c>
      <c r="MFI18" s="314" t="s">
        <v>203</v>
      </c>
      <c r="MFJ18" s="314" t="s">
        <v>203</v>
      </c>
      <c r="MFK18" s="314" t="s">
        <v>203</v>
      </c>
      <c r="MFL18" s="314" t="s">
        <v>203</v>
      </c>
      <c r="MFM18" s="314" t="s">
        <v>203</v>
      </c>
      <c r="MFN18" s="314" t="s">
        <v>203</v>
      </c>
      <c r="MFO18" s="314" t="s">
        <v>203</v>
      </c>
      <c r="MFP18" s="314" t="s">
        <v>203</v>
      </c>
      <c r="MFQ18" s="314" t="s">
        <v>203</v>
      </c>
      <c r="MFR18" s="314" t="s">
        <v>203</v>
      </c>
      <c r="MFS18" s="314" t="s">
        <v>203</v>
      </c>
      <c r="MFT18" s="314" t="s">
        <v>203</v>
      </c>
      <c r="MFU18" s="314" t="s">
        <v>203</v>
      </c>
      <c r="MFV18" s="314" t="s">
        <v>203</v>
      </c>
      <c r="MFW18" s="314" t="s">
        <v>203</v>
      </c>
      <c r="MFX18" s="314" t="s">
        <v>203</v>
      </c>
      <c r="MFY18" s="314" t="s">
        <v>203</v>
      </c>
      <c r="MFZ18" s="314" t="s">
        <v>203</v>
      </c>
      <c r="MGA18" s="314" t="s">
        <v>203</v>
      </c>
      <c r="MGB18" s="314" t="s">
        <v>203</v>
      </c>
      <c r="MGC18" s="314" t="s">
        <v>203</v>
      </c>
      <c r="MGD18" s="314" t="s">
        <v>203</v>
      </c>
      <c r="MGE18" s="314" t="s">
        <v>203</v>
      </c>
      <c r="MGF18" s="314" t="s">
        <v>203</v>
      </c>
      <c r="MGG18" s="314" t="s">
        <v>203</v>
      </c>
      <c r="MGH18" s="314" t="s">
        <v>203</v>
      </c>
      <c r="MGI18" s="314" t="s">
        <v>203</v>
      </c>
      <c r="MGJ18" s="314" t="s">
        <v>203</v>
      </c>
      <c r="MGK18" s="314" t="s">
        <v>203</v>
      </c>
      <c r="MGL18" s="314" t="s">
        <v>203</v>
      </c>
      <c r="MGM18" s="314" t="s">
        <v>203</v>
      </c>
      <c r="MGN18" s="314" t="s">
        <v>203</v>
      </c>
      <c r="MGO18" s="314" t="s">
        <v>203</v>
      </c>
      <c r="MGP18" s="314" t="s">
        <v>203</v>
      </c>
      <c r="MGQ18" s="314" t="s">
        <v>203</v>
      </c>
      <c r="MGR18" s="314" t="s">
        <v>203</v>
      </c>
      <c r="MGS18" s="314" t="s">
        <v>203</v>
      </c>
      <c r="MGT18" s="314" t="s">
        <v>203</v>
      </c>
      <c r="MGU18" s="314" t="s">
        <v>203</v>
      </c>
      <c r="MGV18" s="314" t="s">
        <v>203</v>
      </c>
      <c r="MGW18" s="314" t="s">
        <v>203</v>
      </c>
      <c r="MGX18" s="314" t="s">
        <v>203</v>
      </c>
      <c r="MGY18" s="314" t="s">
        <v>203</v>
      </c>
      <c r="MGZ18" s="314" t="s">
        <v>203</v>
      </c>
      <c r="MHA18" s="314" t="s">
        <v>203</v>
      </c>
      <c r="MHB18" s="314" t="s">
        <v>203</v>
      </c>
      <c r="MHC18" s="314" t="s">
        <v>203</v>
      </c>
      <c r="MHD18" s="314" t="s">
        <v>203</v>
      </c>
      <c r="MHE18" s="314" t="s">
        <v>203</v>
      </c>
      <c r="MHF18" s="314" t="s">
        <v>203</v>
      </c>
      <c r="MHG18" s="314" t="s">
        <v>203</v>
      </c>
      <c r="MHH18" s="314" t="s">
        <v>203</v>
      </c>
      <c r="MHI18" s="314" t="s">
        <v>203</v>
      </c>
      <c r="MHJ18" s="314" t="s">
        <v>203</v>
      </c>
      <c r="MHK18" s="314" t="s">
        <v>203</v>
      </c>
      <c r="MHL18" s="314" t="s">
        <v>203</v>
      </c>
      <c r="MHM18" s="314" t="s">
        <v>203</v>
      </c>
      <c r="MHN18" s="314" t="s">
        <v>203</v>
      </c>
      <c r="MHO18" s="314" t="s">
        <v>203</v>
      </c>
      <c r="MHP18" s="314" t="s">
        <v>203</v>
      </c>
      <c r="MHQ18" s="314" t="s">
        <v>203</v>
      </c>
      <c r="MHR18" s="314" t="s">
        <v>203</v>
      </c>
      <c r="MHS18" s="314" t="s">
        <v>203</v>
      </c>
      <c r="MHT18" s="314" t="s">
        <v>203</v>
      </c>
      <c r="MHU18" s="314" t="s">
        <v>203</v>
      </c>
      <c r="MHV18" s="314" t="s">
        <v>203</v>
      </c>
      <c r="MHW18" s="314" t="s">
        <v>203</v>
      </c>
      <c r="MHX18" s="314" t="s">
        <v>203</v>
      </c>
      <c r="MHY18" s="314" t="s">
        <v>203</v>
      </c>
      <c r="MHZ18" s="314" t="s">
        <v>203</v>
      </c>
      <c r="MIA18" s="314" t="s">
        <v>203</v>
      </c>
      <c r="MIB18" s="314" t="s">
        <v>203</v>
      </c>
      <c r="MIC18" s="314" t="s">
        <v>203</v>
      </c>
      <c r="MID18" s="314" t="s">
        <v>203</v>
      </c>
      <c r="MIE18" s="314" t="s">
        <v>203</v>
      </c>
      <c r="MIF18" s="314" t="s">
        <v>203</v>
      </c>
      <c r="MIG18" s="314" t="s">
        <v>203</v>
      </c>
      <c r="MIH18" s="314" t="s">
        <v>203</v>
      </c>
      <c r="MII18" s="314" t="s">
        <v>203</v>
      </c>
      <c r="MIJ18" s="314" t="s">
        <v>203</v>
      </c>
      <c r="MIK18" s="314" t="s">
        <v>203</v>
      </c>
      <c r="MIL18" s="314" t="s">
        <v>203</v>
      </c>
      <c r="MIM18" s="314" t="s">
        <v>203</v>
      </c>
      <c r="MIN18" s="314" t="s">
        <v>203</v>
      </c>
      <c r="MIO18" s="314" t="s">
        <v>203</v>
      </c>
      <c r="MIP18" s="314" t="s">
        <v>203</v>
      </c>
      <c r="MIQ18" s="314" t="s">
        <v>203</v>
      </c>
      <c r="MIR18" s="314" t="s">
        <v>203</v>
      </c>
      <c r="MIS18" s="314" t="s">
        <v>203</v>
      </c>
      <c r="MIT18" s="314" t="s">
        <v>203</v>
      </c>
      <c r="MIU18" s="314" t="s">
        <v>203</v>
      </c>
      <c r="MIV18" s="314" t="s">
        <v>203</v>
      </c>
      <c r="MIW18" s="314" t="s">
        <v>203</v>
      </c>
      <c r="MIX18" s="314" t="s">
        <v>203</v>
      </c>
      <c r="MIY18" s="314" t="s">
        <v>203</v>
      </c>
      <c r="MIZ18" s="314" t="s">
        <v>203</v>
      </c>
      <c r="MJA18" s="314" t="s">
        <v>203</v>
      </c>
      <c r="MJB18" s="314" t="s">
        <v>203</v>
      </c>
      <c r="MJC18" s="314" t="s">
        <v>203</v>
      </c>
      <c r="MJD18" s="314" t="s">
        <v>203</v>
      </c>
      <c r="MJE18" s="314" t="s">
        <v>203</v>
      </c>
      <c r="MJF18" s="314" t="s">
        <v>203</v>
      </c>
      <c r="MJG18" s="314" t="s">
        <v>203</v>
      </c>
      <c r="MJH18" s="314" t="s">
        <v>203</v>
      </c>
      <c r="MJI18" s="314" t="s">
        <v>203</v>
      </c>
      <c r="MJJ18" s="314" t="s">
        <v>203</v>
      </c>
      <c r="MJK18" s="314" t="s">
        <v>203</v>
      </c>
      <c r="MJL18" s="314" t="s">
        <v>203</v>
      </c>
      <c r="MJM18" s="314" t="s">
        <v>203</v>
      </c>
      <c r="MJN18" s="314" t="s">
        <v>203</v>
      </c>
      <c r="MJO18" s="314" t="s">
        <v>203</v>
      </c>
      <c r="MJP18" s="314" t="s">
        <v>203</v>
      </c>
      <c r="MJQ18" s="314" t="s">
        <v>203</v>
      </c>
      <c r="MJR18" s="314" t="s">
        <v>203</v>
      </c>
      <c r="MJS18" s="314" t="s">
        <v>203</v>
      </c>
      <c r="MJT18" s="314" t="s">
        <v>203</v>
      </c>
      <c r="MJU18" s="314" t="s">
        <v>203</v>
      </c>
      <c r="MJV18" s="314" t="s">
        <v>203</v>
      </c>
      <c r="MJW18" s="314" t="s">
        <v>203</v>
      </c>
      <c r="MJX18" s="314" t="s">
        <v>203</v>
      </c>
      <c r="MJY18" s="314" t="s">
        <v>203</v>
      </c>
      <c r="MJZ18" s="314" t="s">
        <v>203</v>
      </c>
      <c r="MKA18" s="314" t="s">
        <v>203</v>
      </c>
      <c r="MKB18" s="314" t="s">
        <v>203</v>
      </c>
      <c r="MKC18" s="314" t="s">
        <v>203</v>
      </c>
      <c r="MKD18" s="314" t="s">
        <v>203</v>
      </c>
      <c r="MKE18" s="314" t="s">
        <v>203</v>
      </c>
      <c r="MKF18" s="314" t="s">
        <v>203</v>
      </c>
      <c r="MKG18" s="314" t="s">
        <v>203</v>
      </c>
      <c r="MKH18" s="314" t="s">
        <v>203</v>
      </c>
      <c r="MKI18" s="314" t="s">
        <v>203</v>
      </c>
      <c r="MKJ18" s="314" t="s">
        <v>203</v>
      </c>
      <c r="MKK18" s="314" t="s">
        <v>203</v>
      </c>
      <c r="MKL18" s="314" t="s">
        <v>203</v>
      </c>
      <c r="MKM18" s="314" t="s">
        <v>203</v>
      </c>
      <c r="MKN18" s="314" t="s">
        <v>203</v>
      </c>
      <c r="MKO18" s="314" t="s">
        <v>203</v>
      </c>
      <c r="MKP18" s="314" t="s">
        <v>203</v>
      </c>
      <c r="MKQ18" s="314" t="s">
        <v>203</v>
      </c>
      <c r="MKR18" s="314" t="s">
        <v>203</v>
      </c>
      <c r="MKS18" s="314" t="s">
        <v>203</v>
      </c>
      <c r="MKT18" s="314" t="s">
        <v>203</v>
      </c>
      <c r="MKU18" s="314" t="s">
        <v>203</v>
      </c>
      <c r="MKV18" s="314" t="s">
        <v>203</v>
      </c>
      <c r="MKW18" s="314" t="s">
        <v>203</v>
      </c>
      <c r="MKX18" s="314" t="s">
        <v>203</v>
      </c>
      <c r="MKY18" s="314" t="s">
        <v>203</v>
      </c>
      <c r="MKZ18" s="314" t="s">
        <v>203</v>
      </c>
      <c r="MLA18" s="314" t="s">
        <v>203</v>
      </c>
      <c r="MLB18" s="314" t="s">
        <v>203</v>
      </c>
      <c r="MLC18" s="314" t="s">
        <v>203</v>
      </c>
      <c r="MLD18" s="314" t="s">
        <v>203</v>
      </c>
      <c r="MLE18" s="314" t="s">
        <v>203</v>
      </c>
      <c r="MLF18" s="314" t="s">
        <v>203</v>
      </c>
      <c r="MLG18" s="314" t="s">
        <v>203</v>
      </c>
      <c r="MLH18" s="314" t="s">
        <v>203</v>
      </c>
      <c r="MLI18" s="314" t="s">
        <v>203</v>
      </c>
      <c r="MLJ18" s="314" t="s">
        <v>203</v>
      </c>
      <c r="MLK18" s="314" t="s">
        <v>203</v>
      </c>
      <c r="MLL18" s="314" t="s">
        <v>203</v>
      </c>
      <c r="MLM18" s="314" t="s">
        <v>203</v>
      </c>
      <c r="MLN18" s="314" t="s">
        <v>203</v>
      </c>
      <c r="MLO18" s="314" t="s">
        <v>203</v>
      </c>
      <c r="MLP18" s="314" t="s">
        <v>203</v>
      </c>
      <c r="MLQ18" s="314" t="s">
        <v>203</v>
      </c>
      <c r="MLR18" s="314" t="s">
        <v>203</v>
      </c>
      <c r="MLS18" s="314" t="s">
        <v>203</v>
      </c>
      <c r="MLT18" s="314" t="s">
        <v>203</v>
      </c>
      <c r="MLU18" s="314" t="s">
        <v>203</v>
      </c>
      <c r="MLV18" s="314" t="s">
        <v>203</v>
      </c>
      <c r="MLW18" s="314" t="s">
        <v>203</v>
      </c>
      <c r="MLX18" s="314" t="s">
        <v>203</v>
      </c>
      <c r="MLY18" s="314" t="s">
        <v>203</v>
      </c>
      <c r="MLZ18" s="314" t="s">
        <v>203</v>
      </c>
      <c r="MMA18" s="314" t="s">
        <v>203</v>
      </c>
      <c r="MMB18" s="314" t="s">
        <v>203</v>
      </c>
      <c r="MMC18" s="314" t="s">
        <v>203</v>
      </c>
      <c r="MMD18" s="314" t="s">
        <v>203</v>
      </c>
      <c r="MME18" s="314" t="s">
        <v>203</v>
      </c>
      <c r="MMF18" s="314" t="s">
        <v>203</v>
      </c>
      <c r="MMG18" s="314" t="s">
        <v>203</v>
      </c>
      <c r="MMH18" s="314" t="s">
        <v>203</v>
      </c>
      <c r="MMI18" s="314" t="s">
        <v>203</v>
      </c>
      <c r="MMJ18" s="314" t="s">
        <v>203</v>
      </c>
      <c r="MMK18" s="314" t="s">
        <v>203</v>
      </c>
      <c r="MML18" s="314" t="s">
        <v>203</v>
      </c>
      <c r="MMM18" s="314" t="s">
        <v>203</v>
      </c>
      <c r="MMN18" s="314" t="s">
        <v>203</v>
      </c>
      <c r="MMO18" s="314" t="s">
        <v>203</v>
      </c>
      <c r="MMP18" s="314" t="s">
        <v>203</v>
      </c>
      <c r="MMQ18" s="314" t="s">
        <v>203</v>
      </c>
      <c r="MMR18" s="314" t="s">
        <v>203</v>
      </c>
      <c r="MMS18" s="314" t="s">
        <v>203</v>
      </c>
      <c r="MMT18" s="314" t="s">
        <v>203</v>
      </c>
      <c r="MMU18" s="314" t="s">
        <v>203</v>
      </c>
      <c r="MMV18" s="314" t="s">
        <v>203</v>
      </c>
      <c r="MMW18" s="314" t="s">
        <v>203</v>
      </c>
      <c r="MMX18" s="314" t="s">
        <v>203</v>
      </c>
      <c r="MMY18" s="314" t="s">
        <v>203</v>
      </c>
      <c r="MMZ18" s="314" t="s">
        <v>203</v>
      </c>
      <c r="MNA18" s="314" t="s">
        <v>203</v>
      </c>
      <c r="MNB18" s="314" t="s">
        <v>203</v>
      </c>
      <c r="MNC18" s="314" t="s">
        <v>203</v>
      </c>
      <c r="MND18" s="314" t="s">
        <v>203</v>
      </c>
      <c r="MNE18" s="314" t="s">
        <v>203</v>
      </c>
      <c r="MNF18" s="314" t="s">
        <v>203</v>
      </c>
      <c r="MNG18" s="314" t="s">
        <v>203</v>
      </c>
      <c r="MNH18" s="314" t="s">
        <v>203</v>
      </c>
      <c r="MNI18" s="314" t="s">
        <v>203</v>
      </c>
      <c r="MNJ18" s="314" t="s">
        <v>203</v>
      </c>
      <c r="MNK18" s="314" t="s">
        <v>203</v>
      </c>
      <c r="MNL18" s="314" t="s">
        <v>203</v>
      </c>
      <c r="MNM18" s="314" t="s">
        <v>203</v>
      </c>
      <c r="MNN18" s="314" t="s">
        <v>203</v>
      </c>
      <c r="MNO18" s="314" t="s">
        <v>203</v>
      </c>
      <c r="MNP18" s="314" t="s">
        <v>203</v>
      </c>
      <c r="MNQ18" s="314" t="s">
        <v>203</v>
      </c>
      <c r="MNR18" s="314" t="s">
        <v>203</v>
      </c>
      <c r="MNS18" s="314" t="s">
        <v>203</v>
      </c>
      <c r="MNT18" s="314" t="s">
        <v>203</v>
      </c>
      <c r="MNU18" s="314" t="s">
        <v>203</v>
      </c>
      <c r="MNV18" s="314" t="s">
        <v>203</v>
      </c>
      <c r="MNW18" s="314" t="s">
        <v>203</v>
      </c>
      <c r="MNX18" s="314" t="s">
        <v>203</v>
      </c>
      <c r="MNY18" s="314" t="s">
        <v>203</v>
      </c>
      <c r="MNZ18" s="314" t="s">
        <v>203</v>
      </c>
      <c r="MOA18" s="314" t="s">
        <v>203</v>
      </c>
      <c r="MOB18" s="314" t="s">
        <v>203</v>
      </c>
      <c r="MOC18" s="314" t="s">
        <v>203</v>
      </c>
      <c r="MOD18" s="314" t="s">
        <v>203</v>
      </c>
      <c r="MOE18" s="314" t="s">
        <v>203</v>
      </c>
      <c r="MOF18" s="314" t="s">
        <v>203</v>
      </c>
      <c r="MOG18" s="314" t="s">
        <v>203</v>
      </c>
      <c r="MOH18" s="314" t="s">
        <v>203</v>
      </c>
      <c r="MOI18" s="314" t="s">
        <v>203</v>
      </c>
      <c r="MOJ18" s="314" t="s">
        <v>203</v>
      </c>
      <c r="MOK18" s="314" t="s">
        <v>203</v>
      </c>
      <c r="MOL18" s="314" t="s">
        <v>203</v>
      </c>
      <c r="MOM18" s="314" t="s">
        <v>203</v>
      </c>
      <c r="MON18" s="314" t="s">
        <v>203</v>
      </c>
      <c r="MOO18" s="314" t="s">
        <v>203</v>
      </c>
      <c r="MOP18" s="314" t="s">
        <v>203</v>
      </c>
      <c r="MOQ18" s="314" t="s">
        <v>203</v>
      </c>
      <c r="MOR18" s="314" t="s">
        <v>203</v>
      </c>
      <c r="MOS18" s="314" t="s">
        <v>203</v>
      </c>
      <c r="MOT18" s="314" t="s">
        <v>203</v>
      </c>
      <c r="MOU18" s="314" t="s">
        <v>203</v>
      </c>
      <c r="MOV18" s="314" t="s">
        <v>203</v>
      </c>
      <c r="MOW18" s="314" t="s">
        <v>203</v>
      </c>
      <c r="MOX18" s="314" t="s">
        <v>203</v>
      </c>
      <c r="MOY18" s="314" t="s">
        <v>203</v>
      </c>
      <c r="MOZ18" s="314" t="s">
        <v>203</v>
      </c>
      <c r="MPA18" s="314" t="s">
        <v>203</v>
      </c>
      <c r="MPB18" s="314" t="s">
        <v>203</v>
      </c>
      <c r="MPC18" s="314" t="s">
        <v>203</v>
      </c>
      <c r="MPD18" s="314" t="s">
        <v>203</v>
      </c>
      <c r="MPE18" s="314" t="s">
        <v>203</v>
      </c>
      <c r="MPF18" s="314" t="s">
        <v>203</v>
      </c>
      <c r="MPG18" s="314" t="s">
        <v>203</v>
      </c>
      <c r="MPH18" s="314" t="s">
        <v>203</v>
      </c>
      <c r="MPI18" s="314" t="s">
        <v>203</v>
      </c>
      <c r="MPJ18" s="314" t="s">
        <v>203</v>
      </c>
      <c r="MPK18" s="314" t="s">
        <v>203</v>
      </c>
      <c r="MPL18" s="314" t="s">
        <v>203</v>
      </c>
      <c r="MPM18" s="314" t="s">
        <v>203</v>
      </c>
      <c r="MPN18" s="314" t="s">
        <v>203</v>
      </c>
      <c r="MPO18" s="314" t="s">
        <v>203</v>
      </c>
      <c r="MPP18" s="314" t="s">
        <v>203</v>
      </c>
      <c r="MPQ18" s="314" t="s">
        <v>203</v>
      </c>
      <c r="MPR18" s="314" t="s">
        <v>203</v>
      </c>
      <c r="MPS18" s="314" t="s">
        <v>203</v>
      </c>
      <c r="MPT18" s="314" t="s">
        <v>203</v>
      </c>
      <c r="MPU18" s="314" t="s">
        <v>203</v>
      </c>
      <c r="MPV18" s="314" t="s">
        <v>203</v>
      </c>
      <c r="MPW18" s="314" t="s">
        <v>203</v>
      </c>
      <c r="MPX18" s="314" t="s">
        <v>203</v>
      </c>
      <c r="MPY18" s="314" t="s">
        <v>203</v>
      </c>
      <c r="MPZ18" s="314" t="s">
        <v>203</v>
      </c>
      <c r="MQA18" s="314" t="s">
        <v>203</v>
      </c>
      <c r="MQB18" s="314" t="s">
        <v>203</v>
      </c>
      <c r="MQC18" s="314" t="s">
        <v>203</v>
      </c>
      <c r="MQD18" s="314" t="s">
        <v>203</v>
      </c>
      <c r="MQE18" s="314" t="s">
        <v>203</v>
      </c>
      <c r="MQF18" s="314" t="s">
        <v>203</v>
      </c>
      <c r="MQG18" s="314" t="s">
        <v>203</v>
      </c>
      <c r="MQH18" s="314" t="s">
        <v>203</v>
      </c>
      <c r="MQI18" s="314" t="s">
        <v>203</v>
      </c>
      <c r="MQJ18" s="314" t="s">
        <v>203</v>
      </c>
      <c r="MQK18" s="314" t="s">
        <v>203</v>
      </c>
      <c r="MQL18" s="314" t="s">
        <v>203</v>
      </c>
      <c r="MQM18" s="314" t="s">
        <v>203</v>
      </c>
      <c r="MQN18" s="314" t="s">
        <v>203</v>
      </c>
      <c r="MQO18" s="314" t="s">
        <v>203</v>
      </c>
      <c r="MQP18" s="314" t="s">
        <v>203</v>
      </c>
      <c r="MQQ18" s="314" t="s">
        <v>203</v>
      </c>
      <c r="MQR18" s="314" t="s">
        <v>203</v>
      </c>
      <c r="MQS18" s="314" t="s">
        <v>203</v>
      </c>
      <c r="MQT18" s="314" t="s">
        <v>203</v>
      </c>
      <c r="MQU18" s="314" t="s">
        <v>203</v>
      </c>
      <c r="MQV18" s="314" t="s">
        <v>203</v>
      </c>
      <c r="MQW18" s="314" t="s">
        <v>203</v>
      </c>
      <c r="MQX18" s="314" t="s">
        <v>203</v>
      </c>
      <c r="MQY18" s="314" t="s">
        <v>203</v>
      </c>
      <c r="MQZ18" s="314" t="s">
        <v>203</v>
      </c>
      <c r="MRA18" s="314" t="s">
        <v>203</v>
      </c>
      <c r="MRB18" s="314" t="s">
        <v>203</v>
      </c>
      <c r="MRC18" s="314" t="s">
        <v>203</v>
      </c>
      <c r="MRD18" s="314" t="s">
        <v>203</v>
      </c>
      <c r="MRE18" s="314" t="s">
        <v>203</v>
      </c>
      <c r="MRF18" s="314" t="s">
        <v>203</v>
      </c>
      <c r="MRG18" s="314" t="s">
        <v>203</v>
      </c>
      <c r="MRH18" s="314" t="s">
        <v>203</v>
      </c>
      <c r="MRI18" s="314" t="s">
        <v>203</v>
      </c>
      <c r="MRJ18" s="314" t="s">
        <v>203</v>
      </c>
      <c r="MRK18" s="314" t="s">
        <v>203</v>
      </c>
      <c r="MRL18" s="314" t="s">
        <v>203</v>
      </c>
      <c r="MRM18" s="314" t="s">
        <v>203</v>
      </c>
      <c r="MRN18" s="314" t="s">
        <v>203</v>
      </c>
      <c r="MRO18" s="314" t="s">
        <v>203</v>
      </c>
      <c r="MRP18" s="314" t="s">
        <v>203</v>
      </c>
      <c r="MRQ18" s="314" t="s">
        <v>203</v>
      </c>
      <c r="MRR18" s="314" t="s">
        <v>203</v>
      </c>
      <c r="MRS18" s="314" t="s">
        <v>203</v>
      </c>
      <c r="MRT18" s="314" t="s">
        <v>203</v>
      </c>
      <c r="MRU18" s="314" t="s">
        <v>203</v>
      </c>
      <c r="MRV18" s="314" t="s">
        <v>203</v>
      </c>
      <c r="MRW18" s="314" t="s">
        <v>203</v>
      </c>
      <c r="MRX18" s="314" t="s">
        <v>203</v>
      </c>
      <c r="MRY18" s="314" t="s">
        <v>203</v>
      </c>
      <c r="MRZ18" s="314" t="s">
        <v>203</v>
      </c>
      <c r="MSA18" s="314" t="s">
        <v>203</v>
      </c>
      <c r="MSB18" s="314" t="s">
        <v>203</v>
      </c>
      <c r="MSC18" s="314" t="s">
        <v>203</v>
      </c>
      <c r="MSD18" s="314" t="s">
        <v>203</v>
      </c>
      <c r="MSE18" s="314" t="s">
        <v>203</v>
      </c>
      <c r="MSF18" s="314" t="s">
        <v>203</v>
      </c>
      <c r="MSG18" s="314" t="s">
        <v>203</v>
      </c>
      <c r="MSH18" s="314" t="s">
        <v>203</v>
      </c>
      <c r="MSI18" s="314" t="s">
        <v>203</v>
      </c>
      <c r="MSJ18" s="314" t="s">
        <v>203</v>
      </c>
      <c r="MSK18" s="314" t="s">
        <v>203</v>
      </c>
      <c r="MSL18" s="314" t="s">
        <v>203</v>
      </c>
      <c r="MSM18" s="314" t="s">
        <v>203</v>
      </c>
      <c r="MSN18" s="314" t="s">
        <v>203</v>
      </c>
      <c r="MSO18" s="314" t="s">
        <v>203</v>
      </c>
      <c r="MSP18" s="314" t="s">
        <v>203</v>
      </c>
      <c r="MSQ18" s="314" t="s">
        <v>203</v>
      </c>
      <c r="MSR18" s="314" t="s">
        <v>203</v>
      </c>
      <c r="MSS18" s="314" t="s">
        <v>203</v>
      </c>
      <c r="MST18" s="314" t="s">
        <v>203</v>
      </c>
      <c r="MSU18" s="314" t="s">
        <v>203</v>
      </c>
      <c r="MSV18" s="314" t="s">
        <v>203</v>
      </c>
      <c r="MSW18" s="314" t="s">
        <v>203</v>
      </c>
      <c r="MSX18" s="314" t="s">
        <v>203</v>
      </c>
      <c r="MSY18" s="314" t="s">
        <v>203</v>
      </c>
      <c r="MSZ18" s="314" t="s">
        <v>203</v>
      </c>
      <c r="MTA18" s="314" t="s">
        <v>203</v>
      </c>
      <c r="MTB18" s="314" t="s">
        <v>203</v>
      </c>
      <c r="MTC18" s="314" t="s">
        <v>203</v>
      </c>
      <c r="MTD18" s="314" t="s">
        <v>203</v>
      </c>
      <c r="MTE18" s="314" t="s">
        <v>203</v>
      </c>
      <c r="MTF18" s="314" t="s">
        <v>203</v>
      </c>
      <c r="MTG18" s="314" t="s">
        <v>203</v>
      </c>
      <c r="MTH18" s="314" t="s">
        <v>203</v>
      </c>
      <c r="MTI18" s="314" t="s">
        <v>203</v>
      </c>
      <c r="MTJ18" s="314" t="s">
        <v>203</v>
      </c>
      <c r="MTK18" s="314" t="s">
        <v>203</v>
      </c>
      <c r="MTL18" s="314" t="s">
        <v>203</v>
      </c>
      <c r="MTM18" s="314" t="s">
        <v>203</v>
      </c>
      <c r="MTN18" s="314" t="s">
        <v>203</v>
      </c>
      <c r="MTO18" s="314" t="s">
        <v>203</v>
      </c>
      <c r="MTP18" s="314" t="s">
        <v>203</v>
      </c>
      <c r="MTQ18" s="314" t="s">
        <v>203</v>
      </c>
      <c r="MTR18" s="314" t="s">
        <v>203</v>
      </c>
      <c r="MTS18" s="314" t="s">
        <v>203</v>
      </c>
      <c r="MTT18" s="314" t="s">
        <v>203</v>
      </c>
      <c r="MTU18" s="314" t="s">
        <v>203</v>
      </c>
      <c r="MTV18" s="314" t="s">
        <v>203</v>
      </c>
      <c r="MTW18" s="314" t="s">
        <v>203</v>
      </c>
      <c r="MTX18" s="314" t="s">
        <v>203</v>
      </c>
      <c r="MTY18" s="314" t="s">
        <v>203</v>
      </c>
      <c r="MTZ18" s="314" t="s">
        <v>203</v>
      </c>
      <c r="MUA18" s="314" t="s">
        <v>203</v>
      </c>
      <c r="MUB18" s="314" t="s">
        <v>203</v>
      </c>
      <c r="MUC18" s="314" t="s">
        <v>203</v>
      </c>
      <c r="MUD18" s="314" t="s">
        <v>203</v>
      </c>
      <c r="MUE18" s="314" t="s">
        <v>203</v>
      </c>
      <c r="MUF18" s="314" t="s">
        <v>203</v>
      </c>
      <c r="MUG18" s="314" t="s">
        <v>203</v>
      </c>
      <c r="MUH18" s="314" t="s">
        <v>203</v>
      </c>
      <c r="MUI18" s="314" t="s">
        <v>203</v>
      </c>
      <c r="MUJ18" s="314" t="s">
        <v>203</v>
      </c>
      <c r="MUK18" s="314" t="s">
        <v>203</v>
      </c>
      <c r="MUL18" s="314" t="s">
        <v>203</v>
      </c>
      <c r="MUM18" s="314" t="s">
        <v>203</v>
      </c>
      <c r="MUN18" s="314" t="s">
        <v>203</v>
      </c>
      <c r="MUO18" s="314" t="s">
        <v>203</v>
      </c>
      <c r="MUP18" s="314" t="s">
        <v>203</v>
      </c>
      <c r="MUQ18" s="314" t="s">
        <v>203</v>
      </c>
      <c r="MUR18" s="314" t="s">
        <v>203</v>
      </c>
      <c r="MUS18" s="314" t="s">
        <v>203</v>
      </c>
      <c r="MUT18" s="314" t="s">
        <v>203</v>
      </c>
      <c r="MUU18" s="314" t="s">
        <v>203</v>
      </c>
      <c r="MUV18" s="314" t="s">
        <v>203</v>
      </c>
      <c r="MUW18" s="314" t="s">
        <v>203</v>
      </c>
      <c r="MUX18" s="314" t="s">
        <v>203</v>
      </c>
      <c r="MUY18" s="314" t="s">
        <v>203</v>
      </c>
      <c r="MUZ18" s="314" t="s">
        <v>203</v>
      </c>
      <c r="MVA18" s="314" t="s">
        <v>203</v>
      </c>
      <c r="MVB18" s="314" t="s">
        <v>203</v>
      </c>
      <c r="MVC18" s="314" t="s">
        <v>203</v>
      </c>
      <c r="MVD18" s="314" t="s">
        <v>203</v>
      </c>
      <c r="MVE18" s="314" t="s">
        <v>203</v>
      </c>
      <c r="MVF18" s="314" t="s">
        <v>203</v>
      </c>
      <c r="MVG18" s="314" t="s">
        <v>203</v>
      </c>
      <c r="MVH18" s="314" t="s">
        <v>203</v>
      </c>
      <c r="MVI18" s="314" t="s">
        <v>203</v>
      </c>
      <c r="MVJ18" s="314" t="s">
        <v>203</v>
      </c>
      <c r="MVK18" s="314" t="s">
        <v>203</v>
      </c>
      <c r="MVL18" s="314" t="s">
        <v>203</v>
      </c>
      <c r="MVM18" s="314" t="s">
        <v>203</v>
      </c>
      <c r="MVN18" s="314" t="s">
        <v>203</v>
      </c>
      <c r="MVO18" s="314" t="s">
        <v>203</v>
      </c>
      <c r="MVP18" s="314" t="s">
        <v>203</v>
      </c>
      <c r="MVQ18" s="314" t="s">
        <v>203</v>
      </c>
      <c r="MVR18" s="314" t="s">
        <v>203</v>
      </c>
      <c r="MVS18" s="314" t="s">
        <v>203</v>
      </c>
      <c r="MVT18" s="314" t="s">
        <v>203</v>
      </c>
      <c r="MVU18" s="314" t="s">
        <v>203</v>
      </c>
      <c r="MVV18" s="314" t="s">
        <v>203</v>
      </c>
      <c r="MVW18" s="314" t="s">
        <v>203</v>
      </c>
      <c r="MVX18" s="314" t="s">
        <v>203</v>
      </c>
      <c r="MVY18" s="314" t="s">
        <v>203</v>
      </c>
      <c r="MVZ18" s="314" t="s">
        <v>203</v>
      </c>
      <c r="MWA18" s="314" t="s">
        <v>203</v>
      </c>
      <c r="MWB18" s="314" t="s">
        <v>203</v>
      </c>
      <c r="MWC18" s="314" t="s">
        <v>203</v>
      </c>
      <c r="MWD18" s="314" t="s">
        <v>203</v>
      </c>
      <c r="MWE18" s="314" t="s">
        <v>203</v>
      </c>
      <c r="MWF18" s="314" t="s">
        <v>203</v>
      </c>
      <c r="MWG18" s="314" t="s">
        <v>203</v>
      </c>
      <c r="MWH18" s="314" t="s">
        <v>203</v>
      </c>
      <c r="MWI18" s="314" t="s">
        <v>203</v>
      </c>
      <c r="MWJ18" s="314" t="s">
        <v>203</v>
      </c>
      <c r="MWK18" s="314" t="s">
        <v>203</v>
      </c>
      <c r="MWL18" s="314" t="s">
        <v>203</v>
      </c>
      <c r="MWM18" s="314" t="s">
        <v>203</v>
      </c>
      <c r="MWN18" s="314" t="s">
        <v>203</v>
      </c>
      <c r="MWO18" s="314" t="s">
        <v>203</v>
      </c>
      <c r="MWP18" s="314" t="s">
        <v>203</v>
      </c>
      <c r="MWQ18" s="314" t="s">
        <v>203</v>
      </c>
      <c r="MWR18" s="314" t="s">
        <v>203</v>
      </c>
      <c r="MWS18" s="314" t="s">
        <v>203</v>
      </c>
      <c r="MWT18" s="314" t="s">
        <v>203</v>
      </c>
      <c r="MWU18" s="314" t="s">
        <v>203</v>
      </c>
      <c r="MWV18" s="314" t="s">
        <v>203</v>
      </c>
      <c r="MWW18" s="314" t="s">
        <v>203</v>
      </c>
      <c r="MWX18" s="314" t="s">
        <v>203</v>
      </c>
      <c r="MWY18" s="314" t="s">
        <v>203</v>
      </c>
      <c r="MWZ18" s="314" t="s">
        <v>203</v>
      </c>
      <c r="MXA18" s="314" t="s">
        <v>203</v>
      </c>
      <c r="MXB18" s="314" t="s">
        <v>203</v>
      </c>
      <c r="MXC18" s="314" t="s">
        <v>203</v>
      </c>
      <c r="MXD18" s="314" t="s">
        <v>203</v>
      </c>
      <c r="MXE18" s="314" t="s">
        <v>203</v>
      </c>
      <c r="MXF18" s="314" t="s">
        <v>203</v>
      </c>
      <c r="MXG18" s="314" t="s">
        <v>203</v>
      </c>
      <c r="MXH18" s="314" t="s">
        <v>203</v>
      </c>
      <c r="MXI18" s="314" t="s">
        <v>203</v>
      </c>
      <c r="MXJ18" s="314" t="s">
        <v>203</v>
      </c>
      <c r="MXK18" s="314" t="s">
        <v>203</v>
      </c>
      <c r="MXL18" s="314" t="s">
        <v>203</v>
      </c>
      <c r="MXM18" s="314" t="s">
        <v>203</v>
      </c>
      <c r="MXN18" s="314" t="s">
        <v>203</v>
      </c>
      <c r="MXO18" s="314" t="s">
        <v>203</v>
      </c>
      <c r="MXP18" s="314" t="s">
        <v>203</v>
      </c>
      <c r="MXQ18" s="314" t="s">
        <v>203</v>
      </c>
      <c r="MXR18" s="314" t="s">
        <v>203</v>
      </c>
      <c r="MXS18" s="314" t="s">
        <v>203</v>
      </c>
      <c r="MXT18" s="314" t="s">
        <v>203</v>
      </c>
      <c r="MXU18" s="314" t="s">
        <v>203</v>
      </c>
      <c r="MXV18" s="314" t="s">
        <v>203</v>
      </c>
      <c r="MXW18" s="314" t="s">
        <v>203</v>
      </c>
      <c r="MXX18" s="314" t="s">
        <v>203</v>
      </c>
      <c r="MXY18" s="314" t="s">
        <v>203</v>
      </c>
      <c r="MXZ18" s="314" t="s">
        <v>203</v>
      </c>
      <c r="MYA18" s="314" t="s">
        <v>203</v>
      </c>
      <c r="MYB18" s="314" t="s">
        <v>203</v>
      </c>
      <c r="MYC18" s="314" t="s">
        <v>203</v>
      </c>
      <c r="MYD18" s="314" t="s">
        <v>203</v>
      </c>
      <c r="MYE18" s="314" t="s">
        <v>203</v>
      </c>
      <c r="MYF18" s="314" t="s">
        <v>203</v>
      </c>
      <c r="MYG18" s="314" t="s">
        <v>203</v>
      </c>
      <c r="MYH18" s="314" t="s">
        <v>203</v>
      </c>
      <c r="MYI18" s="314" t="s">
        <v>203</v>
      </c>
      <c r="MYJ18" s="314" t="s">
        <v>203</v>
      </c>
      <c r="MYK18" s="314" t="s">
        <v>203</v>
      </c>
      <c r="MYL18" s="314" t="s">
        <v>203</v>
      </c>
      <c r="MYM18" s="314" t="s">
        <v>203</v>
      </c>
      <c r="MYN18" s="314" t="s">
        <v>203</v>
      </c>
      <c r="MYO18" s="314" t="s">
        <v>203</v>
      </c>
      <c r="MYP18" s="314" t="s">
        <v>203</v>
      </c>
      <c r="MYQ18" s="314" t="s">
        <v>203</v>
      </c>
      <c r="MYR18" s="314" t="s">
        <v>203</v>
      </c>
      <c r="MYS18" s="314" t="s">
        <v>203</v>
      </c>
      <c r="MYT18" s="314" t="s">
        <v>203</v>
      </c>
      <c r="MYU18" s="314" t="s">
        <v>203</v>
      </c>
      <c r="MYV18" s="314" t="s">
        <v>203</v>
      </c>
      <c r="MYW18" s="314" t="s">
        <v>203</v>
      </c>
      <c r="MYX18" s="314" t="s">
        <v>203</v>
      </c>
      <c r="MYY18" s="314" t="s">
        <v>203</v>
      </c>
      <c r="MYZ18" s="314" t="s">
        <v>203</v>
      </c>
      <c r="MZA18" s="314" t="s">
        <v>203</v>
      </c>
      <c r="MZB18" s="314" t="s">
        <v>203</v>
      </c>
      <c r="MZC18" s="314" t="s">
        <v>203</v>
      </c>
      <c r="MZD18" s="314" t="s">
        <v>203</v>
      </c>
      <c r="MZE18" s="314" t="s">
        <v>203</v>
      </c>
      <c r="MZF18" s="314" t="s">
        <v>203</v>
      </c>
      <c r="MZG18" s="314" t="s">
        <v>203</v>
      </c>
      <c r="MZH18" s="314" t="s">
        <v>203</v>
      </c>
      <c r="MZI18" s="314" t="s">
        <v>203</v>
      </c>
      <c r="MZJ18" s="314" t="s">
        <v>203</v>
      </c>
      <c r="MZK18" s="314" t="s">
        <v>203</v>
      </c>
      <c r="MZL18" s="314" t="s">
        <v>203</v>
      </c>
      <c r="MZM18" s="314" t="s">
        <v>203</v>
      </c>
      <c r="MZN18" s="314" t="s">
        <v>203</v>
      </c>
      <c r="MZO18" s="314" t="s">
        <v>203</v>
      </c>
      <c r="MZP18" s="314" t="s">
        <v>203</v>
      </c>
      <c r="MZQ18" s="314" t="s">
        <v>203</v>
      </c>
      <c r="MZR18" s="314" t="s">
        <v>203</v>
      </c>
      <c r="MZS18" s="314" t="s">
        <v>203</v>
      </c>
      <c r="MZT18" s="314" t="s">
        <v>203</v>
      </c>
      <c r="MZU18" s="314" t="s">
        <v>203</v>
      </c>
      <c r="MZV18" s="314" t="s">
        <v>203</v>
      </c>
      <c r="MZW18" s="314" t="s">
        <v>203</v>
      </c>
      <c r="MZX18" s="314" t="s">
        <v>203</v>
      </c>
      <c r="MZY18" s="314" t="s">
        <v>203</v>
      </c>
      <c r="MZZ18" s="314" t="s">
        <v>203</v>
      </c>
      <c r="NAA18" s="314" t="s">
        <v>203</v>
      </c>
      <c r="NAB18" s="314" t="s">
        <v>203</v>
      </c>
      <c r="NAC18" s="314" t="s">
        <v>203</v>
      </c>
      <c r="NAD18" s="314" t="s">
        <v>203</v>
      </c>
      <c r="NAE18" s="314" t="s">
        <v>203</v>
      </c>
      <c r="NAF18" s="314" t="s">
        <v>203</v>
      </c>
      <c r="NAG18" s="314" t="s">
        <v>203</v>
      </c>
      <c r="NAH18" s="314" t="s">
        <v>203</v>
      </c>
      <c r="NAI18" s="314" t="s">
        <v>203</v>
      </c>
      <c r="NAJ18" s="314" t="s">
        <v>203</v>
      </c>
      <c r="NAK18" s="314" t="s">
        <v>203</v>
      </c>
      <c r="NAL18" s="314" t="s">
        <v>203</v>
      </c>
      <c r="NAM18" s="314" t="s">
        <v>203</v>
      </c>
      <c r="NAN18" s="314" t="s">
        <v>203</v>
      </c>
      <c r="NAO18" s="314" t="s">
        <v>203</v>
      </c>
      <c r="NAP18" s="314" t="s">
        <v>203</v>
      </c>
      <c r="NAQ18" s="314" t="s">
        <v>203</v>
      </c>
      <c r="NAR18" s="314" t="s">
        <v>203</v>
      </c>
      <c r="NAS18" s="314" t="s">
        <v>203</v>
      </c>
      <c r="NAT18" s="314" t="s">
        <v>203</v>
      </c>
      <c r="NAU18" s="314" t="s">
        <v>203</v>
      </c>
      <c r="NAV18" s="314" t="s">
        <v>203</v>
      </c>
      <c r="NAW18" s="314" t="s">
        <v>203</v>
      </c>
      <c r="NAX18" s="314" t="s">
        <v>203</v>
      </c>
      <c r="NAY18" s="314" t="s">
        <v>203</v>
      </c>
      <c r="NAZ18" s="314" t="s">
        <v>203</v>
      </c>
      <c r="NBA18" s="314" t="s">
        <v>203</v>
      </c>
      <c r="NBB18" s="314" t="s">
        <v>203</v>
      </c>
      <c r="NBC18" s="314" t="s">
        <v>203</v>
      </c>
      <c r="NBD18" s="314" t="s">
        <v>203</v>
      </c>
      <c r="NBE18" s="314" t="s">
        <v>203</v>
      </c>
      <c r="NBF18" s="314" t="s">
        <v>203</v>
      </c>
      <c r="NBG18" s="314" t="s">
        <v>203</v>
      </c>
      <c r="NBH18" s="314" t="s">
        <v>203</v>
      </c>
      <c r="NBI18" s="314" t="s">
        <v>203</v>
      </c>
      <c r="NBJ18" s="314" t="s">
        <v>203</v>
      </c>
      <c r="NBK18" s="314" t="s">
        <v>203</v>
      </c>
      <c r="NBL18" s="314" t="s">
        <v>203</v>
      </c>
      <c r="NBM18" s="314" t="s">
        <v>203</v>
      </c>
      <c r="NBN18" s="314" t="s">
        <v>203</v>
      </c>
      <c r="NBO18" s="314" t="s">
        <v>203</v>
      </c>
      <c r="NBP18" s="314" t="s">
        <v>203</v>
      </c>
      <c r="NBQ18" s="314" t="s">
        <v>203</v>
      </c>
      <c r="NBR18" s="314" t="s">
        <v>203</v>
      </c>
      <c r="NBS18" s="314" t="s">
        <v>203</v>
      </c>
      <c r="NBT18" s="314" t="s">
        <v>203</v>
      </c>
      <c r="NBU18" s="314" t="s">
        <v>203</v>
      </c>
      <c r="NBV18" s="314" t="s">
        <v>203</v>
      </c>
      <c r="NBW18" s="314" t="s">
        <v>203</v>
      </c>
      <c r="NBX18" s="314" t="s">
        <v>203</v>
      </c>
      <c r="NBY18" s="314" t="s">
        <v>203</v>
      </c>
      <c r="NBZ18" s="314" t="s">
        <v>203</v>
      </c>
      <c r="NCA18" s="314" t="s">
        <v>203</v>
      </c>
      <c r="NCB18" s="314" t="s">
        <v>203</v>
      </c>
      <c r="NCC18" s="314" t="s">
        <v>203</v>
      </c>
      <c r="NCD18" s="314" t="s">
        <v>203</v>
      </c>
      <c r="NCE18" s="314" t="s">
        <v>203</v>
      </c>
      <c r="NCF18" s="314" t="s">
        <v>203</v>
      </c>
      <c r="NCG18" s="314" t="s">
        <v>203</v>
      </c>
      <c r="NCH18" s="314" t="s">
        <v>203</v>
      </c>
      <c r="NCI18" s="314" t="s">
        <v>203</v>
      </c>
      <c r="NCJ18" s="314" t="s">
        <v>203</v>
      </c>
      <c r="NCK18" s="314" t="s">
        <v>203</v>
      </c>
      <c r="NCL18" s="314" t="s">
        <v>203</v>
      </c>
      <c r="NCM18" s="314" t="s">
        <v>203</v>
      </c>
      <c r="NCN18" s="314" t="s">
        <v>203</v>
      </c>
      <c r="NCO18" s="314" t="s">
        <v>203</v>
      </c>
      <c r="NCP18" s="314" t="s">
        <v>203</v>
      </c>
      <c r="NCQ18" s="314" t="s">
        <v>203</v>
      </c>
      <c r="NCR18" s="314" t="s">
        <v>203</v>
      </c>
      <c r="NCS18" s="314" t="s">
        <v>203</v>
      </c>
      <c r="NCT18" s="314" t="s">
        <v>203</v>
      </c>
      <c r="NCU18" s="314" t="s">
        <v>203</v>
      </c>
      <c r="NCV18" s="314" t="s">
        <v>203</v>
      </c>
      <c r="NCW18" s="314" t="s">
        <v>203</v>
      </c>
      <c r="NCX18" s="314" t="s">
        <v>203</v>
      </c>
      <c r="NCY18" s="314" t="s">
        <v>203</v>
      </c>
      <c r="NCZ18" s="314" t="s">
        <v>203</v>
      </c>
      <c r="NDA18" s="314" t="s">
        <v>203</v>
      </c>
      <c r="NDB18" s="314" t="s">
        <v>203</v>
      </c>
      <c r="NDC18" s="314" t="s">
        <v>203</v>
      </c>
      <c r="NDD18" s="314" t="s">
        <v>203</v>
      </c>
      <c r="NDE18" s="314" t="s">
        <v>203</v>
      </c>
      <c r="NDF18" s="314" t="s">
        <v>203</v>
      </c>
      <c r="NDG18" s="314" t="s">
        <v>203</v>
      </c>
      <c r="NDH18" s="314" t="s">
        <v>203</v>
      </c>
      <c r="NDI18" s="314" t="s">
        <v>203</v>
      </c>
      <c r="NDJ18" s="314" t="s">
        <v>203</v>
      </c>
      <c r="NDK18" s="314" t="s">
        <v>203</v>
      </c>
      <c r="NDL18" s="314" t="s">
        <v>203</v>
      </c>
      <c r="NDM18" s="314" t="s">
        <v>203</v>
      </c>
      <c r="NDN18" s="314" t="s">
        <v>203</v>
      </c>
      <c r="NDO18" s="314" t="s">
        <v>203</v>
      </c>
      <c r="NDP18" s="314" t="s">
        <v>203</v>
      </c>
      <c r="NDQ18" s="314" t="s">
        <v>203</v>
      </c>
      <c r="NDR18" s="314" t="s">
        <v>203</v>
      </c>
      <c r="NDS18" s="314" t="s">
        <v>203</v>
      </c>
      <c r="NDT18" s="314" t="s">
        <v>203</v>
      </c>
      <c r="NDU18" s="314" t="s">
        <v>203</v>
      </c>
      <c r="NDV18" s="314" t="s">
        <v>203</v>
      </c>
      <c r="NDW18" s="314" t="s">
        <v>203</v>
      </c>
      <c r="NDX18" s="314" t="s">
        <v>203</v>
      </c>
      <c r="NDY18" s="314" t="s">
        <v>203</v>
      </c>
      <c r="NDZ18" s="314" t="s">
        <v>203</v>
      </c>
      <c r="NEA18" s="314" t="s">
        <v>203</v>
      </c>
      <c r="NEB18" s="314" t="s">
        <v>203</v>
      </c>
      <c r="NEC18" s="314" t="s">
        <v>203</v>
      </c>
      <c r="NED18" s="314" t="s">
        <v>203</v>
      </c>
      <c r="NEE18" s="314" t="s">
        <v>203</v>
      </c>
      <c r="NEF18" s="314" t="s">
        <v>203</v>
      </c>
      <c r="NEG18" s="314" t="s">
        <v>203</v>
      </c>
      <c r="NEH18" s="314" t="s">
        <v>203</v>
      </c>
      <c r="NEI18" s="314" t="s">
        <v>203</v>
      </c>
      <c r="NEJ18" s="314" t="s">
        <v>203</v>
      </c>
      <c r="NEK18" s="314" t="s">
        <v>203</v>
      </c>
      <c r="NEL18" s="314" t="s">
        <v>203</v>
      </c>
      <c r="NEM18" s="314" t="s">
        <v>203</v>
      </c>
      <c r="NEN18" s="314" t="s">
        <v>203</v>
      </c>
      <c r="NEO18" s="314" t="s">
        <v>203</v>
      </c>
      <c r="NEP18" s="314" t="s">
        <v>203</v>
      </c>
      <c r="NEQ18" s="314" t="s">
        <v>203</v>
      </c>
      <c r="NER18" s="314" t="s">
        <v>203</v>
      </c>
      <c r="NES18" s="314" t="s">
        <v>203</v>
      </c>
      <c r="NET18" s="314" t="s">
        <v>203</v>
      </c>
      <c r="NEU18" s="314" t="s">
        <v>203</v>
      </c>
      <c r="NEV18" s="314" t="s">
        <v>203</v>
      </c>
      <c r="NEW18" s="314" t="s">
        <v>203</v>
      </c>
      <c r="NEX18" s="314" t="s">
        <v>203</v>
      </c>
      <c r="NEY18" s="314" t="s">
        <v>203</v>
      </c>
      <c r="NEZ18" s="314" t="s">
        <v>203</v>
      </c>
      <c r="NFA18" s="314" t="s">
        <v>203</v>
      </c>
      <c r="NFB18" s="314" t="s">
        <v>203</v>
      </c>
      <c r="NFC18" s="314" t="s">
        <v>203</v>
      </c>
      <c r="NFD18" s="314" t="s">
        <v>203</v>
      </c>
      <c r="NFE18" s="314" t="s">
        <v>203</v>
      </c>
      <c r="NFF18" s="314" t="s">
        <v>203</v>
      </c>
      <c r="NFG18" s="314" t="s">
        <v>203</v>
      </c>
      <c r="NFH18" s="314" t="s">
        <v>203</v>
      </c>
      <c r="NFI18" s="314" t="s">
        <v>203</v>
      </c>
      <c r="NFJ18" s="314" t="s">
        <v>203</v>
      </c>
      <c r="NFK18" s="314" t="s">
        <v>203</v>
      </c>
      <c r="NFL18" s="314" t="s">
        <v>203</v>
      </c>
      <c r="NFM18" s="314" t="s">
        <v>203</v>
      </c>
      <c r="NFN18" s="314" t="s">
        <v>203</v>
      </c>
      <c r="NFO18" s="314" t="s">
        <v>203</v>
      </c>
      <c r="NFP18" s="314" t="s">
        <v>203</v>
      </c>
      <c r="NFQ18" s="314" t="s">
        <v>203</v>
      </c>
      <c r="NFR18" s="314" t="s">
        <v>203</v>
      </c>
      <c r="NFS18" s="314" t="s">
        <v>203</v>
      </c>
      <c r="NFT18" s="314" t="s">
        <v>203</v>
      </c>
      <c r="NFU18" s="314" t="s">
        <v>203</v>
      </c>
      <c r="NFV18" s="314" t="s">
        <v>203</v>
      </c>
      <c r="NFW18" s="314" t="s">
        <v>203</v>
      </c>
      <c r="NFX18" s="314" t="s">
        <v>203</v>
      </c>
      <c r="NFY18" s="314" t="s">
        <v>203</v>
      </c>
      <c r="NFZ18" s="314" t="s">
        <v>203</v>
      </c>
      <c r="NGA18" s="314" t="s">
        <v>203</v>
      </c>
      <c r="NGB18" s="314" t="s">
        <v>203</v>
      </c>
      <c r="NGC18" s="314" t="s">
        <v>203</v>
      </c>
      <c r="NGD18" s="314" t="s">
        <v>203</v>
      </c>
      <c r="NGE18" s="314" t="s">
        <v>203</v>
      </c>
      <c r="NGF18" s="314" t="s">
        <v>203</v>
      </c>
      <c r="NGG18" s="314" t="s">
        <v>203</v>
      </c>
      <c r="NGH18" s="314" t="s">
        <v>203</v>
      </c>
      <c r="NGI18" s="314" t="s">
        <v>203</v>
      </c>
      <c r="NGJ18" s="314" t="s">
        <v>203</v>
      </c>
      <c r="NGK18" s="314" t="s">
        <v>203</v>
      </c>
      <c r="NGL18" s="314" t="s">
        <v>203</v>
      </c>
      <c r="NGM18" s="314" t="s">
        <v>203</v>
      </c>
      <c r="NGN18" s="314" t="s">
        <v>203</v>
      </c>
      <c r="NGO18" s="314" t="s">
        <v>203</v>
      </c>
      <c r="NGP18" s="314" t="s">
        <v>203</v>
      </c>
      <c r="NGQ18" s="314" t="s">
        <v>203</v>
      </c>
      <c r="NGR18" s="314" t="s">
        <v>203</v>
      </c>
      <c r="NGS18" s="314" t="s">
        <v>203</v>
      </c>
      <c r="NGT18" s="314" t="s">
        <v>203</v>
      </c>
      <c r="NGU18" s="314" t="s">
        <v>203</v>
      </c>
      <c r="NGV18" s="314" t="s">
        <v>203</v>
      </c>
      <c r="NGW18" s="314" t="s">
        <v>203</v>
      </c>
      <c r="NGX18" s="314" t="s">
        <v>203</v>
      </c>
      <c r="NGY18" s="314" t="s">
        <v>203</v>
      </c>
      <c r="NGZ18" s="314" t="s">
        <v>203</v>
      </c>
      <c r="NHA18" s="314" t="s">
        <v>203</v>
      </c>
      <c r="NHB18" s="314" t="s">
        <v>203</v>
      </c>
      <c r="NHC18" s="314" t="s">
        <v>203</v>
      </c>
      <c r="NHD18" s="314" t="s">
        <v>203</v>
      </c>
      <c r="NHE18" s="314" t="s">
        <v>203</v>
      </c>
      <c r="NHF18" s="314" t="s">
        <v>203</v>
      </c>
      <c r="NHG18" s="314" t="s">
        <v>203</v>
      </c>
      <c r="NHH18" s="314" t="s">
        <v>203</v>
      </c>
      <c r="NHI18" s="314" t="s">
        <v>203</v>
      </c>
      <c r="NHJ18" s="314" t="s">
        <v>203</v>
      </c>
      <c r="NHK18" s="314" t="s">
        <v>203</v>
      </c>
      <c r="NHL18" s="314" t="s">
        <v>203</v>
      </c>
      <c r="NHM18" s="314" t="s">
        <v>203</v>
      </c>
      <c r="NHN18" s="314" t="s">
        <v>203</v>
      </c>
      <c r="NHO18" s="314" t="s">
        <v>203</v>
      </c>
      <c r="NHP18" s="314" t="s">
        <v>203</v>
      </c>
      <c r="NHQ18" s="314" t="s">
        <v>203</v>
      </c>
      <c r="NHR18" s="314" t="s">
        <v>203</v>
      </c>
      <c r="NHS18" s="314" t="s">
        <v>203</v>
      </c>
      <c r="NHT18" s="314" t="s">
        <v>203</v>
      </c>
      <c r="NHU18" s="314" t="s">
        <v>203</v>
      </c>
      <c r="NHV18" s="314" t="s">
        <v>203</v>
      </c>
      <c r="NHW18" s="314" t="s">
        <v>203</v>
      </c>
      <c r="NHX18" s="314" t="s">
        <v>203</v>
      </c>
      <c r="NHY18" s="314" t="s">
        <v>203</v>
      </c>
      <c r="NHZ18" s="314" t="s">
        <v>203</v>
      </c>
      <c r="NIA18" s="314" t="s">
        <v>203</v>
      </c>
      <c r="NIB18" s="314" t="s">
        <v>203</v>
      </c>
      <c r="NIC18" s="314" t="s">
        <v>203</v>
      </c>
      <c r="NID18" s="314" t="s">
        <v>203</v>
      </c>
      <c r="NIE18" s="314" t="s">
        <v>203</v>
      </c>
      <c r="NIF18" s="314" t="s">
        <v>203</v>
      </c>
      <c r="NIG18" s="314" t="s">
        <v>203</v>
      </c>
      <c r="NIH18" s="314" t="s">
        <v>203</v>
      </c>
      <c r="NII18" s="314" t="s">
        <v>203</v>
      </c>
      <c r="NIJ18" s="314" t="s">
        <v>203</v>
      </c>
      <c r="NIK18" s="314" t="s">
        <v>203</v>
      </c>
      <c r="NIL18" s="314" t="s">
        <v>203</v>
      </c>
      <c r="NIM18" s="314" t="s">
        <v>203</v>
      </c>
      <c r="NIN18" s="314" t="s">
        <v>203</v>
      </c>
      <c r="NIO18" s="314" t="s">
        <v>203</v>
      </c>
      <c r="NIP18" s="314" t="s">
        <v>203</v>
      </c>
      <c r="NIQ18" s="314" t="s">
        <v>203</v>
      </c>
      <c r="NIR18" s="314" t="s">
        <v>203</v>
      </c>
      <c r="NIS18" s="314" t="s">
        <v>203</v>
      </c>
      <c r="NIT18" s="314" t="s">
        <v>203</v>
      </c>
      <c r="NIU18" s="314" t="s">
        <v>203</v>
      </c>
      <c r="NIV18" s="314" t="s">
        <v>203</v>
      </c>
      <c r="NIW18" s="314" t="s">
        <v>203</v>
      </c>
      <c r="NIX18" s="314" t="s">
        <v>203</v>
      </c>
      <c r="NIY18" s="314" t="s">
        <v>203</v>
      </c>
      <c r="NIZ18" s="314" t="s">
        <v>203</v>
      </c>
      <c r="NJA18" s="314" t="s">
        <v>203</v>
      </c>
      <c r="NJB18" s="314" t="s">
        <v>203</v>
      </c>
      <c r="NJC18" s="314" t="s">
        <v>203</v>
      </c>
      <c r="NJD18" s="314" t="s">
        <v>203</v>
      </c>
      <c r="NJE18" s="314" t="s">
        <v>203</v>
      </c>
      <c r="NJF18" s="314" t="s">
        <v>203</v>
      </c>
      <c r="NJG18" s="314" t="s">
        <v>203</v>
      </c>
      <c r="NJH18" s="314" t="s">
        <v>203</v>
      </c>
      <c r="NJI18" s="314" t="s">
        <v>203</v>
      </c>
      <c r="NJJ18" s="314" t="s">
        <v>203</v>
      </c>
      <c r="NJK18" s="314" t="s">
        <v>203</v>
      </c>
      <c r="NJL18" s="314" t="s">
        <v>203</v>
      </c>
      <c r="NJM18" s="314" t="s">
        <v>203</v>
      </c>
      <c r="NJN18" s="314" t="s">
        <v>203</v>
      </c>
      <c r="NJO18" s="314" t="s">
        <v>203</v>
      </c>
      <c r="NJP18" s="314" t="s">
        <v>203</v>
      </c>
      <c r="NJQ18" s="314" t="s">
        <v>203</v>
      </c>
      <c r="NJR18" s="314" t="s">
        <v>203</v>
      </c>
      <c r="NJS18" s="314" t="s">
        <v>203</v>
      </c>
      <c r="NJT18" s="314" t="s">
        <v>203</v>
      </c>
      <c r="NJU18" s="314" t="s">
        <v>203</v>
      </c>
      <c r="NJV18" s="314" t="s">
        <v>203</v>
      </c>
      <c r="NJW18" s="314" t="s">
        <v>203</v>
      </c>
      <c r="NJX18" s="314" t="s">
        <v>203</v>
      </c>
      <c r="NJY18" s="314" t="s">
        <v>203</v>
      </c>
      <c r="NJZ18" s="314" t="s">
        <v>203</v>
      </c>
      <c r="NKA18" s="314" t="s">
        <v>203</v>
      </c>
      <c r="NKB18" s="314" t="s">
        <v>203</v>
      </c>
      <c r="NKC18" s="314" t="s">
        <v>203</v>
      </c>
      <c r="NKD18" s="314" t="s">
        <v>203</v>
      </c>
      <c r="NKE18" s="314" t="s">
        <v>203</v>
      </c>
      <c r="NKF18" s="314" t="s">
        <v>203</v>
      </c>
      <c r="NKG18" s="314" t="s">
        <v>203</v>
      </c>
      <c r="NKH18" s="314" t="s">
        <v>203</v>
      </c>
      <c r="NKI18" s="314" t="s">
        <v>203</v>
      </c>
      <c r="NKJ18" s="314" t="s">
        <v>203</v>
      </c>
      <c r="NKK18" s="314" t="s">
        <v>203</v>
      </c>
      <c r="NKL18" s="314" t="s">
        <v>203</v>
      </c>
      <c r="NKM18" s="314" t="s">
        <v>203</v>
      </c>
      <c r="NKN18" s="314" t="s">
        <v>203</v>
      </c>
      <c r="NKO18" s="314" t="s">
        <v>203</v>
      </c>
      <c r="NKP18" s="314" t="s">
        <v>203</v>
      </c>
      <c r="NKQ18" s="314" t="s">
        <v>203</v>
      </c>
      <c r="NKR18" s="314" t="s">
        <v>203</v>
      </c>
      <c r="NKS18" s="314" t="s">
        <v>203</v>
      </c>
      <c r="NKT18" s="314" t="s">
        <v>203</v>
      </c>
      <c r="NKU18" s="314" t="s">
        <v>203</v>
      </c>
      <c r="NKV18" s="314" t="s">
        <v>203</v>
      </c>
      <c r="NKW18" s="314" t="s">
        <v>203</v>
      </c>
      <c r="NKX18" s="314" t="s">
        <v>203</v>
      </c>
      <c r="NKY18" s="314" t="s">
        <v>203</v>
      </c>
      <c r="NKZ18" s="314" t="s">
        <v>203</v>
      </c>
      <c r="NLA18" s="314" t="s">
        <v>203</v>
      </c>
      <c r="NLB18" s="314" t="s">
        <v>203</v>
      </c>
      <c r="NLC18" s="314" t="s">
        <v>203</v>
      </c>
      <c r="NLD18" s="314" t="s">
        <v>203</v>
      </c>
      <c r="NLE18" s="314" t="s">
        <v>203</v>
      </c>
      <c r="NLF18" s="314" t="s">
        <v>203</v>
      </c>
      <c r="NLG18" s="314" t="s">
        <v>203</v>
      </c>
      <c r="NLH18" s="314" t="s">
        <v>203</v>
      </c>
      <c r="NLI18" s="314" t="s">
        <v>203</v>
      </c>
      <c r="NLJ18" s="314" t="s">
        <v>203</v>
      </c>
      <c r="NLK18" s="314" t="s">
        <v>203</v>
      </c>
      <c r="NLL18" s="314" t="s">
        <v>203</v>
      </c>
      <c r="NLM18" s="314" t="s">
        <v>203</v>
      </c>
      <c r="NLN18" s="314" t="s">
        <v>203</v>
      </c>
      <c r="NLO18" s="314" t="s">
        <v>203</v>
      </c>
      <c r="NLP18" s="314" t="s">
        <v>203</v>
      </c>
      <c r="NLQ18" s="314" t="s">
        <v>203</v>
      </c>
      <c r="NLR18" s="314" t="s">
        <v>203</v>
      </c>
      <c r="NLS18" s="314" t="s">
        <v>203</v>
      </c>
      <c r="NLT18" s="314" t="s">
        <v>203</v>
      </c>
      <c r="NLU18" s="314" t="s">
        <v>203</v>
      </c>
      <c r="NLV18" s="314" t="s">
        <v>203</v>
      </c>
      <c r="NLW18" s="314" t="s">
        <v>203</v>
      </c>
      <c r="NLX18" s="314" t="s">
        <v>203</v>
      </c>
      <c r="NLY18" s="314" t="s">
        <v>203</v>
      </c>
      <c r="NLZ18" s="314" t="s">
        <v>203</v>
      </c>
      <c r="NMA18" s="314" t="s">
        <v>203</v>
      </c>
      <c r="NMB18" s="314" t="s">
        <v>203</v>
      </c>
      <c r="NMC18" s="314" t="s">
        <v>203</v>
      </c>
      <c r="NMD18" s="314" t="s">
        <v>203</v>
      </c>
      <c r="NME18" s="314" t="s">
        <v>203</v>
      </c>
      <c r="NMF18" s="314" t="s">
        <v>203</v>
      </c>
      <c r="NMG18" s="314" t="s">
        <v>203</v>
      </c>
      <c r="NMH18" s="314" t="s">
        <v>203</v>
      </c>
      <c r="NMI18" s="314" t="s">
        <v>203</v>
      </c>
      <c r="NMJ18" s="314" t="s">
        <v>203</v>
      </c>
      <c r="NMK18" s="314" t="s">
        <v>203</v>
      </c>
      <c r="NML18" s="314" t="s">
        <v>203</v>
      </c>
      <c r="NMM18" s="314" t="s">
        <v>203</v>
      </c>
      <c r="NMN18" s="314" t="s">
        <v>203</v>
      </c>
      <c r="NMO18" s="314" t="s">
        <v>203</v>
      </c>
      <c r="NMP18" s="314" t="s">
        <v>203</v>
      </c>
      <c r="NMQ18" s="314" t="s">
        <v>203</v>
      </c>
      <c r="NMR18" s="314" t="s">
        <v>203</v>
      </c>
      <c r="NMS18" s="314" t="s">
        <v>203</v>
      </c>
      <c r="NMT18" s="314" t="s">
        <v>203</v>
      </c>
      <c r="NMU18" s="314" t="s">
        <v>203</v>
      </c>
      <c r="NMV18" s="314" t="s">
        <v>203</v>
      </c>
      <c r="NMW18" s="314" t="s">
        <v>203</v>
      </c>
      <c r="NMX18" s="314" t="s">
        <v>203</v>
      </c>
      <c r="NMY18" s="314" t="s">
        <v>203</v>
      </c>
      <c r="NMZ18" s="314" t="s">
        <v>203</v>
      </c>
      <c r="NNA18" s="314" t="s">
        <v>203</v>
      </c>
      <c r="NNB18" s="314" t="s">
        <v>203</v>
      </c>
      <c r="NNC18" s="314" t="s">
        <v>203</v>
      </c>
      <c r="NND18" s="314" t="s">
        <v>203</v>
      </c>
      <c r="NNE18" s="314" t="s">
        <v>203</v>
      </c>
      <c r="NNF18" s="314" t="s">
        <v>203</v>
      </c>
      <c r="NNG18" s="314" t="s">
        <v>203</v>
      </c>
      <c r="NNH18" s="314" t="s">
        <v>203</v>
      </c>
      <c r="NNI18" s="314" t="s">
        <v>203</v>
      </c>
      <c r="NNJ18" s="314" t="s">
        <v>203</v>
      </c>
      <c r="NNK18" s="314" t="s">
        <v>203</v>
      </c>
      <c r="NNL18" s="314" t="s">
        <v>203</v>
      </c>
      <c r="NNM18" s="314" t="s">
        <v>203</v>
      </c>
      <c r="NNN18" s="314" t="s">
        <v>203</v>
      </c>
      <c r="NNO18" s="314" t="s">
        <v>203</v>
      </c>
      <c r="NNP18" s="314" t="s">
        <v>203</v>
      </c>
      <c r="NNQ18" s="314" t="s">
        <v>203</v>
      </c>
      <c r="NNR18" s="314" t="s">
        <v>203</v>
      </c>
      <c r="NNS18" s="314" t="s">
        <v>203</v>
      </c>
      <c r="NNT18" s="314" t="s">
        <v>203</v>
      </c>
      <c r="NNU18" s="314" t="s">
        <v>203</v>
      </c>
      <c r="NNV18" s="314" t="s">
        <v>203</v>
      </c>
      <c r="NNW18" s="314" t="s">
        <v>203</v>
      </c>
      <c r="NNX18" s="314" t="s">
        <v>203</v>
      </c>
      <c r="NNY18" s="314" t="s">
        <v>203</v>
      </c>
      <c r="NNZ18" s="314" t="s">
        <v>203</v>
      </c>
      <c r="NOA18" s="314" t="s">
        <v>203</v>
      </c>
      <c r="NOB18" s="314" t="s">
        <v>203</v>
      </c>
      <c r="NOC18" s="314" t="s">
        <v>203</v>
      </c>
      <c r="NOD18" s="314" t="s">
        <v>203</v>
      </c>
      <c r="NOE18" s="314" t="s">
        <v>203</v>
      </c>
      <c r="NOF18" s="314" t="s">
        <v>203</v>
      </c>
      <c r="NOG18" s="314" t="s">
        <v>203</v>
      </c>
      <c r="NOH18" s="314" t="s">
        <v>203</v>
      </c>
      <c r="NOI18" s="314" t="s">
        <v>203</v>
      </c>
      <c r="NOJ18" s="314" t="s">
        <v>203</v>
      </c>
      <c r="NOK18" s="314" t="s">
        <v>203</v>
      </c>
      <c r="NOL18" s="314" t="s">
        <v>203</v>
      </c>
      <c r="NOM18" s="314" t="s">
        <v>203</v>
      </c>
      <c r="NON18" s="314" t="s">
        <v>203</v>
      </c>
      <c r="NOO18" s="314" t="s">
        <v>203</v>
      </c>
      <c r="NOP18" s="314" t="s">
        <v>203</v>
      </c>
      <c r="NOQ18" s="314" t="s">
        <v>203</v>
      </c>
      <c r="NOR18" s="314" t="s">
        <v>203</v>
      </c>
      <c r="NOS18" s="314" t="s">
        <v>203</v>
      </c>
      <c r="NOT18" s="314" t="s">
        <v>203</v>
      </c>
      <c r="NOU18" s="314" t="s">
        <v>203</v>
      </c>
      <c r="NOV18" s="314" t="s">
        <v>203</v>
      </c>
      <c r="NOW18" s="314" t="s">
        <v>203</v>
      </c>
      <c r="NOX18" s="314" t="s">
        <v>203</v>
      </c>
      <c r="NOY18" s="314" t="s">
        <v>203</v>
      </c>
      <c r="NOZ18" s="314" t="s">
        <v>203</v>
      </c>
      <c r="NPA18" s="314" t="s">
        <v>203</v>
      </c>
      <c r="NPB18" s="314" t="s">
        <v>203</v>
      </c>
      <c r="NPC18" s="314" t="s">
        <v>203</v>
      </c>
      <c r="NPD18" s="314" t="s">
        <v>203</v>
      </c>
      <c r="NPE18" s="314" t="s">
        <v>203</v>
      </c>
      <c r="NPF18" s="314" t="s">
        <v>203</v>
      </c>
      <c r="NPG18" s="314" t="s">
        <v>203</v>
      </c>
      <c r="NPH18" s="314" t="s">
        <v>203</v>
      </c>
      <c r="NPI18" s="314" t="s">
        <v>203</v>
      </c>
      <c r="NPJ18" s="314" t="s">
        <v>203</v>
      </c>
      <c r="NPK18" s="314" t="s">
        <v>203</v>
      </c>
      <c r="NPL18" s="314" t="s">
        <v>203</v>
      </c>
      <c r="NPM18" s="314" t="s">
        <v>203</v>
      </c>
      <c r="NPN18" s="314" t="s">
        <v>203</v>
      </c>
      <c r="NPO18" s="314" t="s">
        <v>203</v>
      </c>
      <c r="NPP18" s="314" t="s">
        <v>203</v>
      </c>
      <c r="NPQ18" s="314" t="s">
        <v>203</v>
      </c>
      <c r="NPR18" s="314" t="s">
        <v>203</v>
      </c>
      <c r="NPS18" s="314" t="s">
        <v>203</v>
      </c>
      <c r="NPT18" s="314" t="s">
        <v>203</v>
      </c>
      <c r="NPU18" s="314" t="s">
        <v>203</v>
      </c>
      <c r="NPV18" s="314" t="s">
        <v>203</v>
      </c>
      <c r="NPW18" s="314" t="s">
        <v>203</v>
      </c>
      <c r="NPX18" s="314" t="s">
        <v>203</v>
      </c>
      <c r="NPY18" s="314" t="s">
        <v>203</v>
      </c>
      <c r="NPZ18" s="314" t="s">
        <v>203</v>
      </c>
      <c r="NQA18" s="314" t="s">
        <v>203</v>
      </c>
      <c r="NQB18" s="314" t="s">
        <v>203</v>
      </c>
      <c r="NQC18" s="314" t="s">
        <v>203</v>
      </c>
      <c r="NQD18" s="314" t="s">
        <v>203</v>
      </c>
      <c r="NQE18" s="314" t="s">
        <v>203</v>
      </c>
      <c r="NQF18" s="314" t="s">
        <v>203</v>
      </c>
      <c r="NQG18" s="314" t="s">
        <v>203</v>
      </c>
      <c r="NQH18" s="314" t="s">
        <v>203</v>
      </c>
      <c r="NQI18" s="314" t="s">
        <v>203</v>
      </c>
      <c r="NQJ18" s="314" t="s">
        <v>203</v>
      </c>
      <c r="NQK18" s="314" t="s">
        <v>203</v>
      </c>
      <c r="NQL18" s="314" t="s">
        <v>203</v>
      </c>
      <c r="NQM18" s="314" t="s">
        <v>203</v>
      </c>
      <c r="NQN18" s="314" t="s">
        <v>203</v>
      </c>
      <c r="NQO18" s="314" t="s">
        <v>203</v>
      </c>
      <c r="NQP18" s="314" t="s">
        <v>203</v>
      </c>
      <c r="NQQ18" s="314" t="s">
        <v>203</v>
      </c>
      <c r="NQR18" s="314" t="s">
        <v>203</v>
      </c>
      <c r="NQS18" s="314" t="s">
        <v>203</v>
      </c>
      <c r="NQT18" s="314" t="s">
        <v>203</v>
      </c>
      <c r="NQU18" s="314" t="s">
        <v>203</v>
      </c>
      <c r="NQV18" s="314" t="s">
        <v>203</v>
      </c>
      <c r="NQW18" s="314" t="s">
        <v>203</v>
      </c>
      <c r="NQX18" s="314" t="s">
        <v>203</v>
      </c>
      <c r="NQY18" s="314" t="s">
        <v>203</v>
      </c>
      <c r="NQZ18" s="314" t="s">
        <v>203</v>
      </c>
      <c r="NRA18" s="314" t="s">
        <v>203</v>
      </c>
      <c r="NRB18" s="314" t="s">
        <v>203</v>
      </c>
      <c r="NRC18" s="314" t="s">
        <v>203</v>
      </c>
      <c r="NRD18" s="314" t="s">
        <v>203</v>
      </c>
      <c r="NRE18" s="314" t="s">
        <v>203</v>
      </c>
      <c r="NRF18" s="314" t="s">
        <v>203</v>
      </c>
      <c r="NRG18" s="314" t="s">
        <v>203</v>
      </c>
      <c r="NRH18" s="314" t="s">
        <v>203</v>
      </c>
      <c r="NRI18" s="314" t="s">
        <v>203</v>
      </c>
      <c r="NRJ18" s="314" t="s">
        <v>203</v>
      </c>
      <c r="NRK18" s="314" t="s">
        <v>203</v>
      </c>
      <c r="NRL18" s="314" t="s">
        <v>203</v>
      </c>
      <c r="NRM18" s="314" t="s">
        <v>203</v>
      </c>
      <c r="NRN18" s="314" t="s">
        <v>203</v>
      </c>
      <c r="NRO18" s="314" t="s">
        <v>203</v>
      </c>
      <c r="NRP18" s="314" t="s">
        <v>203</v>
      </c>
      <c r="NRQ18" s="314" t="s">
        <v>203</v>
      </c>
      <c r="NRR18" s="314" t="s">
        <v>203</v>
      </c>
      <c r="NRS18" s="314" t="s">
        <v>203</v>
      </c>
      <c r="NRT18" s="314" t="s">
        <v>203</v>
      </c>
      <c r="NRU18" s="314" t="s">
        <v>203</v>
      </c>
      <c r="NRV18" s="314" t="s">
        <v>203</v>
      </c>
      <c r="NRW18" s="314" t="s">
        <v>203</v>
      </c>
      <c r="NRX18" s="314" t="s">
        <v>203</v>
      </c>
      <c r="NRY18" s="314" t="s">
        <v>203</v>
      </c>
      <c r="NRZ18" s="314" t="s">
        <v>203</v>
      </c>
      <c r="NSA18" s="314" t="s">
        <v>203</v>
      </c>
      <c r="NSB18" s="314" t="s">
        <v>203</v>
      </c>
      <c r="NSC18" s="314" t="s">
        <v>203</v>
      </c>
      <c r="NSD18" s="314" t="s">
        <v>203</v>
      </c>
      <c r="NSE18" s="314" t="s">
        <v>203</v>
      </c>
      <c r="NSF18" s="314" t="s">
        <v>203</v>
      </c>
      <c r="NSG18" s="314" t="s">
        <v>203</v>
      </c>
      <c r="NSH18" s="314" t="s">
        <v>203</v>
      </c>
      <c r="NSI18" s="314" t="s">
        <v>203</v>
      </c>
      <c r="NSJ18" s="314" t="s">
        <v>203</v>
      </c>
      <c r="NSK18" s="314" t="s">
        <v>203</v>
      </c>
      <c r="NSL18" s="314" t="s">
        <v>203</v>
      </c>
      <c r="NSM18" s="314" t="s">
        <v>203</v>
      </c>
      <c r="NSN18" s="314" t="s">
        <v>203</v>
      </c>
      <c r="NSO18" s="314" t="s">
        <v>203</v>
      </c>
      <c r="NSP18" s="314" t="s">
        <v>203</v>
      </c>
      <c r="NSQ18" s="314" t="s">
        <v>203</v>
      </c>
      <c r="NSR18" s="314" t="s">
        <v>203</v>
      </c>
      <c r="NSS18" s="314" t="s">
        <v>203</v>
      </c>
      <c r="NST18" s="314" t="s">
        <v>203</v>
      </c>
      <c r="NSU18" s="314" t="s">
        <v>203</v>
      </c>
      <c r="NSV18" s="314" t="s">
        <v>203</v>
      </c>
      <c r="NSW18" s="314" t="s">
        <v>203</v>
      </c>
      <c r="NSX18" s="314" t="s">
        <v>203</v>
      </c>
      <c r="NSY18" s="314" t="s">
        <v>203</v>
      </c>
      <c r="NSZ18" s="314" t="s">
        <v>203</v>
      </c>
      <c r="NTA18" s="314" t="s">
        <v>203</v>
      </c>
      <c r="NTB18" s="314" t="s">
        <v>203</v>
      </c>
      <c r="NTC18" s="314" t="s">
        <v>203</v>
      </c>
      <c r="NTD18" s="314" t="s">
        <v>203</v>
      </c>
      <c r="NTE18" s="314" t="s">
        <v>203</v>
      </c>
      <c r="NTF18" s="314" t="s">
        <v>203</v>
      </c>
      <c r="NTG18" s="314" t="s">
        <v>203</v>
      </c>
      <c r="NTH18" s="314" t="s">
        <v>203</v>
      </c>
      <c r="NTI18" s="314" t="s">
        <v>203</v>
      </c>
      <c r="NTJ18" s="314" t="s">
        <v>203</v>
      </c>
      <c r="NTK18" s="314" t="s">
        <v>203</v>
      </c>
      <c r="NTL18" s="314" t="s">
        <v>203</v>
      </c>
      <c r="NTM18" s="314" t="s">
        <v>203</v>
      </c>
      <c r="NTN18" s="314" t="s">
        <v>203</v>
      </c>
      <c r="NTO18" s="314" t="s">
        <v>203</v>
      </c>
      <c r="NTP18" s="314" t="s">
        <v>203</v>
      </c>
      <c r="NTQ18" s="314" t="s">
        <v>203</v>
      </c>
      <c r="NTR18" s="314" t="s">
        <v>203</v>
      </c>
      <c r="NTS18" s="314" t="s">
        <v>203</v>
      </c>
      <c r="NTT18" s="314" t="s">
        <v>203</v>
      </c>
      <c r="NTU18" s="314" t="s">
        <v>203</v>
      </c>
      <c r="NTV18" s="314" t="s">
        <v>203</v>
      </c>
      <c r="NTW18" s="314" t="s">
        <v>203</v>
      </c>
      <c r="NTX18" s="314" t="s">
        <v>203</v>
      </c>
      <c r="NTY18" s="314" t="s">
        <v>203</v>
      </c>
      <c r="NTZ18" s="314" t="s">
        <v>203</v>
      </c>
      <c r="NUA18" s="314" t="s">
        <v>203</v>
      </c>
      <c r="NUB18" s="314" t="s">
        <v>203</v>
      </c>
      <c r="NUC18" s="314" t="s">
        <v>203</v>
      </c>
      <c r="NUD18" s="314" t="s">
        <v>203</v>
      </c>
      <c r="NUE18" s="314" t="s">
        <v>203</v>
      </c>
      <c r="NUF18" s="314" t="s">
        <v>203</v>
      </c>
      <c r="NUG18" s="314" t="s">
        <v>203</v>
      </c>
      <c r="NUH18" s="314" t="s">
        <v>203</v>
      </c>
      <c r="NUI18" s="314" t="s">
        <v>203</v>
      </c>
      <c r="NUJ18" s="314" t="s">
        <v>203</v>
      </c>
      <c r="NUK18" s="314" t="s">
        <v>203</v>
      </c>
      <c r="NUL18" s="314" t="s">
        <v>203</v>
      </c>
      <c r="NUM18" s="314" t="s">
        <v>203</v>
      </c>
      <c r="NUN18" s="314" t="s">
        <v>203</v>
      </c>
      <c r="NUO18" s="314" t="s">
        <v>203</v>
      </c>
      <c r="NUP18" s="314" t="s">
        <v>203</v>
      </c>
      <c r="NUQ18" s="314" t="s">
        <v>203</v>
      </c>
      <c r="NUR18" s="314" t="s">
        <v>203</v>
      </c>
      <c r="NUS18" s="314" t="s">
        <v>203</v>
      </c>
      <c r="NUT18" s="314" t="s">
        <v>203</v>
      </c>
      <c r="NUU18" s="314" t="s">
        <v>203</v>
      </c>
      <c r="NUV18" s="314" t="s">
        <v>203</v>
      </c>
      <c r="NUW18" s="314" t="s">
        <v>203</v>
      </c>
      <c r="NUX18" s="314" t="s">
        <v>203</v>
      </c>
      <c r="NUY18" s="314" t="s">
        <v>203</v>
      </c>
      <c r="NUZ18" s="314" t="s">
        <v>203</v>
      </c>
      <c r="NVA18" s="314" t="s">
        <v>203</v>
      </c>
      <c r="NVB18" s="314" t="s">
        <v>203</v>
      </c>
      <c r="NVC18" s="314" t="s">
        <v>203</v>
      </c>
      <c r="NVD18" s="314" t="s">
        <v>203</v>
      </c>
      <c r="NVE18" s="314" t="s">
        <v>203</v>
      </c>
      <c r="NVF18" s="314" t="s">
        <v>203</v>
      </c>
      <c r="NVG18" s="314" t="s">
        <v>203</v>
      </c>
      <c r="NVH18" s="314" t="s">
        <v>203</v>
      </c>
      <c r="NVI18" s="314" t="s">
        <v>203</v>
      </c>
      <c r="NVJ18" s="314" t="s">
        <v>203</v>
      </c>
      <c r="NVK18" s="314" t="s">
        <v>203</v>
      </c>
      <c r="NVL18" s="314" t="s">
        <v>203</v>
      </c>
      <c r="NVM18" s="314" t="s">
        <v>203</v>
      </c>
      <c r="NVN18" s="314" t="s">
        <v>203</v>
      </c>
      <c r="NVO18" s="314" t="s">
        <v>203</v>
      </c>
      <c r="NVP18" s="314" t="s">
        <v>203</v>
      </c>
      <c r="NVQ18" s="314" t="s">
        <v>203</v>
      </c>
      <c r="NVR18" s="314" t="s">
        <v>203</v>
      </c>
      <c r="NVS18" s="314" t="s">
        <v>203</v>
      </c>
      <c r="NVT18" s="314" t="s">
        <v>203</v>
      </c>
      <c r="NVU18" s="314" t="s">
        <v>203</v>
      </c>
      <c r="NVV18" s="314" t="s">
        <v>203</v>
      </c>
      <c r="NVW18" s="314" t="s">
        <v>203</v>
      </c>
      <c r="NVX18" s="314" t="s">
        <v>203</v>
      </c>
      <c r="NVY18" s="314" t="s">
        <v>203</v>
      </c>
      <c r="NVZ18" s="314" t="s">
        <v>203</v>
      </c>
      <c r="NWA18" s="314" t="s">
        <v>203</v>
      </c>
      <c r="NWB18" s="314" t="s">
        <v>203</v>
      </c>
      <c r="NWC18" s="314" t="s">
        <v>203</v>
      </c>
      <c r="NWD18" s="314" t="s">
        <v>203</v>
      </c>
      <c r="NWE18" s="314" t="s">
        <v>203</v>
      </c>
      <c r="NWF18" s="314" t="s">
        <v>203</v>
      </c>
      <c r="NWG18" s="314" t="s">
        <v>203</v>
      </c>
      <c r="NWH18" s="314" t="s">
        <v>203</v>
      </c>
      <c r="NWI18" s="314" t="s">
        <v>203</v>
      </c>
      <c r="NWJ18" s="314" t="s">
        <v>203</v>
      </c>
      <c r="NWK18" s="314" t="s">
        <v>203</v>
      </c>
      <c r="NWL18" s="314" t="s">
        <v>203</v>
      </c>
      <c r="NWM18" s="314" t="s">
        <v>203</v>
      </c>
      <c r="NWN18" s="314" t="s">
        <v>203</v>
      </c>
      <c r="NWO18" s="314" t="s">
        <v>203</v>
      </c>
      <c r="NWP18" s="314" t="s">
        <v>203</v>
      </c>
      <c r="NWQ18" s="314" t="s">
        <v>203</v>
      </c>
      <c r="NWR18" s="314" t="s">
        <v>203</v>
      </c>
      <c r="NWS18" s="314" t="s">
        <v>203</v>
      </c>
      <c r="NWT18" s="314" t="s">
        <v>203</v>
      </c>
      <c r="NWU18" s="314" t="s">
        <v>203</v>
      </c>
      <c r="NWV18" s="314" t="s">
        <v>203</v>
      </c>
      <c r="NWW18" s="314" t="s">
        <v>203</v>
      </c>
      <c r="NWX18" s="314" t="s">
        <v>203</v>
      </c>
      <c r="NWY18" s="314" t="s">
        <v>203</v>
      </c>
      <c r="NWZ18" s="314" t="s">
        <v>203</v>
      </c>
      <c r="NXA18" s="314" t="s">
        <v>203</v>
      </c>
      <c r="NXB18" s="314" t="s">
        <v>203</v>
      </c>
      <c r="NXC18" s="314" t="s">
        <v>203</v>
      </c>
      <c r="NXD18" s="314" t="s">
        <v>203</v>
      </c>
      <c r="NXE18" s="314" t="s">
        <v>203</v>
      </c>
      <c r="NXF18" s="314" t="s">
        <v>203</v>
      </c>
      <c r="NXG18" s="314" t="s">
        <v>203</v>
      </c>
      <c r="NXH18" s="314" t="s">
        <v>203</v>
      </c>
      <c r="NXI18" s="314" t="s">
        <v>203</v>
      </c>
      <c r="NXJ18" s="314" t="s">
        <v>203</v>
      </c>
      <c r="NXK18" s="314" t="s">
        <v>203</v>
      </c>
      <c r="NXL18" s="314" t="s">
        <v>203</v>
      </c>
      <c r="NXM18" s="314" t="s">
        <v>203</v>
      </c>
      <c r="NXN18" s="314" t="s">
        <v>203</v>
      </c>
      <c r="NXO18" s="314" t="s">
        <v>203</v>
      </c>
      <c r="NXP18" s="314" t="s">
        <v>203</v>
      </c>
      <c r="NXQ18" s="314" t="s">
        <v>203</v>
      </c>
      <c r="NXR18" s="314" t="s">
        <v>203</v>
      </c>
      <c r="NXS18" s="314" t="s">
        <v>203</v>
      </c>
      <c r="NXT18" s="314" t="s">
        <v>203</v>
      </c>
      <c r="NXU18" s="314" t="s">
        <v>203</v>
      </c>
      <c r="NXV18" s="314" t="s">
        <v>203</v>
      </c>
      <c r="NXW18" s="314" t="s">
        <v>203</v>
      </c>
      <c r="NXX18" s="314" t="s">
        <v>203</v>
      </c>
      <c r="NXY18" s="314" t="s">
        <v>203</v>
      </c>
      <c r="NXZ18" s="314" t="s">
        <v>203</v>
      </c>
      <c r="NYA18" s="314" t="s">
        <v>203</v>
      </c>
      <c r="NYB18" s="314" t="s">
        <v>203</v>
      </c>
      <c r="NYC18" s="314" t="s">
        <v>203</v>
      </c>
      <c r="NYD18" s="314" t="s">
        <v>203</v>
      </c>
      <c r="NYE18" s="314" t="s">
        <v>203</v>
      </c>
      <c r="NYF18" s="314" t="s">
        <v>203</v>
      </c>
      <c r="NYG18" s="314" t="s">
        <v>203</v>
      </c>
      <c r="NYH18" s="314" t="s">
        <v>203</v>
      </c>
      <c r="NYI18" s="314" t="s">
        <v>203</v>
      </c>
      <c r="NYJ18" s="314" t="s">
        <v>203</v>
      </c>
      <c r="NYK18" s="314" t="s">
        <v>203</v>
      </c>
      <c r="NYL18" s="314" t="s">
        <v>203</v>
      </c>
      <c r="NYM18" s="314" t="s">
        <v>203</v>
      </c>
      <c r="NYN18" s="314" t="s">
        <v>203</v>
      </c>
      <c r="NYO18" s="314" t="s">
        <v>203</v>
      </c>
      <c r="NYP18" s="314" t="s">
        <v>203</v>
      </c>
      <c r="NYQ18" s="314" t="s">
        <v>203</v>
      </c>
      <c r="NYR18" s="314" t="s">
        <v>203</v>
      </c>
      <c r="NYS18" s="314" t="s">
        <v>203</v>
      </c>
      <c r="NYT18" s="314" t="s">
        <v>203</v>
      </c>
      <c r="NYU18" s="314" t="s">
        <v>203</v>
      </c>
      <c r="NYV18" s="314" t="s">
        <v>203</v>
      </c>
      <c r="NYW18" s="314" t="s">
        <v>203</v>
      </c>
      <c r="NYX18" s="314" t="s">
        <v>203</v>
      </c>
      <c r="NYY18" s="314" t="s">
        <v>203</v>
      </c>
      <c r="NYZ18" s="314" t="s">
        <v>203</v>
      </c>
      <c r="NZA18" s="314" t="s">
        <v>203</v>
      </c>
      <c r="NZB18" s="314" t="s">
        <v>203</v>
      </c>
      <c r="NZC18" s="314" t="s">
        <v>203</v>
      </c>
      <c r="NZD18" s="314" t="s">
        <v>203</v>
      </c>
      <c r="NZE18" s="314" t="s">
        <v>203</v>
      </c>
      <c r="NZF18" s="314" t="s">
        <v>203</v>
      </c>
      <c r="NZG18" s="314" t="s">
        <v>203</v>
      </c>
      <c r="NZH18" s="314" t="s">
        <v>203</v>
      </c>
      <c r="NZI18" s="314" t="s">
        <v>203</v>
      </c>
      <c r="NZJ18" s="314" t="s">
        <v>203</v>
      </c>
      <c r="NZK18" s="314" t="s">
        <v>203</v>
      </c>
      <c r="NZL18" s="314" t="s">
        <v>203</v>
      </c>
      <c r="NZM18" s="314" t="s">
        <v>203</v>
      </c>
      <c r="NZN18" s="314" t="s">
        <v>203</v>
      </c>
      <c r="NZO18" s="314" t="s">
        <v>203</v>
      </c>
      <c r="NZP18" s="314" t="s">
        <v>203</v>
      </c>
      <c r="NZQ18" s="314" t="s">
        <v>203</v>
      </c>
      <c r="NZR18" s="314" t="s">
        <v>203</v>
      </c>
      <c r="NZS18" s="314" t="s">
        <v>203</v>
      </c>
      <c r="NZT18" s="314" t="s">
        <v>203</v>
      </c>
      <c r="NZU18" s="314" t="s">
        <v>203</v>
      </c>
      <c r="NZV18" s="314" t="s">
        <v>203</v>
      </c>
      <c r="NZW18" s="314" t="s">
        <v>203</v>
      </c>
      <c r="NZX18" s="314" t="s">
        <v>203</v>
      </c>
      <c r="NZY18" s="314" t="s">
        <v>203</v>
      </c>
      <c r="NZZ18" s="314" t="s">
        <v>203</v>
      </c>
      <c r="OAA18" s="314" t="s">
        <v>203</v>
      </c>
      <c r="OAB18" s="314" t="s">
        <v>203</v>
      </c>
      <c r="OAC18" s="314" t="s">
        <v>203</v>
      </c>
      <c r="OAD18" s="314" t="s">
        <v>203</v>
      </c>
      <c r="OAE18" s="314" t="s">
        <v>203</v>
      </c>
      <c r="OAF18" s="314" t="s">
        <v>203</v>
      </c>
      <c r="OAG18" s="314" t="s">
        <v>203</v>
      </c>
      <c r="OAH18" s="314" t="s">
        <v>203</v>
      </c>
      <c r="OAI18" s="314" t="s">
        <v>203</v>
      </c>
      <c r="OAJ18" s="314" t="s">
        <v>203</v>
      </c>
      <c r="OAK18" s="314" t="s">
        <v>203</v>
      </c>
      <c r="OAL18" s="314" t="s">
        <v>203</v>
      </c>
      <c r="OAM18" s="314" t="s">
        <v>203</v>
      </c>
      <c r="OAN18" s="314" t="s">
        <v>203</v>
      </c>
      <c r="OAO18" s="314" t="s">
        <v>203</v>
      </c>
      <c r="OAP18" s="314" t="s">
        <v>203</v>
      </c>
      <c r="OAQ18" s="314" t="s">
        <v>203</v>
      </c>
      <c r="OAR18" s="314" t="s">
        <v>203</v>
      </c>
      <c r="OAS18" s="314" t="s">
        <v>203</v>
      </c>
      <c r="OAT18" s="314" t="s">
        <v>203</v>
      </c>
      <c r="OAU18" s="314" t="s">
        <v>203</v>
      </c>
      <c r="OAV18" s="314" t="s">
        <v>203</v>
      </c>
      <c r="OAW18" s="314" t="s">
        <v>203</v>
      </c>
      <c r="OAX18" s="314" t="s">
        <v>203</v>
      </c>
      <c r="OAY18" s="314" t="s">
        <v>203</v>
      </c>
      <c r="OAZ18" s="314" t="s">
        <v>203</v>
      </c>
      <c r="OBA18" s="314" t="s">
        <v>203</v>
      </c>
      <c r="OBB18" s="314" t="s">
        <v>203</v>
      </c>
      <c r="OBC18" s="314" t="s">
        <v>203</v>
      </c>
      <c r="OBD18" s="314" t="s">
        <v>203</v>
      </c>
      <c r="OBE18" s="314" t="s">
        <v>203</v>
      </c>
      <c r="OBF18" s="314" t="s">
        <v>203</v>
      </c>
      <c r="OBG18" s="314" t="s">
        <v>203</v>
      </c>
      <c r="OBH18" s="314" t="s">
        <v>203</v>
      </c>
      <c r="OBI18" s="314" t="s">
        <v>203</v>
      </c>
      <c r="OBJ18" s="314" t="s">
        <v>203</v>
      </c>
      <c r="OBK18" s="314" t="s">
        <v>203</v>
      </c>
      <c r="OBL18" s="314" t="s">
        <v>203</v>
      </c>
      <c r="OBM18" s="314" t="s">
        <v>203</v>
      </c>
      <c r="OBN18" s="314" t="s">
        <v>203</v>
      </c>
      <c r="OBO18" s="314" t="s">
        <v>203</v>
      </c>
      <c r="OBP18" s="314" t="s">
        <v>203</v>
      </c>
      <c r="OBQ18" s="314" t="s">
        <v>203</v>
      </c>
      <c r="OBR18" s="314" t="s">
        <v>203</v>
      </c>
      <c r="OBS18" s="314" t="s">
        <v>203</v>
      </c>
      <c r="OBT18" s="314" t="s">
        <v>203</v>
      </c>
      <c r="OBU18" s="314" t="s">
        <v>203</v>
      </c>
      <c r="OBV18" s="314" t="s">
        <v>203</v>
      </c>
      <c r="OBW18" s="314" t="s">
        <v>203</v>
      </c>
      <c r="OBX18" s="314" t="s">
        <v>203</v>
      </c>
      <c r="OBY18" s="314" t="s">
        <v>203</v>
      </c>
      <c r="OBZ18" s="314" t="s">
        <v>203</v>
      </c>
      <c r="OCA18" s="314" t="s">
        <v>203</v>
      </c>
      <c r="OCB18" s="314" t="s">
        <v>203</v>
      </c>
      <c r="OCC18" s="314" t="s">
        <v>203</v>
      </c>
      <c r="OCD18" s="314" t="s">
        <v>203</v>
      </c>
      <c r="OCE18" s="314" t="s">
        <v>203</v>
      </c>
      <c r="OCF18" s="314" t="s">
        <v>203</v>
      </c>
      <c r="OCG18" s="314" t="s">
        <v>203</v>
      </c>
      <c r="OCH18" s="314" t="s">
        <v>203</v>
      </c>
      <c r="OCI18" s="314" t="s">
        <v>203</v>
      </c>
      <c r="OCJ18" s="314" t="s">
        <v>203</v>
      </c>
      <c r="OCK18" s="314" t="s">
        <v>203</v>
      </c>
      <c r="OCL18" s="314" t="s">
        <v>203</v>
      </c>
      <c r="OCM18" s="314" t="s">
        <v>203</v>
      </c>
      <c r="OCN18" s="314" t="s">
        <v>203</v>
      </c>
      <c r="OCO18" s="314" t="s">
        <v>203</v>
      </c>
      <c r="OCP18" s="314" t="s">
        <v>203</v>
      </c>
      <c r="OCQ18" s="314" t="s">
        <v>203</v>
      </c>
      <c r="OCR18" s="314" t="s">
        <v>203</v>
      </c>
      <c r="OCS18" s="314" t="s">
        <v>203</v>
      </c>
      <c r="OCT18" s="314" t="s">
        <v>203</v>
      </c>
      <c r="OCU18" s="314" t="s">
        <v>203</v>
      </c>
      <c r="OCV18" s="314" t="s">
        <v>203</v>
      </c>
      <c r="OCW18" s="314" t="s">
        <v>203</v>
      </c>
      <c r="OCX18" s="314" t="s">
        <v>203</v>
      </c>
      <c r="OCY18" s="314" t="s">
        <v>203</v>
      </c>
      <c r="OCZ18" s="314" t="s">
        <v>203</v>
      </c>
      <c r="ODA18" s="314" t="s">
        <v>203</v>
      </c>
      <c r="ODB18" s="314" t="s">
        <v>203</v>
      </c>
      <c r="ODC18" s="314" t="s">
        <v>203</v>
      </c>
      <c r="ODD18" s="314" t="s">
        <v>203</v>
      </c>
      <c r="ODE18" s="314" t="s">
        <v>203</v>
      </c>
      <c r="ODF18" s="314" t="s">
        <v>203</v>
      </c>
      <c r="ODG18" s="314" t="s">
        <v>203</v>
      </c>
      <c r="ODH18" s="314" t="s">
        <v>203</v>
      </c>
      <c r="ODI18" s="314" t="s">
        <v>203</v>
      </c>
      <c r="ODJ18" s="314" t="s">
        <v>203</v>
      </c>
      <c r="ODK18" s="314" t="s">
        <v>203</v>
      </c>
      <c r="ODL18" s="314" t="s">
        <v>203</v>
      </c>
      <c r="ODM18" s="314" t="s">
        <v>203</v>
      </c>
      <c r="ODN18" s="314" t="s">
        <v>203</v>
      </c>
      <c r="ODO18" s="314" t="s">
        <v>203</v>
      </c>
      <c r="ODP18" s="314" t="s">
        <v>203</v>
      </c>
      <c r="ODQ18" s="314" t="s">
        <v>203</v>
      </c>
      <c r="ODR18" s="314" t="s">
        <v>203</v>
      </c>
      <c r="ODS18" s="314" t="s">
        <v>203</v>
      </c>
      <c r="ODT18" s="314" t="s">
        <v>203</v>
      </c>
      <c r="ODU18" s="314" t="s">
        <v>203</v>
      </c>
      <c r="ODV18" s="314" t="s">
        <v>203</v>
      </c>
      <c r="ODW18" s="314" t="s">
        <v>203</v>
      </c>
      <c r="ODX18" s="314" t="s">
        <v>203</v>
      </c>
      <c r="ODY18" s="314" t="s">
        <v>203</v>
      </c>
      <c r="ODZ18" s="314" t="s">
        <v>203</v>
      </c>
      <c r="OEA18" s="314" t="s">
        <v>203</v>
      </c>
      <c r="OEB18" s="314" t="s">
        <v>203</v>
      </c>
      <c r="OEC18" s="314" t="s">
        <v>203</v>
      </c>
      <c r="OED18" s="314" t="s">
        <v>203</v>
      </c>
      <c r="OEE18" s="314" t="s">
        <v>203</v>
      </c>
      <c r="OEF18" s="314" t="s">
        <v>203</v>
      </c>
      <c r="OEG18" s="314" t="s">
        <v>203</v>
      </c>
      <c r="OEH18" s="314" t="s">
        <v>203</v>
      </c>
      <c r="OEI18" s="314" t="s">
        <v>203</v>
      </c>
      <c r="OEJ18" s="314" t="s">
        <v>203</v>
      </c>
      <c r="OEK18" s="314" t="s">
        <v>203</v>
      </c>
      <c r="OEL18" s="314" t="s">
        <v>203</v>
      </c>
      <c r="OEM18" s="314" t="s">
        <v>203</v>
      </c>
      <c r="OEN18" s="314" t="s">
        <v>203</v>
      </c>
      <c r="OEO18" s="314" t="s">
        <v>203</v>
      </c>
      <c r="OEP18" s="314" t="s">
        <v>203</v>
      </c>
      <c r="OEQ18" s="314" t="s">
        <v>203</v>
      </c>
      <c r="OER18" s="314" t="s">
        <v>203</v>
      </c>
      <c r="OES18" s="314" t="s">
        <v>203</v>
      </c>
      <c r="OET18" s="314" t="s">
        <v>203</v>
      </c>
      <c r="OEU18" s="314" t="s">
        <v>203</v>
      </c>
      <c r="OEV18" s="314" t="s">
        <v>203</v>
      </c>
      <c r="OEW18" s="314" t="s">
        <v>203</v>
      </c>
      <c r="OEX18" s="314" t="s">
        <v>203</v>
      </c>
      <c r="OEY18" s="314" t="s">
        <v>203</v>
      </c>
      <c r="OEZ18" s="314" t="s">
        <v>203</v>
      </c>
      <c r="OFA18" s="314" t="s">
        <v>203</v>
      </c>
      <c r="OFB18" s="314" t="s">
        <v>203</v>
      </c>
      <c r="OFC18" s="314" t="s">
        <v>203</v>
      </c>
      <c r="OFD18" s="314" t="s">
        <v>203</v>
      </c>
      <c r="OFE18" s="314" t="s">
        <v>203</v>
      </c>
      <c r="OFF18" s="314" t="s">
        <v>203</v>
      </c>
      <c r="OFG18" s="314" t="s">
        <v>203</v>
      </c>
      <c r="OFH18" s="314" t="s">
        <v>203</v>
      </c>
      <c r="OFI18" s="314" t="s">
        <v>203</v>
      </c>
      <c r="OFJ18" s="314" t="s">
        <v>203</v>
      </c>
      <c r="OFK18" s="314" t="s">
        <v>203</v>
      </c>
      <c r="OFL18" s="314" t="s">
        <v>203</v>
      </c>
      <c r="OFM18" s="314" t="s">
        <v>203</v>
      </c>
      <c r="OFN18" s="314" t="s">
        <v>203</v>
      </c>
      <c r="OFO18" s="314" t="s">
        <v>203</v>
      </c>
      <c r="OFP18" s="314" t="s">
        <v>203</v>
      </c>
      <c r="OFQ18" s="314" t="s">
        <v>203</v>
      </c>
      <c r="OFR18" s="314" t="s">
        <v>203</v>
      </c>
      <c r="OFS18" s="314" t="s">
        <v>203</v>
      </c>
      <c r="OFT18" s="314" t="s">
        <v>203</v>
      </c>
      <c r="OFU18" s="314" t="s">
        <v>203</v>
      </c>
      <c r="OFV18" s="314" t="s">
        <v>203</v>
      </c>
      <c r="OFW18" s="314" t="s">
        <v>203</v>
      </c>
      <c r="OFX18" s="314" t="s">
        <v>203</v>
      </c>
      <c r="OFY18" s="314" t="s">
        <v>203</v>
      </c>
      <c r="OFZ18" s="314" t="s">
        <v>203</v>
      </c>
      <c r="OGA18" s="314" t="s">
        <v>203</v>
      </c>
      <c r="OGB18" s="314" t="s">
        <v>203</v>
      </c>
      <c r="OGC18" s="314" t="s">
        <v>203</v>
      </c>
      <c r="OGD18" s="314" t="s">
        <v>203</v>
      </c>
      <c r="OGE18" s="314" t="s">
        <v>203</v>
      </c>
      <c r="OGF18" s="314" t="s">
        <v>203</v>
      </c>
      <c r="OGG18" s="314" t="s">
        <v>203</v>
      </c>
      <c r="OGH18" s="314" t="s">
        <v>203</v>
      </c>
      <c r="OGI18" s="314" t="s">
        <v>203</v>
      </c>
      <c r="OGJ18" s="314" t="s">
        <v>203</v>
      </c>
      <c r="OGK18" s="314" t="s">
        <v>203</v>
      </c>
      <c r="OGL18" s="314" t="s">
        <v>203</v>
      </c>
      <c r="OGM18" s="314" t="s">
        <v>203</v>
      </c>
      <c r="OGN18" s="314" t="s">
        <v>203</v>
      </c>
      <c r="OGO18" s="314" t="s">
        <v>203</v>
      </c>
      <c r="OGP18" s="314" t="s">
        <v>203</v>
      </c>
      <c r="OGQ18" s="314" t="s">
        <v>203</v>
      </c>
      <c r="OGR18" s="314" t="s">
        <v>203</v>
      </c>
      <c r="OGS18" s="314" t="s">
        <v>203</v>
      </c>
      <c r="OGT18" s="314" t="s">
        <v>203</v>
      </c>
      <c r="OGU18" s="314" t="s">
        <v>203</v>
      </c>
      <c r="OGV18" s="314" t="s">
        <v>203</v>
      </c>
      <c r="OGW18" s="314" t="s">
        <v>203</v>
      </c>
      <c r="OGX18" s="314" t="s">
        <v>203</v>
      </c>
      <c r="OGY18" s="314" t="s">
        <v>203</v>
      </c>
      <c r="OGZ18" s="314" t="s">
        <v>203</v>
      </c>
      <c r="OHA18" s="314" t="s">
        <v>203</v>
      </c>
      <c r="OHB18" s="314" t="s">
        <v>203</v>
      </c>
      <c r="OHC18" s="314" t="s">
        <v>203</v>
      </c>
      <c r="OHD18" s="314" t="s">
        <v>203</v>
      </c>
      <c r="OHE18" s="314" t="s">
        <v>203</v>
      </c>
      <c r="OHF18" s="314" t="s">
        <v>203</v>
      </c>
      <c r="OHG18" s="314" t="s">
        <v>203</v>
      </c>
      <c r="OHH18" s="314" t="s">
        <v>203</v>
      </c>
      <c r="OHI18" s="314" t="s">
        <v>203</v>
      </c>
      <c r="OHJ18" s="314" t="s">
        <v>203</v>
      </c>
      <c r="OHK18" s="314" t="s">
        <v>203</v>
      </c>
      <c r="OHL18" s="314" t="s">
        <v>203</v>
      </c>
      <c r="OHM18" s="314" t="s">
        <v>203</v>
      </c>
      <c r="OHN18" s="314" t="s">
        <v>203</v>
      </c>
      <c r="OHO18" s="314" t="s">
        <v>203</v>
      </c>
      <c r="OHP18" s="314" t="s">
        <v>203</v>
      </c>
      <c r="OHQ18" s="314" t="s">
        <v>203</v>
      </c>
      <c r="OHR18" s="314" t="s">
        <v>203</v>
      </c>
      <c r="OHS18" s="314" t="s">
        <v>203</v>
      </c>
      <c r="OHT18" s="314" t="s">
        <v>203</v>
      </c>
      <c r="OHU18" s="314" t="s">
        <v>203</v>
      </c>
      <c r="OHV18" s="314" t="s">
        <v>203</v>
      </c>
      <c r="OHW18" s="314" t="s">
        <v>203</v>
      </c>
      <c r="OHX18" s="314" t="s">
        <v>203</v>
      </c>
      <c r="OHY18" s="314" t="s">
        <v>203</v>
      </c>
      <c r="OHZ18" s="314" t="s">
        <v>203</v>
      </c>
      <c r="OIA18" s="314" t="s">
        <v>203</v>
      </c>
      <c r="OIB18" s="314" t="s">
        <v>203</v>
      </c>
      <c r="OIC18" s="314" t="s">
        <v>203</v>
      </c>
      <c r="OID18" s="314" t="s">
        <v>203</v>
      </c>
      <c r="OIE18" s="314" t="s">
        <v>203</v>
      </c>
      <c r="OIF18" s="314" t="s">
        <v>203</v>
      </c>
      <c r="OIG18" s="314" t="s">
        <v>203</v>
      </c>
      <c r="OIH18" s="314" t="s">
        <v>203</v>
      </c>
      <c r="OII18" s="314" t="s">
        <v>203</v>
      </c>
      <c r="OIJ18" s="314" t="s">
        <v>203</v>
      </c>
      <c r="OIK18" s="314" t="s">
        <v>203</v>
      </c>
      <c r="OIL18" s="314" t="s">
        <v>203</v>
      </c>
      <c r="OIM18" s="314" t="s">
        <v>203</v>
      </c>
      <c r="OIN18" s="314" t="s">
        <v>203</v>
      </c>
      <c r="OIO18" s="314" t="s">
        <v>203</v>
      </c>
      <c r="OIP18" s="314" t="s">
        <v>203</v>
      </c>
      <c r="OIQ18" s="314" t="s">
        <v>203</v>
      </c>
      <c r="OIR18" s="314" t="s">
        <v>203</v>
      </c>
      <c r="OIS18" s="314" t="s">
        <v>203</v>
      </c>
      <c r="OIT18" s="314" t="s">
        <v>203</v>
      </c>
      <c r="OIU18" s="314" t="s">
        <v>203</v>
      </c>
      <c r="OIV18" s="314" t="s">
        <v>203</v>
      </c>
      <c r="OIW18" s="314" t="s">
        <v>203</v>
      </c>
      <c r="OIX18" s="314" t="s">
        <v>203</v>
      </c>
      <c r="OIY18" s="314" t="s">
        <v>203</v>
      </c>
      <c r="OIZ18" s="314" t="s">
        <v>203</v>
      </c>
      <c r="OJA18" s="314" t="s">
        <v>203</v>
      </c>
      <c r="OJB18" s="314" t="s">
        <v>203</v>
      </c>
      <c r="OJC18" s="314" t="s">
        <v>203</v>
      </c>
      <c r="OJD18" s="314" t="s">
        <v>203</v>
      </c>
      <c r="OJE18" s="314" t="s">
        <v>203</v>
      </c>
      <c r="OJF18" s="314" t="s">
        <v>203</v>
      </c>
      <c r="OJG18" s="314" t="s">
        <v>203</v>
      </c>
      <c r="OJH18" s="314" t="s">
        <v>203</v>
      </c>
      <c r="OJI18" s="314" t="s">
        <v>203</v>
      </c>
      <c r="OJJ18" s="314" t="s">
        <v>203</v>
      </c>
      <c r="OJK18" s="314" t="s">
        <v>203</v>
      </c>
      <c r="OJL18" s="314" t="s">
        <v>203</v>
      </c>
      <c r="OJM18" s="314" t="s">
        <v>203</v>
      </c>
      <c r="OJN18" s="314" t="s">
        <v>203</v>
      </c>
      <c r="OJO18" s="314" t="s">
        <v>203</v>
      </c>
      <c r="OJP18" s="314" t="s">
        <v>203</v>
      </c>
      <c r="OJQ18" s="314" t="s">
        <v>203</v>
      </c>
      <c r="OJR18" s="314" t="s">
        <v>203</v>
      </c>
      <c r="OJS18" s="314" t="s">
        <v>203</v>
      </c>
      <c r="OJT18" s="314" t="s">
        <v>203</v>
      </c>
      <c r="OJU18" s="314" t="s">
        <v>203</v>
      </c>
      <c r="OJV18" s="314" t="s">
        <v>203</v>
      </c>
      <c r="OJW18" s="314" t="s">
        <v>203</v>
      </c>
      <c r="OJX18" s="314" t="s">
        <v>203</v>
      </c>
      <c r="OJY18" s="314" t="s">
        <v>203</v>
      </c>
      <c r="OJZ18" s="314" t="s">
        <v>203</v>
      </c>
      <c r="OKA18" s="314" t="s">
        <v>203</v>
      </c>
      <c r="OKB18" s="314" t="s">
        <v>203</v>
      </c>
      <c r="OKC18" s="314" t="s">
        <v>203</v>
      </c>
      <c r="OKD18" s="314" t="s">
        <v>203</v>
      </c>
      <c r="OKE18" s="314" t="s">
        <v>203</v>
      </c>
      <c r="OKF18" s="314" t="s">
        <v>203</v>
      </c>
      <c r="OKG18" s="314" t="s">
        <v>203</v>
      </c>
      <c r="OKH18" s="314" t="s">
        <v>203</v>
      </c>
      <c r="OKI18" s="314" t="s">
        <v>203</v>
      </c>
      <c r="OKJ18" s="314" t="s">
        <v>203</v>
      </c>
      <c r="OKK18" s="314" t="s">
        <v>203</v>
      </c>
      <c r="OKL18" s="314" t="s">
        <v>203</v>
      </c>
      <c r="OKM18" s="314" t="s">
        <v>203</v>
      </c>
      <c r="OKN18" s="314" t="s">
        <v>203</v>
      </c>
      <c r="OKO18" s="314" t="s">
        <v>203</v>
      </c>
      <c r="OKP18" s="314" t="s">
        <v>203</v>
      </c>
      <c r="OKQ18" s="314" t="s">
        <v>203</v>
      </c>
      <c r="OKR18" s="314" t="s">
        <v>203</v>
      </c>
      <c r="OKS18" s="314" t="s">
        <v>203</v>
      </c>
      <c r="OKT18" s="314" t="s">
        <v>203</v>
      </c>
      <c r="OKU18" s="314" t="s">
        <v>203</v>
      </c>
      <c r="OKV18" s="314" t="s">
        <v>203</v>
      </c>
      <c r="OKW18" s="314" t="s">
        <v>203</v>
      </c>
      <c r="OKX18" s="314" t="s">
        <v>203</v>
      </c>
      <c r="OKY18" s="314" t="s">
        <v>203</v>
      </c>
      <c r="OKZ18" s="314" t="s">
        <v>203</v>
      </c>
      <c r="OLA18" s="314" t="s">
        <v>203</v>
      </c>
      <c r="OLB18" s="314" t="s">
        <v>203</v>
      </c>
      <c r="OLC18" s="314" t="s">
        <v>203</v>
      </c>
      <c r="OLD18" s="314" t="s">
        <v>203</v>
      </c>
      <c r="OLE18" s="314" t="s">
        <v>203</v>
      </c>
      <c r="OLF18" s="314" t="s">
        <v>203</v>
      </c>
      <c r="OLG18" s="314" t="s">
        <v>203</v>
      </c>
      <c r="OLH18" s="314" t="s">
        <v>203</v>
      </c>
      <c r="OLI18" s="314" t="s">
        <v>203</v>
      </c>
      <c r="OLJ18" s="314" t="s">
        <v>203</v>
      </c>
      <c r="OLK18" s="314" t="s">
        <v>203</v>
      </c>
      <c r="OLL18" s="314" t="s">
        <v>203</v>
      </c>
      <c r="OLM18" s="314" t="s">
        <v>203</v>
      </c>
      <c r="OLN18" s="314" t="s">
        <v>203</v>
      </c>
      <c r="OLO18" s="314" t="s">
        <v>203</v>
      </c>
      <c r="OLP18" s="314" t="s">
        <v>203</v>
      </c>
      <c r="OLQ18" s="314" t="s">
        <v>203</v>
      </c>
      <c r="OLR18" s="314" t="s">
        <v>203</v>
      </c>
      <c r="OLS18" s="314" t="s">
        <v>203</v>
      </c>
      <c r="OLT18" s="314" t="s">
        <v>203</v>
      </c>
      <c r="OLU18" s="314" t="s">
        <v>203</v>
      </c>
      <c r="OLV18" s="314" t="s">
        <v>203</v>
      </c>
      <c r="OLW18" s="314" t="s">
        <v>203</v>
      </c>
      <c r="OLX18" s="314" t="s">
        <v>203</v>
      </c>
      <c r="OLY18" s="314" t="s">
        <v>203</v>
      </c>
      <c r="OLZ18" s="314" t="s">
        <v>203</v>
      </c>
      <c r="OMA18" s="314" t="s">
        <v>203</v>
      </c>
      <c r="OMB18" s="314" t="s">
        <v>203</v>
      </c>
      <c r="OMC18" s="314" t="s">
        <v>203</v>
      </c>
      <c r="OMD18" s="314" t="s">
        <v>203</v>
      </c>
      <c r="OME18" s="314" t="s">
        <v>203</v>
      </c>
      <c r="OMF18" s="314" t="s">
        <v>203</v>
      </c>
      <c r="OMG18" s="314" t="s">
        <v>203</v>
      </c>
      <c r="OMH18" s="314" t="s">
        <v>203</v>
      </c>
      <c r="OMI18" s="314" t="s">
        <v>203</v>
      </c>
      <c r="OMJ18" s="314" t="s">
        <v>203</v>
      </c>
      <c r="OMK18" s="314" t="s">
        <v>203</v>
      </c>
      <c r="OML18" s="314" t="s">
        <v>203</v>
      </c>
      <c r="OMM18" s="314" t="s">
        <v>203</v>
      </c>
      <c r="OMN18" s="314" t="s">
        <v>203</v>
      </c>
      <c r="OMO18" s="314" t="s">
        <v>203</v>
      </c>
      <c r="OMP18" s="314" t="s">
        <v>203</v>
      </c>
      <c r="OMQ18" s="314" t="s">
        <v>203</v>
      </c>
      <c r="OMR18" s="314" t="s">
        <v>203</v>
      </c>
      <c r="OMS18" s="314" t="s">
        <v>203</v>
      </c>
      <c r="OMT18" s="314" t="s">
        <v>203</v>
      </c>
      <c r="OMU18" s="314" t="s">
        <v>203</v>
      </c>
      <c r="OMV18" s="314" t="s">
        <v>203</v>
      </c>
      <c r="OMW18" s="314" t="s">
        <v>203</v>
      </c>
      <c r="OMX18" s="314" t="s">
        <v>203</v>
      </c>
      <c r="OMY18" s="314" t="s">
        <v>203</v>
      </c>
      <c r="OMZ18" s="314" t="s">
        <v>203</v>
      </c>
      <c r="ONA18" s="314" t="s">
        <v>203</v>
      </c>
      <c r="ONB18" s="314" t="s">
        <v>203</v>
      </c>
      <c r="ONC18" s="314" t="s">
        <v>203</v>
      </c>
      <c r="OND18" s="314" t="s">
        <v>203</v>
      </c>
      <c r="ONE18" s="314" t="s">
        <v>203</v>
      </c>
      <c r="ONF18" s="314" t="s">
        <v>203</v>
      </c>
      <c r="ONG18" s="314" t="s">
        <v>203</v>
      </c>
      <c r="ONH18" s="314" t="s">
        <v>203</v>
      </c>
      <c r="ONI18" s="314" t="s">
        <v>203</v>
      </c>
      <c r="ONJ18" s="314" t="s">
        <v>203</v>
      </c>
      <c r="ONK18" s="314" t="s">
        <v>203</v>
      </c>
      <c r="ONL18" s="314" t="s">
        <v>203</v>
      </c>
      <c r="ONM18" s="314" t="s">
        <v>203</v>
      </c>
      <c r="ONN18" s="314" t="s">
        <v>203</v>
      </c>
      <c r="ONO18" s="314" t="s">
        <v>203</v>
      </c>
      <c r="ONP18" s="314" t="s">
        <v>203</v>
      </c>
      <c r="ONQ18" s="314" t="s">
        <v>203</v>
      </c>
      <c r="ONR18" s="314" t="s">
        <v>203</v>
      </c>
      <c r="ONS18" s="314" t="s">
        <v>203</v>
      </c>
      <c r="ONT18" s="314" t="s">
        <v>203</v>
      </c>
      <c r="ONU18" s="314" t="s">
        <v>203</v>
      </c>
      <c r="ONV18" s="314" t="s">
        <v>203</v>
      </c>
      <c r="ONW18" s="314" t="s">
        <v>203</v>
      </c>
      <c r="ONX18" s="314" t="s">
        <v>203</v>
      </c>
      <c r="ONY18" s="314" t="s">
        <v>203</v>
      </c>
      <c r="ONZ18" s="314" t="s">
        <v>203</v>
      </c>
      <c r="OOA18" s="314" t="s">
        <v>203</v>
      </c>
      <c r="OOB18" s="314" t="s">
        <v>203</v>
      </c>
      <c r="OOC18" s="314" t="s">
        <v>203</v>
      </c>
      <c r="OOD18" s="314" t="s">
        <v>203</v>
      </c>
      <c r="OOE18" s="314" t="s">
        <v>203</v>
      </c>
      <c r="OOF18" s="314" t="s">
        <v>203</v>
      </c>
      <c r="OOG18" s="314" t="s">
        <v>203</v>
      </c>
      <c r="OOH18" s="314" t="s">
        <v>203</v>
      </c>
      <c r="OOI18" s="314" t="s">
        <v>203</v>
      </c>
      <c r="OOJ18" s="314" t="s">
        <v>203</v>
      </c>
      <c r="OOK18" s="314" t="s">
        <v>203</v>
      </c>
      <c r="OOL18" s="314" t="s">
        <v>203</v>
      </c>
      <c r="OOM18" s="314" t="s">
        <v>203</v>
      </c>
      <c r="OON18" s="314" t="s">
        <v>203</v>
      </c>
      <c r="OOO18" s="314" t="s">
        <v>203</v>
      </c>
      <c r="OOP18" s="314" t="s">
        <v>203</v>
      </c>
      <c r="OOQ18" s="314" t="s">
        <v>203</v>
      </c>
      <c r="OOR18" s="314" t="s">
        <v>203</v>
      </c>
      <c r="OOS18" s="314" t="s">
        <v>203</v>
      </c>
      <c r="OOT18" s="314" t="s">
        <v>203</v>
      </c>
      <c r="OOU18" s="314" t="s">
        <v>203</v>
      </c>
      <c r="OOV18" s="314" t="s">
        <v>203</v>
      </c>
      <c r="OOW18" s="314" t="s">
        <v>203</v>
      </c>
      <c r="OOX18" s="314" t="s">
        <v>203</v>
      </c>
      <c r="OOY18" s="314" t="s">
        <v>203</v>
      </c>
      <c r="OOZ18" s="314" t="s">
        <v>203</v>
      </c>
      <c r="OPA18" s="314" t="s">
        <v>203</v>
      </c>
      <c r="OPB18" s="314" t="s">
        <v>203</v>
      </c>
      <c r="OPC18" s="314" t="s">
        <v>203</v>
      </c>
      <c r="OPD18" s="314" t="s">
        <v>203</v>
      </c>
      <c r="OPE18" s="314" t="s">
        <v>203</v>
      </c>
      <c r="OPF18" s="314" t="s">
        <v>203</v>
      </c>
      <c r="OPG18" s="314" t="s">
        <v>203</v>
      </c>
      <c r="OPH18" s="314" t="s">
        <v>203</v>
      </c>
      <c r="OPI18" s="314" t="s">
        <v>203</v>
      </c>
      <c r="OPJ18" s="314" t="s">
        <v>203</v>
      </c>
      <c r="OPK18" s="314" t="s">
        <v>203</v>
      </c>
      <c r="OPL18" s="314" t="s">
        <v>203</v>
      </c>
      <c r="OPM18" s="314" t="s">
        <v>203</v>
      </c>
      <c r="OPN18" s="314" t="s">
        <v>203</v>
      </c>
      <c r="OPO18" s="314" t="s">
        <v>203</v>
      </c>
      <c r="OPP18" s="314" t="s">
        <v>203</v>
      </c>
      <c r="OPQ18" s="314" t="s">
        <v>203</v>
      </c>
      <c r="OPR18" s="314" t="s">
        <v>203</v>
      </c>
      <c r="OPS18" s="314" t="s">
        <v>203</v>
      </c>
      <c r="OPT18" s="314" t="s">
        <v>203</v>
      </c>
      <c r="OPU18" s="314" t="s">
        <v>203</v>
      </c>
      <c r="OPV18" s="314" t="s">
        <v>203</v>
      </c>
      <c r="OPW18" s="314" t="s">
        <v>203</v>
      </c>
      <c r="OPX18" s="314" t="s">
        <v>203</v>
      </c>
      <c r="OPY18" s="314" t="s">
        <v>203</v>
      </c>
      <c r="OPZ18" s="314" t="s">
        <v>203</v>
      </c>
      <c r="OQA18" s="314" t="s">
        <v>203</v>
      </c>
      <c r="OQB18" s="314" t="s">
        <v>203</v>
      </c>
      <c r="OQC18" s="314" t="s">
        <v>203</v>
      </c>
      <c r="OQD18" s="314" t="s">
        <v>203</v>
      </c>
      <c r="OQE18" s="314" t="s">
        <v>203</v>
      </c>
      <c r="OQF18" s="314" t="s">
        <v>203</v>
      </c>
      <c r="OQG18" s="314" t="s">
        <v>203</v>
      </c>
      <c r="OQH18" s="314" t="s">
        <v>203</v>
      </c>
      <c r="OQI18" s="314" t="s">
        <v>203</v>
      </c>
      <c r="OQJ18" s="314" t="s">
        <v>203</v>
      </c>
      <c r="OQK18" s="314" t="s">
        <v>203</v>
      </c>
      <c r="OQL18" s="314" t="s">
        <v>203</v>
      </c>
      <c r="OQM18" s="314" t="s">
        <v>203</v>
      </c>
      <c r="OQN18" s="314" t="s">
        <v>203</v>
      </c>
      <c r="OQO18" s="314" t="s">
        <v>203</v>
      </c>
      <c r="OQP18" s="314" t="s">
        <v>203</v>
      </c>
      <c r="OQQ18" s="314" t="s">
        <v>203</v>
      </c>
      <c r="OQR18" s="314" t="s">
        <v>203</v>
      </c>
      <c r="OQS18" s="314" t="s">
        <v>203</v>
      </c>
      <c r="OQT18" s="314" t="s">
        <v>203</v>
      </c>
      <c r="OQU18" s="314" t="s">
        <v>203</v>
      </c>
      <c r="OQV18" s="314" t="s">
        <v>203</v>
      </c>
      <c r="OQW18" s="314" t="s">
        <v>203</v>
      </c>
      <c r="OQX18" s="314" t="s">
        <v>203</v>
      </c>
      <c r="OQY18" s="314" t="s">
        <v>203</v>
      </c>
      <c r="OQZ18" s="314" t="s">
        <v>203</v>
      </c>
      <c r="ORA18" s="314" t="s">
        <v>203</v>
      </c>
      <c r="ORB18" s="314" t="s">
        <v>203</v>
      </c>
      <c r="ORC18" s="314" t="s">
        <v>203</v>
      </c>
      <c r="ORD18" s="314" t="s">
        <v>203</v>
      </c>
      <c r="ORE18" s="314" t="s">
        <v>203</v>
      </c>
      <c r="ORF18" s="314" t="s">
        <v>203</v>
      </c>
      <c r="ORG18" s="314" t="s">
        <v>203</v>
      </c>
      <c r="ORH18" s="314" t="s">
        <v>203</v>
      </c>
      <c r="ORI18" s="314" t="s">
        <v>203</v>
      </c>
      <c r="ORJ18" s="314" t="s">
        <v>203</v>
      </c>
      <c r="ORK18" s="314" t="s">
        <v>203</v>
      </c>
      <c r="ORL18" s="314" t="s">
        <v>203</v>
      </c>
      <c r="ORM18" s="314" t="s">
        <v>203</v>
      </c>
      <c r="ORN18" s="314" t="s">
        <v>203</v>
      </c>
      <c r="ORO18" s="314" t="s">
        <v>203</v>
      </c>
      <c r="ORP18" s="314" t="s">
        <v>203</v>
      </c>
      <c r="ORQ18" s="314" t="s">
        <v>203</v>
      </c>
      <c r="ORR18" s="314" t="s">
        <v>203</v>
      </c>
      <c r="ORS18" s="314" t="s">
        <v>203</v>
      </c>
      <c r="ORT18" s="314" t="s">
        <v>203</v>
      </c>
      <c r="ORU18" s="314" t="s">
        <v>203</v>
      </c>
      <c r="ORV18" s="314" t="s">
        <v>203</v>
      </c>
      <c r="ORW18" s="314" t="s">
        <v>203</v>
      </c>
      <c r="ORX18" s="314" t="s">
        <v>203</v>
      </c>
      <c r="ORY18" s="314" t="s">
        <v>203</v>
      </c>
      <c r="ORZ18" s="314" t="s">
        <v>203</v>
      </c>
      <c r="OSA18" s="314" t="s">
        <v>203</v>
      </c>
      <c r="OSB18" s="314" t="s">
        <v>203</v>
      </c>
      <c r="OSC18" s="314" t="s">
        <v>203</v>
      </c>
      <c r="OSD18" s="314" t="s">
        <v>203</v>
      </c>
      <c r="OSE18" s="314" t="s">
        <v>203</v>
      </c>
      <c r="OSF18" s="314" t="s">
        <v>203</v>
      </c>
      <c r="OSG18" s="314" t="s">
        <v>203</v>
      </c>
      <c r="OSH18" s="314" t="s">
        <v>203</v>
      </c>
      <c r="OSI18" s="314" t="s">
        <v>203</v>
      </c>
      <c r="OSJ18" s="314" t="s">
        <v>203</v>
      </c>
      <c r="OSK18" s="314" t="s">
        <v>203</v>
      </c>
      <c r="OSL18" s="314" t="s">
        <v>203</v>
      </c>
      <c r="OSM18" s="314" t="s">
        <v>203</v>
      </c>
      <c r="OSN18" s="314" t="s">
        <v>203</v>
      </c>
      <c r="OSO18" s="314" t="s">
        <v>203</v>
      </c>
      <c r="OSP18" s="314" t="s">
        <v>203</v>
      </c>
      <c r="OSQ18" s="314" t="s">
        <v>203</v>
      </c>
      <c r="OSR18" s="314" t="s">
        <v>203</v>
      </c>
      <c r="OSS18" s="314" t="s">
        <v>203</v>
      </c>
      <c r="OST18" s="314" t="s">
        <v>203</v>
      </c>
      <c r="OSU18" s="314" t="s">
        <v>203</v>
      </c>
      <c r="OSV18" s="314" t="s">
        <v>203</v>
      </c>
      <c r="OSW18" s="314" t="s">
        <v>203</v>
      </c>
      <c r="OSX18" s="314" t="s">
        <v>203</v>
      </c>
      <c r="OSY18" s="314" t="s">
        <v>203</v>
      </c>
      <c r="OSZ18" s="314" t="s">
        <v>203</v>
      </c>
      <c r="OTA18" s="314" t="s">
        <v>203</v>
      </c>
      <c r="OTB18" s="314" t="s">
        <v>203</v>
      </c>
      <c r="OTC18" s="314" t="s">
        <v>203</v>
      </c>
      <c r="OTD18" s="314" t="s">
        <v>203</v>
      </c>
      <c r="OTE18" s="314" t="s">
        <v>203</v>
      </c>
      <c r="OTF18" s="314" t="s">
        <v>203</v>
      </c>
      <c r="OTG18" s="314" t="s">
        <v>203</v>
      </c>
      <c r="OTH18" s="314" t="s">
        <v>203</v>
      </c>
      <c r="OTI18" s="314" t="s">
        <v>203</v>
      </c>
      <c r="OTJ18" s="314" t="s">
        <v>203</v>
      </c>
      <c r="OTK18" s="314" t="s">
        <v>203</v>
      </c>
      <c r="OTL18" s="314" t="s">
        <v>203</v>
      </c>
      <c r="OTM18" s="314" t="s">
        <v>203</v>
      </c>
      <c r="OTN18" s="314" t="s">
        <v>203</v>
      </c>
      <c r="OTO18" s="314" t="s">
        <v>203</v>
      </c>
      <c r="OTP18" s="314" t="s">
        <v>203</v>
      </c>
      <c r="OTQ18" s="314" t="s">
        <v>203</v>
      </c>
      <c r="OTR18" s="314" t="s">
        <v>203</v>
      </c>
      <c r="OTS18" s="314" t="s">
        <v>203</v>
      </c>
      <c r="OTT18" s="314" t="s">
        <v>203</v>
      </c>
      <c r="OTU18" s="314" t="s">
        <v>203</v>
      </c>
      <c r="OTV18" s="314" t="s">
        <v>203</v>
      </c>
      <c r="OTW18" s="314" t="s">
        <v>203</v>
      </c>
      <c r="OTX18" s="314" t="s">
        <v>203</v>
      </c>
      <c r="OTY18" s="314" t="s">
        <v>203</v>
      </c>
      <c r="OTZ18" s="314" t="s">
        <v>203</v>
      </c>
      <c r="OUA18" s="314" t="s">
        <v>203</v>
      </c>
      <c r="OUB18" s="314" t="s">
        <v>203</v>
      </c>
      <c r="OUC18" s="314" t="s">
        <v>203</v>
      </c>
      <c r="OUD18" s="314" t="s">
        <v>203</v>
      </c>
      <c r="OUE18" s="314" t="s">
        <v>203</v>
      </c>
      <c r="OUF18" s="314" t="s">
        <v>203</v>
      </c>
      <c r="OUG18" s="314" t="s">
        <v>203</v>
      </c>
      <c r="OUH18" s="314" t="s">
        <v>203</v>
      </c>
      <c r="OUI18" s="314" t="s">
        <v>203</v>
      </c>
      <c r="OUJ18" s="314" t="s">
        <v>203</v>
      </c>
      <c r="OUK18" s="314" t="s">
        <v>203</v>
      </c>
      <c r="OUL18" s="314" t="s">
        <v>203</v>
      </c>
      <c r="OUM18" s="314" t="s">
        <v>203</v>
      </c>
      <c r="OUN18" s="314" t="s">
        <v>203</v>
      </c>
      <c r="OUO18" s="314" t="s">
        <v>203</v>
      </c>
      <c r="OUP18" s="314" t="s">
        <v>203</v>
      </c>
      <c r="OUQ18" s="314" t="s">
        <v>203</v>
      </c>
      <c r="OUR18" s="314" t="s">
        <v>203</v>
      </c>
      <c r="OUS18" s="314" t="s">
        <v>203</v>
      </c>
      <c r="OUT18" s="314" t="s">
        <v>203</v>
      </c>
      <c r="OUU18" s="314" t="s">
        <v>203</v>
      </c>
      <c r="OUV18" s="314" t="s">
        <v>203</v>
      </c>
      <c r="OUW18" s="314" t="s">
        <v>203</v>
      </c>
      <c r="OUX18" s="314" t="s">
        <v>203</v>
      </c>
      <c r="OUY18" s="314" t="s">
        <v>203</v>
      </c>
      <c r="OUZ18" s="314" t="s">
        <v>203</v>
      </c>
      <c r="OVA18" s="314" t="s">
        <v>203</v>
      </c>
      <c r="OVB18" s="314" t="s">
        <v>203</v>
      </c>
      <c r="OVC18" s="314" t="s">
        <v>203</v>
      </c>
      <c r="OVD18" s="314" t="s">
        <v>203</v>
      </c>
      <c r="OVE18" s="314" t="s">
        <v>203</v>
      </c>
      <c r="OVF18" s="314" t="s">
        <v>203</v>
      </c>
      <c r="OVG18" s="314" t="s">
        <v>203</v>
      </c>
      <c r="OVH18" s="314" t="s">
        <v>203</v>
      </c>
      <c r="OVI18" s="314" t="s">
        <v>203</v>
      </c>
      <c r="OVJ18" s="314" t="s">
        <v>203</v>
      </c>
      <c r="OVK18" s="314" t="s">
        <v>203</v>
      </c>
      <c r="OVL18" s="314" t="s">
        <v>203</v>
      </c>
      <c r="OVM18" s="314" t="s">
        <v>203</v>
      </c>
      <c r="OVN18" s="314" t="s">
        <v>203</v>
      </c>
      <c r="OVO18" s="314" t="s">
        <v>203</v>
      </c>
      <c r="OVP18" s="314" t="s">
        <v>203</v>
      </c>
      <c r="OVQ18" s="314" t="s">
        <v>203</v>
      </c>
      <c r="OVR18" s="314" t="s">
        <v>203</v>
      </c>
      <c r="OVS18" s="314" t="s">
        <v>203</v>
      </c>
      <c r="OVT18" s="314" t="s">
        <v>203</v>
      </c>
      <c r="OVU18" s="314" t="s">
        <v>203</v>
      </c>
      <c r="OVV18" s="314" t="s">
        <v>203</v>
      </c>
      <c r="OVW18" s="314" t="s">
        <v>203</v>
      </c>
      <c r="OVX18" s="314" t="s">
        <v>203</v>
      </c>
      <c r="OVY18" s="314" t="s">
        <v>203</v>
      </c>
      <c r="OVZ18" s="314" t="s">
        <v>203</v>
      </c>
      <c r="OWA18" s="314" t="s">
        <v>203</v>
      </c>
      <c r="OWB18" s="314" t="s">
        <v>203</v>
      </c>
      <c r="OWC18" s="314" t="s">
        <v>203</v>
      </c>
      <c r="OWD18" s="314" t="s">
        <v>203</v>
      </c>
      <c r="OWE18" s="314" t="s">
        <v>203</v>
      </c>
      <c r="OWF18" s="314" t="s">
        <v>203</v>
      </c>
      <c r="OWG18" s="314" t="s">
        <v>203</v>
      </c>
      <c r="OWH18" s="314" t="s">
        <v>203</v>
      </c>
      <c r="OWI18" s="314" t="s">
        <v>203</v>
      </c>
      <c r="OWJ18" s="314" t="s">
        <v>203</v>
      </c>
      <c r="OWK18" s="314" t="s">
        <v>203</v>
      </c>
      <c r="OWL18" s="314" t="s">
        <v>203</v>
      </c>
      <c r="OWM18" s="314" t="s">
        <v>203</v>
      </c>
      <c r="OWN18" s="314" t="s">
        <v>203</v>
      </c>
      <c r="OWO18" s="314" t="s">
        <v>203</v>
      </c>
      <c r="OWP18" s="314" t="s">
        <v>203</v>
      </c>
      <c r="OWQ18" s="314" t="s">
        <v>203</v>
      </c>
      <c r="OWR18" s="314" t="s">
        <v>203</v>
      </c>
      <c r="OWS18" s="314" t="s">
        <v>203</v>
      </c>
      <c r="OWT18" s="314" t="s">
        <v>203</v>
      </c>
      <c r="OWU18" s="314" t="s">
        <v>203</v>
      </c>
      <c r="OWV18" s="314" t="s">
        <v>203</v>
      </c>
      <c r="OWW18" s="314" t="s">
        <v>203</v>
      </c>
      <c r="OWX18" s="314" t="s">
        <v>203</v>
      </c>
      <c r="OWY18" s="314" t="s">
        <v>203</v>
      </c>
      <c r="OWZ18" s="314" t="s">
        <v>203</v>
      </c>
      <c r="OXA18" s="314" t="s">
        <v>203</v>
      </c>
      <c r="OXB18" s="314" t="s">
        <v>203</v>
      </c>
      <c r="OXC18" s="314" t="s">
        <v>203</v>
      </c>
      <c r="OXD18" s="314" t="s">
        <v>203</v>
      </c>
      <c r="OXE18" s="314" t="s">
        <v>203</v>
      </c>
      <c r="OXF18" s="314" t="s">
        <v>203</v>
      </c>
      <c r="OXG18" s="314" t="s">
        <v>203</v>
      </c>
      <c r="OXH18" s="314" t="s">
        <v>203</v>
      </c>
      <c r="OXI18" s="314" t="s">
        <v>203</v>
      </c>
      <c r="OXJ18" s="314" t="s">
        <v>203</v>
      </c>
      <c r="OXK18" s="314" t="s">
        <v>203</v>
      </c>
      <c r="OXL18" s="314" t="s">
        <v>203</v>
      </c>
      <c r="OXM18" s="314" t="s">
        <v>203</v>
      </c>
      <c r="OXN18" s="314" t="s">
        <v>203</v>
      </c>
      <c r="OXO18" s="314" t="s">
        <v>203</v>
      </c>
      <c r="OXP18" s="314" t="s">
        <v>203</v>
      </c>
      <c r="OXQ18" s="314" t="s">
        <v>203</v>
      </c>
      <c r="OXR18" s="314" t="s">
        <v>203</v>
      </c>
      <c r="OXS18" s="314" t="s">
        <v>203</v>
      </c>
      <c r="OXT18" s="314" t="s">
        <v>203</v>
      </c>
      <c r="OXU18" s="314" t="s">
        <v>203</v>
      </c>
      <c r="OXV18" s="314" t="s">
        <v>203</v>
      </c>
      <c r="OXW18" s="314" t="s">
        <v>203</v>
      </c>
      <c r="OXX18" s="314" t="s">
        <v>203</v>
      </c>
      <c r="OXY18" s="314" t="s">
        <v>203</v>
      </c>
      <c r="OXZ18" s="314" t="s">
        <v>203</v>
      </c>
      <c r="OYA18" s="314" t="s">
        <v>203</v>
      </c>
      <c r="OYB18" s="314" t="s">
        <v>203</v>
      </c>
      <c r="OYC18" s="314" t="s">
        <v>203</v>
      </c>
      <c r="OYD18" s="314" t="s">
        <v>203</v>
      </c>
      <c r="OYE18" s="314" t="s">
        <v>203</v>
      </c>
      <c r="OYF18" s="314" t="s">
        <v>203</v>
      </c>
      <c r="OYG18" s="314" t="s">
        <v>203</v>
      </c>
      <c r="OYH18" s="314" t="s">
        <v>203</v>
      </c>
      <c r="OYI18" s="314" t="s">
        <v>203</v>
      </c>
      <c r="OYJ18" s="314" t="s">
        <v>203</v>
      </c>
      <c r="OYK18" s="314" t="s">
        <v>203</v>
      </c>
      <c r="OYL18" s="314" t="s">
        <v>203</v>
      </c>
      <c r="OYM18" s="314" t="s">
        <v>203</v>
      </c>
      <c r="OYN18" s="314" t="s">
        <v>203</v>
      </c>
      <c r="OYO18" s="314" t="s">
        <v>203</v>
      </c>
      <c r="OYP18" s="314" t="s">
        <v>203</v>
      </c>
      <c r="OYQ18" s="314" t="s">
        <v>203</v>
      </c>
      <c r="OYR18" s="314" t="s">
        <v>203</v>
      </c>
      <c r="OYS18" s="314" t="s">
        <v>203</v>
      </c>
      <c r="OYT18" s="314" t="s">
        <v>203</v>
      </c>
      <c r="OYU18" s="314" t="s">
        <v>203</v>
      </c>
      <c r="OYV18" s="314" t="s">
        <v>203</v>
      </c>
      <c r="OYW18" s="314" t="s">
        <v>203</v>
      </c>
      <c r="OYX18" s="314" t="s">
        <v>203</v>
      </c>
      <c r="OYY18" s="314" t="s">
        <v>203</v>
      </c>
      <c r="OYZ18" s="314" t="s">
        <v>203</v>
      </c>
      <c r="OZA18" s="314" t="s">
        <v>203</v>
      </c>
      <c r="OZB18" s="314" t="s">
        <v>203</v>
      </c>
      <c r="OZC18" s="314" t="s">
        <v>203</v>
      </c>
      <c r="OZD18" s="314" t="s">
        <v>203</v>
      </c>
      <c r="OZE18" s="314" t="s">
        <v>203</v>
      </c>
      <c r="OZF18" s="314" t="s">
        <v>203</v>
      </c>
      <c r="OZG18" s="314" t="s">
        <v>203</v>
      </c>
      <c r="OZH18" s="314" t="s">
        <v>203</v>
      </c>
      <c r="OZI18" s="314" t="s">
        <v>203</v>
      </c>
      <c r="OZJ18" s="314" t="s">
        <v>203</v>
      </c>
      <c r="OZK18" s="314" t="s">
        <v>203</v>
      </c>
      <c r="OZL18" s="314" t="s">
        <v>203</v>
      </c>
      <c r="OZM18" s="314" t="s">
        <v>203</v>
      </c>
      <c r="OZN18" s="314" t="s">
        <v>203</v>
      </c>
      <c r="OZO18" s="314" t="s">
        <v>203</v>
      </c>
      <c r="OZP18" s="314" t="s">
        <v>203</v>
      </c>
      <c r="OZQ18" s="314" t="s">
        <v>203</v>
      </c>
      <c r="OZR18" s="314" t="s">
        <v>203</v>
      </c>
      <c r="OZS18" s="314" t="s">
        <v>203</v>
      </c>
      <c r="OZT18" s="314" t="s">
        <v>203</v>
      </c>
      <c r="OZU18" s="314" t="s">
        <v>203</v>
      </c>
      <c r="OZV18" s="314" t="s">
        <v>203</v>
      </c>
      <c r="OZW18" s="314" t="s">
        <v>203</v>
      </c>
      <c r="OZX18" s="314" t="s">
        <v>203</v>
      </c>
      <c r="OZY18" s="314" t="s">
        <v>203</v>
      </c>
      <c r="OZZ18" s="314" t="s">
        <v>203</v>
      </c>
      <c r="PAA18" s="314" t="s">
        <v>203</v>
      </c>
      <c r="PAB18" s="314" t="s">
        <v>203</v>
      </c>
      <c r="PAC18" s="314" t="s">
        <v>203</v>
      </c>
      <c r="PAD18" s="314" t="s">
        <v>203</v>
      </c>
      <c r="PAE18" s="314" t="s">
        <v>203</v>
      </c>
      <c r="PAF18" s="314" t="s">
        <v>203</v>
      </c>
      <c r="PAG18" s="314" t="s">
        <v>203</v>
      </c>
      <c r="PAH18" s="314" t="s">
        <v>203</v>
      </c>
      <c r="PAI18" s="314" t="s">
        <v>203</v>
      </c>
      <c r="PAJ18" s="314" t="s">
        <v>203</v>
      </c>
      <c r="PAK18" s="314" t="s">
        <v>203</v>
      </c>
      <c r="PAL18" s="314" t="s">
        <v>203</v>
      </c>
      <c r="PAM18" s="314" t="s">
        <v>203</v>
      </c>
      <c r="PAN18" s="314" t="s">
        <v>203</v>
      </c>
      <c r="PAO18" s="314" t="s">
        <v>203</v>
      </c>
      <c r="PAP18" s="314" t="s">
        <v>203</v>
      </c>
      <c r="PAQ18" s="314" t="s">
        <v>203</v>
      </c>
      <c r="PAR18" s="314" t="s">
        <v>203</v>
      </c>
      <c r="PAS18" s="314" t="s">
        <v>203</v>
      </c>
      <c r="PAT18" s="314" t="s">
        <v>203</v>
      </c>
      <c r="PAU18" s="314" t="s">
        <v>203</v>
      </c>
      <c r="PAV18" s="314" t="s">
        <v>203</v>
      </c>
      <c r="PAW18" s="314" t="s">
        <v>203</v>
      </c>
      <c r="PAX18" s="314" t="s">
        <v>203</v>
      </c>
      <c r="PAY18" s="314" t="s">
        <v>203</v>
      </c>
      <c r="PAZ18" s="314" t="s">
        <v>203</v>
      </c>
      <c r="PBA18" s="314" t="s">
        <v>203</v>
      </c>
      <c r="PBB18" s="314" t="s">
        <v>203</v>
      </c>
      <c r="PBC18" s="314" t="s">
        <v>203</v>
      </c>
      <c r="PBD18" s="314" t="s">
        <v>203</v>
      </c>
      <c r="PBE18" s="314" t="s">
        <v>203</v>
      </c>
      <c r="PBF18" s="314" t="s">
        <v>203</v>
      </c>
      <c r="PBG18" s="314" t="s">
        <v>203</v>
      </c>
      <c r="PBH18" s="314" t="s">
        <v>203</v>
      </c>
      <c r="PBI18" s="314" t="s">
        <v>203</v>
      </c>
      <c r="PBJ18" s="314" t="s">
        <v>203</v>
      </c>
      <c r="PBK18" s="314" t="s">
        <v>203</v>
      </c>
      <c r="PBL18" s="314" t="s">
        <v>203</v>
      </c>
      <c r="PBM18" s="314" t="s">
        <v>203</v>
      </c>
      <c r="PBN18" s="314" t="s">
        <v>203</v>
      </c>
      <c r="PBO18" s="314" t="s">
        <v>203</v>
      </c>
      <c r="PBP18" s="314" t="s">
        <v>203</v>
      </c>
      <c r="PBQ18" s="314" t="s">
        <v>203</v>
      </c>
      <c r="PBR18" s="314" t="s">
        <v>203</v>
      </c>
      <c r="PBS18" s="314" t="s">
        <v>203</v>
      </c>
      <c r="PBT18" s="314" t="s">
        <v>203</v>
      </c>
      <c r="PBU18" s="314" t="s">
        <v>203</v>
      </c>
      <c r="PBV18" s="314" t="s">
        <v>203</v>
      </c>
      <c r="PBW18" s="314" t="s">
        <v>203</v>
      </c>
      <c r="PBX18" s="314" t="s">
        <v>203</v>
      </c>
      <c r="PBY18" s="314" t="s">
        <v>203</v>
      </c>
      <c r="PBZ18" s="314" t="s">
        <v>203</v>
      </c>
      <c r="PCA18" s="314" t="s">
        <v>203</v>
      </c>
      <c r="PCB18" s="314" t="s">
        <v>203</v>
      </c>
      <c r="PCC18" s="314" t="s">
        <v>203</v>
      </c>
      <c r="PCD18" s="314" t="s">
        <v>203</v>
      </c>
      <c r="PCE18" s="314" t="s">
        <v>203</v>
      </c>
      <c r="PCF18" s="314" t="s">
        <v>203</v>
      </c>
      <c r="PCG18" s="314" t="s">
        <v>203</v>
      </c>
      <c r="PCH18" s="314" t="s">
        <v>203</v>
      </c>
      <c r="PCI18" s="314" t="s">
        <v>203</v>
      </c>
      <c r="PCJ18" s="314" t="s">
        <v>203</v>
      </c>
      <c r="PCK18" s="314" t="s">
        <v>203</v>
      </c>
      <c r="PCL18" s="314" t="s">
        <v>203</v>
      </c>
      <c r="PCM18" s="314" t="s">
        <v>203</v>
      </c>
      <c r="PCN18" s="314" t="s">
        <v>203</v>
      </c>
      <c r="PCO18" s="314" t="s">
        <v>203</v>
      </c>
      <c r="PCP18" s="314" t="s">
        <v>203</v>
      </c>
      <c r="PCQ18" s="314" t="s">
        <v>203</v>
      </c>
      <c r="PCR18" s="314" t="s">
        <v>203</v>
      </c>
      <c r="PCS18" s="314" t="s">
        <v>203</v>
      </c>
      <c r="PCT18" s="314" t="s">
        <v>203</v>
      </c>
      <c r="PCU18" s="314" t="s">
        <v>203</v>
      </c>
      <c r="PCV18" s="314" t="s">
        <v>203</v>
      </c>
      <c r="PCW18" s="314" t="s">
        <v>203</v>
      </c>
      <c r="PCX18" s="314" t="s">
        <v>203</v>
      </c>
      <c r="PCY18" s="314" t="s">
        <v>203</v>
      </c>
      <c r="PCZ18" s="314" t="s">
        <v>203</v>
      </c>
      <c r="PDA18" s="314" t="s">
        <v>203</v>
      </c>
      <c r="PDB18" s="314" t="s">
        <v>203</v>
      </c>
      <c r="PDC18" s="314" t="s">
        <v>203</v>
      </c>
      <c r="PDD18" s="314" t="s">
        <v>203</v>
      </c>
      <c r="PDE18" s="314" t="s">
        <v>203</v>
      </c>
      <c r="PDF18" s="314" t="s">
        <v>203</v>
      </c>
      <c r="PDG18" s="314" t="s">
        <v>203</v>
      </c>
      <c r="PDH18" s="314" t="s">
        <v>203</v>
      </c>
      <c r="PDI18" s="314" t="s">
        <v>203</v>
      </c>
      <c r="PDJ18" s="314" t="s">
        <v>203</v>
      </c>
      <c r="PDK18" s="314" t="s">
        <v>203</v>
      </c>
      <c r="PDL18" s="314" t="s">
        <v>203</v>
      </c>
      <c r="PDM18" s="314" t="s">
        <v>203</v>
      </c>
      <c r="PDN18" s="314" t="s">
        <v>203</v>
      </c>
      <c r="PDO18" s="314" t="s">
        <v>203</v>
      </c>
      <c r="PDP18" s="314" t="s">
        <v>203</v>
      </c>
      <c r="PDQ18" s="314" t="s">
        <v>203</v>
      </c>
      <c r="PDR18" s="314" t="s">
        <v>203</v>
      </c>
      <c r="PDS18" s="314" t="s">
        <v>203</v>
      </c>
      <c r="PDT18" s="314" t="s">
        <v>203</v>
      </c>
      <c r="PDU18" s="314" t="s">
        <v>203</v>
      </c>
      <c r="PDV18" s="314" t="s">
        <v>203</v>
      </c>
      <c r="PDW18" s="314" t="s">
        <v>203</v>
      </c>
      <c r="PDX18" s="314" t="s">
        <v>203</v>
      </c>
      <c r="PDY18" s="314" t="s">
        <v>203</v>
      </c>
      <c r="PDZ18" s="314" t="s">
        <v>203</v>
      </c>
      <c r="PEA18" s="314" t="s">
        <v>203</v>
      </c>
      <c r="PEB18" s="314" t="s">
        <v>203</v>
      </c>
      <c r="PEC18" s="314" t="s">
        <v>203</v>
      </c>
      <c r="PED18" s="314" t="s">
        <v>203</v>
      </c>
      <c r="PEE18" s="314" t="s">
        <v>203</v>
      </c>
      <c r="PEF18" s="314" t="s">
        <v>203</v>
      </c>
      <c r="PEG18" s="314" t="s">
        <v>203</v>
      </c>
      <c r="PEH18" s="314" t="s">
        <v>203</v>
      </c>
      <c r="PEI18" s="314" t="s">
        <v>203</v>
      </c>
      <c r="PEJ18" s="314" t="s">
        <v>203</v>
      </c>
      <c r="PEK18" s="314" t="s">
        <v>203</v>
      </c>
      <c r="PEL18" s="314" t="s">
        <v>203</v>
      </c>
      <c r="PEM18" s="314" t="s">
        <v>203</v>
      </c>
      <c r="PEN18" s="314" t="s">
        <v>203</v>
      </c>
      <c r="PEO18" s="314" t="s">
        <v>203</v>
      </c>
      <c r="PEP18" s="314" t="s">
        <v>203</v>
      </c>
      <c r="PEQ18" s="314" t="s">
        <v>203</v>
      </c>
      <c r="PER18" s="314" t="s">
        <v>203</v>
      </c>
      <c r="PES18" s="314" t="s">
        <v>203</v>
      </c>
      <c r="PET18" s="314" t="s">
        <v>203</v>
      </c>
      <c r="PEU18" s="314" t="s">
        <v>203</v>
      </c>
      <c r="PEV18" s="314" t="s">
        <v>203</v>
      </c>
      <c r="PEW18" s="314" t="s">
        <v>203</v>
      </c>
      <c r="PEX18" s="314" t="s">
        <v>203</v>
      </c>
      <c r="PEY18" s="314" t="s">
        <v>203</v>
      </c>
      <c r="PEZ18" s="314" t="s">
        <v>203</v>
      </c>
      <c r="PFA18" s="314" t="s">
        <v>203</v>
      </c>
      <c r="PFB18" s="314" t="s">
        <v>203</v>
      </c>
      <c r="PFC18" s="314" t="s">
        <v>203</v>
      </c>
      <c r="PFD18" s="314" t="s">
        <v>203</v>
      </c>
      <c r="PFE18" s="314" t="s">
        <v>203</v>
      </c>
      <c r="PFF18" s="314" t="s">
        <v>203</v>
      </c>
      <c r="PFG18" s="314" t="s">
        <v>203</v>
      </c>
      <c r="PFH18" s="314" t="s">
        <v>203</v>
      </c>
      <c r="PFI18" s="314" t="s">
        <v>203</v>
      </c>
      <c r="PFJ18" s="314" t="s">
        <v>203</v>
      </c>
      <c r="PFK18" s="314" t="s">
        <v>203</v>
      </c>
      <c r="PFL18" s="314" t="s">
        <v>203</v>
      </c>
      <c r="PFM18" s="314" t="s">
        <v>203</v>
      </c>
      <c r="PFN18" s="314" t="s">
        <v>203</v>
      </c>
      <c r="PFO18" s="314" t="s">
        <v>203</v>
      </c>
      <c r="PFP18" s="314" t="s">
        <v>203</v>
      </c>
      <c r="PFQ18" s="314" t="s">
        <v>203</v>
      </c>
      <c r="PFR18" s="314" t="s">
        <v>203</v>
      </c>
      <c r="PFS18" s="314" t="s">
        <v>203</v>
      </c>
      <c r="PFT18" s="314" t="s">
        <v>203</v>
      </c>
      <c r="PFU18" s="314" t="s">
        <v>203</v>
      </c>
      <c r="PFV18" s="314" t="s">
        <v>203</v>
      </c>
      <c r="PFW18" s="314" t="s">
        <v>203</v>
      </c>
      <c r="PFX18" s="314" t="s">
        <v>203</v>
      </c>
      <c r="PFY18" s="314" t="s">
        <v>203</v>
      </c>
      <c r="PFZ18" s="314" t="s">
        <v>203</v>
      </c>
      <c r="PGA18" s="314" t="s">
        <v>203</v>
      </c>
      <c r="PGB18" s="314" t="s">
        <v>203</v>
      </c>
      <c r="PGC18" s="314" t="s">
        <v>203</v>
      </c>
      <c r="PGD18" s="314" t="s">
        <v>203</v>
      </c>
      <c r="PGE18" s="314" t="s">
        <v>203</v>
      </c>
      <c r="PGF18" s="314" t="s">
        <v>203</v>
      </c>
      <c r="PGG18" s="314" t="s">
        <v>203</v>
      </c>
      <c r="PGH18" s="314" t="s">
        <v>203</v>
      </c>
      <c r="PGI18" s="314" t="s">
        <v>203</v>
      </c>
      <c r="PGJ18" s="314" t="s">
        <v>203</v>
      </c>
      <c r="PGK18" s="314" t="s">
        <v>203</v>
      </c>
      <c r="PGL18" s="314" t="s">
        <v>203</v>
      </c>
      <c r="PGM18" s="314" t="s">
        <v>203</v>
      </c>
      <c r="PGN18" s="314" t="s">
        <v>203</v>
      </c>
      <c r="PGO18" s="314" t="s">
        <v>203</v>
      </c>
      <c r="PGP18" s="314" t="s">
        <v>203</v>
      </c>
      <c r="PGQ18" s="314" t="s">
        <v>203</v>
      </c>
      <c r="PGR18" s="314" t="s">
        <v>203</v>
      </c>
      <c r="PGS18" s="314" t="s">
        <v>203</v>
      </c>
      <c r="PGT18" s="314" t="s">
        <v>203</v>
      </c>
      <c r="PGU18" s="314" t="s">
        <v>203</v>
      </c>
      <c r="PGV18" s="314" t="s">
        <v>203</v>
      </c>
      <c r="PGW18" s="314" t="s">
        <v>203</v>
      </c>
      <c r="PGX18" s="314" t="s">
        <v>203</v>
      </c>
      <c r="PGY18" s="314" t="s">
        <v>203</v>
      </c>
      <c r="PGZ18" s="314" t="s">
        <v>203</v>
      </c>
      <c r="PHA18" s="314" t="s">
        <v>203</v>
      </c>
      <c r="PHB18" s="314" t="s">
        <v>203</v>
      </c>
      <c r="PHC18" s="314" t="s">
        <v>203</v>
      </c>
      <c r="PHD18" s="314" t="s">
        <v>203</v>
      </c>
      <c r="PHE18" s="314" t="s">
        <v>203</v>
      </c>
      <c r="PHF18" s="314" t="s">
        <v>203</v>
      </c>
      <c r="PHG18" s="314" t="s">
        <v>203</v>
      </c>
      <c r="PHH18" s="314" t="s">
        <v>203</v>
      </c>
      <c r="PHI18" s="314" t="s">
        <v>203</v>
      </c>
      <c r="PHJ18" s="314" t="s">
        <v>203</v>
      </c>
      <c r="PHK18" s="314" t="s">
        <v>203</v>
      </c>
      <c r="PHL18" s="314" t="s">
        <v>203</v>
      </c>
      <c r="PHM18" s="314" t="s">
        <v>203</v>
      </c>
      <c r="PHN18" s="314" t="s">
        <v>203</v>
      </c>
      <c r="PHO18" s="314" t="s">
        <v>203</v>
      </c>
      <c r="PHP18" s="314" t="s">
        <v>203</v>
      </c>
      <c r="PHQ18" s="314" t="s">
        <v>203</v>
      </c>
      <c r="PHR18" s="314" t="s">
        <v>203</v>
      </c>
      <c r="PHS18" s="314" t="s">
        <v>203</v>
      </c>
      <c r="PHT18" s="314" t="s">
        <v>203</v>
      </c>
      <c r="PHU18" s="314" t="s">
        <v>203</v>
      </c>
      <c r="PHV18" s="314" t="s">
        <v>203</v>
      </c>
      <c r="PHW18" s="314" t="s">
        <v>203</v>
      </c>
      <c r="PHX18" s="314" t="s">
        <v>203</v>
      </c>
      <c r="PHY18" s="314" t="s">
        <v>203</v>
      </c>
      <c r="PHZ18" s="314" t="s">
        <v>203</v>
      </c>
      <c r="PIA18" s="314" t="s">
        <v>203</v>
      </c>
      <c r="PIB18" s="314" t="s">
        <v>203</v>
      </c>
      <c r="PIC18" s="314" t="s">
        <v>203</v>
      </c>
      <c r="PID18" s="314" t="s">
        <v>203</v>
      </c>
      <c r="PIE18" s="314" t="s">
        <v>203</v>
      </c>
      <c r="PIF18" s="314" t="s">
        <v>203</v>
      </c>
      <c r="PIG18" s="314" t="s">
        <v>203</v>
      </c>
      <c r="PIH18" s="314" t="s">
        <v>203</v>
      </c>
      <c r="PII18" s="314" t="s">
        <v>203</v>
      </c>
      <c r="PIJ18" s="314" t="s">
        <v>203</v>
      </c>
      <c r="PIK18" s="314" t="s">
        <v>203</v>
      </c>
      <c r="PIL18" s="314" t="s">
        <v>203</v>
      </c>
      <c r="PIM18" s="314" t="s">
        <v>203</v>
      </c>
      <c r="PIN18" s="314" t="s">
        <v>203</v>
      </c>
      <c r="PIO18" s="314" t="s">
        <v>203</v>
      </c>
      <c r="PIP18" s="314" t="s">
        <v>203</v>
      </c>
      <c r="PIQ18" s="314" t="s">
        <v>203</v>
      </c>
      <c r="PIR18" s="314" t="s">
        <v>203</v>
      </c>
      <c r="PIS18" s="314" t="s">
        <v>203</v>
      </c>
      <c r="PIT18" s="314" t="s">
        <v>203</v>
      </c>
      <c r="PIU18" s="314" t="s">
        <v>203</v>
      </c>
      <c r="PIV18" s="314" t="s">
        <v>203</v>
      </c>
      <c r="PIW18" s="314" t="s">
        <v>203</v>
      </c>
      <c r="PIX18" s="314" t="s">
        <v>203</v>
      </c>
      <c r="PIY18" s="314" t="s">
        <v>203</v>
      </c>
      <c r="PIZ18" s="314" t="s">
        <v>203</v>
      </c>
      <c r="PJA18" s="314" t="s">
        <v>203</v>
      </c>
      <c r="PJB18" s="314" t="s">
        <v>203</v>
      </c>
      <c r="PJC18" s="314" t="s">
        <v>203</v>
      </c>
      <c r="PJD18" s="314" t="s">
        <v>203</v>
      </c>
      <c r="PJE18" s="314" t="s">
        <v>203</v>
      </c>
      <c r="PJF18" s="314" t="s">
        <v>203</v>
      </c>
      <c r="PJG18" s="314" t="s">
        <v>203</v>
      </c>
      <c r="PJH18" s="314" t="s">
        <v>203</v>
      </c>
      <c r="PJI18" s="314" t="s">
        <v>203</v>
      </c>
      <c r="PJJ18" s="314" t="s">
        <v>203</v>
      </c>
      <c r="PJK18" s="314" t="s">
        <v>203</v>
      </c>
      <c r="PJL18" s="314" t="s">
        <v>203</v>
      </c>
      <c r="PJM18" s="314" t="s">
        <v>203</v>
      </c>
      <c r="PJN18" s="314" t="s">
        <v>203</v>
      </c>
      <c r="PJO18" s="314" t="s">
        <v>203</v>
      </c>
      <c r="PJP18" s="314" t="s">
        <v>203</v>
      </c>
      <c r="PJQ18" s="314" t="s">
        <v>203</v>
      </c>
      <c r="PJR18" s="314" t="s">
        <v>203</v>
      </c>
      <c r="PJS18" s="314" t="s">
        <v>203</v>
      </c>
      <c r="PJT18" s="314" t="s">
        <v>203</v>
      </c>
      <c r="PJU18" s="314" t="s">
        <v>203</v>
      </c>
      <c r="PJV18" s="314" t="s">
        <v>203</v>
      </c>
      <c r="PJW18" s="314" t="s">
        <v>203</v>
      </c>
      <c r="PJX18" s="314" t="s">
        <v>203</v>
      </c>
      <c r="PJY18" s="314" t="s">
        <v>203</v>
      </c>
      <c r="PJZ18" s="314" t="s">
        <v>203</v>
      </c>
      <c r="PKA18" s="314" t="s">
        <v>203</v>
      </c>
      <c r="PKB18" s="314" t="s">
        <v>203</v>
      </c>
      <c r="PKC18" s="314" t="s">
        <v>203</v>
      </c>
      <c r="PKD18" s="314" t="s">
        <v>203</v>
      </c>
      <c r="PKE18" s="314" t="s">
        <v>203</v>
      </c>
      <c r="PKF18" s="314" t="s">
        <v>203</v>
      </c>
      <c r="PKG18" s="314" t="s">
        <v>203</v>
      </c>
      <c r="PKH18" s="314" t="s">
        <v>203</v>
      </c>
      <c r="PKI18" s="314" t="s">
        <v>203</v>
      </c>
      <c r="PKJ18" s="314" t="s">
        <v>203</v>
      </c>
      <c r="PKK18" s="314" t="s">
        <v>203</v>
      </c>
      <c r="PKL18" s="314" t="s">
        <v>203</v>
      </c>
      <c r="PKM18" s="314" t="s">
        <v>203</v>
      </c>
      <c r="PKN18" s="314" t="s">
        <v>203</v>
      </c>
      <c r="PKO18" s="314" t="s">
        <v>203</v>
      </c>
      <c r="PKP18" s="314" t="s">
        <v>203</v>
      </c>
      <c r="PKQ18" s="314" t="s">
        <v>203</v>
      </c>
      <c r="PKR18" s="314" t="s">
        <v>203</v>
      </c>
      <c r="PKS18" s="314" t="s">
        <v>203</v>
      </c>
      <c r="PKT18" s="314" t="s">
        <v>203</v>
      </c>
      <c r="PKU18" s="314" t="s">
        <v>203</v>
      </c>
      <c r="PKV18" s="314" t="s">
        <v>203</v>
      </c>
      <c r="PKW18" s="314" t="s">
        <v>203</v>
      </c>
      <c r="PKX18" s="314" t="s">
        <v>203</v>
      </c>
      <c r="PKY18" s="314" t="s">
        <v>203</v>
      </c>
      <c r="PKZ18" s="314" t="s">
        <v>203</v>
      </c>
      <c r="PLA18" s="314" t="s">
        <v>203</v>
      </c>
      <c r="PLB18" s="314" t="s">
        <v>203</v>
      </c>
      <c r="PLC18" s="314" t="s">
        <v>203</v>
      </c>
      <c r="PLD18" s="314" t="s">
        <v>203</v>
      </c>
      <c r="PLE18" s="314" t="s">
        <v>203</v>
      </c>
      <c r="PLF18" s="314" t="s">
        <v>203</v>
      </c>
      <c r="PLG18" s="314" t="s">
        <v>203</v>
      </c>
      <c r="PLH18" s="314" t="s">
        <v>203</v>
      </c>
      <c r="PLI18" s="314" t="s">
        <v>203</v>
      </c>
      <c r="PLJ18" s="314" t="s">
        <v>203</v>
      </c>
      <c r="PLK18" s="314" t="s">
        <v>203</v>
      </c>
      <c r="PLL18" s="314" t="s">
        <v>203</v>
      </c>
      <c r="PLM18" s="314" t="s">
        <v>203</v>
      </c>
      <c r="PLN18" s="314" t="s">
        <v>203</v>
      </c>
      <c r="PLO18" s="314" t="s">
        <v>203</v>
      </c>
      <c r="PLP18" s="314" t="s">
        <v>203</v>
      </c>
      <c r="PLQ18" s="314" t="s">
        <v>203</v>
      </c>
      <c r="PLR18" s="314" t="s">
        <v>203</v>
      </c>
      <c r="PLS18" s="314" t="s">
        <v>203</v>
      </c>
      <c r="PLT18" s="314" t="s">
        <v>203</v>
      </c>
      <c r="PLU18" s="314" t="s">
        <v>203</v>
      </c>
      <c r="PLV18" s="314" t="s">
        <v>203</v>
      </c>
      <c r="PLW18" s="314" t="s">
        <v>203</v>
      </c>
      <c r="PLX18" s="314" t="s">
        <v>203</v>
      </c>
      <c r="PLY18" s="314" t="s">
        <v>203</v>
      </c>
      <c r="PLZ18" s="314" t="s">
        <v>203</v>
      </c>
      <c r="PMA18" s="314" t="s">
        <v>203</v>
      </c>
      <c r="PMB18" s="314" t="s">
        <v>203</v>
      </c>
      <c r="PMC18" s="314" t="s">
        <v>203</v>
      </c>
      <c r="PMD18" s="314" t="s">
        <v>203</v>
      </c>
      <c r="PME18" s="314" t="s">
        <v>203</v>
      </c>
      <c r="PMF18" s="314" t="s">
        <v>203</v>
      </c>
      <c r="PMG18" s="314" t="s">
        <v>203</v>
      </c>
      <c r="PMH18" s="314" t="s">
        <v>203</v>
      </c>
      <c r="PMI18" s="314" t="s">
        <v>203</v>
      </c>
      <c r="PMJ18" s="314" t="s">
        <v>203</v>
      </c>
      <c r="PMK18" s="314" t="s">
        <v>203</v>
      </c>
      <c r="PML18" s="314" t="s">
        <v>203</v>
      </c>
      <c r="PMM18" s="314" t="s">
        <v>203</v>
      </c>
      <c r="PMN18" s="314" t="s">
        <v>203</v>
      </c>
      <c r="PMO18" s="314" t="s">
        <v>203</v>
      </c>
      <c r="PMP18" s="314" t="s">
        <v>203</v>
      </c>
      <c r="PMQ18" s="314" t="s">
        <v>203</v>
      </c>
      <c r="PMR18" s="314" t="s">
        <v>203</v>
      </c>
      <c r="PMS18" s="314" t="s">
        <v>203</v>
      </c>
      <c r="PMT18" s="314" t="s">
        <v>203</v>
      </c>
      <c r="PMU18" s="314" t="s">
        <v>203</v>
      </c>
      <c r="PMV18" s="314" t="s">
        <v>203</v>
      </c>
      <c r="PMW18" s="314" t="s">
        <v>203</v>
      </c>
      <c r="PMX18" s="314" t="s">
        <v>203</v>
      </c>
      <c r="PMY18" s="314" t="s">
        <v>203</v>
      </c>
      <c r="PMZ18" s="314" t="s">
        <v>203</v>
      </c>
      <c r="PNA18" s="314" t="s">
        <v>203</v>
      </c>
      <c r="PNB18" s="314" t="s">
        <v>203</v>
      </c>
      <c r="PNC18" s="314" t="s">
        <v>203</v>
      </c>
      <c r="PND18" s="314" t="s">
        <v>203</v>
      </c>
      <c r="PNE18" s="314" t="s">
        <v>203</v>
      </c>
      <c r="PNF18" s="314" t="s">
        <v>203</v>
      </c>
      <c r="PNG18" s="314" t="s">
        <v>203</v>
      </c>
      <c r="PNH18" s="314" t="s">
        <v>203</v>
      </c>
      <c r="PNI18" s="314" t="s">
        <v>203</v>
      </c>
      <c r="PNJ18" s="314" t="s">
        <v>203</v>
      </c>
      <c r="PNK18" s="314" t="s">
        <v>203</v>
      </c>
      <c r="PNL18" s="314" t="s">
        <v>203</v>
      </c>
      <c r="PNM18" s="314" t="s">
        <v>203</v>
      </c>
      <c r="PNN18" s="314" t="s">
        <v>203</v>
      </c>
      <c r="PNO18" s="314" t="s">
        <v>203</v>
      </c>
      <c r="PNP18" s="314" t="s">
        <v>203</v>
      </c>
      <c r="PNQ18" s="314" t="s">
        <v>203</v>
      </c>
      <c r="PNR18" s="314" t="s">
        <v>203</v>
      </c>
      <c r="PNS18" s="314" t="s">
        <v>203</v>
      </c>
      <c r="PNT18" s="314" t="s">
        <v>203</v>
      </c>
      <c r="PNU18" s="314" t="s">
        <v>203</v>
      </c>
      <c r="PNV18" s="314" t="s">
        <v>203</v>
      </c>
      <c r="PNW18" s="314" t="s">
        <v>203</v>
      </c>
      <c r="PNX18" s="314" t="s">
        <v>203</v>
      </c>
      <c r="PNY18" s="314" t="s">
        <v>203</v>
      </c>
      <c r="PNZ18" s="314" t="s">
        <v>203</v>
      </c>
      <c r="POA18" s="314" t="s">
        <v>203</v>
      </c>
      <c r="POB18" s="314" t="s">
        <v>203</v>
      </c>
      <c r="POC18" s="314" t="s">
        <v>203</v>
      </c>
      <c r="POD18" s="314" t="s">
        <v>203</v>
      </c>
      <c r="POE18" s="314" t="s">
        <v>203</v>
      </c>
      <c r="POF18" s="314" t="s">
        <v>203</v>
      </c>
      <c r="POG18" s="314" t="s">
        <v>203</v>
      </c>
      <c r="POH18" s="314" t="s">
        <v>203</v>
      </c>
      <c r="POI18" s="314" t="s">
        <v>203</v>
      </c>
      <c r="POJ18" s="314" t="s">
        <v>203</v>
      </c>
      <c r="POK18" s="314" t="s">
        <v>203</v>
      </c>
      <c r="POL18" s="314" t="s">
        <v>203</v>
      </c>
      <c r="POM18" s="314" t="s">
        <v>203</v>
      </c>
      <c r="PON18" s="314" t="s">
        <v>203</v>
      </c>
      <c r="POO18" s="314" t="s">
        <v>203</v>
      </c>
      <c r="POP18" s="314" t="s">
        <v>203</v>
      </c>
      <c r="POQ18" s="314" t="s">
        <v>203</v>
      </c>
      <c r="POR18" s="314" t="s">
        <v>203</v>
      </c>
      <c r="POS18" s="314" t="s">
        <v>203</v>
      </c>
      <c r="POT18" s="314" t="s">
        <v>203</v>
      </c>
      <c r="POU18" s="314" t="s">
        <v>203</v>
      </c>
      <c r="POV18" s="314" t="s">
        <v>203</v>
      </c>
      <c r="POW18" s="314" t="s">
        <v>203</v>
      </c>
      <c r="POX18" s="314" t="s">
        <v>203</v>
      </c>
      <c r="POY18" s="314" t="s">
        <v>203</v>
      </c>
      <c r="POZ18" s="314" t="s">
        <v>203</v>
      </c>
      <c r="PPA18" s="314" t="s">
        <v>203</v>
      </c>
      <c r="PPB18" s="314" t="s">
        <v>203</v>
      </c>
      <c r="PPC18" s="314" t="s">
        <v>203</v>
      </c>
      <c r="PPD18" s="314" t="s">
        <v>203</v>
      </c>
      <c r="PPE18" s="314" t="s">
        <v>203</v>
      </c>
      <c r="PPF18" s="314" t="s">
        <v>203</v>
      </c>
      <c r="PPG18" s="314" t="s">
        <v>203</v>
      </c>
      <c r="PPH18" s="314" t="s">
        <v>203</v>
      </c>
      <c r="PPI18" s="314" t="s">
        <v>203</v>
      </c>
      <c r="PPJ18" s="314" t="s">
        <v>203</v>
      </c>
      <c r="PPK18" s="314" t="s">
        <v>203</v>
      </c>
      <c r="PPL18" s="314" t="s">
        <v>203</v>
      </c>
      <c r="PPM18" s="314" t="s">
        <v>203</v>
      </c>
      <c r="PPN18" s="314" t="s">
        <v>203</v>
      </c>
      <c r="PPO18" s="314" t="s">
        <v>203</v>
      </c>
      <c r="PPP18" s="314" t="s">
        <v>203</v>
      </c>
      <c r="PPQ18" s="314" t="s">
        <v>203</v>
      </c>
      <c r="PPR18" s="314" t="s">
        <v>203</v>
      </c>
      <c r="PPS18" s="314" t="s">
        <v>203</v>
      </c>
      <c r="PPT18" s="314" t="s">
        <v>203</v>
      </c>
      <c r="PPU18" s="314" t="s">
        <v>203</v>
      </c>
      <c r="PPV18" s="314" t="s">
        <v>203</v>
      </c>
      <c r="PPW18" s="314" t="s">
        <v>203</v>
      </c>
      <c r="PPX18" s="314" t="s">
        <v>203</v>
      </c>
      <c r="PPY18" s="314" t="s">
        <v>203</v>
      </c>
      <c r="PPZ18" s="314" t="s">
        <v>203</v>
      </c>
      <c r="PQA18" s="314" t="s">
        <v>203</v>
      </c>
      <c r="PQB18" s="314" t="s">
        <v>203</v>
      </c>
      <c r="PQC18" s="314" t="s">
        <v>203</v>
      </c>
      <c r="PQD18" s="314" t="s">
        <v>203</v>
      </c>
      <c r="PQE18" s="314" t="s">
        <v>203</v>
      </c>
      <c r="PQF18" s="314" t="s">
        <v>203</v>
      </c>
      <c r="PQG18" s="314" t="s">
        <v>203</v>
      </c>
      <c r="PQH18" s="314" t="s">
        <v>203</v>
      </c>
      <c r="PQI18" s="314" t="s">
        <v>203</v>
      </c>
      <c r="PQJ18" s="314" t="s">
        <v>203</v>
      </c>
      <c r="PQK18" s="314" t="s">
        <v>203</v>
      </c>
      <c r="PQL18" s="314" t="s">
        <v>203</v>
      </c>
      <c r="PQM18" s="314" t="s">
        <v>203</v>
      </c>
      <c r="PQN18" s="314" t="s">
        <v>203</v>
      </c>
      <c r="PQO18" s="314" t="s">
        <v>203</v>
      </c>
      <c r="PQP18" s="314" t="s">
        <v>203</v>
      </c>
      <c r="PQQ18" s="314" t="s">
        <v>203</v>
      </c>
      <c r="PQR18" s="314" t="s">
        <v>203</v>
      </c>
      <c r="PQS18" s="314" t="s">
        <v>203</v>
      </c>
      <c r="PQT18" s="314" t="s">
        <v>203</v>
      </c>
      <c r="PQU18" s="314" t="s">
        <v>203</v>
      </c>
      <c r="PQV18" s="314" t="s">
        <v>203</v>
      </c>
      <c r="PQW18" s="314" t="s">
        <v>203</v>
      </c>
      <c r="PQX18" s="314" t="s">
        <v>203</v>
      </c>
      <c r="PQY18" s="314" t="s">
        <v>203</v>
      </c>
      <c r="PQZ18" s="314" t="s">
        <v>203</v>
      </c>
      <c r="PRA18" s="314" t="s">
        <v>203</v>
      </c>
      <c r="PRB18" s="314" t="s">
        <v>203</v>
      </c>
      <c r="PRC18" s="314" t="s">
        <v>203</v>
      </c>
      <c r="PRD18" s="314" t="s">
        <v>203</v>
      </c>
      <c r="PRE18" s="314" t="s">
        <v>203</v>
      </c>
      <c r="PRF18" s="314" t="s">
        <v>203</v>
      </c>
      <c r="PRG18" s="314" t="s">
        <v>203</v>
      </c>
      <c r="PRH18" s="314" t="s">
        <v>203</v>
      </c>
      <c r="PRI18" s="314" t="s">
        <v>203</v>
      </c>
      <c r="PRJ18" s="314" t="s">
        <v>203</v>
      </c>
      <c r="PRK18" s="314" t="s">
        <v>203</v>
      </c>
      <c r="PRL18" s="314" t="s">
        <v>203</v>
      </c>
      <c r="PRM18" s="314" t="s">
        <v>203</v>
      </c>
      <c r="PRN18" s="314" t="s">
        <v>203</v>
      </c>
      <c r="PRO18" s="314" t="s">
        <v>203</v>
      </c>
      <c r="PRP18" s="314" t="s">
        <v>203</v>
      </c>
      <c r="PRQ18" s="314" t="s">
        <v>203</v>
      </c>
      <c r="PRR18" s="314" t="s">
        <v>203</v>
      </c>
      <c r="PRS18" s="314" t="s">
        <v>203</v>
      </c>
      <c r="PRT18" s="314" t="s">
        <v>203</v>
      </c>
      <c r="PRU18" s="314" t="s">
        <v>203</v>
      </c>
      <c r="PRV18" s="314" t="s">
        <v>203</v>
      </c>
      <c r="PRW18" s="314" t="s">
        <v>203</v>
      </c>
      <c r="PRX18" s="314" t="s">
        <v>203</v>
      </c>
      <c r="PRY18" s="314" t="s">
        <v>203</v>
      </c>
      <c r="PRZ18" s="314" t="s">
        <v>203</v>
      </c>
      <c r="PSA18" s="314" t="s">
        <v>203</v>
      </c>
      <c r="PSB18" s="314" t="s">
        <v>203</v>
      </c>
      <c r="PSC18" s="314" t="s">
        <v>203</v>
      </c>
      <c r="PSD18" s="314" t="s">
        <v>203</v>
      </c>
      <c r="PSE18" s="314" t="s">
        <v>203</v>
      </c>
      <c r="PSF18" s="314" t="s">
        <v>203</v>
      </c>
      <c r="PSG18" s="314" t="s">
        <v>203</v>
      </c>
      <c r="PSH18" s="314" t="s">
        <v>203</v>
      </c>
      <c r="PSI18" s="314" t="s">
        <v>203</v>
      </c>
      <c r="PSJ18" s="314" t="s">
        <v>203</v>
      </c>
      <c r="PSK18" s="314" t="s">
        <v>203</v>
      </c>
      <c r="PSL18" s="314" t="s">
        <v>203</v>
      </c>
      <c r="PSM18" s="314" t="s">
        <v>203</v>
      </c>
      <c r="PSN18" s="314" t="s">
        <v>203</v>
      </c>
      <c r="PSO18" s="314" t="s">
        <v>203</v>
      </c>
      <c r="PSP18" s="314" t="s">
        <v>203</v>
      </c>
      <c r="PSQ18" s="314" t="s">
        <v>203</v>
      </c>
      <c r="PSR18" s="314" t="s">
        <v>203</v>
      </c>
      <c r="PSS18" s="314" t="s">
        <v>203</v>
      </c>
      <c r="PST18" s="314" t="s">
        <v>203</v>
      </c>
      <c r="PSU18" s="314" t="s">
        <v>203</v>
      </c>
      <c r="PSV18" s="314" t="s">
        <v>203</v>
      </c>
      <c r="PSW18" s="314" t="s">
        <v>203</v>
      </c>
      <c r="PSX18" s="314" t="s">
        <v>203</v>
      </c>
      <c r="PSY18" s="314" t="s">
        <v>203</v>
      </c>
      <c r="PSZ18" s="314" t="s">
        <v>203</v>
      </c>
      <c r="PTA18" s="314" t="s">
        <v>203</v>
      </c>
      <c r="PTB18" s="314" t="s">
        <v>203</v>
      </c>
      <c r="PTC18" s="314" t="s">
        <v>203</v>
      </c>
      <c r="PTD18" s="314" t="s">
        <v>203</v>
      </c>
      <c r="PTE18" s="314" t="s">
        <v>203</v>
      </c>
      <c r="PTF18" s="314" t="s">
        <v>203</v>
      </c>
      <c r="PTG18" s="314" t="s">
        <v>203</v>
      </c>
      <c r="PTH18" s="314" t="s">
        <v>203</v>
      </c>
      <c r="PTI18" s="314" t="s">
        <v>203</v>
      </c>
      <c r="PTJ18" s="314" t="s">
        <v>203</v>
      </c>
      <c r="PTK18" s="314" t="s">
        <v>203</v>
      </c>
      <c r="PTL18" s="314" t="s">
        <v>203</v>
      </c>
      <c r="PTM18" s="314" t="s">
        <v>203</v>
      </c>
      <c r="PTN18" s="314" t="s">
        <v>203</v>
      </c>
      <c r="PTO18" s="314" t="s">
        <v>203</v>
      </c>
      <c r="PTP18" s="314" t="s">
        <v>203</v>
      </c>
      <c r="PTQ18" s="314" t="s">
        <v>203</v>
      </c>
      <c r="PTR18" s="314" t="s">
        <v>203</v>
      </c>
      <c r="PTS18" s="314" t="s">
        <v>203</v>
      </c>
      <c r="PTT18" s="314" t="s">
        <v>203</v>
      </c>
      <c r="PTU18" s="314" t="s">
        <v>203</v>
      </c>
      <c r="PTV18" s="314" t="s">
        <v>203</v>
      </c>
      <c r="PTW18" s="314" t="s">
        <v>203</v>
      </c>
      <c r="PTX18" s="314" t="s">
        <v>203</v>
      </c>
      <c r="PTY18" s="314" t="s">
        <v>203</v>
      </c>
      <c r="PTZ18" s="314" t="s">
        <v>203</v>
      </c>
      <c r="PUA18" s="314" t="s">
        <v>203</v>
      </c>
      <c r="PUB18" s="314" t="s">
        <v>203</v>
      </c>
      <c r="PUC18" s="314" t="s">
        <v>203</v>
      </c>
      <c r="PUD18" s="314" t="s">
        <v>203</v>
      </c>
      <c r="PUE18" s="314" t="s">
        <v>203</v>
      </c>
      <c r="PUF18" s="314" t="s">
        <v>203</v>
      </c>
      <c r="PUG18" s="314" t="s">
        <v>203</v>
      </c>
      <c r="PUH18" s="314" t="s">
        <v>203</v>
      </c>
      <c r="PUI18" s="314" t="s">
        <v>203</v>
      </c>
      <c r="PUJ18" s="314" t="s">
        <v>203</v>
      </c>
      <c r="PUK18" s="314" t="s">
        <v>203</v>
      </c>
      <c r="PUL18" s="314" t="s">
        <v>203</v>
      </c>
      <c r="PUM18" s="314" t="s">
        <v>203</v>
      </c>
      <c r="PUN18" s="314" t="s">
        <v>203</v>
      </c>
      <c r="PUO18" s="314" t="s">
        <v>203</v>
      </c>
      <c r="PUP18" s="314" t="s">
        <v>203</v>
      </c>
      <c r="PUQ18" s="314" t="s">
        <v>203</v>
      </c>
      <c r="PUR18" s="314" t="s">
        <v>203</v>
      </c>
      <c r="PUS18" s="314" t="s">
        <v>203</v>
      </c>
      <c r="PUT18" s="314" t="s">
        <v>203</v>
      </c>
      <c r="PUU18" s="314" t="s">
        <v>203</v>
      </c>
      <c r="PUV18" s="314" t="s">
        <v>203</v>
      </c>
      <c r="PUW18" s="314" t="s">
        <v>203</v>
      </c>
      <c r="PUX18" s="314" t="s">
        <v>203</v>
      </c>
      <c r="PUY18" s="314" t="s">
        <v>203</v>
      </c>
      <c r="PUZ18" s="314" t="s">
        <v>203</v>
      </c>
      <c r="PVA18" s="314" t="s">
        <v>203</v>
      </c>
      <c r="PVB18" s="314" t="s">
        <v>203</v>
      </c>
      <c r="PVC18" s="314" t="s">
        <v>203</v>
      </c>
      <c r="PVD18" s="314" t="s">
        <v>203</v>
      </c>
      <c r="PVE18" s="314" t="s">
        <v>203</v>
      </c>
      <c r="PVF18" s="314" t="s">
        <v>203</v>
      </c>
      <c r="PVG18" s="314" t="s">
        <v>203</v>
      </c>
      <c r="PVH18" s="314" t="s">
        <v>203</v>
      </c>
      <c r="PVI18" s="314" t="s">
        <v>203</v>
      </c>
      <c r="PVJ18" s="314" t="s">
        <v>203</v>
      </c>
      <c r="PVK18" s="314" t="s">
        <v>203</v>
      </c>
      <c r="PVL18" s="314" t="s">
        <v>203</v>
      </c>
      <c r="PVM18" s="314" t="s">
        <v>203</v>
      </c>
      <c r="PVN18" s="314" t="s">
        <v>203</v>
      </c>
      <c r="PVO18" s="314" t="s">
        <v>203</v>
      </c>
      <c r="PVP18" s="314" t="s">
        <v>203</v>
      </c>
      <c r="PVQ18" s="314" t="s">
        <v>203</v>
      </c>
      <c r="PVR18" s="314" t="s">
        <v>203</v>
      </c>
      <c r="PVS18" s="314" t="s">
        <v>203</v>
      </c>
      <c r="PVT18" s="314" t="s">
        <v>203</v>
      </c>
      <c r="PVU18" s="314" t="s">
        <v>203</v>
      </c>
      <c r="PVV18" s="314" t="s">
        <v>203</v>
      </c>
      <c r="PVW18" s="314" t="s">
        <v>203</v>
      </c>
      <c r="PVX18" s="314" t="s">
        <v>203</v>
      </c>
      <c r="PVY18" s="314" t="s">
        <v>203</v>
      </c>
      <c r="PVZ18" s="314" t="s">
        <v>203</v>
      </c>
      <c r="PWA18" s="314" t="s">
        <v>203</v>
      </c>
      <c r="PWB18" s="314" t="s">
        <v>203</v>
      </c>
      <c r="PWC18" s="314" t="s">
        <v>203</v>
      </c>
      <c r="PWD18" s="314" t="s">
        <v>203</v>
      </c>
      <c r="PWE18" s="314" t="s">
        <v>203</v>
      </c>
      <c r="PWF18" s="314" t="s">
        <v>203</v>
      </c>
      <c r="PWG18" s="314" t="s">
        <v>203</v>
      </c>
      <c r="PWH18" s="314" t="s">
        <v>203</v>
      </c>
      <c r="PWI18" s="314" t="s">
        <v>203</v>
      </c>
      <c r="PWJ18" s="314" t="s">
        <v>203</v>
      </c>
      <c r="PWK18" s="314" t="s">
        <v>203</v>
      </c>
      <c r="PWL18" s="314" t="s">
        <v>203</v>
      </c>
      <c r="PWM18" s="314" t="s">
        <v>203</v>
      </c>
      <c r="PWN18" s="314" t="s">
        <v>203</v>
      </c>
      <c r="PWO18" s="314" t="s">
        <v>203</v>
      </c>
      <c r="PWP18" s="314" t="s">
        <v>203</v>
      </c>
      <c r="PWQ18" s="314" t="s">
        <v>203</v>
      </c>
      <c r="PWR18" s="314" t="s">
        <v>203</v>
      </c>
      <c r="PWS18" s="314" t="s">
        <v>203</v>
      </c>
      <c r="PWT18" s="314" t="s">
        <v>203</v>
      </c>
      <c r="PWU18" s="314" t="s">
        <v>203</v>
      </c>
      <c r="PWV18" s="314" t="s">
        <v>203</v>
      </c>
      <c r="PWW18" s="314" t="s">
        <v>203</v>
      </c>
      <c r="PWX18" s="314" t="s">
        <v>203</v>
      </c>
      <c r="PWY18" s="314" t="s">
        <v>203</v>
      </c>
      <c r="PWZ18" s="314" t="s">
        <v>203</v>
      </c>
      <c r="PXA18" s="314" t="s">
        <v>203</v>
      </c>
      <c r="PXB18" s="314" t="s">
        <v>203</v>
      </c>
      <c r="PXC18" s="314" t="s">
        <v>203</v>
      </c>
      <c r="PXD18" s="314" t="s">
        <v>203</v>
      </c>
      <c r="PXE18" s="314" t="s">
        <v>203</v>
      </c>
      <c r="PXF18" s="314" t="s">
        <v>203</v>
      </c>
      <c r="PXG18" s="314" t="s">
        <v>203</v>
      </c>
      <c r="PXH18" s="314" t="s">
        <v>203</v>
      </c>
      <c r="PXI18" s="314" t="s">
        <v>203</v>
      </c>
      <c r="PXJ18" s="314" t="s">
        <v>203</v>
      </c>
      <c r="PXK18" s="314" t="s">
        <v>203</v>
      </c>
      <c r="PXL18" s="314" t="s">
        <v>203</v>
      </c>
      <c r="PXM18" s="314" t="s">
        <v>203</v>
      </c>
      <c r="PXN18" s="314" t="s">
        <v>203</v>
      </c>
      <c r="PXO18" s="314" t="s">
        <v>203</v>
      </c>
      <c r="PXP18" s="314" t="s">
        <v>203</v>
      </c>
      <c r="PXQ18" s="314" t="s">
        <v>203</v>
      </c>
      <c r="PXR18" s="314" t="s">
        <v>203</v>
      </c>
      <c r="PXS18" s="314" t="s">
        <v>203</v>
      </c>
      <c r="PXT18" s="314" t="s">
        <v>203</v>
      </c>
      <c r="PXU18" s="314" t="s">
        <v>203</v>
      </c>
      <c r="PXV18" s="314" t="s">
        <v>203</v>
      </c>
      <c r="PXW18" s="314" t="s">
        <v>203</v>
      </c>
      <c r="PXX18" s="314" t="s">
        <v>203</v>
      </c>
      <c r="PXY18" s="314" t="s">
        <v>203</v>
      </c>
      <c r="PXZ18" s="314" t="s">
        <v>203</v>
      </c>
      <c r="PYA18" s="314" t="s">
        <v>203</v>
      </c>
      <c r="PYB18" s="314" t="s">
        <v>203</v>
      </c>
      <c r="PYC18" s="314" t="s">
        <v>203</v>
      </c>
      <c r="PYD18" s="314" t="s">
        <v>203</v>
      </c>
      <c r="PYE18" s="314" t="s">
        <v>203</v>
      </c>
      <c r="PYF18" s="314" t="s">
        <v>203</v>
      </c>
      <c r="PYG18" s="314" t="s">
        <v>203</v>
      </c>
      <c r="PYH18" s="314" t="s">
        <v>203</v>
      </c>
      <c r="PYI18" s="314" t="s">
        <v>203</v>
      </c>
      <c r="PYJ18" s="314" t="s">
        <v>203</v>
      </c>
      <c r="PYK18" s="314" t="s">
        <v>203</v>
      </c>
      <c r="PYL18" s="314" t="s">
        <v>203</v>
      </c>
      <c r="PYM18" s="314" t="s">
        <v>203</v>
      </c>
      <c r="PYN18" s="314" t="s">
        <v>203</v>
      </c>
      <c r="PYO18" s="314" t="s">
        <v>203</v>
      </c>
      <c r="PYP18" s="314" t="s">
        <v>203</v>
      </c>
      <c r="PYQ18" s="314" t="s">
        <v>203</v>
      </c>
      <c r="PYR18" s="314" t="s">
        <v>203</v>
      </c>
      <c r="PYS18" s="314" t="s">
        <v>203</v>
      </c>
      <c r="PYT18" s="314" t="s">
        <v>203</v>
      </c>
      <c r="PYU18" s="314" t="s">
        <v>203</v>
      </c>
      <c r="PYV18" s="314" t="s">
        <v>203</v>
      </c>
      <c r="PYW18" s="314" t="s">
        <v>203</v>
      </c>
      <c r="PYX18" s="314" t="s">
        <v>203</v>
      </c>
      <c r="PYY18" s="314" t="s">
        <v>203</v>
      </c>
      <c r="PYZ18" s="314" t="s">
        <v>203</v>
      </c>
      <c r="PZA18" s="314" t="s">
        <v>203</v>
      </c>
      <c r="PZB18" s="314" t="s">
        <v>203</v>
      </c>
      <c r="PZC18" s="314" t="s">
        <v>203</v>
      </c>
      <c r="PZD18" s="314" t="s">
        <v>203</v>
      </c>
      <c r="PZE18" s="314" t="s">
        <v>203</v>
      </c>
      <c r="PZF18" s="314" t="s">
        <v>203</v>
      </c>
      <c r="PZG18" s="314" t="s">
        <v>203</v>
      </c>
      <c r="PZH18" s="314" t="s">
        <v>203</v>
      </c>
      <c r="PZI18" s="314" t="s">
        <v>203</v>
      </c>
      <c r="PZJ18" s="314" t="s">
        <v>203</v>
      </c>
      <c r="PZK18" s="314" t="s">
        <v>203</v>
      </c>
      <c r="PZL18" s="314" t="s">
        <v>203</v>
      </c>
      <c r="PZM18" s="314" t="s">
        <v>203</v>
      </c>
      <c r="PZN18" s="314" t="s">
        <v>203</v>
      </c>
      <c r="PZO18" s="314" t="s">
        <v>203</v>
      </c>
      <c r="PZP18" s="314" t="s">
        <v>203</v>
      </c>
      <c r="PZQ18" s="314" t="s">
        <v>203</v>
      </c>
      <c r="PZR18" s="314" t="s">
        <v>203</v>
      </c>
      <c r="PZS18" s="314" t="s">
        <v>203</v>
      </c>
      <c r="PZT18" s="314" t="s">
        <v>203</v>
      </c>
      <c r="PZU18" s="314" t="s">
        <v>203</v>
      </c>
      <c r="PZV18" s="314" t="s">
        <v>203</v>
      </c>
      <c r="PZW18" s="314" t="s">
        <v>203</v>
      </c>
      <c r="PZX18" s="314" t="s">
        <v>203</v>
      </c>
      <c r="PZY18" s="314" t="s">
        <v>203</v>
      </c>
      <c r="PZZ18" s="314" t="s">
        <v>203</v>
      </c>
      <c r="QAA18" s="314" t="s">
        <v>203</v>
      </c>
      <c r="QAB18" s="314" t="s">
        <v>203</v>
      </c>
      <c r="QAC18" s="314" t="s">
        <v>203</v>
      </c>
      <c r="QAD18" s="314" t="s">
        <v>203</v>
      </c>
      <c r="QAE18" s="314" t="s">
        <v>203</v>
      </c>
      <c r="QAF18" s="314" t="s">
        <v>203</v>
      </c>
      <c r="QAG18" s="314" t="s">
        <v>203</v>
      </c>
      <c r="QAH18" s="314" t="s">
        <v>203</v>
      </c>
      <c r="QAI18" s="314" t="s">
        <v>203</v>
      </c>
      <c r="QAJ18" s="314" t="s">
        <v>203</v>
      </c>
      <c r="QAK18" s="314" t="s">
        <v>203</v>
      </c>
      <c r="QAL18" s="314" t="s">
        <v>203</v>
      </c>
      <c r="QAM18" s="314" t="s">
        <v>203</v>
      </c>
      <c r="QAN18" s="314" t="s">
        <v>203</v>
      </c>
      <c r="QAO18" s="314" t="s">
        <v>203</v>
      </c>
      <c r="QAP18" s="314" t="s">
        <v>203</v>
      </c>
      <c r="QAQ18" s="314" t="s">
        <v>203</v>
      </c>
      <c r="QAR18" s="314" t="s">
        <v>203</v>
      </c>
      <c r="QAS18" s="314" t="s">
        <v>203</v>
      </c>
      <c r="QAT18" s="314" t="s">
        <v>203</v>
      </c>
      <c r="QAU18" s="314" t="s">
        <v>203</v>
      </c>
      <c r="QAV18" s="314" t="s">
        <v>203</v>
      </c>
      <c r="QAW18" s="314" t="s">
        <v>203</v>
      </c>
      <c r="QAX18" s="314" t="s">
        <v>203</v>
      </c>
      <c r="QAY18" s="314" t="s">
        <v>203</v>
      </c>
      <c r="QAZ18" s="314" t="s">
        <v>203</v>
      </c>
      <c r="QBA18" s="314" t="s">
        <v>203</v>
      </c>
      <c r="QBB18" s="314" t="s">
        <v>203</v>
      </c>
      <c r="QBC18" s="314" t="s">
        <v>203</v>
      </c>
      <c r="QBD18" s="314" t="s">
        <v>203</v>
      </c>
      <c r="QBE18" s="314" t="s">
        <v>203</v>
      </c>
      <c r="QBF18" s="314" t="s">
        <v>203</v>
      </c>
      <c r="QBG18" s="314" t="s">
        <v>203</v>
      </c>
      <c r="QBH18" s="314" t="s">
        <v>203</v>
      </c>
      <c r="QBI18" s="314" t="s">
        <v>203</v>
      </c>
      <c r="QBJ18" s="314" t="s">
        <v>203</v>
      </c>
      <c r="QBK18" s="314" t="s">
        <v>203</v>
      </c>
      <c r="QBL18" s="314" t="s">
        <v>203</v>
      </c>
      <c r="QBM18" s="314" t="s">
        <v>203</v>
      </c>
      <c r="QBN18" s="314" t="s">
        <v>203</v>
      </c>
      <c r="QBO18" s="314" t="s">
        <v>203</v>
      </c>
      <c r="QBP18" s="314" t="s">
        <v>203</v>
      </c>
      <c r="QBQ18" s="314" t="s">
        <v>203</v>
      </c>
      <c r="QBR18" s="314" t="s">
        <v>203</v>
      </c>
      <c r="QBS18" s="314" t="s">
        <v>203</v>
      </c>
      <c r="QBT18" s="314" t="s">
        <v>203</v>
      </c>
      <c r="QBU18" s="314" t="s">
        <v>203</v>
      </c>
      <c r="QBV18" s="314" t="s">
        <v>203</v>
      </c>
      <c r="QBW18" s="314" t="s">
        <v>203</v>
      </c>
      <c r="QBX18" s="314" t="s">
        <v>203</v>
      </c>
      <c r="QBY18" s="314" t="s">
        <v>203</v>
      </c>
      <c r="QBZ18" s="314" t="s">
        <v>203</v>
      </c>
      <c r="QCA18" s="314" t="s">
        <v>203</v>
      </c>
      <c r="QCB18" s="314" t="s">
        <v>203</v>
      </c>
      <c r="QCC18" s="314" t="s">
        <v>203</v>
      </c>
      <c r="QCD18" s="314" t="s">
        <v>203</v>
      </c>
      <c r="QCE18" s="314" t="s">
        <v>203</v>
      </c>
      <c r="QCF18" s="314" t="s">
        <v>203</v>
      </c>
      <c r="QCG18" s="314" t="s">
        <v>203</v>
      </c>
      <c r="QCH18" s="314" t="s">
        <v>203</v>
      </c>
      <c r="QCI18" s="314" t="s">
        <v>203</v>
      </c>
      <c r="QCJ18" s="314" t="s">
        <v>203</v>
      </c>
      <c r="QCK18" s="314" t="s">
        <v>203</v>
      </c>
      <c r="QCL18" s="314" t="s">
        <v>203</v>
      </c>
      <c r="QCM18" s="314" t="s">
        <v>203</v>
      </c>
      <c r="QCN18" s="314" t="s">
        <v>203</v>
      </c>
      <c r="QCO18" s="314" t="s">
        <v>203</v>
      </c>
      <c r="QCP18" s="314" t="s">
        <v>203</v>
      </c>
      <c r="QCQ18" s="314" t="s">
        <v>203</v>
      </c>
      <c r="QCR18" s="314" t="s">
        <v>203</v>
      </c>
      <c r="QCS18" s="314" t="s">
        <v>203</v>
      </c>
      <c r="QCT18" s="314" t="s">
        <v>203</v>
      </c>
      <c r="QCU18" s="314" t="s">
        <v>203</v>
      </c>
      <c r="QCV18" s="314" t="s">
        <v>203</v>
      </c>
      <c r="QCW18" s="314" t="s">
        <v>203</v>
      </c>
      <c r="QCX18" s="314" t="s">
        <v>203</v>
      </c>
      <c r="QCY18" s="314" t="s">
        <v>203</v>
      </c>
      <c r="QCZ18" s="314" t="s">
        <v>203</v>
      </c>
      <c r="QDA18" s="314" t="s">
        <v>203</v>
      </c>
      <c r="QDB18" s="314" t="s">
        <v>203</v>
      </c>
      <c r="QDC18" s="314" t="s">
        <v>203</v>
      </c>
      <c r="QDD18" s="314" t="s">
        <v>203</v>
      </c>
      <c r="QDE18" s="314" t="s">
        <v>203</v>
      </c>
      <c r="QDF18" s="314" t="s">
        <v>203</v>
      </c>
      <c r="QDG18" s="314" t="s">
        <v>203</v>
      </c>
      <c r="QDH18" s="314" t="s">
        <v>203</v>
      </c>
      <c r="QDI18" s="314" t="s">
        <v>203</v>
      </c>
      <c r="QDJ18" s="314" t="s">
        <v>203</v>
      </c>
      <c r="QDK18" s="314" t="s">
        <v>203</v>
      </c>
      <c r="QDL18" s="314" t="s">
        <v>203</v>
      </c>
      <c r="QDM18" s="314" t="s">
        <v>203</v>
      </c>
      <c r="QDN18" s="314" t="s">
        <v>203</v>
      </c>
      <c r="QDO18" s="314" t="s">
        <v>203</v>
      </c>
      <c r="QDP18" s="314" t="s">
        <v>203</v>
      </c>
      <c r="QDQ18" s="314" t="s">
        <v>203</v>
      </c>
      <c r="QDR18" s="314" t="s">
        <v>203</v>
      </c>
      <c r="QDS18" s="314" t="s">
        <v>203</v>
      </c>
      <c r="QDT18" s="314" t="s">
        <v>203</v>
      </c>
      <c r="QDU18" s="314" t="s">
        <v>203</v>
      </c>
      <c r="QDV18" s="314" t="s">
        <v>203</v>
      </c>
      <c r="QDW18" s="314" t="s">
        <v>203</v>
      </c>
      <c r="QDX18" s="314" t="s">
        <v>203</v>
      </c>
      <c r="QDY18" s="314" t="s">
        <v>203</v>
      </c>
      <c r="QDZ18" s="314" t="s">
        <v>203</v>
      </c>
      <c r="QEA18" s="314" t="s">
        <v>203</v>
      </c>
      <c r="QEB18" s="314" t="s">
        <v>203</v>
      </c>
      <c r="QEC18" s="314" t="s">
        <v>203</v>
      </c>
      <c r="QED18" s="314" t="s">
        <v>203</v>
      </c>
      <c r="QEE18" s="314" t="s">
        <v>203</v>
      </c>
      <c r="QEF18" s="314" t="s">
        <v>203</v>
      </c>
      <c r="QEG18" s="314" t="s">
        <v>203</v>
      </c>
      <c r="QEH18" s="314" t="s">
        <v>203</v>
      </c>
      <c r="QEI18" s="314" t="s">
        <v>203</v>
      </c>
      <c r="QEJ18" s="314" t="s">
        <v>203</v>
      </c>
      <c r="QEK18" s="314" t="s">
        <v>203</v>
      </c>
      <c r="QEL18" s="314" t="s">
        <v>203</v>
      </c>
      <c r="QEM18" s="314" t="s">
        <v>203</v>
      </c>
      <c r="QEN18" s="314" t="s">
        <v>203</v>
      </c>
      <c r="QEO18" s="314" t="s">
        <v>203</v>
      </c>
      <c r="QEP18" s="314" t="s">
        <v>203</v>
      </c>
      <c r="QEQ18" s="314" t="s">
        <v>203</v>
      </c>
      <c r="QER18" s="314" t="s">
        <v>203</v>
      </c>
      <c r="QES18" s="314" t="s">
        <v>203</v>
      </c>
      <c r="QET18" s="314" t="s">
        <v>203</v>
      </c>
      <c r="QEU18" s="314" t="s">
        <v>203</v>
      </c>
      <c r="QEV18" s="314" t="s">
        <v>203</v>
      </c>
      <c r="QEW18" s="314" t="s">
        <v>203</v>
      </c>
      <c r="QEX18" s="314" t="s">
        <v>203</v>
      </c>
      <c r="QEY18" s="314" t="s">
        <v>203</v>
      </c>
      <c r="QEZ18" s="314" t="s">
        <v>203</v>
      </c>
      <c r="QFA18" s="314" t="s">
        <v>203</v>
      </c>
      <c r="QFB18" s="314" t="s">
        <v>203</v>
      </c>
      <c r="QFC18" s="314" t="s">
        <v>203</v>
      </c>
      <c r="QFD18" s="314" t="s">
        <v>203</v>
      </c>
      <c r="QFE18" s="314" t="s">
        <v>203</v>
      </c>
      <c r="QFF18" s="314" t="s">
        <v>203</v>
      </c>
      <c r="QFG18" s="314" t="s">
        <v>203</v>
      </c>
      <c r="QFH18" s="314" t="s">
        <v>203</v>
      </c>
      <c r="QFI18" s="314" t="s">
        <v>203</v>
      </c>
      <c r="QFJ18" s="314" t="s">
        <v>203</v>
      </c>
      <c r="QFK18" s="314" t="s">
        <v>203</v>
      </c>
      <c r="QFL18" s="314" t="s">
        <v>203</v>
      </c>
      <c r="QFM18" s="314" t="s">
        <v>203</v>
      </c>
      <c r="QFN18" s="314" t="s">
        <v>203</v>
      </c>
      <c r="QFO18" s="314" t="s">
        <v>203</v>
      </c>
      <c r="QFP18" s="314" t="s">
        <v>203</v>
      </c>
      <c r="QFQ18" s="314" t="s">
        <v>203</v>
      </c>
      <c r="QFR18" s="314" t="s">
        <v>203</v>
      </c>
      <c r="QFS18" s="314" t="s">
        <v>203</v>
      </c>
      <c r="QFT18" s="314" t="s">
        <v>203</v>
      </c>
      <c r="QFU18" s="314" t="s">
        <v>203</v>
      </c>
      <c r="QFV18" s="314" t="s">
        <v>203</v>
      </c>
      <c r="QFW18" s="314" t="s">
        <v>203</v>
      </c>
      <c r="QFX18" s="314" t="s">
        <v>203</v>
      </c>
      <c r="QFY18" s="314" t="s">
        <v>203</v>
      </c>
      <c r="QFZ18" s="314" t="s">
        <v>203</v>
      </c>
      <c r="QGA18" s="314" t="s">
        <v>203</v>
      </c>
      <c r="QGB18" s="314" t="s">
        <v>203</v>
      </c>
      <c r="QGC18" s="314" t="s">
        <v>203</v>
      </c>
      <c r="QGD18" s="314" t="s">
        <v>203</v>
      </c>
      <c r="QGE18" s="314" t="s">
        <v>203</v>
      </c>
      <c r="QGF18" s="314" t="s">
        <v>203</v>
      </c>
      <c r="QGG18" s="314" t="s">
        <v>203</v>
      </c>
      <c r="QGH18" s="314" t="s">
        <v>203</v>
      </c>
      <c r="QGI18" s="314" t="s">
        <v>203</v>
      </c>
      <c r="QGJ18" s="314" t="s">
        <v>203</v>
      </c>
      <c r="QGK18" s="314" t="s">
        <v>203</v>
      </c>
      <c r="QGL18" s="314" t="s">
        <v>203</v>
      </c>
      <c r="QGM18" s="314" t="s">
        <v>203</v>
      </c>
      <c r="QGN18" s="314" t="s">
        <v>203</v>
      </c>
      <c r="QGO18" s="314" t="s">
        <v>203</v>
      </c>
      <c r="QGP18" s="314" t="s">
        <v>203</v>
      </c>
      <c r="QGQ18" s="314" t="s">
        <v>203</v>
      </c>
      <c r="QGR18" s="314" t="s">
        <v>203</v>
      </c>
      <c r="QGS18" s="314" t="s">
        <v>203</v>
      </c>
      <c r="QGT18" s="314" t="s">
        <v>203</v>
      </c>
      <c r="QGU18" s="314" t="s">
        <v>203</v>
      </c>
      <c r="QGV18" s="314" t="s">
        <v>203</v>
      </c>
      <c r="QGW18" s="314" t="s">
        <v>203</v>
      </c>
      <c r="QGX18" s="314" t="s">
        <v>203</v>
      </c>
      <c r="QGY18" s="314" t="s">
        <v>203</v>
      </c>
      <c r="QGZ18" s="314" t="s">
        <v>203</v>
      </c>
      <c r="QHA18" s="314" t="s">
        <v>203</v>
      </c>
      <c r="QHB18" s="314" t="s">
        <v>203</v>
      </c>
      <c r="QHC18" s="314" t="s">
        <v>203</v>
      </c>
      <c r="QHD18" s="314" t="s">
        <v>203</v>
      </c>
      <c r="QHE18" s="314" t="s">
        <v>203</v>
      </c>
      <c r="QHF18" s="314" t="s">
        <v>203</v>
      </c>
      <c r="QHG18" s="314" t="s">
        <v>203</v>
      </c>
      <c r="QHH18" s="314" t="s">
        <v>203</v>
      </c>
      <c r="QHI18" s="314" t="s">
        <v>203</v>
      </c>
      <c r="QHJ18" s="314" t="s">
        <v>203</v>
      </c>
      <c r="QHK18" s="314" t="s">
        <v>203</v>
      </c>
      <c r="QHL18" s="314" t="s">
        <v>203</v>
      </c>
      <c r="QHM18" s="314" t="s">
        <v>203</v>
      </c>
      <c r="QHN18" s="314" t="s">
        <v>203</v>
      </c>
      <c r="QHO18" s="314" t="s">
        <v>203</v>
      </c>
      <c r="QHP18" s="314" t="s">
        <v>203</v>
      </c>
      <c r="QHQ18" s="314" t="s">
        <v>203</v>
      </c>
      <c r="QHR18" s="314" t="s">
        <v>203</v>
      </c>
      <c r="QHS18" s="314" t="s">
        <v>203</v>
      </c>
      <c r="QHT18" s="314" t="s">
        <v>203</v>
      </c>
      <c r="QHU18" s="314" t="s">
        <v>203</v>
      </c>
      <c r="QHV18" s="314" t="s">
        <v>203</v>
      </c>
      <c r="QHW18" s="314" t="s">
        <v>203</v>
      </c>
      <c r="QHX18" s="314" t="s">
        <v>203</v>
      </c>
      <c r="QHY18" s="314" t="s">
        <v>203</v>
      </c>
      <c r="QHZ18" s="314" t="s">
        <v>203</v>
      </c>
      <c r="QIA18" s="314" t="s">
        <v>203</v>
      </c>
      <c r="QIB18" s="314" t="s">
        <v>203</v>
      </c>
      <c r="QIC18" s="314" t="s">
        <v>203</v>
      </c>
      <c r="QID18" s="314" t="s">
        <v>203</v>
      </c>
      <c r="QIE18" s="314" t="s">
        <v>203</v>
      </c>
      <c r="QIF18" s="314" t="s">
        <v>203</v>
      </c>
      <c r="QIG18" s="314" t="s">
        <v>203</v>
      </c>
      <c r="QIH18" s="314" t="s">
        <v>203</v>
      </c>
      <c r="QII18" s="314" t="s">
        <v>203</v>
      </c>
      <c r="QIJ18" s="314" t="s">
        <v>203</v>
      </c>
      <c r="QIK18" s="314" t="s">
        <v>203</v>
      </c>
      <c r="QIL18" s="314" t="s">
        <v>203</v>
      </c>
      <c r="QIM18" s="314" t="s">
        <v>203</v>
      </c>
      <c r="QIN18" s="314" t="s">
        <v>203</v>
      </c>
      <c r="QIO18" s="314" t="s">
        <v>203</v>
      </c>
      <c r="QIP18" s="314" t="s">
        <v>203</v>
      </c>
      <c r="QIQ18" s="314" t="s">
        <v>203</v>
      </c>
      <c r="QIR18" s="314" t="s">
        <v>203</v>
      </c>
      <c r="QIS18" s="314" t="s">
        <v>203</v>
      </c>
      <c r="QIT18" s="314" t="s">
        <v>203</v>
      </c>
      <c r="QIU18" s="314" t="s">
        <v>203</v>
      </c>
      <c r="QIV18" s="314" t="s">
        <v>203</v>
      </c>
      <c r="QIW18" s="314" t="s">
        <v>203</v>
      </c>
      <c r="QIX18" s="314" t="s">
        <v>203</v>
      </c>
      <c r="QIY18" s="314" t="s">
        <v>203</v>
      </c>
      <c r="QIZ18" s="314" t="s">
        <v>203</v>
      </c>
      <c r="QJA18" s="314" t="s">
        <v>203</v>
      </c>
      <c r="QJB18" s="314" t="s">
        <v>203</v>
      </c>
      <c r="QJC18" s="314" t="s">
        <v>203</v>
      </c>
      <c r="QJD18" s="314" t="s">
        <v>203</v>
      </c>
      <c r="QJE18" s="314" t="s">
        <v>203</v>
      </c>
      <c r="QJF18" s="314" t="s">
        <v>203</v>
      </c>
      <c r="QJG18" s="314" t="s">
        <v>203</v>
      </c>
      <c r="QJH18" s="314" t="s">
        <v>203</v>
      </c>
      <c r="QJI18" s="314" t="s">
        <v>203</v>
      </c>
      <c r="QJJ18" s="314" t="s">
        <v>203</v>
      </c>
      <c r="QJK18" s="314" t="s">
        <v>203</v>
      </c>
      <c r="QJL18" s="314" t="s">
        <v>203</v>
      </c>
      <c r="QJM18" s="314" t="s">
        <v>203</v>
      </c>
      <c r="QJN18" s="314" t="s">
        <v>203</v>
      </c>
      <c r="QJO18" s="314" t="s">
        <v>203</v>
      </c>
      <c r="QJP18" s="314" t="s">
        <v>203</v>
      </c>
      <c r="QJQ18" s="314" t="s">
        <v>203</v>
      </c>
      <c r="QJR18" s="314" t="s">
        <v>203</v>
      </c>
      <c r="QJS18" s="314" t="s">
        <v>203</v>
      </c>
      <c r="QJT18" s="314" t="s">
        <v>203</v>
      </c>
      <c r="QJU18" s="314" t="s">
        <v>203</v>
      </c>
      <c r="QJV18" s="314" t="s">
        <v>203</v>
      </c>
      <c r="QJW18" s="314" t="s">
        <v>203</v>
      </c>
      <c r="QJX18" s="314" t="s">
        <v>203</v>
      </c>
      <c r="QJY18" s="314" t="s">
        <v>203</v>
      </c>
      <c r="QJZ18" s="314" t="s">
        <v>203</v>
      </c>
      <c r="QKA18" s="314" t="s">
        <v>203</v>
      </c>
      <c r="QKB18" s="314" t="s">
        <v>203</v>
      </c>
      <c r="QKC18" s="314" t="s">
        <v>203</v>
      </c>
      <c r="QKD18" s="314" t="s">
        <v>203</v>
      </c>
      <c r="QKE18" s="314" t="s">
        <v>203</v>
      </c>
      <c r="QKF18" s="314" t="s">
        <v>203</v>
      </c>
      <c r="QKG18" s="314" t="s">
        <v>203</v>
      </c>
      <c r="QKH18" s="314" t="s">
        <v>203</v>
      </c>
      <c r="QKI18" s="314" t="s">
        <v>203</v>
      </c>
      <c r="QKJ18" s="314" t="s">
        <v>203</v>
      </c>
      <c r="QKK18" s="314" t="s">
        <v>203</v>
      </c>
      <c r="QKL18" s="314" t="s">
        <v>203</v>
      </c>
      <c r="QKM18" s="314" t="s">
        <v>203</v>
      </c>
      <c r="QKN18" s="314" t="s">
        <v>203</v>
      </c>
      <c r="QKO18" s="314" t="s">
        <v>203</v>
      </c>
      <c r="QKP18" s="314" t="s">
        <v>203</v>
      </c>
      <c r="QKQ18" s="314" t="s">
        <v>203</v>
      </c>
      <c r="QKR18" s="314" t="s">
        <v>203</v>
      </c>
      <c r="QKS18" s="314" t="s">
        <v>203</v>
      </c>
      <c r="QKT18" s="314" t="s">
        <v>203</v>
      </c>
      <c r="QKU18" s="314" t="s">
        <v>203</v>
      </c>
      <c r="QKV18" s="314" t="s">
        <v>203</v>
      </c>
      <c r="QKW18" s="314" t="s">
        <v>203</v>
      </c>
      <c r="QKX18" s="314" t="s">
        <v>203</v>
      </c>
      <c r="QKY18" s="314" t="s">
        <v>203</v>
      </c>
      <c r="QKZ18" s="314" t="s">
        <v>203</v>
      </c>
      <c r="QLA18" s="314" t="s">
        <v>203</v>
      </c>
      <c r="QLB18" s="314" t="s">
        <v>203</v>
      </c>
      <c r="QLC18" s="314" t="s">
        <v>203</v>
      </c>
      <c r="QLD18" s="314" t="s">
        <v>203</v>
      </c>
      <c r="QLE18" s="314" t="s">
        <v>203</v>
      </c>
      <c r="QLF18" s="314" t="s">
        <v>203</v>
      </c>
      <c r="QLG18" s="314" t="s">
        <v>203</v>
      </c>
      <c r="QLH18" s="314" t="s">
        <v>203</v>
      </c>
      <c r="QLI18" s="314" t="s">
        <v>203</v>
      </c>
      <c r="QLJ18" s="314" t="s">
        <v>203</v>
      </c>
      <c r="QLK18" s="314" t="s">
        <v>203</v>
      </c>
      <c r="QLL18" s="314" t="s">
        <v>203</v>
      </c>
      <c r="QLM18" s="314" t="s">
        <v>203</v>
      </c>
      <c r="QLN18" s="314" t="s">
        <v>203</v>
      </c>
      <c r="QLO18" s="314" t="s">
        <v>203</v>
      </c>
      <c r="QLP18" s="314" t="s">
        <v>203</v>
      </c>
      <c r="QLQ18" s="314" t="s">
        <v>203</v>
      </c>
      <c r="QLR18" s="314" t="s">
        <v>203</v>
      </c>
      <c r="QLS18" s="314" t="s">
        <v>203</v>
      </c>
      <c r="QLT18" s="314" t="s">
        <v>203</v>
      </c>
      <c r="QLU18" s="314" t="s">
        <v>203</v>
      </c>
      <c r="QLV18" s="314" t="s">
        <v>203</v>
      </c>
      <c r="QLW18" s="314" t="s">
        <v>203</v>
      </c>
      <c r="QLX18" s="314" t="s">
        <v>203</v>
      </c>
      <c r="QLY18" s="314" t="s">
        <v>203</v>
      </c>
      <c r="QLZ18" s="314" t="s">
        <v>203</v>
      </c>
      <c r="QMA18" s="314" t="s">
        <v>203</v>
      </c>
      <c r="QMB18" s="314" t="s">
        <v>203</v>
      </c>
      <c r="QMC18" s="314" t="s">
        <v>203</v>
      </c>
      <c r="QMD18" s="314" t="s">
        <v>203</v>
      </c>
      <c r="QME18" s="314" t="s">
        <v>203</v>
      </c>
      <c r="QMF18" s="314" t="s">
        <v>203</v>
      </c>
      <c r="QMG18" s="314" t="s">
        <v>203</v>
      </c>
      <c r="QMH18" s="314" t="s">
        <v>203</v>
      </c>
      <c r="QMI18" s="314" t="s">
        <v>203</v>
      </c>
      <c r="QMJ18" s="314" t="s">
        <v>203</v>
      </c>
      <c r="QMK18" s="314" t="s">
        <v>203</v>
      </c>
      <c r="QML18" s="314" t="s">
        <v>203</v>
      </c>
      <c r="QMM18" s="314" t="s">
        <v>203</v>
      </c>
      <c r="QMN18" s="314" t="s">
        <v>203</v>
      </c>
      <c r="QMO18" s="314" t="s">
        <v>203</v>
      </c>
      <c r="QMP18" s="314" t="s">
        <v>203</v>
      </c>
      <c r="QMQ18" s="314" t="s">
        <v>203</v>
      </c>
      <c r="QMR18" s="314" t="s">
        <v>203</v>
      </c>
      <c r="QMS18" s="314" t="s">
        <v>203</v>
      </c>
      <c r="QMT18" s="314" t="s">
        <v>203</v>
      </c>
      <c r="QMU18" s="314" t="s">
        <v>203</v>
      </c>
      <c r="QMV18" s="314" t="s">
        <v>203</v>
      </c>
      <c r="QMW18" s="314" t="s">
        <v>203</v>
      </c>
      <c r="QMX18" s="314" t="s">
        <v>203</v>
      </c>
      <c r="QMY18" s="314" t="s">
        <v>203</v>
      </c>
      <c r="QMZ18" s="314" t="s">
        <v>203</v>
      </c>
      <c r="QNA18" s="314" t="s">
        <v>203</v>
      </c>
      <c r="QNB18" s="314" t="s">
        <v>203</v>
      </c>
      <c r="QNC18" s="314" t="s">
        <v>203</v>
      </c>
      <c r="QND18" s="314" t="s">
        <v>203</v>
      </c>
      <c r="QNE18" s="314" t="s">
        <v>203</v>
      </c>
      <c r="QNF18" s="314" t="s">
        <v>203</v>
      </c>
      <c r="QNG18" s="314" t="s">
        <v>203</v>
      </c>
      <c r="QNH18" s="314" t="s">
        <v>203</v>
      </c>
      <c r="QNI18" s="314" t="s">
        <v>203</v>
      </c>
      <c r="QNJ18" s="314" t="s">
        <v>203</v>
      </c>
      <c r="QNK18" s="314" t="s">
        <v>203</v>
      </c>
      <c r="QNL18" s="314" t="s">
        <v>203</v>
      </c>
      <c r="QNM18" s="314" t="s">
        <v>203</v>
      </c>
      <c r="QNN18" s="314" t="s">
        <v>203</v>
      </c>
      <c r="QNO18" s="314" t="s">
        <v>203</v>
      </c>
      <c r="QNP18" s="314" t="s">
        <v>203</v>
      </c>
      <c r="QNQ18" s="314" t="s">
        <v>203</v>
      </c>
      <c r="QNR18" s="314" t="s">
        <v>203</v>
      </c>
      <c r="QNS18" s="314" t="s">
        <v>203</v>
      </c>
      <c r="QNT18" s="314" t="s">
        <v>203</v>
      </c>
      <c r="QNU18" s="314" t="s">
        <v>203</v>
      </c>
      <c r="QNV18" s="314" t="s">
        <v>203</v>
      </c>
      <c r="QNW18" s="314" t="s">
        <v>203</v>
      </c>
      <c r="QNX18" s="314" t="s">
        <v>203</v>
      </c>
      <c r="QNY18" s="314" t="s">
        <v>203</v>
      </c>
      <c r="QNZ18" s="314" t="s">
        <v>203</v>
      </c>
      <c r="QOA18" s="314" t="s">
        <v>203</v>
      </c>
      <c r="QOB18" s="314" t="s">
        <v>203</v>
      </c>
      <c r="QOC18" s="314" t="s">
        <v>203</v>
      </c>
      <c r="QOD18" s="314" t="s">
        <v>203</v>
      </c>
      <c r="QOE18" s="314" t="s">
        <v>203</v>
      </c>
      <c r="QOF18" s="314" t="s">
        <v>203</v>
      </c>
      <c r="QOG18" s="314" t="s">
        <v>203</v>
      </c>
      <c r="QOH18" s="314" t="s">
        <v>203</v>
      </c>
      <c r="QOI18" s="314" t="s">
        <v>203</v>
      </c>
      <c r="QOJ18" s="314" t="s">
        <v>203</v>
      </c>
      <c r="QOK18" s="314" t="s">
        <v>203</v>
      </c>
      <c r="QOL18" s="314" t="s">
        <v>203</v>
      </c>
      <c r="QOM18" s="314" t="s">
        <v>203</v>
      </c>
      <c r="QON18" s="314" t="s">
        <v>203</v>
      </c>
      <c r="QOO18" s="314" t="s">
        <v>203</v>
      </c>
      <c r="QOP18" s="314" t="s">
        <v>203</v>
      </c>
      <c r="QOQ18" s="314" t="s">
        <v>203</v>
      </c>
      <c r="QOR18" s="314" t="s">
        <v>203</v>
      </c>
      <c r="QOS18" s="314" t="s">
        <v>203</v>
      </c>
      <c r="QOT18" s="314" t="s">
        <v>203</v>
      </c>
      <c r="QOU18" s="314" t="s">
        <v>203</v>
      </c>
      <c r="QOV18" s="314" t="s">
        <v>203</v>
      </c>
      <c r="QOW18" s="314" t="s">
        <v>203</v>
      </c>
      <c r="QOX18" s="314" t="s">
        <v>203</v>
      </c>
      <c r="QOY18" s="314" t="s">
        <v>203</v>
      </c>
      <c r="QOZ18" s="314" t="s">
        <v>203</v>
      </c>
      <c r="QPA18" s="314" t="s">
        <v>203</v>
      </c>
      <c r="QPB18" s="314" t="s">
        <v>203</v>
      </c>
      <c r="QPC18" s="314" t="s">
        <v>203</v>
      </c>
      <c r="QPD18" s="314" t="s">
        <v>203</v>
      </c>
      <c r="QPE18" s="314" t="s">
        <v>203</v>
      </c>
      <c r="QPF18" s="314" t="s">
        <v>203</v>
      </c>
      <c r="QPG18" s="314" t="s">
        <v>203</v>
      </c>
      <c r="QPH18" s="314" t="s">
        <v>203</v>
      </c>
      <c r="QPI18" s="314" t="s">
        <v>203</v>
      </c>
      <c r="QPJ18" s="314" t="s">
        <v>203</v>
      </c>
      <c r="QPK18" s="314" t="s">
        <v>203</v>
      </c>
      <c r="QPL18" s="314" t="s">
        <v>203</v>
      </c>
      <c r="QPM18" s="314" t="s">
        <v>203</v>
      </c>
      <c r="QPN18" s="314" t="s">
        <v>203</v>
      </c>
      <c r="QPO18" s="314" t="s">
        <v>203</v>
      </c>
      <c r="QPP18" s="314" t="s">
        <v>203</v>
      </c>
      <c r="QPQ18" s="314" t="s">
        <v>203</v>
      </c>
      <c r="QPR18" s="314" t="s">
        <v>203</v>
      </c>
      <c r="QPS18" s="314" t="s">
        <v>203</v>
      </c>
      <c r="QPT18" s="314" t="s">
        <v>203</v>
      </c>
      <c r="QPU18" s="314" t="s">
        <v>203</v>
      </c>
      <c r="QPV18" s="314" t="s">
        <v>203</v>
      </c>
      <c r="QPW18" s="314" t="s">
        <v>203</v>
      </c>
      <c r="QPX18" s="314" t="s">
        <v>203</v>
      </c>
      <c r="QPY18" s="314" t="s">
        <v>203</v>
      </c>
      <c r="QPZ18" s="314" t="s">
        <v>203</v>
      </c>
      <c r="QQA18" s="314" t="s">
        <v>203</v>
      </c>
      <c r="QQB18" s="314" t="s">
        <v>203</v>
      </c>
      <c r="QQC18" s="314" t="s">
        <v>203</v>
      </c>
      <c r="QQD18" s="314" t="s">
        <v>203</v>
      </c>
      <c r="QQE18" s="314" t="s">
        <v>203</v>
      </c>
      <c r="QQF18" s="314" t="s">
        <v>203</v>
      </c>
      <c r="QQG18" s="314" t="s">
        <v>203</v>
      </c>
      <c r="QQH18" s="314" t="s">
        <v>203</v>
      </c>
      <c r="QQI18" s="314" t="s">
        <v>203</v>
      </c>
      <c r="QQJ18" s="314" t="s">
        <v>203</v>
      </c>
      <c r="QQK18" s="314" t="s">
        <v>203</v>
      </c>
      <c r="QQL18" s="314" t="s">
        <v>203</v>
      </c>
      <c r="QQM18" s="314" t="s">
        <v>203</v>
      </c>
      <c r="QQN18" s="314" t="s">
        <v>203</v>
      </c>
      <c r="QQO18" s="314" t="s">
        <v>203</v>
      </c>
      <c r="QQP18" s="314" t="s">
        <v>203</v>
      </c>
      <c r="QQQ18" s="314" t="s">
        <v>203</v>
      </c>
      <c r="QQR18" s="314" t="s">
        <v>203</v>
      </c>
      <c r="QQS18" s="314" t="s">
        <v>203</v>
      </c>
      <c r="QQT18" s="314" t="s">
        <v>203</v>
      </c>
      <c r="QQU18" s="314" t="s">
        <v>203</v>
      </c>
      <c r="QQV18" s="314" t="s">
        <v>203</v>
      </c>
      <c r="QQW18" s="314" t="s">
        <v>203</v>
      </c>
      <c r="QQX18" s="314" t="s">
        <v>203</v>
      </c>
      <c r="QQY18" s="314" t="s">
        <v>203</v>
      </c>
      <c r="QQZ18" s="314" t="s">
        <v>203</v>
      </c>
      <c r="QRA18" s="314" t="s">
        <v>203</v>
      </c>
      <c r="QRB18" s="314" t="s">
        <v>203</v>
      </c>
      <c r="QRC18" s="314" t="s">
        <v>203</v>
      </c>
      <c r="QRD18" s="314" t="s">
        <v>203</v>
      </c>
      <c r="QRE18" s="314" t="s">
        <v>203</v>
      </c>
      <c r="QRF18" s="314" t="s">
        <v>203</v>
      </c>
      <c r="QRG18" s="314" t="s">
        <v>203</v>
      </c>
      <c r="QRH18" s="314" t="s">
        <v>203</v>
      </c>
      <c r="QRI18" s="314" t="s">
        <v>203</v>
      </c>
      <c r="QRJ18" s="314" t="s">
        <v>203</v>
      </c>
      <c r="QRK18" s="314" t="s">
        <v>203</v>
      </c>
      <c r="QRL18" s="314" t="s">
        <v>203</v>
      </c>
      <c r="QRM18" s="314" t="s">
        <v>203</v>
      </c>
      <c r="QRN18" s="314" t="s">
        <v>203</v>
      </c>
      <c r="QRO18" s="314" t="s">
        <v>203</v>
      </c>
      <c r="QRP18" s="314" t="s">
        <v>203</v>
      </c>
      <c r="QRQ18" s="314" t="s">
        <v>203</v>
      </c>
      <c r="QRR18" s="314" t="s">
        <v>203</v>
      </c>
      <c r="QRS18" s="314" t="s">
        <v>203</v>
      </c>
      <c r="QRT18" s="314" t="s">
        <v>203</v>
      </c>
      <c r="QRU18" s="314" t="s">
        <v>203</v>
      </c>
      <c r="QRV18" s="314" t="s">
        <v>203</v>
      </c>
      <c r="QRW18" s="314" t="s">
        <v>203</v>
      </c>
      <c r="QRX18" s="314" t="s">
        <v>203</v>
      </c>
      <c r="QRY18" s="314" t="s">
        <v>203</v>
      </c>
      <c r="QRZ18" s="314" t="s">
        <v>203</v>
      </c>
      <c r="QSA18" s="314" t="s">
        <v>203</v>
      </c>
      <c r="QSB18" s="314" t="s">
        <v>203</v>
      </c>
      <c r="QSC18" s="314" t="s">
        <v>203</v>
      </c>
      <c r="QSD18" s="314" t="s">
        <v>203</v>
      </c>
      <c r="QSE18" s="314" t="s">
        <v>203</v>
      </c>
      <c r="QSF18" s="314" t="s">
        <v>203</v>
      </c>
      <c r="QSG18" s="314" t="s">
        <v>203</v>
      </c>
      <c r="QSH18" s="314" t="s">
        <v>203</v>
      </c>
      <c r="QSI18" s="314" t="s">
        <v>203</v>
      </c>
      <c r="QSJ18" s="314" t="s">
        <v>203</v>
      </c>
      <c r="QSK18" s="314" t="s">
        <v>203</v>
      </c>
      <c r="QSL18" s="314" t="s">
        <v>203</v>
      </c>
      <c r="QSM18" s="314" t="s">
        <v>203</v>
      </c>
      <c r="QSN18" s="314" t="s">
        <v>203</v>
      </c>
      <c r="QSO18" s="314" t="s">
        <v>203</v>
      </c>
      <c r="QSP18" s="314" t="s">
        <v>203</v>
      </c>
      <c r="QSQ18" s="314" t="s">
        <v>203</v>
      </c>
      <c r="QSR18" s="314" t="s">
        <v>203</v>
      </c>
      <c r="QSS18" s="314" t="s">
        <v>203</v>
      </c>
      <c r="QST18" s="314" t="s">
        <v>203</v>
      </c>
      <c r="QSU18" s="314" t="s">
        <v>203</v>
      </c>
      <c r="QSV18" s="314" t="s">
        <v>203</v>
      </c>
      <c r="QSW18" s="314" t="s">
        <v>203</v>
      </c>
      <c r="QSX18" s="314" t="s">
        <v>203</v>
      </c>
      <c r="QSY18" s="314" t="s">
        <v>203</v>
      </c>
      <c r="QSZ18" s="314" t="s">
        <v>203</v>
      </c>
      <c r="QTA18" s="314" t="s">
        <v>203</v>
      </c>
      <c r="QTB18" s="314" t="s">
        <v>203</v>
      </c>
      <c r="QTC18" s="314" t="s">
        <v>203</v>
      </c>
      <c r="QTD18" s="314" t="s">
        <v>203</v>
      </c>
      <c r="QTE18" s="314" t="s">
        <v>203</v>
      </c>
      <c r="QTF18" s="314" t="s">
        <v>203</v>
      </c>
      <c r="QTG18" s="314" t="s">
        <v>203</v>
      </c>
      <c r="QTH18" s="314" t="s">
        <v>203</v>
      </c>
      <c r="QTI18" s="314" t="s">
        <v>203</v>
      </c>
      <c r="QTJ18" s="314" t="s">
        <v>203</v>
      </c>
      <c r="QTK18" s="314" t="s">
        <v>203</v>
      </c>
      <c r="QTL18" s="314" t="s">
        <v>203</v>
      </c>
      <c r="QTM18" s="314" t="s">
        <v>203</v>
      </c>
      <c r="QTN18" s="314" t="s">
        <v>203</v>
      </c>
      <c r="QTO18" s="314" t="s">
        <v>203</v>
      </c>
      <c r="QTP18" s="314" t="s">
        <v>203</v>
      </c>
      <c r="QTQ18" s="314" t="s">
        <v>203</v>
      </c>
      <c r="QTR18" s="314" t="s">
        <v>203</v>
      </c>
      <c r="QTS18" s="314" t="s">
        <v>203</v>
      </c>
      <c r="QTT18" s="314" t="s">
        <v>203</v>
      </c>
      <c r="QTU18" s="314" t="s">
        <v>203</v>
      </c>
      <c r="QTV18" s="314" t="s">
        <v>203</v>
      </c>
      <c r="QTW18" s="314" t="s">
        <v>203</v>
      </c>
      <c r="QTX18" s="314" t="s">
        <v>203</v>
      </c>
      <c r="QTY18" s="314" t="s">
        <v>203</v>
      </c>
      <c r="QTZ18" s="314" t="s">
        <v>203</v>
      </c>
      <c r="QUA18" s="314" t="s">
        <v>203</v>
      </c>
      <c r="QUB18" s="314" t="s">
        <v>203</v>
      </c>
      <c r="QUC18" s="314" t="s">
        <v>203</v>
      </c>
      <c r="QUD18" s="314" t="s">
        <v>203</v>
      </c>
      <c r="QUE18" s="314" t="s">
        <v>203</v>
      </c>
      <c r="QUF18" s="314" t="s">
        <v>203</v>
      </c>
      <c r="QUG18" s="314" t="s">
        <v>203</v>
      </c>
      <c r="QUH18" s="314" t="s">
        <v>203</v>
      </c>
      <c r="QUI18" s="314" t="s">
        <v>203</v>
      </c>
      <c r="QUJ18" s="314" t="s">
        <v>203</v>
      </c>
      <c r="QUK18" s="314" t="s">
        <v>203</v>
      </c>
      <c r="QUL18" s="314" t="s">
        <v>203</v>
      </c>
      <c r="QUM18" s="314" t="s">
        <v>203</v>
      </c>
      <c r="QUN18" s="314" t="s">
        <v>203</v>
      </c>
      <c r="QUO18" s="314" t="s">
        <v>203</v>
      </c>
      <c r="QUP18" s="314" t="s">
        <v>203</v>
      </c>
      <c r="QUQ18" s="314" t="s">
        <v>203</v>
      </c>
      <c r="QUR18" s="314" t="s">
        <v>203</v>
      </c>
      <c r="QUS18" s="314" t="s">
        <v>203</v>
      </c>
      <c r="QUT18" s="314" t="s">
        <v>203</v>
      </c>
      <c r="QUU18" s="314" t="s">
        <v>203</v>
      </c>
      <c r="QUV18" s="314" t="s">
        <v>203</v>
      </c>
      <c r="QUW18" s="314" t="s">
        <v>203</v>
      </c>
      <c r="QUX18" s="314" t="s">
        <v>203</v>
      </c>
      <c r="QUY18" s="314" t="s">
        <v>203</v>
      </c>
      <c r="QUZ18" s="314" t="s">
        <v>203</v>
      </c>
      <c r="QVA18" s="314" t="s">
        <v>203</v>
      </c>
      <c r="QVB18" s="314" t="s">
        <v>203</v>
      </c>
      <c r="QVC18" s="314" t="s">
        <v>203</v>
      </c>
      <c r="QVD18" s="314" t="s">
        <v>203</v>
      </c>
      <c r="QVE18" s="314" t="s">
        <v>203</v>
      </c>
      <c r="QVF18" s="314" t="s">
        <v>203</v>
      </c>
      <c r="QVG18" s="314" t="s">
        <v>203</v>
      </c>
      <c r="QVH18" s="314" t="s">
        <v>203</v>
      </c>
      <c r="QVI18" s="314" t="s">
        <v>203</v>
      </c>
      <c r="QVJ18" s="314" t="s">
        <v>203</v>
      </c>
      <c r="QVK18" s="314" t="s">
        <v>203</v>
      </c>
      <c r="QVL18" s="314" t="s">
        <v>203</v>
      </c>
      <c r="QVM18" s="314" t="s">
        <v>203</v>
      </c>
      <c r="QVN18" s="314" t="s">
        <v>203</v>
      </c>
      <c r="QVO18" s="314" t="s">
        <v>203</v>
      </c>
      <c r="QVP18" s="314" t="s">
        <v>203</v>
      </c>
      <c r="QVQ18" s="314" t="s">
        <v>203</v>
      </c>
      <c r="QVR18" s="314" t="s">
        <v>203</v>
      </c>
      <c r="QVS18" s="314" t="s">
        <v>203</v>
      </c>
      <c r="QVT18" s="314" t="s">
        <v>203</v>
      </c>
      <c r="QVU18" s="314" t="s">
        <v>203</v>
      </c>
      <c r="QVV18" s="314" t="s">
        <v>203</v>
      </c>
      <c r="QVW18" s="314" t="s">
        <v>203</v>
      </c>
      <c r="QVX18" s="314" t="s">
        <v>203</v>
      </c>
      <c r="QVY18" s="314" t="s">
        <v>203</v>
      </c>
      <c r="QVZ18" s="314" t="s">
        <v>203</v>
      </c>
      <c r="QWA18" s="314" t="s">
        <v>203</v>
      </c>
      <c r="QWB18" s="314" t="s">
        <v>203</v>
      </c>
      <c r="QWC18" s="314" t="s">
        <v>203</v>
      </c>
      <c r="QWD18" s="314" t="s">
        <v>203</v>
      </c>
      <c r="QWE18" s="314" t="s">
        <v>203</v>
      </c>
      <c r="QWF18" s="314" t="s">
        <v>203</v>
      </c>
      <c r="QWG18" s="314" t="s">
        <v>203</v>
      </c>
      <c r="QWH18" s="314" t="s">
        <v>203</v>
      </c>
      <c r="QWI18" s="314" t="s">
        <v>203</v>
      </c>
      <c r="QWJ18" s="314" t="s">
        <v>203</v>
      </c>
      <c r="QWK18" s="314" t="s">
        <v>203</v>
      </c>
      <c r="QWL18" s="314" t="s">
        <v>203</v>
      </c>
      <c r="QWM18" s="314" t="s">
        <v>203</v>
      </c>
      <c r="QWN18" s="314" t="s">
        <v>203</v>
      </c>
      <c r="QWO18" s="314" t="s">
        <v>203</v>
      </c>
      <c r="QWP18" s="314" t="s">
        <v>203</v>
      </c>
      <c r="QWQ18" s="314" t="s">
        <v>203</v>
      </c>
      <c r="QWR18" s="314" t="s">
        <v>203</v>
      </c>
      <c r="QWS18" s="314" t="s">
        <v>203</v>
      </c>
      <c r="QWT18" s="314" t="s">
        <v>203</v>
      </c>
      <c r="QWU18" s="314" t="s">
        <v>203</v>
      </c>
      <c r="QWV18" s="314" t="s">
        <v>203</v>
      </c>
      <c r="QWW18" s="314" t="s">
        <v>203</v>
      </c>
      <c r="QWX18" s="314" t="s">
        <v>203</v>
      </c>
      <c r="QWY18" s="314" t="s">
        <v>203</v>
      </c>
      <c r="QWZ18" s="314" t="s">
        <v>203</v>
      </c>
      <c r="QXA18" s="314" t="s">
        <v>203</v>
      </c>
      <c r="QXB18" s="314" t="s">
        <v>203</v>
      </c>
      <c r="QXC18" s="314" t="s">
        <v>203</v>
      </c>
      <c r="QXD18" s="314" t="s">
        <v>203</v>
      </c>
      <c r="QXE18" s="314" t="s">
        <v>203</v>
      </c>
      <c r="QXF18" s="314" t="s">
        <v>203</v>
      </c>
      <c r="QXG18" s="314" t="s">
        <v>203</v>
      </c>
      <c r="QXH18" s="314" t="s">
        <v>203</v>
      </c>
      <c r="QXI18" s="314" t="s">
        <v>203</v>
      </c>
      <c r="QXJ18" s="314" t="s">
        <v>203</v>
      </c>
      <c r="QXK18" s="314" t="s">
        <v>203</v>
      </c>
      <c r="QXL18" s="314" t="s">
        <v>203</v>
      </c>
      <c r="QXM18" s="314" t="s">
        <v>203</v>
      </c>
      <c r="QXN18" s="314" t="s">
        <v>203</v>
      </c>
      <c r="QXO18" s="314" t="s">
        <v>203</v>
      </c>
      <c r="QXP18" s="314" t="s">
        <v>203</v>
      </c>
      <c r="QXQ18" s="314" t="s">
        <v>203</v>
      </c>
      <c r="QXR18" s="314" t="s">
        <v>203</v>
      </c>
      <c r="QXS18" s="314" t="s">
        <v>203</v>
      </c>
      <c r="QXT18" s="314" t="s">
        <v>203</v>
      </c>
      <c r="QXU18" s="314" t="s">
        <v>203</v>
      </c>
      <c r="QXV18" s="314" t="s">
        <v>203</v>
      </c>
      <c r="QXW18" s="314" t="s">
        <v>203</v>
      </c>
      <c r="QXX18" s="314" t="s">
        <v>203</v>
      </c>
      <c r="QXY18" s="314" t="s">
        <v>203</v>
      </c>
      <c r="QXZ18" s="314" t="s">
        <v>203</v>
      </c>
      <c r="QYA18" s="314" t="s">
        <v>203</v>
      </c>
      <c r="QYB18" s="314" t="s">
        <v>203</v>
      </c>
      <c r="QYC18" s="314" t="s">
        <v>203</v>
      </c>
      <c r="QYD18" s="314" t="s">
        <v>203</v>
      </c>
      <c r="QYE18" s="314" t="s">
        <v>203</v>
      </c>
      <c r="QYF18" s="314" t="s">
        <v>203</v>
      </c>
      <c r="QYG18" s="314" t="s">
        <v>203</v>
      </c>
      <c r="QYH18" s="314" t="s">
        <v>203</v>
      </c>
      <c r="QYI18" s="314" t="s">
        <v>203</v>
      </c>
      <c r="QYJ18" s="314" t="s">
        <v>203</v>
      </c>
      <c r="QYK18" s="314" t="s">
        <v>203</v>
      </c>
      <c r="QYL18" s="314" t="s">
        <v>203</v>
      </c>
      <c r="QYM18" s="314" t="s">
        <v>203</v>
      </c>
      <c r="QYN18" s="314" t="s">
        <v>203</v>
      </c>
      <c r="QYO18" s="314" t="s">
        <v>203</v>
      </c>
      <c r="QYP18" s="314" t="s">
        <v>203</v>
      </c>
      <c r="QYQ18" s="314" t="s">
        <v>203</v>
      </c>
      <c r="QYR18" s="314" t="s">
        <v>203</v>
      </c>
      <c r="QYS18" s="314" t="s">
        <v>203</v>
      </c>
      <c r="QYT18" s="314" t="s">
        <v>203</v>
      </c>
      <c r="QYU18" s="314" t="s">
        <v>203</v>
      </c>
      <c r="QYV18" s="314" t="s">
        <v>203</v>
      </c>
      <c r="QYW18" s="314" t="s">
        <v>203</v>
      </c>
      <c r="QYX18" s="314" t="s">
        <v>203</v>
      </c>
      <c r="QYY18" s="314" t="s">
        <v>203</v>
      </c>
      <c r="QYZ18" s="314" t="s">
        <v>203</v>
      </c>
      <c r="QZA18" s="314" t="s">
        <v>203</v>
      </c>
      <c r="QZB18" s="314" t="s">
        <v>203</v>
      </c>
      <c r="QZC18" s="314" t="s">
        <v>203</v>
      </c>
      <c r="QZD18" s="314" t="s">
        <v>203</v>
      </c>
      <c r="QZE18" s="314" t="s">
        <v>203</v>
      </c>
      <c r="QZF18" s="314" t="s">
        <v>203</v>
      </c>
      <c r="QZG18" s="314" t="s">
        <v>203</v>
      </c>
      <c r="QZH18" s="314" t="s">
        <v>203</v>
      </c>
      <c r="QZI18" s="314" t="s">
        <v>203</v>
      </c>
      <c r="QZJ18" s="314" t="s">
        <v>203</v>
      </c>
      <c r="QZK18" s="314" t="s">
        <v>203</v>
      </c>
      <c r="QZL18" s="314" t="s">
        <v>203</v>
      </c>
      <c r="QZM18" s="314" t="s">
        <v>203</v>
      </c>
      <c r="QZN18" s="314" t="s">
        <v>203</v>
      </c>
      <c r="QZO18" s="314" t="s">
        <v>203</v>
      </c>
      <c r="QZP18" s="314" t="s">
        <v>203</v>
      </c>
      <c r="QZQ18" s="314" t="s">
        <v>203</v>
      </c>
      <c r="QZR18" s="314" t="s">
        <v>203</v>
      </c>
      <c r="QZS18" s="314" t="s">
        <v>203</v>
      </c>
      <c r="QZT18" s="314" t="s">
        <v>203</v>
      </c>
      <c r="QZU18" s="314" t="s">
        <v>203</v>
      </c>
      <c r="QZV18" s="314" t="s">
        <v>203</v>
      </c>
      <c r="QZW18" s="314" t="s">
        <v>203</v>
      </c>
      <c r="QZX18" s="314" t="s">
        <v>203</v>
      </c>
      <c r="QZY18" s="314" t="s">
        <v>203</v>
      </c>
      <c r="QZZ18" s="314" t="s">
        <v>203</v>
      </c>
      <c r="RAA18" s="314" t="s">
        <v>203</v>
      </c>
      <c r="RAB18" s="314" t="s">
        <v>203</v>
      </c>
      <c r="RAC18" s="314" t="s">
        <v>203</v>
      </c>
      <c r="RAD18" s="314" t="s">
        <v>203</v>
      </c>
      <c r="RAE18" s="314" t="s">
        <v>203</v>
      </c>
      <c r="RAF18" s="314" t="s">
        <v>203</v>
      </c>
      <c r="RAG18" s="314" t="s">
        <v>203</v>
      </c>
      <c r="RAH18" s="314" t="s">
        <v>203</v>
      </c>
      <c r="RAI18" s="314" t="s">
        <v>203</v>
      </c>
      <c r="RAJ18" s="314" t="s">
        <v>203</v>
      </c>
      <c r="RAK18" s="314" t="s">
        <v>203</v>
      </c>
      <c r="RAL18" s="314" t="s">
        <v>203</v>
      </c>
      <c r="RAM18" s="314" t="s">
        <v>203</v>
      </c>
      <c r="RAN18" s="314" t="s">
        <v>203</v>
      </c>
      <c r="RAO18" s="314" t="s">
        <v>203</v>
      </c>
      <c r="RAP18" s="314" t="s">
        <v>203</v>
      </c>
      <c r="RAQ18" s="314" t="s">
        <v>203</v>
      </c>
      <c r="RAR18" s="314" t="s">
        <v>203</v>
      </c>
      <c r="RAS18" s="314" t="s">
        <v>203</v>
      </c>
      <c r="RAT18" s="314" t="s">
        <v>203</v>
      </c>
      <c r="RAU18" s="314" t="s">
        <v>203</v>
      </c>
      <c r="RAV18" s="314" t="s">
        <v>203</v>
      </c>
      <c r="RAW18" s="314" t="s">
        <v>203</v>
      </c>
      <c r="RAX18" s="314" t="s">
        <v>203</v>
      </c>
      <c r="RAY18" s="314" t="s">
        <v>203</v>
      </c>
      <c r="RAZ18" s="314" t="s">
        <v>203</v>
      </c>
      <c r="RBA18" s="314" t="s">
        <v>203</v>
      </c>
      <c r="RBB18" s="314" t="s">
        <v>203</v>
      </c>
      <c r="RBC18" s="314" t="s">
        <v>203</v>
      </c>
      <c r="RBD18" s="314" t="s">
        <v>203</v>
      </c>
      <c r="RBE18" s="314" t="s">
        <v>203</v>
      </c>
      <c r="RBF18" s="314" t="s">
        <v>203</v>
      </c>
      <c r="RBG18" s="314" t="s">
        <v>203</v>
      </c>
      <c r="RBH18" s="314" t="s">
        <v>203</v>
      </c>
      <c r="RBI18" s="314" t="s">
        <v>203</v>
      </c>
      <c r="RBJ18" s="314" t="s">
        <v>203</v>
      </c>
      <c r="RBK18" s="314" t="s">
        <v>203</v>
      </c>
      <c r="RBL18" s="314" t="s">
        <v>203</v>
      </c>
      <c r="RBM18" s="314" t="s">
        <v>203</v>
      </c>
      <c r="RBN18" s="314" t="s">
        <v>203</v>
      </c>
      <c r="RBO18" s="314" t="s">
        <v>203</v>
      </c>
      <c r="RBP18" s="314" t="s">
        <v>203</v>
      </c>
      <c r="RBQ18" s="314" t="s">
        <v>203</v>
      </c>
      <c r="RBR18" s="314" t="s">
        <v>203</v>
      </c>
      <c r="RBS18" s="314" t="s">
        <v>203</v>
      </c>
      <c r="RBT18" s="314" t="s">
        <v>203</v>
      </c>
      <c r="RBU18" s="314" t="s">
        <v>203</v>
      </c>
      <c r="RBV18" s="314" t="s">
        <v>203</v>
      </c>
      <c r="RBW18" s="314" t="s">
        <v>203</v>
      </c>
      <c r="RBX18" s="314" t="s">
        <v>203</v>
      </c>
      <c r="RBY18" s="314" t="s">
        <v>203</v>
      </c>
      <c r="RBZ18" s="314" t="s">
        <v>203</v>
      </c>
      <c r="RCA18" s="314" t="s">
        <v>203</v>
      </c>
      <c r="RCB18" s="314" t="s">
        <v>203</v>
      </c>
      <c r="RCC18" s="314" t="s">
        <v>203</v>
      </c>
      <c r="RCD18" s="314" t="s">
        <v>203</v>
      </c>
      <c r="RCE18" s="314" t="s">
        <v>203</v>
      </c>
      <c r="RCF18" s="314" t="s">
        <v>203</v>
      </c>
      <c r="RCG18" s="314" t="s">
        <v>203</v>
      </c>
      <c r="RCH18" s="314" t="s">
        <v>203</v>
      </c>
      <c r="RCI18" s="314" t="s">
        <v>203</v>
      </c>
      <c r="RCJ18" s="314" t="s">
        <v>203</v>
      </c>
      <c r="RCK18" s="314" t="s">
        <v>203</v>
      </c>
      <c r="RCL18" s="314" t="s">
        <v>203</v>
      </c>
      <c r="RCM18" s="314" t="s">
        <v>203</v>
      </c>
      <c r="RCN18" s="314" t="s">
        <v>203</v>
      </c>
      <c r="RCO18" s="314" t="s">
        <v>203</v>
      </c>
      <c r="RCP18" s="314" t="s">
        <v>203</v>
      </c>
      <c r="RCQ18" s="314" t="s">
        <v>203</v>
      </c>
      <c r="RCR18" s="314" t="s">
        <v>203</v>
      </c>
      <c r="RCS18" s="314" t="s">
        <v>203</v>
      </c>
      <c r="RCT18" s="314" t="s">
        <v>203</v>
      </c>
      <c r="RCU18" s="314" t="s">
        <v>203</v>
      </c>
      <c r="RCV18" s="314" t="s">
        <v>203</v>
      </c>
      <c r="RCW18" s="314" t="s">
        <v>203</v>
      </c>
      <c r="RCX18" s="314" t="s">
        <v>203</v>
      </c>
      <c r="RCY18" s="314" t="s">
        <v>203</v>
      </c>
      <c r="RCZ18" s="314" t="s">
        <v>203</v>
      </c>
      <c r="RDA18" s="314" t="s">
        <v>203</v>
      </c>
      <c r="RDB18" s="314" t="s">
        <v>203</v>
      </c>
      <c r="RDC18" s="314" t="s">
        <v>203</v>
      </c>
      <c r="RDD18" s="314" t="s">
        <v>203</v>
      </c>
      <c r="RDE18" s="314" t="s">
        <v>203</v>
      </c>
      <c r="RDF18" s="314" t="s">
        <v>203</v>
      </c>
      <c r="RDG18" s="314" t="s">
        <v>203</v>
      </c>
      <c r="RDH18" s="314" t="s">
        <v>203</v>
      </c>
      <c r="RDI18" s="314" t="s">
        <v>203</v>
      </c>
      <c r="RDJ18" s="314" t="s">
        <v>203</v>
      </c>
      <c r="RDK18" s="314" t="s">
        <v>203</v>
      </c>
      <c r="RDL18" s="314" t="s">
        <v>203</v>
      </c>
      <c r="RDM18" s="314" t="s">
        <v>203</v>
      </c>
      <c r="RDN18" s="314" t="s">
        <v>203</v>
      </c>
      <c r="RDO18" s="314" t="s">
        <v>203</v>
      </c>
      <c r="RDP18" s="314" t="s">
        <v>203</v>
      </c>
      <c r="RDQ18" s="314" t="s">
        <v>203</v>
      </c>
      <c r="RDR18" s="314" t="s">
        <v>203</v>
      </c>
      <c r="RDS18" s="314" t="s">
        <v>203</v>
      </c>
      <c r="RDT18" s="314" t="s">
        <v>203</v>
      </c>
      <c r="RDU18" s="314" t="s">
        <v>203</v>
      </c>
      <c r="RDV18" s="314" t="s">
        <v>203</v>
      </c>
      <c r="RDW18" s="314" t="s">
        <v>203</v>
      </c>
      <c r="RDX18" s="314" t="s">
        <v>203</v>
      </c>
      <c r="RDY18" s="314" t="s">
        <v>203</v>
      </c>
      <c r="RDZ18" s="314" t="s">
        <v>203</v>
      </c>
      <c r="REA18" s="314" t="s">
        <v>203</v>
      </c>
      <c r="REB18" s="314" t="s">
        <v>203</v>
      </c>
      <c r="REC18" s="314" t="s">
        <v>203</v>
      </c>
      <c r="RED18" s="314" t="s">
        <v>203</v>
      </c>
      <c r="REE18" s="314" t="s">
        <v>203</v>
      </c>
      <c r="REF18" s="314" t="s">
        <v>203</v>
      </c>
      <c r="REG18" s="314" t="s">
        <v>203</v>
      </c>
      <c r="REH18" s="314" t="s">
        <v>203</v>
      </c>
      <c r="REI18" s="314" t="s">
        <v>203</v>
      </c>
      <c r="REJ18" s="314" t="s">
        <v>203</v>
      </c>
      <c r="REK18" s="314" t="s">
        <v>203</v>
      </c>
      <c r="REL18" s="314" t="s">
        <v>203</v>
      </c>
      <c r="REM18" s="314" t="s">
        <v>203</v>
      </c>
      <c r="REN18" s="314" t="s">
        <v>203</v>
      </c>
      <c r="REO18" s="314" t="s">
        <v>203</v>
      </c>
      <c r="REP18" s="314" t="s">
        <v>203</v>
      </c>
      <c r="REQ18" s="314" t="s">
        <v>203</v>
      </c>
      <c r="RER18" s="314" t="s">
        <v>203</v>
      </c>
      <c r="RES18" s="314" t="s">
        <v>203</v>
      </c>
      <c r="RET18" s="314" t="s">
        <v>203</v>
      </c>
      <c r="REU18" s="314" t="s">
        <v>203</v>
      </c>
      <c r="REV18" s="314" t="s">
        <v>203</v>
      </c>
      <c r="REW18" s="314" t="s">
        <v>203</v>
      </c>
      <c r="REX18" s="314" t="s">
        <v>203</v>
      </c>
      <c r="REY18" s="314" t="s">
        <v>203</v>
      </c>
      <c r="REZ18" s="314" t="s">
        <v>203</v>
      </c>
      <c r="RFA18" s="314" t="s">
        <v>203</v>
      </c>
      <c r="RFB18" s="314" t="s">
        <v>203</v>
      </c>
      <c r="RFC18" s="314" t="s">
        <v>203</v>
      </c>
      <c r="RFD18" s="314" t="s">
        <v>203</v>
      </c>
      <c r="RFE18" s="314" t="s">
        <v>203</v>
      </c>
      <c r="RFF18" s="314" t="s">
        <v>203</v>
      </c>
      <c r="RFG18" s="314" t="s">
        <v>203</v>
      </c>
      <c r="RFH18" s="314" t="s">
        <v>203</v>
      </c>
      <c r="RFI18" s="314" t="s">
        <v>203</v>
      </c>
      <c r="RFJ18" s="314" t="s">
        <v>203</v>
      </c>
      <c r="RFK18" s="314" t="s">
        <v>203</v>
      </c>
      <c r="RFL18" s="314" t="s">
        <v>203</v>
      </c>
      <c r="RFM18" s="314" t="s">
        <v>203</v>
      </c>
      <c r="RFN18" s="314" t="s">
        <v>203</v>
      </c>
      <c r="RFO18" s="314" t="s">
        <v>203</v>
      </c>
      <c r="RFP18" s="314" t="s">
        <v>203</v>
      </c>
      <c r="RFQ18" s="314" t="s">
        <v>203</v>
      </c>
      <c r="RFR18" s="314" t="s">
        <v>203</v>
      </c>
      <c r="RFS18" s="314" t="s">
        <v>203</v>
      </c>
      <c r="RFT18" s="314" t="s">
        <v>203</v>
      </c>
      <c r="RFU18" s="314" t="s">
        <v>203</v>
      </c>
      <c r="RFV18" s="314" t="s">
        <v>203</v>
      </c>
      <c r="RFW18" s="314" t="s">
        <v>203</v>
      </c>
      <c r="RFX18" s="314" t="s">
        <v>203</v>
      </c>
      <c r="RFY18" s="314" t="s">
        <v>203</v>
      </c>
      <c r="RFZ18" s="314" t="s">
        <v>203</v>
      </c>
      <c r="RGA18" s="314" t="s">
        <v>203</v>
      </c>
      <c r="RGB18" s="314" t="s">
        <v>203</v>
      </c>
      <c r="RGC18" s="314" t="s">
        <v>203</v>
      </c>
      <c r="RGD18" s="314" t="s">
        <v>203</v>
      </c>
      <c r="RGE18" s="314" t="s">
        <v>203</v>
      </c>
      <c r="RGF18" s="314" t="s">
        <v>203</v>
      </c>
      <c r="RGG18" s="314" t="s">
        <v>203</v>
      </c>
      <c r="RGH18" s="314" t="s">
        <v>203</v>
      </c>
      <c r="RGI18" s="314" t="s">
        <v>203</v>
      </c>
      <c r="RGJ18" s="314" t="s">
        <v>203</v>
      </c>
      <c r="RGK18" s="314" t="s">
        <v>203</v>
      </c>
      <c r="RGL18" s="314" t="s">
        <v>203</v>
      </c>
      <c r="RGM18" s="314" t="s">
        <v>203</v>
      </c>
      <c r="RGN18" s="314" t="s">
        <v>203</v>
      </c>
      <c r="RGO18" s="314" t="s">
        <v>203</v>
      </c>
      <c r="RGP18" s="314" t="s">
        <v>203</v>
      </c>
      <c r="RGQ18" s="314" t="s">
        <v>203</v>
      </c>
      <c r="RGR18" s="314" t="s">
        <v>203</v>
      </c>
      <c r="RGS18" s="314" t="s">
        <v>203</v>
      </c>
      <c r="RGT18" s="314" t="s">
        <v>203</v>
      </c>
      <c r="RGU18" s="314" t="s">
        <v>203</v>
      </c>
      <c r="RGV18" s="314" t="s">
        <v>203</v>
      </c>
      <c r="RGW18" s="314" t="s">
        <v>203</v>
      </c>
      <c r="RGX18" s="314" t="s">
        <v>203</v>
      </c>
      <c r="RGY18" s="314" t="s">
        <v>203</v>
      </c>
      <c r="RGZ18" s="314" t="s">
        <v>203</v>
      </c>
      <c r="RHA18" s="314" t="s">
        <v>203</v>
      </c>
      <c r="RHB18" s="314" t="s">
        <v>203</v>
      </c>
      <c r="RHC18" s="314" t="s">
        <v>203</v>
      </c>
      <c r="RHD18" s="314" t="s">
        <v>203</v>
      </c>
      <c r="RHE18" s="314" t="s">
        <v>203</v>
      </c>
      <c r="RHF18" s="314" t="s">
        <v>203</v>
      </c>
      <c r="RHG18" s="314" t="s">
        <v>203</v>
      </c>
      <c r="RHH18" s="314" t="s">
        <v>203</v>
      </c>
      <c r="RHI18" s="314" t="s">
        <v>203</v>
      </c>
      <c r="RHJ18" s="314" t="s">
        <v>203</v>
      </c>
      <c r="RHK18" s="314" t="s">
        <v>203</v>
      </c>
      <c r="RHL18" s="314" t="s">
        <v>203</v>
      </c>
      <c r="RHM18" s="314" t="s">
        <v>203</v>
      </c>
      <c r="RHN18" s="314" t="s">
        <v>203</v>
      </c>
      <c r="RHO18" s="314" t="s">
        <v>203</v>
      </c>
      <c r="RHP18" s="314" t="s">
        <v>203</v>
      </c>
      <c r="RHQ18" s="314" t="s">
        <v>203</v>
      </c>
      <c r="RHR18" s="314" t="s">
        <v>203</v>
      </c>
      <c r="RHS18" s="314" t="s">
        <v>203</v>
      </c>
      <c r="RHT18" s="314" t="s">
        <v>203</v>
      </c>
      <c r="RHU18" s="314" t="s">
        <v>203</v>
      </c>
      <c r="RHV18" s="314" t="s">
        <v>203</v>
      </c>
      <c r="RHW18" s="314" t="s">
        <v>203</v>
      </c>
      <c r="RHX18" s="314" t="s">
        <v>203</v>
      </c>
      <c r="RHY18" s="314" t="s">
        <v>203</v>
      </c>
      <c r="RHZ18" s="314" t="s">
        <v>203</v>
      </c>
      <c r="RIA18" s="314" t="s">
        <v>203</v>
      </c>
      <c r="RIB18" s="314" t="s">
        <v>203</v>
      </c>
      <c r="RIC18" s="314" t="s">
        <v>203</v>
      </c>
      <c r="RID18" s="314" t="s">
        <v>203</v>
      </c>
      <c r="RIE18" s="314" t="s">
        <v>203</v>
      </c>
      <c r="RIF18" s="314" t="s">
        <v>203</v>
      </c>
      <c r="RIG18" s="314" t="s">
        <v>203</v>
      </c>
      <c r="RIH18" s="314" t="s">
        <v>203</v>
      </c>
      <c r="RII18" s="314" t="s">
        <v>203</v>
      </c>
      <c r="RIJ18" s="314" t="s">
        <v>203</v>
      </c>
      <c r="RIK18" s="314" t="s">
        <v>203</v>
      </c>
      <c r="RIL18" s="314" t="s">
        <v>203</v>
      </c>
      <c r="RIM18" s="314" t="s">
        <v>203</v>
      </c>
      <c r="RIN18" s="314" t="s">
        <v>203</v>
      </c>
      <c r="RIO18" s="314" t="s">
        <v>203</v>
      </c>
      <c r="RIP18" s="314" t="s">
        <v>203</v>
      </c>
      <c r="RIQ18" s="314" t="s">
        <v>203</v>
      </c>
      <c r="RIR18" s="314" t="s">
        <v>203</v>
      </c>
      <c r="RIS18" s="314" t="s">
        <v>203</v>
      </c>
      <c r="RIT18" s="314" t="s">
        <v>203</v>
      </c>
      <c r="RIU18" s="314" t="s">
        <v>203</v>
      </c>
      <c r="RIV18" s="314" t="s">
        <v>203</v>
      </c>
      <c r="RIW18" s="314" t="s">
        <v>203</v>
      </c>
      <c r="RIX18" s="314" t="s">
        <v>203</v>
      </c>
      <c r="RIY18" s="314" t="s">
        <v>203</v>
      </c>
      <c r="RIZ18" s="314" t="s">
        <v>203</v>
      </c>
      <c r="RJA18" s="314" t="s">
        <v>203</v>
      </c>
      <c r="RJB18" s="314" t="s">
        <v>203</v>
      </c>
      <c r="RJC18" s="314" t="s">
        <v>203</v>
      </c>
      <c r="RJD18" s="314" t="s">
        <v>203</v>
      </c>
      <c r="RJE18" s="314" t="s">
        <v>203</v>
      </c>
      <c r="RJF18" s="314" t="s">
        <v>203</v>
      </c>
      <c r="RJG18" s="314" t="s">
        <v>203</v>
      </c>
      <c r="RJH18" s="314" t="s">
        <v>203</v>
      </c>
      <c r="RJI18" s="314" t="s">
        <v>203</v>
      </c>
      <c r="RJJ18" s="314" t="s">
        <v>203</v>
      </c>
      <c r="RJK18" s="314" t="s">
        <v>203</v>
      </c>
      <c r="RJL18" s="314" t="s">
        <v>203</v>
      </c>
      <c r="RJM18" s="314" t="s">
        <v>203</v>
      </c>
      <c r="RJN18" s="314" t="s">
        <v>203</v>
      </c>
      <c r="RJO18" s="314" t="s">
        <v>203</v>
      </c>
      <c r="RJP18" s="314" t="s">
        <v>203</v>
      </c>
      <c r="RJQ18" s="314" t="s">
        <v>203</v>
      </c>
      <c r="RJR18" s="314" t="s">
        <v>203</v>
      </c>
      <c r="RJS18" s="314" t="s">
        <v>203</v>
      </c>
      <c r="RJT18" s="314" t="s">
        <v>203</v>
      </c>
      <c r="RJU18" s="314" t="s">
        <v>203</v>
      </c>
      <c r="RJV18" s="314" t="s">
        <v>203</v>
      </c>
      <c r="RJW18" s="314" t="s">
        <v>203</v>
      </c>
      <c r="RJX18" s="314" t="s">
        <v>203</v>
      </c>
      <c r="RJY18" s="314" t="s">
        <v>203</v>
      </c>
      <c r="RJZ18" s="314" t="s">
        <v>203</v>
      </c>
      <c r="RKA18" s="314" t="s">
        <v>203</v>
      </c>
      <c r="RKB18" s="314" t="s">
        <v>203</v>
      </c>
      <c r="RKC18" s="314" t="s">
        <v>203</v>
      </c>
      <c r="RKD18" s="314" t="s">
        <v>203</v>
      </c>
      <c r="RKE18" s="314" t="s">
        <v>203</v>
      </c>
      <c r="RKF18" s="314" t="s">
        <v>203</v>
      </c>
      <c r="RKG18" s="314" t="s">
        <v>203</v>
      </c>
      <c r="RKH18" s="314" t="s">
        <v>203</v>
      </c>
      <c r="RKI18" s="314" t="s">
        <v>203</v>
      </c>
      <c r="RKJ18" s="314" t="s">
        <v>203</v>
      </c>
      <c r="RKK18" s="314" t="s">
        <v>203</v>
      </c>
      <c r="RKL18" s="314" t="s">
        <v>203</v>
      </c>
      <c r="RKM18" s="314" t="s">
        <v>203</v>
      </c>
      <c r="RKN18" s="314" t="s">
        <v>203</v>
      </c>
      <c r="RKO18" s="314" t="s">
        <v>203</v>
      </c>
      <c r="RKP18" s="314" t="s">
        <v>203</v>
      </c>
      <c r="RKQ18" s="314" t="s">
        <v>203</v>
      </c>
      <c r="RKR18" s="314" t="s">
        <v>203</v>
      </c>
      <c r="RKS18" s="314" t="s">
        <v>203</v>
      </c>
      <c r="RKT18" s="314" t="s">
        <v>203</v>
      </c>
      <c r="RKU18" s="314" t="s">
        <v>203</v>
      </c>
      <c r="RKV18" s="314" t="s">
        <v>203</v>
      </c>
      <c r="RKW18" s="314" t="s">
        <v>203</v>
      </c>
      <c r="RKX18" s="314" t="s">
        <v>203</v>
      </c>
      <c r="RKY18" s="314" t="s">
        <v>203</v>
      </c>
      <c r="RKZ18" s="314" t="s">
        <v>203</v>
      </c>
      <c r="RLA18" s="314" t="s">
        <v>203</v>
      </c>
      <c r="RLB18" s="314" t="s">
        <v>203</v>
      </c>
      <c r="RLC18" s="314" t="s">
        <v>203</v>
      </c>
      <c r="RLD18" s="314" t="s">
        <v>203</v>
      </c>
      <c r="RLE18" s="314" t="s">
        <v>203</v>
      </c>
      <c r="RLF18" s="314" t="s">
        <v>203</v>
      </c>
      <c r="RLG18" s="314" t="s">
        <v>203</v>
      </c>
      <c r="RLH18" s="314" t="s">
        <v>203</v>
      </c>
      <c r="RLI18" s="314" t="s">
        <v>203</v>
      </c>
      <c r="RLJ18" s="314" t="s">
        <v>203</v>
      </c>
      <c r="RLK18" s="314" t="s">
        <v>203</v>
      </c>
      <c r="RLL18" s="314" t="s">
        <v>203</v>
      </c>
      <c r="RLM18" s="314" t="s">
        <v>203</v>
      </c>
      <c r="RLN18" s="314" t="s">
        <v>203</v>
      </c>
      <c r="RLO18" s="314" t="s">
        <v>203</v>
      </c>
      <c r="RLP18" s="314" t="s">
        <v>203</v>
      </c>
      <c r="RLQ18" s="314" t="s">
        <v>203</v>
      </c>
      <c r="RLR18" s="314" t="s">
        <v>203</v>
      </c>
      <c r="RLS18" s="314" t="s">
        <v>203</v>
      </c>
      <c r="RLT18" s="314" t="s">
        <v>203</v>
      </c>
      <c r="RLU18" s="314" t="s">
        <v>203</v>
      </c>
      <c r="RLV18" s="314" t="s">
        <v>203</v>
      </c>
      <c r="RLW18" s="314" t="s">
        <v>203</v>
      </c>
      <c r="RLX18" s="314" t="s">
        <v>203</v>
      </c>
      <c r="RLY18" s="314" t="s">
        <v>203</v>
      </c>
      <c r="RLZ18" s="314" t="s">
        <v>203</v>
      </c>
      <c r="RMA18" s="314" t="s">
        <v>203</v>
      </c>
      <c r="RMB18" s="314" t="s">
        <v>203</v>
      </c>
      <c r="RMC18" s="314" t="s">
        <v>203</v>
      </c>
      <c r="RMD18" s="314" t="s">
        <v>203</v>
      </c>
      <c r="RME18" s="314" t="s">
        <v>203</v>
      </c>
      <c r="RMF18" s="314" t="s">
        <v>203</v>
      </c>
      <c r="RMG18" s="314" t="s">
        <v>203</v>
      </c>
      <c r="RMH18" s="314" t="s">
        <v>203</v>
      </c>
      <c r="RMI18" s="314" t="s">
        <v>203</v>
      </c>
      <c r="RMJ18" s="314" t="s">
        <v>203</v>
      </c>
      <c r="RMK18" s="314" t="s">
        <v>203</v>
      </c>
      <c r="RML18" s="314" t="s">
        <v>203</v>
      </c>
      <c r="RMM18" s="314" t="s">
        <v>203</v>
      </c>
      <c r="RMN18" s="314" t="s">
        <v>203</v>
      </c>
      <c r="RMO18" s="314" t="s">
        <v>203</v>
      </c>
      <c r="RMP18" s="314" t="s">
        <v>203</v>
      </c>
      <c r="RMQ18" s="314" t="s">
        <v>203</v>
      </c>
      <c r="RMR18" s="314" t="s">
        <v>203</v>
      </c>
      <c r="RMS18" s="314" t="s">
        <v>203</v>
      </c>
      <c r="RMT18" s="314" t="s">
        <v>203</v>
      </c>
      <c r="RMU18" s="314" t="s">
        <v>203</v>
      </c>
      <c r="RMV18" s="314" t="s">
        <v>203</v>
      </c>
      <c r="RMW18" s="314" t="s">
        <v>203</v>
      </c>
      <c r="RMX18" s="314" t="s">
        <v>203</v>
      </c>
      <c r="RMY18" s="314" t="s">
        <v>203</v>
      </c>
      <c r="RMZ18" s="314" t="s">
        <v>203</v>
      </c>
      <c r="RNA18" s="314" t="s">
        <v>203</v>
      </c>
      <c r="RNB18" s="314" t="s">
        <v>203</v>
      </c>
      <c r="RNC18" s="314" t="s">
        <v>203</v>
      </c>
      <c r="RND18" s="314" t="s">
        <v>203</v>
      </c>
      <c r="RNE18" s="314" t="s">
        <v>203</v>
      </c>
      <c r="RNF18" s="314" t="s">
        <v>203</v>
      </c>
      <c r="RNG18" s="314" t="s">
        <v>203</v>
      </c>
      <c r="RNH18" s="314" t="s">
        <v>203</v>
      </c>
      <c r="RNI18" s="314" t="s">
        <v>203</v>
      </c>
      <c r="RNJ18" s="314" t="s">
        <v>203</v>
      </c>
      <c r="RNK18" s="314" t="s">
        <v>203</v>
      </c>
      <c r="RNL18" s="314" t="s">
        <v>203</v>
      </c>
      <c r="RNM18" s="314" t="s">
        <v>203</v>
      </c>
      <c r="RNN18" s="314" t="s">
        <v>203</v>
      </c>
      <c r="RNO18" s="314" t="s">
        <v>203</v>
      </c>
      <c r="RNP18" s="314" t="s">
        <v>203</v>
      </c>
      <c r="RNQ18" s="314" t="s">
        <v>203</v>
      </c>
      <c r="RNR18" s="314" t="s">
        <v>203</v>
      </c>
      <c r="RNS18" s="314" t="s">
        <v>203</v>
      </c>
      <c r="RNT18" s="314" t="s">
        <v>203</v>
      </c>
      <c r="RNU18" s="314" t="s">
        <v>203</v>
      </c>
      <c r="RNV18" s="314" t="s">
        <v>203</v>
      </c>
      <c r="RNW18" s="314" t="s">
        <v>203</v>
      </c>
      <c r="RNX18" s="314" t="s">
        <v>203</v>
      </c>
      <c r="RNY18" s="314" t="s">
        <v>203</v>
      </c>
      <c r="RNZ18" s="314" t="s">
        <v>203</v>
      </c>
      <c r="ROA18" s="314" t="s">
        <v>203</v>
      </c>
      <c r="ROB18" s="314" t="s">
        <v>203</v>
      </c>
      <c r="ROC18" s="314" t="s">
        <v>203</v>
      </c>
      <c r="ROD18" s="314" t="s">
        <v>203</v>
      </c>
      <c r="ROE18" s="314" t="s">
        <v>203</v>
      </c>
      <c r="ROF18" s="314" t="s">
        <v>203</v>
      </c>
      <c r="ROG18" s="314" t="s">
        <v>203</v>
      </c>
      <c r="ROH18" s="314" t="s">
        <v>203</v>
      </c>
      <c r="ROI18" s="314" t="s">
        <v>203</v>
      </c>
      <c r="ROJ18" s="314" t="s">
        <v>203</v>
      </c>
      <c r="ROK18" s="314" t="s">
        <v>203</v>
      </c>
      <c r="ROL18" s="314" t="s">
        <v>203</v>
      </c>
      <c r="ROM18" s="314" t="s">
        <v>203</v>
      </c>
      <c r="RON18" s="314" t="s">
        <v>203</v>
      </c>
      <c r="ROO18" s="314" t="s">
        <v>203</v>
      </c>
      <c r="ROP18" s="314" t="s">
        <v>203</v>
      </c>
      <c r="ROQ18" s="314" t="s">
        <v>203</v>
      </c>
      <c r="ROR18" s="314" t="s">
        <v>203</v>
      </c>
      <c r="ROS18" s="314" t="s">
        <v>203</v>
      </c>
      <c r="ROT18" s="314" t="s">
        <v>203</v>
      </c>
      <c r="ROU18" s="314" t="s">
        <v>203</v>
      </c>
      <c r="ROV18" s="314" t="s">
        <v>203</v>
      </c>
      <c r="ROW18" s="314" t="s">
        <v>203</v>
      </c>
      <c r="ROX18" s="314" t="s">
        <v>203</v>
      </c>
      <c r="ROY18" s="314" t="s">
        <v>203</v>
      </c>
      <c r="ROZ18" s="314" t="s">
        <v>203</v>
      </c>
      <c r="RPA18" s="314" t="s">
        <v>203</v>
      </c>
      <c r="RPB18" s="314" t="s">
        <v>203</v>
      </c>
      <c r="RPC18" s="314" t="s">
        <v>203</v>
      </c>
      <c r="RPD18" s="314" t="s">
        <v>203</v>
      </c>
      <c r="RPE18" s="314" t="s">
        <v>203</v>
      </c>
      <c r="RPF18" s="314" t="s">
        <v>203</v>
      </c>
      <c r="RPG18" s="314" t="s">
        <v>203</v>
      </c>
      <c r="RPH18" s="314" t="s">
        <v>203</v>
      </c>
      <c r="RPI18" s="314" t="s">
        <v>203</v>
      </c>
      <c r="RPJ18" s="314" t="s">
        <v>203</v>
      </c>
      <c r="RPK18" s="314" t="s">
        <v>203</v>
      </c>
      <c r="RPL18" s="314" t="s">
        <v>203</v>
      </c>
      <c r="RPM18" s="314" t="s">
        <v>203</v>
      </c>
      <c r="RPN18" s="314" t="s">
        <v>203</v>
      </c>
      <c r="RPO18" s="314" t="s">
        <v>203</v>
      </c>
      <c r="RPP18" s="314" t="s">
        <v>203</v>
      </c>
      <c r="RPQ18" s="314" t="s">
        <v>203</v>
      </c>
      <c r="RPR18" s="314" t="s">
        <v>203</v>
      </c>
      <c r="RPS18" s="314" t="s">
        <v>203</v>
      </c>
      <c r="RPT18" s="314" t="s">
        <v>203</v>
      </c>
      <c r="RPU18" s="314" t="s">
        <v>203</v>
      </c>
      <c r="RPV18" s="314" t="s">
        <v>203</v>
      </c>
      <c r="RPW18" s="314" t="s">
        <v>203</v>
      </c>
      <c r="RPX18" s="314" t="s">
        <v>203</v>
      </c>
      <c r="RPY18" s="314" t="s">
        <v>203</v>
      </c>
      <c r="RPZ18" s="314" t="s">
        <v>203</v>
      </c>
      <c r="RQA18" s="314" t="s">
        <v>203</v>
      </c>
      <c r="RQB18" s="314" t="s">
        <v>203</v>
      </c>
      <c r="RQC18" s="314" t="s">
        <v>203</v>
      </c>
      <c r="RQD18" s="314" t="s">
        <v>203</v>
      </c>
      <c r="RQE18" s="314" t="s">
        <v>203</v>
      </c>
      <c r="RQF18" s="314" t="s">
        <v>203</v>
      </c>
      <c r="RQG18" s="314" t="s">
        <v>203</v>
      </c>
      <c r="RQH18" s="314" t="s">
        <v>203</v>
      </c>
      <c r="RQI18" s="314" t="s">
        <v>203</v>
      </c>
      <c r="RQJ18" s="314" t="s">
        <v>203</v>
      </c>
      <c r="RQK18" s="314" t="s">
        <v>203</v>
      </c>
      <c r="RQL18" s="314" t="s">
        <v>203</v>
      </c>
      <c r="RQM18" s="314" t="s">
        <v>203</v>
      </c>
      <c r="RQN18" s="314" t="s">
        <v>203</v>
      </c>
      <c r="RQO18" s="314" t="s">
        <v>203</v>
      </c>
      <c r="RQP18" s="314" t="s">
        <v>203</v>
      </c>
      <c r="RQQ18" s="314" t="s">
        <v>203</v>
      </c>
      <c r="RQR18" s="314" t="s">
        <v>203</v>
      </c>
      <c r="RQS18" s="314" t="s">
        <v>203</v>
      </c>
      <c r="RQT18" s="314" t="s">
        <v>203</v>
      </c>
      <c r="RQU18" s="314" t="s">
        <v>203</v>
      </c>
      <c r="RQV18" s="314" t="s">
        <v>203</v>
      </c>
      <c r="RQW18" s="314" t="s">
        <v>203</v>
      </c>
      <c r="RQX18" s="314" t="s">
        <v>203</v>
      </c>
      <c r="RQY18" s="314" t="s">
        <v>203</v>
      </c>
      <c r="RQZ18" s="314" t="s">
        <v>203</v>
      </c>
      <c r="RRA18" s="314" t="s">
        <v>203</v>
      </c>
      <c r="RRB18" s="314" t="s">
        <v>203</v>
      </c>
      <c r="RRC18" s="314" t="s">
        <v>203</v>
      </c>
      <c r="RRD18" s="314" t="s">
        <v>203</v>
      </c>
      <c r="RRE18" s="314" t="s">
        <v>203</v>
      </c>
      <c r="RRF18" s="314" t="s">
        <v>203</v>
      </c>
      <c r="RRG18" s="314" t="s">
        <v>203</v>
      </c>
      <c r="RRH18" s="314" t="s">
        <v>203</v>
      </c>
      <c r="RRI18" s="314" t="s">
        <v>203</v>
      </c>
      <c r="RRJ18" s="314" t="s">
        <v>203</v>
      </c>
      <c r="RRK18" s="314" t="s">
        <v>203</v>
      </c>
      <c r="RRL18" s="314" t="s">
        <v>203</v>
      </c>
      <c r="RRM18" s="314" t="s">
        <v>203</v>
      </c>
      <c r="RRN18" s="314" t="s">
        <v>203</v>
      </c>
      <c r="RRO18" s="314" t="s">
        <v>203</v>
      </c>
      <c r="RRP18" s="314" t="s">
        <v>203</v>
      </c>
      <c r="RRQ18" s="314" t="s">
        <v>203</v>
      </c>
      <c r="RRR18" s="314" t="s">
        <v>203</v>
      </c>
      <c r="RRS18" s="314" t="s">
        <v>203</v>
      </c>
      <c r="RRT18" s="314" t="s">
        <v>203</v>
      </c>
      <c r="RRU18" s="314" t="s">
        <v>203</v>
      </c>
      <c r="RRV18" s="314" t="s">
        <v>203</v>
      </c>
      <c r="RRW18" s="314" t="s">
        <v>203</v>
      </c>
      <c r="RRX18" s="314" t="s">
        <v>203</v>
      </c>
      <c r="RRY18" s="314" t="s">
        <v>203</v>
      </c>
      <c r="RRZ18" s="314" t="s">
        <v>203</v>
      </c>
      <c r="RSA18" s="314" t="s">
        <v>203</v>
      </c>
      <c r="RSB18" s="314" t="s">
        <v>203</v>
      </c>
      <c r="RSC18" s="314" t="s">
        <v>203</v>
      </c>
      <c r="RSD18" s="314" t="s">
        <v>203</v>
      </c>
      <c r="RSE18" s="314" t="s">
        <v>203</v>
      </c>
      <c r="RSF18" s="314" t="s">
        <v>203</v>
      </c>
      <c r="RSG18" s="314" t="s">
        <v>203</v>
      </c>
      <c r="RSH18" s="314" t="s">
        <v>203</v>
      </c>
      <c r="RSI18" s="314" t="s">
        <v>203</v>
      </c>
      <c r="RSJ18" s="314" t="s">
        <v>203</v>
      </c>
      <c r="RSK18" s="314" t="s">
        <v>203</v>
      </c>
      <c r="RSL18" s="314" t="s">
        <v>203</v>
      </c>
      <c r="RSM18" s="314" t="s">
        <v>203</v>
      </c>
      <c r="RSN18" s="314" t="s">
        <v>203</v>
      </c>
      <c r="RSO18" s="314" t="s">
        <v>203</v>
      </c>
      <c r="RSP18" s="314" t="s">
        <v>203</v>
      </c>
      <c r="RSQ18" s="314" t="s">
        <v>203</v>
      </c>
      <c r="RSR18" s="314" t="s">
        <v>203</v>
      </c>
      <c r="RSS18" s="314" t="s">
        <v>203</v>
      </c>
      <c r="RST18" s="314" t="s">
        <v>203</v>
      </c>
      <c r="RSU18" s="314" t="s">
        <v>203</v>
      </c>
      <c r="RSV18" s="314" t="s">
        <v>203</v>
      </c>
      <c r="RSW18" s="314" t="s">
        <v>203</v>
      </c>
      <c r="RSX18" s="314" t="s">
        <v>203</v>
      </c>
      <c r="RSY18" s="314" t="s">
        <v>203</v>
      </c>
      <c r="RSZ18" s="314" t="s">
        <v>203</v>
      </c>
      <c r="RTA18" s="314" t="s">
        <v>203</v>
      </c>
      <c r="RTB18" s="314" t="s">
        <v>203</v>
      </c>
      <c r="RTC18" s="314" t="s">
        <v>203</v>
      </c>
      <c r="RTD18" s="314" t="s">
        <v>203</v>
      </c>
      <c r="RTE18" s="314" t="s">
        <v>203</v>
      </c>
      <c r="RTF18" s="314" t="s">
        <v>203</v>
      </c>
      <c r="RTG18" s="314" t="s">
        <v>203</v>
      </c>
      <c r="RTH18" s="314" t="s">
        <v>203</v>
      </c>
      <c r="RTI18" s="314" t="s">
        <v>203</v>
      </c>
      <c r="RTJ18" s="314" t="s">
        <v>203</v>
      </c>
      <c r="RTK18" s="314" t="s">
        <v>203</v>
      </c>
      <c r="RTL18" s="314" t="s">
        <v>203</v>
      </c>
      <c r="RTM18" s="314" t="s">
        <v>203</v>
      </c>
      <c r="RTN18" s="314" t="s">
        <v>203</v>
      </c>
      <c r="RTO18" s="314" t="s">
        <v>203</v>
      </c>
      <c r="RTP18" s="314" t="s">
        <v>203</v>
      </c>
      <c r="RTQ18" s="314" t="s">
        <v>203</v>
      </c>
      <c r="RTR18" s="314" t="s">
        <v>203</v>
      </c>
      <c r="RTS18" s="314" t="s">
        <v>203</v>
      </c>
      <c r="RTT18" s="314" t="s">
        <v>203</v>
      </c>
      <c r="RTU18" s="314" t="s">
        <v>203</v>
      </c>
      <c r="RTV18" s="314" t="s">
        <v>203</v>
      </c>
      <c r="RTW18" s="314" t="s">
        <v>203</v>
      </c>
      <c r="RTX18" s="314" t="s">
        <v>203</v>
      </c>
      <c r="RTY18" s="314" t="s">
        <v>203</v>
      </c>
      <c r="RTZ18" s="314" t="s">
        <v>203</v>
      </c>
      <c r="RUA18" s="314" t="s">
        <v>203</v>
      </c>
      <c r="RUB18" s="314" t="s">
        <v>203</v>
      </c>
      <c r="RUC18" s="314" t="s">
        <v>203</v>
      </c>
      <c r="RUD18" s="314" t="s">
        <v>203</v>
      </c>
      <c r="RUE18" s="314" t="s">
        <v>203</v>
      </c>
      <c r="RUF18" s="314" t="s">
        <v>203</v>
      </c>
      <c r="RUG18" s="314" t="s">
        <v>203</v>
      </c>
      <c r="RUH18" s="314" t="s">
        <v>203</v>
      </c>
      <c r="RUI18" s="314" t="s">
        <v>203</v>
      </c>
      <c r="RUJ18" s="314" t="s">
        <v>203</v>
      </c>
      <c r="RUK18" s="314" t="s">
        <v>203</v>
      </c>
      <c r="RUL18" s="314" t="s">
        <v>203</v>
      </c>
      <c r="RUM18" s="314" t="s">
        <v>203</v>
      </c>
      <c r="RUN18" s="314" t="s">
        <v>203</v>
      </c>
      <c r="RUO18" s="314" t="s">
        <v>203</v>
      </c>
      <c r="RUP18" s="314" t="s">
        <v>203</v>
      </c>
      <c r="RUQ18" s="314" t="s">
        <v>203</v>
      </c>
      <c r="RUR18" s="314" t="s">
        <v>203</v>
      </c>
      <c r="RUS18" s="314" t="s">
        <v>203</v>
      </c>
      <c r="RUT18" s="314" t="s">
        <v>203</v>
      </c>
      <c r="RUU18" s="314" t="s">
        <v>203</v>
      </c>
      <c r="RUV18" s="314" t="s">
        <v>203</v>
      </c>
      <c r="RUW18" s="314" t="s">
        <v>203</v>
      </c>
      <c r="RUX18" s="314" t="s">
        <v>203</v>
      </c>
      <c r="RUY18" s="314" t="s">
        <v>203</v>
      </c>
      <c r="RUZ18" s="314" t="s">
        <v>203</v>
      </c>
      <c r="RVA18" s="314" t="s">
        <v>203</v>
      </c>
      <c r="RVB18" s="314" t="s">
        <v>203</v>
      </c>
      <c r="RVC18" s="314" t="s">
        <v>203</v>
      </c>
      <c r="RVD18" s="314" t="s">
        <v>203</v>
      </c>
      <c r="RVE18" s="314" t="s">
        <v>203</v>
      </c>
      <c r="RVF18" s="314" t="s">
        <v>203</v>
      </c>
      <c r="RVG18" s="314" t="s">
        <v>203</v>
      </c>
      <c r="RVH18" s="314" t="s">
        <v>203</v>
      </c>
      <c r="RVI18" s="314" t="s">
        <v>203</v>
      </c>
      <c r="RVJ18" s="314" t="s">
        <v>203</v>
      </c>
      <c r="RVK18" s="314" t="s">
        <v>203</v>
      </c>
      <c r="RVL18" s="314" t="s">
        <v>203</v>
      </c>
      <c r="RVM18" s="314" t="s">
        <v>203</v>
      </c>
      <c r="RVN18" s="314" t="s">
        <v>203</v>
      </c>
      <c r="RVO18" s="314" t="s">
        <v>203</v>
      </c>
      <c r="RVP18" s="314" t="s">
        <v>203</v>
      </c>
      <c r="RVQ18" s="314" t="s">
        <v>203</v>
      </c>
      <c r="RVR18" s="314" t="s">
        <v>203</v>
      </c>
      <c r="RVS18" s="314" t="s">
        <v>203</v>
      </c>
      <c r="RVT18" s="314" t="s">
        <v>203</v>
      </c>
      <c r="RVU18" s="314" t="s">
        <v>203</v>
      </c>
      <c r="RVV18" s="314" t="s">
        <v>203</v>
      </c>
      <c r="RVW18" s="314" t="s">
        <v>203</v>
      </c>
      <c r="RVX18" s="314" t="s">
        <v>203</v>
      </c>
      <c r="RVY18" s="314" t="s">
        <v>203</v>
      </c>
      <c r="RVZ18" s="314" t="s">
        <v>203</v>
      </c>
      <c r="RWA18" s="314" t="s">
        <v>203</v>
      </c>
      <c r="RWB18" s="314" t="s">
        <v>203</v>
      </c>
      <c r="RWC18" s="314" t="s">
        <v>203</v>
      </c>
      <c r="RWD18" s="314" t="s">
        <v>203</v>
      </c>
      <c r="RWE18" s="314" t="s">
        <v>203</v>
      </c>
      <c r="RWF18" s="314" t="s">
        <v>203</v>
      </c>
      <c r="RWG18" s="314" t="s">
        <v>203</v>
      </c>
      <c r="RWH18" s="314" t="s">
        <v>203</v>
      </c>
      <c r="RWI18" s="314" t="s">
        <v>203</v>
      </c>
      <c r="RWJ18" s="314" t="s">
        <v>203</v>
      </c>
      <c r="RWK18" s="314" t="s">
        <v>203</v>
      </c>
      <c r="RWL18" s="314" t="s">
        <v>203</v>
      </c>
      <c r="RWM18" s="314" t="s">
        <v>203</v>
      </c>
      <c r="RWN18" s="314" t="s">
        <v>203</v>
      </c>
      <c r="RWO18" s="314" t="s">
        <v>203</v>
      </c>
      <c r="RWP18" s="314" t="s">
        <v>203</v>
      </c>
      <c r="RWQ18" s="314" t="s">
        <v>203</v>
      </c>
      <c r="RWR18" s="314" t="s">
        <v>203</v>
      </c>
      <c r="RWS18" s="314" t="s">
        <v>203</v>
      </c>
      <c r="RWT18" s="314" t="s">
        <v>203</v>
      </c>
      <c r="RWU18" s="314" t="s">
        <v>203</v>
      </c>
      <c r="RWV18" s="314" t="s">
        <v>203</v>
      </c>
      <c r="RWW18" s="314" t="s">
        <v>203</v>
      </c>
      <c r="RWX18" s="314" t="s">
        <v>203</v>
      </c>
      <c r="RWY18" s="314" t="s">
        <v>203</v>
      </c>
      <c r="RWZ18" s="314" t="s">
        <v>203</v>
      </c>
      <c r="RXA18" s="314" t="s">
        <v>203</v>
      </c>
      <c r="RXB18" s="314" t="s">
        <v>203</v>
      </c>
      <c r="RXC18" s="314" t="s">
        <v>203</v>
      </c>
      <c r="RXD18" s="314" t="s">
        <v>203</v>
      </c>
      <c r="RXE18" s="314" t="s">
        <v>203</v>
      </c>
      <c r="RXF18" s="314" t="s">
        <v>203</v>
      </c>
      <c r="RXG18" s="314" t="s">
        <v>203</v>
      </c>
      <c r="RXH18" s="314" t="s">
        <v>203</v>
      </c>
      <c r="RXI18" s="314" t="s">
        <v>203</v>
      </c>
      <c r="RXJ18" s="314" t="s">
        <v>203</v>
      </c>
      <c r="RXK18" s="314" t="s">
        <v>203</v>
      </c>
      <c r="RXL18" s="314" t="s">
        <v>203</v>
      </c>
      <c r="RXM18" s="314" t="s">
        <v>203</v>
      </c>
      <c r="RXN18" s="314" t="s">
        <v>203</v>
      </c>
      <c r="RXO18" s="314" t="s">
        <v>203</v>
      </c>
      <c r="RXP18" s="314" t="s">
        <v>203</v>
      </c>
      <c r="RXQ18" s="314" t="s">
        <v>203</v>
      </c>
      <c r="RXR18" s="314" t="s">
        <v>203</v>
      </c>
      <c r="RXS18" s="314" t="s">
        <v>203</v>
      </c>
      <c r="RXT18" s="314" t="s">
        <v>203</v>
      </c>
      <c r="RXU18" s="314" t="s">
        <v>203</v>
      </c>
      <c r="RXV18" s="314" t="s">
        <v>203</v>
      </c>
      <c r="RXW18" s="314" t="s">
        <v>203</v>
      </c>
      <c r="RXX18" s="314" t="s">
        <v>203</v>
      </c>
      <c r="RXY18" s="314" t="s">
        <v>203</v>
      </c>
      <c r="RXZ18" s="314" t="s">
        <v>203</v>
      </c>
      <c r="RYA18" s="314" t="s">
        <v>203</v>
      </c>
      <c r="RYB18" s="314" t="s">
        <v>203</v>
      </c>
      <c r="RYC18" s="314" t="s">
        <v>203</v>
      </c>
      <c r="RYD18" s="314" t="s">
        <v>203</v>
      </c>
      <c r="RYE18" s="314" t="s">
        <v>203</v>
      </c>
      <c r="RYF18" s="314" t="s">
        <v>203</v>
      </c>
      <c r="RYG18" s="314" t="s">
        <v>203</v>
      </c>
      <c r="RYH18" s="314" t="s">
        <v>203</v>
      </c>
      <c r="RYI18" s="314" t="s">
        <v>203</v>
      </c>
      <c r="RYJ18" s="314" t="s">
        <v>203</v>
      </c>
      <c r="RYK18" s="314" t="s">
        <v>203</v>
      </c>
      <c r="RYL18" s="314" t="s">
        <v>203</v>
      </c>
      <c r="RYM18" s="314" t="s">
        <v>203</v>
      </c>
      <c r="RYN18" s="314" t="s">
        <v>203</v>
      </c>
      <c r="RYO18" s="314" t="s">
        <v>203</v>
      </c>
      <c r="RYP18" s="314" t="s">
        <v>203</v>
      </c>
      <c r="RYQ18" s="314" t="s">
        <v>203</v>
      </c>
      <c r="RYR18" s="314" t="s">
        <v>203</v>
      </c>
      <c r="RYS18" s="314" t="s">
        <v>203</v>
      </c>
      <c r="RYT18" s="314" t="s">
        <v>203</v>
      </c>
      <c r="RYU18" s="314" t="s">
        <v>203</v>
      </c>
      <c r="RYV18" s="314" t="s">
        <v>203</v>
      </c>
      <c r="RYW18" s="314" t="s">
        <v>203</v>
      </c>
      <c r="RYX18" s="314" t="s">
        <v>203</v>
      </c>
      <c r="RYY18" s="314" t="s">
        <v>203</v>
      </c>
      <c r="RYZ18" s="314" t="s">
        <v>203</v>
      </c>
      <c r="RZA18" s="314" t="s">
        <v>203</v>
      </c>
      <c r="RZB18" s="314" t="s">
        <v>203</v>
      </c>
      <c r="RZC18" s="314" t="s">
        <v>203</v>
      </c>
      <c r="RZD18" s="314" t="s">
        <v>203</v>
      </c>
      <c r="RZE18" s="314" t="s">
        <v>203</v>
      </c>
      <c r="RZF18" s="314" t="s">
        <v>203</v>
      </c>
      <c r="RZG18" s="314" t="s">
        <v>203</v>
      </c>
      <c r="RZH18" s="314" t="s">
        <v>203</v>
      </c>
      <c r="RZI18" s="314" t="s">
        <v>203</v>
      </c>
      <c r="RZJ18" s="314" t="s">
        <v>203</v>
      </c>
      <c r="RZK18" s="314" t="s">
        <v>203</v>
      </c>
      <c r="RZL18" s="314" t="s">
        <v>203</v>
      </c>
      <c r="RZM18" s="314" t="s">
        <v>203</v>
      </c>
      <c r="RZN18" s="314" t="s">
        <v>203</v>
      </c>
      <c r="RZO18" s="314" t="s">
        <v>203</v>
      </c>
      <c r="RZP18" s="314" t="s">
        <v>203</v>
      </c>
      <c r="RZQ18" s="314" t="s">
        <v>203</v>
      </c>
      <c r="RZR18" s="314" t="s">
        <v>203</v>
      </c>
      <c r="RZS18" s="314" t="s">
        <v>203</v>
      </c>
      <c r="RZT18" s="314" t="s">
        <v>203</v>
      </c>
      <c r="RZU18" s="314" t="s">
        <v>203</v>
      </c>
      <c r="RZV18" s="314" t="s">
        <v>203</v>
      </c>
      <c r="RZW18" s="314" t="s">
        <v>203</v>
      </c>
      <c r="RZX18" s="314" t="s">
        <v>203</v>
      </c>
      <c r="RZY18" s="314" t="s">
        <v>203</v>
      </c>
      <c r="RZZ18" s="314" t="s">
        <v>203</v>
      </c>
      <c r="SAA18" s="314" t="s">
        <v>203</v>
      </c>
      <c r="SAB18" s="314" t="s">
        <v>203</v>
      </c>
      <c r="SAC18" s="314" t="s">
        <v>203</v>
      </c>
      <c r="SAD18" s="314" t="s">
        <v>203</v>
      </c>
      <c r="SAE18" s="314" t="s">
        <v>203</v>
      </c>
      <c r="SAF18" s="314" t="s">
        <v>203</v>
      </c>
      <c r="SAG18" s="314" t="s">
        <v>203</v>
      </c>
      <c r="SAH18" s="314" t="s">
        <v>203</v>
      </c>
      <c r="SAI18" s="314" t="s">
        <v>203</v>
      </c>
      <c r="SAJ18" s="314" t="s">
        <v>203</v>
      </c>
      <c r="SAK18" s="314" t="s">
        <v>203</v>
      </c>
      <c r="SAL18" s="314" t="s">
        <v>203</v>
      </c>
      <c r="SAM18" s="314" t="s">
        <v>203</v>
      </c>
      <c r="SAN18" s="314" t="s">
        <v>203</v>
      </c>
      <c r="SAO18" s="314" t="s">
        <v>203</v>
      </c>
      <c r="SAP18" s="314" t="s">
        <v>203</v>
      </c>
      <c r="SAQ18" s="314" t="s">
        <v>203</v>
      </c>
      <c r="SAR18" s="314" t="s">
        <v>203</v>
      </c>
      <c r="SAS18" s="314" t="s">
        <v>203</v>
      </c>
      <c r="SAT18" s="314" t="s">
        <v>203</v>
      </c>
      <c r="SAU18" s="314" t="s">
        <v>203</v>
      </c>
      <c r="SAV18" s="314" t="s">
        <v>203</v>
      </c>
      <c r="SAW18" s="314" t="s">
        <v>203</v>
      </c>
      <c r="SAX18" s="314" t="s">
        <v>203</v>
      </c>
      <c r="SAY18" s="314" t="s">
        <v>203</v>
      </c>
      <c r="SAZ18" s="314" t="s">
        <v>203</v>
      </c>
      <c r="SBA18" s="314" t="s">
        <v>203</v>
      </c>
      <c r="SBB18" s="314" t="s">
        <v>203</v>
      </c>
      <c r="SBC18" s="314" t="s">
        <v>203</v>
      </c>
      <c r="SBD18" s="314" t="s">
        <v>203</v>
      </c>
      <c r="SBE18" s="314" t="s">
        <v>203</v>
      </c>
      <c r="SBF18" s="314" t="s">
        <v>203</v>
      </c>
      <c r="SBG18" s="314" t="s">
        <v>203</v>
      </c>
      <c r="SBH18" s="314" t="s">
        <v>203</v>
      </c>
      <c r="SBI18" s="314" t="s">
        <v>203</v>
      </c>
      <c r="SBJ18" s="314" t="s">
        <v>203</v>
      </c>
      <c r="SBK18" s="314" t="s">
        <v>203</v>
      </c>
      <c r="SBL18" s="314" t="s">
        <v>203</v>
      </c>
      <c r="SBM18" s="314" t="s">
        <v>203</v>
      </c>
      <c r="SBN18" s="314" t="s">
        <v>203</v>
      </c>
      <c r="SBO18" s="314" t="s">
        <v>203</v>
      </c>
      <c r="SBP18" s="314" t="s">
        <v>203</v>
      </c>
      <c r="SBQ18" s="314" t="s">
        <v>203</v>
      </c>
      <c r="SBR18" s="314" t="s">
        <v>203</v>
      </c>
      <c r="SBS18" s="314" t="s">
        <v>203</v>
      </c>
      <c r="SBT18" s="314" t="s">
        <v>203</v>
      </c>
      <c r="SBU18" s="314" t="s">
        <v>203</v>
      </c>
      <c r="SBV18" s="314" t="s">
        <v>203</v>
      </c>
      <c r="SBW18" s="314" t="s">
        <v>203</v>
      </c>
      <c r="SBX18" s="314" t="s">
        <v>203</v>
      </c>
      <c r="SBY18" s="314" t="s">
        <v>203</v>
      </c>
      <c r="SBZ18" s="314" t="s">
        <v>203</v>
      </c>
      <c r="SCA18" s="314" t="s">
        <v>203</v>
      </c>
      <c r="SCB18" s="314" t="s">
        <v>203</v>
      </c>
      <c r="SCC18" s="314" t="s">
        <v>203</v>
      </c>
      <c r="SCD18" s="314" t="s">
        <v>203</v>
      </c>
      <c r="SCE18" s="314" t="s">
        <v>203</v>
      </c>
      <c r="SCF18" s="314" t="s">
        <v>203</v>
      </c>
      <c r="SCG18" s="314" t="s">
        <v>203</v>
      </c>
      <c r="SCH18" s="314" t="s">
        <v>203</v>
      </c>
      <c r="SCI18" s="314" t="s">
        <v>203</v>
      </c>
      <c r="SCJ18" s="314" t="s">
        <v>203</v>
      </c>
      <c r="SCK18" s="314" t="s">
        <v>203</v>
      </c>
      <c r="SCL18" s="314" t="s">
        <v>203</v>
      </c>
      <c r="SCM18" s="314" t="s">
        <v>203</v>
      </c>
      <c r="SCN18" s="314" t="s">
        <v>203</v>
      </c>
      <c r="SCO18" s="314" t="s">
        <v>203</v>
      </c>
      <c r="SCP18" s="314" t="s">
        <v>203</v>
      </c>
      <c r="SCQ18" s="314" t="s">
        <v>203</v>
      </c>
      <c r="SCR18" s="314" t="s">
        <v>203</v>
      </c>
      <c r="SCS18" s="314" t="s">
        <v>203</v>
      </c>
      <c r="SCT18" s="314" t="s">
        <v>203</v>
      </c>
      <c r="SCU18" s="314" t="s">
        <v>203</v>
      </c>
      <c r="SCV18" s="314" t="s">
        <v>203</v>
      </c>
      <c r="SCW18" s="314" t="s">
        <v>203</v>
      </c>
      <c r="SCX18" s="314" t="s">
        <v>203</v>
      </c>
      <c r="SCY18" s="314" t="s">
        <v>203</v>
      </c>
      <c r="SCZ18" s="314" t="s">
        <v>203</v>
      </c>
      <c r="SDA18" s="314" t="s">
        <v>203</v>
      </c>
      <c r="SDB18" s="314" t="s">
        <v>203</v>
      </c>
      <c r="SDC18" s="314" t="s">
        <v>203</v>
      </c>
      <c r="SDD18" s="314" t="s">
        <v>203</v>
      </c>
      <c r="SDE18" s="314" t="s">
        <v>203</v>
      </c>
      <c r="SDF18" s="314" t="s">
        <v>203</v>
      </c>
      <c r="SDG18" s="314" t="s">
        <v>203</v>
      </c>
      <c r="SDH18" s="314" t="s">
        <v>203</v>
      </c>
      <c r="SDI18" s="314" t="s">
        <v>203</v>
      </c>
      <c r="SDJ18" s="314" t="s">
        <v>203</v>
      </c>
      <c r="SDK18" s="314" t="s">
        <v>203</v>
      </c>
      <c r="SDL18" s="314" t="s">
        <v>203</v>
      </c>
      <c r="SDM18" s="314" t="s">
        <v>203</v>
      </c>
      <c r="SDN18" s="314" t="s">
        <v>203</v>
      </c>
      <c r="SDO18" s="314" t="s">
        <v>203</v>
      </c>
      <c r="SDP18" s="314" t="s">
        <v>203</v>
      </c>
      <c r="SDQ18" s="314" t="s">
        <v>203</v>
      </c>
      <c r="SDR18" s="314" t="s">
        <v>203</v>
      </c>
      <c r="SDS18" s="314" t="s">
        <v>203</v>
      </c>
      <c r="SDT18" s="314" t="s">
        <v>203</v>
      </c>
      <c r="SDU18" s="314" t="s">
        <v>203</v>
      </c>
      <c r="SDV18" s="314" t="s">
        <v>203</v>
      </c>
      <c r="SDW18" s="314" t="s">
        <v>203</v>
      </c>
      <c r="SDX18" s="314" t="s">
        <v>203</v>
      </c>
      <c r="SDY18" s="314" t="s">
        <v>203</v>
      </c>
      <c r="SDZ18" s="314" t="s">
        <v>203</v>
      </c>
      <c r="SEA18" s="314" t="s">
        <v>203</v>
      </c>
      <c r="SEB18" s="314" t="s">
        <v>203</v>
      </c>
      <c r="SEC18" s="314" t="s">
        <v>203</v>
      </c>
      <c r="SED18" s="314" t="s">
        <v>203</v>
      </c>
      <c r="SEE18" s="314" t="s">
        <v>203</v>
      </c>
      <c r="SEF18" s="314" t="s">
        <v>203</v>
      </c>
      <c r="SEG18" s="314" t="s">
        <v>203</v>
      </c>
      <c r="SEH18" s="314" t="s">
        <v>203</v>
      </c>
      <c r="SEI18" s="314" t="s">
        <v>203</v>
      </c>
      <c r="SEJ18" s="314" t="s">
        <v>203</v>
      </c>
      <c r="SEK18" s="314" t="s">
        <v>203</v>
      </c>
      <c r="SEL18" s="314" t="s">
        <v>203</v>
      </c>
      <c r="SEM18" s="314" t="s">
        <v>203</v>
      </c>
      <c r="SEN18" s="314" t="s">
        <v>203</v>
      </c>
      <c r="SEO18" s="314" t="s">
        <v>203</v>
      </c>
      <c r="SEP18" s="314" t="s">
        <v>203</v>
      </c>
      <c r="SEQ18" s="314" t="s">
        <v>203</v>
      </c>
      <c r="SER18" s="314" t="s">
        <v>203</v>
      </c>
      <c r="SES18" s="314" t="s">
        <v>203</v>
      </c>
      <c r="SET18" s="314" t="s">
        <v>203</v>
      </c>
      <c r="SEU18" s="314" t="s">
        <v>203</v>
      </c>
      <c r="SEV18" s="314" t="s">
        <v>203</v>
      </c>
      <c r="SEW18" s="314" t="s">
        <v>203</v>
      </c>
      <c r="SEX18" s="314" t="s">
        <v>203</v>
      </c>
      <c r="SEY18" s="314" t="s">
        <v>203</v>
      </c>
      <c r="SEZ18" s="314" t="s">
        <v>203</v>
      </c>
      <c r="SFA18" s="314" t="s">
        <v>203</v>
      </c>
      <c r="SFB18" s="314" t="s">
        <v>203</v>
      </c>
      <c r="SFC18" s="314" t="s">
        <v>203</v>
      </c>
      <c r="SFD18" s="314" t="s">
        <v>203</v>
      </c>
      <c r="SFE18" s="314" t="s">
        <v>203</v>
      </c>
      <c r="SFF18" s="314" t="s">
        <v>203</v>
      </c>
      <c r="SFG18" s="314" t="s">
        <v>203</v>
      </c>
      <c r="SFH18" s="314" t="s">
        <v>203</v>
      </c>
      <c r="SFI18" s="314" t="s">
        <v>203</v>
      </c>
      <c r="SFJ18" s="314" t="s">
        <v>203</v>
      </c>
      <c r="SFK18" s="314" t="s">
        <v>203</v>
      </c>
      <c r="SFL18" s="314" t="s">
        <v>203</v>
      </c>
      <c r="SFM18" s="314" t="s">
        <v>203</v>
      </c>
      <c r="SFN18" s="314" t="s">
        <v>203</v>
      </c>
      <c r="SFO18" s="314" t="s">
        <v>203</v>
      </c>
      <c r="SFP18" s="314" t="s">
        <v>203</v>
      </c>
      <c r="SFQ18" s="314" t="s">
        <v>203</v>
      </c>
      <c r="SFR18" s="314" t="s">
        <v>203</v>
      </c>
      <c r="SFS18" s="314" t="s">
        <v>203</v>
      </c>
      <c r="SFT18" s="314" t="s">
        <v>203</v>
      </c>
      <c r="SFU18" s="314" t="s">
        <v>203</v>
      </c>
      <c r="SFV18" s="314" t="s">
        <v>203</v>
      </c>
      <c r="SFW18" s="314" t="s">
        <v>203</v>
      </c>
      <c r="SFX18" s="314" t="s">
        <v>203</v>
      </c>
      <c r="SFY18" s="314" t="s">
        <v>203</v>
      </c>
      <c r="SFZ18" s="314" t="s">
        <v>203</v>
      </c>
      <c r="SGA18" s="314" t="s">
        <v>203</v>
      </c>
      <c r="SGB18" s="314" t="s">
        <v>203</v>
      </c>
      <c r="SGC18" s="314" t="s">
        <v>203</v>
      </c>
      <c r="SGD18" s="314" t="s">
        <v>203</v>
      </c>
      <c r="SGE18" s="314" t="s">
        <v>203</v>
      </c>
      <c r="SGF18" s="314" t="s">
        <v>203</v>
      </c>
      <c r="SGG18" s="314" t="s">
        <v>203</v>
      </c>
      <c r="SGH18" s="314" t="s">
        <v>203</v>
      </c>
      <c r="SGI18" s="314" t="s">
        <v>203</v>
      </c>
      <c r="SGJ18" s="314" t="s">
        <v>203</v>
      </c>
      <c r="SGK18" s="314" t="s">
        <v>203</v>
      </c>
      <c r="SGL18" s="314" t="s">
        <v>203</v>
      </c>
      <c r="SGM18" s="314" t="s">
        <v>203</v>
      </c>
      <c r="SGN18" s="314" t="s">
        <v>203</v>
      </c>
      <c r="SGO18" s="314" t="s">
        <v>203</v>
      </c>
      <c r="SGP18" s="314" t="s">
        <v>203</v>
      </c>
      <c r="SGQ18" s="314" t="s">
        <v>203</v>
      </c>
      <c r="SGR18" s="314" t="s">
        <v>203</v>
      </c>
      <c r="SGS18" s="314" t="s">
        <v>203</v>
      </c>
      <c r="SGT18" s="314" t="s">
        <v>203</v>
      </c>
      <c r="SGU18" s="314" t="s">
        <v>203</v>
      </c>
      <c r="SGV18" s="314" t="s">
        <v>203</v>
      </c>
      <c r="SGW18" s="314" t="s">
        <v>203</v>
      </c>
      <c r="SGX18" s="314" t="s">
        <v>203</v>
      </c>
      <c r="SGY18" s="314" t="s">
        <v>203</v>
      </c>
      <c r="SGZ18" s="314" t="s">
        <v>203</v>
      </c>
      <c r="SHA18" s="314" t="s">
        <v>203</v>
      </c>
      <c r="SHB18" s="314" t="s">
        <v>203</v>
      </c>
      <c r="SHC18" s="314" t="s">
        <v>203</v>
      </c>
      <c r="SHD18" s="314" t="s">
        <v>203</v>
      </c>
      <c r="SHE18" s="314" t="s">
        <v>203</v>
      </c>
      <c r="SHF18" s="314" t="s">
        <v>203</v>
      </c>
      <c r="SHG18" s="314" t="s">
        <v>203</v>
      </c>
      <c r="SHH18" s="314" t="s">
        <v>203</v>
      </c>
      <c r="SHI18" s="314" t="s">
        <v>203</v>
      </c>
      <c r="SHJ18" s="314" t="s">
        <v>203</v>
      </c>
      <c r="SHK18" s="314" t="s">
        <v>203</v>
      </c>
      <c r="SHL18" s="314" t="s">
        <v>203</v>
      </c>
      <c r="SHM18" s="314" t="s">
        <v>203</v>
      </c>
      <c r="SHN18" s="314" t="s">
        <v>203</v>
      </c>
      <c r="SHO18" s="314" t="s">
        <v>203</v>
      </c>
      <c r="SHP18" s="314" t="s">
        <v>203</v>
      </c>
      <c r="SHQ18" s="314" t="s">
        <v>203</v>
      </c>
      <c r="SHR18" s="314" t="s">
        <v>203</v>
      </c>
      <c r="SHS18" s="314" t="s">
        <v>203</v>
      </c>
      <c r="SHT18" s="314" t="s">
        <v>203</v>
      </c>
      <c r="SHU18" s="314" t="s">
        <v>203</v>
      </c>
      <c r="SHV18" s="314" t="s">
        <v>203</v>
      </c>
      <c r="SHW18" s="314" t="s">
        <v>203</v>
      </c>
      <c r="SHX18" s="314" t="s">
        <v>203</v>
      </c>
      <c r="SHY18" s="314" t="s">
        <v>203</v>
      </c>
      <c r="SHZ18" s="314" t="s">
        <v>203</v>
      </c>
      <c r="SIA18" s="314" t="s">
        <v>203</v>
      </c>
      <c r="SIB18" s="314" t="s">
        <v>203</v>
      </c>
      <c r="SIC18" s="314" t="s">
        <v>203</v>
      </c>
      <c r="SID18" s="314" t="s">
        <v>203</v>
      </c>
      <c r="SIE18" s="314" t="s">
        <v>203</v>
      </c>
      <c r="SIF18" s="314" t="s">
        <v>203</v>
      </c>
      <c r="SIG18" s="314" t="s">
        <v>203</v>
      </c>
      <c r="SIH18" s="314" t="s">
        <v>203</v>
      </c>
      <c r="SII18" s="314" t="s">
        <v>203</v>
      </c>
      <c r="SIJ18" s="314" t="s">
        <v>203</v>
      </c>
      <c r="SIK18" s="314" t="s">
        <v>203</v>
      </c>
      <c r="SIL18" s="314" t="s">
        <v>203</v>
      </c>
      <c r="SIM18" s="314" t="s">
        <v>203</v>
      </c>
      <c r="SIN18" s="314" t="s">
        <v>203</v>
      </c>
      <c r="SIO18" s="314" t="s">
        <v>203</v>
      </c>
      <c r="SIP18" s="314" t="s">
        <v>203</v>
      </c>
      <c r="SIQ18" s="314" t="s">
        <v>203</v>
      </c>
      <c r="SIR18" s="314" t="s">
        <v>203</v>
      </c>
      <c r="SIS18" s="314" t="s">
        <v>203</v>
      </c>
      <c r="SIT18" s="314" t="s">
        <v>203</v>
      </c>
      <c r="SIU18" s="314" t="s">
        <v>203</v>
      </c>
      <c r="SIV18" s="314" t="s">
        <v>203</v>
      </c>
      <c r="SIW18" s="314" t="s">
        <v>203</v>
      </c>
      <c r="SIX18" s="314" t="s">
        <v>203</v>
      </c>
      <c r="SIY18" s="314" t="s">
        <v>203</v>
      </c>
      <c r="SIZ18" s="314" t="s">
        <v>203</v>
      </c>
      <c r="SJA18" s="314" t="s">
        <v>203</v>
      </c>
      <c r="SJB18" s="314" t="s">
        <v>203</v>
      </c>
      <c r="SJC18" s="314" t="s">
        <v>203</v>
      </c>
      <c r="SJD18" s="314" t="s">
        <v>203</v>
      </c>
      <c r="SJE18" s="314" t="s">
        <v>203</v>
      </c>
      <c r="SJF18" s="314" t="s">
        <v>203</v>
      </c>
      <c r="SJG18" s="314" t="s">
        <v>203</v>
      </c>
      <c r="SJH18" s="314" t="s">
        <v>203</v>
      </c>
      <c r="SJI18" s="314" t="s">
        <v>203</v>
      </c>
      <c r="SJJ18" s="314" t="s">
        <v>203</v>
      </c>
      <c r="SJK18" s="314" t="s">
        <v>203</v>
      </c>
      <c r="SJL18" s="314" t="s">
        <v>203</v>
      </c>
      <c r="SJM18" s="314" t="s">
        <v>203</v>
      </c>
      <c r="SJN18" s="314" t="s">
        <v>203</v>
      </c>
      <c r="SJO18" s="314" t="s">
        <v>203</v>
      </c>
      <c r="SJP18" s="314" t="s">
        <v>203</v>
      </c>
      <c r="SJQ18" s="314" t="s">
        <v>203</v>
      </c>
      <c r="SJR18" s="314" t="s">
        <v>203</v>
      </c>
      <c r="SJS18" s="314" t="s">
        <v>203</v>
      </c>
      <c r="SJT18" s="314" t="s">
        <v>203</v>
      </c>
      <c r="SJU18" s="314" t="s">
        <v>203</v>
      </c>
      <c r="SJV18" s="314" t="s">
        <v>203</v>
      </c>
      <c r="SJW18" s="314" t="s">
        <v>203</v>
      </c>
      <c r="SJX18" s="314" t="s">
        <v>203</v>
      </c>
      <c r="SJY18" s="314" t="s">
        <v>203</v>
      </c>
      <c r="SJZ18" s="314" t="s">
        <v>203</v>
      </c>
      <c r="SKA18" s="314" t="s">
        <v>203</v>
      </c>
      <c r="SKB18" s="314" t="s">
        <v>203</v>
      </c>
      <c r="SKC18" s="314" t="s">
        <v>203</v>
      </c>
      <c r="SKD18" s="314" t="s">
        <v>203</v>
      </c>
      <c r="SKE18" s="314" t="s">
        <v>203</v>
      </c>
      <c r="SKF18" s="314" t="s">
        <v>203</v>
      </c>
      <c r="SKG18" s="314" t="s">
        <v>203</v>
      </c>
      <c r="SKH18" s="314" t="s">
        <v>203</v>
      </c>
      <c r="SKI18" s="314" t="s">
        <v>203</v>
      </c>
      <c r="SKJ18" s="314" t="s">
        <v>203</v>
      </c>
      <c r="SKK18" s="314" t="s">
        <v>203</v>
      </c>
      <c r="SKL18" s="314" t="s">
        <v>203</v>
      </c>
      <c r="SKM18" s="314" t="s">
        <v>203</v>
      </c>
      <c r="SKN18" s="314" t="s">
        <v>203</v>
      </c>
      <c r="SKO18" s="314" t="s">
        <v>203</v>
      </c>
      <c r="SKP18" s="314" t="s">
        <v>203</v>
      </c>
      <c r="SKQ18" s="314" t="s">
        <v>203</v>
      </c>
      <c r="SKR18" s="314" t="s">
        <v>203</v>
      </c>
      <c r="SKS18" s="314" t="s">
        <v>203</v>
      </c>
      <c r="SKT18" s="314" t="s">
        <v>203</v>
      </c>
      <c r="SKU18" s="314" t="s">
        <v>203</v>
      </c>
      <c r="SKV18" s="314" t="s">
        <v>203</v>
      </c>
      <c r="SKW18" s="314" t="s">
        <v>203</v>
      </c>
      <c r="SKX18" s="314" t="s">
        <v>203</v>
      </c>
      <c r="SKY18" s="314" t="s">
        <v>203</v>
      </c>
      <c r="SKZ18" s="314" t="s">
        <v>203</v>
      </c>
      <c r="SLA18" s="314" t="s">
        <v>203</v>
      </c>
      <c r="SLB18" s="314" t="s">
        <v>203</v>
      </c>
      <c r="SLC18" s="314" t="s">
        <v>203</v>
      </c>
      <c r="SLD18" s="314" t="s">
        <v>203</v>
      </c>
      <c r="SLE18" s="314" t="s">
        <v>203</v>
      </c>
      <c r="SLF18" s="314" t="s">
        <v>203</v>
      </c>
      <c r="SLG18" s="314" t="s">
        <v>203</v>
      </c>
      <c r="SLH18" s="314" t="s">
        <v>203</v>
      </c>
      <c r="SLI18" s="314" t="s">
        <v>203</v>
      </c>
      <c r="SLJ18" s="314" t="s">
        <v>203</v>
      </c>
      <c r="SLK18" s="314" t="s">
        <v>203</v>
      </c>
      <c r="SLL18" s="314" t="s">
        <v>203</v>
      </c>
      <c r="SLM18" s="314" t="s">
        <v>203</v>
      </c>
      <c r="SLN18" s="314" t="s">
        <v>203</v>
      </c>
      <c r="SLO18" s="314" t="s">
        <v>203</v>
      </c>
      <c r="SLP18" s="314" t="s">
        <v>203</v>
      </c>
      <c r="SLQ18" s="314" t="s">
        <v>203</v>
      </c>
      <c r="SLR18" s="314" t="s">
        <v>203</v>
      </c>
      <c r="SLS18" s="314" t="s">
        <v>203</v>
      </c>
      <c r="SLT18" s="314" t="s">
        <v>203</v>
      </c>
      <c r="SLU18" s="314" t="s">
        <v>203</v>
      </c>
      <c r="SLV18" s="314" t="s">
        <v>203</v>
      </c>
      <c r="SLW18" s="314" t="s">
        <v>203</v>
      </c>
      <c r="SLX18" s="314" t="s">
        <v>203</v>
      </c>
      <c r="SLY18" s="314" t="s">
        <v>203</v>
      </c>
      <c r="SLZ18" s="314" t="s">
        <v>203</v>
      </c>
      <c r="SMA18" s="314" t="s">
        <v>203</v>
      </c>
      <c r="SMB18" s="314" t="s">
        <v>203</v>
      </c>
      <c r="SMC18" s="314" t="s">
        <v>203</v>
      </c>
      <c r="SMD18" s="314" t="s">
        <v>203</v>
      </c>
      <c r="SME18" s="314" t="s">
        <v>203</v>
      </c>
      <c r="SMF18" s="314" t="s">
        <v>203</v>
      </c>
      <c r="SMG18" s="314" t="s">
        <v>203</v>
      </c>
      <c r="SMH18" s="314" t="s">
        <v>203</v>
      </c>
      <c r="SMI18" s="314" t="s">
        <v>203</v>
      </c>
      <c r="SMJ18" s="314" t="s">
        <v>203</v>
      </c>
      <c r="SMK18" s="314" t="s">
        <v>203</v>
      </c>
      <c r="SML18" s="314" t="s">
        <v>203</v>
      </c>
      <c r="SMM18" s="314" t="s">
        <v>203</v>
      </c>
      <c r="SMN18" s="314" t="s">
        <v>203</v>
      </c>
      <c r="SMO18" s="314" t="s">
        <v>203</v>
      </c>
      <c r="SMP18" s="314" t="s">
        <v>203</v>
      </c>
      <c r="SMQ18" s="314" t="s">
        <v>203</v>
      </c>
      <c r="SMR18" s="314" t="s">
        <v>203</v>
      </c>
      <c r="SMS18" s="314" t="s">
        <v>203</v>
      </c>
      <c r="SMT18" s="314" t="s">
        <v>203</v>
      </c>
      <c r="SMU18" s="314" t="s">
        <v>203</v>
      </c>
      <c r="SMV18" s="314" t="s">
        <v>203</v>
      </c>
      <c r="SMW18" s="314" t="s">
        <v>203</v>
      </c>
      <c r="SMX18" s="314" t="s">
        <v>203</v>
      </c>
      <c r="SMY18" s="314" t="s">
        <v>203</v>
      </c>
      <c r="SMZ18" s="314" t="s">
        <v>203</v>
      </c>
      <c r="SNA18" s="314" t="s">
        <v>203</v>
      </c>
      <c r="SNB18" s="314" t="s">
        <v>203</v>
      </c>
      <c r="SNC18" s="314" t="s">
        <v>203</v>
      </c>
      <c r="SND18" s="314" t="s">
        <v>203</v>
      </c>
      <c r="SNE18" s="314" t="s">
        <v>203</v>
      </c>
      <c r="SNF18" s="314" t="s">
        <v>203</v>
      </c>
      <c r="SNG18" s="314" t="s">
        <v>203</v>
      </c>
      <c r="SNH18" s="314" t="s">
        <v>203</v>
      </c>
      <c r="SNI18" s="314" t="s">
        <v>203</v>
      </c>
      <c r="SNJ18" s="314" t="s">
        <v>203</v>
      </c>
      <c r="SNK18" s="314" t="s">
        <v>203</v>
      </c>
      <c r="SNL18" s="314" t="s">
        <v>203</v>
      </c>
      <c r="SNM18" s="314" t="s">
        <v>203</v>
      </c>
      <c r="SNN18" s="314" t="s">
        <v>203</v>
      </c>
      <c r="SNO18" s="314" t="s">
        <v>203</v>
      </c>
      <c r="SNP18" s="314" t="s">
        <v>203</v>
      </c>
      <c r="SNQ18" s="314" t="s">
        <v>203</v>
      </c>
      <c r="SNR18" s="314" t="s">
        <v>203</v>
      </c>
      <c r="SNS18" s="314" t="s">
        <v>203</v>
      </c>
      <c r="SNT18" s="314" t="s">
        <v>203</v>
      </c>
      <c r="SNU18" s="314" t="s">
        <v>203</v>
      </c>
      <c r="SNV18" s="314" t="s">
        <v>203</v>
      </c>
      <c r="SNW18" s="314" t="s">
        <v>203</v>
      </c>
      <c r="SNX18" s="314" t="s">
        <v>203</v>
      </c>
      <c r="SNY18" s="314" t="s">
        <v>203</v>
      </c>
      <c r="SNZ18" s="314" t="s">
        <v>203</v>
      </c>
      <c r="SOA18" s="314" t="s">
        <v>203</v>
      </c>
      <c r="SOB18" s="314" t="s">
        <v>203</v>
      </c>
      <c r="SOC18" s="314" t="s">
        <v>203</v>
      </c>
      <c r="SOD18" s="314" t="s">
        <v>203</v>
      </c>
      <c r="SOE18" s="314" t="s">
        <v>203</v>
      </c>
      <c r="SOF18" s="314" t="s">
        <v>203</v>
      </c>
      <c r="SOG18" s="314" t="s">
        <v>203</v>
      </c>
      <c r="SOH18" s="314" t="s">
        <v>203</v>
      </c>
      <c r="SOI18" s="314" t="s">
        <v>203</v>
      </c>
      <c r="SOJ18" s="314" t="s">
        <v>203</v>
      </c>
      <c r="SOK18" s="314" t="s">
        <v>203</v>
      </c>
      <c r="SOL18" s="314" t="s">
        <v>203</v>
      </c>
      <c r="SOM18" s="314" t="s">
        <v>203</v>
      </c>
      <c r="SON18" s="314" t="s">
        <v>203</v>
      </c>
      <c r="SOO18" s="314" t="s">
        <v>203</v>
      </c>
      <c r="SOP18" s="314" t="s">
        <v>203</v>
      </c>
      <c r="SOQ18" s="314" t="s">
        <v>203</v>
      </c>
      <c r="SOR18" s="314" t="s">
        <v>203</v>
      </c>
      <c r="SOS18" s="314" t="s">
        <v>203</v>
      </c>
      <c r="SOT18" s="314" t="s">
        <v>203</v>
      </c>
      <c r="SOU18" s="314" t="s">
        <v>203</v>
      </c>
      <c r="SOV18" s="314" t="s">
        <v>203</v>
      </c>
      <c r="SOW18" s="314" t="s">
        <v>203</v>
      </c>
      <c r="SOX18" s="314" t="s">
        <v>203</v>
      </c>
      <c r="SOY18" s="314" t="s">
        <v>203</v>
      </c>
      <c r="SOZ18" s="314" t="s">
        <v>203</v>
      </c>
      <c r="SPA18" s="314" t="s">
        <v>203</v>
      </c>
      <c r="SPB18" s="314" t="s">
        <v>203</v>
      </c>
      <c r="SPC18" s="314" t="s">
        <v>203</v>
      </c>
      <c r="SPD18" s="314" t="s">
        <v>203</v>
      </c>
      <c r="SPE18" s="314" t="s">
        <v>203</v>
      </c>
      <c r="SPF18" s="314" t="s">
        <v>203</v>
      </c>
      <c r="SPG18" s="314" t="s">
        <v>203</v>
      </c>
      <c r="SPH18" s="314" t="s">
        <v>203</v>
      </c>
      <c r="SPI18" s="314" t="s">
        <v>203</v>
      </c>
      <c r="SPJ18" s="314" t="s">
        <v>203</v>
      </c>
      <c r="SPK18" s="314" t="s">
        <v>203</v>
      </c>
      <c r="SPL18" s="314" t="s">
        <v>203</v>
      </c>
      <c r="SPM18" s="314" t="s">
        <v>203</v>
      </c>
      <c r="SPN18" s="314" t="s">
        <v>203</v>
      </c>
      <c r="SPO18" s="314" t="s">
        <v>203</v>
      </c>
      <c r="SPP18" s="314" t="s">
        <v>203</v>
      </c>
      <c r="SPQ18" s="314" t="s">
        <v>203</v>
      </c>
      <c r="SPR18" s="314" t="s">
        <v>203</v>
      </c>
      <c r="SPS18" s="314" t="s">
        <v>203</v>
      </c>
      <c r="SPT18" s="314" t="s">
        <v>203</v>
      </c>
      <c r="SPU18" s="314" t="s">
        <v>203</v>
      </c>
      <c r="SPV18" s="314" t="s">
        <v>203</v>
      </c>
      <c r="SPW18" s="314" t="s">
        <v>203</v>
      </c>
      <c r="SPX18" s="314" t="s">
        <v>203</v>
      </c>
      <c r="SPY18" s="314" t="s">
        <v>203</v>
      </c>
      <c r="SPZ18" s="314" t="s">
        <v>203</v>
      </c>
      <c r="SQA18" s="314" t="s">
        <v>203</v>
      </c>
      <c r="SQB18" s="314" t="s">
        <v>203</v>
      </c>
      <c r="SQC18" s="314" t="s">
        <v>203</v>
      </c>
      <c r="SQD18" s="314" t="s">
        <v>203</v>
      </c>
      <c r="SQE18" s="314" t="s">
        <v>203</v>
      </c>
      <c r="SQF18" s="314" t="s">
        <v>203</v>
      </c>
      <c r="SQG18" s="314" t="s">
        <v>203</v>
      </c>
      <c r="SQH18" s="314" t="s">
        <v>203</v>
      </c>
      <c r="SQI18" s="314" t="s">
        <v>203</v>
      </c>
      <c r="SQJ18" s="314" t="s">
        <v>203</v>
      </c>
      <c r="SQK18" s="314" t="s">
        <v>203</v>
      </c>
      <c r="SQL18" s="314" t="s">
        <v>203</v>
      </c>
      <c r="SQM18" s="314" t="s">
        <v>203</v>
      </c>
      <c r="SQN18" s="314" t="s">
        <v>203</v>
      </c>
      <c r="SQO18" s="314" t="s">
        <v>203</v>
      </c>
      <c r="SQP18" s="314" t="s">
        <v>203</v>
      </c>
      <c r="SQQ18" s="314" t="s">
        <v>203</v>
      </c>
      <c r="SQR18" s="314" t="s">
        <v>203</v>
      </c>
      <c r="SQS18" s="314" t="s">
        <v>203</v>
      </c>
      <c r="SQT18" s="314" t="s">
        <v>203</v>
      </c>
      <c r="SQU18" s="314" t="s">
        <v>203</v>
      </c>
      <c r="SQV18" s="314" t="s">
        <v>203</v>
      </c>
      <c r="SQW18" s="314" t="s">
        <v>203</v>
      </c>
      <c r="SQX18" s="314" t="s">
        <v>203</v>
      </c>
      <c r="SQY18" s="314" t="s">
        <v>203</v>
      </c>
      <c r="SQZ18" s="314" t="s">
        <v>203</v>
      </c>
      <c r="SRA18" s="314" t="s">
        <v>203</v>
      </c>
      <c r="SRB18" s="314" t="s">
        <v>203</v>
      </c>
      <c r="SRC18" s="314" t="s">
        <v>203</v>
      </c>
      <c r="SRD18" s="314" t="s">
        <v>203</v>
      </c>
      <c r="SRE18" s="314" t="s">
        <v>203</v>
      </c>
      <c r="SRF18" s="314" t="s">
        <v>203</v>
      </c>
      <c r="SRG18" s="314" t="s">
        <v>203</v>
      </c>
      <c r="SRH18" s="314" t="s">
        <v>203</v>
      </c>
      <c r="SRI18" s="314" t="s">
        <v>203</v>
      </c>
      <c r="SRJ18" s="314" t="s">
        <v>203</v>
      </c>
      <c r="SRK18" s="314" t="s">
        <v>203</v>
      </c>
      <c r="SRL18" s="314" t="s">
        <v>203</v>
      </c>
      <c r="SRM18" s="314" t="s">
        <v>203</v>
      </c>
      <c r="SRN18" s="314" t="s">
        <v>203</v>
      </c>
      <c r="SRO18" s="314" t="s">
        <v>203</v>
      </c>
      <c r="SRP18" s="314" t="s">
        <v>203</v>
      </c>
      <c r="SRQ18" s="314" t="s">
        <v>203</v>
      </c>
      <c r="SRR18" s="314" t="s">
        <v>203</v>
      </c>
      <c r="SRS18" s="314" t="s">
        <v>203</v>
      </c>
      <c r="SRT18" s="314" t="s">
        <v>203</v>
      </c>
      <c r="SRU18" s="314" t="s">
        <v>203</v>
      </c>
      <c r="SRV18" s="314" t="s">
        <v>203</v>
      </c>
      <c r="SRW18" s="314" t="s">
        <v>203</v>
      </c>
      <c r="SRX18" s="314" t="s">
        <v>203</v>
      </c>
      <c r="SRY18" s="314" t="s">
        <v>203</v>
      </c>
      <c r="SRZ18" s="314" t="s">
        <v>203</v>
      </c>
      <c r="SSA18" s="314" t="s">
        <v>203</v>
      </c>
      <c r="SSB18" s="314" t="s">
        <v>203</v>
      </c>
      <c r="SSC18" s="314" t="s">
        <v>203</v>
      </c>
      <c r="SSD18" s="314" t="s">
        <v>203</v>
      </c>
      <c r="SSE18" s="314" t="s">
        <v>203</v>
      </c>
      <c r="SSF18" s="314" t="s">
        <v>203</v>
      </c>
      <c r="SSG18" s="314" t="s">
        <v>203</v>
      </c>
      <c r="SSH18" s="314" t="s">
        <v>203</v>
      </c>
      <c r="SSI18" s="314" t="s">
        <v>203</v>
      </c>
      <c r="SSJ18" s="314" t="s">
        <v>203</v>
      </c>
      <c r="SSK18" s="314" t="s">
        <v>203</v>
      </c>
      <c r="SSL18" s="314" t="s">
        <v>203</v>
      </c>
      <c r="SSM18" s="314" t="s">
        <v>203</v>
      </c>
      <c r="SSN18" s="314" t="s">
        <v>203</v>
      </c>
      <c r="SSO18" s="314" t="s">
        <v>203</v>
      </c>
      <c r="SSP18" s="314" t="s">
        <v>203</v>
      </c>
      <c r="SSQ18" s="314" t="s">
        <v>203</v>
      </c>
      <c r="SSR18" s="314" t="s">
        <v>203</v>
      </c>
      <c r="SSS18" s="314" t="s">
        <v>203</v>
      </c>
      <c r="SST18" s="314" t="s">
        <v>203</v>
      </c>
      <c r="SSU18" s="314" t="s">
        <v>203</v>
      </c>
      <c r="SSV18" s="314" t="s">
        <v>203</v>
      </c>
      <c r="SSW18" s="314" t="s">
        <v>203</v>
      </c>
      <c r="SSX18" s="314" t="s">
        <v>203</v>
      </c>
      <c r="SSY18" s="314" t="s">
        <v>203</v>
      </c>
      <c r="SSZ18" s="314" t="s">
        <v>203</v>
      </c>
      <c r="STA18" s="314" t="s">
        <v>203</v>
      </c>
      <c r="STB18" s="314" t="s">
        <v>203</v>
      </c>
      <c r="STC18" s="314" t="s">
        <v>203</v>
      </c>
      <c r="STD18" s="314" t="s">
        <v>203</v>
      </c>
      <c r="STE18" s="314" t="s">
        <v>203</v>
      </c>
      <c r="STF18" s="314" t="s">
        <v>203</v>
      </c>
      <c r="STG18" s="314" t="s">
        <v>203</v>
      </c>
      <c r="STH18" s="314" t="s">
        <v>203</v>
      </c>
      <c r="STI18" s="314" t="s">
        <v>203</v>
      </c>
      <c r="STJ18" s="314" t="s">
        <v>203</v>
      </c>
      <c r="STK18" s="314" t="s">
        <v>203</v>
      </c>
      <c r="STL18" s="314" t="s">
        <v>203</v>
      </c>
      <c r="STM18" s="314" t="s">
        <v>203</v>
      </c>
      <c r="STN18" s="314" t="s">
        <v>203</v>
      </c>
      <c r="STO18" s="314" t="s">
        <v>203</v>
      </c>
      <c r="STP18" s="314" t="s">
        <v>203</v>
      </c>
      <c r="STQ18" s="314" t="s">
        <v>203</v>
      </c>
      <c r="STR18" s="314" t="s">
        <v>203</v>
      </c>
      <c r="STS18" s="314" t="s">
        <v>203</v>
      </c>
      <c r="STT18" s="314" t="s">
        <v>203</v>
      </c>
      <c r="STU18" s="314" t="s">
        <v>203</v>
      </c>
      <c r="STV18" s="314" t="s">
        <v>203</v>
      </c>
      <c r="STW18" s="314" t="s">
        <v>203</v>
      </c>
      <c r="STX18" s="314" t="s">
        <v>203</v>
      </c>
      <c r="STY18" s="314" t="s">
        <v>203</v>
      </c>
      <c r="STZ18" s="314" t="s">
        <v>203</v>
      </c>
      <c r="SUA18" s="314" t="s">
        <v>203</v>
      </c>
      <c r="SUB18" s="314" t="s">
        <v>203</v>
      </c>
      <c r="SUC18" s="314" t="s">
        <v>203</v>
      </c>
      <c r="SUD18" s="314" t="s">
        <v>203</v>
      </c>
      <c r="SUE18" s="314" t="s">
        <v>203</v>
      </c>
      <c r="SUF18" s="314" t="s">
        <v>203</v>
      </c>
      <c r="SUG18" s="314" t="s">
        <v>203</v>
      </c>
      <c r="SUH18" s="314" t="s">
        <v>203</v>
      </c>
      <c r="SUI18" s="314" t="s">
        <v>203</v>
      </c>
      <c r="SUJ18" s="314" t="s">
        <v>203</v>
      </c>
      <c r="SUK18" s="314" t="s">
        <v>203</v>
      </c>
      <c r="SUL18" s="314" t="s">
        <v>203</v>
      </c>
      <c r="SUM18" s="314" t="s">
        <v>203</v>
      </c>
      <c r="SUN18" s="314" t="s">
        <v>203</v>
      </c>
      <c r="SUO18" s="314" t="s">
        <v>203</v>
      </c>
      <c r="SUP18" s="314" t="s">
        <v>203</v>
      </c>
      <c r="SUQ18" s="314" t="s">
        <v>203</v>
      </c>
      <c r="SUR18" s="314" t="s">
        <v>203</v>
      </c>
      <c r="SUS18" s="314" t="s">
        <v>203</v>
      </c>
      <c r="SUT18" s="314" t="s">
        <v>203</v>
      </c>
      <c r="SUU18" s="314" t="s">
        <v>203</v>
      </c>
      <c r="SUV18" s="314" t="s">
        <v>203</v>
      </c>
      <c r="SUW18" s="314" t="s">
        <v>203</v>
      </c>
      <c r="SUX18" s="314" t="s">
        <v>203</v>
      </c>
      <c r="SUY18" s="314" t="s">
        <v>203</v>
      </c>
      <c r="SUZ18" s="314" t="s">
        <v>203</v>
      </c>
      <c r="SVA18" s="314" t="s">
        <v>203</v>
      </c>
      <c r="SVB18" s="314" t="s">
        <v>203</v>
      </c>
      <c r="SVC18" s="314" t="s">
        <v>203</v>
      </c>
      <c r="SVD18" s="314" t="s">
        <v>203</v>
      </c>
      <c r="SVE18" s="314" t="s">
        <v>203</v>
      </c>
      <c r="SVF18" s="314" t="s">
        <v>203</v>
      </c>
      <c r="SVG18" s="314" t="s">
        <v>203</v>
      </c>
      <c r="SVH18" s="314" t="s">
        <v>203</v>
      </c>
      <c r="SVI18" s="314" t="s">
        <v>203</v>
      </c>
      <c r="SVJ18" s="314" t="s">
        <v>203</v>
      </c>
      <c r="SVK18" s="314" t="s">
        <v>203</v>
      </c>
      <c r="SVL18" s="314" t="s">
        <v>203</v>
      </c>
      <c r="SVM18" s="314" t="s">
        <v>203</v>
      </c>
      <c r="SVN18" s="314" t="s">
        <v>203</v>
      </c>
      <c r="SVO18" s="314" t="s">
        <v>203</v>
      </c>
      <c r="SVP18" s="314" t="s">
        <v>203</v>
      </c>
      <c r="SVQ18" s="314" t="s">
        <v>203</v>
      </c>
      <c r="SVR18" s="314" t="s">
        <v>203</v>
      </c>
      <c r="SVS18" s="314" t="s">
        <v>203</v>
      </c>
      <c r="SVT18" s="314" t="s">
        <v>203</v>
      </c>
      <c r="SVU18" s="314" t="s">
        <v>203</v>
      </c>
      <c r="SVV18" s="314" t="s">
        <v>203</v>
      </c>
      <c r="SVW18" s="314" t="s">
        <v>203</v>
      </c>
      <c r="SVX18" s="314" t="s">
        <v>203</v>
      </c>
      <c r="SVY18" s="314" t="s">
        <v>203</v>
      </c>
      <c r="SVZ18" s="314" t="s">
        <v>203</v>
      </c>
      <c r="SWA18" s="314" t="s">
        <v>203</v>
      </c>
      <c r="SWB18" s="314" t="s">
        <v>203</v>
      </c>
      <c r="SWC18" s="314" t="s">
        <v>203</v>
      </c>
      <c r="SWD18" s="314" t="s">
        <v>203</v>
      </c>
      <c r="SWE18" s="314" t="s">
        <v>203</v>
      </c>
      <c r="SWF18" s="314" t="s">
        <v>203</v>
      </c>
      <c r="SWG18" s="314" t="s">
        <v>203</v>
      </c>
      <c r="SWH18" s="314" t="s">
        <v>203</v>
      </c>
      <c r="SWI18" s="314" t="s">
        <v>203</v>
      </c>
      <c r="SWJ18" s="314" t="s">
        <v>203</v>
      </c>
      <c r="SWK18" s="314" t="s">
        <v>203</v>
      </c>
      <c r="SWL18" s="314" t="s">
        <v>203</v>
      </c>
      <c r="SWM18" s="314" t="s">
        <v>203</v>
      </c>
      <c r="SWN18" s="314" t="s">
        <v>203</v>
      </c>
      <c r="SWO18" s="314" t="s">
        <v>203</v>
      </c>
      <c r="SWP18" s="314" t="s">
        <v>203</v>
      </c>
      <c r="SWQ18" s="314" t="s">
        <v>203</v>
      </c>
      <c r="SWR18" s="314" t="s">
        <v>203</v>
      </c>
      <c r="SWS18" s="314" t="s">
        <v>203</v>
      </c>
      <c r="SWT18" s="314" t="s">
        <v>203</v>
      </c>
      <c r="SWU18" s="314" t="s">
        <v>203</v>
      </c>
      <c r="SWV18" s="314" t="s">
        <v>203</v>
      </c>
      <c r="SWW18" s="314" t="s">
        <v>203</v>
      </c>
      <c r="SWX18" s="314" t="s">
        <v>203</v>
      </c>
      <c r="SWY18" s="314" t="s">
        <v>203</v>
      </c>
      <c r="SWZ18" s="314" t="s">
        <v>203</v>
      </c>
      <c r="SXA18" s="314" t="s">
        <v>203</v>
      </c>
      <c r="SXB18" s="314" t="s">
        <v>203</v>
      </c>
      <c r="SXC18" s="314" t="s">
        <v>203</v>
      </c>
      <c r="SXD18" s="314" t="s">
        <v>203</v>
      </c>
      <c r="SXE18" s="314" t="s">
        <v>203</v>
      </c>
      <c r="SXF18" s="314" t="s">
        <v>203</v>
      </c>
      <c r="SXG18" s="314" t="s">
        <v>203</v>
      </c>
      <c r="SXH18" s="314" t="s">
        <v>203</v>
      </c>
      <c r="SXI18" s="314" t="s">
        <v>203</v>
      </c>
      <c r="SXJ18" s="314" t="s">
        <v>203</v>
      </c>
      <c r="SXK18" s="314" t="s">
        <v>203</v>
      </c>
      <c r="SXL18" s="314" t="s">
        <v>203</v>
      </c>
      <c r="SXM18" s="314" t="s">
        <v>203</v>
      </c>
      <c r="SXN18" s="314" t="s">
        <v>203</v>
      </c>
      <c r="SXO18" s="314" t="s">
        <v>203</v>
      </c>
      <c r="SXP18" s="314" t="s">
        <v>203</v>
      </c>
      <c r="SXQ18" s="314" t="s">
        <v>203</v>
      </c>
      <c r="SXR18" s="314" t="s">
        <v>203</v>
      </c>
      <c r="SXS18" s="314" t="s">
        <v>203</v>
      </c>
      <c r="SXT18" s="314" t="s">
        <v>203</v>
      </c>
      <c r="SXU18" s="314" t="s">
        <v>203</v>
      </c>
      <c r="SXV18" s="314" t="s">
        <v>203</v>
      </c>
      <c r="SXW18" s="314" t="s">
        <v>203</v>
      </c>
      <c r="SXX18" s="314" t="s">
        <v>203</v>
      </c>
      <c r="SXY18" s="314" t="s">
        <v>203</v>
      </c>
      <c r="SXZ18" s="314" t="s">
        <v>203</v>
      </c>
      <c r="SYA18" s="314" t="s">
        <v>203</v>
      </c>
      <c r="SYB18" s="314" t="s">
        <v>203</v>
      </c>
      <c r="SYC18" s="314" t="s">
        <v>203</v>
      </c>
      <c r="SYD18" s="314" t="s">
        <v>203</v>
      </c>
      <c r="SYE18" s="314" t="s">
        <v>203</v>
      </c>
      <c r="SYF18" s="314" t="s">
        <v>203</v>
      </c>
      <c r="SYG18" s="314" t="s">
        <v>203</v>
      </c>
      <c r="SYH18" s="314" t="s">
        <v>203</v>
      </c>
      <c r="SYI18" s="314" t="s">
        <v>203</v>
      </c>
      <c r="SYJ18" s="314" t="s">
        <v>203</v>
      </c>
      <c r="SYK18" s="314" t="s">
        <v>203</v>
      </c>
      <c r="SYL18" s="314" t="s">
        <v>203</v>
      </c>
      <c r="SYM18" s="314" t="s">
        <v>203</v>
      </c>
      <c r="SYN18" s="314" t="s">
        <v>203</v>
      </c>
      <c r="SYO18" s="314" t="s">
        <v>203</v>
      </c>
      <c r="SYP18" s="314" t="s">
        <v>203</v>
      </c>
      <c r="SYQ18" s="314" t="s">
        <v>203</v>
      </c>
      <c r="SYR18" s="314" t="s">
        <v>203</v>
      </c>
      <c r="SYS18" s="314" t="s">
        <v>203</v>
      </c>
      <c r="SYT18" s="314" t="s">
        <v>203</v>
      </c>
      <c r="SYU18" s="314" t="s">
        <v>203</v>
      </c>
      <c r="SYV18" s="314" t="s">
        <v>203</v>
      </c>
      <c r="SYW18" s="314" t="s">
        <v>203</v>
      </c>
      <c r="SYX18" s="314" t="s">
        <v>203</v>
      </c>
      <c r="SYY18" s="314" t="s">
        <v>203</v>
      </c>
      <c r="SYZ18" s="314" t="s">
        <v>203</v>
      </c>
      <c r="SZA18" s="314" t="s">
        <v>203</v>
      </c>
      <c r="SZB18" s="314" t="s">
        <v>203</v>
      </c>
      <c r="SZC18" s="314" t="s">
        <v>203</v>
      </c>
      <c r="SZD18" s="314" t="s">
        <v>203</v>
      </c>
      <c r="SZE18" s="314" t="s">
        <v>203</v>
      </c>
      <c r="SZF18" s="314" t="s">
        <v>203</v>
      </c>
      <c r="SZG18" s="314" t="s">
        <v>203</v>
      </c>
      <c r="SZH18" s="314" t="s">
        <v>203</v>
      </c>
      <c r="SZI18" s="314" t="s">
        <v>203</v>
      </c>
      <c r="SZJ18" s="314" t="s">
        <v>203</v>
      </c>
      <c r="SZK18" s="314" t="s">
        <v>203</v>
      </c>
      <c r="SZL18" s="314" t="s">
        <v>203</v>
      </c>
      <c r="SZM18" s="314" t="s">
        <v>203</v>
      </c>
      <c r="SZN18" s="314" t="s">
        <v>203</v>
      </c>
      <c r="SZO18" s="314" t="s">
        <v>203</v>
      </c>
      <c r="SZP18" s="314" t="s">
        <v>203</v>
      </c>
      <c r="SZQ18" s="314" t="s">
        <v>203</v>
      </c>
      <c r="SZR18" s="314" t="s">
        <v>203</v>
      </c>
      <c r="SZS18" s="314" t="s">
        <v>203</v>
      </c>
      <c r="SZT18" s="314" t="s">
        <v>203</v>
      </c>
      <c r="SZU18" s="314" t="s">
        <v>203</v>
      </c>
      <c r="SZV18" s="314" t="s">
        <v>203</v>
      </c>
      <c r="SZW18" s="314" t="s">
        <v>203</v>
      </c>
      <c r="SZX18" s="314" t="s">
        <v>203</v>
      </c>
      <c r="SZY18" s="314" t="s">
        <v>203</v>
      </c>
      <c r="SZZ18" s="314" t="s">
        <v>203</v>
      </c>
      <c r="TAA18" s="314" t="s">
        <v>203</v>
      </c>
      <c r="TAB18" s="314" t="s">
        <v>203</v>
      </c>
      <c r="TAC18" s="314" t="s">
        <v>203</v>
      </c>
      <c r="TAD18" s="314" t="s">
        <v>203</v>
      </c>
      <c r="TAE18" s="314" t="s">
        <v>203</v>
      </c>
      <c r="TAF18" s="314" t="s">
        <v>203</v>
      </c>
      <c r="TAG18" s="314" t="s">
        <v>203</v>
      </c>
      <c r="TAH18" s="314" t="s">
        <v>203</v>
      </c>
      <c r="TAI18" s="314" t="s">
        <v>203</v>
      </c>
      <c r="TAJ18" s="314" t="s">
        <v>203</v>
      </c>
      <c r="TAK18" s="314" t="s">
        <v>203</v>
      </c>
      <c r="TAL18" s="314" t="s">
        <v>203</v>
      </c>
      <c r="TAM18" s="314" t="s">
        <v>203</v>
      </c>
      <c r="TAN18" s="314" t="s">
        <v>203</v>
      </c>
      <c r="TAO18" s="314" t="s">
        <v>203</v>
      </c>
      <c r="TAP18" s="314" t="s">
        <v>203</v>
      </c>
      <c r="TAQ18" s="314" t="s">
        <v>203</v>
      </c>
      <c r="TAR18" s="314" t="s">
        <v>203</v>
      </c>
      <c r="TAS18" s="314" t="s">
        <v>203</v>
      </c>
      <c r="TAT18" s="314" t="s">
        <v>203</v>
      </c>
      <c r="TAU18" s="314" t="s">
        <v>203</v>
      </c>
      <c r="TAV18" s="314" t="s">
        <v>203</v>
      </c>
      <c r="TAW18" s="314" t="s">
        <v>203</v>
      </c>
      <c r="TAX18" s="314" t="s">
        <v>203</v>
      </c>
      <c r="TAY18" s="314" t="s">
        <v>203</v>
      </c>
      <c r="TAZ18" s="314" t="s">
        <v>203</v>
      </c>
      <c r="TBA18" s="314" t="s">
        <v>203</v>
      </c>
      <c r="TBB18" s="314" t="s">
        <v>203</v>
      </c>
      <c r="TBC18" s="314" t="s">
        <v>203</v>
      </c>
      <c r="TBD18" s="314" t="s">
        <v>203</v>
      </c>
      <c r="TBE18" s="314" t="s">
        <v>203</v>
      </c>
      <c r="TBF18" s="314" t="s">
        <v>203</v>
      </c>
      <c r="TBG18" s="314" t="s">
        <v>203</v>
      </c>
      <c r="TBH18" s="314" t="s">
        <v>203</v>
      </c>
      <c r="TBI18" s="314" t="s">
        <v>203</v>
      </c>
      <c r="TBJ18" s="314" t="s">
        <v>203</v>
      </c>
      <c r="TBK18" s="314" t="s">
        <v>203</v>
      </c>
      <c r="TBL18" s="314" t="s">
        <v>203</v>
      </c>
      <c r="TBM18" s="314" t="s">
        <v>203</v>
      </c>
      <c r="TBN18" s="314" t="s">
        <v>203</v>
      </c>
      <c r="TBO18" s="314" t="s">
        <v>203</v>
      </c>
      <c r="TBP18" s="314" t="s">
        <v>203</v>
      </c>
      <c r="TBQ18" s="314" t="s">
        <v>203</v>
      </c>
      <c r="TBR18" s="314" t="s">
        <v>203</v>
      </c>
      <c r="TBS18" s="314" t="s">
        <v>203</v>
      </c>
      <c r="TBT18" s="314" t="s">
        <v>203</v>
      </c>
      <c r="TBU18" s="314" t="s">
        <v>203</v>
      </c>
      <c r="TBV18" s="314" t="s">
        <v>203</v>
      </c>
      <c r="TBW18" s="314" t="s">
        <v>203</v>
      </c>
      <c r="TBX18" s="314" t="s">
        <v>203</v>
      </c>
      <c r="TBY18" s="314" t="s">
        <v>203</v>
      </c>
      <c r="TBZ18" s="314" t="s">
        <v>203</v>
      </c>
      <c r="TCA18" s="314" t="s">
        <v>203</v>
      </c>
      <c r="TCB18" s="314" t="s">
        <v>203</v>
      </c>
      <c r="TCC18" s="314" t="s">
        <v>203</v>
      </c>
      <c r="TCD18" s="314" t="s">
        <v>203</v>
      </c>
      <c r="TCE18" s="314" t="s">
        <v>203</v>
      </c>
      <c r="TCF18" s="314" t="s">
        <v>203</v>
      </c>
      <c r="TCG18" s="314" t="s">
        <v>203</v>
      </c>
      <c r="TCH18" s="314" t="s">
        <v>203</v>
      </c>
      <c r="TCI18" s="314" t="s">
        <v>203</v>
      </c>
      <c r="TCJ18" s="314" t="s">
        <v>203</v>
      </c>
      <c r="TCK18" s="314" t="s">
        <v>203</v>
      </c>
      <c r="TCL18" s="314" t="s">
        <v>203</v>
      </c>
      <c r="TCM18" s="314" t="s">
        <v>203</v>
      </c>
      <c r="TCN18" s="314" t="s">
        <v>203</v>
      </c>
      <c r="TCO18" s="314" t="s">
        <v>203</v>
      </c>
      <c r="TCP18" s="314" t="s">
        <v>203</v>
      </c>
      <c r="TCQ18" s="314" t="s">
        <v>203</v>
      </c>
      <c r="TCR18" s="314" t="s">
        <v>203</v>
      </c>
      <c r="TCS18" s="314" t="s">
        <v>203</v>
      </c>
      <c r="TCT18" s="314" t="s">
        <v>203</v>
      </c>
      <c r="TCU18" s="314" t="s">
        <v>203</v>
      </c>
      <c r="TCV18" s="314" t="s">
        <v>203</v>
      </c>
      <c r="TCW18" s="314" t="s">
        <v>203</v>
      </c>
      <c r="TCX18" s="314" t="s">
        <v>203</v>
      </c>
      <c r="TCY18" s="314" t="s">
        <v>203</v>
      </c>
      <c r="TCZ18" s="314" t="s">
        <v>203</v>
      </c>
      <c r="TDA18" s="314" t="s">
        <v>203</v>
      </c>
      <c r="TDB18" s="314" t="s">
        <v>203</v>
      </c>
      <c r="TDC18" s="314" t="s">
        <v>203</v>
      </c>
      <c r="TDD18" s="314" t="s">
        <v>203</v>
      </c>
      <c r="TDE18" s="314" t="s">
        <v>203</v>
      </c>
      <c r="TDF18" s="314" t="s">
        <v>203</v>
      </c>
      <c r="TDG18" s="314" t="s">
        <v>203</v>
      </c>
      <c r="TDH18" s="314" t="s">
        <v>203</v>
      </c>
      <c r="TDI18" s="314" t="s">
        <v>203</v>
      </c>
      <c r="TDJ18" s="314" t="s">
        <v>203</v>
      </c>
      <c r="TDK18" s="314" t="s">
        <v>203</v>
      </c>
      <c r="TDL18" s="314" t="s">
        <v>203</v>
      </c>
      <c r="TDM18" s="314" t="s">
        <v>203</v>
      </c>
      <c r="TDN18" s="314" t="s">
        <v>203</v>
      </c>
      <c r="TDO18" s="314" t="s">
        <v>203</v>
      </c>
      <c r="TDP18" s="314" t="s">
        <v>203</v>
      </c>
      <c r="TDQ18" s="314" t="s">
        <v>203</v>
      </c>
      <c r="TDR18" s="314" t="s">
        <v>203</v>
      </c>
      <c r="TDS18" s="314" t="s">
        <v>203</v>
      </c>
      <c r="TDT18" s="314" t="s">
        <v>203</v>
      </c>
      <c r="TDU18" s="314" t="s">
        <v>203</v>
      </c>
      <c r="TDV18" s="314" t="s">
        <v>203</v>
      </c>
      <c r="TDW18" s="314" t="s">
        <v>203</v>
      </c>
      <c r="TDX18" s="314" t="s">
        <v>203</v>
      </c>
      <c r="TDY18" s="314" t="s">
        <v>203</v>
      </c>
      <c r="TDZ18" s="314" t="s">
        <v>203</v>
      </c>
      <c r="TEA18" s="314" t="s">
        <v>203</v>
      </c>
      <c r="TEB18" s="314" t="s">
        <v>203</v>
      </c>
      <c r="TEC18" s="314" t="s">
        <v>203</v>
      </c>
      <c r="TED18" s="314" t="s">
        <v>203</v>
      </c>
      <c r="TEE18" s="314" t="s">
        <v>203</v>
      </c>
      <c r="TEF18" s="314" t="s">
        <v>203</v>
      </c>
      <c r="TEG18" s="314" t="s">
        <v>203</v>
      </c>
      <c r="TEH18" s="314" t="s">
        <v>203</v>
      </c>
      <c r="TEI18" s="314" t="s">
        <v>203</v>
      </c>
      <c r="TEJ18" s="314" t="s">
        <v>203</v>
      </c>
      <c r="TEK18" s="314" t="s">
        <v>203</v>
      </c>
      <c r="TEL18" s="314" t="s">
        <v>203</v>
      </c>
      <c r="TEM18" s="314" t="s">
        <v>203</v>
      </c>
      <c r="TEN18" s="314" t="s">
        <v>203</v>
      </c>
      <c r="TEO18" s="314" t="s">
        <v>203</v>
      </c>
      <c r="TEP18" s="314" t="s">
        <v>203</v>
      </c>
      <c r="TEQ18" s="314" t="s">
        <v>203</v>
      </c>
      <c r="TER18" s="314" t="s">
        <v>203</v>
      </c>
      <c r="TES18" s="314" t="s">
        <v>203</v>
      </c>
      <c r="TET18" s="314" t="s">
        <v>203</v>
      </c>
      <c r="TEU18" s="314" t="s">
        <v>203</v>
      </c>
      <c r="TEV18" s="314" t="s">
        <v>203</v>
      </c>
      <c r="TEW18" s="314" t="s">
        <v>203</v>
      </c>
      <c r="TEX18" s="314" t="s">
        <v>203</v>
      </c>
      <c r="TEY18" s="314" t="s">
        <v>203</v>
      </c>
      <c r="TEZ18" s="314" t="s">
        <v>203</v>
      </c>
      <c r="TFA18" s="314" t="s">
        <v>203</v>
      </c>
      <c r="TFB18" s="314" t="s">
        <v>203</v>
      </c>
      <c r="TFC18" s="314" t="s">
        <v>203</v>
      </c>
      <c r="TFD18" s="314" t="s">
        <v>203</v>
      </c>
      <c r="TFE18" s="314" t="s">
        <v>203</v>
      </c>
      <c r="TFF18" s="314" t="s">
        <v>203</v>
      </c>
      <c r="TFG18" s="314" t="s">
        <v>203</v>
      </c>
      <c r="TFH18" s="314" t="s">
        <v>203</v>
      </c>
      <c r="TFI18" s="314" t="s">
        <v>203</v>
      </c>
      <c r="TFJ18" s="314" t="s">
        <v>203</v>
      </c>
      <c r="TFK18" s="314" t="s">
        <v>203</v>
      </c>
      <c r="TFL18" s="314" t="s">
        <v>203</v>
      </c>
      <c r="TFM18" s="314" t="s">
        <v>203</v>
      </c>
      <c r="TFN18" s="314" t="s">
        <v>203</v>
      </c>
      <c r="TFO18" s="314" t="s">
        <v>203</v>
      </c>
      <c r="TFP18" s="314" t="s">
        <v>203</v>
      </c>
      <c r="TFQ18" s="314" t="s">
        <v>203</v>
      </c>
      <c r="TFR18" s="314" t="s">
        <v>203</v>
      </c>
      <c r="TFS18" s="314" t="s">
        <v>203</v>
      </c>
      <c r="TFT18" s="314" t="s">
        <v>203</v>
      </c>
      <c r="TFU18" s="314" t="s">
        <v>203</v>
      </c>
      <c r="TFV18" s="314" t="s">
        <v>203</v>
      </c>
      <c r="TFW18" s="314" t="s">
        <v>203</v>
      </c>
      <c r="TFX18" s="314" t="s">
        <v>203</v>
      </c>
      <c r="TFY18" s="314" t="s">
        <v>203</v>
      </c>
      <c r="TFZ18" s="314" t="s">
        <v>203</v>
      </c>
      <c r="TGA18" s="314" t="s">
        <v>203</v>
      </c>
      <c r="TGB18" s="314" t="s">
        <v>203</v>
      </c>
      <c r="TGC18" s="314" t="s">
        <v>203</v>
      </c>
      <c r="TGD18" s="314" t="s">
        <v>203</v>
      </c>
      <c r="TGE18" s="314" t="s">
        <v>203</v>
      </c>
      <c r="TGF18" s="314" t="s">
        <v>203</v>
      </c>
      <c r="TGG18" s="314" t="s">
        <v>203</v>
      </c>
      <c r="TGH18" s="314" t="s">
        <v>203</v>
      </c>
      <c r="TGI18" s="314" t="s">
        <v>203</v>
      </c>
      <c r="TGJ18" s="314" t="s">
        <v>203</v>
      </c>
      <c r="TGK18" s="314" t="s">
        <v>203</v>
      </c>
      <c r="TGL18" s="314" t="s">
        <v>203</v>
      </c>
      <c r="TGM18" s="314" t="s">
        <v>203</v>
      </c>
      <c r="TGN18" s="314" t="s">
        <v>203</v>
      </c>
      <c r="TGO18" s="314" t="s">
        <v>203</v>
      </c>
      <c r="TGP18" s="314" t="s">
        <v>203</v>
      </c>
      <c r="TGQ18" s="314" t="s">
        <v>203</v>
      </c>
      <c r="TGR18" s="314" t="s">
        <v>203</v>
      </c>
      <c r="TGS18" s="314" t="s">
        <v>203</v>
      </c>
      <c r="TGT18" s="314" t="s">
        <v>203</v>
      </c>
      <c r="TGU18" s="314" t="s">
        <v>203</v>
      </c>
      <c r="TGV18" s="314" t="s">
        <v>203</v>
      </c>
      <c r="TGW18" s="314" t="s">
        <v>203</v>
      </c>
      <c r="TGX18" s="314" t="s">
        <v>203</v>
      </c>
      <c r="TGY18" s="314" t="s">
        <v>203</v>
      </c>
      <c r="TGZ18" s="314" t="s">
        <v>203</v>
      </c>
      <c r="THA18" s="314" t="s">
        <v>203</v>
      </c>
      <c r="THB18" s="314" t="s">
        <v>203</v>
      </c>
      <c r="THC18" s="314" t="s">
        <v>203</v>
      </c>
      <c r="THD18" s="314" t="s">
        <v>203</v>
      </c>
      <c r="THE18" s="314" t="s">
        <v>203</v>
      </c>
      <c r="THF18" s="314" t="s">
        <v>203</v>
      </c>
      <c r="THG18" s="314" t="s">
        <v>203</v>
      </c>
      <c r="THH18" s="314" t="s">
        <v>203</v>
      </c>
      <c r="THI18" s="314" t="s">
        <v>203</v>
      </c>
      <c r="THJ18" s="314" t="s">
        <v>203</v>
      </c>
      <c r="THK18" s="314" t="s">
        <v>203</v>
      </c>
      <c r="THL18" s="314" t="s">
        <v>203</v>
      </c>
      <c r="THM18" s="314" t="s">
        <v>203</v>
      </c>
      <c r="THN18" s="314" t="s">
        <v>203</v>
      </c>
      <c r="THO18" s="314" t="s">
        <v>203</v>
      </c>
      <c r="THP18" s="314" t="s">
        <v>203</v>
      </c>
      <c r="THQ18" s="314" t="s">
        <v>203</v>
      </c>
      <c r="THR18" s="314" t="s">
        <v>203</v>
      </c>
      <c r="THS18" s="314" t="s">
        <v>203</v>
      </c>
      <c r="THT18" s="314" t="s">
        <v>203</v>
      </c>
      <c r="THU18" s="314" t="s">
        <v>203</v>
      </c>
      <c r="THV18" s="314" t="s">
        <v>203</v>
      </c>
      <c r="THW18" s="314" t="s">
        <v>203</v>
      </c>
      <c r="THX18" s="314" t="s">
        <v>203</v>
      </c>
      <c r="THY18" s="314" t="s">
        <v>203</v>
      </c>
      <c r="THZ18" s="314" t="s">
        <v>203</v>
      </c>
      <c r="TIA18" s="314" t="s">
        <v>203</v>
      </c>
      <c r="TIB18" s="314" t="s">
        <v>203</v>
      </c>
      <c r="TIC18" s="314" t="s">
        <v>203</v>
      </c>
      <c r="TID18" s="314" t="s">
        <v>203</v>
      </c>
      <c r="TIE18" s="314" t="s">
        <v>203</v>
      </c>
      <c r="TIF18" s="314" t="s">
        <v>203</v>
      </c>
      <c r="TIG18" s="314" t="s">
        <v>203</v>
      </c>
      <c r="TIH18" s="314" t="s">
        <v>203</v>
      </c>
      <c r="TII18" s="314" t="s">
        <v>203</v>
      </c>
      <c r="TIJ18" s="314" t="s">
        <v>203</v>
      </c>
      <c r="TIK18" s="314" t="s">
        <v>203</v>
      </c>
      <c r="TIL18" s="314" t="s">
        <v>203</v>
      </c>
      <c r="TIM18" s="314" t="s">
        <v>203</v>
      </c>
      <c r="TIN18" s="314" t="s">
        <v>203</v>
      </c>
      <c r="TIO18" s="314" t="s">
        <v>203</v>
      </c>
      <c r="TIP18" s="314" t="s">
        <v>203</v>
      </c>
      <c r="TIQ18" s="314" t="s">
        <v>203</v>
      </c>
      <c r="TIR18" s="314" t="s">
        <v>203</v>
      </c>
      <c r="TIS18" s="314" t="s">
        <v>203</v>
      </c>
      <c r="TIT18" s="314" t="s">
        <v>203</v>
      </c>
      <c r="TIU18" s="314" t="s">
        <v>203</v>
      </c>
      <c r="TIV18" s="314" t="s">
        <v>203</v>
      </c>
      <c r="TIW18" s="314" t="s">
        <v>203</v>
      </c>
      <c r="TIX18" s="314" t="s">
        <v>203</v>
      </c>
      <c r="TIY18" s="314" t="s">
        <v>203</v>
      </c>
      <c r="TIZ18" s="314" t="s">
        <v>203</v>
      </c>
      <c r="TJA18" s="314" t="s">
        <v>203</v>
      </c>
      <c r="TJB18" s="314" t="s">
        <v>203</v>
      </c>
      <c r="TJC18" s="314" t="s">
        <v>203</v>
      </c>
      <c r="TJD18" s="314" t="s">
        <v>203</v>
      </c>
      <c r="TJE18" s="314" t="s">
        <v>203</v>
      </c>
      <c r="TJF18" s="314" t="s">
        <v>203</v>
      </c>
      <c r="TJG18" s="314" t="s">
        <v>203</v>
      </c>
      <c r="TJH18" s="314" t="s">
        <v>203</v>
      </c>
      <c r="TJI18" s="314" t="s">
        <v>203</v>
      </c>
      <c r="TJJ18" s="314" t="s">
        <v>203</v>
      </c>
      <c r="TJK18" s="314" t="s">
        <v>203</v>
      </c>
      <c r="TJL18" s="314" t="s">
        <v>203</v>
      </c>
      <c r="TJM18" s="314" t="s">
        <v>203</v>
      </c>
      <c r="TJN18" s="314" t="s">
        <v>203</v>
      </c>
      <c r="TJO18" s="314" t="s">
        <v>203</v>
      </c>
      <c r="TJP18" s="314" t="s">
        <v>203</v>
      </c>
      <c r="TJQ18" s="314" t="s">
        <v>203</v>
      </c>
      <c r="TJR18" s="314" t="s">
        <v>203</v>
      </c>
      <c r="TJS18" s="314" t="s">
        <v>203</v>
      </c>
      <c r="TJT18" s="314" t="s">
        <v>203</v>
      </c>
      <c r="TJU18" s="314" t="s">
        <v>203</v>
      </c>
      <c r="TJV18" s="314" t="s">
        <v>203</v>
      </c>
      <c r="TJW18" s="314" t="s">
        <v>203</v>
      </c>
      <c r="TJX18" s="314" t="s">
        <v>203</v>
      </c>
      <c r="TJY18" s="314" t="s">
        <v>203</v>
      </c>
      <c r="TJZ18" s="314" t="s">
        <v>203</v>
      </c>
      <c r="TKA18" s="314" t="s">
        <v>203</v>
      </c>
      <c r="TKB18" s="314" t="s">
        <v>203</v>
      </c>
      <c r="TKC18" s="314" t="s">
        <v>203</v>
      </c>
      <c r="TKD18" s="314" t="s">
        <v>203</v>
      </c>
      <c r="TKE18" s="314" t="s">
        <v>203</v>
      </c>
      <c r="TKF18" s="314" t="s">
        <v>203</v>
      </c>
      <c r="TKG18" s="314" t="s">
        <v>203</v>
      </c>
      <c r="TKH18" s="314" t="s">
        <v>203</v>
      </c>
      <c r="TKI18" s="314" t="s">
        <v>203</v>
      </c>
      <c r="TKJ18" s="314" t="s">
        <v>203</v>
      </c>
      <c r="TKK18" s="314" t="s">
        <v>203</v>
      </c>
      <c r="TKL18" s="314" t="s">
        <v>203</v>
      </c>
      <c r="TKM18" s="314" t="s">
        <v>203</v>
      </c>
      <c r="TKN18" s="314" t="s">
        <v>203</v>
      </c>
      <c r="TKO18" s="314" t="s">
        <v>203</v>
      </c>
      <c r="TKP18" s="314" t="s">
        <v>203</v>
      </c>
      <c r="TKQ18" s="314" t="s">
        <v>203</v>
      </c>
      <c r="TKR18" s="314" t="s">
        <v>203</v>
      </c>
      <c r="TKS18" s="314" t="s">
        <v>203</v>
      </c>
      <c r="TKT18" s="314" t="s">
        <v>203</v>
      </c>
      <c r="TKU18" s="314" t="s">
        <v>203</v>
      </c>
      <c r="TKV18" s="314" t="s">
        <v>203</v>
      </c>
      <c r="TKW18" s="314" t="s">
        <v>203</v>
      </c>
      <c r="TKX18" s="314" t="s">
        <v>203</v>
      </c>
      <c r="TKY18" s="314" t="s">
        <v>203</v>
      </c>
      <c r="TKZ18" s="314" t="s">
        <v>203</v>
      </c>
      <c r="TLA18" s="314" t="s">
        <v>203</v>
      </c>
      <c r="TLB18" s="314" t="s">
        <v>203</v>
      </c>
      <c r="TLC18" s="314" t="s">
        <v>203</v>
      </c>
      <c r="TLD18" s="314" t="s">
        <v>203</v>
      </c>
      <c r="TLE18" s="314" t="s">
        <v>203</v>
      </c>
      <c r="TLF18" s="314" t="s">
        <v>203</v>
      </c>
      <c r="TLG18" s="314" t="s">
        <v>203</v>
      </c>
      <c r="TLH18" s="314" t="s">
        <v>203</v>
      </c>
      <c r="TLI18" s="314" t="s">
        <v>203</v>
      </c>
      <c r="TLJ18" s="314" t="s">
        <v>203</v>
      </c>
      <c r="TLK18" s="314" t="s">
        <v>203</v>
      </c>
      <c r="TLL18" s="314" t="s">
        <v>203</v>
      </c>
      <c r="TLM18" s="314" t="s">
        <v>203</v>
      </c>
      <c r="TLN18" s="314" t="s">
        <v>203</v>
      </c>
      <c r="TLO18" s="314" t="s">
        <v>203</v>
      </c>
      <c r="TLP18" s="314" t="s">
        <v>203</v>
      </c>
      <c r="TLQ18" s="314" t="s">
        <v>203</v>
      </c>
      <c r="TLR18" s="314" t="s">
        <v>203</v>
      </c>
      <c r="TLS18" s="314" t="s">
        <v>203</v>
      </c>
      <c r="TLT18" s="314" t="s">
        <v>203</v>
      </c>
      <c r="TLU18" s="314" t="s">
        <v>203</v>
      </c>
      <c r="TLV18" s="314" t="s">
        <v>203</v>
      </c>
      <c r="TLW18" s="314" t="s">
        <v>203</v>
      </c>
      <c r="TLX18" s="314" t="s">
        <v>203</v>
      </c>
      <c r="TLY18" s="314" t="s">
        <v>203</v>
      </c>
      <c r="TLZ18" s="314" t="s">
        <v>203</v>
      </c>
      <c r="TMA18" s="314" t="s">
        <v>203</v>
      </c>
      <c r="TMB18" s="314" t="s">
        <v>203</v>
      </c>
      <c r="TMC18" s="314" t="s">
        <v>203</v>
      </c>
      <c r="TMD18" s="314" t="s">
        <v>203</v>
      </c>
      <c r="TME18" s="314" t="s">
        <v>203</v>
      </c>
      <c r="TMF18" s="314" t="s">
        <v>203</v>
      </c>
      <c r="TMG18" s="314" t="s">
        <v>203</v>
      </c>
      <c r="TMH18" s="314" t="s">
        <v>203</v>
      </c>
      <c r="TMI18" s="314" t="s">
        <v>203</v>
      </c>
      <c r="TMJ18" s="314" t="s">
        <v>203</v>
      </c>
      <c r="TMK18" s="314" t="s">
        <v>203</v>
      </c>
      <c r="TML18" s="314" t="s">
        <v>203</v>
      </c>
      <c r="TMM18" s="314" t="s">
        <v>203</v>
      </c>
      <c r="TMN18" s="314" t="s">
        <v>203</v>
      </c>
      <c r="TMO18" s="314" t="s">
        <v>203</v>
      </c>
      <c r="TMP18" s="314" t="s">
        <v>203</v>
      </c>
      <c r="TMQ18" s="314" t="s">
        <v>203</v>
      </c>
      <c r="TMR18" s="314" t="s">
        <v>203</v>
      </c>
      <c r="TMS18" s="314" t="s">
        <v>203</v>
      </c>
      <c r="TMT18" s="314" t="s">
        <v>203</v>
      </c>
      <c r="TMU18" s="314" t="s">
        <v>203</v>
      </c>
      <c r="TMV18" s="314" t="s">
        <v>203</v>
      </c>
      <c r="TMW18" s="314" t="s">
        <v>203</v>
      </c>
      <c r="TMX18" s="314" t="s">
        <v>203</v>
      </c>
      <c r="TMY18" s="314" t="s">
        <v>203</v>
      </c>
      <c r="TMZ18" s="314" t="s">
        <v>203</v>
      </c>
      <c r="TNA18" s="314" t="s">
        <v>203</v>
      </c>
      <c r="TNB18" s="314" t="s">
        <v>203</v>
      </c>
      <c r="TNC18" s="314" t="s">
        <v>203</v>
      </c>
      <c r="TND18" s="314" t="s">
        <v>203</v>
      </c>
      <c r="TNE18" s="314" t="s">
        <v>203</v>
      </c>
      <c r="TNF18" s="314" t="s">
        <v>203</v>
      </c>
      <c r="TNG18" s="314" t="s">
        <v>203</v>
      </c>
      <c r="TNH18" s="314" t="s">
        <v>203</v>
      </c>
      <c r="TNI18" s="314" t="s">
        <v>203</v>
      </c>
      <c r="TNJ18" s="314" t="s">
        <v>203</v>
      </c>
      <c r="TNK18" s="314" t="s">
        <v>203</v>
      </c>
      <c r="TNL18" s="314" t="s">
        <v>203</v>
      </c>
      <c r="TNM18" s="314" t="s">
        <v>203</v>
      </c>
      <c r="TNN18" s="314" t="s">
        <v>203</v>
      </c>
      <c r="TNO18" s="314" t="s">
        <v>203</v>
      </c>
      <c r="TNP18" s="314" t="s">
        <v>203</v>
      </c>
      <c r="TNQ18" s="314" t="s">
        <v>203</v>
      </c>
      <c r="TNR18" s="314" t="s">
        <v>203</v>
      </c>
      <c r="TNS18" s="314" t="s">
        <v>203</v>
      </c>
      <c r="TNT18" s="314" t="s">
        <v>203</v>
      </c>
      <c r="TNU18" s="314" t="s">
        <v>203</v>
      </c>
      <c r="TNV18" s="314" t="s">
        <v>203</v>
      </c>
      <c r="TNW18" s="314" t="s">
        <v>203</v>
      </c>
      <c r="TNX18" s="314" t="s">
        <v>203</v>
      </c>
      <c r="TNY18" s="314" t="s">
        <v>203</v>
      </c>
      <c r="TNZ18" s="314" t="s">
        <v>203</v>
      </c>
      <c r="TOA18" s="314" t="s">
        <v>203</v>
      </c>
      <c r="TOB18" s="314" t="s">
        <v>203</v>
      </c>
      <c r="TOC18" s="314" t="s">
        <v>203</v>
      </c>
      <c r="TOD18" s="314" t="s">
        <v>203</v>
      </c>
      <c r="TOE18" s="314" t="s">
        <v>203</v>
      </c>
      <c r="TOF18" s="314" t="s">
        <v>203</v>
      </c>
      <c r="TOG18" s="314" t="s">
        <v>203</v>
      </c>
      <c r="TOH18" s="314" t="s">
        <v>203</v>
      </c>
      <c r="TOI18" s="314" t="s">
        <v>203</v>
      </c>
      <c r="TOJ18" s="314" t="s">
        <v>203</v>
      </c>
      <c r="TOK18" s="314" t="s">
        <v>203</v>
      </c>
      <c r="TOL18" s="314" t="s">
        <v>203</v>
      </c>
      <c r="TOM18" s="314" t="s">
        <v>203</v>
      </c>
      <c r="TON18" s="314" t="s">
        <v>203</v>
      </c>
      <c r="TOO18" s="314" t="s">
        <v>203</v>
      </c>
      <c r="TOP18" s="314" t="s">
        <v>203</v>
      </c>
      <c r="TOQ18" s="314" t="s">
        <v>203</v>
      </c>
      <c r="TOR18" s="314" t="s">
        <v>203</v>
      </c>
      <c r="TOS18" s="314" t="s">
        <v>203</v>
      </c>
      <c r="TOT18" s="314" t="s">
        <v>203</v>
      </c>
      <c r="TOU18" s="314" t="s">
        <v>203</v>
      </c>
      <c r="TOV18" s="314" t="s">
        <v>203</v>
      </c>
      <c r="TOW18" s="314" t="s">
        <v>203</v>
      </c>
      <c r="TOX18" s="314" t="s">
        <v>203</v>
      </c>
      <c r="TOY18" s="314" t="s">
        <v>203</v>
      </c>
      <c r="TOZ18" s="314" t="s">
        <v>203</v>
      </c>
      <c r="TPA18" s="314" t="s">
        <v>203</v>
      </c>
      <c r="TPB18" s="314" t="s">
        <v>203</v>
      </c>
      <c r="TPC18" s="314" t="s">
        <v>203</v>
      </c>
      <c r="TPD18" s="314" t="s">
        <v>203</v>
      </c>
      <c r="TPE18" s="314" t="s">
        <v>203</v>
      </c>
      <c r="TPF18" s="314" t="s">
        <v>203</v>
      </c>
      <c r="TPG18" s="314" t="s">
        <v>203</v>
      </c>
      <c r="TPH18" s="314" t="s">
        <v>203</v>
      </c>
      <c r="TPI18" s="314" t="s">
        <v>203</v>
      </c>
      <c r="TPJ18" s="314" t="s">
        <v>203</v>
      </c>
      <c r="TPK18" s="314" t="s">
        <v>203</v>
      </c>
      <c r="TPL18" s="314" t="s">
        <v>203</v>
      </c>
      <c r="TPM18" s="314" t="s">
        <v>203</v>
      </c>
      <c r="TPN18" s="314" t="s">
        <v>203</v>
      </c>
      <c r="TPO18" s="314" t="s">
        <v>203</v>
      </c>
      <c r="TPP18" s="314" t="s">
        <v>203</v>
      </c>
      <c r="TPQ18" s="314" t="s">
        <v>203</v>
      </c>
      <c r="TPR18" s="314" t="s">
        <v>203</v>
      </c>
      <c r="TPS18" s="314" t="s">
        <v>203</v>
      </c>
      <c r="TPT18" s="314" t="s">
        <v>203</v>
      </c>
      <c r="TPU18" s="314" t="s">
        <v>203</v>
      </c>
      <c r="TPV18" s="314" t="s">
        <v>203</v>
      </c>
      <c r="TPW18" s="314" t="s">
        <v>203</v>
      </c>
      <c r="TPX18" s="314" t="s">
        <v>203</v>
      </c>
      <c r="TPY18" s="314" t="s">
        <v>203</v>
      </c>
      <c r="TPZ18" s="314" t="s">
        <v>203</v>
      </c>
      <c r="TQA18" s="314" t="s">
        <v>203</v>
      </c>
      <c r="TQB18" s="314" t="s">
        <v>203</v>
      </c>
      <c r="TQC18" s="314" t="s">
        <v>203</v>
      </c>
      <c r="TQD18" s="314" t="s">
        <v>203</v>
      </c>
      <c r="TQE18" s="314" t="s">
        <v>203</v>
      </c>
      <c r="TQF18" s="314" t="s">
        <v>203</v>
      </c>
      <c r="TQG18" s="314" t="s">
        <v>203</v>
      </c>
      <c r="TQH18" s="314" t="s">
        <v>203</v>
      </c>
      <c r="TQI18" s="314" t="s">
        <v>203</v>
      </c>
      <c r="TQJ18" s="314" t="s">
        <v>203</v>
      </c>
      <c r="TQK18" s="314" t="s">
        <v>203</v>
      </c>
      <c r="TQL18" s="314" t="s">
        <v>203</v>
      </c>
      <c r="TQM18" s="314" t="s">
        <v>203</v>
      </c>
      <c r="TQN18" s="314" t="s">
        <v>203</v>
      </c>
      <c r="TQO18" s="314" t="s">
        <v>203</v>
      </c>
      <c r="TQP18" s="314" t="s">
        <v>203</v>
      </c>
      <c r="TQQ18" s="314" t="s">
        <v>203</v>
      </c>
      <c r="TQR18" s="314" t="s">
        <v>203</v>
      </c>
      <c r="TQS18" s="314" t="s">
        <v>203</v>
      </c>
      <c r="TQT18" s="314" t="s">
        <v>203</v>
      </c>
      <c r="TQU18" s="314" t="s">
        <v>203</v>
      </c>
      <c r="TQV18" s="314" t="s">
        <v>203</v>
      </c>
      <c r="TQW18" s="314" t="s">
        <v>203</v>
      </c>
      <c r="TQX18" s="314" t="s">
        <v>203</v>
      </c>
      <c r="TQY18" s="314" t="s">
        <v>203</v>
      </c>
      <c r="TQZ18" s="314" t="s">
        <v>203</v>
      </c>
      <c r="TRA18" s="314" t="s">
        <v>203</v>
      </c>
      <c r="TRB18" s="314" t="s">
        <v>203</v>
      </c>
      <c r="TRC18" s="314" t="s">
        <v>203</v>
      </c>
      <c r="TRD18" s="314" t="s">
        <v>203</v>
      </c>
      <c r="TRE18" s="314" t="s">
        <v>203</v>
      </c>
      <c r="TRF18" s="314" t="s">
        <v>203</v>
      </c>
      <c r="TRG18" s="314" t="s">
        <v>203</v>
      </c>
      <c r="TRH18" s="314" t="s">
        <v>203</v>
      </c>
      <c r="TRI18" s="314" t="s">
        <v>203</v>
      </c>
      <c r="TRJ18" s="314" t="s">
        <v>203</v>
      </c>
      <c r="TRK18" s="314" t="s">
        <v>203</v>
      </c>
      <c r="TRL18" s="314" t="s">
        <v>203</v>
      </c>
      <c r="TRM18" s="314" t="s">
        <v>203</v>
      </c>
      <c r="TRN18" s="314" t="s">
        <v>203</v>
      </c>
      <c r="TRO18" s="314" t="s">
        <v>203</v>
      </c>
      <c r="TRP18" s="314" t="s">
        <v>203</v>
      </c>
      <c r="TRQ18" s="314" t="s">
        <v>203</v>
      </c>
      <c r="TRR18" s="314" t="s">
        <v>203</v>
      </c>
      <c r="TRS18" s="314" t="s">
        <v>203</v>
      </c>
      <c r="TRT18" s="314" t="s">
        <v>203</v>
      </c>
      <c r="TRU18" s="314" t="s">
        <v>203</v>
      </c>
      <c r="TRV18" s="314" t="s">
        <v>203</v>
      </c>
      <c r="TRW18" s="314" t="s">
        <v>203</v>
      </c>
      <c r="TRX18" s="314" t="s">
        <v>203</v>
      </c>
      <c r="TRY18" s="314" t="s">
        <v>203</v>
      </c>
      <c r="TRZ18" s="314" t="s">
        <v>203</v>
      </c>
      <c r="TSA18" s="314" t="s">
        <v>203</v>
      </c>
      <c r="TSB18" s="314" t="s">
        <v>203</v>
      </c>
      <c r="TSC18" s="314" t="s">
        <v>203</v>
      </c>
      <c r="TSD18" s="314" t="s">
        <v>203</v>
      </c>
      <c r="TSE18" s="314" t="s">
        <v>203</v>
      </c>
      <c r="TSF18" s="314" t="s">
        <v>203</v>
      </c>
      <c r="TSG18" s="314" t="s">
        <v>203</v>
      </c>
      <c r="TSH18" s="314" t="s">
        <v>203</v>
      </c>
      <c r="TSI18" s="314" t="s">
        <v>203</v>
      </c>
      <c r="TSJ18" s="314" t="s">
        <v>203</v>
      </c>
      <c r="TSK18" s="314" t="s">
        <v>203</v>
      </c>
      <c r="TSL18" s="314" t="s">
        <v>203</v>
      </c>
      <c r="TSM18" s="314" t="s">
        <v>203</v>
      </c>
      <c r="TSN18" s="314" t="s">
        <v>203</v>
      </c>
      <c r="TSO18" s="314" t="s">
        <v>203</v>
      </c>
      <c r="TSP18" s="314" t="s">
        <v>203</v>
      </c>
      <c r="TSQ18" s="314" t="s">
        <v>203</v>
      </c>
      <c r="TSR18" s="314" t="s">
        <v>203</v>
      </c>
      <c r="TSS18" s="314" t="s">
        <v>203</v>
      </c>
      <c r="TST18" s="314" t="s">
        <v>203</v>
      </c>
      <c r="TSU18" s="314" t="s">
        <v>203</v>
      </c>
      <c r="TSV18" s="314" t="s">
        <v>203</v>
      </c>
      <c r="TSW18" s="314" t="s">
        <v>203</v>
      </c>
      <c r="TSX18" s="314" t="s">
        <v>203</v>
      </c>
      <c r="TSY18" s="314" t="s">
        <v>203</v>
      </c>
      <c r="TSZ18" s="314" t="s">
        <v>203</v>
      </c>
      <c r="TTA18" s="314" t="s">
        <v>203</v>
      </c>
      <c r="TTB18" s="314" t="s">
        <v>203</v>
      </c>
      <c r="TTC18" s="314" t="s">
        <v>203</v>
      </c>
      <c r="TTD18" s="314" t="s">
        <v>203</v>
      </c>
      <c r="TTE18" s="314" t="s">
        <v>203</v>
      </c>
      <c r="TTF18" s="314" t="s">
        <v>203</v>
      </c>
      <c r="TTG18" s="314" t="s">
        <v>203</v>
      </c>
      <c r="TTH18" s="314" t="s">
        <v>203</v>
      </c>
      <c r="TTI18" s="314" t="s">
        <v>203</v>
      </c>
      <c r="TTJ18" s="314" t="s">
        <v>203</v>
      </c>
      <c r="TTK18" s="314" t="s">
        <v>203</v>
      </c>
      <c r="TTL18" s="314" t="s">
        <v>203</v>
      </c>
      <c r="TTM18" s="314" t="s">
        <v>203</v>
      </c>
      <c r="TTN18" s="314" t="s">
        <v>203</v>
      </c>
      <c r="TTO18" s="314" t="s">
        <v>203</v>
      </c>
      <c r="TTP18" s="314" t="s">
        <v>203</v>
      </c>
      <c r="TTQ18" s="314" t="s">
        <v>203</v>
      </c>
      <c r="TTR18" s="314" t="s">
        <v>203</v>
      </c>
      <c r="TTS18" s="314" t="s">
        <v>203</v>
      </c>
      <c r="TTT18" s="314" t="s">
        <v>203</v>
      </c>
      <c r="TTU18" s="314" t="s">
        <v>203</v>
      </c>
      <c r="TTV18" s="314" t="s">
        <v>203</v>
      </c>
      <c r="TTW18" s="314" t="s">
        <v>203</v>
      </c>
      <c r="TTX18" s="314" t="s">
        <v>203</v>
      </c>
      <c r="TTY18" s="314" t="s">
        <v>203</v>
      </c>
      <c r="TTZ18" s="314" t="s">
        <v>203</v>
      </c>
      <c r="TUA18" s="314" t="s">
        <v>203</v>
      </c>
      <c r="TUB18" s="314" t="s">
        <v>203</v>
      </c>
      <c r="TUC18" s="314" t="s">
        <v>203</v>
      </c>
      <c r="TUD18" s="314" t="s">
        <v>203</v>
      </c>
      <c r="TUE18" s="314" t="s">
        <v>203</v>
      </c>
      <c r="TUF18" s="314" t="s">
        <v>203</v>
      </c>
      <c r="TUG18" s="314" t="s">
        <v>203</v>
      </c>
      <c r="TUH18" s="314" t="s">
        <v>203</v>
      </c>
      <c r="TUI18" s="314" t="s">
        <v>203</v>
      </c>
      <c r="TUJ18" s="314" t="s">
        <v>203</v>
      </c>
      <c r="TUK18" s="314" t="s">
        <v>203</v>
      </c>
      <c r="TUL18" s="314" t="s">
        <v>203</v>
      </c>
      <c r="TUM18" s="314" t="s">
        <v>203</v>
      </c>
      <c r="TUN18" s="314" t="s">
        <v>203</v>
      </c>
      <c r="TUO18" s="314" t="s">
        <v>203</v>
      </c>
      <c r="TUP18" s="314" t="s">
        <v>203</v>
      </c>
      <c r="TUQ18" s="314" t="s">
        <v>203</v>
      </c>
      <c r="TUR18" s="314" t="s">
        <v>203</v>
      </c>
      <c r="TUS18" s="314" t="s">
        <v>203</v>
      </c>
      <c r="TUT18" s="314" t="s">
        <v>203</v>
      </c>
      <c r="TUU18" s="314" t="s">
        <v>203</v>
      </c>
      <c r="TUV18" s="314" t="s">
        <v>203</v>
      </c>
      <c r="TUW18" s="314" t="s">
        <v>203</v>
      </c>
      <c r="TUX18" s="314" t="s">
        <v>203</v>
      </c>
      <c r="TUY18" s="314" t="s">
        <v>203</v>
      </c>
      <c r="TUZ18" s="314" t="s">
        <v>203</v>
      </c>
      <c r="TVA18" s="314" t="s">
        <v>203</v>
      </c>
      <c r="TVB18" s="314" t="s">
        <v>203</v>
      </c>
      <c r="TVC18" s="314" t="s">
        <v>203</v>
      </c>
      <c r="TVD18" s="314" t="s">
        <v>203</v>
      </c>
      <c r="TVE18" s="314" t="s">
        <v>203</v>
      </c>
      <c r="TVF18" s="314" t="s">
        <v>203</v>
      </c>
      <c r="TVG18" s="314" t="s">
        <v>203</v>
      </c>
      <c r="TVH18" s="314" t="s">
        <v>203</v>
      </c>
      <c r="TVI18" s="314" t="s">
        <v>203</v>
      </c>
      <c r="TVJ18" s="314" t="s">
        <v>203</v>
      </c>
      <c r="TVK18" s="314" t="s">
        <v>203</v>
      </c>
      <c r="TVL18" s="314" t="s">
        <v>203</v>
      </c>
      <c r="TVM18" s="314" t="s">
        <v>203</v>
      </c>
      <c r="TVN18" s="314" t="s">
        <v>203</v>
      </c>
      <c r="TVO18" s="314" t="s">
        <v>203</v>
      </c>
      <c r="TVP18" s="314" t="s">
        <v>203</v>
      </c>
      <c r="TVQ18" s="314" t="s">
        <v>203</v>
      </c>
      <c r="TVR18" s="314" t="s">
        <v>203</v>
      </c>
      <c r="TVS18" s="314" t="s">
        <v>203</v>
      </c>
      <c r="TVT18" s="314" t="s">
        <v>203</v>
      </c>
      <c r="TVU18" s="314" t="s">
        <v>203</v>
      </c>
      <c r="TVV18" s="314" t="s">
        <v>203</v>
      </c>
      <c r="TVW18" s="314" t="s">
        <v>203</v>
      </c>
      <c r="TVX18" s="314" t="s">
        <v>203</v>
      </c>
      <c r="TVY18" s="314" t="s">
        <v>203</v>
      </c>
      <c r="TVZ18" s="314" t="s">
        <v>203</v>
      </c>
      <c r="TWA18" s="314" t="s">
        <v>203</v>
      </c>
      <c r="TWB18" s="314" t="s">
        <v>203</v>
      </c>
      <c r="TWC18" s="314" t="s">
        <v>203</v>
      </c>
      <c r="TWD18" s="314" t="s">
        <v>203</v>
      </c>
      <c r="TWE18" s="314" t="s">
        <v>203</v>
      </c>
      <c r="TWF18" s="314" t="s">
        <v>203</v>
      </c>
      <c r="TWG18" s="314" t="s">
        <v>203</v>
      </c>
      <c r="TWH18" s="314" t="s">
        <v>203</v>
      </c>
      <c r="TWI18" s="314" t="s">
        <v>203</v>
      </c>
      <c r="TWJ18" s="314" t="s">
        <v>203</v>
      </c>
      <c r="TWK18" s="314" t="s">
        <v>203</v>
      </c>
      <c r="TWL18" s="314" t="s">
        <v>203</v>
      </c>
      <c r="TWM18" s="314" t="s">
        <v>203</v>
      </c>
      <c r="TWN18" s="314" t="s">
        <v>203</v>
      </c>
      <c r="TWO18" s="314" t="s">
        <v>203</v>
      </c>
      <c r="TWP18" s="314" t="s">
        <v>203</v>
      </c>
      <c r="TWQ18" s="314" t="s">
        <v>203</v>
      </c>
      <c r="TWR18" s="314" t="s">
        <v>203</v>
      </c>
      <c r="TWS18" s="314" t="s">
        <v>203</v>
      </c>
      <c r="TWT18" s="314" t="s">
        <v>203</v>
      </c>
      <c r="TWU18" s="314" t="s">
        <v>203</v>
      </c>
      <c r="TWV18" s="314" t="s">
        <v>203</v>
      </c>
      <c r="TWW18" s="314" t="s">
        <v>203</v>
      </c>
      <c r="TWX18" s="314" t="s">
        <v>203</v>
      </c>
      <c r="TWY18" s="314" t="s">
        <v>203</v>
      </c>
      <c r="TWZ18" s="314" t="s">
        <v>203</v>
      </c>
      <c r="TXA18" s="314" t="s">
        <v>203</v>
      </c>
      <c r="TXB18" s="314" t="s">
        <v>203</v>
      </c>
      <c r="TXC18" s="314" t="s">
        <v>203</v>
      </c>
      <c r="TXD18" s="314" t="s">
        <v>203</v>
      </c>
      <c r="TXE18" s="314" t="s">
        <v>203</v>
      </c>
      <c r="TXF18" s="314" t="s">
        <v>203</v>
      </c>
      <c r="TXG18" s="314" t="s">
        <v>203</v>
      </c>
      <c r="TXH18" s="314" t="s">
        <v>203</v>
      </c>
      <c r="TXI18" s="314" t="s">
        <v>203</v>
      </c>
      <c r="TXJ18" s="314" t="s">
        <v>203</v>
      </c>
      <c r="TXK18" s="314" t="s">
        <v>203</v>
      </c>
      <c r="TXL18" s="314" t="s">
        <v>203</v>
      </c>
      <c r="TXM18" s="314" t="s">
        <v>203</v>
      </c>
      <c r="TXN18" s="314" t="s">
        <v>203</v>
      </c>
      <c r="TXO18" s="314" t="s">
        <v>203</v>
      </c>
      <c r="TXP18" s="314" t="s">
        <v>203</v>
      </c>
      <c r="TXQ18" s="314" t="s">
        <v>203</v>
      </c>
      <c r="TXR18" s="314" t="s">
        <v>203</v>
      </c>
      <c r="TXS18" s="314" t="s">
        <v>203</v>
      </c>
      <c r="TXT18" s="314" t="s">
        <v>203</v>
      </c>
      <c r="TXU18" s="314" t="s">
        <v>203</v>
      </c>
      <c r="TXV18" s="314" t="s">
        <v>203</v>
      </c>
      <c r="TXW18" s="314" t="s">
        <v>203</v>
      </c>
      <c r="TXX18" s="314" t="s">
        <v>203</v>
      </c>
      <c r="TXY18" s="314" t="s">
        <v>203</v>
      </c>
      <c r="TXZ18" s="314" t="s">
        <v>203</v>
      </c>
      <c r="TYA18" s="314" t="s">
        <v>203</v>
      </c>
      <c r="TYB18" s="314" t="s">
        <v>203</v>
      </c>
      <c r="TYC18" s="314" t="s">
        <v>203</v>
      </c>
      <c r="TYD18" s="314" t="s">
        <v>203</v>
      </c>
      <c r="TYE18" s="314" t="s">
        <v>203</v>
      </c>
      <c r="TYF18" s="314" t="s">
        <v>203</v>
      </c>
      <c r="TYG18" s="314" t="s">
        <v>203</v>
      </c>
      <c r="TYH18" s="314" t="s">
        <v>203</v>
      </c>
      <c r="TYI18" s="314" t="s">
        <v>203</v>
      </c>
      <c r="TYJ18" s="314" t="s">
        <v>203</v>
      </c>
      <c r="TYK18" s="314" t="s">
        <v>203</v>
      </c>
      <c r="TYL18" s="314" t="s">
        <v>203</v>
      </c>
      <c r="TYM18" s="314" t="s">
        <v>203</v>
      </c>
      <c r="TYN18" s="314" t="s">
        <v>203</v>
      </c>
      <c r="TYO18" s="314" t="s">
        <v>203</v>
      </c>
      <c r="TYP18" s="314" t="s">
        <v>203</v>
      </c>
      <c r="TYQ18" s="314" t="s">
        <v>203</v>
      </c>
      <c r="TYR18" s="314" t="s">
        <v>203</v>
      </c>
      <c r="TYS18" s="314" t="s">
        <v>203</v>
      </c>
      <c r="TYT18" s="314" t="s">
        <v>203</v>
      </c>
      <c r="TYU18" s="314" t="s">
        <v>203</v>
      </c>
      <c r="TYV18" s="314" t="s">
        <v>203</v>
      </c>
      <c r="TYW18" s="314" t="s">
        <v>203</v>
      </c>
      <c r="TYX18" s="314" t="s">
        <v>203</v>
      </c>
      <c r="TYY18" s="314" t="s">
        <v>203</v>
      </c>
      <c r="TYZ18" s="314" t="s">
        <v>203</v>
      </c>
      <c r="TZA18" s="314" t="s">
        <v>203</v>
      </c>
      <c r="TZB18" s="314" t="s">
        <v>203</v>
      </c>
      <c r="TZC18" s="314" t="s">
        <v>203</v>
      </c>
      <c r="TZD18" s="314" t="s">
        <v>203</v>
      </c>
      <c r="TZE18" s="314" t="s">
        <v>203</v>
      </c>
      <c r="TZF18" s="314" t="s">
        <v>203</v>
      </c>
      <c r="TZG18" s="314" t="s">
        <v>203</v>
      </c>
      <c r="TZH18" s="314" t="s">
        <v>203</v>
      </c>
      <c r="TZI18" s="314" t="s">
        <v>203</v>
      </c>
      <c r="TZJ18" s="314" t="s">
        <v>203</v>
      </c>
      <c r="TZK18" s="314" t="s">
        <v>203</v>
      </c>
      <c r="TZL18" s="314" t="s">
        <v>203</v>
      </c>
      <c r="TZM18" s="314" t="s">
        <v>203</v>
      </c>
      <c r="TZN18" s="314" t="s">
        <v>203</v>
      </c>
      <c r="TZO18" s="314" t="s">
        <v>203</v>
      </c>
      <c r="TZP18" s="314" t="s">
        <v>203</v>
      </c>
      <c r="TZQ18" s="314" t="s">
        <v>203</v>
      </c>
      <c r="TZR18" s="314" t="s">
        <v>203</v>
      </c>
      <c r="TZS18" s="314" t="s">
        <v>203</v>
      </c>
      <c r="TZT18" s="314" t="s">
        <v>203</v>
      </c>
      <c r="TZU18" s="314" t="s">
        <v>203</v>
      </c>
      <c r="TZV18" s="314" t="s">
        <v>203</v>
      </c>
      <c r="TZW18" s="314" t="s">
        <v>203</v>
      </c>
      <c r="TZX18" s="314" t="s">
        <v>203</v>
      </c>
      <c r="TZY18" s="314" t="s">
        <v>203</v>
      </c>
      <c r="TZZ18" s="314" t="s">
        <v>203</v>
      </c>
      <c r="UAA18" s="314" t="s">
        <v>203</v>
      </c>
      <c r="UAB18" s="314" t="s">
        <v>203</v>
      </c>
      <c r="UAC18" s="314" t="s">
        <v>203</v>
      </c>
      <c r="UAD18" s="314" t="s">
        <v>203</v>
      </c>
      <c r="UAE18" s="314" t="s">
        <v>203</v>
      </c>
      <c r="UAF18" s="314" t="s">
        <v>203</v>
      </c>
      <c r="UAG18" s="314" t="s">
        <v>203</v>
      </c>
      <c r="UAH18" s="314" t="s">
        <v>203</v>
      </c>
      <c r="UAI18" s="314" t="s">
        <v>203</v>
      </c>
      <c r="UAJ18" s="314" t="s">
        <v>203</v>
      </c>
      <c r="UAK18" s="314" t="s">
        <v>203</v>
      </c>
      <c r="UAL18" s="314" t="s">
        <v>203</v>
      </c>
      <c r="UAM18" s="314" t="s">
        <v>203</v>
      </c>
      <c r="UAN18" s="314" t="s">
        <v>203</v>
      </c>
      <c r="UAO18" s="314" t="s">
        <v>203</v>
      </c>
      <c r="UAP18" s="314" t="s">
        <v>203</v>
      </c>
      <c r="UAQ18" s="314" t="s">
        <v>203</v>
      </c>
      <c r="UAR18" s="314" t="s">
        <v>203</v>
      </c>
      <c r="UAS18" s="314" t="s">
        <v>203</v>
      </c>
      <c r="UAT18" s="314" t="s">
        <v>203</v>
      </c>
      <c r="UAU18" s="314" t="s">
        <v>203</v>
      </c>
      <c r="UAV18" s="314" t="s">
        <v>203</v>
      </c>
      <c r="UAW18" s="314" t="s">
        <v>203</v>
      </c>
      <c r="UAX18" s="314" t="s">
        <v>203</v>
      </c>
      <c r="UAY18" s="314" t="s">
        <v>203</v>
      </c>
      <c r="UAZ18" s="314" t="s">
        <v>203</v>
      </c>
      <c r="UBA18" s="314" t="s">
        <v>203</v>
      </c>
      <c r="UBB18" s="314" t="s">
        <v>203</v>
      </c>
      <c r="UBC18" s="314" t="s">
        <v>203</v>
      </c>
      <c r="UBD18" s="314" t="s">
        <v>203</v>
      </c>
      <c r="UBE18" s="314" t="s">
        <v>203</v>
      </c>
      <c r="UBF18" s="314" t="s">
        <v>203</v>
      </c>
      <c r="UBG18" s="314" t="s">
        <v>203</v>
      </c>
      <c r="UBH18" s="314" t="s">
        <v>203</v>
      </c>
      <c r="UBI18" s="314" t="s">
        <v>203</v>
      </c>
      <c r="UBJ18" s="314" t="s">
        <v>203</v>
      </c>
      <c r="UBK18" s="314" t="s">
        <v>203</v>
      </c>
      <c r="UBL18" s="314" t="s">
        <v>203</v>
      </c>
      <c r="UBM18" s="314" t="s">
        <v>203</v>
      </c>
      <c r="UBN18" s="314" t="s">
        <v>203</v>
      </c>
      <c r="UBO18" s="314" t="s">
        <v>203</v>
      </c>
      <c r="UBP18" s="314" t="s">
        <v>203</v>
      </c>
      <c r="UBQ18" s="314" t="s">
        <v>203</v>
      </c>
      <c r="UBR18" s="314" t="s">
        <v>203</v>
      </c>
      <c r="UBS18" s="314" t="s">
        <v>203</v>
      </c>
      <c r="UBT18" s="314" t="s">
        <v>203</v>
      </c>
      <c r="UBU18" s="314" t="s">
        <v>203</v>
      </c>
      <c r="UBV18" s="314" t="s">
        <v>203</v>
      </c>
      <c r="UBW18" s="314" t="s">
        <v>203</v>
      </c>
      <c r="UBX18" s="314" t="s">
        <v>203</v>
      </c>
      <c r="UBY18" s="314" t="s">
        <v>203</v>
      </c>
      <c r="UBZ18" s="314" t="s">
        <v>203</v>
      </c>
      <c r="UCA18" s="314" t="s">
        <v>203</v>
      </c>
      <c r="UCB18" s="314" t="s">
        <v>203</v>
      </c>
      <c r="UCC18" s="314" t="s">
        <v>203</v>
      </c>
      <c r="UCD18" s="314" t="s">
        <v>203</v>
      </c>
      <c r="UCE18" s="314" t="s">
        <v>203</v>
      </c>
      <c r="UCF18" s="314" t="s">
        <v>203</v>
      </c>
      <c r="UCG18" s="314" t="s">
        <v>203</v>
      </c>
      <c r="UCH18" s="314" t="s">
        <v>203</v>
      </c>
      <c r="UCI18" s="314" t="s">
        <v>203</v>
      </c>
      <c r="UCJ18" s="314" t="s">
        <v>203</v>
      </c>
      <c r="UCK18" s="314" t="s">
        <v>203</v>
      </c>
      <c r="UCL18" s="314" t="s">
        <v>203</v>
      </c>
      <c r="UCM18" s="314" t="s">
        <v>203</v>
      </c>
      <c r="UCN18" s="314" t="s">
        <v>203</v>
      </c>
      <c r="UCO18" s="314" t="s">
        <v>203</v>
      </c>
      <c r="UCP18" s="314" t="s">
        <v>203</v>
      </c>
      <c r="UCQ18" s="314" t="s">
        <v>203</v>
      </c>
      <c r="UCR18" s="314" t="s">
        <v>203</v>
      </c>
      <c r="UCS18" s="314" t="s">
        <v>203</v>
      </c>
      <c r="UCT18" s="314" t="s">
        <v>203</v>
      </c>
      <c r="UCU18" s="314" t="s">
        <v>203</v>
      </c>
      <c r="UCV18" s="314" t="s">
        <v>203</v>
      </c>
      <c r="UCW18" s="314" t="s">
        <v>203</v>
      </c>
      <c r="UCX18" s="314" t="s">
        <v>203</v>
      </c>
      <c r="UCY18" s="314" t="s">
        <v>203</v>
      </c>
      <c r="UCZ18" s="314" t="s">
        <v>203</v>
      </c>
      <c r="UDA18" s="314" t="s">
        <v>203</v>
      </c>
      <c r="UDB18" s="314" t="s">
        <v>203</v>
      </c>
      <c r="UDC18" s="314" t="s">
        <v>203</v>
      </c>
      <c r="UDD18" s="314" t="s">
        <v>203</v>
      </c>
      <c r="UDE18" s="314" t="s">
        <v>203</v>
      </c>
      <c r="UDF18" s="314" t="s">
        <v>203</v>
      </c>
      <c r="UDG18" s="314" t="s">
        <v>203</v>
      </c>
      <c r="UDH18" s="314" t="s">
        <v>203</v>
      </c>
      <c r="UDI18" s="314" t="s">
        <v>203</v>
      </c>
      <c r="UDJ18" s="314" t="s">
        <v>203</v>
      </c>
      <c r="UDK18" s="314" t="s">
        <v>203</v>
      </c>
      <c r="UDL18" s="314" t="s">
        <v>203</v>
      </c>
      <c r="UDM18" s="314" t="s">
        <v>203</v>
      </c>
      <c r="UDN18" s="314" t="s">
        <v>203</v>
      </c>
      <c r="UDO18" s="314" t="s">
        <v>203</v>
      </c>
      <c r="UDP18" s="314" t="s">
        <v>203</v>
      </c>
      <c r="UDQ18" s="314" t="s">
        <v>203</v>
      </c>
      <c r="UDR18" s="314" t="s">
        <v>203</v>
      </c>
      <c r="UDS18" s="314" t="s">
        <v>203</v>
      </c>
      <c r="UDT18" s="314" t="s">
        <v>203</v>
      </c>
      <c r="UDU18" s="314" t="s">
        <v>203</v>
      </c>
      <c r="UDV18" s="314" t="s">
        <v>203</v>
      </c>
      <c r="UDW18" s="314" t="s">
        <v>203</v>
      </c>
      <c r="UDX18" s="314" t="s">
        <v>203</v>
      </c>
      <c r="UDY18" s="314" t="s">
        <v>203</v>
      </c>
      <c r="UDZ18" s="314" t="s">
        <v>203</v>
      </c>
      <c r="UEA18" s="314" t="s">
        <v>203</v>
      </c>
      <c r="UEB18" s="314" t="s">
        <v>203</v>
      </c>
      <c r="UEC18" s="314" t="s">
        <v>203</v>
      </c>
      <c r="UED18" s="314" t="s">
        <v>203</v>
      </c>
      <c r="UEE18" s="314" t="s">
        <v>203</v>
      </c>
      <c r="UEF18" s="314" t="s">
        <v>203</v>
      </c>
      <c r="UEG18" s="314" t="s">
        <v>203</v>
      </c>
      <c r="UEH18" s="314" t="s">
        <v>203</v>
      </c>
      <c r="UEI18" s="314" t="s">
        <v>203</v>
      </c>
      <c r="UEJ18" s="314" t="s">
        <v>203</v>
      </c>
      <c r="UEK18" s="314" t="s">
        <v>203</v>
      </c>
      <c r="UEL18" s="314" t="s">
        <v>203</v>
      </c>
      <c r="UEM18" s="314" t="s">
        <v>203</v>
      </c>
      <c r="UEN18" s="314" t="s">
        <v>203</v>
      </c>
      <c r="UEO18" s="314" t="s">
        <v>203</v>
      </c>
      <c r="UEP18" s="314" t="s">
        <v>203</v>
      </c>
      <c r="UEQ18" s="314" t="s">
        <v>203</v>
      </c>
      <c r="UER18" s="314" t="s">
        <v>203</v>
      </c>
      <c r="UES18" s="314" t="s">
        <v>203</v>
      </c>
      <c r="UET18" s="314" t="s">
        <v>203</v>
      </c>
      <c r="UEU18" s="314" t="s">
        <v>203</v>
      </c>
      <c r="UEV18" s="314" t="s">
        <v>203</v>
      </c>
      <c r="UEW18" s="314" t="s">
        <v>203</v>
      </c>
      <c r="UEX18" s="314" t="s">
        <v>203</v>
      </c>
      <c r="UEY18" s="314" t="s">
        <v>203</v>
      </c>
      <c r="UEZ18" s="314" t="s">
        <v>203</v>
      </c>
      <c r="UFA18" s="314" t="s">
        <v>203</v>
      </c>
      <c r="UFB18" s="314" t="s">
        <v>203</v>
      </c>
      <c r="UFC18" s="314" t="s">
        <v>203</v>
      </c>
      <c r="UFD18" s="314" t="s">
        <v>203</v>
      </c>
      <c r="UFE18" s="314" t="s">
        <v>203</v>
      </c>
      <c r="UFF18" s="314" t="s">
        <v>203</v>
      </c>
      <c r="UFG18" s="314" t="s">
        <v>203</v>
      </c>
      <c r="UFH18" s="314" t="s">
        <v>203</v>
      </c>
      <c r="UFI18" s="314" t="s">
        <v>203</v>
      </c>
      <c r="UFJ18" s="314" t="s">
        <v>203</v>
      </c>
      <c r="UFK18" s="314" t="s">
        <v>203</v>
      </c>
      <c r="UFL18" s="314" t="s">
        <v>203</v>
      </c>
      <c r="UFM18" s="314" t="s">
        <v>203</v>
      </c>
      <c r="UFN18" s="314" t="s">
        <v>203</v>
      </c>
      <c r="UFO18" s="314" t="s">
        <v>203</v>
      </c>
      <c r="UFP18" s="314" t="s">
        <v>203</v>
      </c>
      <c r="UFQ18" s="314" t="s">
        <v>203</v>
      </c>
      <c r="UFR18" s="314" t="s">
        <v>203</v>
      </c>
      <c r="UFS18" s="314" t="s">
        <v>203</v>
      </c>
      <c r="UFT18" s="314" t="s">
        <v>203</v>
      </c>
      <c r="UFU18" s="314" t="s">
        <v>203</v>
      </c>
      <c r="UFV18" s="314" t="s">
        <v>203</v>
      </c>
      <c r="UFW18" s="314" t="s">
        <v>203</v>
      </c>
      <c r="UFX18" s="314" t="s">
        <v>203</v>
      </c>
      <c r="UFY18" s="314" t="s">
        <v>203</v>
      </c>
      <c r="UFZ18" s="314" t="s">
        <v>203</v>
      </c>
      <c r="UGA18" s="314" t="s">
        <v>203</v>
      </c>
      <c r="UGB18" s="314" t="s">
        <v>203</v>
      </c>
      <c r="UGC18" s="314" t="s">
        <v>203</v>
      </c>
      <c r="UGD18" s="314" t="s">
        <v>203</v>
      </c>
      <c r="UGE18" s="314" t="s">
        <v>203</v>
      </c>
      <c r="UGF18" s="314" t="s">
        <v>203</v>
      </c>
      <c r="UGG18" s="314" t="s">
        <v>203</v>
      </c>
      <c r="UGH18" s="314" t="s">
        <v>203</v>
      </c>
      <c r="UGI18" s="314" t="s">
        <v>203</v>
      </c>
      <c r="UGJ18" s="314" t="s">
        <v>203</v>
      </c>
      <c r="UGK18" s="314" t="s">
        <v>203</v>
      </c>
      <c r="UGL18" s="314" t="s">
        <v>203</v>
      </c>
      <c r="UGM18" s="314" t="s">
        <v>203</v>
      </c>
      <c r="UGN18" s="314" t="s">
        <v>203</v>
      </c>
      <c r="UGO18" s="314" t="s">
        <v>203</v>
      </c>
      <c r="UGP18" s="314" t="s">
        <v>203</v>
      </c>
      <c r="UGQ18" s="314" t="s">
        <v>203</v>
      </c>
      <c r="UGR18" s="314" t="s">
        <v>203</v>
      </c>
      <c r="UGS18" s="314" t="s">
        <v>203</v>
      </c>
      <c r="UGT18" s="314" t="s">
        <v>203</v>
      </c>
      <c r="UGU18" s="314" t="s">
        <v>203</v>
      </c>
      <c r="UGV18" s="314" t="s">
        <v>203</v>
      </c>
      <c r="UGW18" s="314" t="s">
        <v>203</v>
      </c>
      <c r="UGX18" s="314" t="s">
        <v>203</v>
      </c>
      <c r="UGY18" s="314" t="s">
        <v>203</v>
      </c>
      <c r="UGZ18" s="314" t="s">
        <v>203</v>
      </c>
      <c r="UHA18" s="314" t="s">
        <v>203</v>
      </c>
      <c r="UHB18" s="314" t="s">
        <v>203</v>
      </c>
      <c r="UHC18" s="314" t="s">
        <v>203</v>
      </c>
      <c r="UHD18" s="314" t="s">
        <v>203</v>
      </c>
      <c r="UHE18" s="314" t="s">
        <v>203</v>
      </c>
      <c r="UHF18" s="314" t="s">
        <v>203</v>
      </c>
      <c r="UHG18" s="314" t="s">
        <v>203</v>
      </c>
      <c r="UHH18" s="314" t="s">
        <v>203</v>
      </c>
      <c r="UHI18" s="314" t="s">
        <v>203</v>
      </c>
      <c r="UHJ18" s="314" t="s">
        <v>203</v>
      </c>
      <c r="UHK18" s="314" t="s">
        <v>203</v>
      </c>
      <c r="UHL18" s="314" t="s">
        <v>203</v>
      </c>
      <c r="UHM18" s="314" t="s">
        <v>203</v>
      </c>
      <c r="UHN18" s="314" t="s">
        <v>203</v>
      </c>
      <c r="UHO18" s="314" t="s">
        <v>203</v>
      </c>
      <c r="UHP18" s="314" t="s">
        <v>203</v>
      </c>
      <c r="UHQ18" s="314" t="s">
        <v>203</v>
      </c>
      <c r="UHR18" s="314" t="s">
        <v>203</v>
      </c>
      <c r="UHS18" s="314" t="s">
        <v>203</v>
      </c>
      <c r="UHT18" s="314" t="s">
        <v>203</v>
      </c>
      <c r="UHU18" s="314" t="s">
        <v>203</v>
      </c>
      <c r="UHV18" s="314" t="s">
        <v>203</v>
      </c>
      <c r="UHW18" s="314" t="s">
        <v>203</v>
      </c>
      <c r="UHX18" s="314" t="s">
        <v>203</v>
      </c>
      <c r="UHY18" s="314" t="s">
        <v>203</v>
      </c>
      <c r="UHZ18" s="314" t="s">
        <v>203</v>
      </c>
      <c r="UIA18" s="314" t="s">
        <v>203</v>
      </c>
      <c r="UIB18" s="314" t="s">
        <v>203</v>
      </c>
      <c r="UIC18" s="314" t="s">
        <v>203</v>
      </c>
      <c r="UID18" s="314" t="s">
        <v>203</v>
      </c>
      <c r="UIE18" s="314" t="s">
        <v>203</v>
      </c>
      <c r="UIF18" s="314" t="s">
        <v>203</v>
      </c>
      <c r="UIG18" s="314" t="s">
        <v>203</v>
      </c>
      <c r="UIH18" s="314" t="s">
        <v>203</v>
      </c>
      <c r="UII18" s="314" t="s">
        <v>203</v>
      </c>
      <c r="UIJ18" s="314" t="s">
        <v>203</v>
      </c>
      <c r="UIK18" s="314" t="s">
        <v>203</v>
      </c>
      <c r="UIL18" s="314" t="s">
        <v>203</v>
      </c>
      <c r="UIM18" s="314" t="s">
        <v>203</v>
      </c>
      <c r="UIN18" s="314" t="s">
        <v>203</v>
      </c>
      <c r="UIO18" s="314" t="s">
        <v>203</v>
      </c>
      <c r="UIP18" s="314" t="s">
        <v>203</v>
      </c>
      <c r="UIQ18" s="314" t="s">
        <v>203</v>
      </c>
      <c r="UIR18" s="314" t="s">
        <v>203</v>
      </c>
      <c r="UIS18" s="314" t="s">
        <v>203</v>
      </c>
      <c r="UIT18" s="314" t="s">
        <v>203</v>
      </c>
      <c r="UIU18" s="314" t="s">
        <v>203</v>
      </c>
      <c r="UIV18" s="314" t="s">
        <v>203</v>
      </c>
      <c r="UIW18" s="314" t="s">
        <v>203</v>
      </c>
      <c r="UIX18" s="314" t="s">
        <v>203</v>
      </c>
      <c r="UIY18" s="314" t="s">
        <v>203</v>
      </c>
      <c r="UIZ18" s="314" t="s">
        <v>203</v>
      </c>
      <c r="UJA18" s="314" t="s">
        <v>203</v>
      </c>
      <c r="UJB18" s="314" t="s">
        <v>203</v>
      </c>
      <c r="UJC18" s="314" t="s">
        <v>203</v>
      </c>
      <c r="UJD18" s="314" t="s">
        <v>203</v>
      </c>
      <c r="UJE18" s="314" t="s">
        <v>203</v>
      </c>
      <c r="UJF18" s="314" t="s">
        <v>203</v>
      </c>
      <c r="UJG18" s="314" t="s">
        <v>203</v>
      </c>
      <c r="UJH18" s="314" t="s">
        <v>203</v>
      </c>
      <c r="UJI18" s="314" t="s">
        <v>203</v>
      </c>
      <c r="UJJ18" s="314" t="s">
        <v>203</v>
      </c>
      <c r="UJK18" s="314" t="s">
        <v>203</v>
      </c>
      <c r="UJL18" s="314" t="s">
        <v>203</v>
      </c>
      <c r="UJM18" s="314" t="s">
        <v>203</v>
      </c>
      <c r="UJN18" s="314" t="s">
        <v>203</v>
      </c>
      <c r="UJO18" s="314" t="s">
        <v>203</v>
      </c>
      <c r="UJP18" s="314" t="s">
        <v>203</v>
      </c>
      <c r="UJQ18" s="314" t="s">
        <v>203</v>
      </c>
      <c r="UJR18" s="314" t="s">
        <v>203</v>
      </c>
      <c r="UJS18" s="314" t="s">
        <v>203</v>
      </c>
      <c r="UJT18" s="314" t="s">
        <v>203</v>
      </c>
      <c r="UJU18" s="314" t="s">
        <v>203</v>
      </c>
      <c r="UJV18" s="314" t="s">
        <v>203</v>
      </c>
      <c r="UJW18" s="314" t="s">
        <v>203</v>
      </c>
      <c r="UJX18" s="314" t="s">
        <v>203</v>
      </c>
      <c r="UJY18" s="314" t="s">
        <v>203</v>
      </c>
      <c r="UJZ18" s="314" t="s">
        <v>203</v>
      </c>
      <c r="UKA18" s="314" t="s">
        <v>203</v>
      </c>
      <c r="UKB18" s="314" t="s">
        <v>203</v>
      </c>
      <c r="UKC18" s="314" t="s">
        <v>203</v>
      </c>
      <c r="UKD18" s="314" t="s">
        <v>203</v>
      </c>
      <c r="UKE18" s="314" t="s">
        <v>203</v>
      </c>
      <c r="UKF18" s="314" t="s">
        <v>203</v>
      </c>
      <c r="UKG18" s="314" t="s">
        <v>203</v>
      </c>
      <c r="UKH18" s="314" t="s">
        <v>203</v>
      </c>
      <c r="UKI18" s="314" t="s">
        <v>203</v>
      </c>
      <c r="UKJ18" s="314" t="s">
        <v>203</v>
      </c>
      <c r="UKK18" s="314" t="s">
        <v>203</v>
      </c>
      <c r="UKL18" s="314" t="s">
        <v>203</v>
      </c>
      <c r="UKM18" s="314" t="s">
        <v>203</v>
      </c>
      <c r="UKN18" s="314" t="s">
        <v>203</v>
      </c>
      <c r="UKO18" s="314" t="s">
        <v>203</v>
      </c>
      <c r="UKP18" s="314" t="s">
        <v>203</v>
      </c>
      <c r="UKQ18" s="314" t="s">
        <v>203</v>
      </c>
      <c r="UKR18" s="314" t="s">
        <v>203</v>
      </c>
      <c r="UKS18" s="314" t="s">
        <v>203</v>
      </c>
      <c r="UKT18" s="314" t="s">
        <v>203</v>
      </c>
      <c r="UKU18" s="314" t="s">
        <v>203</v>
      </c>
      <c r="UKV18" s="314" t="s">
        <v>203</v>
      </c>
      <c r="UKW18" s="314" t="s">
        <v>203</v>
      </c>
      <c r="UKX18" s="314" t="s">
        <v>203</v>
      </c>
      <c r="UKY18" s="314" t="s">
        <v>203</v>
      </c>
      <c r="UKZ18" s="314" t="s">
        <v>203</v>
      </c>
      <c r="ULA18" s="314" t="s">
        <v>203</v>
      </c>
      <c r="ULB18" s="314" t="s">
        <v>203</v>
      </c>
      <c r="ULC18" s="314" t="s">
        <v>203</v>
      </c>
      <c r="ULD18" s="314" t="s">
        <v>203</v>
      </c>
      <c r="ULE18" s="314" t="s">
        <v>203</v>
      </c>
      <c r="ULF18" s="314" t="s">
        <v>203</v>
      </c>
      <c r="ULG18" s="314" t="s">
        <v>203</v>
      </c>
      <c r="ULH18" s="314" t="s">
        <v>203</v>
      </c>
      <c r="ULI18" s="314" t="s">
        <v>203</v>
      </c>
      <c r="ULJ18" s="314" t="s">
        <v>203</v>
      </c>
      <c r="ULK18" s="314" t="s">
        <v>203</v>
      </c>
      <c r="ULL18" s="314" t="s">
        <v>203</v>
      </c>
      <c r="ULM18" s="314" t="s">
        <v>203</v>
      </c>
      <c r="ULN18" s="314" t="s">
        <v>203</v>
      </c>
      <c r="ULO18" s="314" t="s">
        <v>203</v>
      </c>
      <c r="ULP18" s="314" t="s">
        <v>203</v>
      </c>
      <c r="ULQ18" s="314" t="s">
        <v>203</v>
      </c>
      <c r="ULR18" s="314" t="s">
        <v>203</v>
      </c>
      <c r="ULS18" s="314" t="s">
        <v>203</v>
      </c>
      <c r="ULT18" s="314" t="s">
        <v>203</v>
      </c>
      <c r="ULU18" s="314" t="s">
        <v>203</v>
      </c>
      <c r="ULV18" s="314" t="s">
        <v>203</v>
      </c>
      <c r="ULW18" s="314" t="s">
        <v>203</v>
      </c>
      <c r="ULX18" s="314" t="s">
        <v>203</v>
      </c>
      <c r="ULY18" s="314" t="s">
        <v>203</v>
      </c>
      <c r="ULZ18" s="314" t="s">
        <v>203</v>
      </c>
      <c r="UMA18" s="314" t="s">
        <v>203</v>
      </c>
      <c r="UMB18" s="314" t="s">
        <v>203</v>
      </c>
      <c r="UMC18" s="314" t="s">
        <v>203</v>
      </c>
      <c r="UMD18" s="314" t="s">
        <v>203</v>
      </c>
      <c r="UME18" s="314" t="s">
        <v>203</v>
      </c>
      <c r="UMF18" s="314" t="s">
        <v>203</v>
      </c>
      <c r="UMG18" s="314" t="s">
        <v>203</v>
      </c>
      <c r="UMH18" s="314" t="s">
        <v>203</v>
      </c>
      <c r="UMI18" s="314" t="s">
        <v>203</v>
      </c>
      <c r="UMJ18" s="314" t="s">
        <v>203</v>
      </c>
      <c r="UMK18" s="314" t="s">
        <v>203</v>
      </c>
      <c r="UML18" s="314" t="s">
        <v>203</v>
      </c>
      <c r="UMM18" s="314" t="s">
        <v>203</v>
      </c>
      <c r="UMN18" s="314" t="s">
        <v>203</v>
      </c>
      <c r="UMO18" s="314" t="s">
        <v>203</v>
      </c>
      <c r="UMP18" s="314" t="s">
        <v>203</v>
      </c>
      <c r="UMQ18" s="314" t="s">
        <v>203</v>
      </c>
      <c r="UMR18" s="314" t="s">
        <v>203</v>
      </c>
      <c r="UMS18" s="314" t="s">
        <v>203</v>
      </c>
      <c r="UMT18" s="314" t="s">
        <v>203</v>
      </c>
      <c r="UMU18" s="314" t="s">
        <v>203</v>
      </c>
      <c r="UMV18" s="314" t="s">
        <v>203</v>
      </c>
      <c r="UMW18" s="314" t="s">
        <v>203</v>
      </c>
      <c r="UMX18" s="314" t="s">
        <v>203</v>
      </c>
      <c r="UMY18" s="314" t="s">
        <v>203</v>
      </c>
      <c r="UMZ18" s="314" t="s">
        <v>203</v>
      </c>
      <c r="UNA18" s="314" t="s">
        <v>203</v>
      </c>
      <c r="UNB18" s="314" t="s">
        <v>203</v>
      </c>
      <c r="UNC18" s="314" t="s">
        <v>203</v>
      </c>
      <c r="UND18" s="314" t="s">
        <v>203</v>
      </c>
      <c r="UNE18" s="314" t="s">
        <v>203</v>
      </c>
      <c r="UNF18" s="314" t="s">
        <v>203</v>
      </c>
      <c r="UNG18" s="314" t="s">
        <v>203</v>
      </c>
      <c r="UNH18" s="314" t="s">
        <v>203</v>
      </c>
      <c r="UNI18" s="314" t="s">
        <v>203</v>
      </c>
      <c r="UNJ18" s="314" t="s">
        <v>203</v>
      </c>
      <c r="UNK18" s="314" t="s">
        <v>203</v>
      </c>
      <c r="UNL18" s="314" t="s">
        <v>203</v>
      </c>
      <c r="UNM18" s="314" t="s">
        <v>203</v>
      </c>
      <c r="UNN18" s="314" t="s">
        <v>203</v>
      </c>
      <c r="UNO18" s="314" t="s">
        <v>203</v>
      </c>
      <c r="UNP18" s="314" t="s">
        <v>203</v>
      </c>
      <c r="UNQ18" s="314" t="s">
        <v>203</v>
      </c>
      <c r="UNR18" s="314" t="s">
        <v>203</v>
      </c>
      <c r="UNS18" s="314" t="s">
        <v>203</v>
      </c>
      <c r="UNT18" s="314" t="s">
        <v>203</v>
      </c>
      <c r="UNU18" s="314" t="s">
        <v>203</v>
      </c>
      <c r="UNV18" s="314" t="s">
        <v>203</v>
      </c>
      <c r="UNW18" s="314" t="s">
        <v>203</v>
      </c>
      <c r="UNX18" s="314" t="s">
        <v>203</v>
      </c>
      <c r="UNY18" s="314" t="s">
        <v>203</v>
      </c>
      <c r="UNZ18" s="314" t="s">
        <v>203</v>
      </c>
      <c r="UOA18" s="314" t="s">
        <v>203</v>
      </c>
      <c r="UOB18" s="314" t="s">
        <v>203</v>
      </c>
      <c r="UOC18" s="314" t="s">
        <v>203</v>
      </c>
      <c r="UOD18" s="314" t="s">
        <v>203</v>
      </c>
      <c r="UOE18" s="314" t="s">
        <v>203</v>
      </c>
      <c r="UOF18" s="314" t="s">
        <v>203</v>
      </c>
      <c r="UOG18" s="314" t="s">
        <v>203</v>
      </c>
      <c r="UOH18" s="314" t="s">
        <v>203</v>
      </c>
      <c r="UOI18" s="314" t="s">
        <v>203</v>
      </c>
      <c r="UOJ18" s="314" t="s">
        <v>203</v>
      </c>
      <c r="UOK18" s="314" t="s">
        <v>203</v>
      </c>
      <c r="UOL18" s="314" t="s">
        <v>203</v>
      </c>
      <c r="UOM18" s="314" t="s">
        <v>203</v>
      </c>
      <c r="UON18" s="314" t="s">
        <v>203</v>
      </c>
      <c r="UOO18" s="314" t="s">
        <v>203</v>
      </c>
      <c r="UOP18" s="314" t="s">
        <v>203</v>
      </c>
      <c r="UOQ18" s="314" t="s">
        <v>203</v>
      </c>
      <c r="UOR18" s="314" t="s">
        <v>203</v>
      </c>
      <c r="UOS18" s="314" t="s">
        <v>203</v>
      </c>
      <c r="UOT18" s="314" t="s">
        <v>203</v>
      </c>
      <c r="UOU18" s="314" t="s">
        <v>203</v>
      </c>
      <c r="UOV18" s="314" t="s">
        <v>203</v>
      </c>
      <c r="UOW18" s="314" t="s">
        <v>203</v>
      </c>
      <c r="UOX18" s="314" t="s">
        <v>203</v>
      </c>
      <c r="UOY18" s="314" t="s">
        <v>203</v>
      </c>
      <c r="UOZ18" s="314" t="s">
        <v>203</v>
      </c>
      <c r="UPA18" s="314" t="s">
        <v>203</v>
      </c>
      <c r="UPB18" s="314" t="s">
        <v>203</v>
      </c>
      <c r="UPC18" s="314" t="s">
        <v>203</v>
      </c>
      <c r="UPD18" s="314" t="s">
        <v>203</v>
      </c>
      <c r="UPE18" s="314" t="s">
        <v>203</v>
      </c>
      <c r="UPF18" s="314" t="s">
        <v>203</v>
      </c>
      <c r="UPG18" s="314" t="s">
        <v>203</v>
      </c>
      <c r="UPH18" s="314" t="s">
        <v>203</v>
      </c>
      <c r="UPI18" s="314" t="s">
        <v>203</v>
      </c>
      <c r="UPJ18" s="314" t="s">
        <v>203</v>
      </c>
      <c r="UPK18" s="314" t="s">
        <v>203</v>
      </c>
      <c r="UPL18" s="314" t="s">
        <v>203</v>
      </c>
      <c r="UPM18" s="314" t="s">
        <v>203</v>
      </c>
      <c r="UPN18" s="314" t="s">
        <v>203</v>
      </c>
      <c r="UPO18" s="314" t="s">
        <v>203</v>
      </c>
      <c r="UPP18" s="314" t="s">
        <v>203</v>
      </c>
      <c r="UPQ18" s="314" t="s">
        <v>203</v>
      </c>
      <c r="UPR18" s="314" t="s">
        <v>203</v>
      </c>
      <c r="UPS18" s="314" t="s">
        <v>203</v>
      </c>
      <c r="UPT18" s="314" t="s">
        <v>203</v>
      </c>
      <c r="UPU18" s="314" t="s">
        <v>203</v>
      </c>
      <c r="UPV18" s="314" t="s">
        <v>203</v>
      </c>
      <c r="UPW18" s="314" t="s">
        <v>203</v>
      </c>
      <c r="UPX18" s="314" t="s">
        <v>203</v>
      </c>
      <c r="UPY18" s="314" t="s">
        <v>203</v>
      </c>
      <c r="UPZ18" s="314" t="s">
        <v>203</v>
      </c>
      <c r="UQA18" s="314" t="s">
        <v>203</v>
      </c>
      <c r="UQB18" s="314" t="s">
        <v>203</v>
      </c>
      <c r="UQC18" s="314" t="s">
        <v>203</v>
      </c>
      <c r="UQD18" s="314" t="s">
        <v>203</v>
      </c>
      <c r="UQE18" s="314" t="s">
        <v>203</v>
      </c>
      <c r="UQF18" s="314" t="s">
        <v>203</v>
      </c>
      <c r="UQG18" s="314" t="s">
        <v>203</v>
      </c>
      <c r="UQH18" s="314" t="s">
        <v>203</v>
      </c>
      <c r="UQI18" s="314" t="s">
        <v>203</v>
      </c>
      <c r="UQJ18" s="314" t="s">
        <v>203</v>
      </c>
      <c r="UQK18" s="314" t="s">
        <v>203</v>
      </c>
      <c r="UQL18" s="314" t="s">
        <v>203</v>
      </c>
      <c r="UQM18" s="314" t="s">
        <v>203</v>
      </c>
      <c r="UQN18" s="314" t="s">
        <v>203</v>
      </c>
      <c r="UQO18" s="314" t="s">
        <v>203</v>
      </c>
      <c r="UQP18" s="314" t="s">
        <v>203</v>
      </c>
      <c r="UQQ18" s="314" t="s">
        <v>203</v>
      </c>
      <c r="UQR18" s="314" t="s">
        <v>203</v>
      </c>
      <c r="UQS18" s="314" t="s">
        <v>203</v>
      </c>
      <c r="UQT18" s="314" t="s">
        <v>203</v>
      </c>
      <c r="UQU18" s="314" t="s">
        <v>203</v>
      </c>
      <c r="UQV18" s="314" t="s">
        <v>203</v>
      </c>
      <c r="UQW18" s="314" t="s">
        <v>203</v>
      </c>
      <c r="UQX18" s="314" t="s">
        <v>203</v>
      </c>
      <c r="UQY18" s="314" t="s">
        <v>203</v>
      </c>
      <c r="UQZ18" s="314" t="s">
        <v>203</v>
      </c>
      <c r="URA18" s="314" t="s">
        <v>203</v>
      </c>
      <c r="URB18" s="314" t="s">
        <v>203</v>
      </c>
      <c r="URC18" s="314" t="s">
        <v>203</v>
      </c>
      <c r="URD18" s="314" t="s">
        <v>203</v>
      </c>
      <c r="URE18" s="314" t="s">
        <v>203</v>
      </c>
      <c r="URF18" s="314" t="s">
        <v>203</v>
      </c>
      <c r="URG18" s="314" t="s">
        <v>203</v>
      </c>
      <c r="URH18" s="314" t="s">
        <v>203</v>
      </c>
      <c r="URI18" s="314" t="s">
        <v>203</v>
      </c>
      <c r="URJ18" s="314" t="s">
        <v>203</v>
      </c>
      <c r="URK18" s="314" t="s">
        <v>203</v>
      </c>
      <c r="URL18" s="314" t="s">
        <v>203</v>
      </c>
      <c r="URM18" s="314" t="s">
        <v>203</v>
      </c>
      <c r="URN18" s="314" t="s">
        <v>203</v>
      </c>
      <c r="URO18" s="314" t="s">
        <v>203</v>
      </c>
      <c r="URP18" s="314" t="s">
        <v>203</v>
      </c>
      <c r="URQ18" s="314" t="s">
        <v>203</v>
      </c>
      <c r="URR18" s="314" t="s">
        <v>203</v>
      </c>
      <c r="URS18" s="314" t="s">
        <v>203</v>
      </c>
      <c r="URT18" s="314" t="s">
        <v>203</v>
      </c>
      <c r="URU18" s="314" t="s">
        <v>203</v>
      </c>
      <c r="URV18" s="314" t="s">
        <v>203</v>
      </c>
      <c r="URW18" s="314" t="s">
        <v>203</v>
      </c>
      <c r="URX18" s="314" t="s">
        <v>203</v>
      </c>
      <c r="URY18" s="314" t="s">
        <v>203</v>
      </c>
      <c r="URZ18" s="314" t="s">
        <v>203</v>
      </c>
      <c r="USA18" s="314" t="s">
        <v>203</v>
      </c>
      <c r="USB18" s="314" t="s">
        <v>203</v>
      </c>
      <c r="USC18" s="314" t="s">
        <v>203</v>
      </c>
      <c r="USD18" s="314" t="s">
        <v>203</v>
      </c>
      <c r="USE18" s="314" t="s">
        <v>203</v>
      </c>
      <c r="USF18" s="314" t="s">
        <v>203</v>
      </c>
      <c r="USG18" s="314" t="s">
        <v>203</v>
      </c>
      <c r="USH18" s="314" t="s">
        <v>203</v>
      </c>
      <c r="USI18" s="314" t="s">
        <v>203</v>
      </c>
      <c r="USJ18" s="314" t="s">
        <v>203</v>
      </c>
      <c r="USK18" s="314" t="s">
        <v>203</v>
      </c>
      <c r="USL18" s="314" t="s">
        <v>203</v>
      </c>
      <c r="USM18" s="314" t="s">
        <v>203</v>
      </c>
      <c r="USN18" s="314" t="s">
        <v>203</v>
      </c>
      <c r="USO18" s="314" t="s">
        <v>203</v>
      </c>
      <c r="USP18" s="314" t="s">
        <v>203</v>
      </c>
      <c r="USQ18" s="314" t="s">
        <v>203</v>
      </c>
      <c r="USR18" s="314" t="s">
        <v>203</v>
      </c>
      <c r="USS18" s="314" t="s">
        <v>203</v>
      </c>
      <c r="UST18" s="314" t="s">
        <v>203</v>
      </c>
      <c r="USU18" s="314" t="s">
        <v>203</v>
      </c>
      <c r="USV18" s="314" t="s">
        <v>203</v>
      </c>
      <c r="USW18" s="314" t="s">
        <v>203</v>
      </c>
      <c r="USX18" s="314" t="s">
        <v>203</v>
      </c>
      <c r="USY18" s="314" t="s">
        <v>203</v>
      </c>
      <c r="USZ18" s="314" t="s">
        <v>203</v>
      </c>
      <c r="UTA18" s="314" t="s">
        <v>203</v>
      </c>
      <c r="UTB18" s="314" t="s">
        <v>203</v>
      </c>
      <c r="UTC18" s="314" t="s">
        <v>203</v>
      </c>
      <c r="UTD18" s="314" t="s">
        <v>203</v>
      </c>
      <c r="UTE18" s="314" t="s">
        <v>203</v>
      </c>
      <c r="UTF18" s="314" t="s">
        <v>203</v>
      </c>
      <c r="UTG18" s="314" t="s">
        <v>203</v>
      </c>
      <c r="UTH18" s="314" t="s">
        <v>203</v>
      </c>
      <c r="UTI18" s="314" t="s">
        <v>203</v>
      </c>
      <c r="UTJ18" s="314" t="s">
        <v>203</v>
      </c>
      <c r="UTK18" s="314" t="s">
        <v>203</v>
      </c>
      <c r="UTL18" s="314" t="s">
        <v>203</v>
      </c>
      <c r="UTM18" s="314" t="s">
        <v>203</v>
      </c>
      <c r="UTN18" s="314" t="s">
        <v>203</v>
      </c>
      <c r="UTO18" s="314" t="s">
        <v>203</v>
      </c>
      <c r="UTP18" s="314" t="s">
        <v>203</v>
      </c>
      <c r="UTQ18" s="314" t="s">
        <v>203</v>
      </c>
      <c r="UTR18" s="314" t="s">
        <v>203</v>
      </c>
      <c r="UTS18" s="314" t="s">
        <v>203</v>
      </c>
      <c r="UTT18" s="314" t="s">
        <v>203</v>
      </c>
      <c r="UTU18" s="314" t="s">
        <v>203</v>
      </c>
      <c r="UTV18" s="314" t="s">
        <v>203</v>
      </c>
      <c r="UTW18" s="314" t="s">
        <v>203</v>
      </c>
      <c r="UTX18" s="314" t="s">
        <v>203</v>
      </c>
      <c r="UTY18" s="314" t="s">
        <v>203</v>
      </c>
      <c r="UTZ18" s="314" t="s">
        <v>203</v>
      </c>
      <c r="UUA18" s="314" t="s">
        <v>203</v>
      </c>
      <c r="UUB18" s="314" t="s">
        <v>203</v>
      </c>
      <c r="UUC18" s="314" t="s">
        <v>203</v>
      </c>
      <c r="UUD18" s="314" t="s">
        <v>203</v>
      </c>
      <c r="UUE18" s="314" t="s">
        <v>203</v>
      </c>
      <c r="UUF18" s="314" t="s">
        <v>203</v>
      </c>
      <c r="UUG18" s="314" t="s">
        <v>203</v>
      </c>
      <c r="UUH18" s="314" t="s">
        <v>203</v>
      </c>
      <c r="UUI18" s="314" t="s">
        <v>203</v>
      </c>
      <c r="UUJ18" s="314" t="s">
        <v>203</v>
      </c>
      <c r="UUK18" s="314" t="s">
        <v>203</v>
      </c>
      <c r="UUL18" s="314" t="s">
        <v>203</v>
      </c>
      <c r="UUM18" s="314" t="s">
        <v>203</v>
      </c>
      <c r="UUN18" s="314" t="s">
        <v>203</v>
      </c>
      <c r="UUO18" s="314" t="s">
        <v>203</v>
      </c>
      <c r="UUP18" s="314" t="s">
        <v>203</v>
      </c>
      <c r="UUQ18" s="314" t="s">
        <v>203</v>
      </c>
      <c r="UUR18" s="314" t="s">
        <v>203</v>
      </c>
      <c r="UUS18" s="314" t="s">
        <v>203</v>
      </c>
      <c r="UUT18" s="314" t="s">
        <v>203</v>
      </c>
      <c r="UUU18" s="314" t="s">
        <v>203</v>
      </c>
      <c r="UUV18" s="314" t="s">
        <v>203</v>
      </c>
      <c r="UUW18" s="314" t="s">
        <v>203</v>
      </c>
      <c r="UUX18" s="314" t="s">
        <v>203</v>
      </c>
      <c r="UUY18" s="314" t="s">
        <v>203</v>
      </c>
      <c r="UUZ18" s="314" t="s">
        <v>203</v>
      </c>
      <c r="UVA18" s="314" t="s">
        <v>203</v>
      </c>
      <c r="UVB18" s="314" t="s">
        <v>203</v>
      </c>
      <c r="UVC18" s="314" t="s">
        <v>203</v>
      </c>
      <c r="UVD18" s="314" t="s">
        <v>203</v>
      </c>
      <c r="UVE18" s="314" t="s">
        <v>203</v>
      </c>
      <c r="UVF18" s="314" t="s">
        <v>203</v>
      </c>
      <c r="UVG18" s="314" t="s">
        <v>203</v>
      </c>
      <c r="UVH18" s="314" t="s">
        <v>203</v>
      </c>
      <c r="UVI18" s="314" t="s">
        <v>203</v>
      </c>
      <c r="UVJ18" s="314" t="s">
        <v>203</v>
      </c>
      <c r="UVK18" s="314" t="s">
        <v>203</v>
      </c>
      <c r="UVL18" s="314" t="s">
        <v>203</v>
      </c>
      <c r="UVM18" s="314" t="s">
        <v>203</v>
      </c>
      <c r="UVN18" s="314" t="s">
        <v>203</v>
      </c>
      <c r="UVO18" s="314" t="s">
        <v>203</v>
      </c>
      <c r="UVP18" s="314" t="s">
        <v>203</v>
      </c>
      <c r="UVQ18" s="314" t="s">
        <v>203</v>
      </c>
      <c r="UVR18" s="314" t="s">
        <v>203</v>
      </c>
      <c r="UVS18" s="314" t="s">
        <v>203</v>
      </c>
      <c r="UVT18" s="314" t="s">
        <v>203</v>
      </c>
      <c r="UVU18" s="314" t="s">
        <v>203</v>
      </c>
      <c r="UVV18" s="314" t="s">
        <v>203</v>
      </c>
      <c r="UVW18" s="314" t="s">
        <v>203</v>
      </c>
      <c r="UVX18" s="314" t="s">
        <v>203</v>
      </c>
      <c r="UVY18" s="314" t="s">
        <v>203</v>
      </c>
      <c r="UVZ18" s="314" t="s">
        <v>203</v>
      </c>
      <c r="UWA18" s="314" t="s">
        <v>203</v>
      </c>
      <c r="UWB18" s="314" t="s">
        <v>203</v>
      </c>
      <c r="UWC18" s="314" t="s">
        <v>203</v>
      </c>
      <c r="UWD18" s="314" t="s">
        <v>203</v>
      </c>
      <c r="UWE18" s="314" t="s">
        <v>203</v>
      </c>
      <c r="UWF18" s="314" t="s">
        <v>203</v>
      </c>
      <c r="UWG18" s="314" t="s">
        <v>203</v>
      </c>
      <c r="UWH18" s="314" t="s">
        <v>203</v>
      </c>
      <c r="UWI18" s="314" t="s">
        <v>203</v>
      </c>
      <c r="UWJ18" s="314" t="s">
        <v>203</v>
      </c>
      <c r="UWK18" s="314" t="s">
        <v>203</v>
      </c>
      <c r="UWL18" s="314" t="s">
        <v>203</v>
      </c>
      <c r="UWM18" s="314" t="s">
        <v>203</v>
      </c>
      <c r="UWN18" s="314" t="s">
        <v>203</v>
      </c>
      <c r="UWO18" s="314" t="s">
        <v>203</v>
      </c>
      <c r="UWP18" s="314" t="s">
        <v>203</v>
      </c>
      <c r="UWQ18" s="314" t="s">
        <v>203</v>
      </c>
      <c r="UWR18" s="314" t="s">
        <v>203</v>
      </c>
      <c r="UWS18" s="314" t="s">
        <v>203</v>
      </c>
      <c r="UWT18" s="314" t="s">
        <v>203</v>
      </c>
      <c r="UWU18" s="314" t="s">
        <v>203</v>
      </c>
      <c r="UWV18" s="314" t="s">
        <v>203</v>
      </c>
      <c r="UWW18" s="314" t="s">
        <v>203</v>
      </c>
      <c r="UWX18" s="314" t="s">
        <v>203</v>
      </c>
      <c r="UWY18" s="314" t="s">
        <v>203</v>
      </c>
      <c r="UWZ18" s="314" t="s">
        <v>203</v>
      </c>
      <c r="UXA18" s="314" t="s">
        <v>203</v>
      </c>
      <c r="UXB18" s="314" t="s">
        <v>203</v>
      </c>
      <c r="UXC18" s="314" t="s">
        <v>203</v>
      </c>
      <c r="UXD18" s="314" t="s">
        <v>203</v>
      </c>
      <c r="UXE18" s="314" t="s">
        <v>203</v>
      </c>
      <c r="UXF18" s="314" t="s">
        <v>203</v>
      </c>
      <c r="UXG18" s="314" t="s">
        <v>203</v>
      </c>
      <c r="UXH18" s="314" t="s">
        <v>203</v>
      </c>
      <c r="UXI18" s="314" t="s">
        <v>203</v>
      </c>
      <c r="UXJ18" s="314" t="s">
        <v>203</v>
      </c>
      <c r="UXK18" s="314" t="s">
        <v>203</v>
      </c>
      <c r="UXL18" s="314" t="s">
        <v>203</v>
      </c>
      <c r="UXM18" s="314" t="s">
        <v>203</v>
      </c>
      <c r="UXN18" s="314" t="s">
        <v>203</v>
      </c>
      <c r="UXO18" s="314" t="s">
        <v>203</v>
      </c>
      <c r="UXP18" s="314" t="s">
        <v>203</v>
      </c>
      <c r="UXQ18" s="314" t="s">
        <v>203</v>
      </c>
      <c r="UXR18" s="314" t="s">
        <v>203</v>
      </c>
      <c r="UXS18" s="314" t="s">
        <v>203</v>
      </c>
      <c r="UXT18" s="314" t="s">
        <v>203</v>
      </c>
      <c r="UXU18" s="314" t="s">
        <v>203</v>
      </c>
      <c r="UXV18" s="314" t="s">
        <v>203</v>
      </c>
      <c r="UXW18" s="314" t="s">
        <v>203</v>
      </c>
      <c r="UXX18" s="314" t="s">
        <v>203</v>
      </c>
      <c r="UXY18" s="314" t="s">
        <v>203</v>
      </c>
      <c r="UXZ18" s="314" t="s">
        <v>203</v>
      </c>
      <c r="UYA18" s="314" t="s">
        <v>203</v>
      </c>
      <c r="UYB18" s="314" t="s">
        <v>203</v>
      </c>
      <c r="UYC18" s="314" t="s">
        <v>203</v>
      </c>
      <c r="UYD18" s="314" t="s">
        <v>203</v>
      </c>
      <c r="UYE18" s="314" t="s">
        <v>203</v>
      </c>
      <c r="UYF18" s="314" t="s">
        <v>203</v>
      </c>
      <c r="UYG18" s="314" t="s">
        <v>203</v>
      </c>
      <c r="UYH18" s="314" t="s">
        <v>203</v>
      </c>
      <c r="UYI18" s="314" t="s">
        <v>203</v>
      </c>
      <c r="UYJ18" s="314" t="s">
        <v>203</v>
      </c>
      <c r="UYK18" s="314" t="s">
        <v>203</v>
      </c>
      <c r="UYL18" s="314" t="s">
        <v>203</v>
      </c>
      <c r="UYM18" s="314" t="s">
        <v>203</v>
      </c>
      <c r="UYN18" s="314" t="s">
        <v>203</v>
      </c>
      <c r="UYO18" s="314" t="s">
        <v>203</v>
      </c>
      <c r="UYP18" s="314" t="s">
        <v>203</v>
      </c>
      <c r="UYQ18" s="314" t="s">
        <v>203</v>
      </c>
      <c r="UYR18" s="314" t="s">
        <v>203</v>
      </c>
      <c r="UYS18" s="314" t="s">
        <v>203</v>
      </c>
      <c r="UYT18" s="314" t="s">
        <v>203</v>
      </c>
      <c r="UYU18" s="314" t="s">
        <v>203</v>
      </c>
      <c r="UYV18" s="314" t="s">
        <v>203</v>
      </c>
      <c r="UYW18" s="314" t="s">
        <v>203</v>
      </c>
      <c r="UYX18" s="314" t="s">
        <v>203</v>
      </c>
      <c r="UYY18" s="314" t="s">
        <v>203</v>
      </c>
      <c r="UYZ18" s="314" t="s">
        <v>203</v>
      </c>
      <c r="UZA18" s="314" t="s">
        <v>203</v>
      </c>
      <c r="UZB18" s="314" t="s">
        <v>203</v>
      </c>
      <c r="UZC18" s="314" t="s">
        <v>203</v>
      </c>
      <c r="UZD18" s="314" t="s">
        <v>203</v>
      </c>
      <c r="UZE18" s="314" t="s">
        <v>203</v>
      </c>
      <c r="UZF18" s="314" t="s">
        <v>203</v>
      </c>
      <c r="UZG18" s="314" t="s">
        <v>203</v>
      </c>
      <c r="UZH18" s="314" t="s">
        <v>203</v>
      </c>
      <c r="UZI18" s="314" t="s">
        <v>203</v>
      </c>
      <c r="UZJ18" s="314" t="s">
        <v>203</v>
      </c>
      <c r="UZK18" s="314" t="s">
        <v>203</v>
      </c>
      <c r="UZL18" s="314" t="s">
        <v>203</v>
      </c>
      <c r="UZM18" s="314" t="s">
        <v>203</v>
      </c>
      <c r="UZN18" s="314" t="s">
        <v>203</v>
      </c>
      <c r="UZO18" s="314" t="s">
        <v>203</v>
      </c>
      <c r="UZP18" s="314" t="s">
        <v>203</v>
      </c>
      <c r="UZQ18" s="314" t="s">
        <v>203</v>
      </c>
      <c r="UZR18" s="314" t="s">
        <v>203</v>
      </c>
      <c r="UZS18" s="314" t="s">
        <v>203</v>
      </c>
      <c r="UZT18" s="314" t="s">
        <v>203</v>
      </c>
      <c r="UZU18" s="314" t="s">
        <v>203</v>
      </c>
      <c r="UZV18" s="314" t="s">
        <v>203</v>
      </c>
      <c r="UZW18" s="314" t="s">
        <v>203</v>
      </c>
      <c r="UZX18" s="314" t="s">
        <v>203</v>
      </c>
      <c r="UZY18" s="314" t="s">
        <v>203</v>
      </c>
      <c r="UZZ18" s="314" t="s">
        <v>203</v>
      </c>
      <c r="VAA18" s="314" t="s">
        <v>203</v>
      </c>
      <c r="VAB18" s="314" t="s">
        <v>203</v>
      </c>
      <c r="VAC18" s="314" t="s">
        <v>203</v>
      </c>
      <c r="VAD18" s="314" t="s">
        <v>203</v>
      </c>
      <c r="VAE18" s="314" t="s">
        <v>203</v>
      </c>
      <c r="VAF18" s="314" t="s">
        <v>203</v>
      </c>
      <c r="VAG18" s="314" t="s">
        <v>203</v>
      </c>
      <c r="VAH18" s="314" t="s">
        <v>203</v>
      </c>
      <c r="VAI18" s="314" t="s">
        <v>203</v>
      </c>
      <c r="VAJ18" s="314" t="s">
        <v>203</v>
      </c>
      <c r="VAK18" s="314" t="s">
        <v>203</v>
      </c>
      <c r="VAL18" s="314" t="s">
        <v>203</v>
      </c>
      <c r="VAM18" s="314" t="s">
        <v>203</v>
      </c>
      <c r="VAN18" s="314" t="s">
        <v>203</v>
      </c>
      <c r="VAO18" s="314" t="s">
        <v>203</v>
      </c>
      <c r="VAP18" s="314" t="s">
        <v>203</v>
      </c>
      <c r="VAQ18" s="314" t="s">
        <v>203</v>
      </c>
      <c r="VAR18" s="314" t="s">
        <v>203</v>
      </c>
      <c r="VAS18" s="314" t="s">
        <v>203</v>
      </c>
      <c r="VAT18" s="314" t="s">
        <v>203</v>
      </c>
      <c r="VAU18" s="314" t="s">
        <v>203</v>
      </c>
      <c r="VAV18" s="314" t="s">
        <v>203</v>
      </c>
      <c r="VAW18" s="314" t="s">
        <v>203</v>
      </c>
      <c r="VAX18" s="314" t="s">
        <v>203</v>
      </c>
      <c r="VAY18" s="314" t="s">
        <v>203</v>
      </c>
      <c r="VAZ18" s="314" t="s">
        <v>203</v>
      </c>
      <c r="VBA18" s="314" t="s">
        <v>203</v>
      </c>
      <c r="VBB18" s="314" t="s">
        <v>203</v>
      </c>
      <c r="VBC18" s="314" t="s">
        <v>203</v>
      </c>
      <c r="VBD18" s="314" t="s">
        <v>203</v>
      </c>
      <c r="VBE18" s="314" t="s">
        <v>203</v>
      </c>
      <c r="VBF18" s="314" t="s">
        <v>203</v>
      </c>
      <c r="VBG18" s="314" t="s">
        <v>203</v>
      </c>
      <c r="VBH18" s="314" t="s">
        <v>203</v>
      </c>
      <c r="VBI18" s="314" t="s">
        <v>203</v>
      </c>
      <c r="VBJ18" s="314" t="s">
        <v>203</v>
      </c>
      <c r="VBK18" s="314" t="s">
        <v>203</v>
      </c>
      <c r="VBL18" s="314" t="s">
        <v>203</v>
      </c>
      <c r="VBM18" s="314" t="s">
        <v>203</v>
      </c>
      <c r="VBN18" s="314" t="s">
        <v>203</v>
      </c>
      <c r="VBO18" s="314" t="s">
        <v>203</v>
      </c>
      <c r="VBP18" s="314" t="s">
        <v>203</v>
      </c>
      <c r="VBQ18" s="314" t="s">
        <v>203</v>
      </c>
      <c r="VBR18" s="314" t="s">
        <v>203</v>
      </c>
      <c r="VBS18" s="314" t="s">
        <v>203</v>
      </c>
      <c r="VBT18" s="314" t="s">
        <v>203</v>
      </c>
      <c r="VBU18" s="314" t="s">
        <v>203</v>
      </c>
      <c r="VBV18" s="314" t="s">
        <v>203</v>
      </c>
      <c r="VBW18" s="314" t="s">
        <v>203</v>
      </c>
      <c r="VBX18" s="314" t="s">
        <v>203</v>
      </c>
      <c r="VBY18" s="314" t="s">
        <v>203</v>
      </c>
      <c r="VBZ18" s="314" t="s">
        <v>203</v>
      </c>
      <c r="VCA18" s="314" t="s">
        <v>203</v>
      </c>
      <c r="VCB18" s="314" t="s">
        <v>203</v>
      </c>
      <c r="VCC18" s="314" t="s">
        <v>203</v>
      </c>
      <c r="VCD18" s="314" t="s">
        <v>203</v>
      </c>
      <c r="VCE18" s="314" t="s">
        <v>203</v>
      </c>
      <c r="VCF18" s="314" t="s">
        <v>203</v>
      </c>
      <c r="VCG18" s="314" t="s">
        <v>203</v>
      </c>
      <c r="VCH18" s="314" t="s">
        <v>203</v>
      </c>
      <c r="VCI18" s="314" t="s">
        <v>203</v>
      </c>
      <c r="VCJ18" s="314" t="s">
        <v>203</v>
      </c>
      <c r="VCK18" s="314" t="s">
        <v>203</v>
      </c>
      <c r="VCL18" s="314" t="s">
        <v>203</v>
      </c>
      <c r="VCM18" s="314" t="s">
        <v>203</v>
      </c>
      <c r="VCN18" s="314" t="s">
        <v>203</v>
      </c>
      <c r="VCO18" s="314" t="s">
        <v>203</v>
      </c>
      <c r="VCP18" s="314" t="s">
        <v>203</v>
      </c>
      <c r="VCQ18" s="314" t="s">
        <v>203</v>
      </c>
      <c r="VCR18" s="314" t="s">
        <v>203</v>
      </c>
      <c r="VCS18" s="314" t="s">
        <v>203</v>
      </c>
      <c r="VCT18" s="314" t="s">
        <v>203</v>
      </c>
      <c r="VCU18" s="314" t="s">
        <v>203</v>
      </c>
      <c r="VCV18" s="314" t="s">
        <v>203</v>
      </c>
      <c r="VCW18" s="314" t="s">
        <v>203</v>
      </c>
      <c r="VCX18" s="314" t="s">
        <v>203</v>
      </c>
      <c r="VCY18" s="314" t="s">
        <v>203</v>
      </c>
      <c r="VCZ18" s="314" t="s">
        <v>203</v>
      </c>
      <c r="VDA18" s="314" t="s">
        <v>203</v>
      </c>
      <c r="VDB18" s="314" t="s">
        <v>203</v>
      </c>
      <c r="VDC18" s="314" t="s">
        <v>203</v>
      </c>
      <c r="VDD18" s="314" t="s">
        <v>203</v>
      </c>
      <c r="VDE18" s="314" t="s">
        <v>203</v>
      </c>
      <c r="VDF18" s="314" t="s">
        <v>203</v>
      </c>
      <c r="VDG18" s="314" t="s">
        <v>203</v>
      </c>
      <c r="VDH18" s="314" t="s">
        <v>203</v>
      </c>
      <c r="VDI18" s="314" t="s">
        <v>203</v>
      </c>
      <c r="VDJ18" s="314" t="s">
        <v>203</v>
      </c>
      <c r="VDK18" s="314" t="s">
        <v>203</v>
      </c>
      <c r="VDL18" s="314" t="s">
        <v>203</v>
      </c>
      <c r="VDM18" s="314" t="s">
        <v>203</v>
      </c>
      <c r="VDN18" s="314" t="s">
        <v>203</v>
      </c>
      <c r="VDO18" s="314" t="s">
        <v>203</v>
      </c>
      <c r="VDP18" s="314" t="s">
        <v>203</v>
      </c>
      <c r="VDQ18" s="314" t="s">
        <v>203</v>
      </c>
      <c r="VDR18" s="314" t="s">
        <v>203</v>
      </c>
      <c r="VDS18" s="314" t="s">
        <v>203</v>
      </c>
      <c r="VDT18" s="314" t="s">
        <v>203</v>
      </c>
      <c r="VDU18" s="314" t="s">
        <v>203</v>
      </c>
      <c r="VDV18" s="314" t="s">
        <v>203</v>
      </c>
      <c r="VDW18" s="314" t="s">
        <v>203</v>
      </c>
      <c r="VDX18" s="314" t="s">
        <v>203</v>
      </c>
      <c r="VDY18" s="314" t="s">
        <v>203</v>
      </c>
      <c r="VDZ18" s="314" t="s">
        <v>203</v>
      </c>
      <c r="VEA18" s="314" t="s">
        <v>203</v>
      </c>
      <c r="VEB18" s="314" t="s">
        <v>203</v>
      </c>
      <c r="VEC18" s="314" t="s">
        <v>203</v>
      </c>
      <c r="VED18" s="314" t="s">
        <v>203</v>
      </c>
      <c r="VEE18" s="314" t="s">
        <v>203</v>
      </c>
      <c r="VEF18" s="314" t="s">
        <v>203</v>
      </c>
      <c r="VEG18" s="314" t="s">
        <v>203</v>
      </c>
      <c r="VEH18" s="314" t="s">
        <v>203</v>
      </c>
      <c r="VEI18" s="314" t="s">
        <v>203</v>
      </c>
      <c r="VEJ18" s="314" t="s">
        <v>203</v>
      </c>
      <c r="VEK18" s="314" t="s">
        <v>203</v>
      </c>
      <c r="VEL18" s="314" t="s">
        <v>203</v>
      </c>
      <c r="VEM18" s="314" t="s">
        <v>203</v>
      </c>
      <c r="VEN18" s="314" t="s">
        <v>203</v>
      </c>
      <c r="VEO18" s="314" t="s">
        <v>203</v>
      </c>
      <c r="VEP18" s="314" t="s">
        <v>203</v>
      </c>
      <c r="VEQ18" s="314" t="s">
        <v>203</v>
      </c>
      <c r="VER18" s="314" t="s">
        <v>203</v>
      </c>
      <c r="VES18" s="314" t="s">
        <v>203</v>
      </c>
      <c r="VET18" s="314" t="s">
        <v>203</v>
      </c>
      <c r="VEU18" s="314" t="s">
        <v>203</v>
      </c>
      <c r="VEV18" s="314" t="s">
        <v>203</v>
      </c>
      <c r="VEW18" s="314" t="s">
        <v>203</v>
      </c>
      <c r="VEX18" s="314" t="s">
        <v>203</v>
      </c>
      <c r="VEY18" s="314" t="s">
        <v>203</v>
      </c>
      <c r="VEZ18" s="314" t="s">
        <v>203</v>
      </c>
      <c r="VFA18" s="314" t="s">
        <v>203</v>
      </c>
      <c r="VFB18" s="314" t="s">
        <v>203</v>
      </c>
      <c r="VFC18" s="314" t="s">
        <v>203</v>
      </c>
      <c r="VFD18" s="314" t="s">
        <v>203</v>
      </c>
      <c r="VFE18" s="314" t="s">
        <v>203</v>
      </c>
      <c r="VFF18" s="314" t="s">
        <v>203</v>
      </c>
      <c r="VFG18" s="314" t="s">
        <v>203</v>
      </c>
      <c r="VFH18" s="314" t="s">
        <v>203</v>
      </c>
      <c r="VFI18" s="314" t="s">
        <v>203</v>
      </c>
      <c r="VFJ18" s="314" t="s">
        <v>203</v>
      </c>
      <c r="VFK18" s="314" t="s">
        <v>203</v>
      </c>
      <c r="VFL18" s="314" t="s">
        <v>203</v>
      </c>
      <c r="VFM18" s="314" t="s">
        <v>203</v>
      </c>
      <c r="VFN18" s="314" t="s">
        <v>203</v>
      </c>
      <c r="VFO18" s="314" t="s">
        <v>203</v>
      </c>
      <c r="VFP18" s="314" t="s">
        <v>203</v>
      </c>
      <c r="VFQ18" s="314" t="s">
        <v>203</v>
      </c>
      <c r="VFR18" s="314" t="s">
        <v>203</v>
      </c>
      <c r="VFS18" s="314" t="s">
        <v>203</v>
      </c>
      <c r="VFT18" s="314" t="s">
        <v>203</v>
      </c>
      <c r="VFU18" s="314" t="s">
        <v>203</v>
      </c>
      <c r="VFV18" s="314" t="s">
        <v>203</v>
      </c>
      <c r="VFW18" s="314" t="s">
        <v>203</v>
      </c>
      <c r="VFX18" s="314" t="s">
        <v>203</v>
      </c>
      <c r="VFY18" s="314" t="s">
        <v>203</v>
      </c>
      <c r="VFZ18" s="314" t="s">
        <v>203</v>
      </c>
      <c r="VGA18" s="314" t="s">
        <v>203</v>
      </c>
      <c r="VGB18" s="314" t="s">
        <v>203</v>
      </c>
      <c r="VGC18" s="314" t="s">
        <v>203</v>
      </c>
      <c r="VGD18" s="314" t="s">
        <v>203</v>
      </c>
      <c r="VGE18" s="314" t="s">
        <v>203</v>
      </c>
      <c r="VGF18" s="314" t="s">
        <v>203</v>
      </c>
      <c r="VGG18" s="314" t="s">
        <v>203</v>
      </c>
      <c r="VGH18" s="314" t="s">
        <v>203</v>
      </c>
      <c r="VGI18" s="314" t="s">
        <v>203</v>
      </c>
      <c r="VGJ18" s="314" t="s">
        <v>203</v>
      </c>
      <c r="VGK18" s="314" t="s">
        <v>203</v>
      </c>
      <c r="VGL18" s="314" t="s">
        <v>203</v>
      </c>
      <c r="VGM18" s="314" t="s">
        <v>203</v>
      </c>
      <c r="VGN18" s="314" t="s">
        <v>203</v>
      </c>
      <c r="VGO18" s="314" t="s">
        <v>203</v>
      </c>
      <c r="VGP18" s="314" t="s">
        <v>203</v>
      </c>
      <c r="VGQ18" s="314" t="s">
        <v>203</v>
      </c>
      <c r="VGR18" s="314" t="s">
        <v>203</v>
      </c>
      <c r="VGS18" s="314" t="s">
        <v>203</v>
      </c>
      <c r="VGT18" s="314" t="s">
        <v>203</v>
      </c>
      <c r="VGU18" s="314" t="s">
        <v>203</v>
      </c>
      <c r="VGV18" s="314" t="s">
        <v>203</v>
      </c>
      <c r="VGW18" s="314" t="s">
        <v>203</v>
      </c>
      <c r="VGX18" s="314" t="s">
        <v>203</v>
      </c>
      <c r="VGY18" s="314" t="s">
        <v>203</v>
      </c>
      <c r="VGZ18" s="314" t="s">
        <v>203</v>
      </c>
      <c r="VHA18" s="314" t="s">
        <v>203</v>
      </c>
      <c r="VHB18" s="314" t="s">
        <v>203</v>
      </c>
      <c r="VHC18" s="314" t="s">
        <v>203</v>
      </c>
      <c r="VHD18" s="314" t="s">
        <v>203</v>
      </c>
      <c r="VHE18" s="314" t="s">
        <v>203</v>
      </c>
      <c r="VHF18" s="314" t="s">
        <v>203</v>
      </c>
      <c r="VHG18" s="314" t="s">
        <v>203</v>
      </c>
      <c r="VHH18" s="314" t="s">
        <v>203</v>
      </c>
      <c r="VHI18" s="314" t="s">
        <v>203</v>
      </c>
      <c r="VHJ18" s="314" t="s">
        <v>203</v>
      </c>
      <c r="VHK18" s="314" t="s">
        <v>203</v>
      </c>
      <c r="VHL18" s="314" t="s">
        <v>203</v>
      </c>
      <c r="VHM18" s="314" t="s">
        <v>203</v>
      </c>
      <c r="VHN18" s="314" t="s">
        <v>203</v>
      </c>
      <c r="VHO18" s="314" t="s">
        <v>203</v>
      </c>
      <c r="VHP18" s="314" t="s">
        <v>203</v>
      </c>
      <c r="VHQ18" s="314" t="s">
        <v>203</v>
      </c>
      <c r="VHR18" s="314" t="s">
        <v>203</v>
      </c>
      <c r="VHS18" s="314" t="s">
        <v>203</v>
      </c>
      <c r="VHT18" s="314" t="s">
        <v>203</v>
      </c>
      <c r="VHU18" s="314" t="s">
        <v>203</v>
      </c>
      <c r="VHV18" s="314" t="s">
        <v>203</v>
      </c>
      <c r="VHW18" s="314" t="s">
        <v>203</v>
      </c>
      <c r="VHX18" s="314" t="s">
        <v>203</v>
      </c>
      <c r="VHY18" s="314" t="s">
        <v>203</v>
      </c>
      <c r="VHZ18" s="314" t="s">
        <v>203</v>
      </c>
      <c r="VIA18" s="314" t="s">
        <v>203</v>
      </c>
      <c r="VIB18" s="314" t="s">
        <v>203</v>
      </c>
      <c r="VIC18" s="314" t="s">
        <v>203</v>
      </c>
      <c r="VID18" s="314" t="s">
        <v>203</v>
      </c>
      <c r="VIE18" s="314" t="s">
        <v>203</v>
      </c>
      <c r="VIF18" s="314" t="s">
        <v>203</v>
      </c>
      <c r="VIG18" s="314" t="s">
        <v>203</v>
      </c>
      <c r="VIH18" s="314" t="s">
        <v>203</v>
      </c>
      <c r="VII18" s="314" t="s">
        <v>203</v>
      </c>
      <c r="VIJ18" s="314" t="s">
        <v>203</v>
      </c>
      <c r="VIK18" s="314" t="s">
        <v>203</v>
      </c>
      <c r="VIL18" s="314" t="s">
        <v>203</v>
      </c>
      <c r="VIM18" s="314" t="s">
        <v>203</v>
      </c>
      <c r="VIN18" s="314" t="s">
        <v>203</v>
      </c>
      <c r="VIO18" s="314" t="s">
        <v>203</v>
      </c>
      <c r="VIP18" s="314" t="s">
        <v>203</v>
      </c>
      <c r="VIQ18" s="314" t="s">
        <v>203</v>
      </c>
      <c r="VIR18" s="314" t="s">
        <v>203</v>
      </c>
      <c r="VIS18" s="314" t="s">
        <v>203</v>
      </c>
      <c r="VIT18" s="314" t="s">
        <v>203</v>
      </c>
      <c r="VIU18" s="314" t="s">
        <v>203</v>
      </c>
      <c r="VIV18" s="314" t="s">
        <v>203</v>
      </c>
      <c r="VIW18" s="314" t="s">
        <v>203</v>
      </c>
      <c r="VIX18" s="314" t="s">
        <v>203</v>
      </c>
      <c r="VIY18" s="314" t="s">
        <v>203</v>
      </c>
      <c r="VIZ18" s="314" t="s">
        <v>203</v>
      </c>
      <c r="VJA18" s="314" t="s">
        <v>203</v>
      </c>
      <c r="VJB18" s="314" t="s">
        <v>203</v>
      </c>
      <c r="VJC18" s="314" t="s">
        <v>203</v>
      </c>
      <c r="VJD18" s="314" t="s">
        <v>203</v>
      </c>
      <c r="VJE18" s="314" t="s">
        <v>203</v>
      </c>
      <c r="VJF18" s="314" t="s">
        <v>203</v>
      </c>
      <c r="VJG18" s="314" t="s">
        <v>203</v>
      </c>
      <c r="VJH18" s="314" t="s">
        <v>203</v>
      </c>
      <c r="VJI18" s="314" t="s">
        <v>203</v>
      </c>
      <c r="VJJ18" s="314" t="s">
        <v>203</v>
      </c>
      <c r="VJK18" s="314" t="s">
        <v>203</v>
      </c>
      <c r="VJL18" s="314" t="s">
        <v>203</v>
      </c>
      <c r="VJM18" s="314" t="s">
        <v>203</v>
      </c>
      <c r="VJN18" s="314" t="s">
        <v>203</v>
      </c>
      <c r="VJO18" s="314" t="s">
        <v>203</v>
      </c>
      <c r="VJP18" s="314" t="s">
        <v>203</v>
      </c>
      <c r="VJQ18" s="314" t="s">
        <v>203</v>
      </c>
      <c r="VJR18" s="314" t="s">
        <v>203</v>
      </c>
      <c r="VJS18" s="314" t="s">
        <v>203</v>
      </c>
      <c r="VJT18" s="314" t="s">
        <v>203</v>
      </c>
      <c r="VJU18" s="314" t="s">
        <v>203</v>
      </c>
      <c r="VJV18" s="314" t="s">
        <v>203</v>
      </c>
      <c r="VJW18" s="314" t="s">
        <v>203</v>
      </c>
      <c r="VJX18" s="314" t="s">
        <v>203</v>
      </c>
      <c r="VJY18" s="314" t="s">
        <v>203</v>
      </c>
      <c r="VJZ18" s="314" t="s">
        <v>203</v>
      </c>
      <c r="VKA18" s="314" t="s">
        <v>203</v>
      </c>
      <c r="VKB18" s="314" t="s">
        <v>203</v>
      </c>
      <c r="VKC18" s="314" t="s">
        <v>203</v>
      </c>
      <c r="VKD18" s="314" t="s">
        <v>203</v>
      </c>
      <c r="VKE18" s="314" t="s">
        <v>203</v>
      </c>
      <c r="VKF18" s="314" t="s">
        <v>203</v>
      </c>
      <c r="VKG18" s="314" t="s">
        <v>203</v>
      </c>
      <c r="VKH18" s="314" t="s">
        <v>203</v>
      </c>
      <c r="VKI18" s="314" t="s">
        <v>203</v>
      </c>
      <c r="VKJ18" s="314" t="s">
        <v>203</v>
      </c>
      <c r="VKK18" s="314" t="s">
        <v>203</v>
      </c>
      <c r="VKL18" s="314" t="s">
        <v>203</v>
      </c>
      <c r="VKM18" s="314" t="s">
        <v>203</v>
      </c>
      <c r="VKN18" s="314" t="s">
        <v>203</v>
      </c>
      <c r="VKO18" s="314" t="s">
        <v>203</v>
      </c>
      <c r="VKP18" s="314" t="s">
        <v>203</v>
      </c>
      <c r="VKQ18" s="314" t="s">
        <v>203</v>
      </c>
      <c r="VKR18" s="314" t="s">
        <v>203</v>
      </c>
      <c r="VKS18" s="314" t="s">
        <v>203</v>
      </c>
      <c r="VKT18" s="314" t="s">
        <v>203</v>
      </c>
      <c r="VKU18" s="314" t="s">
        <v>203</v>
      </c>
      <c r="VKV18" s="314" t="s">
        <v>203</v>
      </c>
      <c r="VKW18" s="314" t="s">
        <v>203</v>
      </c>
      <c r="VKX18" s="314" t="s">
        <v>203</v>
      </c>
      <c r="VKY18" s="314" t="s">
        <v>203</v>
      </c>
      <c r="VKZ18" s="314" t="s">
        <v>203</v>
      </c>
      <c r="VLA18" s="314" t="s">
        <v>203</v>
      </c>
      <c r="VLB18" s="314" t="s">
        <v>203</v>
      </c>
      <c r="VLC18" s="314" t="s">
        <v>203</v>
      </c>
      <c r="VLD18" s="314" t="s">
        <v>203</v>
      </c>
      <c r="VLE18" s="314" t="s">
        <v>203</v>
      </c>
      <c r="VLF18" s="314" t="s">
        <v>203</v>
      </c>
      <c r="VLG18" s="314" t="s">
        <v>203</v>
      </c>
      <c r="VLH18" s="314" t="s">
        <v>203</v>
      </c>
      <c r="VLI18" s="314" t="s">
        <v>203</v>
      </c>
      <c r="VLJ18" s="314" t="s">
        <v>203</v>
      </c>
      <c r="VLK18" s="314" t="s">
        <v>203</v>
      </c>
      <c r="VLL18" s="314" t="s">
        <v>203</v>
      </c>
      <c r="VLM18" s="314" t="s">
        <v>203</v>
      </c>
      <c r="VLN18" s="314" t="s">
        <v>203</v>
      </c>
      <c r="VLO18" s="314" t="s">
        <v>203</v>
      </c>
      <c r="VLP18" s="314" t="s">
        <v>203</v>
      </c>
      <c r="VLQ18" s="314" t="s">
        <v>203</v>
      </c>
      <c r="VLR18" s="314" t="s">
        <v>203</v>
      </c>
      <c r="VLS18" s="314" t="s">
        <v>203</v>
      </c>
      <c r="VLT18" s="314" t="s">
        <v>203</v>
      </c>
      <c r="VLU18" s="314" t="s">
        <v>203</v>
      </c>
      <c r="VLV18" s="314" t="s">
        <v>203</v>
      </c>
      <c r="VLW18" s="314" t="s">
        <v>203</v>
      </c>
      <c r="VLX18" s="314" t="s">
        <v>203</v>
      </c>
      <c r="VLY18" s="314" t="s">
        <v>203</v>
      </c>
      <c r="VLZ18" s="314" t="s">
        <v>203</v>
      </c>
      <c r="VMA18" s="314" t="s">
        <v>203</v>
      </c>
      <c r="VMB18" s="314" t="s">
        <v>203</v>
      </c>
      <c r="VMC18" s="314" t="s">
        <v>203</v>
      </c>
      <c r="VMD18" s="314" t="s">
        <v>203</v>
      </c>
      <c r="VME18" s="314" t="s">
        <v>203</v>
      </c>
      <c r="VMF18" s="314" t="s">
        <v>203</v>
      </c>
      <c r="VMG18" s="314" t="s">
        <v>203</v>
      </c>
      <c r="VMH18" s="314" t="s">
        <v>203</v>
      </c>
      <c r="VMI18" s="314" t="s">
        <v>203</v>
      </c>
      <c r="VMJ18" s="314" t="s">
        <v>203</v>
      </c>
      <c r="VMK18" s="314" t="s">
        <v>203</v>
      </c>
      <c r="VML18" s="314" t="s">
        <v>203</v>
      </c>
      <c r="VMM18" s="314" t="s">
        <v>203</v>
      </c>
      <c r="VMN18" s="314" t="s">
        <v>203</v>
      </c>
      <c r="VMO18" s="314" t="s">
        <v>203</v>
      </c>
      <c r="VMP18" s="314" t="s">
        <v>203</v>
      </c>
      <c r="VMQ18" s="314" t="s">
        <v>203</v>
      </c>
      <c r="VMR18" s="314" t="s">
        <v>203</v>
      </c>
      <c r="VMS18" s="314" t="s">
        <v>203</v>
      </c>
      <c r="VMT18" s="314" t="s">
        <v>203</v>
      </c>
      <c r="VMU18" s="314" t="s">
        <v>203</v>
      </c>
      <c r="VMV18" s="314" t="s">
        <v>203</v>
      </c>
      <c r="VMW18" s="314" t="s">
        <v>203</v>
      </c>
      <c r="VMX18" s="314" t="s">
        <v>203</v>
      </c>
      <c r="VMY18" s="314" t="s">
        <v>203</v>
      </c>
      <c r="VMZ18" s="314" t="s">
        <v>203</v>
      </c>
      <c r="VNA18" s="314" t="s">
        <v>203</v>
      </c>
      <c r="VNB18" s="314" t="s">
        <v>203</v>
      </c>
      <c r="VNC18" s="314" t="s">
        <v>203</v>
      </c>
      <c r="VND18" s="314" t="s">
        <v>203</v>
      </c>
      <c r="VNE18" s="314" t="s">
        <v>203</v>
      </c>
      <c r="VNF18" s="314" t="s">
        <v>203</v>
      </c>
      <c r="VNG18" s="314" t="s">
        <v>203</v>
      </c>
      <c r="VNH18" s="314" t="s">
        <v>203</v>
      </c>
      <c r="VNI18" s="314" t="s">
        <v>203</v>
      </c>
      <c r="VNJ18" s="314" t="s">
        <v>203</v>
      </c>
      <c r="VNK18" s="314" t="s">
        <v>203</v>
      </c>
      <c r="VNL18" s="314" t="s">
        <v>203</v>
      </c>
      <c r="VNM18" s="314" t="s">
        <v>203</v>
      </c>
      <c r="VNN18" s="314" t="s">
        <v>203</v>
      </c>
      <c r="VNO18" s="314" t="s">
        <v>203</v>
      </c>
      <c r="VNP18" s="314" t="s">
        <v>203</v>
      </c>
      <c r="VNQ18" s="314" t="s">
        <v>203</v>
      </c>
      <c r="VNR18" s="314" t="s">
        <v>203</v>
      </c>
      <c r="VNS18" s="314" t="s">
        <v>203</v>
      </c>
      <c r="VNT18" s="314" t="s">
        <v>203</v>
      </c>
      <c r="VNU18" s="314" t="s">
        <v>203</v>
      </c>
      <c r="VNV18" s="314" t="s">
        <v>203</v>
      </c>
      <c r="VNW18" s="314" t="s">
        <v>203</v>
      </c>
      <c r="VNX18" s="314" t="s">
        <v>203</v>
      </c>
      <c r="VNY18" s="314" t="s">
        <v>203</v>
      </c>
      <c r="VNZ18" s="314" t="s">
        <v>203</v>
      </c>
      <c r="VOA18" s="314" t="s">
        <v>203</v>
      </c>
      <c r="VOB18" s="314" t="s">
        <v>203</v>
      </c>
      <c r="VOC18" s="314" t="s">
        <v>203</v>
      </c>
      <c r="VOD18" s="314" t="s">
        <v>203</v>
      </c>
      <c r="VOE18" s="314" t="s">
        <v>203</v>
      </c>
      <c r="VOF18" s="314" t="s">
        <v>203</v>
      </c>
      <c r="VOG18" s="314" t="s">
        <v>203</v>
      </c>
      <c r="VOH18" s="314" t="s">
        <v>203</v>
      </c>
      <c r="VOI18" s="314" t="s">
        <v>203</v>
      </c>
      <c r="VOJ18" s="314" t="s">
        <v>203</v>
      </c>
      <c r="VOK18" s="314" t="s">
        <v>203</v>
      </c>
      <c r="VOL18" s="314" t="s">
        <v>203</v>
      </c>
      <c r="VOM18" s="314" t="s">
        <v>203</v>
      </c>
      <c r="VON18" s="314" t="s">
        <v>203</v>
      </c>
      <c r="VOO18" s="314" t="s">
        <v>203</v>
      </c>
      <c r="VOP18" s="314" t="s">
        <v>203</v>
      </c>
      <c r="VOQ18" s="314" t="s">
        <v>203</v>
      </c>
      <c r="VOR18" s="314" t="s">
        <v>203</v>
      </c>
      <c r="VOS18" s="314" t="s">
        <v>203</v>
      </c>
      <c r="VOT18" s="314" t="s">
        <v>203</v>
      </c>
      <c r="VOU18" s="314" t="s">
        <v>203</v>
      </c>
      <c r="VOV18" s="314" t="s">
        <v>203</v>
      </c>
      <c r="VOW18" s="314" t="s">
        <v>203</v>
      </c>
      <c r="VOX18" s="314" t="s">
        <v>203</v>
      </c>
      <c r="VOY18" s="314" t="s">
        <v>203</v>
      </c>
      <c r="VOZ18" s="314" t="s">
        <v>203</v>
      </c>
      <c r="VPA18" s="314" t="s">
        <v>203</v>
      </c>
      <c r="VPB18" s="314" t="s">
        <v>203</v>
      </c>
      <c r="VPC18" s="314" t="s">
        <v>203</v>
      </c>
      <c r="VPD18" s="314" t="s">
        <v>203</v>
      </c>
      <c r="VPE18" s="314" t="s">
        <v>203</v>
      </c>
      <c r="VPF18" s="314" t="s">
        <v>203</v>
      </c>
      <c r="VPG18" s="314" t="s">
        <v>203</v>
      </c>
      <c r="VPH18" s="314" t="s">
        <v>203</v>
      </c>
      <c r="VPI18" s="314" t="s">
        <v>203</v>
      </c>
      <c r="VPJ18" s="314" t="s">
        <v>203</v>
      </c>
      <c r="VPK18" s="314" t="s">
        <v>203</v>
      </c>
      <c r="VPL18" s="314" t="s">
        <v>203</v>
      </c>
      <c r="VPM18" s="314" t="s">
        <v>203</v>
      </c>
      <c r="VPN18" s="314" t="s">
        <v>203</v>
      </c>
      <c r="VPO18" s="314" t="s">
        <v>203</v>
      </c>
      <c r="VPP18" s="314" t="s">
        <v>203</v>
      </c>
      <c r="VPQ18" s="314" t="s">
        <v>203</v>
      </c>
      <c r="VPR18" s="314" t="s">
        <v>203</v>
      </c>
      <c r="VPS18" s="314" t="s">
        <v>203</v>
      </c>
      <c r="VPT18" s="314" t="s">
        <v>203</v>
      </c>
      <c r="VPU18" s="314" t="s">
        <v>203</v>
      </c>
      <c r="VPV18" s="314" t="s">
        <v>203</v>
      </c>
      <c r="VPW18" s="314" t="s">
        <v>203</v>
      </c>
      <c r="VPX18" s="314" t="s">
        <v>203</v>
      </c>
      <c r="VPY18" s="314" t="s">
        <v>203</v>
      </c>
      <c r="VPZ18" s="314" t="s">
        <v>203</v>
      </c>
      <c r="VQA18" s="314" t="s">
        <v>203</v>
      </c>
      <c r="VQB18" s="314" t="s">
        <v>203</v>
      </c>
      <c r="VQC18" s="314" t="s">
        <v>203</v>
      </c>
      <c r="VQD18" s="314" t="s">
        <v>203</v>
      </c>
      <c r="VQE18" s="314" t="s">
        <v>203</v>
      </c>
      <c r="VQF18" s="314" t="s">
        <v>203</v>
      </c>
      <c r="VQG18" s="314" t="s">
        <v>203</v>
      </c>
      <c r="VQH18" s="314" t="s">
        <v>203</v>
      </c>
      <c r="VQI18" s="314" t="s">
        <v>203</v>
      </c>
      <c r="VQJ18" s="314" t="s">
        <v>203</v>
      </c>
      <c r="VQK18" s="314" t="s">
        <v>203</v>
      </c>
      <c r="VQL18" s="314" t="s">
        <v>203</v>
      </c>
      <c r="VQM18" s="314" t="s">
        <v>203</v>
      </c>
      <c r="VQN18" s="314" t="s">
        <v>203</v>
      </c>
      <c r="VQO18" s="314" t="s">
        <v>203</v>
      </c>
      <c r="VQP18" s="314" t="s">
        <v>203</v>
      </c>
      <c r="VQQ18" s="314" t="s">
        <v>203</v>
      </c>
      <c r="VQR18" s="314" t="s">
        <v>203</v>
      </c>
      <c r="VQS18" s="314" t="s">
        <v>203</v>
      </c>
      <c r="VQT18" s="314" t="s">
        <v>203</v>
      </c>
      <c r="VQU18" s="314" t="s">
        <v>203</v>
      </c>
      <c r="VQV18" s="314" t="s">
        <v>203</v>
      </c>
      <c r="VQW18" s="314" t="s">
        <v>203</v>
      </c>
      <c r="VQX18" s="314" t="s">
        <v>203</v>
      </c>
      <c r="VQY18" s="314" t="s">
        <v>203</v>
      </c>
      <c r="VQZ18" s="314" t="s">
        <v>203</v>
      </c>
      <c r="VRA18" s="314" t="s">
        <v>203</v>
      </c>
      <c r="VRB18" s="314" t="s">
        <v>203</v>
      </c>
      <c r="VRC18" s="314" t="s">
        <v>203</v>
      </c>
      <c r="VRD18" s="314" t="s">
        <v>203</v>
      </c>
      <c r="VRE18" s="314" t="s">
        <v>203</v>
      </c>
      <c r="VRF18" s="314" t="s">
        <v>203</v>
      </c>
      <c r="VRG18" s="314" t="s">
        <v>203</v>
      </c>
      <c r="VRH18" s="314" t="s">
        <v>203</v>
      </c>
      <c r="VRI18" s="314" t="s">
        <v>203</v>
      </c>
      <c r="VRJ18" s="314" t="s">
        <v>203</v>
      </c>
      <c r="VRK18" s="314" t="s">
        <v>203</v>
      </c>
      <c r="VRL18" s="314" t="s">
        <v>203</v>
      </c>
      <c r="VRM18" s="314" t="s">
        <v>203</v>
      </c>
      <c r="VRN18" s="314" t="s">
        <v>203</v>
      </c>
      <c r="VRO18" s="314" t="s">
        <v>203</v>
      </c>
      <c r="VRP18" s="314" t="s">
        <v>203</v>
      </c>
      <c r="VRQ18" s="314" t="s">
        <v>203</v>
      </c>
      <c r="VRR18" s="314" t="s">
        <v>203</v>
      </c>
      <c r="VRS18" s="314" t="s">
        <v>203</v>
      </c>
      <c r="VRT18" s="314" t="s">
        <v>203</v>
      </c>
      <c r="VRU18" s="314" t="s">
        <v>203</v>
      </c>
      <c r="VRV18" s="314" t="s">
        <v>203</v>
      </c>
      <c r="VRW18" s="314" t="s">
        <v>203</v>
      </c>
      <c r="VRX18" s="314" t="s">
        <v>203</v>
      </c>
      <c r="VRY18" s="314" t="s">
        <v>203</v>
      </c>
      <c r="VRZ18" s="314" t="s">
        <v>203</v>
      </c>
      <c r="VSA18" s="314" t="s">
        <v>203</v>
      </c>
      <c r="VSB18" s="314" t="s">
        <v>203</v>
      </c>
      <c r="VSC18" s="314" t="s">
        <v>203</v>
      </c>
      <c r="VSD18" s="314" t="s">
        <v>203</v>
      </c>
      <c r="VSE18" s="314" t="s">
        <v>203</v>
      </c>
      <c r="VSF18" s="314" t="s">
        <v>203</v>
      </c>
      <c r="VSG18" s="314" t="s">
        <v>203</v>
      </c>
      <c r="VSH18" s="314" t="s">
        <v>203</v>
      </c>
      <c r="VSI18" s="314" t="s">
        <v>203</v>
      </c>
      <c r="VSJ18" s="314" t="s">
        <v>203</v>
      </c>
      <c r="VSK18" s="314" t="s">
        <v>203</v>
      </c>
      <c r="VSL18" s="314" t="s">
        <v>203</v>
      </c>
      <c r="VSM18" s="314" t="s">
        <v>203</v>
      </c>
      <c r="VSN18" s="314" t="s">
        <v>203</v>
      </c>
      <c r="VSO18" s="314" t="s">
        <v>203</v>
      </c>
      <c r="VSP18" s="314" t="s">
        <v>203</v>
      </c>
      <c r="VSQ18" s="314" t="s">
        <v>203</v>
      </c>
      <c r="VSR18" s="314" t="s">
        <v>203</v>
      </c>
      <c r="VSS18" s="314" t="s">
        <v>203</v>
      </c>
      <c r="VST18" s="314" t="s">
        <v>203</v>
      </c>
      <c r="VSU18" s="314" t="s">
        <v>203</v>
      </c>
      <c r="VSV18" s="314" t="s">
        <v>203</v>
      </c>
      <c r="VSW18" s="314" t="s">
        <v>203</v>
      </c>
      <c r="VSX18" s="314" t="s">
        <v>203</v>
      </c>
      <c r="VSY18" s="314" t="s">
        <v>203</v>
      </c>
      <c r="VSZ18" s="314" t="s">
        <v>203</v>
      </c>
      <c r="VTA18" s="314" t="s">
        <v>203</v>
      </c>
      <c r="VTB18" s="314" t="s">
        <v>203</v>
      </c>
      <c r="VTC18" s="314" t="s">
        <v>203</v>
      </c>
      <c r="VTD18" s="314" t="s">
        <v>203</v>
      </c>
      <c r="VTE18" s="314" t="s">
        <v>203</v>
      </c>
      <c r="VTF18" s="314" t="s">
        <v>203</v>
      </c>
      <c r="VTG18" s="314" t="s">
        <v>203</v>
      </c>
      <c r="VTH18" s="314" t="s">
        <v>203</v>
      </c>
      <c r="VTI18" s="314" t="s">
        <v>203</v>
      </c>
      <c r="VTJ18" s="314" t="s">
        <v>203</v>
      </c>
      <c r="VTK18" s="314" t="s">
        <v>203</v>
      </c>
      <c r="VTL18" s="314" t="s">
        <v>203</v>
      </c>
      <c r="VTM18" s="314" t="s">
        <v>203</v>
      </c>
      <c r="VTN18" s="314" t="s">
        <v>203</v>
      </c>
      <c r="VTO18" s="314" t="s">
        <v>203</v>
      </c>
      <c r="VTP18" s="314" t="s">
        <v>203</v>
      </c>
      <c r="VTQ18" s="314" t="s">
        <v>203</v>
      </c>
      <c r="VTR18" s="314" t="s">
        <v>203</v>
      </c>
      <c r="VTS18" s="314" t="s">
        <v>203</v>
      </c>
      <c r="VTT18" s="314" t="s">
        <v>203</v>
      </c>
      <c r="VTU18" s="314" t="s">
        <v>203</v>
      </c>
      <c r="VTV18" s="314" t="s">
        <v>203</v>
      </c>
      <c r="VTW18" s="314" t="s">
        <v>203</v>
      </c>
      <c r="VTX18" s="314" t="s">
        <v>203</v>
      </c>
      <c r="VTY18" s="314" t="s">
        <v>203</v>
      </c>
      <c r="VTZ18" s="314" t="s">
        <v>203</v>
      </c>
      <c r="VUA18" s="314" t="s">
        <v>203</v>
      </c>
      <c r="VUB18" s="314" t="s">
        <v>203</v>
      </c>
      <c r="VUC18" s="314" t="s">
        <v>203</v>
      </c>
      <c r="VUD18" s="314" t="s">
        <v>203</v>
      </c>
      <c r="VUE18" s="314" t="s">
        <v>203</v>
      </c>
      <c r="VUF18" s="314" t="s">
        <v>203</v>
      </c>
      <c r="VUG18" s="314" t="s">
        <v>203</v>
      </c>
      <c r="VUH18" s="314" t="s">
        <v>203</v>
      </c>
      <c r="VUI18" s="314" t="s">
        <v>203</v>
      </c>
      <c r="VUJ18" s="314" t="s">
        <v>203</v>
      </c>
      <c r="VUK18" s="314" t="s">
        <v>203</v>
      </c>
      <c r="VUL18" s="314" t="s">
        <v>203</v>
      </c>
      <c r="VUM18" s="314" t="s">
        <v>203</v>
      </c>
      <c r="VUN18" s="314" t="s">
        <v>203</v>
      </c>
      <c r="VUO18" s="314" t="s">
        <v>203</v>
      </c>
      <c r="VUP18" s="314" t="s">
        <v>203</v>
      </c>
      <c r="VUQ18" s="314" t="s">
        <v>203</v>
      </c>
      <c r="VUR18" s="314" t="s">
        <v>203</v>
      </c>
      <c r="VUS18" s="314" t="s">
        <v>203</v>
      </c>
      <c r="VUT18" s="314" t="s">
        <v>203</v>
      </c>
      <c r="VUU18" s="314" t="s">
        <v>203</v>
      </c>
      <c r="VUV18" s="314" t="s">
        <v>203</v>
      </c>
      <c r="VUW18" s="314" t="s">
        <v>203</v>
      </c>
      <c r="VUX18" s="314" t="s">
        <v>203</v>
      </c>
      <c r="VUY18" s="314" t="s">
        <v>203</v>
      </c>
      <c r="VUZ18" s="314" t="s">
        <v>203</v>
      </c>
      <c r="VVA18" s="314" t="s">
        <v>203</v>
      </c>
      <c r="VVB18" s="314" t="s">
        <v>203</v>
      </c>
      <c r="VVC18" s="314" t="s">
        <v>203</v>
      </c>
      <c r="VVD18" s="314" t="s">
        <v>203</v>
      </c>
      <c r="VVE18" s="314" t="s">
        <v>203</v>
      </c>
      <c r="VVF18" s="314" t="s">
        <v>203</v>
      </c>
      <c r="VVG18" s="314" t="s">
        <v>203</v>
      </c>
      <c r="VVH18" s="314" t="s">
        <v>203</v>
      </c>
      <c r="VVI18" s="314" t="s">
        <v>203</v>
      </c>
      <c r="VVJ18" s="314" t="s">
        <v>203</v>
      </c>
      <c r="VVK18" s="314" t="s">
        <v>203</v>
      </c>
      <c r="VVL18" s="314" t="s">
        <v>203</v>
      </c>
      <c r="VVM18" s="314" t="s">
        <v>203</v>
      </c>
      <c r="VVN18" s="314" t="s">
        <v>203</v>
      </c>
      <c r="VVO18" s="314" t="s">
        <v>203</v>
      </c>
      <c r="VVP18" s="314" t="s">
        <v>203</v>
      </c>
      <c r="VVQ18" s="314" t="s">
        <v>203</v>
      </c>
      <c r="VVR18" s="314" t="s">
        <v>203</v>
      </c>
      <c r="VVS18" s="314" t="s">
        <v>203</v>
      </c>
      <c r="VVT18" s="314" t="s">
        <v>203</v>
      </c>
      <c r="VVU18" s="314" t="s">
        <v>203</v>
      </c>
      <c r="VVV18" s="314" t="s">
        <v>203</v>
      </c>
      <c r="VVW18" s="314" t="s">
        <v>203</v>
      </c>
      <c r="VVX18" s="314" t="s">
        <v>203</v>
      </c>
      <c r="VVY18" s="314" t="s">
        <v>203</v>
      </c>
      <c r="VVZ18" s="314" t="s">
        <v>203</v>
      </c>
      <c r="VWA18" s="314" t="s">
        <v>203</v>
      </c>
      <c r="VWB18" s="314" t="s">
        <v>203</v>
      </c>
      <c r="VWC18" s="314" t="s">
        <v>203</v>
      </c>
      <c r="VWD18" s="314" t="s">
        <v>203</v>
      </c>
      <c r="VWE18" s="314" t="s">
        <v>203</v>
      </c>
      <c r="VWF18" s="314" t="s">
        <v>203</v>
      </c>
      <c r="VWG18" s="314" t="s">
        <v>203</v>
      </c>
      <c r="VWH18" s="314" t="s">
        <v>203</v>
      </c>
      <c r="VWI18" s="314" t="s">
        <v>203</v>
      </c>
      <c r="VWJ18" s="314" t="s">
        <v>203</v>
      </c>
      <c r="VWK18" s="314" t="s">
        <v>203</v>
      </c>
      <c r="VWL18" s="314" t="s">
        <v>203</v>
      </c>
      <c r="VWM18" s="314" t="s">
        <v>203</v>
      </c>
      <c r="VWN18" s="314" t="s">
        <v>203</v>
      </c>
      <c r="VWO18" s="314" t="s">
        <v>203</v>
      </c>
      <c r="VWP18" s="314" t="s">
        <v>203</v>
      </c>
      <c r="VWQ18" s="314" t="s">
        <v>203</v>
      </c>
      <c r="VWR18" s="314" t="s">
        <v>203</v>
      </c>
      <c r="VWS18" s="314" t="s">
        <v>203</v>
      </c>
      <c r="VWT18" s="314" t="s">
        <v>203</v>
      </c>
      <c r="VWU18" s="314" t="s">
        <v>203</v>
      </c>
      <c r="VWV18" s="314" t="s">
        <v>203</v>
      </c>
      <c r="VWW18" s="314" t="s">
        <v>203</v>
      </c>
      <c r="VWX18" s="314" t="s">
        <v>203</v>
      </c>
      <c r="VWY18" s="314" t="s">
        <v>203</v>
      </c>
      <c r="VWZ18" s="314" t="s">
        <v>203</v>
      </c>
      <c r="VXA18" s="314" t="s">
        <v>203</v>
      </c>
      <c r="VXB18" s="314" t="s">
        <v>203</v>
      </c>
      <c r="VXC18" s="314" t="s">
        <v>203</v>
      </c>
      <c r="VXD18" s="314" t="s">
        <v>203</v>
      </c>
      <c r="VXE18" s="314" t="s">
        <v>203</v>
      </c>
      <c r="VXF18" s="314" t="s">
        <v>203</v>
      </c>
      <c r="VXG18" s="314" t="s">
        <v>203</v>
      </c>
      <c r="VXH18" s="314" t="s">
        <v>203</v>
      </c>
      <c r="VXI18" s="314" t="s">
        <v>203</v>
      </c>
      <c r="VXJ18" s="314" t="s">
        <v>203</v>
      </c>
      <c r="VXK18" s="314" t="s">
        <v>203</v>
      </c>
      <c r="VXL18" s="314" t="s">
        <v>203</v>
      </c>
      <c r="VXM18" s="314" t="s">
        <v>203</v>
      </c>
      <c r="VXN18" s="314" t="s">
        <v>203</v>
      </c>
      <c r="VXO18" s="314" t="s">
        <v>203</v>
      </c>
      <c r="VXP18" s="314" t="s">
        <v>203</v>
      </c>
      <c r="VXQ18" s="314" t="s">
        <v>203</v>
      </c>
      <c r="VXR18" s="314" t="s">
        <v>203</v>
      </c>
      <c r="VXS18" s="314" t="s">
        <v>203</v>
      </c>
      <c r="VXT18" s="314" t="s">
        <v>203</v>
      </c>
      <c r="VXU18" s="314" t="s">
        <v>203</v>
      </c>
      <c r="VXV18" s="314" t="s">
        <v>203</v>
      </c>
      <c r="VXW18" s="314" t="s">
        <v>203</v>
      </c>
      <c r="VXX18" s="314" t="s">
        <v>203</v>
      </c>
      <c r="VXY18" s="314" t="s">
        <v>203</v>
      </c>
      <c r="VXZ18" s="314" t="s">
        <v>203</v>
      </c>
      <c r="VYA18" s="314" t="s">
        <v>203</v>
      </c>
      <c r="VYB18" s="314" t="s">
        <v>203</v>
      </c>
      <c r="VYC18" s="314" t="s">
        <v>203</v>
      </c>
      <c r="VYD18" s="314" t="s">
        <v>203</v>
      </c>
      <c r="VYE18" s="314" t="s">
        <v>203</v>
      </c>
      <c r="VYF18" s="314" t="s">
        <v>203</v>
      </c>
      <c r="VYG18" s="314" t="s">
        <v>203</v>
      </c>
      <c r="VYH18" s="314" t="s">
        <v>203</v>
      </c>
      <c r="VYI18" s="314" t="s">
        <v>203</v>
      </c>
      <c r="VYJ18" s="314" t="s">
        <v>203</v>
      </c>
      <c r="VYK18" s="314" t="s">
        <v>203</v>
      </c>
      <c r="VYL18" s="314" t="s">
        <v>203</v>
      </c>
      <c r="VYM18" s="314" t="s">
        <v>203</v>
      </c>
      <c r="VYN18" s="314" t="s">
        <v>203</v>
      </c>
      <c r="VYO18" s="314" t="s">
        <v>203</v>
      </c>
      <c r="VYP18" s="314" t="s">
        <v>203</v>
      </c>
      <c r="VYQ18" s="314" t="s">
        <v>203</v>
      </c>
      <c r="VYR18" s="314" t="s">
        <v>203</v>
      </c>
      <c r="VYS18" s="314" t="s">
        <v>203</v>
      </c>
      <c r="VYT18" s="314" t="s">
        <v>203</v>
      </c>
      <c r="VYU18" s="314" t="s">
        <v>203</v>
      </c>
      <c r="VYV18" s="314" t="s">
        <v>203</v>
      </c>
      <c r="VYW18" s="314" t="s">
        <v>203</v>
      </c>
      <c r="VYX18" s="314" t="s">
        <v>203</v>
      </c>
      <c r="VYY18" s="314" t="s">
        <v>203</v>
      </c>
      <c r="VYZ18" s="314" t="s">
        <v>203</v>
      </c>
      <c r="VZA18" s="314" t="s">
        <v>203</v>
      </c>
      <c r="VZB18" s="314" t="s">
        <v>203</v>
      </c>
      <c r="VZC18" s="314" t="s">
        <v>203</v>
      </c>
      <c r="VZD18" s="314" t="s">
        <v>203</v>
      </c>
      <c r="VZE18" s="314" t="s">
        <v>203</v>
      </c>
      <c r="VZF18" s="314" t="s">
        <v>203</v>
      </c>
      <c r="VZG18" s="314" t="s">
        <v>203</v>
      </c>
      <c r="VZH18" s="314" t="s">
        <v>203</v>
      </c>
      <c r="VZI18" s="314" t="s">
        <v>203</v>
      </c>
      <c r="VZJ18" s="314" t="s">
        <v>203</v>
      </c>
      <c r="VZK18" s="314" t="s">
        <v>203</v>
      </c>
      <c r="VZL18" s="314" t="s">
        <v>203</v>
      </c>
      <c r="VZM18" s="314" t="s">
        <v>203</v>
      </c>
      <c r="VZN18" s="314" t="s">
        <v>203</v>
      </c>
      <c r="VZO18" s="314" t="s">
        <v>203</v>
      </c>
      <c r="VZP18" s="314" t="s">
        <v>203</v>
      </c>
      <c r="VZQ18" s="314" t="s">
        <v>203</v>
      </c>
      <c r="VZR18" s="314" t="s">
        <v>203</v>
      </c>
      <c r="VZS18" s="314" t="s">
        <v>203</v>
      </c>
      <c r="VZT18" s="314" t="s">
        <v>203</v>
      </c>
      <c r="VZU18" s="314" t="s">
        <v>203</v>
      </c>
      <c r="VZV18" s="314" t="s">
        <v>203</v>
      </c>
      <c r="VZW18" s="314" t="s">
        <v>203</v>
      </c>
      <c r="VZX18" s="314" t="s">
        <v>203</v>
      </c>
      <c r="VZY18" s="314" t="s">
        <v>203</v>
      </c>
      <c r="VZZ18" s="314" t="s">
        <v>203</v>
      </c>
      <c r="WAA18" s="314" t="s">
        <v>203</v>
      </c>
      <c r="WAB18" s="314" t="s">
        <v>203</v>
      </c>
      <c r="WAC18" s="314" t="s">
        <v>203</v>
      </c>
      <c r="WAD18" s="314" t="s">
        <v>203</v>
      </c>
      <c r="WAE18" s="314" t="s">
        <v>203</v>
      </c>
      <c r="WAF18" s="314" t="s">
        <v>203</v>
      </c>
      <c r="WAG18" s="314" t="s">
        <v>203</v>
      </c>
      <c r="WAH18" s="314" t="s">
        <v>203</v>
      </c>
      <c r="WAI18" s="314" t="s">
        <v>203</v>
      </c>
      <c r="WAJ18" s="314" t="s">
        <v>203</v>
      </c>
      <c r="WAK18" s="314" t="s">
        <v>203</v>
      </c>
      <c r="WAL18" s="314" t="s">
        <v>203</v>
      </c>
      <c r="WAM18" s="314" t="s">
        <v>203</v>
      </c>
      <c r="WAN18" s="314" t="s">
        <v>203</v>
      </c>
      <c r="WAO18" s="314" t="s">
        <v>203</v>
      </c>
      <c r="WAP18" s="314" t="s">
        <v>203</v>
      </c>
      <c r="WAQ18" s="314" t="s">
        <v>203</v>
      </c>
      <c r="WAR18" s="314" t="s">
        <v>203</v>
      </c>
      <c r="WAS18" s="314" t="s">
        <v>203</v>
      </c>
      <c r="WAT18" s="314" t="s">
        <v>203</v>
      </c>
      <c r="WAU18" s="314" t="s">
        <v>203</v>
      </c>
      <c r="WAV18" s="314" t="s">
        <v>203</v>
      </c>
      <c r="WAW18" s="314" t="s">
        <v>203</v>
      </c>
      <c r="WAX18" s="314" t="s">
        <v>203</v>
      </c>
      <c r="WAY18" s="314" t="s">
        <v>203</v>
      </c>
      <c r="WAZ18" s="314" t="s">
        <v>203</v>
      </c>
      <c r="WBA18" s="314" t="s">
        <v>203</v>
      </c>
      <c r="WBB18" s="314" t="s">
        <v>203</v>
      </c>
      <c r="WBC18" s="314" t="s">
        <v>203</v>
      </c>
      <c r="WBD18" s="314" t="s">
        <v>203</v>
      </c>
      <c r="WBE18" s="314" t="s">
        <v>203</v>
      </c>
      <c r="WBF18" s="314" t="s">
        <v>203</v>
      </c>
      <c r="WBG18" s="314" t="s">
        <v>203</v>
      </c>
      <c r="WBH18" s="314" t="s">
        <v>203</v>
      </c>
      <c r="WBI18" s="314" t="s">
        <v>203</v>
      </c>
      <c r="WBJ18" s="314" t="s">
        <v>203</v>
      </c>
      <c r="WBK18" s="314" t="s">
        <v>203</v>
      </c>
      <c r="WBL18" s="314" t="s">
        <v>203</v>
      </c>
      <c r="WBM18" s="314" t="s">
        <v>203</v>
      </c>
      <c r="WBN18" s="314" t="s">
        <v>203</v>
      </c>
      <c r="WBO18" s="314" t="s">
        <v>203</v>
      </c>
      <c r="WBP18" s="314" t="s">
        <v>203</v>
      </c>
      <c r="WBQ18" s="314" t="s">
        <v>203</v>
      </c>
      <c r="WBR18" s="314" t="s">
        <v>203</v>
      </c>
      <c r="WBS18" s="314" t="s">
        <v>203</v>
      </c>
      <c r="WBT18" s="314" t="s">
        <v>203</v>
      </c>
      <c r="WBU18" s="314" t="s">
        <v>203</v>
      </c>
      <c r="WBV18" s="314" t="s">
        <v>203</v>
      </c>
      <c r="WBW18" s="314" t="s">
        <v>203</v>
      </c>
      <c r="WBX18" s="314" t="s">
        <v>203</v>
      </c>
      <c r="WBY18" s="314" t="s">
        <v>203</v>
      </c>
      <c r="WBZ18" s="314" t="s">
        <v>203</v>
      </c>
      <c r="WCA18" s="314" t="s">
        <v>203</v>
      </c>
      <c r="WCB18" s="314" t="s">
        <v>203</v>
      </c>
      <c r="WCC18" s="314" t="s">
        <v>203</v>
      </c>
      <c r="WCD18" s="314" t="s">
        <v>203</v>
      </c>
      <c r="WCE18" s="314" t="s">
        <v>203</v>
      </c>
      <c r="WCF18" s="314" t="s">
        <v>203</v>
      </c>
      <c r="WCG18" s="314" t="s">
        <v>203</v>
      </c>
      <c r="WCH18" s="314" t="s">
        <v>203</v>
      </c>
      <c r="WCI18" s="314" t="s">
        <v>203</v>
      </c>
      <c r="WCJ18" s="314" t="s">
        <v>203</v>
      </c>
      <c r="WCK18" s="314" t="s">
        <v>203</v>
      </c>
      <c r="WCL18" s="314" t="s">
        <v>203</v>
      </c>
      <c r="WCM18" s="314" t="s">
        <v>203</v>
      </c>
      <c r="WCN18" s="314" t="s">
        <v>203</v>
      </c>
      <c r="WCO18" s="314" t="s">
        <v>203</v>
      </c>
      <c r="WCP18" s="314" t="s">
        <v>203</v>
      </c>
      <c r="WCQ18" s="314" t="s">
        <v>203</v>
      </c>
      <c r="WCR18" s="314" t="s">
        <v>203</v>
      </c>
      <c r="WCS18" s="314" t="s">
        <v>203</v>
      </c>
      <c r="WCT18" s="314" t="s">
        <v>203</v>
      </c>
      <c r="WCU18" s="314" t="s">
        <v>203</v>
      </c>
      <c r="WCV18" s="314" t="s">
        <v>203</v>
      </c>
      <c r="WCW18" s="314" t="s">
        <v>203</v>
      </c>
      <c r="WCX18" s="314" t="s">
        <v>203</v>
      </c>
      <c r="WCY18" s="314" t="s">
        <v>203</v>
      </c>
      <c r="WCZ18" s="314" t="s">
        <v>203</v>
      </c>
      <c r="WDA18" s="314" t="s">
        <v>203</v>
      </c>
      <c r="WDB18" s="314" t="s">
        <v>203</v>
      </c>
      <c r="WDC18" s="314" t="s">
        <v>203</v>
      </c>
      <c r="WDD18" s="314" t="s">
        <v>203</v>
      </c>
      <c r="WDE18" s="314" t="s">
        <v>203</v>
      </c>
      <c r="WDF18" s="314" t="s">
        <v>203</v>
      </c>
      <c r="WDG18" s="314" t="s">
        <v>203</v>
      </c>
      <c r="WDH18" s="314" t="s">
        <v>203</v>
      </c>
      <c r="WDI18" s="314" t="s">
        <v>203</v>
      </c>
      <c r="WDJ18" s="314" t="s">
        <v>203</v>
      </c>
      <c r="WDK18" s="314" t="s">
        <v>203</v>
      </c>
      <c r="WDL18" s="314" t="s">
        <v>203</v>
      </c>
      <c r="WDM18" s="314" t="s">
        <v>203</v>
      </c>
      <c r="WDN18" s="314" t="s">
        <v>203</v>
      </c>
      <c r="WDO18" s="314" t="s">
        <v>203</v>
      </c>
      <c r="WDP18" s="314" t="s">
        <v>203</v>
      </c>
      <c r="WDQ18" s="314" t="s">
        <v>203</v>
      </c>
      <c r="WDR18" s="314" t="s">
        <v>203</v>
      </c>
      <c r="WDS18" s="314" t="s">
        <v>203</v>
      </c>
      <c r="WDT18" s="314" t="s">
        <v>203</v>
      </c>
      <c r="WDU18" s="314" t="s">
        <v>203</v>
      </c>
      <c r="WDV18" s="314" t="s">
        <v>203</v>
      </c>
      <c r="WDW18" s="314" t="s">
        <v>203</v>
      </c>
      <c r="WDX18" s="314" t="s">
        <v>203</v>
      </c>
      <c r="WDY18" s="314" t="s">
        <v>203</v>
      </c>
      <c r="WDZ18" s="314" t="s">
        <v>203</v>
      </c>
      <c r="WEA18" s="314" t="s">
        <v>203</v>
      </c>
      <c r="WEB18" s="314" t="s">
        <v>203</v>
      </c>
      <c r="WEC18" s="314" t="s">
        <v>203</v>
      </c>
      <c r="WED18" s="314" t="s">
        <v>203</v>
      </c>
      <c r="WEE18" s="314" t="s">
        <v>203</v>
      </c>
      <c r="WEF18" s="314" t="s">
        <v>203</v>
      </c>
      <c r="WEG18" s="314" t="s">
        <v>203</v>
      </c>
      <c r="WEH18" s="314" t="s">
        <v>203</v>
      </c>
      <c r="WEI18" s="314" t="s">
        <v>203</v>
      </c>
      <c r="WEJ18" s="314" t="s">
        <v>203</v>
      </c>
      <c r="WEK18" s="314" t="s">
        <v>203</v>
      </c>
      <c r="WEL18" s="314" t="s">
        <v>203</v>
      </c>
      <c r="WEM18" s="314" t="s">
        <v>203</v>
      </c>
      <c r="WEN18" s="314" t="s">
        <v>203</v>
      </c>
      <c r="WEO18" s="314" t="s">
        <v>203</v>
      </c>
      <c r="WEP18" s="314" t="s">
        <v>203</v>
      </c>
      <c r="WEQ18" s="314" t="s">
        <v>203</v>
      </c>
      <c r="WER18" s="314" t="s">
        <v>203</v>
      </c>
      <c r="WES18" s="314" t="s">
        <v>203</v>
      </c>
      <c r="WET18" s="314" t="s">
        <v>203</v>
      </c>
      <c r="WEU18" s="314" t="s">
        <v>203</v>
      </c>
      <c r="WEV18" s="314" t="s">
        <v>203</v>
      </c>
      <c r="WEW18" s="314" t="s">
        <v>203</v>
      </c>
      <c r="WEX18" s="314" t="s">
        <v>203</v>
      </c>
      <c r="WEY18" s="314" t="s">
        <v>203</v>
      </c>
      <c r="WEZ18" s="314" t="s">
        <v>203</v>
      </c>
      <c r="WFA18" s="314" t="s">
        <v>203</v>
      </c>
      <c r="WFB18" s="314" t="s">
        <v>203</v>
      </c>
      <c r="WFC18" s="314" t="s">
        <v>203</v>
      </c>
      <c r="WFD18" s="314" t="s">
        <v>203</v>
      </c>
      <c r="WFE18" s="314" t="s">
        <v>203</v>
      </c>
      <c r="WFF18" s="314" t="s">
        <v>203</v>
      </c>
      <c r="WFG18" s="314" t="s">
        <v>203</v>
      </c>
      <c r="WFH18" s="314" t="s">
        <v>203</v>
      </c>
      <c r="WFI18" s="314" t="s">
        <v>203</v>
      </c>
      <c r="WFJ18" s="314" t="s">
        <v>203</v>
      </c>
      <c r="WFK18" s="314" t="s">
        <v>203</v>
      </c>
      <c r="WFL18" s="314" t="s">
        <v>203</v>
      </c>
      <c r="WFM18" s="314" t="s">
        <v>203</v>
      </c>
      <c r="WFN18" s="314" t="s">
        <v>203</v>
      </c>
      <c r="WFO18" s="314" t="s">
        <v>203</v>
      </c>
      <c r="WFP18" s="314" t="s">
        <v>203</v>
      </c>
      <c r="WFQ18" s="314" t="s">
        <v>203</v>
      </c>
      <c r="WFR18" s="314" t="s">
        <v>203</v>
      </c>
      <c r="WFS18" s="314" t="s">
        <v>203</v>
      </c>
      <c r="WFT18" s="314" t="s">
        <v>203</v>
      </c>
      <c r="WFU18" s="314" t="s">
        <v>203</v>
      </c>
      <c r="WFV18" s="314" t="s">
        <v>203</v>
      </c>
      <c r="WFW18" s="314" t="s">
        <v>203</v>
      </c>
      <c r="WFX18" s="314" t="s">
        <v>203</v>
      </c>
      <c r="WFY18" s="314" t="s">
        <v>203</v>
      </c>
      <c r="WFZ18" s="314" t="s">
        <v>203</v>
      </c>
      <c r="WGA18" s="314" t="s">
        <v>203</v>
      </c>
      <c r="WGB18" s="314" t="s">
        <v>203</v>
      </c>
      <c r="WGC18" s="314" t="s">
        <v>203</v>
      </c>
      <c r="WGD18" s="314" t="s">
        <v>203</v>
      </c>
      <c r="WGE18" s="314" t="s">
        <v>203</v>
      </c>
      <c r="WGF18" s="314" t="s">
        <v>203</v>
      </c>
      <c r="WGG18" s="314" t="s">
        <v>203</v>
      </c>
      <c r="WGH18" s="314" t="s">
        <v>203</v>
      </c>
      <c r="WGI18" s="314" t="s">
        <v>203</v>
      </c>
      <c r="WGJ18" s="314" t="s">
        <v>203</v>
      </c>
      <c r="WGK18" s="314" t="s">
        <v>203</v>
      </c>
      <c r="WGL18" s="314" t="s">
        <v>203</v>
      </c>
      <c r="WGM18" s="314" t="s">
        <v>203</v>
      </c>
      <c r="WGN18" s="314" t="s">
        <v>203</v>
      </c>
      <c r="WGO18" s="314" t="s">
        <v>203</v>
      </c>
      <c r="WGP18" s="314" t="s">
        <v>203</v>
      </c>
      <c r="WGQ18" s="314" t="s">
        <v>203</v>
      </c>
      <c r="WGR18" s="314" t="s">
        <v>203</v>
      </c>
      <c r="WGS18" s="314" t="s">
        <v>203</v>
      </c>
      <c r="WGT18" s="314" t="s">
        <v>203</v>
      </c>
      <c r="WGU18" s="314" t="s">
        <v>203</v>
      </c>
      <c r="WGV18" s="314" t="s">
        <v>203</v>
      </c>
      <c r="WGW18" s="314" t="s">
        <v>203</v>
      </c>
      <c r="WGX18" s="314" t="s">
        <v>203</v>
      </c>
      <c r="WGY18" s="314" t="s">
        <v>203</v>
      </c>
      <c r="WGZ18" s="314" t="s">
        <v>203</v>
      </c>
      <c r="WHA18" s="314" t="s">
        <v>203</v>
      </c>
      <c r="WHB18" s="314" t="s">
        <v>203</v>
      </c>
      <c r="WHC18" s="314" t="s">
        <v>203</v>
      </c>
      <c r="WHD18" s="314" t="s">
        <v>203</v>
      </c>
      <c r="WHE18" s="314" t="s">
        <v>203</v>
      </c>
      <c r="WHF18" s="314" t="s">
        <v>203</v>
      </c>
      <c r="WHG18" s="314" t="s">
        <v>203</v>
      </c>
      <c r="WHH18" s="314" t="s">
        <v>203</v>
      </c>
      <c r="WHI18" s="314" t="s">
        <v>203</v>
      </c>
      <c r="WHJ18" s="314" t="s">
        <v>203</v>
      </c>
      <c r="WHK18" s="314" t="s">
        <v>203</v>
      </c>
      <c r="WHL18" s="314" t="s">
        <v>203</v>
      </c>
      <c r="WHM18" s="314" t="s">
        <v>203</v>
      </c>
      <c r="WHN18" s="314" t="s">
        <v>203</v>
      </c>
      <c r="WHO18" s="314" t="s">
        <v>203</v>
      </c>
      <c r="WHP18" s="314" t="s">
        <v>203</v>
      </c>
      <c r="WHQ18" s="314" t="s">
        <v>203</v>
      </c>
      <c r="WHR18" s="314" t="s">
        <v>203</v>
      </c>
      <c r="WHS18" s="314" t="s">
        <v>203</v>
      </c>
      <c r="WHT18" s="314" t="s">
        <v>203</v>
      </c>
      <c r="WHU18" s="314" t="s">
        <v>203</v>
      </c>
      <c r="WHV18" s="314" t="s">
        <v>203</v>
      </c>
      <c r="WHW18" s="314" t="s">
        <v>203</v>
      </c>
      <c r="WHX18" s="314" t="s">
        <v>203</v>
      </c>
      <c r="WHY18" s="314" t="s">
        <v>203</v>
      </c>
      <c r="WHZ18" s="314" t="s">
        <v>203</v>
      </c>
      <c r="WIA18" s="314" t="s">
        <v>203</v>
      </c>
      <c r="WIB18" s="314" t="s">
        <v>203</v>
      </c>
      <c r="WIC18" s="314" t="s">
        <v>203</v>
      </c>
      <c r="WID18" s="314" t="s">
        <v>203</v>
      </c>
      <c r="WIE18" s="314" t="s">
        <v>203</v>
      </c>
      <c r="WIF18" s="314" t="s">
        <v>203</v>
      </c>
      <c r="WIG18" s="314" t="s">
        <v>203</v>
      </c>
      <c r="WIH18" s="314" t="s">
        <v>203</v>
      </c>
      <c r="WII18" s="314" t="s">
        <v>203</v>
      </c>
      <c r="WIJ18" s="314" t="s">
        <v>203</v>
      </c>
      <c r="WIK18" s="314" t="s">
        <v>203</v>
      </c>
      <c r="WIL18" s="314" t="s">
        <v>203</v>
      </c>
      <c r="WIM18" s="314" t="s">
        <v>203</v>
      </c>
      <c r="WIN18" s="314" t="s">
        <v>203</v>
      </c>
      <c r="WIO18" s="314" t="s">
        <v>203</v>
      </c>
      <c r="WIP18" s="314" t="s">
        <v>203</v>
      </c>
      <c r="WIQ18" s="314" t="s">
        <v>203</v>
      </c>
      <c r="WIR18" s="314" t="s">
        <v>203</v>
      </c>
      <c r="WIS18" s="314" t="s">
        <v>203</v>
      </c>
      <c r="WIT18" s="314" t="s">
        <v>203</v>
      </c>
      <c r="WIU18" s="314" t="s">
        <v>203</v>
      </c>
      <c r="WIV18" s="314" t="s">
        <v>203</v>
      </c>
      <c r="WIW18" s="314" t="s">
        <v>203</v>
      </c>
      <c r="WIX18" s="314" t="s">
        <v>203</v>
      </c>
      <c r="WIY18" s="314" t="s">
        <v>203</v>
      </c>
      <c r="WIZ18" s="314" t="s">
        <v>203</v>
      </c>
      <c r="WJA18" s="314" t="s">
        <v>203</v>
      </c>
      <c r="WJB18" s="314" t="s">
        <v>203</v>
      </c>
      <c r="WJC18" s="314" t="s">
        <v>203</v>
      </c>
      <c r="WJD18" s="314" t="s">
        <v>203</v>
      </c>
      <c r="WJE18" s="314" t="s">
        <v>203</v>
      </c>
      <c r="WJF18" s="314" t="s">
        <v>203</v>
      </c>
      <c r="WJG18" s="314" t="s">
        <v>203</v>
      </c>
      <c r="WJH18" s="314" t="s">
        <v>203</v>
      </c>
      <c r="WJI18" s="314" t="s">
        <v>203</v>
      </c>
      <c r="WJJ18" s="314" t="s">
        <v>203</v>
      </c>
      <c r="WJK18" s="314" t="s">
        <v>203</v>
      </c>
      <c r="WJL18" s="314" t="s">
        <v>203</v>
      </c>
      <c r="WJM18" s="314" t="s">
        <v>203</v>
      </c>
      <c r="WJN18" s="314" t="s">
        <v>203</v>
      </c>
      <c r="WJO18" s="314" t="s">
        <v>203</v>
      </c>
      <c r="WJP18" s="314" t="s">
        <v>203</v>
      </c>
      <c r="WJQ18" s="314" t="s">
        <v>203</v>
      </c>
      <c r="WJR18" s="314" t="s">
        <v>203</v>
      </c>
      <c r="WJS18" s="314" t="s">
        <v>203</v>
      </c>
      <c r="WJT18" s="314" t="s">
        <v>203</v>
      </c>
      <c r="WJU18" s="314" t="s">
        <v>203</v>
      </c>
      <c r="WJV18" s="314" t="s">
        <v>203</v>
      </c>
      <c r="WJW18" s="314" t="s">
        <v>203</v>
      </c>
      <c r="WJX18" s="314" t="s">
        <v>203</v>
      </c>
      <c r="WJY18" s="314" t="s">
        <v>203</v>
      </c>
      <c r="WJZ18" s="314" t="s">
        <v>203</v>
      </c>
      <c r="WKA18" s="314" t="s">
        <v>203</v>
      </c>
      <c r="WKB18" s="314" t="s">
        <v>203</v>
      </c>
      <c r="WKC18" s="314" t="s">
        <v>203</v>
      </c>
      <c r="WKD18" s="314" t="s">
        <v>203</v>
      </c>
      <c r="WKE18" s="314" t="s">
        <v>203</v>
      </c>
      <c r="WKF18" s="314" t="s">
        <v>203</v>
      </c>
      <c r="WKG18" s="314" t="s">
        <v>203</v>
      </c>
      <c r="WKH18" s="314" t="s">
        <v>203</v>
      </c>
      <c r="WKI18" s="314" t="s">
        <v>203</v>
      </c>
      <c r="WKJ18" s="314" t="s">
        <v>203</v>
      </c>
      <c r="WKK18" s="314" t="s">
        <v>203</v>
      </c>
      <c r="WKL18" s="314" t="s">
        <v>203</v>
      </c>
      <c r="WKM18" s="314" t="s">
        <v>203</v>
      </c>
      <c r="WKN18" s="314" t="s">
        <v>203</v>
      </c>
      <c r="WKO18" s="314" t="s">
        <v>203</v>
      </c>
      <c r="WKP18" s="314" t="s">
        <v>203</v>
      </c>
      <c r="WKQ18" s="314" t="s">
        <v>203</v>
      </c>
      <c r="WKR18" s="314" t="s">
        <v>203</v>
      </c>
      <c r="WKS18" s="314" t="s">
        <v>203</v>
      </c>
      <c r="WKT18" s="314" t="s">
        <v>203</v>
      </c>
      <c r="WKU18" s="314" t="s">
        <v>203</v>
      </c>
      <c r="WKV18" s="314" t="s">
        <v>203</v>
      </c>
      <c r="WKW18" s="314" t="s">
        <v>203</v>
      </c>
      <c r="WKX18" s="314" t="s">
        <v>203</v>
      </c>
      <c r="WKY18" s="314" t="s">
        <v>203</v>
      </c>
      <c r="WKZ18" s="314" t="s">
        <v>203</v>
      </c>
      <c r="WLA18" s="314" t="s">
        <v>203</v>
      </c>
      <c r="WLB18" s="314" t="s">
        <v>203</v>
      </c>
      <c r="WLC18" s="314" t="s">
        <v>203</v>
      </c>
      <c r="WLD18" s="314" t="s">
        <v>203</v>
      </c>
      <c r="WLE18" s="314" t="s">
        <v>203</v>
      </c>
      <c r="WLF18" s="314" t="s">
        <v>203</v>
      </c>
      <c r="WLG18" s="314" t="s">
        <v>203</v>
      </c>
      <c r="WLH18" s="314" t="s">
        <v>203</v>
      </c>
      <c r="WLI18" s="314" t="s">
        <v>203</v>
      </c>
      <c r="WLJ18" s="314" t="s">
        <v>203</v>
      </c>
      <c r="WLK18" s="314" t="s">
        <v>203</v>
      </c>
      <c r="WLL18" s="314" t="s">
        <v>203</v>
      </c>
      <c r="WLM18" s="314" t="s">
        <v>203</v>
      </c>
      <c r="WLN18" s="314" t="s">
        <v>203</v>
      </c>
      <c r="WLO18" s="314" t="s">
        <v>203</v>
      </c>
      <c r="WLP18" s="314" t="s">
        <v>203</v>
      </c>
      <c r="WLQ18" s="314" t="s">
        <v>203</v>
      </c>
      <c r="WLR18" s="314" t="s">
        <v>203</v>
      </c>
      <c r="WLS18" s="314" t="s">
        <v>203</v>
      </c>
      <c r="WLT18" s="314" t="s">
        <v>203</v>
      </c>
      <c r="WLU18" s="314" t="s">
        <v>203</v>
      </c>
      <c r="WLV18" s="314" t="s">
        <v>203</v>
      </c>
      <c r="WLW18" s="314" t="s">
        <v>203</v>
      </c>
      <c r="WLX18" s="314" t="s">
        <v>203</v>
      </c>
      <c r="WLY18" s="314" t="s">
        <v>203</v>
      </c>
      <c r="WLZ18" s="314" t="s">
        <v>203</v>
      </c>
      <c r="WMA18" s="314" t="s">
        <v>203</v>
      </c>
      <c r="WMB18" s="314" t="s">
        <v>203</v>
      </c>
      <c r="WMC18" s="314" t="s">
        <v>203</v>
      </c>
      <c r="WMD18" s="314" t="s">
        <v>203</v>
      </c>
      <c r="WME18" s="314" t="s">
        <v>203</v>
      </c>
      <c r="WMF18" s="314" t="s">
        <v>203</v>
      </c>
      <c r="WMG18" s="314" t="s">
        <v>203</v>
      </c>
      <c r="WMH18" s="314" t="s">
        <v>203</v>
      </c>
      <c r="WMI18" s="314" t="s">
        <v>203</v>
      </c>
      <c r="WMJ18" s="314" t="s">
        <v>203</v>
      </c>
      <c r="WMK18" s="314" t="s">
        <v>203</v>
      </c>
      <c r="WML18" s="314" t="s">
        <v>203</v>
      </c>
      <c r="WMM18" s="314" t="s">
        <v>203</v>
      </c>
      <c r="WMN18" s="314" t="s">
        <v>203</v>
      </c>
      <c r="WMO18" s="314" t="s">
        <v>203</v>
      </c>
      <c r="WMP18" s="314" t="s">
        <v>203</v>
      </c>
      <c r="WMQ18" s="314" t="s">
        <v>203</v>
      </c>
      <c r="WMR18" s="314" t="s">
        <v>203</v>
      </c>
      <c r="WMS18" s="314" t="s">
        <v>203</v>
      </c>
      <c r="WMT18" s="314" t="s">
        <v>203</v>
      </c>
      <c r="WMU18" s="314" t="s">
        <v>203</v>
      </c>
      <c r="WMV18" s="314" t="s">
        <v>203</v>
      </c>
      <c r="WMW18" s="314" t="s">
        <v>203</v>
      </c>
      <c r="WMX18" s="314" t="s">
        <v>203</v>
      </c>
      <c r="WMY18" s="314" t="s">
        <v>203</v>
      </c>
      <c r="WMZ18" s="314" t="s">
        <v>203</v>
      </c>
      <c r="WNA18" s="314" t="s">
        <v>203</v>
      </c>
      <c r="WNB18" s="314" t="s">
        <v>203</v>
      </c>
      <c r="WNC18" s="314" t="s">
        <v>203</v>
      </c>
      <c r="WND18" s="314" t="s">
        <v>203</v>
      </c>
      <c r="WNE18" s="314" t="s">
        <v>203</v>
      </c>
      <c r="WNF18" s="314" t="s">
        <v>203</v>
      </c>
      <c r="WNG18" s="314" t="s">
        <v>203</v>
      </c>
      <c r="WNH18" s="314" t="s">
        <v>203</v>
      </c>
      <c r="WNI18" s="314" t="s">
        <v>203</v>
      </c>
      <c r="WNJ18" s="314" t="s">
        <v>203</v>
      </c>
      <c r="WNK18" s="314" t="s">
        <v>203</v>
      </c>
      <c r="WNL18" s="314" t="s">
        <v>203</v>
      </c>
      <c r="WNM18" s="314" t="s">
        <v>203</v>
      </c>
      <c r="WNN18" s="314" t="s">
        <v>203</v>
      </c>
      <c r="WNO18" s="314" t="s">
        <v>203</v>
      </c>
      <c r="WNP18" s="314" t="s">
        <v>203</v>
      </c>
      <c r="WNQ18" s="314" t="s">
        <v>203</v>
      </c>
      <c r="WNR18" s="314" t="s">
        <v>203</v>
      </c>
      <c r="WNS18" s="314" t="s">
        <v>203</v>
      </c>
      <c r="WNT18" s="314" t="s">
        <v>203</v>
      </c>
      <c r="WNU18" s="314" t="s">
        <v>203</v>
      </c>
      <c r="WNV18" s="314" t="s">
        <v>203</v>
      </c>
      <c r="WNW18" s="314" t="s">
        <v>203</v>
      </c>
      <c r="WNX18" s="314" t="s">
        <v>203</v>
      </c>
      <c r="WNY18" s="314" t="s">
        <v>203</v>
      </c>
      <c r="WNZ18" s="314" t="s">
        <v>203</v>
      </c>
      <c r="WOA18" s="314" t="s">
        <v>203</v>
      </c>
      <c r="WOB18" s="314" t="s">
        <v>203</v>
      </c>
      <c r="WOC18" s="314" t="s">
        <v>203</v>
      </c>
      <c r="WOD18" s="314" t="s">
        <v>203</v>
      </c>
      <c r="WOE18" s="314" t="s">
        <v>203</v>
      </c>
      <c r="WOF18" s="314" t="s">
        <v>203</v>
      </c>
      <c r="WOG18" s="314" t="s">
        <v>203</v>
      </c>
      <c r="WOH18" s="314" t="s">
        <v>203</v>
      </c>
      <c r="WOI18" s="314" t="s">
        <v>203</v>
      </c>
      <c r="WOJ18" s="314" t="s">
        <v>203</v>
      </c>
      <c r="WOK18" s="314" t="s">
        <v>203</v>
      </c>
      <c r="WOL18" s="314" t="s">
        <v>203</v>
      </c>
      <c r="WOM18" s="314" t="s">
        <v>203</v>
      </c>
      <c r="WON18" s="314" t="s">
        <v>203</v>
      </c>
      <c r="WOO18" s="314" t="s">
        <v>203</v>
      </c>
      <c r="WOP18" s="314" t="s">
        <v>203</v>
      </c>
      <c r="WOQ18" s="314" t="s">
        <v>203</v>
      </c>
      <c r="WOR18" s="314" t="s">
        <v>203</v>
      </c>
      <c r="WOS18" s="314" t="s">
        <v>203</v>
      </c>
      <c r="WOT18" s="314" t="s">
        <v>203</v>
      </c>
      <c r="WOU18" s="314" t="s">
        <v>203</v>
      </c>
      <c r="WOV18" s="314" t="s">
        <v>203</v>
      </c>
      <c r="WOW18" s="314" t="s">
        <v>203</v>
      </c>
      <c r="WOX18" s="314" t="s">
        <v>203</v>
      </c>
      <c r="WOY18" s="314" t="s">
        <v>203</v>
      </c>
      <c r="WOZ18" s="314" t="s">
        <v>203</v>
      </c>
      <c r="WPA18" s="314" t="s">
        <v>203</v>
      </c>
      <c r="WPB18" s="314" t="s">
        <v>203</v>
      </c>
      <c r="WPC18" s="314" t="s">
        <v>203</v>
      </c>
      <c r="WPD18" s="314" t="s">
        <v>203</v>
      </c>
      <c r="WPE18" s="314" t="s">
        <v>203</v>
      </c>
      <c r="WPF18" s="314" t="s">
        <v>203</v>
      </c>
      <c r="WPG18" s="314" t="s">
        <v>203</v>
      </c>
      <c r="WPH18" s="314" t="s">
        <v>203</v>
      </c>
      <c r="WPI18" s="314" t="s">
        <v>203</v>
      </c>
      <c r="WPJ18" s="314" t="s">
        <v>203</v>
      </c>
      <c r="WPK18" s="314" t="s">
        <v>203</v>
      </c>
      <c r="WPL18" s="314" t="s">
        <v>203</v>
      </c>
      <c r="WPM18" s="314" t="s">
        <v>203</v>
      </c>
      <c r="WPN18" s="314" t="s">
        <v>203</v>
      </c>
      <c r="WPO18" s="314" t="s">
        <v>203</v>
      </c>
      <c r="WPP18" s="314" t="s">
        <v>203</v>
      </c>
      <c r="WPQ18" s="314" t="s">
        <v>203</v>
      </c>
      <c r="WPR18" s="314" t="s">
        <v>203</v>
      </c>
      <c r="WPS18" s="314" t="s">
        <v>203</v>
      </c>
      <c r="WPT18" s="314" t="s">
        <v>203</v>
      </c>
      <c r="WPU18" s="314" t="s">
        <v>203</v>
      </c>
      <c r="WPV18" s="314" t="s">
        <v>203</v>
      </c>
      <c r="WPW18" s="314" t="s">
        <v>203</v>
      </c>
      <c r="WPX18" s="314" t="s">
        <v>203</v>
      </c>
      <c r="WPY18" s="314" t="s">
        <v>203</v>
      </c>
      <c r="WPZ18" s="314" t="s">
        <v>203</v>
      </c>
      <c r="WQA18" s="314" t="s">
        <v>203</v>
      </c>
      <c r="WQB18" s="314" t="s">
        <v>203</v>
      </c>
      <c r="WQC18" s="314" t="s">
        <v>203</v>
      </c>
      <c r="WQD18" s="314" t="s">
        <v>203</v>
      </c>
      <c r="WQE18" s="314" t="s">
        <v>203</v>
      </c>
      <c r="WQF18" s="314" t="s">
        <v>203</v>
      </c>
      <c r="WQG18" s="314" t="s">
        <v>203</v>
      </c>
      <c r="WQH18" s="314" t="s">
        <v>203</v>
      </c>
      <c r="WQI18" s="314" t="s">
        <v>203</v>
      </c>
      <c r="WQJ18" s="314" t="s">
        <v>203</v>
      </c>
      <c r="WQK18" s="314" t="s">
        <v>203</v>
      </c>
      <c r="WQL18" s="314" t="s">
        <v>203</v>
      </c>
      <c r="WQM18" s="314" t="s">
        <v>203</v>
      </c>
      <c r="WQN18" s="314" t="s">
        <v>203</v>
      </c>
      <c r="WQO18" s="314" t="s">
        <v>203</v>
      </c>
      <c r="WQP18" s="314" t="s">
        <v>203</v>
      </c>
      <c r="WQQ18" s="314" t="s">
        <v>203</v>
      </c>
      <c r="WQR18" s="314" t="s">
        <v>203</v>
      </c>
      <c r="WQS18" s="314" t="s">
        <v>203</v>
      </c>
      <c r="WQT18" s="314" t="s">
        <v>203</v>
      </c>
      <c r="WQU18" s="314" t="s">
        <v>203</v>
      </c>
      <c r="WQV18" s="314" t="s">
        <v>203</v>
      </c>
      <c r="WQW18" s="314" t="s">
        <v>203</v>
      </c>
      <c r="WQX18" s="314" t="s">
        <v>203</v>
      </c>
      <c r="WQY18" s="314" t="s">
        <v>203</v>
      </c>
      <c r="WQZ18" s="314" t="s">
        <v>203</v>
      </c>
      <c r="WRA18" s="314" t="s">
        <v>203</v>
      </c>
      <c r="WRB18" s="314" t="s">
        <v>203</v>
      </c>
      <c r="WRC18" s="314" t="s">
        <v>203</v>
      </c>
      <c r="WRD18" s="314" t="s">
        <v>203</v>
      </c>
      <c r="WRE18" s="314" t="s">
        <v>203</v>
      </c>
      <c r="WRF18" s="314" t="s">
        <v>203</v>
      </c>
      <c r="WRG18" s="314" t="s">
        <v>203</v>
      </c>
      <c r="WRH18" s="314" t="s">
        <v>203</v>
      </c>
      <c r="WRI18" s="314" t="s">
        <v>203</v>
      </c>
      <c r="WRJ18" s="314" t="s">
        <v>203</v>
      </c>
      <c r="WRK18" s="314" t="s">
        <v>203</v>
      </c>
      <c r="WRL18" s="314" t="s">
        <v>203</v>
      </c>
      <c r="WRM18" s="314" t="s">
        <v>203</v>
      </c>
      <c r="WRN18" s="314" t="s">
        <v>203</v>
      </c>
      <c r="WRO18" s="314" t="s">
        <v>203</v>
      </c>
      <c r="WRP18" s="314" t="s">
        <v>203</v>
      </c>
      <c r="WRQ18" s="314" t="s">
        <v>203</v>
      </c>
      <c r="WRR18" s="314" t="s">
        <v>203</v>
      </c>
      <c r="WRS18" s="314" t="s">
        <v>203</v>
      </c>
      <c r="WRT18" s="314" t="s">
        <v>203</v>
      </c>
      <c r="WRU18" s="314" t="s">
        <v>203</v>
      </c>
      <c r="WRV18" s="314" t="s">
        <v>203</v>
      </c>
      <c r="WRW18" s="314" t="s">
        <v>203</v>
      </c>
      <c r="WRX18" s="314" t="s">
        <v>203</v>
      </c>
      <c r="WRY18" s="314" t="s">
        <v>203</v>
      </c>
      <c r="WRZ18" s="314" t="s">
        <v>203</v>
      </c>
      <c r="WSA18" s="314" t="s">
        <v>203</v>
      </c>
      <c r="WSB18" s="314" t="s">
        <v>203</v>
      </c>
      <c r="WSC18" s="314" t="s">
        <v>203</v>
      </c>
      <c r="WSD18" s="314" t="s">
        <v>203</v>
      </c>
      <c r="WSE18" s="314" t="s">
        <v>203</v>
      </c>
      <c r="WSF18" s="314" t="s">
        <v>203</v>
      </c>
      <c r="WSG18" s="314" t="s">
        <v>203</v>
      </c>
      <c r="WSH18" s="314" t="s">
        <v>203</v>
      </c>
      <c r="WSI18" s="314" t="s">
        <v>203</v>
      </c>
      <c r="WSJ18" s="314" t="s">
        <v>203</v>
      </c>
      <c r="WSK18" s="314" t="s">
        <v>203</v>
      </c>
      <c r="WSL18" s="314" t="s">
        <v>203</v>
      </c>
      <c r="WSM18" s="314" t="s">
        <v>203</v>
      </c>
      <c r="WSN18" s="314" t="s">
        <v>203</v>
      </c>
      <c r="WSO18" s="314" t="s">
        <v>203</v>
      </c>
      <c r="WSP18" s="314" t="s">
        <v>203</v>
      </c>
      <c r="WSQ18" s="314" t="s">
        <v>203</v>
      </c>
      <c r="WSR18" s="314" t="s">
        <v>203</v>
      </c>
      <c r="WSS18" s="314" t="s">
        <v>203</v>
      </c>
      <c r="WST18" s="314" t="s">
        <v>203</v>
      </c>
      <c r="WSU18" s="314" t="s">
        <v>203</v>
      </c>
      <c r="WSV18" s="314" t="s">
        <v>203</v>
      </c>
      <c r="WSW18" s="314" t="s">
        <v>203</v>
      </c>
      <c r="WSX18" s="314" t="s">
        <v>203</v>
      </c>
      <c r="WSY18" s="314" t="s">
        <v>203</v>
      </c>
      <c r="WSZ18" s="314" t="s">
        <v>203</v>
      </c>
      <c r="WTA18" s="314" t="s">
        <v>203</v>
      </c>
      <c r="WTB18" s="314" t="s">
        <v>203</v>
      </c>
      <c r="WTC18" s="314" t="s">
        <v>203</v>
      </c>
      <c r="WTD18" s="314" t="s">
        <v>203</v>
      </c>
      <c r="WTE18" s="314" t="s">
        <v>203</v>
      </c>
      <c r="WTF18" s="314" t="s">
        <v>203</v>
      </c>
      <c r="WTG18" s="314" t="s">
        <v>203</v>
      </c>
      <c r="WTH18" s="314" t="s">
        <v>203</v>
      </c>
      <c r="WTI18" s="314" t="s">
        <v>203</v>
      </c>
      <c r="WTJ18" s="314" t="s">
        <v>203</v>
      </c>
      <c r="WTK18" s="314" t="s">
        <v>203</v>
      </c>
      <c r="WTL18" s="314" t="s">
        <v>203</v>
      </c>
      <c r="WTM18" s="314" t="s">
        <v>203</v>
      </c>
      <c r="WTN18" s="314" t="s">
        <v>203</v>
      </c>
      <c r="WTO18" s="314" t="s">
        <v>203</v>
      </c>
      <c r="WTP18" s="314" t="s">
        <v>203</v>
      </c>
      <c r="WTQ18" s="314" t="s">
        <v>203</v>
      </c>
      <c r="WTR18" s="314" t="s">
        <v>203</v>
      </c>
      <c r="WTS18" s="314" t="s">
        <v>203</v>
      </c>
      <c r="WTT18" s="314" t="s">
        <v>203</v>
      </c>
      <c r="WTU18" s="314" t="s">
        <v>203</v>
      </c>
      <c r="WTV18" s="314" t="s">
        <v>203</v>
      </c>
      <c r="WTW18" s="314" t="s">
        <v>203</v>
      </c>
      <c r="WTX18" s="314" t="s">
        <v>203</v>
      </c>
      <c r="WTY18" s="314" t="s">
        <v>203</v>
      </c>
      <c r="WTZ18" s="314" t="s">
        <v>203</v>
      </c>
      <c r="WUA18" s="314" t="s">
        <v>203</v>
      </c>
      <c r="WUB18" s="314" t="s">
        <v>203</v>
      </c>
      <c r="WUC18" s="314" t="s">
        <v>203</v>
      </c>
      <c r="WUD18" s="314" t="s">
        <v>203</v>
      </c>
      <c r="WUE18" s="314" t="s">
        <v>203</v>
      </c>
      <c r="WUF18" s="314" t="s">
        <v>203</v>
      </c>
      <c r="WUG18" s="314" t="s">
        <v>203</v>
      </c>
      <c r="WUH18" s="314" t="s">
        <v>203</v>
      </c>
      <c r="WUI18" s="314" t="s">
        <v>203</v>
      </c>
      <c r="WUJ18" s="314" t="s">
        <v>203</v>
      </c>
      <c r="WUK18" s="314" t="s">
        <v>203</v>
      </c>
      <c r="WUL18" s="314" t="s">
        <v>203</v>
      </c>
      <c r="WUM18" s="314" t="s">
        <v>203</v>
      </c>
      <c r="WUN18" s="314" t="s">
        <v>203</v>
      </c>
      <c r="WUO18" s="314" t="s">
        <v>203</v>
      </c>
      <c r="WUP18" s="314" t="s">
        <v>203</v>
      </c>
      <c r="WUQ18" s="314" t="s">
        <v>203</v>
      </c>
      <c r="WUR18" s="314" t="s">
        <v>203</v>
      </c>
      <c r="WUS18" s="314" t="s">
        <v>203</v>
      </c>
      <c r="WUT18" s="314" t="s">
        <v>203</v>
      </c>
      <c r="WUU18" s="314" t="s">
        <v>203</v>
      </c>
      <c r="WUV18" s="314" t="s">
        <v>203</v>
      </c>
      <c r="WUW18" s="314" t="s">
        <v>203</v>
      </c>
      <c r="WUX18" s="314" t="s">
        <v>203</v>
      </c>
      <c r="WUY18" s="314" t="s">
        <v>203</v>
      </c>
      <c r="WUZ18" s="314" t="s">
        <v>203</v>
      </c>
      <c r="WVA18" s="314" t="s">
        <v>203</v>
      </c>
      <c r="WVB18" s="314" t="s">
        <v>203</v>
      </c>
      <c r="WVC18" s="314" t="s">
        <v>203</v>
      </c>
      <c r="WVD18" s="314" t="s">
        <v>203</v>
      </c>
      <c r="WVE18" s="314" t="s">
        <v>203</v>
      </c>
      <c r="WVF18" s="314" t="s">
        <v>203</v>
      </c>
      <c r="WVG18" s="314" t="s">
        <v>203</v>
      </c>
      <c r="WVH18" s="314" t="s">
        <v>203</v>
      </c>
      <c r="WVI18" s="314" t="s">
        <v>203</v>
      </c>
      <c r="WVJ18" s="314" t="s">
        <v>203</v>
      </c>
      <c r="WVK18" s="314" t="s">
        <v>203</v>
      </c>
      <c r="WVL18" s="314" t="s">
        <v>203</v>
      </c>
      <c r="WVM18" s="314" t="s">
        <v>203</v>
      </c>
      <c r="WVN18" s="314" t="s">
        <v>203</v>
      </c>
      <c r="WVO18" s="314" t="s">
        <v>203</v>
      </c>
      <c r="WVP18" s="314" t="s">
        <v>203</v>
      </c>
      <c r="WVQ18" s="314" t="s">
        <v>203</v>
      </c>
      <c r="WVR18" s="314" t="s">
        <v>203</v>
      </c>
      <c r="WVS18" s="314" t="s">
        <v>203</v>
      </c>
      <c r="WVT18" s="314" t="s">
        <v>203</v>
      </c>
      <c r="WVU18" s="314" t="s">
        <v>203</v>
      </c>
      <c r="WVV18" s="314" t="s">
        <v>203</v>
      </c>
      <c r="WVW18" s="314" t="s">
        <v>203</v>
      </c>
      <c r="WVX18" s="314" t="s">
        <v>203</v>
      </c>
      <c r="WVY18" s="314" t="s">
        <v>203</v>
      </c>
      <c r="WVZ18" s="314" t="s">
        <v>203</v>
      </c>
      <c r="WWA18" s="314" t="s">
        <v>203</v>
      </c>
      <c r="WWB18" s="314" t="s">
        <v>203</v>
      </c>
      <c r="WWC18" s="314" t="s">
        <v>203</v>
      </c>
      <c r="WWD18" s="314" t="s">
        <v>203</v>
      </c>
      <c r="WWE18" s="314" t="s">
        <v>203</v>
      </c>
      <c r="WWF18" s="314" t="s">
        <v>203</v>
      </c>
      <c r="WWG18" s="314" t="s">
        <v>203</v>
      </c>
      <c r="WWH18" s="314" t="s">
        <v>203</v>
      </c>
      <c r="WWI18" s="314" t="s">
        <v>203</v>
      </c>
      <c r="WWJ18" s="314" t="s">
        <v>203</v>
      </c>
      <c r="WWK18" s="314" t="s">
        <v>203</v>
      </c>
      <c r="WWL18" s="314" t="s">
        <v>203</v>
      </c>
      <c r="WWM18" s="314" t="s">
        <v>203</v>
      </c>
      <c r="WWN18" s="314" t="s">
        <v>203</v>
      </c>
      <c r="WWO18" s="314" t="s">
        <v>203</v>
      </c>
      <c r="WWP18" s="314" t="s">
        <v>203</v>
      </c>
      <c r="WWQ18" s="314" t="s">
        <v>203</v>
      </c>
      <c r="WWR18" s="314" t="s">
        <v>203</v>
      </c>
      <c r="WWS18" s="314" t="s">
        <v>203</v>
      </c>
      <c r="WWT18" s="314" t="s">
        <v>203</v>
      </c>
      <c r="WWU18" s="314" t="s">
        <v>203</v>
      </c>
      <c r="WWV18" s="314" t="s">
        <v>203</v>
      </c>
      <c r="WWW18" s="314" t="s">
        <v>203</v>
      </c>
      <c r="WWX18" s="314" t="s">
        <v>203</v>
      </c>
      <c r="WWY18" s="314" t="s">
        <v>203</v>
      </c>
      <c r="WWZ18" s="314" t="s">
        <v>203</v>
      </c>
      <c r="WXA18" s="314" t="s">
        <v>203</v>
      </c>
      <c r="WXB18" s="314" t="s">
        <v>203</v>
      </c>
      <c r="WXC18" s="314" t="s">
        <v>203</v>
      </c>
      <c r="WXD18" s="314" t="s">
        <v>203</v>
      </c>
      <c r="WXE18" s="314" t="s">
        <v>203</v>
      </c>
      <c r="WXF18" s="314" t="s">
        <v>203</v>
      </c>
      <c r="WXG18" s="314" t="s">
        <v>203</v>
      </c>
      <c r="WXH18" s="314" t="s">
        <v>203</v>
      </c>
      <c r="WXI18" s="314" t="s">
        <v>203</v>
      </c>
      <c r="WXJ18" s="314" t="s">
        <v>203</v>
      </c>
      <c r="WXK18" s="314" t="s">
        <v>203</v>
      </c>
      <c r="WXL18" s="314" t="s">
        <v>203</v>
      </c>
      <c r="WXM18" s="314" t="s">
        <v>203</v>
      </c>
      <c r="WXN18" s="314" t="s">
        <v>203</v>
      </c>
      <c r="WXO18" s="314" t="s">
        <v>203</v>
      </c>
      <c r="WXP18" s="314" t="s">
        <v>203</v>
      </c>
      <c r="WXQ18" s="314" t="s">
        <v>203</v>
      </c>
      <c r="WXR18" s="314" t="s">
        <v>203</v>
      </c>
      <c r="WXS18" s="314" t="s">
        <v>203</v>
      </c>
      <c r="WXT18" s="314" t="s">
        <v>203</v>
      </c>
      <c r="WXU18" s="314" t="s">
        <v>203</v>
      </c>
      <c r="WXV18" s="314" t="s">
        <v>203</v>
      </c>
      <c r="WXW18" s="314" t="s">
        <v>203</v>
      </c>
      <c r="WXX18" s="314" t="s">
        <v>203</v>
      </c>
      <c r="WXY18" s="314" t="s">
        <v>203</v>
      </c>
      <c r="WXZ18" s="314" t="s">
        <v>203</v>
      </c>
      <c r="WYA18" s="314" t="s">
        <v>203</v>
      </c>
      <c r="WYB18" s="314" t="s">
        <v>203</v>
      </c>
      <c r="WYC18" s="314" t="s">
        <v>203</v>
      </c>
      <c r="WYD18" s="314" t="s">
        <v>203</v>
      </c>
      <c r="WYE18" s="314" t="s">
        <v>203</v>
      </c>
      <c r="WYF18" s="314" t="s">
        <v>203</v>
      </c>
      <c r="WYG18" s="314" t="s">
        <v>203</v>
      </c>
      <c r="WYH18" s="314" t="s">
        <v>203</v>
      </c>
      <c r="WYI18" s="314" t="s">
        <v>203</v>
      </c>
      <c r="WYJ18" s="314" t="s">
        <v>203</v>
      </c>
      <c r="WYK18" s="314" t="s">
        <v>203</v>
      </c>
      <c r="WYL18" s="314" t="s">
        <v>203</v>
      </c>
      <c r="WYM18" s="314" t="s">
        <v>203</v>
      </c>
      <c r="WYN18" s="314" t="s">
        <v>203</v>
      </c>
      <c r="WYO18" s="314" t="s">
        <v>203</v>
      </c>
      <c r="WYP18" s="314" t="s">
        <v>203</v>
      </c>
      <c r="WYQ18" s="314" t="s">
        <v>203</v>
      </c>
      <c r="WYR18" s="314" t="s">
        <v>203</v>
      </c>
      <c r="WYS18" s="314" t="s">
        <v>203</v>
      </c>
      <c r="WYT18" s="314" t="s">
        <v>203</v>
      </c>
      <c r="WYU18" s="314" t="s">
        <v>203</v>
      </c>
      <c r="WYV18" s="314" t="s">
        <v>203</v>
      </c>
      <c r="WYW18" s="314" t="s">
        <v>203</v>
      </c>
      <c r="WYX18" s="314" t="s">
        <v>203</v>
      </c>
      <c r="WYY18" s="314" t="s">
        <v>203</v>
      </c>
      <c r="WYZ18" s="314" t="s">
        <v>203</v>
      </c>
      <c r="WZA18" s="314" t="s">
        <v>203</v>
      </c>
      <c r="WZB18" s="314" t="s">
        <v>203</v>
      </c>
      <c r="WZC18" s="314" t="s">
        <v>203</v>
      </c>
      <c r="WZD18" s="314" t="s">
        <v>203</v>
      </c>
      <c r="WZE18" s="314" t="s">
        <v>203</v>
      </c>
      <c r="WZF18" s="314" t="s">
        <v>203</v>
      </c>
      <c r="WZG18" s="314" t="s">
        <v>203</v>
      </c>
      <c r="WZH18" s="314" t="s">
        <v>203</v>
      </c>
      <c r="WZI18" s="314" t="s">
        <v>203</v>
      </c>
      <c r="WZJ18" s="314" t="s">
        <v>203</v>
      </c>
      <c r="WZK18" s="314" t="s">
        <v>203</v>
      </c>
      <c r="WZL18" s="314" t="s">
        <v>203</v>
      </c>
      <c r="WZM18" s="314" t="s">
        <v>203</v>
      </c>
      <c r="WZN18" s="314" t="s">
        <v>203</v>
      </c>
      <c r="WZO18" s="314" t="s">
        <v>203</v>
      </c>
      <c r="WZP18" s="314" t="s">
        <v>203</v>
      </c>
      <c r="WZQ18" s="314" t="s">
        <v>203</v>
      </c>
      <c r="WZR18" s="314" t="s">
        <v>203</v>
      </c>
      <c r="WZS18" s="314" t="s">
        <v>203</v>
      </c>
      <c r="WZT18" s="314" t="s">
        <v>203</v>
      </c>
      <c r="WZU18" s="314" t="s">
        <v>203</v>
      </c>
      <c r="WZV18" s="314" t="s">
        <v>203</v>
      </c>
      <c r="WZW18" s="314" t="s">
        <v>203</v>
      </c>
      <c r="WZX18" s="314" t="s">
        <v>203</v>
      </c>
      <c r="WZY18" s="314" t="s">
        <v>203</v>
      </c>
      <c r="WZZ18" s="314" t="s">
        <v>203</v>
      </c>
      <c r="XAA18" s="314" t="s">
        <v>203</v>
      </c>
      <c r="XAB18" s="314" t="s">
        <v>203</v>
      </c>
      <c r="XAC18" s="314" t="s">
        <v>203</v>
      </c>
      <c r="XAD18" s="314" t="s">
        <v>203</v>
      </c>
      <c r="XAE18" s="314" t="s">
        <v>203</v>
      </c>
      <c r="XAF18" s="314" t="s">
        <v>203</v>
      </c>
      <c r="XAG18" s="314" t="s">
        <v>203</v>
      </c>
      <c r="XAH18" s="314" t="s">
        <v>203</v>
      </c>
      <c r="XAI18" s="314" t="s">
        <v>203</v>
      </c>
      <c r="XAJ18" s="314" t="s">
        <v>203</v>
      </c>
      <c r="XAK18" s="314" t="s">
        <v>203</v>
      </c>
      <c r="XAL18" s="314" t="s">
        <v>203</v>
      </c>
      <c r="XAM18" s="314" t="s">
        <v>203</v>
      </c>
      <c r="XAN18" s="314" t="s">
        <v>203</v>
      </c>
      <c r="XAO18" s="314" t="s">
        <v>203</v>
      </c>
      <c r="XAP18" s="314" t="s">
        <v>203</v>
      </c>
      <c r="XAQ18" s="314" t="s">
        <v>203</v>
      </c>
      <c r="XAR18" s="314" t="s">
        <v>203</v>
      </c>
      <c r="XAS18" s="314" t="s">
        <v>203</v>
      </c>
      <c r="XAT18" s="314" t="s">
        <v>203</v>
      </c>
      <c r="XAU18" s="314" t="s">
        <v>203</v>
      </c>
      <c r="XAV18" s="314" t="s">
        <v>203</v>
      </c>
      <c r="XAW18" s="314" t="s">
        <v>203</v>
      </c>
      <c r="XAX18" s="314" t="s">
        <v>203</v>
      </c>
      <c r="XAY18" s="314" t="s">
        <v>203</v>
      </c>
      <c r="XAZ18" s="314" t="s">
        <v>203</v>
      </c>
      <c r="XBA18" s="314" t="s">
        <v>203</v>
      </c>
      <c r="XBB18" s="314" t="s">
        <v>203</v>
      </c>
      <c r="XBC18" s="314" t="s">
        <v>203</v>
      </c>
      <c r="XBD18" s="314" t="s">
        <v>203</v>
      </c>
      <c r="XBE18" s="314" t="s">
        <v>203</v>
      </c>
      <c r="XBF18" s="314" t="s">
        <v>203</v>
      </c>
      <c r="XBG18" s="314" t="s">
        <v>203</v>
      </c>
      <c r="XBH18" s="314" t="s">
        <v>203</v>
      </c>
      <c r="XBI18" s="314" t="s">
        <v>203</v>
      </c>
      <c r="XBJ18" s="314" t="s">
        <v>203</v>
      </c>
      <c r="XBK18" s="314" t="s">
        <v>203</v>
      </c>
      <c r="XBL18" s="314" t="s">
        <v>203</v>
      </c>
      <c r="XBM18" s="314" t="s">
        <v>203</v>
      </c>
      <c r="XBN18" s="314" t="s">
        <v>203</v>
      </c>
      <c r="XBO18" s="314" t="s">
        <v>203</v>
      </c>
      <c r="XBP18" s="314" t="s">
        <v>203</v>
      </c>
      <c r="XBQ18" s="314" t="s">
        <v>203</v>
      </c>
      <c r="XBR18" s="314" t="s">
        <v>203</v>
      </c>
      <c r="XBS18" s="314" t="s">
        <v>203</v>
      </c>
      <c r="XBT18" s="314" t="s">
        <v>203</v>
      </c>
      <c r="XBU18" s="314" t="s">
        <v>203</v>
      </c>
      <c r="XBV18" s="314" t="s">
        <v>203</v>
      </c>
      <c r="XBW18" s="314" t="s">
        <v>203</v>
      </c>
      <c r="XBX18" s="314" t="s">
        <v>203</v>
      </c>
      <c r="XBY18" s="314" t="s">
        <v>203</v>
      </c>
      <c r="XBZ18" s="314" t="s">
        <v>203</v>
      </c>
      <c r="XCA18" s="314" t="s">
        <v>203</v>
      </c>
      <c r="XCB18" s="314" t="s">
        <v>203</v>
      </c>
      <c r="XCC18" s="314" t="s">
        <v>203</v>
      </c>
      <c r="XCD18" s="314" t="s">
        <v>203</v>
      </c>
      <c r="XCE18" s="314" t="s">
        <v>203</v>
      </c>
      <c r="XCF18" s="314" t="s">
        <v>203</v>
      </c>
      <c r="XCG18" s="314" t="s">
        <v>203</v>
      </c>
      <c r="XCH18" s="314" t="s">
        <v>203</v>
      </c>
      <c r="XCI18" s="314" t="s">
        <v>203</v>
      </c>
      <c r="XCJ18" s="314" t="s">
        <v>203</v>
      </c>
      <c r="XCK18" s="314" t="s">
        <v>203</v>
      </c>
      <c r="XCL18" s="314" t="s">
        <v>203</v>
      </c>
      <c r="XCM18" s="314" t="s">
        <v>203</v>
      </c>
      <c r="XCN18" s="314" t="s">
        <v>203</v>
      </c>
      <c r="XCO18" s="314" t="s">
        <v>203</v>
      </c>
      <c r="XCP18" s="314" t="s">
        <v>203</v>
      </c>
      <c r="XCQ18" s="314" t="s">
        <v>203</v>
      </c>
      <c r="XCR18" s="314" t="s">
        <v>203</v>
      </c>
      <c r="XCS18" s="314" t="s">
        <v>203</v>
      </c>
      <c r="XCT18" s="314" t="s">
        <v>203</v>
      </c>
      <c r="XCU18" s="314" t="s">
        <v>203</v>
      </c>
      <c r="XCV18" s="314" t="s">
        <v>203</v>
      </c>
      <c r="XCW18" s="314" t="s">
        <v>203</v>
      </c>
      <c r="XCX18" s="314" t="s">
        <v>203</v>
      </c>
      <c r="XCY18" s="314" t="s">
        <v>203</v>
      </c>
      <c r="XCZ18" s="314" t="s">
        <v>203</v>
      </c>
      <c r="XDA18" s="314" t="s">
        <v>203</v>
      </c>
      <c r="XDB18" s="314" t="s">
        <v>203</v>
      </c>
      <c r="XDC18" s="314" t="s">
        <v>203</v>
      </c>
      <c r="XDD18" s="314" t="s">
        <v>203</v>
      </c>
      <c r="XDE18" s="314" t="s">
        <v>203</v>
      </c>
      <c r="XDF18" s="314" t="s">
        <v>203</v>
      </c>
      <c r="XDG18" s="314" t="s">
        <v>203</v>
      </c>
      <c r="XDH18" s="314" t="s">
        <v>203</v>
      </c>
      <c r="XDI18" s="314" t="s">
        <v>203</v>
      </c>
      <c r="XDJ18" s="314" t="s">
        <v>203</v>
      </c>
      <c r="XDK18" s="314" t="s">
        <v>203</v>
      </c>
      <c r="XDL18" s="314" t="s">
        <v>203</v>
      </c>
      <c r="XDM18" s="314" t="s">
        <v>203</v>
      </c>
      <c r="XDN18" s="314" t="s">
        <v>203</v>
      </c>
      <c r="XDO18" s="314" t="s">
        <v>203</v>
      </c>
      <c r="XDP18" s="314" t="s">
        <v>203</v>
      </c>
      <c r="XDQ18" s="314" t="s">
        <v>203</v>
      </c>
      <c r="XDR18" s="314" t="s">
        <v>203</v>
      </c>
      <c r="XDS18" s="314" t="s">
        <v>203</v>
      </c>
      <c r="XDT18" s="314" t="s">
        <v>203</v>
      </c>
      <c r="XDU18" s="314" t="s">
        <v>203</v>
      </c>
      <c r="XDV18" s="314" t="s">
        <v>203</v>
      </c>
      <c r="XDW18" s="314" t="s">
        <v>203</v>
      </c>
      <c r="XDX18" s="314" t="s">
        <v>203</v>
      </c>
      <c r="XDY18" s="314" t="s">
        <v>203</v>
      </c>
      <c r="XDZ18" s="314" t="s">
        <v>203</v>
      </c>
      <c r="XEA18" s="314" t="s">
        <v>203</v>
      </c>
      <c r="XEB18" s="314" t="s">
        <v>203</v>
      </c>
      <c r="XEC18" s="314" t="s">
        <v>203</v>
      </c>
      <c r="XED18" s="314" t="s">
        <v>203</v>
      </c>
      <c r="XEE18" s="314" t="s">
        <v>203</v>
      </c>
      <c r="XEF18" s="314" t="s">
        <v>203</v>
      </c>
      <c r="XEG18" s="314" t="s">
        <v>203</v>
      </c>
      <c r="XEH18" s="314" t="s">
        <v>203</v>
      </c>
      <c r="XEI18" s="314" t="s">
        <v>203</v>
      </c>
      <c r="XEJ18" s="314" t="s">
        <v>203</v>
      </c>
      <c r="XEK18" s="314" t="s">
        <v>203</v>
      </c>
      <c r="XEL18" s="314" t="s">
        <v>203</v>
      </c>
      <c r="XEM18" s="314" t="s">
        <v>203</v>
      </c>
      <c r="XEN18" s="314" t="s">
        <v>203</v>
      </c>
      <c r="XEO18" s="314" t="s">
        <v>203</v>
      </c>
      <c r="XEP18" s="314" t="s">
        <v>203</v>
      </c>
      <c r="XEQ18" s="314" t="s">
        <v>203</v>
      </c>
      <c r="XER18" s="314" t="s">
        <v>203</v>
      </c>
      <c r="XES18" s="314" t="s">
        <v>203</v>
      </c>
      <c r="XET18" s="314" t="s">
        <v>203</v>
      </c>
      <c r="XEU18" s="314" t="s">
        <v>203</v>
      </c>
      <c r="XEV18" s="314" t="s">
        <v>203</v>
      </c>
      <c r="XEW18" s="314" t="s">
        <v>203</v>
      </c>
      <c r="XEX18" s="314" t="s">
        <v>203</v>
      </c>
      <c r="XEY18" s="314" t="s">
        <v>203</v>
      </c>
      <c r="XEZ18" s="314" t="s">
        <v>203</v>
      </c>
      <c r="XFA18" s="314" t="s">
        <v>203</v>
      </c>
      <c r="XFB18" s="314" t="s">
        <v>203</v>
      </c>
      <c r="XFC18" s="314" t="s">
        <v>203</v>
      </c>
      <c r="XFD18" s="314" t="s">
        <v>203</v>
      </c>
    </row>
    <row r="19" spans="1:16384" x14ac:dyDescent="0.25">
      <c r="A19" s="339" t="s">
        <v>232</v>
      </c>
      <c r="B19" s="396"/>
      <c r="C19" s="393"/>
      <c r="D19" s="327"/>
      <c r="E19" s="301"/>
      <c r="F19" s="301"/>
      <c r="G19" s="311" t="s">
        <v>235</v>
      </c>
      <c r="H19" s="311"/>
      <c r="I19" s="394"/>
      <c r="J19" s="394"/>
      <c r="K19" s="301"/>
      <c r="L19" s="301"/>
      <c r="M19" s="301"/>
      <c r="N19" s="301"/>
      <c r="O19" s="386"/>
      <c r="P19" s="301"/>
      <c r="Q19" s="301"/>
      <c r="R19" s="301"/>
      <c r="S19" s="326"/>
      <c r="T19" s="301"/>
      <c r="U19" s="329"/>
      <c r="V19" s="11"/>
      <c r="W19" s="329"/>
      <c r="X19" s="329">
        <v>2000</v>
      </c>
      <c r="Y19" s="311"/>
      <c r="Z19" s="319"/>
      <c r="AA19" s="319"/>
      <c r="AB19" s="319"/>
      <c r="AC19" s="319"/>
      <c r="AD19" s="319"/>
      <c r="AE19" s="319"/>
      <c r="AF19" s="319"/>
      <c r="AG19" s="319"/>
      <c r="AH19" s="319"/>
      <c r="AI19" s="319"/>
      <c r="AJ19" s="319"/>
      <c r="AK19" s="319"/>
      <c r="AL19" s="319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</row>
    <row r="20" spans="1:16384" s="319" customFormat="1" x14ac:dyDescent="0.25">
      <c r="A20" s="383" t="s">
        <v>205</v>
      </c>
      <c r="B20" s="9">
        <v>45793</v>
      </c>
      <c r="C20" s="397"/>
      <c r="D20" s="8"/>
      <c r="E20" s="398"/>
      <c r="F20" s="398"/>
      <c r="G20" s="10" t="s">
        <v>238</v>
      </c>
      <c r="H20" s="10" t="s">
        <v>206</v>
      </c>
      <c r="I20" s="399">
        <f>1758</f>
        <v>1758</v>
      </c>
      <c r="J20" s="399"/>
      <c r="K20" s="398"/>
      <c r="L20" s="398"/>
      <c r="M20" s="398"/>
      <c r="N20" s="400">
        <f>I20*40%</f>
        <v>703.2</v>
      </c>
      <c r="O20" s="12">
        <f>300+200</f>
        <v>500</v>
      </c>
      <c r="P20" s="398"/>
      <c r="Q20" s="398"/>
      <c r="R20" s="398"/>
      <c r="S20" s="385"/>
      <c r="T20" s="398"/>
      <c r="U20" s="401"/>
      <c r="V20" s="11">
        <v>703.2</v>
      </c>
      <c r="W20" s="401"/>
      <c r="X20" s="401">
        <f>940</f>
        <v>940</v>
      </c>
      <c r="Y20" s="10" t="s">
        <v>209</v>
      </c>
      <c r="Z20" s="319" t="s">
        <v>243</v>
      </c>
      <c r="AB20" s="319">
        <f>890-940</f>
        <v>-50</v>
      </c>
    </row>
    <row r="21" spans="1:16384" s="319" customFormat="1" x14ac:dyDescent="0.25">
      <c r="A21" s="383" t="s">
        <v>239</v>
      </c>
      <c r="B21" s="9">
        <v>45831</v>
      </c>
      <c r="C21" s="397"/>
      <c r="D21" s="8"/>
      <c r="E21" s="398"/>
      <c r="F21" s="398"/>
      <c r="G21" s="10" t="s">
        <v>104</v>
      </c>
      <c r="H21" s="10" t="s">
        <v>47</v>
      </c>
      <c r="I21" s="399"/>
      <c r="J21" s="399"/>
      <c r="K21" s="398"/>
      <c r="L21" s="398"/>
      <c r="M21" s="398"/>
      <c r="N21" s="400"/>
      <c r="O21" s="12"/>
      <c r="P21" s="398"/>
      <c r="Q21" s="398"/>
      <c r="R21" s="398"/>
      <c r="S21" s="385"/>
      <c r="T21" s="398"/>
      <c r="U21" s="401"/>
      <c r="V21" s="11"/>
      <c r="W21" s="401"/>
      <c r="X21" s="401">
        <f>1634.96/30*8-26.16</f>
        <v>409.8293333333333</v>
      </c>
      <c r="Y21" s="10" t="s">
        <v>253</v>
      </c>
      <c r="Z21" s="347"/>
    </row>
    <row r="22" spans="1:16384" x14ac:dyDescent="0.25">
      <c r="A22" s="402" t="s">
        <v>207</v>
      </c>
      <c r="B22" s="403">
        <v>45797</v>
      </c>
      <c r="C22" s="404"/>
      <c r="D22" s="405"/>
      <c r="E22" s="382"/>
      <c r="F22" s="382"/>
      <c r="G22" s="406" t="s">
        <v>120</v>
      </c>
      <c r="H22" s="406" t="s">
        <v>234</v>
      </c>
      <c r="I22" s="407">
        <f>1634.98+653.98</f>
        <v>2288.96</v>
      </c>
      <c r="J22" s="407"/>
      <c r="K22" s="382"/>
      <c r="L22" s="382"/>
      <c r="M22" s="382"/>
      <c r="N22" s="408">
        <f>I22*40%</f>
        <v>915.58400000000006</v>
      </c>
      <c r="O22" s="409">
        <f>13*40</f>
        <v>520</v>
      </c>
      <c r="P22" s="382"/>
      <c r="Q22" s="382"/>
      <c r="R22" s="382"/>
      <c r="S22" s="410"/>
      <c r="T22" s="382"/>
      <c r="U22" s="411">
        <v>60</v>
      </c>
      <c r="V22" s="11">
        <f t="shared" si="0"/>
        <v>594</v>
      </c>
      <c r="W22" s="411"/>
      <c r="X22" s="411">
        <f>2288.96-137.33-654+480</f>
        <v>1977.63</v>
      </c>
      <c r="Y22" s="406">
        <v>10019082606</v>
      </c>
      <c r="Z22">
        <f>2288.96*6%</f>
        <v>137.33760000000001</v>
      </c>
    </row>
    <row r="23" spans="1:16384" hidden="1" x14ac:dyDescent="0.25">
      <c r="A23" s="402" t="s">
        <v>219</v>
      </c>
      <c r="B23" s="403"/>
      <c r="C23" s="404"/>
      <c r="D23" s="405"/>
      <c r="E23" s="382"/>
      <c r="F23" s="382"/>
      <c r="G23" s="406" t="s">
        <v>237</v>
      </c>
      <c r="H23" s="406" t="s">
        <v>234</v>
      </c>
      <c r="I23" s="407"/>
      <c r="J23" s="407"/>
      <c r="K23" s="382"/>
      <c r="L23" s="382"/>
      <c r="M23" s="382"/>
      <c r="N23" s="382">
        <f>2500/2-154-154-450</f>
        <v>492</v>
      </c>
      <c r="O23" s="409"/>
      <c r="P23" s="382"/>
      <c r="Q23" s="382"/>
      <c r="R23" s="382"/>
      <c r="S23" s="410"/>
      <c r="T23" s="382"/>
      <c r="U23" s="411"/>
      <c r="V23" s="11"/>
      <c r="W23" s="411"/>
      <c r="X23" s="411"/>
      <c r="Y23" s="406" t="s">
        <v>252</v>
      </c>
    </row>
    <row r="24" spans="1:16384" x14ac:dyDescent="0.25">
      <c r="A24" s="383" t="s">
        <v>225</v>
      </c>
      <c r="B24" s="9">
        <v>45808</v>
      </c>
      <c r="C24" s="397">
        <v>45826</v>
      </c>
      <c r="D24" s="8"/>
      <c r="E24" s="398"/>
      <c r="F24" s="398"/>
      <c r="G24" s="10" t="s">
        <v>230</v>
      </c>
      <c r="H24" s="10" t="s">
        <v>47</v>
      </c>
      <c r="I24" s="399">
        <v>1634.96</v>
      </c>
      <c r="J24" s="399"/>
      <c r="K24" s="398"/>
      <c r="L24" s="398"/>
      <c r="M24" s="398"/>
      <c r="N24" s="398">
        <v>653.98</v>
      </c>
      <c r="O24" s="12"/>
      <c r="P24" s="398"/>
      <c r="Q24" s="398"/>
      <c r="R24" s="398"/>
      <c r="S24" s="385"/>
      <c r="T24" s="398"/>
      <c r="U24" s="401">
        <v>30</v>
      </c>
      <c r="V24" s="11">
        <f t="shared" si="0"/>
        <v>624</v>
      </c>
      <c r="W24" s="401"/>
      <c r="X24" s="401">
        <v>885.32</v>
      </c>
      <c r="Y24" s="10">
        <v>14983169644</v>
      </c>
    </row>
    <row r="25" spans="1:16384" hidden="1" x14ac:dyDescent="0.25">
      <c r="A25" s="402" t="s">
        <v>229</v>
      </c>
      <c r="B25" s="403">
        <v>45813</v>
      </c>
      <c r="C25" s="406"/>
      <c r="D25" s="405"/>
      <c r="E25" s="406"/>
      <c r="F25" s="406"/>
      <c r="G25" s="403" t="s">
        <v>226</v>
      </c>
      <c r="H25" s="406" t="s">
        <v>47</v>
      </c>
      <c r="I25" s="407">
        <v>1634.96</v>
      </c>
      <c r="J25" s="407"/>
      <c r="K25" s="382"/>
      <c r="L25" s="382"/>
      <c r="M25" s="382"/>
      <c r="N25" s="382"/>
      <c r="O25" s="409"/>
      <c r="P25" s="382"/>
      <c r="Q25" s="382"/>
      <c r="R25" s="382"/>
      <c r="S25" s="410"/>
      <c r="T25" s="382"/>
      <c r="U25" s="411"/>
      <c r="V25" s="11"/>
      <c r="W25" s="411"/>
      <c r="X25" s="411"/>
      <c r="Y25" s="406"/>
    </row>
    <row r="26" spans="1:16384" x14ac:dyDescent="0.25">
      <c r="A26" s="402" t="s">
        <v>233</v>
      </c>
      <c r="B26" s="403">
        <v>45818</v>
      </c>
      <c r="C26" s="406"/>
      <c r="D26" s="405"/>
      <c r="E26" s="406"/>
      <c r="F26" s="406"/>
      <c r="G26" s="403" t="s">
        <v>104</v>
      </c>
      <c r="H26" s="406" t="s">
        <v>47</v>
      </c>
      <c r="I26" s="407">
        <v>1758</v>
      </c>
      <c r="J26" s="407"/>
      <c r="K26" s="382"/>
      <c r="L26" s="382"/>
      <c r="M26" s="382"/>
      <c r="N26" s="382"/>
      <c r="O26" s="409"/>
      <c r="P26" s="382"/>
      <c r="Q26" s="382"/>
      <c r="R26" s="382"/>
      <c r="S26" s="412" t="s">
        <v>240</v>
      </c>
      <c r="T26" s="382"/>
      <c r="U26" s="411"/>
      <c r="V26" s="11">
        <v>0</v>
      </c>
      <c r="W26" s="411"/>
      <c r="X26" s="411">
        <f>1758/30*16-70.32</f>
        <v>867.28</v>
      </c>
      <c r="Y26" s="406">
        <v>15825441662</v>
      </c>
    </row>
    <row r="27" spans="1:16384" x14ac:dyDescent="0.25">
      <c r="A27" s="382" t="s">
        <v>244</v>
      </c>
      <c r="B27" s="403">
        <v>45834</v>
      </c>
      <c r="C27" s="406"/>
      <c r="D27" s="405"/>
      <c r="E27" s="406"/>
      <c r="F27" s="406"/>
      <c r="G27" s="403" t="s">
        <v>241</v>
      </c>
      <c r="H27" s="406" t="s">
        <v>242</v>
      </c>
      <c r="I27" s="407">
        <v>1634.96</v>
      </c>
      <c r="J27" s="407"/>
      <c r="K27" s="382"/>
      <c r="L27" s="382"/>
      <c r="M27" s="382"/>
      <c r="N27" s="382"/>
      <c r="O27" s="409"/>
      <c r="P27" s="382"/>
      <c r="Q27" s="382"/>
      <c r="R27" s="382"/>
      <c r="S27" s="410"/>
      <c r="T27" s="382"/>
      <c r="U27" s="411"/>
      <c r="V27" s="11"/>
      <c r="W27" s="411"/>
      <c r="X27" s="411">
        <f>1634.96/30*5</f>
        <v>272.49333333333334</v>
      </c>
      <c r="Y27" s="406" t="s">
        <v>251</v>
      </c>
    </row>
    <row r="28" spans="1:16384" x14ac:dyDescent="0.25">
      <c r="A28" s="193" t="s">
        <v>249</v>
      </c>
      <c r="B28" s="7">
        <v>45840</v>
      </c>
      <c r="C28" s="2"/>
      <c r="D28" s="1"/>
      <c r="E28" s="2"/>
      <c r="F28" s="2"/>
      <c r="G28" s="7" t="s">
        <v>213</v>
      </c>
      <c r="H28" s="2" t="s">
        <v>250</v>
      </c>
      <c r="I28" s="5"/>
      <c r="J28" s="5"/>
      <c r="K28" s="2"/>
      <c r="L28" s="413">
        <f>SUM(L3:L13)</f>
        <v>2957.5</v>
      </c>
      <c r="M28" s="2"/>
      <c r="N28" s="4">
        <v>11401.9</v>
      </c>
      <c r="O28" s="4">
        <f t="shared" ref="O28" si="3">I28*7.7%</f>
        <v>0</v>
      </c>
      <c r="P28" s="2"/>
      <c r="Q28" s="2"/>
      <c r="R28" s="2"/>
      <c r="S28" s="414"/>
      <c r="T28" s="2"/>
      <c r="U28" s="2"/>
      <c r="V28" s="413">
        <v>10589.7</v>
      </c>
      <c r="W28" s="276"/>
      <c r="X28" s="276"/>
      <c r="Y28" s="15"/>
    </row>
    <row r="29" spans="1:16384" x14ac:dyDescent="0.25">
      <c r="A29" s="15" t="s">
        <v>262</v>
      </c>
      <c r="B29" s="415">
        <v>45863</v>
      </c>
      <c r="C29" s="15"/>
      <c r="D29" s="1"/>
      <c r="E29" s="15"/>
      <c r="F29" s="15"/>
      <c r="G29" s="15" t="s">
        <v>257</v>
      </c>
      <c r="H29" s="2" t="s">
        <v>78</v>
      </c>
      <c r="I29" s="407">
        <v>1634.96</v>
      </c>
      <c r="J29" s="15"/>
      <c r="K29" s="15"/>
      <c r="L29" s="15"/>
      <c r="M29" s="15"/>
      <c r="N29" s="15"/>
      <c r="O29" s="15"/>
      <c r="P29" s="15"/>
      <c r="Q29" s="15"/>
      <c r="R29" s="15"/>
      <c r="S29" s="416"/>
      <c r="T29" s="15"/>
      <c r="U29" s="15"/>
      <c r="V29" s="15"/>
      <c r="W29" s="15"/>
      <c r="X29" s="15"/>
      <c r="Y29" s="15"/>
    </row>
    <row r="30" spans="1:16384" x14ac:dyDescent="0.25">
      <c r="A30" s="15" t="s">
        <v>259</v>
      </c>
      <c r="B30" s="415">
        <v>45860</v>
      </c>
      <c r="C30" s="15"/>
      <c r="D30" s="1"/>
      <c r="E30" s="15"/>
      <c r="F30" s="15"/>
      <c r="G30" s="15" t="s">
        <v>266</v>
      </c>
      <c r="H30" s="2" t="s">
        <v>78</v>
      </c>
      <c r="I30" s="407">
        <v>1758</v>
      </c>
      <c r="J30" s="15"/>
      <c r="K30" s="15"/>
      <c r="L30" s="15"/>
      <c r="M30" s="15"/>
      <c r="N30" s="15"/>
      <c r="O30" s="15"/>
      <c r="P30" s="15"/>
      <c r="Q30" s="15"/>
      <c r="R30" s="15"/>
      <c r="S30" s="416"/>
      <c r="T30" s="15"/>
      <c r="U30" s="15"/>
      <c r="V30" s="15"/>
      <c r="W30" s="15"/>
      <c r="X30" s="15"/>
      <c r="Y30" s="15"/>
    </row>
    <row r="31" spans="1:16384" x14ac:dyDescent="0.25">
      <c r="A31" s="15" t="s">
        <v>264</v>
      </c>
      <c r="B31" s="415">
        <v>45862</v>
      </c>
      <c r="C31" s="15"/>
      <c r="D31" s="1"/>
      <c r="E31" s="15"/>
      <c r="F31" s="15"/>
      <c r="G31" s="15" t="s">
        <v>263</v>
      </c>
      <c r="H31" s="2" t="s">
        <v>78</v>
      </c>
      <c r="I31" s="407">
        <v>1758</v>
      </c>
      <c r="J31" s="15"/>
      <c r="K31" s="15"/>
      <c r="L31" s="15"/>
      <c r="M31" s="15"/>
      <c r="N31" s="15"/>
      <c r="O31" s="15"/>
      <c r="P31" s="15"/>
      <c r="Q31" s="15"/>
      <c r="R31" s="15"/>
      <c r="S31" s="416"/>
      <c r="T31" s="15"/>
      <c r="U31" s="15"/>
      <c r="V31" s="15"/>
      <c r="W31" s="15"/>
      <c r="X31" s="15"/>
      <c r="Y31" s="15"/>
    </row>
    <row r="32" spans="1:16384" x14ac:dyDescent="0.25">
      <c r="A32" s="25" t="s">
        <v>265</v>
      </c>
      <c r="B32" s="25"/>
      <c r="C32" s="25"/>
      <c r="D32" s="359"/>
      <c r="E32" s="25"/>
      <c r="F32" s="25"/>
      <c r="G32" s="15" t="s">
        <v>266</v>
      </c>
      <c r="H32" s="2" t="s">
        <v>78</v>
      </c>
      <c r="I32" s="407">
        <v>1758</v>
      </c>
      <c r="J32" s="25"/>
      <c r="K32" s="25"/>
      <c r="L32" s="25"/>
      <c r="M32" s="25"/>
      <c r="N32" s="25"/>
      <c r="O32" s="25"/>
      <c r="P32" s="25"/>
      <c r="Q32" s="25"/>
      <c r="R32" s="25"/>
      <c r="S32" s="360"/>
      <c r="T32" s="25"/>
      <c r="U32" s="25"/>
      <c r="V32" s="25"/>
      <c r="W32" s="25"/>
      <c r="X32" s="25"/>
      <c r="Y32" s="25">
        <v>31997199898</v>
      </c>
    </row>
    <row r="33" spans="1:27" x14ac:dyDescent="0.25">
      <c r="A33" s="25"/>
      <c r="B33" s="25"/>
      <c r="C33" s="25"/>
      <c r="D33" s="359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360"/>
      <c r="T33" s="25"/>
      <c r="U33" s="25"/>
      <c r="V33" s="25"/>
      <c r="W33" s="25"/>
      <c r="X33" s="25"/>
      <c r="Y33" s="25"/>
    </row>
    <row r="34" spans="1:27" x14ac:dyDescent="0.25">
      <c r="S34" s="118">
        <v>5</v>
      </c>
      <c r="T34">
        <f>40*12</f>
        <v>480</v>
      </c>
    </row>
    <row r="35" spans="1:27" x14ac:dyDescent="0.25">
      <c r="AA35" s="272"/>
    </row>
  </sheetData>
  <autoFilter ref="G1:G31" xr:uid="{6A25047E-EEC9-4EB5-8E39-790574A310E0}"/>
  <mergeCells count="1">
    <mergeCell ref="A1:Y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E1DC-A02D-43BE-B9EB-6D8ED8FD0401}">
  <dimension ref="A1:XEZ42"/>
  <sheetViews>
    <sheetView workbookViewId="0">
      <selection activeCell="T11" sqref="T11"/>
    </sheetView>
  </sheetViews>
  <sheetFormatPr defaultRowHeight="15" x14ac:dyDescent="0.25"/>
  <cols>
    <col min="1" max="1" width="32.85546875" customWidth="1"/>
    <col min="2" max="3" width="9.85546875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21" customWidth="1"/>
    <col min="8" max="8" width="15.140625" customWidth="1"/>
    <col min="9" max="9" width="13.5703125" customWidth="1"/>
    <col min="10" max="10" width="14.5703125" hidden="1" customWidth="1"/>
    <col min="11" max="11" width="9.140625" hidden="1" customWidth="1"/>
    <col min="12" max="12" width="13.28515625" hidden="1" customWidth="1"/>
    <col min="13" max="13" width="9.140625" hidden="1" customWidth="1"/>
    <col min="14" max="14" width="14.42578125" hidden="1" customWidth="1"/>
    <col min="15" max="15" width="11.42578125" style="118" hidden="1" customWidth="1"/>
    <col min="16" max="16" width="11.5703125" hidden="1" customWidth="1"/>
    <col min="17" max="17" width="13" hidden="1" customWidth="1"/>
    <col min="18" max="18" width="16.140625" customWidth="1"/>
    <col min="19" max="20" width="15" customWidth="1"/>
    <col min="21" max="21" width="28.28515625" customWidth="1"/>
    <col min="22" max="22" width="15.7109375" customWidth="1"/>
    <col min="23" max="23" width="10.140625" bestFit="1" customWidth="1"/>
  </cols>
  <sheetData>
    <row r="1" spans="1:16380" ht="24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25"/>
    </row>
    <row r="2" spans="1:16380" x14ac:dyDescent="0.25">
      <c r="A2" s="120" t="s">
        <v>1</v>
      </c>
      <c r="B2" s="120" t="s">
        <v>2</v>
      </c>
      <c r="C2" s="120" t="s">
        <v>3</v>
      </c>
      <c r="D2" s="119" t="s">
        <v>91</v>
      </c>
      <c r="E2" s="120" t="s">
        <v>9</v>
      </c>
      <c r="F2" s="120" t="s">
        <v>5</v>
      </c>
      <c r="G2" s="120" t="s">
        <v>6</v>
      </c>
      <c r="H2" s="120" t="s">
        <v>7</v>
      </c>
      <c r="I2" s="122" t="s">
        <v>8</v>
      </c>
      <c r="J2" s="122" t="s">
        <v>92</v>
      </c>
      <c r="K2" s="120" t="s">
        <v>10</v>
      </c>
      <c r="L2" s="120" t="s">
        <v>11</v>
      </c>
      <c r="M2" s="120" t="s">
        <v>12</v>
      </c>
      <c r="N2" s="120" t="s">
        <v>13</v>
      </c>
      <c r="O2" s="155" t="s">
        <v>18</v>
      </c>
      <c r="P2" s="120" t="s">
        <v>19</v>
      </c>
      <c r="Q2" s="120" t="s">
        <v>99</v>
      </c>
      <c r="R2" s="120" t="s">
        <v>100</v>
      </c>
      <c r="S2" s="120" t="s">
        <v>101</v>
      </c>
      <c r="T2" s="120" t="s">
        <v>102</v>
      </c>
      <c r="U2" s="120" t="s">
        <v>22</v>
      </c>
      <c r="V2" s="25" t="s">
        <v>274</v>
      </c>
    </row>
    <row r="3" spans="1:16380" x14ac:dyDescent="0.25">
      <c r="A3" s="336" t="s">
        <v>38</v>
      </c>
      <c r="B3" s="362"/>
      <c r="C3" s="82">
        <v>45632</v>
      </c>
      <c r="D3" s="82"/>
      <c r="E3" s="85"/>
      <c r="F3" s="83"/>
      <c r="G3" s="92" t="s">
        <v>128</v>
      </c>
      <c r="H3" s="352" t="s">
        <v>25</v>
      </c>
      <c r="I3" s="374">
        <v>1634.96</v>
      </c>
      <c r="J3" s="85">
        <v>300</v>
      </c>
      <c r="K3" s="85"/>
      <c r="L3" s="85">
        <v>1478.75</v>
      </c>
      <c r="M3" s="85"/>
      <c r="N3" s="85">
        <v>653.98</v>
      </c>
      <c r="O3" s="181"/>
      <c r="P3" s="86"/>
      <c r="Q3" s="85"/>
      <c r="R3" s="85">
        <v>654</v>
      </c>
      <c r="S3" s="80"/>
      <c r="T3" s="80">
        <v>758</v>
      </c>
      <c r="U3" s="84">
        <v>31981052930</v>
      </c>
      <c r="V3" s="186"/>
    </row>
    <row r="4" spans="1:16380" x14ac:dyDescent="0.25">
      <c r="A4" s="337" t="s">
        <v>39</v>
      </c>
      <c r="B4" s="363">
        <v>45293</v>
      </c>
      <c r="C4" s="294"/>
      <c r="D4" s="294"/>
      <c r="E4" s="295"/>
      <c r="F4" s="296"/>
      <c r="G4" s="348" t="s">
        <v>128</v>
      </c>
      <c r="H4" s="353" t="s">
        <v>25</v>
      </c>
      <c r="I4" s="375">
        <v>1634.96</v>
      </c>
      <c r="J4" s="295">
        <v>300</v>
      </c>
      <c r="K4" s="295"/>
      <c r="L4" s="295">
        <v>1478.75</v>
      </c>
      <c r="M4" s="295"/>
      <c r="N4" s="295">
        <v>653.98</v>
      </c>
      <c r="O4" s="324"/>
      <c r="P4" s="298"/>
      <c r="Q4" s="295"/>
      <c r="R4" s="85">
        <v>654</v>
      </c>
      <c r="S4" s="295"/>
      <c r="T4" s="295">
        <v>882.86</v>
      </c>
      <c r="U4" s="296" t="s">
        <v>40</v>
      </c>
      <c r="V4" s="186"/>
    </row>
    <row r="5" spans="1:16380" x14ac:dyDescent="0.25">
      <c r="A5" s="336" t="s">
        <v>41</v>
      </c>
      <c r="B5" s="362">
        <v>45621</v>
      </c>
      <c r="C5" s="82">
        <v>45643</v>
      </c>
      <c r="D5" s="82"/>
      <c r="E5" s="85"/>
      <c r="F5" s="83"/>
      <c r="G5" s="92" t="s">
        <v>105</v>
      </c>
      <c r="H5" s="352" t="s">
        <v>25</v>
      </c>
      <c r="I5" s="374">
        <v>1634.96</v>
      </c>
      <c r="J5" s="85">
        <v>300</v>
      </c>
      <c r="K5" s="85"/>
      <c r="L5" s="85">
        <f t="shared" ref="L5:L9" si="0">I5/30*K5</f>
        <v>0</v>
      </c>
      <c r="M5" s="85"/>
      <c r="N5" s="85">
        <v>653.98</v>
      </c>
      <c r="O5" s="181"/>
      <c r="P5" s="86"/>
      <c r="Q5" s="85"/>
      <c r="R5" s="85"/>
      <c r="S5" s="80"/>
      <c r="T5" s="80"/>
      <c r="U5" s="84">
        <v>10105933660</v>
      </c>
      <c r="V5" s="186"/>
    </row>
    <row r="6" spans="1:16380" x14ac:dyDescent="0.25">
      <c r="A6" s="338" t="s">
        <v>46</v>
      </c>
      <c r="B6" s="364"/>
      <c r="C6" s="76">
        <v>45497</v>
      </c>
      <c r="D6" s="76"/>
      <c r="E6" s="80"/>
      <c r="F6" s="81"/>
      <c r="G6" s="69" t="s">
        <v>105</v>
      </c>
      <c r="H6" s="352" t="s">
        <v>25</v>
      </c>
      <c r="I6" s="376">
        <v>1634.96</v>
      </c>
      <c r="J6" s="78"/>
      <c r="K6" s="80"/>
      <c r="L6" s="80">
        <f t="shared" si="0"/>
        <v>0</v>
      </c>
      <c r="M6" s="80"/>
      <c r="N6" s="80">
        <v>653.98</v>
      </c>
      <c r="O6" s="180"/>
      <c r="P6" s="79"/>
      <c r="Q6" s="80">
        <f>120+20+30+70</f>
        <v>240</v>
      </c>
      <c r="R6" s="85">
        <f>654-170-70+13</f>
        <v>427</v>
      </c>
      <c r="S6" s="80">
        <f>30+70+80+26+25</f>
        <v>231</v>
      </c>
      <c r="T6" s="80">
        <f>824-S6</f>
        <v>593</v>
      </c>
      <c r="U6" s="77">
        <v>11282952617</v>
      </c>
      <c r="V6" s="186"/>
    </row>
    <row r="7" spans="1:16380" x14ac:dyDescent="0.25">
      <c r="A7" s="338" t="s">
        <v>49</v>
      </c>
      <c r="B7" s="364"/>
      <c r="C7" s="76">
        <v>45472</v>
      </c>
      <c r="D7" s="76"/>
      <c r="E7" s="80"/>
      <c r="F7" s="77"/>
      <c r="G7" s="69" t="s">
        <v>105</v>
      </c>
      <c r="H7" s="352" t="s">
        <v>25</v>
      </c>
      <c r="I7" s="376">
        <v>1634.96</v>
      </c>
      <c r="J7" s="78"/>
      <c r="K7" s="80"/>
      <c r="L7" s="80">
        <f t="shared" si="0"/>
        <v>0</v>
      </c>
      <c r="M7" s="80"/>
      <c r="N7" s="80">
        <v>653.98</v>
      </c>
      <c r="O7" s="180"/>
      <c r="P7" s="79"/>
      <c r="Q7" s="80"/>
      <c r="R7" s="85">
        <v>0</v>
      </c>
      <c r="S7" s="80"/>
      <c r="T7" s="80">
        <v>177</v>
      </c>
      <c r="U7" s="77" t="s">
        <v>87</v>
      </c>
      <c r="V7" s="186"/>
    </row>
    <row r="8" spans="1:16380" x14ac:dyDescent="0.25">
      <c r="A8" s="338" t="s">
        <v>53</v>
      </c>
      <c r="B8" s="364"/>
      <c r="C8" s="76">
        <v>45527</v>
      </c>
      <c r="D8" s="76"/>
      <c r="E8" s="80"/>
      <c r="F8" s="77"/>
      <c r="G8" s="69" t="s">
        <v>105</v>
      </c>
      <c r="H8" s="352" t="s">
        <v>107</v>
      </c>
      <c r="I8" s="376">
        <v>1478.76</v>
      </c>
      <c r="J8" s="78">
        <v>400</v>
      </c>
      <c r="K8" s="80"/>
      <c r="L8" s="80">
        <f t="shared" si="0"/>
        <v>0</v>
      </c>
      <c r="M8" s="80"/>
      <c r="N8" s="80">
        <v>607.20000000000005</v>
      </c>
      <c r="O8" s="180"/>
      <c r="P8" s="79"/>
      <c r="Q8" s="80"/>
      <c r="R8" s="85">
        <v>608</v>
      </c>
      <c r="S8" s="80">
        <f>99/2</f>
        <v>49.5</v>
      </c>
      <c r="T8" s="80">
        <f>770-S8</f>
        <v>720.5</v>
      </c>
      <c r="U8" s="77">
        <v>31982397405</v>
      </c>
      <c r="V8" s="186"/>
    </row>
    <row r="9" spans="1:16380" ht="12.75" customHeight="1" x14ac:dyDescent="0.25">
      <c r="A9" s="338" t="s">
        <v>57</v>
      </c>
      <c r="B9" s="364"/>
      <c r="C9" s="76">
        <v>45569</v>
      </c>
      <c r="D9" s="76"/>
      <c r="E9" s="80"/>
      <c r="F9" s="77"/>
      <c r="G9" s="69" t="s">
        <v>105</v>
      </c>
      <c r="H9" s="352" t="s">
        <v>25</v>
      </c>
      <c r="I9" s="376">
        <v>1634.96</v>
      </c>
      <c r="J9" s="78">
        <v>300</v>
      </c>
      <c r="K9" s="80"/>
      <c r="L9" s="80">
        <f t="shared" si="0"/>
        <v>0</v>
      </c>
      <c r="M9" s="80"/>
      <c r="N9" s="80">
        <v>653.98</v>
      </c>
      <c r="O9" s="180" t="s">
        <v>255</v>
      </c>
      <c r="P9" s="79"/>
      <c r="Q9" s="80"/>
      <c r="R9" s="85">
        <v>0</v>
      </c>
      <c r="S9" s="80"/>
      <c r="T9" s="80">
        <v>0</v>
      </c>
      <c r="U9" s="77" t="s">
        <v>58</v>
      </c>
      <c r="V9" s="186"/>
    </row>
    <row r="10" spans="1:16380" s="331" customFormat="1" x14ac:dyDescent="0.25">
      <c r="A10" s="339" t="s">
        <v>89</v>
      </c>
      <c r="B10" s="363">
        <v>45663</v>
      </c>
      <c r="C10" s="294"/>
      <c r="D10" s="294"/>
      <c r="E10" s="300"/>
      <c r="F10" s="293"/>
      <c r="G10" s="348" t="s">
        <v>96</v>
      </c>
      <c r="H10" s="353" t="s">
        <v>25</v>
      </c>
      <c r="I10" s="375">
        <f>3000/31*26</f>
        <v>2516.1290322580649</v>
      </c>
      <c r="J10" s="329"/>
      <c r="K10" s="300"/>
      <c r="L10" s="295"/>
      <c r="M10" s="300"/>
      <c r="N10" s="295">
        <v>1000</v>
      </c>
      <c r="O10" s="324"/>
      <c r="P10" s="293"/>
      <c r="Q10" s="300">
        <v>50</v>
      </c>
      <c r="R10" s="85">
        <v>950</v>
      </c>
      <c r="S10" s="295"/>
      <c r="T10" s="295">
        <v>1000</v>
      </c>
      <c r="U10" s="330">
        <v>13196831698</v>
      </c>
      <c r="V10" s="435">
        <v>300</v>
      </c>
    </row>
    <row r="11" spans="1:16380" x14ac:dyDescent="0.25">
      <c r="A11" s="340" t="s">
        <v>108</v>
      </c>
      <c r="B11" s="364">
        <v>45716</v>
      </c>
      <c r="C11" s="76">
        <v>45728</v>
      </c>
      <c r="D11" s="76">
        <v>45786</v>
      </c>
      <c r="E11" s="90"/>
      <c r="F11" s="89"/>
      <c r="G11" s="69" t="s">
        <v>238</v>
      </c>
      <c r="H11" s="352" t="s">
        <v>25</v>
      </c>
      <c r="I11" s="73">
        <v>1758</v>
      </c>
      <c r="J11" s="276"/>
      <c r="K11" s="90"/>
      <c r="L11" s="80"/>
      <c r="M11" s="90"/>
      <c r="N11" s="80">
        <v>703.2</v>
      </c>
      <c r="O11" s="180"/>
      <c r="P11" s="89"/>
      <c r="Q11" s="90"/>
      <c r="R11" s="85">
        <v>703.2</v>
      </c>
      <c r="S11" s="80">
        <v>40</v>
      </c>
      <c r="T11" s="80">
        <f>772-40</f>
        <v>732</v>
      </c>
      <c r="U11" s="179" t="s">
        <v>110</v>
      </c>
      <c r="V11" s="186"/>
    </row>
    <row r="12" spans="1:16380" x14ac:dyDescent="0.25">
      <c r="A12" s="341" t="s">
        <v>166</v>
      </c>
      <c r="B12" s="365"/>
      <c r="C12" s="294">
        <v>45628</v>
      </c>
      <c r="D12" s="298"/>
      <c r="E12" s="299"/>
      <c r="F12" s="299"/>
      <c r="G12" s="349" t="s">
        <v>96</v>
      </c>
      <c r="H12" s="354" t="s">
        <v>170</v>
      </c>
      <c r="I12" s="375">
        <v>2500</v>
      </c>
      <c r="J12" s="299"/>
      <c r="K12" s="299"/>
      <c r="L12" s="299"/>
      <c r="M12" s="299"/>
      <c r="N12" s="299">
        <v>300</v>
      </c>
      <c r="O12" s="294"/>
      <c r="P12" s="299"/>
      <c r="Q12" s="300">
        <v>60</v>
      </c>
      <c r="R12" s="85">
        <f>300-60</f>
        <v>240</v>
      </c>
      <c r="S12" s="300"/>
      <c r="T12" s="300">
        <f>2500-300</f>
        <v>2200</v>
      </c>
      <c r="U12" s="296">
        <v>31991288601</v>
      </c>
      <c r="V12" s="186"/>
    </row>
    <row r="13" spans="1:16380" x14ac:dyDescent="0.25">
      <c r="A13" s="340" t="s">
        <v>76</v>
      </c>
      <c r="B13" s="366"/>
      <c r="C13" s="76">
        <v>45566</v>
      </c>
      <c r="D13" s="76"/>
      <c r="E13" s="89"/>
      <c r="F13" s="89"/>
      <c r="G13" s="69" t="s">
        <v>217</v>
      </c>
      <c r="H13" s="352" t="s">
        <v>171</v>
      </c>
      <c r="I13" s="73">
        <v>1634.96</v>
      </c>
      <c r="J13" s="91"/>
      <c r="K13" s="89"/>
      <c r="L13" s="89"/>
      <c r="M13" s="89"/>
      <c r="N13" s="89"/>
      <c r="O13" s="180"/>
      <c r="P13" s="89"/>
      <c r="Q13" s="90"/>
      <c r="R13" s="85">
        <v>0</v>
      </c>
      <c r="S13" s="90"/>
      <c r="T13" s="90">
        <v>1413</v>
      </c>
      <c r="U13" s="198">
        <v>31982078680</v>
      </c>
      <c r="V13" s="186"/>
    </row>
    <row r="14" spans="1:16380" ht="14.25" customHeight="1" x14ac:dyDescent="0.25">
      <c r="A14" s="383" t="s">
        <v>167</v>
      </c>
      <c r="B14" s="417"/>
      <c r="C14" s="82">
        <v>45980</v>
      </c>
      <c r="D14" s="82"/>
      <c r="E14" s="217"/>
      <c r="F14" s="217"/>
      <c r="G14" s="92" t="s">
        <v>104</v>
      </c>
      <c r="H14" s="357" t="s">
        <v>74</v>
      </c>
      <c r="I14" s="374">
        <v>1758</v>
      </c>
      <c r="J14" s="215"/>
      <c r="K14" s="217"/>
      <c r="L14" s="217"/>
      <c r="M14" s="217"/>
      <c r="N14" s="217">
        <v>703.2</v>
      </c>
      <c r="O14" s="181"/>
      <c r="P14" s="217"/>
      <c r="Q14" s="318"/>
      <c r="R14" s="85">
        <v>654</v>
      </c>
      <c r="S14" s="318"/>
      <c r="T14" s="318">
        <v>756</v>
      </c>
      <c r="U14" s="84">
        <v>14760536698</v>
      </c>
      <c r="V14" s="436"/>
    </row>
    <row r="15" spans="1:16380" x14ac:dyDescent="0.25">
      <c r="A15" s="342" t="s">
        <v>168</v>
      </c>
      <c r="B15" s="367"/>
      <c r="C15" s="294">
        <v>45723</v>
      </c>
      <c r="D15" s="294"/>
      <c r="E15" s="293"/>
      <c r="F15" s="293"/>
      <c r="G15" s="348" t="s">
        <v>104</v>
      </c>
      <c r="H15" s="353" t="s">
        <v>74</v>
      </c>
      <c r="I15" s="375">
        <v>1758</v>
      </c>
      <c r="J15" s="303"/>
      <c r="K15" s="293"/>
      <c r="L15" s="293"/>
      <c r="M15" s="293"/>
      <c r="N15" s="293">
        <v>703.2</v>
      </c>
      <c r="O15" s="324"/>
      <c r="P15" s="293"/>
      <c r="Q15" s="300"/>
      <c r="R15" s="85">
        <v>703.2</v>
      </c>
      <c r="S15" s="300">
        <v>100</v>
      </c>
      <c r="T15" s="300">
        <f>1758-105.48-703-100</f>
        <v>849.52</v>
      </c>
      <c r="U15" s="296">
        <v>70278968694</v>
      </c>
      <c r="V15" s="186">
        <f>849.52-673</f>
        <v>176.51999999999998</v>
      </c>
    </row>
    <row r="16" spans="1:16380" s="310" customFormat="1" ht="13.5" customHeight="1" x14ac:dyDescent="0.2">
      <c r="A16" s="342" t="s">
        <v>201</v>
      </c>
      <c r="B16" s="368"/>
      <c r="C16" s="434">
        <v>45873</v>
      </c>
      <c r="D16" s="306"/>
      <c r="E16" s="306"/>
      <c r="F16" s="306"/>
      <c r="G16" s="350" t="s">
        <v>213</v>
      </c>
      <c r="H16" s="355" t="s">
        <v>78</v>
      </c>
      <c r="I16" s="377">
        <v>1518</v>
      </c>
      <c r="J16" s="306"/>
      <c r="K16" s="306"/>
      <c r="L16" s="306"/>
      <c r="M16" s="306"/>
      <c r="N16" s="293">
        <f t="shared" ref="N16:N17" si="1">1518*40%</f>
        <v>607.20000000000005</v>
      </c>
      <c r="O16" s="326"/>
      <c r="P16" s="306"/>
      <c r="Q16" s="308"/>
      <c r="R16" s="85">
        <v>607.20000000000005</v>
      </c>
      <c r="S16" s="308"/>
      <c r="T16" s="308">
        <v>607</v>
      </c>
      <c r="U16" s="309">
        <v>31992951142</v>
      </c>
      <c r="V16" s="437"/>
      <c r="W16" s="322"/>
      <c r="X16" s="322"/>
      <c r="Y16" s="322"/>
      <c r="Z16" s="322"/>
      <c r="AA16" s="322"/>
      <c r="AB16" s="322"/>
      <c r="AC16" s="322"/>
      <c r="AD16" s="322"/>
      <c r="AE16" s="322"/>
      <c r="AF16" s="322"/>
      <c r="AG16" s="322"/>
      <c r="AH16" s="322"/>
      <c r="AI16" s="322"/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22"/>
      <c r="AU16" s="322"/>
      <c r="BL16" s="310" t="s">
        <v>201</v>
      </c>
      <c r="BM16" s="310" t="s">
        <v>201</v>
      </c>
      <c r="BN16" s="310" t="s">
        <v>201</v>
      </c>
      <c r="BO16" s="310" t="s">
        <v>201</v>
      </c>
      <c r="BP16" s="310" t="s">
        <v>201</v>
      </c>
      <c r="BQ16" s="310" t="s">
        <v>201</v>
      </c>
      <c r="BR16" s="310" t="s">
        <v>201</v>
      </c>
      <c r="BS16" s="310" t="s">
        <v>201</v>
      </c>
      <c r="BT16" s="310" t="s">
        <v>201</v>
      </c>
      <c r="BU16" s="310" t="s">
        <v>201</v>
      </c>
      <c r="BV16" s="310" t="s">
        <v>201</v>
      </c>
      <c r="BW16" s="310" t="s">
        <v>201</v>
      </c>
      <c r="BX16" s="310" t="s">
        <v>201</v>
      </c>
      <c r="BY16" s="310" t="s">
        <v>201</v>
      </c>
      <c r="BZ16" s="310" t="s">
        <v>201</v>
      </c>
      <c r="CA16" s="310" t="s">
        <v>201</v>
      </c>
      <c r="CB16" s="310" t="s">
        <v>201</v>
      </c>
      <c r="CC16" s="310" t="s">
        <v>201</v>
      </c>
      <c r="CD16" s="310" t="s">
        <v>201</v>
      </c>
      <c r="CE16" s="310" t="s">
        <v>201</v>
      </c>
      <c r="CF16" s="310" t="s">
        <v>201</v>
      </c>
      <c r="CG16" s="310" t="s">
        <v>201</v>
      </c>
      <c r="CH16" s="310" t="s">
        <v>201</v>
      </c>
      <c r="CI16" s="310" t="s">
        <v>201</v>
      </c>
      <c r="CJ16" s="310" t="s">
        <v>201</v>
      </c>
      <c r="CK16" s="310" t="s">
        <v>201</v>
      </c>
      <c r="CL16" s="310" t="s">
        <v>201</v>
      </c>
      <c r="CM16" s="310" t="s">
        <v>201</v>
      </c>
      <c r="CN16" s="310" t="s">
        <v>201</v>
      </c>
      <c r="CO16" s="310" t="s">
        <v>201</v>
      </c>
      <c r="CP16" s="310" t="s">
        <v>201</v>
      </c>
      <c r="CQ16" s="310" t="s">
        <v>201</v>
      </c>
      <c r="CR16" s="310" t="s">
        <v>201</v>
      </c>
      <c r="CS16" s="310" t="s">
        <v>201</v>
      </c>
      <c r="CT16" s="310" t="s">
        <v>201</v>
      </c>
      <c r="CU16" s="310" t="s">
        <v>201</v>
      </c>
      <c r="CV16" s="310" t="s">
        <v>201</v>
      </c>
      <c r="CW16" s="310" t="s">
        <v>201</v>
      </c>
      <c r="CX16" s="310" t="s">
        <v>201</v>
      </c>
      <c r="CY16" s="310" t="s">
        <v>201</v>
      </c>
      <c r="CZ16" s="310" t="s">
        <v>201</v>
      </c>
      <c r="DA16" s="310" t="s">
        <v>201</v>
      </c>
      <c r="DB16" s="310" t="s">
        <v>201</v>
      </c>
      <c r="DC16" s="310" t="s">
        <v>201</v>
      </c>
      <c r="DD16" s="310" t="s">
        <v>201</v>
      </c>
      <c r="DE16" s="310" t="s">
        <v>201</v>
      </c>
      <c r="DF16" s="310" t="s">
        <v>201</v>
      </c>
      <c r="DG16" s="310" t="s">
        <v>201</v>
      </c>
      <c r="DH16" s="310" t="s">
        <v>201</v>
      </c>
      <c r="DI16" s="310" t="s">
        <v>201</v>
      </c>
      <c r="DJ16" s="310" t="s">
        <v>201</v>
      </c>
      <c r="DK16" s="310" t="s">
        <v>201</v>
      </c>
      <c r="DL16" s="310" t="s">
        <v>201</v>
      </c>
      <c r="DM16" s="310" t="s">
        <v>201</v>
      </c>
      <c r="DN16" s="310" t="s">
        <v>201</v>
      </c>
      <c r="DO16" s="310" t="s">
        <v>201</v>
      </c>
      <c r="DP16" s="310" t="s">
        <v>201</v>
      </c>
      <c r="DQ16" s="310" t="s">
        <v>201</v>
      </c>
      <c r="DR16" s="310" t="s">
        <v>201</v>
      </c>
      <c r="DS16" s="310" t="s">
        <v>201</v>
      </c>
      <c r="DT16" s="310" t="s">
        <v>201</v>
      </c>
      <c r="DU16" s="310" t="s">
        <v>201</v>
      </c>
      <c r="DV16" s="310" t="s">
        <v>201</v>
      </c>
      <c r="DW16" s="310" t="s">
        <v>201</v>
      </c>
      <c r="DX16" s="310" t="s">
        <v>201</v>
      </c>
      <c r="DY16" s="310" t="s">
        <v>201</v>
      </c>
      <c r="DZ16" s="310" t="s">
        <v>201</v>
      </c>
      <c r="EA16" s="310" t="s">
        <v>201</v>
      </c>
      <c r="EB16" s="310" t="s">
        <v>201</v>
      </c>
      <c r="EC16" s="310" t="s">
        <v>201</v>
      </c>
      <c r="ED16" s="310" t="s">
        <v>201</v>
      </c>
      <c r="EE16" s="310" t="s">
        <v>201</v>
      </c>
      <c r="EF16" s="310" t="s">
        <v>201</v>
      </c>
      <c r="EG16" s="310" t="s">
        <v>201</v>
      </c>
      <c r="EH16" s="310" t="s">
        <v>201</v>
      </c>
      <c r="EI16" s="310" t="s">
        <v>201</v>
      </c>
      <c r="EJ16" s="310" t="s">
        <v>201</v>
      </c>
      <c r="EK16" s="310" t="s">
        <v>201</v>
      </c>
      <c r="EL16" s="310" t="s">
        <v>201</v>
      </c>
      <c r="EM16" s="310" t="s">
        <v>201</v>
      </c>
      <c r="EN16" s="310" t="s">
        <v>201</v>
      </c>
      <c r="EO16" s="310" t="s">
        <v>201</v>
      </c>
      <c r="EP16" s="310" t="s">
        <v>201</v>
      </c>
      <c r="EQ16" s="310" t="s">
        <v>201</v>
      </c>
      <c r="ER16" s="310" t="s">
        <v>201</v>
      </c>
      <c r="ES16" s="310" t="s">
        <v>201</v>
      </c>
      <c r="ET16" s="310" t="s">
        <v>201</v>
      </c>
      <c r="EU16" s="310" t="s">
        <v>201</v>
      </c>
      <c r="EV16" s="310" t="s">
        <v>201</v>
      </c>
      <c r="EW16" s="310" t="s">
        <v>201</v>
      </c>
      <c r="EX16" s="310" t="s">
        <v>201</v>
      </c>
      <c r="EY16" s="310" t="s">
        <v>201</v>
      </c>
      <c r="EZ16" s="310" t="s">
        <v>201</v>
      </c>
      <c r="FA16" s="310" t="s">
        <v>201</v>
      </c>
      <c r="FB16" s="310" t="s">
        <v>201</v>
      </c>
      <c r="FC16" s="310" t="s">
        <v>201</v>
      </c>
      <c r="FD16" s="310" t="s">
        <v>201</v>
      </c>
      <c r="FE16" s="310" t="s">
        <v>201</v>
      </c>
      <c r="FF16" s="310" t="s">
        <v>201</v>
      </c>
      <c r="FG16" s="310" t="s">
        <v>201</v>
      </c>
      <c r="FH16" s="310" t="s">
        <v>201</v>
      </c>
      <c r="FI16" s="310" t="s">
        <v>201</v>
      </c>
      <c r="FJ16" s="310" t="s">
        <v>201</v>
      </c>
      <c r="FK16" s="310" t="s">
        <v>201</v>
      </c>
      <c r="FL16" s="310" t="s">
        <v>201</v>
      </c>
      <c r="FM16" s="310" t="s">
        <v>201</v>
      </c>
      <c r="FN16" s="310" t="s">
        <v>201</v>
      </c>
      <c r="FO16" s="310" t="s">
        <v>201</v>
      </c>
      <c r="FP16" s="310" t="s">
        <v>201</v>
      </c>
      <c r="FQ16" s="310" t="s">
        <v>201</v>
      </c>
      <c r="FR16" s="310" t="s">
        <v>201</v>
      </c>
      <c r="FS16" s="310" t="s">
        <v>201</v>
      </c>
      <c r="FT16" s="310" t="s">
        <v>201</v>
      </c>
      <c r="FU16" s="310" t="s">
        <v>201</v>
      </c>
      <c r="FV16" s="310" t="s">
        <v>201</v>
      </c>
      <c r="FW16" s="310" t="s">
        <v>201</v>
      </c>
      <c r="FX16" s="310" t="s">
        <v>201</v>
      </c>
      <c r="FY16" s="310" t="s">
        <v>201</v>
      </c>
      <c r="FZ16" s="310" t="s">
        <v>201</v>
      </c>
      <c r="GA16" s="310" t="s">
        <v>201</v>
      </c>
      <c r="GB16" s="310" t="s">
        <v>201</v>
      </c>
      <c r="GC16" s="310" t="s">
        <v>201</v>
      </c>
      <c r="GD16" s="310" t="s">
        <v>201</v>
      </c>
      <c r="GE16" s="310" t="s">
        <v>201</v>
      </c>
      <c r="GF16" s="310" t="s">
        <v>201</v>
      </c>
      <c r="GG16" s="310" t="s">
        <v>201</v>
      </c>
      <c r="GH16" s="310" t="s">
        <v>201</v>
      </c>
      <c r="GI16" s="310" t="s">
        <v>201</v>
      </c>
      <c r="GJ16" s="310" t="s">
        <v>201</v>
      </c>
      <c r="GK16" s="310" t="s">
        <v>201</v>
      </c>
      <c r="GL16" s="310" t="s">
        <v>201</v>
      </c>
      <c r="GM16" s="310" t="s">
        <v>201</v>
      </c>
      <c r="GN16" s="310" t="s">
        <v>201</v>
      </c>
      <c r="GO16" s="310" t="s">
        <v>201</v>
      </c>
      <c r="GP16" s="310" t="s">
        <v>201</v>
      </c>
      <c r="GQ16" s="310" t="s">
        <v>201</v>
      </c>
      <c r="GR16" s="310" t="s">
        <v>201</v>
      </c>
      <c r="GS16" s="310" t="s">
        <v>201</v>
      </c>
      <c r="GT16" s="310" t="s">
        <v>201</v>
      </c>
      <c r="GU16" s="310" t="s">
        <v>201</v>
      </c>
      <c r="GV16" s="310" t="s">
        <v>201</v>
      </c>
      <c r="GW16" s="310" t="s">
        <v>201</v>
      </c>
      <c r="GX16" s="310" t="s">
        <v>201</v>
      </c>
      <c r="GY16" s="310" t="s">
        <v>201</v>
      </c>
      <c r="GZ16" s="310" t="s">
        <v>201</v>
      </c>
      <c r="HA16" s="310" t="s">
        <v>201</v>
      </c>
      <c r="HB16" s="310" t="s">
        <v>201</v>
      </c>
      <c r="HC16" s="310" t="s">
        <v>201</v>
      </c>
      <c r="HD16" s="310" t="s">
        <v>201</v>
      </c>
      <c r="HE16" s="310" t="s">
        <v>201</v>
      </c>
      <c r="HF16" s="310" t="s">
        <v>201</v>
      </c>
      <c r="HG16" s="310" t="s">
        <v>201</v>
      </c>
      <c r="HH16" s="310" t="s">
        <v>201</v>
      </c>
      <c r="HI16" s="310" t="s">
        <v>201</v>
      </c>
      <c r="HJ16" s="310" t="s">
        <v>201</v>
      </c>
      <c r="HK16" s="310" t="s">
        <v>201</v>
      </c>
      <c r="HL16" s="310" t="s">
        <v>201</v>
      </c>
      <c r="HM16" s="310" t="s">
        <v>201</v>
      </c>
      <c r="HN16" s="310" t="s">
        <v>201</v>
      </c>
      <c r="HO16" s="310" t="s">
        <v>201</v>
      </c>
      <c r="HP16" s="310" t="s">
        <v>201</v>
      </c>
      <c r="HQ16" s="310" t="s">
        <v>201</v>
      </c>
      <c r="HR16" s="310" t="s">
        <v>201</v>
      </c>
      <c r="HS16" s="310" t="s">
        <v>201</v>
      </c>
      <c r="HT16" s="310" t="s">
        <v>201</v>
      </c>
      <c r="HU16" s="310" t="s">
        <v>201</v>
      </c>
      <c r="HV16" s="310" t="s">
        <v>201</v>
      </c>
      <c r="HW16" s="310" t="s">
        <v>201</v>
      </c>
      <c r="HX16" s="310" t="s">
        <v>201</v>
      </c>
      <c r="HY16" s="310" t="s">
        <v>201</v>
      </c>
      <c r="HZ16" s="310" t="s">
        <v>201</v>
      </c>
      <c r="IA16" s="310" t="s">
        <v>201</v>
      </c>
      <c r="IB16" s="310" t="s">
        <v>201</v>
      </c>
      <c r="IC16" s="310" t="s">
        <v>201</v>
      </c>
      <c r="ID16" s="310" t="s">
        <v>201</v>
      </c>
      <c r="IE16" s="310" t="s">
        <v>201</v>
      </c>
      <c r="IF16" s="310" t="s">
        <v>201</v>
      </c>
      <c r="IG16" s="310" t="s">
        <v>201</v>
      </c>
      <c r="IH16" s="310" t="s">
        <v>201</v>
      </c>
      <c r="II16" s="310" t="s">
        <v>201</v>
      </c>
      <c r="IJ16" s="310" t="s">
        <v>201</v>
      </c>
      <c r="IK16" s="310" t="s">
        <v>201</v>
      </c>
      <c r="IL16" s="310" t="s">
        <v>201</v>
      </c>
      <c r="IM16" s="310" t="s">
        <v>201</v>
      </c>
      <c r="IN16" s="310" t="s">
        <v>201</v>
      </c>
      <c r="IO16" s="310" t="s">
        <v>201</v>
      </c>
      <c r="IP16" s="310" t="s">
        <v>201</v>
      </c>
      <c r="IQ16" s="310" t="s">
        <v>201</v>
      </c>
      <c r="IR16" s="310" t="s">
        <v>201</v>
      </c>
      <c r="IS16" s="310" t="s">
        <v>201</v>
      </c>
      <c r="IT16" s="310" t="s">
        <v>201</v>
      </c>
      <c r="IU16" s="310" t="s">
        <v>201</v>
      </c>
      <c r="IV16" s="310" t="s">
        <v>201</v>
      </c>
      <c r="IW16" s="310" t="s">
        <v>201</v>
      </c>
      <c r="IX16" s="310" t="s">
        <v>201</v>
      </c>
      <c r="IY16" s="310" t="s">
        <v>201</v>
      </c>
      <c r="IZ16" s="310" t="s">
        <v>201</v>
      </c>
      <c r="JA16" s="310" t="s">
        <v>201</v>
      </c>
      <c r="JB16" s="310" t="s">
        <v>201</v>
      </c>
      <c r="JC16" s="310" t="s">
        <v>201</v>
      </c>
      <c r="JD16" s="310" t="s">
        <v>201</v>
      </c>
      <c r="JE16" s="310" t="s">
        <v>201</v>
      </c>
      <c r="JF16" s="310" t="s">
        <v>201</v>
      </c>
      <c r="JG16" s="310" t="s">
        <v>201</v>
      </c>
      <c r="JH16" s="310" t="s">
        <v>201</v>
      </c>
      <c r="JI16" s="310" t="s">
        <v>201</v>
      </c>
      <c r="JJ16" s="310" t="s">
        <v>201</v>
      </c>
      <c r="JK16" s="310" t="s">
        <v>201</v>
      </c>
      <c r="JL16" s="310" t="s">
        <v>201</v>
      </c>
      <c r="JM16" s="310" t="s">
        <v>201</v>
      </c>
      <c r="JN16" s="310" t="s">
        <v>201</v>
      </c>
      <c r="JO16" s="310" t="s">
        <v>201</v>
      </c>
      <c r="JP16" s="310" t="s">
        <v>201</v>
      </c>
      <c r="JQ16" s="310" t="s">
        <v>201</v>
      </c>
      <c r="JR16" s="310" t="s">
        <v>201</v>
      </c>
      <c r="JS16" s="310" t="s">
        <v>201</v>
      </c>
      <c r="JT16" s="310" t="s">
        <v>201</v>
      </c>
      <c r="JU16" s="310" t="s">
        <v>201</v>
      </c>
      <c r="JV16" s="310" t="s">
        <v>201</v>
      </c>
      <c r="JW16" s="310" t="s">
        <v>201</v>
      </c>
      <c r="JX16" s="310" t="s">
        <v>201</v>
      </c>
      <c r="JY16" s="310" t="s">
        <v>201</v>
      </c>
      <c r="JZ16" s="310" t="s">
        <v>201</v>
      </c>
      <c r="KA16" s="310" t="s">
        <v>201</v>
      </c>
      <c r="KB16" s="310" t="s">
        <v>201</v>
      </c>
      <c r="KC16" s="310" t="s">
        <v>201</v>
      </c>
      <c r="KD16" s="310" t="s">
        <v>201</v>
      </c>
      <c r="KE16" s="310" t="s">
        <v>201</v>
      </c>
      <c r="KF16" s="310" t="s">
        <v>201</v>
      </c>
      <c r="KG16" s="310" t="s">
        <v>201</v>
      </c>
      <c r="KH16" s="310" t="s">
        <v>201</v>
      </c>
      <c r="KI16" s="310" t="s">
        <v>201</v>
      </c>
      <c r="KJ16" s="310" t="s">
        <v>201</v>
      </c>
      <c r="KK16" s="310" t="s">
        <v>201</v>
      </c>
      <c r="KL16" s="310" t="s">
        <v>201</v>
      </c>
      <c r="KM16" s="310" t="s">
        <v>201</v>
      </c>
      <c r="KN16" s="310" t="s">
        <v>201</v>
      </c>
      <c r="KO16" s="310" t="s">
        <v>201</v>
      </c>
      <c r="KP16" s="310" t="s">
        <v>201</v>
      </c>
      <c r="KQ16" s="310" t="s">
        <v>201</v>
      </c>
      <c r="KR16" s="310" t="s">
        <v>201</v>
      </c>
      <c r="KS16" s="310" t="s">
        <v>201</v>
      </c>
      <c r="KT16" s="310" t="s">
        <v>201</v>
      </c>
      <c r="KU16" s="310" t="s">
        <v>201</v>
      </c>
      <c r="KV16" s="310" t="s">
        <v>201</v>
      </c>
      <c r="KW16" s="310" t="s">
        <v>201</v>
      </c>
      <c r="KX16" s="310" t="s">
        <v>201</v>
      </c>
      <c r="KY16" s="310" t="s">
        <v>201</v>
      </c>
      <c r="KZ16" s="310" t="s">
        <v>201</v>
      </c>
      <c r="LA16" s="310" t="s">
        <v>201</v>
      </c>
      <c r="LB16" s="310" t="s">
        <v>201</v>
      </c>
      <c r="LC16" s="310" t="s">
        <v>201</v>
      </c>
      <c r="LD16" s="310" t="s">
        <v>201</v>
      </c>
      <c r="LE16" s="310" t="s">
        <v>201</v>
      </c>
      <c r="LF16" s="310" t="s">
        <v>201</v>
      </c>
      <c r="LG16" s="310" t="s">
        <v>201</v>
      </c>
      <c r="LH16" s="310" t="s">
        <v>201</v>
      </c>
      <c r="LI16" s="310" t="s">
        <v>201</v>
      </c>
      <c r="LJ16" s="310" t="s">
        <v>201</v>
      </c>
      <c r="LK16" s="310" t="s">
        <v>201</v>
      </c>
      <c r="LL16" s="310" t="s">
        <v>201</v>
      </c>
      <c r="LM16" s="310" t="s">
        <v>201</v>
      </c>
      <c r="LN16" s="310" t="s">
        <v>201</v>
      </c>
      <c r="LO16" s="310" t="s">
        <v>201</v>
      </c>
      <c r="LP16" s="310" t="s">
        <v>201</v>
      </c>
      <c r="LQ16" s="310" t="s">
        <v>201</v>
      </c>
      <c r="LR16" s="310" t="s">
        <v>201</v>
      </c>
      <c r="LS16" s="310" t="s">
        <v>201</v>
      </c>
      <c r="LT16" s="310" t="s">
        <v>201</v>
      </c>
      <c r="LU16" s="310" t="s">
        <v>201</v>
      </c>
      <c r="LV16" s="310" t="s">
        <v>201</v>
      </c>
      <c r="LW16" s="310" t="s">
        <v>201</v>
      </c>
      <c r="LX16" s="310" t="s">
        <v>201</v>
      </c>
      <c r="LY16" s="310" t="s">
        <v>201</v>
      </c>
      <c r="LZ16" s="310" t="s">
        <v>201</v>
      </c>
      <c r="MA16" s="310" t="s">
        <v>201</v>
      </c>
      <c r="MB16" s="310" t="s">
        <v>201</v>
      </c>
      <c r="MC16" s="310" t="s">
        <v>201</v>
      </c>
      <c r="MD16" s="310" t="s">
        <v>201</v>
      </c>
      <c r="ME16" s="310" t="s">
        <v>201</v>
      </c>
      <c r="MF16" s="310" t="s">
        <v>201</v>
      </c>
      <c r="MG16" s="310" t="s">
        <v>201</v>
      </c>
      <c r="MH16" s="310" t="s">
        <v>201</v>
      </c>
      <c r="MI16" s="310" t="s">
        <v>201</v>
      </c>
      <c r="MJ16" s="310" t="s">
        <v>201</v>
      </c>
      <c r="MK16" s="310" t="s">
        <v>201</v>
      </c>
      <c r="ML16" s="310" t="s">
        <v>201</v>
      </c>
      <c r="MM16" s="310" t="s">
        <v>201</v>
      </c>
      <c r="MN16" s="310" t="s">
        <v>201</v>
      </c>
      <c r="MO16" s="310" t="s">
        <v>201</v>
      </c>
      <c r="MP16" s="310" t="s">
        <v>201</v>
      </c>
      <c r="MQ16" s="310" t="s">
        <v>201</v>
      </c>
      <c r="MR16" s="310" t="s">
        <v>201</v>
      </c>
      <c r="MS16" s="310" t="s">
        <v>201</v>
      </c>
      <c r="MT16" s="310" t="s">
        <v>201</v>
      </c>
      <c r="MU16" s="310" t="s">
        <v>201</v>
      </c>
      <c r="MV16" s="310" t="s">
        <v>201</v>
      </c>
      <c r="MW16" s="310" t="s">
        <v>201</v>
      </c>
      <c r="MX16" s="310" t="s">
        <v>201</v>
      </c>
      <c r="MY16" s="310" t="s">
        <v>201</v>
      </c>
      <c r="MZ16" s="310" t="s">
        <v>201</v>
      </c>
      <c r="NA16" s="310" t="s">
        <v>201</v>
      </c>
      <c r="NB16" s="310" t="s">
        <v>201</v>
      </c>
      <c r="NC16" s="310" t="s">
        <v>201</v>
      </c>
      <c r="ND16" s="310" t="s">
        <v>201</v>
      </c>
      <c r="NE16" s="310" t="s">
        <v>201</v>
      </c>
      <c r="NF16" s="310" t="s">
        <v>201</v>
      </c>
      <c r="NG16" s="310" t="s">
        <v>201</v>
      </c>
      <c r="NH16" s="310" t="s">
        <v>201</v>
      </c>
      <c r="NI16" s="310" t="s">
        <v>201</v>
      </c>
      <c r="NJ16" s="310" t="s">
        <v>201</v>
      </c>
      <c r="NK16" s="310" t="s">
        <v>201</v>
      </c>
      <c r="NL16" s="310" t="s">
        <v>201</v>
      </c>
      <c r="NM16" s="310" t="s">
        <v>201</v>
      </c>
      <c r="NN16" s="310" t="s">
        <v>201</v>
      </c>
      <c r="NO16" s="310" t="s">
        <v>201</v>
      </c>
      <c r="NP16" s="310" t="s">
        <v>201</v>
      </c>
      <c r="NQ16" s="310" t="s">
        <v>201</v>
      </c>
      <c r="NR16" s="310" t="s">
        <v>201</v>
      </c>
      <c r="NS16" s="310" t="s">
        <v>201</v>
      </c>
      <c r="NT16" s="310" t="s">
        <v>201</v>
      </c>
      <c r="NU16" s="310" t="s">
        <v>201</v>
      </c>
      <c r="NV16" s="310" t="s">
        <v>201</v>
      </c>
      <c r="NW16" s="310" t="s">
        <v>201</v>
      </c>
      <c r="NX16" s="310" t="s">
        <v>201</v>
      </c>
      <c r="NY16" s="310" t="s">
        <v>201</v>
      </c>
      <c r="NZ16" s="310" t="s">
        <v>201</v>
      </c>
      <c r="OA16" s="310" t="s">
        <v>201</v>
      </c>
      <c r="OB16" s="310" t="s">
        <v>201</v>
      </c>
      <c r="OC16" s="310" t="s">
        <v>201</v>
      </c>
      <c r="OD16" s="310" t="s">
        <v>201</v>
      </c>
      <c r="OE16" s="310" t="s">
        <v>201</v>
      </c>
      <c r="OF16" s="310" t="s">
        <v>201</v>
      </c>
      <c r="OG16" s="310" t="s">
        <v>201</v>
      </c>
      <c r="OH16" s="310" t="s">
        <v>201</v>
      </c>
      <c r="OI16" s="310" t="s">
        <v>201</v>
      </c>
      <c r="OJ16" s="310" t="s">
        <v>201</v>
      </c>
      <c r="OK16" s="310" t="s">
        <v>201</v>
      </c>
      <c r="OL16" s="310" t="s">
        <v>201</v>
      </c>
      <c r="OM16" s="310" t="s">
        <v>201</v>
      </c>
      <c r="ON16" s="310" t="s">
        <v>201</v>
      </c>
      <c r="OO16" s="310" t="s">
        <v>201</v>
      </c>
      <c r="OP16" s="310" t="s">
        <v>201</v>
      </c>
      <c r="OQ16" s="310" t="s">
        <v>201</v>
      </c>
      <c r="OR16" s="310" t="s">
        <v>201</v>
      </c>
      <c r="OS16" s="310" t="s">
        <v>201</v>
      </c>
      <c r="OT16" s="310" t="s">
        <v>201</v>
      </c>
      <c r="OU16" s="310" t="s">
        <v>201</v>
      </c>
      <c r="OV16" s="310" t="s">
        <v>201</v>
      </c>
      <c r="OW16" s="310" t="s">
        <v>201</v>
      </c>
      <c r="OX16" s="310" t="s">
        <v>201</v>
      </c>
      <c r="OY16" s="310" t="s">
        <v>201</v>
      </c>
      <c r="OZ16" s="310" t="s">
        <v>201</v>
      </c>
      <c r="PA16" s="310" t="s">
        <v>201</v>
      </c>
      <c r="PB16" s="310" t="s">
        <v>201</v>
      </c>
      <c r="PC16" s="310" t="s">
        <v>201</v>
      </c>
      <c r="PD16" s="310" t="s">
        <v>201</v>
      </c>
      <c r="PE16" s="310" t="s">
        <v>201</v>
      </c>
      <c r="PF16" s="310" t="s">
        <v>201</v>
      </c>
      <c r="PG16" s="310" t="s">
        <v>201</v>
      </c>
      <c r="PH16" s="310" t="s">
        <v>201</v>
      </c>
      <c r="PI16" s="310" t="s">
        <v>201</v>
      </c>
      <c r="PJ16" s="310" t="s">
        <v>201</v>
      </c>
      <c r="PK16" s="310" t="s">
        <v>201</v>
      </c>
      <c r="PL16" s="310" t="s">
        <v>201</v>
      </c>
      <c r="PM16" s="310" t="s">
        <v>201</v>
      </c>
      <c r="PN16" s="310" t="s">
        <v>201</v>
      </c>
      <c r="PO16" s="310" t="s">
        <v>201</v>
      </c>
      <c r="PP16" s="310" t="s">
        <v>201</v>
      </c>
      <c r="PQ16" s="310" t="s">
        <v>201</v>
      </c>
      <c r="PR16" s="310" t="s">
        <v>201</v>
      </c>
      <c r="PS16" s="310" t="s">
        <v>201</v>
      </c>
      <c r="PT16" s="310" t="s">
        <v>201</v>
      </c>
      <c r="PU16" s="310" t="s">
        <v>201</v>
      </c>
      <c r="PV16" s="310" t="s">
        <v>201</v>
      </c>
      <c r="PW16" s="310" t="s">
        <v>201</v>
      </c>
      <c r="PX16" s="310" t="s">
        <v>201</v>
      </c>
      <c r="PY16" s="310" t="s">
        <v>201</v>
      </c>
      <c r="PZ16" s="310" t="s">
        <v>201</v>
      </c>
      <c r="QA16" s="310" t="s">
        <v>201</v>
      </c>
      <c r="QB16" s="310" t="s">
        <v>201</v>
      </c>
      <c r="QC16" s="310" t="s">
        <v>201</v>
      </c>
      <c r="QD16" s="310" t="s">
        <v>201</v>
      </c>
      <c r="QE16" s="310" t="s">
        <v>201</v>
      </c>
      <c r="QF16" s="310" t="s">
        <v>201</v>
      </c>
      <c r="QG16" s="310" t="s">
        <v>201</v>
      </c>
      <c r="QH16" s="310" t="s">
        <v>201</v>
      </c>
      <c r="QI16" s="310" t="s">
        <v>201</v>
      </c>
      <c r="QJ16" s="310" t="s">
        <v>201</v>
      </c>
      <c r="QK16" s="310" t="s">
        <v>201</v>
      </c>
      <c r="QL16" s="310" t="s">
        <v>201</v>
      </c>
      <c r="QM16" s="310" t="s">
        <v>201</v>
      </c>
      <c r="QN16" s="310" t="s">
        <v>201</v>
      </c>
      <c r="QO16" s="310" t="s">
        <v>201</v>
      </c>
      <c r="QP16" s="310" t="s">
        <v>201</v>
      </c>
      <c r="QQ16" s="310" t="s">
        <v>201</v>
      </c>
      <c r="QR16" s="310" t="s">
        <v>201</v>
      </c>
      <c r="QS16" s="310" t="s">
        <v>201</v>
      </c>
      <c r="QT16" s="310" t="s">
        <v>201</v>
      </c>
      <c r="QU16" s="310" t="s">
        <v>201</v>
      </c>
      <c r="QV16" s="310" t="s">
        <v>201</v>
      </c>
      <c r="QW16" s="310" t="s">
        <v>201</v>
      </c>
      <c r="QX16" s="310" t="s">
        <v>201</v>
      </c>
      <c r="QY16" s="310" t="s">
        <v>201</v>
      </c>
      <c r="QZ16" s="310" t="s">
        <v>201</v>
      </c>
      <c r="RA16" s="310" t="s">
        <v>201</v>
      </c>
      <c r="RB16" s="310" t="s">
        <v>201</v>
      </c>
      <c r="RC16" s="310" t="s">
        <v>201</v>
      </c>
      <c r="RD16" s="310" t="s">
        <v>201</v>
      </c>
      <c r="RE16" s="310" t="s">
        <v>201</v>
      </c>
      <c r="RF16" s="310" t="s">
        <v>201</v>
      </c>
      <c r="RG16" s="310" t="s">
        <v>201</v>
      </c>
      <c r="RH16" s="310" t="s">
        <v>201</v>
      </c>
      <c r="RI16" s="310" t="s">
        <v>201</v>
      </c>
      <c r="RJ16" s="310" t="s">
        <v>201</v>
      </c>
      <c r="RK16" s="310" t="s">
        <v>201</v>
      </c>
      <c r="RL16" s="310" t="s">
        <v>201</v>
      </c>
      <c r="RM16" s="310" t="s">
        <v>201</v>
      </c>
      <c r="RN16" s="310" t="s">
        <v>201</v>
      </c>
      <c r="RO16" s="310" t="s">
        <v>201</v>
      </c>
      <c r="RP16" s="310" t="s">
        <v>201</v>
      </c>
      <c r="RQ16" s="310" t="s">
        <v>201</v>
      </c>
      <c r="RR16" s="310" t="s">
        <v>201</v>
      </c>
      <c r="RS16" s="310" t="s">
        <v>201</v>
      </c>
      <c r="RT16" s="310" t="s">
        <v>201</v>
      </c>
      <c r="RU16" s="310" t="s">
        <v>201</v>
      </c>
      <c r="RV16" s="310" t="s">
        <v>201</v>
      </c>
      <c r="RW16" s="310" t="s">
        <v>201</v>
      </c>
      <c r="RX16" s="310" t="s">
        <v>201</v>
      </c>
      <c r="RY16" s="310" t="s">
        <v>201</v>
      </c>
      <c r="RZ16" s="310" t="s">
        <v>201</v>
      </c>
      <c r="SA16" s="310" t="s">
        <v>201</v>
      </c>
      <c r="SB16" s="310" t="s">
        <v>201</v>
      </c>
      <c r="SC16" s="310" t="s">
        <v>201</v>
      </c>
      <c r="SD16" s="310" t="s">
        <v>201</v>
      </c>
      <c r="SE16" s="310" t="s">
        <v>201</v>
      </c>
      <c r="SF16" s="310" t="s">
        <v>201</v>
      </c>
      <c r="SG16" s="310" t="s">
        <v>201</v>
      </c>
      <c r="SH16" s="310" t="s">
        <v>201</v>
      </c>
      <c r="SI16" s="310" t="s">
        <v>201</v>
      </c>
      <c r="SJ16" s="310" t="s">
        <v>201</v>
      </c>
      <c r="SK16" s="310" t="s">
        <v>201</v>
      </c>
      <c r="SL16" s="310" t="s">
        <v>201</v>
      </c>
      <c r="SM16" s="310" t="s">
        <v>201</v>
      </c>
      <c r="SN16" s="310" t="s">
        <v>201</v>
      </c>
      <c r="SO16" s="310" t="s">
        <v>201</v>
      </c>
      <c r="SP16" s="310" t="s">
        <v>201</v>
      </c>
      <c r="SQ16" s="310" t="s">
        <v>201</v>
      </c>
      <c r="SR16" s="310" t="s">
        <v>201</v>
      </c>
      <c r="SS16" s="310" t="s">
        <v>201</v>
      </c>
      <c r="ST16" s="310" t="s">
        <v>201</v>
      </c>
      <c r="SU16" s="310" t="s">
        <v>201</v>
      </c>
      <c r="SV16" s="310" t="s">
        <v>201</v>
      </c>
      <c r="SW16" s="310" t="s">
        <v>201</v>
      </c>
      <c r="SX16" s="310" t="s">
        <v>201</v>
      </c>
      <c r="SY16" s="310" t="s">
        <v>201</v>
      </c>
      <c r="SZ16" s="310" t="s">
        <v>201</v>
      </c>
      <c r="TA16" s="310" t="s">
        <v>201</v>
      </c>
      <c r="TB16" s="310" t="s">
        <v>201</v>
      </c>
      <c r="TC16" s="310" t="s">
        <v>201</v>
      </c>
      <c r="TD16" s="310" t="s">
        <v>201</v>
      </c>
      <c r="TE16" s="310" t="s">
        <v>201</v>
      </c>
      <c r="TF16" s="310" t="s">
        <v>201</v>
      </c>
      <c r="TG16" s="310" t="s">
        <v>201</v>
      </c>
      <c r="TH16" s="310" t="s">
        <v>201</v>
      </c>
      <c r="TI16" s="310" t="s">
        <v>201</v>
      </c>
      <c r="TJ16" s="310" t="s">
        <v>201</v>
      </c>
      <c r="TK16" s="310" t="s">
        <v>201</v>
      </c>
      <c r="TL16" s="310" t="s">
        <v>201</v>
      </c>
      <c r="TM16" s="310" t="s">
        <v>201</v>
      </c>
      <c r="TN16" s="310" t="s">
        <v>201</v>
      </c>
      <c r="TO16" s="310" t="s">
        <v>201</v>
      </c>
      <c r="TP16" s="310" t="s">
        <v>201</v>
      </c>
      <c r="TQ16" s="310" t="s">
        <v>201</v>
      </c>
      <c r="TR16" s="310" t="s">
        <v>201</v>
      </c>
      <c r="TS16" s="310" t="s">
        <v>201</v>
      </c>
      <c r="TT16" s="310" t="s">
        <v>201</v>
      </c>
      <c r="TU16" s="310" t="s">
        <v>201</v>
      </c>
      <c r="TV16" s="310" t="s">
        <v>201</v>
      </c>
      <c r="TW16" s="310" t="s">
        <v>201</v>
      </c>
      <c r="TX16" s="310" t="s">
        <v>201</v>
      </c>
      <c r="TY16" s="310" t="s">
        <v>201</v>
      </c>
      <c r="TZ16" s="310" t="s">
        <v>201</v>
      </c>
      <c r="UA16" s="310" t="s">
        <v>201</v>
      </c>
      <c r="UB16" s="310" t="s">
        <v>201</v>
      </c>
      <c r="UC16" s="310" t="s">
        <v>201</v>
      </c>
      <c r="UD16" s="310" t="s">
        <v>201</v>
      </c>
      <c r="UE16" s="310" t="s">
        <v>201</v>
      </c>
      <c r="UF16" s="310" t="s">
        <v>201</v>
      </c>
      <c r="UG16" s="310" t="s">
        <v>201</v>
      </c>
      <c r="UH16" s="310" t="s">
        <v>201</v>
      </c>
      <c r="UI16" s="310" t="s">
        <v>201</v>
      </c>
      <c r="UJ16" s="310" t="s">
        <v>201</v>
      </c>
      <c r="UK16" s="310" t="s">
        <v>201</v>
      </c>
      <c r="UL16" s="310" t="s">
        <v>201</v>
      </c>
      <c r="UM16" s="310" t="s">
        <v>201</v>
      </c>
      <c r="UN16" s="310" t="s">
        <v>201</v>
      </c>
      <c r="UO16" s="310" t="s">
        <v>201</v>
      </c>
      <c r="UP16" s="310" t="s">
        <v>201</v>
      </c>
      <c r="UQ16" s="310" t="s">
        <v>201</v>
      </c>
      <c r="UR16" s="310" t="s">
        <v>201</v>
      </c>
      <c r="US16" s="310" t="s">
        <v>201</v>
      </c>
      <c r="UT16" s="310" t="s">
        <v>201</v>
      </c>
      <c r="UU16" s="310" t="s">
        <v>201</v>
      </c>
      <c r="UV16" s="310" t="s">
        <v>201</v>
      </c>
      <c r="UW16" s="310" t="s">
        <v>201</v>
      </c>
      <c r="UX16" s="310" t="s">
        <v>201</v>
      </c>
      <c r="UY16" s="310" t="s">
        <v>201</v>
      </c>
      <c r="UZ16" s="310" t="s">
        <v>201</v>
      </c>
      <c r="VA16" s="310" t="s">
        <v>201</v>
      </c>
      <c r="VB16" s="310" t="s">
        <v>201</v>
      </c>
      <c r="VC16" s="310" t="s">
        <v>201</v>
      </c>
      <c r="VD16" s="310" t="s">
        <v>201</v>
      </c>
      <c r="VE16" s="310" t="s">
        <v>201</v>
      </c>
      <c r="VF16" s="310" t="s">
        <v>201</v>
      </c>
      <c r="VG16" s="310" t="s">
        <v>201</v>
      </c>
      <c r="VH16" s="310" t="s">
        <v>201</v>
      </c>
      <c r="VI16" s="310" t="s">
        <v>201</v>
      </c>
      <c r="VJ16" s="310" t="s">
        <v>201</v>
      </c>
      <c r="VK16" s="310" t="s">
        <v>201</v>
      </c>
      <c r="VL16" s="310" t="s">
        <v>201</v>
      </c>
      <c r="VM16" s="310" t="s">
        <v>201</v>
      </c>
      <c r="VN16" s="310" t="s">
        <v>201</v>
      </c>
      <c r="VO16" s="310" t="s">
        <v>201</v>
      </c>
      <c r="VP16" s="310" t="s">
        <v>201</v>
      </c>
      <c r="VQ16" s="310" t="s">
        <v>201</v>
      </c>
      <c r="VR16" s="310" t="s">
        <v>201</v>
      </c>
      <c r="VS16" s="310" t="s">
        <v>201</v>
      </c>
      <c r="VT16" s="310" t="s">
        <v>201</v>
      </c>
      <c r="VU16" s="310" t="s">
        <v>201</v>
      </c>
      <c r="VV16" s="310" t="s">
        <v>201</v>
      </c>
      <c r="VW16" s="310" t="s">
        <v>201</v>
      </c>
      <c r="VX16" s="310" t="s">
        <v>201</v>
      </c>
      <c r="VY16" s="310" t="s">
        <v>201</v>
      </c>
      <c r="VZ16" s="310" t="s">
        <v>201</v>
      </c>
      <c r="WA16" s="310" t="s">
        <v>201</v>
      </c>
      <c r="WB16" s="310" t="s">
        <v>201</v>
      </c>
      <c r="WC16" s="310" t="s">
        <v>201</v>
      </c>
      <c r="WD16" s="310" t="s">
        <v>201</v>
      </c>
      <c r="WE16" s="310" t="s">
        <v>201</v>
      </c>
      <c r="WF16" s="310" t="s">
        <v>201</v>
      </c>
      <c r="WG16" s="310" t="s">
        <v>201</v>
      </c>
      <c r="WH16" s="310" t="s">
        <v>201</v>
      </c>
      <c r="WI16" s="310" t="s">
        <v>201</v>
      </c>
      <c r="WJ16" s="310" t="s">
        <v>201</v>
      </c>
      <c r="WK16" s="310" t="s">
        <v>201</v>
      </c>
      <c r="WL16" s="310" t="s">
        <v>201</v>
      </c>
      <c r="WM16" s="310" t="s">
        <v>201</v>
      </c>
      <c r="WN16" s="310" t="s">
        <v>201</v>
      </c>
      <c r="WO16" s="310" t="s">
        <v>201</v>
      </c>
      <c r="WP16" s="310" t="s">
        <v>201</v>
      </c>
      <c r="WQ16" s="310" t="s">
        <v>201</v>
      </c>
      <c r="WR16" s="310" t="s">
        <v>201</v>
      </c>
      <c r="WS16" s="310" t="s">
        <v>201</v>
      </c>
      <c r="WT16" s="310" t="s">
        <v>201</v>
      </c>
      <c r="WU16" s="310" t="s">
        <v>201</v>
      </c>
      <c r="WV16" s="310" t="s">
        <v>201</v>
      </c>
      <c r="WW16" s="310" t="s">
        <v>201</v>
      </c>
      <c r="WX16" s="310" t="s">
        <v>201</v>
      </c>
      <c r="WY16" s="310" t="s">
        <v>201</v>
      </c>
      <c r="WZ16" s="310" t="s">
        <v>201</v>
      </c>
      <c r="XA16" s="310" t="s">
        <v>201</v>
      </c>
      <c r="XB16" s="310" t="s">
        <v>201</v>
      </c>
      <c r="XC16" s="310" t="s">
        <v>201</v>
      </c>
      <c r="XD16" s="310" t="s">
        <v>201</v>
      </c>
      <c r="XE16" s="310" t="s">
        <v>201</v>
      </c>
      <c r="XF16" s="310" t="s">
        <v>201</v>
      </c>
      <c r="XG16" s="310" t="s">
        <v>201</v>
      </c>
      <c r="XH16" s="310" t="s">
        <v>201</v>
      </c>
      <c r="XI16" s="310" t="s">
        <v>201</v>
      </c>
      <c r="XJ16" s="310" t="s">
        <v>201</v>
      </c>
      <c r="XK16" s="310" t="s">
        <v>201</v>
      </c>
      <c r="XL16" s="310" t="s">
        <v>201</v>
      </c>
      <c r="XM16" s="310" t="s">
        <v>201</v>
      </c>
      <c r="XN16" s="310" t="s">
        <v>201</v>
      </c>
      <c r="XO16" s="310" t="s">
        <v>201</v>
      </c>
      <c r="XP16" s="310" t="s">
        <v>201</v>
      </c>
      <c r="XQ16" s="310" t="s">
        <v>201</v>
      </c>
      <c r="XR16" s="310" t="s">
        <v>201</v>
      </c>
      <c r="XS16" s="310" t="s">
        <v>201</v>
      </c>
      <c r="XT16" s="310" t="s">
        <v>201</v>
      </c>
      <c r="XU16" s="310" t="s">
        <v>201</v>
      </c>
      <c r="XV16" s="310" t="s">
        <v>201</v>
      </c>
      <c r="XW16" s="310" t="s">
        <v>201</v>
      </c>
      <c r="XX16" s="310" t="s">
        <v>201</v>
      </c>
      <c r="XY16" s="310" t="s">
        <v>201</v>
      </c>
      <c r="XZ16" s="310" t="s">
        <v>201</v>
      </c>
      <c r="YA16" s="310" t="s">
        <v>201</v>
      </c>
      <c r="YB16" s="310" t="s">
        <v>201</v>
      </c>
      <c r="YC16" s="310" t="s">
        <v>201</v>
      </c>
      <c r="YD16" s="310" t="s">
        <v>201</v>
      </c>
      <c r="YE16" s="310" t="s">
        <v>201</v>
      </c>
      <c r="YF16" s="310" t="s">
        <v>201</v>
      </c>
      <c r="YG16" s="310" t="s">
        <v>201</v>
      </c>
      <c r="YH16" s="310" t="s">
        <v>201</v>
      </c>
      <c r="YI16" s="310" t="s">
        <v>201</v>
      </c>
      <c r="YJ16" s="310" t="s">
        <v>201</v>
      </c>
      <c r="YK16" s="310" t="s">
        <v>201</v>
      </c>
      <c r="YL16" s="310" t="s">
        <v>201</v>
      </c>
      <c r="YM16" s="310" t="s">
        <v>201</v>
      </c>
      <c r="YN16" s="310" t="s">
        <v>201</v>
      </c>
      <c r="YO16" s="310" t="s">
        <v>201</v>
      </c>
      <c r="YP16" s="310" t="s">
        <v>201</v>
      </c>
      <c r="YQ16" s="310" t="s">
        <v>201</v>
      </c>
      <c r="YR16" s="310" t="s">
        <v>201</v>
      </c>
      <c r="YS16" s="310" t="s">
        <v>201</v>
      </c>
      <c r="YT16" s="310" t="s">
        <v>201</v>
      </c>
      <c r="YU16" s="310" t="s">
        <v>201</v>
      </c>
      <c r="YV16" s="310" t="s">
        <v>201</v>
      </c>
      <c r="YW16" s="310" t="s">
        <v>201</v>
      </c>
      <c r="YX16" s="310" t="s">
        <v>201</v>
      </c>
      <c r="YY16" s="310" t="s">
        <v>201</v>
      </c>
      <c r="YZ16" s="310" t="s">
        <v>201</v>
      </c>
      <c r="ZA16" s="310" t="s">
        <v>201</v>
      </c>
      <c r="ZB16" s="310" t="s">
        <v>201</v>
      </c>
      <c r="ZC16" s="310" t="s">
        <v>201</v>
      </c>
      <c r="ZD16" s="310" t="s">
        <v>201</v>
      </c>
      <c r="ZE16" s="310" t="s">
        <v>201</v>
      </c>
      <c r="ZF16" s="310" t="s">
        <v>201</v>
      </c>
      <c r="ZG16" s="310" t="s">
        <v>201</v>
      </c>
      <c r="ZH16" s="310" t="s">
        <v>201</v>
      </c>
      <c r="ZI16" s="310" t="s">
        <v>201</v>
      </c>
      <c r="ZJ16" s="310" t="s">
        <v>201</v>
      </c>
      <c r="ZK16" s="310" t="s">
        <v>201</v>
      </c>
      <c r="ZL16" s="310" t="s">
        <v>201</v>
      </c>
      <c r="ZM16" s="310" t="s">
        <v>201</v>
      </c>
      <c r="ZN16" s="310" t="s">
        <v>201</v>
      </c>
      <c r="ZO16" s="310" t="s">
        <v>201</v>
      </c>
      <c r="ZP16" s="310" t="s">
        <v>201</v>
      </c>
      <c r="ZQ16" s="310" t="s">
        <v>201</v>
      </c>
      <c r="ZR16" s="310" t="s">
        <v>201</v>
      </c>
      <c r="ZS16" s="310" t="s">
        <v>201</v>
      </c>
      <c r="ZT16" s="310" t="s">
        <v>201</v>
      </c>
      <c r="ZU16" s="310" t="s">
        <v>201</v>
      </c>
      <c r="ZV16" s="310" t="s">
        <v>201</v>
      </c>
      <c r="ZW16" s="310" t="s">
        <v>201</v>
      </c>
      <c r="ZX16" s="310" t="s">
        <v>201</v>
      </c>
      <c r="ZY16" s="310" t="s">
        <v>201</v>
      </c>
      <c r="ZZ16" s="310" t="s">
        <v>201</v>
      </c>
      <c r="AAA16" s="310" t="s">
        <v>201</v>
      </c>
      <c r="AAB16" s="310" t="s">
        <v>201</v>
      </c>
      <c r="AAC16" s="310" t="s">
        <v>201</v>
      </c>
      <c r="AAD16" s="310" t="s">
        <v>201</v>
      </c>
      <c r="AAE16" s="310" t="s">
        <v>201</v>
      </c>
      <c r="AAF16" s="310" t="s">
        <v>201</v>
      </c>
      <c r="AAG16" s="310" t="s">
        <v>201</v>
      </c>
      <c r="AAH16" s="310" t="s">
        <v>201</v>
      </c>
      <c r="AAI16" s="310" t="s">
        <v>201</v>
      </c>
      <c r="AAJ16" s="310" t="s">
        <v>201</v>
      </c>
      <c r="AAK16" s="310" t="s">
        <v>201</v>
      </c>
      <c r="AAL16" s="310" t="s">
        <v>201</v>
      </c>
      <c r="AAM16" s="310" t="s">
        <v>201</v>
      </c>
      <c r="AAN16" s="310" t="s">
        <v>201</v>
      </c>
      <c r="AAO16" s="310" t="s">
        <v>201</v>
      </c>
      <c r="AAP16" s="310" t="s">
        <v>201</v>
      </c>
      <c r="AAQ16" s="310" t="s">
        <v>201</v>
      </c>
      <c r="AAR16" s="310" t="s">
        <v>201</v>
      </c>
      <c r="AAS16" s="310" t="s">
        <v>201</v>
      </c>
      <c r="AAT16" s="310" t="s">
        <v>201</v>
      </c>
      <c r="AAU16" s="310" t="s">
        <v>201</v>
      </c>
      <c r="AAV16" s="310" t="s">
        <v>201</v>
      </c>
      <c r="AAW16" s="310" t="s">
        <v>201</v>
      </c>
      <c r="AAX16" s="310" t="s">
        <v>201</v>
      </c>
      <c r="AAY16" s="310" t="s">
        <v>201</v>
      </c>
      <c r="AAZ16" s="310" t="s">
        <v>201</v>
      </c>
      <c r="ABA16" s="310" t="s">
        <v>201</v>
      </c>
      <c r="ABB16" s="310" t="s">
        <v>201</v>
      </c>
      <c r="ABC16" s="310" t="s">
        <v>201</v>
      </c>
      <c r="ABD16" s="310" t="s">
        <v>201</v>
      </c>
      <c r="ABE16" s="310" t="s">
        <v>201</v>
      </c>
      <c r="ABF16" s="310" t="s">
        <v>201</v>
      </c>
      <c r="ABG16" s="310" t="s">
        <v>201</v>
      </c>
      <c r="ABH16" s="310" t="s">
        <v>201</v>
      </c>
      <c r="ABI16" s="310" t="s">
        <v>201</v>
      </c>
      <c r="ABJ16" s="310" t="s">
        <v>201</v>
      </c>
      <c r="ABK16" s="310" t="s">
        <v>201</v>
      </c>
      <c r="ABL16" s="310" t="s">
        <v>201</v>
      </c>
      <c r="ABM16" s="310" t="s">
        <v>201</v>
      </c>
      <c r="ABN16" s="310" t="s">
        <v>201</v>
      </c>
      <c r="ABO16" s="310" t="s">
        <v>201</v>
      </c>
      <c r="ABP16" s="310" t="s">
        <v>201</v>
      </c>
      <c r="ABQ16" s="310" t="s">
        <v>201</v>
      </c>
      <c r="ABR16" s="310" t="s">
        <v>201</v>
      </c>
      <c r="ABS16" s="310" t="s">
        <v>201</v>
      </c>
      <c r="ABT16" s="310" t="s">
        <v>201</v>
      </c>
      <c r="ABU16" s="310" t="s">
        <v>201</v>
      </c>
      <c r="ABV16" s="310" t="s">
        <v>201</v>
      </c>
      <c r="ABW16" s="310" t="s">
        <v>201</v>
      </c>
      <c r="ABX16" s="310" t="s">
        <v>201</v>
      </c>
      <c r="ABY16" s="310" t="s">
        <v>201</v>
      </c>
      <c r="ABZ16" s="310" t="s">
        <v>201</v>
      </c>
      <c r="ACA16" s="310" t="s">
        <v>201</v>
      </c>
      <c r="ACB16" s="310" t="s">
        <v>201</v>
      </c>
      <c r="ACC16" s="310" t="s">
        <v>201</v>
      </c>
      <c r="ACD16" s="310" t="s">
        <v>201</v>
      </c>
      <c r="ACE16" s="310" t="s">
        <v>201</v>
      </c>
      <c r="ACF16" s="310" t="s">
        <v>201</v>
      </c>
      <c r="ACG16" s="310" t="s">
        <v>201</v>
      </c>
      <c r="ACH16" s="310" t="s">
        <v>201</v>
      </c>
      <c r="ACI16" s="310" t="s">
        <v>201</v>
      </c>
      <c r="ACJ16" s="310" t="s">
        <v>201</v>
      </c>
      <c r="ACK16" s="310" t="s">
        <v>201</v>
      </c>
      <c r="ACL16" s="310" t="s">
        <v>201</v>
      </c>
      <c r="ACM16" s="310" t="s">
        <v>201</v>
      </c>
      <c r="ACN16" s="310" t="s">
        <v>201</v>
      </c>
      <c r="ACO16" s="310" t="s">
        <v>201</v>
      </c>
      <c r="ACP16" s="310" t="s">
        <v>201</v>
      </c>
      <c r="ACQ16" s="310" t="s">
        <v>201</v>
      </c>
      <c r="ACR16" s="310" t="s">
        <v>201</v>
      </c>
      <c r="ACS16" s="310" t="s">
        <v>201</v>
      </c>
      <c r="ACT16" s="310" t="s">
        <v>201</v>
      </c>
      <c r="ACU16" s="310" t="s">
        <v>201</v>
      </c>
      <c r="ACV16" s="310" t="s">
        <v>201</v>
      </c>
      <c r="ACW16" s="310" t="s">
        <v>201</v>
      </c>
      <c r="ACX16" s="310" t="s">
        <v>201</v>
      </c>
      <c r="ACY16" s="310" t="s">
        <v>201</v>
      </c>
      <c r="ACZ16" s="310" t="s">
        <v>201</v>
      </c>
      <c r="ADA16" s="310" t="s">
        <v>201</v>
      </c>
      <c r="ADB16" s="310" t="s">
        <v>201</v>
      </c>
      <c r="ADC16" s="310" t="s">
        <v>201</v>
      </c>
      <c r="ADD16" s="310" t="s">
        <v>201</v>
      </c>
      <c r="ADE16" s="310" t="s">
        <v>201</v>
      </c>
      <c r="ADF16" s="310" t="s">
        <v>201</v>
      </c>
      <c r="ADG16" s="310" t="s">
        <v>201</v>
      </c>
      <c r="ADH16" s="310" t="s">
        <v>201</v>
      </c>
      <c r="ADI16" s="310" t="s">
        <v>201</v>
      </c>
      <c r="ADJ16" s="310" t="s">
        <v>201</v>
      </c>
      <c r="ADK16" s="310" t="s">
        <v>201</v>
      </c>
      <c r="ADL16" s="310" t="s">
        <v>201</v>
      </c>
      <c r="ADM16" s="310" t="s">
        <v>201</v>
      </c>
      <c r="ADN16" s="310" t="s">
        <v>201</v>
      </c>
      <c r="ADO16" s="310" t="s">
        <v>201</v>
      </c>
      <c r="ADP16" s="310" t="s">
        <v>201</v>
      </c>
      <c r="ADQ16" s="310" t="s">
        <v>201</v>
      </c>
      <c r="ADR16" s="310" t="s">
        <v>201</v>
      </c>
      <c r="ADS16" s="310" t="s">
        <v>201</v>
      </c>
      <c r="ADT16" s="310" t="s">
        <v>201</v>
      </c>
      <c r="ADU16" s="310" t="s">
        <v>201</v>
      </c>
      <c r="ADV16" s="310" t="s">
        <v>201</v>
      </c>
      <c r="ADW16" s="310" t="s">
        <v>201</v>
      </c>
      <c r="ADX16" s="310" t="s">
        <v>201</v>
      </c>
      <c r="ADY16" s="310" t="s">
        <v>201</v>
      </c>
      <c r="ADZ16" s="310" t="s">
        <v>201</v>
      </c>
      <c r="AEA16" s="310" t="s">
        <v>201</v>
      </c>
      <c r="AEB16" s="310" t="s">
        <v>201</v>
      </c>
      <c r="AEC16" s="310" t="s">
        <v>201</v>
      </c>
      <c r="AED16" s="310" t="s">
        <v>201</v>
      </c>
      <c r="AEE16" s="310" t="s">
        <v>201</v>
      </c>
      <c r="AEF16" s="310" t="s">
        <v>201</v>
      </c>
      <c r="AEG16" s="310" t="s">
        <v>201</v>
      </c>
      <c r="AEH16" s="310" t="s">
        <v>201</v>
      </c>
      <c r="AEI16" s="310" t="s">
        <v>201</v>
      </c>
      <c r="AEJ16" s="310" t="s">
        <v>201</v>
      </c>
      <c r="AEK16" s="310" t="s">
        <v>201</v>
      </c>
      <c r="AEL16" s="310" t="s">
        <v>201</v>
      </c>
      <c r="AEM16" s="310" t="s">
        <v>201</v>
      </c>
      <c r="AEN16" s="310" t="s">
        <v>201</v>
      </c>
      <c r="AEO16" s="310" t="s">
        <v>201</v>
      </c>
      <c r="AEP16" s="310" t="s">
        <v>201</v>
      </c>
      <c r="AEQ16" s="310" t="s">
        <v>201</v>
      </c>
      <c r="AER16" s="310" t="s">
        <v>201</v>
      </c>
      <c r="AES16" s="310" t="s">
        <v>201</v>
      </c>
      <c r="AET16" s="310" t="s">
        <v>201</v>
      </c>
      <c r="AEU16" s="310" t="s">
        <v>201</v>
      </c>
      <c r="AEV16" s="310" t="s">
        <v>201</v>
      </c>
      <c r="AEW16" s="310" t="s">
        <v>201</v>
      </c>
      <c r="AEX16" s="310" t="s">
        <v>201</v>
      </c>
      <c r="AEY16" s="310" t="s">
        <v>201</v>
      </c>
      <c r="AEZ16" s="310" t="s">
        <v>201</v>
      </c>
      <c r="AFA16" s="310" t="s">
        <v>201</v>
      </c>
      <c r="AFB16" s="310" t="s">
        <v>201</v>
      </c>
      <c r="AFC16" s="310" t="s">
        <v>201</v>
      </c>
      <c r="AFD16" s="310" t="s">
        <v>201</v>
      </c>
      <c r="AFE16" s="310" t="s">
        <v>201</v>
      </c>
      <c r="AFF16" s="310" t="s">
        <v>201</v>
      </c>
      <c r="AFG16" s="310" t="s">
        <v>201</v>
      </c>
      <c r="AFH16" s="310" t="s">
        <v>201</v>
      </c>
      <c r="AFI16" s="310" t="s">
        <v>201</v>
      </c>
      <c r="AFJ16" s="310" t="s">
        <v>201</v>
      </c>
      <c r="AFK16" s="310" t="s">
        <v>201</v>
      </c>
      <c r="AFL16" s="310" t="s">
        <v>201</v>
      </c>
      <c r="AFM16" s="310" t="s">
        <v>201</v>
      </c>
      <c r="AFN16" s="310" t="s">
        <v>201</v>
      </c>
      <c r="AFO16" s="310" t="s">
        <v>201</v>
      </c>
      <c r="AFP16" s="310" t="s">
        <v>201</v>
      </c>
      <c r="AFQ16" s="310" t="s">
        <v>201</v>
      </c>
      <c r="AFR16" s="310" t="s">
        <v>201</v>
      </c>
      <c r="AFS16" s="310" t="s">
        <v>201</v>
      </c>
      <c r="AFT16" s="310" t="s">
        <v>201</v>
      </c>
      <c r="AFU16" s="310" t="s">
        <v>201</v>
      </c>
      <c r="AFV16" s="310" t="s">
        <v>201</v>
      </c>
      <c r="AFW16" s="310" t="s">
        <v>201</v>
      </c>
      <c r="AFX16" s="310" t="s">
        <v>201</v>
      </c>
      <c r="AFY16" s="310" t="s">
        <v>201</v>
      </c>
      <c r="AFZ16" s="310" t="s">
        <v>201</v>
      </c>
      <c r="AGA16" s="310" t="s">
        <v>201</v>
      </c>
      <c r="AGB16" s="310" t="s">
        <v>201</v>
      </c>
      <c r="AGC16" s="310" t="s">
        <v>201</v>
      </c>
      <c r="AGD16" s="310" t="s">
        <v>201</v>
      </c>
      <c r="AGE16" s="310" t="s">
        <v>201</v>
      </c>
      <c r="AGF16" s="310" t="s">
        <v>201</v>
      </c>
      <c r="AGG16" s="310" t="s">
        <v>201</v>
      </c>
      <c r="AGH16" s="310" t="s">
        <v>201</v>
      </c>
      <c r="AGI16" s="310" t="s">
        <v>201</v>
      </c>
      <c r="AGJ16" s="310" t="s">
        <v>201</v>
      </c>
      <c r="AGK16" s="310" t="s">
        <v>201</v>
      </c>
      <c r="AGL16" s="310" t="s">
        <v>201</v>
      </c>
      <c r="AGM16" s="310" t="s">
        <v>201</v>
      </c>
      <c r="AGN16" s="310" t="s">
        <v>201</v>
      </c>
      <c r="AGO16" s="310" t="s">
        <v>201</v>
      </c>
      <c r="AGP16" s="310" t="s">
        <v>201</v>
      </c>
      <c r="AGQ16" s="310" t="s">
        <v>201</v>
      </c>
      <c r="AGR16" s="310" t="s">
        <v>201</v>
      </c>
      <c r="AGS16" s="310" t="s">
        <v>201</v>
      </c>
      <c r="AGT16" s="310" t="s">
        <v>201</v>
      </c>
      <c r="AGU16" s="310" t="s">
        <v>201</v>
      </c>
      <c r="AGV16" s="310" t="s">
        <v>201</v>
      </c>
      <c r="AGW16" s="310" t="s">
        <v>201</v>
      </c>
      <c r="AGX16" s="310" t="s">
        <v>201</v>
      </c>
      <c r="AGY16" s="310" t="s">
        <v>201</v>
      </c>
      <c r="AGZ16" s="310" t="s">
        <v>201</v>
      </c>
      <c r="AHA16" s="310" t="s">
        <v>201</v>
      </c>
      <c r="AHB16" s="310" t="s">
        <v>201</v>
      </c>
      <c r="AHC16" s="310" t="s">
        <v>201</v>
      </c>
      <c r="AHD16" s="310" t="s">
        <v>201</v>
      </c>
      <c r="AHE16" s="310" t="s">
        <v>201</v>
      </c>
      <c r="AHF16" s="310" t="s">
        <v>201</v>
      </c>
      <c r="AHG16" s="310" t="s">
        <v>201</v>
      </c>
      <c r="AHH16" s="310" t="s">
        <v>201</v>
      </c>
      <c r="AHI16" s="310" t="s">
        <v>201</v>
      </c>
      <c r="AHJ16" s="310" t="s">
        <v>201</v>
      </c>
      <c r="AHK16" s="310" t="s">
        <v>201</v>
      </c>
      <c r="AHL16" s="310" t="s">
        <v>201</v>
      </c>
      <c r="AHM16" s="310" t="s">
        <v>201</v>
      </c>
      <c r="AHN16" s="310" t="s">
        <v>201</v>
      </c>
      <c r="AHO16" s="310" t="s">
        <v>201</v>
      </c>
      <c r="AHP16" s="310" t="s">
        <v>201</v>
      </c>
      <c r="AHQ16" s="310" t="s">
        <v>201</v>
      </c>
      <c r="AHR16" s="310" t="s">
        <v>201</v>
      </c>
      <c r="AHS16" s="310" t="s">
        <v>201</v>
      </c>
      <c r="AHT16" s="310" t="s">
        <v>201</v>
      </c>
      <c r="AHU16" s="310" t="s">
        <v>201</v>
      </c>
      <c r="AHV16" s="310" t="s">
        <v>201</v>
      </c>
      <c r="AHW16" s="310" t="s">
        <v>201</v>
      </c>
      <c r="AHX16" s="310" t="s">
        <v>201</v>
      </c>
      <c r="AHY16" s="310" t="s">
        <v>201</v>
      </c>
      <c r="AHZ16" s="310" t="s">
        <v>201</v>
      </c>
      <c r="AIA16" s="310" t="s">
        <v>201</v>
      </c>
      <c r="AIB16" s="310" t="s">
        <v>201</v>
      </c>
      <c r="AIC16" s="310" t="s">
        <v>201</v>
      </c>
      <c r="AID16" s="310" t="s">
        <v>201</v>
      </c>
      <c r="AIE16" s="310" t="s">
        <v>201</v>
      </c>
      <c r="AIF16" s="310" t="s">
        <v>201</v>
      </c>
      <c r="AIG16" s="310" t="s">
        <v>201</v>
      </c>
      <c r="AIH16" s="310" t="s">
        <v>201</v>
      </c>
      <c r="AII16" s="310" t="s">
        <v>201</v>
      </c>
      <c r="AIJ16" s="310" t="s">
        <v>201</v>
      </c>
      <c r="AIK16" s="310" t="s">
        <v>201</v>
      </c>
      <c r="AIL16" s="310" t="s">
        <v>201</v>
      </c>
      <c r="AIM16" s="310" t="s">
        <v>201</v>
      </c>
      <c r="AIN16" s="310" t="s">
        <v>201</v>
      </c>
      <c r="AIO16" s="310" t="s">
        <v>201</v>
      </c>
      <c r="AIP16" s="310" t="s">
        <v>201</v>
      </c>
      <c r="AIQ16" s="310" t="s">
        <v>201</v>
      </c>
      <c r="AIR16" s="310" t="s">
        <v>201</v>
      </c>
      <c r="AIS16" s="310" t="s">
        <v>201</v>
      </c>
      <c r="AIT16" s="310" t="s">
        <v>201</v>
      </c>
      <c r="AIU16" s="310" t="s">
        <v>201</v>
      </c>
      <c r="AIV16" s="310" t="s">
        <v>201</v>
      </c>
      <c r="AIW16" s="310" t="s">
        <v>201</v>
      </c>
      <c r="AIX16" s="310" t="s">
        <v>201</v>
      </c>
      <c r="AIY16" s="310" t="s">
        <v>201</v>
      </c>
      <c r="AIZ16" s="310" t="s">
        <v>201</v>
      </c>
      <c r="AJA16" s="310" t="s">
        <v>201</v>
      </c>
      <c r="AJB16" s="310" t="s">
        <v>201</v>
      </c>
      <c r="AJC16" s="310" t="s">
        <v>201</v>
      </c>
      <c r="AJD16" s="310" t="s">
        <v>201</v>
      </c>
      <c r="AJE16" s="310" t="s">
        <v>201</v>
      </c>
      <c r="AJF16" s="310" t="s">
        <v>201</v>
      </c>
      <c r="AJG16" s="310" t="s">
        <v>201</v>
      </c>
      <c r="AJH16" s="310" t="s">
        <v>201</v>
      </c>
      <c r="AJI16" s="310" t="s">
        <v>201</v>
      </c>
      <c r="AJJ16" s="310" t="s">
        <v>201</v>
      </c>
      <c r="AJK16" s="310" t="s">
        <v>201</v>
      </c>
      <c r="AJL16" s="310" t="s">
        <v>201</v>
      </c>
      <c r="AJM16" s="310" t="s">
        <v>201</v>
      </c>
      <c r="AJN16" s="310" t="s">
        <v>201</v>
      </c>
      <c r="AJO16" s="310" t="s">
        <v>201</v>
      </c>
      <c r="AJP16" s="310" t="s">
        <v>201</v>
      </c>
      <c r="AJQ16" s="310" t="s">
        <v>201</v>
      </c>
      <c r="AJR16" s="310" t="s">
        <v>201</v>
      </c>
      <c r="AJS16" s="310" t="s">
        <v>201</v>
      </c>
      <c r="AJT16" s="310" t="s">
        <v>201</v>
      </c>
      <c r="AJU16" s="310" t="s">
        <v>201</v>
      </c>
      <c r="AJV16" s="310" t="s">
        <v>201</v>
      </c>
      <c r="AJW16" s="310" t="s">
        <v>201</v>
      </c>
      <c r="AJX16" s="310" t="s">
        <v>201</v>
      </c>
      <c r="AJY16" s="310" t="s">
        <v>201</v>
      </c>
      <c r="AJZ16" s="310" t="s">
        <v>201</v>
      </c>
      <c r="AKA16" s="310" t="s">
        <v>201</v>
      </c>
      <c r="AKB16" s="310" t="s">
        <v>201</v>
      </c>
      <c r="AKC16" s="310" t="s">
        <v>201</v>
      </c>
      <c r="AKD16" s="310" t="s">
        <v>201</v>
      </c>
      <c r="AKE16" s="310" t="s">
        <v>201</v>
      </c>
      <c r="AKF16" s="310" t="s">
        <v>201</v>
      </c>
      <c r="AKG16" s="310" t="s">
        <v>201</v>
      </c>
      <c r="AKH16" s="310" t="s">
        <v>201</v>
      </c>
      <c r="AKI16" s="310" t="s">
        <v>201</v>
      </c>
      <c r="AKJ16" s="310" t="s">
        <v>201</v>
      </c>
      <c r="AKK16" s="310" t="s">
        <v>201</v>
      </c>
      <c r="AKL16" s="310" t="s">
        <v>201</v>
      </c>
      <c r="AKM16" s="310" t="s">
        <v>201</v>
      </c>
      <c r="AKN16" s="310" t="s">
        <v>201</v>
      </c>
      <c r="AKO16" s="310" t="s">
        <v>201</v>
      </c>
      <c r="AKP16" s="310" t="s">
        <v>201</v>
      </c>
      <c r="AKQ16" s="310" t="s">
        <v>201</v>
      </c>
      <c r="AKR16" s="310" t="s">
        <v>201</v>
      </c>
      <c r="AKS16" s="310" t="s">
        <v>201</v>
      </c>
      <c r="AKT16" s="310" t="s">
        <v>201</v>
      </c>
      <c r="AKU16" s="310" t="s">
        <v>201</v>
      </c>
      <c r="AKV16" s="310" t="s">
        <v>201</v>
      </c>
      <c r="AKW16" s="310" t="s">
        <v>201</v>
      </c>
      <c r="AKX16" s="310" t="s">
        <v>201</v>
      </c>
      <c r="AKY16" s="310" t="s">
        <v>201</v>
      </c>
      <c r="AKZ16" s="310" t="s">
        <v>201</v>
      </c>
      <c r="ALA16" s="310" t="s">
        <v>201</v>
      </c>
      <c r="ALB16" s="310" t="s">
        <v>201</v>
      </c>
      <c r="ALC16" s="310" t="s">
        <v>201</v>
      </c>
      <c r="ALD16" s="310" t="s">
        <v>201</v>
      </c>
      <c r="ALE16" s="310" t="s">
        <v>201</v>
      </c>
      <c r="ALF16" s="310" t="s">
        <v>201</v>
      </c>
      <c r="ALG16" s="310" t="s">
        <v>201</v>
      </c>
      <c r="ALH16" s="310" t="s">
        <v>201</v>
      </c>
      <c r="ALI16" s="310" t="s">
        <v>201</v>
      </c>
      <c r="ALJ16" s="310" t="s">
        <v>201</v>
      </c>
      <c r="ALK16" s="310" t="s">
        <v>201</v>
      </c>
      <c r="ALL16" s="310" t="s">
        <v>201</v>
      </c>
      <c r="ALM16" s="310" t="s">
        <v>201</v>
      </c>
      <c r="ALN16" s="310" t="s">
        <v>201</v>
      </c>
      <c r="ALO16" s="310" t="s">
        <v>201</v>
      </c>
      <c r="ALP16" s="310" t="s">
        <v>201</v>
      </c>
      <c r="ALQ16" s="310" t="s">
        <v>201</v>
      </c>
      <c r="ALR16" s="310" t="s">
        <v>201</v>
      </c>
      <c r="ALS16" s="310" t="s">
        <v>201</v>
      </c>
      <c r="ALT16" s="310" t="s">
        <v>201</v>
      </c>
      <c r="ALU16" s="310" t="s">
        <v>201</v>
      </c>
      <c r="ALV16" s="310" t="s">
        <v>201</v>
      </c>
      <c r="ALW16" s="310" t="s">
        <v>201</v>
      </c>
      <c r="ALX16" s="310" t="s">
        <v>201</v>
      </c>
      <c r="ALY16" s="310" t="s">
        <v>201</v>
      </c>
      <c r="ALZ16" s="310" t="s">
        <v>201</v>
      </c>
      <c r="AMA16" s="310" t="s">
        <v>201</v>
      </c>
      <c r="AMB16" s="310" t="s">
        <v>201</v>
      </c>
      <c r="AMC16" s="310" t="s">
        <v>201</v>
      </c>
      <c r="AMD16" s="310" t="s">
        <v>201</v>
      </c>
      <c r="AME16" s="310" t="s">
        <v>201</v>
      </c>
      <c r="AMF16" s="310" t="s">
        <v>201</v>
      </c>
      <c r="AMG16" s="310" t="s">
        <v>201</v>
      </c>
      <c r="AMH16" s="310" t="s">
        <v>201</v>
      </c>
      <c r="AMI16" s="310" t="s">
        <v>201</v>
      </c>
      <c r="AMJ16" s="310" t="s">
        <v>201</v>
      </c>
      <c r="AMK16" s="310" t="s">
        <v>201</v>
      </c>
      <c r="AML16" s="310" t="s">
        <v>201</v>
      </c>
      <c r="AMM16" s="310" t="s">
        <v>201</v>
      </c>
      <c r="AMN16" s="310" t="s">
        <v>201</v>
      </c>
      <c r="AMO16" s="310" t="s">
        <v>201</v>
      </c>
      <c r="AMP16" s="310" t="s">
        <v>201</v>
      </c>
      <c r="AMQ16" s="310" t="s">
        <v>201</v>
      </c>
      <c r="AMR16" s="310" t="s">
        <v>201</v>
      </c>
      <c r="AMS16" s="310" t="s">
        <v>201</v>
      </c>
      <c r="AMT16" s="310" t="s">
        <v>201</v>
      </c>
      <c r="AMU16" s="310" t="s">
        <v>201</v>
      </c>
      <c r="AMV16" s="310" t="s">
        <v>201</v>
      </c>
      <c r="AMW16" s="310" t="s">
        <v>201</v>
      </c>
      <c r="AMX16" s="310" t="s">
        <v>201</v>
      </c>
      <c r="AMY16" s="310" t="s">
        <v>201</v>
      </c>
      <c r="AMZ16" s="310" t="s">
        <v>201</v>
      </c>
      <c r="ANA16" s="310" t="s">
        <v>201</v>
      </c>
      <c r="ANB16" s="310" t="s">
        <v>201</v>
      </c>
      <c r="ANC16" s="310" t="s">
        <v>201</v>
      </c>
      <c r="AND16" s="310" t="s">
        <v>201</v>
      </c>
      <c r="ANE16" s="310" t="s">
        <v>201</v>
      </c>
      <c r="ANF16" s="310" t="s">
        <v>201</v>
      </c>
      <c r="ANG16" s="310" t="s">
        <v>201</v>
      </c>
      <c r="ANH16" s="310" t="s">
        <v>201</v>
      </c>
      <c r="ANI16" s="310" t="s">
        <v>201</v>
      </c>
      <c r="ANJ16" s="310" t="s">
        <v>201</v>
      </c>
      <c r="ANK16" s="310" t="s">
        <v>201</v>
      </c>
      <c r="ANL16" s="310" t="s">
        <v>201</v>
      </c>
      <c r="ANM16" s="310" t="s">
        <v>201</v>
      </c>
      <c r="ANN16" s="310" t="s">
        <v>201</v>
      </c>
      <c r="ANO16" s="310" t="s">
        <v>201</v>
      </c>
      <c r="ANP16" s="310" t="s">
        <v>201</v>
      </c>
      <c r="ANQ16" s="310" t="s">
        <v>201</v>
      </c>
      <c r="ANR16" s="310" t="s">
        <v>201</v>
      </c>
      <c r="ANS16" s="310" t="s">
        <v>201</v>
      </c>
      <c r="ANT16" s="310" t="s">
        <v>201</v>
      </c>
      <c r="ANU16" s="310" t="s">
        <v>201</v>
      </c>
      <c r="ANV16" s="310" t="s">
        <v>201</v>
      </c>
      <c r="ANW16" s="310" t="s">
        <v>201</v>
      </c>
      <c r="ANX16" s="310" t="s">
        <v>201</v>
      </c>
      <c r="ANY16" s="310" t="s">
        <v>201</v>
      </c>
      <c r="ANZ16" s="310" t="s">
        <v>201</v>
      </c>
      <c r="AOA16" s="310" t="s">
        <v>201</v>
      </c>
      <c r="AOB16" s="310" t="s">
        <v>201</v>
      </c>
      <c r="AOC16" s="310" t="s">
        <v>201</v>
      </c>
      <c r="AOD16" s="310" t="s">
        <v>201</v>
      </c>
      <c r="AOE16" s="310" t="s">
        <v>201</v>
      </c>
      <c r="AOF16" s="310" t="s">
        <v>201</v>
      </c>
      <c r="AOG16" s="310" t="s">
        <v>201</v>
      </c>
      <c r="AOH16" s="310" t="s">
        <v>201</v>
      </c>
      <c r="AOI16" s="310" t="s">
        <v>201</v>
      </c>
      <c r="AOJ16" s="310" t="s">
        <v>201</v>
      </c>
      <c r="AOK16" s="310" t="s">
        <v>201</v>
      </c>
      <c r="AOL16" s="310" t="s">
        <v>201</v>
      </c>
      <c r="AOM16" s="310" t="s">
        <v>201</v>
      </c>
      <c r="AON16" s="310" t="s">
        <v>201</v>
      </c>
      <c r="AOO16" s="310" t="s">
        <v>201</v>
      </c>
      <c r="AOP16" s="310" t="s">
        <v>201</v>
      </c>
      <c r="AOQ16" s="310" t="s">
        <v>201</v>
      </c>
      <c r="AOR16" s="310" t="s">
        <v>201</v>
      </c>
      <c r="AOS16" s="310" t="s">
        <v>201</v>
      </c>
      <c r="AOT16" s="310" t="s">
        <v>201</v>
      </c>
      <c r="AOU16" s="310" t="s">
        <v>201</v>
      </c>
      <c r="AOV16" s="310" t="s">
        <v>201</v>
      </c>
      <c r="AOW16" s="310" t="s">
        <v>201</v>
      </c>
      <c r="AOX16" s="310" t="s">
        <v>201</v>
      </c>
      <c r="AOY16" s="310" t="s">
        <v>201</v>
      </c>
      <c r="AOZ16" s="310" t="s">
        <v>201</v>
      </c>
      <c r="APA16" s="310" t="s">
        <v>201</v>
      </c>
      <c r="APB16" s="310" t="s">
        <v>201</v>
      </c>
      <c r="APC16" s="310" t="s">
        <v>201</v>
      </c>
      <c r="APD16" s="310" t="s">
        <v>201</v>
      </c>
      <c r="APE16" s="310" t="s">
        <v>201</v>
      </c>
      <c r="APF16" s="310" t="s">
        <v>201</v>
      </c>
      <c r="APG16" s="310" t="s">
        <v>201</v>
      </c>
      <c r="APH16" s="310" t="s">
        <v>201</v>
      </c>
      <c r="API16" s="310" t="s">
        <v>201</v>
      </c>
      <c r="APJ16" s="310" t="s">
        <v>201</v>
      </c>
      <c r="APK16" s="310" t="s">
        <v>201</v>
      </c>
      <c r="APL16" s="310" t="s">
        <v>201</v>
      </c>
      <c r="APM16" s="310" t="s">
        <v>201</v>
      </c>
      <c r="APN16" s="310" t="s">
        <v>201</v>
      </c>
      <c r="APO16" s="310" t="s">
        <v>201</v>
      </c>
      <c r="APP16" s="310" t="s">
        <v>201</v>
      </c>
      <c r="APQ16" s="310" t="s">
        <v>201</v>
      </c>
      <c r="APR16" s="310" t="s">
        <v>201</v>
      </c>
      <c r="APS16" s="310" t="s">
        <v>201</v>
      </c>
      <c r="APT16" s="310" t="s">
        <v>201</v>
      </c>
      <c r="APU16" s="310" t="s">
        <v>201</v>
      </c>
      <c r="APV16" s="310" t="s">
        <v>201</v>
      </c>
      <c r="APW16" s="310" t="s">
        <v>201</v>
      </c>
      <c r="APX16" s="310" t="s">
        <v>201</v>
      </c>
      <c r="APY16" s="310" t="s">
        <v>201</v>
      </c>
      <c r="APZ16" s="310" t="s">
        <v>201</v>
      </c>
      <c r="AQA16" s="310" t="s">
        <v>201</v>
      </c>
      <c r="AQB16" s="310" t="s">
        <v>201</v>
      </c>
      <c r="AQC16" s="310" t="s">
        <v>201</v>
      </c>
      <c r="AQD16" s="310" t="s">
        <v>201</v>
      </c>
      <c r="AQE16" s="310" t="s">
        <v>201</v>
      </c>
      <c r="AQF16" s="310" t="s">
        <v>201</v>
      </c>
      <c r="AQG16" s="310" t="s">
        <v>201</v>
      </c>
      <c r="AQH16" s="310" t="s">
        <v>201</v>
      </c>
      <c r="AQI16" s="310" t="s">
        <v>201</v>
      </c>
      <c r="AQJ16" s="310" t="s">
        <v>201</v>
      </c>
      <c r="AQK16" s="310" t="s">
        <v>201</v>
      </c>
      <c r="AQL16" s="310" t="s">
        <v>201</v>
      </c>
      <c r="AQM16" s="310" t="s">
        <v>201</v>
      </c>
      <c r="AQN16" s="310" t="s">
        <v>201</v>
      </c>
      <c r="AQO16" s="310" t="s">
        <v>201</v>
      </c>
      <c r="AQP16" s="310" t="s">
        <v>201</v>
      </c>
      <c r="AQQ16" s="310" t="s">
        <v>201</v>
      </c>
      <c r="AQR16" s="310" t="s">
        <v>201</v>
      </c>
      <c r="AQS16" s="310" t="s">
        <v>201</v>
      </c>
      <c r="AQT16" s="310" t="s">
        <v>201</v>
      </c>
      <c r="AQU16" s="310" t="s">
        <v>201</v>
      </c>
      <c r="AQV16" s="310" t="s">
        <v>201</v>
      </c>
      <c r="AQW16" s="310" t="s">
        <v>201</v>
      </c>
      <c r="AQX16" s="310" t="s">
        <v>201</v>
      </c>
      <c r="AQY16" s="310" t="s">
        <v>201</v>
      </c>
      <c r="AQZ16" s="310" t="s">
        <v>201</v>
      </c>
      <c r="ARA16" s="310" t="s">
        <v>201</v>
      </c>
      <c r="ARB16" s="310" t="s">
        <v>201</v>
      </c>
      <c r="ARC16" s="310" t="s">
        <v>201</v>
      </c>
      <c r="ARD16" s="310" t="s">
        <v>201</v>
      </c>
      <c r="ARE16" s="310" t="s">
        <v>201</v>
      </c>
      <c r="ARF16" s="310" t="s">
        <v>201</v>
      </c>
      <c r="ARG16" s="310" t="s">
        <v>201</v>
      </c>
      <c r="ARH16" s="310" t="s">
        <v>201</v>
      </c>
      <c r="ARI16" s="310" t="s">
        <v>201</v>
      </c>
      <c r="ARJ16" s="310" t="s">
        <v>201</v>
      </c>
      <c r="ARK16" s="310" t="s">
        <v>201</v>
      </c>
      <c r="ARL16" s="310" t="s">
        <v>201</v>
      </c>
      <c r="ARM16" s="310" t="s">
        <v>201</v>
      </c>
      <c r="ARN16" s="310" t="s">
        <v>201</v>
      </c>
      <c r="ARO16" s="310" t="s">
        <v>201</v>
      </c>
      <c r="ARP16" s="310" t="s">
        <v>201</v>
      </c>
      <c r="ARQ16" s="310" t="s">
        <v>201</v>
      </c>
      <c r="ARR16" s="310" t="s">
        <v>201</v>
      </c>
      <c r="ARS16" s="310" t="s">
        <v>201</v>
      </c>
      <c r="ART16" s="310" t="s">
        <v>201</v>
      </c>
      <c r="ARU16" s="310" t="s">
        <v>201</v>
      </c>
      <c r="ARV16" s="310" t="s">
        <v>201</v>
      </c>
      <c r="ARW16" s="310" t="s">
        <v>201</v>
      </c>
      <c r="ARX16" s="310" t="s">
        <v>201</v>
      </c>
      <c r="ARY16" s="310" t="s">
        <v>201</v>
      </c>
      <c r="ARZ16" s="310" t="s">
        <v>201</v>
      </c>
      <c r="ASA16" s="310" t="s">
        <v>201</v>
      </c>
      <c r="ASB16" s="310" t="s">
        <v>201</v>
      </c>
      <c r="ASC16" s="310" t="s">
        <v>201</v>
      </c>
      <c r="ASD16" s="310" t="s">
        <v>201</v>
      </c>
      <c r="ASE16" s="310" t="s">
        <v>201</v>
      </c>
      <c r="ASF16" s="310" t="s">
        <v>201</v>
      </c>
      <c r="ASG16" s="310" t="s">
        <v>201</v>
      </c>
      <c r="ASH16" s="310" t="s">
        <v>201</v>
      </c>
      <c r="ASI16" s="310" t="s">
        <v>201</v>
      </c>
      <c r="ASJ16" s="310" t="s">
        <v>201</v>
      </c>
      <c r="ASK16" s="310" t="s">
        <v>201</v>
      </c>
      <c r="ASL16" s="310" t="s">
        <v>201</v>
      </c>
      <c r="ASM16" s="310" t="s">
        <v>201</v>
      </c>
      <c r="ASN16" s="310" t="s">
        <v>201</v>
      </c>
      <c r="ASO16" s="310" t="s">
        <v>201</v>
      </c>
      <c r="ASP16" s="310" t="s">
        <v>201</v>
      </c>
      <c r="ASQ16" s="310" t="s">
        <v>201</v>
      </c>
      <c r="ASR16" s="310" t="s">
        <v>201</v>
      </c>
      <c r="ASS16" s="310" t="s">
        <v>201</v>
      </c>
      <c r="AST16" s="310" t="s">
        <v>201</v>
      </c>
      <c r="ASU16" s="310" t="s">
        <v>201</v>
      </c>
      <c r="ASV16" s="310" t="s">
        <v>201</v>
      </c>
      <c r="ASW16" s="310" t="s">
        <v>201</v>
      </c>
      <c r="ASX16" s="310" t="s">
        <v>201</v>
      </c>
      <c r="ASY16" s="310" t="s">
        <v>201</v>
      </c>
      <c r="ASZ16" s="310" t="s">
        <v>201</v>
      </c>
      <c r="ATA16" s="310" t="s">
        <v>201</v>
      </c>
      <c r="ATB16" s="310" t="s">
        <v>201</v>
      </c>
      <c r="ATC16" s="310" t="s">
        <v>201</v>
      </c>
      <c r="ATD16" s="310" t="s">
        <v>201</v>
      </c>
      <c r="ATE16" s="310" t="s">
        <v>201</v>
      </c>
      <c r="ATF16" s="310" t="s">
        <v>201</v>
      </c>
      <c r="ATG16" s="310" t="s">
        <v>201</v>
      </c>
      <c r="ATH16" s="310" t="s">
        <v>201</v>
      </c>
      <c r="ATI16" s="310" t="s">
        <v>201</v>
      </c>
      <c r="ATJ16" s="310" t="s">
        <v>201</v>
      </c>
      <c r="ATK16" s="310" t="s">
        <v>201</v>
      </c>
      <c r="ATL16" s="310" t="s">
        <v>201</v>
      </c>
      <c r="ATM16" s="310" t="s">
        <v>201</v>
      </c>
      <c r="ATN16" s="310" t="s">
        <v>201</v>
      </c>
      <c r="ATO16" s="310" t="s">
        <v>201</v>
      </c>
      <c r="ATP16" s="310" t="s">
        <v>201</v>
      </c>
      <c r="ATQ16" s="310" t="s">
        <v>201</v>
      </c>
      <c r="ATR16" s="310" t="s">
        <v>201</v>
      </c>
      <c r="ATS16" s="310" t="s">
        <v>201</v>
      </c>
      <c r="ATT16" s="310" t="s">
        <v>201</v>
      </c>
      <c r="ATU16" s="310" t="s">
        <v>201</v>
      </c>
      <c r="ATV16" s="310" t="s">
        <v>201</v>
      </c>
      <c r="ATW16" s="310" t="s">
        <v>201</v>
      </c>
      <c r="ATX16" s="310" t="s">
        <v>201</v>
      </c>
      <c r="ATY16" s="310" t="s">
        <v>201</v>
      </c>
      <c r="ATZ16" s="310" t="s">
        <v>201</v>
      </c>
      <c r="AUA16" s="310" t="s">
        <v>201</v>
      </c>
      <c r="AUB16" s="310" t="s">
        <v>201</v>
      </c>
      <c r="AUC16" s="310" t="s">
        <v>201</v>
      </c>
      <c r="AUD16" s="310" t="s">
        <v>201</v>
      </c>
      <c r="AUE16" s="310" t="s">
        <v>201</v>
      </c>
      <c r="AUF16" s="310" t="s">
        <v>201</v>
      </c>
      <c r="AUG16" s="310" t="s">
        <v>201</v>
      </c>
      <c r="AUH16" s="310" t="s">
        <v>201</v>
      </c>
      <c r="AUI16" s="310" t="s">
        <v>201</v>
      </c>
      <c r="AUJ16" s="310" t="s">
        <v>201</v>
      </c>
      <c r="AUK16" s="310" t="s">
        <v>201</v>
      </c>
      <c r="AUL16" s="310" t="s">
        <v>201</v>
      </c>
      <c r="AUM16" s="310" t="s">
        <v>201</v>
      </c>
      <c r="AUN16" s="310" t="s">
        <v>201</v>
      </c>
      <c r="AUO16" s="310" t="s">
        <v>201</v>
      </c>
      <c r="AUP16" s="310" t="s">
        <v>201</v>
      </c>
      <c r="AUQ16" s="310" t="s">
        <v>201</v>
      </c>
      <c r="AUR16" s="310" t="s">
        <v>201</v>
      </c>
      <c r="AUS16" s="310" t="s">
        <v>201</v>
      </c>
      <c r="AUT16" s="310" t="s">
        <v>201</v>
      </c>
      <c r="AUU16" s="310" t="s">
        <v>201</v>
      </c>
      <c r="AUV16" s="310" t="s">
        <v>201</v>
      </c>
      <c r="AUW16" s="310" t="s">
        <v>201</v>
      </c>
      <c r="AUX16" s="310" t="s">
        <v>201</v>
      </c>
      <c r="AUY16" s="310" t="s">
        <v>201</v>
      </c>
      <c r="AUZ16" s="310" t="s">
        <v>201</v>
      </c>
      <c r="AVA16" s="310" t="s">
        <v>201</v>
      </c>
      <c r="AVB16" s="310" t="s">
        <v>201</v>
      </c>
      <c r="AVC16" s="310" t="s">
        <v>201</v>
      </c>
      <c r="AVD16" s="310" t="s">
        <v>201</v>
      </c>
      <c r="AVE16" s="310" t="s">
        <v>201</v>
      </c>
      <c r="AVF16" s="310" t="s">
        <v>201</v>
      </c>
      <c r="AVG16" s="310" t="s">
        <v>201</v>
      </c>
      <c r="AVH16" s="310" t="s">
        <v>201</v>
      </c>
      <c r="AVI16" s="310" t="s">
        <v>201</v>
      </c>
      <c r="AVJ16" s="310" t="s">
        <v>201</v>
      </c>
      <c r="AVK16" s="310" t="s">
        <v>201</v>
      </c>
      <c r="AVL16" s="310" t="s">
        <v>201</v>
      </c>
      <c r="AVM16" s="310" t="s">
        <v>201</v>
      </c>
      <c r="AVN16" s="310" t="s">
        <v>201</v>
      </c>
      <c r="AVO16" s="310" t="s">
        <v>201</v>
      </c>
      <c r="AVP16" s="310" t="s">
        <v>201</v>
      </c>
      <c r="AVQ16" s="310" t="s">
        <v>201</v>
      </c>
      <c r="AVR16" s="310" t="s">
        <v>201</v>
      </c>
      <c r="AVS16" s="310" t="s">
        <v>201</v>
      </c>
      <c r="AVT16" s="310" t="s">
        <v>201</v>
      </c>
      <c r="AVU16" s="310" t="s">
        <v>201</v>
      </c>
      <c r="AVV16" s="310" t="s">
        <v>201</v>
      </c>
      <c r="AVW16" s="310" t="s">
        <v>201</v>
      </c>
      <c r="AVX16" s="310" t="s">
        <v>201</v>
      </c>
      <c r="AVY16" s="310" t="s">
        <v>201</v>
      </c>
      <c r="AVZ16" s="310" t="s">
        <v>201</v>
      </c>
      <c r="AWA16" s="310" t="s">
        <v>201</v>
      </c>
      <c r="AWB16" s="310" t="s">
        <v>201</v>
      </c>
      <c r="AWC16" s="310" t="s">
        <v>201</v>
      </c>
      <c r="AWD16" s="310" t="s">
        <v>201</v>
      </c>
      <c r="AWE16" s="310" t="s">
        <v>201</v>
      </c>
      <c r="AWF16" s="310" t="s">
        <v>201</v>
      </c>
      <c r="AWG16" s="310" t="s">
        <v>201</v>
      </c>
      <c r="AWH16" s="310" t="s">
        <v>201</v>
      </c>
      <c r="AWI16" s="310" t="s">
        <v>201</v>
      </c>
      <c r="AWJ16" s="310" t="s">
        <v>201</v>
      </c>
      <c r="AWK16" s="310" t="s">
        <v>201</v>
      </c>
      <c r="AWL16" s="310" t="s">
        <v>201</v>
      </c>
      <c r="AWM16" s="310" t="s">
        <v>201</v>
      </c>
      <c r="AWN16" s="310" t="s">
        <v>201</v>
      </c>
      <c r="AWO16" s="310" t="s">
        <v>201</v>
      </c>
      <c r="AWP16" s="310" t="s">
        <v>201</v>
      </c>
      <c r="AWQ16" s="310" t="s">
        <v>201</v>
      </c>
      <c r="AWR16" s="310" t="s">
        <v>201</v>
      </c>
      <c r="AWS16" s="310" t="s">
        <v>201</v>
      </c>
      <c r="AWT16" s="310" t="s">
        <v>201</v>
      </c>
      <c r="AWU16" s="310" t="s">
        <v>201</v>
      </c>
      <c r="AWV16" s="310" t="s">
        <v>201</v>
      </c>
      <c r="AWW16" s="310" t="s">
        <v>201</v>
      </c>
      <c r="AWX16" s="310" t="s">
        <v>201</v>
      </c>
      <c r="AWY16" s="310" t="s">
        <v>201</v>
      </c>
      <c r="AWZ16" s="310" t="s">
        <v>201</v>
      </c>
      <c r="AXA16" s="310" t="s">
        <v>201</v>
      </c>
      <c r="AXB16" s="310" t="s">
        <v>201</v>
      </c>
      <c r="AXC16" s="310" t="s">
        <v>201</v>
      </c>
      <c r="AXD16" s="310" t="s">
        <v>201</v>
      </c>
      <c r="AXE16" s="310" t="s">
        <v>201</v>
      </c>
      <c r="AXF16" s="310" t="s">
        <v>201</v>
      </c>
      <c r="AXG16" s="310" t="s">
        <v>201</v>
      </c>
      <c r="AXH16" s="310" t="s">
        <v>201</v>
      </c>
      <c r="AXI16" s="310" t="s">
        <v>201</v>
      </c>
      <c r="AXJ16" s="310" t="s">
        <v>201</v>
      </c>
      <c r="AXK16" s="310" t="s">
        <v>201</v>
      </c>
      <c r="AXL16" s="310" t="s">
        <v>201</v>
      </c>
      <c r="AXM16" s="310" t="s">
        <v>201</v>
      </c>
      <c r="AXN16" s="310" t="s">
        <v>201</v>
      </c>
      <c r="AXO16" s="310" t="s">
        <v>201</v>
      </c>
      <c r="AXP16" s="310" t="s">
        <v>201</v>
      </c>
      <c r="AXQ16" s="310" t="s">
        <v>201</v>
      </c>
      <c r="AXR16" s="310" t="s">
        <v>201</v>
      </c>
      <c r="AXS16" s="310" t="s">
        <v>201</v>
      </c>
      <c r="AXT16" s="310" t="s">
        <v>201</v>
      </c>
      <c r="AXU16" s="310" t="s">
        <v>201</v>
      </c>
      <c r="AXV16" s="310" t="s">
        <v>201</v>
      </c>
      <c r="AXW16" s="310" t="s">
        <v>201</v>
      </c>
      <c r="AXX16" s="310" t="s">
        <v>201</v>
      </c>
      <c r="AXY16" s="310" t="s">
        <v>201</v>
      </c>
      <c r="AXZ16" s="310" t="s">
        <v>201</v>
      </c>
      <c r="AYA16" s="310" t="s">
        <v>201</v>
      </c>
      <c r="AYB16" s="310" t="s">
        <v>201</v>
      </c>
      <c r="AYC16" s="310" t="s">
        <v>201</v>
      </c>
      <c r="AYD16" s="310" t="s">
        <v>201</v>
      </c>
      <c r="AYE16" s="310" t="s">
        <v>201</v>
      </c>
      <c r="AYF16" s="310" t="s">
        <v>201</v>
      </c>
      <c r="AYG16" s="310" t="s">
        <v>201</v>
      </c>
      <c r="AYH16" s="310" t="s">
        <v>201</v>
      </c>
      <c r="AYI16" s="310" t="s">
        <v>201</v>
      </c>
      <c r="AYJ16" s="310" t="s">
        <v>201</v>
      </c>
      <c r="AYK16" s="310" t="s">
        <v>201</v>
      </c>
      <c r="AYL16" s="310" t="s">
        <v>201</v>
      </c>
      <c r="AYM16" s="310" t="s">
        <v>201</v>
      </c>
      <c r="AYN16" s="310" t="s">
        <v>201</v>
      </c>
      <c r="AYO16" s="310" t="s">
        <v>201</v>
      </c>
      <c r="AYP16" s="310" t="s">
        <v>201</v>
      </c>
      <c r="AYQ16" s="310" t="s">
        <v>201</v>
      </c>
      <c r="AYR16" s="310" t="s">
        <v>201</v>
      </c>
      <c r="AYS16" s="310" t="s">
        <v>201</v>
      </c>
      <c r="AYT16" s="310" t="s">
        <v>201</v>
      </c>
      <c r="AYU16" s="310" t="s">
        <v>201</v>
      </c>
      <c r="AYV16" s="310" t="s">
        <v>201</v>
      </c>
      <c r="AYW16" s="310" t="s">
        <v>201</v>
      </c>
      <c r="AYX16" s="310" t="s">
        <v>201</v>
      </c>
      <c r="AYY16" s="310" t="s">
        <v>201</v>
      </c>
      <c r="AYZ16" s="310" t="s">
        <v>201</v>
      </c>
      <c r="AZA16" s="310" t="s">
        <v>201</v>
      </c>
      <c r="AZB16" s="310" t="s">
        <v>201</v>
      </c>
      <c r="AZC16" s="310" t="s">
        <v>201</v>
      </c>
      <c r="AZD16" s="310" t="s">
        <v>201</v>
      </c>
      <c r="AZE16" s="310" t="s">
        <v>201</v>
      </c>
      <c r="AZF16" s="310" t="s">
        <v>201</v>
      </c>
      <c r="AZG16" s="310" t="s">
        <v>201</v>
      </c>
      <c r="AZH16" s="310" t="s">
        <v>201</v>
      </c>
      <c r="AZI16" s="310" t="s">
        <v>201</v>
      </c>
      <c r="AZJ16" s="310" t="s">
        <v>201</v>
      </c>
      <c r="AZK16" s="310" t="s">
        <v>201</v>
      </c>
      <c r="AZL16" s="310" t="s">
        <v>201</v>
      </c>
      <c r="AZM16" s="310" t="s">
        <v>201</v>
      </c>
      <c r="AZN16" s="310" t="s">
        <v>201</v>
      </c>
      <c r="AZO16" s="310" t="s">
        <v>201</v>
      </c>
      <c r="AZP16" s="310" t="s">
        <v>201</v>
      </c>
      <c r="AZQ16" s="310" t="s">
        <v>201</v>
      </c>
      <c r="AZR16" s="310" t="s">
        <v>201</v>
      </c>
      <c r="AZS16" s="310" t="s">
        <v>201</v>
      </c>
      <c r="AZT16" s="310" t="s">
        <v>201</v>
      </c>
      <c r="AZU16" s="310" t="s">
        <v>201</v>
      </c>
      <c r="AZV16" s="310" t="s">
        <v>201</v>
      </c>
      <c r="AZW16" s="310" t="s">
        <v>201</v>
      </c>
      <c r="AZX16" s="310" t="s">
        <v>201</v>
      </c>
      <c r="AZY16" s="310" t="s">
        <v>201</v>
      </c>
      <c r="AZZ16" s="310" t="s">
        <v>201</v>
      </c>
      <c r="BAA16" s="310" t="s">
        <v>201</v>
      </c>
      <c r="BAB16" s="310" t="s">
        <v>201</v>
      </c>
      <c r="BAC16" s="310" t="s">
        <v>201</v>
      </c>
      <c r="BAD16" s="310" t="s">
        <v>201</v>
      </c>
      <c r="BAE16" s="310" t="s">
        <v>201</v>
      </c>
      <c r="BAF16" s="310" t="s">
        <v>201</v>
      </c>
      <c r="BAG16" s="310" t="s">
        <v>201</v>
      </c>
      <c r="BAH16" s="310" t="s">
        <v>201</v>
      </c>
      <c r="BAI16" s="310" t="s">
        <v>201</v>
      </c>
      <c r="BAJ16" s="310" t="s">
        <v>201</v>
      </c>
      <c r="BAK16" s="310" t="s">
        <v>201</v>
      </c>
      <c r="BAL16" s="310" t="s">
        <v>201</v>
      </c>
      <c r="BAM16" s="310" t="s">
        <v>201</v>
      </c>
      <c r="BAN16" s="310" t="s">
        <v>201</v>
      </c>
      <c r="BAO16" s="310" t="s">
        <v>201</v>
      </c>
      <c r="BAP16" s="310" t="s">
        <v>201</v>
      </c>
      <c r="BAQ16" s="310" t="s">
        <v>201</v>
      </c>
      <c r="BAR16" s="310" t="s">
        <v>201</v>
      </c>
      <c r="BAS16" s="310" t="s">
        <v>201</v>
      </c>
      <c r="BAT16" s="310" t="s">
        <v>201</v>
      </c>
      <c r="BAU16" s="310" t="s">
        <v>201</v>
      </c>
      <c r="BAV16" s="310" t="s">
        <v>201</v>
      </c>
      <c r="BAW16" s="310" t="s">
        <v>201</v>
      </c>
      <c r="BAX16" s="310" t="s">
        <v>201</v>
      </c>
      <c r="BAY16" s="310" t="s">
        <v>201</v>
      </c>
      <c r="BAZ16" s="310" t="s">
        <v>201</v>
      </c>
      <c r="BBA16" s="310" t="s">
        <v>201</v>
      </c>
      <c r="BBB16" s="310" t="s">
        <v>201</v>
      </c>
      <c r="BBC16" s="310" t="s">
        <v>201</v>
      </c>
      <c r="BBD16" s="310" t="s">
        <v>201</v>
      </c>
      <c r="BBE16" s="310" t="s">
        <v>201</v>
      </c>
      <c r="BBF16" s="310" t="s">
        <v>201</v>
      </c>
      <c r="BBG16" s="310" t="s">
        <v>201</v>
      </c>
      <c r="BBH16" s="310" t="s">
        <v>201</v>
      </c>
      <c r="BBI16" s="310" t="s">
        <v>201</v>
      </c>
      <c r="BBJ16" s="310" t="s">
        <v>201</v>
      </c>
      <c r="BBK16" s="310" t="s">
        <v>201</v>
      </c>
      <c r="BBL16" s="310" t="s">
        <v>201</v>
      </c>
      <c r="BBM16" s="310" t="s">
        <v>201</v>
      </c>
      <c r="BBN16" s="310" t="s">
        <v>201</v>
      </c>
      <c r="BBO16" s="310" t="s">
        <v>201</v>
      </c>
      <c r="BBP16" s="310" t="s">
        <v>201</v>
      </c>
      <c r="BBQ16" s="310" t="s">
        <v>201</v>
      </c>
      <c r="BBR16" s="310" t="s">
        <v>201</v>
      </c>
      <c r="BBS16" s="310" t="s">
        <v>201</v>
      </c>
      <c r="BBT16" s="310" t="s">
        <v>201</v>
      </c>
      <c r="BBU16" s="310" t="s">
        <v>201</v>
      </c>
      <c r="BBV16" s="310" t="s">
        <v>201</v>
      </c>
      <c r="BBW16" s="310" t="s">
        <v>201</v>
      </c>
      <c r="BBX16" s="310" t="s">
        <v>201</v>
      </c>
      <c r="BBY16" s="310" t="s">
        <v>201</v>
      </c>
      <c r="BBZ16" s="310" t="s">
        <v>201</v>
      </c>
      <c r="BCA16" s="310" t="s">
        <v>201</v>
      </c>
      <c r="BCB16" s="310" t="s">
        <v>201</v>
      </c>
      <c r="BCC16" s="310" t="s">
        <v>201</v>
      </c>
      <c r="BCD16" s="310" t="s">
        <v>201</v>
      </c>
      <c r="BCE16" s="310" t="s">
        <v>201</v>
      </c>
      <c r="BCF16" s="310" t="s">
        <v>201</v>
      </c>
      <c r="BCG16" s="310" t="s">
        <v>201</v>
      </c>
      <c r="BCH16" s="310" t="s">
        <v>201</v>
      </c>
      <c r="BCI16" s="310" t="s">
        <v>201</v>
      </c>
      <c r="BCJ16" s="310" t="s">
        <v>201</v>
      </c>
      <c r="BCK16" s="310" t="s">
        <v>201</v>
      </c>
      <c r="BCL16" s="310" t="s">
        <v>201</v>
      </c>
      <c r="BCM16" s="310" t="s">
        <v>201</v>
      </c>
      <c r="BCN16" s="310" t="s">
        <v>201</v>
      </c>
      <c r="BCO16" s="310" t="s">
        <v>201</v>
      </c>
      <c r="BCP16" s="310" t="s">
        <v>201</v>
      </c>
      <c r="BCQ16" s="310" t="s">
        <v>201</v>
      </c>
      <c r="BCR16" s="310" t="s">
        <v>201</v>
      </c>
      <c r="BCS16" s="310" t="s">
        <v>201</v>
      </c>
      <c r="BCT16" s="310" t="s">
        <v>201</v>
      </c>
      <c r="BCU16" s="310" t="s">
        <v>201</v>
      </c>
      <c r="BCV16" s="310" t="s">
        <v>201</v>
      </c>
      <c r="BCW16" s="310" t="s">
        <v>201</v>
      </c>
      <c r="BCX16" s="310" t="s">
        <v>201</v>
      </c>
      <c r="BCY16" s="310" t="s">
        <v>201</v>
      </c>
      <c r="BCZ16" s="310" t="s">
        <v>201</v>
      </c>
      <c r="BDA16" s="310" t="s">
        <v>201</v>
      </c>
      <c r="BDB16" s="310" t="s">
        <v>201</v>
      </c>
      <c r="BDC16" s="310" t="s">
        <v>201</v>
      </c>
      <c r="BDD16" s="310" t="s">
        <v>201</v>
      </c>
      <c r="BDE16" s="310" t="s">
        <v>201</v>
      </c>
      <c r="BDF16" s="310" t="s">
        <v>201</v>
      </c>
      <c r="BDG16" s="310" t="s">
        <v>201</v>
      </c>
      <c r="BDH16" s="310" t="s">
        <v>201</v>
      </c>
      <c r="BDI16" s="310" t="s">
        <v>201</v>
      </c>
      <c r="BDJ16" s="310" t="s">
        <v>201</v>
      </c>
      <c r="BDK16" s="310" t="s">
        <v>201</v>
      </c>
      <c r="BDL16" s="310" t="s">
        <v>201</v>
      </c>
      <c r="BDM16" s="310" t="s">
        <v>201</v>
      </c>
      <c r="BDN16" s="310" t="s">
        <v>201</v>
      </c>
      <c r="BDO16" s="310" t="s">
        <v>201</v>
      </c>
      <c r="BDP16" s="310" t="s">
        <v>201</v>
      </c>
      <c r="BDQ16" s="310" t="s">
        <v>201</v>
      </c>
      <c r="BDR16" s="310" t="s">
        <v>201</v>
      </c>
      <c r="BDS16" s="310" t="s">
        <v>201</v>
      </c>
      <c r="BDT16" s="310" t="s">
        <v>201</v>
      </c>
      <c r="BDU16" s="310" t="s">
        <v>201</v>
      </c>
      <c r="BDV16" s="310" t="s">
        <v>201</v>
      </c>
      <c r="BDW16" s="310" t="s">
        <v>201</v>
      </c>
      <c r="BDX16" s="310" t="s">
        <v>201</v>
      </c>
      <c r="BDY16" s="310" t="s">
        <v>201</v>
      </c>
      <c r="BDZ16" s="310" t="s">
        <v>201</v>
      </c>
      <c r="BEA16" s="310" t="s">
        <v>201</v>
      </c>
      <c r="BEB16" s="310" t="s">
        <v>201</v>
      </c>
      <c r="BEC16" s="310" t="s">
        <v>201</v>
      </c>
      <c r="BED16" s="310" t="s">
        <v>201</v>
      </c>
      <c r="BEE16" s="310" t="s">
        <v>201</v>
      </c>
      <c r="BEF16" s="310" t="s">
        <v>201</v>
      </c>
      <c r="BEG16" s="310" t="s">
        <v>201</v>
      </c>
      <c r="BEH16" s="310" t="s">
        <v>201</v>
      </c>
      <c r="BEI16" s="310" t="s">
        <v>201</v>
      </c>
      <c r="BEJ16" s="310" t="s">
        <v>201</v>
      </c>
      <c r="BEK16" s="310" t="s">
        <v>201</v>
      </c>
      <c r="BEL16" s="310" t="s">
        <v>201</v>
      </c>
      <c r="BEM16" s="310" t="s">
        <v>201</v>
      </c>
      <c r="BEN16" s="310" t="s">
        <v>201</v>
      </c>
      <c r="BEO16" s="310" t="s">
        <v>201</v>
      </c>
      <c r="BEP16" s="310" t="s">
        <v>201</v>
      </c>
      <c r="BEQ16" s="310" t="s">
        <v>201</v>
      </c>
      <c r="BER16" s="310" t="s">
        <v>201</v>
      </c>
      <c r="BES16" s="310" t="s">
        <v>201</v>
      </c>
      <c r="BET16" s="310" t="s">
        <v>201</v>
      </c>
      <c r="BEU16" s="310" t="s">
        <v>201</v>
      </c>
      <c r="BEV16" s="310" t="s">
        <v>201</v>
      </c>
      <c r="BEW16" s="310" t="s">
        <v>201</v>
      </c>
      <c r="BEX16" s="310" t="s">
        <v>201</v>
      </c>
      <c r="BEY16" s="310" t="s">
        <v>201</v>
      </c>
      <c r="BEZ16" s="310" t="s">
        <v>201</v>
      </c>
      <c r="BFA16" s="310" t="s">
        <v>201</v>
      </c>
      <c r="BFB16" s="310" t="s">
        <v>201</v>
      </c>
      <c r="BFC16" s="310" t="s">
        <v>201</v>
      </c>
      <c r="BFD16" s="310" t="s">
        <v>201</v>
      </c>
      <c r="BFE16" s="310" t="s">
        <v>201</v>
      </c>
      <c r="BFF16" s="310" t="s">
        <v>201</v>
      </c>
      <c r="BFG16" s="310" t="s">
        <v>201</v>
      </c>
      <c r="BFH16" s="310" t="s">
        <v>201</v>
      </c>
      <c r="BFI16" s="310" t="s">
        <v>201</v>
      </c>
      <c r="BFJ16" s="310" t="s">
        <v>201</v>
      </c>
      <c r="BFK16" s="310" t="s">
        <v>201</v>
      </c>
      <c r="BFL16" s="310" t="s">
        <v>201</v>
      </c>
      <c r="BFM16" s="310" t="s">
        <v>201</v>
      </c>
      <c r="BFN16" s="310" t="s">
        <v>201</v>
      </c>
      <c r="BFO16" s="310" t="s">
        <v>201</v>
      </c>
      <c r="BFP16" s="310" t="s">
        <v>201</v>
      </c>
      <c r="BFQ16" s="310" t="s">
        <v>201</v>
      </c>
      <c r="BFR16" s="310" t="s">
        <v>201</v>
      </c>
      <c r="BFS16" s="310" t="s">
        <v>201</v>
      </c>
      <c r="BFT16" s="310" t="s">
        <v>201</v>
      </c>
      <c r="BFU16" s="310" t="s">
        <v>201</v>
      </c>
      <c r="BFV16" s="310" t="s">
        <v>201</v>
      </c>
      <c r="BFW16" s="310" t="s">
        <v>201</v>
      </c>
      <c r="BFX16" s="310" t="s">
        <v>201</v>
      </c>
      <c r="BFY16" s="310" t="s">
        <v>201</v>
      </c>
      <c r="BFZ16" s="310" t="s">
        <v>201</v>
      </c>
      <c r="BGA16" s="310" t="s">
        <v>201</v>
      </c>
      <c r="BGB16" s="310" t="s">
        <v>201</v>
      </c>
      <c r="BGC16" s="310" t="s">
        <v>201</v>
      </c>
      <c r="BGD16" s="310" t="s">
        <v>201</v>
      </c>
      <c r="BGE16" s="310" t="s">
        <v>201</v>
      </c>
      <c r="BGF16" s="310" t="s">
        <v>201</v>
      </c>
      <c r="BGG16" s="310" t="s">
        <v>201</v>
      </c>
      <c r="BGH16" s="310" t="s">
        <v>201</v>
      </c>
      <c r="BGI16" s="310" t="s">
        <v>201</v>
      </c>
      <c r="BGJ16" s="310" t="s">
        <v>201</v>
      </c>
      <c r="BGK16" s="310" t="s">
        <v>201</v>
      </c>
      <c r="BGL16" s="310" t="s">
        <v>201</v>
      </c>
      <c r="BGM16" s="310" t="s">
        <v>201</v>
      </c>
      <c r="BGN16" s="310" t="s">
        <v>201</v>
      </c>
      <c r="BGO16" s="310" t="s">
        <v>201</v>
      </c>
      <c r="BGP16" s="310" t="s">
        <v>201</v>
      </c>
      <c r="BGQ16" s="310" t="s">
        <v>201</v>
      </c>
      <c r="BGR16" s="310" t="s">
        <v>201</v>
      </c>
      <c r="BGS16" s="310" t="s">
        <v>201</v>
      </c>
      <c r="BGT16" s="310" t="s">
        <v>201</v>
      </c>
      <c r="BGU16" s="310" t="s">
        <v>201</v>
      </c>
      <c r="BGV16" s="310" t="s">
        <v>201</v>
      </c>
      <c r="BGW16" s="310" t="s">
        <v>201</v>
      </c>
      <c r="BGX16" s="310" t="s">
        <v>201</v>
      </c>
      <c r="BGY16" s="310" t="s">
        <v>201</v>
      </c>
      <c r="BGZ16" s="310" t="s">
        <v>201</v>
      </c>
      <c r="BHA16" s="310" t="s">
        <v>201</v>
      </c>
      <c r="BHB16" s="310" t="s">
        <v>201</v>
      </c>
      <c r="BHC16" s="310" t="s">
        <v>201</v>
      </c>
      <c r="BHD16" s="310" t="s">
        <v>201</v>
      </c>
      <c r="BHE16" s="310" t="s">
        <v>201</v>
      </c>
      <c r="BHF16" s="310" t="s">
        <v>201</v>
      </c>
      <c r="BHG16" s="310" t="s">
        <v>201</v>
      </c>
      <c r="BHH16" s="310" t="s">
        <v>201</v>
      </c>
      <c r="BHI16" s="310" t="s">
        <v>201</v>
      </c>
      <c r="BHJ16" s="310" t="s">
        <v>201</v>
      </c>
      <c r="BHK16" s="310" t="s">
        <v>201</v>
      </c>
      <c r="BHL16" s="310" t="s">
        <v>201</v>
      </c>
      <c r="BHM16" s="310" t="s">
        <v>201</v>
      </c>
      <c r="BHN16" s="310" t="s">
        <v>201</v>
      </c>
      <c r="BHO16" s="310" t="s">
        <v>201</v>
      </c>
      <c r="BHP16" s="310" t="s">
        <v>201</v>
      </c>
      <c r="BHQ16" s="310" t="s">
        <v>201</v>
      </c>
      <c r="BHR16" s="310" t="s">
        <v>201</v>
      </c>
      <c r="BHS16" s="310" t="s">
        <v>201</v>
      </c>
      <c r="BHT16" s="310" t="s">
        <v>201</v>
      </c>
      <c r="BHU16" s="310" t="s">
        <v>201</v>
      </c>
      <c r="BHV16" s="310" t="s">
        <v>201</v>
      </c>
      <c r="BHW16" s="310" t="s">
        <v>201</v>
      </c>
      <c r="BHX16" s="310" t="s">
        <v>201</v>
      </c>
      <c r="BHY16" s="310" t="s">
        <v>201</v>
      </c>
      <c r="BHZ16" s="310" t="s">
        <v>201</v>
      </c>
      <c r="BIA16" s="310" t="s">
        <v>201</v>
      </c>
      <c r="BIB16" s="310" t="s">
        <v>201</v>
      </c>
      <c r="BIC16" s="310" t="s">
        <v>201</v>
      </c>
      <c r="BID16" s="310" t="s">
        <v>201</v>
      </c>
      <c r="BIE16" s="310" t="s">
        <v>201</v>
      </c>
      <c r="BIF16" s="310" t="s">
        <v>201</v>
      </c>
      <c r="BIG16" s="310" t="s">
        <v>201</v>
      </c>
      <c r="BIH16" s="310" t="s">
        <v>201</v>
      </c>
      <c r="BII16" s="310" t="s">
        <v>201</v>
      </c>
      <c r="BIJ16" s="310" t="s">
        <v>201</v>
      </c>
      <c r="BIK16" s="310" t="s">
        <v>201</v>
      </c>
      <c r="BIL16" s="310" t="s">
        <v>201</v>
      </c>
      <c r="BIM16" s="310" t="s">
        <v>201</v>
      </c>
      <c r="BIN16" s="310" t="s">
        <v>201</v>
      </c>
      <c r="BIO16" s="310" t="s">
        <v>201</v>
      </c>
      <c r="BIP16" s="310" t="s">
        <v>201</v>
      </c>
      <c r="BIQ16" s="310" t="s">
        <v>201</v>
      </c>
      <c r="BIR16" s="310" t="s">
        <v>201</v>
      </c>
      <c r="BIS16" s="310" t="s">
        <v>201</v>
      </c>
      <c r="BIT16" s="310" t="s">
        <v>201</v>
      </c>
      <c r="BIU16" s="310" t="s">
        <v>201</v>
      </c>
      <c r="BIV16" s="310" t="s">
        <v>201</v>
      </c>
      <c r="BIW16" s="310" t="s">
        <v>201</v>
      </c>
      <c r="BIX16" s="310" t="s">
        <v>201</v>
      </c>
      <c r="BIY16" s="310" t="s">
        <v>201</v>
      </c>
      <c r="BIZ16" s="310" t="s">
        <v>201</v>
      </c>
      <c r="BJA16" s="310" t="s">
        <v>201</v>
      </c>
      <c r="BJB16" s="310" t="s">
        <v>201</v>
      </c>
      <c r="BJC16" s="310" t="s">
        <v>201</v>
      </c>
      <c r="BJD16" s="310" t="s">
        <v>201</v>
      </c>
      <c r="BJE16" s="310" t="s">
        <v>201</v>
      </c>
      <c r="BJF16" s="310" t="s">
        <v>201</v>
      </c>
      <c r="BJG16" s="310" t="s">
        <v>201</v>
      </c>
      <c r="BJH16" s="310" t="s">
        <v>201</v>
      </c>
      <c r="BJI16" s="310" t="s">
        <v>201</v>
      </c>
      <c r="BJJ16" s="310" t="s">
        <v>201</v>
      </c>
      <c r="BJK16" s="310" t="s">
        <v>201</v>
      </c>
      <c r="BJL16" s="310" t="s">
        <v>201</v>
      </c>
      <c r="BJM16" s="310" t="s">
        <v>201</v>
      </c>
      <c r="BJN16" s="310" t="s">
        <v>201</v>
      </c>
      <c r="BJO16" s="310" t="s">
        <v>201</v>
      </c>
      <c r="BJP16" s="310" t="s">
        <v>201</v>
      </c>
      <c r="BJQ16" s="310" t="s">
        <v>201</v>
      </c>
      <c r="BJR16" s="310" t="s">
        <v>201</v>
      </c>
      <c r="BJS16" s="310" t="s">
        <v>201</v>
      </c>
      <c r="BJT16" s="310" t="s">
        <v>201</v>
      </c>
      <c r="BJU16" s="310" t="s">
        <v>201</v>
      </c>
      <c r="BJV16" s="310" t="s">
        <v>201</v>
      </c>
      <c r="BJW16" s="310" t="s">
        <v>201</v>
      </c>
      <c r="BJX16" s="310" t="s">
        <v>201</v>
      </c>
      <c r="BJY16" s="310" t="s">
        <v>201</v>
      </c>
      <c r="BJZ16" s="310" t="s">
        <v>201</v>
      </c>
      <c r="BKA16" s="310" t="s">
        <v>201</v>
      </c>
      <c r="BKB16" s="310" t="s">
        <v>201</v>
      </c>
      <c r="BKC16" s="310" t="s">
        <v>201</v>
      </c>
      <c r="BKD16" s="310" t="s">
        <v>201</v>
      </c>
      <c r="BKE16" s="310" t="s">
        <v>201</v>
      </c>
      <c r="BKF16" s="310" t="s">
        <v>201</v>
      </c>
      <c r="BKG16" s="310" t="s">
        <v>201</v>
      </c>
      <c r="BKH16" s="310" t="s">
        <v>201</v>
      </c>
      <c r="BKI16" s="310" t="s">
        <v>201</v>
      </c>
      <c r="BKJ16" s="310" t="s">
        <v>201</v>
      </c>
      <c r="BKK16" s="310" t="s">
        <v>201</v>
      </c>
      <c r="BKL16" s="310" t="s">
        <v>201</v>
      </c>
      <c r="BKM16" s="310" t="s">
        <v>201</v>
      </c>
      <c r="BKN16" s="310" t="s">
        <v>201</v>
      </c>
      <c r="BKO16" s="310" t="s">
        <v>201</v>
      </c>
      <c r="BKP16" s="310" t="s">
        <v>201</v>
      </c>
      <c r="BKQ16" s="310" t="s">
        <v>201</v>
      </c>
      <c r="BKR16" s="310" t="s">
        <v>201</v>
      </c>
      <c r="BKS16" s="310" t="s">
        <v>201</v>
      </c>
      <c r="BKT16" s="310" t="s">
        <v>201</v>
      </c>
      <c r="BKU16" s="310" t="s">
        <v>201</v>
      </c>
      <c r="BKV16" s="310" t="s">
        <v>201</v>
      </c>
      <c r="BKW16" s="310" t="s">
        <v>201</v>
      </c>
      <c r="BKX16" s="310" t="s">
        <v>201</v>
      </c>
      <c r="BKY16" s="310" t="s">
        <v>201</v>
      </c>
      <c r="BKZ16" s="310" t="s">
        <v>201</v>
      </c>
      <c r="BLA16" s="310" t="s">
        <v>201</v>
      </c>
      <c r="BLB16" s="310" t="s">
        <v>201</v>
      </c>
      <c r="BLC16" s="310" t="s">
        <v>201</v>
      </c>
      <c r="BLD16" s="310" t="s">
        <v>201</v>
      </c>
      <c r="BLE16" s="310" t="s">
        <v>201</v>
      </c>
      <c r="BLF16" s="310" t="s">
        <v>201</v>
      </c>
      <c r="BLG16" s="310" t="s">
        <v>201</v>
      </c>
      <c r="BLH16" s="310" t="s">
        <v>201</v>
      </c>
      <c r="BLI16" s="310" t="s">
        <v>201</v>
      </c>
      <c r="BLJ16" s="310" t="s">
        <v>201</v>
      </c>
      <c r="BLK16" s="310" t="s">
        <v>201</v>
      </c>
      <c r="BLL16" s="310" t="s">
        <v>201</v>
      </c>
      <c r="BLM16" s="310" t="s">
        <v>201</v>
      </c>
      <c r="BLN16" s="310" t="s">
        <v>201</v>
      </c>
      <c r="BLO16" s="310" t="s">
        <v>201</v>
      </c>
      <c r="BLP16" s="310" t="s">
        <v>201</v>
      </c>
      <c r="BLQ16" s="310" t="s">
        <v>201</v>
      </c>
      <c r="BLR16" s="310" t="s">
        <v>201</v>
      </c>
      <c r="BLS16" s="310" t="s">
        <v>201</v>
      </c>
      <c r="BLT16" s="310" t="s">
        <v>201</v>
      </c>
      <c r="BLU16" s="310" t="s">
        <v>201</v>
      </c>
      <c r="BLV16" s="310" t="s">
        <v>201</v>
      </c>
      <c r="BLW16" s="310" t="s">
        <v>201</v>
      </c>
      <c r="BLX16" s="310" t="s">
        <v>201</v>
      </c>
      <c r="BLY16" s="310" t="s">
        <v>201</v>
      </c>
      <c r="BLZ16" s="310" t="s">
        <v>201</v>
      </c>
      <c r="BMA16" s="310" t="s">
        <v>201</v>
      </c>
      <c r="BMB16" s="310" t="s">
        <v>201</v>
      </c>
      <c r="BMC16" s="310" t="s">
        <v>201</v>
      </c>
      <c r="BMD16" s="310" t="s">
        <v>201</v>
      </c>
      <c r="BME16" s="310" t="s">
        <v>201</v>
      </c>
      <c r="BMF16" s="310" t="s">
        <v>201</v>
      </c>
      <c r="BMG16" s="310" t="s">
        <v>201</v>
      </c>
      <c r="BMH16" s="310" t="s">
        <v>201</v>
      </c>
      <c r="BMI16" s="310" t="s">
        <v>201</v>
      </c>
      <c r="BMJ16" s="310" t="s">
        <v>201</v>
      </c>
      <c r="BMK16" s="310" t="s">
        <v>201</v>
      </c>
      <c r="BML16" s="310" t="s">
        <v>201</v>
      </c>
      <c r="BMM16" s="310" t="s">
        <v>201</v>
      </c>
      <c r="BMN16" s="310" t="s">
        <v>201</v>
      </c>
      <c r="BMO16" s="310" t="s">
        <v>201</v>
      </c>
      <c r="BMP16" s="310" t="s">
        <v>201</v>
      </c>
      <c r="BMQ16" s="310" t="s">
        <v>201</v>
      </c>
      <c r="BMR16" s="310" t="s">
        <v>201</v>
      </c>
      <c r="BMS16" s="310" t="s">
        <v>201</v>
      </c>
      <c r="BMT16" s="310" t="s">
        <v>201</v>
      </c>
      <c r="BMU16" s="310" t="s">
        <v>201</v>
      </c>
      <c r="BMV16" s="310" t="s">
        <v>201</v>
      </c>
      <c r="BMW16" s="310" t="s">
        <v>201</v>
      </c>
      <c r="BMX16" s="310" t="s">
        <v>201</v>
      </c>
      <c r="BMY16" s="310" t="s">
        <v>201</v>
      </c>
      <c r="BMZ16" s="310" t="s">
        <v>201</v>
      </c>
      <c r="BNA16" s="310" t="s">
        <v>201</v>
      </c>
      <c r="BNB16" s="310" t="s">
        <v>201</v>
      </c>
      <c r="BNC16" s="310" t="s">
        <v>201</v>
      </c>
      <c r="BND16" s="310" t="s">
        <v>201</v>
      </c>
      <c r="BNE16" s="310" t="s">
        <v>201</v>
      </c>
      <c r="BNF16" s="310" t="s">
        <v>201</v>
      </c>
      <c r="BNG16" s="310" t="s">
        <v>201</v>
      </c>
      <c r="BNH16" s="310" t="s">
        <v>201</v>
      </c>
      <c r="BNI16" s="310" t="s">
        <v>201</v>
      </c>
      <c r="BNJ16" s="310" t="s">
        <v>201</v>
      </c>
      <c r="BNK16" s="310" t="s">
        <v>201</v>
      </c>
      <c r="BNL16" s="310" t="s">
        <v>201</v>
      </c>
      <c r="BNM16" s="310" t="s">
        <v>201</v>
      </c>
      <c r="BNN16" s="310" t="s">
        <v>201</v>
      </c>
      <c r="BNO16" s="310" t="s">
        <v>201</v>
      </c>
      <c r="BNP16" s="310" t="s">
        <v>201</v>
      </c>
      <c r="BNQ16" s="310" t="s">
        <v>201</v>
      </c>
      <c r="BNR16" s="310" t="s">
        <v>201</v>
      </c>
      <c r="BNS16" s="310" t="s">
        <v>201</v>
      </c>
      <c r="BNT16" s="310" t="s">
        <v>201</v>
      </c>
      <c r="BNU16" s="310" t="s">
        <v>201</v>
      </c>
      <c r="BNV16" s="310" t="s">
        <v>201</v>
      </c>
      <c r="BNW16" s="310" t="s">
        <v>201</v>
      </c>
      <c r="BNX16" s="310" t="s">
        <v>201</v>
      </c>
      <c r="BNY16" s="310" t="s">
        <v>201</v>
      </c>
      <c r="BNZ16" s="310" t="s">
        <v>201</v>
      </c>
      <c r="BOA16" s="310" t="s">
        <v>201</v>
      </c>
      <c r="BOB16" s="310" t="s">
        <v>201</v>
      </c>
      <c r="BOC16" s="310" t="s">
        <v>201</v>
      </c>
      <c r="BOD16" s="310" t="s">
        <v>201</v>
      </c>
      <c r="BOE16" s="310" t="s">
        <v>201</v>
      </c>
      <c r="BOF16" s="310" t="s">
        <v>201</v>
      </c>
      <c r="BOG16" s="310" t="s">
        <v>201</v>
      </c>
      <c r="BOH16" s="310" t="s">
        <v>201</v>
      </c>
      <c r="BOI16" s="310" t="s">
        <v>201</v>
      </c>
      <c r="BOJ16" s="310" t="s">
        <v>201</v>
      </c>
      <c r="BOK16" s="310" t="s">
        <v>201</v>
      </c>
      <c r="BOL16" s="310" t="s">
        <v>201</v>
      </c>
      <c r="BOM16" s="310" t="s">
        <v>201</v>
      </c>
      <c r="BON16" s="310" t="s">
        <v>201</v>
      </c>
      <c r="BOO16" s="310" t="s">
        <v>201</v>
      </c>
      <c r="BOP16" s="310" t="s">
        <v>201</v>
      </c>
      <c r="BOQ16" s="310" t="s">
        <v>201</v>
      </c>
      <c r="BOR16" s="310" t="s">
        <v>201</v>
      </c>
      <c r="BOS16" s="310" t="s">
        <v>201</v>
      </c>
      <c r="BOT16" s="310" t="s">
        <v>201</v>
      </c>
      <c r="BOU16" s="310" t="s">
        <v>201</v>
      </c>
      <c r="BOV16" s="310" t="s">
        <v>201</v>
      </c>
      <c r="BOW16" s="310" t="s">
        <v>201</v>
      </c>
      <c r="BOX16" s="310" t="s">
        <v>201</v>
      </c>
      <c r="BOY16" s="310" t="s">
        <v>201</v>
      </c>
      <c r="BOZ16" s="310" t="s">
        <v>201</v>
      </c>
      <c r="BPA16" s="310" t="s">
        <v>201</v>
      </c>
      <c r="BPB16" s="310" t="s">
        <v>201</v>
      </c>
      <c r="BPC16" s="310" t="s">
        <v>201</v>
      </c>
      <c r="BPD16" s="310" t="s">
        <v>201</v>
      </c>
      <c r="BPE16" s="310" t="s">
        <v>201</v>
      </c>
      <c r="BPF16" s="310" t="s">
        <v>201</v>
      </c>
      <c r="BPG16" s="310" t="s">
        <v>201</v>
      </c>
      <c r="BPH16" s="310" t="s">
        <v>201</v>
      </c>
      <c r="BPI16" s="310" t="s">
        <v>201</v>
      </c>
      <c r="BPJ16" s="310" t="s">
        <v>201</v>
      </c>
      <c r="BPK16" s="310" t="s">
        <v>201</v>
      </c>
      <c r="BPL16" s="310" t="s">
        <v>201</v>
      </c>
      <c r="BPM16" s="310" t="s">
        <v>201</v>
      </c>
      <c r="BPN16" s="310" t="s">
        <v>201</v>
      </c>
      <c r="BPO16" s="310" t="s">
        <v>201</v>
      </c>
      <c r="BPP16" s="310" t="s">
        <v>201</v>
      </c>
      <c r="BPQ16" s="310" t="s">
        <v>201</v>
      </c>
      <c r="BPR16" s="310" t="s">
        <v>201</v>
      </c>
      <c r="BPS16" s="310" t="s">
        <v>201</v>
      </c>
      <c r="BPT16" s="310" t="s">
        <v>201</v>
      </c>
      <c r="BPU16" s="310" t="s">
        <v>201</v>
      </c>
      <c r="BPV16" s="310" t="s">
        <v>201</v>
      </c>
      <c r="BPW16" s="310" t="s">
        <v>201</v>
      </c>
      <c r="BPX16" s="310" t="s">
        <v>201</v>
      </c>
      <c r="BPY16" s="310" t="s">
        <v>201</v>
      </c>
      <c r="BPZ16" s="310" t="s">
        <v>201</v>
      </c>
      <c r="BQA16" s="310" t="s">
        <v>201</v>
      </c>
      <c r="BQB16" s="310" t="s">
        <v>201</v>
      </c>
      <c r="BQC16" s="310" t="s">
        <v>201</v>
      </c>
      <c r="BQD16" s="310" t="s">
        <v>201</v>
      </c>
      <c r="BQE16" s="310" t="s">
        <v>201</v>
      </c>
      <c r="BQF16" s="310" t="s">
        <v>201</v>
      </c>
      <c r="BQG16" s="310" t="s">
        <v>201</v>
      </c>
      <c r="BQH16" s="310" t="s">
        <v>201</v>
      </c>
      <c r="BQI16" s="310" t="s">
        <v>201</v>
      </c>
      <c r="BQJ16" s="310" t="s">
        <v>201</v>
      </c>
      <c r="BQK16" s="310" t="s">
        <v>201</v>
      </c>
      <c r="BQL16" s="310" t="s">
        <v>201</v>
      </c>
      <c r="BQM16" s="310" t="s">
        <v>201</v>
      </c>
      <c r="BQN16" s="310" t="s">
        <v>201</v>
      </c>
      <c r="BQO16" s="310" t="s">
        <v>201</v>
      </c>
      <c r="BQP16" s="310" t="s">
        <v>201</v>
      </c>
      <c r="BQQ16" s="310" t="s">
        <v>201</v>
      </c>
      <c r="BQR16" s="310" t="s">
        <v>201</v>
      </c>
      <c r="BQS16" s="310" t="s">
        <v>201</v>
      </c>
      <c r="BQT16" s="310" t="s">
        <v>201</v>
      </c>
      <c r="BQU16" s="310" t="s">
        <v>201</v>
      </c>
      <c r="BQV16" s="310" t="s">
        <v>201</v>
      </c>
      <c r="BQW16" s="310" t="s">
        <v>201</v>
      </c>
      <c r="BQX16" s="310" t="s">
        <v>201</v>
      </c>
      <c r="BQY16" s="310" t="s">
        <v>201</v>
      </c>
      <c r="BQZ16" s="310" t="s">
        <v>201</v>
      </c>
      <c r="BRA16" s="310" t="s">
        <v>201</v>
      </c>
      <c r="BRB16" s="310" t="s">
        <v>201</v>
      </c>
      <c r="BRC16" s="310" t="s">
        <v>201</v>
      </c>
      <c r="BRD16" s="310" t="s">
        <v>201</v>
      </c>
      <c r="BRE16" s="310" t="s">
        <v>201</v>
      </c>
      <c r="BRF16" s="310" t="s">
        <v>201</v>
      </c>
      <c r="BRG16" s="310" t="s">
        <v>201</v>
      </c>
      <c r="BRH16" s="310" t="s">
        <v>201</v>
      </c>
      <c r="BRI16" s="310" t="s">
        <v>201</v>
      </c>
      <c r="BRJ16" s="310" t="s">
        <v>201</v>
      </c>
      <c r="BRK16" s="310" t="s">
        <v>201</v>
      </c>
      <c r="BRL16" s="310" t="s">
        <v>201</v>
      </c>
      <c r="BRM16" s="310" t="s">
        <v>201</v>
      </c>
      <c r="BRN16" s="310" t="s">
        <v>201</v>
      </c>
      <c r="BRO16" s="310" t="s">
        <v>201</v>
      </c>
      <c r="BRP16" s="310" t="s">
        <v>201</v>
      </c>
      <c r="BRQ16" s="310" t="s">
        <v>201</v>
      </c>
      <c r="BRR16" s="310" t="s">
        <v>201</v>
      </c>
      <c r="BRS16" s="310" t="s">
        <v>201</v>
      </c>
      <c r="BRT16" s="310" t="s">
        <v>201</v>
      </c>
      <c r="BRU16" s="310" t="s">
        <v>201</v>
      </c>
      <c r="BRV16" s="310" t="s">
        <v>201</v>
      </c>
      <c r="BRW16" s="310" t="s">
        <v>201</v>
      </c>
      <c r="BRX16" s="310" t="s">
        <v>201</v>
      </c>
      <c r="BRY16" s="310" t="s">
        <v>201</v>
      </c>
      <c r="BRZ16" s="310" t="s">
        <v>201</v>
      </c>
      <c r="BSA16" s="310" t="s">
        <v>201</v>
      </c>
      <c r="BSB16" s="310" t="s">
        <v>201</v>
      </c>
      <c r="BSC16" s="310" t="s">
        <v>201</v>
      </c>
      <c r="BSD16" s="310" t="s">
        <v>201</v>
      </c>
      <c r="BSE16" s="310" t="s">
        <v>201</v>
      </c>
      <c r="BSF16" s="310" t="s">
        <v>201</v>
      </c>
      <c r="BSG16" s="310" t="s">
        <v>201</v>
      </c>
      <c r="BSH16" s="310" t="s">
        <v>201</v>
      </c>
      <c r="BSI16" s="310" t="s">
        <v>201</v>
      </c>
      <c r="BSJ16" s="310" t="s">
        <v>201</v>
      </c>
      <c r="BSK16" s="310" t="s">
        <v>201</v>
      </c>
      <c r="BSL16" s="310" t="s">
        <v>201</v>
      </c>
      <c r="BSM16" s="310" t="s">
        <v>201</v>
      </c>
      <c r="BSN16" s="310" t="s">
        <v>201</v>
      </c>
      <c r="BSO16" s="310" t="s">
        <v>201</v>
      </c>
      <c r="BSP16" s="310" t="s">
        <v>201</v>
      </c>
      <c r="BSQ16" s="310" t="s">
        <v>201</v>
      </c>
      <c r="BSR16" s="310" t="s">
        <v>201</v>
      </c>
      <c r="BSS16" s="310" t="s">
        <v>201</v>
      </c>
      <c r="BST16" s="310" t="s">
        <v>201</v>
      </c>
      <c r="BSU16" s="310" t="s">
        <v>201</v>
      </c>
      <c r="BSV16" s="310" t="s">
        <v>201</v>
      </c>
      <c r="BSW16" s="310" t="s">
        <v>201</v>
      </c>
      <c r="BSX16" s="310" t="s">
        <v>201</v>
      </c>
      <c r="BSY16" s="310" t="s">
        <v>201</v>
      </c>
      <c r="BSZ16" s="310" t="s">
        <v>201</v>
      </c>
      <c r="BTA16" s="310" t="s">
        <v>201</v>
      </c>
      <c r="BTB16" s="310" t="s">
        <v>201</v>
      </c>
      <c r="BTC16" s="310" t="s">
        <v>201</v>
      </c>
      <c r="BTD16" s="310" t="s">
        <v>201</v>
      </c>
      <c r="BTE16" s="310" t="s">
        <v>201</v>
      </c>
      <c r="BTF16" s="310" t="s">
        <v>201</v>
      </c>
      <c r="BTG16" s="310" t="s">
        <v>201</v>
      </c>
      <c r="BTH16" s="310" t="s">
        <v>201</v>
      </c>
      <c r="BTI16" s="310" t="s">
        <v>201</v>
      </c>
      <c r="BTJ16" s="310" t="s">
        <v>201</v>
      </c>
      <c r="BTK16" s="310" t="s">
        <v>201</v>
      </c>
      <c r="BTL16" s="310" t="s">
        <v>201</v>
      </c>
      <c r="BTM16" s="310" t="s">
        <v>201</v>
      </c>
      <c r="BTN16" s="310" t="s">
        <v>201</v>
      </c>
      <c r="BTO16" s="310" t="s">
        <v>201</v>
      </c>
      <c r="BTP16" s="310" t="s">
        <v>201</v>
      </c>
      <c r="BTQ16" s="310" t="s">
        <v>201</v>
      </c>
      <c r="BTR16" s="310" t="s">
        <v>201</v>
      </c>
      <c r="BTS16" s="310" t="s">
        <v>201</v>
      </c>
      <c r="BTT16" s="310" t="s">
        <v>201</v>
      </c>
      <c r="BTU16" s="310" t="s">
        <v>201</v>
      </c>
      <c r="BTV16" s="310" t="s">
        <v>201</v>
      </c>
      <c r="BTW16" s="310" t="s">
        <v>201</v>
      </c>
      <c r="BTX16" s="310" t="s">
        <v>201</v>
      </c>
      <c r="BTY16" s="310" t="s">
        <v>201</v>
      </c>
      <c r="BTZ16" s="310" t="s">
        <v>201</v>
      </c>
      <c r="BUA16" s="310" t="s">
        <v>201</v>
      </c>
      <c r="BUB16" s="310" t="s">
        <v>201</v>
      </c>
      <c r="BUC16" s="310" t="s">
        <v>201</v>
      </c>
      <c r="BUD16" s="310" t="s">
        <v>201</v>
      </c>
      <c r="BUE16" s="310" t="s">
        <v>201</v>
      </c>
      <c r="BUF16" s="310" t="s">
        <v>201</v>
      </c>
      <c r="BUG16" s="310" t="s">
        <v>201</v>
      </c>
      <c r="BUH16" s="310" t="s">
        <v>201</v>
      </c>
      <c r="BUI16" s="310" t="s">
        <v>201</v>
      </c>
      <c r="BUJ16" s="310" t="s">
        <v>201</v>
      </c>
      <c r="BUK16" s="310" t="s">
        <v>201</v>
      </c>
      <c r="BUL16" s="310" t="s">
        <v>201</v>
      </c>
      <c r="BUM16" s="310" t="s">
        <v>201</v>
      </c>
      <c r="BUN16" s="310" t="s">
        <v>201</v>
      </c>
      <c r="BUO16" s="310" t="s">
        <v>201</v>
      </c>
      <c r="BUP16" s="310" t="s">
        <v>201</v>
      </c>
      <c r="BUQ16" s="310" t="s">
        <v>201</v>
      </c>
      <c r="BUR16" s="310" t="s">
        <v>201</v>
      </c>
      <c r="BUS16" s="310" t="s">
        <v>201</v>
      </c>
      <c r="BUT16" s="310" t="s">
        <v>201</v>
      </c>
      <c r="BUU16" s="310" t="s">
        <v>201</v>
      </c>
      <c r="BUV16" s="310" t="s">
        <v>201</v>
      </c>
      <c r="BUW16" s="310" t="s">
        <v>201</v>
      </c>
      <c r="BUX16" s="310" t="s">
        <v>201</v>
      </c>
      <c r="BUY16" s="310" t="s">
        <v>201</v>
      </c>
      <c r="BUZ16" s="310" t="s">
        <v>201</v>
      </c>
      <c r="BVA16" s="310" t="s">
        <v>201</v>
      </c>
      <c r="BVB16" s="310" t="s">
        <v>201</v>
      </c>
      <c r="BVC16" s="310" t="s">
        <v>201</v>
      </c>
      <c r="BVD16" s="310" t="s">
        <v>201</v>
      </c>
      <c r="BVE16" s="310" t="s">
        <v>201</v>
      </c>
      <c r="BVF16" s="310" t="s">
        <v>201</v>
      </c>
      <c r="BVG16" s="310" t="s">
        <v>201</v>
      </c>
      <c r="BVH16" s="310" t="s">
        <v>201</v>
      </c>
      <c r="BVI16" s="310" t="s">
        <v>201</v>
      </c>
      <c r="BVJ16" s="310" t="s">
        <v>201</v>
      </c>
      <c r="BVK16" s="310" t="s">
        <v>201</v>
      </c>
      <c r="BVL16" s="310" t="s">
        <v>201</v>
      </c>
      <c r="BVM16" s="310" t="s">
        <v>201</v>
      </c>
      <c r="BVN16" s="310" t="s">
        <v>201</v>
      </c>
      <c r="BVO16" s="310" t="s">
        <v>201</v>
      </c>
      <c r="BVP16" s="310" t="s">
        <v>201</v>
      </c>
      <c r="BVQ16" s="310" t="s">
        <v>201</v>
      </c>
      <c r="BVR16" s="310" t="s">
        <v>201</v>
      </c>
      <c r="BVS16" s="310" t="s">
        <v>201</v>
      </c>
      <c r="BVT16" s="310" t="s">
        <v>201</v>
      </c>
      <c r="BVU16" s="310" t="s">
        <v>201</v>
      </c>
      <c r="BVV16" s="310" t="s">
        <v>201</v>
      </c>
      <c r="BVW16" s="310" t="s">
        <v>201</v>
      </c>
      <c r="BVX16" s="310" t="s">
        <v>201</v>
      </c>
      <c r="BVY16" s="310" t="s">
        <v>201</v>
      </c>
      <c r="BVZ16" s="310" t="s">
        <v>201</v>
      </c>
      <c r="BWA16" s="310" t="s">
        <v>201</v>
      </c>
      <c r="BWB16" s="310" t="s">
        <v>201</v>
      </c>
      <c r="BWC16" s="310" t="s">
        <v>201</v>
      </c>
      <c r="BWD16" s="310" t="s">
        <v>201</v>
      </c>
      <c r="BWE16" s="310" t="s">
        <v>201</v>
      </c>
      <c r="BWF16" s="310" t="s">
        <v>201</v>
      </c>
      <c r="BWG16" s="310" t="s">
        <v>201</v>
      </c>
      <c r="BWH16" s="310" t="s">
        <v>201</v>
      </c>
      <c r="BWI16" s="310" t="s">
        <v>201</v>
      </c>
      <c r="BWJ16" s="310" t="s">
        <v>201</v>
      </c>
      <c r="BWK16" s="310" t="s">
        <v>201</v>
      </c>
      <c r="BWL16" s="310" t="s">
        <v>201</v>
      </c>
      <c r="BWM16" s="310" t="s">
        <v>201</v>
      </c>
      <c r="BWN16" s="310" t="s">
        <v>201</v>
      </c>
      <c r="BWO16" s="310" t="s">
        <v>201</v>
      </c>
      <c r="BWP16" s="310" t="s">
        <v>201</v>
      </c>
      <c r="BWQ16" s="310" t="s">
        <v>201</v>
      </c>
      <c r="BWR16" s="310" t="s">
        <v>201</v>
      </c>
      <c r="BWS16" s="310" t="s">
        <v>201</v>
      </c>
      <c r="BWT16" s="310" t="s">
        <v>201</v>
      </c>
      <c r="BWU16" s="310" t="s">
        <v>201</v>
      </c>
      <c r="BWV16" s="310" t="s">
        <v>201</v>
      </c>
      <c r="BWW16" s="310" t="s">
        <v>201</v>
      </c>
      <c r="BWX16" s="310" t="s">
        <v>201</v>
      </c>
      <c r="BWY16" s="310" t="s">
        <v>201</v>
      </c>
      <c r="BWZ16" s="310" t="s">
        <v>201</v>
      </c>
      <c r="BXA16" s="310" t="s">
        <v>201</v>
      </c>
      <c r="BXB16" s="310" t="s">
        <v>201</v>
      </c>
      <c r="BXC16" s="310" t="s">
        <v>201</v>
      </c>
      <c r="BXD16" s="310" t="s">
        <v>201</v>
      </c>
      <c r="BXE16" s="310" t="s">
        <v>201</v>
      </c>
      <c r="BXF16" s="310" t="s">
        <v>201</v>
      </c>
      <c r="BXG16" s="310" t="s">
        <v>201</v>
      </c>
      <c r="BXH16" s="310" t="s">
        <v>201</v>
      </c>
      <c r="BXI16" s="310" t="s">
        <v>201</v>
      </c>
      <c r="BXJ16" s="310" t="s">
        <v>201</v>
      </c>
      <c r="BXK16" s="310" t="s">
        <v>201</v>
      </c>
      <c r="BXL16" s="310" t="s">
        <v>201</v>
      </c>
      <c r="BXM16" s="310" t="s">
        <v>201</v>
      </c>
      <c r="BXN16" s="310" t="s">
        <v>201</v>
      </c>
      <c r="BXO16" s="310" t="s">
        <v>201</v>
      </c>
      <c r="BXP16" s="310" t="s">
        <v>201</v>
      </c>
      <c r="BXQ16" s="310" t="s">
        <v>201</v>
      </c>
      <c r="BXR16" s="310" t="s">
        <v>201</v>
      </c>
      <c r="BXS16" s="310" t="s">
        <v>201</v>
      </c>
      <c r="BXT16" s="310" t="s">
        <v>201</v>
      </c>
      <c r="BXU16" s="310" t="s">
        <v>201</v>
      </c>
      <c r="BXV16" s="310" t="s">
        <v>201</v>
      </c>
      <c r="BXW16" s="310" t="s">
        <v>201</v>
      </c>
      <c r="BXX16" s="310" t="s">
        <v>201</v>
      </c>
      <c r="BXY16" s="310" t="s">
        <v>201</v>
      </c>
      <c r="BXZ16" s="310" t="s">
        <v>201</v>
      </c>
      <c r="BYA16" s="310" t="s">
        <v>201</v>
      </c>
      <c r="BYB16" s="310" t="s">
        <v>201</v>
      </c>
      <c r="BYC16" s="310" t="s">
        <v>201</v>
      </c>
      <c r="BYD16" s="310" t="s">
        <v>201</v>
      </c>
      <c r="BYE16" s="310" t="s">
        <v>201</v>
      </c>
      <c r="BYF16" s="310" t="s">
        <v>201</v>
      </c>
      <c r="BYG16" s="310" t="s">
        <v>201</v>
      </c>
      <c r="BYH16" s="310" t="s">
        <v>201</v>
      </c>
      <c r="BYI16" s="310" t="s">
        <v>201</v>
      </c>
      <c r="BYJ16" s="310" t="s">
        <v>201</v>
      </c>
      <c r="BYK16" s="310" t="s">
        <v>201</v>
      </c>
      <c r="BYL16" s="310" t="s">
        <v>201</v>
      </c>
      <c r="BYM16" s="310" t="s">
        <v>201</v>
      </c>
      <c r="BYN16" s="310" t="s">
        <v>201</v>
      </c>
      <c r="BYO16" s="310" t="s">
        <v>201</v>
      </c>
      <c r="BYP16" s="310" t="s">
        <v>201</v>
      </c>
      <c r="BYQ16" s="310" t="s">
        <v>201</v>
      </c>
      <c r="BYR16" s="310" t="s">
        <v>201</v>
      </c>
      <c r="BYS16" s="310" t="s">
        <v>201</v>
      </c>
      <c r="BYT16" s="310" t="s">
        <v>201</v>
      </c>
      <c r="BYU16" s="310" t="s">
        <v>201</v>
      </c>
      <c r="BYV16" s="310" t="s">
        <v>201</v>
      </c>
      <c r="BYW16" s="310" t="s">
        <v>201</v>
      </c>
      <c r="BYX16" s="310" t="s">
        <v>201</v>
      </c>
      <c r="BYY16" s="310" t="s">
        <v>201</v>
      </c>
      <c r="BYZ16" s="310" t="s">
        <v>201</v>
      </c>
      <c r="BZA16" s="310" t="s">
        <v>201</v>
      </c>
      <c r="BZB16" s="310" t="s">
        <v>201</v>
      </c>
      <c r="BZC16" s="310" t="s">
        <v>201</v>
      </c>
      <c r="BZD16" s="310" t="s">
        <v>201</v>
      </c>
      <c r="BZE16" s="310" t="s">
        <v>201</v>
      </c>
      <c r="BZF16" s="310" t="s">
        <v>201</v>
      </c>
      <c r="BZG16" s="310" t="s">
        <v>201</v>
      </c>
      <c r="BZH16" s="310" t="s">
        <v>201</v>
      </c>
      <c r="BZI16" s="310" t="s">
        <v>201</v>
      </c>
      <c r="BZJ16" s="310" t="s">
        <v>201</v>
      </c>
      <c r="BZK16" s="310" t="s">
        <v>201</v>
      </c>
      <c r="BZL16" s="310" t="s">
        <v>201</v>
      </c>
      <c r="BZM16" s="310" t="s">
        <v>201</v>
      </c>
      <c r="BZN16" s="310" t="s">
        <v>201</v>
      </c>
      <c r="BZO16" s="310" t="s">
        <v>201</v>
      </c>
      <c r="BZP16" s="310" t="s">
        <v>201</v>
      </c>
      <c r="BZQ16" s="310" t="s">
        <v>201</v>
      </c>
      <c r="BZR16" s="310" t="s">
        <v>201</v>
      </c>
      <c r="BZS16" s="310" t="s">
        <v>201</v>
      </c>
      <c r="BZT16" s="310" t="s">
        <v>201</v>
      </c>
      <c r="BZU16" s="310" t="s">
        <v>201</v>
      </c>
      <c r="BZV16" s="310" t="s">
        <v>201</v>
      </c>
      <c r="BZW16" s="310" t="s">
        <v>201</v>
      </c>
      <c r="BZX16" s="310" t="s">
        <v>201</v>
      </c>
      <c r="BZY16" s="310" t="s">
        <v>201</v>
      </c>
      <c r="BZZ16" s="310" t="s">
        <v>201</v>
      </c>
      <c r="CAA16" s="310" t="s">
        <v>201</v>
      </c>
      <c r="CAB16" s="310" t="s">
        <v>201</v>
      </c>
      <c r="CAC16" s="310" t="s">
        <v>201</v>
      </c>
      <c r="CAD16" s="310" t="s">
        <v>201</v>
      </c>
      <c r="CAE16" s="310" t="s">
        <v>201</v>
      </c>
      <c r="CAF16" s="310" t="s">
        <v>201</v>
      </c>
      <c r="CAG16" s="310" t="s">
        <v>201</v>
      </c>
      <c r="CAH16" s="310" t="s">
        <v>201</v>
      </c>
      <c r="CAI16" s="310" t="s">
        <v>201</v>
      </c>
      <c r="CAJ16" s="310" t="s">
        <v>201</v>
      </c>
      <c r="CAK16" s="310" t="s">
        <v>201</v>
      </c>
      <c r="CAL16" s="310" t="s">
        <v>201</v>
      </c>
      <c r="CAM16" s="310" t="s">
        <v>201</v>
      </c>
      <c r="CAN16" s="310" t="s">
        <v>201</v>
      </c>
      <c r="CAO16" s="310" t="s">
        <v>201</v>
      </c>
      <c r="CAP16" s="310" t="s">
        <v>201</v>
      </c>
      <c r="CAQ16" s="310" t="s">
        <v>201</v>
      </c>
      <c r="CAR16" s="310" t="s">
        <v>201</v>
      </c>
      <c r="CAS16" s="310" t="s">
        <v>201</v>
      </c>
      <c r="CAT16" s="310" t="s">
        <v>201</v>
      </c>
      <c r="CAU16" s="310" t="s">
        <v>201</v>
      </c>
      <c r="CAV16" s="310" t="s">
        <v>201</v>
      </c>
      <c r="CAW16" s="310" t="s">
        <v>201</v>
      </c>
      <c r="CAX16" s="310" t="s">
        <v>201</v>
      </c>
      <c r="CAY16" s="310" t="s">
        <v>201</v>
      </c>
      <c r="CAZ16" s="310" t="s">
        <v>201</v>
      </c>
      <c r="CBA16" s="310" t="s">
        <v>201</v>
      </c>
      <c r="CBB16" s="310" t="s">
        <v>201</v>
      </c>
      <c r="CBC16" s="310" t="s">
        <v>201</v>
      </c>
      <c r="CBD16" s="310" t="s">
        <v>201</v>
      </c>
      <c r="CBE16" s="310" t="s">
        <v>201</v>
      </c>
      <c r="CBF16" s="310" t="s">
        <v>201</v>
      </c>
      <c r="CBG16" s="310" t="s">
        <v>201</v>
      </c>
      <c r="CBH16" s="310" t="s">
        <v>201</v>
      </c>
      <c r="CBI16" s="310" t="s">
        <v>201</v>
      </c>
      <c r="CBJ16" s="310" t="s">
        <v>201</v>
      </c>
      <c r="CBK16" s="310" t="s">
        <v>201</v>
      </c>
      <c r="CBL16" s="310" t="s">
        <v>201</v>
      </c>
      <c r="CBM16" s="310" t="s">
        <v>201</v>
      </c>
      <c r="CBN16" s="310" t="s">
        <v>201</v>
      </c>
      <c r="CBO16" s="310" t="s">
        <v>201</v>
      </c>
      <c r="CBP16" s="310" t="s">
        <v>201</v>
      </c>
      <c r="CBQ16" s="310" t="s">
        <v>201</v>
      </c>
      <c r="CBR16" s="310" t="s">
        <v>201</v>
      </c>
      <c r="CBS16" s="310" t="s">
        <v>201</v>
      </c>
      <c r="CBT16" s="310" t="s">
        <v>201</v>
      </c>
      <c r="CBU16" s="310" t="s">
        <v>201</v>
      </c>
      <c r="CBV16" s="310" t="s">
        <v>201</v>
      </c>
      <c r="CBW16" s="310" t="s">
        <v>201</v>
      </c>
      <c r="CBX16" s="310" t="s">
        <v>201</v>
      </c>
      <c r="CBY16" s="310" t="s">
        <v>201</v>
      </c>
      <c r="CBZ16" s="310" t="s">
        <v>201</v>
      </c>
      <c r="CCA16" s="310" t="s">
        <v>201</v>
      </c>
      <c r="CCB16" s="310" t="s">
        <v>201</v>
      </c>
      <c r="CCC16" s="310" t="s">
        <v>201</v>
      </c>
      <c r="CCD16" s="310" t="s">
        <v>201</v>
      </c>
      <c r="CCE16" s="310" t="s">
        <v>201</v>
      </c>
      <c r="CCF16" s="310" t="s">
        <v>201</v>
      </c>
      <c r="CCG16" s="310" t="s">
        <v>201</v>
      </c>
      <c r="CCH16" s="310" t="s">
        <v>201</v>
      </c>
      <c r="CCI16" s="310" t="s">
        <v>201</v>
      </c>
      <c r="CCJ16" s="310" t="s">
        <v>201</v>
      </c>
      <c r="CCK16" s="310" t="s">
        <v>201</v>
      </c>
      <c r="CCL16" s="310" t="s">
        <v>201</v>
      </c>
      <c r="CCM16" s="310" t="s">
        <v>201</v>
      </c>
      <c r="CCN16" s="310" t="s">
        <v>201</v>
      </c>
      <c r="CCO16" s="310" t="s">
        <v>201</v>
      </c>
      <c r="CCP16" s="310" t="s">
        <v>201</v>
      </c>
      <c r="CCQ16" s="310" t="s">
        <v>201</v>
      </c>
      <c r="CCR16" s="310" t="s">
        <v>201</v>
      </c>
      <c r="CCS16" s="310" t="s">
        <v>201</v>
      </c>
      <c r="CCT16" s="310" t="s">
        <v>201</v>
      </c>
      <c r="CCU16" s="310" t="s">
        <v>201</v>
      </c>
      <c r="CCV16" s="310" t="s">
        <v>201</v>
      </c>
      <c r="CCW16" s="310" t="s">
        <v>201</v>
      </c>
      <c r="CCX16" s="310" t="s">
        <v>201</v>
      </c>
      <c r="CCY16" s="310" t="s">
        <v>201</v>
      </c>
      <c r="CCZ16" s="310" t="s">
        <v>201</v>
      </c>
      <c r="CDA16" s="310" t="s">
        <v>201</v>
      </c>
      <c r="CDB16" s="310" t="s">
        <v>201</v>
      </c>
      <c r="CDC16" s="310" t="s">
        <v>201</v>
      </c>
      <c r="CDD16" s="310" t="s">
        <v>201</v>
      </c>
      <c r="CDE16" s="310" t="s">
        <v>201</v>
      </c>
      <c r="CDF16" s="310" t="s">
        <v>201</v>
      </c>
      <c r="CDG16" s="310" t="s">
        <v>201</v>
      </c>
      <c r="CDH16" s="310" t="s">
        <v>201</v>
      </c>
      <c r="CDI16" s="310" t="s">
        <v>201</v>
      </c>
      <c r="CDJ16" s="310" t="s">
        <v>201</v>
      </c>
      <c r="CDK16" s="310" t="s">
        <v>201</v>
      </c>
      <c r="CDL16" s="310" t="s">
        <v>201</v>
      </c>
      <c r="CDM16" s="310" t="s">
        <v>201</v>
      </c>
      <c r="CDN16" s="310" t="s">
        <v>201</v>
      </c>
      <c r="CDO16" s="310" t="s">
        <v>201</v>
      </c>
      <c r="CDP16" s="310" t="s">
        <v>201</v>
      </c>
      <c r="CDQ16" s="310" t="s">
        <v>201</v>
      </c>
      <c r="CDR16" s="310" t="s">
        <v>201</v>
      </c>
      <c r="CDS16" s="310" t="s">
        <v>201</v>
      </c>
      <c r="CDT16" s="310" t="s">
        <v>201</v>
      </c>
      <c r="CDU16" s="310" t="s">
        <v>201</v>
      </c>
      <c r="CDV16" s="310" t="s">
        <v>201</v>
      </c>
      <c r="CDW16" s="310" t="s">
        <v>201</v>
      </c>
      <c r="CDX16" s="310" t="s">
        <v>201</v>
      </c>
      <c r="CDY16" s="310" t="s">
        <v>201</v>
      </c>
      <c r="CDZ16" s="310" t="s">
        <v>201</v>
      </c>
      <c r="CEA16" s="310" t="s">
        <v>201</v>
      </c>
      <c r="CEB16" s="310" t="s">
        <v>201</v>
      </c>
      <c r="CEC16" s="310" t="s">
        <v>201</v>
      </c>
      <c r="CED16" s="310" t="s">
        <v>201</v>
      </c>
      <c r="CEE16" s="310" t="s">
        <v>201</v>
      </c>
      <c r="CEF16" s="310" t="s">
        <v>201</v>
      </c>
      <c r="CEG16" s="310" t="s">
        <v>201</v>
      </c>
      <c r="CEH16" s="310" t="s">
        <v>201</v>
      </c>
      <c r="CEI16" s="310" t="s">
        <v>201</v>
      </c>
      <c r="CEJ16" s="310" t="s">
        <v>201</v>
      </c>
      <c r="CEK16" s="310" t="s">
        <v>201</v>
      </c>
      <c r="CEL16" s="310" t="s">
        <v>201</v>
      </c>
      <c r="CEM16" s="310" t="s">
        <v>201</v>
      </c>
      <c r="CEN16" s="310" t="s">
        <v>201</v>
      </c>
      <c r="CEO16" s="310" t="s">
        <v>201</v>
      </c>
      <c r="CEP16" s="310" t="s">
        <v>201</v>
      </c>
      <c r="CEQ16" s="310" t="s">
        <v>201</v>
      </c>
      <c r="CER16" s="310" t="s">
        <v>201</v>
      </c>
      <c r="CES16" s="310" t="s">
        <v>201</v>
      </c>
      <c r="CET16" s="310" t="s">
        <v>201</v>
      </c>
      <c r="CEU16" s="310" t="s">
        <v>201</v>
      </c>
      <c r="CEV16" s="310" t="s">
        <v>201</v>
      </c>
      <c r="CEW16" s="310" t="s">
        <v>201</v>
      </c>
      <c r="CEX16" s="310" t="s">
        <v>201</v>
      </c>
      <c r="CEY16" s="310" t="s">
        <v>201</v>
      </c>
      <c r="CEZ16" s="310" t="s">
        <v>201</v>
      </c>
      <c r="CFA16" s="310" t="s">
        <v>201</v>
      </c>
      <c r="CFB16" s="310" t="s">
        <v>201</v>
      </c>
      <c r="CFC16" s="310" t="s">
        <v>201</v>
      </c>
      <c r="CFD16" s="310" t="s">
        <v>201</v>
      </c>
      <c r="CFE16" s="310" t="s">
        <v>201</v>
      </c>
      <c r="CFF16" s="310" t="s">
        <v>201</v>
      </c>
      <c r="CFG16" s="310" t="s">
        <v>201</v>
      </c>
      <c r="CFH16" s="310" t="s">
        <v>201</v>
      </c>
      <c r="CFI16" s="310" t="s">
        <v>201</v>
      </c>
      <c r="CFJ16" s="310" t="s">
        <v>201</v>
      </c>
      <c r="CFK16" s="310" t="s">
        <v>201</v>
      </c>
      <c r="CFL16" s="310" t="s">
        <v>201</v>
      </c>
      <c r="CFM16" s="310" t="s">
        <v>201</v>
      </c>
      <c r="CFN16" s="310" t="s">
        <v>201</v>
      </c>
      <c r="CFO16" s="310" t="s">
        <v>201</v>
      </c>
      <c r="CFP16" s="310" t="s">
        <v>201</v>
      </c>
      <c r="CFQ16" s="310" t="s">
        <v>201</v>
      </c>
      <c r="CFR16" s="310" t="s">
        <v>201</v>
      </c>
      <c r="CFS16" s="310" t="s">
        <v>201</v>
      </c>
      <c r="CFT16" s="310" t="s">
        <v>201</v>
      </c>
      <c r="CFU16" s="310" t="s">
        <v>201</v>
      </c>
      <c r="CFV16" s="310" t="s">
        <v>201</v>
      </c>
      <c r="CFW16" s="310" t="s">
        <v>201</v>
      </c>
      <c r="CFX16" s="310" t="s">
        <v>201</v>
      </c>
      <c r="CFY16" s="310" t="s">
        <v>201</v>
      </c>
      <c r="CFZ16" s="310" t="s">
        <v>201</v>
      </c>
      <c r="CGA16" s="310" t="s">
        <v>201</v>
      </c>
      <c r="CGB16" s="310" t="s">
        <v>201</v>
      </c>
      <c r="CGC16" s="310" t="s">
        <v>201</v>
      </c>
      <c r="CGD16" s="310" t="s">
        <v>201</v>
      </c>
      <c r="CGE16" s="310" t="s">
        <v>201</v>
      </c>
      <c r="CGF16" s="310" t="s">
        <v>201</v>
      </c>
      <c r="CGG16" s="310" t="s">
        <v>201</v>
      </c>
      <c r="CGH16" s="310" t="s">
        <v>201</v>
      </c>
      <c r="CGI16" s="310" t="s">
        <v>201</v>
      </c>
      <c r="CGJ16" s="310" t="s">
        <v>201</v>
      </c>
      <c r="CGK16" s="310" t="s">
        <v>201</v>
      </c>
      <c r="CGL16" s="310" t="s">
        <v>201</v>
      </c>
      <c r="CGM16" s="310" t="s">
        <v>201</v>
      </c>
      <c r="CGN16" s="310" t="s">
        <v>201</v>
      </c>
      <c r="CGO16" s="310" t="s">
        <v>201</v>
      </c>
      <c r="CGP16" s="310" t="s">
        <v>201</v>
      </c>
      <c r="CGQ16" s="310" t="s">
        <v>201</v>
      </c>
      <c r="CGR16" s="310" t="s">
        <v>201</v>
      </c>
      <c r="CGS16" s="310" t="s">
        <v>201</v>
      </c>
      <c r="CGT16" s="310" t="s">
        <v>201</v>
      </c>
      <c r="CGU16" s="310" t="s">
        <v>201</v>
      </c>
      <c r="CGV16" s="310" t="s">
        <v>201</v>
      </c>
      <c r="CGW16" s="310" t="s">
        <v>201</v>
      </c>
      <c r="CGX16" s="310" t="s">
        <v>201</v>
      </c>
      <c r="CGY16" s="310" t="s">
        <v>201</v>
      </c>
      <c r="CGZ16" s="310" t="s">
        <v>201</v>
      </c>
      <c r="CHA16" s="310" t="s">
        <v>201</v>
      </c>
      <c r="CHB16" s="310" t="s">
        <v>201</v>
      </c>
      <c r="CHC16" s="310" t="s">
        <v>201</v>
      </c>
      <c r="CHD16" s="310" t="s">
        <v>201</v>
      </c>
      <c r="CHE16" s="310" t="s">
        <v>201</v>
      </c>
      <c r="CHF16" s="310" t="s">
        <v>201</v>
      </c>
      <c r="CHG16" s="310" t="s">
        <v>201</v>
      </c>
      <c r="CHH16" s="310" t="s">
        <v>201</v>
      </c>
      <c r="CHI16" s="310" t="s">
        <v>201</v>
      </c>
      <c r="CHJ16" s="310" t="s">
        <v>201</v>
      </c>
      <c r="CHK16" s="310" t="s">
        <v>201</v>
      </c>
      <c r="CHL16" s="310" t="s">
        <v>201</v>
      </c>
      <c r="CHM16" s="310" t="s">
        <v>201</v>
      </c>
      <c r="CHN16" s="310" t="s">
        <v>201</v>
      </c>
      <c r="CHO16" s="310" t="s">
        <v>201</v>
      </c>
      <c r="CHP16" s="310" t="s">
        <v>201</v>
      </c>
      <c r="CHQ16" s="310" t="s">
        <v>201</v>
      </c>
      <c r="CHR16" s="310" t="s">
        <v>201</v>
      </c>
      <c r="CHS16" s="310" t="s">
        <v>201</v>
      </c>
      <c r="CHT16" s="310" t="s">
        <v>201</v>
      </c>
      <c r="CHU16" s="310" t="s">
        <v>201</v>
      </c>
      <c r="CHV16" s="310" t="s">
        <v>201</v>
      </c>
      <c r="CHW16" s="310" t="s">
        <v>201</v>
      </c>
      <c r="CHX16" s="310" t="s">
        <v>201</v>
      </c>
      <c r="CHY16" s="310" t="s">
        <v>201</v>
      </c>
      <c r="CHZ16" s="310" t="s">
        <v>201</v>
      </c>
      <c r="CIA16" s="310" t="s">
        <v>201</v>
      </c>
      <c r="CIB16" s="310" t="s">
        <v>201</v>
      </c>
      <c r="CIC16" s="310" t="s">
        <v>201</v>
      </c>
      <c r="CID16" s="310" t="s">
        <v>201</v>
      </c>
      <c r="CIE16" s="310" t="s">
        <v>201</v>
      </c>
      <c r="CIF16" s="310" t="s">
        <v>201</v>
      </c>
      <c r="CIG16" s="310" t="s">
        <v>201</v>
      </c>
      <c r="CIH16" s="310" t="s">
        <v>201</v>
      </c>
      <c r="CII16" s="310" t="s">
        <v>201</v>
      </c>
      <c r="CIJ16" s="310" t="s">
        <v>201</v>
      </c>
      <c r="CIK16" s="310" t="s">
        <v>201</v>
      </c>
      <c r="CIL16" s="310" t="s">
        <v>201</v>
      </c>
      <c r="CIM16" s="310" t="s">
        <v>201</v>
      </c>
      <c r="CIN16" s="310" t="s">
        <v>201</v>
      </c>
      <c r="CIO16" s="310" t="s">
        <v>201</v>
      </c>
      <c r="CIP16" s="310" t="s">
        <v>201</v>
      </c>
      <c r="CIQ16" s="310" t="s">
        <v>201</v>
      </c>
      <c r="CIR16" s="310" t="s">
        <v>201</v>
      </c>
      <c r="CIS16" s="310" t="s">
        <v>201</v>
      </c>
      <c r="CIT16" s="310" t="s">
        <v>201</v>
      </c>
      <c r="CIU16" s="310" t="s">
        <v>201</v>
      </c>
      <c r="CIV16" s="310" t="s">
        <v>201</v>
      </c>
      <c r="CIW16" s="310" t="s">
        <v>201</v>
      </c>
      <c r="CIX16" s="310" t="s">
        <v>201</v>
      </c>
      <c r="CIY16" s="310" t="s">
        <v>201</v>
      </c>
      <c r="CIZ16" s="310" t="s">
        <v>201</v>
      </c>
      <c r="CJA16" s="310" t="s">
        <v>201</v>
      </c>
      <c r="CJB16" s="310" t="s">
        <v>201</v>
      </c>
      <c r="CJC16" s="310" t="s">
        <v>201</v>
      </c>
      <c r="CJD16" s="310" t="s">
        <v>201</v>
      </c>
      <c r="CJE16" s="310" t="s">
        <v>201</v>
      </c>
      <c r="CJF16" s="310" t="s">
        <v>201</v>
      </c>
      <c r="CJG16" s="310" t="s">
        <v>201</v>
      </c>
      <c r="CJH16" s="310" t="s">
        <v>201</v>
      </c>
      <c r="CJI16" s="310" t="s">
        <v>201</v>
      </c>
      <c r="CJJ16" s="310" t="s">
        <v>201</v>
      </c>
      <c r="CJK16" s="310" t="s">
        <v>201</v>
      </c>
      <c r="CJL16" s="310" t="s">
        <v>201</v>
      </c>
      <c r="CJM16" s="310" t="s">
        <v>201</v>
      </c>
      <c r="CJN16" s="310" t="s">
        <v>201</v>
      </c>
      <c r="CJO16" s="310" t="s">
        <v>201</v>
      </c>
      <c r="CJP16" s="310" t="s">
        <v>201</v>
      </c>
      <c r="CJQ16" s="310" t="s">
        <v>201</v>
      </c>
      <c r="CJR16" s="310" t="s">
        <v>201</v>
      </c>
      <c r="CJS16" s="310" t="s">
        <v>201</v>
      </c>
      <c r="CJT16" s="310" t="s">
        <v>201</v>
      </c>
      <c r="CJU16" s="310" t="s">
        <v>201</v>
      </c>
      <c r="CJV16" s="310" t="s">
        <v>201</v>
      </c>
      <c r="CJW16" s="310" t="s">
        <v>201</v>
      </c>
      <c r="CJX16" s="310" t="s">
        <v>201</v>
      </c>
      <c r="CJY16" s="310" t="s">
        <v>201</v>
      </c>
      <c r="CJZ16" s="310" t="s">
        <v>201</v>
      </c>
      <c r="CKA16" s="310" t="s">
        <v>201</v>
      </c>
      <c r="CKB16" s="310" t="s">
        <v>201</v>
      </c>
      <c r="CKC16" s="310" t="s">
        <v>201</v>
      </c>
      <c r="CKD16" s="310" t="s">
        <v>201</v>
      </c>
      <c r="CKE16" s="310" t="s">
        <v>201</v>
      </c>
      <c r="CKF16" s="310" t="s">
        <v>201</v>
      </c>
      <c r="CKG16" s="310" t="s">
        <v>201</v>
      </c>
      <c r="CKH16" s="310" t="s">
        <v>201</v>
      </c>
      <c r="CKI16" s="310" t="s">
        <v>201</v>
      </c>
      <c r="CKJ16" s="310" t="s">
        <v>201</v>
      </c>
      <c r="CKK16" s="310" t="s">
        <v>201</v>
      </c>
      <c r="CKL16" s="310" t="s">
        <v>201</v>
      </c>
      <c r="CKM16" s="310" t="s">
        <v>201</v>
      </c>
      <c r="CKN16" s="310" t="s">
        <v>201</v>
      </c>
      <c r="CKO16" s="310" t="s">
        <v>201</v>
      </c>
      <c r="CKP16" s="310" t="s">
        <v>201</v>
      </c>
      <c r="CKQ16" s="310" t="s">
        <v>201</v>
      </c>
      <c r="CKR16" s="310" t="s">
        <v>201</v>
      </c>
      <c r="CKS16" s="310" t="s">
        <v>201</v>
      </c>
      <c r="CKT16" s="310" t="s">
        <v>201</v>
      </c>
      <c r="CKU16" s="310" t="s">
        <v>201</v>
      </c>
      <c r="CKV16" s="310" t="s">
        <v>201</v>
      </c>
      <c r="CKW16" s="310" t="s">
        <v>201</v>
      </c>
      <c r="CKX16" s="310" t="s">
        <v>201</v>
      </c>
      <c r="CKY16" s="310" t="s">
        <v>201</v>
      </c>
      <c r="CKZ16" s="310" t="s">
        <v>201</v>
      </c>
      <c r="CLA16" s="310" t="s">
        <v>201</v>
      </c>
      <c r="CLB16" s="310" t="s">
        <v>201</v>
      </c>
      <c r="CLC16" s="310" t="s">
        <v>201</v>
      </c>
      <c r="CLD16" s="310" t="s">
        <v>201</v>
      </c>
      <c r="CLE16" s="310" t="s">
        <v>201</v>
      </c>
      <c r="CLF16" s="310" t="s">
        <v>201</v>
      </c>
      <c r="CLG16" s="310" t="s">
        <v>201</v>
      </c>
      <c r="CLH16" s="310" t="s">
        <v>201</v>
      </c>
      <c r="CLI16" s="310" t="s">
        <v>201</v>
      </c>
      <c r="CLJ16" s="310" t="s">
        <v>201</v>
      </c>
      <c r="CLK16" s="310" t="s">
        <v>201</v>
      </c>
      <c r="CLL16" s="310" t="s">
        <v>201</v>
      </c>
      <c r="CLM16" s="310" t="s">
        <v>201</v>
      </c>
      <c r="CLN16" s="310" t="s">
        <v>201</v>
      </c>
      <c r="CLO16" s="310" t="s">
        <v>201</v>
      </c>
      <c r="CLP16" s="310" t="s">
        <v>201</v>
      </c>
      <c r="CLQ16" s="310" t="s">
        <v>201</v>
      </c>
      <c r="CLR16" s="310" t="s">
        <v>201</v>
      </c>
      <c r="CLS16" s="310" t="s">
        <v>201</v>
      </c>
      <c r="CLT16" s="310" t="s">
        <v>201</v>
      </c>
      <c r="CLU16" s="310" t="s">
        <v>201</v>
      </c>
      <c r="CLV16" s="310" t="s">
        <v>201</v>
      </c>
      <c r="CLW16" s="310" t="s">
        <v>201</v>
      </c>
      <c r="CLX16" s="310" t="s">
        <v>201</v>
      </c>
      <c r="CLY16" s="310" t="s">
        <v>201</v>
      </c>
      <c r="CLZ16" s="310" t="s">
        <v>201</v>
      </c>
      <c r="CMA16" s="310" t="s">
        <v>201</v>
      </c>
      <c r="CMB16" s="310" t="s">
        <v>201</v>
      </c>
      <c r="CMC16" s="310" t="s">
        <v>201</v>
      </c>
      <c r="CMD16" s="310" t="s">
        <v>201</v>
      </c>
      <c r="CME16" s="310" t="s">
        <v>201</v>
      </c>
      <c r="CMF16" s="310" t="s">
        <v>201</v>
      </c>
      <c r="CMG16" s="310" t="s">
        <v>201</v>
      </c>
      <c r="CMH16" s="310" t="s">
        <v>201</v>
      </c>
      <c r="CMI16" s="310" t="s">
        <v>201</v>
      </c>
      <c r="CMJ16" s="310" t="s">
        <v>201</v>
      </c>
      <c r="CMK16" s="310" t="s">
        <v>201</v>
      </c>
      <c r="CML16" s="310" t="s">
        <v>201</v>
      </c>
      <c r="CMM16" s="310" t="s">
        <v>201</v>
      </c>
      <c r="CMN16" s="310" t="s">
        <v>201</v>
      </c>
      <c r="CMO16" s="310" t="s">
        <v>201</v>
      </c>
      <c r="CMP16" s="310" t="s">
        <v>201</v>
      </c>
      <c r="CMQ16" s="310" t="s">
        <v>201</v>
      </c>
      <c r="CMR16" s="310" t="s">
        <v>201</v>
      </c>
      <c r="CMS16" s="310" t="s">
        <v>201</v>
      </c>
      <c r="CMT16" s="310" t="s">
        <v>201</v>
      </c>
      <c r="CMU16" s="310" t="s">
        <v>201</v>
      </c>
      <c r="CMV16" s="310" t="s">
        <v>201</v>
      </c>
      <c r="CMW16" s="310" t="s">
        <v>201</v>
      </c>
      <c r="CMX16" s="310" t="s">
        <v>201</v>
      </c>
      <c r="CMY16" s="310" t="s">
        <v>201</v>
      </c>
      <c r="CMZ16" s="310" t="s">
        <v>201</v>
      </c>
      <c r="CNA16" s="310" t="s">
        <v>201</v>
      </c>
      <c r="CNB16" s="310" t="s">
        <v>201</v>
      </c>
      <c r="CNC16" s="310" t="s">
        <v>201</v>
      </c>
      <c r="CND16" s="310" t="s">
        <v>201</v>
      </c>
      <c r="CNE16" s="310" t="s">
        <v>201</v>
      </c>
      <c r="CNF16" s="310" t="s">
        <v>201</v>
      </c>
      <c r="CNG16" s="310" t="s">
        <v>201</v>
      </c>
      <c r="CNH16" s="310" t="s">
        <v>201</v>
      </c>
      <c r="CNI16" s="310" t="s">
        <v>201</v>
      </c>
      <c r="CNJ16" s="310" t="s">
        <v>201</v>
      </c>
      <c r="CNK16" s="310" t="s">
        <v>201</v>
      </c>
      <c r="CNL16" s="310" t="s">
        <v>201</v>
      </c>
      <c r="CNM16" s="310" t="s">
        <v>201</v>
      </c>
      <c r="CNN16" s="310" t="s">
        <v>201</v>
      </c>
      <c r="CNO16" s="310" t="s">
        <v>201</v>
      </c>
      <c r="CNP16" s="310" t="s">
        <v>201</v>
      </c>
      <c r="CNQ16" s="310" t="s">
        <v>201</v>
      </c>
      <c r="CNR16" s="310" t="s">
        <v>201</v>
      </c>
      <c r="CNS16" s="310" t="s">
        <v>201</v>
      </c>
      <c r="CNT16" s="310" t="s">
        <v>201</v>
      </c>
      <c r="CNU16" s="310" t="s">
        <v>201</v>
      </c>
      <c r="CNV16" s="310" t="s">
        <v>201</v>
      </c>
      <c r="CNW16" s="310" t="s">
        <v>201</v>
      </c>
      <c r="CNX16" s="310" t="s">
        <v>201</v>
      </c>
      <c r="CNY16" s="310" t="s">
        <v>201</v>
      </c>
      <c r="CNZ16" s="310" t="s">
        <v>201</v>
      </c>
      <c r="COA16" s="310" t="s">
        <v>201</v>
      </c>
      <c r="COB16" s="310" t="s">
        <v>201</v>
      </c>
      <c r="COC16" s="310" t="s">
        <v>201</v>
      </c>
      <c r="COD16" s="310" t="s">
        <v>201</v>
      </c>
      <c r="COE16" s="310" t="s">
        <v>201</v>
      </c>
      <c r="COF16" s="310" t="s">
        <v>201</v>
      </c>
      <c r="COG16" s="310" t="s">
        <v>201</v>
      </c>
      <c r="COH16" s="310" t="s">
        <v>201</v>
      </c>
      <c r="COI16" s="310" t="s">
        <v>201</v>
      </c>
      <c r="COJ16" s="310" t="s">
        <v>201</v>
      </c>
      <c r="COK16" s="310" t="s">
        <v>201</v>
      </c>
      <c r="COL16" s="310" t="s">
        <v>201</v>
      </c>
      <c r="COM16" s="310" t="s">
        <v>201</v>
      </c>
      <c r="CON16" s="310" t="s">
        <v>201</v>
      </c>
      <c r="COO16" s="310" t="s">
        <v>201</v>
      </c>
      <c r="COP16" s="310" t="s">
        <v>201</v>
      </c>
      <c r="COQ16" s="310" t="s">
        <v>201</v>
      </c>
      <c r="COR16" s="310" t="s">
        <v>201</v>
      </c>
      <c r="COS16" s="310" t="s">
        <v>201</v>
      </c>
      <c r="COT16" s="310" t="s">
        <v>201</v>
      </c>
      <c r="COU16" s="310" t="s">
        <v>201</v>
      </c>
      <c r="COV16" s="310" t="s">
        <v>201</v>
      </c>
      <c r="COW16" s="310" t="s">
        <v>201</v>
      </c>
      <c r="COX16" s="310" t="s">
        <v>201</v>
      </c>
      <c r="COY16" s="310" t="s">
        <v>201</v>
      </c>
      <c r="COZ16" s="310" t="s">
        <v>201</v>
      </c>
      <c r="CPA16" s="310" t="s">
        <v>201</v>
      </c>
      <c r="CPB16" s="310" t="s">
        <v>201</v>
      </c>
      <c r="CPC16" s="310" t="s">
        <v>201</v>
      </c>
      <c r="CPD16" s="310" t="s">
        <v>201</v>
      </c>
      <c r="CPE16" s="310" t="s">
        <v>201</v>
      </c>
      <c r="CPF16" s="310" t="s">
        <v>201</v>
      </c>
      <c r="CPG16" s="310" t="s">
        <v>201</v>
      </c>
      <c r="CPH16" s="310" t="s">
        <v>201</v>
      </c>
      <c r="CPI16" s="310" t="s">
        <v>201</v>
      </c>
      <c r="CPJ16" s="310" t="s">
        <v>201</v>
      </c>
      <c r="CPK16" s="310" t="s">
        <v>201</v>
      </c>
      <c r="CPL16" s="310" t="s">
        <v>201</v>
      </c>
      <c r="CPM16" s="310" t="s">
        <v>201</v>
      </c>
      <c r="CPN16" s="310" t="s">
        <v>201</v>
      </c>
      <c r="CPO16" s="310" t="s">
        <v>201</v>
      </c>
      <c r="CPP16" s="310" t="s">
        <v>201</v>
      </c>
      <c r="CPQ16" s="310" t="s">
        <v>201</v>
      </c>
      <c r="CPR16" s="310" t="s">
        <v>201</v>
      </c>
      <c r="CPS16" s="310" t="s">
        <v>201</v>
      </c>
      <c r="CPT16" s="310" t="s">
        <v>201</v>
      </c>
      <c r="CPU16" s="310" t="s">
        <v>201</v>
      </c>
      <c r="CPV16" s="310" t="s">
        <v>201</v>
      </c>
      <c r="CPW16" s="310" t="s">
        <v>201</v>
      </c>
      <c r="CPX16" s="310" t="s">
        <v>201</v>
      </c>
      <c r="CPY16" s="310" t="s">
        <v>201</v>
      </c>
      <c r="CPZ16" s="310" t="s">
        <v>201</v>
      </c>
      <c r="CQA16" s="310" t="s">
        <v>201</v>
      </c>
      <c r="CQB16" s="310" t="s">
        <v>201</v>
      </c>
      <c r="CQC16" s="310" t="s">
        <v>201</v>
      </c>
      <c r="CQD16" s="310" t="s">
        <v>201</v>
      </c>
      <c r="CQE16" s="310" t="s">
        <v>201</v>
      </c>
      <c r="CQF16" s="310" t="s">
        <v>201</v>
      </c>
      <c r="CQG16" s="310" t="s">
        <v>201</v>
      </c>
      <c r="CQH16" s="310" t="s">
        <v>201</v>
      </c>
      <c r="CQI16" s="310" t="s">
        <v>201</v>
      </c>
      <c r="CQJ16" s="310" t="s">
        <v>201</v>
      </c>
      <c r="CQK16" s="310" t="s">
        <v>201</v>
      </c>
      <c r="CQL16" s="310" t="s">
        <v>201</v>
      </c>
      <c r="CQM16" s="310" t="s">
        <v>201</v>
      </c>
      <c r="CQN16" s="310" t="s">
        <v>201</v>
      </c>
      <c r="CQO16" s="310" t="s">
        <v>201</v>
      </c>
      <c r="CQP16" s="310" t="s">
        <v>201</v>
      </c>
      <c r="CQQ16" s="310" t="s">
        <v>201</v>
      </c>
      <c r="CQR16" s="310" t="s">
        <v>201</v>
      </c>
      <c r="CQS16" s="310" t="s">
        <v>201</v>
      </c>
      <c r="CQT16" s="310" t="s">
        <v>201</v>
      </c>
      <c r="CQU16" s="310" t="s">
        <v>201</v>
      </c>
      <c r="CQV16" s="310" t="s">
        <v>201</v>
      </c>
      <c r="CQW16" s="310" t="s">
        <v>201</v>
      </c>
      <c r="CQX16" s="310" t="s">
        <v>201</v>
      </c>
      <c r="CQY16" s="310" t="s">
        <v>201</v>
      </c>
      <c r="CQZ16" s="310" t="s">
        <v>201</v>
      </c>
      <c r="CRA16" s="310" t="s">
        <v>201</v>
      </c>
      <c r="CRB16" s="310" t="s">
        <v>201</v>
      </c>
      <c r="CRC16" s="310" t="s">
        <v>201</v>
      </c>
      <c r="CRD16" s="310" t="s">
        <v>201</v>
      </c>
      <c r="CRE16" s="310" t="s">
        <v>201</v>
      </c>
      <c r="CRF16" s="310" t="s">
        <v>201</v>
      </c>
      <c r="CRG16" s="310" t="s">
        <v>201</v>
      </c>
      <c r="CRH16" s="310" t="s">
        <v>201</v>
      </c>
      <c r="CRI16" s="310" t="s">
        <v>201</v>
      </c>
      <c r="CRJ16" s="310" t="s">
        <v>201</v>
      </c>
      <c r="CRK16" s="310" t="s">
        <v>201</v>
      </c>
      <c r="CRL16" s="310" t="s">
        <v>201</v>
      </c>
      <c r="CRM16" s="310" t="s">
        <v>201</v>
      </c>
      <c r="CRN16" s="310" t="s">
        <v>201</v>
      </c>
      <c r="CRO16" s="310" t="s">
        <v>201</v>
      </c>
      <c r="CRP16" s="310" t="s">
        <v>201</v>
      </c>
      <c r="CRQ16" s="310" t="s">
        <v>201</v>
      </c>
      <c r="CRR16" s="310" t="s">
        <v>201</v>
      </c>
      <c r="CRS16" s="310" t="s">
        <v>201</v>
      </c>
      <c r="CRT16" s="310" t="s">
        <v>201</v>
      </c>
      <c r="CRU16" s="310" t="s">
        <v>201</v>
      </c>
      <c r="CRV16" s="310" t="s">
        <v>201</v>
      </c>
      <c r="CRW16" s="310" t="s">
        <v>201</v>
      </c>
      <c r="CRX16" s="310" t="s">
        <v>201</v>
      </c>
      <c r="CRY16" s="310" t="s">
        <v>201</v>
      </c>
      <c r="CRZ16" s="310" t="s">
        <v>201</v>
      </c>
      <c r="CSA16" s="310" t="s">
        <v>201</v>
      </c>
      <c r="CSB16" s="310" t="s">
        <v>201</v>
      </c>
      <c r="CSC16" s="310" t="s">
        <v>201</v>
      </c>
      <c r="CSD16" s="310" t="s">
        <v>201</v>
      </c>
      <c r="CSE16" s="310" t="s">
        <v>201</v>
      </c>
      <c r="CSF16" s="310" t="s">
        <v>201</v>
      </c>
      <c r="CSG16" s="310" t="s">
        <v>201</v>
      </c>
      <c r="CSH16" s="310" t="s">
        <v>201</v>
      </c>
      <c r="CSI16" s="310" t="s">
        <v>201</v>
      </c>
      <c r="CSJ16" s="310" t="s">
        <v>201</v>
      </c>
      <c r="CSK16" s="310" t="s">
        <v>201</v>
      </c>
      <c r="CSL16" s="310" t="s">
        <v>201</v>
      </c>
      <c r="CSM16" s="310" t="s">
        <v>201</v>
      </c>
      <c r="CSN16" s="310" t="s">
        <v>201</v>
      </c>
      <c r="CSO16" s="310" t="s">
        <v>201</v>
      </c>
      <c r="CSP16" s="310" t="s">
        <v>201</v>
      </c>
      <c r="CSQ16" s="310" t="s">
        <v>201</v>
      </c>
      <c r="CSR16" s="310" t="s">
        <v>201</v>
      </c>
      <c r="CSS16" s="310" t="s">
        <v>201</v>
      </c>
      <c r="CST16" s="310" t="s">
        <v>201</v>
      </c>
      <c r="CSU16" s="310" t="s">
        <v>201</v>
      </c>
      <c r="CSV16" s="310" t="s">
        <v>201</v>
      </c>
      <c r="CSW16" s="310" t="s">
        <v>201</v>
      </c>
      <c r="CSX16" s="310" t="s">
        <v>201</v>
      </c>
      <c r="CSY16" s="310" t="s">
        <v>201</v>
      </c>
      <c r="CSZ16" s="310" t="s">
        <v>201</v>
      </c>
      <c r="CTA16" s="310" t="s">
        <v>201</v>
      </c>
      <c r="CTB16" s="310" t="s">
        <v>201</v>
      </c>
      <c r="CTC16" s="310" t="s">
        <v>201</v>
      </c>
      <c r="CTD16" s="310" t="s">
        <v>201</v>
      </c>
      <c r="CTE16" s="310" t="s">
        <v>201</v>
      </c>
      <c r="CTF16" s="310" t="s">
        <v>201</v>
      </c>
      <c r="CTG16" s="310" t="s">
        <v>201</v>
      </c>
      <c r="CTH16" s="310" t="s">
        <v>201</v>
      </c>
      <c r="CTI16" s="310" t="s">
        <v>201</v>
      </c>
      <c r="CTJ16" s="310" t="s">
        <v>201</v>
      </c>
      <c r="CTK16" s="310" t="s">
        <v>201</v>
      </c>
      <c r="CTL16" s="310" t="s">
        <v>201</v>
      </c>
      <c r="CTM16" s="310" t="s">
        <v>201</v>
      </c>
      <c r="CTN16" s="310" t="s">
        <v>201</v>
      </c>
      <c r="CTO16" s="310" t="s">
        <v>201</v>
      </c>
      <c r="CTP16" s="310" t="s">
        <v>201</v>
      </c>
      <c r="CTQ16" s="310" t="s">
        <v>201</v>
      </c>
      <c r="CTR16" s="310" t="s">
        <v>201</v>
      </c>
      <c r="CTS16" s="310" t="s">
        <v>201</v>
      </c>
      <c r="CTT16" s="310" t="s">
        <v>201</v>
      </c>
      <c r="CTU16" s="310" t="s">
        <v>201</v>
      </c>
      <c r="CTV16" s="310" t="s">
        <v>201</v>
      </c>
      <c r="CTW16" s="310" t="s">
        <v>201</v>
      </c>
      <c r="CTX16" s="310" t="s">
        <v>201</v>
      </c>
      <c r="CTY16" s="310" t="s">
        <v>201</v>
      </c>
      <c r="CTZ16" s="310" t="s">
        <v>201</v>
      </c>
      <c r="CUA16" s="310" t="s">
        <v>201</v>
      </c>
      <c r="CUB16" s="310" t="s">
        <v>201</v>
      </c>
      <c r="CUC16" s="310" t="s">
        <v>201</v>
      </c>
      <c r="CUD16" s="310" t="s">
        <v>201</v>
      </c>
      <c r="CUE16" s="310" t="s">
        <v>201</v>
      </c>
      <c r="CUF16" s="310" t="s">
        <v>201</v>
      </c>
      <c r="CUG16" s="310" t="s">
        <v>201</v>
      </c>
      <c r="CUH16" s="310" t="s">
        <v>201</v>
      </c>
      <c r="CUI16" s="310" t="s">
        <v>201</v>
      </c>
      <c r="CUJ16" s="310" t="s">
        <v>201</v>
      </c>
      <c r="CUK16" s="310" t="s">
        <v>201</v>
      </c>
      <c r="CUL16" s="310" t="s">
        <v>201</v>
      </c>
      <c r="CUM16" s="310" t="s">
        <v>201</v>
      </c>
      <c r="CUN16" s="310" t="s">
        <v>201</v>
      </c>
      <c r="CUO16" s="310" t="s">
        <v>201</v>
      </c>
      <c r="CUP16" s="310" t="s">
        <v>201</v>
      </c>
      <c r="CUQ16" s="310" t="s">
        <v>201</v>
      </c>
      <c r="CUR16" s="310" t="s">
        <v>201</v>
      </c>
      <c r="CUS16" s="310" t="s">
        <v>201</v>
      </c>
      <c r="CUT16" s="310" t="s">
        <v>201</v>
      </c>
      <c r="CUU16" s="310" t="s">
        <v>201</v>
      </c>
      <c r="CUV16" s="310" t="s">
        <v>201</v>
      </c>
      <c r="CUW16" s="310" t="s">
        <v>201</v>
      </c>
      <c r="CUX16" s="310" t="s">
        <v>201</v>
      </c>
      <c r="CUY16" s="310" t="s">
        <v>201</v>
      </c>
      <c r="CUZ16" s="310" t="s">
        <v>201</v>
      </c>
      <c r="CVA16" s="310" t="s">
        <v>201</v>
      </c>
      <c r="CVB16" s="310" t="s">
        <v>201</v>
      </c>
      <c r="CVC16" s="310" t="s">
        <v>201</v>
      </c>
      <c r="CVD16" s="310" t="s">
        <v>201</v>
      </c>
      <c r="CVE16" s="310" t="s">
        <v>201</v>
      </c>
      <c r="CVF16" s="310" t="s">
        <v>201</v>
      </c>
      <c r="CVG16" s="310" t="s">
        <v>201</v>
      </c>
      <c r="CVH16" s="310" t="s">
        <v>201</v>
      </c>
      <c r="CVI16" s="310" t="s">
        <v>201</v>
      </c>
      <c r="CVJ16" s="310" t="s">
        <v>201</v>
      </c>
      <c r="CVK16" s="310" t="s">
        <v>201</v>
      </c>
      <c r="CVL16" s="310" t="s">
        <v>201</v>
      </c>
      <c r="CVM16" s="310" t="s">
        <v>201</v>
      </c>
      <c r="CVN16" s="310" t="s">
        <v>201</v>
      </c>
      <c r="CVO16" s="310" t="s">
        <v>201</v>
      </c>
      <c r="CVP16" s="310" t="s">
        <v>201</v>
      </c>
      <c r="CVQ16" s="310" t="s">
        <v>201</v>
      </c>
      <c r="CVR16" s="310" t="s">
        <v>201</v>
      </c>
      <c r="CVS16" s="310" t="s">
        <v>201</v>
      </c>
      <c r="CVT16" s="310" t="s">
        <v>201</v>
      </c>
      <c r="CVU16" s="310" t="s">
        <v>201</v>
      </c>
      <c r="CVV16" s="310" t="s">
        <v>201</v>
      </c>
      <c r="CVW16" s="310" t="s">
        <v>201</v>
      </c>
      <c r="CVX16" s="310" t="s">
        <v>201</v>
      </c>
      <c r="CVY16" s="310" t="s">
        <v>201</v>
      </c>
      <c r="CVZ16" s="310" t="s">
        <v>201</v>
      </c>
      <c r="CWA16" s="310" t="s">
        <v>201</v>
      </c>
      <c r="CWB16" s="310" t="s">
        <v>201</v>
      </c>
      <c r="CWC16" s="310" t="s">
        <v>201</v>
      </c>
      <c r="CWD16" s="310" t="s">
        <v>201</v>
      </c>
      <c r="CWE16" s="310" t="s">
        <v>201</v>
      </c>
      <c r="CWF16" s="310" t="s">
        <v>201</v>
      </c>
      <c r="CWG16" s="310" t="s">
        <v>201</v>
      </c>
      <c r="CWH16" s="310" t="s">
        <v>201</v>
      </c>
      <c r="CWI16" s="310" t="s">
        <v>201</v>
      </c>
      <c r="CWJ16" s="310" t="s">
        <v>201</v>
      </c>
      <c r="CWK16" s="310" t="s">
        <v>201</v>
      </c>
      <c r="CWL16" s="310" t="s">
        <v>201</v>
      </c>
      <c r="CWM16" s="310" t="s">
        <v>201</v>
      </c>
      <c r="CWN16" s="310" t="s">
        <v>201</v>
      </c>
      <c r="CWO16" s="310" t="s">
        <v>201</v>
      </c>
      <c r="CWP16" s="310" t="s">
        <v>201</v>
      </c>
      <c r="CWQ16" s="310" t="s">
        <v>201</v>
      </c>
      <c r="CWR16" s="310" t="s">
        <v>201</v>
      </c>
      <c r="CWS16" s="310" t="s">
        <v>201</v>
      </c>
      <c r="CWT16" s="310" t="s">
        <v>201</v>
      </c>
      <c r="CWU16" s="310" t="s">
        <v>201</v>
      </c>
      <c r="CWV16" s="310" t="s">
        <v>201</v>
      </c>
      <c r="CWW16" s="310" t="s">
        <v>201</v>
      </c>
      <c r="CWX16" s="310" t="s">
        <v>201</v>
      </c>
      <c r="CWY16" s="310" t="s">
        <v>201</v>
      </c>
      <c r="CWZ16" s="310" t="s">
        <v>201</v>
      </c>
      <c r="CXA16" s="310" t="s">
        <v>201</v>
      </c>
      <c r="CXB16" s="310" t="s">
        <v>201</v>
      </c>
      <c r="CXC16" s="310" t="s">
        <v>201</v>
      </c>
      <c r="CXD16" s="310" t="s">
        <v>201</v>
      </c>
      <c r="CXE16" s="310" t="s">
        <v>201</v>
      </c>
      <c r="CXF16" s="310" t="s">
        <v>201</v>
      </c>
      <c r="CXG16" s="310" t="s">
        <v>201</v>
      </c>
      <c r="CXH16" s="310" t="s">
        <v>201</v>
      </c>
      <c r="CXI16" s="310" t="s">
        <v>201</v>
      </c>
      <c r="CXJ16" s="310" t="s">
        <v>201</v>
      </c>
      <c r="CXK16" s="310" t="s">
        <v>201</v>
      </c>
      <c r="CXL16" s="310" t="s">
        <v>201</v>
      </c>
      <c r="CXM16" s="310" t="s">
        <v>201</v>
      </c>
      <c r="CXN16" s="310" t="s">
        <v>201</v>
      </c>
      <c r="CXO16" s="310" t="s">
        <v>201</v>
      </c>
      <c r="CXP16" s="310" t="s">
        <v>201</v>
      </c>
      <c r="CXQ16" s="310" t="s">
        <v>201</v>
      </c>
      <c r="CXR16" s="310" t="s">
        <v>201</v>
      </c>
      <c r="CXS16" s="310" t="s">
        <v>201</v>
      </c>
      <c r="CXT16" s="310" t="s">
        <v>201</v>
      </c>
      <c r="CXU16" s="310" t="s">
        <v>201</v>
      </c>
      <c r="CXV16" s="310" t="s">
        <v>201</v>
      </c>
      <c r="CXW16" s="310" t="s">
        <v>201</v>
      </c>
      <c r="CXX16" s="310" t="s">
        <v>201</v>
      </c>
      <c r="CXY16" s="310" t="s">
        <v>201</v>
      </c>
      <c r="CXZ16" s="310" t="s">
        <v>201</v>
      </c>
      <c r="CYA16" s="310" t="s">
        <v>201</v>
      </c>
      <c r="CYB16" s="310" t="s">
        <v>201</v>
      </c>
      <c r="CYC16" s="310" t="s">
        <v>201</v>
      </c>
      <c r="CYD16" s="310" t="s">
        <v>201</v>
      </c>
      <c r="CYE16" s="310" t="s">
        <v>201</v>
      </c>
      <c r="CYF16" s="310" t="s">
        <v>201</v>
      </c>
      <c r="CYG16" s="310" t="s">
        <v>201</v>
      </c>
      <c r="CYH16" s="310" t="s">
        <v>201</v>
      </c>
      <c r="CYI16" s="310" t="s">
        <v>201</v>
      </c>
      <c r="CYJ16" s="310" t="s">
        <v>201</v>
      </c>
      <c r="CYK16" s="310" t="s">
        <v>201</v>
      </c>
      <c r="CYL16" s="310" t="s">
        <v>201</v>
      </c>
      <c r="CYM16" s="310" t="s">
        <v>201</v>
      </c>
      <c r="CYN16" s="310" t="s">
        <v>201</v>
      </c>
      <c r="CYO16" s="310" t="s">
        <v>201</v>
      </c>
      <c r="CYP16" s="310" t="s">
        <v>201</v>
      </c>
      <c r="CYQ16" s="310" t="s">
        <v>201</v>
      </c>
      <c r="CYR16" s="310" t="s">
        <v>201</v>
      </c>
      <c r="CYS16" s="310" t="s">
        <v>201</v>
      </c>
      <c r="CYT16" s="310" t="s">
        <v>201</v>
      </c>
      <c r="CYU16" s="310" t="s">
        <v>201</v>
      </c>
      <c r="CYV16" s="310" t="s">
        <v>201</v>
      </c>
      <c r="CYW16" s="310" t="s">
        <v>201</v>
      </c>
      <c r="CYX16" s="310" t="s">
        <v>201</v>
      </c>
      <c r="CYY16" s="310" t="s">
        <v>201</v>
      </c>
      <c r="CYZ16" s="310" t="s">
        <v>201</v>
      </c>
      <c r="CZA16" s="310" t="s">
        <v>201</v>
      </c>
      <c r="CZB16" s="310" t="s">
        <v>201</v>
      </c>
      <c r="CZC16" s="310" t="s">
        <v>201</v>
      </c>
      <c r="CZD16" s="310" t="s">
        <v>201</v>
      </c>
      <c r="CZE16" s="310" t="s">
        <v>201</v>
      </c>
      <c r="CZF16" s="310" t="s">
        <v>201</v>
      </c>
      <c r="CZG16" s="310" t="s">
        <v>201</v>
      </c>
      <c r="CZH16" s="310" t="s">
        <v>201</v>
      </c>
      <c r="CZI16" s="310" t="s">
        <v>201</v>
      </c>
      <c r="CZJ16" s="310" t="s">
        <v>201</v>
      </c>
      <c r="CZK16" s="310" t="s">
        <v>201</v>
      </c>
      <c r="CZL16" s="310" t="s">
        <v>201</v>
      </c>
      <c r="CZM16" s="310" t="s">
        <v>201</v>
      </c>
      <c r="CZN16" s="310" t="s">
        <v>201</v>
      </c>
      <c r="CZO16" s="310" t="s">
        <v>201</v>
      </c>
      <c r="CZP16" s="310" t="s">
        <v>201</v>
      </c>
      <c r="CZQ16" s="310" t="s">
        <v>201</v>
      </c>
      <c r="CZR16" s="310" t="s">
        <v>201</v>
      </c>
      <c r="CZS16" s="310" t="s">
        <v>201</v>
      </c>
      <c r="CZT16" s="310" t="s">
        <v>201</v>
      </c>
      <c r="CZU16" s="310" t="s">
        <v>201</v>
      </c>
      <c r="CZV16" s="310" t="s">
        <v>201</v>
      </c>
      <c r="CZW16" s="310" t="s">
        <v>201</v>
      </c>
      <c r="CZX16" s="310" t="s">
        <v>201</v>
      </c>
      <c r="CZY16" s="310" t="s">
        <v>201</v>
      </c>
      <c r="CZZ16" s="310" t="s">
        <v>201</v>
      </c>
      <c r="DAA16" s="310" t="s">
        <v>201</v>
      </c>
      <c r="DAB16" s="310" t="s">
        <v>201</v>
      </c>
      <c r="DAC16" s="310" t="s">
        <v>201</v>
      </c>
      <c r="DAD16" s="310" t="s">
        <v>201</v>
      </c>
      <c r="DAE16" s="310" t="s">
        <v>201</v>
      </c>
      <c r="DAF16" s="310" t="s">
        <v>201</v>
      </c>
      <c r="DAG16" s="310" t="s">
        <v>201</v>
      </c>
      <c r="DAH16" s="310" t="s">
        <v>201</v>
      </c>
      <c r="DAI16" s="310" t="s">
        <v>201</v>
      </c>
      <c r="DAJ16" s="310" t="s">
        <v>201</v>
      </c>
      <c r="DAK16" s="310" t="s">
        <v>201</v>
      </c>
      <c r="DAL16" s="310" t="s">
        <v>201</v>
      </c>
      <c r="DAM16" s="310" t="s">
        <v>201</v>
      </c>
      <c r="DAN16" s="310" t="s">
        <v>201</v>
      </c>
      <c r="DAO16" s="310" t="s">
        <v>201</v>
      </c>
      <c r="DAP16" s="310" t="s">
        <v>201</v>
      </c>
      <c r="DAQ16" s="310" t="s">
        <v>201</v>
      </c>
      <c r="DAR16" s="310" t="s">
        <v>201</v>
      </c>
      <c r="DAS16" s="310" t="s">
        <v>201</v>
      </c>
      <c r="DAT16" s="310" t="s">
        <v>201</v>
      </c>
      <c r="DAU16" s="310" t="s">
        <v>201</v>
      </c>
      <c r="DAV16" s="310" t="s">
        <v>201</v>
      </c>
      <c r="DAW16" s="310" t="s">
        <v>201</v>
      </c>
      <c r="DAX16" s="310" t="s">
        <v>201</v>
      </c>
      <c r="DAY16" s="310" t="s">
        <v>201</v>
      </c>
      <c r="DAZ16" s="310" t="s">
        <v>201</v>
      </c>
      <c r="DBA16" s="310" t="s">
        <v>201</v>
      </c>
      <c r="DBB16" s="310" t="s">
        <v>201</v>
      </c>
      <c r="DBC16" s="310" t="s">
        <v>201</v>
      </c>
      <c r="DBD16" s="310" t="s">
        <v>201</v>
      </c>
      <c r="DBE16" s="310" t="s">
        <v>201</v>
      </c>
      <c r="DBF16" s="310" t="s">
        <v>201</v>
      </c>
      <c r="DBG16" s="310" t="s">
        <v>201</v>
      </c>
      <c r="DBH16" s="310" t="s">
        <v>201</v>
      </c>
      <c r="DBI16" s="310" t="s">
        <v>201</v>
      </c>
      <c r="DBJ16" s="310" t="s">
        <v>201</v>
      </c>
      <c r="DBK16" s="310" t="s">
        <v>201</v>
      </c>
      <c r="DBL16" s="310" t="s">
        <v>201</v>
      </c>
      <c r="DBM16" s="310" t="s">
        <v>201</v>
      </c>
      <c r="DBN16" s="310" t="s">
        <v>201</v>
      </c>
      <c r="DBO16" s="310" t="s">
        <v>201</v>
      </c>
      <c r="DBP16" s="310" t="s">
        <v>201</v>
      </c>
      <c r="DBQ16" s="310" t="s">
        <v>201</v>
      </c>
      <c r="DBR16" s="310" t="s">
        <v>201</v>
      </c>
      <c r="DBS16" s="310" t="s">
        <v>201</v>
      </c>
      <c r="DBT16" s="310" t="s">
        <v>201</v>
      </c>
      <c r="DBU16" s="310" t="s">
        <v>201</v>
      </c>
      <c r="DBV16" s="310" t="s">
        <v>201</v>
      </c>
      <c r="DBW16" s="310" t="s">
        <v>201</v>
      </c>
      <c r="DBX16" s="310" t="s">
        <v>201</v>
      </c>
      <c r="DBY16" s="310" t="s">
        <v>201</v>
      </c>
      <c r="DBZ16" s="310" t="s">
        <v>201</v>
      </c>
      <c r="DCA16" s="310" t="s">
        <v>201</v>
      </c>
      <c r="DCB16" s="310" t="s">
        <v>201</v>
      </c>
      <c r="DCC16" s="310" t="s">
        <v>201</v>
      </c>
      <c r="DCD16" s="310" t="s">
        <v>201</v>
      </c>
      <c r="DCE16" s="310" t="s">
        <v>201</v>
      </c>
      <c r="DCF16" s="310" t="s">
        <v>201</v>
      </c>
      <c r="DCG16" s="310" t="s">
        <v>201</v>
      </c>
      <c r="DCH16" s="310" t="s">
        <v>201</v>
      </c>
      <c r="DCI16" s="310" t="s">
        <v>201</v>
      </c>
      <c r="DCJ16" s="310" t="s">
        <v>201</v>
      </c>
      <c r="DCK16" s="310" t="s">
        <v>201</v>
      </c>
      <c r="DCL16" s="310" t="s">
        <v>201</v>
      </c>
      <c r="DCM16" s="310" t="s">
        <v>201</v>
      </c>
      <c r="DCN16" s="310" t="s">
        <v>201</v>
      </c>
      <c r="DCO16" s="310" t="s">
        <v>201</v>
      </c>
      <c r="DCP16" s="310" t="s">
        <v>201</v>
      </c>
      <c r="DCQ16" s="310" t="s">
        <v>201</v>
      </c>
      <c r="DCR16" s="310" t="s">
        <v>201</v>
      </c>
      <c r="DCS16" s="310" t="s">
        <v>201</v>
      </c>
      <c r="DCT16" s="310" t="s">
        <v>201</v>
      </c>
      <c r="DCU16" s="310" t="s">
        <v>201</v>
      </c>
      <c r="DCV16" s="310" t="s">
        <v>201</v>
      </c>
      <c r="DCW16" s="310" t="s">
        <v>201</v>
      </c>
      <c r="DCX16" s="310" t="s">
        <v>201</v>
      </c>
      <c r="DCY16" s="310" t="s">
        <v>201</v>
      </c>
      <c r="DCZ16" s="310" t="s">
        <v>201</v>
      </c>
      <c r="DDA16" s="310" t="s">
        <v>201</v>
      </c>
      <c r="DDB16" s="310" t="s">
        <v>201</v>
      </c>
      <c r="DDC16" s="310" t="s">
        <v>201</v>
      </c>
      <c r="DDD16" s="310" t="s">
        <v>201</v>
      </c>
      <c r="DDE16" s="310" t="s">
        <v>201</v>
      </c>
      <c r="DDF16" s="310" t="s">
        <v>201</v>
      </c>
      <c r="DDG16" s="310" t="s">
        <v>201</v>
      </c>
      <c r="DDH16" s="310" t="s">
        <v>201</v>
      </c>
      <c r="DDI16" s="310" t="s">
        <v>201</v>
      </c>
      <c r="DDJ16" s="310" t="s">
        <v>201</v>
      </c>
      <c r="DDK16" s="310" t="s">
        <v>201</v>
      </c>
      <c r="DDL16" s="310" t="s">
        <v>201</v>
      </c>
      <c r="DDM16" s="310" t="s">
        <v>201</v>
      </c>
      <c r="DDN16" s="310" t="s">
        <v>201</v>
      </c>
      <c r="DDO16" s="310" t="s">
        <v>201</v>
      </c>
      <c r="DDP16" s="310" t="s">
        <v>201</v>
      </c>
      <c r="DDQ16" s="310" t="s">
        <v>201</v>
      </c>
      <c r="DDR16" s="310" t="s">
        <v>201</v>
      </c>
      <c r="DDS16" s="310" t="s">
        <v>201</v>
      </c>
      <c r="DDT16" s="310" t="s">
        <v>201</v>
      </c>
      <c r="DDU16" s="310" t="s">
        <v>201</v>
      </c>
      <c r="DDV16" s="310" t="s">
        <v>201</v>
      </c>
      <c r="DDW16" s="310" t="s">
        <v>201</v>
      </c>
      <c r="DDX16" s="310" t="s">
        <v>201</v>
      </c>
      <c r="DDY16" s="310" t="s">
        <v>201</v>
      </c>
      <c r="DDZ16" s="310" t="s">
        <v>201</v>
      </c>
      <c r="DEA16" s="310" t="s">
        <v>201</v>
      </c>
      <c r="DEB16" s="310" t="s">
        <v>201</v>
      </c>
      <c r="DEC16" s="310" t="s">
        <v>201</v>
      </c>
      <c r="DED16" s="310" t="s">
        <v>201</v>
      </c>
      <c r="DEE16" s="310" t="s">
        <v>201</v>
      </c>
      <c r="DEF16" s="310" t="s">
        <v>201</v>
      </c>
      <c r="DEG16" s="310" t="s">
        <v>201</v>
      </c>
      <c r="DEH16" s="310" t="s">
        <v>201</v>
      </c>
      <c r="DEI16" s="310" t="s">
        <v>201</v>
      </c>
      <c r="DEJ16" s="310" t="s">
        <v>201</v>
      </c>
      <c r="DEK16" s="310" t="s">
        <v>201</v>
      </c>
      <c r="DEL16" s="310" t="s">
        <v>201</v>
      </c>
      <c r="DEM16" s="310" t="s">
        <v>201</v>
      </c>
      <c r="DEN16" s="310" t="s">
        <v>201</v>
      </c>
      <c r="DEO16" s="310" t="s">
        <v>201</v>
      </c>
      <c r="DEP16" s="310" t="s">
        <v>201</v>
      </c>
      <c r="DEQ16" s="310" t="s">
        <v>201</v>
      </c>
      <c r="DER16" s="310" t="s">
        <v>201</v>
      </c>
      <c r="DES16" s="310" t="s">
        <v>201</v>
      </c>
      <c r="DET16" s="310" t="s">
        <v>201</v>
      </c>
      <c r="DEU16" s="310" t="s">
        <v>201</v>
      </c>
      <c r="DEV16" s="310" t="s">
        <v>201</v>
      </c>
      <c r="DEW16" s="310" t="s">
        <v>201</v>
      </c>
      <c r="DEX16" s="310" t="s">
        <v>201</v>
      </c>
      <c r="DEY16" s="310" t="s">
        <v>201</v>
      </c>
      <c r="DEZ16" s="310" t="s">
        <v>201</v>
      </c>
      <c r="DFA16" s="310" t="s">
        <v>201</v>
      </c>
      <c r="DFB16" s="310" t="s">
        <v>201</v>
      </c>
      <c r="DFC16" s="310" t="s">
        <v>201</v>
      </c>
      <c r="DFD16" s="310" t="s">
        <v>201</v>
      </c>
      <c r="DFE16" s="310" t="s">
        <v>201</v>
      </c>
      <c r="DFF16" s="310" t="s">
        <v>201</v>
      </c>
      <c r="DFG16" s="310" t="s">
        <v>201</v>
      </c>
      <c r="DFH16" s="310" t="s">
        <v>201</v>
      </c>
      <c r="DFI16" s="310" t="s">
        <v>201</v>
      </c>
      <c r="DFJ16" s="310" t="s">
        <v>201</v>
      </c>
      <c r="DFK16" s="310" t="s">
        <v>201</v>
      </c>
      <c r="DFL16" s="310" t="s">
        <v>201</v>
      </c>
      <c r="DFM16" s="310" t="s">
        <v>201</v>
      </c>
      <c r="DFN16" s="310" t="s">
        <v>201</v>
      </c>
      <c r="DFO16" s="310" t="s">
        <v>201</v>
      </c>
      <c r="DFP16" s="310" t="s">
        <v>201</v>
      </c>
      <c r="DFQ16" s="310" t="s">
        <v>201</v>
      </c>
      <c r="DFR16" s="310" t="s">
        <v>201</v>
      </c>
      <c r="DFS16" s="310" t="s">
        <v>201</v>
      </c>
      <c r="DFT16" s="310" t="s">
        <v>201</v>
      </c>
      <c r="DFU16" s="310" t="s">
        <v>201</v>
      </c>
      <c r="DFV16" s="310" t="s">
        <v>201</v>
      </c>
      <c r="DFW16" s="310" t="s">
        <v>201</v>
      </c>
      <c r="DFX16" s="310" t="s">
        <v>201</v>
      </c>
      <c r="DFY16" s="310" t="s">
        <v>201</v>
      </c>
      <c r="DFZ16" s="310" t="s">
        <v>201</v>
      </c>
      <c r="DGA16" s="310" t="s">
        <v>201</v>
      </c>
      <c r="DGB16" s="310" t="s">
        <v>201</v>
      </c>
      <c r="DGC16" s="310" t="s">
        <v>201</v>
      </c>
      <c r="DGD16" s="310" t="s">
        <v>201</v>
      </c>
      <c r="DGE16" s="310" t="s">
        <v>201</v>
      </c>
      <c r="DGF16" s="310" t="s">
        <v>201</v>
      </c>
      <c r="DGG16" s="310" t="s">
        <v>201</v>
      </c>
      <c r="DGH16" s="310" t="s">
        <v>201</v>
      </c>
      <c r="DGI16" s="310" t="s">
        <v>201</v>
      </c>
      <c r="DGJ16" s="310" t="s">
        <v>201</v>
      </c>
      <c r="DGK16" s="310" t="s">
        <v>201</v>
      </c>
      <c r="DGL16" s="310" t="s">
        <v>201</v>
      </c>
      <c r="DGM16" s="310" t="s">
        <v>201</v>
      </c>
      <c r="DGN16" s="310" t="s">
        <v>201</v>
      </c>
      <c r="DGO16" s="310" t="s">
        <v>201</v>
      </c>
      <c r="DGP16" s="310" t="s">
        <v>201</v>
      </c>
      <c r="DGQ16" s="310" t="s">
        <v>201</v>
      </c>
      <c r="DGR16" s="310" t="s">
        <v>201</v>
      </c>
      <c r="DGS16" s="310" t="s">
        <v>201</v>
      </c>
      <c r="DGT16" s="310" t="s">
        <v>201</v>
      </c>
      <c r="DGU16" s="310" t="s">
        <v>201</v>
      </c>
      <c r="DGV16" s="310" t="s">
        <v>201</v>
      </c>
      <c r="DGW16" s="310" t="s">
        <v>201</v>
      </c>
      <c r="DGX16" s="310" t="s">
        <v>201</v>
      </c>
      <c r="DGY16" s="310" t="s">
        <v>201</v>
      </c>
      <c r="DGZ16" s="310" t="s">
        <v>201</v>
      </c>
      <c r="DHA16" s="310" t="s">
        <v>201</v>
      </c>
      <c r="DHB16" s="310" t="s">
        <v>201</v>
      </c>
      <c r="DHC16" s="310" t="s">
        <v>201</v>
      </c>
      <c r="DHD16" s="310" t="s">
        <v>201</v>
      </c>
      <c r="DHE16" s="310" t="s">
        <v>201</v>
      </c>
      <c r="DHF16" s="310" t="s">
        <v>201</v>
      </c>
      <c r="DHG16" s="310" t="s">
        <v>201</v>
      </c>
      <c r="DHH16" s="310" t="s">
        <v>201</v>
      </c>
      <c r="DHI16" s="310" t="s">
        <v>201</v>
      </c>
      <c r="DHJ16" s="310" t="s">
        <v>201</v>
      </c>
      <c r="DHK16" s="310" t="s">
        <v>201</v>
      </c>
      <c r="DHL16" s="310" t="s">
        <v>201</v>
      </c>
      <c r="DHM16" s="310" t="s">
        <v>201</v>
      </c>
      <c r="DHN16" s="310" t="s">
        <v>201</v>
      </c>
      <c r="DHO16" s="310" t="s">
        <v>201</v>
      </c>
      <c r="DHP16" s="310" t="s">
        <v>201</v>
      </c>
      <c r="DHQ16" s="310" t="s">
        <v>201</v>
      </c>
      <c r="DHR16" s="310" t="s">
        <v>201</v>
      </c>
      <c r="DHS16" s="310" t="s">
        <v>201</v>
      </c>
      <c r="DHT16" s="310" t="s">
        <v>201</v>
      </c>
      <c r="DHU16" s="310" t="s">
        <v>201</v>
      </c>
      <c r="DHV16" s="310" t="s">
        <v>201</v>
      </c>
      <c r="DHW16" s="310" t="s">
        <v>201</v>
      </c>
      <c r="DHX16" s="310" t="s">
        <v>201</v>
      </c>
      <c r="DHY16" s="310" t="s">
        <v>201</v>
      </c>
      <c r="DHZ16" s="310" t="s">
        <v>201</v>
      </c>
      <c r="DIA16" s="310" t="s">
        <v>201</v>
      </c>
      <c r="DIB16" s="310" t="s">
        <v>201</v>
      </c>
      <c r="DIC16" s="310" t="s">
        <v>201</v>
      </c>
      <c r="DID16" s="310" t="s">
        <v>201</v>
      </c>
      <c r="DIE16" s="310" t="s">
        <v>201</v>
      </c>
      <c r="DIF16" s="310" t="s">
        <v>201</v>
      </c>
      <c r="DIG16" s="310" t="s">
        <v>201</v>
      </c>
      <c r="DIH16" s="310" t="s">
        <v>201</v>
      </c>
      <c r="DII16" s="310" t="s">
        <v>201</v>
      </c>
      <c r="DIJ16" s="310" t="s">
        <v>201</v>
      </c>
      <c r="DIK16" s="310" t="s">
        <v>201</v>
      </c>
      <c r="DIL16" s="310" t="s">
        <v>201</v>
      </c>
      <c r="DIM16" s="310" t="s">
        <v>201</v>
      </c>
      <c r="DIN16" s="310" t="s">
        <v>201</v>
      </c>
      <c r="DIO16" s="310" t="s">
        <v>201</v>
      </c>
      <c r="DIP16" s="310" t="s">
        <v>201</v>
      </c>
      <c r="DIQ16" s="310" t="s">
        <v>201</v>
      </c>
      <c r="DIR16" s="310" t="s">
        <v>201</v>
      </c>
      <c r="DIS16" s="310" t="s">
        <v>201</v>
      </c>
      <c r="DIT16" s="310" t="s">
        <v>201</v>
      </c>
      <c r="DIU16" s="310" t="s">
        <v>201</v>
      </c>
      <c r="DIV16" s="310" t="s">
        <v>201</v>
      </c>
      <c r="DIW16" s="310" t="s">
        <v>201</v>
      </c>
      <c r="DIX16" s="310" t="s">
        <v>201</v>
      </c>
      <c r="DIY16" s="310" t="s">
        <v>201</v>
      </c>
      <c r="DIZ16" s="310" t="s">
        <v>201</v>
      </c>
      <c r="DJA16" s="310" t="s">
        <v>201</v>
      </c>
      <c r="DJB16" s="310" t="s">
        <v>201</v>
      </c>
      <c r="DJC16" s="310" t="s">
        <v>201</v>
      </c>
      <c r="DJD16" s="310" t="s">
        <v>201</v>
      </c>
      <c r="DJE16" s="310" t="s">
        <v>201</v>
      </c>
      <c r="DJF16" s="310" t="s">
        <v>201</v>
      </c>
      <c r="DJG16" s="310" t="s">
        <v>201</v>
      </c>
      <c r="DJH16" s="310" t="s">
        <v>201</v>
      </c>
      <c r="DJI16" s="310" t="s">
        <v>201</v>
      </c>
      <c r="DJJ16" s="310" t="s">
        <v>201</v>
      </c>
      <c r="DJK16" s="310" t="s">
        <v>201</v>
      </c>
      <c r="DJL16" s="310" t="s">
        <v>201</v>
      </c>
      <c r="DJM16" s="310" t="s">
        <v>201</v>
      </c>
      <c r="DJN16" s="310" t="s">
        <v>201</v>
      </c>
      <c r="DJO16" s="310" t="s">
        <v>201</v>
      </c>
      <c r="DJP16" s="310" t="s">
        <v>201</v>
      </c>
      <c r="DJQ16" s="310" t="s">
        <v>201</v>
      </c>
      <c r="DJR16" s="310" t="s">
        <v>201</v>
      </c>
      <c r="DJS16" s="310" t="s">
        <v>201</v>
      </c>
      <c r="DJT16" s="310" t="s">
        <v>201</v>
      </c>
      <c r="DJU16" s="310" t="s">
        <v>201</v>
      </c>
      <c r="DJV16" s="310" t="s">
        <v>201</v>
      </c>
      <c r="DJW16" s="310" t="s">
        <v>201</v>
      </c>
      <c r="DJX16" s="310" t="s">
        <v>201</v>
      </c>
      <c r="DJY16" s="310" t="s">
        <v>201</v>
      </c>
      <c r="DJZ16" s="310" t="s">
        <v>201</v>
      </c>
      <c r="DKA16" s="310" t="s">
        <v>201</v>
      </c>
      <c r="DKB16" s="310" t="s">
        <v>201</v>
      </c>
      <c r="DKC16" s="310" t="s">
        <v>201</v>
      </c>
      <c r="DKD16" s="310" t="s">
        <v>201</v>
      </c>
      <c r="DKE16" s="310" t="s">
        <v>201</v>
      </c>
      <c r="DKF16" s="310" t="s">
        <v>201</v>
      </c>
      <c r="DKG16" s="310" t="s">
        <v>201</v>
      </c>
      <c r="DKH16" s="310" t="s">
        <v>201</v>
      </c>
      <c r="DKI16" s="310" t="s">
        <v>201</v>
      </c>
      <c r="DKJ16" s="310" t="s">
        <v>201</v>
      </c>
      <c r="DKK16" s="310" t="s">
        <v>201</v>
      </c>
      <c r="DKL16" s="310" t="s">
        <v>201</v>
      </c>
      <c r="DKM16" s="310" t="s">
        <v>201</v>
      </c>
      <c r="DKN16" s="310" t="s">
        <v>201</v>
      </c>
      <c r="DKO16" s="310" t="s">
        <v>201</v>
      </c>
      <c r="DKP16" s="310" t="s">
        <v>201</v>
      </c>
      <c r="DKQ16" s="310" t="s">
        <v>201</v>
      </c>
      <c r="DKR16" s="310" t="s">
        <v>201</v>
      </c>
      <c r="DKS16" s="310" t="s">
        <v>201</v>
      </c>
      <c r="DKT16" s="310" t="s">
        <v>201</v>
      </c>
      <c r="DKU16" s="310" t="s">
        <v>201</v>
      </c>
      <c r="DKV16" s="310" t="s">
        <v>201</v>
      </c>
      <c r="DKW16" s="310" t="s">
        <v>201</v>
      </c>
      <c r="DKX16" s="310" t="s">
        <v>201</v>
      </c>
      <c r="DKY16" s="310" t="s">
        <v>201</v>
      </c>
      <c r="DKZ16" s="310" t="s">
        <v>201</v>
      </c>
      <c r="DLA16" s="310" t="s">
        <v>201</v>
      </c>
      <c r="DLB16" s="310" t="s">
        <v>201</v>
      </c>
      <c r="DLC16" s="310" t="s">
        <v>201</v>
      </c>
      <c r="DLD16" s="310" t="s">
        <v>201</v>
      </c>
      <c r="DLE16" s="310" t="s">
        <v>201</v>
      </c>
      <c r="DLF16" s="310" t="s">
        <v>201</v>
      </c>
      <c r="DLG16" s="310" t="s">
        <v>201</v>
      </c>
      <c r="DLH16" s="310" t="s">
        <v>201</v>
      </c>
      <c r="DLI16" s="310" t="s">
        <v>201</v>
      </c>
      <c r="DLJ16" s="310" t="s">
        <v>201</v>
      </c>
      <c r="DLK16" s="310" t="s">
        <v>201</v>
      </c>
      <c r="DLL16" s="310" t="s">
        <v>201</v>
      </c>
      <c r="DLM16" s="310" t="s">
        <v>201</v>
      </c>
      <c r="DLN16" s="310" t="s">
        <v>201</v>
      </c>
      <c r="DLO16" s="310" t="s">
        <v>201</v>
      </c>
      <c r="DLP16" s="310" t="s">
        <v>201</v>
      </c>
      <c r="DLQ16" s="310" t="s">
        <v>201</v>
      </c>
      <c r="DLR16" s="310" t="s">
        <v>201</v>
      </c>
      <c r="DLS16" s="310" t="s">
        <v>201</v>
      </c>
      <c r="DLT16" s="310" t="s">
        <v>201</v>
      </c>
      <c r="DLU16" s="310" t="s">
        <v>201</v>
      </c>
      <c r="DLV16" s="310" t="s">
        <v>201</v>
      </c>
      <c r="DLW16" s="310" t="s">
        <v>201</v>
      </c>
      <c r="DLX16" s="310" t="s">
        <v>201</v>
      </c>
      <c r="DLY16" s="310" t="s">
        <v>201</v>
      </c>
      <c r="DLZ16" s="310" t="s">
        <v>201</v>
      </c>
      <c r="DMA16" s="310" t="s">
        <v>201</v>
      </c>
      <c r="DMB16" s="310" t="s">
        <v>201</v>
      </c>
      <c r="DMC16" s="310" t="s">
        <v>201</v>
      </c>
      <c r="DMD16" s="310" t="s">
        <v>201</v>
      </c>
      <c r="DME16" s="310" t="s">
        <v>201</v>
      </c>
      <c r="DMF16" s="310" t="s">
        <v>201</v>
      </c>
      <c r="DMG16" s="310" t="s">
        <v>201</v>
      </c>
      <c r="DMH16" s="310" t="s">
        <v>201</v>
      </c>
      <c r="DMI16" s="310" t="s">
        <v>201</v>
      </c>
      <c r="DMJ16" s="310" t="s">
        <v>201</v>
      </c>
      <c r="DMK16" s="310" t="s">
        <v>201</v>
      </c>
      <c r="DML16" s="310" t="s">
        <v>201</v>
      </c>
      <c r="DMM16" s="310" t="s">
        <v>201</v>
      </c>
      <c r="DMN16" s="310" t="s">
        <v>201</v>
      </c>
      <c r="DMO16" s="310" t="s">
        <v>201</v>
      </c>
      <c r="DMP16" s="310" t="s">
        <v>201</v>
      </c>
      <c r="DMQ16" s="310" t="s">
        <v>201</v>
      </c>
      <c r="DMR16" s="310" t="s">
        <v>201</v>
      </c>
      <c r="DMS16" s="310" t="s">
        <v>201</v>
      </c>
      <c r="DMT16" s="310" t="s">
        <v>201</v>
      </c>
      <c r="DMU16" s="310" t="s">
        <v>201</v>
      </c>
      <c r="DMV16" s="310" t="s">
        <v>201</v>
      </c>
      <c r="DMW16" s="310" t="s">
        <v>201</v>
      </c>
      <c r="DMX16" s="310" t="s">
        <v>201</v>
      </c>
      <c r="DMY16" s="310" t="s">
        <v>201</v>
      </c>
      <c r="DMZ16" s="310" t="s">
        <v>201</v>
      </c>
      <c r="DNA16" s="310" t="s">
        <v>201</v>
      </c>
      <c r="DNB16" s="310" t="s">
        <v>201</v>
      </c>
      <c r="DNC16" s="310" t="s">
        <v>201</v>
      </c>
      <c r="DND16" s="310" t="s">
        <v>201</v>
      </c>
      <c r="DNE16" s="310" t="s">
        <v>201</v>
      </c>
      <c r="DNF16" s="310" t="s">
        <v>201</v>
      </c>
      <c r="DNG16" s="310" t="s">
        <v>201</v>
      </c>
      <c r="DNH16" s="310" t="s">
        <v>201</v>
      </c>
      <c r="DNI16" s="310" t="s">
        <v>201</v>
      </c>
      <c r="DNJ16" s="310" t="s">
        <v>201</v>
      </c>
      <c r="DNK16" s="310" t="s">
        <v>201</v>
      </c>
      <c r="DNL16" s="310" t="s">
        <v>201</v>
      </c>
      <c r="DNM16" s="310" t="s">
        <v>201</v>
      </c>
      <c r="DNN16" s="310" t="s">
        <v>201</v>
      </c>
      <c r="DNO16" s="310" t="s">
        <v>201</v>
      </c>
      <c r="DNP16" s="310" t="s">
        <v>201</v>
      </c>
      <c r="DNQ16" s="310" t="s">
        <v>201</v>
      </c>
      <c r="DNR16" s="310" t="s">
        <v>201</v>
      </c>
      <c r="DNS16" s="310" t="s">
        <v>201</v>
      </c>
      <c r="DNT16" s="310" t="s">
        <v>201</v>
      </c>
      <c r="DNU16" s="310" t="s">
        <v>201</v>
      </c>
      <c r="DNV16" s="310" t="s">
        <v>201</v>
      </c>
      <c r="DNW16" s="310" t="s">
        <v>201</v>
      </c>
      <c r="DNX16" s="310" t="s">
        <v>201</v>
      </c>
      <c r="DNY16" s="310" t="s">
        <v>201</v>
      </c>
      <c r="DNZ16" s="310" t="s">
        <v>201</v>
      </c>
      <c r="DOA16" s="310" t="s">
        <v>201</v>
      </c>
      <c r="DOB16" s="310" t="s">
        <v>201</v>
      </c>
      <c r="DOC16" s="310" t="s">
        <v>201</v>
      </c>
      <c r="DOD16" s="310" t="s">
        <v>201</v>
      </c>
      <c r="DOE16" s="310" t="s">
        <v>201</v>
      </c>
      <c r="DOF16" s="310" t="s">
        <v>201</v>
      </c>
      <c r="DOG16" s="310" t="s">
        <v>201</v>
      </c>
      <c r="DOH16" s="310" t="s">
        <v>201</v>
      </c>
      <c r="DOI16" s="310" t="s">
        <v>201</v>
      </c>
      <c r="DOJ16" s="310" t="s">
        <v>201</v>
      </c>
      <c r="DOK16" s="310" t="s">
        <v>201</v>
      </c>
      <c r="DOL16" s="310" t="s">
        <v>201</v>
      </c>
      <c r="DOM16" s="310" t="s">
        <v>201</v>
      </c>
      <c r="DON16" s="310" t="s">
        <v>201</v>
      </c>
      <c r="DOO16" s="310" t="s">
        <v>201</v>
      </c>
      <c r="DOP16" s="310" t="s">
        <v>201</v>
      </c>
      <c r="DOQ16" s="310" t="s">
        <v>201</v>
      </c>
      <c r="DOR16" s="310" t="s">
        <v>201</v>
      </c>
      <c r="DOS16" s="310" t="s">
        <v>201</v>
      </c>
      <c r="DOT16" s="310" t="s">
        <v>201</v>
      </c>
      <c r="DOU16" s="310" t="s">
        <v>201</v>
      </c>
      <c r="DOV16" s="310" t="s">
        <v>201</v>
      </c>
      <c r="DOW16" s="310" t="s">
        <v>201</v>
      </c>
      <c r="DOX16" s="310" t="s">
        <v>201</v>
      </c>
      <c r="DOY16" s="310" t="s">
        <v>201</v>
      </c>
      <c r="DOZ16" s="310" t="s">
        <v>201</v>
      </c>
      <c r="DPA16" s="310" t="s">
        <v>201</v>
      </c>
      <c r="DPB16" s="310" t="s">
        <v>201</v>
      </c>
      <c r="DPC16" s="310" t="s">
        <v>201</v>
      </c>
      <c r="DPD16" s="310" t="s">
        <v>201</v>
      </c>
      <c r="DPE16" s="310" t="s">
        <v>201</v>
      </c>
      <c r="DPF16" s="310" t="s">
        <v>201</v>
      </c>
      <c r="DPG16" s="310" t="s">
        <v>201</v>
      </c>
      <c r="DPH16" s="310" t="s">
        <v>201</v>
      </c>
      <c r="DPI16" s="310" t="s">
        <v>201</v>
      </c>
      <c r="DPJ16" s="310" t="s">
        <v>201</v>
      </c>
      <c r="DPK16" s="310" t="s">
        <v>201</v>
      </c>
      <c r="DPL16" s="310" t="s">
        <v>201</v>
      </c>
      <c r="DPM16" s="310" t="s">
        <v>201</v>
      </c>
      <c r="DPN16" s="310" t="s">
        <v>201</v>
      </c>
      <c r="DPO16" s="310" t="s">
        <v>201</v>
      </c>
      <c r="DPP16" s="310" t="s">
        <v>201</v>
      </c>
      <c r="DPQ16" s="310" t="s">
        <v>201</v>
      </c>
      <c r="DPR16" s="310" t="s">
        <v>201</v>
      </c>
      <c r="DPS16" s="310" t="s">
        <v>201</v>
      </c>
      <c r="DPT16" s="310" t="s">
        <v>201</v>
      </c>
      <c r="DPU16" s="310" t="s">
        <v>201</v>
      </c>
      <c r="DPV16" s="310" t="s">
        <v>201</v>
      </c>
      <c r="DPW16" s="310" t="s">
        <v>201</v>
      </c>
      <c r="DPX16" s="310" t="s">
        <v>201</v>
      </c>
      <c r="DPY16" s="310" t="s">
        <v>201</v>
      </c>
      <c r="DPZ16" s="310" t="s">
        <v>201</v>
      </c>
      <c r="DQA16" s="310" t="s">
        <v>201</v>
      </c>
      <c r="DQB16" s="310" t="s">
        <v>201</v>
      </c>
      <c r="DQC16" s="310" t="s">
        <v>201</v>
      </c>
      <c r="DQD16" s="310" t="s">
        <v>201</v>
      </c>
      <c r="DQE16" s="310" t="s">
        <v>201</v>
      </c>
      <c r="DQF16" s="310" t="s">
        <v>201</v>
      </c>
      <c r="DQG16" s="310" t="s">
        <v>201</v>
      </c>
      <c r="DQH16" s="310" t="s">
        <v>201</v>
      </c>
      <c r="DQI16" s="310" t="s">
        <v>201</v>
      </c>
      <c r="DQJ16" s="310" t="s">
        <v>201</v>
      </c>
      <c r="DQK16" s="310" t="s">
        <v>201</v>
      </c>
      <c r="DQL16" s="310" t="s">
        <v>201</v>
      </c>
      <c r="DQM16" s="310" t="s">
        <v>201</v>
      </c>
      <c r="DQN16" s="310" t="s">
        <v>201</v>
      </c>
      <c r="DQO16" s="310" t="s">
        <v>201</v>
      </c>
      <c r="DQP16" s="310" t="s">
        <v>201</v>
      </c>
      <c r="DQQ16" s="310" t="s">
        <v>201</v>
      </c>
      <c r="DQR16" s="310" t="s">
        <v>201</v>
      </c>
      <c r="DQS16" s="310" t="s">
        <v>201</v>
      </c>
      <c r="DQT16" s="310" t="s">
        <v>201</v>
      </c>
      <c r="DQU16" s="310" t="s">
        <v>201</v>
      </c>
      <c r="DQV16" s="310" t="s">
        <v>201</v>
      </c>
      <c r="DQW16" s="310" t="s">
        <v>201</v>
      </c>
      <c r="DQX16" s="310" t="s">
        <v>201</v>
      </c>
      <c r="DQY16" s="310" t="s">
        <v>201</v>
      </c>
      <c r="DQZ16" s="310" t="s">
        <v>201</v>
      </c>
      <c r="DRA16" s="310" t="s">
        <v>201</v>
      </c>
      <c r="DRB16" s="310" t="s">
        <v>201</v>
      </c>
      <c r="DRC16" s="310" t="s">
        <v>201</v>
      </c>
      <c r="DRD16" s="310" t="s">
        <v>201</v>
      </c>
      <c r="DRE16" s="310" t="s">
        <v>201</v>
      </c>
      <c r="DRF16" s="310" t="s">
        <v>201</v>
      </c>
      <c r="DRG16" s="310" t="s">
        <v>201</v>
      </c>
      <c r="DRH16" s="310" t="s">
        <v>201</v>
      </c>
      <c r="DRI16" s="310" t="s">
        <v>201</v>
      </c>
      <c r="DRJ16" s="310" t="s">
        <v>201</v>
      </c>
      <c r="DRK16" s="310" t="s">
        <v>201</v>
      </c>
      <c r="DRL16" s="310" t="s">
        <v>201</v>
      </c>
      <c r="DRM16" s="310" t="s">
        <v>201</v>
      </c>
      <c r="DRN16" s="310" t="s">
        <v>201</v>
      </c>
      <c r="DRO16" s="310" t="s">
        <v>201</v>
      </c>
      <c r="DRP16" s="310" t="s">
        <v>201</v>
      </c>
      <c r="DRQ16" s="310" t="s">
        <v>201</v>
      </c>
      <c r="DRR16" s="310" t="s">
        <v>201</v>
      </c>
      <c r="DRS16" s="310" t="s">
        <v>201</v>
      </c>
      <c r="DRT16" s="310" t="s">
        <v>201</v>
      </c>
      <c r="DRU16" s="310" t="s">
        <v>201</v>
      </c>
      <c r="DRV16" s="310" t="s">
        <v>201</v>
      </c>
      <c r="DRW16" s="310" t="s">
        <v>201</v>
      </c>
      <c r="DRX16" s="310" t="s">
        <v>201</v>
      </c>
      <c r="DRY16" s="310" t="s">
        <v>201</v>
      </c>
      <c r="DRZ16" s="310" t="s">
        <v>201</v>
      </c>
      <c r="DSA16" s="310" t="s">
        <v>201</v>
      </c>
      <c r="DSB16" s="310" t="s">
        <v>201</v>
      </c>
      <c r="DSC16" s="310" t="s">
        <v>201</v>
      </c>
      <c r="DSD16" s="310" t="s">
        <v>201</v>
      </c>
      <c r="DSE16" s="310" t="s">
        <v>201</v>
      </c>
      <c r="DSF16" s="310" t="s">
        <v>201</v>
      </c>
      <c r="DSG16" s="310" t="s">
        <v>201</v>
      </c>
      <c r="DSH16" s="310" t="s">
        <v>201</v>
      </c>
      <c r="DSI16" s="310" t="s">
        <v>201</v>
      </c>
      <c r="DSJ16" s="310" t="s">
        <v>201</v>
      </c>
      <c r="DSK16" s="310" t="s">
        <v>201</v>
      </c>
      <c r="DSL16" s="310" t="s">
        <v>201</v>
      </c>
      <c r="DSM16" s="310" t="s">
        <v>201</v>
      </c>
      <c r="DSN16" s="310" t="s">
        <v>201</v>
      </c>
      <c r="DSO16" s="310" t="s">
        <v>201</v>
      </c>
      <c r="DSP16" s="310" t="s">
        <v>201</v>
      </c>
      <c r="DSQ16" s="310" t="s">
        <v>201</v>
      </c>
      <c r="DSR16" s="310" t="s">
        <v>201</v>
      </c>
      <c r="DSS16" s="310" t="s">
        <v>201</v>
      </c>
      <c r="DST16" s="310" t="s">
        <v>201</v>
      </c>
      <c r="DSU16" s="310" t="s">
        <v>201</v>
      </c>
      <c r="DSV16" s="310" t="s">
        <v>201</v>
      </c>
      <c r="DSW16" s="310" t="s">
        <v>201</v>
      </c>
      <c r="DSX16" s="310" t="s">
        <v>201</v>
      </c>
      <c r="DSY16" s="310" t="s">
        <v>201</v>
      </c>
      <c r="DSZ16" s="310" t="s">
        <v>201</v>
      </c>
      <c r="DTA16" s="310" t="s">
        <v>201</v>
      </c>
      <c r="DTB16" s="310" t="s">
        <v>201</v>
      </c>
      <c r="DTC16" s="310" t="s">
        <v>201</v>
      </c>
      <c r="DTD16" s="310" t="s">
        <v>201</v>
      </c>
      <c r="DTE16" s="310" t="s">
        <v>201</v>
      </c>
      <c r="DTF16" s="310" t="s">
        <v>201</v>
      </c>
      <c r="DTG16" s="310" t="s">
        <v>201</v>
      </c>
      <c r="DTH16" s="310" t="s">
        <v>201</v>
      </c>
      <c r="DTI16" s="310" t="s">
        <v>201</v>
      </c>
      <c r="DTJ16" s="310" t="s">
        <v>201</v>
      </c>
      <c r="DTK16" s="310" t="s">
        <v>201</v>
      </c>
      <c r="DTL16" s="310" t="s">
        <v>201</v>
      </c>
      <c r="DTM16" s="310" t="s">
        <v>201</v>
      </c>
      <c r="DTN16" s="310" t="s">
        <v>201</v>
      </c>
      <c r="DTO16" s="310" t="s">
        <v>201</v>
      </c>
      <c r="DTP16" s="310" t="s">
        <v>201</v>
      </c>
      <c r="DTQ16" s="310" t="s">
        <v>201</v>
      </c>
      <c r="DTR16" s="310" t="s">
        <v>201</v>
      </c>
      <c r="DTS16" s="310" t="s">
        <v>201</v>
      </c>
      <c r="DTT16" s="310" t="s">
        <v>201</v>
      </c>
      <c r="DTU16" s="310" t="s">
        <v>201</v>
      </c>
      <c r="DTV16" s="310" t="s">
        <v>201</v>
      </c>
      <c r="DTW16" s="310" t="s">
        <v>201</v>
      </c>
      <c r="DTX16" s="310" t="s">
        <v>201</v>
      </c>
      <c r="DTY16" s="310" t="s">
        <v>201</v>
      </c>
      <c r="DTZ16" s="310" t="s">
        <v>201</v>
      </c>
      <c r="DUA16" s="310" t="s">
        <v>201</v>
      </c>
      <c r="DUB16" s="310" t="s">
        <v>201</v>
      </c>
      <c r="DUC16" s="310" t="s">
        <v>201</v>
      </c>
      <c r="DUD16" s="310" t="s">
        <v>201</v>
      </c>
      <c r="DUE16" s="310" t="s">
        <v>201</v>
      </c>
      <c r="DUF16" s="310" t="s">
        <v>201</v>
      </c>
      <c r="DUG16" s="310" t="s">
        <v>201</v>
      </c>
      <c r="DUH16" s="310" t="s">
        <v>201</v>
      </c>
      <c r="DUI16" s="310" t="s">
        <v>201</v>
      </c>
      <c r="DUJ16" s="310" t="s">
        <v>201</v>
      </c>
      <c r="DUK16" s="310" t="s">
        <v>201</v>
      </c>
      <c r="DUL16" s="310" t="s">
        <v>201</v>
      </c>
      <c r="DUM16" s="310" t="s">
        <v>201</v>
      </c>
      <c r="DUN16" s="310" t="s">
        <v>201</v>
      </c>
      <c r="DUO16" s="310" t="s">
        <v>201</v>
      </c>
      <c r="DUP16" s="310" t="s">
        <v>201</v>
      </c>
      <c r="DUQ16" s="310" t="s">
        <v>201</v>
      </c>
      <c r="DUR16" s="310" t="s">
        <v>201</v>
      </c>
      <c r="DUS16" s="310" t="s">
        <v>201</v>
      </c>
      <c r="DUT16" s="310" t="s">
        <v>201</v>
      </c>
      <c r="DUU16" s="310" t="s">
        <v>201</v>
      </c>
      <c r="DUV16" s="310" t="s">
        <v>201</v>
      </c>
      <c r="DUW16" s="310" t="s">
        <v>201</v>
      </c>
      <c r="DUX16" s="310" t="s">
        <v>201</v>
      </c>
      <c r="DUY16" s="310" t="s">
        <v>201</v>
      </c>
      <c r="DUZ16" s="310" t="s">
        <v>201</v>
      </c>
      <c r="DVA16" s="310" t="s">
        <v>201</v>
      </c>
      <c r="DVB16" s="310" t="s">
        <v>201</v>
      </c>
      <c r="DVC16" s="310" t="s">
        <v>201</v>
      </c>
      <c r="DVD16" s="310" t="s">
        <v>201</v>
      </c>
      <c r="DVE16" s="310" t="s">
        <v>201</v>
      </c>
      <c r="DVF16" s="310" t="s">
        <v>201</v>
      </c>
      <c r="DVG16" s="310" t="s">
        <v>201</v>
      </c>
      <c r="DVH16" s="310" t="s">
        <v>201</v>
      </c>
      <c r="DVI16" s="310" t="s">
        <v>201</v>
      </c>
      <c r="DVJ16" s="310" t="s">
        <v>201</v>
      </c>
      <c r="DVK16" s="310" t="s">
        <v>201</v>
      </c>
      <c r="DVL16" s="310" t="s">
        <v>201</v>
      </c>
      <c r="DVM16" s="310" t="s">
        <v>201</v>
      </c>
      <c r="DVN16" s="310" t="s">
        <v>201</v>
      </c>
      <c r="DVO16" s="310" t="s">
        <v>201</v>
      </c>
      <c r="DVP16" s="310" t="s">
        <v>201</v>
      </c>
      <c r="DVQ16" s="310" t="s">
        <v>201</v>
      </c>
      <c r="DVR16" s="310" t="s">
        <v>201</v>
      </c>
      <c r="DVS16" s="310" t="s">
        <v>201</v>
      </c>
      <c r="DVT16" s="310" t="s">
        <v>201</v>
      </c>
      <c r="DVU16" s="310" t="s">
        <v>201</v>
      </c>
      <c r="DVV16" s="310" t="s">
        <v>201</v>
      </c>
      <c r="DVW16" s="310" t="s">
        <v>201</v>
      </c>
      <c r="DVX16" s="310" t="s">
        <v>201</v>
      </c>
      <c r="DVY16" s="310" t="s">
        <v>201</v>
      </c>
      <c r="DVZ16" s="310" t="s">
        <v>201</v>
      </c>
      <c r="DWA16" s="310" t="s">
        <v>201</v>
      </c>
      <c r="DWB16" s="310" t="s">
        <v>201</v>
      </c>
      <c r="DWC16" s="310" t="s">
        <v>201</v>
      </c>
      <c r="DWD16" s="310" t="s">
        <v>201</v>
      </c>
      <c r="DWE16" s="310" t="s">
        <v>201</v>
      </c>
      <c r="DWF16" s="310" t="s">
        <v>201</v>
      </c>
      <c r="DWG16" s="310" t="s">
        <v>201</v>
      </c>
      <c r="DWH16" s="310" t="s">
        <v>201</v>
      </c>
      <c r="DWI16" s="310" t="s">
        <v>201</v>
      </c>
      <c r="DWJ16" s="310" t="s">
        <v>201</v>
      </c>
      <c r="DWK16" s="310" t="s">
        <v>201</v>
      </c>
      <c r="DWL16" s="310" t="s">
        <v>201</v>
      </c>
      <c r="DWM16" s="310" t="s">
        <v>201</v>
      </c>
      <c r="DWN16" s="310" t="s">
        <v>201</v>
      </c>
      <c r="DWO16" s="310" t="s">
        <v>201</v>
      </c>
      <c r="DWP16" s="310" t="s">
        <v>201</v>
      </c>
      <c r="DWQ16" s="310" t="s">
        <v>201</v>
      </c>
      <c r="DWR16" s="310" t="s">
        <v>201</v>
      </c>
      <c r="DWS16" s="310" t="s">
        <v>201</v>
      </c>
      <c r="DWT16" s="310" t="s">
        <v>201</v>
      </c>
      <c r="DWU16" s="310" t="s">
        <v>201</v>
      </c>
      <c r="DWV16" s="310" t="s">
        <v>201</v>
      </c>
      <c r="DWW16" s="310" t="s">
        <v>201</v>
      </c>
      <c r="DWX16" s="310" t="s">
        <v>201</v>
      </c>
      <c r="DWY16" s="310" t="s">
        <v>201</v>
      </c>
      <c r="DWZ16" s="310" t="s">
        <v>201</v>
      </c>
      <c r="DXA16" s="310" t="s">
        <v>201</v>
      </c>
      <c r="DXB16" s="310" t="s">
        <v>201</v>
      </c>
      <c r="DXC16" s="310" t="s">
        <v>201</v>
      </c>
      <c r="DXD16" s="310" t="s">
        <v>201</v>
      </c>
      <c r="DXE16" s="310" t="s">
        <v>201</v>
      </c>
      <c r="DXF16" s="310" t="s">
        <v>201</v>
      </c>
      <c r="DXG16" s="310" t="s">
        <v>201</v>
      </c>
      <c r="DXH16" s="310" t="s">
        <v>201</v>
      </c>
      <c r="DXI16" s="310" t="s">
        <v>201</v>
      </c>
      <c r="DXJ16" s="310" t="s">
        <v>201</v>
      </c>
      <c r="DXK16" s="310" t="s">
        <v>201</v>
      </c>
      <c r="DXL16" s="310" t="s">
        <v>201</v>
      </c>
      <c r="DXM16" s="310" t="s">
        <v>201</v>
      </c>
      <c r="DXN16" s="310" t="s">
        <v>201</v>
      </c>
      <c r="DXO16" s="310" t="s">
        <v>201</v>
      </c>
      <c r="DXP16" s="310" t="s">
        <v>201</v>
      </c>
      <c r="DXQ16" s="310" t="s">
        <v>201</v>
      </c>
      <c r="DXR16" s="310" t="s">
        <v>201</v>
      </c>
      <c r="DXS16" s="310" t="s">
        <v>201</v>
      </c>
      <c r="DXT16" s="310" t="s">
        <v>201</v>
      </c>
      <c r="DXU16" s="310" t="s">
        <v>201</v>
      </c>
      <c r="DXV16" s="310" t="s">
        <v>201</v>
      </c>
      <c r="DXW16" s="310" t="s">
        <v>201</v>
      </c>
      <c r="DXX16" s="310" t="s">
        <v>201</v>
      </c>
      <c r="DXY16" s="310" t="s">
        <v>201</v>
      </c>
      <c r="DXZ16" s="310" t="s">
        <v>201</v>
      </c>
      <c r="DYA16" s="310" t="s">
        <v>201</v>
      </c>
      <c r="DYB16" s="310" t="s">
        <v>201</v>
      </c>
      <c r="DYC16" s="310" t="s">
        <v>201</v>
      </c>
      <c r="DYD16" s="310" t="s">
        <v>201</v>
      </c>
      <c r="DYE16" s="310" t="s">
        <v>201</v>
      </c>
      <c r="DYF16" s="310" t="s">
        <v>201</v>
      </c>
      <c r="DYG16" s="310" t="s">
        <v>201</v>
      </c>
      <c r="DYH16" s="310" t="s">
        <v>201</v>
      </c>
      <c r="DYI16" s="310" t="s">
        <v>201</v>
      </c>
      <c r="DYJ16" s="310" t="s">
        <v>201</v>
      </c>
      <c r="DYK16" s="310" t="s">
        <v>201</v>
      </c>
      <c r="DYL16" s="310" t="s">
        <v>201</v>
      </c>
      <c r="DYM16" s="310" t="s">
        <v>201</v>
      </c>
      <c r="DYN16" s="310" t="s">
        <v>201</v>
      </c>
      <c r="DYO16" s="310" t="s">
        <v>201</v>
      </c>
      <c r="DYP16" s="310" t="s">
        <v>201</v>
      </c>
      <c r="DYQ16" s="310" t="s">
        <v>201</v>
      </c>
      <c r="DYR16" s="310" t="s">
        <v>201</v>
      </c>
      <c r="DYS16" s="310" t="s">
        <v>201</v>
      </c>
      <c r="DYT16" s="310" t="s">
        <v>201</v>
      </c>
      <c r="DYU16" s="310" t="s">
        <v>201</v>
      </c>
      <c r="DYV16" s="310" t="s">
        <v>201</v>
      </c>
      <c r="DYW16" s="310" t="s">
        <v>201</v>
      </c>
      <c r="DYX16" s="310" t="s">
        <v>201</v>
      </c>
      <c r="DYY16" s="310" t="s">
        <v>201</v>
      </c>
      <c r="DYZ16" s="310" t="s">
        <v>201</v>
      </c>
      <c r="DZA16" s="310" t="s">
        <v>201</v>
      </c>
      <c r="DZB16" s="310" t="s">
        <v>201</v>
      </c>
      <c r="DZC16" s="310" t="s">
        <v>201</v>
      </c>
      <c r="DZD16" s="310" t="s">
        <v>201</v>
      </c>
      <c r="DZE16" s="310" t="s">
        <v>201</v>
      </c>
      <c r="DZF16" s="310" t="s">
        <v>201</v>
      </c>
      <c r="DZG16" s="310" t="s">
        <v>201</v>
      </c>
      <c r="DZH16" s="310" t="s">
        <v>201</v>
      </c>
      <c r="DZI16" s="310" t="s">
        <v>201</v>
      </c>
      <c r="DZJ16" s="310" t="s">
        <v>201</v>
      </c>
      <c r="DZK16" s="310" t="s">
        <v>201</v>
      </c>
      <c r="DZL16" s="310" t="s">
        <v>201</v>
      </c>
      <c r="DZM16" s="310" t="s">
        <v>201</v>
      </c>
      <c r="DZN16" s="310" t="s">
        <v>201</v>
      </c>
      <c r="DZO16" s="310" t="s">
        <v>201</v>
      </c>
      <c r="DZP16" s="310" t="s">
        <v>201</v>
      </c>
      <c r="DZQ16" s="310" t="s">
        <v>201</v>
      </c>
      <c r="DZR16" s="310" t="s">
        <v>201</v>
      </c>
      <c r="DZS16" s="310" t="s">
        <v>201</v>
      </c>
      <c r="DZT16" s="310" t="s">
        <v>201</v>
      </c>
      <c r="DZU16" s="310" t="s">
        <v>201</v>
      </c>
      <c r="DZV16" s="310" t="s">
        <v>201</v>
      </c>
      <c r="DZW16" s="310" t="s">
        <v>201</v>
      </c>
      <c r="DZX16" s="310" t="s">
        <v>201</v>
      </c>
      <c r="DZY16" s="310" t="s">
        <v>201</v>
      </c>
      <c r="DZZ16" s="310" t="s">
        <v>201</v>
      </c>
      <c r="EAA16" s="310" t="s">
        <v>201</v>
      </c>
      <c r="EAB16" s="310" t="s">
        <v>201</v>
      </c>
      <c r="EAC16" s="310" t="s">
        <v>201</v>
      </c>
      <c r="EAD16" s="310" t="s">
        <v>201</v>
      </c>
      <c r="EAE16" s="310" t="s">
        <v>201</v>
      </c>
      <c r="EAF16" s="310" t="s">
        <v>201</v>
      </c>
      <c r="EAG16" s="310" t="s">
        <v>201</v>
      </c>
      <c r="EAH16" s="310" t="s">
        <v>201</v>
      </c>
      <c r="EAI16" s="310" t="s">
        <v>201</v>
      </c>
      <c r="EAJ16" s="310" t="s">
        <v>201</v>
      </c>
      <c r="EAK16" s="310" t="s">
        <v>201</v>
      </c>
      <c r="EAL16" s="310" t="s">
        <v>201</v>
      </c>
      <c r="EAM16" s="310" t="s">
        <v>201</v>
      </c>
      <c r="EAN16" s="310" t="s">
        <v>201</v>
      </c>
      <c r="EAO16" s="310" t="s">
        <v>201</v>
      </c>
      <c r="EAP16" s="310" t="s">
        <v>201</v>
      </c>
      <c r="EAQ16" s="310" t="s">
        <v>201</v>
      </c>
      <c r="EAR16" s="310" t="s">
        <v>201</v>
      </c>
      <c r="EAS16" s="310" t="s">
        <v>201</v>
      </c>
      <c r="EAT16" s="310" t="s">
        <v>201</v>
      </c>
      <c r="EAU16" s="310" t="s">
        <v>201</v>
      </c>
      <c r="EAV16" s="310" t="s">
        <v>201</v>
      </c>
      <c r="EAW16" s="310" t="s">
        <v>201</v>
      </c>
      <c r="EAX16" s="310" t="s">
        <v>201</v>
      </c>
      <c r="EAY16" s="310" t="s">
        <v>201</v>
      </c>
      <c r="EAZ16" s="310" t="s">
        <v>201</v>
      </c>
      <c r="EBA16" s="310" t="s">
        <v>201</v>
      </c>
      <c r="EBB16" s="310" t="s">
        <v>201</v>
      </c>
      <c r="EBC16" s="310" t="s">
        <v>201</v>
      </c>
      <c r="EBD16" s="310" t="s">
        <v>201</v>
      </c>
      <c r="EBE16" s="310" t="s">
        <v>201</v>
      </c>
      <c r="EBF16" s="310" t="s">
        <v>201</v>
      </c>
      <c r="EBG16" s="310" t="s">
        <v>201</v>
      </c>
      <c r="EBH16" s="310" t="s">
        <v>201</v>
      </c>
      <c r="EBI16" s="310" t="s">
        <v>201</v>
      </c>
      <c r="EBJ16" s="310" t="s">
        <v>201</v>
      </c>
      <c r="EBK16" s="310" t="s">
        <v>201</v>
      </c>
      <c r="EBL16" s="310" t="s">
        <v>201</v>
      </c>
      <c r="EBM16" s="310" t="s">
        <v>201</v>
      </c>
      <c r="EBN16" s="310" t="s">
        <v>201</v>
      </c>
      <c r="EBO16" s="310" t="s">
        <v>201</v>
      </c>
      <c r="EBP16" s="310" t="s">
        <v>201</v>
      </c>
      <c r="EBQ16" s="310" t="s">
        <v>201</v>
      </c>
      <c r="EBR16" s="310" t="s">
        <v>201</v>
      </c>
      <c r="EBS16" s="310" t="s">
        <v>201</v>
      </c>
      <c r="EBT16" s="310" t="s">
        <v>201</v>
      </c>
      <c r="EBU16" s="310" t="s">
        <v>201</v>
      </c>
      <c r="EBV16" s="310" t="s">
        <v>201</v>
      </c>
      <c r="EBW16" s="310" t="s">
        <v>201</v>
      </c>
      <c r="EBX16" s="310" t="s">
        <v>201</v>
      </c>
      <c r="EBY16" s="310" t="s">
        <v>201</v>
      </c>
      <c r="EBZ16" s="310" t="s">
        <v>201</v>
      </c>
      <c r="ECA16" s="310" t="s">
        <v>201</v>
      </c>
      <c r="ECB16" s="310" t="s">
        <v>201</v>
      </c>
      <c r="ECC16" s="310" t="s">
        <v>201</v>
      </c>
      <c r="ECD16" s="310" t="s">
        <v>201</v>
      </c>
      <c r="ECE16" s="310" t="s">
        <v>201</v>
      </c>
      <c r="ECF16" s="310" t="s">
        <v>201</v>
      </c>
      <c r="ECG16" s="310" t="s">
        <v>201</v>
      </c>
      <c r="ECH16" s="310" t="s">
        <v>201</v>
      </c>
      <c r="ECI16" s="310" t="s">
        <v>201</v>
      </c>
      <c r="ECJ16" s="310" t="s">
        <v>201</v>
      </c>
      <c r="ECK16" s="310" t="s">
        <v>201</v>
      </c>
      <c r="ECL16" s="310" t="s">
        <v>201</v>
      </c>
      <c r="ECM16" s="310" t="s">
        <v>201</v>
      </c>
      <c r="ECN16" s="310" t="s">
        <v>201</v>
      </c>
      <c r="ECO16" s="310" t="s">
        <v>201</v>
      </c>
      <c r="ECP16" s="310" t="s">
        <v>201</v>
      </c>
      <c r="ECQ16" s="310" t="s">
        <v>201</v>
      </c>
      <c r="ECR16" s="310" t="s">
        <v>201</v>
      </c>
      <c r="ECS16" s="310" t="s">
        <v>201</v>
      </c>
      <c r="ECT16" s="310" t="s">
        <v>201</v>
      </c>
      <c r="ECU16" s="310" t="s">
        <v>201</v>
      </c>
      <c r="ECV16" s="310" t="s">
        <v>201</v>
      </c>
      <c r="ECW16" s="310" t="s">
        <v>201</v>
      </c>
      <c r="ECX16" s="310" t="s">
        <v>201</v>
      </c>
      <c r="ECY16" s="310" t="s">
        <v>201</v>
      </c>
      <c r="ECZ16" s="310" t="s">
        <v>201</v>
      </c>
      <c r="EDA16" s="310" t="s">
        <v>201</v>
      </c>
      <c r="EDB16" s="310" t="s">
        <v>201</v>
      </c>
      <c r="EDC16" s="310" t="s">
        <v>201</v>
      </c>
      <c r="EDD16" s="310" t="s">
        <v>201</v>
      </c>
      <c r="EDE16" s="310" t="s">
        <v>201</v>
      </c>
      <c r="EDF16" s="310" t="s">
        <v>201</v>
      </c>
      <c r="EDG16" s="310" t="s">
        <v>201</v>
      </c>
      <c r="EDH16" s="310" t="s">
        <v>201</v>
      </c>
      <c r="EDI16" s="310" t="s">
        <v>201</v>
      </c>
      <c r="EDJ16" s="310" t="s">
        <v>201</v>
      </c>
      <c r="EDK16" s="310" t="s">
        <v>201</v>
      </c>
      <c r="EDL16" s="310" t="s">
        <v>201</v>
      </c>
      <c r="EDM16" s="310" t="s">
        <v>201</v>
      </c>
      <c r="EDN16" s="310" t="s">
        <v>201</v>
      </c>
      <c r="EDO16" s="310" t="s">
        <v>201</v>
      </c>
      <c r="EDP16" s="310" t="s">
        <v>201</v>
      </c>
      <c r="EDQ16" s="310" t="s">
        <v>201</v>
      </c>
      <c r="EDR16" s="310" t="s">
        <v>201</v>
      </c>
      <c r="EDS16" s="310" t="s">
        <v>201</v>
      </c>
      <c r="EDT16" s="310" t="s">
        <v>201</v>
      </c>
      <c r="EDU16" s="310" t="s">
        <v>201</v>
      </c>
      <c r="EDV16" s="310" t="s">
        <v>201</v>
      </c>
      <c r="EDW16" s="310" t="s">
        <v>201</v>
      </c>
      <c r="EDX16" s="310" t="s">
        <v>201</v>
      </c>
      <c r="EDY16" s="310" t="s">
        <v>201</v>
      </c>
      <c r="EDZ16" s="310" t="s">
        <v>201</v>
      </c>
      <c r="EEA16" s="310" t="s">
        <v>201</v>
      </c>
      <c r="EEB16" s="310" t="s">
        <v>201</v>
      </c>
      <c r="EEC16" s="310" t="s">
        <v>201</v>
      </c>
      <c r="EED16" s="310" t="s">
        <v>201</v>
      </c>
      <c r="EEE16" s="310" t="s">
        <v>201</v>
      </c>
      <c r="EEF16" s="310" t="s">
        <v>201</v>
      </c>
      <c r="EEG16" s="310" t="s">
        <v>201</v>
      </c>
      <c r="EEH16" s="310" t="s">
        <v>201</v>
      </c>
      <c r="EEI16" s="310" t="s">
        <v>201</v>
      </c>
      <c r="EEJ16" s="310" t="s">
        <v>201</v>
      </c>
      <c r="EEK16" s="310" t="s">
        <v>201</v>
      </c>
      <c r="EEL16" s="310" t="s">
        <v>201</v>
      </c>
      <c r="EEM16" s="310" t="s">
        <v>201</v>
      </c>
      <c r="EEN16" s="310" t="s">
        <v>201</v>
      </c>
      <c r="EEO16" s="310" t="s">
        <v>201</v>
      </c>
      <c r="EEP16" s="310" t="s">
        <v>201</v>
      </c>
      <c r="EEQ16" s="310" t="s">
        <v>201</v>
      </c>
      <c r="EER16" s="310" t="s">
        <v>201</v>
      </c>
      <c r="EES16" s="310" t="s">
        <v>201</v>
      </c>
      <c r="EET16" s="310" t="s">
        <v>201</v>
      </c>
      <c r="EEU16" s="310" t="s">
        <v>201</v>
      </c>
      <c r="EEV16" s="310" t="s">
        <v>201</v>
      </c>
      <c r="EEW16" s="310" t="s">
        <v>201</v>
      </c>
      <c r="EEX16" s="310" t="s">
        <v>201</v>
      </c>
      <c r="EEY16" s="310" t="s">
        <v>201</v>
      </c>
      <c r="EEZ16" s="310" t="s">
        <v>201</v>
      </c>
      <c r="EFA16" s="310" t="s">
        <v>201</v>
      </c>
      <c r="EFB16" s="310" t="s">
        <v>201</v>
      </c>
      <c r="EFC16" s="310" t="s">
        <v>201</v>
      </c>
      <c r="EFD16" s="310" t="s">
        <v>201</v>
      </c>
      <c r="EFE16" s="310" t="s">
        <v>201</v>
      </c>
      <c r="EFF16" s="310" t="s">
        <v>201</v>
      </c>
      <c r="EFG16" s="310" t="s">
        <v>201</v>
      </c>
      <c r="EFH16" s="310" t="s">
        <v>201</v>
      </c>
      <c r="EFI16" s="310" t="s">
        <v>201</v>
      </c>
      <c r="EFJ16" s="310" t="s">
        <v>201</v>
      </c>
      <c r="EFK16" s="310" t="s">
        <v>201</v>
      </c>
      <c r="EFL16" s="310" t="s">
        <v>201</v>
      </c>
      <c r="EFM16" s="310" t="s">
        <v>201</v>
      </c>
      <c r="EFN16" s="310" t="s">
        <v>201</v>
      </c>
      <c r="EFO16" s="310" t="s">
        <v>201</v>
      </c>
      <c r="EFP16" s="310" t="s">
        <v>201</v>
      </c>
      <c r="EFQ16" s="310" t="s">
        <v>201</v>
      </c>
      <c r="EFR16" s="310" t="s">
        <v>201</v>
      </c>
      <c r="EFS16" s="310" t="s">
        <v>201</v>
      </c>
      <c r="EFT16" s="310" t="s">
        <v>201</v>
      </c>
      <c r="EFU16" s="310" t="s">
        <v>201</v>
      </c>
      <c r="EFV16" s="310" t="s">
        <v>201</v>
      </c>
      <c r="EFW16" s="310" t="s">
        <v>201</v>
      </c>
      <c r="EFX16" s="310" t="s">
        <v>201</v>
      </c>
      <c r="EFY16" s="310" t="s">
        <v>201</v>
      </c>
      <c r="EFZ16" s="310" t="s">
        <v>201</v>
      </c>
      <c r="EGA16" s="310" t="s">
        <v>201</v>
      </c>
      <c r="EGB16" s="310" t="s">
        <v>201</v>
      </c>
      <c r="EGC16" s="310" t="s">
        <v>201</v>
      </c>
      <c r="EGD16" s="310" t="s">
        <v>201</v>
      </c>
      <c r="EGE16" s="310" t="s">
        <v>201</v>
      </c>
      <c r="EGF16" s="310" t="s">
        <v>201</v>
      </c>
      <c r="EGG16" s="310" t="s">
        <v>201</v>
      </c>
      <c r="EGH16" s="310" t="s">
        <v>201</v>
      </c>
      <c r="EGI16" s="310" t="s">
        <v>201</v>
      </c>
      <c r="EGJ16" s="310" t="s">
        <v>201</v>
      </c>
      <c r="EGK16" s="310" t="s">
        <v>201</v>
      </c>
      <c r="EGL16" s="310" t="s">
        <v>201</v>
      </c>
      <c r="EGM16" s="310" t="s">
        <v>201</v>
      </c>
      <c r="EGN16" s="310" t="s">
        <v>201</v>
      </c>
      <c r="EGO16" s="310" t="s">
        <v>201</v>
      </c>
      <c r="EGP16" s="310" t="s">
        <v>201</v>
      </c>
      <c r="EGQ16" s="310" t="s">
        <v>201</v>
      </c>
      <c r="EGR16" s="310" t="s">
        <v>201</v>
      </c>
      <c r="EGS16" s="310" t="s">
        <v>201</v>
      </c>
      <c r="EGT16" s="310" t="s">
        <v>201</v>
      </c>
      <c r="EGU16" s="310" t="s">
        <v>201</v>
      </c>
      <c r="EGV16" s="310" t="s">
        <v>201</v>
      </c>
      <c r="EGW16" s="310" t="s">
        <v>201</v>
      </c>
      <c r="EGX16" s="310" t="s">
        <v>201</v>
      </c>
      <c r="EGY16" s="310" t="s">
        <v>201</v>
      </c>
      <c r="EGZ16" s="310" t="s">
        <v>201</v>
      </c>
      <c r="EHA16" s="310" t="s">
        <v>201</v>
      </c>
      <c r="EHB16" s="310" t="s">
        <v>201</v>
      </c>
      <c r="EHC16" s="310" t="s">
        <v>201</v>
      </c>
      <c r="EHD16" s="310" t="s">
        <v>201</v>
      </c>
      <c r="EHE16" s="310" t="s">
        <v>201</v>
      </c>
      <c r="EHF16" s="310" t="s">
        <v>201</v>
      </c>
      <c r="EHG16" s="310" t="s">
        <v>201</v>
      </c>
      <c r="EHH16" s="310" t="s">
        <v>201</v>
      </c>
      <c r="EHI16" s="310" t="s">
        <v>201</v>
      </c>
      <c r="EHJ16" s="310" t="s">
        <v>201</v>
      </c>
      <c r="EHK16" s="310" t="s">
        <v>201</v>
      </c>
      <c r="EHL16" s="310" t="s">
        <v>201</v>
      </c>
      <c r="EHM16" s="310" t="s">
        <v>201</v>
      </c>
      <c r="EHN16" s="310" t="s">
        <v>201</v>
      </c>
      <c r="EHO16" s="310" t="s">
        <v>201</v>
      </c>
      <c r="EHP16" s="310" t="s">
        <v>201</v>
      </c>
      <c r="EHQ16" s="310" t="s">
        <v>201</v>
      </c>
      <c r="EHR16" s="310" t="s">
        <v>201</v>
      </c>
      <c r="EHS16" s="310" t="s">
        <v>201</v>
      </c>
      <c r="EHT16" s="310" t="s">
        <v>201</v>
      </c>
      <c r="EHU16" s="310" t="s">
        <v>201</v>
      </c>
      <c r="EHV16" s="310" t="s">
        <v>201</v>
      </c>
      <c r="EHW16" s="310" t="s">
        <v>201</v>
      </c>
      <c r="EHX16" s="310" t="s">
        <v>201</v>
      </c>
      <c r="EHY16" s="310" t="s">
        <v>201</v>
      </c>
      <c r="EHZ16" s="310" t="s">
        <v>201</v>
      </c>
      <c r="EIA16" s="310" t="s">
        <v>201</v>
      </c>
      <c r="EIB16" s="310" t="s">
        <v>201</v>
      </c>
      <c r="EIC16" s="310" t="s">
        <v>201</v>
      </c>
      <c r="EID16" s="310" t="s">
        <v>201</v>
      </c>
      <c r="EIE16" s="310" t="s">
        <v>201</v>
      </c>
      <c r="EIF16" s="310" t="s">
        <v>201</v>
      </c>
      <c r="EIG16" s="310" t="s">
        <v>201</v>
      </c>
      <c r="EIH16" s="310" t="s">
        <v>201</v>
      </c>
      <c r="EII16" s="310" t="s">
        <v>201</v>
      </c>
      <c r="EIJ16" s="310" t="s">
        <v>201</v>
      </c>
      <c r="EIK16" s="310" t="s">
        <v>201</v>
      </c>
      <c r="EIL16" s="310" t="s">
        <v>201</v>
      </c>
      <c r="EIM16" s="310" t="s">
        <v>201</v>
      </c>
      <c r="EIN16" s="310" t="s">
        <v>201</v>
      </c>
      <c r="EIO16" s="310" t="s">
        <v>201</v>
      </c>
      <c r="EIP16" s="310" t="s">
        <v>201</v>
      </c>
      <c r="EIQ16" s="310" t="s">
        <v>201</v>
      </c>
      <c r="EIR16" s="310" t="s">
        <v>201</v>
      </c>
      <c r="EIS16" s="310" t="s">
        <v>201</v>
      </c>
      <c r="EIT16" s="310" t="s">
        <v>201</v>
      </c>
      <c r="EIU16" s="310" t="s">
        <v>201</v>
      </c>
      <c r="EIV16" s="310" t="s">
        <v>201</v>
      </c>
      <c r="EIW16" s="310" t="s">
        <v>201</v>
      </c>
      <c r="EIX16" s="310" t="s">
        <v>201</v>
      </c>
      <c r="EIY16" s="310" t="s">
        <v>201</v>
      </c>
      <c r="EIZ16" s="310" t="s">
        <v>201</v>
      </c>
      <c r="EJA16" s="310" t="s">
        <v>201</v>
      </c>
      <c r="EJB16" s="310" t="s">
        <v>201</v>
      </c>
      <c r="EJC16" s="310" t="s">
        <v>201</v>
      </c>
      <c r="EJD16" s="310" t="s">
        <v>201</v>
      </c>
      <c r="EJE16" s="310" t="s">
        <v>201</v>
      </c>
      <c r="EJF16" s="310" t="s">
        <v>201</v>
      </c>
      <c r="EJG16" s="310" t="s">
        <v>201</v>
      </c>
      <c r="EJH16" s="310" t="s">
        <v>201</v>
      </c>
      <c r="EJI16" s="310" t="s">
        <v>201</v>
      </c>
      <c r="EJJ16" s="310" t="s">
        <v>201</v>
      </c>
      <c r="EJK16" s="310" t="s">
        <v>201</v>
      </c>
      <c r="EJL16" s="310" t="s">
        <v>201</v>
      </c>
      <c r="EJM16" s="310" t="s">
        <v>201</v>
      </c>
      <c r="EJN16" s="310" t="s">
        <v>201</v>
      </c>
      <c r="EJO16" s="310" t="s">
        <v>201</v>
      </c>
      <c r="EJP16" s="310" t="s">
        <v>201</v>
      </c>
      <c r="EJQ16" s="310" t="s">
        <v>201</v>
      </c>
      <c r="EJR16" s="310" t="s">
        <v>201</v>
      </c>
      <c r="EJS16" s="310" t="s">
        <v>201</v>
      </c>
      <c r="EJT16" s="310" t="s">
        <v>201</v>
      </c>
      <c r="EJU16" s="310" t="s">
        <v>201</v>
      </c>
      <c r="EJV16" s="310" t="s">
        <v>201</v>
      </c>
      <c r="EJW16" s="310" t="s">
        <v>201</v>
      </c>
      <c r="EJX16" s="310" t="s">
        <v>201</v>
      </c>
      <c r="EJY16" s="310" t="s">
        <v>201</v>
      </c>
      <c r="EJZ16" s="310" t="s">
        <v>201</v>
      </c>
      <c r="EKA16" s="310" t="s">
        <v>201</v>
      </c>
      <c r="EKB16" s="310" t="s">
        <v>201</v>
      </c>
      <c r="EKC16" s="310" t="s">
        <v>201</v>
      </c>
      <c r="EKD16" s="310" t="s">
        <v>201</v>
      </c>
      <c r="EKE16" s="310" t="s">
        <v>201</v>
      </c>
      <c r="EKF16" s="310" t="s">
        <v>201</v>
      </c>
      <c r="EKG16" s="310" t="s">
        <v>201</v>
      </c>
      <c r="EKH16" s="310" t="s">
        <v>201</v>
      </c>
      <c r="EKI16" s="310" t="s">
        <v>201</v>
      </c>
      <c r="EKJ16" s="310" t="s">
        <v>201</v>
      </c>
      <c r="EKK16" s="310" t="s">
        <v>201</v>
      </c>
      <c r="EKL16" s="310" t="s">
        <v>201</v>
      </c>
      <c r="EKM16" s="310" t="s">
        <v>201</v>
      </c>
      <c r="EKN16" s="310" t="s">
        <v>201</v>
      </c>
      <c r="EKO16" s="310" t="s">
        <v>201</v>
      </c>
      <c r="EKP16" s="310" t="s">
        <v>201</v>
      </c>
      <c r="EKQ16" s="310" t="s">
        <v>201</v>
      </c>
      <c r="EKR16" s="310" t="s">
        <v>201</v>
      </c>
      <c r="EKS16" s="310" t="s">
        <v>201</v>
      </c>
      <c r="EKT16" s="310" t="s">
        <v>201</v>
      </c>
      <c r="EKU16" s="310" t="s">
        <v>201</v>
      </c>
      <c r="EKV16" s="310" t="s">
        <v>201</v>
      </c>
      <c r="EKW16" s="310" t="s">
        <v>201</v>
      </c>
      <c r="EKX16" s="310" t="s">
        <v>201</v>
      </c>
      <c r="EKY16" s="310" t="s">
        <v>201</v>
      </c>
      <c r="EKZ16" s="310" t="s">
        <v>201</v>
      </c>
      <c r="ELA16" s="310" t="s">
        <v>201</v>
      </c>
      <c r="ELB16" s="310" t="s">
        <v>201</v>
      </c>
      <c r="ELC16" s="310" t="s">
        <v>201</v>
      </c>
      <c r="ELD16" s="310" t="s">
        <v>201</v>
      </c>
      <c r="ELE16" s="310" t="s">
        <v>201</v>
      </c>
      <c r="ELF16" s="310" t="s">
        <v>201</v>
      </c>
      <c r="ELG16" s="310" t="s">
        <v>201</v>
      </c>
      <c r="ELH16" s="310" t="s">
        <v>201</v>
      </c>
      <c r="ELI16" s="310" t="s">
        <v>201</v>
      </c>
      <c r="ELJ16" s="310" t="s">
        <v>201</v>
      </c>
      <c r="ELK16" s="310" t="s">
        <v>201</v>
      </c>
      <c r="ELL16" s="310" t="s">
        <v>201</v>
      </c>
      <c r="ELM16" s="310" t="s">
        <v>201</v>
      </c>
      <c r="ELN16" s="310" t="s">
        <v>201</v>
      </c>
      <c r="ELO16" s="310" t="s">
        <v>201</v>
      </c>
      <c r="ELP16" s="310" t="s">
        <v>201</v>
      </c>
      <c r="ELQ16" s="310" t="s">
        <v>201</v>
      </c>
      <c r="ELR16" s="310" t="s">
        <v>201</v>
      </c>
      <c r="ELS16" s="310" t="s">
        <v>201</v>
      </c>
      <c r="ELT16" s="310" t="s">
        <v>201</v>
      </c>
      <c r="ELU16" s="310" t="s">
        <v>201</v>
      </c>
      <c r="ELV16" s="310" t="s">
        <v>201</v>
      </c>
      <c r="ELW16" s="310" t="s">
        <v>201</v>
      </c>
      <c r="ELX16" s="310" t="s">
        <v>201</v>
      </c>
      <c r="ELY16" s="310" t="s">
        <v>201</v>
      </c>
      <c r="ELZ16" s="310" t="s">
        <v>201</v>
      </c>
      <c r="EMA16" s="310" t="s">
        <v>201</v>
      </c>
      <c r="EMB16" s="310" t="s">
        <v>201</v>
      </c>
      <c r="EMC16" s="310" t="s">
        <v>201</v>
      </c>
      <c r="EMD16" s="310" t="s">
        <v>201</v>
      </c>
      <c r="EME16" s="310" t="s">
        <v>201</v>
      </c>
      <c r="EMF16" s="310" t="s">
        <v>201</v>
      </c>
      <c r="EMG16" s="310" t="s">
        <v>201</v>
      </c>
      <c r="EMH16" s="310" t="s">
        <v>201</v>
      </c>
      <c r="EMI16" s="310" t="s">
        <v>201</v>
      </c>
      <c r="EMJ16" s="310" t="s">
        <v>201</v>
      </c>
      <c r="EMK16" s="310" t="s">
        <v>201</v>
      </c>
      <c r="EML16" s="310" t="s">
        <v>201</v>
      </c>
      <c r="EMM16" s="310" t="s">
        <v>201</v>
      </c>
      <c r="EMN16" s="310" t="s">
        <v>201</v>
      </c>
      <c r="EMO16" s="310" t="s">
        <v>201</v>
      </c>
      <c r="EMP16" s="310" t="s">
        <v>201</v>
      </c>
      <c r="EMQ16" s="310" t="s">
        <v>201</v>
      </c>
      <c r="EMR16" s="310" t="s">
        <v>201</v>
      </c>
      <c r="EMS16" s="310" t="s">
        <v>201</v>
      </c>
      <c r="EMT16" s="310" t="s">
        <v>201</v>
      </c>
      <c r="EMU16" s="310" t="s">
        <v>201</v>
      </c>
      <c r="EMV16" s="310" t="s">
        <v>201</v>
      </c>
      <c r="EMW16" s="310" t="s">
        <v>201</v>
      </c>
      <c r="EMX16" s="310" t="s">
        <v>201</v>
      </c>
      <c r="EMY16" s="310" t="s">
        <v>201</v>
      </c>
      <c r="EMZ16" s="310" t="s">
        <v>201</v>
      </c>
      <c r="ENA16" s="310" t="s">
        <v>201</v>
      </c>
      <c r="ENB16" s="310" t="s">
        <v>201</v>
      </c>
      <c r="ENC16" s="310" t="s">
        <v>201</v>
      </c>
      <c r="END16" s="310" t="s">
        <v>201</v>
      </c>
      <c r="ENE16" s="310" t="s">
        <v>201</v>
      </c>
      <c r="ENF16" s="310" t="s">
        <v>201</v>
      </c>
      <c r="ENG16" s="310" t="s">
        <v>201</v>
      </c>
      <c r="ENH16" s="310" t="s">
        <v>201</v>
      </c>
      <c r="ENI16" s="310" t="s">
        <v>201</v>
      </c>
      <c r="ENJ16" s="310" t="s">
        <v>201</v>
      </c>
      <c r="ENK16" s="310" t="s">
        <v>201</v>
      </c>
      <c r="ENL16" s="310" t="s">
        <v>201</v>
      </c>
      <c r="ENM16" s="310" t="s">
        <v>201</v>
      </c>
      <c r="ENN16" s="310" t="s">
        <v>201</v>
      </c>
      <c r="ENO16" s="310" t="s">
        <v>201</v>
      </c>
      <c r="ENP16" s="310" t="s">
        <v>201</v>
      </c>
      <c r="ENQ16" s="310" t="s">
        <v>201</v>
      </c>
      <c r="ENR16" s="310" t="s">
        <v>201</v>
      </c>
      <c r="ENS16" s="310" t="s">
        <v>201</v>
      </c>
      <c r="ENT16" s="310" t="s">
        <v>201</v>
      </c>
      <c r="ENU16" s="310" t="s">
        <v>201</v>
      </c>
      <c r="ENV16" s="310" t="s">
        <v>201</v>
      </c>
      <c r="ENW16" s="310" t="s">
        <v>201</v>
      </c>
      <c r="ENX16" s="310" t="s">
        <v>201</v>
      </c>
      <c r="ENY16" s="310" t="s">
        <v>201</v>
      </c>
      <c r="ENZ16" s="310" t="s">
        <v>201</v>
      </c>
      <c r="EOA16" s="310" t="s">
        <v>201</v>
      </c>
      <c r="EOB16" s="310" t="s">
        <v>201</v>
      </c>
      <c r="EOC16" s="310" t="s">
        <v>201</v>
      </c>
      <c r="EOD16" s="310" t="s">
        <v>201</v>
      </c>
      <c r="EOE16" s="310" t="s">
        <v>201</v>
      </c>
      <c r="EOF16" s="310" t="s">
        <v>201</v>
      </c>
      <c r="EOG16" s="310" t="s">
        <v>201</v>
      </c>
      <c r="EOH16" s="310" t="s">
        <v>201</v>
      </c>
      <c r="EOI16" s="310" t="s">
        <v>201</v>
      </c>
      <c r="EOJ16" s="310" t="s">
        <v>201</v>
      </c>
      <c r="EOK16" s="310" t="s">
        <v>201</v>
      </c>
      <c r="EOL16" s="310" t="s">
        <v>201</v>
      </c>
      <c r="EOM16" s="310" t="s">
        <v>201</v>
      </c>
      <c r="EON16" s="310" t="s">
        <v>201</v>
      </c>
      <c r="EOO16" s="310" t="s">
        <v>201</v>
      </c>
      <c r="EOP16" s="310" t="s">
        <v>201</v>
      </c>
      <c r="EOQ16" s="310" t="s">
        <v>201</v>
      </c>
      <c r="EOR16" s="310" t="s">
        <v>201</v>
      </c>
      <c r="EOS16" s="310" t="s">
        <v>201</v>
      </c>
      <c r="EOT16" s="310" t="s">
        <v>201</v>
      </c>
      <c r="EOU16" s="310" t="s">
        <v>201</v>
      </c>
      <c r="EOV16" s="310" t="s">
        <v>201</v>
      </c>
      <c r="EOW16" s="310" t="s">
        <v>201</v>
      </c>
      <c r="EOX16" s="310" t="s">
        <v>201</v>
      </c>
      <c r="EOY16" s="310" t="s">
        <v>201</v>
      </c>
      <c r="EOZ16" s="310" t="s">
        <v>201</v>
      </c>
      <c r="EPA16" s="310" t="s">
        <v>201</v>
      </c>
      <c r="EPB16" s="310" t="s">
        <v>201</v>
      </c>
      <c r="EPC16" s="310" t="s">
        <v>201</v>
      </c>
      <c r="EPD16" s="310" t="s">
        <v>201</v>
      </c>
      <c r="EPE16" s="310" t="s">
        <v>201</v>
      </c>
      <c r="EPF16" s="310" t="s">
        <v>201</v>
      </c>
      <c r="EPG16" s="310" t="s">
        <v>201</v>
      </c>
      <c r="EPH16" s="310" t="s">
        <v>201</v>
      </c>
      <c r="EPI16" s="310" t="s">
        <v>201</v>
      </c>
      <c r="EPJ16" s="310" t="s">
        <v>201</v>
      </c>
      <c r="EPK16" s="310" t="s">
        <v>201</v>
      </c>
      <c r="EPL16" s="310" t="s">
        <v>201</v>
      </c>
      <c r="EPM16" s="310" t="s">
        <v>201</v>
      </c>
      <c r="EPN16" s="310" t="s">
        <v>201</v>
      </c>
      <c r="EPO16" s="310" t="s">
        <v>201</v>
      </c>
      <c r="EPP16" s="310" t="s">
        <v>201</v>
      </c>
      <c r="EPQ16" s="310" t="s">
        <v>201</v>
      </c>
      <c r="EPR16" s="310" t="s">
        <v>201</v>
      </c>
      <c r="EPS16" s="310" t="s">
        <v>201</v>
      </c>
      <c r="EPT16" s="310" t="s">
        <v>201</v>
      </c>
      <c r="EPU16" s="310" t="s">
        <v>201</v>
      </c>
      <c r="EPV16" s="310" t="s">
        <v>201</v>
      </c>
      <c r="EPW16" s="310" t="s">
        <v>201</v>
      </c>
      <c r="EPX16" s="310" t="s">
        <v>201</v>
      </c>
      <c r="EPY16" s="310" t="s">
        <v>201</v>
      </c>
      <c r="EPZ16" s="310" t="s">
        <v>201</v>
      </c>
      <c r="EQA16" s="310" t="s">
        <v>201</v>
      </c>
      <c r="EQB16" s="310" t="s">
        <v>201</v>
      </c>
      <c r="EQC16" s="310" t="s">
        <v>201</v>
      </c>
      <c r="EQD16" s="310" t="s">
        <v>201</v>
      </c>
      <c r="EQE16" s="310" t="s">
        <v>201</v>
      </c>
      <c r="EQF16" s="310" t="s">
        <v>201</v>
      </c>
      <c r="EQG16" s="310" t="s">
        <v>201</v>
      </c>
      <c r="EQH16" s="310" t="s">
        <v>201</v>
      </c>
      <c r="EQI16" s="310" t="s">
        <v>201</v>
      </c>
      <c r="EQJ16" s="310" t="s">
        <v>201</v>
      </c>
      <c r="EQK16" s="310" t="s">
        <v>201</v>
      </c>
      <c r="EQL16" s="310" t="s">
        <v>201</v>
      </c>
      <c r="EQM16" s="310" t="s">
        <v>201</v>
      </c>
      <c r="EQN16" s="310" t="s">
        <v>201</v>
      </c>
      <c r="EQO16" s="310" t="s">
        <v>201</v>
      </c>
      <c r="EQP16" s="310" t="s">
        <v>201</v>
      </c>
      <c r="EQQ16" s="310" t="s">
        <v>201</v>
      </c>
      <c r="EQR16" s="310" t="s">
        <v>201</v>
      </c>
      <c r="EQS16" s="310" t="s">
        <v>201</v>
      </c>
      <c r="EQT16" s="310" t="s">
        <v>201</v>
      </c>
      <c r="EQU16" s="310" t="s">
        <v>201</v>
      </c>
      <c r="EQV16" s="310" t="s">
        <v>201</v>
      </c>
      <c r="EQW16" s="310" t="s">
        <v>201</v>
      </c>
      <c r="EQX16" s="310" t="s">
        <v>201</v>
      </c>
      <c r="EQY16" s="310" t="s">
        <v>201</v>
      </c>
      <c r="EQZ16" s="310" t="s">
        <v>201</v>
      </c>
      <c r="ERA16" s="310" t="s">
        <v>201</v>
      </c>
      <c r="ERB16" s="310" t="s">
        <v>201</v>
      </c>
      <c r="ERC16" s="310" t="s">
        <v>201</v>
      </c>
      <c r="ERD16" s="310" t="s">
        <v>201</v>
      </c>
      <c r="ERE16" s="310" t="s">
        <v>201</v>
      </c>
      <c r="ERF16" s="310" t="s">
        <v>201</v>
      </c>
      <c r="ERG16" s="310" t="s">
        <v>201</v>
      </c>
      <c r="ERH16" s="310" t="s">
        <v>201</v>
      </c>
      <c r="ERI16" s="310" t="s">
        <v>201</v>
      </c>
      <c r="ERJ16" s="310" t="s">
        <v>201</v>
      </c>
      <c r="ERK16" s="310" t="s">
        <v>201</v>
      </c>
      <c r="ERL16" s="310" t="s">
        <v>201</v>
      </c>
      <c r="ERM16" s="310" t="s">
        <v>201</v>
      </c>
      <c r="ERN16" s="310" t="s">
        <v>201</v>
      </c>
      <c r="ERO16" s="310" t="s">
        <v>201</v>
      </c>
      <c r="ERP16" s="310" t="s">
        <v>201</v>
      </c>
      <c r="ERQ16" s="310" t="s">
        <v>201</v>
      </c>
      <c r="ERR16" s="310" t="s">
        <v>201</v>
      </c>
      <c r="ERS16" s="310" t="s">
        <v>201</v>
      </c>
      <c r="ERT16" s="310" t="s">
        <v>201</v>
      </c>
      <c r="ERU16" s="310" t="s">
        <v>201</v>
      </c>
      <c r="ERV16" s="310" t="s">
        <v>201</v>
      </c>
      <c r="ERW16" s="310" t="s">
        <v>201</v>
      </c>
      <c r="ERX16" s="310" t="s">
        <v>201</v>
      </c>
      <c r="ERY16" s="310" t="s">
        <v>201</v>
      </c>
      <c r="ERZ16" s="310" t="s">
        <v>201</v>
      </c>
      <c r="ESA16" s="310" t="s">
        <v>201</v>
      </c>
      <c r="ESB16" s="310" t="s">
        <v>201</v>
      </c>
      <c r="ESC16" s="310" t="s">
        <v>201</v>
      </c>
      <c r="ESD16" s="310" t="s">
        <v>201</v>
      </c>
      <c r="ESE16" s="310" t="s">
        <v>201</v>
      </c>
      <c r="ESF16" s="310" t="s">
        <v>201</v>
      </c>
      <c r="ESG16" s="310" t="s">
        <v>201</v>
      </c>
      <c r="ESH16" s="310" t="s">
        <v>201</v>
      </c>
      <c r="ESI16" s="310" t="s">
        <v>201</v>
      </c>
      <c r="ESJ16" s="310" t="s">
        <v>201</v>
      </c>
      <c r="ESK16" s="310" t="s">
        <v>201</v>
      </c>
      <c r="ESL16" s="310" t="s">
        <v>201</v>
      </c>
      <c r="ESM16" s="310" t="s">
        <v>201</v>
      </c>
      <c r="ESN16" s="310" t="s">
        <v>201</v>
      </c>
      <c r="ESO16" s="310" t="s">
        <v>201</v>
      </c>
      <c r="ESP16" s="310" t="s">
        <v>201</v>
      </c>
      <c r="ESQ16" s="310" t="s">
        <v>201</v>
      </c>
      <c r="ESR16" s="310" t="s">
        <v>201</v>
      </c>
      <c r="ESS16" s="310" t="s">
        <v>201</v>
      </c>
      <c r="EST16" s="310" t="s">
        <v>201</v>
      </c>
      <c r="ESU16" s="310" t="s">
        <v>201</v>
      </c>
      <c r="ESV16" s="310" t="s">
        <v>201</v>
      </c>
      <c r="ESW16" s="310" t="s">
        <v>201</v>
      </c>
      <c r="ESX16" s="310" t="s">
        <v>201</v>
      </c>
      <c r="ESY16" s="310" t="s">
        <v>201</v>
      </c>
      <c r="ESZ16" s="310" t="s">
        <v>201</v>
      </c>
      <c r="ETA16" s="310" t="s">
        <v>201</v>
      </c>
      <c r="ETB16" s="310" t="s">
        <v>201</v>
      </c>
      <c r="ETC16" s="310" t="s">
        <v>201</v>
      </c>
      <c r="ETD16" s="310" t="s">
        <v>201</v>
      </c>
      <c r="ETE16" s="310" t="s">
        <v>201</v>
      </c>
      <c r="ETF16" s="310" t="s">
        <v>201</v>
      </c>
      <c r="ETG16" s="310" t="s">
        <v>201</v>
      </c>
      <c r="ETH16" s="310" t="s">
        <v>201</v>
      </c>
      <c r="ETI16" s="310" t="s">
        <v>201</v>
      </c>
      <c r="ETJ16" s="310" t="s">
        <v>201</v>
      </c>
      <c r="ETK16" s="310" t="s">
        <v>201</v>
      </c>
      <c r="ETL16" s="310" t="s">
        <v>201</v>
      </c>
      <c r="ETM16" s="310" t="s">
        <v>201</v>
      </c>
      <c r="ETN16" s="310" t="s">
        <v>201</v>
      </c>
      <c r="ETO16" s="310" t="s">
        <v>201</v>
      </c>
      <c r="ETP16" s="310" t="s">
        <v>201</v>
      </c>
      <c r="ETQ16" s="310" t="s">
        <v>201</v>
      </c>
      <c r="ETR16" s="310" t="s">
        <v>201</v>
      </c>
      <c r="ETS16" s="310" t="s">
        <v>201</v>
      </c>
      <c r="ETT16" s="310" t="s">
        <v>201</v>
      </c>
      <c r="ETU16" s="310" t="s">
        <v>201</v>
      </c>
      <c r="ETV16" s="310" t="s">
        <v>201</v>
      </c>
      <c r="ETW16" s="310" t="s">
        <v>201</v>
      </c>
      <c r="ETX16" s="310" t="s">
        <v>201</v>
      </c>
      <c r="ETY16" s="310" t="s">
        <v>201</v>
      </c>
      <c r="ETZ16" s="310" t="s">
        <v>201</v>
      </c>
      <c r="EUA16" s="310" t="s">
        <v>201</v>
      </c>
      <c r="EUB16" s="310" t="s">
        <v>201</v>
      </c>
      <c r="EUC16" s="310" t="s">
        <v>201</v>
      </c>
      <c r="EUD16" s="310" t="s">
        <v>201</v>
      </c>
      <c r="EUE16" s="310" t="s">
        <v>201</v>
      </c>
      <c r="EUF16" s="310" t="s">
        <v>201</v>
      </c>
      <c r="EUG16" s="310" t="s">
        <v>201</v>
      </c>
      <c r="EUH16" s="310" t="s">
        <v>201</v>
      </c>
      <c r="EUI16" s="310" t="s">
        <v>201</v>
      </c>
      <c r="EUJ16" s="310" t="s">
        <v>201</v>
      </c>
      <c r="EUK16" s="310" t="s">
        <v>201</v>
      </c>
      <c r="EUL16" s="310" t="s">
        <v>201</v>
      </c>
      <c r="EUM16" s="310" t="s">
        <v>201</v>
      </c>
      <c r="EUN16" s="310" t="s">
        <v>201</v>
      </c>
      <c r="EUO16" s="310" t="s">
        <v>201</v>
      </c>
      <c r="EUP16" s="310" t="s">
        <v>201</v>
      </c>
      <c r="EUQ16" s="310" t="s">
        <v>201</v>
      </c>
      <c r="EUR16" s="310" t="s">
        <v>201</v>
      </c>
      <c r="EUS16" s="310" t="s">
        <v>201</v>
      </c>
      <c r="EUT16" s="310" t="s">
        <v>201</v>
      </c>
      <c r="EUU16" s="310" t="s">
        <v>201</v>
      </c>
      <c r="EUV16" s="310" t="s">
        <v>201</v>
      </c>
      <c r="EUW16" s="310" t="s">
        <v>201</v>
      </c>
      <c r="EUX16" s="310" t="s">
        <v>201</v>
      </c>
      <c r="EUY16" s="310" t="s">
        <v>201</v>
      </c>
      <c r="EUZ16" s="310" t="s">
        <v>201</v>
      </c>
      <c r="EVA16" s="310" t="s">
        <v>201</v>
      </c>
      <c r="EVB16" s="310" t="s">
        <v>201</v>
      </c>
      <c r="EVC16" s="310" t="s">
        <v>201</v>
      </c>
      <c r="EVD16" s="310" t="s">
        <v>201</v>
      </c>
      <c r="EVE16" s="310" t="s">
        <v>201</v>
      </c>
      <c r="EVF16" s="310" t="s">
        <v>201</v>
      </c>
      <c r="EVG16" s="310" t="s">
        <v>201</v>
      </c>
      <c r="EVH16" s="310" t="s">
        <v>201</v>
      </c>
      <c r="EVI16" s="310" t="s">
        <v>201</v>
      </c>
      <c r="EVJ16" s="310" t="s">
        <v>201</v>
      </c>
      <c r="EVK16" s="310" t="s">
        <v>201</v>
      </c>
      <c r="EVL16" s="310" t="s">
        <v>201</v>
      </c>
      <c r="EVM16" s="310" t="s">
        <v>201</v>
      </c>
      <c r="EVN16" s="310" t="s">
        <v>201</v>
      </c>
      <c r="EVO16" s="310" t="s">
        <v>201</v>
      </c>
      <c r="EVP16" s="310" t="s">
        <v>201</v>
      </c>
      <c r="EVQ16" s="310" t="s">
        <v>201</v>
      </c>
      <c r="EVR16" s="310" t="s">
        <v>201</v>
      </c>
      <c r="EVS16" s="310" t="s">
        <v>201</v>
      </c>
      <c r="EVT16" s="310" t="s">
        <v>201</v>
      </c>
      <c r="EVU16" s="310" t="s">
        <v>201</v>
      </c>
      <c r="EVV16" s="310" t="s">
        <v>201</v>
      </c>
      <c r="EVW16" s="310" t="s">
        <v>201</v>
      </c>
      <c r="EVX16" s="310" t="s">
        <v>201</v>
      </c>
      <c r="EVY16" s="310" t="s">
        <v>201</v>
      </c>
      <c r="EVZ16" s="310" t="s">
        <v>201</v>
      </c>
      <c r="EWA16" s="310" t="s">
        <v>201</v>
      </c>
      <c r="EWB16" s="310" t="s">
        <v>201</v>
      </c>
      <c r="EWC16" s="310" t="s">
        <v>201</v>
      </c>
      <c r="EWD16" s="310" t="s">
        <v>201</v>
      </c>
      <c r="EWE16" s="310" t="s">
        <v>201</v>
      </c>
      <c r="EWF16" s="310" t="s">
        <v>201</v>
      </c>
      <c r="EWG16" s="310" t="s">
        <v>201</v>
      </c>
      <c r="EWH16" s="310" t="s">
        <v>201</v>
      </c>
      <c r="EWI16" s="310" t="s">
        <v>201</v>
      </c>
      <c r="EWJ16" s="310" t="s">
        <v>201</v>
      </c>
      <c r="EWK16" s="310" t="s">
        <v>201</v>
      </c>
      <c r="EWL16" s="310" t="s">
        <v>201</v>
      </c>
      <c r="EWM16" s="310" t="s">
        <v>201</v>
      </c>
      <c r="EWN16" s="310" t="s">
        <v>201</v>
      </c>
      <c r="EWO16" s="310" t="s">
        <v>201</v>
      </c>
      <c r="EWP16" s="310" t="s">
        <v>201</v>
      </c>
      <c r="EWQ16" s="310" t="s">
        <v>201</v>
      </c>
      <c r="EWR16" s="310" t="s">
        <v>201</v>
      </c>
      <c r="EWS16" s="310" t="s">
        <v>201</v>
      </c>
      <c r="EWT16" s="310" t="s">
        <v>201</v>
      </c>
      <c r="EWU16" s="310" t="s">
        <v>201</v>
      </c>
      <c r="EWV16" s="310" t="s">
        <v>201</v>
      </c>
      <c r="EWW16" s="310" t="s">
        <v>201</v>
      </c>
      <c r="EWX16" s="310" t="s">
        <v>201</v>
      </c>
      <c r="EWY16" s="310" t="s">
        <v>201</v>
      </c>
      <c r="EWZ16" s="310" t="s">
        <v>201</v>
      </c>
      <c r="EXA16" s="310" t="s">
        <v>201</v>
      </c>
      <c r="EXB16" s="310" t="s">
        <v>201</v>
      </c>
      <c r="EXC16" s="310" t="s">
        <v>201</v>
      </c>
      <c r="EXD16" s="310" t="s">
        <v>201</v>
      </c>
      <c r="EXE16" s="310" t="s">
        <v>201</v>
      </c>
      <c r="EXF16" s="310" t="s">
        <v>201</v>
      </c>
      <c r="EXG16" s="310" t="s">
        <v>201</v>
      </c>
      <c r="EXH16" s="310" t="s">
        <v>201</v>
      </c>
      <c r="EXI16" s="310" t="s">
        <v>201</v>
      </c>
      <c r="EXJ16" s="310" t="s">
        <v>201</v>
      </c>
      <c r="EXK16" s="310" t="s">
        <v>201</v>
      </c>
      <c r="EXL16" s="310" t="s">
        <v>201</v>
      </c>
      <c r="EXM16" s="310" t="s">
        <v>201</v>
      </c>
      <c r="EXN16" s="310" t="s">
        <v>201</v>
      </c>
      <c r="EXO16" s="310" t="s">
        <v>201</v>
      </c>
      <c r="EXP16" s="310" t="s">
        <v>201</v>
      </c>
      <c r="EXQ16" s="310" t="s">
        <v>201</v>
      </c>
      <c r="EXR16" s="310" t="s">
        <v>201</v>
      </c>
      <c r="EXS16" s="310" t="s">
        <v>201</v>
      </c>
      <c r="EXT16" s="310" t="s">
        <v>201</v>
      </c>
      <c r="EXU16" s="310" t="s">
        <v>201</v>
      </c>
      <c r="EXV16" s="310" t="s">
        <v>201</v>
      </c>
      <c r="EXW16" s="310" t="s">
        <v>201</v>
      </c>
      <c r="EXX16" s="310" t="s">
        <v>201</v>
      </c>
      <c r="EXY16" s="310" t="s">
        <v>201</v>
      </c>
      <c r="EXZ16" s="310" t="s">
        <v>201</v>
      </c>
      <c r="EYA16" s="310" t="s">
        <v>201</v>
      </c>
      <c r="EYB16" s="310" t="s">
        <v>201</v>
      </c>
      <c r="EYC16" s="310" t="s">
        <v>201</v>
      </c>
      <c r="EYD16" s="310" t="s">
        <v>201</v>
      </c>
      <c r="EYE16" s="310" t="s">
        <v>201</v>
      </c>
      <c r="EYF16" s="310" t="s">
        <v>201</v>
      </c>
      <c r="EYG16" s="310" t="s">
        <v>201</v>
      </c>
      <c r="EYH16" s="310" t="s">
        <v>201</v>
      </c>
      <c r="EYI16" s="310" t="s">
        <v>201</v>
      </c>
      <c r="EYJ16" s="310" t="s">
        <v>201</v>
      </c>
      <c r="EYK16" s="310" t="s">
        <v>201</v>
      </c>
      <c r="EYL16" s="310" t="s">
        <v>201</v>
      </c>
      <c r="EYM16" s="310" t="s">
        <v>201</v>
      </c>
      <c r="EYN16" s="310" t="s">
        <v>201</v>
      </c>
      <c r="EYO16" s="310" t="s">
        <v>201</v>
      </c>
      <c r="EYP16" s="310" t="s">
        <v>201</v>
      </c>
      <c r="EYQ16" s="310" t="s">
        <v>201</v>
      </c>
      <c r="EYR16" s="310" t="s">
        <v>201</v>
      </c>
      <c r="EYS16" s="310" t="s">
        <v>201</v>
      </c>
      <c r="EYT16" s="310" t="s">
        <v>201</v>
      </c>
      <c r="EYU16" s="310" t="s">
        <v>201</v>
      </c>
      <c r="EYV16" s="310" t="s">
        <v>201</v>
      </c>
      <c r="EYW16" s="310" t="s">
        <v>201</v>
      </c>
      <c r="EYX16" s="310" t="s">
        <v>201</v>
      </c>
      <c r="EYY16" s="310" t="s">
        <v>201</v>
      </c>
      <c r="EYZ16" s="310" t="s">
        <v>201</v>
      </c>
      <c r="EZA16" s="310" t="s">
        <v>201</v>
      </c>
      <c r="EZB16" s="310" t="s">
        <v>201</v>
      </c>
      <c r="EZC16" s="310" t="s">
        <v>201</v>
      </c>
      <c r="EZD16" s="310" t="s">
        <v>201</v>
      </c>
      <c r="EZE16" s="310" t="s">
        <v>201</v>
      </c>
      <c r="EZF16" s="310" t="s">
        <v>201</v>
      </c>
      <c r="EZG16" s="310" t="s">
        <v>201</v>
      </c>
      <c r="EZH16" s="310" t="s">
        <v>201</v>
      </c>
      <c r="EZI16" s="310" t="s">
        <v>201</v>
      </c>
      <c r="EZJ16" s="310" t="s">
        <v>201</v>
      </c>
      <c r="EZK16" s="310" t="s">
        <v>201</v>
      </c>
      <c r="EZL16" s="310" t="s">
        <v>201</v>
      </c>
      <c r="EZM16" s="310" t="s">
        <v>201</v>
      </c>
      <c r="EZN16" s="310" t="s">
        <v>201</v>
      </c>
      <c r="EZO16" s="310" t="s">
        <v>201</v>
      </c>
      <c r="EZP16" s="310" t="s">
        <v>201</v>
      </c>
      <c r="EZQ16" s="310" t="s">
        <v>201</v>
      </c>
      <c r="EZR16" s="310" t="s">
        <v>201</v>
      </c>
      <c r="EZS16" s="310" t="s">
        <v>201</v>
      </c>
      <c r="EZT16" s="310" t="s">
        <v>201</v>
      </c>
      <c r="EZU16" s="310" t="s">
        <v>201</v>
      </c>
      <c r="EZV16" s="310" t="s">
        <v>201</v>
      </c>
      <c r="EZW16" s="310" t="s">
        <v>201</v>
      </c>
      <c r="EZX16" s="310" t="s">
        <v>201</v>
      </c>
      <c r="EZY16" s="310" t="s">
        <v>201</v>
      </c>
      <c r="EZZ16" s="310" t="s">
        <v>201</v>
      </c>
      <c r="FAA16" s="310" t="s">
        <v>201</v>
      </c>
      <c r="FAB16" s="310" t="s">
        <v>201</v>
      </c>
      <c r="FAC16" s="310" t="s">
        <v>201</v>
      </c>
      <c r="FAD16" s="310" t="s">
        <v>201</v>
      </c>
      <c r="FAE16" s="310" t="s">
        <v>201</v>
      </c>
      <c r="FAF16" s="310" t="s">
        <v>201</v>
      </c>
      <c r="FAG16" s="310" t="s">
        <v>201</v>
      </c>
      <c r="FAH16" s="310" t="s">
        <v>201</v>
      </c>
      <c r="FAI16" s="310" t="s">
        <v>201</v>
      </c>
      <c r="FAJ16" s="310" t="s">
        <v>201</v>
      </c>
      <c r="FAK16" s="310" t="s">
        <v>201</v>
      </c>
      <c r="FAL16" s="310" t="s">
        <v>201</v>
      </c>
      <c r="FAM16" s="310" t="s">
        <v>201</v>
      </c>
      <c r="FAN16" s="310" t="s">
        <v>201</v>
      </c>
      <c r="FAO16" s="310" t="s">
        <v>201</v>
      </c>
      <c r="FAP16" s="310" t="s">
        <v>201</v>
      </c>
      <c r="FAQ16" s="310" t="s">
        <v>201</v>
      </c>
      <c r="FAR16" s="310" t="s">
        <v>201</v>
      </c>
      <c r="FAS16" s="310" t="s">
        <v>201</v>
      </c>
      <c r="FAT16" s="310" t="s">
        <v>201</v>
      </c>
      <c r="FAU16" s="310" t="s">
        <v>201</v>
      </c>
      <c r="FAV16" s="310" t="s">
        <v>201</v>
      </c>
      <c r="FAW16" s="310" t="s">
        <v>201</v>
      </c>
      <c r="FAX16" s="310" t="s">
        <v>201</v>
      </c>
      <c r="FAY16" s="310" t="s">
        <v>201</v>
      </c>
      <c r="FAZ16" s="310" t="s">
        <v>201</v>
      </c>
      <c r="FBA16" s="310" t="s">
        <v>201</v>
      </c>
      <c r="FBB16" s="310" t="s">
        <v>201</v>
      </c>
      <c r="FBC16" s="310" t="s">
        <v>201</v>
      </c>
      <c r="FBD16" s="310" t="s">
        <v>201</v>
      </c>
      <c r="FBE16" s="310" t="s">
        <v>201</v>
      </c>
      <c r="FBF16" s="310" t="s">
        <v>201</v>
      </c>
      <c r="FBG16" s="310" t="s">
        <v>201</v>
      </c>
      <c r="FBH16" s="310" t="s">
        <v>201</v>
      </c>
      <c r="FBI16" s="310" t="s">
        <v>201</v>
      </c>
      <c r="FBJ16" s="310" t="s">
        <v>201</v>
      </c>
      <c r="FBK16" s="310" t="s">
        <v>201</v>
      </c>
      <c r="FBL16" s="310" t="s">
        <v>201</v>
      </c>
      <c r="FBM16" s="310" t="s">
        <v>201</v>
      </c>
      <c r="FBN16" s="310" t="s">
        <v>201</v>
      </c>
      <c r="FBO16" s="310" t="s">
        <v>201</v>
      </c>
      <c r="FBP16" s="310" t="s">
        <v>201</v>
      </c>
      <c r="FBQ16" s="310" t="s">
        <v>201</v>
      </c>
      <c r="FBR16" s="310" t="s">
        <v>201</v>
      </c>
      <c r="FBS16" s="310" t="s">
        <v>201</v>
      </c>
      <c r="FBT16" s="310" t="s">
        <v>201</v>
      </c>
      <c r="FBU16" s="310" t="s">
        <v>201</v>
      </c>
      <c r="FBV16" s="310" t="s">
        <v>201</v>
      </c>
      <c r="FBW16" s="310" t="s">
        <v>201</v>
      </c>
      <c r="FBX16" s="310" t="s">
        <v>201</v>
      </c>
      <c r="FBY16" s="310" t="s">
        <v>201</v>
      </c>
      <c r="FBZ16" s="310" t="s">
        <v>201</v>
      </c>
      <c r="FCA16" s="310" t="s">
        <v>201</v>
      </c>
      <c r="FCB16" s="310" t="s">
        <v>201</v>
      </c>
      <c r="FCC16" s="310" t="s">
        <v>201</v>
      </c>
      <c r="FCD16" s="310" t="s">
        <v>201</v>
      </c>
      <c r="FCE16" s="310" t="s">
        <v>201</v>
      </c>
      <c r="FCF16" s="310" t="s">
        <v>201</v>
      </c>
      <c r="FCG16" s="310" t="s">
        <v>201</v>
      </c>
      <c r="FCH16" s="310" t="s">
        <v>201</v>
      </c>
      <c r="FCI16" s="310" t="s">
        <v>201</v>
      </c>
      <c r="FCJ16" s="310" t="s">
        <v>201</v>
      </c>
      <c r="FCK16" s="310" t="s">
        <v>201</v>
      </c>
      <c r="FCL16" s="310" t="s">
        <v>201</v>
      </c>
      <c r="FCM16" s="310" t="s">
        <v>201</v>
      </c>
      <c r="FCN16" s="310" t="s">
        <v>201</v>
      </c>
      <c r="FCO16" s="310" t="s">
        <v>201</v>
      </c>
      <c r="FCP16" s="310" t="s">
        <v>201</v>
      </c>
      <c r="FCQ16" s="310" t="s">
        <v>201</v>
      </c>
      <c r="FCR16" s="310" t="s">
        <v>201</v>
      </c>
      <c r="FCS16" s="310" t="s">
        <v>201</v>
      </c>
      <c r="FCT16" s="310" t="s">
        <v>201</v>
      </c>
      <c r="FCU16" s="310" t="s">
        <v>201</v>
      </c>
      <c r="FCV16" s="310" t="s">
        <v>201</v>
      </c>
      <c r="FCW16" s="310" t="s">
        <v>201</v>
      </c>
      <c r="FCX16" s="310" t="s">
        <v>201</v>
      </c>
      <c r="FCY16" s="310" t="s">
        <v>201</v>
      </c>
      <c r="FCZ16" s="310" t="s">
        <v>201</v>
      </c>
      <c r="FDA16" s="310" t="s">
        <v>201</v>
      </c>
      <c r="FDB16" s="310" t="s">
        <v>201</v>
      </c>
      <c r="FDC16" s="310" t="s">
        <v>201</v>
      </c>
      <c r="FDD16" s="310" t="s">
        <v>201</v>
      </c>
      <c r="FDE16" s="310" t="s">
        <v>201</v>
      </c>
      <c r="FDF16" s="310" t="s">
        <v>201</v>
      </c>
      <c r="FDG16" s="310" t="s">
        <v>201</v>
      </c>
      <c r="FDH16" s="310" t="s">
        <v>201</v>
      </c>
      <c r="FDI16" s="310" t="s">
        <v>201</v>
      </c>
      <c r="FDJ16" s="310" t="s">
        <v>201</v>
      </c>
      <c r="FDK16" s="310" t="s">
        <v>201</v>
      </c>
      <c r="FDL16" s="310" t="s">
        <v>201</v>
      </c>
      <c r="FDM16" s="310" t="s">
        <v>201</v>
      </c>
      <c r="FDN16" s="310" t="s">
        <v>201</v>
      </c>
      <c r="FDO16" s="310" t="s">
        <v>201</v>
      </c>
      <c r="FDP16" s="310" t="s">
        <v>201</v>
      </c>
      <c r="FDQ16" s="310" t="s">
        <v>201</v>
      </c>
      <c r="FDR16" s="310" t="s">
        <v>201</v>
      </c>
      <c r="FDS16" s="310" t="s">
        <v>201</v>
      </c>
      <c r="FDT16" s="310" t="s">
        <v>201</v>
      </c>
      <c r="FDU16" s="310" t="s">
        <v>201</v>
      </c>
      <c r="FDV16" s="310" t="s">
        <v>201</v>
      </c>
      <c r="FDW16" s="310" t="s">
        <v>201</v>
      </c>
      <c r="FDX16" s="310" t="s">
        <v>201</v>
      </c>
      <c r="FDY16" s="310" t="s">
        <v>201</v>
      </c>
      <c r="FDZ16" s="310" t="s">
        <v>201</v>
      </c>
      <c r="FEA16" s="310" t="s">
        <v>201</v>
      </c>
      <c r="FEB16" s="310" t="s">
        <v>201</v>
      </c>
      <c r="FEC16" s="310" t="s">
        <v>201</v>
      </c>
      <c r="FED16" s="310" t="s">
        <v>201</v>
      </c>
      <c r="FEE16" s="310" t="s">
        <v>201</v>
      </c>
      <c r="FEF16" s="310" t="s">
        <v>201</v>
      </c>
      <c r="FEG16" s="310" t="s">
        <v>201</v>
      </c>
      <c r="FEH16" s="310" t="s">
        <v>201</v>
      </c>
      <c r="FEI16" s="310" t="s">
        <v>201</v>
      </c>
      <c r="FEJ16" s="310" t="s">
        <v>201</v>
      </c>
      <c r="FEK16" s="310" t="s">
        <v>201</v>
      </c>
      <c r="FEL16" s="310" t="s">
        <v>201</v>
      </c>
      <c r="FEM16" s="310" t="s">
        <v>201</v>
      </c>
      <c r="FEN16" s="310" t="s">
        <v>201</v>
      </c>
      <c r="FEO16" s="310" t="s">
        <v>201</v>
      </c>
      <c r="FEP16" s="310" t="s">
        <v>201</v>
      </c>
      <c r="FEQ16" s="310" t="s">
        <v>201</v>
      </c>
      <c r="FER16" s="310" t="s">
        <v>201</v>
      </c>
      <c r="FES16" s="310" t="s">
        <v>201</v>
      </c>
      <c r="FET16" s="310" t="s">
        <v>201</v>
      </c>
      <c r="FEU16" s="310" t="s">
        <v>201</v>
      </c>
      <c r="FEV16" s="310" t="s">
        <v>201</v>
      </c>
      <c r="FEW16" s="310" t="s">
        <v>201</v>
      </c>
      <c r="FEX16" s="310" t="s">
        <v>201</v>
      </c>
      <c r="FEY16" s="310" t="s">
        <v>201</v>
      </c>
      <c r="FEZ16" s="310" t="s">
        <v>201</v>
      </c>
      <c r="FFA16" s="310" t="s">
        <v>201</v>
      </c>
      <c r="FFB16" s="310" t="s">
        <v>201</v>
      </c>
      <c r="FFC16" s="310" t="s">
        <v>201</v>
      </c>
      <c r="FFD16" s="310" t="s">
        <v>201</v>
      </c>
      <c r="FFE16" s="310" t="s">
        <v>201</v>
      </c>
      <c r="FFF16" s="310" t="s">
        <v>201</v>
      </c>
      <c r="FFG16" s="310" t="s">
        <v>201</v>
      </c>
      <c r="FFH16" s="310" t="s">
        <v>201</v>
      </c>
      <c r="FFI16" s="310" t="s">
        <v>201</v>
      </c>
      <c r="FFJ16" s="310" t="s">
        <v>201</v>
      </c>
      <c r="FFK16" s="310" t="s">
        <v>201</v>
      </c>
      <c r="FFL16" s="310" t="s">
        <v>201</v>
      </c>
      <c r="FFM16" s="310" t="s">
        <v>201</v>
      </c>
      <c r="FFN16" s="310" t="s">
        <v>201</v>
      </c>
      <c r="FFO16" s="310" t="s">
        <v>201</v>
      </c>
      <c r="FFP16" s="310" t="s">
        <v>201</v>
      </c>
      <c r="FFQ16" s="310" t="s">
        <v>201</v>
      </c>
      <c r="FFR16" s="310" t="s">
        <v>201</v>
      </c>
      <c r="FFS16" s="310" t="s">
        <v>201</v>
      </c>
      <c r="FFT16" s="310" t="s">
        <v>201</v>
      </c>
      <c r="FFU16" s="310" t="s">
        <v>201</v>
      </c>
      <c r="FFV16" s="310" t="s">
        <v>201</v>
      </c>
      <c r="FFW16" s="310" t="s">
        <v>201</v>
      </c>
      <c r="FFX16" s="310" t="s">
        <v>201</v>
      </c>
      <c r="FFY16" s="310" t="s">
        <v>201</v>
      </c>
      <c r="FFZ16" s="310" t="s">
        <v>201</v>
      </c>
      <c r="FGA16" s="310" t="s">
        <v>201</v>
      </c>
      <c r="FGB16" s="310" t="s">
        <v>201</v>
      </c>
      <c r="FGC16" s="310" t="s">
        <v>201</v>
      </c>
      <c r="FGD16" s="310" t="s">
        <v>201</v>
      </c>
      <c r="FGE16" s="310" t="s">
        <v>201</v>
      </c>
      <c r="FGF16" s="310" t="s">
        <v>201</v>
      </c>
      <c r="FGG16" s="310" t="s">
        <v>201</v>
      </c>
      <c r="FGH16" s="310" t="s">
        <v>201</v>
      </c>
      <c r="FGI16" s="310" t="s">
        <v>201</v>
      </c>
      <c r="FGJ16" s="310" t="s">
        <v>201</v>
      </c>
      <c r="FGK16" s="310" t="s">
        <v>201</v>
      </c>
      <c r="FGL16" s="310" t="s">
        <v>201</v>
      </c>
      <c r="FGM16" s="310" t="s">
        <v>201</v>
      </c>
      <c r="FGN16" s="310" t="s">
        <v>201</v>
      </c>
      <c r="FGO16" s="310" t="s">
        <v>201</v>
      </c>
      <c r="FGP16" s="310" t="s">
        <v>201</v>
      </c>
      <c r="FGQ16" s="310" t="s">
        <v>201</v>
      </c>
      <c r="FGR16" s="310" t="s">
        <v>201</v>
      </c>
      <c r="FGS16" s="310" t="s">
        <v>201</v>
      </c>
      <c r="FGT16" s="310" t="s">
        <v>201</v>
      </c>
      <c r="FGU16" s="310" t="s">
        <v>201</v>
      </c>
      <c r="FGV16" s="310" t="s">
        <v>201</v>
      </c>
      <c r="FGW16" s="310" t="s">
        <v>201</v>
      </c>
      <c r="FGX16" s="310" t="s">
        <v>201</v>
      </c>
      <c r="FGY16" s="310" t="s">
        <v>201</v>
      </c>
      <c r="FGZ16" s="310" t="s">
        <v>201</v>
      </c>
      <c r="FHA16" s="310" t="s">
        <v>201</v>
      </c>
      <c r="FHB16" s="310" t="s">
        <v>201</v>
      </c>
      <c r="FHC16" s="310" t="s">
        <v>201</v>
      </c>
      <c r="FHD16" s="310" t="s">
        <v>201</v>
      </c>
      <c r="FHE16" s="310" t="s">
        <v>201</v>
      </c>
      <c r="FHF16" s="310" t="s">
        <v>201</v>
      </c>
      <c r="FHG16" s="310" t="s">
        <v>201</v>
      </c>
      <c r="FHH16" s="310" t="s">
        <v>201</v>
      </c>
      <c r="FHI16" s="310" t="s">
        <v>201</v>
      </c>
      <c r="FHJ16" s="310" t="s">
        <v>201</v>
      </c>
      <c r="FHK16" s="310" t="s">
        <v>201</v>
      </c>
      <c r="FHL16" s="310" t="s">
        <v>201</v>
      </c>
      <c r="FHM16" s="310" t="s">
        <v>201</v>
      </c>
      <c r="FHN16" s="310" t="s">
        <v>201</v>
      </c>
      <c r="FHO16" s="310" t="s">
        <v>201</v>
      </c>
      <c r="FHP16" s="310" t="s">
        <v>201</v>
      </c>
      <c r="FHQ16" s="310" t="s">
        <v>201</v>
      </c>
      <c r="FHR16" s="310" t="s">
        <v>201</v>
      </c>
      <c r="FHS16" s="310" t="s">
        <v>201</v>
      </c>
      <c r="FHT16" s="310" t="s">
        <v>201</v>
      </c>
      <c r="FHU16" s="310" t="s">
        <v>201</v>
      </c>
      <c r="FHV16" s="310" t="s">
        <v>201</v>
      </c>
      <c r="FHW16" s="310" t="s">
        <v>201</v>
      </c>
      <c r="FHX16" s="310" t="s">
        <v>201</v>
      </c>
      <c r="FHY16" s="310" t="s">
        <v>201</v>
      </c>
      <c r="FHZ16" s="310" t="s">
        <v>201</v>
      </c>
      <c r="FIA16" s="310" t="s">
        <v>201</v>
      </c>
      <c r="FIB16" s="310" t="s">
        <v>201</v>
      </c>
      <c r="FIC16" s="310" t="s">
        <v>201</v>
      </c>
      <c r="FID16" s="310" t="s">
        <v>201</v>
      </c>
      <c r="FIE16" s="310" t="s">
        <v>201</v>
      </c>
      <c r="FIF16" s="310" t="s">
        <v>201</v>
      </c>
      <c r="FIG16" s="310" t="s">
        <v>201</v>
      </c>
      <c r="FIH16" s="310" t="s">
        <v>201</v>
      </c>
      <c r="FII16" s="310" t="s">
        <v>201</v>
      </c>
      <c r="FIJ16" s="310" t="s">
        <v>201</v>
      </c>
      <c r="FIK16" s="310" t="s">
        <v>201</v>
      </c>
      <c r="FIL16" s="310" t="s">
        <v>201</v>
      </c>
      <c r="FIM16" s="310" t="s">
        <v>201</v>
      </c>
      <c r="FIN16" s="310" t="s">
        <v>201</v>
      </c>
      <c r="FIO16" s="310" t="s">
        <v>201</v>
      </c>
      <c r="FIP16" s="310" t="s">
        <v>201</v>
      </c>
      <c r="FIQ16" s="310" t="s">
        <v>201</v>
      </c>
      <c r="FIR16" s="310" t="s">
        <v>201</v>
      </c>
      <c r="FIS16" s="310" t="s">
        <v>201</v>
      </c>
      <c r="FIT16" s="310" t="s">
        <v>201</v>
      </c>
      <c r="FIU16" s="310" t="s">
        <v>201</v>
      </c>
      <c r="FIV16" s="310" t="s">
        <v>201</v>
      </c>
      <c r="FIW16" s="310" t="s">
        <v>201</v>
      </c>
      <c r="FIX16" s="310" t="s">
        <v>201</v>
      </c>
      <c r="FIY16" s="310" t="s">
        <v>201</v>
      </c>
      <c r="FIZ16" s="310" t="s">
        <v>201</v>
      </c>
      <c r="FJA16" s="310" t="s">
        <v>201</v>
      </c>
      <c r="FJB16" s="310" t="s">
        <v>201</v>
      </c>
      <c r="FJC16" s="310" t="s">
        <v>201</v>
      </c>
      <c r="FJD16" s="310" t="s">
        <v>201</v>
      </c>
      <c r="FJE16" s="310" t="s">
        <v>201</v>
      </c>
      <c r="FJF16" s="310" t="s">
        <v>201</v>
      </c>
      <c r="FJG16" s="310" t="s">
        <v>201</v>
      </c>
      <c r="FJH16" s="310" t="s">
        <v>201</v>
      </c>
      <c r="FJI16" s="310" t="s">
        <v>201</v>
      </c>
      <c r="FJJ16" s="310" t="s">
        <v>201</v>
      </c>
      <c r="FJK16" s="310" t="s">
        <v>201</v>
      </c>
      <c r="FJL16" s="310" t="s">
        <v>201</v>
      </c>
      <c r="FJM16" s="310" t="s">
        <v>201</v>
      </c>
      <c r="FJN16" s="310" t="s">
        <v>201</v>
      </c>
      <c r="FJO16" s="310" t="s">
        <v>201</v>
      </c>
      <c r="FJP16" s="310" t="s">
        <v>201</v>
      </c>
      <c r="FJQ16" s="310" t="s">
        <v>201</v>
      </c>
      <c r="FJR16" s="310" t="s">
        <v>201</v>
      </c>
      <c r="FJS16" s="310" t="s">
        <v>201</v>
      </c>
      <c r="FJT16" s="310" t="s">
        <v>201</v>
      </c>
      <c r="FJU16" s="310" t="s">
        <v>201</v>
      </c>
      <c r="FJV16" s="310" t="s">
        <v>201</v>
      </c>
      <c r="FJW16" s="310" t="s">
        <v>201</v>
      </c>
      <c r="FJX16" s="310" t="s">
        <v>201</v>
      </c>
      <c r="FJY16" s="310" t="s">
        <v>201</v>
      </c>
      <c r="FJZ16" s="310" t="s">
        <v>201</v>
      </c>
      <c r="FKA16" s="310" t="s">
        <v>201</v>
      </c>
      <c r="FKB16" s="310" t="s">
        <v>201</v>
      </c>
      <c r="FKC16" s="310" t="s">
        <v>201</v>
      </c>
      <c r="FKD16" s="310" t="s">
        <v>201</v>
      </c>
      <c r="FKE16" s="310" t="s">
        <v>201</v>
      </c>
      <c r="FKF16" s="310" t="s">
        <v>201</v>
      </c>
      <c r="FKG16" s="310" t="s">
        <v>201</v>
      </c>
      <c r="FKH16" s="310" t="s">
        <v>201</v>
      </c>
      <c r="FKI16" s="310" t="s">
        <v>201</v>
      </c>
      <c r="FKJ16" s="310" t="s">
        <v>201</v>
      </c>
      <c r="FKK16" s="310" t="s">
        <v>201</v>
      </c>
      <c r="FKL16" s="310" t="s">
        <v>201</v>
      </c>
      <c r="FKM16" s="310" t="s">
        <v>201</v>
      </c>
      <c r="FKN16" s="310" t="s">
        <v>201</v>
      </c>
      <c r="FKO16" s="310" t="s">
        <v>201</v>
      </c>
      <c r="FKP16" s="310" t="s">
        <v>201</v>
      </c>
      <c r="FKQ16" s="310" t="s">
        <v>201</v>
      </c>
      <c r="FKR16" s="310" t="s">
        <v>201</v>
      </c>
      <c r="FKS16" s="310" t="s">
        <v>201</v>
      </c>
      <c r="FKT16" s="310" t="s">
        <v>201</v>
      </c>
      <c r="FKU16" s="310" t="s">
        <v>201</v>
      </c>
      <c r="FKV16" s="310" t="s">
        <v>201</v>
      </c>
      <c r="FKW16" s="310" t="s">
        <v>201</v>
      </c>
      <c r="FKX16" s="310" t="s">
        <v>201</v>
      </c>
      <c r="FKY16" s="310" t="s">
        <v>201</v>
      </c>
      <c r="FKZ16" s="310" t="s">
        <v>201</v>
      </c>
      <c r="FLA16" s="310" t="s">
        <v>201</v>
      </c>
      <c r="FLB16" s="310" t="s">
        <v>201</v>
      </c>
      <c r="FLC16" s="310" t="s">
        <v>201</v>
      </c>
      <c r="FLD16" s="310" t="s">
        <v>201</v>
      </c>
      <c r="FLE16" s="310" t="s">
        <v>201</v>
      </c>
      <c r="FLF16" s="310" t="s">
        <v>201</v>
      </c>
      <c r="FLG16" s="310" t="s">
        <v>201</v>
      </c>
      <c r="FLH16" s="310" t="s">
        <v>201</v>
      </c>
      <c r="FLI16" s="310" t="s">
        <v>201</v>
      </c>
      <c r="FLJ16" s="310" t="s">
        <v>201</v>
      </c>
      <c r="FLK16" s="310" t="s">
        <v>201</v>
      </c>
      <c r="FLL16" s="310" t="s">
        <v>201</v>
      </c>
      <c r="FLM16" s="310" t="s">
        <v>201</v>
      </c>
      <c r="FLN16" s="310" t="s">
        <v>201</v>
      </c>
      <c r="FLO16" s="310" t="s">
        <v>201</v>
      </c>
      <c r="FLP16" s="310" t="s">
        <v>201</v>
      </c>
      <c r="FLQ16" s="310" t="s">
        <v>201</v>
      </c>
      <c r="FLR16" s="310" t="s">
        <v>201</v>
      </c>
      <c r="FLS16" s="310" t="s">
        <v>201</v>
      </c>
      <c r="FLT16" s="310" t="s">
        <v>201</v>
      </c>
      <c r="FLU16" s="310" t="s">
        <v>201</v>
      </c>
      <c r="FLV16" s="310" t="s">
        <v>201</v>
      </c>
      <c r="FLW16" s="310" t="s">
        <v>201</v>
      </c>
      <c r="FLX16" s="310" t="s">
        <v>201</v>
      </c>
      <c r="FLY16" s="310" t="s">
        <v>201</v>
      </c>
      <c r="FLZ16" s="310" t="s">
        <v>201</v>
      </c>
      <c r="FMA16" s="310" t="s">
        <v>201</v>
      </c>
      <c r="FMB16" s="310" t="s">
        <v>201</v>
      </c>
      <c r="FMC16" s="310" t="s">
        <v>201</v>
      </c>
      <c r="FMD16" s="310" t="s">
        <v>201</v>
      </c>
      <c r="FME16" s="310" t="s">
        <v>201</v>
      </c>
      <c r="FMF16" s="310" t="s">
        <v>201</v>
      </c>
      <c r="FMG16" s="310" t="s">
        <v>201</v>
      </c>
      <c r="FMH16" s="310" t="s">
        <v>201</v>
      </c>
      <c r="FMI16" s="310" t="s">
        <v>201</v>
      </c>
      <c r="FMJ16" s="310" t="s">
        <v>201</v>
      </c>
      <c r="FMK16" s="310" t="s">
        <v>201</v>
      </c>
      <c r="FML16" s="310" t="s">
        <v>201</v>
      </c>
      <c r="FMM16" s="310" t="s">
        <v>201</v>
      </c>
      <c r="FMN16" s="310" t="s">
        <v>201</v>
      </c>
      <c r="FMO16" s="310" t="s">
        <v>201</v>
      </c>
      <c r="FMP16" s="310" t="s">
        <v>201</v>
      </c>
      <c r="FMQ16" s="310" t="s">
        <v>201</v>
      </c>
      <c r="FMR16" s="310" t="s">
        <v>201</v>
      </c>
      <c r="FMS16" s="310" t="s">
        <v>201</v>
      </c>
      <c r="FMT16" s="310" t="s">
        <v>201</v>
      </c>
      <c r="FMU16" s="310" t="s">
        <v>201</v>
      </c>
      <c r="FMV16" s="310" t="s">
        <v>201</v>
      </c>
      <c r="FMW16" s="310" t="s">
        <v>201</v>
      </c>
      <c r="FMX16" s="310" t="s">
        <v>201</v>
      </c>
      <c r="FMY16" s="310" t="s">
        <v>201</v>
      </c>
      <c r="FMZ16" s="310" t="s">
        <v>201</v>
      </c>
      <c r="FNA16" s="310" t="s">
        <v>201</v>
      </c>
      <c r="FNB16" s="310" t="s">
        <v>201</v>
      </c>
      <c r="FNC16" s="310" t="s">
        <v>201</v>
      </c>
      <c r="FND16" s="310" t="s">
        <v>201</v>
      </c>
      <c r="FNE16" s="310" t="s">
        <v>201</v>
      </c>
      <c r="FNF16" s="310" t="s">
        <v>201</v>
      </c>
      <c r="FNG16" s="310" t="s">
        <v>201</v>
      </c>
      <c r="FNH16" s="310" t="s">
        <v>201</v>
      </c>
      <c r="FNI16" s="310" t="s">
        <v>201</v>
      </c>
      <c r="FNJ16" s="310" t="s">
        <v>201</v>
      </c>
      <c r="FNK16" s="310" t="s">
        <v>201</v>
      </c>
      <c r="FNL16" s="310" t="s">
        <v>201</v>
      </c>
      <c r="FNM16" s="310" t="s">
        <v>201</v>
      </c>
      <c r="FNN16" s="310" t="s">
        <v>201</v>
      </c>
      <c r="FNO16" s="310" t="s">
        <v>201</v>
      </c>
      <c r="FNP16" s="310" t="s">
        <v>201</v>
      </c>
      <c r="FNQ16" s="310" t="s">
        <v>201</v>
      </c>
      <c r="FNR16" s="310" t="s">
        <v>201</v>
      </c>
      <c r="FNS16" s="310" t="s">
        <v>201</v>
      </c>
      <c r="FNT16" s="310" t="s">
        <v>201</v>
      </c>
      <c r="FNU16" s="310" t="s">
        <v>201</v>
      </c>
      <c r="FNV16" s="310" t="s">
        <v>201</v>
      </c>
      <c r="FNW16" s="310" t="s">
        <v>201</v>
      </c>
      <c r="FNX16" s="310" t="s">
        <v>201</v>
      </c>
      <c r="FNY16" s="310" t="s">
        <v>201</v>
      </c>
      <c r="FNZ16" s="310" t="s">
        <v>201</v>
      </c>
      <c r="FOA16" s="310" t="s">
        <v>201</v>
      </c>
      <c r="FOB16" s="310" t="s">
        <v>201</v>
      </c>
      <c r="FOC16" s="310" t="s">
        <v>201</v>
      </c>
      <c r="FOD16" s="310" t="s">
        <v>201</v>
      </c>
      <c r="FOE16" s="310" t="s">
        <v>201</v>
      </c>
      <c r="FOF16" s="310" t="s">
        <v>201</v>
      </c>
      <c r="FOG16" s="310" t="s">
        <v>201</v>
      </c>
      <c r="FOH16" s="310" t="s">
        <v>201</v>
      </c>
      <c r="FOI16" s="310" t="s">
        <v>201</v>
      </c>
      <c r="FOJ16" s="310" t="s">
        <v>201</v>
      </c>
      <c r="FOK16" s="310" t="s">
        <v>201</v>
      </c>
      <c r="FOL16" s="310" t="s">
        <v>201</v>
      </c>
      <c r="FOM16" s="310" t="s">
        <v>201</v>
      </c>
      <c r="FON16" s="310" t="s">
        <v>201</v>
      </c>
      <c r="FOO16" s="310" t="s">
        <v>201</v>
      </c>
      <c r="FOP16" s="310" t="s">
        <v>201</v>
      </c>
      <c r="FOQ16" s="310" t="s">
        <v>201</v>
      </c>
      <c r="FOR16" s="310" t="s">
        <v>201</v>
      </c>
      <c r="FOS16" s="310" t="s">
        <v>201</v>
      </c>
      <c r="FOT16" s="310" t="s">
        <v>201</v>
      </c>
      <c r="FOU16" s="310" t="s">
        <v>201</v>
      </c>
      <c r="FOV16" s="310" t="s">
        <v>201</v>
      </c>
      <c r="FOW16" s="310" t="s">
        <v>201</v>
      </c>
      <c r="FOX16" s="310" t="s">
        <v>201</v>
      </c>
      <c r="FOY16" s="310" t="s">
        <v>201</v>
      </c>
      <c r="FOZ16" s="310" t="s">
        <v>201</v>
      </c>
      <c r="FPA16" s="310" t="s">
        <v>201</v>
      </c>
      <c r="FPB16" s="310" t="s">
        <v>201</v>
      </c>
      <c r="FPC16" s="310" t="s">
        <v>201</v>
      </c>
      <c r="FPD16" s="310" t="s">
        <v>201</v>
      </c>
      <c r="FPE16" s="310" t="s">
        <v>201</v>
      </c>
      <c r="FPF16" s="310" t="s">
        <v>201</v>
      </c>
      <c r="FPG16" s="310" t="s">
        <v>201</v>
      </c>
      <c r="FPH16" s="310" t="s">
        <v>201</v>
      </c>
      <c r="FPI16" s="310" t="s">
        <v>201</v>
      </c>
      <c r="FPJ16" s="310" t="s">
        <v>201</v>
      </c>
      <c r="FPK16" s="310" t="s">
        <v>201</v>
      </c>
      <c r="FPL16" s="310" t="s">
        <v>201</v>
      </c>
      <c r="FPM16" s="310" t="s">
        <v>201</v>
      </c>
      <c r="FPN16" s="310" t="s">
        <v>201</v>
      </c>
      <c r="FPO16" s="310" t="s">
        <v>201</v>
      </c>
      <c r="FPP16" s="310" t="s">
        <v>201</v>
      </c>
      <c r="FPQ16" s="310" t="s">
        <v>201</v>
      </c>
      <c r="FPR16" s="310" t="s">
        <v>201</v>
      </c>
      <c r="FPS16" s="310" t="s">
        <v>201</v>
      </c>
      <c r="FPT16" s="310" t="s">
        <v>201</v>
      </c>
      <c r="FPU16" s="310" t="s">
        <v>201</v>
      </c>
      <c r="FPV16" s="310" t="s">
        <v>201</v>
      </c>
      <c r="FPW16" s="310" t="s">
        <v>201</v>
      </c>
      <c r="FPX16" s="310" t="s">
        <v>201</v>
      </c>
      <c r="FPY16" s="310" t="s">
        <v>201</v>
      </c>
      <c r="FPZ16" s="310" t="s">
        <v>201</v>
      </c>
      <c r="FQA16" s="310" t="s">
        <v>201</v>
      </c>
      <c r="FQB16" s="310" t="s">
        <v>201</v>
      </c>
      <c r="FQC16" s="310" t="s">
        <v>201</v>
      </c>
      <c r="FQD16" s="310" t="s">
        <v>201</v>
      </c>
      <c r="FQE16" s="310" t="s">
        <v>201</v>
      </c>
      <c r="FQF16" s="310" t="s">
        <v>201</v>
      </c>
      <c r="FQG16" s="310" t="s">
        <v>201</v>
      </c>
      <c r="FQH16" s="310" t="s">
        <v>201</v>
      </c>
      <c r="FQI16" s="310" t="s">
        <v>201</v>
      </c>
      <c r="FQJ16" s="310" t="s">
        <v>201</v>
      </c>
      <c r="FQK16" s="310" t="s">
        <v>201</v>
      </c>
      <c r="FQL16" s="310" t="s">
        <v>201</v>
      </c>
      <c r="FQM16" s="310" t="s">
        <v>201</v>
      </c>
      <c r="FQN16" s="310" t="s">
        <v>201</v>
      </c>
      <c r="FQO16" s="310" t="s">
        <v>201</v>
      </c>
      <c r="FQP16" s="310" t="s">
        <v>201</v>
      </c>
      <c r="FQQ16" s="310" t="s">
        <v>201</v>
      </c>
      <c r="FQR16" s="310" t="s">
        <v>201</v>
      </c>
      <c r="FQS16" s="310" t="s">
        <v>201</v>
      </c>
      <c r="FQT16" s="310" t="s">
        <v>201</v>
      </c>
      <c r="FQU16" s="310" t="s">
        <v>201</v>
      </c>
      <c r="FQV16" s="310" t="s">
        <v>201</v>
      </c>
      <c r="FQW16" s="310" t="s">
        <v>201</v>
      </c>
      <c r="FQX16" s="310" t="s">
        <v>201</v>
      </c>
      <c r="FQY16" s="310" t="s">
        <v>201</v>
      </c>
      <c r="FQZ16" s="310" t="s">
        <v>201</v>
      </c>
      <c r="FRA16" s="310" t="s">
        <v>201</v>
      </c>
      <c r="FRB16" s="310" t="s">
        <v>201</v>
      </c>
      <c r="FRC16" s="310" t="s">
        <v>201</v>
      </c>
      <c r="FRD16" s="310" t="s">
        <v>201</v>
      </c>
      <c r="FRE16" s="310" t="s">
        <v>201</v>
      </c>
      <c r="FRF16" s="310" t="s">
        <v>201</v>
      </c>
      <c r="FRG16" s="310" t="s">
        <v>201</v>
      </c>
      <c r="FRH16" s="310" t="s">
        <v>201</v>
      </c>
      <c r="FRI16" s="310" t="s">
        <v>201</v>
      </c>
      <c r="FRJ16" s="310" t="s">
        <v>201</v>
      </c>
      <c r="FRK16" s="310" t="s">
        <v>201</v>
      </c>
      <c r="FRL16" s="310" t="s">
        <v>201</v>
      </c>
      <c r="FRM16" s="310" t="s">
        <v>201</v>
      </c>
      <c r="FRN16" s="310" t="s">
        <v>201</v>
      </c>
      <c r="FRO16" s="310" t="s">
        <v>201</v>
      </c>
      <c r="FRP16" s="310" t="s">
        <v>201</v>
      </c>
      <c r="FRQ16" s="310" t="s">
        <v>201</v>
      </c>
      <c r="FRR16" s="310" t="s">
        <v>201</v>
      </c>
      <c r="FRS16" s="310" t="s">
        <v>201</v>
      </c>
      <c r="FRT16" s="310" t="s">
        <v>201</v>
      </c>
      <c r="FRU16" s="310" t="s">
        <v>201</v>
      </c>
      <c r="FRV16" s="310" t="s">
        <v>201</v>
      </c>
      <c r="FRW16" s="310" t="s">
        <v>201</v>
      </c>
      <c r="FRX16" s="310" t="s">
        <v>201</v>
      </c>
      <c r="FRY16" s="310" t="s">
        <v>201</v>
      </c>
      <c r="FRZ16" s="310" t="s">
        <v>201</v>
      </c>
      <c r="FSA16" s="310" t="s">
        <v>201</v>
      </c>
      <c r="FSB16" s="310" t="s">
        <v>201</v>
      </c>
      <c r="FSC16" s="310" t="s">
        <v>201</v>
      </c>
      <c r="FSD16" s="310" t="s">
        <v>201</v>
      </c>
      <c r="FSE16" s="310" t="s">
        <v>201</v>
      </c>
      <c r="FSF16" s="310" t="s">
        <v>201</v>
      </c>
      <c r="FSG16" s="310" t="s">
        <v>201</v>
      </c>
      <c r="FSH16" s="310" t="s">
        <v>201</v>
      </c>
      <c r="FSI16" s="310" t="s">
        <v>201</v>
      </c>
      <c r="FSJ16" s="310" t="s">
        <v>201</v>
      </c>
      <c r="FSK16" s="310" t="s">
        <v>201</v>
      </c>
      <c r="FSL16" s="310" t="s">
        <v>201</v>
      </c>
      <c r="FSM16" s="310" t="s">
        <v>201</v>
      </c>
      <c r="FSN16" s="310" t="s">
        <v>201</v>
      </c>
      <c r="FSO16" s="310" t="s">
        <v>201</v>
      </c>
      <c r="FSP16" s="310" t="s">
        <v>201</v>
      </c>
      <c r="FSQ16" s="310" t="s">
        <v>201</v>
      </c>
      <c r="FSR16" s="310" t="s">
        <v>201</v>
      </c>
      <c r="FSS16" s="310" t="s">
        <v>201</v>
      </c>
      <c r="FST16" s="310" t="s">
        <v>201</v>
      </c>
      <c r="FSU16" s="310" t="s">
        <v>201</v>
      </c>
      <c r="FSV16" s="310" t="s">
        <v>201</v>
      </c>
      <c r="FSW16" s="310" t="s">
        <v>201</v>
      </c>
      <c r="FSX16" s="310" t="s">
        <v>201</v>
      </c>
      <c r="FSY16" s="310" t="s">
        <v>201</v>
      </c>
      <c r="FSZ16" s="310" t="s">
        <v>201</v>
      </c>
      <c r="FTA16" s="310" t="s">
        <v>201</v>
      </c>
      <c r="FTB16" s="310" t="s">
        <v>201</v>
      </c>
      <c r="FTC16" s="310" t="s">
        <v>201</v>
      </c>
      <c r="FTD16" s="310" t="s">
        <v>201</v>
      </c>
      <c r="FTE16" s="310" t="s">
        <v>201</v>
      </c>
      <c r="FTF16" s="310" t="s">
        <v>201</v>
      </c>
      <c r="FTG16" s="310" t="s">
        <v>201</v>
      </c>
      <c r="FTH16" s="310" t="s">
        <v>201</v>
      </c>
      <c r="FTI16" s="310" t="s">
        <v>201</v>
      </c>
      <c r="FTJ16" s="310" t="s">
        <v>201</v>
      </c>
      <c r="FTK16" s="310" t="s">
        <v>201</v>
      </c>
      <c r="FTL16" s="310" t="s">
        <v>201</v>
      </c>
      <c r="FTM16" s="310" t="s">
        <v>201</v>
      </c>
      <c r="FTN16" s="310" t="s">
        <v>201</v>
      </c>
      <c r="FTO16" s="310" t="s">
        <v>201</v>
      </c>
      <c r="FTP16" s="310" t="s">
        <v>201</v>
      </c>
      <c r="FTQ16" s="310" t="s">
        <v>201</v>
      </c>
      <c r="FTR16" s="310" t="s">
        <v>201</v>
      </c>
      <c r="FTS16" s="310" t="s">
        <v>201</v>
      </c>
      <c r="FTT16" s="310" t="s">
        <v>201</v>
      </c>
      <c r="FTU16" s="310" t="s">
        <v>201</v>
      </c>
      <c r="FTV16" s="310" t="s">
        <v>201</v>
      </c>
      <c r="FTW16" s="310" t="s">
        <v>201</v>
      </c>
      <c r="FTX16" s="310" t="s">
        <v>201</v>
      </c>
      <c r="FTY16" s="310" t="s">
        <v>201</v>
      </c>
      <c r="FTZ16" s="310" t="s">
        <v>201</v>
      </c>
      <c r="FUA16" s="310" t="s">
        <v>201</v>
      </c>
      <c r="FUB16" s="310" t="s">
        <v>201</v>
      </c>
      <c r="FUC16" s="310" t="s">
        <v>201</v>
      </c>
      <c r="FUD16" s="310" t="s">
        <v>201</v>
      </c>
      <c r="FUE16" s="310" t="s">
        <v>201</v>
      </c>
      <c r="FUF16" s="310" t="s">
        <v>201</v>
      </c>
      <c r="FUG16" s="310" t="s">
        <v>201</v>
      </c>
      <c r="FUH16" s="310" t="s">
        <v>201</v>
      </c>
      <c r="FUI16" s="310" t="s">
        <v>201</v>
      </c>
      <c r="FUJ16" s="310" t="s">
        <v>201</v>
      </c>
      <c r="FUK16" s="310" t="s">
        <v>201</v>
      </c>
      <c r="FUL16" s="310" t="s">
        <v>201</v>
      </c>
      <c r="FUM16" s="310" t="s">
        <v>201</v>
      </c>
      <c r="FUN16" s="310" t="s">
        <v>201</v>
      </c>
      <c r="FUO16" s="310" t="s">
        <v>201</v>
      </c>
      <c r="FUP16" s="310" t="s">
        <v>201</v>
      </c>
      <c r="FUQ16" s="310" t="s">
        <v>201</v>
      </c>
      <c r="FUR16" s="310" t="s">
        <v>201</v>
      </c>
      <c r="FUS16" s="310" t="s">
        <v>201</v>
      </c>
      <c r="FUT16" s="310" t="s">
        <v>201</v>
      </c>
      <c r="FUU16" s="310" t="s">
        <v>201</v>
      </c>
      <c r="FUV16" s="310" t="s">
        <v>201</v>
      </c>
      <c r="FUW16" s="310" t="s">
        <v>201</v>
      </c>
      <c r="FUX16" s="310" t="s">
        <v>201</v>
      </c>
      <c r="FUY16" s="310" t="s">
        <v>201</v>
      </c>
      <c r="FUZ16" s="310" t="s">
        <v>201</v>
      </c>
      <c r="FVA16" s="310" t="s">
        <v>201</v>
      </c>
      <c r="FVB16" s="310" t="s">
        <v>201</v>
      </c>
      <c r="FVC16" s="310" t="s">
        <v>201</v>
      </c>
      <c r="FVD16" s="310" t="s">
        <v>201</v>
      </c>
      <c r="FVE16" s="310" t="s">
        <v>201</v>
      </c>
      <c r="FVF16" s="310" t="s">
        <v>201</v>
      </c>
      <c r="FVG16" s="310" t="s">
        <v>201</v>
      </c>
      <c r="FVH16" s="310" t="s">
        <v>201</v>
      </c>
      <c r="FVI16" s="310" t="s">
        <v>201</v>
      </c>
      <c r="FVJ16" s="310" t="s">
        <v>201</v>
      </c>
      <c r="FVK16" s="310" t="s">
        <v>201</v>
      </c>
      <c r="FVL16" s="310" t="s">
        <v>201</v>
      </c>
      <c r="FVM16" s="310" t="s">
        <v>201</v>
      </c>
      <c r="FVN16" s="310" t="s">
        <v>201</v>
      </c>
      <c r="FVO16" s="310" t="s">
        <v>201</v>
      </c>
      <c r="FVP16" s="310" t="s">
        <v>201</v>
      </c>
      <c r="FVQ16" s="310" t="s">
        <v>201</v>
      </c>
      <c r="FVR16" s="310" t="s">
        <v>201</v>
      </c>
      <c r="FVS16" s="310" t="s">
        <v>201</v>
      </c>
      <c r="FVT16" s="310" t="s">
        <v>201</v>
      </c>
      <c r="FVU16" s="310" t="s">
        <v>201</v>
      </c>
      <c r="FVV16" s="310" t="s">
        <v>201</v>
      </c>
      <c r="FVW16" s="310" t="s">
        <v>201</v>
      </c>
      <c r="FVX16" s="310" t="s">
        <v>201</v>
      </c>
      <c r="FVY16" s="310" t="s">
        <v>201</v>
      </c>
      <c r="FVZ16" s="310" t="s">
        <v>201</v>
      </c>
      <c r="FWA16" s="310" t="s">
        <v>201</v>
      </c>
      <c r="FWB16" s="310" t="s">
        <v>201</v>
      </c>
      <c r="FWC16" s="310" t="s">
        <v>201</v>
      </c>
      <c r="FWD16" s="310" t="s">
        <v>201</v>
      </c>
      <c r="FWE16" s="310" t="s">
        <v>201</v>
      </c>
      <c r="FWF16" s="310" t="s">
        <v>201</v>
      </c>
      <c r="FWG16" s="310" t="s">
        <v>201</v>
      </c>
      <c r="FWH16" s="310" t="s">
        <v>201</v>
      </c>
      <c r="FWI16" s="310" t="s">
        <v>201</v>
      </c>
      <c r="FWJ16" s="310" t="s">
        <v>201</v>
      </c>
      <c r="FWK16" s="310" t="s">
        <v>201</v>
      </c>
      <c r="FWL16" s="310" t="s">
        <v>201</v>
      </c>
      <c r="FWM16" s="310" t="s">
        <v>201</v>
      </c>
      <c r="FWN16" s="310" t="s">
        <v>201</v>
      </c>
      <c r="FWO16" s="310" t="s">
        <v>201</v>
      </c>
      <c r="FWP16" s="310" t="s">
        <v>201</v>
      </c>
      <c r="FWQ16" s="310" t="s">
        <v>201</v>
      </c>
      <c r="FWR16" s="310" t="s">
        <v>201</v>
      </c>
      <c r="FWS16" s="310" t="s">
        <v>201</v>
      </c>
      <c r="FWT16" s="310" t="s">
        <v>201</v>
      </c>
      <c r="FWU16" s="310" t="s">
        <v>201</v>
      </c>
      <c r="FWV16" s="310" t="s">
        <v>201</v>
      </c>
      <c r="FWW16" s="310" t="s">
        <v>201</v>
      </c>
      <c r="FWX16" s="310" t="s">
        <v>201</v>
      </c>
      <c r="FWY16" s="310" t="s">
        <v>201</v>
      </c>
      <c r="FWZ16" s="310" t="s">
        <v>201</v>
      </c>
      <c r="FXA16" s="310" t="s">
        <v>201</v>
      </c>
      <c r="FXB16" s="310" t="s">
        <v>201</v>
      </c>
      <c r="FXC16" s="310" t="s">
        <v>201</v>
      </c>
      <c r="FXD16" s="310" t="s">
        <v>201</v>
      </c>
      <c r="FXE16" s="310" t="s">
        <v>201</v>
      </c>
      <c r="FXF16" s="310" t="s">
        <v>201</v>
      </c>
      <c r="FXG16" s="310" t="s">
        <v>201</v>
      </c>
      <c r="FXH16" s="310" t="s">
        <v>201</v>
      </c>
      <c r="FXI16" s="310" t="s">
        <v>201</v>
      </c>
      <c r="FXJ16" s="310" t="s">
        <v>201</v>
      </c>
      <c r="FXK16" s="310" t="s">
        <v>201</v>
      </c>
      <c r="FXL16" s="310" t="s">
        <v>201</v>
      </c>
      <c r="FXM16" s="310" t="s">
        <v>201</v>
      </c>
      <c r="FXN16" s="310" t="s">
        <v>201</v>
      </c>
      <c r="FXO16" s="310" t="s">
        <v>201</v>
      </c>
      <c r="FXP16" s="310" t="s">
        <v>201</v>
      </c>
      <c r="FXQ16" s="310" t="s">
        <v>201</v>
      </c>
      <c r="FXR16" s="310" t="s">
        <v>201</v>
      </c>
      <c r="FXS16" s="310" t="s">
        <v>201</v>
      </c>
      <c r="FXT16" s="310" t="s">
        <v>201</v>
      </c>
      <c r="FXU16" s="310" t="s">
        <v>201</v>
      </c>
      <c r="FXV16" s="310" t="s">
        <v>201</v>
      </c>
      <c r="FXW16" s="310" t="s">
        <v>201</v>
      </c>
      <c r="FXX16" s="310" t="s">
        <v>201</v>
      </c>
      <c r="FXY16" s="310" t="s">
        <v>201</v>
      </c>
      <c r="FXZ16" s="310" t="s">
        <v>201</v>
      </c>
      <c r="FYA16" s="310" t="s">
        <v>201</v>
      </c>
      <c r="FYB16" s="310" t="s">
        <v>201</v>
      </c>
      <c r="FYC16" s="310" t="s">
        <v>201</v>
      </c>
      <c r="FYD16" s="310" t="s">
        <v>201</v>
      </c>
      <c r="FYE16" s="310" t="s">
        <v>201</v>
      </c>
      <c r="FYF16" s="310" t="s">
        <v>201</v>
      </c>
      <c r="FYG16" s="310" t="s">
        <v>201</v>
      </c>
      <c r="FYH16" s="310" t="s">
        <v>201</v>
      </c>
      <c r="FYI16" s="310" t="s">
        <v>201</v>
      </c>
      <c r="FYJ16" s="310" t="s">
        <v>201</v>
      </c>
      <c r="FYK16" s="310" t="s">
        <v>201</v>
      </c>
      <c r="FYL16" s="310" t="s">
        <v>201</v>
      </c>
      <c r="FYM16" s="310" t="s">
        <v>201</v>
      </c>
      <c r="FYN16" s="310" t="s">
        <v>201</v>
      </c>
      <c r="FYO16" s="310" t="s">
        <v>201</v>
      </c>
      <c r="FYP16" s="310" t="s">
        <v>201</v>
      </c>
      <c r="FYQ16" s="310" t="s">
        <v>201</v>
      </c>
      <c r="FYR16" s="310" t="s">
        <v>201</v>
      </c>
      <c r="FYS16" s="310" t="s">
        <v>201</v>
      </c>
      <c r="FYT16" s="310" t="s">
        <v>201</v>
      </c>
      <c r="FYU16" s="310" t="s">
        <v>201</v>
      </c>
      <c r="FYV16" s="310" t="s">
        <v>201</v>
      </c>
      <c r="FYW16" s="310" t="s">
        <v>201</v>
      </c>
      <c r="FYX16" s="310" t="s">
        <v>201</v>
      </c>
      <c r="FYY16" s="310" t="s">
        <v>201</v>
      </c>
      <c r="FYZ16" s="310" t="s">
        <v>201</v>
      </c>
      <c r="FZA16" s="310" t="s">
        <v>201</v>
      </c>
      <c r="FZB16" s="310" t="s">
        <v>201</v>
      </c>
      <c r="FZC16" s="310" t="s">
        <v>201</v>
      </c>
      <c r="FZD16" s="310" t="s">
        <v>201</v>
      </c>
      <c r="FZE16" s="310" t="s">
        <v>201</v>
      </c>
      <c r="FZF16" s="310" t="s">
        <v>201</v>
      </c>
      <c r="FZG16" s="310" t="s">
        <v>201</v>
      </c>
      <c r="FZH16" s="310" t="s">
        <v>201</v>
      </c>
      <c r="FZI16" s="310" t="s">
        <v>201</v>
      </c>
      <c r="FZJ16" s="310" t="s">
        <v>201</v>
      </c>
      <c r="FZK16" s="310" t="s">
        <v>201</v>
      </c>
      <c r="FZL16" s="310" t="s">
        <v>201</v>
      </c>
      <c r="FZM16" s="310" t="s">
        <v>201</v>
      </c>
      <c r="FZN16" s="310" t="s">
        <v>201</v>
      </c>
      <c r="FZO16" s="310" t="s">
        <v>201</v>
      </c>
      <c r="FZP16" s="310" t="s">
        <v>201</v>
      </c>
      <c r="FZQ16" s="310" t="s">
        <v>201</v>
      </c>
      <c r="FZR16" s="310" t="s">
        <v>201</v>
      </c>
      <c r="FZS16" s="310" t="s">
        <v>201</v>
      </c>
      <c r="FZT16" s="310" t="s">
        <v>201</v>
      </c>
      <c r="FZU16" s="310" t="s">
        <v>201</v>
      </c>
      <c r="FZV16" s="310" t="s">
        <v>201</v>
      </c>
      <c r="FZW16" s="310" t="s">
        <v>201</v>
      </c>
      <c r="FZX16" s="310" t="s">
        <v>201</v>
      </c>
      <c r="FZY16" s="310" t="s">
        <v>201</v>
      </c>
      <c r="FZZ16" s="310" t="s">
        <v>201</v>
      </c>
      <c r="GAA16" s="310" t="s">
        <v>201</v>
      </c>
      <c r="GAB16" s="310" t="s">
        <v>201</v>
      </c>
      <c r="GAC16" s="310" t="s">
        <v>201</v>
      </c>
      <c r="GAD16" s="310" t="s">
        <v>201</v>
      </c>
      <c r="GAE16" s="310" t="s">
        <v>201</v>
      </c>
      <c r="GAF16" s="310" t="s">
        <v>201</v>
      </c>
      <c r="GAG16" s="310" t="s">
        <v>201</v>
      </c>
      <c r="GAH16" s="310" t="s">
        <v>201</v>
      </c>
      <c r="GAI16" s="310" t="s">
        <v>201</v>
      </c>
      <c r="GAJ16" s="310" t="s">
        <v>201</v>
      </c>
      <c r="GAK16" s="310" t="s">
        <v>201</v>
      </c>
      <c r="GAL16" s="310" t="s">
        <v>201</v>
      </c>
      <c r="GAM16" s="310" t="s">
        <v>201</v>
      </c>
      <c r="GAN16" s="310" t="s">
        <v>201</v>
      </c>
      <c r="GAO16" s="310" t="s">
        <v>201</v>
      </c>
      <c r="GAP16" s="310" t="s">
        <v>201</v>
      </c>
      <c r="GAQ16" s="310" t="s">
        <v>201</v>
      </c>
      <c r="GAR16" s="310" t="s">
        <v>201</v>
      </c>
      <c r="GAS16" s="310" t="s">
        <v>201</v>
      </c>
      <c r="GAT16" s="310" t="s">
        <v>201</v>
      </c>
      <c r="GAU16" s="310" t="s">
        <v>201</v>
      </c>
      <c r="GAV16" s="310" t="s">
        <v>201</v>
      </c>
      <c r="GAW16" s="310" t="s">
        <v>201</v>
      </c>
      <c r="GAX16" s="310" t="s">
        <v>201</v>
      </c>
      <c r="GAY16" s="310" t="s">
        <v>201</v>
      </c>
      <c r="GAZ16" s="310" t="s">
        <v>201</v>
      </c>
      <c r="GBA16" s="310" t="s">
        <v>201</v>
      </c>
      <c r="GBB16" s="310" t="s">
        <v>201</v>
      </c>
      <c r="GBC16" s="310" t="s">
        <v>201</v>
      </c>
      <c r="GBD16" s="310" t="s">
        <v>201</v>
      </c>
      <c r="GBE16" s="310" t="s">
        <v>201</v>
      </c>
      <c r="GBF16" s="310" t="s">
        <v>201</v>
      </c>
      <c r="GBG16" s="310" t="s">
        <v>201</v>
      </c>
      <c r="GBH16" s="310" t="s">
        <v>201</v>
      </c>
      <c r="GBI16" s="310" t="s">
        <v>201</v>
      </c>
      <c r="GBJ16" s="310" t="s">
        <v>201</v>
      </c>
      <c r="GBK16" s="310" t="s">
        <v>201</v>
      </c>
      <c r="GBL16" s="310" t="s">
        <v>201</v>
      </c>
      <c r="GBM16" s="310" t="s">
        <v>201</v>
      </c>
      <c r="GBN16" s="310" t="s">
        <v>201</v>
      </c>
      <c r="GBO16" s="310" t="s">
        <v>201</v>
      </c>
      <c r="GBP16" s="310" t="s">
        <v>201</v>
      </c>
      <c r="GBQ16" s="310" t="s">
        <v>201</v>
      </c>
      <c r="GBR16" s="310" t="s">
        <v>201</v>
      </c>
      <c r="GBS16" s="310" t="s">
        <v>201</v>
      </c>
      <c r="GBT16" s="310" t="s">
        <v>201</v>
      </c>
      <c r="GBU16" s="310" t="s">
        <v>201</v>
      </c>
      <c r="GBV16" s="310" t="s">
        <v>201</v>
      </c>
      <c r="GBW16" s="310" t="s">
        <v>201</v>
      </c>
      <c r="GBX16" s="310" t="s">
        <v>201</v>
      </c>
      <c r="GBY16" s="310" t="s">
        <v>201</v>
      </c>
      <c r="GBZ16" s="310" t="s">
        <v>201</v>
      </c>
      <c r="GCA16" s="310" t="s">
        <v>201</v>
      </c>
      <c r="GCB16" s="310" t="s">
        <v>201</v>
      </c>
      <c r="GCC16" s="310" t="s">
        <v>201</v>
      </c>
      <c r="GCD16" s="310" t="s">
        <v>201</v>
      </c>
      <c r="GCE16" s="310" t="s">
        <v>201</v>
      </c>
      <c r="GCF16" s="310" t="s">
        <v>201</v>
      </c>
      <c r="GCG16" s="310" t="s">
        <v>201</v>
      </c>
      <c r="GCH16" s="310" t="s">
        <v>201</v>
      </c>
      <c r="GCI16" s="310" t="s">
        <v>201</v>
      </c>
      <c r="GCJ16" s="310" t="s">
        <v>201</v>
      </c>
      <c r="GCK16" s="310" t="s">
        <v>201</v>
      </c>
      <c r="GCL16" s="310" t="s">
        <v>201</v>
      </c>
      <c r="GCM16" s="310" t="s">
        <v>201</v>
      </c>
      <c r="GCN16" s="310" t="s">
        <v>201</v>
      </c>
      <c r="GCO16" s="310" t="s">
        <v>201</v>
      </c>
      <c r="GCP16" s="310" t="s">
        <v>201</v>
      </c>
      <c r="GCQ16" s="310" t="s">
        <v>201</v>
      </c>
      <c r="GCR16" s="310" t="s">
        <v>201</v>
      </c>
      <c r="GCS16" s="310" t="s">
        <v>201</v>
      </c>
      <c r="GCT16" s="310" t="s">
        <v>201</v>
      </c>
      <c r="GCU16" s="310" t="s">
        <v>201</v>
      </c>
      <c r="GCV16" s="310" t="s">
        <v>201</v>
      </c>
      <c r="GCW16" s="310" t="s">
        <v>201</v>
      </c>
      <c r="GCX16" s="310" t="s">
        <v>201</v>
      </c>
      <c r="GCY16" s="310" t="s">
        <v>201</v>
      </c>
      <c r="GCZ16" s="310" t="s">
        <v>201</v>
      </c>
      <c r="GDA16" s="310" t="s">
        <v>201</v>
      </c>
      <c r="GDB16" s="310" t="s">
        <v>201</v>
      </c>
      <c r="GDC16" s="310" t="s">
        <v>201</v>
      </c>
      <c r="GDD16" s="310" t="s">
        <v>201</v>
      </c>
      <c r="GDE16" s="310" t="s">
        <v>201</v>
      </c>
      <c r="GDF16" s="310" t="s">
        <v>201</v>
      </c>
      <c r="GDG16" s="310" t="s">
        <v>201</v>
      </c>
      <c r="GDH16" s="310" t="s">
        <v>201</v>
      </c>
      <c r="GDI16" s="310" t="s">
        <v>201</v>
      </c>
      <c r="GDJ16" s="310" t="s">
        <v>201</v>
      </c>
      <c r="GDK16" s="310" t="s">
        <v>201</v>
      </c>
      <c r="GDL16" s="310" t="s">
        <v>201</v>
      </c>
      <c r="GDM16" s="310" t="s">
        <v>201</v>
      </c>
      <c r="GDN16" s="310" t="s">
        <v>201</v>
      </c>
      <c r="GDO16" s="310" t="s">
        <v>201</v>
      </c>
      <c r="GDP16" s="310" t="s">
        <v>201</v>
      </c>
      <c r="GDQ16" s="310" t="s">
        <v>201</v>
      </c>
      <c r="GDR16" s="310" t="s">
        <v>201</v>
      </c>
      <c r="GDS16" s="310" t="s">
        <v>201</v>
      </c>
      <c r="GDT16" s="310" t="s">
        <v>201</v>
      </c>
      <c r="GDU16" s="310" t="s">
        <v>201</v>
      </c>
      <c r="GDV16" s="310" t="s">
        <v>201</v>
      </c>
      <c r="GDW16" s="310" t="s">
        <v>201</v>
      </c>
      <c r="GDX16" s="310" t="s">
        <v>201</v>
      </c>
      <c r="GDY16" s="310" t="s">
        <v>201</v>
      </c>
      <c r="GDZ16" s="310" t="s">
        <v>201</v>
      </c>
      <c r="GEA16" s="310" t="s">
        <v>201</v>
      </c>
      <c r="GEB16" s="310" t="s">
        <v>201</v>
      </c>
      <c r="GEC16" s="310" t="s">
        <v>201</v>
      </c>
      <c r="GED16" s="310" t="s">
        <v>201</v>
      </c>
      <c r="GEE16" s="310" t="s">
        <v>201</v>
      </c>
      <c r="GEF16" s="310" t="s">
        <v>201</v>
      </c>
      <c r="GEG16" s="310" t="s">
        <v>201</v>
      </c>
      <c r="GEH16" s="310" t="s">
        <v>201</v>
      </c>
      <c r="GEI16" s="310" t="s">
        <v>201</v>
      </c>
      <c r="GEJ16" s="310" t="s">
        <v>201</v>
      </c>
      <c r="GEK16" s="310" t="s">
        <v>201</v>
      </c>
      <c r="GEL16" s="310" t="s">
        <v>201</v>
      </c>
      <c r="GEM16" s="310" t="s">
        <v>201</v>
      </c>
      <c r="GEN16" s="310" t="s">
        <v>201</v>
      </c>
      <c r="GEO16" s="310" t="s">
        <v>201</v>
      </c>
      <c r="GEP16" s="310" t="s">
        <v>201</v>
      </c>
      <c r="GEQ16" s="310" t="s">
        <v>201</v>
      </c>
      <c r="GER16" s="310" t="s">
        <v>201</v>
      </c>
      <c r="GES16" s="310" t="s">
        <v>201</v>
      </c>
      <c r="GET16" s="310" t="s">
        <v>201</v>
      </c>
      <c r="GEU16" s="310" t="s">
        <v>201</v>
      </c>
      <c r="GEV16" s="310" t="s">
        <v>201</v>
      </c>
      <c r="GEW16" s="310" t="s">
        <v>201</v>
      </c>
      <c r="GEX16" s="310" t="s">
        <v>201</v>
      </c>
      <c r="GEY16" s="310" t="s">
        <v>201</v>
      </c>
      <c r="GEZ16" s="310" t="s">
        <v>201</v>
      </c>
      <c r="GFA16" s="310" t="s">
        <v>201</v>
      </c>
      <c r="GFB16" s="310" t="s">
        <v>201</v>
      </c>
      <c r="GFC16" s="310" t="s">
        <v>201</v>
      </c>
      <c r="GFD16" s="310" t="s">
        <v>201</v>
      </c>
      <c r="GFE16" s="310" t="s">
        <v>201</v>
      </c>
      <c r="GFF16" s="310" t="s">
        <v>201</v>
      </c>
      <c r="GFG16" s="310" t="s">
        <v>201</v>
      </c>
      <c r="GFH16" s="310" t="s">
        <v>201</v>
      </c>
      <c r="GFI16" s="310" t="s">
        <v>201</v>
      </c>
      <c r="GFJ16" s="310" t="s">
        <v>201</v>
      </c>
      <c r="GFK16" s="310" t="s">
        <v>201</v>
      </c>
      <c r="GFL16" s="310" t="s">
        <v>201</v>
      </c>
      <c r="GFM16" s="310" t="s">
        <v>201</v>
      </c>
      <c r="GFN16" s="310" t="s">
        <v>201</v>
      </c>
      <c r="GFO16" s="310" t="s">
        <v>201</v>
      </c>
      <c r="GFP16" s="310" t="s">
        <v>201</v>
      </c>
      <c r="GFQ16" s="310" t="s">
        <v>201</v>
      </c>
      <c r="GFR16" s="310" t="s">
        <v>201</v>
      </c>
      <c r="GFS16" s="310" t="s">
        <v>201</v>
      </c>
      <c r="GFT16" s="310" t="s">
        <v>201</v>
      </c>
      <c r="GFU16" s="310" t="s">
        <v>201</v>
      </c>
      <c r="GFV16" s="310" t="s">
        <v>201</v>
      </c>
      <c r="GFW16" s="310" t="s">
        <v>201</v>
      </c>
      <c r="GFX16" s="310" t="s">
        <v>201</v>
      </c>
      <c r="GFY16" s="310" t="s">
        <v>201</v>
      </c>
      <c r="GFZ16" s="310" t="s">
        <v>201</v>
      </c>
      <c r="GGA16" s="310" t="s">
        <v>201</v>
      </c>
      <c r="GGB16" s="310" t="s">
        <v>201</v>
      </c>
      <c r="GGC16" s="310" t="s">
        <v>201</v>
      </c>
      <c r="GGD16" s="310" t="s">
        <v>201</v>
      </c>
      <c r="GGE16" s="310" t="s">
        <v>201</v>
      </c>
      <c r="GGF16" s="310" t="s">
        <v>201</v>
      </c>
      <c r="GGG16" s="310" t="s">
        <v>201</v>
      </c>
      <c r="GGH16" s="310" t="s">
        <v>201</v>
      </c>
      <c r="GGI16" s="310" t="s">
        <v>201</v>
      </c>
      <c r="GGJ16" s="310" t="s">
        <v>201</v>
      </c>
      <c r="GGK16" s="310" t="s">
        <v>201</v>
      </c>
      <c r="GGL16" s="310" t="s">
        <v>201</v>
      </c>
      <c r="GGM16" s="310" t="s">
        <v>201</v>
      </c>
      <c r="GGN16" s="310" t="s">
        <v>201</v>
      </c>
      <c r="GGO16" s="310" t="s">
        <v>201</v>
      </c>
      <c r="GGP16" s="310" t="s">
        <v>201</v>
      </c>
      <c r="GGQ16" s="310" t="s">
        <v>201</v>
      </c>
      <c r="GGR16" s="310" t="s">
        <v>201</v>
      </c>
      <c r="GGS16" s="310" t="s">
        <v>201</v>
      </c>
      <c r="GGT16" s="310" t="s">
        <v>201</v>
      </c>
      <c r="GGU16" s="310" t="s">
        <v>201</v>
      </c>
      <c r="GGV16" s="310" t="s">
        <v>201</v>
      </c>
      <c r="GGW16" s="310" t="s">
        <v>201</v>
      </c>
      <c r="GGX16" s="310" t="s">
        <v>201</v>
      </c>
      <c r="GGY16" s="310" t="s">
        <v>201</v>
      </c>
      <c r="GGZ16" s="310" t="s">
        <v>201</v>
      </c>
      <c r="GHA16" s="310" t="s">
        <v>201</v>
      </c>
      <c r="GHB16" s="310" t="s">
        <v>201</v>
      </c>
      <c r="GHC16" s="310" t="s">
        <v>201</v>
      </c>
      <c r="GHD16" s="310" t="s">
        <v>201</v>
      </c>
      <c r="GHE16" s="310" t="s">
        <v>201</v>
      </c>
      <c r="GHF16" s="310" t="s">
        <v>201</v>
      </c>
      <c r="GHG16" s="310" t="s">
        <v>201</v>
      </c>
      <c r="GHH16" s="310" t="s">
        <v>201</v>
      </c>
      <c r="GHI16" s="310" t="s">
        <v>201</v>
      </c>
      <c r="GHJ16" s="310" t="s">
        <v>201</v>
      </c>
      <c r="GHK16" s="310" t="s">
        <v>201</v>
      </c>
      <c r="GHL16" s="310" t="s">
        <v>201</v>
      </c>
      <c r="GHM16" s="310" t="s">
        <v>201</v>
      </c>
      <c r="GHN16" s="310" t="s">
        <v>201</v>
      </c>
      <c r="GHO16" s="310" t="s">
        <v>201</v>
      </c>
      <c r="GHP16" s="310" t="s">
        <v>201</v>
      </c>
      <c r="GHQ16" s="310" t="s">
        <v>201</v>
      </c>
      <c r="GHR16" s="310" t="s">
        <v>201</v>
      </c>
      <c r="GHS16" s="310" t="s">
        <v>201</v>
      </c>
      <c r="GHT16" s="310" t="s">
        <v>201</v>
      </c>
      <c r="GHU16" s="310" t="s">
        <v>201</v>
      </c>
      <c r="GHV16" s="310" t="s">
        <v>201</v>
      </c>
      <c r="GHW16" s="310" t="s">
        <v>201</v>
      </c>
      <c r="GHX16" s="310" t="s">
        <v>201</v>
      </c>
      <c r="GHY16" s="310" t="s">
        <v>201</v>
      </c>
      <c r="GHZ16" s="310" t="s">
        <v>201</v>
      </c>
      <c r="GIA16" s="310" t="s">
        <v>201</v>
      </c>
      <c r="GIB16" s="310" t="s">
        <v>201</v>
      </c>
      <c r="GIC16" s="310" t="s">
        <v>201</v>
      </c>
      <c r="GID16" s="310" t="s">
        <v>201</v>
      </c>
      <c r="GIE16" s="310" t="s">
        <v>201</v>
      </c>
      <c r="GIF16" s="310" t="s">
        <v>201</v>
      </c>
      <c r="GIG16" s="310" t="s">
        <v>201</v>
      </c>
      <c r="GIH16" s="310" t="s">
        <v>201</v>
      </c>
      <c r="GII16" s="310" t="s">
        <v>201</v>
      </c>
      <c r="GIJ16" s="310" t="s">
        <v>201</v>
      </c>
      <c r="GIK16" s="310" t="s">
        <v>201</v>
      </c>
      <c r="GIL16" s="310" t="s">
        <v>201</v>
      </c>
      <c r="GIM16" s="310" t="s">
        <v>201</v>
      </c>
      <c r="GIN16" s="310" t="s">
        <v>201</v>
      </c>
      <c r="GIO16" s="310" t="s">
        <v>201</v>
      </c>
      <c r="GIP16" s="310" t="s">
        <v>201</v>
      </c>
      <c r="GIQ16" s="310" t="s">
        <v>201</v>
      </c>
      <c r="GIR16" s="310" t="s">
        <v>201</v>
      </c>
      <c r="GIS16" s="310" t="s">
        <v>201</v>
      </c>
      <c r="GIT16" s="310" t="s">
        <v>201</v>
      </c>
      <c r="GIU16" s="310" t="s">
        <v>201</v>
      </c>
      <c r="GIV16" s="310" t="s">
        <v>201</v>
      </c>
      <c r="GIW16" s="310" t="s">
        <v>201</v>
      </c>
      <c r="GIX16" s="310" t="s">
        <v>201</v>
      </c>
      <c r="GIY16" s="310" t="s">
        <v>201</v>
      </c>
      <c r="GIZ16" s="310" t="s">
        <v>201</v>
      </c>
      <c r="GJA16" s="310" t="s">
        <v>201</v>
      </c>
      <c r="GJB16" s="310" t="s">
        <v>201</v>
      </c>
      <c r="GJC16" s="310" t="s">
        <v>201</v>
      </c>
      <c r="GJD16" s="310" t="s">
        <v>201</v>
      </c>
      <c r="GJE16" s="310" t="s">
        <v>201</v>
      </c>
      <c r="GJF16" s="310" t="s">
        <v>201</v>
      </c>
      <c r="GJG16" s="310" t="s">
        <v>201</v>
      </c>
      <c r="GJH16" s="310" t="s">
        <v>201</v>
      </c>
      <c r="GJI16" s="310" t="s">
        <v>201</v>
      </c>
      <c r="GJJ16" s="310" t="s">
        <v>201</v>
      </c>
      <c r="GJK16" s="310" t="s">
        <v>201</v>
      </c>
      <c r="GJL16" s="310" t="s">
        <v>201</v>
      </c>
      <c r="GJM16" s="310" t="s">
        <v>201</v>
      </c>
      <c r="GJN16" s="310" t="s">
        <v>201</v>
      </c>
      <c r="GJO16" s="310" t="s">
        <v>201</v>
      </c>
      <c r="GJP16" s="310" t="s">
        <v>201</v>
      </c>
      <c r="GJQ16" s="310" t="s">
        <v>201</v>
      </c>
      <c r="GJR16" s="310" t="s">
        <v>201</v>
      </c>
      <c r="GJS16" s="310" t="s">
        <v>201</v>
      </c>
      <c r="GJT16" s="310" t="s">
        <v>201</v>
      </c>
      <c r="GJU16" s="310" t="s">
        <v>201</v>
      </c>
      <c r="GJV16" s="310" t="s">
        <v>201</v>
      </c>
      <c r="GJW16" s="310" t="s">
        <v>201</v>
      </c>
      <c r="GJX16" s="310" t="s">
        <v>201</v>
      </c>
      <c r="GJY16" s="310" t="s">
        <v>201</v>
      </c>
      <c r="GJZ16" s="310" t="s">
        <v>201</v>
      </c>
      <c r="GKA16" s="310" t="s">
        <v>201</v>
      </c>
      <c r="GKB16" s="310" t="s">
        <v>201</v>
      </c>
      <c r="GKC16" s="310" t="s">
        <v>201</v>
      </c>
      <c r="GKD16" s="310" t="s">
        <v>201</v>
      </c>
      <c r="GKE16" s="310" t="s">
        <v>201</v>
      </c>
      <c r="GKF16" s="310" t="s">
        <v>201</v>
      </c>
      <c r="GKG16" s="310" t="s">
        <v>201</v>
      </c>
      <c r="GKH16" s="310" t="s">
        <v>201</v>
      </c>
      <c r="GKI16" s="310" t="s">
        <v>201</v>
      </c>
      <c r="GKJ16" s="310" t="s">
        <v>201</v>
      </c>
      <c r="GKK16" s="310" t="s">
        <v>201</v>
      </c>
      <c r="GKL16" s="310" t="s">
        <v>201</v>
      </c>
      <c r="GKM16" s="310" t="s">
        <v>201</v>
      </c>
      <c r="GKN16" s="310" t="s">
        <v>201</v>
      </c>
      <c r="GKO16" s="310" t="s">
        <v>201</v>
      </c>
      <c r="GKP16" s="310" t="s">
        <v>201</v>
      </c>
      <c r="GKQ16" s="310" t="s">
        <v>201</v>
      </c>
      <c r="GKR16" s="310" t="s">
        <v>201</v>
      </c>
      <c r="GKS16" s="310" t="s">
        <v>201</v>
      </c>
      <c r="GKT16" s="310" t="s">
        <v>201</v>
      </c>
      <c r="GKU16" s="310" t="s">
        <v>201</v>
      </c>
      <c r="GKV16" s="310" t="s">
        <v>201</v>
      </c>
      <c r="GKW16" s="310" t="s">
        <v>201</v>
      </c>
      <c r="GKX16" s="310" t="s">
        <v>201</v>
      </c>
      <c r="GKY16" s="310" t="s">
        <v>201</v>
      </c>
      <c r="GKZ16" s="310" t="s">
        <v>201</v>
      </c>
      <c r="GLA16" s="310" t="s">
        <v>201</v>
      </c>
      <c r="GLB16" s="310" t="s">
        <v>201</v>
      </c>
      <c r="GLC16" s="310" t="s">
        <v>201</v>
      </c>
      <c r="GLD16" s="310" t="s">
        <v>201</v>
      </c>
      <c r="GLE16" s="310" t="s">
        <v>201</v>
      </c>
      <c r="GLF16" s="310" t="s">
        <v>201</v>
      </c>
      <c r="GLG16" s="310" t="s">
        <v>201</v>
      </c>
      <c r="GLH16" s="310" t="s">
        <v>201</v>
      </c>
      <c r="GLI16" s="310" t="s">
        <v>201</v>
      </c>
      <c r="GLJ16" s="310" t="s">
        <v>201</v>
      </c>
      <c r="GLK16" s="310" t="s">
        <v>201</v>
      </c>
      <c r="GLL16" s="310" t="s">
        <v>201</v>
      </c>
      <c r="GLM16" s="310" t="s">
        <v>201</v>
      </c>
      <c r="GLN16" s="310" t="s">
        <v>201</v>
      </c>
      <c r="GLO16" s="310" t="s">
        <v>201</v>
      </c>
      <c r="GLP16" s="310" t="s">
        <v>201</v>
      </c>
      <c r="GLQ16" s="310" t="s">
        <v>201</v>
      </c>
      <c r="GLR16" s="310" t="s">
        <v>201</v>
      </c>
      <c r="GLS16" s="310" t="s">
        <v>201</v>
      </c>
      <c r="GLT16" s="310" t="s">
        <v>201</v>
      </c>
      <c r="GLU16" s="310" t="s">
        <v>201</v>
      </c>
      <c r="GLV16" s="310" t="s">
        <v>201</v>
      </c>
      <c r="GLW16" s="310" t="s">
        <v>201</v>
      </c>
      <c r="GLX16" s="310" t="s">
        <v>201</v>
      </c>
      <c r="GLY16" s="310" t="s">
        <v>201</v>
      </c>
      <c r="GLZ16" s="310" t="s">
        <v>201</v>
      </c>
      <c r="GMA16" s="310" t="s">
        <v>201</v>
      </c>
      <c r="GMB16" s="310" t="s">
        <v>201</v>
      </c>
      <c r="GMC16" s="310" t="s">
        <v>201</v>
      </c>
      <c r="GMD16" s="310" t="s">
        <v>201</v>
      </c>
      <c r="GME16" s="310" t="s">
        <v>201</v>
      </c>
      <c r="GMF16" s="310" t="s">
        <v>201</v>
      </c>
      <c r="GMG16" s="310" t="s">
        <v>201</v>
      </c>
      <c r="GMH16" s="310" t="s">
        <v>201</v>
      </c>
      <c r="GMI16" s="310" t="s">
        <v>201</v>
      </c>
      <c r="GMJ16" s="310" t="s">
        <v>201</v>
      </c>
      <c r="GMK16" s="310" t="s">
        <v>201</v>
      </c>
      <c r="GML16" s="310" t="s">
        <v>201</v>
      </c>
      <c r="GMM16" s="310" t="s">
        <v>201</v>
      </c>
      <c r="GMN16" s="310" t="s">
        <v>201</v>
      </c>
      <c r="GMO16" s="310" t="s">
        <v>201</v>
      </c>
      <c r="GMP16" s="310" t="s">
        <v>201</v>
      </c>
      <c r="GMQ16" s="310" t="s">
        <v>201</v>
      </c>
      <c r="GMR16" s="310" t="s">
        <v>201</v>
      </c>
      <c r="GMS16" s="310" t="s">
        <v>201</v>
      </c>
      <c r="GMT16" s="310" t="s">
        <v>201</v>
      </c>
      <c r="GMU16" s="310" t="s">
        <v>201</v>
      </c>
      <c r="GMV16" s="310" t="s">
        <v>201</v>
      </c>
      <c r="GMW16" s="310" t="s">
        <v>201</v>
      </c>
      <c r="GMX16" s="310" t="s">
        <v>201</v>
      </c>
      <c r="GMY16" s="310" t="s">
        <v>201</v>
      </c>
      <c r="GMZ16" s="310" t="s">
        <v>201</v>
      </c>
      <c r="GNA16" s="310" t="s">
        <v>201</v>
      </c>
      <c r="GNB16" s="310" t="s">
        <v>201</v>
      </c>
      <c r="GNC16" s="310" t="s">
        <v>201</v>
      </c>
      <c r="GND16" s="310" t="s">
        <v>201</v>
      </c>
      <c r="GNE16" s="310" t="s">
        <v>201</v>
      </c>
      <c r="GNF16" s="310" t="s">
        <v>201</v>
      </c>
      <c r="GNG16" s="310" t="s">
        <v>201</v>
      </c>
      <c r="GNH16" s="310" t="s">
        <v>201</v>
      </c>
      <c r="GNI16" s="310" t="s">
        <v>201</v>
      </c>
      <c r="GNJ16" s="310" t="s">
        <v>201</v>
      </c>
      <c r="GNK16" s="310" t="s">
        <v>201</v>
      </c>
      <c r="GNL16" s="310" t="s">
        <v>201</v>
      </c>
      <c r="GNM16" s="310" t="s">
        <v>201</v>
      </c>
      <c r="GNN16" s="310" t="s">
        <v>201</v>
      </c>
      <c r="GNO16" s="310" t="s">
        <v>201</v>
      </c>
      <c r="GNP16" s="310" t="s">
        <v>201</v>
      </c>
      <c r="GNQ16" s="310" t="s">
        <v>201</v>
      </c>
      <c r="GNR16" s="310" t="s">
        <v>201</v>
      </c>
      <c r="GNS16" s="310" t="s">
        <v>201</v>
      </c>
      <c r="GNT16" s="310" t="s">
        <v>201</v>
      </c>
      <c r="GNU16" s="310" t="s">
        <v>201</v>
      </c>
      <c r="GNV16" s="310" t="s">
        <v>201</v>
      </c>
      <c r="GNW16" s="310" t="s">
        <v>201</v>
      </c>
      <c r="GNX16" s="310" t="s">
        <v>201</v>
      </c>
      <c r="GNY16" s="310" t="s">
        <v>201</v>
      </c>
      <c r="GNZ16" s="310" t="s">
        <v>201</v>
      </c>
      <c r="GOA16" s="310" t="s">
        <v>201</v>
      </c>
      <c r="GOB16" s="310" t="s">
        <v>201</v>
      </c>
      <c r="GOC16" s="310" t="s">
        <v>201</v>
      </c>
      <c r="GOD16" s="310" t="s">
        <v>201</v>
      </c>
      <c r="GOE16" s="310" t="s">
        <v>201</v>
      </c>
      <c r="GOF16" s="310" t="s">
        <v>201</v>
      </c>
      <c r="GOG16" s="310" t="s">
        <v>201</v>
      </c>
      <c r="GOH16" s="310" t="s">
        <v>201</v>
      </c>
      <c r="GOI16" s="310" t="s">
        <v>201</v>
      </c>
      <c r="GOJ16" s="310" t="s">
        <v>201</v>
      </c>
      <c r="GOK16" s="310" t="s">
        <v>201</v>
      </c>
      <c r="GOL16" s="310" t="s">
        <v>201</v>
      </c>
      <c r="GOM16" s="310" t="s">
        <v>201</v>
      </c>
      <c r="GON16" s="310" t="s">
        <v>201</v>
      </c>
      <c r="GOO16" s="310" t="s">
        <v>201</v>
      </c>
      <c r="GOP16" s="310" t="s">
        <v>201</v>
      </c>
      <c r="GOQ16" s="310" t="s">
        <v>201</v>
      </c>
      <c r="GOR16" s="310" t="s">
        <v>201</v>
      </c>
      <c r="GOS16" s="310" t="s">
        <v>201</v>
      </c>
      <c r="GOT16" s="310" t="s">
        <v>201</v>
      </c>
      <c r="GOU16" s="310" t="s">
        <v>201</v>
      </c>
      <c r="GOV16" s="310" t="s">
        <v>201</v>
      </c>
      <c r="GOW16" s="310" t="s">
        <v>201</v>
      </c>
      <c r="GOX16" s="310" t="s">
        <v>201</v>
      </c>
      <c r="GOY16" s="310" t="s">
        <v>201</v>
      </c>
      <c r="GOZ16" s="310" t="s">
        <v>201</v>
      </c>
      <c r="GPA16" s="310" t="s">
        <v>201</v>
      </c>
      <c r="GPB16" s="310" t="s">
        <v>201</v>
      </c>
      <c r="GPC16" s="310" t="s">
        <v>201</v>
      </c>
      <c r="GPD16" s="310" t="s">
        <v>201</v>
      </c>
      <c r="GPE16" s="310" t="s">
        <v>201</v>
      </c>
      <c r="GPF16" s="310" t="s">
        <v>201</v>
      </c>
      <c r="GPG16" s="310" t="s">
        <v>201</v>
      </c>
      <c r="GPH16" s="310" t="s">
        <v>201</v>
      </c>
      <c r="GPI16" s="310" t="s">
        <v>201</v>
      </c>
      <c r="GPJ16" s="310" t="s">
        <v>201</v>
      </c>
      <c r="GPK16" s="310" t="s">
        <v>201</v>
      </c>
      <c r="GPL16" s="310" t="s">
        <v>201</v>
      </c>
      <c r="GPM16" s="310" t="s">
        <v>201</v>
      </c>
      <c r="GPN16" s="310" t="s">
        <v>201</v>
      </c>
      <c r="GPO16" s="310" t="s">
        <v>201</v>
      </c>
      <c r="GPP16" s="310" t="s">
        <v>201</v>
      </c>
      <c r="GPQ16" s="310" t="s">
        <v>201</v>
      </c>
      <c r="GPR16" s="310" t="s">
        <v>201</v>
      </c>
      <c r="GPS16" s="310" t="s">
        <v>201</v>
      </c>
      <c r="GPT16" s="310" t="s">
        <v>201</v>
      </c>
      <c r="GPU16" s="310" t="s">
        <v>201</v>
      </c>
      <c r="GPV16" s="310" t="s">
        <v>201</v>
      </c>
      <c r="GPW16" s="310" t="s">
        <v>201</v>
      </c>
      <c r="GPX16" s="310" t="s">
        <v>201</v>
      </c>
      <c r="GPY16" s="310" t="s">
        <v>201</v>
      </c>
      <c r="GPZ16" s="310" t="s">
        <v>201</v>
      </c>
      <c r="GQA16" s="310" t="s">
        <v>201</v>
      </c>
      <c r="GQB16" s="310" t="s">
        <v>201</v>
      </c>
      <c r="GQC16" s="310" t="s">
        <v>201</v>
      </c>
      <c r="GQD16" s="310" t="s">
        <v>201</v>
      </c>
      <c r="GQE16" s="310" t="s">
        <v>201</v>
      </c>
      <c r="GQF16" s="310" t="s">
        <v>201</v>
      </c>
      <c r="GQG16" s="310" t="s">
        <v>201</v>
      </c>
      <c r="GQH16" s="310" t="s">
        <v>201</v>
      </c>
      <c r="GQI16" s="310" t="s">
        <v>201</v>
      </c>
      <c r="GQJ16" s="310" t="s">
        <v>201</v>
      </c>
      <c r="GQK16" s="310" t="s">
        <v>201</v>
      </c>
      <c r="GQL16" s="310" t="s">
        <v>201</v>
      </c>
      <c r="GQM16" s="310" t="s">
        <v>201</v>
      </c>
      <c r="GQN16" s="310" t="s">
        <v>201</v>
      </c>
      <c r="GQO16" s="310" t="s">
        <v>201</v>
      </c>
      <c r="GQP16" s="310" t="s">
        <v>201</v>
      </c>
      <c r="GQQ16" s="310" t="s">
        <v>201</v>
      </c>
      <c r="GQR16" s="310" t="s">
        <v>201</v>
      </c>
      <c r="GQS16" s="310" t="s">
        <v>201</v>
      </c>
      <c r="GQT16" s="310" t="s">
        <v>201</v>
      </c>
      <c r="GQU16" s="310" t="s">
        <v>201</v>
      </c>
      <c r="GQV16" s="310" t="s">
        <v>201</v>
      </c>
      <c r="GQW16" s="310" t="s">
        <v>201</v>
      </c>
      <c r="GQX16" s="310" t="s">
        <v>201</v>
      </c>
      <c r="GQY16" s="310" t="s">
        <v>201</v>
      </c>
      <c r="GQZ16" s="310" t="s">
        <v>201</v>
      </c>
      <c r="GRA16" s="310" t="s">
        <v>201</v>
      </c>
      <c r="GRB16" s="310" t="s">
        <v>201</v>
      </c>
      <c r="GRC16" s="310" t="s">
        <v>201</v>
      </c>
      <c r="GRD16" s="310" t="s">
        <v>201</v>
      </c>
      <c r="GRE16" s="310" t="s">
        <v>201</v>
      </c>
      <c r="GRF16" s="310" t="s">
        <v>201</v>
      </c>
      <c r="GRG16" s="310" t="s">
        <v>201</v>
      </c>
      <c r="GRH16" s="310" t="s">
        <v>201</v>
      </c>
      <c r="GRI16" s="310" t="s">
        <v>201</v>
      </c>
      <c r="GRJ16" s="310" t="s">
        <v>201</v>
      </c>
      <c r="GRK16" s="310" t="s">
        <v>201</v>
      </c>
      <c r="GRL16" s="310" t="s">
        <v>201</v>
      </c>
      <c r="GRM16" s="310" t="s">
        <v>201</v>
      </c>
      <c r="GRN16" s="310" t="s">
        <v>201</v>
      </c>
      <c r="GRO16" s="310" t="s">
        <v>201</v>
      </c>
      <c r="GRP16" s="310" t="s">
        <v>201</v>
      </c>
      <c r="GRQ16" s="310" t="s">
        <v>201</v>
      </c>
      <c r="GRR16" s="310" t="s">
        <v>201</v>
      </c>
      <c r="GRS16" s="310" t="s">
        <v>201</v>
      </c>
      <c r="GRT16" s="310" t="s">
        <v>201</v>
      </c>
      <c r="GRU16" s="310" t="s">
        <v>201</v>
      </c>
      <c r="GRV16" s="310" t="s">
        <v>201</v>
      </c>
      <c r="GRW16" s="310" t="s">
        <v>201</v>
      </c>
      <c r="GRX16" s="310" t="s">
        <v>201</v>
      </c>
      <c r="GRY16" s="310" t="s">
        <v>201</v>
      </c>
      <c r="GRZ16" s="310" t="s">
        <v>201</v>
      </c>
      <c r="GSA16" s="310" t="s">
        <v>201</v>
      </c>
      <c r="GSB16" s="310" t="s">
        <v>201</v>
      </c>
      <c r="GSC16" s="310" t="s">
        <v>201</v>
      </c>
      <c r="GSD16" s="310" t="s">
        <v>201</v>
      </c>
      <c r="GSE16" s="310" t="s">
        <v>201</v>
      </c>
      <c r="GSF16" s="310" t="s">
        <v>201</v>
      </c>
      <c r="GSG16" s="310" t="s">
        <v>201</v>
      </c>
      <c r="GSH16" s="310" t="s">
        <v>201</v>
      </c>
      <c r="GSI16" s="310" t="s">
        <v>201</v>
      </c>
      <c r="GSJ16" s="310" t="s">
        <v>201</v>
      </c>
      <c r="GSK16" s="310" t="s">
        <v>201</v>
      </c>
      <c r="GSL16" s="310" t="s">
        <v>201</v>
      </c>
      <c r="GSM16" s="310" t="s">
        <v>201</v>
      </c>
      <c r="GSN16" s="310" t="s">
        <v>201</v>
      </c>
      <c r="GSO16" s="310" t="s">
        <v>201</v>
      </c>
      <c r="GSP16" s="310" t="s">
        <v>201</v>
      </c>
      <c r="GSQ16" s="310" t="s">
        <v>201</v>
      </c>
      <c r="GSR16" s="310" t="s">
        <v>201</v>
      </c>
      <c r="GSS16" s="310" t="s">
        <v>201</v>
      </c>
      <c r="GST16" s="310" t="s">
        <v>201</v>
      </c>
      <c r="GSU16" s="310" t="s">
        <v>201</v>
      </c>
      <c r="GSV16" s="310" t="s">
        <v>201</v>
      </c>
      <c r="GSW16" s="310" t="s">
        <v>201</v>
      </c>
      <c r="GSX16" s="310" t="s">
        <v>201</v>
      </c>
      <c r="GSY16" s="310" t="s">
        <v>201</v>
      </c>
      <c r="GSZ16" s="310" t="s">
        <v>201</v>
      </c>
      <c r="GTA16" s="310" t="s">
        <v>201</v>
      </c>
      <c r="GTB16" s="310" t="s">
        <v>201</v>
      </c>
      <c r="GTC16" s="310" t="s">
        <v>201</v>
      </c>
      <c r="GTD16" s="310" t="s">
        <v>201</v>
      </c>
      <c r="GTE16" s="310" t="s">
        <v>201</v>
      </c>
      <c r="GTF16" s="310" t="s">
        <v>201</v>
      </c>
      <c r="GTG16" s="310" t="s">
        <v>201</v>
      </c>
      <c r="GTH16" s="310" t="s">
        <v>201</v>
      </c>
      <c r="GTI16" s="310" t="s">
        <v>201</v>
      </c>
      <c r="GTJ16" s="310" t="s">
        <v>201</v>
      </c>
      <c r="GTK16" s="310" t="s">
        <v>201</v>
      </c>
      <c r="GTL16" s="310" t="s">
        <v>201</v>
      </c>
      <c r="GTM16" s="310" t="s">
        <v>201</v>
      </c>
      <c r="GTN16" s="310" t="s">
        <v>201</v>
      </c>
      <c r="GTO16" s="310" t="s">
        <v>201</v>
      </c>
      <c r="GTP16" s="310" t="s">
        <v>201</v>
      </c>
      <c r="GTQ16" s="310" t="s">
        <v>201</v>
      </c>
      <c r="GTR16" s="310" t="s">
        <v>201</v>
      </c>
      <c r="GTS16" s="310" t="s">
        <v>201</v>
      </c>
      <c r="GTT16" s="310" t="s">
        <v>201</v>
      </c>
      <c r="GTU16" s="310" t="s">
        <v>201</v>
      </c>
      <c r="GTV16" s="310" t="s">
        <v>201</v>
      </c>
      <c r="GTW16" s="310" t="s">
        <v>201</v>
      </c>
      <c r="GTX16" s="310" t="s">
        <v>201</v>
      </c>
      <c r="GTY16" s="310" t="s">
        <v>201</v>
      </c>
      <c r="GTZ16" s="310" t="s">
        <v>201</v>
      </c>
      <c r="GUA16" s="310" t="s">
        <v>201</v>
      </c>
      <c r="GUB16" s="310" t="s">
        <v>201</v>
      </c>
      <c r="GUC16" s="310" t="s">
        <v>201</v>
      </c>
      <c r="GUD16" s="310" t="s">
        <v>201</v>
      </c>
      <c r="GUE16" s="310" t="s">
        <v>201</v>
      </c>
      <c r="GUF16" s="310" t="s">
        <v>201</v>
      </c>
      <c r="GUG16" s="310" t="s">
        <v>201</v>
      </c>
      <c r="GUH16" s="310" t="s">
        <v>201</v>
      </c>
      <c r="GUI16" s="310" t="s">
        <v>201</v>
      </c>
      <c r="GUJ16" s="310" t="s">
        <v>201</v>
      </c>
      <c r="GUK16" s="310" t="s">
        <v>201</v>
      </c>
      <c r="GUL16" s="310" t="s">
        <v>201</v>
      </c>
      <c r="GUM16" s="310" t="s">
        <v>201</v>
      </c>
      <c r="GUN16" s="310" t="s">
        <v>201</v>
      </c>
      <c r="GUO16" s="310" t="s">
        <v>201</v>
      </c>
      <c r="GUP16" s="310" t="s">
        <v>201</v>
      </c>
      <c r="GUQ16" s="310" t="s">
        <v>201</v>
      </c>
      <c r="GUR16" s="310" t="s">
        <v>201</v>
      </c>
      <c r="GUS16" s="310" t="s">
        <v>201</v>
      </c>
      <c r="GUT16" s="310" t="s">
        <v>201</v>
      </c>
      <c r="GUU16" s="310" t="s">
        <v>201</v>
      </c>
      <c r="GUV16" s="310" t="s">
        <v>201</v>
      </c>
      <c r="GUW16" s="310" t="s">
        <v>201</v>
      </c>
      <c r="GUX16" s="310" t="s">
        <v>201</v>
      </c>
      <c r="GUY16" s="310" t="s">
        <v>201</v>
      </c>
      <c r="GUZ16" s="310" t="s">
        <v>201</v>
      </c>
      <c r="GVA16" s="310" t="s">
        <v>201</v>
      </c>
      <c r="GVB16" s="310" t="s">
        <v>201</v>
      </c>
      <c r="GVC16" s="310" t="s">
        <v>201</v>
      </c>
      <c r="GVD16" s="310" t="s">
        <v>201</v>
      </c>
      <c r="GVE16" s="310" t="s">
        <v>201</v>
      </c>
      <c r="GVF16" s="310" t="s">
        <v>201</v>
      </c>
      <c r="GVG16" s="310" t="s">
        <v>201</v>
      </c>
      <c r="GVH16" s="310" t="s">
        <v>201</v>
      </c>
      <c r="GVI16" s="310" t="s">
        <v>201</v>
      </c>
      <c r="GVJ16" s="310" t="s">
        <v>201</v>
      </c>
      <c r="GVK16" s="310" t="s">
        <v>201</v>
      </c>
      <c r="GVL16" s="310" t="s">
        <v>201</v>
      </c>
      <c r="GVM16" s="310" t="s">
        <v>201</v>
      </c>
      <c r="GVN16" s="310" t="s">
        <v>201</v>
      </c>
      <c r="GVO16" s="310" t="s">
        <v>201</v>
      </c>
      <c r="GVP16" s="310" t="s">
        <v>201</v>
      </c>
      <c r="GVQ16" s="310" t="s">
        <v>201</v>
      </c>
      <c r="GVR16" s="310" t="s">
        <v>201</v>
      </c>
      <c r="GVS16" s="310" t="s">
        <v>201</v>
      </c>
      <c r="GVT16" s="310" t="s">
        <v>201</v>
      </c>
      <c r="GVU16" s="310" t="s">
        <v>201</v>
      </c>
      <c r="GVV16" s="310" t="s">
        <v>201</v>
      </c>
      <c r="GVW16" s="310" t="s">
        <v>201</v>
      </c>
      <c r="GVX16" s="310" t="s">
        <v>201</v>
      </c>
      <c r="GVY16" s="310" t="s">
        <v>201</v>
      </c>
      <c r="GVZ16" s="310" t="s">
        <v>201</v>
      </c>
      <c r="GWA16" s="310" t="s">
        <v>201</v>
      </c>
      <c r="GWB16" s="310" t="s">
        <v>201</v>
      </c>
      <c r="GWC16" s="310" t="s">
        <v>201</v>
      </c>
      <c r="GWD16" s="310" t="s">
        <v>201</v>
      </c>
      <c r="GWE16" s="310" t="s">
        <v>201</v>
      </c>
      <c r="GWF16" s="310" t="s">
        <v>201</v>
      </c>
      <c r="GWG16" s="310" t="s">
        <v>201</v>
      </c>
      <c r="GWH16" s="310" t="s">
        <v>201</v>
      </c>
      <c r="GWI16" s="310" t="s">
        <v>201</v>
      </c>
      <c r="GWJ16" s="310" t="s">
        <v>201</v>
      </c>
      <c r="GWK16" s="310" t="s">
        <v>201</v>
      </c>
      <c r="GWL16" s="310" t="s">
        <v>201</v>
      </c>
      <c r="GWM16" s="310" t="s">
        <v>201</v>
      </c>
      <c r="GWN16" s="310" t="s">
        <v>201</v>
      </c>
      <c r="GWO16" s="310" t="s">
        <v>201</v>
      </c>
      <c r="GWP16" s="310" t="s">
        <v>201</v>
      </c>
      <c r="GWQ16" s="310" t="s">
        <v>201</v>
      </c>
      <c r="GWR16" s="310" t="s">
        <v>201</v>
      </c>
      <c r="GWS16" s="310" t="s">
        <v>201</v>
      </c>
      <c r="GWT16" s="310" t="s">
        <v>201</v>
      </c>
      <c r="GWU16" s="310" t="s">
        <v>201</v>
      </c>
      <c r="GWV16" s="310" t="s">
        <v>201</v>
      </c>
      <c r="GWW16" s="310" t="s">
        <v>201</v>
      </c>
      <c r="GWX16" s="310" t="s">
        <v>201</v>
      </c>
      <c r="GWY16" s="310" t="s">
        <v>201</v>
      </c>
      <c r="GWZ16" s="310" t="s">
        <v>201</v>
      </c>
      <c r="GXA16" s="310" t="s">
        <v>201</v>
      </c>
      <c r="GXB16" s="310" t="s">
        <v>201</v>
      </c>
      <c r="GXC16" s="310" t="s">
        <v>201</v>
      </c>
      <c r="GXD16" s="310" t="s">
        <v>201</v>
      </c>
      <c r="GXE16" s="310" t="s">
        <v>201</v>
      </c>
      <c r="GXF16" s="310" t="s">
        <v>201</v>
      </c>
      <c r="GXG16" s="310" t="s">
        <v>201</v>
      </c>
      <c r="GXH16" s="310" t="s">
        <v>201</v>
      </c>
      <c r="GXI16" s="310" t="s">
        <v>201</v>
      </c>
      <c r="GXJ16" s="310" t="s">
        <v>201</v>
      </c>
      <c r="GXK16" s="310" t="s">
        <v>201</v>
      </c>
      <c r="GXL16" s="310" t="s">
        <v>201</v>
      </c>
      <c r="GXM16" s="310" t="s">
        <v>201</v>
      </c>
      <c r="GXN16" s="310" t="s">
        <v>201</v>
      </c>
      <c r="GXO16" s="310" t="s">
        <v>201</v>
      </c>
      <c r="GXP16" s="310" t="s">
        <v>201</v>
      </c>
      <c r="GXQ16" s="310" t="s">
        <v>201</v>
      </c>
      <c r="GXR16" s="310" t="s">
        <v>201</v>
      </c>
      <c r="GXS16" s="310" t="s">
        <v>201</v>
      </c>
      <c r="GXT16" s="310" t="s">
        <v>201</v>
      </c>
      <c r="GXU16" s="310" t="s">
        <v>201</v>
      </c>
      <c r="GXV16" s="310" t="s">
        <v>201</v>
      </c>
      <c r="GXW16" s="310" t="s">
        <v>201</v>
      </c>
      <c r="GXX16" s="310" t="s">
        <v>201</v>
      </c>
      <c r="GXY16" s="310" t="s">
        <v>201</v>
      </c>
      <c r="GXZ16" s="310" t="s">
        <v>201</v>
      </c>
      <c r="GYA16" s="310" t="s">
        <v>201</v>
      </c>
      <c r="GYB16" s="310" t="s">
        <v>201</v>
      </c>
      <c r="GYC16" s="310" t="s">
        <v>201</v>
      </c>
      <c r="GYD16" s="310" t="s">
        <v>201</v>
      </c>
      <c r="GYE16" s="310" t="s">
        <v>201</v>
      </c>
      <c r="GYF16" s="310" t="s">
        <v>201</v>
      </c>
      <c r="GYG16" s="310" t="s">
        <v>201</v>
      </c>
      <c r="GYH16" s="310" t="s">
        <v>201</v>
      </c>
      <c r="GYI16" s="310" t="s">
        <v>201</v>
      </c>
      <c r="GYJ16" s="310" t="s">
        <v>201</v>
      </c>
      <c r="GYK16" s="310" t="s">
        <v>201</v>
      </c>
      <c r="GYL16" s="310" t="s">
        <v>201</v>
      </c>
      <c r="GYM16" s="310" t="s">
        <v>201</v>
      </c>
      <c r="GYN16" s="310" t="s">
        <v>201</v>
      </c>
      <c r="GYO16" s="310" t="s">
        <v>201</v>
      </c>
      <c r="GYP16" s="310" t="s">
        <v>201</v>
      </c>
      <c r="GYQ16" s="310" t="s">
        <v>201</v>
      </c>
      <c r="GYR16" s="310" t="s">
        <v>201</v>
      </c>
      <c r="GYS16" s="310" t="s">
        <v>201</v>
      </c>
      <c r="GYT16" s="310" t="s">
        <v>201</v>
      </c>
      <c r="GYU16" s="310" t="s">
        <v>201</v>
      </c>
      <c r="GYV16" s="310" t="s">
        <v>201</v>
      </c>
      <c r="GYW16" s="310" t="s">
        <v>201</v>
      </c>
      <c r="GYX16" s="310" t="s">
        <v>201</v>
      </c>
      <c r="GYY16" s="310" t="s">
        <v>201</v>
      </c>
      <c r="GYZ16" s="310" t="s">
        <v>201</v>
      </c>
      <c r="GZA16" s="310" t="s">
        <v>201</v>
      </c>
      <c r="GZB16" s="310" t="s">
        <v>201</v>
      </c>
      <c r="GZC16" s="310" t="s">
        <v>201</v>
      </c>
      <c r="GZD16" s="310" t="s">
        <v>201</v>
      </c>
      <c r="GZE16" s="310" t="s">
        <v>201</v>
      </c>
      <c r="GZF16" s="310" t="s">
        <v>201</v>
      </c>
      <c r="GZG16" s="310" t="s">
        <v>201</v>
      </c>
      <c r="GZH16" s="310" t="s">
        <v>201</v>
      </c>
      <c r="GZI16" s="310" t="s">
        <v>201</v>
      </c>
      <c r="GZJ16" s="310" t="s">
        <v>201</v>
      </c>
      <c r="GZK16" s="310" t="s">
        <v>201</v>
      </c>
      <c r="GZL16" s="310" t="s">
        <v>201</v>
      </c>
      <c r="GZM16" s="310" t="s">
        <v>201</v>
      </c>
      <c r="GZN16" s="310" t="s">
        <v>201</v>
      </c>
      <c r="GZO16" s="310" t="s">
        <v>201</v>
      </c>
      <c r="GZP16" s="310" t="s">
        <v>201</v>
      </c>
      <c r="GZQ16" s="310" t="s">
        <v>201</v>
      </c>
      <c r="GZR16" s="310" t="s">
        <v>201</v>
      </c>
      <c r="GZS16" s="310" t="s">
        <v>201</v>
      </c>
      <c r="GZT16" s="310" t="s">
        <v>201</v>
      </c>
      <c r="GZU16" s="310" t="s">
        <v>201</v>
      </c>
      <c r="GZV16" s="310" t="s">
        <v>201</v>
      </c>
      <c r="GZW16" s="310" t="s">
        <v>201</v>
      </c>
      <c r="GZX16" s="310" t="s">
        <v>201</v>
      </c>
      <c r="GZY16" s="310" t="s">
        <v>201</v>
      </c>
      <c r="GZZ16" s="310" t="s">
        <v>201</v>
      </c>
      <c r="HAA16" s="310" t="s">
        <v>201</v>
      </c>
      <c r="HAB16" s="310" t="s">
        <v>201</v>
      </c>
      <c r="HAC16" s="310" t="s">
        <v>201</v>
      </c>
      <c r="HAD16" s="310" t="s">
        <v>201</v>
      </c>
      <c r="HAE16" s="310" t="s">
        <v>201</v>
      </c>
      <c r="HAF16" s="310" t="s">
        <v>201</v>
      </c>
      <c r="HAG16" s="310" t="s">
        <v>201</v>
      </c>
      <c r="HAH16" s="310" t="s">
        <v>201</v>
      </c>
      <c r="HAI16" s="310" t="s">
        <v>201</v>
      </c>
      <c r="HAJ16" s="310" t="s">
        <v>201</v>
      </c>
      <c r="HAK16" s="310" t="s">
        <v>201</v>
      </c>
      <c r="HAL16" s="310" t="s">
        <v>201</v>
      </c>
      <c r="HAM16" s="310" t="s">
        <v>201</v>
      </c>
      <c r="HAN16" s="310" t="s">
        <v>201</v>
      </c>
      <c r="HAO16" s="310" t="s">
        <v>201</v>
      </c>
      <c r="HAP16" s="310" t="s">
        <v>201</v>
      </c>
      <c r="HAQ16" s="310" t="s">
        <v>201</v>
      </c>
      <c r="HAR16" s="310" t="s">
        <v>201</v>
      </c>
      <c r="HAS16" s="310" t="s">
        <v>201</v>
      </c>
      <c r="HAT16" s="310" t="s">
        <v>201</v>
      </c>
      <c r="HAU16" s="310" t="s">
        <v>201</v>
      </c>
      <c r="HAV16" s="310" t="s">
        <v>201</v>
      </c>
      <c r="HAW16" s="310" t="s">
        <v>201</v>
      </c>
      <c r="HAX16" s="310" t="s">
        <v>201</v>
      </c>
      <c r="HAY16" s="310" t="s">
        <v>201</v>
      </c>
      <c r="HAZ16" s="310" t="s">
        <v>201</v>
      </c>
      <c r="HBA16" s="310" t="s">
        <v>201</v>
      </c>
      <c r="HBB16" s="310" t="s">
        <v>201</v>
      </c>
      <c r="HBC16" s="310" t="s">
        <v>201</v>
      </c>
      <c r="HBD16" s="310" t="s">
        <v>201</v>
      </c>
      <c r="HBE16" s="310" t="s">
        <v>201</v>
      </c>
      <c r="HBF16" s="310" t="s">
        <v>201</v>
      </c>
      <c r="HBG16" s="310" t="s">
        <v>201</v>
      </c>
      <c r="HBH16" s="310" t="s">
        <v>201</v>
      </c>
      <c r="HBI16" s="310" t="s">
        <v>201</v>
      </c>
      <c r="HBJ16" s="310" t="s">
        <v>201</v>
      </c>
      <c r="HBK16" s="310" t="s">
        <v>201</v>
      </c>
      <c r="HBL16" s="310" t="s">
        <v>201</v>
      </c>
      <c r="HBM16" s="310" t="s">
        <v>201</v>
      </c>
      <c r="HBN16" s="310" t="s">
        <v>201</v>
      </c>
      <c r="HBO16" s="310" t="s">
        <v>201</v>
      </c>
      <c r="HBP16" s="310" t="s">
        <v>201</v>
      </c>
      <c r="HBQ16" s="310" t="s">
        <v>201</v>
      </c>
      <c r="HBR16" s="310" t="s">
        <v>201</v>
      </c>
      <c r="HBS16" s="310" t="s">
        <v>201</v>
      </c>
      <c r="HBT16" s="310" t="s">
        <v>201</v>
      </c>
      <c r="HBU16" s="310" t="s">
        <v>201</v>
      </c>
      <c r="HBV16" s="310" t="s">
        <v>201</v>
      </c>
      <c r="HBW16" s="310" t="s">
        <v>201</v>
      </c>
      <c r="HBX16" s="310" t="s">
        <v>201</v>
      </c>
      <c r="HBY16" s="310" t="s">
        <v>201</v>
      </c>
      <c r="HBZ16" s="310" t="s">
        <v>201</v>
      </c>
      <c r="HCA16" s="310" t="s">
        <v>201</v>
      </c>
      <c r="HCB16" s="310" t="s">
        <v>201</v>
      </c>
      <c r="HCC16" s="310" t="s">
        <v>201</v>
      </c>
      <c r="HCD16" s="310" t="s">
        <v>201</v>
      </c>
      <c r="HCE16" s="310" t="s">
        <v>201</v>
      </c>
      <c r="HCF16" s="310" t="s">
        <v>201</v>
      </c>
      <c r="HCG16" s="310" t="s">
        <v>201</v>
      </c>
      <c r="HCH16" s="310" t="s">
        <v>201</v>
      </c>
      <c r="HCI16" s="310" t="s">
        <v>201</v>
      </c>
      <c r="HCJ16" s="310" t="s">
        <v>201</v>
      </c>
      <c r="HCK16" s="310" t="s">
        <v>201</v>
      </c>
      <c r="HCL16" s="310" t="s">
        <v>201</v>
      </c>
      <c r="HCM16" s="310" t="s">
        <v>201</v>
      </c>
      <c r="HCN16" s="310" t="s">
        <v>201</v>
      </c>
      <c r="HCO16" s="310" t="s">
        <v>201</v>
      </c>
      <c r="HCP16" s="310" t="s">
        <v>201</v>
      </c>
      <c r="HCQ16" s="310" t="s">
        <v>201</v>
      </c>
      <c r="HCR16" s="310" t="s">
        <v>201</v>
      </c>
      <c r="HCS16" s="310" t="s">
        <v>201</v>
      </c>
      <c r="HCT16" s="310" t="s">
        <v>201</v>
      </c>
      <c r="HCU16" s="310" t="s">
        <v>201</v>
      </c>
      <c r="HCV16" s="310" t="s">
        <v>201</v>
      </c>
      <c r="HCW16" s="310" t="s">
        <v>201</v>
      </c>
      <c r="HCX16" s="310" t="s">
        <v>201</v>
      </c>
      <c r="HCY16" s="310" t="s">
        <v>201</v>
      </c>
      <c r="HCZ16" s="310" t="s">
        <v>201</v>
      </c>
      <c r="HDA16" s="310" t="s">
        <v>201</v>
      </c>
      <c r="HDB16" s="310" t="s">
        <v>201</v>
      </c>
      <c r="HDC16" s="310" t="s">
        <v>201</v>
      </c>
      <c r="HDD16" s="310" t="s">
        <v>201</v>
      </c>
      <c r="HDE16" s="310" t="s">
        <v>201</v>
      </c>
      <c r="HDF16" s="310" t="s">
        <v>201</v>
      </c>
      <c r="HDG16" s="310" t="s">
        <v>201</v>
      </c>
      <c r="HDH16" s="310" t="s">
        <v>201</v>
      </c>
      <c r="HDI16" s="310" t="s">
        <v>201</v>
      </c>
      <c r="HDJ16" s="310" t="s">
        <v>201</v>
      </c>
      <c r="HDK16" s="310" t="s">
        <v>201</v>
      </c>
      <c r="HDL16" s="310" t="s">
        <v>201</v>
      </c>
      <c r="HDM16" s="310" t="s">
        <v>201</v>
      </c>
      <c r="HDN16" s="310" t="s">
        <v>201</v>
      </c>
      <c r="HDO16" s="310" t="s">
        <v>201</v>
      </c>
      <c r="HDP16" s="310" t="s">
        <v>201</v>
      </c>
      <c r="HDQ16" s="310" t="s">
        <v>201</v>
      </c>
      <c r="HDR16" s="310" t="s">
        <v>201</v>
      </c>
      <c r="HDS16" s="310" t="s">
        <v>201</v>
      </c>
      <c r="HDT16" s="310" t="s">
        <v>201</v>
      </c>
      <c r="HDU16" s="310" t="s">
        <v>201</v>
      </c>
      <c r="HDV16" s="310" t="s">
        <v>201</v>
      </c>
      <c r="HDW16" s="310" t="s">
        <v>201</v>
      </c>
      <c r="HDX16" s="310" t="s">
        <v>201</v>
      </c>
      <c r="HDY16" s="310" t="s">
        <v>201</v>
      </c>
      <c r="HDZ16" s="310" t="s">
        <v>201</v>
      </c>
      <c r="HEA16" s="310" t="s">
        <v>201</v>
      </c>
      <c r="HEB16" s="310" t="s">
        <v>201</v>
      </c>
      <c r="HEC16" s="310" t="s">
        <v>201</v>
      </c>
      <c r="HED16" s="310" t="s">
        <v>201</v>
      </c>
      <c r="HEE16" s="310" t="s">
        <v>201</v>
      </c>
      <c r="HEF16" s="310" t="s">
        <v>201</v>
      </c>
      <c r="HEG16" s="310" t="s">
        <v>201</v>
      </c>
      <c r="HEH16" s="310" t="s">
        <v>201</v>
      </c>
      <c r="HEI16" s="310" t="s">
        <v>201</v>
      </c>
      <c r="HEJ16" s="310" t="s">
        <v>201</v>
      </c>
      <c r="HEK16" s="310" t="s">
        <v>201</v>
      </c>
      <c r="HEL16" s="310" t="s">
        <v>201</v>
      </c>
      <c r="HEM16" s="310" t="s">
        <v>201</v>
      </c>
      <c r="HEN16" s="310" t="s">
        <v>201</v>
      </c>
      <c r="HEO16" s="310" t="s">
        <v>201</v>
      </c>
      <c r="HEP16" s="310" t="s">
        <v>201</v>
      </c>
      <c r="HEQ16" s="310" t="s">
        <v>201</v>
      </c>
      <c r="HER16" s="310" t="s">
        <v>201</v>
      </c>
      <c r="HES16" s="310" t="s">
        <v>201</v>
      </c>
      <c r="HET16" s="310" t="s">
        <v>201</v>
      </c>
      <c r="HEU16" s="310" t="s">
        <v>201</v>
      </c>
      <c r="HEV16" s="310" t="s">
        <v>201</v>
      </c>
      <c r="HEW16" s="310" t="s">
        <v>201</v>
      </c>
      <c r="HEX16" s="310" t="s">
        <v>201</v>
      </c>
      <c r="HEY16" s="310" t="s">
        <v>201</v>
      </c>
      <c r="HEZ16" s="310" t="s">
        <v>201</v>
      </c>
      <c r="HFA16" s="310" t="s">
        <v>201</v>
      </c>
      <c r="HFB16" s="310" t="s">
        <v>201</v>
      </c>
      <c r="HFC16" s="310" t="s">
        <v>201</v>
      </c>
      <c r="HFD16" s="310" t="s">
        <v>201</v>
      </c>
      <c r="HFE16" s="310" t="s">
        <v>201</v>
      </c>
      <c r="HFF16" s="310" t="s">
        <v>201</v>
      </c>
      <c r="HFG16" s="310" t="s">
        <v>201</v>
      </c>
      <c r="HFH16" s="310" t="s">
        <v>201</v>
      </c>
      <c r="HFI16" s="310" t="s">
        <v>201</v>
      </c>
      <c r="HFJ16" s="310" t="s">
        <v>201</v>
      </c>
      <c r="HFK16" s="310" t="s">
        <v>201</v>
      </c>
      <c r="HFL16" s="310" t="s">
        <v>201</v>
      </c>
      <c r="HFM16" s="310" t="s">
        <v>201</v>
      </c>
      <c r="HFN16" s="310" t="s">
        <v>201</v>
      </c>
      <c r="HFO16" s="310" t="s">
        <v>201</v>
      </c>
      <c r="HFP16" s="310" t="s">
        <v>201</v>
      </c>
      <c r="HFQ16" s="310" t="s">
        <v>201</v>
      </c>
      <c r="HFR16" s="310" t="s">
        <v>201</v>
      </c>
      <c r="HFS16" s="310" t="s">
        <v>201</v>
      </c>
      <c r="HFT16" s="310" t="s">
        <v>201</v>
      </c>
      <c r="HFU16" s="310" t="s">
        <v>201</v>
      </c>
      <c r="HFV16" s="310" t="s">
        <v>201</v>
      </c>
      <c r="HFW16" s="310" t="s">
        <v>201</v>
      </c>
      <c r="HFX16" s="310" t="s">
        <v>201</v>
      </c>
      <c r="HFY16" s="310" t="s">
        <v>201</v>
      </c>
      <c r="HFZ16" s="310" t="s">
        <v>201</v>
      </c>
      <c r="HGA16" s="310" t="s">
        <v>201</v>
      </c>
      <c r="HGB16" s="310" t="s">
        <v>201</v>
      </c>
      <c r="HGC16" s="310" t="s">
        <v>201</v>
      </c>
      <c r="HGD16" s="310" t="s">
        <v>201</v>
      </c>
      <c r="HGE16" s="310" t="s">
        <v>201</v>
      </c>
      <c r="HGF16" s="310" t="s">
        <v>201</v>
      </c>
      <c r="HGG16" s="310" t="s">
        <v>201</v>
      </c>
      <c r="HGH16" s="310" t="s">
        <v>201</v>
      </c>
      <c r="HGI16" s="310" t="s">
        <v>201</v>
      </c>
      <c r="HGJ16" s="310" t="s">
        <v>201</v>
      </c>
      <c r="HGK16" s="310" t="s">
        <v>201</v>
      </c>
      <c r="HGL16" s="310" t="s">
        <v>201</v>
      </c>
      <c r="HGM16" s="310" t="s">
        <v>201</v>
      </c>
      <c r="HGN16" s="310" t="s">
        <v>201</v>
      </c>
      <c r="HGO16" s="310" t="s">
        <v>201</v>
      </c>
      <c r="HGP16" s="310" t="s">
        <v>201</v>
      </c>
      <c r="HGQ16" s="310" t="s">
        <v>201</v>
      </c>
      <c r="HGR16" s="310" t="s">
        <v>201</v>
      </c>
      <c r="HGS16" s="310" t="s">
        <v>201</v>
      </c>
      <c r="HGT16" s="310" t="s">
        <v>201</v>
      </c>
      <c r="HGU16" s="310" t="s">
        <v>201</v>
      </c>
      <c r="HGV16" s="310" t="s">
        <v>201</v>
      </c>
      <c r="HGW16" s="310" t="s">
        <v>201</v>
      </c>
      <c r="HGX16" s="310" t="s">
        <v>201</v>
      </c>
      <c r="HGY16" s="310" t="s">
        <v>201</v>
      </c>
      <c r="HGZ16" s="310" t="s">
        <v>201</v>
      </c>
      <c r="HHA16" s="310" t="s">
        <v>201</v>
      </c>
      <c r="HHB16" s="310" t="s">
        <v>201</v>
      </c>
      <c r="HHC16" s="310" t="s">
        <v>201</v>
      </c>
      <c r="HHD16" s="310" t="s">
        <v>201</v>
      </c>
      <c r="HHE16" s="310" t="s">
        <v>201</v>
      </c>
      <c r="HHF16" s="310" t="s">
        <v>201</v>
      </c>
      <c r="HHG16" s="310" t="s">
        <v>201</v>
      </c>
      <c r="HHH16" s="310" t="s">
        <v>201</v>
      </c>
      <c r="HHI16" s="310" t="s">
        <v>201</v>
      </c>
      <c r="HHJ16" s="310" t="s">
        <v>201</v>
      </c>
      <c r="HHK16" s="310" t="s">
        <v>201</v>
      </c>
      <c r="HHL16" s="310" t="s">
        <v>201</v>
      </c>
      <c r="HHM16" s="310" t="s">
        <v>201</v>
      </c>
      <c r="HHN16" s="310" t="s">
        <v>201</v>
      </c>
      <c r="HHO16" s="310" t="s">
        <v>201</v>
      </c>
      <c r="HHP16" s="310" t="s">
        <v>201</v>
      </c>
      <c r="HHQ16" s="310" t="s">
        <v>201</v>
      </c>
      <c r="HHR16" s="310" t="s">
        <v>201</v>
      </c>
      <c r="HHS16" s="310" t="s">
        <v>201</v>
      </c>
      <c r="HHT16" s="310" t="s">
        <v>201</v>
      </c>
      <c r="HHU16" s="310" t="s">
        <v>201</v>
      </c>
      <c r="HHV16" s="310" t="s">
        <v>201</v>
      </c>
      <c r="HHW16" s="310" t="s">
        <v>201</v>
      </c>
      <c r="HHX16" s="310" t="s">
        <v>201</v>
      </c>
      <c r="HHY16" s="310" t="s">
        <v>201</v>
      </c>
      <c r="HHZ16" s="310" t="s">
        <v>201</v>
      </c>
      <c r="HIA16" s="310" t="s">
        <v>201</v>
      </c>
      <c r="HIB16" s="310" t="s">
        <v>201</v>
      </c>
      <c r="HIC16" s="310" t="s">
        <v>201</v>
      </c>
      <c r="HID16" s="310" t="s">
        <v>201</v>
      </c>
      <c r="HIE16" s="310" t="s">
        <v>201</v>
      </c>
      <c r="HIF16" s="310" t="s">
        <v>201</v>
      </c>
      <c r="HIG16" s="310" t="s">
        <v>201</v>
      </c>
      <c r="HIH16" s="310" t="s">
        <v>201</v>
      </c>
      <c r="HII16" s="310" t="s">
        <v>201</v>
      </c>
      <c r="HIJ16" s="310" t="s">
        <v>201</v>
      </c>
      <c r="HIK16" s="310" t="s">
        <v>201</v>
      </c>
      <c r="HIL16" s="310" t="s">
        <v>201</v>
      </c>
      <c r="HIM16" s="310" t="s">
        <v>201</v>
      </c>
      <c r="HIN16" s="310" t="s">
        <v>201</v>
      </c>
      <c r="HIO16" s="310" t="s">
        <v>201</v>
      </c>
      <c r="HIP16" s="310" t="s">
        <v>201</v>
      </c>
      <c r="HIQ16" s="310" t="s">
        <v>201</v>
      </c>
      <c r="HIR16" s="310" t="s">
        <v>201</v>
      </c>
      <c r="HIS16" s="310" t="s">
        <v>201</v>
      </c>
      <c r="HIT16" s="310" t="s">
        <v>201</v>
      </c>
      <c r="HIU16" s="310" t="s">
        <v>201</v>
      </c>
      <c r="HIV16" s="310" t="s">
        <v>201</v>
      </c>
      <c r="HIW16" s="310" t="s">
        <v>201</v>
      </c>
      <c r="HIX16" s="310" t="s">
        <v>201</v>
      </c>
      <c r="HIY16" s="310" t="s">
        <v>201</v>
      </c>
      <c r="HIZ16" s="310" t="s">
        <v>201</v>
      </c>
      <c r="HJA16" s="310" t="s">
        <v>201</v>
      </c>
      <c r="HJB16" s="310" t="s">
        <v>201</v>
      </c>
      <c r="HJC16" s="310" t="s">
        <v>201</v>
      </c>
      <c r="HJD16" s="310" t="s">
        <v>201</v>
      </c>
      <c r="HJE16" s="310" t="s">
        <v>201</v>
      </c>
      <c r="HJF16" s="310" t="s">
        <v>201</v>
      </c>
      <c r="HJG16" s="310" t="s">
        <v>201</v>
      </c>
      <c r="HJH16" s="310" t="s">
        <v>201</v>
      </c>
      <c r="HJI16" s="310" t="s">
        <v>201</v>
      </c>
      <c r="HJJ16" s="310" t="s">
        <v>201</v>
      </c>
      <c r="HJK16" s="310" t="s">
        <v>201</v>
      </c>
      <c r="HJL16" s="310" t="s">
        <v>201</v>
      </c>
      <c r="HJM16" s="310" t="s">
        <v>201</v>
      </c>
      <c r="HJN16" s="310" t="s">
        <v>201</v>
      </c>
      <c r="HJO16" s="310" t="s">
        <v>201</v>
      </c>
      <c r="HJP16" s="310" t="s">
        <v>201</v>
      </c>
      <c r="HJQ16" s="310" t="s">
        <v>201</v>
      </c>
      <c r="HJR16" s="310" t="s">
        <v>201</v>
      </c>
      <c r="HJS16" s="310" t="s">
        <v>201</v>
      </c>
      <c r="HJT16" s="310" t="s">
        <v>201</v>
      </c>
      <c r="HJU16" s="310" t="s">
        <v>201</v>
      </c>
      <c r="HJV16" s="310" t="s">
        <v>201</v>
      </c>
      <c r="HJW16" s="310" t="s">
        <v>201</v>
      </c>
      <c r="HJX16" s="310" t="s">
        <v>201</v>
      </c>
      <c r="HJY16" s="310" t="s">
        <v>201</v>
      </c>
      <c r="HJZ16" s="310" t="s">
        <v>201</v>
      </c>
      <c r="HKA16" s="310" t="s">
        <v>201</v>
      </c>
      <c r="HKB16" s="310" t="s">
        <v>201</v>
      </c>
      <c r="HKC16" s="310" t="s">
        <v>201</v>
      </c>
      <c r="HKD16" s="310" t="s">
        <v>201</v>
      </c>
      <c r="HKE16" s="310" t="s">
        <v>201</v>
      </c>
      <c r="HKF16" s="310" t="s">
        <v>201</v>
      </c>
      <c r="HKG16" s="310" t="s">
        <v>201</v>
      </c>
      <c r="HKH16" s="310" t="s">
        <v>201</v>
      </c>
      <c r="HKI16" s="310" t="s">
        <v>201</v>
      </c>
      <c r="HKJ16" s="310" t="s">
        <v>201</v>
      </c>
      <c r="HKK16" s="310" t="s">
        <v>201</v>
      </c>
      <c r="HKL16" s="310" t="s">
        <v>201</v>
      </c>
      <c r="HKM16" s="310" t="s">
        <v>201</v>
      </c>
      <c r="HKN16" s="310" t="s">
        <v>201</v>
      </c>
      <c r="HKO16" s="310" t="s">
        <v>201</v>
      </c>
      <c r="HKP16" s="310" t="s">
        <v>201</v>
      </c>
      <c r="HKQ16" s="310" t="s">
        <v>201</v>
      </c>
      <c r="HKR16" s="310" t="s">
        <v>201</v>
      </c>
      <c r="HKS16" s="310" t="s">
        <v>201</v>
      </c>
      <c r="HKT16" s="310" t="s">
        <v>201</v>
      </c>
      <c r="HKU16" s="310" t="s">
        <v>201</v>
      </c>
      <c r="HKV16" s="310" t="s">
        <v>201</v>
      </c>
      <c r="HKW16" s="310" t="s">
        <v>201</v>
      </c>
      <c r="HKX16" s="310" t="s">
        <v>201</v>
      </c>
      <c r="HKY16" s="310" t="s">
        <v>201</v>
      </c>
      <c r="HKZ16" s="310" t="s">
        <v>201</v>
      </c>
      <c r="HLA16" s="310" t="s">
        <v>201</v>
      </c>
      <c r="HLB16" s="310" t="s">
        <v>201</v>
      </c>
      <c r="HLC16" s="310" t="s">
        <v>201</v>
      </c>
      <c r="HLD16" s="310" t="s">
        <v>201</v>
      </c>
      <c r="HLE16" s="310" t="s">
        <v>201</v>
      </c>
      <c r="HLF16" s="310" t="s">
        <v>201</v>
      </c>
      <c r="HLG16" s="310" t="s">
        <v>201</v>
      </c>
      <c r="HLH16" s="310" t="s">
        <v>201</v>
      </c>
      <c r="HLI16" s="310" t="s">
        <v>201</v>
      </c>
      <c r="HLJ16" s="310" t="s">
        <v>201</v>
      </c>
      <c r="HLK16" s="310" t="s">
        <v>201</v>
      </c>
      <c r="HLL16" s="310" t="s">
        <v>201</v>
      </c>
      <c r="HLM16" s="310" t="s">
        <v>201</v>
      </c>
      <c r="HLN16" s="310" t="s">
        <v>201</v>
      </c>
      <c r="HLO16" s="310" t="s">
        <v>201</v>
      </c>
      <c r="HLP16" s="310" t="s">
        <v>201</v>
      </c>
      <c r="HLQ16" s="310" t="s">
        <v>201</v>
      </c>
      <c r="HLR16" s="310" t="s">
        <v>201</v>
      </c>
      <c r="HLS16" s="310" t="s">
        <v>201</v>
      </c>
      <c r="HLT16" s="310" t="s">
        <v>201</v>
      </c>
      <c r="HLU16" s="310" t="s">
        <v>201</v>
      </c>
      <c r="HLV16" s="310" t="s">
        <v>201</v>
      </c>
      <c r="HLW16" s="310" t="s">
        <v>201</v>
      </c>
      <c r="HLX16" s="310" t="s">
        <v>201</v>
      </c>
      <c r="HLY16" s="310" t="s">
        <v>201</v>
      </c>
      <c r="HLZ16" s="310" t="s">
        <v>201</v>
      </c>
      <c r="HMA16" s="310" t="s">
        <v>201</v>
      </c>
      <c r="HMB16" s="310" t="s">
        <v>201</v>
      </c>
      <c r="HMC16" s="310" t="s">
        <v>201</v>
      </c>
      <c r="HMD16" s="310" t="s">
        <v>201</v>
      </c>
      <c r="HME16" s="310" t="s">
        <v>201</v>
      </c>
      <c r="HMF16" s="310" t="s">
        <v>201</v>
      </c>
      <c r="HMG16" s="310" t="s">
        <v>201</v>
      </c>
      <c r="HMH16" s="310" t="s">
        <v>201</v>
      </c>
      <c r="HMI16" s="310" t="s">
        <v>201</v>
      </c>
      <c r="HMJ16" s="310" t="s">
        <v>201</v>
      </c>
      <c r="HMK16" s="310" t="s">
        <v>201</v>
      </c>
      <c r="HML16" s="310" t="s">
        <v>201</v>
      </c>
      <c r="HMM16" s="310" t="s">
        <v>201</v>
      </c>
      <c r="HMN16" s="310" t="s">
        <v>201</v>
      </c>
      <c r="HMO16" s="310" t="s">
        <v>201</v>
      </c>
      <c r="HMP16" s="310" t="s">
        <v>201</v>
      </c>
      <c r="HMQ16" s="310" t="s">
        <v>201</v>
      </c>
      <c r="HMR16" s="310" t="s">
        <v>201</v>
      </c>
      <c r="HMS16" s="310" t="s">
        <v>201</v>
      </c>
      <c r="HMT16" s="310" t="s">
        <v>201</v>
      </c>
      <c r="HMU16" s="310" t="s">
        <v>201</v>
      </c>
      <c r="HMV16" s="310" t="s">
        <v>201</v>
      </c>
      <c r="HMW16" s="310" t="s">
        <v>201</v>
      </c>
      <c r="HMX16" s="310" t="s">
        <v>201</v>
      </c>
      <c r="HMY16" s="310" t="s">
        <v>201</v>
      </c>
      <c r="HMZ16" s="310" t="s">
        <v>201</v>
      </c>
      <c r="HNA16" s="310" t="s">
        <v>201</v>
      </c>
      <c r="HNB16" s="310" t="s">
        <v>201</v>
      </c>
      <c r="HNC16" s="310" t="s">
        <v>201</v>
      </c>
      <c r="HND16" s="310" t="s">
        <v>201</v>
      </c>
      <c r="HNE16" s="310" t="s">
        <v>201</v>
      </c>
      <c r="HNF16" s="310" t="s">
        <v>201</v>
      </c>
      <c r="HNG16" s="310" t="s">
        <v>201</v>
      </c>
      <c r="HNH16" s="310" t="s">
        <v>201</v>
      </c>
      <c r="HNI16" s="310" t="s">
        <v>201</v>
      </c>
      <c r="HNJ16" s="310" t="s">
        <v>201</v>
      </c>
      <c r="HNK16" s="310" t="s">
        <v>201</v>
      </c>
      <c r="HNL16" s="310" t="s">
        <v>201</v>
      </c>
      <c r="HNM16" s="310" t="s">
        <v>201</v>
      </c>
      <c r="HNN16" s="310" t="s">
        <v>201</v>
      </c>
      <c r="HNO16" s="310" t="s">
        <v>201</v>
      </c>
      <c r="HNP16" s="310" t="s">
        <v>201</v>
      </c>
      <c r="HNQ16" s="310" t="s">
        <v>201</v>
      </c>
      <c r="HNR16" s="310" t="s">
        <v>201</v>
      </c>
      <c r="HNS16" s="310" t="s">
        <v>201</v>
      </c>
      <c r="HNT16" s="310" t="s">
        <v>201</v>
      </c>
      <c r="HNU16" s="310" t="s">
        <v>201</v>
      </c>
      <c r="HNV16" s="310" t="s">
        <v>201</v>
      </c>
      <c r="HNW16" s="310" t="s">
        <v>201</v>
      </c>
      <c r="HNX16" s="310" t="s">
        <v>201</v>
      </c>
      <c r="HNY16" s="310" t="s">
        <v>201</v>
      </c>
      <c r="HNZ16" s="310" t="s">
        <v>201</v>
      </c>
      <c r="HOA16" s="310" t="s">
        <v>201</v>
      </c>
      <c r="HOB16" s="310" t="s">
        <v>201</v>
      </c>
      <c r="HOC16" s="310" t="s">
        <v>201</v>
      </c>
      <c r="HOD16" s="310" t="s">
        <v>201</v>
      </c>
      <c r="HOE16" s="310" t="s">
        <v>201</v>
      </c>
      <c r="HOF16" s="310" t="s">
        <v>201</v>
      </c>
      <c r="HOG16" s="310" t="s">
        <v>201</v>
      </c>
      <c r="HOH16" s="310" t="s">
        <v>201</v>
      </c>
      <c r="HOI16" s="310" t="s">
        <v>201</v>
      </c>
      <c r="HOJ16" s="310" t="s">
        <v>201</v>
      </c>
      <c r="HOK16" s="310" t="s">
        <v>201</v>
      </c>
      <c r="HOL16" s="310" t="s">
        <v>201</v>
      </c>
      <c r="HOM16" s="310" t="s">
        <v>201</v>
      </c>
      <c r="HON16" s="310" t="s">
        <v>201</v>
      </c>
      <c r="HOO16" s="310" t="s">
        <v>201</v>
      </c>
      <c r="HOP16" s="310" t="s">
        <v>201</v>
      </c>
      <c r="HOQ16" s="310" t="s">
        <v>201</v>
      </c>
      <c r="HOR16" s="310" t="s">
        <v>201</v>
      </c>
      <c r="HOS16" s="310" t="s">
        <v>201</v>
      </c>
      <c r="HOT16" s="310" t="s">
        <v>201</v>
      </c>
      <c r="HOU16" s="310" t="s">
        <v>201</v>
      </c>
      <c r="HOV16" s="310" t="s">
        <v>201</v>
      </c>
      <c r="HOW16" s="310" t="s">
        <v>201</v>
      </c>
      <c r="HOX16" s="310" t="s">
        <v>201</v>
      </c>
      <c r="HOY16" s="310" t="s">
        <v>201</v>
      </c>
      <c r="HOZ16" s="310" t="s">
        <v>201</v>
      </c>
      <c r="HPA16" s="310" t="s">
        <v>201</v>
      </c>
      <c r="HPB16" s="310" t="s">
        <v>201</v>
      </c>
      <c r="HPC16" s="310" t="s">
        <v>201</v>
      </c>
      <c r="HPD16" s="310" t="s">
        <v>201</v>
      </c>
      <c r="HPE16" s="310" t="s">
        <v>201</v>
      </c>
      <c r="HPF16" s="310" t="s">
        <v>201</v>
      </c>
      <c r="HPG16" s="310" t="s">
        <v>201</v>
      </c>
      <c r="HPH16" s="310" t="s">
        <v>201</v>
      </c>
      <c r="HPI16" s="310" t="s">
        <v>201</v>
      </c>
      <c r="HPJ16" s="310" t="s">
        <v>201</v>
      </c>
      <c r="HPK16" s="310" t="s">
        <v>201</v>
      </c>
      <c r="HPL16" s="310" t="s">
        <v>201</v>
      </c>
      <c r="HPM16" s="310" t="s">
        <v>201</v>
      </c>
      <c r="HPN16" s="310" t="s">
        <v>201</v>
      </c>
      <c r="HPO16" s="310" t="s">
        <v>201</v>
      </c>
      <c r="HPP16" s="310" t="s">
        <v>201</v>
      </c>
      <c r="HPQ16" s="310" t="s">
        <v>201</v>
      </c>
      <c r="HPR16" s="310" t="s">
        <v>201</v>
      </c>
      <c r="HPS16" s="310" t="s">
        <v>201</v>
      </c>
      <c r="HPT16" s="310" t="s">
        <v>201</v>
      </c>
      <c r="HPU16" s="310" t="s">
        <v>201</v>
      </c>
      <c r="HPV16" s="310" t="s">
        <v>201</v>
      </c>
      <c r="HPW16" s="310" t="s">
        <v>201</v>
      </c>
      <c r="HPX16" s="310" t="s">
        <v>201</v>
      </c>
      <c r="HPY16" s="310" t="s">
        <v>201</v>
      </c>
      <c r="HPZ16" s="310" t="s">
        <v>201</v>
      </c>
      <c r="HQA16" s="310" t="s">
        <v>201</v>
      </c>
      <c r="HQB16" s="310" t="s">
        <v>201</v>
      </c>
      <c r="HQC16" s="310" t="s">
        <v>201</v>
      </c>
      <c r="HQD16" s="310" t="s">
        <v>201</v>
      </c>
      <c r="HQE16" s="310" t="s">
        <v>201</v>
      </c>
      <c r="HQF16" s="310" t="s">
        <v>201</v>
      </c>
      <c r="HQG16" s="310" t="s">
        <v>201</v>
      </c>
      <c r="HQH16" s="310" t="s">
        <v>201</v>
      </c>
      <c r="HQI16" s="310" t="s">
        <v>201</v>
      </c>
      <c r="HQJ16" s="310" t="s">
        <v>201</v>
      </c>
      <c r="HQK16" s="310" t="s">
        <v>201</v>
      </c>
      <c r="HQL16" s="310" t="s">
        <v>201</v>
      </c>
      <c r="HQM16" s="310" t="s">
        <v>201</v>
      </c>
      <c r="HQN16" s="310" t="s">
        <v>201</v>
      </c>
      <c r="HQO16" s="310" t="s">
        <v>201</v>
      </c>
      <c r="HQP16" s="310" t="s">
        <v>201</v>
      </c>
      <c r="HQQ16" s="310" t="s">
        <v>201</v>
      </c>
      <c r="HQR16" s="310" t="s">
        <v>201</v>
      </c>
      <c r="HQS16" s="310" t="s">
        <v>201</v>
      </c>
      <c r="HQT16" s="310" t="s">
        <v>201</v>
      </c>
      <c r="HQU16" s="310" t="s">
        <v>201</v>
      </c>
      <c r="HQV16" s="310" t="s">
        <v>201</v>
      </c>
      <c r="HQW16" s="310" t="s">
        <v>201</v>
      </c>
      <c r="HQX16" s="310" t="s">
        <v>201</v>
      </c>
      <c r="HQY16" s="310" t="s">
        <v>201</v>
      </c>
      <c r="HQZ16" s="310" t="s">
        <v>201</v>
      </c>
      <c r="HRA16" s="310" t="s">
        <v>201</v>
      </c>
      <c r="HRB16" s="310" t="s">
        <v>201</v>
      </c>
      <c r="HRC16" s="310" t="s">
        <v>201</v>
      </c>
      <c r="HRD16" s="310" t="s">
        <v>201</v>
      </c>
      <c r="HRE16" s="310" t="s">
        <v>201</v>
      </c>
      <c r="HRF16" s="310" t="s">
        <v>201</v>
      </c>
      <c r="HRG16" s="310" t="s">
        <v>201</v>
      </c>
      <c r="HRH16" s="310" t="s">
        <v>201</v>
      </c>
      <c r="HRI16" s="310" t="s">
        <v>201</v>
      </c>
      <c r="HRJ16" s="310" t="s">
        <v>201</v>
      </c>
      <c r="HRK16" s="310" t="s">
        <v>201</v>
      </c>
      <c r="HRL16" s="310" t="s">
        <v>201</v>
      </c>
      <c r="HRM16" s="310" t="s">
        <v>201</v>
      </c>
      <c r="HRN16" s="310" t="s">
        <v>201</v>
      </c>
      <c r="HRO16" s="310" t="s">
        <v>201</v>
      </c>
      <c r="HRP16" s="310" t="s">
        <v>201</v>
      </c>
      <c r="HRQ16" s="310" t="s">
        <v>201</v>
      </c>
      <c r="HRR16" s="310" t="s">
        <v>201</v>
      </c>
      <c r="HRS16" s="310" t="s">
        <v>201</v>
      </c>
      <c r="HRT16" s="310" t="s">
        <v>201</v>
      </c>
      <c r="HRU16" s="310" t="s">
        <v>201</v>
      </c>
      <c r="HRV16" s="310" t="s">
        <v>201</v>
      </c>
      <c r="HRW16" s="310" t="s">
        <v>201</v>
      </c>
      <c r="HRX16" s="310" t="s">
        <v>201</v>
      </c>
      <c r="HRY16" s="310" t="s">
        <v>201</v>
      </c>
      <c r="HRZ16" s="310" t="s">
        <v>201</v>
      </c>
      <c r="HSA16" s="310" t="s">
        <v>201</v>
      </c>
      <c r="HSB16" s="310" t="s">
        <v>201</v>
      </c>
      <c r="HSC16" s="310" t="s">
        <v>201</v>
      </c>
      <c r="HSD16" s="310" t="s">
        <v>201</v>
      </c>
      <c r="HSE16" s="310" t="s">
        <v>201</v>
      </c>
      <c r="HSF16" s="310" t="s">
        <v>201</v>
      </c>
      <c r="HSG16" s="310" t="s">
        <v>201</v>
      </c>
      <c r="HSH16" s="310" t="s">
        <v>201</v>
      </c>
      <c r="HSI16" s="310" t="s">
        <v>201</v>
      </c>
      <c r="HSJ16" s="310" t="s">
        <v>201</v>
      </c>
      <c r="HSK16" s="310" t="s">
        <v>201</v>
      </c>
      <c r="HSL16" s="310" t="s">
        <v>201</v>
      </c>
      <c r="HSM16" s="310" t="s">
        <v>201</v>
      </c>
      <c r="HSN16" s="310" t="s">
        <v>201</v>
      </c>
      <c r="HSO16" s="310" t="s">
        <v>201</v>
      </c>
      <c r="HSP16" s="310" t="s">
        <v>201</v>
      </c>
      <c r="HSQ16" s="310" t="s">
        <v>201</v>
      </c>
      <c r="HSR16" s="310" t="s">
        <v>201</v>
      </c>
      <c r="HSS16" s="310" t="s">
        <v>201</v>
      </c>
      <c r="HST16" s="310" t="s">
        <v>201</v>
      </c>
      <c r="HSU16" s="310" t="s">
        <v>201</v>
      </c>
      <c r="HSV16" s="310" t="s">
        <v>201</v>
      </c>
      <c r="HSW16" s="310" t="s">
        <v>201</v>
      </c>
      <c r="HSX16" s="310" t="s">
        <v>201</v>
      </c>
      <c r="HSY16" s="310" t="s">
        <v>201</v>
      </c>
      <c r="HSZ16" s="310" t="s">
        <v>201</v>
      </c>
      <c r="HTA16" s="310" t="s">
        <v>201</v>
      </c>
      <c r="HTB16" s="310" t="s">
        <v>201</v>
      </c>
      <c r="HTC16" s="310" t="s">
        <v>201</v>
      </c>
      <c r="HTD16" s="310" t="s">
        <v>201</v>
      </c>
      <c r="HTE16" s="310" t="s">
        <v>201</v>
      </c>
      <c r="HTF16" s="310" t="s">
        <v>201</v>
      </c>
      <c r="HTG16" s="310" t="s">
        <v>201</v>
      </c>
      <c r="HTH16" s="310" t="s">
        <v>201</v>
      </c>
      <c r="HTI16" s="310" t="s">
        <v>201</v>
      </c>
      <c r="HTJ16" s="310" t="s">
        <v>201</v>
      </c>
      <c r="HTK16" s="310" t="s">
        <v>201</v>
      </c>
      <c r="HTL16" s="310" t="s">
        <v>201</v>
      </c>
      <c r="HTM16" s="310" t="s">
        <v>201</v>
      </c>
      <c r="HTN16" s="310" t="s">
        <v>201</v>
      </c>
      <c r="HTO16" s="310" t="s">
        <v>201</v>
      </c>
      <c r="HTP16" s="310" t="s">
        <v>201</v>
      </c>
      <c r="HTQ16" s="310" t="s">
        <v>201</v>
      </c>
      <c r="HTR16" s="310" t="s">
        <v>201</v>
      </c>
      <c r="HTS16" s="310" t="s">
        <v>201</v>
      </c>
      <c r="HTT16" s="310" t="s">
        <v>201</v>
      </c>
      <c r="HTU16" s="310" t="s">
        <v>201</v>
      </c>
      <c r="HTV16" s="310" t="s">
        <v>201</v>
      </c>
      <c r="HTW16" s="310" t="s">
        <v>201</v>
      </c>
      <c r="HTX16" s="310" t="s">
        <v>201</v>
      </c>
      <c r="HTY16" s="310" t="s">
        <v>201</v>
      </c>
      <c r="HTZ16" s="310" t="s">
        <v>201</v>
      </c>
      <c r="HUA16" s="310" t="s">
        <v>201</v>
      </c>
      <c r="HUB16" s="310" t="s">
        <v>201</v>
      </c>
      <c r="HUC16" s="310" t="s">
        <v>201</v>
      </c>
      <c r="HUD16" s="310" t="s">
        <v>201</v>
      </c>
      <c r="HUE16" s="310" t="s">
        <v>201</v>
      </c>
      <c r="HUF16" s="310" t="s">
        <v>201</v>
      </c>
      <c r="HUG16" s="310" t="s">
        <v>201</v>
      </c>
      <c r="HUH16" s="310" t="s">
        <v>201</v>
      </c>
      <c r="HUI16" s="310" t="s">
        <v>201</v>
      </c>
      <c r="HUJ16" s="310" t="s">
        <v>201</v>
      </c>
      <c r="HUK16" s="310" t="s">
        <v>201</v>
      </c>
      <c r="HUL16" s="310" t="s">
        <v>201</v>
      </c>
      <c r="HUM16" s="310" t="s">
        <v>201</v>
      </c>
      <c r="HUN16" s="310" t="s">
        <v>201</v>
      </c>
      <c r="HUO16" s="310" t="s">
        <v>201</v>
      </c>
      <c r="HUP16" s="310" t="s">
        <v>201</v>
      </c>
      <c r="HUQ16" s="310" t="s">
        <v>201</v>
      </c>
      <c r="HUR16" s="310" t="s">
        <v>201</v>
      </c>
      <c r="HUS16" s="310" t="s">
        <v>201</v>
      </c>
      <c r="HUT16" s="310" t="s">
        <v>201</v>
      </c>
      <c r="HUU16" s="310" t="s">
        <v>201</v>
      </c>
      <c r="HUV16" s="310" t="s">
        <v>201</v>
      </c>
      <c r="HUW16" s="310" t="s">
        <v>201</v>
      </c>
      <c r="HUX16" s="310" t="s">
        <v>201</v>
      </c>
      <c r="HUY16" s="310" t="s">
        <v>201</v>
      </c>
      <c r="HUZ16" s="310" t="s">
        <v>201</v>
      </c>
      <c r="HVA16" s="310" t="s">
        <v>201</v>
      </c>
      <c r="HVB16" s="310" t="s">
        <v>201</v>
      </c>
      <c r="HVC16" s="310" t="s">
        <v>201</v>
      </c>
      <c r="HVD16" s="310" t="s">
        <v>201</v>
      </c>
      <c r="HVE16" s="310" t="s">
        <v>201</v>
      </c>
      <c r="HVF16" s="310" t="s">
        <v>201</v>
      </c>
      <c r="HVG16" s="310" t="s">
        <v>201</v>
      </c>
      <c r="HVH16" s="310" t="s">
        <v>201</v>
      </c>
      <c r="HVI16" s="310" t="s">
        <v>201</v>
      </c>
      <c r="HVJ16" s="310" t="s">
        <v>201</v>
      </c>
      <c r="HVK16" s="310" t="s">
        <v>201</v>
      </c>
      <c r="HVL16" s="310" t="s">
        <v>201</v>
      </c>
      <c r="HVM16" s="310" t="s">
        <v>201</v>
      </c>
      <c r="HVN16" s="310" t="s">
        <v>201</v>
      </c>
      <c r="HVO16" s="310" t="s">
        <v>201</v>
      </c>
      <c r="HVP16" s="310" t="s">
        <v>201</v>
      </c>
      <c r="HVQ16" s="310" t="s">
        <v>201</v>
      </c>
      <c r="HVR16" s="310" t="s">
        <v>201</v>
      </c>
      <c r="HVS16" s="310" t="s">
        <v>201</v>
      </c>
      <c r="HVT16" s="310" t="s">
        <v>201</v>
      </c>
      <c r="HVU16" s="310" t="s">
        <v>201</v>
      </c>
      <c r="HVV16" s="310" t="s">
        <v>201</v>
      </c>
      <c r="HVW16" s="310" t="s">
        <v>201</v>
      </c>
      <c r="HVX16" s="310" t="s">
        <v>201</v>
      </c>
      <c r="HVY16" s="310" t="s">
        <v>201</v>
      </c>
      <c r="HVZ16" s="310" t="s">
        <v>201</v>
      </c>
      <c r="HWA16" s="310" t="s">
        <v>201</v>
      </c>
      <c r="HWB16" s="310" t="s">
        <v>201</v>
      </c>
      <c r="HWC16" s="310" t="s">
        <v>201</v>
      </c>
      <c r="HWD16" s="310" t="s">
        <v>201</v>
      </c>
      <c r="HWE16" s="310" t="s">
        <v>201</v>
      </c>
      <c r="HWF16" s="310" t="s">
        <v>201</v>
      </c>
      <c r="HWG16" s="310" t="s">
        <v>201</v>
      </c>
      <c r="HWH16" s="310" t="s">
        <v>201</v>
      </c>
      <c r="HWI16" s="310" t="s">
        <v>201</v>
      </c>
      <c r="HWJ16" s="310" t="s">
        <v>201</v>
      </c>
      <c r="HWK16" s="310" t="s">
        <v>201</v>
      </c>
      <c r="HWL16" s="310" t="s">
        <v>201</v>
      </c>
      <c r="HWM16" s="310" t="s">
        <v>201</v>
      </c>
      <c r="HWN16" s="310" t="s">
        <v>201</v>
      </c>
      <c r="HWO16" s="310" t="s">
        <v>201</v>
      </c>
      <c r="HWP16" s="310" t="s">
        <v>201</v>
      </c>
      <c r="HWQ16" s="310" t="s">
        <v>201</v>
      </c>
      <c r="HWR16" s="310" t="s">
        <v>201</v>
      </c>
      <c r="HWS16" s="310" t="s">
        <v>201</v>
      </c>
      <c r="HWT16" s="310" t="s">
        <v>201</v>
      </c>
      <c r="HWU16" s="310" t="s">
        <v>201</v>
      </c>
      <c r="HWV16" s="310" t="s">
        <v>201</v>
      </c>
      <c r="HWW16" s="310" t="s">
        <v>201</v>
      </c>
      <c r="HWX16" s="310" t="s">
        <v>201</v>
      </c>
      <c r="HWY16" s="310" t="s">
        <v>201</v>
      </c>
      <c r="HWZ16" s="310" t="s">
        <v>201</v>
      </c>
      <c r="HXA16" s="310" t="s">
        <v>201</v>
      </c>
      <c r="HXB16" s="310" t="s">
        <v>201</v>
      </c>
      <c r="HXC16" s="310" t="s">
        <v>201</v>
      </c>
      <c r="HXD16" s="310" t="s">
        <v>201</v>
      </c>
      <c r="HXE16" s="310" t="s">
        <v>201</v>
      </c>
      <c r="HXF16" s="310" t="s">
        <v>201</v>
      </c>
      <c r="HXG16" s="310" t="s">
        <v>201</v>
      </c>
      <c r="HXH16" s="310" t="s">
        <v>201</v>
      </c>
      <c r="HXI16" s="310" t="s">
        <v>201</v>
      </c>
      <c r="HXJ16" s="310" t="s">
        <v>201</v>
      </c>
      <c r="HXK16" s="310" t="s">
        <v>201</v>
      </c>
      <c r="HXL16" s="310" t="s">
        <v>201</v>
      </c>
      <c r="HXM16" s="310" t="s">
        <v>201</v>
      </c>
      <c r="HXN16" s="310" t="s">
        <v>201</v>
      </c>
      <c r="HXO16" s="310" t="s">
        <v>201</v>
      </c>
      <c r="HXP16" s="310" t="s">
        <v>201</v>
      </c>
      <c r="HXQ16" s="310" t="s">
        <v>201</v>
      </c>
      <c r="HXR16" s="310" t="s">
        <v>201</v>
      </c>
      <c r="HXS16" s="310" t="s">
        <v>201</v>
      </c>
      <c r="HXT16" s="310" t="s">
        <v>201</v>
      </c>
      <c r="HXU16" s="310" t="s">
        <v>201</v>
      </c>
      <c r="HXV16" s="310" t="s">
        <v>201</v>
      </c>
      <c r="HXW16" s="310" t="s">
        <v>201</v>
      </c>
      <c r="HXX16" s="310" t="s">
        <v>201</v>
      </c>
      <c r="HXY16" s="310" t="s">
        <v>201</v>
      </c>
      <c r="HXZ16" s="310" t="s">
        <v>201</v>
      </c>
      <c r="HYA16" s="310" t="s">
        <v>201</v>
      </c>
      <c r="HYB16" s="310" t="s">
        <v>201</v>
      </c>
      <c r="HYC16" s="310" t="s">
        <v>201</v>
      </c>
      <c r="HYD16" s="310" t="s">
        <v>201</v>
      </c>
      <c r="HYE16" s="310" t="s">
        <v>201</v>
      </c>
      <c r="HYF16" s="310" t="s">
        <v>201</v>
      </c>
      <c r="HYG16" s="310" t="s">
        <v>201</v>
      </c>
      <c r="HYH16" s="310" t="s">
        <v>201</v>
      </c>
      <c r="HYI16" s="310" t="s">
        <v>201</v>
      </c>
      <c r="HYJ16" s="310" t="s">
        <v>201</v>
      </c>
      <c r="HYK16" s="310" t="s">
        <v>201</v>
      </c>
      <c r="HYL16" s="310" t="s">
        <v>201</v>
      </c>
      <c r="HYM16" s="310" t="s">
        <v>201</v>
      </c>
      <c r="HYN16" s="310" t="s">
        <v>201</v>
      </c>
      <c r="HYO16" s="310" t="s">
        <v>201</v>
      </c>
      <c r="HYP16" s="310" t="s">
        <v>201</v>
      </c>
      <c r="HYQ16" s="310" t="s">
        <v>201</v>
      </c>
      <c r="HYR16" s="310" t="s">
        <v>201</v>
      </c>
      <c r="HYS16" s="310" t="s">
        <v>201</v>
      </c>
      <c r="HYT16" s="310" t="s">
        <v>201</v>
      </c>
      <c r="HYU16" s="310" t="s">
        <v>201</v>
      </c>
      <c r="HYV16" s="310" t="s">
        <v>201</v>
      </c>
      <c r="HYW16" s="310" t="s">
        <v>201</v>
      </c>
      <c r="HYX16" s="310" t="s">
        <v>201</v>
      </c>
      <c r="HYY16" s="310" t="s">
        <v>201</v>
      </c>
      <c r="HYZ16" s="310" t="s">
        <v>201</v>
      </c>
      <c r="HZA16" s="310" t="s">
        <v>201</v>
      </c>
      <c r="HZB16" s="310" t="s">
        <v>201</v>
      </c>
      <c r="HZC16" s="310" t="s">
        <v>201</v>
      </c>
      <c r="HZD16" s="310" t="s">
        <v>201</v>
      </c>
      <c r="HZE16" s="310" t="s">
        <v>201</v>
      </c>
      <c r="HZF16" s="310" t="s">
        <v>201</v>
      </c>
      <c r="HZG16" s="310" t="s">
        <v>201</v>
      </c>
      <c r="HZH16" s="310" t="s">
        <v>201</v>
      </c>
      <c r="HZI16" s="310" t="s">
        <v>201</v>
      </c>
      <c r="HZJ16" s="310" t="s">
        <v>201</v>
      </c>
      <c r="HZK16" s="310" t="s">
        <v>201</v>
      </c>
      <c r="HZL16" s="310" t="s">
        <v>201</v>
      </c>
      <c r="HZM16" s="310" t="s">
        <v>201</v>
      </c>
      <c r="HZN16" s="310" t="s">
        <v>201</v>
      </c>
      <c r="HZO16" s="310" t="s">
        <v>201</v>
      </c>
      <c r="HZP16" s="310" t="s">
        <v>201</v>
      </c>
      <c r="HZQ16" s="310" t="s">
        <v>201</v>
      </c>
      <c r="HZR16" s="310" t="s">
        <v>201</v>
      </c>
      <c r="HZS16" s="310" t="s">
        <v>201</v>
      </c>
      <c r="HZT16" s="310" t="s">
        <v>201</v>
      </c>
      <c r="HZU16" s="310" t="s">
        <v>201</v>
      </c>
      <c r="HZV16" s="310" t="s">
        <v>201</v>
      </c>
      <c r="HZW16" s="310" t="s">
        <v>201</v>
      </c>
      <c r="HZX16" s="310" t="s">
        <v>201</v>
      </c>
      <c r="HZY16" s="310" t="s">
        <v>201</v>
      </c>
      <c r="HZZ16" s="310" t="s">
        <v>201</v>
      </c>
      <c r="IAA16" s="310" t="s">
        <v>201</v>
      </c>
      <c r="IAB16" s="310" t="s">
        <v>201</v>
      </c>
      <c r="IAC16" s="310" t="s">
        <v>201</v>
      </c>
      <c r="IAD16" s="310" t="s">
        <v>201</v>
      </c>
      <c r="IAE16" s="310" t="s">
        <v>201</v>
      </c>
      <c r="IAF16" s="310" t="s">
        <v>201</v>
      </c>
      <c r="IAG16" s="310" t="s">
        <v>201</v>
      </c>
      <c r="IAH16" s="310" t="s">
        <v>201</v>
      </c>
      <c r="IAI16" s="310" t="s">
        <v>201</v>
      </c>
      <c r="IAJ16" s="310" t="s">
        <v>201</v>
      </c>
      <c r="IAK16" s="310" t="s">
        <v>201</v>
      </c>
      <c r="IAL16" s="310" t="s">
        <v>201</v>
      </c>
      <c r="IAM16" s="310" t="s">
        <v>201</v>
      </c>
      <c r="IAN16" s="310" t="s">
        <v>201</v>
      </c>
      <c r="IAO16" s="310" t="s">
        <v>201</v>
      </c>
      <c r="IAP16" s="310" t="s">
        <v>201</v>
      </c>
      <c r="IAQ16" s="310" t="s">
        <v>201</v>
      </c>
      <c r="IAR16" s="310" t="s">
        <v>201</v>
      </c>
      <c r="IAS16" s="310" t="s">
        <v>201</v>
      </c>
      <c r="IAT16" s="310" t="s">
        <v>201</v>
      </c>
      <c r="IAU16" s="310" t="s">
        <v>201</v>
      </c>
      <c r="IAV16" s="310" t="s">
        <v>201</v>
      </c>
      <c r="IAW16" s="310" t="s">
        <v>201</v>
      </c>
      <c r="IAX16" s="310" t="s">
        <v>201</v>
      </c>
      <c r="IAY16" s="310" t="s">
        <v>201</v>
      </c>
      <c r="IAZ16" s="310" t="s">
        <v>201</v>
      </c>
      <c r="IBA16" s="310" t="s">
        <v>201</v>
      </c>
      <c r="IBB16" s="310" t="s">
        <v>201</v>
      </c>
      <c r="IBC16" s="310" t="s">
        <v>201</v>
      </c>
      <c r="IBD16" s="310" t="s">
        <v>201</v>
      </c>
      <c r="IBE16" s="310" t="s">
        <v>201</v>
      </c>
      <c r="IBF16" s="310" t="s">
        <v>201</v>
      </c>
      <c r="IBG16" s="310" t="s">
        <v>201</v>
      </c>
      <c r="IBH16" s="310" t="s">
        <v>201</v>
      </c>
      <c r="IBI16" s="310" t="s">
        <v>201</v>
      </c>
      <c r="IBJ16" s="310" t="s">
        <v>201</v>
      </c>
      <c r="IBK16" s="310" t="s">
        <v>201</v>
      </c>
      <c r="IBL16" s="310" t="s">
        <v>201</v>
      </c>
      <c r="IBM16" s="310" t="s">
        <v>201</v>
      </c>
      <c r="IBN16" s="310" t="s">
        <v>201</v>
      </c>
      <c r="IBO16" s="310" t="s">
        <v>201</v>
      </c>
      <c r="IBP16" s="310" t="s">
        <v>201</v>
      </c>
      <c r="IBQ16" s="310" t="s">
        <v>201</v>
      </c>
      <c r="IBR16" s="310" t="s">
        <v>201</v>
      </c>
      <c r="IBS16" s="310" t="s">
        <v>201</v>
      </c>
      <c r="IBT16" s="310" t="s">
        <v>201</v>
      </c>
      <c r="IBU16" s="310" t="s">
        <v>201</v>
      </c>
      <c r="IBV16" s="310" t="s">
        <v>201</v>
      </c>
      <c r="IBW16" s="310" t="s">
        <v>201</v>
      </c>
      <c r="IBX16" s="310" t="s">
        <v>201</v>
      </c>
      <c r="IBY16" s="310" t="s">
        <v>201</v>
      </c>
      <c r="IBZ16" s="310" t="s">
        <v>201</v>
      </c>
      <c r="ICA16" s="310" t="s">
        <v>201</v>
      </c>
      <c r="ICB16" s="310" t="s">
        <v>201</v>
      </c>
      <c r="ICC16" s="310" t="s">
        <v>201</v>
      </c>
      <c r="ICD16" s="310" t="s">
        <v>201</v>
      </c>
      <c r="ICE16" s="310" t="s">
        <v>201</v>
      </c>
      <c r="ICF16" s="310" t="s">
        <v>201</v>
      </c>
      <c r="ICG16" s="310" t="s">
        <v>201</v>
      </c>
      <c r="ICH16" s="310" t="s">
        <v>201</v>
      </c>
      <c r="ICI16" s="310" t="s">
        <v>201</v>
      </c>
      <c r="ICJ16" s="310" t="s">
        <v>201</v>
      </c>
      <c r="ICK16" s="310" t="s">
        <v>201</v>
      </c>
      <c r="ICL16" s="310" t="s">
        <v>201</v>
      </c>
      <c r="ICM16" s="310" t="s">
        <v>201</v>
      </c>
      <c r="ICN16" s="310" t="s">
        <v>201</v>
      </c>
      <c r="ICO16" s="310" t="s">
        <v>201</v>
      </c>
      <c r="ICP16" s="310" t="s">
        <v>201</v>
      </c>
      <c r="ICQ16" s="310" t="s">
        <v>201</v>
      </c>
      <c r="ICR16" s="310" t="s">
        <v>201</v>
      </c>
      <c r="ICS16" s="310" t="s">
        <v>201</v>
      </c>
      <c r="ICT16" s="310" t="s">
        <v>201</v>
      </c>
      <c r="ICU16" s="310" t="s">
        <v>201</v>
      </c>
      <c r="ICV16" s="310" t="s">
        <v>201</v>
      </c>
      <c r="ICW16" s="310" t="s">
        <v>201</v>
      </c>
      <c r="ICX16" s="310" t="s">
        <v>201</v>
      </c>
      <c r="ICY16" s="310" t="s">
        <v>201</v>
      </c>
      <c r="ICZ16" s="310" t="s">
        <v>201</v>
      </c>
      <c r="IDA16" s="310" t="s">
        <v>201</v>
      </c>
      <c r="IDB16" s="310" t="s">
        <v>201</v>
      </c>
      <c r="IDC16" s="310" t="s">
        <v>201</v>
      </c>
      <c r="IDD16" s="310" t="s">
        <v>201</v>
      </c>
      <c r="IDE16" s="310" t="s">
        <v>201</v>
      </c>
      <c r="IDF16" s="310" t="s">
        <v>201</v>
      </c>
      <c r="IDG16" s="310" t="s">
        <v>201</v>
      </c>
      <c r="IDH16" s="310" t="s">
        <v>201</v>
      </c>
      <c r="IDI16" s="310" t="s">
        <v>201</v>
      </c>
      <c r="IDJ16" s="310" t="s">
        <v>201</v>
      </c>
      <c r="IDK16" s="310" t="s">
        <v>201</v>
      </c>
      <c r="IDL16" s="310" t="s">
        <v>201</v>
      </c>
      <c r="IDM16" s="310" t="s">
        <v>201</v>
      </c>
      <c r="IDN16" s="310" t="s">
        <v>201</v>
      </c>
      <c r="IDO16" s="310" t="s">
        <v>201</v>
      </c>
      <c r="IDP16" s="310" t="s">
        <v>201</v>
      </c>
      <c r="IDQ16" s="310" t="s">
        <v>201</v>
      </c>
      <c r="IDR16" s="310" t="s">
        <v>201</v>
      </c>
      <c r="IDS16" s="310" t="s">
        <v>201</v>
      </c>
      <c r="IDT16" s="310" t="s">
        <v>201</v>
      </c>
      <c r="IDU16" s="310" t="s">
        <v>201</v>
      </c>
      <c r="IDV16" s="310" t="s">
        <v>201</v>
      </c>
      <c r="IDW16" s="310" t="s">
        <v>201</v>
      </c>
      <c r="IDX16" s="310" t="s">
        <v>201</v>
      </c>
      <c r="IDY16" s="310" t="s">
        <v>201</v>
      </c>
      <c r="IDZ16" s="310" t="s">
        <v>201</v>
      </c>
      <c r="IEA16" s="310" t="s">
        <v>201</v>
      </c>
      <c r="IEB16" s="310" t="s">
        <v>201</v>
      </c>
      <c r="IEC16" s="310" t="s">
        <v>201</v>
      </c>
      <c r="IED16" s="310" t="s">
        <v>201</v>
      </c>
      <c r="IEE16" s="310" t="s">
        <v>201</v>
      </c>
      <c r="IEF16" s="310" t="s">
        <v>201</v>
      </c>
      <c r="IEG16" s="310" t="s">
        <v>201</v>
      </c>
      <c r="IEH16" s="310" t="s">
        <v>201</v>
      </c>
      <c r="IEI16" s="310" t="s">
        <v>201</v>
      </c>
      <c r="IEJ16" s="310" t="s">
        <v>201</v>
      </c>
      <c r="IEK16" s="310" t="s">
        <v>201</v>
      </c>
      <c r="IEL16" s="310" t="s">
        <v>201</v>
      </c>
      <c r="IEM16" s="310" t="s">
        <v>201</v>
      </c>
      <c r="IEN16" s="310" t="s">
        <v>201</v>
      </c>
      <c r="IEO16" s="310" t="s">
        <v>201</v>
      </c>
      <c r="IEP16" s="310" t="s">
        <v>201</v>
      </c>
      <c r="IEQ16" s="310" t="s">
        <v>201</v>
      </c>
      <c r="IER16" s="310" t="s">
        <v>201</v>
      </c>
      <c r="IES16" s="310" t="s">
        <v>201</v>
      </c>
      <c r="IET16" s="310" t="s">
        <v>201</v>
      </c>
      <c r="IEU16" s="310" t="s">
        <v>201</v>
      </c>
      <c r="IEV16" s="310" t="s">
        <v>201</v>
      </c>
      <c r="IEW16" s="310" t="s">
        <v>201</v>
      </c>
      <c r="IEX16" s="310" t="s">
        <v>201</v>
      </c>
      <c r="IEY16" s="310" t="s">
        <v>201</v>
      </c>
      <c r="IEZ16" s="310" t="s">
        <v>201</v>
      </c>
      <c r="IFA16" s="310" t="s">
        <v>201</v>
      </c>
      <c r="IFB16" s="310" t="s">
        <v>201</v>
      </c>
      <c r="IFC16" s="310" t="s">
        <v>201</v>
      </c>
      <c r="IFD16" s="310" t="s">
        <v>201</v>
      </c>
      <c r="IFE16" s="310" t="s">
        <v>201</v>
      </c>
      <c r="IFF16" s="310" t="s">
        <v>201</v>
      </c>
      <c r="IFG16" s="310" t="s">
        <v>201</v>
      </c>
      <c r="IFH16" s="310" t="s">
        <v>201</v>
      </c>
      <c r="IFI16" s="310" t="s">
        <v>201</v>
      </c>
      <c r="IFJ16" s="310" t="s">
        <v>201</v>
      </c>
      <c r="IFK16" s="310" t="s">
        <v>201</v>
      </c>
      <c r="IFL16" s="310" t="s">
        <v>201</v>
      </c>
      <c r="IFM16" s="310" t="s">
        <v>201</v>
      </c>
      <c r="IFN16" s="310" t="s">
        <v>201</v>
      </c>
      <c r="IFO16" s="310" t="s">
        <v>201</v>
      </c>
      <c r="IFP16" s="310" t="s">
        <v>201</v>
      </c>
      <c r="IFQ16" s="310" t="s">
        <v>201</v>
      </c>
      <c r="IFR16" s="310" t="s">
        <v>201</v>
      </c>
      <c r="IFS16" s="310" t="s">
        <v>201</v>
      </c>
      <c r="IFT16" s="310" t="s">
        <v>201</v>
      </c>
      <c r="IFU16" s="310" t="s">
        <v>201</v>
      </c>
      <c r="IFV16" s="310" t="s">
        <v>201</v>
      </c>
      <c r="IFW16" s="310" t="s">
        <v>201</v>
      </c>
      <c r="IFX16" s="310" t="s">
        <v>201</v>
      </c>
      <c r="IFY16" s="310" t="s">
        <v>201</v>
      </c>
      <c r="IFZ16" s="310" t="s">
        <v>201</v>
      </c>
      <c r="IGA16" s="310" t="s">
        <v>201</v>
      </c>
      <c r="IGB16" s="310" t="s">
        <v>201</v>
      </c>
      <c r="IGC16" s="310" t="s">
        <v>201</v>
      </c>
      <c r="IGD16" s="310" t="s">
        <v>201</v>
      </c>
      <c r="IGE16" s="310" t="s">
        <v>201</v>
      </c>
      <c r="IGF16" s="310" t="s">
        <v>201</v>
      </c>
      <c r="IGG16" s="310" t="s">
        <v>201</v>
      </c>
      <c r="IGH16" s="310" t="s">
        <v>201</v>
      </c>
      <c r="IGI16" s="310" t="s">
        <v>201</v>
      </c>
      <c r="IGJ16" s="310" t="s">
        <v>201</v>
      </c>
      <c r="IGK16" s="310" t="s">
        <v>201</v>
      </c>
      <c r="IGL16" s="310" t="s">
        <v>201</v>
      </c>
      <c r="IGM16" s="310" t="s">
        <v>201</v>
      </c>
      <c r="IGN16" s="310" t="s">
        <v>201</v>
      </c>
      <c r="IGO16" s="310" t="s">
        <v>201</v>
      </c>
      <c r="IGP16" s="310" t="s">
        <v>201</v>
      </c>
      <c r="IGQ16" s="310" t="s">
        <v>201</v>
      </c>
      <c r="IGR16" s="310" t="s">
        <v>201</v>
      </c>
      <c r="IGS16" s="310" t="s">
        <v>201</v>
      </c>
      <c r="IGT16" s="310" t="s">
        <v>201</v>
      </c>
      <c r="IGU16" s="310" t="s">
        <v>201</v>
      </c>
      <c r="IGV16" s="310" t="s">
        <v>201</v>
      </c>
      <c r="IGW16" s="310" t="s">
        <v>201</v>
      </c>
      <c r="IGX16" s="310" t="s">
        <v>201</v>
      </c>
      <c r="IGY16" s="310" t="s">
        <v>201</v>
      </c>
      <c r="IGZ16" s="310" t="s">
        <v>201</v>
      </c>
      <c r="IHA16" s="310" t="s">
        <v>201</v>
      </c>
      <c r="IHB16" s="310" t="s">
        <v>201</v>
      </c>
      <c r="IHC16" s="310" t="s">
        <v>201</v>
      </c>
      <c r="IHD16" s="310" t="s">
        <v>201</v>
      </c>
      <c r="IHE16" s="310" t="s">
        <v>201</v>
      </c>
      <c r="IHF16" s="310" t="s">
        <v>201</v>
      </c>
      <c r="IHG16" s="310" t="s">
        <v>201</v>
      </c>
      <c r="IHH16" s="310" t="s">
        <v>201</v>
      </c>
      <c r="IHI16" s="310" t="s">
        <v>201</v>
      </c>
      <c r="IHJ16" s="310" t="s">
        <v>201</v>
      </c>
      <c r="IHK16" s="310" t="s">
        <v>201</v>
      </c>
      <c r="IHL16" s="310" t="s">
        <v>201</v>
      </c>
      <c r="IHM16" s="310" t="s">
        <v>201</v>
      </c>
      <c r="IHN16" s="310" t="s">
        <v>201</v>
      </c>
      <c r="IHO16" s="310" t="s">
        <v>201</v>
      </c>
      <c r="IHP16" s="310" t="s">
        <v>201</v>
      </c>
      <c r="IHQ16" s="310" t="s">
        <v>201</v>
      </c>
      <c r="IHR16" s="310" t="s">
        <v>201</v>
      </c>
      <c r="IHS16" s="310" t="s">
        <v>201</v>
      </c>
      <c r="IHT16" s="310" t="s">
        <v>201</v>
      </c>
      <c r="IHU16" s="310" t="s">
        <v>201</v>
      </c>
      <c r="IHV16" s="310" t="s">
        <v>201</v>
      </c>
      <c r="IHW16" s="310" t="s">
        <v>201</v>
      </c>
      <c r="IHX16" s="310" t="s">
        <v>201</v>
      </c>
      <c r="IHY16" s="310" t="s">
        <v>201</v>
      </c>
      <c r="IHZ16" s="310" t="s">
        <v>201</v>
      </c>
      <c r="IIA16" s="310" t="s">
        <v>201</v>
      </c>
      <c r="IIB16" s="310" t="s">
        <v>201</v>
      </c>
      <c r="IIC16" s="310" t="s">
        <v>201</v>
      </c>
      <c r="IID16" s="310" t="s">
        <v>201</v>
      </c>
      <c r="IIE16" s="310" t="s">
        <v>201</v>
      </c>
      <c r="IIF16" s="310" t="s">
        <v>201</v>
      </c>
      <c r="IIG16" s="310" t="s">
        <v>201</v>
      </c>
      <c r="IIH16" s="310" t="s">
        <v>201</v>
      </c>
      <c r="III16" s="310" t="s">
        <v>201</v>
      </c>
      <c r="IIJ16" s="310" t="s">
        <v>201</v>
      </c>
      <c r="IIK16" s="310" t="s">
        <v>201</v>
      </c>
      <c r="IIL16" s="310" t="s">
        <v>201</v>
      </c>
      <c r="IIM16" s="310" t="s">
        <v>201</v>
      </c>
      <c r="IIN16" s="310" t="s">
        <v>201</v>
      </c>
      <c r="IIO16" s="310" t="s">
        <v>201</v>
      </c>
      <c r="IIP16" s="310" t="s">
        <v>201</v>
      </c>
      <c r="IIQ16" s="310" t="s">
        <v>201</v>
      </c>
      <c r="IIR16" s="310" t="s">
        <v>201</v>
      </c>
      <c r="IIS16" s="310" t="s">
        <v>201</v>
      </c>
      <c r="IIT16" s="310" t="s">
        <v>201</v>
      </c>
      <c r="IIU16" s="310" t="s">
        <v>201</v>
      </c>
      <c r="IIV16" s="310" t="s">
        <v>201</v>
      </c>
      <c r="IIW16" s="310" t="s">
        <v>201</v>
      </c>
      <c r="IIX16" s="310" t="s">
        <v>201</v>
      </c>
      <c r="IIY16" s="310" t="s">
        <v>201</v>
      </c>
      <c r="IIZ16" s="310" t="s">
        <v>201</v>
      </c>
      <c r="IJA16" s="310" t="s">
        <v>201</v>
      </c>
      <c r="IJB16" s="310" t="s">
        <v>201</v>
      </c>
      <c r="IJC16" s="310" t="s">
        <v>201</v>
      </c>
      <c r="IJD16" s="310" t="s">
        <v>201</v>
      </c>
      <c r="IJE16" s="310" t="s">
        <v>201</v>
      </c>
      <c r="IJF16" s="310" t="s">
        <v>201</v>
      </c>
      <c r="IJG16" s="310" t="s">
        <v>201</v>
      </c>
      <c r="IJH16" s="310" t="s">
        <v>201</v>
      </c>
      <c r="IJI16" s="310" t="s">
        <v>201</v>
      </c>
      <c r="IJJ16" s="310" t="s">
        <v>201</v>
      </c>
      <c r="IJK16" s="310" t="s">
        <v>201</v>
      </c>
      <c r="IJL16" s="310" t="s">
        <v>201</v>
      </c>
      <c r="IJM16" s="310" t="s">
        <v>201</v>
      </c>
      <c r="IJN16" s="310" t="s">
        <v>201</v>
      </c>
      <c r="IJO16" s="310" t="s">
        <v>201</v>
      </c>
      <c r="IJP16" s="310" t="s">
        <v>201</v>
      </c>
      <c r="IJQ16" s="310" t="s">
        <v>201</v>
      </c>
      <c r="IJR16" s="310" t="s">
        <v>201</v>
      </c>
      <c r="IJS16" s="310" t="s">
        <v>201</v>
      </c>
      <c r="IJT16" s="310" t="s">
        <v>201</v>
      </c>
      <c r="IJU16" s="310" t="s">
        <v>201</v>
      </c>
      <c r="IJV16" s="310" t="s">
        <v>201</v>
      </c>
      <c r="IJW16" s="310" t="s">
        <v>201</v>
      </c>
      <c r="IJX16" s="310" t="s">
        <v>201</v>
      </c>
      <c r="IJY16" s="310" t="s">
        <v>201</v>
      </c>
      <c r="IJZ16" s="310" t="s">
        <v>201</v>
      </c>
      <c r="IKA16" s="310" t="s">
        <v>201</v>
      </c>
      <c r="IKB16" s="310" t="s">
        <v>201</v>
      </c>
      <c r="IKC16" s="310" t="s">
        <v>201</v>
      </c>
      <c r="IKD16" s="310" t="s">
        <v>201</v>
      </c>
      <c r="IKE16" s="310" t="s">
        <v>201</v>
      </c>
      <c r="IKF16" s="310" t="s">
        <v>201</v>
      </c>
      <c r="IKG16" s="310" t="s">
        <v>201</v>
      </c>
      <c r="IKH16" s="310" t="s">
        <v>201</v>
      </c>
      <c r="IKI16" s="310" t="s">
        <v>201</v>
      </c>
      <c r="IKJ16" s="310" t="s">
        <v>201</v>
      </c>
      <c r="IKK16" s="310" t="s">
        <v>201</v>
      </c>
      <c r="IKL16" s="310" t="s">
        <v>201</v>
      </c>
      <c r="IKM16" s="310" t="s">
        <v>201</v>
      </c>
      <c r="IKN16" s="310" t="s">
        <v>201</v>
      </c>
      <c r="IKO16" s="310" t="s">
        <v>201</v>
      </c>
      <c r="IKP16" s="310" t="s">
        <v>201</v>
      </c>
      <c r="IKQ16" s="310" t="s">
        <v>201</v>
      </c>
      <c r="IKR16" s="310" t="s">
        <v>201</v>
      </c>
      <c r="IKS16" s="310" t="s">
        <v>201</v>
      </c>
      <c r="IKT16" s="310" t="s">
        <v>201</v>
      </c>
      <c r="IKU16" s="310" t="s">
        <v>201</v>
      </c>
      <c r="IKV16" s="310" t="s">
        <v>201</v>
      </c>
      <c r="IKW16" s="310" t="s">
        <v>201</v>
      </c>
      <c r="IKX16" s="310" t="s">
        <v>201</v>
      </c>
      <c r="IKY16" s="310" t="s">
        <v>201</v>
      </c>
      <c r="IKZ16" s="310" t="s">
        <v>201</v>
      </c>
      <c r="ILA16" s="310" t="s">
        <v>201</v>
      </c>
      <c r="ILB16" s="310" t="s">
        <v>201</v>
      </c>
      <c r="ILC16" s="310" t="s">
        <v>201</v>
      </c>
      <c r="ILD16" s="310" t="s">
        <v>201</v>
      </c>
      <c r="ILE16" s="310" t="s">
        <v>201</v>
      </c>
      <c r="ILF16" s="310" t="s">
        <v>201</v>
      </c>
      <c r="ILG16" s="310" t="s">
        <v>201</v>
      </c>
      <c r="ILH16" s="310" t="s">
        <v>201</v>
      </c>
      <c r="ILI16" s="310" t="s">
        <v>201</v>
      </c>
      <c r="ILJ16" s="310" t="s">
        <v>201</v>
      </c>
      <c r="ILK16" s="310" t="s">
        <v>201</v>
      </c>
      <c r="ILL16" s="310" t="s">
        <v>201</v>
      </c>
      <c r="ILM16" s="310" t="s">
        <v>201</v>
      </c>
      <c r="ILN16" s="310" t="s">
        <v>201</v>
      </c>
      <c r="ILO16" s="310" t="s">
        <v>201</v>
      </c>
      <c r="ILP16" s="310" t="s">
        <v>201</v>
      </c>
      <c r="ILQ16" s="310" t="s">
        <v>201</v>
      </c>
      <c r="ILR16" s="310" t="s">
        <v>201</v>
      </c>
      <c r="ILS16" s="310" t="s">
        <v>201</v>
      </c>
      <c r="ILT16" s="310" t="s">
        <v>201</v>
      </c>
      <c r="ILU16" s="310" t="s">
        <v>201</v>
      </c>
      <c r="ILV16" s="310" t="s">
        <v>201</v>
      </c>
      <c r="ILW16" s="310" t="s">
        <v>201</v>
      </c>
      <c r="ILX16" s="310" t="s">
        <v>201</v>
      </c>
      <c r="ILY16" s="310" t="s">
        <v>201</v>
      </c>
      <c r="ILZ16" s="310" t="s">
        <v>201</v>
      </c>
      <c r="IMA16" s="310" t="s">
        <v>201</v>
      </c>
      <c r="IMB16" s="310" t="s">
        <v>201</v>
      </c>
      <c r="IMC16" s="310" t="s">
        <v>201</v>
      </c>
      <c r="IMD16" s="310" t="s">
        <v>201</v>
      </c>
      <c r="IME16" s="310" t="s">
        <v>201</v>
      </c>
      <c r="IMF16" s="310" t="s">
        <v>201</v>
      </c>
      <c r="IMG16" s="310" t="s">
        <v>201</v>
      </c>
      <c r="IMH16" s="310" t="s">
        <v>201</v>
      </c>
      <c r="IMI16" s="310" t="s">
        <v>201</v>
      </c>
      <c r="IMJ16" s="310" t="s">
        <v>201</v>
      </c>
      <c r="IMK16" s="310" t="s">
        <v>201</v>
      </c>
      <c r="IML16" s="310" t="s">
        <v>201</v>
      </c>
      <c r="IMM16" s="310" t="s">
        <v>201</v>
      </c>
      <c r="IMN16" s="310" t="s">
        <v>201</v>
      </c>
      <c r="IMO16" s="310" t="s">
        <v>201</v>
      </c>
      <c r="IMP16" s="310" t="s">
        <v>201</v>
      </c>
      <c r="IMQ16" s="310" t="s">
        <v>201</v>
      </c>
      <c r="IMR16" s="310" t="s">
        <v>201</v>
      </c>
      <c r="IMS16" s="310" t="s">
        <v>201</v>
      </c>
      <c r="IMT16" s="310" t="s">
        <v>201</v>
      </c>
      <c r="IMU16" s="310" t="s">
        <v>201</v>
      </c>
      <c r="IMV16" s="310" t="s">
        <v>201</v>
      </c>
      <c r="IMW16" s="310" t="s">
        <v>201</v>
      </c>
      <c r="IMX16" s="310" t="s">
        <v>201</v>
      </c>
      <c r="IMY16" s="310" t="s">
        <v>201</v>
      </c>
      <c r="IMZ16" s="310" t="s">
        <v>201</v>
      </c>
      <c r="INA16" s="310" t="s">
        <v>201</v>
      </c>
      <c r="INB16" s="310" t="s">
        <v>201</v>
      </c>
      <c r="INC16" s="310" t="s">
        <v>201</v>
      </c>
      <c r="IND16" s="310" t="s">
        <v>201</v>
      </c>
      <c r="INE16" s="310" t="s">
        <v>201</v>
      </c>
      <c r="INF16" s="310" t="s">
        <v>201</v>
      </c>
      <c r="ING16" s="310" t="s">
        <v>201</v>
      </c>
      <c r="INH16" s="310" t="s">
        <v>201</v>
      </c>
      <c r="INI16" s="310" t="s">
        <v>201</v>
      </c>
      <c r="INJ16" s="310" t="s">
        <v>201</v>
      </c>
      <c r="INK16" s="310" t="s">
        <v>201</v>
      </c>
      <c r="INL16" s="310" t="s">
        <v>201</v>
      </c>
      <c r="INM16" s="310" t="s">
        <v>201</v>
      </c>
      <c r="INN16" s="310" t="s">
        <v>201</v>
      </c>
      <c r="INO16" s="310" t="s">
        <v>201</v>
      </c>
      <c r="INP16" s="310" t="s">
        <v>201</v>
      </c>
      <c r="INQ16" s="310" t="s">
        <v>201</v>
      </c>
      <c r="INR16" s="310" t="s">
        <v>201</v>
      </c>
      <c r="INS16" s="310" t="s">
        <v>201</v>
      </c>
      <c r="INT16" s="310" t="s">
        <v>201</v>
      </c>
      <c r="INU16" s="310" t="s">
        <v>201</v>
      </c>
      <c r="INV16" s="310" t="s">
        <v>201</v>
      </c>
      <c r="INW16" s="310" t="s">
        <v>201</v>
      </c>
      <c r="INX16" s="310" t="s">
        <v>201</v>
      </c>
      <c r="INY16" s="310" t="s">
        <v>201</v>
      </c>
      <c r="INZ16" s="310" t="s">
        <v>201</v>
      </c>
      <c r="IOA16" s="310" t="s">
        <v>201</v>
      </c>
      <c r="IOB16" s="310" t="s">
        <v>201</v>
      </c>
      <c r="IOC16" s="310" t="s">
        <v>201</v>
      </c>
      <c r="IOD16" s="310" t="s">
        <v>201</v>
      </c>
      <c r="IOE16" s="310" t="s">
        <v>201</v>
      </c>
      <c r="IOF16" s="310" t="s">
        <v>201</v>
      </c>
      <c r="IOG16" s="310" t="s">
        <v>201</v>
      </c>
      <c r="IOH16" s="310" t="s">
        <v>201</v>
      </c>
      <c r="IOI16" s="310" t="s">
        <v>201</v>
      </c>
      <c r="IOJ16" s="310" t="s">
        <v>201</v>
      </c>
      <c r="IOK16" s="310" t="s">
        <v>201</v>
      </c>
      <c r="IOL16" s="310" t="s">
        <v>201</v>
      </c>
      <c r="IOM16" s="310" t="s">
        <v>201</v>
      </c>
      <c r="ION16" s="310" t="s">
        <v>201</v>
      </c>
      <c r="IOO16" s="310" t="s">
        <v>201</v>
      </c>
      <c r="IOP16" s="310" t="s">
        <v>201</v>
      </c>
      <c r="IOQ16" s="310" t="s">
        <v>201</v>
      </c>
      <c r="IOR16" s="310" t="s">
        <v>201</v>
      </c>
      <c r="IOS16" s="310" t="s">
        <v>201</v>
      </c>
      <c r="IOT16" s="310" t="s">
        <v>201</v>
      </c>
      <c r="IOU16" s="310" t="s">
        <v>201</v>
      </c>
      <c r="IOV16" s="310" t="s">
        <v>201</v>
      </c>
      <c r="IOW16" s="310" t="s">
        <v>201</v>
      </c>
      <c r="IOX16" s="310" t="s">
        <v>201</v>
      </c>
      <c r="IOY16" s="310" t="s">
        <v>201</v>
      </c>
      <c r="IOZ16" s="310" t="s">
        <v>201</v>
      </c>
      <c r="IPA16" s="310" t="s">
        <v>201</v>
      </c>
      <c r="IPB16" s="310" t="s">
        <v>201</v>
      </c>
      <c r="IPC16" s="310" t="s">
        <v>201</v>
      </c>
      <c r="IPD16" s="310" t="s">
        <v>201</v>
      </c>
      <c r="IPE16" s="310" t="s">
        <v>201</v>
      </c>
      <c r="IPF16" s="310" t="s">
        <v>201</v>
      </c>
      <c r="IPG16" s="310" t="s">
        <v>201</v>
      </c>
      <c r="IPH16" s="310" t="s">
        <v>201</v>
      </c>
      <c r="IPI16" s="310" t="s">
        <v>201</v>
      </c>
      <c r="IPJ16" s="310" t="s">
        <v>201</v>
      </c>
      <c r="IPK16" s="310" t="s">
        <v>201</v>
      </c>
      <c r="IPL16" s="310" t="s">
        <v>201</v>
      </c>
      <c r="IPM16" s="310" t="s">
        <v>201</v>
      </c>
      <c r="IPN16" s="310" t="s">
        <v>201</v>
      </c>
      <c r="IPO16" s="310" t="s">
        <v>201</v>
      </c>
      <c r="IPP16" s="310" t="s">
        <v>201</v>
      </c>
      <c r="IPQ16" s="310" t="s">
        <v>201</v>
      </c>
      <c r="IPR16" s="310" t="s">
        <v>201</v>
      </c>
      <c r="IPS16" s="310" t="s">
        <v>201</v>
      </c>
      <c r="IPT16" s="310" t="s">
        <v>201</v>
      </c>
      <c r="IPU16" s="310" t="s">
        <v>201</v>
      </c>
      <c r="IPV16" s="310" t="s">
        <v>201</v>
      </c>
      <c r="IPW16" s="310" t="s">
        <v>201</v>
      </c>
      <c r="IPX16" s="310" t="s">
        <v>201</v>
      </c>
      <c r="IPY16" s="310" t="s">
        <v>201</v>
      </c>
      <c r="IPZ16" s="310" t="s">
        <v>201</v>
      </c>
      <c r="IQA16" s="310" t="s">
        <v>201</v>
      </c>
      <c r="IQB16" s="310" t="s">
        <v>201</v>
      </c>
      <c r="IQC16" s="310" t="s">
        <v>201</v>
      </c>
      <c r="IQD16" s="310" t="s">
        <v>201</v>
      </c>
      <c r="IQE16" s="310" t="s">
        <v>201</v>
      </c>
      <c r="IQF16" s="310" t="s">
        <v>201</v>
      </c>
      <c r="IQG16" s="310" t="s">
        <v>201</v>
      </c>
      <c r="IQH16" s="310" t="s">
        <v>201</v>
      </c>
      <c r="IQI16" s="310" t="s">
        <v>201</v>
      </c>
      <c r="IQJ16" s="310" t="s">
        <v>201</v>
      </c>
      <c r="IQK16" s="310" t="s">
        <v>201</v>
      </c>
      <c r="IQL16" s="310" t="s">
        <v>201</v>
      </c>
      <c r="IQM16" s="310" t="s">
        <v>201</v>
      </c>
      <c r="IQN16" s="310" t="s">
        <v>201</v>
      </c>
      <c r="IQO16" s="310" t="s">
        <v>201</v>
      </c>
      <c r="IQP16" s="310" t="s">
        <v>201</v>
      </c>
      <c r="IQQ16" s="310" t="s">
        <v>201</v>
      </c>
      <c r="IQR16" s="310" t="s">
        <v>201</v>
      </c>
      <c r="IQS16" s="310" t="s">
        <v>201</v>
      </c>
      <c r="IQT16" s="310" t="s">
        <v>201</v>
      </c>
      <c r="IQU16" s="310" t="s">
        <v>201</v>
      </c>
      <c r="IQV16" s="310" t="s">
        <v>201</v>
      </c>
      <c r="IQW16" s="310" t="s">
        <v>201</v>
      </c>
      <c r="IQX16" s="310" t="s">
        <v>201</v>
      </c>
      <c r="IQY16" s="310" t="s">
        <v>201</v>
      </c>
      <c r="IQZ16" s="310" t="s">
        <v>201</v>
      </c>
      <c r="IRA16" s="310" t="s">
        <v>201</v>
      </c>
      <c r="IRB16" s="310" t="s">
        <v>201</v>
      </c>
      <c r="IRC16" s="310" t="s">
        <v>201</v>
      </c>
      <c r="IRD16" s="310" t="s">
        <v>201</v>
      </c>
      <c r="IRE16" s="310" t="s">
        <v>201</v>
      </c>
      <c r="IRF16" s="310" t="s">
        <v>201</v>
      </c>
      <c r="IRG16" s="310" t="s">
        <v>201</v>
      </c>
      <c r="IRH16" s="310" t="s">
        <v>201</v>
      </c>
      <c r="IRI16" s="310" t="s">
        <v>201</v>
      </c>
      <c r="IRJ16" s="310" t="s">
        <v>201</v>
      </c>
      <c r="IRK16" s="310" t="s">
        <v>201</v>
      </c>
      <c r="IRL16" s="310" t="s">
        <v>201</v>
      </c>
      <c r="IRM16" s="310" t="s">
        <v>201</v>
      </c>
      <c r="IRN16" s="310" t="s">
        <v>201</v>
      </c>
      <c r="IRO16" s="310" t="s">
        <v>201</v>
      </c>
      <c r="IRP16" s="310" t="s">
        <v>201</v>
      </c>
      <c r="IRQ16" s="310" t="s">
        <v>201</v>
      </c>
      <c r="IRR16" s="310" t="s">
        <v>201</v>
      </c>
      <c r="IRS16" s="310" t="s">
        <v>201</v>
      </c>
      <c r="IRT16" s="310" t="s">
        <v>201</v>
      </c>
      <c r="IRU16" s="310" t="s">
        <v>201</v>
      </c>
      <c r="IRV16" s="310" t="s">
        <v>201</v>
      </c>
      <c r="IRW16" s="310" t="s">
        <v>201</v>
      </c>
      <c r="IRX16" s="310" t="s">
        <v>201</v>
      </c>
      <c r="IRY16" s="310" t="s">
        <v>201</v>
      </c>
      <c r="IRZ16" s="310" t="s">
        <v>201</v>
      </c>
      <c r="ISA16" s="310" t="s">
        <v>201</v>
      </c>
      <c r="ISB16" s="310" t="s">
        <v>201</v>
      </c>
      <c r="ISC16" s="310" t="s">
        <v>201</v>
      </c>
      <c r="ISD16" s="310" t="s">
        <v>201</v>
      </c>
      <c r="ISE16" s="310" t="s">
        <v>201</v>
      </c>
      <c r="ISF16" s="310" t="s">
        <v>201</v>
      </c>
      <c r="ISG16" s="310" t="s">
        <v>201</v>
      </c>
      <c r="ISH16" s="310" t="s">
        <v>201</v>
      </c>
      <c r="ISI16" s="310" t="s">
        <v>201</v>
      </c>
      <c r="ISJ16" s="310" t="s">
        <v>201</v>
      </c>
      <c r="ISK16" s="310" t="s">
        <v>201</v>
      </c>
      <c r="ISL16" s="310" t="s">
        <v>201</v>
      </c>
      <c r="ISM16" s="310" t="s">
        <v>201</v>
      </c>
      <c r="ISN16" s="310" t="s">
        <v>201</v>
      </c>
      <c r="ISO16" s="310" t="s">
        <v>201</v>
      </c>
      <c r="ISP16" s="310" t="s">
        <v>201</v>
      </c>
      <c r="ISQ16" s="310" t="s">
        <v>201</v>
      </c>
      <c r="ISR16" s="310" t="s">
        <v>201</v>
      </c>
      <c r="ISS16" s="310" t="s">
        <v>201</v>
      </c>
      <c r="IST16" s="310" t="s">
        <v>201</v>
      </c>
      <c r="ISU16" s="310" t="s">
        <v>201</v>
      </c>
      <c r="ISV16" s="310" t="s">
        <v>201</v>
      </c>
      <c r="ISW16" s="310" t="s">
        <v>201</v>
      </c>
      <c r="ISX16" s="310" t="s">
        <v>201</v>
      </c>
      <c r="ISY16" s="310" t="s">
        <v>201</v>
      </c>
      <c r="ISZ16" s="310" t="s">
        <v>201</v>
      </c>
      <c r="ITA16" s="310" t="s">
        <v>201</v>
      </c>
      <c r="ITB16" s="310" t="s">
        <v>201</v>
      </c>
      <c r="ITC16" s="310" t="s">
        <v>201</v>
      </c>
      <c r="ITD16" s="310" t="s">
        <v>201</v>
      </c>
      <c r="ITE16" s="310" t="s">
        <v>201</v>
      </c>
      <c r="ITF16" s="310" t="s">
        <v>201</v>
      </c>
      <c r="ITG16" s="310" t="s">
        <v>201</v>
      </c>
      <c r="ITH16" s="310" t="s">
        <v>201</v>
      </c>
      <c r="ITI16" s="310" t="s">
        <v>201</v>
      </c>
      <c r="ITJ16" s="310" t="s">
        <v>201</v>
      </c>
      <c r="ITK16" s="310" t="s">
        <v>201</v>
      </c>
      <c r="ITL16" s="310" t="s">
        <v>201</v>
      </c>
      <c r="ITM16" s="310" t="s">
        <v>201</v>
      </c>
      <c r="ITN16" s="310" t="s">
        <v>201</v>
      </c>
      <c r="ITO16" s="310" t="s">
        <v>201</v>
      </c>
      <c r="ITP16" s="310" t="s">
        <v>201</v>
      </c>
      <c r="ITQ16" s="310" t="s">
        <v>201</v>
      </c>
      <c r="ITR16" s="310" t="s">
        <v>201</v>
      </c>
      <c r="ITS16" s="310" t="s">
        <v>201</v>
      </c>
      <c r="ITT16" s="310" t="s">
        <v>201</v>
      </c>
      <c r="ITU16" s="310" t="s">
        <v>201</v>
      </c>
      <c r="ITV16" s="310" t="s">
        <v>201</v>
      </c>
      <c r="ITW16" s="310" t="s">
        <v>201</v>
      </c>
      <c r="ITX16" s="310" t="s">
        <v>201</v>
      </c>
      <c r="ITY16" s="310" t="s">
        <v>201</v>
      </c>
      <c r="ITZ16" s="310" t="s">
        <v>201</v>
      </c>
      <c r="IUA16" s="310" t="s">
        <v>201</v>
      </c>
      <c r="IUB16" s="310" t="s">
        <v>201</v>
      </c>
      <c r="IUC16" s="310" t="s">
        <v>201</v>
      </c>
      <c r="IUD16" s="310" t="s">
        <v>201</v>
      </c>
      <c r="IUE16" s="310" t="s">
        <v>201</v>
      </c>
      <c r="IUF16" s="310" t="s">
        <v>201</v>
      </c>
      <c r="IUG16" s="310" t="s">
        <v>201</v>
      </c>
      <c r="IUH16" s="310" t="s">
        <v>201</v>
      </c>
      <c r="IUI16" s="310" t="s">
        <v>201</v>
      </c>
      <c r="IUJ16" s="310" t="s">
        <v>201</v>
      </c>
      <c r="IUK16" s="310" t="s">
        <v>201</v>
      </c>
      <c r="IUL16" s="310" t="s">
        <v>201</v>
      </c>
      <c r="IUM16" s="310" t="s">
        <v>201</v>
      </c>
      <c r="IUN16" s="310" t="s">
        <v>201</v>
      </c>
      <c r="IUO16" s="310" t="s">
        <v>201</v>
      </c>
      <c r="IUP16" s="310" t="s">
        <v>201</v>
      </c>
      <c r="IUQ16" s="310" t="s">
        <v>201</v>
      </c>
      <c r="IUR16" s="310" t="s">
        <v>201</v>
      </c>
      <c r="IUS16" s="310" t="s">
        <v>201</v>
      </c>
      <c r="IUT16" s="310" t="s">
        <v>201</v>
      </c>
      <c r="IUU16" s="310" t="s">
        <v>201</v>
      </c>
      <c r="IUV16" s="310" t="s">
        <v>201</v>
      </c>
      <c r="IUW16" s="310" t="s">
        <v>201</v>
      </c>
      <c r="IUX16" s="310" t="s">
        <v>201</v>
      </c>
      <c r="IUY16" s="310" t="s">
        <v>201</v>
      </c>
      <c r="IUZ16" s="310" t="s">
        <v>201</v>
      </c>
      <c r="IVA16" s="310" t="s">
        <v>201</v>
      </c>
      <c r="IVB16" s="310" t="s">
        <v>201</v>
      </c>
      <c r="IVC16" s="310" t="s">
        <v>201</v>
      </c>
      <c r="IVD16" s="310" t="s">
        <v>201</v>
      </c>
      <c r="IVE16" s="310" t="s">
        <v>201</v>
      </c>
      <c r="IVF16" s="310" t="s">
        <v>201</v>
      </c>
      <c r="IVG16" s="310" t="s">
        <v>201</v>
      </c>
      <c r="IVH16" s="310" t="s">
        <v>201</v>
      </c>
      <c r="IVI16" s="310" t="s">
        <v>201</v>
      </c>
      <c r="IVJ16" s="310" t="s">
        <v>201</v>
      </c>
      <c r="IVK16" s="310" t="s">
        <v>201</v>
      </c>
      <c r="IVL16" s="310" t="s">
        <v>201</v>
      </c>
      <c r="IVM16" s="310" t="s">
        <v>201</v>
      </c>
      <c r="IVN16" s="310" t="s">
        <v>201</v>
      </c>
      <c r="IVO16" s="310" t="s">
        <v>201</v>
      </c>
      <c r="IVP16" s="310" t="s">
        <v>201</v>
      </c>
      <c r="IVQ16" s="310" t="s">
        <v>201</v>
      </c>
      <c r="IVR16" s="310" t="s">
        <v>201</v>
      </c>
      <c r="IVS16" s="310" t="s">
        <v>201</v>
      </c>
      <c r="IVT16" s="310" t="s">
        <v>201</v>
      </c>
      <c r="IVU16" s="310" t="s">
        <v>201</v>
      </c>
      <c r="IVV16" s="310" t="s">
        <v>201</v>
      </c>
      <c r="IVW16" s="310" t="s">
        <v>201</v>
      </c>
      <c r="IVX16" s="310" t="s">
        <v>201</v>
      </c>
      <c r="IVY16" s="310" t="s">
        <v>201</v>
      </c>
      <c r="IVZ16" s="310" t="s">
        <v>201</v>
      </c>
      <c r="IWA16" s="310" t="s">
        <v>201</v>
      </c>
      <c r="IWB16" s="310" t="s">
        <v>201</v>
      </c>
      <c r="IWC16" s="310" t="s">
        <v>201</v>
      </c>
      <c r="IWD16" s="310" t="s">
        <v>201</v>
      </c>
      <c r="IWE16" s="310" t="s">
        <v>201</v>
      </c>
      <c r="IWF16" s="310" t="s">
        <v>201</v>
      </c>
      <c r="IWG16" s="310" t="s">
        <v>201</v>
      </c>
      <c r="IWH16" s="310" t="s">
        <v>201</v>
      </c>
      <c r="IWI16" s="310" t="s">
        <v>201</v>
      </c>
      <c r="IWJ16" s="310" t="s">
        <v>201</v>
      </c>
      <c r="IWK16" s="310" t="s">
        <v>201</v>
      </c>
      <c r="IWL16" s="310" t="s">
        <v>201</v>
      </c>
      <c r="IWM16" s="310" t="s">
        <v>201</v>
      </c>
      <c r="IWN16" s="310" t="s">
        <v>201</v>
      </c>
      <c r="IWO16" s="310" t="s">
        <v>201</v>
      </c>
      <c r="IWP16" s="310" t="s">
        <v>201</v>
      </c>
      <c r="IWQ16" s="310" t="s">
        <v>201</v>
      </c>
      <c r="IWR16" s="310" t="s">
        <v>201</v>
      </c>
      <c r="IWS16" s="310" t="s">
        <v>201</v>
      </c>
      <c r="IWT16" s="310" t="s">
        <v>201</v>
      </c>
      <c r="IWU16" s="310" t="s">
        <v>201</v>
      </c>
      <c r="IWV16" s="310" t="s">
        <v>201</v>
      </c>
      <c r="IWW16" s="310" t="s">
        <v>201</v>
      </c>
      <c r="IWX16" s="310" t="s">
        <v>201</v>
      </c>
      <c r="IWY16" s="310" t="s">
        <v>201</v>
      </c>
      <c r="IWZ16" s="310" t="s">
        <v>201</v>
      </c>
      <c r="IXA16" s="310" t="s">
        <v>201</v>
      </c>
      <c r="IXB16" s="310" t="s">
        <v>201</v>
      </c>
      <c r="IXC16" s="310" t="s">
        <v>201</v>
      </c>
      <c r="IXD16" s="310" t="s">
        <v>201</v>
      </c>
      <c r="IXE16" s="310" t="s">
        <v>201</v>
      </c>
      <c r="IXF16" s="310" t="s">
        <v>201</v>
      </c>
      <c r="IXG16" s="310" t="s">
        <v>201</v>
      </c>
      <c r="IXH16" s="310" t="s">
        <v>201</v>
      </c>
      <c r="IXI16" s="310" t="s">
        <v>201</v>
      </c>
      <c r="IXJ16" s="310" t="s">
        <v>201</v>
      </c>
      <c r="IXK16" s="310" t="s">
        <v>201</v>
      </c>
      <c r="IXL16" s="310" t="s">
        <v>201</v>
      </c>
      <c r="IXM16" s="310" t="s">
        <v>201</v>
      </c>
      <c r="IXN16" s="310" t="s">
        <v>201</v>
      </c>
      <c r="IXO16" s="310" t="s">
        <v>201</v>
      </c>
      <c r="IXP16" s="310" t="s">
        <v>201</v>
      </c>
      <c r="IXQ16" s="310" t="s">
        <v>201</v>
      </c>
      <c r="IXR16" s="310" t="s">
        <v>201</v>
      </c>
      <c r="IXS16" s="310" t="s">
        <v>201</v>
      </c>
      <c r="IXT16" s="310" t="s">
        <v>201</v>
      </c>
      <c r="IXU16" s="310" t="s">
        <v>201</v>
      </c>
      <c r="IXV16" s="310" t="s">
        <v>201</v>
      </c>
      <c r="IXW16" s="310" t="s">
        <v>201</v>
      </c>
      <c r="IXX16" s="310" t="s">
        <v>201</v>
      </c>
      <c r="IXY16" s="310" t="s">
        <v>201</v>
      </c>
      <c r="IXZ16" s="310" t="s">
        <v>201</v>
      </c>
      <c r="IYA16" s="310" t="s">
        <v>201</v>
      </c>
      <c r="IYB16" s="310" t="s">
        <v>201</v>
      </c>
      <c r="IYC16" s="310" t="s">
        <v>201</v>
      </c>
      <c r="IYD16" s="310" t="s">
        <v>201</v>
      </c>
      <c r="IYE16" s="310" t="s">
        <v>201</v>
      </c>
      <c r="IYF16" s="310" t="s">
        <v>201</v>
      </c>
      <c r="IYG16" s="310" t="s">
        <v>201</v>
      </c>
      <c r="IYH16" s="310" t="s">
        <v>201</v>
      </c>
      <c r="IYI16" s="310" t="s">
        <v>201</v>
      </c>
      <c r="IYJ16" s="310" t="s">
        <v>201</v>
      </c>
      <c r="IYK16" s="310" t="s">
        <v>201</v>
      </c>
      <c r="IYL16" s="310" t="s">
        <v>201</v>
      </c>
      <c r="IYM16" s="310" t="s">
        <v>201</v>
      </c>
      <c r="IYN16" s="310" t="s">
        <v>201</v>
      </c>
      <c r="IYO16" s="310" t="s">
        <v>201</v>
      </c>
      <c r="IYP16" s="310" t="s">
        <v>201</v>
      </c>
      <c r="IYQ16" s="310" t="s">
        <v>201</v>
      </c>
      <c r="IYR16" s="310" t="s">
        <v>201</v>
      </c>
      <c r="IYS16" s="310" t="s">
        <v>201</v>
      </c>
      <c r="IYT16" s="310" t="s">
        <v>201</v>
      </c>
      <c r="IYU16" s="310" t="s">
        <v>201</v>
      </c>
      <c r="IYV16" s="310" t="s">
        <v>201</v>
      </c>
      <c r="IYW16" s="310" t="s">
        <v>201</v>
      </c>
      <c r="IYX16" s="310" t="s">
        <v>201</v>
      </c>
      <c r="IYY16" s="310" t="s">
        <v>201</v>
      </c>
      <c r="IYZ16" s="310" t="s">
        <v>201</v>
      </c>
      <c r="IZA16" s="310" t="s">
        <v>201</v>
      </c>
      <c r="IZB16" s="310" t="s">
        <v>201</v>
      </c>
      <c r="IZC16" s="310" t="s">
        <v>201</v>
      </c>
      <c r="IZD16" s="310" t="s">
        <v>201</v>
      </c>
      <c r="IZE16" s="310" t="s">
        <v>201</v>
      </c>
      <c r="IZF16" s="310" t="s">
        <v>201</v>
      </c>
      <c r="IZG16" s="310" t="s">
        <v>201</v>
      </c>
      <c r="IZH16" s="310" t="s">
        <v>201</v>
      </c>
      <c r="IZI16" s="310" t="s">
        <v>201</v>
      </c>
      <c r="IZJ16" s="310" t="s">
        <v>201</v>
      </c>
      <c r="IZK16" s="310" t="s">
        <v>201</v>
      </c>
      <c r="IZL16" s="310" t="s">
        <v>201</v>
      </c>
      <c r="IZM16" s="310" t="s">
        <v>201</v>
      </c>
      <c r="IZN16" s="310" t="s">
        <v>201</v>
      </c>
      <c r="IZO16" s="310" t="s">
        <v>201</v>
      </c>
      <c r="IZP16" s="310" t="s">
        <v>201</v>
      </c>
      <c r="IZQ16" s="310" t="s">
        <v>201</v>
      </c>
      <c r="IZR16" s="310" t="s">
        <v>201</v>
      </c>
      <c r="IZS16" s="310" t="s">
        <v>201</v>
      </c>
      <c r="IZT16" s="310" t="s">
        <v>201</v>
      </c>
      <c r="IZU16" s="310" t="s">
        <v>201</v>
      </c>
      <c r="IZV16" s="310" t="s">
        <v>201</v>
      </c>
      <c r="IZW16" s="310" t="s">
        <v>201</v>
      </c>
      <c r="IZX16" s="310" t="s">
        <v>201</v>
      </c>
      <c r="IZY16" s="310" t="s">
        <v>201</v>
      </c>
      <c r="IZZ16" s="310" t="s">
        <v>201</v>
      </c>
      <c r="JAA16" s="310" t="s">
        <v>201</v>
      </c>
      <c r="JAB16" s="310" t="s">
        <v>201</v>
      </c>
      <c r="JAC16" s="310" t="s">
        <v>201</v>
      </c>
      <c r="JAD16" s="310" t="s">
        <v>201</v>
      </c>
      <c r="JAE16" s="310" t="s">
        <v>201</v>
      </c>
      <c r="JAF16" s="310" t="s">
        <v>201</v>
      </c>
      <c r="JAG16" s="310" t="s">
        <v>201</v>
      </c>
      <c r="JAH16" s="310" t="s">
        <v>201</v>
      </c>
      <c r="JAI16" s="310" t="s">
        <v>201</v>
      </c>
      <c r="JAJ16" s="310" t="s">
        <v>201</v>
      </c>
      <c r="JAK16" s="310" t="s">
        <v>201</v>
      </c>
      <c r="JAL16" s="310" t="s">
        <v>201</v>
      </c>
      <c r="JAM16" s="310" t="s">
        <v>201</v>
      </c>
      <c r="JAN16" s="310" t="s">
        <v>201</v>
      </c>
      <c r="JAO16" s="310" t="s">
        <v>201</v>
      </c>
      <c r="JAP16" s="310" t="s">
        <v>201</v>
      </c>
      <c r="JAQ16" s="310" t="s">
        <v>201</v>
      </c>
      <c r="JAR16" s="310" t="s">
        <v>201</v>
      </c>
      <c r="JAS16" s="310" t="s">
        <v>201</v>
      </c>
      <c r="JAT16" s="310" t="s">
        <v>201</v>
      </c>
      <c r="JAU16" s="310" t="s">
        <v>201</v>
      </c>
      <c r="JAV16" s="310" t="s">
        <v>201</v>
      </c>
      <c r="JAW16" s="310" t="s">
        <v>201</v>
      </c>
      <c r="JAX16" s="310" t="s">
        <v>201</v>
      </c>
      <c r="JAY16" s="310" t="s">
        <v>201</v>
      </c>
      <c r="JAZ16" s="310" t="s">
        <v>201</v>
      </c>
      <c r="JBA16" s="310" t="s">
        <v>201</v>
      </c>
      <c r="JBB16" s="310" t="s">
        <v>201</v>
      </c>
      <c r="JBC16" s="310" t="s">
        <v>201</v>
      </c>
      <c r="JBD16" s="310" t="s">
        <v>201</v>
      </c>
      <c r="JBE16" s="310" t="s">
        <v>201</v>
      </c>
      <c r="JBF16" s="310" t="s">
        <v>201</v>
      </c>
      <c r="JBG16" s="310" t="s">
        <v>201</v>
      </c>
      <c r="JBH16" s="310" t="s">
        <v>201</v>
      </c>
      <c r="JBI16" s="310" t="s">
        <v>201</v>
      </c>
      <c r="JBJ16" s="310" t="s">
        <v>201</v>
      </c>
      <c r="JBK16" s="310" t="s">
        <v>201</v>
      </c>
      <c r="JBL16" s="310" t="s">
        <v>201</v>
      </c>
      <c r="JBM16" s="310" t="s">
        <v>201</v>
      </c>
      <c r="JBN16" s="310" t="s">
        <v>201</v>
      </c>
      <c r="JBO16" s="310" t="s">
        <v>201</v>
      </c>
      <c r="JBP16" s="310" t="s">
        <v>201</v>
      </c>
      <c r="JBQ16" s="310" t="s">
        <v>201</v>
      </c>
      <c r="JBR16" s="310" t="s">
        <v>201</v>
      </c>
      <c r="JBS16" s="310" t="s">
        <v>201</v>
      </c>
      <c r="JBT16" s="310" t="s">
        <v>201</v>
      </c>
      <c r="JBU16" s="310" t="s">
        <v>201</v>
      </c>
      <c r="JBV16" s="310" t="s">
        <v>201</v>
      </c>
      <c r="JBW16" s="310" t="s">
        <v>201</v>
      </c>
      <c r="JBX16" s="310" t="s">
        <v>201</v>
      </c>
      <c r="JBY16" s="310" t="s">
        <v>201</v>
      </c>
      <c r="JBZ16" s="310" t="s">
        <v>201</v>
      </c>
      <c r="JCA16" s="310" t="s">
        <v>201</v>
      </c>
      <c r="JCB16" s="310" t="s">
        <v>201</v>
      </c>
      <c r="JCC16" s="310" t="s">
        <v>201</v>
      </c>
      <c r="JCD16" s="310" t="s">
        <v>201</v>
      </c>
      <c r="JCE16" s="310" t="s">
        <v>201</v>
      </c>
      <c r="JCF16" s="310" t="s">
        <v>201</v>
      </c>
      <c r="JCG16" s="310" t="s">
        <v>201</v>
      </c>
      <c r="JCH16" s="310" t="s">
        <v>201</v>
      </c>
      <c r="JCI16" s="310" t="s">
        <v>201</v>
      </c>
      <c r="JCJ16" s="310" t="s">
        <v>201</v>
      </c>
      <c r="JCK16" s="310" t="s">
        <v>201</v>
      </c>
      <c r="JCL16" s="310" t="s">
        <v>201</v>
      </c>
      <c r="JCM16" s="310" t="s">
        <v>201</v>
      </c>
      <c r="JCN16" s="310" t="s">
        <v>201</v>
      </c>
      <c r="JCO16" s="310" t="s">
        <v>201</v>
      </c>
      <c r="JCP16" s="310" t="s">
        <v>201</v>
      </c>
      <c r="JCQ16" s="310" t="s">
        <v>201</v>
      </c>
      <c r="JCR16" s="310" t="s">
        <v>201</v>
      </c>
      <c r="JCS16" s="310" t="s">
        <v>201</v>
      </c>
      <c r="JCT16" s="310" t="s">
        <v>201</v>
      </c>
      <c r="JCU16" s="310" t="s">
        <v>201</v>
      </c>
      <c r="JCV16" s="310" t="s">
        <v>201</v>
      </c>
      <c r="JCW16" s="310" t="s">
        <v>201</v>
      </c>
      <c r="JCX16" s="310" t="s">
        <v>201</v>
      </c>
      <c r="JCY16" s="310" t="s">
        <v>201</v>
      </c>
      <c r="JCZ16" s="310" t="s">
        <v>201</v>
      </c>
      <c r="JDA16" s="310" t="s">
        <v>201</v>
      </c>
      <c r="JDB16" s="310" t="s">
        <v>201</v>
      </c>
      <c r="JDC16" s="310" t="s">
        <v>201</v>
      </c>
      <c r="JDD16" s="310" t="s">
        <v>201</v>
      </c>
      <c r="JDE16" s="310" t="s">
        <v>201</v>
      </c>
      <c r="JDF16" s="310" t="s">
        <v>201</v>
      </c>
      <c r="JDG16" s="310" t="s">
        <v>201</v>
      </c>
      <c r="JDH16" s="310" t="s">
        <v>201</v>
      </c>
      <c r="JDI16" s="310" t="s">
        <v>201</v>
      </c>
      <c r="JDJ16" s="310" t="s">
        <v>201</v>
      </c>
      <c r="JDK16" s="310" t="s">
        <v>201</v>
      </c>
      <c r="JDL16" s="310" t="s">
        <v>201</v>
      </c>
      <c r="JDM16" s="310" t="s">
        <v>201</v>
      </c>
      <c r="JDN16" s="310" t="s">
        <v>201</v>
      </c>
      <c r="JDO16" s="310" t="s">
        <v>201</v>
      </c>
      <c r="JDP16" s="310" t="s">
        <v>201</v>
      </c>
      <c r="JDQ16" s="310" t="s">
        <v>201</v>
      </c>
      <c r="JDR16" s="310" t="s">
        <v>201</v>
      </c>
      <c r="JDS16" s="310" t="s">
        <v>201</v>
      </c>
      <c r="JDT16" s="310" t="s">
        <v>201</v>
      </c>
      <c r="JDU16" s="310" t="s">
        <v>201</v>
      </c>
      <c r="JDV16" s="310" t="s">
        <v>201</v>
      </c>
      <c r="JDW16" s="310" t="s">
        <v>201</v>
      </c>
      <c r="JDX16" s="310" t="s">
        <v>201</v>
      </c>
      <c r="JDY16" s="310" t="s">
        <v>201</v>
      </c>
      <c r="JDZ16" s="310" t="s">
        <v>201</v>
      </c>
      <c r="JEA16" s="310" t="s">
        <v>201</v>
      </c>
      <c r="JEB16" s="310" t="s">
        <v>201</v>
      </c>
      <c r="JEC16" s="310" t="s">
        <v>201</v>
      </c>
      <c r="JED16" s="310" t="s">
        <v>201</v>
      </c>
      <c r="JEE16" s="310" t="s">
        <v>201</v>
      </c>
      <c r="JEF16" s="310" t="s">
        <v>201</v>
      </c>
      <c r="JEG16" s="310" t="s">
        <v>201</v>
      </c>
      <c r="JEH16" s="310" t="s">
        <v>201</v>
      </c>
      <c r="JEI16" s="310" t="s">
        <v>201</v>
      </c>
      <c r="JEJ16" s="310" t="s">
        <v>201</v>
      </c>
      <c r="JEK16" s="310" t="s">
        <v>201</v>
      </c>
      <c r="JEL16" s="310" t="s">
        <v>201</v>
      </c>
      <c r="JEM16" s="310" t="s">
        <v>201</v>
      </c>
      <c r="JEN16" s="310" t="s">
        <v>201</v>
      </c>
      <c r="JEO16" s="310" t="s">
        <v>201</v>
      </c>
      <c r="JEP16" s="310" t="s">
        <v>201</v>
      </c>
      <c r="JEQ16" s="310" t="s">
        <v>201</v>
      </c>
      <c r="JER16" s="310" t="s">
        <v>201</v>
      </c>
      <c r="JES16" s="310" t="s">
        <v>201</v>
      </c>
      <c r="JET16" s="310" t="s">
        <v>201</v>
      </c>
      <c r="JEU16" s="310" t="s">
        <v>201</v>
      </c>
      <c r="JEV16" s="310" t="s">
        <v>201</v>
      </c>
      <c r="JEW16" s="310" t="s">
        <v>201</v>
      </c>
      <c r="JEX16" s="310" t="s">
        <v>201</v>
      </c>
      <c r="JEY16" s="310" t="s">
        <v>201</v>
      </c>
      <c r="JEZ16" s="310" t="s">
        <v>201</v>
      </c>
      <c r="JFA16" s="310" t="s">
        <v>201</v>
      </c>
      <c r="JFB16" s="310" t="s">
        <v>201</v>
      </c>
      <c r="JFC16" s="310" t="s">
        <v>201</v>
      </c>
      <c r="JFD16" s="310" t="s">
        <v>201</v>
      </c>
      <c r="JFE16" s="310" t="s">
        <v>201</v>
      </c>
      <c r="JFF16" s="310" t="s">
        <v>201</v>
      </c>
      <c r="JFG16" s="310" t="s">
        <v>201</v>
      </c>
      <c r="JFH16" s="310" t="s">
        <v>201</v>
      </c>
      <c r="JFI16" s="310" t="s">
        <v>201</v>
      </c>
      <c r="JFJ16" s="310" t="s">
        <v>201</v>
      </c>
      <c r="JFK16" s="310" t="s">
        <v>201</v>
      </c>
      <c r="JFL16" s="310" t="s">
        <v>201</v>
      </c>
      <c r="JFM16" s="310" t="s">
        <v>201</v>
      </c>
      <c r="JFN16" s="310" t="s">
        <v>201</v>
      </c>
      <c r="JFO16" s="310" t="s">
        <v>201</v>
      </c>
      <c r="JFP16" s="310" t="s">
        <v>201</v>
      </c>
      <c r="JFQ16" s="310" t="s">
        <v>201</v>
      </c>
      <c r="JFR16" s="310" t="s">
        <v>201</v>
      </c>
      <c r="JFS16" s="310" t="s">
        <v>201</v>
      </c>
      <c r="JFT16" s="310" t="s">
        <v>201</v>
      </c>
      <c r="JFU16" s="310" t="s">
        <v>201</v>
      </c>
      <c r="JFV16" s="310" t="s">
        <v>201</v>
      </c>
      <c r="JFW16" s="310" t="s">
        <v>201</v>
      </c>
      <c r="JFX16" s="310" t="s">
        <v>201</v>
      </c>
      <c r="JFY16" s="310" t="s">
        <v>201</v>
      </c>
      <c r="JFZ16" s="310" t="s">
        <v>201</v>
      </c>
      <c r="JGA16" s="310" t="s">
        <v>201</v>
      </c>
      <c r="JGB16" s="310" t="s">
        <v>201</v>
      </c>
      <c r="JGC16" s="310" t="s">
        <v>201</v>
      </c>
      <c r="JGD16" s="310" t="s">
        <v>201</v>
      </c>
      <c r="JGE16" s="310" t="s">
        <v>201</v>
      </c>
      <c r="JGF16" s="310" t="s">
        <v>201</v>
      </c>
      <c r="JGG16" s="310" t="s">
        <v>201</v>
      </c>
      <c r="JGH16" s="310" t="s">
        <v>201</v>
      </c>
      <c r="JGI16" s="310" t="s">
        <v>201</v>
      </c>
      <c r="JGJ16" s="310" t="s">
        <v>201</v>
      </c>
      <c r="JGK16" s="310" t="s">
        <v>201</v>
      </c>
      <c r="JGL16" s="310" t="s">
        <v>201</v>
      </c>
      <c r="JGM16" s="310" t="s">
        <v>201</v>
      </c>
      <c r="JGN16" s="310" t="s">
        <v>201</v>
      </c>
      <c r="JGO16" s="310" t="s">
        <v>201</v>
      </c>
      <c r="JGP16" s="310" t="s">
        <v>201</v>
      </c>
      <c r="JGQ16" s="310" t="s">
        <v>201</v>
      </c>
      <c r="JGR16" s="310" t="s">
        <v>201</v>
      </c>
      <c r="JGS16" s="310" t="s">
        <v>201</v>
      </c>
      <c r="JGT16" s="310" t="s">
        <v>201</v>
      </c>
      <c r="JGU16" s="310" t="s">
        <v>201</v>
      </c>
      <c r="JGV16" s="310" t="s">
        <v>201</v>
      </c>
      <c r="JGW16" s="310" t="s">
        <v>201</v>
      </c>
      <c r="JGX16" s="310" t="s">
        <v>201</v>
      </c>
      <c r="JGY16" s="310" t="s">
        <v>201</v>
      </c>
      <c r="JGZ16" s="310" t="s">
        <v>201</v>
      </c>
      <c r="JHA16" s="310" t="s">
        <v>201</v>
      </c>
      <c r="JHB16" s="310" t="s">
        <v>201</v>
      </c>
      <c r="JHC16" s="310" t="s">
        <v>201</v>
      </c>
      <c r="JHD16" s="310" t="s">
        <v>201</v>
      </c>
      <c r="JHE16" s="310" t="s">
        <v>201</v>
      </c>
      <c r="JHF16" s="310" t="s">
        <v>201</v>
      </c>
      <c r="JHG16" s="310" t="s">
        <v>201</v>
      </c>
      <c r="JHH16" s="310" t="s">
        <v>201</v>
      </c>
      <c r="JHI16" s="310" t="s">
        <v>201</v>
      </c>
      <c r="JHJ16" s="310" t="s">
        <v>201</v>
      </c>
      <c r="JHK16" s="310" t="s">
        <v>201</v>
      </c>
      <c r="JHL16" s="310" t="s">
        <v>201</v>
      </c>
      <c r="JHM16" s="310" t="s">
        <v>201</v>
      </c>
      <c r="JHN16" s="310" t="s">
        <v>201</v>
      </c>
      <c r="JHO16" s="310" t="s">
        <v>201</v>
      </c>
      <c r="JHP16" s="310" t="s">
        <v>201</v>
      </c>
      <c r="JHQ16" s="310" t="s">
        <v>201</v>
      </c>
      <c r="JHR16" s="310" t="s">
        <v>201</v>
      </c>
      <c r="JHS16" s="310" t="s">
        <v>201</v>
      </c>
      <c r="JHT16" s="310" t="s">
        <v>201</v>
      </c>
      <c r="JHU16" s="310" t="s">
        <v>201</v>
      </c>
      <c r="JHV16" s="310" t="s">
        <v>201</v>
      </c>
      <c r="JHW16" s="310" t="s">
        <v>201</v>
      </c>
      <c r="JHX16" s="310" t="s">
        <v>201</v>
      </c>
      <c r="JHY16" s="310" t="s">
        <v>201</v>
      </c>
      <c r="JHZ16" s="310" t="s">
        <v>201</v>
      </c>
      <c r="JIA16" s="310" t="s">
        <v>201</v>
      </c>
      <c r="JIB16" s="310" t="s">
        <v>201</v>
      </c>
      <c r="JIC16" s="310" t="s">
        <v>201</v>
      </c>
      <c r="JID16" s="310" t="s">
        <v>201</v>
      </c>
      <c r="JIE16" s="310" t="s">
        <v>201</v>
      </c>
      <c r="JIF16" s="310" t="s">
        <v>201</v>
      </c>
      <c r="JIG16" s="310" t="s">
        <v>201</v>
      </c>
      <c r="JIH16" s="310" t="s">
        <v>201</v>
      </c>
      <c r="JII16" s="310" t="s">
        <v>201</v>
      </c>
      <c r="JIJ16" s="310" t="s">
        <v>201</v>
      </c>
      <c r="JIK16" s="310" t="s">
        <v>201</v>
      </c>
      <c r="JIL16" s="310" t="s">
        <v>201</v>
      </c>
      <c r="JIM16" s="310" t="s">
        <v>201</v>
      </c>
      <c r="JIN16" s="310" t="s">
        <v>201</v>
      </c>
      <c r="JIO16" s="310" t="s">
        <v>201</v>
      </c>
      <c r="JIP16" s="310" t="s">
        <v>201</v>
      </c>
      <c r="JIQ16" s="310" t="s">
        <v>201</v>
      </c>
      <c r="JIR16" s="310" t="s">
        <v>201</v>
      </c>
      <c r="JIS16" s="310" t="s">
        <v>201</v>
      </c>
      <c r="JIT16" s="310" t="s">
        <v>201</v>
      </c>
      <c r="JIU16" s="310" t="s">
        <v>201</v>
      </c>
      <c r="JIV16" s="310" t="s">
        <v>201</v>
      </c>
      <c r="JIW16" s="310" t="s">
        <v>201</v>
      </c>
      <c r="JIX16" s="310" t="s">
        <v>201</v>
      </c>
      <c r="JIY16" s="310" t="s">
        <v>201</v>
      </c>
      <c r="JIZ16" s="310" t="s">
        <v>201</v>
      </c>
      <c r="JJA16" s="310" t="s">
        <v>201</v>
      </c>
      <c r="JJB16" s="310" t="s">
        <v>201</v>
      </c>
      <c r="JJC16" s="310" t="s">
        <v>201</v>
      </c>
      <c r="JJD16" s="310" t="s">
        <v>201</v>
      </c>
      <c r="JJE16" s="310" t="s">
        <v>201</v>
      </c>
      <c r="JJF16" s="310" t="s">
        <v>201</v>
      </c>
      <c r="JJG16" s="310" t="s">
        <v>201</v>
      </c>
      <c r="JJH16" s="310" t="s">
        <v>201</v>
      </c>
      <c r="JJI16" s="310" t="s">
        <v>201</v>
      </c>
      <c r="JJJ16" s="310" t="s">
        <v>201</v>
      </c>
      <c r="JJK16" s="310" t="s">
        <v>201</v>
      </c>
      <c r="JJL16" s="310" t="s">
        <v>201</v>
      </c>
      <c r="JJM16" s="310" t="s">
        <v>201</v>
      </c>
      <c r="JJN16" s="310" t="s">
        <v>201</v>
      </c>
      <c r="JJO16" s="310" t="s">
        <v>201</v>
      </c>
      <c r="JJP16" s="310" t="s">
        <v>201</v>
      </c>
      <c r="JJQ16" s="310" t="s">
        <v>201</v>
      </c>
      <c r="JJR16" s="310" t="s">
        <v>201</v>
      </c>
      <c r="JJS16" s="310" t="s">
        <v>201</v>
      </c>
      <c r="JJT16" s="310" t="s">
        <v>201</v>
      </c>
      <c r="JJU16" s="310" t="s">
        <v>201</v>
      </c>
      <c r="JJV16" s="310" t="s">
        <v>201</v>
      </c>
      <c r="JJW16" s="310" t="s">
        <v>201</v>
      </c>
      <c r="JJX16" s="310" t="s">
        <v>201</v>
      </c>
      <c r="JJY16" s="310" t="s">
        <v>201</v>
      </c>
      <c r="JJZ16" s="310" t="s">
        <v>201</v>
      </c>
      <c r="JKA16" s="310" t="s">
        <v>201</v>
      </c>
      <c r="JKB16" s="310" t="s">
        <v>201</v>
      </c>
      <c r="JKC16" s="310" t="s">
        <v>201</v>
      </c>
      <c r="JKD16" s="310" t="s">
        <v>201</v>
      </c>
      <c r="JKE16" s="310" t="s">
        <v>201</v>
      </c>
      <c r="JKF16" s="310" t="s">
        <v>201</v>
      </c>
      <c r="JKG16" s="310" t="s">
        <v>201</v>
      </c>
      <c r="JKH16" s="310" t="s">
        <v>201</v>
      </c>
      <c r="JKI16" s="310" t="s">
        <v>201</v>
      </c>
      <c r="JKJ16" s="310" t="s">
        <v>201</v>
      </c>
      <c r="JKK16" s="310" t="s">
        <v>201</v>
      </c>
      <c r="JKL16" s="310" t="s">
        <v>201</v>
      </c>
      <c r="JKM16" s="310" t="s">
        <v>201</v>
      </c>
      <c r="JKN16" s="310" t="s">
        <v>201</v>
      </c>
      <c r="JKO16" s="310" t="s">
        <v>201</v>
      </c>
      <c r="JKP16" s="310" t="s">
        <v>201</v>
      </c>
      <c r="JKQ16" s="310" t="s">
        <v>201</v>
      </c>
      <c r="JKR16" s="310" t="s">
        <v>201</v>
      </c>
      <c r="JKS16" s="310" t="s">
        <v>201</v>
      </c>
      <c r="JKT16" s="310" t="s">
        <v>201</v>
      </c>
      <c r="JKU16" s="310" t="s">
        <v>201</v>
      </c>
      <c r="JKV16" s="310" t="s">
        <v>201</v>
      </c>
      <c r="JKW16" s="310" t="s">
        <v>201</v>
      </c>
      <c r="JKX16" s="310" t="s">
        <v>201</v>
      </c>
      <c r="JKY16" s="310" t="s">
        <v>201</v>
      </c>
      <c r="JKZ16" s="310" t="s">
        <v>201</v>
      </c>
      <c r="JLA16" s="310" t="s">
        <v>201</v>
      </c>
      <c r="JLB16" s="310" t="s">
        <v>201</v>
      </c>
      <c r="JLC16" s="310" t="s">
        <v>201</v>
      </c>
      <c r="JLD16" s="310" t="s">
        <v>201</v>
      </c>
      <c r="JLE16" s="310" t="s">
        <v>201</v>
      </c>
      <c r="JLF16" s="310" t="s">
        <v>201</v>
      </c>
      <c r="JLG16" s="310" t="s">
        <v>201</v>
      </c>
      <c r="JLH16" s="310" t="s">
        <v>201</v>
      </c>
      <c r="JLI16" s="310" t="s">
        <v>201</v>
      </c>
      <c r="JLJ16" s="310" t="s">
        <v>201</v>
      </c>
      <c r="JLK16" s="310" t="s">
        <v>201</v>
      </c>
      <c r="JLL16" s="310" t="s">
        <v>201</v>
      </c>
      <c r="JLM16" s="310" t="s">
        <v>201</v>
      </c>
      <c r="JLN16" s="310" t="s">
        <v>201</v>
      </c>
      <c r="JLO16" s="310" t="s">
        <v>201</v>
      </c>
      <c r="JLP16" s="310" t="s">
        <v>201</v>
      </c>
      <c r="JLQ16" s="310" t="s">
        <v>201</v>
      </c>
      <c r="JLR16" s="310" t="s">
        <v>201</v>
      </c>
      <c r="JLS16" s="310" t="s">
        <v>201</v>
      </c>
      <c r="JLT16" s="310" t="s">
        <v>201</v>
      </c>
      <c r="JLU16" s="310" t="s">
        <v>201</v>
      </c>
      <c r="JLV16" s="310" t="s">
        <v>201</v>
      </c>
      <c r="JLW16" s="310" t="s">
        <v>201</v>
      </c>
      <c r="JLX16" s="310" t="s">
        <v>201</v>
      </c>
      <c r="JLY16" s="310" t="s">
        <v>201</v>
      </c>
      <c r="JLZ16" s="310" t="s">
        <v>201</v>
      </c>
      <c r="JMA16" s="310" t="s">
        <v>201</v>
      </c>
      <c r="JMB16" s="310" t="s">
        <v>201</v>
      </c>
      <c r="JMC16" s="310" t="s">
        <v>201</v>
      </c>
      <c r="JMD16" s="310" t="s">
        <v>201</v>
      </c>
      <c r="JME16" s="310" t="s">
        <v>201</v>
      </c>
      <c r="JMF16" s="310" t="s">
        <v>201</v>
      </c>
      <c r="JMG16" s="310" t="s">
        <v>201</v>
      </c>
      <c r="JMH16" s="310" t="s">
        <v>201</v>
      </c>
      <c r="JMI16" s="310" t="s">
        <v>201</v>
      </c>
      <c r="JMJ16" s="310" t="s">
        <v>201</v>
      </c>
      <c r="JMK16" s="310" t="s">
        <v>201</v>
      </c>
      <c r="JML16" s="310" t="s">
        <v>201</v>
      </c>
      <c r="JMM16" s="310" t="s">
        <v>201</v>
      </c>
      <c r="JMN16" s="310" t="s">
        <v>201</v>
      </c>
      <c r="JMO16" s="310" t="s">
        <v>201</v>
      </c>
      <c r="JMP16" s="310" t="s">
        <v>201</v>
      </c>
      <c r="JMQ16" s="310" t="s">
        <v>201</v>
      </c>
      <c r="JMR16" s="310" t="s">
        <v>201</v>
      </c>
      <c r="JMS16" s="310" t="s">
        <v>201</v>
      </c>
      <c r="JMT16" s="310" t="s">
        <v>201</v>
      </c>
      <c r="JMU16" s="310" t="s">
        <v>201</v>
      </c>
      <c r="JMV16" s="310" t="s">
        <v>201</v>
      </c>
      <c r="JMW16" s="310" t="s">
        <v>201</v>
      </c>
      <c r="JMX16" s="310" t="s">
        <v>201</v>
      </c>
      <c r="JMY16" s="310" t="s">
        <v>201</v>
      </c>
      <c r="JMZ16" s="310" t="s">
        <v>201</v>
      </c>
      <c r="JNA16" s="310" t="s">
        <v>201</v>
      </c>
      <c r="JNB16" s="310" t="s">
        <v>201</v>
      </c>
      <c r="JNC16" s="310" t="s">
        <v>201</v>
      </c>
      <c r="JND16" s="310" t="s">
        <v>201</v>
      </c>
      <c r="JNE16" s="310" t="s">
        <v>201</v>
      </c>
      <c r="JNF16" s="310" t="s">
        <v>201</v>
      </c>
      <c r="JNG16" s="310" t="s">
        <v>201</v>
      </c>
      <c r="JNH16" s="310" t="s">
        <v>201</v>
      </c>
      <c r="JNI16" s="310" t="s">
        <v>201</v>
      </c>
      <c r="JNJ16" s="310" t="s">
        <v>201</v>
      </c>
      <c r="JNK16" s="310" t="s">
        <v>201</v>
      </c>
      <c r="JNL16" s="310" t="s">
        <v>201</v>
      </c>
      <c r="JNM16" s="310" t="s">
        <v>201</v>
      </c>
      <c r="JNN16" s="310" t="s">
        <v>201</v>
      </c>
      <c r="JNO16" s="310" t="s">
        <v>201</v>
      </c>
      <c r="JNP16" s="310" t="s">
        <v>201</v>
      </c>
      <c r="JNQ16" s="310" t="s">
        <v>201</v>
      </c>
      <c r="JNR16" s="310" t="s">
        <v>201</v>
      </c>
      <c r="JNS16" s="310" t="s">
        <v>201</v>
      </c>
      <c r="JNT16" s="310" t="s">
        <v>201</v>
      </c>
      <c r="JNU16" s="310" t="s">
        <v>201</v>
      </c>
      <c r="JNV16" s="310" t="s">
        <v>201</v>
      </c>
      <c r="JNW16" s="310" t="s">
        <v>201</v>
      </c>
      <c r="JNX16" s="310" t="s">
        <v>201</v>
      </c>
      <c r="JNY16" s="310" t="s">
        <v>201</v>
      </c>
      <c r="JNZ16" s="310" t="s">
        <v>201</v>
      </c>
      <c r="JOA16" s="310" t="s">
        <v>201</v>
      </c>
      <c r="JOB16" s="310" t="s">
        <v>201</v>
      </c>
      <c r="JOC16" s="310" t="s">
        <v>201</v>
      </c>
      <c r="JOD16" s="310" t="s">
        <v>201</v>
      </c>
      <c r="JOE16" s="310" t="s">
        <v>201</v>
      </c>
      <c r="JOF16" s="310" t="s">
        <v>201</v>
      </c>
      <c r="JOG16" s="310" t="s">
        <v>201</v>
      </c>
      <c r="JOH16" s="310" t="s">
        <v>201</v>
      </c>
      <c r="JOI16" s="310" t="s">
        <v>201</v>
      </c>
      <c r="JOJ16" s="310" t="s">
        <v>201</v>
      </c>
      <c r="JOK16" s="310" t="s">
        <v>201</v>
      </c>
      <c r="JOL16" s="310" t="s">
        <v>201</v>
      </c>
      <c r="JOM16" s="310" t="s">
        <v>201</v>
      </c>
      <c r="JON16" s="310" t="s">
        <v>201</v>
      </c>
      <c r="JOO16" s="310" t="s">
        <v>201</v>
      </c>
      <c r="JOP16" s="310" t="s">
        <v>201</v>
      </c>
      <c r="JOQ16" s="310" t="s">
        <v>201</v>
      </c>
      <c r="JOR16" s="310" t="s">
        <v>201</v>
      </c>
      <c r="JOS16" s="310" t="s">
        <v>201</v>
      </c>
      <c r="JOT16" s="310" t="s">
        <v>201</v>
      </c>
      <c r="JOU16" s="310" t="s">
        <v>201</v>
      </c>
      <c r="JOV16" s="310" t="s">
        <v>201</v>
      </c>
      <c r="JOW16" s="310" t="s">
        <v>201</v>
      </c>
      <c r="JOX16" s="310" t="s">
        <v>201</v>
      </c>
      <c r="JOY16" s="310" t="s">
        <v>201</v>
      </c>
      <c r="JOZ16" s="310" t="s">
        <v>201</v>
      </c>
      <c r="JPA16" s="310" t="s">
        <v>201</v>
      </c>
      <c r="JPB16" s="310" t="s">
        <v>201</v>
      </c>
      <c r="JPC16" s="310" t="s">
        <v>201</v>
      </c>
      <c r="JPD16" s="310" t="s">
        <v>201</v>
      </c>
      <c r="JPE16" s="310" t="s">
        <v>201</v>
      </c>
      <c r="JPF16" s="310" t="s">
        <v>201</v>
      </c>
      <c r="JPG16" s="310" t="s">
        <v>201</v>
      </c>
      <c r="JPH16" s="310" t="s">
        <v>201</v>
      </c>
      <c r="JPI16" s="310" t="s">
        <v>201</v>
      </c>
      <c r="JPJ16" s="310" t="s">
        <v>201</v>
      </c>
      <c r="JPK16" s="310" t="s">
        <v>201</v>
      </c>
      <c r="JPL16" s="310" t="s">
        <v>201</v>
      </c>
      <c r="JPM16" s="310" t="s">
        <v>201</v>
      </c>
      <c r="JPN16" s="310" t="s">
        <v>201</v>
      </c>
      <c r="JPO16" s="310" t="s">
        <v>201</v>
      </c>
      <c r="JPP16" s="310" t="s">
        <v>201</v>
      </c>
      <c r="JPQ16" s="310" t="s">
        <v>201</v>
      </c>
      <c r="JPR16" s="310" t="s">
        <v>201</v>
      </c>
      <c r="JPS16" s="310" t="s">
        <v>201</v>
      </c>
      <c r="JPT16" s="310" t="s">
        <v>201</v>
      </c>
      <c r="JPU16" s="310" t="s">
        <v>201</v>
      </c>
      <c r="JPV16" s="310" t="s">
        <v>201</v>
      </c>
      <c r="JPW16" s="310" t="s">
        <v>201</v>
      </c>
      <c r="JPX16" s="310" t="s">
        <v>201</v>
      </c>
      <c r="JPY16" s="310" t="s">
        <v>201</v>
      </c>
      <c r="JPZ16" s="310" t="s">
        <v>201</v>
      </c>
      <c r="JQA16" s="310" t="s">
        <v>201</v>
      </c>
      <c r="JQB16" s="310" t="s">
        <v>201</v>
      </c>
      <c r="JQC16" s="310" t="s">
        <v>201</v>
      </c>
      <c r="JQD16" s="310" t="s">
        <v>201</v>
      </c>
      <c r="JQE16" s="310" t="s">
        <v>201</v>
      </c>
      <c r="JQF16" s="310" t="s">
        <v>201</v>
      </c>
      <c r="JQG16" s="310" t="s">
        <v>201</v>
      </c>
      <c r="JQH16" s="310" t="s">
        <v>201</v>
      </c>
      <c r="JQI16" s="310" t="s">
        <v>201</v>
      </c>
      <c r="JQJ16" s="310" t="s">
        <v>201</v>
      </c>
      <c r="JQK16" s="310" t="s">
        <v>201</v>
      </c>
      <c r="JQL16" s="310" t="s">
        <v>201</v>
      </c>
      <c r="JQM16" s="310" t="s">
        <v>201</v>
      </c>
      <c r="JQN16" s="310" t="s">
        <v>201</v>
      </c>
      <c r="JQO16" s="310" t="s">
        <v>201</v>
      </c>
      <c r="JQP16" s="310" t="s">
        <v>201</v>
      </c>
      <c r="JQQ16" s="310" t="s">
        <v>201</v>
      </c>
      <c r="JQR16" s="310" t="s">
        <v>201</v>
      </c>
      <c r="JQS16" s="310" t="s">
        <v>201</v>
      </c>
      <c r="JQT16" s="310" t="s">
        <v>201</v>
      </c>
      <c r="JQU16" s="310" t="s">
        <v>201</v>
      </c>
      <c r="JQV16" s="310" t="s">
        <v>201</v>
      </c>
      <c r="JQW16" s="310" t="s">
        <v>201</v>
      </c>
      <c r="JQX16" s="310" t="s">
        <v>201</v>
      </c>
      <c r="JQY16" s="310" t="s">
        <v>201</v>
      </c>
      <c r="JQZ16" s="310" t="s">
        <v>201</v>
      </c>
      <c r="JRA16" s="310" t="s">
        <v>201</v>
      </c>
      <c r="JRB16" s="310" t="s">
        <v>201</v>
      </c>
      <c r="JRC16" s="310" t="s">
        <v>201</v>
      </c>
      <c r="JRD16" s="310" t="s">
        <v>201</v>
      </c>
      <c r="JRE16" s="310" t="s">
        <v>201</v>
      </c>
      <c r="JRF16" s="310" t="s">
        <v>201</v>
      </c>
      <c r="JRG16" s="310" t="s">
        <v>201</v>
      </c>
      <c r="JRH16" s="310" t="s">
        <v>201</v>
      </c>
      <c r="JRI16" s="310" t="s">
        <v>201</v>
      </c>
      <c r="JRJ16" s="310" t="s">
        <v>201</v>
      </c>
      <c r="JRK16" s="310" t="s">
        <v>201</v>
      </c>
      <c r="JRL16" s="310" t="s">
        <v>201</v>
      </c>
      <c r="JRM16" s="310" t="s">
        <v>201</v>
      </c>
      <c r="JRN16" s="310" t="s">
        <v>201</v>
      </c>
      <c r="JRO16" s="310" t="s">
        <v>201</v>
      </c>
      <c r="JRP16" s="310" t="s">
        <v>201</v>
      </c>
      <c r="JRQ16" s="310" t="s">
        <v>201</v>
      </c>
      <c r="JRR16" s="310" t="s">
        <v>201</v>
      </c>
      <c r="JRS16" s="310" t="s">
        <v>201</v>
      </c>
      <c r="JRT16" s="310" t="s">
        <v>201</v>
      </c>
      <c r="JRU16" s="310" t="s">
        <v>201</v>
      </c>
      <c r="JRV16" s="310" t="s">
        <v>201</v>
      </c>
      <c r="JRW16" s="310" t="s">
        <v>201</v>
      </c>
      <c r="JRX16" s="310" t="s">
        <v>201</v>
      </c>
      <c r="JRY16" s="310" t="s">
        <v>201</v>
      </c>
      <c r="JRZ16" s="310" t="s">
        <v>201</v>
      </c>
      <c r="JSA16" s="310" t="s">
        <v>201</v>
      </c>
      <c r="JSB16" s="310" t="s">
        <v>201</v>
      </c>
      <c r="JSC16" s="310" t="s">
        <v>201</v>
      </c>
      <c r="JSD16" s="310" t="s">
        <v>201</v>
      </c>
      <c r="JSE16" s="310" t="s">
        <v>201</v>
      </c>
      <c r="JSF16" s="310" t="s">
        <v>201</v>
      </c>
      <c r="JSG16" s="310" t="s">
        <v>201</v>
      </c>
      <c r="JSH16" s="310" t="s">
        <v>201</v>
      </c>
      <c r="JSI16" s="310" t="s">
        <v>201</v>
      </c>
      <c r="JSJ16" s="310" t="s">
        <v>201</v>
      </c>
      <c r="JSK16" s="310" t="s">
        <v>201</v>
      </c>
      <c r="JSL16" s="310" t="s">
        <v>201</v>
      </c>
      <c r="JSM16" s="310" t="s">
        <v>201</v>
      </c>
      <c r="JSN16" s="310" t="s">
        <v>201</v>
      </c>
      <c r="JSO16" s="310" t="s">
        <v>201</v>
      </c>
      <c r="JSP16" s="310" t="s">
        <v>201</v>
      </c>
      <c r="JSQ16" s="310" t="s">
        <v>201</v>
      </c>
      <c r="JSR16" s="310" t="s">
        <v>201</v>
      </c>
      <c r="JSS16" s="310" t="s">
        <v>201</v>
      </c>
      <c r="JST16" s="310" t="s">
        <v>201</v>
      </c>
      <c r="JSU16" s="310" t="s">
        <v>201</v>
      </c>
      <c r="JSV16" s="310" t="s">
        <v>201</v>
      </c>
      <c r="JSW16" s="310" t="s">
        <v>201</v>
      </c>
      <c r="JSX16" s="310" t="s">
        <v>201</v>
      </c>
      <c r="JSY16" s="310" t="s">
        <v>201</v>
      </c>
      <c r="JSZ16" s="310" t="s">
        <v>201</v>
      </c>
      <c r="JTA16" s="310" t="s">
        <v>201</v>
      </c>
      <c r="JTB16" s="310" t="s">
        <v>201</v>
      </c>
      <c r="JTC16" s="310" t="s">
        <v>201</v>
      </c>
      <c r="JTD16" s="310" t="s">
        <v>201</v>
      </c>
      <c r="JTE16" s="310" t="s">
        <v>201</v>
      </c>
      <c r="JTF16" s="310" t="s">
        <v>201</v>
      </c>
      <c r="JTG16" s="310" t="s">
        <v>201</v>
      </c>
      <c r="JTH16" s="310" t="s">
        <v>201</v>
      </c>
      <c r="JTI16" s="310" t="s">
        <v>201</v>
      </c>
      <c r="JTJ16" s="310" t="s">
        <v>201</v>
      </c>
      <c r="JTK16" s="310" t="s">
        <v>201</v>
      </c>
      <c r="JTL16" s="310" t="s">
        <v>201</v>
      </c>
      <c r="JTM16" s="310" t="s">
        <v>201</v>
      </c>
      <c r="JTN16" s="310" t="s">
        <v>201</v>
      </c>
      <c r="JTO16" s="310" t="s">
        <v>201</v>
      </c>
      <c r="JTP16" s="310" t="s">
        <v>201</v>
      </c>
      <c r="JTQ16" s="310" t="s">
        <v>201</v>
      </c>
      <c r="JTR16" s="310" t="s">
        <v>201</v>
      </c>
      <c r="JTS16" s="310" t="s">
        <v>201</v>
      </c>
      <c r="JTT16" s="310" t="s">
        <v>201</v>
      </c>
      <c r="JTU16" s="310" t="s">
        <v>201</v>
      </c>
      <c r="JTV16" s="310" t="s">
        <v>201</v>
      </c>
      <c r="JTW16" s="310" t="s">
        <v>201</v>
      </c>
      <c r="JTX16" s="310" t="s">
        <v>201</v>
      </c>
      <c r="JTY16" s="310" t="s">
        <v>201</v>
      </c>
      <c r="JTZ16" s="310" t="s">
        <v>201</v>
      </c>
      <c r="JUA16" s="310" t="s">
        <v>201</v>
      </c>
      <c r="JUB16" s="310" t="s">
        <v>201</v>
      </c>
      <c r="JUC16" s="310" t="s">
        <v>201</v>
      </c>
      <c r="JUD16" s="310" t="s">
        <v>201</v>
      </c>
      <c r="JUE16" s="310" t="s">
        <v>201</v>
      </c>
      <c r="JUF16" s="310" t="s">
        <v>201</v>
      </c>
      <c r="JUG16" s="310" t="s">
        <v>201</v>
      </c>
      <c r="JUH16" s="310" t="s">
        <v>201</v>
      </c>
      <c r="JUI16" s="310" t="s">
        <v>201</v>
      </c>
      <c r="JUJ16" s="310" t="s">
        <v>201</v>
      </c>
      <c r="JUK16" s="310" t="s">
        <v>201</v>
      </c>
      <c r="JUL16" s="310" t="s">
        <v>201</v>
      </c>
      <c r="JUM16" s="310" t="s">
        <v>201</v>
      </c>
      <c r="JUN16" s="310" t="s">
        <v>201</v>
      </c>
      <c r="JUO16" s="310" t="s">
        <v>201</v>
      </c>
      <c r="JUP16" s="310" t="s">
        <v>201</v>
      </c>
      <c r="JUQ16" s="310" t="s">
        <v>201</v>
      </c>
      <c r="JUR16" s="310" t="s">
        <v>201</v>
      </c>
      <c r="JUS16" s="310" t="s">
        <v>201</v>
      </c>
      <c r="JUT16" s="310" t="s">
        <v>201</v>
      </c>
      <c r="JUU16" s="310" t="s">
        <v>201</v>
      </c>
      <c r="JUV16" s="310" t="s">
        <v>201</v>
      </c>
      <c r="JUW16" s="310" t="s">
        <v>201</v>
      </c>
      <c r="JUX16" s="310" t="s">
        <v>201</v>
      </c>
      <c r="JUY16" s="310" t="s">
        <v>201</v>
      </c>
      <c r="JUZ16" s="310" t="s">
        <v>201</v>
      </c>
      <c r="JVA16" s="310" t="s">
        <v>201</v>
      </c>
      <c r="JVB16" s="310" t="s">
        <v>201</v>
      </c>
      <c r="JVC16" s="310" t="s">
        <v>201</v>
      </c>
      <c r="JVD16" s="310" t="s">
        <v>201</v>
      </c>
      <c r="JVE16" s="310" t="s">
        <v>201</v>
      </c>
      <c r="JVF16" s="310" t="s">
        <v>201</v>
      </c>
      <c r="JVG16" s="310" t="s">
        <v>201</v>
      </c>
      <c r="JVH16" s="310" t="s">
        <v>201</v>
      </c>
      <c r="JVI16" s="310" t="s">
        <v>201</v>
      </c>
      <c r="JVJ16" s="310" t="s">
        <v>201</v>
      </c>
      <c r="JVK16" s="310" t="s">
        <v>201</v>
      </c>
      <c r="JVL16" s="310" t="s">
        <v>201</v>
      </c>
      <c r="JVM16" s="310" t="s">
        <v>201</v>
      </c>
      <c r="JVN16" s="310" t="s">
        <v>201</v>
      </c>
      <c r="JVO16" s="310" t="s">
        <v>201</v>
      </c>
      <c r="JVP16" s="310" t="s">
        <v>201</v>
      </c>
      <c r="JVQ16" s="310" t="s">
        <v>201</v>
      </c>
      <c r="JVR16" s="310" t="s">
        <v>201</v>
      </c>
      <c r="JVS16" s="310" t="s">
        <v>201</v>
      </c>
      <c r="JVT16" s="310" t="s">
        <v>201</v>
      </c>
      <c r="JVU16" s="310" t="s">
        <v>201</v>
      </c>
      <c r="JVV16" s="310" t="s">
        <v>201</v>
      </c>
      <c r="JVW16" s="310" t="s">
        <v>201</v>
      </c>
      <c r="JVX16" s="310" t="s">
        <v>201</v>
      </c>
      <c r="JVY16" s="310" t="s">
        <v>201</v>
      </c>
      <c r="JVZ16" s="310" t="s">
        <v>201</v>
      </c>
      <c r="JWA16" s="310" t="s">
        <v>201</v>
      </c>
      <c r="JWB16" s="310" t="s">
        <v>201</v>
      </c>
      <c r="JWC16" s="310" t="s">
        <v>201</v>
      </c>
      <c r="JWD16" s="310" t="s">
        <v>201</v>
      </c>
      <c r="JWE16" s="310" t="s">
        <v>201</v>
      </c>
      <c r="JWF16" s="310" t="s">
        <v>201</v>
      </c>
      <c r="JWG16" s="310" t="s">
        <v>201</v>
      </c>
      <c r="JWH16" s="310" t="s">
        <v>201</v>
      </c>
      <c r="JWI16" s="310" t="s">
        <v>201</v>
      </c>
      <c r="JWJ16" s="310" t="s">
        <v>201</v>
      </c>
      <c r="JWK16" s="310" t="s">
        <v>201</v>
      </c>
      <c r="JWL16" s="310" t="s">
        <v>201</v>
      </c>
      <c r="JWM16" s="310" t="s">
        <v>201</v>
      </c>
      <c r="JWN16" s="310" t="s">
        <v>201</v>
      </c>
      <c r="JWO16" s="310" t="s">
        <v>201</v>
      </c>
      <c r="JWP16" s="310" t="s">
        <v>201</v>
      </c>
      <c r="JWQ16" s="310" t="s">
        <v>201</v>
      </c>
      <c r="JWR16" s="310" t="s">
        <v>201</v>
      </c>
      <c r="JWS16" s="310" t="s">
        <v>201</v>
      </c>
      <c r="JWT16" s="310" t="s">
        <v>201</v>
      </c>
      <c r="JWU16" s="310" t="s">
        <v>201</v>
      </c>
      <c r="JWV16" s="310" t="s">
        <v>201</v>
      </c>
      <c r="JWW16" s="310" t="s">
        <v>201</v>
      </c>
      <c r="JWX16" s="310" t="s">
        <v>201</v>
      </c>
      <c r="JWY16" s="310" t="s">
        <v>201</v>
      </c>
      <c r="JWZ16" s="310" t="s">
        <v>201</v>
      </c>
      <c r="JXA16" s="310" t="s">
        <v>201</v>
      </c>
      <c r="JXB16" s="310" t="s">
        <v>201</v>
      </c>
      <c r="JXC16" s="310" t="s">
        <v>201</v>
      </c>
      <c r="JXD16" s="310" t="s">
        <v>201</v>
      </c>
      <c r="JXE16" s="310" t="s">
        <v>201</v>
      </c>
      <c r="JXF16" s="310" t="s">
        <v>201</v>
      </c>
      <c r="JXG16" s="310" t="s">
        <v>201</v>
      </c>
      <c r="JXH16" s="310" t="s">
        <v>201</v>
      </c>
      <c r="JXI16" s="310" t="s">
        <v>201</v>
      </c>
      <c r="JXJ16" s="310" t="s">
        <v>201</v>
      </c>
      <c r="JXK16" s="310" t="s">
        <v>201</v>
      </c>
      <c r="JXL16" s="310" t="s">
        <v>201</v>
      </c>
      <c r="JXM16" s="310" t="s">
        <v>201</v>
      </c>
      <c r="JXN16" s="310" t="s">
        <v>201</v>
      </c>
      <c r="JXO16" s="310" t="s">
        <v>201</v>
      </c>
      <c r="JXP16" s="310" t="s">
        <v>201</v>
      </c>
      <c r="JXQ16" s="310" t="s">
        <v>201</v>
      </c>
      <c r="JXR16" s="310" t="s">
        <v>201</v>
      </c>
      <c r="JXS16" s="310" t="s">
        <v>201</v>
      </c>
      <c r="JXT16" s="310" t="s">
        <v>201</v>
      </c>
      <c r="JXU16" s="310" t="s">
        <v>201</v>
      </c>
      <c r="JXV16" s="310" t="s">
        <v>201</v>
      </c>
      <c r="JXW16" s="310" t="s">
        <v>201</v>
      </c>
      <c r="JXX16" s="310" t="s">
        <v>201</v>
      </c>
      <c r="JXY16" s="310" t="s">
        <v>201</v>
      </c>
      <c r="JXZ16" s="310" t="s">
        <v>201</v>
      </c>
      <c r="JYA16" s="310" t="s">
        <v>201</v>
      </c>
      <c r="JYB16" s="310" t="s">
        <v>201</v>
      </c>
      <c r="JYC16" s="310" t="s">
        <v>201</v>
      </c>
      <c r="JYD16" s="310" t="s">
        <v>201</v>
      </c>
      <c r="JYE16" s="310" t="s">
        <v>201</v>
      </c>
      <c r="JYF16" s="310" t="s">
        <v>201</v>
      </c>
      <c r="JYG16" s="310" t="s">
        <v>201</v>
      </c>
      <c r="JYH16" s="310" t="s">
        <v>201</v>
      </c>
      <c r="JYI16" s="310" t="s">
        <v>201</v>
      </c>
      <c r="JYJ16" s="310" t="s">
        <v>201</v>
      </c>
      <c r="JYK16" s="310" t="s">
        <v>201</v>
      </c>
      <c r="JYL16" s="310" t="s">
        <v>201</v>
      </c>
      <c r="JYM16" s="310" t="s">
        <v>201</v>
      </c>
      <c r="JYN16" s="310" t="s">
        <v>201</v>
      </c>
      <c r="JYO16" s="310" t="s">
        <v>201</v>
      </c>
      <c r="JYP16" s="310" t="s">
        <v>201</v>
      </c>
      <c r="JYQ16" s="310" t="s">
        <v>201</v>
      </c>
      <c r="JYR16" s="310" t="s">
        <v>201</v>
      </c>
      <c r="JYS16" s="310" t="s">
        <v>201</v>
      </c>
      <c r="JYT16" s="310" t="s">
        <v>201</v>
      </c>
      <c r="JYU16" s="310" t="s">
        <v>201</v>
      </c>
      <c r="JYV16" s="310" t="s">
        <v>201</v>
      </c>
      <c r="JYW16" s="310" t="s">
        <v>201</v>
      </c>
      <c r="JYX16" s="310" t="s">
        <v>201</v>
      </c>
      <c r="JYY16" s="310" t="s">
        <v>201</v>
      </c>
      <c r="JYZ16" s="310" t="s">
        <v>201</v>
      </c>
      <c r="JZA16" s="310" t="s">
        <v>201</v>
      </c>
      <c r="JZB16" s="310" t="s">
        <v>201</v>
      </c>
      <c r="JZC16" s="310" t="s">
        <v>201</v>
      </c>
      <c r="JZD16" s="310" t="s">
        <v>201</v>
      </c>
      <c r="JZE16" s="310" t="s">
        <v>201</v>
      </c>
      <c r="JZF16" s="310" t="s">
        <v>201</v>
      </c>
      <c r="JZG16" s="310" t="s">
        <v>201</v>
      </c>
      <c r="JZH16" s="310" t="s">
        <v>201</v>
      </c>
      <c r="JZI16" s="310" t="s">
        <v>201</v>
      </c>
      <c r="JZJ16" s="310" t="s">
        <v>201</v>
      </c>
      <c r="JZK16" s="310" t="s">
        <v>201</v>
      </c>
      <c r="JZL16" s="310" t="s">
        <v>201</v>
      </c>
      <c r="JZM16" s="310" t="s">
        <v>201</v>
      </c>
      <c r="JZN16" s="310" t="s">
        <v>201</v>
      </c>
      <c r="JZO16" s="310" t="s">
        <v>201</v>
      </c>
      <c r="JZP16" s="310" t="s">
        <v>201</v>
      </c>
      <c r="JZQ16" s="310" t="s">
        <v>201</v>
      </c>
      <c r="JZR16" s="310" t="s">
        <v>201</v>
      </c>
      <c r="JZS16" s="310" t="s">
        <v>201</v>
      </c>
      <c r="JZT16" s="310" t="s">
        <v>201</v>
      </c>
      <c r="JZU16" s="310" t="s">
        <v>201</v>
      </c>
      <c r="JZV16" s="310" t="s">
        <v>201</v>
      </c>
      <c r="JZW16" s="310" t="s">
        <v>201</v>
      </c>
      <c r="JZX16" s="310" t="s">
        <v>201</v>
      </c>
      <c r="JZY16" s="310" t="s">
        <v>201</v>
      </c>
      <c r="JZZ16" s="310" t="s">
        <v>201</v>
      </c>
      <c r="KAA16" s="310" t="s">
        <v>201</v>
      </c>
      <c r="KAB16" s="310" t="s">
        <v>201</v>
      </c>
      <c r="KAC16" s="310" t="s">
        <v>201</v>
      </c>
      <c r="KAD16" s="310" t="s">
        <v>201</v>
      </c>
      <c r="KAE16" s="310" t="s">
        <v>201</v>
      </c>
      <c r="KAF16" s="310" t="s">
        <v>201</v>
      </c>
      <c r="KAG16" s="310" t="s">
        <v>201</v>
      </c>
      <c r="KAH16" s="310" t="s">
        <v>201</v>
      </c>
      <c r="KAI16" s="310" t="s">
        <v>201</v>
      </c>
      <c r="KAJ16" s="310" t="s">
        <v>201</v>
      </c>
      <c r="KAK16" s="310" t="s">
        <v>201</v>
      </c>
      <c r="KAL16" s="310" t="s">
        <v>201</v>
      </c>
      <c r="KAM16" s="310" t="s">
        <v>201</v>
      </c>
      <c r="KAN16" s="310" t="s">
        <v>201</v>
      </c>
      <c r="KAO16" s="310" t="s">
        <v>201</v>
      </c>
      <c r="KAP16" s="310" t="s">
        <v>201</v>
      </c>
      <c r="KAQ16" s="310" t="s">
        <v>201</v>
      </c>
      <c r="KAR16" s="310" t="s">
        <v>201</v>
      </c>
      <c r="KAS16" s="310" t="s">
        <v>201</v>
      </c>
      <c r="KAT16" s="310" t="s">
        <v>201</v>
      </c>
      <c r="KAU16" s="310" t="s">
        <v>201</v>
      </c>
      <c r="KAV16" s="310" t="s">
        <v>201</v>
      </c>
      <c r="KAW16" s="310" t="s">
        <v>201</v>
      </c>
      <c r="KAX16" s="310" t="s">
        <v>201</v>
      </c>
      <c r="KAY16" s="310" t="s">
        <v>201</v>
      </c>
      <c r="KAZ16" s="310" t="s">
        <v>201</v>
      </c>
      <c r="KBA16" s="310" t="s">
        <v>201</v>
      </c>
      <c r="KBB16" s="310" t="s">
        <v>201</v>
      </c>
      <c r="KBC16" s="310" t="s">
        <v>201</v>
      </c>
      <c r="KBD16" s="310" t="s">
        <v>201</v>
      </c>
      <c r="KBE16" s="310" t="s">
        <v>201</v>
      </c>
      <c r="KBF16" s="310" t="s">
        <v>201</v>
      </c>
      <c r="KBG16" s="310" t="s">
        <v>201</v>
      </c>
      <c r="KBH16" s="310" t="s">
        <v>201</v>
      </c>
      <c r="KBI16" s="310" t="s">
        <v>201</v>
      </c>
      <c r="KBJ16" s="310" t="s">
        <v>201</v>
      </c>
      <c r="KBK16" s="310" t="s">
        <v>201</v>
      </c>
      <c r="KBL16" s="310" t="s">
        <v>201</v>
      </c>
      <c r="KBM16" s="310" t="s">
        <v>201</v>
      </c>
      <c r="KBN16" s="310" t="s">
        <v>201</v>
      </c>
      <c r="KBO16" s="310" t="s">
        <v>201</v>
      </c>
      <c r="KBP16" s="310" t="s">
        <v>201</v>
      </c>
      <c r="KBQ16" s="310" t="s">
        <v>201</v>
      </c>
      <c r="KBR16" s="310" t="s">
        <v>201</v>
      </c>
      <c r="KBS16" s="310" t="s">
        <v>201</v>
      </c>
      <c r="KBT16" s="310" t="s">
        <v>201</v>
      </c>
      <c r="KBU16" s="310" t="s">
        <v>201</v>
      </c>
      <c r="KBV16" s="310" t="s">
        <v>201</v>
      </c>
      <c r="KBW16" s="310" t="s">
        <v>201</v>
      </c>
      <c r="KBX16" s="310" t="s">
        <v>201</v>
      </c>
      <c r="KBY16" s="310" t="s">
        <v>201</v>
      </c>
      <c r="KBZ16" s="310" t="s">
        <v>201</v>
      </c>
      <c r="KCA16" s="310" t="s">
        <v>201</v>
      </c>
      <c r="KCB16" s="310" t="s">
        <v>201</v>
      </c>
      <c r="KCC16" s="310" t="s">
        <v>201</v>
      </c>
      <c r="KCD16" s="310" t="s">
        <v>201</v>
      </c>
      <c r="KCE16" s="310" t="s">
        <v>201</v>
      </c>
      <c r="KCF16" s="310" t="s">
        <v>201</v>
      </c>
      <c r="KCG16" s="310" t="s">
        <v>201</v>
      </c>
      <c r="KCH16" s="310" t="s">
        <v>201</v>
      </c>
      <c r="KCI16" s="310" t="s">
        <v>201</v>
      </c>
      <c r="KCJ16" s="310" t="s">
        <v>201</v>
      </c>
      <c r="KCK16" s="310" t="s">
        <v>201</v>
      </c>
      <c r="KCL16" s="310" t="s">
        <v>201</v>
      </c>
      <c r="KCM16" s="310" t="s">
        <v>201</v>
      </c>
      <c r="KCN16" s="310" t="s">
        <v>201</v>
      </c>
      <c r="KCO16" s="310" t="s">
        <v>201</v>
      </c>
      <c r="KCP16" s="310" t="s">
        <v>201</v>
      </c>
      <c r="KCQ16" s="310" t="s">
        <v>201</v>
      </c>
      <c r="KCR16" s="310" t="s">
        <v>201</v>
      </c>
      <c r="KCS16" s="310" t="s">
        <v>201</v>
      </c>
      <c r="KCT16" s="310" t="s">
        <v>201</v>
      </c>
      <c r="KCU16" s="310" t="s">
        <v>201</v>
      </c>
      <c r="KCV16" s="310" t="s">
        <v>201</v>
      </c>
      <c r="KCW16" s="310" t="s">
        <v>201</v>
      </c>
      <c r="KCX16" s="310" t="s">
        <v>201</v>
      </c>
      <c r="KCY16" s="310" t="s">
        <v>201</v>
      </c>
      <c r="KCZ16" s="310" t="s">
        <v>201</v>
      </c>
      <c r="KDA16" s="310" t="s">
        <v>201</v>
      </c>
      <c r="KDB16" s="310" t="s">
        <v>201</v>
      </c>
      <c r="KDC16" s="310" t="s">
        <v>201</v>
      </c>
      <c r="KDD16" s="310" t="s">
        <v>201</v>
      </c>
      <c r="KDE16" s="310" t="s">
        <v>201</v>
      </c>
      <c r="KDF16" s="310" t="s">
        <v>201</v>
      </c>
      <c r="KDG16" s="310" t="s">
        <v>201</v>
      </c>
      <c r="KDH16" s="310" t="s">
        <v>201</v>
      </c>
      <c r="KDI16" s="310" t="s">
        <v>201</v>
      </c>
      <c r="KDJ16" s="310" t="s">
        <v>201</v>
      </c>
      <c r="KDK16" s="310" t="s">
        <v>201</v>
      </c>
      <c r="KDL16" s="310" t="s">
        <v>201</v>
      </c>
      <c r="KDM16" s="310" t="s">
        <v>201</v>
      </c>
      <c r="KDN16" s="310" t="s">
        <v>201</v>
      </c>
      <c r="KDO16" s="310" t="s">
        <v>201</v>
      </c>
      <c r="KDP16" s="310" t="s">
        <v>201</v>
      </c>
      <c r="KDQ16" s="310" t="s">
        <v>201</v>
      </c>
      <c r="KDR16" s="310" t="s">
        <v>201</v>
      </c>
      <c r="KDS16" s="310" t="s">
        <v>201</v>
      </c>
      <c r="KDT16" s="310" t="s">
        <v>201</v>
      </c>
      <c r="KDU16" s="310" t="s">
        <v>201</v>
      </c>
      <c r="KDV16" s="310" t="s">
        <v>201</v>
      </c>
      <c r="KDW16" s="310" t="s">
        <v>201</v>
      </c>
      <c r="KDX16" s="310" t="s">
        <v>201</v>
      </c>
      <c r="KDY16" s="310" t="s">
        <v>201</v>
      </c>
      <c r="KDZ16" s="310" t="s">
        <v>201</v>
      </c>
      <c r="KEA16" s="310" t="s">
        <v>201</v>
      </c>
      <c r="KEB16" s="310" t="s">
        <v>201</v>
      </c>
      <c r="KEC16" s="310" t="s">
        <v>201</v>
      </c>
      <c r="KED16" s="310" t="s">
        <v>201</v>
      </c>
      <c r="KEE16" s="310" t="s">
        <v>201</v>
      </c>
      <c r="KEF16" s="310" t="s">
        <v>201</v>
      </c>
      <c r="KEG16" s="310" t="s">
        <v>201</v>
      </c>
      <c r="KEH16" s="310" t="s">
        <v>201</v>
      </c>
      <c r="KEI16" s="310" t="s">
        <v>201</v>
      </c>
      <c r="KEJ16" s="310" t="s">
        <v>201</v>
      </c>
      <c r="KEK16" s="310" t="s">
        <v>201</v>
      </c>
      <c r="KEL16" s="310" t="s">
        <v>201</v>
      </c>
      <c r="KEM16" s="310" t="s">
        <v>201</v>
      </c>
      <c r="KEN16" s="310" t="s">
        <v>201</v>
      </c>
      <c r="KEO16" s="310" t="s">
        <v>201</v>
      </c>
      <c r="KEP16" s="310" t="s">
        <v>201</v>
      </c>
      <c r="KEQ16" s="310" t="s">
        <v>201</v>
      </c>
      <c r="KER16" s="310" t="s">
        <v>201</v>
      </c>
      <c r="KES16" s="310" t="s">
        <v>201</v>
      </c>
      <c r="KET16" s="310" t="s">
        <v>201</v>
      </c>
      <c r="KEU16" s="310" t="s">
        <v>201</v>
      </c>
      <c r="KEV16" s="310" t="s">
        <v>201</v>
      </c>
      <c r="KEW16" s="310" t="s">
        <v>201</v>
      </c>
      <c r="KEX16" s="310" t="s">
        <v>201</v>
      </c>
      <c r="KEY16" s="310" t="s">
        <v>201</v>
      </c>
      <c r="KEZ16" s="310" t="s">
        <v>201</v>
      </c>
      <c r="KFA16" s="310" t="s">
        <v>201</v>
      </c>
      <c r="KFB16" s="310" t="s">
        <v>201</v>
      </c>
      <c r="KFC16" s="310" t="s">
        <v>201</v>
      </c>
      <c r="KFD16" s="310" t="s">
        <v>201</v>
      </c>
      <c r="KFE16" s="310" t="s">
        <v>201</v>
      </c>
      <c r="KFF16" s="310" t="s">
        <v>201</v>
      </c>
      <c r="KFG16" s="310" t="s">
        <v>201</v>
      </c>
      <c r="KFH16" s="310" t="s">
        <v>201</v>
      </c>
      <c r="KFI16" s="310" t="s">
        <v>201</v>
      </c>
      <c r="KFJ16" s="310" t="s">
        <v>201</v>
      </c>
      <c r="KFK16" s="310" t="s">
        <v>201</v>
      </c>
      <c r="KFL16" s="310" t="s">
        <v>201</v>
      </c>
      <c r="KFM16" s="310" t="s">
        <v>201</v>
      </c>
      <c r="KFN16" s="310" t="s">
        <v>201</v>
      </c>
      <c r="KFO16" s="310" t="s">
        <v>201</v>
      </c>
      <c r="KFP16" s="310" t="s">
        <v>201</v>
      </c>
      <c r="KFQ16" s="310" t="s">
        <v>201</v>
      </c>
      <c r="KFR16" s="310" t="s">
        <v>201</v>
      </c>
      <c r="KFS16" s="310" t="s">
        <v>201</v>
      </c>
      <c r="KFT16" s="310" t="s">
        <v>201</v>
      </c>
      <c r="KFU16" s="310" t="s">
        <v>201</v>
      </c>
      <c r="KFV16" s="310" t="s">
        <v>201</v>
      </c>
      <c r="KFW16" s="310" t="s">
        <v>201</v>
      </c>
      <c r="KFX16" s="310" t="s">
        <v>201</v>
      </c>
      <c r="KFY16" s="310" t="s">
        <v>201</v>
      </c>
      <c r="KFZ16" s="310" t="s">
        <v>201</v>
      </c>
      <c r="KGA16" s="310" t="s">
        <v>201</v>
      </c>
      <c r="KGB16" s="310" t="s">
        <v>201</v>
      </c>
      <c r="KGC16" s="310" t="s">
        <v>201</v>
      </c>
      <c r="KGD16" s="310" t="s">
        <v>201</v>
      </c>
      <c r="KGE16" s="310" t="s">
        <v>201</v>
      </c>
      <c r="KGF16" s="310" t="s">
        <v>201</v>
      </c>
      <c r="KGG16" s="310" t="s">
        <v>201</v>
      </c>
      <c r="KGH16" s="310" t="s">
        <v>201</v>
      </c>
      <c r="KGI16" s="310" t="s">
        <v>201</v>
      </c>
      <c r="KGJ16" s="310" t="s">
        <v>201</v>
      </c>
      <c r="KGK16" s="310" t="s">
        <v>201</v>
      </c>
      <c r="KGL16" s="310" t="s">
        <v>201</v>
      </c>
      <c r="KGM16" s="310" t="s">
        <v>201</v>
      </c>
      <c r="KGN16" s="310" t="s">
        <v>201</v>
      </c>
      <c r="KGO16" s="310" t="s">
        <v>201</v>
      </c>
      <c r="KGP16" s="310" t="s">
        <v>201</v>
      </c>
      <c r="KGQ16" s="310" t="s">
        <v>201</v>
      </c>
      <c r="KGR16" s="310" t="s">
        <v>201</v>
      </c>
      <c r="KGS16" s="310" t="s">
        <v>201</v>
      </c>
      <c r="KGT16" s="310" t="s">
        <v>201</v>
      </c>
      <c r="KGU16" s="310" t="s">
        <v>201</v>
      </c>
      <c r="KGV16" s="310" t="s">
        <v>201</v>
      </c>
      <c r="KGW16" s="310" t="s">
        <v>201</v>
      </c>
      <c r="KGX16" s="310" t="s">
        <v>201</v>
      </c>
      <c r="KGY16" s="310" t="s">
        <v>201</v>
      </c>
      <c r="KGZ16" s="310" t="s">
        <v>201</v>
      </c>
      <c r="KHA16" s="310" t="s">
        <v>201</v>
      </c>
      <c r="KHB16" s="310" t="s">
        <v>201</v>
      </c>
      <c r="KHC16" s="310" t="s">
        <v>201</v>
      </c>
      <c r="KHD16" s="310" t="s">
        <v>201</v>
      </c>
      <c r="KHE16" s="310" t="s">
        <v>201</v>
      </c>
      <c r="KHF16" s="310" t="s">
        <v>201</v>
      </c>
      <c r="KHG16" s="310" t="s">
        <v>201</v>
      </c>
      <c r="KHH16" s="310" t="s">
        <v>201</v>
      </c>
      <c r="KHI16" s="310" t="s">
        <v>201</v>
      </c>
      <c r="KHJ16" s="310" t="s">
        <v>201</v>
      </c>
      <c r="KHK16" s="310" t="s">
        <v>201</v>
      </c>
      <c r="KHL16" s="310" t="s">
        <v>201</v>
      </c>
      <c r="KHM16" s="310" t="s">
        <v>201</v>
      </c>
      <c r="KHN16" s="310" t="s">
        <v>201</v>
      </c>
      <c r="KHO16" s="310" t="s">
        <v>201</v>
      </c>
      <c r="KHP16" s="310" t="s">
        <v>201</v>
      </c>
      <c r="KHQ16" s="310" t="s">
        <v>201</v>
      </c>
      <c r="KHR16" s="310" t="s">
        <v>201</v>
      </c>
      <c r="KHS16" s="310" t="s">
        <v>201</v>
      </c>
      <c r="KHT16" s="310" t="s">
        <v>201</v>
      </c>
      <c r="KHU16" s="310" t="s">
        <v>201</v>
      </c>
      <c r="KHV16" s="310" t="s">
        <v>201</v>
      </c>
      <c r="KHW16" s="310" t="s">
        <v>201</v>
      </c>
      <c r="KHX16" s="310" t="s">
        <v>201</v>
      </c>
      <c r="KHY16" s="310" t="s">
        <v>201</v>
      </c>
      <c r="KHZ16" s="310" t="s">
        <v>201</v>
      </c>
      <c r="KIA16" s="310" t="s">
        <v>201</v>
      </c>
      <c r="KIB16" s="310" t="s">
        <v>201</v>
      </c>
      <c r="KIC16" s="310" t="s">
        <v>201</v>
      </c>
      <c r="KID16" s="310" t="s">
        <v>201</v>
      </c>
      <c r="KIE16" s="310" t="s">
        <v>201</v>
      </c>
      <c r="KIF16" s="310" t="s">
        <v>201</v>
      </c>
      <c r="KIG16" s="310" t="s">
        <v>201</v>
      </c>
      <c r="KIH16" s="310" t="s">
        <v>201</v>
      </c>
      <c r="KII16" s="310" t="s">
        <v>201</v>
      </c>
      <c r="KIJ16" s="310" t="s">
        <v>201</v>
      </c>
      <c r="KIK16" s="310" t="s">
        <v>201</v>
      </c>
      <c r="KIL16" s="310" t="s">
        <v>201</v>
      </c>
      <c r="KIM16" s="310" t="s">
        <v>201</v>
      </c>
      <c r="KIN16" s="310" t="s">
        <v>201</v>
      </c>
      <c r="KIO16" s="310" t="s">
        <v>201</v>
      </c>
      <c r="KIP16" s="310" t="s">
        <v>201</v>
      </c>
      <c r="KIQ16" s="310" t="s">
        <v>201</v>
      </c>
      <c r="KIR16" s="310" t="s">
        <v>201</v>
      </c>
      <c r="KIS16" s="310" t="s">
        <v>201</v>
      </c>
      <c r="KIT16" s="310" t="s">
        <v>201</v>
      </c>
      <c r="KIU16" s="310" t="s">
        <v>201</v>
      </c>
      <c r="KIV16" s="310" t="s">
        <v>201</v>
      </c>
      <c r="KIW16" s="310" t="s">
        <v>201</v>
      </c>
      <c r="KIX16" s="310" t="s">
        <v>201</v>
      </c>
      <c r="KIY16" s="310" t="s">
        <v>201</v>
      </c>
      <c r="KIZ16" s="310" t="s">
        <v>201</v>
      </c>
      <c r="KJA16" s="310" t="s">
        <v>201</v>
      </c>
      <c r="KJB16" s="310" t="s">
        <v>201</v>
      </c>
      <c r="KJC16" s="310" t="s">
        <v>201</v>
      </c>
      <c r="KJD16" s="310" t="s">
        <v>201</v>
      </c>
      <c r="KJE16" s="310" t="s">
        <v>201</v>
      </c>
      <c r="KJF16" s="310" t="s">
        <v>201</v>
      </c>
      <c r="KJG16" s="310" t="s">
        <v>201</v>
      </c>
      <c r="KJH16" s="310" t="s">
        <v>201</v>
      </c>
      <c r="KJI16" s="310" t="s">
        <v>201</v>
      </c>
      <c r="KJJ16" s="310" t="s">
        <v>201</v>
      </c>
      <c r="KJK16" s="310" t="s">
        <v>201</v>
      </c>
      <c r="KJL16" s="310" t="s">
        <v>201</v>
      </c>
      <c r="KJM16" s="310" t="s">
        <v>201</v>
      </c>
      <c r="KJN16" s="310" t="s">
        <v>201</v>
      </c>
      <c r="KJO16" s="310" t="s">
        <v>201</v>
      </c>
      <c r="KJP16" s="310" t="s">
        <v>201</v>
      </c>
      <c r="KJQ16" s="310" t="s">
        <v>201</v>
      </c>
      <c r="KJR16" s="310" t="s">
        <v>201</v>
      </c>
      <c r="KJS16" s="310" t="s">
        <v>201</v>
      </c>
      <c r="KJT16" s="310" t="s">
        <v>201</v>
      </c>
      <c r="KJU16" s="310" t="s">
        <v>201</v>
      </c>
      <c r="KJV16" s="310" t="s">
        <v>201</v>
      </c>
      <c r="KJW16" s="310" t="s">
        <v>201</v>
      </c>
      <c r="KJX16" s="310" t="s">
        <v>201</v>
      </c>
      <c r="KJY16" s="310" t="s">
        <v>201</v>
      </c>
      <c r="KJZ16" s="310" t="s">
        <v>201</v>
      </c>
      <c r="KKA16" s="310" t="s">
        <v>201</v>
      </c>
      <c r="KKB16" s="310" t="s">
        <v>201</v>
      </c>
      <c r="KKC16" s="310" t="s">
        <v>201</v>
      </c>
      <c r="KKD16" s="310" t="s">
        <v>201</v>
      </c>
      <c r="KKE16" s="310" t="s">
        <v>201</v>
      </c>
      <c r="KKF16" s="310" t="s">
        <v>201</v>
      </c>
      <c r="KKG16" s="310" t="s">
        <v>201</v>
      </c>
      <c r="KKH16" s="310" t="s">
        <v>201</v>
      </c>
      <c r="KKI16" s="310" t="s">
        <v>201</v>
      </c>
      <c r="KKJ16" s="310" t="s">
        <v>201</v>
      </c>
      <c r="KKK16" s="310" t="s">
        <v>201</v>
      </c>
      <c r="KKL16" s="310" t="s">
        <v>201</v>
      </c>
      <c r="KKM16" s="310" t="s">
        <v>201</v>
      </c>
      <c r="KKN16" s="310" t="s">
        <v>201</v>
      </c>
      <c r="KKO16" s="310" t="s">
        <v>201</v>
      </c>
      <c r="KKP16" s="310" t="s">
        <v>201</v>
      </c>
      <c r="KKQ16" s="310" t="s">
        <v>201</v>
      </c>
      <c r="KKR16" s="310" t="s">
        <v>201</v>
      </c>
      <c r="KKS16" s="310" t="s">
        <v>201</v>
      </c>
      <c r="KKT16" s="310" t="s">
        <v>201</v>
      </c>
      <c r="KKU16" s="310" t="s">
        <v>201</v>
      </c>
      <c r="KKV16" s="310" t="s">
        <v>201</v>
      </c>
      <c r="KKW16" s="310" t="s">
        <v>201</v>
      </c>
      <c r="KKX16" s="310" t="s">
        <v>201</v>
      </c>
      <c r="KKY16" s="310" t="s">
        <v>201</v>
      </c>
      <c r="KKZ16" s="310" t="s">
        <v>201</v>
      </c>
      <c r="KLA16" s="310" t="s">
        <v>201</v>
      </c>
      <c r="KLB16" s="310" t="s">
        <v>201</v>
      </c>
      <c r="KLC16" s="310" t="s">
        <v>201</v>
      </c>
      <c r="KLD16" s="310" t="s">
        <v>201</v>
      </c>
      <c r="KLE16" s="310" t="s">
        <v>201</v>
      </c>
      <c r="KLF16" s="310" t="s">
        <v>201</v>
      </c>
      <c r="KLG16" s="310" t="s">
        <v>201</v>
      </c>
      <c r="KLH16" s="310" t="s">
        <v>201</v>
      </c>
      <c r="KLI16" s="310" t="s">
        <v>201</v>
      </c>
      <c r="KLJ16" s="310" t="s">
        <v>201</v>
      </c>
      <c r="KLK16" s="310" t="s">
        <v>201</v>
      </c>
      <c r="KLL16" s="310" t="s">
        <v>201</v>
      </c>
      <c r="KLM16" s="310" t="s">
        <v>201</v>
      </c>
      <c r="KLN16" s="310" t="s">
        <v>201</v>
      </c>
      <c r="KLO16" s="310" t="s">
        <v>201</v>
      </c>
      <c r="KLP16" s="310" t="s">
        <v>201</v>
      </c>
      <c r="KLQ16" s="310" t="s">
        <v>201</v>
      </c>
      <c r="KLR16" s="310" t="s">
        <v>201</v>
      </c>
      <c r="KLS16" s="310" t="s">
        <v>201</v>
      </c>
      <c r="KLT16" s="310" t="s">
        <v>201</v>
      </c>
      <c r="KLU16" s="310" t="s">
        <v>201</v>
      </c>
      <c r="KLV16" s="310" t="s">
        <v>201</v>
      </c>
      <c r="KLW16" s="310" t="s">
        <v>201</v>
      </c>
      <c r="KLX16" s="310" t="s">
        <v>201</v>
      </c>
      <c r="KLY16" s="310" t="s">
        <v>201</v>
      </c>
      <c r="KLZ16" s="310" t="s">
        <v>201</v>
      </c>
      <c r="KMA16" s="310" t="s">
        <v>201</v>
      </c>
      <c r="KMB16" s="310" t="s">
        <v>201</v>
      </c>
      <c r="KMC16" s="310" t="s">
        <v>201</v>
      </c>
      <c r="KMD16" s="310" t="s">
        <v>201</v>
      </c>
      <c r="KME16" s="310" t="s">
        <v>201</v>
      </c>
      <c r="KMF16" s="310" t="s">
        <v>201</v>
      </c>
      <c r="KMG16" s="310" t="s">
        <v>201</v>
      </c>
      <c r="KMH16" s="310" t="s">
        <v>201</v>
      </c>
      <c r="KMI16" s="310" t="s">
        <v>201</v>
      </c>
      <c r="KMJ16" s="310" t="s">
        <v>201</v>
      </c>
      <c r="KMK16" s="310" t="s">
        <v>201</v>
      </c>
      <c r="KML16" s="310" t="s">
        <v>201</v>
      </c>
      <c r="KMM16" s="310" t="s">
        <v>201</v>
      </c>
      <c r="KMN16" s="310" t="s">
        <v>201</v>
      </c>
      <c r="KMO16" s="310" t="s">
        <v>201</v>
      </c>
      <c r="KMP16" s="310" t="s">
        <v>201</v>
      </c>
      <c r="KMQ16" s="310" t="s">
        <v>201</v>
      </c>
      <c r="KMR16" s="310" t="s">
        <v>201</v>
      </c>
      <c r="KMS16" s="310" t="s">
        <v>201</v>
      </c>
      <c r="KMT16" s="310" t="s">
        <v>201</v>
      </c>
      <c r="KMU16" s="310" t="s">
        <v>201</v>
      </c>
      <c r="KMV16" s="310" t="s">
        <v>201</v>
      </c>
      <c r="KMW16" s="310" t="s">
        <v>201</v>
      </c>
      <c r="KMX16" s="310" t="s">
        <v>201</v>
      </c>
      <c r="KMY16" s="310" t="s">
        <v>201</v>
      </c>
      <c r="KMZ16" s="310" t="s">
        <v>201</v>
      </c>
      <c r="KNA16" s="310" t="s">
        <v>201</v>
      </c>
      <c r="KNB16" s="310" t="s">
        <v>201</v>
      </c>
      <c r="KNC16" s="310" t="s">
        <v>201</v>
      </c>
      <c r="KND16" s="310" t="s">
        <v>201</v>
      </c>
      <c r="KNE16" s="310" t="s">
        <v>201</v>
      </c>
      <c r="KNF16" s="310" t="s">
        <v>201</v>
      </c>
      <c r="KNG16" s="310" t="s">
        <v>201</v>
      </c>
      <c r="KNH16" s="310" t="s">
        <v>201</v>
      </c>
      <c r="KNI16" s="310" t="s">
        <v>201</v>
      </c>
      <c r="KNJ16" s="310" t="s">
        <v>201</v>
      </c>
      <c r="KNK16" s="310" t="s">
        <v>201</v>
      </c>
      <c r="KNL16" s="310" t="s">
        <v>201</v>
      </c>
      <c r="KNM16" s="310" t="s">
        <v>201</v>
      </c>
      <c r="KNN16" s="310" t="s">
        <v>201</v>
      </c>
      <c r="KNO16" s="310" t="s">
        <v>201</v>
      </c>
      <c r="KNP16" s="310" t="s">
        <v>201</v>
      </c>
      <c r="KNQ16" s="310" t="s">
        <v>201</v>
      </c>
      <c r="KNR16" s="310" t="s">
        <v>201</v>
      </c>
      <c r="KNS16" s="310" t="s">
        <v>201</v>
      </c>
      <c r="KNT16" s="310" t="s">
        <v>201</v>
      </c>
      <c r="KNU16" s="310" t="s">
        <v>201</v>
      </c>
      <c r="KNV16" s="310" t="s">
        <v>201</v>
      </c>
      <c r="KNW16" s="310" t="s">
        <v>201</v>
      </c>
      <c r="KNX16" s="310" t="s">
        <v>201</v>
      </c>
      <c r="KNY16" s="310" t="s">
        <v>201</v>
      </c>
      <c r="KNZ16" s="310" t="s">
        <v>201</v>
      </c>
      <c r="KOA16" s="310" t="s">
        <v>201</v>
      </c>
      <c r="KOB16" s="310" t="s">
        <v>201</v>
      </c>
      <c r="KOC16" s="310" t="s">
        <v>201</v>
      </c>
      <c r="KOD16" s="310" t="s">
        <v>201</v>
      </c>
      <c r="KOE16" s="310" t="s">
        <v>201</v>
      </c>
      <c r="KOF16" s="310" t="s">
        <v>201</v>
      </c>
      <c r="KOG16" s="310" t="s">
        <v>201</v>
      </c>
      <c r="KOH16" s="310" t="s">
        <v>201</v>
      </c>
      <c r="KOI16" s="310" t="s">
        <v>201</v>
      </c>
      <c r="KOJ16" s="310" t="s">
        <v>201</v>
      </c>
      <c r="KOK16" s="310" t="s">
        <v>201</v>
      </c>
      <c r="KOL16" s="310" t="s">
        <v>201</v>
      </c>
      <c r="KOM16" s="310" t="s">
        <v>201</v>
      </c>
      <c r="KON16" s="310" t="s">
        <v>201</v>
      </c>
      <c r="KOO16" s="310" t="s">
        <v>201</v>
      </c>
      <c r="KOP16" s="310" t="s">
        <v>201</v>
      </c>
      <c r="KOQ16" s="310" t="s">
        <v>201</v>
      </c>
      <c r="KOR16" s="310" t="s">
        <v>201</v>
      </c>
      <c r="KOS16" s="310" t="s">
        <v>201</v>
      </c>
      <c r="KOT16" s="310" t="s">
        <v>201</v>
      </c>
      <c r="KOU16" s="310" t="s">
        <v>201</v>
      </c>
      <c r="KOV16" s="310" t="s">
        <v>201</v>
      </c>
      <c r="KOW16" s="310" t="s">
        <v>201</v>
      </c>
      <c r="KOX16" s="310" t="s">
        <v>201</v>
      </c>
      <c r="KOY16" s="310" t="s">
        <v>201</v>
      </c>
      <c r="KOZ16" s="310" t="s">
        <v>201</v>
      </c>
      <c r="KPA16" s="310" t="s">
        <v>201</v>
      </c>
      <c r="KPB16" s="310" t="s">
        <v>201</v>
      </c>
      <c r="KPC16" s="310" t="s">
        <v>201</v>
      </c>
      <c r="KPD16" s="310" t="s">
        <v>201</v>
      </c>
      <c r="KPE16" s="310" t="s">
        <v>201</v>
      </c>
      <c r="KPF16" s="310" t="s">
        <v>201</v>
      </c>
      <c r="KPG16" s="310" t="s">
        <v>201</v>
      </c>
      <c r="KPH16" s="310" t="s">
        <v>201</v>
      </c>
      <c r="KPI16" s="310" t="s">
        <v>201</v>
      </c>
      <c r="KPJ16" s="310" t="s">
        <v>201</v>
      </c>
      <c r="KPK16" s="310" t="s">
        <v>201</v>
      </c>
      <c r="KPL16" s="310" t="s">
        <v>201</v>
      </c>
      <c r="KPM16" s="310" t="s">
        <v>201</v>
      </c>
      <c r="KPN16" s="310" t="s">
        <v>201</v>
      </c>
      <c r="KPO16" s="310" t="s">
        <v>201</v>
      </c>
      <c r="KPP16" s="310" t="s">
        <v>201</v>
      </c>
      <c r="KPQ16" s="310" t="s">
        <v>201</v>
      </c>
      <c r="KPR16" s="310" t="s">
        <v>201</v>
      </c>
      <c r="KPS16" s="310" t="s">
        <v>201</v>
      </c>
      <c r="KPT16" s="310" t="s">
        <v>201</v>
      </c>
      <c r="KPU16" s="310" t="s">
        <v>201</v>
      </c>
      <c r="KPV16" s="310" t="s">
        <v>201</v>
      </c>
      <c r="KPW16" s="310" t="s">
        <v>201</v>
      </c>
      <c r="KPX16" s="310" t="s">
        <v>201</v>
      </c>
      <c r="KPY16" s="310" t="s">
        <v>201</v>
      </c>
      <c r="KPZ16" s="310" t="s">
        <v>201</v>
      </c>
      <c r="KQA16" s="310" t="s">
        <v>201</v>
      </c>
      <c r="KQB16" s="310" t="s">
        <v>201</v>
      </c>
      <c r="KQC16" s="310" t="s">
        <v>201</v>
      </c>
      <c r="KQD16" s="310" t="s">
        <v>201</v>
      </c>
      <c r="KQE16" s="310" t="s">
        <v>201</v>
      </c>
      <c r="KQF16" s="310" t="s">
        <v>201</v>
      </c>
      <c r="KQG16" s="310" t="s">
        <v>201</v>
      </c>
      <c r="KQH16" s="310" t="s">
        <v>201</v>
      </c>
      <c r="KQI16" s="310" t="s">
        <v>201</v>
      </c>
      <c r="KQJ16" s="310" t="s">
        <v>201</v>
      </c>
      <c r="KQK16" s="310" t="s">
        <v>201</v>
      </c>
      <c r="KQL16" s="310" t="s">
        <v>201</v>
      </c>
      <c r="KQM16" s="310" t="s">
        <v>201</v>
      </c>
      <c r="KQN16" s="310" t="s">
        <v>201</v>
      </c>
      <c r="KQO16" s="310" t="s">
        <v>201</v>
      </c>
      <c r="KQP16" s="310" t="s">
        <v>201</v>
      </c>
      <c r="KQQ16" s="310" t="s">
        <v>201</v>
      </c>
      <c r="KQR16" s="310" t="s">
        <v>201</v>
      </c>
      <c r="KQS16" s="310" t="s">
        <v>201</v>
      </c>
      <c r="KQT16" s="310" t="s">
        <v>201</v>
      </c>
      <c r="KQU16" s="310" t="s">
        <v>201</v>
      </c>
      <c r="KQV16" s="310" t="s">
        <v>201</v>
      </c>
      <c r="KQW16" s="310" t="s">
        <v>201</v>
      </c>
      <c r="KQX16" s="310" t="s">
        <v>201</v>
      </c>
      <c r="KQY16" s="310" t="s">
        <v>201</v>
      </c>
      <c r="KQZ16" s="310" t="s">
        <v>201</v>
      </c>
      <c r="KRA16" s="310" t="s">
        <v>201</v>
      </c>
      <c r="KRB16" s="310" t="s">
        <v>201</v>
      </c>
      <c r="KRC16" s="310" t="s">
        <v>201</v>
      </c>
      <c r="KRD16" s="310" t="s">
        <v>201</v>
      </c>
      <c r="KRE16" s="310" t="s">
        <v>201</v>
      </c>
      <c r="KRF16" s="310" t="s">
        <v>201</v>
      </c>
      <c r="KRG16" s="310" t="s">
        <v>201</v>
      </c>
      <c r="KRH16" s="310" t="s">
        <v>201</v>
      </c>
      <c r="KRI16" s="310" t="s">
        <v>201</v>
      </c>
      <c r="KRJ16" s="310" t="s">
        <v>201</v>
      </c>
      <c r="KRK16" s="310" t="s">
        <v>201</v>
      </c>
      <c r="KRL16" s="310" t="s">
        <v>201</v>
      </c>
      <c r="KRM16" s="310" t="s">
        <v>201</v>
      </c>
      <c r="KRN16" s="310" t="s">
        <v>201</v>
      </c>
      <c r="KRO16" s="310" t="s">
        <v>201</v>
      </c>
      <c r="KRP16" s="310" t="s">
        <v>201</v>
      </c>
      <c r="KRQ16" s="310" t="s">
        <v>201</v>
      </c>
      <c r="KRR16" s="310" t="s">
        <v>201</v>
      </c>
      <c r="KRS16" s="310" t="s">
        <v>201</v>
      </c>
      <c r="KRT16" s="310" t="s">
        <v>201</v>
      </c>
      <c r="KRU16" s="310" t="s">
        <v>201</v>
      </c>
      <c r="KRV16" s="310" t="s">
        <v>201</v>
      </c>
      <c r="KRW16" s="310" t="s">
        <v>201</v>
      </c>
      <c r="KRX16" s="310" t="s">
        <v>201</v>
      </c>
      <c r="KRY16" s="310" t="s">
        <v>201</v>
      </c>
      <c r="KRZ16" s="310" t="s">
        <v>201</v>
      </c>
      <c r="KSA16" s="310" t="s">
        <v>201</v>
      </c>
      <c r="KSB16" s="310" t="s">
        <v>201</v>
      </c>
      <c r="KSC16" s="310" t="s">
        <v>201</v>
      </c>
      <c r="KSD16" s="310" t="s">
        <v>201</v>
      </c>
      <c r="KSE16" s="310" t="s">
        <v>201</v>
      </c>
      <c r="KSF16" s="310" t="s">
        <v>201</v>
      </c>
      <c r="KSG16" s="310" t="s">
        <v>201</v>
      </c>
      <c r="KSH16" s="310" t="s">
        <v>201</v>
      </c>
      <c r="KSI16" s="310" t="s">
        <v>201</v>
      </c>
      <c r="KSJ16" s="310" t="s">
        <v>201</v>
      </c>
      <c r="KSK16" s="310" t="s">
        <v>201</v>
      </c>
      <c r="KSL16" s="310" t="s">
        <v>201</v>
      </c>
      <c r="KSM16" s="310" t="s">
        <v>201</v>
      </c>
      <c r="KSN16" s="310" t="s">
        <v>201</v>
      </c>
      <c r="KSO16" s="310" t="s">
        <v>201</v>
      </c>
      <c r="KSP16" s="310" t="s">
        <v>201</v>
      </c>
      <c r="KSQ16" s="310" t="s">
        <v>201</v>
      </c>
      <c r="KSR16" s="310" t="s">
        <v>201</v>
      </c>
      <c r="KSS16" s="310" t="s">
        <v>201</v>
      </c>
      <c r="KST16" s="310" t="s">
        <v>201</v>
      </c>
      <c r="KSU16" s="310" t="s">
        <v>201</v>
      </c>
      <c r="KSV16" s="310" t="s">
        <v>201</v>
      </c>
      <c r="KSW16" s="310" t="s">
        <v>201</v>
      </c>
      <c r="KSX16" s="310" t="s">
        <v>201</v>
      </c>
      <c r="KSY16" s="310" t="s">
        <v>201</v>
      </c>
      <c r="KSZ16" s="310" t="s">
        <v>201</v>
      </c>
      <c r="KTA16" s="310" t="s">
        <v>201</v>
      </c>
      <c r="KTB16" s="310" t="s">
        <v>201</v>
      </c>
      <c r="KTC16" s="310" t="s">
        <v>201</v>
      </c>
      <c r="KTD16" s="310" t="s">
        <v>201</v>
      </c>
      <c r="KTE16" s="310" t="s">
        <v>201</v>
      </c>
      <c r="KTF16" s="310" t="s">
        <v>201</v>
      </c>
      <c r="KTG16" s="310" t="s">
        <v>201</v>
      </c>
      <c r="KTH16" s="310" t="s">
        <v>201</v>
      </c>
      <c r="KTI16" s="310" t="s">
        <v>201</v>
      </c>
      <c r="KTJ16" s="310" t="s">
        <v>201</v>
      </c>
      <c r="KTK16" s="310" t="s">
        <v>201</v>
      </c>
      <c r="KTL16" s="310" t="s">
        <v>201</v>
      </c>
      <c r="KTM16" s="310" t="s">
        <v>201</v>
      </c>
      <c r="KTN16" s="310" t="s">
        <v>201</v>
      </c>
      <c r="KTO16" s="310" t="s">
        <v>201</v>
      </c>
      <c r="KTP16" s="310" t="s">
        <v>201</v>
      </c>
      <c r="KTQ16" s="310" t="s">
        <v>201</v>
      </c>
      <c r="KTR16" s="310" t="s">
        <v>201</v>
      </c>
      <c r="KTS16" s="310" t="s">
        <v>201</v>
      </c>
      <c r="KTT16" s="310" t="s">
        <v>201</v>
      </c>
      <c r="KTU16" s="310" t="s">
        <v>201</v>
      </c>
      <c r="KTV16" s="310" t="s">
        <v>201</v>
      </c>
      <c r="KTW16" s="310" t="s">
        <v>201</v>
      </c>
      <c r="KTX16" s="310" t="s">
        <v>201</v>
      </c>
      <c r="KTY16" s="310" t="s">
        <v>201</v>
      </c>
      <c r="KTZ16" s="310" t="s">
        <v>201</v>
      </c>
      <c r="KUA16" s="310" t="s">
        <v>201</v>
      </c>
      <c r="KUB16" s="310" t="s">
        <v>201</v>
      </c>
      <c r="KUC16" s="310" t="s">
        <v>201</v>
      </c>
      <c r="KUD16" s="310" t="s">
        <v>201</v>
      </c>
      <c r="KUE16" s="310" t="s">
        <v>201</v>
      </c>
      <c r="KUF16" s="310" t="s">
        <v>201</v>
      </c>
      <c r="KUG16" s="310" t="s">
        <v>201</v>
      </c>
      <c r="KUH16" s="310" t="s">
        <v>201</v>
      </c>
      <c r="KUI16" s="310" t="s">
        <v>201</v>
      </c>
      <c r="KUJ16" s="310" t="s">
        <v>201</v>
      </c>
      <c r="KUK16" s="310" t="s">
        <v>201</v>
      </c>
      <c r="KUL16" s="310" t="s">
        <v>201</v>
      </c>
      <c r="KUM16" s="310" t="s">
        <v>201</v>
      </c>
      <c r="KUN16" s="310" t="s">
        <v>201</v>
      </c>
      <c r="KUO16" s="310" t="s">
        <v>201</v>
      </c>
      <c r="KUP16" s="310" t="s">
        <v>201</v>
      </c>
      <c r="KUQ16" s="310" t="s">
        <v>201</v>
      </c>
      <c r="KUR16" s="310" t="s">
        <v>201</v>
      </c>
      <c r="KUS16" s="310" t="s">
        <v>201</v>
      </c>
      <c r="KUT16" s="310" t="s">
        <v>201</v>
      </c>
      <c r="KUU16" s="310" t="s">
        <v>201</v>
      </c>
      <c r="KUV16" s="310" t="s">
        <v>201</v>
      </c>
      <c r="KUW16" s="310" t="s">
        <v>201</v>
      </c>
      <c r="KUX16" s="310" t="s">
        <v>201</v>
      </c>
      <c r="KUY16" s="310" t="s">
        <v>201</v>
      </c>
      <c r="KUZ16" s="310" t="s">
        <v>201</v>
      </c>
      <c r="KVA16" s="310" t="s">
        <v>201</v>
      </c>
      <c r="KVB16" s="310" t="s">
        <v>201</v>
      </c>
      <c r="KVC16" s="310" t="s">
        <v>201</v>
      </c>
      <c r="KVD16" s="310" t="s">
        <v>201</v>
      </c>
      <c r="KVE16" s="310" t="s">
        <v>201</v>
      </c>
      <c r="KVF16" s="310" t="s">
        <v>201</v>
      </c>
      <c r="KVG16" s="310" t="s">
        <v>201</v>
      </c>
      <c r="KVH16" s="310" t="s">
        <v>201</v>
      </c>
      <c r="KVI16" s="310" t="s">
        <v>201</v>
      </c>
      <c r="KVJ16" s="310" t="s">
        <v>201</v>
      </c>
      <c r="KVK16" s="310" t="s">
        <v>201</v>
      </c>
      <c r="KVL16" s="310" t="s">
        <v>201</v>
      </c>
      <c r="KVM16" s="310" t="s">
        <v>201</v>
      </c>
      <c r="KVN16" s="310" t="s">
        <v>201</v>
      </c>
      <c r="KVO16" s="310" t="s">
        <v>201</v>
      </c>
      <c r="KVP16" s="310" t="s">
        <v>201</v>
      </c>
      <c r="KVQ16" s="310" t="s">
        <v>201</v>
      </c>
      <c r="KVR16" s="310" t="s">
        <v>201</v>
      </c>
      <c r="KVS16" s="310" t="s">
        <v>201</v>
      </c>
      <c r="KVT16" s="310" t="s">
        <v>201</v>
      </c>
      <c r="KVU16" s="310" t="s">
        <v>201</v>
      </c>
      <c r="KVV16" s="310" t="s">
        <v>201</v>
      </c>
      <c r="KVW16" s="310" t="s">
        <v>201</v>
      </c>
      <c r="KVX16" s="310" t="s">
        <v>201</v>
      </c>
      <c r="KVY16" s="310" t="s">
        <v>201</v>
      </c>
      <c r="KVZ16" s="310" t="s">
        <v>201</v>
      </c>
      <c r="KWA16" s="310" t="s">
        <v>201</v>
      </c>
      <c r="KWB16" s="310" t="s">
        <v>201</v>
      </c>
      <c r="KWC16" s="310" t="s">
        <v>201</v>
      </c>
      <c r="KWD16" s="310" t="s">
        <v>201</v>
      </c>
      <c r="KWE16" s="310" t="s">
        <v>201</v>
      </c>
      <c r="KWF16" s="310" t="s">
        <v>201</v>
      </c>
      <c r="KWG16" s="310" t="s">
        <v>201</v>
      </c>
      <c r="KWH16" s="310" t="s">
        <v>201</v>
      </c>
      <c r="KWI16" s="310" t="s">
        <v>201</v>
      </c>
      <c r="KWJ16" s="310" t="s">
        <v>201</v>
      </c>
      <c r="KWK16" s="310" t="s">
        <v>201</v>
      </c>
      <c r="KWL16" s="310" t="s">
        <v>201</v>
      </c>
      <c r="KWM16" s="310" t="s">
        <v>201</v>
      </c>
      <c r="KWN16" s="310" t="s">
        <v>201</v>
      </c>
      <c r="KWO16" s="310" t="s">
        <v>201</v>
      </c>
      <c r="KWP16" s="310" t="s">
        <v>201</v>
      </c>
      <c r="KWQ16" s="310" t="s">
        <v>201</v>
      </c>
      <c r="KWR16" s="310" t="s">
        <v>201</v>
      </c>
      <c r="KWS16" s="310" t="s">
        <v>201</v>
      </c>
      <c r="KWT16" s="310" t="s">
        <v>201</v>
      </c>
      <c r="KWU16" s="310" t="s">
        <v>201</v>
      </c>
      <c r="KWV16" s="310" t="s">
        <v>201</v>
      </c>
      <c r="KWW16" s="310" t="s">
        <v>201</v>
      </c>
      <c r="KWX16" s="310" t="s">
        <v>201</v>
      </c>
      <c r="KWY16" s="310" t="s">
        <v>201</v>
      </c>
      <c r="KWZ16" s="310" t="s">
        <v>201</v>
      </c>
      <c r="KXA16" s="310" t="s">
        <v>201</v>
      </c>
      <c r="KXB16" s="310" t="s">
        <v>201</v>
      </c>
      <c r="KXC16" s="310" t="s">
        <v>201</v>
      </c>
      <c r="KXD16" s="310" t="s">
        <v>201</v>
      </c>
      <c r="KXE16" s="310" t="s">
        <v>201</v>
      </c>
      <c r="KXF16" s="310" t="s">
        <v>201</v>
      </c>
      <c r="KXG16" s="310" t="s">
        <v>201</v>
      </c>
      <c r="KXH16" s="310" t="s">
        <v>201</v>
      </c>
      <c r="KXI16" s="310" t="s">
        <v>201</v>
      </c>
      <c r="KXJ16" s="310" t="s">
        <v>201</v>
      </c>
      <c r="KXK16" s="310" t="s">
        <v>201</v>
      </c>
      <c r="KXL16" s="310" t="s">
        <v>201</v>
      </c>
      <c r="KXM16" s="310" t="s">
        <v>201</v>
      </c>
      <c r="KXN16" s="310" t="s">
        <v>201</v>
      </c>
      <c r="KXO16" s="310" t="s">
        <v>201</v>
      </c>
      <c r="KXP16" s="310" t="s">
        <v>201</v>
      </c>
      <c r="KXQ16" s="310" t="s">
        <v>201</v>
      </c>
      <c r="KXR16" s="310" t="s">
        <v>201</v>
      </c>
      <c r="KXS16" s="310" t="s">
        <v>201</v>
      </c>
      <c r="KXT16" s="310" t="s">
        <v>201</v>
      </c>
      <c r="KXU16" s="310" t="s">
        <v>201</v>
      </c>
      <c r="KXV16" s="310" t="s">
        <v>201</v>
      </c>
      <c r="KXW16" s="310" t="s">
        <v>201</v>
      </c>
      <c r="KXX16" s="310" t="s">
        <v>201</v>
      </c>
      <c r="KXY16" s="310" t="s">
        <v>201</v>
      </c>
      <c r="KXZ16" s="310" t="s">
        <v>201</v>
      </c>
      <c r="KYA16" s="310" t="s">
        <v>201</v>
      </c>
      <c r="KYB16" s="310" t="s">
        <v>201</v>
      </c>
      <c r="KYC16" s="310" t="s">
        <v>201</v>
      </c>
      <c r="KYD16" s="310" t="s">
        <v>201</v>
      </c>
      <c r="KYE16" s="310" t="s">
        <v>201</v>
      </c>
      <c r="KYF16" s="310" t="s">
        <v>201</v>
      </c>
      <c r="KYG16" s="310" t="s">
        <v>201</v>
      </c>
      <c r="KYH16" s="310" t="s">
        <v>201</v>
      </c>
      <c r="KYI16" s="310" t="s">
        <v>201</v>
      </c>
      <c r="KYJ16" s="310" t="s">
        <v>201</v>
      </c>
      <c r="KYK16" s="310" t="s">
        <v>201</v>
      </c>
      <c r="KYL16" s="310" t="s">
        <v>201</v>
      </c>
      <c r="KYM16" s="310" t="s">
        <v>201</v>
      </c>
      <c r="KYN16" s="310" t="s">
        <v>201</v>
      </c>
      <c r="KYO16" s="310" t="s">
        <v>201</v>
      </c>
      <c r="KYP16" s="310" t="s">
        <v>201</v>
      </c>
      <c r="KYQ16" s="310" t="s">
        <v>201</v>
      </c>
      <c r="KYR16" s="310" t="s">
        <v>201</v>
      </c>
      <c r="KYS16" s="310" t="s">
        <v>201</v>
      </c>
      <c r="KYT16" s="310" t="s">
        <v>201</v>
      </c>
      <c r="KYU16" s="310" t="s">
        <v>201</v>
      </c>
      <c r="KYV16" s="310" t="s">
        <v>201</v>
      </c>
      <c r="KYW16" s="310" t="s">
        <v>201</v>
      </c>
      <c r="KYX16" s="310" t="s">
        <v>201</v>
      </c>
      <c r="KYY16" s="310" t="s">
        <v>201</v>
      </c>
      <c r="KYZ16" s="310" t="s">
        <v>201</v>
      </c>
      <c r="KZA16" s="310" t="s">
        <v>201</v>
      </c>
      <c r="KZB16" s="310" t="s">
        <v>201</v>
      </c>
      <c r="KZC16" s="310" t="s">
        <v>201</v>
      </c>
      <c r="KZD16" s="310" t="s">
        <v>201</v>
      </c>
      <c r="KZE16" s="310" t="s">
        <v>201</v>
      </c>
      <c r="KZF16" s="310" t="s">
        <v>201</v>
      </c>
      <c r="KZG16" s="310" t="s">
        <v>201</v>
      </c>
      <c r="KZH16" s="310" t="s">
        <v>201</v>
      </c>
      <c r="KZI16" s="310" t="s">
        <v>201</v>
      </c>
      <c r="KZJ16" s="310" t="s">
        <v>201</v>
      </c>
      <c r="KZK16" s="310" t="s">
        <v>201</v>
      </c>
      <c r="KZL16" s="310" t="s">
        <v>201</v>
      </c>
      <c r="KZM16" s="310" t="s">
        <v>201</v>
      </c>
      <c r="KZN16" s="310" t="s">
        <v>201</v>
      </c>
      <c r="KZO16" s="310" t="s">
        <v>201</v>
      </c>
      <c r="KZP16" s="310" t="s">
        <v>201</v>
      </c>
      <c r="KZQ16" s="310" t="s">
        <v>201</v>
      </c>
      <c r="KZR16" s="310" t="s">
        <v>201</v>
      </c>
      <c r="KZS16" s="310" t="s">
        <v>201</v>
      </c>
      <c r="KZT16" s="310" t="s">
        <v>201</v>
      </c>
      <c r="KZU16" s="310" t="s">
        <v>201</v>
      </c>
      <c r="KZV16" s="310" t="s">
        <v>201</v>
      </c>
      <c r="KZW16" s="310" t="s">
        <v>201</v>
      </c>
      <c r="KZX16" s="310" t="s">
        <v>201</v>
      </c>
      <c r="KZY16" s="310" t="s">
        <v>201</v>
      </c>
      <c r="KZZ16" s="310" t="s">
        <v>201</v>
      </c>
      <c r="LAA16" s="310" t="s">
        <v>201</v>
      </c>
      <c r="LAB16" s="310" t="s">
        <v>201</v>
      </c>
      <c r="LAC16" s="310" t="s">
        <v>201</v>
      </c>
      <c r="LAD16" s="310" t="s">
        <v>201</v>
      </c>
      <c r="LAE16" s="310" t="s">
        <v>201</v>
      </c>
      <c r="LAF16" s="310" t="s">
        <v>201</v>
      </c>
      <c r="LAG16" s="310" t="s">
        <v>201</v>
      </c>
      <c r="LAH16" s="310" t="s">
        <v>201</v>
      </c>
      <c r="LAI16" s="310" t="s">
        <v>201</v>
      </c>
      <c r="LAJ16" s="310" t="s">
        <v>201</v>
      </c>
      <c r="LAK16" s="310" t="s">
        <v>201</v>
      </c>
      <c r="LAL16" s="310" t="s">
        <v>201</v>
      </c>
      <c r="LAM16" s="310" t="s">
        <v>201</v>
      </c>
      <c r="LAN16" s="310" t="s">
        <v>201</v>
      </c>
      <c r="LAO16" s="310" t="s">
        <v>201</v>
      </c>
      <c r="LAP16" s="310" t="s">
        <v>201</v>
      </c>
      <c r="LAQ16" s="310" t="s">
        <v>201</v>
      </c>
      <c r="LAR16" s="310" t="s">
        <v>201</v>
      </c>
      <c r="LAS16" s="310" t="s">
        <v>201</v>
      </c>
      <c r="LAT16" s="310" t="s">
        <v>201</v>
      </c>
      <c r="LAU16" s="310" t="s">
        <v>201</v>
      </c>
      <c r="LAV16" s="310" t="s">
        <v>201</v>
      </c>
      <c r="LAW16" s="310" t="s">
        <v>201</v>
      </c>
      <c r="LAX16" s="310" t="s">
        <v>201</v>
      </c>
      <c r="LAY16" s="310" t="s">
        <v>201</v>
      </c>
      <c r="LAZ16" s="310" t="s">
        <v>201</v>
      </c>
      <c r="LBA16" s="310" t="s">
        <v>201</v>
      </c>
      <c r="LBB16" s="310" t="s">
        <v>201</v>
      </c>
      <c r="LBC16" s="310" t="s">
        <v>201</v>
      </c>
      <c r="LBD16" s="310" t="s">
        <v>201</v>
      </c>
      <c r="LBE16" s="310" t="s">
        <v>201</v>
      </c>
      <c r="LBF16" s="310" t="s">
        <v>201</v>
      </c>
      <c r="LBG16" s="310" t="s">
        <v>201</v>
      </c>
      <c r="LBH16" s="310" t="s">
        <v>201</v>
      </c>
      <c r="LBI16" s="310" t="s">
        <v>201</v>
      </c>
      <c r="LBJ16" s="310" t="s">
        <v>201</v>
      </c>
      <c r="LBK16" s="310" t="s">
        <v>201</v>
      </c>
      <c r="LBL16" s="310" t="s">
        <v>201</v>
      </c>
      <c r="LBM16" s="310" t="s">
        <v>201</v>
      </c>
      <c r="LBN16" s="310" t="s">
        <v>201</v>
      </c>
      <c r="LBO16" s="310" t="s">
        <v>201</v>
      </c>
      <c r="LBP16" s="310" t="s">
        <v>201</v>
      </c>
      <c r="LBQ16" s="310" t="s">
        <v>201</v>
      </c>
      <c r="LBR16" s="310" t="s">
        <v>201</v>
      </c>
      <c r="LBS16" s="310" t="s">
        <v>201</v>
      </c>
      <c r="LBT16" s="310" t="s">
        <v>201</v>
      </c>
      <c r="LBU16" s="310" t="s">
        <v>201</v>
      </c>
      <c r="LBV16" s="310" t="s">
        <v>201</v>
      </c>
      <c r="LBW16" s="310" t="s">
        <v>201</v>
      </c>
      <c r="LBX16" s="310" t="s">
        <v>201</v>
      </c>
      <c r="LBY16" s="310" t="s">
        <v>201</v>
      </c>
      <c r="LBZ16" s="310" t="s">
        <v>201</v>
      </c>
      <c r="LCA16" s="310" t="s">
        <v>201</v>
      </c>
      <c r="LCB16" s="310" t="s">
        <v>201</v>
      </c>
      <c r="LCC16" s="310" t="s">
        <v>201</v>
      </c>
      <c r="LCD16" s="310" t="s">
        <v>201</v>
      </c>
      <c r="LCE16" s="310" t="s">
        <v>201</v>
      </c>
      <c r="LCF16" s="310" t="s">
        <v>201</v>
      </c>
      <c r="LCG16" s="310" t="s">
        <v>201</v>
      </c>
      <c r="LCH16" s="310" t="s">
        <v>201</v>
      </c>
      <c r="LCI16" s="310" t="s">
        <v>201</v>
      </c>
      <c r="LCJ16" s="310" t="s">
        <v>201</v>
      </c>
      <c r="LCK16" s="310" t="s">
        <v>201</v>
      </c>
      <c r="LCL16" s="310" t="s">
        <v>201</v>
      </c>
      <c r="LCM16" s="310" t="s">
        <v>201</v>
      </c>
      <c r="LCN16" s="310" t="s">
        <v>201</v>
      </c>
      <c r="LCO16" s="310" t="s">
        <v>201</v>
      </c>
      <c r="LCP16" s="310" t="s">
        <v>201</v>
      </c>
      <c r="LCQ16" s="310" t="s">
        <v>201</v>
      </c>
      <c r="LCR16" s="310" t="s">
        <v>201</v>
      </c>
      <c r="LCS16" s="310" t="s">
        <v>201</v>
      </c>
      <c r="LCT16" s="310" t="s">
        <v>201</v>
      </c>
      <c r="LCU16" s="310" t="s">
        <v>201</v>
      </c>
      <c r="LCV16" s="310" t="s">
        <v>201</v>
      </c>
      <c r="LCW16" s="310" t="s">
        <v>201</v>
      </c>
      <c r="LCX16" s="310" t="s">
        <v>201</v>
      </c>
      <c r="LCY16" s="310" t="s">
        <v>201</v>
      </c>
      <c r="LCZ16" s="310" t="s">
        <v>201</v>
      </c>
      <c r="LDA16" s="310" t="s">
        <v>201</v>
      </c>
      <c r="LDB16" s="310" t="s">
        <v>201</v>
      </c>
      <c r="LDC16" s="310" t="s">
        <v>201</v>
      </c>
      <c r="LDD16" s="310" t="s">
        <v>201</v>
      </c>
      <c r="LDE16" s="310" t="s">
        <v>201</v>
      </c>
      <c r="LDF16" s="310" t="s">
        <v>201</v>
      </c>
      <c r="LDG16" s="310" t="s">
        <v>201</v>
      </c>
      <c r="LDH16" s="310" t="s">
        <v>201</v>
      </c>
      <c r="LDI16" s="310" t="s">
        <v>201</v>
      </c>
      <c r="LDJ16" s="310" t="s">
        <v>201</v>
      </c>
      <c r="LDK16" s="310" t="s">
        <v>201</v>
      </c>
      <c r="LDL16" s="310" t="s">
        <v>201</v>
      </c>
      <c r="LDM16" s="310" t="s">
        <v>201</v>
      </c>
      <c r="LDN16" s="310" t="s">
        <v>201</v>
      </c>
      <c r="LDO16" s="310" t="s">
        <v>201</v>
      </c>
      <c r="LDP16" s="310" t="s">
        <v>201</v>
      </c>
      <c r="LDQ16" s="310" t="s">
        <v>201</v>
      </c>
      <c r="LDR16" s="310" t="s">
        <v>201</v>
      </c>
      <c r="LDS16" s="310" t="s">
        <v>201</v>
      </c>
      <c r="LDT16" s="310" t="s">
        <v>201</v>
      </c>
      <c r="LDU16" s="310" t="s">
        <v>201</v>
      </c>
      <c r="LDV16" s="310" t="s">
        <v>201</v>
      </c>
      <c r="LDW16" s="310" t="s">
        <v>201</v>
      </c>
      <c r="LDX16" s="310" t="s">
        <v>201</v>
      </c>
      <c r="LDY16" s="310" t="s">
        <v>201</v>
      </c>
      <c r="LDZ16" s="310" t="s">
        <v>201</v>
      </c>
      <c r="LEA16" s="310" t="s">
        <v>201</v>
      </c>
      <c r="LEB16" s="310" t="s">
        <v>201</v>
      </c>
      <c r="LEC16" s="310" t="s">
        <v>201</v>
      </c>
      <c r="LED16" s="310" t="s">
        <v>201</v>
      </c>
      <c r="LEE16" s="310" t="s">
        <v>201</v>
      </c>
      <c r="LEF16" s="310" t="s">
        <v>201</v>
      </c>
      <c r="LEG16" s="310" t="s">
        <v>201</v>
      </c>
      <c r="LEH16" s="310" t="s">
        <v>201</v>
      </c>
      <c r="LEI16" s="310" t="s">
        <v>201</v>
      </c>
      <c r="LEJ16" s="310" t="s">
        <v>201</v>
      </c>
      <c r="LEK16" s="310" t="s">
        <v>201</v>
      </c>
      <c r="LEL16" s="310" t="s">
        <v>201</v>
      </c>
      <c r="LEM16" s="310" t="s">
        <v>201</v>
      </c>
      <c r="LEN16" s="310" t="s">
        <v>201</v>
      </c>
      <c r="LEO16" s="310" t="s">
        <v>201</v>
      </c>
      <c r="LEP16" s="310" t="s">
        <v>201</v>
      </c>
      <c r="LEQ16" s="310" t="s">
        <v>201</v>
      </c>
      <c r="LER16" s="310" t="s">
        <v>201</v>
      </c>
      <c r="LES16" s="310" t="s">
        <v>201</v>
      </c>
      <c r="LET16" s="310" t="s">
        <v>201</v>
      </c>
      <c r="LEU16" s="310" t="s">
        <v>201</v>
      </c>
      <c r="LEV16" s="310" t="s">
        <v>201</v>
      </c>
      <c r="LEW16" s="310" t="s">
        <v>201</v>
      </c>
      <c r="LEX16" s="310" t="s">
        <v>201</v>
      </c>
      <c r="LEY16" s="310" t="s">
        <v>201</v>
      </c>
      <c r="LEZ16" s="310" t="s">
        <v>201</v>
      </c>
      <c r="LFA16" s="310" t="s">
        <v>201</v>
      </c>
      <c r="LFB16" s="310" t="s">
        <v>201</v>
      </c>
      <c r="LFC16" s="310" t="s">
        <v>201</v>
      </c>
      <c r="LFD16" s="310" t="s">
        <v>201</v>
      </c>
      <c r="LFE16" s="310" t="s">
        <v>201</v>
      </c>
      <c r="LFF16" s="310" t="s">
        <v>201</v>
      </c>
      <c r="LFG16" s="310" t="s">
        <v>201</v>
      </c>
      <c r="LFH16" s="310" t="s">
        <v>201</v>
      </c>
      <c r="LFI16" s="310" t="s">
        <v>201</v>
      </c>
      <c r="LFJ16" s="310" t="s">
        <v>201</v>
      </c>
      <c r="LFK16" s="310" t="s">
        <v>201</v>
      </c>
      <c r="LFL16" s="310" t="s">
        <v>201</v>
      </c>
      <c r="LFM16" s="310" t="s">
        <v>201</v>
      </c>
      <c r="LFN16" s="310" t="s">
        <v>201</v>
      </c>
      <c r="LFO16" s="310" t="s">
        <v>201</v>
      </c>
      <c r="LFP16" s="310" t="s">
        <v>201</v>
      </c>
      <c r="LFQ16" s="310" t="s">
        <v>201</v>
      </c>
      <c r="LFR16" s="310" t="s">
        <v>201</v>
      </c>
      <c r="LFS16" s="310" t="s">
        <v>201</v>
      </c>
      <c r="LFT16" s="310" t="s">
        <v>201</v>
      </c>
      <c r="LFU16" s="310" t="s">
        <v>201</v>
      </c>
      <c r="LFV16" s="310" t="s">
        <v>201</v>
      </c>
      <c r="LFW16" s="310" t="s">
        <v>201</v>
      </c>
      <c r="LFX16" s="310" t="s">
        <v>201</v>
      </c>
      <c r="LFY16" s="310" t="s">
        <v>201</v>
      </c>
      <c r="LFZ16" s="310" t="s">
        <v>201</v>
      </c>
      <c r="LGA16" s="310" t="s">
        <v>201</v>
      </c>
      <c r="LGB16" s="310" t="s">
        <v>201</v>
      </c>
      <c r="LGC16" s="310" t="s">
        <v>201</v>
      </c>
      <c r="LGD16" s="310" t="s">
        <v>201</v>
      </c>
      <c r="LGE16" s="310" t="s">
        <v>201</v>
      </c>
      <c r="LGF16" s="310" t="s">
        <v>201</v>
      </c>
      <c r="LGG16" s="310" t="s">
        <v>201</v>
      </c>
      <c r="LGH16" s="310" t="s">
        <v>201</v>
      </c>
      <c r="LGI16" s="310" t="s">
        <v>201</v>
      </c>
      <c r="LGJ16" s="310" t="s">
        <v>201</v>
      </c>
      <c r="LGK16" s="310" t="s">
        <v>201</v>
      </c>
      <c r="LGL16" s="310" t="s">
        <v>201</v>
      </c>
      <c r="LGM16" s="310" t="s">
        <v>201</v>
      </c>
      <c r="LGN16" s="310" t="s">
        <v>201</v>
      </c>
      <c r="LGO16" s="310" t="s">
        <v>201</v>
      </c>
      <c r="LGP16" s="310" t="s">
        <v>201</v>
      </c>
      <c r="LGQ16" s="310" t="s">
        <v>201</v>
      </c>
      <c r="LGR16" s="310" t="s">
        <v>201</v>
      </c>
      <c r="LGS16" s="310" t="s">
        <v>201</v>
      </c>
      <c r="LGT16" s="310" t="s">
        <v>201</v>
      </c>
      <c r="LGU16" s="310" t="s">
        <v>201</v>
      </c>
      <c r="LGV16" s="310" t="s">
        <v>201</v>
      </c>
      <c r="LGW16" s="310" t="s">
        <v>201</v>
      </c>
      <c r="LGX16" s="310" t="s">
        <v>201</v>
      </c>
      <c r="LGY16" s="310" t="s">
        <v>201</v>
      </c>
      <c r="LGZ16" s="310" t="s">
        <v>201</v>
      </c>
      <c r="LHA16" s="310" t="s">
        <v>201</v>
      </c>
      <c r="LHB16" s="310" t="s">
        <v>201</v>
      </c>
      <c r="LHC16" s="310" t="s">
        <v>201</v>
      </c>
      <c r="LHD16" s="310" t="s">
        <v>201</v>
      </c>
      <c r="LHE16" s="310" t="s">
        <v>201</v>
      </c>
      <c r="LHF16" s="310" t="s">
        <v>201</v>
      </c>
      <c r="LHG16" s="310" t="s">
        <v>201</v>
      </c>
      <c r="LHH16" s="310" t="s">
        <v>201</v>
      </c>
      <c r="LHI16" s="310" t="s">
        <v>201</v>
      </c>
      <c r="LHJ16" s="310" t="s">
        <v>201</v>
      </c>
      <c r="LHK16" s="310" t="s">
        <v>201</v>
      </c>
      <c r="LHL16" s="310" t="s">
        <v>201</v>
      </c>
      <c r="LHM16" s="310" t="s">
        <v>201</v>
      </c>
      <c r="LHN16" s="310" t="s">
        <v>201</v>
      </c>
      <c r="LHO16" s="310" t="s">
        <v>201</v>
      </c>
      <c r="LHP16" s="310" t="s">
        <v>201</v>
      </c>
      <c r="LHQ16" s="310" t="s">
        <v>201</v>
      </c>
      <c r="LHR16" s="310" t="s">
        <v>201</v>
      </c>
      <c r="LHS16" s="310" t="s">
        <v>201</v>
      </c>
      <c r="LHT16" s="310" t="s">
        <v>201</v>
      </c>
      <c r="LHU16" s="310" t="s">
        <v>201</v>
      </c>
      <c r="LHV16" s="310" t="s">
        <v>201</v>
      </c>
      <c r="LHW16" s="310" t="s">
        <v>201</v>
      </c>
      <c r="LHX16" s="310" t="s">
        <v>201</v>
      </c>
      <c r="LHY16" s="310" t="s">
        <v>201</v>
      </c>
      <c r="LHZ16" s="310" t="s">
        <v>201</v>
      </c>
      <c r="LIA16" s="310" t="s">
        <v>201</v>
      </c>
      <c r="LIB16" s="310" t="s">
        <v>201</v>
      </c>
      <c r="LIC16" s="310" t="s">
        <v>201</v>
      </c>
      <c r="LID16" s="310" t="s">
        <v>201</v>
      </c>
      <c r="LIE16" s="310" t="s">
        <v>201</v>
      </c>
      <c r="LIF16" s="310" t="s">
        <v>201</v>
      </c>
      <c r="LIG16" s="310" t="s">
        <v>201</v>
      </c>
      <c r="LIH16" s="310" t="s">
        <v>201</v>
      </c>
      <c r="LII16" s="310" t="s">
        <v>201</v>
      </c>
      <c r="LIJ16" s="310" t="s">
        <v>201</v>
      </c>
      <c r="LIK16" s="310" t="s">
        <v>201</v>
      </c>
      <c r="LIL16" s="310" t="s">
        <v>201</v>
      </c>
      <c r="LIM16" s="310" t="s">
        <v>201</v>
      </c>
      <c r="LIN16" s="310" t="s">
        <v>201</v>
      </c>
      <c r="LIO16" s="310" t="s">
        <v>201</v>
      </c>
      <c r="LIP16" s="310" t="s">
        <v>201</v>
      </c>
      <c r="LIQ16" s="310" t="s">
        <v>201</v>
      </c>
      <c r="LIR16" s="310" t="s">
        <v>201</v>
      </c>
      <c r="LIS16" s="310" t="s">
        <v>201</v>
      </c>
      <c r="LIT16" s="310" t="s">
        <v>201</v>
      </c>
      <c r="LIU16" s="310" t="s">
        <v>201</v>
      </c>
      <c r="LIV16" s="310" t="s">
        <v>201</v>
      </c>
      <c r="LIW16" s="310" t="s">
        <v>201</v>
      </c>
      <c r="LIX16" s="310" t="s">
        <v>201</v>
      </c>
      <c r="LIY16" s="310" t="s">
        <v>201</v>
      </c>
      <c r="LIZ16" s="310" t="s">
        <v>201</v>
      </c>
      <c r="LJA16" s="310" t="s">
        <v>201</v>
      </c>
      <c r="LJB16" s="310" t="s">
        <v>201</v>
      </c>
      <c r="LJC16" s="310" t="s">
        <v>201</v>
      </c>
      <c r="LJD16" s="310" t="s">
        <v>201</v>
      </c>
      <c r="LJE16" s="310" t="s">
        <v>201</v>
      </c>
      <c r="LJF16" s="310" t="s">
        <v>201</v>
      </c>
      <c r="LJG16" s="310" t="s">
        <v>201</v>
      </c>
      <c r="LJH16" s="310" t="s">
        <v>201</v>
      </c>
      <c r="LJI16" s="310" t="s">
        <v>201</v>
      </c>
      <c r="LJJ16" s="310" t="s">
        <v>201</v>
      </c>
      <c r="LJK16" s="310" t="s">
        <v>201</v>
      </c>
      <c r="LJL16" s="310" t="s">
        <v>201</v>
      </c>
      <c r="LJM16" s="310" t="s">
        <v>201</v>
      </c>
      <c r="LJN16" s="310" t="s">
        <v>201</v>
      </c>
      <c r="LJO16" s="310" t="s">
        <v>201</v>
      </c>
      <c r="LJP16" s="310" t="s">
        <v>201</v>
      </c>
      <c r="LJQ16" s="310" t="s">
        <v>201</v>
      </c>
      <c r="LJR16" s="310" t="s">
        <v>201</v>
      </c>
      <c r="LJS16" s="310" t="s">
        <v>201</v>
      </c>
      <c r="LJT16" s="310" t="s">
        <v>201</v>
      </c>
      <c r="LJU16" s="310" t="s">
        <v>201</v>
      </c>
      <c r="LJV16" s="310" t="s">
        <v>201</v>
      </c>
      <c r="LJW16" s="310" t="s">
        <v>201</v>
      </c>
      <c r="LJX16" s="310" t="s">
        <v>201</v>
      </c>
      <c r="LJY16" s="310" t="s">
        <v>201</v>
      </c>
      <c r="LJZ16" s="310" t="s">
        <v>201</v>
      </c>
      <c r="LKA16" s="310" t="s">
        <v>201</v>
      </c>
      <c r="LKB16" s="310" t="s">
        <v>201</v>
      </c>
      <c r="LKC16" s="310" t="s">
        <v>201</v>
      </c>
      <c r="LKD16" s="310" t="s">
        <v>201</v>
      </c>
      <c r="LKE16" s="310" t="s">
        <v>201</v>
      </c>
      <c r="LKF16" s="310" t="s">
        <v>201</v>
      </c>
      <c r="LKG16" s="310" t="s">
        <v>201</v>
      </c>
      <c r="LKH16" s="310" t="s">
        <v>201</v>
      </c>
      <c r="LKI16" s="310" t="s">
        <v>201</v>
      </c>
      <c r="LKJ16" s="310" t="s">
        <v>201</v>
      </c>
      <c r="LKK16" s="310" t="s">
        <v>201</v>
      </c>
      <c r="LKL16" s="310" t="s">
        <v>201</v>
      </c>
      <c r="LKM16" s="310" t="s">
        <v>201</v>
      </c>
      <c r="LKN16" s="310" t="s">
        <v>201</v>
      </c>
      <c r="LKO16" s="310" t="s">
        <v>201</v>
      </c>
      <c r="LKP16" s="310" t="s">
        <v>201</v>
      </c>
      <c r="LKQ16" s="310" t="s">
        <v>201</v>
      </c>
      <c r="LKR16" s="310" t="s">
        <v>201</v>
      </c>
      <c r="LKS16" s="310" t="s">
        <v>201</v>
      </c>
      <c r="LKT16" s="310" t="s">
        <v>201</v>
      </c>
      <c r="LKU16" s="310" t="s">
        <v>201</v>
      </c>
      <c r="LKV16" s="310" t="s">
        <v>201</v>
      </c>
      <c r="LKW16" s="310" t="s">
        <v>201</v>
      </c>
      <c r="LKX16" s="310" t="s">
        <v>201</v>
      </c>
      <c r="LKY16" s="310" t="s">
        <v>201</v>
      </c>
      <c r="LKZ16" s="310" t="s">
        <v>201</v>
      </c>
      <c r="LLA16" s="310" t="s">
        <v>201</v>
      </c>
      <c r="LLB16" s="310" t="s">
        <v>201</v>
      </c>
      <c r="LLC16" s="310" t="s">
        <v>201</v>
      </c>
      <c r="LLD16" s="310" t="s">
        <v>201</v>
      </c>
      <c r="LLE16" s="310" t="s">
        <v>201</v>
      </c>
      <c r="LLF16" s="310" t="s">
        <v>201</v>
      </c>
      <c r="LLG16" s="310" t="s">
        <v>201</v>
      </c>
      <c r="LLH16" s="310" t="s">
        <v>201</v>
      </c>
      <c r="LLI16" s="310" t="s">
        <v>201</v>
      </c>
      <c r="LLJ16" s="310" t="s">
        <v>201</v>
      </c>
      <c r="LLK16" s="310" t="s">
        <v>201</v>
      </c>
      <c r="LLL16" s="310" t="s">
        <v>201</v>
      </c>
      <c r="LLM16" s="310" t="s">
        <v>201</v>
      </c>
      <c r="LLN16" s="310" t="s">
        <v>201</v>
      </c>
      <c r="LLO16" s="310" t="s">
        <v>201</v>
      </c>
      <c r="LLP16" s="310" t="s">
        <v>201</v>
      </c>
      <c r="LLQ16" s="310" t="s">
        <v>201</v>
      </c>
      <c r="LLR16" s="310" t="s">
        <v>201</v>
      </c>
      <c r="LLS16" s="310" t="s">
        <v>201</v>
      </c>
      <c r="LLT16" s="310" t="s">
        <v>201</v>
      </c>
      <c r="LLU16" s="310" t="s">
        <v>201</v>
      </c>
      <c r="LLV16" s="310" t="s">
        <v>201</v>
      </c>
      <c r="LLW16" s="310" t="s">
        <v>201</v>
      </c>
      <c r="LLX16" s="310" t="s">
        <v>201</v>
      </c>
      <c r="LLY16" s="310" t="s">
        <v>201</v>
      </c>
      <c r="LLZ16" s="310" t="s">
        <v>201</v>
      </c>
      <c r="LMA16" s="310" t="s">
        <v>201</v>
      </c>
      <c r="LMB16" s="310" t="s">
        <v>201</v>
      </c>
      <c r="LMC16" s="310" t="s">
        <v>201</v>
      </c>
      <c r="LMD16" s="310" t="s">
        <v>201</v>
      </c>
      <c r="LME16" s="310" t="s">
        <v>201</v>
      </c>
      <c r="LMF16" s="310" t="s">
        <v>201</v>
      </c>
      <c r="LMG16" s="310" t="s">
        <v>201</v>
      </c>
      <c r="LMH16" s="310" t="s">
        <v>201</v>
      </c>
      <c r="LMI16" s="310" t="s">
        <v>201</v>
      </c>
      <c r="LMJ16" s="310" t="s">
        <v>201</v>
      </c>
      <c r="LMK16" s="310" t="s">
        <v>201</v>
      </c>
      <c r="LML16" s="310" t="s">
        <v>201</v>
      </c>
      <c r="LMM16" s="310" t="s">
        <v>201</v>
      </c>
      <c r="LMN16" s="310" t="s">
        <v>201</v>
      </c>
      <c r="LMO16" s="310" t="s">
        <v>201</v>
      </c>
      <c r="LMP16" s="310" t="s">
        <v>201</v>
      </c>
      <c r="LMQ16" s="310" t="s">
        <v>201</v>
      </c>
      <c r="LMR16" s="310" t="s">
        <v>201</v>
      </c>
      <c r="LMS16" s="310" t="s">
        <v>201</v>
      </c>
      <c r="LMT16" s="310" t="s">
        <v>201</v>
      </c>
      <c r="LMU16" s="310" t="s">
        <v>201</v>
      </c>
      <c r="LMV16" s="310" t="s">
        <v>201</v>
      </c>
      <c r="LMW16" s="310" t="s">
        <v>201</v>
      </c>
      <c r="LMX16" s="310" t="s">
        <v>201</v>
      </c>
      <c r="LMY16" s="310" t="s">
        <v>201</v>
      </c>
      <c r="LMZ16" s="310" t="s">
        <v>201</v>
      </c>
      <c r="LNA16" s="310" t="s">
        <v>201</v>
      </c>
      <c r="LNB16" s="310" t="s">
        <v>201</v>
      </c>
      <c r="LNC16" s="310" t="s">
        <v>201</v>
      </c>
      <c r="LND16" s="310" t="s">
        <v>201</v>
      </c>
      <c r="LNE16" s="310" t="s">
        <v>201</v>
      </c>
      <c r="LNF16" s="310" t="s">
        <v>201</v>
      </c>
      <c r="LNG16" s="310" t="s">
        <v>201</v>
      </c>
      <c r="LNH16" s="310" t="s">
        <v>201</v>
      </c>
      <c r="LNI16" s="310" t="s">
        <v>201</v>
      </c>
      <c r="LNJ16" s="310" t="s">
        <v>201</v>
      </c>
      <c r="LNK16" s="310" t="s">
        <v>201</v>
      </c>
      <c r="LNL16" s="310" t="s">
        <v>201</v>
      </c>
      <c r="LNM16" s="310" t="s">
        <v>201</v>
      </c>
      <c r="LNN16" s="310" t="s">
        <v>201</v>
      </c>
      <c r="LNO16" s="310" t="s">
        <v>201</v>
      </c>
      <c r="LNP16" s="310" t="s">
        <v>201</v>
      </c>
      <c r="LNQ16" s="310" t="s">
        <v>201</v>
      </c>
      <c r="LNR16" s="310" t="s">
        <v>201</v>
      </c>
      <c r="LNS16" s="310" t="s">
        <v>201</v>
      </c>
      <c r="LNT16" s="310" t="s">
        <v>201</v>
      </c>
      <c r="LNU16" s="310" t="s">
        <v>201</v>
      </c>
      <c r="LNV16" s="310" t="s">
        <v>201</v>
      </c>
      <c r="LNW16" s="310" t="s">
        <v>201</v>
      </c>
      <c r="LNX16" s="310" t="s">
        <v>201</v>
      </c>
      <c r="LNY16" s="310" t="s">
        <v>201</v>
      </c>
      <c r="LNZ16" s="310" t="s">
        <v>201</v>
      </c>
      <c r="LOA16" s="310" t="s">
        <v>201</v>
      </c>
      <c r="LOB16" s="310" t="s">
        <v>201</v>
      </c>
      <c r="LOC16" s="310" t="s">
        <v>201</v>
      </c>
      <c r="LOD16" s="310" t="s">
        <v>201</v>
      </c>
      <c r="LOE16" s="310" t="s">
        <v>201</v>
      </c>
      <c r="LOF16" s="310" t="s">
        <v>201</v>
      </c>
      <c r="LOG16" s="310" t="s">
        <v>201</v>
      </c>
      <c r="LOH16" s="310" t="s">
        <v>201</v>
      </c>
      <c r="LOI16" s="310" t="s">
        <v>201</v>
      </c>
      <c r="LOJ16" s="310" t="s">
        <v>201</v>
      </c>
      <c r="LOK16" s="310" t="s">
        <v>201</v>
      </c>
      <c r="LOL16" s="310" t="s">
        <v>201</v>
      </c>
      <c r="LOM16" s="310" t="s">
        <v>201</v>
      </c>
      <c r="LON16" s="310" t="s">
        <v>201</v>
      </c>
      <c r="LOO16" s="310" t="s">
        <v>201</v>
      </c>
      <c r="LOP16" s="310" t="s">
        <v>201</v>
      </c>
      <c r="LOQ16" s="310" t="s">
        <v>201</v>
      </c>
      <c r="LOR16" s="310" t="s">
        <v>201</v>
      </c>
      <c r="LOS16" s="310" t="s">
        <v>201</v>
      </c>
      <c r="LOT16" s="310" t="s">
        <v>201</v>
      </c>
      <c r="LOU16" s="310" t="s">
        <v>201</v>
      </c>
      <c r="LOV16" s="310" t="s">
        <v>201</v>
      </c>
      <c r="LOW16" s="310" t="s">
        <v>201</v>
      </c>
      <c r="LOX16" s="310" t="s">
        <v>201</v>
      </c>
      <c r="LOY16" s="310" t="s">
        <v>201</v>
      </c>
      <c r="LOZ16" s="310" t="s">
        <v>201</v>
      </c>
      <c r="LPA16" s="310" t="s">
        <v>201</v>
      </c>
      <c r="LPB16" s="310" t="s">
        <v>201</v>
      </c>
      <c r="LPC16" s="310" t="s">
        <v>201</v>
      </c>
      <c r="LPD16" s="310" t="s">
        <v>201</v>
      </c>
      <c r="LPE16" s="310" t="s">
        <v>201</v>
      </c>
      <c r="LPF16" s="310" t="s">
        <v>201</v>
      </c>
      <c r="LPG16" s="310" t="s">
        <v>201</v>
      </c>
      <c r="LPH16" s="310" t="s">
        <v>201</v>
      </c>
      <c r="LPI16" s="310" t="s">
        <v>201</v>
      </c>
      <c r="LPJ16" s="310" t="s">
        <v>201</v>
      </c>
      <c r="LPK16" s="310" t="s">
        <v>201</v>
      </c>
      <c r="LPL16" s="310" t="s">
        <v>201</v>
      </c>
      <c r="LPM16" s="310" t="s">
        <v>201</v>
      </c>
      <c r="LPN16" s="310" t="s">
        <v>201</v>
      </c>
      <c r="LPO16" s="310" t="s">
        <v>201</v>
      </c>
      <c r="LPP16" s="310" t="s">
        <v>201</v>
      </c>
      <c r="LPQ16" s="310" t="s">
        <v>201</v>
      </c>
      <c r="LPR16" s="310" t="s">
        <v>201</v>
      </c>
      <c r="LPS16" s="310" t="s">
        <v>201</v>
      </c>
      <c r="LPT16" s="310" t="s">
        <v>201</v>
      </c>
      <c r="LPU16" s="310" t="s">
        <v>201</v>
      </c>
      <c r="LPV16" s="310" t="s">
        <v>201</v>
      </c>
      <c r="LPW16" s="310" t="s">
        <v>201</v>
      </c>
      <c r="LPX16" s="310" t="s">
        <v>201</v>
      </c>
      <c r="LPY16" s="310" t="s">
        <v>201</v>
      </c>
      <c r="LPZ16" s="310" t="s">
        <v>201</v>
      </c>
      <c r="LQA16" s="310" t="s">
        <v>201</v>
      </c>
      <c r="LQB16" s="310" t="s">
        <v>201</v>
      </c>
      <c r="LQC16" s="310" t="s">
        <v>201</v>
      </c>
      <c r="LQD16" s="310" t="s">
        <v>201</v>
      </c>
      <c r="LQE16" s="310" t="s">
        <v>201</v>
      </c>
      <c r="LQF16" s="310" t="s">
        <v>201</v>
      </c>
      <c r="LQG16" s="310" t="s">
        <v>201</v>
      </c>
      <c r="LQH16" s="310" t="s">
        <v>201</v>
      </c>
      <c r="LQI16" s="310" t="s">
        <v>201</v>
      </c>
      <c r="LQJ16" s="310" t="s">
        <v>201</v>
      </c>
      <c r="LQK16" s="310" t="s">
        <v>201</v>
      </c>
      <c r="LQL16" s="310" t="s">
        <v>201</v>
      </c>
      <c r="LQM16" s="310" t="s">
        <v>201</v>
      </c>
      <c r="LQN16" s="310" t="s">
        <v>201</v>
      </c>
      <c r="LQO16" s="310" t="s">
        <v>201</v>
      </c>
      <c r="LQP16" s="310" t="s">
        <v>201</v>
      </c>
      <c r="LQQ16" s="310" t="s">
        <v>201</v>
      </c>
      <c r="LQR16" s="310" t="s">
        <v>201</v>
      </c>
      <c r="LQS16" s="310" t="s">
        <v>201</v>
      </c>
      <c r="LQT16" s="310" t="s">
        <v>201</v>
      </c>
      <c r="LQU16" s="310" t="s">
        <v>201</v>
      </c>
      <c r="LQV16" s="310" t="s">
        <v>201</v>
      </c>
      <c r="LQW16" s="310" t="s">
        <v>201</v>
      </c>
      <c r="LQX16" s="310" t="s">
        <v>201</v>
      </c>
      <c r="LQY16" s="310" t="s">
        <v>201</v>
      </c>
      <c r="LQZ16" s="310" t="s">
        <v>201</v>
      </c>
      <c r="LRA16" s="310" t="s">
        <v>201</v>
      </c>
      <c r="LRB16" s="310" t="s">
        <v>201</v>
      </c>
      <c r="LRC16" s="310" t="s">
        <v>201</v>
      </c>
      <c r="LRD16" s="310" t="s">
        <v>201</v>
      </c>
      <c r="LRE16" s="310" t="s">
        <v>201</v>
      </c>
      <c r="LRF16" s="310" t="s">
        <v>201</v>
      </c>
      <c r="LRG16" s="310" t="s">
        <v>201</v>
      </c>
      <c r="LRH16" s="310" t="s">
        <v>201</v>
      </c>
      <c r="LRI16" s="310" t="s">
        <v>201</v>
      </c>
      <c r="LRJ16" s="310" t="s">
        <v>201</v>
      </c>
      <c r="LRK16" s="310" t="s">
        <v>201</v>
      </c>
      <c r="LRL16" s="310" t="s">
        <v>201</v>
      </c>
      <c r="LRM16" s="310" t="s">
        <v>201</v>
      </c>
      <c r="LRN16" s="310" t="s">
        <v>201</v>
      </c>
      <c r="LRO16" s="310" t="s">
        <v>201</v>
      </c>
      <c r="LRP16" s="310" t="s">
        <v>201</v>
      </c>
      <c r="LRQ16" s="310" t="s">
        <v>201</v>
      </c>
      <c r="LRR16" s="310" t="s">
        <v>201</v>
      </c>
      <c r="LRS16" s="310" t="s">
        <v>201</v>
      </c>
      <c r="LRT16" s="310" t="s">
        <v>201</v>
      </c>
      <c r="LRU16" s="310" t="s">
        <v>201</v>
      </c>
      <c r="LRV16" s="310" t="s">
        <v>201</v>
      </c>
      <c r="LRW16" s="310" t="s">
        <v>201</v>
      </c>
      <c r="LRX16" s="310" t="s">
        <v>201</v>
      </c>
      <c r="LRY16" s="310" t="s">
        <v>201</v>
      </c>
      <c r="LRZ16" s="310" t="s">
        <v>201</v>
      </c>
      <c r="LSA16" s="310" t="s">
        <v>201</v>
      </c>
      <c r="LSB16" s="310" t="s">
        <v>201</v>
      </c>
      <c r="LSC16" s="310" t="s">
        <v>201</v>
      </c>
      <c r="LSD16" s="310" t="s">
        <v>201</v>
      </c>
      <c r="LSE16" s="310" t="s">
        <v>201</v>
      </c>
      <c r="LSF16" s="310" t="s">
        <v>201</v>
      </c>
      <c r="LSG16" s="310" t="s">
        <v>201</v>
      </c>
      <c r="LSH16" s="310" t="s">
        <v>201</v>
      </c>
      <c r="LSI16" s="310" t="s">
        <v>201</v>
      </c>
      <c r="LSJ16" s="310" t="s">
        <v>201</v>
      </c>
      <c r="LSK16" s="310" t="s">
        <v>201</v>
      </c>
      <c r="LSL16" s="310" t="s">
        <v>201</v>
      </c>
      <c r="LSM16" s="310" t="s">
        <v>201</v>
      </c>
      <c r="LSN16" s="310" t="s">
        <v>201</v>
      </c>
      <c r="LSO16" s="310" t="s">
        <v>201</v>
      </c>
      <c r="LSP16" s="310" t="s">
        <v>201</v>
      </c>
      <c r="LSQ16" s="310" t="s">
        <v>201</v>
      </c>
      <c r="LSR16" s="310" t="s">
        <v>201</v>
      </c>
      <c r="LSS16" s="310" t="s">
        <v>201</v>
      </c>
      <c r="LST16" s="310" t="s">
        <v>201</v>
      </c>
      <c r="LSU16" s="310" t="s">
        <v>201</v>
      </c>
      <c r="LSV16" s="310" t="s">
        <v>201</v>
      </c>
      <c r="LSW16" s="310" t="s">
        <v>201</v>
      </c>
      <c r="LSX16" s="310" t="s">
        <v>201</v>
      </c>
      <c r="LSY16" s="310" t="s">
        <v>201</v>
      </c>
      <c r="LSZ16" s="310" t="s">
        <v>201</v>
      </c>
      <c r="LTA16" s="310" t="s">
        <v>201</v>
      </c>
      <c r="LTB16" s="310" t="s">
        <v>201</v>
      </c>
      <c r="LTC16" s="310" t="s">
        <v>201</v>
      </c>
      <c r="LTD16" s="310" t="s">
        <v>201</v>
      </c>
      <c r="LTE16" s="310" t="s">
        <v>201</v>
      </c>
      <c r="LTF16" s="310" t="s">
        <v>201</v>
      </c>
      <c r="LTG16" s="310" t="s">
        <v>201</v>
      </c>
      <c r="LTH16" s="310" t="s">
        <v>201</v>
      </c>
      <c r="LTI16" s="310" t="s">
        <v>201</v>
      </c>
      <c r="LTJ16" s="310" t="s">
        <v>201</v>
      </c>
      <c r="LTK16" s="310" t="s">
        <v>201</v>
      </c>
      <c r="LTL16" s="310" t="s">
        <v>201</v>
      </c>
      <c r="LTM16" s="310" t="s">
        <v>201</v>
      </c>
      <c r="LTN16" s="310" t="s">
        <v>201</v>
      </c>
      <c r="LTO16" s="310" t="s">
        <v>201</v>
      </c>
      <c r="LTP16" s="310" t="s">
        <v>201</v>
      </c>
      <c r="LTQ16" s="310" t="s">
        <v>201</v>
      </c>
      <c r="LTR16" s="310" t="s">
        <v>201</v>
      </c>
      <c r="LTS16" s="310" t="s">
        <v>201</v>
      </c>
      <c r="LTT16" s="310" t="s">
        <v>201</v>
      </c>
      <c r="LTU16" s="310" t="s">
        <v>201</v>
      </c>
      <c r="LTV16" s="310" t="s">
        <v>201</v>
      </c>
      <c r="LTW16" s="310" t="s">
        <v>201</v>
      </c>
      <c r="LTX16" s="310" t="s">
        <v>201</v>
      </c>
      <c r="LTY16" s="310" t="s">
        <v>201</v>
      </c>
      <c r="LTZ16" s="310" t="s">
        <v>201</v>
      </c>
      <c r="LUA16" s="310" t="s">
        <v>201</v>
      </c>
      <c r="LUB16" s="310" t="s">
        <v>201</v>
      </c>
      <c r="LUC16" s="310" t="s">
        <v>201</v>
      </c>
      <c r="LUD16" s="310" t="s">
        <v>201</v>
      </c>
      <c r="LUE16" s="310" t="s">
        <v>201</v>
      </c>
      <c r="LUF16" s="310" t="s">
        <v>201</v>
      </c>
      <c r="LUG16" s="310" t="s">
        <v>201</v>
      </c>
      <c r="LUH16" s="310" t="s">
        <v>201</v>
      </c>
      <c r="LUI16" s="310" t="s">
        <v>201</v>
      </c>
      <c r="LUJ16" s="310" t="s">
        <v>201</v>
      </c>
      <c r="LUK16" s="310" t="s">
        <v>201</v>
      </c>
      <c r="LUL16" s="310" t="s">
        <v>201</v>
      </c>
      <c r="LUM16" s="310" t="s">
        <v>201</v>
      </c>
      <c r="LUN16" s="310" t="s">
        <v>201</v>
      </c>
      <c r="LUO16" s="310" t="s">
        <v>201</v>
      </c>
      <c r="LUP16" s="310" t="s">
        <v>201</v>
      </c>
      <c r="LUQ16" s="310" t="s">
        <v>201</v>
      </c>
      <c r="LUR16" s="310" t="s">
        <v>201</v>
      </c>
      <c r="LUS16" s="310" t="s">
        <v>201</v>
      </c>
      <c r="LUT16" s="310" t="s">
        <v>201</v>
      </c>
      <c r="LUU16" s="310" t="s">
        <v>201</v>
      </c>
      <c r="LUV16" s="310" t="s">
        <v>201</v>
      </c>
      <c r="LUW16" s="310" t="s">
        <v>201</v>
      </c>
      <c r="LUX16" s="310" t="s">
        <v>201</v>
      </c>
      <c r="LUY16" s="310" t="s">
        <v>201</v>
      </c>
      <c r="LUZ16" s="310" t="s">
        <v>201</v>
      </c>
      <c r="LVA16" s="310" t="s">
        <v>201</v>
      </c>
      <c r="LVB16" s="310" t="s">
        <v>201</v>
      </c>
      <c r="LVC16" s="310" t="s">
        <v>201</v>
      </c>
      <c r="LVD16" s="310" t="s">
        <v>201</v>
      </c>
      <c r="LVE16" s="310" t="s">
        <v>201</v>
      </c>
      <c r="LVF16" s="310" t="s">
        <v>201</v>
      </c>
      <c r="LVG16" s="310" t="s">
        <v>201</v>
      </c>
      <c r="LVH16" s="310" t="s">
        <v>201</v>
      </c>
      <c r="LVI16" s="310" t="s">
        <v>201</v>
      </c>
      <c r="LVJ16" s="310" t="s">
        <v>201</v>
      </c>
      <c r="LVK16" s="310" t="s">
        <v>201</v>
      </c>
      <c r="LVL16" s="310" t="s">
        <v>201</v>
      </c>
      <c r="LVM16" s="310" t="s">
        <v>201</v>
      </c>
      <c r="LVN16" s="310" t="s">
        <v>201</v>
      </c>
      <c r="LVO16" s="310" t="s">
        <v>201</v>
      </c>
      <c r="LVP16" s="310" t="s">
        <v>201</v>
      </c>
      <c r="LVQ16" s="310" t="s">
        <v>201</v>
      </c>
      <c r="LVR16" s="310" t="s">
        <v>201</v>
      </c>
      <c r="LVS16" s="310" t="s">
        <v>201</v>
      </c>
      <c r="LVT16" s="310" t="s">
        <v>201</v>
      </c>
      <c r="LVU16" s="310" t="s">
        <v>201</v>
      </c>
      <c r="LVV16" s="310" t="s">
        <v>201</v>
      </c>
      <c r="LVW16" s="310" t="s">
        <v>201</v>
      </c>
      <c r="LVX16" s="310" t="s">
        <v>201</v>
      </c>
      <c r="LVY16" s="310" t="s">
        <v>201</v>
      </c>
      <c r="LVZ16" s="310" t="s">
        <v>201</v>
      </c>
      <c r="LWA16" s="310" t="s">
        <v>201</v>
      </c>
      <c r="LWB16" s="310" t="s">
        <v>201</v>
      </c>
      <c r="LWC16" s="310" t="s">
        <v>201</v>
      </c>
      <c r="LWD16" s="310" t="s">
        <v>201</v>
      </c>
      <c r="LWE16" s="310" t="s">
        <v>201</v>
      </c>
      <c r="LWF16" s="310" t="s">
        <v>201</v>
      </c>
      <c r="LWG16" s="310" t="s">
        <v>201</v>
      </c>
      <c r="LWH16" s="310" t="s">
        <v>201</v>
      </c>
      <c r="LWI16" s="310" t="s">
        <v>201</v>
      </c>
      <c r="LWJ16" s="310" t="s">
        <v>201</v>
      </c>
      <c r="LWK16" s="310" t="s">
        <v>201</v>
      </c>
      <c r="LWL16" s="310" t="s">
        <v>201</v>
      </c>
      <c r="LWM16" s="310" t="s">
        <v>201</v>
      </c>
      <c r="LWN16" s="310" t="s">
        <v>201</v>
      </c>
      <c r="LWO16" s="310" t="s">
        <v>201</v>
      </c>
      <c r="LWP16" s="310" t="s">
        <v>201</v>
      </c>
      <c r="LWQ16" s="310" t="s">
        <v>201</v>
      </c>
      <c r="LWR16" s="310" t="s">
        <v>201</v>
      </c>
      <c r="LWS16" s="310" t="s">
        <v>201</v>
      </c>
      <c r="LWT16" s="310" t="s">
        <v>201</v>
      </c>
      <c r="LWU16" s="310" t="s">
        <v>201</v>
      </c>
      <c r="LWV16" s="310" t="s">
        <v>201</v>
      </c>
      <c r="LWW16" s="310" t="s">
        <v>201</v>
      </c>
      <c r="LWX16" s="310" t="s">
        <v>201</v>
      </c>
      <c r="LWY16" s="310" t="s">
        <v>201</v>
      </c>
      <c r="LWZ16" s="310" t="s">
        <v>201</v>
      </c>
      <c r="LXA16" s="310" t="s">
        <v>201</v>
      </c>
      <c r="LXB16" s="310" t="s">
        <v>201</v>
      </c>
      <c r="LXC16" s="310" t="s">
        <v>201</v>
      </c>
      <c r="LXD16" s="310" t="s">
        <v>201</v>
      </c>
      <c r="LXE16" s="310" t="s">
        <v>201</v>
      </c>
      <c r="LXF16" s="310" t="s">
        <v>201</v>
      </c>
      <c r="LXG16" s="310" t="s">
        <v>201</v>
      </c>
      <c r="LXH16" s="310" t="s">
        <v>201</v>
      </c>
      <c r="LXI16" s="310" t="s">
        <v>201</v>
      </c>
      <c r="LXJ16" s="310" t="s">
        <v>201</v>
      </c>
      <c r="LXK16" s="310" t="s">
        <v>201</v>
      </c>
      <c r="LXL16" s="310" t="s">
        <v>201</v>
      </c>
      <c r="LXM16" s="310" t="s">
        <v>201</v>
      </c>
      <c r="LXN16" s="310" t="s">
        <v>201</v>
      </c>
      <c r="LXO16" s="310" t="s">
        <v>201</v>
      </c>
      <c r="LXP16" s="310" t="s">
        <v>201</v>
      </c>
      <c r="LXQ16" s="310" t="s">
        <v>201</v>
      </c>
      <c r="LXR16" s="310" t="s">
        <v>201</v>
      </c>
      <c r="LXS16" s="310" t="s">
        <v>201</v>
      </c>
      <c r="LXT16" s="310" t="s">
        <v>201</v>
      </c>
      <c r="LXU16" s="310" t="s">
        <v>201</v>
      </c>
      <c r="LXV16" s="310" t="s">
        <v>201</v>
      </c>
      <c r="LXW16" s="310" t="s">
        <v>201</v>
      </c>
      <c r="LXX16" s="310" t="s">
        <v>201</v>
      </c>
      <c r="LXY16" s="310" t="s">
        <v>201</v>
      </c>
      <c r="LXZ16" s="310" t="s">
        <v>201</v>
      </c>
      <c r="LYA16" s="310" t="s">
        <v>201</v>
      </c>
      <c r="LYB16" s="310" t="s">
        <v>201</v>
      </c>
      <c r="LYC16" s="310" t="s">
        <v>201</v>
      </c>
      <c r="LYD16" s="310" t="s">
        <v>201</v>
      </c>
      <c r="LYE16" s="310" t="s">
        <v>201</v>
      </c>
      <c r="LYF16" s="310" t="s">
        <v>201</v>
      </c>
      <c r="LYG16" s="310" t="s">
        <v>201</v>
      </c>
      <c r="LYH16" s="310" t="s">
        <v>201</v>
      </c>
      <c r="LYI16" s="310" t="s">
        <v>201</v>
      </c>
      <c r="LYJ16" s="310" t="s">
        <v>201</v>
      </c>
      <c r="LYK16" s="310" t="s">
        <v>201</v>
      </c>
      <c r="LYL16" s="310" t="s">
        <v>201</v>
      </c>
      <c r="LYM16" s="310" t="s">
        <v>201</v>
      </c>
      <c r="LYN16" s="310" t="s">
        <v>201</v>
      </c>
      <c r="LYO16" s="310" t="s">
        <v>201</v>
      </c>
      <c r="LYP16" s="310" t="s">
        <v>201</v>
      </c>
      <c r="LYQ16" s="310" t="s">
        <v>201</v>
      </c>
      <c r="LYR16" s="310" t="s">
        <v>201</v>
      </c>
      <c r="LYS16" s="310" t="s">
        <v>201</v>
      </c>
      <c r="LYT16" s="310" t="s">
        <v>201</v>
      </c>
      <c r="LYU16" s="310" t="s">
        <v>201</v>
      </c>
      <c r="LYV16" s="310" t="s">
        <v>201</v>
      </c>
      <c r="LYW16" s="310" t="s">
        <v>201</v>
      </c>
      <c r="LYX16" s="310" t="s">
        <v>201</v>
      </c>
      <c r="LYY16" s="310" t="s">
        <v>201</v>
      </c>
      <c r="LYZ16" s="310" t="s">
        <v>201</v>
      </c>
      <c r="LZA16" s="310" t="s">
        <v>201</v>
      </c>
      <c r="LZB16" s="310" t="s">
        <v>201</v>
      </c>
      <c r="LZC16" s="310" t="s">
        <v>201</v>
      </c>
      <c r="LZD16" s="310" t="s">
        <v>201</v>
      </c>
      <c r="LZE16" s="310" t="s">
        <v>201</v>
      </c>
      <c r="LZF16" s="310" t="s">
        <v>201</v>
      </c>
      <c r="LZG16" s="310" t="s">
        <v>201</v>
      </c>
      <c r="LZH16" s="310" t="s">
        <v>201</v>
      </c>
      <c r="LZI16" s="310" t="s">
        <v>201</v>
      </c>
      <c r="LZJ16" s="310" t="s">
        <v>201</v>
      </c>
      <c r="LZK16" s="310" t="s">
        <v>201</v>
      </c>
      <c r="LZL16" s="310" t="s">
        <v>201</v>
      </c>
      <c r="LZM16" s="310" t="s">
        <v>201</v>
      </c>
      <c r="LZN16" s="310" t="s">
        <v>201</v>
      </c>
      <c r="LZO16" s="310" t="s">
        <v>201</v>
      </c>
      <c r="LZP16" s="310" t="s">
        <v>201</v>
      </c>
      <c r="LZQ16" s="310" t="s">
        <v>201</v>
      </c>
      <c r="LZR16" s="310" t="s">
        <v>201</v>
      </c>
      <c r="LZS16" s="310" t="s">
        <v>201</v>
      </c>
      <c r="LZT16" s="310" t="s">
        <v>201</v>
      </c>
      <c r="LZU16" s="310" t="s">
        <v>201</v>
      </c>
      <c r="LZV16" s="310" t="s">
        <v>201</v>
      </c>
      <c r="LZW16" s="310" t="s">
        <v>201</v>
      </c>
      <c r="LZX16" s="310" t="s">
        <v>201</v>
      </c>
      <c r="LZY16" s="310" t="s">
        <v>201</v>
      </c>
      <c r="LZZ16" s="310" t="s">
        <v>201</v>
      </c>
      <c r="MAA16" s="310" t="s">
        <v>201</v>
      </c>
      <c r="MAB16" s="310" t="s">
        <v>201</v>
      </c>
      <c r="MAC16" s="310" t="s">
        <v>201</v>
      </c>
      <c r="MAD16" s="310" t="s">
        <v>201</v>
      </c>
      <c r="MAE16" s="310" t="s">
        <v>201</v>
      </c>
      <c r="MAF16" s="310" t="s">
        <v>201</v>
      </c>
      <c r="MAG16" s="310" t="s">
        <v>201</v>
      </c>
      <c r="MAH16" s="310" t="s">
        <v>201</v>
      </c>
      <c r="MAI16" s="310" t="s">
        <v>201</v>
      </c>
      <c r="MAJ16" s="310" t="s">
        <v>201</v>
      </c>
      <c r="MAK16" s="310" t="s">
        <v>201</v>
      </c>
      <c r="MAL16" s="310" t="s">
        <v>201</v>
      </c>
      <c r="MAM16" s="310" t="s">
        <v>201</v>
      </c>
      <c r="MAN16" s="310" t="s">
        <v>201</v>
      </c>
      <c r="MAO16" s="310" t="s">
        <v>201</v>
      </c>
      <c r="MAP16" s="310" t="s">
        <v>201</v>
      </c>
      <c r="MAQ16" s="310" t="s">
        <v>201</v>
      </c>
      <c r="MAR16" s="310" t="s">
        <v>201</v>
      </c>
      <c r="MAS16" s="310" t="s">
        <v>201</v>
      </c>
      <c r="MAT16" s="310" t="s">
        <v>201</v>
      </c>
      <c r="MAU16" s="310" t="s">
        <v>201</v>
      </c>
      <c r="MAV16" s="310" t="s">
        <v>201</v>
      </c>
      <c r="MAW16" s="310" t="s">
        <v>201</v>
      </c>
      <c r="MAX16" s="310" t="s">
        <v>201</v>
      </c>
      <c r="MAY16" s="310" t="s">
        <v>201</v>
      </c>
      <c r="MAZ16" s="310" t="s">
        <v>201</v>
      </c>
      <c r="MBA16" s="310" t="s">
        <v>201</v>
      </c>
      <c r="MBB16" s="310" t="s">
        <v>201</v>
      </c>
      <c r="MBC16" s="310" t="s">
        <v>201</v>
      </c>
      <c r="MBD16" s="310" t="s">
        <v>201</v>
      </c>
      <c r="MBE16" s="310" t="s">
        <v>201</v>
      </c>
      <c r="MBF16" s="310" t="s">
        <v>201</v>
      </c>
      <c r="MBG16" s="310" t="s">
        <v>201</v>
      </c>
      <c r="MBH16" s="310" t="s">
        <v>201</v>
      </c>
      <c r="MBI16" s="310" t="s">
        <v>201</v>
      </c>
      <c r="MBJ16" s="310" t="s">
        <v>201</v>
      </c>
      <c r="MBK16" s="310" t="s">
        <v>201</v>
      </c>
      <c r="MBL16" s="310" t="s">
        <v>201</v>
      </c>
      <c r="MBM16" s="310" t="s">
        <v>201</v>
      </c>
      <c r="MBN16" s="310" t="s">
        <v>201</v>
      </c>
      <c r="MBO16" s="310" t="s">
        <v>201</v>
      </c>
      <c r="MBP16" s="310" t="s">
        <v>201</v>
      </c>
      <c r="MBQ16" s="310" t="s">
        <v>201</v>
      </c>
      <c r="MBR16" s="310" t="s">
        <v>201</v>
      </c>
      <c r="MBS16" s="310" t="s">
        <v>201</v>
      </c>
      <c r="MBT16" s="310" t="s">
        <v>201</v>
      </c>
      <c r="MBU16" s="310" t="s">
        <v>201</v>
      </c>
      <c r="MBV16" s="310" t="s">
        <v>201</v>
      </c>
      <c r="MBW16" s="310" t="s">
        <v>201</v>
      </c>
      <c r="MBX16" s="310" t="s">
        <v>201</v>
      </c>
      <c r="MBY16" s="310" t="s">
        <v>201</v>
      </c>
      <c r="MBZ16" s="310" t="s">
        <v>201</v>
      </c>
      <c r="MCA16" s="310" t="s">
        <v>201</v>
      </c>
      <c r="MCB16" s="310" t="s">
        <v>201</v>
      </c>
      <c r="MCC16" s="310" t="s">
        <v>201</v>
      </c>
      <c r="MCD16" s="310" t="s">
        <v>201</v>
      </c>
      <c r="MCE16" s="310" t="s">
        <v>201</v>
      </c>
      <c r="MCF16" s="310" t="s">
        <v>201</v>
      </c>
      <c r="MCG16" s="310" t="s">
        <v>201</v>
      </c>
      <c r="MCH16" s="310" t="s">
        <v>201</v>
      </c>
      <c r="MCI16" s="310" t="s">
        <v>201</v>
      </c>
      <c r="MCJ16" s="310" t="s">
        <v>201</v>
      </c>
      <c r="MCK16" s="310" t="s">
        <v>201</v>
      </c>
      <c r="MCL16" s="310" t="s">
        <v>201</v>
      </c>
      <c r="MCM16" s="310" t="s">
        <v>201</v>
      </c>
      <c r="MCN16" s="310" t="s">
        <v>201</v>
      </c>
      <c r="MCO16" s="310" t="s">
        <v>201</v>
      </c>
      <c r="MCP16" s="310" t="s">
        <v>201</v>
      </c>
      <c r="MCQ16" s="310" t="s">
        <v>201</v>
      </c>
      <c r="MCR16" s="310" t="s">
        <v>201</v>
      </c>
      <c r="MCS16" s="310" t="s">
        <v>201</v>
      </c>
      <c r="MCT16" s="310" t="s">
        <v>201</v>
      </c>
      <c r="MCU16" s="310" t="s">
        <v>201</v>
      </c>
      <c r="MCV16" s="310" t="s">
        <v>201</v>
      </c>
      <c r="MCW16" s="310" t="s">
        <v>201</v>
      </c>
      <c r="MCX16" s="310" t="s">
        <v>201</v>
      </c>
      <c r="MCY16" s="310" t="s">
        <v>201</v>
      </c>
      <c r="MCZ16" s="310" t="s">
        <v>201</v>
      </c>
      <c r="MDA16" s="310" t="s">
        <v>201</v>
      </c>
      <c r="MDB16" s="310" t="s">
        <v>201</v>
      </c>
      <c r="MDC16" s="310" t="s">
        <v>201</v>
      </c>
      <c r="MDD16" s="310" t="s">
        <v>201</v>
      </c>
      <c r="MDE16" s="310" t="s">
        <v>201</v>
      </c>
      <c r="MDF16" s="310" t="s">
        <v>201</v>
      </c>
      <c r="MDG16" s="310" t="s">
        <v>201</v>
      </c>
      <c r="MDH16" s="310" t="s">
        <v>201</v>
      </c>
      <c r="MDI16" s="310" t="s">
        <v>201</v>
      </c>
      <c r="MDJ16" s="310" t="s">
        <v>201</v>
      </c>
      <c r="MDK16" s="310" t="s">
        <v>201</v>
      </c>
      <c r="MDL16" s="310" t="s">
        <v>201</v>
      </c>
      <c r="MDM16" s="310" t="s">
        <v>201</v>
      </c>
      <c r="MDN16" s="310" t="s">
        <v>201</v>
      </c>
      <c r="MDO16" s="310" t="s">
        <v>201</v>
      </c>
      <c r="MDP16" s="310" t="s">
        <v>201</v>
      </c>
      <c r="MDQ16" s="310" t="s">
        <v>201</v>
      </c>
      <c r="MDR16" s="310" t="s">
        <v>201</v>
      </c>
      <c r="MDS16" s="310" t="s">
        <v>201</v>
      </c>
      <c r="MDT16" s="310" t="s">
        <v>201</v>
      </c>
      <c r="MDU16" s="310" t="s">
        <v>201</v>
      </c>
      <c r="MDV16" s="310" t="s">
        <v>201</v>
      </c>
      <c r="MDW16" s="310" t="s">
        <v>201</v>
      </c>
      <c r="MDX16" s="310" t="s">
        <v>201</v>
      </c>
      <c r="MDY16" s="310" t="s">
        <v>201</v>
      </c>
      <c r="MDZ16" s="310" t="s">
        <v>201</v>
      </c>
      <c r="MEA16" s="310" t="s">
        <v>201</v>
      </c>
      <c r="MEB16" s="310" t="s">
        <v>201</v>
      </c>
      <c r="MEC16" s="310" t="s">
        <v>201</v>
      </c>
      <c r="MED16" s="310" t="s">
        <v>201</v>
      </c>
      <c r="MEE16" s="310" t="s">
        <v>201</v>
      </c>
      <c r="MEF16" s="310" t="s">
        <v>201</v>
      </c>
      <c r="MEG16" s="310" t="s">
        <v>201</v>
      </c>
      <c r="MEH16" s="310" t="s">
        <v>201</v>
      </c>
      <c r="MEI16" s="310" t="s">
        <v>201</v>
      </c>
      <c r="MEJ16" s="310" t="s">
        <v>201</v>
      </c>
      <c r="MEK16" s="310" t="s">
        <v>201</v>
      </c>
      <c r="MEL16" s="310" t="s">
        <v>201</v>
      </c>
      <c r="MEM16" s="310" t="s">
        <v>201</v>
      </c>
      <c r="MEN16" s="310" t="s">
        <v>201</v>
      </c>
      <c r="MEO16" s="310" t="s">
        <v>201</v>
      </c>
      <c r="MEP16" s="310" t="s">
        <v>201</v>
      </c>
      <c r="MEQ16" s="310" t="s">
        <v>201</v>
      </c>
      <c r="MER16" s="310" t="s">
        <v>201</v>
      </c>
      <c r="MES16" s="310" t="s">
        <v>201</v>
      </c>
      <c r="MET16" s="310" t="s">
        <v>201</v>
      </c>
      <c r="MEU16" s="310" t="s">
        <v>201</v>
      </c>
      <c r="MEV16" s="310" t="s">
        <v>201</v>
      </c>
      <c r="MEW16" s="310" t="s">
        <v>201</v>
      </c>
      <c r="MEX16" s="310" t="s">
        <v>201</v>
      </c>
      <c r="MEY16" s="310" t="s">
        <v>201</v>
      </c>
      <c r="MEZ16" s="310" t="s">
        <v>201</v>
      </c>
      <c r="MFA16" s="310" t="s">
        <v>201</v>
      </c>
      <c r="MFB16" s="310" t="s">
        <v>201</v>
      </c>
      <c r="MFC16" s="310" t="s">
        <v>201</v>
      </c>
      <c r="MFD16" s="310" t="s">
        <v>201</v>
      </c>
      <c r="MFE16" s="310" t="s">
        <v>201</v>
      </c>
      <c r="MFF16" s="310" t="s">
        <v>201</v>
      </c>
      <c r="MFG16" s="310" t="s">
        <v>201</v>
      </c>
      <c r="MFH16" s="310" t="s">
        <v>201</v>
      </c>
      <c r="MFI16" s="310" t="s">
        <v>201</v>
      </c>
      <c r="MFJ16" s="310" t="s">
        <v>201</v>
      </c>
      <c r="MFK16" s="310" t="s">
        <v>201</v>
      </c>
      <c r="MFL16" s="310" t="s">
        <v>201</v>
      </c>
      <c r="MFM16" s="310" t="s">
        <v>201</v>
      </c>
      <c r="MFN16" s="310" t="s">
        <v>201</v>
      </c>
      <c r="MFO16" s="310" t="s">
        <v>201</v>
      </c>
      <c r="MFP16" s="310" t="s">
        <v>201</v>
      </c>
      <c r="MFQ16" s="310" t="s">
        <v>201</v>
      </c>
      <c r="MFR16" s="310" t="s">
        <v>201</v>
      </c>
      <c r="MFS16" s="310" t="s">
        <v>201</v>
      </c>
      <c r="MFT16" s="310" t="s">
        <v>201</v>
      </c>
      <c r="MFU16" s="310" t="s">
        <v>201</v>
      </c>
      <c r="MFV16" s="310" t="s">
        <v>201</v>
      </c>
      <c r="MFW16" s="310" t="s">
        <v>201</v>
      </c>
      <c r="MFX16" s="310" t="s">
        <v>201</v>
      </c>
      <c r="MFY16" s="310" t="s">
        <v>201</v>
      </c>
      <c r="MFZ16" s="310" t="s">
        <v>201</v>
      </c>
      <c r="MGA16" s="310" t="s">
        <v>201</v>
      </c>
      <c r="MGB16" s="310" t="s">
        <v>201</v>
      </c>
      <c r="MGC16" s="310" t="s">
        <v>201</v>
      </c>
      <c r="MGD16" s="310" t="s">
        <v>201</v>
      </c>
      <c r="MGE16" s="310" t="s">
        <v>201</v>
      </c>
      <c r="MGF16" s="310" t="s">
        <v>201</v>
      </c>
      <c r="MGG16" s="310" t="s">
        <v>201</v>
      </c>
      <c r="MGH16" s="310" t="s">
        <v>201</v>
      </c>
      <c r="MGI16" s="310" t="s">
        <v>201</v>
      </c>
      <c r="MGJ16" s="310" t="s">
        <v>201</v>
      </c>
      <c r="MGK16" s="310" t="s">
        <v>201</v>
      </c>
      <c r="MGL16" s="310" t="s">
        <v>201</v>
      </c>
      <c r="MGM16" s="310" t="s">
        <v>201</v>
      </c>
      <c r="MGN16" s="310" t="s">
        <v>201</v>
      </c>
      <c r="MGO16" s="310" t="s">
        <v>201</v>
      </c>
      <c r="MGP16" s="310" t="s">
        <v>201</v>
      </c>
      <c r="MGQ16" s="310" t="s">
        <v>201</v>
      </c>
      <c r="MGR16" s="310" t="s">
        <v>201</v>
      </c>
      <c r="MGS16" s="310" t="s">
        <v>201</v>
      </c>
      <c r="MGT16" s="310" t="s">
        <v>201</v>
      </c>
      <c r="MGU16" s="310" t="s">
        <v>201</v>
      </c>
      <c r="MGV16" s="310" t="s">
        <v>201</v>
      </c>
      <c r="MGW16" s="310" t="s">
        <v>201</v>
      </c>
      <c r="MGX16" s="310" t="s">
        <v>201</v>
      </c>
      <c r="MGY16" s="310" t="s">
        <v>201</v>
      </c>
      <c r="MGZ16" s="310" t="s">
        <v>201</v>
      </c>
      <c r="MHA16" s="310" t="s">
        <v>201</v>
      </c>
      <c r="MHB16" s="310" t="s">
        <v>201</v>
      </c>
      <c r="MHC16" s="310" t="s">
        <v>201</v>
      </c>
      <c r="MHD16" s="310" t="s">
        <v>201</v>
      </c>
      <c r="MHE16" s="310" t="s">
        <v>201</v>
      </c>
      <c r="MHF16" s="310" t="s">
        <v>201</v>
      </c>
      <c r="MHG16" s="310" t="s">
        <v>201</v>
      </c>
      <c r="MHH16" s="310" t="s">
        <v>201</v>
      </c>
      <c r="MHI16" s="310" t="s">
        <v>201</v>
      </c>
      <c r="MHJ16" s="310" t="s">
        <v>201</v>
      </c>
      <c r="MHK16" s="310" t="s">
        <v>201</v>
      </c>
      <c r="MHL16" s="310" t="s">
        <v>201</v>
      </c>
      <c r="MHM16" s="310" t="s">
        <v>201</v>
      </c>
      <c r="MHN16" s="310" t="s">
        <v>201</v>
      </c>
      <c r="MHO16" s="310" t="s">
        <v>201</v>
      </c>
      <c r="MHP16" s="310" t="s">
        <v>201</v>
      </c>
      <c r="MHQ16" s="310" t="s">
        <v>201</v>
      </c>
      <c r="MHR16" s="310" t="s">
        <v>201</v>
      </c>
      <c r="MHS16" s="310" t="s">
        <v>201</v>
      </c>
      <c r="MHT16" s="310" t="s">
        <v>201</v>
      </c>
      <c r="MHU16" s="310" t="s">
        <v>201</v>
      </c>
      <c r="MHV16" s="310" t="s">
        <v>201</v>
      </c>
      <c r="MHW16" s="310" t="s">
        <v>201</v>
      </c>
      <c r="MHX16" s="310" t="s">
        <v>201</v>
      </c>
      <c r="MHY16" s="310" t="s">
        <v>201</v>
      </c>
      <c r="MHZ16" s="310" t="s">
        <v>201</v>
      </c>
      <c r="MIA16" s="310" t="s">
        <v>201</v>
      </c>
      <c r="MIB16" s="310" t="s">
        <v>201</v>
      </c>
      <c r="MIC16" s="310" t="s">
        <v>201</v>
      </c>
      <c r="MID16" s="310" t="s">
        <v>201</v>
      </c>
      <c r="MIE16" s="310" t="s">
        <v>201</v>
      </c>
      <c r="MIF16" s="310" t="s">
        <v>201</v>
      </c>
      <c r="MIG16" s="310" t="s">
        <v>201</v>
      </c>
      <c r="MIH16" s="310" t="s">
        <v>201</v>
      </c>
      <c r="MII16" s="310" t="s">
        <v>201</v>
      </c>
      <c r="MIJ16" s="310" t="s">
        <v>201</v>
      </c>
      <c r="MIK16" s="310" t="s">
        <v>201</v>
      </c>
      <c r="MIL16" s="310" t="s">
        <v>201</v>
      </c>
      <c r="MIM16" s="310" t="s">
        <v>201</v>
      </c>
      <c r="MIN16" s="310" t="s">
        <v>201</v>
      </c>
      <c r="MIO16" s="310" t="s">
        <v>201</v>
      </c>
      <c r="MIP16" s="310" t="s">
        <v>201</v>
      </c>
      <c r="MIQ16" s="310" t="s">
        <v>201</v>
      </c>
      <c r="MIR16" s="310" t="s">
        <v>201</v>
      </c>
      <c r="MIS16" s="310" t="s">
        <v>201</v>
      </c>
      <c r="MIT16" s="310" t="s">
        <v>201</v>
      </c>
      <c r="MIU16" s="310" t="s">
        <v>201</v>
      </c>
      <c r="MIV16" s="310" t="s">
        <v>201</v>
      </c>
      <c r="MIW16" s="310" t="s">
        <v>201</v>
      </c>
      <c r="MIX16" s="310" t="s">
        <v>201</v>
      </c>
      <c r="MIY16" s="310" t="s">
        <v>201</v>
      </c>
      <c r="MIZ16" s="310" t="s">
        <v>201</v>
      </c>
      <c r="MJA16" s="310" t="s">
        <v>201</v>
      </c>
      <c r="MJB16" s="310" t="s">
        <v>201</v>
      </c>
      <c r="MJC16" s="310" t="s">
        <v>201</v>
      </c>
      <c r="MJD16" s="310" t="s">
        <v>201</v>
      </c>
      <c r="MJE16" s="310" t="s">
        <v>201</v>
      </c>
      <c r="MJF16" s="310" t="s">
        <v>201</v>
      </c>
      <c r="MJG16" s="310" t="s">
        <v>201</v>
      </c>
      <c r="MJH16" s="310" t="s">
        <v>201</v>
      </c>
      <c r="MJI16" s="310" t="s">
        <v>201</v>
      </c>
      <c r="MJJ16" s="310" t="s">
        <v>201</v>
      </c>
      <c r="MJK16" s="310" t="s">
        <v>201</v>
      </c>
      <c r="MJL16" s="310" t="s">
        <v>201</v>
      </c>
      <c r="MJM16" s="310" t="s">
        <v>201</v>
      </c>
      <c r="MJN16" s="310" t="s">
        <v>201</v>
      </c>
      <c r="MJO16" s="310" t="s">
        <v>201</v>
      </c>
      <c r="MJP16" s="310" t="s">
        <v>201</v>
      </c>
      <c r="MJQ16" s="310" t="s">
        <v>201</v>
      </c>
      <c r="MJR16" s="310" t="s">
        <v>201</v>
      </c>
      <c r="MJS16" s="310" t="s">
        <v>201</v>
      </c>
      <c r="MJT16" s="310" t="s">
        <v>201</v>
      </c>
      <c r="MJU16" s="310" t="s">
        <v>201</v>
      </c>
      <c r="MJV16" s="310" t="s">
        <v>201</v>
      </c>
      <c r="MJW16" s="310" t="s">
        <v>201</v>
      </c>
      <c r="MJX16" s="310" t="s">
        <v>201</v>
      </c>
      <c r="MJY16" s="310" t="s">
        <v>201</v>
      </c>
      <c r="MJZ16" s="310" t="s">
        <v>201</v>
      </c>
      <c r="MKA16" s="310" t="s">
        <v>201</v>
      </c>
      <c r="MKB16" s="310" t="s">
        <v>201</v>
      </c>
      <c r="MKC16" s="310" t="s">
        <v>201</v>
      </c>
      <c r="MKD16" s="310" t="s">
        <v>201</v>
      </c>
      <c r="MKE16" s="310" t="s">
        <v>201</v>
      </c>
      <c r="MKF16" s="310" t="s">
        <v>201</v>
      </c>
      <c r="MKG16" s="310" t="s">
        <v>201</v>
      </c>
      <c r="MKH16" s="310" t="s">
        <v>201</v>
      </c>
      <c r="MKI16" s="310" t="s">
        <v>201</v>
      </c>
      <c r="MKJ16" s="310" t="s">
        <v>201</v>
      </c>
      <c r="MKK16" s="310" t="s">
        <v>201</v>
      </c>
      <c r="MKL16" s="310" t="s">
        <v>201</v>
      </c>
      <c r="MKM16" s="310" t="s">
        <v>201</v>
      </c>
      <c r="MKN16" s="310" t="s">
        <v>201</v>
      </c>
      <c r="MKO16" s="310" t="s">
        <v>201</v>
      </c>
      <c r="MKP16" s="310" t="s">
        <v>201</v>
      </c>
      <c r="MKQ16" s="310" t="s">
        <v>201</v>
      </c>
      <c r="MKR16" s="310" t="s">
        <v>201</v>
      </c>
      <c r="MKS16" s="310" t="s">
        <v>201</v>
      </c>
      <c r="MKT16" s="310" t="s">
        <v>201</v>
      </c>
      <c r="MKU16" s="310" t="s">
        <v>201</v>
      </c>
      <c r="MKV16" s="310" t="s">
        <v>201</v>
      </c>
      <c r="MKW16" s="310" t="s">
        <v>201</v>
      </c>
      <c r="MKX16" s="310" t="s">
        <v>201</v>
      </c>
      <c r="MKY16" s="310" t="s">
        <v>201</v>
      </c>
      <c r="MKZ16" s="310" t="s">
        <v>201</v>
      </c>
      <c r="MLA16" s="310" t="s">
        <v>201</v>
      </c>
      <c r="MLB16" s="310" t="s">
        <v>201</v>
      </c>
      <c r="MLC16" s="310" t="s">
        <v>201</v>
      </c>
      <c r="MLD16" s="310" t="s">
        <v>201</v>
      </c>
      <c r="MLE16" s="310" t="s">
        <v>201</v>
      </c>
      <c r="MLF16" s="310" t="s">
        <v>201</v>
      </c>
      <c r="MLG16" s="310" t="s">
        <v>201</v>
      </c>
      <c r="MLH16" s="310" t="s">
        <v>201</v>
      </c>
      <c r="MLI16" s="310" t="s">
        <v>201</v>
      </c>
      <c r="MLJ16" s="310" t="s">
        <v>201</v>
      </c>
      <c r="MLK16" s="310" t="s">
        <v>201</v>
      </c>
      <c r="MLL16" s="310" t="s">
        <v>201</v>
      </c>
      <c r="MLM16" s="310" t="s">
        <v>201</v>
      </c>
      <c r="MLN16" s="310" t="s">
        <v>201</v>
      </c>
      <c r="MLO16" s="310" t="s">
        <v>201</v>
      </c>
      <c r="MLP16" s="310" t="s">
        <v>201</v>
      </c>
      <c r="MLQ16" s="310" t="s">
        <v>201</v>
      </c>
      <c r="MLR16" s="310" t="s">
        <v>201</v>
      </c>
      <c r="MLS16" s="310" t="s">
        <v>201</v>
      </c>
      <c r="MLT16" s="310" t="s">
        <v>201</v>
      </c>
      <c r="MLU16" s="310" t="s">
        <v>201</v>
      </c>
      <c r="MLV16" s="310" t="s">
        <v>201</v>
      </c>
      <c r="MLW16" s="310" t="s">
        <v>201</v>
      </c>
      <c r="MLX16" s="310" t="s">
        <v>201</v>
      </c>
      <c r="MLY16" s="310" t="s">
        <v>201</v>
      </c>
      <c r="MLZ16" s="310" t="s">
        <v>201</v>
      </c>
      <c r="MMA16" s="310" t="s">
        <v>201</v>
      </c>
      <c r="MMB16" s="310" t="s">
        <v>201</v>
      </c>
      <c r="MMC16" s="310" t="s">
        <v>201</v>
      </c>
      <c r="MMD16" s="310" t="s">
        <v>201</v>
      </c>
      <c r="MME16" s="310" t="s">
        <v>201</v>
      </c>
      <c r="MMF16" s="310" t="s">
        <v>201</v>
      </c>
      <c r="MMG16" s="310" t="s">
        <v>201</v>
      </c>
      <c r="MMH16" s="310" t="s">
        <v>201</v>
      </c>
      <c r="MMI16" s="310" t="s">
        <v>201</v>
      </c>
      <c r="MMJ16" s="310" t="s">
        <v>201</v>
      </c>
      <c r="MMK16" s="310" t="s">
        <v>201</v>
      </c>
      <c r="MML16" s="310" t="s">
        <v>201</v>
      </c>
      <c r="MMM16" s="310" t="s">
        <v>201</v>
      </c>
      <c r="MMN16" s="310" t="s">
        <v>201</v>
      </c>
      <c r="MMO16" s="310" t="s">
        <v>201</v>
      </c>
      <c r="MMP16" s="310" t="s">
        <v>201</v>
      </c>
      <c r="MMQ16" s="310" t="s">
        <v>201</v>
      </c>
      <c r="MMR16" s="310" t="s">
        <v>201</v>
      </c>
      <c r="MMS16" s="310" t="s">
        <v>201</v>
      </c>
      <c r="MMT16" s="310" t="s">
        <v>201</v>
      </c>
      <c r="MMU16" s="310" t="s">
        <v>201</v>
      </c>
      <c r="MMV16" s="310" t="s">
        <v>201</v>
      </c>
      <c r="MMW16" s="310" t="s">
        <v>201</v>
      </c>
      <c r="MMX16" s="310" t="s">
        <v>201</v>
      </c>
      <c r="MMY16" s="310" t="s">
        <v>201</v>
      </c>
      <c r="MMZ16" s="310" t="s">
        <v>201</v>
      </c>
      <c r="MNA16" s="310" t="s">
        <v>201</v>
      </c>
      <c r="MNB16" s="310" t="s">
        <v>201</v>
      </c>
      <c r="MNC16" s="310" t="s">
        <v>201</v>
      </c>
      <c r="MND16" s="310" t="s">
        <v>201</v>
      </c>
      <c r="MNE16" s="310" t="s">
        <v>201</v>
      </c>
      <c r="MNF16" s="310" t="s">
        <v>201</v>
      </c>
      <c r="MNG16" s="310" t="s">
        <v>201</v>
      </c>
      <c r="MNH16" s="310" t="s">
        <v>201</v>
      </c>
      <c r="MNI16" s="310" t="s">
        <v>201</v>
      </c>
      <c r="MNJ16" s="310" t="s">
        <v>201</v>
      </c>
      <c r="MNK16" s="310" t="s">
        <v>201</v>
      </c>
      <c r="MNL16" s="310" t="s">
        <v>201</v>
      </c>
      <c r="MNM16" s="310" t="s">
        <v>201</v>
      </c>
      <c r="MNN16" s="310" t="s">
        <v>201</v>
      </c>
      <c r="MNO16" s="310" t="s">
        <v>201</v>
      </c>
      <c r="MNP16" s="310" t="s">
        <v>201</v>
      </c>
      <c r="MNQ16" s="310" t="s">
        <v>201</v>
      </c>
      <c r="MNR16" s="310" t="s">
        <v>201</v>
      </c>
      <c r="MNS16" s="310" t="s">
        <v>201</v>
      </c>
      <c r="MNT16" s="310" t="s">
        <v>201</v>
      </c>
      <c r="MNU16" s="310" t="s">
        <v>201</v>
      </c>
      <c r="MNV16" s="310" t="s">
        <v>201</v>
      </c>
      <c r="MNW16" s="310" t="s">
        <v>201</v>
      </c>
      <c r="MNX16" s="310" t="s">
        <v>201</v>
      </c>
      <c r="MNY16" s="310" t="s">
        <v>201</v>
      </c>
      <c r="MNZ16" s="310" t="s">
        <v>201</v>
      </c>
      <c r="MOA16" s="310" t="s">
        <v>201</v>
      </c>
      <c r="MOB16" s="310" t="s">
        <v>201</v>
      </c>
      <c r="MOC16" s="310" t="s">
        <v>201</v>
      </c>
      <c r="MOD16" s="310" t="s">
        <v>201</v>
      </c>
      <c r="MOE16" s="310" t="s">
        <v>201</v>
      </c>
      <c r="MOF16" s="310" t="s">
        <v>201</v>
      </c>
      <c r="MOG16" s="310" t="s">
        <v>201</v>
      </c>
      <c r="MOH16" s="310" t="s">
        <v>201</v>
      </c>
      <c r="MOI16" s="310" t="s">
        <v>201</v>
      </c>
      <c r="MOJ16" s="310" t="s">
        <v>201</v>
      </c>
      <c r="MOK16" s="310" t="s">
        <v>201</v>
      </c>
      <c r="MOL16" s="310" t="s">
        <v>201</v>
      </c>
      <c r="MOM16" s="310" t="s">
        <v>201</v>
      </c>
      <c r="MON16" s="310" t="s">
        <v>201</v>
      </c>
      <c r="MOO16" s="310" t="s">
        <v>201</v>
      </c>
      <c r="MOP16" s="310" t="s">
        <v>201</v>
      </c>
      <c r="MOQ16" s="310" t="s">
        <v>201</v>
      </c>
      <c r="MOR16" s="310" t="s">
        <v>201</v>
      </c>
      <c r="MOS16" s="310" t="s">
        <v>201</v>
      </c>
      <c r="MOT16" s="310" t="s">
        <v>201</v>
      </c>
      <c r="MOU16" s="310" t="s">
        <v>201</v>
      </c>
      <c r="MOV16" s="310" t="s">
        <v>201</v>
      </c>
      <c r="MOW16" s="310" t="s">
        <v>201</v>
      </c>
      <c r="MOX16" s="310" t="s">
        <v>201</v>
      </c>
      <c r="MOY16" s="310" t="s">
        <v>201</v>
      </c>
      <c r="MOZ16" s="310" t="s">
        <v>201</v>
      </c>
      <c r="MPA16" s="310" t="s">
        <v>201</v>
      </c>
      <c r="MPB16" s="310" t="s">
        <v>201</v>
      </c>
      <c r="MPC16" s="310" t="s">
        <v>201</v>
      </c>
      <c r="MPD16" s="310" t="s">
        <v>201</v>
      </c>
      <c r="MPE16" s="310" t="s">
        <v>201</v>
      </c>
      <c r="MPF16" s="310" t="s">
        <v>201</v>
      </c>
      <c r="MPG16" s="310" t="s">
        <v>201</v>
      </c>
      <c r="MPH16" s="310" t="s">
        <v>201</v>
      </c>
      <c r="MPI16" s="310" t="s">
        <v>201</v>
      </c>
      <c r="MPJ16" s="310" t="s">
        <v>201</v>
      </c>
      <c r="MPK16" s="310" t="s">
        <v>201</v>
      </c>
      <c r="MPL16" s="310" t="s">
        <v>201</v>
      </c>
      <c r="MPM16" s="310" t="s">
        <v>201</v>
      </c>
      <c r="MPN16" s="310" t="s">
        <v>201</v>
      </c>
      <c r="MPO16" s="310" t="s">
        <v>201</v>
      </c>
      <c r="MPP16" s="310" t="s">
        <v>201</v>
      </c>
      <c r="MPQ16" s="310" t="s">
        <v>201</v>
      </c>
      <c r="MPR16" s="310" t="s">
        <v>201</v>
      </c>
      <c r="MPS16" s="310" t="s">
        <v>201</v>
      </c>
      <c r="MPT16" s="310" t="s">
        <v>201</v>
      </c>
      <c r="MPU16" s="310" t="s">
        <v>201</v>
      </c>
      <c r="MPV16" s="310" t="s">
        <v>201</v>
      </c>
      <c r="MPW16" s="310" t="s">
        <v>201</v>
      </c>
      <c r="MPX16" s="310" t="s">
        <v>201</v>
      </c>
      <c r="MPY16" s="310" t="s">
        <v>201</v>
      </c>
      <c r="MPZ16" s="310" t="s">
        <v>201</v>
      </c>
      <c r="MQA16" s="310" t="s">
        <v>201</v>
      </c>
      <c r="MQB16" s="310" t="s">
        <v>201</v>
      </c>
      <c r="MQC16" s="310" t="s">
        <v>201</v>
      </c>
      <c r="MQD16" s="310" t="s">
        <v>201</v>
      </c>
      <c r="MQE16" s="310" t="s">
        <v>201</v>
      </c>
      <c r="MQF16" s="310" t="s">
        <v>201</v>
      </c>
      <c r="MQG16" s="310" t="s">
        <v>201</v>
      </c>
      <c r="MQH16" s="310" t="s">
        <v>201</v>
      </c>
      <c r="MQI16" s="310" t="s">
        <v>201</v>
      </c>
      <c r="MQJ16" s="310" t="s">
        <v>201</v>
      </c>
      <c r="MQK16" s="310" t="s">
        <v>201</v>
      </c>
      <c r="MQL16" s="310" t="s">
        <v>201</v>
      </c>
      <c r="MQM16" s="310" t="s">
        <v>201</v>
      </c>
      <c r="MQN16" s="310" t="s">
        <v>201</v>
      </c>
      <c r="MQO16" s="310" t="s">
        <v>201</v>
      </c>
      <c r="MQP16" s="310" t="s">
        <v>201</v>
      </c>
      <c r="MQQ16" s="310" t="s">
        <v>201</v>
      </c>
      <c r="MQR16" s="310" t="s">
        <v>201</v>
      </c>
      <c r="MQS16" s="310" t="s">
        <v>201</v>
      </c>
      <c r="MQT16" s="310" t="s">
        <v>201</v>
      </c>
      <c r="MQU16" s="310" t="s">
        <v>201</v>
      </c>
      <c r="MQV16" s="310" t="s">
        <v>201</v>
      </c>
      <c r="MQW16" s="310" t="s">
        <v>201</v>
      </c>
      <c r="MQX16" s="310" t="s">
        <v>201</v>
      </c>
      <c r="MQY16" s="310" t="s">
        <v>201</v>
      </c>
      <c r="MQZ16" s="310" t="s">
        <v>201</v>
      </c>
      <c r="MRA16" s="310" t="s">
        <v>201</v>
      </c>
      <c r="MRB16" s="310" t="s">
        <v>201</v>
      </c>
      <c r="MRC16" s="310" t="s">
        <v>201</v>
      </c>
      <c r="MRD16" s="310" t="s">
        <v>201</v>
      </c>
      <c r="MRE16" s="310" t="s">
        <v>201</v>
      </c>
      <c r="MRF16" s="310" t="s">
        <v>201</v>
      </c>
      <c r="MRG16" s="310" t="s">
        <v>201</v>
      </c>
      <c r="MRH16" s="310" t="s">
        <v>201</v>
      </c>
      <c r="MRI16" s="310" t="s">
        <v>201</v>
      </c>
      <c r="MRJ16" s="310" t="s">
        <v>201</v>
      </c>
      <c r="MRK16" s="310" t="s">
        <v>201</v>
      </c>
      <c r="MRL16" s="310" t="s">
        <v>201</v>
      </c>
      <c r="MRM16" s="310" t="s">
        <v>201</v>
      </c>
      <c r="MRN16" s="310" t="s">
        <v>201</v>
      </c>
      <c r="MRO16" s="310" t="s">
        <v>201</v>
      </c>
      <c r="MRP16" s="310" t="s">
        <v>201</v>
      </c>
      <c r="MRQ16" s="310" t="s">
        <v>201</v>
      </c>
      <c r="MRR16" s="310" t="s">
        <v>201</v>
      </c>
      <c r="MRS16" s="310" t="s">
        <v>201</v>
      </c>
      <c r="MRT16" s="310" t="s">
        <v>201</v>
      </c>
      <c r="MRU16" s="310" t="s">
        <v>201</v>
      </c>
      <c r="MRV16" s="310" t="s">
        <v>201</v>
      </c>
      <c r="MRW16" s="310" t="s">
        <v>201</v>
      </c>
      <c r="MRX16" s="310" t="s">
        <v>201</v>
      </c>
      <c r="MRY16" s="310" t="s">
        <v>201</v>
      </c>
      <c r="MRZ16" s="310" t="s">
        <v>201</v>
      </c>
      <c r="MSA16" s="310" t="s">
        <v>201</v>
      </c>
      <c r="MSB16" s="310" t="s">
        <v>201</v>
      </c>
      <c r="MSC16" s="310" t="s">
        <v>201</v>
      </c>
      <c r="MSD16" s="310" t="s">
        <v>201</v>
      </c>
      <c r="MSE16" s="310" t="s">
        <v>201</v>
      </c>
      <c r="MSF16" s="310" t="s">
        <v>201</v>
      </c>
      <c r="MSG16" s="310" t="s">
        <v>201</v>
      </c>
      <c r="MSH16" s="310" t="s">
        <v>201</v>
      </c>
      <c r="MSI16" s="310" t="s">
        <v>201</v>
      </c>
      <c r="MSJ16" s="310" t="s">
        <v>201</v>
      </c>
      <c r="MSK16" s="310" t="s">
        <v>201</v>
      </c>
      <c r="MSL16" s="310" t="s">
        <v>201</v>
      </c>
      <c r="MSM16" s="310" t="s">
        <v>201</v>
      </c>
      <c r="MSN16" s="310" t="s">
        <v>201</v>
      </c>
      <c r="MSO16" s="310" t="s">
        <v>201</v>
      </c>
      <c r="MSP16" s="310" t="s">
        <v>201</v>
      </c>
      <c r="MSQ16" s="310" t="s">
        <v>201</v>
      </c>
      <c r="MSR16" s="310" t="s">
        <v>201</v>
      </c>
      <c r="MSS16" s="310" t="s">
        <v>201</v>
      </c>
      <c r="MST16" s="310" t="s">
        <v>201</v>
      </c>
      <c r="MSU16" s="310" t="s">
        <v>201</v>
      </c>
      <c r="MSV16" s="310" t="s">
        <v>201</v>
      </c>
      <c r="MSW16" s="310" t="s">
        <v>201</v>
      </c>
      <c r="MSX16" s="310" t="s">
        <v>201</v>
      </c>
      <c r="MSY16" s="310" t="s">
        <v>201</v>
      </c>
      <c r="MSZ16" s="310" t="s">
        <v>201</v>
      </c>
      <c r="MTA16" s="310" t="s">
        <v>201</v>
      </c>
      <c r="MTB16" s="310" t="s">
        <v>201</v>
      </c>
      <c r="MTC16" s="310" t="s">
        <v>201</v>
      </c>
      <c r="MTD16" s="310" t="s">
        <v>201</v>
      </c>
      <c r="MTE16" s="310" t="s">
        <v>201</v>
      </c>
      <c r="MTF16" s="310" t="s">
        <v>201</v>
      </c>
      <c r="MTG16" s="310" t="s">
        <v>201</v>
      </c>
      <c r="MTH16" s="310" t="s">
        <v>201</v>
      </c>
      <c r="MTI16" s="310" t="s">
        <v>201</v>
      </c>
      <c r="MTJ16" s="310" t="s">
        <v>201</v>
      </c>
      <c r="MTK16" s="310" t="s">
        <v>201</v>
      </c>
      <c r="MTL16" s="310" t="s">
        <v>201</v>
      </c>
      <c r="MTM16" s="310" t="s">
        <v>201</v>
      </c>
      <c r="MTN16" s="310" t="s">
        <v>201</v>
      </c>
      <c r="MTO16" s="310" t="s">
        <v>201</v>
      </c>
      <c r="MTP16" s="310" t="s">
        <v>201</v>
      </c>
      <c r="MTQ16" s="310" t="s">
        <v>201</v>
      </c>
      <c r="MTR16" s="310" t="s">
        <v>201</v>
      </c>
      <c r="MTS16" s="310" t="s">
        <v>201</v>
      </c>
      <c r="MTT16" s="310" t="s">
        <v>201</v>
      </c>
      <c r="MTU16" s="310" t="s">
        <v>201</v>
      </c>
      <c r="MTV16" s="310" t="s">
        <v>201</v>
      </c>
      <c r="MTW16" s="310" t="s">
        <v>201</v>
      </c>
      <c r="MTX16" s="310" t="s">
        <v>201</v>
      </c>
      <c r="MTY16" s="310" t="s">
        <v>201</v>
      </c>
      <c r="MTZ16" s="310" t="s">
        <v>201</v>
      </c>
      <c r="MUA16" s="310" t="s">
        <v>201</v>
      </c>
      <c r="MUB16" s="310" t="s">
        <v>201</v>
      </c>
      <c r="MUC16" s="310" t="s">
        <v>201</v>
      </c>
      <c r="MUD16" s="310" t="s">
        <v>201</v>
      </c>
      <c r="MUE16" s="310" t="s">
        <v>201</v>
      </c>
      <c r="MUF16" s="310" t="s">
        <v>201</v>
      </c>
      <c r="MUG16" s="310" t="s">
        <v>201</v>
      </c>
      <c r="MUH16" s="310" t="s">
        <v>201</v>
      </c>
      <c r="MUI16" s="310" t="s">
        <v>201</v>
      </c>
      <c r="MUJ16" s="310" t="s">
        <v>201</v>
      </c>
      <c r="MUK16" s="310" t="s">
        <v>201</v>
      </c>
      <c r="MUL16" s="310" t="s">
        <v>201</v>
      </c>
      <c r="MUM16" s="310" t="s">
        <v>201</v>
      </c>
      <c r="MUN16" s="310" t="s">
        <v>201</v>
      </c>
      <c r="MUO16" s="310" t="s">
        <v>201</v>
      </c>
      <c r="MUP16" s="310" t="s">
        <v>201</v>
      </c>
      <c r="MUQ16" s="310" t="s">
        <v>201</v>
      </c>
      <c r="MUR16" s="310" t="s">
        <v>201</v>
      </c>
      <c r="MUS16" s="310" t="s">
        <v>201</v>
      </c>
      <c r="MUT16" s="310" t="s">
        <v>201</v>
      </c>
      <c r="MUU16" s="310" t="s">
        <v>201</v>
      </c>
      <c r="MUV16" s="310" t="s">
        <v>201</v>
      </c>
      <c r="MUW16" s="310" t="s">
        <v>201</v>
      </c>
      <c r="MUX16" s="310" t="s">
        <v>201</v>
      </c>
      <c r="MUY16" s="310" t="s">
        <v>201</v>
      </c>
      <c r="MUZ16" s="310" t="s">
        <v>201</v>
      </c>
      <c r="MVA16" s="310" t="s">
        <v>201</v>
      </c>
      <c r="MVB16" s="310" t="s">
        <v>201</v>
      </c>
      <c r="MVC16" s="310" t="s">
        <v>201</v>
      </c>
      <c r="MVD16" s="310" t="s">
        <v>201</v>
      </c>
      <c r="MVE16" s="310" t="s">
        <v>201</v>
      </c>
      <c r="MVF16" s="310" t="s">
        <v>201</v>
      </c>
      <c r="MVG16" s="310" t="s">
        <v>201</v>
      </c>
      <c r="MVH16" s="310" t="s">
        <v>201</v>
      </c>
      <c r="MVI16" s="310" t="s">
        <v>201</v>
      </c>
      <c r="MVJ16" s="310" t="s">
        <v>201</v>
      </c>
      <c r="MVK16" s="310" t="s">
        <v>201</v>
      </c>
      <c r="MVL16" s="310" t="s">
        <v>201</v>
      </c>
      <c r="MVM16" s="310" t="s">
        <v>201</v>
      </c>
      <c r="MVN16" s="310" t="s">
        <v>201</v>
      </c>
      <c r="MVO16" s="310" t="s">
        <v>201</v>
      </c>
      <c r="MVP16" s="310" t="s">
        <v>201</v>
      </c>
      <c r="MVQ16" s="310" t="s">
        <v>201</v>
      </c>
      <c r="MVR16" s="310" t="s">
        <v>201</v>
      </c>
      <c r="MVS16" s="310" t="s">
        <v>201</v>
      </c>
      <c r="MVT16" s="310" t="s">
        <v>201</v>
      </c>
      <c r="MVU16" s="310" t="s">
        <v>201</v>
      </c>
      <c r="MVV16" s="310" t="s">
        <v>201</v>
      </c>
      <c r="MVW16" s="310" t="s">
        <v>201</v>
      </c>
      <c r="MVX16" s="310" t="s">
        <v>201</v>
      </c>
      <c r="MVY16" s="310" t="s">
        <v>201</v>
      </c>
      <c r="MVZ16" s="310" t="s">
        <v>201</v>
      </c>
      <c r="MWA16" s="310" t="s">
        <v>201</v>
      </c>
      <c r="MWB16" s="310" t="s">
        <v>201</v>
      </c>
      <c r="MWC16" s="310" t="s">
        <v>201</v>
      </c>
      <c r="MWD16" s="310" t="s">
        <v>201</v>
      </c>
      <c r="MWE16" s="310" t="s">
        <v>201</v>
      </c>
      <c r="MWF16" s="310" t="s">
        <v>201</v>
      </c>
      <c r="MWG16" s="310" t="s">
        <v>201</v>
      </c>
      <c r="MWH16" s="310" t="s">
        <v>201</v>
      </c>
      <c r="MWI16" s="310" t="s">
        <v>201</v>
      </c>
      <c r="MWJ16" s="310" t="s">
        <v>201</v>
      </c>
      <c r="MWK16" s="310" t="s">
        <v>201</v>
      </c>
      <c r="MWL16" s="310" t="s">
        <v>201</v>
      </c>
      <c r="MWM16" s="310" t="s">
        <v>201</v>
      </c>
      <c r="MWN16" s="310" t="s">
        <v>201</v>
      </c>
      <c r="MWO16" s="310" t="s">
        <v>201</v>
      </c>
      <c r="MWP16" s="310" t="s">
        <v>201</v>
      </c>
      <c r="MWQ16" s="310" t="s">
        <v>201</v>
      </c>
      <c r="MWR16" s="310" t="s">
        <v>201</v>
      </c>
      <c r="MWS16" s="310" t="s">
        <v>201</v>
      </c>
      <c r="MWT16" s="310" t="s">
        <v>201</v>
      </c>
      <c r="MWU16" s="310" t="s">
        <v>201</v>
      </c>
      <c r="MWV16" s="310" t="s">
        <v>201</v>
      </c>
      <c r="MWW16" s="310" t="s">
        <v>201</v>
      </c>
      <c r="MWX16" s="310" t="s">
        <v>201</v>
      </c>
      <c r="MWY16" s="310" t="s">
        <v>201</v>
      </c>
      <c r="MWZ16" s="310" t="s">
        <v>201</v>
      </c>
      <c r="MXA16" s="310" t="s">
        <v>201</v>
      </c>
      <c r="MXB16" s="310" t="s">
        <v>201</v>
      </c>
      <c r="MXC16" s="310" t="s">
        <v>201</v>
      </c>
      <c r="MXD16" s="310" t="s">
        <v>201</v>
      </c>
      <c r="MXE16" s="310" t="s">
        <v>201</v>
      </c>
      <c r="MXF16" s="310" t="s">
        <v>201</v>
      </c>
      <c r="MXG16" s="310" t="s">
        <v>201</v>
      </c>
      <c r="MXH16" s="310" t="s">
        <v>201</v>
      </c>
      <c r="MXI16" s="310" t="s">
        <v>201</v>
      </c>
      <c r="MXJ16" s="310" t="s">
        <v>201</v>
      </c>
      <c r="MXK16" s="310" t="s">
        <v>201</v>
      </c>
      <c r="MXL16" s="310" t="s">
        <v>201</v>
      </c>
      <c r="MXM16" s="310" t="s">
        <v>201</v>
      </c>
      <c r="MXN16" s="310" t="s">
        <v>201</v>
      </c>
      <c r="MXO16" s="310" t="s">
        <v>201</v>
      </c>
      <c r="MXP16" s="310" t="s">
        <v>201</v>
      </c>
      <c r="MXQ16" s="310" t="s">
        <v>201</v>
      </c>
      <c r="MXR16" s="310" t="s">
        <v>201</v>
      </c>
      <c r="MXS16" s="310" t="s">
        <v>201</v>
      </c>
      <c r="MXT16" s="310" t="s">
        <v>201</v>
      </c>
      <c r="MXU16" s="310" t="s">
        <v>201</v>
      </c>
      <c r="MXV16" s="310" t="s">
        <v>201</v>
      </c>
      <c r="MXW16" s="310" t="s">
        <v>201</v>
      </c>
      <c r="MXX16" s="310" t="s">
        <v>201</v>
      </c>
      <c r="MXY16" s="310" t="s">
        <v>201</v>
      </c>
      <c r="MXZ16" s="310" t="s">
        <v>201</v>
      </c>
      <c r="MYA16" s="310" t="s">
        <v>201</v>
      </c>
      <c r="MYB16" s="310" t="s">
        <v>201</v>
      </c>
      <c r="MYC16" s="310" t="s">
        <v>201</v>
      </c>
      <c r="MYD16" s="310" t="s">
        <v>201</v>
      </c>
      <c r="MYE16" s="310" t="s">
        <v>201</v>
      </c>
      <c r="MYF16" s="310" t="s">
        <v>201</v>
      </c>
      <c r="MYG16" s="310" t="s">
        <v>201</v>
      </c>
      <c r="MYH16" s="310" t="s">
        <v>201</v>
      </c>
      <c r="MYI16" s="310" t="s">
        <v>201</v>
      </c>
      <c r="MYJ16" s="310" t="s">
        <v>201</v>
      </c>
      <c r="MYK16" s="310" t="s">
        <v>201</v>
      </c>
      <c r="MYL16" s="310" t="s">
        <v>201</v>
      </c>
      <c r="MYM16" s="310" t="s">
        <v>201</v>
      </c>
      <c r="MYN16" s="310" t="s">
        <v>201</v>
      </c>
      <c r="MYO16" s="310" t="s">
        <v>201</v>
      </c>
      <c r="MYP16" s="310" t="s">
        <v>201</v>
      </c>
      <c r="MYQ16" s="310" t="s">
        <v>201</v>
      </c>
      <c r="MYR16" s="310" t="s">
        <v>201</v>
      </c>
      <c r="MYS16" s="310" t="s">
        <v>201</v>
      </c>
      <c r="MYT16" s="310" t="s">
        <v>201</v>
      </c>
      <c r="MYU16" s="310" t="s">
        <v>201</v>
      </c>
      <c r="MYV16" s="310" t="s">
        <v>201</v>
      </c>
      <c r="MYW16" s="310" t="s">
        <v>201</v>
      </c>
      <c r="MYX16" s="310" t="s">
        <v>201</v>
      </c>
      <c r="MYY16" s="310" t="s">
        <v>201</v>
      </c>
      <c r="MYZ16" s="310" t="s">
        <v>201</v>
      </c>
      <c r="MZA16" s="310" t="s">
        <v>201</v>
      </c>
      <c r="MZB16" s="310" t="s">
        <v>201</v>
      </c>
      <c r="MZC16" s="310" t="s">
        <v>201</v>
      </c>
      <c r="MZD16" s="310" t="s">
        <v>201</v>
      </c>
      <c r="MZE16" s="310" t="s">
        <v>201</v>
      </c>
      <c r="MZF16" s="310" t="s">
        <v>201</v>
      </c>
      <c r="MZG16" s="310" t="s">
        <v>201</v>
      </c>
      <c r="MZH16" s="310" t="s">
        <v>201</v>
      </c>
      <c r="MZI16" s="310" t="s">
        <v>201</v>
      </c>
      <c r="MZJ16" s="310" t="s">
        <v>201</v>
      </c>
      <c r="MZK16" s="310" t="s">
        <v>201</v>
      </c>
      <c r="MZL16" s="310" t="s">
        <v>201</v>
      </c>
      <c r="MZM16" s="310" t="s">
        <v>201</v>
      </c>
      <c r="MZN16" s="310" t="s">
        <v>201</v>
      </c>
      <c r="MZO16" s="310" t="s">
        <v>201</v>
      </c>
      <c r="MZP16" s="310" t="s">
        <v>201</v>
      </c>
      <c r="MZQ16" s="310" t="s">
        <v>201</v>
      </c>
      <c r="MZR16" s="310" t="s">
        <v>201</v>
      </c>
      <c r="MZS16" s="310" t="s">
        <v>201</v>
      </c>
      <c r="MZT16" s="310" t="s">
        <v>201</v>
      </c>
      <c r="MZU16" s="310" t="s">
        <v>201</v>
      </c>
      <c r="MZV16" s="310" t="s">
        <v>201</v>
      </c>
      <c r="MZW16" s="310" t="s">
        <v>201</v>
      </c>
      <c r="MZX16" s="310" t="s">
        <v>201</v>
      </c>
      <c r="MZY16" s="310" t="s">
        <v>201</v>
      </c>
      <c r="MZZ16" s="310" t="s">
        <v>201</v>
      </c>
      <c r="NAA16" s="310" t="s">
        <v>201</v>
      </c>
      <c r="NAB16" s="310" t="s">
        <v>201</v>
      </c>
      <c r="NAC16" s="310" t="s">
        <v>201</v>
      </c>
      <c r="NAD16" s="310" t="s">
        <v>201</v>
      </c>
      <c r="NAE16" s="310" t="s">
        <v>201</v>
      </c>
      <c r="NAF16" s="310" t="s">
        <v>201</v>
      </c>
      <c r="NAG16" s="310" t="s">
        <v>201</v>
      </c>
      <c r="NAH16" s="310" t="s">
        <v>201</v>
      </c>
      <c r="NAI16" s="310" t="s">
        <v>201</v>
      </c>
      <c r="NAJ16" s="310" t="s">
        <v>201</v>
      </c>
      <c r="NAK16" s="310" t="s">
        <v>201</v>
      </c>
      <c r="NAL16" s="310" t="s">
        <v>201</v>
      </c>
      <c r="NAM16" s="310" t="s">
        <v>201</v>
      </c>
      <c r="NAN16" s="310" t="s">
        <v>201</v>
      </c>
      <c r="NAO16" s="310" t="s">
        <v>201</v>
      </c>
      <c r="NAP16" s="310" t="s">
        <v>201</v>
      </c>
      <c r="NAQ16" s="310" t="s">
        <v>201</v>
      </c>
      <c r="NAR16" s="310" t="s">
        <v>201</v>
      </c>
      <c r="NAS16" s="310" t="s">
        <v>201</v>
      </c>
      <c r="NAT16" s="310" t="s">
        <v>201</v>
      </c>
      <c r="NAU16" s="310" t="s">
        <v>201</v>
      </c>
      <c r="NAV16" s="310" t="s">
        <v>201</v>
      </c>
      <c r="NAW16" s="310" t="s">
        <v>201</v>
      </c>
      <c r="NAX16" s="310" t="s">
        <v>201</v>
      </c>
      <c r="NAY16" s="310" t="s">
        <v>201</v>
      </c>
      <c r="NAZ16" s="310" t="s">
        <v>201</v>
      </c>
      <c r="NBA16" s="310" t="s">
        <v>201</v>
      </c>
      <c r="NBB16" s="310" t="s">
        <v>201</v>
      </c>
      <c r="NBC16" s="310" t="s">
        <v>201</v>
      </c>
      <c r="NBD16" s="310" t="s">
        <v>201</v>
      </c>
      <c r="NBE16" s="310" t="s">
        <v>201</v>
      </c>
      <c r="NBF16" s="310" t="s">
        <v>201</v>
      </c>
      <c r="NBG16" s="310" t="s">
        <v>201</v>
      </c>
      <c r="NBH16" s="310" t="s">
        <v>201</v>
      </c>
      <c r="NBI16" s="310" t="s">
        <v>201</v>
      </c>
      <c r="NBJ16" s="310" t="s">
        <v>201</v>
      </c>
      <c r="NBK16" s="310" t="s">
        <v>201</v>
      </c>
      <c r="NBL16" s="310" t="s">
        <v>201</v>
      </c>
      <c r="NBM16" s="310" t="s">
        <v>201</v>
      </c>
      <c r="NBN16" s="310" t="s">
        <v>201</v>
      </c>
      <c r="NBO16" s="310" t="s">
        <v>201</v>
      </c>
      <c r="NBP16" s="310" t="s">
        <v>201</v>
      </c>
      <c r="NBQ16" s="310" t="s">
        <v>201</v>
      </c>
      <c r="NBR16" s="310" t="s">
        <v>201</v>
      </c>
      <c r="NBS16" s="310" t="s">
        <v>201</v>
      </c>
      <c r="NBT16" s="310" t="s">
        <v>201</v>
      </c>
      <c r="NBU16" s="310" t="s">
        <v>201</v>
      </c>
      <c r="NBV16" s="310" t="s">
        <v>201</v>
      </c>
      <c r="NBW16" s="310" t="s">
        <v>201</v>
      </c>
      <c r="NBX16" s="310" t="s">
        <v>201</v>
      </c>
      <c r="NBY16" s="310" t="s">
        <v>201</v>
      </c>
      <c r="NBZ16" s="310" t="s">
        <v>201</v>
      </c>
      <c r="NCA16" s="310" t="s">
        <v>201</v>
      </c>
      <c r="NCB16" s="310" t="s">
        <v>201</v>
      </c>
      <c r="NCC16" s="310" t="s">
        <v>201</v>
      </c>
      <c r="NCD16" s="310" t="s">
        <v>201</v>
      </c>
      <c r="NCE16" s="310" t="s">
        <v>201</v>
      </c>
      <c r="NCF16" s="310" t="s">
        <v>201</v>
      </c>
      <c r="NCG16" s="310" t="s">
        <v>201</v>
      </c>
      <c r="NCH16" s="310" t="s">
        <v>201</v>
      </c>
      <c r="NCI16" s="310" t="s">
        <v>201</v>
      </c>
      <c r="NCJ16" s="310" t="s">
        <v>201</v>
      </c>
      <c r="NCK16" s="310" t="s">
        <v>201</v>
      </c>
      <c r="NCL16" s="310" t="s">
        <v>201</v>
      </c>
      <c r="NCM16" s="310" t="s">
        <v>201</v>
      </c>
      <c r="NCN16" s="310" t="s">
        <v>201</v>
      </c>
      <c r="NCO16" s="310" t="s">
        <v>201</v>
      </c>
      <c r="NCP16" s="310" t="s">
        <v>201</v>
      </c>
      <c r="NCQ16" s="310" t="s">
        <v>201</v>
      </c>
      <c r="NCR16" s="310" t="s">
        <v>201</v>
      </c>
      <c r="NCS16" s="310" t="s">
        <v>201</v>
      </c>
      <c r="NCT16" s="310" t="s">
        <v>201</v>
      </c>
      <c r="NCU16" s="310" t="s">
        <v>201</v>
      </c>
      <c r="NCV16" s="310" t="s">
        <v>201</v>
      </c>
      <c r="NCW16" s="310" t="s">
        <v>201</v>
      </c>
      <c r="NCX16" s="310" t="s">
        <v>201</v>
      </c>
      <c r="NCY16" s="310" t="s">
        <v>201</v>
      </c>
      <c r="NCZ16" s="310" t="s">
        <v>201</v>
      </c>
      <c r="NDA16" s="310" t="s">
        <v>201</v>
      </c>
      <c r="NDB16" s="310" t="s">
        <v>201</v>
      </c>
      <c r="NDC16" s="310" t="s">
        <v>201</v>
      </c>
      <c r="NDD16" s="310" t="s">
        <v>201</v>
      </c>
      <c r="NDE16" s="310" t="s">
        <v>201</v>
      </c>
      <c r="NDF16" s="310" t="s">
        <v>201</v>
      </c>
      <c r="NDG16" s="310" t="s">
        <v>201</v>
      </c>
      <c r="NDH16" s="310" t="s">
        <v>201</v>
      </c>
      <c r="NDI16" s="310" t="s">
        <v>201</v>
      </c>
      <c r="NDJ16" s="310" t="s">
        <v>201</v>
      </c>
      <c r="NDK16" s="310" t="s">
        <v>201</v>
      </c>
      <c r="NDL16" s="310" t="s">
        <v>201</v>
      </c>
      <c r="NDM16" s="310" t="s">
        <v>201</v>
      </c>
      <c r="NDN16" s="310" t="s">
        <v>201</v>
      </c>
      <c r="NDO16" s="310" t="s">
        <v>201</v>
      </c>
      <c r="NDP16" s="310" t="s">
        <v>201</v>
      </c>
      <c r="NDQ16" s="310" t="s">
        <v>201</v>
      </c>
      <c r="NDR16" s="310" t="s">
        <v>201</v>
      </c>
      <c r="NDS16" s="310" t="s">
        <v>201</v>
      </c>
      <c r="NDT16" s="310" t="s">
        <v>201</v>
      </c>
      <c r="NDU16" s="310" t="s">
        <v>201</v>
      </c>
      <c r="NDV16" s="310" t="s">
        <v>201</v>
      </c>
      <c r="NDW16" s="310" t="s">
        <v>201</v>
      </c>
      <c r="NDX16" s="310" t="s">
        <v>201</v>
      </c>
      <c r="NDY16" s="310" t="s">
        <v>201</v>
      </c>
      <c r="NDZ16" s="310" t="s">
        <v>201</v>
      </c>
      <c r="NEA16" s="310" t="s">
        <v>201</v>
      </c>
      <c r="NEB16" s="310" t="s">
        <v>201</v>
      </c>
      <c r="NEC16" s="310" t="s">
        <v>201</v>
      </c>
      <c r="NED16" s="310" t="s">
        <v>201</v>
      </c>
      <c r="NEE16" s="310" t="s">
        <v>201</v>
      </c>
      <c r="NEF16" s="310" t="s">
        <v>201</v>
      </c>
      <c r="NEG16" s="310" t="s">
        <v>201</v>
      </c>
      <c r="NEH16" s="310" t="s">
        <v>201</v>
      </c>
      <c r="NEI16" s="310" t="s">
        <v>201</v>
      </c>
      <c r="NEJ16" s="310" t="s">
        <v>201</v>
      </c>
      <c r="NEK16" s="310" t="s">
        <v>201</v>
      </c>
      <c r="NEL16" s="310" t="s">
        <v>201</v>
      </c>
      <c r="NEM16" s="310" t="s">
        <v>201</v>
      </c>
      <c r="NEN16" s="310" t="s">
        <v>201</v>
      </c>
      <c r="NEO16" s="310" t="s">
        <v>201</v>
      </c>
      <c r="NEP16" s="310" t="s">
        <v>201</v>
      </c>
      <c r="NEQ16" s="310" t="s">
        <v>201</v>
      </c>
      <c r="NER16" s="310" t="s">
        <v>201</v>
      </c>
      <c r="NES16" s="310" t="s">
        <v>201</v>
      </c>
      <c r="NET16" s="310" t="s">
        <v>201</v>
      </c>
      <c r="NEU16" s="310" t="s">
        <v>201</v>
      </c>
      <c r="NEV16" s="310" t="s">
        <v>201</v>
      </c>
      <c r="NEW16" s="310" t="s">
        <v>201</v>
      </c>
      <c r="NEX16" s="310" t="s">
        <v>201</v>
      </c>
      <c r="NEY16" s="310" t="s">
        <v>201</v>
      </c>
      <c r="NEZ16" s="310" t="s">
        <v>201</v>
      </c>
      <c r="NFA16" s="310" t="s">
        <v>201</v>
      </c>
      <c r="NFB16" s="310" t="s">
        <v>201</v>
      </c>
      <c r="NFC16" s="310" t="s">
        <v>201</v>
      </c>
      <c r="NFD16" s="310" t="s">
        <v>201</v>
      </c>
      <c r="NFE16" s="310" t="s">
        <v>201</v>
      </c>
      <c r="NFF16" s="310" t="s">
        <v>201</v>
      </c>
      <c r="NFG16" s="310" t="s">
        <v>201</v>
      </c>
      <c r="NFH16" s="310" t="s">
        <v>201</v>
      </c>
      <c r="NFI16" s="310" t="s">
        <v>201</v>
      </c>
      <c r="NFJ16" s="310" t="s">
        <v>201</v>
      </c>
      <c r="NFK16" s="310" t="s">
        <v>201</v>
      </c>
      <c r="NFL16" s="310" t="s">
        <v>201</v>
      </c>
      <c r="NFM16" s="310" t="s">
        <v>201</v>
      </c>
      <c r="NFN16" s="310" t="s">
        <v>201</v>
      </c>
      <c r="NFO16" s="310" t="s">
        <v>201</v>
      </c>
      <c r="NFP16" s="310" t="s">
        <v>201</v>
      </c>
      <c r="NFQ16" s="310" t="s">
        <v>201</v>
      </c>
      <c r="NFR16" s="310" t="s">
        <v>201</v>
      </c>
      <c r="NFS16" s="310" t="s">
        <v>201</v>
      </c>
      <c r="NFT16" s="310" t="s">
        <v>201</v>
      </c>
      <c r="NFU16" s="310" t="s">
        <v>201</v>
      </c>
      <c r="NFV16" s="310" t="s">
        <v>201</v>
      </c>
      <c r="NFW16" s="310" t="s">
        <v>201</v>
      </c>
      <c r="NFX16" s="310" t="s">
        <v>201</v>
      </c>
      <c r="NFY16" s="310" t="s">
        <v>201</v>
      </c>
      <c r="NFZ16" s="310" t="s">
        <v>201</v>
      </c>
      <c r="NGA16" s="310" t="s">
        <v>201</v>
      </c>
      <c r="NGB16" s="310" t="s">
        <v>201</v>
      </c>
      <c r="NGC16" s="310" t="s">
        <v>201</v>
      </c>
      <c r="NGD16" s="310" t="s">
        <v>201</v>
      </c>
      <c r="NGE16" s="310" t="s">
        <v>201</v>
      </c>
      <c r="NGF16" s="310" t="s">
        <v>201</v>
      </c>
      <c r="NGG16" s="310" t="s">
        <v>201</v>
      </c>
      <c r="NGH16" s="310" t="s">
        <v>201</v>
      </c>
      <c r="NGI16" s="310" t="s">
        <v>201</v>
      </c>
      <c r="NGJ16" s="310" t="s">
        <v>201</v>
      </c>
      <c r="NGK16" s="310" t="s">
        <v>201</v>
      </c>
      <c r="NGL16" s="310" t="s">
        <v>201</v>
      </c>
      <c r="NGM16" s="310" t="s">
        <v>201</v>
      </c>
      <c r="NGN16" s="310" t="s">
        <v>201</v>
      </c>
      <c r="NGO16" s="310" t="s">
        <v>201</v>
      </c>
      <c r="NGP16" s="310" t="s">
        <v>201</v>
      </c>
      <c r="NGQ16" s="310" t="s">
        <v>201</v>
      </c>
      <c r="NGR16" s="310" t="s">
        <v>201</v>
      </c>
      <c r="NGS16" s="310" t="s">
        <v>201</v>
      </c>
      <c r="NGT16" s="310" t="s">
        <v>201</v>
      </c>
      <c r="NGU16" s="310" t="s">
        <v>201</v>
      </c>
      <c r="NGV16" s="310" t="s">
        <v>201</v>
      </c>
      <c r="NGW16" s="310" t="s">
        <v>201</v>
      </c>
      <c r="NGX16" s="310" t="s">
        <v>201</v>
      </c>
      <c r="NGY16" s="310" t="s">
        <v>201</v>
      </c>
      <c r="NGZ16" s="310" t="s">
        <v>201</v>
      </c>
      <c r="NHA16" s="310" t="s">
        <v>201</v>
      </c>
      <c r="NHB16" s="310" t="s">
        <v>201</v>
      </c>
      <c r="NHC16" s="310" t="s">
        <v>201</v>
      </c>
      <c r="NHD16" s="310" t="s">
        <v>201</v>
      </c>
      <c r="NHE16" s="310" t="s">
        <v>201</v>
      </c>
      <c r="NHF16" s="310" t="s">
        <v>201</v>
      </c>
      <c r="NHG16" s="310" t="s">
        <v>201</v>
      </c>
      <c r="NHH16" s="310" t="s">
        <v>201</v>
      </c>
      <c r="NHI16" s="310" t="s">
        <v>201</v>
      </c>
      <c r="NHJ16" s="310" t="s">
        <v>201</v>
      </c>
      <c r="NHK16" s="310" t="s">
        <v>201</v>
      </c>
      <c r="NHL16" s="310" t="s">
        <v>201</v>
      </c>
      <c r="NHM16" s="310" t="s">
        <v>201</v>
      </c>
      <c r="NHN16" s="310" t="s">
        <v>201</v>
      </c>
      <c r="NHO16" s="310" t="s">
        <v>201</v>
      </c>
      <c r="NHP16" s="310" t="s">
        <v>201</v>
      </c>
      <c r="NHQ16" s="310" t="s">
        <v>201</v>
      </c>
      <c r="NHR16" s="310" t="s">
        <v>201</v>
      </c>
      <c r="NHS16" s="310" t="s">
        <v>201</v>
      </c>
      <c r="NHT16" s="310" t="s">
        <v>201</v>
      </c>
      <c r="NHU16" s="310" t="s">
        <v>201</v>
      </c>
      <c r="NHV16" s="310" t="s">
        <v>201</v>
      </c>
      <c r="NHW16" s="310" t="s">
        <v>201</v>
      </c>
      <c r="NHX16" s="310" t="s">
        <v>201</v>
      </c>
      <c r="NHY16" s="310" t="s">
        <v>201</v>
      </c>
      <c r="NHZ16" s="310" t="s">
        <v>201</v>
      </c>
      <c r="NIA16" s="310" t="s">
        <v>201</v>
      </c>
      <c r="NIB16" s="310" t="s">
        <v>201</v>
      </c>
      <c r="NIC16" s="310" t="s">
        <v>201</v>
      </c>
      <c r="NID16" s="310" t="s">
        <v>201</v>
      </c>
      <c r="NIE16" s="310" t="s">
        <v>201</v>
      </c>
      <c r="NIF16" s="310" t="s">
        <v>201</v>
      </c>
      <c r="NIG16" s="310" t="s">
        <v>201</v>
      </c>
      <c r="NIH16" s="310" t="s">
        <v>201</v>
      </c>
      <c r="NII16" s="310" t="s">
        <v>201</v>
      </c>
      <c r="NIJ16" s="310" t="s">
        <v>201</v>
      </c>
      <c r="NIK16" s="310" t="s">
        <v>201</v>
      </c>
      <c r="NIL16" s="310" t="s">
        <v>201</v>
      </c>
      <c r="NIM16" s="310" t="s">
        <v>201</v>
      </c>
      <c r="NIN16" s="310" t="s">
        <v>201</v>
      </c>
      <c r="NIO16" s="310" t="s">
        <v>201</v>
      </c>
      <c r="NIP16" s="310" t="s">
        <v>201</v>
      </c>
      <c r="NIQ16" s="310" t="s">
        <v>201</v>
      </c>
      <c r="NIR16" s="310" t="s">
        <v>201</v>
      </c>
      <c r="NIS16" s="310" t="s">
        <v>201</v>
      </c>
      <c r="NIT16" s="310" t="s">
        <v>201</v>
      </c>
      <c r="NIU16" s="310" t="s">
        <v>201</v>
      </c>
      <c r="NIV16" s="310" t="s">
        <v>201</v>
      </c>
      <c r="NIW16" s="310" t="s">
        <v>201</v>
      </c>
      <c r="NIX16" s="310" t="s">
        <v>201</v>
      </c>
      <c r="NIY16" s="310" t="s">
        <v>201</v>
      </c>
      <c r="NIZ16" s="310" t="s">
        <v>201</v>
      </c>
      <c r="NJA16" s="310" t="s">
        <v>201</v>
      </c>
      <c r="NJB16" s="310" t="s">
        <v>201</v>
      </c>
      <c r="NJC16" s="310" t="s">
        <v>201</v>
      </c>
      <c r="NJD16" s="310" t="s">
        <v>201</v>
      </c>
      <c r="NJE16" s="310" t="s">
        <v>201</v>
      </c>
      <c r="NJF16" s="310" t="s">
        <v>201</v>
      </c>
      <c r="NJG16" s="310" t="s">
        <v>201</v>
      </c>
      <c r="NJH16" s="310" t="s">
        <v>201</v>
      </c>
      <c r="NJI16" s="310" t="s">
        <v>201</v>
      </c>
      <c r="NJJ16" s="310" t="s">
        <v>201</v>
      </c>
      <c r="NJK16" s="310" t="s">
        <v>201</v>
      </c>
      <c r="NJL16" s="310" t="s">
        <v>201</v>
      </c>
      <c r="NJM16" s="310" t="s">
        <v>201</v>
      </c>
      <c r="NJN16" s="310" t="s">
        <v>201</v>
      </c>
      <c r="NJO16" s="310" t="s">
        <v>201</v>
      </c>
      <c r="NJP16" s="310" t="s">
        <v>201</v>
      </c>
      <c r="NJQ16" s="310" t="s">
        <v>201</v>
      </c>
      <c r="NJR16" s="310" t="s">
        <v>201</v>
      </c>
      <c r="NJS16" s="310" t="s">
        <v>201</v>
      </c>
      <c r="NJT16" s="310" t="s">
        <v>201</v>
      </c>
      <c r="NJU16" s="310" t="s">
        <v>201</v>
      </c>
      <c r="NJV16" s="310" t="s">
        <v>201</v>
      </c>
      <c r="NJW16" s="310" t="s">
        <v>201</v>
      </c>
      <c r="NJX16" s="310" t="s">
        <v>201</v>
      </c>
      <c r="NJY16" s="310" t="s">
        <v>201</v>
      </c>
      <c r="NJZ16" s="310" t="s">
        <v>201</v>
      </c>
      <c r="NKA16" s="310" t="s">
        <v>201</v>
      </c>
      <c r="NKB16" s="310" t="s">
        <v>201</v>
      </c>
      <c r="NKC16" s="310" t="s">
        <v>201</v>
      </c>
      <c r="NKD16" s="310" t="s">
        <v>201</v>
      </c>
      <c r="NKE16" s="310" t="s">
        <v>201</v>
      </c>
      <c r="NKF16" s="310" t="s">
        <v>201</v>
      </c>
      <c r="NKG16" s="310" t="s">
        <v>201</v>
      </c>
      <c r="NKH16" s="310" t="s">
        <v>201</v>
      </c>
      <c r="NKI16" s="310" t="s">
        <v>201</v>
      </c>
      <c r="NKJ16" s="310" t="s">
        <v>201</v>
      </c>
      <c r="NKK16" s="310" t="s">
        <v>201</v>
      </c>
      <c r="NKL16" s="310" t="s">
        <v>201</v>
      </c>
      <c r="NKM16" s="310" t="s">
        <v>201</v>
      </c>
      <c r="NKN16" s="310" t="s">
        <v>201</v>
      </c>
      <c r="NKO16" s="310" t="s">
        <v>201</v>
      </c>
      <c r="NKP16" s="310" t="s">
        <v>201</v>
      </c>
      <c r="NKQ16" s="310" t="s">
        <v>201</v>
      </c>
      <c r="NKR16" s="310" t="s">
        <v>201</v>
      </c>
      <c r="NKS16" s="310" t="s">
        <v>201</v>
      </c>
      <c r="NKT16" s="310" t="s">
        <v>201</v>
      </c>
      <c r="NKU16" s="310" t="s">
        <v>201</v>
      </c>
      <c r="NKV16" s="310" t="s">
        <v>201</v>
      </c>
      <c r="NKW16" s="310" t="s">
        <v>201</v>
      </c>
      <c r="NKX16" s="310" t="s">
        <v>201</v>
      </c>
      <c r="NKY16" s="310" t="s">
        <v>201</v>
      </c>
      <c r="NKZ16" s="310" t="s">
        <v>201</v>
      </c>
      <c r="NLA16" s="310" t="s">
        <v>201</v>
      </c>
      <c r="NLB16" s="310" t="s">
        <v>201</v>
      </c>
      <c r="NLC16" s="310" t="s">
        <v>201</v>
      </c>
      <c r="NLD16" s="310" t="s">
        <v>201</v>
      </c>
      <c r="NLE16" s="310" t="s">
        <v>201</v>
      </c>
      <c r="NLF16" s="310" t="s">
        <v>201</v>
      </c>
      <c r="NLG16" s="310" t="s">
        <v>201</v>
      </c>
      <c r="NLH16" s="310" t="s">
        <v>201</v>
      </c>
      <c r="NLI16" s="310" t="s">
        <v>201</v>
      </c>
      <c r="NLJ16" s="310" t="s">
        <v>201</v>
      </c>
      <c r="NLK16" s="310" t="s">
        <v>201</v>
      </c>
      <c r="NLL16" s="310" t="s">
        <v>201</v>
      </c>
      <c r="NLM16" s="310" t="s">
        <v>201</v>
      </c>
      <c r="NLN16" s="310" t="s">
        <v>201</v>
      </c>
      <c r="NLO16" s="310" t="s">
        <v>201</v>
      </c>
      <c r="NLP16" s="310" t="s">
        <v>201</v>
      </c>
      <c r="NLQ16" s="310" t="s">
        <v>201</v>
      </c>
      <c r="NLR16" s="310" t="s">
        <v>201</v>
      </c>
      <c r="NLS16" s="310" t="s">
        <v>201</v>
      </c>
      <c r="NLT16" s="310" t="s">
        <v>201</v>
      </c>
      <c r="NLU16" s="310" t="s">
        <v>201</v>
      </c>
      <c r="NLV16" s="310" t="s">
        <v>201</v>
      </c>
      <c r="NLW16" s="310" t="s">
        <v>201</v>
      </c>
      <c r="NLX16" s="310" t="s">
        <v>201</v>
      </c>
      <c r="NLY16" s="310" t="s">
        <v>201</v>
      </c>
      <c r="NLZ16" s="310" t="s">
        <v>201</v>
      </c>
      <c r="NMA16" s="310" t="s">
        <v>201</v>
      </c>
      <c r="NMB16" s="310" t="s">
        <v>201</v>
      </c>
      <c r="NMC16" s="310" t="s">
        <v>201</v>
      </c>
      <c r="NMD16" s="310" t="s">
        <v>201</v>
      </c>
      <c r="NME16" s="310" t="s">
        <v>201</v>
      </c>
      <c r="NMF16" s="310" t="s">
        <v>201</v>
      </c>
      <c r="NMG16" s="310" t="s">
        <v>201</v>
      </c>
      <c r="NMH16" s="310" t="s">
        <v>201</v>
      </c>
      <c r="NMI16" s="310" t="s">
        <v>201</v>
      </c>
      <c r="NMJ16" s="310" t="s">
        <v>201</v>
      </c>
      <c r="NMK16" s="310" t="s">
        <v>201</v>
      </c>
      <c r="NML16" s="310" t="s">
        <v>201</v>
      </c>
      <c r="NMM16" s="310" t="s">
        <v>201</v>
      </c>
      <c r="NMN16" s="310" t="s">
        <v>201</v>
      </c>
      <c r="NMO16" s="310" t="s">
        <v>201</v>
      </c>
      <c r="NMP16" s="310" t="s">
        <v>201</v>
      </c>
      <c r="NMQ16" s="310" t="s">
        <v>201</v>
      </c>
      <c r="NMR16" s="310" t="s">
        <v>201</v>
      </c>
      <c r="NMS16" s="310" t="s">
        <v>201</v>
      </c>
      <c r="NMT16" s="310" t="s">
        <v>201</v>
      </c>
      <c r="NMU16" s="310" t="s">
        <v>201</v>
      </c>
      <c r="NMV16" s="310" t="s">
        <v>201</v>
      </c>
      <c r="NMW16" s="310" t="s">
        <v>201</v>
      </c>
      <c r="NMX16" s="310" t="s">
        <v>201</v>
      </c>
      <c r="NMY16" s="310" t="s">
        <v>201</v>
      </c>
      <c r="NMZ16" s="310" t="s">
        <v>201</v>
      </c>
      <c r="NNA16" s="310" t="s">
        <v>201</v>
      </c>
      <c r="NNB16" s="310" t="s">
        <v>201</v>
      </c>
      <c r="NNC16" s="310" t="s">
        <v>201</v>
      </c>
      <c r="NND16" s="310" t="s">
        <v>201</v>
      </c>
      <c r="NNE16" s="310" t="s">
        <v>201</v>
      </c>
      <c r="NNF16" s="310" t="s">
        <v>201</v>
      </c>
      <c r="NNG16" s="310" t="s">
        <v>201</v>
      </c>
      <c r="NNH16" s="310" t="s">
        <v>201</v>
      </c>
      <c r="NNI16" s="310" t="s">
        <v>201</v>
      </c>
      <c r="NNJ16" s="310" t="s">
        <v>201</v>
      </c>
      <c r="NNK16" s="310" t="s">
        <v>201</v>
      </c>
      <c r="NNL16" s="310" t="s">
        <v>201</v>
      </c>
      <c r="NNM16" s="310" t="s">
        <v>201</v>
      </c>
      <c r="NNN16" s="310" t="s">
        <v>201</v>
      </c>
      <c r="NNO16" s="310" t="s">
        <v>201</v>
      </c>
      <c r="NNP16" s="310" t="s">
        <v>201</v>
      </c>
      <c r="NNQ16" s="310" t="s">
        <v>201</v>
      </c>
      <c r="NNR16" s="310" t="s">
        <v>201</v>
      </c>
      <c r="NNS16" s="310" t="s">
        <v>201</v>
      </c>
      <c r="NNT16" s="310" t="s">
        <v>201</v>
      </c>
      <c r="NNU16" s="310" t="s">
        <v>201</v>
      </c>
      <c r="NNV16" s="310" t="s">
        <v>201</v>
      </c>
      <c r="NNW16" s="310" t="s">
        <v>201</v>
      </c>
      <c r="NNX16" s="310" t="s">
        <v>201</v>
      </c>
      <c r="NNY16" s="310" t="s">
        <v>201</v>
      </c>
      <c r="NNZ16" s="310" t="s">
        <v>201</v>
      </c>
      <c r="NOA16" s="310" t="s">
        <v>201</v>
      </c>
      <c r="NOB16" s="310" t="s">
        <v>201</v>
      </c>
      <c r="NOC16" s="310" t="s">
        <v>201</v>
      </c>
      <c r="NOD16" s="310" t="s">
        <v>201</v>
      </c>
      <c r="NOE16" s="310" t="s">
        <v>201</v>
      </c>
      <c r="NOF16" s="310" t="s">
        <v>201</v>
      </c>
      <c r="NOG16" s="310" t="s">
        <v>201</v>
      </c>
      <c r="NOH16" s="310" t="s">
        <v>201</v>
      </c>
      <c r="NOI16" s="310" t="s">
        <v>201</v>
      </c>
      <c r="NOJ16" s="310" t="s">
        <v>201</v>
      </c>
      <c r="NOK16" s="310" t="s">
        <v>201</v>
      </c>
      <c r="NOL16" s="310" t="s">
        <v>201</v>
      </c>
      <c r="NOM16" s="310" t="s">
        <v>201</v>
      </c>
      <c r="NON16" s="310" t="s">
        <v>201</v>
      </c>
      <c r="NOO16" s="310" t="s">
        <v>201</v>
      </c>
      <c r="NOP16" s="310" t="s">
        <v>201</v>
      </c>
      <c r="NOQ16" s="310" t="s">
        <v>201</v>
      </c>
      <c r="NOR16" s="310" t="s">
        <v>201</v>
      </c>
      <c r="NOS16" s="310" t="s">
        <v>201</v>
      </c>
      <c r="NOT16" s="310" t="s">
        <v>201</v>
      </c>
      <c r="NOU16" s="310" t="s">
        <v>201</v>
      </c>
      <c r="NOV16" s="310" t="s">
        <v>201</v>
      </c>
      <c r="NOW16" s="310" t="s">
        <v>201</v>
      </c>
      <c r="NOX16" s="310" t="s">
        <v>201</v>
      </c>
      <c r="NOY16" s="310" t="s">
        <v>201</v>
      </c>
      <c r="NOZ16" s="310" t="s">
        <v>201</v>
      </c>
      <c r="NPA16" s="310" t="s">
        <v>201</v>
      </c>
      <c r="NPB16" s="310" t="s">
        <v>201</v>
      </c>
      <c r="NPC16" s="310" t="s">
        <v>201</v>
      </c>
      <c r="NPD16" s="310" t="s">
        <v>201</v>
      </c>
      <c r="NPE16" s="310" t="s">
        <v>201</v>
      </c>
      <c r="NPF16" s="310" t="s">
        <v>201</v>
      </c>
      <c r="NPG16" s="310" t="s">
        <v>201</v>
      </c>
      <c r="NPH16" s="310" t="s">
        <v>201</v>
      </c>
      <c r="NPI16" s="310" t="s">
        <v>201</v>
      </c>
      <c r="NPJ16" s="310" t="s">
        <v>201</v>
      </c>
      <c r="NPK16" s="310" t="s">
        <v>201</v>
      </c>
      <c r="NPL16" s="310" t="s">
        <v>201</v>
      </c>
      <c r="NPM16" s="310" t="s">
        <v>201</v>
      </c>
      <c r="NPN16" s="310" t="s">
        <v>201</v>
      </c>
      <c r="NPO16" s="310" t="s">
        <v>201</v>
      </c>
      <c r="NPP16" s="310" t="s">
        <v>201</v>
      </c>
      <c r="NPQ16" s="310" t="s">
        <v>201</v>
      </c>
      <c r="NPR16" s="310" t="s">
        <v>201</v>
      </c>
      <c r="NPS16" s="310" t="s">
        <v>201</v>
      </c>
      <c r="NPT16" s="310" t="s">
        <v>201</v>
      </c>
      <c r="NPU16" s="310" t="s">
        <v>201</v>
      </c>
      <c r="NPV16" s="310" t="s">
        <v>201</v>
      </c>
      <c r="NPW16" s="310" t="s">
        <v>201</v>
      </c>
      <c r="NPX16" s="310" t="s">
        <v>201</v>
      </c>
      <c r="NPY16" s="310" t="s">
        <v>201</v>
      </c>
      <c r="NPZ16" s="310" t="s">
        <v>201</v>
      </c>
      <c r="NQA16" s="310" t="s">
        <v>201</v>
      </c>
      <c r="NQB16" s="310" t="s">
        <v>201</v>
      </c>
      <c r="NQC16" s="310" t="s">
        <v>201</v>
      </c>
      <c r="NQD16" s="310" t="s">
        <v>201</v>
      </c>
      <c r="NQE16" s="310" t="s">
        <v>201</v>
      </c>
      <c r="NQF16" s="310" t="s">
        <v>201</v>
      </c>
      <c r="NQG16" s="310" t="s">
        <v>201</v>
      </c>
      <c r="NQH16" s="310" t="s">
        <v>201</v>
      </c>
      <c r="NQI16" s="310" t="s">
        <v>201</v>
      </c>
      <c r="NQJ16" s="310" t="s">
        <v>201</v>
      </c>
      <c r="NQK16" s="310" t="s">
        <v>201</v>
      </c>
      <c r="NQL16" s="310" t="s">
        <v>201</v>
      </c>
      <c r="NQM16" s="310" t="s">
        <v>201</v>
      </c>
      <c r="NQN16" s="310" t="s">
        <v>201</v>
      </c>
      <c r="NQO16" s="310" t="s">
        <v>201</v>
      </c>
      <c r="NQP16" s="310" t="s">
        <v>201</v>
      </c>
      <c r="NQQ16" s="310" t="s">
        <v>201</v>
      </c>
      <c r="NQR16" s="310" t="s">
        <v>201</v>
      </c>
      <c r="NQS16" s="310" t="s">
        <v>201</v>
      </c>
      <c r="NQT16" s="310" t="s">
        <v>201</v>
      </c>
      <c r="NQU16" s="310" t="s">
        <v>201</v>
      </c>
      <c r="NQV16" s="310" t="s">
        <v>201</v>
      </c>
      <c r="NQW16" s="310" t="s">
        <v>201</v>
      </c>
      <c r="NQX16" s="310" t="s">
        <v>201</v>
      </c>
      <c r="NQY16" s="310" t="s">
        <v>201</v>
      </c>
      <c r="NQZ16" s="310" t="s">
        <v>201</v>
      </c>
      <c r="NRA16" s="310" t="s">
        <v>201</v>
      </c>
      <c r="NRB16" s="310" t="s">
        <v>201</v>
      </c>
      <c r="NRC16" s="310" t="s">
        <v>201</v>
      </c>
      <c r="NRD16" s="310" t="s">
        <v>201</v>
      </c>
      <c r="NRE16" s="310" t="s">
        <v>201</v>
      </c>
      <c r="NRF16" s="310" t="s">
        <v>201</v>
      </c>
      <c r="NRG16" s="310" t="s">
        <v>201</v>
      </c>
      <c r="NRH16" s="310" t="s">
        <v>201</v>
      </c>
      <c r="NRI16" s="310" t="s">
        <v>201</v>
      </c>
      <c r="NRJ16" s="310" t="s">
        <v>201</v>
      </c>
      <c r="NRK16" s="310" t="s">
        <v>201</v>
      </c>
      <c r="NRL16" s="310" t="s">
        <v>201</v>
      </c>
      <c r="NRM16" s="310" t="s">
        <v>201</v>
      </c>
      <c r="NRN16" s="310" t="s">
        <v>201</v>
      </c>
      <c r="NRO16" s="310" t="s">
        <v>201</v>
      </c>
      <c r="NRP16" s="310" t="s">
        <v>201</v>
      </c>
      <c r="NRQ16" s="310" t="s">
        <v>201</v>
      </c>
      <c r="NRR16" s="310" t="s">
        <v>201</v>
      </c>
      <c r="NRS16" s="310" t="s">
        <v>201</v>
      </c>
      <c r="NRT16" s="310" t="s">
        <v>201</v>
      </c>
      <c r="NRU16" s="310" t="s">
        <v>201</v>
      </c>
      <c r="NRV16" s="310" t="s">
        <v>201</v>
      </c>
      <c r="NRW16" s="310" t="s">
        <v>201</v>
      </c>
      <c r="NRX16" s="310" t="s">
        <v>201</v>
      </c>
      <c r="NRY16" s="310" t="s">
        <v>201</v>
      </c>
      <c r="NRZ16" s="310" t="s">
        <v>201</v>
      </c>
      <c r="NSA16" s="310" t="s">
        <v>201</v>
      </c>
      <c r="NSB16" s="310" t="s">
        <v>201</v>
      </c>
      <c r="NSC16" s="310" t="s">
        <v>201</v>
      </c>
      <c r="NSD16" s="310" t="s">
        <v>201</v>
      </c>
      <c r="NSE16" s="310" t="s">
        <v>201</v>
      </c>
      <c r="NSF16" s="310" t="s">
        <v>201</v>
      </c>
      <c r="NSG16" s="310" t="s">
        <v>201</v>
      </c>
      <c r="NSH16" s="310" t="s">
        <v>201</v>
      </c>
      <c r="NSI16" s="310" t="s">
        <v>201</v>
      </c>
      <c r="NSJ16" s="310" t="s">
        <v>201</v>
      </c>
      <c r="NSK16" s="310" t="s">
        <v>201</v>
      </c>
      <c r="NSL16" s="310" t="s">
        <v>201</v>
      </c>
      <c r="NSM16" s="310" t="s">
        <v>201</v>
      </c>
      <c r="NSN16" s="310" t="s">
        <v>201</v>
      </c>
      <c r="NSO16" s="310" t="s">
        <v>201</v>
      </c>
      <c r="NSP16" s="310" t="s">
        <v>201</v>
      </c>
      <c r="NSQ16" s="310" t="s">
        <v>201</v>
      </c>
      <c r="NSR16" s="310" t="s">
        <v>201</v>
      </c>
      <c r="NSS16" s="310" t="s">
        <v>201</v>
      </c>
      <c r="NST16" s="310" t="s">
        <v>201</v>
      </c>
      <c r="NSU16" s="310" t="s">
        <v>201</v>
      </c>
      <c r="NSV16" s="310" t="s">
        <v>201</v>
      </c>
      <c r="NSW16" s="310" t="s">
        <v>201</v>
      </c>
      <c r="NSX16" s="310" t="s">
        <v>201</v>
      </c>
      <c r="NSY16" s="310" t="s">
        <v>201</v>
      </c>
      <c r="NSZ16" s="310" t="s">
        <v>201</v>
      </c>
      <c r="NTA16" s="310" t="s">
        <v>201</v>
      </c>
      <c r="NTB16" s="310" t="s">
        <v>201</v>
      </c>
      <c r="NTC16" s="310" t="s">
        <v>201</v>
      </c>
      <c r="NTD16" s="310" t="s">
        <v>201</v>
      </c>
      <c r="NTE16" s="310" t="s">
        <v>201</v>
      </c>
      <c r="NTF16" s="310" t="s">
        <v>201</v>
      </c>
      <c r="NTG16" s="310" t="s">
        <v>201</v>
      </c>
      <c r="NTH16" s="310" t="s">
        <v>201</v>
      </c>
      <c r="NTI16" s="310" t="s">
        <v>201</v>
      </c>
      <c r="NTJ16" s="310" t="s">
        <v>201</v>
      </c>
      <c r="NTK16" s="310" t="s">
        <v>201</v>
      </c>
      <c r="NTL16" s="310" t="s">
        <v>201</v>
      </c>
      <c r="NTM16" s="310" t="s">
        <v>201</v>
      </c>
      <c r="NTN16" s="310" t="s">
        <v>201</v>
      </c>
      <c r="NTO16" s="310" t="s">
        <v>201</v>
      </c>
      <c r="NTP16" s="310" t="s">
        <v>201</v>
      </c>
      <c r="NTQ16" s="310" t="s">
        <v>201</v>
      </c>
      <c r="NTR16" s="310" t="s">
        <v>201</v>
      </c>
      <c r="NTS16" s="310" t="s">
        <v>201</v>
      </c>
      <c r="NTT16" s="310" t="s">
        <v>201</v>
      </c>
      <c r="NTU16" s="310" t="s">
        <v>201</v>
      </c>
      <c r="NTV16" s="310" t="s">
        <v>201</v>
      </c>
      <c r="NTW16" s="310" t="s">
        <v>201</v>
      </c>
      <c r="NTX16" s="310" t="s">
        <v>201</v>
      </c>
      <c r="NTY16" s="310" t="s">
        <v>201</v>
      </c>
      <c r="NTZ16" s="310" t="s">
        <v>201</v>
      </c>
      <c r="NUA16" s="310" t="s">
        <v>201</v>
      </c>
      <c r="NUB16" s="310" t="s">
        <v>201</v>
      </c>
      <c r="NUC16" s="310" t="s">
        <v>201</v>
      </c>
      <c r="NUD16" s="310" t="s">
        <v>201</v>
      </c>
      <c r="NUE16" s="310" t="s">
        <v>201</v>
      </c>
      <c r="NUF16" s="310" t="s">
        <v>201</v>
      </c>
      <c r="NUG16" s="310" t="s">
        <v>201</v>
      </c>
      <c r="NUH16" s="310" t="s">
        <v>201</v>
      </c>
      <c r="NUI16" s="310" t="s">
        <v>201</v>
      </c>
      <c r="NUJ16" s="310" t="s">
        <v>201</v>
      </c>
      <c r="NUK16" s="310" t="s">
        <v>201</v>
      </c>
      <c r="NUL16" s="310" t="s">
        <v>201</v>
      </c>
      <c r="NUM16" s="310" t="s">
        <v>201</v>
      </c>
      <c r="NUN16" s="310" t="s">
        <v>201</v>
      </c>
      <c r="NUO16" s="310" t="s">
        <v>201</v>
      </c>
      <c r="NUP16" s="310" t="s">
        <v>201</v>
      </c>
      <c r="NUQ16" s="310" t="s">
        <v>201</v>
      </c>
      <c r="NUR16" s="310" t="s">
        <v>201</v>
      </c>
      <c r="NUS16" s="310" t="s">
        <v>201</v>
      </c>
      <c r="NUT16" s="310" t="s">
        <v>201</v>
      </c>
      <c r="NUU16" s="310" t="s">
        <v>201</v>
      </c>
      <c r="NUV16" s="310" t="s">
        <v>201</v>
      </c>
      <c r="NUW16" s="310" t="s">
        <v>201</v>
      </c>
      <c r="NUX16" s="310" t="s">
        <v>201</v>
      </c>
      <c r="NUY16" s="310" t="s">
        <v>201</v>
      </c>
      <c r="NUZ16" s="310" t="s">
        <v>201</v>
      </c>
      <c r="NVA16" s="310" t="s">
        <v>201</v>
      </c>
      <c r="NVB16" s="310" t="s">
        <v>201</v>
      </c>
      <c r="NVC16" s="310" t="s">
        <v>201</v>
      </c>
      <c r="NVD16" s="310" t="s">
        <v>201</v>
      </c>
      <c r="NVE16" s="310" t="s">
        <v>201</v>
      </c>
      <c r="NVF16" s="310" t="s">
        <v>201</v>
      </c>
      <c r="NVG16" s="310" t="s">
        <v>201</v>
      </c>
      <c r="NVH16" s="310" t="s">
        <v>201</v>
      </c>
      <c r="NVI16" s="310" t="s">
        <v>201</v>
      </c>
      <c r="NVJ16" s="310" t="s">
        <v>201</v>
      </c>
      <c r="NVK16" s="310" t="s">
        <v>201</v>
      </c>
      <c r="NVL16" s="310" t="s">
        <v>201</v>
      </c>
      <c r="NVM16" s="310" t="s">
        <v>201</v>
      </c>
      <c r="NVN16" s="310" t="s">
        <v>201</v>
      </c>
      <c r="NVO16" s="310" t="s">
        <v>201</v>
      </c>
      <c r="NVP16" s="310" t="s">
        <v>201</v>
      </c>
      <c r="NVQ16" s="310" t="s">
        <v>201</v>
      </c>
      <c r="NVR16" s="310" t="s">
        <v>201</v>
      </c>
      <c r="NVS16" s="310" t="s">
        <v>201</v>
      </c>
      <c r="NVT16" s="310" t="s">
        <v>201</v>
      </c>
      <c r="NVU16" s="310" t="s">
        <v>201</v>
      </c>
      <c r="NVV16" s="310" t="s">
        <v>201</v>
      </c>
      <c r="NVW16" s="310" t="s">
        <v>201</v>
      </c>
      <c r="NVX16" s="310" t="s">
        <v>201</v>
      </c>
      <c r="NVY16" s="310" t="s">
        <v>201</v>
      </c>
      <c r="NVZ16" s="310" t="s">
        <v>201</v>
      </c>
      <c r="NWA16" s="310" t="s">
        <v>201</v>
      </c>
      <c r="NWB16" s="310" t="s">
        <v>201</v>
      </c>
      <c r="NWC16" s="310" t="s">
        <v>201</v>
      </c>
      <c r="NWD16" s="310" t="s">
        <v>201</v>
      </c>
      <c r="NWE16" s="310" t="s">
        <v>201</v>
      </c>
      <c r="NWF16" s="310" t="s">
        <v>201</v>
      </c>
      <c r="NWG16" s="310" t="s">
        <v>201</v>
      </c>
      <c r="NWH16" s="310" t="s">
        <v>201</v>
      </c>
      <c r="NWI16" s="310" t="s">
        <v>201</v>
      </c>
      <c r="NWJ16" s="310" t="s">
        <v>201</v>
      </c>
      <c r="NWK16" s="310" t="s">
        <v>201</v>
      </c>
      <c r="NWL16" s="310" t="s">
        <v>201</v>
      </c>
      <c r="NWM16" s="310" t="s">
        <v>201</v>
      </c>
      <c r="NWN16" s="310" t="s">
        <v>201</v>
      </c>
      <c r="NWO16" s="310" t="s">
        <v>201</v>
      </c>
      <c r="NWP16" s="310" t="s">
        <v>201</v>
      </c>
      <c r="NWQ16" s="310" t="s">
        <v>201</v>
      </c>
      <c r="NWR16" s="310" t="s">
        <v>201</v>
      </c>
      <c r="NWS16" s="310" t="s">
        <v>201</v>
      </c>
      <c r="NWT16" s="310" t="s">
        <v>201</v>
      </c>
      <c r="NWU16" s="310" t="s">
        <v>201</v>
      </c>
      <c r="NWV16" s="310" t="s">
        <v>201</v>
      </c>
      <c r="NWW16" s="310" t="s">
        <v>201</v>
      </c>
      <c r="NWX16" s="310" t="s">
        <v>201</v>
      </c>
      <c r="NWY16" s="310" t="s">
        <v>201</v>
      </c>
      <c r="NWZ16" s="310" t="s">
        <v>201</v>
      </c>
      <c r="NXA16" s="310" t="s">
        <v>201</v>
      </c>
      <c r="NXB16" s="310" t="s">
        <v>201</v>
      </c>
      <c r="NXC16" s="310" t="s">
        <v>201</v>
      </c>
      <c r="NXD16" s="310" t="s">
        <v>201</v>
      </c>
      <c r="NXE16" s="310" t="s">
        <v>201</v>
      </c>
      <c r="NXF16" s="310" t="s">
        <v>201</v>
      </c>
      <c r="NXG16" s="310" t="s">
        <v>201</v>
      </c>
      <c r="NXH16" s="310" t="s">
        <v>201</v>
      </c>
      <c r="NXI16" s="310" t="s">
        <v>201</v>
      </c>
      <c r="NXJ16" s="310" t="s">
        <v>201</v>
      </c>
      <c r="NXK16" s="310" t="s">
        <v>201</v>
      </c>
      <c r="NXL16" s="310" t="s">
        <v>201</v>
      </c>
      <c r="NXM16" s="310" t="s">
        <v>201</v>
      </c>
      <c r="NXN16" s="310" t="s">
        <v>201</v>
      </c>
      <c r="NXO16" s="310" t="s">
        <v>201</v>
      </c>
      <c r="NXP16" s="310" t="s">
        <v>201</v>
      </c>
      <c r="NXQ16" s="310" t="s">
        <v>201</v>
      </c>
      <c r="NXR16" s="310" t="s">
        <v>201</v>
      </c>
      <c r="NXS16" s="310" t="s">
        <v>201</v>
      </c>
      <c r="NXT16" s="310" t="s">
        <v>201</v>
      </c>
      <c r="NXU16" s="310" t="s">
        <v>201</v>
      </c>
      <c r="NXV16" s="310" t="s">
        <v>201</v>
      </c>
      <c r="NXW16" s="310" t="s">
        <v>201</v>
      </c>
      <c r="NXX16" s="310" t="s">
        <v>201</v>
      </c>
      <c r="NXY16" s="310" t="s">
        <v>201</v>
      </c>
      <c r="NXZ16" s="310" t="s">
        <v>201</v>
      </c>
      <c r="NYA16" s="310" t="s">
        <v>201</v>
      </c>
      <c r="NYB16" s="310" t="s">
        <v>201</v>
      </c>
      <c r="NYC16" s="310" t="s">
        <v>201</v>
      </c>
      <c r="NYD16" s="310" t="s">
        <v>201</v>
      </c>
      <c r="NYE16" s="310" t="s">
        <v>201</v>
      </c>
      <c r="NYF16" s="310" t="s">
        <v>201</v>
      </c>
      <c r="NYG16" s="310" t="s">
        <v>201</v>
      </c>
      <c r="NYH16" s="310" t="s">
        <v>201</v>
      </c>
      <c r="NYI16" s="310" t="s">
        <v>201</v>
      </c>
      <c r="NYJ16" s="310" t="s">
        <v>201</v>
      </c>
      <c r="NYK16" s="310" t="s">
        <v>201</v>
      </c>
      <c r="NYL16" s="310" t="s">
        <v>201</v>
      </c>
      <c r="NYM16" s="310" t="s">
        <v>201</v>
      </c>
      <c r="NYN16" s="310" t="s">
        <v>201</v>
      </c>
      <c r="NYO16" s="310" t="s">
        <v>201</v>
      </c>
      <c r="NYP16" s="310" t="s">
        <v>201</v>
      </c>
      <c r="NYQ16" s="310" t="s">
        <v>201</v>
      </c>
      <c r="NYR16" s="310" t="s">
        <v>201</v>
      </c>
      <c r="NYS16" s="310" t="s">
        <v>201</v>
      </c>
      <c r="NYT16" s="310" t="s">
        <v>201</v>
      </c>
      <c r="NYU16" s="310" t="s">
        <v>201</v>
      </c>
      <c r="NYV16" s="310" t="s">
        <v>201</v>
      </c>
      <c r="NYW16" s="310" t="s">
        <v>201</v>
      </c>
      <c r="NYX16" s="310" t="s">
        <v>201</v>
      </c>
      <c r="NYY16" s="310" t="s">
        <v>201</v>
      </c>
      <c r="NYZ16" s="310" t="s">
        <v>201</v>
      </c>
      <c r="NZA16" s="310" t="s">
        <v>201</v>
      </c>
      <c r="NZB16" s="310" t="s">
        <v>201</v>
      </c>
      <c r="NZC16" s="310" t="s">
        <v>201</v>
      </c>
      <c r="NZD16" s="310" t="s">
        <v>201</v>
      </c>
      <c r="NZE16" s="310" t="s">
        <v>201</v>
      </c>
      <c r="NZF16" s="310" t="s">
        <v>201</v>
      </c>
      <c r="NZG16" s="310" t="s">
        <v>201</v>
      </c>
      <c r="NZH16" s="310" t="s">
        <v>201</v>
      </c>
      <c r="NZI16" s="310" t="s">
        <v>201</v>
      </c>
      <c r="NZJ16" s="310" t="s">
        <v>201</v>
      </c>
      <c r="NZK16" s="310" t="s">
        <v>201</v>
      </c>
      <c r="NZL16" s="310" t="s">
        <v>201</v>
      </c>
      <c r="NZM16" s="310" t="s">
        <v>201</v>
      </c>
      <c r="NZN16" s="310" t="s">
        <v>201</v>
      </c>
      <c r="NZO16" s="310" t="s">
        <v>201</v>
      </c>
      <c r="NZP16" s="310" t="s">
        <v>201</v>
      </c>
      <c r="NZQ16" s="310" t="s">
        <v>201</v>
      </c>
      <c r="NZR16" s="310" t="s">
        <v>201</v>
      </c>
      <c r="NZS16" s="310" t="s">
        <v>201</v>
      </c>
      <c r="NZT16" s="310" t="s">
        <v>201</v>
      </c>
      <c r="NZU16" s="310" t="s">
        <v>201</v>
      </c>
      <c r="NZV16" s="310" t="s">
        <v>201</v>
      </c>
      <c r="NZW16" s="310" t="s">
        <v>201</v>
      </c>
      <c r="NZX16" s="310" t="s">
        <v>201</v>
      </c>
      <c r="NZY16" s="310" t="s">
        <v>201</v>
      </c>
      <c r="NZZ16" s="310" t="s">
        <v>201</v>
      </c>
      <c r="OAA16" s="310" t="s">
        <v>201</v>
      </c>
      <c r="OAB16" s="310" t="s">
        <v>201</v>
      </c>
      <c r="OAC16" s="310" t="s">
        <v>201</v>
      </c>
      <c r="OAD16" s="310" t="s">
        <v>201</v>
      </c>
      <c r="OAE16" s="310" t="s">
        <v>201</v>
      </c>
      <c r="OAF16" s="310" t="s">
        <v>201</v>
      </c>
      <c r="OAG16" s="310" t="s">
        <v>201</v>
      </c>
      <c r="OAH16" s="310" t="s">
        <v>201</v>
      </c>
      <c r="OAI16" s="310" t="s">
        <v>201</v>
      </c>
      <c r="OAJ16" s="310" t="s">
        <v>201</v>
      </c>
      <c r="OAK16" s="310" t="s">
        <v>201</v>
      </c>
      <c r="OAL16" s="310" t="s">
        <v>201</v>
      </c>
      <c r="OAM16" s="310" t="s">
        <v>201</v>
      </c>
      <c r="OAN16" s="310" t="s">
        <v>201</v>
      </c>
      <c r="OAO16" s="310" t="s">
        <v>201</v>
      </c>
      <c r="OAP16" s="310" t="s">
        <v>201</v>
      </c>
      <c r="OAQ16" s="310" t="s">
        <v>201</v>
      </c>
      <c r="OAR16" s="310" t="s">
        <v>201</v>
      </c>
      <c r="OAS16" s="310" t="s">
        <v>201</v>
      </c>
      <c r="OAT16" s="310" t="s">
        <v>201</v>
      </c>
      <c r="OAU16" s="310" t="s">
        <v>201</v>
      </c>
      <c r="OAV16" s="310" t="s">
        <v>201</v>
      </c>
      <c r="OAW16" s="310" t="s">
        <v>201</v>
      </c>
      <c r="OAX16" s="310" t="s">
        <v>201</v>
      </c>
      <c r="OAY16" s="310" t="s">
        <v>201</v>
      </c>
      <c r="OAZ16" s="310" t="s">
        <v>201</v>
      </c>
      <c r="OBA16" s="310" t="s">
        <v>201</v>
      </c>
      <c r="OBB16" s="310" t="s">
        <v>201</v>
      </c>
      <c r="OBC16" s="310" t="s">
        <v>201</v>
      </c>
      <c r="OBD16" s="310" t="s">
        <v>201</v>
      </c>
      <c r="OBE16" s="310" t="s">
        <v>201</v>
      </c>
      <c r="OBF16" s="310" t="s">
        <v>201</v>
      </c>
      <c r="OBG16" s="310" t="s">
        <v>201</v>
      </c>
      <c r="OBH16" s="310" t="s">
        <v>201</v>
      </c>
      <c r="OBI16" s="310" t="s">
        <v>201</v>
      </c>
      <c r="OBJ16" s="310" t="s">
        <v>201</v>
      </c>
      <c r="OBK16" s="310" t="s">
        <v>201</v>
      </c>
      <c r="OBL16" s="310" t="s">
        <v>201</v>
      </c>
      <c r="OBM16" s="310" t="s">
        <v>201</v>
      </c>
      <c r="OBN16" s="310" t="s">
        <v>201</v>
      </c>
      <c r="OBO16" s="310" t="s">
        <v>201</v>
      </c>
      <c r="OBP16" s="310" t="s">
        <v>201</v>
      </c>
      <c r="OBQ16" s="310" t="s">
        <v>201</v>
      </c>
      <c r="OBR16" s="310" t="s">
        <v>201</v>
      </c>
      <c r="OBS16" s="310" t="s">
        <v>201</v>
      </c>
      <c r="OBT16" s="310" t="s">
        <v>201</v>
      </c>
      <c r="OBU16" s="310" t="s">
        <v>201</v>
      </c>
      <c r="OBV16" s="310" t="s">
        <v>201</v>
      </c>
      <c r="OBW16" s="310" t="s">
        <v>201</v>
      </c>
      <c r="OBX16" s="310" t="s">
        <v>201</v>
      </c>
      <c r="OBY16" s="310" t="s">
        <v>201</v>
      </c>
      <c r="OBZ16" s="310" t="s">
        <v>201</v>
      </c>
      <c r="OCA16" s="310" t="s">
        <v>201</v>
      </c>
      <c r="OCB16" s="310" t="s">
        <v>201</v>
      </c>
      <c r="OCC16" s="310" t="s">
        <v>201</v>
      </c>
      <c r="OCD16" s="310" t="s">
        <v>201</v>
      </c>
      <c r="OCE16" s="310" t="s">
        <v>201</v>
      </c>
      <c r="OCF16" s="310" t="s">
        <v>201</v>
      </c>
      <c r="OCG16" s="310" t="s">
        <v>201</v>
      </c>
      <c r="OCH16" s="310" t="s">
        <v>201</v>
      </c>
      <c r="OCI16" s="310" t="s">
        <v>201</v>
      </c>
      <c r="OCJ16" s="310" t="s">
        <v>201</v>
      </c>
      <c r="OCK16" s="310" t="s">
        <v>201</v>
      </c>
      <c r="OCL16" s="310" t="s">
        <v>201</v>
      </c>
      <c r="OCM16" s="310" t="s">
        <v>201</v>
      </c>
      <c r="OCN16" s="310" t="s">
        <v>201</v>
      </c>
      <c r="OCO16" s="310" t="s">
        <v>201</v>
      </c>
      <c r="OCP16" s="310" t="s">
        <v>201</v>
      </c>
      <c r="OCQ16" s="310" t="s">
        <v>201</v>
      </c>
      <c r="OCR16" s="310" t="s">
        <v>201</v>
      </c>
      <c r="OCS16" s="310" t="s">
        <v>201</v>
      </c>
      <c r="OCT16" s="310" t="s">
        <v>201</v>
      </c>
      <c r="OCU16" s="310" t="s">
        <v>201</v>
      </c>
      <c r="OCV16" s="310" t="s">
        <v>201</v>
      </c>
      <c r="OCW16" s="310" t="s">
        <v>201</v>
      </c>
      <c r="OCX16" s="310" t="s">
        <v>201</v>
      </c>
      <c r="OCY16" s="310" t="s">
        <v>201</v>
      </c>
      <c r="OCZ16" s="310" t="s">
        <v>201</v>
      </c>
      <c r="ODA16" s="310" t="s">
        <v>201</v>
      </c>
      <c r="ODB16" s="310" t="s">
        <v>201</v>
      </c>
      <c r="ODC16" s="310" t="s">
        <v>201</v>
      </c>
      <c r="ODD16" s="310" t="s">
        <v>201</v>
      </c>
      <c r="ODE16" s="310" t="s">
        <v>201</v>
      </c>
      <c r="ODF16" s="310" t="s">
        <v>201</v>
      </c>
      <c r="ODG16" s="310" t="s">
        <v>201</v>
      </c>
      <c r="ODH16" s="310" t="s">
        <v>201</v>
      </c>
      <c r="ODI16" s="310" t="s">
        <v>201</v>
      </c>
      <c r="ODJ16" s="310" t="s">
        <v>201</v>
      </c>
      <c r="ODK16" s="310" t="s">
        <v>201</v>
      </c>
      <c r="ODL16" s="310" t="s">
        <v>201</v>
      </c>
      <c r="ODM16" s="310" t="s">
        <v>201</v>
      </c>
      <c r="ODN16" s="310" t="s">
        <v>201</v>
      </c>
      <c r="ODO16" s="310" t="s">
        <v>201</v>
      </c>
      <c r="ODP16" s="310" t="s">
        <v>201</v>
      </c>
      <c r="ODQ16" s="310" t="s">
        <v>201</v>
      </c>
      <c r="ODR16" s="310" t="s">
        <v>201</v>
      </c>
      <c r="ODS16" s="310" t="s">
        <v>201</v>
      </c>
      <c r="ODT16" s="310" t="s">
        <v>201</v>
      </c>
      <c r="ODU16" s="310" t="s">
        <v>201</v>
      </c>
      <c r="ODV16" s="310" t="s">
        <v>201</v>
      </c>
      <c r="ODW16" s="310" t="s">
        <v>201</v>
      </c>
      <c r="ODX16" s="310" t="s">
        <v>201</v>
      </c>
      <c r="ODY16" s="310" t="s">
        <v>201</v>
      </c>
      <c r="ODZ16" s="310" t="s">
        <v>201</v>
      </c>
      <c r="OEA16" s="310" t="s">
        <v>201</v>
      </c>
      <c r="OEB16" s="310" t="s">
        <v>201</v>
      </c>
      <c r="OEC16" s="310" t="s">
        <v>201</v>
      </c>
      <c r="OED16" s="310" t="s">
        <v>201</v>
      </c>
      <c r="OEE16" s="310" t="s">
        <v>201</v>
      </c>
      <c r="OEF16" s="310" t="s">
        <v>201</v>
      </c>
      <c r="OEG16" s="310" t="s">
        <v>201</v>
      </c>
      <c r="OEH16" s="310" t="s">
        <v>201</v>
      </c>
      <c r="OEI16" s="310" t="s">
        <v>201</v>
      </c>
      <c r="OEJ16" s="310" t="s">
        <v>201</v>
      </c>
      <c r="OEK16" s="310" t="s">
        <v>201</v>
      </c>
      <c r="OEL16" s="310" t="s">
        <v>201</v>
      </c>
      <c r="OEM16" s="310" t="s">
        <v>201</v>
      </c>
      <c r="OEN16" s="310" t="s">
        <v>201</v>
      </c>
      <c r="OEO16" s="310" t="s">
        <v>201</v>
      </c>
      <c r="OEP16" s="310" t="s">
        <v>201</v>
      </c>
      <c r="OEQ16" s="310" t="s">
        <v>201</v>
      </c>
      <c r="OER16" s="310" t="s">
        <v>201</v>
      </c>
      <c r="OES16" s="310" t="s">
        <v>201</v>
      </c>
      <c r="OET16" s="310" t="s">
        <v>201</v>
      </c>
      <c r="OEU16" s="310" t="s">
        <v>201</v>
      </c>
      <c r="OEV16" s="310" t="s">
        <v>201</v>
      </c>
      <c r="OEW16" s="310" t="s">
        <v>201</v>
      </c>
      <c r="OEX16" s="310" t="s">
        <v>201</v>
      </c>
      <c r="OEY16" s="310" t="s">
        <v>201</v>
      </c>
      <c r="OEZ16" s="310" t="s">
        <v>201</v>
      </c>
      <c r="OFA16" s="310" t="s">
        <v>201</v>
      </c>
      <c r="OFB16" s="310" t="s">
        <v>201</v>
      </c>
      <c r="OFC16" s="310" t="s">
        <v>201</v>
      </c>
      <c r="OFD16" s="310" t="s">
        <v>201</v>
      </c>
      <c r="OFE16" s="310" t="s">
        <v>201</v>
      </c>
      <c r="OFF16" s="310" t="s">
        <v>201</v>
      </c>
      <c r="OFG16" s="310" t="s">
        <v>201</v>
      </c>
      <c r="OFH16" s="310" t="s">
        <v>201</v>
      </c>
      <c r="OFI16" s="310" t="s">
        <v>201</v>
      </c>
      <c r="OFJ16" s="310" t="s">
        <v>201</v>
      </c>
      <c r="OFK16" s="310" t="s">
        <v>201</v>
      </c>
      <c r="OFL16" s="310" t="s">
        <v>201</v>
      </c>
      <c r="OFM16" s="310" t="s">
        <v>201</v>
      </c>
      <c r="OFN16" s="310" t="s">
        <v>201</v>
      </c>
      <c r="OFO16" s="310" t="s">
        <v>201</v>
      </c>
      <c r="OFP16" s="310" t="s">
        <v>201</v>
      </c>
      <c r="OFQ16" s="310" t="s">
        <v>201</v>
      </c>
      <c r="OFR16" s="310" t="s">
        <v>201</v>
      </c>
      <c r="OFS16" s="310" t="s">
        <v>201</v>
      </c>
      <c r="OFT16" s="310" t="s">
        <v>201</v>
      </c>
      <c r="OFU16" s="310" t="s">
        <v>201</v>
      </c>
      <c r="OFV16" s="310" t="s">
        <v>201</v>
      </c>
      <c r="OFW16" s="310" t="s">
        <v>201</v>
      </c>
      <c r="OFX16" s="310" t="s">
        <v>201</v>
      </c>
      <c r="OFY16" s="310" t="s">
        <v>201</v>
      </c>
      <c r="OFZ16" s="310" t="s">
        <v>201</v>
      </c>
      <c r="OGA16" s="310" t="s">
        <v>201</v>
      </c>
      <c r="OGB16" s="310" t="s">
        <v>201</v>
      </c>
      <c r="OGC16" s="310" t="s">
        <v>201</v>
      </c>
      <c r="OGD16" s="310" t="s">
        <v>201</v>
      </c>
      <c r="OGE16" s="310" t="s">
        <v>201</v>
      </c>
      <c r="OGF16" s="310" t="s">
        <v>201</v>
      </c>
      <c r="OGG16" s="310" t="s">
        <v>201</v>
      </c>
      <c r="OGH16" s="310" t="s">
        <v>201</v>
      </c>
      <c r="OGI16" s="310" t="s">
        <v>201</v>
      </c>
      <c r="OGJ16" s="310" t="s">
        <v>201</v>
      </c>
      <c r="OGK16" s="310" t="s">
        <v>201</v>
      </c>
      <c r="OGL16" s="310" t="s">
        <v>201</v>
      </c>
      <c r="OGM16" s="310" t="s">
        <v>201</v>
      </c>
      <c r="OGN16" s="310" t="s">
        <v>201</v>
      </c>
      <c r="OGO16" s="310" t="s">
        <v>201</v>
      </c>
      <c r="OGP16" s="310" t="s">
        <v>201</v>
      </c>
      <c r="OGQ16" s="310" t="s">
        <v>201</v>
      </c>
      <c r="OGR16" s="310" t="s">
        <v>201</v>
      </c>
      <c r="OGS16" s="310" t="s">
        <v>201</v>
      </c>
      <c r="OGT16" s="310" t="s">
        <v>201</v>
      </c>
      <c r="OGU16" s="310" t="s">
        <v>201</v>
      </c>
      <c r="OGV16" s="310" t="s">
        <v>201</v>
      </c>
      <c r="OGW16" s="310" t="s">
        <v>201</v>
      </c>
      <c r="OGX16" s="310" t="s">
        <v>201</v>
      </c>
      <c r="OGY16" s="310" t="s">
        <v>201</v>
      </c>
      <c r="OGZ16" s="310" t="s">
        <v>201</v>
      </c>
      <c r="OHA16" s="310" t="s">
        <v>201</v>
      </c>
      <c r="OHB16" s="310" t="s">
        <v>201</v>
      </c>
      <c r="OHC16" s="310" t="s">
        <v>201</v>
      </c>
      <c r="OHD16" s="310" t="s">
        <v>201</v>
      </c>
      <c r="OHE16" s="310" t="s">
        <v>201</v>
      </c>
      <c r="OHF16" s="310" t="s">
        <v>201</v>
      </c>
      <c r="OHG16" s="310" t="s">
        <v>201</v>
      </c>
      <c r="OHH16" s="310" t="s">
        <v>201</v>
      </c>
      <c r="OHI16" s="310" t="s">
        <v>201</v>
      </c>
      <c r="OHJ16" s="310" t="s">
        <v>201</v>
      </c>
      <c r="OHK16" s="310" t="s">
        <v>201</v>
      </c>
      <c r="OHL16" s="310" t="s">
        <v>201</v>
      </c>
      <c r="OHM16" s="310" t="s">
        <v>201</v>
      </c>
      <c r="OHN16" s="310" t="s">
        <v>201</v>
      </c>
      <c r="OHO16" s="310" t="s">
        <v>201</v>
      </c>
      <c r="OHP16" s="310" t="s">
        <v>201</v>
      </c>
      <c r="OHQ16" s="310" t="s">
        <v>201</v>
      </c>
      <c r="OHR16" s="310" t="s">
        <v>201</v>
      </c>
      <c r="OHS16" s="310" t="s">
        <v>201</v>
      </c>
      <c r="OHT16" s="310" t="s">
        <v>201</v>
      </c>
      <c r="OHU16" s="310" t="s">
        <v>201</v>
      </c>
      <c r="OHV16" s="310" t="s">
        <v>201</v>
      </c>
      <c r="OHW16" s="310" t="s">
        <v>201</v>
      </c>
      <c r="OHX16" s="310" t="s">
        <v>201</v>
      </c>
      <c r="OHY16" s="310" t="s">
        <v>201</v>
      </c>
      <c r="OHZ16" s="310" t="s">
        <v>201</v>
      </c>
      <c r="OIA16" s="310" t="s">
        <v>201</v>
      </c>
      <c r="OIB16" s="310" t="s">
        <v>201</v>
      </c>
      <c r="OIC16" s="310" t="s">
        <v>201</v>
      </c>
      <c r="OID16" s="310" t="s">
        <v>201</v>
      </c>
      <c r="OIE16" s="310" t="s">
        <v>201</v>
      </c>
      <c r="OIF16" s="310" t="s">
        <v>201</v>
      </c>
      <c r="OIG16" s="310" t="s">
        <v>201</v>
      </c>
      <c r="OIH16" s="310" t="s">
        <v>201</v>
      </c>
      <c r="OII16" s="310" t="s">
        <v>201</v>
      </c>
      <c r="OIJ16" s="310" t="s">
        <v>201</v>
      </c>
      <c r="OIK16" s="310" t="s">
        <v>201</v>
      </c>
      <c r="OIL16" s="310" t="s">
        <v>201</v>
      </c>
      <c r="OIM16" s="310" t="s">
        <v>201</v>
      </c>
      <c r="OIN16" s="310" t="s">
        <v>201</v>
      </c>
      <c r="OIO16" s="310" t="s">
        <v>201</v>
      </c>
      <c r="OIP16" s="310" t="s">
        <v>201</v>
      </c>
      <c r="OIQ16" s="310" t="s">
        <v>201</v>
      </c>
      <c r="OIR16" s="310" t="s">
        <v>201</v>
      </c>
      <c r="OIS16" s="310" t="s">
        <v>201</v>
      </c>
      <c r="OIT16" s="310" t="s">
        <v>201</v>
      </c>
      <c r="OIU16" s="310" t="s">
        <v>201</v>
      </c>
      <c r="OIV16" s="310" t="s">
        <v>201</v>
      </c>
      <c r="OIW16" s="310" t="s">
        <v>201</v>
      </c>
      <c r="OIX16" s="310" t="s">
        <v>201</v>
      </c>
      <c r="OIY16" s="310" t="s">
        <v>201</v>
      </c>
      <c r="OIZ16" s="310" t="s">
        <v>201</v>
      </c>
      <c r="OJA16" s="310" t="s">
        <v>201</v>
      </c>
      <c r="OJB16" s="310" t="s">
        <v>201</v>
      </c>
      <c r="OJC16" s="310" t="s">
        <v>201</v>
      </c>
      <c r="OJD16" s="310" t="s">
        <v>201</v>
      </c>
      <c r="OJE16" s="310" t="s">
        <v>201</v>
      </c>
      <c r="OJF16" s="310" t="s">
        <v>201</v>
      </c>
      <c r="OJG16" s="310" t="s">
        <v>201</v>
      </c>
      <c r="OJH16" s="310" t="s">
        <v>201</v>
      </c>
      <c r="OJI16" s="310" t="s">
        <v>201</v>
      </c>
      <c r="OJJ16" s="310" t="s">
        <v>201</v>
      </c>
      <c r="OJK16" s="310" t="s">
        <v>201</v>
      </c>
      <c r="OJL16" s="310" t="s">
        <v>201</v>
      </c>
      <c r="OJM16" s="310" t="s">
        <v>201</v>
      </c>
      <c r="OJN16" s="310" t="s">
        <v>201</v>
      </c>
      <c r="OJO16" s="310" t="s">
        <v>201</v>
      </c>
      <c r="OJP16" s="310" t="s">
        <v>201</v>
      </c>
      <c r="OJQ16" s="310" t="s">
        <v>201</v>
      </c>
      <c r="OJR16" s="310" t="s">
        <v>201</v>
      </c>
      <c r="OJS16" s="310" t="s">
        <v>201</v>
      </c>
      <c r="OJT16" s="310" t="s">
        <v>201</v>
      </c>
      <c r="OJU16" s="310" t="s">
        <v>201</v>
      </c>
      <c r="OJV16" s="310" t="s">
        <v>201</v>
      </c>
      <c r="OJW16" s="310" t="s">
        <v>201</v>
      </c>
      <c r="OJX16" s="310" t="s">
        <v>201</v>
      </c>
      <c r="OJY16" s="310" t="s">
        <v>201</v>
      </c>
      <c r="OJZ16" s="310" t="s">
        <v>201</v>
      </c>
      <c r="OKA16" s="310" t="s">
        <v>201</v>
      </c>
      <c r="OKB16" s="310" t="s">
        <v>201</v>
      </c>
      <c r="OKC16" s="310" t="s">
        <v>201</v>
      </c>
      <c r="OKD16" s="310" t="s">
        <v>201</v>
      </c>
      <c r="OKE16" s="310" t="s">
        <v>201</v>
      </c>
      <c r="OKF16" s="310" t="s">
        <v>201</v>
      </c>
      <c r="OKG16" s="310" t="s">
        <v>201</v>
      </c>
      <c r="OKH16" s="310" t="s">
        <v>201</v>
      </c>
      <c r="OKI16" s="310" t="s">
        <v>201</v>
      </c>
      <c r="OKJ16" s="310" t="s">
        <v>201</v>
      </c>
      <c r="OKK16" s="310" t="s">
        <v>201</v>
      </c>
      <c r="OKL16" s="310" t="s">
        <v>201</v>
      </c>
      <c r="OKM16" s="310" t="s">
        <v>201</v>
      </c>
      <c r="OKN16" s="310" t="s">
        <v>201</v>
      </c>
      <c r="OKO16" s="310" t="s">
        <v>201</v>
      </c>
      <c r="OKP16" s="310" t="s">
        <v>201</v>
      </c>
      <c r="OKQ16" s="310" t="s">
        <v>201</v>
      </c>
      <c r="OKR16" s="310" t="s">
        <v>201</v>
      </c>
      <c r="OKS16" s="310" t="s">
        <v>201</v>
      </c>
      <c r="OKT16" s="310" t="s">
        <v>201</v>
      </c>
      <c r="OKU16" s="310" t="s">
        <v>201</v>
      </c>
      <c r="OKV16" s="310" t="s">
        <v>201</v>
      </c>
      <c r="OKW16" s="310" t="s">
        <v>201</v>
      </c>
      <c r="OKX16" s="310" t="s">
        <v>201</v>
      </c>
      <c r="OKY16" s="310" t="s">
        <v>201</v>
      </c>
      <c r="OKZ16" s="310" t="s">
        <v>201</v>
      </c>
      <c r="OLA16" s="310" t="s">
        <v>201</v>
      </c>
      <c r="OLB16" s="310" t="s">
        <v>201</v>
      </c>
      <c r="OLC16" s="310" t="s">
        <v>201</v>
      </c>
      <c r="OLD16" s="310" t="s">
        <v>201</v>
      </c>
      <c r="OLE16" s="310" t="s">
        <v>201</v>
      </c>
      <c r="OLF16" s="310" t="s">
        <v>201</v>
      </c>
      <c r="OLG16" s="310" t="s">
        <v>201</v>
      </c>
      <c r="OLH16" s="310" t="s">
        <v>201</v>
      </c>
      <c r="OLI16" s="310" t="s">
        <v>201</v>
      </c>
      <c r="OLJ16" s="310" t="s">
        <v>201</v>
      </c>
      <c r="OLK16" s="310" t="s">
        <v>201</v>
      </c>
      <c r="OLL16" s="310" t="s">
        <v>201</v>
      </c>
      <c r="OLM16" s="310" t="s">
        <v>201</v>
      </c>
      <c r="OLN16" s="310" t="s">
        <v>201</v>
      </c>
      <c r="OLO16" s="310" t="s">
        <v>201</v>
      </c>
      <c r="OLP16" s="310" t="s">
        <v>201</v>
      </c>
      <c r="OLQ16" s="310" t="s">
        <v>201</v>
      </c>
      <c r="OLR16" s="310" t="s">
        <v>201</v>
      </c>
      <c r="OLS16" s="310" t="s">
        <v>201</v>
      </c>
      <c r="OLT16" s="310" t="s">
        <v>201</v>
      </c>
      <c r="OLU16" s="310" t="s">
        <v>201</v>
      </c>
      <c r="OLV16" s="310" t="s">
        <v>201</v>
      </c>
      <c r="OLW16" s="310" t="s">
        <v>201</v>
      </c>
      <c r="OLX16" s="310" t="s">
        <v>201</v>
      </c>
      <c r="OLY16" s="310" t="s">
        <v>201</v>
      </c>
      <c r="OLZ16" s="310" t="s">
        <v>201</v>
      </c>
      <c r="OMA16" s="310" t="s">
        <v>201</v>
      </c>
      <c r="OMB16" s="310" t="s">
        <v>201</v>
      </c>
      <c r="OMC16" s="310" t="s">
        <v>201</v>
      </c>
      <c r="OMD16" s="310" t="s">
        <v>201</v>
      </c>
      <c r="OME16" s="310" t="s">
        <v>201</v>
      </c>
      <c r="OMF16" s="310" t="s">
        <v>201</v>
      </c>
      <c r="OMG16" s="310" t="s">
        <v>201</v>
      </c>
      <c r="OMH16" s="310" t="s">
        <v>201</v>
      </c>
      <c r="OMI16" s="310" t="s">
        <v>201</v>
      </c>
      <c r="OMJ16" s="310" t="s">
        <v>201</v>
      </c>
      <c r="OMK16" s="310" t="s">
        <v>201</v>
      </c>
      <c r="OML16" s="310" t="s">
        <v>201</v>
      </c>
      <c r="OMM16" s="310" t="s">
        <v>201</v>
      </c>
      <c r="OMN16" s="310" t="s">
        <v>201</v>
      </c>
      <c r="OMO16" s="310" t="s">
        <v>201</v>
      </c>
      <c r="OMP16" s="310" t="s">
        <v>201</v>
      </c>
      <c r="OMQ16" s="310" t="s">
        <v>201</v>
      </c>
      <c r="OMR16" s="310" t="s">
        <v>201</v>
      </c>
      <c r="OMS16" s="310" t="s">
        <v>201</v>
      </c>
      <c r="OMT16" s="310" t="s">
        <v>201</v>
      </c>
      <c r="OMU16" s="310" t="s">
        <v>201</v>
      </c>
      <c r="OMV16" s="310" t="s">
        <v>201</v>
      </c>
      <c r="OMW16" s="310" t="s">
        <v>201</v>
      </c>
      <c r="OMX16" s="310" t="s">
        <v>201</v>
      </c>
      <c r="OMY16" s="310" t="s">
        <v>201</v>
      </c>
      <c r="OMZ16" s="310" t="s">
        <v>201</v>
      </c>
      <c r="ONA16" s="310" t="s">
        <v>201</v>
      </c>
      <c r="ONB16" s="310" t="s">
        <v>201</v>
      </c>
      <c r="ONC16" s="310" t="s">
        <v>201</v>
      </c>
      <c r="OND16" s="310" t="s">
        <v>201</v>
      </c>
      <c r="ONE16" s="310" t="s">
        <v>201</v>
      </c>
      <c r="ONF16" s="310" t="s">
        <v>201</v>
      </c>
      <c r="ONG16" s="310" t="s">
        <v>201</v>
      </c>
      <c r="ONH16" s="310" t="s">
        <v>201</v>
      </c>
      <c r="ONI16" s="310" t="s">
        <v>201</v>
      </c>
      <c r="ONJ16" s="310" t="s">
        <v>201</v>
      </c>
      <c r="ONK16" s="310" t="s">
        <v>201</v>
      </c>
      <c r="ONL16" s="310" t="s">
        <v>201</v>
      </c>
      <c r="ONM16" s="310" t="s">
        <v>201</v>
      </c>
      <c r="ONN16" s="310" t="s">
        <v>201</v>
      </c>
      <c r="ONO16" s="310" t="s">
        <v>201</v>
      </c>
      <c r="ONP16" s="310" t="s">
        <v>201</v>
      </c>
      <c r="ONQ16" s="310" t="s">
        <v>201</v>
      </c>
      <c r="ONR16" s="310" t="s">
        <v>201</v>
      </c>
      <c r="ONS16" s="310" t="s">
        <v>201</v>
      </c>
      <c r="ONT16" s="310" t="s">
        <v>201</v>
      </c>
      <c r="ONU16" s="310" t="s">
        <v>201</v>
      </c>
      <c r="ONV16" s="310" t="s">
        <v>201</v>
      </c>
      <c r="ONW16" s="310" t="s">
        <v>201</v>
      </c>
      <c r="ONX16" s="310" t="s">
        <v>201</v>
      </c>
      <c r="ONY16" s="310" t="s">
        <v>201</v>
      </c>
      <c r="ONZ16" s="310" t="s">
        <v>201</v>
      </c>
      <c r="OOA16" s="310" t="s">
        <v>201</v>
      </c>
      <c r="OOB16" s="310" t="s">
        <v>201</v>
      </c>
      <c r="OOC16" s="310" t="s">
        <v>201</v>
      </c>
      <c r="OOD16" s="310" t="s">
        <v>201</v>
      </c>
      <c r="OOE16" s="310" t="s">
        <v>201</v>
      </c>
      <c r="OOF16" s="310" t="s">
        <v>201</v>
      </c>
      <c r="OOG16" s="310" t="s">
        <v>201</v>
      </c>
      <c r="OOH16" s="310" t="s">
        <v>201</v>
      </c>
      <c r="OOI16" s="310" t="s">
        <v>201</v>
      </c>
      <c r="OOJ16" s="310" t="s">
        <v>201</v>
      </c>
      <c r="OOK16" s="310" t="s">
        <v>201</v>
      </c>
      <c r="OOL16" s="310" t="s">
        <v>201</v>
      </c>
      <c r="OOM16" s="310" t="s">
        <v>201</v>
      </c>
      <c r="OON16" s="310" t="s">
        <v>201</v>
      </c>
      <c r="OOO16" s="310" t="s">
        <v>201</v>
      </c>
      <c r="OOP16" s="310" t="s">
        <v>201</v>
      </c>
      <c r="OOQ16" s="310" t="s">
        <v>201</v>
      </c>
      <c r="OOR16" s="310" t="s">
        <v>201</v>
      </c>
      <c r="OOS16" s="310" t="s">
        <v>201</v>
      </c>
      <c r="OOT16" s="310" t="s">
        <v>201</v>
      </c>
      <c r="OOU16" s="310" t="s">
        <v>201</v>
      </c>
      <c r="OOV16" s="310" t="s">
        <v>201</v>
      </c>
      <c r="OOW16" s="310" t="s">
        <v>201</v>
      </c>
      <c r="OOX16" s="310" t="s">
        <v>201</v>
      </c>
      <c r="OOY16" s="310" t="s">
        <v>201</v>
      </c>
      <c r="OOZ16" s="310" t="s">
        <v>201</v>
      </c>
      <c r="OPA16" s="310" t="s">
        <v>201</v>
      </c>
      <c r="OPB16" s="310" t="s">
        <v>201</v>
      </c>
      <c r="OPC16" s="310" t="s">
        <v>201</v>
      </c>
      <c r="OPD16" s="310" t="s">
        <v>201</v>
      </c>
      <c r="OPE16" s="310" t="s">
        <v>201</v>
      </c>
      <c r="OPF16" s="310" t="s">
        <v>201</v>
      </c>
      <c r="OPG16" s="310" t="s">
        <v>201</v>
      </c>
      <c r="OPH16" s="310" t="s">
        <v>201</v>
      </c>
      <c r="OPI16" s="310" t="s">
        <v>201</v>
      </c>
      <c r="OPJ16" s="310" t="s">
        <v>201</v>
      </c>
      <c r="OPK16" s="310" t="s">
        <v>201</v>
      </c>
      <c r="OPL16" s="310" t="s">
        <v>201</v>
      </c>
      <c r="OPM16" s="310" t="s">
        <v>201</v>
      </c>
      <c r="OPN16" s="310" t="s">
        <v>201</v>
      </c>
      <c r="OPO16" s="310" t="s">
        <v>201</v>
      </c>
      <c r="OPP16" s="310" t="s">
        <v>201</v>
      </c>
      <c r="OPQ16" s="310" t="s">
        <v>201</v>
      </c>
      <c r="OPR16" s="310" t="s">
        <v>201</v>
      </c>
      <c r="OPS16" s="310" t="s">
        <v>201</v>
      </c>
      <c r="OPT16" s="310" t="s">
        <v>201</v>
      </c>
      <c r="OPU16" s="310" t="s">
        <v>201</v>
      </c>
      <c r="OPV16" s="310" t="s">
        <v>201</v>
      </c>
      <c r="OPW16" s="310" t="s">
        <v>201</v>
      </c>
      <c r="OPX16" s="310" t="s">
        <v>201</v>
      </c>
      <c r="OPY16" s="310" t="s">
        <v>201</v>
      </c>
      <c r="OPZ16" s="310" t="s">
        <v>201</v>
      </c>
      <c r="OQA16" s="310" t="s">
        <v>201</v>
      </c>
      <c r="OQB16" s="310" t="s">
        <v>201</v>
      </c>
      <c r="OQC16" s="310" t="s">
        <v>201</v>
      </c>
      <c r="OQD16" s="310" t="s">
        <v>201</v>
      </c>
      <c r="OQE16" s="310" t="s">
        <v>201</v>
      </c>
      <c r="OQF16" s="310" t="s">
        <v>201</v>
      </c>
      <c r="OQG16" s="310" t="s">
        <v>201</v>
      </c>
      <c r="OQH16" s="310" t="s">
        <v>201</v>
      </c>
      <c r="OQI16" s="310" t="s">
        <v>201</v>
      </c>
      <c r="OQJ16" s="310" t="s">
        <v>201</v>
      </c>
      <c r="OQK16" s="310" t="s">
        <v>201</v>
      </c>
      <c r="OQL16" s="310" t="s">
        <v>201</v>
      </c>
      <c r="OQM16" s="310" t="s">
        <v>201</v>
      </c>
      <c r="OQN16" s="310" t="s">
        <v>201</v>
      </c>
      <c r="OQO16" s="310" t="s">
        <v>201</v>
      </c>
      <c r="OQP16" s="310" t="s">
        <v>201</v>
      </c>
      <c r="OQQ16" s="310" t="s">
        <v>201</v>
      </c>
      <c r="OQR16" s="310" t="s">
        <v>201</v>
      </c>
      <c r="OQS16" s="310" t="s">
        <v>201</v>
      </c>
      <c r="OQT16" s="310" t="s">
        <v>201</v>
      </c>
      <c r="OQU16" s="310" t="s">
        <v>201</v>
      </c>
      <c r="OQV16" s="310" t="s">
        <v>201</v>
      </c>
      <c r="OQW16" s="310" t="s">
        <v>201</v>
      </c>
      <c r="OQX16" s="310" t="s">
        <v>201</v>
      </c>
      <c r="OQY16" s="310" t="s">
        <v>201</v>
      </c>
      <c r="OQZ16" s="310" t="s">
        <v>201</v>
      </c>
      <c r="ORA16" s="310" t="s">
        <v>201</v>
      </c>
      <c r="ORB16" s="310" t="s">
        <v>201</v>
      </c>
      <c r="ORC16" s="310" t="s">
        <v>201</v>
      </c>
      <c r="ORD16" s="310" t="s">
        <v>201</v>
      </c>
      <c r="ORE16" s="310" t="s">
        <v>201</v>
      </c>
      <c r="ORF16" s="310" t="s">
        <v>201</v>
      </c>
      <c r="ORG16" s="310" t="s">
        <v>201</v>
      </c>
      <c r="ORH16" s="310" t="s">
        <v>201</v>
      </c>
      <c r="ORI16" s="310" t="s">
        <v>201</v>
      </c>
      <c r="ORJ16" s="310" t="s">
        <v>201</v>
      </c>
      <c r="ORK16" s="310" t="s">
        <v>201</v>
      </c>
      <c r="ORL16" s="310" t="s">
        <v>201</v>
      </c>
      <c r="ORM16" s="310" t="s">
        <v>201</v>
      </c>
      <c r="ORN16" s="310" t="s">
        <v>201</v>
      </c>
      <c r="ORO16" s="310" t="s">
        <v>201</v>
      </c>
      <c r="ORP16" s="310" t="s">
        <v>201</v>
      </c>
      <c r="ORQ16" s="310" t="s">
        <v>201</v>
      </c>
      <c r="ORR16" s="310" t="s">
        <v>201</v>
      </c>
      <c r="ORS16" s="310" t="s">
        <v>201</v>
      </c>
      <c r="ORT16" s="310" t="s">
        <v>201</v>
      </c>
      <c r="ORU16" s="310" t="s">
        <v>201</v>
      </c>
      <c r="ORV16" s="310" t="s">
        <v>201</v>
      </c>
      <c r="ORW16" s="310" t="s">
        <v>201</v>
      </c>
      <c r="ORX16" s="310" t="s">
        <v>201</v>
      </c>
      <c r="ORY16" s="310" t="s">
        <v>201</v>
      </c>
      <c r="ORZ16" s="310" t="s">
        <v>201</v>
      </c>
      <c r="OSA16" s="310" t="s">
        <v>201</v>
      </c>
      <c r="OSB16" s="310" t="s">
        <v>201</v>
      </c>
      <c r="OSC16" s="310" t="s">
        <v>201</v>
      </c>
      <c r="OSD16" s="310" t="s">
        <v>201</v>
      </c>
      <c r="OSE16" s="310" t="s">
        <v>201</v>
      </c>
      <c r="OSF16" s="310" t="s">
        <v>201</v>
      </c>
      <c r="OSG16" s="310" t="s">
        <v>201</v>
      </c>
      <c r="OSH16" s="310" t="s">
        <v>201</v>
      </c>
      <c r="OSI16" s="310" t="s">
        <v>201</v>
      </c>
      <c r="OSJ16" s="310" t="s">
        <v>201</v>
      </c>
      <c r="OSK16" s="310" t="s">
        <v>201</v>
      </c>
      <c r="OSL16" s="310" t="s">
        <v>201</v>
      </c>
      <c r="OSM16" s="310" t="s">
        <v>201</v>
      </c>
      <c r="OSN16" s="310" t="s">
        <v>201</v>
      </c>
      <c r="OSO16" s="310" t="s">
        <v>201</v>
      </c>
      <c r="OSP16" s="310" t="s">
        <v>201</v>
      </c>
      <c r="OSQ16" s="310" t="s">
        <v>201</v>
      </c>
      <c r="OSR16" s="310" t="s">
        <v>201</v>
      </c>
      <c r="OSS16" s="310" t="s">
        <v>201</v>
      </c>
      <c r="OST16" s="310" t="s">
        <v>201</v>
      </c>
      <c r="OSU16" s="310" t="s">
        <v>201</v>
      </c>
      <c r="OSV16" s="310" t="s">
        <v>201</v>
      </c>
      <c r="OSW16" s="310" t="s">
        <v>201</v>
      </c>
      <c r="OSX16" s="310" t="s">
        <v>201</v>
      </c>
      <c r="OSY16" s="310" t="s">
        <v>201</v>
      </c>
      <c r="OSZ16" s="310" t="s">
        <v>201</v>
      </c>
      <c r="OTA16" s="310" t="s">
        <v>201</v>
      </c>
      <c r="OTB16" s="310" t="s">
        <v>201</v>
      </c>
      <c r="OTC16" s="310" t="s">
        <v>201</v>
      </c>
      <c r="OTD16" s="310" t="s">
        <v>201</v>
      </c>
      <c r="OTE16" s="310" t="s">
        <v>201</v>
      </c>
      <c r="OTF16" s="310" t="s">
        <v>201</v>
      </c>
      <c r="OTG16" s="310" t="s">
        <v>201</v>
      </c>
      <c r="OTH16" s="310" t="s">
        <v>201</v>
      </c>
      <c r="OTI16" s="310" t="s">
        <v>201</v>
      </c>
      <c r="OTJ16" s="310" t="s">
        <v>201</v>
      </c>
      <c r="OTK16" s="310" t="s">
        <v>201</v>
      </c>
      <c r="OTL16" s="310" t="s">
        <v>201</v>
      </c>
      <c r="OTM16" s="310" t="s">
        <v>201</v>
      </c>
      <c r="OTN16" s="310" t="s">
        <v>201</v>
      </c>
      <c r="OTO16" s="310" t="s">
        <v>201</v>
      </c>
      <c r="OTP16" s="310" t="s">
        <v>201</v>
      </c>
      <c r="OTQ16" s="310" t="s">
        <v>201</v>
      </c>
      <c r="OTR16" s="310" t="s">
        <v>201</v>
      </c>
      <c r="OTS16" s="310" t="s">
        <v>201</v>
      </c>
      <c r="OTT16" s="310" t="s">
        <v>201</v>
      </c>
      <c r="OTU16" s="310" t="s">
        <v>201</v>
      </c>
      <c r="OTV16" s="310" t="s">
        <v>201</v>
      </c>
      <c r="OTW16" s="310" t="s">
        <v>201</v>
      </c>
      <c r="OTX16" s="310" t="s">
        <v>201</v>
      </c>
      <c r="OTY16" s="310" t="s">
        <v>201</v>
      </c>
      <c r="OTZ16" s="310" t="s">
        <v>201</v>
      </c>
      <c r="OUA16" s="310" t="s">
        <v>201</v>
      </c>
      <c r="OUB16" s="310" t="s">
        <v>201</v>
      </c>
      <c r="OUC16" s="310" t="s">
        <v>201</v>
      </c>
      <c r="OUD16" s="310" t="s">
        <v>201</v>
      </c>
      <c r="OUE16" s="310" t="s">
        <v>201</v>
      </c>
      <c r="OUF16" s="310" t="s">
        <v>201</v>
      </c>
      <c r="OUG16" s="310" t="s">
        <v>201</v>
      </c>
      <c r="OUH16" s="310" t="s">
        <v>201</v>
      </c>
      <c r="OUI16" s="310" t="s">
        <v>201</v>
      </c>
      <c r="OUJ16" s="310" t="s">
        <v>201</v>
      </c>
      <c r="OUK16" s="310" t="s">
        <v>201</v>
      </c>
      <c r="OUL16" s="310" t="s">
        <v>201</v>
      </c>
      <c r="OUM16" s="310" t="s">
        <v>201</v>
      </c>
      <c r="OUN16" s="310" t="s">
        <v>201</v>
      </c>
      <c r="OUO16" s="310" t="s">
        <v>201</v>
      </c>
      <c r="OUP16" s="310" t="s">
        <v>201</v>
      </c>
      <c r="OUQ16" s="310" t="s">
        <v>201</v>
      </c>
      <c r="OUR16" s="310" t="s">
        <v>201</v>
      </c>
      <c r="OUS16" s="310" t="s">
        <v>201</v>
      </c>
      <c r="OUT16" s="310" t="s">
        <v>201</v>
      </c>
      <c r="OUU16" s="310" t="s">
        <v>201</v>
      </c>
      <c r="OUV16" s="310" t="s">
        <v>201</v>
      </c>
      <c r="OUW16" s="310" t="s">
        <v>201</v>
      </c>
      <c r="OUX16" s="310" t="s">
        <v>201</v>
      </c>
      <c r="OUY16" s="310" t="s">
        <v>201</v>
      </c>
      <c r="OUZ16" s="310" t="s">
        <v>201</v>
      </c>
      <c r="OVA16" s="310" t="s">
        <v>201</v>
      </c>
      <c r="OVB16" s="310" t="s">
        <v>201</v>
      </c>
      <c r="OVC16" s="310" t="s">
        <v>201</v>
      </c>
      <c r="OVD16" s="310" t="s">
        <v>201</v>
      </c>
      <c r="OVE16" s="310" t="s">
        <v>201</v>
      </c>
      <c r="OVF16" s="310" t="s">
        <v>201</v>
      </c>
      <c r="OVG16" s="310" t="s">
        <v>201</v>
      </c>
      <c r="OVH16" s="310" t="s">
        <v>201</v>
      </c>
      <c r="OVI16" s="310" t="s">
        <v>201</v>
      </c>
      <c r="OVJ16" s="310" t="s">
        <v>201</v>
      </c>
      <c r="OVK16" s="310" t="s">
        <v>201</v>
      </c>
      <c r="OVL16" s="310" t="s">
        <v>201</v>
      </c>
      <c r="OVM16" s="310" t="s">
        <v>201</v>
      </c>
      <c r="OVN16" s="310" t="s">
        <v>201</v>
      </c>
      <c r="OVO16" s="310" t="s">
        <v>201</v>
      </c>
      <c r="OVP16" s="310" t="s">
        <v>201</v>
      </c>
      <c r="OVQ16" s="310" t="s">
        <v>201</v>
      </c>
      <c r="OVR16" s="310" t="s">
        <v>201</v>
      </c>
      <c r="OVS16" s="310" t="s">
        <v>201</v>
      </c>
      <c r="OVT16" s="310" t="s">
        <v>201</v>
      </c>
      <c r="OVU16" s="310" t="s">
        <v>201</v>
      </c>
      <c r="OVV16" s="310" t="s">
        <v>201</v>
      </c>
      <c r="OVW16" s="310" t="s">
        <v>201</v>
      </c>
      <c r="OVX16" s="310" t="s">
        <v>201</v>
      </c>
      <c r="OVY16" s="310" t="s">
        <v>201</v>
      </c>
      <c r="OVZ16" s="310" t="s">
        <v>201</v>
      </c>
      <c r="OWA16" s="310" t="s">
        <v>201</v>
      </c>
      <c r="OWB16" s="310" t="s">
        <v>201</v>
      </c>
      <c r="OWC16" s="310" t="s">
        <v>201</v>
      </c>
      <c r="OWD16" s="310" t="s">
        <v>201</v>
      </c>
      <c r="OWE16" s="310" t="s">
        <v>201</v>
      </c>
      <c r="OWF16" s="310" t="s">
        <v>201</v>
      </c>
      <c r="OWG16" s="310" t="s">
        <v>201</v>
      </c>
      <c r="OWH16" s="310" t="s">
        <v>201</v>
      </c>
      <c r="OWI16" s="310" t="s">
        <v>201</v>
      </c>
      <c r="OWJ16" s="310" t="s">
        <v>201</v>
      </c>
      <c r="OWK16" s="310" t="s">
        <v>201</v>
      </c>
      <c r="OWL16" s="310" t="s">
        <v>201</v>
      </c>
      <c r="OWM16" s="310" t="s">
        <v>201</v>
      </c>
      <c r="OWN16" s="310" t="s">
        <v>201</v>
      </c>
      <c r="OWO16" s="310" t="s">
        <v>201</v>
      </c>
      <c r="OWP16" s="310" t="s">
        <v>201</v>
      </c>
      <c r="OWQ16" s="310" t="s">
        <v>201</v>
      </c>
      <c r="OWR16" s="310" t="s">
        <v>201</v>
      </c>
      <c r="OWS16" s="310" t="s">
        <v>201</v>
      </c>
      <c r="OWT16" s="310" t="s">
        <v>201</v>
      </c>
      <c r="OWU16" s="310" t="s">
        <v>201</v>
      </c>
      <c r="OWV16" s="310" t="s">
        <v>201</v>
      </c>
      <c r="OWW16" s="310" t="s">
        <v>201</v>
      </c>
      <c r="OWX16" s="310" t="s">
        <v>201</v>
      </c>
      <c r="OWY16" s="310" t="s">
        <v>201</v>
      </c>
      <c r="OWZ16" s="310" t="s">
        <v>201</v>
      </c>
      <c r="OXA16" s="310" t="s">
        <v>201</v>
      </c>
      <c r="OXB16" s="310" t="s">
        <v>201</v>
      </c>
      <c r="OXC16" s="310" t="s">
        <v>201</v>
      </c>
      <c r="OXD16" s="310" t="s">
        <v>201</v>
      </c>
      <c r="OXE16" s="310" t="s">
        <v>201</v>
      </c>
      <c r="OXF16" s="310" t="s">
        <v>201</v>
      </c>
      <c r="OXG16" s="310" t="s">
        <v>201</v>
      </c>
      <c r="OXH16" s="310" t="s">
        <v>201</v>
      </c>
      <c r="OXI16" s="310" t="s">
        <v>201</v>
      </c>
      <c r="OXJ16" s="310" t="s">
        <v>201</v>
      </c>
      <c r="OXK16" s="310" t="s">
        <v>201</v>
      </c>
      <c r="OXL16" s="310" t="s">
        <v>201</v>
      </c>
      <c r="OXM16" s="310" t="s">
        <v>201</v>
      </c>
      <c r="OXN16" s="310" t="s">
        <v>201</v>
      </c>
      <c r="OXO16" s="310" t="s">
        <v>201</v>
      </c>
      <c r="OXP16" s="310" t="s">
        <v>201</v>
      </c>
      <c r="OXQ16" s="310" t="s">
        <v>201</v>
      </c>
      <c r="OXR16" s="310" t="s">
        <v>201</v>
      </c>
      <c r="OXS16" s="310" t="s">
        <v>201</v>
      </c>
      <c r="OXT16" s="310" t="s">
        <v>201</v>
      </c>
      <c r="OXU16" s="310" t="s">
        <v>201</v>
      </c>
      <c r="OXV16" s="310" t="s">
        <v>201</v>
      </c>
      <c r="OXW16" s="310" t="s">
        <v>201</v>
      </c>
      <c r="OXX16" s="310" t="s">
        <v>201</v>
      </c>
      <c r="OXY16" s="310" t="s">
        <v>201</v>
      </c>
      <c r="OXZ16" s="310" t="s">
        <v>201</v>
      </c>
      <c r="OYA16" s="310" t="s">
        <v>201</v>
      </c>
      <c r="OYB16" s="310" t="s">
        <v>201</v>
      </c>
      <c r="OYC16" s="310" t="s">
        <v>201</v>
      </c>
      <c r="OYD16" s="310" t="s">
        <v>201</v>
      </c>
      <c r="OYE16" s="310" t="s">
        <v>201</v>
      </c>
      <c r="OYF16" s="310" t="s">
        <v>201</v>
      </c>
      <c r="OYG16" s="310" t="s">
        <v>201</v>
      </c>
      <c r="OYH16" s="310" t="s">
        <v>201</v>
      </c>
      <c r="OYI16" s="310" t="s">
        <v>201</v>
      </c>
      <c r="OYJ16" s="310" t="s">
        <v>201</v>
      </c>
      <c r="OYK16" s="310" t="s">
        <v>201</v>
      </c>
      <c r="OYL16" s="310" t="s">
        <v>201</v>
      </c>
      <c r="OYM16" s="310" t="s">
        <v>201</v>
      </c>
      <c r="OYN16" s="310" t="s">
        <v>201</v>
      </c>
      <c r="OYO16" s="310" t="s">
        <v>201</v>
      </c>
      <c r="OYP16" s="310" t="s">
        <v>201</v>
      </c>
      <c r="OYQ16" s="310" t="s">
        <v>201</v>
      </c>
      <c r="OYR16" s="310" t="s">
        <v>201</v>
      </c>
      <c r="OYS16" s="310" t="s">
        <v>201</v>
      </c>
      <c r="OYT16" s="310" t="s">
        <v>201</v>
      </c>
      <c r="OYU16" s="310" t="s">
        <v>201</v>
      </c>
      <c r="OYV16" s="310" t="s">
        <v>201</v>
      </c>
      <c r="OYW16" s="310" t="s">
        <v>201</v>
      </c>
      <c r="OYX16" s="310" t="s">
        <v>201</v>
      </c>
      <c r="OYY16" s="310" t="s">
        <v>201</v>
      </c>
      <c r="OYZ16" s="310" t="s">
        <v>201</v>
      </c>
      <c r="OZA16" s="310" t="s">
        <v>201</v>
      </c>
      <c r="OZB16" s="310" t="s">
        <v>201</v>
      </c>
      <c r="OZC16" s="310" t="s">
        <v>201</v>
      </c>
      <c r="OZD16" s="310" t="s">
        <v>201</v>
      </c>
      <c r="OZE16" s="310" t="s">
        <v>201</v>
      </c>
      <c r="OZF16" s="310" t="s">
        <v>201</v>
      </c>
      <c r="OZG16" s="310" t="s">
        <v>201</v>
      </c>
      <c r="OZH16" s="310" t="s">
        <v>201</v>
      </c>
      <c r="OZI16" s="310" t="s">
        <v>201</v>
      </c>
      <c r="OZJ16" s="310" t="s">
        <v>201</v>
      </c>
      <c r="OZK16" s="310" t="s">
        <v>201</v>
      </c>
      <c r="OZL16" s="310" t="s">
        <v>201</v>
      </c>
      <c r="OZM16" s="310" t="s">
        <v>201</v>
      </c>
      <c r="OZN16" s="310" t="s">
        <v>201</v>
      </c>
      <c r="OZO16" s="310" t="s">
        <v>201</v>
      </c>
      <c r="OZP16" s="310" t="s">
        <v>201</v>
      </c>
      <c r="OZQ16" s="310" t="s">
        <v>201</v>
      </c>
      <c r="OZR16" s="310" t="s">
        <v>201</v>
      </c>
      <c r="OZS16" s="310" t="s">
        <v>201</v>
      </c>
      <c r="OZT16" s="310" t="s">
        <v>201</v>
      </c>
      <c r="OZU16" s="310" t="s">
        <v>201</v>
      </c>
      <c r="OZV16" s="310" t="s">
        <v>201</v>
      </c>
      <c r="OZW16" s="310" t="s">
        <v>201</v>
      </c>
      <c r="OZX16" s="310" t="s">
        <v>201</v>
      </c>
      <c r="OZY16" s="310" t="s">
        <v>201</v>
      </c>
      <c r="OZZ16" s="310" t="s">
        <v>201</v>
      </c>
      <c r="PAA16" s="310" t="s">
        <v>201</v>
      </c>
      <c r="PAB16" s="310" t="s">
        <v>201</v>
      </c>
      <c r="PAC16" s="310" t="s">
        <v>201</v>
      </c>
      <c r="PAD16" s="310" t="s">
        <v>201</v>
      </c>
      <c r="PAE16" s="310" t="s">
        <v>201</v>
      </c>
      <c r="PAF16" s="310" t="s">
        <v>201</v>
      </c>
      <c r="PAG16" s="310" t="s">
        <v>201</v>
      </c>
      <c r="PAH16" s="310" t="s">
        <v>201</v>
      </c>
      <c r="PAI16" s="310" t="s">
        <v>201</v>
      </c>
      <c r="PAJ16" s="310" t="s">
        <v>201</v>
      </c>
      <c r="PAK16" s="310" t="s">
        <v>201</v>
      </c>
      <c r="PAL16" s="310" t="s">
        <v>201</v>
      </c>
      <c r="PAM16" s="310" t="s">
        <v>201</v>
      </c>
      <c r="PAN16" s="310" t="s">
        <v>201</v>
      </c>
      <c r="PAO16" s="310" t="s">
        <v>201</v>
      </c>
      <c r="PAP16" s="310" t="s">
        <v>201</v>
      </c>
      <c r="PAQ16" s="310" t="s">
        <v>201</v>
      </c>
      <c r="PAR16" s="310" t="s">
        <v>201</v>
      </c>
      <c r="PAS16" s="310" t="s">
        <v>201</v>
      </c>
      <c r="PAT16" s="310" t="s">
        <v>201</v>
      </c>
      <c r="PAU16" s="310" t="s">
        <v>201</v>
      </c>
      <c r="PAV16" s="310" t="s">
        <v>201</v>
      </c>
      <c r="PAW16" s="310" t="s">
        <v>201</v>
      </c>
      <c r="PAX16" s="310" t="s">
        <v>201</v>
      </c>
      <c r="PAY16" s="310" t="s">
        <v>201</v>
      </c>
      <c r="PAZ16" s="310" t="s">
        <v>201</v>
      </c>
      <c r="PBA16" s="310" t="s">
        <v>201</v>
      </c>
      <c r="PBB16" s="310" t="s">
        <v>201</v>
      </c>
      <c r="PBC16" s="310" t="s">
        <v>201</v>
      </c>
      <c r="PBD16" s="310" t="s">
        <v>201</v>
      </c>
      <c r="PBE16" s="310" t="s">
        <v>201</v>
      </c>
      <c r="PBF16" s="310" t="s">
        <v>201</v>
      </c>
      <c r="PBG16" s="310" t="s">
        <v>201</v>
      </c>
      <c r="PBH16" s="310" t="s">
        <v>201</v>
      </c>
      <c r="PBI16" s="310" t="s">
        <v>201</v>
      </c>
      <c r="PBJ16" s="310" t="s">
        <v>201</v>
      </c>
      <c r="PBK16" s="310" t="s">
        <v>201</v>
      </c>
      <c r="PBL16" s="310" t="s">
        <v>201</v>
      </c>
      <c r="PBM16" s="310" t="s">
        <v>201</v>
      </c>
      <c r="PBN16" s="310" t="s">
        <v>201</v>
      </c>
      <c r="PBO16" s="310" t="s">
        <v>201</v>
      </c>
      <c r="PBP16" s="310" t="s">
        <v>201</v>
      </c>
      <c r="PBQ16" s="310" t="s">
        <v>201</v>
      </c>
      <c r="PBR16" s="310" t="s">
        <v>201</v>
      </c>
      <c r="PBS16" s="310" t="s">
        <v>201</v>
      </c>
      <c r="PBT16" s="310" t="s">
        <v>201</v>
      </c>
      <c r="PBU16" s="310" t="s">
        <v>201</v>
      </c>
      <c r="PBV16" s="310" t="s">
        <v>201</v>
      </c>
      <c r="PBW16" s="310" t="s">
        <v>201</v>
      </c>
      <c r="PBX16" s="310" t="s">
        <v>201</v>
      </c>
      <c r="PBY16" s="310" t="s">
        <v>201</v>
      </c>
      <c r="PBZ16" s="310" t="s">
        <v>201</v>
      </c>
      <c r="PCA16" s="310" t="s">
        <v>201</v>
      </c>
      <c r="PCB16" s="310" t="s">
        <v>201</v>
      </c>
      <c r="PCC16" s="310" t="s">
        <v>201</v>
      </c>
      <c r="PCD16" s="310" t="s">
        <v>201</v>
      </c>
      <c r="PCE16" s="310" t="s">
        <v>201</v>
      </c>
      <c r="PCF16" s="310" t="s">
        <v>201</v>
      </c>
      <c r="PCG16" s="310" t="s">
        <v>201</v>
      </c>
      <c r="PCH16" s="310" t="s">
        <v>201</v>
      </c>
      <c r="PCI16" s="310" t="s">
        <v>201</v>
      </c>
      <c r="PCJ16" s="310" t="s">
        <v>201</v>
      </c>
      <c r="PCK16" s="310" t="s">
        <v>201</v>
      </c>
      <c r="PCL16" s="310" t="s">
        <v>201</v>
      </c>
      <c r="PCM16" s="310" t="s">
        <v>201</v>
      </c>
      <c r="PCN16" s="310" t="s">
        <v>201</v>
      </c>
      <c r="PCO16" s="310" t="s">
        <v>201</v>
      </c>
      <c r="PCP16" s="310" t="s">
        <v>201</v>
      </c>
      <c r="PCQ16" s="310" t="s">
        <v>201</v>
      </c>
      <c r="PCR16" s="310" t="s">
        <v>201</v>
      </c>
      <c r="PCS16" s="310" t="s">
        <v>201</v>
      </c>
      <c r="PCT16" s="310" t="s">
        <v>201</v>
      </c>
      <c r="PCU16" s="310" t="s">
        <v>201</v>
      </c>
      <c r="PCV16" s="310" t="s">
        <v>201</v>
      </c>
      <c r="PCW16" s="310" t="s">
        <v>201</v>
      </c>
      <c r="PCX16" s="310" t="s">
        <v>201</v>
      </c>
      <c r="PCY16" s="310" t="s">
        <v>201</v>
      </c>
      <c r="PCZ16" s="310" t="s">
        <v>201</v>
      </c>
      <c r="PDA16" s="310" t="s">
        <v>201</v>
      </c>
      <c r="PDB16" s="310" t="s">
        <v>201</v>
      </c>
      <c r="PDC16" s="310" t="s">
        <v>201</v>
      </c>
      <c r="PDD16" s="310" t="s">
        <v>201</v>
      </c>
      <c r="PDE16" s="310" t="s">
        <v>201</v>
      </c>
      <c r="PDF16" s="310" t="s">
        <v>201</v>
      </c>
      <c r="PDG16" s="310" t="s">
        <v>201</v>
      </c>
      <c r="PDH16" s="310" t="s">
        <v>201</v>
      </c>
      <c r="PDI16" s="310" t="s">
        <v>201</v>
      </c>
      <c r="PDJ16" s="310" t="s">
        <v>201</v>
      </c>
      <c r="PDK16" s="310" t="s">
        <v>201</v>
      </c>
      <c r="PDL16" s="310" t="s">
        <v>201</v>
      </c>
      <c r="PDM16" s="310" t="s">
        <v>201</v>
      </c>
      <c r="PDN16" s="310" t="s">
        <v>201</v>
      </c>
      <c r="PDO16" s="310" t="s">
        <v>201</v>
      </c>
      <c r="PDP16" s="310" t="s">
        <v>201</v>
      </c>
      <c r="PDQ16" s="310" t="s">
        <v>201</v>
      </c>
      <c r="PDR16" s="310" t="s">
        <v>201</v>
      </c>
      <c r="PDS16" s="310" t="s">
        <v>201</v>
      </c>
      <c r="PDT16" s="310" t="s">
        <v>201</v>
      </c>
      <c r="PDU16" s="310" t="s">
        <v>201</v>
      </c>
      <c r="PDV16" s="310" t="s">
        <v>201</v>
      </c>
      <c r="PDW16" s="310" t="s">
        <v>201</v>
      </c>
      <c r="PDX16" s="310" t="s">
        <v>201</v>
      </c>
      <c r="PDY16" s="310" t="s">
        <v>201</v>
      </c>
      <c r="PDZ16" s="310" t="s">
        <v>201</v>
      </c>
      <c r="PEA16" s="310" t="s">
        <v>201</v>
      </c>
      <c r="PEB16" s="310" t="s">
        <v>201</v>
      </c>
      <c r="PEC16" s="310" t="s">
        <v>201</v>
      </c>
      <c r="PED16" s="310" t="s">
        <v>201</v>
      </c>
      <c r="PEE16" s="310" t="s">
        <v>201</v>
      </c>
      <c r="PEF16" s="310" t="s">
        <v>201</v>
      </c>
      <c r="PEG16" s="310" t="s">
        <v>201</v>
      </c>
      <c r="PEH16" s="310" t="s">
        <v>201</v>
      </c>
      <c r="PEI16" s="310" t="s">
        <v>201</v>
      </c>
      <c r="PEJ16" s="310" t="s">
        <v>201</v>
      </c>
      <c r="PEK16" s="310" t="s">
        <v>201</v>
      </c>
      <c r="PEL16" s="310" t="s">
        <v>201</v>
      </c>
      <c r="PEM16" s="310" t="s">
        <v>201</v>
      </c>
      <c r="PEN16" s="310" t="s">
        <v>201</v>
      </c>
      <c r="PEO16" s="310" t="s">
        <v>201</v>
      </c>
      <c r="PEP16" s="310" t="s">
        <v>201</v>
      </c>
      <c r="PEQ16" s="310" t="s">
        <v>201</v>
      </c>
      <c r="PER16" s="310" t="s">
        <v>201</v>
      </c>
      <c r="PES16" s="310" t="s">
        <v>201</v>
      </c>
      <c r="PET16" s="310" t="s">
        <v>201</v>
      </c>
      <c r="PEU16" s="310" t="s">
        <v>201</v>
      </c>
      <c r="PEV16" s="310" t="s">
        <v>201</v>
      </c>
      <c r="PEW16" s="310" t="s">
        <v>201</v>
      </c>
      <c r="PEX16" s="310" t="s">
        <v>201</v>
      </c>
      <c r="PEY16" s="310" t="s">
        <v>201</v>
      </c>
      <c r="PEZ16" s="310" t="s">
        <v>201</v>
      </c>
      <c r="PFA16" s="310" t="s">
        <v>201</v>
      </c>
      <c r="PFB16" s="310" t="s">
        <v>201</v>
      </c>
      <c r="PFC16" s="310" t="s">
        <v>201</v>
      </c>
      <c r="PFD16" s="310" t="s">
        <v>201</v>
      </c>
      <c r="PFE16" s="310" t="s">
        <v>201</v>
      </c>
      <c r="PFF16" s="310" t="s">
        <v>201</v>
      </c>
      <c r="PFG16" s="310" t="s">
        <v>201</v>
      </c>
      <c r="PFH16" s="310" t="s">
        <v>201</v>
      </c>
      <c r="PFI16" s="310" t="s">
        <v>201</v>
      </c>
      <c r="PFJ16" s="310" t="s">
        <v>201</v>
      </c>
      <c r="PFK16" s="310" t="s">
        <v>201</v>
      </c>
      <c r="PFL16" s="310" t="s">
        <v>201</v>
      </c>
      <c r="PFM16" s="310" t="s">
        <v>201</v>
      </c>
      <c r="PFN16" s="310" t="s">
        <v>201</v>
      </c>
      <c r="PFO16" s="310" t="s">
        <v>201</v>
      </c>
      <c r="PFP16" s="310" t="s">
        <v>201</v>
      </c>
      <c r="PFQ16" s="310" t="s">
        <v>201</v>
      </c>
      <c r="PFR16" s="310" t="s">
        <v>201</v>
      </c>
      <c r="PFS16" s="310" t="s">
        <v>201</v>
      </c>
      <c r="PFT16" s="310" t="s">
        <v>201</v>
      </c>
      <c r="PFU16" s="310" t="s">
        <v>201</v>
      </c>
      <c r="PFV16" s="310" t="s">
        <v>201</v>
      </c>
      <c r="PFW16" s="310" t="s">
        <v>201</v>
      </c>
      <c r="PFX16" s="310" t="s">
        <v>201</v>
      </c>
      <c r="PFY16" s="310" t="s">
        <v>201</v>
      </c>
      <c r="PFZ16" s="310" t="s">
        <v>201</v>
      </c>
      <c r="PGA16" s="310" t="s">
        <v>201</v>
      </c>
      <c r="PGB16" s="310" t="s">
        <v>201</v>
      </c>
      <c r="PGC16" s="310" t="s">
        <v>201</v>
      </c>
      <c r="PGD16" s="310" t="s">
        <v>201</v>
      </c>
      <c r="PGE16" s="310" t="s">
        <v>201</v>
      </c>
      <c r="PGF16" s="310" t="s">
        <v>201</v>
      </c>
      <c r="PGG16" s="310" t="s">
        <v>201</v>
      </c>
      <c r="PGH16" s="310" t="s">
        <v>201</v>
      </c>
      <c r="PGI16" s="310" t="s">
        <v>201</v>
      </c>
      <c r="PGJ16" s="310" t="s">
        <v>201</v>
      </c>
      <c r="PGK16" s="310" t="s">
        <v>201</v>
      </c>
      <c r="PGL16" s="310" t="s">
        <v>201</v>
      </c>
      <c r="PGM16" s="310" t="s">
        <v>201</v>
      </c>
      <c r="PGN16" s="310" t="s">
        <v>201</v>
      </c>
      <c r="PGO16" s="310" t="s">
        <v>201</v>
      </c>
      <c r="PGP16" s="310" t="s">
        <v>201</v>
      </c>
      <c r="PGQ16" s="310" t="s">
        <v>201</v>
      </c>
      <c r="PGR16" s="310" t="s">
        <v>201</v>
      </c>
      <c r="PGS16" s="310" t="s">
        <v>201</v>
      </c>
      <c r="PGT16" s="310" t="s">
        <v>201</v>
      </c>
      <c r="PGU16" s="310" t="s">
        <v>201</v>
      </c>
      <c r="PGV16" s="310" t="s">
        <v>201</v>
      </c>
      <c r="PGW16" s="310" t="s">
        <v>201</v>
      </c>
      <c r="PGX16" s="310" t="s">
        <v>201</v>
      </c>
      <c r="PGY16" s="310" t="s">
        <v>201</v>
      </c>
      <c r="PGZ16" s="310" t="s">
        <v>201</v>
      </c>
      <c r="PHA16" s="310" t="s">
        <v>201</v>
      </c>
      <c r="PHB16" s="310" t="s">
        <v>201</v>
      </c>
      <c r="PHC16" s="310" t="s">
        <v>201</v>
      </c>
      <c r="PHD16" s="310" t="s">
        <v>201</v>
      </c>
      <c r="PHE16" s="310" t="s">
        <v>201</v>
      </c>
      <c r="PHF16" s="310" t="s">
        <v>201</v>
      </c>
      <c r="PHG16" s="310" t="s">
        <v>201</v>
      </c>
      <c r="PHH16" s="310" t="s">
        <v>201</v>
      </c>
      <c r="PHI16" s="310" t="s">
        <v>201</v>
      </c>
      <c r="PHJ16" s="310" t="s">
        <v>201</v>
      </c>
      <c r="PHK16" s="310" t="s">
        <v>201</v>
      </c>
      <c r="PHL16" s="310" t="s">
        <v>201</v>
      </c>
      <c r="PHM16" s="310" t="s">
        <v>201</v>
      </c>
      <c r="PHN16" s="310" t="s">
        <v>201</v>
      </c>
      <c r="PHO16" s="310" t="s">
        <v>201</v>
      </c>
      <c r="PHP16" s="310" t="s">
        <v>201</v>
      </c>
      <c r="PHQ16" s="310" t="s">
        <v>201</v>
      </c>
      <c r="PHR16" s="310" t="s">
        <v>201</v>
      </c>
      <c r="PHS16" s="310" t="s">
        <v>201</v>
      </c>
      <c r="PHT16" s="310" t="s">
        <v>201</v>
      </c>
      <c r="PHU16" s="310" t="s">
        <v>201</v>
      </c>
      <c r="PHV16" s="310" t="s">
        <v>201</v>
      </c>
      <c r="PHW16" s="310" t="s">
        <v>201</v>
      </c>
      <c r="PHX16" s="310" t="s">
        <v>201</v>
      </c>
      <c r="PHY16" s="310" t="s">
        <v>201</v>
      </c>
      <c r="PHZ16" s="310" t="s">
        <v>201</v>
      </c>
      <c r="PIA16" s="310" t="s">
        <v>201</v>
      </c>
      <c r="PIB16" s="310" t="s">
        <v>201</v>
      </c>
      <c r="PIC16" s="310" t="s">
        <v>201</v>
      </c>
      <c r="PID16" s="310" t="s">
        <v>201</v>
      </c>
      <c r="PIE16" s="310" t="s">
        <v>201</v>
      </c>
      <c r="PIF16" s="310" t="s">
        <v>201</v>
      </c>
      <c r="PIG16" s="310" t="s">
        <v>201</v>
      </c>
      <c r="PIH16" s="310" t="s">
        <v>201</v>
      </c>
      <c r="PII16" s="310" t="s">
        <v>201</v>
      </c>
      <c r="PIJ16" s="310" t="s">
        <v>201</v>
      </c>
      <c r="PIK16" s="310" t="s">
        <v>201</v>
      </c>
      <c r="PIL16" s="310" t="s">
        <v>201</v>
      </c>
      <c r="PIM16" s="310" t="s">
        <v>201</v>
      </c>
      <c r="PIN16" s="310" t="s">
        <v>201</v>
      </c>
      <c r="PIO16" s="310" t="s">
        <v>201</v>
      </c>
      <c r="PIP16" s="310" t="s">
        <v>201</v>
      </c>
      <c r="PIQ16" s="310" t="s">
        <v>201</v>
      </c>
      <c r="PIR16" s="310" t="s">
        <v>201</v>
      </c>
      <c r="PIS16" s="310" t="s">
        <v>201</v>
      </c>
      <c r="PIT16" s="310" t="s">
        <v>201</v>
      </c>
      <c r="PIU16" s="310" t="s">
        <v>201</v>
      </c>
      <c r="PIV16" s="310" t="s">
        <v>201</v>
      </c>
      <c r="PIW16" s="310" t="s">
        <v>201</v>
      </c>
      <c r="PIX16" s="310" t="s">
        <v>201</v>
      </c>
      <c r="PIY16" s="310" t="s">
        <v>201</v>
      </c>
      <c r="PIZ16" s="310" t="s">
        <v>201</v>
      </c>
      <c r="PJA16" s="310" t="s">
        <v>201</v>
      </c>
      <c r="PJB16" s="310" t="s">
        <v>201</v>
      </c>
      <c r="PJC16" s="310" t="s">
        <v>201</v>
      </c>
      <c r="PJD16" s="310" t="s">
        <v>201</v>
      </c>
      <c r="PJE16" s="310" t="s">
        <v>201</v>
      </c>
      <c r="PJF16" s="310" t="s">
        <v>201</v>
      </c>
      <c r="PJG16" s="310" t="s">
        <v>201</v>
      </c>
      <c r="PJH16" s="310" t="s">
        <v>201</v>
      </c>
      <c r="PJI16" s="310" t="s">
        <v>201</v>
      </c>
      <c r="PJJ16" s="310" t="s">
        <v>201</v>
      </c>
      <c r="PJK16" s="310" t="s">
        <v>201</v>
      </c>
      <c r="PJL16" s="310" t="s">
        <v>201</v>
      </c>
      <c r="PJM16" s="310" t="s">
        <v>201</v>
      </c>
      <c r="PJN16" s="310" t="s">
        <v>201</v>
      </c>
      <c r="PJO16" s="310" t="s">
        <v>201</v>
      </c>
      <c r="PJP16" s="310" t="s">
        <v>201</v>
      </c>
      <c r="PJQ16" s="310" t="s">
        <v>201</v>
      </c>
      <c r="PJR16" s="310" t="s">
        <v>201</v>
      </c>
      <c r="PJS16" s="310" t="s">
        <v>201</v>
      </c>
      <c r="PJT16" s="310" t="s">
        <v>201</v>
      </c>
      <c r="PJU16" s="310" t="s">
        <v>201</v>
      </c>
      <c r="PJV16" s="310" t="s">
        <v>201</v>
      </c>
      <c r="PJW16" s="310" t="s">
        <v>201</v>
      </c>
      <c r="PJX16" s="310" t="s">
        <v>201</v>
      </c>
      <c r="PJY16" s="310" t="s">
        <v>201</v>
      </c>
      <c r="PJZ16" s="310" t="s">
        <v>201</v>
      </c>
      <c r="PKA16" s="310" t="s">
        <v>201</v>
      </c>
      <c r="PKB16" s="310" t="s">
        <v>201</v>
      </c>
      <c r="PKC16" s="310" t="s">
        <v>201</v>
      </c>
      <c r="PKD16" s="310" t="s">
        <v>201</v>
      </c>
      <c r="PKE16" s="310" t="s">
        <v>201</v>
      </c>
      <c r="PKF16" s="310" t="s">
        <v>201</v>
      </c>
      <c r="PKG16" s="310" t="s">
        <v>201</v>
      </c>
      <c r="PKH16" s="310" t="s">
        <v>201</v>
      </c>
      <c r="PKI16" s="310" t="s">
        <v>201</v>
      </c>
      <c r="PKJ16" s="310" t="s">
        <v>201</v>
      </c>
      <c r="PKK16" s="310" t="s">
        <v>201</v>
      </c>
      <c r="PKL16" s="310" t="s">
        <v>201</v>
      </c>
      <c r="PKM16" s="310" t="s">
        <v>201</v>
      </c>
      <c r="PKN16" s="310" t="s">
        <v>201</v>
      </c>
      <c r="PKO16" s="310" t="s">
        <v>201</v>
      </c>
      <c r="PKP16" s="310" t="s">
        <v>201</v>
      </c>
      <c r="PKQ16" s="310" t="s">
        <v>201</v>
      </c>
      <c r="PKR16" s="310" t="s">
        <v>201</v>
      </c>
      <c r="PKS16" s="310" t="s">
        <v>201</v>
      </c>
      <c r="PKT16" s="310" t="s">
        <v>201</v>
      </c>
      <c r="PKU16" s="310" t="s">
        <v>201</v>
      </c>
      <c r="PKV16" s="310" t="s">
        <v>201</v>
      </c>
      <c r="PKW16" s="310" t="s">
        <v>201</v>
      </c>
      <c r="PKX16" s="310" t="s">
        <v>201</v>
      </c>
      <c r="PKY16" s="310" t="s">
        <v>201</v>
      </c>
      <c r="PKZ16" s="310" t="s">
        <v>201</v>
      </c>
      <c r="PLA16" s="310" t="s">
        <v>201</v>
      </c>
      <c r="PLB16" s="310" t="s">
        <v>201</v>
      </c>
      <c r="PLC16" s="310" t="s">
        <v>201</v>
      </c>
      <c r="PLD16" s="310" t="s">
        <v>201</v>
      </c>
      <c r="PLE16" s="310" t="s">
        <v>201</v>
      </c>
      <c r="PLF16" s="310" t="s">
        <v>201</v>
      </c>
      <c r="PLG16" s="310" t="s">
        <v>201</v>
      </c>
      <c r="PLH16" s="310" t="s">
        <v>201</v>
      </c>
      <c r="PLI16" s="310" t="s">
        <v>201</v>
      </c>
      <c r="PLJ16" s="310" t="s">
        <v>201</v>
      </c>
      <c r="PLK16" s="310" t="s">
        <v>201</v>
      </c>
      <c r="PLL16" s="310" t="s">
        <v>201</v>
      </c>
      <c r="PLM16" s="310" t="s">
        <v>201</v>
      </c>
      <c r="PLN16" s="310" t="s">
        <v>201</v>
      </c>
      <c r="PLO16" s="310" t="s">
        <v>201</v>
      </c>
      <c r="PLP16" s="310" t="s">
        <v>201</v>
      </c>
      <c r="PLQ16" s="310" t="s">
        <v>201</v>
      </c>
      <c r="PLR16" s="310" t="s">
        <v>201</v>
      </c>
      <c r="PLS16" s="310" t="s">
        <v>201</v>
      </c>
      <c r="PLT16" s="310" t="s">
        <v>201</v>
      </c>
      <c r="PLU16" s="310" t="s">
        <v>201</v>
      </c>
      <c r="PLV16" s="310" t="s">
        <v>201</v>
      </c>
      <c r="PLW16" s="310" t="s">
        <v>201</v>
      </c>
      <c r="PLX16" s="310" t="s">
        <v>201</v>
      </c>
      <c r="PLY16" s="310" t="s">
        <v>201</v>
      </c>
      <c r="PLZ16" s="310" t="s">
        <v>201</v>
      </c>
      <c r="PMA16" s="310" t="s">
        <v>201</v>
      </c>
      <c r="PMB16" s="310" t="s">
        <v>201</v>
      </c>
      <c r="PMC16" s="310" t="s">
        <v>201</v>
      </c>
      <c r="PMD16" s="310" t="s">
        <v>201</v>
      </c>
      <c r="PME16" s="310" t="s">
        <v>201</v>
      </c>
      <c r="PMF16" s="310" t="s">
        <v>201</v>
      </c>
      <c r="PMG16" s="310" t="s">
        <v>201</v>
      </c>
      <c r="PMH16" s="310" t="s">
        <v>201</v>
      </c>
      <c r="PMI16" s="310" t="s">
        <v>201</v>
      </c>
      <c r="PMJ16" s="310" t="s">
        <v>201</v>
      </c>
      <c r="PMK16" s="310" t="s">
        <v>201</v>
      </c>
      <c r="PML16" s="310" t="s">
        <v>201</v>
      </c>
      <c r="PMM16" s="310" t="s">
        <v>201</v>
      </c>
      <c r="PMN16" s="310" t="s">
        <v>201</v>
      </c>
      <c r="PMO16" s="310" t="s">
        <v>201</v>
      </c>
      <c r="PMP16" s="310" t="s">
        <v>201</v>
      </c>
      <c r="PMQ16" s="310" t="s">
        <v>201</v>
      </c>
      <c r="PMR16" s="310" t="s">
        <v>201</v>
      </c>
      <c r="PMS16" s="310" t="s">
        <v>201</v>
      </c>
      <c r="PMT16" s="310" t="s">
        <v>201</v>
      </c>
      <c r="PMU16" s="310" t="s">
        <v>201</v>
      </c>
      <c r="PMV16" s="310" t="s">
        <v>201</v>
      </c>
      <c r="PMW16" s="310" t="s">
        <v>201</v>
      </c>
      <c r="PMX16" s="310" t="s">
        <v>201</v>
      </c>
      <c r="PMY16" s="310" t="s">
        <v>201</v>
      </c>
      <c r="PMZ16" s="310" t="s">
        <v>201</v>
      </c>
      <c r="PNA16" s="310" t="s">
        <v>201</v>
      </c>
      <c r="PNB16" s="310" t="s">
        <v>201</v>
      </c>
      <c r="PNC16" s="310" t="s">
        <v>201</v>
      </c>
      <c r="PND16" s="310" t="s">
        <v>201</v>
      </c>
      <c r="PNE16" s="310" t="s">
        <v>201</v>
      </c>
      <c r="PNF16" s="310" t="s">
        <v>201</v>
      </c>
      <c r="PNG16" s="310" t="s">
        <v>201</v>
      </c>
      <c r="PNH16" s="310" t="s">
        <v>201</v>
      </c>
      <c r="PNI16" s="310" t="s">
        <v>201</v>
      </c>
      <c r="PNJ16" s="310" t="s">
        <v>201</v>
      </c>
      <c r="PNK16" s="310" t="s">
        <v>201</v>
      </c>
      <c r="PNL16" s="310" t="s">
        <v>201</v>
      </c>
      <c r="PNM16" s="310" t="s">
        <v>201</v>
      </c>
      <c r="PNN16" s="310" t="s">
        <v>201</v>
      </c>
      <c r="PNO16" s="310" t="s">
        <v>201</v>
      </c>
      <c r="PNP16" s="310" t="s">
        <v>201</v>
      </c>
      <c r="PNQ16" s="310" t="s">
        <v>201</v>
      </c>
      <c r="PNR16" s="310" t="s">
        <v>201</v>
      </c>
      <c r="PNS16" s="310" t="s">
        <v>201</v>
      </c>
      <c r="PNT16" s="310" t="s">
        <v>201</v>
      </c>
      <c r="PNU16" s="310" t="s">
        <v>201</v>
      </c>
      <c r="PNV16" s="310" t="s">
        <v>201</v>
      </c>
      <c r="PNW16" s="310" t="s">
        <v>201</v>
      </c>
      <c r="PNX16" s="310" t="s">
        <v>201</v>
      </c>
      <c r="PNY16" s="310" t="s">
        <v>201</v>
      </c>
      <c r="PNZ16" s="310" t="s">
        <v>201</v>
      </c>
      <c r="POA16" s="310" t="s">
        <v>201</v>
      </c>
      <c r="POB16" s="310" t="s">
        <v>201</v>
      </c>
      <c r="POC16" s="310" t="s">
        <v>201</v>
      </c>
      <c r="POD16" s="310" t="s">
        <v>201</v>
      </c>
      <c r="POE16" s="310" t="s">
        <v>201</v>
      </c>
      <c r="POF16" s="310" t="s">
        <v>201</v>
      </c>
      <c r="POG16" s="310" t="s">
        <v>201</v>
      </c>
      <c r="POH16" s="310" t="s">
        <v>201</v>
      </c>
      <c r="POI16" s="310" t="s">
        <v>201</v>
      </c>
      <c r="POJ16" s="310" t="s">
        <v>201</v>
      </c>
      <c r="POK16" s="310" t="s">
        <v>201</v>
      </c>
      <c r="POL16" s="310" t="s">
        <v>201</v>
      </c>
      <c r="POM16" s="310" t="s">
        <v>201</v>
      </c>
      <c r="PON16" s="310" t="s">
        <v>201</v>
      </c>
      <c r="POO16" s="310" t="s">
        <v>201</v>
      </c>
      <c r="POP16" s="310" t="s">
        <v>201</v>
      </c>
      <c r="POQ16" s="310" t="s">
        <v>201</v>
      </c>
      <c r="POR16" s="310" t="s">
        <v>201</v>
      </c>
      <c r="POS16" s="310" t="s">
        <v>201</v>
      </c>
      <c r="POT16" s="310" t="s">
        <v>201</v>
      </c>
      <c r="POU16" s="310" t="s">
        <v>201</v>
      </c>
      <c r="POV16" s="310" t="s">
        <v>201</v>
      </c>
      <c r="POW16" s="310" t="s">
        <v>201</v>
      </c>
      <c r="POX16" s="310" t="s">
        <v>201</v>
      </c>
      <c r="POY16" s="310" t="s">
        <v>201</v>
      </c>
      <c r="POZ16" s="310" t="s">
        <v>201</v>
      </c>
      <c r="PPA16" s="310" t="s">
        <v>201</v>
      </c>
      <c r="PPB16" s="310" t="s">
        <v>201</v>
      </c>
      <c r="PPC16" s="310" t="s">
        <v>201</v>
      </c>
      <c r="PPD16" s="310" t="s">
        <v>201</v>
      </c>
      <c r="PPE16" s="310" t="s">
        <v>201</v>
      </c>
      <c r="PPF16" s="310" t="s">
        <v>201</v>
      </c>
      <c r="PPG16" s="310" t="s">
        <v>201</v>
      </c>
      <c r="PPH16" s="310" t="s">
        <v>201</v>
      </c>
      <c r="PPI16" s="310" t="s">
        <v>201</v>
      </c>
      <c r="PPJ16" s="310" t="s">
        <v>201</v>
      </c>
      <c r="PPK16" s="310" t="s">
        <v>201</v>
      </c>
      <c r="PPL16" s="310" t="s">
        <v>201</v>
      </c>
      <c r="PPM16" s="310" t="s">
        <v>201</v>
      </c>
      <c r="PPN16" s="310" t="s">
        <v>201</v>
      </c>
      <c r="PPO16" s="310" t="s">
        <v>201</v>
      </c>
      <c r="PPP16" s="310" t="s">
        <v>201</v>
      </c>
      <c r="PPQ16" s="310" t="s">
        <v>201</v>
      </c>
      <c r="PPR16" s="310" t="s">
        <v>201</v>
      </c>
      <c r="PPS16" s="310" t="s">
        <v>201</v>
      </c>
      <c r="PPT16" s="310" t="s">
        <v>201</v>
      </c>
      <c r="PPU16" s="310" t="s">
        <v>201</v>
      </c>
      <c r="PPV16" s="310" t="s">
        <v>201</v>
      </c>
      <c r="PPW16" s="310" t="s">
        <v>201</v>
      </c>
      <c r="PPX16" s="310" t="s">
        <v>201</v>
      </c>
      <c r="PPY16" s="310" t="s">
        <v>201</v>
      </c>
      <c r="PPZ16" s="310" t="s">
        <v>201</v>
      </c>
      <c r="PQA16" s="310" t="s">
        <v>201</v>
      </c>
      <c r="PQB16" s="310" t="s">
        <v>201</v>
      </c>
      <c r="PQC16" s="310" t="s">
        <v>201</v>
      </c>
      <c r="PQD16" s="310" t="s">
        <v>201</v>
      </c>
      <c r="PQE16" s="310" t="s">
        <v>201</v>
      </c>
      <c r="PQF16" s="310" t="s">
        <v>201</v>
      </c>
      <c r="PQG16" s="310" t="s">
        <v>201</v>
      </c>
      <c r="PQH16" s="310" t="s">
        <v>201</v>
      </c>
      <c r="PQI16" s="310" t="s">
        <v>201</v>
      </c>
      <c r="PQJ16" s="310" t="s">
        <v>201</v>
      </c>
      <c r="PQK16" s="310" t="s">
        <v>201</v>
      </c>
      <c r="PQL16" s="310" t="s">
        <v>201</v>
      </c>
      <c r="PQM16" s="310" t="s">
        <v>201</v>
      </c>
      <c r="PQN16" s="310" t="s">
        <v>201</v>
      </c>
      <c r="PQO16" s="310" t="s">
        <v>201</v>
      </c>
      <c r="PQP16" s="310" t="s">
        <v>201</v>
      </c>
      <c r="PQQ16" s="310" t="s">
        <v>201</v>
      </c>
      <c r="PQR16" s="310" t="s">
        <v>201</v>
      </c>
      <c r="PQS16" s="310" t="s">
        <v>201</v>
      </c>
      <c r="PQT16" s="310" t="s">
        <v>201</v>
      </c>
      <c r="PQU16" s="310" t="s">
        <v>201</v>
      </c>
      <c r="PQV16" s="310" t="s">
        <v>201</v>
      </c>
      <c r="PQW16" s="310" t="s">
        <v>201</v>
      </c>
      <c r="PQX16" s="310" t="s">
        <v>201</v>
      </c>
      <c r="PQY16" s="310" t="s">
        <v>201</v>
      </c>
      <c r="PQZ16" s="310" t="s">
        <v>201</v>
      </c>
      <c r="PRA16" s="310" t="s">
        <v>201</v>
      </c>
      <c r="PRB16" s="310" t="s">
        <v>201</v>
      </c>
      <c r="PRC16" s="310" t="s">
        <v>201</v>
      </c>
      <c r="PRD16" s="310" t="s">
        <v>201</v>
      </c>
      <c r="PRE16" s="310" t="s">
        <v>201</v>
      </c>
      <c r="PRF16" s="310" t="s">
        <v>201</v>
      </c>
      <c r="PRG16" s="310" t="s">
        <v>201</v>
      </c>
      <c r="PRH16" s="310" t="s">
        <v>201</v>
      </c>
      <c r="PRI16" s="310" t="s">
        <v>201</v>
      </c>
      <c r="PRJ16" s="310" t="s">
        <v>201</v>
      </c>
      <c r="PRK16" s="310" t="s">
        <v>201</v>
      </c>
      <c r="PRL16" s="310" t="s">
        <v>201</v>
      </c>
      <c r="PRM16" s="310" t="s">
        <v>201</v>
      </c>
      <c r="PRN16" s="310" t="s">
        <v>201</v>
      </c>
      <c r="PRO16" s="310" t="s">
        <v>201</v>
      </c>
      <c r="PRP16" s="310" t="s">
        <v>201</v>
      </c>
      <c r="PRQ16" s="310" t="s">
        <v>201</v>
      </c>
      <c r="PRR16" s="310" t="s">
        <v>201</v>
      </c>
      <c r="PRS16" s="310" t="s">
        <v>201</v>
      </c>
      <c r="PRT16" s="310" t="s">
        <v>201</v>
      </c>
      <c r="PRU16" s="310" t="s">
        <v>201</v>
      </c>
      <c r="PRV16" s="310" t="s">
        <v>201</v>
      </c>
      <c r="PRW16" s="310" t="s">
        <v>201</v>
      </c>
      <c r="PRX16" s="310" t="s">
        <v>201</v>
      </c>
      <c r="PRY16" s="310" t="s">
        <v>201</v>
      </c>
      <c r="PRZ16" s="310" t="s">
        <v>201</v>
      </c>
      <c r="PSA16" s="310" t="s">
        <v>201</v>
      </c>
      <c r="PSB16" s="310" t="s">
        <v>201</v>
      </c>
      <c r="PSC16" s="310" t="s">
        <v>201</v>
      </c>
      <c r="PSD16" s="310" t="s">
        <v>201</v>
      </c>
      <c r="PSE16" s="310" t="s">
        <v>201</v>
      </c>
      <c r="PSF16" s="310" t="s">
        <v>201</v>
      </c>
      <c r="PSG16" s="310" t="s">
        <v>201</v>
      </c>
      <c r="PSH16" s="310" t="s">
        <v>201</v>
      </c>
      <c r="PSI16" s="310" t="s">
        <v>201</v>
      </c>
      <c r="PSJ16" s="310" t="s">
        <v>201</v>
      </c>
      <c r="PSK16" s="310" t="s">
        <v>201</v>
      </c>
      <c r="PSL16" s="310" t="s">
        <v>201</v>
      </c>
      <c r="PSM16" s="310" t="s">
        <v>201</v>
      </c>
      <c r="PSN16" s="310" t="s">
        <v>201</v>
      </c>
      <c r="PSO16" s="310" t="s">
        <v>201</v>
      </c>
      <c r="PSP16" s="310" t="s">
        <v>201</v>
      </c>
      <c r="PSQ16" s="310" t="s">
        <v>201</v>
      </c>
      <c r="PSR16" s="310" t="s">
        <v>201</v>
      </c>
      <c r="PSS16" s="310" t="s">
        <v>201</v>
      </c>
      <c r="PST16" s="310" t="s">
        <v>201</v>
      </c>
      <c r="PSU16" s="310" t="s">
        <v>201</v>
      </c>
      <c r="PSV16" s="310" t="s">
        <v>201</v>
      </c>
      <c r="PSW16" s="310" t="s">
        <v>201</v>
      </c>
      <c r="PSX16" s="310" t="s">
        <v>201</v>
      </c>
      <c r="PSY16" s="310" t="s">
        <v>201</v>
      </c>
      <c r="PSZ16" s="310" t="s">
        <v>201</v>
      </c>
      <c r="PTA16" s="310" t="s">
        <v>201</v>
      </c>
      <c r="PTB16" s="310" t="s">
        <v>201</v>
      </c>
      <c r="PTC16" s="310" t="s">
        <v>201</v>
      </c>
      <c r="PTD16" s="310" t="s">
        <v>201</v>
      </c>
      <c r="PTE16" s="310" t="s">
        <v>201</v>
      </c>
      <c r="PTF16" s="310" t="s">
        <v>201</v>
      </c>
      <c r="PTG16" s="310" t="s">
        <v>201</v>
      </c>
      <c r="PTH16" s="310" t="s">
        <v>201</v>
      </c>
      <c r="PTI16" s="310" t="s">
        <v>201</v>
      </c>
      <c r="PTJ16" s="310" t="s">
        <v>201</v>
      </c>
      <c r="PTK16" s="310" t="s">
        <v>201</v>
      </c>
      <c r="PTL16" s="310" t="s">
        <v>201</v>
      </c>
      <c r="PTM16" s="310" t="s">
        <v>201</v>
      </c>
      <c r="PTN16" s="310" t="s">
        <v>201</v>
      </c>
      <c r="PTO16" s="310" t="s">
        <v>201</v>
      </c>
      <c r="PTP16" s="310" t="s">
        <v>201</v>
      </c>
      <c r="PTQ16" s="310" t="s">
        <v>201</v>
      </c>
      <c r="PTR16" s="310" t="s">
        <v>201</v>
      </c>
      <c r="PTS16" s="310" t="s">
        <v>201</v>
      </c>
      <c r="PTT16" s="310" t="s">
        <v>201</v>
      </c>
      <c r="PTU16" s="310" t="s">
        <v>201</v>
      </c>
      <c r="PTV16" s="310" t="s">
        <v>201</v>
      </c>
      <c r="PTW16" s="310" t="s">
        <v>201</v>
      </c>
      <c r="PTX16" s="310" t="s">
        <v>201</v>
      </c>
      <c r="PTY16" s="310" t="s">
        <v>201</v>
      </c>
      <c r="PTZ16" s="310" t="s">
        <v>201</v>
      </c>
      <c r="PUA16" s="310" t="s">
        <v>201</v>
      </c>
      <c r="PUB16" s="310" t="s">
        <v>201</v>
      </c>
      <c r="PUC16" s="310" t="s">
        <v>201</v>
      </c>
      <c r="PUD16" s="310" t="s">
        <v>201</v>
      </c>
      <c r="PUE16" s="310" t="s">
        <v>201</v>
      </c>
      <c r="PUF16" s="310" t="s">
        <v>201</v>
      </c>
      <c r="PUG16" s="310" t="s">
        <v>201</v>
      </c>
      <c r="PUH16" s="310" t="s">
        <v>201</v>
      </c>
      <c r="PUI16" s="310" t="s">
        <v>201</v>
      </c>
      <c r="PUJ16" s="310" t="s">
        <v>201</v>
      </c>
      <c r="PUK16" s="310" t="s">
        <v>201</v>
      </c>
      <c r="PUL16" s="310" t="s">
        <v>201</v>
      </c>
      <c r="PUM16" s="310" t="s">
        <v>201</v>
      </c>
      <c r="PUN16" s="310" t="s">
        <v>201</v>
      </c>
      <c r="PUO16" s="310" t="s">
        <v>201</v>
      </c>
      <c r="PUP16" s="310" t="s">
        <v>201</v>
      </c>
      <c r="PUQ16" s="310" t="s">
        <v>201</v>
      </c>
      <c r="PUR16" s="310" t="s">
        <v>201</v>
      </c>
      <c r="PUS16" s="310" t="s">
        <v>201</v>
      </c>
      <c r="PUT16" s="310" t="s">
        <v>201</v>
      </c>
      <c r="PUU16" s="310" t="s">
        <v>201</v>
      </c>
      <c r="PUV16" s="310" t="s">
        <v>201</v>
      </c>
      <c r="PUW16" s="310" t="s">
        <v>201</v>
      </c>
      <c r="PUX16" s="310" t="s">
        <v>201</v>
      </c>
      <c r="PUY16" s="310" t="s">
        <v>201</v>
      </c>
      <c r="PUZ16" s="310" t="s">
        <v>201</v>
      </c>
      <c r="PVA16" s="310" t="s">
        <v>201</v>
      </c>
      <c r="PVB16" s="310" t="s">
        <v>201</v>
      </c>
      <c r="PVC16" s="310" t="s">
        <v>201</v>
      </c>
      <c r="PVD16" s="310" t="s">
        <v>201</v>
      </c>
      <c r="PVE16" s="310" t="s">
        <v>201</v>
      </c>
      <c r="PVF16" s="310" t="s">
        <v>201</v>
      </c>
      <c r="PVG16" s="310" t="s">
        <v>201</v>
      </c>
      <c r="PVH16" s="310" t="s">
        <v>201</v>
      </c>
      <c r="PVI16" s="310" t="s">
        <v>201</v>
      </c>
      <c r="PVJ16" s="310" t="s">
        <v>201</v>
      </c>
      <c r="PVK16" s="310" t="s">
        <v>201</v>
      </c>
      <c r="PVL16" s="310" t="s">
        <v>201</v>
      </c>
      <c r="PVM16" s="310" t="s">
        <v>201</v>
      </c>
      <c r="PVN16" s="310" t="s">
        <v>201</v>
      </c>
      <c r="PVO16" s="310" t="s">
        <v>201</v>
      </c>
      <c r="PVP16" s="310" t="s">
        <v>201</v>
      </c>
      <c r="PVQ16" s="310" t="s">
        <v>201</v>
      </c>
      <c r="PVR16" s="310" t="s">
        <v>201</v>
      </c>
      <c r="PVS16" s="310" t="s">
        <v>201</v>
      </c>
      <c r="PVT16" s="310" t="s">
        <v>201</v>
      </c>
      <c r="PVU16" s="310" t="s">
        <v>201</v>
      </c>
      <c r="PVV16" s="310" t="s">
        <v>201</v>
      </c>
      <c r="PVW16" s="310" t="s">
        <v>201</v>
      </c>
      <c r="PVX16" s="310" t="s">
        <v>201</v>
      </c>
      <c r="PVY16" s="310" t="s">
        <v>201</v>
      </c>
      <c r="PVZ16" s="310" t="s">
        <v>201</v>
      </c>
      <c r="PWA16" s="310" t="s">
        <v>201</v>
      </c>
      <c r="PWB16" s="310" t="s">
        <v>201</v>
      </c>
      <c r="PWC16" s="310" t="s">
        <v>201</v>
      </c>
      <c r="PWD16" s="310" t="s">
        <v>201</v>
      </c>
      <c r="PWE16" s="310" t="s">
        <v>201</v>
      </c>
      <c r="PWF16" s="310" t="s">
        <v>201</v>
      </c>
      <c r="PWG16" s="310" t="s">
        <v>201</v>
      </c>
      <c r="PWH16" s="310" t="s">
        <v>201</v>
      </c>
      <c r="PWI16" s="310" t="s">
        <v>201</v>
      </c>
      <c r="PWJ16" s="310" t="s">
        <v>201</v>
      </c>
      <c r="PWK16" s="310" t="s">
        <v>201</v>
      </c>
      <c r="PWL16" s="310" t="s">
        <v>201</v>
      </c>
      <c r="PWM16" s="310" t="s">
        <v>201</v>
      </c>
      <c r="PWN16" s="310" t="s">
        <v>201</v>
      </c>
      <c r="PWO16" s="310" t="s">
        <v>201</v>
      </c>
      <c r="PWP16" s="310" t="s">
        <v>201</v>
      </c>
      <c r="PWQ16" s="310" t="s">
        <v>201</v>
      </c>
      <c r="PWR16" s="310" t="s">
        <v>201</v>
      </c>
      <c r="PWS16" s="310" t="s">
        <v>201</v>
      </c>
      <c r="PWT16" s="310" t="s">
        <v>201</v>
      </c>
      <c r="PWU16" s="310" t="s">
        <v>201</v>
      </c>
      <c r="PWV16" s="310" t="s">
        <v>201</v>
      </c>
      <c r="PWW16" s="310" t="s">
        <v>201</v>
      </c>
      <c r="PWX16" s="310" t="s">
        <v>201</v>
      </c>
      <c r="PWY16" s="310" t="s">
        <v>201</v>
      </c>
      <c r="PWZ16" s="310" t="s">
        <v>201</v>
      </c>
      <c r="PXA16" s="310" t="s">
        <v>201</v>
      </c>
      <c r="PXB16" s="310" t="s">
        <v>201</v>
      </c>
      <c r="PXC16" s="310" t="s">
        <v>201</v>
      </c>
      <c r="PXD16" s="310" t="s">
        <v>201</v>
      </c>
      <c r="PXE16" s="310" t="s">
        <v>201</v>
      </c>
      <c r="PXF16" s="310" t="s">
        <v>201</v>
      </c>
      <c r="PXG16" s="310" t="s">
        <v>201</v>
      </c>
      <c r="PXH16" s="310" t="s">
        <v>201</v>
      </c>
      <c r="PXI16" s="310" t="s">
        <v>201</v>
      </c>
      <c r="PXJ16" s="310" t="s">
        <v>201</v>
      </c>
      <c r="PXK16" s="310" t="s">
        <v>201</v>
      </c>
      <c r="PXL16" s="310" t="s">
        <v>201</v>
      </c>
      <c r="PXM16" s="310" t="s">
        <v>201</v>
      </c>
      <c r="PXN16" s="310" t="s">
        <v>201</v>
      </c>
      <c r="PXO16" s="310" t="s">
        <v>201</v>
      </c>
      <c r="PXP16" s="310" t="s">
        <v>201</v>
      </c>
      <c r="PXQ16" s="310" t="s">
        <v>201</v>
      </c>
      <c r="PXR16" s="310" t="s">
        <v>201</v>
      </c>
      <c r="PXS16" s="310" t="s">
        <v>201</v>
      </c>
      <c r="PXT16" s="310" t="s">
        <v>201</v>
      </c>
      <c r="PXU16" s="310" t="s">
        <v>201</v>
      </c>
      <c r="PXV16" s="310" t="s">
        <v>201</v>
      </c>
      <c r="PXW16" s="310" t="s">
        <v>201</v>
      </c>
      <c r="PXX16" s="310" t="s">
        <v>201</v>
      </c>
      <c r="PXY16" s="310" t="s">
        <v>201</v>
      </c>
      <c r="PXZ16" s="310" t="s">
        <v>201</v>
      </c>
      <c r="PYA16" s="310" t="s">
        <v>201</v>
      </c>
      <c r="PYB16" s="310" t="s">
        <v>201</v>
      </c>
      <c r="PYC16" s="310" t="s">
        <v>201</v>
      </c>
      <c r="PYD16" s="310" t="s">
        <v>201</v>
      </c>
      <c r="PYE16" s="310" t="s">
        <v>201</v>
      </c>
      <c r="PYF16" s="310" t="s">
        <v>201</v>
      </c>
      <c r="PYG16" s="310" t="s">
        <v>201</v>
      </c>
      <c r="PYH16" s="310" t="s">
        <v>201</v>
      </c>
      <c r="PYI16" s="310" t="s">
        <v>201</v>
      </c>
      <c r="PYJ16" s="310" t="s">
        <v>201</v>
      </c>
      <c r="PYK16" s="310" t="s">
        <v>201</v>
      </c>
      <c r="PYL16" s="310" t="s">
        <v>201</v>
      </c>
      <c r="PYM16" s="310" t="s">
        <v>201</v>
      </c>
      <c r="PYN16" s="310" t="s">
        <v>201</v>
      </c>
      <c r="PYO16" s="310" t="s">
        <v>201</v>
      </c>
      <c r="PYP16" s="310" t="s">
        <v>201</v>
      </c>
      <c r="PYQ16" s="310" t="s">
        <v>201</v>
      </c>
      <c r="PYR16" s="310" t="s">
        <v>201</v>
      </c>
      <c r="PYS16" s="310" t="s">
        <v>201</v>
      </c>
      <c r="PYT16" s="310" t="s">
        <v>201</v>
      </c>
      <c r="PYU16" s="310" t="s">
        <v>201</v>
      </c>
      <c r="PYV16" s="310" t="s">
        <v>201</v>
      </c>
      <c r="PYW16" s="310" t="s">
        <v>201</v>
      </c>
      <c r="PYX16" s="310" t="s">
        <v>201</v>
      </c>
      <c r="PYY16" s="310" t="s">
        <v>201</v>
      </c>
      <c r="PYZ16" s="310" t="s">
        <v>201</v>
      </c>
      <c r="PZA16" s="310" t="s">
        <v>201</v>
      </c>
      <c r="PZB16" s="310" t="s">
        <v>201</v>
      </c>
      <c r="PZC16" s="310" t="s">
        <v>201</v>
      </c>
      <c r="PZD16" s="310" t="s">
        <v>201</v>
      </c>
      <c r="PZE16" s="310" t="s">
        <v>201</v>
      </c>
      <c r="PZF16" s="310" t="s">
        <v>201</v>
      </c>
      <c r="PZG16" s="310" t="s">
        <v>201</v>
      </c>
      <c r="PZH16" s="310" t="s">
        <v>201</v>
      </c>
      <c r="PZI16" s="310" t="s">
        <v>201</v>
      </c>
      <c r="PZJ16" s="310" t="s">
        <v>201</v>
      </c>
      <c r="PZK16" s="310" t="s">
        <v>201</v>
      </c>
      <c r="PZL16" s="310" t="s">
        <v>201</v>
      </c>
      <c r="PZM16" s="310" t="s">
        <v>201</v>
      </c>
      <c r="PZN16" s="310" t="s">
        <v>201</v>
      </c>
      <c r="PZO16" s="310" t="s">
        <v>201</v>
      </c>
      <c r="PZP16" s="310" t="s">
        <v>201</v>
      </c>
      <c r="PZQ16" s="310" t="s">
        <v>201</v>
      </c>
      <c r="PZR16" s="310" t="s">
        <v>201</v>
      </c>
      <c r="PZS16" s="310" t="s">
        <v>201</v>
      </c>
      <c r="PZT16" s="310" t="s">
        <v>201</v>
      </c>
      <c r="PZU16" s="310" t="s">
        <v>201</v>
      </c>
      <c r="PZV16" s="310" t="s">
        <v>201</v>
      </c>
      <c r="PZW16" s="310" t="s">
        <v>201</v>
      </c>
      <c r="PZX16" s="310" t="s">
        <v>201</v>
      </c>
      <c r="PZY16" s="310" t="s">
        <v>201</v>
      </c>
      <c r="PZZ16" s="310" t="s">
        <v>201</v>
      </c>
      <c r="QAA16" s="310" t="s">
        <v>201</v>
      </c>
      <c r="QAB16" s="310" t="s">
        <v>201</v>
      </c>
      <c r="QAC16" s="310" t="s">
        <v>201</v>
      </c>
      <c r="QAD16" s="310" t="s">
        <v>201</v>
      </c>
      <c r="QAE16" s="310" t="s">
        <v>201</v>
      </c>
      <c r="QAF16" s="310" t="s">
        <v>201</v>
      </c>
      <c r="QAG16" s="310" t="s">
        <v>201</v>
      </c>
      <c r="QAH16" s="310" t="s">
        <v>201</v>
      </c>
      <c r="QAI16" s="310" t="s">
        <v>201</v>
      </c>
      <c r="QAJ16" s="310" t="s">
        <v>201</v>
      </c>
      <c r="QAK16" s="310" t="s">
        <v>201</v>
      </c>
      <c r="QAL16" s="310" t="s">
        <v>201</v>
      </c>
      <c r="QAM16" s="310" t="s">
        <v>201</v>
      </c>
      <c r="QAN16" s="310" t="s">
        <v>201</v>
      </c>
      <c r="QAO16" s="310" t="s">
        <v>201</v>
      </c>
      <c r="QAP16" s="310" t="s">
        <v>201</v>
      </c>
      <c r="QAQ16" s="310" t="s">
        <v>201</v>
      </c>
      <c r="QAR16" s="310" t="s">
        <v>201</v>
      </c>
      <c r="QAS16" s="310" t="s">
        <v>201</v>
      </c>
      <c r="QAT16" s="310" t="s">
        <v>201</v>
      </c>
      <c r="QAU16" s="310" t="s">
        <v>201</v>
      </c>
      <c r="QAV16" s="310" t="s">
        <v>201</v>
      </c>
      <c r="QAW16" s="310" t="s">
        <v>201</v>
      </c>
      <c r="QAX16" s="310" t="s">
        <v>201</v>
      </c>
      <c r="QAY16" s="310" t="s">
        <v>201</v>
      </c>
      <c r="QAZ16" s="310" t="s">
        <v>201</v>
      </c>
      <c r="QBA16" s="310" t="s">
        <v>201</v>
      </c>
      <c r="QBB16" s="310" t="s">
        <v>201</v>
      </c>
      <c r="QBC16" s="310" t="s">
        <v>201</v>
      </c>
      <c r="QBD16" s="310" t="s">
        <v>201</v>
      </c>
      <c r="QBE16" s="310" t="s">
        <v>201</v>
      </c>
      <c r="QBF16" s="310" t="s">
        <v>201</v>
      </c>
      <c r="QBG16" s="310" t="s">
        <v>201</v>
      </c>
      <c r="QBH16" s="310" t="s">
        <v>201</v>
      </c>
      <c r="QBI16" s="310" t="s">
        <v>201</v>
      </c>
      <c r="QBJ16" s="310" t="s">
        <v>201</v>
      </c>
      <c r="QBK16" s="310" t="s">
        <v>201</v>
      </c>
      <c r="QBL16" s="310" t="s">
        <v>201</v>
      </c>
      <c r="QBM16" s="310" t="s">
        <v>201</v>
      </c>
      <c r="QBN16" s="310" t="s">
        <v>201</v>
      </c>
      <c r="QBO16" s="310" t="s">
        <v>201</v>
      </c>
      <c r="QBP16" s="310" t="s">
        <v>201</v>
      </c>
      <c r="QBQ16" s="310" t="s">
        <v>201</v>
      </c>
      <c r="QBR16" s="310" t="s">
        <v>201</v>
      </c>
      <c r="QBS16" s="310" t="s">
        <v>201</v>
      </c>
      <c r="QBT16" s="310" t="s">
        <v>201</v>
      </c>
      <c r="QBU16" s="310" t="s">
        <v>201</v>
      </c>
      <c r="QBV16" s="310" t="s">
        <v>201</v>
      </c>
      <c r="QBW16" s="310" t="s">
        <v>201</v>
      </c>
      <c r="QBX16" s="310" t="s">
        <v>201</v>
      </c>
      <c r="QBY16" s="310" t="s">
        <v>201</v>
      </c>
      <c r="QBZ16" s="310" t="s">
        <v>201</v>
      </c>
      <c r="QCA16" s="310" t="s">
        <v>201</v>
      </c>
      <c r="QCB16" s="310" t="s">
        <v>201</v>
      </c>
      <c r="QCC16" s="310" t="s">
        <v>201</v>
      </c>
      <c r="QCD16" s="310" t="s">
        <v>201</v>
      </c>
      <c r="QCE16" s="310" t="s">
        <v>201</v>
      </c>
      <c r="QCF16" s="310" t="s">
        <v>201</v>
      </c>
      <c r="QCG16" s="310" t="s">
        <v>201</v>
      </c>
      <c r="QCH16" s="310" t="s">
        <v>201</v>
      </c>
      <c r="QCI16" s="310" t="s">
        <v>201</v>
      </c>
      <c r="QCJ16" s="310" t="s">
        <v>201</v>
      </c>
      <c r="QCK16" s="310" t="s">
        <v>201</v>
      </c>
      <c r="QCL16" s="310" t="s">
        <v>201</v>
      </c>
      <c r="QCM16" s="310" t="s">
        <v>201</v>
      </c>
      <c r="QCN16" s="310" t="s">
        <v>201</v>
      </c>
      <c r="QCO16" s="310" t="s">
        <v>201</v>
      </c>
      <c r="QCP16" s="310" t="s">
        <v>201</v>
      </c>
      <c r="QCQ16" s="310" t="s">
        <v>201</v>
      </c>
      <c r="QCR16" s="310" t="s">
        <v>201</v>
      </c>
      <c r="QCS16" s="310" t="s">
        <v>201</v>
      </c>
      <c r="QCT16" s="310" t="s">
        <v>201</v>
      </c>
      <c r="QCU16" s="310" t="s">
        <v>201</v>
      </c>
      <c r="QCV16" s="310" t="s">
        <v>201</v>
      </c>
      <c r="QCW16" s="310" t="s">
        <v>201</v>
      </c>
      <c r="QCX16" s="310" t="s">
        <v>201</v>
      </c>
      <c r="QCY16" s="310" t="s">
        <v>201</v>
      </c>
      <c r="QCZ16" s="310" t="s">
        <v>201</v>
      </c>
      <c r="QDA16" s="310" t="s">
        <v>201</v>
      </c>
      <c r="QDB16" s="310" t="s">
        <v>201</v>
      </c>
      <c r="QDC16" s="310" t="s">
        <v>201</v>
      </c>
      <c r="QDD16" s="310" t="s">
        <v>201</v>
      </c>
      <c r="QDE16" s="310" t="s">
        <v>201</v>
      </c>
      <c r="QDF16" s="310" t="s">
        <v>201</v>
      </c>
      <c r="QDG16" s="310" t="s">
        <v>201</v>
      </c>
      <c r="QDH16" s="310" t="s">
        <v>201</v>
      </c>
      <c r="QDI16" s="310" t="s">
        <v>201</v>
      </c>
      <c r="QDJ16" s="310" t="s">
        <v>201</v>
      </c>
      <c r="QDK16" s="310" t="s">
        <v>201</v>
      </c>
      <c r="QDL16" s="310" t="s">
        <v>201</v>
      </c>
      <c r="QDM16" s="310" t="s">
        <v>201</v>
      </c>
      <c r="QDN16" s="310" t="s">
        <v>201</v>
      </c>
      <c r="QDO16" s="310" t="s">
        <v>201</v>
      </c>
      <c r="QDP16" s="310" t="s">
        <v>201</v>
      </c>
      <c r="QDQ16" s="310" t="s">
        <v>201</v>
      </c>
      <c r="QDR16" s="310" t="s">
        <v>201</v>
      </c>
      <c r="QDS16" s="310" t="s">
        <v>201</v>
      </c>
      <c r="QDT16" s="310" t="s">
        <v>201</v>
      </c>
      <c r="QDU16" s="310" t="s">
        <v>201</v>
      </c>
      <c r="QDV16" s="310" t="s">
        <v>201</v>
      </c>
      <c r="QDW16" s="310" t="s">
        <v>201</v>
      </c>
      <c r="QDX16" s="310" t="s">
        <v>201</v>
      </c>
      <c r="QDY16" s="310" t="s">
        <v>201</v>
      </c>
      <c r="QDZ16" s="310" t="s">
        <v>201</v>
      </c>
      <c r="QEA16" s="310" t="s">
        <v>201</v>
      </c>
      <c r="QEB16" s="310" t="s">
        <v>201</v>
      </c>
      <c r="QEC16" s="310" t="s">
        <v>201</v>
      </c>
      <c r="QED16" s="310" t="s">
        <v>201</v>
      </c>
      <c r="QEE16" s="310" t="s">
        <v>201</v>
      </c>
      <c r="QEF16" s="310" t="s">
        <v>201</v>
      </c>
      <c r="QEG16" s="310" t="s">
        <v>201</v>
      </c>
      <c r="QEH16" s="310" t="s">
        <v>201</v>
      </c>
      <c r="QEI16" s="310" t="s">
        <v>201</v>
      </c>
      <c r="QEJ16" s="310" t="s">
        <v>201</v>
      </c>
      <c r="QEK16" s="310" t="s">
        <v>201</v>
      </c>
      <c r="QEL16" s="310" t="s">
        <v>201</v>
      </c>
      <c r="QEM16" s="310" t="s">
        <v>201</v>
      </c>
      <c r="QEN16" s="310" t="s">
        <v>201</v>
      </c>
      <c r="QEO16" s="310" t="s">
        <v>201</v>
      </c>
      <c r="QEP16" s="310" t="s">
        <v>201</v>
      </c>
      <c r="QEQ16" s="310" t="s">
        <v>201</v>
      </c>
      <c r="QER16" s="310" t="s">
        <v>201</v>
      </c>
      <c r="QES16" s="310" t="s">
        <v>201</v>
      </c>
      <c r="QET16" s="310" t="s">
        <v>201</v>
      </c>
      <c r="QEU16" s="310" t="s">
        <v>201</v>
      </c>
      <c r="QEV16" s="310" t="s">
        <v>201</v>
      </c>
      <c r="QEW16" s="310" t="s">
        <v>201</v>
      </c>
      <c r="QEX16" s="310" t="s">
        <v>201</v>
      </c>
      <c r="QEY16" s="310" t="s">
        <v>201</v>
      </c>
      <c r="QEZ16" s="310" t="s">
        <v>201</v>
      </c>
      <c r="QFA16" s="310" t="s">
        <v>201</v>
      </c>
      <c r="QFB16" s="310" t="s">
        <v>201</v>
      </c>
      <c r="QFC16" s="310" t="s">
        <v>201</v>
      </c>
      <c r="QFD16" s="310" t="s">
        <v>201</v>
      </c>
      <c r="QFE16" s="310" t="s">
        <v>201</v>
      </c>
      <c r="QFF16" s="310" t="s">
        <v>201</v>
      </c>
      <c r="QFG16" s="310" t="s">
        <v>201</v>
      </c>
      <c r="QFH16" s="310" t="s">
        <v>201</v>
      </c>
      <c r="QFI16" s="310" t="s">
        <v>201</v>
      </c>
      <c r="QFJ16" s="310" t="s">
        <v>201</v>
      </c>
      <c r="QFK16" s="310" t="s">
        <v>201</v>
      </c>
      <c r="QFL16" s="310" t="s">
        <v>201</v>
      </c>
      <c r="QFM16" s="310" t="s">
        <v>201</v>
      </c>
      <c r="QFN16" s="310" t="s">
        <v>201</v>
      </c>
      <c r="QFO16" s="310" t="s">
        <v>201</v>
      </c>
      <c r="QFP16" s="310" t="s">
        <v>201</v>
      </c>
      <c r="QFQ16" s="310" t="s">
        <v>201</v>
      </c>
      <c r="QFR16" s="310" t="s">
        <v>201</v>
      </c>
      <c r="QFS16" s="310" t="s">
        <v>201</v>
      </c>
      <c r="QFT16" s="310" t="s">
        <v>201</v>
      </c>
      <c r="QFU16" s="310" t="s">
        <v>201</v>
      </c>
      <c r="QFV16" s="310" t="s">
        <v>201</v>
      </c>
      <c r="QFW16" s="310" t="s">
        <v>201</v>
      </c>
      <c r="QFX16" s="310" t="s">
        <v>201</v>
      </c>
      <c r="QFY16" s="310" t="s">
        <v>201</v>
      </c>
      <c r="QFZ16" s="310" t="s">
        <v>201</v>
      </c>
      <c r="QGA16" s="310" t="s">
        <v>201</v>
      </c>
      <c r="QGB16" s="310" t="s">
        <v>201</v>
      </c>
      <c r="QGC16" s="310" t="s">
        <v>201</v>
      </c>
      <c r="QGD16" s="310" t="s">
        <v>201</v>
      </c>
      <c r="QGE16" s="310" t="s">
        <v>201</v>
      </c>
      <c r="QGF16" s="310" t="s">
        <v>201</v>
      </c>
      <c r="QGG16" s="310" t="s">
        <v>201</v>
      </c>
      <c r="QGH16" s="310" t="s">
        <v>201</v>
      </c>
      <c r="QGI16" s="310" t="s">
        <v>201</v>
      </c>
      <c r="QGJ16" s="310" t="s">
        <v>201</v>
      </c>
      <c r="QGK16" s="310" t="s">
        <v>201</v>
      </c>
      <c r="QGL16" s="310" t="s">
        <v>201</v>
      </c>
      <c r="QGM16" s="310" t="s">
        <v>201</v>
      </c>
      <c r="QGN16" s="310" t="s">
        <v>201</v>
      </c>
      <c r="QGO16" s="310" t="s">
        <v>201</v>
      </c>
      <c r="QGP16" s="310" t="s">
        <v>201</v>
      </c>
      <c r="QGQ16" s="310" t="s">
        <v>201</v>
      </c>
      <c r="QGR16" s="310" t="s">
        <v>201</v>
      </c>
      <c r="QGS16" s="310" t="s">
        <v>201</v>
      </c>
      <c r="QGT16" s="310" t="s">
        <v>201</v>
      </c>
      <c r="QGU16" s="310" t="s">
        <v>201</v>
      </c>
      <c r="QGV16" s="310" t="s">
        <v>201</v>
      </c>
      <c r="QGW16" s="310" t="s">
        <v>201</v>
      </c>
      <c r="QGX16" s="310" t="s">
        <v>201</v>
      </c>
      <c r="QGY16" s="310" t="s">
        <v>201</v>
      </c>
      <c r="QGZ16" s="310" t="s">
        <v>201</v>
      </c>
      <c r="QHA16" s="310" t="s">
        <v>201</v>
      </c>
      <c r="QHB16" s="310" t="s">
        <v>201</v>
      </c>
      <c r="QHC16" s="310" t="s">
        <v>201</v>
      </c>
      <c r="QHD16" s="310" t="s">
        <v>201</v>
      </c>
      <c r="QHE16" s="310" t="s">
        <v>201</v>
      </c>
      <c r="QHF16" s="310" t="s">
        <v>201</v>
      </c>
      <c r="QHG16" s="310" t="s">
        <v>201</v>
      </c>
      <c r="QHH16" s="310" t="s">
        <v>201</v>
      </c>
      <c r="QHI16" s="310" t="s">
        <v>201</v>
      </c>
      <c r="QHJ16" s="310" t="s">
        <v>201</v>
      </c>
      <c r="QHK16" s="310" t="s">
        <v>201</v>
      </c>
      <c r="QHL16" s="310" t="s">
        <v>201</v>
      </c>
      <c r="QHM16" s="310" t="s">
        <v>201</v>
      </c>
      <c r="QHN16" s="310" t="s">
        <v>201</v>
      </c>
      <c r="QHO16" s="310" t="s">
        <v>201</v>
      </c>
      <c r="QHP16" s="310" t="s">
        <v>201</v>
      </c>
      <c r="QHQ16" s="310" t="s">
        <v>201</v>
      </c>
      <c r="QHR16" s="310" t="s">
        <v>201</v>
      </c>
      <c r="QHS16" s="310" t="s">
        <v>201</v>
      </c>
      <c r="QHT16" s="310" t="s">
        <v>201</v>
      </c>
      <c r="QHU16" s="310" t="s">
        <v>201</v>
      </c>
      <c r="QHV16" s="310" t="s">
        <v>201</v>
      </c>
      <c r="QHW16" s="310" t="s">
        <v>201</v>
      </c>
      <c r="QHX16" s="310" t="s">
        <v>201</v>
      </c>
      <c r="QHY16" s="310" t="s">
        <v>201</v>
      </c>
      <c r="QHZ16" s="310" t="s">
        <v>201</v>
      </c>
      <c r="QIA16" s="310" t="s">
        <v>201</v>
      </c>
      <c r="QIB16" s="310" t="s">
        <v>201</v>
      </c>
      <c r="QIC16" s="310" t="s">
        <v>201</v>
      </c>
      <c r="QID16" s="310" t="s">
        <v>201</v>
      </c>
      <c r="QIE16" s="310" t="s">
        <v>201</v>
      </c>
      <c r="QIF16" s="310" t="s">
        <v>201</v>
      </c>
      <c r="QIG16" s="310" t="s">
        <v>201</v>
      </c>
      <c r="QIH16" s="310" t="s">
        <v>201</v>
      </c>
      <c r="QII16" s="310" t="s">
        <v>201</v>
      </c>
      <c r="QIJ16" s="310" t="s">
        <v>201</v>
      </c>
      <c r="QIK16" s="310" t="s">
        <v>201</v>
      </c>
      <c r="QIL16" s="310" t="s">
        <v>201</v>
      </c>
      <c r="QIM16" s="310" t="s">
        <v>201</v>
      </c>
      <c r="QIN16" s="310" t="s">
        <v>201</v>
      </c>
      <c r="QIO16" s="310" t="s">
        <v>201</v>
      </c>
      <c r="QIP16" s="310" t="s">
        <v>201</v>
      </c>
      <c r="QIQ16" s="310" t="s">
        <v>201</v>
      </c>
      <c r="QIR16" s="310" t="s">
        <v>201</v>
      </c>
      <c r="QIS16" s="310" t="s">
        <v>201</v>
      </c>
      <c r="QIT16" s="310" t="s">
        <v>201</v>
      </c>
      <c r="QIU16" s="310" t="s">
        <v>201</v>
      </c>
      <c r="QIV16" s="310" t="s">
        <v>201</v>
      </c>
      <c r="QIW16" s="310" t="s">
        <v>201</v>
      </c>
      <c r="QIX16" s="310" t="s">
        <v>201</v>
      </c>
      <c r="QIY16" s="310" t="s">
        <v>201</v>
      </c>
      <c r="QIZ16" s="310" t="s">
        <v>201</v>
      </c>
      <c r="QJA16" s="310" t="s">
        <v>201</v>
      </c>
      <c r="QJB16" s="310" t="s">
        <v>201</v>
      </c>
      <c r="QJC16" s="310" t="s">
        <v>201</v>
      </c>
      <c r="QJD16" s="310" t="s">
        <v>201</v>
      </c>
      <c r="QJE16" s="310" t="s">
        <v>201</v>
      </c>
      <c r="QJF16" s="310" t="s">
        <v>201</v>
      </c>
      <c r="QJG16" s="310" t="s">
        <v>201</v>
      </c>
      <c r="QJH16" s="310" t="s">
        <v>201</v>
      </c>
      <c r="QJI16" s="310" t="s">
        <v>201</v>
      </c>
      <c r="QJJ16" s="310" t="s">
        <v>201</v>
      </c>
      <c r="QJK16" s="310" t="s">
        <v>201</v>
      </c>
      <c r="QJL16" s="310" t="s">
        <v>201</v>
      </c>
      <c r="QJM16" s="310" t="s">
        <v>201</v>
      </c>
      <c r="QJN16" s="310" t="s">
        <v>201</v>
      </c>
      <c r="QJO16" s="310" t="s">
        <v>201</v>
      </c>
      <c r="QJP16" s="310" t="s">
        <v>201</v>
      </c>
      <c r="QJQ16" s="310" t="s">
        <v>201</v>
      </c>
      <c r="QJR16" s="310" t="s">
        <v>201</v>
      </c>
      <c r="QJS16" s="310" t="s">
        <v>201</v>
      </c>
      <c r="QJT16" s="310" t="s">
        <v>201</v>
      </c>
      <c r="QJU16" s="310" t="s">
        <v>201</v>
      </c>
      <c r="QJV16" s="310" t="s">
        <v>201</v>
      </c>
      <c r="QJW16" s="310" t="s">
        <v>201</v>
      </c>
      <c r="QJX16" s="310" t="s">
        <v>201</v>
      </c>
      <c r="QJY16" s="310" t="s">
        <v>201</v>
      </c>
      <c r="QJZ16" s="310" t="s">
        <v>201</v>
      </c>
      <c r="QKA16" s="310" t="s">
        <v>201</v>
      </c>
      <c r="QKB16" s="310" t="s">
        <v>201</v>
      </c>
      <c r="QKC16" s="310" t="s">
        <v>201</v>
      </c>
      <c r="QKD16" s="310" t="s">
        <v>201</v>
      </c>
      <c r="QKE16" s="310" t="s">
        <v>201</v>
      </c>
      <c r="QKF16" s="310" t="s">
        <v>201</v>
      </c>
      <c r="QKG16" s="310" t="s">
        <v>201</v>
      </c>
      <c r="QKH16" s="310" t="s">
        <v>201</v>
      </c>
      <c r="QKI16" s="310" t="s">
        <v>201</v>
      </c>
      <c r="QKJ16" s="310" t="s">
        <v>201</v>
      </c>
      <c r="QKK16" s="310" t="s">
        <v>201</v>
      </c>
      <c r="QKL16" s="310" t="s">
        <v>201</v>
      </c>
      <c r="QKM16" s="310" t="s">
        <v>201</v>
      </c>
      <c r="QKN16" s="310" t="s">
        <v>201</v>
      </c>
      <c r="QKO16" s="310" t="s">
        <v>201</v>
      </c>
      <c r="QKP16" s="310" t="s">
        <v>201</v>
      </c>
      <c r="QKQ16" s="310" t="s">
        <v>201</v>
      </c>
      <c r="QKR16" s="310" t="s">
        <v>201</v>
      </c>
      <c r="QKS16" s="310" t="s">
        <v>201</v>
      </c>
      <c r="QKT16" s="310" t="s">
        <v>201</v>
      </c>
      <c r="QKU16" s="310" t="s">
        <v>201</v>
      </c>
      <c r="QKV16" s="310" t="s">
        <v>201</v>
      </c>
      <c r="QKW16" s="310" t="s">
        <v>201</v>
      </c>
      <c r="QKX16" s="310" t="s">
        <v>201</v>
      </c>
      <c r="QKY16" s="310" t="s">
        <v>201</v>
      </c>
      <c r="QKZ16" s="310" t="s">
        <v>201</v>
      </c>
      <c r="QLA16" s="310" t="s">
        <v>201</v>
      </c>
      <c r="QLB16" s="310" t="s">
        <v>201</v>
      </c>
      <c r="QLC16" s="310" t="s">
        <v>201</v>
      </c>
      <c r="QLD16" s="310" t="s">
        <v>201</v>
      </c>
      <c r="QLE16" s="310" t="s">
        <v>201</v>
      </c>
      <c r="QLF16" s="310" t="s">
        <v>201</v>
      </c>
      <c r="QLG16" s="310" t="s">
        <v>201</v>
      </c>
      <c r="QLH16" s="310" t="s">
        <v>201</v>
      </c>
      <c r="QLI16" s="310" t="s">
        <v>201</v>
      </c>
      <c r="QLJ16" s="310" t="s">
        <v>201</v>
      </c>
      <c r="QLK16" s="310" t="s">
        <v>201</v>
      </c>
      <c r="QLL16" s="310" t="s">
        <v>201</v>
      </c>
      <c r="QLM16" s="310" t="s">
        <v>201</v>
      </c>
      <c r="QLN16" s="310" t="s">
        <v>201</v>
      </c>
      <c r="QLO16" s="310" t="s">
        <v>201</v>
      </c>
      <c r="QLP16" s="310" t="s">
        <v>201</v>
      </c>
      <c r="QLQ16" s="310" t="s">
        <v>201</v>
      </c>
      <c r="QLR16" s="310" t="s">
        <v>201</v>
      </c>
      <c r="QLS16" s="310" t="s">
        <v>201</v>
      </c>
      <c r="QLT16" s="310" t="s">
        <v>201</v>
      </c>
      <c r="QLU16" s="310" t="s">
        <v>201</v>
      </c>
      <c r="QLV16" s="310" t="s">
        <v>201</v>
      </c>
      <c r="QLW16" s="310" t="s">
        <v>201</v>
      </c>
      <c r="QLX16" s="310" t="s">
        <v>201</v>
      </c>
      <c r="QLY16" s="310" t="s">
        <v>201</v>
      </c>
      <c r="QLZ16" s="310" t="s">
        <v>201</v>
      </c>
      <c r="QMA16" s="310" t="s">
        <v>201</v>
      </c>
      <c r="QMB16" s="310" t="s">
        <v>201</v>
      </c>
      <c r="QMC16" s="310" t="s">
        <v>201</v>
      </c>
      <c r="QMD16" s="310" t="s">
        <v>201</v>
      </c>
      <c r="QME16" s="310" t="s">
        <v>201</v>
      </c>
      <c r="QMF16" s="310" t="s">
        <v>201</v>
      </c>
      <c r="QMG16" s="310" t="s">
        <v>201</v>
      </c>
      <c r="QMH16" s="310" t="s">
        <v>201</v>
      </c>
      <c r="QMI16" s="310" t="s">
        <v>201</v>
      </c>
      <c r="QMJ16" s="310" t="s">
        <v>201</v>
      </c>
      <c r="QMK16" s="310" t="s">
        <v>201</v>
      </c>
      <c r="QML16" s="310" t="s">
        <v>201</v>
      </c>
      <c r="QMM16" s="310" t="s">
        <v>201</v>
      </c>
      <c r="QMN16" s="310" t="s">
        <v>201</v>
      </c>
      <c r="QMO16" s="310" t="s">
        <v>201</v>
      </c>
      <c r="QMP16" s="310" t="s">
        <v>201</v>
      </c>
      <c r="QMQ16" s="310" t="s">
        <v>201</v>
      </c>
      <c r="QMR16" s="310" t="s">
        <v>201</v>
      </c>
      <c r="QMS16" s="310" t="s">
        <v>201</v>
      </c>
      <c r="QMT16" s="310" t="s">
        <v>201</v>
      </c>
      <c r="QMU16" s="310" t="s">
        <v>201</v>
      </c>
      <c r="QMV16" s="310" t="s">
        <v>201</v>
      </c>
      <c r="QMW16" s="310" t="s">
        <v>201</v>
      </c>
      <c r="QMX16" s="310" t="s">
        <v>201</v>
      </c>
      <c r="QMY16" s="310" t="s">
        <v>201</v>
      </c>
      <c r="QMZ16" s="310" t="s">
        <v>201</v>
      </c>
      <c r="QNA16" s="310" t="s">
        <v>201</v>
      </c>
      <c r="QNB16" s="310" t="s">
        <v>201</v>
      </c>
      <c r="QNC16" s="310" t="s">
        <v>201</v>
      </c>
      <c r="QND16" s="310" t="s">
        <v>201</v>
      </c>
      <c r="QNE16" s="310" t="s">
        <v>201</v>
      </c>
      <c r="QNF16" s="310" t="s">
        <v>201</v>
      </c>
      <c r="QNG16" s="310" t="s">
        <v>201</v>
      </c>
      <c r="QNH16" s="310" t="s">
        <v>201</v>
      </c>
      <c r="QNI16" s="310" t="s">
        <v>201</v>
      </c>
      <c r="QNJ16" s="310" t="s">
        <v>201</v>
      </c>
      <c r="QNK16" s="310" t="s">
        <v>201</v>
      </c>
      <c r="QNL16" s="310" t="s">
        <v>201</v>
      </c>
      <c r="QNM16" s="310" t="s">
        <v>201</v>
      </c>
      <c r="QNN16" s="310" t="s">
        <v>201</v>
      </c>
      <c r="QNO16" s="310" t="s">
        <v>201</v>
      </c>
      <c r="QNP16" s="310" t="s">
        <v>201</v>
      </c>
      <c r="QNQ16" s="310" t="s">
        <v>201</v>
      </c>
      <c r="QNR16" s="310" t="s">
        <v>201</v>
      </c>
      <c r="QNS16" s="310" t="s">
        <v>201</v>
      </c>
      <c r="QNT16" s="310" t="s">
        <v>201</v>
      </c>
      <c r="QNU16" s="310" t="s">
        <v>201</v>
      </c>
      <c r="QNV16" s="310" t="s">
        <v>201</v>
      </c>
      <c r="QNW16" s="310" t="s">
        <v>201</v>
      </c>
      <c r="QNX16" s="310" t="s">
        <v>201</v>
      </c>
      <c r="QNY16" s="310" t="s">
        <v>201</v>
      </c>
      <c r="QNZ16" s="310" t="s">
        <v>201</v>
      </c>
      <c r="QOA16" s="310" t="s">
        <v>201</v>
      </c>
      <c r="QOB16" s="310" t="s">
        <v>201</v>
      </c>
      <c r="QOC16" s="310" t="s">
        <v>201</v>
      </c>
      <c r="QOD16" s="310" t="s">
        <v>201</v>
      </c>
      <c r="QOE16" s="310" t="s">
        <v>201</v>
      </c>
      <c r="QOF16" s="310" t="s">
        <v>201</v>
      </c>
      <c r="QOG16" s="310" t="s">
        <v>201</v>
      </c>
      <c r="QOH16" s="310" t="s">
        <v>201</v>
      </c>
      <c r="QOI16" s="310" t="s">
        <v>201</v>
      </c>
      <c r="QOJ16" s="310" t="s">
        <v>201</v>
      </c>
      <c r="QOK16" s="310" t="s">
        <v>201</v>
      </c>
      <c r="QOL16" s="310" t="s">
        <v>201</v>
      </c>
      <c r="QOM16" s="310" t="s">
        <v>201</v>
      </c>
      <c r="QON16" s="310" t="s">
        <v>201</v>
      </c>
      <c r="QOO16" s="310" t="s">
        <v>201</v>
      </c>
      <c r="QOP16" s="310" t="s">
        <v>201</v>
      </c>
      <c r="QOQ16" s="310" t="s">
        <v>201</v>
      </c>
      <c r="QOR16" s="310" t="s">
        <v>201</v>
      </c>
      <c r="QOS16" s="310" t="s">
        <v>201</v>
      </c>
      <c r="QOT16" s="310" t="s">
        <v>201</v>
      </c>
      <c r="QOU16" s="310" t="s">
        <v>201</v>
      </c>
      <c r="QOV16" s="310" t="s">
        <v>201</v>
      </c>
      <c r="QOW16" s="310" t="s">
        <v>201</v>
      </c>
      <c r="QOX16" s="310" t="s">
        <v>201</v>
      </c>
      <c r="QOY16" s="310" t="s">
        <v>201</v>
      </c>
      <c r="QOZ16" s="310" t="s">
        <v>201</v>
      </c>
      <c r="QPA16" s="310" t="s">
        <v>201</v>
      </c>
      <c r="QPB16" s="310" t="s">
        <v>201</v>
      </c>
      <c r="QPC16" s="310" t="s">
        <v>201</v>
      </c>
      <c r="QPD16" s="310" t="s">
        <v>201</v>
      </c>
      <c r="QPE16" s="310" t="s">
        <v>201</v>
      </c>
      <c r="QPF16" s="310" t="s">
        <v>201</v>
      </c>
      <c r="QPG16" s="310" t="s">
        <v>201</v>
      </c>
      <c r="QPH16" s="310" t="s">
        <v>201</v>
      </c>
      <c r="QPI16" s="310" t="s">
        <v>201</v>
      </c>
      <c r="QPJ16" s="310" t="s">
        <v>201</v>
      </c>
      <c r="QPK16" s="310" t="s">
        <v>201</v>
      </c>
      <c r="QPL16" s="310" t="s">
        <v>201</v>
      </c>
      <c r="QPM16" s="310" t="s">
        <v>201</v>
      </c>
      <c r="QPN16" s="310" t="s">
        <v>201</v>
      </c>
      <c r="QPO16" s="310" t="s">
        <v>201</v>
      </c>
      <c r="QPP16" s="310" t="s">
        <v>201</v>
      </c>
      <c r="QPQ16" s="310" t="s">
        <v>201</v>
      </c>
      <c r="QPR16" s="310" t="s">
        <v>201</v>
      </c>
      <c r="QPS16" s="310" t="s">
        <v>201</v>
      </c>
      <c r="QPT16" s="310" t="s">
        <v>201</v>
      </c>
      <c r="QPU16" s="310" t="s">
        <v>201</v>
      </c>
      <c r="QPV16" s="310" t="s">
        <v>201</v>
      </c>
      <c r="QPW16" s="310" t="s">
        <v>201</v>
      </c>
      <c r="QPX16" s="310" t="s">
        <v>201</v>
      </c>
      <c r="QPY16" s="310" t="s">
        <v>201</v>
      </c>
      <c r="QPZ16" s="310" t="s">
        <v>201</v>
      </c>
      <c r="QQA16" s="310" t="s">
        <v>201</v>
      </c>
      <c r="QQB16" s="310" t="s">
        <v>201</v>
      </c>
      <c r="QQC16" s="310" t="s">
        <v>201</v>
      </c>
      <c r="QQD16" s="310" t="s">
        <v>201</v>
      </c>
      <c r="QQE16" s="310" t="s">
        <v>201</v>
      </c>
      <c r="QQF16" s="310" t="s">
        <v>201</v>
      </c>
      <c r="QQG16" s="310" t="s">
        <v>201</v>
      </c>
      <c r="QQH16" s="310" t="s">
        <v>201</v>
      </c>
      <c r="QQI16" s="310" t="s">
        <v>201</v>
      </c>
      <c r="QQJ16" s="310" t="s">
        <v>201</v>
      </c>
      <c r="QQK16" s="310" t="s">
        <v>201</v>
      </c>
      <c r="QQL16" s="310" t="s">
        <v>201</v>
      </c>
      <c r="QQM16" s="310" t="s">
        <v>201</v>
      </c>
      <c r="QQN16" s="310" t="s">
        <v>201</v>
      </c>
      <c r="QQO16" s="310" t="s">
        <v>201</v>
      </c>
      <c r="QQP16" s="310" t="s">
        <v>201</v>
      </c>
      <c r="QQQ16" s="310" t="s">
        <v>201</v>
      </c>
      <c r="QQR16" s="310" t="s">
        <v>201</v>
      </c>
      <c r="QQS16" s="310" t="s">
        <v>201</v>
      </c>
      <c r="QQT16" s="310" t="s">
        <v>201</v>
      </c>
      <c r="QQU16" s="310" t="s">
        <v>201</v>
      </c>
      <c r="QQV16" s="310" t="s">
        <v>201</v>
      </c>
      <c r="QQW16" s="310" t="s">
        <v>201</v>
      </c>
      <c r="QQX16" s="310" t="s">
        <v>201</v>
      </c>
      <c r="QQY16" s="310" t="s">
        <v>201</v>
      </c>
      <c r="QQZ16" s="310" t="s">
        <v>201</v>
      </c>
      <c r="QRA16" s="310" t="s">
        <v>201</v>
      </c>
      <c r="QRB16" s="310" t="s">
        <v>201</v>
      </c>
      <c r="QRC16" s="310" t="s">
        <v>201</v>
      </c>
      <c r="QRD16" s="310" t="s">
        <v>201</v>
      </c>
      <c r="QRE16" s="310" t="s">
        <v>201</v>
      </c>
      <c r="QRF16" s="310" t="s">
        <v>201</v>
      </c>
      <c r="QRG16" s="310" t="s">
        <v>201</v>
      </c>
      <c r="QRH16" s="310" t="s">
        <v>201</v>
      </c>
      <c r="QRI16" s="310" t="s">
        <v>201</v>
      </c>
      <c r="QRJ16" s="310" t="s">
        <v>201</v>
      </c>
      <c r="QRK16" s="310" t="s">
        <v>201</v>
      </c>
      <c r="QRL16" s="310" t="s">
        <v>201</v>
      </c>
      <c r="QRM16" s="310" t="s">
        <v>201</v>
      </c>
      <c r="QRN16" s="310" t="s">
        <v>201</v>
      </c>
      <c r="QRO16" s="310" t="s">
        <v>201</v>
      </c>
      <c r="QRP16" s="310" t="s">
        <v>201</v>
      </c>
      <c r="QRQ16" s="310" t="s">
        <v>201</v>
      </c>
      <c r="QRR16" s="310" t="s">
        <v>201</v>
      </c>
      <c r="QRS16" s="310" t="s">
        <v>201</v>
      </c>
      <c r="QRT16" s="310" t="s">
        <v>201</v>
      </c>
      <c r="QRU16" s="310" t="s">
        <v>201</v>
      </c>
      <c r="QRV16" s="310" t="s">
        <v>201</v>
      </c>
      <c r="QRW16" s="310" t="s">
        <v>201</v>
      </c>
      <c r="QRX16" s="310" t="s">
        <v>201</v>
      </c>
      <c r="QRY16" s="310" t="s">
        <v>201</v>
      </c>
      <c r="QRZ16" s="310" t="s">
        <v>201</v>
      </c>
      <c r="QSA16" s="310" t="s">
        <v>201</v>
      </c>
      <c r="QSB16" s="310" t="s">
        <v>201</v>
      </c>
      <c r="QSC16" s="310" t="s">
        <v>201</v>
      </c>
      <c r="QSD16" s="310" t="s">
        <v>201</v>
      </c>
      <c r="QSE16" s="310" t="s">
        <v>201</v>
      </c>
      <c r="QSF16" s="310" t="s">
        <v>201</v>
      </c>
      <c r="QSG16" s="310" t="s">
        <v>201</v>
      </c>
      <c r="QSH16" s="310" t="s">
        <v>201</v>
      </c>
      <c r="QSI16" s="310" t="s">
        <v>201</v>
      </c>
      <c r="QSJ16" s="310" t="s">
        <v>201</v>
      </c>
      <c r="QSK16" s="310" t="s">
        <v>201</v>
      </c>
      <c r="QSL16" s="310" t="s">
        <v>201</v>
      </c>
      <c r="QSM16" s="310" t="s">
        <v>201</v>
      </c>
      <c r="QSN16" s="310" t="s">
        <v>201</v>
      </c>
      <c r="QSO16" s="310" t="s">
        <v>201</v>
      </c>
      <c r="QSP16" s="310" t="s">
        <v>201</v>
      </c>
      <c r="QSQ16" s="310" t="s">
        <v>201</v>
      </c>
      <c r="QSR16" s="310" t="s">
        <v>201</v>
      </c>
      <c r="QSS16" s="310" t="s">
        <v>201</v>
      </c>
      <c r="QST16" s="310" t="s">
        <v>201</v>
      </c>
      <c r="QSU16" s="310" t="s">
        <v>201</v>
      </c>
      <c r="QSV16" s="310" t="s">
        <v>201</v>
      </c>
      <c r="QSW16" s="310" t="s">
        <v>201</v>
      </c>
      <c r="QSX16" s="310" t="s">
        <v>201</v>
      </c>
      <c r="QSY16" s="310" t="s">
        <v>201</v>
      </c>
      <c r="QSZ16" s="310" t="s">
        <v>201</v>
      </c>
      <c r="QTA16" s="310" t="s">
        <v>201</v>
      </c>
      <c r="QTB16" s="310" t="s">
        <v>201</v>
      </c>
      <c r="QTC16" s="310" t="s">
        <v>201</v>
      </c>
      <c r="QTD16" s="310" t="s">
        <v>201</v>
      </c>
      <c r="QTE16" s="310" t="s">
        <v>201</v>
      </c>
      <c r="QTF16" s="310" t="s">
        <v>201</v>
      </c>
      <c r="QTG16" s="310" t="s">
        <v>201</v>
      </c>
      <c r="QTH16" s="310" t="s">
        <v>201</v>
      </c>
      <c r="QTI16" s="310" t="s">
        <v>201</v>
      </c>
      <c r="QTJ16" s="310" t="s">
        <v>201</v>
      </c>
      <c r="QTK16" s="310" t="s">
        <v>201</v>
      </c>
      <c r="QTL16" s="310" t="s">
        <v>201</v>
      </c>
      <c r="QTM16" s="310" t="s">
        <v>201</v>
      </c>
      <c r="QTN16" s="310" t="s">
        <v>201</v>
      </c>
      <c r="QTO16" s="310" t="s">
        <v>201</v>
      </c>
      <c r="QTP16" s="310" t="s">
        <v>201</v>
      </c>
      <c r="QTQ16" s="310" t="s">
        <v>201</v>
      </c>
      <c r="QTR16" s="310" t="s">
        <v>201</v>
      </c>
      <c r="QTS16" s="310" t="s">
        <v>201</v>
      </c>
      <c r="QTT16" s="310" t="s">
        <v>201</v>
      </c>
      <c r="QTU16" s="310" t="s">
        <v>201</v>
      </c>
      <c r="QTV16" s="310" t="s">
        <v>201</v>
      </c>
      <c r="QTW16" s="310" t="s">
        <v>201</v>
      </c>
      <c r="QTX16" s="310" t="s">
        <v>201</v>
      </c>
      <c r="QTY16" s="310" t="s">
        <v>201</v>
      </c>
      <c r="QTZ16" s="310" t="s">
        <v>201</v>
      </c>
      <c r="QUA16" s="310" t="s">
        <v>201</v>
      </c>
      <c r="QUB16" s="310" t="s">
        <v>201</v>
      </c>
      <c r="QUC16" s="310" t="s">
        <v>201</v>
      </c>
      <c r="QUD16" s="310" t="s">
        <v>201</v>
      </c>
      <c r="QUE16" s="310" t="s">
        <v>201</v>
      </c>
      <c r="QUF16" s="310" t="s">
        <v>201</v>
      </c>
      <c r="QUG16" s="310" t="s">
        <v>201</v>
      </c>
      <c r="QUH16" s="310" t="s">
        <v>201</v>
      </c>
      <c r="QUI16" s="310" t="s">
        <v>201</v>
      </c>
      <c r="QUJ16" s="310" t="s">
        <v>201</v>
      </c>
      <c r="QUK16" s="310" t="s">
        <v>201</v>
      </c>
      <c r="QUL16" s="310" t="s">
        <v>201</v>
      </c>
      <c r="QUM16" s="310" t="s">
        <v>201</v>
      </c>
      <c r="QUN16" s="310" t="s">
        <v>201</v>
      </c>
      <c r="QUO16" s="310" t="s">
        <v>201</v>
      </c>
      <c r="QUP16" s="310" t="s">
        <v>201</v>
      </c>
      <c r="QUQ16" s="310" t="s">
        <v>201</v>
      </c>
      <c r="QUR16" s="310" t="s">
        <v>201</v>
      </c>
      <c r="QUS16" s="310" t="s">
        <v>201</v>
      </c>
      <c r="QUT16" s="310" t="s">
        <v>201</v>
      </c>
      <c r="QUU16" s="310" t="s">
        <v>201</v>
      </c>
      <c r="QUV16" s="310" t="s">
        <v>201</v>
      </c>
      <c r="QUW16" s="310" t="s">
        <v>201</v>
      </c>
      <c r="QUX16" s="310" t="s">
        <v>201</v>
      </c>
      <c r="QUY16" s="310" t="s">
        <v>201</v>
      </c>
      <c r="QUZ16" s="310" t="s">
        <v>201</v>
      </c>
      <c r="QVA16" s="310" t="s">
        <v>201</v>
      </c>
      <c r="QVB16" s="310" t="s">
        <v>201</v>
      </c>
      <c r="QVC16" s="310" t="s">
        <v>201</v>
      </c>
      <c r="QVD16" s="310" t="s">
        <v>201</v>
      </c>
      <c r="QVE16" s="310" t="s">
        <v>201</v>
      </c>
      <c r="QVF16" s="310" t="s">
        <v>201</v>
      </c>
      <c r="QVG16" s="310" t="s">
        <v>201</v>
      </c>
      <c r="QVH16" s="310" t="s">
        <v>201</v>
      </c>
      <c r="QVI16" s="310" t="s">
        <v>201</v>
      </c>
      <c r="QVJ16" s="310" t="s">
        <v>201</v>
      </c>
      <c r="QVK16" s="310" t="s">
        <v>201</v>
      </c>
      <c r="QVL16" s="310" t="s">
        <v>201</v>
      </c>
      <c r="QVM16" s="310" t="s">
        <v>201</v>
      </c>
      <c r="QVN16" s="310" t="s">
        <v>201</v>
      </c>
      <c r="QVO16" s="310" t="s">
        <v>201</v>
      </c>
      <c r="QVP16" s="310" t="s">
        <v>201</v>
      </c>
      <c r="QVQ16" s="310" t="s">
        <v>201</v>
      </c>
      <c r="QVR16" s="310" t="s">
        <v>201</v>
      </c>
      <c r="QVS16" s="310" t="s">
        <v>201</v>
      </c>
      <c r="QVT16" s="310" t="s">
        <v>201</v>
      </c>
      <c r="QVU16" s="310" t="s">
        <v>201</v>
      </c>
      <c r="QVV16" s="310" t="s">
        <v>201</v>
      </c>
      <c r="QVW16" s="310" t="s">
        <v>201</v>
      </c>
      <c r="QVX16" s="310" t="s">
        <v>201</v>
      </c>
      <c r="QVY16" s="310" t="s">
        <v>201</v>
      </c>
      <c r="QVZ16" s="310" t="s">
        <v>201</v>
      </c>
      <c r="QWA16" s="310" t="s">
        <v>201</v>
      </c>
      <c r="QWB16" s="310" t="s">
        <v>201</v>
      </c>
      <c r="QWC16" s="310" t="s">
        <v>201</v>
      </c>
      <c r="QWD16" s="310" t="s">
        <v>201</v>
      </c>
      <c r="QWE16" s="310" t="s">
        <v>201</v>
      </c>
      <c r="QWF16" s="310" t="s">
        <v>201</v>
      </c>
      <c r="QWG16" s="310" t="s">
        <v>201</v>
      </c>
      <c r="QWH16" s="310" t="s">
        <v>201</v>
      </c>
      <c r="QWI16" s="310" t="s">
        <v>201</v>
      </c>
      <c r="QWJ16" s="310" t="s">
        <v>201</v>
      </c>
      <c r="QWK16" s="310" t="s">
        <v>201</v>
      </c>
      <c r="QWL16" s="310" t="s">
        <v>201</v>
      </c>
      <c r="QWM16" s="310" t="s">
        <v>201</v>
      </c>
      <c r="QWN16" s="310" t="s">
        <v>201</v>
      </c>
      <c r="QWO16" s="310" t="s">
        <v>201</v>
      </c>
      <c r="QWP16" s="310" t="s">
        <v>201</v>
      </c>
      <c r="QWQ16" s="310" t="s">
        <v>201</v>
      </c>
      <c r="QWR16" s="310" t="s">
        <v>201</v>
      </c>
      <c r="QWS16" s="310" t="s">
        <v>201</v>
      </c>
      <c r="QWT16" s="310" t="s">
        <v>201</v>
      </c>
      <c r="QWU16" s="310" t="s">
        <v>201</v>
      </c>
      <c r="QWV16" s="310" t="s">
        <v>201</v>
      </c>
      <c r="QWW16" s="310" t="s">
        <v>201</v>
      </c>
      <c r="QWX16" s="310" t="s">
        <v>201</v>
      </c>
      <c r="QWY16" s="310" t="s">
        <v>201</v>
      </c>
      <c r="QWZ16" s="310" t="s">
        <v>201</v>
      </c>
      <c r="QXA16" s="310" t="s">
        <v>201</v>
      </c>
      <c r="QXB16" s="310" t="s">
        <v>201</v>
      </c>
      <c r="QXC16" s="310" t="s">
        <v>201</v>
      </c>
      <c r="QXD16" s="310" t="s">
        <v>201</v>
      </c>
      <c r="QXE16" s="310" t="s">
        <v>201</v>
      </c>
      <c r="QXF16" s="310" t="s">
        <v>201</v>
      </c>
      <c r="QXG16" s="310" t="s">
        <v>201</v>
      </c>
      <c r="QXH16" s="310" t="s">
        <v>201</v>
      </c>
      <c r="QXI16" s="310" t="s">
        <v>201</v>
      </c>
      <c r="QXJ16" s="310" t="s">
        <v>201</v>
      </c>
      <c r="QXK16" s="310" t="s">
        <v>201</v>
      </c>
      <c r="QXL16" s="310" t="s">
        <v>201</v>
      </c>
      <c r="QXM16" s="310" t="s">
        <v>201</v>
      </c>
      <c r="QXN16" s="310" t="s">
        <v>201</v>
      </c>
      <c r="QXO16" s="310" t="s">
        <v>201</v>
      </c>
      <c r="QXP16" s="310" t="s">
        <v>201</v>
      </c>
      <c r="QXQ16" s="310" t="s">
        <v>201</v>
      </c>
      <c r="QXR16" s="310" t="s">
        <v>201</v>
      </c>
      <c r="QXS16" s="310" t="s">
        <v>201</v>
      </c>
      <c r="QXT16" s="310" t="s">
        <v>201</v>
      </c>
      <c r="QXU16" s="310" t="s">
        <v>201</v>
      </c>
      <c r="QXV16" s="310" t="s">
        <v>201</v>
      </c>
      <c r="QXW16" s="310" t="s">
        <v>201</v>
      </c>
      <c r="QXX16" s="310" t="s">
        <v>201</v>
      </c>
      <c r="QXY16" s="310" t="s">
        <v>201</v>
      </c>
      <c r="QXZ16" s="310" t="s">
        <v>201</v>
      </c>
      <c r="QYA16" s="310" t="s">
        <v>201</v>
      </c>
      <c r="QYB16" s="310" t="s">
        <v>201</v>
      </c>
      <c r="QYC16" s="310" t="s">
        <v>201</v>
      </c>
      <c r="QYD16" s="310" t="s">
        <v>201</v>
      </c>
      <c r="QYE16" s="310" t="s">
        <v>201</v>
      </c>
      <c r="QYF16" s="310" t="s">
        <v>201</v>
      </c>
      <c r="QYG16" s="310" t="s">
        <v>201</v>
      </c>
      <c r="QYH16" s="310" t="s">
        <v>201</v>
      </c>
      <c r="QYI16" s="310" t="s">
        <v>201</v>
      </c>
      <c r="QYJ16" s="310" t="s">
        <v>201</v>
      </c>
      <c r="QYK16" s="310" t="s">
        <v>201</v>
      </c>
      <c r="QYL16" s="310" t="s">
        <v>201</v>
      </c>
      <c r="QYM16" s="310" t="s">
        <v>201</v>
      </c>
      <c r="QYN16" s="310" t="s">
        <v>201</v>
      </c>
      <c r="QYO16" s="310" t="s">
        <v>201</v>
      </c>
      <c r="QYP16" s="310" t="s">
        <v>201</v>
      </c>
      <c r="QYQ16" s="310" t="s">
        <v>201</v>
      </c>
      <c r="QYR16" s="310" t="s">
        <v>201</v>
      </c>
      <c r="QYS16" s="310" t="s">
        <v>201</v>
      </c>
      <c r="QYT16" s="310" t="s">
        <v>201</v>
      </c>
      <c r="QYU16" s="310" t="s">
        <v>201</v>
      </c>
      <c r="QYV16" s="310" t="s">
        <v>201</v>
      </c>
      <c r="QYW16" s="310" t="s">
        <v>201</v>
      </c>
      <c r="QYX16" s="310" t="s">
        <v>201</v>
      </c>
      <c r="QYY16" s="310" t="s">
        <v>201</v>
      </c>
      <c r="QYZ16" s="310" t="s">
        <v>201</v>
      </c>
      <c r="QZA16" s="310" t="s">
        <v>201</v>
      </c>
      <c r="QZB16" s="310" t="s">
        <v>201</v>
      </c>
      <c r="QZC16" s="310" t="s">
        <v>201</v>
      </c>
      <c r="QZD16" s="310" t="s">
        <v>201</v>
      </c>
      <c r="QZE16" s="310" t="s">
        <v>201</v>
      </c>
      <c r="QZF16" s="310" t="s">
        <v>201</v>
      </c>
      <c r="QZG16" s="310" t="s">
        <v>201</v>
      </c>
      <c r="QZH16" s="310" t="s">
        <v>201</v>
      </c>
      <c r="QZI16" s="310" t="s">
        <v>201</v>
      </c>
      <c r="QZJ16" s="310" t="s">
        <v>201</v>
      </c>
      <c r="QZK16" s="310" t="s">
        <v>201</v>
      </c>
      <c r="QZL16" s="310" t="s">
        <v>201</v>
      </c>
      <c r="QZM16" s="310" t="s">
        <v>201</v>
      </c>
      <c r="QZN16" s="310" t="s">
        <v>201</v>
      </c>
      <c r="QZO16" s="310" t="s">
        <v>201</v>
      </c>
      <c r="QZP16" s="310" t="s">
        <v>201</v>
      </c>
      <c r="QZQ16" s="310" t="s">
        <v>201</v>
      </c>
      <c r="QZR16" s="310" t="s">
        <v>201</v>
      </c>
      <c r="QZS16" s="310" t="s">
        <v>201</v>
      </c>
      <c r="QZT16" s="310" t="s">
        <v>201</v>
      </c>
      <c r="QZU16" s="310" t="s">
        <v>201</v>
      </c>
      <c r="QZV16" s="310" t="s">
        <v>201</v>
      </c>
      <c r="QZW16" s="310" t="s">
        <v>201</v>
      </c>
      <c r="QZX16" s="310" t="s">
        <v>201</v>
      </c>
      <c r="QZY16" s="310" t="s">
        <v>201</v>
      </c>
      <c r="QZZ16" s="310" t="s">
        <v>201</v>
      </c>
      <c r="RAA16" s="310" t="s">
        <v>201</v>
      </c>
      <c r="RAB16" s="310" t="s">
        <v>201</v>
      </c>
      <c r="RAC16" s="310" t="s">
        <v>201</v>
      </c>
      <c r="RAD16" s="310" t="s">
        <v>201</v>
      </c>
      <c r="RAE16" s="310" t="s">
        <v>201</v>
      </c>
      <c r="RAF16" s="310" t="s">
        <v>201</v>
      </c>
      <c r="RAG16" s="310" t="s">
        <v>201</v>
      </c>
      <c r="RAH16" s="310" t="s">
        <v>201</v>
      </c>
      <c r="RAI16" s="310" t="s">
        <v>201</v>
      </c>
      <c r="RAJ16" s="310" t="s">
        <v>201</v>
      </c>
      <c r="RAK16" s="310" t="s">
        <v>201</v>
      </c>
      <c r="RAL16" s="310" t="s">
        <v>201</v>
      </c>
      <c r="RAM16" s="310" t="s">
        <v>201</v>
      </c>
      <c r="RAN16" s="310" t="s">
        <v>201</v>
      </c>
      <c r="RAO16" s="310" t="s">
        <v>201</v>
      </c>
      <c r="RAP16" s="310" t="s">
        <v>201</v>
      </c>
      <c r="RAQ16" s="310" t="s">
        <v>201</v>
      </c>
      <c r="RAR16" s="310" t="s">
        <v>201</v>
      </c>
      <c r="RAS16" s="310" t="s">
        <v>201</v>
      </c>
      <c r="RAT16" s="310" t="s">
        <v>201</v>
      </c>
      <c r="RAU16" s="310" t="s">
        <v>201</v>
      </c>
      <c r="RAV16" s="310" t="s">
        <v>201</v>
      </c>
      <c r="RAW16" s="310" t="s">
        <v>201</v>
      </c>
      <c r="RAX16" s="310" t="s">
        <v>201</v>
      </c>
      <c r="RAY16" s="310" t="s">
        <v>201</v>
      </c>
      <c r="RAZ16" s="310" t="s">
        <v>201</v>
      </c>
      <c r="RBA16" s="310" t="s">
        <v>201</v>
      </c>
      <c r="RBB16" s="310" t="s">
        <v>201</v>
      </c>
      <c r="RBC16" s="310" t="s">
        <v>201</v>
      </c>
      <c r="RBD16" s="310" t="s">
        <v>201</v>
      </c>
      <c r="RBE16" s="310" t="s">
        <v>201</v>
      </c>
      <c r="RBF16" s="310" t="s">
        <v>201</v>
      </c>
      <c r="RBG16" s="310" t="s">
        <v>201</v>
      </c>
      <c r="RBH16" s="310" t="s">
        <v>201</v>
      </c>
      <c r="RBI16" s="310" t="s">
        <v>201</v>
      </c>
      <c r="RBJ16" s="310" t="s">
        <v>201</v>
      </c>
      <c r="RBK16" s="310" t="s">
        <v>201</v>
      </c>
      <c r="RBL16" s="310" t="s">
        <v>201</v>
      </c>
      <c r="RBM16" s="310" t="s">
        <v>201</v>
      </c>
      <c r="RBN16" s="310" t="s">
        <v>201</v>
      </c>
      <c r="RBO16" s="310" t="s">
        <v>201</v>
      </c>
      <c r="RBP16" s="310" t="s">
        <v>201</v>
      </c>
      <c r="RBQ16" s="310" t="s">
        <v>201</v>
      </c>
      <c r="RBR16" s="310" t="s">
        <v>201</v>
      </c>
      <c r="RBS16" s="310" t="s">
        <v>201</v>
      </c>
      <c r="RBT16" s="310" t="s">
        <v>201</v>
      </c>
      <c r="RBU16" s="310" t="s">
        <v>201</v>
      </c>
      <c r="RBV16" s="310" t="s">
        <v>201</v>
      </c>
      <c r="RBW16" s="310" t="s">
        <v>201</v>
      </c>
      <c r="RBX16" s="310" t="s">
        <v>201</v>
      </c>
      <c r="RBY16" s="310" t="s">
        <v>201</v>
      </c>
      <c r="RBZ16" s="310" t="s">
        <v>201</v>
      </c>
      <c r="RCA16" s="310" t="s">
        <v>201</v>
      </c>
      <c r="RCB16" s="310" t="s">
        <v>201</v>
      </c>
      <c r="RCC16" s="310" t="s">
        <v>201</v>
      </c>
      <c r="RCD16" s="310" t="s">
        <v>201</v>
      </c>
      <c r="RCE16" s="310" t="s">
        <v>201</v>
      </c>
      <c r="RCF16" s="310" t="s">
        <v>201</v>
      </c>
      <c r="RCG16" s="310" t="s">
        <v>201</v>
      </c>
      <c r="RCH16" s="310" t="s">
        <v>201</v>
      </c>
      <c r="RCI16" s="310" t="s">
        <v>201</v>
      </c>
      <c r="RCJ16" s="310" t="s">
        <v>201</v>
      </c>
      <c r="RCK16" s="310" t="s">
        <v>201</v>
      </c>
      <c r="RCL16" s="310" t="s">
        <v>201</v>
      </c>
      <c r="RCM16" s="310" t="s">
        <v>201</v>
      </c>
      <c r="RCN16" s="310" t="s">
        <v>201</v>
      </c>
      <c r="RCO16" s="310" t="s">
        <v>201</v>
      </c>
      <c r="RCP16" s="310" t="s">
        <v>201</v>
      </c>
      <c r="RCQ16" s="310" t="s">
        <v>201</v>
      </c>
      <c r="RCR16" s="310" t="s">
        <v>201</v>
      </c>
      <c r="RCS16" s="310" t="s">
        <v>201</v>
      </c>
      <c r="RCT16" s="310" t="s">
        <v>201</v>
      </c>
      <c r="RCU16" s="310" t="s">
        <v>201</v>
      </c>
      <c r="RCV16" s="310" t="s">
        <v>201</v>
      </c>
      <c r="RCW16" s="310" t="s">
        <v>201</v>
      </c>
      <c r="RCX16" s="310" t="s">
        <v>201</v>
      </c>
      <c r="RCY16" s="310" t="s">
        <v>201</v>
      </c>
      <c r="RCZ16" s="310" t="s">
        <v>201</v>
      </c>
      <c r="RDA16" s="310" t="s">
        <v>201</v>
      </c>
      <c r="RDB16" s="310" t="s">
        <v>201</v>
      </c>
      <c r="RDC16" s="310" t="s">
        <v>201</v>
      </c>
      <c r="RDD16" s="310" t="s">
        <v>201</v>
      </c>
      <c r="RDE16" s="310" t="s">
        <v>201</v>
      </c>
      <c r="RDF16" s="310" t="s">
        <v>201</v>
      </c>
      <c r="RDG16" s="310" t="s">
        <v>201</v>
      </c>
      <c r="RDH16" s="310" t="s">
        <v>201</v>
      </c>
      <c r="RDI16" s="310" t="s">
        <v>201</v>
      </c>
      <c r="RDJ16" s="310" t="s">
        <v>201</v>
      </c>
      <c r="RDK16" s="310" t="s">
        <v>201</v>
      </c>
      <c r="RDL16" s="310" t="s">
        <v>201</v>
      </c>
      <c r="RDM16" s="310" t="s">
        <v>201</v>
      </c>
      <c r="RDN16" s="310" t="s">
        <v>201</v>
      </c>
      <c r="RDO16" s="310" t="s">
        <v>201</v>
      </c>
      <c r="RDP16" s="310" t="s">
        <v>201</v>
      </c>
      <c r="RDQ16" s="310" t="s">
        <v>201</v>
      </c>
      <c r="RDR16" s="310" t="s">
        <v>201</v>
      </c>
      <c r="RDS16" s="310" t="s">
        <v>201</v>
      </c>
      <c r="RDT16" s="310" t="s">
        <v>201</v>
      </c>
      <c r="RDU16" s="310" t="s">
        <v>201</v>
      </c>
      <c r="RDV16" s="310" t="s">
        <v>201</v>
      </c>
      <c r="RDW16" s="310" t="s">
        <v>201</v>
      </c>
      <c r="RDX16" s="310" t="s">
        <v>201</v>
      </c>
      <c r="RDY16" s="310" t="s">
        <v>201</v>
      </c>
      <c r="RDZ16" s="310" t="s">
        <v>201</v>
      </c>
      <c r="REA16" s="310" t="s">
        <v>201</v>
      </c>
      <c r="REB16" s="310" t="s">
        <v>201</v>
      </c>
      <c r="REC16" s="310" t="s">
        <v>201</v>
      </c>
      <c r="RED16" s="310" t="s">
        <v>201</v>
      </c>
      <c r="REE16" s="310" t="s">
        <v>201</v>
      </c>
      <c r="REF16" s="310" t="s">
        <v>201</v>
      </c>
      <c r="REG16" s="310" t="s">
        <v>201</v>
      </c>
      <c r="REH16" s="310" t="s">
        <v>201</v>
      </c>
      <c r="REI16" s="310" t="s">
        <v>201</v>
      </c>
      <c r="REJ16" s="310" t="s">
        <v>201</v>
      </c>
      <c r="REK16" s="310" t="s">
        <v>201</v>
      </c>
      <c r="REL16" s="310" t="s">
        <v>201</v>
      </c>
      <c r="REM16" s="310" t="s">
        <v>201</v>
      </c>
      <c r="REN16" s="310" t="s">
        <v>201</v>
      </c>
      <c r="REO16" s="310" t="s">
        <v>201</v>
      </c>
      <c r="REP16" s="310" t="s">
        <v>201</v>
      </c>
      <c r="REQ16" s="310" t="s">
        <v>201</v>
      </c>
      <c r="RER16" s="310" t="s">
        <v>201</v>
      </c>
      <c r="RES16" s="310" t="s">
        <v>201</v>
      </c>
      <c r="RET16" s="310" t="s">
        <v>201</v>
      </c>
      <c r="REU16" s="310" t="s">
        <v>201</v>
      </c>
      <c r="REV16" s="310" t="s">
        <v>201</v>
      </c>
      <c r="REW16" s="310" t="s">
        <v>201</v>
      </c>
      <c r="REX16" s="310" t="s">
        <v>201</v>
      </c>
      <c r="REY16" s="310" t="s">
        <v>201</v>
      </c>
      <c r="REZ16" s="310" t="s">
        <v>201</v>
      </c>
      <c r="RFA16" s="310" t="s">
        <v>201</v>
      </c>
      <c r="RFB16" s="310" t="s">
        <v>201</v>
      </c>
      <c r="RFC16" s="310" t="s">
        <v>201</v>
      </c>
      <c r="RFD16" s="310" t="s">
        <v>201</v>
      </c>
      <c r="RFE16" s="310" t="s">
        <v>201</v>
      </c>
      <c r="RFF16" s="310" t="s">
        <v>201</v>
      </c>
      <c r="RFG16" s="310" t="s">
        <v>201</v>
      </c>
      <c r="RFH16" s="310" t="s">
        <v>201</v>
      </c>
      <c r="RFI16" s="310" t="s">
        <v>201</v>
      </c>
      <c r="RFJ16" s="310" t="s">
        <v>201</v>
      </c>
      <c r="RFK16" s="310" t="s">
        <v>201</v>
      </c>
      <c r="RFL16" s="310" t="s">
        <v>201</v>
      </c>
      <c r="RFM16" s="310" t="s">
        <v>201</v>
      </c>
      <c r="RFN16" s="310" t="s">
        <v>201</v>
      </c>
      <c r="RFO16" s="310" t="s">
        <v>201</v>
      </c>
      <c r="RFP16" s="310" t="s">
        <v>201</v>
      </c>
      <c r="RFQ16" s="310" t="s">
        <v>201</v>
      </c>
      <c r="RFR16" s="310" t="s">
        <v>201</v>
      </c>
      <c r="RFS16" s="310" t="s">
        <v>201</v>
      </c>
      <c r="RFT16" s="310" t="s">
        <v>201</v>
      </c>
      <c r="RFU16" s="310" t="s">
        <v>201</v>
      </c>
      <c r="RFV16" s="310" t="s">
        <v>201</v>
      </c>
      <c r="RFW16" s="310" t="s">
        <v>201</v>
      </c>
      <c r="RFX16" s="310" t="s">
        <v>201</v>
      </c>
      <c r="RFY16" s="310" t="s">
        <v>201</v>
      </c>
      <c r="RFZ16" s="310" t="s">
        <v>201</v>
      </c>
      <c r="RGA16" s="310" t="s">
        <v>201</v>
      </c>
      <c r="RGB16" s="310" t="s">
        <v>201</v>
      </c>
      <c r="RGC16" s="310" t="s">
        <v>201</v>
      </c>
      <c r="RGD16" s="310" t="s">
        <v>201</v>
      </c>
      <c r="RGE16" s="310" t="s">
        <v>201</v>
      </c>
      <c r="RGF16" s="310" t="s">
        <v>201</v>
      </c>
      <c r="RGG16" s="310" t="s">
        <v>201</v>
      </c>
      <c r="RGH16" s="310" t="s">
        <v>201</v>
      </c>
      <c r="RGI16" s="310" t="s">
        <v>201</v>
      </c>
      <c r="RGJ16" s="310" t="s">
        <v>201</v>
      </c>
      <c r="RGK16" s="310" t="s">
        <v>201</v>
      </c>
      <c r="RGL16" s="310" t="s">
        <v>201</v>
      </c>
      <c r="RGM16" s="310" t="s">
        <v>201</v>
      </c>
      <c r="RGN16" s="310" t="s">
        <v>201</v>
      </c>
      <c r="RGO16" s="310" t="s">
        <v>201</v>
      </c>
      <c r="RGP16" s="310" t="s">
        <v>201</v>
      </c>
      <c r="RGQ16" s="310" t="s">
        <v>201</v>
      </c>
      <c r="RGR16" s="310" t="s">
        <v>201</v>
      </c>
      <c r="RGS16" s="310" t="s">
        <v>201</v>
      </c>
      <c r="RGT16" s="310" t="s">
        <v>201</v>
      </c>
      <c r="RGU16" s="310" t="s">
        <v>201</v>
      </c>
      <c r="RGV16" s="310" t="s">
        <v>201</v>
      </c>
      <c r="RGW16" s="310" t="s">
        <v>201</v>
      </c>
      <c r="RGX16" s="310" t="s">
        <v>201</v>
      </c>
      <c r="RGY16" s="310" t="s">
        <v>201</v>
      </c>
      <c r="RGZ16" s="310" t="s">
        <v>201</v>
      </c>
      <c r="RHA16" s="310" t="s">
        <v>201</v>
      </c>
      <c r="RHB16" s="310" t="s">
        <v>201</v>
      </c>
      <c r="RHC16" s="310" t="s">
        <v>201</v>
      </c>
      <c r="RHD16" s="310" t="s">
        <v>201</v>
      </c>
      <c r="RHE16" s="310" t="s">
        <v>201</v>
      </c>
      <c r="RHF16" s="310" t="s">
        <v>201</v>
      </c>
      <c r="RHG16" s="310" t="s">
        <v>201</v>
      </c>
      <c r="RHH16" s="310" t="s">
        <v>201</v>
      </c>
      <c r="RHI16" s="310" t="s">
        <v>201</v>
      </c>
      <c r="RHJ16" s="310" t="s">
        <v>201</v>
      </c>
      <c r="RHK16" s="310" t="s">
        <v>201</v>
      </c>
      <c r="RHL16" s="310" t="s">
        <v>201</v>
      </c>
      <c r="RHM16" s="310" t="s">
        <v>201</v>
      </c>
      <c r="RHN16" s="310" t="s">
        <v>201</v>
      </c>
      <c r="RHO16" s="310" t="s">
        <v>201</v>
      </c>
      <c r="RHP16" s="310" t="s">
        <v>201</v>
      </c>
      <c r="RHQ16" s="310" t="s">
        <v>201</v>
      </c>
      <c r="RHR16" s="310" t="s">
        <v>201</v>
      </c>
      <c r="RHS16" s="310" t="s">
        <v>201</v>
      </c>
      <c r="RHT16" s="310" t="s">
        <v>201</v>
      </c>
      <c r="RHU16" s="310" t="s">
        <v>201</v>
      </c>
      <c r="RHV16" s="310" t="s">
        <v>201</v>
      </c>
      <c r="RHW16" s="310" t="s">
        <v>201</v>
      </c>
      <c r="RHX16" s="310" t="s">
        <v>201</v>
      </c>
      <c r="RHY16" s="310" t="s">
        <v>201</v>
      </c>
      <c r="RHZ16" s="310" t="s">
        <v>201</v>
      </c>
      <c r="RIA16" s="310" t="s">
        <v>201</v>
      </c>
      <c r="RIB16" s="310" t="s">
        <v>201</v>
      </c>
      <c r="RIC16" s="310" t="s">
        <v>201</v>
      </c>
      <c r="RID16" s="310" t="s">
        <v>201</v>
      </c>
      <c r="RIE16" s="310" t="s">
        <v>201</v>
      </c>
      <c r="RIF16" s="310" t="s">
        <v>201</v>
      </c>
      <c r="RIG16" s="310" t="s">
        <v>201</v>
      </c>
      <c r="RIH16" s="310" t="s">
        <v>201</v>
      </c>
      <c r="RII16" s="310" t="s">
        <v>201</v>
      </c>
      <c r="RIJ16" s="310" t="s">
        <v>201</v>
      </c>
      <c r="RIK16" s="310" t="s">
        <v>201</v>
      </c>
      <c r="RIL16" s="310" t="s">
        <v>201</v>
      </c>
      <c r="RIM16" s="310" t="s">
        <v>201</v>
      </c>
      <c r="RIN16" s="310" t="s">
        <v>201</v>
      </c>
      <c r="RIO16" s="310" t="s">
        <v>201</v>
      </c>
      <c r="RIP16" s="310" t="s">
        <v>201</v>
      </c>
      <c r="RIQ16" s="310" t="s">
        <v>201</v>
      </c>
      <c r="RIR16" s="310" t="s">
        <v>201</v>
      </c>
      <c r="RIS16" s="310" t="s">
        <v>201</v>
      </c>
      <c r="RIT16" s="310" t="s">
        <v>201</v>
      </c>
      <c r="RIU16" s="310" t="s">
        <v>201</v>
      </c>
      <c r="RIV16" s="310" t="s">
        <v>201</v>
      </c>
      <c r="RIW16" s="310" t="s">
        <v>201</v>
      </c>
      <c r="RIX16" s="310" t="s">
        <v>201</v>
      </c>
      <c r="RIY16" s="310" t="s">
        <v>201</v>
      </c>
      <c r="RIZ16" s="310" t="s">
        <v>201</v>
      </c>
      <c r="RJA16" s="310" t="s">
        <v>201</v>
      </c>
      <c r="RJB16" s="310" t="s">
        <v>201</v>
      </c>
      <c r="RJC16" s="310" t="s">
        <v>201</v>
      </c>
      <c r="RJD16" s="310" t="s">
        <v>201</v>
      </c>
      <c r="RJE16" s="310" t="s">
        <v>201</v>
      </c>
      <c r="RJF16" s="310" t="s">
        <v>201</v>
      </c>
      <c r="RJG16" s="310" t="s">
        <v>201</v>
      </c>
      <c r="RJH16" s="310" t="s">
        <v>201</v>
      </c>
      <c r="RJI16" s="310" t="s">
        <v>201</v>
      </c>
      <c r="RJJ16" s="310" t="s">
        <v>201</v>
      </c>
      <c r="RJK16" s="310" t="s">
        <v>201</v>
      </c>
      <c r="RJL16" s="310" t="s">
        <v>201</v>
      </c>
      <c r="RJM16" s="310" t="s">
        <v>201</v>
      </c>
      <c r="RJN16" s="310" t="s">
        <v>201</v>
      </c>
      <c r="RJO16" s="310" t="s">
        <v>201</v>
      </c>
      <c r="RJP16" s="310" t="s">
        <v>201</v>
      </c>
      <c r="RJQ16" s="310" t="s">
        <v>201</v>
      </c>
      <c r="RJR16" s="310" t="s">
        <v>201</v>
      </c>
      <c r="RJS16" s="310" t="s">
        <v>201</v>
      </c>
      <c r="RJT16" s="310" t="s">
        <v>201</v>
      </c>
      <c r="RJU16" s="310" t="s">
        <v>201</v>
      </c>
      <c r="RJV16" s="310" t="s">
        <v>201</v>
      </c>
      <c r="RJW16" s="310" t="s">
        <v>201</v>
      </c>
      <c r="RJX16" s="310" t="s">
        <v>201</v>
      </c>
      <c r="RJY16" s="310" t="s">
        <v>201</v>
      </c>
      <c r="RJZ16" s="310" t="s">
        <v>201</v>
      </c>
      <c r="RKA16" s="310" t="s">
        <v>201</v>
      </c>
      <c r="RKB16" s="310" t="s">
        <v>201</v>
      </c>
      <c r="RKC16" s="310" t="s">
        <v>201</v>
      </c>
      <c r="RKD16" s="310" t="s">
        <v>201</v>
      </c>
      <c r="RKE16" s="310" t="s">
        <v>201</v>
      </c>
      <c r="RKF16" s="310" t="s">
        <v>201</v>
      </c>
      <c r="RKG16" s="310" t="s">
        <v>201</v>
      </c>
      <c r="RKH16" s="310" t="s">
        <v>201</v>
      </c>
      <c r="RKI16" s="310" t="s">
        <v>201</v>
      </c>
      <c r="RKJ16" s="310" t="s">
        <v>201</v>
      </c>
      <c r="RKK16" s="310" t="s">
        <v>201</v>
      </c>
      <c r="RKL16" s="310" t="s">
        <v>201</v>
      </c>
      <c r="RKM16" s="310" t="s">
        <v>201</v>
      </c>
      <c r="RKN16" s="310" t="s">
        <v>201</v>
      </c>
      <c r="RKO16" s="310" t="s">
        <v>201</v>
      </c>
      <c r="RKP16" s="310" t="s">
        <v>201</v>
      </c>
      <c r="RKQ16" s="310" t="s">
        <v>201</v>
      </c>
      <c r="RKR16" s="310" t="s">
        <v>201</v>
      </c>
      <c r="RKS16" s="310" t="s">
        <v>201</v>
      </c>
      <c r="RKT16" s="310" t="s">
        <v>201</v>
      </c>
      <c r="RKU16" s="310" t="s">
        <v>201</v>
      </c>
      <c r="RKV16" s="310" t="s">
        <v>201</v>
      </c>
      <c r="RKW16" s="310" t="s">
        <v>201</v>
      </c>
      <c r="RKX16" s="310" t="s">
        <v>201</v>
      </c>
      <c r="RKY16" s="310" t="s">
        <v>201</v>
      </c>
      <c r="RKZ16" s="310" t="s">
        <v>201</v>
      </c>
      <c r="RLA16" s="310" t="s">
        <v>201</v>
      </c>
      <c r="RLB16" s="310" t="s">
        <v>201</v>
      </c>
      <c r="RLC16" s="310" t="s">
        <v>201</v>
      </c>
      <c r="RLD16" s="310" t="s">
        <v>201</v>
      </c>
      <c r="RLE16" s="310" t="s">
        <v>201</v>
      </c>
      <c r="RLF16" s="310" t="s">
        <v>201</v>
      </c>
      <c r="RLG16" s="310" t="s">
        <v>201</v>
      </c>
      <c r="RLH16" s="310" t="s">
        <v>201</v>
      </c>
      <c r="RLI16" s="310" t="s">
        <v>201</v>
      </c>
      <c r="RLJ16" s="310" t="s">
        <v>201</v>
      </c>
      <c r="RLK16" s="310" t="s">
        <v>201</v>
      </c>
      <c r="RLL16" s="310" t="s">
        <v>201</v>
      </c>
      <c r="RLM16" s="310" t="s">
        <v>201</v>
      </c>
      <c r="RLN16" s="310" t="s">
        <v>201</v>
      </c>
      <c r="RLO16" s="310" t="s">
        <v>201</v>
      </c>
      <c r="RLP16" s="310" t="s">
        <v>201</v>
      </c>
      <c r="RLQ16" s="310" t="s">
        <v>201</v>
      </c>
      <c r="RLR16" s="310" t="s">
        <v>201</v>
      </c>
      <c r="RLS16" s="310" t="s">
        <v>201</v>
      </c>
      <c r="RLT16" s="310" t="s">
        <v>201</v>
      </c>
      <c r="RLU16" s="310" t="s">
        <v>201</v>
      </c>
      <c r="RLV16" s="310" t="s">
        <v>201</v>
      </c>
      <c r="RLW16" s="310" t="s">
        <v>201</v>
      </c>
      <c r="RLX16" s="310" t="s">
        <v>201</v>
      </c>
      <c r="RLY16" s="310" t="s">
        <v>201</v>
      </c>
      <c r="RLZ16" s="310" t="s">
        <v>201</v>
      </c>
      <c r="RMA16" s="310" t="s">
        <v>201</v>
      </c>
      <c r="RMB16" s="310" t="s">
        <v>201</v>
      </c>
      <c r="RMC16" s="310" t="s">
        <v>201</v>
      </c>
      <c r="RMD16" s="310" t="s">
        <v>201</v>
      </c>
      <c r="RME16" s="310" t="s">
        <v>201</v>
      </c>
      <c r="RMF16" s="310" t="s">
        <v>201</v>
      </c>
      <c r="RMG16" s="310" t="s">
        <v>201</v>
      </c>
      <c r="RMH16" s="310" t="s">
        <v>201</v>
      </c>
      <c r="RMI16" s="310" t="s">
        <v>201</v>
      </c>
      <c r="RMJ16" s="310" t="s">
        <v>201</v>
      </c>
      <c r="RMK16" s="310" t="s">
        <v>201</v>
      </c>
      <c r="RML16" s="310" t="s">
        <v>201</v>
      </c>
      <c r="RMM16" s="310" t="s">
        <v>201</v>
      </c>
      <c r="RMN16" s="310" t="s">
        <v>201</v>
      </c>
      <c r="RMO16" s="310" t="s">
        <v>201</v>
      </c>
      <c r="RMP16" s="310" t="s">
        <v>201</v>
      </c>
      <c r="RMQ16" s="310" t="s">
        <v>201</v>
      </c>
      <c r="RMR16" s="310" t="s">
        <v>201</v>
      </c>
      <c r="RMS16" s="310" t="s">
        <v>201</v>
      </c>
      <c r="RMT16" s="310" t="s">
        <v>201</v>
      </c>
      <c r="RMU16" s="310" t="s">
        <v>201</v>
      </c>
      <c r="RMV16" s="310" t="s">
        <v>201</v>
      </c>
      <c r="RMW16" s="310" t="s">
        <v>201</v>
      </c>
      <c r="RMX16" s="310" t="s">
        <v>201</v>
      </c>
      <c r="RMY16" s="310" t="s">
        <v>201</v>
      </c>
      <c r="RMZ16" s="310" t="s">
        <v>201</v>
      </c>
      <c r="RNA16" s="310" t="s">
        <v>201</v>
      </c>
      <c r="RNB16" s="310" t="s">
        <v>201</v>
      </c>
      <c r="RNC16" s="310" t="s">
        <v>201</v>
      </c>
      <c r="RND16" s="310" t="s">
        <v>201</v>
      </c>
      <c r="RNE16" s="310" t="s">
        <v>201</v>
      </c>
      <c r="RNF16" s="310" t="s">
        <v>201</v>
      </c>
      <c r="RNG16" s="310" t="s">
        <v>201</v>
      </c>
      <c r="RNH16" s="310" t="s">
        <v>201</v>
      </c>
      <c r="RNI16" s="310" t="s">
        <v>201</v>
      </c>
      <c r="RNJ16" s="310" t="s">
        <v>201</v>
      </c>
      <c r="RNK16" s="310" t="s">
        <v>201</v>
      </c>
      <c r="RNL16" s="310" t="s">
        <v>201</v>
      </c>
      <c r="RNM16" s="310" t="s">
        <v>201</v>
      </c>
      <c r="RNN16" s="310" t="s">
        <v>201</v>
      </c>
      <c r="RNO16" s="310" t="s">
        <v>201</v>
      </c>
      <c r="RNP16" s="310" t="s">
        <v>201</v>
      </c>
      <c r="RNQ16" s="310" t="s">
        <v>201</v>
      </c>
      <c r="RNR16" s="310" t="s">
        <v>201</v>
      </c>
      <c r="RNS16" s="310" t="s">
        <v>201</v>
      </c>
      <c r="RNT16" s="310" t="s">
        <v>201</v>
      </c>
      <c r="RNU16" s="310" t="s">
        <v>201</v>
      </c>
      <c r="RNV16" s="310" t="s">
        <v>201</v>
      </c>
      <c r="RNW16" s="310" t="s">
        <v>201</v>
      </c>
      <c r="RNX16" s="310" t="s">
        <v>201</v>
      </c>
      <c r="RNY16" s="310" t="s">
        <v>201</v>
      </c>
      <c r="RNZ16" s="310" t="s">
        <v>201</v>
      </c>
      <c r="ROA16" s="310" t="s">
        <v>201</v>
      </c>
      <c r="ROB16" s="310" t="s">
        <v>201</v>
      </c>
      <c r="ROC16" s="310" t="s">
        <v>201</v>
      </c>
      <c r="ROD16" s="310" t="s">
        <v>201</v>
      </c>
      <c r="ROE16" s="310" t="s">
        <v>201</v>
      </c>
      <c r="ROF16" s="310" t="s">
        <v>201</v>
      </c>
      <c r="ROG16" s="310" t="s">
        <v>201</v>
      </c>
      <c r="ROH16" s="310" t="s">
        <v>201</v>
      </c>
      <c r="ROI16" s="310" t="s">
        <v>201</v>
      </c>
      <c r="ROJ16" s="310" t="s">
        <v>201</v>
      </c>
      <c r="ROK16" s="310" t="s">
        <v>201</v>
      </c>
      <c r="ROL16" s="310" t="s">
        <v>201</v>
      </c>
      <c r="ROM16" s="310" t="s">
        <v>201</v>
      </c>
      <c r="RON16" s="310" t="s">
        <v>201</v>
      </c>
      <c r="ROO16" s="310" t="s">
        <v>201</v>
      </c>
      <c r="ROP16" s="310" t="s">
        <v>201</v>
      </c>
      <c r="ROQ16" s="310" t="s">
        <v>201</v>
      </c>
      <c r="ROR16" s="310" t="s">
        <v>201</v>
      </c>
      <c r="ROS16" s="310" t="s">
        <v>201</v>
      </c>
      <c r="ROT16" s="310" t="s">
        <v>201</v>
      </c>
      <c r="ROU16" s="310" t="s">
        <v>201</v>
      </c>
      <c r="ROV16" s="310" t="s">
        <v>201</v>
      </c>
      <c r="ROW16" s="310" t="s">
        <v>201</v>
      </c>
      <c r="ROX16" s="310" t="s">
        <v>201</v>
      </c>
      <c r="ROY16" s="310" t="s">
        <v>201</v>
      </c>
      <c r="ROZ16" s="310" t="s">
        <v>201</v>
      </c>
      <c r="RPA16" s="310" t="s">
        <v>201</v>
      </c>
      <c r="RPB16" s="310" t="s">
        <v>201</v>
      </c>
      <c r="RPC16" s="310" t="s">
        <v>201</v>
      </c>
      <c r="RPD16" s="310" t="s">
        <v>201</v>
      </c>
      <c r="RPE16" s="310" t="s">
        <v>201</v>
      </c>
      <c r="RPF16" s="310" t="s">
        <v>201</v>
      </c>
      <c r="RPG16" s="310" t="s">
        <v>201</v>
      </c>
      <c r="RPH16" s="310" t="s">
        <v>201</v>
      </c>
      <c r="RPI16" s="310" t="s">
        <v>201</v>
      </c>
      <c r="RPJ16" s="310" t="s">
        <v>201</v>
      </c>
      <c r="RPK16" s="310" t="s">
        <v>201</v>
      </c>
      <c r="RPL16" s="310" t="s">
        <v>201</v>
      </c>
      <c r="RPM16" s="310" t="s">
        <v>201</v>
      </c>
      <c r="RPN16" s="310" t="s">
        <v>201</v>
      </c>
      <c r="RPO16" s="310" t="s">
        <v>201</v>
      </c>
      <c r="RPP16" s="310" t="s">
        <v>201</v>
      </c>
      <c r="RPQ16" s="310" t="s">
        <v>201</v>
      </c>
      <c r="RPR16" s="310" t="s">
        <v>201</v>
      </c>
      <c r="RPS16" s="310" t="s">
        <v>201</v>
      </c>
      <c r="RPT16" s="310" t="s">
        <v>201</v>
      </c>
      <c r="RPU16" s="310" t="s">
        <v>201</v>
      </c>
      <c r="RPV16" s="310" t="s">
        <v>201</v>
      </c>
      <c r="RPW16" s="310" t="s">
        <v>201</v>
      </c>
      <c r="RPX16" s="310" t="s">
        <v>201</v>
      </c>
      <c r="RPY16" s="310" t="s">
        <v>201</v>
      </c>
      <c r="RPZ16" s="310" t="s">
        <v>201</v>
      </c>
      <c r="RQA16" s="310" t="s">
        <v>201</v>
      </c>
      <c r="RQB16" s="310" t="s">
        <v>201</v>
      </c>
      <c r="RQC16" s="310" t="s">
        <v>201</v>
      </c>
      <c r="RQD16" s="310" t="s">
        <v>201</v>
      </c>
      <c r="RQE16" s="310" t="s">
        <v>201</v>
      </c>
      <c r="RQF16" s="310" t="s">
        <v>201</v>
      </c>
      <c r="RQG16" s="310" t="s">
        <v>201</v>
      </c>
      <c r="RQH16" s="310" t="s">
        <v>201</v>
      </c>
      <c r="RQI16" s="310" t="s">
        <v>201</v>
      </c>
      <c r="RQJ16" s="310" t="s">
        <v>201</v>
      </c>
      <c r="RQK16" s="310" t="s">
        <v>201</v>
      </c>
      <c r="RQL16" s="310" t="s">
        <v>201</v>
      </c>
      <c r="RQM16" s="310" t="s">
        <v>201</v>
      </c>
      <c r="RQN16" s="310" t="s">
        <v>201</v>
      </c>
      <c r="RQO16" s="310" t="s">
        <v>201</v>
      </c>
      <c r="RQP16" s="310" t="s">
        <v>201</v>
      </c>
      <c r="RQQ16" s="310" t="s">
        <v>201</v>
      </c>
      <c r="RQR16" s="310" t="s">
        <v>201</v>
      </c>
      <c r="RQS16" s="310" t="s">
        <v>201</v>
      </c>
      <c r="RQT16" s="310" t="s">
        <v>201</v>
      </c>
      <c r="RQU16" s="310" t="s">
        <v>201</v>
      </c>
      <c r="RQV16" s="310" t="s">
        <v>201</v>
      </c>
      <c r="RQW16" s="310" t="s">
        <v>201</v>
      </c>
      <c r="RQX16" s="310" t="s">
        <v>201</v>
      </c>
      <c r="RQY16" s="310" t="s">
        <v>201</v>
      </c>
      <c r="RQZ16" s="310" t="s">
        <v>201</v>
      </c>
      <c r="RRA16" s="310" t="s">
        <v>201</v>
      </c>
      <c r="RRB16" s="310" t="s">
        <v>201</v>
      </c>
      <c r="RRC16" s="310" t="s">
        <v>201</v>
      </c>
      <c r="RRD16" s="310" t="s">
        <v>201</v>
      </c>
      <c r="RRE16" s="310" t="s">
        <v>201</v>
      </c>
      <c r="RRF16" s="310" t="s">
        <v>201</v>
      </c>
      <c r="RRG16" s="310" t="s">
        <v>201</v>
      </c>
      <c r="RRH16" s="310" t="s">
        <v>201</v>
      </c>
      <c r="RRI16" s="310" t="s">
        <v>201</v>
      </c>
      <c r="RRJ16" s="310" t="s">
        <v>201</v>
      </c>
      <c r="RRK16" s="310" t="s">
        <v>201</v>
      </c>
      <c r="RRL16" s="310" t="s">
        <v>201</v>
      </c>
      <c r="RRM16" s="310" t="s">
        <v>201</v>
      </c>
      <c r="RRN16" s="310" t="s">
        <v>201</v>
      </c>
      <c r="RRO16" s="310" t="s">
        <v>201</v>
      </c>
      <c r="RRP16" s="310" t="s">
        <v>201</v>
      </c>
      <c r="RRQ16" s="310" t="s">
        <v>201</v>
      </c>
      <c r="RRR16" s="310" t="s">
        <v>201</v>
      </c>
      <c r="RRS16" s="310" t="s">
        <v>201</v>
      </c>
      <c r="RRT16" s="310" t="s">
        <v>201</v>
      </c>
      <c r="RRU16" s="310" t="s">
        <v>201</v>
      </c>
      <c r="RRV16" s="310" t="s">
        <v>201</v>
      </c>
      <c r="RRW16" s="310" t="s">
        <v>201</v>
      </c>
      <c r="RRX16" s="310" t="s">
        <v>201</v>
      </c>
      <c r="RRY16" s="310" t="s">
        <v>201</v>
      </c>
      <c r="RRZ16" s="310" t="s">
        <v>201</v>
      </c>
      <c r="RSA16" s="310" t="s">
        <v>201</v>
      </c>
      <c r="RSB16" s="310" t="s">
        <v>201</v>
      </c>
      <c r="RSC16" s="310" t="s">
        <v>201</v>
      </c>
      <c r="RSD16" s="310" t="s">
        <v>201</v>
      </c>
      <c r="RSE16" s="310" t="s">
        <v>201</v>
      </c>
      <c r="RSF16" s="310" t="s">
        <v>201</v>
      </c>
      <c r="RSG16" s="310" t="s">
        <v>201</v>
      </c>
      <c r="RSH16" s="310" t="s">
        <v>201</v>
      </c>
      <c r="RSI16" s="310" t="s">
        <v>201</v>
      </c>
      <c r="RSJ16" s="310" t="s">
        <v>201</v>
      </c>
      <c r="RSK16" s="310" t="s">
        <v>201</v>
      </c>
      <c r="RSL16" s="310" t="s">
        <v>201</v>
      </c>
      <c r="RSM16" s="310" t="s">
        <v>201</v>
      </c>
      <c r="RSN16" s="310" t="s">
        <v>201</v>
      </c>
      <c r="RSO16" s="310" t="s">
        <v>201</v>
      </c>
      <c r="RSP16" s="310" t="s">
        <v>201</v>
      </c>
      <c r="RSQ16" s="310" t="s">
        <v>201</v>
      </c>
      <c r="RSR16" s="310" t="s">
        <v>201</v>
      </c>
      <c r="RSS16" s="310" t="s">
        <v>201</v>
      </c>
      <c r="RST16" s="310" t="s">
        <v>201</v>
      </c>
      <c r="RSU16" s="310" t="s">
        <v>201</v>
      </c>
      <c r="RSV16" s="310" t="s">
        <v>201</v>
      </c>
      <c r="RSW16" s="310" t="s">
        <v>201</v>
      </c>
      <c r="RSX16" s="310" t="s">
        <v>201</v>
      </c>
      <c r="RSY16" s="310" t="s">
        <v>201</v>
      </c>
      <c r="RSZ16" s="310" t="s">
        <v>201</v>
      </c>
      <c r="RTA16" s="310" t="s">
        <v>201</v>
      </c>
      <c r="RTB16" s="310" t="s">
        <v>201</v>
      </c>
      <c r="RTC16" s="310" t="s">
        <v>201</v>
      </c>
      <c r="RTD16" s="310" t="s">
        <v>201</v>
      </c>
      <c r="RTE16" s="310" t="s">
        <v>201</v>
      </c>
      <c r="RTF16" s="310" t="s">
        <v>201</v>
      </c>
      <c r="RTG16" s="310" t="s">
        <v>201</v>
      </c>
      <c r="RTH16" s="310" t="s">
        <v>201</v>
      </c>
      <c r="RTI16" s="310" t="s">
        <v>201</v>
      </c>
      <c r="RTJ16" s="310" t="s">
        <v>201</v>
      </c>
      <c r="RTK16" s="310" t="s">
        <v>201</v>
      </c>
      <c r="RTL16" s="310" t="s">
        <v>201</v>
      </c>
      <c r="RTM16" s="310" t="s">
        <v>201</v>
      </c>
      <c r="RTN16" s="310" t="s">
        <v>201</v>
      </c>
      <c r="RTO16" s="310" t="s">
        <v>201</v>
      </c>
      <c r="RTP16" s="310" t="s">
        <v>201</v>
      </c>
      <c r="RTQ16" s="310" t="s">
        <v>201</v>
      </c>
      <c r="RTR16" s="310" t="s">
        <v>201</v>
      </c>
      <c r="RTS16" s="310" t="s">
        <v>201</v>
      </c>
      <c r="RTT16" s="310" t="s">
        <v>201</v>
      </c>
      <c r="RTU16" s="310" t="s">
        <v>201</v>
      </c>
      <c r="RTV16" s="310" t="s">
        <v>201</v>
      </c>
      <c r="RTW16" s="310" t="s">
        <v>201</v>
      </c>
      <c r="RTX16" s="310" t="s">
        <v>201</v>
      </c>
      <c r="RTY16" s="310" t="s">
        <v>201</v>
      </c>
      <c r="RTZ16" s="310" t="s">
        <v>201</v>
      </c>
      <c r="RUA16" s="310" t="s">
        <v>201</v>
      </c>
      <c r="RUB16" s="310" t="s">
        <v>201</v>
      </c>
      <c r="RUC16" s="310" t="s">
        <v>201</v>
      </c>
      <c r="RUD16" s="310" t="s">
        <v>201</v>
      </c>
      <c r="RUE16" s="310" t="s">
        <v>201</v>
      </c>
      <c r="RUF16" s="310" t="s">
        <v>201</v>
      </c>
      <c r="RUG16" s="310" t="s">
        <v>201</v>
      </c>
      <c r="RUH16" s="310" t="s">
        <v>201</v>
      </c>
      <c r="RUI16" s="310" t="s">
        <v>201</v>
      </c>
      <c r="RUJ16" s="310" t="s">
        <v>201</v>
      </c>
      <c r="RUK16" s="310" t="s">
        <v>201</v>
      </c>
      <c r="RUL16" s="310" t="s">
        <v>201</v>
      </c>
      <c r="RUM16" s="310" t="s">
        <v>201</v>
      </c>
      <c r="RUN16" s="310" t="s">
        <v>201</v>
      </c>
      <c r="RUO16" s="310" t="s">
        <v>201</v>
      </c>
      <c r="RUP16" s="310" t="s">
        <v>201</v>
      </c>
      <c r="RUQ16" s="310" t="s">
        <v>201</v>
      </c>
      <c r="RUR16" s="310" t="s">
        <v>201</v>
      </c>
      <c r="RUS16" s="310" t="s">
        <v>201</v>
      </c>
      <c r="RUT16" s="310" t="s">
        <v>201</v>
      </c>
      <c r="RUU16" s="310" t="s">
        <v>201</v>
      </c>
      <c r="RUV16" s="310" t="s">
        <v>201</v>
      </c>
      <c r="RUW16" s="310" t="s">
        <v>201</v>
      </c>
      <c r="RUX16" s="310" t="s">
        <v>201</v>
      </c>
      <c r="RUY16" s="310" t="s">
        <v>201</v>
      </c>
      <c r="RUZ16" s="310" t="s">
        <v>201</v>
      </c>
      <c r="RVA16" s="310" t="s">
        <v>201</v>
      </c>
      <c r="RVB16" s="310" t="s">
        <v>201</v>
      </c>
      <c r="RVC16" s="310" t="s">
        <v>201</v>
      </c>
      <c r="RVD16" s="310" t="s">
        <v>201</v>
      </c>
      <c r="RVE16" s="310" t="s">
        <v>201</v>
      </c>
      <c r="RVF16" s="310" t="s">
        <v>201</v>
      </c>
      <c r="RVG16" s="310" t="s">
        <v>201</v>
      </c>
      <c r="RVH16" s="310" t="s">
        <v>201</v>
      </c>
      <c r="RVI16" s="310" t="s">
        <v>201</v>
      </c>
      <c r="RVJ16" s="310" t="s">
        <v>201</v>
      </c>
      <c r="RVK16" s="310" t="s">
        <v>201</v>
      </c>
      <c r="RVL16" s="310" t="s">
        <v>201</v>
      </c>
      <c r="RVM16" s="310" t="s">
        <v>201</v>
      </c>
      <c r="RVN16" s="310" t="s">
        <v>201</v>
      </c>
      <c r="RVO16" s="310" t="s">
        <v>201</v>
      </c>
      <c r="RVP16" s="310" t="s">
        <v>201</v>
      </c>
      <c r="RVQ16" s="310" t="s">
        <v>201</v>
      </c>
      <c r="RVR16" s="310" t="s">
        <v>201</v>
      </c>
      <c r="RVS16" s="310" t="s">
        <v>201</v>
      </c>
      <c r="RVT16" s="310" t="s">
        <v>201</v>
      </c>
      <c r="RVU16" s="310" t="s">
        <v>201</v>
      </c>
      <c r="RVV16" s="310" t="s">
        <v>201</v>
      </c>
      <c r="RVW16" s="310" t="s">
        <v>201</v>
      </c>
      <c r="RVX16" s="310" t="s">
        <v>201</v>
      </c>
      <c r="RVY16" s="310" t="s">
        <v>201</v>
      </c>
      <c r="RVZ16" s="310" t="s">
        <v>201</v>
      </c>
      <c r="RWA16" s="310" t="s">
        <v>201</v>
      </c>
      <c r="RWB16" s="310" t="s">
        <v>201</v>
      </c>
      <c r="RWC16" s="310" t="s">
        <v>201</v>
      </c>
      <c r="RWD16" s="310" t="s">
        <v>201</v>
      </c>
      <c r="RWE16" s="310" t="s">
        <v>201</v>
      </c>
      <c r="RWF16" s="310" t="s">
        <v>201</v>
      </c>
      <c r="RWG16" s="310" t="s">
        <v>201</v>
      </c>
      <c r="RWH16" s="310" t="s">
        <v>201</v>
      </c>
      <c r="RWI16" s="310" t="s">
        <v>201</v>
      </c>
      <c r="RWJ16" s="310" t="s">
        <v>201</v>
      </c>
      <c r="RWK16" s="310" t="s">
        <v>201</v>
      </c>
      <c r="RWL16" s="310" t="s">
        <v>201</v>
      </c>
      <c r="RWM16" s="310" t="s">
        <v>201</v>
      </c>
      <c r="RWN16" s="310" t="s">
        <v>201</v>
      </c>
      <c r="RWO16" s="310" t="s">
        <v>201</v>
      </c>
      <c r="RWP16" s="310" t="s">
        <v>201</v>
      </c>
      <c r="RWQ16" s="310" t="s">
        <v>201</v>
      </c>
      <c r="RWR16" s="310" t="s">
        <v>201</v>
      </c>
      <c r="RWS16" s="310" t="s">
        <v>201</v>
      </c>
      <c r="RWT16" s="310" t="s">
        <v>201</v>
      </c>
      <c r="RWU16" s="310" t="s">
        <v>201</v>
      </c>
      <c r="RWV16" s="310" t="s">
        <v>201</v>
      </c>
      <c r="RWW16" s="310" t="s">
        <v>201</v>
      </c>
      <c r="RWX16" s="310" t="s">
        <v>201</v>
      </c>
      <c r="RWY16" s="310" t="s">
        <v>201</v>
      </c>
      <c r="RWZ16" s="310" t="s">
        <v>201</v>
      </c>
      <c r="RXA16" s="310" t="s">
        <v>201</v>
      </c>
      <c r="RXB16" s="310" t="s">
        <v>201</v>
      </c>
      <c r="RXC16" s="310" t="s">
        <v>201</v>
      </c>
      <c r="RXD16" s="310" t="s">
        <v>201</v>
      </c>
      <c r="RXE16" s="310" t="s">
        <v>201</v>
      </c>
      <c r="RXF16" s="310" t="s">
        <v>201</v>
      </c>
      <c r="RXG16" s="310" t="s">
        <v>201</v>
      </c>
      <c r="RXH16" s="310" t="s">
        <v>201</v>
      </c>
      <c r="RXI16" s="310" t="s">
        <v>201</v>
      </c>
      <c r="RXJ16" s="310" t="s">
        <v>201</v>
      </c>
      <c r="RXK16" s="310" t="s">
        <v>201</v>
      </c>
      <c r="RXL16" s="310" t="s">
        <v>201</v>
      </c>
      <c r="RXM16" s="310" t="s">
        <v>201</v>
      </c>
      <c r="RXN16" s="310" t="s">
        <v>201</v>
      </c>
      <c r="RXO16" s="310" t="s">
        <v>201</v>
      </c>
      <c r="RXP16" s="310" t="s">
        <v>201</v>
      </c>
      <c r="RXQ16" s="310" t="s">
        <v>201</v>
      </c>
      <c r="RXR16" s="310" t="s">
        <v>201</v>
      </c>
      <c r="RXS16" s="310" t="s">
        <v>201</v>
      </c>
      <c r="RXT16" s="310" t="s">
        <v>201</v>
      </c>
      <c r="RXU16" s="310" t="s">
        <v>201</v>
      </c>
      <c r="RXV16" s="310" t="s">
        <v>201</v>
      </c>
      <c r="RXW16" s="310" t="s">
        <v>201</v>
      </c>
      <c r="RXX16" s="310" t="s">
        <v>201</v>
      </c>
      <c r="RXY16" s="310" t="s">
        <v>201</v>
      </c>
      <c r="RXZ16" s="310" t="s">
        <v>201</v>
      </c>
      <c r="RYA16" s="310" t="s">
        <v>201</v>
      </c>
      <c r="RYB16" s="310" t="s">
        <v>201</v>
      </c>
      <c r="RYC16" s="310" t="s">
        <v>201</v>
      </c>
      <c r="RYD16" s="310" t="s">
        <v>201</v>
      </c>
      <c r="RYE16" s="310" t="s">
        <v>201</v>
      </c>
      <c r="RYF16" s="310" t="s">
        <v>201</v>
      </c>
      <c r="RYG16" s="310" t="s">
        <v>201</v>
      </c>
      <c r="RYH16" s="310" t="s">
        <v>201</v>
      </c>
      <c r="RYI16" s="310" t="s">
        <v>201</v>
      </c>
      <c r="RYJ16" s="310" t="s">
        <v>201</v>
      </c>
      <c r="RYK16" s="310" t="s">
        <v>201</v>
      </c>
      <c r="RYL16" s="310" t="s">
        <v>201</v>
      </c>
      <c r="RYM16" s="310" t="s">
        <v>201</v>
      </c>
      <c r="RYN16" s="310" t="s">
        <v>201</v>
      </c>
      <c r="RYO16" s="310" t="s">
        <v>201</v>
      </c>
      <c r="RYP16" s="310" t="s">
        <v>201</v>
      </c>
      <c r="RYQ16" s="310" t="s">
        <v>201</v>
      </c>
      <c r="RYR16" s="310" t="s">
        <v>201</v>
      </c>
      <c r="RYS16" s="310" t="s">
        <v>201</v>
      </c>
      <c r="RYT16" s="310" t="s">
        <v>201</v>
      </c>
      <c r="RYU16" s="310" t="s">
        <v>201</v>
      </c>
      <c r="RYV16" s="310" t="s">
        <v>201</v>
      </c>
      <c r="RYW16" s="310" t="s">
        <v>201</v>
      </c>
      <c r="RYX16" s="310" t="s">
        <v>201</v>
      </c>
      <c r="RYY16" s="310" t="s">
        <v>201</v>
      </c>
      <c r="RYZ16" s="310" t="s">
        <v>201</v>
      </c>
      <c r="RZA16" s="310" t="s">
        <v>201</v>
      </c>
      <c r="RZB16" s="310" t="s">
        <v>201</v>
      </c>
      <c r="RZC16" s="310" t="s">
        <v>201</v>
      </c>
      <c r="RZD16" s="310" t="s">
        <v>201</v>
      </c>
      <c r="RZE16" s="310" t="s">
        <v>201</v>
      </c>
      <c r="RZF16" s="310" t="s">
        <v>201</v>
      </c>
      <c r="RZG16" s="310" t="s">
        <v>201</v>
      </c>
      <c r="RZH16" s="310" t="s">
        <v>201</v>
      </c>
      <c r="RZI16" s="310" t="s">
        <v>201</v>
      </c>
      <c r="RZJ16" s="310" t="s">
        <v>201</v>
      </c>
      <c r="RZK16" s="310" t="s">
        <v>201</v>
      </c>
      <c r="RZL16" s="310" t="s">
        <v>201</v>
      </c>
      <c r="RZM16" s="310" t="s">
        <v>201</v>
      </c>
      <c r="RZN16" s="310" t="s">
        <v>201</v>
      </c>
      <c r="RZO16" s="310" t="s">
        <v>201</v>
      </c>
      <c r="RZP16" s="310" t="s">
        <v>201</v>
      </c>
      <c r="RZQ16" s="310" t="s">
        <v>201</v>
      </c>
      <c r="RZR16" s="310" t="s">
        <v>201</v>
      </c>
      <c r="RZS16" s="310" t="s">
        <v>201</v>
      </c>
      <c r="RZT16" s="310" t="s">
        <v>201</v>
      </c>
      <c r="RZU16" s="310" t="s">
        <v>201</v>
      </c>
      <c r="RZV16" s="310" t="s">
        <v>201</v>
      </c>
      <c r="RZW16" s="310" t="s">
        <v>201</v>
      </c>
      <c r="RZX16" s="310" t="s">
        <v>201</v>
      </c>
      <c r="RZY16" s="310" t="s">
        <v>201</v>
      </c>
      <c r="RZZ16" s="310" t="s">
        <v>201</v>
      </c>
      <c r="SAA16" s="310" t="s">
        <v>201</v>
      </c>
      <c r="SAB16" s="310" t="s">
        <v>201</v>
      </c>
      <c r="SAC16" s="310" t="s">
        <v>201</v>
      </c>
      <c r="SAD16" s="310" t="s">
        <v>201</v>
      </c>
      <c r="SAE16" s="310" t="s">
        <v>201</v>
      </c>
      <c r="SAF16" s="310" t="s">
        <v>201</v>
      </c>
      <c r="SAG16" s="310" t="s">
        <v>201</v>
      </c>
      <c r="SAH16" s="310" t="s">
        <v>201</v>
      </c>
      <c r="SAI16" s="310" t="s">
        <v>201</v>
      </c>
      <c r="SAJ16" s="310" t="s">
        <v>201</v>
      </c>
      <c r="SAK16" s="310" t="s">
        <v>201</v>
      </c>
      <c r="SAL16" s="310" t="s">
        <v>201</v>
      </c>
      <c r="SAM16" s="310" t="s">
        <v>201</v>
      </c>
      <c r="SAN16" s="310" t="s">
        <v>201</v>
      </c>
      <c r="SAO16" s="310" t="s">
        <v>201</v>
      </c>
      <c r="SAP16" s="310" t="s">
        <v>201</v>
      </c>
      <c r="SAQ16" s="310" t="s">
        <v>201</v>
      </c>
      <c r="SAR16" s="310" t="s">
        <v>201</v>
      </c>
      <c r="SAS16" s="310" t="s">
        <v>201</v>
      </c>
      <c r="SAT16" s="310" t="s">
        <v>201</v>
      </c>
      <c r="SAU16" s="310" t="s">
        <v>201</v>
      </c>
      <c r="SAV16" s="310" t="s">
        <v>201</v>
      </c>
      <c r="SAW16" s="310" t="s">
        <v>201</v>
      </c>
      <c r="SAX16" s="310" t="s">
        <v>201</v>
      </c>
      <c r="SAY16" s="310" t="s">
        <v>201</v>
      </c>
      <c r="SAZ16" s="310" t="s">
        <v>201</v>
      </c>
      <c r="SBA16" s="310" t="s">
        <v>201</v>
      </c>
      <c r="SBB16" s="310" t="s">
        <v>201</v>
      </c>
      <c r="SBC16" s="310" t="s">
        <v>201</v>
      </c>
      <c r="SBD16" s="310" t="s">
        <v>201</v>
      </c>
      <c r="SBE16" s="310" t="s">
        <v>201</v>
      </c>
      <c r="SBF16" s="310" t="s">
        <v>201</v>
      </c>
      <c r="SBG16" s="310" t="s">
        <v>201</v>
      </c>
      <c r="SBH16" s="310" t="s">
        <v>201</v>
      </c>
      <c r="SBI16" s="310" t="s">
        <v>201</v>
      </c>
      <c r="SBJ16" s="310" t="s">
        <v>201</v>
      </c>
      <c r="SBK16" s="310" t="s">
        <v>201</v>
      </c>
      <c r="SBL16" s="310" t="s">
        <v>201</v>
      </c>
      <c r="SBM16" s="310" t="s">
        <v>201</v>
      </c>
      <c r="SBN16" s="310" t="s">
        <v>201</v>
      </c>
      <c r="SBO16" s="310" t="s">
        <v>201</v>
      </c>
      <c r="SBP16" s="310" t="s">
        <v>201</v>
      </c>
      <c r="SBQ16" s="310" t="s">
        <v>201</v>
      </c>
      <c r="SBR16" s="310" t="s">
        <v>201</v>
      </c>
      <c r="SBS16" s="310" t="s">
        <v>201</v>
      </c>
      <c r="SBT16" s="310" t="s">
        <v>201</v>
      </c>
      <c r="SBU16" s="310" t="s">
        <v>201</v>
      </c>
      <c r="SBV16" s="310" t="s">
        <v>201</v>
      </c>
      <c r="SBW16" s="310" t="s">
        <v>201</v>
      </c>
      <c r="SBX16" s="310" t="s">
        <v>201</v>
      </c>
      <c r="SBY16" s="310" t="s">
        <v>201</v>
      </c>
      <c r="SBZ16" s="310" t="s">
        <v>201</v>
      </c>
      <c r="SCA16" s="310" t="s">
        <v>201</v>
      </c>
      <c r="SCB16" s="310" t="s">
        <v>201</v>
      </c>
      <c r="SCC16" s="310" t="s">
        <v>201</v>
      </c>
      <c r="SCD16" s="310" t="s">
        <v>201</v>
      </c>
      <c r="SCE16" s="310" t="s">
        <v>201</v>
      </c>
      <c r="SCF16" s="310" t="s">
        <v>201</v>
      </c>
      <c r="SCG16" s="310" t="s">
        <v>201</v>
      </c>
      <c r="SCH16" s="310" t="s">
        <v>201</v>
      </c>
      <c r="SCI16" s="310" t="s">
        <v>201</v>
      </c>
      <c r="SCJ16" s="310" t="s">
        <v>201</v>
      </c>
      <c r="SCK16" s="310" t="s">
        <v>201</v>
      </c>
      <c r="SCL16" s="310" t="s">
        <v>201</v>
      </c>
      <c r="SCM16" s="310" t="s">
        <v>201</v>
      </c>
      <c r="SCN16" s="310" t="s">
        <v>201</v>
      </c>
      <c r="SCO16" s="310" t="s">
        <v>201</v>
      </c>
      <c r="SCP16" s="310" t="s">
        <v>201</v>
      </c>
      <c r="SCQ16" s="310" t="s">
        <v>201</v>
      </c>
      <c r="SCR16" s="310" t="s">
        <v>201</v>
      </c>
      <c r="SCS16" s="310" t="s">
        <v>201</v>
      </c>
      <c r="SCT16" s="310" t="s">
        <v>201</v>
      </c>
      <c r="SCU16" s="310" t="s">
        <v>201</v>
      </c>
      <c r="SCV16" s="310" t="s">
        <v>201</v>
      </c>
      <c r="SCW16" s="310" t="s">
        <v>201</v>
      </c>
      <c r="SCX16" s="310" t="s">
        <v>201</v>
      </c>
      <c r="SCY16" s="310" t="s">
        <v>201</v>
      </c>
      <c r="SCZ16" s="310" t="s">
        <v>201</v>
      </c>
      <c r="SDA16" s="310" t="s">
        <v>201</v>
      </c>
      <c r="SDB16" s="310" t="s">
        <v>201</v>
      </c>
      <c r="SDC16" s="310" t="s">
        <v>201</v>
      </c>
      <c r="SDD16" s="310" t="s">
        <v>201</v>
      </c>
      <c r="SDE16" s="310" t="s">
        <v>201</v>
      </c>
      <c r="SDF16" s="310" t="s">
        <v>201</v>
      </c>
      <c r="SDG16" s="310" t="s">
        <v>201</v>
      </c>
      <c r="SDH16" s="310" t="s">
        <v>201</v>
      </c>
      <c r="SDI16" s="310" t="s">
        <v>201</v>
      </c>
      <c r="SDJ16" s="310" t="s">
        <v>201</v>
      </c>
      <c r="SDK16" s="310" t="s">
        <v>201</v>
      </c>
      <c r="SDL16" s="310" t="s">
        <v>201</v>
      </c>
      <c r="SDM16" s="310" t="s">
        <v>201</v>
      </c>
      <c r="SDN16" s="310" t="s">
        <v>201</v>
      </c>
      <c r="SDO16" s="310" t="s">
        <v>201</v>
      </c>
      <c r="SDP16" s="310" t="s">
        <v>201</v>
      </c>
      <c r="SDQ16" s="310" t="s">
        <v>201</v>
      </c>
      <c r="SDR16" s="310" t="s">
        <v>201</v>
      </c>
      <c r="SDS16" s="310" t="s">
        <v>201</v>
      </c>
      <c r="SDT16" s="310" t="s">
        <v>201</v>
      </c>
      <c r="SDU16" s="310" t="s">
        <v>201</v>
      </c>
      <c r="SDV16" s="310" t="s">
        <v>201</v>
      </c>
      <c r="SDW16" s="310" t="s">
        <v>201</v>
      </c>
      <c r="SDX16" s="310" t="s">
        <v>201</v>
      </c>
      <c r="SDY16" s="310" t="s">
        <v>201</v>
      </c>
      <c r="SDZ16" s="310" t="s">
        <v>201</v>
      </c>
      <c r="SEA16" s="310" t="s">
        <v>201</v>
      </c>
      <c r="SEB16" s="310" t="s">
        <v>201</v>
      </c>
      <c r="SEC16" s="310" t="s">
        <v>201</v>
      </c>
      <c r="SED16" s="310" t="s">
        <v>201</v>
      </c>
      <c r="SEE16" s="310" t="s">
        <v>201</v>
      </c>
      <c r="SEF16" s="310" t="s">
        <v>201</v>
      </c>
      <c r="SEG16" s="310" t="s">
        <v>201</v>
      </c>
      <c r="SEH16" s="310" t="s">
        <v>201</v>
      </c>
      <c r="SEI16" s="310" t="s">
        <v>201</v>
      </c>
      <c r="SEJ16" s="310" t="s">
        <v>201</v>
      </c>
      <c r="SEK16" s="310" t="s">
        <v>201</v>
      </c>
      <c r="SEL16" s="310" t="s">
        <v>201</v>
      </c>
      <c r="SEM16" s="310" t="s">
        <v>201</v>
      </c>
      <c r="SEN16" s="310" t="s">
        <v>201</v>
      </c>
      <c r="SEO16" s="310" t="s">
        <v>201</v>
      </c>
      <c r="SEP16" s="310" t="s">
        <v>201</v>
      </c>
      <c r="SEQ16" s="310" t="s">
        <v>201</v>
      </c>
      <c r="SER16" s="310" t="s">
        <v>201</v>
      </c>
      <c r="SES16" s="310" t="s">
        <v>201</v>
      </c>
      <c r="SET16" s="310" t="s">
        <v>201</v>
      </c>
      <c r="SEU16" s="310" t="s">
        <v>201</v>
      </c>
      <c r="SEV16" s="310" t="s">
        <v>201</v>
      </c>
      <c r="SEW16" s="310" t="s">
        <v>201</v>
      </c>
      <c r="SEX16" s="310" t="s">
        <v>201</v>
      </c>
      <c r="SEY16" s="310" t="s">
        <v>201</v>
      </c>
      <c r="SEZ16" s="310" t="s">
        <v>201</v>
      </c>
      <c r="SFA16" s="310" t="s">
        <v>201</v>
      </c>
      <c r="SFB16" s="310" t="s">
        <v>201</v>
      </c>
      <c r="SFC16" s="310" t="s">
        <v>201</v>
      </c>
      <c r="SFD16" s="310" t="s">
        <v>201</v>
      </c>
      <c r="SFE16" s="310" t="s">
        <v>201</v>
      </c>
      <c r="SFF16" s="310" t="s">
        <v>201</v>
      </c>
      <c r="SFG16" s="310" t="s">
        <v>201</v>
      </c>
      <c r="SFH16" s="310" t="s">
        <v>201</v>
      </c>
      <c r="SFI16" s="310" t="s">
        <v>201</v>
      </c>
      <c r="SFJ16" s="310" t="s">
        <v>201</v>
      </c>
      <c r="SFK16" s="310" t="s">
        <v>201</v>
      </c>
      <c r="SFL16" s="310" t="s">
        <v>201</v>
      </c>
      <c r="SFM16" s="310" t="s">
        <v>201</v>
      </c>
      <c r="SFN16" s="310" t="s">
        <v>201</v>
      </c>
      <c r="SFO16" s="310" t="s">
        <v>201</v>
      </c>
      <c r="SFP16" s="310" t="s">
        <v>201</v>
      </c>
      <c r="SFQ16" s="310" t="s">
        <v>201</v>
      </c>
      <c r="SFR16" s="310" t="s">
        <v>201</v>
      </c>
      <c r="SFS16" s="310" t="s">
        <v>201</v>
      </c>
      <c r="SFT16" s="310" t="s">
        <v>201</v>
      </c>
      <c r="SFU16" s="310" t="s">
        <v>201</v>
      </c>
      <c r="SFV16" s="310" t="s">
        <v>201</v>
      </c>
      <c r="SFW16" s="310" t="s">
        <v>201</v>
      </c>
      <c r="SFX16" s="310" t="s">
        <v>201</v>
      </c>
      <c r="SFY16" s="310" t="s">
        <v>201</v>
      </c>
      <c r="SFZ16" s="310" t="s">
        <v>201</v>
      </c>
      <c r="SGA16" s="310" t="s">
        <v>201</v>
      </c>
      <c r="SGB16" s="310" t="s">
        <v>201</v>
      </c>
      <c r="SGC16" s="310" t="s">
        <v>201</v>
      </c>
      <c r="SGD16" s="310" t="s">
        <v>201</v>
      </c>
      <c r="SGE16" s="310" t="s">
        <v>201</v>
      </c>
      <c r="SGF16" s="310" t="s">
        <v>201</v>
      </c>
      <c r="SGG16" s="310" t="s">
        <v>201</v>
      </c>
      <c r="SGH16" s="310" t="s">
        <v>201</v>
      </c>
      <c r="SGI16" s="310" t="s">
        <v>201</v>
      </c>
      <c r="SGJ16" s="310" t="s">
        <v>201</v>
      </c>
      <c r="SGK16" s="310" t="s">
        <v>201</v>
      </c>
      <c r="SGL16" s="310" t="s">
        <v>201</v>
      </c>
      <c r="SGM16" s="310" t="s">
        <v>201</v>
      </c>
      <c r="SGN16" s="310" t="s">
        <v>201</v>
      </c>
      <c r="SGO16" s="310" t="s">
        <v>201</v>
      </c>
      <c r="SGP16" s="310" t="s">
        <v>201</v>
      </c>
      <c r="SGQ16" s="310" t="s">
        <v>201</v>
      </c>
      <c r="SGR16" s="310" t="s">
        <v>201</v>
      </c>
      <c r="SGS16" s="310" t="s">
        <v>201</v>
      </c>
      <c r="SGT16" s="310" t="s">
        <v>201</v>
      </c>
      <c r="SGU16" s="310" t="s">
        <v>201</v>
      </c>
      <c r="SGV16" s="310" t="s">
        <v>201</v>
      </c>
      <c r="SGW16" s="310" t="s">
        <v>201</v>
      </c>
      <c r="SGX16" s="310" t="s">
        <v>201</v>
      </c>
      <c r="SGY16" s="310" t="s">
        <v>201</v>
      </c>
      <c r="SGZ16" s="310" t="s">
        <v>201</v>
      </c>
      <c r="SHA16" s="310" t="s">
        <v>201</v>
      </c>
      <c r="SHB16" s="310" t="s">
        <v>201</v>
      </c>
      <c r="SHC16" s="310" t="s">
        <v>201</v>
      </c>
      <c r="SHD16" s="310" t="s">
        <v>201</v>
      </c>
      <c r="SHE16" s="310" t="s">
        <v>201</v>
      </c>
      <c r="SHF16" s="310" t="s">
        <v>201</v>
      </c>
      <c r="SHG16" s="310" t="s">
        <v>201</v>
      </c>
      <c r="SHH16" s="310" t="s">
        <v>201</v>
      </c>
      <c r="SHI16" s="310" t="s">
        <v>201</v>
      </c>
      <c r="SHJ16" s="310" t="s">
        <v>201</v>
      </c>
      <c r="SHK16" s="310" t="s">
        <v>201</v>
      </c>
      <c r="SHL16" s="310" t="s">
        <v>201</v>
      </c>
      <c r="SHM16" s="310" t="s">
        <v>201</v>
      </c>
      <c r="SHN16" s="310" t="s">
        <v>201</v>
      </c>
      <c r="SHO16" s="310" t="s">
        <v>201</v>
      </c>
      <c r="SHP16" s="310" t="s">
        <v>201</v>
      </c>
      <c r="SHQ16" s="310" t="s">
        <v>201</v>
      </c>
      <c r="SHR16" s="310" t="s">
        <v>201</v>
      </c>
      <c r="SHS16" s="310" t="s">
        <v>201</v>
      </c>
      <c r="SHT16" s="310" t="s">
        <v>201</v>
      </c>
      <c r="SHU16" s="310" t="s">
        <v>201</v>
      </c>
      <c r="SHV16" s="310" t="s">
        <v>201</v>
      </c>
      <c r="SHW16" s="310" t="s">
        <v>201</v>
      </c>
      <c r="SHX16" s="310" t="s">
        <v>201</v>
      </c>
      <c r="SHY16" s="310" t="s">
        <v>201</v>
      </c>
      <c r="SHZ16" s="310" t="s">
        <v>201</v>
      </c>
      <c r="SIA16" s="310" t="s">
        <v>201</v>
      </c>
      <c r="SIB16" s="310" t="s">
        <v>201</v>
      </c>
      <c r="SIC16" s="310" t="s">
        <v>201</v>
      </c>
      <c r="SID16" s="310" t="s">
        <v>201</v>
      </c>
      <c r="SIE16" s="310" t="s">
        <v>201</v>
      </c>
      <c r="SIF16" s="310" t="s">
        <v>201</v>
      </c>
      <c r="SIG16" s="310" t="s">
        <v>201</v>
      </c>
      <c r="SIH16" s="310" t="s">
        <v>201</v>
      </c>
      <c r="SII16" s="310" t="s">
        <v>201</v>
      </c>
      <c r="SIJ16" s="310" t="s">
        <v>201</v>
      </c>
      <c r="SIK16" s="310" t="s">
        <v>201</v>
      </c>
      <c r="SIL16" s="310" t="s">
        <v>201</v>
      </c>
      <c r="SIM16" s="310" t="s">
        <v>201</v>
      </c>
      <c r="SIN16" s="310" t="s">
        <v>201</v>
      </c>
      <c r="SIO16" s="310" t="s">
        <v>201</v>
      </c>
      <c r="SIP16" s="310" t="s">
        <v>201</v>
      </c>
      <c r="SIQ16" s="310" t="s">
        <v>201</v>
      </c>
      <c r="SIR16" s="310" t="s">
        <v>201</v>
      </c>
      <c r="SIS16" s="310" t="s">
        <v>201</v>
      </c>
      <c r="SIT16" s="310" t="s">
        <v>201</v>
      </c>
      <c r="SIU16" s="310" t="s">
        <v>201</v>
      </c>
      <c r="SIV16" s="310" t="s">
        <v>201</v>
      </c>
      <c r="SIW16" s="310" t="s">
        <v>201</v>
      </c>
      <c r="SIX16" s="310" t="s">
        <v>201</v>
      </c>
      <c r="SIY16" s="310" t="s">
        <v>201</v>
      </c>
      <c r="SIZ16" s="310" t="s">
        <v>201</v>
      </c>
      <c r="SJA16" s="310" t="s">
        <v>201</v>
      </c>
      <c r="SJB16" s="310" t="s">
        <v>201</v>
      </c>
      <c r="SJC16" s="310" t="s">
        <v>201</v>
      </c>
      <c r="SJD16" s="310" t="s">
        <v>201</v>
      </c>
      <c r="SJE16" s="310" t="s">
        <v>201</v>
      </c>
      <c r="SJF16" s="310" t="s">
        <v>201</v>
      </c>
      <c r="SJG16" s="310" t="s">
        <v>201</v>
      </c>
      <c r="SJH16" s="310" t="s">
        <v>201</v>
      </c>
      <c r="SJI16" s="310" t="s">
        <v>201</v>
      </c>
      <c r="SJJ16" s="310" t="s">
        <v>201</v>
      </c>
      <c r="SJK16" s="310" t="s">
        <v>201</v>
      </c>
      <c r="SJL16" s="310" t="s">
        <v>201</v>
      </c>
      <c r="SJM16" s="310" t="s">
        <v>201</v>
      </c>
      <c r="SJN16" s="310" t="s">
        <v>201</v>
      </c>
      <c r="SJO16" s="310" t="s">
        <v>201</v>
      </c>
      <c r="SJP16" s="310" t="s">
        <v>201</v>
      </c>
      <c r="SJQ16" s="310" t="s">
        <v>201</v>
      </c>
      <c r="SJR16" s="310" t="s">
        <v>201</v>
      </c>
      <c r="SJS16" s="310" t="s">
        <v>201</v>
      </c>
      <c r="SJT16" s="310" t="s">
        <v>201</v>
      </c>
      <c r="SJU16" s="310" t="s">
        <v>201</v>
      </c>
      <c r="SJV16" s="310" t="s">
        <v>201</v>
      </c>
      <c r="SJW16" s="310" t="s">
        <v>201</v>
      </c>
      <c r="SJX16" s="310" t="s">
        <v>201</v>
      </c>
      <c r="SJY16" s="310" t="s">
        <v>201</v>
      </c>
      <c r="SJZ16" s="310" t="s">
        <v>201</v>
      </c>
      <c r="SKA16" s="310" t="s">
        <v>201</v>
      </c>
      <c r="SKB16" s="310" t="s">
        <v>201</v>
      </c>
      <c r="SKC16" s="310" t="s">
        <v>201</v>
      </c>
      <c r="SKD16" s="310" t="s">
        <v>201</v>
      </c>
      <c r="SKE16" s="310" t="s">
        <v>201</v>
      </c>
      <c r="SKF16" s="310" t="s">
        <v>201</v>
      </c>
      <c r="SKG16" s="310" t="s">
        <v>201</v>
      </c>
      <c r="SKH16" s="310" t="s">
        <v>201</v>
      </c>
      <c r="SKI16" s="310" t="s">
        <v>201</v>
      </c>
      <c r="SKJ16" s="310" t="s">
        <v>201</v>
      </c>
      <c r="SKK16" s="310" t="s">
        <v>201</v>
      </c>
      <c r="SKL16" s="310" t="s">
        <v>201</v>
      </c>
      <c r="SKM16" s="310" t="s">
        <v>201</v>
      </c>
      <c r="SKN16" s="310" t="s">
        <v>201</v>
      </c>
      <c r="SKO16" s="310" t="s">
        <v>201</v>
      </c>
      <c r="SKP16" s="310" t="s">
        <v>201</v>
      </c>
      <c r="SKQ16" s="310" t="s">
        <v>201</v>
      </c>
      <c r="SKR16" s="310" t="s">
        <v>201</v>
      </c>
      <c r="SKS16" s="310" t="s">
        <v>201</v>
      </c>
      <c r="SKT16" s="310" t="s">
        <v>201</v>
      </c>
      <c r="SKU16" s="310" t="s">
        <v>201</v>
      </c>
      <c r="SKV16" s="310" t="s">
        <v>201</v>
      </c>
      <c r="SKW16" s="310" t="s">
        <v>201</v>
      </c>
      <c r="SKX16" s="310" t="s">
        <v>201</v>
      </c>
      <c r="SKY16" s="310" t="s">
        <v>201</v>
      </c>
      <c r="SKZ16" s="310" t="s">
        <v>201</v>
      </c>
      <c r="SLA16" s="310" t="s">
        <v>201</v>
      </c>
      <c r="SLB16" s="310" t="s">
        <v>201</v>
      </c>
      <c r="SLC16" s="310" t="s">
        <v>201</v>
      </c>
      <c r="SLD16" s="310" t="s">
        <v>201</v>
      </c>
      <c r="SLE16" s="310" t="s">
        <v>201</v>
      </c>
      <c r="SLF16" s="310" t="s">
        <v>201</v>
      </c>
      <c r="SLG16" s="310" t="s">
        <v>201</v>
      </c>
      <c r="SLH16" s="310" t="s">
        <v>201</v>
      </c>
      <c r="SLI16" s="310" t="s">
        <v>201</v>
      </c>
      <c r="SLJ16" s="310" t="s">
        <v>201</v>
      </c>
      <c r="SLK16" s="310" t="s">
        <v>201</v>
      </c>
      <c r="SLL16" s="310" t="s">
        <v>201</v>
      </c>
      <c r="SLM16" s="310" t="s">
        <v>201</v>
      </c>
      <c r="SLN16" s="310" t="s">
        <v>201</v>
      </c>
      <c r="SLO16" s="310" t="s">
        <v>201</v>
      </c>
      <c r="SLP16" s="310" t="s">
        <v>201</v>
      </c>
      <c r="SLQ16" s="310" t="s">
        <v>201</v>
      </c>
      <c r="SLR16" s="310" t="s">
        <v>201</v>
      </c>
      <c r="SLS16" s="310" t="s">
        <v>201</v>
      </c>
      <c r="SLT16" s="310" t="s">
        <v>201</v>
      </c>
      <c r="SLU16" s="310" t="s">
        <v>201</v>
      </c>
      <c r="SLV16" s="310" t="s">
        <v>201</v>
      </c>
      <c r="SLW16" s="310" t="s">
        <v>201</v>
      </c>
      <c r="SLX16" s="310" t="s">
        <v>201</v>
      </c>
      <c r="SLY16" s="310" t="s">
        <v>201</v>
      </c>
      <c r="SLZ16" s="310" t="s">
        <v>201</v>
      </c>
      <c r="SMA16" s="310" t="s">
        <v>201</v>
      </c>
      <c r="SMB16" s="310" t="s">
        <v>201</v>
      </c>
      <c r="SMC16" s="310" t="s">
        <v>201</v>
      </c>
      <c r="SMD16" s="310" t="s">
        <v>201</v>
      </c>
      <c r="SME16" s="310" t="s">
        <v>201</v>
      </c>
      <c r="SMF16" s="310" t="s">
        <v>201</v>
      </c>
      <c r="SMG16" s="310" t="s">
        <v>201</v>
      </c>
      <c r="SMH16" s="310" t="s">
        <v>201</v>
      </c>
      <c r="SMI16" s="310" t="s">
        <v>201</v>
      </c>
      <c r="SMJ16" s="310" t="s">
        <v>201</v>
      </c>
      <c r="SMK16" s="310" t="s">
        <v>201</v>
      </c>
      <c r="SML16" s="310" t="s">
        <v>201</v>
      </c>
      <c r="SMM16" s="310" t="s">
        <v>201</v>
      </c>
      <c r="SMN16" s="310" t="s">
        <v>201</v>
      </c>
      <c r="SMO16" s="310" t="s">
        <v>201</v>
      </c>
      <c r="SMP16" s="310" t="s">
        <v>201</v>
      </c>
      <c r="SMQ16" s="310" t="s">
        <v>201</v>
      </c>
      <c r="SMR16" s="310" t="s">
        <v>201</v>
      </c>
      <c r="SMS16" s="310" t="s">
        <v>201</v>
      </c>
      <c r="SMT16" s="310" t="s">
        <v>201</v>
      </c>
      <c r="SMU16" s="310" t="s">
        <v>201</v>
      </c>
      <c r="SMV16" s="310" t="s">
        <v>201</v>
      </c>
      <c r="SMW16" s="310" t="s">
        <v>201</v>
      </c>
      <c r="SMX16" s="310" t="s">
        <v>201</v>
      </c>
      <c r="SMY16" s="310" t="s">
        <v>201</v>
      </c>
      <c r="SMZ16" s="310" t="s">
        <v>201</v>
      </c>
      <c r="SNA16" s="310" t="s">
        <v>201</v>
      </c>
      <c r="SNB16" s="310" t="s">
        <v>201</v>
      </c>
      <c r="SNC16" s="310" t="s">
        <v>201</v>
      </c>
      <c r="SND16" s="310" t="s">
        <v>201</v>
      </c>
      <c r="SNE16" s="310" t="s">
        <v>201</v>
      </c>
      <c r="SNF16" s="310" t="s">
        <v>201</v>
      </c>
      <c r="SNG16" s="310" t="s">
        <v>201</v>
      </c>
      <c r="SNH16" s="310" t="s">
        <v>201</v>
      </c>
      <c r="SNI16" s="310" t="s">
        <v>201</v>
      </c>
      <c r="SNJ16" s="310" t="s">
        <v>201</v>
      </c>
      <c r="SNK16" s="310" t="s">
        <v>201</v>
      </c>
      <c r="SNL16" s="310" t="s">
        <v>201</v>
      </c>
      <c r="SNM16" s="310" t="s">
        <v>201</v>
      </c>
      <c r="SNN16" s="310" t="s">
        <v>201</v>
      </c>
      <c r="SNO16" s="310" t="s">
        <v>201</v>
      </c>
      <c r="SNP16" s="310" t="s">
        <v>201</v>
      </c>
      <c r="SNQ16" s="310" t="s">
        <v>201</v>
      </c>
      <c r="SNR16" s="310" t="s">
        <v>201</v>
      </c>
      <c r="SNS16" s="310" t="s">
        <v>201</v>
      </c>
      <c r="SNT16" s="310" t="s">
        <v>201</v>
      </c>
      <c r="SNU16" s="310" t="s">
        <v>201</v>
      </c>
      <c r="SNV16" s="310" t="s">
        <v>201</v>
      </c>
      <c r="SNW16" s="310" t="s">
        <v>201</v>
      </c>
      <c r="SNX16" s="310" t="s">
        <v>201</v>
      </c>
      <c r="SNY16" s="310" t="s">
        <v>201</v>
      </c>
      <c r="SNZ16" s="310" t="s">
        <v>201</v>
      </c>
      <c r="SOA16" s="310" t="s">
        <v>201</v>
      </c>
      <c r="SOB16" s="310" t="s">
        <v>201</v>
      </c>
      <c r="SOC16" s="310" t="s">
        <v>201</v>
      </c>
      <c r="SOD16" s="310" t="s">
        <v>201</v>
      </c>
      <c r="SOE16" s="310" t="s">
        <v>201</v>
      </c>
      <c r="SOF16" s="310" t="s">
        <v>201</v>
      </c>
      <c r="SOG16" s="310" t="s">
        <v>201</v>
      </c>
      <c r="SOH16" s="310" t="s">
        <v>201</v>
      </c>
      <c r="SOI16" s="310" t="s">
        <v>201</v>
      </c>
      <c r="SOJ16" s="310" t="s">
        <v>201</v>
      </c>
      <c r="SOK16" s="310" t="s">
        <v>201</v>
      </c>
      <c r="SOL16" s="310" t="s">
        <v>201</v>
      </c>
      <c r="SOM16" s="310" t="s">
        <v>201</v>
      </c>
      <c r="SON16" s="310" t="s">
        <v>201</v>
      </c>
      <c r="SOO16" s="310" t="s">
        <v>201</v>
      </c>
      <c r="SOP16" s="310" t="s">
        <v>201</v>
      </c>
      <c r="SOQ16" s="310" t="s">
        <v>201</v>
      </c>
      <c r="SOR16" s="310" t="s">
        <v>201</v>
      </c>
      <c r="SOS16" s="310" t="s">
        <v>201</v>
      </c>
      <c r="SOT16" s="310" t="s">
        <v>201</v>
      </c>
      <c r="SOU16" s="310" t="s">
        <v>201</v>
      </c>
      <c r="SOV16" s="310" t="s">
        <v>201</v>
      </c>
      <c r="SOW16" s="310" t="s">
        <v>201</v>
      </c>
      <c r="SOX16" s="310" t="s">
        <v>201</v>
      </c>
      <c r="SOY16" s="310" t="s">
        <v>201</v>
      </c>
      <c r="SOZ16" s="310" t="s">
        <v>201</v>
      </c>
      <c r="SPA16" s="310" t="s">
        <v>201</v>
      </c>
      <c r="SPB16" s="310" t="s">
        <v>201</v>
      </c>
      <c r="SPC16" s="310" t="s">
        <v>201</v>
      </c>
      <c r="SPD16" s="310" t="s">
        <v>201</v>
      </c>
      <c r="SPE16" s="310" t="s">
        <v>201</v>
      </c>
      <c r="SPF16" s="310" t="s">
        <v>201</v>
      </c>
      <c r="SPG16" s="310" t="s">
        <v>201</v>
      </c>
      <c r="SPH16" s="310" t="s">
        <v>201</v>
      </c>
      <c r="SPI16" s="310" t="s">
        <v>201</v>
      </c>
      <c r="SPJ16" s="310" t="s">
        <v>201</v>
      </c>
      <c r="SPK16" s="310" t="s">
        <v>201</v>
      </c>
      <c r="SPL16" s="310" t="s">
        <v>201</v>
      </c>
      <c r="SPM16" s="310" t="s">
        <v>201</v>
      </c>
      <c r="SPN16" s="310" t="s">
        <v>201</v>
      </c>
      <c r="SPO16" s="310" t="s">
        <v>201</v>
      </c>
      <c r="SPP16" s="310" t="s">
        <v>201</v>
      </c>
      <c r="SPQ16" s="310" t="s">
        <v>201</v>
      </c>
      <c r="SPR16" s="310" t="s">
        <v>201</v>
      </c>
      <c r="SPS16" s="310" t="s">
        <v>201</v>
      </c>
      <c r="SPT16" s="310" t="s">
        <v>201</v>
      </c>
      <c r="SPU16" s="310" t="s">
        <v>201</v>
      </c>
      <c r="SPV16" s="310" t="s">
        <v>201</v>
      </c>
      <c r="SPW16" s="310" t="s">
        <v>201</v>
      </c>
      <c r="SPX16" s="310" t="s">
        <v>201</v>
      </c>
      <c r="SPY16" s="310" t="s">
        <v>201</v>
      </c>
      <c r="SPZ16" s="310" t="s">
        <v>201</v>
      </c>
      <c r="SQA16" s="310" t="s">
        <v>201</v>
      </c>
      <c r="SQB16" s="310" t="s">
        <v>201</v>
      </c>
      <c r="SQC16" s="310" t="s">
        <v>201</v>
      </c>
      <c r="SQD16" s="310" t="s">
        <v>201</v>
      </c>
      <c r="SQE16" s="310" t="s">
        <v>201</v>
      </c>
      <c r="SQF16" s="310" t="s">
        <v>201</v>
      </c>
      <c r="SQG16" s="310" t="s">
        <v>201</v>
      </c>
      <c r="SQH16" s="310" t="s">
        <v>201</v>
      </c>
      <c r="SQI16" s="310" t="s">
        <v>201</v>
      </c>
      <c r="SQJ16" s="310" t="s">
        <v>201</v>
      </c>
      <c r="SQK16" s="310" t="s">
        <v>201</v>
      </c>
      <c r="SQL16" s="310" t="s">
        <v>201</v>
      </c>
      <c r="SQM16" s="310" t="s">
        <v>201</v>
      </c>
      <c r="SQN16" s="310" t="s">
        <v>201</v>
      </c>
      <c r="SQO16" s="310" t="s">
        <v>201</v>
      </c>
      <c r="SQP16" s="310" t="s">
        <v>201</v>
      </c>
      <c r="SQQ16" s="310" t="s">
        <v>201</v>
      </c>
      <c r="SQR16" s="310" t="s">
        <v>201</v>
      </c>
      <c r="SQS16" s="310" t="s">
        <v>201</v>
      </c>
      <c r="SQT16" s="310" t="s">
        <v>201</v>
      </c>
      <c r="SQU16" s="310" t="s">
        <v>201</v>
      </c>
      <c r="SQV16" s="310" t="s">
        <v>201</v>
      </c>
      <c r="SQW16" s="310" t="s">
        <v>201</v>
      </c>
      <c r="SQX16" s="310" t="s">
        <v>201</v>
      </c>
      <c r="SQY16" s="310" t="s">
        <v>201</v>
      </c>
      <c r="SQZ16" s="310" t="s">
        <v>201</v>
      </c>
      <c r="SRA16" s="310" t="s">
        <v>201</v>
      </c>
      <c r="SRB16" s="310" t="s">
        <v>201</v>
      </c>
      <c r="SRC16" s="310" t="s">
        <v>201</v>
      </c>
      <c r="SRD16" s="310" t="s">
        <v>201</v>
      </c>
      <c r="SRE16" s="310" t="s">
        <v>201</v>
      </c>
      <c r="SRF16" s="310" t="s">
        <v>201</v>
      </c>
      <c r="SRG16" s="310" t="s">
        <v>201</v>
      </c>
      <c r="SRH16" s="310" t="s">
        <v>201</v>
      </c>
      <c r="SRI16" s="310" t="s">
        <v>201</v>
      </c>
      <c r="SRJ16" s="310" t="s">
        <v>201</v>
      </c>
      <c r="SRK16" s="310" t="s">
        <v>201</v>
      </c>
      <c r="SRL16" s="310" t="s">
        <v>201</v>
      </c>
      <c r="SRM16" s="310" t="s">
        <v>201</v>
      </c>
      <c r="SRN16" s="310" t="s">
        <v>201</v>
      </c>
      <c r="SRO16" s="310" t="s">
        <v>201</v>
      </c>
      <c r="SRP16" s="310" t="s">
        <v>201</v>
      </c>
      <c r="SRQ16" s="310" t="s">
        <v>201</v>
      </c>
      <c r="SRR16" s="310" t="s">
        <v>201</v>
      </c>
      <c r="SRS16" s="310" t="s">
        <v>201</v>
      </c>
      <c r="SRT16" s="310" t="s">
        <v>201</v>
      </c>
      <c r="SRU16" s="310" t="s">
        <v>201</v>
      </c>
      <c r="SRV16" s="310" t="s">
        <v>201</v>
      </c>
      <c r="SRW16" s="310" t="s">
        <v>201</v>
      </c>
      <c r="SRX16" s="310" t="s">
        <v>201</v>
      </c>
      <c r="SRY16" s="310" t="s">
        <v>201</v>
      </c>
      <c r="SRZ16" s="310" t="s">
        <v>201</v>
      </c>
      <c r="SSA16" s="310" t="s">
        <v>201</v>
      </c>
      <c r="SSB16" s="310" t="s">
        <v>201</v>
      </c>
      <c r="SSC16" s="310" t="s">
        <v>201</v>
      </c>
      <c r="SSD16" s="310" t="s">
        <v>201</v>
      </c>
      <c r="SSE16" s="310" t="s">
        <v>201</v>
      </c>
      <c r="SSF16" s="310" t="s">
        <v>201</v>
      </c>
      <c r="SSG16" s="310" t="s">
        <v>201</v>
      </c>
      <c r="SSH16" s="310" t="s">
        <v>201</v>
      </c>
      <c r="SSI16" s="310" t="s">
        <v>201</v>
      </c>
      <c r="SSJ16" s="310" t="s">
        <v>201</v>
      </c>
      <c r="SSK16" s="310" t="s">
        <v>201</v>
      </c>
      <c r="SSL16" s="310" t="s">
        <v>201</v>
      </c>
      <c r="SSM16" s="310" t="s">
        <v>201</v>
      </c>
      <c r="SSN16" s="310" t="s">
        <v>201</v>
      </c>
      <c r="SSO16" s="310" t="s">
        <v>201</v>
      </c>
      <c r="SSP16" s="310" t="s">
        <v>201</v>
      </c>
      <c r="SSQ16" s="310" t="s">
        <v>201</v>
      </c>
      <c r="SSR16" s="310" t="s">
        <v>201</v>
      </c>
      <c r="SSS16" s="310" t="s">
        <v>201</v>
      </c>
      <c r="SST16" s="310" t="s">
        <v>201</v>
      </c>
      <c r="SSU16" s="310" t="s">
        <v>201</v>
      </c>
      <c r="SSV16" s="310" t="s">
        <v>201</v>
      </c>
      <c r="SSW16" s="310" t="s">
        <v>201</v>
      </c>
      <c r="SSX16" s="310" t="s">
        <v>201</v>
      </c>
      <c r="SSY16" s="310" t="s">
        <v>201</v>
      </c>
      <c r="SSZ16" s="310" t="s">
        <v>201</v>
      </c>
      <c r="STA16" s="310" t="s">
        <v>201</v>
      </c>
      <c r="STB16" s="310" t="s">
        <v>201</v>
      </c>
      <c r="STC16" s="310" t="s">
        <v>201</v>
      </c>
      <c r="STD16" s="310" t="s">
        <v>201</v>
      </c>
      <c r="STE16" s="310" t="s">
        <v>201</v>
      </c>
      <c r="STF16" s="310" t="s">
        <v>201</v>
      </c>
      <c r="STG16" s="310" t="s">
        <v>201</v>
      </c>
      <c r="STH16" s="310" t="s">
        <v>201</v>
      </c>
      <c r="STI16" s="310" t="s">
        <v>201</v>
      </c>
      <c r="STJ16" s="310" t="s">
        <v>201</v>
      </c>
      <c r="STK16" s="310" t="s">
        <v>201</v>
      </c>
      <c r="STL16" s="310" t="s">
        <v>201</v>
      </c>
      <c r="STM16" s="310" t="s">
        <v>201</v>
      </c>
      <c r="STN16" s="310" t="s">
        <v>201</v>
      </c>
      <c r="STO16" s="310" t="s">
        <v>201</v>
      </c>
      <c r="STP16" s="310" t="s">
        <v>201</v>
      </c>
      <c r="STQ16" s="310" t="s">
        <v>201</v>
      </c>
      <c r="STR16" s="310" t="s">
        <v>201</v>
      </c>
      <c r="STS16" s="310" t="s">
        <v>201</v>
      </c>
      <c r="STT16" s="310" t="s">
        <v>201</v>
      </c>
      <c r="STU16" s="310" t="s">
        <v>201</v>
      </c>
      <c r="STV16" s="310" t="s">
        <v>201</v>
      </c>
      <c r="STW16" s="310" t="s">
        <v>201</v>
      </c>
      <c r="STX16" s="310" t="s">
        <v>201</v>
      </c>
      <c r="STY16" s="310" t="s">
        <v>201</v>
      </c>
      <c r="STZ16" s="310" t="s">
        <v>201</v>
      </c>
      <c r="SUA16" s="310" t="s">
        <v>201</v>
      </c>
      <c r="SUB16" s="310" t="s">
        <v>201</v>
      </c>
      <c r="SUC16" s="310" t="s">
        <v>201</v>
      </c>
      <c r="SUD16" s="310" t="s">
        <v>201</v>
      </c>
      <c r="SUE16" s="310" t="s">
        <v>201</v>
      </c>
      <c r="SUF16" s="310" t="s">
        <v>201</v>
      </c>
      <c r="SUG16" s="310" t="s">
        <v>201</v>
      </c>
      <c r="SUH16" s="310" t="s">
        <v>201</v>
      </c>
      <c r="SUI16" s="310" t="s">
        <v>201</v>
      </c>
      <c r="SUJ16" s="310" t="s">
        <v>201</v>
      </c>
      <c r="SUK16" s="310" t="s">
        <v>201</v>
      </c>
      <c r="SUL16" s="310" t="s">
        <v>201</v>
      </c>
      <c r="SUM16" s="310" t="s">
        <v>201</v>
      </c>
      <c r="SUN16" s="310" t="s">
        <v>201</v>
      </c>
      <c r="SUO16" s="310" t="s">
        <v>201</v>
      </c>
      <c r="SUP16" s="310" t="s">
        <v>201</v>
      </c>
      <c r="SUQ16" s="310" t="s">
        <v>201</v>
      </c>
      <c r="SUR16" s="310" t="s">
        <v>201</v>
      </c>
      <c r="SUS16" s="310" t="s">
        <v>201</v>
      </c>
      <c r="SUT16" s="310" t="s">
        <v>201</v>
      </c>
      <c r="SUU16" s="310" t="s">
        <v>201</v>
      </c>
      <c r="SUV16" s="310" t="s">
        <v>201</v>
      </c>
      <c r="SUW16" s="310" t="s">
        <v>201</v>
      </c>
      <c r="SUX16" s="310" t="s">
        <v>201</v>
      </c>
      <c r="SUY16" s="310" t="s">
        <v>201</v>
      </c>
      <c r="SUZ16" s="310" t="s">
        <v>201</v>
      </c>
      <c r="SVA16" s="310" t="s">
        <v>201</v>
      </c>
      <c r="SVB16" s="310" t="s">
        <v>201</v>
      </c>
      <c r="SVC16" s="310" t="s">
        <v>201</v>
      </c>
      <c r="SVD16" s="310" t="s">
        <v>201</v>
      </c>
      <c r="SVE16" s="310" t="s">
        <v>201</v>
      </c>
      <c r="SVF16" s="310" t="s">
        <v>201</v>
      </c>
      <c r="SVG16" s="310" t="s">
        <v>201</v>
      </c>
      <c r="SVH16" s="310" t="s">
        <v>201</v>
      </c>
      <c r="SVI16" s="310" t="s">
        <v>201</v>
      </c>
      <c r="SVJ16" s="310" t="s">
        <v>201</v>
      </c>
      <c r="SVK16" s="310" t="s">
        <v>201</v>
      </c>
      <c r="SVL16" s="310" t="s">
        <v>201</v>
      </c>
      <c r="SVM16" s="310" t="s">
        <v>201</v>
      </c>
      <c r="SVN16" s="310" t="s">
        <v>201</v>
      </c>
      <c r="SVO16" s="310" t="s">
        <v>201</v>
      </c>
      <c r="SVP16" s="310" t="s">
        <v>201</v>
      </c>
      <c r="SVQ16" s="310" t="s">
        <v>201</v>
      </c>
      <c r="SVR16" s="310" t="s">
        <v>201</v>
      </c>
      <c r="SVS16" s="310" t="s">
        <v>201</v>
      </c>
      <c r="SVT16" s="310" t="s">
        <v>201</v>
      </c>
      <c r="SVU16" s="310" t="s">
        <v>201</v>
      </c>
      <c r="SVV16" s="310" t="s">
        <v>201</v>
      </c>
      <c r="SVW16" s="310" t="s">
        <v>201</v>
      </c>
      <c r="SVX16" s="310" t="s">
        <v>201</v>
      </c>
      <c r="SVY16" s="310" t="s">
        <v>201</v>
      </c>
      <c r="SVZ16" s="310" t="s">
        <v>201</v>
      </c>
      <c r="SWA16" s="310" t="s">
        <v>201</v>
      </c>
      <c r="SWB16" s="310" t="s">
        <v>201</v>
      </c>
      <c r="SWC16" s="310" t="s">
        <v>201</v>
      </c>
      <c r="SWD16" s="310" t="s">
        <v>201</v>
      </c>
      <c r="SWE16" s="310" t="s">
        <v>201</v>
      </c>
      <c r="SWF16" s="310" t="s">
        <v>201</v>
      </c>
      <c r="SWG16" s="310" t="s">
        <v>201</v>
      </c>
      <c r="SWH16" s="310" t="s">
        <v>201</v>
      </c>
      <c r="SWI16" s="310" t="s">
        <v>201</v>
      </c>
      <c r="SWJ16" s="310" t="s">
        <v>201</v>
      </c>
      <c r="SWK16" s="310" t="s">
        <v>201</v>
      </c>
      <c r="SWL16" s="310" t="s">
        <v>201</v>
      </c>
      <c r="SWM16" s="310" t="s">
        <v>201</v>
      </c>
      <c r="SWN16" s="310" t="s">
        <v>201</v>
      </c>
      <c r="SWO16" s="310" t="s">
        <v>201</v>
      </c>
      <c r="SWP16" s="310" t="s">
        <v>201</v>
      </c>
      <c r="SWQ16" s="310" t="s">
        <v>201</v>
      </c>
      <c r="SWR16" s="310" t="s">
        <v>201</v>
      </c>
      <c r="SWS16" s="310" t="s">
        <v>201</v>
      </c>
      <c r="SWT16" s="310" t="s">
        <v>201</v>
      </c>
      <c r="SWU16" s="310" t="s">
        <v>201</v>
      </c>
      <c r="SWV16" s="310" t="s">
        <v>201</v>
      </c>
      <c r="SWW16" s="310" t="s">
        <v>201</v>
      </c>
      <c r="SWX16" s="310" t="s">
        <v>201</v>
      </c>
      <c r="SWY16" s="310" t="s">
        <v>201</v>
      </c>
      <c r="SWZ16" s="310" t="s">
        <v>201</v>
      </c>
      <c r="SXA16" s="310" t="s">
        <v>201</v>
      </c>
      <c r="SXB16" s="310" t="s">
        <v>201</v>
      </c>
      <c r="SXC16" s="310" t="s">
        <v>201</v>
      </c>
      <c r="SXD16" s="310" t="s">
        <v>201</v>
      </c>
      <c r="SXE16" s="310" t="s">
        <v>201</v>
      </c>
      <c r="SXF16" s="310" t="s">
        <v>201</v>
      </c>
      <c r="SXG16" s="310" t="s">
        <v>201</v>
      </c>
      <c r="SXH16" s="310" t="s">
        <v>201</v>
      </c>
      <c r="SXI16" s="310" t="s">
        <v>201</v>
      </c>
      <c r="SXJ16" s="310" t="s">
        <v>201</v>
      </c>
      <c r="SXK16" s="310" t="s">
        <v>201</v>
      </c>
      <c r="SXL16" s="310" t="s">
        <v>201</v>
      </c>
      <c r="SXM16" s="310" t="s">
        <v>201</v>
      </c>
      <c r="SXN16" s="310" t="s">
        <v>201</v>
      </c>
      <c r="SXO16" s="310" t="s">
        <v>201</v>
      </c>
      <c r="SXP16" s="310" t="s">
        <v>201</v>
      </c>
      <c r="SXQ16" s="310" t="s">
        <v>201</v>
      </c>
      <c r="SXR16" s="310" t="s">
        <v>201</v>
      </c>
      <c r="SXS16" s="310" t="s">
        <v>201</v>
      </c>
      <c r="SXT16" s="310" t="s">
        <v>201</v>
      </c>
      <c r="SXU16" s="310" t="s">
        <v>201</v>
      </c>
      <c r="SXV16" s="310" t="s">
        <v>201</v>
      </c>
      <c r="SXW16" s="310" t="s">
        <v>201</v>
      </c>
      <c r="SXX16" s="310" t="s">
        <v>201</v>
      </c>
      <c r="SXY16" s="310" t="s">
        <v>201</v>
      </c>
      <c r="SXZ16" s="310" t="s">
        <v>201</v>
      </c>
      <c r="SYA16" s="310" t="s">
        <v>201</v>
      </c>
      <c r="SYB16" s="310" t="s">
        <v>201</v>
      </c>
      <c r="SYC16" s="310" t="s">
        <v>201</v>
      </c>
      <c r="SYD16" s="310" t="s">
        <v>201</v>
      </c>
      <c r="SYE16" s="310" t="s">
        <v>201</v>
      </c>
      <c r="SYF16" s="310" t="s">
        <v>201</v>
      </c>
      <c r="SYG16" s="310" t="s">
        <v>201</v>
      </c>
      <c r="SYH16" s="310" t="s">
        <v>201</v>
      </c>
      <c r="SYI16" s="310" t="s">
        <v>201</v>
      </c>
      <c r="SYJ16" s="310" t="s">
        <v>201</v>
      </c>
      <c r="SYK16" s="310" t="s">
        <v>201</v>
      </c>
      <c r="SYL16" s="310" t="s">
        <v>201</v>
      </c>
      <c r="SYM16" s="310" t="s">
        <v>201</v>
      </c>
      <c r="SYN16" s="310" t="s">
        <v>201</v>
      </c>
      <c r="SYO16" s="310" t="s">
        <v>201</v>
      </c>
      <c r="SYP16" s="310" t="s">
        <v>201</v>
      </c>
      <c r="SYQ16" s="310" t="s">
        <v>201</v>
      </c>
      <c r="SYR16" s="310" t="s">
        <v>201</v>
      </c>
      <c r="SYS16" s="310" t="s">
        <v>201</v>
      </c>
      <c r="SYT16" s="310" t="s">
        <v>201</v>
      </c>
      <c r="SYU16" s="310" t="s">
        <v>201</v>
      </c>
      <c r="SYV16" s="310" t="s">
        <v>201</v>
      </c>
      <c r="SYW16" s="310" t="s">
        <v>201</v>
      </c>
      <c r="SYX16" s="310" t="s">
        <v>201</v>
      </c>
      <c r="SYY16" s="310" t="s">
        <v>201</v>
      </c>
      <c r="SYZ16" s="310" t="s">
        <v>201</v>
      </c>
      <c r="SZA16" s="310" t="s">
        <v>201</v>
      </c>
      <c r="SZB16" s="310" t="s">
        <v>201</v>
      </c>
      <c r="SZC16" s="310" t="s">
        <v>201</v>
      </c>
      <c r="SZD16" s="310" t="s">
        <v>201</v>
      </c>
      <c r="SZE16" s="310" t="s">
        <v>201</v>
      </c>
      <c r="SZF16" s="310" t="s">
        <v>201</v>
      </c>
      <c r="SZG16" s="310" t="s">
        <v>201</v>
      </c>
      <c r="SZH16" s="310" t="s">
        <v>201</v>
      </c>
      <c r="SZI16" s="310" t="s">
        <v>201</v>
      </c>
      <c r="SZJ16" s="310" t="s">
        <v>201</v>
      </c>
      <c r="SZK16" s="310" t="s">
        <v>201</v>
      </c>
      <c r="SZL16" s="310" t="s">
        <v>201</v>
      </c>
      <c r="SZM16" s="310" t="s">
        <v>201</v>
      </c>
      <c r="SZN16" s="310" t="s">
        <v>201</v>
      </c>
      <c r="SZO16" s="310" t="s">
        <v>201</v>
      </c>
      <c r="SZP16" s="310" t="s">
        <v>201</v>
      </c>
      <c r="SZQ16" s="310" t="s">
        <v>201</v>
      </c>
      <c r="SZR16" s="310" t="s">
        <v>201</v>
      </c>
      <c r="SZS16" s="310" t="s">
        <v>201</v>
      </c>
      <c r="SZT16" s="310" t="s">
        <v>201</v>
      </c>
      <c r="SZU16" s="310" t="s">
        <v>201</v>
      </c>
      <c r="SZV16" s="310" t="s">
        <v>201</v>
      </c>
      <c r="SZW16" s="310" t="s">
        <v>201</v>
      </c>
      <c r="SZX16" s="310" t="s">
        <v>201</v>
      </c>
      <c r="SZY16" s="310" t="s">
        <v>201</v>
      </c>
      <c r="SZZ16" s="310" t="s">
        <v>201</v>
      </c>
      <c r="TAA16" s="310" t="s">
        <v>201</v>
      </c>
      <c r="TAB16" s="310" t="s">
        <v>201</v>
      </c>
      <c r="TAC16" s="310" t="s">
        <v>201</v>
      </c>
      <c r="TAD16" s="310" t="s">
        <v>201</v>
      </c>
      <c r="TAE16" s="310" t="s">
        <v>201</v>
      </c>
      <c r="TAF16" s="310" t="s">
        <v>201</v>
      </c>
      <c r="TAG16" s="310" t="s">
        <v>201</v>
      </c>
      <c r="TAH16" s="310" t="s">
        <v>201</v>
      </c>
      <c r="TAI16" s="310" t="s">
        <v>201</v>
      </c>
      <c r="TAJ16" s="310" t="s">
        <v>201</v>
      </c>
      <c r="TAK16" s="310" t="s">
        <v>201</v>
      </c>
      <c r="TAL16" s="310" t="s">
        <v>201</v>
      </c>
      <c r="TAM16" s="310" t="s">
        <v>201</v>
      </c>
      <c r="TAN16" s="310" t="s">
        <v>201</v>
      </c>
      <c r="TAO16" s="310" t="s">
        <v>201</v>
      </c>
      <c r="TAP16" s="310" t="s">
        <v>201</v>
      </c>
      <c r="TAQ16" s="310" t="s">
        <v>201</v>
      </c>
      <c r="TAR16" s="310" t="s">
        <v>201</v>
      </c>
      <c r="TAS16" s="310" t="s">
        <v>201</v>
      </c>
      <c r="TAT16" s="310" t="s">
        <v>201</v>
      </c>
      <c r="TAU16" s="310" t="s">
        <v>201</v>
      </c>
      <c r="TAV16" s="310" t="s">
        <v>201</v>
      </c>
      <c r="TAW16" s="310" t="s">
        <v>201</v>
      </c>
      <c r="TAX16" s="310" t="s">
        <v>201</v>
      </c>
      <c r="TAY16" s="310" t="s">
        <v>201</v>
      </c>
      <c r="TAZ16" s="310" t="s">
        <v>201</v>
      </c>
      <c r="TBA16" s="310" t="s">
        <v>201</v>
      </c>
      <c r="TBB16" s="310" t="s">
        <v>201</v>
      </c>
      <c r="TBC16" s="310" t="s">
        <v>201</v>
      </c>
      <c r="TBD16" s="310" t="s">
        <v>201</v>
      </c>
      <c r="TBE16" s="310" t="s">
        <v>201</v>
      </c>
      <c r="TBF16" s="310" t="s">
        <v>201</v>
      </c>
      <c r="TBG16" s="310" t="s">
        <v>201</v>
      </c>
      <c r="TBH16" s="310" t="s">
        <v>201</v>
      </c>
      <c r="TBI16" s="310" t="s">
        <v>201</v>
      </c>
      <c r="TBJ16" s="310" t="s">
        <v>201</v>
      </c>
      <c r="TBK16" s="310" t="s">
        <v>201</v>
      </c>
      <c r="TBL16" s="310" t="s">
        <v>201</v>
      </c>
      <c r="TBM16" s="310" t="s">
        <v>201</v>
      </c>
      <c r="TBN16" s="310" t="s">
        <v>201</v>
      </c>
      <c r="TBO16" s="310" t="s">
        <v>201</v>
      </c>
      <c r="TBP16" s="310" t="s">
        <v>201</v>
      </c>
      <c r="TBQ16" s="310" t="s">
        <v>201</v>
      </c>
      <c r="TBR16" s="310" t="s">
        <v>201</v>
      </c>
      <c r="TBS16" s="310" t="s">
        <v>201</v>
      </c>
      <c r="TBT16" s="310" t="s">
        <v>201</v>
      </c>
      <c r="TBU16" s="310" t="s">
        <v>201</v>
      </c>
      <c r="TBV16" s="310" t="s">
        <v>201</v>
      </c>
      <c r="TBW16" s="310" t="s">
        <v>201</v>
      </c>
      <c r="TBX16" s="310" t="s">
        <v>201</v>
      </c>
      <c r="TBY16" s="310" t="s">
        <v>201</v>
      </c>
      <c r="TBZ16" s="310" t="s">
        <v>201</v>
      </c>
      <c r="TCA16" s="310" t="s">
        <v>201</v>
      </c>
      <c r="TCB16" s="310" t="s">
        <v>201</v>
      </c>
      <c r="TCC16" s="310" t="s">
        <v>201</v>
      </c>
      <c r="TCD16" s="310" t="s">
        <v>201</v>
      </c>
      <c r="TCE16" s="310" t="s">
        <v>201</v>
      </c>
      <c r="TCF16" s="310" t="s">
        <v>201</v>
      </c>
      <c r="TCG16" s="310" t="s">
        <v>201</v>
      </c>
      <c r="TCH16" s="310" t="s">
        <v>201</v>
      </c>
      <c r="TCI16" s="310" t="s">
        <v>201</v>
      </c>
      <c r="TCJ16" s="310" t="s">
        <v>201</v>
      </c>
      <c r="TCK16" s="310" t="s">
        <v>201</v>
      </c>
      <c r="TCL16" s="310" t="s">
        <v>201</v>
      </c>
      <c r="TCM16" s="310" t="s">
        <v>201</v>
      </c>
      <c r="TCN16" s="310" t="s">
        <v>201</v>
      </c>
      <c r="TCO16" s="310" t="s">
        <v>201</v>
      </c>
      <c r="TCP16" s="310" t="s">
        <v>201</v>
      </c>
      <c r="TCQ16" s="310" t="s">
        <v>201</v>
      </c>
      <c r="TCR16" s="310" t="s">
        <v>201</v>
      </c>
      <c r="TCS16" s="310" t="s">
        <v>201</v>
      </c>
      <c r="TCT16" s="310" t="s">
        <v>201</v>
      </c>
      <c r="TCU16" s="310" t="s">
        <v>201</v>
      </c>
      <c r="TCV16" s="310" t="s">
        <v>201</v>
      </c>
      <c r="TCW16" s="310" t="s">
        <v>201</v>
      </c>
      <c r="TCX16" s="310" t="s">
        <v>201</v>
      </c>
      <c r="TCY16" s="310" t="s">
        <v>201</v>
      </c>
      <c r="TCZ16" s="310" t="s">
        <v>201</v>
      </c>
      <c r="TDA16" s="310" t="s">
        <v>201</v>
      </c>
      <c r="TDB16" s="310" t="s">
        <v>201</v>
      </c>
      <c r="TDC16" s="310" t="s">
        <v>201</v>
      </c>
      <c r="TDD16" s="310" t="s">
        <v>201</v>
      </c>
      <c r="TDE16" s="310" t="s">
        <v>201</v>
      </c>
      <c r="TDF16" s="310" t="s">
        <v>201</v>
      </c>
      <c r="TDG16" s="310" t="s">
        <v>201</v>
      </c>
      <c r="TDH16" s="310" t="s">
        <v>201</v>
      </c>
      <c r="TDI16" s="310" t="s">
        <v>201</v>
      </c>
      <c r="TDJ16" s="310" t="s">
        <v>201</v>
      </c>
      <c r="TDK16" s="310" t="s">
        <v>201</v>
      </c>
      <c r="TDL16" s="310" t="s">
        <v>201</v>
      </c>
      <c r="TDM16" s="310" t="s">
        <v>201</v>
      </c>
      <c r="TDN16" s="310" t="s">
        <v>201</v>
      </c>
      <c r="TDO16" s="310" t="s">
        <v>201</v>
      </c>
      <c r="TDP16" s="310" t="s">
        <v>201</v>
      </c>
      <c r="TDQ16" s="310" t="s">
        <v>201</v>
      </c>
      <c r="TDR16" s="310" t="s">
        <v>201</v>
      </c>
      <c r="TDS16" s="310" t="s">
        <v>201</v>
      </c>
      <c r="TDT16" s="310" t="s">
        <v>201</v>
      </c>
      <c r="TDU16" s="310" t="s">
        <v>201</v>
      </c>
      <c r="TDV16" s="310" t="s">
        <v>201</v>
      </c>
      <c r="TDW16" s="310" t="s">
        <v>201</v>
      </c>
      <c r="TDX16" s="310" t="s">
        <v>201</v>
      </c>
      <c r="TDY16" s="310" t="s">
        <v>201</v>
      </c>
      <c r="TDZ16" s="310" t="s">
        <v>201</v>
      </c>
      <c r="TEA16" s="310" t="s">
        <v>201</v>
      </c>
      <c r="TEB16" s="310" t="s">
        <v>201</v>
      </c>
      <c r="TEC16" s="310" t="s">
        <v>201</v>
      </c>
      <c r="TED16" s="310" t="s">
        <v>201</v>
      </c>
      <c r="TEE16" s="310" t="s">
        <v>201</v>
      </c>
      <c r="TEF16" s="310" t="s">
        <v>201</v>
      </c>
      <c r="TEG16" s="310" t="s">
        <v>201</v>
      </c>
      <c r="TEH16" s="310" t="s">
        <v>201</v>
      </c>
      <c r="TEI16" s="310" t="s">
        <v>201</v>
      </c>
      <c r="TEJ16" s="310" t="s">
        <v>201</v>
      </c>
      <c r="TEK16" s="310" t="s">
        <v>201</v>
      </c>
      <c r="TEL16" s="310" t="s">
        <v>201</v>
      </c>
      <c r="TEM16" s="310" t="s">
        <v>201</v>
      </c>
      <c r="TEN16" s="310" t="s">
        <v>201</v>
      </c>
      <c r="TEO16" s="310" t="s">
        <v>201</v>
      </c>
      <c r="TEP16" s="310" t="s">
        <v>201</v>
      </c>
      <c r="TEQ16" s="310" t="s">
        <v>201</v>
      </c>
      <c r="TER16" s="310" t="s">
        <v>201</v>
      </c>
      <c r="TES16" s="310" t="s">
        <v>201</v>
      </c>
      <c r="TET16" s="310" t="s">
        <v>201</v>
      </c>
      <c r="TEU16" s="310" t="s">
        <v>201</v>
      </c>
      <c r="TEV16" s="310" t="s">
        <v>201</v>
      </c>
      <c r="TEW16" s="310" t="s">
        <v>201</v>
      </c>
      <c r="TEX16" s="310" t="s">
        <v>201</v>
      </c>
      <c r="TEY16" s="310" t="s">
        <v>201</v>
      </c>
      <c r="TEZ16" s="310" t="s">
        <v>201</v>
      </c>
      <c r="TFA16" s="310" t="s">
        <v>201</v>
      </c>
      <c r="TFB16" s="310" t="s">
        <v>201</v>
      </c>
      <c r="TFC16" s="310" t="s">
        <v>201</v>
      </c>
      <c r="TFD16" s="310" t="s">
        <v>201</v>
      </c>
      <c r="TFE16" s="310" t="s">
        <v>201</v>
      </c>
      <c r="TFF16" s="310" t="s">
        <v>201</v>
      </c>
      <c r="TFG16" s="310" t="s">
        <v>201</v>
      </c>
      <c r="TFH16" s="310" t="s">
        <v>201</v>
      </c>
      <c r="TFI16" s="310" t="s">
        <v>201</v>
      </c>
      <c r="TFJ16" s="310" t="s">
        <v>201</v>
      </c>
      <c r="TFK16" s="310" t="s">
        <v>201</v>
      </c>
      <c r="TFL16" s="310" t="s">
        <v>201</v>
      </c>
      <c r="TFM16" s="310" t="s">
        <v>201</v>
      </c>
      <c r="TFN16" s="310" t="s">
        <v>201</v>
      </c>
      <c r="TFO16" s="310" t="s">
        <v>201</v>
      </c>
      <c r="TFP16" s="310" t="s">
        <v>201</v>
      </c>
      <c r="TFQ16" s="310" t="s">
        <v>201</v>
      </c>
      <c r="TFR16" s="310" t="s">
        <v>201</v>
      </c>
      <c r="TFS16" s="310" t="s">
        <v>201</v>
      </c>
      <c r="TFT16" s="310" t="s">
        <v>201</v>
      </c>
      <c r="TFU16" s="310" t="s">
        <v>201</v>
      </c>
      <c r="TFV16" s="310" t="s">
        <v>201</v>
      </c>
      <c r="TFW16" s="310" t="s">
        <v>201</v>
      </c>
      <c r="TFX16" s="310" t="s">
        <v>201</v>
      </c>
      <c r="TFY16" s="310" t="s">
        <v>201</v>
      </c>
      <c r="TFZ16" s="310" t="s">
        <v>201</v>
      </c>
      <c r="TGA16" s="310" t="s">
        <v>201</v>
      </c>
      <c r="TGB16" s="310" t="s">
        <v>201</v>
      </c>
      <c r="TGC16" s="310" t="s">
        <v>201</v>
      </c>
      <c r="TGD16" s="310" t="s">
        <v>201</v>
      </c>
      <c r="TGE16" s="310" t="s">
        <v>201</v>
      </c>
      <c r="TGF16" s="310" t="s">
        <v>201</v>
      </c>
      <c r="TGG16" s="310" t="s">
        <v>201</v>
      </c>
      <c r="TGH16" s="310" t="s">
        <v>201</v>
      </c>
      <c r="TGI16" s="310" t="s">
        <v>201</v>
      </c>
      <c r="TGJ16" s="310" t="s">
        <v>201</v>
      </c>
      <c r="TGK16" s="310" t="s">
        <v>201</v>
      </c>
      <c r="TGL16" s="310" t="s">
        <v>201</v>
      </c>
      <c r="TGM16" s="310" t="s">
        <v>201</v>
      </c>
      <c r="TGN16" s="310" t="s">
        <v>201</v>
      </c>
      <c r="TGO16" s="310" t="s">
        <v>201</v>
      </c>
      <c r="TGP16" s="310" t="s">
        <v>201</v>
      </c>
      <c r="TGQ16" s="310" t="s">
        <v>201</v>
      </c>
      <c r="TGR16" s="310" t="s">
        <v>201</v>
      </c>
      <c r="TGS16" s="310" t="s">
        <v>201</v>
      </c>
      <c r="TGT16" s="310" t="s">
        <v>201</v>
      </c>
      <c r="TGU16" s="310" t="s">
        <v>201</v>
      </c>
      <c r="TGV16" s="310" t="s">
        <v>201</v>
      </c>
      <c r="TGW16" s="310" t="s">
        <v>201</v>
      </c>
      <c r="TGX16" s="310" t="s">
        <v>201</v>
      </c>
      <c r="TGY16" s="310" t="s">
        <v>201</v>
      </c>
      <c r="TGZ16" s="310" t="s">
        <v>201</v>
      </c>
      <c r="THA16" s="310" t="s">
        <v>201</v>
      </c>
      <c r="THB16" s="310" t="s">
        <v>201</v>
      </c>
      <c r="THC16" s="310" t="s">
        <v>201</v>
      </c>
      <c r="THD16" s="310" t="s">
        <v>201</v>
      </c>
      <c r="THE16" s="310" t="s">
        <v>201</v>
      </c>
      <c r="THF16" s="310" t="s">
        <v>201</v>
      </c>
      <c r="THG16" s="310" t="s">
        <v>201</v>
      </c>
      <c r="THH16" s="310" t="s">
        <v>201</v>
      </c>
      <c r="THI16" s="310" t="s">
        <v>201</v>
      </c>
      <c r="THJ16" s="310" t="s">
        <v>201</v>
      </c>
      <c r="THK16" s="310" t="s">
        <v>201</v>
      </c>
      <c r="THL16" s="310" t="s">
        <v>201</v>
      </c>
      <c r="THM16" s="310" t="s">
        <v>201</v>
      </c>
      <c r="THN16" s="310" t="s">
        <v>201</v>
      </c>
      <c r="THO16" s="310" t="s">
        <v>201</v>
      </c>
      <c r="THP16" s="310" t="s">
        <v>201</v>
      </c>
      <c r="THQ16" s="310" t="s">
        <v>201</v>
      </c>
      <c r="THR16" s="310" t="s">
        <v>201</v>
      </c>
      <c r="THS16" s="310" t="s">
        <v>201</v>
      </c>
      <c r="THT16" s="310" t="s">
        <v>201</v>
      </c>
      <c r="THU16" s="310" t="s">
        <v>201</v>
      </c>
      <c r="THV16" s="310" t="s">
        <v>201</v>
      </c>
      <c r="THW16" s="310" t="s">
        <v>201</v>
      </c>
      <c r="THX16" s="310" t="s">
        <v>201</v>
      </c>
      <c r="THY16" s="310" t="s">
        <v>201</v>
      </c>
      <c r="THZ16" s="310" t="s">
        <v>201</v>
      </c>
      <c r="TIA16" s="310" t="s">
        <v>201</v>
      </c>
      <c r="TIB16" s="310" t="s">
        <v>201</v>
      </c>
      <c r="TIC16" s="310" t="s">
        <v>201</v>
      </c>
      <c r="TID16" s="310" t="s">
        <v>201</v>
      </c>
      <c r="TIE16" s="310" t="s">
        <v>201</v>
      </c>
      <c r="TIF16" s="310" t="s">
        <v>201</v>
      </c>
      <c r="TIG16" s="310" t="s">
        <v>201</v>
      </c>
      <c r="TIH16" s="310" t="s">
        <v>201</v>
      </c>
      <c r="TII16" s="310" t="s">
        <v>201</v>
      </c>
      <c r="TIJ16" s="310" t="s">
        <v>201</v>
      </c>
      <c r="TIK16" s="310" t="s">
        <v>201</v>
      </c>
      <c r="TIL16" s="310" t="s">
        <v>201</v>
      </c>
      <c r="TIM16" s="310" t="s">
        <v>201</v>
      </c>
      <c r="TIN16" s="310" t="s">
        <v>201</v>
      </c>
      <c r="TIO16" s="310" t="s">
        <v>201</v>
      </c>
      <c r="TIP16" s="310" t="s">
        <v>201</v>
      </c>
      <c r="TIQ16" s="310" t="s">
        <v>201</v>
      </c>
      <c r="TIR16" s="310" t="s">
        <v>201</v>
      </c>
      <c r="TIS16" s="310" t="s">
        <v>201</v>
      </c>
      <c r="TIT16" s="310" t="s">
        <v>201</v>
      </c>
      <c r="TIU16" s="310" t="s">
        <v>201</v>
      </c>
      <c r="TIV16" s="310" t="s">
        <v>201</v>
      </c>
      <c r="TIW16" s="310" t="s">
        <v>201</v>
      </c>
      <c r="TIX16" s="310" t="s">
        <v>201</v>
      </c>
      <c r="TIY16" s="310" t="s">
        <v>201</v>
      </c>
      <c r="TIZ16" s="310" t="s">
        <v>201</v>
      </c>
      <c r="TJA16" s="310" t="s">
        <v>201</v>
      </c>
      <c r="TJB16" s="310" t="s">
        <v>201</v>
      </c>
      <c r="TJC16" s="310" t="s">
        <v>201</v>
      </c>
      <c r="TJD16" s="310" t="s">
        <v>201</v>
      </c>
      <c r="TJE16" s="310" t="s">
        <v>201</v>
      </c>
      <c r="TJF16" s="310" t="s">
        <v>201</v>
      </c>
      <c r="TJG16" s="310" t="s">
        <v>201</v>
      </c>
      <c r="TJH16" s="310" t="s">
        <v>201</v>
      </c>
      <c r="TJI16" s="310" t="s">
        <v>201</v>
      </c>
      <c r="TJJ16" s="310" t="s">
        <v>201</v>
      </c>
      <c r="TJK16" s="310" t="s">
        <v>201</v>
      </c>
      <c r="TJL16" s="310" t="s">
        <v>201</v>
      </c>
      <c r="TJM16" s="310" t="s">
        <v>201</v>
      </c>
      <c r="TJN16" s="310" t="s">
        <v>201</v>
      </c>
      <c r="TJO16" s="310" t="s">
        <v>201</v>
      </c>
      <c r="TJP16" s="310" t="s">
        <v>201</v>
      </c>
      <c r="TJQ16" s="310" t="s">
        <v>201</v>
      </c>
      <c r="TJR16" s="310" t="s">
        <v>201</v>
      </c>
      <c r="TJS16" s="310" t="s">
        <v>201</v>
      </c>
      <c r="TJT16" s="310" t="s">
        <v>201</v>
      </c>
      <c r="TJU16" s="310" t="s">
        <v>201</v>
      </c>
      <c r="TJV16" s="310" t="s">
        <v>201</v>
      </c>
      <c r="TJW16" s="310" t="s">
        <v>201</v>
      </c>
      <c r="TJX16" s="310" t="s">
        <v>201</v>
      </c>
      <c r="TJY16" s="310" t="s">
        <v>201</v>
      </c>
      <c r="TJZ16" s="310" t="s">
        <v>201</v>
      </c>
      <c r="TKA16" s="310" t="s">
        <v>201</v>
      </c>
      <c r="TKB16" s="310" t="s">
        <v>201</v>
      </c>
      <c r="TKC16" s="310" t="s">
        <v>201</v>
      </c>
      <c r="TKD16" s="310" t="s">
        <v>201</v>
      </c>
      <c r="TKE16" s="310" t="s">
        <v>201</v>
      </c>
      <c r="TKF16" s="310" t="s">
        <v>201</v>
      </c>
      <c r="TKG16" s="310" t="s">
        <v>201</v>
      </c>
      <c r="TKH16" s="310" t="s">
        <v>201</v>
      </c>
      <c r="TKI16" s="310" t="s">
        <v>201</v>
      </c>
      <c r="TKJ16" s="310" t="s">
        <v>201</v>
      </c>
      <c r="TKK16" s="310" t="s">
        <v>201</v>
      </c>
      <c r="TKL16" s="310" t="s">
        <v>201</v>
      </c>
      <c r="TKM16" s="310" t="s">
        <v>201</v>
      </c>
      <c r="TKN16" s="310" t="s">
        <v>201</v>
      </c>
      <c r="TKO16" s="310" t="s">
        <v>201</v>
      </c>
      <c r="TKP16" s="310" t="s">
        <v>201</v>
      </c>
      <c r="TKQ16" s="310" t="s">
        <v>201</v>
      </c>
      <c r="TKR16" s="310" t="s">
        <v>201</v>
      </c>
      <c r="TKS16" s="310" t="s">
        <v>201</v>
      </c>
      <c r="TKT16" s="310" t="s">
        <v>201</v>
      </c>
      <c r="TKU16" s="310" t="s">
        <v>201</v>
      </c>
      <c r="TKV16" s="310" t="s">
        <v>201</v>
      </c>
      <c r="TKW16" s="310" t="s">
        <v>201</v>
      </c>
      <c r="TKX16" s="310" t="s">
        <v>201</v>
      </c>
      <c r="TKY16" s="310" t="s">
        <v>201</v>
      </c>
      <c r="TKZ16" s="310" t="s">
        <v>201</v>
      </c>
      <c r="TLA16" s="310" t="s">
        <v>201</v>
      </c>
      <c r="TLB16" s="310" t="s">
        <v>201</v>
      </c>
      <c r="TLC16" s="310" t="s">
        <v>201</v>
      </c>
      <c r="TLD16" s="310" t="s">
        <v>201</v>
      </c>
      <c r="TLE16" s="310" t="s">
        <v>201</v>
      </c>
      <c r="TLF16" s="310" t="s">
        <v>201</v>
      </c>
      <c r="TLG16" s="310" t="s">
        <v>201</v>
      </c>
      <c r="TLH16" s="310" t="s">
        <v>201</v>
      </c>
      <c r="TLI16" s="310" t="s">
        <v>201</v>
      </c>
      <c r="TLJ16" s="310" t="s">
        <v>201</v>
      </c>
      <c r="TLK16" s="310" t="s">
        <v>201</v>
      </c>
      <c r="TLL16" s="310" t="s">
        <v>201</v>
      </c>
      <c r="TLM16" s="310" t="s">
        <v>201</v>
      </c>
      <c r="TLN16" s="310" t="s">
        <v>201</v>
      </c>
      <c r="TLO16" s="310" t="s">
        <v>201</v>
      </c>
      <c r="TLP16" s="310" t="s">
        <v>201</v>
      </c>
      <c r="TLQ16" s="310" t="s">
        <v>201</v>
      </c>
      <c r="TLR16" s="310" t="s">
        <v>201</v>
      </c>
      <c r="TLS16" s="310" t="s">
        <v>201</v>
      </c>
      <c r="TLT16" s="310" t="s">
        <v>201</v>
      </c>
      <c r="TLU16" s="310" t="s">
        <v>201</v>
      </c>
      <c r="TLV16" s="310" t="s">
        <v>201</v>
      </c>
      <c r="TLW16" s="310" t="s">
        <v>201</v>
      </c>
      <c r="TLX16" s="310" t="s">
        <v>201</v>
      </c>
      <c r="TLY16" s="310" t="s">
        <v>201</v>
      </c>
      <c r="TLZ16" s="310" t="s">
        <v>201</v>
      </c>
      <c r="TMA16" s="310" t="s">
        <v>201</v>
      </c>
      <c r="TMB16" s="310" t="s">
        <v>201</v>
      </c>
      <c r="TMC16" s="310" t="s">
        <v>201</v>
      </c>
      <c r="TMD16" s="310" t="s">
        <v>201</v>
      </c>
      <c r="TME16" s="310" t="s">
        <v>201</v>
      </c>
      <c r="TMF16" s="310" t="s">
        <v>201</v>
      </c>
      <c r="TMG16" s="310" t="s">
        <v>201</v>
      </c>
      <c r="TMH16" s="310" t="s">
        <v>201</v>
      </c>
      <c r="TMI16" s="310" t="s">
        <v>201</v>
      </c>
      <c r="TMJ16" s="310" t="s">
        <v>201</v>
      </c>
      <c r="TMK16" s="310" t="s">
        <v>201</v>
      </c>
      <c r="TML16" s="310" t="s">
        <v>201</v>
      </c>
      <c r="TMM16" s="310" t="s">
        <v>201</v>
      </c>
      <c r="TMN16" s="310" t="s">
        <v>201</v>
      </c>
      <c r="TMO16" s="310" t="s">
        <v>201</v>
      </c>
      <c r="TMP16" s="310" t="s">
        <v>201</v>
      </c>
      <c r="TMQ16" s="310" t="s">
        <v>201</v>
      </c>
      <c r="TMR16" s="310" t="s">
        <v>201</v>
      </c>
      <c r="TMS16" s="310" t="s">
        <v>201</v>
      </c>
      <c r="TMT16" s="310" t="s">
        <v>201</v>
      </c>
      <c r="TMU16" s="310" t="s">
        <v>201</v>
      </c>
      <c r="TMV16" s="310" t="s">
        <v>201</v>
      </c>
      <c r="TMW16" s="310" t="s">
        <v>201</v>
      </c>
      <c r="TMX16" s="310" t="s">
        <v>201</v>
      </c>
      <c r="TMY16" s="310" t="s">
        <v>201</v>
      </c>
      <c r="TMZ16" s="310" t="s">
        <v>201</v>
      </c>
      <c r="TNA16" s="310" t="s">
        <v>201</v>
      </c>
      <c r="TNB16" s="310" t="s">
        <v>201</v>
      </c>
      <c r="TNC16" s="310" t="s">
        <v>201</v>
      </c>
      <c r="TND16" s="310" t="s">
        <v>201</v>
      </c>
      <c r="TNE16" s="310" t="s">
        <v>201</v>
      </c>
      <c r="TNF16" s="310" t="s">
        <v>201</v>
      </c>
      <c r="TNG16" s="310" t="s">
        <v>201</v>
      </c>
      <c r="TNH16" s="310" t="s">
        <v>201</v>
      </c>
      <c r="TNI16" s="310" t="s">
        <v>201</v>
      </c>
      <c r="TNJ16" s="310" t="s">
        <v>201</v>
      </c>
      <c r="TNK16" s="310" t="s">
        <v>201</v>
      </c>
      <c r="TNL16" s="310" t="s">
        <v>201</v>
      </c>
      <c r="TNM16" s="310" t="s">
        <v>201</v>
      </c>
      <c r="TNN16" s="310" t="s">
        <v>201</v>
      </c>
      <c r="TNO16" s="310" t="s">
        <v>201</v>
      </c>
      <c r="TNP16" s="310" t="s">
        <v>201</v>
      </c>
      <c r="TNQ16" s="310" t="s">
        <v>201</v>
      </c>
      <c r="TNR16" s="310" t="s">
        <v>201</v>
      </c>
      <c r="TNS16" s="310" t="s">
        <v>201</v>
      </c>
      <c r="TNT16" s="310" t="s">
        <v>201</v>
      </c>
      <c r="TNU16" s="310" t="s">
        <v>201</v>
      </c>
      <c r="TNV16" s="310" t="s">
        <v>201</v>
      </c>
      <c r="TNW16" s="310" t="s">
        <v>201</v>
      </c>
      <c r="TNX16" s="310" t="s">
        <v>201</v>
      </c>
      <c r="TNY16" s="310" t="s">
        <v>201</v>
      </c>
      <c r="TNZ16" s="310" t="s">
        <v>201</v>
      </c>
      <c r="TOA16" s="310" t="s">
        <v>201</v>
      </c>
      <c r="TOB16" s="310" t="s">
        <v>201</v>
      </c>
      <c r="TOC16" s="310" t="s">
        <v>201</v>
      </c>
      <c r="TOD16" s="310" t="s">
        <v>201</v>
      </c>
      <c r="TOE16" s="310" t="s">
        <v>201</v>
      </c>
      <c r="TOF16" s="310" t="s">
        <v>201</v>
      </c>
      <c r="TOG16" s="310" t="s">
        <v>201</v>
      </c>
      <c r="TOH16" s="310" t="s">
        <v>201</v>
      </c>
      <c r="TOI16" s="310" t="s">
        <v>201</v>
      </c>
      <c r="TOJ16" s="310" t="s">
        <v>201</v>
      </c>
      <c r="TOK16" s="310" t="s">
        <v>201</v>
      </c>
      <c r="TOL16" s="310" t="s">
        <v>201</v>
      </c>
      <c r="TOM16" s="310" t="s">
        <v>201</v>
      </c>
      <c r="TON16" s="310" t="s">
        <v>201</v>
      </c>
      <c r="TOO16" s="310" t="s">
        <v>201</v>
      </c>
      <c r="TOP16" s="310" t="s">
        <v>201</v>
      </c>
      <c r="TOQ16" s="310" t="s">
        <v>201</v>
      </c>
      <c r="TOR16" s="310" t="s">
        <v>201</v>
      </c>
      <c r="TOS16" s="310" t="s">
        <v>201</v>
      </c>
      <c r="TOT16" s="310" t="s">
        <v>201</v>
      </c>
      <c r="TOU16" s="310" t="s">
        <v>201</v>
      </c>
      <c r="TOV16" s="310" t="s">
        <v>201</v>
      </c>
      <c r="TOW16" s="310" t="s">
        <v>201</v>
      </c>
      <c r="TOX16" s="310" t="s">
        <v>201</v>
      </c>
      <c r="TOY16" s="310" t="s">
        <v>201</v>
      </c>
      <c r="TOZ16" s="310" t="s">
        <v>201</v>
      </c>
      <c r="TPA16" s="310" t="s">
        <v>201</v>
      </c>
      <c r="TPB16" s="310" t="s">
        <v>201</v>
      </c>
      <c r="TPC16" s="310" t="s">
        <v>201</v>
      </c>
      <c r="TPD16" s="310" t="s">
        <v>201</v>
      </c>
      <c r="TPE16" s="310" t="s">
        <v>201</v>
      </c>
      <c r="TPF16" s="310" t="s">
        <v>201</v>
      </c>
      <c r="TPG16" s="310" t="s">
        <v>201</v>
      </c>
      <c r="TPH16" s="310" t="s">
        <v>201</v>
      </c>
      <c r="TPI16" s="310" t="s">
        <v>201</v>
      </c>
      <c r="TPJ16" s="310" t="s">
        <v>201</v>
      </c>
      <c r="TPK16" s="310" t="s">
        <v>201</v>
      </c>
      <c r="TPL16" s="310" t="s">
        <v>201</v>
      </c>
      <c r="TPM16" s="310" t="s">
        <v>201</v>
      </c>
      <c r="TPN16" s="310" t="s">
        <v>201</v>
      </c>
      <c r="TPO16" s="310" t="s">
        <v>201</v>
      </c>
      <c r="TPP16" s="310" t="s">
        <v>201</v>
      </c>
      <c r="TPQ16" s="310" t="s">
        <v>201</v>
      </c>
      <c r="TPR16" s="310" t="s">
        <v>201</v>
      </c>
      <c r="TPS16" s="310" t="s">
        <v>201</v>
      </c>
      <c r="TPT16" s="310" t="s">
        <v>201</v>
      </c>
      <c r="TPU16" s="310" t="s">
        <v>201</v>
      </c>
      <c r="TPV16" s="310" t="s">
        <v>201</v>
      </c>
      <c r="TPW16" s="310" t="s">
        <v>201</v>
      </c>
      <c r="TPX16" s="310" t="s">
        <v>201</v>
      </c>
      <c r="TPY16" s="310" t="s">
        <v>201</v>
      </c>
      <c r="TPZ16" s="310" t="s">
        <v>201</v>
      </c>
      <c r="TQA16" s="310" t="s">
        <v>201</v>
      </c>
      <c r="TQB16" s="310" t="s">
        <v>201</v>
      </c>
      <c r="TQC16" s="310" t="s">
        <v>201</v>
      </c>
      <c r="TQD16" s="310" t="s">
        <v>201</v>
      </c>
      <c r="TQE16" s="310" t="s">
        <v>201</v>
      </c>
      <c r="TQF16" s="310" t="s">
        <v>201</v>
      </c>
      <c r="TQG16" s="310" t="s">
        <v>201</v>
      </c>
      <c r="TQH16" s="310" t="s">
        <v>201</v>
      </c>
      <c r="TQI16" s="310" t="s">
        <v>201</v>
      </c>
      <c r="TQJ16" s="310" t="s">
        <v>201</v>
      </c>
      <c r="TQK16" s="310" t="s">
        <v>201</v>
      </c>
      <c r="TQL16" s="310" t="s">
        <v>201</v>
      </c>
      <c r="TQM16" s="310" t="s">
        <v>201</v>
      </c>
      <c r="TQN16" s="310" t="s">
        <v>201</v>
      </c>
      <c r="TQO16" s="310" t="s">
        <v>201</v>
      </c>
      <c r="TQP16" s="310" t="s">
        <v>201</v>
      </c>
      <c r="TQQ16" s="310" t="s">
        <v>201</v>
      </c>
      <c r="TQR16" s="310" t="s">
        <v>201</v>
      </c>
      <c r="TQS16" s="310" t="s">
        <v>201</v>
      </c>
      <c r="TQT16" s="310" t="s">
        <v>201</v>
      </c>
      <c r="TQU16" s="310" t="s">
        <v>201</v>
      </c>
      <c r="TQV16" s="310" t="s">
        <v>201</v>
      </c>
      <c r="TQW16" s="310" t="s">
        <v>201</v>
      </c>
      <c r="TQX16" s="310" t="s">
        <v>201</v>
      </c>
      <c r="TQY16" s="310" t="s">
        <v>201</v>
      </c>
      <c r="TQZ16" s="310" t="s">
        <v>201</v>
      </c>
      <c r="TRA16" s="310" t="s">
        <v>201</v>
      </c>
      <c r="TRB16" s="310" t="s">
        <v>201</v>
      </c>
      <c r="TRC16" s="310" t="s">
        <v>201</v>
      </c>
      <c r="TRD16" s="310" t="s">
        <v>201</v>
      </c>
      <c r="TRE16" s="310" t="s">
        <v>201</v>
      </c>
      <c r="TRF16" s="310" t="s">
        <v>201</v>
      </c>
      <c r="TRG16" s="310" t="s">
        <v>201</v>
      </c>
      <c r="TRH16" s="310" t="s">
        <v>201</v>
      </c>
      <c r="TRI16" s="310" t="s">
        <v>201</v>
      </c>
      <c r="TRJ16" s="310" t="s">
        <v>201</v>
      </c>
      <c r="TRK16" s="310" t="s">
        <v>201</v>
      </c>
      <c r="TRL16" s="310" t="s">
        <v>201</v>
      </c>
      <c r="TRM16" s="310" t="s">
        <v>201</v>
      </c>
      <c r="TRN16" s="310" t="s">
        <v>201</v>
      </c>
      <c r="TRO16" s="310" t="s">
        <v>201</v>
      </c>
      <c r="TRP16" s="310" t="s">
        <v>201</v>
      </c>
      <c r="TRQ16" s="310" t="s">
        <v>201</v>
      </c>
      <c r="TRR16" s="310" t="s">
        <v>201</v>
      </c>
      <c r="TRS16" s="310" t="s">
        <v>201</v>
      </c>
      <c r="TRT16" s="310" t="s">
        <v>201</v>
      </c>
      <c r="TRU16" s="310" t="s">
        <v>201</v>
      </c>
      <c r="TRV16" s="310" t="s">
        <v>201</v>
      </c>
      <c r="TRW16" s="310" t="s">
        <v>201</v>
      </c>
      <c r="TRX16" s="310" t="s">
        <v>201</v>
      </c>
      <c r="TRY16" s="310" t="s">
        <v>201</v>
      </c>
      <c r="TRZ16" s="310" t="s">
        <v>201</v>
      </c>
      <c r="TSA16" s="310" t="s">
        <v>201</v>
      </c>
      <c r="TSB16" s="310" t="s">
        <v>201</v>
      </c>
      <c r="TSC16" s="310" t="s">
        <v>201</v>
      </c>
      <c r="TSD16" s="310" t="s">
        <v>201</v>
      </c>
      <c r="TSE16" s="310" t="s">
        <v>201</v>
      </c>
      <c r="TSF16" s="310" t="s">
        <v>201</v>
      </c>
      <c r="TSG16" s="310" t="s">
        <v>201</v>
      </c>
      <c r="TSH16" s="310" t="s">
        <v>201</v>
      </c>
      <c r="TSI16" s="310" t="s">
        <v>201</v>
      </c>
      <c r="TSJ16" s="310" t="s">
        <v>201</v>
      </c>
      <c r="TSK16" s="310" t="s">
        <v>201</v>
      </c>
      <c r="TSL16" s="310" t="s">
        <v>201</v>
      </c>
      <c r="TSM16" s="310" t="s">
        <v>201</v>
      </c>
      <c r="TSN16" s="310" t="s">
        <v>201</v>
      </c>
      <c r="TSO16" s="310" t="s">
        <v>201</v>
      </c>
      <c r="TSP16" s="310" t="s">
        <v>201</v>
      </c>
      <c r="TSQ16" s="310" t="s">
        <v>201</v>
      </c>
      <c r="TSR16" s="310" t="s">
        <v>201</v>
      </c>
      <c r="TSS16" s="310" t="s">
        <v>201</v>
      </c>
      <c r="TST16" s="310" t="s">
        <v>201</v>
      </c>
      <c r="TSU16" s="310" t="s">
        <v>201</v>
      </c>
      <c r="TSV16" s="310" t="s">
        <v>201</v>
      </c>
      <c r="TSW16" s="310" t="s">
        <v>201</v>
      </c>
      <c r="TSX16" s="310" t="s">
        <v>201</v>
      </c>
      <c r="TSY16" s="310" t="s">
        <v>201</v>
      </c>
      <c r="TSZ16" s="310" t="s">
        <v>201</v>
      </c>
      <c r="TTA16" s="310" t="s">
        <v>201</v>
      </c>
      <c r="TTB16" s="310" t="s">
        <v>201</v>
      </c>
      <c r="TTC16" s="310" t="s">
        <v>201</v>
      </c>
      <c r="TTD16" s="310" t="s">
        <v>201</v>
      </c>
      <c r="TTE16" s="310" t="s">
        <v>201</v>
      </c>
      <c r="TTF16" s="310" t="s">
        <v>201</v>
      </c>
      <c r="TTG16" s="310" t="s">
        <v>201</v>
      </c>
      <c r="TTH16" s="310" t="s">
        <v>201</v>
      </c>
      <c r="TTI16" s="310" t="s">
        <v>201</v>
      </c>
      <c r="TTJ16" s="310" t="s">
        <v>201</v>
      </c>
      <c r="TTK16" s="310" t="s">
        <v>201</v>
      </c>
      <c r="TTL16" s="310" t="s">
        <v>201</v>
      </c>
      <c r="TTM16" s="310" t="s">
        <v>201</v>
      </c>
      <c r="TTN16" s="310" t="s">
        <v>201</v>
      </c>
      <c r="TTO16" s="310" t="s">
        <v>201</v>
      </c>
      <c r="TTP16" s="310" t="s">
        <v>201</v>
      </c>
      <c r="TTQ16" s="310" t="s">
        <v>201</v>
      </c>
      <c r="TTR16" s="310" t="s">
        <v>201</v>
      </c>
      <c r="TTS16" s="310" t="s">
        <v>201</v>
      </c>
      <c r="TTT16" s="310" t="s">
        <v>201</v>
      </c>
      <c r="TTU16" s="310" t="s">
        <v>201</v>
      </c>
      <c r="TTV16" s="310" t="s">
        <v>201</v>
      </c>
      <c r="TTW16" s="310" t="s">
        <v>201</v>
      </c>
      <c r="TTX16" s="310" t="s">
        <v>201</v>
      </c>
      <c r="TTY16" s="310" t="s">
        <v>201</v>
      </c>
      <c r="TTZ16" s="310" t="s">
        <v>201</v>
      </c>
      <c r="TUA16" s="310" t="s">
        <v>201</v>
      </c>
      <c r="TUB16" s="310" t="s">
        <v>201</v>
      </c>
      <c r="TUC16" s="310" t="s">
        <v>201</v>
      </c>
      <c r="TUD16" s="310" t="s">
        <v>201</v>
      </c>
      <c r="TUE16" s="310" t="s">
        <v>201</v>
      </c>
      <c r="TUF16" s="310" t="s">
        <v>201</v>
      </c>
      <c r="TUG16" s="310" t="s">
        <v>201</v>
      </c>
      <c r="TUH16" s="310" t="s">
        <v>201</v>
      </c>
      <c r="TUI16" s="310" t="s">
        <v>201</v>
      </c>
      <c r="TUJ16" s="310" t="s">
        <v>201</v>
      </c>
      <c r="TUK16" s="310" t="s">
        <v>201</v>
      </c>
      <c r="TUL16" s="310" t="s">
        <v>201</v>
      </c>
      <c r="TUM16" s="310" t="s">
        <v>201</v>
      </c>
      <c r="TUN16" s="310" t="s">
        <v>201</v>
      </c>
      <c r="TUO16" s="310" t="s">
        <v>201</v>
      </c>
      <c r="TUP16" s="310" t="s">
        <v>201</v>
      </c>
      <c r="TUQ16" s="310" t="s">
        <v>201</v>
      </c>
      <c r="TUR16" s="310" t="s">
        <v>201</v>
      </c>
      <c r="TUS16" s="310" t="s">
        <v>201</v>
      </c>
      <c r="TUT16" s="310" t="s">
        <v>201</v>
      </c>
      <c r="TUU16" s="310" t="s">
        <v>201</v>
      </c>
      <c r="TUV16" s="310" t="s">
        <v>201</v>
      </c>
      <c r="TUW16" s="310" t="s">
        <v>201</v>
      </c>
      <c r="TUX16" s="310" t="s">
        <v>201</v>
      </c>
      <c r="TUY16" s="310" t="s">
        <v>201</v>
      </c>
      <c r="TUZ16" s="310" t="s">
        <v>201</v>
      </c>
      <c r="TVA16" s="310" t="s">
        <v>201</v>
      </c>
      <c r="TVB16" s="310" t="s">
        <v>201</v>
      </c>
      <c r="TVC16" s="310" t="s">
        <v>201</v>
      </c>
      <c r="TVD16" s="310" t="s">
        <v>201</v>
      </c>
      <c r="TVE16" s="310" t="s">
        <v>201</v>
      </c>
      <c r="TVF16" s="310" t="s">
        <v>201</v>
      </c>
      <c r="TVG16" s="310" t="s">
        <v>201</v>
      </c>
      <c r="TVH16" s="310" t="s">
        <v>201</v>
      </c>
      <c r="TVI16" s="310" t="s">
        <v>201</v>
      </c>
      <c r="TVJ16" s="310" t="s">
        <v>201</v>
      </c>
      <c r="TVK16" s="310" t="s">
        <v>201</v>
      </c>
      <c r="TVL16" s="310" t="s">
        <v>201</v>
      </c>
      <c r="TVM16" s="310" t="s">
        <v>201</v>
      </c>
      <c r="TVN16" s="310" t="s">
        <v>201</v>
      </c>
      <c r="TVO16" s="310" t="s">
        <v>201</v>
      </c>
      <c r="TVP16" s="310" t="s">
        <v>201</v>
      </c>
      <c r="TVQ16" s="310" t="s">
        <v>201</v>
      </c>
      <c r="TVR16" s="310" t="s">
        <v>201</v>
      </c>
      <c r="TVS16" s="310" t="s">
        <v>201</v>
      </c>
      <c r="TVT16" s="310" t="s">
        <v>201</v>
      </c>
      <c r="TVU16" s="310" t="s">
        <v>201</v>
      </c>
      <c r="TVV16" s="310" t="s">
        <v>201</v>
      </c>
      <c r="TVW16" s="310" t="s">
        <v>201</v>
      </c>
      <c r="TVX16" s="310" t="s">
        <v>201</v>
      </c>
      <c r="TVY16" s="310" t="s">
        <v>201</v>
      </c>
      <c r="TVZ16" s="310" t="s">
        <v>201</v>
      </c>
      <c r="TWA16" s="310" t="s">
        <v>201</v>
      </c>
      <c r="TWB16" s="310" t="s">
        <v>201</v>
      </c>
      <c r="TWC16" s="310" t="s">
        <v>201</v>
      </c>
      <c r="TWD16" s="310" t="s">
        <v>201</v>
      </c>
      <c r="TWE16" s="310" t="s">
        <v>201</v>
      </c>
      <c r="TWF16" s="310" t="s">
        <v>201</v>
      </c>
      <c r="TWG16" s="310" t="s">
        <v>201</v>
      </c>
      <c r="TWH16" s="310" t="s">
        <v>201</v>
      </c>
      <c r="TWI16" s="310" t="s">
        <v>201</v>
      </c>
      <c r="TWJ16" s="310" t="s">
        <v>201</v>
      </c>
      <c r="TWK16" s="310" t="s">
        <v>201</v>
      </c>
      <c r="TWL16" s="310" t="s">
        <v>201</v>
      </c>
      <c r="TWM16" s="310" t="s">
        <v>201</v>
      </c>
      <c r="TWN16" s="310" t="s">
        <v>201</v>
      </c>
      <c r="TWO16" s="310" t="s">
        <v>201</v>
      </c>
      <c r="TWP16" s="310" t="s">
        <v>201</v>
      </c>
      <c r="TWQ16" s="310" t="s">
        <v>201</v>
      </c>
      <c r="TWR16" s="310" t="s">
        <v>201</v>
      </c>
      <c r="TWS16" s="310" t="s">
        <v>201</v>
      </c>
      <c r="TWT16" s="310" t="s">
        <v>201</v>
      </c>
      <c r="TWU16" s="310" t="s">
        <v>201</v>
      </c>
      <c r="TWV16" s="310" t="s">
        <v>201</v>
      </c>
      <c r="TWW16" s="310" t="s">
        <v>201</v>
      </c>
      <c r="TWX16" s="310" t="s">
        <v>201</v>
      </c>
      <c r="TWY16" s="310" t="s">
        <v>201</v>
      </c>
      <c r="TWZ16" s="310" t="s">
        <v>201</v>
      </c>
      <c r="TXA16" s="310" t="s">
        <v>201</v>
      </c>
      <c r="TXB16" s="310" t="s">
        <v>201</v>
      </c>
      <c r="TXC16" s="310" t="s">
        <v>201</v>
      </c>
      <c r="TXD16" s="310" t="s">
        <v>201</v>
      </c>
      <c r="TXE16" s="310" t="s">
        <v>201</v>
      </c>
      <c r="TXF16" s="310" t="s">
        <v>201</v>
      </c>
      <c r="TXG16" s="310" t="s">
        <v>201</v>
      </c>
      <c r="TXH16" s="310" t="s">
        <v>201</v>
      </c>
      <c r="TXI16" s="310" t="s">
        <v>201</v>
      </c>
      <c r="TXJ16" s="310" t="s">
        <v>201</v>
      </c>
      <c r="TXK16" s="310" t="s">
        <v>201</v>
      </c>
      <c r="TXL16" s="310" t="s">
        <v>201</v>
      </c>
      <c r="TXM16" s="310" t="s">
        <v>201</v>
      </c>
      <c r="TXN16" s="310" t="s">
        <v>201</v>
      </c>
      <c r="TXO16" s="310" t="s">
        <v>201</v>
      </c>
      <c r="TXP16" s="310" t="s">
        <v>201</v>
      </c>
      <c r="TXQ16" s="310" t="s">
        <v>201</v>
      </c>
      <c r="TXR16" s="310" t="s">
        <v>201</v>
      </c>
      <c r="TXS16" s="310" t="s">
        <v>201</v>
      </c>
      <c r="TXT16" s="310" t="s">
        <v>201</v>
      </c>
      <c r="TXU16" s="310" t="s">
        <v>201</v>
      </c>
      <c r="TXV16" s="310" t="s">
        <v>201</v>
      </c>
      <c r="TXW16" s="310" t="s">
        <v>201</v>
      </c>
      <c r="TXX16" s="310" t="s">
        <v>201</v>
      </c>
      <c r="TXY16" s="310" t="s">
        <v>201</v>
      </c>
      <c r="TXZ16" s="310" t="s">
        <v>201</v>
      </c>
      <c r="TYA16" s="310" t="s">
        <v>201</v>
      </c>
      <c r="TYB16" s="310" t="s">
        <v>201</v>
      </c>
      <c r="TYC16" s="310" t="s">
        <v>201</v>
      </c>
      <c r="TYD16" s="310" t="s">
        <v>201</v>
      </c>
      <c r="TYE16" s="310" t="s">
        <v>201</v>
      </c>
      <c r="TYF16" s="310" t="s">
        <v>201</v>
      </c>
      <c r="TYG16" s="310" t="s">
        <v>201</v>
      </c>
      <c r="TYH16" s="310" t="s">
        <v>201</v>
      </c>
      <c r="TYI16" s="310" t="s">
        <v>201</v>
      </c>
      <c r="TYJ16" s="310" t="s">
        <v>201</v>
      </c>
      <c r="TYK16" s="310" t="s">
        <v>201</v>
      </c>
      <c r="TYL16" s="310" t="s">
        <v>201</v>
      </c>
      <c r="TYM16" s="310" t="s">
        <v>201</v>
      </c>
      <c r="TYN16" s="310" t="s">
        <v>201</v>
      </c>
      <c r="TYO16" s="310" t="s">
        <v>201</v>
      </c>
      <c r="TYP16" s="310" t="s">
        <v>201</v>
      </c>
      <c r="TYQ16" s="310" t="s">
        <v>201</v>
      </c>
      <c r="TYR16" s="310" t="s">
        <v>201</v>
      </c>
      <c r="TYS16" s="310" t="s">
        <v>201</v>
      </c>
      <c r="TYT16" s="310" t="s">
        <v>201</v>
      </c>
      <c r="TYU16" s="310" t="s">
        <v>201</v>
      </c>
      <c r="TYV16" s="310" t="s">
        <v>201</v>
      </c>
      <c r="TYW16" s="310" t="s">
        <v>201</v>
      </c>
      <c r="TYX16" s="310" t="s">
        <v>201</v>
      </c>
      <c r="TYY16" s="310" t="s">
        <v>201</v>
      </c>
      <c r="TYZ16" s="310" t="s">
        <v>201</v>
      </c>
      <c r="TZA16" s="310" t="s">
        <v>201</v>
      </c>
      <c r="TZB16" s="310" t="s">
        <v>201</v>
      </c>
      <c r="TZC16" s="310" t="s">
        <v>201</v>
      </c>
      <c r="TZD16" s="310" t="s">
        <v>201</v>
      </c>
      <c r="TZE16" s="310" t="s">
        <v>201</v>
      </c>
      <c r="TZF16" s="310" t="s">
        <v>201</v>
      </c>
      <c r="TZG16" s="310" t="s">
        <v>201</v>
      </c>
      <c r="TZH16" s="310" t="s">
        <v>201</v>
      </c>
      <c r="TZI16" s="310" t="s">
        <v>201</v>
      </c>
      <c r="TZJ16" s="310" t="s">
        <v>201</v>
      </c>
      <c r="TZK16" s="310" t="s">
        <v>201</v>
      </c>
      <c r="TZL16" s="310" t="s">
        <v>201</v>
      </c>
      <c r="TZM16" s="310" t="s">
        <v>201</v>
      </c>
      <c r="TZN16" s="310" t="s">
        <v>201</v>
      </c>
      <c r="TZO16" s="310" t="s">
        <v>201</v>
      </c>
      <c r="TZP16" s="310" t="s">
        <v>201</v>
      </c>
      <c r="TZQ16" s="310" t="s">
        <v>201</v>
      </c>
      <c r="TZR16" s="310" t="s">
        <v>201</v>
      </c>
      <c r="TZS16" s="310" t="s">
        <v>201</v>
      </c>
      <c r="TZT16" s="310" t="s">
        <v>201</v>
      </c>
      <c r="TZU16" s="310" t="s">
        <v>201</v>
      </c>
      <c r="TZV16" s="310" t="s">
        <v>201</v>
      </c>
      <c r="TZW16" s="310" t="s">
        <v>201</v>
      </c>
      <c r="TZX16" s="310" t="s">
        <v>201</v>
      </c>
      <c r="TZY16" s="310" t="s">
        <v>201</v>
      </c>
      <c r="TZZ16" s="310" t="s">
        <v>201</v>
      </c>
      <c r="UAA16" s="310" t="s">
        <v>201</v>
      </c>
      <c r="UAB16" s="310" t="s">
        <v>201</v>
      </c>
      <c r="UAC16" s="310" t="s">
        <v>201</v>
      </c>
      <c r="UAD16" s="310" t="s">
        <v>201</v>
      </c>
      <c r="UAE16" s="310" t="s">
        <v>201</v>
      </c>
      <c r="UAF16" s="310" t="s">
        <v>201</v>
      </c>
      <c r="UAG16" s="310" t="s">
        <v>201</v>
      </c>
      <c r="UAH16" s="310" t="s">
        <v>201</v>
      </c>
      <c r="UAI16" s="310" t="s">
        <v>201</v>
      </c>
      <c r="UAJ16" s="310" t="s">
        <v>201</v>
      </c>
      <c r="UAK16" s="310" t="s">
        <v>201</v>
      </c>
      <c r="UAL16" s="310" t="s">
        <v>201</v>
      </c>
      <c r="UAM16" s="310" t="s">
        <v>201</v>
      </c>
      <c r="UAN16" s="310" t="s">
        <v>201</v>
      </c>
      <c r="UAO16" s="310" t="s">
        <v>201</v>
      </c>
      <c r="UAP16" s="310" t="s">
        <v>201</v>
      </c>
      <c r="UAQ16" s="310" t="s">
        <v>201</v>
      </c>
      <c r="UAR16" s="310" t="s">
        <v>201</v>
      </c>
      <c r="UAS16" s="310" t="s">
        <v>201</v>
      </c>
      <c r="UAT16" s="310" t="s">
        <v>201</v>
      </c>
      <c r="UAU16" s="310" t="s">
        <v>201</v>
      </c>
      <c r="UAV16" s="310" t="s">
        <v>201</v>
      </c>
      <c r="UAW16" s="310" t="s">
        <v>201</v>
      </c>
      <c r="UAX16" s="310" t="s">
        <v>201</v>
      </c>
      <c r="UAY16" s="310" t="s">
        <v>201</v>
      </c>
      <c r="UAZ16" s="310" t="s">
        <v>201</v>
      </c>
      <c r="UBA16" s="310" t="s">
        <v>201</v>
      </c>
      <c r="UBB16" s="310" t="s">
        <v>201</v>
      </c>
      <c r="UBC16" s="310" t="s">
        <v>201</v>
      </c>
      <c r="UBD16" s="310" t="s">
        <v>201</v>
      </c>
      <c r="UBE16" s="310" t="s">
        <v>201</v>
      </c>
      <c r="UBF16" s="310" t="s">
        <v>201</v>
      </c>
      <c r="UBG16" s="310" t="s">
        <v>201</v>
      </c>
      <c r="UBH16" s="310" t="s">
        <v>201</v>
      </c>
      <c r="UBI16" s="310" t="s">
        <v>201</v>
      </c>
      <c r="UBJ16" s="310" t="s">
        <v>201</v>
      </c>
      <c r="UBK16" s="310" t="s">
        <v>201</v>
      </c>
      <c r="UBL16" s="310" t="s">
        <v>201</v>
      </c>
      <c r="UBM16" s="310" t="s">
        <v>201</v>
      </c>
      <c r="UBN16" s="310" t="s">
        <v>201</v>
      </c>
      <c r="UBO16" s="310" t="s">
        <v>201</v>
      </c>
      <c r="UBP16" s="310" t="s">
        <v>201</v>
      </c>
      <c r="UBQ16" s="310" t="s">
        <v>201</v>
      </c>
      <c r="UBR16" s="310" t="s">
        <v>201</v>
      </c>
      <c r="UBS16" s="310" t="s">
        <v>201</v>
      </c>
      <c r="UBT16" s="310" t="s">
        <v>201</v>
      </c>
      <c r="UBU16" s="310" t="s">
        <v>201</v>
      </c>
      <c r="UBV16" s="310" t="s">
        <v>201</v>
      </c>
      <c r="UBW16" s="310" t="s">
        <v>201</v>
      </c>
      <c r="UBX16" s="310" t="s">
        <v>201</v>
      </c>
      <c r="UBY16" s="310" t="s">
        <v>201</v>
      </c>
      <c r="UBZ16" s="310" t="s">
        <v>201</v>
      </c>
      <c r="UCA16" s="310" t="s">
        <v>201</v>
      </c>
      <c r="UCB16" s="310" t="s">
        <v>201</v>
      </c>
      <c r="UCC16" s="310" t="s">
        <v>201</v>
      </c>
      <c r="UCD16" s="310" t="s">
        <v>201</v>
      </c>
      <c r="UCE16" s="310" t="s">
        <v>201</v>
      </c>
      <c r="UCF16" s="310" t="s">
        <v>201</v>
      </c>
      <c r="UCG16" s="310" t="s">
        <v>201</v>
      </c>
      <c r="UCH16" s="310" t="s">
        <v>201</v>
      </c>
      <c r="UCI16" s="310" t="s">
        <v>201</v>
      </c>
      <c r="UCJ16" s="310" t="s">
        <v>201</v>
      </c>
      <c r="UCK16" s="310" t="s">
        <v>201</v>
      </c>
      <c r="UCL16" s="310" t="s">
        <v>201</v>
      </c>
      <c r="UCM16" s="310" t="s">
        <v>201</v>
      </c>
      <c r="UCN16" s="310" t="s">
        <v>201</v>
      </c>
      <c r="UCO16" s="310" t="s">
        <v>201</v>
      </c>
      <c r="UCP16" s="310" t="s">
        <v>201</v>
      </c>
      <c r="UCQ16" s="310" t="s">
        <v>201</v>
      </c>
      <c r="UCR16" s="310" t="s">
        <v>201</v>
      </c>
      <c r="UCS16" s="310" t="s">
        <v>201</v>
      </c>
      <c r="UCT16" s="310" t="s">
        <v>201</v>
      </c>
      <c r="UCU16" s="310" t="s">
        <v>201</v>
      </c>
      <c r="UCV16" s="310" t="s">
        <v>201</v>
      </c>
      <c r="UCW16" s="310" t="s">
        <v>201</v>
      </c>
      <c r="UCX16" s="310" t="s">
        <v>201</v>
      </c>
      <c r="UCY16" s="310" t="s">
        <v>201</v>
      </c>
      <c r="UCZ16" s="310" t="s">
        <v>201</v>
      </c>
      <c r="UDA16" s="310" t="s">
        <v>201</v>
      </c>
      <c r="UDB16" s="310" t="s">
        <v>201</v>
      </c>
      <c r="UDC16" s="310" t="s">
        <v>201</v>
      </c>
      <c r="UDD16" s="310" t="s">
        <v>201</v>
      </c>
      <c r="UDE16" s="310" t="s">
        <v>201</v>
      </c>
      <c r="UDF16" s="310" t="s">
        <v>201</v>
      </c>
      <c r="UDG16" s="310" t="s">
        <v>201</v>
      </c>
      <c r="UDH16" s="310" t="s">
        <v>201</v>
      </c>
      <c r="UDI16" s="310" t="s">
        <v>201</v>
      </c>
      <c r="UDJ16" s="310" t="s">
        <v>201</v>
      </c>
      <c r="UDK16" s="310" t="s">
        <v>201</v>
      </c>
      <c r="UDL16" s="310" t="s">
        <v>201</v>
      </c>
      <c r="UDM16" s="310" t="s">
        <v>201</v>
      </c>
      <c r="UDN16" s="310" t="s">
        <v>201</v>
      </c>
      <c r="UDO16" s="310" t="s">
        <v>201</v>
      </c>
      <c r="UDP16" s="310" t="s">
        <v>201</v>
      </c>
      <c r="UDQ16" s="310" t="s">
        <v>201</v>
      </c>
      <c r="UDR16" s="310" t="s">
        <v>201</v>
      </c>
      <c r="UDS16" s="310" t="s">
        <v>201</v>
      </c>
      <c r="UDT16" s="310" t="s">
        <v>201</v>
      </c>
      <c r="UDU16" s="310" t="s">
        <v>201</v>
      </c>
      <c r="UDV16" s="310" t="s">
        <v>201</v>
      </c>
      <c r="UDW16" s="310" t="s">
        <v>201</v>
      </c>
      <c r="UDX16" s="310" t="s">
        <v>201</v>
      </c>
      <c r="UDY16" s="310" t="s">
        <v>201</v>
      </c>
      <c r="UDZ16" s="310" t="s">
        <v>201</v>
      </c>
      <c r="UEA16" s="310" t="s">
        <v>201</v>
      </c>
      <c r="UEB16" s="310" t="s">
        <v>201</v>
      </c>
      <c r="UEC16" s="310" t="s">
        <v>201</v>
      </c>
      <c r="UED16" s="310" t="s">
        <v>201</v>
      </c>
      <c r="UEE16" s="310" t="s">
        <v>201</v>
      </c>
      <c r="UEF16" s="310" t="s">
        <v>201</v>
      </c>
      <c r="UEG16" s="310" t="s">
        <v>201</v>
      </c>
      <c r="UEH16" s="310" t="s">
        <v>201</v>
      </c>
      <c r="UEI16" s="310" t="s">
        <v>201</v>
      </c>
      <c r="UEJ16" s="310" t="s">
        <v>201</v>
      </c>
      <c r="UEK16" s="310" t="s">
        <v>201</v>
      </c>
      <c r="UEL16" s="310" t="s">
        <v>201</v>
      </c>
      <c r="UEM16" s="310" t="s">
        <v>201</v>
      </c>
      <c r="UEN16" s="310" t="s">
        <v>201</v>
      </c>
      <c r="UEO16" s="310" t="s">
        <v>201</v>
      </c>
      <c r="UEP16" s="310" t="s">
        <v>201</v>
      </c>
      <c r="UEQ16" s="310" t="s">
        <v>201</v>
      </c>
      <c r="UER16" s="310" t="s">
        <v>201</v>
      </c>
      <c r="UES16" s="310" t="s">
        <v>201</v>
      </c>
      <c r="UET16" s="310" t="s">
        <v>201</v>
      </c>
      <c r="UEU16" s="310" t="s">
        <v>201</v>
      </c>
      <c r="UEV16" s="310" t="s">
        <v>201</v>
      </c>
      <c r="UEW16" s="310" t="s">
        <v>201</v>
      </c>
      <c r="UEX16" s="310" t="s">
        <v>201</v>
      </c>
      <c r="UEY16" s="310" t="s">
        <v>201</v>
      </c>
      <c r="UEZ16" s="310" t="s">
        <v>201</v>
      </c>
      <c r="UFA16" s="310" t="s">
        <v>201</v>
      </c>
      <c r="UFB16" s="310" t="s">
        <v>201</v>
      </c>
      <c r="UFC16" s="310" t="s">
        <v>201</v>
      </c>
      <c r="UFD16" s="310" t="s">
        <v>201</v>
      </c>
      <c r="UFE16" s="310" t="s">
        <v>201</v>
      </c>
      <c r="UFF16" s="310" t="s">
        <v>201</v>
      </c>
      <c r="UFG16" s="310" t="s">
        <v>201</v>
      </c>
      <c r="UFH16" s="310" t="s">
        <v>201</v>
      </c>
      <c r="UFI16" s="310" t="s">
        <v>201</v>
      </c>
      <c r="UFJ16" s="310" t="s">
        <v>201</v>
      </c>
      <c r="UFK16" s="310" t="s">
        <v>201</v>
      </c>
      <c r="UFL16" s="310" t="s">
        <v>201</v>
      </c>
      <c r="UFM16" s="310" t="s">
        <v>201</v>
      </c>
      <c r="UFN16" s="310" t="s">
        <v>201</v>
      </c>
      <c r="UFO16" s="310" t="s">
        <v>201</v>
      </c>
      <c r="UFP16" s="310" t="s">
        <v>201</v>
      </c>
      <c r="UFQ16" s="310" t="s">
        <v>201</v>
      </c>
      <c r="UFR16" s="310" t="s">
        <v>201</v>
      </c>
      <c r="UFS16" s="310" t="s">
        <v>201</v>
      </c>
      <c r="UFT16" s="310" t="s">
        <v>201</v>
      </c>
      <c r="UFU16" s="310" t="s">
        <v>201</v>
      </c>
      <c r="UFV16" s="310" t="s">
        <v>201</v>
      </c>
      <c r="UFW16" s="310" t="s">
        <v>201</v>
      </c>
      <c r="UFX16" s="310" t="s">
        <v>201</v>
      </c>
      <c r="UFY16" s="310" t="s">
        <v>201</v>
      </c>
      <c r="UFZ16" s="310" t="s">
        <v>201</v>
      </c>
      <c r="UGA16" s="310" t="s">
        <v>201</v>
      </c>
      <c r="UGB16" s="310" t="s">
        <v>201</v>
      </c>
      <c r="UGC16" s="310" t="s">
        <v>201</v>
      </c>
      <c r="UGD16" s="310" t="s">
        <v>201</v>
      </c>
      <c r="UGE16" s="310" t="s">
        <v>201</v>
      </c>
      <c r="UGF16" s="310" t="s">
        <v>201</v>
      </c>
      <c r="UGG16" s="310" t="s">
        <v>201</v>
      </c>
      <c r="UGH16" s="310" t="s">
        <v>201</v>
      </c>
      <c r="UGI16" s="310" t="s">
        <v>201</v>
      </c>
      <c r="UGJ16" s="310" t="s">
        <v>201</v>
      </c>
      <c r="UGK16" s="310" t="s">
        <v>201</v>
      </c>
      <c r="UGL16" s="310" t="s">
        <v>201</v>
      </c>
      <c r="UGM16" s="310" t="s">
        <v>201</v>
      </c>
      <c r="UGN16" s="310" t="s">
        <v>201</v>
      </c>
      <c r="UGO16" s="310" t="s">
        <v>201</v>
      </c>
      <c r="UGP16" s="310" t="s">
        <v>201</v>
      </c>
      <c r="UGQ16" s="310" t="s">
        <v>201</v>
      </c>
      <c r="UGR16" s="310" t="s">
        <v>201</v>
      </c>
      <c r="UGS16" s="310" t="s">
        <v>201</v>
      </c>
      <c r="UGT16" s="310" t="s">
        <v>201</v>
      </c>
      <c r="UGU16" s="310" t="s">
        <v>201</v>
      </c>
      <c r="UGV16" s="310" t="s">
        <v>201</v>
      </c>
      <c r="UGW16" s="310" t="s">
        <v>201</v>
      </c>
      <c r="UGX16" s="310" t="s">
        <v>201</v>
      </c>
      <c r="UGY16" s="310" t="s">
        <v>201</v>
      </c>
      <c r="UGZ16" s="310" t="s">
        <v>201</v>
      </c>
      <c r="UHA16" s="310" t="s">
        <v>201</v>
      </c>
      <c r="UHB16" s="310" t="s">
        <v>201</v>
      </c>
      <c r="UHC16" s="310" t="s">
        <v>201</v>
      </c>
      <c r="UHD16" s="310" t="s">
        <v>201</v>
      </c>
      <c r="UHE16" s="310" t="s">
        <v>201</v>
      </c>
      <c r="UHF16" s="310" t="s">
        <v>201</v>
      </c>
      <c r="UHG16" s="310" t="s">
        <v>201</v>
      </c>
      <c r="UHH16" s="310" t="s">
        <v>201</v>
      </c>
      <c r="UHI16" s="310" t="s">
        <v>201</v>
      </c>
      <c r="UHJ16" s="310" t="s">
        <v>201</v>
      </c>
      <c r="UHK16" s="310" t="s">
        <v>201</v>
      </c>
      <c r="UHL16" s="310" t="s">
        <v>201</v>
      </c>
      <c r="UHM16" s="310" t="s">
        <v>201</v>
      </c>
      <c r="UHN16" s="310" t="s">
        <v>201</v>
      </c>
      <c r="UHO16" s="310" t="s">
        <v>201</v>
      </c>
      <c r="UHP16" s="310" t="s">
        <v>201</v>
      </c>
      <c r="UHQ16" s="310" t="s">
        <v>201</v>
      </c>
      <c r="UHR16" s="310" t="s">
        <v>201</v>
      </c>
      <c r="UHS16" s="310" t="s">
        <v>201</v>
      </c>
      <c r="UHT16" s="310" t="s">
        <v>201</v>
      </c>
      <c r="UHU16" s="310" t="s">
        <v>201</v>
      </c>
      <c r="UHV16" s="310" t="s">
        <v>201</v>
      </c>
      <c r="UHW16" s="310" t="s">
        <v>201</v>
      </c>
      <c r="UHX16" s="310" t="s">
        <v>201</v>
      </c>
      <c r="UHY16" s="310" t="s">
        <v>201</v>
      </c>
      <c r="UHZ16" s="310" t="s">
        <v>201</v>
      </c>
      <c r="UIA16" s="310" t="s">
        <v>201</v>
      </c>
      <c r="UIB16" s="310" t="s">
        <v>201</v>
      </c>
      <c r="UIC16" s="310" t="s">
        <v>201</v>
      </c>
      <c r="UID16" s="310" t="s">
        <v>201</v>
      </c>
      <c r="UIE16" s="310" t="s">
        <v>201</v>
      </c>
      <c r="UIF16" s="310" t="s">
        <v>201</v>
      </c>
      <c r="UIG16" s="310" t="s">
        <v>201</v>
      </c>
      <c r="UIH16" s="310" t="s">
        <v>201</v>
      </c>
      <c r="UII16" s="310" t="s">
        <v>201</v>
      </c>
      <c r="UIJ16" s="310" t="s">
        <v>201</v>
      </c>
      <c r="UIK16" s="310" t="s">
        <v>201</v>
      </c>
      <c r="UIL16" s="310" t="s">
        <v>201</v>
      </c>
      <c r="UIM16" s="310" t="s">
        <v>201</v>
      </c>
      <c r="UIN16" s="310" t="s">
        <v>201</v>
      </c>
      <c r="UIO16" s="310" t="s">
        <v>201</v>
      </c>
      <c r="UIP16" s="310" t="s">
        <v>201</v>
      </c>
      <c r="UIQ16" s="310" t="s">
        <v>201</v>
      </c>
      <c r="UIR16" s="310" t="s">
        <v>201</v>
      </c>
      <c r="UIS16" s="310" t="s">
        <v>201</v>
      </c>
      <c r="UIT16" s="310" t="s">
        <v>201</v>
      </c>
      <c r="UIU16" s="310" t="s">
        <v>201</v>
      </c>
      <c r="UIV16" s="310" t="s">
        <v>201</v>
      </c>
      <c r="UIW16" s="310" t="s">
        <v>201</v>
      </c>
      <c r="UIX16" s="310" t="s">
        <v>201</v>
      </c>
      <c r="UIY16" s="310" t="s">
        <v>201</v>
      </c>
      <c r="UIZ16" s="310" t="s">
        <v>201</v>
      </c>
      <c r="UJA16" s="310" t="s">
        <v>201</v>
      </c>
      <c r="UJB16" s="310" t="s">
        <v>201</v>
      </c>
      <c r="UJC16" s="310" t="s">
        <v>201</v>
      </c>
      <c r="UJD16" s="310" t="s">
        <v>201</v>
      </c>
      <c r="UJE16" s="310" t="s">
        <v>201</v>
      </c>
      <c r="UJF16" s="310" t="s">
        <v>201</v>
      </c>
      <c r="UJG16" s="310" t="s">
        <v>201</v>
      </c>
      <c r="UJH16" s="310" t="s">
        <v>201</v>
      </c>
      <c r="UJI16" s="310" t="s">
        <v>201</v>
      </c>
      <c r="UJJ16" s="310" t="s">
        <v>201</v>
      </c>
      <c r="UJK16" s="310" t="s">
        <v>201</v>
      </c>
      <c r="UJL16" s="310" t="s">
        <v>201</v>
      </c>
      <c r="UJM16" s="310" t="s">
        <v>201</v>
      </c>
      <c r="UJN16" s="310" t="s">
        <v>201</v>
      </c>
      <c r="UJO16" s="310" t="s">
        <v>201</v>
      </c>
      <c r="UJP16" s="310" t="s">
        <v>201</v>
      </c>
      <c r="UJQ16" s="310" t="s">
        <v>201</v>
      </c>
      <c r="UJR16" s="310" t="s">
        <v>201</v>
      </c>
      <c r="UJS16" s="310" t="s">
        <v>201</v>
      </c>
      <c r="UJT16" s="310" t="s">
        <v>201</v>
      </c>
      <c r="UJU16" s="310" t="s">
        <v>201</v>
      </c>
      <c r="UJV16" s="310" t="s">
        <v>201</v>
      </c>
      <c r="UJW16" s="310" t="s">
        <v>201</v>
      </c>
      <c r="UJX16" s="310" t="s">
        <v>201</v>
      </c>
      <c r="UJY16" s="310" t="s">
        <v>201</v>
      </c>
      <c r="UJZ16" s="310" t="s">
        <v>201</v>
      </c>
      <c r="UKA16" s="310" t="s">
        <v>201</v>
      </c>
      <c r="UKB16" s="310" t="s">
        <v>201</v>
      </c>
      <c r="UKC16" s="310" t="s">
        <v>201</v>
      </c>
      <c r="UKD16" s="310" t="s">
        <v>201</v>
      </c>
      <c r="UKE16" s="310" t="s">
        <v>201</v>
      </c>
      <c r="UKF16" s="310" t="s">
        <v>201</v>
      </c>
      <c r="UKG16" s="310" t="s">
        <v>201</v>
      </c>
      <c r="UKH16" s="310" t="s">
        <v>201</v>
      </c>
      <c r="UKI16" s="310" t="s">
        <v>201</v>
      </c>
      <c r="UKJ16" s="310" t="s">
        <v>201</v>
      </c>
      <c r="UKK16" s="310" t="s">
        <v>201</v>
      </c>
      <c r="UKL16" s="310" t="s">
        <v>201</v>
      </c>
      <c r="UKM16" s="310" t="s">
        <v>201</v>
      </c>
      <c r="UKN16" s="310" t="s">
        <v>201</v>
      </c>
      <c r="UKO16" s="310" t="s">
        <v>201</v>
      </c>
      <c r="UKP16" s="310" t="s">
        <v>201</v>
      </c>
      <c r="UKQ16" s="310" t="s">
        <v>201</v>
      </c>
      <c r="UKR16" s="310" t="s">
        <v>201</v>
      </c>
      <c r="UKS16" s="310" t="s">
        <v>201</v>
      </c>
      <c r="UKT16" s="310" t="s">
        <v>201</v>
      </c>
      <c r="UKU16" s="310" t="s">
        <v>201</v>
      </c>
      <c r="UKV16" s="310" t="s">
        <v>201</v>
      </c>
      <c r="UKW16" s="310" t="s">
        <v>201</v>
      </c>
      <c r="UKX16" s="310" t="s">
        <v>201</v>
      </c>
      <c r="UKY16" s="310" t="s">
        <v>201</v>
      </c>
      <c r="UKZ16" s="310" t="s">
        <v>201</v>
      </c>
      <c r="ULA16" s="310" t="s">
        <v>201</v>
      </c>
      <c r="ULB16" s="310" t="s">
        <v>201</v>
      </c>
      <c r="ULC16" s="310" t="s">
        <v>201</v>
      </c>
      <c r="ULD16" s="310" t="s">
        <v>201</v>
      </c>
      <c r="ULE16" s="310" t="s">
        <v>201</v>
      </c>
      <c r="ULF16" s="310" t="s">
        <v>201</v>
      </c>
      <c r="ULG16" s="310" t="s">
        <v>201</v>
      </c>
      <c r="ULH16" s="310" t="s">
        <v>201</v>
      </c>
      <c r="ULI16" s="310" t="s">
        <v>201</v>
      </c>
      <c r="ULJ16" s="310" t="s">
        <v>201</v>
      </c>
      <c r="ULK16" s="310" t="s">
        <v>201</v>
      </c>
      <c r="ULL16" s="310" t="s">
        <v>201</v>
      </c>
      <c r="ULM16" s="310" t="s">
        <v>201</v>
      </c>
      <c r="ULN16" s="310" t="s">
        <v>201</v>
      </c>
      <c r="ULO16" s="310" t="s">
        <v>201</v>
      </c>
      <c r="ULP16" s="310" t="s">
        <v>201</v>
      </c>
      <c r="ULQ16" s="310" t="s">
        <v>201</v>
      </c>
      <c r="ULR16" s="310" t="s">
        <v>201</v>
      </c>
      <c r="ULS16" s="310" t="s">
        <v>201</v>
      </c>
      <c r="ULT16" s="310" t="s">
        <v>201</v>
      </c>
      <c r="ULU16" s="310" t="s">
        <v>201</v>
      </c>
      <c r="ULV16" s="310" t="s">
        <v>201</v>
      </c>
      <c r="ULW16" s="310" t="s">
        <v>201</v>
      </c>
      <c r="ULX16" s="310" t="s">
        <v>201</v>
      </c>
      <c r="ULY16" s="310" t="s">
        <v>201</v>
      </c>
      <c r="ULZ16" s="310" t="s">
        <v>201</v>
      </c>
      <c r="UMA16" s="310" t="s">
        <v>201</v>
      </c>
      <c r="UMB16" s="310" t="s">
        <v>201</v>
      </c>
      <c r="UMC16" s="310" t="s">
        <v>201</v>
      </c>
      <c r="UMD16" s="310" t="s">
        <v>201</v>
      </c>
      <c r="UME16" s="310" t="s">
        <v>201</v>
      </c>
      <c r="UMF16" s="310" t="s">
        <v>201</v>
      </c>
      <c r="UMG16" s="310" t="s">
        <v>201</v>
      </c>
      <c r="UMH16" s="310" t="s">
        <v>201</v>
      </c>
      <c r="UMI16" s="310" t="s">
        <v>201</v>
      </c>
      <c r="UMJ16" s="310" t="s">
        <v>201</v>
      </c>
      <c r="UMK16" s="310" t="s">
        <v>201</v>
      </c>
      <c r="UML16" s="310" t="s">
        <v>201</v>
      </c>
      <c r="UMM16" s="310" t="s">
        <v>201</v>
      </c>
      <c r="UMN16" s="310" t="s">
        <v>201</v>
      </c>
      <c r="UMO16" s="310" t="s">
        <v>201</v>
      </c>
      <c r="UMP16" s="310" t="s">
        <v>201</v>
      </c>
      <c r="UMQ16" s="310" t="s">
        <v>201</v>
      </c>
      <c r="UMR16" s="310" t="s">
        <v>201</v>
      </c>
      <c r="UMS16" s="310" t="s">
        <v>201</v>
      </c>
      <c r="UMT16" s="310" t="s">
        <v>201</v>
      </c>
      <c r="UMU16" s="310" t="s">
        <v>201</v>
      </c>
      <c r="UMV16" s="310" t="s">
        <v>201</v>
      </c>
      <c r="UMW16" s="310" t="s">
        <v>201</v>
      </c>
      <c r="UMX16" s="310" t="s">
        <v>201</v>
      </c>
      <c r="UMY16" s="310" t="s">
        <v>201</v>
      </c>
      <c r="UMZ16" s="310" t="s">
        <v>201</v>
      </c>
      <c r="UNA16" s="310" t="s">
        <v>201</v>
      </c>
      <c r="UNB16" s="310" t="s">
        <v>201</v>
      </c>
      <c r="UNC16" s="310" t="s">
        <v>201</v>
      </c>
      <c r="UND16" s="310" t="s">
        <v>201</v>
      </c>
      <c r="UNE16" s="310" t="s">
        <v>201</v>
      </c>
      <c r="UNF16" s="310" t="s">
        <v>201</v>
      </c>
      <c r="UNG16" s="310" t="s">
        <v>201</v>
      </c>
      <c r="UNH16" s="310" t="s">
        <v>201</v>
      </c>
      <c r="UNI16" s="310" t="s">
        <v>201</v>
      </c>
      <c r="UNJ16" s="310" t="s">
        <v>201</v>
      </c>
      <c r="UNK16" s="310" t="s">
        <v>201</v>
      </c>
      <c r="UNL16" s="310" t="s">
        <v>201</v>
      </c>
      <c r="UNM16" s="310" t="s">
        <v>201</v>
      </c>
      <c r="UNN16" s="310" t="s">
        <v>201</v>
      </c>
      <c r="UNO16" s="310" t="s">
        <v>201</v>
      </c>
      <c r="UNP16" s="310" t="s">
        <v>201</v>
      </c>
      <c r="UNQ16" s="310" t="s">
        <v>201</v>
      </c>
      <c r="UNR16" s="310" t="s">
        <v>201</v>
      </c>
      <c r="UNS16" s="310" t="s">
        <v>201</v>
      </c>
      <c r="UNT16" s="310" t="s">
        <v>201</v>
      </c>
      <c r="UNU16" s="310" t="s">
        <v>201</v>
      </c>
      <c r="UNV16" s="310" t="s">
        <v>201</v>
      </c>
      <c r="UNW16" s="310" t="s">
        <v>201</v>
      </c>
      <c r="UNX16" s="310" t="s">
        <v>201</v>
      </c>
      <c r="UNY16" s="310" t="s">
        <v>201</v>
      </c>
      <c r="UNZ16" s="310" t="s">
        <v>201</v>
      </c>
      <c r="UOA16" s="310" t="s">
        <v>201</v>
      </c>
      <c r="UOB16" s="310" t="s">
        <v>201</v>
      </c>
      <c r="UOC16" s="310" t="s">
        <v>201</v>
      </c>
      <c r="UOD16" s="310" t="s">
        <v>201</v>
      </c>
      <c r="UOE16" s="310" t="s">
        <v>201</v>
      </c>
      <c r="UOF16" s="310" t="s">
        <v>201</v>
      </c>
      <c r="UOG16" s="310" t="s">
        <v>201</v>
      </c>
      <c r="UOH16" s="310" t="s">
        <v>201</v>
      </c>
      <c r="UOI16" s="310" t="s">
        <v>201</v>
      </c>
      <c r="UOJ16" s="310" t="s">
        <v>201</v>
      </c>
      <c r="UOK16" s="310" t="s">
        <v>201</v>
      </c>
      <c r="UOL16" s="310" t="s">
        <v>201</v>
      </c>
      <c r="UOM16" s="310" t="s">
        <v>201</v>
      </c>
      <c r="UON16" s="310" t="s">
        <v>201</v>
      </c>
      <c r="UOO16" s="310" t="s">
        <v>201</v>
      </c>
      <c r="UOP16" s="310" t="s">
        <v>201</v>
      </c>
      <c r="UOQ16" s="310" t="s">
        <v>201</v>
      </c>
      <c r="UOR16" s="310" t="s">
        <v>201</v>
      </c>
      <c r="UOS16" s="310" t="s">
        <v>201</v>
      </c>
      <c r="UOT16" s="310" t="s">
        <v>201</v>
      </c>
      <c r="UOU16" s="310" t="s">
        <v>201</v>
      </c>
      <c r="UOV16" s="310" t="s">
        <v>201</v>
      </c>
      <c r="UOW16" s="310" t="s">
        <v>201</v>
      </c>
      <c r="UOX16" s="310" t="s">
        <v>201</v>
      </c>
      <c r="UOY16" s="310" t="s">
        <v>201</v>
      </c>
      <c r="UOZ16" s="310" t="s">
        <v>201</v>
      </c>
      <c r="UPA16" s="310" t="s">
        <v>201</v>
      </c>
      <c r="UPB16" s="310" t="s">
        <v>201</v>
      </c>
      <c r="UPC16" s="310" t="s">
        <v>201</v>
      </c>
      <c r="UPD16" s="310" t="s">
        <v>201</v>
      </c>
      <c r="UPE16" s="310" t="s">
        <v>201</v>
      </c>
      <c r="UPF16" s="310" t="s">
        <v>201</v>
      </c>
      <c r="UPG16" s="310" t="s">
        <v>201</v>
      </c>
      <c r="UPH16" s="310" t="s">
        <v>201</v>
      </c>
      <c r="UPI16" s="310" t="s">
        <v>201</v>
      </c>
      <c r="UPJ16" s="310" t="s">
        <v>201</v>
      </c>
      <c r="UPK16" s="310" t="s">
        <v>201</v>
      </c>
      <c r="UPL16" s="310" t="s">
        <v>201</v>
      </c>
      <c r="UPM16" s="310" t="s">
        <v>201</v>
      </c>
      <c r="UPN16" s="310" t="s">
        <v>201</v>
      </c>
      <c r="UPO16" s="310" t="s">
        <v>201</v>
      </c>
      <c r="UPP16" s="310" t="s">
        <v>201</v>
      </c>
      <c r="UPQ16" s="310" t="s">
        <v>201</v>
      </c>
      <c r="UPR16" s="310" t="s">
        <v>201</v>
      </c>
      <c r="UPS16" s="310" t="s">
        <v>201</v>
      </c>
      <c r="UPT16" s="310" t="s">
        <v>201</v>
      </c>
      <c r="UPU16" s="310" t="s">
        <v>201</v>
      </c>
      <c r="UPV16" s="310" t="s">
        <v>201</v>
      </c>
      <c r="UPW16" s="310" t="s">
        <v>201</v>
      </c>
      <c r="UPX16" s="310" t="s">
        <v>201</v>
      </c>
      <c r="UPY16" s="310" t="s">
        <v>201</v>
      </c>
      <c r="UPZ16" s="310" t="s">
        <v>201</v>
      </c>
      <c r="UQA16" s="310" t="s">
        <v>201</v>
      </c>
      <c r="UQB16" s="310" t="s">
        <v>201</v>
      </c>
      <c r="UQC16" s="310" t="s">
        <v>201</v>
      </c>
      <c r="UQD16" s="310" t="s">
        <v>201</v>
      </c>
      <c r="UQE16" s="310" t="s">
        <v>201</v>
      </c>
      <c r="UQF16" s="310" t="s">
        <v>201</v>
      </c>
      <c r="UQG16" s="310" t="s">
        <v>201</v>
      </c>
      <c r="UQH16" s="310" t="s">
        <v>201</v>
      </c>
      <c r="UQI16" s="310" t="s">
        <v>201</v>
      </c>
      <c r="UQJ16" s="310" t="s">
        <v>201</v>
      </c>
      <c r="UQK16" s="310" t="s">
        <v>201</v>
      </c>
      <c r="UQL16" s="310" t="s">
        <v>201</v>
      </c>
      <c r="UQM16" s="310" t="s">
        <v>201</v>
      </c>
      <c r="UQN16" s="310" t="s">
        <v>201</v>
      </c>
      <c r="UQO16" s="310" t="s">
        <v>201</v>
      </c>
      <c r="UQP16" s="310" t="s">
        <v>201</v>
      </c>
      <c r="UQQ16" s="310" t="s">
        <v>201</v>
      </c>
      <c r="UQR16" s="310" t="s">
        <v>201</v>
      </c>
      <c r="UQS16" s="310" t="s">
        <v>201</v>
      </c>
      <c r="UQT16" s="310" t="s">
        <v>201</v>
      </c>
      <c r="UQU16" s="310" t="s">
        <v>201</v>
      </c>
      <c r="UQV16" s="310" t="s">
        <v>201</v>
      </c>
      <c r="UQW16" s="310" t="s">
        <v>201</v>
      </c>
      <c r="UQX16" s="310" t="s">
        <v>201</v>
      </c>
      <c r="UQY16" s="310" t="s">
        <v>201</v>
      </c>
      <c r="UQZ16" s="310" t="s">
        <v>201</v>
      </c>
      <c r="URA16" s="310" t="s">
        <v>201</v>
      </c>
      <c r="URB16" s="310" t="s">
        <v>201</v>
      </c>
      <c r="URC16" s="310" t="s">
        <v>201</v>
      </c>
      <c r="URD16" s="310" t="s">
        <v>201</v>
      </c>
      <c r="URE16" s="310" t="s">
        <v>201</v>
      </c>
      <c r="URF16" s="310" t="s">
        <v>201</v>
      </c>
      <c r="URG16" s="310" t="s">
        <v>201</v>
      </c>
      <c r="URH16" s="310" t="s">
        <v>201</v>
      </c>
      <c r="URI16" s="310" t="s">
        <v>201</v>
      </c>
      <c r="URJ16" s="310" t="s">
        <v>201</v>
      </c>
      <c r="URK16" s="310" t="s">
        <v>201</v>
      </c>
      <c r="URL16" s="310" t="s">
        <v>201</v>
      </c>
      <c r="URM16" s="310" t="s">
        <v>201</v>
      </c>
      <c r="URN16" s="310" t="s">
        <v>201</v>
      </c>
      <c r="URO16" s="310" t="s">
        <v>201</v>
      </c>
      <c r="URP16" s="310" t="s">
        <v>201</v>
      </c>
      <c r="URQ16" s="310" t="s">
        <v>201</v>
      </c>
      <c r="URR16" s="310" t="s">
        <v>201</v>
      </c>
      <c r="URS16" s="310" t="s">
        <v>201</v>
      </c>
      <c r="URT16" s="310" t="s">
        <v>201</v>
      </c>
      <c r="URU16" s="310" t="s">
        <v>201</v>
      </c>
      <c r="URV16" s="310" t="s">
        <v>201</v>
      </c>
      <c r="URW16" s="310" t="s">
        <v>201</v>
      </c>
      <c r="URX16" s="310" t="s">
        <v>201</v>
      </c>
      <c r="URY16" s="310" t="s">
        <v>201</v>
      </c>
      <c r="URZ16" s="310" t="s">
        <v>201</v>
      </c>
      <c r="USA16" s="310" t="s">
        <v>201</v>
      </c>
      <c r="USB16" s="310" t="s">
        <v>201</v>
      </c>
      <c r="USC16" s="310" t="s">
        <v>201</v>
      </c>
      <c r="USD16" s="310" t="s">
        <v>201</v>
      </c>
      <c r="USE16" s="310" t="s">
        <v>201</v>
      </c>
      <c r="USF16" s="310" t="s">
        <v>201</v>
      </c>
      <c r="USG16" s="310" t="s">
        <v>201</v>
      </c>
      <c r="USH16" s="310" t="s">
        <v>201</v>
      </c>
      <c r="USI16" s="310" t="s">
        <v>201</v>
      </c>
      <c r="USJ16" s="310" t="s">
        <v>201</v>
      </c>
      <c r="USK16" s="310" t="s">
        <v>201</v>
      </c>
      <c r="USL16" s="310" t="s">
        <v>201</v>
      </c>
      <c r="USM16" s="310" t="s">
        <v>201</v>
      </c>
      <c r="USN16" s="310" t="s">
        <v>201</v>
      </c>
      <c r="USO16" s="310" t="s">
        <v>201</v>
      </c>
      <c r="USP16" s="310" t="s">
        <v>201</v>
      </c>
      <c r="USQ16" s="310" t="s">
        <v>201</v>
      </c>
      <c r="USR16" s="310" t="s">
        <v>201</v>
      </c>
      <c r="USS16" s="310" t="s">
        <v>201</v>
      </c>
      <c r="UST16" s="310" t="s">
        <v>201</v>
      </c>
      <c r="USU16" s="310" t="s">
        <v>201</v>
      </c>
      <c r="USV16" s="310" t="s">
        <v>201</v>
      </c>
      <c r="USW16" s="310" t="s">
        <v>201</v>
      </c>
      <c r="USX16" s="310" t="s">
        <v>201</v>
      </c>
      <c r="USY16" s="310" t="s">
        <v>201</v>
      </c>
      <c r="USZ16" s="310" t="s">
        <v>201</v>
      </c>
      <c r="UTA16" s="310" t="s">
        <v>201</v>
      </c>
      <c r="UTB16" s="310" t="s">
        <v>201</v>
      </c>
      <c r="UTC16" s="310" t="s">
        <v>201</v>
      </c>
      <c r="UTD16" s="310" t="s">
        <v>201</v>
      </c>
      <c r="UTE16" s="310" t="s">
        <v>201</v>
      </c>
      <c r="UTF16" s="310" t="s">
        <v>201</v>
      </c>
      <c r="UTG16" s="310" t="s">
        <v>201</v>
      </c>
      <c r="UTH16" s="310" t="s">
        <v>201</v>
      </c>
      <c r="UTI16" s="310" t="s">
        <v>201</v>
      </c>
      <c r="UTJ16" s="310" t="s">
        <v>201</v>
      </c>
      <c r="UTK16" s="310" t="s">
        <v>201</v>
      </c>
      <c r="UTL16" s="310" t="s">
        <v>201</v>
      </c>
      <c r="UTM16" s="310" t="s">
        <v>201</v>
      </c>
      <c r="UTN16" s="310" t="s">
        <v>201</v>
      </c>
      <c r="UTO16" s="310" t="s">
        <v>201</v>
      </c>
      <c r="UTP16" s="310" t="s">
        <v>201</v>
      </c>
      <c r="UTQ16" s="310" t="s">
        <v>201</v>
      </c>
      <c r="UTR16" s="310" t="s">
        <v>201</v>
      </c>
      <c r="UTS16" s="310" t="s">
        <v>201</v>
      </c>
      <c r="UTT16" s="310" t="s">
        <v>201</v>
      </c>
      <c r="UTU16" s="310" t="s">
        <v>201</v>
      </c>
      <c r="UTV16" s="310" t="s">
        <v>201</v>
      </c>
      <c r="UTW16" s="310" t="s">
        <v>201</v>
      </c>
      <c r="UTX16" s="310" t="s">
        <v>201</v>
      </c>
      <c r="UTY16" s="310" t="s">
        <v>201</v>
      </c>
      <c r="UTZ16" s="310" t="s">
        <v>201</v>
      </c>
      <c r="UUA16" s="310" t="s">
        <v>201</v>
      </c>
      <c r="UUB16" s="310" t="s">
        <v>201</v>
      </c>
      <c r="UUC16" s="310" t="s">
        <v>201</v>
      </c>
      <c r="UUD16" s="310" t="s">
        <v>201</v>
      </c>
      <c r="UUE16" s="310" t="s">
        <v>201</v>
      </c>
      <c r="UUF16" s="310" t="s">
        <v>201</v>
      </c>
      <c r="UUG16" s="310" t="s">
        <v>201</v>
      </c>
      <c r="UUH16" s="310" t="s">
        <v>201</v>
      </c>
      <c r="UUI16" s="310" t="s">
        <v>201</v>
      </c>
      <c r="UUJ16" s="310" t="s">
        <v>201</v>
      </c>
      <c r="UUK16" s="310" t="s">
        <v>201</v>
      </c>
      <c r="UUL16" s="310" t="s">
        <v>201</v>
      </c>
      <c r="UUM16" s="310" t="s">
        <v>201</v>
      </c>
      <c r="UUN16" s="310" t="s">
        <v>201</v>
      </c>
      <c r="UUO16" s="310" t="s">
        <v>201</v>
      </c>
      <c r="UUP16" s="310" t="s">
        <v>201</v>
      </c>
      <c r="UUQ16" s="310" t="s">
        <v>201</v>
      </c>
      <c r="UUR16" s="310" t="s">
        <v>201</v>
      </c>
      <c r="UUS16" s="310" t="s">
        <v>201</v>
      </c>
      <c r="UUT16" s="310" t="s">
        <v>201</v>
      </c>
      <c r="UUU16" s="310" t="s">
        <v>201</v>
      </c>
      <c r="UUV16" s="310" t="s">
        <v>201</v>
      </c>
      <c r="UUW16" s="310" t="s">
        <v>201</v>
      </c>
      <c r="UUX16" s="310" t="s">
        <v>201</v>
      </c>
      <c r="UUY16" s="310" t="s">
        <v>201</v>
      </c>
      <c r="UUZ16" s="310" t="s">
        <v>201</v>
      </c>
      <c r="UVA16" s="310" t="s">
        <v>201</v>
      </c>
      <c r="UVB16" s="310" t="s">
        <v>201</v>
      </c>
      <c r="UVC16" s="310" t="s">
        <v>201</v>
      </c>
      <c r="UVD16" s="310" t="s">
        <v>201</v>
      </c>
      <c r="UVE16" s="310" t="s">
        <v>201</v>
      </c>
      <c r="UVF16" s="310" t="s">
        <v>201</v>
      </c>
      <c r="UVG16" s="310" t="s">
        <v>201</v>
      </c>
      <c r="UVH16" s="310" t="s">
        <v>201</v>
      </c>
      <c r="UVI16" s="310" t="s">
        <v>201</v>
      </c>
      <c r="UVJ16" s="310" t="s">
        <v>201</v>
      </c>
      <c r="UVK16" s="310" t="s">
        <v>201</v>
      </c>
      <c r="UVL16" s="310" t="s">
        <v>201</v>
      </c>
      <c r="UVM16" s="310" t="s">
        <v>201</v>
      </c>
      <c r="UVN16" s="310" t="s">
        <v>201</v>
      </c>
      <c r="UVO16" s="310" t="s">
        <v>201</v>
      </c>
      <c r="UVP16" s="310" t="s">
        <v>201</v>
      </c>
      <c r="UVQ16" s="310" t="s">
        <v>201</v>
      </c>
      <c r="UVR16" s="310" t="s">
        <v>201</v>
      </c>
      <c r="UVS16" s="310" t="s">
        <v>201</v>
      </c>
      <c r="UVT16" s="310" t="s">
        <v>201</v>
      </c>
      <c r="UVU16" s="310" t="s">
        <v>201</v>
      </c>
      <c r="UVV16" s="310" t="s">
        <v>201</v>
      </c>
      <c r="UVW16" s="310" t="s">
        <v>201</v>
      </c>
      <c r="UVX16" s="310" t="s">
        <v>201</v>
      </c>
      <c r="UVY16" s="310" t="s">
        <v>201</v>
      </c>
      <c r="UVZ16" s="310" t="s">
        <v>201</v>
      </c>
      <c r="UWA16" s="310" t="s">
        <v>201</v>
      </c>
      <c r="UWB16" s="310" t="s">
        <v>201</v>
      </c>
      <c r="UWC16" s="310" t="s">
        <v>201</v>
      </c>
      <c r="UWD16" s="310" t="s">
        <v>201</v>
      </c>
      <c r="UWE16" s="310" t="s">
        <v>201</v>
      </c>
      <c r="UWF16" s="310" t="s">
        <v>201</v>
      </c>
      <c r="UWG16" s="310" t="s">
        <v>201</v>
      </c>
      <c r="UWH16" s="310" t="s">
        <v>201</v>
      </c>
      <c r="UWI16" s="310" t="s">
        <v>201</v>
      </c>
      <c r="UWJ16" s="310" t="s">
        <v>201</v>
      </c>
      <c r="UWK16" s="310" t="s">
        <v>201</v>
      </c>
      <c r="UWL16" s="310" t="s">
        <v>201</v>
      </c>
      <c r="UWM16" s="310" t="s">
        <v>201</v>
      </c>
      <c r="UWN16" s="310" t="s">
        <v>201</v>
      </c>
      <c r="UWO16" s="310" t="s">
        <v>201</v>
      </c>
      <c r="UWP16" s="310" t="s">
        <v>201</v>
      </c>
      <c r="UWQ16" s="310" t="s">
        <v>201</v>
      </c>
      <c r="UWR16" s="310" t="s">
        <v>201</v>
      </c>
      <c r="UWS16" s="310" t="s">
        <v>201</v>
      </c>
      <c r="UWT16" s="310" t="s">
        <v>201</v>
      </c>
      <c r="UWU16" s="310" t="s">
        <v>201</v>
      </c>
      <c r="UWV16" s="310" t="s">
        <v>201</v>
      </c>
      <c r="UWW16" s="310" t="s">
        <v>201</v>
      </c>
      <c r="UWX16" s="310" t="s">
        <v>201</v>
      </c>
      <c r="UWY16" s="310" t="s">
        <v>201</v>
      </c>
      <c r="UWZ16" s="310" t="s">
        <v>201</v>
      </c>
      <c r="UXA16" s="310" t="s">
        <v>201</v>
      </c>
      <c r="UXB16" s="310" t="s">
        <v>201</v>
      </c>
      <c r="UXC16" s="310" t="s">
        <v>201</v>
      </c>
      <c r="UXD16" s="310" t="s">
        <v>201</v>
      </c>
      <c r="UXE16" s="310" t="s">
        <v>201</v>
      </c>
      <c r="UXF16" s="310" t="s">
        <v>201</v>
      </c>
      <c r="UXG16" s="310" t="s">
        <v>201</v>
      </c>
      <c r="UXH16" s="310" t="s">
        <v>201</v>
      </c>
      <c r="UXI16" s="310" t="s">
        <v>201</v>
      </c>
      <c r="UXJ16" s="310" t="s">
        <v>201</v>
      </c>
      <c r="UXK16" s="310" t="s">
        <v>201</v>
      </c>
      <c r="UXL16" s="310" t="s">
        <v>201</v>
      </c>
      <c r="UXM16" s="310" t="s">
        <v>201</v>
      </c>
      <c r="UXN16" s="310" t="s">
        <v>201</v>
      </c>
      <c r="UXO16" s="310" t="s">
        <v>201</v>
      </c>
      <c r="UXP16" s="310" t="s">
        <v>201</v>
      </c>
      <c r="UXQ16" s="310" t="s">
        <v>201</v>
      </c>
      <c r="UXR16" s="310" t="s">
        <v>201</v>
      </c>
      <c r="UXS16" s="310" t="s">
        <v>201</v>
      </c>
      <c r="UXT16" s="310" t="s">
        <v>201</v>
      </c>
      <c r="UXU16" s="310" t="s">
        <v>201</v>
      </c>
      <c r="UXV16" s="310" t="s">
        <v>201</v>
      </c>
      <c r="UXW16" s="310" t="s">
        <v>201</v>
      </c>
      <c r="UXX16" s="310" t="s">
        <v>201</v>
      </c>
      <c r="UXY16" s="310" t="s">
        <v>201</v>
      </c>
      <c r="UXZ16" s="310" t="s">
        <v>201</v>
      </c>
      <c r="UYA16" s="310" t="s">
        <v>201</v>
      </c>
      <c r="UYB16" s="310" t="s">
        <v>201</v>
      </c>
      <c r="UYC16" s="310" t="s">
        <v>201</v>
      </c>
      <c r="UYD16" s="310" t="s">
        <v>201</v>
      </c>
      <c r="UYE16" s="310" t="s">
        <v>201</v>
      </c>
      <c r="UYF16" s="310" t="s">
        <v>201</v>
      </c>
      <c r="UYG16" s="310" t="s">
        <v>201</v>
      </c>
      <c r="UYH16" s="310" t="s">
        <v>201</v>
      </c>
      <c r="UYI16" s="310" t="s">
        <v>201</v>
      </c>
      <c r="UYJ16" s="310" t="s">
        <v>201</v>
      </c>
      <c r="UYK16" s="310" t="s">
        <v>201</v>
      </c>
      <c r="UYL16" s="310" t="s">
        <v>201</v>
      </c>
      <c r="UYM16" s="310" t="s">
        <v>201</v>
      </c>
      <c r="UYN16" s="310" t="s">
        <v>201</v>
      </c>
      <c r="UYO16" s="310" t="s">
        <v>201</v>
      </c>
      <c r="UYP16" s="310" t="s">
        <v>201</v>
      </c>
      <c r="UYQ16" s="310" t="s">
        <v>201</v>
      </c>
      <c r="UYR16" s="310" t="s">
        <v>201</v>
      </c>
      <c r="UYS16" s="310" t="s">
        <v>201</v>
      </c>
      <c r="UYT16" s="310" t="s">
        <v>201</v>
      </c>
      <c r="UYU16" s="310" t="s">
        <v>201</v>
      </c>
      <c r="UYV16" s="310" t="s">
        <v>201</v>
      </c>
      <c r="UYW16" s="310" t="s">
        <v>201</v>
      </c>
      <c r="UYX16" s="310" t="s">
        <v>201</v>
      </c>
      <c r="UYY16" s="310" t="s">
        <v>201</v>
      </c>
      <c r="UYZ16" s="310" t="s">
        <v>201</v>
      </c>
      <c r="UZA16" s="310" t="s">
        <v>201</v>
      </c>
      <c r="UZB16" s="310" t="s">
        <v>201</v>
      </c>
      <c r="UZC16" s="310" t="s">
        <v>201</v>
      </c>
      <c r="UZD16" s="310" t="s">
        <v>201</v>
      </c>
      <c r="UZE16" s="310" t="s">
        <v>201</v>
      </c>
      <c r="UZF16" s="310" t="s">
        <v>201</v>
      </c>
      <c r="UZG16" s="310" t="s">
        <v>201</v>
      </c>
      <c r="UZH16" s="310" t="s">
        <v>201</v>
      </c>
      <c r="UZI16" s="310" t="s">
        <v>201</v>
      </c>
      <c r="UZJ16" s="310" t="s">
        <v>201</v>
      </c>
      <c r="UZK16" s="310" t="s">
        <v>201</v>
      </c>
      <c r="UZL16" s="310" t="s">
        <v>201</v>
      </c>
      <c r="UZM16" s="310" t="s">
        <v>201</v>
      </c>
      <c r="UZN16" s="310" t="s">
        <v>201</v>
      </c>
      <c r="UZO16" s="310" t="s">
        <v>201</v>
      </c>
      <c r="UZP16" s="310" t="s">
        <v>201</v>
      </c>
      <c r="UZQ16" s="310" t="s">
        <v>201</v>
      </c>
      <c r="UZR16" s="310" t="s">
        <v>201</v>
      </c>
      <c r="UZS16" s="310" t="s">
        <v>201</v>
      </c>
      <c r="UZT16" s="310" t="s">
        <v>201</v>
      </c>
      <c r="UZU16" s="310" t="s">
        <v>201</v>
      </c>
      <c r="UZV16" s="310" t="s">
        <v>201</v>
      </c>
      <c r="UZW16" s="310" t="s">
        <v>201</v>
      </c>
      <c r="UZX16" s="310" t="s">
        <v>201</v>
      </c>
      <c r="UZY16" s="310" t="s">
        <v>201</v>
      </c>
      <c r="UZZ16" s="310" t="s">
        <v>201</v>
      </c>
      <c r="VAA16" s="310" t="s">
        <v>201</v>
      </c>
      <c r="VAB16" s="310" t="s">
        <v>201</v>
      </c>
      <c r="VAC16" s="310" t="s">
        <v>201</v>
      </c>
      <c r="VAD16" s="310" t="s">
        <v>201</v>
      </c>
      <c r="VAE16" s="310" t="s">
        <v>201</v>
      </c>
      <c r="VAF16" s="310" t="s">
        <v>201</v>
      </c>
      <c r="VAG16" s="310" t="s">
        <v>201</v>
      </c>
      <c r="VAH16" s="310" t="s">
        <v>201</v>
      </c>
      <c r="VAI16" s="310" t="s">
        <v>201</v>
      </c>
      <c r="VAJ16" s="310" t="s">
        <v>201</v>
      </c>
      <c r="VAK16" s="310" t="s">
        <v>201</v>
      </c>
      <c r="VAL16" s="310" t="s">
        <v>201</v>
      </c>
      <c r="VAM16" s="310" t="s">
        <v>201</v>
      </c>
      <c r="VAN16" s="310" t="s">
        <v>201</v>
      </c>
      <c r="VAO16" s="310" t="s">
        <v>201</v>
      </c>
      <c r="VAP16" s="310" t="s">
        <v>201</v>
      </c>
      <c r="VAQ16" s="310" t="s">
        <v>201</v>
      </c>
      <c r="VAR16" s="310" t="s">
        <v>201</v>
      </c>
      <c r="VAS16" s="310" t="s">
        <v>201</v>
      </c>
      <c r="VAT16" s="310" t="s">
        <v>201</v>
      </c>
      <c r="VAU16" s="310" t="s">
        <v>201</v>
      </c>
      <c r="VAV16" s="310" t="s">
        <v>201</v>
      </c>
      <c r="VAW16" s="310" t="s">
        <v>201</v>
      </c>
      <c r="VAX16" s="310" t="s">
        <v>201</v>
      </c>
      <c r="VAY16" s="310" t="s">
        <v>201</v>
      </c>
      <c r="VAZ16" s="310" t="s">
        <v>201</v>
      </c>
      <c r="VBA16" s="310" t="s">
        <v>201</v>
      </c>
      <c r="VBB16" s="310" t="s">
        <v>201</v>
      </c>
      <c r="VBC16" s="310" t="s">
        <v>201</v>
      </c>
      <c r="VBD16" s="310" t="s">
        <v>201</v>
      </c>
      <c r="VBE16" s="310" t="s">
        <v>201</v>
      </c>
      <c r="VBF16" s="310" t="s">
        <v>201</v>
      </c>
      <c r="VBG16" s="310" t="s">
        <v>201</v>
      </c>
      <c r="VBH16" s="310" t="s">
        <v>201</v>
      </c>
      <c r="VBI16" s="310" t="s">
        <v>201</v>
      </c>
      <c r="VBJ16" s="310" t="s">
        <v>201</v>
      </c>
      <c r="VBK16" s="310" t="s">
        <v>201</v>
      </c>
      <c r="VBL16" s="310" t="s">
        <v>201</v>
      </c>
      <c r="VBM16" s="310" t="s">
        <v>201</v>
      </c>
      <c r="VBN16" s="310" t="s">
        <v>201</v>
      </c>
      <c r="VBO16" s="310" t="s">
        <v>201</v>
      </c>
      <c r="VBP16" s="310" t="s">
        <v>201</v>
      </c>
      <c r="VBQ16" s="310" t="s">
        <v>201</v>
      </c>
      <c r="VBR16" s="310" t="s">
        <v>201</v>
      </c>
      <c r="VBS16" s="310" t="s">
        <v>201</v>
      </c>
      <c r="VBT16" s="310" t="s">
        <v>201</v>
      </c>
      <c r="VBU16" s="310" t="s">
        <v>201</v>
      </c>
      <c r="VBV16" s="310" t="s">
        <v>201</v>
      </c>
      <c r="VBW16" s="310" t="s">
        <v>201</v>
      </c>
      <c r="VBX16" s="310" t="s">
        <v>201</v>
      </c>
      <c r="VBY16" s="310" t="s">
        <v>201</v>
      </c>
      <c r="VBZ16" s="310" t="s">
        <v>201</v>
      </c>
      <c r="VCA16" s="310" t="s">
        <v>201</v>
      </c>
      <c r="VCB16" s="310" t="s">
        <v>201</v>
      </c>
      <c r="VCC16" s="310" t="s">
        <v>201</v>
      </c>
      <c r="VCD16" s="310" t="s">
        <v>201</v>
      </c>
      <c r="VCE16" s="310" t="s">
        <v>201</v>
      </c>
      <c r="VCF16" s="310" t="s">
        <v>201</v>
      </c>
      <c r="VCG16" s="310" t="s">
        <v>201</v>
      </c>
      <c r="VCH16" s="310" t="s">
        <v>201</v>
      </c>
      <c r="VCI16" s="310" t="s">
        <v>201</v>
      </c>
      <c r="VCJ16" s="310" t="s">
        <v>201</v>
      </c>
      <c r="VCK16" s="310" t="s">
        <v>201</v>
      </c>
      <c r="VCL16" s="310" t="s">
        <v>201</v>
      </c>
      <c r="VCM16" s="310" t="s">
        <v>201</v>
      </c>
      <c r="VCN16" s="310" t="s">
        <v>201</v>
      </c>
      <c r="VCO16" s="310" t="s">
        <v>201</v>
      </c>
      <c r="VCP16" s="310" t="s">
        <v>201</v>
      </c>
      <c r="VCQ16" s="310" t="s">
        <v>201</v>
      </c>
      <c r="VCR16" s="310" t="s">
        <v>201</v>
      </c>
      <c r="VCS16" s="310" t="s">
        <v>201</v>
      </c>
      <c r="VCT16" s="310" t="s">
        <v>201</v>
      </c>
      <c r="VCU16" s="310" t="s">
        <v>201</v>
      </c>
      <c r="VCV16" s="310" t="s">
        <v>201</v>
      </c>
      <c r="VCW16" s="310" t="s">
        <v>201</v>
      </c>
      <c r="VCX16" s="310" t="s">
        <v>201</v>
      </c>
      <c r="VCY16" s="310" t="s">
        <v>201</v>
      </c>
      <c r="VCZ16" s="310" t="s">
        <v>201</v>
      </c>
      <c r="VDA16" s="310" t="s">
        <v>201</v>
      </c>
      <c r="VDB16" s="310" t="s">
        <v>201</v>
      </c>
      <c r="VDC16" s="310" t="s">
        <v>201</v>
      </c>
      <c r="VDD16" s="310" t="s">
        <v>201</v>
      </c>
      <c r="VDE16" s="310" t="s">
        <v>201</v>
      </c>
      <c r="VDF16" s="310" t="s">
        <v>201</v>
      </c>
      <c r="VDG16" s="310" t="s">
        <v>201</v>
      </c>
      <c r="VDH16" s="310" t="s">
        <v>201</v>
      </c>
      <c r="VDI16" s="310" t="s">
        <v>201</v>
      </c>
      <c r="VDJ16" s="310" t="s">
        <v>201</v>
      </c>
      <c r="VDK16" s="310" t="s">
        <v>201</v>
      </c>
      <c r="VDL16" s="310" t="s">
        <v>201</v>
      </c>
      <c r="VDM16" s="310" t="s">
        <v>201</v>
      </c>
      <c r="VDN16" s="310" t="s">
        <v>201</v>
      </c>
      <c r="VDO16" s="310" t="s">
        <v>201</v>
      </c>
      <c r="VDP16" s="310" t="s">
        <v>201</v>
      </c>
      <c r="VDQ16" s="310" t="s">
        <v>201</v>
      </c>
      <c r="VDR16" s="310" t="s">
        <v>201</v>
      </c>
      <c r="VDS16" s="310" t="s">
        <v>201</v>
      </c>
      <c r="VDT16" s="310" t="s">
        <v>201</v>
      </c>
      <c r="VDU16" s="310" t="s">
        <v>201</v>
      </c>
      <c r="VDV16" s="310" t="s">
        <v>201</v>
      </c>
      <c r="VDW16" s="310" t="s">
        <v>201</v>
      </c>
      <c r="VDX16" s="310" t="s">
        <v>201</v>
      </c>
      <c r="VDY16" s="310" t="s">
        <v>201</v>
      </c>
      <c r="VDZ16" s="310" t="s">
        <v>201</v>
      </c>
      <c r="VEA16" s="310" t="s">
        <v>201</v>
      </c>
      <c r="VEB16" s="310" t="s">
        <v>201</v>
      </c>
      <c r="VEC16" s="310" t="s">
        <v>201</v>
      </c>
      <c r="VED16" s="310" t="s">
        <v>201</v>
      </c>
      <c r="VEE16" s="310" t="s">
        <v>201</v>
      </c>
      <c r="VEF16" s="310" t="s">
        <v>201</v>
      </c>
      <c r="VEG16" s="310" t="s">
        <v>201</v>
      </c>
      <c r="VEH16" s="310" t="s">
        <v>201</v>
      </c>
      <c r="VEI16" s="310" t="s">
        <v>201</v>
      </c>
      <c r="VEJ16" s="310" t="s">
        <v>201</v>
      </c>
      <c r="VEK16" s="310" t="s">
        <v>201</v>
      </c>
      <c r="VEL16" s="310" t="s">
        <v>201</v>
      </c>
      <c r="VEM16" s="310" t="s">
        <v>201</v>
      </c>
      <c r="VEN16" s="310" t="s">
        <v>201</v>
      </c>
      <c r="VEO16" s="310" t="s">
        <v>201</v>
      </c>
      <c r="VEP16" s="310" t="s">
        <v>201</v>
      </c>
      <c r="VEQ16" s="310" t="s">
        <v>201</v>
      </c>
      <c r="VER16" s="310" t="s">
        <v>201</v>
      </c>
      <c r="VES16" s="310" t="s">
        <v>201</v>
      </c>
      <c r="VET16" s="310" t="s">
        <v>201</v>
      </c>
      <c r="VEU16" s="310" t="s">
        <v>201</v>
      </c>
      <c r="VEV16" s="310" t="s">
        <v>201</v>
      </c>
      <c r="VEW16" s="310" t="s">
        <v>201</v>
      </c>
      <c r="VEX16" s="310" t="s">
        <v>201</v>
      </c>
      <c r="VEY16" s="310" t="s">
        <v>201</v>
      </c>
      <c r="VEZ16" s="310" t="s">
        <v>201</v>
      </c>
      <c r="VFA16" s="310" t="s">
        <v>201</v>
      </c>
      <c r="VFB16" s="310" t="s">
        <v>201</v>
      </c>
      <c r="VFC16" s="310" t="s">
        <v>201</v>
      </c>
      <c r="VFD16" s="310" t="s">
        <v>201</v>
      </c>
      <c r="VFE16" s="310" t="s">
        <v>201</v>
      </c>
      <c r="VFF16" s="310" t="s">
        <v>201</v>
      </c>
      <c r="VFG16" s="310" t="s">
        <v>201</v>
      </c>
      <c r="VFH16" s="310" t="s">
        <v>201</v>
      </c>
      <c r="VFI16" s="310" t="s">
        <v>201</v>
      </c>
      <c r="VFJ16" s="310" t="s">
        <v>201</v>
      </c>
      <c r="VFK16" s="310" t="s">
        <v>201</v>
      </c>
      <c r="VFL16" s="310" t="s">
        <v>201</v>
      </c>
      <c r="VFM16" s="310" t="s">
        <v>201</v>
      </c>
      <c r="VFN16" s="310" t="s">
        <v>201</v>
      </c>
      <c r="VFO16" s="310" t="s">
        <v>201</v>
      </c>
      <c r="VFP16" s="310" t="s">
        <v>201</v>
      </c>
      <c r="VFQ16" s="310" t="s">
        <v>201</v>
      </c>
      <c r="VFR16" s="310" t="s">
        <v>201</v>
      </c>
      <c r="VFS16" s="310" t="s">
        <v>201</v>
      </c>
      <c r="VFT16" s="310" t="s">
        <v>201</v>
      </c>
      <c r="VFU16" s="310" t="s">
        <v>201</v>
      </c>
      <c r="VFV16" s="310" t="s">
        <v>201</v>
      </c>
      <c r="VFW16" s="310" t="s">
        <v>201</v>
      </c>
      <c r="VFX16" s="310" t="s">
        <v>201</v>
      </c>
      <c r="VFY16" s="310" t="s">
        <v>201</v>
      </c>
      <c r="VFZ16" s="310" t="s">
        <v>201</v>
      </c>
      <c r="VGA16" s="310" t="s">
        <v>201</v>
      </c>
      <c r="VGB16" s="310" t="s">
        <v>201</v>
      </c>
      <c r="VGC16" s="310" t="s">
        <v>201</v>
      </c>
      <c r="VGD16" s="310" t="s">
        <v>201</v>
      </c>
      <c r="VGE16" s="310" t="s">
        <v>201</v>
      </c>
      <c r="VGF16" s="310" t="s">
        <v>201</v>
      </c>
      <c r="VGG16" s="310" t="s">
        <v>201</v>
      </c>
      <c r="VGH16" s="310" t="s">
        <v>201</v>
      </c>
      <c r="VGI16" s="310" t="s">
        <v>201</v>
      </c>
      <c r="VGJ16" s="310" t="s">
        <v>201</v>
      </c>
      <c r="VGK16" s="310" t="s">
        <v>201</v>
      </c>
      <c r="VGL16" s="310" t="s">
        <v>201</v>
      </c>
      <c r="VGM16" s="310" t="s">
        <v>201</v>
      </c>
      <c r="VGN16" s="310" t="s">
        <v>201</v>
      </c>
      <c r="VGO16" s="310" t="s">
        <v>201</v>
      </c>
      <c r="VGP16" s="310" t="s">
        <v>201</v>
      </c>
      <c r="VGQ16" s="310" t="s">
        <v>201</v>
      </c>
      <c r="VGR16" s="310" t="s">
        <v>201</v>
      </c>
      <c r="VGS16" s="310" t="s">
        <v>201</v>
      </c>
      <c r="VGT16" s="310" t="s">
        <v>201</v>
      </c>
      <c r="VGU16" s="310" t="s">
        <v>201</v>
      </c>
      <c r="VGV16" s="310" t="s">
        <v>201</v>
      </c>
      <c r="VGW16" s="310" t="s">
        <v>201</v>
      </c>
      <c r="VGX16" s="310" t="s">
        <v>201</v>
      </c>
      <c r="VGY16" s="310" t="s">
        <v>201</v>
      </c>
      <c r="VGZ16" s="310" t="s">
        <v>201</v>
      </c>
      <c r="VHA16" s="310" t="s">
        <v>201</v>
      </c>
      <c r="VHB16" s="310" t="s">
        <v>201</v>
      </c>
      <c r="VHC16" s="310" t="s">
        <v>201</v>
      </c>
      <c r="VHD16" s="310" t="s">
        <v>201</v>
      </c>
      <c r="VHE16" s="310" t="s">
        <v>201</v>
      </c>
      <c r="VHF16" s="310" t="s">
        <v>201</v>
      </c>
      <c r="VHG16" s="310" t="s">
        <v>201</v>
      </c>
      <c r="VHH16" s="310" t="s">
        <v>201</v>
      </c>
      <c r="VHI16" s="310" t="s">
        <v>201</v>
      </c>
      <c r="VHJ16" s="310" t="s">
        <v>201</v>
      </c>
      <c r="VHK16" s="310" t="s">
        <v>201</v>
      </c>
      <c r="VHL16" s="310" t="s">
        <v>201</v>
      </c>
      <c r="VHM16" s="310" t="s">
        <v>201</v>
      </c>
      <c r="VHN16" s="310" t="s">
        <v>201</v>
      </c>
      <c r="VHO16" s="310" t="s">
        <v>201</v>
      </c>
      <c r="VHP16" s="310" t="s">
        <v>201</v>
      </c>
      <c r="VHQ16" s="310" t="s">
        <v>201</v>
      </c>
      <c r="VHR16" s="310" t="s">
        <v>201</v>
      </c>
      <c r="VHS16" s="310" t="s">
        <v>201</v>
      </c>
      <c r="VHT16" s="310" t="s">
        <v>201</v>
      </c>
      <c r="VHU16" s="310" t="s">
        <v>201</v>
      </c>
      <c r="VHV16" s="310" t="s">
        <v>201</v>
      </c>
      <c r="VHW16" s="310" t="s">
        <v>201</v>
      </c>
      <c r="VHX16" s="310" t="s">
        <v>201</v>
      </c>
      <c r="VHY16" s="310" t="s">
        <v>201</v>
      </c>
      <c r="VHZ16" s="310" t="s">
        <v>201</v>
      </c>
      <c r="VIA16" s="310" t="s">
        <v>201</v>
      </c>
      <c r="VIB16" s="310" t="s">
        <v>201</v>
      </c>
      <c r="VIC16" s="310" t="s">
        <v>201</v>
      </c>
      <c r="VID16" s="310" t="s">
        <v>201</v>
      </c>
      <c r="VIE16" s="310" t="s">
        <v>201</v>
      </c>
      <c r="VIF16" s="310" t="s">
        <v>201</v>
      </c>
      <c r="VIG16" s="310" t="s">
        <v>201</v>
      </c>
      <c r="VIH16" s="310" t="s">
        <v>201</v>
      </c>
      <c r="VII16" s="310" t="s">
        <v>201</v>
      </c>
      <c r="VIJ16" s="310" t="s">
        <v>201</v>
      </c>
      <c r="VIK16" s="310" t="s">
        <v>201</v>
      </c>
      <c r="VIL16" s="310" t="s">
        <v>201</v>
      </c>
      <c r="VIM16" s="310" t="s">
        <v>201</v>
      </c>
      <c r="VIN16" s="310" t="s">
        <v>201</v>
      </c>
      <c r="VIO16" s="310" t="s">
        <v>201</v>
      </c>
      <c r="VIP16" s="310" t="s">
        <v>201</v>
      </c>
      <c r="VIQ16" s="310" t="s">
        <v>201</v>
      </c>
      <c r="VIR16" s="310" t="s">
        <v>201</v>
      </c>
      <c r="VIS16" s="310" t="s">
        <v>201</v>
      </c>
      <c r="VIT16" s="310" t="s">
        <v>201</v>
      </c>
      <c r="VIU16" s="310" t="s">
        <v>201</v>
      </c>
      <c r="VIV16" s="310" t="s">
        <v>201</v>
      </c>
      <c r="VIW16" s="310" t="s">
        <v>201</v>
      </c>
      <c r="VIX16" s="310" t="s">
        <v>201</v>
      </c>
      <c r="VIY16" s="310" t="s">
        <v>201</v>
      </c>
      <c r="VIZ16" s="310" t="s">
        <v>201</v>
      </c>
      <c r="VJA16" s="310" t="s">
        <v>201</v>
      </c>
      <c r="VJB16" s="310" t="s">
        <v>201</v>
      </c>
      <c r="VJC16" s="310" t="s">
        <v>201</v>
      </c>
      <c r="VJD16" s="310" t="s">
        <v>201</v>
      </c>
      <c r="VJE16" s="310" t="s">
        <v>201</v>
      </c>
      <c r="VJF16" s="310" t="s">
        <v>201</v>
      </c>
      <c r="VJG16" s="310" t="s">
        <v>201</v>
      </c>
      <c r="VJH16" s="310" t="s">
        <v>201</v>
      </c>
      <c r="VJI16" s="310" t="s">
        <v>201</v>
      </c>
      <c r="VJJ16" s="310" t="s">
        <v>201</v>
      </c>
      <c r="VJK16" s="310" t="s">
        <v>201</v>
      </c>
      <c r="VJL16" s="310" t="s">
        <v>201</v>
      </c>
      <c r="VJM16" s="310" t="s">
        <v>201</v>
      </c>
      <c r="VJN16" s="310" t="s">
        <v>201</v>
      </c>
      <c r="VJO16" s="310" t="s">
        <v>201</v>
      </c>
      <c r="VJP16" s="310" t="s">
        <v>201</v>
      </c>
      <c r="VJQ16" s="310" t="s">
        <v>201</v>
      </c>
      <c r="VJR16" s="310" t="s">
        <v>201</v>
      </c>
      <c r="VJS16" s="310" t="s">
        <v>201</v>
      </c>
      <c r="VJT16" s="310" t="s">
        <v>201</v>
      </c>
      <c r="VJU16" s="310" t="s">
        <v>201</v>
      </c>
      <c r="VJV16" s="310" t="s">
        <v>201</v>
      </c>
      <c r="VJW16" s="310" t="s">
        <v>201</v>
      </c>
      <c r="VJX16" s="310" t="s">
        <v>201</v>
      </c>
      <c r="VJY16" s="310" t="s">
        <v>201</v>
      </c>
      <c r="VJZ16" s="310" t="s">
        <v>201</v>
      </c>
      <c r="VKA16" s="310" t="s">
        <v>201</v>
      </c>
      <c r="VKB16" s="310" t="s">
        <v>201</v>
      </c>
      <c r="VKC16" s="310" t="s">
        <v>201</v>
      </c>
      <c r="VKD16" s="310" t="s">
        <v>201</v>
      </c>
      <c r="VKE16" s="310" t="s">
        <v>201</v>
      </c>
      <c r="VKF16" s="310" t="s">
        <v>201</v>
      </c>
      <c r="VKG16" s="310" t="s">
        <v>201</v>
      </c>
      <c r="VKH16" s="310" t="s">
        <v>201</v>
      </c>
      <c r="VKI16" s="310" t="s">
        <v>201</v>
      </c>
      <c r="VKJ16" s="310" t="s">
        <v>201</v>
      </c>
      <c r="VKK16" s="310" t="s">
        <v>201</v>
      </c>
      <c r="VKL16" s="310" t="s">
        <v>201</v>
      </c>
      <c r="VKM16" s="310" t="s">
        <v>201</v>
      </c>
      <c r="VKN16" s="310" t="s">
        <v>201</v>
      </c>
      <c r="VKO16" s="310" t="s">
        <v>201</v>
      </c>
      <c r="VKP16" s="310" t="s">
        <v>201</v>
      </c>
      <c r="VKQ16" s="310" t="s">
        <v>201</v>
      </c>
      <c r="VKR16" s="310" t="s">
        <v>201</v>
      </c>
      <c r="VKS16" s="310" t="s">
        <v>201</v>
      </c>
      <c r="VKT16" s="310" t="s">
        <v>201</v>
      </c>
      <c r="VKU16" s="310" t="s">
        <v>201</v>
      </c>
      <c r="VKV16" s="310" t="s">
        <v>201</v>
      </c>
      <c r="VKW16" s="310" t="s">
        <v>201</v>
      </c>
      <c r="VKX16" s="310" t="s">
        <v>201</v>
      </c>
      <c r="VKY16" s="310" t="s">
        <v>201</v>
      </c>
      <c r="VKZ16" s="310" t="s">
        <v>201</v>
      </c>
      <c r="VLA16" s="310" t="s">
        <v>201</v>
      </c>
      <c r="VLB16" s="310" t="s">
        <v>201</v>
      </c>
      <c r="VLC16" s="310" t="s">
        <v>201</v>
      </c>
      <c r="VLD16" s="310" t="s">
        <v>201</v>
      </c>
      <c r="VLE16" s="310" t="s">
        <v>201</v>
      </c>
      <c r="VLF16" s="310" t="s">
        <v>201</v>
      </c>
      <c r="VLG16" s="310" t="s">
        <v>201</v>
      </c>
      <c r="VLH16" s="310" t="s">
        <v>201</v>
      </c>
      <c r="VLI16" s="310" t="s">
        <v>201</v>
      </c>
      <c r="VLJ16" s="310" t="s">
        <v>201</v>
      </c>
      <c r="VLK16" s="310" t="s">
        <v>201</v>
      </c>
      <c r="VLL16" s="310" t="s">
        <v>201</v>
      </c>
      <c r="VLM16" s="310" t="s">
        <v>201</v>
      </c>
      <c r="VLN16" s="310" t="s">
        <v>201</v>
      </c>
      <c r="VLO16" s="310" t="s">
        <v>201</v>
      </c>
      <c r="VLP16" s="310" t="s">
        <v>201</v>
      </c>
      <c r="VLQ16" s="310" t="s">
        <v>201</v>
      </c>
      <c r="VLR16" s="310" t="s">
        <v>201</v>
      </c>
      <c r="VLS16" s="310" t="s">
        <v>201</v>
      </c>
      <c r="VLT16" s="310" t="s">
        <v>201</v>
      </c>
      <c r="VLU16" s="310" t="s">
        <v>201</v>
      </c>
      <c r="VLV16" s="310" t="s">
        <v>201</v>
      </c>
      <c r="VLW16" s="310" t="s">
        <v>201</v>
      </c>
      <c r="VLX16" s="310" t="s">
        <v>201</v>
      </c>
      <c r="VLY16" s="310" t="s">
        <v>201</v>
      </c>
      <c r="VLZ16" s="310" t="s">
        <v>201</v>
      </c>
      <c r="VMA16" s="310" t="s">
        <v>201</v>
      </c>
      <c r="VMB16" s="310" t="s">
        <v>201</v>
      </c>
      <c r="VMC16" s="310" t="s">
        <v>201</v>
      </c>
      <c r="VMD16" s="310" t="s">
        <v>201</v>
      </c>
      <c r="VME16" s="310" t="s">
        <v>201</v>
      </c>
      <c r="VMF16" s="310" t="s">
        <v>201</v>
      </c>
      <c r="VMG16" s="310" t="s">
        <v>201</v>
      </c>
      <c r="VMH16" s="310" t="s">
        <v>201</v>
      </c>
      <c r="VMI16" s="310" t="s">
        <v>201</v>
      </c>
      <c r="VMJ16" s="310" t="s">
        <v>201</v>
      </c>
      <c r="VMK16" s="310" t="s">
        <v>201</v>
      </c>
      <c r="VML16" s="310" t="s">
        <v>201</v>
      </c>
      <c r="VMM16" s="310" t="s">
        <v>201</v>
      </c>
      <c r="VMN16" s="310" t="s">
        <v>201</v>
      </c>
      <c r="VMO16" s="310" t="s">
        <v>201</v>
      </c>
      <c r="VMP16" s="310" t="s">
        <v>201</v>
      </c>
      <c r="VMQ16" s="310" t="s">
        <v>201</v>
      </c>
      <c r="VMR16" s="310" t="s">
        <v>201</v>
      </c>
      <c r="VMS16" s="310" t="s">
        <v>201</v>
      </c>
      <c r="VMT16" s="310" t="s">
        <v>201</v>
      </c>
      <c r="VMU16" s="310" t="s">
        <v>201</v>
      </c>
      <c r="VMV16" s="310" t="s">
        <v>201</v>
      </c>
      <c r="VMW16" s="310" t="s">
        <v>201</v>
      </c>
      <c r="VMX16" s="310" t="s">
        <v>201</v>
      </c>
      <c r="VMY16" s="310" t="s">
        <v>201</v>
      </c>
      <c r="VMZ16" s="310" t="s">
        <v>201</v>
      </c>
      <c r="VNA16" s="310" t="s">
        <v>201</v>
      </c>
      <c r="VNB16" s="310" t="s">
        <v>201</v>
      </c>
      <c r="VNC16" s="310" t="s">
        <v>201</v>
      </c>
      <c r="VND16" s="310" t="s">
        <v>201</v>
      </c>
      <c r="VNE16" s="310" t="s">
        <v>201</v>
      </c>
      <c r="VNF16" s="310" t="s">
        <v>201</v>
      </c>
      <c r="VNG16" s="310" t="s">
        <v>201</v>
      </c>
      <c r="VNH16" s="310" t="s">
        <v>201</v>
      </c>
      <c r="VNI16" s="310" t="s">
        <v>201</v>
      </c>
      <c r="VNJ16" s="310" t="s">
        <v>201</v>
      </c>
      <c r="VNK16" s="310" t="s">
        <v>201</v>
      </c>
      <c r="VNL16" s="310" t="s">
        <v>201</v>
      </c>
      <c r="VNM16" s="310" t="s">
        <v>201</v>
      </c>
      <c r="VNN16" s="310" t="s">
        <v>201</v>
      </c>
      <c r="VNO16" s="310" t="s">
        <v>201</v>
      </c>
      <c r="VNP16" s="310" t="s">
        <v>201</v>
      </c>
      <c r="VNQ16" s="310" t="s">
        <v>201</v>
      </c>
      <c r="VNR16" s="310" t="s">
        <v>201</v>
      </c>
      <c r="VNS16" s="310" t="s">
        <v>201</v>
      </c>
      <c r="VNT16" s="310" t="s">
        <v>201</v>
      </c>
      <c r="VNU16" s="310" t="s">
        <v>201</v>
      </c>
      <c r="VNV16" s="310" t="s">
        <v>201</v>
      </c>
      <c r="VNW16" s="310" t="s">
        <v>201</v>
      </c>
      <c r="VNX16" s="310" t="s">
        <v>201</v>
      </c>
      <c r="VNY16" s="310" t="s">
        <v>201</v>
      </c>
      <c r="VNZ16" s="310" t="s">
        <v>201</v>
      </c>
      <c r="VOA16" s="310" t="s">
        <v>201</v>
      </c>
      <c r="VOB16" s="310" t="s">
        <v>201</v>
      </c>
      <c r="VOC16" s="310" t="s">
        <v>201</v>
      </c>
      <c r="VOD16" s="310" t="s">
        <v>201</v>
      </c>
      <c r="VOE16" s="310" t="s">
        <v>201</v>
      </c>
      <c r="VOF16" s="310" t="s">
        <v>201</v>
      </c>
      <c r="VOG16" s="310" t="s">
        <v>201</v>
      </c>
      <c r="VOH16" s="310" t="s">
        <v>201</v>
      </c>
      <c r="VOI16" s="310" t="s">
        <v>201</v>
      </c>
      <c r="VOJ16" s="310" t="s">
        <v>201</v>
      </c>
      <c r="VOK16" s="310" t="s">
        <v>201</v>
      </c>
      <c r="VOL16" s="310" t="s">
        <v>201</v>
      </c>
      <c r="VOM16" s="310" t="s">
        <v>201</v>
      </c>
      <c r="VON16" s="310" t="s">
        <v>201</v>
      </c>
      <c r="VOO16" s="310" t="s">
        <v>201</v>
      </c>
      <c r="VOP16" s="310" t="s">
        <v>201</v>
      </c>
      <c r="VOQ16" s="310" t="s">
        <v>201</v>
      </c>
      <c r="VOR16" s="310" t="s">
        <v>201</v>
      </c>
      <c r="VOS16" s="310" t="s">
        <v>201</v>
      </c>
      <c r="VOT16" s="310" t="s">
        <v>201</v>
      </c>
      <c r="VOU16" s="310" t="s">
        <v>201</v>
      </c>
      <c r="VOV16" s="310" t="s">
        <v>201</v>
      </c>
      <c r="VOW16" s="310" t="s">
        <v>201</v>
      </c>
      <c r="VOX16" s="310" t="s">
        <v>201</v>
      </c>
      <c r="VOY16" s="310" t="s">
        <v>201</v>
      </c>
      <c r="VOZ16" s="310" t="s">
        <v>201</v>
      </c>
      <c r="VPA16" s="310" t="s">
        <v>201</v>
      </c>
      <c r="VPB16" s="310" t="s">
        <v>201</v>
      </c>
      <c r="VPC16" s="310" t="s">
        <v>201</v>
      </c>
      <c r="VPD16" s="310" t="s">
        <v>201</v>
      </c>
      <c r="VPE16" s="310" t="s">
        <v>201</v>
      </c>
      <c r="VPF16" s="310" t="s">
        <v>201</v>
      </c>
      <c r="VPG16" s="310" t="s">
        <v>201</v>
      </c>
      <c r="VPH16" s="310" t="s">
        <v>201</v>
      </c>
      <c r="VPI16" s="310" t="s">
        <v>201</v>
      </c>
      <c r="VPJ16" s="310" t="s">
        <v>201</v>
      </c>
      <c r="VPK16" s="310" t="s">
        <v>201</v>
      </c>
      <c r="VPL16" s="310" t="s">
        <v>201</v>
      </c>
      <c r="VPM16" s="310" t="s">
        <v>201</v>
      </c>
      <c r="VPN16" s="310" t="s">
        <v>201</v>
      </c>
      <c r="VPO16" s="310" t="s">
        <v>201</v>
      </c>
      <c r="VPP16" s="310" t="s">
        <v>201</v>
      </c>
      <c r="VPQ16" s="310" t="s">
        <v>201</v>
      </c>
      <c r="VPR16" s="310" t="s">
        <v>201</v>
      </c>
      <c r="VPS16" s="310" t="s">
        <v>201</v>
      </c>
      <c r="VPT16" s="310" t="s">
        <v>201</v>
      </c>
      <c r="VPU16" s="310" t="s">
        <v>201</v>
      </c>
      <c r="VPV16" s="310" t="s">
        <v>201</v>
      </c>
      <c r="VPW16" s="310" t="s">
        <v>201</v>
      </c>
      <c r="VPX16" s="310" t="s">
        <v>201</v>
      </c>
      <c r="VPY16" s="310" t="s">
        <v>201</v>
      </c>
      <c r="VPZ16" s="310" t="s">
        <v>201</v>
      </c>
      <c r="VQA16" s="310" t="s">
        <v>201</v>
      </c>
      <c r="VQB16" s="310" t="s">
        <v>201</v>
      </c>
      <c r="VQC16" s="310" t="s">
        <v>201</v>
      </c>
      <c r="VQD16" s="310" t="s">
        <v>201</v>
      </c>
      <c r="VQE16" s="310" t="s">
        <v>201</v>
      </c>
      <c r="VQF16" s="310" t="s">
        <v>201</v>
      </c>
      <c r="VQG16" s="310" t="s">
        <v>201</v>
      </c>
      <c r="VQH16" s="310" t="s">
        <v>201</v>
      </c>
      <c r="VQI16" s="310" t="s">
        <v>201</v>
      </c>
      <c r="VQJ16" s="310" t="s">
        <v>201</v>
      </c>
      <c r="VQK16" s="310" t="s">
        <v>201</v>
      </c>
      <c r="VQL16" s="310" t="s">
        <v>201</v>
      </c>
      <c r="VQM16" s="310" t="s">
        <v>201</v>
      </c>
      <c r="VQN16" s="310" t="s">
        <v>201</v>
      </c>
      <c r="VQO16" s="310" t="s">
        <v>201</v>
      </c>
      <c r="VQP16" s="310" t="s">
        <v>201</v>
      </c>
      <c r="VQQ16" s="310" t="s">
        <v>201</v>
      </c>
      <c r="VQR16" s="310" t="s">
        <v>201</v>
      </c>
      <c r="VQS16" s="310" t="s">
        <v>201</v>
      </c>
      <c r="VQT16" s="310" t="s">
        <v>201</v>
      </c>
      <c r="VQU16" s="310" t="s">
        <v>201</v>
      </c>
      <c r="VQV16" s="310" t="s">
        <v>201</v>
      </c>
      <c r="VQW16" s="310" t="s">
        <v>201</v>
      </c>
      <c r="VQX16" s="310" t="s">
        <v>201</v>
      </c>
      <c r="VQY16" s="310" t="s">
        <v>201</v>
      </c>
      <c r="VQZ16" s="310" t="s">
        <v>201</v>
      </c>
      <c r="VRA16" s="310" t="s">
        <v>201</v>
      </c>
      <c r="VRB16" s="310" t="s">
        <v>201</v>
      </c>
      <c r="VRC16" s="310" t="s">
        <v>201</v>
      </c>
      <c r="VRD16" s="310" t="s">
        <v>201</v>
      </c>
      <c r="VRE16" s="310" t="s">
        <v>201</v>
      </c>
      <c r="VRF16" s="310" t="s">
        <v>201</v>
      </c>
      <c r="VRG16" s="310" t="s">
        <v>201</v>
      </c>
      <c r="VRH16" s="310" t="s">
        <v>201</v>
      </c>
      <c r="VRI16" s="310" t="s">
        <v>201</v>
      </c>
      <c r="VRJ16" s="310" t="s">
        <v>201</v>
      </c>
      <c r="VRK16" s="310" t="s">
        <v>201</v>
      </c>
      <c r="VRL16" s="310" t="s">
        <v>201</v>
      </c>
      <c r="VRM16" s="310" t="s">
        <v>201</v>
      </c>
      <c r="VRN16" s="310" t="s">
        <v>201</v>
      </c>
      <c r="VRO16" s="310" t="s">
        <v>201</v>
      </c>
      <c r="VRP16" s="310" t="s">
        <v>201</v>
      </c>
      <c r="VRQ16" s="310" t="s">
        <v>201</v>
      </c>
      <c r="VRR16" s="310" t="s">
        <v>201</v>
      </c>
      <c r="VRS16" s="310" t="s">
        <v>201</v>
      </c>
      <c r="VRT16" s="310" t="s">
        <v>201</v>
      </c>
      <c r="VRU16" s="310" t="s">
        <v>201</v>
      </c>
      <c r="VRV16" s="310" t="s">
        <v>201</v>
      </c>
      <c r="VRW16" s="310" t="s">
        <v>201</v>
      </c>
      <c r="VRX16" s="310" t="s">
        <v>201</v>
      </c>
      <c r="VRY16" s="310" t="s">
        <v>201</v>
      </c>
      <c r="VRZ16" s="310" t="s">
        <v>201</v>
      </c>
      <c r="VSA16" s="310" t="s">
        <v>201</v>
      </c>
      <c r="VSB16" s="310" t="s">
        <v>201</v>
      </c>
      <c r="VSC16" s="310" t="s">
        <v>201</v>
      </c>
      <c r="VSD16" s="310" t="s">
        <v>201</v>
      </c>
      <c r="VSE16" s="310" t="s">
        <v>201</v>
      </c>
      <c r="VSF16" s="310" t="s">
        <v>201</v>
      </c>
      <c r="VSG16" s="310" t="s">
        <v>201</v>
      </c>
      <c r="VSH16" s="310" t="s">
        <v>201</v>
      </c>
      <c r="VSI16" s="310" t="s">
        <v>201</v>
      </c>
      <c r="VSJ16" s="310" t="s">
        <v>201</v>
      </c>
      <c r="VSK16" s="310" t="s">
        <v>201</v>
      </c>
      <c r="VSL16" s="310" t="s">
        <v>201</v>
      </c>
      <c r="VSM16" s="310" t="s">
        <v>201</v>
      </c>
      <c r="VSN16" s="310" t="s">
        <v>201</v>
      </c>
      <c r="VSO16" s="310" t="s">
        <v>201</v>
      </c>
      <c r="VSP16" s="310" t="s">
        <v>201</v>
      </c>
      <c r="VSQ16" s="310" t="s">
        <v>201</v>
      </c>
      <c r="VSR16" s="310" t="s">
        <v>201</v>
      </c>
      <c r="VSS16" s="310" t="s">
        <v>201</v>
      </c>
      <c r="VST16" s="310" t="s">
        <v>201</v>
      </c>
      <c r="VSU16" s="310" t="s">
        <v>201</v>
      </c>
      <c r="VSV16" s="310" t="s">
        <v>201</v>
      </c>
      <c r="VSW16" s="310" t="s">
        <v>201</v>
      </c>
      <c r="VSX16" s="310" t="s">
        <v>201</v>
      </c>
      <c r="VSY16" s="310" t="s">
        <v>201</v>
      </c>
      <c r="VSZ16" s="310" t="s">
        <v>201</v>
      </c>
      <c r="VTA16" s="310" t="s">
        <v>201</v>
      </c>
      <c r="VTB16" s="310" t="s">
        <v>201</v>
      </c>
      <c r="VTC16" s="310" t="s">
        <v>201</v>
      </c>
      <c r="VTD16" s="310" t="s">
        <v>201</v>
      </c>
      <c r="VTE16" s="310" t="s">
        <v>201</v>
      </c>
      <c r="VTF16" s="310" t="s">
        <v>201</v>
      </c>
      <c r="VTG16" s="310" t="s">
        <v>201</v>
      </c>
      <c r="VTH16" s="310" t="s">
        <v>201</v>
      </c>
      <c r="VTI16" s="310" t="s">
        <v>201</v>
      </c>
      <c r="VTJ16" s="310" t="s">
        <v>201</v>
      </c>
      <c r="VTK16" s="310" t="s">
        <v>201</v>
      </c>
      <c r="VTL16" s="310" t="s">
        <v>201</v>
      </c>
      <c r="VTM16" s="310" t="s">
        <v>201</v>
      </c>
      <c r="VTN16" s="310" t="s">
        <v>201</v>
      </c>
      <c r="VTO16" s="310" t="s">
        <v>201</v>
      </c>
      <c r="VTP16" s="310" t="s">
        <v>201</v>
      </c>
      <c r="VTQ16" s="310" t="s">
        <v>201</v>
      </c>
      <c r="VTR16" s="310" t="s">
        <v>201</v>
      </c>
      <c r="VTS16" s="310" t="s">
        <v>201</v>
      </c>
      <c r="VTT16" s="310" t="s">
        <v>201</v>
      </c>
      <c r="VTU16" s="310" t="s">
        <v>201</v>
      </c>
      <c r="VTV16" s="310" t="s">
        <v>201</v>
      </c>
      <c r="VTW16" s="310" t="s">
        <v>201</v>
      </c>
      <c r="VTX16" s="310" t="s">
        <v>201</v>
      </c>
      <c r="VTY16" s="310" t="s">
        <v>201</v>
      </c>
      <c r="VTZ16" s="310" t="s">
        <v>201</v>
      </c>
      <c r="VUA16" s="310" t="s">
        <v>201</v>
      </c>
      <c r="VUB16" s="310" t="s">
        <v>201</v>
      </c>
      <c r="VUC16" s="310" t="s">
        <v>201</v>
      </c>
      <c r="VUD16" s="310" t="s">
        <v>201</v>
      </c>
      <c r="VUE16" s="310" t="s">
        <v>201</v>
      </c>
      <c r="VUF16" s="310" t="s">
        <v>201</v>
      </c>
      <c r="VUG16" s="310" t="s">
        <v>201</v>
      </c>
      <c r="VUH16" s="310" t="s">
        <v>201</v>
      </c>
      <c r="VUI16" s="310" t="s">
        <v>201</v>
      </c>
      <c r="VUJ16" s="310" t="s">
        <v>201</v>
      </c>
      <c r="VUK16" s="310" t="s">
        <v>201</v>
      </c>
      <c r="VUL16" s="310" t="s">
        <v>201</v>
      </c>
      <c r="VUM16" s="310" t="s">
        <v>201</v>
      </c>
      <c r="VUN16" s="310" t="s">
        <v>201</v>
      </c>
      <c r="VUO16" s="310" t="s">
        <v>201</v>
      </c>
      <c r="VUP16" s="310" t="s">
        <v>201</v>
      </c>
      <c r="VUQ16" s="310" t="s">
        <v>201</v>
      </c>
      <c r="VUR16" s="310" t="s">
        <v>201</v>
      </c>
      <c r="VUS16" s="310" t="s">
        <v>201</v>
      </c>
      <c r="VUT16" s="310" t="s">
        <v>201</v>
      </c>
      <c r="VUU16" s="310" t="s">
        <v>201</v>
      </c>
      <c r="VUV16" s="310" t="s">
        <v>201</v>
      </c>
      <c r="VUW16" s="310" t="s">
        <v>201</v>
      </c>
      <c r="VUX16" s="310" t="s">
        <v>201</v>
      </c>
      <c r="VUY16" s="310" t="s">
        <v>201</v>
      </c>
      <c r="VUZ16" s="310" t="s">
        <v>201</v>
      </c>
      <c r="VVA16" s="310" t="s">
        <v>201</v>
      </c>
      <c r="VVB16" s="310" t="s">
        <v>201</v>
      </c>
      <c r="VVC16" s="310" t="s">
        <v>201</v>
      </c>
      <c r="VVD16" s="310" t="s">
        <v>201</v>
      </c>
      <c r="VVE16" s="310" t="s">
        <v>201</v>
      </c>
      <c r="VVF16" s="310" t="s">
        <v>201</v>
      </c>
      <c r="VVG16" s="310" t="s">
        <v>201</v>
      </c>
      <c r="VVH16" s="310" t="s">
        <v>201</v>
      </c>
      <c r="VVI16" s="310" t="s">
        <v>201</v>
      </c>
      <c r="VVJ16" s="310" t="s">
        <v>201</v>
      </c>
      <c r="VVK16" s="310" t="s">
        <v>201</v>
      </c>
      <c r="VVL16" s="310" t="s">
        <v>201</v>
      </c>
      <c r="VVM16" s="310" t="s">
        <v>201</v>
      </c>
      <c r="VVN16" s="310" t="s">
        <v>201</v>
      </c>
      <c r="VVO16" s="310" t="s">
        <v>201</v>
      </c>
      <c r="VVP16" s="310" t="s">
        <v>201</v>
      </c>
      <c r="VVQ16" s="310" t="s">
        <v>201</v>
      </c>
      <c r="VVR16" s="310" t="s">
        <v>201</v>
      </c>
      <c r="VVS16" s="310" t="s">
        <v>201</v>
      </c>
      <c r="VVT16" s="310" t="s">
        <v>201</v>
      </c>
      <c r="VVU16" s="310" t="s">
        <v>201</v>
      </c>
      <c r="VVV16" s="310" t="s">
        <v>201</v>
      </c>
      <c r="VVW16" s="310" t="s">
        <v>201</v>
      </c>
      <c r="VVX16" s="310" t="s">
        <v>201</v>
      </c>
      <c r="VVY16" s="310" t="s">
        <v>201</v>
      </c>
      <c r="VVZ16" s="310" t="s">
        <v>201</v>
      </c>
      <c r="VWA16" s="310" t="s">
        <v>201</v>
      </c>
      <c r="VWB16" s="310" t="s">
        <v>201</v>
      </c>
      <c r="VWC16" s="310" t="s">
        <v>201</v>
      </c>
      <c r="VWD16" s="310" t="s">
        <v>201</v>
      </c>
      <c r="VWE16" s="310" t="s">
        <v>201</v>
      </c>
      <c r="VWF16" s="310" t="s">
        <v>201</v>
      </c>
      <c r="VWG16" s="310" t="s">
        <v>201</v>
      </c>
      <c r="VWH16" s="310" t="s">
        <v>201</v>
      </c>
      <c r="VWI16" s="310" t="s">
        <v>201</v>
      </c>
      <c r="VWJ16" s="310" t="s">
        <v>201</v>
      </c>
      <c r="VWK16" s="310" t="s">
        <v>201</v>
      </c>
      <c r="VWL16" s="310" t="s">
        <v>201</v>
      </c>
      <c r="VWM16" s="310" t="s">
        <v>201</v>
      </c>
      <c r="VWN16" s="310" t="s">
        <v>201</v>
      </c>
      <c r="VWO16" s="310" t="s">
        <v>201</v>
      </c>
      <c r="VWP16" s="310" t="s">
        <v>201</v>
      </c>
      <c r="VWQ16" s="310" t="s">
        <v>201</v>
      </c>
      <c r="VWR16" s="310" t="s">
        <v>201</v>
      </c>
      <c r="VWS16" s="310" t="s">
        <v>201</v>
      </c>
      <c r="VWT16" s="310" t="s">
        <v>201</v>
      </c>
      <c r="VWU16" s="310" t="s">
        <v>201</v>
      </c>
      <c r="VWV16" s="310" t="s">
        <v>201</v>
      </c>
      <c r="VWW16" s="310" t="s">
        <v>201</v>
      </c>
      <c r="VWX16" s="310" t="s">
        <v>201</v>
      </c>
      <c r="VWY16" s="310" t="s">
        <v>201</v>
      </c>
      <c r="VWZ16" s="310" t="s">
        <v>201</v>
      </c>
      <c r="VXA16" s="310" t="s">
        <v>201</v>
      </c>
      <c r="VXB16" s="310" t="s">
        <v>201</v>
      </c>
      <c r="VXC16" s="310" t="s">
        <v>201</v>
      </c>
      <c r="VXD16" s="310" t="s">
        <v>201</v>
      </c>
      <c r="VXE16" s="310" t="s">
        <v>201</v>
      </c>
      <c r="VXF16" s="310" t="s">
        <v>201</v>
      </c>
      <c r="VXG16" s="310" t="s">
        <v>201</v>
      </c>
      <c r="VXH16" s="310" t="s">
        <v>201</v>
      </c>
      <c r="VXI16" s="310" t="s">
        <v>201</v>
      </c>
      <c r="VXJ16" s="310" t="s">
        <v>201</v>
      </c>
      <c r="VXK16" s="310" t="s">
        <v>201</v>
      </c>
      <c r="VXL16" s="310" t="s">
        <v>201</v>
      </c>
      <c r="VXM16" s="310" t="s">
        <v>201</v>
      </c>
      <c r="VXN16" s="310" t="s">
        <v>201</v>
      </c>
      <c r="VXO16" s="310" t="s">
        <v>201</v>
      </c>
      <c r="VXP16" s="310" t="s">
        <v>201</v>
      </c>
      <c r="VXQ16" s="310" t="s">
        <v>201</v>
      </c>
      <c r="VXR16" s="310" t="s">
        <v>201</v>
      </c>
      <c r="VXS16" s="310" t="s">
        <v>201</v>
      </c>
      <c r="VXT16" s="310" t="s">
        <v>201</v>
      </c>
      <c r="VXU16" s="310" t="s">
        <v>201</v>
      </c>
      <c r="VXV16" s="310" t="s">
        <v>201</v>
      </c>
      <c r="VXW16" s="310" t="s">
        <v>201</v>
      </c>
      <c r="VXX16" s="310" t="s">
        <v>201</v>
      </c>
      <c r="VXY16" s="310" t="s">
        <v>201</v>
      </c>
      <c r="VXZ16" s="310" t="s">
        <v>201</v>
      </c>
      <c r="VYA16" s="310" t="s">
        <v>201</v>
      </c>
      <c r="VYB16" s="310" t="s">
        <v>201</v>
      </c>
      <c r="VYC16" s="310" t="s">
        <v>201</v>
      </c>
      <c r="VYD16" s="310" t="s">
        <v>201</v>
      </c>
      <c r="VYE16" s="310" t="s">
        <v>201</v>
      </c>
      <c r="VYF16" s="310" t="s">
        <v>201</v>
      </c>
      <c r="VYG16" s="310" t="s">
        <v>201</v>
      </c>
      <c r="VYH16" s="310" t="s">
        <v>201</v>
      </c>
      <c r="VYI16" s="310" t="s">
        <v>201</v>
      </c>
      <c r="VYJ16" s="310" t="s">
        <v>201</v>
      </c>
      <c r="VYK16" s="310" t="s">
        <v>201</v>
      </c>
      <c r="VYL16" s="310" t="s">
        <v>201</v>
      </c>
      <c r="VYM16" s="310" t="s">
        <v>201</v>
      </c>
      <c r="VYN16" s="310" t="s">
        <v>201</v>
      </c>
      <c r="VYO16" s="310" t="s">
        <v>201</v>
      </c>
      <c r="VYP16" s="310" t="s">
        <v>201</v>
      </c>
      <c r="VYQ16" s="310" t="s">
        <v>201</v>
      </c>
      <c r="VYR16" s="310" t="s">
        <v>201</v>
      </c>
      <c r="VYS16" s="310" t="s">
        <v>201</v>
      </c>
      <c r="VYT16" s="310" t="s">
        <v>201</v>
      </c>
      <c r="VYU16" s="310" t="s">
        <v>201</v>
      </c>
      <c r="VYV16" s="310" t="s">
        <v>201</v>
      </c>
      <c r="VYW16" s="310" t="s">
        <v>201</v>
      </c>
      <c r="VYX16" s="310" t="s">
        <v>201</v>
      </c>
      <c r="VYY16" s="310" t="s">
        <v>201</v>
      </c>
      <c r="VYZ16" s="310" t="s">
        <v>201</v>
      </c>
      <c r="VZA16" s="310" t="s">
        <v>201</v>
      </c>
      <c r="VZB16" s="310" t="s">
        <v>201</v>
      </c>
      <c r="VZC16" s="310" t="s">
        <v>201</v>
      </c>
      <c r="VZD16" s="310" t="s">
        <v>201</v>
      </c>
      <c r="VZE16" s="310" t="s">
        <v>201</v>
      </c>
      <c r="VZF16" s="310" t="s">
        <v>201</v>
      </c>
      <c r="VZG16" s="310" t="s">
        <v>201</v>
      </c>
      <c r="VZH16" s="310" t="s">
        <v>201</v>
      </c>
      <c r="VZI16" s="310" t="s">
        <v>201</v>
      </c>
      <c r="VZJ16" s="310" t="s">
        <v>201</v>
      </c>
      <c r="VZK16" s="310" t="s">
        <v>201</v>
      </c>
      <c r="VZL16" s="310" t="s">
        <v>201</v>
      </c>
      <c r="VZM16" s="310" t="s">
        <v>201</v>
      </c>
      <c r="VZN16" s="310" t="s">
        <v>201</v>
      </c>
      <c r="VZO16" s="310" t="s">
        <v>201</v>
      </c>
      <c r="VZP16" s="310" t="s">
        <v>201</v>
      </c>
      <c r="VZQ16" s="310" t="s">
        <v>201</v>
      </c>
      <c r="VZR16" s="310" t="s">
        <v>201</v>
      </c>
      <c r="VZS16" s="310" t="s">
        <v>201</v>
      </c>
      <c r="VZT16" s="310" t="s">
        <v>201</v>
      </c>
      <c r="VZU16" s="310" t="s">
        <v>201</v>
      </c>
      <c r="VZV16" s="310" t="s">
        <v>201</v>
      </c>
      <c r="VZW16" s="310" t="s">
        <v>201</v>
      </c>
      <c r="VZX16" s="310" t="s">
        <v>201</v>
      </c>
      <c r="VZY16" s="310" t="s">
        <v>201</v>
      </c>
      <c r="VZZ16" s="310" t="s">
        <v>201</v>
      </c>
      <c r="WAA16" s="310" t="s">
        <v>201</v>
      </c>
      <c r="WAB16" s="310" t="s">
        <v>201</v>
      </c>
      <c r="WAC16" s="310" t="s">
        <v>201</v>
      </c>
      <c r="WAD16" s="310" t="s">
        <v>201</v>
      </c>
      <c r="WAE16" s="310" t="s">
        <v>201</v>
      </c>
      <c r="WAF16" s="310" t="s">
        <v>201</v>
      </c>
      <c r="WAG16" s="310" t="s">
        <v>201</v>
      </c>
      <c r="WAH16" s="310" t="s">
        <v>201</v>
      </c>
      <c r="WAI16" s="310" t="s">
        <v>201</v>
      </c>
      <c r="WAJ16" s="310" t="s">
        <v>201</v>
      </c>
      <c r="WAK16" s="310" t="s">
        <v>201</v>
      </c>
      <c r="WAL16" s="310" t="s">
        <v>201</v>
      </c>
      <c r="WAM16" s="310" t="s">
        <v>201</v>
      </c>
      <c r="WAN16" s="310" t="s">
        <v>201</v>
      </c>
      <c r="WAO16" s="310" t="s">
        <v>201</v>
      </c>
      <c r="WAP16" s="310" t="s">
        <v>201</v>
      </c>
      <c r="WAQ16" s="310" t="s">
        <v>201</v>
      </c>
      <c r="WAR16" s="310" t="s">
        <v>201</v>
      </c>
      <c r="WAS16" s="310" t="s">
        <v>201</v>
      </c>
      <c r="WAT16" s="310" t="s">
        <v>201</v>
      </c>
      <c r="WAU16" s="310" t="s">
        <v>201</v>
      </c>
      <c r="WAV16" s="310" t="s">
        <v>201</v>
      </c>
      <c r="WAW16" s="310" t="s">
        <v>201</v>
      </c>
      <c r="WAX16" s="310" t="s">
        <v>201</v>
      </c>
      <c r="WAY16" s="310" t="s">
        <v>201</v>
      </c>
      <c r="WAZ16" s="310" t="s">
        <v>201</v>
      </c>
      <c r="WBA16" s="310" t="s">
        <v>201</v>
      </c>
      <c r="WBB16" s="310" t="s">
        <v>201</v>
      </c>
      <c r="WBC16" s="310" t="s">
        <v>201</v>
      </c>
      <c r="WBD16" s="310" t="s">
        <v>201</v>
      </c>
      <c r="WBE16" s="310" t="s">
        <v>201</v>
      </c>
      <c r="WBF16" s="310" t="s">
        <v>201</v>
      </c>
      <c r="WBG16" s="310" t="s">
        <v>201</v>
      </c>
      <c r="WBH16" s="310" t="s">
        <v>201</v>
      </c>
      <c r="WBI16" s="310" t="s">
        <v>201</v>
      </c>
      <c r="WBJ16" s="310" t="s">
        <v>201</v>
      </c>
      <c r="WBK16" s="310" t="s">
        <v>201</v>
      </c>
      <c r="WBL16" s="310" t="s">
        <v>201</v>
      </c>
      <c r="WBM16" s="310" t="s">
        <v>201</v>
      </c>
      <c r="WBN16" s="310" t="s">
        <v>201</v>
      </c>
      <c r="WBO16" s="310" t="s">
        <v>201</v>
      </c>
      <c r="WBP16" s="310" t="s">
        <v>201</v>
      </c>
      <c r="WBQ16" s="310" t="s">
        <v>201</v>
      </c>
      <c r="WBR16" s="310" t="s">
        <v>201</v>
      </c>
      <c r="WBS16" s="310" t="s">
        <v>201</v>
      </c>
      <c r="WBT16" s="310" t="s">
        <v>201</v>
      </c>
      <c r="WBU16" s="310" t="s">
        <v>201</v>
      </c>
      <c r="WBV16" s="310" t="s">
        <v>201</v>
      </c>
      <c r="WBW16" s="310" t="s">
        <v>201</v>
      </c>
      <c r="WBX16" s="310" t="s">
        <v>201</v>
      </c>
      <c r="WBY16" s="310" t="s">
        <v>201</v>
      </c>
      <c r="WBZ16" s="310" t="s">
        <v>201</v>
      </c>
      <c r="WCA16" s="310" t="s">
        <v>201</v>
      </c>
      <c r="WCB16" s="310" t="s">
        <v>201</v>
      </c>
      <c r="WCC16" s="310" t="s">
        <v>201</v>
      </c>
      <c r="WCD16" s="310" t="s">
        <v>201</v>
      </c>
      <c r="WCE16" s="310" t="s">
        <v>201</v>
      </c>
      <c r="WCF16" s="310" t="s">
        <v>201</v>
      </c>
      <c r="WCG16" s="310" t="s">
        <v>201</v>
      </c>
      <c r="WCH16" s="310" t="s">
        <v>201</v>
      </c>
      <c r="WCI16" s="310" t="s">
        <v>201</v>
      </c>
      <c r="WCJ16" s="310" t="s">
        <v>201</v>
      </c>
      <c r="WCK16" s="310" t="s">
        <v>201</v>
      </c>
      <c r="WCL16" s="310" t="s">
        <v>201</v>
      </c>
      <c r="WCM16" s="310" t="s">
        <v>201</v>
      </c>
      <c r="WCN16" s="310" t="s">
        <v>201</v>
      </c>
      <c r="WCO16" s="310" t="s">
        <v>201</v>
      </c>
      <c r="WCP16" s="310" t="s">
        <v>201</v>
      </c>
      <c r="WCQ16" s="310" t="s">
        <v>201</v>
      </c>
      <c r="WCR16" s="310" t="s">
        <v>201</v>
      </c>
      <c r="WCS16" s="310" t="s">
        <v>201</v>
      </c>
      <c r="WCT16" s="310" t="s">
        <v>201</v>
      </c>
      <c r="WCU16" s="310" t="s">
        <v>201</v>
      </c>
      <c r="WCV16" s="310" t="s">
        <v>201</v>
      </c>
      <c r="WCW16" s="310" t="s">
        <v>201</v>
      </c>
      <c r="WCX16" s="310" t="s">
        <v>201</v>
      </c>
      <c r="WCY16" s="310" t="s">
        <v>201</v>
      </c>
      <c r="WCZ16" s="310" t="s">
        <v>201</v>
      </c>
      <c r="WDA16" s="310" t="s">
        <v>201</v>
      </c>
      <c r="WDB16" s="310" t="s">
        <v>201</v>
      </c>
      <c r="WDC16" s="310" t="s">
        <v>201</v>
      </c>
      <c r="WDD16" s="310" t="s">
        <v>201</v>
      </c>
      <c r="WDE16" s="310" t="s">
        <v>201</v>
      </c>
      <c r="WDF16" s="310" t="s">
        <v>201</v>
      </c>
      <c r="WDG16" s="310" t="s">
        <v>201</v>
      </c>
      <c r="WDH16" s="310" t="s">
        <v>201</v>
      </c>
      <c r="WDI16" s="310" t="s">
        <v>201</v>
      </c>
      <c r="WDJ16" s="310" t="s">
        <v>201</v>
      </c>
      <c r="WDK16" s="310" t="s">
        <v>201</v>
      </c>
      <c r="WDL16" s="310" t="s">
        <v>201</v>
      </c>
      <c r="WDM16" s="310" t="s">
        <v>201</v>
      </c>
      <c r="WDN16" s="310" t="s">
        <v>201</v>
      </c>
      <c r="WDO16" s="310" t="s">
        <v>201</v>
      </c>
      <c r="WDP16" s="310" t="s">
        <v>201</v>
      </c>
      <c r="WDQ16" s="310" t="s">
        <v>201</v>
      </c>
      <c r="WDR16" s="310" t="s">
        <v>201</v>
      </c>
      <c r="WDS16" s="310" t="s">
        <v>201</v>
      </c>
      <c r="WDT16" s="310" t="s">
        <v>201</v>
      </c>
      <c r="WDU16" s="310" t="s">
        <v>201</v>
      </c>
      <c r="WDV16" s="310" t="s">
        <v>201</v>
      </c>
      <c r="WDW16" s="310" t="s">
        <v>201</v>
      </c>
      <c r="WDX16" s="310" t="s">
        <v>201</v>
      </c>
      <c r="WDY16" s="310" t="s">
        <v>201</v>
      </c>
      <c r="WDZ16" s="310" t="s">
        <v>201</v>
      </c>
      <c r="WEA16" s="310" t="s">
        <v>201</v>
      </c>
      <c r="WEB16" s="310" t="s">
        <v>201</v>
      </c>
      <c r="WEC16" s="310" t="s">
        <v>201</v>
      </c>
      <c r="WED16" s="310" t="s">
        <v>201</v>
      </c>
      <c r="WEE16" s="310" t="s">
        <v>201</v>
      </c>
      <c r="WEF16" s="310" t="s">
        <v>201</v>
      </c>
      <c r="WEG16" s="310" t="s">
        <v>201</v>
      </c>
      <c r="WEH16" s="310" t="s">
        <v>201</v>
      </c>
      <c r="WEI16" s="310" t="s">
        <v>201</v>
      </c>
      <c r="WEJ16" s="310" t="s">
        <v>201</v>
      </c>
      <c r="WEK16" s="310" t="s">
        <v>201</v>
      </c>
      <c r="WEL16" s="310" t="s">
        <v>201</v>
      </c>
      <c r="WEM16" s="310" t="s">
        <v>201</v>
      </c>
      <c r="WEN16" s="310" t="s">
        <v>201</v>
      </c>
      <c r="WEO16" s="310" t="s">
        <v>201</v>
      </c>
      <c r="WEP16" s="310" t="s">
        <v>201</v>
      </c>
      <c r="WEQ16" s="310" t="s">
        <v>201</v>
      </c>
      <c r="WER16" s="310" t="s">
        <v>201</v>
      </c>
      <c r="WES16" s="310" t="s">
        <v>201</v>
      </c>
      <c r="WET16" s="310" t="s">
        <v>201</v>
      </c>
      <c r="WEU16" s="310" t="s">
        <v>201</v>
      </c>
      <c r="WEV16" s="310" t="s">
        <v>201</v>
      </c>
      <c r="WEW16" s="310" t="s">
        <v>201</v>
      </c>
      <c r="WEX16" s="310" t="s">
        <v>201</v>
      </c>
      <c r="WEY16" s="310" t="s">
        <v>201</v>
      </c>
      <c r="WEZ16" s="310" t="s">
        <v>201</v>
      </c>
      <c r="WFA16" s="310" t="s">
        <v>201</v>
      </c>
      <c r="WFB16" s="310" t="s">
        <v>201</v>
      </c>
      <c r="WFC16" s="310" t="s">
        <v>201</v>
      </c>
      <c r="WFD16" s="310" t="s">
        <v>201</v>
      </c>
      <c r="WFE16" s="310" t="s">
        <v>201</v>
      </c>
      <c r="WFF16" s="310" t="s">
        <v>201</v>
      </c>
      <c r="WFG16" s="310" t="s">
        <v>201</v>
      </c>
      <c r="WFH16" s="310" t="s">
        <v>201</v>
      </c>
      <c r="WFI16" s="310" t="s">
        <v>201</v>
      </c>
      <c r="WFJ16" s="310" t="s">
        <v>201</v>
      </c>
      <c r="WFK16" s="310" t="s">
        <v>201</v>
      </c>
      <c r="WFL16" s="310" t="s">
        <v>201</v>
      </c>
      <c r="WFM16" s="310" t="s">
        <v>201</v>
      </c>
      <c r="WFN16" s="310" t="s">
        <v>201</v>
      </c>
      <c r="WFO16" s="310" t="s">
        <v>201</v>
      </c>
      <c r="WFP16" s="310" t="s">
        <v>201</v>
      </c>
      <c r="WFQ16" s="310" t="s">
        <v>201</v>
      </c>
      <c r="WFR16" s="310" t="s">
        <v>201</v>
      </c>
      <c r="WFS16" s="310" t="s">
        <v>201</v>
      </c>
      <c r="WFT16" s="310" t="s">
        <v>201</v>
      </c>
      <c r="WFU16" s="310" t="s">
        <v>201</v>
      </c>
      <c r="WFV16" s="310" t="s">
        <v>201</v>
      </c>
      <c r="WFW16" s="310" t="s">
        <v>201</v>
      </c>
      <c r="WFX16" s="310" t="s">
        <v>201</v>
      </c>
      <c r="WFY16" s="310" t="s">
        <v>201</v>
      </c>
      <c r="WFZ16" s="310" t="s">
        <v>201</v>
      </c>
      <c r="WGA16" s="310" t="s">
        <v>201</v>
      </c>
      <c r="WGB16" s="310" t="s">
        <v>201</v>
      </c>
      <c r="WGC16" s="310" t="s">
        <v>201</v>
      </c>
      <c r="WGD16" s="310" t="s">
        <v>201</v>
      </c>
      <c r="WGE16" s="310" t="s">
        <v>201</v>
      </c>
      <c r="WGF16" s="310" t="s">
        <v>201</v>
      </c>
      <c r="WGG16" s="310" t="s">
        <v>201</v>
      </c>
      <c r="WGH16" s="310" t="s">
        <v>201</v>
      </c>
      <c r="WGI16" s="310" t="s">
        <v>201</v>
      </c>
      <c r="WGJ16" s="310" t="s">
        <v>201</v>
      </c>
      <c r="WGK16" s="310" t="s">
        <v>201</v>
      </c>
      <c r="WGL16" s="310" t="s">
        <v>201</v>
      </c>
      <c r="WGM16" s="310" t="s">
        <v>201</v>
      </c>
      <c r="WGN16" s="310" t="s">
        <v>201</v>
      </c>
      <c r="WGO16" s="310" t="s">
        <v>201</v>
      </c>
      <c r="WGP16" s="310" t="s">
        <v>201</v>
      </c>
      <c r="WGQ16" s="310" t="s">
        <v>201</v>
      </c>
      <c r="WGR16" s="310" t="s">
        <v>201</v>
      </c>
      <c r="WGS16" s="310" t="s">
        <v>201</v>
      </c>
      <c r="WGT16" s="310" t="s">
        <v>201</v>
      </c>
      <c r="WGU16" s="310" t="s">
        <v>201</v>
      </c>
      <c r="WGV16" s="310" t="s">
        <v>201</v>
      </c>
      <c r="WGW16" s="310" t="s">
        <v>201</v>
      </c>
      <c r="WGX16" s="310" t="s">
        <v>201</v>
      </c>
      <c r="WGY16" s="310" t="s">
        <v>201</v>
      </c>
      <c r="WGZ16" s="310" t="s">
        <v>201</v>
      </c>
      <c r="WHA16" s="310" t="s">
        <v>201</v>
      </c>
      <c r="WHB16" s="310" t="s">
        <v>201</v>
      </c>
      <c r="WHC16" s="310" t="s">
        <v>201</v>
      </c>
      <c r="WHD16" s="310" t="s">
        <v>201</v>
      </c>
      <c r="WHE16" s="310" t="s">
        <v>201</v>
      </c>
      <c r="WHF16" s="310" t="s">
        <v>201</v>
      </c>
      <c r="WHG16" s="310" t="s">
        <v>201</v>
      </c>
      <c r="WHH16" s="310" t="s">
        <v>201</v>
      </c>
      <c r="WHI16" s="310" t="s">
        <v>201</v>
      </c>
      <c r="WHJ16" s="310" t="s">
        <v>201</v>
      </c>
      <c r="WHK16" s="310" t="s">
        <v>201</v>
      </c>
      <c r="WHL16" s="310" t="s">
        <v>201</v>
      </c>
      <c r="WHM16" s="310" t="s">
        <v>201</v>
      </c>
      <c r="WHN16" s="310" t="s">
        <v>201</v>
      </c>
      <c r="WHO16" s="310" t="s">
        <v>201</v>
      </c>
      <c r="WHP16" s="310" t="s">
        <v>201</v>
      </c>
      <c r="WHQ16" s="310" t="s">
        <v>201</v>
      </c>
      <c r="WHR16" s="310" t="s">
        <v>201</v>
      </c>
      <c r="WHS16" s="310" t="s">
        <v>201</v>
      </c>
      <c r="WHT16" s="310" t="s">
        <v>201</v>
      </c>
      <c r="WHU16" s="310" t="s">
        <v>201</v>
      </c>
      <c r="WHV16" s="310" t="s">
        <v>201</v>
      </c>
      <c r="WHW16" s="310" t="s">
        <v>201</v>
      </c>
      <c r="WHX16" s="310" t="s">
        <v>201</v>
      </c>
      <c r="WHY16" s="310" t="s">
        <v>201</v>
      </c>
      <c r="WHZ16" s="310" t="s">
        <v>201</v>
      </c>
      <c r="WIA16" s="310" t="s">
        <v>201</v>
      </c>
      <c r="WIB16" s="310" t="s">
        <v>201</v>
      </c>
      <c r="WIC16" s="310" t="s">
        <v>201</v>
      </c>
      <c r="WID16" s="310" t="s">
        <v>201</v>
      </c>
      <c r="WIE16" s="310" t="s">
        <v>201</v>
      </c>
      <c r="WIF16" s="310" t="s">
        <v>201</v>
      </c>
      <c r="WIG16" s="310" t="s">
        <v>201</v>
      </c>
      <c r="WIH16" s="310" t="s">
        <v>201</v>
      </c>
      <c r="WII16" s="310" t="s">
        <v>201</v>
      </c>
      <c r="WIJ16" s="310" t="s">
        <v>201</v>
      </c>
      <c r="WIK16" s="310" t="s">
        <v>201</v>
      </c>
      <c r="WIL16" s="310" t="s">
        <v>201</v>
      </c>
      <c r="WIM16" s="310" t="s">
        <v>201</v>
      </c>
      <c r="WIN16" s="310" t="s">
        <v>201</v>
      </c>
      <c r="WIO16" s="310" t="s">
        <v>201</v>
      </c>
      <c r="WIP16" s="310" t="s">
        <v>201</v>
      </c>
      <c r="WIQ16" s="310" t="s">
        <v>201</v>
      </c>
      <c r="WIR16" s="310" t="s">
        <v>201</v>
      </c>
      <c r="WIS16" s="310" t="s">
        <v>201</v>
      </c>
      <c r="WIT16" s="310" t="s">
        <v>201</v>
      </c>
      <c r="WIU16" s="310" t="s">
        <v>201</v>
      </c>
      <c r="WIV16" s="310" t="s">
        <v>201</v>
      </c>
      <c r="WIW16" s="310" t="s">
        <v>201</v>
      </c>
      <c r="WIX16" s="310" t="s">
        <v>201</v>
      </c>
      <c r="WIY16" s="310" t="s">
        <v>201</v>
      </c>
      <c r="WIZ16" s="310" t="s">
        <v>201</v>
      </c>
      <c r="WJA16" s="310" t="s">
        <v>201</v>
      </c>
      <c r="WJB16" s="310" t="s">
        <v>201</v>
      </c>
      <c r="WJC16" s="310" t="s">
        <v>201</v>
      </c>
      <c r="WJD16" s="310" t="s">
        <v>201</v>
      </c>
      <c r="WJE16" s="310" t="s">
        <v>201</v>
      </c>
      <c r="WJF16" s="310" t="s">
        <v>201</v>
      </c>
      <c r="WJG16" s="310" t="s">
        <v>201</v>
      </c>
      <c r="WJH16" s="310" t="s">
        <v>201</v>
      </c>
      <c r="WJI16" s="310" t="s">
        <v>201</v>
      </c>
      <c r="WJJ16" s="310" t="s">
        <v>201</v>
      </c>
      <c r="WJK16" s="310" t="s">
        <v>201</v>
      </c>
      <c r="WJL16" s="310" t="s">
        <v>201</v>
      </c>
      <c r="WJM16" s="310" t="s">
        <v>201</v>
      </c>
      <c r="WJN16" s="310" t="s">
        <v>201</v>
      </c>
      <c r="WJO16" s="310" t="s">
        <v>201</v>
      </c>
      <c r="WJP16" s="310" t="s">
        <v>201</v>
      </c>
      <c r="WJQ16" s="310" t="s">
        <v>201</v>
      </c>
      <c r="WJR16" s="310" t="s">
        <v>201</v>
      </c>
      <c r="WJS16" s="310" t="s">
        <v>201</v>
      </c>
      <c r="WJT16" s="310" t="s">
        <v>201</v>
      </c>
      <c r="WJU16" s="310" t="s">
        <v>201</v>
      </c>
      <c r="WJV16" s="310" t="s">
        <v>201</v>
      </c>
      <c r="WJW16" s="310" t="s">
        <v>201</v>
      </c>
      <c r="WJX16" s="310" t="s">
        <v>201</v>
      </c>
      <c r="WJY16" s="310" t="s">
        <v>201</v>
      </c>
      <c r="WJZ16" s="310" t="s">
        <v>201</v>
      </c>
      <c r="WKA16" s="310" t="s">
        <v>201</v>
      </c>
      <c r="WKB16" s="310" t="s">
        <v>201</v>
      </c>
      <c r="WKC16" s="310" t="s">
        <v>201</v>
      </c>
      <c r="WKD16" s="310" t="s">
        <v>201</v>
      </c>
      <c r="WKE16" s="310" t="s">
        <v>201</v>
      </c>
      <c r="WKF16" s="310" t="s">
        <v>201</v>
      </c>
      <c r="WKG16" s="310" t="s">
        <v>201</v>
      </c>
      <c r="WKH16" s="310" t="s">
        <v>201</v>
      </c>
      <c r="WKI16" s="310" t="s">
        <v>201</v>
      </c>
      <c r="WKJ16" s="310" t="s">
        <v>201</v>
      </c>
      <c r="WKK16" s="310" t="s">
        <v>201</v>
      </c>
      <c r="WKL16" s="310" t="s">
        <v>201</v>
      </c>
      <c r="WKM16" s="310" t="s">
        <v>201</v>
      </c>
      <c r="WKN16" s="310" t="s">
        <v>201</v>
      </c>
      <c r="WKO16" s="310" t="s">
        <v>201</v>
      </c>
      <c r="WKP16" s="310" t="s">
        <v>201</v>
      </c>
      <c r="WKQ16" s="310" t="s">
        <v>201</v>
      </c>
      <c r="WKR16" s="310" t="s">
        <v>201</v>
      </c>
      <c r="WKS16" s="310" t="s">
        <v>201</v>
      </c>
      <c r="WKT16" s="310" t="s">
        <v>201</v>
      </c>
      <c r="WKU16" s="310" t="s">
        <v>201</v>
      </c>
      <c r="WKV16" s="310" t="s">
        <v>201</v>
      </c>
      <c r="WKW16" s="310" t="s">
        <v>201</v>
      </c>
      <c r="WKX16" s="310" t="s">
        <v>201</v>
      </c>
      <c r="WKY16" s="310" t="s">
        <v>201</v>
      </c>
      <c r="WKZ16" s="310" t="s">
        <v>201</v>
      </c>
      <c r="WLA16" s="310" t="s">
        <v>201</v>
      </c>
      <c r="WLB16" s="310" t="s">
        <v>201</v>
      </c>
      <c r="WLC16" s="310" t="s">
        <v>201</v>
      </c>
      <c r="WLD16" s="310" t="s">
        <v>201</v>
      </c>
      <c r="WLE16" s="310" t="s">
        <v>201</v>
      </c>
      <c r="WLF16" s="310" t="s">
        <v>201</v>
      </c>
      <c r="WLG16" s="310" t="s">
        <v>201</v>
      </c>
      <c r="WLH16" s="310" t="s">
        <v>201</v>
      </c>
      <c r="WLI16" s="310" t="s">
        <v>201</v>
      </c>
      <c r="WLJ16" s="310" t="s">
        <v>201</v>
      </c>
      <c r="WLK16" s="310" t="s">
        <v>201</v>
      </c>
      <c r="WLL16" s="310" t="s">
        <v>201</v>
      </c>
      <c r="WLM16" s="310" t="s">
        <v>201</v>
      </c>
      <c r="WLN16" s="310" t="s">
        <v>201</v>
      </c>
      <c r="WLO16" s="310" t="s">
        <v>201</v>
      </c>
      <c r="WLP16" s="310" t="s">
        <v>201</v>
      </c>
      <c r="WLQ16" s="310" t="s">
        <v>201</v>
      </c>
      <c r="WLR16" s="310" t="s">
        <v>201</v>
      </c>
      <c r="WLS16" s="310" t="s">
        <v>201</v>
      </c>
      <c r="WLT16" s="310" t="s">
        <v>201</v>
      </c>
      <c r="WLU16" s="310" t="s">
        <v>201</v>
      </c>
      <c r="WLV16" s="310" t="s">
        <v>201</v>
      </c>
      <c r="WLW16" s="310" t="s">
        <v>201</v>
      </c>
      <c r="WLX16" s="310" t="s">
        <v>201</v>
      </c>
      <c r="WLY16" s="310" t="s">
        <v>201</v>
      </c>
      <c r="WLZ16" s="310" t="s">
        <v>201</v>
      </c>
      <c r="WMA16" s="310" t="s">
        <v>201</v>
      </c>
      <c r="WMB16" s="310" t="s">
        <v>201</v>
      </c>
      <c r="WMC16" s="310" t="s">
        <v>201</v>
      </c>
      <c r="WMD16" s="310" t="s">
        <v>201</v>
      </c>
      <c r="WME16" s="310" t="s">
        <v>201</v>
      </c>
      <c r="WMF16" s="310" t="s">
        <v>201</v>
      </c>
      <c r="WMG16" s="310" t="s">
        <v>201</v>
      </c>
      <c r="WMH16" s="310" t="s">
        <v>201</v>
      </c>
      <c r="WMI16" s="310" t="s">
        <v>201</v>
      </c>
      <c r="WMJ16" s="310" t="s">
        <v>201</v>
      </c>
      <c r="WMK16" s="310" t="s">
        <v>201</v>
      </c>
      <c r="WML16" s="310" t="s">
        <v>201</v>
      </c>
      <c r="WMM16" s="310" t="s">
        <v>201</v>
      </c>
      <c r="WMN16" s="310" t="s">
        <v>201</v>
      </c>
      <c r="WMO16" s="310" t="s">
        <v>201</v>
      </c>
      <c r="WMP16" s="310" t="s">
        <v>201</v>
      </c>
      <c r="WMQ16" s="310" t="s">
        <v>201</v>
      </c>
      <c r="WMR16" s="310" t="s">
        <v>201</v>
      </c>
      <c r="WMS16" s="310" t="s">
        <v>201</v>
      </c>
      <c r="WMT16" s="310" t="s">
        <v>201</v>
      </c>
      <c r="WMU16" s="310" t="s">
        <v>201</v>
      </c>
      <c r="WMV16" s="310" t="s">
        <v>201</v>
      </c>
      <c r="WMW16" s="310" t="s">
        <v>201</v>
      </c>
      <c r="WMX16" s="310" t="s">
        <v>201</v>
      </c>
      <c r="WMY16" s="310" t="s">
        <v>201</v>
      </c>
      <c r="WMZ16" s="310" t="s">
        <v>201</v>
      </c>
      <c r="WNA16" s="310" t="s">
        <v>201</v>
      </c>
      <c r="WNB16" s="310" t="s">
        <v>201</v>
      </c>
      <c r="WNC16" s="310" t="s">
        <v>201</v>
      </c>
      <c r="WND16" s="310" t="s">
        <v>201</v>
      </c>
      <c r="WNE16" s="310" t="s">
        <v>201</v>
      </c>
      <c r="WNF16" s="310" t="s">
        <v>201</v>
      </c>
      <c r="WNG16" s="310" t="s">
        <v>201</v>
      </c>
      <c r="WNH16" s="310" t="s">
        <v>201</v>
      </c>
      <c r="WNI16" s="310" t="s">
        <v>201</v>
      </c>
      <c r="WNJ16" s="310" t="s">
        <v>201</v>
      </c>
      <c r="WNK16" s="310" t="s">
        <v>201</v>
      </c>
      <c r="WNL16" s="310" t="s">
        <v>201</v>
      </c>
      <c r="WNM16" s="310" t="s">
        <v>201</v>
      </c>
      <c r="WNN16" s="310" t="s">
        <v>201</v>
      </c>
      <c r="WNO16" s="310" t="s">
        <v>201</v>
      </c>
      <c r="WNP16" s="310" t="s">
        <v>201</v>
      </c>
      <c r="WNQ16" s="310" t="s">
        <v>201</v>
      </c>
      <c r="WNR16" s="310" t="s">
        <v>201</v>
      </c>
      <c r="WNS16" s="310" t="s">
        <v>201</v>
      </c>
      <c r="WNT16" s="310" t="s">
        <v>201</v>
      </c>
      <c r="WNU16" s="310" t="s">
        <v>201</v>
      </c>
      <c r="WNV16" s="310" t="s">
        <v>201</v>
      </c>
      <c r="WNW16" s="310" t="s">
        <v>201</v>
      </c>
      <c r="WNX16" s="310" t="s">
        <v>201</v>
      </c>
      <c r="WNY16" s="310" t="s">
        <v>201</v>
      </c>
      <c r="WNZ16" s="310" t="s">
        <v>201</v>
      </c>
      <c r="WOA16" s="310" t="s">
        <v>201</v>
      </c>
      <c r="WOB16" s="310" t="s">
        <v>201</v>
      </c>
      <c r="WOC16" s="310" t="s">
        <v>201</v>
      </c>
      <c r="WOD16" s="310" t="s">
        <v>201</v>
      </c>
      <c r="WOE16" s="310" t="s">
        <v>201</v>
      </c>
      <c r="WOF16" s="310" t="s">
        <v>201</v>
      </c>
      <c r="WOG16" s="310" t="s">
        <v>201</v>
      </c>
      <c r="WOH16" s="310" t="s">
        <v>201</v>
      </c>
      <c r="WOI16" s="310" t="s">
        <v>201</v>
      </c>
      <c r="WOJ16" s="310" t="s">
        <v>201</v>
      </c>
      <c r="WOK16" s="310" t="s">
        <v>201</v>
      </c>
      <c r="WOL16" s="310" t="s">
        <v>201</v>
      </c>
      <c r="WOM16" s="310" t="s">
        <v>201</v>
      </c>
      <c r="WON16" s="310" t="s">
        <v>201</v>
      </c>
      <c r="WOO16" s="310" t="s">
        <v>201</v>
      </c>
      <c r="WOP16" s="310" t="s">
        <v>201</v>
      </c>
      <c r="WOQ16" s="310" t="s">
        <v>201</v>
      </c>
      <c r="WOR16" s="310" t="s">
        <v>201</v>
      </c>
      <c r="WOS16" s="310" t="s">
        <v>201</v>
      </c>
      <c r="WOT16" s="310" t="s">
        <v>201</v>
      </c>
      <c r="WOU16" s="310" t="s">
        <v>201</v>
      </c>
      <c r="WOV16" s="310" t="s">
        <v>201</v>
      </c>
      <c r="WOW16" s="310" t="s">
        <v>201</v>
      </c>
      <c r="WOX16" s="310" t="s">
        <v>201</v>
      </c>
      <c r="WOY16" s="310" t="s">
        <v>201</v>
      </c>
      <c r="WOZ16" s="310" t="s">
        <v>201</v>
      </c>
      <c r="WPA16" s="310" t="s">
        <v>201</v>
      </c>
      <c r="WPB16" s="310" t="s">
        <v>201</v>
      </c>
      <c r="WPC16" s="310" t="s">
        <v>201</v>
      </c>
      <c r="WPD16" s="310" t="s">
        <v>201</v>
      </c>
      <c r="WPE16" s="310" t="s">
        <v>201</v>
      </c>
      <c r="WPF16" s="310" t="s">
        <v>201</v>
      </c>
      <c r="WPG16" s="310" t="s">
        <v>201</v>
      </c>
      <c r="WPH16" s="310" t="s">
        <v>201</v>
      </c>
      <c r="WPI16" s="310" t="s">
        <v>201</v>
      </c>
      <c r="WPJ16" s="310" t="s">
        <v>201</v>
      </c>
      <c r="WPK16" s="310" t="s">
        <v>201</v>
      </c>
      <c r="WPL16" s="310" t="s">
        <v>201</v>
      </c>
      <c r="WPM16" s="310" t="s">
        <v>201</v>
      </c>
      <c r="WPN16" s="310" t="s">
        <v>201</v>
      </c>
      <c r="WPO16" s="310" t="s">
        <v>201</v>
      </c>
      <c r="WPP16" s="310" t="s">
        <v>201</v>
      </c>
      <c r="WPQ16" s="310" t="s">
        <v>201</v>
      </c>
      <c r="WPR16" s="310" t="s">
        <v>201</v>
      </c>
      <c r="WPS16" s="310" t="s">
        <v>201</v>
      </c>
      <c r="WPT16" s="310" t="s">
        <v>201</v>
      </c>
      <c r="WPU16" s="310" t="s">
        <v>201</v>
      </c>
      <c r="WPV16" s="310" t="s">
        <v>201</v>
      </c>
      <c r="WPW16" s="310" t="s">
        <v>201</v>
      </c>
      <c r="WPX16" s="310" t="s">
        <v>201</v>
      </c>
      <c r="WPY16" s="310" t="s">
        <v>201</v>
      </c>
      <c r="WPZ16" s="310" t="s">
        <v>201</v>
      </c>
      <c r="WQA16" s="310" t="s">
        <v>201</v>
      </c>
      <c r="WQB16" s="310" t="s">
        <v>201</v>
      </c>
      <c r="WQC16" s="310" t="s">
        <v>201</v>
      </c>
      <c r="WQD16" s="310" t="s">
        <v>201</v>
      </c>
      <c r="WQE16" s="310" t="s">
        <v>201</v>
      </c>
      <c r="WQF16" s="310" t="s">
        <v>201</v>
      </c>
      <c r="WQG16" s="310" t="s">
        <v>201</v>
      </c>
      <c r="WQH16" s="310" t="s">
        <v>201</v>
      </c>
      <c r="WQI16" s="310" t="s">
        <v>201</v>
      </c>
      <c r="WQJ16" s="310" t="s">
        <v>201</v>
      </c>
      <c r="WQK16" s="310" t="s">
        <v>201</v>
      </c>
      <c r="WQL16" s="310" t="s">
        <v>201</v>
      </c>
      <c r="WQM16" s="310" t="s">
        <v>201</v>
      </c>
      <c r="WQN16" s="310" t="s">
        <v>201</v>
      </c>
      <c r="WQO16" s="310" t="s">
        <v>201</v>
      </c>
      <c r="WQP16" s="310" t="s">
        <v>201</v>
      </c>
      <c r="WQQ16" s="310" t="s">
        <v>201</v>
      </c>
      <c r="WQR16" s="310" t="s">
        <v>201</v>
      </c>
      <c r="WQS16" s="310" t="s">
        <v>201</v>
      </c>
      <c r="WQT16" s="310" t="s">
        <v>201</v>
      </c>
      <c r="WQU16" s="310" t="s">
        <v>201</v>
      </c>
      <c r="WQV16" s="310" t="s">
        <v>201</v>
      </c>
      <c r="WQW16" s="310" t="s">
        <v>201</v>
      </c>
      <c r="WQX16" s="310" t="s">
        <v>201</v>
      </c>
      <c r="WQY16" s="310" t="s">
        <v>201</v>
      </c>
      <c r="WQZ16" s="310" t="s">
        <v>201</v>
      </c>
      <c r="WRA16" s="310" t="s">
        <v>201</v>
      </c>
      <c r="WRB16" s="310" t="s">
        <v>201</v>
      </c>
      <c r="WRC16" s="310" t="s">
        <v>201</v>
      </c>
      <c r="WRD16" s="310" t="s">
        <v>201</v>
      </c>
      <c r="WRE16" s="310" t="s">
        <v>201</v>
      </c>
      <c r="WRF16" s="310" t="s">
        <v>201</v>
      </c>
      <c r="WRG16" s="310" t="s">
        <v>201</v>
      </c>
      <c r="WRH16" s="310" t="s">
        <v>201</v>
      </c>
      <c r="WRI16" s="310" t="s">
        <v>201</v>
      </c>
      <c r="WRJ16" s="310" t="s">
        <v>201</v>
      </c>
      <c r="WRK16" s="310" t="s">
        <v>201</v>
      </c>
      <c r="WRL16" s="310" t="s">
        <v>201</v>
      </c>
      <c r="WRM16" s="310" t="s">
        <v>201</v>
      </c>
      <c r="WRN16" s="310" t="s">
        <v>201</v>
      </c>
      <c r="WRO16" s="310" t="s">
        <v>201</v>
      </c>
      <c r="WRP16" s="310" t="s">
        <v>201</v>
      </c>
      <c r="WRQ16" s="310" t="s">
        <v>201</v>
      </c>
      <c r="WRR16" s="310" t="s">
        <v>201</v>
      </c>
      <c r="WRS16" s="310" t="s">
        <v>201</v>
      </c>
      <c r="WRT16" s="310" t="s">
        <v>201</v>
      </c>
      <c r="WRU16" s="310" t="s">
        <v>201</v>
      </c>
      <c r="WRV16" s="310" t="s">
        <v>201</v>
      </c>
      <c r="WRW16" s="310" t="s">
        <v>201</v>
      </c>
      <c r="WRX16" s="310" t="s">
        <v>201</v>
      </c>
      <c r="WRY16" s="310" t="s">
        <v>201</v>
      </c>
      <c r="WRZ16" s="310" t="s">
        <v>201</v>
      </c>
      <c r="WSA16" s="310" t="s">
        <v>201</v>
      </c>
      <c r="WSB16" s="310" t="s">
        <v>201</v>
      </c>
      <c r="WSC16" s="310" t="s">
        <v>201</v>
      </c>
      <c r="WSD16" s="310" t="s">
        <v>201</v>
      </c>
      <c r="WSE16" s="310" t="s">
        <v>201</v>
      </c>
      <c r="WSF16" s="310" t="s">
        <v>201</v>
      </c>
      <c r="WSG16" s="310" t="s">
        <v>201</v>
      </c>
      <c r="WSH16" s="310" t="s">
        <v>201</v>
      </c>
      <c r="WSI16" s="310" t="s">
        <v>201</v>
      </c>
      <c r="WSJ16" s="310" t="s">
        <v>201</v>
      </c>
      <c r="WSK16" s="310" t="s">
        <v>201</v>
      </c>
      <c r="WSL16" s="310" t="s">
        <v>201</v>
      </c>
      <c r="WSM16" s="310" t="s">
        <v>201</v>
      </c>
      <c r="WSN16" s="310" t="s">
        <v>201</v>
      </c>
      <c r="WSO16" s="310" t="s">
        <v>201</v>
      </c>
      <c r="WSP16" s="310" t="s">
        <v>201</v>
      </c>
      <c r="WSQ16" s="310" t="s">
        <v>201</v>
      </c>
      <c r="WSR16" s="310" t="s">
        <v>201</v>
      </c>
      <c r="WSS16" s="310" t="s">
        <v>201</v>
      </c>
      <c r="WST16" s="310" t="s">
        <v>201</v>
      </c>
      <c r="WSU16" s="310" t="s">
        <v>201</v>
      </c>
      <c r="WSV16" s="310" t="s">
        <v>201</v>
      </c>
      <c r="WSW16" s="310" t="s">
        <v>201</v>
      </c>
      <c r="WSX16" s="310" t="s">
        <v>201</v>
      </c>
      <c r="WSY16" s="310" t="s">
        <v>201</v>
      </c>
      <c r="WSZ16" s="310" t="s">
        <v>201</v>
      </c>
      <c r="WTA16" s="310" t="s">
        <v>201</v>
      </c>
      <c r="WTB16" s="310" t="s">
        <v>201</v>
      </c>
      <c r="WTC16" s="310" t="s">
        <v>201</v>
      </c>
      <c r="WTD16" s="310" t="s">
        <v>201</v>
      </c>
      <c r="WTE16" s="310" t="s">
        <v>201</v>
      </c>
      <c r="WTF16" s="310" t="s">
        <v>201</v>
      </c>
      <c r="WTG16" s="310" t="s">
        <v>201</v>
      </c>
      <c r="WTH16" s="310" t="s">
        <v>201</v>
      </c>
      <c r="WTI16" s="310" t="s">
        <v>201</v>
      </c>
      <c r="WTJ16" s="310" t="s">
        <v>201</v>
      </c>
      <c r="WTK16" s="310" t="s">
        <v>201</v>
      </c>
      <c r="WTL16" s="310" t="s">
        <v>201</v>
      </c>
      <c r="WTM16" s="310" t="s">
        <v>201</v>
      </c>
      <c r="WTN16" s="310" t="s">
        <v>201</v>
      </c>
      <c r="WTO16" s="310" t="s">
        <v>201</v>
      </c>
      <c r="WTP16" s="310" t="s">
        <v>201</v>
      </c>
      <c r="WTQ16" s="310" t="s">
        <v>201</v>
      </c>
      <c r="WTR16" s="310" t="s">
        <v>201</v>
      </c>
      <c r="WTS16" s="310" t="s">
        <v>201</v>
      </c>
      <c r="WTT16" s="310" t="s">
        <v>201</v>
      </c>
      <c r="WTU16" s="310" t="s">
        <v>201</v>
      </c>
      <c r="WTV16" s="310" t="s">
        <v>201</v>
      </c>
      <c r="WTW16" s="310" t="s">
        <v>201</v>
      </c>
      <c r="WTX16" s="310" t="s">
        <v>201</v>
      </c>
      <c r="WTY16" s="310" t="s">
        <v>201</v>
      </c>
      <c r="WTZ16" s="310" t="s">
        <v>201</v>
      </c>
      <c r="WUA16" s="310" t="s">
        <v>201</v>
      </c>
      <c r="WUB16" s="310" t="s">
        <v>201</v>
      </c>
      <c r="WUC16" s="310" t="s">
        <v>201</v>
      </c>
      <c r="WUD16" s="310" t="s">
        <v>201</v>
      </c>
      <c r="WUE16" s="310" t="s">
        <v>201</v>
      </c>
      <c r="WUF16" s="310" t="s">
        <v>201</v>
      </c>
      <c r="WUG16" s="310" t="s">
        <v>201</v>
      </c>
      <c r="WUH16" s="310" t="s">
        <v>201</v>
      </c>
      <c r="WUI16" s="310" t="s">
        <v>201</v>
      </c>
      <c r="WUJ16" s="310" t="s">
        <v>201</v>
      </c>
      <c r="WUK16" s="310" t="s">
        <v>201</v>
      </c>
      <c r="WUL16" s="310" t="s">
        <v>201</v>
      </c>
      <c r="WUM16" s="310" t="s">
        <v>201</v>
      </c>
      <c r="WUN16" s="310" t="s">
        <v>201</v>
      </c>
      <c r="WUO16" s="310" t="s">
        <v>201</v>
      </c>
      <c r="WUP16" s="310" t="s">
        <v>201</v>
      </c>
      <c r="WUQ16" s="310" t="s">
        <v>201</v>
      </c>
      <c r="WUR16" s="310" t="s">
        <v>201</v>
      </c>
      <c r="WUS16" s="310" t="s">
        <v>201</v>
      </c>
      <c r="WUT16" s="310" t="s">
        <v>201</v>
      </c>
      <c r="WUU16" s="310" t="s">
        <v>201</v>
      </c>
      <c r="WUV16" s="310" t="s">
        <v>201</v>
      </c>
      <c r="WUW16" s="310" t="s">
        <v>201</v>
      </c>
      <c r="WUX16" s="310" t="s">
        <v>201</v>
      </c>
      <c r="WUY16" s="310" t="s">
        <v>201</v>
      </c>
      <c r="WUZ16" s="310" t="s">
        <v>201</v>
      </c>
      <c r="WVA16" s="310" t="s">
        <v>201</v>
      </c>
      <c r="WVB16" s="310" t="s">
        <v>201</v>
      </c>
      <c r="WVC16" s="310" t="s">
        <v>201</v>
      </c>
      <c r="WVD16" s="310" t="s">
        <v>201</v>
      </c>
      <c r="WVE16" s="310" t="s">
        <v>201</v>
      </c>
      <c r="WVF16" s="310" t="s">
        <v>201</v>
      </c>
      <c r="WVG16" s="310" t="s">
        <v>201</v>
      </c>
      <c r="WVH16" s="310" t="s">
        <v>201</v>
      </c>
      <c r="WVI16" s="310" t="s">
        <v>201</v>
      </c>
      <c r="WVJ16" s="310" t="s">
        <v>201</v>
      </c>
      <c r="WVK16" s="310" t="s">
        <v>201</v>
      </c>
      <c r="WVL16" s="310" t="s">
        <v>201</v>
      </c>
      <c r="WVM16" s="310" t="s">
        <v>201</v>
      </c>
      <c r="WVN16" s="310" t="s">
        <v>201</v>
      </c>
      <c r="WVO16" s="310" t="s">
        <v>201</v>
      </c>
      <c r="WVP16" s="310" t="s">
        <v>201</v>
      </c>
      <c r="WVQ16" s="310" t="s">
        <v>201</v>
      </c>
      <c r="WVR16" s="310" t="s">
        <v>201</v>
      </c>
      <c r="WVS16" s="310" t="s">
        <v>201</v>
      </c>
      <c r="WVT16" s="310" t="s">
        <v>201</v>
      </c>
      <c r="WVU16" s="310" t="s">
        <v>201</v>
      </c>
      <c r="WVV16" s="310" t="s">
        <v>201</v>
      </c>
      <c r="WVW16" s="310" t="s">
        <v>201</v>
      </c>
      <c r="WVX16" s="310" t="s">
        <v>201</v>
      </c>
      <c r="WVY16" s="310" t="s">
        <v>201</v>
      </c>
      <c r="WVZ16" s="310" t="s">
        <v>201</v>
      </c>
      <c r="WWA16" s="310" t="s">
        <v>201</v>
      </c>
      <c r="WWB16" s="310" t="s">
        <v>201</v>
      </c>
      <c r="WWC16" s="310" t="s">
        <v>201</v>
      </c>
      <c r="WWD16" s="310" t="s">
        <v>201</v>
      </c>
      <c r="WWE16" s="310" t="s">
        <v>201</v>
      </c>
      <c r="WWF16" s="310" t="s">
        <v>201</v>
      </c>
      <c r="WWG16" s="310" t="s">
        <v>201</v>
      </c>
      <c r="WWH16" s="310" t="s">
        <v>201</v>
      </c>
      <c r="WWI16" s="310" t="s">
        <v>201</v>
      </c>
      <c r="WWJ16" s="310" t="s">
        <v>201</v>
      </c>
      <c r="WWK16" s="310" t="s">
        <v>201</v>
      </c>
      <c r="WWL16" s="310" t="s">
        <v>201</v>
      </c>
      <c r="WWM16" s="310" t="s">
        <v>201</v>
      </c>
      <c r="WWN16" s="310" t="s">
        <v>201</v>
      </c>
      <c r="WWO16" s="310" t="s">
        <v>201</v>
      </c>
      <c r="WWP16" s="310" t="s">
        <v>201</v>
      </c>
      <c r="WWQ16" s="310" t="s">
        <v>201</v>
      </c>
      <c r="WWR16" s="310" t="s">
        <v>201</v>
      </c>
      <c r="WWS16" s="310" t="s">
        <v>201</v>
      </c>
      <c r="WWT16" s="310" t="s">
        <v>201</v>
      </c>
      <c r="WWU16" s="310" t="s">
        <v>201</v>
      </c>
      <c r="WWV16" s="310" t="s">
        <v>201</v>
      </c>
      <c r="WWW16" s="310" t="s">
        <v>201</v>
      </c>
      <c r="WWX16" s="310" t="s">
        <v>201</v>
      </c>
      <c r="WWY16" s="310" t="s">
        <v>201</v>
      </c>
      <c r="WWZ16" s="310" t="s">
        <v>201</v>
      </c>
      <c r="WXA16" s="310" t="s">
        <v>201</v>
      </c>
      <c r="WXB16" s="310" t="s">
        <v>201</v>
      </c>
      <c r="WXC16" s="310" t="s">
        <v>201</v>
      </c>
      <c r="WXD16" s="310" t="s">
        <v>201</v>
      </c>
      <c r="WXE16" s="310" t="s">
        <v>201</v>
      </c>
      <c r="WXF16" s="310" t="s">
        <v>201</v>
      </c>
      <c r="WXG16" s="310" t="s">
        <v>201</v>
      </c>
      <c r="WXH16" s="310" t="s">
        <v>201</v>
      </c>
      <c r="WXI16" s="310" t="s">
        <v>201</v>
      </c>
      <c r="WXJ16" s="310" t="s">
        <v>201</v>
      </c>
      <c r="WXK16" s="310" t="s">
        <v>201</v>
      </c>
      <c r="WXL16" s="310" t="s">
        <v>201</v>
      </c>
      <c r="WXM16" s="310" t="s">
        <v>201</v>
      </c>
      <c r="WXN16" s="310" t="s">
        <v>201</v>
      </c>
      <c r="WXO16" s="310" t="s">
        <v>201</v>
      </c>
      <c r="WXP16" s="310" t="s">
        <v>201</v>
      </c>
      <c r="WXQ16" s="310" t="s">
        <v>201</v>
      </c>
      <c r="WXR16" s="310" t="s">
        <v>201</v>
      </c>
      <c r="WXS16" s="310" t="s">
        <v>201</v>
      </c>
      <c r="WXT16" s="310" t="s">
        <v>201</v>
      </c>
      <c r="WXU16" s="310" t="s">
        <v>201</v>
      </c>
      <c r="WXV16" s="310" t="s">
        <v>201</v>
      </c>
      <c r="WXW16" s="310" t="s">
        <v>201</v>
      </c>
      <c r="WXX16" s="310" t="s">
        <v>201</v>
      </c>
      <c r="WXY16" s="310" t="s">
        <v>201</v>
      </c>
      <c r="WXZ16" s="310" t="s">
        <v>201</v>
      </c>
      <c r="WYA16" s="310" t="s">
        <v>201</v>
      </c>
      <c r="WYB16" s="310" t="s">
        <v>201</v>
      </c>
      <c r="WYC16" s="310" t="s">
        <v>201</v>
      </c>
      <c r="WYD16" s="310" t="s">
        <v>201</v>
      </c>
      <c r="WYE16" s="310" t="s">
        <v>201</v>
      </c>
      <c r="WYF16" s="310" t="s">
        <v>201</v>
      </c>
      <c r="WYG16" s="310" t="s">
        <v>201</v>
      </c>
      <c r="WYH16" s="310" t="s">
        <v>201</v>
      </c>
      <c r="WYI16" s="310" t="s">
        <v>201</v>
      </c>
      <c r="WYJ16" s="310" t="s">
        <v>201</v>
      </c>
      <c r="WYK16" s="310" t="s">
        <v>201</v>
      </c>
      <c r="WYL16" s="310" t="s">
        <v>201</v>
      </c>
      <c r="WYM16" s="310" t="s">
        <v>201</v>
      </c>
      <c r="WYN16" s="310" t="s">
        <v>201</v>
      </c>
      <c r="WYO16" s="310" t="s">
        <v>201</v>
      </c>
      <c r="WYP16" s="310" t="s">
        <v>201</v>
      </c>
      <c r="WYQ16" s="310" t="s">
        <v>201</v>
      </c>
      <c r="WYR16" s="310" t="s">
        <v>201</v>
      </c>
      <c r="WYS16" s="310" t="s">
        <v>201</v>
      </c>
      <c r="WYT16" s="310" t="s">
        <v>201</v>
      </c>
      <c r="WYU16" s="310" t="s">
        <v>201</v>
      </c>
      <c r="WYV16" s="310" t="s">
        <v>201</v>
      </c>
      <c r="WYW16" s="310" t="s">
        <v>201</v>
      </c>
      <c r="WYX16" s="310" t="s">
        <v>201</v>
      </c>
      <c r="WYY16" s="310" t="s">
        <v>201</v>
      </c>
      <c r="WYZ16" s="310" t="s">
        <v>201</v>
      </c>
      <c r="WZA16" s="310" t="s">
        <v>201</v>
      </c>
      <c r="WZB16" s="310" t="s">
        <v>201</v>
      </c>
      <c r="WZC16" s="310" t="s">
        <v>201</v>
      </c>
      <c r="WZD16" s="310" t="s">
        <v>201</v>
      </c>
      <c r="WZE16" s="310" t="s">
        <v>201</v>
      </c>
      <c r="WZF16" s="310" t="s">
        <v>201</v>
      </c>
      <c r="WZG16" s="310" t="s">
        <v>201</v>
      </c>
      <c r="WZH16" s="310" t="s">
        <v>201</v>
      </c>
      <c r="WZI16" s="310" t="s">
        <v>201</v>
      </c>
      <c r="WZJ16" s="310" t="s">
        <v>201</v>
      </c>
      <c r="WZK16" s="310" t="s">
        <v>201</v>
      </c>
      <c r="WZL16" s="310" t="s">
        <v>201</v>
      </c>
      <c r="WZM16" s="310" t="s">
        <v>201</v>
      </c>
      <c r="WZN16" s="310" t="s">
        <v>201</v>
      </c>
      <c r="WZO16" s="310" t="s">
        <v>201</v>
      </c>
      <c r="WZP16" s="310" t="s">
        <v>201</v>
      </c>
      <c r="WZQ16" s="310" t="s">
        <v>201</v>
      </c>
      <c r="WZR16" s="310" t="s">
        <v>201</v>
      </c>
      <c r="WZS16" s="310" t="s">
        <v>201</v>
      </c>
      <c r="WZT16" s="310" t="s">
        <v>201</v>
      </c>
      <c r="WZU16" s="310" t="s">
        <v>201</v>
      </c>
      <c r="WZV16" s="310" t="s">
        <v>201</v>
      </c>
      <c r="WZW16" s="310" t="s">
        <v>201</v>
      </c>
      <c r="WZX16" s="310" t="s">
        <v>201</v>
      </c>
      <c r="WZY16" s="310" t="s">
        <v>201</v>
      </c>
      <c r="WZZ16" s="310" t="s">
        <v>201</v>
      </c>
      <c r="XAA16" s="310" t="s">
        <v>201</v>
      </c>
      <c r="XAB16" s="310" t="s">
        <v>201</v>
      </c>
      <c r="XAC16" s="310" t="s">
        <v>201</v>
      </c>
      <c r="XAD16" s="310" t="s">
        <v>201</v>
      </c>
      <c r="XAE16" s="310" t="s">
        <v>201</v>
      </c>
      <c r="XAF16" s="310" t="s">
        <v>201</v>
      </c>
      <c r="XAG16" s="310" t="s">
        <v>201</v>
      </c>
      <c r="XAH16" s="310" t="s">
        <v>201</v>
      </c>
      <c r="XAI16" s="310" t="s">
        <v>201</v>
      </c>
      <c r="XAJ16" s="310" t="s">
        <v>201</v>
      </c>
      <c r="XAK16" s="310" t="s">
        <v>201</v>
      </c>
      <c r="XAL16" s="310" t="s">
        <v>201</v>
      </c>
      <c r="XAM16" s="310" t="s">
        <v>201</v>
      </c>
      <c r="XAN16" s="310" t="s">
        <v>201</v>
      </c>
      <c r="XAO16" s="310" t="s">
        <v>201</v>
      </c>
      <c r="XAP16" s="310" t="s">
        <v>201</v>
      </c>
      <c r="XAQ16" s="310" t="s">
        <v>201</v>
      </c>
      <c r="XAR16" s="310" t="s">
        <v>201</v>
      </c>
      <c r="XAS16" s="310" t="s">
        <v>201</v>
      </c>
      <c r="XAT16" s="310" t="s">
        <v>201</v>
      </c>
      <c r="XAU16" s="310" t="s">
        <v>201</v>
      </c>
      <c r="XAV16" s="310" t="s">
        <v>201</v>
      </c>
      <c r="XAW16" s="310" t="s">
        <v>201</v>
      </c>
      <c r="XAX16" s="310" t="s">
        <v>201</v>
      </c>
      <c r="XAY16" s="310" t="s">
        <v>201</v>
      </c>
      <c r="XAZ16" s="310" t="s">
        <v>201</v>
      </c>
      <c r="XBA16" s="310" t="s">
        <v>201</v>
      </c>
      <c r="XBB16" s="310" t="s">
        <v>201</v>
      </c>
      <c r="XBC16" s="310" t="s">
        <v>201</v>
      </c>
      <c r="XBD16" s="310" t="s">
        <v>201</v>
      </c>
      <c r="XBE16" s="310" t="s">
        <v>201</v>
      </c>
      <c r="XBF16" s="310" t="s">
        <v>201</v>
      </c>
      <c r="XBG16" s="310" t="s">
        <v>201</v>
      </c>
      <c r="XBH16" s="310" t="s">
        <v>201</v>
      </c>
      <c r="XBI16" s="310" t="s">
        <v>201</v>
      </c>
      <c r="XBJ16" s="310" t="s">
        <v>201</v>
      </c>
      <c r="XBK16" s="310" t="s">
        <v>201</v>
      </c>
      <c r="XBL16" s="310" t="s">
        <v>201</v>
      </c>
      <c r="XBM16" s="310" t="s">
        <v>201</v>
      </c>
      <c r="XBN16" s="310" t="s">
        <v>201</v>
      </c>
      <c r="XBO16" s="310" t="s">
        <v>201</v>
      </c>
      <c r="XBP16" s="310" t="s">
        <v>201</v>
      </c>
      <c r="XBQ16" s="310" t="s">
        <v>201</v>
      </c>
      <c r="XBR16" s="310" t="s">
        <v>201</v>
      </c>
      <c r="XBS16" s="310" t="s">
        <v>201</v>
      </c>
      <c r="XBT16" s="310" t="s">
        <v>201</v>
      </c>
      <c r="XBU16" s="310" t="s">
        <v>201</v>
      </c>
      <c r="XBV16" s="310" t="s">
        <v>201</v>
      </c>
      <c r="XBW16" s="310" t="s">
        <v>201</v>
      </c>
      <c r="XBX16" s="310" t="s">
        <v>201</v>
      </c>
      <c r="XBY16" s="310" t="s">
        <v>201</v>
      </c>
      <c r="XBZ16" s="310" t="s">
        <v>201</v>
      </c>
      <c r="XCA16" s="310" t="s">
        <v>201</v>
      </c>
      <c r="XCB16" s="310" t="s">
        <v>201</v>
      </c>
      <c r="XCC16" s="310" t="s">
        <v>201</v>
      </c>
      <c r="XCD16" s="310" t="s">
        <v>201</v>
      </c>
      <c r="XCE16" s="310" t="s">
        <v>201</v>
      </c>
      <c r="XCF16" s="310" t="s">
        <v>201</v>
      </c>
      <c r="XCG16" s="310" t="s">
        <v>201</v>
      </c>
      <c r="XCH16" s="310" t="s">
        <v>201</v>
      </c>
      <c r="XCI16" s="310" t="s">
        <v>201</v>
      </c>
      <c r="XCJ16" s="310" t="s">
        <v>201</v>
      </c>
      <c r="XCK16" s="310" t="s">
        <v>201</v>
      </c>
      <c r="XCL16" s="310" t="s">
        <v>201</v>
      </c>
      <c r="XCM16" s="310" t="s">
        <v>201</v>
      </c>
      <c r="XCN16" s="310" t="s">
        <v>201</v>
      </c>
      <c r="XCO16" s="310" t="s">
        <v>201</v>
      </c>
      <c r="XCP16" s="310" t="s">
        <v>201</v>
      </c>
      <c r="XCQ16" s="310" t="s">
        <v>201</v>
      </c>
      <c r="XCR16" s="310" t="s">
        <v>201</v>
      </c>
      <c r="XCS16" s="310" t="s">
        <v>201</v>
      </c>
      <c r="XCT16" s="310" t="s">
        <v>201</v>
      </c>
      <c r="XCU16" s="310" t="s">
        <v>201</v>
      </c>
      <c r="XCV16" s="310" t="s">
        <v>201</v>
      </c>
      <c r="XCW16" s="310" t="s">
        <v>201</v>
      </c>
      <c r="XCX16" s="310" t="s">
        <v>201</v>
      </c>
      <c r="XCY16" s="310" t="s">
        <v>201</v>
      </c>
      <c r="XCZ16" s="310" t="s">
        <v>201</v>
      </c>
      <c r="XDA16" s="310" t="s">
        <v>201</v>
      </c>
      <c r="XDB16" s="310" t="s">
        <v>201</v>
      </c>
      <c r="XDC16" s="310" t="s">
        <v>201</v>
      </c>
      <c r="XDD16" s="310" t="s">
        <v>201</v>
      </c>
      <c r="XDE16" s="310" t="s">
        <v>201</v>
      </c>
      <c r="XDF16" s="310" t="s">
        <v>201</v>
      </c>
      <c r="XDG16" s="310" t="s">
        <v>201</v>
      </c>
      <c r="XDH16" s="310" t="s">
        <v>201</v>
      </c>
      <c r="XDI16" s="310" t="s">
        <v>201</v>
      </c>
      <c r="XDJ16" s="310" t="s">
        <v>201</v>
      </c>
      <c r="XDK16" s="310" t="s">
        <v>201</v>
      </c>
      <c r="XDL16" s="310" t="s">
        <v>201</v>
      </c>
      <c r="XDM16" s="310" t="s">
        <v>201</v>
      </c>
      <c r="XDN16" s="310" t="s">
        <v>201</v>
      </c>
      <c r="XDO16" s="310" t="s">
        <v>201</v>
      </c>
      <c r="XDP16" s="310" t="s">
        <v>201</v>
      </c>
      <c r="XDQ16" s="310" t="s">
        <v>201</v>
      </c>
      <c r="XDR16" s="310" t="s">
        <v>201</v>
      </c>
      <c r="XDS16" s="310" t="s">
        <v>201</v>
      </c>
      <c r="XDT16" s="310" t="s">
        <v>201</v>
      </c>
      <c r="XDU16" s="310" t="s">
        <v>201</v>
      </c>
      <c r="XDV16" s="310" t="s">
        <v>201</v>
      </c>
      <c r="XDW16" s="310" t="s">
        <v>201</v>
      </c>
      <c r="XDX16" s="310" t="s">
        <v>201</v>
      </c>
      <c r="XDY16" s="310" t="s">
        <v>201</v>
      </c>
      <c r="XDZ16" s="310" t="s">
        <v>201</v>
      </c>
      <c r="XEA16" s="310" t="s">
        <v>201</v>
      </c>
      <c r="XEB16" s="310" t="s">
        <v>201</v>
      </c>
      <c r="XEC16" s="310" t="s">
        <v>201</v>
      </c>
      <c r="XED16" s="310" t="s">
        <v>201</v>
      </c>
      <c r="XEE16" s="310" t="s">
        <v>201</v>
      </c>
      <c r="XEF16" s="310" t="s">
        <v>201</v>
      </c>
      <c r="XEG16" s="310" t="s">
        <v>201</v>
      </c>
      <c r="XEH16" s="310" t="s">
        <v>201</v>
      </c>
      <c r="XEI16" s="310" t="s">
        <v>201</v>
      </c>
      <c r="XEJ16" s="310" t="s">
        <v>201</v>
      </c>
      <c r="XEK16" s="310" t="s">
        <v>201</v>
      </c>
      <c r="XEL16" s="310" t="s">
        <v>201</v>
      </c>
      <c r="XEM16" s="310" t="s">
        <v>201</v>
      </c>
      <c r="XEN16" s="310" t="s">
        <v>201</v>
      </c>
      <c r="XEO16" s="310" t="s">
        <v>201</v>
      </c>
      <c r="XEP16" s="310" t="s">
        <v>201</v>
      </c>
      <c r="XEQ16" s="310" t="s">
        <v>201</v>
      </c>
      <c r="XER16" s="310" t="s">
        <v>201</v>
      </c>
      <c r="XES16" s="310" t="s">
        <v>201</v>
      </c>
      <c r="XET16" s="310" t="s">
        <v>201</v>
      </c>
      <c r="XEU16" s="310" t="s">
        <v>201</v>
      </c>
      <c r="XEV16" s="310" t="s">
        <v>201</v>
      </c>
      <c r="XEW16" s="310" t="s">
        <v>201</v>
      </c>
      <c r="XEX16" s="310" t="s">
        <v>201</v>
      </c>
      <c r="XEY16" s="310" t="s">
        <v>201</v>
      </c>
      <c r="XEZ16" s="310" t="s">
        <v>201</v>
      </c>
    </row>
    <row r="17" spans="1:16380" s="314" customFormat="1" ht="12.75" x14ac:dyDescent="0.2">
      <c r="A17" s="339" t="s">
        <v>203</v>
      </c>
      <c r="B17" s="369"/>
      <c r="C17" s="311"/>
      <c r="D17" s="311"/>
      <c r="E17" s="311"/>
      <c r="F17" s="311"/>
      <c r="G17" s="351" t="s">
        <v>213</v>
      </c>
      <c r="H17" s="356" t="s">
        <v>78</v>
      </c>
      <c r="I17" s="378">
        <v>1518</v>
      </c>
      <c r="J17" s="311"/>
      <c r="K17" s="311"/>
      <c r="L17" s="311"/>
      <c r="M17" s="311"/>
      <c r="N17" s="293">
        <f t="shared" si="1"/>
        <v>607.20000000000005</v>
      </c>
      <c r="O17" s="327"/>
      <c r="P17" s="311"/>
      <c r="Q17" s="313"/>
      <c r="R17" s="85">
        <f>607.2-Q17</f>
        <v>607.20000000000005</v>
      </c>
      <c r="S17" s="313">
        <v>50</v>
      </c>
      <c r="T17" s="313">
        <f>607-50+200</f>
        <v>757</v>
      </c>
      <c r="U17" s="309">
        <v>31991443051</v>
      </c>
      <c r="V17" s="224">
        <v>200</v>
      </c>
      <c r="W17" s="323">
        <f>819.72-607</f>
        <v>212.72000000000003</v>
      </c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BL17" s="314" t="s">
        <v>203</v>
      </c>
      <c r="BM17" s="314" t="s">
        <v>203</v>
      </c>
      <c r="BN17" s="314" t="s">
        <v>203</v>
      </c>
      <c r="BO17" s="314" t="s">
        <v>203</v>
      </c>
      <c r="BP17" s="314" t="s">
        <v>203</v>
      </c>
      <c r="BQ17" s="314" t="s">
        <v>203</v>
      </c>
      <c r="BR17" s="314" t="s">
        <v>203</v>
      </c>
      <c r="BS17" s="314" t="s">
        <v>203</v>
      </c>
      <c r="BT17" s="314" t="s">
        <v>203</v>
      </c>
      <c r="BU17" s="314" t="s">
        <v>203</v>
      </c>
      <c r="BV17" s="314" t="s">
        <v>203</v>
      </c>
      <c r="BW17" s="314" t="s">
        <v>203</v>
      </c>
      <c r="BX17" s="314" t="s">
        <v>203</v>
      </c>
      <c r="BY17" s="314" t="s">
        <v>203</v>
      </c>
      <c r="BZ17" s="314" t="s">
        <v>203</v>
      </c>
      <c r="CA17" s="314" t="s">
        <v>203</v>
      </c>
      <c r="CB17" s="314" t="s">
        <v>203</v>
      </c>
      <c r="CC17" s="314" t="s">
        <v>203</v>
      </c>
      <c r="CD17" s="314" t="s">
        <v>203</v>
      </c>
      <c r="CE17" s="314" t="s">
        <v>203</v>
      </c>
      <c r="CF17" s="314" t="s">
        <v>203</v>
      </c>
      <c r="CG17" s="314" t="s">
        <v>203</v>
      </c>
      <c r="CH17" s="314" t="s">
        <v>203</v>
      </c>
      <c r="CI17" s="314" t="s">
        <v>203</v>
      </c>
      <c r="CJ17" s="314" t="s">
        <v>203</v>
      </c>
      <c r="CK17" s="314" t="s">
        <v>203</v>
      </c>
      <c r="CL17" s="314" t="s">
        <v>203</v>
      </c>
      <c r="CM17" s="314" t="s">
        <v>203</v>
      </c>
      <c r="CN17" s="314" t="s">
        <v>203</v>
      </c>
      <c r="CO17" s="314" t="s">
        <v>203</v>
      </c>
      <c r="CP17" s="314" t="s">
        <v>203</v>
      </c>
      <c r="CQ17" s="314" t="s">
        <v>203</v>
      </c>
      <c r="CR17" s="314" t="s">
        <v>203</v>
      </c>
      <c r="CS17" s="314" t="s">
        <v>203</v>
      </c>
      <c r="CT17" s="314" t="s">
        <v>203</v>
      </c>
      <c r="CU17" s="314" t="s">
        <v>203</v>
      </c>
      <c r="CV17" s="314" t="s">
        <v>203</v>
      </c>
      <c r="CW17" s="314" t="s">
        <v>203</v>
      </c>
      <c r="CX17" s="314" t="s">
        <v>203</v>
      </c>
      <c r="CY17" s="314" t="s">
        <v>203</v>
      </c>
      <c r="CZ17" s="314" t="s">
        <v>203</v>
      </c>
      <c r="DA17" s="314" t="s">
        <v>203</v>
      </c>
      <c r="DB17" s="314" t="s">
        <v>203</v>
      </c>
      <c r="DC17" s="314" t="s">
        <v>203</v>
      </c>
      <c r="DD17" s="314" t="s">
        <v>203</v>
      </c>
      <c r="DE17" s="314" t="s">
        <v>203</v>
      </c>
      <c r="DF17" s="314" t="s">
        <v>203</v>
      </c>
      <c r="DG17" s="314" t="s">
        <v>203</v>
      </c>
      <c r="DH17" s="314" t="s">
        <v>203</v>
      </c>
      <c r="DI17" s="314" t="s">
        <v>203</v>
      </c>
      <c r="DJ17" s="314" t="s">
        <v>203</v>
      </c>
      <c r="DK17" s="314" t="s">
        <v>203</v>
      </c>
      <c r="DL17" s="314" t="s">
        <v>203</v>
      </c>
      <c r="DM17" s="314" t="s">
        <v>203</v>
      </c>
      <c r="DN17" s="314" t="s">
        <v>203</v>
      </c>
      <c r="DO17" s="314" t="s">
        <v>203</v>
      </c>
      <c r="DP17" s="314" t="s">
        <v>203</v>
      </c>
      <c r="DQ17" s="314" t="s">
        <v>203</v>
      </c>
      <c r="DR17" s="314" t="s">
        <v>203</v>
      </c>
      <c r="DS17" s="314" t="s">
        <v>203</v>
      </c>
      <c r="DT17" s="314" t="s">
        <v>203</v>
      </c>
      <c r="DU17" s="314" t="s">
        <v>203</v>
      </c>
      <c r="DV17" s="314" t="s">
        <v>203</v>
      </c>
      <c r="DW17" s="314" t="s">
        <v>203</v>
      </c>
      <c r="DX17" s="314" t="s">
        <v>203</v>
      </c>
      <c r="DY17" s="314" t="s">
        <v>203</v>
      </c>
      <c r="DZ17" s="314" t="s">
        <v>203</v>
      </c>
      <c r="EA17" s="314" t="s">
        <v>203</v>
      </c>
      <c r="EB17" s="314" t="s">
        <v>203</v>
      </c>
      <c r="EC17" s="314" t="s">
        <v>203</v>
      </c>
      <c r="ED17" s="314" t="s">
        <v>203</v>
      </c>
      <c r="EE17" s="314" t="s">
        <v>203</v>
      </c>
      <c r="EF17" s="314" t="s">
        <v>203</v>
      </c>
      <c r="EG17" s="314" t="s">
        <v>203</v>
      </c>
      <c r="EH17" s="314" t="s">
        <v>203</v>
      </c>
      <c r="EI17" s="314" t="s">
        <v>203</v>
      </c>
      <c r="EJ17" s="314" t="s">
        <v>203</v>
      </c>
      <c r="EK17" s="314" t="s">
        <v>203</v>
      </c>
      <c r="EL17" s="314" t="s">
        <v>203</v>
      </c>
      <c r="EM17" s="314" t="s">
        <v>203</v>
      </c>
      <c r="EN17" s="314" t="s">
        <v>203</v>
      </c>
      <c r="EO17" s="314" t="s">
        <v>203</v>
      </c>
      <c r="EP17" s="314" t="s">
        <v>203</v>
      </c>
      <c r="EQ17" s="314" t="s">
        <v>203</v>
      </c>
      <c r="ER17" s="314" t="s">
        <v>203</v>
      </c>
      <c r="ES17" s="314" t="s">
        <v>203</v>
      </c>
      <c r="ET17" s="314" t="s">
        <v>203</v>
      </c>
      <c r="EU17" s="314" t="s">
        <v>203</v>
      </c>
      <c r="EV17" s="314" t="s">
        <v>203</v>
      </c>
      <c r="EW17" s="314" t="s">
        <v>203</v>
      </c>
      <c r="EX17" s="314" t="s">
        <v>203</v>
      </c>
      <c r="EY17" s="314" t="s">
        <v>203</v>
      </c>
      <c r="EZ17" s="314" t="s">
        <v>203</v>
      </c>
      <c r="FA17" s="314" t="s">
        <v>203</v>
      </c>
      <c r="FB17" s="314" t="s">
        <v>203</v>
      </c>
      <c r="FC17" s="314" t="s">
        <v>203</v>
      </c>
      <c r="FD17" s="314" t="s">
        <v>203</v>
      </c>
      <c r="FE17" s="314" t="s">
        <v>203</v>
      </c>
      <c r="FF17" s="314" t="s">
        <v>203</v>
      </c>
      <c r="FG17" s="314" t="s">
        <v>203</v>
      </c>
      <c r="FH17" s="314" t="s">
        <v>203</v>
      </c>
      <c r="FI17" s="314" t="s">
        <v>203</v>
      </c>
      <c r="FJ17" s="314" t="s">
        <v>203</v>
      </c>
      <c r="FK17" s="314" t="s">
        <v>203</v>
      </c>
      <c r="FL17" s="314" t="s">
        <v>203</v>
      </c>
      <c r="FM17" s="314" t="s">
        <v>203</v>
      </c>
      <c r="FN17" s="314" t="s">
        <v>203</v>
      </c>
      <c r="FO17" s="314" t="s">
        <v>203</v>
      </c>
      <c r="FP17" s="314" t="s">
        <v>203</v>
      </c>
      <c r="FQ17" s="314" t="s">
        <v>203</v>
      </c>
      <c r="FR17" s="314" t="s">
        <v>203</v>
      </c>
      <c r="FS17" s="314" t="s">
        <v>203</v>
      </c>
      <c r="FT17" s="314" t="s">
        <v>203</v>
      </c>
      <c r="FU17" s="314" t="s">
        <v>203</v>
      </c>
      <c r="FV17" s="314" t="s">
        <v>203</v>
      </c>
      <c r="FW17" s="314" t="s">
        <v>203</v>
      </c>
      <c r="FX17" s="314" t="s">
        <v>203</v>
      </c>
      <c r="FY17" s="314" t="s">
        <v>203</v>
      </c>
      <c r="FZ17" s="314" t="s">
        <v>203</v>
      </c>
      <c r="GA17" s="314" t="s">
        <v>203</v>
      </c>
      <c r="GB17" s="314" t="s">
        <v>203</v>
      </c>
      <c r="GC17" s="314" t="s">
        <v>203</v>
      </c>
      <c r="GD17" s="314" t="s">
        <v>203</v>
      </c>
      <c r="GE17" s="314" t="s">
        <v>203</v>
      </c>
      <c r="GF17" s="314" t="s">
        <v>203</v>
      </c>
      <c r="GG17" s="314" t="s">
        <v>203</v>
      </c>
      <c r="GH17" s="314" t="s">
        <v>203</v>
      </c>
      <c r="GI17" s="314" t="s">
        <v>203</v>
      </c>
      <c r="GJ17" s="314" t="s">
        <v>203</v>
      </c>
      <c r="GK17" s="314" t="s">
        <v>203</v>
      </c>
      <c r="GL17" s="314" t="s">
        <v>203</v>
      </c>
      <c r="GM17" s="314" t="s">
        <v>203</v>
      </c>
      <c r="GN17" s="314" t="s">
        <v>203</v>
      </c>
      <c r="GO17" s="314" t="s">
        <v>203</v>
      </c>
      <c r="GP17" s="314" t="s">
        <v>203</v>
      </c>
      <c r="GQ17" s="314" t="s">
        <v>203</v>
      </c>
      <c r="GR17" s="314" t="s">
        <v>203</v>
      </c>
      <c r="GS17" s="314" t="s">
        <v>203</v>
      </c>
      <c r="GT17" s="314" t="s">
        <v>203</v>
      </c>
      <c r="GU17" s="314" t="s">
        <v>203</v>
      </c>
      <c r="GV17" s="314" t="s">
        <v>203</v>
      </c>
      <c r="GW17" s="314" t="s">
        <v>203</v>
      </c>
      <c r="GX17" s="314" t="s">
        <v>203</v>
      </c>
      <c r="GY17" s="314" t="s">
        <v>203</v>
      </c>
      <c r="GZ17" s="314" t="s">
        <v>203</v>
      </c>
      <c r="HA17" s="314" t="s">
        <v>203</v>
      </c>
      <c r="HB17" s="314" t="s">
        <v>203</v>
      </c>
      <c r="HC17" s="314" t="s">
        <v>203</v>
      </c>
      <c r="HD17" s="314" t="s">
        <v>203</v>
      </c>
      <c r="HE17" s="314" t="s">
        <v>203</v>
      </c>
      <c r="HF17" s="314" t="s">
        <v>203</v>
      </c>
      <c r="HG17" s="314" t="s">
        <v>203</v>
      </c>
      <c r="HH17" s="314" t="s">
        <v>203</v>
      </c>
      <c r="HI17" s="314" t="s">
        <v>203</v>
      </c>
      <c r="HJ17" s="314" t="s">
        <v>203</v>
      </c>
      <c r="HK17" s="314" t="s">
        <v>203</v>
      </c>
      <c r="HL17" s="314" t="s">
        <v>203</v>
      </c>
      <c r="HM17" s="314" t="s">
        <v>203</v>
      </c>
      <c r="HN17" s="314" t="s">
        <v>203</v>
      </c>
      <c r="HO17" s="314" t="s">
        <v>203</v>
      </c>
      <c r="HP17" s="314" t="s">
        <v>203</v>
      </c>
      <c r="HQ17" s="314" t="s">
        <v>203</v>
      </c>
      <c r="HR17" s="314" t="s">
        <v>203</v>
      </c>
      <c r="HS17" s="314" t="s">
        <v>203</v>
      </c>
      <c r="HT17" s="314" t="s">
        <v>203</v>
      </c>
      <c r="HU17" s="314" t="s">
        <v>203</v>
      </c>
      <c r="HV17" s="314" t="s">
        <v>203</v>
      </c>
      <c r="HW17" s="314" t="s">
        <v>203</v>
      </c>
      <c r="HX17" s="314" t="s">
        <v>203</v>
      </c>
      <c r="HY17" s="314" t="s">
        <v>203</v>
      </c>
      <c r="HZ17" s="314" t="s">
        <v>203</v>
      </c>
      <c r="IA17" s="314" t="s">
        <v>203</v>
      </c>
      <c r="IB17" s="314" t="s">
        <v>203</v>
      </c>
      <c r="IC17" s="314" t="s">
        <v>203</v>
      </c>
      <c r="ID17" s="314" t="s">
        <v>203</v>
      </c>
      <c r="IE17" s="314" t="s">
        <v>203</v>
      </c>
      <c r="IF17" s="314" t="s">
        <v>203</v>
      </c>
      <c r="IG17" s="314" t="s">
        <v>203</v>
      </c>
      <c r="IH17" s="314" t="s">
        <v>203</v>
      </c>
      <c r="II17" s="314" t="s">
        <v>203</v>
      </c>
      <c r="IJ17" s="314" t="s">
        <v>203</v>
      </c>
      <c r="IK17" s="314" t="s">
        <v>203</v>
      </c>
      <c r="IL17" s="314" t="s">
        <v>203</v>
      </c>
      <c r="IM17" s="314" t="s">
        <v>203</v>
      </c>
      <c r="IN17" s="314" t="s">
        <v>203</v>
      </c>
      <c r="IO17" s="314" t="s">
        <v>203</v>
      </c>
      <c r="IP17" s="314" t="s">
        <v>203</v>
      </c>
      <c r="IQ17" s="314" t="s">
        <v>203</v>
      </c>
      <c r="IR17" s="314" t="s">
        <v>203</v>
      </c>
      <c r="IS17" s="314" t="s">
        <v>203</v>
      </c>
      <c r="IT17" s="314" t="s">
        <v>203</v>
      </c>
      <c r="IU17" s="314" t="s">
        <v>203</v>
      </c>
      <c r="IV17" s="314" t="s">
        <v>203</v>
      </c>
      <c r="IW17" s="314" t="s">
        <v>203</v>
      </c>
      <c r="IX17" s="314" t="s">
        <v>203</v>
      </c>
      <c r="IY17" s="314" t="s">
        <v>203</v>
      </c>
      <c r="IZ17" s="314" t="s">
        <v>203</v>
      </c>
      <c r="JA17" s="314" t="s">
        <v>203</v>
      </c>
      <c r="JB17" s="314" t="s">
        <v>203</v>
      </c>
      <c r="JC17" s="314" t="s">
        <v>203</v>
      </c>
      <c r="JD17" s="314" t="s">
        <v>203</v>
      </c>
      <c r="JE17" s="314" t="s">
        <v>203</v>
      </c>
      <c r="JF17" s="314" t="s">
        <v>203</v>
      </c>
      <c r="JG17" s="314" t="s">
        <v>203</v>
      </c>
      <c r="JH17" s="314" t="s">
        <v>203</v>
      </c>
      <c r="JI17" s="314" t="s">
        <v>203</v>
      </c>
      <c r="JJ17" s="314" t="s">
        <v>203</v>
      </c>
      <c r="JK17" s="314" t="s">
        <v>203</v>
      </c>
      <c r="JL17" s="314" t="s">
        <v>203</v>
      </c>
      <c r="JM17" s="314" t="s">
        <v>203</v>
      </c>
      <c r="JN17" s="314" t="s">
        <v>203</v>
      </c>
      <c r="JO17" s="314" t="s">
        <v>203</v>
      </c>
      <c r="JP17" s="314" t="s">
        <v>203</v>
      </c>
      <c r="JQ17" s="314" t="s">
        <v>203</v>
      </c>
      <c r="JR17" s="314" t="s">
        <v>203</v>
      </c>
      <c r="JS17" s="314" t="s">
        <v>203</v>
      </c>
      <c r="JT17" s="314" t="s">
        <v>203</v>
      </c>
      <c r="JU17" s="314" t="s">
        <v>203</v>
      </c>
      <c r="JV17" s="314" t="s">
        <v>203</v>
      </c>
      <c r="JW17" s="314" t="s">
        <v>203</v>
      </c>
      <c r="JX17" s="314" t="s">
        <v>203</v>
      </c>
      <c r="JY17" s="314" t="s">
        <v>203</v>
      </c>
      <c r="JZ17" s="314" t="s">
        <v>203</v>
      </c>
      <c r="KA17" s="314" t="s">
        <v>203</v>
      </c>
      <c r="KB17" s="314" t="s">
        <v>203</v>
      </c>
      <c r="KC17" s="314" t="s">
        <v>203</v>
      </c>
      <c r="KD17" s="314" t="s">
        <v>203</v>
      </c>
      <c r="KE17" s="314" t="s">
        <v>203</v>
      </c>
      <c r="KF17" s="314" t="s">
        <v>203</v>
      </c>
      <c r="KG17" s="314" t="s">
        <v>203</v>
      </c>
      <c r="KH17" s="314" t="s">
        <v>203</v>
      </c>
      <c r="KI17" s="314" t="s">
        <v>203</v>
      </c>
      <c r="KJ17" s="314" t="s">
        <v>203</v>
      </c>
      <c r="KK17" s="314" t="s">
        <v>203</v>
      </c>
      <c r="KL17" s="314" t="s">
        <v>203</v>
      </c>
      <c r="KM17" s="314" t="s">
        <v>203</v>
      </c>
      <c r="KN17" s="314" t="s">
        <v>203</v>
      </c>
      <c r="KO17" s="314" t="s">
        <v>203</v>
      </c>
      <c r="KP17" s="314" t="s">
        <v>203</v>
      </c>
      <c r="KQ17" s="314" t="s">
        <v>203</v>
      </c>
      <c r="KR17" s="314" t="s">
        <v>203</v>
      </c>
      <c r="KS17" s="314" t="s">
        <v>203</v>
      </c>
      <c r="KT17" s="314" t="s">
        <v>203</v>
      </c>
      <c r="KU17" s="314" t="s">
        <v>203</v>
      </c>
      <c r="KV17" s="314" t="s">
        <v>203</v>
      </c>
      <c r="KW17" s="314" t="s">
        <v>203</v>
      </c>
      <c r="KX17" s="314" t="s">
        <v>203</v>
      </c>
      <c r="KY17" s="314" t="s">
        <v>203</v>
      </c>
      <c r="KZ17" s="314" t="s">
        <v>203</v>
      </c>
      <c r="LA17" s="314" t="s">
        <v>203</v>
      </c>
      <c r="LB17" s="314" t="s">
        <v>203</v>
      </c>
      <c r="LC17" s="314" t="s">
        <v>203</v>
      </c>
      <c r="LD17" s="314" t="s">
        <v>203</v>
      </c>
      <c r="LE17" s="314" t="s">
        <v>203</v>
      </c>
      <c r="LF17" s="314" t="s">
        <v>203</v>
      </c>
      <c r="LG17" s="314" t="s">
        <v>203</v>
      </c>
      <c r="LH17" s="314" t="s">
        <v>203</v>
      </c>
      <c r="LI17" s="314" t="s">
        <v>203</v>
      </c>
      <c r="LJ17" s="314" t="s">
        <v>203</v>
      </c>
      <c r="LK17" s="314" t="s">
        <v>203</v>
      </c>
      <c r="LL17" s="314" t="s">
        <v>203</v>
      </c>
      <c r="LM17" s="314" t="s">
        <v>203</v>
      </c>
      <c r="LN17" s="314" t="s">
        <v>203</v>
      </c>
      <c r="LO17" s="314" t="s">
        <v>203</v>
      </c>
      <c r="LP17" s="314" t="s">
        <v>203</v>
      </c>
      <c r="LQ17" s="314" t="s">
        <v>203</v>
      </c>
      <c r="LR17" s="314" t="s">
        <v>203</v>
      </c>
      <c r="LS17" s="314" t="s">
        <v>203</v>
      </c>
      <c r="LT17" s="314" t="s">
        <v>203</v>
      </c>
      <c r="LU17" s="314" t="s">
        <v>203</v>
      </c>
      <c r="LV17" s="314" t="s">
        <v>203</v>
      </c>
      <c r="LW17" s="314" t="s">
        <v>203</v>
      </c>
      <c r="LX17" s="314" t="s">
        <v>203</v>
      </c>
      <c r="LY17" s="314" t="s">
        <v>203</v>
      </c>
      <c r="LZ17" s="314" t="s">
        <v>203</v>
      </c>
      <c r="MA17" s="314" t="s">
        <v>203</v>
      </c>
      <c r="MB17" s="314" t="s">
        <v>203</v>
      </c>
      <c r="MC17" s="314" t="s">
        <v>203</v>
      </c>
      <c r="MD17" s="314" t="s">
        <v>203</v>
      </c>
      <c r="ME17" s="314" t="s">
        <v>203</v>
      </c>
      <c r="MF17" s="314" t="s">
        <v>203</v>
      </c>
      <c r="MG17" s="314" t="s">
        <v>203</v>
      </c>
      <c r="MH17" s="314" t="s">
        <v>203</v>
      </c>
      <c r="MI17" s="314" t="s">
        <v>203</v>
      </c>
      <c r="MJ17" s="314" t="s">
        <v>203</v>
      </c>
      <c r="MK17" s="314" t="s">
        <v>203</v>
      </c>
      <c r="ML17" s="314" t="s">
        <v>203</v>
      </c>
      <c r="MM17" s="314" t="s">
        <v>203</v>
      </c>
      <c r="MN17" s="314" t="s">
        <v>203</v>
      </c>
      <c r="MO17" s="314" t="s">
        <v>203</v>
      </c>
      <c r="MP17" s="314" t="s">
        <v>203</v>
      </c>
      <c r="MQ17" s="314" t="s">
        <v>203</v>
      </c>
      <c r="MR17" s="314" t="s">
        <v>203</v>
      </c>
      <c r="MS17" s="314" t="s">
        <v>203</v>
      </c>
      <c r="MT17" s="314" t="s">
        <v>203</v>
      </c>
      <c r="MU17" s="314" t="s">
        <v>203</v>
      </c>
      <c r="MV17" s="314" t="s">
        <v>203</v>
      </c>
      <c r="MW17" s="314" t="s">
        <v>203</v>
      </c>
      <c r="MX17" s="314" t="s">
        <v>203</v>
      </c>
      <c r="MY17" s="314" t="s">
        <v>203</v>
      </c>
      <c r="MZ17" s="314" t="s">
        <v>203</v>
      </c>
      <c r="NA17" s="314" t="s">
        <v>203</v>
      </c>
      <c r="NB17" s="314" t="s">
        <v>203</v>
      </c>
      <c r="NC17" s="314" t="s">
        <v>203</v>
      </c>
      <c r="ND17" s="314" t="s">
        <v>203</v>
      </c>
      <c r="NE17" s="314" t="s">
        <v>203</v>
      </c>
      <c r="NF17" s="314" t="s">
        <v>203</v>
      </c>
      <c r="NG17" s="314" t="s">
        <v>203</v>
      </c>
      <c r="NH17" s="314" t="s">
        <v>203</v>
      </c>
      <c r="NI17" s="314" t="s">
        <v>203</v>
      </c>
      <c r="NJ17" s="314" t="s">
        <v>203</v>
      </c>
      <c r="NK17" s="314" t="s">
        <v>203</v>
      </c>
      <c r="NL17" s="314" t="s">
        <v>203</v>
      </c>
      <c r="NM17" s="314" t="s">
        <v>203</v>
      </c>
      <c r="NN17" s="314" t="s">
        <v>203</v>
      </c>
      <c r="NO17" s="314" t="s">
        <v>203</v>
      </c>
      <c r="NP17" s="314" t="s">
        <v>203</v>
      </c>
      <c r="NQ17" s="314" t="s">
        <v>203</v>
      </c>
      <c r="NR17" s="314" t="s">
        <v>203</v>
      </c>
      <c r="NS17" s="314" t="s">
        <v>203</v>
      </c>
      <c r="NT17" s="314" t="s">
        <v>203</v>
      </c>
      <c r="NU17" s="314" t="s">
        <v>203</v>
      </c>
      <c r="NV17" s="314" t="s">
        <v>203</v>
      </c>
      <c r="NW17" s="314" t="s">
        <v>203</v>
      </c>
      <c r="NX17" s="314" t="s">
        <v>203</v>
      </c>
      <c r="NY17" s="314" t="s">
        <v>203</v>
      </c>
      <c r="NZ17" s="314" t="s">
        <v>203</v>
      </c>
      <c r="OA17" s="314" t="s">
        <v>203</v>
      </c>
      <c r="OB17" s="314" t="s">
        <v>203</v>
      </c>
      <c r="OC17" s="314" t="s">
        <v>203</v>
      </c>
      <c r="OD17" s="314" t="s">
        <v>203</v>
      </c>
      <c r="OE17" s="314" t="s">
        <v>203</v>
      </c>
      <c r="OF17" s="314" t="s">
        <v>203</v>
      </c>
      <c r="OG17" s="314" t="s">
        <v>203</v>
      </c>
      <c r="OH17" s="314" t="s">
        <v>203</v>
      </c>
      <c r="OI17" s="314" t="s">
        <v>203</v>
      </c>
      <c r="OJ17" s="314" t="s">
        <v>203</v>
      </c>
      <c r="OK17" s="314" t="s">
        <v>203</v>
      </c>
      <c r="OL17" s="314" t="s">
        <v>203</v>
      </c>
      <c r="OM17" s="314" t="s">
        <v>203</v>
      </c>
      <c r="ON17" s="314" t="s">
        <v>203</v>
      </c>
      <c r="OO17" s="314" t="s">
        <v>203</v>
      </c>
      <c r="OP17" s="314" t="s">
        <v>203</v>
      </c>
      <c r="OQ17" s="314" t="s">
        <v>203</v>
      </c>
      <c r="OR17" s="314" t="s">
        <v>203</v>
      </c>
      <c r="OS17" s="314" t="s">
        <v>203</v>
      </c>
      <c r="OT17" s="314" t="s">
        <v>203</v>
      </c>
      <c r="OU17" s="314" t="s">
        <v>203</v>
      </c>
      <c r="OV17" s="314" t="s">
        <v>203</v>
      </c>
      <c r="OW17" s="314" t="s">
        <v>203</v>
      </c>
      <c r="OX17" s="314" t="s">
        <v>203</v>
      </c>
      <c r="OY17" s="314" t="s">
        <v>203</v>
      </c>
      <c r="OZ17" s="314" t="s">
        <v>203</v>
      </c>
      <c r="PA17" s="314" t="s">
        <v>203</v>
      </c>
      <c r="PB17" s="314" t="s">
        <v>203</v>
      </c>
      <c r="PC17" s="314" t="s">
        <v>203</v>
      </c>
      <c r="PD17" s="314" t="s">
        <v>203</v>
      </c>
      <c r="PE17" s="314" t="s">
        <v>203</v>
      </c>
      <c r="PF17" s="314" t="s">
        <v>203</v>
      </c>
      <c r="PG17" s="314" t="s">
        <v>203</v>
      </c>
      <c r="PH17" s="314" t="s">
        <v>203</v>
      </c>
      <c r="PI17" s="314" t="s">
        <v>203</v>
      </c>
      <c r="PJ17" s="314" t="s">
        <v>203</v>
      </c>
      <c r="PK17" s="314" t="s">
        <v>203</v>
      </c>
      <c r="PL17" s="314" t="s">
        <v>203</v>
      </c>
      <c r="PM17" s="314" t="s">
        <v>203</v>
      </c>
      <c r="PN17" s="314" t="s">
        <v>203</v>
      </c>
      <c r="PO17" s="314" t="s">
        <v>203</v>
      </c>
      <c r="PP17" s="314" t="s">
        <v>203</v>
      </c>
      <c r="PQ17" s="314" t="s">
        <v>203</v>
      </c>
      <c r="PR17" s="314" t="s">
        <v>203</v>
      </c>
      <c r="PS17" s="314" t="s">
        <v>203</v>
      </c>
      <c r="PT17" s="314" t="s">
        <v>203</v>
      </c>
      <c r="PU17" s="314" t="s">
        <v>203</v>
      </c>
      <c r="PV17" s="314" t="s">
        <v>203</v>
      </c>
      <c r="PW17" s="314" t="s">
        <v>203</v>
      </c>
      <c r="PX17" s="314" t="s">
        <v>203</v>
      </c>
      <c r="PY17" s="314" t="s">
        <v>203</v>
      </c>
      <c r="PZ17" s="314" t="s">
        <v>203</v>
      </c>
      <c r="QA17" s="314" t="s">
        <v>203</v>
      </c>
      <c r="QB17" s="314" t="s">
        <v>203</v>
      </c>
      <c r="QC17" s="314" t="s">
        <v>203</v>
      </c>
      <c r="QD17" s="314" t="s">
        <v>203</v>
      </c>
      <c r="QE17" s="314" t="s">
        <v>203</v>
      </c>
      <c r="QF17" s="314" t="s">
        <v>203</v>
      </c>
      <c r="QG17" s="314" t="s">
        <v>203</v>
      </c>
      <c r="QH17" s="314" t="s">
        <v>203</v>
      </c>
      <c r="QI17" s="314" t="s">
        <v>203</v>
      </c>
      <c r="QJ17" s="314" t="s">
        <v>203</v>
      </c>
      <c r="QK17" s="314" t="s">
        <v>203</v>
      </c>
      <c r="QL17" s="314" t="s">
        <v>203</v>
      </c>
      <c r="QM17" s="314" t="s">
        <v>203</v>
      </c>
      <c r="QN17" s="314" t="s">
        <v>203</v>
      </c>
      <c r="QO17" s="314" t="s">
        <v>203</v>
      </c>
      <c r="QP17" s="314" t="s">
        <v>203</v>
      </c>
      <c r="QQ17" s="314" t="s">
        <v>203</v>
      </c>
      <c r="QR17" s="314" t="s">
        <v>203</v>
      </c>
      <c r="QS17" s="314" t="s">
        <v>203</v>
      </c>
      <c r="QT17" s="314" t="s">
        <v>203</v>
      </c>
      <c r="QU17" s="314" t="s">
        <v>203</v>
      </c>
      <c r="QV17" s="314" t="s">
        <v>203</v>
      </c>
      <c r="QW17" s="314" t="s">
        <v>203</v>
      </c>
      <c r="QX17" s="314" t="s">
        <v>203</v>
      </c>
      <c r="QY17" s="314" t="s">
        <v>203</v>
      </c>
      <c r="QZ17" s="314" t="s">
        <v>203</v>
      </c>
      <c r="RA17" s="314" t="s">
        <v>203</v>
      </c>
      <c r="RB17" s="314" t="s">
        <v>203</v>
      </c>
      <c r="RC17" s="314" t="s">
        <v>203</v>
      </c>
      <c r="RD17" s="314" t="s">
        <v>203</v>
      </c>
      <c r="RE17" s="314" t="s">
        <v>203</v>
      </c>
      <c r="RF17" s="314" t="s">
        <v>203</v>
      </c>
      <c r="RG17" s="314" t="s">
        <v>203</v>
      </c>
      <c r="RH17" s="314" t="s">
        <v>203</v>
      </c>
      <c r="RI17" s="314" t="s">
        <v>203</v>
      </c>
      <c r="RJ17" s="314" t="s">
        <v>203</v>
      </c>
      <c r="RK17" s="314" t="s">
        <v>203</v>
      </c>
      <c r="RL17" s="314" t="s">
        <v>203</v>
      </c>
      <c r="RM17" s="314" t="s">
        <v>203</v>
      </c>
      <c r="RN17" s="314" t="s">
        <v>203</v>
      </c>
      <c r="RO17" s="314" t="s">
        <v>203</v>
      </c>
      <c r="RP17" s="314" t="s">
        <v>203</v>
      </c>
      <c r="RQ17" s="314" t="s">
        <v>203</v>
      </c>
      <c r="RR17" s="314" t="s">
        <v>203</v>
      </c>
      <c r="RS17" s="314" t="s">
        <v>203</v>
      </c>
      <c r="RT17" s="314" t="s">
        <v>203</v>
      </c>
      <c r="RU17" s="314" t="s">
        <v>203</v>
      </c>
      <c r="RV17" s="314" t="s">
        <v>203</v>
      </c>
      <c r="RW17" s="314" t="s">
        <v>203</v>
      </c>
      <c r="RX17" s="314" t="s">
        <v>203</v>
      </c>
      <c r="RY17" s="314" t="s">
        <v>203</v>
      </c>
      <c r="RZ17" s="314" t="s">
        <v>203</v>
      </c>
      <c r="SA17" s="314" t="s">
        <v>203</v>
      </c>
      <c r="SB17" s="314" t="s">
        <v>203</v>
      </c>
      <c r="SC17" s="314" t="s">
        <v>203</v>
      </c>
      <c r="SD17" s="314" t="s">
        <v>203</v>
      </c>
      <c r="SE17" s="314" t="s">
        <v>203</v>
      </c>
      <c r="SF17" s="314" t="s">
        <v>203</v>
      </c>
      <c r="SG17" s="314" t="s">
        <v>203</v>
      </c>
      <c r="SH17" s="314" t="s">
        <v>203</v>
      </c>
      <c r="SI17" s="314" t="s">
        <v>203</v>
      </c>
      <c r="SJ17" s="314" t="s">
        <v>203</v>
      </c>
      <c r="SK17" s="314" t="s">
        <v>203</v>
      </c>
      <c r="SL17" s="314" t="s">
        <v>203</v>
      </c>
      <c r="SM17" s="314" t="s">
        <v>203</v>
      </c>
      <c r="SN17" s="314" t="s">
        <v>203</v>
      </c>
      <c r="SO17" s="314" t="s">
        <v>203</v>
      </c>
      <c r="SP17" s="314" t="s">
        <v>203</v>
      </c>
      <c r="SQ17" s="314" t="s">
        <v>203</v>
      </c>
      <c r="SR17" s="314" t="s">
        <v>203</v>
      </c>
      <c r="SS17" s="314" t="s">
        <v>203</v>
      </c>
      <c r="ST17" s="314" t="s">
        <v>203</v>
      </c>
      <c r="SU17" s="314" t="s">
        <v>203</v>
      </c>
      <c r="SV17" s="314" t="s">
        <v>203</v>
      </c>
      <c r="SW17" s="314" t="s">
        <v>203</v>
      </c>
      <c r="SX17" s="314" t="s">
        <v>203</v>
      </c>
      <c r="SY17" s="314" t="s">
        <v>203</v>
      </c>
      <c r="SZ17" s="314" t="s">
        <v>203</v>
      </c>
      <c r="TA17" s="314" t="s">
        <v>203</v>
      </c>
      <c r="TB17" s="314" t="s">
        <v>203</v>
      </c>
      <c r="TC17" s="314" t="s">
        <v>203</v>
      </c>
      <c r="TD17" s="314" t="s">
        <v>203</v>
      </c>
      <c r="TE17" s="314" t="s">
        <v>203</v>
      </c>
      <c r="TF17" s="314" t="s">
        <v>203</v>
      </c>
      <c r="TG17" s="314" t="s">
        <v>203</v>
      </c>
      <c r="TH17" s="314" t="s">
        <v>203</v>
      </c>
      <c r="TI17" s="314" t="s">
        <v>203</v>
      </c>
      <c r="TJ17" s="314" t="s">
        <v>203</v>
      </c>
      <c r="TK17" s="314" t="s">
        <v>203</v>
      </c>
      <c r="TL17" s="314" t="s">
        <v>203</v>
      </c>
      <c r="TM17" s="314" t="s">
        <v>203</v>
      </c>
      <c r="TN17" s="314" t="s">
        <v>203</v>
      </c>
      <c r="TO17" s="314" t="s">
        <v>203</v>
      </c>
      <c r="TP17" s="314" t="s">
        <v>203</v>
      </c>
      <c r="TQ17" s="314" t="s">
        <v>203</v>
      </c>
      <c r="TR17" s="314" t="s">
        <v>203</v>
      </c>
      <c r="TS17" s="314" t="s">
        <v>203</v>
      </c>
      <c r="TT17" s="314" t="s">
        <v>203</v>
      </c>
      <c r="TU17" s="314" t="s">
        <v>203</v>
      </c>
      <c r="TV17" s="314" t="s">
        <v>203</v>
      </c>
      <c r="TW17" s="314" t="s">
        <v>203</v>
      </c>
      <c r="TX17" s="314" t="s">
        <v>203</v>
      </c>
      <c r="TY17" s="314" t="s">
        <v>203</v>
      </c>
      <c r="TZ17" s="314" t="s">
        <v>203</v>
      </c>
      <c r="UA17" s="314" t="s">
        <v>203</v>
      </c>
      <c r="UB17" s="314" t="s">
        <v>203</v>
      </c>
      <c r="UC17" s="314" t="s">
        <v>203</v>
      </c>
      <c r="UD17" s="314" t="s">
        <v>203</v>
      </c>
      <c r="UE17" s="314" t="s">
        <v>203</v>
      </c>
      <c r="UF17" s="314" t="s">
        <v>203</v>
      </c>
      <c r="UG17" s="314" t="s">
        <v>203</v>
      </c>
      <c r="UH17" s="314" t="s">
        <v>203</v>
      </c>
      <c r="UI17" s="314" t="s">
        <v>203</v>
      </c>
      <c r="UJ17" s="314" t="s">
        <v>203</v>
      </c>
      <c r="UK17" s="314" t="s">
        <v>203</v>
      </c>
      <c r="UL17" s="314" t="s">
        <v>203</v>
      </c>
      <c r="UM17" s="314" t="s">
        <v>203</v>
      </c>
      <c r="UN17" s="314" t="s">
        <v>203</v>
      </c>
      <c r="UO17" s="314" t="s">
        <v>203</v>
      </c>
      <c r="UP17" s="314" t="s">
        <v>203</v>
      </c>
      <c r="UQ17" s="314" t="s">
        <v>203</v>
      </c>
      <c r="UR17" s="314" t="s">
        <v>203</v>
      </c>
      <c r="US17" s="314" t="s">
        <v>203</v>
      </c>
      <c r="UT17" s="314" t="s">
        <v>203</v>
      </c>
      <c r="UU17" s="314" t="s">
        <v>203</v>
      </c>
      <c r="UV17" s="314" t="s">
        <v>203</v>
      </c>
      <c r="UW17" s="314" t="s">
        <v>203</v>
      </c>
      <c r="UX17" s="314" t="s">
        <v>203</v>
      </c>
      <c r="UY17" s="314" t="s">
        <v>203</v>
      </c>
      <c r="UZ17" s="314" t="s">
        <v>203</v>
      </c>
      <c r="VA17" s="314" t="s">
        <v>203</v>
      </c>
      <c r="VB17" s="314" t="s">
        <v>203</v>
      </c>
      <c r="VC17" s="314" t="s">
        <v>203</v>
      </c>
      <c r="VD17" s="314" t="s">
        <v>203</v>
      </c>
      <c r="VE17" s="314" t="s">
        <v>203</v>
      </c>
      <c r="VF17" s="314" t="s">
        <v>203</v>
      </c>
      <c r="VG17" s="314" t="s">
        <v>203</v>
      </c>
      <c r="VH17" s="314" t="s">
        <v>203</v>
      </c>
      <c r="VI17" s="314" t="s">
        <v>203</v>
      </c>
      <c r="VJ17" s="314" t="s">
        <v>203</v>
      </c>
      <c r="VK17" s="314" t="s">
        <v>203</v>
      </c>
      <c r="VL17" s="314" t="s">
        <v>203</v>
      </c>
      <c r="VM17" s="314" t="s">
        <v>203</v>
      </c>
      <c r="VN17" s="314" t="s">
        <v>203</v>
      </c>
      <c r="VO17" s="314" t="s">
        <v>203</v>
      </c>
      <c r="VP17" s="314" t="s">
        <v>203</v>
      </c>
      <c r="VQ17" s="314" t="s">
        <v>203</v>
      </c>
      <c r="VR17" s="314" t="s">
        <v>203</v>
      </c>
      <c r="VS17" s="314" t="s">
        <v>203</v>
      </c>
      <c r="VT17" s="314" t="s">
        <v>203</v>
      </c>
      <c r="VU17" s="314" t="s">
        <v>203</v>
      </c>
      <c r="VV17" s="314" t="s">
        <v>203</v>
      </c>
      <c r="VW17" s="314" t="s">
        <v>203</v>
      </c>
      <c r="VX17" s="314" t="s">
        <v>203</v>
      </c>
      <c r="VY17" s="314" t="s">
        <v>203</v>
      </c>
      <c r="VZ17" s="314" t="s">
        <v>203</v>
      </c>
      <c r="WA17" s="314" t="s">
        <v>203</v>
      </c>
      <c r="WB17" s="314" t="s">
        <v>203</v>
      </c>
      <c r="WC17" s="314" t="s">
        <v>203</v>
      </c>
      <c r="WD17" s="314" t="s">
        <v>203</v>
      </c>
      <c r="WE17" s="314" t="s">
        <v>203</v>
      </c>
      <c r="WF17" s="314" t="s">
        <v>203</v>
      </c>
      <c r="WG17" s="314" t="s">
        <v>203</v>
      </c>
      <c r="WH17" s="314" t="s">
        <v>203</v>
      </c>
      <c r="WI17" s="314" t="s">
        <v>203</v>
      </c>
      <c r="WJ17" s="314" t="s">
        <v>203</v>
      </c>
      <c r="WK17" s="314" t="s">
        <v>203</v>
      </c>
      <c r="WL17" s="314" t="s">
        <v>203</v>
      </c>
      <c r="WM17" s="314" t="s">
        <v>203</v>
      </c>
      <c r="WN17" s="314" t="s">
        <v>203</v>
      </c>
      <c r="WO17" s="314" t="s">
        <v>203</v>
      </c>
      <c r="WP17" s="314" t="s">
        <v>203</v>
      </c>
      <c r="WQ17" s="314" t="s">
        <v>203</v>
      </c>
      <c r="WR17" s="314" t="s">
        <v>203</v>
      </c>
      <c r="WS17" s="314" t="s">
        <v>203</v>
      </c>
      <c r="WT17" s="314" t="s">
        <v>203</v>
      </c>
      <c r="WU17" s="314" t="s">
        <v>203</v>
      </c>
      <c r="WV17" s="314" t="s">
        <v>203</v>
      </c>
      <c r="WW17" s="314" t="s">
        <v>203</v>
      </c>
      <c r="WX17" s="314" t="s">
        <v>203</v>
      </c>
      <c r="WY17" s="314" t="s">
        <v>203</v>
      </c>
      <c r="WZ17" s="314" t="s">
        <v>203</v>
      </c>
      <c r="XA17" s="314" t="s">
        <v>203</v>
      </c>
      <c r="XB17" s="314" t="s">
        <v>203</v>
      </c>
      <c r="XC17" s="314" t="s">
        <v>203</v>
      </c>
      <c r="XD17" s="314" t="s">
        <v>203</v>
      </c>
      <c r="XE17" s="314" t="s">
        <v>203</v>
      </c>
      <c r="XF17" s="314" t="s">
        <v>203</v>
      </c>
      <c r="XG17" s="314" t="s">
        <v>203</v>
      </c>
      <c r="XH17" s="314" t="s">
        <v>203</v>
      </c>
      <c r="XI17" s="314" t="s">
        <v>203</v>
      </c>
      <c r="XJ17" s="314" t="s">
        <v>203</v>
      </c>
      <c r="XK17" s="314" t="s">
        <v>203</v>
      </c>
      <c r="XL17" s="314" t="s">
        <v>203</v>
      </c>
      <c r="XM17" s="314" t="s">
        <v>203</v>
      </c>
      <c r="XN17" s="314" t="s">
        <v>203</v>
      </c>
      <c r="XO17" s="314" t="s">
        <v>203</v>
      </c>
      <c r="XP17" s="314" t="s">
        <v>203</v>
      </c>
      <c r="XQ17" s="314" t="s">
        <v>203</v>
      </c>
      <c r="XR17" s="314" t="s">
        <v>203</v>
      </c>
      <c r="XS17" s="314" t="s">
        <v>203</v>
      </c>
      <c r="XT17" s="314" t="s">
        <v>203</v>
      </c>
      <c r="XU17" s="314" t="s">
        <v>203</v>
      </c>
      <c r="XV17" s="314" t="s">
        <v>203</v>
      </c>
      <c r="XW17" s="314" t="s">
        <v>203</v>
      </c>
      <c r="XX17" s="314" t="s">
        <v>203</v>
      </c>
      <c r="XY17" s="314" t="s">
        <v>203</v>
      </c>
      <c r="XZ17" s="314" t="s">
        <v>203</v>
      </c>
      <c r="YA17" s="314" t="s">
        <v>203</v>
      </c>
      <c r="YB17" s="314" t="s">
        <v>203</v>
      </c>
      <c r="YC17" s="314" t="s">
        <v>203</v>
      </c>
      <c r="YD17" s="314" t="s">
        <v>203</v>
      </c>
      <c r="YE17" s="314" t="s">
        <v>203</v>
      </c>
      <c r="YF17" s="314" t="s">
        <v>203</v>
      </c>
      <c r="YG17" s="314" t="s">
        <v>203</v>
      </c>
      <c r="YH17" s="314" t="s">
        <v>203</v>
      </c>
      <c r="YI17" s="314" t="s">
        <v>203</v>
      </c>
      <c r="YJ17" s="314" t="s">
        <v>203</v>
      </c>
      <c r="YK17" s="314" t="s">
        <v>203</v>
      </c>
      <c r="YL17" s="314" t="s">
        <v>203</v>
      </c>
      <c r="YM17" s="314" t="s">
        <v>203</v>
      </c>
      <c r="YN17" s="314" t="s">
        <v>203</v>
      </c>
      <c r="YO17" s="314" t="s">
        <v>203</v>
      </c>
      <c r="YP17" s="314" t="s">
        <v>203</v>
      </c>
      <c r="YQ17" s="314" t="s">
        <v>203</v>
      </c>
      <c r="YR17" s="314" t="s">
        <v>203</v>
      </c>
      <c r="YS17" s="314" t="s">
        <v>203</v>
      </c>
      <c r="YT17" s="314" t="s">
        <v>203</v>
      </c>
      <c r="YU17" s="314" t="s">
        <v>203</v>
      </c>
      <c r="YV17" s="314" t="s">
        <v>203</v>
      </c>
      <c r="YW17" s="314" t="s">
        <v>203</v>
      </c>
      <c r="YX17" s="314" t="s">
        <v>203</v>
      </c>
      <c r="YY17" s="314" t="s">
        <v>203</v>
      </c>
      <c r="YZ17" s="314" t="s">
        <v>203</v>
      </c>
      <c r="ZA17" s="314" t="s">
        <v>203</v>
      </c>
      <c r="ZB17" s="314" t="s">
        <v>203</v>
      </c>
      <c r="ZC17" s="314" t="s">
        <v>203</v>
      </c>
      <c r="ZD17" s="314" t="s">
        <v>203</v>
      </c>
      <c r="ZE17" s="314" t="s">
        <v>203</v>
      </c>
      <c r="ZF17" s="314" t="s">
        <v>203</v>
      </c>
      <c r="ZG17" s="314" t="s">
        <v>203</v>
      </c>
      <c r="ZH17" s="314" t="s">
        <v>203</v>
      </c>
      <c r="ZI17" s="314" t="s">
        <v>203</v>
      </c>
      <c r="ZJ17" s="314" t="s">
        <v>203</v>
      </c>
      <c r="ZK17" s="314" t="s">
        <v>203</v>
      </c>
      <c r="ZL17" s="314" t="s">
        <v>203</v>
      </c>
      <c r="ZM17" s="314" t="s">
        <v>203</v>
      </c>
      <c r="ZN17" s="314" t="s">
        <v>203</v>
      </c>
      <c r="ZO17" s="314" t="s">
        <v>203</v>
      </c>
      <c r="ZP17" s="314" t="s">
        <v>203</v>
      </c>
      <c r="ZQ17" s="314" t="s">
        <v>203</v>
      </c>
      <c r="ZR17" s="314" t="s">
        <v>203</v>
      </c>
      <c r="ZS17" s="314" t="s">
        <v>203</v>
      </c>
      <c r="ZT17" s="314" t="s">
        <v>203</v>
      </c>
      <c r="ZU17" s="314" t="s">
        <v>203</v>
      </c>
      <c r="ZV17" s="314" t="s">
        <v>203</v>
      </c>
      <c r="ZW17" s="314" t="s">
        <v>203</v>
      </c>
      <c r="ZX17" s="314" t="s">
        <v>203</v>
      </c>
      <c r="ZY17" s="314" t="s">
        <v>203</v>
      </c>
      <c r="ZZ17" s="314" t="s">
        <v>203</v>
      </c>
      <c r="AAA17" s="314" t="s">
        <v>203</v>
      </c>
      <c r="AAB17" s="314" t="s">
        <v>203</v>
      </c>
      <c r="AAC17" s="314" t="s">
        <v>203</v>
      </c>
      <c r="AAD17" s="314" t="s">
        <v>203</v>
      </c>
      <c r="AAE17" s="314" t="s">
        <v>203</v>
      </c>
      <c r="AAF17" s="314" t="s">
        <v>203</v>
      </c>
      <c r="AAG17" s="314" t="s">
        <v>203</v>
      </c>
      <c r="AAH17" s="314" t="s">
        <v>203</v>
      </c>
      <c r="AAI17" s="314" t="s">
        <v>203</v>
      </c>
      <c r="AAJ17" s="314" t="s">
        <v>203</v>
      </c>
      <c r="AAK17" s="314" t="s">
        <v>203</v>
      </c>
      <c r="AAL17" s="314" t="s">
        <v>203</v>
      </c>
      <c r="AAM17" s="314" t="s">
        <v>203</v>
      </c>
      <c r="AAN17" s="314" t="s">
        <v>203</v>
      </c>
      <c r="AAO17" s="314" t="s">
        <v>203</v>
      </c>
      <c r="AAP17" s="314" t="s">
        <v>203</v>
      </c>
      <c r="AAQ17" s="314" t="s">
        <v>203</v>
      </c>
      <c r="AAR17" s="314" t="s">
        <v>203</v>
      </c>
      <c r="AAS17" s="314" t="s">
        <v>203</v>
      </c>
      <c r="AAT17" s="314" t="s">
        <v>203</v>
      </c>
      <c r="AAU17" s="314" t="s">
        <v>203</v>
      </c>
      <c r="AAV17" s="314" t="s">
        <v>203</v>
      </c>
      <c r="AAW17" s="314" t="s">
        <v>203</v>
      </c>
      <c r="AAX17" s="314" t="s">
        <v>203</v>
      </c>
      <c r="AAY17" s="314" t="s">
        <v>203</v>
      </c>
      <c r="AAZ17" s="314" t="s">
        <v>203</v>
      </c>
      <c r="ABA17" s="314" t="s">
        <v>203</v>
      </c>
      <c r="ABB17" s="314" t="s">
        <v>203</v>
      </c>
      <c r="ABC17" s="314" t="s">
        <v>203</v>
      </c>
      <c r="ABD17" s="314" t="s">
        <v>203</v>
      </c>
      <c r="ABE17" s="314" t="s">
        <v>203</v>
      </c>
      <c r="ABF17" s="314" t="s">
        <v>203</v>
      </c>
      <c r="ABG17" s="314" t="s">
        <v>203</v>
      </c>
      <c r="ABH17" s="314" t="s">
        <v>203</v>
      </c>
      <c r="ABI17" s="314" t="s">
        <v>203</v>
      </c>
      <c r="ABJ17" s="314" t="s">
        <v>203</v>
      </c>
      <c r="ABK17" s="314" t="s">
        <v>203</v>
      </c>
      <c r="ABL17" s="314" t="s">
        <v>203</v>
      </c>
      <c r="ABM17" s="314" t="s">
        <v>203</v>
      </c>
      <c r="ABN17" s="314" t="s">
        <v>203</v>
      </c>
      <c r="ABO17" s="314" t="s">
        <v>203</v>
      </c>
      <c r="ABP17" s="314" t="s">
        <v>203</v>
      </c>
      <c r="ABQ17" s="314" t="s">
        <v>203</v>
      </c>
      <c r="ABR17" s="314" t="s">
        <v>203</v>
      </c>
      <c r="ABS17" s="314" t="s">
        <v>203</v>
      </c>
      <c r="ABT17" s="314" t="s">
        <v>203</v>
      </c>
      <c r="ABU17" s="314" t="s">
        <v>203</v>
      </c>
      <c r="ABV17" s="314" t="s">
        <v>203</v>
      </c>
      <c r="ABW17" s="314" t="s">
        <v>203</v>
      </c>
      <c r="ABX17" s="314" t="s">
        <v>203</v>
      </c>
      <c r="ABY17" s="314" t="s">
        <v>203</v>
      </c>
      <c r="ABZ17" s="314" t="s">
        <v>203</v>
      </c>
      <c r="ACA17" s="314" t="s">
        <v>203</v>
      </c>
      <c r="ACB17" s="314" t="s">
        <v>203</v>
      </c>
      <c r="ACC17" s="314" t="s">
        <v>203</v>
      </c>
      <c r="ACD17" s="314" t="s">
        <v>203</v>
      </c>
      <c r="ACE17" s="314" t="s">
        <v>203</v>
      </c>
      <c r="ACF17" s="314" t="s">
        <v>203</v>
      </c>
      <c r="ACG17" s="314" t="s">
        <v>203</v>
      </c>
      <c r="ACH17" s="314" t="s">
        <v>203</v>
      </c>
      <c r="ACI17" s="314" t="s">
        <v>203</v>
      </c>
      <c r="ACJ17" s="314" t="s">
        <v>203</v>
      </c>
      <c r="ACK17" s="314" t="s">
        <v>203</v>
      </c>
      <c r="ACL17" s="314" t="s">
        <v>203</v>
      </c>
      <c r="ACM17" s="314" t="s">
        <v>203</v>
      </c>
      <c r="ACN17" s="314" t="s">
        <v>203</v>
      </c>
      <c r="ACO17" s="314" t="s">
        <v>203</v>
      </c>
      <c r="ACP17" s="314" t="s">
        <v>203</v>
      </c>
      <c r="ACQ17" s="314" t="s">
        <v>203</v>
      </c>
      <c r="ACR17" s="314" t="s">
        <v>203</v>
      </c>
      <c r="ACS17" s="314" t="s">
        <v>203</v>
      </c>
      <c r="ACT17" s="314" t="s">
        <v>203</v>
      </c>
      <c r="ACU17" s="314" t="s">
        <v>203</v>
      </c>
      <c r="ACV17" s="314" t="s">
        <v>203</v>
      </c>
      <c r="ACW17" s="314" t="s">
        <v>203</v>
      </c>
      <c r="ACX17" s="314" t="s">
        <v>203</v>
      </c>
      <c r="ACY17" s="314" t="s">
        <v>203</v>
      </c>
      <c r="ACZ17" s="314" t="s">
        <v>203</v>
      </c>
      <c r="ADA17" s="314" t="s">
        <v>203</v>
      </c>
      <c r="ADB17" s="314" t="s">
        <v>203</v>
      </c>
      <c r="ADC17" s="314" t="s">
        <v>203</v>
      </c>
      <c r="ADD17" s="314" t="s">
        <v>203</v>
      </c>
      <c r="ADE17" s="314" t="s">
        <v>203</v>
      </c>
      <c r="ADF17" s="314" t="s">
        <v>203</v>
      </c>
      <c r="ADG17" s="314" t="s">
        <v>203</v>
      </c>
      <c r="ADH17" s="314" t="s">
        <v>203</v>
      </c>
      <c r="ADI17" s="314" t="s">
        <v>203</v>
      </c>
      <c r="ADJ17" s="314" t="s">
        <v>203</v>
      </c>
      <c r="ADK17" s="314" t="s">
        <v>203</v>
      </c>
      <c r="ADL17" s="314" t="s">
        <v>203</v>
      </c>
      <c r="ADM17" s="314" t="s">
        <v>203</v>
      </c>
      <c r="ADN17" s="314" t="s">
        <v>203</v>
      </c>
      <c r="ADO17" s="314" t="s">
        <v>203</v>
      </c>
      <c r="ADP17" s="314" t="s">
        <v>203</v>
      </c>
      <c r="ADQ17" s="314" t="s">
        <v>203</v>
      </c>
      <c r="ADR17" s="314" t="s">
        <v>203</v>
      </c>
      <c r="ADS17" s="314" t="s">
        <v>203</v>
      </c>
      <c r="ADT17" s="314" t="s">
        <v>203</v>
      </c>
      <c r="ADU17" s="314" t="s">
        <v>203</v>
      </c>
      <c r="ADV17" s="314" t="s">
        <v>203</v>
      </c>
      <c r="ADW17" s="314" t="s">
        <v>203</v>
      </c>
      <c r="ADX17" s="314" t="s">
        <v>203</v>
      </c>
      <c r="ADY17" s="314" t="s">
        <v>203</v>
      </c>
      <c r="ADZ17" s="314" t="s">
        <v>203</v>
      </c>
      <c r="AEA17" s="314" t="s">
        <v>203</v>
      </c>
      <c r="AEB17" s="314" t="s">
        <v>203</v>
      </c>
      <c r="AEC17" s="314" t="s">
        <v>203</v>
      </c>
      <c r="AED17" s="314" t="s">
        <v>203</v>
      </c>
      <c r="AEE17" s="314" t="s">
        <v>203</v>
      </c>
      <c r="AEF17" s="314" t="s">
        <v>203</v>
      </c>
      <c r="AEG17" s="314" t="s">
        <v>203</v>
      </c>
      <c r="AEH17" s="314" t="s">
        <v>203</v>
      </c>
      <c r="AEI17" s="314" t="s">
        <v>203</v>
      </c>
      <c r="AEJ17" s="314" t="s">
        <v>203</v>
      </c>
      <c r="AEK17" s="314" t="s">
        <v>203</v>
      </c>
      <c r="AEL17" s="314" t="s">
        <v>203</v>
      </c>
      <c r="AEM17" s="314" t="s">
        <v>203</v>
      </c>
      <c r="AEN17" s="314" t="s">
        <v>203</v>
      </c>
      <c r="AEO17" s="314" t="s">
        <v>203</v>
      </c>
      <c r="AEP17" s="314" t="s">
        <v>203</v>
      </c>
      <c r="AEQ17" s="314" t="s">
        <v>203</v>
      </c>
      <c r="AER17" s="314" t="s">
        <v>203</v>
      </c>
      <c r="AES17" s="314" t="s">
        <v>203</v>
      </c>
      <c r="AET17" s="314" t="s">
        <v>203</v>
      </c>
      <c r="AEU17" s="314" t="s">
        <v>203</v>
      </c>
      <c r="AEV17" s="314" t="s">
        <v>203</v>
      </c>
      <c r="AEW17" s="314" t="s">
        <v>203</v>
      </c>
      <c r="AEX17" s="314" t="s">
        <v>203</v>
      </c>
      <c r="AEY17" s="314" t="s">
        <v>203</v>
      </c>
      <c r="AEZ17" s="314" t="s">
        <v>203</v>
      </c>
      <c r="AFA17" s="314" t="s">
        <v>203</v>
      </c>
      <c r="AFB17" s="314" t="s">
        <v>203</v>
      </c>
      <c r="AFC17" s="314" t="s">
        <v>203</v>
      </c>
      <c r="AFD17" s="314" t="s">
        <v>203</v>
      </c>
      <c r="AFE17" s="314" t="s">
        <v>203</v>
      </c>
      <c r="AFF17" s="314" t="s">
        <v>203</v>
      </c>
      <c r="AFG17" s="314" t="s">
        <v>203</v>
      </c>
      <c r="AFH17" s="314" t="s">
        <v>203</v>
      </c>
      <c r="AFI17" s="314" t="s">
        <v>203</v>
      </c>
      <c r="AFJ17" s="314" t="s">
        <v>203</v>
      </c>
      <c r="AFK17" s="314" t="s">
        <v>203</v>
      </c>
      <c r="AFL17" s="314" t="s">
        <v>203</v>
      </c>
      <c r="AFM17" s="314" t="s">
        <v>203</v>
      </c>
      <c r="AFN17" s="314" t="s">
        <v>203</v>
      </c>
      <c r="AFO17" s="314" t="s">
        <v>203</v>
      </c>
      <c r="AFP17" s="314" t="s">
        <v>203</v>
      </c>
      <c r="AFQ17" s="314" t="s">
        <v>203</v>
      </c>
      <c r="AFR17" s="314" t="s">
        <v>203</v>
      </c>
      <c r="AFS17" s="314" t="s">
        <v>203</v>
      </c>
      <c r="AFT17" s="314" t="s">
        <v>203</v>
      </c>
      <c r="AFU17" s="314" t="s">
        <v>203</v>
      </c>
      <c r="AFV17" s="314" t="s">
        <v>203</v>
      </c>
      <c r="AFW17" s="314" t="s">
        <v>203</v>
      </c>
      <c r="AFX17" s="314" t="s">
        <v>203</v>
      </c>
      <c r="AFY17" s="314" t="s">
        <v>203</v>
      </c>
      <c r="AFZ17" s="314" t="s">
        <v>203</v>
      </c>
      <c r="AGA17" s="314" t="s">
        <v>203</v>
      </c>
      <c r="AGB17" s="314" t="s">
        <v>203</v>
      </c>
      <c r="AGC17" s="314" t="s">
        <v>203</v>
      </c>
      <c r="AGD17" s="314" t="s">
        <v>203</v>
      </c>
      <c r="AGE17" s="314" t="s">
        <v>203</v>
      </c>
      <c r="AGF17" s="314" t="s">
        <v>203</v>
      </c>
      <c r="AGG17" s="314" t="s">
        <v>203</v>
      </c>
      <c r="AGH17" s="314" t="s">
        <v>203</v>
      </c>
      <c r="AGI17" s="314" t="s">
        <v>203</v>
      </c>
      <c r="AGJ17" s="314" t="s">
        <v>203</v>
      </c>
      <c r="AGK17" s="314" t="s">
        <v>203</v>
      </c>
      <c r="AGL17" s="314" t="s">
        <v>203</v>
      </c>
      <c r="AGM17" s="314" t="s">
        <v>203</v>
      </c>
      <c r="AGN17" s="314" t="s">
        <v>203</v>
      </c>
      <c r="AGO17" s="314" t="s">
        <v>203</v>
      </c>
      <c r="AGP17" s="314" t="s">
        <v>203</v>
      </c>
      <c r="AGQ17" s="314" t="s">
        <v>203</v>
      </c>
      <c r="AGR17" s="314" t="s">
        <v>203</v>
      </c>
      <c r="AGS17" s="314" t="s">
        <v>203</v>
      </c>
      <c r="AGT17" s="314" t="s">
        <v>203</v>
      </c>
      <c r="AGU17" s="314" t="s">
        <v>203</v>
      </c>
      <c r="AGV17" s="314" t="s">
        <v>203</v>
      </c>
      <c r="AGW17" s="314" t="s">
        <v>203</v>
      </c>
      <c r="AGX17" s="314" t="s">
        <v>203</v>
      </c>
      <c r="AGY17" s="314" t="s">
        <v>203</v>
      </c>
      <c r="AGZ17" s="314" t="s">
        <v>203</v>
      </c>
      <c r="AHA17" s="314" t="s">
        <v>203</v>
      </c>
      <c r="AHB17" s="314" t="s">
        <v>203</v>
      </c>
      <c r="AHC17" s="314" t="s">
        <v>203</v>
      </c>
      <c r="AHD17" s="314" t="s">
        <v>203</v>
      </c>
      <c r="AHE17" s="314" t="s">
        <v>203</v>
      </c>
      <c r="AHF17" s="314" t="s">
        <v>203</v>
      </c>
      <c r="AHG17" s="314" t="s">
        <v>203</v>
      </c>
      <c r="AHH17" s="314" t="s">
        <v>203</v>
      </c>
      <c r="AHI17" s="314" t="s">
        <v>203</v>
      </c>
      <c r="AHJ17" s="314" t="s">
        <v>203</v>
      </c>
      <c r="AHK17" s="314" t="s">
        <v>203</v>
      </c>
      <c r="AHL17" s="314" t="s">
        <v>203</v>
      </c>
      <c r="AHM17" s="314" t="s">
        <v>203</v>
      </c>
      <c r="AHN17" s="314" t="s">
        <v>203</v>
      </c>
      <c r="AHO17" s="314" t="s">
        <v>203</v>
      </c>
      <c r="AHP17" s="314" t="s">
        <v>203</v>
      </c>
      <c r="AHQ17" s="314" t="s">
        <v>203</v>
      </c>
      <c r="AHR17" s="314" t="s">
        <v>203</v>
      </c>
      <c r="AHS17" s="314" t="s">
        <v>203</v>
      </c>
      <c r="AHT17" s="314" t="s">
        <v>203</v>
      </c>
      <c r="AHU17" s="314" t="s">
        <v>203</v>
      </c>
      <c r="AHV17" s="314" t="s">
        <v>203</v>
      </c>
      <c r="AHW17" s="314" t="s">
        <v>203</v>
      </c>
      <c r="AHX17" s="314" t="s">
        <v>203</v>
      </c>
      <c r="AHY17" s="314" t="s">
        <v>203</v>
      </c>
      <c r="AHZ17" s="314" t="s">
        <v>203</v>
      </c>
      <c r="AIA17" s="314" t="s">
        <v>203</v>
      </c>
      <c r="AIB17" s="314" t="s">
        <v>203</v>
      </c>
      <c r="AIC17" s="314" t="s">
        <v>203</v>
      </c>
      <c r="AID17" s="314" t="s">
        <v>203</v>
      </c>
      <c r="AIE17" s="314" t="s">
        <v>203</v>
      </c>
      <c r="AIF17" s="314" t="s">
        <v>203</v>
      </c>
      <c r="AIG17" s="314" t="s">
        <v>203</v>
      </c>
      <c r="AIH17" s="314" t="s">
        <v>203</v>
      </c>
      <c r="AII17" s="314" t="s">
        <v>203</v>
      </c>
      <c r="AIJ17" s="314" t="s">
        <v>203</v>
      </c>
      <c r="AIK17" s="314" t="s">
        <v>203</v>
      </c>
      <c r="AIL17" s="314" t="s">
        <v>203</v>
      </c>
      <c r="AIM17" s="314" t="s">
        <v>203</v>
      </c>
      <c r="AIN17" s="314" t="s">
        <v>203</v>
      </c>
      <c r="AIO17" s="314" t="s">
        <v>203</v>
      </c>
      <c r="AIP17" s="314" t="s">
        <v>203</v>
      </c>
      <c r="AIQ17" s="314" t="s">
        <v>203</v>
      </c>
      <c r="AIR17" s="314" t="s">
        <v>203</v>
      </c>
      <c r="AIS17" s="314" t="s">
        <v>203</v>
      </c>
      <c r="AIT17" s="314" t="s">
        <v>203</v>
      </c>
      <c r="AIU17" s="314" t="s">
        <v>203</v>
      </c>
      <c r="AIV17" s="314" t="s">
        <v>203</v>
      </c>
      <c r="AIW17" s="314" t="s">
        <v>203</v>
      </c>
      <c r="AIX17" s="314" t="s">
        <v>203</v>
      </c>
      <c r="AIY17" s="314" t="s">
        <v>203</v>
      </c>
      <c r="AIZ17" s="314" t="s">
        <v>203</v>
      </c>
      <c r="AJA17" s="314" t="s">
        <v>203</v>
      </c>
      <c r="AJB17" s="314" t="s">
        <v>203</v>
      </c>
      <c r="AJC17" s="314" t="s">
        <v>203</v>
      </c>
      <c r="AJD17" s="314" t="s">
        <v>203</v>
      </c>
      <c r="AJE17" s="314" t="s">
        <v>203</v>
      </c>
      <c r="AJF17" s="314" t="s">
        <v>203</v>
      </c>
      <c r="AJG17" s="314" t="s">
        <v>203</v>
      </c>
      <c r="AJH17" s="314" t="s">
        <v>203</v>
      </c>
      <c r="AJI17" s="314" t="s">
        <v>203</v>
      </c>
      <c r="AJJ17" s="314" t="s">
        <v>203</v>
      </c>
      <c r="AJK17" s="314" t="s">
        <v>203</v>
      </c>
      <c r="AJL17" s="314" t="s">
        <v>203</v>
      </c>
      <c r="AJM17" s="314" t="s">
        <v>203</v>
      </c>
      <c r="AJN17" s="314" t="s">
        <v>203</v>
      </c>
      <c r="AJO17" s="314" t="s">
        <v>203</v>
      </c>
      <c r="AJP17" s="314" t="s">
        <v>203</v>
      </c>
      <c r="AJQ17" s="314" t="s">
        <v>203</v>
      </c>
      <c r="AJR17" s="314" t="s">
        <v>203</v>
      </c>
      <c r="AJS17" s="314" t="s">
        <v>203</v>
      </c>
      <c r="AJT17" s="314" t="s">
        <v>203</v>
      </c>
      <c r="AJU17" s="314" t="s">
        <v>203</v>
      </c>
      <c r="AJV17" s="314" t="s">
        <v>203</v>
      </c>
      <c r="AJW17" s="314" t="s">
        <v>203</v>
      </c>
      <c r="AJX17" s="314" t="s">
        <v>203</v>
      </c>
      <c r="AJY17" s="314" t="s">
        <v>203</v>
      </c>
      <c r="AJZ17" s="314" t="s">
        <v>203</v>
      </c>
      <c r="AKA17" s="314" t="s">
        <v>203</v>
      </c>
      <c r="AKB17" s="314" t="s">
        <v>203</v>
      </c>
      <c r="AKC17" s="314" t="s">
        <v>203</v>
      </c>
      <c r="AKD17" s="314" t="s">
        <v>203</v>
      </c>
      <c r="AKE17" s="314" t="s">
        <v>203</v>
      </c>
      <c r="AKF17" s="314" t="s">
        <v>203</v>
      </c>
      <c r="AKG17" s="314" t="s">
        <v>203</v>
      </c>
      <c r="AKH17" s="314" t="s">
        <v>203</v>
      </c>
      <c r="AKI17" s="314" t="s">
        <v>203</v>
      </c>
      <c r="AKJ17" s="314" t="s">
        <v>203</v>
      </c>
      <c r="AKK17" s="314" t="s">
        <v>203</v>
      </c>
      <c r="AKL17" s="314" t="s">
        <v>203</v>
      </c>
      <c r="AKM17" s="314" t="s">
        <v>203</v>
      </c>
      <c r="AKN17" s="314" t="s">
        <v>203</v>
      </c>
      <c r="AKO17" s="314" t="s">
        <v>203</v>
      </c>
      <c r="AKP17" s="314" t="s">
        <v>203</v>
      </c>
      <c r="AKQ17" s="314" t="s">
        <v>203</v>
      </c>
      <c r="AKR17" s="314" t="s">
        <v>203</v>
      </c>
      <c r="AKS17" s="314" t="s">
        <v>203</v>
      </c>
      <c r="AKT17" s="314" t="s">
        <v>203</v>
      </c>
      <c r="AKU17" s="314" t="s">
        <v>203</v>
      </c>
      <c r="AKV17" s="314" t="s">
        <v>203</v>
      </c>
      <c r="AKW17" s="314" t="s">
        <v>203</v>
      </c>
      <c r="AKX17" s="314" t="s">
        <v>203</v>
      </c>
      <c r="AKY17" s="314" t="s">
        <v>203</v>
      </c>
      <c r="AKZ17" s="314" t="s">
        <v>203</v>
      </c>
      <c r="ALA17" s="314" t="s">
        <v>203</v>
      </c>
      <c r="ALB17" s="314" t="s">
        <v>203</v>
      </c>
      <c r="ALC17" s="314" t="s">
        <v>203</v>
      </c>
      <c r="ALD17" s="314" t="s">
        <v>203</v>
      </c>
      <c r="ALE17" s="314" t="s">
        <v>203</v>
      </c>
      <c r="ALF17" s="314" t="s">
        <v>203</v>
      </c>
      <c r="ALG17" s="314" t="s">
        <v>203</v>
      </c>
      <c r="ALH17" s="314" t="s">
        <v>203</v>
      </c>
      <c r="ALI17" s="314" t="s">
        <v>203</v>
      </c>
      <c r="ALJ17" s="314" t="s">
        <v>203</v>
      </c>
      <c r="ALK17" s="314" t="s">
        <v>203</v>
      </c>
      <c r="ALL17" s="314" t="s">
        <v>203</v>
      </c>
      <c r="ALM17" s="314" t="s">
        <v>203</v>
      </c>
      <c r="ALN17" s="314" t="s">
        <v>203</v>
      </c>
      <c r="ALO17" s="314" t="s">
        <v>203</v>
      </c>
      <c r="ALP17" s="314" t="s">
        <v>203</v>
      </c>
      <c r="ALQ17" s="314" t="s">
        <v>203</v>
      </c>
      <c r="ALR17" s="314" t="s">
        <v>203</v>
      </c>
      <c r="ALS17" s="314" t="s">
        <v>203</v>
      </c>
      <c r="ALT17" s="314" t="s">
        <v>203</v>
      </c>
      <c r="ALU17" s="314" t="s">
        <v>203</v>
      </c>
      <c r="ALV17" s="314" t="s">
        <v>203</v>
      </c>
      <c r="ALW17" s="314" t="s">
        <v>203</v>
      </c>
      <c r="ALX17" s="314" t="s">
        <v>203</v>
      </c>
      <c r="ALY17" s="314" t="s">
        <v>203</v>
      </c>
      <c r="ALZ17" s="314" t="s">
        <v>203</v>
      </c>
      <c r="AMA17" s="314" t="s">
        <v>203</v>
      </c>
      <c r="AMB17" s="314" t="s">
        <v>203</v>
      </c>
      <c r="AMC17" s="314" t="s">
        <v>203</v>
      </c>
      <c r="AMD17" s="314" t="s">
        <v>203</v>
      </c>
      <c r="AME17" s="314" t="s">
        <v>203</v>
      </c>
      <c r="AMF17" s="314" t="s">
        <v>203</v>
      </c>
      <c r="AMG17" s="314" t="s">
        <v>203</v>
      </c>
      <c r="AMH17" s="314" t="s">
        <v>203</v>
      </c>
      <c r="AMI17" s="314" t="s">
        <v>203</v>
      </c>
      <c r="AMJ17" s="314" t="s">
        <v>203</v>
      </c>
      <c r="AMK17" s="314" t="s">
        <v>203</v>
      </c>
      <c r="AML17" s="314" t="s">
        <v>203</v>
      </c>
      <c r="AMM17" s="314" t="s">
        <v>203</v>
      </c>
      <c r="AMN17" s="314" t="s">
        <v>203</v>
      </c>
      <c r="AMO17" s="314" t="s">
        <v>203</v>
      </c>
      <c r="AMP17" s="314" t="s">
        <v>203</v>
      </c>
      <c r="AMQ17" s="314" t="s">
        <v>203</v>
      </c>
      <c r="AMR17" s="314" t="s">
        <v>203</v>
      </c>
      <c r="AMS17" s="314" t="s">
        <v>203</v>
      </c>
      <c r="AMT17" s="314" t="s">
        <v>203</v>
      </c>
      <c r="AMU17" s="314" t="s">
        <v>203</v>
      </c>
      <c r="AMV17" s="314" t="s">
        <v>203</v>
      </c>
      <c r="AMW17" s="314" t="s">
        <v>203</v>
      </c>
      <c r="AMX17" s="314" t="s">
        <v>203</v>
      </c>
      <c r="AMY17" s="314" t="s">
        <v>203</v>
      </c>
      <c r="AMZ17" s="314" t="s">
        <v>203</v>
      </c>
      <c r="ANA17" s="314" t="s">
        <v>203</v>
      </c>
      <c r="ANB17" s="314" t="s">
        <v>203</v>
      </c>
      <c r="ANC17" s="314" t="s">
        <v>203</v>
      </c>
      <c r="AND17" s="314" t="s">
        <v>203</v>
      </c>
      <c r="ANE17" s="314" t="s">
        <v>203</v>
      </c>
      <c r="ANF17" s="314" t="s">
        <v>203</v>
      </c>
      <c r="ANG17" s="314" t="s">
        <v>203</v>
      </c>
      <c r="ANH17" s="314" t="s">
        <v>203</v>
      </c>
      <c r="ANI17" s="314" t="s">
        <v>203</v>
      </c>
      <c r="ANJ17" s="314" t="s">
        <v>203</v>
      </c>
      <c r="ANK17" s="314" t="s">
        <v>203</v>
      </c>
      <c r="ANL17" s="314" t="s">
        <v>203</v>
      </c>
      <c r="ANM17" s="314" t="s">
        <v>203</v>
      </c>
      <c r="ANN17" s="314" t="s">
        <v>203</v>
      </c>
      <c r="ANO17" s="314" t="s">
        <v>203</v>
      </c>
      <c r="ANP17" s="314" t="s">
        <v>203</v>
      </c>
      <c r="ANQ17" s="314" t="s">
        <v>203</v>
      </c>
      <c r="ANR17" s="314" t="s">
        <v>203</v>
      </c>
      <c r="ANS17" s="314" t="s">
        <v>203</v>
      </c>
      <c r="ANT17" s="314" t="s">
        <v>203</v>
      </c>
      <c r="ANU17" s="314" t="s">
        <v>203</v>
      </c>
      <c r="ANV17" s="314" t="s">
        <v>203</v>
      </c>
      <c r="ANW17" s="314" t="s">
        <v>203</v>
      </c>
      <c r="ANX17" s="314" t="s">
        <v>203</v>
      </c>
      <c r="ANY17" s="314" t="s">
        <v>203</v>
      </c>
      <c r="ANZ17" s="314" t="s">
        <v>203</v>
      </c>
      <c r="AOA17" s="314" t="s">
        <v>203</v>
      </c>
      <c r="AOB17" s="314" t="s">
        <v>203</v>
      </c>
      <c r="AOC17" s="314" t="s">
        <v>203</v>
      </c>
      <c r="AOD17" s="314" t="s">
        <v>203</v>
      </c>
      <c r="AOE17" s="314" t="s">
        <v>203</v>
      </c>
      <c r="AOF17" s="314" t="s">
        <v>203</v>
      </c>
      <c r="AOG17" s="314" t="s">
        <v>203</v>
      </c>
      <c r="AOH17" s="314" t="s">
        <v>203</v>
      </c>
      <c r="AOI17" s="314" t="s">
        <v>203</v>
      </c>
      <c r="AOJ17" s="314" t="s">
        <v>203</v>
      </c>
      <c r="AOK17" s="314" t="s">
        <v>203</v>
      </c>
      <c r="AOL17" s="314" t="s">
        <v>203</v>
      </c>
      <c r="AOM17" s="314" t="s">
        <v>203</v>
      </c>
      <c r="AON17" s="314" t="s">
        <v>203</v>
      </c>
      <c r="AOO17" s="314" t="s">
        <v>203</v>
      </c>
      <c r="AOP17" s="314" t="s">
        <v>203</v>
      </c>
      <c r="AOQ17" s="314" t="s">
        <v>203</v>
      </c>
      <c r="AOR17" s="314" t="s">
        <v>203</v>
      </c>
      <c r="AOS17" s="314" t="s">
        <v>203</v>
      </c>
      <c r="AOT17" s="314" t="s">
        <v>203</v>
      </c>
      <c r="AOU17" s="314" t="s">
        <v>203</v>
      </c>
      <c r="AOV17" s="314" t="s">
        <v>203</v>
      </c>
      <c r="AOW17" s="314" t="s">
        <v>203</v>
      </c>
      <c r="AOX17" s="314" t="s">
        <v>203</v>
      </c>
      <c r="AOY17" s="314" t="s">
        <v>203</v>
      </c>
      <c r="AOZ17" s="314" t="s">
        <v>203</v>
      </c>
      <c r="APA17" s="314" t="s">
        <v>203</v>
      </c>
      <c r="APB17" s="314" t="s">
        <v>203</v>
      </c>
      <c r="APC17" s="314" t="s">
        <v>203</v>
      </c>
      <c r="APD17" s="314" t="s">
        <v>203</v>
      </c>
      <c r="APE17" s="314" t="s">
        <v>203</v>
      </c>
      <c r="APF17" s="314" t="s">
        <v>203</v>
      </c>
      <c r="APG17" s="314" t="s">
        <v>203</v>
      </c>
      <c r="APH17" s="314" t="s">
        <v>203</v>
      </c>
      <c r="API17" s="314" t="s">
        <v>203</v>
      </c>
      <c r="APJ17" s="314" t="s">
        <v>203</v>
      </c>
      <c r="APK17" s="314" t="s">
        <v>203</v>
      </c>
      <c r="APL17" s="314" t="s">
        <v>203</v>
      </c>
      <c r="APM17" s="314" t="s">
        <v>203</v>
      </c>
      <c r="APN17" s="314" t="s">
        <v>203</v>
      </c>
      <c r="APO17" s="314" t="s">
        <v>203</v>
      </c>
      <c r="APP17" s="314" t="s">
        <v>203</v>
      </c>
      <c r="APQ17" s="314" t="s">
        <v>203</v>
      </c>
      <c r="APR17" s="314" t="s">
        <v>203</v>
      </c>
      <c r="APS17" s="314" t="s">
        <v>203</v>
      </c>
      <c r="APT17" s="314" t="s">
        <v>203</v>
      </c>
      <c r="APU17" s="314" t="s">
        <v>203</v>
      </c>
      <c r="APV17" s="314" t="s">
        <v>203</v>
      </c>
      <c r="APW17" s="314" t="s">
        <v>203</v>
      </c>
      <c r="APX17" s="314" t="s">
        <v>203</v>
      </c>
      <c r="APY17" s="314" t="s">
        <v>203</v>
      </c>
      <c r="APZ17" s="314" t="s">
        <v>203</v>
      </c>
      <c r="AQA17" s="314" t="s">
        <v>203</v>
      </c>
      <c r="AQB17" s="314" t="s">
        <v>203</v>
      </c>
      <c r="AQC17" s="314" t="s">
        <v>203</v>
      </c>
      <c r="AQD17" s="314" t="s">
        <v>203</v>
      </c>
      <c r="AQE17" s="314" t="s">
        <v>203</v>
      </c>
      <c r="AQF17" s="314" t="s">
        <v>203</v>
      </c>
      <c r="AQG17" s="314" t="s">
        <v>203</v>
      </c>
      <c r="AQH17" s="314" t="s">
        <v>203</v>
      </c>
      <c r="AQI17" s="314" t="s">
        <v>203</v>
      </c>
      <c r="AQJ17" s="314" t="s">
        <v>203</v>
      </c>
      <c r="AQK17" s="314" t="s">
        <v>203</v>
      </c>
      <c r="AQL17" s="314" t="s">
        <v>203</v>
      </c>
      <c r="AQM17" s="314" t="s">
        <v>203</v>
      </c>
      <c r="AQN17" s="314" t="s">
        <v>203</v>
      </c>
      <c r="AQO17" s="314" t="s">
        <v>203</v>
      </c>
      <c r="AQP17" s="314" t="s">
        <v>203</v>
      </c>
      <c r="AQQ17" s="314" t="s">
        <v>203</v>
      </c>
      <c r="AQR17" s="314" t="s">
        <v>203</v>
      </c>
      <c r="AQS17" s="314" t="s">
        <v>203</v>
      </c>
      <c r="AQT17" s="314" t="s">
        <v>203</v>
      </c>
      <c r="AQU17" s="314" t="s">
        <v>203</v>
      </c>
      <c r="AQV17" s="314" t="s">
        <v>203</v>
      </c>
      <c r="AQW17" s="314" t="s">
        <v>203</v>
      </c>
      <c r="AQX17" s="314" t="s">
        <v>203</v>
      </c>
      <c r="AQY17" s="314" t="s">
        <v>203</v>
      </c>
      <c r="AQZ17" s="314" t="s">
        <v>203</v>
      </c>
      <c r="ARA17" s="314" t="s">
        <v>203</v>
      </c>
      <c r="ARB17" s="314" t="s">
        <v>203</v>
      </c>
      <c r="ARC17" s="314" t="s">
        <v>203</v>
      </c>
      <c r="ARD17" s="314" t="s">
        <v>203</v>
      </c>
      <c r="ARE17" s="314" t="s">
        <v>203</v>
      </c>
      <c r="ARF17" s="314" t="s">
        <v>203</v>
      </c>
      <c r="ARG17" s="314" t="s">
        <v>203</v>
      </c>
      <c r="ARH17" s="314" t="s">
        <v>203</v>
      </c>
      <c r="ARI17" s="314" t="s">
        <v>203</v>
      </c>
      <c r="ARJ17" s="314" t="s">
        <v>203</v>
      </c>
      <c r="ARK17" s="314" t="s">
        <v>203</v>
      </c>
      <c r="ARL17" s="314" t="s">
        <v>203</v>
      </c>
      <c r="ARM17" s="314" t="s">
        <v>203</v>
      </c>
      <c r="ARN17" s="314" t="s">
        <v>203</v>
      </c>
      <c r="ARO17" s="314" t="s">
        <v>203</v>
      </c>
      <c r="ARP17" s="314" t="s">
        <v>203</v>
      </c>
      <c r="ARQ17" s="314" t="s">
        <v>203</v>
      </c>
      <c r="ARR17" s="314" t="s">
        <v>203</v>
      </c>
      <c r="ARS17" s="314" t="s">
        <v>203</v>
      </c>
      <c r="ART17" s="314" t="s">
        <v>203</v>
      </c>
      <c r="ARU17" s="314" t="s">
        <v>203</v>
      </c>
      <c r="ARV17" s="314" t="s">
        <v>203</v>
      </c>
      <c r="ARW17" s="314" t="s">
        <v>203</v>
      </c>
      <c r="ARX17" s="314" t="s">
        <v>203</v>
      </c>
      <c r="ARY17" s="314" t="s">
        <v>203</v>
      </c>
      <c r="ARZ17" s="314" t="s">
        <v>203</v>
      </c>
      <c r="ASA17" s="314" t="s">
        <v>203</v>
      </c>
      <c r="ASB17" s="314" t="s">
        <v>203</v>
      </c>
      <c r="ASC17" s="314" t="s">
        <v>203</v>
      </c>
      <c r="ASD17" s="314" t="s">
        <v>203</v>
      </c>
      <c r="ASE17" s="314" t="s">
        <v>203</v>
      </c>
      <c r="ASF17" s="314" t="s">
        <v>203</v>
      </c>
      <c r="ASG17" s="314" t="s">
        <v>203</v>
      </c>
      <c r="ASH17" s="314" t="s">
        <v>203</v>
      </c>
      <c r="ASI17" s="314" t="s">
        <v>203</v>
      </c>
      <c r="ASJ17" s="314" t="s">
        <v>203</v>
      </c>
      <c r="ASK17" s="314" t="s">
        <v>203</v>
      </c>
      <c r="ASL17" s="314" t="s">
        <v>203</v>
      </c>
      <c r="ASM17" s="314" t="s">
        <v>203</v>
      </c>
      <c r="ASN17" s="314" t="s">
        <v>203</v>
      </c>
      <c r="ASO17" s="314" t="s">
        <v>203</v>
      </c>
      <c r="ASP17" s="314" t="s">
        <v>203</v>
      </c>
      <c r="ASQ17" s="314" t="s">
        <v>203</v>
      </c>
      <c r="ASR17" s="314" t="s">
        <v>203</v>
      </c>
      <c r="ASS17" s="314" t="s">
        <v>203</v>
      </c>
      <c r="AST17" s="314" t="s">
        <v>203</v>
      </c>
      <c r="ASU17" s="314" t="s">
        <v>203</v>
      </c>
      <c r="ASV17" s="314" t="s">
        <v>203</v>
      </c>
      <c r="ASW17" s="314" t="s">
        <v>203</v>
      </c>
      <c r="ASX17" s="314" t="s">
        <v>203</v>
      </c>
      <c r="ASY17" s="314" t="s">
        <v>203</v>
      </c>
      <c r="ASZ17" s="314" t="s">
        <v>203</v>
      </c>
      <c r="ATA17" s="314" t="s">
        <v>203</v>
      </c>
      <c r="ATB17" s="314" t="s">
        <v>203</v>
      </c>
      <c r="ATC17" s="314" t="s">
        <v>203</v>
      </c>
      <c r="ATD17" s="314" t="s">
        <v>203</v>
      </c>
      <c r="ATE17" s="314" t="s">
        <v>203</v>
      </c>
      <c r="ATF17" s="314" t="s">
        <v>203</v>
      </c>
      <c r="ATG17" s="314" t="s">
        <v>203</v>
      </c>
      <c r="ATH17" s="314" t="s">
        <v>203</v>
      </c>
      <c r="ATI17" s="314" t="s">
        <v>203</v>
      </c>
      <c r="ATJ17" s="314" t="s">
        <v>203</v>
      </c>
      <c r="ATK17" s="314" t="s">
        <v>203</v>
      </c>
      <c r="ATL17" s="314" t="s">
        <v>203</v>
      </c>
      <c r="ATM17" s="314" t="s">
        <v>203</v>
      </c>
      <c r="ATN17" s="314" t="s">
        <v>203</v>
      </c>
      <c r="ATO17" s="314" t="s">
        <v>203</v>
      </c>
      <c r="ATP17" s="314" t="s">
        <v>203</v>
      </c>
      <c r="ATQ17" s="314" t="s">
        <v>203</v>
      </c>
      <c r="ATR17" s="314" t="s">
        <v>203</v>
      </c>
      <c r="ATS17" s="314" t="s">
        <v>203</v>
      </c>
      <c r="ATT17" s="314" t="s">
        <v>203</v>
      </c>
      <c r="ATU17" s="314" t="s">
        <v>203</v>
      </c>
      <c r="ATV17" s="314" t="s">
        <v>203</v>
      </c>
      <c r="ATW17" s="314" t="s">
        <v>203</v>
      </c>
      <c r="ATX17" s="314" t="s">
        <v>203</v>
      </c>
      <c r="ATY17" s="314" t="s">
        <v>203</v>
      </c>
      <c r="ATZ17" s="314" t="s">
        <v>203</v>
      </c>
      <c r="AUA17" s="314" t="s">
        <v>203</v>
      </c>
      <c r="AUB17" s="314" t="s">
        <v>203</v>
      </c>
      <c r="AUC17" s="314" t="s">
        <v>203</v>
      </c>
      <c r="AUD17" s="314" t="s">
        <v>203</v>
      </c>
      <c r="AUE17" s="314" t="s">
        <v>203</v>
      </c>
      <c r="AUF17" s="314" t="s">
        <v>203</v>
      </c>
      <c r="AUG17" s="314" t="s">
        <v>203</v>
      </c>
      <c r="AUH17" s="314" t="s">
        <v>203</v>
      </c>
      <c r="AUI17" s="314" t="s">
        <v>203</v>
      </c>
      <c r="AUJ17" s="314" t="s">
        <v>203</v>
      </c>
      <c r="AUK17" s="314" t="s">
        <v>203</v>
      </c>
      <c r="AUL17" s="314" t="s">
        <v>203</v>
      </c>
      <c r="AUM17" s="314" t="s">
        <v>203</v>
      </c>
      <c r="AUN17" s="314" t="s">
        <v>203</v>
      </c>
      <c r="AUO17" s="314" t="s">
        <v>203</v>
      </c>
      <c r="AUP17" s="314" t="s">
        <v>203</v>
      </c>
      <c r="AUQ17" s="314" t="s">
        <v>203</v>
      </c>
      <c r="AUR17" s="314" t="s">
        <v>203</v>
      </c>
      <c r="AUS17" s="314" t="s">
        <v>203</v>
      </c>
      <c r="AUT17" s="314" t="s">
        <v>203</v>
      </c>
      <c r="AUU17" s="314" t="s">
        <v>203</v>
      </c>
      <c r="AUV17" s="314" t="s">
        <v>203</v>
      </c>
      <c r="AUW17" s="314" t="s">
        <v>203</v>
      </c>
      <c r="AUX17" s="314" t="s">
        <v>203</v>
      </c>
      <c r="AUY17" s="314" t="s">
        <v>203</v>
      </c>
      <c r="AUZ17" s="314" t="s">
        <v>203</v>
      </c>
      <c r="AVA17" s="314" t="s">
        <v>203</v>
      </c>
      <c r="AVB17" s="314" t="s">
        <v>203</v>
      </c>
      <c r="AVC17" s="314" t="s">
        <v>203</v>
      </c>
      <c r="AVD17" s="314" t="s">
        <v>203</v>
      </c>
      <c r="AVE17" s="314" t="s">
        <v>203</v>
      </c>
      <c r="AVF17" s="314" t="s">
        <v>203</v>
      </c>
      <c r="AVG17" s="314" t="s">
        <v>203</v>
      </c>
      <c r="AVH17" s="314" t="s">
        <v>203</v>
      </c>
      <c r="AVI17" s="314" t="s">
        <v>203</v>
      </c>
      <c r="AVJ17" s="314" t="s">
        <v>203</v>
      </c>
      <c r="AVK17" s="314" t="s">
        <v>203</v>
      </c>
      <c r="AVL17" s="314" t="s">
        <v>203</v>
      </c>
      <c r="AVM17" s="314" t="s">
        <v>203</v>
      </c>
      <c r="AVN17" s="314" t="s">
        <v>203</v>
      </c>
      <c r="AVO17" s="314" t="s">
        <v>203</v>
      </c>
      <c r="AVP17" s="314" t="s">
        <v>203</v>
      </c>
      <c r="AVQ17" s="314" t="s">
        <v>203</v>
      </c>
      <c r="AVR17" s="314" t="s">
        <v>203</v>
      </c>
      <c r="AVS17" s="314" t="s">
        <v>203</v>
      </c>
      <c r="AVT17" s="314" t="s">
        <v>203</v>
      </c>
      <c r="AVU17" s="314" t="s">
        <v>203</v>
      </c>
      <c r="AVV17" s="314" t="s">
        <v>203</v>
      </c>
      <c r="AVW17" s="314" t="s">
        <v>203</v>
      </c>
      <c r="AVX17" s="314" t="s">
        <v>203</v>
      </c>
      <c r="AVY17" s="314" t="s">
        <v>203</v>
      </c>
      <c r="AVZ17" s="314" t="s">
        <v>203</v>
      </c>
      <c r="AWA17" s="314" t="s">
        <v>203</v>
      </c>
      <c r="AWB17" s="314" t="s">
        <v>203</v>
      </c>
      <c r="AWC17" s="314" t="s">
        <v>203</v>
      </c>
      <c r="AWD17" s="314" t="s">
        <v>203</v>
      </c>
      <c r="AWE17" s="314" t="s">
        <v>203</v>
      </c>
      <c r="AWF17" s="314" t="s">
        <v>203</v>
      </c>
      <c r="AWG17" s="314" t="s">
        <v>203</v>
      </c>
      <c r="AWH17" s="314" t="s">
        <v>203</v>
      </c>
      <c r="AWI17" s="314" t="s">
        <v>203</v>
      </c>
      <c r="AWJ17" s="314" t="s">
        <v>203</v>
      </c>
      <c r="AWK17" s="314" t="s">
        <v>203</v>
      </c>
      <c r="AWL17" s="314" t="s">
        <v>203</v>
      </c>
      <c r="AWM17" s="314" t="s">
        <v>203</v>
      </c>
      <c r="AWN17" s="314" t="s">
        <v>203</v>
      </c>
      <c r="AWO17" s="314" t="s">
        <v>203</v>
      </c>
      <c r="AWP17" s="314" t="s">
        <v>203</v>
      </c>
      <c r="AWQ17" s="314" t="s">
        <v>203</v>
      </c>
      <c r="AWR17" s="314" t="s">
        <v>203</v>
      </c>
      <c r="AWS17" s="314" t="s">
        <v>203</v>
      </c>
      <c r="AWT17" s="314" t="s">
        <v>203</v>
      </c>
      <c r="AWU17" s="314" t="s">
        <v>203</v>
      </c>
      <c r="AWV17" s="314" t="s">
        <v>203</v>
      </c>
      <c r="AWW17" s="314" t="s">
        <v>203</v>
      </c>
      <c r="AWX17" s="314" t="s">
        <v>203</v>
      </c>
      <c r="AWY17" s="314" t="s">
        <v>203</v>
      </c>
      <c r="AWZ17" s="314" t="s">
        <v>203</v>
      </c>
      <c r="AXA17" s="314" t="s">
        <v>203</v>
      </c>
      <c r="AXB17" s="314" t="s">
        <v>203</v>
      </c>
      <c r="AXC17" s="314" t="s">
        <v>203</v>
      </c>
      <c r="AXD17" s="314" t="s">
        <v>203</v>
      </c>
      <c r="AXE17" s="314" t="s">
        <v>203</v>
      </c>
      <c r="AXF17" s="314" t="s">
        <v>203</v>
      </c>
      <c r="AXG17" s="314" t="s">
        <v>203</v>
      </c>
      <c r="AXH17" s="314" t="s">
        <v>203</v>
      </c>
      <c r="AXI17" s="314" t="s">
        <v>203</v>
      </c>
      <c r="AXJ17" s="314" t="s">
        <v>203</v>
      </c>
      <c r="AXK17" s="314" t="s">
        <v>203</v>
      </c>
      <c r="AXL17" s="314" t="s">
        <v>203</v>
      </c>
      <c r="AXM17" s="314" t="s">
        <v>203</v>
      </c>
      <c r="AXN17" s="314" t="s">
        <v>203</v>
      </c>
      <c r="AXO17" s="314" t="s">
        <v>203</v>
      </c>
      <c r="AXP17" s="314" t="s">
        <v>203</v>
      </c>
      <c r="AXQ17" s="314" t="s">
        <v>203</v>
      </c>
      <c r="AXR17" s="314" t="s">
        <v>203</v>
      </c>
      <c r="AXS17" s="314" t="s">
        <v>203</v>
      </c>
      <c r="AXT17" s="314" t="s">
        <v>203</v>
      </c>
      <c r="AXU17" s="314" t="s">
        <v>203</v>
      </c>
      <c r="AXV17" s="314" t="s">
        <v>203</v>
      </c>
      <c r="AXW17" s="314" t="s">
        <v>203</v>
      </c>
      <c r="AXX17" s="314" t="s">
        <v>203</v>
      </c>
      <c r="AXY17" s="314" t="s">
        <v>203</v>
      </c>
      <c r="AXZ17" s="314" t="s">
        <v>203</v>
      </c>
      <c r="AYA17" s="314" t="s">
        <v>203</v>
      </c>
      <c r="AYB17" s="314" t="s">
        <v>203</v>
      </c>
      <c r="AYC17" s="314" t="s">
        <v>203</v>
      </c>
      <c r="AYD17" s="314" t="s">
        <v>203</v>
      </c>
      <c r="AYE17" s="314" t="s">
        <v>203</v>
      </c>
      <c r="AYF17" s="314" t="s">
        <v>203</v>
      </c>
      <c r="AYG17" s="314" t="s">
        <v>203</v>
      </c>
      <c r="AYH17" s="314" t="s">
        <v>203</v>
      </c>
      <c r="AYI17" s="314" t="s">
        <v>203</v>
      </c>
      <c r="AYJ17" s="314" t="s">
        <v>203</v>
      </c>
      <c r="AYK17" s="314" t="s">
        <v>203</v>
      </c>
      <c r="AYL17" s="314" t="s">
        <v>203</v>
      </c>
      <c r="AYM17" s="314" t="s">
        <v>203</v>
      </c>
      <c r="AYN17" s="314" t="s">
        <v>203</v>
      </c>
      <c r="AYO17" s="314" t="s">
        <v>203</v>
      </c>
      <c r="AYP17" s="314" t="s">
        <v>203</v>
      </c>
      <c r="AYQ17" s="314" t="s">
        <v>203</v>
      </c>
      <c r="AYR17" s="314" t="s">
        <v>203</v>
      </c>
      <c r="AYS17" s="314" t="s">
        <v>203</v>
      </c>
      <c r="AYT17" s="314" t="s">
        <v>203</v>
      </c>
      <c r="AYU17" s="314" t="s">
        <v>203</v>
      </c>
      <c r="AYV17" s="314" t="s">
        <v>203</v>
      </c>
      <c r="AYW17" s="314" t="s">
        <v>203</v>
      </c>
      <c r="AYX17" s="314" t="s">
        <v>203</v>
      </c>
      <c r="AYY17" s="314" t="s">
        <v>203</v>
      </c>
      <c r="AYZ17" s="314" t="s">
        <v>203</v>
      </c>
      <c r="AZA17" s="314" t="s">
        <v>203</v>
      </c>
      <c r="AZB17" s="314" t="s">
        <v>203</v>
      </c>
      <c r="AZC17" s="314" t="s">
        <v>203</v>
      </c>
      <c r="AZD17" s="314" t="s">
        <v>203</v>
      </c>
      <c r="AZE17" s="314" t="s">
        <v>203</v>
      </c>
      <c r="AZF17" s="314" t="s">
        <v>203</v>
      </c>
      <c r="AZG17" s="314" t="s">
        <v>203</v>
      </c>
      <c r="AZH17" s="314" t="s">
        <v>203</v>
      </c>
      <c r="AZI17" s="314" t="s">
        <v>203</v>
      </c>
      <c r="AZJ17" s="314" t="s">
        <v>203</v>
      </c>
      <c r="AZK17" s="314" t="s">
        <v>203</v>
      </c>
      <c r="AZL17" s="314" t="s">
        <v>203</v>
      </c>
      <c r="AZM17" s="314" t="s">
        <v>203</v>
      </c>
      <c r="AZN17" s="314" t="s">
        <v>203</v>
      </c>
      <c r="AZO17" s="314" t="s">
        <v>203</v>
      </c>
      <c r="AZP17" s="314" t="s">
        <v>203</v>
      </c>
      <c r="AZQ17" s="314" t="s">
        <v>203</v>
      </c>
      <c r="AZR17" s="314" t="s">
        <v>203</v>
      </c>
      <c r="AZS17" s="314" t="s">
        <v>203</v>
      </c>
      <c r="AZT17" s="314" t="s">
        <v>203</v>
      </c>
      <c r="AZU17" s="314" t="s">
        <v>203</v>
      </c>
      <c r="AZV17" s="314" t="s">
        <v>203</v>
      </c>
      <c r="AZW17" s="314" t="s">
        <v>203</v>
      </c>
      <c r="AZX17" s="314" t="s">
        <v>203</v>
      </c>
      <c r="AZY17" s="314" t="s">
        <v>203</v>
      </c>
      <c r="AZZ17" s="314" t="s">
        <v>203</v>
      </c>
      <c r="BAA17" s="314" t="s">
        <v>203</v>
      </c>
      <c r="BAB17" s="314" t="s">
        <v>203</v>
      </c>
      <c r="BAC17" s="314" t="s">
        <v>203</v>
      </c>
      <c r="BAD17" s="314" t="s">
        <v>203</v>
      </c>
      <c r="BAE17" s="314" t="s">
        <v>203</v>
      </c>
      <c r="BAF17" s="314" t="s">
        <v>203</v>
      </c>
      <c r="BAG17" s="314" t="s">
        <v>203</v>
      </c>
      <c r="BAH17" s="314" t="s">
        <v>203</v>
      </c>
      <c r="BAI17" s="314" t="s">
        <v>203</v>
      </c>
      <c r="BAJ17" s="314" t="s">
        <v>203</v>
      </c>
      <c r="BAK17" s="314" t="s">
        <v>203</v>
      </c>
      <c r="BAL17" s="314" t="s">
        <v>203</v>
      </c>
      <c r="BAM17" s="314" t="s">
        <v>203</v>
      </c>
      <c r="BAN17" s="314" t="s">
        <v>203</v>
      </c>
      <c r="BAO17" s="314" t="s">
        <v>203</v>
      </c>
      <c r="BAP17" s="314" t="s">
        <v>203</v>
      </c>
      <c r="BAQ17" s="314" t="s">
        <v>203</v>
      </c>
      <c r="BAR17" s="314" t="s">
        <v>203</v>
      </c>
      <c r="BAS17" s="314" t="s">
        <v>203</v>
      </c>
      <c r="BAT17" s="314" t="s">
        <v>203</v>
      </c>
      <c r="BAU17" s="314" t="s">
        <v>203</v>
      </c>
      <c r="BAV17" s="314" t="s">
        <v>203</v>
      </c>
      <c r="BAW17" s="314" t="s">
        <v>203</v>
      </c>
      <c r="BAX17" s="314" t="s">
        <v>203</v>
      </c>
      <c r="BAY17" s="314" t="s">
        <v>203</v>
      </c>
      <c r="BAZ17" s="314" t="s">
        <v>203</v>
      </c>
      <c r="BBA17" s="314" t="s">
        <v>203</v>
      </c>
      <c r="BBB17" s="314" t="s">
        <v>203</v>
      </c>
      <c r="BBC17" s="314" t="s">
        <v>203</v>
      </c>
      <c r="BBD17" s="314" t="s">
        <v>203</v>
      </c>
      <c r="BBE17" s="314" t="s">
        <v>203</v>
      </c>
      <c r="BBF17" s="314" t="s">
        <v>203</v>
      </c>
      <c r="BBG17" s="314" t="s">
        <v>203</v>
      </c>
      <c r="BBH17" s="314" t="s">
        <v>203</v>
      </c>
      <c r="BBI17" s="314" t="s">
        <v>203</v>
      </c>
      <c r="BBJ17" s="314" t="s">
        <v>203</v>
      </c>
      <c r="BBK17" s="314" t="s">
        <v>203</v>
      </c>
      <c r="BBL17" s="314" t="s">
        <v>203</v>
      </c>
      <c r="BBM17" s="314" t="s">
        <v>203</v>
      </c>
      <c r="BBN17" s="314" t="s">
        <v>203</v>
      </c>
      <c r="BBO17" s="314" t="s">
        <v>203</v>
      </c>
      <c r="BBP17" s="314" t="s">
        <v>203</v>
      </c>
      <c r="BBQ17" s="314" t="s">
        <v>203</v>
      </c>
      <c r="BBR17" s="314" t="s">
        <v>203</v>
      </c>
      <c r="BBS17" s="314" t="s">
        <v>203</v>
      </c>
      <c r="BBT17" s="314" t="s">
        <v>203</v>
      </c>
      <c r="BBU17" s="314" t="s">
        <v>203</v>
      </c>
      <c r="BBV17" s="314" t="s">
        <v>203</v>
      </c>
      <c r="BBW17" s="314" t="s">
        <v>203</v>
      </c>
      <c r="BBX17" s="314" t="s">
        <v>203</v>
      </c>
      <c r="BBY17" s="314" t="s">
        <v>203</v>
      </c>
      <c r="BBZ17" s="314" t="s">
        <v>203</v>
      </c>
      <c r="BCA17" s="314" t="s">
        <v>203</v>
      </c>
      <c r="BCB17" s="314" t="s">
        <v>203</v>
      </c>
      <c r="BCC17" s="314" t="s">
        <v>203</v>
      </c>
      <c r="BCD17" s="314" t="s">
        <v>203</v>
      </c>
      <c r="BCE17" s="314" t="s">
        <v>203</v>
      </c>
      <c r="BCF17" s="314" t="s">
        <v>203</v>
      </c>
      <c r="BCG17" s="314" t="s">
        <v>203</v>
      </c>
      <c r="BCH17" s="314" t="s">
        <v>203</v>
      </c>
      <c r="BCI17" s="314" t="s">
        <v>203</v>
      </c>
      <c r="BCJ17" s="314" t="s">
        <v>203</v>
      </c>
      <c r="BCK17" s="314" t="s">
        <v>203</v>
      </c>
      <c r="BCL17" s="314" t="s">
        <v>203</v>
      </c>
      <c r="BCM17" s="314" t="s">
        <v>203</v>
      </c>
      <c r="BCN17" s="314" t="s">
        <v>203</v>
      </c>
      <c r="BCO17" s="314" t="s">
        <v>203</v>
      </c>
      <c r="BCP17" s="314" t="s">
        <v>203</v>
      </c>
      <c r="BCQ17" s="314" t="s">
        <v>203</v>
      </c>
      <c r="BCR17" s="314" t="s">
        <v>203</v>
      </c>
      <c r="BCS17" s="314" t="s">
        <v>203</v>
      </c>
      <c r="BCT17" s="314" t="s">
        <v>203</v>
      </c>
      <c r="BCU17" s="314" t="s">
        <v>203</v>
      </c>
      <c r="BCV17" s="314" t="s">
        <v>203</v>
      </c>
      <c r="BCW17" s="314" t="s">
        <v>203</v>
      </c>
      <c r="BCX17" s="314" t="s">
        <v>203</v>
      </c>
      <c r="BCY17" s="314" t="s">
        <v>203</v>
      </c>
      <c r="BCZ17" s="314" t="s">
        <v>203</v>
      </c>
      <c r="BDA17" s="314" t="s">
        <v>203</v>
      </c>
      <c r="BDB17" s="314" t="s">
        <v>203</v>
      </c>
      <c r="BDC17" s="314" t="s">
        <v>203</v>
      </c>
      <c r="BDD17" s="314" t="s">
        <v>203</v>
      </c>
      <c r="BDE17" s="314" t="s">
        <v>203</v>
      </c>
      <c r="BDF17" s="314" t="s">
        <v>203</v>
      </c>
      <c r="BDG17" s="314" t="s">
        <v>203</v>
      </c>
      <c r="BDH17" s="314" t="s">
        <v>203</v>
      </c>
      <c r="BDI17" s="314" t="s">
        <v>203</v>
      </c>
      <c r="BDJ17" s="314" t="s">
        <v>203</v>
      </c>
      <c r="BDK17" s="314" t="s">
        <v>203</v>
      </c>
      <c r="BDL17" s="314" t="s">
        <v>203</v>
      </c>
      <c r="BDM17" s="314" t="s">
        <v>203</v>
      </c>
      <c r="BDN17" s="314" t="s">
        <v>203</v>
      </c>
      <c r="BDO17" s="314" t="s">
        <v>203</v>
      </c>
      <c r="BDP17" s="314" t="s">
        <v>203</v>
      </c>
      <c r="BDQ17" s="314" t="s">
        <v>203</v>
      </c>
      <c r="BDR17" s="314" t="s">
        <v>203</v>
      </c>
      <c r="BDS17" s="314" t="s">
        <v>203</v>
      </c>
      <c r="BDT17" s="314" t="s">
        <v>203</v>
      </c>
      <c r="BDU17" s="314" t="s">
        <v>203</v>
      </c>
      <c r="BDV17" s="314" t="s">
        <v>203</v>
      </c>
      <c r="BDW17" s="314" t="s">
        <v>203</v>
      </c>
      <c r="BDX17" s="314" t="s">
        <v>203</v>
      </c>
      <c r="BDY17" s="314" t="s">
        <v>203</v>
      </c>
      <c r="BDZ17" s="314" t="s">
        <v>203</v>
      </c>
      <c r="BEA17" s="314" t="s">
        <v>203</v>
      </c>
      <c r="BEB17" s="314" t="s">
        <v>203</v>
      </c>
      <c r="BEC17" s="314" t="s">
        <v>203</v>
      </c>
      <c r="BED17" s="314" t="s">
        <v>203</v>
      </c>
      <c r="BEE17" s="314" t="s">
        <v>203</v>
      </c>
      <c r="BEF17" s="314" t="s">
        <v>203</v>
      </c>
      <c r="BEG17" s="314" t="s">
        <v>203</v>
      </c>
      <c r="BEH17" s="314" t="s">
        <v>203</v>
      </c>
      <c r="BEI17" s="314" t="s">
        <v>203</v>
      </c>
      <c r="BEJ17" s="314" t="s">
        <v>203</v>
      </c>
      <c r="BEK17" s="314" t="s">
        <v>203</v>
      </c>
      <c r="BEL17" s="314" t="s">
        <v>203</v>
      </c>
      <c r="BEM17" s="314" t="s">
        <v>203</v>
      </c>
      <c r="BEN17" s="314" t="s">
        <v>203</v>
      </c>
      <c r="BEO17" s="314" t="s">
        <v>203</v>
      </c>
      <c r="BEP17" s="314" t="s">
        <v>203</v>
      </c>
      <c r="BEQ17" s="314" t="s">
        <v>203</v>
      </c>
      <c r="BER17" s="314" t="s">
        <v>203</v>
      </c>
      <c r="BES17" s="314" t="s">
        <v>203</v>
      </c>
      <c r="BET17" s="314" t="s">
        <v>203</v>
      </c>
      <c r="BEU17" s="314" t="s">
        <v>203</v>
      </c>
      <c r="BEV17" s="314" t="s">
        <v>203</v>
      </c>
      <c r="BEW17" s="314" t="s">
        <v>203</v>
      </c>
      <c r="BEX17" s="314" t="s">
        <v>203</v>
      </c>
      <c r="BEY17" s="314" t="s">
        <v>203</v>
      </c>
      <c r="BEZ17" s="314" t="s">
        <v>203</v>
      </c>
      <c r="BFA17" s="314" t="s">
        <v>203</v>
      </c>
      <c r="BFB17" s="314" t="s">
        <v>203</v>
      </c>
      <c r="BFC17" s="314" t="s">
        <v>203</v>
      </c>
      <c r="BFD17" s="314" t="s">
        <v>203</v>
      </c>
      <c r="BFE17" s="314" t="s">
        <v>203</v>
      </c>
      <c r="BFF17" s="314" t="s">
        <v>203</v>
      </c>
      <c r="BFG17" s="314" t="s">
        <v>203</v>
      </c>
      <c r="BFH17" s="314" t="s">
        <v>203</v>
      </c>
      <c r="BFI17" s="314" t="s">
        <v>203</v>
      </c>
      <c r="BFJ17" s="314" t="s">
        <v>203</v>
      </c>
      <c r="BFK17" s="314" t="s">
        <v>203</v>
      </c>
      <c r="BFL17" s="314" t="s">
        <v>203</v>
      </c>
      <c r="BFM17" s="314" t="s">
        <v>203</v>
      </c>
      <c r="BFN17" s="314" t="s">
        <v>203</v>
      </c>
      <c r="BFO17" s="314" t="s">
        <v>203</v>
      </c>
      <c r="BFP17" s="314" t="s">
        <v>203</v>
      </c>
      <c r="BFQ17" s="314" t="s">
        <v>203</v>
      </c>
      <c r="BFR17" s="314" t="s">
        <v>203</v>
      </c>
      <c r="BFS17" s="314" t="s">
        <v>203</v>
      </c>
      <c r="BFT17" s="314" t="s">
        <v>203</v>
      </c>
      <c r="BFU17" s="314" t="s">
        <v>203</v>
      </c>
      <c r="BFV17" s="314" t="s">
        <v>203</v>
      </c>
      <c r="BFW17" s="314" t="s">
        <v>203</v>
      </c>
      <c r="BFX17" s="314" t="s">
        <v>203</v>
      </c>
      <c r="BFY17" s="314" t="s">
        <v>203</v>
      </c>
      <c r="BFZ17" s="314" t="s">
        <v>203</v>
      </c>
      <c r="BGA17" s="314" t="s">
        <v>203</v>
      </c>
      <c r="BGB17" s="314" t="s">
        <v>203</v>
      </c>
      <c r="BGC17" s="314" t="s">
        <v>203</v>
      </c>
      <c r="BGD17" s="314" t="s">
        <v>203</v>
      </c>
      <c r="BGE17" s="314" t="s">
        <v>203</v>
      </c>
      <c r="BGF17" s="314" t="s">
        <v>203</v>
      </c>
      <c r="BGG17" s="314" t="s">
        <v>203</v>
      </c>
      <c r="BGH17" s="314" t="s">
        <v>203</v>
      </c>
      <c r="BGI17" s="314" t="s">
        <v>203</v>
      </c>
      <c r="BGJ17" s="314" t="s">
        <v>203</v>
      </c>
      <c r="BGK17" s="314" t="s">
        <v>203</v>
      </c>
      <c r="BGL17" s="314" t="s">
        <v>203</v>
      </c>
      <c r="BGM17" s="314" t="s">
        <v>203</v>
      </c>
      <c r="BGN17" s="314" t="s">
        <v>203</v>
      </c>
      <c r="BGO17" s="314" t="s">
        <v>203</v>
      </c>
      <c r="BGP17" s="314" t="s">
        <v>203</v>
      </c>
      <c r="BGQ17" s="314" t="s">
        <v>203</v>
      </c>
      <c r="BGR17" s="314" t="s">
        <v>203</v>
      </c>
      <c r="BGS17" s="314" t="s">
        <v>203</v>
      </c>
      <c r="BGT17" s="314" t="s">
        <v>203</v>
      </c>
      <c r="BGU17" s="314" t="s">
        <v>203</v>
      </c>
      <c r="BGV17" s="314" t="s">
        <v>203</v>
      </c>
      <c r="BGW17" s="314" t="s">
        <v>203</v>
      </c>
      <c r="BGX17" s="314" t="s">
        <v>203</v>
      </c>
      <c r="BGY17" s="314" t="s">
        <v>203</v>
      </c>
      <c r="BGZ17" s="314" t="s">
        <v>203</v>
      </c>
      <c r="BHA17" s="314" t="s">
        <v>203</v>
      </c>
      <c r="BHB17" s="314" t="s">
        <v>203</v>
      </c>
      <c r="BHC17" s="314" t="s">
        <v>203</v>
      </c>
      <c r="BHD17" s="314" t="s">
        <v>203</v>
      </c>
      <c r="BHE17" s="314" t="s">
        <v>203</v>
      </c>
      <c r="BHF17" s="314" t="s">
        <v>203</v>
      </c>
      <c r="BHG17" s="314" t="s">
        <v>203</v>
      </c>
      <c r="BHH17" s="314" t="s">
        <v>203</v>
      </c>
      <c r="BHI17" s="314" t="s">
        <v>203</v>
      </c>
      <c r="BHJ17" s="314" t="s">
        <v>203</v>
      </c>
      <c r="BHK17" s="314" t="s">
        <v>203</v>
      </c>
      <c r="BHL17" s="314" t="s">
        <v>203</v>
      </c>
      <c r="BHM17" s="314" t="s">
        <v>203</v>
      </c>
      <c r="BHN17" s="314" t="s">
        <v>203</v>
      </c>
      <c r="BHO17" s="314" t="s">
        <v>203</v>
      </c>
      <c r="BHP17" s="314" t="s">
        <v>203</v>
      </c>
      <c r="BHQ17" s="314" t="s">
        <v>203</v>
      </c>
      <c r="BHR17" s="314" t="s">
        <v>203</v>
      </c>
      <c r="BHS17" s="314" t="s">
        <v>203</v>
      </c>
      <c r="BHT17" s="314" t="s">
        <v>203</v>
      </c>
      <c r="BHU17" s="314" t="s">
        <v>203</v>
      </c>
      <c r="BHV17" s="314" t="s">
        <v>203</v>
      </c>
      <c r="BHW17" s="314" t="s">
        <v>203</v>
      </c>
      <c r="BHX17" s="314" t="s">
        <v>203</v>
      </c>
      <c r="BHY17" s="314" t="s">
        <v>203</v>
      </c>
      <c r="BHZ17" s="314" t="s">
        <v>203</v>
      </c>
      <c r="BIA17" s="314" t="s">
        <v>203</v>
      </c>
      <c r="BIB17" s="314" t="s">
        <v>203</v>
      </c>
      <c r="BIC17" s="314" t="s">
        <v>203</v>
      </c>
      <c r="BID17" s="314" t="s">
        <v>203</v>
      </c>
      <c r="BIE17" s="314" t="s">
        <v>203</v>
      </c>
      <c r="BIF17" s="314" t="s">
        <v>203</v>
      </c>
      <c r="BIG17" s="314" t="s">
        <v>203</v>
      </c>
      <c r="BIH17" s="314" t="s">
        <v>203</v>
      </c>
      <c r="BII17" s="314" t="s">
        <v>203</v>
      </c>
      <c r="BIJ17" s="314" t="s">
        <v>203</v>
      </c>
      <c r="BIK17" s="314" t="s">
        <v>203</v>
      </c>
      <c r="BIL17" s="314" t="s">
        <v>203</v>
      </c>
      <c r="BIM17" s="314" t="s">
        <v>203</v>
      </c>
      <c r="BIN17" s="314" t="s">
        <v>203</v>
      </c>
      <c r="BIO17" s="314" t="s">
        <v>203</v>
      </c>
      <c r="BIP17" s="314" t="s">
        <v>203</v>
      </c>
      <c r="BIQ17" s="314" t="s">
        <v>203</v>
      </c>
      <c r="BIR17" s="314" t="s">
        <v>203</v>
      </c>
      <c r="BIS17" s="314" t="s">
        <v>203</v>
      </c>
      <c r="BIT17" s="314" t="s">
        <v>203</v>
      </c>
      <c r="BIU17" s="314" t="s">
        <v>203</v>
      </c>
      <c r="BIV17" s="314" t="s">
        <v>203</v>
      </c>
      <c r="BIW17" s="314" t="s">
        <v>203</v>
      </c>
      <c r="BIX17" s="314" t="s">
        <v>203</v>
      </c>
      <c r="BIY17" s="314" t="s">
        <v>203</v>
      </c>
      <c r="BIZ17" s="314" t="s">
        <v>203</v>
      </c>
      <c r="BJA17" s="314" t="s">
        <v>203</v>
      </c>
      <c r="BJB17" s="314" t="s">
        <v>203</v>
      </c>
      <c r="BJC17" s="314" t="s">
        <v>203</v>
      </c>
      <c r="BJD17" s="314" t="s">
        <v>203</v>
      </c>
      <c r="BJE17" s="314" t="s">
        <v>203</v>
      </c>
      <c r="BJF17" s="314" t="s">
        <v>203</v>
      </c>
      <c r="BJG17" s="314" t="s">
        <v>203</v>
      </c>
      <c r="BJH17" s="314" t="s">
        <v>203</v>
      </c>
      <c r="BJI17" s="314" t="s">
        <v>203</v>
      </c>
      <c r="BJJ17" s="314" t="s">
        <v>203</v>
      </c>
      <c r="BJK17" s="314" t="s">
        <v>203</v>
      </c>
      <c r="BJL17" s="314" t="s">
        <v>203</v>
      </c>
      <c r="BJM17" s="314" t="s">
        <v>203</v>
      </c>
      <c r="BJN17" s="314" t="s">
        <v>203</v>
      </c>
      <c r="BJO17" s="314" t="s">
        <v>203</v>
      </c>
      <c r="BJP17" s="314" t="s">
        <v>203</v>
      </c>
      <c r="BJQ17" s="314" t="s">
        <v>203</v>
      </c>
      <c r="BJR17" s="314" t="s">
        <v>203</v>
      </c>
      <c r="BJS17" s="314" t="s">
        <v>203</v>
      </c>
      <c r="BJT17" s="314" t="s">
        <v>203</v>
      </c>
      <c r="BJU17" s="314" t="s">
        <v>203</v>
      </c>
      <c r="BJV17" s="314" t="s">
        <v>203</v>
      </c>
      <c r="BJW17" s="314" t="s">
        <v>203</v>
      </c>
      <c r="BJX17" s="314" t="s">
        <v>203</v>
      </c>
      <c r="BJY17" s="314" t="s">
        <v>203</v>
      </c>
      <c r="BJZ17" s="314" t="s">
        <v>203</v>
      </c>
      <c r="BKA17" s="314" t="s">
        <v>203</v>
      </c>
      <c r="BKB17" s="314" t="s">
        <v>203</v>
      </c>
      <c r="BKC17" s="314" t="s">
        <v>203</v>
      </c>
      <c r="BKD17" s="314" t="s">
        <v>203</v>
      </c>
      <c r="BKE17" s="314" t="s">
        <v>203</v>
      </c>
      <c r="BKF17" s="314" t="s">
        <v>203</v>
      </c>
      <c r="BKG17" s="314" t="s">
        <v>203</v>
      </c>
      <c r="BKH17" s="314" t="s">
        <v>203</v>
      </c>
      <c r="BKI17" s="314" t="s">
        <v>203</v>
      </c>
      <c r="BKJ17" s="314" t="s">
        <v>203</v>
      </c>
      <c r="BKK17" s="314" t="s">
        <v>203</v>
      </c>
      <c r="BKL17" s="314" t="s">
        <v>203</v>
      </c>
      <c r="BKM17" s="314" t="s">
        <v>203</v>
      </c>
      <c r="BKN17" s="314" t="s">
        <v>203</v>
      </c>
      <c r="BKO17" s="314" t="s">
        <v>203</v>
      </c>
      <c r="BKP17" s="314" t="s">
        <v>203</v>
      </c>
      <c r="BKQ17" s="314" t="s">
        <v>203</v>
      </c>
      <c r="BKR17" s="314" t="s">
        <v>203</v>
      </c>
      <c r="BKS17" s="314" t="s">
        <v>203</v>
      </c>
      <c r="BKT17" s="314" t="s">
        <v>203</v>
      </c>
      <c r="BKU17" s="314" t="s">
        <v>203</v>
      </c>
      <c r="BKV17" s="314" t="s">
        <v>203</v>
      </c>
      <c r="BKW17" s="314" t="s">
        <v>203</v>
      </c>
      <c r="BKX17" s="314" t="s">
        <v>203</v>
      </c>
      <c r="BKY17" s="314" t="s">
        <v>203</v>
      </c>
      <c r="BKZ17" s="314" t="s">
        <v>203</v>
      </c>
      <c r="BLA17" s="314" t="s">
        <v>203</v>
      </c>
      <c r="BLB17" s="314" t="s">
        <v>203</v>
      </c>
      <c r="BLC17" s="314" t="s">
        <v>203</v>
      </c>
      <c r="BLD17" s="314" t="s">
        <v>203</v>
      </c>
      <c r="BLE17" s="314" t="s">
        <v>203</v>
      </c>
      <c r="BLF17" s="314" t="s">
        <v>203</v>
      </c>
      <c r="BLG17" s="314" t="s">
        <v>203</v>
      </c>
      <c r="BLH17" s="314" t="s">
        <v>203</v>
      </c>
      <c r="BLI17" s="314" t="s">
        <v>203</v>
      </c>
      <c r="BLJ17" s="314" t="s">
        <v>203</v>
      </c>
      <c r="BLK17" s="314" t="s">
        <v>203</v>
      </c>
      <c r="BLL17" s="314" t="s">
        <v>203</v>
      </c>
      <c r="BLM17" s="314" t="s">
        <v>203</v>
      </c>
      <c r="BLN17" s="314" t="s">
        <v>203</v>
      </c>
      <c r="BLO17" s="314" t="s">
        <v>203</v>
      </c>
      <c r="BLP17" s="314" t="s">
        <v>203</v>
      </c>
      <c r="BLQ17" s="314" t="s">
        <v>203</v>
      </c>
      <c r="BLR17" s="314" t="s">
        <v>203</v>
      </c>
      <c r="BLS17" s="314" t="s">
        <v>203</v>
      </c>
      <c r="BLT17" s="314" t="s">
        <v>203</v>
      </c>
      <c r="BLU17" s="314" t="s">
        <v>203</v>
      </c>
      <c r="BLV17" s="314" t="s">
        <v>203</v>
      </c>
      <c r="BLW17" s="314" t="s">
        <v>203</v>
      </c>
      <c r="BLX17" s="314" t="s">
        <v>203</v>
      </c>
      <c r="BLY17" s="314" t="s">
        <v>203</v>
      </c>
      <c r="BLZ17" s="314" t="s">
        <v>203</v>
      </c>
      <c r="BMA17" s="314" t="s">
        <v>203</v>
      </c>
      <c r="BMB17" s="314" t="s">
        <v>203</v>
      </c>
      <c r="BMC17" s="314" t="s">
        <v>203</v>
      </c>
      <c r="BMD17" s="314" t="s">
        <v>203</v>
      </c>
      <c r="BME17" s="314" t="s">
        <v>203</v>
      </c>
      <c r="BMF17" s="314" t="s">
        <v>203</v>
      </c>
      <c r="BMG17" s="314" t="s">
        <v>203</v>
      </c>
      <c r="BMH17" s="314" t="s">
        <v>203</v>
      </c>
      <c r="BMI17" s="314" t="s">
        <v>203</v>
      </c>
      <c r="BMJ17" s="314" t="s">
        <v>203</v>
      </c>
      <c r="BMK17" s="314" t="s">
        <v>203</v>
      </c>
      <c r="BML17" s="314" t="s">
        <v>203</v>
      </c>
      <c r="BMM17" s="314" t="s">
        <v>203</v>
      </c>
      <c r="BMN17" s="314" t="s">
        <v>203</v>
      </c>
      <c r="BMO17" s="314" t="s">
        <v>203</v>
      </c>
      <c r="BMP17" s="314" t="s">
        <v>203</v>
      </c>
      <c r="BMQ17" s="314" t="s">
        <v>203</v>
      </c>
      <c r="BMR17" s="314" t="s">
        <v>203</v>
      </c>
      <c r="BMS17" s="314" t="s">
        <v>203</v>
      </c>
      <c r="BMT17" s="314" t="s">
        <v>203</v>
      </c>
      <c r="BMU17" s="314" t="s">
        <v>203</v>
      </c>
      <c r="BMV17" s="314" t="s">
        <v>203</v>
      </c>
      <c r="BMW17" s="314" t="s">
        <v>203</v>
      </c>
      <c r="BMX17" s="314" t="s">
        <v>203</v>
      </c>
      <c r="BMY17" s="314" t="s">
        <v>203</v>
      </c>
      <c r="BMZ17" s="314" t="s">
        <v>203</v>
      </c>
      <c r="BNA17" s="314" t="s">
        <v>203</v>
      </c>
      <c r="BNB17" s="314" t="s">
        <v>203</v>
      </c>
      <c r="BNC17" s="314" t="s">
        <v>203</v>
      </c>
      <c r="BND17" s="314" t="s">
        <v>203</v>
      </c>
      <c r="BNE17" s="314" t="s">
        <v>203</v>
      </c>
      <c r="BNF17" s="314" t="s">
        <v>203</v>
      </c>
      <c r="BNG17" s="314" t="s">
        <v>203</v>
      </c>
      <c r="BNH17" s="314" t="s">
        <v>203</v>
      </c>
      <c r="BNI17" s="314" t="s">
        <v>203</v>
      </c>
      <c r="BNJ17" s="314" t="s">
        <v>203</v>
      </c>
      <c r="BNK17" s="314" t="s">
        <v>203</v>
      </c>
      <c r="BNL17" s="314" t="s">
        <v>203</v>
      </c>
      <c r="BNM17" s="314" t="s">
        <v>203</v>
      </c>
      <c r="BNN17" s="314" t="s">
        <v>203</v>
      </c>
      <c r="BNO17" s="314" t="s">
        <v>203</v>
      </c>
      <c r="BNP17" s="314" t="s">
        <v>203</v>
      </c>
      <c r="BNQ17" s="314" t="s">
        <v>203</v>
      </c>
      <c r="BNR17" s="314" t="s">
        <v>203</v>
      </c>
      <c r="BNS17" s="314" t="s">
        <v>203</v>
      </c>
      <c r="BNT17" s="314" t="s">
        <v>203</v>
      </c>
      <c r="BNU17" s="314" t="s">
        <v>203</v>
      </c>
      <c r="BNV17" s="314" t="s">
        <v>203</v>
      </c>
      <c r="BNW17" s="314" t="s">
        <v>203</v>
      </c>
      <c r="BNX17" s="314" t="s">
        <v>203</v>
      </c>
      <c r="BNY17" s="314" t="s">
        <v>203</v>
      </c>
      <c r="BNZ17" s="314" t="s">
        <v>203</v>
      </c>
      <c r="BOA17" s="314" t="s">
        <v>203</v>
      </c>
      <c r="BOB17" s="314" t="s">
        <v>203</v>
      </c>
      <c r="BOC17" s="314" t="s">
        <v>203</v>
      </c>
      <c r="BOD17" s="314" t="s">
        <v>203</v>
      </c>
      <c r="BOE17" s="314" t="s">
        <v>203</v>
      </c>
      <c r="BOF17" s="314" t="s">
        <v>203</v>
      </c>
      <c r="BOG17" s="314" t="s">
        <v>203</v>
      </c>
      <c r="BOH17" s="314" t="s">
        <v>203</v>
      </c>
      <c r="BOI17" s="314" t="s">
        <v>203</v>
      </c>
      <c r="BOJ17" s="314" t="s">
        <v>203</v>
      </c>
      <c r="BOK17" s="314" t="s">
        <v>203</v>
      </c>
      <c r="BOL17" s="314" t="s">
        <v>203</v>
      </c>
      <c r="BOM17" s="314" t="s">
        <v>203</v>
      </c>
      <c r="BON17" s="314" t="s">
        <v>203</v>
      </c>
      <c r="BOO17" s="314" t="s">
        <v>203</v>
      </c>
      <c r="BOP17" s="314" t="s">
        <v>203</v>
      </c>
      <c r="BOQ17" s="314" t="s">
        <v>203</v>
      </c>
      <c r="BOR17" s="314" t="s">
        <v>203</v>
      </c>
      <c r="BOS17" s="314" t="s">
        <v>203</v>
      </c>
      <c r="BOT17" s="314" t="s">
        <v>203</v>
      </c>
      <c r="BOU17" s="314" t="s">
        <v>203</v>
      </c>
      <c r="BOV17" s="314" t="s">
        <v>203</v>
      </c>
      <c r="BOW17" s="314" t="s">
        <v>203</v>
      </c>
      <c r="BOX17" s="314" t="s">
        <v>203</v>
      </c>
      <c r="BOY17" s="314" t="s">
        <v>203</v>
      </c>
      <c r="BOZ17" s="314" t="s">
        <v>203</v>
      </c>
      <c r="BPA17" s="314" t="s">
        <v>203</v>
      </c>
      <c r="BPB17" s="314" t="s">
        <v>203</v>
      </c>
      <c r="BPC17" s="314" t="s">
        <v>203</v>
      </c>
      <c r="BPD17" s="314" t="s">
        <v>203</v>
      </c>
      <c r="BPE17" s="314" t="s">
        <v>203</v>
      </c>
      <c r="BPF17" s="314" t="s">
        <v>203</v>
      </c>
      <c r="BPG17" s="314" t="s">
        <v>203</v>
      </c>
      <c r="BPH17" s="314" t="s">
        <v>203</v>
      </c>
      <c r="BPI17" s="314" t="s">
        <v>203</v>
      </c>
      <c r="BPJ17" s="314" t="s">
        <v>203</v>
      </c>
      <c r="BPK17" s="314" t="s">
        <v>203</v>
      </c>
      <c r="BPL17" s="314" t="s">
        <v>203</v>
      </c>
      <c r="BPM17" s="314" t="s">
        <v>203</v>
      </c>
      <c r="BPN17" s="314" t="s">
        <v>203</v>
      </c>
      <c r="BPO17" s="314" t="s">
        <v>203</v>
      </c>
      <c r="BPP17" s="314" t="s">
        <v>203</v>
      </c>
      <c r="BPQ17" s="314" t="s">
        <v>203</v>
      </c>
      <c r="BPR17" s="314" t="s">
        <v>203</v>
      </c>
      <c r="BPS17" s="314" t="s">
        <v>203</v>
      </c>
      <c r="BPT17" s="314" t="s">
        <v>203</v>
      </c>
      <c r="BPU17" s="314" t="s">
        <v>203</v>
      </c>
      <c r="BPV17" s="314" t="s">
        <v>203</v>
      </c>
      <c r="BPW17" s="314" t="s">
        <v>203</v>
      </c>
      <c r="BPX17" s="314" t="s">
        <v>203</v>
      </c>
      <c r="BPY17" s="314" t="s">
        <v>203</v>
      </c>
      <c r="BPZ17" s="314" t="s">
        <v>203</v>
      </c>
      <c r="BQA17" s="314" t="s">
        <v>203</v>
      </c>
      <c r="BQB17" s="314" t="s">
        <v>203</v>
      </c>
      <c r="BQC17" s="314" t="s">
        <v>203</v>
      </c>
      <c r="BQD17" s="314" t="s">
        <v>203</v>
      </c>
      <c r="BQE17" s="314" t="s">
        <v>203</v>
      </c>
      <c r="BQF17" s="314" t="s">
        <v>203</v>
      </c>
      <c r="BQG17" s="314" t="s">
        <v>203</v>
      </c>
      <c r="BQH17" s="314" t="s">
        <v>203</v>
      </c>
      <c r="BQI17" s="314" t="s">
        <v>203</v>
      </c>
      <c r="BQJ17" s="314" t="s">
        <v>203</v>
      </c>
      <c r="BQK17" s="314" t="s">
        <v>203</v>
      </c>
      <c r="BQL17" s="314" t="s">
        <v>203</v>
      </c>
      <c r="BQM17" s="314" t="s">
        <v>203</v>
      </c>
      <c r="BQN17" s="314" t="s">
        <v>203</v>
      </c>
      <c r="BQO17" s="314" t="s">
        <v>203</v>
      </c>
      <c r="BQP17" s="314" t="s">
        <v>203</v>
      </c>
      <c r="BQQ17" s="314" t="s">
        <v>203</v>
      </c>
      <c r="BQR17" s="314" t="s">
        <v>203</v>
      </c>
      <c r="BQS17" s="314" t="s">
        <v>203</v>
      </c>
      <c r="BQT17" s="314" t="s">
        <v>203</v>
      </c>
      <c r="BQU17" s="314" t="s">
        <v>203</v>
      </c>
      <c r="BQV17" s="314" t="s">
        <v>203</v>
      </c>
      <c r="BQW17" s="314" t="s">
        <v>203</v>
      </c>
      <c r="BQX17" s="314" t="s">
        <v>203</v>
      </c>
      <c r="BQY17" s="314" t="s">
        <v>203</v>
      </c>
      <c r="BQZ17" s="314" t="s">
        <v>203</v>
      </c>
      <c r="BRA17" s="314" t="s">
        <v>203</v>
      </c>
      <c r="BRB17" s="314" t="s">
        <v>203</v>
      </c>
      <c r="BRC17" s="314" t="s">
        <v>203</v>
      </c>
      <c r="BRD17" s="314" t="s">
        <v>203</v>
      </c>
      <c r="BRE17" s="314" t="s">
        <v>203</v>
      </c>
      <c r="BRF17" s="314" t="s">
        <v>203</v>
      </c>
      <c r="BRG17" s="314" t="s">
        <v>203</v>
      </c>
      <c r="BRH17" s="314" t="s">
        <v>203</v>
      </c>
      <c r="BRI17" s="314" t="s">
        <v>203</v>
      </c>
      <c r="BRJ17" s="314" t="s">
        <v>203</v>
      </c>
      <c r="BRK17" s="314" t="s">
        <v>203</v>
      </c>
      <c r="BRL17" s="314" t="s">
        <v>203</v>
      </c>
      <c r="BRM17" s="314" t="s">
        <v>203</v>
      </c>
      <c r="BRN17" s="314" t="s">
        <v>203</v>
      </c>
      <c r="BRO17" s="314" t="s">
        <v>203</v>
      </c>
      <c r="BRP17" s="314" t="s">
        <v>203</v>
      </c>
      <c r="BRQ17" s="314" t="s">
        <v>203</v>
      </c>
      <c r="BRR17" s="314" t="s">
        <v>203</v>
      </c>
      <c r="BRS17" s="314" t="s">
        <v>203</v>
      </c>
      <c r="BRT17" s="314" t="s">
        <v>203</v>
      </c>
      <c r="BRU17" s="314" t="s">
        <v>203</v>
      </c>
      <c r="BRV17" s="314" t="s">
        <v>203</v>
      </c>
      <c r="BRW17" s="314" t="s">
        <v>203</v>
      </c>
      <c r="BRX17" s="314" t="s">
        <v>203</v>
      </c>
      <c r="BRY17" s="314" t="s">
        <v>203</v>
      </c>
      <c r="BRZ17" s="314" t="s">
        <v>203</v>
      </c>
      <c r="BSA17" s="314" t="s">
        <v>203</v>
      </c>
      <c r="BSB17" s="314" t="s">
        <v>203</v>
      </c>
      <c r="BSC17" s="314" t="s">
        <v>203</v>
      </c>
      <c r="BSD17" s="314" t="s">
        <v>203</v>
      </c>
      <c r="BSE17" s="314" t="s">
        <v>203</v>
      </c>
      <c r="BSF17" s="314" t="s">
        <v>203</v>
      </c>
      <c r="BSG17" s="314" t="s">
        <v>203</v>
      </c>
      <c r="BSH17" s="314" t="s">
        <v>203</v>
      </c>
      <c r="BSI17" s="314" t="s">
        <v>203</v>
      </c>
      <c r="BSJ17" s="314" t="s">
        <v>203</v>
      </c>
      <c r="BSK17" s="314" t="s">
        <v>203</v>
      </c>
      <c r="BSL17" s="314" t="s">
        <v>203</v>
      </c>
      <c r="BSM17" s="314" t="s">
        <v>203</v>
      </c>
      <c r="BSN17" s="314" t="s">
        <v>203</v>
      </c>
      <c r="BSO17" s="314" t="s">
        <v>203</v>
      </c>
      <c r="BSP17" s="314" t="s">
        <v>203</v>
      </c>
      <c r="BSQ17" s="314" t="s">
        <v>203</v>
      </c>
      <c r="BSR17" s="314" t="s">
        <v>203</v>
      </c>
      <c r="BSS17" s="314" t="s">
        <v>203</v>
      </c>
      <c r="BST17" s="314" t="s">
        <v>203</v>
      </c>
      <c r="BSU17" s="314" t="s">
        <v>203</v>
      </c>
      <c r="BSV17" s="314" t="s">
        <v>203</v>
      </c>
      <c r="BSW17" s="314" t="s">
        <v>203</v>
      </c>
      <c r="BSX17" s="314" t="s">
        <v>203</v>
      </c>
      <c r="BSY17" s="314" t="s">
        <v>203</v>
      </c>
      <c r="BSZ17" s="314" t="s">
        <v>203</v>
      </c>
      <c r="BTA17" s="314" t="s">
        <v>203</v>
      </c>
      <c r="BTB17" s="314" t="s">
        <v>203</v>
      </c>
      <c r="BTC17" s="314" t="s">
        <v>203</v>
      </c>
      <c r="BTD17" s="314" t="s">
        <v>203</v>
      </c>
      <c r="BTE17" s="314" t="s">
        <v>203</v>
      </c>
      <c r="BTF17" s="314" t="s">
        <v>203</v>
      </c>
      <c r="BTG17" s="314" t="s">
        <v>203</v>
      </c>
      <c r="BTH17" s="314" t="s">
        <v>203</v>
      </c>
      <c r="BTI17" s="314" t="s">
        <v>203</v>
      </c>
      <c r="BTJ17" s="314" t="s">
        <v>203</v>
      </c>
      <c r="BTK17" s="314" t="s">
        <v>203</v>
      </c>
      <c r="BTL17" s="314" t="s">
        <v>203</v>
      </c>
      <c r="BTM17" s="314" t="s">
        <v>203</v>
      </c>
      <c r="BTN17" s="314" t="s">
        <v>203</v>
      </c>
      <c r="BTO17" s="314" t="s">
        <v>203</v>
      </c>
      <c r="BTP17" s="314" t="s">
        <v>203</v>
      </c>
      <c r="BTQ17" s="314" t="s">
        <v>203</v>
      </c>
      <c r="BTR17" s="314" t="s">
        <v>203</v>
      </c>
      <c r="BTS17" s="314" t="s">
        <v>203</v>
      </c>
      <c r="BTT17" s="314" t="s">
        <v>203</v>
      </c>
      <c r="BTU17" s="314" t="s">
        <v>203</v>
      </c>
      <c r="BTV17" s="314" t="s">
        <v>203</v>
      </c>
      <c r="BTW17" s="314" t="s">
        <v>203</v>
      </c>
      <c r="BTX17" s="314" t="s">
        <v>203</v>
      </c>
      <c r="BTY17" s="314" t="s">
        <v>203</v>
      </c>
      <c r="BTZ17" s="314" t="s">
        <v>203</v>
      </c>
      <c r="BUA17" s="314" t="s">
        <v>203</v>
      </c>
      <c r="BUB17" s="314" t="s">
        <v>203</v>
      </c>
      <c r="BUC17" s="314" t="s">
        <v>203</v>
      </c>
      <c r="BUD17" s="314" t="s">
        <v>203</v>
      </c>
      <c r="BUE17" s="314" t="s">
        <v>203</v>
      </c>
      <c r="BUF17" s="314" t="s">
        <v>203</v>
      </c>
      <c r="BUG17" s="314" t="s">
        <v>203</v>
      </c>
      <c r="BUH17" s="314" t="s">
        <v>203</v>
      </c>
      <c r="BUI17" s="314" t="s">
        <v>203</v>
      </c>
      <c r="BUJ17" s="314" t="s">
        <v>203</v>
      </c>
      <c r="BUK17" s="314" t="s">
        <v>203</v>
      </c>
      <c r="BUL17" s="314" t="s">
        <v>203</v>
      </c>
      <c r="BUM17" s="314" t="s">
        <v>203</v>
      </c>
      <c r="BUN17" s="314" t="s">
        <v>203</v>
      </c>
      <c r="BUO17" s="314" t="s">
        <v>203</v>
      </c>
      <c r="BUP17" s="314" t="s">
        <v>203</v>
      </c>
      <c r="BUQ17" s="314" t="s">
        <v>203</v>
      </c>
      <c r="BUR17" s="314" t="s">
        <v>203</v>
      </c>
      <c r="BUS17" s="314" t="s">
        <v>203</v>
      </c>
      <c r="BUT17" s="314" t="s">
        <v>203</v>
      </c>
      <c r="BUU17" s="314" t="s">
        <v>203</v>
      </c>
      <c r="BUV17" s="314" t="s">
        <v>203</v>
      </c>
      <c r="BUW17" s="314" t="s">
        <v>203</v>
      </c>
      <c r="BUX17" s="314" t="s">
        <v>203</v>
      </c>
      <c r="BUY17" s="314" t="s">
        <v>203</v>
      </c>
      <c r="BUZ17" s="314" t="s">
        <v>203</v>
      </c>
      <c r="BVA17" s="314" t="s">
        <v>203</v>
      </c>
      <c r="BVB17" s="314" t="s">
        <v>203</v>
      </c>
      <c r="BVC17" s="314" t="s">
        <v>203</v>
      </c>
      <c r="BVD17" s="314" t="s">
        <v>203</v>
      </c>
      <c r="BVE17" s="314" t="s">
        <v>203</v>
      </c>
      <c r="BVF17" s="314" t="s">
        <v>203</v>
      </c>
      <c r="BVG17" s="314" t="s">
        <v>203</v>
      </c>
      <c r="BVH17" s="314" t="s">
        <v>203</v>
      </c>
      <c r="BVI17" s="314" t="s">
        <v>203</v>
      </c>
      <c r="BVJ17" s="314" t="s">
        <v>203</v>
      </c>
      <c r="BVK17" s="314" t="s">
        <v>203</v>
      </c>
      <c r="BVL17" s="314" t="s">
        <v>203</v>
      </c>
      <c r="BVM17" s="314" t="s">
        <v>203</v>
      </c>
      <c r="BVN17" s="314" t="s">
        <v>203</v>
      </c>
      <c r="BVO17" s="314" t="s">
        <v>203</v>
      </c>
      <c r="BVP17" s="314" t="s">
        <v>203</v>
      </c>
      <c r="BVQ17" s="314" t="s">
        <v>203</v>
      </c>
      <c r="BVR17" s="314" t="s">
        <v>203</v>
      </c>
      <c r="BVS17" s="314" t="s">
        <v>203</v>
      </c>
      <c r="BVT17" s="314" t="s">
        <v>203</v>
      </c>
      <c r="BVU17" s="314" t="s">
        <v>203</v>
      </c>
      <c r="BVV17" s="314" t="s">
        <v>203</v>
      </c>
      <c r="BVW17" s="314" t="s">
        <v>203</v>
      </c>
      <c r="BVX17" s="314" t="s">
        <v>203</v>
      </c>
      <c r="BVY17" s="314" t="s">
        <v>203</v>
      </c>
      <c r="BVZ17" s="314" t="s">
        <v>203</v>
      </c>
      <c r="BWA17" s="314" t="s">
        <v>203</v>
      </c>
      <c r="BWB17" s="314" t="s">
        <v>203</v>
      </c>
      <c r="BWC17" s="314" t="s">
        <v>203</v>
      </c>
      <c r="BWD17" s="314" t="s">
        <v>203</v>
      </c>
      <c r="BWE17" s="314" t="s">
        <v>203</v>
      </c>
      <c r="BWF17" s="314" t="s">
        <v>203</v>
      </c>
      <c r="BWG17" s="314" t="s">
        <v>203</v>
      </c>
      <c r="BWH17" s="314" t="s">
        <v>203</v>
      </c>
      <c r="BWI17" s="314" t="s">
        <v>203</v>
      </c>
      <c r="BWJ17" s="314" t="s">
        <v>203</v>
      </c>
      <c r="BWK17" s="314" t="s">
        <v>203</v>
      </c>
      <c r="BWL17" s="314" t="s">
        <v>203</v>
      </c>
      <c r="BWM17" s="314" t="s">
        <v>203</v>
      </c>
      <c r="BWN17" s="314" t="s">
        <v>203</v>
      </c>
      <c r="BWO17" s="314" t="s">
        <v>203</v>
      </c>
      <c r="BWP17" s="314" t="s">
        <v>203</v>
      </c>
      <c r="BWQ17" s="314" t="s">
        <v>203</v>
      </c>
      <c r="BWR17" s="314" t="s">
        <v>203</v>
      </c>
      <c r="BWS17" s="314" t="s">
        <v>203</v>
      </c>
      <c r="BWT17" s="314" t="s">
        <v>203</v>
      </c>
      <c r="BWU17" s="314" t="s">
        <v>203</v>
      </c>
      <c r="BWV17" s="314" t="s">
        <v>203</v>
      </c>
      <c r="BWW17" s="314" t="s">
        <v>203</v>
      </c>
      <c r="BWX17" s="314" t="s">
        <v>203</v>
      </c>
      <c r="BWY17" s="314" t="s">
        <v>203</v>
      </c>
      <c r="BWZ17" s="314" t="s">
        <v>203</v>
      </c>
      <c r="BXA17" s="314" t="s">
        <v>203</v>
      </c>
      <c r="BXB17" s="314" t="s">
        <v>203</v>
      </c>
      <c r="BXC17" s="314" t="s">
        <v>203</v>
      </c>
      <c r="BXD17" s="314" t="s">
        <v>203</v>
      </c>
      <c r="BXE17" s="314" t="s">
        <v>203</v>
      </c>
      <c r="BXF17" s="314" t="s">
        <v>203</v>
      </c>
      <c r="BXG17" s="314" t="s">
        <v>203</v>
      </c>
      <c r="BXH17" s="314" t="s">
        <v>203</v>
      </c>
      <c r="BXI17" s="314" t="s">
        <v>203</v>
      </c>
      <c r="BXJ17" s="314" t="s">
        <v>203</v>
      </c>
      <c r="BXK17" s="314" t="s">
        <v>203</v>
      </c>
      <c r="BXL17" s="314" t="s">
        <v>203</v>
      </c>
      <c r="BXM17" s="314" t="s">
        <v>203</v>
      </c>
      <c r="BXN17" s="314" t="s">
        <v>203</v>
      </c>
      <c r="BXO17" s="314" t="s">
        <v>203</v>
      </c>
      <c r="BXP17" s="314" t="s">
        <v>203</v>
      </c>
      <c r="BXQ17" s="314" t="s">
        <v>203</v>
      </c>
      <c r="BXR17" s="314" t="s">
        <v>203</v>
      </c>
      <c r="BXS17" s="314" t="s">
        <v>203</v>
      </c>
      <c r="BXT17" s="314" t="s">
        <v>203</v>
      </c>
      <c r="BXU17" s="314" t="s">
        <v>203</v>
      </c>
      <c r="BXV17" s="314" t="s">
        <v>203</v>
      </c>
      <c r="BXW17" s="314" t="s">
        <v>203</v>
      </c>
      <c r="BXX17" s="314" t="s">
        <v>203</v>
      </c>
      <c r="BXY17" s="314" t="s">
        <v>203</v>
      </c>
      <c r="BXZ17" s="314" t="s">
        <v>203</v>
      </c>
      <c r="BYA17" s="314" t="s">
        <v>203</v>
      </c>
      <c r="BYB17" s="314" t="s">
        <v>203</v>
      </c>
      <c r="BYC17" s="314" t="s">
        <v>203</v>
      </c>
      <c r="BYD17" s="314" t="s">
        <v>203</v>
      </c>
      <c r="BYE17" s="314" t="s">
        <v>203</v>
      </c>
      <c r="BYF17" s="314" t="s">
        <v>203</v>
      </c>
      <c r="BYG17" s="314" t="s">
        <v>203</v>
      </c>
      <c r="BYH17" s="314" t="s">
        <v>203</v>
      </c>
      <c r="BYI17" s="314" t="s">
        <v>203</v>
      </c>
      <c r="BYJ17" s="314" t="s">
        <v>203</v>
      </c>
      <c r="BYK17" s="314" t="s">
        <v>203</v>
      </c>
      <c r="BYL17" s="314" t="s">
        <v>203</v>
      </c>
      <c r="BYM17" s="314" t="s">
        <v>203</v>
      </c>
      <c r="BYN17" s="314" t="s">
        <v>203</v>
      </c>
      <c r="BYO17" s="314" t="s">
        <v>203</v>
      </c>
      <c r="BYP17" s="314" t="s">
        <v>203</v>
      </c>
      <c r="BYQ17" s="314" t="s">
        <v>203</v>
      </c>
      <c r="BYR17" s="314" t="s">
        <v>203</v>
      </c>
      <c r="BYS17" s="314" t="s">
        <v>203</v>
      </c>
      <c r="BYT17" s="314" t="s">
        <v>203</v>
      </c>
      <c r="BYU17" s="314" t="s">
        <v>203</v>
      </c>
      <c r="BYV17" s="314" t="s">
        <v>203</v>
      </c>
      <c r="BYW17" s="314" t="s">
        <v>203</v>
      </c>
      <c r="BYX17" s="314" t="s">
        <v>203</v>
      </c>
      <c r="BYY17" s="314" t="s">
        <v>203</v>
      </c>
      <c r="BYZ17" s="314" t="s">
        <v>203</v>
      </c>
      <c r="BZA17" s="314" t="s">
        <v>203</v>
      </c>
      <c r="BZB17" s="314" t="s">
        <v>203</v>
      </c>
      <c r="BZC17" s="314" t="s">
        <v>203</v>
      </c>
      <c r="BZD17" s="314" t="s">
        <v>203</v>
      </c>
      <c r="BZE17" s="314" t="s">
        <v>203</v>
      </c>
      <c r="BZF17" s="314" t="s">
        <v>203</v>
      </c>
      <c r="BZG17" s="314" t="s">
        <v>203</v>
      </c>
      <c r="BZH17" s="314" t="s">
        <v>203</v>
      </c>
      <c r="BZI17" s="314" t="s">
        <v>203</v>
      </c>
      <c r="BZJ17" s="314" t="s">
        <v>203</v>
      </c>
      <c r="BZK17" s="314" t="s">
        <v>203</v>
      </c>
      <c r="BZL17" s="314" t="s">
        <v>203</v>
      </c>
      <c r="BZM17" s="314" t="s">
        <v>203</v>
      </c>
      <c r="BZN17" s="314" t="s">
        <v>203</v>
      </c>
      <c r="BZO17" s="314" t="s">
        <v>203</v>
      </c>
      <c r="BZP17" s="314" t="s">
        <v>203</v>
      </c>
      <c r="BZQ17" s="314" t="s">
        <v>203</v>
      </c>
      <c r="BZR17" s="314" t="s">
        <v>203</v>
      </c>
      <c r="BZS17" s="314" t="s">
        <v>203</v>
      </c>
      <c r="BZT17" s="314" t="s">
        <v>203</v>
      </c>
      <c r="BZU17" s="314" t="s">
        <v>203</v>
      </c>
      <c r="BZV17" s="314" t="s">
        <v>203</v>
      </c>
      <c r="BZW17" s="314" t="s">
        <v>203</v>
      </c>
      <c r="BZX17" s="314" t="s">
        <v>203</v>
      </c>
      <c r="BZY17" s="314" t="s">
        <v>203</v>
      </c>
      <c r="BZZ17" s="314" t="s">
        <v>203</v>
      </c>
      <c r="CAA17" s="314" t="s">
        <v>203</v>
      </c>
      <c r="CAB17" s="314" t="s">
        <v>203</v>
      </c>
      <c r="CAC17" s="314" t="s">
        <v>203</v>
      </c>
      <c r="CAD17" s="314" t="s">
        <v>203</v>
      </c>
      <c r="CAE17" s="314" t="s">
        <v>203</v>
      </c>
      <c r="CAF17" s="314" t="s">
        <v>203</v>
      </c>
      <c r="CAG17" s="314" t="s">
        <v>203</v>
      </c>
      <c r="CAH17" s="314" t="s">
        <v>203</v>
      </c>
      <c r="CAI17" s="314" t="s">
        <v>203</v>
      </c>
      <c r="CAJ17" s="314" t="s">
        <v>203</v>
      </c>
      <c r="CAK17" s="314" t="s">
        <v>203</v>
      </c>
      <c r="CAL17" s="314" t="s">
        <v>203</v>
      </c>
      <c r="CAM17" s="314" t="s">
        <v>203</v>
      </c>
      <c r="CAN17" s="314" t="s">
        <v>203</v>
      </c>
      <c r="CAO17" s="314" t="s">
        <v>203</v>
      </c>
      <c r="CAP17" s="314" t="s">
        <v>203</v>
      </c>
      <c r="CAQ17" s="314" t="s">
        <v>203</v>
      </c>
      <c r="CAR17" s="314" t="s">
        <v>203</v>
      </c>
      <c r="CAS17" s="314" t="s">
        <v>203</v>
      </c>
      <c r="CAT17" s="314" t="s">
        <v>203</v>
      </c>
      <c r="CAU17" s="314" t="s">
        <v>203</v>
      </c>
      <c r="CAV17" s="314" t="s">
        <v>203</v>
      </c>
      <c r="CAW17" s="314" t="s">
        <v>203</v>
      </c>
      <c r="CAX17" s="314" t="s">
        <v>203</v>
      </c>
      <c r="CAY17" s="314" t="s">
        <v>203</v>
      </c>
      <c r="CAZ17" s="314" t="s">
        <v>203</v>
      </c>
      <c r="CBA17" s="314" t="s">
        <v>203</v>
      </c>
      <c r="CBB17" s="314" t="s">
        <v>203</v>
      </c>
      <c r="CBC17" s="314" t="s">
        <v>203</v>
      </c>
      <c r="CBD17" s="314" t="s">
        <v>203</v>
      </c>
      <c r="CBE17" s="314" t="s">
        <v>203</v>
      </c>
      <c r="CBF17" s="314" t="s">
        <v>203</v>
      </c>
      <c r="CBG17" s="314" t="s">
        <v>203</v>
      </c>
      <c r="CBH17" s="314" t="s">
        <v>203</v>
      </c>
      <c r="CBI17" s="314" t="s">
        <v>203</v>
      </c>
      <c r="CBJ17" s="314" t="s">
        <v>203</v>
      </c>
      <c r="CBK17" s="314" t="s">
        <v>203</v>
      </c>
      <c r="CBL17" s="314" t="s">
        <v>203</v>
      </c>
      <c r="CBM17" s="314" t="s">
        <v>203</v>
      </c>
      <c r="CBN17" s="314" t="s">
        <v>203</v>
      </c>
      <c r="CBO17" s="314" t="s">
        <v>203</v>
      </c>
      <c r="CBP17" s="314" t="s">
        <v>203</v>
      </c>
      <c r="CBQ17" s="314" t="s">
        <v>203</v>
      </c>
      <c r="CBR17" s="314" t="s">
        <v>203</v>
      </c>
      <c r="CBS17" s="314" t="s">
        <v>203</v>
      </c>
      <c r="CBT17" s="314" t="s">
        <v>203</v>
      </c>
      <c r="CBU17" s="314" t="s">
        <v>203</v>
      </c>
      <c r="CBV17" s="314" t="s">
        <v>203</v>
      </c>
      <c r="CBW17" s="314" t="s">
        <v>203</v>
      </c>
      <c r="CBX17" s="314" t="s">
        <v>203</v>
      </c>
      <c r="CBY17" s="314" t="s">
        <v>203</v>
      </c>
      <c r="CBZ17" s="314" t="s">
        <v>203</v>
      </c>
      <c r="CCA17" s="314" t="s">
        <v>203</v>
      </c>
      <c r="CCB17" s="314" t="s">
        <v>203</v>
      </c>
      <c r="CCC17" s="314" t="s">
        <v>203</v>
      </c>
      <c r="CCD17" s="314" t="s">
        <v>203</v>
      </c>
      <c r="CCE17" s="314" t="s">
        <v>203</v>
      </c>
      <c r="CCF17" s="314" t="s">
        <v>203</v>
      </c>
      <c r="CCG17" s="314" t="s">
        <v>203</v>
      </c>
      <c r="CCH17" s="314" t="s">
        <v>203</v>
      </c>
      <c r="CCI17" s="314" t="s">
        <v>203</v>
      </c>
      <c r="CCJ17" s="314" t="s">
        <v>203</v>
      </c>
      <c r="CCK17" s="314" t="s">
        <v>203</v>
      </c>
      <c r="CCL17" s="314" t="s">
        <v>203</v>
      </c>
      <c r="CCM17" s="314" t="s">
        <v>203</v>
      </c>
      <c r="CCN17" s="314" t="s">
        <v>203</v>
      </c>
      <c r="CCO17" s="314" t="s">
        <v>203</v>
      </c>
      <c r="CCP17" s="314" t="s">
        <v>203</v>
      </c>
      <c r="CCQ17" s="314" t="s">
        <v>203</v>
      </c>
      <c r="CCR17" s="314" t="s">
        <v>203</v>
      </c>
      <c r="CCS17" s="314" t="s">
        <v>203</v>
      </c>
      <c r="CCT17" s="314" t="s">
        <v>203</v>
      </c>
      <c r="CCU17" s="314" t="s">
        <v>203</v>
      </c>
      <c r="CCV17" s="314" t="s">
        <v>203</v>
      </c>
      <c r="CCW17" s="314" t="s">
        <v>203</v>
      </c>
      <c r="CCX17" s="314" t="s">
        <v>203</v>
      </c>
      <c r="CCY17" s="314" t="s">
        <v>203</v>
      </c>
      <c r="CCZ17" s="314" t="s">
        <v>203</v>
      </c>
      <c r="CDA17" s="314" t="s">
        <v>203</v>
      </c>
      <c r="CDB17" s="314" t="s">
        <v>203</v>
      </c>
      <c r="CDC17" s="314" t="s">
        <v>203</v>
      </c>
      <c r="CDD17" s="314" t="s">
        <v>203</v>
      </c>
      <c r="CDE17" s="314" t="s">
        <v>203</v>
      </c>
      <c r="CDF17" s="314" t="s">
        <v>203</v>
      </c>
      <c r="CDG17" s="314" t="s">
        <v>203</v>
      </c>
      <c r="CDH17" s="314" t="s">
        <v>203</v>
      </c>
      <c r="CDI17" s="314" t="s">
        <v>203</v>
      </c>
      <c r="CDJ17" s="314" t="s">
        <v>203</v>
      </c>
      <c r="CDK17" s="314" t="s">
        <v>203</v>
      </c>
      <c r="CDL17" s="314" t="s">
        <v>203</v>
      </c>
      <c r="CDM17" s="314" t="s">
        <v>203</v>
      </c>
      <c r="CDN17" s="314" t="s">
        <v>203</v>
      </c>
      <c r="CDO17" s="314" t="s">
        <v>203</v>
      </c>
      <c r="CDP17" s="314" t="s">
        <v>203</v>
      </c>
      <c r="CDQ17" s="314" t="s">
        <v>203</v>
      </c>
      <c r="CDR17" s="314" t="s">
        <v>203</v>
      </c>
      <c r="CDS17" s="314" t="s">
        <v>203</v>
      </c>
      <c r="CDT17" s="314" t="s">
        <v>203</v>
      </c>
      <c r="CDU17" s="314" t="s">
        <v>203</v>
      </c>
      <c r="CDV17" s="314" t="s">
        <v>203</v>
      </c>
      <c r="CDW17" s="314" t="s">
        <v>203</v>
      </c>
      <c r="CDX17" s="314" t="s">
        <v>203</v>
      </c>
      <c r="CDY17" s="314" t="s">
        <v>203</v>
      </c>
      <c r="CDZ17" s="314" t="s">
        <v>203</v>
      </c>
      <c r="CEA17" s="314" t="s">
        <v>203</v>
      </c>
      <c r="CEB17" s="314" t="s">
        <v>203</v>
      </c>
      <c r="CEC17" s="314" t="s">
        <v>203</v>
      </c>
      <c r="CED17" s="314" t="s">
        <v>203</v>
      </c>
      <c r="CEE17" s="314" t="s">
        <v>203</v>
      </c>
      <c r="CEF17" s="314" t="s">
        <v>203</v>
      </c>
      <c r="CEG17" s="314" t="s">
        <v>203</v>
      </c>
      <c r="CEH17" s="314" t="s">
        <v>203</v>
      </c>
      <c r="CEI17" s="314" t="s">
        <v>203</v>
      </c>
      <c r="CEJ17" s="314" t="s">
        <v>203</v>
      </c>
      <c r="CEK17" s="314" t="s">
        <v>203</v>
      </c>
      <c r="CEL17" s="314" t="s">
        <v>203</v>
      </c>
      <c r="CEM17" s="314" t="s">
        <v>203</v>
      </c>
      <c r="CEN17" s="314" t="s">
        <v>203</v>
      </c>
      <c r="CEO17" s="314" t="s">
        <v>203</v>
      </c>
      <c r="CEP17" s="314" t="s">
        <v>203</v>
      </c>
      <c r="CEQ17" s="314" t="s">
        <v>203</v>
      </c>
      <c r="CER17" s="314" t="s">
        <v>203</v>
      </c>
      <c r="CES17" s="314" t="s">
        <v>203</v>
      </c>
      <c r="CET17" s="314" t="s">
        <v>203</v>
      </c>
      <c r="CEU17" s="314" t="s">
        <v>203</v>
      </c>
      <c r="CEV17" s="314" t="s">
        <v>203</v>
      </c>
      <c r="CEW17" s="314" t="s">
        <v>203</v>
      </c>
      <c r="CEX17" s="314" t="s">
        <v>203</v>
      </c>
      <c r="CEY17" s="314" t="s">
        <v>203</v>
      </c>
      <c r="CEZ17" s="314" t="s">
        <v>203</v>
      </c>
      <c r="CFA17" s="314" t="s">
        <v>203</v>
      </c>
      <c r="CFB17" s="314" t="s">
        <v>203</v>
      </c>
      <c r="CFC17" s="314" t="s">
        <v>203</v>
      </c>
      <c r="CFD17" s="314" t="s">
        <v>203</v>
      </c>
      <c r="CFE17" s="314" t="s">
        <v>203</v>
      </c>
      <c r="CFF17" s="314" t="s">
        <v>203</v>
      </c>
      <c r="CFG17" s="314" t="s">
        <v>203</v>
      </c>
      <c r="CFH17" s="314" t="s">
        <v>203</v>
      </c>
      <c r="CFI17" s="314" t="s">
        <v>203</v>
      </c>
      <c r="CFJ17" s="314" t="s">
        <v>203</v>
      </c>
      <c r="CFK17" s="314" t="s">
        <v>203</v>
      </c>
      <c r="CFL17" s="314" t="s">
        <v>203</v>
      </c>
      <c r="CFM17" s="314" t="s">
        <v>203</v>
      </c>
      <c r="CFN17" s="314" t="s">
        <v>203</v>
      </c>
      <c r="CFO17" s="314" t="s">
        <v>203</v>
      </c>
      <c r="CFP17" s="314" t="s">
        <v>203</v>
      </c>
      <c r="CFQ17" s="314" t="s">
        <v>203</v>
      </c>
      <c r="CFR17" s="314" t="s">
        <v>203</v>
      </c>
      <c r="CFS17" s="314" t="s">
        <v>203</v>
      </c>
      <c r="CFT17" s="314" t="s">
        <v>203</v>
      </c>
      <c r="CFU17" s="314" t="s">
        <v>203</v>
      </c>
      <c r="CFV17" s="314" t="s">
        <v>203</v>
      </c>
      <c r="CFW17" s="314" t="s">
        <v>203</v>
      </c>
      <c r="CFX17" s="314" t="s">
        <v>203</v>
      </c>
      <c r="CFY17" s="314" t="s">
        <v>203</v>
      </c>
      <c r="CFZ17" s="314" t="s">
        <v>203</v>
      </c>
      <c r="CGA17" s="314" t="s">
        <v>203</v>
      </c>
      <c r="CGB17" s="314" t="s">
        <v>203</v>
      </c>
      <c r="CGC17" s="314" t="s">
        <v>203</v>
      </c>
      <c r="CGD17" s="314" t="s">
        <v>203</v>
      </c>
      <c r="CGE17" s="314" t="s">
        <v>203</v>
      </c>
      <c r="CGF17" s="314" t="s">
        <v>203</v>
      </c>
      <c r="CGG17" s="314" t="s">
        <v>203</v>
      </c>
      <c r="CGH17" s="314" t="s">
        <v>203</v>
      </c>
      <c r="CGI17" s="314" t="s">
        <v>203</v>
      </c>
      <c r="CGJ17" s="314" t="s">
        <v>203</v>
      </c>
      <c r="CGK17" s="314" t="s">
        <v>203</v>
      </c>
      <c r="CGL17" s="314" t="s">
        <v>203</v>
      </c>
      <c r="CGM17" s="314" t="s">
        <v>203</v>
      </c>
      <c r="CGN17" s="314" t="s">
        <v>203</v>
      </c>
      <c r="CGO17" s="314" t="s">
        <v>203</v>
      </c>
      <c r="CGP17" s="314" t="s">
        <v>203</v>
      </c>
      <c r="CGQ17" s="314" t="s">
        <v>203</v>
      </c>
      <c r="CGR17" s="314" t="s">
        <v>203</v>
      </c>
      <c r="CGS17" s="314" t="s">
        <v>203</v>
      </c>
      <c r="CGT17" s="314" t="s">
        <v>203</v>
      </c>
      <c r="CGU17" s="314" t="s">
        <v>203</v>
      </c>
      <c r="CGV17" s="314" t="s">
        <v>203</v>
      </c>
      <c r="CGW17" s="314" t="s">
        <v>203</v>
      </c>
      <c r="CGX17" s="314" t="s">
        <v>203</v>
      </c>
      <c r="CGY17" s="314" t="s">
        <v>203</v>
      </c>
      <c r="CGZ17" s="314" t="s">
        <v>203</v>
      </c>
      <c r="CHA17" s="314" t="s">
        <v>203</v>
      </c>
      <c r="CHB17" s="314" t="s">
        <v>203</v>
      </c>
      <c r="CHC17" s="314" t="s">
        <v>203</v>
      </c>
      <c r="CHD17" s="314" t="s">
        <v>203</v>
      </c>
      <c r="CHE17" s="314" t="s">
        <v>203</v>
      </c>
      <c r="CHF17" s="314" t="s">
        <v>203</v>
      </c>
      <c r="CHG17" s="314" t="s">
        <v>203</v>
      </c>
      <c r="CHH17" s="314" t="s">
        <v>203</v>
      </c>
      <c r="CHI17" s="314" t="s">
        <v>203</v>
      </c>
      <c r="CHJ17" s="314" t="s">
        <v>203</v>
      </c>
      <c r="CHK17" s="314" t="s">
        <v>203</v>
      </c>
      <c r="CHL17" s="314" t="s">
        <v>203</v>
      </c>
      <c r="CHM17" s="314" t="s">
        <v>203</v>
      </c>
      <c r="CHN17" s="314" t="s">
        <v>203</v>
      </c>
      <c r="CHO17" s="314" t="s">
        <v>203</v>
      </c>
      <c r="CHP17" s="314" t="s">
        <v>203</v>
      </c>
      <c r="CHQ17" s="314" t="s">
        <v>203</v>
      </c>
      <c r="CHR17" s="314" t="s">
        <v>203</v>
      </c>
      <c r="CHS17" s="314" t="s">
        <v>203</v>
      </c>
      <c r="CHT17" s="314" t="s">
        <v>203</v>
      </c>
      <c r="CHU17" s="314" t="s">
        <v>203</v>
      </c>
      <c r="CHV17" s="314" t="s">
        <v>203</v>
      </c>
      <c r="CHW17" s="314" t="s">
        <v>203</v>
      </c>
      <c r="CHX17" s="314" t="s">
        <v>203</v>
      </c>
      <c r="CHY17" s="314" t="s">
        <v>203</v>
      </c>
      <c r="CHZ17" s="314" t="s">
        <v>203</v>
      </c>
      <c r="CIA17" s="314" t="s">
        <v>203</v>
      </c>
      <c r="CIB17" s="314" t="s">
        <v>203</v>
      </c>
      <c r="CIC17" s="314" t="s">
        <v>203</v>
      </c>
      <c r="CID17" s="314" t="s">
        <v>203</v>
      </c>
      <c r="CIE17" s="314" t="s">
        <v>203</v>
      </c>
      <c r="CIF17" s="314" t="s">
        <v>203</v>
      </c>
      <c r="CIG17" s="314" t="s">
        <v>203</v>
      </c>
      <c r="CIH17" s="314" t="s">
        <v>203</v>
      </c>
      <c r="CII17" s="314" t="s">
        <v>203</v>
      </c>
      <c r="CIJ17" s="314" t="s">
        <v>203</v>
      </c>
      <c r="CIK17" s="314" t="s">
        <v>203</v>
      </c>
      <c r="CIL17" s="314" t="s">
        <v>203</v>
      </c>
      <c r="CIM17" s="314" t="s">
        <v>203</v>
      </c>
      <c r="CIN17" s="314" t="s">
        <v>203</v>
      </c>
      <c r="CIO17" s="314" t="s">
        <v>203</v>
      </c>
      <c r="CIP17" s="314" t="s">
        <v>203</v>
      </c>
      <c r="CIQ17" s="314" t="s">
        <v>203</v>
      </c>
      <c r="CIR17" s="314" t="s">
        <v>203</v>
      </c>
      <c r="CIS17" s="314" t="s">
        <v>203</v>
      </c>
      <c r="CIT17" s="314" t="s">
        <v>203</v>
      </c>
      <c r="CIU17" s="314" t="s">
        <v>203</v>
      </c>
      <c r="CIV17" s="314" t="s">
        <v>203</v>
      </c>
      <c r="CIW17" s="314" t="s">
        <v>203</v>
      </c>
      <c r="CIX17" s="314" t="s">
        <v>203</v>
      </c>
      <c r="CIY17" s="314" t="s">
        <v>203</v>
      </c>
      <c r="CIZ17" s="314" t="s">
        <v>203</v>
      </c>
      <c r="CJA17" s="314" t="s">
        <v>203</v>
      </c>
      <c r="CJB17" s="314" t="s">
        <v>203</v>
      </c>
      <c r="CJC17" s="314" t="s">
        <v>203</v>
      </c>
      <c r="CJD17" s="314" t="s">
        <v>203</v>
      </c>
      <c r="CJE17" s="314" t="s">
        <v>203</v>
      </c>
      <c r="CJF17" s="314" t="s">
        <v>203</v>
      </c>
      <c r="CJG17" s="314" t="s">
        <v>203</v>
      </c>
      <c r="CJH17" s="314" t="s">
        <v>203</v>
      </c>
      <c r="CJI17" s="314" t="s">
        <v>203</v>
      </c>
      <c r="CJJ17" s="314" t="s">
        <v>203</v>
      </c>
      <c r="CJK17" s="314" t="s">
        <v>203</v>
      </c>
      <c r="CJL17" s="314" t="s">
        <v>203</v>
      </c>
      <c r="CJM17" s="314" t="s">
        <v>203</v>
      </c>
      <c r="CJN17" s="314" t="s">
        <v>203</v>
      </c>
      <c r="CJO17" s="314" t="s">
        <v>203</v>
      </c>
      <c r="CJP17" s="314" t="s">
        <v>203</v>
      </c>
      <c r="CJQ17" s="314" t="s">
        <v>203</v>
      </c>
      <c r="CJR17" s="314" t="s">
        <v>203</v>
      </c>
      <c r="CJS17" s="314" t="s">
        <v>203</v>
      </c>
      <c r="CJT17" s="314" t="s">
        <v>203</v>
      </c>
      <c r="CJU17" s="314" t="s">
        <v>203</v>
      </c>
      <c r="CJV17" s="314" t="s">
        <v>203</v>
      </c>
      <c r="CJW17" s="314" t="s">
        <v>203</v>
      </c>
      <c r="CJX17" s="314" t="s">
        <v>203</v>
      </c>
      <c r="CJY17" s="314" t="s">
        <v>203</v>
      </c>
      <c r="CJZ17" s="314" t="s">
        <v>203</v>
      </c>
      <c r="CKA17" s="314" t="s">
        <v>203</v>
      </c>
      <c r="CKB17" s="314" t="s">
        <v>203</v>
      </c>
      <c r="CKC17" s="314" t="s">
        <v>203</v>
      </c>
      <c r="CKD17" s="314" t="s">
        <v>203</v>
      </c>
      <c r="CKE17" s="314" t="s">
        <v>203</v>
      </c>
      <c r="CKF17" s="314" t="s">
        <v>203</v>
      </c>
      <c r="CKG17" s="314" t="s">
        <v>203</v>
      </c>
      <c r="CKH17" s="314" t="s">
        <v>203</v>
      </c>
      <c r="CKI17" s="314" t="s">
        <v>203</v>
      </c>
      <c r="CKJ17" s="314" t="s">
        <v>203</v>
      </c>
      <c r="CKK17" s="314" t="s">
        <v>203</v>
      </c>
      <c r="CKL17" s="314" t="s">
        <v>203</v>
      </c>
      <c r="CKM17" s="314" t="s">
        <v>203</v>
      </c>
      <c r="CKN17" s="314" t="s">
        <v>203</v>
      </c>
      <c r="CKO17" s="314" t="s">
        <v>203</v>
      </c>
      <c r="CKP17" s="314" t="s">
        <v>203</v>
      </c>
      <c r="CKQ17" s="314" t="s">
        <v>203</v>
      </c>
      <c r="CKR17" s="314" t="s">
        <v>203</v>
      </c>
      <c r="CKS17" s="314" t="s">
        <v>203</v>
      </c>
      <c r="CKT17" s="314" t="s">
        <v>203</v>
      </c>
      <c r="CKU17" s="314" t="s">
        <v>203</v>
      </c>
      <c r="CKV17" s="314" t="s">
        <v>203</v>
      </c>
      <c r="CKW17" s="314" t="s">
        <v>203</v>
      </c>
      <c r="CKX17" s="314" t="s">
        <v>203</v>
      </c>
      <c r="CKY17" s="314" t="s">
        <v>203</v>
      </c>
      <c r="CKZ17" s="314" t="s">
        <v>203</v>
      </c>
      <c r="CLA17" s="314" t="s">
        <v>203</v>
      </c>
      <c r="CLB17" s="314" t="s">
        <v>203</v>
      </c>
      <c r="CLC17" s="314" t="s">
        <v>203</v>
      </c>
      <c r="CLD17" s="314" t="s">
        <v>203</v>
      </c>
      <c r="CLE17" s="314" t="s">
        <v>203</v>
      </c>
      <c r="CLF17" s="314" t="s">
        <v>203</v>
      </c>
      <c r="CLG17" s="314" t="s">
        <v>203</v>
      </c>
      <c r="CLH17" s="314" t="s">
        <v>203</v>
      </c>
      <c r="CLI17" s="314" t="s">
        <v>203</v>
      </c>
      <c r="CLJ17" s="314" t="s">
        <v>203</v>
      </c>
      <c r="CLK17" s="314" t="s">
        <v>203</v>
      </c>
      <c r="CLL17" s="314" t="s">
        <v>203</v>
      </c>
      <c r="CLM17" s="314" t="s">
        <v>203</v>
      </c>
      <c r="CLN17" s="314" t="s">
        <v>203</v>
      </c>
      <c r="CLO17" s="314" t="s">
        <v>203</v>
      </c>
      <c r="CLP17" s="314" t="s">
        <v>203</v>
      </c>
      <c r="CLQ17" s="314" t="s">
        <v>203</v>
      </c>
      <c r="CLR17" s="314" t="s">
        <v>203</v>
      </c>
      <c r="CLS17" s="314" t="s">
        <v>203</v>
      </c>
      <c r="CLT17" s="314" t="s">
        <v>203</v>
      </c>
      <c r="CLU17" s="314" t="s">
        <v>203</v>
      </c>
      <c r="CLV17" s="314" t="s">
        <v>203</v>
      </c>
      <c r="CLW17" s="314" t="s">
        <v>203</v>
      </c>
      <c r="CLX17" s="314" t="s">
        <v>203</v>
      </c>
      <c r="CLY17" s="314" t="s">
        <v>203</v>
      </c>
      <c r="CLZ17" s="314" t="s">
        <v>203</v>
      </c>
      <c r="CMA17" s="314" t="s">
        <v>203</v>
      </c>
      <c r="CMB17" s="314" t="s">
        <v>203</v>
      </c>
      <c r="CMC17" s="314" t="s">
        <v>203</v>
      </c>
      <c r="CMD17" s="314" t="s">
        <v>203</v>
      </c>
      <c r="CME17" s="314" t="s">
        <v>203</v>
      </c>
      <c r="CMF17" s="314" t="s">
        <v>203</v>
      </c>
      <c r="CMG17" s="314" t="s">
        <v>203</v>
      </c>
      <c r="CMH17" s="314" t="s">
        <v>203</v>
      </c>
      <c r="CMI17" s="314" t="s">
        <v>203</v>
      </c>
      <c r="CMJ17" s="314" t="s">
        <v>203</v>
      </c>
      <c r="CMK17" s="314" t="s">
        <v>203</v>
      </c>
      <c r="CML17" s="314" t="s">
        <v>203</v>
      </c>
      <c r="CMM17" s="314" t="s">
        <v>203</v>
      </c>
      <c r="CMN17" s="314" t="s">
        <v>203</v>
      </c>
      <c r="CMO17" s="314" t="s">
        <v>203</v>
      </c>
      <c r="CMP17" s="314" t="s">
        <v>203</v>
      </c>
      <c r="CMQ17" s="314" t="s">
        <v>203</v>
      </c>
      <c r="CMR17" s="314" t="s">
        <v>203</v>
      </c>
      <c r="CMS17" s="314" t="s">
        <v>203</v>
      </c>
      <c r="CMT17" s="314" t="s">
        <v>203</v>
      </c>
      <c r="CMU17" s="314" t="s">
        <v>203</v>
      </c>
      <c r="CMV17" s="314" t="s">
        <v>203</v>
      </c>
      <c r="CMW17" s="314" t="s">
        <v>203</v>
      </c>
      <c r="CMX17" s="314" t="s">
        <v>203</v>
      </c>
      <c r="CMY17" s="314" t="s">
        <v>203</v>
      </c>
      <c r="CMZ17" s="314" t="s">
        <v>203</v>
      </c>
      <c r="CNA17" s="314" t="s">
        <v>203</v>
      </c>
      <c r="CNB17" s="314" t="s">
        <v>203</v>
      </c>
      <c r="CNC17" s="314" t="s">
        <v>203</v>
      </c>
      <c r="CND17" s="314" t="s">
        <v>203</v>
      </c>
      <c r="CNE17" s="314" t="s">
        <v>203</v>
      </c>
      <c r="CNF17" s="314" t="s">
        <v>203</v>
      </c>
      <c r="CNG17" s="314" t="s">
        <v>203</v>
      </c>
      <c r="CNH17" s="314" t="s">
        <v>203</v>
      </c>
      <c r="CNI17" s="314" t="s">
        <v>203</v>
      </c>
      <c r="CNJ17" s="314" t="s">
        <v>203</v>
      </c>
      <c r="CNK17" s="314" t="s">
        <v>203</v>
      </c>
      <c r="CNL17" s="314" t="s">
        <v>203</v>
      </c>
      <c r="CNM17" s="314" t="s">
        <v>203</v>
      </c>
      <c r="CNN17" s="314" t="s">
        <v>203</v>
      </c>
      <c r="CNO17" s="314" t="s">
        <v>203</v>
      </c>
      <c r="CNP17" s="314" t="s">
        <v>203</v>
      </c>
      <c r="CNQ17" s="314" t="s">
        <v>203</v>
      </c>
      <c r="CNR17" s="314" t="s">
        <v>203</v>
      </c>
      <c r="CNS17" s="314" t="s">
        <v>203</v>
      </c>
      <c r="CNT17" s="314" t="s">
        <v>203</v>
      </c>
      <c r="CNU17" s="314" t="s">
        <v>203</v>
      </c>
      <c r="CNV17" s="314" t="s">
        <v>203</v>
      </c>
      <c r="CNW17" s="314" t="s">
        <v>203</v>
      </c>
      <c r="CNX17" s="314" t="s">
        <v>203</v>
      </c>
      <c r="CNY17" s="314" t="s">
        <v>203</v>
      </c>
      <c r="CNZ17" s="314" t="s">
        <v>203</v>
      </c>
      <c r="COA17" s="314" t="s">
        <v>203</v>
      </c>
      <c r="COB17" s="314" t="s">
        <v>203</v>
      </c>
      <c r="COC17" s="314" t="s">
        <v>203</v>
      </c>
      <c r="COD17" s="314" t="s">
        <v>203</v>
      </c>
      <c r="COE17" s="314" t="s">
        <v>203</v>
      </c>
      <c r="COF17" s="314" t="s">
        <v>203</v>
      </c>
      <c r="COG17" s="314" t="s">
        <v>203</v>
      </c>
      <c r="COH17" s="314" t="s">
        <v>203</v>
      </c>
      <c r="COI17" s="314" t="s">
        <v>203</v>
      </c>
      <c r="COJ17" s="314" t="s">
        <v>203</v>
      </c>
      <c r="COK17" s="314" t="s">
        <v>203</v>
      </c>
      <c r="COL17" s="314" t="s">
        <v>203</v>
      </c>
      <c r="COM17" s="314" t="s">
        <v>203</v>
      </c>
      <c r="CON17" s="314" t="s">
        <v>203</v>
      </c>
      <c r="COO17" s="314" t="s">
        <v>203</v>
      </c>
      <c r="COP17" s="314" t="s">
        <v>203</v>
      </c>
      <c r="COQ17" s="314" t="s">
        <v>203</v>
      </c>
      <c r="COR17" s="314" t="s">
        <v>203</v>
      </c>
      <c r="COS17" s="314" t="s">
        <v>203</v>
      </c>
      <c r="COT17" s="314" t="s">
        <v>203</v>
      </c>
      <c r="COU17" s="314" t="s">
        <v>203</v>
      </c>
      <c r="COV17" s="314" t="s">
        <v>203</v>
      </c>
      <c r="COW17" s="314" t="s">
        <v>203</v>
      </c>
      <c r="COX17" s="314" t="s">
        <v>203</v>
      </c>
      <c r="COY17" s="314" t="s">
        <v>203</v>
      </c>
      <c r="COZ17" s="314" t="s">
        <v>203</v>
      </c>
      <c r="CPA17" s="314" t="s">
        <v>203</v>
      </c>
      <c r="CPB17" s="314" t="s">
        <v>203</v>
      </c>
      <c r="CPC17" s="314" t="s">
        <v>203</v>
      </c>
      <c r="CPD17" s="314" t="s">
        <v>203</v>
      </c>
      <c r="CPE17" s="314" t="s">
        <v>203</v>
      </c>
      <c r="CPF17" s="314" t="s">
        <v>203</v>
      </c>
      <c r="CPG17" s="314" t="s">
        <v>203</v>
      </c>
      <c r="CPH17" s="314" t="s">
        <v>203</v>
      </c>
      <c r="CPI17" s="314" t="s">
        <v>203</v>
      </c>
      <c r="CPJ17" s="314" t="s">
        <v>203</v>
      </c>
      <c r="CPK17" s="314" t="s">
        <v>203</v>
      </c>
      <c r="CPL17" s="314" t="s">
        <v>203</v>
      </c>
      <c r="CPM17" s="314" t="s">
        <v>203</v>
      </c>
      <c r="CPN17" s="314" t="s">
        <v>203</v>
      </c>
      <c r="CPO17" s="314" t="s">
        <v>203</v>
      </c>
      <c r="CPP17" s="314" t="s">
        <v>203</v>
      </c>
      <c r="CPQ17" s="314" t="s">
        <v>203</v>
      </c>
      <c r="CPR17" s="314" t="s">
        <v>203</v>
      </c>
      <c r="CPS17" s="314" t="s">
        <v>203</v>
      </c>
      <c r="CPT17" s="314" t="s">
        <v>203</v>
      </c>
      <c r="CPU17" s="314" t="s">
        <v>203</v>
      </c>
      <c r="CPV17" s="314" t="s">
        <v>203</v>
      </c>
      <c r="CPW17" s="314" t="s">
        <v>203</v>
      </c>
      <c r="CPX17" s="314" t="s">
        <v>203</v>
      </c>
      <c r="CPY17" s="314" t="s">
        <v>203</v>
      </c>
      <c r="CPZ17" s="314" t="s">
        <v>203</v>
      </c>
      <c r="CQA17" s="314" t="s">
        <v>203</v>
      </c>
      <c r="CQB17" s="314" t="s">
        <v>203</v>
      </c>
      <c r="CQC17" s="314" t="s">
        <v>203</v>
      </c>
      <c r="CQD17" s="314" t="s">
        <v>203</v>
      </c>
      <c r="CQE17" s="314" t="s">
        <v>203</v>
      </c>
      <c r="CQF17" s="314" t="s">
        <v>203</v>
      </c>
      <c r="CQG17" s="314" t="s">
        <v>203</v>
      </c>
      <c r="CQH17" s="314" t="s">
        <v>203</v>
      </c>
      <c r="CQI17" s="314" t="s">
        <v>203</v>
      </c>
      <c r="CQJ17" s="314" t="s">
        <v>203</v>
      </c>
      <c r="CQK17" s="314" t="s">
        <v>203</v>
      </c>
      <c r="CQL17" s="314" t="s">
        <v>203</v>
      </c>
      <c r="CQM17" s="314" t="s">
        <v>203</v>
      </c>
      <c r="CQN17" s="314" t="s">
        <v>203</v>
      </c>
      <c r="CQO17" s="314" t="s">
        <v>203</v>
      </c>
      <c r="CQP17" s="314" t="s">
        <v>203</v>
      </c>
      <c r="CQQ17" s="314" t="s">
        <v>203</v>
      </c>
      <c r="CQR17" s="314" t="s">
        <v>203</v>
      </c>
      <c r="CQS17" s="314" t="s">
        <v>203</v>
      </c>
      <c r="CQT17" s="314" t="s">
        <v>203</v>
      </c>
      <c r="CQU17" s="314" t="s">
        <v>203</v>
      </c>
      <c r="CQV17" s="314" t="s">
        <v>203</v>
      </c>
      <c r="CQW17" s="314" t="s">
        <v>203</v>
      </c>
      <c r="CQX17" s="314" t="s">
        <v>203</v>
      </c>
      <c r="CQY17" s="314" t="s">
        <v>203</v>
      </c>
      <c r="CQZ17" s="314" t="s">
        <v>203</v>
      </c>
      <c r="CRA17" s="314" t="s">
        <v>203</v>
      </c>
      <c r="CRB17" s="314" t="s">
        <v>203</v>
      </c>
      <c r="CRC17" s="314" t="s">
        <v>203</v>
      </c>
      <c r="CRD17" s="314" t="s">
        <v>203</v>
      </c>
      <c r="CRE17" s="314" t="s">
        <v>203</v>
      </c>
      <c r="CRF17" s="314" t="s">
        <v>203</v>
      </c>
      <c r="CRG17" s="314" t="s">
        <v>203</v>
      </c>
      <c r="CRH17" s="314" t="s">
        <v>203</v>
      </c>
      <c r="CRI17" s="314" t="s">
        <v>203</v>
      </c>
      <c r="CRJ17" s="314" t="s">
        <v>203</v>
      </c>
      <c r="CRK17" s="314" t="s">
        <v>203</v>
      </c>
      <c r="CRL17" s="314" t="s">
        <v>203</v>
      </c>
      <c r="CRM17" s="314" t="s">
        <v>203</v>
      </c>
      <c r="CRN17" s="314" t="s">
        <v>203</v>
      </c>
      <c r="CRO17" s="314" t="s">
        <v>203</v>
      </c>
      <c r="CRP17" s="314" t="s">
        <v>203</v>
      </c>
      <c r="CRQ17" s="314" t="s">
        <v>203</v>
      </c>
      <c r="CRR17" s="314" t="s">
        <v>203</v>
      </c>
      <c r="CRS17" s="314" t="s">
        <v>203</v>
      </c>
      <c r="CRT17" s="314" t="s">
        <v>203</v>
      </c>
      <c r="CRU17" s="314" t="s">
        <v>203</v>
      </c>
      <c r="CRV17" s="314" t="s">
        <v>203</v>
      </c>
      <c r="CRW17" s="314" t="s">
        <v>203</v>
      </c>
      <c r="CRX17" s="314" t="s">
        <v>203</v>
      </c>
      <c r="CRY17" s="314" t="s">
        <v>203</v>
      </c>
      <c r="CRZ17" s="314" t="s">
        <v>203</v>
      </c>
      <c r="CSA17" s="314" t="s">
        <v>203</v>
      </c>
      <c r="CSB17" s="314" t="s">
        <v>203</v>
      </c>
      <c r="CSC17" s="314" t="s">
        <v>203</v>
      </c>
      <c r="CSD17" s="314" t="s">
        <v>203</v>
      </c>
      <c r="CSE17" s="314" t="s">
        <v>203</v>
      </c>
      <c r="CSF17" s="314" t="s">
        <v>203</v>
      </c>
      <c r="CSG17" s="314" t="s">
        <v>203</v>
      </c>
      <c r="CSH17" s="314" t="s">
        <v>203</v>
      </c>
      <c r="CSI17" s="314" t="s">
        <v>203</v>
      </c>
      <c r="CSJ17" s="314" t="s">
        <v>203</v>
      </c>
      <c r="CSK17" s="314" t="s">
        <v>203</v>
      </c>
      <c r="CSL17" s="314" t="s">
        <v>203</v>
      </c>
      <c r="CSM17" s="314" t="s">
        <v>203</v>
      </c>
      <c r="CSN17" s="314" t="s">
        <v>203</v>
      </c>
      <c r="CSO17" s="314" t="s">
        <v>203</v>
      </c>
      <c r="CSP17" s="314" t="s">
        <v>203</v>
      </c>
      <c r="CSQ17" s="314" t="s">
        <v>203</v>
      </c>
      <c r="CSR17" s="314" t="s">
        <v>203</v>
      </c>
      <c r="CSS17" s="314" t="s">
        <v>203</v>
      </c>
      <c r="CST17" s="314" t="s">
        <v>203</v>
      </c>
      <c r="CSU17" s="314" t="s">
        <v>203</v>
      </c>
      <c r="CSV17" s="314" t="s">
        <v>203</v>
      </c>
      <c r="CSW17" s="314" t="s">
        <v>203</v>
      </c>
      <c r="CSX17" s="314" t="s">
        <v>203</v>
      </c>
      <c r="CSY17" s="314" t="s">
        <v>203</v>
      </c>
      <c r="CSZ17" s="314" t="s">
        <v>203</v>
      </c>
      <c r="CTA17" s="314" t="s">
        <v>203</v>
      </c>
      <c r="CTB17" s="314" t="s">
        <v>203</v>
      </c>
      <c r="CTC17" s="314" t="s">
        <v>203</v>
      </c>
      <c r="CTD17" s="314" t="s">
        <v>203</v>
      </c>
      <c r="CTE17" s="314" t="s">
        <v>203</v>
      </c>
      <c r="CTF17" s="314" t="s">
        <v>203</v>
      </c>
      <c r="CTG17" s="314" t="s">
        <v>203</v>
      </c>
      <c r="CTH17" s="314" t="s">
        <v>203</v>
      </c>
      <c r="CTI17" s="314" t="s">
        <v>203</v>
      </c>
      <c r="CTJ17" s="314" t="s">
        <v>203</v>
      </c>
      <c r="CTK17" s="314" t="s">
        <v>203</v>
      </c>
      <c r="CTL17" s="314" t="s">
        <v>203</v>
      </c>
      <c r="CTM17" s="314" t="s">
        <v>203</v>
      </c>
      <c r="CTN17" s="314" t="s">
        <v>203</v>
      </c>
      <c r="CTO17" s="314" t="s">
        <v>203</v>
      </c>
      <c r="CTP17" s="314" t="s">
        <v>203</v>
      </c>
      <c r="CTQ17" s="314" t="s">
        <v>203</v>
      </c>
      <c r="CTR17" s="314" t="s">
        <v>203</v>
      </c>
      <c r="CTS17" s="314" t="s">
        <v>203</v>
      </c>
      <c r="CTT17" s="314" t="s">
        <v>203</v>
      </c>
      <c r="CTU17" s="314" t="s">
        <v>203</v>
      </c>
      <c r="CTV17" s="314" t="s">
        <v>203</v>
      </c>
      <c r="CTW17" s="314" t="s">
        <v>203</v>
      </c>
      <c r="CTX17" s="314" t="s">
        <v>203</v>
      </c>
      <c r="CTY17" s="314" t="s">
        <v>203</v>
      </c>
      <c r="CTZ17" s="314" t="s">
        <v>203</v>
      </c>
      <c r="CUA17" s="314" t="s">
        <v>203</v>
      </c>
      <c r="CUB17" s="314" t="s">
        <v>203</v>
      </c>
      <c r="CUC17" s="314" t="s">
        <v>203</v>
      </c>
      <c r="CUD17" s="314" t="s">
        <v>203</v>
      </c>
      <c r="CUE17" s="314" t="s">
        <v>203</v>
      </c>
      <c r="CUF17" s="314" t="s">
        <v>203</v>
      </c>
      <c r="CUG17" s="314" t="s">
        <v>203</v>
      </c>
      <c r="CUH17" s="314" t="s">
        <v>203</v>
      </c>
      <c r="CUI17" s="314" t="s">
        <v>203</v>
      </c>
      <c r="CUJ17" s="314" t="s">
        <v>203</v>
      </c>
      <c r="CUK17" s="314" t="s">
        <v>203</v>
      </c>
      <c r="CUL17" s="314" t="s">
        <v>203</v>
      </c>
      <c r="CUM17" s="314" t="s">
        <v>203</v>
      </c>
      <c r="CUN17" s="314" t="s">
        <v>203</v>
      </c>
      <c r="CUO17" s="314" t="s">
        <v>203</v>
      </c>
      <c r="CUP17" s="314" t="s">
        <v>203</v>
      </c>
      <c r="CUQ17" s="314" t="s">
        <v>203</v>
      </c>
      <c r="CUR17" s="314" t="s">
        <v>203</v>
      </c>
      <c r="CUS17" s="314" t="s">
        <v>203</v>
      </c>
      <c r="CUT17" s="314" t="s">
        <v>203</v>
      </c>
      <c r="CUU17" s="314" t="s">
        <v>203</v>
      </c>
      <c r="CUV17" s="314" t="s">
        <v>203</v>
      </c>
      <c r="CUW17" s="314" t="s">
        <v>203</v>
      </c>
      <c r="CUX17" s="314" t="s">
        <v>203</v>
      </c>
      <c r="CUY17" s="314" t="s">
        <v>203</v>
      </c>
      <c r="CUZ17" s="314" t="s">
        <v>203</v>
      </c>
      <c r="CVA17" s="314" t="s">
        <v>203</v>
      </c>
      <c r="CVB17" s="314" t="s">
        <v>203</v>
      </c>
      <c r="CVC17" s="314" t="s">
        <v>203</v>
      </c>
      <c r="CVD17" s="314" t="s">
        <v>203</v>
      </c>
      <c r="CVE17" s="314" t="s">
        <v>203</v>
      </c>
      <c r="CVF17" s="314" t="s">
        <v>203</v>
      </c>
      <c r="CVG17" s="314" t="s">
        <v>203</v>
      </c>
      <c r="CVH17" s="314" t="s">
        <v>203</v>
      </c>
      <c r="CVI17" s="314" t="s">
        <v>203</v>
      </c>
      <c r="CVJ17" s="314" t="s">
        <v>203</v>
      </c>
      <c r="CVK17" s="314" t="s">
        <v>203</v>
      </c>
      <c r="CVL17" s="314" t="s">
        <v>203</v>
      </c>
      <c r="CVM17" s="314" t="s">
        <v>203</v>
      </c>
      <c r="CVN17" s="314" t="s">
        <v>203</v>
      </c>
      <c r="CVO17" s="314" t="s">
        <v>203</v>
      </c>
      <c r="CVP17" s="314" t="s">
        <v>203</v>
      </c>
      <c r="CVQ17" s="314" t="s">
        <v>203</v>
      </c>
      <c r="CVR17" s="314" t="s">
        <v>203</v>
      </c>
      <c r="CVS17" s="314" t="s">
        <v>203</v>
      </c>
      <c r="CVT17" s="314" t="s">
        <v>203</v>
      </c>
      <c r="CVU17" s="314" t="s">
        <v>203</v>
      </c>
      <c r="CVV17" s="314" t="s">
        <v>203</v>
      </c>
      <c r="CVW17" s="314" t="s">
        <v>203</v>
      </c>
      <c r="CVX17" s="314" t="s">
        <v>203</v>
      </c>
      <c r="CVY17" s="314" t="s">
        <v>203</v>
      </c>
      <c r="CVZ17" s="314" t="s">
        <v>203</v>
      </c>
      <c r="CWA17" s="314" t="s">
        <v>203</v>
      </c>
      <c r="CWB17" s="314" t="s">
        <v>203</v>
      </c>
      <c r="CWC17" s="314" t="s">
        <v>203</v>
      </c>
      <c r="CWD17" s="314" t="s">
        <v>203</v>
      </c>
      <c r="CWE17" s="314" t="s">
        <v>203</v>
      </c>
      <c r="CWF17" s="314" t="s">
        <v>203</v>
      </c>
      <c r="CWG17" s="314" t="s">
        <v>203</v>
      </c>
      <c r="CWH17" s="314" t="s">
        <v>203</v>
      </c>
      <c r="CWI17" s="314" t="s">
        <v>203</v>
      </c>
      <c r="CWJ17" s="314" t="s">
        <v>203</v>
      </c>
      <c r="CWK17" s="314" t="s">
        <v>203</v>
      </c>
      <c r="CWL17" s="314" t="s">
        <v>203</v>
      </c>
      <c r="CWM17" s="314" t="s">
        <v>203</v>
      </c>
      <c r="CWN17" s="314" t="s">
        <v>203</v>
      </c>
      <c r="CWO17" s="314" t="s">
        <v>203</v>
      </c>
      <c r="CWP17" s="314" t="s">
        <v>203</v>
      </c>
      <c r="CWQ17" s="314" t="s">
        <v>203</v>
      </c>
      <c r="CWR17" s="314" t="s">
        <v>203</v>
      </c>
      <c r="CWS17" s="314" t="s">
        <v>203</v>
      </c>
      <c r="CWT17" s="314" t="s">
        <v>203</v>
      </c>
      <c r="CWU17" s="314" t="s">
        <v>203</v>
      </c>
      <c r="CWV17" s="314" t="s">
        <v>203</v>
      </c>
      <c r="CWW17" s="314" t="s">
        <v>203</v>
      </c>
      <c r="CWX17" s="314" t="s">
        <v>203</v>
      </c>
      <c r="CWY17" s="314" t="s">
        <v>203</v>
      </c>
      <c r="CWZ17" s="314" t="s">
        <v>203</v>
      </c>
      <c r="CXA17" s="314" t="s">
        <v>203</v>
      </c>
      <c r="CXB17" s="314" t="s">
        <v>203</v>
      </c>
      <c r="CXC17" s="314" t="s">
        <v>203</v>
      </c>
      <c r="CXD17" s="314" t="s">
        <v>203</v>
      </c>
      <c r="CXE17" s="314" t="s">
        <v>203</v>
      </c>
      <c r="CXF17" s="314" t="s">
        <v>203</v>
      </c>
      <c r="CXG17" s="314" t="s">
        <v>203</v>
      </c>
      <c r="CXH17" s="314" t="s">
        <v>203</v>
      </c>
      <c r="CXI17" s="314" t="s">
        <v>203</v>
      </c>
      <c r="CXJ17" s="314" t="s">
        <v>203</v>
      </c>
      <c r="CXK17" s="314" t="s">
        <v>203</v>
      </c>
      <c r="CXL17" s="314" t="s">
        <v>203</v>
      </c>
      <c r="CXM17" s="314" t="s">
        <v>203</v>
      </c>
      <c r="CXN17" s="314" t="s">
        <v>203</v>
      </c>
      <c r="CXO17" s="314" t="s">
        <v>203</v>
      </c>
      <c r="CXP17" s="314" t="s">
        <v>203</v>
      </c>
      <c r="CXQ17" s="314" t="s">
        <v>203</v>
      </c>
      <c r="CXR17" s="314" t="s">
        <v>203</v>
      </c>
      <c r="CXS17" s="314" t="s">
        <v>203</v>
      </c>
      <c r="CXT17" s="314" t="s">
        <v>203</v>
      </c>
      <c r="CXU17" s="314" t="s">
        <v>203</v>
      </c>
      <c r="CXV17" s="314" t="s">
        <v>203</v>
      </c>
      <c r="CXW17" s="314" t="s">
        <v>203</v>
      </c>
      <c r="CXX17" s="314" t="s">
        <v>203</v>
      </c>
      <c r="CXY17" s="314" t="s">
        <v>203</v>
      </c>
      <c r="CXZ17" s="314" t="s">
        <v>203</v>
      </c>
      <c r="CYA17" s="314" t="s">
        <v>203</v>
      </c>
      <c r="CYB17" s="314" t="s">
        <v>203</v>
      </c>
      <c r="CYC17" s="314" t="s">
        <v>203</v>
      </c>
      <c r="CYD17" s="314" t="s">
        <v>203</v>
      </c>
      <c r="CYE17" s="314" t="s">
        <v>203</v>
      </c>
      <c r="CYF17" s="314" t="s">
        <v>203</v>
      </c>
      <c r="CYG17" s="314" t="s">
        <v>203</v>
      </c>
      <c r="CYH17" s="314" t="s">
        <v>203</v>
      </c>
      <c r="CYI17" s="314" t="s">
        <v>203</v>
      </c>
      <c r="CYJ17" s="314" t="s">
        <v>203</v>
      </c>
      <c r="CYK17" s="314" t="s">
        <v>203</v>
      </c>
      <c r="CYL17" s="314" t="s">
        <v>203</v>
      </c>
      <c r="CYM17" s="314" t="s">
        <v>203</v>
      </c>
      <c r="CYN17" s="314" t="s">
        <v>203</v>
      </c>
      <c r="CYO17" s="314" t="s">
        <v>203</v>
      </c>
      <c r="CYP17" s="314" t="s">
        <v>203</v>
      </c>
      <c r="CYQ17" s="314" t="s">
        <v>203</v>
      </c>
      <c r="CYR17" s="314" t="s">
        <v>203</v>
      </c>
      <c r="CYS17" s="314" t="s">
        <v>203</v>
      </c>
      <c r="CYT17" s="314" t="s">
        <v>203</v>
      </c>
      <c r="CYU17" s="314" t="s">
        <v>203</v>
      </c>
      <c r="CYV17" s="314" t="s">
        <v>203</v>
      </c>
      <c r="CYW17" s="314" t="s">
        <v>203</v>
      </c>
      <c r="CYX17" s="314" t="s">
        <v>203</v>
      </c>
      <c r="CYY17" s="314" t="s">
        <v>203</v>
      </c>
      <c r="CYZ17" s="314" t="s">
        <v>203</v>
      </c>
      <c r="CZA17" s="314" t="s">
        <v>203</v>
      </c>
      <c r="CZB17" s="314" t="s">
        <v>203</v>
      </c>
      <c r="CZC17" s="314" t="s">
        <v>203</v>
      </c>
      <c r="CZD17" s="314" t="s">
        <v>203</v>
      </c>
      <c r="CZE17" s="314" t="s">
        <v>203</v>
      </c>
      <c r="CZF17" s="314" t="s">
        <v>203</v>
      </c>
      <c r="CZG17" s="314" t="s">
        <v>203</v>
      </c>
      <c r="CZH17" s="314" t="s">
        <v>203</v>
      </c>
      <c r="CZI17" s="314" t="s">
        <v>203</v>
      </c>
      <c r="CZJ17" s="314" t="s">
        <v>203</v>
      </c>
      <c r="CZK17" s="314" t="s">
        <v>203</v>
      </c>
      <c r="CZL17" s="314" t="s">
        <v>203</v>
      </c>
      <c r="CZM17" s="314" t="s">
        <v>203</v>
      </c>
      <c r="CZN17" s="314" t="s">
        <v>203</v>
      </c>
      <c r="CZO17" s="314" t="s">
        <v>203</v>
      </c>
      <c r="CZP17" s="314" t="s">
        <v>203</v>
      </c>
      <c r="CZQ17" s="314" t="s">
        <v>203</v>
      </c>
      <c r="CZR17" s="314" t="s">
        <v>203</v>
      </c>
      <c r="CZS17" s="314" t="s">
        <v>203</v>
      </c>
      <c r="CZT17" s="314" t="s">
        <v>203</v>
      </c>
      <c r="CZU17" s="314" t="s">
        <v>203</v>
      </c>
      <c r="CZV17" s="314" t="s">
        <v>203</v>
      </c>
      <c r="CZW17" s="314" t="s">
        <v>203</v>
      </c>
      <c r="CZX17" s="314" t="s">
        <v>203</v>
      </c>
      <c r="CZY17" s="314" t="s">
        <v>203</v>
      </c>
      <c r="CZZ17" s="314" t="s">
        <v>203</v>
      </c>
      <c r="DAA17" s="314" t="s">
        <v>203</v>
      </c>
      <c r="DAB17" s="314" t="s">
        <v>203</v>
      </c>
      <c r="DAC17" s="314" t="s">
        <v>203</v>
      </c>
      <c r="DAD17" s="314" t="s">
        <v>203</v>
      </c>
      <c r="DAE17" s="314" t="s">
        <v>203</v>
      </c>
      <c r="DAF17" s="314" t="s">
        <v>203</v>
      </c>
      <c r="DAG17" s="314" t="s">
        <v>203</v>
      </c>
      <c r="DAH17" s="314" t="s">
        <v>203</v>
      </c>
      <c r="DAI17" s="314" t="s">
        <v>203</v>
      </c>
      <c r="DAJ17" s="314" t="s">
        <v>203</v>
      </c>
      <c r="DAK17" s="314" t="s">
        <v>203</v>
      </c>
      <c r="DAL17" s="314" t="s">
        <v>203</v>
      </c>
      <c r="DAM17" s="314" t="s">
        <v>203</v>
      </c>
      <c r="DAN17" s="314" t="s">
        <v>203</v>
      </c>
      <c r="DAO17" s="314" t="s">
        <v>203</v>
      </c>
      <c r="DAP17" s="314" t="s">
        <v>203</v>
      </c>
      <c r="DAQ17" s="314" t="s">
        <v>203</v>
      </c>
      <c r="DAR17" s="314" t="s">
        <v>203</v>
      </c>
      <c r="DAS17" s="314" t="s">
        <v>203</v>
      </c>
      <c r="DAT17" s="314" t="s">
        <v>203</v>
      </c>
      <c r="DAU17" s="314" t="s">
        <v>203</v>
      </c>
      <c r="DAV17" s="314" t="s">
        <v>203</v>
      </c>
      <c r="DAW17" s="314" t="s">
        <v>203</v>
      </c>
      <c r="DAX17" s="314" t="s">
        <v>203</v>
      </c>
      <c r="DAY17" s="314" t="s">
        <v>203</v>
      </c>
      <c r="DAZ17" s="314" t="s">
        <v>203</v>
      </c>
      <c r="DBA17" s="314" t="s">
        <v>203</v>
      </c>
      <c r="DBB17" s="314" t="s">
        <v>203</v>
      </c>
      <c r="DBC17" s="314" t="s">
        <v>203</v>
      </c>
      <c r="DBD17" s="314" t="s">
        <v>203</v>
      </c>
      <c r="DBE17" s="314" t="s">
        <v>203</v>
      </c>
      <c r="DBF17" s="314" t="s">
        <v>203</v>
      </c>
      <c r="DBG17" s="314" t="s">
        <v>203</v>
      </c>
      <c r="DBH17" s="314" t="s">
        <v>203</v>
      </c>
      <c r="DBI17" s="314" t="s">
        <v>203</v>
      </c>
      <c r="DBJ17" s="314" t="s">
        <v>203</v>
      </c>
      <c r="DBK17" s="314" t="s">
        <v>203</v>
      </c>
      <c r="DBL17" s="314" t="s">
        <v>203</v>
      </c>
      <c r="DBM17" s="314" t="s">
        <v>203</v>
      </c>
      <c r="DBN17" s="314" t="s">
        <v>203</v>
      </c>
      <c r="DBO17" s="314" t="s">
        <v>203</v>
      </c>
      <c r="DBP17" s="314" t="s">
        <v>203</v>
      </c>
      <c r="DBQ17" s="314" t="s">
        <v>203</v>
      </c>
      <c r="DBR17" s="314" t="s">
        <v>203</v>
      </c>
      <c r="DBS17" s="314" t="s">
        <v>203</v>
      </c>
      <c r="DBT17" s="314" t="s">
        <v>203</v>
      </c>
      <c r="DBU17" s="314" t="s">
        <v>203</v>
      </c>
      <c r="DBV17" s="314" t="s">
        <v>203</v>
      </c>
      <c r="DBW17" s="314" t="s">
        <v>203</v>
      </c>
      <c r="DBX17" s="314" t="s">
        <v>203</v>
      </c>
      <c r="DBY17" s="314" t="s">
        <v>203</v>
      </c>
      <c r="DBZ17" s="314" t="s">
        <v>203</v>
      </c>
      <c r="DCA17" s="314" t="s">
        <v>203</v>
      </c>
      <c r="DCB17" s="314" t="s">
        <v>203</v>
      </c>
      <c r="DCC17" s="314" t="s">
        <v>203</v>
      </c>
      <c r="DCD17" s="314" t="s">
        <v>203</v>
      </c>
      <c r="DCE17" s="314" t="s">
        <v>203</v>
      </c>
      <c r="DCF17" s="314" t="s">
        <v>203</v>
      </c>
      <c r="DCG17" s="314" t="s">
        <v>203</v>
      </c>
      <c r="DCH17" s="314" t="s">
        <v>203</v>
      </c>
      <c r="DCI17" s="314" t="s">
        <v>203</v>
      </c>
      <c r="DCJ17" s="314" t="s">
        <v>203</v>
      </c>
      <c r="DCK17" s="314" t="s">
        <v>203</v>
      </c>
      <c r="DCL17" s="314" t="s">
        <v>203</v>
      </c>
      <c r="DCM17" s="314" t="s">
        <v>203</v>
      </c>
      <c r="DCN17" s="314" t="s">
        <v>203</v>
      </c>
      <c r="DCO17" s="314" t="s">
        <v>203</v>
      </c>
      <c r="DCP17" s="314" t="s">
        <v>203</v>
      </c>
      <c r="DCQ17" s="314" t="s">
        <v>203</v>
      </c>
      <c r="DCR17" s="314" t="s">
        <v>203</v>
      </c>
      <c r="DCS17" s="314" t="s">
        <v>203</v>
      </c>
      <c r="DCT17" s="314" t="s">
        <v>203</v>
      </c>
      <c r="DCU17" s="314" t="s">
        <v>203</v>
      </c>
      <c r="DCV17" s="314" t="s">
        <v>203</v>
      </c>
      <c r="DCW17" s="314" t="s">
        <v>203</v>
      </c>
      <c r="DCX17" s="314" t="s">
        <v>203</v>
      </c>
      <c r="DCY17" s="314" t="s">
        <v>203</v>
      </c>
      <c r="DCZ17" s="314" t="s">
        <v>203</v>
      </c>
      <c r="DDA17" s="314" t="s">
        <v>203</v>
      </c>
      <c r="DDB17" s="314" t="s">
        <v>203</v>
      </c>
      <c r="DDC17" s="314" t="s">
        <v>203</v>
      </c>
      <c r="DDD17" s="314" t="s">
        <v>203</v>
      </c>
      <c r="DDE17" s="314" t="s">
        <v>203</v>
      </c>
      <c r="DDF17" s="314" t="s">
        <v>203</v>
      </c>
      <c r="DDG17" s="314" t="s">
        <v>203</v>
      </c>
      <c r="DDH17" s="314" t="s">
        <v>203</v>
      </c>
      <c r="DDI17" s="314" t="s">
        <v>203</v>
      </c>
      <c r="DDJ17" s="314" t="s">
        <v>203</v>
      </c>
      <c r="DDK17" s="314" t="s">
        <v>203</v>
      </c>
      <c r="DDL17" s="314" t="s">
        <v>203</v>
      </c>
      <c r="DDM17" s="314" t="s">
        <v>203</v>
      </c>
      <c r="DDN17" s="314" t="s">
        <v>203</v>
      </c>
      <c r="DDO17" s="314" t="s">
        <v>203</v>
      </c>
      <c r="DDP17" s="314" t="s">
        <v>203</v>
      </c>
      <c r="DDQ17" s="314" t="s">
        <v>203</v>
      </c>
      <c r="DDR17" s="314" t="s">
        <v>203</v>
      </c>
      <c r="DDS17" s="314" t="s">
        <v>203</v>
      </c>
      <c r="DDT17" s="314" t="s">
        <v>203</v>
      </c>
      <c r="DDU17" s="314" t="s">
        <v>203</v>
      </c>
      <c r="DDV17" s="314" t="s">
        <v>203</v>
      </c>
      <c r="DDW17" s="314" t="s">
        <v>203</v>
      </c>
      <c r="DDX17" s="314" t="s">
        <v>203</v>
      </c>
      <c r="DDY17" s="314" t="s">
        <v>203</v>
      </c>
      <c r="DDZ17" s="314" t="s">
        <v>203</v>
      </c>
      <c r="DEA17" s="314" t="s">
        <v>203</v>
      </c>
      <c r="DEB17" s="314" t="s">
        <v>203</v>
      </c>
      <c r="DEC17" s="314" t="s">
        <v>203</v>
      </c>
      <c r="DED17" s="314" t="s">
        <v>203</v>
      </c>
      <c r="DEE17" s="314" t="s">
        <v>203</v>
      </c>
      <c r="DEF17" s="314" t="s">
        <v>203</v>
      </c>
      <c r="DEG17" s="314" t="s">
        <v>203</v>
      </c>
      <c r="DEH17" s="314" t="s">
        <v>203</v>
      </c>
      <c r="DEI17" s="314" t="s">
        <v>203</v>
      </c>
      <c r="DEJ17" s="314" t="s">
        <v>203</v>
      </c>
      <c r="DEK17" s="314" t="s">
        <v>203</v>
      </c>
      <c r="DEL17" s="314" t="s">
        <v>203</v>
      </c>
      <c r="DEM17" s="314" t="s">
        <v>203</v>
      </c>
      <c r="DEN17" s="314" t="s">
        <v>203</v>
      </c>
      <c r="DEO17" s="314" t="s">
        <v>203</v>
      </c>
      <c r="DEP17" s="314" t="s">
        <v>203</v>
      </c>
      <c r="DEQ17" s="314" t="s">
        <v>203</v>
      </c>
      <c r="DER17" s="314" t="s">
        <v>203</v>
      </c>
      <c r="DES17" s="314" t="s">
        <v>203</v>
      </c>
      <c r="DET17" s="314" t="s">
        <v>203</v>
      </c>
      <c r="DEU17" s="314" t="s">
        <v>203</v>
      </c>
      <c r="DEV17" s="314" t="s">
        <v>203</v>
      </c>
      <c r="DEW17" s="314" t="s">
        <v>203</v>
      </c>
      <c r="DEX17" s="314" t="s">
        <v>203</v>
      </c>
      <c r="DEY17" s="314" t="s">
        <v>203</v>
      </c>
      <c r="DEZ17" s="314" t="s">
        <v>203</v>
      </c>
      <c r="DFA17" s="314" t="s">
        <v>203</v>
      </c>
      <c r="DFB17" s="314" t="s">
        <v>203</v>
      </c>
      <c r="DFC17" s="314" t="s">
        <v>203</v>
      </c>
      <c r="DFD17" s="314" t="s">
        <v>203</v>
      </c>
      <c r="DFE17" s="314" t="s">
        <v>203</v>
      </c>
      <c r="DFF17" s="314" t="s">
        <v>203</v>
      </c>
      <c r="DFG17" s="314" t="s">
        <v>203</v>
      </c>
      <c r="DFH17" s="314" t="s">
        <v>203</v>
      </c>
      <c r="DFI17" s="314" t="s">
        <v>203</v>
      </c>
      <c r="DFJ17" s="314" t="s">
        <v>203</v>
      </c>
      <c r="DFK17" s="314" t="s">
        <v>203</v>
      </c>
      <c r="DFL17" s="314" t="s">
        <v>203</v>
      </c>
      <c r="DFM17" s="314" t="s">
        <v>203</v>
      </c>
      <c r="DFN17" s="314" t="s">
        <v>203</v>
      </c>
      <c r="DFO17" s="314" t="s">
        <v>203</v>
      </c>
      <c r="DFP17" s="314" t="s">
        <v>203</v>
      </c>
      <c r="DFQ17" s="314" t="s">
        <v>203</v>
      </c>
      <c r="DFR17" s="314" t="s">
        <v>203</v>
      </c>
      <c r="DFS17" s="314" t="s">
        <v>203</v>
      </c>
      <c r="DFT17" s="314" t="s">
        <v>203</v>
      </c>
      <c r="DFU17" s="314" t="s">
        <v>203</v>
      </c>
      <c r="DFV17" s="314" t="s">
        <v>203</v>
      </c>
      <c r="DFW17" s="314" t="s">
        <v>203</v>
      </c>
      <c r="DFX17" s="314" t="s">
        <v>203</v>
      </c>
      <c r="DFY17" s="314" t="s">
        <v>203</v>
      </c>
      <c r="DFZ17" s="314" t="s">
        <v>203</v>
      </c>
      <c r="DGA17" s="314" t="s">
        <v>203</v>
      </c>
      <c r="DGB17" s="314" t="s">
        <v>203</v>
      </c>
      <c r="DGC17" s="314" t="s">
        <v>203</v>
      </c>
      <c r="DGD17" s="314" t="s">
        <v>203</v>
      </c>
      <c r="DGE17" s="314" t="s">
        <v>203</v>
      </c>
      <c r="DGF17" s="314" t="s">
        <v>203</v>
      </c>
      <c r="DGG17" s="314" t="s">
        <v>203</v>
      </c>
      <c r="DGH17" s="314" t="s">
        <v>203</v>
      </c>
      <c r="DGI17" s="314" t="s">
        <v>203</v>
      </c>
      <c r="DGJ17" s="314" t="s">
        <v>203</v>
      </c>
      <c r="DGK17" s="314" t="s">
        <v>203</v>
      </c>
      <c r="DGL17" s="314" t="s">
        <v>203</v>
      </c>
      <c r="DGM17" s="314" t="s">
        <v>203</v>
      </c>
      <c r="DGN17" s="314" t="s">
        <v>203</v>
      </c>
      <c r="DGO17" s="314" t="s">
        <v>203</v>
      </c>
      <c r="DGP17" s="314" t="s">
        <v>203</v>
      </c>
      <c r="DGQ17" s="314" t="s">
        <v>203</v>
      </c>
      <c r="DGR17" s="314" t="s">
        <v>203</v>
      </c>
      <c r="DGS17" s="314" t="s">
        <v>203</v>
      </c>
      <c r="DGT17" s="314" t="s">
        <v>203</v>
      </c>
      <c r="DGU17" s="314" t="s">
        <v>203</v>
      </c>
      <c r="DGV17" s="314" t="s">
        <v>203</v>
      </c>
      <c r="DGW17" s="314" t="s">
        <v>203</v>
      </c>
      <c r="DGX17" s="314" t="s">
        <v>203</v>
      </c>
      <c r="DGY17" s="314" t="s">
        <v>203</v>
      </c>
      <c r="DGZ17" s="314" t="s">
        <v>203</v>
      </c>
      <c r="DHA17" s="314" t="s">
        <v>203</v>
      </c>
      <c r="DHB17" s="314" t="s">
        <v>203</v>
      </c>
      <c r="DHC17" s="314" t="s">
        <v>203</v>
      </c>
      <c r="DHD17" s="314" t="s">
        <v>203</v>
      </c>
      <c r="DHE17" s="314" t="s">
        <v>203</v>
      </c>
      <c r="DHF17" s="314" t="s">
        <v>203</v>
      </c>
      <c r="DHG17" s="314" t="s">
        <v>203</v>
      </c>
      <c r="DHH17" s="314" t="s">
        <v>203</v>
      </c>
      <c r="DHI17" s="314" t="s">
        <v>203</v>
      </c>
      <c r="DHJ17" s="314" t="s">
        <v>203</v>
      </c>
      <c r="DHK17" s="314" t="s">
        <v>203</v>
      </c>
      <c r="DHL17" s="314" t="s">
        <v>203</v>
      </c>
      <c r="DHM17" s="314" t="s">
        <v>203</v>
      </c>
      <c r="DHN17" s="314" t="s">
        <v>203</v>
      </c>
      <c r="DHO17" s="314" t="s">
        <v>203</v>
      </c>
      <c r="DHP17" s="314" t="s">
        <v>203</v>
      </c>
      <c r="DHQ17" s="314" t="s">
        <v>203</v>
      </c>
      <c r="DHR17" s="314" t="s">
        <v>203</v>
      </c>
      <c r="DHS17" s="314" t="s">
        <v>203</v>
      </c>
      <c r="DHT17" s="314" t="s">
        <v>203</v>
      </c>
      <c r="DHU17" s="314" t="s">
        <v>203</v>
      </c>
      <c r="DHV17" s="314" t="s">
        <v>203</v>
      </c>
      <c r="DHW17" s="314" t="s">
        <v>203</v>
      </c>
      <c r="DHX17" s="314" t="s">
        <v>203</v>
      </c>
      <c r="DHY17" s="314" t="s">
        <v>203</v>
      </c>
      <c r="DHZ17" s="314" t="s">
        <v>203</v>
      </c>
      <c r="DIA17" s="314" t="s">
        <v>203</v>
      </c>
      <c r="DIB17" s="314" t="s">
        <v>203</v>
      </c>
      <c r="DIC17" s="314" t="s">
        <v>203</v>
      </c>
      <c r="DID17" s="314" t="s">
        <v>203</v>
      </c>
      <c r="DIE17" s="314" t="s">
        <v>203</v>
      </c>
      <c r="DIF17" s="314" t="s">
        <v>203</v>
      </c>
      <c r="DIG17" s="314" t="s">
        <v>203</v>
      </c>
      <c r="DIH17" s="314" t="s">
        <v>203</v>
      </c>
      <c r="DII17" s="314" t="s">
        <v>203</v>
      </c>
      <c r="DIJ17" s="314" t="s">
        <v>203</v>
      </c>
      <c r="DIK17" s="314" t="s">
        <v>203</v>
      </c>
      <c r="DIL17" s="314" t="s">
        <v>203</v>
      </c>
      <c r="DIM17" s="314" t="s">
        <v>203</v>
      </c>
      <c r="DIN17" s="314" t="s">
        <v>203</v>
      </c>
      <c r="DIO17" s="314" t="s">
        <v>203</v>
      </c>
      <c r="DIP17" s="314" t="s">
        <v>203</v>
      </c>
      <c r="DIQ17" s="314" t="s">
        <v>203</v>
      </c>
      <c r="DIR17" s="314" t="s">
        <v>203</v>
      </c>
      <c r="DIS17" s="314" t="s">
        <v>203</v>
      </c>
      <c r="DIT17" s="314" t="s">
        <v>203</v>
      </c>
      <c r="DIU17" s="314" t="s">
        <v>203</v>
      </c>
      <c r="DIV17" s="314" t="s">
        <v>203</v>
      </c>
      <c r="DIW17" s="314" t="s">
        <v>203</v>
      </c>
      <c r="DIX17" s="314" t="s">
        <v>203</v>
      </c>
      <c r="DIY17" s="314" t="s">
        <v>203</v>
      </c>
      <c r="DIZ17" s="314" t="s">
        <v>203</v>
      </c>
      <c r="DJA17" s="314" t="s">
        <v>203</v>
      </c>
      <c r="DJB17" s="314" t="s">
        <v>203</v>
      </c>
      <c r="DJC17" s="314" t="s">
        <v>203</v>
      </c>
      <c r="DJD17" s="314" t="s">
        <v>203</v>
      </c>
      <c r="DJE17" s="314" t="s">
        <v>203</v>
      </c>
      <c r="DJF17" s="314" t="s">
        <v>203</v>
      </c>
      <c r="DJG17" s="314" t="s">
        <v>203</v>
      </c>
      <c r="DJH17" s="314" t="s">
        <v>203</v>
      </c>
      <c r="DJI17" s="314" t="s">
        <v>203</v>
      </c>
      <c r="DJJ17" s="314" t="s">
        <v>203</v>
      </c>
      <c r="DJK17" s="314" t="s">
        <v>203</v>
      </c>
      <c r="DJL17" s="314" t="s">
        <v>203</v>
      </c>
      <c r="DJM17" s="314" t="s">
        <v>203</v>
      </c>
      <c r="DJN17" s="314" t="s">
        <v>203</v>
      </c>
      <c r="DJO17" s="314" t="s">
        <v>203</v>
      </c>
      <c r="DJP17" s="314" t="s">
        <v>203</v>
      </c>
      <c r="DJQ17" s="314" t="s">
        <v>203</v>
      </c>
      <c r="DJR17" s="314" t="s">
        <v>203</v>
      </c>
      <c r="DJS17" s="314" t="s">
        <v>203</v>
      </c>
      <c r="DJT17" s="314" t="s">
        <v>203</v>
      </c>
      <c r="DJU17" s="314" t="s">
        <v>203</v>
      </c>
      <c r="DJV17" s="314" t="s">
        <v>203</v>
      </c>
      <c r="DJW17" s="314" t="s">
        <v>203</v>
      </c>
      <c r="DJX17" s="314" t="s">
        <v>203</v>
      </c>
      <c r="DJY17" s="314" t="s">
        <v>203</v>
      </c>
      <c r="DJZ17" s="314" t="s">
        <v>203</v>
      </c>
      <c r="DKA17" s="314" t="s">
        <v>203</v>
      </c>
      <c r="DKB17" s="314" t="s">
        <v>203</v>
      </c>
      <c r="DKC17" s="314" t="s">
        <v>203</v>
      </c>
      <c r="DKD17" s="314" t="s">
        <v>203</v>
      </c>
      <c r="DKE17" s="314" t="s">
        <v>203</v>
      </c>
      <c r="DKF17" s="314" t="s">
        <v>203</v>
      </c>
      <c r="DKG17" s="314" t="s">
        <v>203</v>
      </c>
      <c r="DKH17" s="314" t="s">
        <v>203</v>
      </c>
      <c r="DKI17" s="314" t="s">
        <v>203</v>
      </c>
      <c r="DKJ17" s="314" t="s">
        <v>203</v>
      </c>
      <c r="DKK17" s="314" t="s">
        <v>203</v>
      </c>
      <c r="DKL17" s="314" t="s">
        <v>203</v>
      </c>
      <c r="DKM17" s="314" t="s">
        <v>203</v>
      </c>
      <c r="DKN17" s="314" t="s">
        <v>203</v>
      </c>
      <c r="DKO17" s="314" t="s">
        <v>203</v>
      </c>
      <c r="DKP17" s="314" t="s">
        <v>203</v>
      </c>
      <c r="DKQ17" s="314" t="s">
        <v>203</v>
      </c>
      <c r="DKR17" s="314" t="s">
        <v>203</v>
      </c>
      <c r="DKS17" s="314" t="s">
        <v>203</v>
      </c>
      <c r="DKT17" s="314" t="s">
        <v>203</v>
      </c>
      <c r="DKU17" s="314" t="s">
        <v>203</v>
      </c>
      <c r="DKV17" s="314" t="s">
        <v>203</v>
      </c>
      <c r="DKW17" s="314" t="s">
        <v>203</v>
      </c>
      <c r="DKX17" s="314" t="s">
        <v>203</v>
      </c>
      <c r="DKY17" s="314" t="s">
        <v>203</v>
      </c>
      <c r="DKZ17" s="314" t="s">
        <v>203</v>
      </c>
      <c r="DLA17" s="314" t="s">
        <v>203</v>
      </c>
      <c r="DLB17" s="314" t="s">
        <v>203</v>
      </c>
      <c r="DLC17" s="314" t="s">
        <v>203</v>
      </c>
      <c r="DLD17" s="314" t="s">
        <v>203</v>
      </c>
      <c r="DLE17" s="314" t="s">
        <v>203</v>
      </c>
      <c r="DLF17" s="314" t="s">
        <v>203</v>
      </c>
      <c r="DLG17" s="314" t="s">
        <v>203</v>
      </c>
      <c r="DLH17" s="314" t="s">
        <v>203</v>
      </c>
      <c r="DLI17" s="314" t="s">
        <v>203</v>
      </c>
      <c r="DLJ17" s="314" t="s">
        <v>203</v>
      </c>
      <c r="DLK17" s="314" t="s">
        <v>203</v>
      </c>
      <c r="DLL17" s="314" t="s">
        <v>203</v>
      </c>
      <c r="DLM17" s="314" t="s">
        <v>203</v>
      </c>
      <c r="DLN17" s="314" t="s">
        <v>203</v>
      </c>
      <c r="DLO17" s="314" t="s">
        <v>203</v>
      </c>
      <c r="DLP17" s="314" t="s">
        <v>203</v>
      </c>
      <c r="DLQ17" s="314" t="s">
        <v>203</v>
      </c>
      <c r="DLR17" s="314" t="s">
        <v>203</v>
      </c>
      <c r="DLS17" s="314" t="s">
        <v>203</v>
      </c>
      <c r="DLT17" s="314" t="s">
        <v>203</v>
      </c>
      <c r="DLU17" s="314" t="s">
        <v>203</v>
      </c>
      <c r="DLV17" s="314" t="s">
        <v>203</v>
      </c>
      <c r="DLW17" s="314" t="s">
        <v>203</v>
      </c>
      <c r="DLX17" s="314" t="s">
        <v>203</v>
      </c>
      <c r="DLY17" s="314" t="s">
        <v>203</v>
      </c>
      <c r="DLZ17" s="314" t="s">
        <v>203</v>
      </c>
      <c r="DMA17" s="314" t="s">
        <v>203</v>
      </c>
      <c r="DMB17" s="314" t="s">
        <v>203</v>
      </c>
      <c r="DMC17" s="314" t="s">
        <v>203</v>
      </c>
      <c r="DMD17" s="314" t="s">
        <v>203</v>
      </c>
      <c r="DME17" s="314" t="s">
        <v>203</v>
      </c>
      <c r="DMF17" s="314" t="s">
        <v>203</v>
      </c>
      <c r="DMG17" s="314" t="s">
        <v>203</v>
      </c>
      <c r="DMH17" s="314" t="s">
        <v>203</v>
      </c>
      <c r="DMI17" s="314" t="s">
        <v>203</v>
      </c>
      <c r="DMJ17" s="314" t="s">
        <v>203</v>
      </c>
      <c r="DMK17" s="314" t="s">
        <v>203</v>
      </c>
      <c r="DML17" s="314" t="s">
        <v>203</v>
      </c>
      <c r="DMM17" s="314" t="s">
        <v>203</v>
      </c>
      <c r="DMN17" s="314" t="s">
        <v>203</v>
      </c>
      <c r="DMO17" s="314" t="s">
        <v>203</v>
      </c>
      <c r="DMP17" s="314" t="s">
        <v>203</v>
      </c>
      <c r="DMQ17" s="314" t="s">
        <v>203</v>
      </c>
      <c r="DMR17" s="314" t="s">
        <v>203</v>
      </c>
      <c r="DMS17" s="314" t="s">
        <v>203</v>
      </c>
      <c r="DMT17" s="314" t="s">
        <v>203</v>
      </c>
      <c r="DMU17" s="314" t="s">
        <v>203</v>
      </c>
      <c r="DMV17" s="314" t="s">
        <v>203</v>
      </c>
      <c r="DMW17" s="314" t="s">
        <v>203</v>
      </c>
      <c r="DMX17" s="314" t="s">
        <v>203</v>
      </c>
      <c r="DMY17" s="314" t="s">
        <v>203</v>
      </c>
      <c r="DMZ17" s="314" t="s">
        <v>203</v>
      </c>
      <c r="DNA17" s="314" t="s">
        <v>203</v>
      </c>
      <c r="DNB17" s="314" t="s">
        <v>203</v>
      </c>
      <c r="DNC17" s="314" t="s">
        <v>203</v>
      </c>
      <c r="DND17" s="314" t="s">
        <v>203</v>
      </c>
      <c r="DNE17" s="314" t="s">
        <v>203</v>
      </c>
      <c r="DNF17" s="314" t="s">
        <v>203</v>
      </c>
      <c r="DNG17" s="314" t="s">
        <v>203</v>
      </c>
      <c r="DNH17" s="314" t="s">
        <v>203</v>
      </c>
      <c r="DNI17" s="314" t="s">
        <v>203</v>
      </c>
      <c r="DNJ17" s="314" t="s">
        <v>203</v>
      </c>
      <c r="DNK17" s="314" t="s">
        <v>203</v>
      </c>
      <c r="DNL17" s="314" t="s">
        <v>203</v>
      </c>
      <c r="DNM17" s="314" t="s">
        <v>203</v>
      </c>
      <c r="DNN17" s="314" t="s">
        <v>203</v>
      </c>
      <c r="DNO17" s="314" t="s">
        <v>203</v>
      </c>
      <c r="DNP17" s="314" t="s">
        <v>203</v>
      </c>
      <c r="DNQ17" s="314" t="s">
        <v>203</v>
      </c>
      <c r="DNR17" s="314" t="s">
        <v>203</v>
      </c>
      <c r="DNS17" s="314" t="s">
        <v>203</v>
      </c>
      <c r="DNT17" s="314" t="s">
        <v>203</v>
      </c>
      <c r="DNU17" s="314" t="s">
        <v>203</v>
      </c>
      <c r="DNV17" s="314" t="s">
        <v>203</v>
      </c>
      <c r="DNW17" s="314" t="s">
        <v>203</v>
      </c>
      <c r="DNX17" s="314" t="s">
        <v>203</v>
      </c>
      <c r="DNY17" s="314" t="s">
        <v>203</v>
      </c>
      <c r="DNZ17" s="314" t="s">
        <v>203</v>
      </c>
      <c r="DOA17" s="314" t="s">
        <v>203</v>
      </c>
      <c r="DOB17" s="314" t="s">
        <v>203</v>
      </c>
      <c r="DOC17" s="314" t="s">
        <v>203</v>
      </c>
      <c r="DOD17" s="314" t="s">
        <v>203</v>
      </c>
      <c r="DOE17" s="314" t="s">
        <v>203</v>
      </c>
      <c r="DOF17" s="314" t="s">
        <v>203</v>
      </c>
      <c r="DOG17" s="314" t="s">
        <v>203</v>
      </c>
      <c r="DOH17" s="314" t="s">
        <v>203</v>
      </c>
      <c r="DOI17" s="314" t="s">
        <v>203</v>
      </c>
      <c r="DOJ17" s="314" t="s">
        <v>203</v>
      </c>
      <c r="DOK17" s="314" t="s">
        <v>203</v>
      </c>
      <c r="DOL17" s="314" t="s">
        <v>203</v>
      </c>
      <c r="DOM17" s="314" t="s">
        <v>203</v>
      </c>
      <c r="DON17" s="314" t="s">
        <v>203</v>
      </c>
      <c r="DOO17" s="314" t="s">
        <v>203</v>
      </c>
      <c r="DOP17" s="314" t="s">
        <v>203</v>
      </c>
      <c r="DOQ17" s="314" t="s">
        <v>203</v>
      </c>
      <c r="DOR17" s="314" t="s">
        <v>203</v>
      </c>
      <c r="DOS17" s="314" t="s">
        <v>203</v>
      </c>
      <c r="DOT17" s="314" t="s">
        <v>203</v>
      </c>
      <c r="DOU17" s="314" t="s">
        <v>203</v>
      </c>
      <c r="DOV17" s="314" t="s">
        <v>203</v>
      </c>
      <c r="DOW17" s="314" t="s">
        <v>203</v>
      </c>
      <c r="DOX17" s="314" t="s">
        <v>203</v>
      </c>
      <c r="DOY17" s="314" t="s">
        <v>203</v>
      </c>
      <c r="DOZ17" s="314" t="s">
        <v>203</v>
      </c>
      <c r="DPA17" s="314" t="s">
        <v>203</v>
      </c>
      <c r="DPB17" s="314" t="s">
        <v>203</v>
      </c>
      <c r="DPC17" s="314" t="s">
        <v>203</v>
      </c>
      <c r="DPD17" s="314" t="s">
        <v>203</v>
      </c>
      <c r="DPE17" s="314" t="s">
        <v>203</v>
      </c>
      <c r="DPF17" s="314" t="s">
        <v>203</v>
      </c>
      <c r="DPG17" s="314" t="s">
        <v>203</v>
      </c>
      <c r="DPH17" s="314" t="s">
        <v>203</v>
      </c>
      <c r="DPI17" s="314" t="s">
        <v>203</v>
      </c>
      <c r="DPJ17" s="314" t="s">
        <v>203</v>
      </c>
      <c r="DPK17" s="314" t="s">
        <v>203</v>
      </c>
      <c r="DPL17" s="314" t="s">
        <v>203</v>
      </c>
      <c r="DPM17" s="314" t="s">
        <v>203</v>
      </c>
      <c r="DPN17" s="314" t="s">
        <v>203</v>
      </c>
      <c r="DPO17" s="314" t="s">
        <v>203</v>
      </c>
      <c r="DPP17" s="314" t="s">
        <v>203</v>
      </c>
      <c r="DPQ17" s="314" t="s">
        <v>203</v>
      </c>
      <c r="DPR17" s="314" t="s">
        <v>203</v>
      </c>
      <c r="DPS17" s="314" t="s">
        <v>203</v>
      </c>
      <c r="DPT17" s="314" t="s">
        <v>203</v>
      </c>
      <c r="DPU17" s="314" t="s">
        <v>203</v>
      </c>
      <c r="DPV17" s="314" t="s">
        <v>203</v>
      </c>
      <c r="DPW17" s="314" t="s">
        <v>203</v>
      </c>
      <c r="DPX17" s="314" t="s">
        <v>203</v>
      </c>
      <c r="DPY17" s="314" t="s">
        <v>203</v>
      </c>
      <c r="DPZ17" s="314" t="s">
        <v>203</v>
      </c>
      <c r="DQA17" s="314" t="s">
        <v>203</v>
      </c>
      <c r="DQB17" s="314" t="s">
        <v>203</v>
      </c>
      <c r="DQC17" s="314" t="s">
        <v>203</v>
      </c>
      <c r="DQD17" s="314" t="s">
        <v>203</v>
      </c>
      <c r="DQE17" s="314" t="s">
        <v>203</v>
      </c>
      <c r="DQF17" s="314" t="s">
        <v>203</v>
      </c>
      <c r="DQG17" s="314" t="s">
        <v>203</v>
      </c>
      <c r="DQH17" s="314" t="s">
        <v>203</v>
      </c>
      <c r="DQI17" s="314" t="s">
        <v>203</v>
      </c>
      <c r="DQJ17" s="314" t="s">
        <v>203</v>
      </c>
      <c r="DQK17" s="314" t="s">
        <v>203</v>
      </c>
      <c r="DQL17" s="314" t="s">
        <v>203</v>
      </c>
      <c r="DQM17" s="314" t="s">
        <v>203</v>
      </c>
      <c r="DQN17" s="314" t="s">
        <v>203</v>
      </c>
      <c r="DQO17" s="314" t="s">
        <v>203</v>
      </c>
      <c r="DQP17" s="314" t="s">
        <v>203</v>
      </c>
      <c r="DQQ17" s="314" t="s">
        <v>203</v>
      </c>
      <c r="DQR17" s="314" t="s">
        <v>203</v>
      </c>
      <c r="DQS17" s="314" t="s">
        <v>203</v>
      </c>
      <c r="DQT17" s="314" t="s">
        <v>203</v>
      </c>
      <c r="DQU17" s="314" t="s">
        <v>203</v>
      </c>
      <c r="DQV17" s="314" t="s">
        <v>203</v>
      </c>
      <c r="DQW17" s="314" t="s">
        <v>203</v>
      </c>
      <c r="DQX17" s="314" t="s">
        <v>203</v>
      </c>
      <c r="DQY17" s="314" t="s">
        <v>203</v>
      </c>
      <c r="DQZ17" s="314" t="s">
        <v>203</v>
      </c>
      <c r="DRA17" s="314" t="s">
        <v>203</v>
      </c>
      <c r="DRB17" s="314" t="s">
        <v>203</v>
      </c>
      <c r="DRC17" s="314" t="s">
        <v>203</v>
      </c>
      <c r="DRD17" s="314" t="s">
        <v>203</v>
      </c>
      <c r="DRE17" s="314" t="s">
        <v>203</v>
      </c>
      <c r="DRF17" s="314" t="s">
        <v>203</v>
      </c>
      <c r="DRG17" s="314" t="s">
        <v>203</v>
      </c>
      <c r="DRH17" s="314" t="s">
        <v>203</v>
      </c>
      <c r="DRI17" s="314" t="s">
        <v>203</v>
      </c>
      <c r="DRJ17" s="314" t="s">
        <v>203</v>
      </c>
      <c r="DRK17" s="314" t="s">
        <v>203</v>
      </c>
      <c r="DRL17" s="314" t="s">
        <v>203</v>
      </c>
      <c r="DRM17" s="314" t="s">
        <v>203</v>
      </c>
      <c r="DRN17" s="314" t="s">
        <v>203</v>
      </c>
      <c r="DRO17" s="314" t="s">
        <v>203</v>
      </c>
      <c r="DRP17" s="314" t="s">
        <v>203</v>
      </c>
      <c r="DRQ17" s="314" t="s">
        <v>203</v>
      </c>
      <c r="DRR17" s="314" t="s">
        <v>203</v>
      </c>
      <c r="DRS17" s="314" t="s">
        <v>203</v>
      </c>
      <c r="DRT17" s="314" t="s">
        <v>203</v>
      </c>
      <c r="DRU17" s="314" t="s">
        <v>203</v>
      </c>
      <c r="DRV17" s="314" t="s">
        <v>203</v>
      </c>
      <c r="DRW17" s="314" t="s">
        <v>203</v>
      </c>
      <c r="DRX17" s="314" t="s">
        <v>203</v>
      </c>
      <c r="DRY17" s="314" t="s">
        <v>203</v>
      </c>
      <c r="DRZ17" s="314" t="s">
        <v>203</v>
      </c>
      <c r="DSA17" s="314" t="s">
        <v>203</v>
      </c>
      <c r="DSB17" s="314" t="s">
        <v>203</v>
      </c>
      <c r="DSC17" s="314" t="s">
        <v>203</v>
      </c>
      <c r="DSD17" s="314" t="s">
        <v>203</v>
      </c>
      <c r="DSE17" s="314" t="s">
        <v>203</v>
      </c>
      <c r="DSF17" s="314" t="s">
        <v>203</v>
      </c>
      <c r="DSG17" s="314" t="s">
        <v>203</v>
      </c>
      <c r="DSH17" s="314" t="s">
        <v>203</v>
      </c>
      <c r="DSI17" s="314" t="s">
        <v>203</v>
      </c>
      <c r="DSJ17" s="314" t="s">
        <v>203</v>
      </c>
      <c r="DSK17" s="314" t="s">
        <v>203</v>
      </c>
      <c r="DSL17" s="314" t="s">
        <v>203</v>
      </c>
      <c r="DSM17" s="314" t="s">
        <v>203</v>
      </c>
      <c r="DSN17" s="314" t="s">
        <v>203</v>
      </c>
      <c r="DSO17" s="314" t="s">
        <v>203</v>
      </c>
      <c r="DSP17" s="314" t="s">
        <v>203</v>
      </c>
      <c r="DSQ17" s="314" t="s">
        <v>203</v>
      </c>
      <c r="DSR17" s="314" t="s">
        <v>203</v>
      </c>
      <c r="DSS17" s="314" t="s">
        <v>203</v>
      </c>
      <c r="DST17" s="314" t="s">
        <v>203</v>
      </c>
      <c r="DSU17" s="314" t="s">
        <v>203</v>
      </c>
      <c r="DSV17" s="314" t="s">
        <v>203</v>
      </c>
      <c r="DSW17" s="314" t="s">
        <v>203</v>
      </c>
      <c r="DSX17" s="314" t="s">
        <v>203</v>
      </c>
      <c r="DSY17" s="314" t="s">
        <v>203</v>
      </c>
      <c r="DSZ17" s="314" t="s">
        <v>203</v>
      </c>
      <c r="DTA17" s="314" t="s">
        <v>203</v>
      </c>
      <c r="DTB17" s="314" t="s">
        <v>203</v>
      </c>
      <c r="DTC17" s="314" t="s">
        <v>203</v>
      </c>
      <c r="DTD17" s="314" t="s">
        <v>203</v>
      </c>
      <c r="DTE17" s="314" t="s">
        <v>203</v>
      </c>
      <c r="DTF17" s="314" t="s">
        <v>203</v>
      </c>
      <c r="DTG17" s="314" t="s">
        <v>203</v>
      </c>
      <c r="DTH17" s="314" t="s">
        <v>203</v>
      </c>
      <c r="DTI17" s="314" t="s">
        <v>203</v>
      </c>
      <c r="DTJ17" s="314" t="s">
        <v>203</v>
      </c>
      <c r="DTK17" s="314" t="s">
        <v>203</v>
      </c>
      <c r="DTL17" s="314" t="s">
        <v>203</v>
      </c>
      <c r="DTM17" s="314" t="s">
        <v>203</v>
      </c>
      <c r="DTN17" s="314" t="s">
        <v>203</v>
      </c>
      <c r="DTO17" s="314" t="s">
        <v>203</v>
      </c>
      <c r="DTP17" s="314" t="s">
        <v>203</v>
      </c>
      <c r="DTQ17" s="314" t="s">
        <v>203</v>
      </c>
      <c r="DTR17" s="314" t="s">
        <v>203</v>
      </c>
      <c r="DTS17" s="314" t="s">
        <v>203</v>
      </c>
      <c r="DTT17" s="314" t="s">
        <v>203</v>
      </c>
      <c r="DTU17" s="314" t="s">
        <v>203</v>
      </c>
      <c r="DTV17" s="314" t="s">
        <v>203</v>
      </c>
      <c r="DTW17" s="314" t="s">
        <v>203</v>
      </c>
      <c r="DTX17" s="314" t="s">
        <v>203</v>
      </c>
      <c r="DTY17" s="314" t="s">
        <v>203</v>
      </c>
      <c r="DTZ17" s="314" t="s">
        <v>203</v>
      </c>
      <c r="DUA17" s="314" t="s">
        <v>203</v>
      </c>
      <c r="DUB17" s="314" t="s">
        <v>203</v>
      </c>
      <c r="DUC17" s="314" t="s">
        <v>203</v>
      </c>
      <c r="DUD17" s="314" t="s">
        <v>203</v>
      </c>
      <c r="DUE17" s="314" t="s">
        <v>203</v>
      </c>
      <c r="DUF17" s="314" t="s">
        <v>203</v>
      </c>
      <c r="DUG17" s="314" t="s">
        <v>203</v>
      </c>
      <c r="DUH17" s="314" t="s">
        <v>203</v>
      </c>
      <c r="DUI17" s="314" t="s">
        <v>203</v>
      </c>
      <c r="DUJ17" s="314" t="s">
        <v>203</v>
      </c>
      <c r="DUK17" s="314" t="s">
        <v>203</v>
      </c>
      <c r="DUL17" s="314" t="s">
        <v>203</v>
      </c>
      <c r="DUM17" s="314" t="s">
        <v>203</v>
      </c>
      <c r="DUN17" s="314" t="s">
        <v>203</v>
      </c>
      <c r="DUO17" s="314" t="s">
        <v>203</v>
      </c>
      <c r="DUP17" s="314" t="s">
        <v>203</v>
      </c>
      <c r="DUQ17" s="314" t="s">
        <v>203</v>
      </c>
      <c r="DUR17" s="314" t="s">
        <v>203</v>
      </c>
      <c r="DUS17" s="314" t="s">
        <v>203</v>
      </c>
      <c r="DUT17" s="314" t="s">
        <v>203</v>
      </c>
      <c r="DUU17" s="314" t="s">
        <v>203</v>
      </c>
      <c r="DUV17" s="314" t="s">
        <v>203</v>
      </c>
      <c r="DUW17" s="314" t="s">
        <v>203</v>
      </c>
      <c r="DUX17" s="314" t="s">
        <v>203</v>
      </c>
      <c r="DUY17" s="314" t="s">
        <v>203</v>
      </c>
      <c r="DUZ17" s="314" t="s">
        <v>203</v>
      </c>
      <c r="DVA17" s="314" t="s">
        <v>203</v>
      </c>
      <c r="DVB17" s="314" t="s">
        <v>203</v>
      </c>
      <c r="DVC17" s="314" t="s">
        <v>203</v>
      </c>
      <c r="DVD17" s="314" t="s">
        <v>203</v>
      </c>
      <c r="DVE17" s="314" t="s">
        <v>203</v>
      </c>
      <c r="DVF17" s="314" t="s">
        <v>203</v>
      </c>
      <c r="DVG17" s="314" t="s">
        <v>203</v>
      </c>
      <c r="DVH17" s="314" t="s">
        <v>203</v>
      </c>
      <c r="DVI17" s="314" t="s">
        <v>203</v>
      </c>
      <c r="DVJ17" s="314" t="s">
        <v>203</v>
      </c>
      <c r="DVK17" s="314" t="s">
        <v>203</v>
      </c>
      <c r="DVL17" s="314" t="s">
        <v>203</v>
      </c>
      <c r="DVM17" s="314" t="s">
        <v>203</v>
      </c>
      <c r="DVN17" s="314" t="s">
        <v>203</v>
      </c>
      <c r="DVO17" s="314" t="s">
        <v>203</v>
      </c>
      <c r="DVP17" s="314" t="s">
        <v>203</v>
      </c>
      <c r="DVQ17" s="314" t="s">
        <v>203</v>
      </c>
      <c r="DVR17" s="314" t="s">
        <v>203</v>
      </c>
      <c r="DVS17" s="314" t="s">
        <v>203</v>
      </c>
      <c r="DVT17" s="314" t="s">
        <v>203</v>
      </c>
      <c r="DVU17" s="314" t="s">
        <v>203</v>
      </c>
      <c r="DVV17" s="314" t="s">
        <v>203</v>
      </c>
      <c r="DVW17" s="314" t="s">
        <v>203</v>
      </c>
      <c r="DVX17" s="314" t="s">
        <v>203</v>
      </c>
      <c r="DVY17" s="314" t="s">
        <v>203</v>
      </c>
      <c r="DVZ17" s="314" t="s">
        <v>203</v>
      </c>
      <c r="DWA17" s="314" t="s">
        <v>203</v>
      </c>
      <c r="DWB17" s="314" t="s">
        <v>203</v>
      </c>
      <c r="DWC17" s="314" t="s">
        <v>203</v>
      </c>
      <c r="DWD17" s="314" t="s">
        <v>203</v>
      </c>
      <c r="DWE17" s="314" t="s">
        <v>203</v>
      </c>
      <c r="DWF17" s="314" t="s">
        <v>203</v>
      </c>
      <c r="DWG17" s="314" t="s">
        <v>203</v>
      </c>
      <c r="DWH17" s="314" t="s">
        <v>203</v>
      </c>
      <c r="DWI17" s="314" t="s">
        <v>203</v>
      </c>
      <c r="DWJ17" s="314" t="s">
        <v>203</v>
      </c>
      <c r="DWK17" s="314" t="s">
        <v>203</v>
      </c>
      <c r="DWL17" s="314" t="s">
        <v>203</v>
      </c>
      <c r="DWM17" s="314" t="s">
        <v>203</v>
      </c>
      <c r="DWN17" s="314" t="s">
        <v>203</v>
      </c>
      <c r="DWO17" s="314" t="s">
        <v>203</v>
      </c>
      <c r="DWP17" s="314" t="s">
        <v>203</v>
      </c>
      <c r="DWQ17" s="314" t="s">
        <v>203</v>
      </c>
      <c r="DWR17" s="314" t="s">
        <v>203</v>
      </c>
      <c r="DWS17" s="314" t="s">
        <v>203</v>
      </c>
      <c r="DWT17" s="314" t="s">
        <v>203</v>
      </c>
      <c r="DWU17" s="314" t="s">
        <v>203</v>
      </c>
      <c r="DWV17" s="314" t="s">
        <v>203</v>
      </c>
      <c r="DWW17" s="314" t="s">
        <v>203</v>
      </c>
      <c r="DWX17" s="314" t="s">
        <v>203</v>
      </c>
      <c r="DWY17" s="314" t="s">
        <v>203</v>
      </c>
      <c r="DWZ17" s="314" t="s">
        <v>203</v>
      </c>
      <c r="DXA17" s="314" t="s">
        <v>203</v>
      </c>
      <c r="DXB17" s="314" t="s">
        <v>203</v>
      </c>
      <c r="DXC17" s="314" t="s">
        <v>203</v>
      </c>
      <c r="DXD17" s="314" t="s">
        <v>203</v>
      </c>
      <c r="DXE17" s="314" t="s">
        <v>203</v>
      </c>
      <c r="DXF17" s="314" t="s">
        <v>203</v>
      </c>
      <c r="DXG17" s="314" t="s">
        <v>203</v>
      </c>
      <c r="DXH17" s="314" t="s">
        <v>203</v>
      </c>
      <c r="DXI17" s="314" t="s">
        <v>203</v>
      </c>
      <c r="DXJ17" s="314" t="s">
        <v>203</v>
      </c>
      <c r="DXK17" s="314" t="s">
        <v>203</v>
      </c>
      <c r="DXL17" s="314" t="s">
        <v>203</v>
      </c>
      <c r="DXM17" s="314" t="s">
        <v>203</v>
      </c>
      <c r="DXN17" s="314" t="s">
        <v>203</v>
      </c>
      <c r="DXO17" s="314" t="s">
        <v>203</v>
      </c>
      <c r="DXP17" s="314" t="s">
        <v>203</v>
      </c>
      <c r="DXQ17" s="314" t="s">
        <v>203</v>
      </c>
      <c r="DXR17" s="314" t="s">
        <v>203</v>
      </c>
      <c r="DXS17" s="314" t="s">
        <v>203</v>
      </c>
      <c r="DXT17" s="314" t="s">
        <v>203</v>
      </c>
      <c r="DXU17" s="314" t="s">
        <v>203</v>
      </c>
      <c r="DXV17" s="314" t="s">
        <v>203</v>
      </c>
      <c r="DXW17" s="314" t="s">
        <v>203</v>
      </c>
      <c r="DXX17" s="314" t="s">
        <v>203</v>
      </c>
      <c r="DXY17" s="314" t="s">
        <v>203</v>
      </c>
      <c r="DXZ17" s="314" t="s">
        <v>203</v>
      </c>
      <c r="DYA17" s="314" t="s">
        <v>203</v>
      </c>
      <c r="DYB17" s="314" t="s">
        <v>203</v>
      </c>
      <c r="DYC17" s="314" t="s">
        <v>203</v>
      </c>
      <c r="DYD17" s="314" t="s">
        <v>203</v>
      </c>
      <c r="DYE17" s="314" t="s">
        <v>203</v>
      </c>
      <c r="DYF17" s="314" t="s">
        <v>203</v>
      </c>
      <c r="DYG17" s="314" t="s">
        <v>203</v>
      </c>
      <c r="DYH17" s="314" t="s">
        <v>203</v>
      </c>
      <c r="DYI17" s="314" t="s">
        <v>203</v>
      </c>
      <c r="DYJ17" s="314" t="s">
        <v>203</v>
      </c>
      <c r="DYK17" s="314" t="s">
        <v>203</v>
      </c>
      <c r="DYL17" s="314" t="s">
        <v>203</v>
      </c>
      <c r="DYM17" s="314" t="s">
        <v>203</v>
      </c>
      <c r="DYN17" s="314" t="s">
        <v>203</v>
      </c>
      <c r="DYO17" s="314" t="s">
        <v>203</v>
      </c>
      <c r="DYP17" s="314" t="s">
        <v>203</v>
      </c>
      <c r="DYQ17" s="314" t="s">
        <v>203</v>
      </c>
      <c r="DYR17" s="314" t="s">
        <v>203</v>
      </c>
      <c r="DYS17" s="314" t="s">
        <v>203</v>
      </c>
      <c r="DYT17" s="314" t="s">
        <v>203</v>
      </c>
      <c r="DYU17" s="314" t="s">
        <v>203</v>
      </c>
      <c r="DYV17" s="314" t="s">
        <v>203</v>
      </c>
      <c r="DYW17" s="314" t="s">
        <v>203</v>
      </c>
      <c r="DYX17" s="314" t="s">
        <v>203</v>
      </c>
      <c r="DYY17" s="314" t="s">
        <v>203</v>
      </c>
      <c r="DYZ17" s="314" t="s">
        <v>203</v>
      </c>
      <c r="DZA17" s="314" t="s">
        <v>203</v>
      </c>
      <c r="DZB17" s="314" t="s">
        <v>203</v>
      </c>
      <c r="DZC17" s="314" t="s">
        <v>203</v>
      </c>
      <c r="DZD17" s="314" t="s">
        <v>203</v>
      </c>
      <c r="DZE17" s="314" t="s">
        <v>203</v>
      </c>
      <c r="DZF17" s="314" t="s">
        <v>203</v>
      </c>
      <c r="DZG17" s="314" t="s">
        <v>203</v>
      </c>
      <c r="DZH17" s="314" t="s">
        <v>203</v>
      </c>
      <c r="DZI17" s="314" t="s">
        <v>203</v>
      </c>
      <c r="DZJ17" s="314" t="s">
        <v>203</v>
      </c>
      <c r="DZK17" s="314" t="s">
        <v>203</v>
      </c>
      <c r="DZL17" s="314" t="s">
        <v>203</v>
      </c>
      <c r="DZM17" s="314" t="s">
        <v>203</v>
      </c>
      <c r="DZN17" s="314" t="s">
        <v>203</v>
      </c>
      <c r="DZO17" s="314" t="s">
        <v>203</v>
      </c>
      <c r="DZP17" s="314" t="s">
        <v>203</v>
      </c>
      <c r="DZQ17" s="314" t="s">
        <v>203</v>
      </c>
      <c r="DZR17" s="314" t="s">
        <v>203</v>
      </c>
      <c r="DZS17" s="314" t="s">
        <v>203</v>
      </c>
      <c r="DZT17" s="314" t="s">
        <v>203</v>
      </c>
      <c r="DZU17" s="314" t="s">
        <v>203</v>
      </c>
      <c r="DZV17" s="314" t="s">
        <v>203</v>
      </c>
      <c r="DZW17" s="314" t="s">
        <v>203</v>
      </c>
      <c r="DZX17" s="314" t="s">
        <v>203</v>
      </c>
      <c r="DZY17" s="314" t="s">
        <v>203</v>
      </c>
      <c r="DZZ17" s="314" t="s">
        <v>203</v>
      </c>
      <c r="EAA17" s="314" t="s">
        <v>203</v>
      </c>
      <c r="EAB17" s="314" t="s">
        <v>203</v>
      </c>
      <c r="EAC17" s="314" t="s">
        <v>203</v>
      </c>
      <c r="EAD17" s="314" t="s">
        <v>203</v>
      </c>
      <c r="EAE17" s="314" t="s">
        <v>203</v>
      </c>
      <c r="EAF17" s="314" t="s">
        <v>203</v>
      </c>
      <c r="EAG17" s="314" t="s">
        <v>203</v>
      </c>
      <c r="EAH17" s="314" t="s">
        <v>203</v>
      </c>
      <c r="EAI17" s="314" t="s">
        <v>203</v>
      </c>
      <c r="EAJ17" s="314" t="s">
        <v>203</v>
      </c>
      <c r="EAK17" s="314" t="s">
        <v>203</v>
      </c>
      <c r="EAL17" s="314" t="s">
        <v>203</v>
      </c>
      <c r="EAM17" s="314" t="s">
        <v>203</v>
      </c>
      <c r="EAN17" s="314" t="s">
        <v>203</v>
      </c>
      <c r="EAO17" s="314" t="s">
        <v>203</v>
      </c>
      <c r="EAP17" s="314" t="s">
        <v>203</v>
      </c>
      <c r="EAQ17" s="314" t="s">
        <v>203</v>
      </c>
      <c r="EAR17" s="314" t="s">
        <v>203</v>
      </c>
      <c r="EAS17" s="314" t="s">
        <v>203</v>
      </c>
      <c r="EAT17" s="314" t="s">
        <v>203</v>
      </c>
      <c r="EAU17" s="314" t="s">
        <v>203</v>
      </c>
      <c r="EAV17" s="314" t="s">
        <v>203</v>
      </c>
      <c r="EAW17" s="314" t="s">
        <v>203</v>
      </c>
      <c r="EAX17" s="314" t="s">
        <v>203</v>
      </c>
      <c r="EAY17" s="314" t="s">
        <v>203</v>
      </c>
      <c r="EAZ17" s="314" t="s">
        <v>203</v>
      </c>
      <c r="EBA17" s="314" t="s">
        <v>203</v>
      </c>
      <c r="EBB17" s="314" t="s">
        <v>203</v>
      </c>
      <c r="EBC17" s="314" t="s">
        <v>203</v>
      </c>
      <c r="EBD17" s="314" t="s">
        <v>203</v>
      </c>
      <c r="EBE17" s="314" t="s">
        <v>203</v>
      </c>
      <c r="EBF17" s="314" t="s">
        <v>203</v>
      </c>
      <c r="EBG17" s="314" t="s">
        <v>203</v>
      </c>
      <c r="EBH17" s="314" t="s">
        <v>203</v>
      </c>
      <c r="EBI17" s="314" t="s">
        <v>203</v>
      </c>
      <c r="EBJ17" s="314" t="s">
        <v>203</v>
      </c>
      <c r="EBK17" s="314" t="s">
        <v>203</v>
      </c>
      <c r="EBL17" s="314" t="s">
        <v>203</v>
      </c>
      <c r="EBM17" s="314" t="s">
        <v>203</v>
      </c>
      <c r="EBN17" s="314" t="s">
        <v>203</v>
      </c>
      <c r="EBO17" s="314" t="s">
        <v>203</v>
      </c>
      <c r="EBP17" s="314" t="s">
        <v>203</v>
      </c>
      <c r="EBQ17" s="314" t="s">
        <v>203</v>
      </c>
      <c r="EBR17" s="314" t="s">
        <v>203</v>
      </c>
      <c r="EBS17" s="314" t="s">
        <v>203</v>
      </c>
      <c r="EBT17" s="314" t="s">
        <v>203</v>
      </c>
      <c r="EBU17" s="314" t="s">
        <v>203</v>
      </c>
      <c r="EBV17" s="314" t="s">
        <v>203</v>
      </c>
      <c r="EBW17" s="314" t="s">
        <v>203</v>
      </c>
      <c r="EBX17" s="314" t="s">
        <v>203</v>
      </c>
      <c r="EBY17" s="314" t="s">
        <v>203</v>
      </c>
      <c r="EBZ17" s="314" t="s">
        <v>203</v>
      </c>
      <c r="ECA17" s="314" t="s">
        <v>203</v>
      </c>
      <c r="ECB17" s="314" t="s">
        <v>203</v>
      </c>
      <c r="ECC17" s="314" t="s">
        <v>203</v>
      </c>
      <c r="ECD17" s="314" t="s">
        <v>203</v>
      </c>
      <c r="ECE17" s="314" t="s">
        <v>203</v>
      </c>
      <c r="ECF17" s="314" t="s">
        <v>203</v>
      </c>
      <c r="ECG17" s="314" t="s">
        <v>203</v>
      </c>
      <c r="ECH17" s="314" t="s">
        <v>203</v>
      </c>
      <c r="ECI17" s="314" t="s">
        <v>203</v>
      </c>
      <c r="ECJ17" s="314" t="s">
        <v>203</v>
      </c>
      <c r="ECK17" s="314" t="s">
        <v>203</v>
      </c>
      <c r="ECL17" s="314" t="s">
        <v>203</v>
      </c>
      <c r="ECM17" s="314" t="s">
        <v>203</v>
      </c>
      <c r="ECN17" s="314" t="s">
        <v>203</v>
      </c>
      <c r="ECO17" s="314" t="s">
        <v>203</v>
      </c>
      <c r="ECP17" s="314" t="s">
        <v>203</v>
      </c>
      <c r="ECQ17" s="314" t="s">
        <v>203</v>
      </c>
      <c r="ECR17" s="314" t="s">
        <v>203</v>
      </c>
      <c r="ECS17" s="314" t="s">
        <v>203</v>
      </c>
      <c r="ECT17" s="314" t="s">
        <v>203</v>
      </c>
      <c r="ECU17" s="314" t="s">
        <v>203</v>
      </c>
      <c r="ECV17" s="314" t="s">
        <v>203</v>
      </c>
      <c r="ECW17" s="314" t="s">
        <v>203</v>
      </c>
      <c r="ECX17" s="314" t="s">
        <v>203</v>
      </c>
      <c r="ECY17" s="314" t="s">
        <v>203</v>
      </c>
      <c r="ECZ17" s="314" t="s">
        <v>203</v>
      </c>
      <c r="EDA17" s="314" t="s">
        <v>203</v>
      </c>
      <c r="EDB17" s="314" t="s">
        <v>203</v>
      </c>
      <c r="EDC17" s="314" t="s">
        <v>203</v>
      </c>
      <c r="EDD17" s="314" t="s">
        <v>203</v>
      </c>
      <c r="EDE17" s="314" t="s">
        <v>203</v>
      </c>
      <c r="EDF17" s="314" t="s">
        <v>203</v>
      </c>
      <c r="EDG17" s="314" t="s">
        <v>203</v>
      </c>
      <c r="EDH17" s="314" t="s">
        <v>203</v>
      </c>
      <c r="EDI17" s="314" t="s">
        <v>203</v>
      </c>
      <c r="EDJ17" s="314" t="s">
        <v>203</v>
      </c>
      <c r="EDK17" s="314" t="s">
        <v>203</v>
      </c>
      <c r="EDL17" s="314" t="s">
        <v>203</v>
      </c>
      <c r="EDM17" s="314" t="s">
        <v>203</v>
      </c>
      <c r="EDN17" s="314" t="s">
        <v>203</v>
      </c>
      <c r="EDO17" s="314" t="s">
        <v>203</v>
      </c>
      <c r="EDP17" s="314" t="s">
        <v>203</v>
      </c>
      <c r="EDQ17" s="314" t="s">
        <v>203</v>
      </c>
      <c r="EDR17" s="314" t="s">
        <v>203</v>
      </c>
      <c r="EDS17" s="314" t="s">
        <v>203</v>
      </c>
      <c r="EDT17" s="314" t="s">
        <v>203</v>
      </c>
      <c r="EDU17" s="314" t="s">
        <v>203</v>
      </c>
      <c r="EDV17" s="314" t="s">
        <v>203</v>
      </c>
      <c r="EDW17" s="314" t="s">
        <v>203</v>
      </c>
      <c r="EDX17" s="314" t="s">
        <v>203</v>
      </c>
      <c r="EDY17" s="314" t="s">
        <v>203</v>
      </c>
      <c r="EDZ17" s="314" t="s">
        <v>203</v>
      </c>
      <c r="EEA17" s="314" t="s">
        <v>203</v>
      </c>
      <c r="EEB17" s="314" t="s">
        <v>203</v>
      </c>
      <c r="EEC17" s="314" t="s">
        <v>203</v>
      </c>
      <c r="EED17" s="314" t="s">
        <v>203</v>
      </c>
      <c r="EEE17" s="314" t="s">
        <v>203</v>
      </c>
      <c r="EEF17" s="314" t="s">
        <v>203</v>
      </c>
      <c r="EEG17" s="314" t="s">
        <v>203</v>
      </c>
      <c r="EEH17" s="314" t="s">
        <v>203</v>
      </c>
      <c r="EEI17" s="314" t="s">
        <v>203</v>
      </c>
      <c r="EEJ17" s="314" t="s">
        <v>203</v>
      </c>
      <c r="EEK17" s="314" t="s">
        <v>203</v>
      </c>
      <c r="EEL17" s="314" t="s">
        <v>203</v>
      </c>
      <c r="EEM17" s="314" t="s">
        <v>203</v>
      </c>
      <c r="EEN17" s="314" t="s">
        <v>203</v>
      </c>
      <c r="EEO17" s="314" t="s">
        <v>203</v>
      </c>
      <c r="EEP17" s="314" t="s">
        <v>203</v>
      </c>
      <c r="EEQ17" s="314" t="s">
        <v>203</v>
      </c>
      <c r="EER17" s="314" t="s">
        <v>203</v>
      </c>
      <c r="EES17" s="314" t="s">
        <v>203</v>
      </c>
      <c r="EET17" s="314" t="s">
        <v>203</v>
      </c>
      <c r="EEU17" s="314" t="s">
        <v>203</v>
      </c>
      <c r="EEV17" s="314" t="s">
        <v>203</v>
      </c>
      <c r="EEW17" s="314" t="s">
        <v>203</v>
      </c>
      <c r="EEX17" s="314" t="s">
        <v>203</v>
      </c>
      <c r="EEY17" s="314" t="s">
        <v>203</v>
      </c>
      <c r="EEZ17" s="314" t="s">
        <v>203</v>
      </c>
      <c r="EFA17" s="314" t="s">
        <v>203</v>
      </c>
      <c r="EFB17" s="314" t="s">
        <v>203</v>
      </c>
      <c r="EFC17" s="314" t="s">
        <v>203</v>
      </c>
      <c r="EFD17" s="314" t="s">
        <v>203</v>
      </c>
      <c r="EFE17" s="314" t="s">
        <v>203</v>
      </c>
      <c r="EFF17" s="314" t="s">
        <v>203</v>
      </c>
      <c r="EFG17" s="314" t="s">
        <v>203</v>
      </c>
      <c r="EFH17" s="314" t="s">
        <v>203</v>
      </c>
      <c r="EFI17" s="314" t="s">
        <v>203</v>
      </c>
      <c r="EFJ17" s="314" t="s">
        <v>203</v>
      </c>
      <c r="EFK17" s="314" t="s">
        <v>203</v>
      </c>
      <c r="EFL17" s="314" t="s">
        <v>203</v>
      </c>
      <c r="EFM17" s="314" t="s">
        <v>203</v>
      </c>
      <c r="EFN17" s="314" t="s">
        <v>203</v>
      </c>
      <c r="EFO17" s="314" t="s">
        <v>203</v>
      </c>
      <c r="EFP17" s="314" t="s">
        <v>203</v>
      </c>
      <c r="EFQ17" s="314" t="s">
        <v>203</v>
      </c>
      <c r="EFR17" s="314" t="s">
        <v>203</v>
      </c>
      <c r="EFS17" s="314" t="s">
        <v>203</v>
      </c>
      <c r="EFT17" s="314" t="s">
        <v>203</v>
      </c>
      <c r="EFU17" s="314" t="s">
        <v>203</v>
      </c>
      <c r="EFV17" s="314" t="s">
        <v>203</v>
      </c>
      <c r="EFW17" s="314" t="s">
        <v>203</v>
      </c>
      <c r="EFX17" s="314" t="s">
        <v>203</v>
      </c>
      <c r="EFY17" s="314" t="s">
        <v>203</v>
      </c>
      <c r="EFZ17" s="314" t="s">
        <v>203</v>
      </c>
      <c r="EGA17" s="314" t="s">
        <v>203</v>
      </c>
      <c r="EGB17" s="314" t="s">
        <v>203</v>
      </c>
      <c r="EGC17" s="314" t="s">
        <v>203</v>
      </c>
      <c r="EGD17" s="314" t="s">
        <v>203</v>
      </c>
      <c r="EGE17" s="314" t="s">
        <v>203</v>
      </c>
      <c r="EGF17" s="314" t="s">
        <v>203</v>
      </c>
      <c r="EGG17" s="314" t="s">
        <v>203</v>
      </c>
      <c r="EGH17" s="314" t="s">
        <v>203</v>
      </c>
      <c r="EGI17" s="314" t="s">
        <v>203</v>
      </c>
      <c r="EGJ17" s="314" t="s">
        <v>203</v>
      </c>
      <c r="EGK17" s="314" t="s">
        <v>203</v>
      </c>
      <c r="EGL17" s="314" t="s">
        <v>203</v>
      </c>
      <c r="EGM17" s="314" t="s">
        <v>203</v>
      </c>
      <c r="EGN17" s="314" t="s">
        <v>203</v>
      </c>
      <c r="EGO17" s="314" t="s">
        <v>203</v>
      </c>
      <c r="EGP17" s="314" t="s">
        <v>203</v>
      </c>
      <c r="EGQ17" s="314" t="s">
        <v>203</v>
      </c>
      <c r="EGR17" s="314" t="s">
        <v>203</v>
      </c>
      <c r="EGS17" s="314" t="s">
        <v>203</v>
      </c>
      <c r="EGT17" s="314" t="s">
        <v>203</v>
      </c>
      <c r="EGU17" s="314" t="s">
        <v>203</v>
      </c>
      <c r="EGV17" s="314" t="s">
        <v>203</v>
      </c>
      <c r="EGW17" s="314" t="s">
        <v>203</v>
      </c>
      <c r="EGX17" s="314" t="s">
        <v>203</v>
      </c>
      <c r="EGY17" s="314" t="s">
        <v>203</v>
      </c>
      <c r="EGZ17" s="314" t="s">
        <v>203</v>
      </c>
      <c r="EHA17" s="314" t="s">
        <v>203</v>
      </c>
      <c r="EHB17" s="314" t="s">
        <v>203</v>
      </c>
      <c r="EHC17" s="314" t="s">
        <v>203</v>
      </c>
      <c r="EHD17" s="314" t="s">
        <v>203</v>
      </c>
      <c r="EHE17" s="314" t="s">
        <v>203</v>
      </c>
      <c r="EHF17" s="314" t="s">
        <v>203</v>
      </c>
      <c r="EHG17" s="314" t="s">
        <v>203</v>
      </c>
      <c r="EHH17" s="314" t="s">
        <v>203</v>
      </c>
      <c r="EHI17" s="314" t="s">
        <v>203</v>
      </c>
      <c r="EHJ17" s="314" t="s">
        <v>203</v>
      </c>
      <c r="EHK17" s="314" t="s">
        <v>203</v>
      </c>
      <c r="EHL17" s="314" t="s">
        <v>203</v>
      </c>
      <c r="EHM17" s="314" t="s">
        <v>203</v>
      </c>
      <c r="EHN17" s="314" t="s">
        <v>203</v>
      </c>
      <c r="EHO17" s="314" t="s">
        <v>203</v>
      </c>
      <c r="EHP17" s="314" t="s">
        <v>203</v>
      </c>
      <c r="EHQ17" s="314" t="s">
        <v>203</v>
      </c>
      <c r="EHR17" s="314" t="s">
        <v>203</v>
      </c>
      <c r="EHS17" s="314" t="s">
        <v>203</v>
      </c>
      <c r="EHT17" s="314" t="s">
        <v>203</v>
      </c>
      <c r="EHU17" s="314" t="s">
        <v>203</v>
      </c>
      <c r="EHV17" s="314" t="s">
        <v>203</v>
      </c>
      <c r="EHW17" s="314" t="s">
        <v>203</v>
      </c>
      <c r="EHX17" s="314" t="s">
        <v>203</v>
      </c>
      <c r="EHY17" s="314" t="s">
        <v>203</v>
      </c>
      <c r="EHZ17" s="314" t="s">
        <v>203</v>
      </c>
      <c r="EIA17" s="314" t="s">
        <v>203</v>
      </c>
      <c r="EIB17" s="314" t="s">
        <v>203</v>
      </c>
      <c r="EIC17" s="314" t="s">
        <v>203</v>
      </c>
      <c r="EID17" s="314" t="s">
        <v>203</v>
      </c>
      <c r="EIE17" s="314" t="s">
        <v>203</v>
      </c>
      <c r="EIF17" s="314" t="s">
        <v>203</v>
      </c>
      <c r="EIG17" s="314" t="s">
        <v>203</v>
      </c>
      <c r="EIH17" s="314" t="s">
        <v>203</v>
      </c>
      <c r="EII17" s="314" t="s">
        <v>203</v>
      </c>
      <c r="EIJ17" s="314" t="s">
        <v>203</v>
      </c>
      <c r="EIK17" s="314" t="s">
        <v>203</v>
      </c>
      <c r="EIL17" s="314" t="s">
        <v>203</v>
      </c>
      <c r="EIM17" s="314" t="s">
        <v>203</v>
      </c>
      <c r="EIN17" s="314" t="s">
        <v>203</v>
      </c>
      <c r="EIO17" s="314" t="s">
        <v>203</v>
      </c>
      <c r="EIP17" s="314" t="s">
        <v>203</v>
      </c>
      <c r="EIQ17" s="314" t="s">
        <v>203</v>
      </c>
      <c r="EIR17" s="314" t="s">
        <v>203</v>
      </c>
      <c r="EIS17" s="314" t="s">
        <v>203</v>
      </c>
      <c r="EIT17" s="314" t="s">
        <v>203</v>
      </c>
      <c r="EIU17" s="314" t="s">
        <v>203</v>
      </c>
      <c r="EIV17" s="314" t="s">
        <v>203</v>
      </c>
      <c r="EIW17" s="314" t="s">
        <v>203</v>
      </c>
      <c r="EIX17" s="314" t="s">
        <v>203</v>
      </c>
      <c r="EIY17" s="314" t="s">
        <v>203</v>
      </c>
      <c r="EIZ17" s="314" t="s">
        <v>203</v>
      </c>
      <c r="EJA17" s="314" t="s">
        <v>203</v>
      </c>
      <c r="EJB17" s="314" t="s">
        <v>203</v>
      </c>
      <c r="EJC17" s="314" t="s">
        <v>203</v>
      </c>
      <c r="EJD17" s="314" t="s">
        <v>203</v>
      </c>
      <c r="EJE17" s="314" t="s">
        <v>203</v>
      </c>
      <c r="EJF17" s="314" t="s">
        <v>203</v>
      </c>
      <c r="EJG17" s="314" t="s">
        <v>203</v>
      </c>
      <c r="EJH17" s="314" t="s">
        <v>203</v>
      </c>
      <c r="EJI17" s="314" t="s">
        <v>203</v>
      </c>
      <c r="EJJ17" s="314" t="s">
        <v>203</v>
      </c>
      <c r="EJK17" s="314" t="s">
        <v>203</v>
      </c>
      <c r="EJL17" s="314" t="s">
        <v>203</v>
      </c>
      <c r="EJM17" s="314" t="s">
        <v>203</v>
      </c>
      <c r="EJN17" s="314" t="s">
        <v>203</v>
      </c>
      <c r="EJO17" s="314" t="s">
        <v>203</v>
      </c>
      <c r="EJP17" s="314" t="s">
        <v>203</v>
      </c>
      <c r="EJQ17" s="314" t="s">
        <v>203</v>
      </c>
      <c r="EJR17" s="314" t="s">
        <v>203</v>
      </c>
      <c r="EJS17" s="314" t="s">
        <v>203</v>
      </c>
      <c r="EJT17" s="314" t="s">
        <v>203</v>
      </c>
      <c r="EJU17" s="314" t="s">
        <v>203</v>
      </c>
      <c r="EJV17" s="314" t="s">
        <v>203</v>
      </c>
      <c r="EJW17" s="314" t="s">
        <v>203</v>
      </c>
      <c r="EJX17" s="314" t="s">
        <v>203</v>
      </c>
      <c r="EJY17" s="314" t="s">
        <v>203</v>
      </c>
      <c r="EJZ17" s="314" t="s">
        <v>203</v>
      </c>
      <c r="EKA17" s="314" t="s">
        <v>203</v>
      </c>
      <c r="EKB17" s="314" t="s">
        <v>203</v>
      </c>
      <c r="EKC17" s="314" t="s">
        <v>203</v>
      </c>
      <c r="EKD17" s="314" t="s">
        <v>203</v>
      </c>
      <c r="EKE17" s="314" t="s">
        <v>203</v>
      </c>
      <c r="EKF17" s="314" t="s">
        <v>203</v>
      </c>
      <c r="EKG17" s="314" t="s">
        <v>203</v>
      </c>
      <c r="EKH17" s="314" t="s">
        <v>203</v>
      </c>
      <c r="EKI17" s="314" t="s">
        <v>203</v>
      </c>
      <c r="EKJ17" s="314" t="s">
        <v>203</v>
      </c>
      <c r="EKK17" s="314" t="s">
        <v>203</v>
      </c>
      <c r="EKL17" s="314" t="s">
        <v>203</v>
      </c>
      <c r="EKM17" s="314" t="s">
        <v>203</v>
      </c>
      <c r="EKN17" s="314" t="s">
        <v>203</v>
      </c>
      <c r="EKO17" s="314" t="s">
        <v>203</v>
      </c>
      <c r="EKP17" s="314" t="s">
        <v>203</v>
      </c>
      <c r="EKQ17" s="314" t="s">
        <v>203</v>
      </c>
      <c r="EKR17" s="314" t="s">
        <v>203</v>
      </c>
      <c r="EKS17" s="314" t="s">
        <v>203</v>
      </c>
      <c r="EKT17" s="314" t="s">
        <v>203</v>
      </c>
      <c r="EKU17" s="314" t="s">
        <v>203</v>
      </c>
      <c r="EKV17" s="314" t="s">
        <v>203</v>
      </c>
      <c r="EKW17" s="314" t="s">
        <v>203</v>
      </c>
      <c r="EKX17" s="314" t="s">
        <v>203</v>
      </c>
      <c r="EKY17" s="314" t="s">
        <v>203</v>
      </c>
      <c r="EKZ17" s="314" t="s">
        <v>203</v>
      </c>
      <c r="ELA17" s="314" t="s">
        <v>203</v>
      </c>
      <c r="ELB17" s="314" t="s">
        <v>203</v>
      </c>
      <c r="ELC17" s="314" t="s">
        <v>203</v>
      </c>
      <c r="ELD17" s="314" t="s">
        <v>203</v>
      </c>
      <c r="ELE17" s="314" t="s">
        <v>203</v>
      </c>
      <c r="ELF17" s="314" t="s">
        <v>203</v>
      </c>
      <c r="ELG17" s="314" t="s">
        <v>203</v>
      </c>
      <c r="ELH17" s="314" t="s">
        <v>203</v>
      </c>
      <c r="ELI17" s="314" t="s">
        <v>203</v>
      </c>
      <c r="ELJ17" s="314" t="s">
        <v>203</v>
      </c>
      <c r="ELK17" s="314" t="s">
        <v>203</v>
      </c>
      <c r="ELL17" s="314" t="s">
        <v>203</v>
      </c>
      <c r="ELM17" s="314" t="s">
        <v>203</v>
      </c>
      <c r="ELN17" s="314" t="s">
        <v>203</v>
      </c>
      <c r="ELO17" s="314" t="s">
        <v>203</v>
      </c>
      <c r="ELP17" s="314" t="s">
        <v>203</v>
      </c>
      <c r="ELQ17" s="314" t="s">
        <v>203</v>
      </c>
      <c r="ELR17" s="314" t="s">
        <v>203</v>
      </c>
      <c r="ELS17" s="314" t="s">
        <v>203</v>
      </c>
      <c r="ELT17" s="314" t="s">
        <v>203</v>
      </c>
      <c r="ELU17" s="314" t="s">
        <v>203</v>
      </c>
      <c r="ELV17" s="314" t="s">
        <v>203</v>
      </c>
      <c r="ELW17" s="314" t="s">
        <v>203</v>
      </c>
      <c r="ELX17" s="314" t="s">
        <v>203</v>
      </c>
      <c r="ELY17" s="314" t="s">
        <v>203</v>
      </c>
      <c r="ELZ17" s="314" t="s">
        <v>203</v>
      </c>
      <c r="EMA17" s="314" t="s">
        <v>203</v>
      </c>
      <c r="EMB17" s="314" t="s">
        <v>203</v>
      </c>
      <c r="EMC17" s="314" t="s">
        <v>203</v>
      </c>
      <c r="EMD17" s="314" t="s">
        <v>203</v>
      </c>
      <c r="EME17" s="314" t="s">
        <v>203</v>
      </c>
      <c r="EMF17" s="314" t="s">
        <v>203</v>
      </c>
      <c r="EMG17" s="314" t="s">
        <v>203</v>
      </c>
      <c r="EMH17" s="314" t="s">
        <v>203</v>
      </c>
      <c r="EMI17" s="314" t="s">
        <v>203</v>
      </c>
      <c r="EMJ17" s="314" t="s">
        <v>203</v>
      </c>
      <c r="EMK17" s="314" t="s">
        <v>203</v>
      </c>
      <c r="EML17" s="314" t="s">
        <v>203</v>
      </c>
      <c r="EMM17" s="314" t="s">
        <v>203</v>
      </c>
      <c r="EMN17" s="314" t="s">
        <v>203</v>
      </c>
      <c r="EMO17" s="314" t="s">
        <v>203</v>
      </c>
      <c r="EMP17" s="314" t="s">
        <v>203</v>
      </c>
      <c r="EMQ17" s="314" t="s">
        <v>203</v>
      </c>
      <c r="EMR17" s="314" t="s">
        <v>203</v>
      </c>
      <c r="EMS17" s="314" t="s">
        <v>203</v>
      </c>
      <c r="EMT17" s="314" t="s">
        <v>203</v>
      </c>
      <c r="EMU17" s="314" t="s">
        <v>203</v>
      </c>
      <c r="EMV17" s="314" t="s">
        <v>203</v>
      </c>
      <c r="EMW17" s="314" t="s">
        <v>203</v>
      </c>
      <c r="EMX17" s="314" t="s">
        <v>203</v>
      </c>
      <c r="EMY17" s="314" t="s">
        <v>203</v>
      </c>
      <c r="EMZ17" s="314" t="s">
        <v>203</v>
      </c>
      <c r="ENA17" s="314" t="s">
        <v>203</v>
      </c>
      <c r="ENB17" s="314" t="s">
        <v>203</v>
      </c>
      <c r="ENC17" s="314" t="s">
        <v>203</v>
      </c>
      <c r="END17" s="314" t="s">
        <v>203</v>
      </c>
      <c r="ENE17" s="314" t="s">
        <v>203</v>
      </c>
      <c r="ENF17" s="314" t="s">
        <v>203</v>
      </c>
      <c r="ENG17" s="314" t="s">
        <v>203</v>
      </c>
      <c r="ENH17" s="314" t="s">
        <v>203</v>
      </c>
      <c r="ENI17" s="314" t="s">
        <v>203</v>
      </c>
      <c r="ENJ17" s="314" t="s">
        <v>203</v>
      </c>
      <c r="ENK17" s="314" t="s">
        <v>203</v>
      </c>
      <c r="ENL17" s="314" t="s">
        <v>203</v>
      </c>
      <c r="ENM17" s="314" t="s">
        <v>203</v>
      </c>
      <c r="ENN17" s="314" t="s">
        <v>203</v>
      </c>
      <c r="ENO17" s="314" t="s">
        <v>203</v>
      </c>
      <c r="ENP17" s="314" t="s">
        <v>203</v>
      </c>
      <c r="ENQ17" s="314" t="s">
        <v>203</v>
      </c>
      <c r="ENR17" s="314" t="s">
        <v>203</v>
      </c>
      <c r="ENS17" s="314" t="s">
        <v>203</v>
      </c>
      <c r="ENT17" s="314" t="s">
        <v>203</v>
      </c>
      <c r="ENU17" s="314" t="s">
        <v>203</v>
      </c>
      <c r="ENV17" s="314" t="s">
        <v>203</v>
      </c>
      <c r="ENW17" s="314" t="s">
        <v>203</v>
      </c>
      <c r="ENX17" s="314" t="s">
        <v>203</v>
      </c>
      <c r="ENY17" s="314" t="s">
        <v>203</v>
      </c>
      <c r="ENZ17" s="314" t="s">
        <v>203</v>
      </c>
      <c r="EOA17" s="314" t="s">
        <v>203</v>
      </c>
      <c r="EOB17" s="314" t="s">
        <v>203</v>
      </c>
      <c r="EOC17" s="314" t="s">
        <v>203</v>
      </c>
      <c r="EOD17" s="314" t="s">
        <v>203</v>
      </c>
      <c r="EOE17" s="314" t="s">
        <v>203</v>
      </c>
      <c r="EOF17" s="314" t="s">
        <v>203</v>
      </c>
      <c r="EOG17" s="314" t="s">
        <v>203</v>
      </c>
      <c r="EOH17" s="314" t="s">
        <v>203</v>
      </c>
      <c r="EOI17" s="314" t="s">
        <v>203</v>
      </c>
      <c r="EOJ17" s="314" t="s">
        <v>203</v>
      </c>
      <c r="EOK17" s="314" t="s">
        <v>203</v>
      </c>
      <c r="EOL17" s="314" t="s">
        <v>203</v>
      </c>
      <c r="EOM17" s="314" t="s">
        <v>203</v>
      </c>
      <c r="EON17" s="314" t="s">
        <v>203</v>
      </c>
      <c r="EOO17" s="314" t="s">
        <v>203</v>
      </c>
      <c r="EOP17" s="314" t="s">
        <v>203</v>
      </c>
      <c r="EOQ17" s="314" t="s">
        <v>203</v>
      </c>
      <c r="EOR17" s="314" t="s">
        <v>203</v>
      </c>
      <c r="EOS17" s="314" t="s">
        <v>203</v>
      </c>
      <c r="EOT17" s="314" t="s">
        <v>203</v>
      </c>
      <c r="EOU17" s="314" t="s">
        <v>203</v>
      </c>
      <c r="EOV17" s="314" t="s">
        <v>203</v>
      </c>
      <c r="EOW17" s="314" t="s">
        <v>203</v>
      </c>
      <c r="EOX17" s="314" t="s">
        <v>203</v>
      </c>
      <c r="EOY17" s="314" t="s">
        <v>203</v>
      </c>
      <c r="EOZ17" s="314" t="s">
        <v>203</v>
      </c>
      <c r="EPA17" s="314" t="s">
        <v>203</v>
      </c>
      <c r="EPB17" s="314" t="s">
        <v>203</v>
      </c>
      <c r="EPC17" s="314" t="s">
        <v>203</v>
      </c>
      <c r="EPD17" s="314" t="s">
        <v>203</v>
      </c>
      <c r="EPE17" s="314" t="s">
        <v>203</v>
      </c>
      <c r="EPF17" s="314" t="s">
        <v>203</v>
      </c>
      <c r="EPG17" s="314" t="s">
        <v>203</v>
      </c>
      <c r="EPH17" s="314" t="s">
        <v>203</v>
      </c>
      <c r="EPI17" s="314" t="s">
        <v>203</v>
      </c>
      <c r="EPJ17" s="314" t="s">
        <v>203</v>
      </c>
      <c r="EPK17" s="314" t="s">
        <v>203</v>
      </c>
      <c r="EPL17" s="314" t="s">
        <v>203</v>
      </c>
      <c r="EPM17" s="314" t="s">
        <v>203</v>
      </c>
      <c r="EPN17" s="314" t="s">
        <v>203</v>
      </c>
      <c r="EPO17" s="314" t="s">
        <v>203</v>
      </c>
      <c r="EPP17" s="314" t="s">
        <v>203</v>
      </c>
      <c r="EPQ17" s="314" t="s">
        <v>203</v>
      </c>
      <c r="EPR17" s="314" t="s">
        <v>203</v>
      </c>
      <c r="EPS17" s="314" t="s">
        <v>203</v>
      </c>
      <c r="EPT17" s="314" t="s">
        <v>203</v>
      </c>
      <c r="EPU17" s="314" t="s">
        <v>203</v>
      </c>
      <c r="EPV17" s="314" t="s">
        <v>203</v>
      </c>
      <c r="EPW17" s="314" t="s">
        <v>203</v>
      </c>
      <c r="EPX17" s="314" t="s">
        <v>203</v>
      </c>
      <c r="EPY17" s="314" t="s">
        <v>203</v>
      </c>
      <c r="EPZ17" s="314" t="s">
        <v>203</v>
      </c>
      <c r="EQA17" s="314" t="s">
        <v>203</v>
      </c>
      <c r="EQB17" s="314" t="s">
        <v>203</v>
      </c>
      <c r="EQC17" s="314" t="s">
        <v>203</v>
      </c>
      <c r="EQD17" s="314" t="s">
        <v>203</v>
      </c>
      <c r="EQE17" s="314" t="s">
        <v>203</v>
      </c>
      <c r="EQF17" s="314" t="s">
        <v>203</v>
      </c>
      <c r="EQG17" s="314" t="s">
        <v>203</v>
      </c>
      <c r="EQH17" s="314" t="s">
        <v>203</v>
      </c>
      <c r="EQI17" s="314" t="s">
        <v>203</v>
      </c>
      <c r="EQJ17" s="314" t="s">
        <v>203</v>
      </c>
      <c r="EQK17" s="314" t="s">
        <v>203</v>
      </c>
      <c r="EQL17" s="314" t="s">
        <v>203</v>
      </c>
      <c r="EQM17" s="314" t="s">
        <v>203</v>
      </c>
      <c r="EQN17" s="314" t="s">
        <v>203</v>
      </c>
      <c r="EQO17" s="314" t="s">
        <v>203</v>
      </c>
      <c r="EQP17" s="314" t="s">
        <v>203</v>
      </c>
      <c r="EQQ17" s="314" t="s">
        <v>203</v>
      </c>
      <c r="EQR17" s="314" t="s">
        <v>203</v>
      </c>
      <c r="EQS17" s="314" t="s">
        <v>203</v>
      </c>
      <c r="EQT17" s="314" t="s">
        <v>203</v>
      </c>
      <c r="EQU17" s="314" t="s">
        <v>203</v>
      </c>
      <c r="EQV17" s="314" t="s">
        <v>203</v>
      </c>
      <c r="EQW17" s="314" t="s">
        <v>203</v>
      </c>
      <c r="EQX17" s="314" t="s">
        <v>203</v>
      </c>
      <c r="EQY17" s="314" t="s">
        <v>203</v>
      </c>
      <c r="EQZ17" s="314" t="s">
        <v>203</v>
      </c>
      <c r="ERA17" s="314" t="s">
        <v>203</v>
      </c>
      <c r="ERB17" s="314" t="s">
        <v>203</v>
      </c>
      <c r="ERC17" s="314" t="s">
        <v>203</v>
      </c>
      <c r="ERD17" s="314" t="s">
        <v>203</v>
      </c>
      <c r="ERE17" s="314" t="s">
        <v>203</v>
      </c>
      <c r="ERF17" s="314" t="s">
        <v>203</v>
      </c>
      <c r="ERG17" s="314" t="s">
        <v>203</v>
      </c>
      <c r="ERH17" s="314" t="s">
        <v>203</v>
      </c>
      <c r="ERI17" s="314" t="s">
        <v>203</v>
      </c>
      <c r="ERJ17" s="314" t="s">
        <v>203</v>
      </c>
      <c r="ERK17" s="314" t="s">
        <v>203</v>
      </c>
      <c r="ERL17" s="314" t="s">
        <v>203</v>
      </c>
      <c r="ERM17" s="314" t="s">
        <v>203</v>
      </c>
      <c r="ERN17" s="314" t="s">
        <v>203</v>
      </c>
      <c r="ERO17" s="314" t="s">
        <v>203</v>
      </c>
      <c r="ERP17" s="314" t="s">
        <v>203</v>
      </c>
      <c r="ERQ17" s="314" t="s">
        <v>203</v>
      </c>
      <c r="ERR17" s="314" t="s">
        <v>203</v>
      </c>
      <c r="ERS17" s="314" t="s">
        <v>203</v>
      </c>
      <c r="ERT17" s="314" t="s">
        <v>203</v>
      </c>
      <c r="ERU17" s="314" t="s">
        <v>203</v>
      </c>
      <c r="ERV17" s="314" t="s">
        <v>203</v>
      </c>
      <c r="ERW17" s="314" t="s">
        <v>203</v>
      </c>
      <c r="ERX17" s="314" t="s">
        <v>203</v>
      </c>
      <c r="ERY17" s="314" t="s">
        <v>203</v>
      </c>
      <c r="ERZ17" s="314" t="s">
        <v>203</v>
      </c>
      <c r="ESA17" s="314" t="s">
        <v>203</v>
      </c>
      <c r="ESB17" s="314" t="s">
        <v>203</v>
      </c>
      <c r="ESC17" s="314" t="s">
        <v>203</v>
      </c>
      <c r="ESD17" s="314" t="s">
        <v>203</v>
      </c>
      <c r="ESE17" s="314" t="s">
        <v>203</v>
      </c>
      <c r="ESF17" s="314" t="s">
        <v>203</v>
      </c>
      <c r="ESG17" s="314" t="s">
        <v>203</v>
      </c>
      <c r="ESH17" s="314" t="s">
        <v>203</v>
      </c>
      <c r="ESI17" s="314" t="s">
        <v>203</v>
      </c>
      <c r="ESJ17" s="314" t="s">
        <v>203</v>
      </c>
      <c r="ESK17" s="314" t="s">
        <v>203</v>
      </c>
      <c r="ESL17" s="314" t="s">
        <v>203</v>
      </c>
      <c r="ESM17" s="314" t="s">
        <v>203</v>
      </c>
      <c r="ESN17" s="314" t="s">
        <v>203</v>
      </c>
      <c r="ESO17" s="314" t="s">
        <v>203</v>
      </c>
      <c r="ESP17" s="314" t="s">
        <v>203</v>
      </c>
      <c r="ESQ17" s="314" t="s">
        <v>203</v>
      </c>
      <c r="ESR17" s="314" t="s">
        <v>203</v>
      </c>
      <c r="ESS17" s="314" t="s">
        <v>203</v>
      </c>
      <c r="EST17" s="314" t="s">
        <v>203</v>
      </c>
      <c r="ESU17" s="314" t="s">
        <v>203</v>
      </c>
      <c r="ESV17" s="314" t="s">
        <v>203</v>
      </c>
      <c r="ESW17" s="314" t="s">
        <v>203</v>
      </c>
      <c r="ESX17" s="314" t="s">
        <v>203</v>
      </c>
      <c r="ESY17" s="314" t="s">
        <v>203</v>
      </c>
      <c r="ESZ17" s="314" t="s">
        <v>203</v>
      </c>
      <c r="ETA17" s="314" t="s">
        <v>203</v>
      </c>
      <c r="ETB17" s="314" t="s">
        <v>203</v>
      </c>
      <c r="ETC17" s="314" t="s">
        <v>203</v>
      </c>
      <c r="ETD17" s="314" t="s">
        <v>203</v>
      </c>
      <c r="ETE17" s="314" t="s">
        <v>203</v>
      </c>
      <c r="ETF17" s="314" t="s">
        <v>203</v>
      </c>
      <c r="ETG17" s="314" t="s">
        <v>203</v>
      </c>
      <c r="ETH17" s="314" t="s">
        <v>203</v>
      </c>
      <c r="ETI17" s="314" t="s">
        <v>203</v>
      </c>
      <c r="ETJ17" s="314" t="s">
        <v>203</v>
      </c>
      <c r="ETK17" s="314" t="s">
        <v>203</v>
      </c>
      <c r="ETL17" s="314" t="s">
        <v>203</v>
      </c>
      <c r="ETM17" s="314" t="s">
        <v>203</v>
      </c>
      <c r="ETN17" s="314" t="s">
        <v>203</v>
      </c>
      <c r="ETO17" s="314" t="s">
        <v>203</v>
      </c>
      <c r="ETP17" s="314" t="s">
        <v>203</v>
      </c>
      <c r="ETQ17" s="314" t="s">
        <v>203</v>
      </c>
      <c r="ETR17" s="314" t="s">
        <v>203</v>
      </c>
      <c r="ETS17" s="314" t="s">
        <v>203</v>
      </c>
      <c r="ETT17" s="314" t="s">
        <v>203</v>
      </c>
      <c r="ETU17" s="314" t="s">
        <v>203</v>
      </c>
      <c r="ETV17" s="314" t="s">
        <v>203</v>
      </c>
      <c r="ETW17" s="314" t="s">
        <v>203</v>
      </c>
      <c r="ETX17" s="314" t="s">
        <v>203</v>
      </c>
      <c r="ETY17" s="314" t="s">
        <v>203</v>
      </c>
      <c r="ETZ17" s="314" t="s">
        <v>203</v>
      </c>
      <c r="EUA17" s="314" t="s">
        <v>203</v>
      </c>
      <c r="EUB17" s="314" t="s">
        <v>203</v>
      </c>
      <c r="EUC17" s="314" t="s">
        <v>203</v>
      </c>
      <c r="EUD17" s="314" t="s">
        <v>203</v>
      </c>
      <c r="EUE17" s="314" t="s">
        <v>203</v>
      </c>
      <c r="EUF17" s="314" t="s">
        <v>203</v>
      </c>
      <c r="EUG17" s="314" t="s">
        <v>203</v>
      </c>
      <c r="EUH17" s="314" t="s">
        <v>203</v>
      </c>
      <c r="EUI17" s="314" t="s">
        <v>203</v>
      </c>
      <c r="EUJ17" s="314" t="s">
        <v>203</v>
      </c>
      <c r="EUK17" s="314" t="s">
        <v>203</v>
      </c>
      <c r="EUL17" s="314" t="s">
        <v>203</v>
      </c>
      <c r="EUM17" s="314" t="s">
        <v>203</v>
      </c>
      <c r="EUN17" s="314" t="s">
        <v>203</v>
      </c>
      <c r="EUO17" s="314" t="s">
        <v>203</v>
      </c>
      <c r="EUP17" s="314" t="s">
        <v>203</v>
      </c>
      <c r="EUQ17" s="314" t="s">
        <v>203</v>
      </c>
      <c r="EUR17" s="314" t="s">
        <v>203</v>
      </c>
      <c r="EUS17" s="314" t="s">
        <v>203</v>
      </c>
      <c r="EUT17" s="314" t="s">
        <v>203</v>
      </c>
      <c r="EUU17" s="314" t="s">
        <v>203</v>
      </c>
      <c r="EUV17" s="314" t="s">
        <v>203</v>
      </c>
      <c r="EUW17" s="314" t="s">
        <v>203</v>
      </c>
      <c r="EUX17" s="314" t="s">
        <v>203</v>
      </c>
      <c r="EUY17" s="314" t="s">
        <v>203</v>
      </c>
      <c r="EUZ17" s="314" t="s">
        <v>203</v>
      </c>
      <c r="EVA17" s="314" t="s">
        <v>203</v>
      </c>
      <c r="EVB17" s="314" t="s">
        <v>203</v>
      </c>
      <c r="EVC17" s="314" t="s">
        <v>203</v>
      </c>
      <c r="EVD17" s="314" t="s">
        <v>203</v>
      </c>
      <c r="EVE17" s="314" t="s">
        <v>203</v>
      </c>
      <c r="EVF17" s="314" t="s">
        <v>203</v>
      </c>
      <c r="EVG17" s="314" t="s">
        <v>203</v>
      </c>
      <c r="EVH17" s="314" t="s">
        <v>203</v>
      </c>
      <c r="EVI17" s="314" t="s">
        <v>203</v>
      </c>
      <c r="EVJ17" s="314" t="s">
        <v>203</v>
      </c>
      <c r="EVK17" s="314" t="s">
        <v>203</v>
      </c>
      <c r="EVL17" s="314" t="s">
        <v>203</v>
      </c>
      <c r="EVM17" s="314" t="s">
        <v>203</v>
      </c>
      <c r="EVN17" s="314" t="s">
        <v>203</v>
      </c>
      <c r="EVO17" s="314" t="s">
        <v>203</v>
      </c>
      <c r="EVP17" s="314" t="s">
        <v>203</v>
      </c>
      <c r="EVQ17" s="314" t="s">
        <v>203</v>
      </c>
      <c r="EVR17" s="314" t="s">
        <v>203</v>
      </c>
      <c r="EVS17" s="314" t="s">
        <v>203</v>
      </c>
      <c r="EVT17" s="314" t="s">
        <v>203</v>
      </c>
      <c r="EVU17" s="314" t="s">
        <v>203</v>
      </c>
      <c r="EVV17" s="314" t="s">
        <v>203</v>
      </c>
      <c r="EVW17" s="314" t="s">
        <v>203</v>
      </c>
      <c r="EVX17" s="314" t="s">
        <v>203</v>
      </c>
      <c r="EVY17" s="314" t="s">
        <v>203</v>
      </c>
      <c r="EVZ17" s="314" t="s">
        <v>203</v>
      </c>
      <c r="EWA17" s="314" t="s">
        <v>203</v>
      </c>
      <c r="EWB17" s="314" t="s">
        <v>203</v>
      </c>
      <c r="EWC17" s="314" t="s">
        <v>203</v>
      </c>
      <c r="EWD17" s="314" t="s">
        <v>203</v>
      </c>
      <c r="EWE17" s="314" t="s">
        <v>203</v>
      </c>
      <c r="EWF17" s="314" t="s">
        <v>203</v>
      </c>
      <c r="EWG17" s="314" t="s">
        <v>203</v>
      </c>
      <c r="EWH17" s="314" t="s">
        <v>203</v>
      </c>
      <c r="EWI17" s="314" t="s">
        <v>203</v>
      </c>
      <c r="EWJ17" s="314" t="s">
        <v>203</v>
      </c>
      <c r="EWK17" s="314" t="s">
        <v>203</v>
      </c>
      <c r="EWL17" s="314" t="s">
        <v>203</v>
      </c>
      <c r="EWM17" s="314" t="s">
        <v>203</v>
      </c>
      <c r="EWN17" s="314" t="s">
        <v>203</v>
      </c>
      <c r="EWO17" s="314" t="s">
        <v>203</v>
      </c>
      <c r="EWP17" s="314" t="s">
        <v>203</v>
      </c>
      <c r="EWQ17" s="314" t="s">
        <v>203</v>
      </c>
      <c r="EWR17" s="314" t="s">
        <v>203</v>
      </c>
      <c r="EWS17" s="314" t="s">
        <v>203</v>
      </c>
      <c r="EWT17" s="314" t="s">
        <v>203</v>
      </c>
      <c r="EWU17" s="314" t="s">
        <v>203</v>
      </c>
      <c r="EWV17" s="314" t="s">
        <v>203</v>
      </c>
      <c r="EWW17" s="314" t="s">
        <v>203</v>
      </c>
      <c r="EWX17" s="314" t="s">
        <v>203</v>
      </c>
      <c r="EWY17" s="314" t="s">
        <v>203</v>
      </c>
      <c r="EWZ17" s="314" t="s">
        <v>203</v>
      </c>
      <c r="EXA17" s="314" t="s">
        <v>203</v>
      </c>
      <c r="EXB17" s="314" t="s">
        <v>203</v>
      </c>
      <c r="EXC17" s="314" t="s">
        <v>203</v>
      </c>
      <c r="EXD17" s="314" t="s">
        <v>203</v>
      </c>
      <c r="EXE17" s="314" t="s">
        <v>203</v>
      </c>
      <c r="EXF17" s="314" t="s">
        <v>203</v>
      </c>
      <c r="EXG17" s="314" t="s">
        <v>203</v>
      </c>
      <c r="EXH17" s="314" t="s">
        <v>203</v>
      </c>
      <c r="EXI17" s="314" t="s">
        <v>203</v>
      </c>
      <c r="EXJ17" s="314" t="s">
        <v>203</v>
      </c>
      <c r="EXK17" s="314" t="s">
        <v>203</v>
      </c>
      <c r="EXL17" s="314" t="s">
        <v>203</v>
      </c>
      <c r="EXM17" s="314" t="s">
        <v>203</v>
      </c>
      <c r="EXN17" s="314" t="s">
        <v>203</v>
      </c>
      <c r="EXO17" s="314" t="s">
        <v>203</v>
      </c>
      <c r="EXP17" s="314" t="s">
        <v>203</v>
      </c>
      <c r="EXQ17" s="314" t="s">
        <v>203</v>
      </c>
      <c r="EXR17" s="314" t="s">
        <v>203</v>
      </c>
      <c r="EXS17" s="314" t="s">
        <v>203</v>
      </c>
      <c r="EXT17" s="314" t="s">
        <v>203</v>
      </c>
      <c r="EXU17" s="314" t="s">
        <v>203</v>
      </c>
      <c r="EXV17" s="314" t="s">
        <v>203</v>
      </c>
      <c r="EXW17" s="314" t="s">
        <v>203</v>
      </c>
      <c r="EXX17" s="314" t="s">
        <v>203</v>
      </c>
      <c r="EXY17" s="314" t="s">
        <v>203</v>
      </c>
      <c r="EXZ17" s="314" t="s">
        <v>203</v>
      </c>
      <c r="EYA17" s="314" t="s">
        <v>203</v>
      </c>
      <c r="EYB17" s="314" t="s">
        <v>203</v>
      </c>
      <c r="EYC17" s="314" t="s">
        <v>203</v>
      </c>
      <c r="EYD17" s="314" t="s">
        <v>203</v>
      </c>
      <c r="EYE17" s="314" t="s">
        <v>203</v>
      </c>
      <c r="EYF17" s="314" t="s">
        <v>203</v>
      </c>
      <c r="EYG17" s="314" t="s">
        <v>203</v>
      </c>
      <c r="EYH17" s="314" t="s">
        <v>203</v>
      </c>
      <c r="EYI17" s="314" t="s">
        <v>203</v>
      </c>
      <c r="EYJ17" s="314" t="s">
        <v>203</v>
      </c>
      <c r="EYK17" s="314" t="s">
        <v>203</v>
      </c>
      <c r="EYL17" s="314" t="s">
        <v>203</v>
      </c>
      <c r="EYM17" s="314" t="s">
        <v>203</v>
      </c>
      <c r="EYN17" s="314" t="s">
        <v>203</v>
      </c>
      <c r="EYO17" s="314" t="s">
        <v>203</v>
      </c>
      <c r="EYP17" s="314" t="s">
        <v>203</v>
      </c>
      <c r="EYQ17" s="314" t="s">
        <v>203</v>
      </c>
      <c r="EYR17" s="314" t="s">
        <v>203</v>
      </c>
      <c r="EYS17" s="314" t="s">
        <v>203</v>
      </c>
      <c r="EYT17" s="314" t="s">
        <v>203</v>
      </c>
      <c r="EYU17" s="314" t="s">
        <v>203</v>
      </c>
      <c r="EYV17" s="314" t="s">
        <v>203</v>
      </c>
      <c r="EYW17" s="314" t="s">
        <v>203</v>
      </c>
      <c r="EYX17" s="314" t="s">
        <v>203</v>
      </c>
      <c r="EYY17" s="314" t="s">
        <v>203</v>
      </c>
      <c r="EYZ17" s="314" t="s">
        <v>203</v>
      </c>
      <c r="EZA17" s="314" t="s">
        <v>203</v>
      </c>
      <c r="EZB17" s="314" t="s">
        <v>203</v>
      </c>
      <c r="EZC17" s="314" t="s">
        <v>203</v>
      </c>
      <c r="EZD17" s="314" t="s">
        <v>203</v>
      </c>
      <c r="EZE17" s="314" t="s">
        <v>203</v>
      </c>
      <c r="EZF17" s="314" t="s">
        <v>203</v>
      </c>
      <c r="EZG17" s="314" t="s">
        <v>203</v>
      </c>
      <c r="EZH17" s="314" t="s">
        <v>203</v>
      </c>
      <c r="EZI17" s="314" t="s">
        <v>203</v>
      </c>
      <c r="EZJ17" s="314" t="s">
        <v>203</v>
      </c>
      <c r="EZK17" s="314" t="s">
        <v>203</v>
      </c>
      <c r="EZL17" s="314" t="s">
        <v>203</v>
      </c>
      <c r="EZM17" s="314" t="s">
        <v>203</v>
      </c>
      <c r="EZN17" s="314" t="s">
        <v>203</v>
      </c>
      <c r="EZO17" s="314" t="s">
        <v>203</v>
      </c>
      <c r="EZP17" s="314" t="s">
        <v>203</v>
      </c>
      <c r="EZQ17" s="314" t="s">
        <v>203</v>
      </c>
      <c r="EZR17" s="314" t="s">
        <v>203</v>
      </c>
      <c r="EZS17" s="314" t="s">
        <v>203</v>
      </c>
      <c r="EZT17" s="314" t="s">
        <v>203</v>
      </c>
      <c r="EZU17" s="314" t="s">
        <v>203</v>
      </c>
      <c r="EZV17" s="314" t="s">
        <v>203</v>
      </c>
      <c r="EZW17" s="314" t="s">
        <v>203</v>
      </c>
      <c r="EZX17" s="314" t="s">
        <v>203</v>
      </c>
      <c r="EZY17" s="314" t="s">
        <v>203</v>
      </c>
      <c r="EZZ17" s="314" t="s">
        <v>203</v>
      </c>
      <c r="FAA17" s="314" t="s">
        <v>203</v>
      </c>
      <c r="FAB17" s="314" t="s">
        <v>203</v>
      </c>
      <c r="FAC17" s="314" t="s">
        <v>203</v>
      </c>
      <c r="FAD17" s="314" t="s">
        <v>203</v>
      </c>
      <c r="FAE17" s="314" t="s">
        <v>203</v>
      </c>
      <c r="FAF17" s="314" t="s">
        <v>203</v>
      </c>
      <c r="FAG17" s="314" t="s">
        <v>203</v>
      </c>
      <c r="FAH17" s="314" t="s">
        <v>203</v>
      </c>
      <c r="FAI17" s="314" t="s">
        <v>203</v>
      </c>
      <c r="FAJ17" s="314" t="s">
        <v>203</v>
      </c>
      <c r="FAK17" s="314" t="s">
        <v>203</v>
      </c>
      <c r="FAL17" s="314" t="s">
        <v>203</v>
      </c>
      <c r="FAM17" s="314" t="s">
        <v>203</v>
      </c>
      <c r="FAN17" s="314" t="s">
        <v>203</v>
      </c>
      <c r="FAO17" s="314" t="s">
        <v>203</v>
      </c>
      <c r="FAP17" s="314" t="s">
        <v>203</v>
      </c>
      <c r="FAQ17" s="314" t="s">
        <v>203</v>
      </c>
      <c r="FAR17" s="314" t="s">
        <v>203</v>
      </c>
      <c r="FAS17" s="314" t="s">
        <v>203</v>
      </c>
      <c r="FAT17" s="314" t="s">
        <v>203</v>
      </c>
      <c r="FAU17" s="314" t="s">
        <v>203</v>
      </c>
      <c r="FAV17" s="314" t="s">
        <v>203</v>
      </c>
      <c r="FAW17" s="314" t="s">
        <v>203</v>
      </c>
      <c r="FAX17" s="314" t="s">
        <v>203</v>
      </c>
      <c r="FAY17" s="314" t="s">
        <v>203</v>
      </c>
      <c r="FAZ17" s="314" t="s">
        <v>203</v>
      </c>
      <c r="FBA17" s="314" t="s">
        <v>203</v>
      </c>
      <c r="FBB17" s="314" t="s">
        <v>203</v>
      </c>
      <c r="FBC17" s="314" t="s">
        <v>203</v>
      </c>
      <c r="FBD17" s="314" t="s">
        <v>203</v>
      </c>
      <c r="FBE17" s="314" t="s">
        <v>203</v>
      </c>
      <c r="FBF17" s="314" t="s">
        <v>203</v>
      </c>
      <c r="FBG17" s="314" t="s">
        <v>203</v>
      </c>
      <c r="FBH17" s="314" t="s">
        <v>203</v>
      </c>
      <c r="FBI17" s="314" t="s">
        <v>203</v>
      </c>
      <c r="FBJ17" s="314" t="s">
        <v>203</v>
      </c>
      <c r="FBK17" s="314" t="s">
        <v>203</v>
      </c>
      <c r="FBL17" s="314" t="s">
        <v>203</v>
      </c>
      <c r="FBM17" s="314" t="s">
        <v>203</v>
      </c>
      <c r="FBN17" s="314" t="s">
        <v>203</v>
      </c>
      <c r="FBO17" s="314" t="s">
        <v>203</v>
      </c>
      <c r="FBP17" s="314" t="s">
        <v>203</v>
      </c>
      <c r="FBQ17" s="314" t="s">
        <v>203</v>
      </c>
      <c r="FBR17" s="314" t="s">
        <v>203</v>
      </c>
      <c r="FBS17" s="314" t="s">
        <v>203</v>
      </c>
      <c r="FBT17" s="314" t="s">
        <v>203</v>
      </c>
      <c r="FBU17" s="314" t="s">
        <v>203</v>
      </c>
      <c r="FBV17" s="314" t="s">
        <v>203</v>
      </c>
      <c r="FBW17" s="314" t="s">
        <v>203</v>
      </c>
      <c r="FBX17" s="314" t="s">
        <v>203</v>
      </c>
      <c r="FBY17" s="314" t="s">
        <v>203</v>
      </c>
      <c r="FBZ17" s="314" t="s">
        <v>203</v>
      </c>
      <c r="FCA17" s="314" t="s">
        <v>203</v>
      </c>
      <c r="FCB17" s="314" t="s">
        <v>203</v>
      </c>
      <c r="FCC17" s="314" t="s">
        <v>203</v>
      </c>
      <c r="FCD17" s="314" t="s">
        <v>203</v>
      </c>
      <c r="FCE17" s="314" t="s">
        <v>203</v>
      </c>
      <c r="FCF17" s="314" t="s">
        <v>203</v>
      </c>
      <c r="FCG17" s="314" t="s">
        <v>203</v>
      </c>
      <c r="FCH17" s="314" t="s">
        <v>203</v>
      </c>
      <c r="FCI17" s="314" t="s">
        <v>203</v>
      </c>
      <c r="FCJ17" s="314" t="s">
        <v>203</v>
      </c>
      <c r="FCK17" s="314" t="s">
        <v>203</v>
      </c>
      <c r="FCL17" s="314" t="s">
        <v>203</v>
      </c>
      <c r="FCM17" s="314" t="s">
        <v>203</v>
      </c>
      <c r="FCN17" s="314" t="s">
        <v>203</v>
      </c>
      <c r="FCO17" s="314" t="s">
        <v>203</v>
      </c>
      <c r="FCP17" s="314" t="s">
        <v>203</v>
      </c>
      <c r="FCQ17" s="314" t="s">
        <v>203</v>
      </c>
      <c r="FCR17" s="314" t="s">
        <v>203</v>
      </c>
      <c r="FCS17" s="314" t="s">
        <v>203</v>
      </c>
      <c r="FCT17" s="314" t="s">
        <v>203</v>
      </c>
      <c r="FCU17" s="314" t="s">
        <v>203</v>
      </c>
      <c r="FCV17" s="314" t="s">
        <v>203</v>
      </c>
      <c r="FCW17" s="314" t="s">
        <v>203</v>
      </c>
      <c r="FCX17" s="314" t="s">
        <v>203</v>
      </c>
      <c r="FCY17" s="314" t="s">
        <v>203</v>
      </c>
      <c r="FCZ17" s="314" t="s">
        <v>203</v>
      </c>
      <c r="FDA17" s="314" t="s">
        <v>203</v>
      </c>
      <c r="FDB17" s="314" t="s">
        <v>203</v>
      </c>
      <c r="FDC17" s="314" t="s">
        <v>203</v>
      </c>
      <c r="FDD17" s="314" t="s">
        <v>203</v>
      </c>
      <c r="FDE17" s="314" t="s">
        <v>203</v>
      </c>
      <c r="FDF17" s="314" t="s">
        <v>203</v>
      </c>
      <c r="FDG17" s="314" t="s">
        <v>203</v>
      </c>
      <c r="FDH17" s="314" t="s">
        <v>203</v>
      </c>
      <c r="FDI17" s="314" t="s">
        <v>203</v>
      </c>
      <c r="FDJ17" s="314" t="s">
        <v>203</v>
      </c>
      <c r="FDK17" s="314" t="s">
        <v>203</v>
      </c>
      <c r="FDL17" s="314" t="s">
        <v>203</v>
      </c>
      <c r="FDM17" s="314" t="s">
        <v>203</v>
      </c>
      <c r="FDN17" s="314" t="s">
        <v>203</v>
      </c>
      <c r="FDO17" s="314" t="s">
        <v>203</v>
      </c>
      <c r="FDP17" s="314" t="s">
        <v>203</v>
      </c>
      <c r="FDQ17" s="314" t="s">
        <v>203</v>
      </c>
      <c r="FDR17" s="314" t="s">
        <v>203</v>
      </c>
      <c r="FDS17" s="314" t="s">
        <v>203</v>
      </c>
      <c r="FDT17" s="314" t="s">
        <v>203</v>
      </c>
      <c r="FDU17" s="314" t="s">
        <v>203</v>
      </c>
      <c r="FDV17" s="314" t="s">
        <v>203</v>
      </c>
      <c r="FDW17" s="314" t="s">
        <v>203</v>
      </c>
      <c r="FDX17" s="314" t="s">
        <v>203</v>
      </c>
      <c r="FDY17" s="314" t="s">
        <v>203</v>
      </c>
      <c r="FDZ17" s="314" t="s">
        <v>203</v>
      </c>
      <c r="FEA17" s="314" t="s">
        <v>203</v>
      </c>
      <c r="FEB17" s="314" t="s">
        <v>203</v>
      </c>
      <c r="FEC17" s="314" t="s">
        <v>203</v>
      </c>
      <c r="FED17" s="314" t="s">
        <v>203</v>
      </c>
      <c r="FEE17" s="314" t="s">
        <v>203</v>
      </c>
      <c r="FEF17" s="314" t="s">
        <v>203</v>
      </c>
      <c r="FEG17" s="314" t="s">
        <v>203</v>
      </c>
      <c r="FEH17" s="314" t="s">
        <v>203</v>
      </c>
      <c r="FEI17" s="314" t="s">
        <v>203</v>
      </c>
      <c r="FEJ17" s="314" t="s">
        <v>203</v>
      </c>
      <c r="FEK17" s="314" t="s">
        <v>203</v>
      </c>
      <c r="FEL17" s="314" t="s">
        <v>203</v>
      </c>
      <c r="FEM17" s="314" t="s">
        <v>203</v>
      </c>
      <c r="FEN17" s="314" t="s">
        <v>203</v>
      </c>
      <c r="FEO17" s="314" t="s">
        <v>203</v>
      </c>
      <c r="FEP17" s="314" t="s">
        <v>203</v>
      </c>
      <c r="FEQ17" s="314" t="s">
        <v>203</v>
      </c>
      <c r="FER17" s="314" t="s">
        <v>203</v>
      </c>
      <c r="FES17" s="314" t="s">
        <v>203</v>
      </c>
      <c r="FET17" s="314" t="s">
        <v>203</v>
      </c>
      <c r="FEU17" s="314" t="s">
        <v>203</v>
      </c>
      <c r="FEV17" s="314" t="s">
        <v>203</v>
      </c>
      <c r="FEW17" s="314" t="s">
        <v>203</v>
      </c>
      <c r="FEX17" s="314" t="s">
        <v>203</v>
      </c>
      <c r="FEY17" s="314" t="s">
        <v>203</v>
      </c>
      <c r="FEZ17" s="314" t="s">
        <v>203</v>
      </c>
      <c r="FFA17" s="314" t="s">
        <v>203</v>
      </c>
      <c r="FFB17" s="314" t="s">
        <v>203</v>
      </c>
      <c r="FFC17" s="314" t="s">
        <v>203</v>
      </c>
      <c r="FFD17" s="314" t="s">
        <v>203</v>
      </c>
      <c r="FFE17" s="314" t="s">
        <v>203</v>
      </c>
      <c r="FFF17" s="314" t="s">
        <v>203</v>
      </c>
      <c r="FFG17" s="314" t="s">
        <v>203</v>
      </c>
      <c r="FFH17" s="314" t="s">
        <v>203</v>
      </c>
      <c r="FFI17" s="314" t="s">
        <v>203</v>
      </c>
      <c r="FFJ17" s="314" t="s">
        <v>203</v>
      </c>
      <c r="FFK17" s="314" t="s">
        <v>203</v>
      </c>
      <c r="FFL17" s="314" t="s">
        <v>203</v>
      </c>
      <c r="FFM17" s="314" t="s">
        <v>203</v>
      </c>
      <c r="FFN17" s="314" t="s">
        <v>203</v>
      </c>
      <c r="FFO17" s="314" t="s">
        <v>203</v>
      </c>
      <c r="FFP17" s="314" t="s">
        <v>203</v>
      </c>
      <c r="FFQ17" s="314" t="s">
        <v>203</v>
      </c>
      <c r="FFR17" s="314" t="s">
        <v>203</v>
      </c>
      <c r="FFS17" s="314" t="s">
        <v>203</v>
      </c>
      <c r="FFT17" s="314" t="s">
        <v>203</v>
      </c>
      <c r="FFU17" s="314" t="s">
        <v>203</v>
      </c>
      <c r="FFV17" s="314" t="s">
        <v>203</v>
      </c>
      <c r="FFW17" s="314" t="s">
        <v>203</v>
      </c>
      <c r="FFX17" s="314" t="s">
        <v>203</v>
      </c>
      <c r="FFY17" s="314" t="s">
        <v>203</v>
      </c>
      <c r="FFZ17" s="314" t="s">
        <v>203</v>
      </c>
      <c r="FGA17" s="314" t="s">
        <v>203</v>
      </c>
      <c r="FGB17" s="314" t="s">
        <v>203</v>
      </c>
      <c r="FGC17" s="314" t="s">
        <v>203</v>
      </c>
      <c r="FGD17" s="314" t="s">
        <v>203</v>
      </c>
      <c r="FGE17" s="314" t="s">
        <v>203</v>
      </c>
      <c r="FGF17" s="314" t="s">
        <v>203</v>
      </c>
      <c r="FGG17" s="314" t="s">
        <v>203</v>
      </c>
      <c r="FGH17" s="314" t="s">
        <v>203</v>
      </c>
      <c r="FGI17" s="314" t="s">
        <v>203</v>
      </c>
      <c r="FGJ17" s="314" t="s">
        <v>203</v>
      </c>
      <c r="FGK17" s="314" t="s">
        <v>203</v>
      </c>
      <c r="FGL17" s="314" t="s">
        <v>203</v>
      </c>
      <c r="FGM17" s="314" t="s">
        <v>203</v>
      </c>
      <c r="FGN17" s="314" t="s">
        <v>203</v>
      </c>
      <c r="FGO17" s="314" t="s">
        <v>203</v>
      </c>
      <c r="FGP17" s="314" t="s">
        <v>203</v>
      </c>
      <c r="FGQ17" s="314" t="s">
        <v>203</v>
      </c>
      <c r="FGR17" s="314" t="s">
        <v>203</v>
      </c>
      <c r="FGS17" s="314" t="s">
        <v>203</v>
      </c>
      <c r="FGT17" s="314" t="s">
        <v>203</v>
      </c>
      <c r="FGU17" s="314" t="s">
        <v>203</v>
      </c>
      <c r="FGV17" s="314" t="s">
        <v>203</v>
      </c>
      <c r="FGW17" s="314" t="s">
        <v>203</v>
      </c>
      <c r="FGX17" s="314" t="s">
        <v>203</v>
      </c>
      <c r="FGY17" s="314" t="s">
        <v>203</v>
      </c>
      <c r="FGZ17" s="314" t="s">
        <v>203</v>
      </c>
      <c r="FHA17" s="314" t="s">
        <v>203</v>
      </c>
      <c r="FHB17" s="314" t="s">
        <v>203</v>
      </c>
      <c r="FHC17" s="314" t="s">
        <v>203</v>
      </c>
      <c r="FHD17" s="314" t="s">
        <v>203</v>
      </c>
      <c r="FHE17" s="314" t="s">
        <v>203</v>
      </c>
      <c r="FHF17" s="314" t="s">
        <v>203</v>
      </c>
      <c r="FHG17" s="314" t="s">
        <v>203</v>
      </c>
      <c r="FHH17" s="314" t="s">
        <v>203</v>
      </c>
      <c r="FHI17" s="314" t="s">
        <v>203</v>
      </c>
      <c r="FHJ17" s="314" t="s">
        <v>203</v>
      </c>
      <c r="FHK17" s="314" t="s">
        <v>203</v>
      </c>
      <c r="FHL17" s="314" t="s">
        <v>203</v>
      </c>
      <c r="FHM17" s="314" t="s">
        <v>203</v>
      </c>
      <c r="FHN17" s="314" t="s">
        <v>203</v>
      </c>
      <c r="FHO17" s="314" t="s">
        <v>203</v>
      </c>
      <c r="FHP17" s="314" t="s">
        <v>203</v>
      </c>
      <c r="FHQ17" s="314" t="s">
        <v>203</v>
      </c>
      <c r="FHR17" s="314" t="s">
        <v>203</v>
      </c>
      <c r="FHS17" s="314" t="s">
        <v>203</v>
      </c>
      <c r="FHT17" s="314" t="s">
        <v>203</v>
      </c>
      <c r="FHU17" s="314" t="s">
        <v>203</v>
      </c>
      <c r="FHV17" s="314" t="s">
        <v>203</v>
      </c>
      <c r="FHW17" s="314" t="s">
        <v>203</v>
      </c>
      <c r="FHX17" s="314" t="s">
        <v>203</v>
      </c>
      <c r="FHY17" s="314" t="s">
        <v>203</v>
      </c>
      <c r="FHZ17" s="314" t="s">
        <v>203</v>
      </c>
      <c r="FIA17" s="314" t="s">
        <v>203</v>
      </c>
      <c r="FIB17" s="314" t="s">
        <v>203</v>
      </c>
      <c r="FIC17" s="314" t="s">
        <v>203</v>
      </c>
      <c r="FID17" s="314" t="s">
        <v>203</v>
      </c>
      <c r="FIE17" s="314" t="s">
        <v>203</v>
      </c>
      <c r="FIF17" s="314" t="s">
        <v>203</v>
      </c>
      <c r="FIG17" s="314" t="s">
        <v>203</v>
      </c>
      <c r="FIH17" s="314" t="s">
        <v>203</v>
      </c>
      <c r="FII17" s="314" t="s">
        <v>203</v>
      </c>
      <c r="FIJ17" s="314" t="s">
        <v>203</v>
      </c>
      <c r="FIK17" s="314" t="s">
        <v>203</v>
      </c>
      <c r="FIL17" s="314" t="s">
        <v>203</v>
      </c>
      <c r="FIM17" s="314" t="s">
        <v>203</v>
      </c>
      <c r="FIN17" s="314" t="s">
        <v>203</v>
      </c>
      <c r="FIO17" s="314" t="s">
        <v>203</v>
      </c>
      <c r="FIP17" s="314" t="s">
        <v>203</v>
      </c>
      <c r="FIQ17" s="314" t="s">
        <v>203</v>
      </c>
      <c r="FIR17" s="314" t="s">
        <v>203</v>
      </c>
      <c r="FIS17" s="314" t="s">
        <v>203</v>
      </c>
      <c r="FIT17" s="314" t="s">
        <v>203</v>
      </c>
      <c r="FIU17" s="314" t="s">
        <v>203</v>
      </c>
      <c r="FIV17" s="314" t="s">
        <v>203</v>
      </c>
      <c r="FIW17" s="314" t="s">
        <v>203</v>
      </c>
      <c r="FIX17" s="314" t="s">
        <v>203</v>
      </c>
      <c r="FIY17" s="314" t="s">
        <v>203</v>
      </c>
      <c r="FIZ17" s="314" t="s">
        <v>203</v>
      </c>
      <c r="FJA17" s="314" t="s">
        <v>203</v>
      </c>
      <c r="FJB17" s="314" t="s">
        <v>203</v>
      </c>
      <c r="FJC17" s="314" t="s">
        <v>203</v>
      </c>
      <c r="FJD17" s="314" t="s">
        <v>203</v>
      </c>
      <c r="FJE17" s="314" t="s">
        <v>203</v>
      </c>
      <c r="FJF17" s="314" t="s">
        <v>203</v>
      </c>
      <c r="FJG17" s="314" t="s">
        <v>203</v>
      </c>
      <c r="FJH17" s="314" t="s">
        <v>203</v>
      </c>
      <c r="FJI17" s="314" t="s">
        <v>203</v>
      </c>
      <c r="FJJ17" s="314" t="s">
        <v>203</v>
      </c>
      <c r="FJK17" s="314" t="s">
        <v>203</v>
      </c>
      <c r="FJL17" s="314" t="s">
        <v>203</v>
      </c>
      <c r="FJM17" s="314" t="s">
        <v>203</v>
      </c>
      <c r="FJN17" s="314" t="s">
        <v>203</v>
      </c>
      <c r="FJO17" s="314" t="s">
        <v>203</v>
      </c>
      <c r="FJP17" s="314" t="s">
        <v>203</v>
      </c>
      <c r="FJQ17" s="314" t="s">
        <v>203</v>
      </c>
      <c r="FJR17" s="314" t="s">
        <v>203</v>
      </c>
      <c r="FJS17" s="314" t="s">
        <v>203</v>
      </c>
      <c r="FJT17" s="314" t="s">
        <v>203</v>
      </c>
      <c r="FJU17" s="314" t="s">
        <v>203</v>
      </c>
      <c r="FJV17" s="314" t="s">
        <v>203</v>
      </c>
      <c r="FJW17" s="314" t="s">
        <v>203</v>
      </c>
      <c r="FJX17" s="314" t="s">
        <v>203</v>
      </c>
      <c r="FJY17" s="314" t="s">
        <v>203</v>
      </c>
      <c r="FJZ17" s="314" t="s">
        <v>203</v>
      </c>
      <c r="FKA17" s="314" t="s">
        <v>203</v>
      </c>
      <c r="FKB17" s="314" t="s">
        <v>203</v>
      </c>
      <c r="FKC17" s="314" t="s">
        <v>203</v>
      </c>
      <c r="FKD17" s="314" t="s">
        <v>203</v>
      </c>
      <c r="FKE17" s="314" t="s">
        <v>203</v>
      </c>
      <c r="FKF17" s="314" t="s">
        <v>203</v>
      </c>
      <c r="FKG17" s="314" t="s">
        <v>203</v>
      </c>
      <c r="FKH17" s="314" t="s">
        <v>203</v>
      </c>
      <c r="FKI17" s="314" t="s">
        <v>203</v>
      </c>
      <c r="FKJ17" s="314" t="s">
        <v>203</v>
      </c>
      <c r="FKK17" s="314" t="s">
        <v>203</v>
      </c>
      <c r="FKL17" s="314" t="s">
        <v>203</v>
      </c>
      <c r="FKM17" s="314" t="s">
        <v>203</v>
      </c>
      <c r="FKN17" s="314" t="s">
        <v>203</v>
      </c>
      <c r="FKO17" s="314" t="s">
        <v>203</v>
      </c>
      <c r="FKP17" s="314" t="s">
        <v>203</v>
      </c>
      <c r="FKQ17" s="314" t="s">
        <v>203</v>
      </c>
      <c r="FKR17" s="314" t="s">
        <v>203</v>
      </c>
      <c r="FKS17" s="314" t="s">
        <v>203</v>
      </c>
      <c r="FKT17" s="314" t="s">
        <v>203</v>
      </c>
      <c r="FKU17" s="314" t="s">
        <v>203</v>
      </c>
      <c r="FKV17" s="314" t="s">
        <v>203</v>
      </c>
      <c r="FKW17" s="314" t="s">
        <v>203</v>
      </c>
      <c r="FKX17" s="314" t="s">
        <v>203</v>
      </c>
      <c r="FKY17" s="314" t="s">
        <v>203</v>
      </c>
      <c r="FKZ17" s="314" t="s">
        <v>203</v>
      </c>
      <c r="FLA17" s="314" t="s">
        <v>203</v>
      </c>
      <c r="FLB17" s="314" t="s">
        <v>203</v>
      </c>
      <c r="FLC17" s="314" t="s">
        <v>203</v>
      </c>
      <c r="FLD17" s="314" t="s">
        <v>203</v>
      </c>
      <c r="FLE17" s="314" t="s">
        <v>203</v>
      </c>
      <c r="FLF17" s="314" t="s">
        <v>203</v>
      </c>
      <c r="FLG17" s="314" t="s">
        <v>203</v>
      </c>
      <c r="FLH17" s="314" t="s">
        <v>203</v>
      </c>
      <c r="FLI17" s="314" t="s">
        <v>203</v>
      </c>
      <c r="FLJ17" s="314" t="s">
        <v>203</v>
      </c>
      <c r="FLK17" s="314" t="s">
        <v>203</v>
      </c>
      <c r="FLL17" s="314" t="s">
        <v>203</v>
      </c>
      <c r="FLM17" s="314" t="s">
        <v>203</v>
      </c>
      <c r="FLN17" s="314" t="s">
        <v>203</v>
      </c>
      <c r="FLO17" s="314" t="s">
        <v>203</v>
      </c>
      <c r="FLP17" s="314" t="s">
        <v>203</v>
      </c>
      <c r="FLQ17" s="314" t="s">
        <v>203</v>
      </c>
      <c r="FLR17" s="314" t="s">
        <v>203</v>
      </c>
      <c r="FLS17" s="314" t="s">
        <v>203</v>
      </c>
      <c r="FLT17" s="314" t="s">
        <v>203</v>
      </c>
      <c r="FLU17" s="314" t="s">
        <v>203</v>
      </c>
      <c r="FLV17" s="314" t="s">
        <v>203</v>
      </c>
      <c r="FLW17" s="314" t="s">
        <v>203</v>
      </c>
      <c r="FLX17" s="314" t="s">
        <v>203</v>
      </c>
      <c r="FLY17" s="314" t="s">
        <v>203</v>
      </c>
      <c r="FLZ17" s="314" t="s">
        <v>203</v>
      </c>
      <c r="FMA17" s="314" t="s">
        <v>203</v>
      </c>
      <c r="FMB17" s="314" t="s">
        <v>203</v>
      </c>
      <c r="FMC17" s="314" t="s">
        <v>203</v>
      </c>
      <c r="FMD17" s="314" t="s">
        <v>203</v>
      </c>
      <c r="FME17" s="314" t="s">
        <v>203</v>
      </c>
      <c r="FMF17" s="314" t="s">
        <v>203</v>
      </c>
      <c r="FMG17" s="314" t="s">
        <v>203</v>
      </c>
      <c r="FMH17" s="314" t="s">
        <v>203</v>
      </c>
      <c r="FMI17" s="314" t="s">
        <v>203</v>
      </c>
      <c r="FMJ17" s="314" t="s">
        <v>203</v>
      </c>
      <c r="FMK17" s="314" t="s">
        <v>203</v>
      </c>
      <c r="FML17" s="314" t="s">
        <v>203</v>
      </c>
      <c r="FMM17" s="314" t="s">
        <v>203</v>
      </c>
      <c r="FMN17" s="314" t="s">
        <v>203</v>
      </c>
      <c r="FMO17" s="314" t="s">
        <v>203</v>
      </c>
      <c r="FMP17" s="314" t="s">
        <v>203</v>
      </c>
      <c r="FMQ17" s="314" t="s">
        <v>203</v>
      </c>
      <c r="FMR17" s="314" t="s">
        <v>203</v>
      </c>
      <c r="FMS17" s="314" t="s">
        <v>203</v>
      </c>
      <c r="FMT17" s="314" t="s">
        <v>203</v>
      </c>
      <c r="FMU17" s="314" t="s">
        <v>203</v>
      </c>
      <c r="FMV17" s="314" t="s">
        <v>203</v>
      </c>
      <c r="FMW17" s="314" t="s">
        <v>203</v>
      </c>
      <c r="FMX17" s="314" t="s">
        <v>203</v>
      </c>
      <c r="FMY17" s="314" t="s">
        <v>203</v>
      </c>
      <c r="FMZ17" s="314" t="s">
        <v>203</v>
      </c>
      <c r="FNA17" s="314" t="s">
        <v>203</v>
      </c>
      <c r="FNB17" s="314" t="s">
        <v>203</v>
      </c>
      <c r="FNC17" s="314" t="s">
        <v>203</v>
      </c>
      <c r="FND17" s="314" t="s">
        <v>203</v>
      </c>
      <c r="FNE17" s="314" t="s">
        <v>203</v>
      </c>
      <c r="FNF17" s="314" t="s">
        <v>203</v>
      </c>
      <c r="FNG17" s="314" t="s">
        <v>203</v>
      </c>
      <c r="FNH17" s="314" t="s">
        <v>203</v>
      </c>
      <c r="FNI17" s="314" t="s">
        <v>203</v>
      </c>
      <c r="FNJ17" s="314" t="s">
        <v>203</v>
      </c>
      <c r="FNK17" s="314" t="s">
        <v>203</v>
      </c>
      <c r="FNL17" s="314" t="s">
        <v>203</v>
      </c>
      <c r="FNM17" s="314" t="s">
        <v>203</v>
      </c>
      <c r="FNN17" s="314" t="s">
        <v>203</v>
      </c>
      <c r="FNO17" s="314" t="s">
        <v>203</v>
      </c>
      <c r="FNP17" s="314" t="s">
        <v>203</v>
      </c>
      <c r="FNQ17" s="314" t="s">
        <v>203</v>
      </c>
      <c r="FNR17" s="314" t="s">
        <v>203</v>
      </c>
      <c r="FNS17" s="314" t="s">
        <v>203</v>
      </c>
      <c r="FNT17" s="314" t="s">
        <v>203</v>
      </c>
      <c r="FNU17" s="314" t="s">
        <v>203</v>
      </c>
      <c r="FNV17" s="314" t="s">
        <v>203</v>
      </c>
      <c r="FNW17" s="314" t="s">
        <v>203</v>
      </c>
      <c r="FNX17" s="314" t="s">
        <v>203</v>
      </c>
      <c r="FNY17" s="314" t="s">
        <v>203</v>
      </c>
      <c r="FNZ17" s="314" t="s">
        <v>203</v>
      </c>
      <c r="FOA17" s="314" t="s">
        <v>203</v>
      </c>
      <c r="FOB17" s="314" t="s">
        <v>203</v>
      </c>
      <c r="FOC17" s="314" t="s">
        <v>203</v>
      </c>
      <c r="FOD17" s="314" t="s">
        <v>203</v>
      </c>
      <c r="FOE17" s="314" t="s">
        <v>203</v>
      </c>
      <c r="FOF17" s="314" t="s">
        <v>203</v>
      </c>
      <c r="FOG17" s="314" t="s">
        <v>203</v>
      </c>
      <c r="FOH17" s="314" t="s">
        <v>203</v>
      </c>
      <c r="FOI17" s="314" t="s">
        <v>203</v>
      </c>
      <c r="FOJ17" s="314" t="s">
        <v>203</v>
      </c>
      <c r="FOK17" s="314" t="s">
        <v>203</v>
      </c>
      <c r="FOL17" s="314" t="s">
        <v>203</v>
      </c>
      <c r="FOM17" s="314" t="s">
        <v>203</v>
      </c>
      <c r="FON17" s="314" t="s">
        <v>203</v>
      </c>
      <c r="FOO17" s="314" t="s">
        <v>203</v>
      </c>
      <c r="FOP17" s="314" t="s">
        <v>203</v>
      </c>
      <c r="FOQ17" s="314" t="s">
        <v>203</v>
      </c>
      <c r="FOR17" s="314" t="s">
        <v>203</v>
      </c>
      <c r="FOS17" s="314" t="s">
        <v>203</v>
      </c>
      <c r="FOT17" s="314" t="s">
        <v>203</v>
      </c>
      <c r="FOU17" s="314" t="s">
        <v>203</v>
      </c>
      <c r="FOV17" s="314" t="s">
        <v>203</v>
      </c>
      <c r="FOW17" s="314" t="s">
        <v>203</v>
      </c>
      <c r="FOX17" s="314" t="s">
        <v>203</v>
      </c>
      <c r="FOY17" s="314" t="s">
        <v>203</v>
      </c>
      <c r="FOZ17" s="314" t="s">
        <v>203</v>
      </c>
      <c r="FPA17" s="314" t="s">
        <v>203</v>
      </c>
      <c r="FPB17" s="314" t="s">
        <v>203</v>
      </c>
      <c r="FPC17" s="314" t="s">
        <v>203</v>
      </c>
      <c r="FPD17" s="314" t="s">
        <v>203</v>
      </c>
      <c r="FPE17" s="314" t="s">
        <v>203</v>
      </c>
      <c r="FPF17" s="314" t="s">
        <v>203</v>
      </c>
      <c r="FPG17" s="314" t="s">
        <v>203</v>
      </c>
      <c r="FPH17" s="314" t="s">
        <v>203</v>
      </c>
      <c r="FPI17" s="314" t="s">
        <v>203</v>
      </c>
      <c r="FPJ17" s="314" t="s">
        <v>203</v>
      </c>
      <c r="FPK17" s="314" t="s">
        <v>203</v>
      </c>
      <c r="FPL17" s="314" t="s">
        <v>203</v>
      </c>
      <c r="FPM17" s="314" t="s">
        <v>203</v>
      </c>
      <c r="FPN17" s="314" t="s">
        <v>203</v>
      </c>
      <c r="FPO17" s="314" t="s">
        <v>203</v>
      </c>
      <c r="FPP17" s="314" t="s">
        <v>203</v>
      </c>
      <c r="FPQ17" s="314" t="s">
        <v>203</v>
      </c>
      <c r="FPR17" s="314" t="s">
        <v>203</v>
      </c>
      <c r="FPS17" s="314" t="s">
        <v>203</v>
      </c>
      <c r="FPT17" s="314" t="s">
        <v>203</v>
      </c>
      <c r="FPU17" s="314" t="s">
        <v>203</v>
      </c>
      <c r="FPV17" s="314" t="s">
        <v>203</v>
      </c>
      <c r="FPW17" s="314" t="s">
        <v>203</v>
      </c>
      <c r="FPX17" s="314" t="s">
        <v>203</v>
      </c>
      <c r="FPY17" s="314" t="s">
        <v>203</v>
      </c>
      <c r="FPZ17" s="314" t="s">
        <v>203</v>
      </c>
      <c r="FQA17" s="314" t="s">
        <v>203</v>
      </c>
      <c r="FQB17" s="314" t="s">
        <v>203</v>
      </c>
      <c r="FQC17" s="314" t="s">
        <v>203</v>
      </c>
      <c r="FQD17" s="314" t="s">
        <v>203</v>
      </c>
      <c r="FQE17" s="314" t="s">
        <v>203</v>
      </c>
      <c r="FQF17" s="314" t="s">
        <v>203</v>
      </c>
      <c r="FQG17" s="314" t="s">
        <v>203</v>
      </c>
      <c r="FQH17" s="314" t="s">
        <v>203</v>
      </c>
      <c r="FQI17" s="314" t="s">
        <v>203</v>
      </c>
      <c r="FQJ17" s="314" t="s">
        <v>203</v>
      </c>
      <c r="FQK17" s="314" t="s">
        <v>203</v>
      </c>
      <c r="FQL17" s="314" t="s">
        <v>203</v>
      </c>
      <c r="FQM17" s="314" t="s">
        <v>203</v>
      </c>
      <c r="FQN17" s="314" t="s">
        <v>203</v>
      </c>
      <c r="FQO17" s="314" t="s">
        <v>203</v>
      </c>
      <c r="FQP17" s="314" t="s">
        <v>203</v>
      </c>
      <c r="FQQ17" s="314" t="s">
        <v>203</v>
      </c>
      <c r="FQR17" s="314" t="s">
        <v>203</v>
      </c>
      <c r="FQS17" s="314" t="s">
        <v>203</v>
      </c>
      <c r="FQT17" s="314" t="s">
        <v>203</v>
      </c>
      <c r="FQU17" s="314" t="s">
        <v>203</v>
      </c>
      <c r="FQV17" s="314" t="s">
        <v>203</v>
      </c>
      <c r="FQW17" s="314" t="s">
        <v>203</v>
      </c>
      <c r="FQX17" s="314" t="s">
        <v>203</v>
      </c>
      <c r="FQY17" s="314" t="s">
        <v>203</v>
      </c>
      <c r="FQZ17" s="314" t="s">
        <v>203</v>
      </c>
      <c r="FRA17" s="314" t="s">
        <v>203</v>
      </c>
      <c r="FRB17" s="314" t="s">
        <v>203</v>
      </c>
      <c r="FRC17" s="314" t="s">
        <v>203</v>
      </c>
      <c r="FRD17" s="314" t="s">
        <v>203</v>
      </c>
      <c r="FRE17" s="314" t="s">
        <v>203</v>
      </c>
      <c r="FRF17" s="314" t="s">
        <v>203</v>
      </c>
      <c r="FRG17" s="314" t="s">
        <v>203</v>
      </c>
      <c r="FRH17" s="314" t="s">
        <v>203</v>
      </c>
      <c r="FRI17" s="314" t="s">
        <v>203</v>
      </c>
      <c r="FRJ17" s="314" t="s">
        <v>203</v>
      </c>
      <c r="FRK17" s="314" t="s">
        <v>203</v>
      </c>
      <c r="FRL17" s="314" t="s">
        <v>203</v>
      </c>
      <c r="FRM17" s="314" t="s">
        <v>203</v>
      </c>
      <c r="FRN17" s="314" t="s">
        <v>203</v>
      </c>
      <c r="FRO17" s="314" t="s">
        <v>203</v>
      </c>
      <c r="FRP17" s="314" t="s">
        <v>203</v>
      </c>
      <c r="FRQ17" s="314" t="s">
        <v>203</v>
      </c>
      <c r="FRR17" s="314" t="s">
        <v>203</v>
      </c>
      <c r="FRS17" s="314" t="s">
        <v>203</v>
      </c>
      <c r="FRT17" s="314" t="s">
        <v>203</v>
      </c>
      <c r="FRU17" s="314" t="s">
        <v>203</v>
      </c>
      <c r="FRV17" s="314" t="s">
        <v>203</v>
      </c>
      <c r="FRW17" s="314" t="s">
        <v>203</v>
      </c>
      <c r="FRX17" s="314" t="s">
        <v>203</v>
      </c>
      <c r="FRY17" s="314" t="s">
        <v>203</v>
      </c>
      <c r="FRZ17" s="314" t="s">
        <v>203</v>
      </c>
      <c r="FSA17" s="314" t="s">
        <v>203</v>
      </c>
      <c r="FSB17" s="314" t="s">
        <v>203</v>
      </c>
      <c r="FSC17" s="314" t="s">
        <v>203</v>
      </c>
      <c r="FSD17" s="314" t="s">
        <v>203</v>
      </c>
      <c r="FSE17" s="314" t="s">
        <v>203</v>
      </c>
      <c r="FSF17" s="314" t="s">
        <v>203</v>
      </c>
      <c r="FSG17" s="314" t="s">
        <v>203</v>
      </c>
      <c r="FSH17" s="314" t="s">
        <v>203</v>
      </c>
      <c r="FSI17" s="314" t="s">
        <v>203</v>
      </c>
      <c r="FSJ17" s="314" t="s">
        <v>203</v>
      </c>
      <c r="FSK17" s="314" t="s">
        <v>203</v>
      </c>
      <c r="FSL17" s="314" t="s">
        <v>203</v>
      </c>
      <c r="FSM17" s="314" t="s">
        <v>203</v>
      </c>
      <c r="FSN17" s="314" t="s">
        <v>203</v>
      </c>
      <c r="FSO17" s="314" t="s">
        <v>203</v>
      </c>
      <c r="FSP17" s="314" t="s">
        <v>203</v>
      </c>
      <c r="FSQ17" s="314" t="s">
        <v>203</v>
      </c>
      <c r="FSR17" s="314" t="s">
        <v>203</v>
      </c>
      <c r="FSS17" s="314" t="s">
        <v>203</v>
      </c>
      <c r="FST17" s="314" t="s">
        <v>203</v>
      </c>
      <c r="FSU17" s="314" t="s">
        <v>203</v>
      </c>
      <c r="FSV17" s="314" t="s">
        <v>203</v>
      </c>
      <c r="FSW17" s="314" t="s">
        <v>203</v>
      </c>
      <c r="FSX17" s="314" t="s">
        <v>203</v>
      </c>
      <c r="FSY17" s="314" t="s">
        <v>203</v>
      </c>
      <c r="FSZ17" s="314" t="s">
        <v>203</v>
      </c>
      <c r="FTA17" s="314" t="s">
        <v>203</v>
      </c>
      <c r="FTB17" s="314" t="s">
        <v>203</v>
      </c>
      <c r="FTC17" s="314" t="s">
        <v>203</v>
      </c>
      <c r="FTD17" s="314" t="s">
        <v>203</v>
      </c>
      <c r="FTE17" s="314" t="s">
        <v>203</v>
      </c>
      <c r="FTF17" s="314" t="s">
        <v>203</v>
      </c>
      <c r="FTG17" s="314" t="s">
        <v>203</v>
      </c>
      <c r="FTH17" s="314" t="s">
        <v>203</v>
      </c>
      <c r="FTI17" s="314" t="s">
        <v>203</v>
      </c>
      <c r="FTJ17" s="314" t="s">
        <v>203</v>
      </c>
      <c r="FTK17" s="314" t="s">
        <v>203</v>
      </c>
      <c r="FTL17" s="314" t="s">
        <v>203</v>
      </c>
      <c r="FTM17" s="314" t="s">
        <v>203</v>
      </c>
      <c r="FTN17" s="314" t="s">
        <v>203</v>
      </c>
      <c r="FTO17" s="314" t="s">
        <v>203</v>
      </c>
      <c r="FTP17" s="314" t="s">
        <v>203</v>
      </c>
      <c r="FTQ17" s="314" t="s">
        <v>203</v>
      </c>
      <c r="FTR17" s="314" t="s">
        <v>203</v>
      </c>
      <c r="FTS17" s="314" t="s">
        <v>203</v>
      </c>
      <c r="FTT17" s="314" t="s">
        <v>203</v>
      </c>
      <c r="FTU17" s="314" t="s">
        <v>203</v>
      </c>
      <c r="FTV17" s="314" t="s">
        <v>203</v>
      </c>
      <c r="FTW17" s="314" t="s">
        <v>203</v>
      </c>
      <c r="FTX17" s="314" t="s">
        <v>203</v>
      </c>
      <c r="FTY17" s="314" t="s">
        <v>203</v>
      </c>
      <c r="FTZ17" s="314" t="s">
        <v>203</v>
      </c>
      <c r="FUA17" s="314" t="s">
        <v>203</v>
      </c>
      <c r="FUB17" s="314" t="s">
        <v>203</v>
      </c>
      <c r="FUC17" s="314" t="s">
        <v>203</v>
      </c>
      <c r="FUD17" s="314" t="s">
        <v>203</v>
      </c>
      <c r="FUE17" s="314" t="s">
        <v>203</v>
      </c>
      <c r="FUF17" s="314" t="s">
        <v>203</v>
      </c>
      <c r="FUG17" s="314" t="s">
        <v>203</v>
      </c>
      <c r="FUH17" s="314" t="s">
        <v>203</v>
      </c>
      <c r="FUI17" s="314" t="s">
        <v>203</v>
      </c>
      <c r="FUJ17" s="314" t="s">
        <v>203</v>
      </c>
      <c r="FUK17" s="314" t="s">
        <v>203</v>
      </c>
      <c r="FUL17" s="314" t="s">
        <v>203</v>
      </c>
      <c r="FUM17" s="314" t="s">
        <v>203</v>
      </c>
      <c r="FUN17" s="314" t="s">
        <v>203</v>
      </c>
      <c r="FUO17" s="314" t="s">
        <v>203</v>
      </c>
      <c r="FUP17" s="314" t="s">
        <v>203</v>
      </c>
      <c r="FUQ17" s="314" t="s">
        <v>203</v>
      </c>
      <c r="FUR17" s="314" t="s">
        <v>203</v>
      </c>
      <c r="FUS17" s="314" t="s">
        <v>203</v>
      </c>
      <c r="FUT17" s="314" t="s">
        <v>203</v>
      </c>
      <c r="FUU17" s="314" t="s">
        <v>203</v>
      </c>
      <c r="FUV17" s="314" t="s">
        <v>203</v>
      </c>
      <c r="FUW17" s="314" t="s">
        <v>203</v>
      </c>
      <c r="FUX17" s="314" t="s">
        <v>203</v>
      </c>
      <c r="FUY17" s="314" t="s">
        <v>203</v>
      </c>
      <c r="FUZ17" s="314" t="s">
        <v>203</v>
      </c>
      <c r="FVA17" s="314" t="s">
        <v>203</v>
      </c>
      <c r="FVB17" s="314" t="s">
        <v>203</v>
      </c>
      <c r="FVC17" s="314" t="s">
        <v>203</v>
      </c>
      <c r="FVD17" s="314" t="s">
        <v>203</v>
      </c>
      <c r="FVE17" s="314" t="s">
        <v>203</v>
      </c>
      <c r="FVF17" s="314" t="s">
        <v>203</v>
      </c>
      <c r="FVG17" s="314" t="s">
        <v>203</v>
      </c>
      <c r="FVH17" s="314" t="s">
        <v>203</v>
      </c>
      <c r="FVI17" s="314" t="s">
        <v>203</v>
      </c>
      <c r="FVJ17" s="314" t="s">
        <v>203</v>
      </c>
      <c r="FVK17" s="314" t="s">
        <v>203</v>
      </c>
      <c r="FVL17" s="314" t="s">
        <v>203</v>
      </c>
      <c r="FVM17" s="314" t="s">
        <v>203</v>
      </c>
      <c r="FVN17" s="314" t="s">
        <v>203</v>
      </c>
      <c r="FVO17" s="314" t="s">
        <v>203</v>
      </c>
      <c r="FVP17" s="314" t="s">
        <v>203</v>
      </c>
      <c r="FVQ17" s="314" t="s">
        <v>203</v>
      </c>
      <c r="FVR17" s="314" t="s">
        <v>203</v>
      </c>
      <c r="FVS17" s="314" t="s">
        <v>203</v>
      </c>
      <c r="FVT17" s="314" t="s">
        <v>203</v>
      </c>
      <c r="FVU17" s="314" t="s">
        <v>203</v>
      </c>
      <c r="FVV17" s="314" t="s">
        <v>203</v>
      </c>
      <c r="FVW17" s="314" t="s">
        <v>203</v>
      </c>
      <c r="FVX17" s="314" t="s">
        <v>203</v>
      </c>
      <c r="FVY17" s="314" t="s">
        <v>203</v>
      </c>
      <c r="FVZ17" s="314" t="s">
        <v>203</v>
      </c>
      <c r="FWA17" s="314" t="s">
        <v>203</v>
      </c>
      <c r="FWB17" s="314" t="s">
        <v>203</v>
      </c>
      <c r="FWC17" s="314" t="s">
        <v>203</v>
      </c>
      <c r="FWD17" s="314" t="s">
        <v>203</v>
      </c>
      <c r="FWE17" s="314" t="s">
        <v>203</v>
      </c>
      <c r="FWF17" s="314" t="s">
        <v>203</v>
      </c>
      <c r="FWG17" s="314" t="s">
        <v>203</v>
      </c>
      <c r="FWH17" s="314" t="s">
        <v>203</v>
      </c>
      <c r="FWI17" s="314" t="s">
        <v>203</v>
      </c>
      <c r="FWJ17" s="314" t="s">
        <v>203</v>
      </c>
      <c r="FWK17" s="314" t="s">
        <v>203</v>
      </c>
      <c r="FWL17" s="314" t="s">
        <v>203</v>
      </c>
      <c r="FWM17" s="314" t="s">
        <v>203</v>
      </c>
      <c r="FWN17" s="314" t="s">
        <v>203</v>
      </c>
      <c r="FWO17" s="314" t="s">
        <v>203</v>
      </c>
      <c r="FWP17" s="314" t="s">
        <v>203</v>
      </c>
      <c r="FWQ17" s="314" t="s">
        <v>203</v>
      </c>
      <c r="FWR17" s="314" t="s">
        <v>203</v>
      </c>
      <c r="FWS17" s="314" t="s">
        <v>203</v>
      </c>
      <c r="FWT17" s="314" t="s">
        <v>203</v>
      </c>
      <c r="FWU17" s="314" t="s">
        <v>203</v>
      </c>
      <c r="FWV17" s="314" t="s">
        <v>203</v>
      </c>
      <c r="FWW17" s="314" t="s">
        <v>203</v>
      </c>
      <c r="FWX17" s="314" t="s">
        <v>203</v>
      </c>
      <c r="FWY17" s="314" t="s">
        <v>203</v>
      </c>
      <c r="FWZ17" s="314" t="s">
        <v>203</v>
      </c>
      <c r="FXA17" s="314" t="s">
        <v>203</v>
      </c>
      <c r="FXB17" s="314" t="s">
        <v>203</v>
      </c>
      <c r="FXC17" s="314" t="s">
        <v>203</v>
      </c>
      <c r="FXD17" s="314" t="s">
        <v>203</v>
      </c>
      <c r="FXE17" s="314" t="s">
        <v>203</v>
      </c>
      <c r="FXF17" s="314" t="s">
        <v>203</v>
      </c>
      <c r="FXG17" s="314" t="s">
        <v>203</v>
      </c>
      <c r="FXH17" s="314" t="s">
        <v>203</v>
      </c>
      <c r="FXI17" s="314" t="s">
        <v>203</v>
      </c>
      <c r="FXJ17" s="314" t="s">
        <v>203</v>
      </c>
      <c r="FXK17" s="314" t="s">
        <v>203</v>
      </c>
      <c r="FXL17" s="314" t="s">
        <v>203</v>
      </c>
      <c r="FXM17" s="314" t="s">
        <v>203</v>
      </c>
      <c r="FXN17" s="314" t="s">
        <v>203</v>
      </c>
      <c r="FXO17" s="314" t="s">
        <v>203</v>
      </c>
      <c r="FXP17" s="314" t="s">
        <v>203</v>
      </c>
      <c r="FXQ17" s="314" t="s">
        <v>203</v>
      </c>
      <c r="FXR17" s="314" t="s">
        <v>203</v>
      </c>
      <c r="FXS17" s="314" t="s">
        <v>203</v>
      </c>
      <c r="FXT17" s="314" t="s">
        <v>203</v>
      </c>
      <c r="FXU17" s="314" t="s">
        <v>203</v>
      </c>
      <c r="FXV17" s="314" t="s">
        <v>203</v>
      </c>
      <c r="FXW17" s="314" t="s">
        <v>203</v>
      </c>
      <c r="FXX17" s="314" t="s">
        <v>203</v>
      </c>
      <c r="FXY17" s="314" t="s">
        <v>203</v>
      </c>
      <c r="FXZ17" s="314" t="s">
        <v>203</v>
      </c>
      <c r="FYA17" s="314" t="s">
        <v>203</v>
      </c>
      <c r="FYB17" s="314" t="s">
        <v>203</v>
      </c>
      <c r="FYC17" s="314" t="s">
        <v>203</v>
      </c>
      <c r="FYD17" s="314" t="s">
        <v>203</v>
      </c>
      <c r="FYE17" s="314" t="s">
        <v>203</v>
      </c>
      <c r="FYF17" s="314" t="s">
        <v>203</v>
      </c>
      <c r="FYG17" s="314" t="s">
        <v>203</v>
      </c>
      <c r="FYH17" s="314" t="s">
        <v>203</v>
      </c>
      <c r="FYI17" s="314" t="s">
        <v>203</v>
      </c>
      <c r="FYJ17" s="314" t="s">
        <v>203</v>
      </c>
      <c r="FYK17" s="314" t="s">
        <v>203</v>
      </c>
      <c r="FYL17" s="314" t="s">
        <v>203</v>
      </c>
      <c r="FYM17" s="314" t="s">
        <v>203</v>
      </c>
      <c r="FYN17" s="314" t="s">
        <v>203</v>
      </c>
      <c r="FYO17" s="314" t="s">
        <v>203</v>
      </c>
      <c r="FYP17" s="314" t="s">
        <v>203</v>
      </c>
      <c r="FYQ17" s="314" t="s">
        <v>203</v>
      </c>
      <c r="FYR17" s="314" t="s">
        <v>203</v>
      </c>
      <c r="FYS17" s="314" t="s">
        <v>203</v>
      </c>
      <c r="FYT17" s="314" t="s">
        <v>203</v>
      </c>
      <c r="FYU17" s="314" t="s">
        <v>203</v>
      </c>
      <c r="FYV17" s="314" t="s">
        <v>203</v>
      </c>
      <c r="FYW17" s="314" t="s">
        <v>203</v>
      </c>
      <c r="FYX17" s="314" t="s">
        <v>203</v>
      </c>
      <c r="FYY17" s="314" t="s">
        <v>203</v>
      </c>
      <c r="FYZ17" s="314" t="s">
        <v>203</v>
      </c>
      <c r="FZA17" s="314" t="s">
        <v>203</v>
      </c>
      <c r="FZB17" s="314" t="s">
        <v>203</v>
      </c>
      <c r="FZC17" s="314" t="s">
        <v>203</v>
      </c>
      <c r="FZD17" s="314" t="s">
        <v>203</v>
      </c>
      <c r="FZE17" s="314" t="s">
        <v>203</v>
      </c>
      <c r="FZF17" s="314" t="s">
        <v>203</v>
      </c>
      <c r="FZG17" s="314" t="s">
        <v>203</v>
      </c>
      <c r="FZH17" s="314" t="s">
        <v>203</v>
      </c>
      <c r="FZI17" s="314" t="s">
        <v>203</v>
      </c>
      <c r="FZJ17" s="314" t="s">
        <v>203</v>
      </c>
      <c r="FZK17" s="314" t="s">
        <v>203</v>
      </c>
      <c r="FZL17" s="314" t="s">
        <v>203</v>
      </c>
      <c r="FZM17" s="314" t="s">
        <v>203</v>
      </c>
      <c r="FZN17" s="314" t="s">
        <v>203</v>
      </c>
      <c r="FZO17" s="314" t="s">
        <v>203</v>
      </c>
      <c r="FZP17" s="314" t="s">
        <v>203</v>
      </c>
      <c r="FZQ17" s="314" t="s">
        <v>203</v>
      </c>
      <c r="FZR17" s="314" t="s">
        <v>203</v>
      </c>
      <c r="FZS17" s="314" t="s">
        <v>203</v>
      </c>
      <c r="FZT17" s="314" t="s">
        <v>203</v>
      </c>
      <c r="FZU17" s="314" t="s">
        <v>203</v>
      </c>
      <c r="FZV17" s="314" t="s">
        <v>203</v>
      </c>
      <c r="FZW17" s="314" t="s">
        <v>203</v>
      </c>
      <c r="FZX17" s="314" t="s">
        <v>203</v>
      </c>
      <c r="FZY17" s="314" t="s">
        <v>203</v>
      </c>
      <c r="FZZ17" s="314" t="s">
        <v>203</v>
      </c>
      <c r="GAA17" s="314" t="s">
        <v>203</v>
      </c>
      <c r="GAB17" s="314" t="s">
        <v>203</v>
      </c>
      <c r="GAC17" s="314" t="s">
        <v>203</v>
      </c>
      <c r="GAD17" s="314" t="s">
        <v>203</v>
      </c>
      <c r="GAE17" s="314" t="s">
        <v>203</v>
      </c>
      <c r="GAF17" s="314" t="s">
        <v>203</v>
      </c>
      <c r="GAG17" s="314" t="s">
        <v>203</v>
      </c>
      <c r="GAH17" s="314" t="s">
        <v>203</v>
      </c>
      <c r="GAI17" s="314" t="s">
        <v>203</v>
      </c>
      <c r="GAJ17" s="314" t="s">
        <v>203</v>
      </c>
      <c r="GAK17" s="314" t="s">
        <v>203</v>
      </c>
      <c r="GAL17" s="314" t="s">
        <v>203</v>
      </c>
      <c r="GAM17" s="314" t="s">
        <v>203</v>
      </c>
      <c r="GAN17" s="314" t="s">
        <v>203</v>
      </c>
      <c r="GAO17" s="314" t="s">
        <v>203</v>
      </c>
      <c r="GAP17" s="314" t="s">
        <v>203</v>
      </c>
      <c r="GAQ17" s="314" t="s">
        <v>203</v>
      </c>
      <c r="GAR17" s="314" t="s">
        <v>203</v>
      </c>
      <c r="GAS17" s="314" t="s">
        <v>203</v>
      </c>
      <c r="GAT17" s="314" t="s">
        <v>203</v>
      </c>
      <c r="GAU17" s="314" t="s">
        <v>203</v>
      </c>
      <c r="GAV17" s="314" t="s">
        <v>203</v>
      </c>
      <c r="GAW17" s="314" t="s">
        <v>203</v>
      </c>
      <c r="GAX17" s="314" t="s">
        <v>203</v>
      </c>
      <c r="GAY17" s="314" t="s">
        <v>203</v>
      </c>
      <c r="GAZ17" s="314" t="s">
        <v>203</v>
      </c>
      <c r="GBA17" s="314" t="s">
        <v>203</v>
      </c>
      <c r="GBB17" s="314" t="s">
        <v>203</v>
      </c>
      <c r="GBC17" s="314" t="s">
        <v>203</v>
      </c>
      <c r="GBD17" s="314" t="s">
        <v>203</v>
      </c>
      <c r="GBE17" s="314" t="s">
        <v>203</v>
      </c>
      <c r="GBF17" s="314" t="s">
        <v>203</v>
      </c>
      <c r="GBG17" s="314" t="s">
        <v>203</v>
      </c>
      <c r="GBH17" s="314" t="s">
        <v>203</v>
      </c>
      <c r="GBI17" s="314" t="s">
        <v>203</v>
      </c>
      <c r="GBJ17" s="314" t="s">
        <v>203</v>
      </c>
      <c r="GBK17" s="314" t="s">
        <v>203</v>
      </c>
      <c r="GBL17" s="314" t="s">
        <v>203</v>
      </c>
      <c r="GBM17" s="314" t="s">
        <v>203</v>
      </c>
      <c r="GBN17" s="314" t="s">
        <v>203</v>
      </c>
      <c r="GBO17" s="314" t="s">
        <v>203</v>
      </c>
      <c r="GBP17" s="314" t="s">
        <v>203</v>
      </c>
      <c r="GBQ17" s="314" t="s">
        <v>203</v>
      </c>
      <c r="GBR17" s="314" t="s">
        <v>203</v>
      </c>
      <c r="GBS17" s="314" t="s">
        <v>203</v>
      </c>
      <c r="GBT17" s="314" t="s">
        <v>203</v>
      </c>
      <c r="GBU17" s="314" t="s">
        <v>203</v>
      </c>
      <c r="GBV17" s="314" t="s">
        <v>203</v>
      </c>
      <c r="GBW17" s="314" t="s">
        <v>203</v>
      </c>
      <c r="GBX17" s="314" t="s">
        <v>203</v>
      </c>
      <c r="GBY17" s="314" t="s">
        <v>203</v>
      </c>
      <c r="GBZ17" s="314" t="s">
        <v>203</v>
      </c>
      <c r="GCA17" s="314" t="s">
        <v>203</v>
      </c>
      <c r="GCB17" s="314" t="s">
        <v>203</v>
      </c>
      <c r="GCC17" s="314" t="s">
        <v>203</v>
      </c>
      <c r="GCD17" s="314" t="s">
        <v>203</v>
      </c>
      <c r="GCE17" s="314" t="s">
        <v>203</v>
      </c>
      <c r="GCF17" s="314" t="s">
        <v>203</v>
      </c>
      <c r="GCG17" s="314" t="s">
        <v>203</v>
      </c>
      <c r="GCH17" s="314" t="s">
        <v>203</v>
      </c>
      <c r="GCI17" s="314" t="s">
        <v>203</v>
      </c>
      <c r="GCJ17" s="314" t="s">
        <v>203</v>
      </c>
      <c r="GCK17" s="314" t="s">
        <v>203</v>
      </c>
      <c r="GCL17" s="314" t="s">
        <v>203</v>
      </c>
      <c r="GCM17" s="314" t="s">
        <v>203</v>
      </c>
      <c r="GCN17" s="314" t="s">
        <v>203</v>
      </c>
      <c r="GCO17" s="314" t="s">
        <v>203</v>
      </c>
      <c r="GCP17" s="314" t="s">
        <v>203</v>
      </c>
      <c r="GCQ17" s="314" t="s">
        <v>203</v>
      </c>
      <c r="GCR17" s="314" t="s">
        <v>203</v>
      </c>
      <c r="GCS17" s="314" t="s">
        <v>203</v>
      </c>
      <c r="GCT17" s="314" t="s">
        <v>203</v>
      </c>
      <c r="GCU17" s="314" t="s">
        <v>203</v>
      </c>
      <c r="GCV17" s="314" t="s">
        <v>203</v>
      </c>
      <c r="GCW17" s="314" t="s">
        <v>203</v>
      </c>
      <c r="GCX17" s="314" t="s">
        <v>203</v>
      </c>
      <c r="GCY17" s="314" t="s">
        <v>203</v>
      </c>
      <c r="GCZ17" s="314" t="s">
        <v>203</v>
      </c>
      <c r="GDA17" s="314" t="s">
        <v>203</v>
      </c>
      <c r="GDB17" s="314" t="s">
        <v>203</v>
      </c>
      <c r="GDC17" s="314" t="s">
        <v>203</v>
      </c>
      <c r="GDD17" s="314" t="s">
        <v>203</v>
      </c>
      <c r="GDE17" s="314" t="s">
        <v>203</v>
      </c>
      <c r="GDF17" s="314" t="s">
        <v>203</v>
      </c>
      <c r="GDG17" s="314" t="s">
        <v>203</v>
      </c>
      <c r="GDH17" s="314" t="s">
        <v>203</v>
      </c>
      <c r="GDI17" s="314" t="s">
        <v>203</v>
      </c>
      <c r="GDJ17" s="314" t="s">
        <v>203</v>
      </c>
      <c r="GDK17" s="314" t="s">
        <v>203</v>
      </c>
      <c r="GDL17" s="314" t="s">
        <v>203</v>
      </c>
      <c r="GDM17" s="314" t="s">
        <v>203</v>
      </c>
      <c r="GDN17" s="314" t="s">
        <v>203</v>
      </c>
      <c r="GDO17" s="314" t="s">
        <v>203</v>
      </c>
      <c r="GDP17" s="314" t="s">
        <v>203</v>
      </c>
      <c r="GDQ17" s="314" t="s">
        <v>203</v>
      </c>
      <c r="GDR17" s="314" t="s">
        <v>203</v>
      </c>
      <c r="GDS17" s="314" t="s">
        <v>203</v>
      </c>
      <c r="GDT17" s="314" t="s">
        <v>203</v>
      </c>
      <c r="GDU17" s="314" t="s">
        <v>203</v>
      </c>
      <c r="GDV17" s="314" t="s">
        <v>203</v>
      </c>
      <c r="GDW17" s="314" t="s">
        <v>203</v>
      </c>
      <c r="GDX17" s="314" t="s">
        <v>203</v>
      </c>
      <c r="GDY17" s="314" t="s">
        <v>203</v>
      </c>
      <c r="GDZ17" s="314" t="s">
        <v>203</v>
      </c>
      <c r="GEA17" s="314" t="s">
        <v>203</v>
      </c>
      <c r="GEB17" s="314" t="s">
        <v>203</v>
      </c>
      <c r="GEC17" s="314" t="s">
        <v>203</v>
      </c>
      <c r="GED17" s="314" t="s">
        <v>203</v>
      </c>
      <c r="GEE17" s="314" t="s">
        <v>203</v>
      </c>
      <c r="GEF17" s="314" t="s">
        <v>203</v>
      </c>
      <c r="GEG17" s="314" t="s">
        <v>203</v>
      </c>
      <c r="GEH17" s="314" t="s">
        <v>203</v>
      </c>
      <c r="GEI17" s="314" t="s">
        <v>203</v>
      </c>
      <c r="GEJ17" s="314" t="s">
        <v>203</v>
      </c>
      <c r="GEK17" s="314" t="s">
        <v>203</v>
      </c>
      <c r="GEL17" s="314" t="s">
        <v>203</v>
      </c>
      <c r="GEM17" s="314" t="s">
        <v>203</v>
      </c>
      <c r="GEN17" s="314" t="s">
        <v>203</v>
      </c>
      <c r="GEO17" s="314" t="s">
        <v>203</v>
      </c>
      <c r="GEP17" s="314" t="s">
        <v>203</v>
      </c>
      <c r="GEQ17" s="314" t="s">
        <v>203</v>
      </c>
      <c r="GER17" s="314" t="s">
        <v>203</v>
      </c>
      <c r="GES17" s="314" t="s">
        <v>203</v>
      </c>
      <c r="GET17" s="314" t="s">
        <v>203</v>
      </c>
      <c r="GEU17" s="314" t="s">
        <v>203</v>
      </c>
      <c r="GEV17" s="314" t="s">
        <v>203</v>
      </c>
      <c r="GEW17" s="314" t="s">
        <v>203</v>
      </c>
      <c r="GEX17" s="314" t="s">
        <v>203</v>
      </c>
      <c r="GEY17" s="314" t="s">
        <v>203</v>
      </c>
      <c r="GEZ17" s="314" t="s">
        <v>203</v>
      </c>
      <c r="GFA17" s="314" t="s">
        <v>203</v>
      </c>
      <c r="GFB17" s="314" t="s">
        <v>203</v>
      </c>
      <c r="GFC17" s="314" t="s">
        <v>203</v>
      </c>
      <c r="GFD17" s="314" t="s">
        <v>203</v>
      </c>
      <c r="GFE17" s="314" t="s">
        <v>203</v>
      </c>
      <c r="GFF17" s="314" t="s">
        <v>203</v>
      </c>
      <c r="GFG17" s="314" t="s">
        <v>203</v>
      </c>
      <c r="GFH17" s="314" t="s">
        <v>203</v>
      </c>
      <c r="GFI17" s="314" t="s">
        <v>203</v>
      </c>
      <c r="GFJ17" s="314" t="s">
        <v>203</v>
      </c>
      <c r="GFK17" s="314" t="s">
        <v>203</v>
      </c>
      <c r="GFL17" s="314" t="s">
        <v>203</v>
      </c>
      <c r="GFM17" s="314" t="s">
        <v>203</v>
      </c>
      <c r="GFN17" s="314" t="s">
        <v>203</v>
      </c>
      <c r="GFO17" s="314" t="s">
        <v>203</v>
      </c>
      <c r="GFP17" s="314" t="s">
        <v>203</v>
      </c>
      <c r="GFQ17" s="314" t="s">
        <v>203</v>
      </c>
      <c r="GFR17" s="314" t="s">
        <v>203</v>
      </c>
      <c r="GFS17" s="314" t="s">
        <v>203</v>
      </c>
      <c r="GFT17" s="314" t="s">
        <v>203</v>
      </c>
      <c r="GFU17" s="314" t="s">
        <v>203</v>
      </c>
      <c r="GFV17" s="314" t="s">
        <v>203</v>
      </c>
      <c r="GFW17" s="314" t="s">
        <v>203</v>
      </c>
      <c r="GFX17" s="314" t="s">
        <v>203</v>
      </c>
      <c r="GFY17" s="314" t="s">
        <v>203</v>
      </c>
      <c r="GFZ17" s="314" t="s">
        <v>203</v>
      </c>
      <c r="GGA17" s="314" t="s">
        <v>203</v>
      </c>
      <c r="GGB17" s="314" t="s">
        <v>203</v>
      </c>
      <c r="GGC17" s="314" t="s">
        <v>203</v>
      </c>
      <c r="GGD17" s="314" t="s">
        <v>203</v>
      </c>
      <c r="GGE17" s="314" t="s">
        <v>203</v>
      </c>
      <c r="GGF17" s="314" t="s">
        <v>203</v>
      </c>
      <c r="GGG17" s="314" t="s">
        <v>203</v>
      </c>
      <c r="GGH17" s="314" t="s">
        <v>203</v>
      </c>
      <c r="GGI17" s="314" t="s">
        <v>203</v>
      </c>
      <c r="GGJ17" s="314" t="s">
        <v>203</v>
      </c>
      <c r="GGK17" s="314" t="s">
        <v>203</v>
      </c>
      <c r="GGL17" s="314" t="s">
        <v>203</v>
      </c>
      <c r="GGM17" s="314" t="s">
        <v>203</v>
      </c>
      <c r="GGN17" s="314" t="s">
        <v>203</v>
      </c>
      <c r="GGO17" s="314" t="s">
        <v>203</v>
      </c>
      <c r="GGP17" s="314" t="s">
        <v>203</v>
      </c>
      <c r="GGQ17" s="314" t="s">
        <v>203</v>
      </c>
      <c r="GGR17" s="314" t="s">
        <v>203</v>
      </c>
      <c r="GGS17" s="314" t="s">
        <v>203</v>
      </c>
      <c r="GGT17" s="314" t="s">
        <v>203</v>
      </c>
      <c r="GGU17" s="314" t="s">
        <v>203</v>
      </c>
      <c r="GGV17" s="314" t="s">
        <v>203</v>
      </c>
      <c r="GGW17" s="314" t="s">
        <v>203</v>
      </c>
      <c r="GGX17" s="314" t="s">
        <v>203</v>
      </c>
      <c r="GGY17" s="314" t="s">
        <v>203</v>
      </c>
      <c r="GGZ17" s="314" t="s">
        <v>203</v>
      </c>
      <c r="GHA17" s="314" t="s">
        <v>203</v>
      </c>
      <c r="GHB17" s="314" t="s">
        <v>203</v>
      </c>
      <c r="GHC17" s="314" t="s">
        <v>203</v>
      </c>
      <c r="GHD17" s="314" t="s">
        <v>203</v>
      </c>
      <c r="GHE17" s="314" t="s">
        <v>203</v>
      </c>
      <c r="GHF17" s="314" t="s">
        <v>203</v>
      </c>
      <c r="GHG17" s="314" t="s">
        <v>203</v>
      </c>
      <c r="GHH17" s="314" t="s">
        <v>203</v>
      </c>
      <c r="GHI17" s="314" t="s">
        <v>203</v>
      </c>
      <c r="GHJ17" s="314" t="s">
        <v>203</v>
      </c>
      <c r="GHK17" s="314" t="s">
        <v>203</v>
      </c>
      <c r="GHL17" s="314" t="s">
        <v>203</v>
      </c>
      <c r="GHM17" s="314" t="s">
        <v>203</v>
      </c>
      <c r="GHN17" s="314" t="s">
        <v>203</v>
      </c>
      <c r="GHO17" s="314" t="s">
        <v>203</v>
      </c>
      <c r="GHP17" s="314" t="s">
        <v>203</v>
      </c>
      <c r="GHQ17" s="314" t="s">
        <v>203</v>
      </c>
      <c r="GHR17" s="314" t="s">
        <v>203</v>
      </c>
      <c r="GHS17" s="314" t="s">
        <v>203</v>
      </c>
      <c r="GHT17" s="314" t="s">
        <v>203</v>
      </c>
      <c r="GHU17" s="314" t="s">
        <v>203</v>
      </c>
      <c r="GHV17" s="314" t="s">
        <v>203</v>
      </c>
      <c r="GHW17" s="314" t="s">
        <v>203</v>
      </c>
      <c r="GHX17" s="314" t="s">
        <v>203</v>
      </c>
      <c r="GHY17" s="314" t="s">
        <v>203</v>
      </c>
      <c r="GHZ17" s="314" t="s">
        <v>203</v>
      </c>
      <c r="GIA17" s="314" t="s">
        <v>203</v>
      </c>
      <c r="GIB17" s="314" t="s">
        <v>203</v>
      </c>
      <c r="GIC17" s="314" t="s">
        <v>203</v>
      </c>
      <c r="GID17" s="314" t="s">
        <v>203</v>
      </c>
      <c r="GIE17" s="314" t="s">
        <v>203</v>
      </c>
      <c r="GIF17" s="314" t="s">
        <v>203</v>
      </c>
      <c r="GIG17" s="314" t="s">
        <v>203</v>
      </c>
      <c r="GIH17" s="314" t="s">
        <v>203</v>
      </c>
      <c r="GII17" s="314" t="s">
        <v>203</v>
      </c>
      <c r="GIJ17" s="314" t="s">
        <v>203</v>
      </c>
      <c r="GIK17" s="314" t="s">
        <v>203</v>
      </c>
      <c r="GIL17" s="314" t="s">
        <v>203</v>
      </c>
      <c r="GIM17" s="314" t="s">
        <v>203</v>
      </c>
      <c r="GIN17" s="314" t="s">
        <v>203</v>
      </c>
      <c r="GIO17" s="314" t="s">
        <v>203</v>
      </c>
      <c r="GIP17" s="314" t="s">
        <v>203</v>
      </c>
      <c r="GIQ17" s="314" t="s">
        <v>203</v>
      </c>
      <c r="GIR17" s="314" t="s">
        <v>203</v>
      </c>
      <c r="GIS17" s="314" t="s">
        <v>203</v>
      </c>
      <c r="GIT17" s="314" t="s">
        <v>203</v>
      </c>
      <c r="GIU17" s="314" t="s">
        <v>203</v>
      </c>
      <c r="GIV17" s="314" t="s">
        <v>203</v>
      </c>
      <c r="GIW17" s="314" t="s">
        <v>203</v>
      </c>
      <c r="GIX17" s="314" t="s">
        <v>203</v>
      </c>
      <c r="GIY17" s="314" t="s">
        <v>203</v>
      </c>
      <c r="GIZ17" s="314" t="s">
        <v>203</v>
      </c>
      <c r="GJA17" s="314" t="s">
        <v>203</v>
      </c>
      <c r="GJB17" s="314" t="s">
        <v>203</v>
      </c>
      <c r="GJC17" s="314" t="s">
        <v>203</v>
      </c>
      <c r="GJD17" s="314" t="s">
        <v>203</v>
      </c>
      <c r="GJE17" s="314" t="s">
        <v>203</v>
      </c>
      <c r="GJF17" s="314" t="s">
        <v>203</v>
      </c>
      <c r="GJG17" s="314" t="s">
        <v>203</v>
      </c>
      <c r="GJH17" s="314" t="s">
        <v>203</v>
      </c>
      <c r="GJI17" s="314" t="s">
        <v>203</v>
      </c>
      <c r="GJJ17" s="314" t="s">
        <v>203</v>
      </c>
      <c r="GJK17" s="314" t="s">
        <v>203</v>
      </c>
      <c r="GJL17" s="314" t="s">
        <v>203</v>
      </c>
      <c r="GJM17" s="314" t="s">
        <v>203</v>
      </c>
      <c r="GJN17" s="314" t="s">
        <v>203</v>
      </c>
      <c r="GJO17" s="314" t="s">
        <v>203</v>
      </c>
      <c r="GJP17" s="314" t="s">
        <v>203</v>
      </c>
      <c r="GJQ17" s="314" t="s">
        <v>203</v>
      </c>
      <c r="GJR17" s="314" t="s">
        <v>203</v>
      </c>
      <c r="GJS17" s="314" t="s">
        <v>203</v>
      </c>
      <c r="GJT17" s="314" t="s">
        <v>203</v>
      </c>
      <c r="GJU17" s="314" t="s">
        <v>203</v>
      </c>
      <c r="GJV17" s="314" t="s">
        <v>203</v>
      </c>
      <c r="GJW17" s="314" t="s">
        <v>203</v>
      </c>
      <c r="GJX17" s="314" t="s">
        <v>203</v>
      </c>
      <c r="GJY17" s="314" t="s">
        <v>203</v>
      </c>
      <c r="GJZ17" s="314" t="s">
        <v>203</v>
      </c>
      <c r="GKA17" s="314" t="s">
        <v>203</v>
      </c>
      <c r="GKB17" s="314" t="s">
        <v>203</v>
      </c>
      <c r="GKC17" s="314" t="s">
        <v>203</v>
      </c>
      <c r="GKD17" s="314" t="s">
        <v>203</v>
      </c>
      <c r="GKE17" s="314" t="s">
        <v>203</v>
      </c>
      <c r="GKF17" s="314" t="s">
        <v>203</v>
      </c>
      <c r="GKG17" s="314" t="s">
        <v>203</v>
      </c>
      <c r="GKH17" s="314" t="s">
        <v>203</v>
      </c>
      <c r="GKI17" s="314" t="s">
        <v>203</v>
      </c>
      <c r="GKJ17" s="314" t="s">
        <v>203</v>
      </c>
      <c r="GKK17" s="314" t="s">
        <v>203</v>
      </c>
      <c r="GKL17" s="314" t="s">
        <v>203</v>
      </c>
      <c r="GKM17" s="314" t="s">
        <v>203</v>
      </c>
      <c r="GKN17" s="314" t="s">
        <v>203</v>
      </c>
      <c r="GKO17" s="314" t="s">
        <v>203</v>
      </c>
      <c r="GKP17" s="314" t="s">
        <v>203</v>
      </c>
      <c r="GKQ17" s="314" t="s">
        <v>203</v>
      </c>
      <c r="GKR17" s="314" t="s">
        <v>203</v>
      </c>
      <c r="GKS17" s="314" t="s">
        <v>203</v>
      </c>
      <c r="GKT17" s="314" t="s">
        <v>203</v>
      </c>
      <c r="GKU17" s="314" t="s">
        <v>203</v>
      </c>
      <c r="GKV17" s="314" t="s">
        <v>203</v>
      </c>
      <c r="GKW17" s="314" t="s">
        <v>203</v>
      </c>
      <c r="GKX17" s="314" t="s">
        <v>203</v>
      </c>
      <c r="GKY17" s="314" t="s">
        <v>203</v>
      </c>
      <c r="GKZ17" s="314" t="s">
        <v>203</v>
      </c>
      <c r="GLA17" s="314" t="s">
        <v>203</v>
      </c>
      <c r="GLB17" s="314" t="s">
        <v>203</v>
      </c>
      <c r="GLC17" s="314" t="s">
        <v>203</v>
      </c>
      <c r="GLD17" s="314" t="s">
        <v>203</v>
      </c>
      <c r="GLE17" s="314" t="s">
        <v>203</v>
      </c>
      <c r="GLF17" s="314" t="s">
        <v>203</v>
      </c>
      <c r="GLG17" s="314" t="s">
        <v>203</v>
      </c>
      <c r="GLH17" s="314" t="s">
        <v>203</v>
      </c>
      <c r="GLI17" s="314" t="s">
        <v>203</v>
      </c>
      <c r="GLJ17" s="314" t="s">
        <v>203</v>
      </c>
      <c r="GLK17" s="314" t="s">
        <v>203</v>
      </c>
      <c r="GLL17" s="314" t="s">
        <v>203</v>
      </c>
      <c r="GLM17" s="314" t="s">
        <v>203</v>
      </c>
      <c r="GLN17" s="314" t="s">
        <v>203</v>
      </c>
      <c r="GLO17" s="314" t="s">
        <v>203</v>
      </c>
      <c r="GLP17" s="314" t="s">
        <v>203</v>
      </c>
      <c r="GLQ17" s="314" t="s">
        <v>203</v>
      </c>
      <c r="GLR17" s="314" t="s">
        <v>203</v>
      </c>
      <c r="GLS17" s="314" t="s">
        <v>203</v>
      </c>
      <c r="GLT17" s="314" t="s">
        <v>203</v>
      </c>
      <c r="GLU17" s="314" t="s">
        <v>203</v>
      </c>
      <c r="GLV17" s="314" t="s">
        <v>203</v>
      </c>
      <c r="GLW17" s="314" t="s">
        <v>203</v>
      </c>
      <c r="GLX17" s="314" t="s">
        <v>203</v>
      </c>
      <c r="GLY17" s="314" t="s">
        <v>203</v>
      </c>
      <c r="GLZ17" s="314" t="s">
        <v>203</v>
      </c>
      <c r="GMA17" s="314" t="s">
        <v>203</v>
      </c>
      <c r="GMB17" s="314" t="s">
        <v>203</v>
      </c>
      <c r="GMC17" s="314" t="s">
        <v>203</v>
      </c>
      <c r="GMD17" s="314" t="s">
        <v>203</v>
      </c>
      <c r="GME17" s="314" t="s">
        <v>203</v>
      </c>
      <c r="GMF17" s="314" t="s">
        <v>203</v>
      </c>
      <c r="GMG17" s="314" t="s">
        <v>203</v>
      </c>
      <c r="GMH17" s="314" t="s">
        <v>203</v>
      </c>
      <c r="GMI17" s="314" t="s">
        <v>203</v>
      </c>
      <c r="GMJ17" s="314" t="s">
        <v>203</v>
      </c>
      <c r="GMK17" s="314" t="s">
        <v>203</v>
      </c>
      <c r="GML17" s="314" t="s">
        <v>203</v>
      </c>
      <c r="GMM17" s="314" t="s">
        <v>203</v>
      </c>
      <c r="GMN17" s="314" t="s">
        <v>203</v>
      </c>
      <c r="GMO17" s="314" t="s">
        <v>203</v>
      </c>
      <c r="GMP17" s="314" t="s">
        <v>203</v>
      </c>
      <c r="GMQ17" s="314" t="s">
        <v>203</v>
      </c>
      <c r="GMR17" s="314" t="s">
        <v>203</v>
      </c>
      <c r="GMS17" s="314" t="s">
        <v>203</v>
      </c>
      <c r="GMT17" s="314" t="s">
        <v>203</v>
      </c>
      <c r="GMU17" s="314" t="s">
        <v>203</v>
      </c>
      <c r="GMV17" s="314" t="s">
        <v>203</v>
      </c>
      <c r="GMW17" s="314" t="s">
        <v>203</v>
      </c>
      <c r="GMX17" s="314" t="s">
        <v>203</v>
      </c>
      <c r="GMY17" s="314" t="s">
        <v>203</v>
      </c>
      <c r="GMZ17" s="314" t="s">
        <v>203</v>
      </c>
      <c r="GNA17" s="314" t="s">
        <v>203</v>
      </c>
      <c r="GNB17" s="314" t="s">
        <v>203</v>
      </c>
      <c r="GNC17" s="314" t="s">
        <v>203</v>
      </c>
      <c r="GND17" s="314" t="s">
        <v>203</v>
      </c>
      <c r="GNE17" s="314" t="s">
        <v>203</v>
      </c>
      <c r="GNF17" s="314" t="s">
        <v>203</v>
      </c>
      <c r="GNG17" s="314" t="s">
        <v>203</v>
      </c>
      <c r="GNH17" s="314" t="s">
        <v>203</v>
      </c>
      <c r="GNI17" s="314" t="s">
        <v>203</v>
      </c>
      <c r="GNJ17" s="314" t="s">
        <v>203</v>
      </c>
      <c r="GNK17" s="314" t="s">
        <v>203</v>
      </c>
      <c r="GNL17" s="314" t="s">
        <v>203</v>
      </c>
      <c r="GNM17" s="314" t="s">
        <v>203</v>
      </c>
      <c r="GNN17" s="314" t="s">
        <v>203</v>
      </c>
      <c r="GNO17" s="314" t="s">
        <v>203</v>
      </c>
      <c r="GNP17" s="314" t="s">
        <v>203</v>
      </c>
      <c r="GNQ17" s="314" t="s">
        <v>203</v>
      </c>
      <c r="GNR17" s="314" t="s">
        <v>203</v>
      </c>
      <c r="GNS17" s="314" t="s">
        <v>203</v>
      </c>
      <c r="GNT17" s="314" t="s">
        <v>203</v>
      </c>
      <c r="GNU17" s="314" t="s">
        <v>203</v>
      </c>
      <c r="GNV17" s="314" t="s">
        <v>203</v>
      </c>
      <c r="GNW17" s="314" t="s">
        <v>203</v>
      </c>
      <c r="GNX17" s="314" t="s">
        <v>203</v>
      </c>
      <c r="GNY17" s="314" t="s">
        <v>203</v>
      </c>
      <c r="GNZ17" s="314" t="s">
        <v>203</v>
      </c>
      <c r="GOA17" s="314" t="s">
        <v>203</v>
      </c>
      <c r="GOB17" s="314" t="s">
        <v>203</v>
      </c>
      <c r="GOC17" s="314" t="s">
        <v>203</v>
      </c>
      <c r="GOD17" s="314" t="s">
        <v>203</v>
      </c>
      <c r="GOE17" s="314" t="s">
        <v>203</v>
      </c>
      <c r="GOF17" s="314" t="s">
        <v>203</v>
      </c>
      <c r="GOG17" s="314" t="s">
        <v>203</v>
      </c>
      <c r="GOH17" s="314" t="s">
        <v>203</v>
      </c>
      <c r="GOI17" s="314" t="s">
        <v>203</v>
      </c>
      <c r="GOJ17" s="314" t="s">
        <v>203</v>
      </c>
      <c r="GOK17" s="314" t="s">
        <v>203</v>
      </c>
      <c r="GOL17" s="314" t="s">
        <v>203</v>
      </c>
      <c r="GOM17" s="314" t="s">
        <v>203</v>
      </c>
      <c r="GON17" s="314" t="s">
        <v>203</v>
      </c>
      <c r="GOO17" s="314" t="s">
        <v>203</v>
      </c>
      <c r="GOP17" s="314" t="s">
        <v>203</v>
      </c>
      <c r="GOQ17" s="314" t="s">
        <v>203</v>
      </c>
      <c r="GOR17" s="314" t="s">
        <v>203</v>
      </c>
      <c r="GOS17" s="314" t="s">
        <v>203</v>
      </c>
      <c r="GOT17" s="314" t="s">
        <v>203</v>
      </c>
      <c r="GOU17" s="314" t="s">
        <v>203</v>
      </c>
      <c r="GOV17" s="314" t="s">
        <v>203</v>
      </c>
      <c r="GOW17" s="314" t="s">
        <v>203</v>
      </c>
      <c r="GOX17" s="314" t="s">
        <v>203</v>
      </c>
      <c r="GOY17" s="314" t="s">
        <v>203</v>
      </c>
      <c r="GOZ17" s="314" t="s">
        <v>203</v>
      </c>
      <c r="GPA17" s="314" t="s">
        <v>203</v>
      </c>
      <c r="GPB17" s="314" t="s">
        <v>203</v>
      </c>
      <c r="GPC17" s="314" t="s">
        <v>203</v>
      </c>
      <c r="GPD17" s="314" t="s">
        <v>203</v>
      </c>
      <c r="GPE17" s="314" t="s">
        <v>203</v>
      </c>
      <c r="GPF17" s="314" t="s">
        <v>203</v>
      </c>
      <c r="GPG17" s="314" t="s">
        <v>203</v>
      </c>
      <c r="GPH17" s="314" t="s">
        <v>203</v>
      </c>
      <c r="GPI17" s="314" t="s">
        <v>203</v>
      </c>
      <c r="GPJ17" s="314" t="s">
        <v>203</v>
      </c>
      <c r="GPK17" s="314" t="s">
        <v>203</v>
      </c>
      <c r="GPL17" s="314" t="s">
        <v>203</v>
      </c>
      <c r="GPM17" s="314" t="s">
        <v>203</v>
      </c>
      <c r="GPN17" s="314" t="s">
        <v>203</v>
      </c>
      <c r="GPO17" s="314" t="s">
        <v>203</v>
      </c>
      <c r="GPP17" s="314" t="s">
        <v>203</v>
      </c>
      <c r="GPQ17" s="314" t="s">
        <v>203</v>
      </c>
      <c r="GPR17" s="314" t="s">
        <v>203</v>
      </c>
      <c r="GPS17" s="314" t="s">
        <v>203</v>
      </c>
      <c r="GPT17" s="314" t="s">
        <v>203</v>
      </c>
      <c r="GPU17" s="314" t="s">
        <v>203</v>
      </c>
      <c r="GPV17" s="314" t="s">
        <v>203</v>
      </c>
      <c r="GPW17" s="314" t="s">
        <v>203</v>
      </c>
      <c r="GPX17" s="314" t="s">
        <v>203</v>
      </c>
      <c r="GPY17" s="314" t="s">
        <v>203</v>
      </c>
      <c r="GPZ17" s="314" t="s">
        <v>203</v>
      </c>
      <c r="GQA17" s="314" t="s">
        <v>203</v>
      </c>
      <c r="GQB17" s="314" t="s">
        <v>203</v>
      </c>
      <c r="GQC17" s="314" t="s">
        <v>203</v>
      </c>
      <c r="GQD17" s="314" t="s">
        <v>203</v>
      </c>
      <c r="GQE17" s="314" t="s">
        <v>203</v>
      </c>
      <c r="GQF17" s="314" t="s">
        <v>203</v>
      </c>
      <c r="GQG17" s="314" t="s">
        <v>203</v>
      </c>
      <c r="GQH17" s="314" t="s">
        <v>203</v>
      </c>
      <c r="GQI17" s="314" t="s">
        <v>203</v>
      </c>
      <c r="GQJ17" s="314" t="s">
        <v>203</v>
      </c>
      <c r="GQK17" s="314" t="s">
        <v>203</v>
      </c>
      <c r="GQL17" s="314" t="s">
        <v>203</v>
      </c>
      <c r="GQM17" s="314" t="s">
        <v>203</v>
      </c>
      <c r="GQN17" s="314" t="s">
        <v>203</v>
      </c>
      <c r="GQO17" s="314" t="s">
        <v>203</v>
      </c>
      <c r="GQP17" s="314" t="s">
        <v>203</v>
      </c>
      <c r="GQQ17" s="314" t="s">
        <v>203</v>
      </c>
      <c r="GQR17" s="314" t="s">
        <v>203</v>
      </c>
      <c r="GQS17" s="314" t="s">
        <v>203</v>
      </c>
      <c r="GQT17" s="314" t="s">
        <v>203</v>
      </c>
      <c r="GQU17" s="314" t="s">
        <v>203</v>
      </c>
      <c r="GQV17" s="314" t="s">
        <v>203</v>
      </c>
      <c r="GQW17" s="314" t="s">
        <v>203</v>
      </c>
      <c r="GQX17" s="314" t="s">
        <v>203</v>
      </c>
      <c r="GQY17" s="314" t="s">
        <v>203</v>
      </c>
      <c r="GQZ17" s="314" t="s">
        <v>203</v>
      </c>
      <c r="GRA17" s="314" t="s">
        <v>203</v>
      </c>
      <c r="GRB17" s="314" t="s">
        <v>203</v>
      </c>
      <c r="GRC17" s="314" t="s">
        <v>203</v>
      </c>
      <c r="GRD17" s="314" t="s">
        <v>203</v>
      </c>
      <c r="GRE17" s="314" t="s">
        <v>203</v>
      </c>
      <c r="GRF17" s="314" t="s">
        <v>203</v>
      </c>
      <c r="GRG17" s="314" t="s">
        <v>203</v>
      </c>
      <c r="GRH17" s="314" t="s">
        <v>203</v>
      </c>
      <c r="GRI17" s="314" t="s">
        <v>203</v>
      </c>
      <c r="GRJ17" s="314" t="s">
        <v>203</v>
      </c>
      <c r="GRK17" s="314" t="s">
        <v>203</v>
      </c>
      <c r="GRL17" s="314" t="s">
        <v>203</v>
      </c>
      <c r="GRM17" s="314" t="s">
        <v>203</v>
      </c>
      <c r="GRN17" s="314" t="s">
        <v>203</v>
      </c>
      <c r="GRO17" s="314" t="s">
        <v>203</v>
      </c>
      <c r="GRP17" s="314" t="s">
        <v>203</v>
      </c>
      <c r="GRQ17" s="314" t="s">
        <v>203</v>
      </c>
      <c r="GRR17" s="314" t="s">
        <v>203</v>
      </c>
      <c r="GRS17" s="314" t="s">
        <v>203</v>
      </c>
      <c r="GRT17" s="314" t="s">
        <v>203</v>
      </c>
      <c r="GRU17" s="314" t="s">
        <v>203</v>
      </c>
      <c r="GRV17" s="314" t="s">
        <v>203</v>
      </c>
      <c r="GRW17" s="314" t="s">
        <v>203</v>
      </c>
      <c r="GRX17" s="314" t="s">
        <v>203</v>
      </c>
      <c r="GRY17" s="314" t="s">
        <v>203</v>
      </c>
      <c r="GRZ17" s="314" t="s">
        <v>203</v>
      </c>
      <c r="GSA17" s="314" t="s">
        <v>203</v>
      </c>
      <c r="GSB17" s="314" t="s">
        <v>203</v>
      </c>
      <c r="GSC17" s="314" t="s">
        <v>203</v>
      </c>
      <c r="GSD17" s="314" t="s">
        <v>203</v>
      </c>
      <c r="GSE17" s="314" t="s">
        <v>203</v>
      </c>
      <c r="GSF17" s="314" t="s">
        <v>203</v>
      </c>
      <c r="GSG17" s="314" t="s">
        <v>203</v>
      </c>
      <c r="GSH17" s="314" t="s">
        <v>203</v>
      </c>
      <c r="GSI17" s="314" t="s">
        <v>203</v>
      </c>
      <c r="GSJ17" s="314" t="s">
        <v>203</v>
      </c>
      <c r="GSK17" s="314" t="s">
        <v>203</v>
      </c>
      <c r="GSL17" s="314" t="s">
        <v>203</v>
      </c>
      <c r="GSM17" s="314" t="s">
        <v>203</v>
      </c>
      <c r="GSN17" s="314" t="s">
        <v>203</v>
      </c>
      <c r="GSO17" s="314" t="s">
        <v>203</v>
      </c>
      <c r="GSP17" s="314" t="s">
        <v>203</v>
      </c>
      <c r="GSQ17" s="314" t="s">
        <v>203</v>
      </c>
      <c r="GSR17" s="314" t="s">
        <v>203</v>
      </c>
      <c r="GSS17" s="314" t="s">
        <v>203</v>
      </c>
      <c r="GST17" s="314" t="s">
        <v>203</v>
      </c>
      <c r="GSU17" s="314" t="s">
        <v>203</v>
      </c>
      <c r="GSV17" s="314" t="s">
        <v>203</v>
      </c>
      <c r="GSW17" s="314" t="s">
        <v>203</v>
      </c>
      <c r="GSX17" s="314" t="s">
        <v>203</v>
      </c>
      <c r="GSY17" s="314" t="s">
        <v>203</v>
      </c>
      <c r="GSZ17" s="314" t="s">
        <v>203</v>
      </c>
      <c r="GTA17" s="314" t="s">
        <v>203</v>
      </c>
      <c r="GTB17" s="314" t="s">
        <v>203</v>
      </c>
      <c r="GTC17" s="314" t="s">
        <v>203</v>
      </c>
      <c r="GTD17" s="314" t="s">
        <v>203</v>
      </c>
      <c r="GTE17" s="314" t="s">
        <v>203</v>
      </c>
      <c r="GTF17" s="314" t="s">
        <v>203</v>
      </c>
      <c r="GTG17" s="314" t="s">
        <v>203</v>
      </c>
      <c r="GTH17" s="314" t="s">
        <v>203</v>
      </c>
      <c r="GTI17" s="314" t="s">
        <v>203</v>
      </c>
      <c r="GTJ17" s="314" t="s">
        <v>203</v>
      </c>
      <c r="GTK17" s="314" t="s">
        <v>203</v>
      </c>
      <c r="GTL17" s="314" t="s">
        <v>203</v>
      </c>
      <c r="GTM17" s="314" t="s">
        <v>203</v>
      </c>
      <c r="GTN17" s="314" t="s">
        <v>203</v>
      </c>
      <c r="GTO17" s="314" t="s">
        <v>203</v>
      </c>
      <c r="GTP17" s="314" t="s">
        <v>203</v>
      </c>
      <c r="GTQ17" s="314" t="s">
        <v>203</v>
      </c>
      <c r="GTR17" s="314" t="s">
        <v>203</v>
      </c>
      <c r="GTS17" s="314" t="s">
        <v>203</v>
      </c>
      <c r="GTT17" s="314" t="s">
        <v>203</v>
      </c>
      <c r="GTU17" s="314" t="s">
        <v>203</v>
      </c>
      <c r="GTV17" s="314" t="s">
        <v>203</v>
      </c>
      <c r="GTW17" s="314" t="s">
        <v>203</v>
      </c>
      <c r="GTX17" s="314" t="s">
        <v>203</v>
      </c>
      <c r="GTY17" s="314" t="s">
        <v>203</v>
      </c>
      <c r="GTZ17" s="314" t="s">
        <v>203</v>
      </c>
      <c r="GUA17" s="314" t="s">
        <v>203</v>
      </c>
      <c r="GUB17" s="314" t="s">
        <v>203</v>
      </c>
      <c r="GUC17" s="314" t="s">
        <v>203</v>
      </c>
      <c r="GUD17" s="314" t="s">
        <v>203</v>
      </c>
      <c r="GUE17" s="314" t="s">
        <v>203</v>
      </c>
      <c r="GUF17" s="314" t="s">
        <v>203</v>
      </c>
      <c r="GUG17" s="314" t="s">
        <v>203</v>
      </c>
      <c r="GUH17" s="314" t="s">
        <v>203</v>
      </c>
      <c r="GUI17" s="314" t="s">
        <v>203</v>
      </c>
      <c r="GUJ17" s="314" t="s">
        <v>203</v>
      </c>
      <c r="GUK17" s="314" t="s">
        <v>203</v>
      </c>
      <c r="GUL17" s="314" t="s">
        <v>203</v>
      </c>
      <c r="GUM17" s="314" t="s">
        <v>203</v>
      </c>
      <c r="GUN17" s="314" t="s">
        <v>203</v>
      </c>
      <c r="GUO17" s="314" t="s">
        <v>203</v>
      </c>
      <c r="GUP17" s="314" t="s">
        <v>203</v>
      </c>
      <c r="GUQ17" s="314" t="s">
        <v>203</v>
      </c>
      <c r="GUR17" s="314" t="s">
        <v>203</v>
      </c>
      <c r="GUS17" s="314" t="s">
        <v>203</v>
      </c>
      <c r="GUT17" s="314" t="s">
        <v>203</v>
      </c>
      <c r="GUU17" s="314" t="s">
        <v>203</v>
      </c>
      <c r="GUV17" s="314" t="s">
        <v>203</v>
      </c>
      <c r="GUW17" s="314" t="s">
        <v>203</v>
      </c>
      <c r="GUX17" s="314" t="s">
        <v>203</v>
      </c>
      <c r="GUY17" s="314" t="s">
        <v>203</v>
      </c>
      <c r="GUZ17" s="314" t="s">
        <v>203</v>
      </c>
      <c r="GVA17" s="314" t="s">
        <v>203</v>
      </c>
      <c r="GVB17" s="314" t="s">
        <v>203</v>
      </c>
      <c r="GVC17" s="314" t="s">
        <v>203</v>
      </c>
      <c r="GVD17" s="314" t="s">
        <v>203</v>
      </c>
      <c r="GVE17" s="314" t="s">
        <v>203</v>
      </c>
      <c r="GVF17" s="314" t="s">
        <v>203</v>
      </c>
      <c r="GVG17" s="314" t="s">
        <v>203</v>
      </c>
      <c r="GVH17" s="314" t="s">
        <v>203</v>
      </c>
      <c r="GVI17" s="314" t="s">
        <v>203</v>
      </c>
      <c r="GVJ17" s="314" t="s">
        <v>203</v>
      </c>
      <c r="GVK17" s="314" t="s">
        <v>203</v>
      </c>
      <c r="GVL17" s="314" t="s">
        <v>203</v>
      </c>
      <c r="GVM17" s="314" t="s">
        <v>203</v>
      </c>
      <c r="GVN17" s="314" t="s">
        <v>203</v>
      </c>
      <c r="GVO17" s="314" t="s">
        <v>203</v>
      </c>
      <c r="GVP17" s="314" t="s">
        <v>203</v>
      </c>
      <c r="GVQ17" s="314" t="s">
        <v>203</v>
      </c>
      <c r="GVR17" s="314" t="s">
        <v>203</v>
      </c>
      <c r="GVS17" s="314" t="s">
        <v>203</v>
      </c>
      <c r="GVT17" s="314" t="s">
        <v>203</v>
      </c>
      <c r="GVU17" s="314" t="s">
        <v>203</v>
      </c>
      <c r="GVV17" s="314" t="s">
        <v>203</v>
      </c>
      <c r="GVW17" s="314" t="s">
        <v>203</v>
      </c>
      <c r="GVX17" s="314" t="s">
        <v>203</v>
      </c>
      <c r="GVY17" s="314" t="s">
        <v>203</v>
      </c>
      <c r="GVZ17" s="314" t="s">
        <v>203</v>
      </c>
      <c r="GWA17" s="314" t="s">
        <v>203</v>
      </c>
      <c r="GWB17" s="314" t="s">
        <v>203</v>
      </c>
      <c r="GWC17" s="314" t="s">
        <v>203</v>
      </c>
      <c r="GWD17" s="314" t="s">
        <v>203</v>
      </c>
      <c r="GWE17" s="314" t="s">
        <v>203</v>
      </c>
      <c r="GWF17" s="314" t="s">
        <v>203</v>
      </c>
      <c r="GWG17" s="314" t="s">
        <v>203</v>
      </c>
      <c r="GWH17" s="314" t="s">
        <v>203</v>
      </c>
      <c r="GWI17" s="314" t="s">
        <v>203</v>
      </c>
      <c r="GWJ17" s="314" t="s">
        <v>203</v>
      </c>
      <c r="GWK17" s="314" t="s">
        <v>203</v>
      </c>
      <c r="GWL17" s="314" t="s">
        <v>203</v>
      </c>
      <c r="GWM17" s="314" t="s">
        <v>203</v>
      </c>
      <c r="GWN17" s="314" t="s">
        <v>203</v>
      </c>
      <c r="GWO17" s="314" t="s">
        <v>203</v>
      </c>
      <c r="GWP17" s="314" t="s">
        <v>203</v>
      </c>
      <c r="GWQ17" s="314" t="s">
        <v>203</v>
      </c>
      <c r="GWR17" s="314" t="s">
        <v>203</v>
      </c>
      <c r="GWS17" s="314" t="s">
        <v>203</v>
      </c>
      <c r="GWT17" s="314" t="s">
        <v>203</v>
      </c>
      <c r="GWU17" s="314" t="s">
        <v>203</v>
      </c>
      <c r="GWV17" s="314" t="s">
        <v>203</v>
      </c>
      <c r="GWW17" s="314" t="s">
        <v>203</v>
      </c>
      <c r="GWX17" s="314" t="s">
        <v>203</v>
      </c>
      <c r="GWY17" s="314" t="s">
        <v>203</v>
      </c>
      <c r="GWZ17" s="314" t="s">
        <v>203</v>
      </c>
      <c r="GXA17" s="314" t="s">
        <v>203</v>
      </c>
      <c r="GXB17" s="314" t="s">
        <v>203</v>
      </c>
      <c r="GXC17" s="314" t="s">
        <v>203</v>
      </c>
      <c r="GXD17" s="314" t="s">
        <v>203</v>
      </c>
      <c r="GXE17" s="314" t="s">
        <v>203</v>
      </c>
      <c r="GXF17" s="314" t="s">
        <v>203</v>
      </c>
      <c r="GXG17" s="314" t="s">
        <v>203</v>
      </c>
      <c r="GXH17" s="314" t="s">
        <v>203</v>
      </c>
      <c r="GXI17" s="314" t="s">
        <v>203</v>
      </c>
      <c r="GXJ17" s="314" t="s">
        <v>203</v>
      </c>
      <c r="GXK17" s="314" t="s">
        <v>203</v>
      </c>
      <c r="GXL17" s="314" t="s">
        <v>203</v>
      </c>
      <c r="GXM17" s="314" t="s">
        <v>203</v>
      </c>
      <c r="GXN17" s="314" t="s">
        <v>203</v>
      </c>
      <c r="GXO17" s="314" t="s">
        <v>203</v>
      </c>
      <c r="GXP17" s="314" t="s">
        <v>203</v>
      </c>
      <c r="GXQ17" s="314" t="s">
        <v>203</v>
      </c>
      <c r="GXR17" s="314" t="s">
        <v>203</v>
      </c>
      <c r="GXS17" s="314" t="s">
        <v>203</v>
      </c>
      <c r="GXT17" s="314" t="s">
        <v>203</v>
      </c>
      <c r="GXU17" s="314" t="s">
        <v>203</v>
      </c>
      <c r="GXV17" s="314" t="s">
        <v>203</v>
      </c>
      <c r="GXW17" s="314" t="s">
        <v>203</v>
      </c>
      <c r="GXX17" s="314" t="s">
        <v>203</v>
      </c>
      <c r="GXY17" s="314" t="s">
        <v>203</v>
      </c>
      <c r="GXZ17" s="314" t="s">
        <v>203</v>
      </c>
      <c r="GYA17" s="314" t="s">
        <v>203</v>
      </c>
      <c r="GYB17" s="314" t="s">
        <v>203</v>
      </c>
      <c r="GYC17" s="314" t="s">
        <v>203</v>
      </c>
      <c r="GYD17" s="314" t="s">
        <v>203</v>
      </c>
      <c r="GYE17" s="314" t="s">
        <v>203</v>
      </c>
      <c r="GYF17" s="314" t="s">
        <v>203</v>
      </c>
      <c r="GYG17" s="314" t="s">
        <v>203</v>
      </c>
      <c r="GYH17" s="314" t="s">
        <v>203</v>
      </c>
      <c r="GYI17" s="314" t="s">
        <v>203</v>
      </c>
      <c r="GYJ17" s="314" t="s">
        <v>203</v>
      </c>
      <c r="GYK17" s="314" t="s">
        <v>203</v>
      </c>
      <c r="GYL17" s="314" t="s">
        <v>203</v>
      </c>
      <c r="GYM17" s="314" t="s">
        <v>203</v>
      </c>
      <c r="GYN17" s="314" t="s">
        <v>203</v>
      </c>
      <c r="GYO17" s="314" t="s">
        <v>203</v>
      </c>
      <c r="GYP17" s="314" t="s">
        <v>203</v>
      </c>
      <c r="GYQ17" s="314" t="s">
        <v>203</v>
      </c>
      <c r="GYR17" s="314" t="s">
        <v>203</v>
      </c>
      <c r="GYS17" s="314" t="s">
        <v>203</v>
      </c>
      <c r="GYT17" s="314" t="s">
        <v>203</v>
      </c>
      <c r="GYU17" s="314" t="s">
        <v>203</v>
      </c>
      <c r="GYV17" s="314" t="s">
        <v>203</v>
      </c>
      <c r="GYW17" s="314" t="s">
        <v>203</v>
      </c>
      <c r="GYX17" s="314" t="s">
        <v>203</v>
      </c>
      <c r="GYY17" s="314" t="s">
        <v>203</v>
      </c>
      <c r="GYZ17" s="314" t="s">
        <v>203</v>
      </c>
      <c r="GZA17" s="314" t="s">
        <v>203</v>
      </c>
      <c r="GZB17" s="314" t="s">
        <v>203</v>
      </c>
      <c r="GZC17" s="314" t="s">
        <v>203</v>
      </c>
      <c r="GZD17" s="314" t="s">
        <v>203</v>
      </c>
      <c r="GZE17" s="314" t="s">
        <v>203</v>
      </c>
      <c r="GZF17" s="314" t="s">
        <v>203</v>
      </c>
      <c r="GZG17" s="314" t="s">
        <v>203</v>
      </c>
      <c r="GZH17" s="314" t="s">
        <v>203</v>
      </c>
      <c r="GZI17" s="314" t="s">
        <v>203</v>
      </c>
      <c r="GZJ17" s="314" t="s">
        <v>203</v>
      </c>
      <c r="GZK17" s="314" t="s">
        <v>203</v>
      </c>
      <c r="GZL17" s="314" t="s">
        <v>203</v>
      </c>
      <c r="GZM17" s="314" t="s">
        <v>203</v>
      </c>
      <c r="GZN17" s="314" t="s">
        <v>203</v>
      </c>
      <c r="GZO17" s="314" t="s">
        <v>203</v>
      </c>
      <c r="GZP17" s="314" t="s">
        <v>203</v>
      </c>
      <c r="GZQ17" s="314" t="s">
        <v>203</v>
      </c>
      <c r="GZR17" s="314" t="s">
        <v>203</v>
      </c>
      <c r="GZS17" s="314" t="s">
        <v>203</v>
      </c>
      <c r="GZT17" s="314" t="s">
        <v>203</v>
      </c>
      <c r="GZU17" s="314" t="s">
        <v>203</v>
      </c>
      <c r="GZV17" s="314" t="s">
        <v>203</v>
      </c>
      <c r="GZW17" s="314" t="s">
        <v>203</v>
      </c>
      <c r="GZX17" s="314" t="s">
        <v>203</v>
      </c>
      <c r="GZY17" s="314" t="s">
        <v>203</v>
      </c>
      <c r="GZZ17" s="314" t="s">
        <v>203</v>
      </c>
      <c r="HAA17" s="314" t="s">
        <v>203</v>
      </c>
      <c r="HAB17" s="314" t="s">
        <v>203</v>
      </c>
      <c r="HAC17" s="314" t="s">
        <v>203</v>
      </c>
      <c r="HAD17" s="314" t="s">
        <v>203</v>
      </c>
      <c r="HAE17" s="314" t="s">
        <v>203</v>
      </c>
      <c r="HAF17" s="314" t="s">
        <v>203</v>
      </c>
      <c r="HAG17" s="314" t="s">
        <v>203</v>
      </c>
      <c r="HAH17" s="314" t="s">
        <v>203</v>
      </c>
      <c r="HAI17" s="314" t="s">
        <v>203</v>
      </c>
      <c r="HAJ17" s="314" t="s">
        <v>203</v>
      </c>
      <c r="HAK17" s="314" t="s">
        <v>203</v>
      </c>
      <c r="HAL17" s="314" t="s">
        <v>203</v>
      </c>
      <c r="HAM17" s="314" t="s">
        <v>203</v>
      </c>
      <c r="HAN17" s="314" t="s">
        <v>203</v>
      </c>
      <c r="HAO17" s="314" t="s">
        <v>203</v>
      </c>
      <c r="HAP17" s="314" t="s">
        <v>203</v>
      </c>
      <c r="HAQ17" s="314" t="s">
        <v>203</v>
      </c>
      <c r="HAR17" s="314" t="s">
        <v>203</v>
      </c>
      <c r="HAS17" s="314" t="s">
        <v>203</v>
      </c>
      <c r="HAT17" s="314" t="s">
        <v>203</v>
      </c>
      <c r="HAU17" s="314" t="s">
        <v>203</v>
      </c>
      <c r="HAV17" s="314" t="s">
        <v>203</v>
      </c>
      <c r="HAW17" s="314" t="s">
        <v>203</v>
      </c>
      <c r="HAX17" s="314" t="s">
        <v>203</v>
      </c>
      <c r="HAY17" s="314" t="s">
        <v>203</v>
      </c>
      <c r="HAZ17" s="314" t="s">
        <v>203</v>
      </c>
      <c r="HBA17" s="314" t="s">
        <v>203</v>
      </c>
      <c r="HBB17" s="314" t="s">
        <v>203</v>
      </c>
      <c r="HBC17" s="314" t="s">
        <v>203</v>
      </c>
      <c r="HBD17" s="314" t="s">
        <v>203</v>
      </c>
      <c r="HBE17" s="314" t="s">
        <v>203</v>
      </c>
      <c r="HBF17" s="314" t="s">
        <v>203</v>
      </c>
      <c r="HBG17" s="314" t="s">
        <v>203</v>
      </c>
      <c r="HBH17" s="314" t="s">
        <v>203</v>
      </c>
      <c r="HBI17" s="314" t="s">
        <v>203</v>
      </c>
      <c r="HBJ17" s="314" t="s">
        <v>203</v>
      </c>
      <c r="HBK17" s="314" t="s">
        <v>203</v>
      </c>
      <c r="HBL17" s="314" t="s">
        <v>203</v>
      </c>
      <c r="HBM17" s="314" t="s">
        <v>203</v>
      </c>
      <c r="HBN17" s="314" t="s">
        <v>203</v>
      </c>
      <c r="HBO17" s="314" t="s">
        <v>203</v>
      </c>
      <c r="HBP17" s="314" t="s">
        <v>203</v>
      </c>
      <c r="HBQ17" s="314" t="s">
        <v>203</v>
      </c>
      <c r="HBR17" s="314" t="s">
        <v>203</v>
      </c>
      <c r="HBS17" s="314" t="s">
        <v>203</v>
      </c>
      <c r="HBT17" s="314" t="s">
        <v>203</v>
      </c>
      <c r="HBU17" s="314" t="s">
        <v>203</v>
      </c>
      <c r="HBV17" s="314" t="s">
        <v>203</v>
      </c>
      <c r="HBW17" s="314" t="s">
        <v>203</v>
      </c>
      <c r="HBX17" s="314" t="s">
        <v>203</v>
      </c>
      <c r="HBY17" s="314" t="s">
        <v>203</v>
      </c>
      <c r="HBZ17" s="314" t="s">
        <v>203</v>
      </c>
      <c r="HCA17" s="314" t="s">
        <v>203</v>
      </c>
      <c r="HCB17" s="314" t="s">
        <v>203</v>
      </c>
      <c r="HCC17" s="314" t="s">
        <v>203</v>
      </c>
      <c r="HCD17" s="314" t="s">
        <v>203</v>
      </c>
      <c r="HCE17" s="314" t="s">
        <v>203</v>
      </c>
      <c r="HCF17" s="314" t="s">
        <v>203</v>
      </c>
      <c r="HCG17" s="314" t="s">
        <v>203</v>
      </c>
      <c r="HCH17" s="314" t="s">
        <v>203</v>
      </c>
      <c r="HCI17" s="314" t="s">
        <v>203</v>
      </c>
      <c r="HCJ17" s="314" t="s">
        <v>203</v>
      </c>
      <c r="HCK17" s="314" t="s">
        <v>203</v>
      </c>
      <c r="HCL17" s="314" t="s">
        <v>203</v>
      </c>
      <c r="HCM17" s="314" t="s">
        <v>203</v>
      </c>
      <c r="HCN17" s="314" t="s">
        <v>203</v>
      </c>
      <c r="HCO17" s="314" t="s">
        <v>203</v>
      </c>
      <c r="HCP17" s="314" t="s">
        <v>203</v>
      </c>
      <c r="HCQ17" s="314" t="s">
        <v>203</v>
      </c>
      <c r="HCR17" s="314" t="s">
        <v>203</v>
      </c>
      <c r="HCS17" s="314" t="s">
        <v>203</v>
      </c>
      <c r="HCT17" s="314" t="s">
        <v>203</v>
      </c>
      <c r="HCU17" s="314" t="s">
        <v>203</v>
      </c>
      <c r="HCV17" s="314" t="s">
        <v>203</v>
      </c>
      <c r="HCW17" s="314" t="s">
        <v>203</v>
      </c>
      <c r="HCX17" s="314" t="s">
        <v>203</v>
      </c>
      <c r="HCY17" s="314" t="s">
        <v>203</v>
      </c>
      <c r="HCZ17" s="314" t="s">
        <v>203</v>
      </c>
      <c r="HDA17" s="314" t="s">
        <v>203</v>
      </c>
      <c r="HDB17" s="314" t="s">
        <v>203</v>
      </c>
      <c r="HDC17" s="314" t="s">
        <v>203</v>
      </c>
      <c r="HDD17" s="314" t="s">
        <v>203</v>
      </c>
      <c r="HDE17" s="314" t="s">
        <v>203</v>
      </c>
      <c r="HDF17" s="314" t="s">
        <v>203</v>
      </c>
      <c r="HDG17" s="314" t="s">
        <v>203</v>
      </c>
      <c r="HDH17" s="314" t="s">
        <v>203</v>
      </c>
      <c r="HDI17" s="314" t="s">
        <v>203</v>
      </c>
      <c r="HDJ17" s="314" t="s">
        <v>203</v>
      </c>
      <c r="HDK17" s="314" t="s">
        <v>203</v>
      </c>
      <c r="HDL17" s="314" t="s">
        <v>203</v>
      </c>
      <c r="HDM17" s="314" t="s">
        <v>203</v>
      </c>
      <c r="HDN17" s="314" t="s">
        <v>203</v>
      </c>
      <c r="HDO17" s="314" t="s">
        <v>203</v>
      </c>
      <c r="HDP17" s="314" t="s">
        <v>203</v>
      </c>
      <c r="HDQ17" s="314" t="s">
        <v>203</v>
      </c>
      <c r="HDR17" s="314" t="s">
        <v>203</v>
      </c>
      <c r="HDS17" s="314" t="s">
        <v>203</v>
      </c>
      <c r="HDT17" s="314" t="s">
        <v>203</v>
      </c>
      <c r="HDU17" s="314" t="s">
        <v>203</v>
      </c>
      <c r="HDV17" s="314" t="s">
        <v>203</v>
      </c>
      <c r="HDW17" s="314" t="s">
        <v>203</v>
      </c>
      <c r="HDX17" s="314" t="s">
        <v>203</v>
      </c>
      <c r="HDY17" s="314" t="s">
        <v>203</v>
      </c>
      <c r="HDZ17" s="314" t="s">
        <v>203</v>
      </c>
      <c r="HEA17" s="314" t="s">
        <v>203</v>
      </c>
      <c r="HEB17" s="314" t="s">
        <v>203</v>
      </c>
      <c r="HEC17" s="314" t="s">
        <v>203</v>
      </c>
      <c r="HED17" s="314" t="s">
        <v>203</v>
      </c>
      <c r="HEE17" s="314" t="s">
        <v>203</v>
      </c>
      <c r="HEF17" s="314" t="s">
        <v>203</v>
      </c>
      <c r="HEG17" s="314" t="s">
        <v>203</v>
      </c>
      <c r="HEH17" s="314" t="s">
        <v>203</v>
      </c>
      <c r="HEI17" s="314" t="s">
        <v>203</v>
      </c>
      <c r="HEJ17" s="314" t="s">
        <v>203</v>
      </c>
      <c r="HEK17" s="314" t="s">
        <v>203</v>
      </c>
      <c r="HEL17" s="314" t="s">
        <v>203</v>
      </c>
      <c r="HEM17" s="314" t="s">
        <v>203</v>
      </c>
      <c r="HEN17" s="314" t="s">
        <v>203</v>
      </c>
      <c r="HEO17" s="314" t="s">
        <v>203</v>
      </c>
      <c r="HEP17" s="314" t="s">
        <v>203</v>
      </c>
      <c r="HEQ17" s="314" t="s">
        <v>203</v>
      </c>
      <c r="HER17" s="314" t="s">
        <v>203</v>
      </c>
      <c r="HES17" s="314" t="s">
        <v>203</v>
      </c>
      <c r="HET17" s="314" t="s">
        <v>203</v>
      </c>
      <c r="HEU17" s="314" t="s">
        <v>203</v>
      </c>
      <c r="HEV17" s="314" t="s">
        <v>203</v>
      </c>
      <c r="HEW17" s="314" t="s">
        <v>203</v>
      </c>
      <c r="HEX17" s="314" t="s">
        <v>203</v>
      </c>
      <c r="HEY17" s="314" t="s">
        <v>203</v>
      </c>
      <c r="HEZ17" s="314" t="s">
        <v>203</v>
      </c>
      <c r="HFA17" s="314" t="s">
        <v>203</v>
      </c>
      <c r="HFB17" s="314" t="s">
        <v>203</v>
      </c>
      <c r="HFC17" s="314" t="s">
        <v>203</v>
      </c>
      <c r="HFD17" s="314" t="s">
        <v>203</v>
      </c>
      <c r="HFE17" s="314" t="s">
        <v>203</v>
      </c>
      <c r="HFF17" s="314" t="s">
        <v>203</v>
      </c>
      <c r="HFG17" s="314" t="s">
        <v>203</v>
      </c>
      <c r="HFH17" s="314" t="s">
        <v>203</v>
      </c>
      <c r="HFI17" s="314" t="s">
        <v>203</v>
      </c>
      <c r="HFJ17" s="314" t="s">
        <v>203</v>
      </c>
      <c r="HFK17" s="314" t="s">
        <v>203</v>
      </c>
      <c r="HFL17" s="314" t="s">
        <v>203</v>
      </c>
      <c r="HFM17" s="314" t="s">
        <v>203</v>
      </c>
      <c r="HFN17" s="314" t="s">
        <v>203</v>
      </c>
      <c r="HFO17" s="314" t="s">
        <v>203</v>
      </c>
      <c r="HFP17" s="314" t="s">
        <v>203</v>
      </c>
      <c r="HFQ17" s="314" t="s">
        <v>203</v>
      </c>
      <c r="HFR17" s="314" t="s">
        <v>203</v>
      </c>
      <c r="HFS17" s="314" t="s">
        <v>203</v>
      </c>
      <c r="HFT17" s="314" t="s">
        <v>203</v>
      </c>
      <c r="HFU17" s="314" t="s">
        <v>203</v>
      </c>
      <c r="HFV17" s="314" t="s">
        <v>203</v>
      </c>
      <c r="HFW17" s="314" t="s">
        <v>203</v>
      </c>
      <c r="HFX17" s="314" t="s">
        <v>203</v>
      </c>
      <c r="HFY17" s="314" t="s">
        <v>203</v>
      </c>
      <c r="HFZ17" s="314" t="s">
        <v>203</v>
      </c>
      <c r="HGA17" s="314" t="s">
        <v>203</v>
      </c>
      <c r="HGB17" s="314" t="s">
        <v>203</v>
      </c>
      <c r="HGC17" s="314" t="s">
        <v>203</v>
      </c>
      <c r="HGD17" s="314" t="s">
        <v>203</v>
      </c>
      <c r="HGE17" s="314" t="s">
        <v>203</v>
      </c>
      <c r="HGF17" s="314" t="s">
        <v>203</v>
      </c>
      <c r="HGG17" s="314" t="s">
        <v>203</v>
      </c>
      <c r="HGH17" s="314" t="s">
        <v>203</v>
      </c>
      <c r="HGI17" s="314" t="s">
        <v>203</v>
      </c>
      <c r="HGJ17" s="314" t="s">
        <v>203</v>
      </c>
      <c r="HGK17" s="314" t="s">
        <v>203</v>
      </c>
      <c r="HGL17" s="314" t="s">
        <v>203</v>
      </c>
      <c r="HGM17" s="314" t="s">
        <v>203</v>
      </c>
      <c r="HGN17" s="314" t="s">
        <v>203</v>
      </c>
      <c r="HGO17" s="314" t="s">
        <v>203</v>
      </c>
      <c r="HGP17" s="314" t="s">
        <v>203</v>
      </c>
      <c r="HGQ17" s="314" t="s">
        <v>203</v>
      </c>
      <c r="HGR17" s="314" t="s">
        <v>203</v>
      </c>
      <c r="HGS17" s="314" t="s">
        <v>203</v>
      </c>
      <c r="HGT17" s="314" t="s">
        <v>203</v>
      </c>
      <c r="HGU17" s="314" t="s">
        <v>203</v>
      </c>
      <c r="HGV17" s="314" t="s">
        <v>203</v>
      </c>
      <c r="HGW17" s="314" t="s">
        <v>203</v>
      </c>
      <c r="HGX17" s="314" t="s">
        <v>203</v>
      </c>
      <c r="HGY17" s="314" t="s">
        <v>203</v>
      </c>
      <c r="HGZ17" s="314" t="s">
        <v>203</v>
      </c>
      <c r="HHA17" s="314" t="s">
        <v>203</v>
      </c>
      <c r="HHB17" s="314" t="s">
        <v>203</v>
      </c>
      <c r="HHC17" s="314" t="s">
        <v>203</v>
      </c>
      <c r="HHD17" s="314" t="s">
        <v>203</v>
      </c>
      <c r="HHE17" s="314" t="s">
        <v>203</v>
      </c>
      <c r="HHF17" s="314" t="s">
        <v>203</v>
      </c>
      <c r="HHG17" s="314" t="s">
        <v>203</v>
      </c>
      <c r="HHH17" s="314" t="s">
        <v>203</v>
      </c>
      <c r="HHI17" s="314" t="s">
        <v>203</v>
      </c>
      <c r="HHJ17" s="314" t="s">
        <v>203</v>
      </c>
      <c r="HHK17" s="314" t="s">
        <v>203</v>
      </c>
      <c r="HHL17" s="314" t="s">
        <v>203</v>
      </c>
      <c r="HHM17" s="314" t="s">
        <v>203</v>
      </c>
      <c r="HHN17" s="314" t="s">
        <v>203</v>
      </c>
      <c r="HHO17" s="314" t="s">
        <v>203</v>
      </c>
      <c r="HHP17" s="314" t="s">
        <v>203</v>
      </c>
      <c r="HHQ17" s="314" t="s">
        <v>203</v>
      </c>
      <c r="HHR17" s="314" t="s">
        <v>203</v>
      </c>
      <c r="HHS17" s="314" t="s">
        <v>203</v>
      </c>
      <c r="HHT17" s="314" t="s">
        <v>203</v>
      </c>
      <c r="HHU17" s="314" t="s">
        <v>203</v>
      </c>
      <c r="HHV17" s="314" t="s">
        <v>203</v>
      </c>
      <c r="HHW17" s="314" t="s">
        <v>203</v>
      </c>
      <c r="HHX17" s="314" t="s">
        <v>203</v>
      </c>
      <c r="HHY17" s="314" t="s">
        <v>203</v>
      </c>
      <c r="HHZ17" s="314" t="s">
        <v>203</v>
      </c>
      <c r="HIA17" s="314" t="s">
        <v>203</v>
      </c>
      <c r="HIB17" s="314" t="s">
        <v>203</v>
      </c>
      <c r="HIC17" s="314" t="s">
        <v>203</v>
      </c>
      <c r="HID17" s="314" t="s">
        <v>203</v>
      </c>
      <c r="HIE17" s="314" t="s">
        <v>203</v>
      </c>
      <c r="HIF17" s="314" t="s">
        <v>203</v>
      </c>
      <c r="HIG17" s="314" t="s">
        <v>203</v>
      </c>
      <c r="HIH17" s="314" t="s">
        <v>203</v>
      </c>
      <c r="HII17" s="314" t="s">
        <v>203</v>
      </c>
      <c r="HIJ17" s="314" t="s">
        <v>203</v>
      </c>
      <c r="HIK17" s="314" t="s">
        <v>203</v>
      </c>
      <c r="HIL17" s="314" t="s">
        <v>203</v>
      </c>
      <c r="HIM17" s="314" t="s">
        <v>203</v>
      </c>
      <c r="HIN17" s="314" t="s">
        <v>203</v>
      </c>
      <c r="HIO17" s="314" t="s">
        <v>203</v>
      </c>
      <c r="HIP17" s="314" t="s">
        <v>203</v>
      </c>
      <c r="HIQ17" s="314" t="s">
        <v>203</v>
      </c>
      <c r="HIR17" s="314" t="s">
        <v>203</v>
      </c>
      <c r="HIS17" s="314" t="s">
        <v>203</v>
      </c>
      <c r="HIT17" s="314" t="s">
        <v>203</v>
      </c>
      <c r="HIU17" s="314" t="s">
        <v>203</v>
      </c>
      <c r="HIV17" s="314" t="s">
        <v>203</v>
      </c>
      <c r="HIW17" s="314" t="s">
        <v>203</v>
      </c>
      <c r="HIX17" s="314" t="s">
        <v>203</v>
      </c>
      <c r="HIY17" s="314" t="s">
        <v>203</v>
      </c>
      <c r="HIZ17" s="314" t="s">
        <v>203</v>
      </c>
      <c r="HJA17" s="314" t="s">
        <v>203</v>
      </c>
      <c r="HJB17" s="314" t="s">
        <v>203</v>
      </c>
      <c r="HJC17" s="314" t="s">
        <v>203</v>
      </c>
      <c r="HJD17" s="314" t="s">
        <v>203</v>
      </c>
      <c r="HJE17" s="314" t="s">
        <v>203</v>
      </c>
      <c r="HJF17" s="314" t="s">
        <v>203</v>
      </c>
      <c r="HJG17" s="314" t="s">
        <v>203</v>
      </c>
      <c r="HJH17" s="314" t="s">
        <v>203</v>
      </c>
      <c r="HJI17" s="314" t="s">
        <v>203</v>
      </c>
      <c r="HJJ17" s="314" t="s">
        <v>203</v>
      </c>
      <c r="HJK17" s="314" t="s">
        <v>203</v>
      </c>
      <c r="HJL17" s="314" t="s">
        <v>203</v>
      </c>
      <c r="HJM17" s="314" t="s">
        <v>203</v>
      </c>
      <c r="HJN17" s="314" t="s">
        <v>203</v>
      </c>
      <c r="HJO17" s="314" t="s">
        <v>203</v>
      </c>
      <c r="HJP17" s="314" t="s">
        <v>203</v>
      </c>
      <c r="HJQ17" s="314" t="s">
        <v>203</v>
      </c>
      <c r="HJR17" s="314" t="s">
        <v>203</v>
      </c>
      <c r="HJS17" s="314" t="s">
        <v>203</v>
      </c>
      <c r="HJT17" s="314" t="s">
        <v>203</v>
      </c>
      <c r="HJU17" s="314" t="s">
        <v>203</v>
      </c>
      <c r="HJV17" s="314" t="s">
        <v>203</v>
      </c>
      <c r="HJW17" s="314" t="s">
        <v>203</v>
      </c>
      <c r="HJX17" s="314" t="s">
        <v>203</v>
      </c>
      <c r="HJY17" s="314" t="s">
        <v>203</v>
      </c>
      <c r="HJZ17" s="314" t="s">
        <v>203</v>
      </c>
      <c r="HKA17" s="314" t="s">
        <v>203</v>
      </c>
      <c r="HKB17" s="314" t="s">
        <v>203</v>
      </c>
      <c r="HKC17" s="314" t="s">
        <v>203</v>
      </c>
      <c r="HKD17" s="314" t="s">
        <v>203</v>
      </c>
      <c r="HKE17" s="314" t="s">
        <v>203</v>
      </c>
      <c r="HKF17" s="314" t="s">
        <v>203</v>
      </c>
      <c r="HKG17" s="314" t="s">
        <v>203</v>
      </c>
      <c r="HKH17" s="314" t="s">
        <v>203</v>
      </c>
      <c r="HKI17" s="314" t="s">
        <v>203</v>
      </c>
      <c r="HKJ17" s="314" t="s">
        <v>203</v>
      </c>
      <c r="HKK17" s="314" t="s">
        <v>203</v>
      </c>
      <c r="HKL17" s="314" t="s">
        <v>203</v>
      </c>
      <c r="HKM17" s="314" t="s">
        <v>203</v>
      </c>
      <c r="HKN17" s="314" t="s">
        <v>203</v>
      </c>
      <c r="HKO17" s="314" t="s">
        <v>203</v>
      </c>
      <c r="HKP17" s="314" t="s">
        <v>203</v>
      </c>
      <c r="HKQ17" s="314" t="s">
        <v>203</v>
      </c>
      <c r="HKR17" s="314" t="s">
        <v>203</v>
      </c>
      <c r="HKS17" s="314" t="s">
        <v>203</v>
      </c>
      <c r="HKT17" s="314" t="s">
        <v>203</v>
      </c>
      <c r="HKU17" s="314" t="s">
        <v>203</v>
      </c>
      <c r="HKV17" s="314" t="s">
        <v>203</v>
      </c>
      <c r="HKW17" s="314" t="s">
        <v>203</v>
      </c>
      <c r="HKX17" s="314" t="s">
        <v>203</v>
      </c>
      <c r="HKY17" s="314" t="s">
        <v>203</v>
      </c>
      <c r="HKZ17" s="314" t="s">
        <v>203</v>
      </c>
      <c r="HLA17" s="314" t="s">
        <v>203</v>
      </c>
      <c r="HLB17" s="314" t="s">
        <v>203</v>
      </c>
      <c r="HLC17" s="314" t="s">
        <v>203</v>
      </c>
      <c r="HLD17" s="314" t="s">
        <v>203</v>
      </c>
      <c r="HLE17" s="314" t="s">
        <v>203</v>
      </c>
      <c r="HLF17" s="314" t="s">
        <v>203</v>
      </c>
      <c r="HLG17" s="314" t="s">
        <v>203</v>
      </c>
      <c r="HLH17" s="314" t="s">
        <v>203</v>
      </c>
      <c r="HLI17" s="314" t="s">
        <v>203</v>
      </c>
      <c r="HLJ17" s="314" t="s">
        <v>203</v>
      </c>
      <c r="HLK17" s="314" t="s">
        <v>203</v>
      </c>
      <c r="HLL17" s="314" t="s">
        <v>203</v>
      </c>
      <c r="HLM17" s="314" t="s">
        <v>203</v>
      </c>
      <c r="HLN17" s="314" t="s">
        <v>203</v>
      </c>
      <c r="HLO17" s="314" t="s">
        <v>203</v>
      </c>
      <c r="HLP17" s="314" t="s">
        <v>203</v>
      </c>
      <c r="HLQ17" s="314" t="s">
        <v>203</v>
      </c>
      <c r="HLR17" s="314" t="s">
        <v>203</v>
      </c>
      <c r="HLS17" s="314" t="s">
        <v>203</v>
      </c>
      <c r="HLT17" s="314" t="s">
        <v>203</v>
      </c>
      <c r="HLU17" s="314" t="s">
        <v>203</v>
      </c>
      <c r="HLV17" s="314" t="s">
        <v>203</v>
      </c>
      <c r="HLW17" s="314" t="s">
        <v>203</v>
      </c>
      <c r="HLX17" s="314" t="s">
        <v>203</v>
      </c>
      <c r="HLY17" s="314" t="s">
        <v>203</v>
      </c>
      <c r="HLZ17" s="314" t="s">
        <v>203</v>
      </c>
      <c r="HMA17" s="314" t="s">
        <v>203</v>
      </c>
      <c r="HMB17" s="314" t="s">
        <v>203</v>
      </c>
      <c r="HMC17" s="314" t="s">
        <v>203</v>
      </c>
      <c r="HMD17" s="314" t="s">
        <v>203</v>
      </c>
      <c r="HME17" s="314" t="s">
        <v>203</v>
      </c>
      <c r="HMF17" s="314" t="s">
        <v>203</v>
      </c>
      <c r="HMG17" s="314" t="s">
        <v>203</v>
      </c>
      <c r="HMH17" s="314" t="s">
        <v>203</v>
      </c>
      <c r="HMI17" s="314" t="s">
        <v>203</v>
      </c>
      <c r="HMJ17" s="314" t="s">
        <v>203</v>
      </c>
      <c r="HMK17" s="314" t="s">
        <v>203</v>
      </c>
      <c r="HML17" s="314" t="s">
        <v>203</v>
      </c>
      <c r="HMM17" s="314" t="s">
        <v>203</v>
      </c>
      <c r="HMN17" s="314" t="s">
        <v>203</v>
      </c>
      <c r="HMO17" s="314" t="s">
        <v>203</v>
      </c>
      <c r="HMP17" s="314" t="s">
        <v>203</v>
      </c>
      <c r="HMQ17" s="314" t="s">
        <v>203</v>
      </c>
      <c r="HMR17" s="314" t="s">
        <v>203</v>
      </c>
      <c r="HMS17" s="314" t="s">
        <v>203</v>
      </c>
      <c r="HMT17" s="314" t="s">
        <v>203</v>
      </c>
      <c r="HMU17" s="314" t="s">
        <v>203</v>
      </c>
      <c r="HMV17" s="314" t="s">
        <v>203</v>
      </c>
      <c r="HMW17" s="314" t="s">
        <v>203</v>
      </c>
      <c r="HMX17" s="314" t="s">
        <v>203</v>
      </c>
      <c r="HMY17" s="314" t="s">
        <v>203</v>
      </c>
      <c r="HMZ17" s="314" t="s">
        <v>203</v>
      </c>
      <c r="HNA17" s="314" t="s">
        <v>203</v>
      </c>
      <c r="HNB17" s="314" t="s">
        <v>203</v>
      </c>
      <c r="HNC17" s="314" t="s">
        <v>203</v>
      </c>
      <c r="HND17" s="314" t="s">
        <v>203</v>
      </c>
      <c r="HNE17" s="314" t="s">
        <v>203</v>
      </c>
      <c r="HNF17" s="314" t="s">
        <v>203</v>
      </c>
      <c r="HNG17" s="314" t="s">
        <v>203</v>
      </c>
      <c r="HNH17" s="314" t="s">
        <v>203</v>
      </c>
      <c r="HNI17" s="314" t="s">
        <v>203</v>
      </c>
      <c r="HNJ17" s="314" t="s">
        <v>203</v>
      </c>
      <c r="HNK17" s="314" t="s">
        <v>203</v>
      </c>
      <c r="HNL17" s="314" t="s">
        <v>203</v>
      </c>
      <c r="HNM17" s="314" t="s">
        <v>203</v>
      </c>
      <c r="HNN17" s="314" t="s">
        <v>203</v>
      </c>
      <c r="HNO17" s="314" t="s">
        <v>203</v>
      </c>
      <c r="HNP17" s="314" t="s">
        <v>203</v>
      </c>
      <c r="HNQ17" s="314" t="s">
        <v>203</v>
      </c>
      <c r="HNR17" s="314" t="s">
        <v>203</v>
      </c>
      <c r="HNS17" s="314" t="s">
        <v>203</v>
      </c>
      <c r="HNT17" s="314" t="s">
        <v>203</v>
      </c>
      <c r="HNU17" s="314" t="s">
        <v>203</v>
      </c>
      <c r="HNV17" s="314" t="s">
        <v>203</v>
      </c>
      <c r="HNW17" s="314" t="s">
        <v>203</v>
      </c>
      <c r="HNX17" s="314" t="s">
        <v>203</v>
      </c>
      <c r="HNY17" s="314" t="s">
        <v>203</v>
      </c>
      <c r="HNZ17" s="314" t="s">
        <v>203</v>
      </c>
      <c r="HOA17" s="314" t="s">
        <v>203</v>
      </c>
      <c r="HOB17" s="314" t="s">
        <v>203</v>
      </c>
      <c r="HOC17" s="314" t="s">
        <v>203</v>
      </c>
      <c r="HOD17" s="314" t="s">
        <v>203</v>
      </c>
      <c r="HOE17" s="314" t="s">
        <v>203</v>
      </c>
      <c r="HOF17" s="314" t="s">
        <v>203</v>
      </c>
      <c r="HOG17" s="314" t="s">
        <v>203</v>
      </c>
      <c r="HOH17" s="314" t="s">
        <v>203</v>
      </c>
      <c r="HOI17" s="314" t="s">
        <v>203</v>
      </c>
      <c r="HOJ17" s="314" t="s">
        <v>203</v>
      </c>
      <c r="HOK17" s="314" t="s">
        <v>203</v>
      </c>
      <c r="HOL17" s="314" t="s">
        <v>203</v>
      </c>
      <c r="HOM17" s="314" t="s">
        <v>203</v>
      </c>
      <c r="HON17" s="314" t="s">
        <v>203</v>
      </c>
      <c r="HOO17" s="314" t="s">
        <v>203</v>
      </c>
      <c r="HOP17" s="314" t="s">
        <v>203</v>
      </c>
      <c r="HOQ17" s="314" t="s">
        <v>203</v>
      </c>
      <c r="HOR17" s="314" t="s">
        <v>203</v>
      </c>
      <c r="HOS17" s="314" t="s">
        <v>203</v>
      </c>
      <c r="HOT17" s="314" t="s">
        <v>203</v>
      </c>
      <c r="HOU17" s="314" t="s">
        <v>203</v>
      </c>
      <c r="HOV17" s="314" t="s">
        <v>203</v>
      </c>
      <c r="HOW17" s="314" t="s">
        <v>203</v>
      </c>
      <c r="HOX17" s="314" t="s">
        <v>203</v>
      </c>
      <c r="HOY17" s="314" t="s">
        <v>203</v>
      </c>
      <c r="HOZ17" s="314" t="s">
        <v>203</v>
      </c>
      <c r="HPA17" s="314" t="s">
        <v>203</v>
      </c>
      <c r="HPB17" s="314" t="s">
        <v>203</v>
      </c>
      <c r="HPC17" s="314" t="s">
        <v>203</v>
      </c>
      <c r="HPD17" s="314" t="s">
        <v>203</v>
      </c>
      <c r="HPE17" s="314" t="s">
        <v>203</v>
      </c>
      <c r="HPF17" s="314" t="s">
        <v>203</v>
      </c>
      <c r="HPG17" s="314" t="s">
        <v>203</v>
      </c>
      <c r="HPH17" s="314" t="s">
        <v>203</v>
      </c>
      <c r="HPI17" s="314" t="s">
        <v>203</v>
      </c>
      <c r="HPJ17" s="314" t="s">
        <v>203</v>
      </c>
      <c r="HPK17" s="314" t="s">
        <v>203</v>
      </c>
      <c r="HPL17" s="314" t="s">
        <v>203</v>
      </c>
      <c r="HPM17" s="314" t="s">
        <v>203</v>
      </c>
      <c r="HPN17" s="314" t="s">
        <v>203</v>
      </c>
      <c r="HPO17" s="314" t="s">
        <v>203</v>
      </c>
      <c r="HPP17" s="314" t="s">
        <v>203</v>
      </c>
      <c r="HPQ17" s="314" t="s">
        <v>203</v>
      </c>
      <c r="HPR17" s="314" t="s">
        <v>203</v>
      </c>
      <c r="HPS17" s="314" t="s">
        <v>203</v>
      </c>
      <c r="HPT17" s="314" t="s">
        <v>203</v>
      </c>
      <c r="HPU17" s="314" t="s">
        <v>203</v>
      </c>
      <c r="HPV17" s="314" t="s">
        <v>203</v>
      </c>
      <c r="HPW17" s="314" t="s">
        <v>203</v>
      </c>
      <c r="HPX17" s="314" t="s">
        <v>203</v>
      </c>
      <c r="HPY17" s="314" t="s">
        <v>203</v>
      </c>
      <c r="HPZ17" s="314" t="s">
        <v>203</v>
      </c>
      <c r="HQA17" s="314" t="s">
        <v>203</v>
      </c>
      <c r="HQB17" s="314" t="s">
        <v>203</v>
      </c>
      <c r="HQC17" s="314" t="s">
        <v>203</v>
      </c>
      <c r="HQD17" s="314" t="s">
        <v>203</v>
      </c>
      <c r="HQE17" s="314" t="s">
        <v>203</v>
      </c>
      <c r="HQF17" s="314" t="s">
        <v>203</v>
      </c>
      <c r="HQG17" s="314" t="s">
        <v>203</v>
      </c>
      <c r="HQH17" s="314" t="s">
        <v>203</v>
      </c>
      <c r="HQI17" s="314" t="s">
        <v>203</v>
      </c>
      <c r="HQJ17" s="314" t="s">
        <v>203</v>
      </c>
      <c r="HQK17" s="314" t="s">
        <v>203</v>
      </c>
      <c r="HQL17" s="314" t="s">
        <v>203</v>
      </c>
      <c r="HQM17" s="314" t="s">
        <v>203</v>
      </c>
      <c r="HQN17" s="314" t="s">
        <v>203</v>
      </c>
      <c r="HQO17" s="314" t="s">
        <v>203</v>
      </c>
      <c r="HQP17" s="314" t="s">
        <v>203</v>
      </c>
      <c r="HQQ17" s="314" t="s">
        <v>203</v>
      </c>
      <c r="HQR17" s="314" t="s">
        <v>203</v>
      </c>
      <c r="HQS17" s="314" t="s">
        <v>203</v>
      </c>
      <c r="HQT17" s="314" t="s">
        <v>203</v>
      </c>
      <c r="HQU17" s="314" t="s">
        <v>203</v>
      </c>
      <c r="HQV17" s="314" t="s">
        <v>203</v>
      </c>
      <c r="HQW17" s="314" t="s">
        <v>203</v>
      </c>
      <c r="HQX17" s="314" t="s">
        <v>203</v>
      </c>
      <c r="HQY17" s="314" t="s">
        <v>203</v>
      </c>
      <c r="HQZ17" s="314" t="s">
        <v>203</v>
      </c>
      <c r="HRA17" s="314" t="s">
        <v>203</v>
      </c>
      <c r="HRB17" s="314" t="s">
        <v>203</v>
      </c>
      <c r="HRC17" s="314" t="s">
        <v>203</v>
      </c>
      <c r="HRD17" s="314" t="s">
        <v>203</v>
      </c>
      <c r="HRE17" s="314" t="s">
        <v>203</v>
      </c>
      <c r="HRF17" s="314" t="s">
        <v>203</v>
      </c>
      <c r="HRG17" s="314" t="s">
        <v>203</v>
      </c>
      <c r="HRH17" s="314" t="s">
        <v>203</v>
      </c>
      <c r="HRI17" s="314" t="s">
        <v>203</v>
      </c>
      <c r="HRJ17" s="314" t="s">
        <v>203</v>
      </c>
      <c r="HRK17" s="314" t="s">
        <v>203</v>
      </c>
      <c r="HRL17" s="314" t="s">
        <v>203</v>
      </c>
      <c r="HRM17" s="314" t="s">
        <v>203</v>
      </c>
      <c r="HRN17" s="314" t="s">
        <v>203</v>
      </c>
      <c r="HRO17" s="314" t="s">
        <v>203</v>
      </c>
      <c r="HRP17" s="314" t="s">
        <v>203</v>
      </c>
      <c r="HRQ17" s="314" t="s">
        <v>203</v>
      </c>
      <c r="HRR17" s="314" t="s">
        <v>203</v>
      </c>
      <c r="HRS17" s="314" t="s">
        <v>203</v>
      </c>
      <c r="HRT17" s="314" t="s">
        <v>203</v>
      </c>
      <c r="HRU17" s="314" t="s">
        <v>203</v>
      </c>
      <c r="HRV17" s="314" t="s">
        <v>203</v>
      </c>
      <c r="HRW17" s="314" t="s">
        <v>203</v>
      </c>
      <c r="HRX17" s="314" t="s">
        <v>203</v>
      </c>
      <c r="HRY17" s="314" t="s">
        <v>203</v>
      </c>
      <c r="HRZ17" s="314" t="s">
        <v>203</v>
      </c>
      <c r="HSA17" s="314" t="s">
        <v>203</v>
      </c>
      <c r="HSB17" s="314" t="s">
        <v>203</v>
      </c>
      <c r="HSC17" s="314" t="s">
        <v>203</v>
      </c>
      <c r="HSD17" s="314" t="s">
        <v>203</v>
      </c>
      <c r="HSE17" s="314" t="s">
        <v>203</v>
      </c>
      <c r="HSF17" s="314" t="s">
        <v>203</v>
      </c>
      <c r="HSG17" s="314" t="s">
        <v>203</v>
      </c>
      <c r="HSH17" s="314" t="s">
        <v>203</v>
      </c>
      <c r="HSI17" s="314" t="s">
        <v>203</v>
      </c>
      <c r="HSJ17" s="314" t="s">
        <v>203</v>
      </c>
      <c r="HSK17" s="314" t="s">
        <v>203</v>
      </c>
      <c r="HSL17" s="314" t="s">
        <v>203</v>
      </c>
      <c r="HSM17" s="314" t="s">
        <v>203</v>
      </c>
      <c r="HSN17" s="314" t="s">
        <v>203</v>
      </c>
      <c r="HSO17" s="314" t="s">
        <v>203</v>
      </c>
      <c r="HSP17" s="314" t="s">
        <v>203</v>
      </c>
      <c r="HSQ17" s="314" t="s">
        <v>203</v>
      </c>
      <c r="HSR17" s="314" t="s">
        <v>203</v>
      </c>
      <c r="HSS17" s="314" t="s">
        <v>203</v>
      </c>
      <c r="HST17" s="314" t="s">
        <v>203</v>
      </c>
      <c r="HSU17" s="314" t="s">
        <v>203</v>
      </c>
      <c r="HSV17" s="314" t="s">
        <v>203</v>
      </c>
      <c r="HSW17" s="314" t="s">
        <v>203</v>
      </c>
      <c r="HSX17" s="314" t="s">
        <v>203</v>
      </c>
      <c r="HSY17" s="314" t="s">
        <v>203</v>
      </c>
      <c r="HSZ17" s="314" t="s">
        <v>203</v>
      </c>
      <c r="HTA17" s="314" t="s">
        <v>203</v>
      </c>
      <c r="HTB17" s="314" t="s">
        <v>203</v>
      </c>
      <c r="HTC17" s="314" t="s">
        <v>203</v>
      </c>
      <c r="HTD17" s="314" t="s">
        <v>203</v>
      </c>
      <c r="HTE17" s="314" t="s">
        <v>203</v>
      </c>
      <c r="HTF17" s="314" t="s">
        <v>203</v>
      </c>
      <c r="HTG17" s="314" t="s">
        <v>203</v>
      </c>
      <c r="HTH17" s="314" t="s">
        <v>203</v>
      </c>
      <c r="HTI17" s="314" t="s">
        <v>203</v>
      </c>
      <c r="HTJ17" s="314" t="s">
        <v>203</v>
      </c>
      <c r="HTK17" s="314" t="s">
        <v>203</v>
      </c>
      <c r="HTL17" s="314" t="s">
        <v>203</v>
      </c>
      <c r="HTM17" s="314" t="s">
        <v>203</v>
      </c>
      <c r="HTN17" s="314" t="s">
        <v>203</v>
      </c>
      <c r="HTO17" s="314" t="s">
        <v>203</v>
      </c>
      <c r="HTP17" s="314" t="s">
        <v>203</v>
      </c>
      <c r="HTQ17" s="314" t="s">
        <v>203</v>
      </c>
      <c r="HTR17" s="314" t="s">
        <v>203</v>
      </c>
      <c r="HTS17" s="314" t="s">
        <v>203</v>
      </c>
      <c r="HTT17" s="314" t="s">
        <v>203</v>
      </c>
      <c r="HTU17" s="314" t="s">
        <v>203</v>
      </c>
      <c r="HTV17" s="314" t="s">
        <v>203</v>
      </c>
      <c r="HTW17" s="314" t="s">
        <v>203</v>
      </c>
      <c r="HTX17" s="314" t="s">
        <v>203</v>
      </c>
      <c r="HTY17" s="314" t="s">
        <v>203</v>
      </c>
      <c r="HTZ17" s="314" t="s">
        <v>203</v>
      </c>
      <c r="HUA17" s="314" t="s">
        <v>203</v>
      </c>
      <c r="HUB17" s="314" t="s">
        <v>203</v>
      </c>
      <c r="HUC17" s="314" t="s">
        <v>203</v>
      </c>
      <c r="HUD17" s="314" t="s">
        <v>203</v>
      </c>
      <c r="HUE17" s="314" t="s">
        <v>203</v>
      </c>
      <c r="HUF17" s="314" t="s">
        <v>203</v>
      </c>
      <c r="HUG17" s="314" t="s">
        <v>203</v>
      </c>
      <c r="HUH17" s="314" t="s">
        <v>203</v>
      </c>
      <c r="HUI17" s="314" t="s">
        <v>203</v>
      </c>
      <c r="HUJ17" s="314" t="s">
        <v>203</v>
      </c>
      <c r="HUK17" s="314" t="s">
        <v>203</v>
      </c>
      <c r="HUL17" s="314" t="s">
        <v>203</v>
      </c>
      <c r="HUM17" s="314" t="s">
        <v>203</v>
      </c>
      <c r="HUN17" s="314" t="s">
        <v>203</v>
      </c>
      <c r="HUO17" s="314" t="s">
        <v>203</v>
      </c>
      <c r="HUP17" s="314" t="s">
        <v>203</v>
      </c>
      <c r="HUQ17" s="314" t="s">
        <v>203</v>
      </c>
      <c r="HUR17" s="314" t="s">
        <v>203</v>
      </c>
      <c r="HUS17" s="314" t="s">
        <v>203</v>
      </c>
      <c r="HUT17" s="314" t="s">
        <v>203</v>
      </c>
      <c r="HUU17" s="314" t="s">
        <v>203</v>
      </c>
      <c r="HUV17" s="314" t="s">
        <v>203</v>
      </c>
      <c r="HUW17" s="314" t="s">
        <v>203</v>
      </c>
      <c r="HUX17" s="314" t="s">
        <v>203</v>
      </c>
      <c r="HUY17" s="314" t="s">
        <v>203</v>
      </c>
      <c r="HUZ17" s="314" t="s">
        <v>203</v>
      </c>
      <c r="HVA17" s="314" t="s">
        <v>203</v>
      </c>
      <c r="HVB17" s="314" t="s">
        <v>203</v>
      </c>
      <c r="HVC17" s="314" t="s">
        <v>203</v>
      </c>
      <c r="HVD17" s="314" t="s">
        <v>203</v>
      </c>
      <c r="HVE17" s="314" t="s">
        <v>203</v>
      </c>
      <c r="HVF17" s="314" t="s">
        <v>203</v>
      </c>
      <c r="HVG17" s="314" t="s">
        <v>203</v>
      </c>
      <c r="HVH17" s="314" t="s">
        <v>203</v>
      </c>
      <c r="HVI17" s="314" t="s">
        <v>203</v>
      </c>
      <c r="HVJ17" s="314" t="s">
        <v>203</v>
      </c>
      <c r="HVK17" s="314" t="s">
        <v>203</v>
      </c>
      <c r="HVL17" s="314" t="s">
        <v>203</v>
      </c>
      <c r="HVM17" s="314" t="s">
        <v>203</v>
      </c>
      <c r="HVN17" s="314" t="s">
        <v>203</v>
      </c>
      <c r="HVO17" s="314" t="s">
        <v>203</v>
      </c>
      <c r="HVP17" s="314" t="s">
        <v>203</v>
      </c>
      <c r="HVQ17" s="314" t="s">
        <v>203</v>
      </c>
      <c r="HVR17" s="314" t="s">
        <v>203</v>
      </c>
      <c r="HVS17" s="314" t="s">
        <v>203</v>
      </c>
      <c r="HVT17" s="314" t="s">
        <v>203</v>
      </c>
      <c r="HVU17" s="314" t="s">
        <v>203</v>
      </c>
      <c r="HVV17" s="314" t="s">
        <v>203</v>
      </c>
      <c r="HVW17" s="314" t="s">
        <v>203</v>
      </c>
      <c r="HVX17" s="314" t="s">
        <v>203</v>
      </c>
      <c r="HVY17" s="314" t="s">
        <v>203</v>
      </c>
      <c r="HVZ17" s="314" t="s">
        <v>203</v>
      </c>
      <c r="HWA17" s="314" t="s">
        <v>203</v>
      </c>
      <c r="HWB17" s="314" t="s">
        <v>203</v>
      </c>
      <c r="HWC17" s="314" t="s">
        <v>203</v>
      </c>
      <c r="HWD17" s="314" t="s">
        <v>203</v>
      </c>
      <c r="HWE17" s="314" t="s">
        <v>203</v>
      </c>
      <c r="HWF17" s="314" t="s">
        <v>203</v>
      </c>
      <c r="HWG17" s="314" t="s">
        <v>203</v>
      </c>
      <c r="HWH17" s="314" t="s">
        <v>203</v>
      </c>
      <c r="HWI17" s="314" t="s">
        <v>203</v>
      </c>
      <c r="HWJ17" s="314" t="s">
        <v>203</v>
      </c>
      <c r="HWK17" s="314" t="s">
        <v>203</v>
      </c>
      <c r="HWL17" s="314" t="s">
        <v>203</v>
      </c>
      <c r="HWM17" s="314" t="s">
        <v>203</v>
      </c>
      <c r="HWN17" s="314" t="s">
        <v>203</v>
      </c>
      <c r="HWO17" s="314" t="s">
        <v>203</v>
      </c>
      <c r="HWP17" s="314" t="s">
        <v>203</v>
      </c>
      <c r="HWQ17" s="314" t="s">
        <v>203</v>
      </c>
      <c r="HWR17" s="314" t="s">
        <v>203</v>
      </c>
      <c r="HWS17" s="314" t="s">
        <v>203</v>
      </c>
      <c r="HWT17" s="314" t="s">
        <v>203</v>
      </c>
      <c r="HWU17" s="314" t="s">
        <v>203</v>
      </c>
      <c r="HWV17" s="314" t="s">
        <v>203</v>
      </c>
      <c r="HWW17" s="314" t="s">
        <v>203</v>
      </c>
      <c r="HWX17" s="314" t="s">
        <v>203</v>
      </c>
      <c r="HWY17" s="314" t="s">
        <v>203</v>
      </c>
      <c r="HWZ17" s="314" t="s">
        <v>203</v>
      </c>
      <c r="HXA17" s="314" t="s">
        <v>203</v>
      </c>
      <c r="HXB17" s="314" t="s">
        <v>203</v>
      </c>
      <c r="HXC17" s="314" t="s">
        <v>203</v>
      </c>
      <c r="HXD17" s="314" t="s">
        <v>203</v>
      </c>
      <c r="HXE17" s="314" t="s">
        <v>203</v>
      </c>
      <c r="HXF17" s="314" t="s">
        <v>203</v>
      </c>
      <c r="HXG17" s="314" t="s">
        <v>203</v>
      </c>
      <c r="HXH17" s="314" t="s">
        <v>203</v>
      </c>
      <c r="HXI17" s="314" t="s">
        <v>203</v>
      </c>
      <c r="HXJ17" s="314" t="s">
        <v>203</v>
      </c>
      <c r="HXK17" s="314" t="s">
        <v>203</v>
      </c>
      <c r="HXL17" s="314" t="s">
        <v>203</v>
      </c>
      <c r="HXM17" s="314" t="s">
        <v>203</v>
      </c>
      <c r="HXN17" s="314" t="s">
        <v>203</v>
      </c>
      <c r="HXO17" s="314" t="s">
        <v>203</v>
      </c>
      <c r="HXP17" s="314" t="s">
        <v>203</v>
      </c>
      <c r="HXQ17" s="314" t="s">
        <v>203</v>
      </c>
      <c r="HXR17" s="314" t="s">
        <v>203</v>
      </c>
      <c r="HXS17" s="314" t="s">
        <v>203</v>
      </c>
      <c r="HXT17" s="314" t="s">
        <v>203</v>
      </c>
      <c r="HXU17" s="314" t="s">
        <v>203</v>
      </c>
      <c r="HXV17" s="314" t="s">
        <v>203</v>
      </c>
      <c r="HXW17" s="314" t="s">
        <v>203</v>
      </c>
      <c r="HXX17" s="314" t="s">
        <v>203</v>
      </c>
      <c r="HXY17" s="314" t="s">
        <v>203</v>
      </c>
      <c r="HXZ17" s="314" t="s">
        <v>203</v>
      </c>
      <c r="HYA17" s="314" t="s">
        <v>203</v>
      </c>
      <c r="HYB17" s="314" t="s">
        <v>203</v>
      </c>
      <c r="HYC17" s="314" t="s">
        <v>203</v>
      </c>
      <c r="HYD17" s="314" t="s">
        <v>203</v>
      </c>
      <c r="HYE17" s="314" t="s">
        <v>203</v>
      </c>
      <c r="HYF17" s="314" t="s">
        <v>203</v>
      </c>
      <c r="HYG17" s="314" t="s">
        <v>203</v>
      </c>
      <c r="HYH17" s="314" t="s">
        <v>203</v>
      </c>
      <c r="HYI17" s="314" t="s">
        <v>203</v>
      </c>
      <c r="HYJ17" s="314" t="s">
        <v>203</v>
      </c>
      <c r="HYK17" s="314" t="s">
        <v>203</v>
      </c>
      <c r="HYL17" s="314" t="s">
        <v>203</v>
      </c>
      <c r="HYM17" s="314" t="s">
        <v>203</v>
      </c>
      <c r="HYN17" s="314" t="s">
        <v>203</v>
      </c>
      <c r="HYO17" s="314" t="s">
        <v>203</v>
      </c>
      <c r="HYP17" s="314" t="s">
        <v>203</v>
      </c>
      <c r="HYQ17" s="314" t="s">
        <v>203</v>
      </c>
      <c r="HYR17" s="314" t="s">
        <v>203</v>
      </c>
      <c r="HYS17" s="314" t="s">
        <v>203</v>
      </c>
      <c r="HYT17" s="314" t="s">
        <v>203</v>
      </c>
      <c r="HYU17" s="314" t="s">
        <v>203</v>
      </c>
      <c r="HYV17" s="314" t="s">
        <v>203</v>
      </c>
      <c r="HYW17" s="314" t="s">
        <v>203</v>
      </c>
      <c r="HYX17" s="314" t="s">
        <v>203</v>
      </c>
      <c r="HYY17" s="314" t="s">
        <v>203</v>
      </c>
      <c r="HYZ17" s="314" t="s">
        <v>203</v>
      </c>
      <c r="HZA17" s="314" t="s">
        <v>203</v>
      </c>
      <c r="HZB17" s="314" t="s">
        <v>203</v>
      </c>
      <c r="HZC17" s="314" t="s">
        <v>203</v>
      </c>
      <c r="HZD17" s="314" t="s">
        <v>203</v>
      </c>
      <c r="HZE17" s="314" t="s">
        <v>203</v>
      </c>
      <c r="HZF17" s="314" t="s">
        <v>203</v>
      </c>
      <c r="HZG17" s="314" t="s">
        <v>203</v>
      </c>
      <c r="HZH17" s="314" t="s">
        <v>203</v>
      </c>
      <c r="HZI17" s="314" t="s">
        <v>203</v>
      </c>
      <c r="HZJ17" s="314" t="s">
        <v>203</v>
      </c>
      <c r="HZK17" s="314" t="s">
        <v>203</v>
      </c>
      <c r="HZL17" s="314" t="s">
        <v>203</v>
      </c>
      <c r="HZM17" s="314" t="s">
        <v>203</v>
      </c>
      <c r="HZN17" s="314" t="s">
        <v>203</v>
      </c>
      <c r="HZO17" s="314" t="s">
        <v>203</v>
      </c>
      <c r="HZP17" s="314" t="s">
        <v>203</v>
      </c>
      <c r="HZQ17" s="314" t="s">
        <v>203</v>
      </c>
      <c r="HZR17" s="314" t="s">
        <v>203</v>
      </c>
      <c r="HZS17" s="314" t="s">
        <v>203</v>
      </c>
      <c r="HZT17" s="314" t="s">
        <v>203</v>
      </c>
      <c r="HZU17" s="314" t="s">
        <v>203</v>
      </c>
      <c r="HZV17" s="314" t="s">
        <v>203</v>
      </c>
      <c r="HZW17" s="314" t="s">
        <v>203</v>
      </c>
      <c r="HZX17" s="314" t="s">
        <v>203</v>
      </c>
      <c r="HZY17" s="314" t="s">
        <v>203</v>
      </c>
      <c r="HZZ17" s="314" t="s">
        <v>203</v>
      </c>
      <c r="IAA17" s="314" t="s">
        <v>203</v>
      </c>
      <c r="IAB17" s="314" t="s">
        <v>203</v>
      </c>
      <c r="IAC17" s="314" t="s">
        <v>203</v>
      </c>
      <c r="IAD17" s="314" t="s">
        <v>203</v>
      </c>
      <c r="IAE17" s="314" t="s">
        <v>203</v>
      </c>
      <c r="IAF17" s="314" t="s">
        <v>203</v>
      </c>
      <c r="IAG17" s="314" t="s">
        <v>203</v>
      </c>
      <c r="IAH17" s="314" t="s">
        <v>203</v>
      </c>
      <c r="IAI17" s="314" t="s">
        <v>203</v>
      </c>
      <c r="IAJ17" s="314" t="s">
        <v>203</v>
      </c>
      <c r="IAK17" s="314" t="s">
        <v>203</v>
      </c>
      <c r="IAL17" s="314" t="s">
        <v>203</v>
      </c>
      <c r="IAM17" s="314" t="s">
        <v>203</v>
      </c>
      <c r="IAN17" s="314" t="s">
        <v>203</v>
      </c>
      <c r="IAO17" s="314" t="s">
        <v>203</v>
      </c>
      <c r="IAP17" s="314" t="s">
        <v>203</v>
      </c>
      <c r="IAQ17" s="314" t="s">
        <v>203</v>
      </c>
      <c r="IAR17" s="314" t="s">
        <v>203</v>
      </c>
      <c r="IAS17" s="314" t="s">
        <v>203</v>
      </c>
      <c r="IAT17" s="314" t="s">
        <v>203</v>
      </c>
      <c r="IAU17" s="314" t="s">
        <v>203</v>
      </c>
      <c r="IAV17" s="314" t="s">
        <v>203</v>
      </c>
      <c r="IAW17" s="314" t="s">
        <v>203</v>
      </c>
      <c r="IAX17" s="314" t="s">
        <v>203</v>
      </c>
      <c r="IAY17" s="314" t="s">
        <v>203</v>
      </c>
      <c r="IAZ17" s="314" t="s">
        <v>203</v>
      </c>
      <c r="IBA17" s="314" t="s">
        <v>203</v>
      </c>
      <c r="IBB17" s="314" t="s">
        <v>203</v>
      </c>
      <c r="IBC17" s="314" t="s">
        <v>203</v>
      </c>
      <c r="IBD17" s="314" t="s">
        <v>203</v>
      </c>
      <c r="IBE17" s="314" t="s">
        <v>203</v>
      </c>
      <c r="IBF17" s="314" t="s">
        <v>203</v>
      </c>
      <c r="IBG17" s="314" t="s">
        <v>203</v>
      </c>
      <c r="IBH17" s="314" t="s">
        <v>203</v>
      </c>
      <c r="IBI17" s="314" t="s">
        <v>203</v>
      </c>
      <c r="IBJ17" s="314" t="s">
        <v>203</v>
      </c>
      <c r="IBK17" s="314" t="s">
        <v>203</v>
      </c>
      <c r="IBL17" s="314" t="s">
        <v>203</v>
      </c>
      <c r="IBM17" s="314" t="s">
        <v>203</v>
      </c>
      <c r="IBN17" s="314" t="s">
        <v>203</v>
      </c>
      <c r="IBO17" s="314" t="s">
        <v>203</v>
      </c>
      <c r="IBP17" s="314" t="s">
        <v>203</v>
      </c>
      <c r="IBQ17" s="314" t="s">
        <v>203</v>
      </c>
      <c r="IBR17" s="314" t="s">
        <v>203</v>
      </c>
      <c r="IBS17" s="314" t="s">
        <v>203</v>
      </c>
      <c r="IBT17" s="314" t="s">
        <v>203</v>
      </c>
      <c r="IBU17" s="314" t="s">
        <v>203</v>
      </c>
      <c r="IBV17" s="314" t="s">
        <v>203</v>
      </c>
      <c r="IBW17" s="314" t="s">
        <v>203</v>
      </c>
      <c r="IBX17" s="314" t="s">
        <v>203</v>
      </c>
      <c r="IBY17" s="314" t="s">
        <v>203</v>
      </c>
      <c r="IBZ17" s="314" t="s">
        <v>203</v>
      </c>
      <c r="ICA17" s="314" t="s">
        <v>203</v>
      </c>
      <c r="ICB17" s="314" t="s">
        <v>203</v>
      </c>
      <c r="ICC17" s="314" t="s">
        <v>203</v>
      </c>
      <c r="ICD17" s="314" t="s">
        <v>203</v>
      </c>
      <c r="ICE17" s="314" t="s">
        <v>203</v>
      </c>
      <c r="ICF17" s="314" t="s">
        <v>203</v>
      </c>
      <c r="ICG17" s="314" t="s">
        <v>203</v>
      </c>
      <c r="ICH17" s="314" t="s">
        <v>203</v>
      </c>
      <c r="ICI17" s="314" t="s">
        <v>203</v>
      </c>
      <c r="ICJ17" s="314" t="s">
        <v>203</v>
      </c>
      <c r="ICK17" s="314" t="s">
        <v>203</v>
      </c>
      <c r="ICL17" s="314" t="s">
        <v>203</v>
      </c>
      <c r="ICM17" s="314" t="s">
        <v>203</v>
      </c>
      <c r="ICN17" s="314" t="s">
        <v>203</v>
      </c>
      <c r="ICO17" s="314" t="s">
        <v>203</v>
      </c>
      <c r="ICP17" s="314" t="s">
        <v>203</v>
      </c>
      <c r="ICQ17" s="314" t="s">
        <v>203</v>
      </c>
      <c r="ICR17" s="314" t="s">
        <v>203</v>
      </c>
      <c r="ICS17" s="314" t="s">
        <v>203</v>
      </c>
      <c r="ICT17" s="314" t="s">
        <v>203</v>
      </c>
      <c r="ICU17" s="314" t="s">
        <v>203</v>
      </c>
      <c r="ICV17" s="314" t="s">
        <v>203</v>
      </c>
      <c r="ICW17" s="314" t="s">
        <v>203</v>
      </c>
      <c r="ICX17" s="314" t="s">
        <v>203</v>
      </c>
      <c r="ICY17" s="314" t="s">
        <v>203</v>
      </c>
      <c r="ICZ17" s="314" t="s">
        <v>203</v>
      </c>
      <c r="IDA17" s="314" t="s">
        <v>203</v>
      </c>
      <c r="IDB17" s="314" t="s">
        <v>203</v>
      </c>
      <c r="IDC17" s="314" t="s">
        <v>203</v>
      </c>
      <c r="IDD17" s="314" t="s">
        <v>203</v>
      </c>
      <c r="IDE17" s="314" t="s">
        <v>203</v>
      </c>
      <c r="IDF17" s="314" t="s">
        <v>203</v>
      </c>
      <c r="IDG17" s="314" t="s">
        <v>203</v>
      </c>
      <c r="IDH17" s="314" t="s">
        <v>203</v>
      </c>
      <c r="IDI17" s="314" t="s">
        <v>203</v>
      </c>
      <c r="IDJ17" s="314" t="s">
        <v>203</v>
      </c>
      <c r="IDK17" s="314" t="s">
        <v>203</v>
      </c>
      <c r="IDL17" s="314" t="s">
        <v>203</v>
      </c>
      <c r="IDM17" s="314" t="s">
        <v>203</v>
      </c>
      <c r="IDN17" s="314" t="s">
        <v>203</v>
      </c>
      <c r="IDO17" s="314" t="s">
        <v>203</v>
      </c>
      <c r="IDP17" s="314" t="s">
        <v>203</v>
      </c>
      <c r="IDQ17" s="314" t="s">
        <v>203</v>
      </c>
      <c r="IDR17" s="314" t="s">
        <v>203</v>
      </c>
      <c r="IDS17" s="314" t="s">
        <v>203</v>
      </c>
      <c r="IDT17" s="314" t="s">
        <v>203</v>
      </c>
      <c r="IDU17" s="314" t="s">
        <v>203</v>
      </c>
      <c r="IDV17" s="314" t="s">
        <v>203</v>
      </c>
      <c r="IDW17" s="314" t="s">
        <v>203</v>
      </c>
      <c r="IDX17" s="314" t="s">
        <v>203</v>
      </c>
      <c r="IDY17" s="314" t="s">
        <v>203</v>
      </c>
      <c r="IDZ17" s="314" t="s">
        <v>203</v>
      </c>
      <c r="IEA17" s="314" t="s">
        <v>203</v>
      </c>
      <c r="IEB17" s="314" t="s">
        <v>203</v>
      </c>
      <c r="IEC17" s="314" t="s">
        <v>203</v>
      </c>
      <c r="IED17" s="314" t="s">
        <v>203</v>
      </c>
      <c r="IEE17" s="314" t="s">
        <v>203</v>
      </c>
      <c r="IEF17" s="314" t="s">
        <v>203</v>
      </c>
      <c r="IEG17" s="314" t="s">
        <v>203</v>
      </c>
      <c r="IEH17" s="314" t="s">
        <v>203</v>
      </c>
      <c r="IEI17" s="314" t="s">
        <v>203</v>
      </c>
      <c r="IEJ17" s="314" t="s">
        <v>203</v>
      </c>
      <c r="IEK17" s="314" t="s">
        <v>203</v>
      </c>
      <c r="IEL17" s="314" t="s">
        <v>203</v>
      </c>
      <c r="IEM17" s="314" t="s">
        <v>203</v>
      </c>
      <c r="IEN17" s="314" t="s">
        <v>203</v>
      </c>
      <c r="IEO17" s="314" t="s">
        <v>203</v>
      </c>
      <c r="IEP17" s="314" t="s">
        <v>203</v>
      </c>
      <c r="IEQ17" s="314" t="s">
        <v>203</v>
      </c>
      <c r="IER17" s="314" t="s">
        <v>203</v>
      </c>
      <c r="IES17" s="314" t="s">
        <v>203</v>
      </c>
      <c r="IET17" s="314" t="s">
        <v>203</v>
      </c>
      <c r="IEU17" s="314" t="s">
        <v>203</v>
      </c>
      <c r="IEV17" s="314" t="s">
        <v>203</v>
      </c>
      <c r="IEW17" s="314" t="s">
        <v>203</v>
      </c>
      <c r="IEX17" s="314" t="s">
        <v>203</v>
      </c>
      <c r="IEY17" s="314" t="s">
        <v>203</v>
      </c>
      <c r="IEZ17" s="314" t="s">
        <v>203</v>
      </c>
      <c r="IFA17" s="314" t="s">
        <v>203</v>
      </c>
      <c r="IFB17" s="314" t="s">
        <v>203</v>
      </c>
      <c r="IFC17" s="314" t="s">
        <v>203</v>
      </c>
      <c r="IFD17" s="314" t="s">
        <v>203</v>
      </c>
      <c r="IFE17" s="314" t="s">
        <v>203</v>
      </c>
      <c r="IFF17" s="314" t="s">
        <v>203</v>
      </c>
      <c r="IFG17" s="314" t="s">
        <v>203</v>
      </c>
      <c r="IFH17" s="314" t="s">
        <v>203</v>
      </c>
      <c r="IFI17" s="314" t="s">
        <v>203</v>
      </c>
      <c r="IFJ17" s="314" t="s">
        <v>203</v>
      </c>
      <c r="IFK17" s="314" t="s">
        <v>203</v>
      </c>
      <c r="IFL17" s="314" t="s">
        <v>203</v>
      </c>
      <c r="IFM17" s="314" t="s">
        <v>203</v>
      </c>
      <c r="IFN17" s="314" t="s">
        <v>203</v>
      </c>
      <c r="IFO17" s="314" t="s">
        <v>203</v>
      </c>
      <c r="IFP17" s="314" t="s">
        <v>203</v>
      </c>
      <c r="IFQ17" s="314" t="s">
        <v>203</v>
      </c>
      <c r="IFR17" s="314" t="s">
        <v>203</v>
      </c>
      <c r="IFS17" s="314" t="s">
        <v>203</v>
      </c>
      <c r="IFT17" s="314" t="s">
        <v>203</v>
      </c>
      <c r="IFU17" s="314" t="s">
        <v>203</v>
      </c>
      <c r="IFV17" s="314" t="s">
        <v>203</v>
      </c>
      <c r="IFW17" s="314" t="s">
        <v>203</v>
      </c>
      <c r="IFX17" s="314" t="s">
        <v>203</v>
      </c>
      <c r="IFY17" s="314" t="s">
        <v>203</v>
      </c>
      <c r="IFZ17" s="314" t="s">
        <v>203</v>
      </c>
      <c r="IGA17" s="314" t="s">
        <v>203</v>
      </c>
      <c r="IGB17" s="314" t="s">
        <v>203</v>
      </c>
      <c r="IGC17" s="314" t="s">
        <v>203</v>
      </c>
      <c r="IGD17" s="314" t="s">
        <v>203</v>
      </c>
      <c r="IGE17" s="314" t="s">
        <v>203</v>
      </c>
      <c r="IGF17" s="314" t="s">
        <v>203</v>
      </c>
      <c r="IGG17" s="314" t="s">
        <v>203</v>
      </c>
      <c r="IGH17" s="314" t="s">
        <v>203</v>
      </c>
      <c r="IGI17" s="314" t="s">
        <v>203</v>
      </c>
      <c r="IGJ17" s="314" t="s">
        <v>203</v>
      </c>
      <c r="IGK17" s="314" t="s">
        <v>203</v>
      </c>
      <c r="IGL17" s="314" t="s">
        <v>203</v>
      </c>
      <c r="IGM17" s="314" t="s">
        <v>203</v>
      </c>
      <c r="IGN17" s="314" t="s">
        <v>203</v>
      </c>
      <c r="IGO17" s="314" t="s">
        <v>203</v>
      </c>
      <c r="IGP17" s="314" t="s">
        <v>203</v>
      </c>
      <c r="IGQ17" s="314" t="s">
        <v>203</v>
      </c>
      <c r="IGR17" s="314" t="s">
        <v>203</v>
      </c>
      <c r="IGS17" s="314" t="s">
        <v>203</v>
      </c>
      <c r="IGT17" s="314" t="s">
        <v>203</v>
      </c>
      <c r="IGU17" s="314" t="s">
        <v>203</v>
      </c>
      <c r="IGV17" s="314" t="s">
        <v>203</v>
      </c>
      <c r="IGW17" s="314" t="s">
        <v>203</v>
      </c>
      <c r="IGX17" s="314" t="s">
        <v>203</v>
      </c>
      <c r="IGY17" s="314" t="s">
        <v>203</v>
      </c>
      <c r="IGZ17" s="314" t="s">
        <v>203</v>
      </c>
      <c r="IHA17" s="314" t="s">
        <v>203</v>
      </c>
      <c r="IHB17" s="314" t="s">
        <v>203</v>
      </c>
      <c r="IHC17" s="314" t="s">
        <v>203</v>
      </c>
      <c r="IHD17" s="314" t="s">
        <v>203</v>
      </c>
      <c r="IHE17" s="314" t="s">
        <v>203</v>
      </c>
      <c r="IHF17" s="314" t="s">
        <v>203</v>
      </c>
      <c r="IHG17" s="314" t="s">
        <v>203</v>
      </c>
      <c r="IHH17" s="314" t="s">
        <v>203</v>
      </c>
      <c r="IHI17" s="314" t="s">
        <v>203</v>
      </c>
      <c r="IHJ17" s="314" t="s">
        <v>203</v>
      </c>
      <c r="IHK17" s="314" t="s">
        <v>203</v>
      </c>
      <c r="IHL17" s="314" t="s">
        <v>203</v>
      </c>
      <c r="IHM17" s="314" t="s">
        <v>203</v>
      </c>
      <c r="IHN17" s="314" t="s">
        <v>203</v>
      </c>
      <c r="IHO17" s="314" t="s">
        <v>203</v>
      </c>
      <c r="IHP17" s="314" t="s">
        <v>203</v>
      </c>
      <c r="IHQ17" s="314" t="s">
        <v>203</v>
      </c>
      <c r="IHR17" s="314" t="s">
        <v>203</v>
      </c>
      <c r="IHS17" s="314" t="s">
        <v>203</v>
      </c>
      <c r="IHT17" s="314" t="s">
        <v>203</v>
      </c>
      <c r="IHU17" s="314" t="s">
        <v>203</v>
      </c>
      <c r="IHV17" s="314" t="s">
        <v>203</v>
      </c>
      <c r="IHW17" s="314" t="s">
        <v>203</v>
      </c>
      <c r="IHX17" s="314" t="s">
        <v>203</v>
      </c>
      <c r="IHY17" s="314" t="s">
        <v>203</v>
      </c>
      <c r="IHZ17" s="314" t="s">
        <v>203</v>
      </c>
      <c r="IIA17" s="314" t="s">
        <v>203</v>
      </c>
      <c r="IIB17" s="314" t="s">
        <v>203</v>
      </c>
      <c r="IIC17" s="314" t="s">
        <v>203</v>
      </c>
      <c r="IID17" s="314" t="s">
        <v>203</v>
      </c>
      <c r="IIE17" s="314" t="s">
        <v>203</v>
      </c>
      <c r="IIF17" s="314" t="s">
        <v>203</v>
      </c>
      <c r="IIG17" s="314" t="s">
        <v>203</v>
      </c>
      <c r="IIH17" s="314" t="s">
        <v>203</v>
      </c>
      <c r="III17" s="314" t="s">
        <v>203</v>
      </c>
      <c r="IIJ17" s="314" t="s">
        <v>203</v>
      </c>
      <c r="IIK17" s="314" t="s">
        <v>203</v>
      </c>
      <c r="IIL17" s="314" t="s">
        <v>203</v>
      </c>
      <c r="IIM17" s="314" t="s">
        <v>203</v>
      </c>
      <c r="IIN17" s="314" t="s">
        <v>203</v>
      </c>
      <c r="IIO17" s="314" t="s">
        <v>203</v>
      </c>
      <c r="IIP17" s="314" t="s">
        <v>203</v>
      </c>
      <c r="IIQ17" s="314" t="s">
        <v>203</v>
      </c>
      <c r="IIR17" s="314" t="s">
        <v>203</v>
      </c>
      <c r="IIS17" s="314" t="s">
        <v>203</v>
      </c>
      <c r="IIT17" s="314" t="s">
        <v>203</v>
      </c>
      <c r="IIU17" s="314" t="s">
        <v>203</v>
      </c>
      <c r="IIV17" s="314" t="s">
        <v>203</v>
      </c>
      <c r="IIW17" s="314" t="s">
        <v>203</v>
      </c>
      <c r="IIX17" s="314" t="s">
        <v>203</v>
      </c>
      <c r="IIY17" s="314" t="s">
        <v>203</v>
      </c>
      <c r="IIZ17" s="314" t="s">
        <v>203</v>
      </c>
      <c r="IJA17" s="314" t="s">
        <v>203</v>
      </c>
      <c r="IJB17" s="314" t="s">
        <v>203</v>
      </c>
      <c r="IJC17" s="314" t="s">
        <v>203</v>
      </c>
      <c r="IJD17" s="314" t="s">
        <v>203</v>
      </c>
      <c r="IJE17" s="314" t="s">
        <v>203</v>
      </c>
      <c r="IJF17" s="314" t="s">
        <v>203</v>
      </c>
      <c r="IJG17" s="314" t="s">
        <v>203</v>
      </c>
      <c r="IJH17" s="314" t="s">
        <v>203</v>
      </c>
      <c r="IJI17" s="314" t="s">
        <v>203</v>
      </c>
      <c r="IJJ17" s="314" t="s">
        <v>203</v>
      </c>
      <c r="IJK17" s="314" t="s">
        <v>203</v>
      </c>
      <c r="IJL17" s="314" t="s">
        <v>203</v>
      </c>
      <c r="IJM17" s="314" t="s">
        <v>203</v>
      </c>
      <c r="IJN17" s="314" t="s">
        <v>203</v>
      </c>
      <c r="IJO17" s="314" t="s">
        <v>203</v>
      </c>
      <c r="IJP17" s="314" t="s">
        <v>203</v>
      </c>
      <c r="IJQ17" s="314" t="s">
        <v>203</v>
      </c>
      <c r="IJR17" s="314" t="s">
        <v>203</v>
      </c>
      <c r="IJS17" s="314" t="s">
        <v>203</v>
      </c>
      <c r="IJT17" s="314" t="s">
        <v>203</v>
      </c>
      <c r="IJU17" s="314" t="s">
        <v>203</v>
      </c>
      <c r="IJV17" s="314" t="s">
        <v>203</v>
      </c>
      <c r="IJW17" s="314" t="s">
        <v>203</v>
      </c>
      <c r="IJX17" s="314" t="s">
        <v>203</v>
      </c>
      <c r="IJY17" s="314" t="s">
        <v>203</v>
      </c>
      <c r="IJZ17" s="314" t="s">
        <v>203</v>
      </c>
      <c r="IKA17" s="314" t="s">
        <v>203</v>
      </c>
      <c r="IKB17" s="314" t="s">
        <v>203</v>
      </c>
      <c r="IKC17" s="314" t="s">
        <v>203</v>
      </c>
      <c r="IKD17" s="314" t="s">
        <v>203</v>
      </c>
      <c r="IKE17" s="314" t="s">
        <v>203</v>
      </c>
      <c r="IKF17" s="314" t="s">
        <v>203</v>
      </c>
      <c r="IKG17" s="314" t="s">
        <v>203</v>
      </c>
      <c r="IKH17" s="314" t="s">
        <v>203</v>
      </c>
      <c r="IKI17" s="314" t="s">
        <v>203</v>
      </c>
      <c r="IKJ17" s="314" t="s">
        <v>203</v>
      </c>
      <c r="IKK17" s="314" t="s">
        <v>203</v>
      </c>
      <c r="IKL17" s="314" t="s">
        <v>203</v>
      </c>
      <c r="IKM17" s="314" t="s">
        <v>203</v>
      </c>
      <c r="IKN17" s="314" t="s">
        <v>203</v>
      </c>
      <c r="IKO17" s="314" t="s">
        <v>203</v>
      </c>
      <c r="IKP17" s="314" t="s">
        <v>203</v>
      </c>
      <c r="IKQ17" s="314" t="s">
        <v>203</v>
      </c>
      <c r="IKR17" s="314" t="s">
        <v>203</v>
      </c>
      <c r="IKS17" s="314" t="s">
        <v>203</v>
      </c>
      <c r="IKT17" s="314" t="s">
        <v>203</v>
      </c>
      <c r="IKU17" s="314" t="s">
        <v>203</v>
      </c>
      <c r="IKV17" s="314" t="s">
        <v>203</v>
      </c>
      <c r="IKW17" s="314" t="s">
        <v>203</v>
      </c>
      <c r="IKX17" s="314" t="s">
        <v>203</v>
      </c>
      <c r="IKY17" s="314" t="s">
        <v>203</v>
      </c>
      <c r="IKZ17" s="314" t="s">
        <v>203</v>
      </c>
      <c r="ILA17" s="314" t="s">
        <v>203</v>
      </c>
      <c r="ILB17" s="314" t="s">
        <v>203</v>
      </c>
      <c r="ILC17" s="314" t="s">
        <v>203</v>
      </c>
      <c r="ILD17" s="314" t="s">
        <v>203</v>
      </c>
      <c r="ILE17" s="314" t="s">
        <v>203</v>
      </c>
      <c r="ILF17" s="314" t="s">
        <v>203</v>
      </c>
      <c r="ILG17" s="314" t="s">
        <v>203</v>
      </c>
      <c r="ILH17" s="314" t="s">
        <v>203</v>
      </c>
      <c r="ILI17" s="314" t="s">
        <v>203</v>
      </c>
      <c r="ILJ17" s="314" t="s">
        <v>203</v>
      </c>
      <c r="ILK17" s="314" t="s">
        <v>203</v>
      </c>
      <c r="ILL17" s="314" t="s">
        <v>203</v>
      </c>
      <c r="ILM17" s="314" t="s">
        <v>203</v>
      </c>
      <c r="ILN17" s="314" t="s">
        <v>203</v>
      </c>
      <c r="ILO17" s="314" t="s">
        <v>203</v>
      </c>
      <c r="ILP17" s="314" t="s">
        <v>203</v>
      </c>
      <c r="ILQ17" s="314" t="s">
        <v>203</v>
      </c>
      <c r="ILR17" s="314" t="s">
        <v>203</v>
      </c>
      <c r="ILS17" s="314" t="s">
        <v>203</v>
      </c>
      <c r="ILT17" s="314" t="s">
        <v>203</v>
      </c>
      <c r="ILU17" s="314" t="s">
        <v>203</v>
      </c>
      <c r="ILV17" s="314" t="s">
        <v>203</v>
      </c>
      <c r="ILW17" s="314" t="s">
        <v>203</v>
      </c>
      <c r="ILX17" s="314" t="s">
        <v>203</v>
      </c>
      <c r="ILY17" s="314" t="s">
        <v>203</v>
      </c>
      <c r="ILZ17" s="314" t="s">
        <v>203</v>
      </c>
      <c r="IMA17" s="314" t="s">
        <v>203</v>
      </c>
      <c r="IMB17" s="314" t="s">
        <v>203</v>
      </c>
      <c r="IMC17" s="314" t="s">
        <v>203</v>
      </c>
      <c r="IMD17" s="314" t="s">
        <v>203</v>
      </c>
      <c r="IME17" s="314" t="s">
        <v>203</v>
      </c>
      <c r="IMF17" s="314" t="s">
        <v>203</v>
      </c>
      <c r="IMG17" s="314" t="s">
        <v>203</v>
      </c>
      <c r="IMH17" s="314" t="s">
        <v>203</v>
      </c>
      <c r="IMI17" s="314" t="s">
        <v>203</v>
      </c>
      <c r="IMJ17" s="314" t="s">
        <v>203</v>
      </c>
      <c r="IMK17" s="314" t="s">
        <v>203</v>
      </c>
      <c r="IML17" s="314" t="s">
        <v>203</v>
      </c>
      <c r="IMM17" s="314" t="s">
        <v>203</v>
      </c>
      <c r="IMN17" s="314" t="s">
        <v>203</v>
      </c>
      <c r="IMO17" s="314" t="s">
        <v>203</v>
      </c>
      <c r="IMP17" s="314" t="s">
        <v>203</v>
      </c>
      <c r="IMQ17" s="314" t="s">
        <v>203</v>
      </c>
      <c r="IMR17" s="314" t="s">
        <v>203</v>
      </c>
      <c r="IMS17" s="314" t="s">
        <v>203</v>
      </c>
      <c r="IMT17" s="314" t="s">
        <v>203</v>
      </c>
      <c r="IMU17" s="314" t="s">
        <v>203</v>
      </c>
      <c r="IMV17" s="314" t="s">
        <v>203</v>
      </c>
      <c r="IMW17" s="314" t="s">
        <v>203</v>
      </c>
      <c r="IMX17" s="314" t="s">
        <v>203</v>
      </c>
      <c r="IMY17" s="314" t="s">
        <v>203</v>
      </c>
      <c r="IMZ17" s="314" t="s">
        <v>203</v>
      </c>
      <c r="INA17" s="314" t="s">
        <v>203</v>
      </c>
      <c r="INB17" s="314" t="s">
        <v>203</v>
      </c>
      <c r="INC17" s="314" t="s">
        <v>203</v>
      </c>
      <c r="IND17" s="314" t="s">
        <v>203</v>
      </c>
      <c r="INE17" s="314" t="s">
        <v>203</v>
      </c>
      <c r="INF17" s="314" t="s">
        <v>203</v>
      </c>
      <c r="ING17" s="314" t="s">
        <v>203</v>
      </c>
      <c r="INH17" s="314" t="s">
        <v>203</v>
      </c>
      <c r="INI17" s="314" t="s">
        <v>203</v>
      </c>
      <c r="INJ17" s="314" t="s">
        <v>203</v>
      </c>
      <c r="INK17" s="314" t="s">
        <v>203</v>
      </c>
      <c r="INL17" s="314" t="s">
        <v>203</v>
      </c>
      <c r="INM17" s="314" t="s">
        <v>203</v>
      </c>
      <c r="INN17" s="314" t="s">
        <v>203</v>
      </c>
      <c r="INO17" s="314" t="s">
        <v>203</v>
      </c>
      <c r="INP17" s="314" t="s">
        <v>203</v>
      </c>
      <c r="INQ17" s="314" t="s">
        <v>203</v>
      </c>
      <c r="INR17" s="314" t="s">
        <v>203</v>
      </c>
      <c r="INS17" s="314" t="s">
        <v>203</v>
      </c>
      <c r="INT17" s="314" t="s">
        <v>203</v>
      </c>
      <c r="INU17" s="314" t="s">
        <v>203</v>
      </c>
      <c r="INV17" s="314" t="s">
        <v>203</v>
      </c>
      <c r="INW17" s="314" t="s">
        <v>203</v>
      </c>
      <c r="INX17" s="314" t="s">
        <v>203</v>
      </c>
      <c r="INY17" s="314" t="s">
        <v>203</v>
      </c>
      <c r="INZ17" s="314" t="s">
        <v>203</v>
      </c>
      <c r="IOA17" s="314" t="s">
        <v>203</v>
      </c>
      <c r="IOB17" s="314" t="s">
        <v>203</v>
      </c>
      <c r="IOC17" s="314" t="s">
        <v>203</v>
      </c>
      <c r="IOD17" s="314" t="s">
        <v>203</v>
      </c>
      <c r="IOE17" s="314" t="s">
        <v>203</v>
      </c>
      <c r="IOF17" s="314" t="s">
        <v>203</v>
      </c>
      <c r="IOG17" s="314" t="s">
        <v>203</v>
      </c>
      <c r="IOH17" s="314" t="s">
        <v>203</v>
      </c>
      <c r="IOI17" s="314" t="s">
        <v>203</v>
      </c>
      <c r="IOJ17" s="314" t="s">
        <v>203</v>
      </c>
      <c r="IOK17" s="314" t="s">
        <v>203</v>
      </c>
      <c r="IOL17" s="314" t="s">
        <v>203</v>
      </c>
      <c r="IOM17" s="314" t="s">
        <v>203</v>
      </c>
      <c r="ION17" s="314" t="s">
        <v>203</v>
      </c>
      <c r="IOO17" s="314" t="s">
        <v>203</v>
      </c>
      <c r="IOP17" s="314" t="s">
        <v>203</v>
      </c>
      <c r="IOQ17" s="314" t="s">
        <v>203</v>
      </c>
      <c r="IOR17" s="314" t="s">
        <v>203</v>
      </c>
      <c r="IOS17" s="314" t="s">
        <v>203</v>
      </c>
      <c r="IOT17" s="314" t="s">
        <v>203</v>
      </c>
      <c r="IOU17" s="314" t="s">
        <v>203</v>
      </c>
      <c r="IOV17" s="314" t="s">
        <v>203</v>
      </c>
      <c r="IOW17" s="314" t="s">
        <v>203</v>
      </c>
      <c r="IOX17" s="314" t="s">
        <v>203</v>
      </c>
      <c r="IOY17" s="314" t="s">
        <v>203</v>
      </c>
      <c r="IOZ17" s="314" t="s">
        <v>203</v>
      </c>
      <c r="IPA17" s="314" t="s">
        <v>203</v>
      </c>
      <c r="IPB17" s="314" t="s">
        <v>203</v>
      </c>
      <c r="IPC17" s="314" t="s">
        <v>203</v>
      </c>
      <c r="IPD17" s="314" t="s">
        <v>203</v>
      </c>
      <c r="IPE17" s="314" t="s">
        <v>203</v>
      </c>
      <c r="IPF17" s="314" t="s">
        <v>203</v>
      </c>
      <c r="IPG17" s="314" t="s">
        <v>203</v>
      </c>
      <c r="IPH17" s="314" t="s">
        <v>203</v>
      </c>
      <c r="IPI17" s="314" t="s">
        <v>203</v>
      </c>
      <c r="IPJ17" s="314" t="s">
        <v>203</v>
      </c>
      <c r="IPK17" s="314" t="s">
        <v>203</v>
      </c>
      <c r="IPL17" s="314" t="s">
        <v>203</v>
      </c>
      <c r="IPM17" s="314" t="s">
        <v>203</v>
      </c>
      <c r="IPN17" s="314" t="s">
        <v>203</v>
      </c>
      <c r="IPO17" s="314" t="s">
        <v>203</v>
      </c>
      <c r="IPP17" s="314" t="s">
        <v>203</v>
      </c>
      <c r="IPQ17" s="314" t="s">
        <v>203</v>
      </c>
      <c r="IPR17" s="314" t="s">
        <v>203</v>
      </c>
      <c r="IPS17" s="314" t="s">
        <v>203</v>
      </c>
      <c r="IPT17" s="314" t="s">
        <v>203</v>
      </c>
      <c r="IPU17" s="314" t="s">
        <v>203</v>
      </c>
      <c r="IPV17" s="314" t="s">
        <v>203</v>
      </c>
      <c r="IPW17" s="314" t="s">
        <v>203</v>
      </c>
      <c r="IPX17" s="314" t="s">
        <v>203</v>
      </c>
      <c r="IPY17" s="314" t="s">
        <v>203</v>
      </c>
      <c r="IPZ17" s="314" t="s">
        <v>203</v>
      </c>
      <c r="IQA17" s="314" t="s">
        <v>203</v>
      </c>
      <c r="IQB17" s="314" t="s">
        <v>203</v>
      </c>
      <c r="IQC17" s="314" t="s">
        <v>203</v>
      </c>
      <c r="IQD17" s="314" t="s">
        <v>203</v>
      </c>
      <c r="IQE17" s="314" t="s">
        <v>203</v>
      </c>
      <c r="IQF17" s="314" t="s">
        <v>203</v>
      </c>
      <c r="IQG17" s="314" t="s">
        <v>203</v>
      </c>
      <c r="IQH17" s="314" t="s">
        <v>203</v>
      </c>
      <c r="IQI17" s="314" t="s">
        <v>203</v>
      </c>
      <c r="IQJ17" s="314" t="s">
        <v>203</v>
      </c>
      <c r="IQK17" s="314" t="s">
        <v>203</v>
      </c>
      <c r="IQL17" s="314" t="s">
        <v>203</v>
      </c>
      <c r="IQM17" s="314" t="s">
        <v>203</v>
      </c>
      <c r="IQN17" s="314" t="s">
        <v>203</v>
      </c>
      <c r="IQO17" s="314" t="s">
        <v>203</v>
      </c>
      <c r="IQP17" s="314" t="s">
        <v>203</v>
      </c>
      <c r="IQQ17" s="314" t="s">
        <v>203</v>
      </c>
      <c r="IQR17" s="314" t="s">
        <v>203</v>
      </c>
      <c r="IQS17" s="314" t="s">
        <v>203</v>
      </c>
      <c r="IQT17" s="314" t="s">
        <v>203</v>
      </c>
      <c r="IQU17" s="314" t="s">
        <v>203</v>
      </c>
      <c r="IQV17" s="314" t="s">
        <v>203</v>
      </c>
      <c r="IQW17" s="314" t="s">
        <v>203</v>
      </c>
      <c r="IQX17" s="314" t="s">
        <v>203</v>
      </c>
      <c r="IQY17" s="314" t="s">
        <v>203</v>
      </c>
      <c r="IQZ17" s="314" t="s">
        <v>203</v>
      </c>
      <c r="IRA17" s="314" t="s">
        <v>203</v>
      </c>
      <c r="IRB17" s="314" t="s">
        <v>203</v>
      </c>
      <c r="IRC17" s="314" t="s">
        <v>203</v>
      </c>
      <c r="IRD17" s="314" t="s">
        <v>203</v>
      </c>
      <c r="IRE17" s="314" t="s">
        <v>203</v>
      </c>
      <c r="IRF17" s="314" t="s">
        <v>203</v>
      </c>
      <c r="IRG17" s="314" t="s">
        <v>203</v>
      </c>
      <c r="IRH17" s="314" t="s">
        <v>203</v>
      </c>
      <c r="IRI17" s="314" t="s">
        <v>203</v>
      </c>
      <c r="IRJ17" s="314" t="s">
        <v>203</v>
      </c>
      <c r="IRK17" s="314" t="s">
        <v>203</v>
      </c>
      <c r="IRL17" s="314" t="s">
        <v>203</v>
      </c>
      <c r="IRM17" s="314" t="s">
        <v>203</v>
      </c>
      <c r="IRN17" s="314" t="s">
        <v>203</v>
      </c>
      <c r="IRO17" s="314" t="s">
        <v>203</v>
      </c>
      <c r="IRP17" s="314" t="s">
        <v>203</v>
      </c>
      <c r="IRQ17" s="314" t="s">
        <v>203</v>
      </c>
      <c r="IRR17" s="314" t="s">
        <v>203</v>
      </c>
      <c r="IRS17" s="314" t="s">
        <v>203</v>
      </c>
      <c r="IRT17" s="314" t="s">
        <v>203</v>
      </c>
      <c r="IRU17" s="314" t="s">
        <v>203</v>
      </c>
      <c r="IRV17" s="314" t="s">
        <v>203</v>
      </c>
      <c r="IRW17" s="314" t="s">
        <v>203</v>
      </c>
      <c r="IRX17" s="314" t="s">
        <v>203</v>
      </c>
      <c r="IRY17" s="314" t="s">
        <v>203</v>
      </c>
      <c r="IRZ17" s="314" t="s">
        <v>203</v>
      </c>
      <c r="ISA17" s="314" t="s">
        <v>203</v>
      </c>
      <c r="ISB17" s="314" t="s">
        <v>203</v>
      </c>
      <c r="ISC17" s="314" t="s">
        <v>203</v>
      </c>
      <c r="ISD17" s="314" t="s">
        <v>203</v>
      </c>
      <c r="ISE17" s="314" t="s">
        <v>203</v>
      </c>
      <c r="ISF17" s="314" t="s">
        <v>203</v>
      </c>
      <c r="ISG17" s="314" t="s">
        <v>203</v>
      </c>
      <c r="ISH17" s="314" t="s">
        <v>203</v>
      </c>
      <c r="ISI17" s="314" t="s">
        <v>203</v>
      </c>
      <c r="ISJ17" s="314" t="s">
        <v>203</v>
      </c>
      <c r="ISK17" s="314" t="s">
        <v>203</v>
      </c>
      <c r="ISL17" s="314" t="s">
        <v>203</v>
      </c>
      <c r="ISM17" s="314" t="s">
        <v>203</v>
      </c>
      <c r="ISN17" s="314" t="s">
        <v>203</v>
      </c>
      <c r="ISO17" s="314" t="s">
        <v>203</v>
      </c>
      <c r="ISP17" s="314" t="s">
        <v>203</v>
      </c>
      <c r="ISQ17" s="314" t="s">
        <v>203</v>
      </c>
      <c r="ISR17" s="314" t="s">
        <v>203</v>
      </c>
      <c r="ISS17" s="314" t="s">
        <v>203</v>
      </c>
      <c r="IST17" s="314" t="s">
        <v>203</v>
      </c>
      <c r="ISU17" s="314" t="s">
        <v>203</v>
      </c>
      <c r="ISV17" s="314" t="s">
        <v>203</v>
      </c>
      <c r="ISW17" s="314" t="s">
        <v>203</v>
      </c>
      <c r="ISX17" s="314" t="s">
        <v>203</v>
      </c>
      <c r="ISY17" s="314" t="s">
        <v>203</v>
      </c>
      <c r="ISZ17" s="314" t="s">
        <v>203</v>
      </c>
      <c r="ITA17" s="314" t="s">
        <v>203</v>
      </c>
      <c r="ITB17" s="314" t="s">
        <v>203</v>
      </c>
      <c r="ITC17" s="314" t="s">
        <v>203</v>
      </c>
      <c r="ITD17" s="314" t="s">
        <v>203</v>
      </c>
      <c r="ITE17" s="314" t="s">
        <v>203</v>
      </c>
      <c r="ITF17" s="314" t="s">
        <v>203</v>
      </c>
      <c r="ITG17" s="314" t="s">
        <v>203</v>
      </c>
      <c r="ITH17" s="314" t="s">
        <v>203</v>
      </c>
      <c r="ITI17" s="314" t="s">
        <v>203</v>
      </c>
      <c r="ITJ17" s="314" t="s">
        <v>203</v>
      </c>
      <c r="ITK17" s="314" t="s">
        <v>203</v>
      </c>
      <c r="ITL17" s="314" t="s">
        <v>203</v>
      </c>
      <c r="ITM17" s="314" t="s">
        <v>203</v>
      </c>
      <c r="ITN17" s="314" t="s">
        <v>203</v>
      </c>
      <c r="ITO17" s="314" t="s">
        <v>203</v>
      </c>
      <c r="ITP17" s="314" t="s">
        <v>203</v>
      </c>
      <c r="ITQ17" s="314" t="s">
        <v>203</v>
      </c>
      <c r="ITR17" s="314" t="s">
        <v>203</v>
      </c>
      <c r="ITS17" s="314" t="s">
        <v>203</v>
      </c>
      <c r="ITT17" s="314" t="s">
        <v>203</v>
      </c>
      <c r="ITU17" s="314" t="s">
        <v>203</v>
      </c>
      <c r="ITV17" s="314" t="s">
        <v>203</v>
      </c>
      <c r="ITW17" s="314" t="s">
        <v>203</v>
      </c>
      <c r="ITX17" s="314" t="s">
        <v>203</v>
      </c>
      <c r="ITY17" s="314" t="s">
        <v>203</v>
      </c>
      <c r="ITZ17" s="314" t="s">
        <v>203</v>
      </c>
      <c r="IUA17" s="314" t="s">
        <v>203</v>
      </c>
      <c r="IUB17" s="314" t="s">
        <v>203</v>
      </c>
      <c r="IUC17" s="314" t="s">
        <v>203</v>
      </c>
      <c r="IUD17" s="314" t="s">
        <v>203</v>
      </c>
      <c r="IUE17" s="314" t="s">
        <v>203</v>
      </c>
      <c r="IUF17" s="314" t="s">
        <v>203</v>
      </c>
      <c r="IUG17" s="314" t="s">
        <v>203</v>
      </c>
      <c r="IUH17" s="314" t="s">
        <v>203</v>
      </c>
      <c r="IUI17" s="314" t="s">
        <v>203</v>
      </c>
      <c r="IUJ17" s="314" t="s">
        <v>203</v>
      </c>
      <c r="IUK17" s="314" t="s">
        <v>203</v>
      </c>
      <c r="IUL17" s="314" t="s">
        <v>203</v>
      </c>
      <c r="IUM17" s="314" t="s">
        <v>203</v>
      </c>
      <c r="IUN17" s="314" t="s">
        <v>203</v>
      </c>
      <c r="IUO17" s="314" t="s">
        <v>203</v>
      </c>
      <c r="IUP17" s="314" t="s">
        <v>203</v>
      </c>
      <c r="IUQ17" s="314" t="s">
        <v>203</v>
      </c>
      <c r="IUR17" s="314" t="s">
        <v>203</v>
      </c>
      <c r="IUS17" s="314" t="s">
        <v>203</v>
      </c>
      <c r="IUT17" s="314" t="s">
        <v>203</v>
      </c>
      <c r="IUU17" s="314" t="s">
        <v>203</v>
      </c>
      <c r="IUV17" s="314" t="s">
        <v>203</v>
      </c>
      <c r="IUW17" s="314" t="s">
        <v>203</v>
      </c>
      <c r="IUX17" s="314" t="s">
        <v>203</v>
      </c>
      <c r="IUY17" s="314" t="s">
        <v>203</v>
      </c>
      <c r="IUZ17" s="314" t="s">
        <v>203</v>
      </c>
      <c r="IVA17" s="314" t="s">
        <v>203</v>
      </c>
      <c r="IVB17" s="314" t="s">
        <v>203</v>
      </c>
      <c r="IVC17" s="314" t="s">
        <v>203</v>
      </c>
      <c r="IVD17" s="314" t="s">
        <v>203</v>
      </c>
      <c r="IVE17" s="314" t="s">
        <v>203</v>
      </c>
      <c r="IVF17" s="314" t="s">
        <v>203</v>
      </c>
      <c r="IVG17" s="314" t="s">
        <v>203</v>
      </c>
      <c r="IVH17" s="314" t="s">
        <v>203</v>
      </c>
      <c r="IVI17" s="314" t="s">
        <v>203</v>
      </c>
      <c r="IVJ17" s="314" t="s">
        <v>203</v>
      </c>
      <c r="IVK17" s="314" t="s">
        <v>203</v>
      </c>
      <c r="IVL17" s="314" t="s">
        <v>203</v>
      </c>
      <c r="IVM17" s="314" t="s">
        <v>203</v>
      </c>
      <c r="IVN17" s="314" t="s">
        <v>203</v>
      </c>
      <c r="IVO17" s="314" t="s">
        <v>203</v>
      </c>
      <c r="IVP17" s="314" t="s">
        <v>203</v>
      </c>
      <c r="IVQ17" s="314" t="s">
        <v>203</v>
      </c>
      <c r="IVR17" s="314" t="s">
        <v>203</v>
      </c>
      <c r="IVS17" s="314" t="s">
        <v>203</v>
      </c>
      <c r="IVT17" s="314" t="s">
        <v>203</v>
      </c>
      <c r="IVU17" s="314" t="s">
        <v>203</v>
      </c>
      <c r="IVV17" s="314" t="s">
        <v>203</v>
      </c>
      <c r="IVW17" s="314" t="s">
        <v>203</v>
      </c>
      <c r="IVX17" s="314" t="s">
        <v>203</v>
      </c>
      <c r="IVY17" s="314" t="s">
        <v>203</v>
      </c>
      <c r="IVZ17" s="314" t="s">
        <v>203</v>
      </c>
      <c r="IWA17" s="314" t="s">
        <v>203</v>
      </c>
      <c r="IWB17" s="314" t="s">
        <v>203</v>
      </c>
      <c r="IWC17" s="314" t="s">
        <v>203</v>
      </c>
      <c r="IWD17" s="314" t="s">
        <v>203</v>
      </c>
      <c r="IWE17" s="314" t="s">
        <v>203</v>
      </c>
      <c r="IWF17" s="314" t="s">
        <v>203</v>
      </c>
      <c r="IWG17" s="314" t="s">
        <v>203</v>
      </c>
      <c r="IWH17" s="314" t="s">
        <v>203</v>
      </c>
      <c r="IWI17" s="314" t="s">
        <v>203</v>
      </c>
      <c r="IWJ17" s="314" t="s">
        <v>203</v>
      </c>
      <c r="IWK17" s="314" t="s">
        <v>203</v>
      </c>
      <c r="IWL17" s="314" t="s">
        <v>203</v>
      </c>
      <c r="IWM17" s="314" t="s">
        <v>203</v>
      </c>
      <c r="IWN17" s="314" t="s">
        <v>203</v>
      </c>
      <c r="IWO17" s="314" t="s">
        <v>203</v>
      </c>
      <c r="IWP17" s="314" t="s">
        <v>203</v>
      </c>
      <c r="IWQ17" s="314" t="s">
        <v>203</v>
      </c>
      <c r="IWR17" s="314" t="s">
        <v>203</v>
      </c>
      <c r="IWS17" s="314" t="s">
        <v>203</v>
      </c>
      <c r="IWT17" s="314" t="s">
        <v>203</v>
      </c>
      <c r="IWU17" s="314" t="s">
        <v>203</v>
      </c>
      <c r="IWV17" s="314" t="s">
        <v>203</v>
      </c>
      <c r="IWW17" s="314" t="s">
        <v>203</v>
      </c>
      <c r="IWX17" s="314" t="s">
        <v>203</v>
      </c>
      <c r="IWY17" s="314" t="s">
        <v>203</v>
      </c>
      <c r="IWZ17" s="314" t="s">
        <v>203</v>
      </c>
      <c r="IXA17" s="314" t="s">
        <v>203</v>
      </c>
      <c r="IXB17" s="314" t="s">
        <v>203</v>
      </c>
      <c r="IXC17" s="314" t="s">
        <v>203</v>
      </c>
      <c r="IXD17" s="314" t="s">
        <v>203</v>
      </c>
      <c r="IXE17" s="314" t="s">
        <v>203</v>
      </c>
      <c r="IXF17" s="314" t="s">
        <v>203</v>
      </c>
      <c r="IXG17" s="314" t="s">
        <v>203</v>
      </c>
      <c r="IXH17" s="314" t="s">
        <v>203</v>
      </c>
      <c r="IXI17" s="314" t="s">
        <v>203</v>
      </c>
      <c r="IXJ17" s="314" t="s">
        <v>203</v>
      </c>
      <c r="IXK17" s="314" t="s">
        <v>203</v>
      </c>
      <c r="IXL17" s="314" t="s">
        <v>203</v>
      </c>
      <c r="IXM17" s="314" t="s">
        <v>203</v>
      </c>
      <c r="IXN17" s="314" t="s">
        <v>203</v>
      </c>
      <c r="IXO17" s="314" t="s">
        <v>203</v>
      </c>
      <c r="IXP17" s="314" t="s">
        <v>203</v>
      </c>
      <c r="IXQ17" s="314" t="s">
        <v>203</v>
      </c>
      <c r="IXR17" s="314" t="s">
        <v>203</v>
      </c>
      <c r="IXS17" s="314" t="s">
        <v>203</v>
      </c>
      <c r="IXT17" s="314" t="s">
        <v>203</v>
      </c>
      <c r="IXU17" s="314" t="s">
        <v>203</v>
      </c>
      <c r="IXV17" s="314" t="s">
        <v>203</v>
      </c>
      <c r="IXW17" s="314" t="s">
        <v>203</v>
      </c>
      <c r="IXX17" s="314" t="s">
        <v>203</v>
      </c>
      <c r="IXY17" s="314" t="s">
        <v>203</v>
      </c>
      <c r="IXZ17" s="314" t="s">
        <v>203</v>
      </c>
      <c r="IYA17" s="314" t="s">
        <v>203</v>
      </c>
      <c r="IYB17" s="314" t="s">
        <v>203</v>
      </c>
      <c r="IYC17" s="314" t="s">
        <v>203</v>
      </c>
      <c r="IYD17" s="314" t="s">
        <v>203</v>
      </c>
      <c r="IYE17" s="314" t="s">
        <v>203</v>
      </c>
      <c r="IYF17" s="314" t="s">
        <v>203</v>
      </c>
      <c r="IYG17" s="314" t="s">
        <v>203</v>
      </c>
      <c r="IYH17" s="314" t="s">
        <v>203</v>
      </c>
      <c r="IYI17" s="314" t="s">
        <v>203</v>
      </c>
      <c r="IYJ17" s="314" t="s">
        <v>203</v>
      </c>
      <c r="IYK17" s="314" t="s">
        <v>203</v>
      </c>
      <c r="IYL17" s="314" t="s">
        <v>203</v>
      </c>
      <c r="IYM17" s="314" t="s">
        <v>203</v>
      </c>
      <c r="IYN17" s="314" t="s">
        <v>203</v>
      </c>
      <c r="IYO17" s="314" t="s">
        <v>203</v>
      </c>
      <c r="IYP17" s="314" t="s">
        <v>203</v>
      </c>
      <c r="IYQ17" s="314" t="s">
        <v>203</v>
      </c>
      <c r="IYR17" s="314" t="s">
        <v>203</v>
      </c>
      <c r="IYS17" s="314" t="s">
        <v>203</v>
      </c>
      <c r="IYT17" s="314" t="s">
        <v>203</v>
      </c>
      <c r="IYU17" s="314" t="s">
        <v>203</v>
      </c>
      <c r="IYV17" s="314" t="s">
        <v>203</v>
      </c>
      <c r="IYW17" s="314" t="s">
        <v>203</v>
      </c>
      <c r="IYX17" s="314" t="s">
        <v>203</v>
      </c>
      <c r="IYY17" s="314" t="s">
        <v>203</v>
      </c>
      <c r="IYZ17" s="314" t="s">
        <v>203</v>
      </c>
      <c r="IZA17" s="314" t="s">
        <v>203</v>
      </c>
      <c r="IZB17" s="314" t="s">
        <v>203</v>
      </c>
      <c r="IZC17" s="314" t="s">
        <v>203</v>
      </c>
      <c r="IZD17" s="314" t="s">
        <v>203</v>
      </c>
      <c r="IZE17" s="314" t="s">
        <v>203</v>
      </c>
      <c r="IZF17" s="314" t="s">
        <v>203</v>
      </c>
      <c r="IZG17" s="314" t="s">
        <v>203</v>
      </c>
      <c r="IZH17" s="314" t="s">
        <v>203</v>
      </c>
      <c r="IZI17" s="314" t="s">
        <v>203</v>
      </c>
      <c r="IZJ17" s="314" t="s">
        <v>203</v>
      </c>
      <c r="IZK17" s="314" t="s">
        <v>203</v>
      </c>
      <c r="IZL17" s="314" t="s">
        <v>203</v>
      </c>
      <c r="IZM17" s="314" t="s">
        <v>203</v>
      </c>
      <c r="IZN17" s="314" t="s">
        <v>203</v>
      </c>
      <c r="IZO17" s="314" t="s">
        <v>203</v>
      </c>
      <c r="IZP17" s="314" t="s">
        <v>203</v>
      </c>
      <c r="IZQ17" s="314" t="s">
        <v>203</v>
      </c>
      <c r="IZR17" s="314" t="s">
        <v>203</v>
      </c>
      <c r="IZS17" s="314" t="s">
        <v>203</v>
      </c>
      <c r="IZT17" s="314" t="s">
        <v>203</v>
      </c>
      <c r="IZU17" s="314" t="s">
        <v>203</v>
      </c>
      <c r="IZV17" s="314" t="s">
        <v>203</v>
      </c>
      <c r="IZW17" s="314" t="s">
        <v>203</v>
      </c>
      <c r="IZX17" s="314" t="s">
        <v>203</v>
      </c>
      <c r="IZY17" s="314" t="s">
        <v>203</v>
      </c>
      <c r="IZZ17" s="314" t="s">
        <v>203</v>
      </c>
      <c r="JAA17" s="314" t="s">
        <v>203</v>
      </c>
      <c r="JAB17" s="314" t="s">
        <v>203</v>
      </c>
      <c r="JAC17" s="314" t="s">
        <v>203</v>
      </c>
      <c r="JAD17" s="314" t="s">
        <v>203</v>
      </c>
      <c r="JAE17" s="314" t="s">
        <v>203</v>
      </c>
      <c r="JAF17" s="314" t="s">
        <v>203</v>
      </c>
      <c r="JAG17" s="314" t="s">
        <v>203</v>
      </c>
      <c r="JAH17" s="314" t="s">
        <v>203</v>
      </c>
      <c r="JAI17" s="314" t="s">
        <v>203</v>
      </c>
      <c r="JAJ17" s="314" t="s">
        <v>203</v>
      </c>
      <c r="JAK17" s="314" t="s">
        <v>203</v>
      </c>
      <c r="JAL17" s="314" t="s">
        <v>203</v>
      </c>
      <c r="JAM17" s="314" t="s">
        <v>203</v>
      </c>
      <c r="JAN17" s="314" t="s">
        <v>203</v>
      </c>
      <c r="JAO17" s="314" t="s">
        <v>203</v>
      </c>
      <c r="JAP17" s="314" t="s">
        <v>203</v>
      </c>
      <c r="JAQ17" s="314" t="s">
        <v>203</v>
      </c>
      <c r="JAR17" s="314" t="s">
        <v>203</v>
      </c>
      <c r="JAS17" s="314" t="s">
        <v>203</v>
      </c>
      <c r="JAT17" s="314" t="s">
        <v>203</v>
      </c>
      <c r="JAU17" s="314" t="s">
        <v>203</v>
      </c>
      <c r="JAV17" s="314" t="s">
        <v>203</v>
      </c>
      <c r="JAW17" s="314" t="s">
        <v>203</v>
      </c>
      <c r="JAX17" s="314" t="s">
        <v>203</v>
      </c>
      <c r="JAY17" s="314" t="s">
        <v>203</v>
      </c>
      <c r="JAZ17" s="314" t="s">
        <v>203</v>
      </c>
      <c r="JBA17" s="314" t="s">
        <v>203</v>
      </c>
      <c r="JBB17" s="314" t="s">
        <v>203</v>
      </c>
      <c r="JBC17" s="314" t="s">
        <v>203</v>
      </c>
      <c r="JBD17" s="314" t="s">
        <v>203</v>
      </c>
      <c r="JBE17" s="314" t="s">
        <v>203</v>
      </c>
      <c r="JBF17" s="314" t="s">
        <v>203</v>
      </c>
      <c r="JBG17" s="314" t="s">
        <v>203</v>
      </c>
      <c r="JBH17" s="314" t="s">
        <v>203</v>
      </c>
      <c r="JBI17" s="314" t="s">
        <v>203</v>
      </c>
      <c r="JBJ17" s="314" t="s">
        <v>203</v>
      </c>
      <c r="JBK17" s="314" t="s">
        <v>203</v>
      </c>
      <c r="JBL17" s="314" t="s">
        <v>203</v>
      </c>
      <c r="JBM17" s="314" t="s">
        <v>203</v>
      </c>
      <c r="JBN17" s="314" t="s">
        <v>203</v>
      </c>
      <c r="JBO17" s="314" t="s">
        <v>203</v>
      </c>
      <c r="JBP17" s="314" t="s">
        <v>203</v>
      </c>
      <c r="JBQ17" s="314" t="s">
        <v>203</v>
      </c>
      <c r="JBR17" s="314" t="s">
        <v>203</v>
      </c>
      <c r="JBS17" s="314" t="s">
        <v>203</v>
      </c>
      <c r="JBT17" s="314" t="s">
        <v>203</v>
      </c>
      <c r="JBU17" s="314" t="s">
        <v>203</v>
      </c>
      <c r="JBV17" s="314" t="s">
        <v>203</v>
      </c>
      <c r="JBW17" s="314" t="s">
        <v>203</v>
      </c>
      <c r="JBX17" s="314" t="s">
        <v>203</v>
      </c>
      <c r="JBY17" s="314" t="s">
        <v>203</v>
      </c>
      <c r="JBZ17" s="314" t="s">
        <v>203</v>
      </c>
      <c r="JCA17" s="314" t="s">
        <v>203</v>
      </c>
      <c r="JCB17" s="314" t="s">
        <v>203</v>
      </c>
      <c r="JCC17" s="314" t="s">
        <v>203</v>
      </c>
      <c r="JCD17" s="314" t="s">
        <v>203</v>
      </c>
      <c r="JCE17" s="314" t="s">
        <v>203</v>
      </c>
      <c r="JCF17" s="314" t="s">
        <v>203</v>
      </c>
      <c r="JCG17" s="314" t="s">
        <v>203</v>
      </c>
      <c r="JCH17" s="314" t="s">
        <v>203</v>
      </c>
      <c r="JCI17" s="314" t="s">
        <v>203</v>
      </c>
      <c r="JCJ17" s="314" t="s">
        <v>203</v>
      </c>
      <c r="JCK17" s="314" t="s">
        <v>203</v>
      </c>
      <c r="JCL17" s="314" t="s">
        <v>203</v>
      </c>
      <c r="JCM17" s="314" t="s">
        <v>203</v>
      </c>
      <c r="JCN17" s="314" t="s">
        <v>203</v>
      </c>
      <c r="JCO17" s="314" t="s">
        <v>203</v>
      </c>
      <c r="JCP17" s="314" t="s">
        <v>203</v>
      </c>
      <c r="JCQ17" s="314" t="s">
        <v>203</v>
      </c>
      <c r="JCR17" s="314" t="s">
        <v>203</v>
      </c>
      <c r="JCS17" s="314" t="s">
        <v>203</v>
      </c>
      <c r="JCT17" s="314" t="s">
        <v>203</v>
      </c>
      <c r="JCU17" s="314" t="s">
        <v>203</v>
      </c>
      <c r="JCV17" s="314" t="s">
        <v>203</v>
      </c>
      <c r="JCW17" s="314" t="s">
        <v>203</v>
      </c>
      <c r="JCX17" s="314" t="s">
        <v>203</v>
      </c>
      <c r="JCY17" s="314" t="s">
        <v>203</v>
      </c>
      <c r="JCZ17" s="314" t="s">
        <v>203</v>
      </c>
      <c r="JDA17" s="314" t="s">
        <v>203</v>
      </c>
      <c r="JDB17" s="314" t="s">
        <v>203</v>
      </c>
      <c r="JDC17" s="314" t="s">
        <v>203</v>
      </c>
      <c r="JDD17" s="314" t="s">
        <v>203</v>
      </c>
      <c r="JDE17" s="314" t="s">
        <v>203</v>
      </c>
      <c r="JDF17" s="314" t="s">
        <v>203</v>
      </c>
      <c r="JDG17" s="314" t="s">
        <v>203</v>
      </c>
      <c r="JDH17" s="314" t="s">
        <v>203</v>
      </c>
      <c r="JDI17" s="314" t="s">
        <v>203</v>
      </c>
      <c r="JDJ17" s="314" t="s">
        <v>203</v>
      </c>
      <c r="JDK17" s="314" t="s">
        <v>203</v>
      </c>
      <c r="JDL17" s="314" t="s">
        <v>203</v>
      </c>
      <c r="JDM17" s="314" t="s">
        <v>203</v>
      </c>
      <c r="JDN17" s="314" t="s">
        <v>203</v>
      </c>
      <c r="JDO17" s="314" t="s">
        <v>203</v>
      </c>
      <c r="JDP17" s="314" t="s">
        <v>203</v>
      </c>
      <c r="JDQ17" s="314" t="s">
        <v>203</v>
      </c>
      <c r="JDR17" s="314" t="s">
        <v>203</v>
      </c>
      <c r="JDS17" s="314" t="s">
        <v>203</v>
      </c>
      <c r="JDT17" s="314" t="s">
        <v>203</v>
      </c>
      <c r="JDU17" s="314" t="s">
        <v>203</v>
      </c>
      <c r="JDV17" s="314" t="s">
        <v>203</v>
      </c>
      <c r="JDW17" s="314" t="s">
        <v>203</v>
      </c>
      <c r="JDX17" s="314" t="s">
        <v>203</v>
      </c>
      <c r="JDY17" s="314" t="s">
        <v>203</v>
      </c>
      <c r="JDZ17" s="314" t="s">
        <v>203</v>
      </c>
      <c r="JEA17" s="314" t="s">
        <v>203</v>
      </c>
      <c r="JEB17" s="314" t="s">
        <v>203</v>
      </c>
      <c r="JEC17" s="314" t="s">
        <v>203</v>
      </c>
      <c r="JED17" s="314" t="s">
        <v>203</v>
      </c>
      <c r="JEE17" s="314" t="s">
        <v>203</v>
      </c>
      <c r="JEF17" s="314" t="s">
        <v>203</v>
      </c>
      <c r="JEG17" s="314" t="s">
        <v>203</v>
      </c>
      <c r="JEH17" s="314" t="s">
        <v>203</v>
      </c>
      <c r="JEI17" s="314" t="s">
        <v>203</v>
      </c>
      <c r="JEJ17" s="314" t="s">
        <v>203</v>
      </c>
      <c r="JEK17" s="314" t="s">
        <v>203</v>
      </c>
      <c r="JEL17" s="314" t="s">
        <v>203</v>
      </c>
      <c r="JEM17" s="314" t="s">
        <v>203</v>
      </c>
      <c r="JEN17" s="314" t="s">
        <v>203</v>
      </c>
      <c r="JEO17" s="314" t="s">
        <v>203</v>
      </c>
      <c r="JEP17" s="314" t="s">
        <v>203</v>
      </c>
      <c r="JEQ17" s="314" t="s">
        <v>203</v>
      </c>
      <c r="JER17" s="314" t="s">
        <v>203</v>
      </c>
      <c r="JES17" s="314" t="s">
        <v>203</v>
      </c>
      <c r="JET17" s="314" t="s">
        <v>203</v>
      </c>
      <c r="JEU17" s="314" t="s">
        <v>203</v>
      </c>
      <c r="JEV17" s="314" t="s">
        <v>203</v>
      </c>
      <c r="JEW17" s="314" t="s">
        <v>203</v>
      </c>
      <c r="JEX17" s="314" t="s">
        <v>203</v>
      </c>
      <c r="JEY17" s="314" t="s">
        <v>203</v>
      </c>
      <c r="JEZ17" s="314" t="s">
        <v>203</v>
      </c>
      <c r="JFA17" s="314" t="s">
        <v>203</v>
      </c>
      <c r="JFB17" s="314" t="s">
        <v>203</v>
      </c>
      <c r="JFC17" s="314" t="s">
        <v>203</v>
      </c>
      <c r="JFD17" s="314" t="s">
        <v>203</v>
      </c>
      <c r="JFE17" s="314" t="s">
        <v>203</v>
      </c>
      <c r="JFF17" s="314" t="s">
        <v>203</v>
      </c>
      <c r="JFG17" s="314" t="s">
        <v>203</v>
      </c>
      <c r="JFH17" s="314" t="s">
        <v>203</v>
      </c>
      <c r="JFI17" s="314" t="s">
        <v>203</v>
      </c>
      <c r="JFJ17" s="314" t="s">
        <v>203</v>
      </c>
      <c r="JFK17" s="314" t="s">
        <v>203</v>
      </c>
      <c r="JFL17" s="314" t="s">
        <v>203</v>
      </c>
      <c r="JFM17" s="314" t="s">
        <v>203</v>
      </c>
      <c r="JFN17" s="314" t="s">
        <v>203</v>
      </c>
      <c r="JFO17" s="314" t="s">
        <v>203</v>
      </c>
      <c r="JFP17" s="314" t="s">
        <v>203</v>
      </c>
      <c r="JFQ17" s="314" t="s">
        <v>203</v>
      </c>
      <c r="JFR17" s="314" t="s">
        <v>203</v>
      </c>
      <c r="JFS17" s="314" t="s">
        <v>203</v>
      </c>
      <c r="JFT17" s="314" t="s">
        <v>203</v>
      </c>
      <c r="JFU17" s="314" t="s">
        <v>203</v>
      </c>
      <c r="JFV17" s="314" t="s">
        <v>203</v>
      </c>
      <c r="JFW17" s="314" t="s">
        <v>203</v>
      </c>
      <c r="JFX17" s="314" t="s">
        <v>203</v>
      </c>
      <c r="JFY17" s="314" t="s">
        <v>203</v>
      </c>
      <c r="JFZ17" s="314" t="s">
        <v>203</v>
      </c>
      <c r="JGA17" s="314" t="s">
        <v>203</v>
      </c>
      <c r="JGB17" s="314" t="s">
        <v>203</v>
      </c>
      <c r="JGC17" s="314" t="s">
        <v>203</v>
      </c>
      <c r="JGD17" s="314" t="s">
        <v>203</v>
      </c>
      <c r="JGE17" s="314" t="s">
        <v>203</v>
      </c>
      <c r="JGF17" s="314" t="s">
        <v>203</v>
      </c>
      <c r="JGG17" s="314" t="s">
        <v>203</v>
      </c>
      <c r="JGH17" s="314" t="s">
        <v>203</v>
      </c>
      <c r="JGI17" s="314" t="s">
        <v>203</v>
      </c>
      <c r="JGJ17" s="314" t="s">
        <v>203</v>
      </c>
      <c r="JGK17" s="314" t="s">
        <v>203</v>
      </c>
      <c r="JGL17" s="314" t="s">
        <v>203</v>
      </c>
      <c r="JGM17" s="314" t="s">
        <v>203</v>
      </c>
      <c r="JGN17" s="314" t="s">
        <v>203</v>
      </c>
      <c r="JGO17" s="314" t="s">
        <v>203</v>
      </c>
      <c r="JGP17" s="314" t="s">
        <v>203</v>
      </c>
      <c r="JGQ17" s="314" t="s">
        <v>203</v>
      </c>
      <c r="JGR17" s="314" t="s">
        <v>203</v>
      </c>
      <c r="JGS17" s="314" t="s">
        <v>203</v>
      </c>
      <c r="JGT17" s="314" t="s">
        <v>203</v>
      </c>
      <c r="JGU17" s="314" t="s">
        <v>203</v>
      </c>
      <c r="JGV17" s="314" t="s">
        <v>203</v>
      </c>
      <c r="JGW17" s="314" t="s">
        <v>203</v>
      </c>
      <c r="JGX17" s="314" t="s">
        <v>203</v>
      </c>
      <c r="JGY17" s="314" t="s">
        <v>203</v>
      </c>
      <c r="JGZ17" s="314" t="s">
        <v>203</v>
      </c>
      <c r="JHA17" s="314" t="s">
        <v>203</v>
      </c>
      <c r="JHB17" s="314" t="s">
        <v>203</v>
      </c>
      <c r="JHC17" s="314" t="s">
        <v>203</v>
      </c>
      <c r="JHD17" s="314" t="s">
        <v>203</v>
      </c>
      <c r="JHE17" s="314" t="s">
        <v>203</v>
      </c>
      <c r="JHF17" s="314" t="s">
        <v>203</v>
      </c>
      <c r="JHG17" s="314" t="s">
        <v>203</v>
      </c>
      <c r="JHH17" s="314" t="s">
        <v>203</v>
      </c>
      <c r="JHI17" s="314" t="s">
        <v>203</v>
      </c>
      <c r="JHJ17" s="314" t="s">
        <v>203</v>
      </c>
      <c r="JHK17" s="314" t="s">
        <v>203</v>
      </c>
      <c r="JHL17" s="314" t="s">
        <v>203</v>
      </c>
      <c r="JHM17" s="314" t="s">
        <v>203</v>
      </c>
      <c r="JHN17" s="314" t="s">
        <v>203</v>
      </c>
      <c r="JHO17" s="314" t="s">
        <v>203</v>
      </c>
      <c r="JHP17" s="314" t="s">
        <v>203</v>
      </c>
      <c r="JHQ17" s="314" t="s">
        <v>203</v>
      </c>
      <c r="JHR17" s="314" t="s">
        <v>203</v>
      </c>
      <c r="JHS17" s="314" t="s">
        <v>203</v>
      </c>
      <c r="JHT17" s="314" t="s">
        <v>203</v>
      </c>
      <c r="JHU17" s="314" t="s">
        <v>203</v>
      </c>
      <c r="JHV17" s="314" t="s">
        <v>203</v>
      </c>
      <c r="JHW17" s="314" t="s">
        <v>203</v>
      </c>
      <c r="JHX17" s="314" t="s">
        <v>203</v>
      </c>
      <c r="JHY17" s="314" t="s">
        <v>203</v>
      </c>
      <c r="JHZ17" s="314" t="s">
        <v>203</v>
      </c>
      <c r="JIA17" s="314" t="s">
        <v>203</v>
      </c>
      <c r="JIB17" s="314" t="s">
        <v>203</v>
      </c>
      <c r="JIC17" s="314" t="s">
        <v>203</v>
      </c>
      <c r="JID17" s="314" t="s">
        <v>203</v>
      </c>
      <c r="JIE17" s="314" t="s">
        <v>203</v>
      </c>
      <c r="JIF17" s="314" t="s">
        <v>203</v>
      </c>
      <c r="JIG17" s="314" t="s">
        <v>203</v>
      </c>
      <c r="JIH17" s="314" t="s">
        <v>203</v>
      </c>
      <c r="JII17" s="314" t="s">
        <v>203</v>
      </c>
      <c r="JIJ17" s="314" t="s">
        <v>203</v>
      </c>
      <c r="JIK17" s="314" t="s">
        <v>203</v>
      </c>
      <c r="JIL17" s="314" t="s">
        <v>203</v>
      </c>
      <c r="JIM17" s="314" t="s">
        <v>203</v>
      </c>
      <c r="JIN17" s="314" t="s">
        <v>203</v>
      </c>
      <c r="JIO17" s="314" t="s">
        <v>203</v>
      </c>
      <c r="JIP17" s="314" t="s">
        <v>203</v>
      </c>
      <c r="JIQ17" s="314" t="s">
        <v>203</v>
      </c>
      <c r="JIR17" s="314" t="s">
        <v>203</v>
      </c>
      <c r="JIS17" s="314" t="s">
        <v>203</v>
      </c>
      <c r="JIT17" s="314" t="s">
        <v>203</v>
      </c>
      <c r="JIU17" s="314" t="s">
        <v>203</v>
      </c>
      <c r="JIV17" s="314" t="s">
        <v>203</v>
      </c>
      <c r="JIW17" s="314" t="s">
        <v>203</v>
      </c>
      <c r="JIX17" s="314" t="s">
        <v>203</v>
      </c>
      <c r="JIY17" s="314" t="s">
        <v>203</v>
      </c>
      <c r="JIZ17" s="314" t="s">
        <v>203</v>
      </c>
      <c r="JJA17" s="314" t="s">
        <v>203</v>
      </c>
      <c r="JJB17" s="314" t="s">
        <v>203</v>
      </c>
      <c r="JJC17" s="314" t="s">
        <v>203</v>
      </c>
      <c r="JJD17" s="314" t="s">
        <v>203</v>
      </c>
      <c r="JJE17" s="314" t="s">
        <v>203</v>
      </c>
      <c r="JJF17" s="314" t="s">
        <v>203</v>
      </c>
      <c r="JJG17" s="314" t="s">
        <v>203</v>
      </c>
      <c r="JJH17" s="314" t="s">
        <v>203</v>
      </c>
      <c r="JJI17" s="314" t="s">
        <v>203</v>
      </c>
      <c r="JJJ17" s="314" t="s">
        <v>203</v>
      </c>
      <c r="JJK17" s="314" t="s">
        <v>203</v>
      </c>
      <c r="JJL17" s="314" t="s">
        <v>203</v>
      </c>
      <c r="JJM17" s="314" t="s">
        <v>203</v>
      </c>
      <c r="JJN17" s="314" t="s">
        <v>203</v>
      </c>
      <c r="JJO17" s="314" t="s">
        <v>203</v>
      </c>
      <c r="JJP17" s="314" t="s">
        <v>203</v>
      </c>
      <c r="JJQ17" s="314" t="s">
        <v>203</v>
      </c>
      <c r="JJR17" s="314" t="s">
        <v>203</v>
      </c>
      <c r="JJS17" s="314" t="s">
        <v>203</v>
      </c>
      <c r="JJT17" s="314" t="s">
        <v>203</v>
      </c>
      <c r="JJU17" s="314" t="s">
        <v>203</v>
      </c>
      <c r="JJV17" s="314" t="s">
        <v>203</v>
      </c>
      <c r="JJW17" s="314" t="s">
        <v>203</v>
      </c>
      <c r="JJX17" s="314" t="s">
        <v>203</v>
      </c>
      <c r="JJY17" s="314" t="s">
        <v>203</v>
      </c>
      <c r="JJZ17" s="314" t="s">
        <v>203</v>
      </c>
      <c r="JKA17" s="314" t="s">
        <v>203</v>
      </c>
      <c r="JKB17" s="314" t="s">
        <v>203</v>
      </c>
      <c r="JKC17" s="314" t="s">
        <v>203</v>
      </c>
      <c r="JKD17" s="314" t="s">
        <v>203</v>
      </c>
      <c r="JKE17" s="314" t="s">
        <v>203</v>
      </c>
      <c r="JKF17" s="314" t="s">
        <v>203</v>
      </c>
      <c r="JKG17" s="314" t="s">
        <v>203</v>
      </c>
      <c r="JKH17" s="314" t="s">
        <v>203</v>
      </c>
      <c r="JKI17" s="314" t="s">
        <v>203</v>
      </c>
      <c r="JKJ17" s="314" t="s">
        <v>203</v>
      </c>
      <c r="JKK17" s="314" t="s">
        <v>203</v>
      </c>
      <c r="JKL17" s="314" t="s">
        <v>203</v>
      </c>
      <c r="JKM17" s="314" t="s">
        <v>203</v>
      </c>
      <c r="JKN17" s="314" t="s">
        <v>203</v>
      </c>
      <c r="JKO17" s="314" t="s">
        <v>203</v>
      </c>
      <c r="JKP17" s="314" t="s">
        <v>203</v>
      </c>
      <c r="JKQ17" s="314" t="s">
        <v>203</v>
      </c>
      <c r="JKR17" s="314" t="s">
        <v>203</v>
      </c>
      <c r="JKS17" s="314" t="s">
        <v>203</v>
      </c>
      <c r="JKT17" s="314" t="s">
        <v>203</v>
      </c>
      <c r="JKU17" s="314" t="s">
        <v>203</v>
      </c>
      <c r="JKV17" s="314" t="s">
        <v>203</v>
      </c>
      <c r="JKW17" s="314" t="s">
        <v>203</v>
      </c>
      <c r="JKX17" s="314" t="s">
        <v>203</v>
      </c>
      <c r="JKY17" s="314" t="s">
        <v>203</v>
      </c>
      <c r="JKZ17" s="314" t="s">
        <v>203</v>
      </c>
      <c r="JLA17" s="314" t="s">
        <v>203</v>
      </c>
      <c r="JLB17" s="314" t="s">
        <v>203</v>
      </c>
      <c r="JLC17" s="314" t="s">
        <v>203</v>
      </c>
      <c r="JLD17" s="314" t="s">
        <v>203</v>
      </c>
      <c r="JLE17" s="314" t="s">
        <v>203</v>
      </c>
      <c r="JLF17" s="314" t="s">
        <v>203</v>
      </c>
      <c r="JLG17" s="314" t="s">
        <v>203</v>
      </c>
      <c r="JLH17" s="314" t="s">
        <v>203</v>
      </c>
      <c r="JLI17" s="314" t="s">
        <v>203</v>
      </c>
      <c r="JLJ17" s="314" t="s">
        <v>203</v>
      </c>
      <c r="JLK17" s="314" t="s">
        <v>203</v>
      </c>
      <c r="JLL17" s="314" t="s">
        <v>203</v>
      </c>
      <c r="JLM17" s="314" t="s">
        <v>203</v>
      </c>
      <c r="JLN17" s="314" t="s">
        <v>203</v>
      </c>
      <c r="JLO17" s="314" t="s">
        <v>203</v>
      </c>
      <c r="JLP17" s="314" t="s">
        <v>203</v>
      </c>
      <c r="JLQ17" s="314" t="s">
        <v>203</v>
      </c>
      <c r="JLR17" s="314" t="s">
        <v>203</v>
      </c>
      <c r="JLS17" s="314" t="s">
        <v>203</v>
      </c>
      <c r="JLT17" s="314" t="s">
        <v>203</v>
      </c>
      <c r="JLU17" s="314" t="s">
        <v>203</v>
      </c>
      <c r="JLV17" s="314" t="s">
        <v>203</v>
      </c>
      <c r="JLW17" s="314" t="s">
        <v>203</v>
      </c>
      <c r="JLX17" s="314" t="s">
        <v>203</v>
      </c>
      <c r="JLY17" s="314" t="s">
        <v>203</v>
      </c>
      <c r="JLZ17" s="314" t="s">
        <v>203</v>
      </c>
      <c r="JMA17" s="314" t="s">
        <v>203</v>
      </c>
      <c r="JMB17" s="314" t="s">
        <v>203</v>
      </c>
      <c r="JMC17" s="314" t="s">
        <v>203</v>
      </c>
      <c r="JMD17" s="314" t="s">
        <v>203</v>
      </c>
      <c r="JME17" s="314" t="s">
        <v>203</v>
      </c>
      <c r="JMF17" s="314" t="s">
        <v>203</v>
      </c>
      <c r="JMG17" s="314" t="s">
        <v>203</v>
      </c>
      <c r="JMH17" s="314" t="s">
        <v>203</v>
      </c>
      <c r="JMI17" s="314" t="s">
        <v>203</v>
      </c>
      <c r="JMJ17" s="314" t="s">
        <v>203</v>
      </c>
      <c r="JMK17" s="314" t="s">
        <v>203</v>
      </c>
      <c r="JML17" s="314" t="s">
        <v>203</v>
      </c>
      <c r="JMM17" s="314" t="s">
        <v>203</v>
      </c>
      <c r="JMN17" s="314" t="s">
        <v>203</v>
      </c>
      <c r="JMO17" s="314" t="s">
        <v>203</v>
      </c>
      <c r="JMP17" s="314" t="s">
        <v>203</v>
      </c>
      <c r="JMQ17" s="314" t="s">
        <v>203</v>
      </c>
      <c r="JMR17" s="314" t="s">
        <v>203</v>
      </c>
      <c r="JMS17" s="314" t="s">
        <v>203</v>
      </c>
      <c r="JMT17" s="314" t="s">
        <v>203</v>
      </c>
      <c r="JMU17" s="314" t="s">
        <v>203</v>
      </c>
      <c r="JMV17" s="314" t="s">
        <v>203</v>
      </c>
      <c r="JMW17" s="314" t="s">
        <v>203</v>
      </c>
      <c r="JMX17" s="314" t="s">
        <v>203</v>
      </c>
      <c r="JMY17" s="314" t="s">
        <v>203</v>
      </c>
      <c r="JMZ17" s="314" t="s">
        <v>203</v>
      </c>
      <c r="JNA17" s="314" t="s">
        <v>203</v>
      </c>
      <c r="JNB17" s="314" t="s">
        <v>203</v>
      </c>
      <c r="JNC17" s="314" t="s">
        <v>203</v>
      </c>
      <c r="JND17" s="314" t="s">
        <v>203</v>
      </c>
      <c r="JNE17" s="314" t="s">
        <v>203</v>
      </c>
      <c r="JNF17" s="314" t="s">
        <v>203</v>
      </c>
      <c r="JNG17" s="314" t="s">
        <v>203</v>
      </c>
      <c r="JNH17" s="314" t="s">
        <v>203</v>
      </c>
      <c r="JNI17" s="314" t="s">
        <v>203</v>
      </c>
      <c r="JNJ17" s="314" t="s">
        <v>203</v>
      </c>
      <c r="JNK17" s="314" t="s">
        <v>203</v>
      </c>
      <c r="JNL17" s="314" t="s">
        <v>203</v>
      </c>
      <c r="JNM17" s="314" t="s">
        <v>203</v>
      </c>
      <c r="JNN17" s="314" t="s">
        <v>203</v>
      </c>
      <c r="JNO17" s="314" t="s">
        <v>203</v>
      </c>
      <c r="JNP17" s="314" t="s">
        <v>203</v>
      </c>
      <c r="JNQ17" s="314" t="s">
        <v>203</v>
      </c>
      <c r="JNR17" s="314" t="s">
        <v>203</v>
      </c>
      <c r="JNS17" s="314" t="s">
        <v>203</v>
      </c>
      <c r="JNT17" s="314" t="s">
        <v>203</v>
      </c>
      <c r="JNU17" s="314" t="s">
        <v>203</v>
      </c>
      <c r="JNV17" s="314" t="s">
        <v>203</v>
      </c>
      <c r="JNW17" s="314" t="s">
        <v>203</v>
      </c>
      <c r="JNX17" s="314" t="s">
        <v>203</v>
      </c>
      <c r="JNY17" s="314" t="s">
        <v>203</v>
      </c>
      <c r="JNZ17" s="314" t="s">
        <v>203</v>
      </c>
      <c r="JOA17" s="314" t="s">
        <v>203</v>
      </c>
      <c r="JOB17" s="314" t="s">
        <v>203</v>
      </c>
      <c r="JOC17" s="314" t="s">
        <v>203</v>
      </c>
      <c r="JOD17" s="314" t="s">
        <v>203</v>
      </c>
      <c r="JOE17" s="314" t="s">
        <v>203</v>
      </c>
      <c r="JOF17" s="314" t="s">
        <v>203</v>
      </c>
      <c r="JOG17" s="314" t="s">
        <v>203</v>
      </c>
      <c r="JOH17" s="314" t="s">
        <v>203</v>
      </c>
      <c r="JOI17" s="314" t="s">
        <v>203</v>
      </c>
      <c r="JOJ17" s="314" t="s">
        <v>203</v>
      </c>
      <c r="JOK17" s="314" t="s">
        <v>203</v>
      </c>
      <c r="JOL17" s="314" t="s">
        <v>203</v>
      </c>
      <c r="JOM17" s="314" t="s">
        <v>203</v>
      </c>
      <c r="JON17" s="314" t="s">
        <v>203</v>
      </c>
      <c r="JOO17" s="314" t="s">
        <v>203</v>
      </c>
      <c r="JOP17" s="314" t="s">
        <v>203</v>
      </c>
      <c r="JOQ17" s="314" t="s">
        <v>203</v>
      </c>
      <c r="JOR17" s="314" t="s">
        <v>203</v>
      </c>
      <c r="JOS17" s="314" t="s">
        <v>203</v>
      </c>
      <c r="JOT17" s="314" t="s">
        <v>203</v>
      </c>
      <c r="JOU17" s="314" t="s">
        <v>203</v>
      </c>
      <c r="JOV17" s="314" t="s">
        <v>203</v>
      </c>
      <c r="JOW17" s="314" t="s">
        <v>203</v>
      </c>
      <c r="JOX17" s="314" t="s">
        <v>203</v>
      </c>
      <c r="JOY17" s="314" t="s">
        <v>203</v>
      </c>
      <c r="JOZ17" s="314" t="s">
        <v>203</v>
      </c>
      <c r="JPA17" s="314" t="s">
        <v>203</v>
      </c>
      <c r="JPB17" s="314" t="s">
        <v>203</v>
      </c>
      <c r="JPC17" s="314" t="s">
        <v>203</v>
      </c>
      <c r="JPD17" s="314" t="s">
        <v>203</v>
      </c>
      <c r="JPE17" s="314" t="s">
        <v>203</v>
      </c>
      <c r="JPF17" s="314" t="s">
        <v>203</v>
      </c>
      <c r="JPG17" s="314" t="s">
        <v>203</v>
      </c>
      <c r="JPH17" s="314" t="s">
        <v>203</v>
      </c>
      <c r="JPI17" s="314" t="s">
        <v>203</v>
      </c>
      <c r="JPJ17" s="314" t="s">
        <v>203</v>
      </c>
      <c r="JPK17" s="314" t="s">
        <v>203</v>
      </c>
      <c r="JPL17" s="314" t="s">
        <v>203</v>
      </c>
      <c r="JPM17" s="314" t="s">
        <v>203</v>
      </c>
      <c r="JPN17" s="314" t="s">
        <v>203</v>
      </c>
      <c r="JPO17" s="314" t="s">
        <v>203</v>
      </c>
      <c r="JPP17" s="314" t="s">
        <v>203</v>
      </c>
      <c r="JPQ17" s="314" t="s">
        <v>203</v>
      </c>
      <c r="JPR17" s="314" t="s">
        <v>203</v>
      </c>
      <c r="JPS17" s="314" t="s">
        <v>203</v>
      </c>
      <c r="JPT17" s="314" t="s">
        <v>203</v>
      </c>
      <c r="JPU17" s="314" t="s">
        <v>203</v>
      </c>
      <c r="JPV17" s="314" t="s">
        <v>203</v>
      </c>
      <c r="JPW17" s="314" t="s">
        <v>203</v>
      </c>
      <c r="JPX17" s="314" t="s">
        <v>203</v>
      </c>
      <c r="JPY17" s="314" t="s">
        <v>203</v>
      </c>
      <c r="JPZ17" s="314" t="s">
        <v>203</v>
      </c>
      <c r="JQA17" s="314" t="s">
        <v>203</v>
      </c>
      <c r="JQB17" s="314" t="s">
        <v>203</v>
      </c>
      <c r="JQC17" s="314" t="s">
        <v>203</v>
      </c>
      <c r="JQD17" s="314" t="s">
        <v>203</v>
      </c>
      <c r="JQE17" s="314" t="s">
        <v>203</v>
      </c>
      <c r="JQF17" s="314" t="s">
        <v>203</v>
      </c>
      <c r="JQG17" s="314" t="s">
        <v>203</v>
      </c>
      <c r="JQH17" s="314" t="s">
        <v>203</v>
      </c>
      <c r="JQI17" s="314" t="s">
        <v>203</v>
      </c>
      <c r="JQJ17" s="314" t="s">
        <v>203</v>
      </c>
      <c r="JQK17" s="314" t="s">
        <v>203</v>
      </c>
      <c r="JQL17" s="314" t="s">
        <v>203</v>
      </c>
      <c r="JQM17" s="314" t="s">
        <v>203</v>
      </c>
      <c r="JQN17" s="314" t="s">
        <v>203</v>
      </c>
      <c r="JQO17" s="314" t="s">
        <v>203</v>
      </c>
      <c r="JQP17" s="314" t="s">
        <v>203</v>
      </c>
      <c r="JQQ17" s="314" t="s">
        <v>203</v>
      </c>
      <c r="JQR17" s="314" t="s">
        <v>203</v>
      </c>
      <c r="JQS17" s="314" t="s">
        <v>203</v>
      </c>
      <c r="JQT17" s="314" t="s">
        <v>203</v>
      </c>
      <c r="JQU17" s="314" t="s">
        <v>203</v>
      </c>
      <c r="JQV17" s="314" t="s">
        <v>203</v>
      </c>
      <c r="JQW17" s="314" t="s">
        <v>203</v>
      </c>
      <c r="JQX17" s="314" t="s">
        <v>203</v>
      </c>
      <c r="JQY17" s="314" t="s">
        <v>203</v>
      </c>
      <c r="JQZ17" s="314" t="s">
        <v>203</v>
      </c>
      <c r="JRA17" s="314" t="s">
        <v>203</v>
      </c>
      <c r="JRB17" s="314" t="s">
        <v>203</v>
      </c>
      <c r="JRC17" s="314" t="s">
        <v>203</v>
      </c>
      <c r="JRD17" s="314" t="s">
        <v>203</v>
      </c>
      <c r="JRE17" s="314" t="s">
        <v>203</v>
      </c>
      <c r="JRF17" s="314" t="s">
        <v>203</v>
      </c>
      <c r="JRG17" s="314" t="s">
        <v>203</v>
      </c>
      <c r="JRH17" s="314" t="s">
        <v>203</v>
      </c>
      <c r="JRI17" s="314" t="s">
        <v>203</v>
      </c>
      <c r="JRJ17" s="314" t="s">
        <v>203</v>
      </c>
      <c r="JRK17" s="314" t="s">
        <v>203</v>
      </c>
      <c r="JRL17" s="314" t="s">
        <v>203</v>
      </c>
      <c r="JRM17" s="314" t="s">
        <v>203</v>
      </c>
      <c r="JRN17" s="314" t="s">
        <v>203</v>
      </c>
      <c r="JRO17" s="314" t="s">
        <v>203</v>
      </c>
      <c r="JRP17" s="314" t="s">
        <v>203</v>
      </c>
      <c r="JRQ17" s="314" t="s">
        <v>203</v>
      </c>
      <c r="JRR17" s="314" t="s">
        <v>203</v>
      </c>
      <c r="JRS17" s="314" t="s">
        <v>203</v>
      </c>
      <c r="JRT17" s="314" t="s">
        <v>203</v>
      </c>
      <c r="JRU17" s="314" t="s">
        <v>203</v>
      </c>
      <c r="JRV17" s="314" t="s">
        <v>203</v>
      </c>
      <c r="JRW17" s="314" t="s">
        <v>203</v>
      </c>
      <c r="JRX17" s="314" t="s">
        <v>203</v>
      </c>
      <c r="JRY17" s="314" t="s">
        <v>203</v>
      </c>
      <c r="JRZ17" s="314" t="s">
        <v>203</v>
      </c>
      <c r="JSA17" s="314" t="s">
        <v>203</v>
      </c>
      <c r="JSB17" s="314" t="s">
        <v>203</v>
      </c>
      <c r="JSC17" s="314" t="s">
        <v>203</v>
      </c>
      <c r="JSD17" s="314" t="s">
        <v>203</v>
      </c>
      <c r="JSE17" s="314" t="s">
        <v>203</v>
      </c>
      <c r="JSF17" s="314" t="s">
        <v>203</v>
      </c>
      <c r="JSG17" s="314" t="s">
        <v>203</v>
      </c>
      <c r="JSH17" s="314" t="s">
        <v>203</v>
      </c>
      <c r="JSI17" s="314" t="s">
        <v>203</v>
      </c>
      <c r="JSJ17" s="314" t="s">
        <v>203</v>
      </c>
      <c r="JSK17" s="314" t="s">
        <v>203</v>
      </c>
      <c r="JSL17" s="314" t="s">
        <v>203</v>
      </c>
      <c r="JSM17" s="314" t="s">
        <v>203</v>
      </c>
      <c r="JSN17" s="314" t="s">
        <v>203</v>
      </c>
      <c r="JSO17" s="314" t="s">
        <v>203</v>
      </c>
      <c r="JSP17" s="314" t="s">
        <v>203</v>
      </c>
      <c r="JSQ17" s="314" t="s">
        <v>203</v>
      </c>
      <c r="JSR17" s="314" t="s">
        <v>203</v>
      </c>
      <c r="JSS17" s="314" t="s">
        <v>203</v>
      </c>
      <c r="JST17" s="314" t="s">
        <v>203</v>
      </c>
      <c r="JSU17" s="314" t="s">
        <v>203</v>
      </c>
      <c r="JSV17" s="314" t="s">
        <v>203</v>
      </c>
      <c r="JSW17" s="314" t="s">
        <v>203</v>
      </c>
      <c r="JSX17" s="314" t="s">
        <v>203</v>
      </c>
      <c r="JSY17" s="314" t="s">
        <v>203</v>
      </c>
      <c r="JSZ17" s="314" t="s">
        <v>203</v>
      </c>
      <c r="JTA17" s="314" t="s">
        <v>203</v>
      </c>
      <c r="JTB17" s="314" t="s">
        <v>203</v>
      </c>
      <c r="JTC17" s="314" t="s">
        <v>203</v>
      </c>
      <c r="JTD17" s="314" t="s">
        <v>203</v>
      </c>
      <c r="JTE17" s="314" t="s">
        <v>203</v>
      </c>
      <c r="JTF17" s="314" t="s">
        <v>203</v>
      </c>
      <c r="JTG17" s="314" t="s">
        <v>203</v>
      </c>
      <c r="JTH17" s="314" t="s">
        <v>203</v>
      </c>
      <c r="JTI17" s="314" t="s">
        <v>203</v>
      </c>
      <c r="JTJ17" s="314" t="s">
        <v>203</v>
      </c>
      <c r="JTK17" s="314" t="s">
        <v>203</v>
      </c>
      <c r="JTL17" s="314" t="s">
        <v>203</v>
      </c>
      <c r="JTM17" s="314" t="s">
        <v>203</v>
      </c>
      <c r="JTN17" s="314" t="s">
        <v>203</v>
      </c>
      <c r="JTO17" s="314" t="s">
        <v>203</v>
      </c>
      <c r="JTP17" s="314" t="s">
        <v>203</v>
      </c>
      <c r="JTQ17" s="314" t="s">
        <v>203</v>
      </c>
      <c r="JTR17" s="314" t="s">
        <v>203</v>
      </c>
      <c r="JTS17" s="314" t="s">
        <v>203</v>
      </c>
      <c r="JTT17" s="314" t="s">
        <v>203</v>
      </c>
      <c r="JTU17" s="314" t="s">
        <v>203</v>
      </c>
      <c r="JTV17" s="314" t="s">
        <v>203</v>
      </c>
      <c r="JTW17" s="314" t="s">
        <v>203</v>
      </c>
      <c r="JTX17" s="314" t="s">
        <v>203</v>
      </c>
      <c r="JTY17" s="314" t="s">
        <v>203</v>
      </c>
      <c r="JTZ17" s="314" t="s">
        <v>203</v>
      </c>
      <c r="JUA17" s="314" t="s">
        <v>203</v>
      </c>
      <c r="JUB17" s="314" t="s">
        <v>203</v>
      </c>
      <c r="JUC17" s="314" t="s">
        <v>203</v>
      </c>
      <c r="JUD17" s="314" t="s">
        <v>203</v>
      </c>
      <c r="JUE17" s="314" t="s">
        <v>203</v>
      </c>
      <c r="JUF17" s="314" t="s">
        <v>203</v>
      </c>
      <c r="JUG17" s="314" t="s">
        <v>203</v>
      </c>
      <c r="JUH17" s="314" t="s">
        <v>203</v>
      </c>
      <c r="JUI17" s="314" t="s">
        <v>203</v>
      </c>
      <c r="JUJ17" s="314" t="s">
        <v>203</v>
      </c>
      <c r="JUK17" s="314" t="s">
        <v>203</v>
      </c>
      <c r="JUL17" s="314" t="s">
        <v>203</v>
      </c>
      <c r="JUM17" s="314" t="s">
        <v>203</v>
      </c>
      <c r="JUN17" s="314" t="s">
        <v>203</v>
      </c>
      <c r="JUO17" s="314" t="s">
        <v>203</v>
      </c>
      <c r="JUP17" s="314" t="s">
        <v>203</v>
      </c>
      <c r="JUQ17" s="314" t="s">
        <v>203</v>
      </c>
      <c r="JUR17" s="314" t="s">
        <v>203</v>
      </c>
      <c r="JUS17" s="314" t="s">
        <v>203</v>
      </c>
      <c r="JUT17" s="314" t="s">
        <v>203</v>
      </c>
      <c r="JUU17" s="314" t="s">
        <v>203</v>
      </c>
      <c r="JUV17" s="314" t="s">
        <v>203</v>
      </c>
      <c r="JUW17" s="314" t="s">
        <v>203</v>
      </c>
      <c r="JUX17" s="314" t="s">
        <v>203</v>
      </c>
      <c r="JUY17" s="314" t="s">
        <v>203</v>
      </c>
      <c r="JUZ17" s="314" t="s">
        <v>203</v>
      </c>
      <c r="JVA17" s="314" t="s">
        <v>203</v>
      </c>
      <c r="JVB17" s="314" t="s">
        <v>203</v>
      </c>
      <c r="JVC17" s="314" t="s">
        <v>203</v>
      </c>
      <c r="JVD17" s="314" t="s">
        <v>203</v>
      </c>
      <c r="JVE17" s="314" t="s">
        <v>203</v>
      </c>
      <c r="JVF17" s="314" t="s">
        <v>203</v>
      </c>
      <c r="JVG17" s="314" t="s">
        <v>203</v>
      </c>
      <c r="JVH17" s="314" t="s">
        <v>203</v>
      </c>
      <c r="JVI17" s="314" t="s">
        <v>203</v>
      </c>
      <c r="JVJ17" s="314" t="s">
        <v>203</v>
      </c>
      <c r="JVK17" s="314" t="s">
        <v>203</v>
      </c>
      <c r="JVL17" s="314" t="s">
        <v>203</v>
      </c>
      <c r="JVM17" s="314" t="s">
        <v>203</v>
      </c>
      <c r="JVN17" s="314" t="s">
        <v>203</v>
      </c>
      <c r="JVO17" s="314" t="s">
        <v>203</v>
      </c>
      <c r="JVP17" s="314" t="s">
        <v>203</v>
      </c>
      <c r="JVQ17" s="314" t="s">
        <v>203</v>
      </c>
      <c r="JVR17" s="314" t="s">
        <v>203</v>
      </c>
      <c r="JVS17" s="314" t="s">
        <v>203</v>
      </c>
      <c r="JVT17" s="314" t="s">
        <v>203</v>
      </c>
      <c r="JVU17" s="314" t="s">
        <v>203</v>
      </c>
      <c r="JVV17" s="314" t="s">
        <v>203</v>
      </c>
      <c r="JVW17" s="314" t="s">
        <v>203</v>
      </c>
      <c r="JVX17" s="314" t="s">
        <v>203</v>
      </c>
      <c r="JVY17" s="314" t="s">
        <v>203</v>
      </c>
      <c r="JVZ17" s="314" t="s">
        <v>203</v>
      </c>
      <c r="JWA17" s="314" t="s">
        <v>203</v>
      </c>
      <c r="JWB17" s="314" t="s">
        <v>203</v>
      </c>
      <c r="JWC17" s="314" t="s">
        <v>203</v>
      </c>
      <c r="JWD17" s="314" t="s">
        <v>203</v>
      </c>
      <c r="JWE17" s="314" t="s">
        <v>203</v>
      </c>
      <c r="JWF17" s="314" t="s">
        <v>203</v>
      </c>
      <c r="JWG17" s="314" t="s">
        <v>203</v>
      </c>
      <c r="JWH17" s="314" t="s">
        <v>203</v>
      </c>
      <c r="JWI17" s="314" t="s">
        <v>203</v>
      </c>
      <c r="JWJ17" s="314" t="s">
        <v>203</v>
      </c>
      <c r="JWK17" s="314" t="s">
        <v>203</v>
      </c>
      <c r="JWL17" s="314" t="s">
        <v>203</v>
      </c>
      <c r="JWM17" s="314" t="s">
        <v>203</v>
      </c>
      <c r="JWN17" s="314" t="s">
        <v>203</v>
      </c>
      <c r="JWO17" s="314" t="s">
        <v>203</v>
      </c>
      <c r="JWP17" s="314" t="s">
        <v>203</v>
      </c>
      <c r="JWQ17" s="314" t="s">
        <v>203</v>
      </c>
      <c r="JWR17" s="314" t="s">
        <v>203</v>
      </c>
      <c r="JWS17" s="314" t="s">
        <v>203</v>
      </c>
      <c r="JWT17" s="314" t="s">
        <v>203</v>
      </c>
      <c r="JWU17" s="314" t="s">
        <v>203</v>
      </c>
      <c r="JWV17" s="314" t="s">
        <v>203</v>
      </c>
      <c r="JWW17" s="314" t="s">
        <v>203</v>
      </c>
      <c r="JWX17" s="314" t="s">
        <v>203</v>
      </c>
      <c r="JWY17" s="314" t="s">
        <v>203</v>
      </c>
      <c r="JWZ17" s="314" t="s">
        <v>203</v>
      </c>
      <c r="JXA17" s="314" t="s">
        <v>203</v>
      </c>
      <c r="JXB17" s="314" t="s">
        <v>203</v>
      </c>
      <c r="JXC17" s="314" t="s">
        <v>203</v>
      </c>
      <c r="JXD17" s="314" t="s">
        <v>203</v>
      </c>
      <c r="JXE17" s="314" t="s">
        <v>203</v>
      </c>
      <c r="JXF17" s="314" t="s">
        <v>203</v>
      </c>
      <c r="JXG17" s="314" t="s">
        <v>203</v>
      </c>
      <c r="JXH17" s="314" t="s">
        <v>203</v>
      </c>
      <c r="JXI17" s="314" t="s">
        <v>203</v>
      </c>
      <c r="JXJ17" s="314" t="s">
        <v>203</v>
      </c>
      <c r="JXK17" s="314" t="s">
        <v>203</v>
      </c>
      <c r="JXL17" s="314" t="s">
        <v>203</v>
      </c>
      <c r="JXM17" s="314" t="s">
        <v>203</v>
      </c>
      <c r="JXN17" s="314" t="s">
        <v>203</v>
      </c>
      <c r="JXO17" s="314" t="s">
        <v>203</v>
      </c>
      <c r="JXP17" s="314" t="s">
        <v>203</v>
      </c>
      <c r="JXQ17" s="314" t="s">
        <v>203</v>
      </c>
      <c r="JXR17" s="314" t="s">
        <v>203</v>
      </c>
      <c r="JXS17" s="314" t="s">
        <v>203</v>
      </c>
      <c r="JXT17" s="314" t="s">
        <v>203</v>
      </c>
      <c r="JXU17" s="314" t="s">
        <v>203</v>
      </c>
      <c r="JXV17" s="314" t="s">
        <v>203</v>
      </c>
      <c r="JXW17" s="314" t="s">
        <v>203</v>
      </c>
      <c r="JXX17" s="314" t="s">
        <v>203</v>
      </c>
      <c r="JXY17" s="314" t="s">
        <v>203</v>
      </c>
      <c r="JXZ17" s="314" t="s">
        <v>203</v>
      </c>
      <c r="JYA17" s="314" t="s">
        <v>203</v>
      </c>
      <c r="JYB17" s="314" t="s">
        <v>203</v>
      </c>
      <c r="JYC17" s="314" t="s">
        <v>203</v>
      </c>
      <c r="JYD17" s="314" t="s">
        <v>203</v>
      </c>
      <c r="JYE17" s="314" t="s">
        <v>203</v>
      </c>
      <c r="JYF17" s="314" t="s">
        <v>203</v>
      </c>
      <c r="JYG17" s="314" t="s">
        <v>203</v>
      </c>
      <c r="JYH17" s="314" t="s">
        <v>203</v>
      </c>
      <c r="JYI17" s="314" t="s">
        <v>203</v>
      </c>
      <c r="JYJ17" s="314" t="s">
        <v>203</v>
      </c>
      <c r="JYK17" s="314" t="s">
        <v>203</v>
      </c>
      <c r="JYL17" s="314" t="s">
        <v>203</v>
      </c>
      <c r="JYM17" s="314" t="s">
        <v>203</v>
      </c>
      <c r="JYN17" s="314" t="s">
        <v>203</v>
      </c>
      <c r="JYO17" s="314" t="s">
        <v>203</v>
      </c>
      <c r="JYP17" s="314" t="s">
        <v>203</v>
      </c>
      <c r="JYQ17" s="314" t="s">
        <v>203</v>
      </c>
      <c r="JYR17" s="314" t="s">
        <v>203</v>
      </c>
      <c r="JYS17" s="314" t="s">
        <v>203</v>
      </c>
      <c r="JYT17" s="314" t="s">
        <v>203</v>
      </c>
      <c r="JYU17" s="314" t="s">
        <v>203</v>
      </c>
      <c r="JYV17" s="314" t="s">
        <v>203</v>
      </c>
      <c r="JYW17" s="314" t="s">
        <v>203</v>
      </c>
      <c r="JYX17" s="314" t="s">
        <v>203</v>
      </c>
      <c r="JYY17" s="314" t="s">
        <v>203</v>
      </c>
      <c r="JYZ17" s="314" t="s">
        <v>203</v>
      </c>
      <c r="JZA17" s="314" t="s">
        <v>203</v>
      </c>
      <c r="JZB17" s="314" t="s">
        <v>203</v>
      </c>
      <c r="JZC17" s="314" t="s">
        <v>203</v>
      </c>
      <c r="JZD17" s="314" t="s">
        <v>203</v>
      </c>
      <c r="JZE17" s="314" t="s">
        <v>203</v>
      </c>
      <c r="JZF17" s="314" t="s">
        <v>203</v>
      </c>
      <c r="JZG17" s="314" t="s">
        <v>203</v>
      </c>
      <c r="JZH17" s="314" t="s">
        <v>203</v>
      </c>
      <c r="JZI17" s="314" t="s">
        <v>203</v>
      </c>
      <c r="JZJ17" s="314" t="s">
        <v>203</v>
      </c>
      <c r="JZK17" s="314" t="s">
        <v>203</v>
      </c>
      <c r="JZL17" s="314" t="s">
        <v>203</v>
      </c>
      <c r="JZM17" s="314" t="s">
        <v>203</v>
      </c>
      <c r="JZN17" s="314" t="s">
        <v>203</v>
      </c>
      <c r="JZO17" s="314" t="s">
        <v>203</v>
      </c>
      <c r="JZP17" s="314" t="s">
        <v>203</v>
      </c>
      <c r="JZQ17" s="314" t="s">
        <v>203</v>
      </c>
      <c r="JZR17" s="314" t="s">
        <v>203</v>
      </c>
      <c r="JZS17" s="314" t="s">
        <v>203</v>
      </c>
      <c r="JZT17" s="314" t="s">
        <v>203</v>
      </c>
      <c r="JZU17" s="314" t="s">
        <v>203</v>
      </c>
      <c r="JZV17" s="314" t="s">
        <v>203</v>
      </c>
      <c r="JZW17" s="314" t="s">
        <v>203</v>
      </c>
      <c r="JZX17" s="314" t="s">
        <v>203</v>
      </c>
      <c r="JZY17" s="314" t="s">
        <v>203</v>
      </c>
      <c r="JZZ17" s="314" t="s">
        <v>203</v>
      </c>
      <c r="KAA17" s="314" t="s">
        <v>203</v>
      </c>
      <c r="KAB17" s="314" t="s">
        <v>203</v>
      </c>
      <c r="KAC17" s="314" t="s">
        <v>203</v>
      </c>
      <c r="KAD17" s="314" t="s">
        <v>203</v>
      </c>
      <c r="KAE17" s="314" t="s">
        <v>203</v>
      </c>
      <c r="KAF17" s="314" t="s">
        <v>203</v>
      </c>
      <c r="KAG17" s="314" t="s">
        <v>203</v>
      </c>
      <c r="KAH17" s="314" t="s">
        <v>203</v>
      </c>
      <c r="KAI17" s="314" t="s">
        <v>203</v>
      </c>
      <c r="KAJ17" s="314" t="s">
        <v>203</v>
      </c>
      <c r="KAK17" s="314" t="s">
        <v>203</v>
      </c>
      <c r="KAL17" s="314" t="s">
        <v>203</v>
      </c>
      <c r="KAM17" s="314" t="s">
        <v>203</v>
      </c>
      <c r="KAN17" s="314" t="s">
        <v>203</v>
      </c>
      <c r="KAO17" s="314" t="s">
        <v>203</v>
      </c>
      <c r="KAP17" s="314" t="s">
        <v>203</v>
      </c>
      <c r="KAQ17" s="314" t="s">
        <v>203</v>
      </c>
      <c r="KAR17" s="314" t="s">
        <v>203</v>
      </c>
      <c r="KAS17" s="314" t="s">
        <v>203</v>
      </c>
      <c r="KAT17" s="314" t="s">
        <v>203</v>
      </c>
      <c r="KAU17" s="314" t="s">
        <v>203</v>
      </c>
      <c r="KAV17" s="314" t="s">
        <v>203</v>
      </c>
      <c r="KAW17" s="314" t="s">
        <v>203</v>
      </c>
      <c r="KAX17" s="314" t="s">
        <v>203</v>
      </c>
      <c r="KAY17" s="314" t="s">
        <v>203</v>
      </c>
      <c r="KAZ17" s="314" t="s">
        <v>203</v>
      </c>
      <c r="KBA17" s="314" t="s">
        <v>203</v>
      </c>
      <c r="KBB17" s="314" t="s">
        <v>203</v>
      </c>
      <c r="KBC17" s="314" t="s">
        <v>203</v>
      </c>
      <c r="KBD17" s="314" t="s">
        <v>203</v>
      </c>
      <c r="KBE17" s="314" t="s">
        <v>203</v>
      </c>
      <c r="KBF17" s="314" t="s">
        <v>203</v>
      </c>
      <c r="KBG17" s="314" t="s">
        <v>203</v>
      </c>
      <c r="KBH17" s="314" t="s">
        <v>203</v>
      </c>
      <c r="KBI17" s="314" t="s">
        <v>203</v>
      </c>
      <c r="KBJ17" s="314" t="s">
        <v>203</v>
      </c>
      <c r="KBK17" s="314" t="s">
        <v>203</v>
      </c>
      <c r="KBL17" s="314" t="s">
        <v>203</v>
      </c>
      <c r="KBM17" s="314" t="s">
        <v>203</v>
      </c>
      <c r="KBN17" s="314" t="s">
        <v>203</v>
      </c>
      <c r="KBO17" s="314" t="s">
        <v>203</v>
      </c>
      <c r="KBP17" s="314" t="s">
        <v>203</v>
      </c>
      <c r="KBQ17" s="314" t="s">
        <v>203</v>
      </c>
      <c r="KBR17" s="314" t="s">
        <v>203</v>
      </c>
      <c r="KBS17" s="314" t="s">
        <v>203</v>
      </c>
      <c r="KBT17" s="314" t="s">
        <v>203</v>
      </c>
      <c r="KBU17" s="314" t="s">
        <v>203</v>
      </c>
      <c r="KBV17" s="314" t="s">
        <v>203</v>
      </c>
      <c r="KBW17" s="314" t="s">
        <v>203</v>
      </c>
      <c r="KBX17" s="314" t="s">
        <v>203</v>
      </c>
      <c r="KBY17" s="314" t="s">
        <v>203</v>
      </c>
      <c r="KBZ17" s="314" t="s">
        <v>203</v>
      </c>
      <c r="KCA17" s="314" t="s">
        <v>203</v>
      </c>
      <c r="KCB17" s="314" t="s">
        <v>203</v>
      </c>
      <c r="KCC17" s="314" t="s">
        <v>203</v>
      </c>
      <c r="KCD17" s="314" t="s">
        <v>203</v>
      </c>
      <c r="KCE17" s="314" t="s">
        <v>203</v>
      </c>
      <c r="KCF17" s="314" t="s">
        <v>203</v>
      </c>
      <c r="KCG17" s="314" t="s">
        <v>203</v>
      </c>
      <c r="KCH17" s="314" t="s">
        <v>203</v>
      </c>
      <c r="KCI17" s="314" t="s">
        <v>203</v>
      </c>
      <c r="KCJ17" s="314" t="s">
        <v>203</v>
      </c>
      <c r="KCK17" s="314" t="s">
        <v>203</v>
      </c>
      <c r="KCL17" s="314" t="s">
        <v>203</v>
      </c>
      <c r="KCM17" s="314" t="s">
        <v>203</v>
      </c>
      <c r="KCN17" s="314" t="s">
        <v>203</v>
      </c>
      <c r="KCO17" s="314" t="s">
        <v>203</v>
      </c>
      <c r="KCP17" s="314" t="s">
        <v>203</v>
      </c>
      <c r="KCQ17" s="314" t="s">
        <v>203</v>
      </c>
      <c r="KCR17" s="314" t="s">
        <v>203</v>
      </c>
      <c r="KCS17" s="314" t="s">
        <v>203</v>
      </c>
      <c r="KCT17" s="314" t="s">
        <v>203</v>
      </c>
      <c r="KCU17" s="314" t="s">
        <v>203</v>
      </c>
      <c r="KCV17" s="314" t="s">
        <v>203</v>
      </c>
      <c r="KCW17" s="314" t="s">
        <v>203</v>
      </c>
      <c r="KCX17" s="314" t="s">
        <v>203</v>
      </c>
      <c r="KCY17" s="314" t="s">
        <v>203</v>
      </c>
      <c r="KCZ17" s="314" t="s">
        <v>203</v>
      </c>
      <c r="KDA17" s="314" t="s">
        <v>203</v>
      </c>
      <c r="KDB17" s="314" t="s">
        <v>203</v>
      </c>
      <c r="KDC17" s="314" t="s">
        <v>203</v>
      </c>
      <c r="KDD17" s="314" t="s">
        <v>203</v>
      </c>
      <c r="KDE17" s="314" t="s">
        <v>203</v>
      </c>
      <c r="KDF17" s="314" t="s">
        <v>203</v>
      </c>
      <c r="KDG17" s="314" t="s">
        <v>203</v>
      </c>
      <c r="KDH17" s="314" t="s">
        <v>203</v>
      </c>
      <c r="KDI17" s="314" t="s">
        <v>203</v>
      </c>
      <c r="KDJ17" s="314" t="s">
        <v>203</v>
      </c>
      <c r="KDK17" s="314" t="s">
        <v>203</v>
      </c>
      <c r="KDL17" s="314" t="s">
        <v>203</v>
      </c>
      <c r="KDM17" s="314" t="s">
        <v>203</v>
      </c>
      <c r="KDN17" s="314" t="s">
        <v>203</v>
      </c>
      <c r="KDO17" s="314" t="s">
        <v>203</v>
      </c>
      <c r="KDP17" s="314" t="s">
        <v>203</v>
      </c>
      <c r="KDQ17" s="314" t="s">
        <v>203</v>
      </c>
      <c r="KDR17" s="314" t="s">
        <v>203</v>
      </c>
      <c r="KDS17" s="314" t="s">
        <v>203</v>
      </c>
      <c r="KDT17" s="314" t="s">
        <v>203</v>
      </c>
      <c r="KDU17" s="314" t="s">
        <v>203</v>
      </c>
      <c r="KDV17" s="314" t="s">
        <v>203</v>
      </c>
      <c r="KDW17" s="314" t="s">
        <v>203</v>
      </c>
      <c r="KDX17" s="314" t="s">
        <v>203</v>
      </c>
      <c r="KDY17" s="314" t="s">
        <v>203</v>
      </c>
      <c r="KDZ17" s="314" t="s">
        <v>203</v>
      </c>
      <c r="KEA17" s="314" t="s">
        <v>203</v>
      </c>
      <c r="KEB17" s="314" t="s">
        <v>203</v>
      </c>
      <c r="KEC17" s="314" t="s">
        <v>203</v>
      </c>
      <c r="KED17" s="314" t="s">
        <v>203</v>
      </c>
      <c r="KEE17" s="314" t="s">
        <v>203</v>
      </c>
      <c r="KEF17" s="314" t="s">
        <v>203</v>
      </c>
      <c r="KEG17" s="314" t="s">
        <v>203</v>
      </c>
      <c r="KEH17" s="314" t="s">
        <v>203</v>
      </c>
      <c r="KEI17" s="314" t="s">
        <v>203</v>
      </c>
      <c r="KEJ17" s="314" t="s">
        <v>203</v>
      </c>
      <c r="KEK17" s="314" t="s">
        <v>203</v>
      </c>
      <c r="KEL17" s="314" t="s">
        <v>203</v>
      </c>
      <c r="KEM17" s="314" t="s">
        <v>203</v>
      </c>
      <c r="KEN17" s="314" t="s">
        <v>203</v>
      </c>
      <c r="KEO17" s="314" t="s">
        <v>203</v>
      </c>
      <c r="KEP17" s="314" t="s">
        <v>203</v>
      </c>
      <c r="KEQ17" s="314" t="s">
        <v>203</v>
      </c>
      <c r="KER17" s="314" t="s">
        <v>203</v>
      </c>
      <c r="KES17" s="314" t="s">
        <v>203</v>
      </c>
      <c r="KET17" s="314" t="s">
        <v>203</v>
      </c>
      <c r="KEU17" s="314" t="s">
        <v>203</v>
      </c>
      <c r="KEV17" s="314" t="s">
        <v>203</v>
      </c>
      <c r="KEW17" s="314" t="s">
        <v>203</v>
      </c>
      <c r="KEX17" s="314" t="s">
        <v>203</v>
      </c>
      <c r="KEY17" s="314" t="s">
        <v>203</v>
      </c>
      <c r="KEZ17" s="314" t="s">
        <v>203</v>
      </c>
      <c r="KFA17" s="314" t="s">
        <v>203</v>
      </c>
      <c r="KFB17" s="314" t="s">
        <v>203</v>
      </c>
      <c r="KFC17" s="314" t="s">
        <v>203</v>
      </c>
      <c r="KFD17" s="314" t="s">
        <v>203</v>
      </c>
      <c r="KFE17" s="314" t="s">
        <v>203</v>
      </c>
      <c r="KFF17" s="314" t="s">
        <v>203</v>
      </c>
      <c r="KFG17" s="314" t="s">
        <v>203</v>
      </c>
      <c r="KFH17" s="314" t="s">
        <v>203</v>
      </c>
      <c r="KFI17" s="314" t="s">
        <v>203</v>
      </c>
      <c r="KFJ17" s="314" t="s">
        <v>203</v>
      </c>
      <c r="KFK17" s="314" t="s">
        <v>203</v>
      </c>
      <c r="KFL17" s="314" t="s">
        <v>203</v>
      </c>
      <c r="KFM17" s="314" t="s">
        <v>203</v>
      </c>
      <c r="KFN17" s="314" t="s">
        <v>203</v>
      </c>
      <c r="KFO17" s="314" t="s">
        <v>203</v>
      </c>
      <c r="KFP17" s="314" t="s">
        <v>203</v>
      </c>
      <c r="KFQ17" s="314" t="s">
        <v>203</v>
      </c>
      <c r="KFR17" s="314" t="s">
        <v>203</v>
      </c>
      <c r="KFS17" s="314" t="s">
        <v>203</v>
      </c>
      <c r="KFT17" s="314" t="s">
        <v>203</v>
      </c>
      <c r="KFU17" s="314" t="s">
        <v>203</v>
      </c>
      <c r="KFV17" s="314" t="s">
        <v>203</v>
      </c>
      <c r="KFW17" s="314" t="s">
        <v>203</v>
      </c>
      <c r="KFX17" s="314" t="s">
        <v>203</v>
      </c>
      <c r="KFY17" s="314" t="s">
        <v>203</v>
      </c>
      <c r="KFZ17" s="314" t="s">
        <v>203</v>
      </c>
      <c r="KGA17" s="314" t="s">
        <v>203</v>
      </c>
      <c r="KGB17" s="314" t="s">
        <v>203</v>
      </c>
      <c r="KGC17" s="314" t="s">
        <v>203</v>
      </c>
      <c r="KGD17" s="314" t="s">
        <v>203</v>
      </c>
      <c r="KGE17" s="314" t="s">
        <v>203</v>
      </c>
      <c r="KGF17" s="314" t="s">
        <v>203</v>
      </c>
      <c r="KGG17" s="314" t="s">
        <v>203</v>
      </c>
      <c r="KGH17" s="314" t="s">
        <v>203</v>
      </c>
      <c r="KGI17" s="314" t="s">
        <v>203</v>
      </c>
      <c r="KGJ17" s="314" t="s">
        <v>203</v>
      </c>
      <c r="KGK17" s="314" t="s">
        <v>203</v>
      </c>
      <c r="KGL17" s="314" t="s">
        <v>203</v>
      </c>
      <c r="KGM17" s="314" t="s">
        <v>203</v>
      </c>
      <c r="KGN17" s="314" t="s">
        <v>203</v>
      </c>
      <c r="KGO17" s="314" t="s">
        <v>203</v>
      </c>
      <c r="KGP17" s="314" t="s">
        <v>203</v>
      </c>
      <c r="KGQ17" s="314" t="s">
        <v>203</v>
      </c>
      <c r="KGR17" s="314" t="s">
        <v>203</v>
      </c>
      <c r="KGS17" s="314" t="s">
        <v>203</v>
      </c>
      <c r="KGT17" s="314" t="s">
        <v>203</v>
      </c>
      <c r="KGU17" s="314" t="s">
        <v>203</v>
      </c>
      <c r="KGV17" s="314" t="s">
        <v>203</v>
      </c>
      <c r="KGW17" s="314" t="s">
        <v>203</v>
      </c>
      <c r="KGX17" s="314" t="s">
        <v>203</v>
      </c>
      <c r="KGY17" s="314" t="s">
        <v>203</v>
      </c>
      <c r="KGZ17" s="314" t="s">
        <v>203</v>
      </c>
      <c r="KHA17" s="314" t="s">
        <v>203</v>
      </c>
      <c r="KHB17" s="314" t="s">
        <v>203</v>
      </c>
      <c r="KHC17" s="314" t="s">
        <v>203</v>
      </c>
      <c r="KHD17" s="314" t="s">
        <v>203</v>
      </c>
      <c r="KHE17" s="314" t="s">
        <v>203</v>
      </c>
      <c r="KHF17" s="314" t="s">
        <v>203</v>
      </c>
      <c r="KHG17" s="314" t="s">
        <v>203</v>
      </c>
      <c r="KHH17" s="314" t="s">
        <v>203</v>
      </c>
      <c r="KHI17" s="314" t="s">
        <v>203</v>
      </c>
      <c r="KHJ17" s="314" t="s">
        <v>203</v>
      </c>
      <c r="KHK17" s="314" t="s">
        <v>203</v>
      </c>
      <c r="KHL17" s="314" t="s">
        <v>203</v>
      </c>
      <c r="KHM17" s="314" t="s">
        <v>203</v>
      </c>
      <c r="KHN17" s="314" t="s">
        <v>203</v>
      </c>
      <c r="KHO17" s="314" t="s">
        <v>203</v>
      </c>
      <c r="KHP17" s="314" t="s">
        <v>203</v>
      </c>
      <c r="KHQ17" s="314" t="s">
        <v>203</v>
      </c>
      <c r="KHR17" s="314" t="s">
        <v>203</v>
      </c>
      <c r="KHS17" s="314" t="s">
        <v>203</v>
      </c>
      <c r="KHT17" s="314" t="s">
        <v>203</v>
      </c>
      <c r="KHU17" s="314" t="s">
        <v>203</v>
      </c>
      <c r="KHV17" s="314" t="s">
        <v>203</v>
      </c>
      <c r="KHW17" s="314" t="s">
        <v>203</v>
      </c>
      <c r="KHX17" s="314" t="s">
        <v>203</v>
      </c>
      <c r="KHY17" s="314" t="s">
        <v>203</v>
      </c>
      <c r="KHZ17" s="314" t="s">
        <v>203</v>
      </c>
      <c r="KIA17" s="314" t="s">
        <v>203</v>
      </c>
      <c r="KIB17" s="314" t="s">
        <v>203</v>
      </c>
      <c r="KIC17" s="314" t="s">
        <v>203</v>
      </c>
      <c r="KID17" s="314" t="s">
        <v>203</v>
      </c>
      <c r="KIE17" s="314" t="s">
        <v>203</v>
      </c>
      <c r="KIF17" s="314" t="s">
        <v>203</v>
      </c>
      <c r="KIG17" s="314" t="s">
        <v>203</v>
      </c>
      <c r="KIH17" s="314" t="s">
        <v>203</v>
      </c>
      <c r="KII17" s="314" t="s">
        <v>203</v>
      </c>
      <c r="KIJ17" s="314" t="s">
        <v>203</v>
      </c>
      <c r="KIK17" s="314" t="s">
        <v>203</v>
      </c>
      <c r="KIL17" s="314" t="s">
        <v>203</v>
      </c>
      <c r="KIM17" s="314" t="s">
        <v>203</v>
      </c>
      <c r="KIN17" s="314" t="s">
        <v>203</v>
      </c>
      <c r="KIO17" s="314" t="s">
        <v>203</v>
      </c>
      <c r="KIP17" s="314" t="s">
        <v>203</v>
      </c>
      <c r="KIQ17" s="314" t="s">
        <v>203</v>
      </c>
      <c r="KIR17" s="314" t="s">
        <v>203</v>
      </c>
      <c r="KIS17" s="314" t="s">
        <v>203</v>
      </c>
      <c r="KIT17" s="314" t="s">
        <v>203</v>
      </c>
      <c r="KIU17" s="314" t="s">
        <v>203</v>
      </c>
      <c r="KIV17" s="314" t="s">
        <v>203</v>
      </c>
      <c r="KIW17" s="314" t="s">
        <v>203</v>
      </c>
      <c r="KIX17" s="314" t="s">
        <v>203</v>
      </c>
      <c r="KIY17" s="314" t="s">
        <v>203</v>
      </c>
      <c r="KIZ17" s="314" t="s">
        <v>203</v>
      </c>
      <c r="KJA17" s="314" t="s">
        <v>203</v>
      </c>
      <c r="KJB17" s="314" t="s">
        <v>203</v>
      </c>
      <c r="KJC17" s="314" t="s">
        <v>203</v>
      </c>
      <c r="KJD17" s="314" t="s">
        <v>203</v>
      </c>
      <c r="KJE17" s="314" t="s">
        <v>203</v>
      </c>
      <c r="KJF17" s="314" t="s">
        <v>203</v>
      </c>
      <c r="KJG17" s="314" t="s">
        <v>203</v>
      </c>
      <c r="KJH17" s="314" t="s">
        <v>203</v>
      </c>
      <c r="KJI17" s="314" t="s">
        <v>203</v>
      </c>
      <c r="KJJ17" s="314" t="s">
        <v>203</v>
      </c>
      <c r="KJK17" s="314" t="s">
        <v>203</v>
      </c>
      <c r="KJL17" s="314" t="s">
        <v>203</v>
      </c>
      <c r="KJM17" s="314" t="s">
        <v>203</v>
      </c>
      <c r="KJN17" s="314" t="s">
        <v>203</v>
      </c>
      <c r="KJO17" s="314" t="s">
        <v>203</v>
      </c>
      <c r="KJP17" s="314" t="s">
        <v>203</v>
      </c>
      <c r="KJQ17" s="314" t="s">
        <v>203</v>
      </c>
      <c r="KJR17" s="314" t="s">
        <v>203</v>
      </c>
      <c r="KJS17" s="314" t="s">
        <v>203</v>
      </c>
      <c r="KJT17" s="314" t="s">
        <v>203</v>
      </c>
      <c r="KJU17" s="314" t="s">
        <v>203</v>
      </c>
      <c r="KJV17" s="314" t="s">
        <v>203</v>
      </c>
      <c r="KJW17" s="314" t="s">
        <v>203</v>
      </c>
      <c r="KJX17" s="314" t="s">
        <v>203</v>
      </c>
      <c r="KJY17" s="314" t="s">
        <v>203</v>
      </c>
      <c r="KJZ17" s="314" t="s">
        <v>203</v>
      </c>
      <c r="KKA17" s="314" t="s">
        <v>203</v>
      </c>
      <c r="KKB17" s="314" t="s">
        <v>203</v>
      </c>
      <c r="KKC17" s="314" t="s">
        <v>203</v>
      </c>
      <c r="KKD17" s="314" t="s">
        <v>203</v>
      </c>
      <c r="KKE17" s="314" t="s">
        <v>203</v>
      </c>
      <c r="KKF17" s="314" t="s">
        <v>203</v>
      </c>
      <c r="KKG17" s="314" t="s">
        <v>203</v>
      </c>
      <c r="KKH17" s="314" t="s">
        <v>203</v>
      </c>
      <c r="KKI17" s="314" t="s">
        <v>203</v>
      </c>
      <c r="KKJ17" s="314" t="s">
        <v>203</v>
      </c>
      <c r="KKK17" s="314" t="s">
        <v>203</v>
      </c>
      <c r="KKL17" s="314" t="s">
        <v>203</v>
      </c>
      <c r="KKM17" s="314" t="s">
        <v>203</v>
      </c>
      <c r="KKN17" s="314" t="s">
        <v>203</v>
      </c>
      <c r="KKO17" s="314" t="s">
        <v>203</v>
      </c>
      <c r="KKP17" s="314" t="s">
        <v>203</v>
      </c>
      <c r="KKQ17" s="314" t="s">
        <v>203</v>
      </c>
      <c r="KKR17" s="314" t="s">
        <v>203</v>
      </c>
      <c r="KKS17" s="314" t="s">
        <v>203</v>
      </c>
      <c r="KKT17" s="314" t="s">
        <v>203</v>
      </c>
      <c r="KKU17" s="314" t="s">
        <v>203</v>
      </c>
      <c r="KKV17" s="314" t="s">
        <v>203</v>
      </c>
      <c r="KKW17" s="314" t="s">
        <v>203</v>
      </c>
      <c r="KKX17" s="314" t="s">
        <v>203</v>
      </c>
      <c r="KKY17" s="314" t="s">
        <v>203</v>
      </c>
      <c r="KKZ17" s="314" t="s">
        <v>203</v>
      </c>
      <c r="KLA17" s="314" t="s">
        <v>203</v>
      </c>
      <c r="KLB17" s="314" t="s">
        <v>203</v>
      </c>
      <c r="KLC17" s="314" t="s">
        <v>203</v>
      </c>
      <c r="KLD17" s="314" t="s">
        <v>203</v>
      </c>
      <c r="KLE17" s="314" t="s">
        <v>203</v>
      </c>
      <c r="KLF17" s="314" t="s">
        <v>203</v>
      </c>
      <c r="KLG17" s="314" t="s">
        <v>203</v>
      </c>
      <c r="KLH17" s="314" t="s">
        <v>203</v>
      </c>
      <c r="KLI17" s="314" t="s">
        <v>203</v>
      </c>
      <c r="KLJ17" s="314" t="s">
        <v>203</v>
      </c>
      <c r="KLK17" s="314" t="s">
        <v>203</v>
      </c>
      <c r="KLL17" s="314" t="s">
        <v>203</v>
      </c>
      <c r="KLM17" s="314" t="s">
        <v>203</v>
      </c>
      <c r="KLN17" s="314" t="s">
        <v>203</v>
      </c>
      <c r="KLO17" s="314" t="s">
        <v>203</v>
      </c>
      <c r="KLP17" s="314" t="s">
        <v>203</v>
      </c>
      <c r="KLQ17" s="314" t="s">
        <v>203</v>
      </c>
      <c r="KLR17" s="314" t="s">
        <v>203</v>
      </c>
      <c r="KLS17" s="314" t="s">
        <v>203</v>
      </c>
      <c r="KLT17" s="314" t="s">
        <v>203</v>
      </c>
      <c r="KLU17" s="314" t="s">
        <v>203</v>
      </c>
      <c r="KLV17" s="314" t="s">
        <v>203</v>
      </c>
      <c r="KLW17" s="314" t="s">
        <v>203</v>
      </c>
      <c r="KLX17" s="314" t="s">
        <v>203</v>
      </c>
      <c r="KLY17" s="314" t="s">
        <v>203</v>
      </c>
      <c r="KLZ17" s="314" t="s">
        <v>203</v>
      </c>
      <c r="KMA17" s="314" t="s">
        <v>203</v>
      </c>
      <c r="KMB17" s="314" t="s">
        <v>203</v>
      </c>
      <c r="KMC17" s="314" t="s">
        <v>203</v>
      </c>
      <c r="KMD17" s="314" t="s">
        <v>203</v>
      </c>
      <c r="KME17" s="314" t="s">
        <v>203</v>
      </c>
      <c r="KMF17" s="314" t="s">
        <v>203</v>
      </c>
      <c r="KMG17" s="314" t="s">
        <v>203</v>
      </c>
      <c r="KMH17" s="314" t="s">
        <v>203</v>
      </c>
      <c r="KMI17" s="314" t="s">
        <v>203</v>
      </c>
      <c r="KMJ17" s="314" t="s">
        <v>203</v>
      </c>
      <c r="KMK17" s="314" t="s">
        <v>203</v>
      </c>
      <c r="KML17" s="314" t="s">
        <v>203</v>
      </c>
      <c r="KMM17" s="314" t="s">
        <v>203</v>
      </c>
      <c r="KMN17" s="314" t="s">
        <v>203</v>
      </c>
      <c r="KMO17" s="314" t="s">
        <v>203</v>
      </c>
      <c r="KMP17" s="314" t="s">
        <v>203</v>
      </c>
      <c r="KMQ17" s="314" t="s">
        <v>203</v>
      </c>
      <c r="KMR17" s="314" t="s">
        <v>203</v>
      </c>
      <c r="KMS17" s="314" t="s">
        <v>203</v>
      </c>
      <c r="KMT17" s="314" t="s">
        <v>203</v>
      </c>
      <c r="KMU17" s="314" t="s">
        <v>203</v>
      </c>
      <c r="KMV17" s="314" t="s">
        <v>203</v>
      </c>
      <c r="KMW17" s="314" t="s">
        <v>203</v>
      </c>
      <c r="KMX17" s="314" t="s">
        <v>203</v>
      </c>
      <c r="KMY17" s="314" t="s">
        <v>203</v>
      </c>
      <c r="KMZ17" s="314" t="s">
        <v>203</v>
      </c>
      <c r="KNA17" s="314" t="s">
        <v>203</v>
      </c>
      <c r="KNB17" s="314" t="s">
        <v>203</v>
      </c>
      <c r="KNC17" s="314" t="s">
        <v>203</v>
      </c>
      <c r="KND17" s="314" t="s">
        <v>203</v>
      </c>
      <c r="KNE17" s="314" t="s">
        <v>203</v>
      </c>
      <c r="KNF17" s="314" t="s">
        <v>203</v>
      </c>
      <c r="KNG17" s="314" t="s">
        <v>203</v>
      </c>
      <c r="KNH17" s="314" t="s">
        <v>203</v>
      </c>
      <c r="KNI17" s="314" t="s">
        <v>203</v>
      </c>
      <c r="KNJ17" s="314" t="s">
        <v>203</v>
      </c>
      <c r="KNK17" s="314" t="s">
        <v>203</v>
      </c>
      <c r="KNL17" s="314" t="s">
        <v>203</v>
      </c>
      <c r="KNM17" s="314" t="s">
        <v>203</v>
      </c>
      <c r="KNN17" s="314" t="s">
        <v>203</v>
      </c>
      <c r="KNO17" s="314" t="s">
        <v>203</v>
      </c>
      <c r="KNP17" s="314" t="s">
        <v>203</v>
      </c>
      <c r="KNQ17" s="314" t="s">
        <v>203</v>
      </c>
      <c r="KNR17" s="314" t="s">
        <v>203</v>
      </c>
      <c r="KNS17" s="314" t="s">
        <v>203</v>
      </c>
      <c r="KNT17" s="314" t="s">
        <v>203</v>
      </c>
      <c r="KNU17" s="314" t="s">
        <v>203</v>
      </c>
      <c r="KNV17" s="314" t="s">
        <v>203</v>
      </c>
      <c r="KNW17" s="314" t="s">
        <v>203</v>
      </c>
      <c r="KNX17" s="314" t="s">
        <v>203</v>
      </c>
      <c r="KNY17" s="314" t="s">
        <v>203</v>
      </c>
      <c r="KNZ17" s="314" t="s">
        <v>203</v>
      </c>
      <c r="KOA17" s="314" t="s">
        <v>203</v>
      </c>
      <c r="KOB17" s="314" t="s">
        <v>203</v>
      </c>
      <c r="KOC17" s="314" t="s">
        <v>203</v>
      </c>
      <c r="KOD17" s="314" t="s">
        <v>203</v>
      </c>
      <c r="KOE17" s="314" t="s">
        <v>203</v>
      </c>
      <c r="KOF17" s="314" t="s">
        <v>203</v>
      </c>
      <c r="KOG17" s="314" t="s">
        <v>203</v>
      </c>
      <c r="KOH17" s="314" t="s">
        <v>203</v>
      </c>
      <c r="KOI17" s="314" t="s">
        <v>203</v>
      </c>
      <c r="KOJ17" s="314" t="s">
        <v>203</v>
      </c>
      <c r="KOK17" s="314" t="s">
        <v>203</v>
      </c>
      <c r="KOL17" s="314" t="s">
        <v>203</v>
      </c>
      <c r="KOM17" s="314" t="s">
        <v>203</v>
      </c>
      <c r="KON17" s="314" t="s">
        <v>203</v>
      </c>
      <c r="KOO17" s="314" t="s">
        <v>203</v>
      </c>
      <c r="KOP17" s="314" t="s">
        <v>203</v>
      </c>
      <c r="KOQ17" s="314" t="s">
        <v>203</v>
      </c>
      <c r="KOR17" s="314" t="s">
        <v>203</v>
      </c>
      <c r="KOS17" s="314" t="s">
        <v>203</v>
      </c>
      <c r="KOT17" s="314" t="s">
        <v>203</v>
      </c>
      <c r="KOU17" s="314" t="s">
        <v>203</v>
      </c>
      <c r="KOV17" s="314" t="s">
        <v>203</v>
      </c>
      <c r="KOW17" s="314" t="s">
        <v>203</v>
      </c>
      <c r="KOX17" s="314" t="s">
        <v>203</v>
      </c>
      <c r="KOY17" s="314" t="s">
        <v>203</v>
      </c>
      <c r="KOZ17" s="314" t="s">
        <v>203</v>
      </c>
      <c r="KPA17" s="314" t="s">
        <v>203</v>
      </c>
      <c r="KPB17" s="314" t="s">
        <v>203</v>
      </c>
      <c r="KPC17" s="314" t="s">
        <v>203</v>
      </c>
      <c r="KPD17" s="314" t="s">
        <v>203</v>
      </c>
      <c r="KPE17" s="314" t="s">
        <v>203</v>
      </c>
      <c r="KPF17" s="314" t="s">
        <v>203</v>
      </c>
      <c r="KPG17" s="314" t="s">
        <v>203</v>
      </c>
      <c r="KPH17" s="314" t="s">
        <v>203</v>
      </c>
      <c r="KPI17" s="314" t="s">
        <v>203</v>
      </c>
      <c r="KPJ17" s="314" t="s">
        <v>203</v>
      </c>
      <c r="KPK17" s="314" t="s">
        <v>203</v>
      </c>
      <c r="KPL17" s="314" t="s">
        <v>203</v>
      </c>
      <c r="KPM17" s="314" t="s">
        <v>203</v>
      </c>
      <c r="KPN17" s="314" t="s">
        <v>203</v>
      </c>
      <c r="KPO17" s="314" t="s">
        <v>203</v>
      </c>
      <c r="KPP17" s="314" t="s">
        <v>203</v>
      </c>
      <c r="KPQ17" s="314" t="s">
        <v>203</v>
      </c>
      <c r="KPR17" s="314" t="s">
        <v>203</v>
      </c>
      <c r="KPS17" s="314" t="s">
        <v>203</v>
      </c>
      <c r="KPT17" s="314" t="s">
        <v>203</v>
      </c>
      <c r="KPU17" s="314" t="s">
        <v>203</v>
      </c>
      <c r="KPV17" s="314" t="s">
        <v>203</v>
      </c>
      <c r="KPW17" s="314" t="s">
        <v>203</v>
      </c>
      <c r="KPX17" s="314" t="s">
        <v>203</v>
      </c>
      <c r="KPY17" s="314" t="s">
        <v>203</v>
      </c>
      <c r="KPZ17" s="314" t="s">
        <v>203</v>
      </c>
      <c r="KQA17" s="314" t="s">
        <v>203</v>
      </c>
      <c r="KQB17" s="314" t="s">
        <v>203</v>
      </c>
      <c r="KQC17" s="314" t="s">
        <v>203</v>
      </c>
      <c r="KQD17" s="314" t="s">
        <v>203</v>
      </c>
      <c r="KQE17" s="314" t="s">
        <v>203</v>
      </c>
      <c r="KQF17" s="314" t="s">
        <v>203</v>
      </c>
      <c r="KQG17" s="314" t="s">
        <v>203</v>
      </c>
      <c r="KQH17" s="314" t="s">
        <v>203</v>
      </c>
      <c r="KQI17" s="314" t="s">
        <v>203</v>
      </c>
      <c r="KQJ17" s="314" t="s">
        <v>203</v>
      </c>
      <c r="KQK17" s="314" t="s">
        <v>203</v>
      </c>
      <c r="KQL17" s="314" t="s">
        <v>203</v>
      </c>
      <c r="KQM17" s="314" t="s">
        <v>203</v>
      </c>
      <c r="KQN17" s="314" t="s">
        <v>203</v>
      </c>
      <c r="KQO17" s="314" t="s">
        <v>203</v>
      </c>
      <c r="KQP17" s="314" t="s">
        <v>203</v>
      </c>
      <c r="KQQ17" s="314" t="s">
        <v>203</v>
      </c>
      <c r="KQR17" s="314" t="s">
        <v>203</v>
      </c>
      <c r="KQS17" s="314" t="s">
        <v>203</v>
      </c>
      <c r="KQT17" s="314" t="s">
        <v>203</v>
      </c>
      <c r="KQU17" s="314" t="s">
        <v>203</v>
      </c>
      <c r="KQV17" s="314" t="s">
        <v>203</v>
      </c>
      <c r="KQW17" s="314" t="s">
        <v>203</v>
      </c>
      <c r="KQX17" s="314" t="s">
        <v>203</v>
      </c>
      <c r="KQY17" s="314" t="s">
        <v>203</v>
      </c>
      <c r="KQZ17" s="314" t="s">
        <v>203</v>
      </c>
      <c r="KRA17" s="314" t="s">
        <v>203</v>
      </c>
      <c r="KRB17" s="314" t="s">
        <v>203</v>
      </c>
      <c r="KRC17" s="314" t="s">
        <v>203</v>
      </c>
      <c r="KRD17" s="314" t="s">
        <v>203</v>
      </c>
      <c r="KRE17" s="314" t="s">
        <v>203</v>
      </c>
      <c r="KRF17" s="314" t="s">
        <v>203</v>
      </c>
      <c r="KRG17" s="314" t="s">
        <v>203</v>
      </c>
      <c r="KRH17" s="314" t="s">
        <v>203</v>
      </c>
      <c r="KRI17" s="314" t="s">
        <v>203</v>
      </c>
      <c r="KRJ17" s="314" t="s">
        <v>203</v>
      </c>
      <c r="KRK17" s="314" t="s">
        <v>203</v>
      </c>
      <c r="KRL17" s="314" t="s">
        <v>203</v>
      </c>
      <c r="KRM17" s="314" t="s">
        <v>203</v>
      </c>
      <c r="KRN17" s="314" t="s">
        <v>203</v>
      </c>
      <c r="KRO17" s="314" t="s">
        <v>203</v>
      </c>
      <c r="KRP17" s="314" t="s">
        <v>203</v>
      </c>
      <c r="KRQ17" s="314" t="s">
        <v>203</v>
      </c>
      <c r="KRR17" s="314" t="s">
        <v>203</v>
      </c>
      <c r="KRS17" s="314" t="s">
        <v>203</v>
      </c>
      <c r="KRT17" s="314" t="s">
        <v>203</v>
      </c>
      <c r="KRU17" s="314" t="s">
        <v>203</v>
      </c>
      <c r="KRV17" s="314" t="s">
        <v>203</v>
      </c>
      <c r="KRW17" s="314" t="s">
        <v>203</v>
      </c>
      <c r="KRX17" s="314" t="s">
        <v>203</v>
      </c>
      <c r="KRY17" s="314" t="s">
        <v>203</v>
      </c>
      <c r="KRZ17" s="314" t="s">
        <v>203</v>
      </c>
      <c r="KSA17" s="314" t="s">
        <v>203</v>
      </c>
      <c r="KSB17" s="314" t="s">
        <v>203</v>
      </c>
      <c r="KSC17" s="314" t="s">
        <v>203</v>
      </c>
      <c r="KSD17" s="314" t="s">
        <v>203</v>
      </c>
      <c r="KSE17" s="314" t="s">
        <v>203</v>
      </c>
      <c r="KSF17" s="314" t="s">
        <v>203</v>
      </c>
      <c r="KSG17" s="314" t="s">
        <v>203</v>
      </c>
      <c r="KSH17" s="314" t="s">
        <v>203</v>
      </c>
      <c r="KSI17" s="314" t="s">
        <v>203</v>
      </c>
      <c r="KSJ17" s="314" t="s">
        <v>203</v>
      </c>
      <c r="KSK17" s="314" t="s">
        <v>203</v>
      </c>
      <c r="KSL17" s="314" t="s">
        <v>203</v>
      </c>
      <c r="KSM17" s="314" t="s">
        <v>203</v>
      </c>
      <c r="KSN17" s="314" t="s">
        <v>203</v>
      </c>
      <c r="KSO17" s="314" t="s">
        <v>203</v>
      </c>
      <c r="KSP17" s="314" t="s">
        <v>203</v>
      </c>
      <c r="KSQ17" s="314" t="s">
        <v>203</v>
      </c>
      <c r="KSR17" s="314" t="s">
        <v>203</v>
      </c>
      <c r="KSS17" s="314" t="s">
        <v>203</v>
      </c>
      <c r="KST17" s="314" t="s">
        <v>203</v>
      </c>
      <c r="KSU17" s="314" t="s">
        <v>203</v>
      </c>
      <c r="KSV17" s="314" t="s">
        <v>203</v>
      </c>
      <c r="KSW17" s="314" t="s">
        <v>203</v>
      </c>
      <c r="KSX17" s="314" t="s">
        <v>203</v>
      </c>
      <c r="KSY17" s="314" t="s">
        <v>203</v>
      </c>
      <c r="KSZ17" s="314" t="s">
        <v>203</v>
      </c>
      <c r="KTA17" s="314" t="s">
        <v>203</v>
      </c>
      <c r="KTB17" s="314" t="s">
        <v>203</v>
      </c>
      <c r="KTC17" s="314" t="s">
        <v>203</v>
      </c>
      <c r="KTD17" s="314" t="s">
        <v>203</v>
      </c>
      <c r="KTE17" s="314" t="s">
        <v>203</v>
      </c>
      <c r="KTF17" s="314" t="s">
        <v>203</v>
      </c>
      <c r="KTG17" s="314" t="s">
        <v>203</v>
      </c>
      <c r="KTH17" s="314" t="s">
        <v>203</v>
      </c>
      <c r="KTI17" s="314" t="s">
        <v>203</v>
      </c>
      <c r="KTJ17" s="314" t="s">
        <v>203</v>
      </c>
      <c r="KTK17" s="314" t="s">
        <v>203</v>
      </c>
      <c r="KTL17" s="314" t="s">
        <v>203</v>
      </c>
      <c r="KTM17" s="314" t="s">
        <v>203</v>
      </c>
      <c r="KTN17" s="314" t="s">
        <v>203</v>
      </c>
      <c r="KTO17" s="314" t="s">
        <v>203</v>
      </c>
      <c r="KTP17" s="314" t="s">
        <v>203</v>
      </c>
      <c r="KTQ17" s="314" t="s">
        <v>203</v>
      </c>
      <c r="KTR17" s="314" t="s">
        <v>203</v>
      </c>
      <c r="KTS17" s="314" t="s">
        <v>203</v>
      </c>
      <c r="KTT17" s="314" t="s">
        <v>203</v>
      </c>
      <c r="KTU17" s="314" t="s">
        <v>203</v>
      </c>
      <c r="KTV17" s="314" t="s">
        <v>203</v>
      </c>
      <c r="KTW17" s="314" t="s">
        <v>203</v>
      </c>
      <c r="KTX17" s="314" t="s">
        <v>203</v>
      </c>
      <c r="KTY17" s="314" t="s">
        <v>203</v>
      </c>
      <c r="KTZ17" s="314" t="s">
        <v>203</v>
      </c>
      <c r="KUA17" s="314" t="s">
        <v>203</v>
      </c>
      <c r="KUB17" s="314" t="s">
        <v>203</v>
      </c>
      <c r="KUC17" s="314" t="s">
        <v>203</v>
      </c>
      <c r="KUD17" s="314" t="s">
        <v>203</v>
      </c>
      <c r="KUE17" s="314" t="s">
        <v>203</v>
      </c>
      <c r="KUF17" s="314" t="s">
        <v>203</v>
      </c>
      <c r="KUG17" s="314" t="s">
        <v>203</v>
      </c>
      <c r="KUH17" s="314" t="s">
        <v>203</v>
      </c>
      <c r="KUI17" s="314" t="s">
        <v>203</v>
      </c>
      <c r="KUJ17" s="314" t="s">
        <v>203</v>
      </c>
      <c r="KUK17" s="314" t="s">
        <v>203</v>
      </c>
      <c r="KUL17" s="314" t="s">
        <v>203</v>
      </c>
      <c r="KUM17" s="314" t="s">
        <v>203</v>
      </c>
      <c r="KUN17" s="314" t="s">
        <v>203</v>
      </c>
      <c r="KUO17" s="314" t="s">
        <v>203</v>
      </c>
      <c r="KUP17" s="314" t="s">
        <v>203</v>
      </c>
      <c r="KUQ17" s="314" t="s">
        <v>203</v>
      </c>
      <c r="KUR17" s="314" t="s">
        <v>203</v>
      </c>
      <c r="KUS17" s="314" t="s">
        <v>203</v>
      </c>
      <c r="KUT17" s="314" t="s">
        <v>203</v>
      </c>
      <c r="KUU17" s="314" t="s">
        <v>203</v>
      </c>
      <c r="KUV17" s="314" t="s">
        <v>203</v>
      </c>
      <c r="KUW17" s="314" t="s">
        <v>203</v>
      </c>
      <c r="KUX17" s="314" t="s">
        <v>203</v>
      </c>
      <c r="KUY17" s="314" t="s">
        <v>203</v>
      </c>
      <c r="KUZ17" s="314" t="s">
        <v>203</v>
      </c>
      <c r="KVA17" s="314" t="s">
        <v>203</v>
      </c>
      <c r="KVB17" s="314" t="s">
        <v>203</v>
      </c>
      <c r="KVC17" s="314" t="s">
        <v>203</v>
      </c>
      <c r="KVD17" s="314" t="s">
        <v>203</v>
      </c>
      <c r="KVE17" s="314" t="s">
        <v>203</v>
      </c>
      <c r="KVF17" s="314" t="s">
        <v>203</v>
      </c>
      <c r="KVG17" s="314" t="s">
        <v>203</v>
      </c>
      <c r="KVH17" s="314" t="s">
        <v>203</v>
      </c>
      <c r="KVI17" s="314" t="s">
        <v>203</v>
      </c>
      <c r="KVJ17" s="314" t="s">
        <v>203</v>
      </c>
      <c r="KVK17" s="314" t="s">
        <v>203</v>
      </c>
      <c r="KVL17" s="314" t="s">
        <v>203</v>
      </c>
      <c r="KVM17" s="314" t="s">
        <v>203</v>
      </c>
      <c r="KVN17" s="314" t="s">
        <v>203</v>
      </c>
      <c r="KVO17" s="314" t="s">
        <v>203</v>
      </c>
      <c r="KVP17" s="314" t="s">
        <v>203</v>
      </c>
      <c r="KVQ17" s="314" t="s">
        <v>203</v>
      </c>
      <c r="KVR17" s="314" t="s">
        <v>203</v>
      </c>
      <c r="KVS17" s="314" t="s">
        <v>203</v>
      </c>
      <c r="KVT17" s="314" t="s">
        <v>203</v>
      </c>
      <c r="KVU17" s="314" t="s">
        <v>203</v>
      </c>
      <c r="KVV17" s="314" t="s">
        <v>203</v>
      </c>
      <c r="KVW17" s="314" t="s">
        <v>203</v>
      </c>
      <c r="KVX17" s="314" t="s">
        <v>203</v>
      </c>
      <c r="KVY17" s="314" t="s">
        <v>203</v>
      </c>
      <c r="KVZ17" s="314" t="s">
        <v>203</v>
      </c>
      <c r="KWA17" s="314" t="s">
        <v>203</v>
      </c>
      <c r="KWB17" s="314" t="s">
        <v>203</v>
      </c>
      <c r="KWC17" s="314" t="s">
        <v>203</v>
      </c>
      <c r="KWD17" s="314" t="s">
        <v>203</v>
      </c>
      <c r="KWE17" s="314" t="s">
        <v>203</v>
      </c>
      <c r="KWF17" s="314" t="s">
        <v>203</v>
      </c>
      <c r="KWG17" s="314" t="s">
        <v>203</v>
      </c>
      <c r="KWH17" s="314" t="s">
        <v>203</v>
      </c>
      <c r="KWI17" s="314" t="s">
        <v>203</v>
      </c>
      <c r="KWJ17" s="314" t="s">
        <v>203</v>
      </c>
      <c r="KWK17" s="314" t="s">
        <v>203</v>
      </c>
      <c r="KWL17" s="314" t="s">
        <v>203</v>
      </c>
      <c r="KWM17" s="314" t="s">
        <v>203</v>
      </c>
      <c r="KWN17" s="314" t="s">
        <v>203</v>
      </c>
      <c r="KWO17" s="314" t="s">
        <v>203</v>
      </c>
      <c r="KWP17" s="314" t="s">
        <v>203</v>
      </c>
      <c r="KWQ17" s="314" t="s">
        <v>203</v>
      </c>
      <c r="KWR17" s="314" t="s">
        <v>203</v>
      </c>
      <c r="KWS17" s="314" t="s">
        <v>203</v>
      </c>
      <c r="KWT17" s="314" t="s">
        <v>203</v>
      </c>
      <c r="KWU17" s="314" t="s">
        <v>203</v>
      </c>
      <c r="KWV17" s="314" t="s">
        <v>203</v>
      </c>
      <c r="KWW17" s="314" t="s">
        <v>203</v>
      </c>
      <c r="KWX17" s="314" t="s">
        <v>203</v>
      </c>
      <c r="KWY17" s="314" t="s">
        <v>203</v>
      </c>
      <c r="KWZ17" s="314" t="s">
        <v>203</v>
      </c>
      <c r="KXA17" s="314" t="s">
        <v>203</v>
      </c>
      <c r="KXB17" s="314" t="s">
        <v>203</v>
      </c>
      <c r="KXC17" s="314" t="s">
        <v>203</v>
      </c>
      <c r="KXD17" s="314" t="s">
        <v>203</v>
      </c>
      <c r="KXE17" s="314" t="s">
        <v>203</v>
      </c>
      <c r="KXF17" s="314" t="s">
        <v>203</v>
      </c>
      <c r="KXG17" s="314" t="s">
        <v>203</v>
      </c>
      <c r="KXH17" s="314" t="s">
        <v>203</v>
      </c>
      <c r="KXI17" s="314" t="s">
        <v>203</v>
      </c>
      <c r="KXJ17" s="314" t="s">
        <v>203</v>
      </c>
      <c r="KXK17" s="314" t="s">
        <v>203</v>
      </c>
      <c r="KXL17" s="314" t="s">
        <v>203</v>
      </c>
      <c r="KXM17" s="314" t="s">
        <v>203</v>
      </c>
      <c r="KXN17" s="314" t="s">
        <v>203</v>
      </c>
      <c r="KXO17" s="314" t="s">
        <v>203</v>
      </c>
      <c r="KXP17" s="314" t="s">
        <v>203</v>
      </c>
      <c r="KXQ17" s="314" t="s">
        <v>203</v>
      </c>
      <c r="KXR17" s="314" t="s">
        <v>203</v>
      </c>
      <c r="KXS17" s="314" t="s">
        <v>203</v>
      </c>
      <c r="KXT17" s="314" t="s">
        <v>203</v>
      </c>
      <c r="KXU17" s="314" t="s">
        <v>203</v>
      </c>
      <c r="KXV17" s="314" t="s">
        <v>203</v>
      </c>
      <c r="KXW17" s="314" t="s">
        <v>203</v>
      </c>
      <c r="KXX17" s="314" t="s">
        <v>203</v>
      </c>
      <c r="KXY17" s="314" t="s">
        <v>203</v>
      </c>
      <c r="KXZ17" s="314" t="s">
        <v>203</v>
      </c>
      <c r="KYA17" s="314" t="s">
        <v>203</v>
      </c>
      <c r="KYB17" s="314" t="s">
        <v>203</v>
      </c>
      <c r="KYC17" s="314" t="s">
        <v>203</v>
      </c>
      <c r="KYD17" s="314" t="s">
        <v>203</v>
      </c>
      <c r="KYE17" s="314" t="s">
        <v>203</v>
      </c>
      <c r="KYF17" s="314" t="s">
        <v>203</v>
      </c>
      <c r="KYG17" s="314" t="s">
        <v>203</v>
      </c>
      <c r="KYH17" s="314" t="s">
        <v>203</v>
      </c>
      <c r="KYI17" s="314" t="s">
        <v>203</v>
      </c>
      <c r="KYJ17" s="314" t="s">
        <v>203</v>
      </c>
      <c r="KYK17" s="314" t="s">
        <v>203</v>
      </c>
      <c r="KYL17" s="314" t="s">
        <v>203</v>
      </c>
      <c r="KYM17" s="314" t="s">
        <v>203</v>
      </c>
      <c r="KYN17" s="314" t="s">
        <v>203</v>
      </c>
      <c r="KYO17" s="314" t="s">
        <v>203</v>
      </c>
      <c r="KYP17" s="314" t="s">
        <v>203</v>
      </c>
      <c r="KYQ17" s="314" t="s">
        <v>203</v>
      </c>
      <c r="KYR17" s="314" t="s">
        <v>203</v>
      </c>
      <c r="KYS17" s="314" t="s">
        <v>203</v>
      </c>
      <c r="KYT17" s="314" t="s">
        <v>203</v>
      </c>
      <c r="KYU17" s="314" t="s">
        <v>203</v>
      </c>
      <c r="KYV17" s="314" t="s">
        <v>203</v>
      </c>
      <c r="KYW17" s="314" t="s">
        <v>203</v>
      </c>
      <c r="KYX17" s="314" t="s">
        <v>203</v>
      </c>
      <c r="KYY17" s="314" t="s">
        <v>203</v>
      </c>
      <c r="KYZ17" s="314" t="s">
        <v>203</v>
      </c>
      <c r="KZA17" s="314" t="s">
        <v>203</v>
      </c>
      <c r="KZB17" s="314" t="s">
        <v>203</v>
      </c>
      <c r="KZC17" s="314" t="s">
        <v>203</v>
      </c>
      <c r="KZD17" s="314" t="s">
        <v>203</v>
      </c>
      <c r="KZE17" s="314" t="s">
        <v>203</v>
      </c>
      <c r="KZF17" s="314" t="s">
        <v>203</v>
      </c>
      <c r="KZG17" s="314" t="s">
        <v>203</v>
      </c>
      <c r="KZH17" s="314" t="s">
        <v>203</v>
      </c>
      <c r="KZI17" s="314" t="s">
        <v>203</v>
      </c>
      <c r="KZJ17" s="314" t="s">
        <v>203</v>
      </c>
      <c r="KZK17" s="314" t="s">
        <v>203</v>
      </c>
      <c r="KZL17" s="314" t="s">
        <v>203</v>
      </c>
      <c r="KZM17" s="314" t="s">
        <v>203</v>
      </c>
      <c r="KZN17" s="314" t="s">
        <v>203</v>
      </c>
      <c r="KZO17" s="314" t="s">
        <v>203</v>
      </c>
      <c r="KZP17" s="314" t="s">
        <v>203</v>
      </c>
      <c r="KZQ17" s="314" t="s">
        <v>203</v>
      </c>
      <c r="KZR17" s="314" t="s">
        <v>203</v>
      </c>
      <c r="KZS17" s="314" t="s">
        <v>203</v>
      </c>
      <c r="KZT17" s="314" t="s">
        <v>203</v>
      </c>
      <c r="KZU17" s="314" t="s">
        <v>203</v>
      </c>
      <c r="KZV17" s="314" t="s">
        <v>203</v>
      </c>
      <c r="KZW17" s="314" t="s">
        <v>203</v>
      </c>
      <c r="KZX17" s="314" t="s">
        <v>203</v>
      </c>
      <c r="KZY17" s="314" t="s">
        <v>203</v>
      </c>
      <c r="KZZ17" s="314" t="s">
        <v>203</v>
      </c>
      <c r="LAA17" s="314" t="s">
        <v>203</v>
      </c>
      <c r="LAB17" s="314" t="s">
        <v>203</v>
      </c>
      <c r="LAC17" s="314" t="s">
        <v>203</v>
      </c>
      <c r="LAD17" s="314" t="s">
        <v>203</v>
      </c>
      <c r="LAE17" s="314" t="s">
        <v>203</v>
      </c>
      <c r="LAF17" s="314" t="s">
        <v>203</v>
      </c>
      <c r="LAG17" s="314" t="s">
        <v>203</v>
      </c>
      <c r="LAH17" s="314" t="s">
        <v>203</v>
      </c>
      <c r="LAI17" s="314" t="s">
        <v>203</v>
      </c>
      <c r="LAJ17" s="314" t="s">
        <v>203</v>
      </c>
      <c r="LAK17" s="314" t="s">
        <v>203</v>
      </c>
      <c r="LAL17" s="314" t="s">
        <v>203</v>
      </c>
      <c r="LAM17" s="314" t="s">
        <v>203</v>
      </c>
      <c r="LAN17" s="314" t="s">
        <v>203</v>
      </c>
      <c r="LAO17" s="314" t="s">
        <v>203</v>
      </c>
      <c r="LAP17" s="314" t="s">
        <v>203</v>
      </c>
      <c r="LAQ17" s="314" t="s">
        <v>203</v>
      </c>
      <c r="LAR17" s="314" t="s">
        <v>203</v>
      </c>
      <c r="LAS17" s="314" t="s">
        <v>203</v>
      </c>
      <c r="LAT17" s="314" t="s">
        <v>203</v>
      </c>
      <c r="LAU17" s="314" t="s">
        <v>203</v>
      </c>
      <c r="LAV17" s="314" t="s">
        <v>203</v>
      </c>
      <c r="LAW17" s="314" t="s">
        <v>203</v>
      </c>
      <c r="LAX17" s="314" t="s">
        <v>203</v>
      </c>
      <c r="LAY17" s="314" t="s">
        <v>203</v>
      </c>
      <c r="LAZ17" s="314" t="s">
        <v>203</v>
      </c>
      <c r="LBA17" s="314" t="s">
        <v>203</v>
      </c>
      <c r="LBB17" s="314" t="s">
        <v>203</v>
      </c>
      <c r="LBC17" s="314" t="s">
        <v>203</v>
      </c>
      <c r="LBD17" s="314" t="s">
        <v>203</v>
      </c>
      <c r="LBE17" s="314" t="s">
        <v>203</v>
      </c>
      <c r="LBF17" s="314" t="s">
        <v>203</v>
      </c>
      <c r="LBG17" s="314" t="s">
        <v>203</v>
      </c>
      <c r="LBH17" s="314" t="s">
        <v>203</v>
      </c>
      <c r="LBI17" s="314" t="s">
        <v>203</v>
      </c>
      <c r="LBJ17" s="314" t="s">
        <v>203</v>
      </c>
      <c r="LBK17" s="314" t="s">
        <v>203</v>
      </c>
      <c r="LBL17" s="314" t="s">
        <v>203</v>
      </c>
      <c r="LBM17" s="314" t="s">
        <v>203</v>
      </c>
      <c r="LBN17" s="314" t="s">
        <v>203</v>
      </c>
      <c r="LBO17" s="314" t="s">
        <v>203</v>
      </c>
      <c r="LBP17" s="314" t="s">
        <v>203</v>
      </c>
      <c r="LBQ17" s="314" t="s">
        <v>203</v>
      </c>
      <c r="LBR17" s="314" t="s">
        <v>203</v>
      </c>
      <c r="LBS17" s="314" t="s">
        <v>203</v>
      </c>
      <c r="LBT17" s="314" t="s">
        <v>203</v>
      </c>
      <c r="LBU17" s="314" t="s">
        <v>203</v>
      </c>
      <c r="LBV17" s="314" t="s">
        <v>203</v>
      </c>
      <c r="LBW17" s="314" t="s">
        <v>203</v>
      </c>
      <c r="LBX17" s="314" t="s">
        <v>203</v>
      </c>
      <c r="LBY17" s="314" t="s">
        <v>203</v>
      </c>
      <c r="LBZ17" s="314" t="s">
        <v>203</v>
      </c>
      <c r="LCA17" s="314" t="s">
        <v>203</v>
      </c>
      <c r="LCB17" s="314" t="s">
        <v>203</v>
      </c>
      <c r="LCC17" s="314" t="s">
        <v>203</v>
      </c>
      <c r="LCD17" s="314" t="s">
        <v>203</v>
      </c>
      <c r="LCE17" s="314" t="s">
        <v>203</v>
      </c>
      <c r="LCF17" s="314" t="s">
        <v>203</v>
      </c>
      <c r="LCG17" s="314" t="s">
        <v>203</v>
      </c>
      <c r="LCH17" s="314" t="s">
        <v>203</v>
      </c>
      <c r="LCI17" s="314" t="s">
        <v>203</v>
      </c>
      <c r="LCJ17" s="314" t="s">
        <v>203</v>
      </c>
      <c r="LCK17" s="314" t="s">
        <v>203</v>
      </c>
      <c r="LCL17" s="314" t="s">
        <v>203</v>
      </c>
      <c r="LCM17" s="314" t="s">
        <v>203</v>
      </c>
      <c r="LCN17" s="314" t="s">
        <v>203</v>
      </c>
      <c r="LCO17" s="314" t="s">
        <v>203</v>
      </c>
      <c r="LCP17" s="314" t="s">
        <v>203</v>
      </c>
      <c r="LCQ17" s="314" t="s">
        <v>203</v>
      </c>
      <c r="LCR17" s="314" t="s">
        <v>203</v>
      </c>
      <c r="LCS17" s="314" t="s">
        <v>203</v>
      </c>
      <c r="LCT17" s="314" t="s">
        <v>203</v>
      </c>
      <c r="LCU17" s="314" t="s">
        <v>203</v>
      </c>
      <c r="LCV17" s="314" t="s">
        <v>203</v>
      </c>
      <c r="LCW17" s="314" t="s">
        <v>203</v>
      </c>
      <c r="LCX17" s="314" t="s">
        <v>203</v>
      </c>
      <c r="LCY17" s="314" t="s">
        <v>203</v>
      </c>
      <c r="LCZ17" s="314" t="s">
        <v>203</v>
      </c>
      <c r="LDA17" s="314" t="s">
        <v>203</v>
      </c>
      <c r="LDB17" s="314" t="s">
        <v>203</v>
      </c>
      <c r="LDC17" s="314" t="s">
        <v>203</v>
      </c>
      <c r="LDD17" s="314" t="s">
        <v>203</v>
      </c>
      <c r="LDE17" s="314" t="s">
        <v>203</v>
      </c>
      <c r="LDF17" s="314" t="s">
        <v>203</v>
      </c>
      <c r="LDG17" s="314" t="s">
        <v>203</v>
      </c>
      <c r="LDH17" s="314" t="s">
        <v>203</v>
      </c>
      <c r="LDI17" s="314" t="s">
        <v>203</v>
      </c>
      <c r="LDJ17" s="314" t="s">
        <v>203</v>
      </c>
      <c r="LDK17" s="314" t="s">
        <v>203</v>
      </c>
      <c r="LDL17" s="314" t="s">
        <v>203</v>
      </c>
      <c r="LDM17" s="314" t="s">
        <v>203</v>
      </c>
      <c r="LDN17" s="314" t="s">
        <v>203</v>
      </c>
      <c r="LDO17" s="314" t="s">
        <v>203</v>
      </c>
      <c r="LDP17" s="314" t="s">
        <v>203</v>
      </c>
      <c r="LDQ17" s="314" t="s">
        <v>203</v>
      </c>
      <c r="LDR17" s="314" t="s">
        <v>203</v>
      </c>
      <c r="LDS17" s="314" t="s">
        <v>203</v>
      </c>
      <c r="LDT17" s="314" t="s">
        <v>203</v>
      </c>
      <c r="LDU17" s="314" t="s">
        <v>203</v>
      </c>
      <c r="LDV17" s="314" t="s">
        <v>203</v>
      </c>
      <c r="LDW17" s="314" t="s">
        <v>203</v>
      </c>
      <c r="LDX17" s="314" t="s">
        <v>203</v>
      </c>
      <c r="LDY17" s="314" t="s">
        <v>203</v>
      </c>
      <c r="LDZ17" s="314" t="s">
        <v>203</v>
      </c>
      <c r="LEA17" s="314" t="s">
        <v>203</v>
      </c>
      <c r="LEB17" s="314" t="s">
        <v>203</v>
      </c>
      <c r="LEC17" s="314" t="s">
        <v>203</v>
      </c>
      <c r="LED17" s="314" t="s">
        <v>203</v>
      </c>
      <c r="LEE17" s="314" t="s">
        <v>203</v>
      </c>
      <c r="LEF17" s="314" t="s">
        <v>203</v>
      </c>
      <c r="LEG17" s="314" t="s">
        <v>203</v>
      </c>
      <c r="LEH17" s="314" t="s">
        <v>203</v>
      </c>
      <c r="LEI17" s="314" t="s">
        <v>203</v>
      </c>
      <c r="LEJ17" s="314" t="s">
        <v>203</v>
      </c>
      <c r="LEK17" s="314" t="s">
        <v>203</v>
      </c>
      <c r="LEL17" s="314" t="s">
        <v>203</v>
      </c>
      <c r="LEM17" s="314" t="s">
        <v>203</v>
      </c>
      <c r="LEN17" s="314" t="s">
        <v>203</v>
      </c>
      <c r="LEO17" s="314" t="s">
        <v>203</v>
      </c>
      <c r="LEP17" s="314" t="s">
        <v>203</v>
      </c>
      <c r="LEQ17" s="314" t="s">
        <v>203</v>
      </c>
      <c r="LER17" s="314" t="s">
        <v>203</v>
      </c>
      <c r="LES17" s="314" t="s">
        <v>203</v>
      </c>
      <c r="LET17" s="314" t="s">
        <v>203</v>
      </c>
      <c r="LEU17" s="314" t="s">
        <v>203</v>
      </c>
      <c r="LEV17" s="314" t="s">
        <v>203</v>
      </c>
      <c r="LEW17" s="314" t="s">
        <v>203</v>
      </c>
      <c r="LEX17" s="314" t="s">
        <v>203</v>
      </c>
      <c r="LEY17" s="314" t="s">
        <v>203</v>
      </c>
      <c r="LEZ17" s="314" t="s">
        <v>203</v>
      </c>
      <c r="LFA17" s="314" t="s">
        <v>203</v>
      </c>
      <c r="LFB17" s="314" t="s">
        <v>203</v>
      </c>
      <c r="LFC17" s="314" t="s">
        <v>203</v>
      </c>
      <c r="LFD17" s="314" t="s">
        <v>203</v>
      </c>
      <c r="LFE17" s="314" t="s">
        <v>203</v>
      </c>
      <c r="LFF17" s="314" t="s">
        <v>203</v>
      </c>
      <c r="LFG17" s="314" t="s">
        <v>203</v>
      </c>
      <c r="LFH17" s="314" t="s">
        <v>203</v>
      </c>
      <c r="LFI17" s="314" t="s">
        <v>203</v>
      </c>
      <c r="LFJ17" s="314" t="s">
        <v>203</v>
      </c>
      <c r="LFK17" s="314" t="s">
        <v>203</v>
      </c>
      <c r="LFL17" s="314" t="s">
        <v>203</v>
      </c>
      <c r="LFM17" s="314" t="s">
        <v>203</v>
      </c>
      <c r="LFN17" s="314" t="s">
        <v>203</v>
      </c>
      <c r="LFO17" s="314" t="s">
        <v>203</v>
      </c>
      <c r="LFP17" s="314" t="s">
        <v>203</v>
      </c>
      <c r="LFQ17" s="314" t="s">
        <v>203</v>
      </c>
      <c r="LFR17" s="314" t="s">
        <v>203</v>
      </c>
      <c r="LFS17" s="314" t="s">
        <v>203</v>
      </c>
      <c r="LFT17" s="314" t="s">
        <v>203</v>
      </c>
      <c r="LFU17" s="314" t="s">
        <v>203</v>
      </c>
      <c r="LFV17" s="314" t="s">
        <v>203</v>
      </c>
      <c r="LFW17" s="314" t="s">
        <v>203</v>
      </c>
      <c r="LFX17" s="314" t="s">
        <v>203</v>
      </c>
      <c r="LFY17" s="314" t="s">
        <v>203</v>
      </c>
      <c r="LFZ17" s="314" t="s">
        <v>203</v>
      </c>
      <c r="LGA17" s="314" t="s">
        <v>203</v>
      </c>
      <c r="LGB17" s="314" t="s">
        <v>203</v>
      </c>
      <c r="LGC17" s="314" t="s">
        <v>203</v>
      </c>
      <c r="LGD17" s="314" t="s">
        <v>203</v>
      </c>
      <c r="LGE17" s="314" t="s">
        <v>203</v>
      </c>
      <c r="LGF17" s="314" t="s">
        <v>203</v>
      </c>
      <c r="LGG17" s="314" t="s">
        <v>203</v>
      </c>
      <c r="LGH17" s="314" t="s">
        <v>203</v>
      </c>
      <c r="LGI17" s="314" t="s">
        <v>203</v>
      </c>
      <c r="LGJ17" s="314" t="s">
        <v>203</v>
      </c>
      <c r="LGK17" s="314" t="s">
        <v>203</v>
      </c>
      <c r="LGL17" s="314" t="s">
        <v>203</v>
      </c>
      <c r="LGM17" s="314" t="s">
        <v>203</v>
      </c>
      <c r="LGN17" s="314" t="s">
        <v>203</v>
      </c>
      <c r="LGO17" s="314" t="s">
        <v>203</v>
      </c>
      <c r="LGP17" s="314" t="s">
        <v>203</v>
      </c>
      <c r="LGQ17" s="314" t="s">
        <v>203</v>
      </c>
      <c r="LGR17" s="314" t="s">
        <v>203</v>
      </c>
      <c r="LGS17" s="314" t="s">
        <v>203</v>
      </c>
      <c r="LGT17" s="314" t="s">
        <v>203</v>
      </c>
      <c r="LGU17" s="314" t="s">
        <v>203</v>
      </c>
      <c r="LGV17" s="314" t="s">
        <v>203</v>
      </c>
      <c r="LGW17" s="314" t="s">
        <v>203</v>
      </c>
      <c r="LGX17" s="314" t="s">
        <v>203</v>
      </c>
      <c r="LGY17" s="314" t="s">
        <v>203</v>
      </c>
      <c r="LGZ17" s="314" t="s">
        <v>203</v>
      </c>
      <c r="LHA17" s="314" t="s">
        <v>203</v>
      </c>
      <c r="LHB17" s="314" t="s">
        <v>203</v>
      </c>
      <c r="LHC17" s="314" t="s">
        <v>203</v>
      </c>
      <c r="LHD17" s="314" t="s">
        <v>203</v>
      </c>
      <c r="LHE17" s="314" t="s">
        <v>203</v>
      </c>
      <c r="LHF17" s="314" t="s">
        <v>203</v>
      </c>
      <c r="LHG17" s="314" t="s">
        <v>203</v>
      </c>
      <c r="LHH17" s="314" t="s">
        <v>203</v>
      </c>
      <c r="LHI17" s="314" t="s">
        <v>203</v>
      </c>
      <c r="LHJ17" s="314" t="s">
        <v>203</v>
      </c>
      <c r="LHK17" s="314" t="s">
        <v>203</v>
      </c>
      <c r="LHL17" s="314" t="s">
        <v>203</v>
      </c>
      <c r="LHM17" s="314" t="s">
        <v>203</v>
      </c>
      <c r="LHN17" s="314" t="s">
        <v>203</v>
      </c>
      <c r="LHO17" s="314" t="s">
        <v>203</v>
      </c>
      <c r="LHP17" s="314" t="s">
        <v>203</v>
      </c>
      <c r="LHQ17" s="314" t="s">
        <v>203</v>
      </c>
      <c r="LHR17" s="314" t="s">
        <v>203</v>
      </c>
      <c r="LHS17" s="314" t="s">
        <v>203</v>
      </c>
      <c r="LHT17" s="314" t="s">
        <v>203</v>
      </c>
      <c r="LHU17" s="314" t="s">
        <v>203</v>
      </c>
      <c r="LHV17" s="314" t="s">
        <v>203</v>
      </c>
      <c r="LHW17" s="314" t="s">
        <v>203</v>
      </c>
      <c r="LHX17" s="314" t="s">
        <v>203</v>
      </c>
      <c r="LHY17" s="314" t="s">
        <v>203</v>
      </c>
      <c r="LHZ17" s="314" t="s">
        <v>203</v>
      </c>
      <c r="LIA17" s="314" t="s">
        <v>203</v>
      </c>
      <c r="LIB17" s="314" t="s">
        <v>203</v>
      </c>
      <c r="LIC17" s="314" t="s">
        <v>203</v>
      </c>
      <c r="LID17" s="314" t="s">
        <v>203</v>
      </c>
      <c r="LIE17" s="314" t="s">
        <v>203</v>
      </c>
      <c r="LIF17" s="314" t="s">
        <v>203</v>
      </c>
      <c r="LIG17" s="314" t="s">
        <v>203</v>
      </c>
      <c r="LIH17" s="314" t="s">
        <v>203</v>
      </c>
      <c r="LII17" s="314" t="s">
        <v>203</v>
      </c>
      <c r="LIJ17" s="314" t="s">
        <v>203</v>
      </c>
      <c r="LIK17" s="314" t="s">
        <v>203</v>
      </c>
      <c r="LIL17" s="314" t="s">
        <v>203</v>
      </c>
      <c r="LIM17" s="314" t="s">
        <v>203</v>
      </c>
      <c r="LIN17" s="314" t="s">
        <v>203</v>
      </c>
      <c r="LIO17" s="314" t="s">
        <v>203</v>
      </c>
      <c r="LIP17" s="314" t="s">
        <v>203</v>
      </c>
      <c r="LIQ17" s="314" t="s">
        <v>203</v>
      </c>
      <c r="LIR17" s="314" t="s">
        <v>203</v>
      </c>
      <c r="LIS17" s="314" t="s">
        <v>203</v>
      </c>
      <c r="LIT17" s="314" t="s">
        <v>203</v>
      </c>
      <c r="LIU17" s="314" t="s">
        <v>203</v>
      </c>
      <c r="LIV17" s="314" t="s">
        <v>203</v>
      </c>
      <c r="LIW17" s="314" t="s">
        <v>203</v>
      </c>
      <c r="LIX17" s="314" t="s">
        <v>203</v>
      </c>
      <c r="LIY17" s="314" t="s">
        <v>203</v>
      </c>
      <c r="LIZ17" s="314" t="s">
        <v>203</v>
      </c>
      <c r="LJA17" s="314" t="s">
        <v>203</v>
      </c>
      <c r="LJB17" s="314" t="s">
        <v>203</v>
      </c>
      <c r="LJC17" s="314" t="s">
        <v>203</v>
      </c>
      <c r="LJD17" s="314" t="s">
        <v>203</v>
      </c>
      <c r="LJE17" s="314" t="s">
        <v>203</v>
      </c>
      <c r="LJF17" s="314" t="s">
        <v>203</v>
      </c>
      <c r="LJG17" s="314" t="s">
        <v>203</v>
      </c>
      <c r="LJH17" s="314" t="s">
        <v>203</v>
      </c>
      <c r="LJI17" s="314" t="s">
        <v>203</v>
      </c>
      <c r="LJJ17" s="314" t="s">
        <v>203</v>
      </c>
      <c r="LJK17" s="314" t="s">
        <v>203</v>
      </c>
      <c r="LJL17" s="314" t="s">
        <v>203</v>
      </c>
      <c r="LJM17" s="314" t="s">
        <v>203</v>
      </c>
      <c r="LJN17" s="314" t="s">
        <v>203</v>
      </c>
      <c r="LJO17" s="314" t="s">
        <v>203</v>
      </c>
      <c r="LJP17" s="314" t="s">
        <v>203</v>
      </c>
      <c r="LJQ17" s="314" t="s">
        <v>203</v>
      </c>
      <c r="LJR17" s="314" t="s">
        <v>203</v>
      </c>
      <c r="LJS17" s="314" t="s">
        <v>203</v>
      </c>
      <c r="LJT17" s="314" t="s">
        <v>203</v>
      </c>
      <c r="LJU17" s="314" t="s">
        <v>203</v>
      </c>
      <c r="LJV17" s="314" t="s">
        <v>203</v>
      </c>
      <c r="LJW17" s="314" t="s">
        <v>203</v>
      </c>
      <c r="LJX17" s="314" t="s">
        <v>203</v>
      </c>
      <c r="LJY17" s="314" t="s">
        <v>203</v>
      </c>
      <c r="LJZ17" s="314" t="s">
        <v>203</v>
      </c>
      <c r="LKA17" s="314" t="s">
        <v>203</v>
      </c>
      <c r="LKB17" s="314" t="s">
        <v>203</v>
      </c>
      <c r="LKC17" s="314" t="s">
        <v>203</v>
      </c>
      <c r="LKD17" s="314" t="s">
        <v>203</v>
      </c>
      <c r="LKE17" s="314" t="s">
        <v>203</v>
      </c>
      <c r="LKF17" s="314" t="s">
        <v>203</v>
      </c>
      <c r="LKG17" s="314" t="s">
        <v>203</v>
      </c>
      <c r="LKH17" s="314" t="s">
        <v>203</v>
      </c>
      <c r="LKI17" s="314" t="s">
        <v>203</v>
      </c>
      <c r="LKJ17" s="314" t="s">
        <v>203</v>
      </c>
      <c r="LKK17" s="314" t="s">
        <v>203</v>
      </c>
      <c r="LKL17" s="314" t="s">
        <v>203</v>
      </c>
      <c r="LKM17" s="314" t="s">
        <v>203</v>
      </c>
      <c r="LKN17" s="314" t="s">
        <v>203</v>
      </c>
      <c r="LKO17" s="314" t="s">
        <v>203</v>
      </c>
      <c r="LKP17" s="314" t="s">
        <v>203</v>
      </c>
      <c r="LKQ17" s="314" t="s">
        <v>203</v>
      </c>
      <c r="LKR17" s="314" t="s">
        <v>203</v>
      </c>
      <c r="LKS17" s="314" t="s">
        <v>203</v>
      </c>
      <c r="LKT17" s="314" t="s">
        <v>203</v>
      </c>
      <c r="LKU17" s="314" t="s">
        <v>203</v>
      </c>
      <c r="LKV17" s="314" t="s">
        <v>203</v>
      </c>
      <c r="LKW17" s="314" t="s">
        <v>203</v>
      </c>
      <c r="LKX17" s="314" t="s">
        <v>203</v>
      </c>
      <c r="LKY17" s="314" t="s">
        <v>203</v>
      </c>
      <c r="LKZ17" s="314" t="s">
        <v>203</v>
      </c>
      <c r="LLA17" s="314" t="s">
        <v>203</v>
      </c>
      <c r="LLB17" s="314" t="s">
        <v>203</v>
      </c>
      <c r="LLC17" s="314" t="s">
        <v>203</v>
      </c>
      <c r="LLD17" s="314" t="s">
        <v>203</v>
      </c>
      <c r="LLE17" s="314" t="s">
        <v>203</v>
      </c>
      <c r="LLF17" s="314" t="s">
        <v>203</v>
      </c>
      <c r="LLG17" s="314" t="s">
        <v>203</v>
      </c>
      <c r="LLH17" s="314" t="s">
        <v>203</v>
      </c>
      <c r="LLI17" s="314" t="s">
        <v>203</v>
      </c>
      <c r="LLJ17" s="314" t="s">
        <v>203</v>
      </c>
      <c r="LLK17" s="314" t="s">
        <v>203</v>
      </c>
      <c r="LLL17" s="314" t="s">
        <v>203</v>
      </c>
      <c r="LLM17" s="314" t="s">
        <v>203</v>
      </c>
      <c r="LLN17" s="314" t="s">
        <v>203</v>
      </c>
      <c r="LLO17" s="314" t="s">
        <v>203</v>
      </c>
      <c r="LLP17" s="314" t="s">
        <v>203</v>
      </c>
      <c r="LLQ17" s="314" t="s">
        <v>203</v>
      </c>
      <c r="LLR17" s="314" t="s">
        <v>203</v>
      </c>
      <c r="LLS17" s="314" t="s">
        <v>203</v>
      </c>
      <c r="LLT17" s="314" t="s">
        <v>203</v>
      </c>
      <c r="LLU17" s="314" t="s">
        <v>203</v>
      </c>
      <c r="LLV17" s="314" t="s">
        <v>203</v>
      </c>
      <c r="LLW17" s="314" t="s">
        <v>203</v>
      </c>
      <c r="LLX17" s="314" t="s">
        <v>203</v>
      </c>
      <c r="LLY17" s="314" t="s">
        <v>203</v>
      </c>
      <c r="LLZ17" s="314" t="s">
        <v>203</v>
      </c>
      <c r="LMA17" s="314" t="s">
        <v>203</v>
      </c>
      <c r="LMB17" s="314" t="s">
        <v>203</v>
      </c>
      <c r="LMC17" s="314" t="s">
        <v>203</v>
      </c>
      <c r="LMD17" s="314" t="s">
        <v>203</v>
      </c>
      <c r="LME17" s="314" t="s">
        <v>203</v>
      </c>
      <c r="LMF17" s="314" t="s">
        <v>203</v>
      </c>
      <c r="LMG17" s="314" t="s">
        <v>203</v>
      </c>
      <c r="LMH17" s="314" t="s">
        <v>203</v>
      </c>
      <c r="LMI17" s="314" t="s">
        <v>203</v>
      </c>
      <c r="LMJ17" s="314" t="s">
        <v>203</v>
      </c>
      <c r="LMK17" s="314" t="s">
        <v>203</v>
      </c>
      <c r="LML17" s="314" t="s">
        <v>203</v>
      </c>
      <c r="LMM17" s="314" t="s">
        <v>203</v>
      </c>
      <c r="LMN17" s="314" t="s">
        <v>203</v>
      </c>
      <c r="LMO17" s="314" t="s">
        <v>203</v>
      </c>
      <c r="LMP17" s="314" t="s">
        <v>203</v>
      </c>
      <c r="LMQ17" s="314" t="s">
        <v>203</v>
      </c>
      <c r="LMR17" s="314" t="s">
        <v>203</v>
      </c>
      <c r="LMS17" s="314" t="s">
        <v>203</v>
      </c>
      <c r="LMT17" s="314" t="s">
        <v>203</v>
      </c>
      <c r="LMU17" s="314" t="s">
        <v>203</v>
      </c>
      <c r="LMV17" s="314" t="s">
        <v>203</v>
      </c>
      <c r="LMW17" s="314" t="s">
        <v>203</v>
      </c>
      <c r="LMX17" s="314" t="s">
        <v>203</v>
      </c>
      <c r="LMY17" s="314" t="s">
        <v>203</v>
      </c>
      <c r="LMZ17" s="314" t="s">
        <v>203</v>
      </c>
      <c r="LNA17" s="314" t="s">
        <v>203</v>
      </c>
      <c r="LNB17" s="314" t="s">
        <v>203</v>
      </c>
      <c r="LNC17" s="314" t="s">
        <v>203</v>
      </c>
      <c r="LND17" s="314" t="s">
        <v>203</v>
      </c>
      <c r="LNE17" s="314" t="s">
        <v>203</v>
      </c>
      <c r="LNF17" s="314" t="s">
        <v>203</v>
      </c>
      <c r="LNG17" s="314" t="s">
        <v>203</v>
      </c>
      <c r="LNH17" s="314" t="s">
        <v>203</v>
      </c>
      <c r="LNI17" s="314" t="s">
        <v>203</v>
      </c>
      <c r="LNJ17" s="314" t="s">
        <v>203</v>
      </c>
      <c r="LNK17" s="314" t="s">
        <v>203</v>
      </c>
      <c r="LNL17" s="314" t="s">
        <v>203</v>
      </c>
      <c r="LNM17" s="314" t="s">
        <v>203</v>
      </c>
      <c r="LNN17" s="314" t="s">
        <v>203</v>
      </c>
      <c r="LNO17" s="314" t="s">
        <v>203</v>
      </c>
      <c r="LNP17" s="314" t="s">
        <v>203</v>
      </c>
      <c r="LNQ17" s="314" t="s">
        <v>203</v>
      </c>
      <c r="LNR17" s="314" t="s">
        <v>203</v>
      </c>
      <c r="LNS17" s="314" t="s">
        <v>203</v>
      </c>
      <c r="LNT17" s="314" t="s">
        <v>203</v>
      </c>
      <c r="LNU17" s="314" t="s">
        <v>203</v>
      </c>
      <c r="LNV17" s="314" t="s">
        <v>203</v>
      </c>
      <c r="LNW17" s="314" t="s">
        <v>203</v>
      </c>
      <c r="LNX17" s="314" t="s">
        <v>203</v>
      </c>
      <c r="LNY17" s="314" t="s">
        <v>203</v>
      </c>
      <c r="LNZ17" s="314" t="s">
        <v>203</v>
      </c>
      <c r="LOA17" s="314" t="s">
        <v>203</v>
      </c>
      <c r="LOB17" s="314" t="s">
        <v>203</v>
      </c>
      <c r="LOC17" s="314" t="s">
        <v>203</v>
      </c>
      <c r="LOD17" s="314" t="s">
        <v>203</v>
      </c>
      <c r="LOE17" s="314" t="s">
        <v>203</v>
      </c>
      <c r="LOF17" s="314" t="s">
        <v>203</v>
      </c>
      <c r="LOG17" s="314" t="s">
        <v>203</v>
      </c>
      <c r="LOH17" s="314" t="s">
        <v>203</v>
      </c>
      <c r="LOI17" s="314" t="s">
        <v>203</v>
      </c>
      <c r="LOJ17" s="314" t="s">
        <v>203</v>
      </c>
      <c r="LOK17" s="314" t="s">
        <v>203</v>
      </c>
      <c r="LOL17" s="314" t="s">
        <v>203</v>
      </c>
      <c r="LOM17" s="314" t="s">
        <v>203</v>
      </c>
      <c r="LON17" s="314" t="s">
        <v>203</v>
      </c>
      <c r="LOO17" s="314" t="s">
        <v>203</v>
      </c>
      <c r="LOP17" s="314" t="s">
        <v>203</v>
      </c>
      <c r="LOQ17" s="314" t="s">
        <v>203</v>
      </c>
      <c r="LOR17" s="314" t="s">
        <v>203</v>
      </c>
      <c r="LOS17" s="314" t="s">
        <v>203</v>
      </c>
      <c r="LOT17" s="314" t="s">
        <v>203</v>
      </c>
      <c r="LOU17" s="314" t="s">
        <v>203</v>
      </c>
      <c r="LOV17" s="314" t="s">
        <v>203</v>
      </c>
      <c r="LOW17" s="314" t="s">
        <v>203</v>
      </c>
      <c r="LOX17" s="314" t="s">
        <v>203</v>
      </c>
      <c r="LOY17" s="314" t="s">
        <v>203</v>
      </c>
      <c r="LOZ17" s="314" t="s">
        <v>203</v>
      </c>
      <c r="LPA17" s="314" t="s">
        <v>203</v>
      </c>
      <c r="LPB17" s="314" t="s">
        <v>203</v>
      </c>
      <c r="LPC17" s="314" t="s">
        <v>203</v>
      </c>
      <c r="LPD17" s="314" t="s">
        <v>203</v>
      </c>
      <c r="LPE17" s="314" t="s">
        <v>203</v>
      </c>
      <c r="LPF17" s="314" t="s">
        <v>203</v>
      </c>
      <c r="LPG17" s="314" t="s">
        <v>203</v>
      </c>
      <c r="LPH17" s="314" t="s">
        <v>203</v>
      </c>
      <c r="LPI17" s="314" t="s">
        <v>203</v>
      </c>
      <c r="LPJ17" s="314" t="s">
        <v>203</v>
      </c>
      <c r="LPK17" s="314" t="s">
        <v>203</v>
      </c>
      <c r="LPL17" s="314" t="s">
        <v>203</v>
      </c>
      <c r="LPM17" s="314" t="s">
        <v>203</v>
      </c>
      <c r="LPN17" s="314" t="s">
        <v>203</v>
      </c>
      <c r="LPO17" s="314" t="s">
        <v>203</v>
      </c>
      <c r="LPP17" s="314" t="s">
        <v>203</v>
      </c>
      <c r="LPQ17" s="314" t="s">
        <v>203</v>
      </c>
      <c r="LPR17" s="314" t="s">
        <v>203</v>
      </c>
      <c r="LPS17" s="314" t="s">
        <v>203</v>
      </c>
      <c r="LPT17" s="314" t="s">
        <v>203</v>
      </c>
      <c r="LPU17" s="314" t="s">
        <v>203</v>
      </c>
      <c r="LPV17" s="314" t="s">
        <v>203</v>
      </c>
      <c r="LPW17" s="314" t="s">
        <v>203</v>
      </c>
      <c r="LPX17" s="314" t="s">
        <v>203</v>
      </c>
      <c r="LPY17" s="314" t="s">
        <v>203</v>
      </c>
      <c r="LPZ17" s="314" t="s">
        <v>203</v>
      </c>
      <c r="LQA17" s="314" t="s">
        <v>203</v>
      </c>
      <c r="LQB17" s="314" t="s">
        <v>203</v>
      </c>
      <c r="LQC17" s="314" t="s">
        <v>203</v>
      </c>
      <c r="LQD17" s="314" t="s">
        <v>203</v>
      </c>
      <c r="LQE17" s="314" t="s">
        <v>203</v>
      </c>
      <c r="LQF17" s="314" t="s">
        <v>203</v>
      </c>
      <c r="LQG17" s="314" t="s">
        <v>203</v>
      </c>
      <c r="LQH17" s="314" t="s">
        <v>203</v>
      </c>
      <c r="LQI17" s="314" t="s">
        <v>203</v>
      </c>
      <c r="LQJ17" s="314" t="s">
        <v>203</v>
      </c>
      <c r="LQK17" s="314" t="s">
        <v>203</v>
      </c>
      <c r="LQL17" s="314" t="s">
        <v>203</v>
      </c>
      <c r="LQM17" s="314" t="s">
        <v>203</v>
      </c>
      <c r="LQN17" s="314" t="s">
        <v>203</v>
      </c>
      <c r="LQO17" s="314" t="s">
        <v>203</v>
      </c>
      <c r="LQP17" s="314" t="s">
        <v>203</v>
      </c>
      <c r="LQQ17" s="314" t="s">
        <v>203</v>
      </c>
      <c r="LQR17" s="314" t="s">
        <v>203</v>
      </c>
      <c r="LQS17" s="314" t="s">
        <v>203</v>
      </c>
      <c r="LQT17" s="314" t="s">
        <v>203</v>
      </c>
      <c r="LQU17" s="314" t="s">
        <v>203</v>
      </c>
      <c r="LQV17" s="314" t="s">
        <v>203</v>
      </c>
      <c r="LQW17" s="314" t="s">
        <v>203</v>
      </c>
      <c r="LQX17" s="314" t="s">
        <v>203</v>
      </c>
      <c r="LQY17" s="314" t="s">
        <v>203</v>
      </c>
      <c r="LQZ17" s="314" t="s">
        <v>203</v>
      </c>
      <c r="LRA17" s="314" t="s">
        <v>203</v>
      </c>
      <c r="LRB17" s="314" t="s">
        <v>203</v>
      </c>
      <c r="LRC17" s="314" t="s">
        <v>203</v>
      </c>
      <c r="LRD17" s="314" t="s">
        <v>203</v>
      </c>
      <c r="LRE17" s="314" t="s">
        <v>203</v>
      </c>
      <c r="LRF17" s="314" t="s">
        <v>203</v>
      </c>
      <c r="LRG17" s="314" t="s">
        <v>203</v>
      </c>
      <c r="LRH17" s="314" t="s">
        <v>203</v>
      </c>
      <c r="LRI17" s="314" t="s">
        <v>203</v>
      </c>
      <c r="LRJ17" s="314" t="s">
        <v>203</v>
      </c>
      <c r="LRK17" s="314" t="s">
        <v>203</v>
      </c>
      <c r="LRL17" s="314" t="s">
        <v>203</v>
      </c>
      <c r="LRM17" s="314" t="s">
        <v>203</v>
      </c>
      <c r="LRN17" s="314" t="s">
        <v>203</v>
      </c>
      <c r="LRO17" s="314" t="s">
        <v>203</v>
      </c>
      <c r="LRP17" s="314" t="s">
        <v>203</v>
      </c>
      <c r="LRQ17" s="314" t="s">
        <v>203</v>
      </c>
      <c r="LRR17" s="314" t="s">
        <v>203</v>
      </c>
      <c r="LRS17" s="314" t="s">
        <v>203</v>
      </c>
      <c r="LRT17" s="314" t="s">
        <v>203</v>
      </c>
      <c r="LRU17" s="314" t="s">
        <v>203</v>
      </c>
      <c r="LRV17" s="314" t="s">
        <v>203</v>
      </c>
      <c r="LRW17" s="314" t="s">
        <v>203</v>
      </c>
      <c r="LRX17" s="314" t="s">
        <v>203</v>
      </c>
      <c r="LRY17" s="314" t="s">
        <v>203</v>
      </c>
      <c r="LRZ17" s="314" t="s">
        <v>203</v>
      </c>
      <c r="LSA17" s="314" t="s">
        <v>203</v>
      </c>
      <c r="LSB17" s="314" t="s">
        <v>203</v>
      </c>
      <c r="LSC17" s="314" t="s">
        <v>203</v>
      </c>
      <c r="LSD17" s="314" t="s">
        <v>203</v>
      </c>
      <c r="LSE17" s="314" t="s">
        <v>203</v>
      </c>
      <c r="LSF17" s="314" t="s">
        <v>203</v>
      </c>
      <c r="LSG17" s="314" t="s">
        <v>203</v>
      </c>
      <c r="LSH17" s="314" t="s">
        <v>203</v>
      </c>
      <c r="LSI17" s="314" t="s">
        <v>203</v>
      </c>
      <c r="LSJ17" s="314" t="s">
        <v>203</v>
      </c>
      <c r="LSK17" s="314" t="s">
        <v>203</v>
      </c>
      <c r="LSL17" s="314" t="s">
        <v>203</v>
      </c>
      <c r="LSM17" s="314" t="s">
        <v>203</v>
      </c>
      <c r="LSN17" s="314" t="s">
        <v>203</v>
      </c>
      <c r="LSO17" s="314" t="s">
        <v>203</v>
      </c>
      <c r="LSP17" s="314" t="s">
        <v>203</v>
      </c>
      <c r="LSQ17" s="314" t="s">
        <v>203</v>
      </c>
      <c r="LSR17" s="314" t="s">
        <v>203</v>
      </c>
      <c r="LSS17" s="314" t="s">
        <v>203</v>
      </c>
      <c r="LST17" s="314" t="s">
        <v>203</v>
      </c>
      <c r="LSU17" s="314" t="s">
        <v>203</v>
      </c>
      <c r="LSV17" s="314" t="s">
        <v>203</v>
      </c>
      <c r="LSW17" s="314" t="s">
        <v>203</v>
      </c>
      <c r="LSX17" s="314" t="s">
        <v>203</v>
      </c>
      <c r="LSY17" s="314" t="s">
        <v>203</v>
      </c>
      <c r="LSZ17" s="314" t="s">
        <v>203</v>
      </c>
      <c r="LTA17" s="314" t="s">
        <v>203</v>
      </c>
      <c r="LTB17" s="314" t="s">
        <v>203</v>
      </c>
      <c r="LTC17" s="314" t="s">
        <v>203</v>
      </c>
      <c r="LTD17" s="314" t="s">
        <v>203</v>
      </c>
      <c r="LTE17" s="314" t="s">
        <v>203</v>
      </c>
      <c r="LTF17" s="314" t="s">
        <v>203</v>
      </c>
      <c r="LTG17" s="314" t="s">
        <v>203</v>
      </c>
      <c r="LTH17" s="314" t="s">
        <v>203</v>
      </c>
      <c r="LTI17" s="314" t="s">
        <v>203</v>
      </c>
      <c r="LTJ17" s="314" t="s">
        <v>203</v>
      </c>
      <c r="LTK17" s="314" t="s">
        <v>203</v>
      </c>
      <c r="LTL17" s="314" t="s">
        <v>203</v>
      </c>
      <c r="LTM17" s="314" t="s">
        <v>203</v>
      </c>
      <c r="LTN17" s="314" t="s">
        <v>203</v>
      </c>
      <c r="LTO17" s="314" t="s">
        <v>203</v>
      </c>
      <c r="LTP17" s="314" t="s">
        <v>203</v>
      </c>
      <c r="LTQ17" s="314" t="s">
        <v>203</v>
      </c>
      <c r="LTR17" s="314" t="s">
        <v>203</v>
      </c>
      <c r="LTS17" s="314" t="s">
        <v>203</v>
      </c>
      <c r="LTT17" s="314" t="s">
        <v>203</v>
      </c>
      <c r="LTU17" s="314" t="s">
        <v>203</v>
      </c>
      <c r="LTV17" s="314" t="s">
        <v>203</v>
      </c>
      <c r="LTW17" s="314" t="s">
        <v>203</v>
      </c>
      <c r="LTX17" s="314" t="s">
        <v>203</v>
      </c>
      <c r="LTY17" s="314" t="s">
        <v>203</v>
      </c>
      <c r="LTZ17" s="314" t="s">
        <v>203</v>
      </c>
      <c r="LUA17" s="314" t="s">
        <v>203</v>
      </c>
      <c r="LUB17" s="314" t="s">
        <v>203</v>
      </c>
      <c r="LUC17" s="314" t="s">
        <v>203</v>
      </c>
      <c r="LUD17" s="314" t="s">
        <v>203</v>
      </c>
      <c r="LUE17" s="314" t="s">
        <v>203</v>
      </c>
      <c r="LUF17" s="314" t="s">
        <v>203</v>
      </c>
      <c r="LUG17" s="314" t="s">
        <v>203</v>
      </c>
      <c r="LUH17" s="314" t="s">
        <v>203</v>
      </c>
      <c r="LUI17" s="314" t="s">
        <v>203</v>
      </c>
      <c r="LUJ17" s="314" t="s">
        <v>203</v>
      </c>
      <c r="LUK17" s="314" t="s">
        <v>203</v>
      </c>
      <c r="LUL17" s="314" t="s">
        <v>203</v>
      </c>
      <c r="LUM17" s="314" t="s">
        <v>203</v>
      </c>
      <c r="LUN17" s="314" t="s">
        <v>203</v>
      </c>
      <c r="LUO17" s="314" t="s">
        <v>203</v>
      </c>
      <c r="LUP17" s="314" t="s">
        <v>203</v>
      </c>
      <c r="LUQ17" s="314" t="s">
        <v>203</v>
      </c>
      <c r="LUR17" s="314" t="s">
        <v>203</v>
      </c>
      <c r="LUS17" s="314" t="s">
        <v>203</v>
      </c>
      <c r="LUT17" s="314" t="s">
        <v>203</v>
      </c>
      <c r="LUU17" s="314" t="s">
        <v>203</v>
      </c>
      <c r="LUV17" s="314" t="s">
        <v>203</v>
      </c>
      <c r="LUW17" s="314" t="s">
        <v>203</v>
      </c>
      <c r="LUX17" s="314" t="s">
        <v>203</v>
      </c>
      <c r="LUY17" s="314" t="s">
        <v>203</v>
      </c>
      <c r="LUZ17" s="314" t="s">
        <v>203</v>
      </c>
      <c r="LVA17" s="314" t="s">
        <v>203</v>
      </c>
      <c r="LVB17" s="314" t="s">
        <v>203</v>
      </c>
      <c r="LVC17" s="314" t="s">
        <v>203</v>
      </c>
      <c r="LVD17" s="314" t="s">
        <v>203</v>
      </c>
      <c r="LVE17" s="314" t="s">
        <v>203</v>
      </c>
      <c r="LVF17" s="314" t="s">
        <v>203</v>
      </c>
      <c r="LVG17" s="314" t="s">
        <v>203</v>
      </c>
      <c r="LVH17" s="314" t="s">
        <v>203</v>
      </c>
      <c r="LVI17" s="314" t="s">
        <v>203</v>
      </c>
      <c r="LVJ17" s="314" t="s">
        <v>203</v>
      </c>
      <c r="LVK17" s="314" t="s">
        <v>203</v>
      </c>
      <c r="LVL17" s="314" t="s">
        <v>203</v>
      </c>
      <c r="LVM17" s="314" t="s">
        <v>203</v>
      </c>
      <c r="LVN17" s="314" t="s">
        <v>203</v>
      </c>
      <c r="LVO17" s="314" t="s">
        <v>203</v>
      </c>
      <c r="LVP17" s="314" t="s">
        <v>203</v>
      </c>
      <c r="LVQ17" s="314" t="s">
        <v>203</v>
      </c>
      <c r="LVR17" s="314" t="s">
        <v>203</v>
      </c>
      <c r="LVS17" s="314" t="s">
        <v>203</v>
      </c>
      <c r="LVT17" s="314" t="s">
        <v>203</v>
      </c>
      <c r="LVU17" s="314" t="s">
        <v>203</v>
      </c>
      <c r="LVV17" s="314" t="s">
        <v>203</v>
      </c>
      <c r="LVW17" s="314" t="s">
        <v>203</v>
      </c>
      <c r="LVX17" s="314" t="s">
        <v>203</v>
      </c>
      <c r="LVY17" s="314" t="s">
        <v>203</v>
      </c>
      <c r="LVZ17" s="314" t="s">
        <v>203</v>
      </c>
      <c r="LWA17" s="314" t="s">
        <v>203</v>
      </c>
      <c r="LWB17" s="314" t="s">
        <v>203</v>
      </c>
      <c r="LWC17" s="314" t="s">
        <v>203</v>
      </c>
      <c r="LWD17" s="314" t="s">
        <v>203</v>
      </c>
      <c r="LWE17" s="314" t="s">
        <v>203</v>
      </c>
      <c r="LWF17" s="314" t="s">
        <v>203</v>
      </c>
      <c r="LWG17" s="314" t="s">
        <v>203</v>
      </c>
      <c r="LWH17" s="314" t="s">
        <v>203</v>
      </c>
      <c r="LWI17" s="314" t="s">
        <v>203</v>
      </c>
      <c r="LWJ17" s="314" t="s">
        <v>203</v>
      </c>
      <c r="LWK17" s="314" t="s">
        <v>203</v>
      </c>
      <c r="LWL17" s="314" t="s">
        <v>203</v>
      </c>
      <c r="LWM17" s="314" t="s">
        <v>203</v>
      </c>
      <c r="LWN17" s="314" t="s">
        <v>203</v>
      </c>
      <c r="LWO17" s="314" t="s">
        <v>203</v>
      </c>
      <c r="LWP17" s="314" t="s">
        <v>203</v>
      </c>
      <c r="LWQ17" s="314" t="s">
        <v>203</v>
      </c>
      <c r="LWR17" s="314" t="s">
        <v>203</v>
      </c>
      <c r="LWS17" s="314" t="s">
        <v>203</v>
      </c>
      <c r="LWT17" s="314" t="s">
        <v>203</v>
      </c>
      <c r="LWU17" s="314" t="s">
        <v>203</v>
      </c>
      <c r="LWV17" s="314" t="s">
        <v>203</v>
      </c>
      <c r="LWW17" s="314" t="s">
        <v>203</v>
      </c>
      <c r="LWX17" s="314" t="s">
        <v>203</v>
      </c>
      <c r="LWY17" s="314" t="s">
        <v>203</v>
      </c>
      <c r="LWZ17" s="314" t="s">
        <v>203</v>
      </c>
      <c r="LXA17" s="314" t="s">
        <v>203</v>
      </c>
      <c r="LXB17" s="314" t="s">
        <v>203</v>
      </c>
      <c r="LXC17" s="314" t="s">
        <v>203</v>
      </c>
      <c r="LXD17" s="314" t="s">
        <v>203</v>
      </c>
      <c r="LXE17" s="314" t="s">
        <v>203</v>
      </c>
      <c r="LXF17" s="314" t="s">
        <v>203</v>
      </c>
      <c r="LXG17" s="314" t="s">
        <v>203</v>
      </c>
      <c r="LXH17" s="314" t="s">
        <v>203</v>
      </c>
      <c r="LXI17" s="314" t="s">
        <v>203</v>
      </c>
      <c r="LXJ17" s="314" t="s">
        <v>203</v>
      </c>
      <c r="LXK17" s="314" t="s">
        <v>203</v>
      </c>
      <c r="LXL17" s="314" t="s">
        <v>203</v>
      </c>
      <c r="LXM17" s="314" t="s">
        <v>203</v>
      </c>
      <c r="LXN17" s="314" t="s">
        <v>203</v>
      </c>
      <c r="LXO17" s="314" t="s">
        <v>203</v>
      </c>
      <c r="LXP17" s="314" t="s">
        <v>203</v>
      </c>
      <c r="LXQ17" s="314" t="s">
        <v>203</v>
      </c>
      <c r="LXR17" s="314" t="s">
        <v>203</v>
      </c>
      <c r="LXS17" s="314" t="s">
        <v>203</v>
      </c>
      <c r="LXT17" s="314" t="s">
        <v>203</v>
      </c>
      <c r="LXU17" s="314" t="s">
        <v>203</v>
      </c>
      <c r="LXV17" s="314" t="s">
        <v>203</v>
      </c>
      <c r="LXW17" s="314" t="s">
        <v>203</v>
      </c>
      <c r="LXX17" s="314" t="s">
        <v>203</v>
      </c>
      <c r="LXY17" s="314" t="s">
        <v>203</v>
      </c>
      <c r="LXZ17" s="314" t="s">
        <v>203</v>
      </c>
      <c r="LYA17" s="314" t="s">
        <v>203</v>
      </c>
      <c r="LYB17" s="314" t="s">
        <v>203</v>
      </c>
      <c r="LYC17" s="314" t="s">
        <v>203</v>
      </c>
      <c r="LYD17" s="314" t="s">
        <v>203</v>
      </c>
      <c r="LYE17" s="314" t="s">
        <v>203</v>
      </c>
      <c r="LYF17" s="314" t="s">
        <v>203</v>
      </c>
      <c r="LYG17" s="314" t="s">
        <v>203</v>
      </c>
      <c r="LYH17" s="314" t="s">
        <v>203</v>
      </c>
      <c r="LYI17" s="314" t="s">
        <v>203</v>
      </c>
      <c r="LYJ17" s="314" t="s">
        <v>203</v>
      </c>
      <c r="LYK17" s="314" t="s">
        <v>203</v>
      </c>
      <c r="LYL17" s="314" t="s">
        <v>203</v>
      </c>
      <c r="LYM17" s="314" t="s">
        <v>203</v>
      </c>
      <c r="LYN17" s="314" t="s">
        <v>203</v>
      </c>
      <c r="LYO17" s="314" t="s">
        <v>203</v>
      </c>
      <c r="LYP17" s="314" t="s">
        <v>203</v>
      </c>
      <c r="LYQ17" s="314" t="s">
        <v>203</v>
      </c>
      <c r="LYR17" s="314" t="s">
        <v>203</v>
      </c>
      <c r="LYS17" s="314" t="s">
        <v>203</v>
      </c>
      <c r="LYT17" s="314" t="s">
        <v>203</v>
      </c>
      <c r="LYU17" s="314" t="s">
        <v>203</v>
      </c>
      <c r="LYV17" s="314" t="s">
        <v>203</v>
      </c>
      <c r="LYW17" s="314" t="s">
        <v>203</v>
      </c>
      <c r="LYX17" s="314" t="s">
        <v>203</v>
      </c>
      <c r="LYY17" s="314" t="s">
        <v>203</v>
      </c>
      <c r="LYZ17" s="314" t="s">
        <v>203</v>
      </c>
      <c r="LZA17" s="314" t="s">
        <v>203</v>
      </c>
      <c r="LZB17" s="314" t="s">
        <v>203</v>
      </c>
      <c r="LZC17" s="314" t="s">
        <v>203</v>
      </c>
      <c r="LZD17" s="314" t="s">
        <v>203</v>
      </c>
      <c r="LZE17" s="314" t="s">
        <v>203</v>
      </c>
      <c r="LZF17" s="314" t="s">
        <v>203</v>
      </c>
      <c r="LZG17" s="314" t="s">
        <v>203</v>
      </c>
      <c r="LZH17" s="314" t="s">
        <v>203</v>
      </c>
      <c r="LZI17" s="314" t="s">
        <v>203</v>
      </c>
      <c r="LZJ17" s="314" t="s">
        <v>203</v>
      </c>
      <c r="LZK17" s="314" t="s">
        <v>203</v>
      </c>
      <c r="LZL17" s="314" t="s">
        <v>203</v>
      </c>
      <c r="LZM17" s="314" t="s">
        <v>203</v>
      </c>
      <c r="LZN17" s="314" t="s">
        <v>203</v>
      </c>
      <c r="LZO17" s="314" t="s">
        <v>203</v>
      </c>
      <c r="LZP17" s="314" t="s">
        <v>203</v>
      </c>
      <c r="LZQ17" s="314" t="s">
        <v>203</v>
      </c>
      <c r="LZR17" s="314" t="s">
        <v>203</v>
      </c>
      <c r="LZS17" s="314" t="s">
        <v>203</v>
      </c>
      <c r="LZT17" s="314" t="s">
        <v>203</v>
      </c>
      <c r="LZU17" s="314" t="s">
        <v>203</v>
      </c>
      <c r="LZV17" s="314" t="s">
        <v>203</v>
      </c>
      <c r="LZW17" s="314" t="s">
        <v>203</v>
      </c>
      <c r="LZX17" s="314" t="s">
        <v>203</v>
      </c>
      <c r="LZY17" s="314" t="s">
        <v>203</v>
      </c>
      <c r="LZZ17" s="314" t="s">
        <v>203</v>
      </c>
      <c r="MAA17" s="314" t="s">
        <v>203</v>
      </c>
      <c r="MAB17" s="314" t="s">
        <v>203</v>
      </c>
      <c r="MAC17" s="314" t="s">
        <v>203</v>
      </c>
      <c r="MAD17" s="314" t="s">
        <v>203</v>
      </c>
      <c r="MAE17" s="314" t="s">
        <v>203</v>
      </c>
      <c r="MAF17" s="314" t="s">
        <v>203</v>
      </c>
      <c r="MAG17" s="314" t="s">
        <v>203</v>
      </c>
      <c r="MAH17" s="314" t="s">
        <v>203</v>
      </c>
      <c r="MAI17" s="314" t="s">
        <v>203</v>
      </c>
      <c r="MAJ17" s="314" t="s">
        <v>203</v>
      </c>
      <c r="MAK17" s="314" t="s">
        <v>203</v>
      </c>
      <c r="MAL17" s="314" t="s">
        <v>203</v>
      </c>
      <c r="MAM17" s="314" t="s">
        <v>203</v>
      </c>
      <c r="MAN17" s="314" t="s">
        <v>203</v>
      </c>
      <c r="MAO17" s="314" t="s">
        <v>203</v>
      </c>
      <c r="MAP17" s="314" t="s">
        <v>203</v>
      </c>
      <c r="MAQ17" s="314" t="s">
        <v>203</v>
      </c>
      <c r="MAR17" s="314" t="s">
        <v>203</v>
      </c>
      <c r="MAS17" s="314" t="s">
        <v>203</v>
      </c>
      <c r="MAT17" s="314" t="s">
        <v>203</v>
      </c>
      <c r="MAU17" s="314" t="s">
        <v>203</v>
      </c>
      <c r="MAV17" s="314" t="s">
        <v>203</v>
      </c>
      <c r="MAW17" s="314" t="s">
        <v>203</v>
      </c>
      <c r="MAX17" s="314" t="s">
        <v>203</v>
      </c>
      <c r="MAY17" s="314" t="s">
        <v>203</v>
      </c>
      <c r="MAZ17" s="314" t="s">
        <v>203</v>
      </c>
      <c r="MBA17" s="314" t="s">
        <v>203</v>
      </c>
      <c r="MBB17" s="314" t="s">
        <v>203</v>
      </c>
      <c r="MBC17" s="314" t="s">
        <v>203</v>
      </c>
      <c r="MBD17" s="314" t="s">
        <v>203</v>
      </c>
      <c r="MBE17" s="314" t="s">
        <v>203</v>
      </c>
      <c r="MBF17" s="314" t="s">
        <v>203</v>
      </c>
      <c r="MBG17" s="314" t="s">
        <v>203</v>
      </c>
      <c r="MBH17" s="314" t="s">
        <v>203</v>
      </c>
      <c r="MBI17" s="314" t="s">
        <v>203</v>
      </c>
      <c r="MBJ17" s="314" t="s">
        <v>203</v>
      </c>
      <c r="MBK17" s="314" t="s">
        <v>203</v>
      </c>
      <c r="MBL17" s="314" t="s">
        <v>203</v>
      </c>
      <c r="MBM17" s="314" t="s">
        <v>203</v>
      </c>
      <c r="MBN17" s="314" t="s">
        <v>203</v>
      </c>
      <c r="MBO17" s="314" t="s">
        <v>203</v>
      </c>
      <c r="MBP17" s="314" t="s">
        <v>203</v>
      </c>
      <c r="MBQ17" s="314" t="s">
        <v>203</v>
      </c>
      <c r="MBR17" s="314" t="s">
        <v>203</v>
      </c>
      <c r="MBS17" s="314" t="s">
        <v>203</v>
      </c>
      <c r="MBT17" s="314" t="s">
        <v>203</v>
      </c>
      <c r="MBU17" s="314" t="s">
        <v>203</v>
      </c>
      <c r="MBV17" s="314" t="s">
        <v>203</v>
      </c>
      <c r="MBW17" s="314" t="s">
        <v>203</v>
      </c>
      <c r="MBX17" s="314" t="s">
        <v>203</v>
      </c>
      <c r="MBY17" s="314" t="s">
        <v>203</v>
      </c>
      <c r="MBZ17" s="314" t="s">
        <v>203</v>
      </c>
      <c r="MCA17" s="314" t="s">
        <v>203</v>
      </c>
      <c r="MCB17" s="314" t="s">
        <v>203</v>
      </c>
      <c r="MCC17" s="314" t="s">
        <v>203</v>
      </c>
      <c r="MCD17" s="314" t="s">
        <v>203</v>
      </c>
      <c r="MCE17" s="314" t="s">
        <v>203</v>
      </c>
      <c r="MCF17" s="314" t="s">
        <v>203</v>
      </c>
      <c r="MCG17" s="314" t="s">
        <v>203</v>
      </c>
      <c r="MCH17" s="314" t="s">
        <v>203</v>
      </c>
      <c r="MCI17" s="314" t="s">
        <v>203</v>
      </c>
      <c r="MCJ17" s="314" t="s">
        <v>203</v>
      </c>
      <c r="MCK17" s="314" t="s">
        <v>203</v>
      </c>
      <c r="MCL17" s="314" t="s">
        <v>203</v>
      </c>
      <c r="MCM17" s="314" t="s">
        <v>203</v>
      </c>
      <c r="MCN17" s="314" t="s">
        <v>203</v>
      </c>
      <c r="MCO17" s="314" t="s">
        <v>203</v>
      </c>
      <c r="MCP17" s="314" t="s">
        <v>203</v>
      </c>
      <c r="MCQ17" s="314" t="s">
        <v>203</v>
      </c>
      <c r="MCR17" s="314" t="s">
        <v>203</v>
      </c>
      <c r="MCS17" s="314" t="s">
        <v>203</v>
      </c>
      <c r="MCT17" s="314" t="s">
        <v>203</v>
      </c>
      <c r="MCU17" s="314" t="s">
        <v>203</v>
      </c>
      <c r="MCV17" s="314" t="s">
        <v>203</v>
      </c>
      <c r="MCW17" s="314" t="s">
        <v>203</v>
      </c>
      <c r="MCX17" s="314" t="s">
        <v>203</v>
      </c>
      <c r="MCY17" s="314" t="s">
        <v>203</v>
      </c>
      <c r="MCZ17" s="314" t="s">
        <v>203</v>
      </c>
      <c r="MDA17" s="314" t="s">
        <v>203</v>
      </c>
      <c r="MDB17" s="314" t="s">
        <v>203</v>
      </c>
      <c r="MDC17" s="314" t="s">
        <v>203</v>
      </c>
      <c r="MDD17" s="314" t="s">
        <v>203</v>
      </c>
      <c r="MDE17" s="314" t="s">
        <v>203</v>
      </c>
      <c r="MDF17" s="314" t="s">
        <v>203</v>
      </c>
      <c r="MDG17" s="314" t="s">
        <v>203</v>
      </c>
      <c r="MDH17" s="314" t="s">
        <v>203</v>
      </c>
      <c r="MDI17" s="314" t="s">
        <v>203</v>
      </c>
      <c r="MDJ17" s="314" t="s">
        <v>203</v>
      </c>
      <c r="MDK17" s="314" t="s">
        <v>203</v>
      </c>
      <c r="MDL17" s="314" t="s">
        <v>203</v>
      </c>
      <c r="MDM17" s="314" t="s">
        <v>203</v>
      </c>
      <c r="MDN17" s="314" t="s">
        <v>203</v>
      </c>
      <c r="MDO17" s="314" t="s">
        <v>203</v>
      </c>
      <c r="MDP17" s="314" t="s">
        <v>203</v>
      </c>
      <c r="MDQ17" s="314" t="s">
        <v>203</v>
      </c>
      <c r="MDR17" s="314" t="s">
        <v>203</v>
      </c>
      <c r="MDS17" s="314" t="s">
        <v>203</v>
      </c>
      <c r="MDT17" s="314" t="s">
        <v>203</v>
      </c>
      <c r="MDU17" s="314" t="s">
        <v>203</v>
      </c>
      <c r="MDV17" s="314" t="s">
        <v>203</v>
      </c>
      <c r="MDW17" s="314" t="s">
        <v>203</v>
      </c>
      <c r="MDX17" s="314" t="s">
        <v>203</v>
      </c>
      <c r="MDY17" s="314" t="s">
        <v>203</v>
      </c>
      <c r="MDZ17" s="314" t="s">
        <v>203</v>
      </c>
      <c r="MEA17" s="314" t="s">
        <v>203</v>
      </c>
      <c r="MEB17" s="314" t="s">
        <v>203</v>
      </c>
      <c r="MEC17" s="314" t="s">
        <v>203</v>
      </c>
      <c r="MED17" s="314" t="s">
        <v>203</v>
      </c>
      <c r="MEE17" s="314" t="s">
        <v>203</v>
      </c>
      <c r="MEF17" s="314" t="s">
        <v>203</v>
      </c>
      <c r="MEG17" s="314" t="s">
        <v>203</v>
      </c>
      <c r="MEH17" s="314" t="s">
        <v>203</v>
      </c>
      <c r="MEI17" s="314" t="s">
        <v>203</v>
      </c>
      <c r="MEJ17" s="314" t="s">
        <v>203</v>
      </c>
      <c r="MEK17" s="314" t="s">
        <v>203</v>
      </c>
      <c r="MEL17" s="314" t="s">
        <v>203</v>
      </c>
      <c r="MEM17" s="314" t="s">
        <v>203</v>
      </c>
      <c r="MEN17" s="314" t="s">
        <v>203</v>
      </c>
      <c r="MEO17" s="314" t="s">
        <v>203</v>
      </c>
      <c r="MEP17" s="314" t="s">
        <v>203</v>
      </c>
      <c r="MEQ17" s="314" t="s">
        <v>203</v>
      </c>
      <c r="MER17" s="314" t="s">
        <v>203</v>
      </c>
      <c r="MES17" s="314" t="s">
        <v>203</v>
      </c>
      <c r="MET17" s="314" t="s">
        <v>203</v>
      </c>
      <c r="MEU17" s="314" t="s">
        <v>203</v>
      </c>
      <c r="MEV17" s="314" t="s">
        <v>203</v>
      </c>
      <c r="MEW17" s="314" t="s">
        <v>203</v>
      </c>
      <c r="MEX17" s="314" t="s">
        <v>203</v>
      </c>
      <c r="MEY17" s="314" t="s">
        <v>203</v>
      </c>
      <c r="MEZ17" s="314" t="s">
        <v>203</v>
      </c>
      <c r="MFA17" s="314" t="s">
        <v>203</v>
      </c>
      <c r="MFB17" s="314" t="s">
        <v>203</v>
      </c>
      <c r="MFC17" s="314" t="s">
        <v>203</v>
      </c>
      <c r="MFD17" s="314" t="s">
        <v>203</v>
      </c>
      <c r="MFE17" s="314" t="s">
        <v>203</v>
      </c>
      <c r="MFF17" s="314" t="s">
        <v>203</v>
      </c>
      <c r="MFG17" s="314" t="s">
        <v>203</v>
      </c>
      <c r="MFH17" s="314" t="s">
        <v>203</v>
      </c>
      <c r="MFI17" s="314" t="s">
        <v>203</v>
      </c>
      <c r="MFJ17" s="314" t="s">
        <v>203</v>
      </c>
      <c r="MFK17" s="314" t="s">
        <v>203</v>
      </c>
      <c r="MFL17" s="314" t="s">
        <v>203</v>
      </c>
      <c r="MFM17" s="314" t="s">
        <v>203</v>
      </c>
      <c r="MFN17" s="314" t="s">
        <v>203</v>
      </c>
      <c r="MFO17" s="314" t="s">
        <v>203</v>
      </c>
      <c r="MFP17" s="314" t="s">
        <v>203</v>
      </c>
      <c r="MFQ17" s="314" t="s">
        <v>203</v>
      </c>
      <c r="MFR17" s="314" t="s">
        <v>203</v>
      </c>
      <c r="MFS17" s="314" t="s">
        <v>203</v>
      </c>
      <c r="MFT17" s="314" t="s">
        <v>203</v>
      </c>
      <c r="MFU17" s="314" t="s">
        <v>203</v>
      </c>
      <c r="MFV17" s="314" t="s">
        <v>203</v>
      </c>
      <c r="MFW17" s="314" t="s">
        <v>203</v>
      </c>
      <c r="MFX17" s="314" t="s">
        <v>203</v>
      </c>
      <c r="MFY17" s="314" t="s">
        <v>203</v>
      </c>
      <c r="MFZ17" s="314" t="s">
        <v>203</v>
      </c>
      <c r="MGA17" s="314" t="s">
        <v>203</v>
      </c>
      <c r="MGB17" s="314" t="s">
        <v>203</v>
      </c>
      <c r="MGC17" s="314" t="s">
        <v>203</v>
      </c>
      <c r="MGD17" s="314" t="s">
        <v>203</v>
      </c>
      <c r="MGE17" s="314" t="s">
        <v>203</v>
      </c>
      <c r="MGF17" s="314" t="s">
        <v>203</v>
      </c>
      <c r="MGG17" s="314" t="s">
        <v>203</v>
      </c>
      <c r="MGH17" s="314" t="s">
        <v>203</v>
      </c>
      <c r="MGI17" s="314" t="s">
        <v>203</v>
      </c>
      <c r="MGJ17" s="314" t="s">
        <v>203</v>
      </c>
      <c r="MGK17" s="314" t="s">
        <v>203</v>
      </c>
      <c r="MGL17" s="314" t="s">
        <v>203</v>
      </c>
      <c r="MGM17" s="314" t="s">
        <v>203</v>
      </c>
      <c r="MGN17" s="314" t="s">
        <v>203</v>
      </c>
      <c r="MGO17" s="314" t="s">
        <v>203</v>
      </c>
      <c r="MGP17" s="314" t="s">
        <v>203</v>
      </c>
      <c r="MGQ17" s="314" t="s">
        <v>203</v>
      </c>
      <c r="MGR17" s="314" t="s">
        <v>203</v>
      </c>
      <c r="MGS17" s="314" t="s">
        <v>203</v>
      </c>
      <c r="MGT17" s="314" t="s">
        <v>203</v>
      </c>
      <c r="MGU17" s="314" t="s">
        <v>203</v>
      </c>
      <c r="MGV17" s="314" t="s">
        <v>203</v>
      </c>
      <c r="MGW17" s="314" t="s">
        <v>203</v>
      </c>
      <c r="MGX17" s="314" t="s">
        <v>203</v>
      </c>
      <c r="MGY17" s="314" t="s">
        <v>203</v>
      </c>
      <c r="MGZ17" s="314" t="s">
        <v>203</v>
      </c>
      <c r="MHA17" s="314" t="s">
        <v>203</v>
      </c>
      <c r="MHB17" s="314" t="s">
        <v>203</v>
      </c>
      <c r="MHC17" s="314" t="s">
        <v>203</v>
      </c>
      <c r="MHD17" s="314" t="s">
        <v>203</v>
      </c>
      <c r="MHE17" s="314" t="s">
        <v>203</v>
      </c>
      <c r="MHF17" s="314" t="s">
        <v>203</v>
      </c>
      <c r="MHG17" s="314" t="s">
        <v>203</v>
      </c>
      <c r="MHH17" s="314" t="s">
        <v>203</v>
      </c>
      <c r="MHI17" s="314" t="s">
        <v>203</v>
      </c>
      <c r="MHJ17" s="314" t="s">
        <v>203</v>
      </c>
      <c r="MHK17" s="314" t="s">
        <v>203</v>
      </c>
      <c r="MHL17" s="314" t="s">
        <v>203</v>
      </c>
      <c r="MHM17" s="314" t="s">
        <v>203</v>
      </c>
      <c r="MHN17" s="314" t="s">
        <v>203</v>
      </c>
      <c r="MHO17" s="314" t="s">
        <v>203</v>
      </c>
      <c r="MHP17" s="314" t="s">
        <v>203</v>
      </c>
      <c r="MHQ17" s="314" t="s">
        <v>203</v>
      </c>
      <c r="MHR17" s="314" t="s">
        <v>203</v>
      </c>
      <c r="MHS17" s="314" t="s">
        <v>203</v>
      </c>
      <c r="MHT17" s="314" t="s">
        <v>203</v>
      </c>
      <c r="MHU17" s="314" t="s">
        <v>203</v>
      </c>
      <c r="MHV17" s="314" t="s">
        <v>203</v>
      </c>
      <c r="MHW17" s="314" t="s">
        <v>203</v>
      </c>
      <c r="MHX17" s="314" t="s">
        <v>203</v>
      </c>
      <c r="MHY17" s="314" t="s">
        <v>203</v>
      </c>
      <c r="MHZ17" s="314" t="s">
        <v>203</v>
      </c>
      <c r="MIA17" s="314" t="s">
        <v>203</v>
      </c>
      <c r="MIB17" s="314" t="s">
        <v>203</v>
      </c>
      <c r="MIC17" s="314" t="s">
        <v>203</v>
      </c>
      <c r="MID17" s="314" t="s">
        <v>203</v>
      </c>
      <c r="MIE17" s="314" t="s">
        <v>203</v>
      </c>
      <c r="MIF17" s="314" t="s">
        <v>203</v>
      </c>
      <c r="MIG17" s="314" t="s">
        <v>203</v>
      </c>
      <c r="MIH17" s="314" t="s">
        <v>203</v>
      </c>
      <c r="MII17" s="314" t="s">
        <v>203</v>
      </c>
      <c r="MIJ17" s="314" t="s">
        <v>203</v>
      </c>
      <c r="MIK17" s="314" t="s">
        <v>203</v>
      </c>
      <c r="MIL17" s="314" t="s">
        <v>203</v>
      </c>
      <c r="MIM17" s="314" t="s">
        <v>203</v>
      </c>
      <c r="MIN17" s="314" t="s">
        <v>203</v>
      </c>
      <c r="MIO17" s="314" t="s">
        <v>203</v>
      </c>
      <c r="MIP17" s="314" t="s">
        <v>203</v>
      </c>
      <c r="MIQ17" s="314" t="s">
        <v>203</v>
      </c>
      <c r="MIR17" s="314" t="s">
        <v>203</v>
      </c>
      <c r="MIS17" s="314" t="s">
        <v>203</v>
      </c>
      <c r="MIT17" s="314" t="s">
        <v>203</v>
      </c>
      <c r="MIU17" s="314" t="s">
        <v>203</v>
      </c>
      <c r="MIV17" s="314" t="s">
        <v>203</v>
      </c>
      <c r="MIW17" s="314" t="s">
        <v>203</v>
      </c>
      <c r="MIX17" s="314" t="s">
        <v>203</v>
      </c>
      <c r="MIY17" s="314" t="s">
        <v>203</v>
      </c>
      <c r="MIZ17" s="314" t="s">
        <v>203</v>
      </c>
      <c r="MJA17" s="314" t="s">
        <v>203</v>
      </c>
      <c r="MJB17" s="314" t="s">
        <v>203</v>
      </c>
      <c r="MJC17" s="314" t="s">
        <v>203</v>
      </c>
      <c r="MJD17" s="314" t="s">
        <v>203</v>
      </c>
      <c r="MJE17" s="314" t="s">
        <v>203</v>
      </c>
      <c r="MJF17" s="314" t="s">
        <v>203</v>
      </c>
      <c r="MJG17" s="314" t="s">
        <v>203</v>
      </c>
      <c r="MJH17" s="314" t="s">
        <v>203</v>
      </c>
      <c r="MJI17" s="314" t="s">
        <v>203</v>
      </c>
      <c r="MJJ17" s="314" t="s">
        <v>203</v>
      </c>
      <c r="MJK17" s="314" t="s">
        <v>203</v>
      </c>
      <c r="MJL17" s="314" t="s">
        <v>203</v>
      </c>
      <c r="MJM17" s="314" t="s">
        <v>203</v>
      </c>
      <c r="MJN17" s="314" t="s">
        <v>203</v>
      </c>
      <c r="MJO17" s="314" t="s">
        <v>203</v>
      </c>
      <c r="MJP17" s="314" t="s">
        <v>203</v>
      </c>
      <c r="MJQ17" s="314" t="s">
        <v>203</v>
      </c>
      <c r="MJR17" s="314" t="s">
        <v>203</v>
      </c>
      <c r="MJS17" s="314" t="s">
        <v>203</v>
      </c>
      <c r="MJT17" s="314" t="s">
        <v>203</v>
      </c>
      <c r="MJU17" s="314" t="s">
        <v>203</v>
      </c>
      <c r="MJV17" s="314" t="s">
        <v>203</v>
      </c>
      <c r="MJW17" s="314" t="s">
        <v>203</v>
      </c>
      <c r="MJX17" s="314" t="s">
        <v>203</v>
      </c>
      <c r="MJY17" s="314" t="s">
        <v>203</v>
      </c>
      <c r="MJZ17" s="314" t="s">
        <v>203</v>
      </c>
      <c r="MKA17" s="314" t="s">
        <v>203</v>
      </c>
      <c r="MKB17" s="314" t="s">
        <v>203</v>
      </c>
      <c r="MKC17" s="314" t="s">
        <v>203</v>
      </c>
      <c r="MKD17" s="314" t="s">
        <v>203</v>
      </c>
      <c r="MKE17" s="314" t="s">
        <v>203</v>
      </c>
      <c r="MKF17" s="314" t="s">
        <v>203</v>
      </c>
      <c r="MKG17" s="314" t="s">
        <v>203</v>
      </c>
      <c r="MKH17" s="314" t="s">
        <v>203</v>
      </c>
      <c r="MKI17" s="314" t="s">
        <v>203</v>
      </c>
      <c r="MKJ17" s="314" t="s">
        <v>203</v>
      </c>
      <c r="MKK17" s="314" t="s">
        <v>203</v>
      </c>
      <c r="MKL17" s="314" t="s">
        <v>203</v>
      </c>
      <c r="MKM17" s="314" t="s">
        <v>203</v>
      </c>
      <c r="MKN17" s="314" t="s">
        <v>203</v>
      </c>
      <c r="MKO17" s="314" t="s">
        <v>203</v>
      </c>
      <c r="MKP17" s="314" t="s">
        <v>203</v>
      </c>
      <c r="MKQ17" s="314" t="s">
        <v>203</v>
      </c>
      <c r="MKR17" s="314" t="s">
        <v>203</v>
      </c>
      <c r="MKS17" s="314" t="s">
        <v>203</v>
      </c>
      <c r="MKT17" s="314" t="s">
        <v>203</v>
      </c>
      <c r="MKU17" s="314" t="s">
        <v>203</v>
      </c>
      <c r="MKV17" s="314" t="s">
        <v>203</v>
      </c>
      <c r="MKW17" s="314" t="s">
        <v>203</v>
      </c>
      <c r="MKX17" s="314" t="s">
        <v>203</v>
      </c>
      <c r="MKY17" s="314" t="s">
        <v>203</v>
      </c>
      <c r="MKZ17" s="314" t="s">
        <v>203</v>
      </c>
      <c r="MLA17" s="314" t="s">
        <v>203</v>
      </c>
      <c r="MLB17" s="314" t="s">
        <v>203</v>
      </c>
      <c r="MLC17" s="314" t="s">
        <v>203</v>
      </c>
      <c r="MLD17" s="314" t="s">
        <v>203</v>
      </c>
      <c r="MLE17" s="314" t="s">
        <v>203</v>
      </c>
      <c r="MLF17" s="314" t="s">
        <v>203</v>
      </c>
      <c r="MLG17" s="314" t="s">
        <v>203</v>
      </c>
      <c r="MLH17" s="314" t="s">
        <v>203</v>
      </c>
      <c r="MLI17" s="314" t="s">
        <v>203</v>
      </c>
      <c r="MLJ17" s="314" t="s">
        <v>203</v>
      </c>
      <c r="MLK17" s="314" t="s">
        <v>203</v>
      </c>
      <c r="MLL17" s="314" t="s">
        <v>203</v>
      </c>
      <c r="MLM17" s="314" t="s">
        <v>203</v>
      </c>
      <c r="MLN17" s="314" t="s">
        <v>203</v>
      </c>
      <c r="MLO17" s="314" t="s">
        <v>203</v>
      </c>
      <c r="MLP17" s="314" t="s">
        <v>203</v>
      </c>
      <c r="MLQ17" s="314" t="s">
        <v>203</v>
      </c>
      <c r="MLR17" s="314" t="s">
        <v>203</v>
      </c>
      <c r="MLS17" s="314" t="s">
        <v>203</v>
      </c>
      <c r="MLT17" s="314" t="s">
        <v>203</v>
      </c>
      <c r="MLU17" s="314" t="s">
        <v>203</v>
      </c>
      <c r="MLV17" s="314" t="s">
        <v>203</v>
      </c>
      <c r="MLW17" s="314" t="s">
        <v>203</v>
      </c>
      <c r="MLX17" s="314" t="s">
        <v>203</v>
      </c>
      <c r="MLY17" s="314" t="s">
        <v>203</v>
      </c>
      <c r="MLZ17" s="314" t="s">
        <v>203</v>
      </c>
      <c r="MMA17" s="314" t="s">
        <v>203</v>
      </c>
      <c r="MMB17" s="314" t="s">
        <v>203</v>
      </c>
      <c r="MMC17" s="314" t="s">
        <v>203</v>
      </c>
      <c r="MMD17" s="314" t="s">
        <v>203</v>
      </c>
      <c r="MME17" s="314" t="s">
        <v>203</v>
      </c>
      <c r="MMF17" s="314" t="s">
        <v>203</v>
      </c>
      <c r="MMG17" s="314" t="s">
        <v>203</v>
      </c>
      <c r="MMH17" s="314" t="s">
        <v>203</v>
      </c>
      <c r="MMI17" s="314" t="s">
        <v>203</v>
      </c>
      <c r="MMJ17" s="314" t="s">
        <v>203</v>
      </c>
      <c r="MMK17" s="314" t="s">
        <v>203</v>
      </c>
      <c r="MML17" s="314" t="s">
        <v>203</v>
      </c>
      <c r="MMM17" s="314" t="s">
        <v>203</v>
      </c>
      <c r="MMN17" s="314" t="s">
        <v>203</v>
      </c>
      <c r="MMO17" s="314" t="s">
        <v>203</v>
      </c>
      <c r="MMP17" s="314" t="s">
        <v>203</v>
      </c>
      <c r="MMQ17" s="314" t="s">
        <v>203</v>
      </c>
      <c r="MMR17" s="314" t="s">
        <v>203</v>
      </c>
      <c r="MMS17" s="314" t="s">
        <v>203</v>
      </c>
      <c r="MMT17" s="314" t="s">
        <v>203</v>
      </c>
      <c r="MMU17" s="314" t="s">
        <v>203</v>
      </c>
      <c r="MMV17" s="314" t="s">
        <v>203</v>
      </c>
      <c r="MMW17" s="314" t="s">
        <v>203</v>
      </c>
      <c r="MMX17" s="314" t="s">
        <v>203</v>
      </c>
      <c r="MMY17" s="314" t="s">
        <v>203</v>
      </c>
      <c r="MMZ17" s="314" t="s">
        <v>203</v>
      </c>
      <c r="MNA17" s="314" t="s">
        <v>203</v>
      </c>
      <c r="MNB17" s="314" t="s">
        <v>203</v>
      </c>
      <c r="MNC17" s="314" t="s">
        <v>203</v>
      </c>
      <c r="MND17" s="314" t="s">
        <v>203</v>
      </c>
      <c r="MNE17" s="314" t="s">
        <v>203</v>
      </c>
      <c r="MNF17" s="314" t="s">
        <v>203</v>
      </c>
      <c r="MNG17" s="314" t="s">
        <v>203</v>
      </c>
      <c r="MNH17" s="314" t="s">
        <v>203</v>
      </c>
      <c r="MNI17" s="314" t="s">
        <v>203</v>
      </c>
      <c r="MNJ17" s="314" t="s">
        <v>203</v>
      </c>
      <c r="MNK17" s="314" t="s">
        <v>203</v>
      </c>
      <c r="MNL17" s="314" t="s">
        <v>203</v>
      </c>
      <c r="MNM17" s="314" t="s">
        <v>203</v>
      </c>
      <c r="MNN17" s="314" t="s">
        <v>203</v>
      </c>
      <c r="MNO17" s="314" t="s">
        <v>203</v>
      </c>
      <c r="MNP17" s="314" t="s">
        <v>203</v>
      </c>
      <c r="MNQ17" s="314" t="s">
        <v>203</v>
      </c>
      <c r="MNR17" s="314" t="s">
        <v>203</v>
      </c>
      <c r="MNS17" s="314" t="s">
        <v>203</v>
      </c>
      <c r="MNT17" s="314" t="s">
        <v>203</v>
      </c>
      <c r="MNU17" s="314" t="s">
        <v>203</v>
      </c>
      <c r="MNV17" s="314" t="s">
        <v>203</v>
      </c>
      <c r="MNW17" s="314" t="s">
        <v>203</v>
      </c>
      <c r="MNX17" s="314" t="s">
        <v>203</v>
      </c>
      <c r="MNY17" s="314" t="s">
        <v>203</v>
      </c>
      <c r="MNZ17" s="314" t="s">
        <v>203</v>
      </c>
      <c r="MOA17" s="314" t="s">
        <v>203</v>
      </c>
      <c r="MOB17" s="314" t="s">
        <v>203</v>
      </c>
      <c r="MOC17" s="314" t="s">
        <v>203</v>
      </c>
      <c r="MOD17" s="314" t="s">
        <v>203</v>
      </c>
      <c r="MOE17" s="314" t="s">
        <v>203</v>
      </c>
      <c r="MOF17" s="314" t="s">
        <v>203</v>
      </c>
      <c r="MOG17" s="314" t="s">
        <v>203</v>
      </c>
      <c r="MOH17" s="314" t="s">
        <v>203</v>
      </c>
      <c r="MOI17" s="314" t="s">
        <v>203</v>
      </c>
      <c r="MOJ17" s="314" t="s">
        <v>203</v>
      </c>
      <c r="MOK17" s="314" t="s">
        <v>203</v>
      </c>
      <c r="MOL17" s="314" t="s">
        <v>203</v>
      </c>
      <c r="MOM17" s="314" t="s">
        <v>203</v>
      </c>
      <c r="MON17" s="314" t="s">
        <v>203</v>
      </c>
      <c r="MOO17" s="314" t="s">
        <v>203</v>
      </c>
      <c r="MOP17" s="314" t="s">
        <v>203</v>
      </c>
      <c r="MOQ17" s="314" t="s">
        <v>203</v>
      </c>
      <c r="MOR17" s="314" t="s">
        <v>203</v>
      </c>
      <c r="MOS17" s="314" t="s">
        <v>203</v>
      </c>
      <c r="MOT17" s="314" t="s">
        <v>203</v>
      </c>
      <c r="MOU17" s="314" t="s">
        <v>203</v>
      </c>
      <c r="MOV17" s="314" t="s">
        <v>203</v>
      </c>
      <c r="MOW17" s="314" t="s">
        <v>203</v>
      </c>
      <c r="MOX17" s="314" t="s">
        <v>203</v>
      </c>
      <c r="MOY17" s="314" t="s">
        <v>203</v>
      </c>
      <c r="MOZ17" s="314" t="s">
        <v>203</v>
      </c>
      <c r="MPA17" s="314" t="s">
        <v>203</v>
      </c>
      <c r="MPB17" s="314" t="s">
        <v>203</v>
      </c>
      <c r="MPC17" s="314" t="s">
        <v>203</v>
      </c>
      <c r="MPD17" s="314" t="s">
        <v>203</v>
      </c>
      <c r="MPE17" s="314" t="s">
        <v>203</v>
      </c>
      <c r="MPF17" s="314" t="s">
        <v>203</v>
      </c>
      <c r="MPG17" s="314" t="s">
        <v>203</v>
      </c>
      <c r="MPH17" s="314" t="s">
        <v>203</v>
      </c>
      <c r="MPI17" s="314" t="s">
        <v>203</v>
      </c>
      <c r="MPJ17" s="314" t="s">
        <v>203</v>
      </c>
      <c r="MPK17" s="314" t="s">
        <v>203</v>
      </c>
      <c r="MPL17" s="314" t="s">
        <v>203</v>
      </c>
      <c r="MPM17" s="314" t="s">
        <v>203</v>
      </c>
      <c r="MPN17" s="314" t="s">
        <v>203</v>
      </c>
      <c r="MPO17" s="314" t="s">
        <v>203</v>
      </c>
      <c r="MPP17" s="314" t="s">
        <v>203</v>
      </c>
      <c r="MPQ17" s="314" t="s">
        <v>203</v>
      </c>
      <c r="MPR17" s="314" t="s">
        <v>203</v>
      </c>
      <c r="MPS17" s="314" t="s">
        <v>203</v>
      </c>
      <c r="MPT17" s="314" t="s">
        <v>203</v>
      </c>
      <c r="MPU17" s="314" t="s">
        <v>203</v>
      </c>
      <c r="MPV17" s="314" t="s">
        <v>203</v>
      </c>
      <c r="MPW17" s="314" t="s">
        <v>203</v>
      </c>
      <c r="MPX17" s="314" t="s">
        <v>203</v>
      </c>
      <c r="MPY17" s="314" t="s">
        <v>203</v>
      </c>
      <c r="MPZ17" s="314" t="s">
        <v>203</v>
      </c>
      <c r="MQA17" s="314" t="s">
        <v>203</v>
      </c>
      <c r="MQB17" s="314" t="s">
        <v>203</v>
      </c>
      <c r="MQC17" s="314" t="s">
        <v>203</v>
      </c>
      <c r="MQD17" s="314" t="s">
        <v>203</v>
      </c>
      <c r="MQE17" s="314" t="s">
        <v>203</v>
      </c>
      <c r="MQF17" s="314" t="s">
        <v>203</v>
      </c>
      <c r="MQG17" s="314" t="s">
        <v>203</v>
      </c>
      <c r="MQH17" s="314" t="s">
        <v>203</v>
      </c>
      <c r="MQI17" s="314" t="s">
        <v>203</v>
      </c>
      <c r="MQJ17" s="314" t="s">
        <v>203</v>
      </c>
      <c r="MQK17" s="314" t="s">
        <v>203</v>
      </c>
      <c r="MQL17" s="314" t="s">
        <v>203</v>
      </c>
      <c r="MQM17" s="314" t="s">
        <v>203</v>
      </c>
      <c r="MQN17" s="314" t="s">
        <v>203</v>
      </c>
      <c r="MQO17" s="314" t="s">
        <v>203</v>
      </c>
      <c r="MQP17" s="314" t="s">
        <v>203</v>
      </c>
      <c r="MQQ17" s="314" t="s">
        <v>203</v>
      </c>
      <c r="MQR17" s="314" t="s">
        <v>203</v>
      </c>
      <c r="MQS17" s="314" t="s">
        <v>203</v>
      </c>
      <c r="MQT17" s="314" t="s">
        <v>203</v>
      </c>
      <c r="MQU17" s="314" t="s">
        <v>203</v>
      </c>
      <c r="MQV17" s="314" t="s">
        <v>203</v>
      </c>
      <c r="MQW17" s="314" t="s">
        <v>203</v>
      </c>
      <c r="MQX17" s="314" t="s">
        <v>203</v>
      </c>
      <c r="MQY17" s="314" t="s">
        <v>203</v>
      </c>
      <c r="MQZ17" s="314" t="s">
        <v>203</v>
      </c>
      <c r="MRA17" s="314" t="s">
        <v>203</v>
      </c>
      <c r="MRB17" s="314" t="s">
        <v>203</v>
      </c>
      <c r="MRC17" s="314" t="s">
        <v>203</v>
      </c>
      <c r="MRD17" s="314" t="s">
        <v>203</v>
      </c>
      <c r="MRE17" s="314" t="s">
        <v>203</v>
      </c>
      <c r="MRF17" s="314" t="s">
        <v>203</v>
      </c>
      <c r="MRG17" s="314" t="s">
        <v>203</v>
      </c>
      <c r="MRH17" s="314" t="s">
        <v>203</v>
      </c>
      <c r="MRI17" s="314" t="s">
        <v>203</v>
      </c>
      <c r="MRJ17" s="314" t="s">
        <v>203</v>
      </c>
      <c r="MRK17" s="314" t="s">
        <v>203</v>
      </c>
      <c r="MRL17" s="314" t="s">
        <v>203</v>
      </c>
      <c r="MRM17" s="314" t="s">
        <v>203</v>
      </c>
      <c r="MRN17" s="314" t="s">
        <v>203</v>
      </c>
      <c r="MRO17" s="314" t="s">
        <v>203</v>
      </c>
      <c r="MRP17" s="314" t="s">
        <v>203</v>
      </c>
      <c r="MRQ17" s="314" t="s">
        <v>203</v>
      </c>
      <c r="MRR17" s="314" t="s">
        <v>203</v>
      </c>
      <c r="MRS17" s="314" t="s">
        <v>203</v>
      </c>
      <c r="MRT17" s="314" t="s">
        <v>203</v>
      </c>
      <c r="MRU17" s="314" t="s">
        <v>203</v>
      </c>
      <c r="MRV17" s="314" t="s">
        <v>203</v>
      </c>
      <c r="MRW17" s="314" t="s">
        <v>203</v>
      </c>
      <c r="MRX17" s="314" t="s">
        <v>203</v>
      </c>
      <c r="MRY17" s="314" t="s">
        <v>203</v>
      </c>
      <c r="MRZ17" s="314" t="s">
        <v>203</v>
      </c>
      <c r="MSA17" s="314" t="s">
        <v>203</v>
      </c>
      <c r="MSB17" s="314" t="s">
        <v>203</v>
      </c>
      <c r="MSC17" s="314" t="s">
        <v>203</v>
      </c>
      <c r="MSD17" s="314" t="s">
        <v>203</v>
      </c>
      <c r="MSE17" s="314" t="s">
        <v>203</v>
      </c>
      <c r="MSF17" s="314" t="s">
        <v>203</v>
      </c>
      <c r="MSG17" s="314" t="s">
        <v>203</v>
      </c>
      <c r="MSH17" s="314" t="s">
        <v>203</v>
      </c>
      <c r="MSI17" s="314" t="s">
        <v>203</v>
      </c>
      <c r="MSJ17" s="314" t="s">
        <v>203</v>
      </c>
      <c r="MSK17" s="314" t="s">
        <v>203</v>
      </c>
      <c r="MSL17" s="314" t="s">
        <v>203</v>
      </c>
      <c r="MSM17" s="314" t="s">
        <v>203</v>
      </c>
      <c r="MSN17" s="314" t="s">
        <v>203</v>
      </c>
      <c r="MSO17" s="314" t="s">
        <v>203</v>
      </c>
      <c r="MSP17" s="314" t="s">
        <v>203</v>
      </c>
      <c r="MSQ17" s="314" t="s">
        <v>203</v>
      </c>
      <c r="MSR17" s="314" t="s">
        <v>203</v>
      </c>
      <c r="MSS17" s="314" t="s">
        <v>203</v>
      </c>
      <c r="MST17" s="314" t="s">
        <v>203</v>
      </c>
      <c r="MSU17" s="314" t="s">
        <v>203</v>
      </c>
      <c r="MSV17" s="314" t="s">
        <v>203</v>
      </c>
      <c r="MSW17" s="314" t="s">
        <v>203</v>
      </c>
      <c r="MSX17" s="314" t="s">
        <v>203</v>
      </c>
      <c r="MSY17" s="314" t="s">
        <v>203</v>
      </c>
      <c r="MSZ17" s="314" t="s">
        <v>203</v>
      </c>
      <c r="MTA17" s="314" t="s">
        <v>203</v>
      </c>
      <c r="MTB17" s="314" t="s">
        <v>203</v>
      </c>
      <c r="MTC17" s="314" t="s">
        <v>203</v>
      </c>
      <c r="MTD17" s="314" t="s">
        <v>203</v>
      </c>
      <c r="MTE17" s="314" t="s">
        <v>203</v>
      </c>
      <c r="MTF17" s="314" t="s">
        <v>203</v>
      </c>
      <c r="MTG17" s="314" t="s">
        <v>203</v>
      </c>
      <c r="MTH17" s="314" t="s">
        <v>203</v>
      </c>
      <c r="MTI17" s="314" t="s">
        <v>203</v>
      </c>
      <c r="MTJ17" s="314" t="s">
        <v>203</v>
      </c>
      <c r="MTK17" s="314" t="s">
        <v>203</v>
      </c>
      <c r="MTL17" s="314" t="s">
        <v>203</v>
      </c>
      <c r="MTM17" s="314" t="s">
        <v>203</v>
      </c>
      <c r="MTN17" s="314" t="s">
        <v>203</v>
      </c>
      <c r="MTO17" s="314" t="s">
        <v>203</v>
      </c>
      <c r="MTP17" s="314" t="s">
        <v>203</v>
      </c>
      <c r="MTQ17" s="314" t="s">
        <v>203</v>
      </c>
      <c r="MTR17" s="314" t="s">
        <v>203</v>
      </c>
      <c r="MTS17" s="314" t="s">
        <v>203</v>
      </c>
      <c r="MTT17" s="314" t="s">
        <v>203</v>
      </c>
      <c r="MTU17" s="314" t="s">
        <v>203</v>
      </c>
      <c r="MTV17" s="314" t="s">
        <v>203</v>
      </c>
      <c r="MTW17" s="314" t="s">
        <v>203</v>
      </c>
      <c r="MTX17" s="314" t="s">
        <v>203</v>
      </c>
      <c r="MTY17" s="314" t="s">
        <v>203</v>
      </c>
      <c r="MTZ17" s="314" t="s">
        <v>203</v>
      </c>
      <c r="MUA17" s="314" t="s">
        <v>203</v>
      </c>
      <c r="MUB17" s="314" t="s">
        <v>203</v>
      </c>
      <c r="MUC17" s="314" t="s">
        <v>203</v>
      </c>
      <c r="MUD17" s="314" t="s">
        <v>203</v>
      </c>
      <c r="MUE17" s="314" t="s">
        <v>203</v>
      </c>
      <c r="MUF17" s="314" t="s">
        <v>203</v>
      </c>
      <c r="MUG17" s="314" t="s">
        <v>203</v>
      </c>
      <c r="MUH17" s="314" t="s">
        <v>203</v>
      </c>
      <c r="MUI17" s="314" t="s">
        <v>203</v>
      </c>
      <c r="MUJ17" s="314" t="s">
        <v>203</v>
      </c>
      <c r="MUK17" s="314" t="s">
        <v>203</v>
      </c>
      <c r="MUL17" s="314" t="s">
        <v>203</v>
      </c>
      <c r="MUM17" s="314" t="s">
        <v>203</v>
      </c>
      <c r="MUN17" s="314" t="s">
        <v>203</v>
      </c>
      <c r="MUO17" s="314" t="s">
        <v>203</v>
      </c>
      <c r="MUP17" s="314" t="s">
        <v>203</v>
      </c>
      <c r="MUQ17" s="314" t="s">
        <v>203</v>
      </c>
      <c r="MUR17" s="314" t="s">
        <v>203</v>
      </c>
      <c r="MUS17" s="314" t="s">
        <v>203</v>
      </c>
      <c r="MUT17" s="314" t="s">
        <v>203</v>
      </c>
      <c r="MUU17" s="314" t="s">
        <v>203</v>
      </c>
      <c r="MUV17" s="314" t="s">
        <v>203</v>
      </c>
      <c r="MUW17" s="314" t="s">
        <v>203</v>
      </c>
      <c r="MUX17" s="314" t="s">
        <v>203</v>
      </c>
      <c r="MUY17" s="314" t="s">
        <v>203</v>
      </c>
      <c r="MUZ17" s="314" t="s">
        <v>203</v>
      </c>
      <c r="MVA17" s="314" t="s">
        <v>203</v>
      </c>
      <c r="MVB17" s="314" t="s">
        <v>203</v>
      </c>
      <c r="MVC17" s="314" t="s">
        <v>203</v>
      </c>
      <c r="MVD17" s="314" t="s">
        <v>203</v>
      </c>
      <c r="MVE17" s="314" t="s">
        <v>203</v>
      </c>
      <c r="MVF17" s="314" t="s">
        <v>203</v>
      </c>
      <c r="MVG17" s="314" t="s">
        <v>203</v>
      </c>
      <c r="MVH17" s="314" t="s">
        <v>203</v>
      </c>
      <c r="MVI17" s="314" t="s">
        <v>203</v>
      </c>
      <c r="MVJ17" s="314" t="s">
        <v>203</v>
      </c>
      <c r="MVK17" s="314" t="s">
        <v>203</v>
      </c>
      <c r="MVL17" s="314" t="s">
        <v>203</v>
      </c>
      <c r="MVM17" s="314" t="s">
        <v>203</v>
      </c>
      <c r="MVN17" s="314" t="s">
        <v>203</v>
      </c>
      <c r="MVO17" s="314" t="s">
        <v>203</v>
      </c>
      <c r="MVP17" s="314" t="s">
        <v>203</v>
      </c>
      <c r="MVQ17" s="314" t="s">
        <v>203</v>
      </c>
      <c r="MVR17" s="314" t="s">
        <v>203</v>
      </c>
      <c r="MVS17" s="314" t="s">
        <v>203</v>
      </c>
      <c r="MVT17" s="314" t="s">
        <v>203</v>
      </c>
      <c r="MVU17" s="314" t="s">
        <v>203</v>
      </c>
      <c r="MVV17" s="314" t="s">
        <v>203</v>
      </c>
      <c r="MVW17" s="314" t="s">
        <v>203</v>
      </c>
      <c r="MVX17" s="314" t="s">
        <v>203</v>
      </c>
      <c r="MVY17" s="314" t="s">
        <v>203</v>
      </c>
      <c r="MVZ17" s="314" t="s">
        <v>203</v>
      </c>
      <c r="MWA17" s="314" t="s">
        <v>203</v>
      </c>
      <c r="MWB17" s="314" t="s">
        <v>203</v>
      </c>
      <c r="MWC17" s="314" t="s">
        <v>203</v>
      </c>
      <c r="MWD17" s="314" t="s">
        <v>203</v>
      </c>
      <c r="MWE17" s="314" t="s">
        <v>203</v>
      </c>
      <c r="MWF17" s="314" t="s">
        <v>203</v>
      </c>
      <c r="MWG17" s="314" t="s">
        <v>203</v>
      </c>
      <c r="MWH17" s="314" t="s">
        <v>203</v>
      </c>
      <c r="MWI17" s="314" t="s">
        <v>203</v>
      </c>
      <c r="MWJ17" s="314" t="s">
        <v>203</v>
      </c>
      <c r="MWK17" s="314" t="s">
        <v>203</v>
      </c>
      <c r="MWL17" s="314" t="s">
        <v>203</v>
      </c>
      <c r="MWM17" s="314" t="s">
        <v>203</v>
      </c>
      <c r="MWN17" s="314" t="s">
        <v>203</v>
      </c>
      <c r="MWO17" s="314" t="s">
        <v>203</v>
      </c>
      <c r="MWP17" s="314" t="s">
        <v>203</v>
      </c>
      <c r="MWQ17" s="314" t="s">
        <v>203</v>
      </c>
      <c r="MWR17" s="314" t="s">
        <v>203</v>
      </c>
      <c r="MWS17" s="314" t="s">
        <v>203</v>
      </c>
      <c r="MWT17" s="314" t="s">
        <v>203</v>
      </c>
      <c r="MWU17" s="314" t="s">
        <v>203</v>
      </c>
      <c r="MWV17" s="314" t="s">
        <v>203</v>
      </c>
      <c r="MWW17" s="314" t="s">
        <v>203</v>
      </c>
      <c r="MWX17" s="314" t="s">
        <v>203</v>
      </c>
      <c r="MWY17" s="314" t="s">
        <v>203</v>
      </c>
      <c r="MWZ17" s="314" t="s">
        <v>203</v>
      </c>
      <c r="MXA17" s="314" t="s">
        <v>203</v>
      </c>
      <c r="MXB17" s="314" t="s">
        <v>203</v>
      </c>
      <c r="MXC17" s="314" t="s">
        <v>203</v>
      </c>
      <c r="MXD17" s="314" t="s">
        <v>203</v>
      </c>
      <c r="MXE17" s="314" t="s">
        <v>203</v>
      </c>
      <c r="MXF17" s="314" t="s">
        <v>203</v>
      </c>
      <c r="MXG17" s="314" t="s">
        <v>203</v>
      </c>
      <c r="MXH17" s="314" t="s">
        <v>203</v>
      </c>
      <c r="MXI17" s="314" t="s">
        <v>203</v>
      </c>
      <c r="MXJ17" s="314" t="s">
        <v>203</v>
      </c>
      <c r="MXK17" s="314" t="s">
        <v>203</v>
      </c>
      <c r="MXL17" s="314" t="s">
        <v>203</v>
      </c>
      <c r="MXM17" s="314" t="s">
        <v>203</v>
      </c>
      <c r="MXN17" s="314" t="s">
        <v>203</v>
      </c>
      <c r="MXO17" s="314" t="s">
        <v>203</v>
      </c>
      <c r="MXP17" s="314" t="s">
        <v>203</v>
      </c>
      <c r="MXQ17" s="314" t="s">
        <v>203</v>
      </c>
      <c r="MXR17" s="314" t="s">
        <v>203</v>
      </c>
      <c r="MXS17" s="314" t="s">
        <v>203</v>
      </c>
      <c r="MXT17" s="314" t="s">
        <v>203</v>
      </c>
      <c r="MXU17" s="314" t="s">
        <v>203</v>
      </c>
      <c r="MXV17" s="314" t="s">
        <v>203</v>
      </c>
      <c r="MXW17" s="314" t="s">
        <v>203</v>
      </c>
      <c r="MXX17" s="314" t="s">
        <v>203</v>
      </c>
      <c r="MXY17" s="314" t="s">
        <v>203</v>
      </c>
      <c r="MXZ17" s="314" t="s">
        <v>203</v>
      </c>
      <c r="MYA17" s="314" t="s">
        <v>203</v>
      </c>
      <c r="MYB17" s="314" t="s">
        <v>203</v>
      </c>
      <c r="MYC17" s="314" t="s">
        <v>203</v>
      </c>
      <c r="MYD17" s="314" t="s">
        <v>203</v>
      </c>
      <c r="MYE17" s="314" t="s">
        <v>203</v>
      </c>
      <c r="MYF17" s="314" t="s">
        <v>203</v>
      </c>
      <c r="MYG17" s="314" t="s">
        <v>203</v>
      </c>
      <c r="MYH17" s="314" t="s">
        <v>203</v>
      </c>
      <c r="MYI17" s="314" t="s">
        <v>203</v>
      </c>
      <c r="MYJ17" s="314" t="s">
        <v>203</v>
      </c>
      <c r="MYK17" s="314" t="s">
        <v>203</v>
      </c>
      <c r="MYL17" s="314" t="s">
        <v>203</v>
      </c>
      <c r="MYM17" s="314" t="s">
        <v>203</v>
      </c>
      <c r="MYN17" s="314" t="s">
        <v>203</v>
      </c>
      <c r="MYO17" s="314" t="s">
        <v>203</v>
      </c>
      <c r="MYP17" s="314" t="s">
        <v>203</v>
      </c>
      <c r="MYQ17" s="314" t="s">
        <v>203</v>
      </c>
      <c r="MYR17" s="314" t="s">
        <v>203</v>
      </c>
      <c r="MYS17" s="314" t="s">
        <v>203</v>
      </c>
      <c r="MYT17" s="314" t="s">
        <v>203</v>
      </c>
      <c r="MYU17" s="314" t="s">
        <v>203</v>
      </c>
      <c r="MYV17" s="314" t="s">
        <v>203</v>
      </c>
      <c r="MYW17" s="314" t="s">
        <v>203</v>
      </c>
      <c r="MYX17" s="314" t="s">
        <v>203</v>
      </c>
      <c r="MYY17" s="314" t="s">
        <v>203</v>
      </c>
      <c r="MYZ17" s="314" t="s">
        <v>203</v>
      </c>
      <c r="MZA17" s="314" t="s">
        <v>203</v>
      </c>
      <c r="MZB17" s="314" t="s">
        <v>203</v>
      </c>
      <c r="MZC17" s="314" t="s">
        <v>203</v>
      </c>
      <c r="MZD17" s="314" t="s">
        <v>203</v>
      </c>
      <c r="MZE17" s="314" t="s">
        <v>203</v>
      </c>
      <c r="MZF17" s="314" t="s">
        <v>203</v>
      </c>
      <c r="MZG17" s="314" t="s">
        <v>203</v>
      </c>
      <c r="MZH17" s="314" t="s">
        <v>203</v>
      </c>
      <c r="MZI17" s="314" t="s">
        <v>203</v>
      </c>
      <c r="MZJ17" s="314" t="s">
        <v>203</v>
      </c>
      <c r="MZK17" s="314" t="s">
        <v>203</v>
      </c>
      <c r="MZL17" s="314" t="s">
        <v>203</v>
      </c>
      <c r="MZM17" s="314" t="s">
        <v>203</v>
      </c>
      <c r="MZN17" s="314" t="s">
        <v>203</v>
      </c>
      <c r="MZO17" s="314" t="s">
        <v>203</v>
      </c>
      <c r="MZP17" s="314" t="s">
        <v>203</v>
      </c>
      <c r="MZQ17" s="314" t="s">
        <v>203</v>
      </c>
      <c r="MZR17" s="314" t="s">
        <v>203</v>
      </c>
      <c r="MZS17" s="314" t="s">
        <v>203</v>
      </c>
      <c r="MZT17" s="314" t="s">
        <v>203</v>
      </c>
      <c r="MZU17" s="314" t="s">
        <v>203</v>
      </c>
      <c r="MZV17" s="314" t="s">
        <v>203</v>
      </c>
      <c r="MZW17" s="314" t="s">
        <v>203</v>
      </c>
      <c r="MZX17" s="314" t="s">
        <v>203</v>
      </c>
      <c r="MZY17" s="314" t="s">
        <v>203</v>
      </c>
      <c r="MZZ17" s="314" t="s">
        <v>203</v>
      </c>
      <c r="NAA17" s="314" t="s">
        <v>203</v>
      </c>
      <c r="NAB17" s="314" t="s">
        <v>203</v>
      </c>
      <c r="NAC17" s="314" t="s">
        <v>203</v>
      </c>
      <c r="NAD17" s="314" t="s">
        <v>203</v>
      </c>
      <c r="NAE17" s="314" t="s">
        <v>203</v>
      </c>
      <c r="NAF17" s="314" t="s">
        <v>203</v>
      </c>
      <c r="NAG17" s="314" t="s">
        <v>203</v>
      </c>
      <c r="NAH17" s="314" t="s">
        <v>203</v>
      </c>
      <c r="NAI17" s="314" t="s">
        <v>203</v>
      </c>
      <c r="NAJ17" s="314" t="s">
        <v>203</v>
      </c>
      <c r="NAK17" s="314" t="s">
        <v>203</v>
      </c>
      <c r="NAL17" s="314" t="s">
        <v>203</v>
      </c>
      <c r="NAM17" s="314" t="s">
        <v>203</v>
      </c>
      <c r="NAN17" s="314" t="s">
        <v>203</v>
      </c>
      <c r="NAO17" s="314" t="s">
        <v>203</v>
      </c>
      <c r="NAP17" s="314" t="s">
        <v>203</v>
      </c>
      <c r="NAQ17" s="314" t="s">
        <v>203</v>
      </c>
      <c r="NAR17" s="314" t="s">
        <v>203</v>
      </c>
      <c r="NAS17" s="314" t="s">
        <v>203</v>
      </c>
      <c r="NAT17" s="314" t="s">
        <v>203</v>
      </c>
      <c r="NAU17" s="314" t="s">
        <v>203</v>
      </c>
      <c r="NAV17" s="314" t="s">
        <v>203</v>
      </c>
      <c r="NAW17" s="314" t="s">
        <v>203</v>
      </c>
      <c r="NAX17" s="314" t="s">
        <v>203</v>
      </c>
      <c r="NAY17" s="314" t="s">
        <v>203</v>
      </c>
      <c r="NAZ17" s="314" t="s">
        <v>203</v>
      </c>
      <c r="NBA17" s="314" t="s">
        <v>203</v>
      </c>
      <c r="NBB17" s="314" t="s">
        <v>203</v>
      </c>
      <c r="NBC17" s="314" t="s">
        <v>203</v>
      </c>
      <c r="NBD17" s="314" t="s">
        <v>203</v>
      </c>
      <c r="NBE17" s="314" t="s">
        <v>203</v>
      </c>
      <c r="NBF17" s="314" t="s">
        <v>203</v>
      </c>
      <c r="NBG17" s="314" t="s">
        <v>203</v>
      </c>
      <c r="NBH17" s="314" t="s">
        <v>203</v>
      </c>
      <c r="NBI17" s="314" t="s">
        <v>203</v>
      </c>
      <c r="NBJ17" s="314" t="s">
        <v>203</v>
      </c>
      <c r="NBK17" s="314" t="s">
        <v>203</v>
      </c>
      <c r="NBL17" s="314" t="s">
        <v>203</v>
      </c>
      <c r="NBM17" s="314" t="s">
        <v>203</v>
      </c>
      <c r="NBN17" s="314" t="s">
        <v>203</v>
      </c>
      <c r="NBO17" s="314" t="s">
        <v>203</v>
      </c>
      <c r="NBP17" s="314" t="s">
        <v>203</v>
      </c>
      <c r="NBQ17" s="314" t="s">
        <v>203</v>
      </c>
      <c r="NBR17" s="314" t="s">
        <v>203</v>
      </c>
      <c r="NBS17" s="314" t="s">
        <v>203</v>
      </c>
      <c r="NBT17" s="314" t="s">
        <v>203</v>
      </c>
      <c r="NBU17" s="314" t="s">
        <v>203</v>
      </c>
      <c r="NBV17" s="314" t="s">
        <v>203</v>
      </c>
      <c r="NBW17" s="314" t="s">
        <v>203</v>
      </c>
      <c r="NBX17" s="314" t="s">
        <v>203</v>
      </c>
      <c r="NBY17" s="314" t="s">
        <v>203</v>
      </c>
      <c r="NBZ17" s="314" t="s">
        <v>203</v>
      </c>
      <c r="NCA17" s="314" t="s">
        <v>203</v>
      </c>
      <c r="NCB17" s="314" t="s">
        <v>203</v>
      </c>
      <c r="NCC17" s="314" t="s">
        <v>203</v>
      </c>
      <c r="NCD17" s="314" t="s">
        <v>203</v>
      </c>
      <c r="NCE17" s="314" t="s">
        <v>203</v>
      </c>
      <c r="NCF17" s="314" t="s">
        <v>203</v>
      </c>
      <c r="NCG17" s="314" t="s">
        <v>203</v>
      </c>
      <c r="NCH17" s="314" t="s">
        <v>203</v>
      </c>
      <c r="NCI17" s="314" t="s">
        <v>203</v>
      </c>
      <c r="NCJ17" s="314" t="s">
        <v>203</v>
      </c>
      <c r="NCK17" s="314" t="s">
        <v>203</v>
      </c>
      <c r="NCL17" s="314" t="s">
        <v>203</v>
      </c>
      <c r="NCM17" s="314" t="s">
        <v>203</v>
      </c>
      <c r="NCN17" s="314" t="s">
        <v>203</v>
      </c>
      <c r="NCO17" s="314" t="s">
        <v>203</v>
      </c>
      <c r="NCP17" s="314" t="s">
        <v>203</v>
      </c>
      <c r="NCQ17" s="314" t="s">
        <v>203</v>
      </c>
      <c r="NCR17" s="314" t="s">
        <v>203</v>
      </c>
      <c r="NCS17" s="314" t="s">
        <v>203</v>
      </c>
      <c r="NCT17" s="314" t="s">
        <v>203</v>
      </c>
      <c r="NCU17" s="314" t="s">
        <v>203</v>
      </c>
      <c r="NCV17" s="314" t="s">
        <v>203</v>
      </c>
      <c r="NCW17" s="314" t="s">
        <v>203</v>
      </c>
      <c r="NCX17" s="314" t="s">
        <v>203</v>
      </c>
      <c r="NCY17" s="314" t="s">
        <v>203</v>
      </c>
      <c r="NCZ17" s="314" t="s">
        <v>203</v>
      </c>
      <c r="NDA17" s="314" t="s">
        <v>203</v>
      </c>
      <c r="NDB17" s="314" t="s">
        <v>203</v>
      </c>
      <c r="NDC17" s="314" t="s">
        <v>203</v>
      </c>
      <c r="NDD17" s="314" t="s">
        <v>203</v>
      </c>
      <c r="NDE17" s="314" t="s">
        <v>203</v>
      </c>
      <c r="NDF17" s="314" t="s">
        <v>203</v>
      </c>
      <c r="NDG17" s="314" t="s">
        <v>203</v>
      </c>
      <c r="NDH17" s="314" t="s">
        <v>203</v>
      </c>
      <c r="NDI17" s="314" t="s">
        <v>203</v>
      </c>
      <c r="NDJ17" s="314" t="s">
        <v>203</v>
      </c>
      <c r="NDK17" s="314" t="s">
        <v>203</v>
      </c>
      <c r="NDL17" s="314" t="s">
        <v>203</v>
      </c>
      <c r="NDM17" s="314" t="s">
        <v>203</v>
      </c>
      <c r="NDN17" s="314" t="s">
        <v>203</v>
      </c>
      <c r="NDO17" s="314" t="s">
        <v>203</v>
      </c>
      <c r="NDP17" s="314" t="s">
        <v>203</v>
      </c>
      <c r="NDQ17" s="314" t="s">
        <v>203</v>
      </c>
      <c r="NDR17" s="314" t="s">
        <v>203</v>
      </c>
      <c r="NDS17" s="314" t="s">
        <v>203</v>
      </c>
      <c r="NDT17" s="314" t="s">
        <v>203</v>
      </c>
      <c r="NDU17" s="314" t="s">
        <v>203</v>
      </c>
      <c r="NDV17" s="314" t="s">
        <v>203</v>
      </c>
      <c r="NDW17" s="314" t="s">
        <v>203</v>
      </c>
      <c r="NDX17" s="314" t="s">
        <v>203</v>
      </c>
      <c r="NDY17" s="314" t="s">
        <v>203</v>
      </c>
      <c r="NDZ17" s="314" t="s">
        <v>203</v>
      </c>
      <c r="NEA17" s="314" t="s">
        <v>203</v>
      </c>
      <c r="NEB17" s="314" t="s">
        <v>203</v>
      </c>
      <c r="NEC17" s="314" t="s">
        <v>203</v>
      </c>
      <c r="NED17" s="314" t="s">
        <v>203</v>
      </c>
      <c r="NEE17" s="314" t="s">
        <v>203</v>
      </c>
      <c r="NEF17" s="314" t="s">
        <v>203</v>
      </c>
      <c r="NEG17" s="314" t="s">
        <v>203</v>
      </c>
      <c r="NEH17" s="314" t="s">
        <v>203</v>
      </c>
      <c r="NEI17" s="314" t="s">
        <v>203</v>
      </c>
      <c r="NEJ17" s="314" t="s">
        <v>203</v>
      </c>
      <c r="NEK17" s="314" t="s">
        <v>203</v>
      </c>
      <c r="NEL17" s="314" t="s">
        <v>203</v>
      </c>
      <c r="NEM17" s="314" t="s">
        <v>203</v>
      </c>
      <c r="NEN17" s="314" t="s">
        <v>203</v>
      </c>
      <c r="NEO17" s="314" t="s">
        <v>203</v>
      </c>
      <c r="NEP17" s="314" t="s">
        <v>203</v>
      </c>
      <c r="NEQ17" s="314" t="s">
        <v>203</v>
      </c>
      <c r="NER17" s="314" t="s">
        <v>203</v>
      </c>
      <c r="NES17" s="314" t="s">
        <v>203</v>
      </c>
      <c r="NET17" s="314" t="s">
        <v>203</v>
      </c>
      <c r="NEU17" s="314" t="s">
        <v>203</v>
      </c>
      <c r="NEV17" s="314" t="s">
        <v>203</v>
      </c>
      <c r="NEW17" s="314" t="s">
        <v>203</v>
      </c>
      <c r="NEX17" s="314" t="s">
        <v>203</v>
      </c>
      <c r="NEY17" s="314" t="s">
        <v>203</v>
      </c>
      <c r="NEZ17" s="314" t="s">
        <v>203</v>
      </c>
      <c r="NFA17" s="314" t="s">
        <v>203</v>
      </c>
      <c r="NFB17" s="314" t="s">
        <v>203</v>
      </c>
      <c r="NFC17" s="314" t="s">
        <v>203</v>
      </c>
      <c r="NFD17" s="314" t="s">
        <v>203</v>
      </c>
      <c r="NFE17" s="314" t="s">
        <v>203</v>
      </c>
      <c r="NFF17" s="314" t="s">
        <v>203</v>
      </c>
      <c r="NFG17" s="314" t="s">
        <v>203</v>
      </c>
      <c r="NFH17" s="314" t="s">
        <v>203</v>
      </c>
      <c r="NFI17" s="314" t="s">
        <v>203</v>
      </c>
      <c r="NFJ17" s="314" t="s">
        <v>203</v>
      </c>
      <c r="NFK17" s="314" t="s">
        <v>203</v>
      </c>
      <c r="NFL17" s="314" t="s">
        <v>203</v>
      </c>
      <c r="NFM17" s="314" t="s">
        <v>203</v>
      </c>
      <c r="NFN17" s="314" t="s">
        <v>203</v>
      </c>
      <c r="NFO17" s="314" t="s">
        <v>203</v>
      </c>
      <c r="NFP17" s="314" t="s">
        <v>203</v>
      </c>
      <c r="NFQ17" s="314" t="s">
        <v>203</v>
      </c>
      <c r="NFR17" s="314" t="s">
        <v>203</v>
      </c>
      <c r="NFS17" s="314" t="s">
        <v>203</v>
      </c>
      <c r="NFT17" s="314" t="s">
        <v>203</v>
      </c>
      <c r="NFU17" s="314" t="s">
        <v>203</v>
      </c>
      <c r="NFV17" s="314" t="s">
        <v>203</v>
      </c>
      <c r="NFW17" s="314" t="s">
        <v>203</v>
      </c>
      <c r="NFX17" s="314" t="s">
        <v>203</v>
      </c>
      <c r="NFY17" s="314" t="s">
        <v>203</v>
      </c>
      <c r="NFZ17" s="314" t="s">
        <v>203</v>
      </c>
      <c r="NGA17" s="314" t="s">
        <v>203</v>
      </c>
      <c r="NGB17" s="314" t="s">
        <v>203</v>
      </c>
      <c r="NGC17" s="314" t="s">
        <v>203</v>
      </c>
      <c r="NGD17" s="314" t="s">
        <v>203</v>
      </c>
      <c r="NGE17" s="314" t="s">
        <v>203</v>
      </c>
      <c r="NGF17" s="314" t="s">
        <v>203</v>
      </c>
      <c r="NGG17" s="314" t="s">
        <v>203</v>
      </c>
      <c r="NGH17" s="314" t="s">
        <v>203</v>
      </c>
      <c r="NGI17" s="314" t="s">
        <v>203</v>
      </c>
      <c r="NGJ17" s="314" t="s">
        <v>203</v>
      </c>
      <c r="NGK17" s="314" t="s">
        <v>203</v>
      </c>
      <c r="NGL17" s="314" t="s">
        <v>203</v>
      </c>
      <c r="NGM17" s="314" t="s">
        <v>203</v>
      </c>
      <c r="NGN17" s="314" t="s">
        <v>203</v>
      </c>
      <c r="NGO17" s="314" t="s">
        <v>203</v>
      </c>
      <c r="NGP17" s="314" t="s">
        <v>203</v>
      </c>
      <c r="NGQ17" s="314" t="s">
        <v>203</v>
      </c>
      <c r="NGR17" s="314" t="s">
        <v>203</v>
      </c>
      <c r="NGS17" s="314" t="s">
        <v>203</v>
      </c>
      <c r="NGT17" s="314" t="s">
        <v>203</v>
      </c>
      <c r="NGU17" s="314" t="s">
        <v>203</v>
      </c>
      <c r="NGV17" s="314" t="s">
        <v>203</v>
      </c>
      <c r="NGW17" s="314" t="s">
        <v>203</v>
      </c>
      <c r="NGX17" s="314" t="s">
        <v>203</v>
      </c>
      <c r="NGY17" s="314" t="s">
        <v>203</v>
      </c>
      <c r="NGZ17" s="314" t="s">
        <v>203</v>
      </c>
      <c r="NHA17" s="314" t="s">
        <v>203</v>
      </c>
      <c r="NHB17" s="314" t="s">
        <v>203</v>
      </c>
      <c r="NHC17" s="314" t="s">
        <v>203</v>
      </c>
      <c r="NHD17" s="314" t="s">
        <v>203</v>
      </c>
      <c r="NHE17" s="314" t="s">
        <v>203</v>
      </c>
      <c r="NHF17" s="314" t="s">
        <v>203</v>
      </c>
      <c r="NHG17" s="314" t="s">
        <v>203</v>
      </c>
      <c r="NHH17" s="314" t="s">
        <v>203</v>
      </c>
      <c r="NHI17" s="314" t="s">
        <v>203</v>
      </c>
      <c r="NHJ17" s="314" t="s">
        <v>203</v>
      </c>
      <c r="NHK17" s="314" t="s">
        <v>203</v>
      </c>
      <c r="NHL17" s="314" t="s">
        <v>203</v>
      </c>
      <c r="NHM17" s="314" t="s">
        <v>203</v>
      </c>
      <c r="NHN17" s="314" t="s">
        <v>203</v>
      </c>
      <c r="NHO17" s="314" t="s">
        <v>203</v>
      </c>
      <c r="NHP17" s="314" t="s">
        <v>203</v>
      </c>
      <c r="NHQ17" s="314" t="s">
        <v>203</v>
      </c>
      <c r="NHR17" s="314" t="s">
        <v>203</v>
      </c>
      <c r="NHS17" s="314" t="s">
        <v>203</v>
      </c>
      <c r="NHT17" s="314" t="s">
        <v>203</v>
      </c>
      <c r="NHU17" s="314" t="s">
        <v>203</v>
      </c>
      <c r="NHV17" s="314" t="s">
        <v>203</v>
      </c>
      <c r="NHW17" s="314" t="s">
        <v>203</v>
      </c>
      <c r="NHX17" s="314" t="s">
        <v>203</v>
      </c>
      <c r="NHY17" s="314" t="s">
        <v>203</v>
      </c>
      <c r="NHZ17" s="314" t="s">
        <v>203</v>
      </c>
      <c r="NIA17" s="314" t="s">
        <v>203</v>
      </c>
      <c r="NIB17" s="314" t="s">
        <v>203</v>
      </c>
      <c r="NIC17" s="314" t="s">
        <v>203</v>
      </c>
      <c r="NID17" s="314" t="s">
        <v>203</v>
      </c>
      <c r="NIE17" s="314" t="s">
        <v>203</v>
      </c>
      <c r="NIF17" s="314" t="s">
        <v>203</v>
      </c>
      <c r="NIG17" s="314" t="s">
        <v>203</v>
      </c>
      <c r="NIH17" s="314" t="s">
        <v>203</v>
      </c>
      <c r="NII17" s="314" t="s">
        <v>203</v>
      </c>
      <c r="NIJ17" s="314" t="s">
        <v>203</v>
      </c>
      <c r="NIK17" s="314" t="s">
        <v>203</v>
      </c>
      <c r="NIL17" s="314" t="s">
        <v>203</v>
      </c>
      <c r="NIM17" s="314" t="s">
        <v>203</v>
      </c>
      <c r="NIN17" s="314" t="s">
        <v>203</v>
      </c>
      <c r="NIO17" s="314" t="s">
        <v>203</v>
      </c>
      <c r="NIP17" s="314" t="s">
        <v>203</v>
      </c>
      <c r="NIQ17" s="314" t="s">
        <v>203</v>
      </c>
      <c r="NIR17" s="314" t="s">
        <v>203</v>
      </c>
      <c r="NIS17" s="314" t="s">
        <v>203</v>
      </c>
      <c r="NIT17" s="314" t="s">
        <v>203</v>
      </c>
      <c r="NIU17" s="314" t="s">
        <v>203</v>
      </c>
      <c r="NIV17" s="314" t="s">
        <v>203</v>
      </c>
      <c r="NIW17" s="314" t="s">
        <v>203</v>
      </c>
      <c r="NIX17" s="314" t="s">
        <v>203</v>
      </c>
      <c r="NIY17" s="314" t="s">
        <v>203</v>
      </c>
      <c r="NIZ17" s="314" t="s">
        <v>203</v>
      </c>
      <c r="NJA17" s="314" t="s">
        <v>203</v>
      </c>
      <c r="NJB17" s="314" t="s">
        <v>203</v>
      </c>
      <c r="NJC17" s="314" t="s">
        <v>203</v>
      </c>
      <c r="NJD17" s="314" t="s">
        <v>203</v>
      </c>
      <c r="NJE17" s="314" t="s">
        <v>203</v>
      </c>
      <c r="NJF17" s="314" t="s">
        <v>203</v>
      </c>
      <c r="NJG17" s="314" t="s">
        <v>203</v>
      </c>
      <c r="NJH17" s="314" t="s">
        <v>203</v>
      </c>
      <c r="NJI17" s="314" t="s">
        <v>203</v>
      </c>
      <c r="NJJ17" s="314" t="s">
        <v>203</v>
      </c>
      <c r="NJK17" s="314" t="s">
        <v>203</v>
      </c>
      <c r="NJL17" s="314" t="s">
        <v>203</v>
      </c>
      <c r="NJM17" s="314" t="s">
        <v>203</v>
      </c>
      <c r="NJN17" s="314" t="s">
        <v>203</v>
      </c>
      <c r="NJO17" s="314" t="s">
        <v>203</v>
      </c>
      <c r="NJP17" s="314" t="s">
        <v>203</v>
      </c>
      <c r="NJQ17" s="314" t="s">
        <v>203</v>
      </c>
      <c r="NJR17" s="314" t="s">
        <v>203</v>
      </c>
      <c r="NJS17" s="314" t="s">
        <v>203</v>
      </c>
      <c r="NJT17" s="314" t="s">
        <v>203</v>
      </c>
      <c r="NJU17" s="314" t="s">
        <v>203</v>
      </c>
      <c r="NJV17" s="314" t="s">
        <v>203</v>
      </c>
      <c r="NJW17" s="314" t="s">
        <v>203</v>
      </c>
      <c r="NJX17" s="314" t="s">
        <v>203</v>
      </c>
      <c r="NJY17" s="314" t="s">
        <v>203</v>
      </c>
      <c r="NJZ17" s="314" t="s">
        <v>203</v>
      </c>
      <c r="NKA17" s="314" t="s">
        <v>203</v>
      </c>
      <c r="NKB17" s="314" t="s">
        <v>203</v>
      </c>
      <c r="NKC17" s="314" t="s">
        <v>203</v>
      </c>
      <c r="NKD17" s="314" t="s">
        <v>203</v>
      </c>
      <c r="NKE17" s="314" t="s">
        <v>203</v>
      </c>
      <c r="NKF17" s="314" t="s">
        <v>203</v>
      </c>
      <c r="NKG17" s="314" t="s">
        <v>203</v>
      </c>
      <c r="NKH17" s="314" t="s">
        <v>203</v>
      </c>
      <c r="NKI17" s="314" t="s">
        <v>203</v>
      </c>
      <c r="NKJ17" s="314" t="s">
        <v>203</v>
      </c>
      <c r="NKK17" s="314" t="s">
        <v>203</v>
      </c>
      <c r="NKL17" s="314" t="s">
        <v>203</v>
      </c>
      <c r="NKM17" s="314" t="s">
        <v>203</v>
      </c>
      <c r="NKN17" s="314" t="s">
        <v>203</v>
      </c>
      <c r="NKO17" s="314" t="s">
        <v>203</v>
      </c>
      <c r="NKP17" s="314" t="s">
        <v>203</v>
      </c>
      <c r="NKQ17" s="314" t="s">
        <v>203</v>
      </c>
      <c r="NKR17" s="314" t="s">
        <v>203</v>
      </c>
      <c r="NKS17" s="314" t="s">
        <v>203</v>
      </c>
      <c r="NKT17" s="314" t="s">
        <v>203</v>
      </c>
      <c r="NKU17" s="314" t="s">
        <v>203</v>
      </c>
      <c r="NKV17" s="314" t="s">
        <v>203</v>
      </c>
      <c r="NKW17" s="314" t="s">
        <v>203</v>
      </c>
      <c r="NKX17" s="314" t="s">
        <v>203</v>
      </c>
      <c r="NKY17" s="314" t="s">
        <v>203</v>
      </c>
      <c r="NKZ17" s="314" t="s">
        <v>203</v>
      </c>
      <c r="NLA17" s="314" t="s">
        <v>203</v>
      </c>
      <c r="NLB17" s="314" t="s">
        <v>203</v>
      </c>
      <c r="NLC17" s="314" t="s">
        <v>203</v>
      </c>
      <c r="NLD17" s="314" t="s">
        <v>203</v>
      </c>
      <c r="NLE17" s="314" t="s">
        <v>203</v>
      </c>
      <c r="NLF17" s="314" t="s">
        <v>203</v>
      </c>
      <c r="NLG17" s="314" t="s">
        <v>203</v>
      </c>
      <c r="NLH17" s="314" t="s">
        <v>203</v>
      </c>
      <c r="NLI17" s="314" t="s">
        <v>203</v>
      </c>
      <c r="NLJ17" s="314" t="s">
        <v>203</v>
      </c>
      <c r="NLK17" s="314" t="s">
        <v>203</v>
      </c>
      <c r="NLL17" s="314" t="s">
        <v>203</v>
      </c>
      <c r="NLM17" s="314" t="s">
        <v>203</v>
      </c>
      <c r="NLN17" s="314" t="s">
        <v>203</v>
      </c>
      <c r="NLO17" s="314" t="s">
        <v>203</v>
      </c>
      <c r="NLP17" s="314" t="s">
        <v>203</v>
      </c>
      <c r="NLQ17" s="314" t="s">
        <v>203</v>
      </c>
      <c r="NLR17" s="314" t="s">
        <v>203</v>
      </c>
      <c r="NLS17" s="314" t="s">
        <v>203</v>
      </c>
      <c r="NLT17" s="314" t="s">
        <v>203</v>
      </c>
      <c r="NLU17" s="314" t="s">
        <v>203</v>
      </c>
      <c r="NLV17" s="314" t="s">
        <v>203</v>
      </c>
      <c r="NLW17" s="314" t="s">
        <v>203</v>
      </c>
      <c r="NLX17" s="314" t="s">
        <v>203</v>
      </c>
      <c r="NLY17" s="314" t="s">
        <v>203</v>
      </c>
      <c r="NLZ17" s="314" t="s">
        <v>203</v>
      </c>
      <c r="NMA17" s="314" t="s">
        <v>203</v>
      </c>
      <c r="NMB17" s="314" t="s">
        <v>203</v>
      </c>
      <c r="NMC17" s="314" t="s">
        <v>203</v>
      </c>
      <c r="NMD17" s="314" t="s">
        <v>203</v>
      </c>
      <c r="NME17" s="314" t="s">
        <v>203</v>
      </c>
      <c r="NMF17" s="314" t="s">
        <v>203</v>
      </c>
      <c r="NMG17" s="314" t="s">
        <v>203</v>
      </c>
      <c r="NMH17" s="314" t="s">
        <v>203</v>
      </c>
      <c r="NMI17" s="314" t="s">
        <v>203</v>
      </c>
      <c r="NMJ17" s="314" t="s">
        <v>203</v>
      </c>
      <c r="NMK17" s="314" t="s">
        <v>203</v>
      </c>
      <c r="NML17" s="314" t="s">
        <v>203</v>
      </c>
      <c r="NMM17" s="314" t="s">
        <v>203</v>
      </c>
      <c r="NMN17" s="314" t="s">
        <v>203</v>
      </c>
      <c r="NMO17" s="314" t="s">
        <v>203</v>
      </c>
      <c r="NMP17" s="314" t="s">
        <v>203</v>
      </c>
      <c r="NMQ17" s="314" t="s">
        <v>203</v>
      </c>
      <c r="NMR17" s="314" t="s">
        <v>203</v>
      </c>
      <c r="NMS17" s="314" t="s">
        <v>203</v>
      </c>
      <c r="NMT17" s="314" t="s">
        <v>203</v>
      </c>
      <c r="NMU17" s="314" t="s">
        <v>203</v>
      </c>
      <c r="NMV17" s="314" t="s">
        <v>203</v>
      </c>
      <c r="NMW17" s="314" t="s">
        <v>203</v>
      </c>
      <c r="NMX17" s="314" t="s">
        <v>203</v>
      </c>
      <c r="NMY17" s="314" t="s">
        <v>203</v>
      </c>
      <c r="NMZ17" s="314" t="s">
        <v>203</v>
      </c>
      <c r="NNA17" s="314" t="s">
        <v>203</v>
      </c>
      <c r="NNB17" s="314" t="s">
        <v>203</v>
      </c>
      <c r="NNC17" s="314" t="s">
        <v>203</v>
      </c>
      <c r="NND17" s="314" t="s">
        <v>203</v>
      </c>
      <c r="NNE17" s="314" t="s">
        <v>203</v>
      </c>
      <c r="NNF17" s="314" t="s">
        <v>203</v>
      </c>
      <c r="NNG17" s="314" t="s">
        <v>203</v>
      </c>
      <c r="NNH17" s="314" t="s">
        <v>203</v>
      </c>
      <c r="NNI17" s="314" t="s">
        <v>203</v>
      </c>
      <c r="NNJ17" s="314" t="s">
        <v>203</v>
      </c>
      <c r="NNK17" s="314" t="s">
        <v>203</v>
      </c>
      <c r="NNL17" s="314" t="s">
        <v>203</v>
      </c>
      <c r="NNM17" s="314" t="s">
        <v>203</v>
      </c>
      <c r="NNN17" s="314" t="s">
        <v>203</v>
      </c>
      <c r="NNO17" s="314" t="s">
        <v>203</v>
      </c>
      <c r="NNP17" s="314" t="s">
        <v>203</v>
      </c>
      <c r="NNQ17" s="314" t="s">
        <v>203</v>
      </c>
      <c r="NNR17" s="314" t="s">
        <v>203</v>
      </c>
      <c r="NNS17" s="314" t="s">
        <v>203</v>
      </c>
      <c r="NNT17" s="314" t="s">
        <v>203</v>
      </c>
      <c r="NNU17" s="314" t="s">
        <v>203</v>
      </c>
      <c r="NNV17" s="314" t="s">
        <v>203</v>
      </c>
      <c r="NNW17" s="314" t="s">
        <v>203</v>
      </c>
      <c r="NNX17" s="314" t="s">
        <v>203</v>
      </c>
      <c r="NNY17" s="314" t="s">
        <v>203</v>
      </c>
      <c r="NNZ17" s="314" t="s">
        <v>203</v>
      </c>
      <c r="NOA17" s="314" t="s">
        <v>203</v>
      </c>
      <c r="NOB17" s="314" t="s">
        <v>203</v>
      </c>
      <c r="NOC17" s="314" t="s">
        <v>203</v>
      </c>
      <c r="NOD17" s="314" t="s">
        <v>203</v>
      </c>
      <c r="NOE17" s="314" t="s">
        <v>203</v>
      </c>
      <c r="NOF17" s="314" t="s">
        <v>203</v>
      </c>
      <c r="NOG17" s="314" t="s">
        <v>203</v>
      </c>
      <c r="NOH17" s="314" t="s">
        <v>203</v>
      </c>
      <c r="NOI17" s="314" t="s">
        <v>203</v>
      </c>
      <c r="NOJ17" s="314" t="s">
        <v>203</v>
      </c>
      <c r="NOK17" s="314" t="s">
        <v>203</v>
      </c>
      <c r="NOL17" s="314" t="s">
        <v>203</v>
      </c>
      <c r="NOM17" s="314" t="s">
        <v>203</v>
      </c>
      <c r="NON17" s="314" t="s">
        <v>203</v>
      </c>
      <c r="NOO17" s="314" t="s">
        <v>203</v>
      </c>
      <c r="NOP17" s="314" t="s">
        <v>203</v>
      </c>
      <c r="NOQ17" s="314" t="s">
        <v>203</v>
      </c>
      <c r="NOR17" s="314" t="s">
        <v>203</v>
      </c>
      <c r="NOS17" s="314" t="s">
        <v>203</v>
      </c>
      <c r="NOT17" s="314" t="s">
        <v>203</v>
      </c>
      <c r="NOU17" s="314" t="s">
        <v>203</v>
      </c>
      <c r="NOV17" s="314" t="s">
        <v>203</v>
      </c>
      <c r="NOW17" s="314" t="s">
        <v>203</v>
      </c>
      <c r="NOX17" s="314" t="s">
        <v>203</v>
      </c>
      <c r="NOY17" s="314" t="s">
        <v>203</v>
      </c>
      <c r="NOZ17" s="314" t="s">
        <v>203</v>
      </c>
      <c r="NPA17" s="314" t="s">
        <v>203</v>
      </c>
      <c r="NPB17" s="314" t="s">
        <v>203</v>
      </c>
      <c r="NPC17" s="314" t="s">
        <v>203</v>
      </c>
      <c r="NPD17" s="314" t="s">
        <v>203</v>
      </c>
      <c r="NPE17" s="314" t="s">
        <v>203</v>
      </c>
      <c r="NPF17" s="314" t="s">
        <v>203</v>
      </c>
      <c r="NPG17" s="314" t="s">
        <v>203</v>
      </c>
      <c r="NPH17" s="314" t="s">
        <v>203</v>
      </c>
      <c r="NPI17" s="314" t="s">
        <v>203</v>
      </c>
      <c r="NPJ17" s="314" t="s">
        <v>203</v>
      </c>
      <c r="NPK17" s="314" t="s">
        <v>203</v>
      </c>
      <c r="NPL17" s="314" t="s">
        <v>203</v>
      </c>
      <c r="NPM17" s="314" t="s">
        <v>203</v>
      </c>
      <c r="NPN17" s="314" t="s">
        <v>203</v>
      </c>
      <c r="NPO17" s="314" t="s">
        <v>203</v>
      </c>
      <c r="NPP17" s="314" t="s">
        <v>203</v>
      </c>
      <c r="NPQ17" s="314" t="s">
        <v>203</v>
      </c>
      <c r="NPR17" s="314" t="s">
        <v>203</v>
      </c>
      <c r="NPS17" s="314" t="s">
        <v>203</v>
      </c>
      <c r="NPT17" s="314" t="s">
        <v>203</v>
      </c>
      <c r="NPU17" s="314" t="s">
        <v>203</v>
      </c>
      <c r="NPV17" s="314" t="s">
        <v>203</v>
      </c>
      <c r="NPW17" s="314" t="s">
        <v>203</v>
      </c>
      <c r="NPX17" s="314" t="s">
        <v>203</v>
      </c>
      <c r="NPY17" s="314" t="s">
        <v>203</v>
      </c>
      <c r="NPZ17" s="314" t="s">
        <v>203</v>
      </c>
      <c r="NQA17" s="314" t="s">
        <v>203</v>
      </c>
      <c r="NQB17" s="314" t="s">
        <v>203</v>
      </c>
      <c r="NQC17" s="314" t="s">
        <v>203</v>
      </c>
      <c r="NQD17" s="314" t="s">
        <v>203</v>
      </c>
      <c r="NQE17" s="314" t="s">
        <v>203</v>
      </c>
      <c r="NQF17" s="314" t="s">
        <v>203</v>
      </c>
      <c r="NQG17" s="314" t="s">
        <v>203</v>
      </c>
      <c r="NQH17" s="314" t="s">
        <v>203</v>
      </c>
      <c r="NQI17" s="314" t="s">
        <v>203</v>
      </c>
      <c r="NQJ17" s="314" t="s">
        <v>203</v>
      </c>
      <c r="NQK17" s="314" t="s">
        <v>203</v>
      </c>
      <c r="NQL17" s="314" t="s">
        <v>203</v>
      </c>
      <c r="NQM17" s="314" t="s">
        <v>203</v>
      </c>
      <c r="NQN17" s="314" t="s">
        <v>203</v>
      </c>
      <c r="NQO17" s="314" t="s">
        <v>203</v>
      </c>
      <c r="NQP17" s="314" t="s">
        <v>203</v>
      </c>
      <c r="NQQ17" s="314" t="s">
        <v>203</v>
      </c>
      <c r="NQR17" s="314" t="s">
        <v>203</v>
      </c>
      <c r="NQS17" s="314" t="s">
        <v>203</v>
      </c>
      <c r="NQT17" s="314" t="s">
        <v>203</v>
      </c>
      <c r="NQU17" s="314" t="s">
        <v>203</v>
      </c>
      <c r="NQV17" s="314" t="s">
        <v>203</v>
      </c>
      <c r="NQW17" s="314" t="s">
        <v>203</v>
      </c>
      <c r="NQX17" s="314" t="s">
        <v>203</v>
      </c>
      <c r="NQY17" s="314" t="s">
        <v>203</v>
      </c>
      <c r="NQZ17" s="314" t="s">
        <v>203</v>
      </c>
      <c r="NRA17" s="314" t="s">
        <v>203</v>
      </c>
      <c r="NRB17" s="314" t="s">
        <v>203</v>
      </c>
      <c r="NRC17" s="314" t="s">
        <v>203</v>
      </c>
      <c r="NRD17" s="314" t="s">
        <v>203</v>
      </c>
      <c r="NRE17" s="314" t="s">
        <v>203</v>
      </c>
      <c r="NRF17" s="314" t="s">
        <v>203</v>
      </c>
      <c r="NRG17" s="314" t="s">
        <v>203</v>
      </c>
      <c r="NRH17" s="314" t="s">
        <v>203</v>
      </c>
      <c r="NRI17" s="314" t="s">
        <v>203</v>
      </c>
      <c r="NRJ17" s="314" t="s">
        <v>203</v>
      </c>
      <c r="NRK17" s="314" t="s">
        <v>203</v>
      </c>
      <c r="NRL17" s="314" t="s">
        <v>203</v>
      </c>
      <c r="NRM17" s="314" t="s">
        <v>203</v>
      </c>
      <c r="NRN17" s="314" t="s">
        <v>203</v>
      </c>
      <c r="NRO17" s="314" t="s">
        <v>203</v>
      </c>
      <c r="NRP17" s="314" t="s">
        <v>203</v>
      </c>
      <c r="NRQ17" s="314" t="s">
        <v>203</v>
      </c>
      <c r="NRR17" s="314" t="s">
        <v>203</v>
      </c>
      <c r="NRS17" s="314" t="s">
        <v>203</v>
      </c>
      <c r="NRT17" s="314" t="s">
        <v>203</v>
      </c>
      <c r="NRU17" s="314" t="s">
        <v>203</v>
      </c>
      <c r="NRV17" s="314" t="s">
        <v>203</v>
      </c>
      <c r="NRW17" s="314" t="s">
        <v>203</v>
      </c>
      <c r="NRX17" s="314" t="s">
        <v>203</v>
      </c>
      <c r="NRY17" s="314" t="s">
        <v>203</v>
      </c>
      <c r="NRZ17" s="314" t="s">
        <v>203</v>
      </c>
      <c r="NSA17" s="314" t="s">
        <v>203</v>
      </c>
      <c r="NSB17" s="314" t="s">
        <v>203</v>
      </c>
      <c r="NSC17" s="314" t="s">
        <v>203</v>
      </c>
      <c r="NSD17" s="314" t="s">
        <v>203</v>
      </c>
      <c r="NSE17" s="314" t="s">
        <v>203</v>
      </c>
      <c r="NSF17" s="314" t="s">
        <v>203</v>
      </c>
      <c r="NSG17" s="314" t="s">
        <v>203</v>
      </c>
      <c r="NSH17" s="314" t="s">
        <v>203</v>
      </c>
      <c r="NSI17" s="314" t="s">
        <v>203</v>
      </c>
      <c r="NSJ17" s="314" t="s">
        <v>203</v>
      </c>
      <c r="NSK17" s="314" t="s">
        <v>203</v>
      </c>
      <c r="NSL17" s="314" t="s">
        <v>203</v>
      </c>
      <c r="NSM17" s="314" t="s">
        <v>203</v>
      </c>
      <c r="NSN17" s="314" t="s">
        <v>203</v>
      </c>
      <c r="NSO17" s="314" t="s">
        <v>203</v>
      </c>
      <c r="NSP17" s="314" t="s">
        <v>203</v>
      </c>
      <c r="NSQ17" s="314" t="s">
        <v>203</v>
      </c>
      <c r="NSR17" s="314" t="s">
        <v>203</v>
      </c>
      <c r="NSS17" s="314" t="s">
        <v>203</v>
      </c>
      <c r="NST17" s="314" t="s">
        <v>203</v>
      </c>
      <c r="NSU17" s="314" t="s">
        <v>203</v>
      </c>
      <c r="NSV17" s="314" t="s">
        <v>203</v>
      </c>
      <c r="NSW17" s="314" t="s">
        <v>203</v>
      </c>
      <c r="NSX17" s="314" t="s">
        <v>203</v>
      </c>
      <c r="NSY17" s="314" t="s">
        <v>203</v>
      </c>
      <c r="NSZ17" s="314" t="s">
        <v>203</v>
      </c>
      <c r="NTA17" s="314" t="s">
        <v>203</v>
      </c>
      <c r="NTB17" s="314" t="s">
        <v>203</v>
      </c>
      <c r="NTC17" s="314" t="s">
        <v>203</v>
      </c>
      <c r="NTD17" s="314" t="s">
        <v>203</v>
      </c>
      <c r="NTE17" s="314" t="s">
        <v>203</v>
      </c>
      <c r="NTF17" s="314" t="s">
        <v>203</v>
      </c>
      <c r="NTG17" s="314" t="s">
        <v>203</v>
      </c>
      <c r="NTH17" s="314" t="s">
        <v>203</v>
      </c>
      <c r="NTI17" s="314" t="s">
        <v>203</v>
      </c>
      <c r="NTJ17" s="314" t="s">
        <v>203</v>
      </c>
      <c r="NTK17" s="314" t="s">
        <v>203</v>
      </c>
      <c r="NTL17" s="314" t="s">
        <v>203</v>
      </c>
      <c r="NTM17" s="314" t="s">
        <v>203</v>
      </c>
      <c r="NTN17" s="314" t="s">
        <v>203</v>
      </c>
      <c r="NTO17" s="314" t="s">
        <v>203</v>
      </c>
      <c r="NTP17" s="314" t="s">
        <v>203</v>
      </c>
      <c r="NTQ17" s="314" t="s">
        <v>203</v>
      </c>
      <c r="NTR17" s="314" t="s">
        <v>203</v>
      </c>
      <c r="NTS17" s="314" t="s">
        <v>203</v>
      </c>
      <c r="NTT17" s="314" t="s">
        <v>203</v>
      </c>
      <c r="NTU17" s="314" t="s">
        <v>203</v>
      </c>
      <c r="NTV17" s="314" t="s">
        <v>203</v>
      </c>
      <c r="NTW17" s="314" t="s">
        <v>203</v>
      </c>
      <c r="NTX17" s="314" t="s">
        <v>203</v>
      </c>
      <c r="NTY17" s="314" t="s">
        <v>203</v>
      </c>
      <c r="NTZ17" s="314" t="s">
        <v>203</v>
      </c>
      <c r="NUA17" s="314" t="s">
        <v>203</v>
      </c>
      <c r="NUB17" s="314" t="s">
        <v>203</v>
      </c>
      <c r="NUC17" s="314" t="s">
        <v>203</v>
      </c>
      <c r="NUD17" s="314" t="s">
        <v>203</v>
      </c>
      <c r="NUE17" s="314" t="s">
        <v>203</v>
      </c>
      <c r="NUF17" s="314" t="s">
        <v>203</v>
      </c>
      <c r="NUG17" s="314" t="s">
        <v>203</v>
      </c>
      <c r="NUH17" s="314" t="s">
        <v>203</v>
      </c>
      <c r="NUI17" s="314" t="s">
        <v>203</v>
      </c>
      <c r="NUJ17" s="314" t="s">
        <v>203</v>
      </c>
      <c r="NUK17" s="314" t="s">
        <v>203</v>
      </c>
      <c r="NUL17" s="314" t="s">
        <v>203</v>
      </c>
      <c r="NUM17" s="314" t="s">
        <v>203</v>
      </c>
      <c r="NUN17" s="314" t="s">
        <v>203</v>
      </c>
      <c r="NUO17" s="314" t="s">
        <v>203</v>
      </c>
      <c r="NUP17" s="314" t="s">
        <v>203</v>
      </c>
      <c r="NUQ17" s="314" t="s">
        <v>203</v>
      </c>
      <c r="NUR17" s="314" t="s">
        <v>203</v>
      </c>
      <c r="NUS17" s="314" t="s">
        <v>203</v>
      </c>
      <c r="NUT17" s="314" t="s">
        <v>203</v>
      </c>
      <c r="NUU17" s="314" t="s">
        <v>203</v>
      </c>
      <c r="NUV17" s="314" t="s">
        <v>203</v>
      </c>
      <c r="NUW17" s="314" t="s">
        <v>203</v>
      </c>
      <c r="NUX17" s="314" t="s">
        <v>203</v>
      </c>
      <c r="NUY17" s="314" t="s">
        <v>203</v>
      </c>
      <c r="NUZ17" s="314" t="s">
        <v>203</v>
      </c>
      <c r="NVA17" s="314" t="s">
        <v>203</v>
      </c>
      <c r="NVB17" s="314" t="s">
        <v>203</v>
      </c>
      <c r="NVC17" s="314" t="s">
        <v>203</v>
      </c>
      <c r="NVD17" s="314" t="s">
        <v>203</v>
      </c>
      <c r="NVE17" s="314" t="s">
        <v>203</v>
      </c>
      <c r="NVF17" s="314" t="s">
        <v>203</v>
      </c>
      <c r="NVG17" s="314" t="s">
        <v>203</v>
      </c>
      <c r="NVH17" s="314" t="s">
        <v>203</v>
      </c>
      <c r="NVI17" s="314" t="s">
        <v>203</v>
      </c>
      <c r="NVJ17" s="314" t="s">
        <v>203</v>
      </c>
      <c r="NVK17" s="314" t="s">
        <v>203</v>
      </c>
      <c r="NVL17" s="314" t="s">
        <v>203</v>
      </c>
      <c r="NVM17" s="314" t="s">
        <v>203</v>
      </c>
      <c r="NVN17" s="314" t="s">
        <v>203</v>
      </c>
      <c r="NVO17" s="314" t="s">
        <v>203</v>
      </c>
      <c r="NVP17" s="314" t="s">
        <v>203</v>
      </c>
      <c r="NVQ17" s="314" t="s">
        <v>203</v>
      </c>
      <c r="NVR17" s="314" t="s">
        <v>203</v>
      </c>
      <c r="NVS17" s="314" t="s">
        <v>203</v>
      </c>
      <c r="NVT17" s="314" t="s">
        <v>203</v>
      </c>
      <c r="NVU17" s="314" t="s">
        <v>203</v>
      </c>
      <c r="NVV17" s="314" t="s">
        <v>203</v>
      </c>
      <c r="NVW17" s="314" t="s">
        <v>203</v>
      </c>
      <c r="NVX17" s="314" t="s">
        <v>203</v>
      </c>
      <c r="NVY17" s="314" t="s">
        <v>203</v>
      </c>
      <c r="NVZ17" s="314" t="s">
        <v>203</v>
      </c>
      <c r="NWA17" s="314" t="s">
        <v>203</v>
      </c>
      <c r="NWB17" s="314" t="s">
        <v>203</v>
      </c>
      <c r="NWC17" s="314" t="s">
        <v>203</v>
      </c>
      <c r="NWD17" s="314" t="s">
        <v>203</v>
      </c>
      <c r="NWE17" s="314" t="s">
        <v>203</v>
      </c>
      <c r="NWF17" s="314" t="s">
        <v>203</v>
      </c>
      <c r="NWG17" s="314" t="s">
        <v>203</v>
      </c>
      <c r="NWH17" s="314" t="s">
        <v>203</v>
      </c>
      <c r="NWI17" s="314" t="s">
        <v>203</v>
      </c>
      <c r="NWJ17" s="314" t="s">
        <v>203</v>
      </c>
      <c r="NWK17" s="314" t="s">
        <v>203</v>
      </c>
      <c r="NWL17" s="314" t="s">
        <v>203</v>
      </c>
      <c r="NWM17" s="314" t="s">
        <v>203</v>
      </c>
      <c r="NWN17" s="314" t="s">
        <v>203</v>
      </c>
      <c r="NWO17" s="314" t="s">
        <v>203</v>
      </c>
      <c r="NWP17" s="314" t="s">
        <v>203</v>
      </c>
      <c r="NWQ17" s="314" t="s">
        <v>203</v>
      </c>
      <c r="NWR17" s="314" t="s">
        <v>203</v>
      </c>
      <c r="NWS17" s="314" t="s">
        <v>203</v>
      </c>
      <c r="NWT17" s="314" t="s">
        <v>203</v>
      </c>
      <c r="NWU17" s="314" t="s">
        <v>203</v>
      </c>
      <c r="NWV17" s="314" t="s">
        <v>203</v>
      </c>
      <c r="NWW17" s="314" t="s">
        <v>203</v>
      </c>
      <c r="NWX17" s="314" t="s">
        <v>203</v>
      </c>
      <c r="NWY17" s="314" t="s">
        <v>203</v>
      </c>
      <c r="NWZ17" s="314" t="s">
        <v>203</v>
      </c>
      <c r="NXA17" s="314" t="s">
        <v>203</v>
      </c>
      <c r="NXB17" s="314" t="s">
        <v>203</v>
      </c>
      <c r="NXC17" s="314" t="s">
        <v>203</v>
      </c>
      <c r="NXD17" s="314" t="s">
        <v>203</v>
      </c>
      <c r="NXE17" s="314" t="s">
        <v>203</v>
      </c>
      <c r="NXF17" s="314" t="s">
        <v>203</v>
      </c>
      <c r="NXG17" s="314" t="s">
        <v>203</v>
      </c>
      <c r="NXH17" s="314" t="s">
        <v>203</v>
      </c>
      <c r="NXI17" s="314" t="s">
        <v>203</v>
      </c>
      <c r="NXJ17" s="314" t="s">
        <v>203</v>
      </c>
      <c r="NXK17" s="314" t="s">
        <v>203</v>
      </c>
      <c r="NXL17" s="314" t="s">
        <v>203</v>
      </c>
      <c r="NXM17" s="314" t="s">
        <v>203</v>
      </c>
      <c r="NXN17" s="314" t="s">
        <v>203</v>
      </c>
      <c r="NXO17" s="314" t="s">
        <v>203</v>
      </c>
      <c r="NXP17" s="314" t="s">
        <v>203</v>
      </c>
      <c r="NXQ17" s="314" t="s">
        <v>203</v>
      </c>
      <c r="NXR17" s="314" t="s">
        <v>203</v>
      </c>
      <c r="NXS17" s="314" t="s">
        <v>203</v>
      </c>
      <c r="NXT17" s="314" t="s">
        <v>203</v>
      </c>
      <c r="NXU17" s="314" t="s">
        <v>203</v>
      </c>
      <c r="NXV17" s="314" t="s">
        <v>203</v>
      </c>
      <c r="NXW17" s="314" t="s">
        <v>203</v>
      </c>
      <c r="NXX17" s="314" t="s">
        <v>203</v>
      </c>
      <c r="NXY17" s="314" t="s">
        <v>203</v>
      </c>
      <c r="NXZ17" s="314" t="s">
        <v>203</v>
      </c>
      <c r="NYA17" s="314" t="s">
        <v>203</v>
      </c>
      <c r="NYB17" s="314" t="s">
        <v>203</v>
      </c>
      <c r="NYC17" s="314" t="s">
        <v>203</v>
      </c>
      <c r="NYD17" s="314" t="s">
        <v>203</v>
      </c>
      <c r="NYE17" s="314" t="s">
        <v>203</v>
      </c>
      <c r="NYF17" s="314" t="s">
        <v>203</v>
      </c>
      <c r="NYG17" s="314" t="s">
        <v>203</v>
      </c>
      <c r="NYH17" s="314" t="s">
        <v>203</v>
      </c>
      <c r="NYI17" s="314" t="s">
        <v>203</v>
      </c>
      <c r="NYJ17" s="314" t="s">
        <v>203</v>
      </c>
      <c r="NYK17" s="314" t="s">
        <v>203</v>
      </c>
      <c r="NYL17" s="314" t="s">
        <v>203</v>
      </c>
      <c r="NYM17" s="314" t="s">
        <v>203</v>
      </c>
      <c r="NYN17" s="314" t="s">
        <v>203</v>
      </c>
      <c r="NYO17" s="314" t="s">
        <v>203</v>
      </c>
      <c r="NYP17" s="314" t="s">
        <v>203</v>
      </c>
      <c r="NYQ17" s="314" t="s">
        <v>203</v>
      </c>
      <c r="NYR17" s="314" t="s">
        <v>203</v>
      </c>
      <c r="NYS17" s="314" t="s">
        <v>203</v>
      </c>
      <c r="NYT17" s="314" t="s">
        <v>203</v>
      </c>
      <c r="NYU17" s="314" t="s">
        <v>203</v>
      </c>
      <c r="NYV17" s="314" t="s">
        <v>203</v>
      </c>
      <c r="NYW17" s="314" t="s">
        <v>203</v>
      </c>
      <c r="NYX17" s="314" t="s">
        <v>203</v>
      </c>
      <c r="NYY17" s="314" t="s">
        <v>203</v>
      </c>
      <c r="NYZ17" s="314" t="s">
        <v>203</v>
      </c>
      <c r="NZA17" s="314" t="s">
        <v>203</v>
      </c>
      <c r="NZB17" s="314" t="s">
        <v>203</v>
      </c>
      <c r="NZC17" s="314" t="s">
        <v>203</v>
      </c>
      <c r="NZD17" s="314" t="s">
        <v>203</v>
      </c>
      <c r="NZE17" s="314" t="s">
        <v>203</v>
      </c>
      <c r="NZF17" s="314" t="s">
        <v>203</v>
      </c>
      <c r="NZG17" s="314" t="s">
        <v>203</v>
      </c>
      <c r="NZH17" s="314" t="s">
        <v>203</v>
      </c>
      <c r="NZI17" s="314" t="s">
        <v>203</v>
      </c>
      <c r="NZJ17" s="314" t="s">
        <v>203</v>
      </c>
      <c r="NZK17" s="314" t="s">
        <v>203</v>
      </c>
      <c r="NZL17" s="314" t="s">
        <v>203</v>
      </c>
      <c r="NZM17" s="314" t="s">
        <v>203</v>
      </c>
      <c r="NZN17" s="314" t="s">
        <v>203</v>
      </c>
      <c r="NZO17" s="314" t="s">
        <v>203</v>
      </c>
      <c r="NZP17" s="314" t="s">
        <v>203</v>
      </c>
      <c r="NZQ17" s="314" t="s">
        <v>203</v>
      </c>
      <c r="NZR17" s="314" t="s">
        <v>203</v>
      </c>
      <c r="NZS17" s="314" t="s">
        <v>203</v>
      </c>
      <c r="NZT17" s="314" t="s">
        <v>203</v>
      </c>
      <c r="NZU17" s="314" t="s">
        <v>203</v>
      </c>
      <c r="NZV17" s="314" t="s">
        <v>203</v>
      </c>
      <c r="NZW17" s="314" t="s">
        <v>203</v>
      </c>
      <c r="NZX17" s="314" t="s">
        <v>203</v>
      </c>
      <c r="NZY17" s="314" t="s">
        <v>203</v>
      </c>
      <c r="NZZ17" s="314" t="s">
        <v>203</v>
      </c>
      <c r="OAA17" s="314" t="s">
        <v>203</v>
      </c>
      <c r="OAB17" s="314" t="s">
        <v>203</v>
      </c>
      <c r="OAC17" s="314" t="s">
        <v>203</v>
      </c>
      <c r="OAD17" s="314" t="s">
        <v>203</v>
      </c>
      <c r="OAE17" s="314" t="s">
        <v>203</v>
      </c>
      <c r="OAF17" s="314" t="s">
        <v>203</v>
      </c>
      <c r="OAG17" s="314" t="s">
        <v>203</v>
      </c>
      <c r="OAH17" s="314" t="s">
        <v>203</v>
      </c>
      <c r="OAI17" s="314" t="s">
        <v>203</v>
      </c>
      <c r="OAJ17" s="314" t="s">
        <v>203</v>
      </c>
      <c r="OAK17" s="314" t="s">
        <v>203</v>
      </c>
      <c r="OAL17" s="314" t="s">
        <v>203</v>
      </c>
      <c r="OAM17" s="314" t="s">
        <v>203</v>
      </c>
      <c r="OAN17" s="314" t="s">
        <v>203</v>
      </c>
      <c r="OAO17" s="314" t="s">
        <v>203</v>
      </c>
      <c r="OAP17" s="314" t="s">
        <v>203</v>
      </c>
      <c r="OAQ17" s="314" t="s">
        <v>203</v>
      </c>
      <c r="OAR17" s="314" t="s">
        <v>203</v>
      </c>
      <c r="OAS17" s="314" t="s">
        <v>203</v>
      </c>
      <c r="OAT17" s="314" t="s">
        <v>203</v>
      </c>
      <c r="OAU17" s="314" t="s">
        <v>203</v>
      </c>
      <c r="OAV17" s="314" t="s">
        <v>203</v>
      </c>
      <c r="OAW17" s="314" t="s">
        <v>203</v>
      </c>
      <c r="OAX17" s="314" t="s">
        <v>203</v>
      </c>
      <c r="OAY17" s="314" t="s">
        <v>203</v>
      </c>
      <c r="OAZ17" s="314" t="s">
        <v>203</v>
      </c>
      <c r="OBA17" s="314" t="s">
        <v>203</v>
      </c>
      <c r="OBB17" s="314" t="s">
        <v>203</v>
      </c>
      <c r="OBC17" s="314" t="s">
        <v>203</v>
      </c>
      <c r="OBD17" s="314" t="s">
        <v>203</v>
      </c>
      <c r="OBE17" s="314" t="s">
        <v>203</v>
      </c>
      <c r="OBF17" s="314" t="s">
        <v>203</v>
      </c>
      <c r="OBG17" s="314" t="s">
        <v>203</v>
      </c>
      <c r="OBH17" s="314" t="s">
        <v>203</v>
      </c>
      <c r="OBI17" s="314" t="s">
        <v>203</v>
      </c>
      <c r="OBJ17" s="314" t="s">
        <v>203</v>
      </c>
      <c r="OBK17" s="314" t="s">
        <v>203</v>
      </c>
      <c r="OBL17" s="314" t="s">
        <v>203</v>
      </c>
      <c r="OBM17" s="314" t="s">
        <v>203</v>
      </c>
      <c r="OBN17" s="314" t="s">
        <v>203</v>
      </c>
      <c r="OBO17" s="314" t="s">
        <v>203</v>
      </c>
      <c r="OBP17" s="314" t="s">
        <v>203</v>
      </c>
      <c r="OBQ17" s="314" t="s">
        <v>203</v>
      </c>
      <c r="OBR17" s="314" t="s">
        <v>203</v>
      </c>
      <c r="OBS17" s="314" t="s">
        <v>203</v>
      </c>
      <c r="OBT17" s="314" t="s">
        <v>203</v>
      </c>
      <c r="OBU17" s="314" t="s">
        <v>203</v>
      </c>
      <c r="OBV17" s="314" t="s">
        <v>203</v>
      </c>
      <c r="OBW17" s="314" t="s">
        <v>203</v>
      </c>
      <c r="OBX17" s="314" t="s">
        <v>203</v>
      </c>
      <c r="OBY17" s="314" t="s">
        <v>203</v>
      </c>
      <c r="OBZ17" s="314" t="s">
        <v>203</v>
      </c>
      <c r="OCA17" s="314" t="s">
        <v>203</v>
      </c>
      <c r="OCB17" s="314" t="s">
        <v>203</v>
      </c>
      <c r="OCC17" s="314" t="s">
        <v>203</v>
      </c>
      <c r="OCD17" s="314" t="s">
        <v>203</v>
      </c>
      <c r="OCE17" s="314" t="s">
        <v>203</v>
      </c>
      <c r="OCF17" s="314" t="s">
        <v>203</v>
      </c>
      <c r="OCG17" s="314" t="s">
        <v>203</v>
      </c>
      <c r="OCH17" s="314" t="s">
        <v>203</v>
      </c>
      <c r="OCI17" s="314" t="s">
        <v>203</v>
      </c>
      <c r="OCJ17" s="314" t="s">
        <v>203</v>
      </c>
      <c r="OCK17" s="314" t="s">
        <v>203</v>
      </c>
      <c r="OCL17" s="314" t="s">
        <v>203</v>
      </c>
      <c r="OCM17" s="314" t="s">
        <v>203</v>
      </c>
      <c r="OCN17" s="314" t="s">
        <v>203</v>
      </c>
      <c r="OCO17" s="314" t="s">
        <v>203</v>
      </c>
      <c r="OCP17" s="314" t="s">
        <v>203</v>
      </c>
      <c r="OCQ17" s="314" t="s">
        <v>203</v>
      </c>
      <c r="OCR17" s="314" t="s">
        <v>203</v>
      </c>
      <c r="OCS17" s="314" t="s">
        <v>203</v>
      </c>
      <c r="OCT17" s="314" t="s">
        <v>203</v>
      </c>
      <c r="OCU17" s="314" t="s">
        <v>203</v>
      </c>
      <c r="OCV17" s="314" t="s">
        <v>203</v>
      </c>
      <c r="OCW17" s="314" t="s">
        <v>203</v>
      </c>
      <c r="OCX17" s="314" t="s">
        <v>203</v>
      </c>
      <c r="OCY17" s="314" t="s">
        <v>203</v>
      </c>
      <c r="OCZ17" s="314" t="s">
        <v>203</v>
      </c>
      <c r="ODA17" s="314" t="s">
        <v>203</v>
      </c>
      <c r="ODB17" s="314" t="s">
        <v>203</v>
      </c>
      <c r="ODC17" s="314" t="s">
        <v>203</v>
      </c>
      <c r="ODD17" s="314" t="s">
        <v>203</v>
      </c>
      <c r="ODE17" s="314" t="s">
        <v>203</v>
      </c>
      <c r="ODF17" s="314" t="s">
        <v>203</v>
      </c>
      <c r="ODG17" s="314" t="s">
        <v>203</v>
      </c>
      <c r="ODH17" s="314" t="s">
        <v>203</v>
      </c>
      <c r="ODI17" s="314" t="s">
        <v>203</v>
      </c>
      <c r="ODJ17" s="314" t="s">
        <v>203</v>
      </c>
      <c r="ODK17" s="314" t="s">
        <v>203</v>
      </c>
      <c r="ODL17" s="314" t="s">
        <v>203</v>
      </c>
      <c r="ODM17" s="314" t="s">
        <v>203</v>
      </c>
      <c r="ODN17" s="314" t="s">
        <v>203</v>
      </c>
      <c r="ODO17" s="314" t="s">
        <v>203</v>
      </c>
      <c r="ODP17" s="314" t="s">
        <v>203</v>
      </c>
      <c r="ODQ17" s="314" t="s">
        <v>203</v>
      </c>
      <c r="ODR17" s="314" t="s">
        <v>203</v>
      </c>
      <c r="ODS17" s="314" t="s">
        <v>203</v>
      </c>
      <c r="ODT17" s="314" t="s">
        <v>203</v>
      </c>
      <c r="ODU17" s="314" t="s">
        <v>203</v>
      </c>
      <c r="ODV17" s="314" t="s">
        <v>203</v>
      </c>
      <c r="ODW17" s="314" t="s">
        <v>203</v>
      </c>
      <c r="ODX17" s="314" t="s">
        <v>203</v>
      </c>
      <c r="ODY17" s="314" t="s">
        <v>203</v>
      </c>
      <c r="ODZ17" s="314" t="s">
        <v>203</v>
      </c>
      <c r="OEA17" s="314" t="s">
        <v>203</v>
      </c>
      <c r="OEB17" s="314" t="s">
        <v>203</v>
      </c>
      <c r="OEC17" s="314" t="s">
        <v>203</v>
      </c>
      <c r="OED17" s="314" t="s">
        <v>203</v>
      </c>
      <c r="OEE17" s="314" t="s">
        <v>203</v>
      </c>
      <c r="OEF17" s="314" t="s">
        <v>203</v>
      </c>
      <c r="OEG17" s="314" t="s">
        <v>203</v>
      </c>
      <c r="OEH17" s="314" t="s">
        <v>203</v>
      </c>
      <c r="OEI17" s="314" t="s">
        <v>203</v>
      </c>
      <c r="OEJ17" s="314" t="s">
        <v>203</v>
      </c>
      <c r="OEK17" s="314" t="s">
        <v>203</v>
      </c>
      <c r="OEL17" s="314" t="s">
        <v>203</v>
      </c>
      <c r="OEM17" s="314" t="s">
        <v>203</v>
      </c>
      <c r="OEN17" s="314" t="s">
        <v>203</v>
      </c>
      <c r="OEO17" s="314" t="s">
        <v>203</v>
      </c>
      <c r="OEP17" s="314" t="s">
        <v>203</v>
      </c>
      <c r="OEQ17" s="314" t="s">
        <v>203</v>
      </c>
      <c r="OER17" s="314" t="s">
        <v>203</v>
      </c>
      <c r="OES17" s="314" t="s">
        <v>203</v>
      </c>
      <c r="OET17" s="314" t="s">
        <v>203</v>
      </c>
      <c r="OEU17" s="314" t="s">
        <v>203</v>
      </c>
      <c r="OEV17" s="314" t="s">
        <v>203</v>
      </c>
      <c r="OEW17" s="314" t="s">
        <v>203</v>
      </c>
      <c r="OEX17" s="314" t="s">
        <v>203</v>
      </c>
      <c r="OEY17" s="314" t="s">
        <v>203</v>
      </c>
      <c r="OEZ17" s="314" t="s">
        <v>203</v>
      </c>
      <c r="OFA17" s="314" t="s">
        <v>203</v>
      </c>
      <c r="OFB17" s="314" t="s">
        <v>203</v>
      </c>
      <c r="OFC17" s="314" t="s">
        <v>203</v>
      </c>
      <c r="OFD17" s="314" t="s">
        <v>203</v>
      </c>
      <c r="OFE17" s="314" t="s">
        <v>203</v>
      </c>
      <c r="OFF17" s="314" t="s">
        <v>203</v>
      </c>
      <c r="OFG17" s="314" t="s">
        <v>203</v>
      </c>
      <c r="OFH17" s="314" t="s">
        <v>203</v>
      </c>
      <c r="OFI17" s="314" t="s">
        <v>203</v>
      </c>
      <c r="OFJ17" s="314" t="s">
        <v>203</v>
      </c>
      <c r="OFK17" s="314" t="s">
        <v>203</v>
      </c>
      <c r="OFL17" s="314" t="s">
        <v>203</v>
      </c>
      <c r="OFM17" s="314" t="s">
        <v>203</v>
      </c>
      <c r="OFN17" s="314" t="s">
        <v>203</v>
      </c>
      <c r="OFO17" s="314" t="s">
        <v>203</v>
      </c>
      <c r="OFP17" s="314" t="s">
        <v>203</v>
      </c>
      <c r="OFQ17" s="314" t="s">
        <v>203</v>
      </c>
      <c r="OFR17" s="314" t="s">
        <v>203</v>
      </c>
      <c r="OFS17" s="314" t="s">
        <v>203</v>
      </c>
      <c r="OFT17" s="314" t="s">
        <v>203</v>
      </c>
      <c r="OFU17" s="314" t="s">
        <v>203</v>
      </c>
      <c r="OFV17" s="314" t="s">
        <v>203</v>
      </c>
      <c r="OFW17" s="314" t="s">
        <v>203</v>
      </c>
      <c r="OFX17" s="314" t="s">
        <v>203</v>
      </c>
      <c r="OFY17" s="314" t="s">
        <v>203</v>
      </c>
      <c r="OFZ17" s="314" t="s">
        <v>203</v>
      </c>
      <c r="OGA17" s="314" t="s">
        <v>203</v>
      </c>
      <c r="OGB17" s="314" t="s">
        <v>203</v>
      </c>
      <c r="OGC17" s="314" t="s">
        <v>203</v>
      </c>
      <c r="OGD17" s="314" t="s">
        <v>203</v>
      </c>
      <c r="OGE17" s="314" t="s">
        <v>203</v>
      </c>
      <c r="OGF17" s="314" t="s">
        <v>203</v>
      </c>
      <c r="OGG17" s="314" t="s">
        <v>203</v>
      </c>
      <c r="OGH17" s="314" t="s">
        <v>203</v>
      </c>
      <c r="OGI17" s="314" t="s">
        <v>203</v>
      </c>
      <c r="OGJ17" s="314" t="s">
        <v>203</v>
      </c>
      <c r="OGK17" s="314" t="s">
        <v>203</v>
      </c>
      <c r="OGL17" s="314" t="s">
        <v>203</v>
      </c>
      <c r="OGM17" s="314" t="s">
        <v>203</v>
      </c>
      <c r="OGN17" s="314" t="s">
        <v>203</v>
      </c>
      <c r="OGO17" s="314" t="s">
        <v>203</v>
      </c>
      <c r="OGP17" s="314" t="s">
        <v>203</v>
      </c>
      <c r="OGQ17" s="314" t="s">
        <v>203</v>
      </c>
      <c r="OGR17" s="314" t="s">
        <v>203</v>
      </c>
      <c r="OGS17" s="314" t="s">
        <v>203</v>
      </c>
      <c r="OGT17" s="314" t="s">
        <v>203</v>
      </c>
      <c r="OGU17" s="314" t="s">
        <v>203</v>
      </c>
      <c r="OGV17" s="314" t="s">
        <v>203</v>
      </c>
      <c r="OGW17" s="314" t="s">
        <v>203</v>
      </c>
      <c r="OGX17" s="314" t="s">
        <v>203</v>
      </c>
      <c r="OGY17" s="314" t="s">
        <v>203</v>
      </c>
      <c r="OGZ17" s="314" t="s">
        <v>203</v>
      </c>
      <c r="OHA17" s="314" t="s">
        <v>203</v>
      </c>
      <c r="OHB17" s="314" t="s">
        <v>203</v>
      </c>
      <c r="OHC17" s="314" t="s">
        <v>203</v>
      </c>
      <c r="OHD17" s="314" t="s">
        <v>203</v>
      </c>
      <c r="OHE17" s="314" t="s">
        <v>203</v>
      </c>
      <c r="OHF17" s="314" t="s">
        <v>203</v>
      </c>
      <c r="OHG17" s="314" t="s">
        <v>203</v>
      </c>
      <c r="OHH17" s="314" t="s">
        <v>203</v>
      </c>
      <c r="OHI17" s="314" t="s">
        <v>203</v>
      </c>
      <c r="OHJ17" s="314" t="s">
        <v>203</v>
      </c>
      <c r="OHK17" s="314" t="s">
        <v>203</v>
      </c>
      <c r="OHL17" s="314" t="s">
        <v>203</v>
      </c>
      <c r="OHM17" s="314" t="s">
        <v>203</v>
      </c>
      <c r="OHN17" s="314" t="s">
        <v>203</v>
      </c>
      <c r="OHO17" s="314" t="s">
        <v>203</v>
      </c>
      <c r="OHP17" s="314" t="s">
        <v>203</v>
      </c>
      <c r="OHQ17" s="314" t="s">
        <v>203</v>
      </c>
      <c r="OHR17" s="314" t="s">
        <v>203</v>
      </c>
      <c r="OHS17" s="314" t="s">
        <v>203</v>
      </c>
      <c r="OHT17" s="314" t="s">
        <v>203</v>
      </c>
      <c r="OHU17" s="314" t="s">
        <v>203</v>
      </c>
      <c r="OHV17" s="314" t="s">
        <v>203</v>
      </c>
      <c r="OHW17" s="314" t="s">
        <v>203</v>
      </c>
      <c r="OHX17" s="314" t="s">
        <v>203</v>
      </c>
      <c r="OHY17" s="314" t="s">
        <v>203</v>
      </c>
      <c r="OHZ17" s="314" t="s">
        <v>203</v>
      </c>
      <c r="OIA17" s="314" t="s">
        <v>203</v>
      </c>
      <c r="OIB17" s="314" t="s">
        <v>203</v>
      </c>
      <c r="OIC17" s="314" t="s">
        <v>203</v>
      </c>
      <c r="OID17" s="314" t="s">
        <v>203</v>
      </c>
      <c r="OIE17" s="314" t="s">
        <v>203</v>
      </c>
      <c r="OIF17" s="314" t="s">
        <v>203</v>
      </c>
      <c r="OIG17" s="314" t="s">
        <v>203</v>
      </c>
      <c r="OIH17" s="314" t="s">
        <v>203</v>
      </c>
      <c r="OII17" s="314" t="s">
        <v>203</v>
      </c>
      <c r="OIJ17" s="314" t="s">
        <v>203</v>
      </c>
      <c r="OIK17" s="314" t="s">
        <v>203</v>
      </c>
      <c r="OIL17" s="314" t="s">
        <v>203</v>
      </c>
      <c r="OIM17" s="314" t="s">
        <v>203</v>
      </c>
      <c r="OIN17" s="314" t="s">
        <v>203</v>
      </c>
      <c r="OIO17" s="314" t="s">
        <v>203</v>
      </c>
      <c r="OIP17" s="314" t="s">
        <v>203</v>
      </c>
      <c r="OIQ17" s="314" t="s">
        <v>203</v>
      </c>
      <c r="OIR17" s="314" t="s">
        <v>203</v>
      </c>
      <c r="OIS17" s="314" t="s">
        <v>203</v>
      </c>
      <c r="OIT17" s="314" t="s">
        <v>203</v>
      </c>
      <c r="OIU17" s="314" t="s">
        <v>203</v>
      </c>
      <c r="OIV17" s="314" t="s">
        <v>203</v>
      </c>
      <c r="OIW17" s="314" t="s">
        <v>203</v>
      </c>
      <c r="OIX17" s="314" t="s">
        <v>203</v>
      </c>
      <c r="OIY17" s="314" t="s">
        <v>203</v>
      </c>
      <c r="OIZ17" s="314" t="s">
        <v>203</v>
      </c>
      <c r="OJA17" s="314" t="s">
        <v>203</v>
      </c>
      <c r="OJB17" s="314" t="s">
        <v>203</v>
      </c>
      <c r="OJC17" s="314" t="s">
        <v>203</v>
      </c>
      <c r="OJD17" s="314" t="s">
        <v>203</v>
      </c>
      <c r="OJE17" s="314" t="s">
        <v>203</v>
      </c>
      <c r="OJF17" s="314" t="s">
        <v>203</v>
      </c>
      <c r="OJG17" s="314" t="s">
        <v>203</v>
      </c>
      <c r="OJH17" s="314" t="s">
        <v>203</v>
      </c>
      <c r="OJI17" s="314" t="s">
        <v>203</v>
      </c>
      <c r="OJJ17" s="314" t="s">
        <v>203</v>
      </c>
      <c r="OJK17" s="314" t="s">
        <v>203</v>
      </c>
      <c r="OJL17" s="314" t="s">
        <v>203</v>
      </c>
      <c r="OJM17" s="314" t="s">
        <v>203</v>
      </c>
      <c r="OJN17" s="314" t="s">
        <v>203</v>
      </c>
      <c r="OJO17" s="314" t="s">
        <v>203</v>
      </c>
      <c r="OJP17" s="314" t="s">
        <v>203</v>
      </c>
      <c r="OJQ17" s="314" t="s">
        <v>203</v>
      </c>
      <c r="OJR17" s="314" t="s">
        <v>203</v>
      </c>
      <c r="OJS17" s="314" t="s">
        <v>203</v>
      </c>
      <c r="OJT17" s="314" t="s">
        <v>203</v>
      </c>
      <c r="OJU17" s="314" t="s">
        <v>203</v>
      </c>
      <c r="OJV17" s="314" t="s">
        <v>203</v>
      </c>
      <c r="OJW17" s="314" t="s">
        <v>203</v>
      </c>
      <c r="OJX17" s="314" t="s">
        <v>203</v>
      </c>
      <c r="OJY17" s="314" t="s">
        <v>203</v>
      </c>
      <c r="OJZ17" s="314" t="s">
        <v>203</v>
      </c>
      <c r="OKA17" s="314" t="s">
        <v>203</v>
      </c>
      <c r="OKB17" s="314" t="s">
        <v>203</v>
      </c>
      <c r="OKC17" s="314" t="s">
        <v>203</v>
      </c>
      <c r="OKD17" s="314" t="s">
        <v>203</v>
      </c>
      <c r="OKE17" s="314" t="s">
        <v>203</v>
      </c>
      <c r="OKF17" s="314" t="s">
        <v>203</v>
      </c>
      <c r="OKG17" s="314" t="s">
        <v>203</v>
      </c>
      <c r="OKH17" s="314" t="s">
        <v>203</v>
      </c>
      <c r="OKI17" s="314" t="s">
        <v>203</v>
      </c>
      <c r="OKJ17" s="314" t="s">
        <v>203</v>
      </c>
      <c r="OKK17" s="314" t="s">
        <v>203</v>
      </c>
      <c r="OKL17" s="314" t="s">
        <v>203</v>
      </c>
      <c r="OKM17" s="314" t="s">
        <v>203</v>
      </c>
      <c r="OKN17" s="314" t="s">
        <v>203</v>
      </c>
      <c r="OKO17" s="314" t="s">
        <v>203</v>
      </c>
      <c r="OKP17" s="314" t="s">
        <v>203</v>
      </c>
      <c r="OKQ17" s="314" t="s">
        <v>203</v>
      </c>
      <c r="OKR17" s="314" t="s">
        <v>203</v>
      </c>
      <c r="OKS17" s="314" t="s">
        <v>203</v>
      </c>
      <c r="OKT17" s="314" t="s">
        <v>203</v>
      </c>
      <c r="OKU17" s="314" t="s">
        <v>203</v>
      </c>
      <c r="OKV17" s="314" t="s">
        <v>203</v>
      </c>
      <c r="OKW17" s="314" t="s">
        <v>203</v>
      </c>
      <c r="OKX17" s="314" t="s">
        <v>203</v>
      </c>
      <c r="OKY17" s="314" t="s">
        <v>203</v>
      </c>
      <c r="OKZ17" s="314" t="s">
        <v>203</v>
      </c>
      <c r="OLA17" s="314" t="s">
        <v>203</v>
      </c>
      <c r="OLB17" s="314" t="s">
        <v>203</v>
      </c>
      <c r="OLC17" s="314" t="s">
        <v>203</v>
      </c>
      <c r="OLD17" s="314" t="s">
        <v>203</v>
      </c>
      <c r="OLE17" s="314" t="s">
        <v>203</v>
      </c>
      <c r="OLF17" s="314" t="s">
        <v>203</v>
      </c>
      <c r="OLG17" s="314" t="s">
        <v>203</v>
      </c>
      <c r="OLH17" s="314" t="s">
        <v>203</v>
      </c>
      <c r="OLI17" s="314" t="s">
        <v>203</v>
      </c>
      <c r="OLJ17" s="314" t="s">
        <v>203</v>
      </c>
      <c r="OLK17" s="314" t="s">
        <v>203</v>
      </c>
      <c r="OLL17" s="314" t="s">
        <v>203</v>
      </c>
      <c r="OLM17" s="314" t="s">
        <v>203</v>
      </c>
      <c r="OLN17" s="314" t="s">
        <v>203</v>
      </c>
      <c r="OLO17" s="314" t="s">
        <v>203</v>
      </c>
      <c r="OLP17" s="314" t="s">
        <v>203</v>
      </c>
      <c r="OLQ17" s="314" t="s">
        <v>203</v>
      </c>
      <c r="OLR17" s="314" t="s">
        <v>203</v>
      </c>
      <c r="OLS17" s="314" t="s">
        <v>203</v>
      </c>
      <c r="OLT17" s="314" t="s">
        <v>203</v>
      </c>
      <c r="OLU17" s="314" t="s">
        <v>203</v>
      </c>
      <c r="OLV17" s="314" t="s">
        <v>203</v>
      </c>
      <c r="OLW17" s="314" t="s">
        <v>203</v>
      </c>
      <c r="OLX17" s="314" t="s">
        <v>203</v>
      </c>
      <c r="OLY17" s="314" t="s">
        <v>203</v>
      </c>
      <c r="OLZ17" s="314" t="s">
        <v>203</v>
      </c>
      <c r="OMA17" s="314" t="s">
        <v>203</v>
      </c>
      <c r="OMB17" s="314" t="s">
        <v>203</v>
      </c>
      <c r="OMC17" s="314" t="s">
        <v>203</v>
      </c>
      <c r="OMD17" s="314" t="s">
        <v>203</v>
      </c>
      <c r="OME17" s="314" t="s">
        <v>203</v>
      </c>
      <c r="OMF17" s="314" t="s">
        <v>203</v>
      </c>
      <c r="OMG17" s="314" t="s">
        <v>203</v>
      </c>
      <c r="OMH17" s="314" t="s">
        <v>203</v>
      </c>
      <c r="OMI17" s="314" t="s">
        <v>203</v>
      </c>
      <c r="OMJ17" s="314" t="s">
        <v>203</v>
      </c>
      <c r="OMK17" s="314" t="s">
        <v>203</v>
      </c>
      <c r="OML17" s="314" t="s">
        <v>203</v>
      </c>
      <c r="OMM17" s="314" t="s">
        <v>203</v>
      </c>
      <c r="OMN17" s="314" t="s">
        <v>203</v>
      </c>
      <c r="OMO17" s="314" t="s">
        <v>203</v>
      </c>
      <c r="OMP17" s="314" t="s">
        <v>203</v>
      </c>
      <c r="OMQ17" s="314" t="s">
        <v>203</v>
      </c>
      <c r="OMR17" s="314" t="s">
        <v>203</v>
      </c>
      <c r="OMS17" s="314" t="s">
        <v>203</v>
      </c>
      <c r="OMT17" s="314" t="s">
        <v>203</v>
      </c>
      <c r="OMU17" s="314" t="s">
        <v>203</v>
      </c>
      <c r="OMV17" s="314" t="s">
        <v>203</v>
      </c>
      <c r="OMW17" s="314" t="s">
        <v>203</v>
      </c>
      <c r="OMX17" s="314" t="s">
        <v>203</v>
      </c>
      <c r="OMY17" s="314" t="s">
        <v>203</v>
      </c>
      <c r="OMZ17" s="314" t="s">
        <v>203</v>
      </c>
      <c r="ONA17" s="314" t="s">
        <v>203</v>
      </c>
      <c r="ONB17" s="314" t="s">
        <v>203</v>
      </c>
      <c r="ONC17" s="314" t="s">
        <v>203</v>
      </c>
      <c r="OND17" s="314" t="s">
        <v>203</v>
      </c>
      <c r="ONE17" s="314" t="s">
        <v>203</v>
      </c>
      <c r="ONF17" s="314" t="s">
        <v>203</v>
      </c>
      <c r="ONG17" s="314" t="s">
        <v>203</v>
      </c>
      <c r="ONH17" s="314" t="s">
        <v>203</v>
      </c>
      <c r="ONI17" s="314" t="s">
        <v>203</v>
      </c>
      <c r="ONJ17" s="314" t="s">
        <v>203</v>
      </c>
      <c r="ONK17" s="314" t="s">
        <v>203</v>
      </c>
      <c r="ONL17" s="314" t="s">
        <v>203</v>
      </c>
      <c r="ONM17" s="314" t="s">
        <v>203</v>
      </c>
      <c r="ONN17" s="314" t="s">
        <v>203</v>
      </c>
      <c r="ONO17" s="314" t="s">
        <v>203</v>
      </c>
      <c r="ONP17" s="314" t="s">
        <v>203</v>
      </c>
      <c r="ONQ17" s="314" t="s">
        <v>203</v>
      </c>
      <c r="ONR17" s="314" t="s">
        <v>203</v>
      </c>
      <c r="ONS17" s="314" t="s">
        <v>203</v>
      </c>
      <c r="ONT17" s="314" t="s">
        <v>203</v>
      </c>
      <c r="ONU17" s="314" t="s">
        <v>203</v>
      </c>
      <c r="ONV17" s="314" t="s">
        <v>203</v>
      </c>
      <c r="ONW17" s="314" t="s">
        <v>203</v>
      </c>
      <c r="ONX17" s="314" t="s">
        <v>203</v>
      </c>
      <c r="ONY17" s="314" t="s">
        <v>203</v>
      </c>
      <c r="ONZ17" s="314" t="s">
        <v>203</v>
      </c>
      <c r="OOA17" s="314" t="s">
        <v>203</v>
      </c>
      <c r="OOB17" s="314" t="s">
        <v>203</v>
      </c>
      <c r="OOC17" s="314" t="s">
        <v>203</v>
      </c>
      <c r="OOD17" s="314" t="s">
        <v>203</v>
      </c>
      <c r="OOE17" s="314" t="s">
        <v>203</v>
      </c>
      <c r="OOF17" s="314" t="s">
        <v>203</v>
      </c>
      <c r="OOG17" s="314" t="s">
        <v>203</v>
      </c>
      <c r="OOH17" s="314" t="s">
        <v>203</v>
      </c>
      <c r="OOI17" s="314" t="s">
        <v>203</v>
      </c>
      <c r="OOJ17" s="314" t="s">
        <v>203</v>
      </c>
      <c r="OOK17" s="314" t="s">
        <v>203</v>
      </c>
      <c r="OOL17" s="314" t="s">
        <v>203</v>
      </c>
      <c r="OOM17" s="314" t="s">
        <v>203</v>
      </c>
      <c r="OON17" s="314" t="s">
        <v>203</v>
      </c>
      <c r="OOO17" s="314" t="s">
        <v>203</v>
      </c>
      <c r="OOP17" s="314" t="s">
        <v>203</v>
      </c>
      <c r="OOQ17" s="314" t="s">
        <v>203</v>
      </c>
      <c r="OOR17" s="314" t="s">
        <v>203</v>
      </c>
      <c r="OOS17" s="314" t="s">
        <v>203</v>
      </c>
      <c r="OOT17" s="314" t="s">
        <v>203</v>
      </c>
      <c r="OOU17" s="314" t="s">
        <v>203</v>
      </c>
      <c r="OOV17" s="314" t="s">
        <v>203</v>
      </c>
      <c r="OOW17" s="314" t="s">
        <v>203</v>
      </c>
      <c r="OOX17" s="314" t="s">
        <v>203</v>
      </c>
      <c r="OOY17" s="314" t="s">
        <v>203</v>
      </c>
      <c r="OOZ17" s="314" t="s">
        <v>203</v>
      </c>
      <c r="OPA17" s="314" t="s">
        <v>203</v>
      </c>
      <c r="OPB17" s="314" t="s">
        <v>203</v>
      </c>
      <c r="OPC17" s="314" t="s">
        <v>203</v>
      </c>
      <c r="OPD17" s="314" t="s">
        <v>203</v>
      </c>
      <c r="OPE17" s="314" t="s">
        <v>203</v>
      </c>
      <c r="OPF17" s="314" t="s">
        <v>203</v>
      </c>
      <c r="OPG17" s="314" t="s">
        <v>203</v>
      </c>
      <c r="OPH17" s="314" t="s">
        <v>203</v>
      </c>
      <c r="OPI17" s="314" t="s">
        <v>203</v>
      </c>
      <c r="OPJ17" s="314" t="s">
        <v>203</v>
      </c>
      <c r="OPK17" s="314" t="s">
        <v>203</v>
      </c>
      <c r="OPL17" s="314" t="s">
        <v>203</v>
      </c>
      <c r="OPM17" s="314" t="s">
        <v>203</v>
      </c>
      <c r="OPN17" s="314" t="s">
        <v>203</v>
      </c>
      <c r="OPO17" s="314" t="s">
        <v>203</v>
      </c>
      <c r="OPP17" s="314" t="s">
        <v>203</v>
      </c>
      <c r="OPQ17" s="314" t="s">
        <v>203</v>
      </c>
      <c r="OPR17" s="314" t="s">
        <v>203</v>
      </c>
      <c r="OPS17" s="314" t="s">
        <v>203</v>
      </c>
      <c r="OPT17" s="314" t="s">
        <v>203</v>
      </c>
      <c r="OPU17" s="314" t="s">
        <v>203</v>
      </c>
      <c r="OPV17" s="314" t="s">
        <v>203</v>
      </c>
      <c r="OPW17" s="314" t="s">
        <v>203</v>
      </c>
      <c r="OPX17" s="314" t="s">
        <v>203</v>
      </c>
      <c r="OPY17" s="314" t="s">
        <v>203</v>
      </c>
      <c r="OPZ17" s="314" t="s">
        <v>203</v>
      </c>
      <c r="OQA17" s="314" t="s">
        <v>203</v>
      </c>
      <c r="OQB17" s="314" t="s">
        <v>203</v>
      </c>
      <c r="OQC17" s="314" t="s">
        <v>203</v>
      </c>
      <c r="OQD17" s="314" t="s">
        <v>203</v>
      </c>
      <c r="OQE17" s="314" t="s">
        <v>203</v>
      </c>
      <c r="OQF17" s="314" t="s">
        <v>203</v>
      </c>
      <c r="OQG17" s="314" t="s">
        <v>203</v>
      </c>
      <c r="OQH17" s="314" t="s">
        <v>203</v>
      </c>
      <c r="OQI17" s="314" t="s">
        <v>203</v>
      </c>
      <c r="OQJ17" s="314" t="s">
        <v>203</v>
      </c>
      <c r="OQK17" s="314" t="s">
        <v>203</v>
      </c>
      <c r="OQL17" s="314" t="s">
        <v>203</v>
      </c>
      <c r="OQM17" s="314" t="s">
        <v>203</v>
      </c>
      <c r="OQN17" s="314" t="s">
        <v>203</v>
      </c>
      <c r="OQO17" s="314" t="s">
        <v>203</v>
      </c>
      <c r="OQP17" s="314" t="s">
        <v>203</v>
      </c>
      <c r="OQQ17" s="314" t="s">
        <v>203</v>
      </c>
      <c r="OQR17" s="314" t="s">
        <v>203</v>
      </c>
      <c r="OQS17" s="314" t="s">
        <v>203</v>
      </c>
      <c r="OQT17" s="314" t="s">
        <v>203</v>
      </c>
      <c r="OQU17" s="314" t="s">
        <v>203</v>
      </c>
      <c r="OQV17" s="314" t="s">
        <v>203</v>
      </c>
      <c r="OQW17" s="314" t="s">
        <v>203</v>
      </c>
      <c r="OQX17" s="314" t="s">
        <v>203</v>
      </c>
      <c r="OQY17" s="314" t="s">
        <v>203</v>
      </c>
      <c r="OQZ17" s="314" t="s">
        <v>203</v>
      </c>
      <c r="ORA17" s="314" t="s">
        <v>203</v>
      </c>
      <c r="ORB17" s="314" t="s">
        <v>203</v>
      </c>
      <c r="ORC17" s="314" t="s">
        <v>203</v>
      </c>
      <c r="ORD17" s="314" t="s">
        <v>203</v>
      </c>
      <c r="ORE17" s="314" t="s">
        <v>203</v>
      </c>
      <c r="ORF17" s="314" t="s">
        <v>203</v>
      </c>
      <c r="ORG17" s="314" t="s">
        <v>203</v>
      </c>
      <c r="ORH17" s="314" t="s">
        <v>203</v>
      </c>
      <c r="ORI17" s="314" t="s">
        <v>203</v>
      </c>
      <c r="ORJ17" s="314" t="s">
        <v>203</v>
      </c>
      <c r="ORK17" s="314" t="s">
        <v>203</v>
      </c>
      <c r="ORL17" s="314" t="s">
        <v>203</v>
      </c>
      <c r="ORM17" s="314" t="s">
        <v>203</v>
      </c>
      <c r="ORN17" s="314" t="s">
        <v>203</v>
      </c>
      <c r="ORO17" s="314" t="s">
        <v>203</v>
      </c>
      <c r="ORP17" s="314" t="s">
        <v>203</v>
      </c>
      <c r="ORQ17" s="314" t="s">
        <v>203</v>
      </c>
      <c r="ORR17" s="314" t="s">
        <v>203</v>
      </c>
      <c r="ORS17" s="314" t="s">
        <v>203</v>
      </c>
      <c r="ORT17" s="314" t="s">
        <v>203</v>
      </c>
      <c r="ORU17" s="314" t="s">
        <v>203</v>
      </c>
      <c r="ORV17" s="314" t="s">
        <v>203</v>
      </c>
      <c r="ORW17" s="314" t="s">
        <v>203</v>
      </c>
      <c r="ORX17" s="314" t="s">
        <v>203</v>
      </c>
      <c r="ORY17" s="314" t="s">
        <v>203</v>
      </c>
      <c r="ORZ17" s="314" t="s">
        <v>203</v>
      </c>
      <c r="OSA17" s="314" t="s">
        <v>203</v>
      </c>
      <c r="OSB17" s="314" t="s">
        <v>203</v>
      </c>
      <c r="OSC17" s="314" t="s">
        <v>203</v>
      </c>
      <c r="OSD17" s="314" t="s">
        <v>203</v>
      </c>
      <c r="OSE17" s="314" t="s">
        <v>203</v>
      </c>
      <c r="OSF17" s="314" t="s">
        <v>203</v>
      </c>
      <c r="OSG17" s="314" t="s">
        <v>203</v>
      </c>
      <c r="OSH17" s="314" t="s">
        <v>203</v>
      </c>
      <c r="OSI17" s="314" t="s">
        <v>203</v>
      </c>
      <c r="OSJ17" s="314" t="s">
        <v>203</v>
      </c>
      <c r="OSK17" s="314" t="s">
        <v>203</v>
      </c>
      <c r="OSL17" s="314" t="s">
        <v>203</v>
      </c>
      <c r="OSM17" s="314" t="s">
        <v>203</v>
      </c>
      <c r="OSN17" s="314" t="s">
        <v>203</v>
      </c>
      <c r="OSO17" s="314" t="s">
        <v>203</v>
      </c>
      <c r="OSP17" s="314" t="s">
        <v>203</v>
      </c>
      <c r="OSQ17" s="314" t="s">
        <v>203</v>
      </c>
      <c r="OSR17" s="314" t="s">
        <v>203</v>
      </c>
      <c r="OSS17" s="314" t="s">
        <v>203</v>
      </c>
      <c r="OST17" s="314" t="s">
        <v>203</v>
      </c>
      <c r="OSU17" s="314" t="s">
        <v>203</v>
      </c>
      <c r="OSV17" s="314" t="s">
        <v>203</v>
      </c>
      <c r="OSW17" s="314" t="s">
        <v>203</v>
      </c>
      <c r="OSX17" s="314" t="s">
        <v>203</v>
      </c>
      <c r="OSY17" s="314" t="s">
        <v>203</v>
      </c>
      <c r="OSZ17" s="314" t="s">
        <v>203</v>
      </c>
      <c r="OTA17" s="314" t="s">
        <v>203</v>
      </c>
      <c r="OTB17" s="314" t="s">
        <v>203</v>
      </c>
      <c r="OTC17" s="314" t="s">
        <v>203</v>
      </c>
      <c r="OTD17" s="314" t="s">
        <v>203</v>
      </c>
      <c r="OTE17" s="314" t="s">
        <v>203</v>
      </c>
      <c r="OTF17" s="314" t="s">
        <v>203</v>
      </c>
      <c r="OTG17" s="314" t="s">
        <v>203</v>
      </c>
      <c r="OTH17" s="314" t="s">
        <v>203</v>
      </c>
      <c r="OTI17" s="314" t="s">
        <v>203</v>
      </c>
      <c r="OTJ17" s="314" t="s">
        <v>203</v>
      </c>
      <c r="OTK17" s="314" t="s">
        <v>203</v>
      </c>
      <c r="OTL17" s="314" t="s">
        <v>203</v>
      </c>
      <c r="OTM17" s="314" t="s">
        <v>203</v>
      </c>
      <c r="OTN17" s="314" t="s">
        <v>203</v>
      </c>
      <c r="OTO17" s="314" t="s">
        <v>203</v>
      </c>
      <c r="OTP17" s="314" t="s">
        <v>203</v>
      </c>
      <c r="OTQ17" s="314" t="s">
        <v>203</v>
      </c>
      <c r="OTR17" s="314" t="s">
        <v>203</v>
      </c>
      <c r="OTS17" s="314" t="s">
        <v>203</v>
      </c>
      <c r="OTT17" s="314" t="s">
        <v>203</v>
      </c>
      <c r="OTU17" s="314" t="s">
        <v>203</v>
      </c>
      <c r="OTV17" s="314" t="s">
        <v>203</v>
      </c>
      <c r="OTW17" s="314" t="s">
        <v>203</v>
      </c>
      <c r="OTX17" s="314" t="s">
        <v>203</v>
      </c>
      <c r="OTY17" s="314" t="s">
        <v>203</v>
      </c>
      <c r="OTZ17" s="314" t="s">
        <v>203</v>
      </c>
      <c r="OUA17" s="314" t="s">
        <v>203</v>
      </c>
      <c r="OUB17" s="314" t="s">
        <v>203</v>
      </c>
      <c r="OUC17" s="314" t="s">
        <v>203</v>
      </c>
      <c r="OUD17" s="314" t="s">
        <v>203</v>
      </c>
      <c r="OUE17" s="314" t="s">
        <v>203</v>
      </c>
      <c r="OUF17" s="314" t="s">
        <v>203</v>
      </c>
      <c r="OUG17" s="314" t="s">
        <v>203</v>
      </c>
      <c r="OUH17" s="314" t="s">
        <v>203</v>
      </c>
      <c r="OUI17" s="314" t="s">
        <v>203</v>
      </c>
      <c r="OUJ17" s="314" t="s">
        <v>203</v>
      </c>
      <c r="OUK17" s="314" t="s">
        <v>203</v>
      </c>
      <c r="OUL17" s="314" t="s">
        <v>203</v>
      </c>
      <c r="OUM17" s="314" t="s">
        <v>203</v>
      </c>
      <c r="OUN17" s="314" t="s">
        <v>203</v>
      </c>
      <c r="OUO17" s="314" t="s">
        <v>203</v>
      </c>
      <c r="OUP17" s="314" t="s">
        <v>203</v>
      </c>
      <c r="OUQ17" s="314" t="s">
        <v>203</v>
      </c>
      <c r="OUR17" s="314" t="s">
        <v>203</v>
      </c>
      <c r="OUS17" s="314" t="s">
        <v>203</v>
      </c>
      <c r="OUT17" s="314" t="s">
        <v>203</v>
      </c>
      <c r="OUU17" s="314" t="s">
        <v>203</v>
      </c>
      <c r="OUV17" s="314" t="s">
        <v>203</v>
      </c>
      <c r="OUW17" s="314" t="s">
        <v>203</v>
      </c>
      <c r="OUX17" s="314" t="s">
        <v>203</v>
      </c>
      <c r="OUY17" s="314" t="s">
        <v>203</v>
      </c>
      <c r="OUZ17" s="314" t="s">
        <v>203</v>
      </c>
      <c r="OVA17" s="314" t="s">
        <v>203</v>
      </c>
      <c r="OVB17" s="314" t="s">
        <v>203</v>
      </c>
      <c r="OVC17" s="314" t="s">
        <v>203</v>
      </c>
      <c r="OVD17" s="314" t="s">
        <v>203</v>
      </c>
      <c r="OVE17" s="314" t="s">
        <v>203</v>
      </c>
      <c r="OVF17" s="314" t="s">
        <v>203</v>
      </c>
      <c r="OVG17" s="314" t="s">
        <v>203</v>
      </c>
      <c r="OVH17" s="314" t="s">
        <v>203</v>
      </c>
      <c r="OVI17" s="314" t="s">
        <v>203</v>
      </c>
      <c r="OVJ17" s="314" t="s">
        <v>203</v>
      </c>
      <c r="OVK17" s="314" t="s">
        <v>203</v>
      </c>
      <c r="OVL17" s="314" t="s">
        <v>203</v>
      </c>
      <c r="OVM17" s="314" t="s">
        <v>203</v>
      </c>
      <c r="OVN17" s="314" t="s">
        <v>203</v>
      </c>
      <c r="OVO17" s="314" t="s">
        <v>203</v>
      </c>
      <c r="OVP17" s="314" t="s">
        <v>203</v>
      </c>
      <c r="OVQ17" s="314" t="s">
        <v>203</v>
      </c>
      <c r="OVR17" s="314" t="s">
        <v>203</v>
      </c>
      <c r="OVS17" s="314" t="s">
        <v>203</v>
      </c>
      <c r="OVT17" s="314" t="s">
        <v>203</v>
      </c>
      <c r="OVU17" s="314" t="s">
        <v>203</v>
      </c>
      <c r="OVV17" s="314" t="s">
        <v>203</v>
      </c>
      <c r="OVW17" s="314" t="s">
        <v>203</v>
      </c>
      <c r="OVX17" s="314" t="s">
        <v>203</v>
      </c>
      <c r="OVY17" s="314" t="s">
        <v>203</v>
      </c>
      <c r="OVZ17" s="314" t="s">
        <v>203</v>
      </c>
      <c r="OWA17" s="314" t="s">
        <v>203</v>
      </c>
      <c r="OWB17" s="314" t="s">
        <v>203</v>
      </c>
      <c r="OWC17" s="314" t="s">
        <v>203</v>
      </c>
      <c r="OWD17" s="314" t="s">
        <v>203</v>
      </c>
      <c r="OWE17" s="314" t="s">
        <v>203</v>
      </c>
      <c r="OWF17" s="314" t="s">
        <v>203</v>
      </c>
      <c r="OWG17" s="314" t="s">
        <v>203</v>
      </c>
      <c r="OWH17" s="314" t="s">
        <v>203</v>
      </c>
      <c r="OWI17" s="314" t="s">
        <v>203</v>
      </c>
      <c r="OWJ17" s="314" t="s">
        <v>203</v>
      </c>
      <c r="OWK17" s="314" t="s">
        <v>203</v>
      </c>
      <c r="OWL17" s="314" t="s">
        <v>203</v>
      </c>
      <c r="OWM17" s="314" t="s">
        <v>203</v>
      </c>
      <c r="OWN17" s="314" t="s">
        <v>203</v>
      </c>
      <c r="OWO17" s="314" t="s">
        <v>203</v>
      </c>
      <c r="OWP17" s="314" t="s">
        <v>203</v>
      </c>
      <c r="OWQ17" s="314" t="s">
        <v>203</v>
      </c>
      <c r="OWR17" s="314" t="s">
        <v>203</v>
      </c>
      <c r="OWS17" s="314" t="s">
        <v>203</v>
      </c>
      <c r="OWT17" s="314" t="s">
        <v>203</v>
      </c>
      <c r="OWU17" s="314" t="s">
        <v>203</v>
      </c>
      <c r="OWV17" s="314" t="s">
        <v>203</v>
      </c>
      <c r="OWW17" s="314" t="s">
        <v>203</v>
      </c>
      <c r="OWX17" s="314" t="s">
        <v>203</v>
      </c>
      <c r="OWY17" s="314" t="s">
        <v>203</v>
      </c>
      <c r="OWZ17" s="314" t="s">
        <v>203</v>
      </c>
      <c r="OXA17" s="314" t="s">
        <v>203</v>
      </c>
      <c r="OXB17" s="314" t="s">
        <v>203</v>
      </c>
      <c r="OXC17" s="314" t="s">
        <v>203</v>
      </c>
      <c r="OXD17" s="314" t="s">
        <v>203</v>
      </c>
      <c r="OXE17" s="314" t="s">
        <v>203</v>
      </c>
      <c r="OXF17" s="314" t="s">
        <v>203</v>
      </c>
      <c r="OXG17" s="314" t="s">
        <v>203</v>
      </c>
      <c r="OXH17" s="314" t="s">
        <v>203</v>
      </c>
      <c r="OXI17" s="314" t="s">
        <v>203</v>
      </c>
      <c r="OXJ17" s="314" t="s">
        <v>203</v>
      </c>
      <c r="OXK17" s="314" t="s">
        <v>203</v>
      </c>
      <c r="OXL17" s="314" t="s">
        <v>203</v>
      </c>
      <c r="OXM17" s="314" t="s">
        <v>203</v>
      </c>
      <c r="OXN17" s="314" t="s">
        <v>203</v>
      </c>
      <c r="OXO17" s="314" t="s">
        <v>203</v>
      </c>
      <c r="OXP17" s="314" t="s">
        <v>203</v>
      </c>
      <c r="OXQ17" s="314" t="s">
        <v>203</v>
      </c>
      <c r="OXR17" s="314" t="s">
        <v>203</v>
      </c>
      <c r="OXS17" s="314" t="s">
        <v>203</v>
      </c>
      <c r="OXT17" s="314" t="s">
        <v>203</v>
      </c>
      <c r="OXU17" s="314" t="s">
        <v>203</v>
      </c>
      <c r="OXV17" s="314" t="s">
        <v>203</v>
      </c>
      <c r="OXW17" s="314" t="s">
        <v>203</v>
      </c>
      <c r="OXX17" s="314" t="s">
        <v>203</v>
      </c>
      <c r="OXY17" s="314" t="s">
        <v>203</v>
      </c>
      <c r="OXZ17" s="314" t="s">
        <v>203</v>
      </c>
      <c r="OYA17" s="314" t="s">
        <v>203</v>
      </c>
      <c r="OYB17" s="314" t="s">
        <v>203</v>
      </c>
      <c r="OYC17" s="314" t="s">
        <v>203</v>
      </c>
      <c r="OYD17" s="314" t="s">
        <v>203</v>
      </c>
      <c r="OYE17" s="314" t="s">
        <v>203</v>
      </c>
      <c r="OYF17" s="314" t="s">
        <v>203</v>
      </c>
      <c r="OYG17" s="314" t="s">
        <v>203</v>
      </c>
      <c r="OYH17" s="314" t="s">
        <v>203</v>
      </c>
      <c r="OYI17" s="314" t="s">
        <v>203</v>
      </c>
      <c r="OYJ17" s="314" t="s">
        <v>203</v>
      </c>
      <c r="OYK17" s="314" t="s">
        <v>203</v>
      </c>
      <c r="OYL17" s="314" t="s">
        <v>203</v>
      </c>
      <c r="OYM17" s="314" t="s">
        <v>203</v>
      </c>
      <c r="OYN17" s="314" t="s">
        <v>203</v>
      </c>
      <c r="OYO17" s="314" t="s">
        <v>203</v>
      </c>
      <c r="OYP17" s="314" t="s">
        <v>203</v>
      </c>
      <c r="OYQ17" s="314" t="s">
        <v>203</v>
      </c>
      <c r="OYR17" s="314" t="s">
        <v>203</v>
      </c>
      <c r="OYS17" s="314" t="s">
        <v>203</v>
      </c>
      <c r="OYT17" s="314" t="s">
        <v>203</v>
      </c>
      <c r="OYU17" s="314" t="s">
        <v>203</v>
      </c>
      <c r="OYV17" s="314" t="s">
        <v>203</v>
      </c>
      <c r="OYW17" s="314" t="s">
        <v>203</v>
      </c>
      <c r="OYX17" s="314" t="s">
        <v>203</v>
      </c>
      <c r="OYY17" s="314" t="s">
        <v>203</v>
      </c>
      <c r="OYZ17" s="314" t="s">
        <v>203</v>
      </c>
      <c r="OZA17" s="314" t="s">
        <v>203</v>
      </c>
      <c r="OZB17" s="314" t="s">
        <v>203</v>
      </c>
      <c r="OZC17" s="314" t="s">
        <v>203</v>
      </c>
      <c r="OZD17" s="314" t="s">
        <v>203</v>
      </c>
      <c r="OZE17" s="314" t="s">
        <v>203</v>
      </c>
      <c r="OZF17" s="314" t="s">
        <v>203</v>
      </c>
      <c r="OZG17" s="314" t="s">
        <v>203</v>
      </c>
      <c r="OZH17" s="314" t="s">
        <v>203</v>
      </c>
      <c r="OZI17" s="314" t="s">
        <v>203</v>
      </c>
      <c r="OZJ17" s="314" t="s">
        <v>203</v>
      </c>
      <c r="OZK17" s="314" t="s">
        <v>203</v>
      </c>
      <c r="OZL17" s="314" t="s">
        <v>203</v>
      </c>
      <c r="OZM17" s="314" t="s">
        <v>203</v>
      </c>
      <c r="OZN17" s="314" t="s">
        <v>203</v>
      </c>
      <c r="OZO17" s="314" t="s">
        <v>203</v>
      </c>
      <c r="OZP17" s="314" t="s">
        <v>203</v>
      </c>
      <c r="OZQ17" s="314" t="s">
        <v>203</v>
      </c>
      <c r="OZR17" s="314" t="s">
        <v>203</v>
      </c>
      <c r="OZS17" s="314" t="s">
        <v>203</v>
      </c>
      <c r="OZT17" s="314" t="s">
        <v>203</v>
      </c>
      <c r="OZU17" s="314" t="s">
        <v>203</v>
      </c>
      <c r="OZV17" s="314" t="s">
        <v>203</v>
      </c>
      <c r="OZW17" s="314" t="s">
        <v>203</v>
      </c>
      <c r="OZX17" s="314" t="s">
        <v>203</v>
      </c>
      <c r="OZY17" s="314" t="s">
        <v>203</v>
      </c>
      <c r="OZZ17" s="314" t="s">
        <v>203</v>
      </c>
      <c r="PAA17" s="314" t="s">
        <v>203</v>
      </c>
      <c r="PAB17" s="314" t="s">
        <v>203</v>
      </c>
      <c r="PAC17" s="314" t="s">
        <v>203</v>
      </c>
      <c r="PAD17" s="314" t="s">
        <v>203</v>
      </c>
      <c r="PAE17" s="314" t="s">
        <v>203</v>
      </c>
      <c r="PAF17" s="314" t="s">
        <v>203</v>
      </c>
      <c r="PAG17" s="314" t="s">
        <v>203</v>
      </c>
      <c r="PAH17" s="314" t="s">
        <v>203</v>
      </c>
      <c r="PAI17" s="314" t="s">
        <v>203</v>
      </c>
      <c r="PAJ17" s="314" t="s">
        <v>203</v>
      </c>
      <c r="PAK17" s="314" t="s">
        <v>203</v>
      </c>
      <c r="PAL17" s="314" t="s">
        <v>203</v>
      </c>
      <c r="PAM17" s="314" t="s">
        <v>203</v>
      </c>
      <c r="PAN17" s="314" t="s">
        <v>203</v>
      </c>
      <c r="PAO17" s="314" t="s">
        <v>203</v>
      </c>
      <c r="PAP17" s="314" t="s">
        <v>203</v>
      </c>
      <c r="PAQ17" s="314" t="s">
        <v>203</v>
      </c>
      <c r="PAR17" s="314" t="s">
        <v>203</v>
      </c>
      <c r="PAS17" s="314" t="s">
        <v>203</v>
      </c>
      <c r="PAT17" s="314" t="s">
        <v>203</v>
      </c>
      <c r="PAU17" s="314" t="s">
        <v>203</v>
      </c>
      <c r="PAV17" s="314" t="s">
        <v>203</v>
      </c>
      <c r="PAW17" s="314" t="s">
        <v>203</v>
      </c>
      <c r="PAX17" s="314" t="s">
        <v>203</v>
      </c>
      <c r="PAY17" s="314" t="s">
        <v>203</v>
      </c>
      <c r="PAZ17" s="314" t="s">
        <v>203</v>
      </c>
      <c r="PBA17" s="314" t="s">
        <v>203</v>
      </c>
      <c r="PBB17" s="314" t="s">
        <v>203</v>
      </c>
      <c r="PBC17" s="314" t="s">
        <v>203</v>
      </c>
      <c r="PBD17" s="314" t="s">
        <v>203</v>
      </c>
      <c r="PBE17" s="314" t="s">
        <v>203</v>
      </c>
      <c r="PBF17" s="314" t="s">
        <v>203</v>
      </c>
      <c r="PBG17" s="314" t="s">
        <v>203</v>
      </c>
      <c r="PBH17" s="314" t="s">
        <v>203</v>
      </c>
      <c r="PBI17" s="314" t="s">
        <v>203</v>
      </c>
      <c r="PBJ17" s="314" t="s">
        <v>203</v>
      </c>
      <c r="PBK17" s="314" t="s">
        <v>203</v>
      </c>
      <c r="PBL17" s="314" t="s">
        <v>203</v>
      </c>
      <c r="PBM17" s="314" t="s">
        <v>203</v>
      </c>
      <c r="PBN17" s="314" t="s">
        <v>203</v>
      </c>
      <c r="PBO17" s="314" t="s">
        <v>203</v>
      </c>
      <c r="PBP17" s="314" t="s">
        <v>203</v>
      </c>
      <c r="PBQ17" s="314" t="s">
        <v>203</v>
      </c>
      <c r="PBR17" s="314" t="s">
        <v>203</v>
      </c>
      <c r="PBS17" s="314" t="s">
        <v>203</v>
      </c>
      <c r="PBT17" s="314" t="s">
        <v>203</v>
      </c>
      <c r="PBU17" s="314" t="s">
        <v>203</v>
      </c>
      <c r="PBV17" s="314" t="s">
        <v>203</v>
      </c>
      <c r="PBW17" s="314" t="s">
        <v>203</v>
      </c>
      <c r="PBX17" s="314" t="s">
        <v>203</v>
      </c>
      <c r="PBY17" s="314" t="s">
        <v>203</v>
      </c>
      <c r="PBZ17" s="314" t="s">
        <v>203</v>
      </c>
      <c r="PCA17" s="314" t="s">
        <v>203</v>
      </c>
      <c r="PCB17" s="314" t="s">
        <v>203</v>
      </c>
      <c r="PCC17" s="314" t="s">
        <v>203</v>
      </c>
      <c r="PCD17" s="314" t="s">
        <v>203</v>
      </c>
      <c r="PCE17" s="314" t="s">
        <v>203</v>
      </c>
      <c r="PCF17" s="314" t="s">
        <v>203</v>
      </c>
      <c r="PCG17" s="314" t="s">
        <v>203</v>
      </c>
      <c r="PCH17" s="314" t="s">
        <v>203</v>
      </c>
      <c r="PCI17" s="314" t="s">
        <v>203</v>
      </c>
      <c r="PCJ17" s="314" t="s">
        <v>203</v>
      </c>
      <c r="PCK17" s="314" t="s">
        <v>203</v>
      </c>
      <c r="PCL17" s="314" t="s">
        <v>203</v>
      </c>
      <c r="PCM17" s="314" t="s">
        <v>203</v>
      </c>
      <c r="PCN17" s="314" t="s">
        <v>203</v>
      </c>
      <c r="PCO17" s="314" t="s">
        <v>203</v>
      </c>
      <c r="PCP17" s="314" t="s">
        <v>203</v>
      </c>
      <c r="PCQ17" s="314" t="s">
        <v>203</v>
      </c>
      <c r="PCR17" s="314" t="s">
        <v>203</v>
      </c>
      <c r="PCS17" s="314" t="s">
        <v>203</v>
      </c>
      <c r="PCT17" s="314" t="s">
        <v>203</v>
      </c>
      <c r="PCU17" s="314" t="s">
        <v>203</v>
      </c>
      <c r="PCV17" s="314" t="s">
        <v>203</v>
      </c>
      <c r="PCW17" s="314" t="s">
        <v>203</v>
      </c>
      <c r="PCX17" s="314" t="s">
        <v>203</v>
      </c>
      <c r="PCY17" s="314" t="s">
        <v>203</v>
      </c>
      <c r="PCZ17" s="314" t="s">
        <v>203</v>
      </c>
      <c r="PDA17" s="314" t="s">
        <v>203</v>
      </c>
      <c r="PDB17" s="314" t="s">
        <v>203</v>
      </c>
      <c r="PDC17" s="314" t="s">
        <v>203</v>
      </c>
      <c r="PDD17" s="314" t="s">
        <v>203</v>
      </c>
      <c r="PDE17" s="314" t="s">
        <v>203</v>
      </c>
      <c r="PDF17" s="314" t="s">
        <v>203</v>
      </c>
      <c r="PDG17" s="314" t="s">
        <v>203</v>
      </c>
      <c r="PDH17" s="314" t="s">
        <v>203</v>
      </c>
      <c r="PDI17" s="314" t="s">
        <v>203</v>
      </c>
      <c r="PDJ17" s="314" t="s">
        <v>203</v>
      </c>
      <c r="PDK17" s="314" t="s">
        <v>203</v>
      </c>
      <c r="PDL17" s="314" t="s">
        <v>203</v>
      </c>
      <c r="PDM17" s="314" t="s">
        <v>203</v>
      </c>
      <c r="PDN17" s="314" t="s">
        <v>203</v>
      </c>
      <c r="PDO17" s="314" t="s">
        <v>203</v>
      </c>
      <c r="PDP17" s="314" t="s">
        <v>203</v>
      </c>
      <c r="PDQ17" s="314" t="s">
        <v>203</v>
      </c>
      <c r="PDR17" s="314" t="s">
        <v>203</v>
      </c>
      <c r="PDS17" s="314" t="s">
        <v>203</v>
      </c>
      <c r="PDT17" s="314" t="s">
        <v>203</v>
      </c>
      <c r="PDU17" s="314" t="s">
        <v>203</v>
      </c>
      <c r="PDV17" s="314" t="s">
        <v>203</v>
      </c>
      <c r="PDW17" s="314" t="s">
        <v>203</v>
      </c>
      <c r="PDX17" s="314" t="s">
        <v>203</v>
      </c>
      <c r="PDY17" s="314" t="s">
        <v>203</v>
      </c>
      <c r="PDZ17" s="314" t="s">
        <v>203</v>
      </c>
      <c r="PEA17" s="314" t="s">
        <v>203</v>
      </c>
      <c r="PEB17" s="314" t="s">
        <v>203</v>
      </c>
      <c r="PEC17" s="314" t="s">
        <v>203</v>
      </c>
      <c r="PED17" s="314" t="s">
        <v>203</v>
      </c>
      <c r="PEE17" s="314" t="s">
        <v>203</v>
      </c>
      <c r="PEF17" s="314" t="s">
        <v>203</v>
      </c>
      <c r="PEG17" s="314" t="s">
        <v>203</v>
      </c>
      <c r="PEH17" s="314" t="s">
        <v>203</v>
      </c>
      <c r="PEI17" s="314" t="s">
        <v>203</v>
      </c>
      <c r="PEJ17" s="314" t="s">
        <v>203</v>
      </c>
      <c r="PEK17" s="314" t="s">
        <v>203</v>
      </c>
      <c r="PEL17" s="314" t="s">
        <v>203</v>
      </c>
      <c r="PEM17" s="314" t="s">
        <v>203</v>
      </c>
      <c r="PEN17" s="314" t="s">
        <v>203</v>
      </c>
      <c r="PEO17" s="314" t="s">
        <v>203</v>
      </c>
      <c r="PEP17" s="314" t="s">
        <v>203</v>
      </c>
      <c r="PEQ17" s="314" t="s">
        <v>203</v>
      </c>
      <c r="PER17" s="314" t="s">
        <v>203</v>
      </c>
      <c r="PES17" s="314" t="s">
        <v>203</v>
      </c>
      <c r="PET17" s="314" t="s">
        <v>203</v>
      </c>
      <c r="PEU17" s="314" t="s">
        <v>203</v>
      </c>
      <c r="PEV17" s="314" t="s">
        <v>203</v>
      </c>
      <c r="PEW17" s="314" t="s">
        <v>203</v>
      </c>
      <c r="PEX17" s="314" t="s">
        <v>203</v>
      </c>
      <c r="PEY17" s="314" t="s">
        <v>203</v>
      </c>
      <c r="PEZ17" s="314" t="s">
        <v>203</v>
      </c>
      <c r="PFA17" s="314" t="s">
        <v>203</v>
      </c>
      <c r="PFB17" s="314" t="s">
        <v>203</v>
      </c>
      <c r="PFC17" s="314" t="s">
        <v>203</v>
      </c>
      <c r="PFD17" s="314" t="s">
        <v>203</v>
      </c>
      <c r="PFE17" s="314" t="s">
        <v>203</v>
      </c>
      <c r="PFF17" s="314" t="s">
        <v>203</v>
      </c>
      <c r="PFG17" s="314" t="s">
        <v>203</v>
      </c>
      <c r="PFH17" s="314" t="s">
        <v>203</v>
      </c>
      <c r="PFI17" s="314" t="s">
        <v>203</v>
      </c>
      <c r="PFJ17" s="314" t="s">
        <v>203</v>
      </c>
      <c r="PFK17" s="314" t="s">
        <v>203</v>
      </c>
      <c r="PFL17" s="314" t="s">
        <v>203</v>
      </c>
      <c r="PFM17" s="314" t="s">
        <v>203</v>
      </c>
      <c r="PFN17" s="314" t="s">
        <v>203</v>
      </c>
      <c r="PFO17" s="314" t="s">
        <v>203</v>
      </c>
      <c r="PFP17" s="314" t="s">
        <v>203</v>
      </c>
      <c r="PFQ17" s="314" t="s">
        <v>203</v>
      </c>
      <c r="PFR17" s="314" t="s">
        <v>203</v>
      </c>
      <c r="PFS17" s="314" t="s">
        <v>203</v>
      </c>
      <c r="PFT17" s="314" t="s">
        <v>203</v>
      </c>
      <c r="PFU17" s="314" t="s">
        <v>203</v>
      </c>
      <c r="PFV17" s="314" t="s">
        <v>203</v>
      </c>
      <c r="PFW17" s="314" t="s">
        <v>203</v>
      </c>
      <c r="PFX17" s="314" t="s">
        <v>203</v>
      </c>
      <c r="PFY17" s="314" t="s">
        <v>203</v>
      </c>
      <c r="PFZ17" s="314" t="s">
        <v>203</v>
      </c>
      <c r="PGA17" s="314" t="s">
        <v>203</v>
      </c>
      <c r="PGB17" s="314" t="s">
        <v>203</v>
      </c>
      <c r="PGC17" s="314" t="s">
        <v>203</v>
      </c>
      <c r="PGD17" s="314" t="s">
        <v>203</v>
      </c>
      <c r="PGE17" s="314" t="s">
        <v>203</v>
      </c>
      <c r="PGF17" s="314" t="s">
        <v>203</v>
      </c>
      <c r="PGG17" s="314" t="s">
        <v>203</v>
      </c>
      <c r="PGH17" s="314" t="s">
        <v>203</v>
      </c>
      <c r="PGI17" s="314" t="s">
        <v>203</v>
      </c>
      <c r="PGJ17" s="314" t="s">
        <v>203</v>
      </c>
      <c r="PGK17" s="314" t="s">
        <v>203</v>
      </c>
      <c r="PGL17" s="314" t="s">
        <v>203</v>
      </c>
      <c r="PGM17" s="314" t="s">
        <v>203</v>
      </c>
      <c r="PGN17" s="314" t="s">
        <v>203</v>
      </c>
      <c r="PGO17" s="314" t="s">
        <v>203</v>
      </c>
      <c r="PGP17" s="314" t="s">
        <v>203</v>
      </c>
      <c r="PGQ17" s="314" t="s">
        <v>203</v>
      </c>
      <c r="PGR17" s="314" t="s">
        <v>203</v>
      </c>
      <c r="PGS17" s="314" t="s">
        <v>203</v>
      </c>
      <c r="PGT17" s="314" t="s">
        <v>203</v>
      </c>
      <c r="PGU17" s="314" t="s">
        <v>203</v>
      </c>
      <c r="PGV17" s="314" t="s">
        <v>203</v>
      </c>
      <c r="PGW17" s="314" t="s">
        <v>203</v>
      </c>
      <c r="PGX17" s="314" t="s">
        <v>203</v>
      </c>
      <c r="PGY17" s="314" t="s">
        <v>203</v>
      </c>
      <c r="PGZ17" s="314" t="s">
        <v>203</v>
      </c>
      <c r="PHA17" s="314" t="s">
        <v>203</v>
      </c>
      <c r="PHB17" s="314" t="s">
        <v>203</v>
      </c>
      <c r="PHC17" s="314" t="s">
        <v>203</v>
      </c>
      <c r="PHD17" s="314" t="s">
        <v>203</v>
      </c>
      <c r="PHE17" s="314" t="s">
        <v>203</v>
      </c>
      <c r="PHF17" s="314" t="s">
        <v>203</v>
      </c>
      <c r="PHG17" s="314" t="s">
        <v>203</v>
      </c>
      <c r="PHH17" s="314" t="s">
        <v>203</v>
      </c>
      <c r="PHI17" s="314" t="s">
        <v>203</v>
      </c>
      <c r="PHJ17" s="314" t="s">
        <v>203</v>
      </c>
      <c r="PHK17" s="314" t="s">
        <v>203</v>
      </c>
      <c r="PHL17" s="314" t="s">
        <v>203</v>
      </c>
      <c r="PHM17" s="314" t="s">
        <v>203</v>
      </c>
      <c r="PHN17" s="314" t="s">
        <v>203</v>
      </c>
      <c r="PHO17" s="314" t="s">
        <v>203</v>
      </c>
      <c r="PHP17" s="314" t="s">
        <v>203</v>
      </c>
      <c r="PHQ17" s="314" t="s">
        <v>203</v>
      </c>
      <c r="PHR17" s="314" t="s">
        <v>203</v>
      </c>
      <c r="PHS17" s="314" t="s">
        <v>203</v>
      </c>
      <c r="PHT17" s="314" t="s">
        <v>203</v>
      </c>
      <c r="PHU17" s="314" t="s">
        <v>203</v>
      </c>
      <c r="PHV17" s="314" t="s">
        <v>203</v>
      </c>
      <c r="PHW17" s="314" t="s">
        <v>203</v>
      </c>
      <c r="PHX17" s="314" t="s">
        <v>203</v>
      </c>
      <c r="PHY17" s="314" t="s">
        <v>203</v>
      </c>
      <c r="PHZ17" s="314" t="s">
        <v>203</v>
      </c>
      <c r="PIA17" s="314" t="s">
        <v>203</v>
      </c>
      <c r="PIB17" s="314" t="s">
        <v>203</v>
      </c>
      <c r="PIC17" s="314" t="s">
        <v>203</v>
      </c>
      <c r="PID17" s="314" t="s">
        <v>203</v>
      </c>
      <c r="PIE17" s="314" t="s">
        <v>203</v>
      </c>
      <c r="PIF17" s="314" t="s">
        <v>203</v>
      </c>
      <c r="PIG17" s="314" t="s">
        <v>203</v>
      </c>
      <c r="PIH17" s="314" t="s">
        <v>203</v>
      </c>
      <c r="PII17" s="314" t="s">
        <v>203</v>
      </c>
      <c r="PIJ17" s="314" t="s">
        <v>203</v>
      </c>
      <c r="PIK17" s="314" t="s">
        <v>203</v>
      </c>
      <c r="PIL17" s="314" t="s">
        <v>203</v>
      </c>
      <c r="PIM17" s="314" t="s">
        <v>203</v>
      </c>
      <c r="PIN17" s="314" t="s">
        <v>203</v>
      </c>
      <c r="PIO17" s="314" t="s">
        <v>203</v>
      </c>
      <c r="PIP17" s="314" t="s">
        <v>203</v>
      </c>
      <c r="PIQ17" s="314" t="s">
        <v>203</v>
      </c>
      <c r="PIR17" s="314" t="s">
        <v>203</v>
      </c>
      <c r="PIS17" s="314" t="s">
        <v>203</v>
      </c>
      <c r="PIT17" s="314" t="s">
        <v>203</v>
      </c>
      <c r="PIU17" s="314" t="s">
        <v>203</v>
      </c>
      <c r="PIV17" s="314" t="s">
        <v>203</v>
      </c>
      <c r="PIW17" s="314" t="s">
        <v>203</v>
      </c>
      <c r="PIX17" s="314" t="s">
        <v>203</v>
      </c>
      <c r="PIY17" s="314" t="s">
        <v>203</v>
      </c>
      <c r="PIZ17" s="314" t="s">
        <v>203</v>
      </c>
      <c r="PJA17" s="314" t="s">
        <v>203</v>
      </c>
      <c r="PJB17" s="314" t="s">
        <v>203</v>
      </c>
      <c r="PJC17" s="314" t="s">
        <v>203</v>
      </c>
      <c r="PJD17" s="314" t="s">
        <v>203</v>
      </c>
      <c r="PJE17" s="314" t="s">
        <v>203</v>
      </c>
      <c r="PJF17" s="314" t="s">
        <v>203</v>
      </c>
      <c r="PJG17" s="314" t="s">
        <v>203</v>
      </c>
      <c r="PJH17" s="314" t="s">
        <v>203</v>
      </c>
      <c r="PJI17" s="314" t="s">
        <v>203</v>
      </c>
      <c r="PJJ17" s="314" t="s">
        <v>203</v>
      </c>
      <c r="PJK17" s="314" t="s">
        <v>203</v>
      </c>
      <c r="PJL17" s="314" t="s">
        <v>203</v>
      </c>
      <c r="PJM17" s="314" t="s">
        <v>203</v>
      </c>
      <c r="PJN17" s="314" t="s">
        <v>203</v>
      </c>
      <c r="PJO17" s="314" t="s">
        <v>203</v>
      </c>
      <c r="PJP17" s="314" t="s">
        <v>203</v>
      </c>
      <c r="PJQ17" s="314" t="s">
        <v>203</v>
      </c>
      <c r="PJR17" s="314" t="s">
        <v>203</v>
      </c>
      <c r="PJS17" s="314" t="s">
        <v>203</v>
      </c>
      <c r="PJT17" s="314" t="s">
        <v>203</v>
      </c>
      <c r="PJU17" s="314" t="s">
        <v>203</v>
      </c>
      <c r="PJV17" s="314" t="s">
        <v>203</v>
      </c>
      <c r="PJW17" s="314" t="s">
        <v>203</v>
      </c>
      <c r="PJX17" s="314" t="s">
        <v>203</v>
      </c>
      <c r="PJY17" s="314" t="s">
        <v>203</v>
      </c>
      <c r="PJZ17" s="314" t="s">
        <v>203</v>
      </c>
      <c r="PKA17" s="314" t="s">
        <v>203</v>
      </c>
      <c r="PKB17" s="314" t="s">
        <v>203</v>
      </c>
      <c r="PKC17" s="314" t="s">
        <v>203</v>
      </c>
      <c r="PKD17" s="314" t="s">
        <v>203</v>
      </c>
      <c r="PKE17" s="314" t="s">
        <v>203</v>
      </c>
      <c r="PKF17" s="314" t="s">
        <v>203</v>
      </c>
      <c r="PKG17" s="314" t="s">
        <v>203</v>
      </c>
      <c r="PKH17" s="314" t="s">
        <v>203</v>
      </c>
      <c r="PKI17" s="314" t="s">
        <v>203</v>
      </c>
      <c r="PKJ17" s="314" t="s">
        <v>203</v>
      </c>
      <c r="PKK17" s="314" t="s">
        <v>203</v>
      </c>
      <c r="PKL17" s="314" t="s">
        <v>203</v>
      </c>
      <c r="PKM17" s="314" t="s">
        <v>203</v>
      </c>
      <c r="PKN17" s="314" t="s">
        <v>203</v>
      </c>
      <c r="PKO17" s="314" t="s">
        <v>203</v>
      </c>
      <c r="PKP17" s="314" t="s">
        <v>203</v>
      </c>
      <c r="PKQ17" s="314" t="s">
        <v>203</v>
      </c>
      <c r="PKR17" s="314" t="s">
        <v>203</v>
      </c>
      <c r="PKS17" s="314" t="s">
        <v>203</v>
      </c>
      <c r="PKT17" s="314" t="s">
        <v>203</v>
      </c>
      <c r="PKU17" s="314" t="s">
        <v>203</v>
      </c>
      <c r="PKV17" s="314" t="s">
        <v>203</v>
      </c>
      <c r="PKW17" s="314" t="s">
        <v>203</v>
      </c>
      <c r="PKX17" s="314" t="s">
        <v>203</v>
      </c>
      <c r="PKY17" s="314" t="s">
        <v>203</v>
      </c>
      <c r="PKZ17" s="314" t="s">
        <v>203</v>
      </c>
      <c r="PLA17" s="314" t="s">
        <v>203</v>
      </c>
      <c r="PLB17" s="314" t="s">
        <v>203</v>
      </c>
      <c r="PLC17" s="314" t="s">
        <v>203</v>
      </c>
      <c r="PLD17" s="314" t="s">
        <v>203</v>
      </c>
      <c r="PLE17" s="314" t="s">
        <v>203</v>
      </c>
      <c r="PLF17" s="314" t="s">
        <v>203</v>
      </c>
      <c r="PLG17" s="314" t="s">
        <v>203</v>
      </c>
      <c r="PLH17" s="314" t="s">
        <v>203</v>
      </c>
      <c r="PLI17" s="314" t="s">
        <v>203</v>
      </c>
      <c r="PLJ17" s="314" t="s">
        <v>203</v>
      </c>
      <c r="PLK17" s="314" t="s">
        <v>203</v>
      </c>
      <c r="PLL17" s="314" t="s">
        <v>203</v>
      </c>
      <c r="PLM17" s="314" t="s">
        <v>203</v>
      </c>
      <c r="PLN17" s="314" t="s">
        <v>203</v>
      </c>
      <c r="PLO17" s="314" t="s">
        <v>203</v>
      </c>
      <c r="PLP17" s="314" t="s">
        <v>203</v>
      </c>
      <c r="PLQ17" s="314" t="s">
        <v>203</v>
      </c>
      <c r="PLR17" s="314" t="s">
        <v>203</v>
      </c>
      <c r="PLS17" s="314" t="s">
        <v>203</v>
      </c>
      <c r="PLT17" s="314" t="s">
        <v>203</v>
      </c>
      <c r="PLU17" s="314" t="s">
        <v>203</v>
      </c>
      <c r="PLV17" s="314" t="s">
        <v>203</v>
      </c>
      <c r="PLW17" s="314" t="s">
        <v>203</v>
      </c>
      <c r="PLX17" s="314" t="s">
        <v>203</v>
      </c>
      <c r="PLY17" s="314" t="s">
        <v>203</v>
      </c>
      <c r="PLZ17" s="314" t="s">
        <v>203</v>
      </c>
      <c r="PMA17" s="314" t="s">
        <v>203</v>
      </c>
      <c r="PMB17" s="314" t="s">
        <v>203</v>
      </c>
      <c r="PMC17" s="314" t="s">
        <v>203</v>
      </c>
      <c r="PMD17" s="314" t="s">
        <v>203</v>
      </c>
      <c r="PME17" s="314" t="s">
        <v>203</v>
      </c>
      <c r="PMF17" s="314" t="s">
        <v>203</v>
      </c>
      <c r="PMG17" s="314" t="s">
        <v>203</v>
      </c>
      <c r="PMH17" s="314" t="s">
        <v>203</v>
      </c>
      <c r="PMI17" s="314" t="s">
        <v>203</v>
      </c>
      <c r="PMJ17" s="314" t="s">
        <v>203</v>
      </c>
      <c r="PMK17" s="314" t="s">
        <v>203</v>
      </c>
      <c r="PML17" s="314" t="s">
        <v>203</v>
      </c>
      <c r="PMM17" s="314" t="s">
        <v>203</v>
      </c>
      <c r="PMN17" s="314" t="s">
        <v>203</v>
      </c>
      <c r="PMO17" s="314" t="s">
        <v>203</v>
      </c>
      <c r="PMP17" s="314" t="s">
        <v>203</v>
      </c>
      <c r="PMQ17" s="314" t="s">
        <v>203</v>
      </c>
      <c r="PMR17" s="314" t="s">
        <v>203</v>
      </c>
      <c r="PMS17" s="314" t="s">
        <v>203</v>
      </c>
      <c r="PMT17" s="314" t="s">
        <v>203</v>
      </c>
      <c r="PMU17" s="314" t="s">
        <v>203</v>
      </c>
      <c r="PMV17" s="314" t="s">
        <v>203</v>
      </c>
      <c r="PMW17" s="314" t="s">
        <v>203</v>
      </c>
      <c r="PMX17" s="314" t="s">
        <v>203</v>
      </c>
      <c r="PMY17" s="314" t="s">
        <v>203</v>
      </c>
      <c r="PMZ17" s="314" t="s">
        <v>203</v>
      </c>
      <c r="PNA17" s="314" t="s">
        <v>203</v>
      </c>
      <c r="PNB17" s="314" t="s">
        <v>203</v>
      </c>
      <c r="PNC17" s="314" t="s">
        <v>203</v>
      </c>
      <c r="PND17" s="314" t="s">
        <v>203</v>
      </c>
      <c r="PNE17" s="314" t="s">
        <v>203</v>
      </c>
      <c r="PNF17" s="314" t="s">
        <v>203</v>
      </c>
      <c r="PNG17" s="314" t="s">
        <v>203</v>
      </c>
      <c r="PNH17" s="314" t="s">
        <v>203</v>
      </c>
      <c r="PNI17" s="314" t="s">
        <v>203</v>
      </c>
      <c r="PNJ17" s="314" t="s">
        <v>203</v>
      </c>
      <c r="PNK17" s="314" t="s">
        <v>203</v>
      </c>
      <c r="PNL17" s="314" t="s">
        <v>203</v>
      </c>
      <c r="PNM17" s="314" t="s">
        <v>203</v>
      </c>
      <c r="PNN17" s="314" t="s">
        <v>203</v>
      </c>
      <c r="PNO17" s="314" t="s">
        <v>203</v>
      </c>
      <c r="PNP17" s="314" t="s">
        <v>203</v>
      </c>
      <c r="PNQ17" s="314" t="s">
        <v>203</v>
      </c>
      <c r="PNR17" s="314" t="s">
        <v>203</v>
      </c>
      <c r="PNS17" s="314" t="s">
        <v>203</v>
      </c>
      <c r="PNT17" s="314" t="s">
        <v>203</v>
      </c>
      <c r="PNU17" s="314" t="s">
        <v>203</v>
      </c>
      <c r="PNV17" s="314" t="s">
        <v>203</v>
      </c>
      <c r="PNW17" s="314" t="s">
        <v>203</v>
      </c>
      <c r="PNX17" s="314" t="s">
        <v>203</v>
      </c>
      <c r="PNY17" s="314" t="s">
        <v>203</v>
      </c>
      <c r="PNZ17" s="314" t="s">
        <v>203</v>
      </c>
      <c r="POA17" s="314" t="s">
        <v>203</v>
      </c>
      <c r="POB17" s="314" t="s">
        <v>203</v>
      </c>
      <c r="POC17" s="314" t="s">
        <v>203</v>
      </c>
      <c r="POD17" s="314" t="s">
        <v>203</v>
      </c>
      <c r="POE17" s="314" t="s">
        <v>203</v>
      </c>
      <c r="POF17" s="314" t="s">
        <v>203</v>
      </c>
      <c r="POG17" s="314" t="s">
        <v>203</v>
      </c>
      <c r="POH17" s="314" t="s">
        <v>203</v>
      </c>
      <c r="POI17" s="314" t="s">
        <v>203</v>
      </c>
      <c r="POJ17" s="314" t="s">
        <v>203</v>
      </c>
      <c r="POK17" s="314" t="s">
        <v>203</v>
      </c>
      <c r="POL17" s="314" t="s">
        <v>203</v>
      </c>
      <c r="POM17" s="314" t="s">
        <v>203</v>
      </c>
      <c r="PON17" s="314" t="s">
        <v>203</v>
      </c>
      <c r="POO17" s="314" t="s">
        <v>203</v>
      </c>
      <c r="POP17" s="314" t="s">
        <v>203</v>
      </c>
      <c r="POQ17" s="314" t="s">
        <v>203</v>
      </c>
      <c r="POR17" s="314" t="s">
        <v>203</v>
      </c>
      <c r="POS17" s="314" t="s">
        <v>203</v>
      </c>
      <c r="POT17" s="314" t="s">
        <v>203</v>
      </c>
      <c r="POU17" s="314" t="s">
        <v>203</v>
      </c>
      <c r="POV17" s="314" t="s">
        <v>203</v>
      </c>
      <c r="POW17" s="314" t="s">
        <v>203</v>
      </c>
      <c r="POX17" s="314" t="s">
        <v>203</v>
      </c>
      <c r="POY17" s="314" t="s">
        <v>203</v>
      </c>
      <c r="POZ17" s="314" t="s">
        <v>203</v>
      </c>
      <c r="PPA17" s="314" t="s">
        <v>203</v>
      </c>
      <c r="PPB17" s="314" t="s">
        <v>203</v>
      </c>
      <c r="PPC17" s="314" t="s">
        <v>203</v>
      </c>
      <c r="PPD17" s="314" t="s">
        <v>203</v>
      </c>
      <c r="PPE17" s="314" t="s">
        <v>203</v>
      </c>
      <c r="PPF17" s="314" t="s">
        <v>203</v>
      </c>
      <c r="PPG17" s="314" t="s">
        <v>203</v>
      </c>
      <c r="PPH17" s="314" t="s">
        <v>203</v>
      </c>
      <c r="PPI17" s="314" t="s">
        <v>203</v>
      </c>
      <c r="PPJ17" s="314" t="s">
        <v>203</v>
      </c>
      <c r="PPK17" s="314" t="s">
        <v>203</v>
      </c>
      <c r="PPL17" s="314" t="s">
        <v>203</v>
      </c>
      <c r="PPM17" s="314" t="s">
        <v>203</v>
      </c>
      <c r="PPN17" s="314" t="s">
        <v>203</v>
      </c>
      <c r="PPO17" s="314" t="s">
        <v>203</v>
      </c>
      <c r="PPP17" s="314" t="s">
        <v>203</v>
      </c>
      <c r="PPQ17" s="314" t="s">
        <v>203</v>
      </c>
      <c r="PPR17" s="314" t="s">
        <v>203</v>
      </c>
      <c r="PPS17" s="314" t="s">
        <v>203</v>
      </c>
      <c r="PPT17" s="314" t="s">
        <v>203</v>
      </c>
      <c r="PPU17" s="314" t="s">
        <v>203</v>
      </c>
      <c r="PPV17" s="314" t="s">
        <v>203</v>
      </c>
      <c r="PPW17" s="314" t="s">
        <v>203</v>
      </c>
      <c r="PPX17" s="314" t="s">
        <v>203</v>
      </c>
      <c r="PPY17" s="314" t="s">
        <v>203</v>
      </c>
      <c r="PPZ17" s="314" t="s">
        <v>203</v>
      </c>
      <c r="PQA17" s="314" t="s">
        <v>203</v>
      </c>
      <c r="PQB17" s="314" t="s">
        <v>203</v>
      </c>
      <c r="PQC17" s="314" t="s">
        <v>203</v>
      </c>
      <c r="PQD17" s="314" t="s">
        <v>203</v>
      </c>
      <c r="PQE17" s="314" t="s">
        <v>203</v>
      </c>
      <c r="PQF17" s="314" t="s">
        <v>203</v>
      </c>
      <c r="PQG17" s="314" t="s">
        <v>203</v>
      </c>
      <c r="PQH17" s="314" t="s">
        <v>203</v>
      </c>
      <c r="PQI17" s="314" t="s">
        <v>203</v>
      </c>
      <c r="PQJ17" s="314" t="s">
        <v>203</v>
      </c>
      <c r="PQK17" s="314" t="s">
        <v>203</v>
      </c>
      <c r="PQL17" s="314" t="s">
        <v>203</v>
      </c>
      <c r="PQM17" s="314" t="s">
        <v>203</v>
      </c>
      <c r="PQN17" s="314" t="s">
        <v>203</v>
      </c>
      <c r="PQO17" s="314" t="s">
        <v>203</v>
      </c>
      <c r="PQP17" s="314" t="s">
        <v>203</v>
      </c>
      <c r="PQQ17" s="314" t="s">
        <v>203</v>
      </c>
      <c r="PQR17" s="314" t="s">
        <v>203</v>
      </c>
      <c r="PQS17" s="314" t="s">
        <v>203</v>
      </c>
      <c r="PQT17" s="314" t="s">
        <v>203</v>
      </c>
      <c r="PQU17" s="314" t="s">
        <v>203</v>
      </c>
      <c r="PQV17" s="314" t="s">
        <v>203</v>
      </c>
      <c r="PQW17" s="314" t="s">
        <v>203</v>
      </c>
      <c r="PQX17" s="314" t="s">
        <v>203</v>
      </c>
      <c r="PQY17" s="314" t="s">
        <v>203</v>
      </c>
      <c r="PQZ17" s="314" t="s">
        <v>203</v>
      </c>
      <c r="PRA17" s="314" t="s">
        <v>203</v>
      </c>
      <c r="PRB17" s="314" t="s">
        <v>203</v>
      </c>
      <c r="PRC17" s="314" t="s">
        <v>203</v>
      </c>
      <c r="PRD17" s="314" t="s">
        <v>203</v>
      </c>
      <c r="PRE17" s="314" t="s">
        <v>203</v>
      </c>
      <c r="PRF17" s="314" t="s">
        <v>203</v>
      </c>
      <c r="PRG17" s="314" t="s">
        <v>203</v>
      </c>
      <c r="PRH17" s="314" t="s">
        <v>203</v>
      </c>
      <c r="PRI17" s="314" t="s">
        <v>203</v>
      </c>
      <c r="PRJ17" s="314" t="s">
        <v>203</v>
      </c>
      <c r="PRK17" s="314" t="s">
        <v>203</v>
      </c>
      <c r="PRL17" s="314" t="s">
        <v>203</v>
      </c>
      <c r="PRM17" s="314" t="s">
        <v>203</v>
      </c>
      <c r="PRN17" s="314" t="s">
        <v>203</v>
      </c>
      <c r="PRO17" s="314" t="s">
        <v>203</v>
      </c>
      <c r="PRP17" s="314" t="s">
        <v>203</v>
      </c>
      <c r="PRQ17" s="314" t="s">
        <v>203</v>
      </c>
      <c r="PRR17" s="314" t="s">
        <v>203</v>
      </c>
      <c r="PRS17" s="314" t="s">
        <v>203</v>
      </c>
      <c r="PRT17" s="314" t="s">
        <v>203</v>
      </c>
      <c r="PRU17" s="314" t="s">
        <v>203</v>
      </c>
      <c r="PRV17" s="314" t="s">
        <v>203</v>
      </c>
      <c r="PRW17" s="314" t="s">
        <v>203</v>
      </c>
      <c r="PRX17" s="314" t="s">
        <v>203</v>
      </c>
      <c r="PRY17" s="314" t="s">
        <v>203</v>
      </c>
      <c r="PRZ17" s="314" t="s">
        <v>203</v>
      </c>
      <c r="PSA17" s="314" t="s">
        <v>203</v>
      </c>
      <c r="PSB17" s="314" t="s">
        <v>203</v>
      </c>
      <c r="PSC17" s="314" t="s">
        <v>203</v>
      </c>
      <c r="PSD17" s="314" t="s">
        <v>203</v>
      </c>
      <c r="PSE17" s="314" t="s">
        <v>203</v>
      </c>
      <c r="PSF17" s="314" t="s">
        <v>203</v>
      </c>
      <c r="PSG17" s="314" t="s">
        <v>203</v>
      </c>
      <c r="PSH17" s="314" t="s">
        <v>203</v>
      </c>
      <c r="PSI17" s="314" t="s">
        <v>203</v>
      </c>
      <c r="PSJ17" s="314" t="s">
        <v>203</v>
      </c>
      <c r="PSK17" s="314" t="s">
        <v>203</v>
      </c>
      <c r="PSL17" s="314" t="s">
        <v>203</v>
      </c>
      <c r="PSM17" s="314" t="s">
        <v>203</v>
      </c>
      <c r="PSN17" s="314" t="s">
        <v>203</v>
      </c>
      <c r="PSO17" s="314" t="s">
        <v>203</v>
      </c>
      <c r="PSP17" s="314" t="s">
        <v>203</v>
      </c>
      <c r="PSQ17" s="314" t="s">
        <v>203</v>
      </c>
      <c r="PSR17" s="314" t="s">
        <v>203</v>
      </c>
      <c r="PSS17" s="314" t="s">
        <v>203</v>
      </c>
      <c r="PST17" s="314" t="s">
        <v>203</v>
      </c>
      <c r="PSU17" s="314" t="s">
        <v>203</v>
      </c>
      <c r="PSV17" s="314" t="s">
        <v>203</v>
      </c>
      <c r="PSW17" s="314" t="s">
        <v>203</v>
      </c>
      <c r="PSX17" s="314" t="s">
        <v>203</v>
      </c>
      <c r="PSY17" s="314" t="s">
        <v>203</v>
      </c>
      <c r="PSZ17" s="314" t="s">
        <v>203</v>
      </c>
      <c r="PTA17" s="314" t="s">
        <v>203</v>
      </c>
      <c r="PTB17" s="314" t="s">
        <v>203</v>
      </c>
      <c r="PTC17" s="314" t="s">
        <v>203</v>
      </c>
      <c r="PTD17" s="314" t="s">
        <v>203</v>
      </c>
      <c r="PTE17" s="314" t="s">
        <v>203</v>
      </c>
      <c r="PTF17" s="314" t="s">
        <v>203</v>
      </c>
      <c r="PTG17" s="314" t="s">
        <v>203</v>
      </c>
      <c r="PTH17" s="314" t="s">
        <v>203</v>
      </c>
      <c r="PTI17" s="314" t="s">
        <v>203</v>
      </c>
      <c r="PTJ17" s="314" t="s">
        <v>203</v>
      </c>
      <c r="PTK17" s="314" t="s">
        <v>203</v>
      </c>
      <c r="PTL17" s="314" t="s">
        <v>203</v>
      </c>
      <c r="PTM17" s="314" t="s">
        <v>203</v>
      </c>
      <c r="PTN17" s="314" t="s">
        <v>203</v>
      </c>
      <c r="PTO17" s="314" t="s">
        <v>203</v>
      </c>
      <c r="PTP17" s="314" t="s">
        <v>203</v>
      </c>
      <c r="PTQ17" s="314" t="s">
        <v>203</v>
      </c>
      <c r="PTR17" s="314" t="s">
        <v>203</v>
      </c>
      <c r="PTS17" s="314" t="s">
        <v>203</v>
      </c>
      <c r="PTT17" s="314" t="s">
        <v>203</v>
      </c>
      <c r="PTU17" s="314" t="s">
        <v>203</v>
      </c>
      <c r="PTV17" s="314" t="s">
        <v>203</v>
      </c>
      <c r="PTW17" s="314" t="s">
        <v>203</v>
      </c>
      <c r="PTX17" s="314" t="s">
        <v>203</v>
      </c>
      <c r="PTY17" s="314" t="s">
        <v>203</v>
      </c>
      <c r="PTZ17" s="314" t="s">
        <v>203</v>
      </c>
      <c r="PUA17" s="314" t="s">
        <v>203</v>
      </c>
      <c r="PUB17" s="314" t="s">
        <v>203</v>
      </c>
      <c r="PUC17" s="314" t="s">
        <v>203</v>
      </c>
      <c r="PUD17" s="314" t="s">
        <v>203</v>
      </c>
      <c r="PUE17" s="314" t="s">
        <v>203</v>
      </c>
      <c r="PUF17" s="314" t="s">
        <v>203</v>
      </c>
      <c r="PUG17" s="314" t="s">
        <v>203</v>
      </c>
      <c r="PUH17" s="314" t="s">
        <v>203</v>
      </c>
      <c r="PUI17" s="314" t="s">
        <v>203</v>
      </c>
      <c r="PUJ17" s="314" t="s">
        <v>203</v>
      </c>
      <c r="PUK17" s="314" t="s">
        <v>203</v>
      </c>
      <c r="PUL17" s="314" t="s">
        <v>203</v>
      </c>
      <c r="PUM17" s="314" t="s">
        <v>203</v>
      </c>
      <c r="PUN17" s="314" t="s">
        <v>203</v>
      </c>
      <c r="PUO17" s="314" t="s">
        <v>203</v>
      </c>
      <c r="PUP17" s="314" t="s">
        <v>203</v>
      </c>
      <c r="PUQ17" s="314" t="s">
        <v>203</v>
      </c>
      <c r="PUR17" s="314" t="s">
        <v>203</v>
      </c>
      <c r="PUS17" s="314" t="s">
        <v>203</v>
      </c>
      <c r="PUT17" s="314" t="s">
        <v>203</v>
      </c>
      <c r="PUU17" s="314" t="s">
        <v>203</v>
      </c>
      <c r="PUV17" s="314" t="s">
        <v>203</v>
      </c>
      <c r="PUW17" s="314" t="s">
        <v>203</v>
      </c>
      <c r="PUX17" s="314" t="s">
        <v>203</v>
      </c>
      <c r="PUY17" s="314" t="s">
        <v>203</v>
      </c>
      <c r="PUZ17" s="314" t="s">
        <v>203</v>
      </c>
      <c r="PVA17" s="314" t="s">
        <v>203</v>
      </c>
      <c r="PVB17" s="314" t="s">
        <v>203</v>
      </c>
      <c r="PVC17" s="314" t="s">
        <v>203</v>
      </c>
      <c r="PVD17" s="314" t="s">
        <v>203</v>
      </c>
      <c r="PVE17" s="314" t="s">
        <v>203</v>
      </c>
      <c r="PVF17" s="314" t="s">
        <v>203</v>
      </c>
      <c r="PVG17" s="314" t="s">
        <v>203</v>
      </c>
      <c r="PVH17" s="314" t="s">
        <v>203</v>
      </c>
      <c r="PVI17" s="314" t="s">
        <v>203</v>
      </c>
      <c r="PVJ17" s="314" t="s">
        <v>203</v>
      </c>
      <c r="PVK17" s="314" t="s">
        <v>203</v>
      </c>
      <c r="PVL17" s="314" t="s">
        <v>203</v>
      </c>
      <c r="PVM17" s="314" t="s">
        <v>203</v>
      </c>
      <c r="PVN17" s="314" t="s">
        <v>203</v>
      </c>
      <c r="PVO17" s="314" t="s">
        <v>203</v>
      </c>
      <c r="PVP17" s="314" t="s">
        <v>203</v>
      </c>
      <c r="PVQ17" s="314" t="s">
        <v>203</v>
      </c>
      <c r="PVR17" s="314" t="s">
        <v>203</v>
      </c>
      <c r="PVS17" s="314" t="s">
        <v>203</v>
      </c>
      <c r="PVT17" s="314" t="s">
        <v>203</v>
      </c>
      <c r="PVU17" s="314" t="s">
        <v>203</v>
      </c>
      <c r="PVV17" s="314" t="s">
        <v>203</v>
      </c>
      <c r="PVW17" s="314" t="s">
        <v>203</v>
      </c>
      <c r="PVX17" s="314" t="s">
        <v>203</v>
      </c>
      <c r="PVY17" s="314" t="s">
        <v>203</v>
      </c>
      <c r="PVZ17" s="314" t="s">
        <v>203</v>
      </c>
      <c r="PWA17" s="314" t="s">
        <v>203</v>
      </c>
      <c r="PWB17" s="314" t="s">
        <v>203</v>
      </c>
      <c r="PWC17" s="314" t="s">
        <v>203</v>
      </c>
      <c r="PWD17" s="314" t="s">
        <v>203</v>
      </c>
      <c r="PWE17" s="314" t="s">
        <v>203</v>
      </c>
      <c r="PWF17" s="314" t="s">
        <v>203</v>
      </c>
      <c r="PWG17" s="314" t="s">
        <v>203</v>
      </c>
      <c r="PWH17" s="314" t="s">
        <v>203</v>
      </c>
      <c r="PWI17" s="314" t="s">
        <v>203</v>
      </c>
      <c r="PWJ17" s="314" t="s">
        <v>203</v>
      </c>
      <c r="PWK17" s="314" t="s">
        <v>203</v>
      </c>
      <c r="PWL17" s="314" t="s">
        <v>203</v>
      </c>
      <c r="PWM17" s="314" t="s">
        <v>203</v>
      </c>
      <c r="PWN17" s="314" t="s">
        <v>203</v>
      </c>
      <c r="PWO17" s="314" t="s">
        <v>203</v>
      </c>
      <c r="PWP17" s="314" t="s">
        <v>203</v>
      </c>
      <c r="PWQ17" s="314" t="s">
        <v>203</v>
      </c>
      <c r="PWR17" s="314" t="s">
        <v>203</v>
      </c>
      <c r="PWS17" s="314" t="s">
        <v>203</v>
      </c>
      <c r="PWT17" s="314" t="s">
        <v>203</v>
      </c>
      <c r="PWU17" s="314" t="s">
        <v>203</v>
      </c>
      <c r="PWV17" s="314" t="s">
        <v>203</v>
      </c>
      <c r="PWW17" s="314" t="s">
        <v>203</v>
      </c>
      <c r="PWX17" s="314" t="s">
        <v>203</v>
      </c>
      <c r="PWY17" s="314" t="s">
        <v>203</v>
      </c>
      <c r="PWZ17" s="314" t="s">
        <v>203</v>
      </c>
      <c r="PXA17" s="314" t="s">
        <v>203</v>
      </c>
      <c r="PXB17" s="314" t="s">
        <v>203</v>
      </c>
      <c r="PXC17" s="314" t="s">
        <v>203</v>
      </c>
      <c r="PXD17" s="314" t="s">
        <v>203</v>
      </c>
      <c r="PXE17" s="314" t="s">
        <v>203</v>
      </c>
      <c r="PXF17" s="314" t="s">
        <v>203</v>
      </c>
      <c r="PXG17" s="314" t="s">
        <v>203</v>
      </c>
      <c r="PXH17" s="314" t="s">
        <v>203</v>
      </c>
      <c r="PXI17" s="314" t="s">
        <v>203</v>
      </c>
      <c r="PXJ17" s="314" t="s">
        <v>203</v>
      </c>
      <c r="PXK17" s="314" t="s">
        <v>203</v>
      </c>
      <c r="PXL17" s="314" t="s">
        <v>203</v>
      </c>
      <c r="PXM17" s="314" t="s">
        <v>203</v>
      </c>
      <c r="PXN17" s="314" t="s">
        <v>203</v>
      </c>
      <c r="PXO17" s="314" t="s">
        <v>203</v>
      </c>
      <c r="PXP17" s="314" t="s">
        <v>203</v>
      </c>
      <c r="PXQ17" s="314" t="s">
        <v>203</v>
      </c>
      <c r="PXR17" s="314" t="s">
        <v>203</v>
      </c>
      <c r="PXS17" s="314" t="s">
        <v>203</v>
      </c>
      <c r="PXT17" s="314" t="s">
        <v>203</v>
      </c>
      <c r="PXU17" s="314" t="s">
        <v>203</v>
      </c>
      <c r="PXV17" s="314" t="s">
        <v>203</v>
      </c>
      <c r="PXW17" s="314" t="s">
        <v>203</v>
      </c>
      <c r="PXX17" s="314" t="s">
        <v>203</v>
      </c>
      <c r="PXY17" s="314" t="s">
        <v>203</v>
      </c>
      <c r="PXZ17" s="314" t="s">
        <v>203</v>
      </c>
      <c r="PYA17" s="314" t="s">
        <v>203</v>
      </c>
      <c r="PYB17" s="314" t="s">
        <v>203</v>
      </c>
      <c r="PYC17" s="314" t="s">
        <v>203</v>
      </c>
      <c r="PYD17" s="314" t="s">
        <v>203</v>
      </c>
      <c r="PYE17" s="314" t="s">
        <v>203</v>
      </c>
      <c r="PYF17" s="314" t="s">
        <v>203</v>
      </c>
      <c r="PYG17" s="314" t="s">
        <v>203</v>
      </c>
      <c r="PYH17" s="314" t="s">
        <v>203</v>
      </c>
      <c r="PYI17" s="314" t="s">
        <v>203</v>
      </c>
      <c r="PYJ17" s="314" t="s">
        <v>203</v>
      </c>
      <c r="PYK17" s="314" t="s">
        <v>203</v>
      </c>
      <c r="PYL17" s="314" t="s">
        <v>203</v>
      </c>
      <c r="PYM17" s="314" t="s">
        <v>203</v>
      </c>
      <c r="PYN17" s="314" t="s">
        <v>203</v>
      </c>
      <c r="PYO17" s="314" t="s">
        <v>203</v>
      </c>
      <c r="PYP17" s="314" t="s">
        <v>203</v>
      </c>
      <c r="PYQ17" s="314" t="s">
        <v>203</v>
      </c>
      <c r="PYR17" s="314" t="s">
        <v>203</v>
      </c>
      <c r="PYS17" s="314" t="s">
        <v>203</v>
      </c>
      <c r="PYT17" s="314" t="s">
        <v>203</v>
      </c>
      <c r="PYU17" s="314" t="s">
        <v>203</v>
      </c>
      <c r="PYV17" s="314" t="s">
        <v>203</v>
      </c>
      <c r="PYW17" s="314" t="s">
        <v>203</v>
      </c>
      <c r="PYX17" s="314" t="s">
        <v>203</v>
      </c>
      <c r="PYY17" s="314" t="s">
        <v>203</v>
      </c>
      <c r="PYZ17" s="314" t="s">
        <v>203</v>
      </c>
      <c r="PZA17" s="314" t="s">
        <v>203</v>
      </c>
      <c r="PZB17" s="314" t="s">
        <v>203</v>
      </c>
      <c r="PZC17" s="314" t="s">
        <v>203</v>
      </c>
      <c r="PZD17" s="314" t="s">
        <v>203</v>
      </c>
      <c r="PZE17" s="314" t="s">
        <v>203</v>
      </c>
      <c r="PZF17" s="314" t="s">
        <v>203</v>
      </c>
      <c r="PZG17" s="314" t="s">
        <v>203</v>
      </c>
      <c r="PZH17" s="314" t="s">
        <v>203</v>
      </c>
      <c r="PZI17" s="314" t="s">
        <v>203</v>
      </c>
      <c r="PZJ17" s="314" t="s">
        <v>203</v>
      </c>
      <c r="PZK17" s="314" t="s">
        <v>203</v>
      </c>
      <c r="PZL17" s="314" t="s">
        <v>203</v>
      </c>
      <c r="PZM17" s="314" t="s">
        <v>203</v>
      </c>
      <c r="PZN17" s="314" t="s">
        <v>203</v>
      </c>
      <c r="PZO17" s="314" t="s">
        <v>203</v>
      </c>
      <c r="PZP17" s="314" t="s">
        <v>203</v>
      </c>
      <c r="PZQ17" s="314" t="s">
        <v>203</v>
      </c>
      <c r="PZR17" s="314" t="s">
        <v>203</v>
      </c>
      <c r="PZS17" s="314" t="s">
        <v>203</v>
      </c>
      <c r="PZT17" s="314" t="s">
        <v>203</v>
      </c>
      <c r="PZU17" s="314" t="s">
        <v>203</v>
      </c>
      <c r="PZV17" s="314" t="s">
        <v>203</v>
      </c>
      <c r="PZW17" s="314" t="s">
        <v>203</v>
      </c>
      <c r="PZX17" s="314" t="s">
        <v>203</v>
      </c>
      <c r="PZY17" s="314" t="s">
        <v>203</v>
      </c>
      <c r="PZZ17" s="314" t="s">
        <v>203</v>
      </c>
      <c r="QAA17" s="314" t="s">
        <v>203</v>
      </c>
      <c r="QAB17" s="314" t="s">
        <v>203</v>
      </c>
      <c r="QAC17" s="314" t="s">
        <v>203</v>
      </c>
      <c r="QAD17" s="314" t="s">
        <v>203</v>
      </c>
      <c r="QAE17" s="314" t="s">
        <v>203</v>
      </c>
      <c r="QAF17" s="314" t="s">
        <v>203</v>
      </c>
      <c r="QAG17" s="314" t="s">
        <v>203</v>
      </c>
      <c r="QAH17" s="314" t="s">
        <v>203</v>
      </c>
      <c r="QAI17" s="314" t="s">
        <v>203</v>
      </c>
      <c r="QAJ17" s="314" t="s">
        <v>203</v>
      </c>
      <c r="QAK17" s="314" t="s">
        <v>203</v>
      </c>
      <c r="QAL17" s="314" t="s">
        <v>203</v>
      </c>
      <c r="QAM17" s="314" t="s">
        <v>203</v>
      </c>
      <c r="QAN17" s="314" t="s">
        <v>203</v>
      </c>
      <c r="QAO17" s="314" t="s">
        <v>203</v>
      </c>
      <c r="QAP17" s="314" t="s">
        <v>203</v>
      </c>
      <c r="QAQ17" s="314" t="s">
        <v>203</v>
      </c>
      <c r="QAR17" s="314" t="s">
        <v>203</v>
      </c>
      <c r="QAS17" s="314" t="s">
        <v>203</v>
      </c>
      <c r="QAT17" s="314" t="s">
        <v>203</v>
      </c>
      <c r="QAU17" s="314" t="s">
        <v>203</v>
      </c>
      <c r="QAV17" s="314" t="s">
        <v>203</v>
      </c>
      <c r="QAW17" s="314" t="s">
        <v>203</v>
      </c>
      <c r="QAX17" s="314" t="s">
        <v>203</v>
      </c>
      <c r="QAY17" s="314" t="s">
        <v>203</v>
      </c>
      <c r="QAZ17" s="314" t="s">
        <v>203</v>
      </c>
      <c r="QBA17" s="314" t="s">
        <v>203</v>
      </c>
      <c r="QBB17" s="314" t="s">
        <v>203</v>
      </c>
      <c r="QBC17" s="314" t="s">
        <v>203</v>
      </c>
      <c r="QBD17" s="314" t="s">
        <v>203</v>
      </c>
      <c r="QBE17" s="314" t="s">
        <v>203</v>
      </c>
      <c r="QBF17" s="314" t="s">
        <v>203</v>
      </c>
      <c r="QBG17" s="314" t="s">
        <v>203</v>
      </c>
      <c r="QBH17" s="314" t="s">
        <v>203</v>
      </c>
      <c r="QBI17" s="314" t="s">
        <v>203</v>
      </c>
      <c r="QBJ17" s="314" t="s">
        <v>203</v>
      </c>
      <c r="QBK17" s="314" t="s">
        <v>203</v>
      </c>
      <c r="QBL17" s="314" t="s">
        <v>203</v>
      </c>
      <c r="QBM17" s="314" t="s">
        <v>203</v>
      </c>
      <c r="QBN17" s="314" t="s">
        <v>203</v>
      </c>
      <c r="QBO17" s="314" t="s">
        <v>203</v>
      </c>
      <c r="QBP17" s="314" t="s">
        <v>203</v>
      </c>
      <c r="QBQ17" s="314" t="s">
        <v>203</v>
      </c>
      <c r="QBR17" s="314" t="s">
        <v>203</v>
      </c>
      <c r="QBS17" s="314" t="s">
        <v>203</v>
      </c>
      <c r="QBT17" s="314" t="s">
        <v>203</v>
      </c>
      <c r="QBU17" s="314" t="s">
        <v>203</v>
      </c>
      <c r="QBV17" s="314" t="s">
        <v>203</v>
      </c>
      <c r="QBW17" s="314" t="s">
        <v>203</v>
      </c>
      <c r="QBX17" s="314" t="s">
        <v>203</v>
      </c>
      <c r="QBY17" s="314" t="s">
        <v>203</v>
      </c>
      <c r="QBZ17" s="314" t="s">
        <v>203</v>
      </c>
      <c r="QCA17" s="314" t="s">
        <v>203</v>
      </c>
      <c r="QCB17" s="314" t="s">
        <v>203</v>
      </c>
      <c r="QCC17" s="314" t="s">
        <v>203</v>
      </c>
      <c r="QCD17" s="314" t="s">
        <v>203</v>
      </c>
      <c r="QCE17" s="314" t="s">
        <v>203</v>
      </c>
      <c r="QCF17" s="314" t="s">
        <v>203</v>
      </c>
      <c r="QCG17" s="314" t="s">
        <v>203</v>
      </c>
      <c r="QCH17" s="314" t="s">
        <v>203</v>
      </c>
      <c r="QCI17" s="314" t="s">
        <v>203</v>
      </c>
      <c r="QCJ17" s="314" t="s">
        <v>203</v>
      </c>
      <c r="QCK17" s="314" t="s">
        <v>203</v>
      </c>
      <c r="QCL17" s="314" t="s">
        <v>203</v>
      </c>
      <c r="QCM17" s="314" t="s">
        <v>203</v>
      </c>
      <c r="QCN17" s="314" t="s">
        <v>203</v>
      </c>
      <c r="QCO17" s="314" t="s">
        <v>203</v>
      </c>
      <c r="QCP17" s="314" t="s">
        <v>203</v>
      </c>
      <c r="QCQ17" s="314" t="s">
        <v>203</v>
      </c>
      <c r="QCR17" s="314" t="s">
        <v>203</v>
      </c>
      <c r="QCS17" s="314" t="s">
        <v>203</v>
      </c>
      <c r="QCT17" s="314" t="s">
        <v>203</v>
      </c>
      <c r="QCU17" s="314" t="s">
        <v>203</v>
      </c>
      <c r="QCV17" s="314" t="s">
        <v>203</v>
      </c>
      <c r="QCW17" s="314" t="s">
        <v>203</v>
      </c>
      <c r="QCX17" s="314" t="s">
        <v>203</v>
      </c>
      <c r="QCY17" s="314" t="s">
        <v>203</v>
      </c>
      <c r="QCZ17" s="314" t="s">
        <v>203</v>
      </c>
      <c r="QDA17" s="314" t="s">
        <v>203</v>
      </c>
      <c r="QDB17" s="314" t="s">
        <v>203</v>
      </c>
      <c r="QDC17" s="314" t="s">
        <v>203</v>
      </c>
      <c r="QDD17" s="314" t="s">
        <v>203</v>
      </c>
      <c r="QDE17" s="314" t="s">
        <v>203</v>
      </c>
      <c r="QDF17" s="314" t="s">
        <v>203</v>
      </c>
      <c r="QDG17" s="314" t="s">
        <v>203</v>
      </c>
      <c r="QDH17" s="314" t="s">
        <v>203</v>
      </c>
      <c r="QDI17" s="314" t="s">
        <v>203</v>
      </c>
      <c r="QDJ17" s="314" t="s">
        <v>203</v>
      </c>
      <c r="QDK17" s="314" t="s">
        <v>203</v>
      </c>
      <c r="QDL17" s="314" t="s">
        <v>203</v>
      </c>
      <c r="QDM17" s="314" t="s">
        <v>203</v>
      </c>
      <c r="QDN17" s="314" t="s">
        <v>203</v>
      </c>
      <c r="QDO17" s="314" t="s">
        <v>203</v>
      </c>
      <c r="QDP17" s="314" t="s">
        <v>203</v>
      </c>
      <c r="QDQ17" s="314" t="s">
        <v>203</v>
      </c>
      <c r="QDR17" s="314" t="s">
        <v>203</v>
      </c>
      <c r="QDS17" s="314" t="s">
        <v>203</v>
      </c>
      <c r="QDT17" s="314" t="s">
        <v>203</v>
      </c>
      <c r="QDU17" s="314" t="s">
        <v>203</v>
      </c>
      <c r="QDV17" s="314" t="s">
        <v>203</v>
      </c>
      <c r="QDW17" s="314" t="s">
        <v>203</v>
      </c>
      <c r="QDX17" s="314" t="s">
        <v>203</v>
      </c>
      <c r="QDY17" s="314" t="s">
        <v>203</v>
      </c>
      <c r="QDZ17" s="314" t="s">
        <v>203</v>
      </c>
      <c r="QEA17" s="314" t="s">
        <v>203</v>
      </c>
      <c r="QEB17" s="314" t="s">
        <v>203</v>
      </c>
      <c r="QEC17" s="314" t="s">
        <v>203</v>
      </c>
      <c r="QED17" s="314" t="s">
        <v>203</v>
      </c>
      <c r="QEE17" s="314" t="s">
        <v>203</v>
      </c>
      <c r="QEF17" s="314" t="s">
        <v>203</v>
      </c>
      <c r="QEG17" s="314" t="s">
        <v>203</v>
      </c>
      <c r="QEH17" s="314" t="s">
        <v>203</v>
      </c>
      <c r="QEI17" s="314" t="s">
        <v>203</v>
      </c>
      <c r="QEJ17" s="314" t="s">
        <v>203</v>
      </c>
      <c r="QEK17" s="314" t="s">
        <v>203</v>
      </c>
      <c r="QEL17" s="314" t="s">
        <v>203</v>
      </c>
      <c r="QEM17" s="314" t="s">
        <v>203</v>
      </c>
      <c r="QEN17" s="314" t="s">
        <v>203</v>
      </c>
      <c r="QEO17" s="314" t="s">
        <v>203</v>
      </c>
      <c r="QEP17" s="314" t="s">
        <v>203</v>
      </c>
      <c r="QEQ17" s="314" t="s">
        <v>203</v>
      </c>
      <c r="QER17" s="314" t="s">
        <v>203</v>
      </c>
      <c r="QES17" s="314" t="s">
        <v>203</v>
      </c>
      <c r="QET17" s="314" t="s">
        <v>203</v>
      </c>
      <c r="QEU17" s="314" t="s">
        <v>203</v>
      </c>
      <c r="QEV17" s="314" t="s">
        <v>203</v>
      </c>
      <c r="QEW17" s="314" t="s">
        <v>203</v>
      </c>
      <c r="QEX17" s="314" t="s">
        <v>203</v>
      </c>
      <c r="QEY17" s="314" t="s">
        <v>203</v>
      </c>
      <c r="QEZ17" s="314" t="s">
        <v>203</v>
      </c>
      <c r="QFA17" s="314" t="s">
        <v>203</v>
      </c>
      <c r="QFB17" s="314" t="s">
        <v>203</v>
      </c>
      <c r="QFC17" s="314" t="s">
        <v>203</v>
      </c>
      <c r="QFD17" s="314" t="s">
        <v>203</v>
      </c>
      <c r="QFE17" s="314" t="s">
        <v>203</v>
      </c>
      <c r="QFF17" s="314" t="s">
        <v>203</v>
      </c>
      <c r="QFG17" s="314" t="s">
        <v>203</v>
      </c>
      <c r="QFH17" s="314" t="s">
        <v>203</v>
      </c>
      <c r="QFI17" s="314" t="s">
        <v>203</v>
      </c>
      <c r="QFJ17" s="314" t="s">
        <v>203</v>
      </c>
      <c r="QFK17" s="314" t="s">
        <v>203</v>
      </c>
      <c r="QFL17" s="314" t="s">
        <v>203</v>
      </c>
      <c r="QFM17" s="314" t="s">
        <v>203</v>
      </c>
      <c r="QFN17" s="314" t="s">
        <v>203</v>
      </c>
      <c r="QFO17" s="314" t="s">
        <v>203</v>
      </c>
      <c r="QFP17" s="314" t="s">
        <v>203</v>
      </c>
      <c r="QFQ17" s="314" t="s">
        <v>203</v>
      </c>
      <c r="QFR17" s="314" t="s">
        <v>203</v>
      </c>
      <c r="QFS17" s="314" t="s">
        <v>203</v>
      </c>
      <c r="QFT17" s="314" t="s">
        <v>203</v>
      </c>
      <c r="QFU17" s="314" t="s">
        <v>203</v>
      </c>
      <c r="QFV17" s="314" t="s">
        <v>203</v>
      </c>
      <c r="QFW17" s="314" t="s">
        <v>203</v>
      </c>
      <c r="QFX17" s="314" t="s">
        <v>203</v>
      </c>
      <c r="QFY17" s="314" t="s">
        <v>203</v>
      </c>
      <c r="QFZ17" s="314" t="s">
        <v>203</v>
      </c>
      <c r="QGA17" s="314" t="s">
        <v>203</v>
      </c>
      <c r="QGB17" s="314" t="s">
        <v>203</v>
      </c>
      <c r="QGC17" s="314" t="s">
        <v>203</v>
      </c>
      <c r="QGD17" s="314" t="s">
        <v>203</v>
      </c>
      <c r="QGE17" s="314" t="s">
        <v>203</v>
      </c>
      <c r="QGF17" s="314" t="s">
        <v>203</v>
      </c>
      <c r="QGG17" s="314" t="s">
        <v>203</v>
      </c>
      <c r="QGH17" s="314" t="s">
        <v>203</v>
      </c>
      <c r="QGI17" s="314" t="s">
        <v>203</v>
      </c>
      <c r="QGJ17" s="314" t="s">
        <v>203</v>
      </c>
      <c r="QGK17" s="314" t="s">
        <v>203</v>
      </c>
      <c r="QGL17" s="314" t="s">
        <v>203</v>
      </c>
      <c r="QGM17" s="314" t="s">
        <v>203</v>
      </c>
      <c r="QGN17" s="314" t="s">
        <v>203</v>
      </c>
      <c r="QGO17" s="314" t="s">
        <v>203</v>
      </c>
      <c r="QGP17" s="314" t="s">
        <v>203</v>
      </c>
      <c r="QGQ17" s="314" t="s">
        <v>203</v>
      </c>
      <c r="QGR17" s="314" t="s">
        <v>203</v>
      </c>
      <c r="QGS17" s="314" t="s">
        <v>203</v>
      </c>
      <c r="QGT17" s="314" t="s">
        <v>203</v>
      </c>
      <c r="QGU17" s="314" t="s">
        <v>203</v>
      </c>
      <c r="QGV17" s="314" t="s">
        <v>203</v>
      </c>
      <c r="QGW17" s="314" t="s">
        <v>203</v>
      </c>
      <c r="QGX17" s="314" t="s">
        <v>203</v>
      </c>
      <c r="QGY17" s="314" t="s">
        <v>203</v>
      </c>
      <c r="QGZ17" s="314" t="s">
        <v>203</v>
      </c>
      <c r="QHA17" s="314" t="s">
        <v>203</v>
      </c>
      <c r="QHB17" s="314" t="s">
        <v>203</v>
      </c>
      <c r="QHC17" s="314" t="s">
        <v>203</v>
      </c>
      <c r="QHD17" s="314" t="s">
        <v>203</v>
      </c>
      <c r="QHE17" s="314" t="s">
        <v>203</v>
      </c>
      <c r="QHF17" s="314" t="s">
        <v>203</v>
      </c>
      <c r="QHG17" s="314" t="s">
        <v>203</v>
      </c>
      <c r="QHH17" s="314" t="s">
        <v>203</v>
      </c>
      <c r="QHI17" s="314" t="s">
        <v>203</v>
      </c>
      <c r="QHJ17" s="314" t="s">
        <v>203</v>
      </c>
      <c r="QHK17" s="314" t="s">
        <v>203</v>
      </c>
      <c r="QHL17" s="314" t="s">
        <v>203</v>
      </c>
      <c r="QHM17" s="314" t="s">
        <v>203</v>
      </c>
      <c r="QHN17" s="314" t="s">
        <v>203</v>
      </c>
      <c r="QHO17" s="314" t="s">
        <v>203</v>
      </c>
      <c r="QHP17" s="314" t="s">
        <v>203</v>
      </c>
      <c r="QHQ17" s="314" t="s">
        <v>203</v>
      </c>
      <c r="QHR17" s="314" t="s">
        <v>203</v>
      </c>
      <c r="QHS17" s="314" t="s">
        <v>203</v>
      </c>
      <c r="QHT17" s="314" t="s">
        <v>203</v>
      </c>
      <c r="QHU17" s="314" t="s">
        <v>203</v>
      </c>
      <c r="QHV17" s="314" t="s">
        <v>203</v>
      </c>
      <c r="QHW17" s="314" t="s">
        <v>203</v>
      </c>
      <c r="QHX17" s="314" t="s">
        <v>203</v>
      </c>
      <c r="QHY17" s="314" t="s">
        <v>203</v>
      </c>
      <c r="QHZ17" s="314" t="s">
        <v>203</v>
      </c>
      <c r="QIA17" s="314" t="s">
        <v>203</v>
      </c>
      <c r="QIB17" s="314" t="s">
        <v>203</v>
      </c>
      <c r="QIC17" s="314" t="s">
        <v>203</v>
      </c>
      <c r="QID17" s="314" t="s">
        <v>203</v>
      </c>
      <c r="QIE17" s="314" t="s">
        <v>203</v>
      </c>
      <c r="QIF17" s="314" t="s">
        <v>203</v>
      </c>
      <c r="QIG17" s="314" t="s">
        <v>203</v>
      </c>
      <c r="QIH17" s="314" t="s">
        <v>203</v>
      </c>
      <c r="QII17" s="314" t="s">
        <v>203</v>
      </c>
      <c r="QIJ17" s="314" t="s">
        <v>203</v>
      </c>
      <c r="QIK17" s="314" t="s">
        <v>203</v>
      </c>
      <c r="QIL17" s="314" t="s">
        <v>203</v>
      </c>
      <c r="QIM17" s="314" t="s">
        <v>203</v>
      </c>
      <c r="QIN17" s="314" t="s">
        <v>203</v>
      </c>
      <c r="QIO17" s="314" t="s">
        <v>203</v>
      </c>
      <c r="QIP17" s="314" t="s">
        <v>203</v>
      </c>
      <c r="QIQ17" s="314" t="s">
        <v>203</v>
      </c>
      <c r="QIR17" s="314" t="s">
        <v>203</v>
      </c>
      <c r="QIS17" s="314" t="s">
        <v>203</v>
      </c>
      <c r="QIT17" s="314" t="s">
        <v>203</v>
      </c>
      <c r="QIU17" s="314" t="s">
        <v>203</v>
      </c>
      <c r="QIV17" s="314" t="s">
        <v>203</v>
      </c>
      <c r="QIW17" s="314" t="s">
        <v>203</v>
      </c>
      <c r="QIX17" s="314" t="s">
        <v>203</v>
      </c>
      <c r="QIY17" s="314" t="s">
        <v>203</v>
      </c>
      <c r="QIZ17" s="314" t="s">
        <v>203</v>
      </c>
      <c r="QJA17" s="314" t="s">
        <v>203</v>
      </c>
      <c r="QJB17" s="314" t="s">
        <v>203</v>
      </c>
      <c r="QJC17" s="314" t="s">
        <v>203</v>
      </c>
      <c r="QJD17" s="314" t="s">
        <v>203</v>
      </c>
      <c r="QJE17" s="314" t="s">
        <v>203</v>
      </c>
      <c r="QJF17" s="314" t="s">
        <v>203</v>
      </c>
      <c r="QJG17" s="314" t="s">
        <v>203</v>
      </c>
      <c r="QJH17" s="314" t="s">
        <v>203</v>
      </c>
      <c r="QJI17" s="314" t="s">
        <v>203</v>
      </c>
      <c r="QJJ17" s="314" t="s">
        <v>203</v>
      </c>
      <c r="QJK17" s="314" t="s">
        <v>203</v>
      </c>
      <c r="QJL17" s="314" t="s">
        <v>203</v>
      </c>
      <c r="QJM17" s="314" t="s">
        <v>203</v>
      </c>
      <c r="QJN17" s="314" t="s">
        <v>203</v>
      </c>
      <c r="QJO17" s="314" t="s">
        <v>203</v>
      </c>
      <c r="QJP17" s="314" t="s">
        <v>203</v>
      </c>
      <c r="QJQ17" s="314" t="s">
        <v>203</v>
      </c>
      <c r="QJR17" s="314" t="s">
        <v>203</v>
      </c>
      <c r="QJS17" s="314" t="s">
        <v>203</v>
      </c>
      <c r="QJT17" s="314" t="s">
        <v>203</v>
      </c>
      <c r="QJU17" s="314" t="s">
        <v>203</v>
      </c>
      <c r="QJV17" s="314" t="s">
        <v>203</v>
      </c>
      <c r="QJW17" s="314" t="s">
        <v>203</v>
      </c>
      <c r="QJX17" s="314" t="s">
        <v>203</v>
      </c>
      <c r="QJY17" s="314" t="s">
        <v>203</v>
      </c>
      <c r="QJZ17" s="314" t="s">
        <v>203</v>
      </c>
      <c r="QKA17" s="314" t="s">
        <v>203</v>
      </c>
      <c r="QKB17" s="314" t="s">
        <v>203</v>
      </c>
      <c r="QKC17" s="314" t="s">
        <v>203</v>
      </c>
      <c r="QKD17" s="314" t="s">
        <v>203</v>
      </c>
      <c r="QKE17" s="314" t="s">
        <v>203</v>
      </c>
      <c r="QKF17" s="314" t="s">
        <v>203</v>
      </c>
      <c r="QKG17" s="314" t="s">
        <v>203</v>
      </c>
      <c r="QKH17" s="314" t="s">
        <v>203</v>
      </c>
      <c r="QKI17" s="314" t="s">
        <v>203</v>
      </c>
      <c r="QKJ17" s="314" t="s">
        <v>203</v>
      </c>
      <c r="QKK17" s="314" t="s">
        <v>203</v>
      </c>
      <c r="QKL17" s="314" t="s">
        <v>203</v>
      </c>
      <c r="QKM17" s="314" t="s">
        <v>203</v>
      </c>
      <c r="QKN17" s="314" t="s">
        <v>203</v>
      </c>
      <c r="QKO17" s="314" t="s">
        <v>203</v>
      </c>
      <c r="QKP17" s="314" t="s">
        <v>203</v>
      </c>
      <c r="QKQ17" s="314" t="s">
        <v>203</v>
      </c>
      <c r="QKR17" s="314" t="s">
        <v>203</v>
      </c>
      <c r="QKS17" s="314" t="s">
        <v>203</v>
      </c>
      <c r="QKT17" s="314" t="s">
        <v>203</v>
      </c>
      <c r="QKU17" s="314" t="s">
        <v>203</v>
      </c>
      <c r="QKV17" s="314" t="s">
        <v>203</v>
      </c>
      <c r="QKW17" s="314" t="s">
        <v>203</v>
      </c>
      <c r="QKX17" s="314" t="s">
        <v>203</v>
      </c>
      <c r="QKY17" s="314" t="s">
        <v>203</v>
      </c>
      <c r="QKZ17" s="314" t="s">
        <v>203</v>
      </c>
      <c r="QLA17" s="314" t="s">
        <v>203</v>
      </c>
      <c r="QLB17" s="314" t="s">
        <v>203</v>
      </c>
      <c r="QLC17" s="314" t="s">
        <v>203</v>
      </c>
      <c r="QLD17" s="314" t="s">
        <v>203</v>
      </c>
      <c r="QLE17" s="314" t="s">
        <v>203</v>
      </c>
      <c r="QLF17" s="314" t="s">
        <v>203</v>
      </c>
      <c r="QLG17" s="314" t="s">
        <v>203</v>
      </c>
      <c r="QLH17" s="314" t="s">
        <v>203</v>
      </c>
      <c r="QLI17" s="314" t="s">
        <v>203</v>
      </c>
      <c r="QLJ17" s="314" t="s">
        <v>203</v>
      </c>
      <c r="QLK17" s="314" t="s">
        <v>203</v>
      </c>
      <c r="QLL17" s="314" t="s">
        <v>203</v>
      </c>
      <c r="QLM17" s="314" t="s">
        <v>203</v>
      </c>
      <c r="QLN17" s="314" t="s">
        <v>203</v>
      </c>
      <c r="QLO17" s="314" t="s">
        <v>203</v>
      </c>
      <c r="QLP17" s="314" t="s">
        <v>203</v>
      </c>
      <c r="QLQ17" s="314" t="s">
        <v>203</v>
      </c>
      <c r="QLR17" s="314" t="s">
        <v>203</v>
      </c>
      <c r="QLS17" s="314" t="s">
        <v>203</v>
      </c>
      <c r="QLT17" s="314" t="s">
        <v>203</v>
      </c>
      <c r="QLU17" s="314" t="s">
        <v>203</v>
      </c>
      <c r="QLV17" s="314" t="s">
        <v>203</v>
      </c>
      <c r="QLW17" s="314" t="s">
        <v>203</v>
      </c>
      <c r="QLX17" s="314" t="s">
        <v>203</v>
      </c>
      <c r="QLY17" s="314" t="s">
        <v>203</v>
      </c>
      <c r="QLZ17" s="314" t="s">
        <v>203</v>
      </c>
      <c r="QMA17" s="314" t="s">
        <v>203</v>
      </c>
      <c r="QMB17" s="314" t="s">
        <v>203</v>
      </c>
      <c r="QMC17" s="314" t="s">
        <v>203</v>
      </c>
      <c r="QMD17" s="314" t="s">
        <v>203</v>
      </c>
      <c r="QME17" s="314" t="s">
        <v>203</v>
      </c>
      <c r="QMF17" s="314" t="s">
        <v>203</v>
      </c>
      <c r="QMG17" s="314" t="s">
        <v>203</v>
      </c>
      <c r="QMH17" s="314" t="s">
        <v>203</v>
      </c>
      <c r="QMI17" s="314" t="s">
        <v>203</v>
      </c>
      <c r="QMJ17" s="314" t="s">
        <v>203</v>
      </c>
      <c r="QMK17" s="314" t="s">
        <v>203</v>
      </c>
      <c r="QML17" s="314" t="s">
        <v>203</v>
      </c>
      <c r="QMM17" s="314" t="s">
        <v>203</v>
      </c>
      <c r="QMN17" s="314" t="s">
        <v>203</v>
      </c>
      <c r="QMO17" s="314" t="s">
        <v>203</v>
      </c>
      <c r="QMP17" s="314" t="s">
        <v>203</v>
      </c>
      <c r="QMQ17" s="314" t="s">
        <v>203</v>
      </c>
      <c r="QMR17" s="314" t="s">
        <v>203</v>
      </c>
      <c r="QMS17" s="314" t="s">
        <v>203</v>
      </c>
      <c r="QMT17" s="314" t="s">
        <v>203</v>
      </c>
      <c r="QMU17" s="314" t="s">
        <v>203</v>
      </c>
      <c r="QMV17" s="314" t="s">
        <v>203</v>
      </c>
      <c r="QMW17" s="314" t="s">
        <v>203</v>
      </c>
      <c r="QMX17" s="314" t="s">
        <v>203</v>
      </c>
      <c r="QMY17" s="314" t="s">
        <v>203</v>
      </c>
      <c r="QMZ17" s="314" t="s">
        <v>203</v>
      </c>
      <c r="QNA17" s="314" t="s">
        <v>203</v>
      </c>
      <c r="QNB17" s="314" t="s">
        <v>203</v>
      </c>
      <c r="QNC17" s="314" t="s">
        <v>203</v>
      </c>
      <c r="QND17" s="314" t="s">
        <v>203</v>
      </c>
      <c r="QNE17" s="314" t="s">
        <v>203</v>
      </c>
      <c r="QNF17" s="314" t="s">
        <v>203</v>
      </c>
      <c r="QNG17" s="314" t="s">
        <v>203</v>
      </c>
      <c r="QNH17" s="314" t="s">
        <v>203</v>
      </c>
      <c r="QNI17" s="314" t="s">
        <v>203</v>
      </c>
      <c r="QNJ17" s="314" t="s">
        <v>203</v>
      </c>
      <c r="QNK17" s="314" t="s">
        <v>203</v>
      </c>
      <c r="QNL17" s="314" t="s">
        <v>203</v>
      </c>
      <c r="QNM17" s="314" t="s">
        <v>203</v>
      </c>
      <c r="QNN17" s="314" t="s">
        <v>203</v>
      </c>
      <c r="QNO17" s="314" t="s">
        <v>203</v>
      </c>
      <c r="QNP17" s="314" t="s">
        <v>203</v>
      </c>
      <c r="QNQ17" s="314" t="s">
        <v>203</v>
      </c>
      <c r="QNR17" s="314" t="s">
        <v>203</v>
      </c>
      <c r="QNS17" s="314" t="s">
        <v>203</v>
      </c>
      <c r="QNT17" s="314" t="s">
        <v>203</v>
      </c>
      <c r="QNU17" s="314" t="s">
        <v>203</v>
      </c>
      <c r="QNV17" s="314" t="s">
        <v>203</v>
      </c>
      <c r="QNW17" s="314" t="s">
        <v>203</v>
      </c>
      <c r="QNX17" s="314" t="s">
        <v>203</v>
      </c>
      <c r="QNY17" s="314" t="s">
        <v>203</v>
      </c>
      <c r="QNZ17" s="314" t="s">
        <v>203</v>
      </c>
      <c r="QOA17" s="314" t="s">
        <v>203</v>
      </c>
      <c r="QOB17" s="314" t="s">
        <v>203</v>
      </c>
      <c r="QOC17" s="314" t="s">
        <v>203</v>
      </c>
      <c r="QOD17" s="314" t="s">
        <v>203</v>
      </c>
      <c r="QOE17" s="314" t="s">
        <v>203</v>
      </c>
      <c r="QOF17" s="314" t="s">
        <v>203</v>
      </c>
      <c r="QOG17" s="314" t="s">
        <v>203</v>
      </c>
      <c r="QOH17" s="314" t="s">
        <v>203</v>
      </c>
      <c r="QOI17" s="314" t="s">
        <v>203</v>
      </c>
      <c r="QOJ17" s="314" t="s">
        <v>203</v>
      </c>
      <c r="QOK17" s="314" t="s">
        <v>203</v>
      </c>
      <c r="QOL17" s="314" t="s">
        <v>203</v>
      </c>
      <c r="QOM17" s="314" t="s">
        <v>203</v>
      </c>
      <c r="QON17" s="314" t="s">
        <v>203</v>
      </c>
      <c r="QOO17" s="314" t="s">
        <v>203</v>
      </c>
      <c r="QOP17" s="314" t="s">
        <v>203</v>
      </c>
      <c r="QOQ17" s="314" t="s">
        <v>203</v>
      </c>
      <c r="QOR17" s="314" t="s">
        <v>203</v>
      </c>
      <c r="QOS17" s="314" t="s">
        <v>203</v>
      </c>
      <c r="QOT17" s="314" t="s">
        <v>203</v>
      </c>
      <c r="QOU17" s="314" t="s">
        <v>203</v>
      </c>
      <c r="QOV17" s="314" t="s">
        <v>203</v>
      </c>
      <c r="QOW17" s="314" t="s">
        <v>203</v>
      </c>
      <c r="QOX17" s="314" t="s">
        <v>203</v>
      </c>
      <c r="QOY17" s="314" t="s">
        <v>203</v>
      </c>
      <c r="QOZ17" s="314" t="s">
        <v>203</v>
      </c>
      <c r="QPA17" s="314" t="s">
        <v>203</v>
      </c>
      <c r="QPB17" s="314" t="s">
        <v>203</v>
      </c>
      <c r="QPC17" s="314" t="s">
        <v>203</v>
      </c>
      <c r="QPD17" s="314" t="s">
        <v>203</v>
      </c>
      <c r="QPE17" s="314" t="s">
        <v>203</v>
      </c>
      <c r="QPF17" s="314" t="s">
        <v>203</v>
      </c>
      <c r="QPG17" s="314" t="s">
        <v>203</v>
      </c>
      <c r="QPH17" s="314" t="s">
        <v>203</v>
      </c>
      <c r="QPI17" s="314" t="s">
        <v>203</v>
      </c>
      <c r="QPJ17" s="314" t="s">
        <v>203</v>
      </c>
      <c r="QPK17" s="314" t="s">
        <v>203</v>
      </c>
      <c r="QPL17" s="314" t="s">
        <v>203</v>
      </c>
      <c r="QPM17" s="314" t="s">
        <v>203</v>
      </c>
      <c r="QPN17" s="314" t="s">
        <v>203</v>
      </c>
      <c r="QPO17" s="314" t="s">
        <v>203</v>
      </c>
      <c r="QPP17" s="314" t="s">
        <v>203</v>
      </c>
      <c r="QPQ17" s="314" t="s">
        <v>203</v>
      </c>
      <c r="QPR17" s="314" t="s">
        <v>203</v>
      </c>
      <c r="QPS17" s="314" t="s">
        <v>203</v>
      </c>
      <c r="QPT17" s="314" t="s">
        <v>203</v>
      </c>
      <c r="QPU17" s="314" t="s">
        <v>203</v>
      </c>
      <c r="QPV17" s="314" t="s">
        <v>203</v>
      </c>
      <c r="QPW17" s="314" t="s">
        <v>203</v>
      </c>
      <c r="QPX17" s="314" t="s">
        <v>203</v>
      </c>
      <c r="QPY17" s="314" t="s">
        <v>203</v>
      </c>
      <c r="QPZ17" s="314" t="s">
        <v>203</v>
      </c>
      <c r="QQA17" s="314" t="s">
        <v>203</v>
      </c>
      <c r="QQB17" s="314" t="s">
        <v>203</v>
      </c>
      <c r="QQC17" s="314" t="s">
        <v>203</v>
      </c>
      <c r="QQD17" s="314" t="s">
        <v>203</v>
      </c>
      <c r="QQE17" s="314" t="s">
        <v>203</v>
      </c>
      <c r="QQF17" s="314" t="s">
        <v>203</v>
      </c>
      <c r="QQG17" s="314" t="s">
        <v>203</v>
      </c>
      <c r="QQH17" s="314" t="s">
        <v>203</v>
      </c>
      <c r="QQI17" s="314" t="s">
        <v>203</v>
      </c>
      <c r="QQJ17" s="314" t="s">
        <v>203</v>
      </c>
      <c r="QQK17" s="314" t="s">
        <v>203</v>
      </c>
      <c r="QQL17" s="314" t="s">
        <v>203</v>
      </c>
      <c r="QQM17" s="314" t="s">
        <v>203</v>
      </c>
      <c r="QQN17" s="314" t="s">
        <v>203</v>
      </c>
      <c r="QQO17" s="314" t="s">
        <v>203</v>
      </c>
      <c r="QQP17" s="314" t="s">
        <v>203</v>
      </c>
      <c r="QQQ17" s="314" t="s">
        <v>203</v>
      </c>
      <c r="QQR17" s="314" t="s">
        <v>203</v>
      </c>
      <c r="QQS17" s="314" t="s">
        <v>203</v>
      </c>
      <c r="QQT17" s="314" t="s">
        <v>203</v>
      </c>
      <c r="QQU17" s="314" t="s">
        <v>203</v>
      </c>
      <c r="QQV17" s="314" t="s">
        <v>203</v>
      </c>
      <c r="QQW17" s="314" t="s">
        <v>203</v>
      </c>
      <c r="QQX17" s="314" t="s">
        <v>203</v>
      </c>
      <c r="QQY17" s="314" t="s">
        <v>203</v>
      </c>
      <c r="QQZ17" s="314" t="s">
        <v>203</v>
      </c>
      <c r="QRA17" s="314" t="s">
        <v>203</v>
      </c>
      <c r="QRB17" s="314" t="s">
        <v>203</v>
      </c>
      <c r="QRC17" s="314" t="s">
        <v>203</v>
      </c>
      <c r="QRD17" s="314" t="s">
        <v>203</v>
      </c>
      <c r="QRE17" s="314" t="s">
        <v>203</v>
      </c>
      <c r="QRF17" s="314" t="s">
        <v>203</v>
      </c>
      <c r="QRG17" s="314" t="s">
        <v>203</v>
      </c>
      <c r="QRH17" s="314" t="s">
        <v>203</v>
      </c>
      <c r="QRI17" s="314" t="s">
        <v>203</v>
      </c>
      <c r="QRJ17" s="314" t="s">
        <v>203</v>
      </c>
      <c r="QRK17" s="314" t="s">
        <v>203</v>
      </c>
      <c r="QRL17" s="314" t="s">
        <v>203</v>
      </c>
      <c r="QRM17" s="314" t="s">
        <v>203</v>
      </c>
      <c r="QRN17" s="314" t="s">
        <v>203</v>
      </c>
      <c r="QRO17" s="314" t="s">
        <v>203</v>
      </c>
      <c r="QRP17" s="314" t="s">
        <v>203</v>
      </c>
      <c r="QRQ17" s="314" t="s">
        <v>203</v>
      </c>
      <c r="QRR17" s="314" t="s">
        <v>203</v>
      </c>
      <c r="QRS17" s="314" t="s">
        <v>203</v>
      </c>
      <c r="QRT17" s="314" t="s">
        <v>203</v>
      </c>
      <c r="QRU17" s="314" t="s">
        <v>203</v>
      </c>
      <c r="QRV17" s="314" t="s">
        <v>203</v>
      </c>
      <c r="QRW17" s="314" t="s">
        <v>203</v>
      </c>
      <c r="QRX17" s="314" t="s">
        <v>203</v>
      </c>
      <c r="QRY17" s="314" t="s">
        <v>203</v>
      </c>
      <c r="QRZ17" s="314" t="s">
        <v>203</v>
      </c>
      <c r="QSA17" s="314" t="s">
        <v>203</v>
      </c>
      <c r="QSB17" s="314" t="s">
        <v>203</v>
      </c>
      <c r="QSC17" s="314" t="s">
        <v>203</v>
      </c>
      <c r="QSD17" s="314" t="s">
        <v>203</v>
      </c>
      <c r="QSE17" s="314" t="s">
        <v>203</v>
      </c>
      <c r="QSF17" s="314" t="s">
        <v>203</v>
      </c>
      <c r="QSG17" s="314" t="s">
        <v>203</v>
      </c>
      <c r="QSH17" s="314" t="s">
        <v>203</v>
      </c>
      <c r="QSI17" s="314" t="s">
        <v>203</v>
      </c>
      <c r="QSJ17" s="314" t="s">
        <v>203</v>
      </c>
      <c r="QSK17" s="314" t="s">
        <v>203</v>
      </c>
      <c r="QSL17" s="314" t="s">
        <v>203</v>
      </c>
      <c r="QSM17" s="314" t="s">
        <v>203</v>
      </c>
      <c r="QSN17" s="314" t="s">
        <v>203</v>
      </c>
      <c r="QSO17" s="314" t="s">
        <v>203</v>
      </c>
      <c r="QSP17" s="314" t="s">
        <v>203</v>
      </c>
      <c r="QSQ17" s="314" t="s">
        <v>203</v>
      </c>
      <c r="QSR17" s="314" t="s">
        <v>203</v>
      </c>
      <c r="QSS17" s="314" t="s">
        <v>203</v>
      </c>
      <c r="QST17" s="314" t="s">
        <v>203</v>
      </c>
      <c r="QSU17" s="314" t="s">
        <v>203</v>
      </c>
      <c r="QSV17" s="314" t="s">
        <v>203</v>
      </c>
      <c r="QSW17" s="314" t="s">
        <v>203</v>
      </c>
      <c r="QSX17" s="314" t="s">
        <v>203</v>
      </c>
      <c r="QSY17" s="314" t="s">
        <v>203</v>
      </c>
      <c r="QSZ17" s="314" t="s">
        <v>203</v>
      </c>
      <c r="QTA17" s="314" t="s">
        <v>203</v>
      </c>
      <c r="QTB17" s="314" t="s">
        <v>203</v>
      </c>
      <c r="QTC17" s="314" t="s">
        <v>203</v>
      </c>
      <c r="QTD17" s="314" t="s">
        <v>203</v>
      </c>
      <c r="QTE17" s="314" t="s">
        <v>203</v>
      </c>
      <c r="QTF17" s="314" t="s">
        <v>203</v>
      </c>
      <c r="QTG17" s="314" t="s">
        <v>203</v>
      </c>
      <c r="QTH17" s="314" t="s">
        <v>203</v>
      </c>
      <c r="QTI17" s="314" t="s">
        <v>203</v>
      </c>
      <c r="QTJ17" s="314" t="s">
        <v>203</v>
      </c>
      <c r="QTK17" s="314" t="s">
        <v>203</v>
      </c>
      <c r="QTL17" s="314" t="s">
        <v>203</v>
      </c>
      <c r="QTM17" s="314" t="s">
        <v>203</v>
      </c>
      <c r="QTN17" s="314" t="s">
        <v>203</v>
      </c>
      <c r="QTO17" s="314" t="s">
        <v>203</v>
      </c>
      <c r="QTP17" s="314" t="s">
        <v>203</v>
      </c>
      <c r="QTQ17" s="314" t="s">
        <v>203</v>
      </c>
      <c r="QTR17" s="314" t="s">
        <v>203</v>
      </c>
      <c r="QTS17" s="314" t="s">
        <v>203</v>
      </c>
      <c r="QTT17" s="314" t="s">
        <v>203</v>
      </c>
      <c r="QTU17" s="314" t="s">
        <v>203</v>
      </c>
      <c r="QTV17" s="314" t="s">
        <v>203</v>
      </c>
      <c r="QTW17" s="314" t="s">
        <v>203</v>
      </c>
      <c r="QTX17" s="314" t="s">
        <v>203</v>
      </c>
      <c r="QTY17" s="314" t="s">
        <v>203</v>
      </c>
      <c r="QTZ17" s="314" t="s">
        <v>203</v>
      </c>
      <c r="QUA17" s="314" t="s">
        <v>203</v>
      </c>
      <c r="QUB17" s="314" t="s">
        <v>203</v>
      </c>
      <c r="QUC17" s="314" t="s">
        <v>203</v>
      </c>
      <c r="QUD17" s="314" t="s">
        <v>203</v>
      </c>
      <c r="QUE17" s="314" t="s">
        <v>203</v>
      </c>
      <c r="QUF17" s="314" t="s">
        <v>203</v>
      </c>
      <c r="QUG17" s="314" t="s">
        <v>203</v>
      </c>
      <c r="QUH17" s="314" t="s">
        <v>203</v>
      </c>
      <c r="QUI17" s="314" t="s">
        <v>203</v>
      </c>
      <c r="QUJ17" s="314" t="s">
        <v>203</v>
      </c>
      <c r="QUK17" s="314" t="s">
        <v>203</v>
      </c>
      <c r="QUL17" s="314" t="s">
        <v>203</v>
      </c>
      <c r="QUM17" s="314" t="s">
        <v>203</v>
      </c>
      <c r="QUN17" s="314" t="s">
        <v>203</v>
      </c>
      <c r="QUO17" s="314" t="s">
        <v>203</v>
      </c>
      <c r="QUP17" s="314" t="s">
        <v>203</v>
      </c>
      <c r="QUQ17" s="314" t="s">
        <v>203</v>
      </c>
      <c r="QUR17" s="314" t="s">
        <v>203</v>
      </c>
      <c r="QUS17" s="314" t="s">
        <v>203</v>
      </c>
      <c r="QUT17" s="314" t="s">
        <v>203</v>
      </c>
      <c r="QUU17" s="314" t="s">
        <v>203</v>
      </c>
      <c r="QUV17" s="314" t="s">
        <v>203</v>
      </c>
      <c r="QUW17" s="314" t="s">
        <v>203</v>
      </c>
      <c r="QUX17" s="314" t="s">
        <v>203</v>
      </c>
      <c r="QUY17" s="314" t="s">
        <v>203</v>
      </c>
      <c r="QUZ17" s="314" t="s">
        <v>203</v>
      </c>
      <c r="QVA17" s="314" t="s">
        <v>203</v>
      </c>
      <c r="QVB17" s="314" t="s">
        <v>203</v>
      </c>
      <c r="QVC17" s="314" t="s">
        <v>203</v>
      </c>
      <c r="QVD17" s="314" t="s">
        <v>203</v>
      </c>
      <c r="QVE17" s="314" t="s">
        <v>203</v>
      </c>
      <c r="QVF17" s="314" t="s">
        <v>203</v>
      </c>
      <c r="QVG17" s="314" t="s">
        <v>203</v>
      </c>
      <c r="QVH17" s="314" t="s">
        <v>203</v>
      </c>
      <c r="QVI17" s="314" t="s">
        <v>203</v>
      </c>
      <c r="QVJ17" s="314" t="s">
        <v>203</v>
      </c>
      <c r="QVK17" s="314" t="s">
        <v>203</v>
      </c>
      <c r="QVL17" s="314" t="s">
        <v>203</v>
      </c>
      <c r="QVM17" s="314" t="s">
        <v>203</v>
      </c>
      <c r="QVN17" s="314" t="s">
        <v>203</v>
      </c>
      <c r="QVO17" s="314" t="s">
        <v>203</v>
      </c>
      <c r="QVP17" s="314" t="s">
        <v>203</v>
      </c>
      <c r="QVQ17" s="314" t="s">
        <v>203</v>
      </c>
      <c r="QVR17" s="314" t="s">
        <v>203</v>
      </c>
      <c r="QVS17" s="314" t="s">
        <v>203</v>
      </c>
      <c r="QVT17" s="314" t="s">
        <v>203</v>
      </c>
      <c r="QVU17" s="314" t="s">
        <v>203</v>
      </c>
      <c r="QVV17" s="314" t="s">
        <v>203</v>
      </c>
      <c r="QVW17" s="314" t="s">
        <v>203</v>
      </c>
      <c r="QVX17" s="314" t="s">
        <v>203</v>
      </c>
      <c r="QVY17" s="314" t="s">
        <v>203</v>
      </c>
      <c r="QVZ17" s="314" t="s">
        <v>203</v>
      </c>
      <c r="QWA17" s="314" t="s">
        <v>203</v>
      </c>
      <c r="QWB17" s="314" t="s">
        <v>203</v>
      </c>
      <c r="QWC17" s="314" t="s">
        <v>203</v>
      </c>
      <c r="QWD17" s="314" t="s">
        <v>203</v>
      </c>
      <c r="QWE17" s="314" t="s">
        <v>203</v>
      </c>
      <c r="QWF17" s="314" t="s">
        <v>203</v>
      </c>
      <c r="QWG17" s="314" t="s">
        <v>203</v>
      </c>
      <c r="QWH17" s="314" t="s">
        <v>203</v>
      </c>
      <c r="QWI17" s="314" t="s">
        <v>203</v>
      </c>
      <c r="QWJ17" s="314" t="s">
        <v>203</v>
      </c>
      <c r="QWK17" s="314" t="s">
        <v>203</v>
      </c>
      <c r="QWL17" s="314" t="s">
        <v>203</v>
      </c>
      <c r="QWM17" s="314" t="s">
        <v>203</v>
      </c>
      <c r="QWN17" s="314" t="s">
        <v>203</v>
      </c>
      <c r="QWO17" s="314" t="s">
        <v>203</v>
      </c>
      <c r="QWP17" s="314" t="s">
        <v>203</v>
      </c>
      <c r="QWQ17" s="314" t="s">
        <v>203</v>
      </c>
      <c r="QWR17" s="314" t="s">
        <v>203</v>
      </c>
      <c r="QWS17" s="314" t="s">
        <v>203</v>
      </c>
      <c r="QWT17" s="314" t="s">
        <v>203</v>
      </c>
      <c r="QWU17" s="314" t="s">
        <v>203</v>
      </c>
      <c r="QWV17" s="314" t="s">
        <v>203</v>
      </c>
      <c r="QWW17" s="314" t="s">
        <v>203</v>
      </c>
      <c r="QWX17" s="314" t="s">
        <v>203</v>
      </c>
      <c r="QWY17" s="314" t="s">
        <v>203</v>
      </c>
      <c r="QWZ17" s="314" t="s">
        <v>203</v>
      </c>
      <c r="QXA17" s="314" t="s">
        <v>203</v>
      </c>
      <c r="QXB17" s="314" t="s">
        <v>203</v>
      </c>
      <c r="QXC17" s="314" t="s">
        <v>203</v>
      </c>
      <c r="QXD17" s="314" t="s">
        <v>203</v>
      </c>
      <c r="QXE17" s="314" t="s">
        <v>203</v>
      </c>
      <c r="QXF17" s="314" t="s">
        <v>203</v>
      </c>
      <c r="QXG17" s="314" t="s">
        <v>203</v>
      </c>
      <c r="QXH17" s="314" t="s">
        <v>203</v>
      </c>
      <c r="QXI17" s="314" t="s">
        <v>203</v>
      </c>
      <c r="QXJ17" s="314" t="s">
        <v>203</v>
      </c>
      <c r="QXK17" s="314" t="s">
        <v>203</v>
      </c>
      <c r="QXL17" s="314" t="s">
        <v>203</v>
      </c>
      <c r="QXM17" s="314" t="s">
        <v>203</v>
      </c>
      <c r="QXN17" s="314" t="s">
        <v>203</v>
      </c>
      <c r="QXO17" s="314" t="s">
        <v>203</v>
      </c>
      <c r="QXP17" s="314" t="s">
        <v>203</v>
      </c>
      <c r="QXQ17" s="314" t="s">
        <v>203</v>
      </c>
      <c r="QXR17" s="314" t="s">
        <v>203</v>
      </c>
      <c r="QXS17" s="314" t="s">
        <v>203</v>
      </c>
      <c r="QXT17" s="314" t="s">
        <v>203</v>
      </c>
      <c r="QXU17" s="314" t="s">
        <v>203</v>
      </c>
      <c r="QXV17" s="314" t="s">
        <v>203</v>
      </c>
      <c r="QXW17" s="314" t="s">
        <v>203</v>
      </c>
      <c r="QXX17" s="314" t="s">
        <v>203</v>
      </c>
      <c r="QXY17" s="314" t="s">
        <v>203</v>
      </c>
      <c r="QXZ17" s="314" t="s">
        <v>203</v>
      </c>
      <c r="QYA17" s="314" t="s">
        <v>203</v>
      </c>
      <c r="QYB17" s="314" t="s">
        <v>203</v>
      </c>
      <c r="QYC17" s="314" t="s">
        <v>203</v>
      </c>
      <c r="QYD17" s="314" t="s">
        <v>203</v>
      </c>
      <c r="QYE17" s="314" t="s">
        <v>203</v>
      </c>
      <c r="QYF17" s="314" t="s">
        <v>203</v>
      </c>
      <c r="QYG17" s="314" t="s">
        <v>203</v>
      </c>
      <c r="QYH17" s="314" t="s">
        <v>203</v>
      </c>
      <c r="QYI17" s="314" t="s">
        <v>203</v>
      </c>
      <c r="QYJ17" s="314" t="s">
        <v>203</v>
      </c>
      <c r="QYK17" s="314" t="s">
        <v>203</v>
      </c>
      <c r="QYL17" s="314" t="s">
        <v>203</v>
      </c>
      <c r="QYM17" s="314" t="s">
        <v>203</v>
      </c>
      <c r="QYN17" s="314" t="s">
        <v>203</v>
      </c>
      <c r="QYO17" s="314" t="s">
        <v>203</v>
      </c>
      <c r="QYP17" s="314" t="s">
        <v>203</v>
      </c>
      <c r="QYQ17" s="314" t="s">
        <v>203</v>
      </c>
      <c r="QYR17" s="314" t="s">
        <v>203</v>
      </c>
      <c r="QYS17" s="314" t="s">
        <v>203</v>
      </c>
      <c r="QYT17" s="314" t="s">
        <v>203</v>
      </c>
      <c r="QYU17" s="314" t="s">
        <v>203</v>
      </c>
      <c r="QYV17" s="314" t="s">
        <v>203</v>
      </c>
      <c r="QYW17" s="314" t="s">
        <v>203</v>
      </c>
      <c r="QYX17" s="314" t="s">
        <v>203</v>
      </c>
      <c r="QYY17" s="314" t="s">
        <v>203</v>
      </c>
      <c r="QYZ17" s="314" t="s">
        <v>203</v>
      </c>
      <c r="QZA17" s="314" t="s">
        <v>203</v>
      </c>
      <c r="QZB17" s="314" t="s">
        <v>203</v>
      </c>
      <c r="QZC17" s="314" t="s">
        <v>203</v>
      </c>
      <c r="QZD17" s="314" t="s">
        <v>203</v>
      </c>
      <c r="QZE17" s="314" t="s">
        <v>203</v>
      </c>
      <c r="QZF17" s="314" t="s">
        <v>203</v>
      </c>
      <c r="QZG17" s="314" t="s">
        <v>203</v>
      </c>
      <c r="QZH17" s="314" t="s">
        <v>203</v>
      </c>
      <c r="QZI17" s="314" t="s">
        <v>203</v>
      </c>
      <c r="QZJ17" s="314" t="s">
        <v>203</v>
      </c>
      <c r="QZK17" s="314" t="s">
        <v>203</v>
      </c>
      <c r="QZL17" s="314" t="s">
        <v>203</v>
      </c>
      <c r="QZM17" s="314" t="s">
        <v>203</v>
      </c>
      <c r="QZN17" s="314" t="s">
        <v>203</v>
      </c>
      <c r="QZO17" s="314" t="s">
        <v>203</v>
      </c>
      <c r="QZP17" s="314" t="s">
        <v>203</v>
      </c>
      <c r="QZQ17" s="314" t="s">
        <v>203</v>
      </c>
      <c r="QZR17" s="314" t="s">
        <v>203</v>
      </c>
      <c r="QZS17" s="314" t="s">
        <v>203</v>
      </c>
      <c r="QZT17" s="314" t="s">
        <v>203</v>
      </c>
      <c r="QZU17" s="314" t="s">
        <v>203</v>
      </c>
      <c r="QZV17" s="314" t="s">
        <v>203</v>
      </c>
      <c r="QZW17" s="314" t="s">
        <v>203</v>
      </c>
      <c r="QZX17" s="314" t="s">
        <v>203</v>
      </c>
      <c r="QZY17" s="314" t="s">
        <v>203</v>
      </c>
      <c r="QZZ17" s="314" t="s">
        <v>203</v>
      </c>
      <c r="RAA17" s="314" t="s">
        <v>203</v>
      </c>
      <c r="RAB17" s="314" t="s">
        <v>203</v>
      </c>
      <c r="RAC17" s="314" t="s">
        <v>203</v>
      </c>
      <c r="RAD17" s="314" t="s">
        <v>203</v>
      </c>
      <c r="RAE17" s="314" t="s">
        <v>203</v>
      </c>
      <c r="RAF17" s="314" t="s">
        <v>203</v>
      </c>
      <c r="RAG17" s="314" t="s">
        <v>203</v>
      </c>
      <c r="RAH17" s="314" t="s">
        <v>203</v>
      </c>
      <c r="RAI17" s="314" t="s">
        <v>203</v>
      </c>
      <c r="RAJ17" s="314" t="s">
        <v>203</v>
      </c>
      <c r="RAK17" s="314" t="s">
        <v>203</v>
      </c>
      <c r="RAL17" s="314" t="s">
        <v>203</v>
      </c>
      <c r="RAM17" s="314" t="s">
        <v>203</v>
      </c>
      <c r="RAN17" s="314" t="s">
        <v>203</v>
      </c>
      <c r="RAO17" s="314" t="s">
        <v>203</v>
      </c>
      <c r="RAP17" s="314" t="s">
        <v>203</v>
      </c>
      <c r="RAQ17" s="314" t="s">
        <v>203</v>
      </c>
      <c r="RAR17" s="314" t="s">
        <v>203</v>
      </c>
      <c r="RAS17" s="314" t="s">
        <v>203</v>
      </c>
      <c r="RAT17" s="314" t="s">
        <v>203</v>
      </c>
      <c r="RAU17" s="314" t="s">
        <v>203</v>
      </c>
      <c r="RAV17" s="314" t="s">
        <v>203</v>
      </c>
      <c r="RAW17" s="314" t="s">
        <v>203</v>
      </c>
      <c r="RAX17" s="314" t="s">
        <v>203</v>
      </c>
      <c r="RAY17" s="314" t="s">
        <v>203</v>
      </c>
      <c r="RAZ17" s="314" t="s">
        <v>203</v>
      </c>
      <c r="RBA17" s="314" t="s">
        <v>203</v>
      </c>
      <c r="RBB17" s="314" t="s">
        <v>203</v>
      </c>
      <c r="RBC17" s="314" t="s">
        <v>203</v>
      </c>
      <c r="RBD17" s="314" t="s">
        <v>203</v>
      </c>
      <c r="RBE17" s="314" t="s">
        <v>203</v>
      </c>
      <c r="RBF17" s="314" t="s">
        <v>203</v>
      </c>
      <c r="RBG17" s="314" t="s">
        <v>203</v>
      </c>
      <c r="RBH17" s="314" t="s">
        <v>203</v>
      </c>
      <c r="RBI17" s="314" t="s">
        <v>203</v>
      </c>
      <c r="RBJ17" s="314" t="s">
        <v>203</v>
      </c>
      <c r="RBK17" s="314" t="s">
        <v>203</v>
      </c>
      <c r="RBL17" s="314" t="s">
        <v>203</v>
      </c>
      <c r="RBM17" s="314" t="s">
        <v>203</v>
      </c>
      <c r="RBN17" s="314" t="s">
        <v>203</v>
      </c>
      <c r="RBO17" s="314" t="s">
        <v>203</v>
      </c>
      <c r="RBP17" s="314" t="s">
        <v>203</v>
      </c>
      <c r="RBQ17" s="314" t="s">
        <v>203</v>
      </c>
      <c r="RBR17" s="314" t="s">
        <v>203</v>
      </c>
      <c r="RBS17" s="314" t="s">
        <v>203</v>
      </c>
      <c r="RBT17" s="314" t="s">
        <v>203</v>
      </c>
      <c r="RBU17" s="314" t="s">
        <v>203</v>
      </c>
      <c r="RBV17" s="314" t="s">
        <v>203</v>
      </c>
      <c r="RBW17" s="314" t="s">
        <v>203</v>
      </c>
      <c r="RBX17" s="314" t="s">
        <v>203</v>
      </c>
      <c r="RBY17" s="314" t="s">
        <v>203</v>
      </c>
      <c r="RBZ17" s="314" t="s">
        <v>203</v>
      </c>
      <c r="RCA17" s="314" t="s">
        <v>203</v>
      </c>
      <c r="RCB17" s="314" t="s">
        <v>203</v>
      </c>
      <c r="RCC17" s="314" t="s">
        <v>203</v>
      </c>
      <c r="RCD17" s="314" t="s">
        <v>203</v>
      </c>
      <c r="RCE17" s="314" t="s">
        <v>203</v>
      </c>
      <c r="RCF17" s="314" t="s">
        <v>203</v>
      </c>
      <c r="RCG17" s="314" t="s">
        <v>203</v>
      </c>
      <c r="RCH17" s="314" t="s">
        <v>203</v>
      </c>
      <c r="RCI17" s="314" t="s">
        <v>203</v>
      </c>
      <c r="RCJ17" s="314" t="s">
        <v>203</v>
      </c>
      <c r="RCK17" s="314" t="s">
        <v>203</v>
      </c>
      <c r="RCL17" s="314" t="s">
        <v>203</v>
      </c>
      <c r="RCM17" s="314" t="s">
        <v>203</v>
      </c>
      <c r="RCN17" s="314" t="s">
        <v>203</v>
      </c>
      <c r="RCO17" s="314" t="s">
        <v>203</v>
      </c>
      <c r="RCP17" s="314" t="s">
        <v>203</v>
      </c>
      <c r="RCQ17" s="314" t="s">
        <v>203</v>
      </c>
      <c r="RCR17" s="314" t="s">
        <v>203</v>
      </c>
      <c r="RCS17" s="314" t="s">
        <v>203</v>
      </c>
      <c r="RCT17" s="314" t="s">
        <v>203</v>
      </c>
      <c r="RCU17" s="314" t="s">
        <v>203</v>
      </c>
      <c r="RCV17" s="314" t="s">
        <v>203</v>
      </c>
      <c r="RCW17" s="314" t="s">
        <v>203</v>
      </c>
      <c r="RCX17" s="314" t="s">
        <v>203</v>
      </c>
      <c r="RCY17" s="314" t="s">
        <v>203</v>
      </c>
      <c r="RCZ17" s="314" t="s">
        <v>203</v>
      </c>
      <c r="RDA17" s="314" t="s">
        <v>203</v>
      </c>
      <c r="RDB17" s="314" t="s">
        <v>203</v>
      </c>
      <c r="RDC17" s="314" t="s">
        <v>203</v>
      </c>
      <c r="RDD17" s="314" t="s">
        <v>203</v>
      </c>
      <c r="RDE17" s="314" t="s">
        <v>203</v>
      </c>
      <c r="RDF17" s="314" t="s">
        <v>203</v>
      </c>
      <c r="RDG17" s="314" t="s">
        <v>203</v>
      </c>
      <c r="RDH17" s="314" t="s">
        <v>203</v>
      </c>
      <c r="RDI17" s="314" t="s">
        <v>203</v>
      </c>
      <c r="RDJ17" s="314" t="s">
        <v>203</v>
      </c>
      <c r="RDK17" s="314" t="s">
        <v>203</v>
      </c>
      <c r="RDL17" s="314" t="s">
        <v>203</v>
      </c>
      <c r="RDM17" s="314" t="s">
        <v>203</v>
      </c>
      <c r="RDN17" s="314" t="s">
        <v>203</v>
      </c>
      <c r="RDO17" s="314" t="s">
        <v>203</v>
      </c>
      <c r="RDP17" s="314" t="s">
        <v>203</v>
      </c>
      <c r="RDQ17" s="314" t="s">
        <v>203</v>
      </c>
      <c r="RDR17" s="314" t="s">
        <v>203</v>
      </c>
      <c r="RDS17" s="314" t="s">
        <v>203</v>
      </c>
      <c r="RDT17" s="314" t="s">
        <v>203</v>
      </c>
      <c r="RDU17" s="314" t="s">
        <v>203</v>
      </c>
      <c r="RDV17" s="314" t="s">
        <v>203</v>
      </c>
      <c r="RDW17" s="314" t="s">
        <v>203</v>
      </c>
      <c r="RDX17" s="314" t="s">
        <v>203</v>
      </c>
      <c r="RDY17" s="314" t="s">
        <v>203</v>
      </c>
      <c r="RDZ17" s="314" t="s">
        <v>203</v>
      </c>
      <c r="REA17" s="314" t="s">
        <v>203</v>
      </c>
      <c r="REB17" s="314" t="s">
        <v>203</v>
      </c>
      <c r="REC17" s="314" t="s">
        <v>203</v>
      </c>
      <c r="RED17" s="314" t="s">
        <v>203</v>
      </c>
      <c r="REE17" s="314" t="s">
        <v>203</v>
      </c>
      <c r="REF17" s="314" t="s">
        <v>203</v>
      </c>
      <c r="REG17" s="314" t="s">
        <v>203</v>
      </c>
      <c r="REH17" s="314" t="s">
        <v>203</v>
      </c>
      <c r="REI17" s="314" t="s">
        <v>203</v>
      </c>
      <c r="REJ17" s="314" t="s">
        <v>203</v>
      </c>
      <c r="REK17" s="314" t="s">
        <v>203</v>
      </c>
      <c r="REL17" s="314" t="s">
        <v>203</v>
      </c>
      <c r="REM17" s="314" t="s">
        <v>203</v>
      </c>
      <c r="REN17" s="314" t="s">
        <v>203</v>
      </c>
      <c r="REO17" s="314" t="s">
        <v>203</v>
      </c>
      <c r="REP17" s="314" t="s">
        <v>203</v>
      </c>
      <c r="REQ17" s="314" t="s">
        <v>203</v>
      </c>
      <c r="RER17" s="314" t="s">
        <v>203</v>
      </c>
      <c r="RES17" s="314" t="s">
        <v>203</v>
      </c>
      <c r="RET17" s="314" t="s">
        <v>203</v>
      </c>
      <c r="REU17" s="314" t="s">
        <v>203</v>
      </c>
      <c r="REV17" s="314" t="s">
        <v>203</v>
      </c>
      <c r="REW17" s="314" t="s">
        <v>203</v>
      </c>
      <c r="REX17" s="314" t="s">
        <v>203</v>
      </c>
      <c r="REY17" s="314" t="s">
        <v>203</v>
      </c>
      <c r="REZ17" s="314" t="s">
        <v>203</v>
      </c>
      <c r="RFA17" s="314" t="s">
        <v>203</v>
      </c>
      <c r="RFB17" s="314" t="s">
        <v>203</v>
      </c>
      <c r="RFC17" s="314" t="s">
        <v>203</v>
      </c>
      <c r="RFD17" s="314" t="s">
        <v>203</v>
      </c>
      <c r="RFE17" s="314" t="s">
        <v>203</v>
      </c>
      <c r="RFF17" s="314" t="s">
        <v>203</v>
      </c>
      <c r="RFG17" s="314" t="s">
        <v>203</v>
      </c>
      <c r="RFH17" s="314" t="s">
        <v>203</v>
      </c>
      <c r="RFI17" s="314" t="s">
        <v>203</v>
      </c>
      <c r="RFJ17" s="314" t="s">
        <v>203</v>
      </c>
      <c r="RFK17" s="314" t="s">
        <v>203</v>
      </c>
      <c r="RFL17" s="314" t="s">
        <v>203</v>
      </c>
      <c r="RFM17" s="314" t="s">
        <v>203</v>
      </c>
      <c r="RFN17" s="314" t="s">
        <v>203</v>
      </c>
      <c r="RFO17" s="314" t="s">
        <v>203</v>
      </c>
      <c r="RFP17" s="314" t="s">
        <v>203</v>
      </c>
      <c r="RFQ17" s="314" t="s">
        <v>203</v>
      </c>
      <c r="RFR17" s="314" t="s">
        <v>203</v>
      </c>
      <c r="RFS17" s="314" t="s">
        <v>203</v>
      </c>
      <c r="RFT17" s="314" t="s">
        <v>203</v>
      </c>
      <c r="RFU17" s="314" t="s">
        <v>203</v>
      </c>
      <c r="RFV17" s="314" t="s">
        <v>203</v>
      </c>
      <c r="RFW17" s="314" t="s">
        <v>203</v>
      </c>
      <c r="RFX17" s="314" t="s">
        <v>203</v>
      </c>
      <c r="RFY17" s="314" t="s">
        <v>203</v>
      </c>
      <c r="RFZ17" s="314" t="s">
        <v>203</v>
      </c>
      <c r="RGA17" s="314" t="s">
        <v>203</v>
      </c>
      <c r="RGB17" s="314" t="s">
        <v>203</v>
      </c>
      <c r="RGC17" s="314" t="s">
        <v>203</v>
      </c>
      <c r="RGD17" s="314" t="s">
        <v>203</v>
      </c>
      <c r="RGE17" s="314" t="s">
        <v>203</v>
      </c>
      <c r="RGF17" s="314" t="s">
        <v>203</v>
      </c>
      <c r="RGG17" s="314" t="s">
        <v>203</v>
      </c>
      <c r="RGH17" s="314" t="s">
        <v>203</v>
      </c>
      <c r="RGI17" s="314" t="s">
        <v>203</v>
      </c>
      <c r="RGJ17" s="314" t="s">
        <v>203</v>
      </c>
      <c r="RGK17" s="314" t="s">
        <v>203</v>
      </c>
      <c r="RGL17" s="314" t="s">
        <v>203</v>
      </c>
      <c r="RGM17" s="314" t="s">
        <v>203</v>
      </c>
      <c r="RGN17" s="314" t="s">
        <v>203</v>
      </c>
      <c r="RGO17" s="314" t="s">
        <v>203</v>
      </c>
      <c r="RGP17" s="314" t="s">
        <v>203</v>
      </c>
      <c r="RGQ17" s="314" t="s">
        <v>203</v>
      </c>
      <c r="RGR17" s="314" t="s">
        <v>203</v>
      </c>
      <c r="RGS17" s="314" t="s">
        <v>203</v>
      </c>
      <c r="RGT17" s="314" t="s">
        <v>203</v>
      </c>
      <c r="RGU17" s="314" t="s">
        <v>203</v>
      </c>
      <c r="RGV17" s="314" t="s">
        <v>203</v>
      </c>
      <c r="RGW17" s="314" t="s">
        <v>203</v>
      </c>
      <c r="RGX17" s="314" t="s">
        <v>203</v>
      </c>
      <c r="RGY17" s="314" t="s">
        <v>203</v>
      </c>
      <c r="RGZ17" s="314" t="s">
        <v>203</v>
      </c>
      <c r="RHA17" s="314" t="s">
        <v>203</v>
      </c>
      <c r="RHB17" s="314" t="s">
        <v>203</v>
      </c>
      <c r="RHC17" s="314" t="s">
        <v>203</v>
      </c>
      <c r="RHD17" s="314" t="s">
        <v>203</v>
      </c>
      <c r="RHE17" s="314" t="s">
        <v>203</v>
      </c>
      <c r="RHF17" s="314" t="s">
        <v>203</v>
      </c>
      <c r="RHG17" s="314" t="s">
        <v>203</v>
      </c>
      <c r="RHH17" s="314" t="s">
        <v>203</v>
      </c>
      <c r="RHI17" s="314" t="s">
        <v>203</v>
      </c>
      <c r="RHJ17" s="314" t="s">
        <v>203</v>
      </c>
      <c r="RHK17" s="314" t="s">
        <v>203</v>
      </c>
      <c r="RHL17" s="314" t="s">
        <v>203</v>
      </c>
      <c r="RHM17" s="314" t="s">
        <v>203</v>
      </c>
      <c r="RHN17" s="314" t="s">
        <v>203</v>
      </c>
      <c r="RHO17" s="314" t="s">
        <v>203</v>
      </c>
      <c r="RHP17" s="314" t="s">
        <v>203</v>
      </c>
      <c r="RHQ17" s="314" t="s">
        <v>203</v>
      </c>
      <c r="RHR17" s="314" t="s">
        <v>203</v>
      </c>
      <c r="RHS17" s="314" t="s">
        <v>203</v>
      </c>
      <c r="RHT17" s="314" t="s">
        <v>203</v>
      </c>
      <c r="RHU17" s="314" t="s">
        <v>203</v>
      </c>
      <c r="RHV17" s="314" t="s">
        <v>203</v>
      </c>
      <c r="RHW17" s="314" t="s">
        <v>203</v>
      </c>
      <c r="RHX17" s="314" t="s">
        <v>203</v>
      </c>
      <c r="RHY17" s="314" t="s">
        <v>203</v>
      </c>
      <c r="RHZ17" s="314" t="s">
        <v>203</v>
      </c>
      <c r="RIA17" s="314" t="s">
        <v>203</v>
      </c>
      <c r="RIB17" s="314" t="s">
        <v>203</v>
      </c>
      <c r="RIC17" s="314" t="s">
        <v>203</v>
      </c>
      <c r="RID17" s="314" t="s">
        <v>203</v>
      </c>
      <c r="RIE17" s="314" t="s">
        <v>203</v>
      </c>
      <c r="RIF17" s="314" t="s">
        <v>203</v>
      </c>
      <c r="RIG17" s="314" t="s">
        <v>203</v>
      </c>
      <c r="RIH17" s="314" t="s">
        <v>203</v>
      </c>
      <c r="RII17" s="314" t="s">
        <v>203</v>
      </c>
      <c r="RIJ17" s="314" t="s">
        <v>203</v>
      </c>
      <c r="RIK17" s="314" t="s">
        <v>203</v>
      </c>
      <c r="RIL17" s="314" t="s">
        <v>203</v>
      </c>
      <c r="RIM17" s="314" t="s">
        <v>203</v>
      </c>
      <c r="RIN17" s="314" t="s">
        <v>203</v>
      </c>
      <c r="RIO17" s="314" t="s">
        <v>203</v>
      </c>
      <c r="RIP17" s="314" t="s">
        <v>203</v>
      </c>
      <c r="RIQ17" s="314" t="s">
        <v>203</v>
      </c>
      <c r="RIR17" s="314" t="s">
        <v>203</v>
      </c>
      <c r="RIS17" s="314" t="s">
        <v>203</v>
      </c>
      <c r="RIT17" s="314" t="s">
        <v>203</v>
      </c>
      <c r="RIU17" s="314" t="s">
        <v>203</v>
      </c>
      <c r="RIV17" s="314" t="s">
        <v>203</v>
      </c>
      <c r="RIW17" s="314" t="s">
        <v>203</v>
      </c>
      <c r="RIX17" s="314" t="s">
        <v>203</v>
      </c>
      <c r="RIY17" s="314" t="s">
        <v>203</v>
      </c>
      <c r="RIZ17" s="314" t="s">
        <v>203</v>
      </c>
      <c r="RJA17" s="314" t="s">
        <v>203</v>
      </c>
      <c r="RJB17" s="314" t="s">
        <v>203</v>
      </c>
      <c r="RJC17" s="314" t="s">
        <v>203</v>
      </c>
      <c r="RJD17" s="314" t="s">
        <v>203</v>
      </c>
      <c r="RJE17" s="314" t="s">
        <v>203</v>
      </c>
      <c r="RJF17" s="314" t="s">
        <v>203</v>
      </c>
      <c r="RJG17" s="314" t="s">
        <v>203</v>
      </c>
      <c r="RJH17" s="314" t="s">
        <v>203</v>
      </c>
      <c r="RJI17" s="314" t="s">
        <v>203</v>
      </c>
      <c r="RJJ17" s="314" t="s">
        <v>203</v>
      </c>
      <c r="RJK17" s="314" t="s">
        <v>203</v>
      </c>
      <c r="RJL17" s="314" t="s">
        <v>203</v>
      </c>
      <c r="RJM17" s="314" t="s">
        <v>203</v>
      </c>
      <c r="RJN17" s="314" t="s">
        <v>203</v>
      </c>
      <c r="RJO17" s="314" t="s">
        <v>203</v>
      </c>
      <c r="RJP17" s="314" t="s">
        <v>203</v>
      </c>
      <c r="RJQ17" s="314" t="s">
        <v>203</v>
      </c>
      <c r="RJR17" s="314" t="s">
        <v>203</v>
      </c>
      <c r="RJS17" s="314" t="s">
        <v>203</v>
      </c>
      <c r="RJT17" s="314" t="s">
        <v>203</v>
      </c>
      <c r="RJU17" s="314" t="s">
        <v>203</v>
      </c>
      <c r="RJV17" s="314" t="s">
        <v>203</v>
      </c>
      <c r="RJW17" s="314" t="s">
        <v>203</v>
      </c>
      <c r="RJX17" s="314" t="s">
        <v>203</v>
      </c>
      <c r="RJY17" s="314" t="s">
        <v>203</v>
      </c>
      <c r="RJZ17" s="314" t="s">
        <v>203</v>
      </c>
      <c r="RKA17" s="314" t="s">
        <v>203</v>
      </c>
      <c r="RKB17" s="314" t="s">
        <v>203</v>
      </c>
      <c r="RKC17" s="314" t="s">
        <v>203</v>
      </c>
      <c r="RKD17" s="314" t="s">
        <v>203</v>
      </c>
      <c r="RKE17" s="314" t="s">
        <v>203</v>
      </c>
      <c r="RKF17" s="314" t="s">
        <v>203</v>
      </c>
      <c r="RKG17" s="314" t="s">
        <v>203</v>
      </c>
      <c r="RKH17" s="314" t="s">
        <v>203</v>
      </c>
      <c r="RKI17" s="314" t="s">
        <v>203</v>
      </c>
      <c r="RKJ17" s="314" t="s">
        <v>203</v>
      </c>
      <c r="RKK17" s="314" t="s">
        <v>203</v>
      </c>
      <c r="RKL17" s="314" t="s">
        <v>203</v>
      </c>
      <c r="RKM17" s="314" t="s">
        <v>203</v>
      </c>
      <c r="RKN17" s="314" t="s">
        <v>203</v>
      </c>
      <c r="RKO17" s="314" t="s">
        <v>203</v>
      </c>
      <c r="RKP17" s="314" t="s">
        <v>203</v>
      </c>
      <c r="RKQ17" s="314" t="s">
        <v>203</v>
      </c>
      <c r="RKR17" s="314" t="s">
        <v>203</v>
      </c>
      <c r="RKS17" s="314" t="s">
        <v>203</v>
      </c>
      <c r="RKT17" s="314" t="s">
        <v>203</v>
      </c>
      <c r="RKU17" s="314" t="s">
        <v>203</v>
      </c>
      <c r="RKV17" s="314" t="s">
        <v>203</v>
      </c>
      <c r="RKW17" s="314" t="s">
        <v>203</v>
      </c>
      <c r="RKX17" s="314" t="s">
        <v>203</v>
      </c>
      <c r="RKY17" s="314" t="s">
        <v>203</v>
      </c>
      <c r="RKZ17" s="314" t="s">
        <v>203</v>
      </c>
      <c r="RLA17" s="314" t="s">
        <v>203</v>
      </c>
      <c r="RLB17" s="314" t="s">
        <v>203</v>
      </c>
      <c r="RLC17" s="314" t="s">
        <v>203</v>
      </c>
      <c r="RLD17" s="314" t="s">
        <v>203</v>
      </c>
      <c r="RLE17" s="314" t="s">
        <v>203</v>
      </c>
      <c r="RLF17" s="314" t="s">
        <v>203</v>
      </c>
      <c r="RLG17" s="314" t="s">
        <v>203</v>
      </c>
      <c r="RLH17" s="314" t="s">
        <v>203</v>
      </c>
      <c r="RLI17" s="314" t="s">
        <v>203</v>
      </c>
      <c r="RLJ17" s="314" t="s">
        <v>203</v>
      </c>
      <c r="RLK17" s="314" t="s">
        <v>203</v>
      </c>
      <c r="RLL17" s="314" t="s">
        <v>203</v>
      </c>
      <c r="RLM17" s="314" t="s">
        <v>203</v>
      </c>
      <c r="RLN17" s="314" t="s">
        <v>203</v>
      </c>
      <c r="RLO17" s="314" t="s">
        <v>203</v>
      </c>
      <c r="RLP17" s="314" t="s">
        <v>203</v>
      </c>
      <c r="RLQ17" s="314" t="s">
        <v>203</v>
      </c>
      <c r="RLR17" s="314" t="s">
        <v>203</v>
      </c>
      <c r="RLS17" s="314" t="s">
        <v>203</v>
      </c>
      <c r="RLT17" s="314" t="s">
        <v>203</v>
      </c>
      <c r="RLU17" s="314" t="s">
        <v>203</v>
      </c>
      <c r="RLV17" s="314" t="s">
        <v>203</v>
      </c>
      <c r="RLW17" s="314" t="s">
        <v>203</v>
      </c>
      <c r="RLX17" s="314" t="s">
        <v>203</v>
      </c>
      <c r="RLY17" s="314" t="s">
        <v>203</v>
      </c>
      <c r="RLZ17" s="314" t="s">
        <v>203</v>
      </c>
      <c r="RMA17" s="314" t="s">
        <v>203</v>
      </c>
      <c r="RMB17" s="314" t="s">
        <v>203</v>
      </c>
      <c r="RMC17" s="314" t="s">
        <v>203</v>
      </c>
      <c r="RMD17" s="314" t="s">
        <v>203</v>
      </c>
      <c r="RME17" s="314" t="s">
        <v>203</v>
      </c>
      <c r="RMF17" s="314" t="s">
        <v>203</v>
      </c>
      <c r="RMG17" s="314" t="s">
        <v>203</v>
      </c>
      <c r="RMH17" s="314" t="s">
        <v>203</v>
      </c>
      <c r="RMI17" s="314" t="s">
        <v>203</v>
      </c>
      <c r="RMJ17" s="314" t="s">
        <v>203</v>
      </c>
      <c r="RMK17" s="314" t="s">
        <v>203</v>
      </c>
      <c r="RML17" s="314" t="s">
        <v>203</v>
      </c>
      <c r="RMM17" s="314" t="s">
        <v>203</v>
      </c>
      <c r="RMN17" s="314" t="s">
        <v>203</v>
      </c>
      <c r="RMO17" s="314" t="s">
        <v>203</v>
      </c>
      <c r="RMP17" s="314" t="s">
        <v>203</v>
      </c>
      <c r="RMQ17" s="314" t="s">
        <v>203</v>
      </c>
      <c r="RMR17" s="314" t="s">
        <v>203</v>
      </c>
      <c r="RMS17" s="314" t="s">
        <v>203</v>
      </c>
      <c r="RMT17" s="314" t="s">
        <v>203</v>
      </c>
      <c r="RMU17" s="314" t="s">
        <v>203</v>
      </c>
      <c r="RMV17" s="314" t="s">
        <v>203</v>
      </c>
      <c r="RMW17" s="314" t="s">
        <v>203</v>
      </c>
      <c r="RMX17" s="314" t="s">
        <v>203</v>
      </c>
      <c r="RMY17" s="314" t="s">
        <v>203</v>
      </c>
      <c r="RMZ17" s="314" t="s">
        <v>203</v>
      </c>
      <c r="RNA17" s="314" t="s">
        <v>203</v>
      </c>
      <c r="RNB17" s="314" t="s">
        <v>203</v>
      </c>
      <c r="RNC17" s="314" t="s">
        <v>203</v>
      </c>
      <c r="RND17" s="314" t="s">
        <v>203</v>
      </c>
      <c r="RNE17" s="314" t="s">
        <v>203</v>
      </c>
      <c r="RNF17" s="314" t="s">
        <v>203</v>
      </c>
      <c r="RNG17" s="314" t="s">
        <v>203</v>
      </c>
      <c r="RNH17" s="314" t="s">
        <v>203</v>
      </c>
      <c r="RNI17" s="314" t="s">
        <v>203</v>
      </c>
      <c r="RNJ17" s="314" t="s">
        <v>203</v>
      </c>
      <c r="RNK17" s="314" t="s">
        <v>203</v>
      </c>
      <c r="RNL17" s="314" t="s">
        <v>203</v>
      </c>
      <c r="RNM17" s="314" t="s">
        <v>203</v>
      </c>
      <c r="RNN17" s="314" t="s">
        <v>203</v>
      </c>
      <c r="RNO17" s="314" t="s">
        <v>203</v>
      </c>
      <c r="RNP17" s="314" t="s">
        <v>203</v>
      </c>
      <c r="RNQ17" s="314" t="s">
        <v>203</v>
      </c>
      <c r="RNR17" s="314" t="s">
        <v>203</v>
      </c>
      <c r="RNS17" s="314" t="s">
        <v>203</v>
      </c>
      <c r="RNT17" s="314" t="s">
        <v>203</v>
      </c>
      <c r="RNU17" s="314" t="s">
        <v>203</v>
      </c>
      <c r="RNV17" s="314" t="s">
        <v>203</v>
      </c>
      <c r="RNW17" s="314" t="s">
        <v>203</v>
      </c>
      <c r="RNX17" s="314" t="s">
        <v>203</v>
      </c>
      <c r="RNY17" s="314" t="s">
        <v>203</v>
      </c>
      <c r="RNZ17" s="314" t="s">
        <v>203</v>
      </c>
      <c r="ROA17" s="314" t="s">
        <v>203</v>
      </c>
      <c r="ROB17" s="314" t="s">
        <v>203</v>
      </c>
      <c r="ROC17" s="314" t="s">
        <v>203</v>
      </c>
      <c r="ROD17" s="314" t="s">
        <v>203</v>
      </c>
      <c r="ROE17" s="314" t="s">
        <v>203</v>
      </c>
      <c r="ROF17" s="314" t="s">
        <v>203</v>
      </c>
      <c r="ROG17" s="314" t="s">
        <v>203</v>
      </c>
      <c r="ROH17" s="314" t="s">
        <v>203</v>
      </c>
      <c r="ROI17" s="314" t="s">
        <v>203</v>
      </c>
      <c r="ROJ17" s="314" t="s">
        <v>203</v>
      </c>
      <c r="ROK17" s="314" t="s">
        <v>203</v>
      </c>
      <c r="ROL17" s="314" t="s">
        <v>203</v>
      </c>
      <c r="ROM17" s="314" t="s">
        <v>203</v>
      </c>
      <c r="RON17" s="314" t="s">
        <v>203</v>
      </c>
      <c r="ROO17" s="314" t="s">
        <v>203</v>
      </c>
      <c r="ROP17" s="314" t="s">
        <v>203</v>
      </c>
      <c r="ROQ17" s="314" t="s">
        <v>203</v>
      </c>
      <c r="ROR17" s="314" t="s">
        <v>203</v>
      </c>
      <c r="ROS17" s="314" t="s">
        <v>203</v>
      </c>
      <c r="ROT17" s="314" t="s">
        <v>203</v>
      </c>
      <c r="ROU17" s="314" t="s">
        <v>203</v>
      </c>
      <c r="ROV17" s="314" t="s">
        <v>203</v>
      </c>
      <c r="ROW17" s="314" t="s">
        <v>203</v>
      </c>
      <c r="ROX17" s="314" t="s">
        <v>203</v>
      </c>
      <c r="ROY17" s="314" t="s">
        <v>203</v>
      </c>
      <c r="ROZ17" s="314" t="s">
        <v>203</v>
      </c>
      <c r="RPA17" s="314" t="s">
        <v>203</v>
      </c>
      <c r="RPB17" s="314" t="s">
        <v>203</v>
      </c>
      <c r="RPC17" s="314" t="s">
        <v>203</v>
      </c>
      <c r="RPD17" s="314" t="s">
        <v>203</v>
      </c>
      <c r="RPE17" s="314" t="s">
        <v>203</v>
      </c>
      <c r="RPF17" s="314" t="s">
        <v>203</v>
      </c>
      <c r="RPG17" s="314" t="s">
        <v>203</v>
      </c>
      <c r="RPH17" s="314" t="s">
        <v>203</v>
      </c>
      <c r="RPI17" s="314" t="s">
        <v>203</v>
      </c>
      <c r="RPJ17" s="314" t="s">
        <v>203</v>
      </c>
      <c r="RPK17" s="314" t="s">
        <v>203</v>
      </c>
      <c r="RPL17" s="314" t="s">
        <v>203</v>
      </c>
      <c r="RPM17" s="314" t="s">
        <v>203</v>
      </c>
      <c r="RPN17" s="314" t="s">
        <v>203</v>
      </c>
      <c r="RPO17" s="314" t="s">
        <v>203</v>
      </c>
      <c r="RPP17" s="314" t="s">
        <v>203</v>
      </c>
      <c r="RPQ17" s="314" t="s">
        <v>203</v>
      </c>
      <c r="RPR17" s="314" t="s">
        <v>203</v>
      </c>
      <c r="RPS17" s="314" t="s">
        <v>203</v>
      </c>
      <c r="RPT17" s="314" t="s">
        <v>203</v>
      </c>
      <c r="RPU17" s="314" t="s">
        <v>203</v>
      </c>
      <c r="RPV17" s="314" t="s">
        <v>203</v>
      </c>
      <c r="RPW17" s="314" t="s">
        <v>203</v>
      </c>
      <c r="RPX17" s="314" t="s">
        <v>203</v>
      </c>
      <c r="RPY17" s="314" t="s">
        <v>203</v>
      </c>
      <c r="RPZ17" s="314" t="s">
        <v>203</v>
      </c>
      <c r="RQA17" s="314" t="s">
        <v>203</v>
      </c>
      <c r="RQB17" s="314" t="s">
        <v>203</v>
      </c>
      <c r="RQC17" s="314" t="s">
        <v>203</v>
      </c>
      <c r="RQD17" s="314" t="s">
        <v>203</v>
      </c>
      <c r="RQE17" s="314" t="s">
        <v>203</v>
      </c>
      <c r="RQF17" s="314" t="s">
        <v>203</v>
      </c>
      <c r="RQG17" s="314" t="s">
        <v>203</v>
      </c>
      <c r="RQH17" s="314" t="s">
        <v>203</v>
      </c>
      <c r="RQI17" s="314" t="s">
        <v>203</v>
      </c>
      <c r="RQJ17" s="314" t="s">
        <v>203</v>
      </c>
      <c r="RQK17" s="314" t="s">
        <v>203</v>
      </c>
      <c r="RQL17" s="314" t="s">
        <v>203</v>
      </c>
      <c r="RQM17" s="314" t="s">
        <v>203</v>
      </c>
      <c r="RQN17" s="314" t="s">
        <v>203</v>
      </c>
      <c r="RQO17" s="314" t="s">
        <v>203</v>
      </c>
      <c r="RQP17" s="314" t="s">
        <v>203</v>
      </c>
      <c r="RQQ17" s="314" t="s">
        <v>203</v>
      </c>
      <c r="RQR17" s="314" t="s">
        <v>203</v>
      </c>
      <c r="RQS17" s="314" t="s">
        <v>203</v>
      </c>
      <c r="RQT17" s="314" t="s">
        <v>203</v>
      </c>
      <c r="RQU17" s="314" t="s">
        <v>203</v>
      </c>
      <c r="RQV17" s="314" t="s">
        <v>203</v>
      </c>
      <c r="RQW17" s="314" t="s">
        <v>203</v>
      </c>
      <c r="RQX17" s="314" t="s">
        <v>203</v>
      </c>
      <c r="RQY17" s="314" t="s">
        <v>203</v>
      </c>
      <c r="RQZ17" s="314" t="s">
        <v>203</v>
      </c>
      <c r="RRA17" s="314" t="s">
        <v>203</v>
      </c>
      <c r="RRB17" s="314" t="s">
        <v>203</v>
      </c>
      <c r="RRC17" s="314" t="s">
        <v>203</v>
      </c>
      <c r="RRD17" s="314" t="s">
        <v>203</v>
      </c>
      <c r="RRE17" s="314" t="s">
        <v>203</v>
      </c>
      <c r="RRF17" s="314" t="s">
        <v>203</v>
      </c>
      <c r="RRG17" s="314" t="s">
        <v>203</v>
      </c>
      <c r="RRH17" s="314" t="s">
        <v>203</v>
      </c>
      <c r="RRI17" s="314" t="s">
        <v>203</v>
      </c>
      <c r="RRJ17" s="314" t="s">
        <v>203</v>
      </c>
      <c r="RRK17" s="314" t="s">
        <v>203</v>
      </c>
      <c r="RRL17" s="314" t="s">
        <v>203</v>
      </c>
      <c r="RRM17" s="314" t="s">
        <v>203</v>
      </c>
      <c r="RRN17" s="314" t="s">
        <v>203</v>
      </c>
      <c r="RRO17" s="314" t="s">
        <v>203</v>
      </c>
      <c r="RRP17" s="314" t="s">
        <v>203</v>
      </c>
      <c r="RRQ17" s="314" t="s">
        <v>203</v>
      </c>
      <c r="RRR17" s="314" t="s">
        <v>203</v>
      </c>
      <c r="RRS17" s="314" t="s">
        <v>203</v>
      </c>
      <c r="RRT17" s="314" t="s">
        <v>203</v>
      </c>
      <c r="RRU17" s="314" t="s">
        <v>203</v>
      </c>
      <c r="RRV17" s="314" t="s">
        <v>203</v>
      </c>
      <c r="RRW17" s="314" t="s">
        <v>203</v>
      </c>
      <c r="RRX17" s="314" t="s">
        <v>203</v>
      </c>
      <c r="RRY17" s="314" t="s">
        <v>203</v>
      </c>
      <c r="RRZ17" s="314" t="s">
        <v>203</v>
      </c>
      <c r="RSA17" s="314" t="s">
        <v>203</v>
      </c>
      <c r="RSB17" s="314" t="s">
        <v>203</v>
      </c>
      <c r="RSC17" s="314" t="s">
        <v>203</v>
      </c>
      <c r="RSD17" s="314" t="s">
        <v>203</v>
      </c>
      <c r="RSE17" s="314" t="s">
        <v>203</v>
      </c>
      <c r="RSF17" s="314" t="s">
        <v>203</v>
      </c>
      <c r="RSG17" s="314" t="s">
        <v>203</v>
      </c>
      <c r="RSH17" s="314" t="s">
        <v>203</v>
      </c>
      <c r="RSI17" s="314" t="s">
        <v>203</v>
      </c>
      <c r="RSJ17" s="314" t="s">
        <v>203</v>
      </c>
      <c r="RSK17" s="314" t="s">
        <v>203</v>
      </c>
      <c r="RSL17" s="314" t="s">
        <v>203</v>
      </c>
      <c r="RSM17" s="314" t="s">
        <v>203</v>
      </c>
      <c r="RSN17" s="314" t="s">
        <v>203</v>
      </c>
      <c r="RSO17" s="314" t="s">
        <v>203</v>
      </c>
      <c r="RSP17" s="314" t="s">
        <v>203</v>
      </c>
      <c r="RSQ17" s="314" t="s">
        <v>203</v>
      </c>
      <c r="RSR17" s="314" t="s">
        <v>203</v>
      </c>
      <c r="RSS17" s="314" t="s">
        <v>203</v>
      </c>
      <c r="RST17" s="314" t="s">
        <v>203</v>
      </c>
      <c r="RSU17" s="314" t="s">
        <v>203</v>
      </c>
      <c r="RSV17" s="314" t="s">
        <v>203</v>
      </c>
      <c r="RSW17" s="314" t="s">
        <v>203</v>
      </c>
      <c r="RSX17" s="314" t="s">
        <v>203</v>
      </c>
      <c r="RSY17" s="314" t="s">
        <v>203</v>
      </c>
      <c r="RSZ17" s="314" t="s">
        <v>203</v>
      </c>
      <c r="RTA17" s="314" t="s">
        <v>203</v>
      </c>
      <c r="RTB17" s="314" t="s">
        <v>203</v>
      </c>
      <c r="RTC17" s="314" t="s">
        <v>203</v>
      </c>
      <c r="RTD17" s="314" t="s">
        <v>203</v>
      </c>
      <c r="RTE17" s="314" t="s">
        <v>203</v>
      </c>
      <c r="RTF17" s="314" t="s">
        <v>203</v>
      </c>
      <c r="RTG17" s="314" t="s">
        <v>203</v>
      </c>
      <c r="RTH17" s="314" t="s">
        <v>203</v>
      </c>
      <c r="RTI17" s="314" t="s">
        <v>203</v>
      </c>
      <c r="RTJ17" s="314" t="s">
        <v>203</v>
      </c>
      <c r="RTK17" s="314" t="s">
        <v>203</v>
      </c>
      <c r="RTL17" s="314" t="s">
        <v>203</v>
      </c>
      <c r="RTM17" s="314" t="s">
        <v>203</v>
      </c>
      <c r="RTN17" s="314" t="s">
        <v>203</v>
      </c>
      <c r="RTO17" s="314" t="s">
        <v>203</v>
      </c>
      <c r="RTP17" s="314" t="s">
        <v>203</v>
      </c>
      <c r="RTQ17" s="314" t="s">
        <v>203</v>
      </c>
      <c r="RTR17" s="314" t="s">
        <v>203</v>
      </c>
      <c r="RTS17" s="314" t="s">
        <v>203</v>
      </c>
      <c r="RTT17" s="314" t="s">
        <v>203</v>
      </c>
      <c r="RTU17" s="314" t="s">
        <v>203</v>
      </c>
      <c r="RTV17" s="314" t="s">
        <v>203</v>
      </c>
      <c r="RTW17" s="314" t="s">
        <v>203</v>
      </c>
      <c r="RTX17" s="314" t="s">
        <v>203</v>
      </c>
      <c r="RTY17" s="314" t="s">
        <v>203</v>
      </c>
      <c r="RTZ17" s="314" t="s">
        <v>203</v>
      </c>
      <c r="RUA17" s="314" t="s">
        <v>203</v>
      </c>
      <c r="RUB17" s="314" t="s">
        <v>203</v>
      </c>
      <c r="RUC17" s="314" t="s">
        <v>203</v>
      </c>
      <c r="RUD17" s="314" t="s">
        <v>203</v>
      </c>
      <c r="RUE17" s="314" t="s">
        <v>203</v>
      </c>
      <c r="RUF17" s="314" t="s">
        <v>203</v>
      </c>
      <c r="RUG17" s="314" t="s">
        <v>203</v>
      </c>
      <c r="RUH17" s="314" t="s">
        <v>203</v>
      </c>
      <c r="RUI17" s="314" t="s">
        <v>203</v>
      </c>
      <c r="RUJ17" s="314" t="s">
        <v>203</v>
      </c>
      <c r="RUK17" s="314" t="s">
        <v>203</v>
      </c>
      <c r="RUL17" s="314" t="s">
        <v>203</v>
      </c>
      <c r="RUM17" s="314" t="s">
        <v>203</v>
      </c>
      <c r="RUN17" s="314" t="s">
        <v>203</v>
      </c>
      <c r="RUO17" s="314" t="s">
        <v>203</v>
      </c>
      <c r="RUP17" s="314" t="s">
        <v>203</v>
      </c>
      <c r="RUQ17" s="314" t="s">
        <v>203</v>
      </c>
      <c r="RUR17" s="314" t="s">
        <v>203</v>
      </c>
      <c r="RUS17" s="314" t="s">
        <v>203</v>
      </c>
      <c r="RUT17" s="314" t="s">
        <v>203</v>
      </c>
      <c r="RUU17" s="314" t="s">
        <v>203</v>
      </c>
      <c r="RUV17" s="314" t="s">
        <v>203</v>
      </c>
      <c r="RUW17" s="314" t="s">
        <v>203</v>
      </c>
      <c r="RUX17" s="314" t="s">
        <v>203</v>
      </c>
      <c r="RUY17" s="314" t="s">
        <v>203</v>
      </c>
      <c r="RUZ17" s="314" t="s">
        <v>203</v>
      </c>
      <c r="RVA17" s="314" t="s">
        <v>203</v>
      </c>
      <c r="RVB17" s="314" t="s">
        <v>203</v>
      </c>
      <c r="RVC17" s="314" t="s">
        <v>203</v>
      </c>
      <c r="RVD17" s="314" t="s">
        <v>203</v>
      </c>
      <c r="RVE17" s="314" t="s">
        <v>203</v>
      </c>
      <c r="RVF17" s="314" t="s">
        <v>203</v>
      </c>
      <c r="RVG17" s="314" t="s">
        <v>203</v>
      </c>
      <c r="RVH17" s="314" t="s">
        <v>203</v>
      </c>
      <c r="RVI17" s="314" t="s">
        <v>203</v>
      </c>
      <c r="RVJ17" s="314" t="s">
        <v>203</v>
      </c>
      <c r="RVK17" s="314" t="s">
        <v>203</v>
      </c>
      <c r="RVL17" s="314" t="s">
        <v>203</v>
      </c>
      <c r="RVM17" s="314" t="s">
        <v>203</v>
      </c>
      <c r="RVN17" s="314" t="s">
        <v>203</v>
      </c>
      <c r="RVO17" s="314" t="s">
        <v>203</v>
      </c>
      <c r="RVP17" s="314" t="s">
        <v>203</v>
      </c>
      <c r="RVQ17" s="314" t="s">
        <v>203</v>
      </c>
      <c r="RVR17" s="314" t="s">
        <v>203</v>
      </c>
      <c r="RVS17" s="314" t="s">
        <v>203</v>
      </c>
      <c r="RVT17" s="314" t="s">
        <v>203</v>
      </c>
      <c r="RVU17" s="314" t="s">
        <v>203</v>
      </c>
      <c r="RVV17" s="314" t="s">
        <v>203</v>
      </c>
      <c r="RVW17" s="314" t="s">
        <v>203</v>
      </c>
      <c r="RVX17" s="314" t="s">
        <v>203</v>
      </c>
      <c r="RVY17" s="314" t="s">
        <v>203</v>
      </c>
      <c r="RVZ17" s="314" t="s">
        <v>203</v>
      </c>
      <c r="RWA17" s="314" t="s">
        <v>203</v>
      </c>
      <c r="RWB17" s="314" t="s">
        <v>203</v>
      </c>
      <c r="RWC17" s="314" t="s">
        <v>203</v>
      </c>
      <c r="RWD17" s="314" t="s">
        <v>203</v>
      </c>
      <c r="RWE17" s="314" t="s">
        <v>203</v>
      </c>
      <c r="RWF17" s="314" t="s">
        <v>203</v>
      </c>
      <c r="RWG17" s="314" t="s">
        <v>203</v>
      </c>
      <c r="RWH17" s="314" t="s">
        <v>203</v>
      </c>
      <c r="RWI17" s="314" t="s">
        <v>203</v>
      </c>
      <c r="RWJ17" s="314" t="s">
        <v>203</v>
      </c>
      <c r="RWK17" s="314" t="s">
        <v>203</v>
      </c>
      <c r="RWL17" s="314" t="s">
        <v>203</v>
      </c>
      <c r="RWM17" s="314" t="s">
        <v>203</v>
      </c>
      <c r="RWN17" s="314" t="s">
        <v>203</v>
      </c>
      <c r="RWO17" s="314" t="s">
        <v>203</v>
      </c>
      <c r="RWP17" s="314" t="s">
        <v>203</v>
      </c>
      <c r="RWQ17" s="314" t="s">
        <v>203</v>
      </c>
      <c r="RWR17" s="314" t="s">
        <v>203</v>
      </c>
      <c r="RWS17" s="314" t="s">
        <v>203</v>
      </c>
      <c r="RWT17" s="314" t="s">
        <v>203</v>
      </c>
      <c r="RWU17" s="314" t="s">
        <v>203</v>
      </c>
      <c r="RWV17" s="314" t="s">
        <v>203</v>
      </c>
      <c r="RWW17" s="314" t="s">
        <v>203</v>
      </c>
      <c r="RWX17" s="314" t="s">
        <v>203</v>
      </c>
      <c r="RWY17" s="314" t="s">
        <v>203</v>
      </c>
      <c r="RWZ17" s="314" t="s">
        <v>203</v>
      </c>
      <c r="RXA17" s="314" t="s">
        <v>203</v>
      </c>
      <c r="RXB17" s="314" t="s">
        <v>203</v>
      </c>
      <c r="RXC17" s="314" t="s">
        <v>203</v>
      </c>
      <c r="RXD17" s="314" t="s">
        <v>203</v>
      </c>
      <c r="RXE17" s="314" t="s">
        <v>203</v>
      </c>
      <c r="RXF17" s="314" t="s">
        <v>203</v>
      </c>
      <c r="RXG17" s="314" t="s">
        <v>203</v>
      </c>
      <c r="RXH17" s="314" t="s">
        <v>203</v>
      </c>
      <c r="RXI17" s="314" t="s">
        <v>203</v>
      </c>
      <c r="RXJ17" s="314" t="s">
        <v>203</v>
      </c>
      <c r="RXK17" s="314" t="s">
        <v>203</v>
      </c>
      <c r="RXL17" s="314" t="s">
        <v>203</v>
      </c>
      <c r="RXM17" s="314" t="s">
        <v>203</v>
      </c>
      <c r="RXN17" s="314" t="s">
        <v>203</v>
      </c>
      <c r="RXO17" s="314" t="s">
        <v>203</v>
      </c>
      <c r="RXP17" s="314" t="s">
        <v>203</v>
      </c>
      <c r="RXQ17" s="314" t="s">
        <v>203</v>
      </c>
      <c r="RXR17" s="314" t="s">
        <v>203</v>
      </c>
      <c r="RXS17" s="314" t="s">
        <v>203</v>
      </c>
      <c r="RXT17" s="314" t="s">
        <v>203</v>
      </c>
      <c r="RXU17" s="314" t="s">
        <v>203</v>
      </c>
      <c r="RXV17" s="314" t="s">
        <v>203</v>
      </c>
      <c r="RXW17" s="314" t="s">
        <v>203</v>
      </c>
      <c r="RXX17" s="314" t="s">
        <v>203</v>
      </c>
      <c r="RXY17" s="314" t="s">
        <v>203</v>
      </c>
      <c r="RXZ17" s="314" t="s">
        <v>203</v>
      </c>
      <c r="RYA17" s="314" t="s">
        <v>203</v>
      </c>
      <c r="RYB17" s="314" t="s">
        <v>203</v>
      </c>
      <c r="RYC17" s="314" t="s">
        <v>203</v>
      </c>
      <c r="RYD17" s="314" t="s">
        <v>203</v>
      </c>
      <c r="RYE17" s="314" t="s">
        <v>203</v>
      </c>
      <c r="RYF17" s="314" t="s">
        <v>203</v>
      </c>
      <c r="RYG17" s="314" t="s">
        <v>203</v>
      </c>
      <c r="RYH17" s="314" t="s">
        <v>203</v>
      </c>
      <c r="RYI17" s="314" t="s">
        <v>203</v>
      </c>
      <c r="RYJ17" s="314" t="s">
        <v>203</v>
      </c>
      <c r="RYK17" s="314" t="s">
        <v>203</v>
      </c>
      <c r="RYL17" s="314" t="s">
        <v>203</v>
      </c>
      <c r="RYM17" s="314" t="s">
        <v>203</v>
      </c>
      <c r="RYN17" s="314" t="s">
        <v>203</v>
      </c>
      <c r="RYO17" s="314" t="s">
        <v>203</v>
      </c>
      <c r="RYP17" s="314" t="s">
        <v>203</v>
      </c>
      <c r="RYQ17" s="314" t="s">
        <v>203</v>
      </c>
      <c r="RYR17" s="314" t="s">
        <v>203</v>
      </c>
      <c r="RYS17" s="314" t="s">
        <v>203</v>
      </c>
      <c r="RYT17" s="314" t="s">
        <v>203</v>
      </c>
      <c r="RYU17" s="314" t="s">
        <v>203</v>
      </c>
      <c r="RYV17" s="314" t="s">
        <v>203</v>
      </c>
      <c r="RYW17" s="314" t="s">
        <v>203</v>
      </c>
      <c r="RYX17" s="314" t="s">
        <v>203</v>
      </c>
      <c r="RYY17" s="314" t="s">
        <v>203</v>
      </c>
      <c r="RYZ17" s="314" t="s">
        <v>203</v>
      </c>
      <c r="RZA17" s="314" t="s">
        <v>203</v>
      </c>
      <c r="RZB17" s="314" t="s">
        <v>203</v>
      </c>
      <c r="RZC17" s="314" t="s">
        <v>203</v>
      </c>
      <c r="RZD17" s="314" t="s">
        <v>203</v>
      </c>
      <c r="RZE17" s="314" t="s">
        <v>203</v>
      </c>
      <c r="RZF17" s="314" t="s">
        <v>203</v>
      </c>
      <c r="RZG17" s="314" t="s">
        <v>203</v>
      </c>
      <c r="RZH17" s="314" t="s">
        <v>203</v>
      </c>
      <c r="RZI17" s="314" t="s">
        <v>203</v>
      </c>
      <c r="RZJ17" s="314" t="s">
        <v>203</v>
      </c>
      <c r="RZK17" s="314" t="s">
        <v>203</v>
      </c>
      <c r="RZL17" s="314" t="s">
        <v>203</v>
      </c>
      <c r="RZM17" s="314" t="s">
        <v>203</v>
      </c>
      <c r="RZN17" s="314" t="s">
        <v>203</v>
      </c>
      <c r="RZO17" s="314" t="s">
        <v>203</v>
      </c>
      <c r="RZP17" s="314" t="s">
        <v>203</v>
      </c>
      <c r="RZQ17" s="314" t="s">
        <v>203</v>
      </c>
      <c r="RZR17" s="314" t="s">
        <v>203</v>
      </c>
      <c r="RZS17" s="314" t="s">
        <v>203</v>
      </c>
      <c r="RZT17" s="314" t="s">
        <v>203</v>
      </c>
      <c r="RZU17" s="314" t="s">
        <v>203</v>
      </c>
      <c r="RZV17" s="314" t="s">
        <v>203</v>
      </c>
      <c r="RZW17" s="314" t="s">
        <v>203</v>
      </c>
      <c r="RZX17" s="314" t="s">
        <v>203</v>
      </c>
      <c r="RZY17" s="314" t="s">
        <v>203</v>
      </c>
      <c r="RZZ17" s="314" t="s">
        <v>203</v>
      </c>
      <c r="SAA17" s="314" t="s">
        <v>203</v>
      </c>
      <c r="SAB17" s="314" t="s">
        <v>203</v>
      </c>
      <c r="SAC17" s="314" t="s">
        <v>203</v>
      </c>
      <c r="SAD17" s="314" t="s">
        <v>203</v>
      </c>
      <c r="SAE17" s="314" t="s">
        <v>203</v>
      </c>
      <c r="SAF17" s="314" t="s">
        <v>203</v>
      </c>
      <c r="SAG17" s="314" t="s">
        <v>203</v>
      </c>
      <c r="SAH17" s="314" t="s">
        <v>203</v>
      </c>
      <c r="SAI17" s="314" t="s">
        <v>203</v>
      </c>
      <c r="SAJ17" s="314" t="s">
        <v>203</v>
      </c>
      <c r="SAK17" s="314" t="s">
        <v>203</v>
      </c>
      <c r="SAL17" s="314" t="s">
        <v>203</v>
      </c>
      <c r="SAM17" s="314" t="s">
        <v>203</v>
      </c>
      <c r="SAN17" s="314" t="s">
        <v>203</v>
      </c>
      <c r="SAO17" s="314" t="s">
        <v>203</v>
      </c>
      <c r="SAP17" s="314" t="s">
        <v>203</v>
      </c>
      <c r="SAQ17" s="314" t="s">
        <v>203</v>
      </c>
      <c r="SAR17" s="314" t="s">
        <v>203</v>
      </c>
      <c r="SAS17" s="314" t="s">
        <v>203</v>
      </c>
      <c r="SAT17" s="314" t="s">
        <v>203</v>
      </c>
      <c r="SAU17" s="314" t="s">
        <v>203</v>
      </c>
      <c r="SAV17" s="314" t="s">
        <v>203</v>
      </c>
      <c r="SAW17" s="314" t="s">
        <v>203</v>
      </c>
      <c r="SAX17" s="314" t="s">
        <v>203</v>
      </c>
      <c r="SAY17" s="314" t="s">
        <v>203</v>
      </c>
      <c r="SAZ17" s="314" t="s">
        <v>203</v>
      </c>
      <c r="SBA17" s="314" t="s">
        <v>203</v>
      </c>
      <c r="SBB17" s="314" t="s">
        <v>203</v>
      </c>
      <c r="SBC17" s="314" t="s">
        <v>203</v>
      </c>
      <c r="SBD17" s="314" t="s">
        <v>203</v>
      </c>
      <c r="SBE17" s="314" t="s">
        <v>203</v>
      </c>
      <c r="SBF17" s="314" t="s">
        <v>203</v>
      </c>
      <c r="SBG17" s="314" t="s">
        <v>203</v>
      </c>
      <c r="SBH17" s="314" t="s">
        <v>203</v>
      </c>
      <c r="SBI17" s="314" t="s">
        <v>203</v>
      </c>
      <c r="SBJ17" s="314" t="s">
        <v>203</v>
      </c>
      <c r="SBK17" s="314" t="s">
        <v>203</v>
      </c>
      <c r="SBL17" s="314" t="s">
        <v>203</v>
      </c>
      <c r="SBM17" s="314" t="s">
        <v>203</v>
      </c>
      <c r="SBN17" s="314" t="s">
        <v>203</v>
      </c>
      <c r="SBO17" s="314" t="s">
        <v>203</v>
      </c>
      <c r="SBP17" s="314" t="s">
        <v>203</v>
      </c>
      <c r="SBQ17" s="314" t="s">
        <v>203</v>
      </c>
      <c r="SBR17" s="314" t="s">
        <v>203</v>
      </c>
      <c r="SBS17" s="314" t="s">
        <v>203</v>
      </c>
      <c r="SBT17" s="314" t="s">
        <v>203</v>
      </c>
      <c r="SBU17" s="314" t="s">
        <v>203</v>
      </c>
      <c r="SBV17" s="314" t="s">
        <v>203</v>
      </c>
      <c r="SBW17" s="314" t="s">
        <v>203</v>
      </c>
      <c r="SBX17" s="314" t="s">
        <v>203</v>
      </c>
      <c r="SBY17" s="314" t="s">
        <v>203</v>
      </c>
      <c r="SBZ17" s="314" t="s">
        <v>203</v>
      </c>
      <c r="SCA17" s="314" t="s">
        <v>203</v>
      </c>
      <c r="SCB17" s="314" t="s">
        <v>203</v>
      </c>
      <c r="SCC17" s="314" t="s">
        <v>203</v>
      </c>
      <c r="SCD17" s="314" t="s">
        <v>203</v>
      </c>
      <c r="SCE17" s="314" t="s">
        <v>203</v>
      </c>
      <c r="SCF17" s="314" t="s">
        <v>203</v>
      </c>
      <c r="SCG17" s="314" t="s">
        <v>203</v>
      </c>
      <c r="SCH17" s="314" t="s">
        <v>203</v>
      </c>
      <c r="SCI17" s="314" t="s">
        <v>203</v>
      </c>
      <c r="SCJ17" s="314" t="s">
        <v>203</v>
      </c>
      <c r="SCK17" s="314" t="s">
        <v>203</v>
      </c>
      <c r="SCL17" s="314" t="s">
        <v>203</v>
      </c>
      <c r="SCM17" s="314" t="s">
        <v>203</v>
      </c>
      <c r="SCN17" s="314" t="s">
        <v>203</v>
      </c>
      <c r="SCO17" s="314" t="s">
        <v>203</v>
      </c>
      <c r="SCP17" s="314" t="s">
        <v>203</v>
      </c>
      <c r="SCQ17" s="314" t="s">
        <v>203</v>
      </c>
      <c r="SCR17" s="314" t="s">
        <v>203</v>
      </c>
      <c r="SCS17" s="314" t="s">
        <v>203</v>
      </c>
      <c r="SCT17" s="314" t="s">
        <v>203</v>
      </c>
      <c r="SCU17" s="314" t="s">
        <v>203</v>
      </c>
      <c r="SCV17" s="314" t="s">
        <v>203</v>
      </c>
      <c r="SCW17" s="314" t="s">
        <v>203</v>
      </c>
      <c r="SCX17" s="314" t="s">
        <v>203</v>
      </c>
      <c r="SCY17" s="314" t="s">
        <v>203</v>
      </c>
      <c r="SCZ17" s="314" t="s">
        <v>203</v>
      </c>
      <c r="SDA17" s="314" t="s">
        <v>203</v>
      </c>
      <c r="SDB17" s="314" t="s">
        <v>203</v>
      </c>
      <c r="SDC17" s="314" t="s">
        <v>203</v>
      </c>
      <c r="SDD17" s="314" t="s">
        <v>203</v>
      </c>
      <c r="SDE17" s="314" t="s">
        <v>203</v>
      </c>
      <c r="SDF17" s="314" t="s">
        <v>203</v>
      </c>
      <c r="SDG17" s="314" t="s">
        <v>203</v>
      </c>
      <c r="SDH17" s="314" t="s">
        <v>203</v>
      </c>
      <c r="SDI17" s="314" t="s">
        <v>203</v>
      </c>
      <c r="SDJ17" s="314" t="s">
        <v>203</v>
      </c>
      <c r="SDK17" s="314" t="s">
        <v>203</v>
      </c>
      <c r="SDL17" s="314" t="s">
        <v>203</v>
      </c>
      <c r="SDM17" s="314" t="s">
        <v>203</v>
      </c>
      <c r="SDN17" s="314" t="s">
        <v>203</v>
      </c>
      <c r="SDO17" s="314" t="s">
        <v>203</v>
      </c>
      <c r="SDP17" s="314" t="s">
        <v>203</v>
      </c>
      <c r="SDQ17" s="314" t="s">
        <v>203</v>
      </c>
      <c r="SDR17" s="314" t="s">
        <v>203</v>
      </c>
      <c r="SDS17" s="314" t="s">
        <v>203</v>
      </c>
      <c r="SDT17" s="314" t="s">
        <v>203</v>
      </c>
      <c r="SDU17" s="314" t="s">
        <v>203</v>
      </c>
      <c r="SDV17" s="314" t="s">
        <v>203</v>
      </c>
      <c r="SDW17" s="314" t="s">
        <v>203</v>
      </c>
      <c r="SDX17" s="314" t="s">
        <v>203</v>
      </c>
      <c r="SDY17" s="314" t="s">
        <v>203</v>
      </c>
      <c r="SDZ17" s="314" t="s">
        <v>203</v>
      </c>
      <c r="SEA17" s="314" t="s">
        <v>203</v>
      </c>
      <c r="SEB17" s="314" t="s">
        <v>203</v>
      </c>
      <c r="SEC17" s="314" t="s">
        <v>203</v>
      </c>
      <c r="SED17" s="314" t="s">
        <v>203</v>
      </c>
      <c r="SEE17" s="314" t="s">
        <v>203</v>
      </c>
      <c r="SEF17" s="314" t="s">
        <v>203</v>
      </c>
      <c r="SEG17" s="314" t="s">
        <v>203</v>
      </c>
      <c r="SEH17" s="314" t="s">
        <v>203</v>
      </c>
      <c r="SEI17" s="314" t="s">
        <v>203</v>
      </c>
      <c r="SEJ17" s="314" t="s">
        <v>203</v>
      </c>
      <c r="SEK17" s="314" t="s">
        <v>203</v>
      </c>
      <c r="SEL17" s="314" t="s">
        <v>203</v>
      </c>
      <c r="SEM17" s="314" t="s">
        <v>203</v>
      </c>
      <c r="SEN17" s="314" t="s">
        <v>203</v>
      </c>
      <c r="SEO17" s="314" t="s">
        <v>203</v>
      </c>
      <c r="SEP17" s="314" t="s">
        <v>203</v>
      </c>
      <c r="SEQ17" s="314" t="s">
        <v>203</v>
      </c>
      <c r="SER17" s="314" t="s">
        <v>203</v>
      </c>
      <c r="SES17" s="314" t="s">
        <v>203</v>
      </c>
      <c r="SET17" s="314" t="s">
        <v>203</v>
      </c>
      <c r="SEU17" s="314" t="s">
        <v>203</v>
      </c>
      <c r="SEV17" s="314" t="s">
        <v>203</v>
      </c>
      <c r="SEW17" s="314" t="s">
        <v>203</v>
      </c>
      <c r="SEX17" s="314" t="s">
        <v>203</v>
      </c>
      <c r="SEY17" s="314" t="s">
        <v>203</v>
      </c>
      <c r="SEZ17" s="314" t="s">
        <v>203</v>
      </c>
      <c r="SFA17" s="314" t="s">
        <v>203</v>
      </c>
      <c r="SFB17" s="314" t="s">
        <v>203</v>
      </c>
      <c r="SFC17" s="314" t="s">
        <v>203</v>
      </c>
      <c r="SFD17" s="314" t="s">
        <v>203</v>
      </c>
      <c r="SFE17" s="314" t="s">
        <v>203</v>
      </c>
      <c r="SFF17" s="314" t="s">
        <v>203</v>
      </c>
      <c r="SFG17" s="314" t="s">
        <v>203</v>
      </c>
      <c r="SFH17" s="314" t="s">
        <v>203</v>
      </c>
      <c r="SFI17" s="314" t="s">
        <v>203</v>
      </c>
      <c r="SFJ17" s="314" t="s">
        <v>203</v>
      </c>
      <c r="SFK17" s="314" t="s">
        <v>203</v>
      </c>
      <c r="SFL17" s="314" t="s">
        <v>203</v>
      </c>
      <c r="SFM17" s="314" t="s">
        <v>203</v>
      </c>
      <c r="SFN17" s="314" t="s">
        <v>203</v>
      </c>
      <c r="SFO17" s="314" t="s">
        <v>203</v>
      </c>
      <c r="SFP17" s="314" t="s">
        <v>203</v>
      </c>
      <c r="SFQ17" s="314" t="s">
        <v>203</v>
      </c>
      <c r="SFR17" s="314" t="s">
        <v>203</v>
      </c>
      <c r="SFS17" s="314" t="s">
        <v>203</v>
      </c>
      <c r="SFT17" s="314" t="s">
        <v>203</v>
      </c>
      <c r="SFU17" s="314" t="s">
        <v>203</v>
      </c>
      <c r="SFV17" s="314" t="s">
        <v>203</v>
      </c>
      <c r="SFW17" s="314" t="s">
        <v>203</v>
      </c>
      <c r="SFX17" s="314" t="s">
        <v>203</v>
      </c>
      <c r="SFY17" s="314" t="s">
        <v>203</v>
      </c>
      <c r="SFZ17" s="314" t="s">
        <v>203</v>
      </c>
      <c r="SGA17" s="314" t="s">
        <v>203</v>
      </c>
      <c r="SGB17" s="314" t="s">
        <v>203</v>
      </c>
      <c r="SGC17" s="314" t="s">
        <v>203</v>
      </c>
      <c r="SGD17" s="314" t="s">
        <v>203</v>
      </c>
      <c r="SGE17" s="314" t="s">
        <v>203</v>
      </c>
      <c r="SGF17" s="314" t="s">
        <v>203</v>
      </c>
      <c r="SGG17" s="314" t="s">
        <v>203</v>
      </c>
      <c r="SGH17" s="314" t="s">
        <v>203</v>
      </c>
      <c r="SGI17" s="314" t="s">
        <v>203</v>
      </c>
      <c r="SGJ17" s="314" t="s">
        <v>203</v>
      </c>
      <c r="SGK17" s="314" t="s">
        <v>203</v>
      </c>
      <c r="SGL17" s="314" t="s">
        <v>203</v>
      </c>
      <c r="SGM17" s="314" t="s">
        <v>203</v>
      </c>
      <c r="SGN17" s="314" t="s">
        <v>203</v>
      </c>
      <c r="SGO17" s="314" t="s">
        <v>203</v>
      </c>
      <c r="SGP17" s="314" t="s">
        <v>203</v>
      </c>
      <c r="SGQ17" s="314" t="s">
        <v>203</v>
      </c>
      <c r="SGR17" s="314" t="s">
        <v>203</v>
      </c>
      <c r="SGS17" s="314" t="s">
        <v>203</v>
      </c>
      <c r="SGT17" s="314" t="s">
        <v>203</v>
      </c>
      <c r="SGU17" s="314" t="s">
        <v>203</v>
      </c>
      <c r="SGV17" s="314" t="s">
        <v>203</v>
      </c>
      <c r="SGW17" s="314" t="s">
        <v>203</v>
      </c>
      <c r="SGX17" s="314" t="s">
        <v>203</v>
      </c>
      <c r="SGY17" s="314" t="s">
        <v>203</v>
      </c>
      <c r="SGZ17" s="314" t="s">
        <v>203</v>
      </c>
      <c r="SHA17" s="314" t="s">
        <v>203</v>
      </c>
      <c r="SHB17" s="314" t="s">
        <v>203</v>
      </c>
      <c r="SHC17" s="314" t="s">
        <v>203</v>
      </c>
      <c r="SHD17" s="314" t="s">
        <v>203</v>
      </c>
      <c r="SHE17" s="314" t="s">
        <v>203</v>
      </c>
      <c r="SHF17" s="314" t="s">
        <v>203</v>
      </c>
      <c r="SHG17" s="314" t="s">
        <v>203</v>
      </c>
      <c r="SHH17" s="314" t="s">
        <v>203</v>
      </c>
      <c r="SHI17" s="314" t="s">
        <v>203</v>
      </c>
      <c r="SHJ17" s="314" t="s">
        <v>203</v>
      </c>
      <c r="SHK17" s="314" t="s">
        <v>203</v>
      </c>
      <c r="SHL17" s="314" t="s">
        <v>203</v>
      </c>
      <c r="SHM17" s="314" t="s">
        <v>203</v>
      </c>
      <c r="SHN17" s="314" t="s">
        <v>203</v>
      </c>
      <c r="SHO17" s="314" t="s">
        <v>203</v>
      </c>
      <c r="SHP17" s="314" t="s">
        <v>203</v>
      </c>
      <c r="SHQ17" s="314" t="s">
        <v>203</v>
      </c>
      <c r="SHR17" s="314" t="s">
        <v>203</v>
      </c>
      <c r="SHS17" s="314" t="s">
        <v>203</v>
      </c>
      <c r="SHT17" s="314" t="s">
        <v>203</v>
      </c>
      <c r="SHU17" s="314" t="s">
        <v>203</v>
      </c>
      <c r="SHV17" s="314" t="s">
        <v>203</v>
      </c>
      <c r="SHW17" s="314" t="s">
        <v>203</v>
      </c>
      <c r="SHX17" s="314" t="s">
        <v>203</v>
      </c>
      <c r="SHY17" s="314" t="s">
        <v>203</v>
      </c>
      <c r="SHZ17" s="314" t="s">
        <v>203</v>
      </c>
      <c r="SIA17" s="314" t="s">
        <v>203</v>
      </c>
      <c r="SIB17" s="314" t="s">
        <v>203</v>
      </c>
      <c r="SIC17" s="314" t="s">
        <v>203</v>
      </c>
      <c r="SID17" s="314" t="s">
        <v>203</v>
      </c>
      <c r="SIE17" s="314" t="s">
        <v>203</v>
      </c>
      <c r="SIF17" s="314" t="s">
        <v>203</v>
      </c>
      <c r="SIG17" s="314" t="s">
        <v>203</v>
      </c>
      <c r="SIH17" s="314" t="s">
        <v>203</v>
      </c>
      <c r="SII17" s="314" t="s">
        <v>203</v>
      </c>
      <c r="SIJ17" s="314" t="s">
        <v>203</v>
      </c>
      <c r="SIK17" s="314" t="s">
        <v>203</v>
      </c>
      <c r="SIL17" s="314" t="s">
        <v>203</v>
      </c>
      <c r="SIM17" s="314" t="s">
        <v>203</v>
      </c>
      <c r="SIN17" s="314" t="s">
        <v>203</v>
      </c>
      <c r="SIO17" s="314" t="s">
        <v>203</v>
      </c>
      <c r="SIP17" s="314" t="s">
        <v>203</v>
      </c>
      <c r="SIQ17" s="314" t="s">
        <v>203</v>
      </c>
      <c r="SIR17" s="314" t="s">
        <v>203</v>
      </c>
      <c r="SIS17" s="314" t="s">
        <v>203</v>
      </c>
      <c r="SIT17" s="314" t="s">
        <v>203</v>
      </c>
      <c r="SIU17" s="314" t="s">
        <v>203</v>
      </c>
      <c r="SIV17" s="314" t="s">
        <v>203</v>
      </c>
      <c r="SIW17" s="314" t="s">
        <v>203</v>
      </c>
      <c r="SIX17" s="314" t="s">
        <v>203</v>
      </c>
      <c r="SIY17" s="314" t="s">
        <v>203</v>
      </c>
      <c r="SIZ17" s="314" t="s">
        <v>203</v>
      </c>
      <c r="SJA17" s="314" t="s">
        <v>203</v>
      </c>
      <c r="SJB17" s="314" t="s">
        <v>203</v>
      </c>
      <c r="SJC17" s="314" t="s">
        <v>203</v>
      </c>
      <c r="SJD17" s="314" t="s">
        <v>203</v>
      </c>
      <c r="SJE17" s="314" t="s">
        <v>203</v>
      </c>
      <c r="SJF17" s="314" t="s">
        <v>203</v>
      </c>
      <c r="SJG17" s="314" t="s">
        <v>203</v>
      </c>
      <c r="SJH17" s="314" t="s">
        <v>203</v>
      </c>
      <c r="SJI17" s="314" t="s">
        <v>203</v>
      </c>
      <c r="SJJ17" s="314" t="s">
        <v>203</v>
      </c>
      <c r="SJK17" s="314" t="s">
        <v>203</v>
      </c>
      <c r="SJL17" s="314" t="s">
        <v>203</v>
      </c>
      <c r="SJM17" s="314" t="s">
        <v>203</v>
      </c>
      <c r="SJN17" s="314" t="s">
        <v>203</v>
      </c>
      <c r="SJO17" s="314" t="s">
        <v>203</v>
      </c>
      <c r="SJP17" s="314" t="s">
        <v>203</v>
      </c>
      <c r="SJQ17" s="314" t="s">
        <v>203</v>
      </c>
      <c r="SJR17" s="314" t="s">
        <v>203</v>
      </c>
      <c r="SJS17" s="314" t="s">
        <v>203</v>
      </c>
      <c r="SJT17" s="314" t="s">
        <v>203</v>
      </c>
      <c r="SJU17" s="314" t="s">
        <v>203</v>
      </c>
      <c r="SJV17" s="314" t="s">
        <v>203</v>
      </c>
      <c r="SJW17" s="314" t="s">
        <v>203</v>
      </c>
      <c r="SJX17" s="314" t="s">
        <v>203</v>
      </c>
      <c r="SJY17" s="314" t="s">
        <v>203</v>
      </c>
      <c r="SJZ17" s="314" t="s">
        <v>203</v>
      </c>
      <c r="SKA17" s="314" t="s">
        <v>203</v>
      </c>
      <c r="SKB17" s="314" t="s">
        <v>203</v>
      </c>
      <c r="SKC17" s="314" t="s">
        <v>203</v>
      </c>
      <c r="SKD17" s="314" t="s">
        <v>203</v>
      </c>
      <c r="SKE17" s="314" t="s">
        <v>203</v>
      </c>
      <c r="SKF17" s="314" t="s">
        <v>203</v>
      </c>
      <c r="SKG17" s="314" t="s">
        <v>203</v>
      </c>
      <c r="SKH17" s="314" t="s">
        <v>203</v>
      </c>
      <c r="SKI17" s="314" t="s">
        <v>203</v>
      </c>
      <c r="SKJ17" s="314" t="s">
        <v>203</v>
      </c>
      <c r="SKK17" s="314" t="s">
        <v>203</v>
      </c>
      <c r="SKL17" s="314" t="s">
        <v>203</v>
      </c>
      <c r="SKM17" s="314" t="s">
        <v>203</v>
      </c>
      <c r="SKN17" s="314" t="s">
        <v>203</v>
      </c>
      <c r="SKO17" s="314" t="s">
        <v>203</v>
      </c>
      <c r="SKP17" s="314" t="s">
        <v>203</v>
      </c>
      <c r="SKQ17" s="314" t="s">
        <v>203</v>
      </c>
      <c r="SKR17" s="314" t="s">
        <v>203</v>
      </c>
      <c r="SKS17" s="314" t="s">
        <v>203</v>
      </c>
      <c r="SKT17" s="314" t="s">
        <v>203</v>
      </c>
      <c r="SKU17" s="314" t="s">
        <v>203</v>
      </c>
      <c r="SKV17" s="314" t="s">
        <v>203</v>
      </c>
      <c r="SKW17" s="314" t="s">
        <v>203</v>
      </c>
      <c r="SKX17" s="314" t="s">
        <v>203</v>
      </c>
      <c r="SKY17" s="314" t="s">
        <v>203</v>
      </c>
      <c r="SKZ17" s="314" t="s">
        <v>203</v>
      </c>
      <c r="SLA17" s="314" t="s">
        <v>203</v>
      </c>
      <c r="SLB17" s="314" t="s">
        <v>203</v>
      </c>
      <c r="SLC17" s="314" t="s">
        <v>203</v>
      </c>
      <c r="SLD17" s="314" t="s">
        <v>203</v>
      </c>
      <c r="SLE17" s="314" t="s">
        <v>203</v>
      </c>
      <c r="SLF17" s="314" t="s">
        <v>203</v>
      </c>
      <c r="SLG17" s="314" t="s">
        <v>203</v>
      </c>
      <c r="SLH17" s="314" t="s">
        <v>203</v>
      </c>
      <c r="SLI17" s="314" t="s">
        <v>203</v>
      </c>
      <c r="SLJ17" s="314" t="s">
        <v>203</v>
      </c>
      <c r="SLK17" s="314" t="s">
        <v>203</v>
      </c>
      <c r="SLL17" s="314" t="s">
        <v>203</v>
      </c>
      <c r="SLM17" s="314" t="s">
        <v>203</v>
      </c>
      <c r="SLN17" s="314" t="s">
        <v>203</v>
      </c>
      <c r="SLO17" s="314" t="s">
        <v>203</v>
      </c>
      <c r="SLP17" s="314" t="s">
        <v>203</v>
      </c>
      <c r="SLQ17" s="314" t="s">
        <v>203</v>
      </c>
      <c r="SLR17" s="314" t="s">
        <v>203</v>
      </c>
      <c r="SLS17" s="314" t="s">
        <v>203</v>
      </c>
      <c r="SLT17" s="314" t="s">
        <v>203</v>
      </c>
      <c r="SLU17" s="314" t="s">
        <v>203</v>
      </c>
      <c r="SLV17" s="314" t="s">
        <v>203</v>
      </c>
      <c r="SLW17" s="314" t="s">
        <v>203</v>
      </c>
      <c r="SLX17" s="314" t="s">
        <v>203</v>
      </c>
      <c r="SLY17" s="314" t="s">
        <v>203</v>
      </c>
      <c r="SLZ17" s="314" t="s">
        <v>203</v>
      </c>
      <c r="SMA17" s="314" t="s">
        <v>203</v>
      </c>
      <c r="SMB17" s="314" t="s">
        <v>203</v>
      </c>
      <c r="SMC17" s="314" t="s">
        <v>203</v>
      </c>
      <c r="SMD17" s="314" t="s">
        <v>203</v>
      </c>
      <c r="SME17" s="314" t="s">
        <v>203</v>
      </c>
      <c r="SMF17" s="314" t="s">
        <v>203</v>
      </c>
      <c r="SMG17" s="314" t="s">
        <v>203</v>
      </c>
      <c r="SMH17" s="314" t="s">
        <v>203</v>
      </c>
      <c r="SMI17" s="314" t="s">
        <v>203</v>
      </c>
      <c r="SMJ17" s="314" t="s">
        <v>203</v>
      </c>
      <c r="SMK17" s="314" t="s">
        <v>203</v>
      </c>
      <c r="SML17" s="314" t="s">
        <v>203</v>
      </c>
      <c r="SMM17" s="314" t="s">
        <v>203</v>
      </c>
      <c r="SMN17" s="314" t="s">
        <v>203</v>
      </c>
      <c r="SMO17" s="314" t="s">
        <v>203</v>
      </c>
      <c r="SMP17" s="314" t="s">
        <v>203</v>
      </c>
      <c r="SMQ17" s="314" t="s">
        <v>203</v>
      </c>
      <c r="SMR17" s="314" t="s">
        <v>203</v>
      </c>
      <c r="SMS17" s="314" t="s">
        <v>203</v>
      </c>
      <c r="SMT17" s="314" t="s">
        <v>203</v>
      </c>
      <c r="SMU17" s="314" t="s">
        <v>203</v>
      </c>
      <c r="SMV17" s="314" t="s">
        <v>203</v>
      </c>
      <c r="SMW17" s="314" t="s">
        <v>203</v>
      </c>
      <c r="SMX17" s="314" t="s">
        <v>203</v>
      </c>
      <c r="SMY17" s="314" t="s">
        <v>203</v>
      </c>
      <c r="SMZ17" s="314" t="s">
        <v>203</v>
      </c>
      <c r="SNA17" s="314" t="s">
        <v>203</v>
      </c>
      <c r="SNB17" s="314" t="s">
        <v>203</v>
      </c>
      <c r="SNC17" s="314" t="s">
        <v>203</v>
      </c>
      <c r="SND17" s="314" t="s">
        <v>203</v>
      </c>
      <c r="SNE17" s="314" t="s">
        <v>203</v>
      </c>
      <c r="SNF17" s="314" t="s">
        <v>203</v>
      </c>
      <c r="SNG17" s="314" t="s">
        <v>203</v>
      </c>
      <c r="SNH17" s="314" t="s">
        <v>203</v>
      </c>
      <c r="SNI17" s="314" t="s">
        <v>203</v>
      </c>
      <c r="SNJ17" s="314" t="s">
        <v>203</v>
      </c>
      <c r="SNK17" s="314" t="s">
        <v>203</v>
      </c>
      <c r="SNL17" s="314" t="s">
        <v>203</v>
      </c>
      <c r="SNM17" s="314" t="s">
        <v>203</v>
      </c>
      <c r="SNN17" s="314" t="s">
        <v>203</v>
      </c>
      <c r="SNO17" s="314" t="s">
        <v>203</v>
      </c>
      <c r="SNP17" s="314" t="s">
        <v>203</v>
      </c>
      <c r="SNQ17" s="314" t="s">
        <v>203</v>
      </c>
      <c r="SNR17" s="314" t="s">
        <v>203</v>
      </c>
      <c r="SNS17" s="314" t="s">
        <v>203</v>
      </c>
      <c r="SNT17" s="314" t="s">
        <v>203</v>
      </c>
      <c r="SNU17" s="314" t="s">
        <v>203</v>
      </c>
      <c r="SNV17" s="314" t="s">
        <v>203</v>
      </c>
      <c r="SNW17" s="314" t="s">
        <v>203</v>
      </c>
      <c r="SNX17" s="314" t="s">
        <v>203</v>
      </c>
      <c r="SNY17" s="314" t="s">
        <v>203</v>
      </c>
      <c r="SNZ17" s="314" t="s">
        <v>203</v>
      </c>
      <c r="SOA17" s="314" t="s">
        <v>203</v>
      </c>
      <c r="SOB17" s="314" t="s">
        <v>203</v>
      </c>
      <c r="SOC17" s="314" t="s">
        <v>203</v>
      </c>
      <c r="SOD17" s="314" t="s">
        <v>203</v>
      </c>
      <c r="SOE17" s="314" t="s">
        <v>203</v>
      </c>
      <c r="SOF17" s="314" t="s">
        <v>203</v>
      </c>
      <c r="SOG17" s="314" t="s">
        <v>203</v>
      </c>
      <c r="SOH17" s="314" t="s">
        <v>203</v>
      </c>
      <c r="SOI17" s="314" t="s">
        <v>203</v>
      </c>
      <c r="SOJ17" s="314" t="s">
        <v>203</v>
      </c>
      <c r="SOK17" s="314" t="s">
        <v>203</v>
      </c>
      <c r="SOL17" s="314" t="s">
        <v>203</v>
      </c>
      <c r="SOM17" s="314" t="s">
        <v>203</v>
      </c>
      <c r="SON17" s="314" t="s">
        <v>203</v>
      </c>
      <c r="SOO17" s="314" t="s">
        <v>203</v>
      </c>
      <c r="SOP17" s="314" t="s">
        <v>203</v>
      </c>
      <c r="SOQ17" s="314" t="s">
        <v>203</v>
      </c>
      <c r="SOR17" s="314" t="s">
        <v>203</v>
      </c>
      <c r="SOS17" s="314" t="s">
        <v>203</v>
      </c>
      <c r="SOT17" s="314" t="s">
        <v>203</v>
      </c>
      <c r="SOU17" s="314" t="s">
        <v>203</v>
      </c>
      <c r="SOV17" s="314" t="s">
        <v>203</v>
      </c>
      <c r="SOW17" s="314" t="s">
        <v>203</v>
      </c>
      <c r="SOX17" s="314" t="s">
        <v>203</v>
      </c>
      <c r="SOY17" s="314" t="s">
        <v>203</v>
      </c>
      <c r="SOZ17" s="314" t="s">
        <v>203</v>
      </c>
      <c r="SPA17" s="314" t="s">
        <v>203</v>
      </c>
      <c r="SPB17" s="314" t="s">
        <v>203</v>
      </c>
      <c r="SPC17" s="314" t="s">
        <v>203</v>
      </c>
      <c r="SPD17" s="314" t="s">
        <v>203</v>
      </c>
      <c r="SPE17" s="314" t="s">
        <v>203</v>
      </c>
      <c r="SPF17" s="314" t="s">
        <v>203</v>
      </c>
      <c r="SPG17" s="314" t="s">
        <v>203</v>
      </c>
      <c r="SPH17" s="314" t="s">
        <v>203</v>
      </c>
      <c r="SPI17" s="314" t="s">
        <v>203</v>
      </c>
      <c r="SPJ17" s="314" t="s">
        <v>203</v>
      </c>
      <c r="SPK17" s="314" t="s">
        <v>203</v>
      </c>
      <c r="SPL17" s="314" t="s">
        <v>203</v>
      </c>
      <c r="SPM17" s="314" t="s">
        <v>203</v>
      </c>
      <c r="SPN17" s="314" t="s">
        <v>203</v>
      </c>
      <c r="SPO17" s="314" t="s">
        <v>203</v>
      </c>
      <c r="SPP17" s="314" t="s">
        <v>203</v>
      </c>
      <c r="SPQ17" s="314" t="s">
        <v>203</v>
      </c>
      <c r="SPR17" s="314" t="s">
        <v>203</v>
      </c>
      <c r="SPS17" s="314" t="s">
        <v>203</v>
      </c>
      <c r="SPT17" s="314" t="s">
        <v>203</v>
      </c>
      <c r="SPU17" s="314" t="s">
        <v>203</v>
      </c>
      <c r="SPV17" s="314" t="s">
        <v>203</v>
      </c>
      <c r="SPW17" s="314" t="s">
        <v>203</v>
      </c>
      <c r="SPX17" s="314" t="s">
        <v>203</v>
      </c>
      <c r="SPY17" s="314" t="s">
        <v>203</v>
      </c>
      <c r="SPZ17" s="314" t="s">
        <v>203</v>
      </c>
      <c r="SQA17" s="314" t="s">
        <v>203</v>
      </c>
      <c r="SQB17" s="314" t="s">
        <v>203</v>
      </c>
      <c r="SQC17" s="314" t="s">
        <v>203</v>
      </c>
      <c r="SQD17" s="314" t="s">
        <v>203</v>
      </c>
      <c r="SQE17" s="314" t="s">
        <v>203</v>
      </c>
      <c r="SQF17" s="314" t="s">
        <v>203</v>
      </c>
      <c r="SQG17" s="314" t="s">
        <v>203</v>
      </c>
      <c r="SQH17" s="314" t="s">
        <v>203</v>
      </c>
      <c r="SQI17" s="314" t="s">
        <v>203</v>
      </c>
      <c r="SQJ17" s="314" t="s">
        <v>203</v>
      </c>
      <c r="SQK17" s="314" t="s">
        <v>203</v>
      </c>
      <c r="SQL17" s="314" t="s">
        <v>203</v>
      </c>
      <c r="SQM17" s="314" t="s">
        <v>203</v>
      </c>
      <c r="SQN17" s="314" t="s">
        <v>203</v>
      </c>
      <c r="SQO17" s="314" t="s">
        <v>203</v>
      </c>
      <c r="SQP17" s="314" t="s">
        <v>203</v>
      </c>
      <c r="SQQ17" s="314" t="s">
        <v>203</v>
      </c>
      <c r="SQR17" s="314" t="s">
        <v>203</v>
      </c>
      <c r="SQS17" s="314" t="s">
        <v>203</v>
      </c>
      <c r="SQT17" s="314" t="s">
        <v>203</v>
      </c>
      <c r="SQU17" s="314" t="s">
        <v>203</v>
      </c>
      <c r="SQV17" s="314" t="s">
        <v>203</v>
      </c>
      <c r="SQW17" s="314" t="s">
        <v>203</v>
      </c>
      <c r="SQX17" s="314" t="s">
        <v>203</v>
      </c>
      <c r="SQY17" s="314" t="s">
        <v>203</v>
      </c>
      <c r="SQZ17" s="314" t="s">
        <v>203</v>
      </c>
      <c r="SRA17" s="314" t="s">
        <v>203</v>
      </c>
      <c r="SRB17" s="314" t="s">
        <v>203</v>
      </c>
      <c r="SRC17" s="314" t="s">
        <v>203</v>
      </c>
      <c r="SRD17" s="314" t="s">
        <v>203</v>
      </c>
      <c r="SRE17" s="314" t="s">
        <v>203</v>
      </c>
      <c r="SRF17" s="314" t="s">
        <v>203</v>
      </c>
      <c r="SRG17" s="314" t="s">
        <v>203</v>
      </c>
      <c r="SRH17" s="314" t="s">
        <v>203</v>
      </c>
      <c r="SRI17" s="314" t="s">
        <v>203</v>
      </c>
      <c r="SRJ17" s="314" t="s">
        <v>203</v>
      </c>
      <c r="SRK17" s="314" t="s">
        <v>203</v>
      </c>
      <c r="SRL17" s="314" t="s">
        <v>203</v>
      </c>
      <c r="SRM17" s="314" t="s">
        <v>203</v>
      </c>
      <c r="SRN17" s="314" t="s">
        <v>203</v>
      </c>
      <c r="SRO17" s="314" t="s">
        <v>203</v>
      </c>
      <c r="SRP17" s="314" t="s">
        <v>203</v>
      </c>
      <c r="SRQ17" s="314" t="s">
        <v>203</v>
      </c>
      <c r="SRR17" s="314" t="s">
        <v>203</v>
      </c>
      <c r="SRS17" s="314" t="s">
        <v>203</v>
      </c>
      <c r="SRT17" s="314" t="s">
        <v>203</v>
      </c>
      <c r="SRU17" s="314" t="s">
        <v>203</v>
      </c>
      <c r="SRV17" s="314" t="s">
        <v>203</v>
      </c>
      <c r="SRW17" s="314" t="s">
        <v>203</v>
      </c>
      <c r="SRX17" s="314" t="s">
        <v>203</v>
      </c>
      <c r="SRY17" s="314" t="s">
        <v>203</v>
      </c>
      <c r="SRZ17" s="314" t="s">
        <v>203</v>
      </c>
      <c r="SSA17" s="314" t="s">
        <v>203</v>
      </c>
      <c r="SSB17" s="314" t="s">
        <v>203</v>
      </c>
      <c r="SSC17" s="314" t="s">
        <v>203</v>
      </c>
      <c r="SSD17" s="314" t="s">
        <v>203</v>
      </c>
      <c r="SSE17" s="314" t="s">
        <v>203</v>
      </c>
      <c r="SSF17" s="314" t="s">
        <v>203</v>
      </c>
      <c r="SSG17" s="314" t="s">
        <v>203</v>
      </c>
      <c r="SSH17" s="314" t="s">
        <v>203</v>
      </c>
      <c r="SSI17" s="314" t="s">
        <v>203</v>
      </c>
      <c r="SSJ17" s="314" t="s">
        <v>203</v>
      </c>
      <c r="SSK17" s="314" t="s">
        <v>203</v>
      </c>
      <c r="SSL17" s="314" t="s">
        <v>203</v>
      </c>
      <c r="SSM17" s="314" t="s">
        <v>203</v>
      </c>
      <c r="SSN17" s="314" t="s">
        <v>203</v>
      </c>
      <c r="SSO17" s="314" t="s">
        <v>203</v>
      </c>
      <c r="SSP17" s="314" t="s">
        <v>203</v>
      </c>
      <c r="SSQ17" s="314" t="s">
        <v>203</v>
      </c>
      <c r="SSR17" s="314" t="s">
        <v>203</v>
      </c>
      <c r="SSS17" s="314" t="s">
        <v>203</v>
      </c>
      <c r="SST17" s="314" t="s">
        <v>203</v>
      </c>
      <c r="SSU17" s="314" t="s">
        <v>203</v>
      </c>
      <c r="SSV17" s="314" t="s">
        <v>203</v>
      </c>
      <c r="SSW17" s="314" t="s">
        <v>203</v>
      </c>
      <c r="SSX17" s="314" t="s">
        <v>203</v>
      </c>
      <c r="SSY17" s="314" t="s">
        <v>203</v>
      </c>
      <c r="SSZ17" s="314" t="s">
        <v>203</v>
      </c>
      <c r="STA17" s="314" t="s">
        <v>203</v>
      </c>
      <c r="STB17" s="314" t="s">
        <v>203</v>
      </c>
      <c r="STC17" s="314" t="s">
        <v>203</v>
      </c>
      <c r="STD17" s="314" t="s">
        <v>203</v>
      </c>
      <c r="STE17" s="314" t="s">
        <v>203</v>
      </c>
      <c r="STF17" s="314" t="s">
        <v>203</v>
      </c>
      <c r="STG17" s="314" t="s">
        <v>203</v>
      </c>
      <c r="STH17" s="314" t="s">
        <v>203</v>
      </c>
      <c r="STI17" s="314" t="s">
        <v>203</v>
      </c>
      <c r="STJ17" s="314" t="s">
        <v>203</v>
      </c>
      <c r="STK17" s="314" t="s">
        <v>203</v>
      </c>
      <c r="STL17" s="314" t="s">
        <v>203</v>
      </c>
      <c r="STM17" s="314" t="s">
        <v>203</v>
      </c>
      <c r="STN17" s="314" t="s">
        <v>203</v>
      </c>
      <c r="STO17" s="314" t="s">
        <v>203</v>
      </c>
      <c r="STP17" s="314" t="s">
        <v>203</v>
      </c>
      <c r="STQ17" s="314" t="s">
        <v>203</v>
      </c>
      <c r="STR17" s="314" t="s">
        <v>203</v>
      </c>
      <c r="STS17" s="314" t="s">
        <v>203</v>
      </c>
      <c r="STT17" s="314" t="s">
        <v>203</v>
      </c>
      <c r="STU17" s="314" t="s">
        <v>203</v>
      </c>
      <c r="STV17" s="314" t="s">
        <v>203</v>
      </c>
      <c r="STW17" s="314" t="s">
        <v>203</v>
      </c>
      <c r="STX17" s="314" t="s">
        <v>203</v>
      </c>
      <c r="STY17" s="314" t="s">
        <v>203</v>
      </c>
      <c r="STZ17" s="314" t="s">
        <v>203</v>
      </c>
      <c r="SUA17" s="314" t="s">
        <v>203</v>
      </c>
      <c r="SUB17" s="314" t="s">
        <v>203</v>
      </c>
      <c r="SUC17" s="314" t="s">
        <v>203</v>
      </c>
      <c r="SUD17" s="314" t="s">
        <v>203</v>
      </c>
      <c r="SUE17" s="314" t="s">
        <v>203</v>
      </c>
      <c r="SUF17" s="314" t="s">
        <v>203</v>
      </c>
      <c r="SUG17" s="314" t="s">
        <v>203</v>
      </c>
      <c r="SUH17" s="314" t="s">
        <v>203</v>
      </c>
      <c r="SUI17" s="314" t="s">
        <v>203</v>
      </c>
      <c r="SUJ17" s="314" t="s">
        <v>203</v>
      </c>
      <c r="SUK17" s="314" t="s">
        <v>203</v>
      </c>
      <c r="SUL17" s="314" t="s">
        <v>203</v>
      </c>
      <c r="SUM17" s="314" t="s">
        <v>203</v>
      </c>
      <c r="SUN17" s="314" t="s">
        <v>203</v>
      </c>
      <c r="SUO17" s="314" t="s">
        <v>203</v>
      </c>
      <c r="SUP17" s="314" t="s">
        <v>203</v>
      </c>
      <c r="SUQ17" s="314" t="s">
        <v>203</v>
      </c>
      <c r="SUR17" s="314" t="s">
        <v>203</v>
      </c>
      <c r="SUS17" s="314" t="s">
        <v>203</v>
      </c>
      <c r="SUT17" s="314" t="s">
        <v>203</v>
      </c>
      <c r="SUU17" s="314" t="s">
        <v>203</v>
      </c>
      <c r="SUV17" s="314" t="s">
        <v>203</v>
      </c>
      <c r="SUW17" s="314" t="s">
        <v>203</v>
      </c>
      <c r="SUX17" s="314" t="s">
        <v>203</v>
      </c>
      <c r="SUY17" s="314" t="s">
        <v>203</v>
      </c>
      <c r="SUZ17" s="314" t="s">
        <v>203</v>
      </c>
      <c r="SVA17" s="314" t="s">
        <v>203</v>
      </c>
      <c r="SVB17" s="314" t="s">
        <v>203</v>
      </c>
      <c r="SVC17" s="314" t="s">
        <v>203</v>
      </c>
      <c r="SVD17" s="314" t="s">
        <v>203</v>
      </c>
      <c r="SVE17" s="314" t="s">
        <v>203</v>
      </c>
      <c r="SVF17" s="314" t="s">
        <v>203</v>
      </c>
      <c r="SVG17" s="314" t="s">
        <v>203</v>
      </c>
      <c r="SVH17" s="314" t="s">
        <v>203</v>
      </c>
      <c r="SVI17" s="314" t="s">
        <v>203</v>
      </c>
      <c r="SVJ17" s="314" t="s">
        <v>203</v>
      </c>
      <c r="SVK17" s="314" t="s">
        <v>203</v>
      </c>
      <c r="SVL17" s="314" t="s">
        <v>203</v>
      </c>
      <c r="SVM17" s="314" t="s">
        <v>203</v>
      </c>
      <c r="SVN17" s="314" t="s">
        <v>203</v>
      </c>
      <c r="SVO17" s="314" t="s">
        <v>203</v>
      </c>
      <c r="SVP17" s="314" t="s">
        <v>203</v>
      </c>
      <c r="SVQ17" s="314" t="s">
        <v>203</v>
      </c>
      <c r="SVR17" s="314" t="s">
        <v>203</v>
      </c>
      <c r="SVS17" s="314" t="s">
        <v>203</v>
      </c>
      <c r="SVT17" s="314" t="s">
        <v>203</v>
      </c>
      <c r="SVU17" s="314" t="s">
        <v>203</v>
      </c>
      <c r="SVV17" s="314" t="s">
        <v>203</v>
      </c>
      <c r="SVW17" s="314" t="s">
        <v>203</v>
      </c>
      <c r="SVX17" s="314" t="s">
        <v>203</v>
      </c>
      <c r="SVY17" s="314" t="s">
        <v>203</v>
      </c>
      <c r="SVZ17" s="314" t="s">
        <v>203</v>
      </c>
      <c r="SWA17" s="314" t="s">
        <v>203</v>
      </c>
      <c r="SWB17" s="314" t="s">
        <v>203</v>
      </c>
      <c r="SWC17" s="314" t="s">
        <v>203</v>
      </c>
      <c r="SWD17" s="314" t="s">
        <v>203</v>
      </c>
      <c r="SWE17" s="314" t="s">
        <v>203</v>
      </c>
      <c r="SWF17" s="314" t="s">
        <v>203</v>
      </c>
      <c r="SWG17" s="314" t="s">
        <v>203</v>
      </c>
      <c r="SWH17" s="314" t="s">
        <v>203</v>
      </c>
      <c r="SWI17" s="314" t="s">
        <v>203</v>
      </c>
      <c r="SWJ17" s="314" t="s">
        <v>203</v>
      </c>
      <c r="SWK17" s="314" t="s">
        <v>203</v>
      </c>
      <c r="SWL17" s="314" t="s">
        <v>203</v>
      </c>
      <c r="SWM17" s="314" t="s">
        <v>203</v>
      </c>
      <c r="SWN17" s="314" t="s">
        <v>203</v>
      </c>
      <c r="SWO17" s="314" t="s">
        <v>203</v>
      </c>
      <c r="SWP17" s="314" t="s">
        <v>203</v>
      </c>
      <c r="SWQ17" s="314" t="s">
        <v>203</v>
      </c>
      <c r="SWR17" s="314" t="s">
        <v>203</v>
      </c>
      <c r="SWS17" s="314" t="s">
        <v>203</v>
      </c>
      <c r="SWT17" s="314" t="s">
        <v>203</v>
      </c>
      <c r="SWU17" s="314" t="s">
        <v>203</v>
      </c>
      <c r="SWV17" s="314" t="s">
        <v>203</v>
      </c>
      <c r="SWW17" s="314" t="s">
        <v>203</v>
      </c>
      <c r="SWX17" s="314" t="s">
        <v>203</v>
      </c>
      <c r="SWY17" s="314" t="s">
        <v>203</v>
      </c>
      <c r="SWZ17" s="314" t="s">
        <v>203</v>
      </c>
      <c r="SXA17" s="314" t="s">
        <v>203</v>
      </c>
      <c r="SXB17" s="314" t="s">
        <v>203</v>
      </c>
      <c r="SXC17" s="314" t="s">
        <v>203</v>
      </c>
      <c r="SXD17" s="314" t="s">
        <v>203</v>
      </c>
      <c r="SXE17" s="314" t="s">
        <v>203</v>
      </c>
      <c r="SXF17" s="314" t="s">
        <v>203</v>
      </c>
      <c r="SXG17" s="314" t="s">
        <v>203</v>
      </c>
      <c r="SXH17" s="314" t="s">
        <v>203</v>
      </c>
      <c r="SXI17" s="314" t="s">
        <v>203</v>
      </c>
      <c r="SXJ17" s="314" t="s">
        <v>203</v>
      </c>
      <c r="SXK17" s="314" t="s">
        <v>203</v>
      </c>
      <c r="SXL17" s="314" t="s">
        <v>203</v>
      </c>
      <c r="SXM17" s="314" t="s">
        <v>203</v>
      </c>
      <c r="SXN17" s="314" t="s">
        <v>203</v>
      </c>
      <c r="SXO17" s="314" t="s">
        <v>203</v>
      </c>
      <c r="SXP17" s="314" t="s">
        <v>203</v>
      </c>
      <c r="SXQ17" s="314" t="s">
        <v>203</v>
      </c>
      <c r="SXR17" s="314" t="s">
        <v>203</v>
      </c>
      <c r="SXS17" s="314" t="s">
        <v>203</v>
      </c>
      <c r="SXT17" s="314" t="s">
        <v>203</v>
      </c>
      <c r="SXU17" s="314" t="s">
        <v>203</v>
      </c>
      <c r="SXV17" s="314" t="s">
        <v>203</v>
      </c>
      <c r="SXW17" s="314" t="s">
        <v>203</v>
      </c>
      <c r="SXX17" s="314" t="s">
        <v>203</v>
      </c>
      <c r="SXY17" s="314" t="s">
        <v>203</v>
      </c>
      <c r="SXZ17" s="314" t="s">
        <v>203</v>
      </c>
      <c r="SYA17" s="314" t="s">
        <v>203</v>
      </c>
      <c r="SYB17" s="314" t="s">
        <v>203</v>
      </c>
      <c r="SYC17" s="314" t="s">
        <v>203</v>
      </c>
      <c r="SYD17" s="314" t="s">
        <v>203</v>
      </c>
      <c r="SYE17" s="314" t="s">
        <v>203</v>
      </c>
      <c r="SYF17" s="314" t="s">
        <v>203</v>
      </c>
      <c r="SYG17" s="314" t="s">
        <v>203</v>
      </c>
      <c r="SYH17" s="314" t="s">
        <v>203</v>
      </c>
      <c r="SYI17" s="314" t="s">
        <v>203</v>
      </c>
      <c r="SYJ17" s="314" t="s">
        <v>203</v>
      </c>
      <c r="SYK17" s="314" t="s">
        <v>203</v>
      </c>
      <c r="SYL17" s="314" t="s">
        <v>203</v>
      </c>
      <c r="SYM17" s="314" t="s">
        <v>203</v>
      </c>
      <c r="SYN17" s="314" t="s">
        <v>203</v>
      </c>
      <c r="SYO17" s="314" t="s">
        <v>203</v>
      </c>
      <c r="SYP17" s="314" t="s">
        <v>203</v>
      </c>
      <c r="SYQ17" s="314" t="s">
        <v>203</v>
      </c>
      <c r="SYR17" s="314" t="s">
        <v>203</v>
      </c>
      <c r="SYS17" s="314" t="s">
        <v>203</v>
      </c>
      <c r="SYT17" s="314" t="s">
        <v>203</v>
      </c>
      <c r="SYU17" s="314" t="s">
        <v>203</v>
      </c>
      <c r="SYV17" s="314" t="s">
        <v>203</v>
      </c>
      <c r="SYW17" s="314" t="s">
        <v>203</v>
      </c>
      <c r="SYX17" s="314" t="s">
        <v>203</v>
      </c>
      <c r="SYY17" s="314" t="s">
        <v>203</v>
      </c>
      <c r="SYZ17" s="314" t="s">
        <v>203</v>
      </c>
      <c r="SZA17" s="314" t="s">
        <v>203</v>
      </c>
      <c r="SZB17" s="314" t="s">
        <v>203</v>
      </c>
      <c r="SZC17" s="314" t="s">
        <v>203</v>
      </c>
      <c r="SZD17" s="314" t="s">
        <v>203</v>
      </c>
      <c r="SZE17" s="314" t="s">
        <v>203</v>
      </c>
      <c r="SZF17" s="314" t="s">
        <v>203</v>
      </c>
      <c r="SZG17" s="314" t="s">
        <v>203</v>
      </c>
      <c r="SZH17" s="314" t="s">
        <v>203</v>
      </c>
      <c r="SZI17" s="314" t="s">
        <v>203</v>
      </c>
      <c r="SZJ17" s="314" t="s">
        <v>203</v>
      </c>
      <c r="SZK17" s="314" t="s">
        <v>203</v>
      </c>
      <c r="SZL17" s="314" t="s">
        <v>203</v>
      </c>
      <c r="SZM17" s="314" t="s">
        <v>203</v>
      </c>
      <c r="SZN17" s="314" t="s">
        <v>203</v>
      </c>
      <c r="SZO17" s="314" t="s">
        <v>203</v>
      </c>
      <c r="SZP17" s="314" t="s">
        <v>203</v>
      </c>
      <c r="SZQ17" s="314" t="s">
        <v>203</v>
      </c>
      <c r="SZR17" s="314" t="s">
        <v>203</v>
      </c>
      <c r="SZS17" s="314" t="s">
        <v>203</v>
      </c>
      <c r="SZT17" s="314" t="s">
        <v>203</v>
      </c>
      <c r="SZU17" s="314" t="s">
        <v>203</v>
      </c>
      <c r="SZV17" s="314" t="s">
        <v>203</v>
      </c>
      <c r="SZW17" s="314" t="s">
        <v>203</v>
      </c>
      <c r="SZX17" s="314" t="s">
        <v>203</v>
      </c>
      <c r="SZY17" s="314" t="s">
        <v>203</v>
      </c>
      <c r="SZZ17" s="314" t="s">
        <v>203</v>
      </c>
      <c r="TAA17" s="314" t="s">
        <v>203</v>
      </c>
      <c r="TAB17" s="314" t="s">
        <v>203</v>
      </c>
      <c r="TAC17" s="314" t="s">
        <v>203</v>
      </c>
      <c r="TAD17" s="314" t="s">
        <v>203</v>
      </c>
      <c r="TAE17" s="314" t="s">
        <v>203</v>
      </c>
      <c r="TAF17" s="314" t="s">
        <v>203</v>
      </c>
      <c r="TAG17" s="314" t="s">
        <v>203</v>
      </c>
      <c r="TAH17" s="314" t="s">
        <v>203</v>
      </c>
      <c r="TAI17" s="314" t="s">
        <v>203</v>
      </c>
      <c r="TAJ17" s="314" t="s">
        <v>203</v>
      </c>
      <c r="TAK17" s="314" t="s">
        <v>203</v>
      </c>
      <c r="TAL17" s="314" t="s">
        <v>203</v>
      </c>
      <c r="TAM17" s="314" t="s">
        <v>203</v>
      </c>
      <c r="TAN17" s="314" t="s">
        <v>203</v>
      </c>
      <c r="TAO17" s="314" t="s">
        <v>203</v>
      </c>
      <c r="TAP17" s="314" t="s">
        <v>203</v>
      </c>
      <c r="TAQ17" s="314" t="s">
        <v>203</v>
      </c>
      <c r="TAR17" s="314" t="s">
        <v>203</v>
      </c>
      <c r="TAS17" s="314" t="s">
        <v>203</v>
      </c>
      <c r="TAT17" s="314" t="s">
        <v>203</v>
      </c>
      <c r="TAU17" s="314" t="s">
        <v>203</v>
      </c>
      <c r="TAV17" s="314" t="s">
        <v>203</v>
      </c>
      <c r="TAW17" s="314" t="s">
        <v>203</v>
      </c>
      <c r="TAX17" s="314" t="s">
        <v>203</v>
      </c>
      <c r="TAY17" s="314" t="s">
        <v>203</v>
      </c>
      <c r="TAZ17" s="314" t="s">
        <v>203</v>
      </c>
      <c r="TBA17" s="314" t="s">
        <v>203</v>
      </c>
      <c r="TBB17" s="314" t="s">
        <v>203</v>
      </c>
      <c r="TBC17" s="314" t="s">
        <v>203</v>
      </c>
      <c r="TBD17" s="314" t="s">
        <v>203</v>
      </c>
      <c r="TBE17" s="314" t="s">
        <v>203</v>
      </c>
      <c r="TBF17" s="314" t="s">
        <v>203</v>
      </c>
      <c r="TBG17" s="314" t="s">
        <v>203</v>
      </c>
      <c r="TBH17" s="314" t="s">
        <v>203</v>
      </c>
      <c r="TBI17" s="314" t="s">
        <v>203</v>
      </c>
      <c r="TBJ17" s="314" t="s">
        <v>203</v>
      </c>
      <c r="TBK17" s="314" t="s">
        <v>203</v>
      </c>
      <c r="TBL17" s="314" t="s">
        <v>203</v>
      </c>
      <c r="TBM17" s="314" t="s">
        <v>203</v>
      </c>
      <c r="TBN17" s="314" t="s">
        <v>203</v>
      </c>
      <c r="TBO17" s="314" t="s">
        <v>203</v>
      </c>
      <c r="TBP17" s="314" t="s">
        <v>203</v>
      </c>
      <c r="TBQ17" s="314" t="s">
        <v>203</v>
      </c>
      <c r="TBR17" s="314" t="s">
        <v>203</v>
      </c>
      <c r="TBS17" s="314" t="s">
        <v>203</v>
      </c>
      <c r="TBT17" s="314" t="s">
        <v>203</v>
      </c>
      <c r="TBU17" s="314" t="s">
        <v>203</v>
      </c>
      <c r="TBV17" s="314" t="s">
        <v>203</v>
      </c>
      <c r="TBW17" s="314" t="s">
        <v>203</v>
      </c>
      <c r="TBX17" s="314" t="s">
        <v>203</v>
      </c>
      <c r="TBY17" s="314" t="s">
        <v>203</v>
      </c>
      <c r="TBZ17" s="314" t="s">
        <v>203</v>
      </c>
      <c r="TCA17" s="314" t="s">
        <v>203</v>
      </c>
      <c r="TCB17" s="314" t="s">
        <v>203</v>
      </c>
      <c r="TCC17" s="314" t="s">
        <v>203</v>
      </c>
      <c r="TCD17" s="314" t="s">
        <v>203</v>
      </c>
      <c r="TCE17" s="314" t="s">
        <v>203</v>
      </c>
      <c r="TCF17" s="314" t="s">
        <v>203</v>
      </c>
      <c r="TCG17" s="314" t="s">
        <v>203</v>
      </c>
      <c r="TCH17" s="314" t="s">
        <v>203</v>
      </c>
      <c r="TCI17" s="314" t="s">
        <v>203</v>
      </c>
      <c r="TCJ17" s="314" t="s">
        <v>203</v>
      </c>
      <c r="TCK17" s="314" t="s">
        <v>203</v>
      </c>
      <c r="TCL17" s="314" t="s">
        <v>203</v>
      </c>
      <c r="TCM17" s="314" t="s">
        <v>203</v>
      </c>
      <c r="TCN17" s="314" t="s">
        <v>203</v>
      </c>
      <c r="TCO17" s="314" t="s">
        <v>203</v>
      </c>
      <c r="TCP17" s="314" t="s">
        <v>203</v>
      </c>
      <c r="TCQ17" s="314" t="s">
        <v>203</v>
      </c>
      <c r="TCR17" s="314" t="s">
        <v>203</v>
      </c>
      <c r="TCS17" s="314" t="s">
        <v>203</v>
      </c>
      <c r="TCT17" s="314" t="s">
        <v>203</v>
      </c>
      <c r="TCU17" s="314" t="s">
        <v>203</v>
      </c>
      <c r="TCV17" s="314" t="s">
        <v>203</v>
      </c>
      <c r="TCW17" s="314" t="s">
        <v>203</v>
      </c>
      <c r="TCX17" s="314" t="s">
        <v>203</v>
      </c>
      <c r="TCY17" s="314" t="s">
        <v>203</v>
      </c>
      <c r="TCZ17" s="314" t="s">
        <v>203</v>
      </c>
      <c r="TDA17" s="314" t="s">
        <v>203</v>
      </c>
      <c r="TDB17" s="314" t="s">
        <v>203</v>
      </c>
      <c r="TDC17" s="314" t="s">
        <v>203</v>
      </c>
      <c r="TDD17" s="314" t="s">
        <v>203</v>
      </c>
      <c r="TDE17" s="314" t="s">
        <v>203</v>
      </c>
      <c r="TDF17" s="314" t="s">
        <v>203</v>
      </c>
      <c r="TDG17" s="314" t="s">
        <v>203</v>
      </c>
      <c r="TDH17" s="314" t="s">
        <v>203</v>
      </c>
      <c r="TDI17" s="314" t="s">
        <v>203</v>
      </c>
      <c r="TDJ17" s="314" t="s">
        <v>203</v>
      </c>
      <c r="TDK17" s="314" t="s">
        <v>203</v>
      </c>
      <c r="TDL17" s="314" t="s">
        <v>203</v>
      </c>
      <c r="TDM17" s="314" t="s">
        <v>203</v>
      </c>
      <c r="TDN17" s="314" t="s">
        <v>203</v>
      </c>
      <c r="TDO17" s="314" t="s">
        <v>203</v>
      </c>
      <c r="TDP17" s="314" t="s">
        <v>203</v>
      </c>
      <c r="TDQ17" s="314" t="s">
        <v>203</v>
      </c>
      <c r="TDR17" s="314" t="s">
        <v>203</v>
      </c>
      <c r="TDS17" s="314" t="s">
        <v>203</v>
      </c>
      <c r="TDT17" s="314" t="s">
        <v>203</v>
      </c>
      <c r="TDU17" s="314" t="s">
        <v>203</v>
      </c>
      <c r="TDV17" s="314" t="s">
        <v>203</v>
      </c>
      <c r="TDW17" s="314" t="s">
        <v>203</v>
      </c>
      <c r="TDX17" s="314" t="s">
        <v>203</v>
      </c>
      <c r="TDY17" s="314" t="s">
        <v>203</v>
      </c>
      <c r="TDZ17" s="314" t="s">
        <v>203</v>
      </c>
      <c r="TEA17" s="314" t="s">
        <v>203</v>
      </c>
      <c r="TEB17" s="314" t="s">
        <v>203</v>
      </c>
      <c r="TEC17" s="314" t="s">
        <v>203</v>
      </c>
      <c r="TED17" s="314" t="s">
        <v>203</v>
      </c>
      <c r="TEE17" s="314" t="s">
        <v>203</v>
      </c>
      <c r="TEF17" s="314" t="s">
        <v>203</v>
      </c>
      <c r="TEG17" s="314" t="s">
        <v>203</v>
      </c>
      <c r="TEH17" s="314" t="s">
        <v>203</v>
      </c>
      <c r="TEI17" s="314" t="s">
        <v>203</v>
      </c>
      <c r="TEJ17" s="314" t="s">
        <v>203</v>
      </c>
      <c r="TEK17" s="314" t="s">
        <v>203</v>
      </c>
      <c r="TEL17" s="314" t="s">
        <v>203</v>
      </c>
      <c r="TEM17" s="314" t="s">
        <v>203</v>
      </c>
      <c r="TEN17" s="314" t="s">
        <v>203</v>
      </c>
      <c r="TEO17" s="314" t="s">
        <v>203</v>
      </c>
      <c r="TEP17" s="314" t="s">
        <v>203</v>
      </c>
      <c r="TEQ17" s="314" t="s">
        <v>203</v>
      </c>
      <c r="TER17" s="314" t="s">
        <v>203</v>
      </c>
      <c r="TES17" s="314" t="s">
        <v>203</v>
      </c>
      <c r="TET17" s="314" t="s">
        <v>203</v>
      </c>
      <c r="TEU17" s="314" t="s">
        <v>203</v>
      </c>
      <c r="TEV17" s="314" t="s">
        <v>203</v>
      </c>
      <c r="TEW17" s="314" t="s">
        <v>203</v>
      </c>
      <c r="TEX17" s="314" t="s">
        <v>203</v>
      </c>
      <c r="TEY17" s="314" t="s">
        <v>203</v>
      </c>
      <c r="TEZ17" s="314" t="s">
        <v>203</v>
      </c>
      <c r="TFA17" s="314" t="s">
        <v>203</v>
      </c>
      <c r="TFB17" s="314" t="s">
        <v>203</v>
      </c>
      <c r="TFC17" s="314" t="s">
        <v>203</v>
      </c>
      <c r="TFD17" s="314" t="s">
        <v>203</v>
      </c>
      <c r="TFE17" s="314" t="s">
        <v>203</v>
      </c>
      <c r="TFF17" s="314" t="s">
        <v>203</v>
      </c>
      <c r="TFG17" s="314" t="s">
        <v>203</v>
      </c>
      <c r="TFH17" s="314" t="s">
        <v>203</v>
      </c>
      <c r="TFI17" s="314" t="s">
        <v>203</v>
      </c>
      <c r="TFJ17" s="314" t="s">
        <v>203</v>
      </c>
      <c r="TFK17" s="314" t="s">
        <v>203</v>
      </c>
      <c r="TFL17" s="314" t="s">
        <v>203</v>
      </c>
      <c r="TFM17" s="314" t="s">
        <v>203</v>
      </c>
      <c r="TFN17" s="314" t="s">
        <v>203</v>
      </c>
      <c r="TFO17" s="314" t="s">
        <v>203</v>
      </c>
      <c r="TFP17" s="314" t="s">
        <v>203</v>
      </c>
      <c r="TFQ17" s="314" t="s">
        <v>203</v>
      </c>
      <c r="TFR17" s="314" t="s">
        <v>203</v>
      </c>
      <c r="TFS17" s="314" t="s">
        <v>203</v>
      </c>
      <c r="TFT17" s="314" t="s">
        <v>203</v>
      </c>
      <c r="TFU17" s="314" t="s">
        <v>203</v>
      </c>
      <c r="TFV17" s="314" t="s">
        <v>203</v>
      </c>
      <c r="TFW17" s="314" t="s">
        <v>203</v>
      </c>
      <c r="TFX17" s="314" t="s">
        <v>203</v>
      </c>
      <c r="TFY17" s="314" t="s">
        <v>203</v>
      </c>
      <c r="TFZ17" s="314" t="s">
        <v>203</v>
      </c>
      <c r="TGA17" s="314" t="s">
        <v>203</v>
      </c>
      <c r="TGB17" s="314" t="s">
        <v>203</v>
      </c>
      <c r="TGC17" s="314" t="s">
        <v>203</v>
      </c>
      <c r="TGD17" s="314" t="s">
        <v>203</v>
      </c>
      <c r="TGE17" s="314" t="s">
        <v>203</v>
      </c>
      <c r="TGF17" s="314" t="s">
        <v>203</v>
      </c>
      <c r="TGG17" s="314" t="s">
        <v>203</v>
      </c>
      <c r="TGH17" s="314" t="s">
        <v>203</v>
      </c>
      <c r="TGI17" s="314" t="s">
        <v>203</v>
      </c>
      <c r="TGJ17" s="314" t="s">
        <v>203</v>
      </c>
      <c r="TGK17" s="314" t="s">
        <v>203</v>
      </c>
      <c r="TGL17" s="314" t="s">
        <v>203</v>
      </c>
      <c r="TGM17" s="314" t="s">
        <v>203</v>
      </c>
      <c r="TGN17" s="314" t="s">
        <v>203</v>
      </c>
      <c r="TGO17" s="314" t="s">
        <v>203</v>
      </c>
      <c r="TGP17" s="314" t="s">
        <v>203</v>
      </c>
      <c r="TGQ17" s="314" t="s">
        <v>203</v>
      </c>
      <c r="TGR17" s="314" t="s">
        <v>203</v>
      </c>
      <c r="TGS17" s="314" t="s">
        <v>203</v>
      </c>
      <c r="TGT17" s="314" t="s">
        <v>203</v>
      </c>
      <c r="TGU17" s="314" t="s">
        <v>203</v>
      </c>
      <c r="TGV17" s="314" t="s">
        <v>203</v>
      </c>
      <c r="TGW17" s="314" t="s">
        <v>203</v>
      </c>
      <c r="TGX17" s="314" t="s">
        <v>203</v>
      </c>
      <c r="TGY17" s="314" t="s">
        <v>203</v>
      </c>
      <c r="TGZ17" s="314" t="s">
        <v>203</v>
      </c>
      <c r="THA17" s="314" t="s">
        <v>203</v>
      </c>
      <c r="THB17" s="314" t="s">
        <v>203</v>
      </c>
      <c r="THC17" s="314" t="s">
        <v>203</v>
      </c>
      <c r="THD17" s="314" t="s">
        <v>203</v>
      </c>
      <c r="THE17" s="314" t="s">
        <v>203</v>
      </c>
      <c r="THF17" s="314" t="s">
        <v>203</v>
      </c>
      <c r="THG17" s="314" t="s">
        <v>203</v>
      </c>
      <c r="THH17" s="314" t="s">
        <v>203</v>
      </c>
      <c r="THI17" s="314" t="s">
        <v>203</v>
      </c>
      <c r="THJ17" s="314" t="s">
        <v>203</v>
      </c>
      <c r="THK17" s="314" t="s">
        <v>203</v>
      </c>
      <c r="THL17" s="314" t="s">
        <v>203</v>
      </c>
      <c r="THM17" s="314" t="s">
        <v>203</v>
      </c>
      <c r="THN17" s="314" t="s">
        <v>203</v>
      </c>
      <c r="THO17" s="314" t="s">
        <v>203</v>
      </c>
      <c r="THP17" s="314" t="s">
        <v>203</v>
      </c>
      <c r="THQ17" s="314" t="s">
        <v>203</v>
      </c>
      <c r="THR17" s="314" t="s">
        <v>203</v>
      </c>
      <c r="THS17" s="314" t="s">
        <v>203</v>
      </c>
      <c r="THT17" s="314" t="s">
        <v>203</v>
      </c>
      <c r="THU17" s="314" t="s">
        <v>203</v>
      </c>
      <c r="THV17" s="314" t="s">
        <v>203</v>
      </c>
      <c r="THW17" s="314" t="s">
        <v>203</v>
      </c>
      <c r="THX17" s="314" t="s">
        <v>203</v>
      </c>
      <c r="THY17" s="314" t="s">
        <v>203</v>
      </c>
      <c r="THZ17" s="314" t="s">
        <v>203</v>
      </c>
      <c r="TIA17" s="314" t="s">
        <v>203</v>
      </c>
      <c r="TIB17" s="314" t="s">
        <v>203</v>
      </c>
      <c r="TIC17" s="314" t="s">
        <v>203</v>
      </c>
      <c r="TID17" s="314" t="s">
        <v>203</v>
      </c>
      <c r="TIE17" s="314" t="s">
        <v>203</v>
      </c>
      <c r="TIF17" s="314" t="s">
        <v>203</v>
      </c>
      <c r="TIG17" s="314" t="s">
        <v>203</v>
      </c>
      <c r="TIH17" s="314" t="s">
        <v>203</v>
      </c>
      <c r="TII17" s="314" t="s">
        <v>203</v>
      </c>
      <c r="TIJ17" s="314" t="s">
        <v>203</v>
      </c>
      <c r="TIK17" s="314" t="s">
        <v>203</v>
      </c>
      <c r="TIL17" s="314" t="s">
        <v>203</v>
      </c>
      <c r="TIM17" s="314" t="s">
        <v>203</v>
      </c>
      <c r="TIN17" s="314" t="s">
        <v>203</v>
      </c>
      <c r="TIO17" s="314" t="s">
        <v>203</v>
      </c>
      <c r="TIP17" s="314" t="s">
        <v>203</v>
      </c>
      <c r="TIQ17" s="314" t="s">
        <v>203</v>
      </c>
      <c r="TIR17" s="314" t="s">
        <v>203</v>
      </c>
      <c r="TIS17" s="314" t="s">
        <v>203</v>
      </c>
      <c r="TIT17" s="314" t="s">
        <v>203</v>
      </c>
      <c r="TIU17" s="314" t="s">
        <v>203</v>
      </c>
      <c r="TIV17" s="314" t="s">
        <v>203</v>
      </c>
      <c r="TIW17" s="314" t="s">
        <v>203</v>
      </c>
      <c r="TIX17" s="314" t="s">
        <v>203</v>
      </c>
      <c r="TIY17" s="314" t="s">
        <v>203</v>
      </c>
      <c r="TIZ17" s="314" t="s">
        <v>203</v>
      </c>
      <c r="TJA17" s="314" t="s">
        <v>203</v>
      </c>
      <c r="TJB17" s="314" t="s">
        <v>203</v>
      </c>
      <c r="TJC17" s="314" t="s">
        <v>203</v>
      </c>
      <c r="TJD17" s="314" t="s">
        <v>203</v>
      </c>
      <c r="TJE17" s="314" t="s">
        <v>203</v>
      </c>
      <c r="TJF17" s="314" t="s">
        <v>203</v>
      </c>
      <c r="TJG17" s="314" t="s">
        <v>203</v>
      </c>
      <c r="TJH17" s="314" t="s">
        <v>203</v>
      </c>
      <c r="TJI17" s="314" t="s">
        <v>203</v>
      </c>
      <c r="TJJ17" s="314" t="s">
        <v>203</v>
      </c>
      <c r="TJK17" s="314" t="s">
        <v>203</v>
      </c>
      <c r="TJL17" s="314" t="s">
        <v>203</v>
      </c>
      <c r="TJM17" s="314" t="s">
        <v>203</v>
      </c>
      <c r="TJN17" s="314" t="s">
        <v>203</v>
      </c>
      <c r="TJO17" s="314" t="s">
        <v>203</v>
      </c>
      <c r="TJP17" s="314" t="s">
        <v>203</v>
      </c>
      <c r="TJQ17" s="314" t="s">
        <v>203</v>
      </c>
      <c r="TJR17" s="314" t="s">
        <v>203</v>
      </c>
      <c r="TJS17" s="314" t="s">
        <v>203</v>
      </c>
      <c r="TJT17" s="314" t="s">
        <v>203</v>
      </c>
      <c r="TJU17" s="314" t="s">
        <v>203</v>
      </c>
      <c r="TJV17" s="314" t="s">
        <v>203</v>
      </c>
      <c r="TJW17" s="314" t="s">
        <v>203</v>
      </c>
      <c r="TJX17" s="314" t="s">
        <v>203</v>
      </c>
      <c r="TJY17" s="314" t="s">
        <v>203</v>
      </c>
      <c r="TJZ17" s="314" t="s">
        <v>203</v>
      </c>
      <c r="TKA17" s="314" t="s">
        <v>203</v>
      </c>
      <c r="TKB17" s="314" t="s">
        <v>203</v>
      </c>
      <c r="TKC17" s="314" t="s">
        <v>203</v>
      </c>
      <c r="TKD17" s="314" t="s">
        <v>203</v>
      </c>
      <c r="TKE17" s="314" t="s">
        <v>203</v>
      </c>
      <c r="TKF17" s="314" t="s">
        <v>203</v>
      </c>
      <c r="TKG17" s="314" t="s">
        <v>203</v>
      </c>
      <c r="TKH17" s="314" t="s">
        <v>203</v>
      </c>
      <c r="TKI17" s="314" t="s">
        <v>203</v>
      </c>
      <c r="TKJ17" s="314" t="s">
        <v>203</v>
      </c>
      <c r="TKK17" s="314" t="s">
        <v>203</v>
      </c>
      <c r="TKL17" s="314" t="s">
        <v>203</v>
      </c>
      <c r="TKM17" s="314" t="s">
        <v>203</v>
      </c>
      <c r="TKN17" s="314" t="s">
        <v>203</v>
      </c>
      <c r="TKO17" s="314" t="s">
        <v>203</v>
      </c>
      <c r="TKP17" s="314" t="s">
        <v>203</v>
      </c>
      <c r="TKQ17" s="314" t="s">
        <v>203</v>
      </c>
      <c r="TKR17" s="314" t="s">
        <v>203</v>
      </c>
      <c r="TKS17" s="314" t="s">
        <v>203</v>
      </c>
      <c r="TKT17" s="314" t="s">
        <v>203</v>
      </c>
      <c r="TKU17" s="314" t="s">
        <v>203</v>
      </c>
      <c r="TKV17" s="314" t="s">
        <v>203</v>
      </c>
      <c r="TKW17" s="314" t="s">
        <v>203</v>
      </c>
      <c r="TKX17" s="314" t="s">
        <v>203</v>
      </c>
      <c r="TKY17" s="314" t="s">
        <v>203</v>
      </c>
      <c r="TKZ17" s="314" t="s">
        <v>203</v>
      </c>
      <c r="TLA17" s="314" t="s">
        <v>203</v>
      </c>
      <c r="TLB17" s="314" t="s">
        <v>203</v>
      </c>
      <c r="TLC17" s="314" t="s">
        <v>203</v>
      </c>
      <c r="TLD17" s="314" t="s">
        <v>203</v>
      </c>
      <c r="TLE17" s="314" t="s">
        <v>203</v>
      </c>
      <c r="TLF17" s="314" t="s">
        <v>203</v>
      </c>
      <c r="TLG17" s="314" t="s">
        <v>203</v>
      </c>
      <c r="TLH17" s="314" t="s">
        <v>203</v>
      </c>
      <c r="TLI17" s="314" t="s">
        <v>203</v>
      </c>
      <c r="TLJ17" s="314" t="s">
        <v>203</v>
      </c>
      <c r="TLK17" s="314" t="s">
        <v>203</v>
      </c>
      <c r="TLL17" s="314" t="s">
        <v>203</v>
      </c>
      <c r="TLM17" s="314" t="s">
        <v>203</v>
      </c>
      <c r="TLN17" s="314" t="s">
        <v>203</v>
      </c>
      <c r="TLO17" s="314" t="s">
        <v>203</v>
      </c>
      <c r="TLP17" s="314" t="s">
        <v>203</v>
      </c>
      <c r="TLQ17" s="314" t="s">
        <v>203</v>
      </c>
      <c r="TLR17" s="314" t="s">
        <v>203</v>
      </c>
      <c r="TLS17" s="314" t="s">
        <v>203</v>
      </c>
      <c r="TLT17" s="314" t="s">
        <v>203</v>
      </c>
      <c r="TLU17" s="314" t="s">
        <v>203</v>
      </c>
      <c r="TLV17" s="314" t="s">
        <v>203</v>
      </c>
      <c r="TLW17" s="314" t="s">
        <v>203</v>
      </c>
      <c r="TLX17" s="314" t="s">
        <v>203</v>
      </c>
      <c r="TLY17" s="314" t="s">
        <v>203</v>
      </c>
      <c r="TLZ17" s="314" t="s">
        <v>203</v>
      </c>
      <c r="TMA17" s="314" t="s">
        <v>203</v>
      </c>
      <c r="TMB17" s="314" t="s">
        <v>203</v>
      </c>
      <c r="TMC17" s="314" t="s">
        <v>203</v>
      </c>
      <c r="TMD17" s="314" t="s">
        <v>203</v>
      </c>
      <c r="TME17" s="314" t="s">
        <v>203</v>
      </c>
      <c r="TMF17" s="314" t="s">
        <v>203</v>
      </c>
      <c r="TMG17" s="314" t="s">
        <v>203</v>
      </c>
      <c r="TMH17" s="314" t="s">
        <v>203</v>
      </c>
      <c r="TMI17" s="314" t="s">
        <v>203</v>
      </c>
      <c r="TMJ17" s="314" t="s">
        <v>203</v>
      </c>
      <c r="TMK17" s="314" t="s">
        <v>203</v>
      </c>
      <c r="TML17" s="314" t="s">
        <v>203</v>
      </c>
      <c r="TMM17" s="314" t="s">
        <v>203</v>
      </c>
      <c r="TMN17" s="314" t="s">
        <v>203</v>
      </c>
      <c r="TMO17" s="314" t="s">
        <v>203</v>
      </c>
      <c r="TMP17" s="314" t="s">
        <v>203</v>
      </c>
      <c r="TMQ17" s="314" t="s">
        <v>203</v>
      </c>
      <c r="TMR17" s="314" t="s">
        <v>203</v>
      </c>
      <c r="TMS17" s="314" t="s">
        <v>203</v>
      </c>
      <c r="TMT17" s="314" t="s">
        <v>203</v>
      </c>
      <c r="TMU17" s="314" t="s">
        <v>203</v>
      </c>
      <c r="TMV17" s="314" t="s">
        <v>203</v>
      </c>
      <c r="TMW17" s="314" t="s">
        <v>203</v>
      </c>
      <c r="TMX17" s="314" t="s">
        <v>203</v>
      </c>
      <c r="TMY17" s="314" t="s">
        <v>203</v>
      </c>
      <c r="TMZ17" s="314" t="s">
        <v>203</v>
      </c>
      <c r="TNA17" s="314" t="s">
        <v>203</v>
      </c>
      <c r="TNB17" s="314" t="s">
        <v>203</v>
      </c>
      <c r="TNC17" s="314" t="s">
        <v>203</v>
      </c>
      <c r="TND17" s="314" t="s">
        <v>203</v>
      </c>
      <c r="TNE17" s="314" t="s">
        <v>203</v>
      </c>
      <c r="TNF17" s="314" t="s">
        <v>203</v>
      </c>
      <c r="TNG17" s="314" t="s">
        <v>203</v>
      </c>
      <c r="TNH17" s="314" t="s">
        <v>203</v>
      </c>
      <c r="TNI17" s="314" t="s">
        <v>203</v>
      </c>
      <c r="TNJ17" s="314" t="s">
        <v>203</v>
      </c>
      <c r="TNK17" s="314" t="s">
        <v>203</v>
      </c>
      <c r="TNL17" s="314" t="s">
        <v>203</v>
      </c>
      <c r="TNM17" s="314" t="s">
        <v>203</v>
      </c>
      <c r="TNN17" s="314" t="s">
        <v>203</v>
      </c>
      <c r="TNO17" s="314" t="s">
        <v>203</v>
      </c>
      <c r="TNP17" s="314" t="s">
        <v>203</v>
      </c>
      <c r="TNQ17" s="314" t="s">
        <v>203</v>
      </c>
      <c r="TNR17" s="314" t="s">
        <v>203</v>
      </c>
      <c r="TNS17" s="314" t="s">
        <v>203</v>
      </c>
      <c r="TNT17" s="314" t="s">
        <v>203</v>
      </c>
      <c r="TNU17" s="314" t="s">
        <v>203</v>
      </c>
      <c r="TNV17" s="314" t="s">
        <v>203</v>
      </c>
      <c r="TNW17" s="314" t="s">
        <v>203</v>
      </c>
      <c r="TNX17" s="314" t="s">
        <v>203</v>
      </c>
      <c r="TNY17" s="314" t="s">
        <v>203</v>
      </c>
      <c r="TNZ17" s="314" t="s">
        <v>203</v>
      </c>
      <c r="TOA17" s="314" t="s">
        <v>203</v>
      </c>
      <c r="TOB17" s="314" t="s">
        <v>203</v>
      </c>
      <c r="TOC17" s="314" t="s">
        <v>203</v>
      </c>
      <c r="TOD17" s="314" t="s">
        <v>203</v>
      </c>
      <c r="TOE17" s="314" t="s">
        <v>203</v>
      </c>
      <c r="TOF17" s="314" t="s">
        <v>203</v>
      </c>
      <c r="TOG17" s="314" t="s">
        <v>203</v>
      </c>
      <c r="TOH17" s="314" t="s">
        <v>203</v>
      </c>
      <c r="TOI17" s="314" t="s">
        <v>203</v>
      </c>
      <c r="TOJ17" s="314" t="s">
        <v>203</v>
      </c>
      <c r="TOK17" s="314" t="s">
        <v>203</v>
      </c>
      <c r="TOL17" s="314" t="s">
        <v>203</v>
      </c>
      <c r="TOM17" s="314" t="s">
        <v>203</v>
      </c>
      <c r="TON17" s="314" t="s">
        <v>203</v>
      </c>
      <c r="TOO17" s="314" t="s">
        <v>203</v>
      </c>
      <c r="TOP17" s="314" t="s">
        <v>203</v>
      </c>
      <c r="TOQ17" s="314" t="s">
        <v>203</v>
      </c>
      <c r="TOR17" s="314" t="s">
        <v>203</v>
      </c>
      <c r="TOS17" s="314" t="s">
        <v>203</v>
      </c>
      <c r="TOT17" s="314" t="s">
        <v>203</v>
      </c>
      <c r="TOU17" s="314" t="s">
        <v>203</v>
      </c>
      <c r="TOV17" s="314" t="s">
        <v>203</v>
      </c>
      <c r="TOW17" s="314" t="s">
        <v>203</v>
      </c>
      <c r="TOX17" s="314" t="s">
        <v>203</v>
      </c>
      <c r="TOY17" s="314" t="s">
        <v>203</v>
      </c>
      <c r="TOZ17" s="314" t="s">
        <v>203</v>
      </c>
      <c r="TPA17" s="314" t="s">
        <v>203</v>
      </c>
      <c r="TPB17" s="314" t="s">
        <v>203</v>
      </c>
      <c r="TPC17" s="314" t="s">
        <v>203</v>
      </c>
      <c r="TPD17" s="314" t="s">
        <v>203</v>
      </c>
      <c r="TPE17" s="314" t="s">
        <v>203</v>
      </c>
      <c r="TPF17" s="314" t="s">
        <v>203</v>
      </c>
      <c r="TPG17" s="314" t="s">
        <v>203</v>
      </c>
      <c r="TPH17" s="314" t="s">
        <v>203</v>
      </c>
      <c r="TPI17" s="314" t="s">
        <v>203</v>
      </c>
      <c r="TPJ17" s="314" t="s">
        <v>203</v>
      </c>
      <c r="TPK17" s="314" t="s">
        <v>203</v>
      </c>
      <c r="TPL17" s="314" t="s">
        <v>203</v>
      </c>
      <c r="TPM17" s="314" t="s">
        <v>203</v>
      </c>
      <c r="TPN17" s="314" t="s">
        <v>203</v>
      </c>
      <c r="TPO17" s="314" t="s">
        <v>203</v>
      </c>
      <c r="TPP17" s="314" t="s">
        <v>203</v>
      </c>
      <c r="TPQ17" s="314" t="s">
        <v>203</v>
      </c>
      <c r="TPR17" s="314" t="s">
        <v>203</v>
      </c>
      <c r="TPS17" s="314" t="s">
        <v>203</v>
      </c>
      <c r="TPT17" s="314" t="s">
        <v>203</v>
      </c>
      <c r="TPU17" s="314" t="s">
        <v>203</v>
      </c>
      <c r="TPV17" s="314" t="s">
        <v>203</v>
      </c>
      <c r="TPW17" s="314" t="s">
        <v>203</v>
      </c>
      <c r="TPX17" s="314" t="s">
        <v>203</v>
      </c>
      <c r="TPY17" s="314" t="s">
        <v>203</v>
      </c>
      <c r="TPZ17" s="314" t="s">
        <v>203</v>
      </c>
      <c r="TQA17" s="314" t="s">
        <v>203</v>
      </c>
      <c r="TQB17" s="314" t="s">
        <v>203</v>
      </c>
      <c r="TQC17" s="314" t="s">
        <v>203</v>
      </c>
      <c r="TQD17" s="314" t="s">
        <v>203</v>
      </c>
      <c r="TQE17" s="314" t="s">
        <v>203</v>
      </c>
      <c r="TQF17" s="314" t="s">
        <v>203</v>
      </c>
      <c r="TQG17" s="314" t="s">
        <v>203</v>
      </c>
      <c r="TQH17" s="314" t="s">
        <v>203</v>
      </c>
      <c r="TQI17" s="314" t="s">
        <v>203</v>
      </c>
      <c r="TQJ17" s="314" t="s">
        <v>203</v>
      </c>
      <c r="TQK17" s="314" t="s">
        <v>203</v>
      </c>
      <c r="TQL17" s="314" t="s">
        <v>203</v>
      </c>
      <c r="TQM17" s="314" t="s">
        <v>203</v>
      </c>
      <c r="TQN17" s="314" t="s">
        <v>203</v>
      </c>
      <c r="TQO17" s="314" t="s">
        <v>203</v>
      </c>
      <c r="TQP17" s="314" t="s">
        <v>203</v>
      </c>
      <c r="TQQ17" s="314" t="s">
        <v>203</v>
      </c>
      <c r="TQR17" s="314" t="s">
        <v>203</v>
      </c>
      <c r="TQS17" s="314" t="s">
        <v>203</v>
      </c>
      <c r="TQT17" s="314" t="s">
        <v>203</v>
      </c>
      <c r="TQU17" s="314" t="s">
        <v>203</v>
      </c>
      <c r="TQV17" s="314" t="s">
        <v>203</v>
      </c>
      <c r="TQW17" s="314" t="s">
        <v>203</v>
      </c>
      <c r="TQX17" s="314" t="s">
        <v>203</v>
      </c>
      <c r="TQY17" s="314" t="s">
        <v>203</v>
      </c>
      <c r="TQZ17" s="314" t="s">
        <v>203</v>
      </c>
      <c r="TRA17" s="314" t="s">
        <v>203</v>
      </c>
      <c r="TRB17" s="314" t="s">
        <v>203</v>
      </c>
      <c r="TRC17" s="314" t="s">
        <v>203</v>
      </c>
      <c r="TRD17" s="314" t="s">
        <v>203</v>
      </c>
      <c r="TRE17" s="314" t="s">
        <v>203</v>
      </c>
      <c r="TRF17" s="314" t="s">
        <v>203</v>
      </c>
      <c r="TRG17" s="314" t="s">
        <v>203</v>
      </c>
      <c r="TRH17" s="314" t="s">
        <v>203</v>
      </c>
      <c r="TRI17" s="314" t="s">
        <v>203</v>
      </c>
      <c r="TRJ17" s="314" t="s">
        <v>203</v>
      </c>
      <c r="TRK17" s="314" t="s">
        <v>203</v>
      </c>
      <c r="TRL17" s="314" t="s">
        <v>203</v>
      </c>
      <c r="TRM17" s="314" t="s">
        <v>203</v>
      </c>
      <c r="TRN17" s="314" t="s">
        <v>203</v>
      </c>
      <c r="TRO17" s="314" t="s">
        <v>203</v>
      </c>
      <c r="TRP17" s="314" t="s">
        <v>203</v>
      </c>
      <c r="TRQ17" s="314" t="s">
        <v>203</v>
      </c>
      <c r="TRR17" s="314" t="s">
        <v>203</v>
      </c>
      <c r="TRS17" s="314" t="s">
        <v>203</v>
      </c>
      <c r="TRT17" s="314" t="s">
        <v>203</v>
      </c>
      <c r="TRU17" s="314" t="s">
        <v>203</v>
      </c>
      <c r="TRV17" s="314" t="s">
        <v>203</v>
      </c>
      <c r="TRW17" s="314" t="s">
        <v>203</v>
      </c>
      <c r="TRX17" s="314" t="s">
        <v>203</v>
      </c>
      <c r="TRY17" s="314" t="s">
        <v>203</v>
      </c>
      <c r="TRZ17" s="314" t="s">
        <v>203</v>
      </c>
      <c r="TSA17" s="314" t="s">
        <v>203</v>
      </c>
      <c r="TSB17" s="314" t="s">
        <v>203</v>
      </c>
      <c r="TSC17" s="314" t="s">
        <v>203</v>
      </c>
      <c r="TSD17" s="314" t="s">
        <v>203</v>
      </c>
      <c r="TSE17" s="314" t="s">
        <v>203</v>
      </c>
      <c r="TSF17" s="314" t="s">
        <v>203</v>
      </c>
      <c r="TSG17" s="314" t="s">
        <v>203</v>
      </c>
      <c r="TSH17" s="314" t="s">
        <v>203</v>
      </c>
      <c r="TSI17" s="314" t="s">
        <v>203</v>
      </c>
      <c r="TSJ17" s="314" t="s">
        <v>203</v>
      </c>
      <c r="TSK17" s="314" t="s">
        <v>203</v>
      </c>
      <c r="TSL17" s="314" t="s">
        <v>203</v>
      </c>
      <c r="TSM17" s="314" t="s">
        <v>203</v>
      </c>
      <c r="TSN17" s="314" t="s">
        <v>203</v>
      </c>
      <c r="TSO17" s="314" t="s">
        <v>203</v>
      </c>
      <c r="TSP17" s="314" t="s">
        <v>203</v>
      </c>
      <c r="TSQ17" s="314" t="s">
        <v>203</v>
      </c>
      <c r="TSR17" s="314" t="s">
        <v>203</v>
      </c>
      <c r="TSS17" s="314" t="s">
        <v>203</v>
      </c>
      <c r="TST17" s="314" t="s">
        <v>203</v>
      </c>
      <c r="TSU17" s="314" t="s">
        <v>203</v>
      </c>
      <c r="TSV17" s="314" t="s">
        <v>203</v>
      </c>
      <c r="TSW17" s="314" t="s">
        <v>203</v>
      </c>
      <c r="TSX17" s="314" t="s">
        <v>203</v>
      </c>
      <c r="TSY17" s="314" t="s">
        <v>203</v>
      </c>
      <c r="TSZ17" s="314" t="s">
        <v>203</v>
      </c>
      <c r="TTA17" s="314" t="s">
        <v>203</v>
      </c>
      <c r="TTB17" s="314" t="s">
        <v>203</v>
      </c>
      <c r="TTC17" s="314" t="s">
        <v>203</v>
      </c>
      <c r="TTD17" s="314" t="s">
        <v>203</v>
      </c>
      <c r="TTE17" s="314" t="s">
        <v>203</v>
      </c>
      <c r="TTF17" s="314" t="s">
        <v>203</v>
      </c>
      <c r="TTG17" s="314" t="s">
        <v>203</v>
      </c>
      <c r="TTH17" s="314" t="s">
        <v>203</v>
      </c>
      <c r="TTI17" s="314" t="s">
        <v>203</v>
      </c>
      <c r="TTJ17" s="314" t="s">
        <v>203</v>
      </c>
      <c r="TTK17" s="314" t="s">
        <v>203</v>
      </c>
      <c r="TTL17" s="314" t="s">
        <v>203</v>
      </c>
      <c r="TTM17" s="314" t="s">
        <v>203</v>
      </c>
      <c r="TTN17" s="314" t="s">
        <v>203</v>
      </c>
      <c r="TTO17" s="314" t="s">
        <v>203</v>
      </c>
      <c r="TTP17" s="314" t="s">
        <v>203</v>
      </c>
      <c r="TTQ17" s="314" t="s">
        <v>203</v>
      </c>
      <c r="TTR17" s="314" t="s">
        <v>203</v>
      </c>
      <c r="TTS17" s="314" t="s">
        <v>203</v>
      </c>
      <c r="TTT17" s="314" t="s">
        <v>203</v>
      </c>
      <c r="TTU17" s="314" t="s">
        <v>203</v>
      </c>
      <c r="TTV17" s="314" t="s">
        <v>203</v>
      </c>
      <c r="TTW17" s="314" t="s">
        <v>203</v>
      </c>
      <c r="TTX17" s="314" t="s">
        <v>203</v>
      </c>
      <c r="TTY17" s="314" t="s">
        <v>203</v>
      </c>
      <c r="TTZ17" s="314" t="s">
        <v>203</v>
      </c>
      <c r="TUA17" s="314" t="s">
        <v>203</v>
      </c>
      <c r="TUB17" s="314" t="s">
        <v>203</v>
      </c>
      <c r="TUC17" s="314" t="s">
        <v>203</v>
      </c>
      <c r="TUD17" s="314" t="s">
        <v>203</v>
      </c>
      <c r="TUE17" s="314" t="s">
        <v>203</v>
      </c>
      <c r="TUF17" s="314" t="s">
        <v>203</v>
      </c>
      <c r="TUG17" s="314" t="s">
        <v>203</v>
      </c>
      <c r="TUH17" s="314" t="s">
        <v>203</v>
      </c>
      <c r="TUI17" s="314" t="s">
        <v>203</v>
      </c>
      <c r="TUJ17" s="314" t="s">
        <v>203</v>
      </c>
      <c r="TUK17" s="314" t="s">
        <v>203</v>
      </c>
      <c r="TUL17" s="314" t="s">
        <v>203</v>
      </c>
      <c r="TUM17" s="314" t="s">
        <v>203</v>
      </c>
      <c r="TUN17" s="314" t="s">
        <v>203</v>
      </c>
      <c r="TUO17" s="314" t="s">
        <v>203</v>
      </c>
      <c r="TUP17" s="314" t="s">
        <v>203</v>
      </c>
      <c r="TUQ17" s="314" t="s">
        <v>203</v>
      </c>
      <c r="TUR17" s="314" t="s">
        <v>203</v>
      </c>
      <c r="TUS17" s="314" t="s">
        <v>203</v>
      </c>
      <c r="TUT17" s="314" t="s">
        <v>203</v>
      </c>
      <c r="TUU17" s="314" t="s">
        <v>203</v>
      </c>
      <c r="TUV17" s="314" t="s">
        <v>203</v>
      </c>
      <c r="TUW17" s="314" t="s">
        <v>203</v>
      </c>
      <c r="TUX17" s="314" t="s">
        <v>203</v>
      </c>
      <c r="TUY17" s="314" t="s">
        <v>203</v>
      </c>
      <c r="TUZ17" s="314" t="s">
        <v>203</v>
      </c>
      <c r="TVA17" s="314" t="s">
        <v>203</v>
      </c>
      <c r="TVB17" s="314" t="s">
        <v>203</v>
      </c>
      <c r="TVC17" s="314" t="s">
        <v>203</v>
      </c>
      <c r="TVD17" s="314" t="s">
        <v>203</v>
      </c>
      <c r="TVE17" s="314" t="s">
        <v>203</v>
      </c>
      <c r="TVF17" s="314" t="s">
        <v>203</v>
      </c>
      <c r="TVG17" s="314" t="s">
        <v>203</v>
      </c>
      <c r="TVH17" s="314" t="s">
        <v>203</v>
      </c>
      <c r="TVI17" s="314" t="s">
        <v>203</v>
      </c>
      <c r="TVJ17" s="314" t="s">
        <v>203</v>
      </c>
      <c r="TVK17" s="314" t="s">
        <v>203</v>
      </c>
      <c r="TVL17" s="314" t="s">
        <v>203</v>
      </c>
      <c r="TVM17" s="314" t="s">
        <v>203</v>
      </c>
      <c r="TVN17" s="314" t="s">
        <v>203</v>
      </c>
      <c r="TVO17" s="314" t="s">
        <v>203</v>
      </c>
      <c r="TVP17" s="314" t="s">
        <v>203</v>
      </c>
      <c r="TVQ17" s="314" t="s">
        <v>203</v>
      </c>
      <c r="TVR17" s="314" t="s">
        <v>203</v>
      </c>
      <c r="TVS17" s="314" t="s">
        <v>203</v>
      </c>
      <c r="TVT17" s="314" t="s">
        <v>203</v>
      </c>
      <c r="TVU17" s="314" t="s">
        <v>203</v>
      </c>
      <c r="TVV17" s="314" t="s">
        <v>203</v>
      </c>
      <c r="TVW17" s="314" t="s">
        <v>203</v>
      </c>
      <c r="TVX17" s="314" t="s">
        <v>203</v>
      </c>
      <c r="TVY17" s="314" t="s">
        <v>203</v>
      </c>
      <c r="TVZ17" s="314" t="s">
        <v>203</v>
      </c>
      <c r="TWA17" s="314" t="s">
        <v>203</v>
      </c>
      <c r="TWB17" s="314" t="s">
        <v>203</v>
      </c>
      <c r="TWC17" s="314" t="s">
        <v>203</v>
      </c>
      <c r="TWD17" s="314" t="s">
        <v>203</v>
      </c>
      <c r="TWE17" s="314" t="s">
        <v>203</v>
      </c>
      <c r="TWF17" s="314" t="s">
        <v>203</v>
      </c>
      <c r="TWG17" s="314" t="s">
        <v>203</v>
      </c>
      <c r="TWH17" s="314" t="s">
        <v>203</v>
      </c>
      <c r="TWI17" s="314" t="s">
        <v>203</v>
      </c>
      <c r="TWJ17" s="314" t="s">
        <v>203</v>
      </c>
      <c r="TWK17" s="314" t="s">
        <v>203</v>
      </c>
      <c r="TWL17" s="314" t="s">
        <v>203</v>
      </c>
      <c r="TWM17" s="314" t="s">
        <v>203</v>
      </c>
      <c r="TWN17" s="314" t="s">
        <v>203</v>
      </c>
      <c r="TWO17" s="314" t="s">
        <v>203</v>
      </c>
      <c r="TWP17" s="314" t="s">
        <v>203</v>
      </c>
      <c r="TWQ17" s="314" t="s">
        <v>203</v>
      </c>
      <c r="TWR17" s="314" t="s">
        <v>203</v>
      </c>
      <c r="TWS17" s="314" t="s">
        <v>203</v>
      </c>
      <c r="TWT17" s="314" t="s">
        <v>203</v>
      </c>
      <c r="TWU17" s="314" t="s">
        <v>203</v>
      </c>
      <c r="TWV17" s="314" t="s">
        <v>203</v>
      </c>
      <c r="TWW17" s="314" t="s">
        <v>203</v>
      </c>
      <c r="TWX17" s="314" t="s">
        <v>203</v>
      </c>
      <c r="TWY17" s="314" t="s">
        <v>203</v>
      </c>
      <c r="TWZ17" s="314" t="s">
        <v>203</v>
      </c>
      <c r="TXA17" s="314" t="s">
        <v>203</v>
      </c>
      <c r="TXB17" s="314" t="s">
        <v>203</v>
      </c>
      <c r="TXC17" s="314" t="s">
        <v>203</v>
      </c>
      <c r="TXD17" s="314" t="s">
        <v>203</v>
      </c>
      <c r="TXE17" s="314" t="s">
        <v>203</v>
      </c>
      <c r="TXF17" s="314" t="s">
        <v>203</v>
      </c>
      <c r="TXG17" s="314" t="s">
        <v>203</v>
      </c>
      <c r="TXH17" s="314" t="s">
        <v>203</v>
      </c>
      <c r="TXI17" s="314" t="s">
        <v>203</v>
      </c>
      <c r="TXJ17" s="314" t="s">
        <v>203</v>
      </c>
      <c r="TXK17" s="314" t="s">
        <v>203</v>
      </c>
      <c r="TXL17" s="314" t="s">
        <v>203</v>
      </c>
      <c r="TXM17" s="314" t="s">
        <v>203</v>
      </c>
      <c r="TXN17" s="314" t="s">
        <v>203</v>
      </c>
      <c r="TXO17" s="314" t="s">
        <v>203</v>
      </c>
      <c r="TXP17" s="314" t="s">
        <v>203</v>
      </c>
      <c r="TXQ17" s="314" t="s">
        <v>203</v>
      </c>
      <c r="TXR17" s="314" t="s">
        <v>203</v>
      </c>
      <c r="TXS17" s="314" t="s">
        <v>203</v>
      </c>
      <c r="TXT17" s="314" t="s">
        <v>203</v>
      </c>
      <c r="TXU17" s="314" t="s">
        <v>203</v>
      </c>
      <c r="TXV17" s="314" t="s">
        <v>203</v>
      </c>
      <c r="TXW17" s="314" t="s">
        <v>203</v>
      </c>
      <c r="TXX17" s="314" t="s">
        <v>203</v>
      </c>
      <c r="TXY17" s="314" t="s">
        <v>203</v>
      </c>
      <c r="TXZ17" s="314" t="s">
        <v>203</v>
      </c>
      <c r="TYA17" s="314" t="s">
        <v>203</v>
      </c>
      <c r="TYB17" s="314" t="s">
        <v>203</v>
      </c>
      <c r="TYC17" s="314" t="s">
        <v>203</v>
      </c>
      <c r="TYD17" s="314" t="s">
        <v>203</v>
      </c>
      <c r="TYE17" s="314" t="s">
        <v>203</v>
      </c>
      <c r="TYF17" s="314" t="s">
        <v>203</v>
      </c>
      <c r="TYG17" s="314" t="s">
        <v>203</v>
      </c>
      <c r="TYH17" s="314" t="s">
        <v>203</v>
      </c>
      <c r="TYI17" s="314" t="s">
        <v>203</v>
      </c>
      <c r="TYJ17" s="314" t="s">
        <v>203</v>
      </c>
      <c r="TYK17" s="314" t="s">
        <v>203</v>
      </c>
      <c r="TYL17" s="314" t="s">
        <v>203</v>
      </c>
      <c r="TYM17" s="314" t="s">
        <v>203</v>
      </c>
      <c r="TYN17" s="314" t="s">
        <v>203</v>
      </c>
      <c r="TYO17" s="314" t="s">
        <v>203</v>
      </c>
      <c r="TYP17" s="314" t="s">
        <v>203</v>
      </c>
      <c r="TYQ17" s="314" t="s">
        <v>203</v>
      </c>
      <c r="TYR17" s="314" t="s">
        <v>203</v>
      </c>
      <c r="TYS17" s="314" t="s">
        <v>203</v>
      </c>
      <c r="TYT17" s="314" t="s">
        <v>203</v>
      </c>
      <c r="TYU17" s="314" t="s">
        <v>203</v>
      </c>
      <c r="TYV17" s="314" t="s">
        <v>203</v>
      </c>
      <c r="TYW17" s="314" t="s">
        <v>203</v>
      </c>
      <c r="TYX17" s="314" t="s">
        <v>203</v>
      </c>
      <c r="TYY17" s="314" t="s">
        <v>203</v>
      </c>
      <c r="TYZ17" s="314" t="s">
        <v>203</v>
      </c>
      <c r="TZA17" s="314" t="s">
        <v>203</v>
      </c>
      <c r="TZB17" s="314" t="s">
        <v>203</v>
      </c>
      <c r="TZC17" s="314" t="s">
        <v>203</v>
      </c>
      <c r="TZD17" s="314" t="s">
        <v>203</v>
      </c>
      <c r="TZE17" s="314" t="s">
        <v>203</v>
      </c>
      <c r="TZF17" s="314" t="s">
        <v>203</v>
      </c>
      <c r="TZG17" s="314" t="s">
        <v>203</v>
      </c>
      <c r="TZH17" s="314" t="s">
        <v>203</v>
      </c>
      <c r="TZI17" s="314" t="s">
        <v>203</v>
      </c>
      <c r="TZJ17" s="314" t="s">
        <v>203</v>
      </c>
      <c r="TZK17" s="314" t="s">
        <v>203</v>
      </c>
      <c r="TZL17" s="314" t="s">
        <v>203</v>
      </c>
      <c r="TZM17" s="314" t="s">
        <v>203</v>
      </c>
      <c r="TZN17" s="314" t="s">
        <v>203</v>
      </c>
      <c r="TZO17" s="314" t="s">
        <v>203</v>
      </c>
      <c r="TZP17" s="314" t="s">
        <v>203</v>
      </c>
      <c r="TZQ17" s="314" t="s">
        <v>203</v>
      </c>
      <c r="TZR17" s="314" t="s">
        <v>203</v>
      </c>
      <c r="TZS17" s="314" t="s">
        <v>203</v>
      </c>
      <c r="TZT17" s="314" t="s">
        <v>203</v>
      </c>
      <c r="TZU17" s="314" t="s">
        <v>203</v>
      </c>
      <c r="TZV17" s="314" t="s">
        <v>203</v>
      </c>
      <c r="TZW17" s="314" t="s">
        <v>203</v>
      </c>
      <c r="TZX17" s="314" t="s">
        <v>203</v>
      </c>
      <c r="TZY17" s="314" t="s">
        <v>203</v>
      </c>
      <c r="TZZ17" s="314" t="s">
        <v>203</v>
      </c>
      <c r="UAA17" s="314" t="s">
        <v>203</v>
      </c>
      <c r="UAB17" s="314" t="s">
        <v>203</v>
      </c>
      <c r="UAC17" s="314" t="s">
        <v>203</v>
      </c>
      <c r="UAD17" s="314" t="s">
        <v>203</v>
      </c>
      <c r="UAE17" s="314" t="s">
        <v>203</v>
      </c>
      <c r="UAF17" s="314" t="s">
        <v>203</v>
      </c>
      <c r="UAG17" s="314" t="s">
        <v>203</v>
      </c>
      <c r="UAH17" s="314" t="s">
        <v>203</v>
      </c>
      <c r="UAI17" s="314" t="s">
        <v>203</v>
      </c>
      <c r="UAJ17" s="314" t="s">
        <v>203</v>
      </c>
      <c r="UAK17" s="314" t="s">
        <v>203</v>
      </c>
      <c r="UAL17" s="314" t="s">
        <v>203</v>
      </c>
      <c r="UAM17" s="314" t="s">
        <v>203</v>
      </c>
      <c r="UAN17" s="314" t="s">
        <v>203</v>
      </c>
      <c r="UAO17" s="314" t="s">
        <v>203</v>
      </c>
      <c r="UAP17" s="314" t="s">
        <v>203</v>
      </c>
      <c r="UAQ17" s="314" t="s">
        <v>203</v>
      </c>
      <c r="UAR17" s="314" t="s">
        <v>203</v>
      </c>
      <c r="UAS17" s="314" t="s">
        <v>203</v>
      </c>
      <c r="UAT17" s="314" t="s">
        <v>203</v>
      </c>
      <c r="UAU17" s="314" t="s">
        <v>203</v>
      </c>
      <c r="UAV17" s="314" t="s">
        <v>203</v>
      </c>
      <c r="UAW17" s="314" t="s">
        <v>203</v>
      </c>
      <c r="UAX17" s="314" t="s">
        <v>203</v>
      </c>
      <c r="UAY17" s="314" t="s">
        <v>203</v>
      </c>
      <c r="UAZ17" s="314" t="s">
        <v>203</v>
      </c>
      <c r="UBA17" s="314" t="s">
        <v>203</v>
      </c>
      <c r="UBB17" s="314" t="s">
        <v>203</v>
      </c>
      <c r="UBC17" s="314" t="s">
        <v>203</v>
      </c>
      <c r="UBD17" s="314" t="s">
        <v>203</v>
      </c>
      <c r="UBE17" s="314" t="s">
        <v>203</v>
      </c>
      <c r="UBF17" s="314" t="s">
        <v>203</v>
      </c>
      <c r="UBG17" s="314" t="s">
        <v>203</v>
      </c>
      <c r="UBH17" s="314" t="s">
        <v>203</v>
      </c>
      <c r="UBI17" s="314" t="s">
        <v>203</v>
      </c>
      <c r="UBJ17" s="314" t="s">
        <v>203</v>
      </c>
      <c r="UBK17" s="314" t="s">
        <v>203</v>
      </c>
      <c r="UBL17" s="314" t="s">
        <v>203</v>
      </c>
      <c r="UBM17" s="314" t="s">
        <v>203</v>
      </c>
      <c r="UBN17" s="314" t="s">
        <v>203</v>
      </c>
      <c r="UBO17" s="314" t="s">
        <v>203</v>
      </c>
      <c r="UBP17" s="314" t="s">
        <v>203</v>
      </c>
      <c r="UBQ17" s="314" t="s">
        <v>203</v>
      </c>
      <c r="UBR17" s="314" t="s">
        <v>203</v>
      </c>
      <c r="UBS17" s="314" t="s">
        <v>203</v>
      </c>
      <c r="UBT17" s="314" t="s">
        <v>203</v>
      </c>
      <c r="UBU17" s="314" t="s">
        <v>203</v>
      </c>
      <c r="UBV17" s="314" t="s">
        <v>203</v>
      </c>
      <c r="UBW17" s="314" t="s">
        <v>203</v>
      </c>
      <c r="UBX17" s="314" t="s">
        <v>203</v>
      </c>
      <c r="UBY17" s="314" t="s">
        <v>203</v>
      </c>
      <c r="UBZ17" s="314" t="s">
        <v>203</v>
      </c>
      <c r="UCA17" s="314" t="s">
        <v>203</v>
      </c>
      <c r="UCB17" s="314" t="s">
        <v>203</v>
      </c>
      <c r="UCC17" s="314" t="s">
        <v>203</v>
      </c>
      <c r="UCD17" s="314" t="s">
        <v>203</v>
      </c>
      <c r="UCE17" s="314" t="s">
        <v>203</v>
      </c>
      <c r="UCF17" s="314" t="s">
        <v>203</v>
      </c>
      <c r="UCG17" s="314" t="s">
        <v>203</v>
      </c>
      <c r="UCH17" s="314" t="s">
        <v>203</v>
      </c>
      <c r="UCI17" s="314" t="s">
        <v>203</v>
      </c>
      <c r="UCJ17" s="314" t="s">
        <v>203</v>
      </c>
      <c r="UCK17" s="314" t="s">
        <v>203</v>
      </c>
      <c r="UCL17" s="314" t="s">
        <v>203</v>
      </c>
      <c r="UCM17" s="314" t="s">
        <v>203</v>
      </c>
      <c r="UCN17" s="314" t="s">
        <v>203</v>
      </c>
      <c r="UCO17" s="314" t="s">
        <v>203</v>
      </c>
      <c r="UCP17" s="314" t="s">
        <v>203</v>
      </c>
      <c r="UCQ17" s="314" t="s">
        <v>203</v>
      </c>
      <c r="UCR17" s="314" t="s">
        <v>203</v>
      </c>
      <c r="UCS17" s="314" t="s">
        <v>203</v>
      </c>
      <c r="UCT17" s="314" t="s">
        <v>203</v>
      </c>
      <c r="UCU17" s="314" t="s">
        <v>203</v>
      </c>
      <c r="UCV17" s="314" t="s">
        <v>203</v>
      </c>
      <c r="UCW17" s="314" t="s">
        <v>203</v>
      </c>
      <c r="UCX17" s="314" t="s">
        <v>203</v>
      </c>
      <c r="UCY17" s="314" t="s">
        <v>203</v>
      </c>
      <c r="UCZ17" s="314" t="s">
        <v>203</v>
      </c>
      <c r="UDA17" s="314" t="s">
        <v>203</v>
      </c>
      <c r="UDB17" s="314" t="s">
        <v>203</v>
      </c>
      <c r="UDC17" s="314" t="s">
        <v>203</v>
      </c>
      <c r="UDD17" s="314" t="s">
        <v>203</v>
      </c>
      <c r="UDE17" s="314" t="s">
        <v>203</v>
      </c>
      <c r="UDF17" s="314" t="s">
        <v>203</v>
      </c>
      <c r="UDG17" s="314" t="s">
        <v>203</v>
      </c>
      <c r="UDH17" s="314" t="s">
        <v>203</v>
      </c>
      <c r="UDI17" s="314" t="s">
        <v>203</v>
      </c>
      <c r="UDJ17" s="314" t="s">
        <v>203</v>
      </c>
      <c r="UDK17" s="314" t="s">
        <v>203</v>
      </c>
      <c r="UDL17" s="314" t="s">
        <v>203</v>
      </c>
      <c r="UDM17" s="314" t="s">
        <v>203</v>
      </c>
      <c r="UDN17" s="314" t="s">
        <v>203</v>
      </c>
      <c r="UDO17" s="314" t="s">
        <v>203</v>
      </c>
      <c r="UDP17" s="314" t="s">
        <v>203</v>
      </c>
      <c r="UDQ17" s="314" t="s">
        <v>203</v>
      </c>
      <c r="UDR17" s="314" t="s">
        <v>203</v>
      </c>
      <c r="UDS17" s="314" t="s">
        <v>203</v>
      </c>
      <c r="UDT17" s="314" t="s">
        <v>203</v>
      </c>
      <c r="UDU17" s="314" t="s">
        <v>203</v>
      </c>
      <c r="UDV17" s="314" t="s">
        <v>203</v>
      </c>
      <c r="UDW17" s="314" t="s">
        <v>203</v>
      </c>
      <c r="UDX17" s="314" t="s">
        <v>203</v>
      </c>
      <c r="UDY17" s="314" t="s">
        <v>203</v>
      </c>
      <c r="UDZ17" s="314" t="s">
        <v>203</v>
      </c>
      <c r="UEA17" s="314" t="s">
        <v>203</v>
      </c>
      <c r="UEB17" s="314" t="s">
        <v>203</v>
      </c>
      <c r="UEC17" s="314" t="s">
        <v>203</v>
      </c>
      <c r="UED17" s="314" t="s">
        <v>203</v>
      </c>
      <c r="UEE17" s="314" t="s">
        <v>203</v>
      </c>
      <c r="UEF17" s="314" t="s">
        <v>203</v>
      </c>
      <c r="UEG17" s="314" t="s">
        <v>203</v>
      </c>
      <c r="UEH17" s="314" t="s">
        <v>203</v>
      </c>
      <c r="UEI17" s="314" t="s">
        <v>203</v>
      </c>
      <c r="UEJ17" s="314" t="s">
        <v>203</v>
      </c>
      <c r="UEK17" s="314" t="s">
        <v>203</v>
      </c>
      <c r="UEL17" s="314" t="s">
        <v>203</v>
      </c>
      <c r="UEM17" s="314" t="s">
        <v>203</v>
      </c>
      <c r="UEN17" s="314" t="s">
        <v>203</v>
      </c>
      <c r="UEO17" s="314" t="s">
        <v>203</v>
      </c>
      <c r="UEP17" s="314" t="s">
        <v>203</v>
      </c>
      <c r="UEQ17" s="314" t="s">
        <v>203</v>
      </c>
      <c r="UER17" s="314" t="s">
        <v>203</v>
      </c>
      <c r="UES17" s="314" t="s">
        <v>203</v>
      </c>
      <c r="UET17" s="314" t="s">
        <v>203</v>
      </c>
      <c r="UEU17" s="314" t="s">
        <v>203</v>
      </c>
      <c r="UEV17" s="314" t="s">
        <v>203</v>
      </c>
      <c r="UEW17" s="314" t="s">
        <v>203</v>
      </c>
      <c r="UEX17" s="314" t="s">
        <v>203</v>
      </c>
      <c r="UEY17" s="314" t="s">
        <v>203</v>
      </c>
      <c r="UEZ17" s="314" t="s">
        <v>203</v>
      </c>
      <c r="UFA17" s="314" t="s">
        <v>203</v>
      </c>
      <c r="UFB17" s="314" t="s">
        <v>203</v>
      </c>
      <c r="UFC17" s="314" t="s">
        <v>203</v>
      </c>
      <c r="UFD17" s="314" t="s">
        <v>203</v>
      </c>
      <c r="UFE17" s="314" t="s">
        <v>203</v>
      </c>
      <c r="UFF17" s="314" t="s">
        <v>203</v>
      </c>
      <c r="UFG17" s="314" t="s">
        <v>203</v>
      </c>
      <c r="UFH17" s="314" t="s">
        <v>203</v>
      </c>
      <c r="UFI17" s="314" t="s">
        <v>203</v>
      </c>
      <c r="UFJ17" s="314" t="s">
        <v>203</v>
      </c>
      <c r="UFK17" s="314" t="s">
        <v>203</v>
      </c>
      <c r="UFL17" s="314" t="s">
        <v>203</v>
      </c>
      <c r="UFM17" s="314" t="s">
        <v>203</v>
      </c>
      <c r="UFN17" s="314" t="s">
        <v>203</v>
      </c>
      <c r="UFO17" s="314" t="s">
        <v>203</v>
      </c>
      <c r="UFP17" s="314" t="s">
        <v>203</v>
      </c>
      <c r="UFQ17" s="314" t="s">
        <v>203</v>
      </c>
      <c r="UFR17" s="314" t="s">
        <v>203</v>
      </c>
      <c r="UFS17" s="314" t="s">
        <v>203</v>
      </c>
      <c r="UFT17" s="314" t="s">
        <v>203</v>
      </c>
      <c r="UFU17" s="314" t="s">
        <v>203</v>
      </c>
      <c r="UFV17" s="314" t="s">
        <v>203</v>
      </c>
      <c r="UFW17" s="314" t="s">
        <v>203</v>
      </c>
      <c r="UFX17" s="314" t="s">
        <v>203</v>
      </c>
      <c r="UFY17" s="314" t="s">
        <v>203</v>
      </c>
      <c r="UFZ17" s="314" t="s">
        <v>203</v>
      </c>
      <c r="UGA17" s="314" t="s">
        <v>203</v>
      </c>
      <c r="UGB17" s="314" t="s">
        <v>203</v>
      </c>
      <c r="UGC17" s="314" t="s">
        <v>203</v>
      </c>
      <c r="UGD17" s="314" t="s">
        <v>203</v>
      </c>
      <c r="UGE17" s="314" t="s">
        <v>203</v>
      </c>
      <c r="UGF17" s="314" t="s">
        <v>203</v>
      </c>
      <c r="UGG17" s="314" t="s">
        <v>203</v>
      </c>
      <c r="UGH17" s="314" t="s">
        <v>203</v>
      </c>
      <c r="UGI17" s="314" t="s">
        <v>203</v>
      </c>
      <c r="UGJ17" s="314" t="s">
        <v>203</v>
      </c>
      <c r="UGK17" s="314" t="s">
        <v>203</v>
      </c>
      <c r="UGL17" s="314" t="s">
        <v>203</v>
      </c>
      <c r="UGM17" s="314" t="s">
        <v>203</v>
      </c>
      <c r="UGN17" s="314" t="s">
        <v>203</v>
      </c>
      <c r="UGO17" s="314" t="s">
        <v>203</v>
      </c>
      <c r="UGP17" s="314" t="s">
        <v>203</v>
      </c>
      <c r="UGQ17" s="314" t="s">
        <v>203</v>
      </c>
      <c r="UGR17" s="314" t="s">
        <v>203</v>
      </c>
      <c r="UGS17" s="314" t="s">
        <v>203</v>
      </c>
      <c r="UGT17" s="314" t="s">
        <v>203</v>
      </c>
      <c r="UGU17" s="314" t="s">
        <v>203</v>
      </c>
      <c r="UGV17" s="314" t="s">
        <v>203</v>
      </c>
      <c r="UGW17" s="314" t="s">
        <v>203</v>
      </c>
      <c r="UGX17" s="314" t="s">
        <v>203</v>
      </c>
      <c r="UGY17" s="314" t="s">
        <v>203</v>
      </c>
      <c r="UGZ17" s="314" t="s">
        <v>203</v>
      </c>
      <c r="UHA17" s="314" t="s">
        <v>203</v>
      </c>
      <c r="UHB17" s="314" t="s">
        <v>203</v>
      </c>
      <c r="UHC17" s="314" t="s">
        <v>203</v>
      </c>
      <c r="UHD17" s="314" t="s">
        <v>203</v>
      </c>
      <c r="UHE17" s="314" t="s">
        <v>203</v>
      </c>
      <c r="UHF17" s="314" t="s">
        <v>203</v>
      </c>
      <c r="UHG17" s="314" t="s">
        <v>203</v>
      </c>
      <c r="UHH17" s="314" t="s">
        <v>203</v>
      </c>
      <c r="UHI17" s="314" t="s">
        <v>203</v>
      </c>
      <c r="UHJ17" s="314" t="s">
        <v>203</v>
      </c>
      <c r="UHK17" s="314" t="s">
        <v>203</v>
      </c>
      <c r="UHL17" s="314" t="s">
        <v>203</v>
      </c>
      <c r="UHM17" s="314" t="s">
        <v>203</v>
      </c>
      <c r="UHN17" s="314" t="s">
        <v>203</v>
      </c>
      <c r="UHO17" s="314" t="s">
        <v>203</v>
      </c>
      <c r="UHP17" s="314" t="s">
        <v>203</v>
      </c>
      <c r="UHQ17" s="314" t="s">
        <v>203</v>
      </c>
      <c r="UHR17" s="314" t="s">
        <v>203</v>
      </c>
      <c r="UHS17" s="314" t="s">
        <v>203</v>
      </c>
      <c r="UHT17" s="314" t="s">
        <v>203</v>
      </c>
      <c r="UHU17" s="314" t="s">
        <v>203</v>
      </c>
      <c r="UHV17" s="314" t="s">
        <v>203</v>
      </c>
      <c r="UHW17" s="314" t="s">
        <v>203</v>
      </c>
      <c r="UHX17" s="314" t="s">
        <v>203</v>
      </c>
      <c r="UHY17" s="314" t="s">
        <v>203</v>
      </c>
      <c r="UHZ17" s="314" t="s">
        <v>203</v>
      </c>
      <c r="UIA17" s="314" t="s">
        <v>203</v>
      </c>
      <c r="UIB17" s="314" t="s">
        <v>203</v>
      </c>
      <c r="UIC17" s="314" t="s">
        <v>203</v>
      </c>
      <c r="UID17" s="314" t="s">
        <v>203</v>
      </c>
      <c r="UIE17" s="314" t="s">
        <v>203</v>
      </c>
      <c r="UIF17" s="314" t="s">
        <v>203</v>
      </c>
      <c r="UIG17" s="314" t="s">
        <v>203</v>
      </c>
      <c r="UIH17" s="314" t="s">
        <v>203</v>
      </c>
      <c r="UII17" s="314" t="s">
        <v>203</v>
      </c>
      <c r="UIJ17" s="314" t="s">
        <v>203</v>
      </c>
      <c r="UIK17" s="314" t="s">
        <v>203</v>
      </c>
      <c r="UIL17" s="314" t="s">
        <v>203</v>
      </c>
      <c r="UIM17" s="314" t="s">
        <v>203</v>
      </c>
      <c r="UIN17" s="314" t="s">
        <v>203</v>
      </c>
      <c r="UIO17" s="314" t="s">
        <v>203</v>
      </c>
      <c r="UIP17" s="314" t="s">
        <v>203</v>
      </c>
      <c r="UIQ17" s="314" t="s">
        <v>203</v>
      </c>
      <c r="UIR17" s="314" t="s">
        <v>203</v>
      </c>
      <c r="UIS17" s="314" t="s">
        <v>203</v>
      </c>
      <c r="UIT17" s="314" t="s">
        <v>203</v>
      </c>
      <c r="UIU17" s="314" t="s">
        <v>203</v>
      </c>
      <c r="UIV17" s="314" t="s">
        <v>203</v>
      </c>
      <c r="UIW17" s="314" t="s">
        <v>203</v>
      </c>
      <c r="UIX17" s="314" t="s">
        <v>203</v>
      </c>
      <c r="UIY17" s="314" t="s">
        <v>203</v>
      </c>
      <c r="UIZ17" s="314" t="s">
        <v>203</v>
      </c>
      <c r="UJA17" s="314" t="s">
        <v>203</v>
      </c>
      <c r="UJB17" s="314" t="s">
        <v>203</v>
      </c>
      <c r="UJC17" s="314" t="s">
        <v>203</v>
      </c>
      <c r="UJD17" s="314" t="s">
        <v>203</v>
      </c>
      <c r="UJE17" s="314" t="s">
        <v>203</v>
      </c>
      <c r="UJF17" s="314" t="s">
        <v>203</v>
      </c>
      <c r="UJG17" s="314" t="s">
        <v>203</v>
      </c>
      <c r="UJH17" s="314" t="s">
        <v>203</v>
      </c>
      <c r="UJI17" s="314" t="s">
        <v>203</v>
      </c>
      <c r="UJJ17" s="314" t="s">
        <v>203</v>
      </c>
      <c r="UJK17" s="314" t="s">
        <v>203</v>
      </c>
      <c r="UJL17" s="314" t="s">
        <v>203</v>
      </c>
      <c r="UJM17" s="314" t="s">
        <v>203</v>
      </c>
      <c r="UJN17" s="314" t="s">
        <v>203</v>
      </c>
      <c r="UJO17" s="314" t="s">
        <v>203</v>
      </c>
      <c r="UJP17" s="314" t="s">
        <v>203</v>
      </c>
      <c r="UJQ17" s="314" t="s">
        <v>203</v>
      </c>
      <c r="UJR17" s="314" t="s">
        <v>203</v>
      </c>
      <c r="UJS17" s="314" t="s">
        <v>203</v>
      </c>
      <c r="UJT17" s="314" t="s">
        <v>203</v>
      </c>
      <c r="UJU17" s="314" t="s">
        <v>203</v>
      </c>
      <c r="UJV17" s="314" t="s">
        <v>203</v>
      </c>
      <c r="UJW17" s="314" t="s">
        <v>203</v>
      </c>
      <c r="UJX17" s="314" t="s">
        <v>203</v>
      </c>
      <c r="UJY17" s="314" t="s">
        <v>203</v>
      </c>
      <c r="UJZ17" s="314" t="s">
        <v>203</v>
      </c>
      <c r="UKA17" s="314" t="s">
        <v>203</v>
      </c>
      <c r="UKB17" s="314" t="s">
        <v>203</v>
      </c>
      <c r="UKC17" s="314" t="s">
        <v>203</v>
      </c>
      <c r="UKD17" s="314" t="s">
        <v>203</v>
      </c>
      <c r="UKE17" s="314" t="s">
        <v>203</v>
      </c>
      <c r="UKF17" s="314" t="s">
        <v>203</v>
      </c>
      <c r="UKG17" s="314" t="s">
        <v>203</v>
      </c>
      <c r="UKH17" s="314" t="s">
        <v>203</v>
      </c>
      <c r="UKI17" s="314" t="s">
        <v>203</v>
      </c>
      <c r="UKJ17" s="314" t="s">
        <v>203</v>
      </c>
      <c r="UKK17" s="314" t="s">
        <v>203</v>
      </c>
      <c r="UKL17" s="314" t="s">
        <v>203</v>
      </c>
      <c r="UKM17" s="314" t="s">
        <v>203</v>
      </c>
      <c r="UKN17" s="314" t="s">
        <v>203</v>
      </c>
      <c r="UKO17" s="314" t="s">
        <v>203</v>
      </c>
      <c r="UKP17" s="314" t="s">
        <v>203</v>
      </c>
      <c r="UKQ17" s="314" t="s">
        <v>203</v>
      </c>
      <c r="UKR17" s="314" t="s">
        <v>203</v>
      </c>
      <c r="UKS17" s="314" t="s">
        <v>203</v>
      </c>
      <c r="UKT17" s="314" t="s">
        <v>203</v>
      </c>
      <c r="UKU17" s="314" t="s">
        <v>203</v>
      </c>
      <c r="UKV17" s="314" t="s">
        <v>203</v>
      </c>
      <c r="UKW17" s="314" t="s">
        <v>203</v>
      </c>
      <c r="UKX17" s="314" t="s">
        <v>203</v>
      </c>
      <c r="UKY17" s="314" t="s">
        <v>203</v>
      </c>
      <c r="UKZ17" s="314" t="s">
        <v>203</v>
      </c>
      <c r="ULA17" s="314" t="s">
        <v>203</v>
      </c>
      <c r="ULB17" s="314" t="s">
        <v>203</v>
      </c>
      <c r="ULC17" s="314" t="s">
        <v>203</v>
      </c>
      <c r="ULD17" s="314" t="s">
        <v>203</v>
      </c>
      <c r="ULE17" s="314" t="s">
        <v>203</v>
      </c>
      <c r="ULF17" s="314" t="s">
        <v>203</v>
      </c>
      <c r="ULG17" s="314" t="s">
        <v>203</v>
      </c>
      <c r="ULH17" s="314" t="s">
        <v>203</v>
      </c>
      <c r="ULI17" s="314" t="s">
        <v>203</v>
      </c>
      <c r="ULJ17" s="314" t="s">
        <v>203</v>
      </c>
      <c r="ULK17" s="314" t="s">
        <v>203</v>
      </c>
      <c r="ULL17" s="314" t="s">
        <v>203</v>
      </c>
      <c r="ULM17" s="314" t="s">
        <v>203</v>
      </c>
      <c r="ULN17" s="314" t="s">
        <v>203</v>
      </c>
      <c r="ULO17" s="314" t="s">
        <v>203</v>
      </c>
      <c r="ULP17" s="314" t="s">
        <v>203</v>
      </c>
      <c r="ULQ17" s="314" t="s">
        <v>203</v>
      </c>
      <c r="ULR17" s="314" t="s">
        <v>203</v>
      </c>
      <c r="ULS17" s="314" t="s">
        <v>203</v>
      </c>
      <c r="ULT17" s="314" t="s">
        <v>203</v>
      </c>
      <c r="ULU17" s="314" t="s">
        <v>203</v>
      </c>
      <c r="ULV17" s="314" t="s">
        <v>203</v>
      </c>
      <c r="ULW17" s="314" t="s">
        <v>203</v>
      </c>
      <c r="ULX17" s="314" t="s">
        <v>203</v>
      </c>
      <c r="ULY17" s="314" t="s">
        <v>203</v>
      </c>
      <c r="ULZ17" s="314" t="s">
        <v>203</v>
      </c>
      <c r="UMA17" s="314" t="s">
        <v>203</v>
      </c>
      <c r="UMB17" s="314" t="s">
        <v>203</v>
      </c>
      <c r="UMC17" s="314" t="s">
        <v>203</v>
      </c>
      <c r="UMD17" s="314" t="s">
        <v>203</v>
      </c>
      <c r="UME17" s="314" t="s">
        <v>203</v>
      </c>
      <c r="UMF17" s="314" t="s">
        <v>203</v>
      </c>
      <c r="UMG17" s="314" t="s">
        <v>203</v>
      </c>
      <c r="UMH17" s="314" t="s">
        <v>203</v>
      </c>
      <c r="UMI17" s="314" t="s">
        <v>203</v>
      </c>
      <c r="UMJ17" s="314" t="s">
        <v>203</v>
      </c>
      <c r="UMK17" s="314" t="s">
        <v>203</v>
      </c>
      <c r="UML17" s="314" t="s">
        <v>203</v>
      </c>
      <c r="UMM17" s="314" t="s">
        <v>203</v>
      </c>
      <c r="UMN17" s="314" t="s">
        <v>203</v>
      </c>
      <c r="UMO17" s="314" t="s">
        <v>203</v>
      </c>
      <c r="UMP17" s="314" t="s">
        <v>203</v>
      </c>
      <c r="UMQ17" s="314" t="s">
        <v>203</v>
      </c>
      <c r="UMR17" s="314" t="s">
        <v>203</v>
      </c>
      <c r="UMS17" s="314" t="s">
        <v>203</v>
      </c>
      <c r="UMT17" s="314" t="s">
        <v>203</v>
      </c>
      <c r="UMU17" s="314" t="s">
        <v>203</v>
      </c>
      <c r="UMV17" s="314" t="s">
        <v>203</v>
      </c>
      <c r="UMW17" s="314" t="s">
        <v>203</v>
      </c>
      <c r="UMX17" s="314" t="s">
        <v>203</v>
      </c>
      <c r="UMY17" s="314" t="s">
        <v>203</v>
      </c>
      <c r="UMZ17" s="314" t="s">
        <v>203</v>
      </c>
      <c r="UNA17" s="314" t="s">
        <v>203</v>
      </c>
      <c r="UNB17" s="314" t="s">
        <v>203</v>
      </c>
      <c r="UNC17" s="314" t="s">
        <v>203</v>
      </c>
      <c r="UND17" s="314" t="s">
        <v>203</v>
      </c>
      <c r="UNE17" s="314" t="s">
        <v>203</v>
      </c>
      <c r="UNF17" s="314" t="s">
        <v>203</v>
      </c>
      <c r="UNG17" s="314" t="s">
        <v>203</v>
      </c>
      <c r="UNH17" s="314" t="s">
        <v>203</v>
      </c>
      <c r="UNI17" s="314" t="s">
        <v>203</v>
      </c>
      <c r="UNJ17" s="314" t="s">
        <v>203</v>
      </c>
      <c r="UNK17" s="314" t="s">
        <v>203</v>
      </c>
      <c r="UNL17" s="314" t="s">
        <v>203</v>
      </c>
      <c r="UNM17" s="314" t="s">
        <v>203</v>
      </c>
      <c r="UNN17" s="314" t="s">
        <v>203</v>
      </c>
      <c r="UNO17" s="314" t="s">
        <v>203</v>
      </c>
      <c r="UNP17" s="314" t="s">
        <v>203</v>
      </c>
      <c r="UNQ17" s="314" t="s">
        <v>203</v>
      </c>
      <c r="UNR17" s="314" t="s">
        <v>203</v>
      </c>
      <c r="UNS17" s="314" t="s">
        <v>203</v>
      </c>
      <c r="UNT17" s="314" t="s">
        <v>203</v>
      </c>
      <c r="UNU17" s="314" t="s">
        <v>203</v>
      </c>
      <c r="UNV17" s="314" t="s">
        <v>203</v>
      </c>
      <c r="UNW17" s="314" t="s">
        <v>203</v>
      </c>
      <c r="UNX17" s="314" t="s">
        <v>203</v>
      </c>
      <c r="UNY17" s="314" t="s">
        <v>203</v>
      </c>
      <c r="UNZ17" s="314" t="s">
        <v>203</v>
      </c>
      <c r="UOA17" s="314" t="s">
        <v>203</v>
      </c>
      <c r="UOB17" s="314" t="s">
        <v>203</v>
      </c>
      <c r="UOC17" s="314" t="s">
        <v>203</v>
      </c>
      <c r="UOD17" s="314" t="s">
        <v>203</v>
      </c>
      <c r="UOE17" s="314" t="s">
        <v>203</v>
      </c>
      <c r="UOF17" s="314" t="s">
        <v>203</v>
      </c>
      <c r="UOG17" s="314" t="s">
        <v>203</v>
      </c>
      <c r="UOH17" s="314" t="s">
        <v>203</v>
      </c>
      <c r="UOI17" s="314" t="s">
        <v>203</v>
      </c>
      <c r="UOJ17" s="314" t="s">
        <v>203</v>
      </c>
      <c r="UOK17" s="314" t="s">
        <v>203</v>
      </c>
      <c r="UOL17" s="314" t="s">
        <v>203</v>
      </c>
      <c r="UOM17" s="314" t="s">
        <v>203</v>
      </c>
      <c r="UON17" s="314" t="s">
        <v>203</v>
      </c>
      <c r="UOO17" s="314" t="s">
        <v>203</v>
      </c>
      <c r="UOP17" s="314" t="s">
        <v>203</v>
      </c>
      <c r="UOQ17" s="314" t="s">
        <v>203</v>
      </c>
      <c r="UOR17" s="314" t="s">
        <v>203</v>
      </c>
      <c r="UOS17" s="314" t="s">
        <v>203</v>
      </c>
      <c r="UOT17" s="314" t="s">
        <v>203</v>
      </c>
      <c r="UOU17" s="314" t="s">
        <v>203</v>
      </c>
      <c r="UOV17" s="314" t="s">
        <v>203</v>
      </c>
      <c r="UOW17" s="314" t="s">
        <v>203</v>
      </c>
      <c r="UOX17" s="314" t="s">
        <v>203</v>
      </c>
      <c r="UOY17" s="314" t="s">
        <v>203</v>
      </c>
      <c r="UOZ17" s="314" t="s">
        <v>203</v>
      </c>
      <c r="UPA17" s="314" t="s">
        <v>203</v>
      </c>
      <c r="UPB17" s="314" t="s">
        <v>203</v>
      </c>
      <c r="UPC17" s="314" t="s">
        <v>203</v>
      </c>
      <c r="UPD17" s="314" t="s">
        <v>203</v>
      </c>
      <c r="UPE17" s="314" t="s">
        <v>203</v>
      </c>
      <c r="UPF17" s="314" t="s">
        <v>203</v>
      </c>
      <c r="UPG17" s="314" t="s">
        <v>203</v>
      </c>
      <c r="UPH17" s="314" t="s">
        <v>203</v>
      </c>
      <c r="UPI17" s="314" t="s">
        <v>203</v>
      </c>
      <c r="UPJ17" s="314" t="s">
        <v>203</v>
      </c>
      <c r="UPK17" s="314" t="s">
        <v>203</v>
      </c>
      <c r="UPL17" s="314" t="s">
        <v>203</v>
      </c>
      <c r="UPM17" s="314" t="s">
        <v>203</v>
      </c>
      <c r="UPN17" s="314" t="s">
        <v>203</v>
      </c>
      <c r="UPO17" s="314" t="s">
        <v>203</v>
      </c>
      <c r="UPP17" s="314" t="s">
        <v>203</v>
      </c>
      <c r="UPQ17" s="314" t="s">
        <v>203</v>
      </c>
      <c r="UPR17" s="314" t="s">
        <v>203</v>
      </c>
      <c r="UPS17" s="314" t="s">
        <v>203</v>
      </c>
      <c r="UPT17" s="314" t="s">
        <v>203</v>
      </c>
      <c r="UPU17" s="314" t="s">
        <v>203</v>
      </c>
      <c r="UPV17" s="314" t="s">
        <v>203</v>
      </c>
      <c r="UPW17" s="314" t="s">
        <v>203</v>
      </c>
      <c r="UPX17" s="314" t="s">
        <v>203</v>
      </c>
      <c r="UPY17" s="314" t="s">
        <v>203</v>
      </c>
      <c r="UPZ17" s="314" t="s">
        <v>203</v>
      </c>
      <c r="UQA17" s="314" t="s">
        <v>203</v>
      </c>
      <c r="UQB17" s="314" t="s">
        <v>203</v>
      </c>
      <c r="UQC17" s="314" t="s">
        <v>203</v>
      </c>
      <c r="UQD17" s="314" t="s">
        <v>203</v>
      </c>
      <c r="UQE17" s="314" t="s">
        <v>203</v>
      </c>
      <c r="UQF17" s="314" t="s">
        <v>203</v>
      </c>
      <c r="UQG17" s="314" t="s">
        <v>203</v>
      </c>
      <c r="UQH17" s="314" t="s">
        <v>203</v>
      </c>
      <c r="UQI17" s="314" t="s">
        <v>203</v>
      </c>
      <c r="UQJ17" s="314" t="s">
        <v>203</v>
      </c>
      <c r="UQK17" s="314" t="s">
        <v>203</v>
      </c>
      <c r="UQL17" s="314" t="s">
        <v>203</v>
      </c>
      <c r="UQM17" s="314" t="s">
        <v>203</v>
      </c>
      <c r="UQN17" s="314" t="s">
        <v>203</v>
      </c>
      <c r="UQO17" s="314" t="s">
        <v>203</v>
      </c>
      <c r="UQP17" s="314" t="s">
        <v>203</v>
      </c>
      <c r="UQQ17" s="314" t="s">
        <v>203</v>
      </c>
      <c r="UQR17" s="314" t="s">
        <v>203</v>
      </c>
      <c r="UQS17" s="314" t="s">
        <v>203</v>
      </c>
      <c r="UQT17" s="314" t="s">
        <v>203</v>
      </c>
      <c r="UQU17" s="314" t="s">
        <v>203</v>
      </c>
      <c r="UQV17" s="314" t="s">
        <v>203</v>
      </c>
      <c r="UQW17" s="314" t="s">
        <v>203</v>
      </c>
      <c r="UQX17" s="314" t="s">
        <v>203</v>
      </c>
      <c r="UQY17" s="314" t="s">
        <v>203</v>
      </c>
      <c r="UQZ17" s="314" t="s">
        <v>203</v>
      </c>
      <c r="URA17" s="314" t="s">
        <v>203</v>
      </c>
      <c r="URB17" s="314" t="s">
        <v>203</v>
      </c>
      <c r="URC17" s="314" t="s">
        <v>203</v>
      </c>
      <c r="URD17" s="314" t="s">
        <v>203</v>
      </c>
      <c r="URE17" s="314" t="s">
        <v>203</v>
      </c>
      <c r="URF17" s="314" t="s">
        <v>203</v>
      </c>
      <c r="URG17" s="314" t="s">
        <v>203</v>
      </c>
      <c r="URH17" s="314" t="s">
        <v>203</v>
      </c>
      <c r="URI17" s="314" t="s">
        <v>203</v>
      </c>
      <c r="URJ17" s="314" t="s">
        <v>203</v>
      </c>
      <c r="URK17" s="314" t="s">
        <v>203</v>
      </c>
      <c r="URL17" s="314" t="s">
        <v>203</v>
      </c>
      <c r="URM17" s="314" t="s">
        <v>203</v>
      </c>
      <c r="URN17" s="314" t="s">
        <v>203</v>
      </c>
      <c r="URO17" s="314" t="s">
        <v>203</v>
      </c>
      <c r="URP17" s="314" t="s">
        <v>203</v>
      </c>
      <c r="URQ17" s="314" t="s">
        <v>203</v>
      </c>
      <c r="URR17" s="314" t="s">
        <v>203</v>
      </c>
      <c r="URS17" s="314" t="s">
        <v>203</v>
      </c>
      <c r="URT17" s="314" t="s">
        <v>203</v>
      </c>
      <c r="URU17" s="314" t="s">
        <v>203</v>
      </c>
      <c r="URV17" s="314" t="s">
        <v>203</v>
      </c>
      <c r="URW17" s="314" t="s">
        <v>203</v>
      </c>
      <c r="URX17" s="314" t="s">
        <v>203</v>
      </c>
      <c r="URY17" s="314" t="s">
        <v>203</v>
      </c>
      <c r="URZ17" s="314" t="s">
        <v>203</v>
      </c>
      <c r="USA17" s="314" t="s">
        <v>203</v>
      </c>
      <c r="USB17" s="314" t="s">
        <v>203</v>
      </c>
      <c r="USC17" s="314" t="s">
        <v>203</v>
      </c>
      <c r="USD17" s="314" t="s">
        <v>203</v>
      </c>
      <c r="USE17" s="314" t="s">
        <v>203</v>
      </c>
      <c r="USF17" s="314" t="s">
        <v>203</v>
      </c>
      <c r="USG17" s="314" t="s">
        <v>203</v>
      </c>
      <c r="USH17" s="314" t="s">
        <v>203</v>
      </c>
      <c r="USI17" s="314" t="s">
        <v>203</v>
      </c>
      <c r="USJ17" s="314" t="s">
        <v>203</v>
      </c>
      <c r="USK17" s="314" t="s">
        <v>203</v>
      </c>
      <c r="USL17" s="314" t="s">
        <v>203</v>
      </c>
      <c r="USM17" s="314" t="s">
        <v>203</v>
      </c>
      <c r="USN17" s="314" t="s">
        <v>203</v>
      </c>
      <c r="USO17" s="314" t="s">
        <v>203</v>
      </c>
      <c r="USP17" s="314" t="s">
        <v>203</v>
      </c>
      <c r="USQ17" s="314" t="s">
        <v>203</v>
      </c>
      <c r="USR17" s="314" t="s">
        <v>203</v>
      </c>
      <c r="USS17" s="314" t="s">
        <v>203</v>
      </c>
      <c r="UST17" s="314" t="s">
        <v>203</v>
      </c>
      <c r="USU17" s="314" t="s">
        <v>203</v>
      </c>
      <c r="USV17" s="314" t="s">
        <v>203</v>
      </c>
      <c r="USW17" s="314" t="s">
        <v>203</v>
      </c>
      <c r="USX17" s="314" t="s">
        <v>203</v>
      </c>
      <c r="USY17" s="314" t="s">
        <v>203</v>
      </c>
      <c r="USZ17" s="314" t="s">
        <v>203</v>
      </c>
      <c r="UTA17" s="314" t="s">
        <v>203</v>
      </c>
      <c r="UTB17" s="314" t="s">
        <v>203</v>
      </c>
      <c r="UTC17" s="314" t="s">
        <v>203</v>
      </c>
      <c r="UTD17" s="314" t="s">
        <v>203</v>
      </c>
      <c r="UTE17" s="314" t="s">
        <v>203</v>
      </c>
      <c r="UTF17" s="314" t="s">
        <v>203</v>
      </c>
      <c r="UTG17" s="314" t="s">
        <v>203</v>
      </c>
      <c r="UTH17" s="314" t="s">
        <v>203</v>
      </c>
      <c r="UTI17" s="314" t="s">
        <v>203</v>
      </c>
      <c r="UTJ17" s="314" t="s">
        <v>203</v>
      </c>
      <c r="UTK17" s="314" t="s">
        <v>203</v>
      </c>
      <c r="UTL17" s="314" t="s">
        <v>203</v>
      </c>
      <c r="UTM17" s="314" t="s">
        <v>203</v>
      </c>
      <c r="UTN17" s="314" t="s">
        <v>203</v>
      </c>
      <c r="UTO17" s="314" t="s">
        <v>203</v>
      </c>
      <c r="UTP17" s="314" t="s">
        <v>203</v>
      </c>
      <c r="UTQ17" s="314" t="s">
        <v>203</v>
      </c>
      <c r="UTR17" s="314" t="s">
        <v>203</v>
      </c>
      <c r="UTS17" s="314" t="s">
        <v>203</v>
      </c>
      <c r="UTT17" s="314" t="s">
        <v>203</v>
      </c>
      <c r="UTU17" s="314" t="s">
        <v>203</v>
      </c>
      <c r="UTV17" s="314" t="s">
        <v>203</v>
      </c>
      <c r="UTW17" s="314" t="s">
        <v>203</v>
      </c>
      <c r="UTX17" s="314" t="s">
        <v>203</v>
      </c>
      <c r="UTY17" s="314" t="s">
        <v>203</v>
      </c>
      <c r="UTZ17" s="314" t="s">
        <v>203</v>
      </c>
      <c r="UUA17" s="314" t="s">
        <v>203</v>
      </c>
      <c r="UUB17" s="314" t="s">
        <v>203</v>
      </c>
      <c r="UUC17" s="314" t="s">
        <v>203</v>
      </c>
      <c r="UUD17" s="314" t="s">
        <v>203</v>
      </c>
      <c r="UUE17" s="314" t="s">
        <v>203</v>
      </c>
      <c r="UUF17" s="314" t="s">
        <v>203</v>
      </c>
      <c r="UUG17" s="314" t="s">
        <v>203</v>
      </c>
      <c r="UUH17" s="314" t="s">
        <v>203</v>
      </c>
      <c r="UUI17" s="314" t="s">
        <v>203</v>
      </c>
      <c r="UUJ17" s="314" t="s">
        <v>203</v>
      </c>
      <c r="UUK17" s="314" t="s">
        <v>203</v>
      </c>
      <c r="UUL17" s="314" t="s">
        <v>203</v>
      </c>
      <c r="UUM17" s="314" t="s">
        <v>203</v>
      </c>
      <c r="UUN17" s="314" t="s">
        <v>203</v>
      </c>
      <c r="UUO17" s="314" t="s">
        <v>203</v>
      </c>
      <c r="UUP17" s="314" t="s">
        <v>203</v>
      </c>
      <c r="UUQ17" s="314" t="s">
        <v>203</v>
      </c>
      <c r="UUR17" s="314" t="s">
        <v>203</v>
      </c>
      <c r="UUS17" s="314" t="s">
        <v>203</v>
      </c>
      <c r="UUT17" s="314" t="s">
        <v>203</v>
      </c>
      <c r="UUU17" s="314" t="s">
        <v>203</v>
      </c>
      <c r="UUV17" s="314" t="s">
        <v>203</v>
      </c>
      <c r="UUW17" s="314" t="s">
        <v>203</v>
      </c>
      <c r="UUX17" s="314" t="s">
        <v>203</v>
      </c>
      <c r="UUY17" s="314" t="s">
        <v>203</v>
      </c>
      <c r="UUZ17" s="314" t="s">
        <v>203</v>
      </c>
      <c r="UVA17" s="314" t="s">
        <v>203</v>
      </c>
      <c r="UVB17" s="314" t="s">
        <v>203</v>
      </c>
      <c r="UVC17" s="314" t="s">
        <v>203</v>
      </c>
      <c r="UVD17" s="314" t="s">
        <v>203</v>
      </c>
      <c r="UVE17" s="314" t="s">
        <v>203</v>
      </c>
      <c r="UVF17" s="314" t="s">
        <v>203</v>
      </c>
      <c r="UVG17" s="314" t="s">
        <v>203</v>
      </c>
      <c r="UVH17" s="314" t="s">
        <v>203</v>
      </c>
      <c r="UVI17" s="314" t="s">
        <v>203</v>
      </c>
      <c r="UVJ17" s="314" t="s">
        <v>203</v>
      </c>
      <c r="UVK17" s="314" t="s">
        <v>203</v>
      </c>
      <c r="UVL17" s="314" t="s">
        <v>203</v>
      </c>
      <c r="UVM17" s="314" t="s">
        <v>203</v>
      </c>
      <c r="UVN17" s="314" t="s">
        <v>203</v>
      </c>
      <c r="UVO17" s="314" t="s">
        <v>203</v>
      </c>
      <c r="UVP17" s="314" t="s">
        <v>203</v>
      </c>
      <c r="UVQ17" s="314" t="s">
        <v>203</v>
      </c>
      <c r="UVR17" s="314" t="s">
        <v>203</v>
      </c>
      <c r="UVS17" s="314" t="s">
        <v>203</v>
      </c>
      <c r="UVT17" s="314" t="s">
        <v>203</v>
      </c>
      <c r="UVU17" s="314" t="s">
        <v>203</v>
      </c>
      <c r="UVV17" s="314" t="s">
        <v>203</v>
      </c>
      <c r="UVW17" s="314" t="s">
        <v>203</v>
      </c>
      <c r="UVX17" s="314" t="s">
        <v>203</v>
      </c>
      <c r="UVY17" s="314" t="s">
        <v>203</v>
      </c>
      <c r="UVZ17" s="314" t="s">
        <v>203</v>
      </c>
      <c r="UWA17" s="314" t="s">
        <v>203</v>
      </c>
      <c r="UWB17" s="314" t="s">
        <v>203</v>
      </c>
      <c r="UWC17" s="314" t="s">
        <v>203</v>
      </c>
      <c r="UWD17" s="314" t="s">
        <v>203</v>
      </c>
      <c r="UWE17" s="314" t="s">
        <v>203</v>
      </c>
      <c r="UWF17" s="314" t="s">
        <v>203</v>
      </c>
      <c r="UWG17" s="314" t="s">
        <v>203</v>
      </c>
      <c r="UWH17" s="314" t="s">
        <v>203</v>
      </c>
      <c r="UWI17" s="314" t="s">
        <v>203</v>
      </c>
      <c r="UWJ17" s="314" t="s">
        <v>203</v>
      </c>
      <c r="UWK17" s="314" t="s">
        <v>203</v>
      </c>
      <c r="UWL17" s="314" t="s">
        <v>203</v>
      </c>
      <c r="UWM17" s="314" t="s">
        <v>203</v>
      </c>
      <c r="UWN17" s="314" t="s">
        <v>203</v>
      </c>
      <c r="UWO17" s="314" t="s">
        <v>203</v>
      </c>
      <c r="UWP17" s="314" t="s">
        <v>203</v>
      </c>
      <c r="UWQ17" s="314" t="s">
        <v>203</v>
      </c>
      <c r="UWR17" s="314" t="s">
        <v>203</v>
      </c>
      <c r="UWS17" s="314" t="s">
        <v>203</v>
      </c>
      <c r="UWT17" s="314" t="s">
        <v>203</v>
      </c>
      <c r="UWU17" s="314" t="s">
        <v>203</v>
      </c>
      <c r="UWV17" s="314" t="s">
        <v>203</v>
      </c>
      <c r="UWW17" s="314" t="s">
        <v>203</v>
      </c>
      <c r="UWX17" s="314" t="s">
        <v>203</v>
      </c>
      <c r="UWY17" s="314" t="s">
        <v>203</v>
      </c>
      <c r="UWZ17" s="314" t="s">
        <v>203</v>
      </c>
      <c r="UXA17" s="314" t="s">
        <v>203</v>
      </c>
      <c r="UXB17" s="314" t="s">
        <v>203</v>
      </c>
      <c r="UXC17" s="314" t="s">
        <v>203</v>
      </c>
      <c r="UXD17" s="314" t="s">
        <v>203</v>
      </c>
      <c r="UXE17" s="314" t="s">
        <v>203</v>
      </c>
      <c r="UXF17" s="314" t="s">
        <v>203</v>
      </c>
      <c r="UXG17" s="314" t="s">
        <v>203</v>
      </c>
      <c r="UXH17" s="314" t="s">
        <v>203</v>
      </c>
      <c r="UXI17" s="314" t="s">
        <v>203</v>
      </c>
      <c r="UXJ17" s="314" t="s">
        <v>203</v>
      </c>
      <c r="UXK17" s="314" t="s">
        <v>203</v>
      </c>
      <c r="UXL17" s="314" t="s">
        <v>203</v>
      </c>
      <c r="UXM17" s="314" t="s">
        <v>203</v>
      </c>
      <c r="UXN17" s="314" t="s">
        <v>203</v>
      </c>
      <c r="UXO17" s="314" t="s">
        <v>203</v>
      </c>
      <c r="UXP17" s="314" t="s">
        <v>203</v>
      </c>
      <c r="UXQ17" s="314" t="s">
        <v>203</v>
      </c>
      <c r="UXR17" s="314" t="s">
        <v>203</v>
      </c>
      <c r="UXS17" s="314" t="s">
        <v>203</v>
      </c>
      <c r="UXT17" s="314" t="s">
        <v>203</v>
      </c>
      <c r="UXU17" s="314" t="s">
        <v>203</v>
      </c>
      <c r="UXV17" s="314" t="s">
        <v>203</v>
      </c>
      <c r="UXW17" s="314" t="s">
        <v>203</v>
      </c>
      <c r="UXX17" s="314" t="s">
        <v>203</v>
      </c>
      <c r="UXY17" s="314" t="s">
        <v>203</v>
      </c>
      <c r="UXZ17" s="314" t="s">
        <v>203</v>
      </c>
      <c r="UYA17" s="314" t="s">
        <v>203</v>
      </c>
      <c r="UYB17" s="314" t="s">
        <v>203</v>
      </c>
      <c r="UYC17" s="314" t="s">
        <v>203</v>
      </c>
      <c r="UYD17" s="314" t="s">
        <v>203</v>
      </c>
      <c r="UYE17" s="314" t="s">
        <v>203</v>
      </c>
      <c r="UYF17" s="314" t="s">
        <v>203</v>
      </c>
      <c r="UYG17" s="314" t="s">
        <v>203</v>
      </c>
      <c r="UYH17" s="314" t="s">
        <v>203</v>
      </c>
      <c r="UYI17" s="314" t="s">
        <v>203</v>
      </c>
      <c r="UYJ17" s="314" t="s">
        <v>203</v>
      </c>
      <c r="UYK17" s="314" t="s">
        <v>203</v>
      </c>
      <c r="UYL17" s="314" t="s">
        <v>203</v>
      </c>
      <c r="UYM17" s="314" t="s">
        <v>203</v>
      </c>
      <c r="UYN17" s="314" t="s">
        <v>203</v>
      </c>
      <c r="UYO17" s="314" t="s">
        <v>203</v>
      </c>
      <c r="UYP17" s="314" t="s">
        <v>203</v>
      </c>
      <c r="UYQ17" s="314" t="s">
        <v>203</v>
      </c>
      <c r="UYR17" s="314" t="s">
        <v>203</v>
      </c>
      <c r="UYS17" s="314" t="s">
        <v>203</v>
      </c>
      <c r="UYT17" s="314" t="s">
        <v>203</v>
      </c>
      <c r="UYU17" s="314" t="s">
        <v>203</v>
      </c>
      <c r="UYV17" s="314" t="s">
        <v>203</v>
      </c>
      <c r="UYW17" s="314" t="s">
        <v>203</v>
      </c>
      <c r="UYX17" s="314" t="s">
        <v>203</v>
      </c>
      <c r="UYY17" s="314" t="s">
        <v>203</v>
      </c>
      <c r="UYZ17" s="314" t="s">
        <v>203</v>
      </c>
      <c r="UZA17" s="314" t="s">
        <v>203</v>
      </c>
      <c r="UZB17" s="314" t="s">
        <v>203</v>
      </c>
      <c r="UZC17" s="314" t="s">
        <v>203</v>
      </c>
      <c r="UZD17" s="314" t="s">
        <v>203</v>
      </c>
      <c r="UZE17" s="314" t="s">
        <v>203</v>
      </c>
      <c r="UZF17" s="314" t="s">
        <v>203</v>
      </c>
      <c r="UZG17" s="314" t="s">
        <v>203</v>
      </c>
      <c r="UZH17" s="314" t="s">
        <v>203</v>
      </c>
      <c r="UZI17" s="314" t="s">
        <v>203</v>
      </c>
      <c r="UZJ17" s="314" t="s">
        <v>203</v>
      </c>
      <c r="UZK17" s="314" t="s">
        <v>203</v>
      </c>
      <c r="UZL17" s="314" t="s">
        <v>203</v>
      </c>
      <c r="UZM17" s="314" t="s">
        <v>203</v>
      </c>
      <c r="UZN17" s="314" t="s">
        <v>203</v>
      </c>
      <c r="UZO17" s="314" t="s">
        <v>203</v>
      </c>
      <c r="UZP17" s="314" t="s">
        <v>203</v>
      </c>
      <c r="UZQ17" s="314" t="s">
        <v>203</v>
      </c>
      <c r="UZR17" s="314" t="s">
        <v>203</v>
      </c>
      <c r="UZS17" s="314" t="s">
        <v>203</v>
      </c>
      <c r="UZT17" s="314" t="s">
        <v>203</v>
      </c>
      <c r="UZU17" s="314" t="s">
        <v>203</v>
      </c>
      <c r="UZV17" s="314" t="s">
        <v>203</v>
      </c>
      <c r="UZW17" s="314" t="s">
        <v>203</v>
      </c>
      <c r="UZX17" s="314" t="s">
        <v>203</v>
      </c>
      <c r="UZY17" s="314" t="s">
        <v>203</v>
      </c>
      <c r="UZZ17" s="314" t="s">
        <v>203</v>
      </c>
      <c r="VAA17" s="314" t="s">
        <v>203</v>
      </c>
      <c r="VAB17" s="314" t="s">
        <v>203</v>
      </c>
      <c r="VAC17" s="314" t="s">
        <v>203</v>
      </c>
      <c r="VAD17" s="314" t="s">
        <v>203</v>
      </c>
      <c r="VAE17" s="314" t="s">
        <v>203</v>
      </c>
      <c r="VAF17" s="314" t="s">
        <v>203</v>
      </c>
      <c r="VAG17" s="314" t="s">
        <v>203</v>
      </c>
      <c r="VAH17" s="314" t="s">
        <v>203</v>
      </c>
      <c r="VAI17" s="314" t="s">
        <v>203</v>
      </c>
      <c r="VAJ17" s="314" t="s">
        <v>203</v>
      </c>
      <c r="VAK17" s="314" t="s">
        <v>203</v>
      </c>
      <c r="VAL17" s="314" t="s">
        <v>203</v>
      </c>
      <c r="VAM17" s="314" t="s">
        <v>203</v>
      </c>
      <c r="VAN17" s="314" t="s">
        <v>203</v>
      </c>
      <c r="VAO17" s="314" t="s">
        <v>203</v>
      </c>
      <c r="VAP17" s="314" t="s">
        <v>203</v>
      </c>
      <c r="VAQ17" s="314" t="s">
        <v>203</v>
      </c>
      <c r="VAR17" s="314" t="s">
        <v>203</v>
      </c>
      <c r="VAS17" s="314" t="s">
        <v>203</v>
      </c>
      <c r="VAT17" s="314" t="s">
        <v>203</v>
      </c>
      <c r="VAU17" s="314" t="s">
        <v>203</v>
      </c>
      <c r="VAV17" s="314" t="s">
        <v>203</v>
      </c>
      <c r="VAW17" s="314" t="s">
        <v>203</v>
      </c>
      <c r="VAX17" s="314" t="s">
        <v>203</v>
      </c>
      <c r="VAY17" s="314" t="s">
        <v>203</v>
      </c>
      <c r="VAZ17" s="314" t="s">
        <v>203</v>
      </c>
      <c r="VBA17" s="314" t="s">
        <v>203</v>
      </c>
      <c r="VBB17" s="314" t="s">
        <v>203</v>
      </c>
      <c r="VBC17" s="314" t="s">
        <v>203</v>
      </c>
      <c r="VBD17" s="314" t="s">
        <v>203</v>
      </c>
      <c r="VBE17" s="314" t="s">
        <v>203</v>
      </c>
      <c r="VBF17" s="314" t="s">
        <v>203</v>
      </c>
      <c r="VBG17" s="314" t="s">
        <v>203</v>
      </c>
      <c r="VBH17" s="314" t="s">
        <v>203</v>
      </c>
      <c r="VBI17" s="314" t="s">
        <v>203</v>
      </c>
      <c r="VBJ17" s="314" t="s">
        <v>203</v>
      </c>
      <c r="VBK17" s="314" t="s">
        <v>203</v>
      </c>
      <c r="VBL17" s="314" t="s">
        <v>203</v>
      </c>
      <c r="VBM17" s="314" t="s">
        <v>203</v>
      </c>
      <c r="VBN17" s="314" t="s">
        <v>203</v>
      </c>
      <c r="VBO17" s="314" t="s">
        <v>203</v>
      </c>
      <c r="VBP17" s="314" t="s">
        <v>203</v>
      </c>
      <c r="VBQ17" s="314" t="s">
        <v>203</v>
      </c>
      <c r="VBR17" s="314" t="s">
        <v>203</v>
      </c>
      <c r="VBS17" s="314" t="s">
        <v>203</v>
      </c>
      <c r="VBT17" s="314" t="s">
        <v>203</v>
      </c>
      <c r="VBU17" s="314" t="s">
        <v>203</v>
      </c>
      <c r="VBV17" s="314" t="s">
        <v>203</v>
      </c>
      <c r="VBW17" s="314" t="s">
        <v>203</v>
      </c>
      <c r="VBX17" s="314" t="s">
        <v>203</v>
      </c>
      <c r="VBY17" s="314" t="s">
        <v>203</v>
      </c>
      <c r="VBZ17" s="314" t="s">
        <v>203</v>
      </c>
      <c r="VCA17" s="314" t="s">
        <v>203</v>
      </c>
      <c r="VCB17" s="314" t="s">
        <v>203</v>
      </c>
      <c r="VCC17" s="314" t="s">
        <v>203</v>
      </c>
      <c r="VCD17" s="314" t="s">
        <v>203</v>
      </c>
      <c r="VCE17" s="314" t="s">
        <v>203</v>
      </c>
      <c r="VCF17" s="314" t="s">
        <v>203</v>
      </c>
      <c r="VCG17" s="314" t="s">
        <v>203</v>
      </c>
      <c r="VCH17" s="314" t="s">
        <v>203</v>
      </c>
      <c r="VCI17" s="314" t="s">
        <v>203</v>
      </c>
      <c r="VCJ17" s="314" t="s">
        <v>203</v>
      </c>
      <c r="VCK17" s="314" t="s">
        <v>203</v>
      </c>
      <c r="VCL17" s="314" t="s">
        <v>203</v>
      </c>
      <c r="VCM17" s="314" t="s">
        <v>203</v>
      </c>
      <c r="VCN17" s="314" t="s">
        <v>203</v>
      </c>
      <c r="VCO17" s="314" t="s">
        <v>203</v>
      </c>
      <c r="VCP17" s="314" t="s">
        <v>203</v>
      </c>
      <c r="VCQ17" s="314" t="s">
        <v>203</v>
      </c>
      <c r="VCR17" s="314" t="s">
        <v>203</v>
      </c>
      <c r="VCS17" s="314" t="s">
        <v>203</v>
      </c>
      <c r="VCT17" s="314" t="s">
        <v>203</v>
      </c>
      <c r="VCU17" s="314" t="s">
        <v>203</v>
      </c>
      <c r="VCV17" s="314" t="s">
        <v>203</v>
      </c>
      <c r="VCW17" s="314" t="s">
        <v>203</v>
      </c>
      <c r="VCX17" s="314" t="s">
        <v>203</v>
      </c>
      <c r="VCY17" s="314" t="s">
        <v>203</v>
      </c>
      <c r="VCZ17" s="314" t="s">
        <v>203</v>
      </c>
      <c r="VDA17" s="314" t="s">
        <v>203</v>
      </c>
      <c r="VDB17" s="314" t="s">
        <v>203</v>
      </c>
      <c r="VDC17" s="314" t="s">
        <v>203</v>
      </c>
      <c r="VDD17" s="314" t="s">
        <v>203</v>
      </c>
      <c r="VDE17" s="314" t="s">
        <v>203</v>
      </c>
      <c r="VDF17" s="314" t="s">
        <v>203</v>
      </c>
      <c r="VDG17" s="314" t="s">
        <v>203</v>
      </c>
      <c r="VDH17" s="314" t="s">
        <v>203</v>
      </c>
      <c r="VDI17" s="314" t="s">
        <v>203</v>
      </c>
      <c r="VDJ17" s="314" t="s">
        <v>203</v>
      </c>
      <c r="VDK17" s="314" t="s">
        <v>203</v>
      </c>
      <c r="VDL17" s="314" t="s">
        <v>203</v>
      </c>
      <c r="VDM17" s="314" t="s">
        <v>203</v>
      </c>
      <c r="VDN17" s="314" t="s">
        <v>203</v>
      </c>
      <c r="VDO17" s="314" t="s">
        <v>203</v>
      </c>
      <c r="VDP17" s="314" t="s">
        <v>203</v>
      </c>
      <c r="VDQ17" s="314" t="s">
        <v>203</v>
      </c>
      <c r="VDR17" s="314" t="s">
        <v>203</v>
      </c>
      <c r="VDS17" s="314" t="s">
        <v>203</v>
      </c>
      <c r="VDT17" s="314" t="s">
        <v>203</v>
      </c>
      <c r="VDU17" s="314" t="s">
        <v>203</v>
      </c>
      <c r="VDV17" s="314" t="s">
        <v>203</v>
      </c>
      <c r="VDW17" s="314" t="s">
        <v>203</v>
      </c>
      <c r="VDX17" s="314" t="s">
        <v>203</v>
      </c>
      <c r="VDY17" s="314" t="s">
        <v>203</v>
      </c>
      <c r="VDZ17" s="314" t="s">
        <v>203</v>
      </c>
      <c r="VEA17" s="314" t="s">
        <v>203</v>
      </c>
      <c r="VEB17" s="314" t="s">
        <v>203</v>
      </c>
      <c r="VEC17" s="314" t="s">
        <v>203</v>
      </c>
      <c r="VED17" s="314" t="s">
        <v>203</v>
      </c>
      <c r="VEE17" s="314" t="s">
        <v>203</v>
      </c>
      <c r="VEF17" s="314" t="s">
        <v>203</v>
      </c>
      <c r="VEG17" s="314" t="s">
        <v>203</v>
      </c>
      <c r="VEH17" s="314" t="s">
        <v>203</v>
      </c>
      <c r="VEI17" s="314" t="s">
        <v>203</v>
      </c>
      <c r="VEJ17" s="314" t="s">
        <v>203</v>
      </c>
      <c r="VEK17" s="314" t="s">
        <v>203</v>
      </c>
      <c r="VEL17" s="314" t="s">
        <v>203</v>
      </c>
      <c r="VEM17" s="314" t="s">
        <v>203</v>
      </c>
      <c r="VEN17" s="314" t="s">
        <v>203</v>
      </c>
      <c r="VEO17" s="314" t="s">
        <v>203</v>
      </c>
      <c r="VEP17" s="314" t="s">
        <v>203</v>
      </c>
      <c r="VEQ17" s="314" t="s">
        <v>203</v>
      </c>
      <c r="VER17" s="314" t="s">
        <v>203</v>
      </c>
      <c r="VES17" s="314" t="s">
        <v>203</v>
      </c>
      <c r="VET17" s="314" t="s">
        <v>203</v>
      </c>
      <c r="VEU17" s="314" t="s">
        <v>203</v>
      </c>
      <c r="VEV17" s="314" t="s">
        <v>203</v>
      </c>
      <c r="VEW17" s="314" t="s">
        <v>203</v>
      </c>
      <c r="VEX17" s="314" t="s">
        <v>203</v>
      </c>
      <c r="VEY17" s="314" t="s">
        <v>203</v>
      </c>
      <c r="VEZ17" s="314" t="s">
        <v>203</v>
      </c>
      <c r="VFA17" s="314" t="s">
        <v>203</v>
      </c>
      <c r="VFB17" s="314" t="s">
        <v>203</v>
      </c>
      <c r="VFC17" s="314" t="s">
        <v>203</v>
      </c>
      <c r="VFD17" s="314" t="s">
        <v>203</v>
      </c>
      <c r="VFE17" s="314" t="s">
        <v>203</v>
      </c>
      <c r="VFF17" s="314" t="s">
        <v>203</v>
      </c>
      <c r="VFG17" s="314" t="s">
        <v>203</v>
      </c>
      <c r="VFH17" s="314" t="s">
        <v>203</v>
      </c>
      <c r="VFI17" s="314" t="s">
        <v>203</v>
      </c>
      <c r="VFJ17" s="314" t="s">
        <v>203</v>
      </c>
      <c r="VFK17" s="314" t="s">
        <v>203</v>
      </c>
      <c r="VFL17" s="314" t="s">
        <v>203</v>
      </c>
      <c r="VFM17" s="314" t="s">
        <v>203</v>
      </c>
      <c r="VFN17" s="314" t="s">
        <v>203</v>
      </c>
      <c r="VFO17" s="314" t="s">
        <v>203</v>
      </c>
      <c r="VFP17" s="314" t="s">
        <v>203</v>
      </c>
      <c r="VFQ17" s="314" t="s">
        <v>203</v>
      </c>
      <c r="VFR17" s="314" t="s">
        <v>203</v>
      </c>
      <c r="VFS17" s="314" t="s">
        <v>203</v>
      </c>
      <c r="VFT17" s="314" t="s">
        <v>203</v>
      </c>
      <c r="VFU17" s="314" t="s">
        <v>203</v>
      </c>
      <c r="VFV17" s="314" t="s">
        <v>203</v>
      </c>
      <c r="VFW17" s="314" t="s">
        <v>203</v>
      </c>
      <c r="VFX17" s="314" t="s">
        <v>203</v>
      </c>
      <c r="VFY17" s="314" t="s">
        <v>203</v>
      </c>
      <c r="VFZ17" s="314" t="s">
        <v>203</v>
      </c>
      <c r="VGA17" s="314" t="s">
        <v>203</v>
      </c>
      <c r="VGB17" s="314" t="s">
        <v>203</v>
      </c>
      <c r="VGC17" s="314" t="s">
        <v>203</v>
      </c>
      <c r="VGD17" s="314" t="s">
        <v>203</v>
      </c>
      <c r="VGE17" s="314" t="s">
        <v>203</v>
      </c>
      <c r="VGF17" s="314" t="s">
        <v>203</v>
      </c>
      <c r="VGG17" s="314" t="s">
        <v>203</v>
      </c>
      <c r="VGH17" s="314" t="s">
        <v>203</v>
      </c>
      <c r="VGI17" s="314" t="s">
        <v>203</v>
      </c>
      <c r="VGJ17" s="314" t="s">
        <v>203</v>
      </c>
      <c r="VGK17" s="314" t="s">
        <v>203</v>
      </c>
      <c r="VGL17" s="314" t="s">
        <v>203</v>
      </c>
      <c r="VGM17" s="314" t="s">
        <v>203</v>
      </c>
      <c r="VGN17" s="314" t="s">
        <v>203</v>
      </c>
      <c r="VGO17" s="314" t="s">
        <v>203</v>
      </c>
      <c r="VGP17" s="314" t="s">
        <v>203</v>
      </c>
      <c r="VGQ17" s="314" t="s">
        <v>203</v>
      </c>
      <c r="VGR17" s="314" t="s">
        <v>203</v>
      </c>
      <c r="VGS17" s="314" t="s">
        <v>203</v>
      </c>
      <c r="VGT17" s="314" t="s">
        <v>203</v>
      </c>
      <c r="VGU17" s="314" t="s">
        <v>203</v>
      </c>
      <c r="VGV17" s="314" t="s">
        <v>203</v>
      </c>
      <c r="VGW17" s="314" t="s">
        <v>203</v>
      </c>
      <c r="VGX17" s="314" t="s">
        <v>203</v>
      </c>
      <c r="VGY17" s="314" t="s">
        <v>203</v>
      </c>
      <c r="VGZ17" s="314" t="s">
        <v>203</v>
      </c>
      <c r="VHA17" s="314" t="s">
        <v>203</v>
      </c>
      <c r="VHB17" s="314" t="s">
        <v>203</v>
      </c>
      <c r="VHC17" s="314" t="s">
        <v>203</v>
      </c>
      <c r="VHD17" s="314" t="s">
        <v>203</v>
      </c>
      <c r="VHE17" s="314" t="s">
        <v>203</v>
      </c>
      <c r="VHF17" s="314" t="s">
        <v>203</v>
      </c>
      <c r="VHG17" s="314" t="s">
        <v>203</v>
      </c>
      <c r="VHH17" s="314" t="s">
        <v>203</v>
      </c>
      <c r="VHI17" s="314" t="s">
        <v>203</v>
      </c>
      <c r="VHJ17" s="314" t="s">
        <v>203</v>
      </c>
      <c r="VHK17" s="314" t="s">
        <v>203</v>
      </c>
      <c r="VHL17" s="314" t="s">
        <v>203</v>
      </c>
      <c r="VHM17" s="314" t="s">
        <v>203</v>
      </c>
      <c r="VHN17" s="314" t="s">
        <v>203</v>
      </c>
      <c r="VHO17" s="314" t="s">
        <v>203</v>
      </c>
      <c r="VHP17" s="314" t="s">
        <v>203</v>
      </c>
      <c r="VHQ17" s="314" t="s">
        <v>203</v>
      </c>
      <c r="VHR17" s="314" t="s">
        <v>203</v>
      </c>
      <c r="VHS17" s="314" t="s">
        <v>203</v>
      </c>
      <c r="VHT17" s="314" t="s">
        <v>203</v>
      </c>
      <c r="VHU17" s="314" t="s">
        <v>203</v>
      </c>
      <c r="VHV17" s="314" t="s">
        <v>203</v>
      </c>
      <c r="VHW17" s="314" t="s">
        <v>203</v>
      </c>
      <c r="VHX17" s="314" t="s">
        <v>203</v>
      </c>
      <c r="VHY17" s="314" t="s">
        <v>203</v>
      </c>
      <c r="VHZ17" s="314" t="s">
        <v>203</v>
      </c>
      <c r="VIA17" s="314" t="s">
        <v>203</v>
      </c>
      <c r="VIB17" s="314" t="s">
        <v>203</v>
      </c>
      <c r="VIC17" s="314" t="s">
        <v>203</v>
      </c>
      <c r="VID17" s="314" t="s">
        <v>203</v>
      </c>
      <c r="VIE17" s="314" t="s">
        <v>203</v>
      </c>
      <c r="VIF17" s="314" t="s">
        <v>203</v>
      </c>
      <c r="VIG17" s="314" t="s">
        <v>203</v>
      </c>
      <c r="VIH17" s="314" t="s">
        <v>203</v>
      </c>
      <c r="VII17" s="314" t="s">
        <v>203</v>
      </c>
      <c r="VIJ17" s="314" t="s">
        <v>203</v>
      </c>
      <c r="VIK17" s="314" t="s">
        <v>203</v>
      </c>
      <c r="VIL17" s="314" t="s">
        <v>203</v>
      </c>
      <c r="VIM17" s="314" t="s">
        <v>203</v>
      </c>
      <c r="VIN17" s="314" t="s">
        <v>203</v>
      </c>
      <c r="VIO17" s="314" t="s">
        <v>203</v>
      </c>
      <c r="VIP17" s="314" t="s">
        <v>203</v>
      </c>
      <c r="VIQ17" s="314" t="s">
        <v>203</v>
      </c>
      <c r="VIR17" s="314" t="s">
        <v>203</v>
      </c>
      <c r="VIS17" s="314" t="s">
        <v>203</v>
      </c>
      <c r="VIT17" s="314" t="s">
        <v>203</v>
      </c>
      <c r="VIU17" s="314" t="s">
        <v>203</v>
      </c>
      <c r="VIV17" s="314" t="s">
        <v>203</v>
      </c>
      <c r="VIW17" s="314" t="s">
        <v>203</v>
      </c>
      <c r="VIX17" s="314" t="s">
        <v>203</v>
      </c>
      <c r="VIY17" s="314" t="s">
        <v>203</v>
      </c>
      <c r="VIZ17" s="314" t="s">
        <v>203</v>
      </c>
      <c r="VJA17" s="314" t="s">
        <v>203</v>
      </c>
      <c r="VJB17" s="314" t="s">
        <v>203</v>
      </c>
      <c r="VJC17" s="314" t="s">
        <v>203</v>
      </c>
      <c r="VJD17" s="314" t="s">
        <v>203</v>
      </c>
      <c r="VJE17" s="314" t="s">
        <v>203</v>
      </c>
      <c r="VJF17" s="314" t="s">
        <v>203</v>
      </c>
      <c r="VJG17" s="314" t="s">
        <v>203</v>
      </c>
      <c r="VJH17" s="314" t="s">
        <v>203</v>
      </c>
      <c r="VJI17" s="314" t="s">
        <v>203</v>
      </c>
      <c r="VJJ17" s="314" t="s">
        <v>203</v>
      </c>
      <c r="VJK17" s="314" t="s">
        <v>203</v>
      </c>
      <c r="VJL17" s="314" t="s">
        <v>203</v>
      </c>
      <c r="VJM17" s="314" t="s">
        <v>203</v>
      </c>
      <c r="VJN17" s="314" t="s">
        <v>203</v>
      </c>
      <c r="VJO17" s="314" t="s">
        <v>203</v>
      </c>
      <c r="VJP17" s="314" t="s">
        <v>203</v>
      </c>
      <c r="VJQ17" s="314" t="s">
        <v>203</v>
      </c>
      <c r="VJR17" s="314" t="s">
        <v>203</v>
      </c>
      <c r="VJS17" s="314" t="s">
        <v>203</v>
      </c>
      <c r="VJT17" s="314" t="s">
        <v>203</v>
      </c>
      <c r="VJU17" s="314" t="s">
        <v>203</v>
      </c>
      <c r="VJV17" s="314" t="s">
        <v>203</v>
      </c>
      <c r="VJW17" s="314" t="s">
        <v>203</v>
      </c>
      <c r="VJX17" s="314" t="s">
        <v>203</v>
      </c>
      <c r="VJY17" s="314" t="s">
        <v>203</v>
      </c>
      <c r="VJZ17" s="314" t="s">
        <v>203</v>
      </c>
      <c r="VKA17" s="314" t="s">
        <v>203</v>
      </c>
      <c r="VKB17" s="314" t="s">
        <v>203</v>
      </c>
      <c r="VKC17" s="314" t="s">
        <v>203</v>
      </c>
      <c r="VKD17" s="314" t="s">
        <v>203</v>
      </c>
      <c r="VKE17" s="314" t="s">
        <v>203</v>
      </c>
      <c r="VKF17" s="314" t="s">
        <v>203</v>
      </c>
      <c r="VKG17" s="314" t="s">
        <v>203</v>
      </c>
      <c r="VKH17" s="314" t="s">
        <v>203</v>
      </c>
      <c r="VKI17" s="314" t="s">
        <v>203</v>
      </c>
      <c r="VKJ17" s="314" t="s">
        <v>203</v>
      </c>
      <c r="VKK17" s="314" t="s">
        <v>203</v>
      </c>
      <c r="VKL17" s="314" t="s">
        <v>203</v>
      </c>
      <c r="VKM17" s="314" t="s">
        <v>203</v>
      </c>
      <c r="VKN17" s="314" t="s">
        <v>203</v>
      </c>
      <c r="VKO17" s="314" t="s">
        <v>203</v>
      </c>
      <c r="VKP17" s="314" t="s">
        <v>203</v>
      </c>
      <c r="VKQ17" s="314" t="s">
        <v>203</v>
      </c>
      <c r="VKR17" s="314" t="s">
        <v>203</v>
      </c>
      <c r="VKS17" s="314" t="s">
        <v>203</v>
      </c>
      <c r="VKT17" s="314" t="s">
        <v>203</v>
      </c>
      <c r="VKU17" s="314" t="s">
        <v>203</v>
      </c>
      <c r="VKV17" s="314" t="s">
        <v>203</v>
      </c>
      <c r="VKW17" s="314" t="s">
        <v>203</v>
      </c>
      <c r="VKX17" s="314" t="s">
        <v>203</v>
      </c>
      <c r="VKY17" s="314" t="s">
        <v>203</v>
      </c>
      <c r="VKZ17" s="314" t="s">
        <v>203</v>
      </c>
      <c r="VLA17" s="314" t="s">
        <v>203</v>
      </c>
      <c r="VLB17" s="314" t="s">
        <v>203</v>
      </c>
      <c r="VLC17" s="314" t="s">
        <v>203</v>
      </c>
      <c r="VLD17" s="314" t="s">
        <v>203</v>
      </c>
      <c r="VLE17" s="314" t="s">
        <v>203</v>
      </c>
      <c r="VLF17" s="314" t="s">
        <v>203</v>
      </c>
      <c r="VLG17" s="314" t="s">
        <v>203</v>
      </c>
      <c r="VLH17" s="314" t="s">
        <v>203</v>
      </c>
      <c r="VLI17" s="314" t="s">
        <v>203</v>
      </c>
      <c r="VLJ17" s="314" t="s">
        <v>203</v>
      </c>
      <c r="VLK17" s="314" t="s">
        <v>203</v>
      </c>
      <c r="VLL17" s="314" t="s">
        <v>203</v>
      </c>
      <c r="VLM17" s="314" t="s">
        <v>203</v>
      </c>
      <c r="VLN17" s="314" t="s">
        <v>203</v>
      </c>
      <c r="VLO17" s="314" t="s">
        <v>203</v>
      </c>
      <c r="VLP17" s="314" t="s">
        <v>203</v>
      </c>
      <c r="VLQ17" s="314" t="s">
        <v>203</v>
      </c>
      <c r="VLR17" s="314" t="s">
        <v>203</v>
      </c>
      <c r="VLS17" s="314" t="s">
        <v>203</v>
      </c>
      <c r="VLT17" s="314" t="s">
        <v>203</v>
      </c>
      <c r="VLU17" s="314" t="s">
        <v>203</v>
      </c>
      <c r="VLV17" s="314" t="s">
        <v>203</v>
      </c>
      <c r="VLW17" s="314" t="s">
        <v>203</v>
      </c>
      <c r="VLX17" s="314" t="s">
        <v>203</v>
      </c>
      <c r="VLY17" s="314" t="s">
        <v>203</v>
      </c>
      <c r="VLZ17" s="314" t="s">
        <v>203</v>
      </c>
      <c r="VMA17" s="314" t="s">
        <v>203</v>
      </c>
      <c r="VMB17" s="314" t="s">
        <v>203</v>
      </c>
      <c r="VMC17" s="314" t="s">
        <v>203</v>
      </c>
      <c r="VMD17" s="314" t="s">
        <v>203</v>
      </c>
      <c r="VME17" s="314" t="s">
        <v>203</v>
      </c>
      <c r="VMF17" s="314" t="s">
        <v>203</v>
      </c>
      <c r="VMG17" s="314" t="s">
        <v>203</v>
      </c>
      <c r="VMH17" s="314" t="s">
        <v>203</v>
      </c>
      <c r="VMI17" s="314" t="s">
        <v>203</v>
      </c>
      <c r="VMJ17" s="314" t="s">
        <v>203</v>
      </c>
      <c r="VMK17" s="314" t="s">
        <v>203</v>
      </c>
      <c r="VML17" s="314" t="s">
        <v>203</v>
      </c>
      <c r="VMM17" s="314" t="s">
        <v>203</v>
      </c>
      <c r="VMN17" s="314" t="s">
        <v>203</v>
      </c>
      <c r="VMO17" s="314" t="s">
        <v>203</v>
      </c>
      <c r="VMP17" s="314" t="s">
        <v>203</v>
      </c>
      <c r="VMQ17" s="314" t="s">
        <v>203</v>
      </c>
      <c r="VMR17" s="314" t="s">
        <v>203</v>
      </c>
      <c r="VMS17" s="314" t="s">
        <v>203</v>
      </c>
      <c r="VMT17" s="314" t="s">
        <v>203</v>
      </c>
      <c r="VMU17" s="314" t="s">
        <v>203</v>
      </c>
      <c r="VMV17" s="314" t="s">
        <v>203</v>
      </c>
      <c r="VMW17" s="314" t="s">
        <v>203</v>
      </c>
      <c r="VMX17" s="314" t="s">
        <v>203</v>
      </c>
      <c r="VMY17" s="314" t="s">
        <v>203</v>
      </c>
      <c r="VMZ17" s="314" t="s">
        <v>203</v>
      </c>
      <c r="VNA17" s="314" t="s">
        <v>203</v>
      </c>
      <c r="VNB17" s="314" t="s">
        <v>203</v>
      </c>
      <c r="VNC17" s="314" t="s">
        <v>203</v>
      </c>
      <c r="VND17" s="314" t="s">
        <v>203</v>
      </c>
      <c r="VNE17" s="314" t="s">
        <v>203</v>
      </c>
      <c r="VNF17" s="314" t="s">
        <v>203</v>
      </c>
      <c r="VNG17" s="314" t="s">
        <v>203</v>
      </c>
      <c r="VNH17" s="314" t="s">
        <v>203</v>
      </c>
      <c r="VNI17" s="314" t="s">
        <v>203</v>
      </c>
      <c r="VNJ17" s="314" t="s">
        <v>203</v>
      </c>
      <c r="VNK17" s="314" t="s">
        <v>203</v>
      </c>
      <c r="VNL17" s="314" t="s">
        <v>203</v>
      </c>
      <c r="VNM17" s="314" t="s">
        <v>203</v>
      </c>
      <c r="VNN17" s="314" t="s">
        <v>203</v>
      </c>
      <c r="VNO17" s="314" t="s">
        <v>203</v>
      </c>
      <c r="VNP17" s="314" t="s">
        <v>203</v>
      </c>
      <c r="VNQ17" s="314" t="s">
        <v>203</v>
      </c>
      <c r="VNR17" s="314" t="s">
        <v>203</v>
      </c>
      <c r="VNS17" s="314" t="s">
        <v>203</v>
      </c>
      <c r="VNT17" s="314" t="s">
        <v>203</v>
      </c>
      <c r="VNU17" s="314" t="s">
        <v>203</v>
      </c>
      <c r="VNV17" s="314" t="s">
        <v>203</v>
      </c>
      <c r="VNW17" s="314" t="s">
        <v>203</v>
      </c>
      <c r="VNX17" s="314" t="s">
        <v>203</v>
      </c>
      <c r="VNY17" s="314" t="s">
        <v>203</v>
      </c>
      <c r="VNZ17" s="314" t="s">
        <v>203</v>
      </c>
      <c r="VOA17" s="314" t="s">
        <v>203</v>
      </c>
      <c r="VOB17" s="314" t="s">
        <v>203</v>
      </c>
      <c r="VOC17" s="314" t="s">
        <v>203</v>
      </c>
      <c r="VOD17" s="314" t="s">
        <v>203</v>
      </c>
      <c r="VOE17" s="314" t="s">
        <v>203</v>
      </c>
      <c r="VOF17" s="314" t="s">
        <v>203</v>
      </c>
      <c r="VOG17" s="314" t="s">
        <v>203</v>
      </c>
      <c r="VOH17" s="314" t="s">
        <v>203</v>
      </c>
      <c r="VOI17" s="314" t="s">
        <v>203</v>
      </c>
      <c r="VOJ17" s="314" t="s">
        <v>203</v>
      </c>
      <c r="VOK17" s="314" t="s">
        <v>203</v>
      </c>
      <c r="VOL17" s="314" t="s">
        <v>203</v>
      </c>
      <c r="VOM17" s="314" t="s">
        <v>203</v>
      </c>
      <c r="VON17" s="314" t="s">
        <v>203</v>
      </c>
      <c r="VOO17" s="314" t="s">
        <v>203</v>
      </c>
      <c r="VOP17" s="314" t="s">
        <v>203</v>
      </c>
      <c r="VOQ17" s="314" t="s">
        <v>203</v>
      </c>
      <c r="VOR17" s="314" t="s">
        <v>203</v>
      </c>
      <c r="VOS17" s="314" t="s">
        <v>203</v>
      </c>
      <c r="VOT17" s="314" t="s">
        <v>203</v>
      </c>
      <c r="VOU17" s="314" t="s">
        <v>203</v>
      </c>
      <c r="VOV17" s="314" t="s">
        <v>203</v>
      </c>
      <c r="VOW17" s="314" t="s">
        <v>203</v>
      </c>
      <c r="VOX17" s="314" t="s">
        <v>203</v>
      </c>
      <c r="VOY17" s="314" t="s">
        <v>203</v>
      </c>
      <c r="VOZ17" s="314" t="s">
        <v>203</v>
      </c>
      <c r="VPA17" s="314" t="s">
        <v>203</v>
      </c>
      <c r="VPB17" s="314" t="s">
        <v>203</v>
      </c>
      <c r="VPC17" s="314" t="s">
        <v>203</v>
      </c>
      <c r="VPD17" s="314" t="s">
        <v>203</v>
      </c>
      <c r="VPE17" s="314" t="s">
        <v>203</v>
      </c>
      <c r="VPF17" s="314" t="s">
        <v>203</v>
      </c>
      <c r="VPG17" s="314" t="s">
        <v>203</v>
      </c>
      <c r="VPH17" s="314" t="s">
        <v>203</v>
      </c>
      <c r="VPI17" s="314" t="s">
        <v>203</v>
      </c>
      <c r="VPJ17" s="314" t="s">
        <v>203</v>
      </c>
      <c r="VPK17" s="314" t="s">
        <v>203</v>
      </c>
      <c r="VPL17" s="314" t="s">
        <v>203</v>
      </c>
      <c r="VPM17" s="314" t="s">
        <v>203</v>
      </c>
      <c r="VPN17" s="314" t="s">
        <v>203</v>
      </c>
      <c r="VPO17" s="314" t="s">
        <v>203</v>
      </c>
      <c r="VPP17" s="314" t="s">
        <v>203</v>
      </c>
      <c r="VPQ17" s="314" t="s">
        <v>203</v>
      </c>
      <c r="VPR17" s="314" t="s">
        <v>203</v>
      </c>
      <c r="VPS17" s="314" t="s">
        <v>203</v>
      </c>
      <c r="VPT17" s="314" t="s">
        <v>203</v>
      </c>
      <c r="VPU17" s="314" t="s">
        <v>203</v>
      </c>
      <c r="VPV17" s="314" t="s">
        <v>203</v>
      </c>
      <c r="VPW17" s="314" t="s">
        <v>203</v>
      </c>
      <c r="VPX17" s="314" t="s">
        <v>203</v>
      </c>
      <c r="VPY17" s="314" t="s">
        <v>203</v>
      </c>
      <c r="VPZ17" s="314" t="s">
        <v>203</v>
      </c>
      <c r="VQA17" s="314" t="s">
        <v>203</v>
      </c>
      <c r="VQB17" s="314" t="s">
        <v>203</v>
      </c>
      <c r="VQC17" s="314" t="s">
        <v>203</v>
      </c>
      <c r="VQD17" s="314" t="s">
        <v>203</v>
      </c>
      <c r="VQE17" s="314" t="s">
        <v>203</v>
      </c>
      <c r="VQF17" s="314" t="s">
        <v>203</v>
      </c>
      <c r="VQG17" s="314" t="s">
        <v>203</v>
      </c>
      <c r="VQH17" s="314" t="s">
        <v>203</v>
      </c>
      <c r="VQI17" s="314" t="s">
        <v>203</v>
      </c>
      <c r="VQJ17" s="314" t="s">
        <v>203</v>
      </c>
      <c r="VQK17" s="314" t="s">
        <v>203</v>
      </c>
      <c r="VQL17" s="314" t="s">
        <v>203</v>
      </c>
      <c r="VQM17" s="314" t="s">
        <v>203</v>
      </c>
      <c r="VQN17" s="314" t="s">
        <v>203</v>
      </c>
      <c r="VQO17" s="314" t="s">
        <v>203</v>
      </c>
      <c r="VQP17" s="314" t="s">
        <v>203</v>
      </c>
      <c r="VQQ17" s="314" t="s">
        <v>203</v>
      </c>
      <c r="VQR17" s="314" t="s">
        <v>203</v>
      </c>
      <c r="VQS17" s="314" t="s">
        <v>203</v>
      </c>
      <c r="VQT17" s="314" t="s">
        <v>203</v>
      </c>
      <c r="VQU17" s="314" t="s">
        <v>203</v>
      </c>
      <c r="VQV17" s="314" t="s">
        <v>203</v>
      </c>
      <c r="VQW17" s="314" t="s">
        <v>203</v>
      </c>
      <c r="VQX17" s="314" t="s">
        <v>203</v>
      </c>
      <c r="VQY17" s="314" t="s">
        <v>203</v>
      </c>
      <c r="VQZ17" s="314" t="s">
        <v>203</v>
      </c>
      <c r="VRA17" s="314" t="s">
        <v>203</v>
      </c>
      <c r="VRB17" s="314" t="s">
        <v>203</v>
      </c>
      <c r="VRC17" s="314" t="s">
        <v>203</v>
      </c>
      <c r="VRD17" s="314" t="s">
        <v>203</v>
      </c>
      <c r="VRE17" s="314" t="s">
        <v>203</v>
      </c>
      <c r="VRF17" s="314" t="s">
        <v>203</v>
      </c>
      <c r="VRG17" s="314" t="s">
        <v>203</v>
      </c>
      <c r="VRH17" s="314" t="s">
        <v>203</v>
      </c>
      <c r="VRI17" s="314" t="s">
        <v>203</v>
      </c>
      <c r="VRJ17" s="314" t="s">
        <v>203</v>
      </c>
      <c r="VRK17" s="314" t="s">
        <v>203</v>
      </c>
      <c r="VRL17" s="314" t="s">
        <v>203</v>
      </c>
      <c r="VRM17" s="314" t="s">
        <v>203</v>
      </c>
      <c r="VRN17" s="314" t="s">
        <v>203</v>
      </c>
      <c r="VRO17" s="314" t="s">
        <v>203</v>
      </c>
      <c r="VRP17" s="314" t="s">
        <v>203</v>
      </c>
      <c r="VRQ17" s="314" t="s">
        <v>203</v>
      </c>
      <c r="VRR17" s="314" t="s">
        <v>203</v>
      </c>
      <c r="VRS17" s="314" t="s">
        <v>203</v>
      </c>
      <c r="VRT17" s="314" t="s">
        <v>203</v>
      </c>
      <c r="VRU17" s="314" t="s">
        <v>203</v>
      </c>
      <c r="VRV17" s="314" t="s">
        <v>203</v>
      </c>
      <c r="VRW17" s="314" t="s">
        <v>203</v>
      </c>
      <c r="VRX17" s="314" t="s">
        <v>203</v>
      </c>
      <c r="VRY17" s="314" t="s">
        <v>203</v>
      </c>
      <c r="VRZ17" s="314" t="s">
        <v>203</v>
      </c>
      <c r="VSA17" s="314" t="s">
        <v>203</v>
      </c>
      <c r="VSB17" s="314" t="s">
        <v>203</v>
      </c>
      <c r="VSC17" s="314" t="s">
        <v>203</v>
      </c>
      <c r="VSD17" s="314" t="s">
        <v>203</v>
      </c>
      <c r="VSE17" s="314" t="s">
        <v>203</v>
      </c>
      <c r="VSF17" s="314" t="s">
        <v>203</v>
      </c>
      <c r="VSG17" s="314" t="s">
        <v>203</v>
      </c>
      <c r="VSH17" s="314" t="s">
        <v>203</v>
      </c>
      <c r="VSI17" s="314" t="s">
        <v>203</v>
      </c>
      <c r="VSJ17" s="314" t="s">
        <v>203</v>
      </c>
      <c r="VSK17" s="314" t="s">
        <v>203</v>
      </c>
      <c r="VSL17" s="314" t="s">
        <v>203</v>
      </c>
      <c r="VSM17" s="314" t="s">
        <v>203</v>
      </c>
      <c r="VSN17" s="314" t="s">
        <v>203</v>
      </c>
      <c r="VSO17" s="314" t="s">
        <v>203</v>
      </c>
      <c r="VSP17" s="314" t="s">
        <v>203</v>
      </c>
      <c r="VSQ17" s="314" t="s">
        <v>203</v>
      </c>
      <c r="VSR17" s="314" t="s">
        <v>203</v>
      </c>
      <c r="VSS17" s="314" t="s">
        <v>203</v>
      </c>
      <c r="VST17" s="314" t="s">
        <v>203</v>
      </c>
      <c r="VSU17" s="314" t="s">
        <v>203</v>
      </c>
      <c r="VSV17" s="314" t="s">
        <v>203</v>
      </c>
      <c r="VSW17" s="314" t="s">
        <v>203</v>
      </c>
      <c r="VSX17" s="314" t="s">
        <v>203</v>
      </c>
      <c r="VSY17" s="314" t="s">
        <v>203</v>
      </c>
      <c r="VSZ17" s="314" t="s">
        <v>203</v>
      </c>
      <c r="VTA17" s="314" t="s">
        <v>203</v>
      </c>
      <c r="VTB17" s="314" t="s">
        <v>203</v>
      </c>
      <c r="VTC17" s="314" t="s">
        <v>203</v>
      </c>
      <c r="VTD17" s="314" t="s">
        <v>203</v>
      </c>
      <c r="VTE17" s="314" t="s">
        <v>203</v>
      </c>
      <c r="VTF17" s="314" t="s">
        <v>203</v>
      </c>
      <c r="VTG17" s="314" t="s">
        <v>203</v>
      </c>
      <c r="VTH17" s="314" t="s">
        <v>203</v>
      </c>
      <c r="VTI17" s="314" t="s">
        <v>203</v>
      </c>
      <c r="VTJ17" s="314" t="s">
        <v>203</v>
      </c>
      <c r="VTK17" s="314" t="s">
        <v>203</v>
      </c>
      <c r="VTL17" s="314" t="s">
        <v>203</v>
      </c>
      <c r="VTM17" s="314" t="s">
        <v>203</v>
      </c>
      <c r="VTN17" s="314" t="s">
        <v>203</v>
      </c>
      <c r="VTO17" s="314" t="s">
        <v>203</v>
      </c>
      <c r="VTP17" s="314" t="s">
        <v>203</v>
      </c>
      <c r="VTQ17" s="314" t="s">
        <v>203</v>
      </c>
      <c r="VTR17" s="314" t="s">
        <v>203</v>
      </c>
      <c r="VTS17" s="314" t="s">
        <v>203</v>
      </c>
      <c r="VTT17" s="314" t="s">
        <v>203</v>
      </c>
      <c r="VTU17" s="314" t="s">
        <v>203</v>
      </c>
      <c r="VTV17" s="314" t="s">
        <v>203</v>
      </c>
      <c r="VTW17" s="314" t="s">
        <v>203</v>
      </c>
      <c r="VTX17" s="314" t="s">
        <v>203</v>
      </c>
      <c r="VTY17" s="314" t="s">
        <v>203</v>
      </c>
      <c r="VTZ17" s="314" t="s">
        <v>203</v>
      </c>
      <c r="VUA17" s="314" t="s">
        <v>203</v>
      </c>
      <c r="VUB17" s="314" t="s">
        <v>203</v>
      </c>
      <c r="VUC17" s="314" t="s">
        <v>203</v>
      </c>
      <c r="VUD17" s="314" t="s">
        <v>203</v>
      </c>
      <c r="VUE17" s="314" t="s">
        <v>203</v>
      </c>
      <c r="VUF17" s="314" t="s">
        <v>203</v>
      </c>
      <c r="VUG17" s="314" t="s">
        <v>203</v>
      </c>
      <c r="VUH17" s="314" t="s">
        <v>203</v>
      </c>
      <c r="VUI17" s="314" t="s">
        <v>203</v>
      </c>
      <c r="VUJ17" s="314" t="s">
        <v>203</v>
      </c>
      <c r="VUK17" s="314" t="s">
        <v>203</v>
      </c>
      <c r="VUL17" s="314" t="s">
        <v>203</v>
      </c>
      <c r="VUM17" s="314" t="s">
        <v>203</v>
      </c>
      <c r="VUN17" s="314" t="s">
        <v>203</v>
      </c>
      <c r="VUO17" s="314" t="s">
        <v>203</v>
      </c>
      <c r="VUP17" s="314" t="s">
        <v>203</v>
      </c>
      <c r="VUQ17" s="314" t="s">
        <v>203</v>
      </c>
      <c r="VUR17" s="314" t="s">
        <v>203</v>
      </c>
      <c r="VUS17" s="314" t="s">
        <v>203</v>
      </c>
      <c r="VUT17" s="314" t="s">
        <v>203</v>
      </c>
      <c r="VUU17" s="314" t="s">
        <v>203</v>
      </c>
      <c r="VUV17" s="314" t="s">
        <v>203</v>
      </c>
      <c r="VUW17" s="314" t="s">
        <v>203</v>
      </c>
      <c r="VUX17" s="314" t="s">
        <v>203</v>
      </c>
      <c r="VUY17" s="314" t="s">
        <v>203</v>
      </c>
      <c r="VUZ17" s="314" t="s">
        <v>203</v>
      </c>
      <c r="VVA17" s="314" t="s">
        <v>203</v>
      </c>
      <c r="VVB17" s="314" t="s">
        <v>203</v>
      </c>
      <c r="VVC17" s="314" t="s">
        <v>203</v>
      </c>
      <c r="VVD17" s="314" t="s">
        <v>203</v>
      </c>
      <c r="VVE17" s="314" t="s">
        <v>203</v>
      </c>
      <c r="VVF17" s="314" t="s">
        <v>203</v>
      </c>
      <c r="VVG17" s="314" t="s">
        <v>203</v>
      </c>
      <c r="VVH17" s="314" t="s">
        <v>203</v>
      </c>
      <c r="VVI17" s="314" t="s">
        <v>203</v>
      </c>
      <c r="VVJ17" s="314" t="s">
        <v>203</v>
      </c>
      <c r="VVK17" s="314" t="s">
        <v>203</v>
      </c>
      <c r="VVL17" s="314" t="s">
        <v>203</v>
      </c>
      <c r="VVM17" s="314" t="s">
        <v>203</v>
      </c>
      <c r="VVN17" s="314" t="s">
        <v>203</v>
      </c>
      <c r="VVO17" s="314" t="s">
        <v>203</v>
      </c>
      <c r="VVP17" s="314" t="s">
        <v>203</v>
      </c>
      <c r="VVQ17" s="314" t="s">
        <v>203</v>
      </c>
      <c r="VVR17" s="314" t="s">
        <v>203</v>
      </c>
      <c r="VVS17" s="314" t="s">
        <v>203</v>
      </c>
      <c r="VVT17" s="314" t="s">
        <v>203</v>
      </c>
      <c r="VVU17" s="314" t="s">
        <v>203</v>
      </c>
      <c r="VVV17" s="314" t="s">
        <v>203</v>
      </c>
      <c r="VVW17" s="314" t="s">
        <v>203</v>
      </c>
      <c r="VVX17" s="314" t="s">
        <v>203</v>
      </c>
      <c r="VVY17" s="314" t="s">
        <v>203</v>
      </c>
      <c r="VVZ17" s="314" t="s">
        <v>203</v>
      </c>
      <c r="VWA17" s="314" t="s">
        <v>203</v>
      </c>
      <c r="VWB17" s="314" t="s">
        <v>203</v>
      </c>
      <c r="VWC17" s="314" t="s">
        <v>203</v>
      </c>
      <c r="VWD17" s="314" t="s">
        <v>203</v>
      </c>
      <c r="VWE17" s="314" t="s">
        <v>203</v>
      </c>
      <c r="VWF17" s="314" t="s">
        <v>203</v>
      </c>
      <c r="VWG17" s="314" t="s">
        <v>203</v>
      </c>
      <c r="VWH17" s="314" t="s">
        <v>203</v>
      </c>
      <c r="VWI17" s="314" t="s">
        <v>203</v>
      </c>
      <c r="VWJ17" s="314" t="s">
        <v>203</v>
      </c>
      <c r="VWK17" s="314" t="s">
        <v>203</v>
      </c>
      <c r="VWL17" s="314" t="s">
        <v>203</v>
      </c>
      <c r="VWM17" s="314" t="s">
        <v>203</v>
      </c>
      <c r="VWN17" s="314" t="s">
        <v>203</v>
      </c>
      <c r="VWO17" s="314" t="s">
        <v>203</v>
      </c>
      <c r="VWP17" s="314" t="s">
        <v>203</v>
      </c>
      <c r="VWQ17" s="314" t="s">
        <v>203</v>
      </c>
      <c r="VWR17" s="314" t="s">
        <v>203</v>
      </c>
      <c r="VWS17" s="314" t="s">
        <v>203</v>
      </c>
      <c r="VWT17" s="314" t="s">
        <v>203</v>
      </c>
      <c r="VWU17" s="314" t="s">
        <v>203</v>
      </c>
      <c r="VWV17" s="314" t="s">
        <v>203</v>
      </c>
      <c r="VWW17" s="314" t="s">
        <v>203</v>
      </c>
      <c r="VWX17" s="314" t="s">
        <v>203</v>
      </c>
      <c r="VWY17" s="314" t="s">
        <v>203</v>
      </c>
      <c r="VWZ17" s="314" t="s">
        <v>203</v>
      </c>
      <c r="VXA17" s="314" t="s">
        <v>203</v>
      </c>
      <c r="VXB17" s="314" t="s">
        <v>203</v>
      </c>
      <c r="VXC17" s="314" t="s">
        <v>203</v>
      </c>
      <c r="VXD17" s="314" t="s">
        <v>203</v>
      </c>
      <c r="VXE17" s="314" t="s">
        <v>203</v>
      </c>
      <c r="VXF17" s="314" t="s">
        <v>203</v>
      </c>
      <c r="VXG17" s="314" t="s">
        <v>203</v>
      </c>
      <c r="VXH17" s="314" t="s">
        <v>203</v>
      </c>
      <c r="VXI17" s="314" t="s">
        <v>203</v>
      </c>
      <c r="VXJ17" s="314" t="s">
        <v>203</v>
      </c>
      <c r="VXK17" s="314" t="s">
        <v>203</v>
      </c>
      <c r="VXL17" s="314" t="s">
        <v>203</v>
      </c>
      <c r="VXM17" s="314" t="s">
        <v>203</v>
      </c>
      <c r="VXN17" s="314" t="s">
        <v>203</v>
      </c>
      <c r="VXO17" s="314" t="s">
        <v>203</v>
      </c>
      <c r="VXP17" s="314" t="s">
        <v>203</v>
      </c>
      <c r="VXQ17" s="314" t="s">
        <v>203</v>
      </c>
      <c r="VXR17" s="314" t="s">
        <v>203</v>
      </c>
      <c r="VXS17" s="314" t="s">
        <v>203</v>
      </c>
      <c r="VXT17" s="314" t="s">
        <v>203</v>
      </c>
      <c r="VXU17" s="314" t="s">
        <v>203</v>
      </c>
      <c r="VXV17" s="314" t="s">
        <v>203</v>
      </c>
      <c r="VXW17" s="314" t="s">
        <v>203</v>
      </c>
      <c r="VXX17" s="314" t="s">
        <v>203</v>
      </c>
      <c r="VXY17" s="314" t="s">
        <v>203</v>
      </c>
      <c r="VXZ17" s="314" t="s">
        <v>203</v>
      </c>
      <c r="VYA17" s="314" t="s">
        <v>203</v>
      </c>
      <c r="VYB17" s="314" t="s">
        <v>203</v>
      </c>
      <c r="VYC17" s="314" t="s">
        <v>203</v>
      </c>
      <c r="VYD17" s="314" t="s">
        <v>203</v>
      </c>
      <c r="VYE17" s="314" t="s">
        <v>203</v>
      </c>
      <c r="VYF17" s="314" t="s">
        <v>203</v>
      </c>
      <c r="VYG17" s="314" t="s">
        <v>203</v>
      </c>
      <c r="VYH17" s="314" t="s">
        <v>203</v>
      </c>
      <c r="VYI17" s="314" t="s">
        <v>203</v>
      </c>
      <c r="VYJ17" s="314" t="s">
        <v>203</v>
      </c>
      <c r="VYK17" s="314" t="s">
        <v>203</v>
      </c>
      <c r="VYL17" s="314" t="s">
        <v>203</v>
      </c>
      <c r="VYM17" s="314" t="s">
        <v>203</v>
      </c>
      <c r="VYN17" s="314" t="s">
        <v>203</v>
      </c>
      <c r="VYO17" s="314" t="s">
        <v>203</v>
      </c>
      <c r="VYP17" s="314" t="s">
        <v>203</v>
      </c>
      <c r="VYQ17" s="314" t="s">
        <v>203</v>
      </c>
      <c r="VYR17" s="314" t="s">
        <v>203</v>
      </c>
      <c r="VYS17" s="314" t="s">
        <v>203</v>
      </c>
      <c r="VYT17" s="314" t="s">
        <v>203</v>
      </c>
      <c r="VYU17" s="314" t="s">
        <v>203</v>
      </c>
      <c r="VYV17" s="314" t="s">
        <v>203</v>
      </c>
      <c r="VYW17" s="314" t="s">
        <v>203</v>
      </c>
      <c r="VYX17" s="314" t="s">
        <v>203</v>
      </c>
      <c r="VYY17" s="314" t="s">
        <v>203</v>
      </c>
      <c r="VYZ17" s="314" t="s">
        <v>203</v>
      </c>
      <c r="VZA17" s="314" t="s">
        <v>203</v>
      </c>
      <c r="VZB17" s="314" t="s">
        <v>203</v>
      </c>
      <c r="VZC17" s="314" t="s">
        <v>203</v>
      </c>
      <c r="VZD17" s="314" t="s">
        <v>203</v>
      </c>
      <c r="VZE17" s="314" t="s">
        <v>203</v>
      </c>
      <c r="VZF17" s="314" t="s">
        <v>203</v>
      </c>
      <c r="VZG17" s="314" t="s">
        <v>203</v>
      </c>
      <c r="VZH17" s="314" t="s">
        <v>203</v>
      </c>
      <c r="VZI17" s="314" t="s">
        <v>203</v>
      </c>
      <c r="VZJ17" s="314" t="s">
        <v>203</v>
      </c>
      <c r="VZK17" s="314" t="s">
        <v>203</v>
      </c>
      <c r="VZL17" s="314" t="s">
        <v>203</v>
      </c>
      <c r="VZM17" s="314" t="s">
        <v>203</v>
      </c>
      <c r="VZN17" s="314" t="s">
        <v>203</v>
      </c>
      <c r="VZO17" s="314" t="s">
        <v>203</v>
      </c>
      <c r="VZP17" s="314" t="s">
        <v>203</v>
      </c>
      <c r="VZQ17" s="314" t="s">
        <v>203</v>
      </c>
      <c r="VZR17" s="314" t="s">
        <v>203</v>
      </c>
      <c r="VZS17" s="314" t="s">
        <v>203</v>
      </c>
      <c r="VZT17" s="314" t="s">
        <v>203</v>
      </c>
      <c r="VZU17" s="314" t="s">
        <v>203</v>
      </c>
      <c r="VZV17" s="314" t="s">
        <v>203</v>
      </c>
      <c r="VZW17" s="314" t="s">
        <v>203</v>
      </c>
      <c r="VZX17" s="314" t="s">
        <v>203</v>
      </c>
      <c r="VZY17" s="314" t="s">
        <v>203</v>
      </c>
      <c r="VZZ17" s="314" t="s">
        <v>203</v>
      </c>
      <c r="WAA17" s="314" t="s">
        <v>203</v>
      </c>
      <c r="WAB17" s="314" t="s">
        <v>203</v>
      </c>
      <c r="WAC17" s="314" t="s">
        <v>203</v>
      </c>
      <c r="WAD17" s="314" t="s">
        <v>203</v>
      </c>
      <c r="WAE17" s="314" t="s">
        <v>203</v>
      </c>
      <c r="WAF17" s="314" t="s">
        <v>203</v>
      </c>
      <c r="WAG17" s="314" t="s">
        <v>203</v>
      </c>
      <c r="WAH17" s="314" t="s">
        <v>203</v>
      </c>
      <c r="WAI17" s="314" t="s">
        <v>203</v>
      </c>
      <c r="WAJ17" s="314" t="s">
        <v>203</v>
      </c>
      <c r="WAK17" s="314" t="s">
        <v>203</v>
      </c>
      <c r="WAL17" s="314" t="s">
        <v>203</v>
      </c>
      <c r="WAM17" s="314" t="s">
        <v>203</v>
      </c>
      <c r="WAN17" s="314" t="s">
        <v>203</v>
      </c>
      <c r="WAO17" s="314" t="s">
        <v>203</v>
      </c>
      <c r="WAP17" s="314" t="s">
        <v>203</v>
      </c>
      <c r="WAQ17" s="314" t="s">
        <v>203</v>
      </c>
      <c r="WAR17" s="314" t="s">
        <v>203</v>
      </c>
      <c r="WAS17" s="314" t="s">
        <v>203</v>
      </c>
      <c r="WAT17" s="314" t="s">
        <v>203</v>
      </c>
      <c r="WAU17" s="314" t="s">
        <v>203</v>
      </c>
      <c r="WAV17" s="314" t="s">
        <v>203</v>
      </c>
      <c r="WAW17" s="314" t="s">
        <v>203</v>
      </c>
      <c r="WAX17" s="314" t="s">
        <v>203</v>
      </c>
      <c r="WAY17" s="314" t="s">
        <v>203</v>
      </c>
      <c r="WAZ17" s="314" t="s">
        <v>203</v>
      </c>
      <c r="WBA17" s="314" t="s">
        <v>203</v>
      </c>
      <c r="WBB17" s="314" t="s">
        <v>203</v>
      </c>
      <c r="WBC17" s="314" t="s">
        <v>203</v>
      </c>
      <c r="WBD17" s="314" t="s">
        <v>203</v>
      </c>
      <c r="WBE17" s="314" t="s">
        <v>203</v>
      </c>
      <c r="WBF17" s="314" t="s">
        <v>203</v>
      </c>
      <c r="WBG17" s="314" t="s">
        <v>203</v>
      </c>
      <c r="WBH17" s="314" t="s">
        <v>203</v>
      </c>
      <c r="WBI17" s="314" t="s">
        <v>203</v>
      </c>
      <c r="WBJ17" s="314" t="s">
        <v>203</v>
      </c>
      <c r="WBK17" s="314" t="s">
        <v>203</v>
      </c>
      <c r="WBL17" s="314" t="s">
        <v>203</v>
      </c>
      <c r="WBM17" s="314" t="s">
        <v>203</v>
      </c>
      <c r="WBN17" s="314" t="s">
        <v>203</v>
      </c>
      <c r="WBO17" s="314" t="s">
        <v>203</v>
      </c>
      <c r="WBP17" s="314" t="s">
        <v>203</v>
      </c>
      <c r="WBQ17" s="314" t="s">
        <v>203</v>
      </c>
      <c r="WBR17" s="314" t="s">
        <v>203</v>
      </c>
      <c r="WBS17" s="314" t="s">
        <v>203</v>
      </c>
      <c r="WBT17" s="314" t="s">
        <v>203</v>
      </c>
      <c r="WBU17" s="314" t="s">
        <v>203</v>
      </c>
      <c r="WBV17" s="314" t="s">
        <v>203</v>
      </c>
      <c r="WBW17" s="314" t="s">
        <v>203</v>
      </c>
      <c r="WBX17" s="314" t="s">
        <v>203</v>
      </c>
      <c r="WBY17" s="314" t="s">
        <v>203</v>
      </c>
      <c r="WBZ17" s="314" t="s">
        <v>203</v>
      </c>
      <c r="WCA17" s="314" t="s">
        <v>203</v>
      </c>
      <c r="WCB17" s="314" t="s">
        <v>203</v>
      </c>
      <c r="WCC17" s="314" t="s">
        <v>203</v>
      </c>
      <c r="WCD17" s="314" t="s">
        <v>203</v>
      </c>
      <c r="WCE17" s="314" t="s">
        <v>203</v>
      </c>
      <c r="WCF17" s="314" t="s">
        <v>203</v>
      </c>
      <c r="WCG17" s="314" t="s">
        <v>203</v>
      </c>
      <c r="WCH17" s="314" t="s">
        <v>203</v>
      </c>
      <c r="WCI17" s="314" t="s">
        <v>203</v>
      </c>
      <c r="WCJ17" s="314" t="s">
        <v>203</v>
      </c>
      <c r="WCK17" s="314" t="s">
        <v>203</v>
      </c>
      <c r="WCL17" s="314" t="s">
        <v>203</v>
      </c>
      <c r="WCM17" s="314" t="s">
        <v>203</v>
      </c>
      <c r="WCN17" s="314" t="s">
        <v>203</v>
      </c>
      <c r="WCO17" s="314" t="s">
        <v>203</v>
      </c>
      <c r="WCP17" s="314" t="s">
        <v>203</v>
      </c>
      <c r="WCQ17" s="314" t="s">
        <v>203</v>
      </c>
      <c r="WCR17" s="314" t="s">
        <v>203</v>
      </c>
      <c r="WCS17" s="314" t="s">
        <v>203</v>
      </c>
      <c r="WCT17" s="314" t="s">
        <v>203</v>
      </c>
      <c r="WCU17" s="314" t="s">
        <v>203</v>
      </c>
      <c r="WCV17" s="314" t="s">
        <v>203</v>
      </c>
      <c r="WCW17" s="314" t="s">
        <v>203</v>
      </c>
      <c r="WCX17" s="314" t="s">
        <v>203</v>
      </c>
      <c r="WCY17" s="314" t="s">
        <v>203</v>
      </c>
      <c r="WCZ17" s="314" t="s">
        <v>203</v>
      </c>
      <c r="WDA17" s="314" t="s">
        <v>203</v>
      </c>
      <c r="WDB17" s="314" t="s">
        <v>203</v>
      </c>
      <c r="WDC17" s="314" t="s">
        <v>203</v>
      </c>
      <c r="WDD17" s="314" t="s">
        <v>203</v>
      </c>
      <c r="WDE17" s="314" t="s">
        <v>203</v>
      </c>
      <c r="WDF17" s="314" t="s">
        <v>203</v>
      </c>
      <c r="WDG17" s="314" t="s">
        <v>203</v>
      </c>
      <c r="WDH17" s="314" t="s">
        <v>203</v>
      </c>
      <c r="WDI17" s="314" t="s">
        <v>203</v>
      </c>
      <c r="WDJ17" s="314" t="s">
        <v>203</v>
      </c>
      <c r="WDK17" s="314" t="s">
        <v>203</v>
      </c>
      <c r="WDL17" s="314" t="s">
        <v>203</v>
      </c>
      <c r="WDM17" s="314" t="s">
        <v>203</v>
      </c>
      <c r="WDN17" s="314" t="s">
        <v>203</v>
      </c>
      <c r="WDO17" s="314" t="s">
        <v>203</v>
      </c>
      <c r="WDP17" s="314" t="s">
        <v>203</v>
      </c>
      <c r="WDQ17" s="314" t="s">
        <v>203</v>
      </c>
      <c r="WDR17" s="314" t="s">
        <v>203</v>
      </c>
      <c r="WDS17" s="314" t="s">
        <v>203</v>
      </c>
      <c r="WDT17" s="314" t="s">
        <v>203</v>
      </c>
      <c r="WDU17" s="314" t="s">
        <v>203</v>
      </c>
      <c r="WDV17" s="314" t="s">
        <v>203</v>
      </c>
      <c r="WDW17" s="314" t="s">
        <v>203</v>
      </c>
      <c r="WDX17" s="314" t="s">
        <v>203</v>
      </c>
      <c r="WDY17" s="314" t="s">
        <v>203</v>
      </c>
      <c r="WDZ17" s="314" t="s">
        <v>203</v>
      </c>
      <c r="WEA17" s="314" t="s">
        <v>203</v>
      </c>
      <c r="WEB17" s="314" t="s">
        <v>203</v>
      </c>
      <c r="WEC17" s="314" t="s">
        <v>203</v>
      </c>
      <c r="WED17" s="314" t="s">
        <v>203</v>
      </c>
      <c r="WEE17" s="314" t="s">
        <v>203</v>
      </c>
      <c r="WEF17" s="314" t="s">
        <v>203</v>
      </c>
      <c r="WEG17" s="314" t="s">
        <v>203</v>
      </c>
      <c r="WEH17" s="314" t="s">
        <v>203</v>
      </c>
      <c r="WEI17" s="314" t="s">
        <v>203</v>
      </c>
      <c r="WEJ17" s="314" t="s">
        <v>203</v>
      </c>
      <c r="WEK17" s="314" t="s">
        <v>203</v>
      </c>
      <c r="WEL17" s="314" t="s">
        <v>203</v>
      </c>
      <c r="WEM17" s="314" t="s">
        <v>203</v>
      </c>
      <c r="WEN17" s="314" t="s">
        <v>203</v>
      </c>
      <c r="WEO17" s="314" t="s">
        <v>203</v>
      </c>
      <c r="WEP17" s="314" t="s">
        <v>203</v>
      </c>
      <c r="WEQ17" s="314" t="s">
        <v>203</v>
      </c>
      <c r="WER17" s="314" t="s">
        <v>203</v>
      </c>
      <c r="WES17" s="314" t="s">
        <v>203</v>
      </c>
      <c r="WET17" s="314" t="s">
        <v>203</v>
      </c>
      <c r="WEU17" s="314" t="s">
        <v>203</v>
      </c>
      <c r="WEV17" s="314" t="s">
        <v>203</v>
      </c>
      <c r="WEW17" s="314" t="s">
        <v>203</v>
      </c>
      <c r="WEX17" s="314" t="s">
        <v>203</v>
      </c>
      <c r="WEY17" s="314" t="s">
        <v>203</v>
      </c>
      <c r="WEZ17" s="314" t="s">
        <v>203</v>
      </c>
      <c r="WFA17" s="314" t="s">
        <v>203</v>
      </c>
      <c r="WFB17" s="314" t="s">
        <v>203</v>
      </c>
      <c r="WFC17" s="314" t="s">
        <v>203</v>
      </c>
      <c r="WFD17" s="314" t="s">
        <v>203</v>
      </c>
      <c r="WFE17" s="314" t="s">
        <v>203</v>
      </c>
      <c r="WFF17" s="314" t="s">
        <v>203</v>
      </c>
      <c r="WFG17" s="314" t="s">
        <v>203</v>
      </c>
      <c r="WFH17" s="314" t="s">
        <v>203</v>
      </c>
      <c r="WFI17" s="314" t="s">
        <v>203</v>
      </c>
      <c r="WFJ17" s="314" t="s">
        <v>203</v>
      </c>
      <c r="WFK17" s="314" t="s">
        <v>203</v>
      </c>
      <c r="WFL17" s="314" t="s">
        <v>203</v>
      </c>
      <c r="WFM17" s="314" t="s">
        <v>203</v>
      </c>
      <c r="WFN17" s="314" t="s">
        <v>203</v>
      </c>
      <c r="WFO17" s="314" t="s">
        <v>203</v>
      </c>
      <c r="WFP17" s="314" t="s">
        <v>203</v>
      </c>
      <c r="WFQ17" s="314" t="s">
        <v>203</v>
      </c>
      <c r="WFR17" s="314" t="s">
        <v>203</v>
      </c>
      <c r="WFS17" s="314" t="s">
        <v>203</v>
      </c>
      <c r="WFT17" s="314" t="s">
        <v>203</v>
      </c>
      <c r="WFU17" s="314" t="s">
        <v>203</v>
      </c>
      <c r="WFV17" s="314" t="s">
        <v>203</v>
      </c>
      <c r="WFW17" s="314" t="s">
        <v>203</v>
      </c>
      <c r="WFX17" s="314" t="s">
        <v>203</v>
      </c>
      <c r="WFY17" s="314" t="s">
        <v>203</v>
      </c>
      <c r="WFZ17" s="314" t="s">
        <v>203</v>
      </c>
      <c r="WGA17" s="314" t="s">
        <v>203</v>
      </c>
      <c r="WGB17" s="314" t="s">
        <v>203</v>
      </c>
      <c r="WGC17" s="314" t="s">
        <v>203</v>
      </c>
      <c r="WGD17" s="314" t="s">
        <v>203</v>
      </c>
      <c r="WGE17" s="314" t="s">
        <v>203</v>
      </c>
      <c r="WGF17" s="314" t="s">
        <v>203</v>
      </c>
      <c r="WGG17" s="314" t="s">
        <v>203</v>
      </c>
      <c r="WGH17" s="314" t="s">
        <v>203</v>
      </c>
      <c r="WGI17" s="314" t="s">
        <v>203</v>
      </c>
      <c r="WGJ17" s="314" t="s">
        <v>203</v>
      </c>
      <c r="WGK17" s="314" t="s">
        <v>203</v>
      </c>
      <c r="WGL17" s="314" t="s">
        <v>203</v>
      </c>
      <c r="WGM17" s="314" t="s">
        <v>203</v>
      </c>
      <c r="WGN17" s="314" t="s">
        <v>203</v>
      </c>
      <c r="WGO17" s="314" t="s">
        <v>203</v>
      </c>
      <c r="WGP17" s="314" t="s">
        <v>203</v>
      </c>
      <c r="WGQ17" s="314" t="s">
        <v>203</v>
      </c>
      <c r="WGR17" s="314" t="s">
        <v>203</v>
      </c>
      <c r="WGS17" s="314" t="s">
        <v>203</v>
      </c>
      <c r="WGT17" s="314" t="s">
        <v>203</v>
      </c>
      <c r="WGU17" s="314" t="s">
        <v>203</v>
      </c>
      <c r="WGV17" s="314" t="s">
        <v>203</v>
      </c>
      <c r="WGW17" s="314" t="s">
        <v>203</v>
      </c>
      <c r="WGX17" s="314" t="s">
        <v>203</v>
      </c>
      <c r="WGY17" s="314" t="s">
        <v>203</v>
      </c>
      <c r="WGZ17" s="314" t="s">
        <v>203</v>
      </c>
      <c r="WHA17" s="314" t="s">
        <v>203</v>
      </c>
      <c r="WHB17" s="314" t="s">
        <v>203</v>
      </c>
      <c r="WHC17" s="314" t="s">
        <v>203</v>
      </c>
      <c r="WHD17" s="314" t="s">
        <v>203</v>
      </c>
      <c r="WHE17" s="314" t="s">
        <v>203</v>
      </c>
      <c r="WHF17" s="314" t="s">
        <v>203</v>
      </c>
      <c r="WHG17" s="314" t="s">
        <v>203</v>
      </c>
      <c r="WHH17" s="314" t="s">
        <v>203</v>
      </c>
      <c r="WHI17" s="314" t="s">
        <v>203</v>
      </c>
      <c r="WHJ17" s="314" t="s">
        <v>203</v>
      </c>
      <c r="WHK17" s="314" t="s">
        <v>203</v>
      </c>
      <c r="WHL17" s="314" t="s">
        <v>203</v>
      </c>
      <c r="WHM17" s="314" t="s">
        <v>203</v>
      </c>
      <c r="WHN17" s="314" t="s">
        <v>203</v>
      </c>
      <c r="WHO17" s="314" t="s">
        <v>203</v>
      </c>
      <c r="WHP17" s="314" t="s">
        <v>203</v>
      </c>
      <c r="WHQ17" s="314" t="s">
        <v>203</v>
      </c>
      <c r="WHR17" s="314" t="s">
        <v>203</v>
      </c>
      <c r="WHS17" s="314" t="s">
        <v>203</v>
      </c>
      <c r="WHT17" s="314" t="s">
        <v>203</v>
      </c>
      <c r="WHU17" s="314" t="s">
        <v>203</v>
      </c>
      <c r="WHV17" s="314" t="s">
        <v>203</v>
      </c>
      <c r="WHW17" s="314" t="s">
        <v>203</v>
      </c>
      <c r="WHX17" s="314" t="s">
        <v>203</v>
      </c>
      <c r="WHY17" s="314" t="s">
        <v>203</v>
      </c>
      <c r="WHZ17" s="314" t="s">
        <v>203</v>
      </c>
      <c r="WIA17" s="314" t="s">
        <v>203</v>
      </c>
      <c r="WIB17" s="314" t="s">
        <v>203</v>
      </c>
      <c r="WIC17" s="314" t="s">
        <v>203</v>
      </c>
      <c r="WID17" s="314" t="s">
        <v>203</v>
      </c>
      <c r="WIE17" s="314" t="s">
        <v>203</v>
      </c>
      <c r="WIF17" s="314" t="s">
        <v>203</v>
      </c>
      <c r="WIG17" s="314" t="s">
        <v>203</v>
      </c>
      <c r="WIH17" s="314" t="s">
        <v>203</v>
      </c>
      <c r="WII17" s="314" t="s">
        <v>203</v>
      </c>
      <c r="WIJ17" s="314" t="s">
        <v>203</v>
      </c>
      <c r="WIK17" s="314" t="s">
        <v>203</v>
      </c>
      <c r="WIL17" s="314" t="s">
        <v>203</v>
      </c>
      <c r="WIM17" s="314" t="s">
        <v>203</v>
      </c>
      <c r="WIN17" s="314" t="s">
        <v>203</v>
      </c>
      <c r="WIO17" s="314" t="s">
        <v>203</v>
      </c>
      <c r="WIP17" s="314" t="s">
        <v>203</v>
      </c>
      <c r="WIQ17" s="314" t="s">
        <v>203</v>
      </c>
      <c r="WIR17" s="314" t="s">
        <v>203</v>
      </c>
      <c r="WIS17" s="314" t="s">
        <v>203</v>
      </c>
      <c r="WIT17" s="314" t="s">
        <v>203</v>
      </c>
      <c r="WIU17" s="314" t="s">
        <v>203</v>
      </c>
      <c r="WIV17" s="314" t="s">
        <v>203</v>
      </c>
      <c r="WIW17" s="314" t="s">
        <v>203</v>
      </c>
      <c r="WIX17" s="314" t="s">
        <v>203</v>
      </c>
      <c r="WIY17" s="314" t="s">
        <v>203</v>
      </c>
      <c r="WIZ17" s="314" t="s">
        <v>203</v>
      </c>
      <c r="WJA17" s="314" t="s">
        <v>203</v>
      </c>
      <c r="WJB17" s="314" t="s">
        <v>203</v>
      </c>
      <c r="WJC17" s="314" t="s">
        <v>203</v>
      </c>
      <c r="WJD17" s="314" t="s">
        <v>203</v>
      </c>
      <c r="WJE17" s="314" t="s">
        <v>203</v>
      </c>
      <c r="WJF17" s="314" t="s">
        <v>203</v>
      </c>
      <c r="WJG17" s="314" t="s">
        <v>203</v>
      </c>
      <c r="WJH17" s="314" t="s">
        <v>203</v>
      </c>
      <c r="WJI17" s="314" t="s">
        <v>203</v>
      </c>
      <c r="WJJ17" s="314" t="s">
        <v>203</v>
      </c>
      <c r="WJK17" s="314" t="s">
        <v>203</v>
      </c>
      <c r="WJL17" s="314" t="s">
        <v>203</v>
      </c>
      <c r="WJM17" s="314" t="s">
        <v>203</v>
      </c>
      <c r="WJN17" s="314" t="s">
        <v>203</v>
      </c>
      <c r="WJO17" s="314" t="s">
        <v>203</v>
      </c>
      <c r="WJP17" s="314" t="s">
        <v>203</v>
      </c>
      <c r="WJQ17" s="314" t="s">
        <v>203</v>
      </c>
      <c r="WJR17" s="314" t="s">
        <v>203</v>
      </c>
      <c r="WJS17" s="314" t="s">
        <v>203</v>
      </c>
      <c r="WJT17" s="314" t="s">
        <v>203</v>
      </c>
      <c r="WJU17" s="314" t="s">
        <v>203</v>
      </c>
      <c r="WJV17" s="314" t="s">
        <v>203</v>
      </c>
      <c r="WJW17" s="314" t="s">
        <v>203</v>
      </c>
      <c r="WJX17" s="314" t="s">
        <v>203</v>
      </c>
      <c r="WJY17" s="314" t="s">
        <v>203</v>
      </c>
      <c r="WJZ17" s="314" t="s">
        <v>203</v>
      </c>
      <c r="WKA17" s="314" t="s">
        <v>203</v>
      </c>
      <c r="WKB17" s="314" t="s">
        <v>203</v>
      </c>
      <c r="WKC17" s="314" t="s">
        <v>203</v>
      </c>
      <c r="WKD17" s="314" t="s">
        <v>203</v>
      </c>
      <c r="WKE17" s="314" t="s">
        <v>203</v>
      </c>
      <c r="WKF17" s="314" t="s">
        <v>203</v>
      </c>
      <c r="WKG17" s="314" t="s">
        <v>203</v>
      </c>
      <c r="WKH17" s="314" t="s">
        <v>203</v>
      </c>
      <c r="WKI17" s="314" t="s">
        <v>203</v>
      </c>
      <c r="WKJ17" s="314" t="s">
        <v>203</v>
      </c>
      <c r="WKK17" s="314" t="s">
        <v>203</v>
      </c>
      <c r="WKL17" s="314" t="s">
        <v>203</v>
      </c>
      <c r="WKM17" s="314" t="s">
        <v>203</v>
      </c>
      <c r="WKN17" s="314" t="s">
        <v>203</v>
      </c>
      <c r="WKO17" s="314" t="s">
        <v>203</v>
      </c>
      <c r="WKP17" s="314" t="s">
        <v>203</v>
      </c>
      <c r="WKQ17" s="314" t="s">
        <v>203</v>
      </c>
      <c r="WKR17" s="314" t="s">
        <v>203</v>
      </c>
      <c r="WKS17" s="314" t="s">
        <v>203</v>
      </c>
      <c r="WKT17" s="314" t="s">
        <v>203</v>
      </c>
      <c r="WKU17" s="314" t="s">
        <v>203</v>
      </c>
      <c r="WKV17" s="314" t="s">
        <v>203</v>
      </c>
      <c r="WKW17" s="314" t="s">
        <v>203</v>
      </c>
      <c r="WKX17" s="314" t="s">
        <v>203</v>
      </c>
      <c r="WKY17" s="314" t="s">
        <v>203</v>
      </c>
      <c r="WKZ17" s="314" t="s">
        <v>203</v>
      </c>
      <c r="WLA17" s="314" t="s">
        <v>203</v>
      </c>
      <c r="WLB17" s="314" t="s">
        <v>203</v>
      </c>
      <c r="WLC17" s="314" t="s">
        <v>203</v>
      </c>
      <c r="WLD17" s="314" t="s">
        <v>203</v>
      </c>
      <c r="WLE17" s="314" t="s">
        <v>203</v>
      </c>
      <c r="WLF17" s="314" t="s">
        <v>203</v>
      </c>
      <c r="WLG17" s="314" t="s">
        <v>203</v>
      </c>
      <c r="WLH17" s="314" t="s">
        <v>203</v>
      </c>
      <c r="WLI17" s="314" t="s">
        <v>203</v>
      </c>
      <c r="WLJ17" s="314" t="s">
        <v>203</v>
      </c>
      <c r="WLK17" s="314" t="s">
        <v>203</v>
      </c>
      <c r="WLL17" s="314" t="s">
        <v>203</v>
      </c>
      <c r="WLM17" s="314" t="s">
        <v>203</v>
      </c>
      <c r="WLN17" s="314" t="s">
        <v>203</v>
      </c>
      <c r="WLO17" s="314" t="s">
        <v>203</v>
      </c>
      <c r="WLP17" s="314" t="s">
        <v>203</v>
      </c>
      <c r="WLQ17" s="314" t="s">
        <v>203</v>
      </c>
      <c r="WLR17" s="314" t="s">
        <v>203</v>
      </c>
      <c r="WLS17" s="314" t="s">
        <v>203</v>
      </c>
      <c r="WLT17" s="314" t="s">
        <v>203</v>
      </c>
      <c r="WLU17" s="314" t="s">
        <v>203</v>
      </c>
      <c r="WLV17" s="314" t="s">
        <v>203</v>
      </c>
      <c r="WLW17" s="314" t="s">
        <v>203</v>
      </c>
      <c r="WLX17" s="314" t="s">
        <v>203</v>
      </c>
      <c r="WLY17" s="314" t="s">
        <v>203</v>
      </c>
      <c r="WLZ17" s="314" t="s">
        <v>203</v>
      </c>
      <c r="WMA17" s="314" t="s">
        <v>203</v>
      </c>
      <c r="WMB17" s="314" t="s">
        <v>203</v>
      </c>
      <c r="WMC17" s="314" t="s">
        <v>203</v>
      </c>
      <c r="WMD17" s="314" t="s">
        <v>203</v>
      </c>
      <c r="WME17" s="314" t="s">
        <v>203</v>
      </c>
      <c r="WMF17" s="314" t="s">
        <v>203</v>
      </c>
      <c r="WMG17" s="314" t="s">
        <v>203</v>
      </c>
      <c r="WMH17" s="314" t="s">
        <v>203</v>
      </c>
      <c r="WMI17" s="314" t="s">
        <v>203</v>
      </c>
      <c r="WMJ17" s="314" t="s">
        <v>203</v>
      </c>
      <c r="WMK17" s="314" t="s">
        <v>203</v>
      </c>
      <c r="WML17" s="314" t="s">
        <v>203</v>
      </c>
      <c r="WMM17" s="314" t="s">
        <v>203</v>
      </c>
      <c r="WMN17" s="314" t="s">
        <v>203</v>
      </c>
      <c r="WMO17" s="314" t="s">
        <v>203</v>
      </c>
      <c r="WMP17" s="314" t="s">
        <v>203</v>
      </c>
      <c r="WMQ17" s="314" t="s">
        <v>203</v>
      </c>
      <c r="WMR17" s="314" t="s">
        <v>203</v>
      </c>
      <c r="WMS17" s="314" t="s">
        <v>203</v>
      </c>
      <c r="WMT17" s="314" t="s">
        <v>203</v>
      </c>
      <c r="WMU17" s="314" t="s">
        <v>203</v>
      </c>
      <c r="WMV17" s="314" t="s">
        <v>203</v>
      </c>
      <c r="WMW17" s="314" t="s">
        <v>203</v>
      </c>
      <c r="WMX17" s="314" t="s">
        <v>203</v>
      </c>
      <c r="WMY17" s="314" t="s">
        <v>203</v>
      </c>
      <c r="WMZ17" s="314" t="s">
        <v>203</v>
      </c>
      <c r="WNA17" s="314" t="s">
        <v>203</v>
      </c>
      <c r="WNB17" s="314" t="s">
        <v>203</v>
      </c>
      <c r="WNC17" s="314" t="s">
        <v>203</v>
      </c>
      <c r="WND17" s="314" t="s">
        <v>203</v>
      </c>
      <c r="WNE17" s="314" t="s">
        <v>203</v>
      </c>
      <c r="WNF17" s="314" t="s">
        <v>203</v>
      </c>
      <c r="WNG17" s="314" t="s">
        <v>203</v>
      </c>
      <c r="WNH17" s="314" t="s">
        <v>203</v>
      </c>
      <c r="WNI17" s="314" t="s">
        <v>203</v>
      </c>
      <c r="WNJ17" s="314" t="s">
        <v>203</v>
      </c>
      <c r="WNK17" s="314" t="s">
        <v>203</v>
      </c>
      <c r="WNL17" s="314" t="s">
        <v>203</v>
      </c>
      <c r="WNM17" s="314" t="s">
        <v>203</v>
      </c>
      <c r="WNN17" s="314" t="s">
        <v>203</v>
      </c>
      <c r="WNO17" s="314" t="s">
        <v>203</v>
      </c>
      <c r="WNP17" s="314" t="s">
        <v>203</v>
      </c>
      <c r="WNQ17" s="314" t="s">
        <v>203</v>
      </c>
      <c r="WNR17" s="314" t="s">
        <v>203</v>
      </c>
      <c r="WNS17" s="314" t="s">
        <v>203</v>
      </c>
      <c r="WNT17" s="314" t="s">
        <v>203</v>
      </c>
      <c r="WNU17" s="314" t="s">
        <v>203</v>
      </c>
      <c r="WNV17" s="314" t="s">
        <v>203</v>
      </c>
      <c r="WNW17" s="314" t="s">
        <v>203</v>
      </c>
      <c r="WNX17" s="314" t="s">
        <v>203</v>
      </c>
      <c r="WNY17" s="314" t="s">
        <v>203</v>
      </c>
      <c r="WNZ17" s="314" t="s">
        <v>203</v>
      </c>
      <c r="WOA17" s="314" t="s">
        <v>203</v>
      </c>
      <c r="WOB17" s="314" t="s">
        <v>203</v>
      </c>
      <c r="WOC17" s="314" t="s">
        <v>203</v>
      </c>
      <c r="WOD17" s="314" t="s">
        <v>203</v>
      </c>
      <c r="WOE17" s="314" t="s">
        <v>203</v>
      </c>
      <c r="WOF17" s="314" t="s">
        <v>203</v>
      </c>
      <c r="WOG17" s="314" t="s">
        <v>203</v>
      </c>
      <c r="WOH17" s="314" t="s">
        <v>203</v>
      </c>
      <c r="WOI17" s="314" t="s">
        <v>203</v>
      </c>
      <c r="WOJ17" s="314" t="s">
        <v>203</v>
      </c>
      <c r="WOK17" s="314" t="s">
        <v>203</v>
      </c>
      <c r="WOL17" s="314" t="s">
        <v>203</v>
      </c>
      <c r="WOM17" s="314" t="s">
        <v>203</v>
      </c>
      <c r="WON17" s="314" t="s">
        <v>203</v>
      </c>
      <c r="WOO17" s="314" t="s">
        <v>203</v>
      </c>
      <c r="WOP17" s="314" t="s">
        <v>203</v>
      </c>
      <c r="WOQ17" s="314" t="s">
        <v>203</v>
      </c>
      <c r="WOR17" s="314" t="s">
        <v>203</v>
      </c>
      <c r="WOS17" s="314" t="s">
        <v>203</v>
      </c>
      <c r="WOT17" s="314" t="s">
        <v>203</v>
      </c>
      <c r="WOU17" s="314" t="s">
        <v>203</v>
      </c>
      <c r="WOV17" s="314" t="s">
        <v>203</v>
      </c>
      <c r="WOW17" s="314" t="s">
        <v>203</v>
      </c>
      <c r="WOX17" s="314" t="s">
        <v>203</v>
      </c>
      <c r="WOY17" s="314" t="s">
        <v>203</v>
      </c>
      <c r="WOZ17" s="314" t="s">
        <v>203</v>
      </c>
      <c r="WPA17" s="314" t="s">
        <v>203</v>
      </c>
      <c r="WPB17" s="314" t="s">
        <v>203</v>
      </c>
      <c r="WPC17" s="314" t="s">
        <v>203</v>
      </c>
      <c r="WPD17" s="314" t="s">
        <v>203</v>
      </c>
      <c r="WPE17" s="314" t="s">
        <v>203</v>
      </c>
      <c r="WPF17" s="314" t="s">
        <v>203</v>
      </c>
      <c r="WPG17" s="314" t="s">
        <v>203</v>
      </c>
      <c r="WPH17" s="314" t="s">
        <v>203</v>
      </c>
      <c r="WPI17" s="314" t="s">
        <v>203</v>
      </c>
      <c r="WPJ17" s="314" t="s">
        <v>203</v>
      </c>
      <c r="WPK17" s="314" t="s">
        <v>203</v>
      </c>
      <c r="WPL17" s="314" t="s">
        <v>203</v>
      </c>
      <c r="WPM17" s="314" t="s">
        <v>203</v>
      </c>
      <c r="WPN17" s="314" t="s">
        <v>203</v>
      </c>
      <c r="WPO17" s="314" t="s">
        <v>203</v>
      </c>
      <c r="WPP17" s="314" t="s">
        <v>203</v>
      </c>
      <c r="WPQ17" s="314" t="s">
        <v>203</v>
      </c>
      <c r="WPR17" s="314" t="s">
        <v>203</v>
      </c>
      <c r="WPS17" s="314" t="s">
        <v>203</v>
      </c>
      <c r="WPT17" s="314" t="s">
        <v>203</v>
      </c>
      <c r="WPU17" s="314" t="s">
        <v>203</v>
      </c>
      <c r="WPV17" s="314" t="s">
        <v>203</v>
      </c>
      <c r="WPW17" s="314" t="s">
        <v>203</v>
      </c>
      <c r="WPX17" s="314" t="s">
        <v>203</v>
      </c>
      <c r="WPY17" s="314" t="s">
        <v>203</v>
      </c>
      <c r="WPZ17" s="314" t="s">
        <v>203</v>
      </c>
      <c r="WQA17" s="314" t="s">
        <v>203</v>
      </c>
      <c r="WQB17" s="314" t="s">
        <v>203</v>
      </c>
      <c r="WQC17" s="314" t="s">
        <v>203</v>
      </c>
      <c r="WQD17" s="314" t="s">
        <v>203</v>
      </c>
      <c r="WQE17" s="314" t="s">
        <v>203</v>
      </c>
      <c r="WQF17" s="314" t="s">
        <v>203</v>
      </c>
      <c r="WQG17" s="314" t="s">
        <v>203</v>
      </c>
      <c r="WQH17" s="314" t="s">
        <v>203</v>
      </c>
      <c r="WQI17" s="314" t="s">
        <v>203</v>
      </c>
      <c r="WQJ17" s="314" t="s">
        <v>203</v>
      </c>
      <c r="WQK17" s="314" t="s">
        <v>203</v>
      </c>
      <c r="WQL17" s="314" t="s">
        <v>203</v>
      </c>
      <c r="WQM17" s="314" t="s">
        <v>203</v>
      </c>
      <c r="WQN17" s="314" t="s">
        <v>203</v>
      </c>
      <c r="WQO17" s="314" t="s">
        <v>203</v>
      </c>
      <c r="WQP17" s="314" t="s">
        <v>203</v>
      </c>
      <c r="WQQ17" s="314" t="s">
        <v>203</v>
      </c>
      <c r="WQR17" s="314" t="s">
        <v>203</v>
      </c>
      <c r="WQS17" s="314" t="s">
        <v>203</v>
      </c>
      <c r="WQT17" s="314" t="s">
        <v>203</v>
      </c>
      <c r="WQU17" s="314" t="s">
        <v>203</v>
      </c>
      <c r="WQV17" s="314" t="s">
        <v>203</v>
      </c>
      <c r="WQW17" s="314" t="s">
        <v>203</v>
      </c>
      <c r="WQX17" s="314" t="s">
        <v>203</v>
      </c>
      <c r="WQY17" s="314" t="s">
        <v>203</v>
      </c>
      <c r="WQZ17" s="314" t="s">
        <v>203</v>
      </c>
      <c r="WRA17" s="314" t="s">
        <v>203</v>
      </c>
      <c r="WRB17" s="314" t="s">
        <v>203</v>
      </c>
      <c r="WRC17" s="314" t="s">
        <v>203</v>
      </c>
      <c r="WRD17" s="314" t="s">
        <v>203</v>
      </c>
      <c r="WRE17" s="314" t="s">
        <v>203</v>
      </c>
      <c r="WRF17" s="314" t="s">
        <v>203</v>
      </c>
      <c r="WRG17" s="314" t="s">
        <v>203</v>
      </c>
      <c r="WRH17" s="314" t="s">
        <v>203</v>
      </c>
      <c r="WRI17" s="314" t="s">
        <v>203</v>
      </c>
      <c r="WRJ17" s="314" t="s">
        <v>203</v>
      </c>
      <c r="WRK17" s="314" t="s">
        <v>203</v>
      </c>
      <c r="WRL17" s="314" t="s">
        <v>203</v>
      </c>
      <c r="WRM17" s="314" t="s">
        <v>203</v>
      </c>
      <c r="WRN17" s="314" t="s">
        <v>203</v>
      </c>
      <c r="WRO17" s="314" t="s">
        <v>203</v>
      </c>
      <c r="WRP17" s="314" t="s">
        <v>203</v>
      </c>
      <c r="WRQ17" s="314" t="s">
        <v>203</v>
      </c>
      <c r="WRR17" s="314" t="s">
        <v>203</v>
      </c>
      <c r="WRS17" s="314" t="s">
        <v>203</v>
      </c>
      <c r="WRT17" s="314" t="s">
        <v>203</v>
      </c>
      <c r="WRU17" s="314" t="s">
        <v>203</v>
      </c>
      <c r="WRV17" s="314" t="s">
        <v>203</v>
      </c>
      <c r="WRW17" s="314" t="s">
        <v>203</v>
      </c>
      <c r="WRX17" s="314" t="s">
        <v>203</v>
      </c>
      <c r="WRY17" s="314" t="s">
        <v>203</v>
      </c>
      <c r="WRZ17" s="314" t="s">
        <v>203</v>
      </c>
      <c r="WSA17" s="314" t="s">
        <v>203</v>
      </c>
      <c r="WSB17" s="314" t="s">
        <v>203</v>
      </c>
      <c r="WSC17" s="314" t="s">
        <v>203</v>
      </c>
      <c r="WSD17" s="314" t="s">
        <v>203</v>
      </c>
      <c r="WSE17" s="314" t="s">
        <v>203</v>
      </c>
      <c r="WSF17" s="314" t="s">
        <v>203</v>
      </c>
      <c r="WSG17" s="314" t="s">
        <v>203</v>
      </c>
      <c r="WSH17" s="314" t="s">
        <v>203</v>
      </c>
      <c r="WSI17" s="314" t="s">
        <v>203</v>
      </c>
      <c r="WSJ17" s="314" t="s">
        <v>203</v>
      </c>
      <c r="WSK17" s="314" t="s">
        <v>203</v>
      </c>
      <c r="WSL17" s="314" t="s">
        <v>203</v>
      </c>
      <c r="WSM17" s="314" t="s">
        <v>203</v>
      </c>
      <c r="WSN17" s="314" t="s">
        <v>203</v>
      </c>
      <c r="WSO17" s="314" t="s">
        <v>203</v>
      </c>
      <c r="WSP17" s="314" t="s">
        <v>203</v>
      </c>
      <c r="WSQ17" s="314" t="s">
        <v>203</v>
      </c>
      <c r="WSR17" s="314" t="s">
        <v>203</v>
      </c>
      <c r="WSS17" s="314" t="s">
        <v>203</v>
      </c>
      <c r="WST17" s="314" t="s">
        <v>203</v>
      </c>
      <c r="WSU17" s="314" t="s">
        <v>203</v>
      </c>
      <c r="WSV17" s="314" t="s">
        <v>203</v>
      </c>
      <c r="WSW17" s="314" t="s">
        <v>203</v>
      </c>
      <c r="WSX17" s="314" t="s">
        <v>203</v>
      </c>
      <c r="WSY17" s="314" t="s">
        <v>203</v>
      </c>
      <c r="WSZ17" s="314" t="s">
        <v>203</v>
      </c>
      <c r="WTA17" s="314" t="s">
        <v>203</v>
      </c>
      <c r="WTB17" s="314" t="s">
        <v>203</v>
      </c>
      <c r="WTC17" s="314" t="s">
        <v>203</v>
      </c>
      <c r="WTD17" s="314" t="s">
        <v>203</v>
      </c>
      <c r="WTE17" s="314" t="s">
        <v>203</v>
      </c>
      <c r="WTF17" s="314" t="s">
        <v>203</v>
      </c>
      <c r="WTG17" s="314" t="s">
        <v>203</v>
      </c>
      <c r="WTH17" s="314" t="s">
        <v>203</v>
      </c>
      <c r="WTI17" s="314" t="s">
        <v>203</v>
      </c>
      <c r="WTJ17" s="314" t="s">
        <v>203</v>
      </c>
      <c r="WTK17" s="314" t="s">
        <v>203</v>
      </c>
      <c r="WTL17" s="314" t="s">
        <v>203</v>
      </c>
      <c r="WTM17" s="314" t="s">
        <v>203</v>
      </c>
      <c r="WTN17" s="314" t="s">
        <v>203</v>
      </c>
      <c r="WTO17" s="314" t="s">
        <v>203</v>
      </c>
      <c r="WTP17" s="314" t="s">
        <v>203</v>
      </c>
      <c r="WTQ17" s="314" t="s">
        <v>203</v>
      </c>
      <c r="WTR17" s="314" t="s">
        <v>203</v>
      </c>
      <c r="WTS17" s="314" t="s">
        <v>203</v>
      </c>
      <c r="WTT17" s="314" t="s">
        <v>203</v>
      </c>
      <c r="WTU17" s="314" t="s">
        <v>203</v>
      </c>
      <c r="WTV17" s="314" t="s">
        <v>203</v>
      </c>
      <c r="WTW17" s="314" t="s">
        <v>203</v>
      </c>
      <c r="WTX17" s="314" t="s">
        <v>203</v>
      </c>
      <c r="WTY17" s="314" t="s">
        <v>203</v>
      </c>
      <c r="WTZ17" s="314" t="s">
        <v>203</v>
      </c>
      <c r="WUA17" s="314" t="s">
        <v>203</v>
      </c>
      <c r="WUB17" s="314" t="s">
        <v>203</v>
      </c>
      <c r="WUC17" s="314" t="s">
        <v>203</v>
      </c>
      <c r="WUD17" s="314" t="s">
        <v>203</v>
      </c>
      <c r="WUE17" s="314" t="s">
        <v>203</v>
      </c>
      <c r="WUF17" s="314" t="s">
        <v>203</v>
      </c>
      <c r="WUG17" s="314" t="s">
        <v>203</v>
      </c>
      <c r="WUH17" s="314" t="s">
        <v>203</v>
      </c>
      <c r="WUI17" s="314" t="s">
        <v>203</v>
      </c>
      <c r="WUJ17" s="314" t="s">
        <v>203</v>
      </c>
      <c r="WUK17" s="314" t="s">
        <v>203</v>
      </c>
      <c r="WUL17" s="314" t="s">
        <v>203</v>
      </c>
      <c r="WUM17" s="314" t="s">
        <v>203</v>
      </c>
      <c r="WUN17" s="314" t="s">
        <v>203</v>
      </c>
      <c r="WUO17" s="314" t="s">
        <v>203</v>
      </c>
      <c r="WUP17" s="314" t="s">
        <v>203</v>
      </c>
      <c r="WUQ17" s="314" t="s">
        <v>203</v>
      </c>
      <c r="WUR17" s="314" t="s">
        <v>203</v>
      </c>
      <c r="WUS17" s="314" t="s">
        <v>203</v>
      </c>
      <c r="WUT17" s="314" t="s">
        <v>203</v>
      </c>
      <c r="WUU17" s="314" t="s">
        <v>203</v>
      </c>
      <c r="WUV17" s="314" t="s">
        <v>203</v>
      </c>
      <c r="WUW17" s="314" t="s">
        <v>203</v>
      </c>
      <c r="WUX17" s="314" t="s">
        <v>203</v>
      </c>
      <c r="WUY17" s="314" t="s">
        <v>203</v>
      </c>
      <c r="WUZ17" s="314" t="s">
        <v>203</v>
      </c>
      <c r="WVA17" s="314" t="s">
        <v>203</v>
      </c>
      <c r="WVB17" s="314" t="s">
        <v>203</v>
      </c>
      <c r="WVC17" s="314" t="s">
        <v>203</v>
      </c>
      <c r="WVD17" s="314" t="s">
        <v>203</v>
      </c>
      <c r="WVE17" s="314" t="s">
        <v>203</v>
      </c>
      <c r="WVF17" s="314" t="s">
        <v>203</v>
      </c>
      <c r="WVG17" s="314" t="s">
        <v>203</v>
      </c>
      <c r="WVH17" s="314" t="s">
        <v>203</v>
      </c>
      <c r="WVI17" s="314" t="s">
        <v>203</v>
      </c>
      <c r="WVJ17" s="314" t="s">
        <v>203</v>
      </c>
      <c r="WVK17" s="314" t="s">
        <v>203</v>
      </c>
      <c r="WVL17" s="314" t="s">
        <v>203</v>
      </c>
      <c r="WVM17" s="314" t="s">
        <v>203</v>
      </c>
      <c r="WVN17" s="314" t="s">
        <v>203</v>
      </c>
      <c r="WVO17" s="314" t="s">
        <v>203</v>
      </c>
      <c r="WVP17" s="314" t="s">
        <v>203</v>
      </c>
      <c r="WVQ17" s="314" t="s">
        <v>203</v>
      </c>
      <c r="WVR17" s="314" t="s">
        <v>203</v>
      </c>
      <c r="WVS17" s="314" t="s">
        <v>203</v>
      </c>
      <c r="WVT17" s="314" t="s">
        <v>203</v>
      </c>
      <c r="WVU17" s="314" t="s">
        <v>203</v>
      </c>
      <c r="WVV17" s="314" t="s">
        <v>203</v>
      </c>
      <c r="WVW17" s="314" t="s">
        <v>203</v>
      </c>
      <c r="WVX17" s="314" t="s">
        <v>203</v>
      </c>
      <c r="WVY17" s="314" t="s">
        <v>203</v>
      </c>
      <c r="WVZ17" s="314" t="s">
        <v>203</v>
      </c>
      <c r="WWA17" s="314" t="s">
        <v>203</v>
      </c>
      <c r="WWB17" s="314" t="s">
        <v>203</v>
      </c>
      <c r="WWC17" s="314" t="s">
        <v>203</v>
      </c>
      <c r="WWD17" s="314" t="s">
        <v>203</v>
      </c>
      <c r="WWE17" s="314" t="s">
        <v>203</v>
      </c>
      <c r="WWF17" s="314" t="s">
        <v>203</v>
      </c>
      <c r="WWG17" s="314" t="s">
        <v>203</v>
      </c>
      <c r="WWH17" s="314" t="s">
        <v>203</v>
      </c>
      <c r="WWI17" s="314" t="s">
        <v>203</v>
      </c>
      <c r="WWJ17" s="314" t="s">
        <v>203</v>
      </c>
      <c r="WWK17" s="314" t="s">
        <v>203</v>
      </c>
      <c r="WWL17" s="314" t="s">
        <v>203</v>
      </c>
      <c r="WWM17" s="314" t="s">
        <v>203</v>
      </c>
      <c r="WWN17" s="314" t="s">
        <v>203</v>
      </c>
      <c r="WWO17" s="314" t="s">
        <v>203</v>
      </c>
      <c r="WWP17" s="314" t="s">
        <v>203</v>
      </c>
      <c r="WWQ17" s="314" t="s">
        <v>203</v>
      </c>
      <c r="WWR17" s="314" t="s">
        <v>203</v>
      </c>
      <c r="WWS17" s="314" t="s">
        <v>203</v>
      </c>
      <c r="WWT17" s="314" t="s">
        <v>203</v>
      </c>
      <c r="WWU17" s="314" t="s">
        <v>203</v>
      </c>
      <c r="WWV17" s="314" t="s">
        <v>203</v>
      </c>
      <c r="WWW17" s="314" t="s">
        <v>203</v>
      </c>
      <c r="WWX17" s="314" t="s">
        <v>203</v>
      </c>
      <c r="WWY17" s="314" t="s">
        <v>203</v>
      </c>
      <c r="WWZ17" s="314" t="s">
        <v>203</v>
      </c>
      <c r="WXA17" s="314" t="s">
        <v>203</v>
      </c>
      <c r="WXB17" s="314" t="s">
        <v>203</v>
      </c>
      <c r="WXC17" s="314" t="s">
        <v>203</v>
      </c>
      <c r="WXD17" s="314" t="s">
        <v>203</v>
      </c>
      <c r="WXE17" s="314" t="s">
        <v>203</v>
      </c>
      <c r="WXF17" s="314" t="s">
        <v>203</v>
      </c>
      <c r="WXG17" s="314" t="s">
        <v>203</v>
      </c>
      <c r="WXH17" s="314" t="s">
        <v>203</v>
      </c>
      <c r="WXI17" s="314" t="s">
        <v>203</v>
      </c>
      <c r="WXJ17" s="314" t="s">
        <v>203</v>
      </c>
      <c r="WXK17" s="314" t="s">
        <v>203</v>
      </c>
      <c r="WXL17" s="314" t="s">
        <v>203</v>
      </c>
      <c r="WXM17" s="314" t="s">
        <v>203</v>
      </c>
      <c r="WXN17" s="314" t="s">
        <v>203</v>
      </c>
      <c r="WXO17" s="314" t="s">
        <v>203</v>
      </c>
      <c r="WXP17" s="314" t="s">
        <v>203</v>
      </c>
      <c r="WXQ17" s="314" t="s">
        <v>203</v>
      </c>
      <c r="WXR17" s="314" t="s">
        <v>203</v>
      </c>
      <c r="WXS17" s="314" t="s">
        <v>203</v>
      </c>
      <c r="WXT17" s="314" t="s">
        <v>203</v>
      </c>
      <c r="WXU17" s="314" t="s">
        <v>203</v>
      </c>
      <c r="WXV17" s="314" t="s">
        <v>203</v>
      </c>
      <c r="WXW17" s="314" t="s">
        <v>203</v>
      </c>
      <c r="WXX17" s="314" t="s">
        <v>203</v>
      </c>
      <c r="WXY17" s="314" t="s">
        <v>203</v>
      </c>
      <c r="WXZ17" s="314" t="s">
        <v>203</v>
      </c>
      <c r="WYA17" s="314" t="s">
        <v>203</v>
      </c>
      <c r="WYB17" s="314" t="s">
        <v>203</v>
      </c>
      <c r="WYC17" s="314" t="s">
        <v>203</v>
      </c>
      <c r="WYD17" s="314" t="s">
        <v>203</v>
      </c>
      <c r="WYE17" s="314" t="s">
        <v>203</v>
      </c>
      <c r="WYF17" s="314" t="s">
        <v>203</v>
      </c>
      <c r="WYG17" s="314" t="s">
        <v>203</v>
      </c>
      <c r="WYH17" s="314" t="s">
        <v>203</v>
      </c>
      <c r="WYI17" s="314" t="s">
        <v>203</v>
      </c>
      <c r="WYJ17" s="314" t="s">
        <v>203</v>
      </c>
      <c r="WYK17" s="314" t="s">
        <v>203</v>
      </c>
      <c r="WYL17" s="314" t="s">
        <v>203</v>
      </c>
      <c r="WYM17" s="314" t="s">
        <v>203</v>
      </c>
      <c r="WYN17" s="314" t="s">
        <v>203</v>
      </c>
      <c r="WYO17" s="314" t="s">
        <v>203</v>
      </c>
      <c r="WYP17" s="314" t="s">
        <v>203</v>
      </c>
      <c r="WYQ17" s="314" t="s">
        <v>203</v>
      </c>
      <c r="WYR17" s="314" t="s">
        <v>203</v>
      </c>
      <c r="WYS17" s="314" t="s">
        <v>203</v>
      </c>
      <c r="WYT17" s="314" t="s">
        <v>203</v>
      </c>
      <c r="WYU17" s="314" t="s">
        <v>203</v>
      </c>
      <c r="WYV17" s="314" t="s">
        <v>203</v>
      </c>
      <c r="WYW17" s="314" t="s">
        <v>203</v>
      </c>
      <c r="WYX17" s="314" t="s">
        <v>203</v>
      </c>
      <c r="WYY17" s="314" t="s">
        <v>203</v>
      </c>
      <c r="WYZ17" s="314" t="s">
        <v>203</v>
      </c>
      <c r="WZA17" s="314" t="s">
        <v>203</v>
      </c>
      <c r="WZB17" s="314" t="s">
        <v>203</v>
      </c>
      <c r="WZC17" s="314" t="s">
        <v>203</v>
      </c>
      <c r="WZD17" s="314" t="s">
        <v>203</v>
      </c>
      <c r="WZE17" s="314" t="s">
        <v>203</v>
      </c>
      <c r="WZF17" s="314" t="s">
        <v>203</v>
      </c>
      <c r="WZG17" s="314" t="s">
        <v>203</v>
      </c>
      <c r="WZH17" s="314" t="s">
        <v>203</v>
      </c>
      <c r="WZI17" s="314" t="s">
        <v>203</v>
      </c>
      <c r="WZJ17" s="314" t="s">
        <v>203</v>
      </c>
      <c r="WZK17" s="314" t="s">
        <v>203</v>
      </c>
      <c r="WZL17" s="314" t="s">
        <v>203</v>
      </c>
      <c r="WZM17" s="314" t="s">
        <v>203</v>
      </c>
      <c r="WZN17" s="314" t="s">
        <v>203</v>
      </c>
      <c r="WZO17" s="314" t="s">
        <v>203</v>
      </c>
      <c r="WZP17" s="314" t="s">
        <v>203</v>
      </c>
      <c r="WZQ17" s="314" t="s">
        <v>203</v>
      </c>
      <c r="WZR17" s="314" t="s">
        <v>203</v>
      </c>
      <c r="WZS17" s="314" t="s">
        <v>203</v>
      </c>
      <c r="WZT17" s="314" t="s">
        <v>203</v>
      </c>
      <c r="WZU17" s="314" t="s">
        <v>203</v>
      </c>
      <c r="WZV17" s="314" t="s">
        <v>203</v>
      </c>
      <c r="WZW17" s="314" t="s">
        <v>203</v>
      </c>
      <c r="WZX17" s="314" t="s">
        <v>203</v>
      </c>
      <c r="WZY17" s="314" t="s">
        <v>203</v>
      </c>
      <c r="WZZ17" s="314" t="s">
        <v>203</v>
      </c>
      <c r="XAA17" s="314" t="s">
        <v>203</v>
      </c>
      <c r="XAB17" s="314" t="s">
        <v>203</v>
      </c>
      <c r="XAC17" s="314" t="s">
        <v>203</v>
      </c>
      <c r="XAD17" s="314" t="s">
        <v>203</v>
      </c>
      <c r="XAE17" s="314" t="s">
        <v>203</v>
      </c>
      <c r="XAF17" s="314" t="s">
        <v>203</v>
      </c>
      <c r="XAG17" s="314" t="s">
        <v>203</v>
      </c>
      <c r="XAH17" s="314" t="s">
        <v>203</v>
      </c>
      <c r="XAI17" s="314" t="s">
        <v>203</v>
      </c>
      <c r="XAJ17" s="314" t="s">
        <v>203</v>
      </c>
      <c r="XAK17" s="314" t="s">
        <v>203</v>
      </c>
      <c r="XAL17" s="314" t="s">
        <v>203</v>
      </c>
      <c r="XAM17" s="314" t="s">
        <v>203</v>
      </c>
      <c r="XAN17" s="314" t="s">
        <v>203</v>
      </c>
      <c r="XAO17" s="314" t="s">
        <v>203</v>
      </c>
      <c r="XAP17" s="314" t="s">
        <v>203</v>
      </c>
      <c r="XAQ17" s="314" t="s">
        <v>203</v>
      </c>
      <c r="XAR17" s="314" t="s">
        <v>203</v>
      </c>
      <c r="XAS17" s="314" t="s">
        <v>203</v>
      </c>
      <c r="XAT17" s="314" t="s">
        <v>203</v>
      </c>
      <c r="XAU17" s="314" t="s">
        <v>203</v>
      </c>
      <c r="XAV17" s="314" t="s">
        <v>203</v>
      </c>
      <c r="XAW17" s="314" t="s">
        <v>203</v>
      </c>
      <c r="XAX17" s="314" t="s">
        <v>203</v>
      </c>
      <c r="XAY17" s="314" t="s">
        <v>203</v>
      </c>
      <c r="XAZ17" s="314" t="s">
        <v>203</v>
      </c>
      <c r="XBA17" s="314" t="s">
        <v>203</v>
      </c>
      <c r="XBB17" s="314" t="s">
        <v>203</v>
      </c>
      <c r="XBC17" s="314" t="s">
        <v>203</v>
      </c>
      <c r="XBD17" s="314" t="s">
        <v>203</v>
      </c>
      <c r="XBE17" s="314" t="s">
        <v>203</v>
      </c>
      <c r="XBF17" s="314" t="s">
        <v>203</v>
      </c>
      <c r="XBG17" s="314" t="s">
        <v>203</v>
      </c>
      <c r="XBH17" s="314" t="s">
        <v>203</v>
      </c>
      <c r="XBI17" s="314" t="s">
        <v>203</v>
      </c>
      <c r="XBJ17" s="314" t="s">
        <v>203</v>
      </c>
      <c r="XBK17" s="314" t="s">
        <v>203</v>
      </c>
      <c r="XBL17" s="314" t="s">
        <v>203</v>
      </c>
      <c r="XBM17" s="314" t="s">
        <v>203</v>
      </c>
      <c r="XBN17" s="314" t="s">
        <v>203</v>
      </c>
      <c r="XBO17" s="314" t="s">
        <v>203</v>
      </c>
      <c r="XBP17" s="314" t="s">
        <v>203</v>
      </c>
      <c r="XBQ17" s="314" t="s">
        <v>203</v>
      </c>
      <c r="XBR17" s="314" t="s">
        <v>203</v>
      </c>
      <c r="XBS17" s="314" t="s">
        <v>203</v>
      </c>
      <c r="XBT17" s="314" t="s">
        <v>203</v>
      </c>
      <c r="XBU17" s="314" t="s">
        <v>203</v>
      </c>
      <c r="XBV17" s="314" t="s">
        <v>203</v>
      </c>
      <c r="XBW17" s="314" t="s">
        <v>203</v>
      </c>
      <c r="XBX17" s="314" t="s">
        <v>203</v>
      </c>
      <c r="XBY17" s="314" t="s">
        <v>203</v>
      </c>
      <c r="XBZ17" s="314" t="s">
        <v>203</v>
      </c>
      <c r="XCA17" s="314" t="s">
        <v>203</v>
      </c>
      <c r="XCB17" s="314" t="s">
        <v>203</v>
      </c>
      <c r="XCC17" s="314" t="s">
        <v>203</v>
      </c>
      <c r="XCD17" s="314" t="s">
        <v>203</v>
      </c>
      <c r="XCE17" s="314" t="s">
        <v>203</v>
      </c>
      <c r="XCF17" s="314" t="s">
        <v>203</v>
      </c>
      <c r="XCG17" s="314" t="s">
        <v>203</v>
      </c>
      <c r="XCH17" s="314" t="s">
        <v>203</v>
      </c>
      <c r="XCI17" s="314" t="s">
        <v>203</v>
      </c>
      <c r="XCJ17" s="314" t="s">
        <v>203</v>
      </c>
      <c r="XCK17" s="314" t="s">
        <v>203</v>
      </c>
      <c r="XCL17" s="314" t="s">
        <v>203</v>
      </c>
      <c r="XCM17" s="314" t="s">
        <v>203</v>
      </c>
      <c r="XCN17" s="314" t="s">
        <v>203</v>
      </c>
      <c r="XCO17" s="314" t="s">
        <v>203</v>
      </c>
      <c r="XCP17" s="314" t="s">
        <v>203</v>
      </c>
      <c r="XCQ17" s="314" t="s">
        <v>203</v>
      </c>
      <c r="XCR17" s="314" t="s">
        <v>203</v>
      </c>
      <c r="XCS17" s="314" t="s">
        <v>203</v>
      </c>
      <c r="XCT17" s="314" t="s">
        <v>203</v>
      </c>
      <c r="XCU17" s="314" t="s">
        <v>203</v>
      </c>
      <c r="XCV17" s="314" t="s">
        <v>203</v>
      </c>
      <c r="XCW17" s="314" t="s">
        <v>203</v>
      </c>
      <c r="XCX17" s="314" t="s">
        <v>203</v>
      </c>
      <c r="XCY17" s="314" t="s">
        <v>203</v>
      </c>
      <c r="XCZ17" s="314" t="s">
        <v>203</v>
      </c>
      <c r="XDA17" s="314" t="s">
        <v>203</v>
      </c>
      <c r="XDB17" s="314" t="s">
        <v>203</v>
      </c>
      <c r="XDC17" s="314" t="s">
        <v>203</v>
      </c>
      <c r="XDD17" s="314" t="s">
        <v>203</v>
      </c>
      <c r="XDE17" s="314" t="s">
        <v>203</v>
      </c>
      <c r="XDF17" s="314" t="s">
        <v>203</v>
      </c>
      <c r="XDG17" s="314" t="s">
        <v>203</v>
      </c>
      <c r="XDH17" s="314" t="s">
        <v>203</v>
      </c>
      <c r="XDI17" s="314" t="s">
        <v>203</v>
      </c>
      <c r="XDJ17" s="314" t="s">
        <v>203</v>
      </c>
      <c r="XDK17" s="314" t="s">
        <v>203</v>
      </c>
      <c r="XDL17" s="314" t="s">
        <v>203</v>
      </c>
      <c r="XDM17" s="314" t="s">
        <v>203</v>
      </c>
      <c r="XDN17" s="314" t="s">
        <v>203</v>
      </c>
      <c r="XDO17" s="314" t="s">
        <v>203</v>
      </c>
      <c r="XDP17" s="314" t="s">
        <v>203</v>
      </c>
      <c r="XDQ17" s="314" t="s">
        <v>203</v>
      </c>
      <c r="XDR17" s="314" t="s">
        <v>203</v>
      </c>
      <c r="XDS17" s="314" t="s">
        <v>203</v>
      </c>
      <c r="XDT17" s="314" t="s">
        <v>203</v>
      </c>
      <c r="XDU17" s="314" t="s">
        <v>203</v>
      </c>
      <c r="XDV17" s="314" t="s">
        <v>203</v>
      </c>
      <c r="XDW17" s="314" t="s">
        <v>203</v>
      </c>
      <c r="XDX17" s="314" t="s">
        <v>203</v>
      </c>
      <c r="XDY17" s="314" t="s">
        <v>203</v>
      </c>
      <c r="XDZ17" s="314" t="s">
        <v>203</v>
      </c>
      <c r="XEA17" s="314" t="s">
        <v>203</v>
      </c>
      <c r="XEB17" s="314" t="s">
        <v>203</v>
      </c>
      <c r="XEC17" s="314" t="s">
        <v>203</v>
      </c>
      <c r="XED17" s="314" t="s">
        <v>203</v>
      </c>
      <c r="XEE17" s="314" t="s">
        <v>203</v>
      </c>
      <c r="XEF17" s="314" t="s">
        <v>203</v>
      </c>
      <c r="XEG17" s="314" t="s">
        <v>203</v>
      </c>
      <c r="XEH17" s="314" t="s">
        <v>203</v>
      </c>
      <c r="XEI17" s="314" t="s">
        <v>203</v>
      </c>
      <c r="XEJ17" s="314" t="s">
        <v>203</v>
      </c>
      <c r="XEK17" s="314" t="s">
        <v>203</v>
      </c>
      <c r="XEL17" s="314" t="s">
        <v>203</v>
      </c>
      <c r="XEM17" s="314" t="s">
        <v>203</v>
      </c>
      <c r="XEN17" s="314" t="s">
        <v>203</v>
      </c>
      <c r="XEO17" s="314" t="s">
        <v>203</v>
      </c>
      <c r="XEP17" s="314" t="s">
        <v>203</v>
      </c>
      <c r="XEQ17" s="314" t="s">
        <v>203</v>
      </c>
      <c r="XER17" s="314" t="s">
        <v>203</v>
      </c>
      <c r="XES17" s="314" t="s">
        <v>203</v>
      </c>
      <c r="XET17" s="314" t="s">
        <v>203</v>
      </c>
      <c r="XEU17" s="314" t="s">
        <v>203</v>
      </c>
      <c r="XEV17" s="314" t="s">
        <v>203</v>
      </c>
      <c r="XEW17" s="314" t="s">
        <v>203</v>
      </c>
      <c r="XEX17" s="314" t="s">
        <v>203</v>
      </c>
      <c r="XEY17" s="314" t="s">
        <v>203</v>
      </c>
      <c r="XEZ17" s="314" t="s">
        <v>203</v>
      </c>
    </row>
    <row r="18" spans="1:16380" x14ac:dyDescent="0.25">
      <c r="A18" s="343" t="s">
        <v>232</v>
      </c>
      <c r="B18" s="370"/>
      <c r="C18" s="294"/>
      <c r="D18" s="294"/>
      <c r="E18" s="293"/>
      <c r="F18" s="293"/>
      <c r="G18" s="348" t="s">
        <v>235</v>
      </c>
      <c r="H18" s="353"/>
      <c r="I18" s="375"/>
      <c r="J18" s="303"/>
      <c r="K18" s="293"/>
      <c r="L18" s="293"/>
      <c r="M18" s="293"/>
      <c r="N18" s="293"/>
      <c r="O18" s="324"/>
      <c r="P18" s="293"/>
      <c r="Q18" s="300"/>
      <c r="R18" s="85"/>
      <c r="S18" s="300"/>
      <c r="T18" s="300"/>
      <c r="U18" s="321"/>
      <c r="V18" s="436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</row>
    <row r="19" spans="1:16380" s="319" customFormat="1" x14ac:dyDescent="0.25">
      <c r="A19" s="344" t="s">
        <v>205</v>
      </c>
      <c r="B19" s="371">
        <v>45793</v>
      </c>
      <c r="C19" s="82"/>
      <c r="D19" s="82"/>
      <c r="E19" s="217"/>
      <c r="F19" s="217"/>
      <c r="G19" s="92" t="s">
        <v>238</v>
      </c>
      <c r="H19" s="357" t="s">
        <v>206</v>
      </c>
      <c r="I19" s="374">
        <f>1758</f>
        <v>1758</v>
      </c>
      <c r="J19" s="215"/>
      <c r="K19" s="217"/>
      <c r="L19" s="217"/>
      <c r="M19" s="217"/>
      <c r="N19" s="285">
        <f>I19*40%</f>
        <v>703.2</v>
      </c>
      <c r="O19" s="181"/>
      <c r="P19" s="217"/>
      <c r="Q19" s="318"/>
      <c r="R19" s="85">
        <v>703.2</v>
      </c>
      <c r="S19" s="318"/>
      <c r="T19" s="318">
        <v>908</v>
      </c>
      <c r="U19" s="84" t="s">
        <v>209</v>
      </c>
      <c r="V19" s="436">
        <f>600</f>
        <v>600</v>
      </c>
    </row>
    <row r="20" spans="1:16380" s="319" customFormat="1" x14ac:dyDescent="0.25">
      <c r="A20" s="344" t="s">
        <v>239</v>
      </c>
      <c r="B20" s="371">
        <v>45831</v>
      </c>
      <c r="C20" s="82"/>
      <c r="D20" s="82"/>
      <c r="E20" s="217"/>
      <c r="F20" s="217"/>
      <c r="G20" s="92" t="s">
        <v>104</v>
      </c>
      <c r="H20" s="357" t="s">
        <v>47</v>
      </c>
      <c r="I20" s="374">
        <v>1758</v>
      </c>
      <c r="J20" s="215"/>
      <c r="K20" s="217"/>
      <c r="L20" s="217"/>
      <c r="M20" s="217"/>
      <c r="N20" s="285">
        <v>703.2</v>
      </c>
      <c r="O20" s="181"/>
      <c r="P20" s="217"/>
      <c r="Q20" s="318"/>
      <c r="R20" s="85">
        <v>703.2</v>
      </c>
      <c r="S20" s="318"/>
      <c r="T20" s="318">
        <f>1758-105.48-703</f>
        <v>949.52</v>
      </c>
      <c r="U20" s="84" t="s">
        <v>253</v>
      </c>
      <c r="V20" s="436"/>
    </row>
    <row r="21" spans="1:16380" x14ac:dyDescent="0.25">
      <c r="A21" s="343" t="s">
        <v>207</v>
      </c>
      <c r="B21" s="370">
        <v>45797</v>
      </c>
      <c r="C21" s="294"/>
      <c r="D21" s="294"/>
      <c r="E21" s="293"/>
      <c r="F21" s="293"/>
      <c r="G21" s="348" t="s">
        <v>120</v>
      </c>
      <c r="H21" s="353" t="s">
        <v>234</v>
      </c>
      <c r="I21" s="375">
        <f>1634.98+653.98</f>
        <v>2288.96</v>
      </c>
      <c r="J21" s="303"/>
      <c r="K21" s="293"/>
      <c r="L21" s="293"/>
      <c r="M21" s="293"/>
      <c r="N21" s="299">
        <f>I21*40%</f>
        <v>915.58400000000006</v>
      </c>
      <c r="O21" s="324"/>
      <c r="P21" s="293"/>
      <c r="Q21" s="300"/>
      <c r="R21" s="295">
        <v>654</v>
      </c>
      <c r="S21" s="300"/>
      <c r="T21" s="300">
        <f>2151.62-654</f>
        <v>1497.62</v>
      </c>
      <c r="U21" s="321">
        <v>10019082606</v>
      </c>
      <c r="V21" s="186"/>
    </row>
    <row r="22" spans="1:16380" x14ac:dyDescent="0.25">
      <c r="A22" s="345" t="s">
        <v>219</v>
      </c>
      <c r="B22" s="372"/>
      <c r="C22" s="279"/>
      <c r="D22" s="279"/>
      <c r="E22" s="280"/>
      <c r="F22" s="280"/>
      <c r="G22" s="266" t="s">
        <v>96</v>
      </c>
      <c r="H22" s="358" t="s">
        <v>234</v>
      </c>
      <c r="I22" s="267"/>
      <c r="J22" s="282"/>
      <c r="K22" s="280"/>
      <c r="L22" s="280"/>
      <c r="M22" s="280"/>
      <c r="N22" s="280">
        <f>2500/2-154-154-450</f>
        <v>492</v>
      </c>
      <c r="O22" s="335"/>
      <c r="P22" s="280"/>
      <c r="Q22" s="284"/>
      <c r="R22" s="85"/>
      <c r="S22" s="284"/>
      <c r="T22" s="284"/>
      <c r="U22" s="271" t="s">
        <v>252</v>
      </c>
      <c r="V22" s="186"/>
    </row>
    <row r="23" spans="1:16380" x14ac:dyDescent="0.25">
      <c r="A23" s="344" t="s">
        <v>225</v>
      </c>
      <c r="B23" s="371">
        <v>45808</v>
      </c>
      <c r="C23" s="82">
        <v>45826</v>
      </c>
      <c r="D23" s="82"/>
      <c r="E23" s="217"/>
      <c r="F23" s="217"/>
      <c r="G23" s="92" t="s">
        <v>230</v>
      </c>
      <c r="H23" s="357" t="s">
        <v>47</v>
      </c>
      <c r="I23" s="374">
        <v>1634.96</v>
      </c>
      <c r="J23" s="215"/>
      <c r="K23" s="217"/>
      <c r="L23" s="217"/>
      <c r="M23" s="217"/>
      <c r="N23" s="217">
        <v>653.98</v>
      </c>
      <c r="O23" s="181"/>
      <c r="P23" s="217"/>
      <c r="Q23" s="318">
        <v>250</v>
      </c>
      <c r="R23" s="85">
        <f>654-250</f>
        <v>404</v>
      </c>
      <c r="S23" s="318"/>
      <c r="T23" s="318">
        <v>759</v>
      </c>
      <c r="U23" s="346">
        <v>14983169644</v>
      </c>
      <c r="V23" s="186"/>
    </row>
    <row r="24" spans="1:16380" x14ac:dyDescent="0.25">
      <c r="A24" s="336" t="s">
        <v>233</v>
      </c>
      <c r="B24" s="371">
        <v>45818</v>
      </c>
      <c r="C24" s="418">
        <v>45884</v>
      </c>
      <c r="D24" s="419"/>
      <c r="E24" s="92"/>
      <c r="F24" s="92"/>
      <c r="G24" s="418" t="s">
        <v>104</v>
      </c>
      <c r="H24" s="357" t="s">
        <v>47</v>
      </c>
      <c r="I24" s="374">
        <v>1758</v>
      </c>
      <c r="J24" s="215"/>
      <c r="K24" s="217"/>
      <c r="L24" s="217"/>
      <c r="M24" s="217"/>
      <c r="N24" s="217">
        <v>703.2</v>
      </c>
      <c r="O24" s="181">
        <v>45852</v>
      </c>
      <c r="P24" s="217"/>
      <c r="Q24" s="318"/>
      <c r="R24" s="85">
        <v>703.2</v>
      </c>
      <c r="S24" s="318"/>
      <c r="T24" s="318">
        <v>681</v>
      </c>
      <c r="U24" s="346">
        <v>15825441662</v>
      </c>
      <c r="V24" s="436"/>
    </row>
    <row r="25" spans="1:16380" x14ac:dyDescent="0.25">
      <c r="A25" s="433" t="s">
        <v>244</v>
      </c>
      <c r="B25" s="370">
        <v>45834</v>
      </c>
      <c r="C25" s="348"/>
      <c r="D25" s="420"/>
      <c r="E25" s="348"/>
      <c r="F25" s="348"/>
      <c r="G25" s="421" t="s">
        <v>241</v>
      </c>
      <c r="H25" s="353" t="s">
        <v>242</v>
      </c>
      <c r="I25" s="375">
        <v>2288.96</v>
      </c>
      <c r="J25" s="303"/>
      <c r="K25" s="293"/>
      <c r="L25" s="293"/>
      <c r="M25" s="293"/>
      <c r="N25" s="293"/>
      <c r="O25" s="324"/>
      <c r="P25" s="293"/>
      <c r="Q25" s="300"/>
      <c r="R25" s="295">
        <v>654</v>
      </c>
      <c r="S25" s="300"/>
      <c r="T25" s="300">
        <v>923.85</v>
      </c>
      <c r="U25" s="321" t="s">
        <v>251</v>
      </c>
      <c r="V25" s="186"/>
    </row>
    <row r="26" spans="1:16380" x14ac:dyDescent="0.25">
      <c r="A26" s="337" t="s">
        <v>249</v>
      </c>
      <c r="B26" s="370">
        <v>45840</v>
      </c>
      <c r="C26" s="348"/>
      <c r="D26" s="420"/>
      <c r="E26" s="348"/>
      <c r="F26" s="348"/>
      <c r="G26" s="421" t="s">
        <v>213</v>
      </c>
      <c r="H26" s="353" t="s">
        <v>250</v>
      </c>
      <c r="I26" s="422">
        <v>1518</v>
      </c>
      <c r="J26" s="422"/>
      <c r="K26" s="348"/>
      <c r="L26" s="423">
        <f>SUM(L3:L12)</f>
        <v>2957.5</v>
      </c>
      <c r="M26" s="348"/>
      <c r="N26" s="349"/>
      <c r="O26" s="424"/>
      <c r="P26" s="348"/>
      <c r="Q26" s="295"/>
      <c r="R26" s="300">
        <v>607.20000000000005</v>
      </c>
      <c r="S26" s="300"/>
      <c r="T26" s="300">
        <f>607+200</f>
        <v>807</v>
      </c>
      <c r="U26" s="348">
        <v>31983923994</v>
      </c>
      <c r="V26" s="186"/>
    </row>
    <row r="27" spans="1:16380" x14ac:dyDescent="0.25">
      <c r="A27" s="361" t="s">
        <v>254</v>
      </c>
      <c r="B27" s="425">
        <v>45852</v>
      </c>
      <c r="C27" s="426"/>
      <c r="D27" s="427"/>
      <c r="E27" s="361"/>
      <c r="F27" s="361"/>
      <c r="G27" s="426" t="s">
        <v>266</v>
      </c>
      <c r="H27" s="296" t="s">
        <v>78</v>
      </c>
      <c r="I27" s="375">
        <v>1758</v>
      </c>
      <c r="J27" s="361"/>
      <c r="K27" s="361"/>
      <c r="L27" s="361"/>
      <c r="M27" s="361"/>
      <c r="N27" s="361"/>
      <c r="O27" s="428"/>
      <c r="P27" s="361"/>
      <c r="Q27" s="429"/>
      <c r="R27" s="429">
        <v>0</v>
      </c>
      <c r="S27" s="429">
        <v>80</v>
      </c>
      <c r="T27" s="429">
        <f>1758/30*16</f>
        <v>937.6</v>
      </c>
      <c r="U27" s="426">
        <v>31997199898</v>
      </c>
      <c r="V27" s="186"/>
    </row>
    <row r="28" spans="1:16380" x14ac:dyDescent="0.25">
      <c r="A28" s="361" t="s">
        <v>256</v>
      </c>
      <c r="B28" s="425">
        <v>45855</v>
      </c>
      <c r="C28" s="426"/>
      <c r="D28" s="427"/>
      <c r="E28" s="361"/>
      <c r="F28" s="361"/>
      <c r="G28" s="426" t="s">
        <v>257</v>
      </c>
      <c r="H28" s="296" t="s">
        <v>78</v>
      </c>
      <c r="I28" s="430">
        <v>1634.96</v>
      </c>
      <c r="J28" s="361"/>
      <c r="K28" s="361"/>
      <c r="L28" s="361"/>
      <c r="M28" s="361"/>
      <c r="N28" s="361"/>
      <c r="O28" s="428"/>
      <c r="P28" s="361"/>
      <c r="Q28" s="429"/>
      <c r="R28" s="429"/>
      <c r="S28" s="429"/>
      <c r="T28" s="429"/>
      <c r="U28" s="426" t="s">
        <v>258</v>
      </c>
      <c r="V28" s="186"/>
    </row>
    <row r="29" spans="1:16380" x14ac:dyDescent="0.25">
      <c r="A29" s="361" t="s">
        <v>261</v>
      </c>
      <c r="B29" s="425">
        <v>45861</v>
      </c>
      <c r="C29" s="426"/>
      <c r="D29" s="427"/>
      <c r="E29" s="361"/>
      <c r="F29" s="361"/>
      <c r="G29" s="426"/>
      <c r="H29" s="296"/>
      <c r="I29" s="430"/>
      <c r="J29" s="361"/>
      <c r="K29" s="361"/>
      <c r="L29" s="361"/>
      <c r="M29" s="361"/>
      <c r="N29" s="361"/>
      <c r="O29" s="428"/>
      <c r="P29" s="361"/>
      <c r="Q29" s="429"/>
      <c r="R29" s="429"/>
      <c r="S29" s="429"/>
      <c r="T29" s="429"/>
      <c r="U29" s="426">
        <v>14785228601</v>
      </c>
      <c r="V29" s="186"/>
    </row>
    <row r="30" spans="1:16380" x14ac:dyDescent="0.25">
      <c r="A30" s="361" t="s">
        <v>268</v>
      </c>
      <c r="B30" s="425">
        <v>45862</v>
      </c>
      <c r="C30" s="426"/>
      <c r="D30" s="427"/>
      <c r="E30" s="361"/>
      <c r="F30" s="361"/>
      <c r="G30" s="426" t="s">
        <v>257</v>
      </c>
      <c r="H30" s="296"/>
      <c r="I30" s="430">
        <v>1634.96</v>
      </c>
      <c r="J30" s="361"/>
      <c r="K30" s="361"/>
      <c r="L30" s="361"/>
      <c r="M30" s="361"/>
      <c r="N30" s="361"/>
      <c r="O30" s="428"/>
      <c r="P30" s="361"/>
      <c r="Q30" s="429"/>
      <c r="R30" s="429"/>
      <c r="S30" s="429"/>
      <c r="T30" s="429">
        <f>1634.96/30*7-6%</f>
        <v>381.43066666666664</v>
      </c>
      <c r="U30" s="426">
        <v>4473075680</v>
      </c>
      <c r="V30" s="186"/>
    </row>
    <row r="31" spans="1:16380" x14ac:dyDescent="0.25">
      <c r="A31" s="361" t="s">
        <v>259</v>
      </c>
      <c r="B31" s="425">
        <v>45859</v>
      </c>
      <c r="C31" s="426"/>
      <c r="D31" s="427"/>
      <c r="E31" s="361"/>
      <c r="F31" s="361"/>
      <c r="G31" s="426" t="s">
        <v>266</v>
      </c>
      <c r="H31" s="296" t="s">
        <v>78</v>
      </c>
      <c r="I31" s="430">
        <f>1758</f>
        <v>1758</v>
      </c>
      <c r="J31" s="361"/>
      <c r="K31" s="361"/>
      <c r="L31" s="361"/>
      <c r="M31" s="361"/>
      <c r="N31" s="361"/>
      <c r="O31" s="428"/>
      <c r="P31" s="361"/>
      <c r="Q31" s="431"/>
      <c r="R31" s="431"/>
      <c r="S31" s="429"/>
      <c r="T31" s="429">
        <f>1758/30*10-6%</f>
        <v>585.94000000000005</v>
      </c>
      <c r="U31" s="426" t="s">
        <v>260</v>
      </c>
      <c r="V31" s="186"/>
    </row>
    <row r="32" spans="1:16380" x14ac:dyDescent="0.25">
      <c r="A32" s="432" t="s">
        <v>270</v>
      </c>
      <c r="B32" s="425">
        <v>45862</v>
      </c>
      <c r="C32" s="426"/>
      <c r="D32" s="427"/>
      <c r="E32" s="361"/>
      <c r="F32" s="361"/>
      <c r="G32" s="426" t="s">
        <v>266</v>
      </c>
      <c r="H32" s="296"/>
      <c r="I32" s="430">
        <f>1758</f>
        <v>1758</v>
      </c>
      <c r="J32" s="361"/>
      <c r="K32" s="361"/>
      <c r="L32" s="361"/>
      <c r="M32" s="361"/>
      <c r="N32" s="361"/>
      <c r="O32" s="428"/>
      <c r="P32" s="361"/>
      <c r="Q32" s="431"/>
      <c r="R32" s="431"/>
      <c r="S32" s="429"/>
      <c r="T32" s="429">
        <f>1758/30*7-6%</f>
        <v>410.14</v>
      </c>
      <c r="U32" s="426"/>
      <c r="V32" s="186"/>
    </row>
    <row r="33" spans="1:23" x14ac:dyDescent="0.25">
      <c r="A33" s="432" t="s">
        <v>272</v>
      </c>
      <c r="B33" s="425" t="s">
        <v>273</v>
      </c>
      <c r="C33" s="426"/>
      <c r="D33" s="427"/>
      <c r="E33" s="361"/>
      <c r="F33" s="361"/>
      <c r="G33" s="426" t="s">
        <v>128</v>
      </c>
      <c r="H33" s="296"/>
      <c r="I33" s="430">
        <v>2288.96</v>
      </c>
      <c r="J33" s="361"/>
      <c r="K33" s="361"/>
      <c r="L33" s="361"/>
      <c r="M33" s="361"/>
      <c r="N33" s="361"/>
      <c r="O33" s="428"/>
      <c r="P33" s="361"/>
      <c r="Q33" s="431"/>
      <c r="R33" s="431"/>
      <c r="S33" s="429"/>
      <c r="T33" s="429">
        <f>1654/30</f>
        <v>55.133333333333333</v>
      </c>
      <c r="U33" s="426">
        <v>6547336603</v>
      </c>
      <c r="V33" s="186"/>
    </row>
    <row r="34" spans="1:23" x14ac:dyDescent="0.25">
      <c r="A34" s="175"/>
      <c r="B34" s="373"/>
      <c r="C34" s="208"/>
      <c r="D34" s="359"/>
      <c r="E34" s="25"/>
      <c r="F34" s="25"/>
      <c r="G34" s="208"/>
      <c r="H34" s="77"/>
      <c r="I34" s="379"/>
      <c r="J34" s="25"/>
      <c r="K34" s="25"/>
      <c r="L34" s="25"/>
      <c r="M34" s="25"/>
      <c r="N34" s="25"/>
      <c r="O34" s="360"/>
      <c r="P34" s="25"/>
      <c r="Q34" s="381"/>
      <c r="R34" s="381"/>
      <c r="S34" s="380"/>
      <c r="T34" s="380"/>
      <c r="U34" s="208"/>
      <c r="V34" s="186"/>
    </row>
    <row r="35" spans="1:23" x14ac:dyDescent="0.25">
      <c r="A35" s="175"/>
      <c r="B35" s="373"/>
      <c r="C35" s="208"/>
      <c r="D35" s="359"/>
      <c r="E35" s="25"/>
      <c r="F35" s="25"/>
      <c r="G35" s="208"/>
      <c r="H35" s="77"/>
      <c r="I35" s="379"/>
      <c r="J35" s="25"/>
      <c r="K35" s="25"/>
      <c r="L35" s="25"/>
      <c r="M35" s="25"/>
      <c r="N35" s="25"/>
      <c r="O35" s="360"/>
      <c r="P35" s="25"/>
      <c r="Q35" s="381"/>
      <c r="R35" s="381"/>
      <c r="S35" s="380"/>
      <c r="T35" s="380"/>
      <c r="U35" s="208"/>
      <c r="V35" s="186"/>
    </row>
    <row r="36" spans="1:23" x14ac:dyDescent="0.25">
      <c r="A36" s="175"/>
      <c r="B36" s="373"/>
      <c r="C36" s="208"/>
      <c r="D36" s="359"/>
      <c r="E36" s="25"/>
      <c r="F36" s="25"/>
      <c r="G36" s="208"/>
      <c r="H36" s="77"/>
      <c r="I36" s="379"/>
      <c r="J36" s="25"/>
      <c r="K36" s="25"/>
      <c r="L36" s="25"/>
      <c r="M36" s="25"/>
      <c r="N36" s="25"/>
      <c r="O36" s="360"/>
      <c r="P36" s="25"/>
      <c r="Q36" s="381"/>
      <c r="R36" s="381"/>
      <c r="S36" s="380"/>
      <c r="T36" s="380"/>
      <c r="U36" s="208"/>
      <c r="V36" s="186"/>
    </row>
    <row r="37" spans="1:23" x14ac:dyDescent="0.25">
      <c r="A37" s="175"/>
      <c r="B37" s="373"/>
      <c r="C37" s="208"/>
      <c r="D37" s="359"/>
      <c r="E37" s="25"/>
      <c r="F37" s="25"/>
      <c r="G37" s="208"/>
      <c r="H37" s="77"/>
      <c r="I37" s="379"/>
      <c r="J37" s="25"/>
      <c r="K37" s="25"/>
      <c r="L37" s="25"/>
      <c r="M37" s="25"/>
      <c r="N37" s="25"/>
      <c r="O37" s="360"/>
      <c r="P37" s="25"/>
      <c r="Q37" s="381"/>
      <c r="R37" s="381"/>
      <c r="S37" s="380"/>
      <c r="T37" s="380"/>
      <c r="U37" s="208"/>
      <c r="V37" s="25"/>
    </row>
    <row r="38" spans="1:23" x14ac:dyDescent="0.25">
      <c r="A38" s="781" t="s">
        <v>131</v>
      </c>
      <c r="B38" s="781"/>
      <c r="C38" s="781"/>
      <c r="D38" s="781"/>
      <c r="E38" s="781"/>
      <c r="F38" s="781"/>
      <c r="G38" s="781"/>
      <c r="H38" s="781"/>
      <c r="I38" s="781"/>
      <c r="J38" s="781"/>
      <c r="K38" s="781"/>
      <c r="L38" s="781"/>
      <c r="M38" s="781"/>
      <c r="N38" s="781"/>
      <c r="O38" s="781"/>
      <c r="P38" s="781"/>
      <c r="Q38" s="781"/>
      <c r="R38" s="272">
        <v>11236.6</v>
      </c>
      <c r="T38">
        <v>19685.53</v>
      </c>
    </row>
    <row r="42" spans="1:23" x14ac:dyDescent="0.25">
      <c r="W42" s="272"/>
    </row>
  </sheetData>
  <autoFilter ref="G1:G38" xr:uid="{6A25047E-EEC9-4EB5-8E39-790574A310E0}"/>
  <mergeCells count="2">
    <mergeCell ref="A1:U1"/>
    <mergeCell ref="A38:Q38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8195-1568-4F1E-8585-6B0683A794CA}">
  <dimension ref="A1:XFA35"/>
  <sheetViews>
    <sheetView workbookViewId="0">
      <selection activeCell="A29" sqref="A29:XFD29"/>
    </sheetView>
  </sheetViews>
  <sheetFormatPr defaultRowHeight="15" x14ac:dyDescent="0.25"/>
  <cols>
    <col min="1" max="1" width="32.85546875" customWidth="1"/>
    <col min="2" max="3" width="9.85546875" hidden="1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21" customWidth="1"/>
    <col min="8" max="8" width="15.140625" hidden="1" customWidth="1"/>
    <col min="9" max="9" width="13.5703125" hidden="1" customWidth="1"/>
    <col min="10" max="10" width="14.5703125" hidden="1" customWidth="1"/>
    <col min="11" max="11" width="9.140625" hidden="1" customWidth="1"/>
    <col min="12" max="12" width="15.7109375" hidden="1" customWidth="1"/>
    <col min="13" max="13" width="9.140625" hidden="1" customWidth="1"/>
    <col min="14" max="14" width="14.42578125" hidden="1" customWidth="1"/>
    <col min="15" max="15" width="11.42578125" style="118" customWidth="1"/>
    <col min="16" max="16" width="11.5703125" hidden="1" customWidth="1"/>
    <col min="17" max="17" width="13" hidden="1" customWidth="1"/>
    <col min="18" max="19" width="16.140625" hidden="1" customWidth="1"/>
    <col min="20" max="21" width="15" customWidth="1"/>
    <col min="22" max="22" width="28.28515625" customWidth="1"/>
    <col min="23" max="23" width="10" customWidth="1"/>
    <col min="24" max="24" width="10.140625" bestFit="1" customWidth="1"/>
  </cols>
  <sheetData>
    <row r="1" spans="1:16381" ht="24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25"/>
    </row>
    <row r="2" spans="1:16381" x14ac:dyDescent="0.25">
      <c r="A2" s="439" t="s">
        <v>1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6</v>
      </c>
      <c r="H2" s="439" t="s">
        <v>7</v>
      </c>
      <c r="I2" s="441" t="s">
        <v>8</v>
      </c>
      <c r="J2" s="441" t="s">
        <v>92</v>
      </c>
      <c r="K2" s="439" t="s">
        <v>10</v>
      </c>
      <c r="L2" s="439" t="s">
        <v>99</v>
      </c>
      <c r="M2" s="439" t="s">
        <v>12</v>
      </c>
      <c r="N2" s="439" t="s">
        <v>13</v>
      </c>
      <c r="O2" s="442" t="s">
        <v>18</v>
      </c>
      <c r="P2" s="439" t="s">
        <v>19</v>
      </c>
      <c r="Q2" s="439" t="s">
        <v>99</v>
      </c>
      <c r="R2" s="439" t="s">
        <v>100</v>
      </c>
      <c r="S2" s="439" t="s">
        <v>278</v>
      </c>
      <c r="T2" s="439" t="s">
        <v>101</v>
      </c>
      <c r="U2" s="439" t="s">
        <v>102</v>
      </c>
      <c r="V2" s="439" t="s">
        <v>22</v>
      </c>
      <c r="W2" s="289"/>
    </row>
    <row r="3" spans="1:16381" x14ac:dyDescent="0.25">
      <c r="A3" s="444" t="s">
        <v>38</v>
      </c>
      <c r="B3" s="448"/>
      <c r="C3" s="448">
        <v>45632</v>
      </c>
      <c r="D3" s="448"/>
      <c r="E3" s="449"/>
      <c r="F3" s="450"/>
      <c r="G3" s="451" t="s">
        <v>35</v>
      </c>
      <c r="H3" s="452" t="s">
        <v>25</v>
      </c>
      <c r="I3" s="453">
        <v>1733.05</v>
      </c>
      <c r="J3" s="449">
        <v>300</v>
      </c>
      <c r="K3" s="449"/>
      <c r="L3" s="454">
        <v>75</v>
      </c>
      <c r="M3" s="455"/>
      <c r="N3" s="455">
        <f>1733.05*40%</f>
        <v>693.22</v>
      </c>
      <c r="O3" s="456"/>
      <c r="P3" s="457"/>
      <c r="Q3" s="449"/>
      <c r="R3" s="449">
        <v>654</v>
      </c>
      <c r="S3" s="449"/>
      <c r="T3" s="449"/>
      <c r="U3" s="449">
        <v>931</v>
      </c>
      <c r="V3" s="458">
        <v>31981052930</v>
      </c>
      <c r="W3" s="225" t="s">
        <v>294</v>
      </c>
    </row>
    <row r="4" spans="1:16381" x14ac:dyDescent="0.25">
      <c r="A4" s="444" t="s">
        <v>39</v>
      </c>
      <c r="B4" s="448">
        <v>45293</v>
      </c>
      <c r="C4" s="448">
        <v>45170</v>
      </c>
      <c r="D4" s="448"/>
      <c r="E4" s="449"/>
      <c r="F4" s="458"/>
      <c r="G4" s="451" t="s">
        <v>35</v>
      </c>
      <c r="H4" s="452" t="s">
        <v>25</v>
      </c>
      <c r="I4" s="453">
        <v>1733.05</v>
      </c>
      <c r="J4" s="449">
        <v>300</v>
      </c>
      <c r="K4" s="449"/>
      <c r="L4" s="455"/>
      <c r="M4" s="455"/>
      <c r="N4" s="455">
        <v>693.22</v>
      </c>
      <c r="O4" s="456"/>
      <c r="P4" s="457"/>
      <c r="Q4" s="449"/>
      <c r="R4" s="449">
        <v>654</v>
      </c>
      <c r="S4" s="449"/>
      <c r="T4" s="449"/>
      <c r="U4" s="449">
        <v>882.86</v>
      </c>
      <c r="V4" s="458" t="s">
        <v>40</v>
      </c>
      <c r="W4" s="225" t="s">
        <v>294</v>
      </c>
    </row>
    <row r="5" spans="1:16381" x14ac:dyDescent="0.25">
      <c r="A5" s="444" t="s">
        <v>225</v>
      </c>
      <c r="B5" s="450">
        <v>45808</v>
      </c>
      <c r="C5" s="448">
        <v>45826</v>
      </c>
      <c r="D5" s="448"/>
      <c r="E5" s="459"/>
      <c r="F5" s="459"/>
      <c r="G5" s="451" t="s">
        <v>230</v>
      </c>
      <c r="H5" s="452" t="s">
        <v>47</v>
      </c>
      <c r="I5" s="453">
        <v>1733.05</v>
      </c>
      <c r="J5" s="460"/>
      <c r="K5" s="459"/>
      <c r="L5" s="461"/>
      <c r="M5" s="462"/>
      <c r="N5" s="461">
        <v>693.22</v>
      </c>
      <c r="O5" s="456"/>
      <c r="P5" s="459"/>
      <c r="Q5" s="463">
        <v>250</v>
      </c>
      <c r="R5" s="449">
        <v>654</v>
      </c>
      <c r="S5" s="449"/>
      <c r="T5" s="463">
        <v>200</v>
      </c>
      <c r="U5" s="466">
        <f>931-160</f>
        <v>771</v>
      </c>
      <c r="V5" s="458">
        <v>14983169644</v>
      </c>
      <c r="W5" s="225" t="s">
        <v>294</v>
      </c>
    </row>
    <row r="6" spans="1:16381" x14ac:dyDescent="0.25">
      <c r="A6" s="464" t="s">
        <v>46</v>
      </c>
      <c r="B6" s="465"/>
      <c r="C6" s="465">
        <v>45497</v>
      </c>
      <c r="D6" s="465"/>
      <c r="E6" s="466"/>
      <c r="F6" s="467"/>
      <c r="G6" s="468" t="s">
        <v>105</v>
      </c>
      <c r="H6" s="469" t="s">
        <v>25</v>
      </c>
      <c r="I6" s="470">
        <v>1733.05</v>
      </c>
      <c r="J6" s="471"/>
      <c r="K6" s="466"/>
      <c r="L6" s="472">
        <f>200+50</f>
        <v>250</v>
      </c>
      <c r="M6" s="472"/>
      <c r="N6" s="472">
        <v>693.22</v>
      </c>
      <c r="O6" s="473"/>
      <c r="P6" s="474"/>
      <c r="Q6" s="466">
        <f>120+20+30+50</f>
        <v>220</v>
      </c>
      <c r="R6" s="475">
        <f>427-30-10</f>
        <v>387</v>
      </c>
      <c r="S6" s="475"/>
      <c r="T6" s="466">
        <f>300+70</f>
        <v>370</v>
      </c>
      <c r="U6" s="466">
        <f>626-25</f>
        <v>601</v>
      </c>
      <c r="V6" s="260">
        <v>11282952617</v>
      </c>
      <c r="W6" s="225" t="s">
        <v>294</v>
      </c>
    </row>
    <row r="7" spans="1:16381" x14ac:dyDescent="0.25">
      <c r="A7" s="464" t="s">
        <v>49</v>
      </c>
      <c r="B7" s="465"/>
      <c r="C7" s="465">
        <v>45472</v>
      </c>
      <c r="D7" s="465"/>
      <c r="E7" s="466"/>
      <c r="F7" s="260"/>
      <c r="G7" s="468" t="s">
        <v>105</v>
      </c>
      <c r="H7" s="469" t="s">
        <v>25</v>
      </c>
      <c r="I7" s="470">
        <v>1733.05</v>
      </c>
      <c r="J7" s="471"/>
      <c r="K7" s="466"/>
      <c r="L7" s="472"/>
      <c r="M7" s="472"/>
      <c r="N7" s="472">
        <v>0</v>
      </c>
      <c r="O7" s="473" t="s">
        <v>287</v>
      </c>
      <c r="P7" s="474"/>
      <c r="Q7" s="466"/>
      <c r="R7" s="475">
        <v>0</v>
      </c>
      <c r="S7" s="475"/>
      <c r="T7" s="466"/>
      <c r="U7" s="466">
        <v>250</v>
      </c>
      <c r="V7" s="260" t="s">
        <v>87</v>
      </c>
      <c r="W7" s="225" t="s">
        <v>294</v>
      </c>
    </row>
    <row r="8" spans="1:16381" x14ac:dyDescent="0.25">
      <c r="A8" s="464" t="s">
        <v>53</v>
      </c>
      <c r="B8" s="465"/>
      <c r="C8" s="465">
        <v>45527</v>
      </c>
      <c r="D8" s="465"/>
      <c r="E8" s="466"/>
      <c r="F8" s="260"/>
      <c r="G8" s="468" t="s">
        <v>105</v>
      </c>
      <c r="H8" s="469" t="s">
        <v>107</v>
      </c>
      <c r="I8" s="470">
        <v>1518</v>
      </c>
      <c r="J8" s="471">
        <v>400</v>
      </c>
      <c r="K8" s="466"/>
      <c r="L8" s="472"/>
      <c r="M8" s="472"/>
      <c r="N8" s="472">
        <v>693.22</v>
      </c>
      <c r="O8" s="473"/>
      <c r="P8" s="474"/>
      <c r="Q8" s="466"/>
      <c r="R8" s="475">
        <v>608</v>
      </c>
      <c r="S8" s="475"/>
      <c r="T8" s="466">
        <v>59.5</v>
      </c>
      <c r="U8" s="475">
        <v>711</v>
      </c>
      <c r="V8" s="260">
        <v>31982397405</v>
      </c>
      <c r="W8" s="225" t="s">
        <v>294</v>
      </c>
    </row>
    <row r="9" spans="1:16381" s="331" customFormat="1" x14ac:dyDescent="0.25">
      <c r="A9" s="344" t="s">
        <v>89</v>
      </c>
      <c r="B9" s="476">
        <v>45663</v>
      </c>
      <c r="C9" s="476">
        <v>45663</v>
      </c>
      <c r="D9" s="476"/>
      <c r="E9" s="477"/>
      <c r="F9" s="478"/>
      <c r="G9" s="479" t="s">
        <v>96</v>
      </c>
      <c r="H9" s="480" t="s">
        <v>25</v>
      </c>
      <c r="I9" s="481">
        <v>3000</v>
      </c>
      <c r="J9" s="477"/>
      <c r="K9" s="477"/>
      <c r="L9" s="482">
        <v>413.8</v>
      </c>
      <c r="M9" s="483"/>
      <c r="N9" s="482">
        <v>1000</v>
      </c>
      <c r="O9" s="484"/>
      <c r="P9" s="478"/>
      <c r="Q9" s="477">
        <v>50</v>
      </c>
      <c r="R9" s="475">
        <v>490</v>
      </c>
      <c r="S9" s="475"/>
      <c r="T9" s="475"/>
      <c r="U9" s="475">
        <v>1000</v>
      </c>
      <c r="V9" s="485">
        <v>13196831698</v>
      </c>
      <c r="W9" s="615" t="s">
        <v>294</v>
      </c>
    </row>
    <row r="10" spans="1:16381" x14ac:dyDescent="0.25">
      <c r="A10" s="486" t="s">
        <v>166</v>
      </c>
      <c r="B10" s="487"/>
      <c r="C10" s="476">
        <v>45628</v>
      </c>
      <c r="D10" s="487"/>
      <c r="E10" s="488"/>
      <c r="F10" s="488"/>
      <c r="G10" s="489" t="s">
        <v>96</v>
      </c>
      <c r="H10" s="490" t="s">
        <v>170</v>
      </c>
      <c r="I10" s="481">
        <f>2650</f>
        <v>2650</v>
      </c>
      <c r="J10" s="488"/>
      <c r="K10" s="488"/>
      <c r="L10" s="483">
        <v>60</v>
      </c>
      <c r="M10" s="491"/>
      <c r="N10" s="483">
        <v>400</v>
      </c>
      <c r="O10" s="492"/>
      <c r="P10" s="488"/>
      <c r="Q10" s="477">
        <v>60</v>
      </c>
      <c r="R10" s="475">
        <f>300-60</f>
        <v>240</v>
      </c>
      <c r="S10" s="475"/>
      <c r="T10" s="477">
        <v>10</v>
      </c>
      <c r="U10" s="498">
        <v>2190</v>
      </c>
      <c r="V10" s="346">
        <v>31991288601</v>
      </c>
      <c r="W10" s="225" t="s">
        <v>294</v>
      </c>
    </row>
    <row r="11" spans="1:16381" x14ac:dyDescent="0.25">
      <c r="A11" s="464" t="s">
        <v>76</v>
      </c>
      <c r="B11" s="260"/>
      <c r="C11" s="465">
        <v>45566</v>
      </c>
      <c r="D11" s="465"/>
      <c r="E11" s="493"/>
      <c r="F11" s="493"/>
      <c r="G11" s="468" t="s">
        <v>217</v>
      </c>
      <c r="H11" s="469" t="s">
        <v>171</v>
      </c>
      <c r="I11" s="494">
        <v>1733.05</v>
      </c>
      <c r="J11" s="495"/>
      <c r="K11" s="493"/>
      <c r="L11" s="496"/>
      <c r="M11" s="497"/>
      <c r="N11" s="496"/>
      <c r="O11" s="473"/>
      <c r="P11" s="493"/>
      <c r="Q11" s="498"/>
      <c r="R11" s="475">
        <v>0</v>
      </c>
      <c r="S11" s="475"/>
      <c r="T11" s="498">
        <v>80</v>
      </c>
      <c r="U11" s="477">
        <v>1505</v>
      </c>
      <c r="V11" s="260">
        <v>31982078680</v>
      </c>
      <c r="W11" s="225"/>
    </row>
    <row r="12" spans="1:16381" ht="14.25" customHeight="1" x14ac:dyDescent="0.25">
      <c r="A12" s="344" t="s">
        <v>167</v>
      </c>
      <c r="B12" s="346"/>
      <c r="C12" s="476">
        <v>45980</v>
      </c>
      <c r="D12" s="476"/>
      <c r="E12" s="478"/>
      <c r="F12" s="478"/>
      <c r="G12" s="479" t="s">
        <v>104</v>
      </c>
      <c r="H12" s="480" t="s">
        <v>74</v>
      </c>
      <c r="I12" s="481">
        <v>1758</v>
      </c>
      <c r="J12" s="499"/>
      <c r="K12" s="478"/>
      <c r="L12" s="483"/>
      <c r="M12" s="500"/>
      <c r="N12" s="483">
        <v>693.22</v>
      </c>
      <c r="O12" s="484"/>
      <c r="P12" s="478"/>
      <c r="Q12" s="477"/>
      <c r="R12" s="475">
        <v>654</v>
      </c>
      <c r="S12" s="475"/>
      <c r="T12" s="477"/>
      <c r="U12" s="477">
        <v>928</v>
      </c>
      <c r="V12" s="346">
        <v>14760536698</v>
      </c>
      <c r="W12" s="225" t="s">
        <v>294</v>
      </c>
    </row>
    <row r="13" spans="1:16381" x14ac:dyDescent="0.25">
      <c r="A13" s="501" t="s">
        <v>168</v>
      </c>
      <c r="B13" s="502"/>
      <c r="C13" s="503">
        <v>45723</v>
      </c>
      <c r="D13" s="503"/>
      <c r="E13" s="504"/>
      <c r="F13" s="504"/>
      <c r="G13" s="505" t="s">
        <v>236</v>
      </c>
      <c r="H13" s="506" t="s">
        <v>74</v>
      </c>
      <c r="I13" s="507">
        <v>1758</v>
      </c>
      <c r="J13" s="508"/>
      <c r="K13" s="504"/>
      <c r="L13" s="509"/>
      <c r="M13" s="510"/>
      <c r="N13" s="509">
        <v>704</v>
      </c>
      <c r="O13" s="511"/>
      <c r="P13" s="504"/>
      <c r="Q13" s="512"/>
      <c r="R13" s="513">
        <v>703.2</v>
      </c>
      <c r="S13" s="513"/>
      <c r="T13" s="512"/>
      <c r="U13" s="512">
        <v>949.52</v>
      </c>
      <c r="V13" s="502">
        <v>70278968694</v>
      </c>
      <c r="W13" s="225"/>
    </row>
    <row r="14" spans="1:16381" x14ac:dyDescent="0.25">
      <c r="A14" s="443" t="s">
        <v>233</v>
      </c>
      <c r="B14" s="514">
        <v>45818</v>
      </c>
      <c r="C14" s="514">
        <v>45840</v>
      </c>
      <c r="D14" s="515">
        <v>45930</v>
      </c>
      <c r="E14" s="505"/>
      <c r="F14" s="505"/>
      <c r="G14" s="516" t="s">
        <v>104</v>
      </c>
      <c r="H14" s="506" t="s">
        <v>47</v>
      </c>
      <c r="I14" s="507">
        <v>1758</v>
      </c>
      <c r="J14" s="508"/>
      <c r="K14" s="504"/>
      <c r="L14" s="509"/>
      <c r="M14" s="517"/>
      <c r="N14" s="509">
        <v>704</v>
      </c>
      <c r="O14" s="511">
        <v>45873</v>
      </c>
      <c r="P14" s="504"/>
      <c r="Q14" s="512"/>
      <c r="R14" s="513">
        <v>703.2</v>
      </c>
      <c r="S14" s="513"/>
      <c r="T14" s="512"/>
      <c r="U14" s="512">
        <v>707</v>
      </c>
      <c r="V14" s="502">
        <v>15825441662</v>
      </c>
      <c r="W14" s="225"/>
    </row>
    <row r="15" spans="1:16381" x14ac:dyDescent="0.25">
      <c r="A15" s="443" t="s">
        <v>239</v>
      </c>
      <c r="B15" s="514">
        <v>45831</v>
      </c>
      <c r="C15" s="503">
        <v>45840</v>
      </c>
      <c r="D15" s="503"/>
      <c r="E15" s="504"/>
      <c r="F15" s="504"/>
      <c r="G15" s="505" t="s">
        <v>104</v>
      </c>
      <c r="H15" s="506" t="s">
        <v>47</v>
      </c>
      <c r="I15" s="507">
        <v>1758</v>
      </c>
      <c r="J15" s="508"/>
      <c r="K15" s="504"/>
      <c r="L15" s="509"/>
      <c r="M15" s="510"/>
      <c r="N15" s="509">
        <v>703</v>
      </c>
      <c r="O15" s="511">
        <v>45900</v>
      </c>
      <c r="P15" s="504"/>
      <c r="Q15" s="512"/>
      <c r="R15" s="513">
        <v>703.2</v>
      </c>
      <c r="S15" s="513"/>
      <c r="T15" s="512"/>
      <c r="U15" s="512">
        <f>949.52-58.6</f>
        <v>890.92</v>
      </c>
      <c r="V15" s="502" t="s">
        <v>253</v>
      </c>
      <c r="W15" s="225" t="s">
        <v>294</v>
      </c>
    </row>
    <row r="16" spans="1:16381" s="314" customFormat="1" ht="13.5" x14ac:dyDescent="0.25">
      <c r="A16" s="518" t="s">
        <v>203</v>
      </c>
      <c r="B16" s="519"/>
      <c r="C16" s="520">
        <v>45743</v>
      </c>
      <c r="D16" s="519"/>
      <c r="E16" s="519"/>
      <c r="F16" s="519"/>
      <c r="G16" s="521" t="s">
        <v>213</v>
      </c>
      <c r="H16" s="522" t="s">
        <v>78</v>
      </c>
      <c r="I16" s="523">
        <v>1518</v>
      </c>
      <c r="J16" s="519"/>
      <c r="K16" s="519"/>
      <c r="L16" s="524"/>
      <c r="M16" s="525"/>
      <c r="N16" s="526">
        <v>607</v>
      </c>
      <c r="O16" s="527"/>
      <c r="P16" s="519"/>
      <c r="Q16" s="528"/>
      <c r="R16" s="528">
        <f>607.2-Q16</f>
        <v>607.20000000000005</v>
      </c>
      <c r="S16" s="528"/>
      <c r="T16" s="528"/>
      <c r="U16" s="528">
        <v>825</v>
      </c>
      <c r="V16" s="529">
        <v>31991443051</v>
      </c>
      <c r="W16" s="614" t="s">
        <v>294</v>
      </c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BM16" s="314" t="s">
        <v>203</v>
      </c>
      <c r="BN16" s="314" t="s">
        <v>203</v>
      </c>
      <c r="BO16" s="314" t="s">
        <v>203</v>
      </c>
      <c r="BP16" s="314" t="s">
        <v>203</v>
      </c>
      <c r="BQ16" s="314" t="s">
        <v>203</v>
      </c>
      <c r="BR16" s="314" t="s">
        <v>203</v>
      </c>
      <c r="BS16" s="314" t="s">
        <v>203</v>
      </c>
      <c r="BT16" s="314" t="s">
        <v>203</v>
      </c>
      <c r="BU16" s="314" t="s">
        <v>203</v>
      </c>
      <c r="BV16" s="314" t="s">
        <v>203</v>
      </c>
      <c r="BW16" s="314" t="s">
        <v>203</v>
      </c>
      <c r="BX16" s="314" t="s">
        <v>203</v>
      </c>
      <c r="BY16" s="314" t="s">
        <v>203</v>
      </c>
      <c r="BZ16" s="314" t="s">
        <v>203</v>
      </c>
      <c r="CA16" s="314" t="s">
        <v>203</v>
      </c>
      <c r="CB16" s="314" t="s">
        <v>203</v>
      </c>
      <c r="CC16" s="314" t="s">
        <v>203</v>
      </c>
      <c r="CD16" s="314" t="s">
        <v>203</v>
      </c>
      <c r="CE16" s="314" t="s">
        <v>203</v>
      </c>
      <c r="CF16" s="314" t="s">
        <v>203</v>
      </c>
      <c r="CG16" s="314" t="s">
        <v>203</v>
      </c>
      <c r="CH16" s="314" t="s">
        <v>203</v>
      </c>
      <c r="CI16" s="314" t="s">
        <v>203</v>
      </c>
      <c r="CJ16" s="314" t="s">
        <v>203</v>
      </c>
      <c r="CK16" s="314" t="s">
        <v>203</v>
      </c>
      <c r="CL16" s="314" t="s">
        <v>203</v>
      </c>
      <c r="CM16" s="314" t="s">
        <v>203</v>
      </c>
      <c r="CN16" s="314" t="s">
        <v>203</v>
      </c>
      <c r="CO16" s="314" t="s">
        <v>203</v>
      </c>
      <c r="CP16" s="314" t="s">
        <v>203</v>
      </c>
      <c r="CQ16" s="314" t="s">
        <v>203</v>
      </c>
      <c r="CR16" s="314" t="s">
        <v>203</v>
      </c>
      <c r="CS16" s="314" t="s">
        <v>203</v>
      </c>
      <c r="CT16" s="314" t="s">
        <v>203</v>
      </c>
      <c r="CU16" s="314" t="s">
        <v>203</v>
      </c>
      <c r="CV16" s="314" t="s">
        <v>203</v>
      </c>
      <c r="CW16" s="314" t="s">
        <v>203</v>
      </c>
      <c r="CX16" s="314" t="s">
        <v>203</v>
      </c>
      <c r="CY16" s="314" t="s">
        <v>203</v>
      </c>
      <c r="CZ16" s="314" t="s">
        <v>203</v>
      </c>
      <c r="DA16" s="314" t="s">
        <v>203</v>
      </c>
      <c r="DB16" s="314" t="s">
        <v>203</v>
      </c>
      <c r="DC16" s="314" t="s">
        <v>203</v>
      </c>
      <c r="DD16" s="314" t="s">
        <v>203</v>
      </c>
      <c r="DE16" s="314" t="s">
        <v>203</v>
      </c>
      <c r="DF16" s="314" t="s">
        <v>203</v>
      </c>
      <c r="DG16" s="314" t="s">
        <v>203</v>
      </c>
      <c r="DH16" s="314" t="s">
        <v>203</v>
      </c>
      <c r="DI16" s="314" t="s">
        <v>203</v>
      </c>
      <c r="DJ16" s="314" t="s">
        <v>203</v>
      </c>
      <c r="DK16" s="314" t="s">
        <v>203</v>
      </c>
      <c r="DL16" s="314" t="s">
        <v>203</v>
      </c>
      <c r="DM16" s="314" t="s">
        <v>203</v>
      </c>
      <c r="DN16" s="314" t="s">
        <v>203</v>
      </c>
      <c r="DO16" s="314" t="s">
        <v>203</v>
      </c>
      <c r="DP16" s="314" t="s">
        <v>203</v>
      </c>
      <c r="DQ16" s="314" t="s">
        <v>203</v>
      </c>
      <c r="DR16" s="314" t="s">
        <v>203</v>
      </c>
      <c r="DS16" s="314" t="s">
        <v>203</v>
      </c>
      <c r="DT16" s="314" t="s">
        <v>203</v>
      </c>
      <c r="DU16" s="314" t="s">
        <v>203</v>
      </c>
      <c r="DV16" s="314" t="s">
        <v>203</v>
      </c>
      <c r="DW16" s="314" t="s">
        <v>203</v>
      </c>
      <c r="DX16" s="314" t="s">
        <v>203</v>
      </c>
      <c r="DY16" s="314" t="s">
        <v>203</v>
      </c>
      <c r="DZ16" s="314" t="s">
        <v>203</v>
      </c>
      <c r="EA16" s="314" t="s">
        <v>203</v>
      </c>
      <c r="EB16" s="314" t="s">
        <v>203</v>
      </c>
      <c r="EC16" s="314" t="s">
        <v>203</v>
      </c>
      <c r="ED16" s="314" t="s">
        <v>203</v>
      </c>
      <c r="EE16" s="314" t="s">
        <v>203</v>
      </c>
      <c r="EF16" s="314" t="s">
        <v>203</v>
      </c>
      <c r="EG16" s="314" t="s">
        <v>203</v>
      </c>
      <c r="EH16" s="314" t="s">
        <v>203</v>
      </c>
      <c r="EI16" s="314" t="s">
        <v>203</v>
      </c>
      <c r="EJ16" s="314" t="s">
        <v>203</v>
      </c>
      <c r="EK16" s="314" t="s">
        <v>203</v>
      </c>
      <c r="EL16" s="314" t="s">
        <v>203</v>
      </c>
      <c r="EM16" s="314" t="s">
        <v>203</v>
      </c>
      <c r="EN16" s="314" t="s">
        <v>203</v>
      </c>
      <c r="EO16" s="314" t="s">
        <v>203</v>
      </c>
      <c r="EP16" s="314" t="s">
        <v>203</v>
      </c>
      <c r="EQ16" s="314" t="s">
        <v>203</v>
      </c>
      <c r="ER16" s="314" t="s">
        <v>203</v>
      </c>
      <c r="ES16" s="314" t="s">
        <v>203</v>
      </c>
      <c r="ET16" s="314" t="s">
        <v>203</v>
      </c>
      <c r="EU16" s="314" t="s">
        <v>203</v>
      </c>
      <c r="EV16" s="314" t="s">
        <v>203</v>
      </c>
      <c r="EW16" s="314" t="s">
        <v>203</v>
      </c>
      <c r="EX16" s="314" t="s">
        <v>203</v>
      </c>
      <c r="EY16" s="314" t="s">
        <v>203</v>
      </c>
      <c r="EZ16" s="314" t="s">
        <v>203</v>
      </c>
      <c r="FA16" s="314" t="s">
        <v>203</v>
      </c>
      <c r="FB16" s="314" t="s">
        <v>203</v>
      </c>
      <c r="FC16" s="314" t="s">
        <v>203</v>
      </c>
      <c r="FD16" s="314" t="s">
        <v>203</v>
      </c>
      <c r="FE16" s="314" t="s">
        <v>203</v>
      </c>
      <c r="FF16" s="314" t="s">
        <v>203</v>
      </c>
      <c r="FG16" s="314" t="s">
        <v>203</v>
      </c>
      <c r="FH16" s="314" t="s">
        <v>203</v>
      </c>
      <c r="FI16" s="314" t="s">
        <v>203</v>
      </c>
      <c r="FJ16" s="314" t="s">
        <v>203</v>
      </c>
      <c r="FK16" s="314" t="s">
        <v>203</v>
      </c>
      <c r="FL16" s="314" t="s">
        <v>203</v>
      </c>
      <c r="FM16" s="314" t="s">
        <v>203</v>
      </c>
      <c r="FN16" s="314" t="s">
        <v>203</v>
      </c>
      <c r="FO16" s="314" t="s">
        <v>203</v>
      </c>
      <c r="FP16" s="314" t="s">
        <v>203</v>
      </c>
      <c r="FQ16" s="314" t="s">
        <v>203</v>
      </c>
      <c r="FR16" s="314" t="s">
        <v>203</v>
      </c>
      <c r="FS16" s="314" t="s">
        <v>203</v>
      </c>
      <c r="FT16" s="314" t="s">
        <v>203</v>
      </c>
      <c r="FU16" s="314" t="s">
        <v>203</v>
      </c>
      <c r="FV16" s="314" t="s">
        <v>203</v>
      </c>
      <c r="FW16" s="314" t="s">
        <v>203</v>
      </c>
      <c r="FX16" s="314" t="s">
        <v>203</v>
      </c>
      <c r="FY16" s="314" t="s">
        <v>203</v>
      </c>
      <c r="FZ16" s="314" t="s">
        <v>203</v>
      </c>
      <c r="GA16" s="314" t="s">
        <v>203</v>
      </c>
      <c r="GB16" s="314" t="s">
        <v>203</v>
      </c>
      <c r="GC16" s="314" t="s">
        <v>203</v>
      </c>
      <c r="GD16" s="314" t="s">
        <v>203</v>
      </c>
      <c r="GE16" s="314" t="s">
        <v>203</v>
      </c>
      <c r="GF16" s="314" t="s">
        <v>203</v>
      </c>
      <c r="GG16" s="314" t="s">
        <v>203</v>
      </c>
      <c r="GH16" s="314" t="s">
        <v>203</v>
      </c>
      <c r="GI16" s="314" t="s">
        <v>203</v>
      </c>
      <c r="GJ16" s="314" t="s">
        <v>203</v>
      </c>
      <c r="GK16" s="314" t="s">
        <v>203</v>
      </c>
      <c r="GL16" s="314" t="s">
        <v>203</v>
      </c>
      <c r="GM16" s="314" t="s">
        <v>203</v>
      </c>
      <c r="GN16" s="314" t="s">
        <v>203</v>
      </c>
      <c r="GO16" s="314" t="s">
        <v>203</v>
      </c>
      <c r="GP16" s="314" t="s">
        <v>203</v>
      </c>
      <c r="GQ16" s="314" t="s">
        <v>203</v>
      </c>
      <c r="GR16" s="314" t="s">
        <v>203</v>
      </c>
      <c r="GS16" s="314" t="s">
        <v>203</v>
      </c>
      <c r="GT16" s="314" t="s">
        <v>203</v>
      </c>
      <c r="GU16" s="314" t="s">
        <v>203</v>
      </c>
      <c r="GV16" s="314" t="s">
        <v>203</v>
      </c>
      <c r="GW16" s="314" t="s">
        <v>203</v>
      </c>
      <c r="GX16" s="314" t="s">
        <v>203</v>
      </c>
      <c r="GY16" s="314" t="s">
        <v>203</v>
      </c>
      <c r="GZ16" s="314" t="s">
        <v>203</v>
      </c>
      <c r="HA16" s="314" t="s">
        <v>203</v>
      </c>
      <c r="HB16" s="314" t="s">
        <v>203</v>
      </c>
      <c r="HC16" s="314" t="s">
        <v>203</v>
      </c>
      <c r="HD16" s="314" t="s">
        <v>203</v>
      </c>
      <c r="HE16" s="314" t="s">
        <v>203</v>
      </c>
      <c r="HF16" s="314" t="s">
        <v>203</v>
      </c>
      <c r="HG16" s="314" t="s">
        <v>203</v>
      </c>
      <c r="HH16" s="314" t="s">
        <v>203</v>
      </c>
      <c r="HI16" s="314" t="s">
        <v>203</v>
      </c>
      <c r="HJ16" s="314" t="s">
        <v>203</v>
      </c>
      <c r="HK16" s="314" t="s">
        <v>203</v>
      </c>
      <c r="HL16" s="314" t="s">
        <v>203</v>
      </c>
      <c r="HM16" s="314" t="s">
        <v>203</v>
      </c>
      <c r="HN16" s="314" t="s">
        <v>203</v>
      </c>
      <c r="HO16" s="314" t="s">
        <v>203</v>
      </c>
      <c r="HP16" s="314" t="s">
        <v>203</v>
      </c>
      <c r="HQ16" s="314" t="s">
        <v>203</v>
      </c>
      <c r="HR16" s="314" t="s">
        <v>203</v>
      </c>
      <c r="HS16" s="314" t="s">
        <v>203</v>
      </c>
      <c r="HT16" s="314" t="s">
        <v>203</v>
      </c>
      <c r="HU16" s="314" t="s">
        <v>203</v>
      </c>
      <c r="HV16" s="314" t="s">
        <v>203</v>
      </c>
      <c r="HW16" s="314" t="s">
        <v>203</v>
      </c>
      <c r="HX16" s="314" t="s">
        <v>203</v>
      </c>
      <c r="HY16" s="314" t="s">
        <v>203</v>
      </c>
      <c r="HZ16" s="314" t="s">
        <v>203</v>
      </c>
      <c r="IA16" s="314" t="s">
        <v>203</v>
      </c>
      <c r="IB16" s="314" t="s">
        <v>203</v>
      </c>
      <c r="IC16" s="314" t="s">
        <v>203</v>
      </c>
      <c r="ID16" s="314" t="s">
        <v>203</v>
      </c>
      <c r="IE16" s="314" t="s">
        <v>203</v>
      </c>
      <c r="IF16" s="314" t="s">
        <v>203</v>
      </c>
      <c r="IG16" s="314" t="s">
        <v>203</v>
      </c>
      <c r="IH16" s="314" t="s">
        <v>203</v>
      </c>
      <c r="II16" s="314" t="s">
        <v>203</v>
      </c>
      <c r="IJ16" s="314" t="s">
        <v>203</v>
      </c>
      <c r="IK16" s="314" t="s">
        <v>203</v>
      </c>
      <c r="IL16" s="314" t="s">
        <v>203</v>
      </c>
      <c r="IM16" s="314" t="s">
        <v>203</v>
      </c>
      <c r="IN16" s="314" t="s">
        <v>203</v>
      </c>
      <c r="IO16" s="314" t="s">
        <v>203</v>
      </c>
      <c r="IP16" s="314" t="s">
        <v>203</v>
      </c>
      <c r="IQ16" s="314" t="s">
        <v>203</v>
      </c>
      <c r="IR16" s="314" t="s">
        <v>203</v>
      </c>
      <c r="IS16" s="314" t="s">
        <v>203</v>
      </c>
      <c r="IT16" s="314" t="s">
        <v>203</v>
      </c>
      <c r="IU16" s="314" t="s">
        <v>203</v>
      </c>
      <c r="IV16" s="314" t="s">
        <v>203</v>
      </c>
      <c r="IW16" s="314" t="s">
        <v>203</v>
      </c>
      <c r="IX16" s="314" t="s">
        <v>203</v>
      </c>
      <c r="IY16" s="314" t="s">
        <v>203</v>
      </c>
      <c r="IZ16" s="314" t="s">
        <v>203</v>
      </c>
      <c r="JA16" s="314" t="s">
        <v>203</v>
      </c>
      <c r="JB16" s="314" t="s">
        <v>203</v>
      </c>
      <c r="JC16" s="314" t="s">
        <v>203</v>
      </c>
      <c r="JD16" s="314" t="s">
        <v>203</v>
      </c>
      <c r="JE16" s="314" t="s">
        <v>203</v>
      </c>
      <c r="JF16" s="314" t="s">
        <v>203</v>
      </c>
      <c r="JG16" s="314" t="s">
        <v>203</v>
      </c>
      <c r="JH16" s="314" t="s">
        <v>203</v>
      </c>
      <c r="JI16" s="314" t="s">
        <v>203</v>
      </c>
      <c r="JJ16" s="314" t="s">
        <v>203</v>
      </c>
      <c r="JK16" s="314" t="s">
        <v>203</v>
      </c>
      <c r="JL16" s="314" t="s">
        <v>203</v>
      </c>
      <c r="JM16" s="314" t="s">
        <v>203</v>
      </c>
      <c r="JN16" s="314" t="s">
        <v>203</v>
      </c>
      <c r="JO16" s="314" t="s">
        <v>203</v>
      </c>
      <c r="JP16" s="314" t="s">
        <v>203</v>
      </c>
      <c r="JQ16" s="314" t="s">
        <v>203</v>
      </c>
      <c r="JR16" s="314" t="s">
        <v>203</v>
      </c>
      <c r="JS16" s="314" t="s">
        <v>203</v>
      </c>
      <c r="JT16" s="314" t="s">
        <v>203</v>
      </c>
      <c r="JU16" s="314" t="s">
        <v>203</v>
      </c>
      <c r="JV16" s="314" t="s">
        <v>203</v>
      </c>
      <c r="JW16" s="314" t="s">
        <v>203</v>
      </c>
      <c r="JX16" s="314" t="s">
        <v>203</v>
      </c>
      <c r="JY16" s="314" t="s">
        <v>203</v>
      </c>
      <c r="JZ16" s="314" t="s">
        <v>203</v>
      </c>
      <c r="KA16" s="314" t="s">
        <v>203</v>
      </c>
      <c r="KB16" s="314" t="s">
        <v>203</v>
      </c>
      <c r="KC16" s="314" t="s">
        <v>203</v>
      </c>
      <c r="KD16" s="314" t="s">
        <v>203</v>
      </c>
      <c r="KE16" s="314" t="s">
        <v>203</v>
      </c>
      <c r="KF16" s="314" t="s">
        <v>203</v>
      </c>
      <c r="KG16" s="314" t="s">
        <v>203</v>
      </c>
      <c r="KH16" s="314" t="s">
        <v>203</v>
      </c>
      <c r="KI16" s="314" t="s">
        <v>203</v>
      </c>
      <c r="KJ16" s="314" t="s">
        <v>203</v>
      </c>
      <c r="KK16" s="314" t="s">
        <v>203</v>
      </c>
      <c r="KL16" s="314" t="s">
        <v>203</v>
      </c>
      <c r="KM16" s="314" t="s">
        <v>203</v>
      </c>
      <c r="KN16" s="314" t="s">
        <v>203</v>
      </c>
      <c r="KO16" s="314" t="s">
        <v>203</v>
      </c>
      <c r="KP16" s="314" t="s">
        <v>203</v>
      </c>
      <c r="KQ16" s="314" t="s">
        <v>203</v>
      </c>
      <c r="KR16" s="314" t="s">
        <v>203</v>
      </c>
      <c r="KS16" s="314" t="s">
        <v>203</v>
      </c>
      <c r="KT16" s="314" t="s">
        <v>203</v>
      </c>
      <c r="KU16" s="314" t="s">
        <v>203</v>
      </c>
      <c r="KV16" s="314" t="s">
        <v>203</v>
      </c>
      <c r="KW16" s="314" t="s">
        <v>203</v>
      </c>
      <c r="KX16" s="314" t="s">
        <v>203</v>
      </c>
      <c r="KY16" s="314" t="s">
        <v>203</v>
      </c>
      <c r="KZ16" s="314" t="s">
        <v>203</v>
      </c>
      <c r="LA16" s="314" t="s">
        <v>203</v>
      </c>
      <c r="LB16" s="314" t="s">
        <v>203</v>
      </c>
      <c r="LC16" s="314" t="s">
        <v>203</v>
      </c>
      <c r="LD16" s="314" t="s">
        <v>203</v>
      </c>
      <c r="LE16" s="314" t="s">
        <v>203</v>
      </c>
      <c r="LF16" s="314" t="s">
        <v>203</v>
      </c>
      <c r="LG16" s="314" t="s">
        <v>203</v>
      </c>
      <c r="LH16" s="314" t="s">
        <v>203</v>
      </c>
      <c r="LI16" s="314" t="s">
        <v>203</v>
      </c>
      <c r="LJ16" s="314" t="s">
        <v>203</v>
      </c>
      <c r="LK16" s="314" t="s">
        <v>203</v>
      </c>
      <c r="LL16" s="314" t="s">
        <v>203</v>
      </c>
      <c r="LM16" s="314" t="s">
        <v>203</v>
      </c>
      <c r="LN16" s="314" t="s">
        <v>203</v>
      </c>
      <c r="LO16" s="314" t="s">
        <v>203</v>
      </c>
      <c r="LP16" s="314" t="s">
        <v>203</v>
      </c>
      <c r="LQ16" s="314" t="s">
        <v>203</v>
      </c>
      <c r="LR16" s="314" t="s">
        <v>203</v>
      </c>
      <c r="LS16" s="314" t="s">
        <v>203</v>
      </c>
      <c r="LT16" s="314" t="s">
        <v>203</v>
      </c>
      <c r="LU16" s="314" t="s">
        <v>203</v>
      </c>
      <c r="LV16" s="314" t="s">
        <v>203</v>
      </c>
      <c r="LW16" s="314" t="s">
        <v>203</v>
      </c>
      <c r="LX16" s="314" t="s">
        <v>203</v>
      </c>
      <c r="LY16" s="314" t="s">
        <v>203</v>
      </c>
      <c r="LZ16" s="314" t="s">
        <v>203</v>
      </c>
      <c r="MA16" s="314" t="s">
        <v>203</v>
      </c>
      <c r="MB16" s="314" t="s">
        <v>203</v>
      </c>
      <c r="MC16" s="314" t="s">
        <v>203</v>
      </c>
      <c r="MD16" s="314" t="s">
        <v>203</v>
      </c>
      <c r="ME16" s="314" t="s">
        <v>203</v>
      </c>
      <c r="MF16" s="314" t="s">
        <v>203</v>
      </c>
      <c r="MG16" s="314" t="s">
        <v>203</v>
      </c>
      <c r="MH16" s="314" t="s">
        <v>203</v>
      </c>
      <c r="MI16" s="314" t="s">
        <v>203</v>
      </c>
      <c r="MJ16" s="314" t="s">
        <v>203</v>
      </c>
      <c r="MK16" s="314" t="s">
        <v>203</v>
      </c>
      <c r="ML16" s="314" t="s">
        <v>203</v>
      </c>
      <c r="MM16" s="314" t="s">
        <v>203</v>
      </c>
      <c r="MN16" s="314" t="s">
        <v>203</v>
      </c>
      <c r="MO16" s="314" t="s">
        <v>203</v>
      </c>
      <c r="MP16" s="314" t="s">
        <v>203</v>
      </c>
      <c r="MQ16" s="314" t="s">
        <v>203</v>
      </c>
      <c r="MR16" s="314" t="s">
        <v>203</v>
      </c>
      <c r="MS16" s="314" t="s">
        <v>203</v>
      </c>
      <c r="MT16" s="314" t="s">
        <v>203</v>
      </c>
      <c r="MU16" s="314" t="s">
        <v>203</v>
      </c>
      <c r="MV16" s="314" t="s">
        <v>203</v>
      </c>
      <c r="MW16" s="314" t="s">
        <v>203</v>
      </c>
      <c r="MX16" s="314" t="s">
        <v>203</v>
      </c>
      <c r="MY16" s="314" t="s">
        <v>203</v>
      </c>
      <c r="MZ16" s="314" t="s">
        <v>203</v>
      </c>
      <c r="NA16" s="314" t="s">
        <v>203</v>
      </c>
      <c r="NB16" s="314" t="s">
        <v>203</v>
      </c>
      <c r="NC16" s="314" t="s">
        <v>203</v>
      </c>
      <c r="ND16" s="314" t="s">
        <v>203</v>
      </c>
      <c r="NE16" s="314" t="s">
        <v>203</v>
      </c>
      <c r="NF16" s="314" t="s">
        <v>203</v>
      </c>
      <c r="NG16" s="314" t="s">
        <v>203</v>
      </c>
      <c r="NH16" s="314" t="s">
        <v>203</v>
      </c>
      <c r="NI16" s="314" t="s">
        <v>203</v>
      </c>
      <c r="NJ16" s="314" t="s">
        <v>203</v>
      </c>
      <c r="NK16" s="314" t="s">
        <v>203</v>
      </c>
      <c r="NL16" s="314" t="s">
        <v>203</v>
      </c>
      <c r="NM16" s="314" t="s">
        <v>203</v>
      </c>
      <c r="NN16" s="314" t="s">
        <v>203</v>
      </c>
      <c r="NO16" s="314" t="s">
        <v>203</v>
      </c>
      <c r="NP16" s="314" t="s">
        <v>203</v>
      </c>
      <c r="NQ16" s="314" t="s">
        <v>203</v>
      </c>
      <c r="NR16" s="314" t="s">
        <v>203</v>
      </c>
      <c r="NS16" s="314" t="s">
        <v>203</v>
      </c>
      <c r="NT16" s="314" t="s">
        <v>203</v>
      </c>
      <c r="NU16" s="314" t="s">
        <v>203</v>
      </c>
      <c r="NV16" s="314" t="s">
        <v>203</v>
      </c>
      <c r="NW16" s="314" t="s">
        <v>203</v>
      </c>
      <c r="NX16" s="314" t="s">
        <v>203</v>
      </c>
      <c r="NY16" s="314" t="s">
        <v>203</v>
      </c>
      <c r="NZ16" s="314" t="s">
        <v>203</v>
      </c>
      <c r="OA16" s="314" t="s">
        <v>203</v>
      </c>
      <c r="OB16" s="314" t="s">
        <v>203</v>
      </c>
      <c r="OC16" s="314" t="s">
        <v>203</v>
      </c>
      <c r="OD16" s="314" t="s">
        <v>203</v>
      </c>
      <c r="OE16" s="314" t="s">
        <v>203</v>
      </c>
      <c r="OF16" s="314" t="s">
        <v>203</v>
      </c>
      <c r="OG16" s="314" t="s">
        <v>203</v>
      </c>
      <c r="OH16" s="314" t="s">
        <v>203</v>
      </c>
      <c r="OI16" s="314" t="s">
        <v>203</v>
      </c>
      <c r="OJ16" s="314" t="s">
        <v>203</v>
      </c>
      <c r="OK16" s="314" t="s">
        <v>203</v>
      </c>
      <c r="OL16" s="314" t="s">
        <v>203</v>
      </c>
      <c r="OM16" s="314" t="s">
        <v>203</v>
      </c>
      <c r="ON16" s="314" t="s">
        <v>203</v>
      </c>
      <c r="OO16" s="314" t="s">
        <v>203</v>
      </c>
      <c r="OP16" s="314" t="s">
        <v>203</v>
      </c>
      <c r="OQ16" s="314" t="s">
        <v>203</v>
      </c>
      <c r="OR16" s="314" t="s">
        <v>203</v>
      </c>
      <c r="OS16" s="314" t="s">
        <v>203</v>
      </c>
      <c r="OT16" s="314" t="s">
        <v>203</v>
      </c>
      <c r="OU16" s="314" t="s">
        <v>203</v>
      </c>
      <c r="OV16" s="314" t="s">
        <v>203</v>
      </c>
      <c r="OW16" s="314" t="s">
        <v>203</v>
      </c>
      <c r="OX16" s="314" t="s">
        <v>203</v>
      </c>
      <c r="OY16" s="314" t="s">
        <v>203</v>
      </c>
      <c r="OZ16" s="314" t="s">
        <v>203</v>
      </c>
      <c r="PA16" s="314" t="s">
        <v>203</v>
      </c>
      <c r="PB16" s="314" t="s">
        <v>203</v>
      </c>
      <c r="PC16" s="314" t="s">
        <v>203</v>
      </c>
      <c r="PD16" s="314" t="s">
        <v>203</v>
      </c>
      <c r="PE16" s="314" t="s">
        <v>203</v>
      </c>
      <c r="PF16" s="314" t="s">
        <v>203</v>
      </c>
      <c r="PG16" s="314" t="s">
        <v>203</v>
      </c>
      <c r="PH16" s="314" t="s">
        <v>203</v>
      </c>
      <c r="PI16" s="314" t="s">
        <v>203</v>
      </c>
      <c r="PJ16" s="314" t="s">
        <v>203</v>
      </c>
      <c r="PK16" s="314" t="s">
        <v>203</v>
      </c>
      <c r="PL16" s="314" t="s">
        <v>203</v>
      </c>
      <c r="PM16" s="314" t="s">
        <v>203</v>
      </c>
      <c r="PN16" s="314" t="s">
        <v>203</v>
      </c>
      <c r="PO16" s="314" t="s">
        <v>203</v>
      </c>
      <c r="PP16" s="314" t="s">
        <v>203</v>
      </c>
      <c r="PQ16" s="314" t="s">
        <v>203</v>
      </c>
      <c r="PR16" s="314" t="s">
        <v>203</v>
      </c>
      <c r="PS16" s="314" t="s">
        <v>203</v>
      </c>
      <c r="PT16" s="314" t="s">
        <v>203</v>
      </c>
      <c r="PU16" s="314" t="s">
        <v>203</v>
      </c>
      <c r="PV16" s="314" t="s">
        <v>203</v>
      </c>
      <c r="PW16" s="314" t="s">
        <v>203</v>
      </c>
      <c r="PX16" s="314" t="s">
        <v>203</v>
      </c>
      <c r="PY16" s="314" t="s">
        <v>203</v>
      </c>
      <c r="PZ16" s="314" t="s">
        <v>203</v>
      </c>
      <c r="QA16" s="314" t="s">
        <v>203</v>
      </c>
      <c r="QB16" s="314" t="s">
        <v>203</v>
      </c>
      <c r="QC16" s="314" t="s">
        <v>203</v>
      </c>
      <c r="QD16" s="314" t="s">
        <v>203</v>
      </c>
      <c r="QE16" s="314" t="s">
        <v>203</v>
      </c>
      <c r="QF16" s="314" t="s">
        <v>203</v>
      </c>
      <c r="QG16" s="314" t="s">
        <v>203</v>
      </c>
      <c r="QH16" s="314" t="s">
        <v>203</v>
      </c>
      <c r="QI16" s="314" t="s">
        <v>203</v>
      </c>
      <c r="QJ16" s="314" t="s">
        <v>203</v>
      </c>
      <c r="QK16" s="314" t="s">
        <v>203</v>
      </c>
      <c r="QL16" s="314" t="s">
        <v>203</v>
      </c>
      <c r="QM16" s="314" t="s">
        <v>203</v>
      </c>
      <c r="QN16" s="314" t="s">
        <v>203</v>
      </c>
      <c r="QO16" s="314" t="s">
        <v>203</v>
      </c>
      <c r="QP16" s="314" t="s">
        <v>203</v>
      </c>
      <c r="QQ16" s="314" t="s">
        <v>203</v>
      </c>
      <c r="QR16" s="314" t="s">
        <v>203</v>
      </c>
      <c r="QS16" s="314" t="s">
        <v>203</v>
      </c>
      <c r="QT16" s="314" t="s">
        <v>203</v>
      </c>
      <c r="QU16" s="314" t="s">
        <v>203</v>
      </c>
      <c r="QV16" s="314" t="s">
        <v>203</v>
      </c>
      <c r="QW16" s="314" t="s">
        <v>203</v>
      </c>
      <c r="QX16" s="314" t="s">
        <v>203</v>
      </c>
      <c r="QY16" s="314" t="s">
        <v>203</v>
      </c>
      <c r="QZ16" s="314" t="s">
        <v>203</v>
      </c>
      <c r="RA16" s="314" t="s">
        <v>203</v>
      </c>
      <c r="RB16" s="314" t="s">
        <v>203</v>
      </c>
      <c r="RC16" s="314" t="s">
        <v>203</v>
      </c>
      <c r="RD16" s="314" t="s">
        <v>203</v>
      </c>
      <c r="RE16" s="314" t="s">
        <v>203</v>
      </c>
      <c r="RF16" s="314" t="s">
        <v>203</v>
      </c>
      <c r="RG16" s="314" t="s">
        <v>203</v>
      </c>
      <c r="RH16" s="314" t="s">
        <v>203</v>
      </c>
      <c r="RI16" s="314" t="s">
        <v>203</v>
      </c>
      <c r="RJ16" s="314" t="s">
        <v>203</v>
      </c>
      <c r="RK16" s="314" t="s">
        <v>203</v>
      </c>
      <c r="RL16" s="314" t="s">
        <v>203</v>
      </c>
      <c r="RM16" s="314" t="s">
        <v>203</v>
      </c>
      <c r="RN16" s="314" t="s">
        <v>203</v>
      </c>
      <c r="RO16" s="314" t="s">
        <v>203</v>
      </c>
      <c r="RP16" s="314" t="s">
        <v>203</v>
      </c>
      <c r="RQ16" s="314" t="s">
        <v>203</v>
      </c>
      <c r="RR16" s="314" t="s">
        <v>203</v>
      </c>
      <c r="RS16" s="314" t="s">
        <v>203</v>
      </c>
      <c r="RT16" s="314" t="s">
        <v>203</v>
      </c>
      <c r="RU16" s="314" t="s">
        <v>203</v>
      </c>
      <c r="RV16" s="314" t="s">
        <v>203</v>
      </c>
      <c r="RW16" s="314" t="s">
        <v>203</v>
      </c>
      <c r="RX16" s="314" t="s">
        <v>203</v>
      </c>
      <c r="RY16" s="314" t="s">
        <v>203</v>
      </c>
      <c r="RZ16" s="314" t="s">
        <v>203</v>
      </c>
      <c r="SA16" s="314" t="s">
        <v>203</v>
      </c>
      <c r="SB16" s="314" t="s">
        <v>203</v>
      </c>
      <c r="SC16" s="314" t="s">
        <v>203</v>
      </c>
      <c r="SD16" s="314" t="s">
        <v>203</v>
      </c>
      <c r="SE16" s="314" t="s">
        <v>203</v>
      </c>
      <c r="SF16" s="314" t="s">
        <v>203</v>
      </c>
      <c r="SG16" s="314" t="s">
        <v>203</v>
      </c>
      <c r="SH16" s="314" t="s">
        <v>203</v>
      </c>
      <c r="SI16" s="314" t="s">
        <v>203</v>
      </c>
      <c r="SJ16" s="314" t="s">
        <v>203</v>
      </c>
      <c r="SK16" s="314" t="s">
        <v>203</v>
      </c>
      <c r="SL16" s="314" t="s">
        <v>203</v>
      </c>
      <c r="SM16" s="314" t="s">
        <v>203</v>
      </c>
      <c r="SN16" s="314" t="s">
        <v>203</v>
      </c>
      <c r="SO16" s="314" t="s">
        <v>203</v>
      </c>
      <c r="SP16" s="314" t="s">
        <v>203</v>
      </c>
      <c r="SQ16" s="314" t="s">
        <v>203</v>
      </c>
      <c r="SR16" s="314" t="s">
        <v>203</v>
      </c>
      <c r="SS16" s="314" t="s">
        <v>203</v>
      </c>
      <c r="ST16" s="314" t="s">
        <v>203</v>
      </c>
      <c r="SU16" s="314" t="s">
        <v>203</v>
      </c>
      <c r="SV16" s="314" t="s">
        <v>203</v>
      </c>
      <c r="SW16" s="314" t="s">
        <v>203</v>
      </c>
      <c r="SX16" s="314" t="s">
        <v>203</v>
      </c>
      <c r="SY16" s="314" t="s">
        <v>203</v>
      </c>
      <c r="SZ16" s="314" t="s">
        <v>203</v>
      </c>
      <c r="TA16" s="314" t="s">
        <v>203</v>
      </c>
      <c r="TB16" s="314" t="s">
        <v>203</v>
      </c>
      <c r="TC16" s="314" t="s">
        <v>203</v>
      </c>
      <c r="TD16" s="314" t="s">
        <v>203</v>
      </c>
      <c r="TE16" s="314" t="s">
        <v>203</v>
      </c>
      <c r="TF16" s="314" t="s">
        <v>203</v>
      </c>
      <c r="TG16" s="314" t="s">
        <v>203</v>
      </c>
      <c r="TH16" s="314" t="s">
        <v>203</v>
      </c>
      <c r="TI16" s="314" t="s">
        <v>203</v>
      </c>
      <c r="TJ16" s="314" t="s">
        <v>203</v>
      </c>
      <c r="TK16" s="314" t="s">
        <v>203</v>
      </c>
      <c r="TL16" s="314" t="s">
        <v>203</v>
      </c>
      <c r="TM16" s="314" t="s">
        <v>203</v>
      </c>
      <c r="TN16" s="314" t="s">
        <v>203</v>
      </c>
      <c r="TO16" s="314" t="s">
        <v>203</v>
      </c>
      <c r="TP16" s="314" t="s">
        <v>203</v>
      </c>
      <c r="TQ16" s="314" t="s">
        <v>203</v>
      </c>
      <c r="TR16" s="314" t="s">
        <v>203</v>
      </c>
      <c r="TS16" s="314" t="s">
        <v>203</v>
      </c>
      <c r="TT16" s="314" t="s">
        <v>203</v>
      </c>
      <c r="TU16" s="314" t="s">
        <v>203</v>
      </c>
      <c r="TV16" s="314" t="s">
        <v>203</v>
      </c>
      <c r="TW16" s="314" t="s">
        <v>203</v>
      </c>
      <c r="TX16" s="314" t="s">
        <v>203</v>
      </c>
      <c r="TY16" s="314" t="s">
        <v>203</v>
      </c>
      <c r="TZ16" s="314" t="s">
        <v>203</v>
      </c>
      <c r="UA16" s="314" t="s">
        <v>203</v>
      </c>
      <c r="UB16" s="314" t="s">
        <v>203</v>
      </c>
      <c r="UC16" s="314" t="s">
        <v>203</v>
      </c>
      <c r="UD16" s="314" t="s">
        <v>203</v>
      </c>
      <c r="UE16" s="314" t="s">
        <v>203</v>
      </c>
      <c r="UF16" s="314" t="s">
        <v>203</v>
      </c>
      <c r="UG16" s="314" t="s">
        <v>203</v>
      </c>
      <c r="UH16" s="314" t="s">
        <v>203</v>
      </c>
      <c r="UI16" s="314" t="s">
        <v>203</v>
      </c>
      <c r="UJ16" s="314" t="s">
        <v>203</v>
      </c>
      <c r="UK16" s="314" t="s">
        <v>203</v>
      </c>
      <c r="UL16" s="314" t="s">
        <v>203</v>
      </c>
      <c r="UM16" s="314" t="s">
        <v>203</v>
      </c>
      <c r="UN16" s="314" t="s">
        <v>203</v>
      </c>
      <c r="UO16" s="314" t="s">
        <v>203</v>
      </c>
      <c r="UP16" s="314" t="s">
        <v>203</v>
      </c>
      <c r="UQ16" s="314" t="s">
        <v>203</v>
      </c>
      <c r="UR16" s="314" t="s">
        <v>203</v>
      </c>
      <c r="US16" s="314" t="s">
        <v>203</v>
      </c>
      <c r="UT16" s="314" t="s">
        <v>203</v>
      </c>
      <c r="UU16" s="314" t="s">
        <v>203</v>
      </c>
      <c r="UV16" s="314" t="s">
        <v>203</v>
      </c>
      <c r="UW16" s="314" t="s">
        <v>203</v>
      </c>
      <c r="UX16" s="314" t="s">
        <v>203</v>
      </c>
      <c r="UY16" s="314" t="s">
        <v>203</v>
      </c>
      <c r="UZ16" s="314" t="s">
        <v>203</v>
      </c>
      <c r="VA16" s="314" t="s">
        <v>203</v>
      </c>
      <c r="VB16" s="314" t="s">
        <v>203</v>
      </c>
      <c r="VC16" s="314" t="s">
        <v>203</v>
      </c>
      <c r="VD16" s="314" t="s">
        <v>203</v>
      </c>
      <c r="VE16" s="314" t="s">
        <v>203</v>
      </c>
      <c r="VF16" s="314" t="s">
        <v>203</v>
      </c>
      <c r="VG16" s="314" t="s">
        <v>203</v>
      </c>
      <c r="VH16" s="314" t="s">
        <v>203</v>
      </c>
      <c r="VI16" s="314" t="s">
        <v>203</v>
      </c>
      <c r="VJ16" s="314" t="s">
        <v>203</v>
      </c>
      <c r="VK16" s="314" t="s">
        <v>203</v>
      </c>
      <c r="VL16" s="314" t="s">
        <v>203</v>
      </c>
      <c r="VM16" s="314" t="s">
        <v>203</v>
      </c>
      <c r="VN16" s="314" t="s">
        <v>203</v>
      </c>
      <c r="VO16" s="314" t="s">
        <v>203</v>
      </c>
      <c r="VP16" s="314" t="s">
        <v>203</v>
      </c>
      <c r="VQ16" s="314" t="s">
        <v>203</v>
      </c>
      <c r="VR16" s="314" t="s">
        <v>203</v>
      </c>
      <c r="VS16" s="314" t="s">
        <v>203</v>
      </c>
      <c r="VT16" s="314" t="s">
        <v>203</v>
      </c>
      <c r="VU16" s="314" t="s">
        <v>203</v>
      </c>
      <c r="VV16" s="314" t="s">
        <v>203</v>
      </c>
      <c r="VW16" s="314" t="s">
        <v>203</v>
      </c>
      <c r="VX16" s="314" t="s">
        <v>203</v>
      </c>
      <c r="VY16" s="314" t="s">
        <v>203</v>
      </c>
      <c r="VZ16" s="314" t="s">
        <v>203</v>
      </c>
      <c r="WA16" s="314" t="s">
        <v>203</v>
      </c>
      <c r="WB16" s="314" t="s">
        <v>203</v>
      </c>
      <c r="WC16" s="314" t="s">
        <v>203</v>
      </c>
      <c r="WD16" s="314" t="s">
        <v>203</v>
      </c>
      <c r="WE16" s="314" t="s">
        <v>203</v>
      </c>
      <c r="WF16" s="314" t="s">
        <v>203</v>
      </c>
      <c r="WG16" s="314" t="s">
        <v>203</v>
      </c>
      <c r="WH16" s="314" t="s">
        <v>203</v>
      </c>
      <c r="WI16" s="314" t="s">
        <v>203</v>
      </c>
      <c r="WJ16" s="314" t="s">
        <v>203</v>
      </c>
      <c r="WK16" s="314" t="s">
        <v>203</v>
      </c>
      <c r="WL16" s="314" t="s">
        <v>203</v>
      </c>
      <c r="WM16" s="314" t="s">
        <v>203</v>
      </c>
      <c r="WN16" s="314" t="s">
        <v>203</v>
      </c>
      <c r="WO16" s="314" t="s">
        <v>203</v>
      </c>
      <c r="WP16" s="314" t="s">
        <v>203</v>
      </c>
      <c r="WQ16" s="314" t="s">
        <v>203</v>
      </c>
      <c r="WR16" s="314" t="s">
        <v>203</v>
      </c>
      <c r="WS16" s="314" t="s">
        <v>203</v>
      </c>
      <c r="WT16" s="314" t="s">
        <v>203</v>
      </c>
      <c r="WU16" s="314" t="s">
        <v>203</v>
      </c>
      <c r="WV16" s="314" t="s">
        <v>203</v>
      </c>
      <c r="WW16" s="314" t="s">
        <v>203</v>
      </c>
      <c r="WX16" s="314" t="s">
        <v>203</v>
      </c>
      <c r="WY16" s="314" t="s">
        <v>203</v>
      </c>
      <c r="WZ16" s="314" t="s">
        <v>203</v>
      </c>
      <c r="XA16" s="314" t="s">
        <v>203</v>
      </c>
      <c r="XB16" s="314" t="s">
        <v>203</v>
      </c>
      <c r="XC16" s="314" t="s">
        <v>203</v>
      </c>
      <c r="XD16" s="314" t="s">
        <v>203</v>
      </c>
      <c r="XE16" s="314" t="s">
        <v>203</v>
      </c>
      <c r="XF16" s="314" t="s">
        <v>203</v>
      </c>
      <c r="XG16" s="314" t="s">
        <v>203</v>
      </c>
      <c r="XH16" s="314" t="s">
        <v>203</v>
      </c>
      <c r="XI16" s="314" t="s">
        <v>203</v>
      </c>
      <c r="XJ16" s="314" t="s">
        <v>203</v>
      </c>
      <c r="XK16" s="314" t="s">
        <v>203</v>
      </c>
      <c r="XL16" s="314" t="s">
        <v>203</v>
      </c>
      <c r="XM16" s="314" t="s">
        <v>203</v>
      </c>
      <c r="XN16" s="314" t="s">
        <v>203</v>
      </c>
      <c r="XO16" s="314" t="s">
        <v>203</v>
      </c>
      <c r="XP16" s="314" t="s">
        <v>203</v>
      </c>
      <c r="XQ16" s="314" t="s">
        <v>203</v>
      </c>
      <c r="XR16" s="314" t="s">
        <v>203</v>
      </c>
      <c r="XS16" s="314" t="s">
        <v>203</v>
      </c>
      <c r="XT16" s="314" t="s">
        <v>203</v>
      </c>
      <c r="XU16" s="314" t="s">
        <v>203</v>
      </c>
      <c r="XV16" s="314" t="s">
        <v>203</v>
      </c>
      <c r="XW16" s="314" t="s">
        <v>203</v>
      </c>
      <c r="XX16" s="314" t="s">
        <v>203</v>
      </c>
      <c r="XY16" s="314" t="s">
        <v>203</v>
      </c>
      <c r="XZ16" s="314" t="s">
        <v>203</v>
      </c>
      <c r="YA16" s="314" t="s">
        <v>203</v>
      </c>
      <c r="YB16" s="314" t="s">
        <v>203</v>
      </c>
      <c r="YC16" s="314" t="s">
        <v>203</v>
      </c>
      <c r="YD16" s="314" t="s">
        <v>203</v>
      </c>
      <c r="YE16" s="314" t="s">
        <v>203</v>
      </c>
      <c r="YF16" s="314" t="s">
        <v>203</v>
      </c>
      <c r="YG16" s="314" t="s">
        <v>203</v>
      </c>
      <c r="YH16" s="314" t="s">
        <v>203</v>
      </c>
      <c r="YI16" s="314" t="s">
        <v>203</v>
      </c>
      <c r="YJ16" s="314" t="s">
        <v>203</v>
      </c>
      <c r="YK16" s="314" t="s">
        <v>203</v>
      </c>
      <c r="YL16" s="314" t="s">
        <v>203</v>
      </c>
      <c r="YM16" s="314" t="s">
        <v>203</v>
      </c>
      <c r="YN16" s="314" t="s">
        <v>203</v>
      </c>
      <c r="YO16" s="314" t="s">
        <v>203</v>
      </c>
      <c r="YP16" s="314" t="s">
        <v>203</v>
      </c>
      <c r="YQ16" s="314" t="s">
        <v>203</v>
      </c>
      <c r="YR16" s="314" t="s">
        <v>203</v>
      </c>
      <c r="YS16" s="314" t="s">
        <v>203</v>
      </c>
      <c r="YT16" s="314" t="s">
        <v>203</v>
      </c>
      <c r="YU16" s="314" t="s">
        <v>203</v>
      </c>
      <c r="YV16" s="314" t="s">
        <v>203</v>
      </c>
      <c r="YW16" s="314" t="s">
        <v>203</v>
      </c>
      <c r="YX16" s="314" t="s">
        <v>203</v>
      </c>
      <c r="YY16" s="314" t="s">
        <v>203</v>
      </c>
      <c r="YZ16" s="314" t="s">
        <v>203</v>
      </c>
      <c r="ZA16" s="314" t="s">
        <v>203</v>
      </c>
      <c r="ZB16" s="314" t="s">
        <v>203</v>
      </c>
      <c r="ZC16" s="314" t="s">
        <v>203</v>
      </c>
      <c r="ZD16" s="314" t="s">
        <v>203</v>
      </c>
      <c r="ZE16" s="314" t="s">
        <v>203</v>
      </c>
      <c r="ZF16" s="314" t="s">
        <v>203</v>
      </c>
      <c r="ZG16" s="314" t="s">
        <v>203</v>
      </c>
      <c r="ZH16" s="314" t="s">
        <v>203</v>
      </c>
      <c r="ZI16" s="314" t="s">
        <v>203</v>
      </c>
      <c r="ZJ16" s="314" t="s">
        <v>203</v>
      </c>
      <c r="ZK16" s="314" t="s">
        <v>203</v>
      </c>
      <c r="ZL16" s="314" t="s">
        <v>203</v>
      </c>
      <c r="ZM16" s="314" t="s">
        <v>203</v>
      </c>
      <c r="ZN16" s="314" t="s">
        <v>203</v>
      </c>
      <c r="ZO16" s="314" t="s">
        <v>203</v>
      </c>
      <c r="ZP16" s="314" t="s">
        <v>203</v>
      </c>
      <c r="ZQ16" s="314" t="s">
        <v>203</v>
      </c>
      <c r="ZR16" s="314" t="s">
        <v>203</v>
      </c>
      <c r="ZS16" s="314" t="s">
        <v>203</v>
      </c>
      <c r="ZT16" s="314" t="s">
        <v>203</v>
      </c>
      <c r="ZU16" s="314" t="s">
        <v>203</v>
      </c>
      <c r="ZV16" s="314" t="s">
        <v>203</v>
      </c>
      <c r="ZW16" s="314" t="s">
        <v>203</v>
      </c>
      <c r="ZX16" s="314" t="s">
        <v>203</v>
      </c>
      <c r="ZY16" s="314" t="s">
        <v>203</v>
      </c>
      <c r="ZZ16" s="314" t="s">
        <v>203</v>
      </c>
      <c r="AAA16" s="314" t="s">
        <v>203</v>
      </c>
      <c r="AAB16" s="314" t="s">
        <v>203</v>
      </c>
      <c r="AAC16" s="314" t="s">
        <v>203</v>
      </c>
      <c r="AAD16" s="314" t="s">
        <v>203</v>
      </c>
      <c r="AAE16" s="314" t="s">
        <v>203</v>
      </c>
      <c r="AAF16" s="314" t="s">
        <v>203</v>
      </c>
      <c r="AAG16" s="314" t="s">
        <v>203</v>
      </c>
      <c r="AAH16" s="314" t="s">
        <v>203</v>
      </c>
      <c r="AAI16" s="314" t="s">
        <v>203</v>
      </c>
      <c r="AAJ16" s="314" t="s">
        <v>203</v>
      </c>
      <c r="AAK16" s="314" t="s">
        <v>203</v>
      </c>
      <c r="AAL16" s="314" t="s">
        <v>203</v>
      </c>
      <c r="AAM16" s="314" t="s">
        <v>203</v>
      </c>
      <c r="AAN16" s="314" t="s">
        <v>203</v>
      </c>
      <c r="AAO16" s="314" t="s">
        <v>203</v>
      </c>
      <c r="AAP16" s="314" t="s">
        <v>203</v>
      </c>
      <c r="AAQ16" s="314" t="s">
        <v>203</v>
      </c>
      <c r="AAR16" s="314" t="s">
        <v>203</v>
      </c>
      <c r="AAS16" s="314" t="s">
        <v>203</v>
      </c>
      <c r="AAT16" s="314" t="s">
        <v>203</v>
      </c>
      <c r="AAU16" s="314" t="s">
        <v>203</v>
      </c>
      <c r="AAV16" s="314" t="s">
        <v>203</v>
      </c>
      <c r="AAW16" s="314" t="s">
        <v>203</v>
      </c>
      <c r="AAX16" s="314" t="s">
        <v>203</v>
      </c>
      <c r="AAY16" s="314" t="s">
        <v>203</v>
      </c>
      <c r="AAZ16" s="314" t="s">
        <v>203</v>
      </c>
      <c r="ABA16" s="314" t="s">
        <v>203</v>
      </c>
      <c r="ABB16" s="314" t="s">
        <v>203</v>
      </c>
      <c r="ABC16" s="314" t="s">
        <v>203</v>
      </c>
      <c r="ABD16" s="314" t="s">
        <v>203</v>
      </c>
      <c r="ABE16" s="314" t="s">
        <v>203</v>
      </c>
      <c r="ABF16" s="314" t="s">
        <v>203</v>
      </c>
      <c r="ABG16" s="314" t="s">
        <v>203</v>
      </c>
      <c r="ABH16" s="314" t="s">
        <v>203</v>
      </c>
      <c r="ABI16" s="314" t="s">
        <v>203</v>
      </c>
      <c r="ABJ16" s="314" t="s">
        <v>203</v>
      </c>
      <c r="ABK16" s="314" t="s">
        <v>203</v>
      </c>
      <c r="ABL16" s="314" t="s">
        <v>203</v>
      </c>
      <c r="ABM16" s="314" t="s">
        <v>203</v>
      </c>
      <c r="ABN16" s="314" t="s">
        <v>203</v>
      </c>
      <c r="ABO16" s="314" t="s">
        <v>203</v>
      </c>
      <c r="ABP16" s="314" t="s">
        <v>203</v>
      </c>
      <c r="ABQ16" s="314" t="s">
        <v>203</v>
      </c>
      <c r="ABR16" s="314" t="s">
        <v>203</v>
      </c>
      <c r="ABS16" s="314" t="s">
        <v>203</v>
      </c>
      <c r="ABT16" s="314" t="s">
        <v>203</v>
      </c>
      <c r="ABU16" s="314" t="s">
        <v>203</v>
      </c>
      <c r="ABV16" s="314" t="s">
        <v>203</v>
      </c>
      <c r="ABW16" s="314" t="s">
        <v>203</v>
      </c>
      <c r="ABX16" s="314" t="s">
        <v>203</v>
      </c>
      <c r="ABY16" s="314" t="s">
        <v>203</v>
      </c>
      <c r="ABZ16" s="314" t="s">
        <v>203</v>
      </c>
      <c r="ACA16" s="314" t="s">
        <v>203</v>
      </c>
      <c r="ACB16" s="314" t="s">
        <v>203</v>
      </c>
      <c r="ACC16" s="314" t="s">
        <v>203</v>
      </c>
      <c r="ACD16" s="314" t="s">
        <v>203</v>
      </c>
      <c r="ACE16" s="314" t="s">
        <v>203</v>
      </c>
      <c r="ACF16" s="314" t="s">
        <v>203</v>
      </c>
      <c r="ACG16" s="314" t="s">
        <v>203</v>
      </c>
      <c r="ACH16" s="314" t="s">
        <v>203</v>
      </c>
      <c r="ACI16" s="314" t="s">
        <v>203</v>
      </c>
      <c r="ACJ16" s="314" t="s">
        <v>203</v>
      </c>
      <c r="ACK16" s="314" t="s">
        <v>203</v>
      </c>
      <c r="ACL16" s="314" t="s">
        <v>203</v>
      </c>
      <c r="ACM16" s="314" t="s">
        <v>203</v>
      </c>
      <c r="ACN16" s="314" t="s">
        <v>203</v>
      </c>
      <c r="ACO16" s="314" t="s">
        <v>203</v>
      </c>
      <c r="ACP16" s="314" t="s">
        <v>203</v>
      </c>
      <c r="ACQ16" s="314" t="s">
        <v>203</v>
      </c>
      <c r="ACR16" s="314" t="s">
        <v>203</v>
      </c>
      <c r="ACS16" s="314" t="s">
        <v>203</v>
      </c>
      <c r="ACT16" s="314" t="s">
        <v>203</v>
      </c>
      <c r="ACU16" s="314" t="s">
        <v>203</v>
      </c>
      <c r="ACV16" s="314" t="s">
        <v>203</v>
      </c>
      <c r="ACW16" s="314" t="s">
        <v>203</v>
      </c>
      <c r="ACX16" s="314" t="s">
        <v>203</v>
      </c>
      <c r="ACY16" s="314" t="s">
        <v>203</v>
      </c>
      <c r="ACZ16" s="314" t="s">
        <v>203</v>
      </c>
      <c r="ADA16" s="314" t="s">
        <v>203</v>
      </c>
      <c r="ADB16" s="314" t="s">
        <v>203</v>
      </c>
      <c r="ADC16" s="314" t="s">
        <v>203</v>
      </c>
      <c r="ADD16" s="314" t="s">
        <v>203</v>
      </c>
      <c r="ADE16" s="314" t="s">
        <v>203</v>
      </c>
      <c r="ADF16" s="314" t="s">
        <v>203</v>
      </c>
      <c r="ADG16" s="314" t="s">
        <v>203</v>
      </c>
      <c r="ADH16" s="314" t="s">
        <v>203</v>
      </c>
      <c r="ADI16" s="314" t="s">
        <v>203</v>
      </c>
      <c r="ADJ16" s="314" t="s">
        <v>203</v>
      </c>
      <c r="ADK16" s="314" t="s">
        <v>203</v>
      </c>
      <c r="ADL16" s="314" t="s">
        <v>203</v>
      </c>
      <c r="ADM16" s="314" t="s">
        <v>203</v>
      </c>
      <c r="ADN16" s="314" t="s">
        <v>203</v>
      </c>
      <c r="ADO16" s="314" t="s">
        <v>203</v>
      </c>
      <c r="ADP16" s="314" t="s">
        <v>203</v>
      </c>
      <c r="ADQ16" s="314" t="s">
        <v>203</v>
      </c>
      <c r="ADR16" s="314" t="s">
        <v>203</v>
      </c>
      <c r="ADS16" s="314" t="s">
        <v>203</v>
      </c>
      <c r="ADT16" s="314" t="s">
        <v>203</v>
      </c>
      <c r="ADU16" s="314" t="s">
        <v>203</v>
      </c>
      <c r="ADV16" s="314" t="s">
        <v>203</v>
      </c>
      <c r="ADW16" s="314" t="s">
        <v>203</v>
      </c>
      <c r="ADX16" s="314" t="s">
        <v>203</v>
      </c>
      <c r="ADY16" s="314" t="s">
        <v>203</v>
      </c>
      <c r="ADZ16" s="314" t="s">
        <v>203</v>
      </c>
      <c r="AEA16" s="314" t="s">
        <v>203</v>
      </c>
      <c r="AEB16" s="314" t="s">
        <v>203</v>
      </c>
      <c r="AEC16" s="314" t="s">
        <v>203</v>
      </c>
      <c r="AED16" s="314" t="s">
        <v>203</v>
      </c>
      <c r="AEE16" s="314" t="s">
        <v>203</v>
      </c>
      <c r="AEF16" s="314" t="s">
        <v>203</v>
      </c>
      <c r="AEG16" s="314" t="s">
        <v>203</v>
      </c>
      <c r="AEH16" s="314" t="s">
        <v>203</v>
      </c>
      <c r="AEI16" s="314" t="s">
        <v>203</v>
      </c>
      <c r="AEJ16" s="314" t="s">
        <v>203</v>
      </c>
      <c r="AEK16" s="314" t="s">
        <v>203</v>
      </c>
      <c r="AEL16" s="314" t="s">
        <v>203</v>
      </c>
      <c r="AEM16" s="314" t="s">
        <v>203</v>
      </c>
      <c r="AEN16" s="314" t="s">
        <v>203</v>
      </c>
      <c r="AEO16" s="314" t="s">
        <v>203</v>
      </c>
      <c r="AEP16" s="314" t="s">
        <v>203</v>
      </c>
      <c r="AEQ16" s="314" t="s">
        <v>203</v>
      </c>
      <c r="AER16" s="314" t="s">
        <v>203</v>
      </c>
      <c r="AES16" s="314" t="s">
        <v>203</v>
      </c>
      <c r="AET16" s="314" t="s">
        <v>203</v>
      </c>
      <c r="AEU16" s="314" t="s">
        <v>203</v>
      </c>
      <c r="AEV16" s="314" t="s">
        <v>203</v>
      </c>
      <c r="AEW16" s="314" t="s">
        <v>203</v>
      </c>
      <c r="AEX16" s="314" t="s">
        <v>203</v>
      </c>
      <c r="AEY16" s="314" t="s">
        <v>203</v>
      </c>
      <c r="AEZ16" s="314" t="s">
        <v>203</v>
      </c>
      <c r="AFA16" s="314" t="s">
        <v>203</v>
      </c>
      <c r="AFB16" s="314" t="s">
        <v>203</v>
      </c>
      <c r="AFC16" s="314" t="s">
        <v>203</v>
      </c>
      <c r="AFD16" s="314" t="s">
        <v>203</v>
      </c>
      <c r="AFE16" s="314" t="s">
        <v>203</v>
      </c>
      <c r="AFF16" s="314" t="s">
        <v>203</v>
      </c>
      <c r="AFG16" s="314" t="s">
        <v>203</v>
      </c>
      <c r="AFH16" s="314" t="s">
        <v>203</v>
      </c>
      <c r="AFI16" s="314" t="s">
        <v>203</v>
      </c>
      <c r="AFJ16" s="314" t="s">
        <v>203</v>
      </c>
      <c r="AFK16" s="314" t="s">
        <v>203</v>
      </c>
      <c r="AFL16" s="314" t="s">
        <v>203</v>
      </c>
      <c r="AFM16" s="314" t="s">
        <v>203</v>
      </c>
      <c r="AFN16" s="314" t="s">
        <v>203</v>
      </c>
      <c r="AFO16" s="314" t="s">
        <v>203</v>
      </c>
      <c r="AFP16" s="314" t="s">
        <v>203</v>
      </c>
      <c r="AFQ16" s="314" t="s">
        <v>203</v>
      </c>
      <c r="AFR16" s="314" t="s">
        <v>203</v>
      </c>
      <c r="AFS16" s="314" t="s">
        <v>203</v>
      </c>
      <c r="AFT16" s="314" t="s">
        <v>203</v>
      </c>
      <c r="AFU16" s="314" t="s">
        <v>203</v>
      </c>
      <c r="AFV16" s="314" t="s">
        <v>203</v>
      </c>
      <c r="AFW16" s="314" t="s">
        <v>203</v>
      </c>
      <c r="AFX16" s="314" t="s">
        <v>203</v>
      </c>
      <c r="AFY16" s="314" t="s">
        <v>203</v>
      </c>
      <c r="AFZ16" s="314" t="s">
        <v>203</v>
      </c>
      <c r="AGA16" s="314" t="s">
        <v>203</v>
      </c>
      <c r="AGB16" s="314" t="s">
        <v>203</v>
      </c>
      <c r="AGC16" s="314" t="s">
        <v>203</v>
      </c>
      <c r="AGD16" s="314" t="s">
        <v>203</v>
      </c>
      <c r="AGE16" s="314" t="s">
        <v>203</v>
      </c>
      <c r="AGF16" s="314" t="s">
        <v>203</v>
      </c>
      <c r="AGG16" s="314" t="s">
        <v>203</v>
      </c>
      <c r="AGH16" s="314" t="s">
        <v>203</v>
      </c>
      <c r="AGI16" s="314" t="s">
        <v>203</v>
      </c>
      <c r="AGJ16" s="314" t="s">
        <v>203</v>
      </c>
      <c r="AGK16" s="314" t="s">
        <v>203</v>
      </c>
      <c r="AGL16" s="314" t="s">
        <v>203</v>
      </c>
      <c r="AGM16" s="314" t="s">
        <v>203</v>
      </c>
      <c r="AGN16" s="314" t="s">
        <v>203</v>
      </c>
      <c r="AGO16" s="314" t="s">
        <v>203</v>
      </c>
      <c r="AGP16" s="314" t="s">
        <v>203</v>
      </c>
      <c r="AGQ16" s="314" t="s">
        <v>203</v>
      </c>
      <c r="AGR16" s="314" t="s">
        <v>203</v>
      </c>
      <c r="AGS16" s="314" t="s">
        <v>203</v>
      </c>
      <c r="AGT16" s="314" t="s">
        <v>203</v>
      </c>
      <c r="AGU16" s="314" t="s">
        <v>203</v>
      </c>
      <c r="AGV16" s="314" t="s">
        <v>203</v>
      </c>
      <c r="AGW16" s="314" t="s">
        <v>203</v>
      </c>
      <c r="AGX16" s="314" t="s">
        <v>203</v>
      </c>
      <c r="AGY16" s="314" t="s">
        <v>203</v>
      </c>
      <c r="AGZ16" s="314" t="s">
        <v>203</v>
      </c>
      <c r="AHA16" s="314" t="s">
        <v>203</v>
      </c>
      <c r="AHB16" s="314" t="s">
        <v>203</v>
      </c>
      <c r="AHC16" s="314" t="s">
        <v>203</v>
      </c>
      <c r="AHD16" s="314" t="s">
        <v>203</v>
      </c>
      <c r="AHE16" s="314" t="s">
        <v>203</v>
      </c>
      <c r="AHF16" s="314" t="s">
        <v>203</v>
      </c>
      <c r="AHG16" s="314" t="s">
        <v>203</v>
      </c>
      <c r="AHH16" s="314" t="s">
        <v>203</v>
      </c>
      <c r="AHI16" s="314" t="s">
        <v>203</v>
      </c>
      <c r="AHJ16" s="314" t="s">
        <v>203</v>
      </c>
      <c r="AHK16" s="314" t="s">
        <v>203</v>
      </c>
      <c r="AHL16" s="314" t="s">
        <v>203</v>
      </c>
      <c r="AHM16" s="314" t="s">
        <v>203</v>
      </c>
      <c r="AHN16" s="314" t="s">
        <v>203</v>
      </c>
      <c r="AHO16" s="314" t="s">
        <v>203</v>
      </c>
      <c r="AHP16" s="314" t="s">
        <v>203</v>
      </c>
      <c r="AHQ16" s="314" t="s">
        <v>203</v>
      </c>
      <c r="AHR16" s="314" t="s">
        <v>203</v>
      </c>
      <c r="AHS16" s="314" t="s">
        <v>203</v>
      </c>
      <c r="AHT16" s="314" t="s">
        <v>203</v>
      </c>
      <c r="AHU16" s="314" t="s">
        <v>203</v>
      </c>
      <c r="AHV16" s="314" t="s">
        <v>203</v>
      </c>
      <c r="AHW16" s="314" t="s">
        <v>203</v>
      </c>
      <c r="AHX16" s="314" t="s">
        <v>203</v>
      </c>
      <c r="AHY16" s="314" t="s">
        <v>203</v>
      </c>
      <c r="AHZ16" s="314" t="s">
        <v>203</v>
      </c>
      <c r="AIA16" s="314" t="s">
        <v>203</v>
      </c>
      <c r="AIB16" s="314" t="s">
        <v>203</v>
      </c>
      <c r="AIC16" s="314" t="s">
        <v>203</v>
      </c>
      <c r="AID16" s="314" t="s">
        <v>203</v>
      </c>
      <c r="AIE16" s="314" t="s">
        <v>203</v>
      </c>
      <c r="AIF16" s="314" t="s">
        <v>203</v>
      </c>
      <c r="AIG16" s="314" t="s">
        <v>203</v>
      </c>
      <c r="AIH16" s="314" t="s">
        <v>203</v>
      </c>
      <c r="AII16" s="314" t="s">
        <v>203</v>
      </c>
      <c r="AIJ16" s="314" t="s">
        <v>203</v>
      </c>
      <c r="AIK16" s="314" t="s">
        <v>203</v>
      </c>
      <c r="AIL16" s="314" t="s">
        <v>203</v>
      </c>
      <c r="AIM16" s="314" t="s">
        <v>203</v>
      </c>
      <c r="AIN16" s="314" t="s">
        <v>203</v>
      </c>
      <c r="AIO16" s="314" t="s">
        <v>203</v>
      </c>
      <c r="AIP16" s="314" t="s">
        <v>203</v>
      </c>
      <c r="AIQ16" s="314" t="s">
        <v>203</v>
      </c>
      <c r="AIR16" s="314" t="s">
        <v>203</v>
      </c>
      <c r="AIS16" s="314" t="s">
        <v>203</v>
      </c>
      <c r="AIT16" s="314" t="s">
        <v>203</v>
      </c>
      <c r="AIU16" s="314" t="s">
        <v>203</v>
      </c>
      <c r="AIV16" s="314" t="s">
        <v>203</v>
      </c>
      <c r="AIW16" s="314" t="s">
        <v>203</v>
      </c>
      <c r="AIX16" s="314" t="s">
        <v>203</v>
      </c>
      <c r="AIY16" s="314" t="s">
        <v>203</v>
      </c>
      <c r="AIZ16" s="314" t="s">
        <v>203</v>
      </c>
      <c r="AJA16" s="314" t="s">
        <v>203</v>
      </c>
      <c r="AJB16" s="314" t="s">
        <v>203</v>
      </c>
      <c r="AJC16" s="314" t="s">
        <v>203</v>
      </c>
      <c r="AJD16" s="314" t="s">
        <v>203</v>
      </c>
      <c r="AJE16" s="314" t="s">
        <v>203</v>
      </c>
      <c r="AJF16" s="314" t="s">
        <v>203</v>
      </c>
      <c r="AJG16" s="314" t="s">
        <v>203</v>
      </c>
      <c r="AJH16" s="314" t="s">
        <v>203</v>
      </c>
      <c r="AJI16" s="314" t="s">
        <v>203</v>
      </c>
      <c r="AJJ16" s="314" t="s">
        <v>203</v>
      </c>
      <c r="AJK16" s="314" t="s">
        <v>203</v>
      </c>
      <c r="AJL16" s="314" t="s">
        <v>203</v>
      </c>
      <c r="AJM16" s="314" t="s">
        <v>203</v>
      </c>
      <c r="AJN16" s="314" t="s">
        <v>203</v>
      </c>
      <c r="AJO16" s="314" t="s">
        <v>203</v>
      </c>
      <c r="AJP16" s="314" t="s">
        <v>203</v>
      </c>
      <c r="AJQ16" s="314" t="s">
        <v>203</v>
      </c>
      <c r="AJR16" s="314" t="s">
        <v>203</v>
      </c>
      <c r="AJS16" s="314" t="s">
        <v>203</v>
      </c>
      <c r="AJT16" s="314" t="s">
        <v>203</v>
      </c>
      <c r="AJU16" s="314" t="s">
        <v>203</v>
      </c>
      <c r="AJV16" s="314" t="s">
        <v>203</v>
      </c>
      <c r="AJW16" s="314" t="s">
        <v>203</v>
      </c>
      <c r="AJX16" s="314" t="s">
        <v>203</v>
      </c>
      <c r="AJY16" s="314" t="s">
        <v>203</v>
      </c>
      <c r="AJZ16" s="314" t="s">
        <v>203</v>
      </c>
      <c r="AKA16" s="314" t="s">
        <v>203</v>
      </c>
      <c r="AKB16" s="314" t="s">
        <v>203</v>
      </c>
      <c r="AKC16" s="314" t="s">
        <v>203</v>
      </c>
      <c r="AKD16" s="314" t="s">
        <v>203</v>
      </c>
      <c r="AKE16" s="314" t="s">
        <v>203</v>
      </c>
      <c r="AKF16" s="314" t="s">
        <v>203</v>
      </c>
      <c r="AKG16" s="314" t="s">
        <v>203</v>
      </c>
      <c r="AKH16" s="314" t="s">
        <v>203</v>
      </c>
      <c r="AKI16" s="314" t="s">
        <v>203</v>
      </c>
      <c r="AKJ16" s="314" t="s">
        <v>203</v>
      </c>
      <c r="AKK16" s="314" t="s">
        <v>203</v>
      </c>
      <c r="AKL16" s="314" t="s">
        <v>203</v>
      </c>
      <c r="AKM16" s="314" t="s">
        <v>203</v>
      </c>
      <c r="AKN16" s="314" t="s">
        <v>203</v>
      </c>
      <c r="AKO16" s="314" t="s">
        <v>203</v>
      </c>
      <c r="AKP16" s="314" t="s">
        <v>203</v>
      </c>
      <c r="AKQ16" s="314" t="s">
        <v>203</v>
      </c>
      <c r="AKR16" s="314" t="s">
        <v>203</v>
      </c>
      <c r="AKS16" s="314" t="s">
        <v>203</v>
      </c>
      <c r="AKT16" s="314" t="s">
        <v>203</v>
      </c>
      <c r="AKU16" s="314" t="s">
        <v>203</v>
      </c>
      <c r="AKV16" s="314" t="s">
        <v>203</v>
      </c>
      <c r="AKW16" s="314" t="s">
        <v>203</v>
      </c>
      <c r="AKX16" s="314" t="s">
        <v>203</v>
      </c>
      <c r="AKY16" s="314" t="s">
        <v>203</v>
      </c>
      <c r="AKZ16" s="314" t="s">
        <v>203</v>
      </c>
      <c r="ALA16" s="314" t="s">
        <v>203</v>
      </c>
      <c r="ALB16" s="314" t="s">
        <v>203</v>
      </c>
      <c r="ALC16" s="314" t="s">
        <v>203</v>
      </c>
      <c r="ALD16" s="314" t="s">
        <v>203</v>
      </c>
      <c r="ALE16" s="314" t="s">
        <v>203</v>
      </c>
      <c r="ALF16" s="314" t="s">
        <v>203</v>
      </c>
      <c r="ALG16" s="314" t="s">
        <v>203</v>
      </c>
      <c r="ALH16" s="314" t="s">
        <v>203</v>
      </c>
      <c r="ALI16" s="314" t="s">
        <v>203</v>
      </c>
      <c r="ALJ16" s="314" t="s">
        <v>203</v>
      </c>
      <c r="ALK16" s="314" t="s">
        <v>203</v>
      </c>
      <c r="ALL16" s="314" t="s">
        <v>203</v>
      </c>
      <c r="ALM16" s="314" t="s">
        <v>203</v>
      </c>
      <c r="ALN16" s="314" t="s">
        <v>203</v>
      </c>
      <c r="ALO16" s="314" t="s">
        <v>203</v>
      </c>
      <c r="ALP16" s="314" t="s">
        <v>203</v>
      </c>
      <c r="ALQ16" s="314" t="s">
        <v>203</v>
      </c>
      <c r="ALR16" s="314" t="s">
        <v>203</v>
      </c>
      <c r="ALS16" s="314" t="s">
        <v>203</v>
      </c>
      <c r="ALT16" s="314" t="s">
        <v>203</v>
      </c>
      <c r="ALU16" s="314" t="s">
        <v>203</v>
      </c>
      <c r="ALV16" s="314" t="s">
        <v>203</v>
      </c>
      <c r="ALW16" s="314" t="s">
        <v>203</v>
      </c>
      <c r="ALX16" s="314" t="s">
        <v>203</v>
      </c>
      <c r="ALY16" s="314" t="s">
        <v>203</v>
      </c>
      <c r="ALZ16" s="314" t="s">
        <v>203</v>
      </c>
      <c r="AMA16" s="314" t="s">
        <v>203</v>
      </c>
      <c r="AMB16" s="314" t="s">
        <v>203</v>
      </c>
      <c r="AMC16" s="314" t="s">
        <v>203</v>
      </c>
      <c r="AMD16" s="314" t="s">
        <v>203</v>
      </c>
      <c r="AME16" s="314" t="s">
        <v>203</v>
      </c>
      <c r="AMF16" s="314" t="s">
        <v>203</v>
      </c>
      <c r="AMG16" s="314" t="s">
        <v>203</v>
      </c>
      <c r="AMH16" s="314" t="s">
        <v>203</v>
      </c>
      <c r="AMI16" s="314" t="s">
        <v>203</v>
      </c>
      <c r="AMJ16" s="314" t="s">
        <v>203</v>
      </c>
      <c r="AMK16" s="314" t="s">
        <v>203</v>
      </c>
      <c r="AML16" s="314" t="s">
        <v>203</v>
      </c>
      <c r="AMM16" s="314" t="s">
        <v>203</v>
      </c>
      <c r="AMN16" s="314" t="s">
        <v>203</v>
      </c>
      <c r="AMO16" s="314" t="s">
        <v>203</v>
      </c>
      <c r="AMP16" s="314" t="s">
        <v>203</v>
      </c>
      <c r="AMQ16" s="314" t="s">
        <v>203</v>
      </c>
      <c r="AMR16" s="314" t="s">
        <v>203</v>
      </c>
      <c r="AMS16" s="314" t="s">
        <v>203</v>
      </c>
      <c r="AMT16" s="314" t="s">
        <v>203</v>
      </c>
      <c r="AMU16" s="314" t="s">
        <v>203</v>
      </c>
      <c r="AMV16" s="314" t="s">
        <v>203</v>
      </c>
      <c r="AMW16" s="314" t="s">
        <v>203</v>
      </c>
      <c r="AMX16" s="314" t="s">
        <v>203</v>
      </c>
      <c r="AMY16" s="314" t="s">
        <v>203</v>
      </c>
      <c r="AMZ16" s="314" t="s">
        <v>203</v>
      </c>
      <c r="ANA16" s="314" t="s">
        <v>203</v>
      </c>
      <c r="ANB16" s="314" t="s">
        <v>203</v>
      </c>
      <c r="ANC16" s="314" t="s">
        <v>203</v>
      </c>
      <c r="AND16" s="314" t="s">
        <v>203</v>
      </c>
      <c r="ANE16" s="314" t="s">
        <v>203</v>
      </c>
      <c r="ANF16" s="314" t="s">
        <v>203</v>
      </c>
      <c r="ANG16" s="314" t="s">
        <v>203</v>
      </c>
      <c r="ANH16" s="314" t="s">
        <v>203</v>
      </c>
      <c r="ANI16" s="314" t="s">
        <v>203</v>
      </c>
      <c r="ANJ16" s="314" t="s">
        <v>203</v>
      </c>
      <c r="ANK16" s="314" t="s">
        <v>203</v>
      </c>
      <c r="ANL16" s="314" t="s">
        <v>203</v>
      </c>
      <c r="ANM16" s="314" t="s">
        <v>203</v>
      </c>
      <c r="ANN16" s="314" t="s">
        <v>203</v>
      </c>
      <c r="ANO16" s="314" t="s">
        <v>203</v>
      </c>
      <c r="ANP16" s="314" t="s">
        <v>203</v>
      </c>
      <c r="ANQ16" s="314" t="s">
        <v>203</v>
      </c>
      <c r="ANR16" s="314" t="s">
        <v>203</v>
      </c>
      <c r="ANS16" s="314" t="s">
        <v>203</v>
      </c>
      <c r="ANT16" s="314" t="s">
        <v>203</v>
      </c>
      <c r="ANU16" s="314" t="s">
        <v>203</v>
      </c>
      <c r="ANV16" s="314" t="s">
        <v>203</v>
      </c>
      <c r="ANW16" s="314" t="s">
        <v>203</v>
      </c>
      <c r="ANX16" s="314" t="s">
        <v>203</v>
      </c>
      <c r="ANY16" s="314" t="s">
        <v>203</v>
      </c>
      <c r="ANZ16" s="314" t="s">
        <v>203</v>
      </c>
      <c r="AOA16" s="314" t="s">
        <v>203</v>
      </c>
      <c r="AOB16" s="314" t="s">
        <v>203</v>
      </c>
      <c r="AOC16" s="314" t="s">
        <v>203</v>
      </c>
      <c r="AOD16" s="314" t="s">
        <v>203</v>
      </c>
      <c r="AOE16" s="314" t="s">
        <v>203</v>
      </c>
      <c r="AOF16" s="314" t="s">
        <v>203</v>
      </c>
      <c r="AOG16" s="314" t="s">
        <v>203</v>
      </c>
      <c r="AOH16" s="314" t="s">
        <v>203</v>
      </c>
      <c r="AOI16" s="314" t="s">
        <v>203</v>
      </c>
      <c r="AOJ16" s="314" t="s">
        <v>203</v>
      </c>
      <c r="AOK16" s="314" t="s">
        <v>203</v>
      </c>
      <c r="AOL16" s="314" t="s">
        <v>203</v>
      </c>
      <c r="AOM16" s="314" t="s">
        <v>203</v>
      </c>
      <c r="AON16" s="314" t="s">
        <v>203</v>
      </c>
      <c r="AOO16" s="314" t="s">
        <v>203</v>
      </c>
      <c r="AOP16" s="314" t="s">
        <v>203</v>
      </c>
      <c r="AOQ16" s="314" t="s">
        <v>203</v>
      </c>
      <c r="AOR16" s="314" t="s">
        <v>203</v>
      </c>
      <c r="AOS16" s="314" t="s">
        <v>203</v>
      </c>
      <c r="AOT16" s="314" t="s">
        <v>203</v>
      </c>
      <c r="AOU16" s="314" t="s">
        <v>203</v>
      </c>
      <c r="AOV16" s="314" t="s">
        <v>203</v>
      </c>
      <c r="AOW16" s="314" t="s">
        <v>203</v>
      </c>
      <c r="AOX16" s="314" t="s">
        <v>203</v>
      </c>
      <c r="AOY16" s="314" t="s">
        <v>203</v>
      </c>
      <c r="AOZ16" s="314" t="s">
        <v>203</v>
      </c>
      <c r="APA16" s="314" t="s">
        <v>203</v>
      </c>
      <c r="APB16" s="314" t="s">
        <v>203</v>
      </c>
      <c r="APC16" s="314" t="s">
        <v>203</v>
      </c>
      <c r="APD16" s="314" t="s">
        <v>203</v>
      </c>
      <c r="APE16" s="314" t="s">
        <v>203</v>
      </c>
      <c r="APF16" s="314" t="s">
        <v>203</v>
      </c>
      <c r="APG16" s="314" t="s">
        <v>203</v>
      </c>
      <c r="APH16" s="314" t="s">
        <v>203</v>
      </c>
      <c r="API16" s="314" t="s">
        <v>203</v>
      </c>
      <c r="APJ16" s="314" t="s">
        <v>203</v>
      </c>
      <c r="APK16" s="314" t="s">
        <v>203</v>
      </c>
      <c r="APL16" s="314" t="s">
        <v>203</v>
      </c>
      <c r="APM16" s="314" t="s">
        <v>203</v>
      </c>
      <c r="APN16" s="314" t="s">
        <v>203</v>
      </c>
      <c r="APO16" s="314" t="s">
        <v>203</v>
      </c>
      <c r="APP16" s="314" t="s">
        <v>203</v>
      </c>
      <c r="APQ16" s="314" t="s">
        <v>203</v>
      </c>
      <c r="APR16" s="314" t="s">
        <v>203</v>
      </c>
      <c r="APS16" s="314" t="s">
        <v>203</v>
      </c>
      <c r="APT16" s="314" t="s">
        <v>203</v>
      </c>
      <c r="APU16" s="314" t="s">
        <v>203</v>
      </c>
      <c r="APV16" s="314" t="s">
        <v>203</v>
      </c>
      <c r="APW16" s="314" t="s">
        <v>203</v>
      </c>
      <c r="APX16" s="314" t="s">
        <v>203</v>
      </c>
      <c r="APY16" s="314" t="s">
        <v>203</v>
      </c>
      <c r="APZ16" s="314" t="s">
        <v>203</v>
      </c>
      <c r="AQA16" s="314" t="s">
        <v>203</v>
      </c>
      <c r="AQB16" s="314" t="s">
        <v>203</v>
      </c>
      <c r="AQC16" s="314" t="s">
        <v>203</v>
      </c>
      <c r="AQD16" s="314" t="s">
        <v>203</v>
      </c>
      <c r="AQE16" s="314" t="s">
        <v>203</v>
      </c>
      <c r="AQF16" s="314" t="s">
        <v>203</v>
      </c>
      <c r="AQG16" s="314" t="s">
        <v>203</v>
      </c>
      <c r="AQH16" s="314" t="s">
        <v>203</v>
      </c>
      <c r="AQI16" s="314" t="s">
        <v>203</v>
      </c>
      <c r="AQJ16" s="314" t="s">
        <v>203</v>
      </c>
      <c r="AQK16" s="314" t="s">
        <v>203</v>
      </c>
      <c r="AQL16" s="314" t="s">
        <v>203</v>
      </c>
      <c r="AQM16" s="314" t="s">
        <v>203</v>
      </c>
      <c r="AQN16" s="314" t="s">
        <v>203</v>
      </c>
      <c r="AQO16" s="314" t="s">
        <v>203</v>
      </c>
      <c r="AQP16" s="314" t="s">
        <v>203</v>
      </c>
      <c r="AQQ16" s="314" t="s">
        <v>203</v>
      </c>
      <c r="AQR16" s="314" t="s">
        <v>203</v>
      </c>
      <c r="AQS16" s="314" t="s">
        <v>203</v>
      </c>
      <c r="AQT16" s="314" t="s">
        <v>203</v>
      </c>
      <c r="AQU16" s="314" t="s">
        <v>203</v>
      </c>
      <c r="AQV16" s="314" t="s">
        <v>203</v>
      </c>
      <c r="AQW16" s="314" t="s">
        <v>203</v>
      </c>
      <c r="AQX16" s="314" t="s">
        <v>203</v>
      </c>
      <c r="AQY16" s="314" t="s">
        <v>203</v>
      </c>
      <c r="AQZ16" s="314" t="s">
        <v>203</v>
      </c>
      <c r="ARA16" s="314" t="s">
        <v>203</v>
      </c>
      <c r="ARB16" s="314" t="s">
        <v>203</v>
      </c>
      <c r="ARC16" s="314" t="s">
        <v>203</v>
      </c>
      <c r="ARD16" s="314" t="s">
        <v>203</v>
      </c>
      <c r="ARE16" s="314" t="s">
        <v>203</v>
      </c>
      <c r="ARF16" s="314" t="s">
        <v>203</v>
      </c>
      <c r="ARG16" s="314" t="s">
        <v>203</v>
      </c>
      <c r="ARH16" s="314" t="s">
        <v>203</v>
      </c>
      <c r="ARI16" s="314" t="s">
        <v>203</v>
      </c>
      <c r="ARJ16" s="314" t="s">
        <v>203</v>
      </c>
      <c r="ARK16" s="314" t="s">
        <v>203</v>
      </c>
      <c r="ARL16" s="314" t="s">
        <v>203</v>
      </c>
      <c r="ARM16" s="314" t="s">
        <v>203</v>
      </c>
      <c r="ARN16" s="314" t="s">
        <v>203</v>
      </c>
      <c r="ARO16" s="314" t="s">
        <v>203</v>
      </c>
      <c r="ARP16" s="314" t="s">
        <v>203</v>
      </c>
      <c r="ARQ16" s="314" t="s">
        <v>203</v>
      </c>
      <c r="ARR16" s="314" t="s">
        <v>203</v>
      </c>
      <c r="ARS16" s="314" t="s">
        <v>203</v>
      </c>
      <c r="ART16" s="314" t="s">
        <v>203</v>
      </c>
      <c r="ARU16" s="314" t="s">
        <v>203</v>
      </c>
      <c r="ARV16" s="314" t="s">
        <v>203</v>
      </c>
      <c r="ARW16" s="314" t="s">
        <v>203</v>
      </c>
      <c r="ARX16" s="314" t="s">
        <v>203</v>
      </c>
      <c r="ARY16" s="314" t="s">
        <v>203</v>
      </c>
      <c r="ARZ16" s="314" t="s">
        <v>203</v>
      </c>
      <c r="ASA16" s="314" t="s">
        <v>203</v>
      </c>
      <c r="ASB16" s="314" t="s">
        <v>203</v>
      </c>
      <c r="ASC16" s="314" t="s">
        <v>203</v>
      </c>
      <c r="ASD16" s="314" t="s">
        <v>203</v>
      </c>
      <c r="ASE16" s="314" t="s">
        <v>203</v>
      </c>
      <c r="ASF16" s="314" t="s">
        <v>203</v>
      </c>
      <c r="ASG16" s="314" t="s">
        <v>203</v>
      </c>
      <c r="ASH16" s="314" t="s">
        <v>203</v>
      </c>
      <c r="ASI16" s="314" t="s">
        <v>203</v>
      </c>
      <c r="ASJ16" s="314" t="s">
        <v>203</v>
      </c>
      <c r="ASK16" s="314" t="s">
        <v>203</v>
      </c>
      <c r="ASL16" s="314" t="s">
        <v>203</v>
      </c>
      <c r="ASM16" s="314" t="s">
        <v>203</v>
      </c>
      <c r="ASN16" s="314" t="s">
        <v>203</v>
      </c>
      <c r="ASO16" s="314" t="s">
        <v>203</v>
      </c>
      <c r="ASP16" s="314" t="s">
        <v>203</v>
      </c>
      <c r="ASQ16" s="314" t="s">
        <v>203</v>
      </c>
      <c r="ASR16" s="314" t="s">
        <v>203</v>
      </c>
      <c r="ASS16" s="314" t="s">
        <v>203</v>
      </c>
      <c r="AST16" s="314" t="s">
        <v>203</v>
      </c>
      <c r="ASU16" s="314" t="s">
        <v>203</v>
      </c>
      <c r="ASV16" s="314" t="s">
        <v>203</v>
      </c>
      <c r="ASW16" s="314" t="s">
        <v>203</v>
      </c>
      <c r="ASX16" s="314" t="s">
        <v>203</v>
      </c>
      <c r="ASY16" s="314" t="s">
        <v>203</v>
      </c>
      <c r="ASZ16" s="314" t="s">
        <v>203</v>
      </c>
      <c r="ATA16" s="314" t="s">
        <v>203</v>
      </c>
      <c r="ATB16" s="314" t="s">
        <v>203</v>
      </c>
      <c r="ATC16" s="314" t="s">
        <v>203</v>
      </c>
      <c r="ATD16" s="314" t="s">
        <v>203</v>
      </c>
      <c r="ATE16" s="314" t="s">
        <v>203</v>
      </c>
      <c r="ATF16" s="314" t="s">
        <v>203</v>
      </c>
      <c r="ATG16" s="314" t="s">
        <v>203</v>
      </c>
      <c r="ATH16" s="314" t="s">
        <v>203</v>
      </c>
      <c r="ATI16" s="314" t="s">
        <v>203</v>
      </c>
      <c r="ATJ16" s="314" t="s">
        <v>203</v>
      </c>
      <c r="ATK16" s="314" t="s">
        <v>203</v>
      </c>
      <c r="ATL16" s="314" t="s">
        <v>203</v>
      </c>
      <c r="ATM16" s="314" t="s">
        <v>203</v>
      </c>
      <c r="ATN16" s="314" t="s">
        <v>203</v>
      </c>
      <c r="ATO16" s="314" t="s">
        <v>203</v>
      </c>
      <c r="ATP16" s="314" t="s">
        <v>203</v>
      </c>
      <c r="ATQ16" s="314" t="s">
        <v>203</v>
      </c>
      <c r="ATR16" s="314" t="s">
        <v>203</v>
      </c>
      <c r="ATS16" s="314" t="s">
        <v>203</v>
      </c>
      <c r="ATT16" s="314" t="s">
        <v>203</v>
      </c>
      <c r="ATU16" s="314" t="s">
        <v>203</v>
      </c>
      <c r="ATV16" s="314" t="s">
        <v>203</v>
      </c>
      <c r="ATW16" s="314" t="s">
        <v>203</v>
      </c>
      <c r="ATX16" s="314" t="s">
        <v>203</v>
      </c>
      <c r="ATY16" s="314" t="s">
        <v>203</v>
      </c>
      <c r="ATZ16" s="314" t="s">
        <v>203</v>
      </c>
      <c r="AUA16" s="314" t="s">
        <v>203</v>
      </c>
      <c r="AUB16" s="314" t="s">
        <v>203</v>
      </c>
      <c r="AUC16" s="314" t="s">
        <v>203</v>
      </c>
      <c r="AUD16" s="314" t="s">
        <v>203</v>
      </c>
      <c r="AUE16" s="314" t="s">
        <v>203</v>
      </c>
      <c r="AUF16" s="314" t="s">
        <v>203</v>
      </c>
      <c r="AUG16" s="314" t="s">
        <v>203</v>
      </c>
      <c r="AUH16" s="314" t="s">
        <v>203</v>
      </c>
      <c r="AUI16" s="314" t="s">
        <v>203</v>
      </c>
      <c r="AUJ16" s="314" t="s">
        <v>203</v>
      </c>
      <c r="AUK16" s="314" t="s">
        <v>203</v>
      </c>
      <c r="AUL16" s="314" t="s">
        <v>203</v>
      </c>
      <c r="AUM16" s="314" t="s">
        <v>203</v>
      </c>
      <c r="AUN16" s="314" t="s">
        <v>203</v>
      </c>
      <c r="AUO16" s="314" t="s">
        <v>203</v>
      </c>
      <c r="AUP16" s="314" t="s">
        <v>203</v>
      </c>
      <c r="AUQ16" s="314" t="s">
        <v>203</v>
      </c>
      <c r="AUR16" s="314" t="s">
        <v>203</v>
      </c>
      <c r="AUS16" s="314" t="s">
        <v>203</v>
      </c>
      <c r="AUT16" s="314" t="s">
        <v>203</v>
      </c>
      <c r="AUU16" s="314" t="s">
        <v>203</v>
      </c>
      <c r="AUV16" s="314" t="s">
        <v>203</v>
      </c>
      <c r="AUW16" s="314" t="s">
        <v>203</v>
      </c>
      <c r="AUX16" s="314" t="s">
        <v>203</v>
      </c>
      <c r="AUY16" s="314" t="s">
        <v>203</v>
      </c>
      <c r="AUZ16" s="314" t="s">
        <v>203</v>
      </c>
      <c r="AVA16" s="314" t="s">
        <v>203</v>
      </c>
      <c r="AVB16" s="314" t="s">
        <v>203</v>
      </c>
      <c r="AVC16" s="314" t="s">
        <v>203</v>
      </c>
      <c r="AVD16" s="314" t="s">
        <v>203</v>
      </c>
      <c r="AVE16" s="314" t="s">
        <v>203</v>
      </c>
      <c r="AVF16" s="314" t="s">
        <v>203</v>
      </c>
      <c r="AVG16" s="314" t="s">
        <v>203</v>
      </c>
      <c r="AVH16" s="314" t="s">
        <v>203</v>
      </c>
      <c r="AVI16" s="314" t="s">
        <v>203</v>
      </c>
      <c r="AVJ16" s="314" t="s">
        <v>203</v>
      </c>
      <c r="AVK16" s="314" t="s">
        <v>203</v>
      </c>
      <c r="AVL16" s="314" t="s">
        <v>203</v>
      </c>
      <c r="AVM16" s="314" t="s">
        <v>203</v>
      </c>
      <c r="AVN16" s="314" t="s">
        <v>203</v>
      </c>
      <c r="AVO16" s="314" t="s">
        <v>203</v>
      </c>
      <c r="AVP16" s="314" t="s">
        <v>203</v>
      </c>
      <c r="AVQ16" s="314" t="s">
        <v>203</v>
      </c>
      <c r="AVR16" s="314" t="s">
        <v>203</v>
      </c>
      <c r="AVS16" s="314" t="s">
        <v>203</v>
      </c>
      <c r="AVT16" s="314" t="s">
        <v>203</v>
      </c>
      <c r="AVU16" s="314" t="s">
        <v>203</v>
      </c>
      <c r="AVV16" s="314" t="s">
        <v>203</v>
      </c>
      <c r="AVW16" s="314" t="s">
        <v>203</v>
      </c>
      <c r="AVX16" s="314" t="s">
        <v>203</v>
      </c>
      <c r="AVY16" s="314" t="s">
        <v>203</v>
      </c>
      <c r="AVZ16" s="314" t="s">
        <v>203</v>
      </c>
      <c r="AWA16" s="314" t="s">
        <v>203</v>
      </c>
      <c r="AWB16" s="314" t="s">
        <v>203</v>
      </c>
      <c r="AWC16" s="314" t="s">
        <v>203</v>
      </c>
      <c r="AWD16" s="314" t="s">
        <v>203</v>
      </c>
      <c r="AWE16" s="314" t="s">
        <v>203</v>
      </c>
      <c r="AWF16" s="314" t="s">
        <v>203</v>
      </c>
      <c r="AWG16" s="314" t="s">
        <v>203</v>
      </c>
      <c r="AWH16" s="314" t="s">
        <v>203</v>
      </c>
      <c r="AWI16" s="314" t="s">
        <v>203</v>
      </c>
      <c r="AWJ16" s="314" t="s">
        <v>203</v>
      </c>
      <c r="AWK16" s="314" t="s">
        <v>203</v>
      </c>
      <c r="AWL16" s="314" t="s">
        <v>203</v>
      </c>
      <c r="AWM16" s="314" t="s">
        <v>203</v>
      </c>
      <c r="AWN16" s="314" t="s">
        <v>203</v>
      </c>
      <c r="AWO16" s="314" t="s">
        <v>203</v>
      </c>
      <c r="AWP16" s="314" t="s">
        <v>203</v>
      </c>
      <c r="AWQ16" s="314" t="s">
        <v>203</v>
      </c>
      <c r="AWR16" s="314" t="s">
        <v>203</v>
      </c>
      <c r="AWS16" s="314" t="s">
        <v>203</v>
      </c>
      <c r="AWT16" s="314" t="s">
        <v>203</v>
      </c>
      <c r="AWU16" s="314" t="s">
        <v>203</v>
      </c>
      <c r="AWV16" s="314" t="s">
        <v>203</v>
      </c>
      <c r="AWW16" s="314" t="s">
        <v>203</v>
      </c>
      <c r="AWX16" s="314" t="s">
        <v>203</v>
      </c>
      <c r="AWY16" s="314" t="s">
        <v>203</v>
      </c>
      <c r="AWZ16" s="314" t="s">
        <v>203</v>
      </c>
      <c r="AXA16" s="314" t="s">
        <v>203</v>
      </c>
      <c r="AXB16" s="314" t="s">
        <v>203</v>
      </c>
      <c r="AXC16" s="314" t="s">
        <v>203</v>
      </c>
      <c r="AXD16" s="314" t="s">
        <v>203</v>
      </c>
      <c r="AXE16" s="314" t="s">
        <v>203</v>
      </c>
      <c r="AXF16" s="314" t="s">
        <v>203</v>
      </c>
      <c r="AXG16" s="314" t="s">
        <v>203</v>
      </c>
      <c r="AXH16" s="314" t="s">
        <v>203</v>
      </c>
      <c r="AXI16" s="314" t="s">
        <v>203</v>
      </c>
      <c r="AXJ16" s="314" t="s">
        <v>203</v>
      </c>
      <c r="AXK16" s="314" t="s">
        <v>203</v>
      </c>
      <c r="AXL16" s="314" t="s">
        <v>203</v>
      </c>
      <c r="AXM16" s="314" t="s">
        <v>203</v>
      </c>
      <c r="AXN16" s="314" t="s">
        <v>203</v>
      </c>
      <c r="AXO16" s="314" t="s">
        <v>203</v>
      </c>
      <c r="AXP16" s="314" t="s">
        <v>203</v>
      </c>
      <c r="AXQ16" s="314" t="s">
        <v>203</v>
      </c>
      <c r="AXR16" s="314" t="s">
        <v>203</v>
      </c>
      <c r="AXS16" s="314" t="s">
        <v>203</v>
      </c>
      <c r="AXT16" s="314" t="s">
        <v>203</v>
      </c>
      <c r="AXU16" s="314" t="s">
        <v>203</v>
      </c>
      <c r="AXV16" s="314" t="s">
        <v>203</v>
      </c>
      <c r="AXW16" s="314" t="s">
        <v>203</v>
      </c>
      <c r="AXX16" s="314" t="s">
        <v>203</v>
      </c>
      <c r="AXY16" s="314" t="s">
        <v>203</v>
      </c>
      <c r="AXZ16" s="314" t="s">
        <v>203</v>
      </c>
      <c r="AYA16" s="314" t="s">
        <v>203</v>
      </c>
      <c r="AYB16" s="314" t="s">
        <v>203</v>
      </c>
      <c r="AYC16" s="314" t="s">
        <v>203</v>
      </c>
      <c r="AYD16" s="314" t="s">
        <v>203</v>
      </c>
      <c r="AYE16" s="314" t="s">
        <v>203</v>
      </c>
      <c r="AYF16" s="314" t="s">
        <v>203</v>
      </c>
      <c r="AYG16" s="314" t="s">
        <v>203</v>
      </c>
      <c r="AYH16" s="314" t="s">
        <v>203</v>
      </c>
      <c r="AYI16" s="314" t="s">
        <v>203</v>
      </c>
      <c r="AYJ16" s="314" t="s">
        <v>203</v>
      </c>
      <c r="AYK16" s="314" t="s">
        <v>203</v>
      </c>
      <c r="AYL16" s="314" t="s">
        <v>203</v>
      </c>
      <c r="AYM16" s="314" t="s">
        <v>203</v>
      </c>
      <c r="AYN16" s="314" t="s">
        <v>203</v>
      </c>
      <c r="AYO16" s="314" t="s">
        <v>203</v>
      </c>
      <c r="AYP16" s="314" t="s">
        <v>203</v>
      </c>
      <c r="AYQ16" s="314" t="s">
        <v>203</v>
      </c>
      <c r="AYR16" s="314" t="s">
        <v>203</v>
      </c>
      <c r="AYS16" s="314" t="s">
        <v>203</v>
      </c>
      <c r="AYT16" s="314" t="s">
        <v>203</v>
      </c>
      <c r="AYU16" s="314" t="s">
        <v>203</v>
      </c>
      <c r="AYV16" s="314" t="s">
        <v>203</v>
      </c>
      <c r="AYW16" s="314" t="s">
        <v>203</v>
      </c>
      <c r="AYX16" s="314" t="s">
        <v>203</v>
      </c>
      <c r="AYY16" s="314" t="s">
        <v>203</v>
      </c>
      <c r="AYZ16" s="314" t="s">
        <v>203</v>
      </c>
      <c r="AZA16" s="314" t="s">
        <v>203</v>
      </c>
      <c r="AZB16" s="314" t="s">
        <v>203</v>
      </c>
      <c r="AZC16" s="314" t="s">
        <v>203</v>
      </c>
      <c r="AZD16" s="314" t="s">
        <v>203</v>
      </c>
      <c r="AZE16" s="314" t="s">
        <v>203</v>
      </c>
      <c r="AZF16" s="314" t="s">
        <v>203</v>
      </c>
      <c r="AZG16" s="314" t="s">
        <v>203</v>
      </c>
      <c r="AZH16" s="314" t="s">
        <v>203</v>
      </c>
      <c r="AZI16" s="314" t="s">
        <v>203</v>
      </c>
      <c r="AZJ16" s="314" t="s">
        <v>203</v>
      </c>
      <c r="AZK16" s="314" t="s">
        <v>203</v>
      </c>
      <c r="AZL16" s="314" t="s">
        <v>203</v>
      </c>
      <c r="AZM16" s="314" t="s">
        <v>203</v>
      </c>
      <c r="AZN16" s="314" t="s">
        <v>203</v>
      </c>
      <c r="AZO16" s="314" t="s">
        <v>203</v>
      </c>
      <c r="AZP16" s="314" t="s">
        <v>203</v>
      </c>
      <c r="AZQ16" s="314" t="s">
        <v>203</v>
      </c>
      <c r="AZR16" s="314" t="s">
        <v>203</v>
      </c>
      <c r="AZS16" s="314" t="s">
        <v>203</v>
      </c>
      <c r="AZT16" s="314" t="s">
        <v>203</v>
      </c>
      <c r="AZU16" s="314" t="s">
        <v>203</v>
      </c>
      <c r="AZV16" s="314" t="s">
        <v>203</v>
      </c>
      <c r="AZW16" s="314" t="s">
        <v>203</v>
      </c>
      <c r="AZX16" s="314" t="s">
        <v>203</v>
      </c>
      <c r="AZY16" s="314" t="s">
        <v>203</v>
      </c>
      <c r="AZZ16" s="314" t="s">
        <v>203</v>
      </c>
      <c r="BAA16" s="314" t="s">
        <v>203</v>
      </c>
      <c r="BAB16" s="314" t="s">
        <v>203</v>
      </c>
      <c r="BAC16" s="314" t="s">
        <v>203</v>
      </c>
      <c r="BAD16" s="314" t="s">
        <v>203</v>
      </c>
      <c r="BAE16" s="314" t="s">
        <v>203</v>
      </c>
      <c r="BAF16" s="314" t="s">
        <v>203</v>
      </c>
      <c r="BAG16" s="314" t="s">
        <v>203</v>
      </c>
      <c r="BAH16" s="314" t="s">
        <v>203</v>
      </c>
      <c r="BAI16" s="314" t="s">
        <v>203</v>
      </c>
      <c r="BAJ16" s="314" t="s">
        <v>203</v>
      </c>
      <c r="BAK16" s="314" t="s">
        <v>203</v>
      </c>
      <c r="BAL16" s="314" t="s">
        <v>203</v>
      </c>
      <c r="BAM16" s="314" t="s">
        <v>203</v>
      </c>
      <c r="BAN16" s="314" t="s">
        <v>203</v>
      </c>
      <c r="BAO16" s="314" t="s">
        <v>203</v>
      </c>
      <c r="BAP16" s="314" t="s">
        <v>203</v>
      </c>
      <c r="BAQ16" s="314" t="s">
        <v>203</v>
      </c>
      <c r="BAR16" s="314" t="s">
        <v>203</v>
      </c>
      <c r="BAS16" s="314" t="s">
        <v>203</v>
      </c>
      <c r="BAT16" s="314" t="s">
        <v>203</v>
      </c>
      <c r="BAU16" s="314" t="s">
        <v>203</v>
      </c>
      <c r="BAV16" s="314" t="s">
        <v>203</v>
      </c>
      <c r="BAW16" s="314" t="s">
        <v>203</v>
      </c>
      <c r="BAX16" s="314" t="s">
        <v>203</v>
      </c>
      <c r="BAY16" s="314" t="s">
        <v>203</v>
      </c>
      <c r="BAZ16" s="314" t="s">
        <v>203</v>
      </c>
      <c r="BBA16" s="314" t="s">
        <v>203</v>
      </c>
      <c r="BBB16" s="314" t="s">
        <v>203</v>
      </c>
      <c r="BBC16" s="314" t="s">
        <v>203</v>
      </c>
      <c r="BBD16" s="314" t="s">
        <v>203</v>
      </c>
      <c r="BBE16" s="314" t="s">
        <v>203</v>
      </c>
      <c r="BBF16" s="314" t="s">
        <v>203</v>
      </c>
      <c r="BBG16" s="314" t="s">
        <v>203</v>
      </c>
      <c r="BBH16" s="314" t="s">
        <v>203</v>
      </c>
      <c r="BBI16" s="314" t="s">
        <v>203</v>
      </c>
      <c r="BBJ16" s="314" t="s">
        <v>203</v>
      </c>
      <c r="BBK16" s="314" t="s">
        <v>203</v>
      </c>
      <c r="BBL16" s="314" t="s">
        <v>203</v>
      </c>
      <c r="BBM16" s="314" t="s">
        <v>203</v>
      </c>
      <c r="BBN16" s="314" t="s">
        <v>203</v>
      </c>
      <c r="BBO16" s="314" t="s">
        <v>203</v>
      </c>
      <c r="BBP16" s="314" t="s">
        <v>203</v>
      </c>
      <c r="BBQ16" s="314" t="s">
        <v>203</v>
      </c>
      <c r="BBR16" s="314" t="s">
        <v>203</v>
      </c>
      <c r="BBS16" s="314" t="s">
        <v>203</v>
      </c>
      <c r="BBT16" s="314" t="s">
        <v>203</v>
      </c>
      <c r="BBU16" s="314" t="s">
        <v>203</v>
      </c>
      <c r="BBV16" s="314" t="s">
        <v>203</v>
      </c>
      <c r="BBW16" s="314" t="s">
        <v>203</v>
      </c>
      <c r="BBX16" s="314" t="s">
        <v>203</v>
      </c>
      <c r="BBY16" s="314" t="s">
        <v>203</v>
      </c>
      <c r="BBZ16" s="314" t="s">
        <v>203</v>
      </c>
      <c r="BCA16" s="314" t="s">
        <v>203</v>
      </c>
      <c r="BCB16" s="314" t="s">
        <v>203</v>
      </c>
      <c r="BCC16" s="314" t="s">
        <v>203</v>
      </c>
      <c r="BCD16" s="314" t="s">
        <v>203</v>
      </c>
      <c r="BCE16" s="314" t="s">
        <v>203</v>
      </c>
      <c r="BCF16" s="314" t="s">
        <v>203</v>
      </c>
      <c r="BCG16" s="314" t="s">
        <v>203</v>
      </c>
      <c r="BCH16" s="314" t="s">
        <v>203</v>
      </c>
      <c r="BCI16" s="314" t="s">
        <v>203</v>
      </c>
      <c r="BCJ16" s="314" t="s">
        <v>203</v>
      </c>
      <c r="BCK16" s="314" t="s">
        <v>203</v>
      </c>
      <c r="BCL16" s="314" t="s">
        <v>203</v>
      </c>
      <c r="BCM16" s="314" t="s">
        <v>203</v>
      </c>
      <c r="BCN16" s="314" t="s">
        <v>203</v>
      </c>
      <c r="BCO16" s="314" t="s">
        <v>203</v>
      </c>
      <c r="BCP16" s="314" t="s">
        <v>203</v>
      </c>
      <c r="BCQ16" s="314" t="s">
        <v>203</v>
      </c>
      <c r="BCR16" s="314" t="s">
        <v>203</v>
      </c>
      <c r="BCS16" s="314" t="s">
        <v>203</v>
      </c>
      <c r="BCT16" s="314" t="s">
        <v>203</v>
      </c>
      <c r="BCU16" s="314" t="s">
        <v>203</v>
      </c>
      <c r="BCV16" s="314" t="s">
        <v>203</v>
      </c>
      <c r="BCW16" s="314" t="s">
        <v>203</v>
      </c>
      <c r="BCX16" s="314" t="s">
        <v>203</v>
      </c>
      <c r="BCY16" s="314" t="s">
        <v>203</v>
      </c>
      <c r="BCZ16" s="314" t="s">
        <v>203</v>
      </c>
      <c r="BDA16" s="314" t="s">
        <v>203</v>
      </c>
      <c r="BDB16" s="314" t="s">
        <v>203</v>
      </c>
      <c r="BDC16" s="314" t="s">
        <v>203</v>
      </c>
      <c r="BDD16" s="314" t="s">
        <v>203</v>
      </c>
      <c r="BDE16" s="314" t="s">
        <v>203</v>
      </c>
      <c r="BDF16" s="314" t="s">
        <v>203</v>
      </c>
      <c r="BDG16" s="314" t="s">
        <v>203</v>
      </c>
      <c r="BDH16" s="314" t="s">
        <v>203</v>
      </c>
      <c r="BDI16" s="314" t="s">
        <v>203</v>
      </c>
      <c r="BDJ16" s="314" t="s">
        <v>203</v>
      </c>
      <c r="BDK16" s="314" t="s">
        <v>203</v>
      </c>
      <c r="BDL16" s="314" t="s">
        <v>203</v>
      </c>
      <c r="BDM16" s="314" t="s">
        <v>203</v>
      </c>
      <c r="BDN16" s="314" t="s">
        <v>203</v>
      </c>
      <c r="BDO16" s="314" t="s">
        <v>203</v>
      </c>
      <c r="BDP16" s="314" t="s">
        <v>203</v>
      </c>
      <c r="BDQ16" s="314" t="s">
        <v>203</v>
      </c>
      <c r="BDR16" s="314" t="s">
        <v>203</v>
      </c>
      <c r="BDS16" s="314" t="s">
        <v>203</v>
      </c>
      <c r="BDT16" s="314" t="s">
        <v>203</v>
      </c>
      <c r="BDU16" s="314" t="s">
        <v>203</v>
      </c>
      <c r="BDV16" s="314" t="s">
        <v>203</v>
      </c>
      <c r="BDW16" s="314" t="s">
        <v>203</v>
      </c>
      <c r="BDX16" s="314" t="s">
        <v>203</v>
      </c>
      <c r="BDY16" s="314" t="s">
        <v>203</v>
      </c>
      <c r="BDZ16" s="314" t="s">
        <v>203</v>
      </c>
      <c r="BEA16" s="314" t="s">
        <v>203</v>
      </c>
      <c r="BEB16" s="314" t="s">
        <v>203</v>
      </c>
      <c r="BEC16" s="314" t="s">
        <v>203</v>
      </c>
      <c r="BED16" s="314" t="s">
        <v>203</v>
      </c>
      <c r="BEE16" s="314" t="s">
        <v>203</v>
      </c>
      <c r="BEF16" s="314" t="s">
        <v>203</v>
      </c>
      <c r="BEG16" s="314" t="s">
        <v>203</v>
      </c>
      <c r="BEH16" s="314" t="s">
        <v>203</v>
      </c>
      <c r="BEI16" s="314" t="s">
        <v>203</v>
      </c>
      <c r="BEJ16" s="314" t="s">
        <v>203</v>
      </c>
      <c r="BEK16" s="314" t="s">
        <v>203</v>
      </c>
      <c r="BEL16" s="314" t="s">
        <v>203</v>
      </c>
      <c r="BEM16" s="314" t="s">
        <v>203</v>
      </c>
      <c r="BEN16" s="314" t="s">
        <v>203</v>
      </c>
      <c r="BEO16" s="314" t="s">
        <v>203</v>
      </c>
      <c r="BEP16" s="314" t="s">
        <v>203</v>
      </c>
      <c r="BEQ16" s="314" t="s">
        <v>203</v>
      </c>
      <c r="BER16" s="314" t="s">
        <v>203</v>
      </c>
      <c r="BES16" s="314" t="s">
        <v>203</v>
      </c>
      <c r="BET16" s="314" t="s">
        <v>203</v>
      </c>
      <c r="BEU16" s="314" t="s">
        <v>203</v>
      </c>
      <c r="BEV16" s="314" t="s">
        <v>203</v>
      </c>
      <c r="BEW16" s="314" t="s">
        <v>203</v>
      </c>
      <c r="BEX16" s="314" t="s">
        <v>203</v>
      </c>
      <c r="BEY16" s="314" t="s">
        <v>203</v>
      </c>
      <c r="BEZ16" s="314" t="s">
        <v>203</v>
      </c>
      <c r="BFA16" s="314" t="s">
        <v>203</v>
      </c>
      <c r="BFB16" s="314" t="s">
        <v>203</v>
      </c>
      <c r="BFC16" s="314" t="s">
        <v>203</v>
      </c>
      <c r="BFD16" s="314" t="s">
        <v>203</v>
      </c>
      <c r="BFE16" s="314" t="s">
        <v>203</v>
      </c>
      <c r="BFF16" s="314" t="s">
        <v>203</v>
      </c>
      <c r="BFG16" s="314" t="s">
        <v>203</v>
      </c>
      <c r="BFH16" s="314" t="s">
        <v>203</v>
      </c>
      <c r="BFI16" s="314" t="s">
        <v>203</v>
      </c>
      <c r="BFJ16" s="314" t="s">
        <v>203</v>
      </c>
      <c r="BFK16" s="314" t="s">
        <v>203</v>
      </c>
      <c r="BFL16" s="314" t="s">
        <v>203</v>
      </c>
      <c r="BFM16" s="314" t="s">
        <v>203</v>
      </c>
      <c r="BFN16" s="314" t="s">
        <v>203</v>
      </c>
      <c r="BFO16" s="314" t="s">
        <v>203</v>
      </c>
      <c r="BFP16" s="314" t="s">
        <v>203</v>
      </c>
      <c r="BFQ16" s="314" t="s">
        <v>203</v>
      </c>
      <c r="BFR16" s="314" t="s">
        <v>203</v>
      </c>
      <c r="BFS16" s="314" t="s">
        <v>203</v>
      </c>
      <c r="BFT16" s="314" t="s">
        <v>203</v>
      </c>
      <c r="BFU16" s="314" t="s">
        <v>203</v>
      </c>
      <c r="BFV16" s="314" t="s">
        <v>203</v>
      </c>
      <c r="BFW16" s="314" t="s">
        <v>203</v>
      </c>
      <c r="BFX16" s="314" t="s">
        <v>203</v>
      </c>
      <c r="BFY16" s="314" t="s">
        <v>203</v>
      </c>
      <c r="BFZ16" s="314" t="s">
        <v>203</v>
      </c>
      <c r="BGA16" s="314" t="s">
        <v>203</v>
      </c>
      <c r="BGB16" s="314" t="s">
        <v>203</v>
      </c>
      <c r="BGC16" s="314" t="s">
        <v>203</v>
      </c>
      <c r="BGD16" s="314" t="s">
        <v>203</v>
      </c>
      <c r="BGE16" s="314" t="s">
        <v>203</v>
      </c>
      <c r="BGF16" s="314" t="s">
        <v>203</v>
      </c>
      <c r="BGG16" s="314" t="s">
        <v>203</v>
      </c>
      <c r="BGH16" s="314" t="s">
        <v>203</v>
      </c>
      <c r="BGI16" s="314" t="s">
        <v>203</v>
      </c>
      <c r="BGJ16" s="314" t="s">
        <v>203</v>
      </c>
      <c r="BGK16" s="314" t="s">
        <v>203</v>
      </c>
      <c r="BGL16" s="314" t="s">
        <v>203</v>
      </c>
      <c r="BGM16" s="314" t="s">
        <v>203</v>
      </c>
      <c r="BGN16" s="314" t="s">
        <v>203</v>
      </c>
      <c r="BGO16" s="314" t="s">
        <v>203</v>
      </c>
      <c r="BGP16" s="314" t="s">
        <v>203</v>
      </c>
      <c r="BGQ16" s="314" t="s">
        <v>203</v>
      </c>
      <c r="BGR16" s="314" t="s">
        <v>203</v>
      </c>
      <c r="BGS16" s="314" t="s">
        <v>203</v>
      </c>
      <c r="BGT16" s="314" t="s">
        <v>203</v>
      </c>
      <c r="BGU16" s="314" t="s">
        <v>203</v>
      </c>
      <c r="BGV16" s="314" t="s">
        <v>203</v>
      </c>
      <c r="BGW16" s="314" t="s">
        <v>203</v>
      </c>
      <c r="BGX16" s="314" t="s">
        <v>203</v>
      </c>
      <c r="BGY16" s="314" t="s">
        <v>203</v>
      </c>
      <c r="BGZ16" s="314" t="s">
        <v>203</v>
      </c>
      <c r="BHA16" s="314" t="s">
        <v>203</v>
      </c>
      <c r="BHB16" s="314" t="s">
        <v>203</v>
      </c>
      <c r="BHC16" s="314" t="s">
        <v>203</v>
      </c>
      <c r="BHD16" s="314" t="s">
        <v>203</v>
      </c>
      <c r="BHE16" s="314" t="s">
        <v>203</v>
      </c>
      <c r="BHF16" s="314" t="s">
        <v>203</v>
      </c>
      <c r="BHG16" s="314" t="s">
        <v>203</v>
      </c>
      <c r="BHH16" s="314" t="s">
        <v>203</v>
      </c>
      <c r="BHI16" s="314" t="s">
        <v>203</v>
      </c>
      <c r="BHJ16" s="314" t="s">
        <v>203</v>
      </c>
      <c r="BHK16" s="314" t="s">
        <v>203</v>
      </c>
      <c r="BHL16" s="314" t="s">
        <v>203</v>
      </c>
      <c r="BHM16" s="314" t="s">
        <v>203</v>
      </c>
      <c r="BHN16" s="314" t="s">
        <v>203</v>
      </c>
      <c r="BHO16" s="314" t="s">
        <v>203</v>
      </c>
      <c r="BHP16" s="314" t="s">
        <v>203</v>
      </c>
      <c r="BHQ16" s="314" t="s">
        <v>203</v>
      </c>
      <c r="BHR16" s="314" t="s">
        <v>203</v>
      </c>
      <c r="BHS16" s="314" t="s">
        <v>203</v>
      </c>
      <c r="BHT16" s="314" t="s">
        <v>203</v>
      </c>
      <c r="BHU16" s="314" t="s">
        <v>203</v>
      </c>
      <c r="BHV16" s="314" t="s">
        <v>203</v>
      </c>
      <c r="BHW16" s="314" t="s">
        <v>203</v>
      </c>
      <c r="BHX16" s="314" t="s">
        <v>203</v>
      </c>
      <c r="BHY16" s="314" t="s">
        <v>203</v>
      </c>
      <c r="BHZ16" s="314" t="s">
        <v>203</v>
      </c>
      <c r="BIA16" s="314" t="s">
        <v>203</v>
      </c>
      <c r="BIB16" s="314" t="s">
        <v>203</v>
      </c>
      <c r="BIC16" s="314" t="s">
        <v>203</v>
      </c>
      <c r="BID16" s="314" t="s">
        <v>203</v>
      </c>
      <c r="BIE16" s="314" t="s">
        <v>203</v>
      </c>
      <c r="BIF16" s="314" t="s">
        <v>203</v>
      </c>
      <c r="BIG16" s="314" t="s">
        <v>203</v>
      </c>
      <c r="BIH16" s="314" t="s">
        <v>203</v>
      </c>
      <c r="BII16" s="314" t="s">
        <v>203</v>
      </c>
      <c r="BIJ16" s="314" t="s">
        <v>203</v>
      </c>
      <c r="BIK16" s="314" t="s">
        <v>203</v>
      </c>
      <c r="BIL16" s="314" t="s">
        <v>203</v>
      </c>
      <c r="BIM16" s="314" t="s">
        <v>203</v>
      </c>
      <c r="BIN16" s="314" t="s">
        <v>203</v>
      </c>
      <c r="BIO16" s="314" t="s">
        <v>203</v>
      </c>
      <c r="BIP16" s="314" t="s">
        <v>203</v>
      </c>
      <c r="BIQ16" s="314" t="s">
        <v>203</v>
      </c>
      <c r="BIR16" s="314" t="s">
        <v>203</v>
      </c>
      <c r="BIS16" s="314" t="s">
        <v>203</v>
      </c>
      <c r="BIT16" s="314" t="s">
        <v>203</v>
      </c>
      <c r="BIU16" s="314" t="s">
        <v>203</v>
      </c>
      <c r="BIV16" s="314" t="s">
        <v>203</v>
      </c>
      <c r="BIW16" s="314" t="s">
        <v>203</v>
      </c>
      <c r="BIX16" s="314" t="s">
        <v>203</v>
      </c>
      <c r="BIY16" s="314" t="s">
        <v>203</v>
      </c>
      <c r="BIZ16" s="314" t="s">
        <v>203</v>
      </c>
      <c r="BJA16" s="314" t="s">
        <v>203</v>
      </c>
      <c r="BJB16" s="314" t="s">
        <v>203</v>
      </c>
      <c r="BJC16" s="314" t="s">
        <v>203</v>
      </c>
      <c r="BJD16" s="314" t="s">
        <v>203</v>
      </c>
      <c r="BJE16" s="314" t="s">
        <v>203</v>
      </c>
      <c r="BJF16" s="314" t="s">
        <v>203</v>
      </c>
      <c r="BJG16" s="314" t="s">
        <v>203</v>
      </c>
      <c r="BJH16" s="314" t="s">
        <v>203</v>
      </c>
      <c r="BJI16" s="314" t="s">
        <v>203</v>
      </c>
      <c r="BJJ16" s="314" t="s">
        <v>203</v>
      </c>
      <c r="BJK16" s="314" t="s">
        <v>203</v>
      </c>
      <c r="BJL16" s="314" t="s">
        <v>203</v>
      </c>
      <c r="BJM16" s="314" t="s">
        <v>203</v>
      </c>
      <c r="BJN16" s="314" t="s">
        <v>203</v>
      </c>
      <c r="BJO16" s="314" t="s">
        <v>203</v>
      </c>
      <c r="BJP16" s="314" t="s">
        <v>203</v>
      </c>
      <c r="BJQ16" s="314" t="s">
        <v>203</v>
      </c>
      <c r="BJR16" s="314" t="s">
        <v>203</v>
      </c>
      <c r="BJS16" s="314" t="s">
        <v>203</v>
      </c>
      <c r="BJT16" s="314" t="s">
        <v>203</v>
      </c>
      <c r="BJU16" s="314" t="s">
        <v>203</v>
      </c>
      <c r="BJV16" s="314" t="s">
        <v>203</v>
      </c>
      <c r="BJW16" s="314" t="s">
        <v>203</v>
      </c>
      <c r="BJX16" s="314" t="s">
        <v>203</v>
      </c>
      <c r="BJY16" s="314" t="s">
        <v>203</v>
      </c>
      <c r="BJZ16" s="314" t="s">
        <v>203</v>
      </c>
      <c r="BKA16" s="314" t="s">
        <v>203</v>
      </c>
      <c r="BKB16" s="314" t="s">
        <v>203</v>
      </c>
      <c r="BKC16" s="314" t="s">
        <v>203</v>
      </c>
      <c r="BKD16" s="314" t="s">
        <v>203</v>
      </c>
      <c r="BKE16" s="314" t="s">
        <v>203</v>
      </c>
      <c r="BKF16" s="314" t="s">
        <v>203</v>
      </c>
      <c r="BKG16" s="314" t="s">
        <v>203</v>
      </c>
      <c r="BKH16" s="314" t="s">
        <v>203</v>
      </c>
      <c r="BKI16" s="314" t="s">
        <v>203</v>
      </c>
      <c r="BKJ16" s="314" t="s">
        <v>203</v>
      </c>
      <c r="BKK16" s="314" t="s">
        <v>203</v>
      </c>
      <c r="BKL16" s="314" t="s">
        <v>203</v>
      </c>
      <c r="BKM16" s="314" t="s">
        <v>203</v>
      </c>
      <c r="BKN16" s="314" t="s">
        <v>203</v>
      </c>
      <c r="BKO16" s="314" t="s">
        <v>203</v>
      </c>
      <c r="BKP16" s="314" t="s">
        <v>203</v>
      </c>
      <c r="BKQ16" s="314" t="s">
        <v>203</v>
      </c>
      <c r="BKR16" s="314" t="s">
        <v>203</v>
      </c>
      <c r="BKS16" s="314" t="s">
        <v>203</v>
      </c>
      <c r="BKT16" s="314" t="s">
        <v>203</v>
      </c>
      <c r="BKU16" s="314" t="s">
        <v>203</v>
      </c>
      <c r="BKV16" s="314" t="s">
        <v>203</v>
      </c>
      <c r="BKW16" s="314" t="s">
        <v>203</v>
      </c>
      <c r="BKX16" s="314" t="s">
        <v>203</v>
      </c>
      <c r="BKY16" s="314" t="s">
        <v>203</v>
      </c>
      <c r="BKZ16" s="314" t="s">
        <v>203</v>
      </c>
      <c r="BLA16" s="314" t="s">
        <v>203</v>
      </c>
      <c r="BLB16" s="314" t="s">
        <v>203</v>
      </c>
      <c r="BLC16" s="314" t="s">
        <v>203</v>
      </c>
      <c r="BLD16" s="314" t="s">
        <v>203</v>
      </c>
      <c r="BLE16" s="314" t="s">
        <v>203</v>
      </c>
      <c r="BLF16" s="314" t="s">
        <v>203</v>
      </c>
      <c r="BLG16" s="314" t="s">
        <v>203</v>
      </c>
      <c r="BLH16" s="314" t="s">
        <v>203</v>
      </c>
      <c r="BLI16" s="314" t="s">
        <v>203</v>
      </c>
      <c r="BLJ16" s="314" t="s">
        <v>203</v>
      </c>
      <c r="BLK16" s="314" t="s">
        <v>203</v>
      </c>
      <c r="BLL16" s="314" t="s">
        <v>203</v>
      </c>
      <c r="BLM16" s="314" t="s">
        <v>203</v>
      </c>
      <c r="BLN16" s="314" t="s">
        <v>203</v>
      </c>
      <c r="BLO16" s="314" t="s">
        <v>203</v>
      </c>
      <c r="BLP16" s="314" t="s">
        <v>203</v>
      </c>
      <c r="BLQ16" s="314" t="s">
        <v>203</v>
      </c>
      <c r="BLR16" s="314" t="s">
        <v>203</v>
      </c>
      <c r="BLS16" s="314" t="s">
        <v>203</v>
      </c>
      <c r="BLT16" s="314" t="s">
        <v>203</v>
      </c>
      <c r="BLU16" s="314" t="s">
        <v>203</v>
      </c>
      <c r="BLV16" s="314" t="s">
        <v>203</v>
      </c>
      <c r="BLW16" s="314" t="s">
        <v>203</v>
      </c>
      <c r="BLX16" s="314" t="s">
        <v>203</v>
      </c>
      <c r="BLY16" s="314" t="s">
        <v>203</v>
      </c>
      <c r="BLZ16" s="314" t="s">
        <v>203</v>
      </c>
      <c r="BMA16" s="314" t="s">
        <v>203</v>
      </c>
      <c r="BMB16" s="314" t="s">
        <v>203</v>
      </c>
      <c r="BMC16" s="314" t="s">
        <v>203</v>
      </c>
      <c r="BMD16" s="314" t="s">
        <v>203</v>
      </c>
      <c r="BME16" s="314" t="s">
        <v>203</v>
      </c>
      <c r="BMF16" s="314" t="s">
        <v>203</v>
      </c>
      <c r="BMG16" s="314" t="s">
        <v>203</v>
      </c>
      <c r="BMH16" s="314" t="s">
        <v>203</v>
      </c>
      <c r="BMI16" s="314" t="s">
        <v>203</v>
      </c>
      <c r="BMJ16" s="314" t="s">
        <v>203</v>
      </c>
      <c r="BMK16" s="314" t="s">
        <v>203</v>
      </c>
      <c r="BML16" s="314" t="s">
        <v>203</v>
      </c>
      <c r="BMM16" s="314" t="s">
        <v>203</v>
      </c>
      <c r="BMN16" s="314" t="s">
        <v>203</v>
      </c>
      <c r="BMO16" s="314" t="s">
        <v>203</v>
      </c>
      <c r="BMP16" s="314" t="s">
        <v>203</v>
      </c>
      <c r="BMQ16" s="314" t="s">
        <v>203</v>
      </c>
      <c r="BMR16" s="314" t="s">
        <v>203</v>
      </c>
      <c r="BMS16" s="314" t="s">
        <v>203</v>
      </c>
      <c r="BMT16" s="314" t="s">
        <v>203</v>
      </c>
      <c r="BMU16" s="314" t="s">
        <v>203</v>
      </c>
      <c r="BMV16" s="314" t="s">
        <v>203</v>
      </c>
      <c r="BMW16" s="314" t="s">
        <v>203</v>
      </c>
      <c r="BMX16" s="314" t="s">
        <v>203</v>
      </c>
      <c r="BMY16" s="314" t="s">
        <v>203</v>
      </c>
      <c r="BMZ16" s="314" t="s">
        <v>203</v>
      </c>
      <c r="BNA16" s="314" t="s">
        <v>203</v>
      </c>
      <c r="BNB16" s="314" t="s">
        <v>203</v>
      </c>
      <c r="BNC16" s="314" t="s">
        <v>203</v>
      </c>
      <c r="BND16" s="314" t="s">
        <v>203</v>
      </c>
      <c r="BNE16" s="314" t="s">
        <v>203</v>
      </c>
      <c r="BNF16" s="314" t="s">
        <v>203</v>
      </c>
      <c r="BNG16" s="314" t="s">
        <v>203</v>
      </c>
      <c r="BNH16" s="314" t="s">
        <v>203</v>
      </c>
      <c r="BNI16" s="314" t="s">
        <v>203</v>
      </c>
      <c r="BNJ16" s="314" t="s">
        <v>203</v>
      </c>
      <c r="BNK16" s="314" t="s">
        <v>203</v>
      </c>
      <c r="BNL16" s="314" t="s">
        <v>203</v>
      </c>
      <c r="BNM16" s="314" t="s">
        <v>203</v>
      </c>
      <c r="BNN16" s="314" t="s">
        <v>203</v>
      </c>
      <c r="BNO16" s="314" t="s">
        <v>203</v>
      </c>
      <c r="BNP16" s="314" t="s">
        <v>203</v>
      </c>
      <c r="BNQ16" s="314" t="s">
        <v>203</v>
      </c>
      <c r="BNR16" s="314" t="s">
        <v>203</v>
      </c>
      <c r="BNS16" s="314" t="s">
        <v>203</v>
      </c>
      <c r="BNT16" s="314" t="s">
        <v>203</v>
      </c>
      <c r="BNU16" s="314" t="s">
        <v>203</v>
      </c>
      <c r="BNV16" s="314" t="s">
        <v>203</v>
      </c>
      <c r="BNW16" s="314" t="s">
        <v>203</v>
      </c>
      <c r="BNX16" s="314" t="s">
        <v>203</v>
      </c>
      <c r="BNY16" s="314" t="s">
        <v>203</v>
      </c>
      <c r="BNZ16" s="314" t="s">
        <v>203</v>
      </c>
      <c r="BOA16" s="314" t="s">
        <v>203</v>
      </c>
      <c r="BOB16" s="314" t="s">
        <v>203</v>
      </c>
      <c r="BOC16" s="314" t="s">
        <v>203</v>
      </c>
      <c r="BOD16" s="314" t="s">
        <v>203</v>
      </c>
      <c r="BOE16" s="314" t="s">
        <v>203</v>
      </c>
      <c r="BOF16" s="314" t="s">
        <v>203</v>
      </c>
      <c r="BOG16" s="314" t="s">
        <v>203</v>
      </c>
      <c r="BOH16" s="314" t="s">
        <v>203</v>
      </c>
      <c r="BOI16" s="314" t="s">
        <v>203</v>
      </c>
      <c r="BOJ16" s="314" t="s">
        <v>203</v>
      </c>
      <c r="BOK16" s="314" t="s">
        <v>203</v>
      </c>
      <c r="BOL16" s="314" t="s">
        <v>203</v>
      </c>
      <c r="BOM16" s="314" t="s">
        <v>203</v>
      </c>
      <c r="BON16" s="314" t="s">
        <v>203</v>
      </c>
      <c r="BOO16" s="314" t="s">
        <v>203</v>
      </c>
      <c r="BOP16" s="314" t="s">
        <v>203</v>
      </c>
      <c r="BOQ16" s="314" t="s">
        <v>203</v>
      </c>
      <c r="BOR16" s="314" t="s">
        <v>203</v>
      </c>
      <c r="BOS16" s="314" t="s">
        <v>203</v>
      </c>
      <c r="BOT16" s="314" t="s">
        <v>203</v>
      </c>
      <c r="BOU16" s="314" t="s">
        <v>203</v>
      </c>
      <c r="BOV16" s="314" t="s">
        <v>203</v>
      </c>
      <c r="BOW16" s="314" t="s">
        <v>203</v>
      </c>
      <c r="BOX16" s="314" t="s">
        <v>203</v>
      </c>
      <c r="BOY16" s="314" t="s">
        <v>203</v>
      </c>
      <c r="BOZ16" s="314" t="s">
        <v>203</v>
      </c>
      <c r="BPA16" s="314" t="s">
        <v>203</v>
      </c>
      <c r="BPB16" s="314" t="s">
        <v>203</v>
      </c>
      <c r="BPC16" s="314" t="s">
        <v>203</v>
      </c>
      <c r="BPD16" s="314" t="s">
        <v>203</v>
      </c>
      <c r="BPE16" s="314" t="s">
        <v>203</v>
      </c>
      <c r="BPF16" s="314" t="s">
        <v>203</v>
      </c>
      <c r="BPG16" s="314" t="s">
        <v>203</v>
      </c>
      <c r="BPH16" s="314" t="s">
        <v>203</v>
      </c>
      <c r="BPI16" s="314" t="s">
        <v>203</v>
      </c>
      <c r="BPJ16" s="314" t="s">
        <v>203</v>
      </c>
      <c r="BPK16" s="314" t="s">
        <v>203</v>
      </c>
      <c r="BPL16" s="314" t="s">
        <v>203</v>
      </c>
      <c r="BPM16" s="314" t="s">
        <v>203</v>
      </c>
      <c r="BPN16" s="314" t="s">
        <v>203</v>
      </c>
      <c r="BPO16" s="314" t="s">
        <v>203</v>
      </c>
      <c r="BPP16" s="314" t="s">
        <v>203</v>
      </c>
      <c r="BPQ16" s="314" t="s">
        <v>203</v>
      </c>
      <c r="BPR16" s="314" t="s">
        <v>203</v>
      </c>
      <c r="BPS16" s="314" t="s">
        <v>203</v>
      </c>
      <c r="BPT16" s="314" t="s">
        <v>203</v>
      </c>
      <c r="BPU16" s="314" t="s">
        <v>203</v>
      </c>
      <c r="BPV16" s="314" t="s">
        <v>203</v>
      </c>
      <c r="BPW16" s="314" t="s">
        <v>203</v>
      </c>
      <c r="BPX16" s="314" t="s">
        <v>203</v>
      </c>
      <c r="BPY16" s="314" t="s">
        <v>203</v>
      </c>
      <c r="BPZ16" s="314" t="s">
        <v>203</v>
      </c>
      <c r="BQA16" s="314" t="s">
        <v>203</v>
      </c>
      <c r="BQB16" s="314" t="s">
        <v>203</v>
      </c>
      <c r="BQC16" s="314" t="s">
        <v>203</v>
      </c>
      <c r="BQD16" s="314" t="s">
        <v>203</v>
      </c>
      <c r="BQE16" s="314" t="s">
        <v>203</v>
      </c>
      <c r="BQF16" s="314" t="s">
        <v>203</v>
      </c>
      <c r="BQG16" s="314" t="s">
        <v>203</v>
      </c>
      <c r="BQH16" s="314" t="s">
        <v>203</v>
      </c>
      <c r="BQI16" s="314" t="s">
        <v>203</v>
      </c>
      <c r="BQJ16" s="314" t="s">
        <v>203</v>
      </c>
      <c r="BQK16" s="314" t="s">
        <v>203</v>
      </c>
      <c r="BQL16" s="314" t="s">
        <v>203</v>
      </c>
      <c r="BQM16" s="314" t="s">
        <v>203</v>
      </c>
      <c r="BQN16" s="314" t="s">
        <v>203</v>
      </c>
      <c r="BQO16" s="314" t="s">
        <v>203</v>
      </c>
      <c r="BQP16" s="314" t="s">
        <v>203</v>
      </c>
      <c r="BQQ16" s="314" t="s">
        <v>203</v>
      </c>
      <c r="BQR16" s="314" t="s">
        <v>203</v>
      </c>
      <c r="BQS16" s="314" t="s">
        <v>203</v>
      </c>
      <c r="BQT16" s="314" t="s">
        <v>203</v>
      </c>
      <c r="BQU16" s="314" t="s">
        <v>203</v>
      </c>
      <c r="BQV16" s="314" t="s">
        <v>203</v>
      </c>
      <c r="BQW16" s="314" t="s">
        <v>203</v>
      </c>
      <c r="BQX16" s="314" t="s">
        <v>203</v>
      </c>
      <c r="BQY16" s="314" t="s">
        <v>203</v>
      </c>
      <c r="BQZ16" s="314" t="s">
        <v>203</v>
      </c>
      <c r="BRA16" s="314" t="s">
        <v>203</v>
      </c>
      <c r="BRB16" s="314" t="s">
        <v>203</v>
      </c>
      <c r="BRC16" s="314" t="s">
        <v>203</v>
      </c>
      <c r="BRD16" s="314" t="s">
        <v>203</v>
      </c>
      <c r="BRE16" s="314" t="s">
        <v>203</v>
      </c>
      <c r="BRF16" s="314" t="s">
        <v>203</v>
      </c>
      <c r="BRG16" s="314" t="s">
        <v>203</v>
      </c>
      <c r="BRH16" s="314" t="s">
        <v>203</v>
      </c>
      <c r="BRI16" s="314" t="s">
        <v>203</v>
      </c>
      <c r="BRJ16" s="314" t="s">
        <v>203</v>
      </c>
      <c r="BRK16" s="314" t="s">
        <v>203</v>
      </c>
      <c r="BRL16" s="314" t="s">
        <v>203</v>
      </c>
      <c r="BRM16" s="314" t="s">
        <v>203</v>
      </c>
      <c r="BRN16" s="314" t="s">
        <v>203</v>
      </c>
      <c r="BRO16" s="314" t="s">
        <v>203</v>
      </c>
      <c r="BRP16" s="314" t="s">
        <v>203</v>
      </c>
      <c r="BRQ16" s="314" t="s">
        <v>203</v>
      </c>
      <c r="BRR16" s="314" t="s">
        <v>203</v>
      </c>
      <c r="BRS16" s="314" t="s">
        <v>203</v>
      </c>
      <c r="BRT16" s="314" t="s">
        <v>203</v>
      </c>
      <c r="BRU16" s="314" t="s">
        <v>203</v>
      </c>
      <c r="BRV16" s="314" t="s">
        <v>203</v>
      </c>
      <c r="BRW16" s="314" t="s">
        <v>203</v>
      </c>
      <c r="BRX16" s="314" t="s">
        <v>203</v>
      </c>
      <c r="BRY16" s="314" t="s">
        <v>203</v>
      </c>
      <c r="BRZ16" s="314" t="s">
        <v>203</v>
      </c>
      <c r="BSA16" s="314" t="s">
        <v>203</v>
      </c>
      <c r="BSB16" s="314" t="s">
        <v>203</v>
      </c>
      <c r="BSC16" s="314" t="s">
        <v>203</v>
      </c>
      <c r="BSD16" s="314" t="s">
        <v>203</v>
      </c>
      <c r="BSE16" s="314" t="s">
        <v>203</v>
      </c>
      <c r="BSF16" s="314" t="s">
        <v>203</v>
      </c>
      <c r="BSG16" s="314" t="s">
        <v>203</v>
      </c>
      <c r="BSH16" s="314" t="s">
        <v>203</v>
      </c>
      <c r="BSI16" s="314" t="s">
        <v>203</v>
      </c>
      <c r="BSJ16" s="314" t="s">
        <v>203</v>
      </c>
      <c r="BSK16" s="314" t="s">
        <v>203</v>
      </c>
      <c r="BSL16" s="314" t="s">
        <v>203</v>
      </c>
      <c r="BSM16" s="314" t="s">
        <v>203</v>
      </c>
      <c r="BSN16" s="314" t="s">
        <v>203</v>
      </c>
      <c r="BSO16" s="314" t="s">
        <v>203</v>
      </c>
      <c r="BSP16" s="314" t="s">
        <v>203</v>
      </c>
      <c r="BSQ16" s="314" t="s">
        <v>203</v>
      </c>
      <c r="BSR16" s="314" t="s">
        <v>203</v>
      </c>
      <c r="BSS16" s="314" t="s">
        <v>203</v>
      </c>
      <c r="BST16" s="314" t="s">
        <v>203</v>
      </c>
      <c r="BSU16" s="314" t="s">
        <v>203</v>
      </c>
      <c r="BSV16" s="314" t="s">
        <v>203</v>
      </c>
      <c r="BSW16" s="314" t="s">
        <v>203</v>
      </c>
      <c r="BSX16" s="314" t="s">
        <v>203</v>
      </c>
      <c r="BSY16" s="314" t="s">
        <v>203</v>
      </c>
      <c r="BSZ16" s="314" t="s">
        <v>203</v>
      </c>
      <c r="BTA16" s="314" t="s">
        <v>203</v>
      </c>
      <c r="BTB16" s="314" t="s">
        <v>203</v>
      </c>
      <c r="BTC16" s="314" t="s">
        <v>203</v>
      </c>
      <c r="BTD16" s="314" t="s">
        <v>203</v>
      </c>
      <c r="BTE16" s="314" t="s">
        <v>203</v>
      </c>
      <c r="BTF16" s="314" t="s">
        <v>203</v>
      </c>
      <c r="BTG16" s="314" t="s">
        <v>203</v>
      </c>
      <c r="BTH16" s="314" t="s">
        <v>203</v>
      </c>
      <c r="BTI16" s="314" t="s">
        <v>203</v>
      </c>
      <c r="BTJ16" s="314" t="s">
        <v>203</v>
      </c>
      <c r="BTK16" s="314" t="s">
        <v>203</v>
      </c>
      <c r="BTL16" s="314" t="s">
        <v>203</v>
      </c>
      <c r="BTM16" s="314" t="s">
        <v>203</v>
      </c>
      <c r="BTN16" s="314" t="s">
        <v>203</v>
      </c>
      <c r="BTO16" s="314" t="s">
        <v>203</v>
      </c>
      <c r="BTP16" s="314" t="s">
        <v>203</v>
      </c>
      <c r="BTQ16" s="314" t="s">
        <v>203</v>
      </c>
      <c r="BTR16" s="314" t="s">
        <v>203</v>
      </c>
      <c r="BTS16" s="314" t="s">
        <v>203</v>
      </c>
      <c r="BTT16" s="314" t="s">
        <v>203</v>
      </c>
      <c r="BTU16" s="314" t="s">
        <v>203</v>
      </c>
      <c r="BTV16" s="314" t="s">
        <v>203</v>
      </c>
      <c r="BTW16" s="314" t="s">
        <v>203</v>
      </c>
      <c r="BTX16" s="314" t="s">
        <v>203</v>
      </c>
      <c r="BTY16" s="314" t="s">
        <v>203</v>
      </c>
      <c r="BTZ16" s="314" t="s">
        <v>203</v>
      </c>
      <c r="BUA16" s="314" t="s">
        <v>203</v>
      </c>
      <c r="BUB16" s="314" t="s">
        <v>203</v>
      </c>
      <c r="BUC16" s="314" t="s">
        <v>203</v>
      </c>
      <c r="BUD16" s="314" t="s">
        <v>203</v>
      </c>
      <c r="BUE16" s="314" t="s">
        <v>203</v>
      </c>
      <c r="BUF16" s="314" t="s">
        <v>203</v>
      </c>
      <c r="BUG16" s="314" t="s">
        <v>203</v>
      </c>
      <c r="BUH16" s="314" t="s">
        <v>203</v>
      </c>
      <c r="BUI16" s="314" t="s">
        <v>203</v>
      </c>
      <c r="BUJ16" s="314" t="s">
        <v>203</v>
      </c>
      <c r="BUK16" s="314" t="s">
        <v>203</v>
      </c>
      <c r="BUL16" s="314" t="s">
        <v>203</v>
      </c>
      <c r="BUM16" s="314" t="s">
        <v>203</v>
      </c>
      <c r="BUN16" s="314" t="s">
        <v>203</v>
      </c>
      <c r="BUO16" s="314" t="s">
        <v>203</v>
      </c>
      <c r="BUP16" s="314" t="s">
        <v>203</v>
      </c>
      <c r="BUQ16" s="314" t="s">
        <v>203</v>
      </c>
      <c r="BUR16" s="314" t="s">
        <v>203</v>
      </c>
      <c r="BUS16" s="314" t="s">
        <v>203</v>
      </c>
      <c r="BUT16" s="314" t="s">
        <v>203</v>
      </c>
      <c r="BUU16" s="314" t="s">
        <v>203</v>
      </c>
      <c r="BUV16" s="314" t="s">
        <v>203</v>
      </c>
      <c r="BUW16" s="314" t="s">
        <v>203</v>
      </c>
      <c r="BUX16" s="314" t="s">
        <v>203</v>
      </c>
      <c r="BUY16" s="314" t="s">
        <v>203</v>
      </c>
      <c r="BUZ16" s="314" t="s">
        <v>203</v>
      </c>
      <c r="BVA16" s="314" t="s">
        <v>203</v>
      </c>
      <c r="BVB16" s="314" t="s">
        <v>203</v>
      </c>
      <c r="BVC16" s="314" t="s">
        <v>203</v>
      </c>
      <c r="BVD16" s="314" t="s">
        <v>203</v>
      </c>
      <c r="BVE16" s="314" t="s">
        <v>203</v>
      </c>
      <c r="BVF16" s="314" t="s">
        <v>203</v>
      </c>
      <c r="BVG16" s="314" t="s">
        <v>203</v>
      </c>
      <c r="BVH16" s="314" t="s">
        <v>203</v>
      </c>
      <c r="BVI16" s="314" t="s">
        <v>203</v>
      </c>
      <c r="BVJ16" s="314" t="s">
        <v>203</v>
      </c>
      <c r="BVK16" s="314" t="s">
        <v>203</v>
      </c>
      <c r="BVL16" s="314" t="s">
        <v>203</v>
      </c>
      <c r="BVM16" s="314" t="s">
        <v>203</v>
      </c>
      <c r="BVN16" s="314" t="s">
        <v>203</v>
      </c>
      <c r="BVO16" s="314" t="s">
        <v>203</v>
      </c>
      <c r="BVP16" s="314" t="s">
        <v>203</v>
      </c>
      <c r="BVQ16" s="314" t="s">
        <v>203</v>
      </c>
      <c r="BVR16" s="314" t="s">
        <v>203</v>
      </c>
      <c r="BVS16" s="314" t="s">
        <v>203</v>
      </c>
      <c r="BVT16" s="314" t="s">
        <v>203</v>
      </c>
      <c r="BVU16" s="314" t="s">
        <v>203</v>
      </c>
      <c r="BVV16" s="314" t="s">
        <v>203</v>
      </c>
      <c r="BVW16" s="314" t="s">
        <v>203</v>
      </c>
      <c r="BVX16" s="314" t="s">
        <v>203</v>
      </c>
      <c r="BVY16" s="314" t="s">
        <v>203</v>
      </c>
      <c r="BVZ16" s="314" t="s">
        <v>203</v>
      </c>
      <c r="BWA16" s="314" t="s">
        <v>203</v>
      </c>
      <c r="BWB16" s="314" t="s">
        <v>203</v>
      </c>
      <c r="BWC16" s="314" t="s">
        <v>203</v>
      </c>
      <c r="BWD16" s="314" t="s">
        <v>203</v>
      </c>
      <c r="BWE16" s="314" t="s">
        <v>203</v>
      </c>
      <c r="BWF16" s="314" t="s">
        <v>203</v>
      </c>
      <c r="BWG16" s="314" t="s">
        <v>203</v>
      </c>
      <c r="BWH16" s="314" t="s">
        <v>203</v>
      </c>
      <c r="BWI16" s="314" t="s">
        <v>203</v>
      </c>
      <c r="BWJ16" s="314" t="s">
        <v>203</v>
      </c>
      <c r="BWK16" s="314" t="s">
        <v>203</v>
      </c>
      <c r="BWL16" s="314" t="s">
        <v>203</v>
      </c>
      <c r="BWM16" s="314" t="s">
        <v>203</v>
      </c>
      <c r="BWN16" s="314" t="s">
        <v>203</v>
      </c>
      <c r="BWO16" s="314" t="s">
        <v>203</v>
      </c>
      <c r="BWP16" s="314" t="s">
        <v>203</v>
      </c>
      <c r="BWQ16" s="314" t="s">
        <v>203</v>
      </c>
      <c r="BWR16" s="314" t="s">
        <v>203</v>
      </c>
      <c r="BWS16" s="314" t="s">
        <v>203</v>
      </c>
      <c r="BWT16" s="314" t="s">
        <v>203</v>
      </c>
      <c r="BWU16" s="314" t="s">
        <v>203</v>
      </c>
      <c r="BWV16" s="314" t="s">
        <v>203</v>
      </c>
      <c r="BWW16" s="314" t="s">
        <v>203</v>
      </c>
      <c r="BWX16" s="314" t="s">
        <v>203</v>
      </c>
      <c r="BWY16" s="314" t="s">
        <v>203</v>
      </c>
      <c r="BWZ16" s="314" t="s">
        <v>203</v>
      </c>
      <c r="BXA16" s="314" t="s">
        <v>203</v>
      </c>
      <c r="BXB16" s="314" t="s">
        <v>203</v>
      </c>
      <c r="BXC16" s="314" t="s">
        <v>203</v>
      </c>
      <c r="BXD16" s="314" t="s">
        <v>203</v>
      </c>
      <c r="BXE16" s="314" t="s">
        <v>203</v>
      </c>
      <c r="BXF16" s="314" t="s">
        <v>203</v>
      </c>
      <c r="BXG16" s="314" t="s">
        <v>203</v>
      </c>
      <c r="BXH16" s="314" t="s">
        <v>203</v>
      </c>
      <c r="BXI16" s="314" t="s">
        <v>203</v>
      </c>
      <c r="BXJ16" s="314" t="s">
        <v>203</v>
      </c>
      <c r="BXK16" s="314" t="s">
        <v>203</v>
      </c>
      <c r="BXL16" s="314" t="s">
        <v>203</v>
      </c>
      <c r="BXM16" s="314" t="s">
        <v>203</v>
      </c>
      <c r="BXN16" s="314" t="s">
        <v>203</v>
      </c>
      <c r="BXO16" s="314" t="s">
        <v>203</v>
      </c>
      <c r="BXP16" s="314" t="s">
        <v>203</v>
      </c>
      <c r="BXQ16" s="314" t="s">
        <v>203</v>
      </c>
      <c r="BXR16" s="314" t="s">
        <v>203</v>
      </c>
      <c r="BXS16" s="314" t="s">
        <v>203</v>
      </c>
      <c r="BXT16" s="314" t="s">
        <v>203</v>
      </c>
      <c r="BXU16" s="314" t="s">
        <v>203</v>
      </c>
      <c r="BXV16" s="314" t="s">
        <v>203</v>
      </c>
      <c r="BXW16" s="314" t="s">
        <v>203</v>
      </c>
      <c r="BXX16" s="314" t="s">
        <v>203</v>
      </c>
      <c r="BXY16" s="314" t="s">
        <v>203</v>
      </c>
      <c r="BXZ16" s="314" t="s">
        <v>203</v>
      </c>
      <c r="BYA16" s="314" t="s">
        <v>203</v>
      </c>
      <c r="BYB16" s="314" t="s">
        <v>203</v>
      </c>
      <c r="BYC16" s="314" t="s">
        <v>203</v>
      </c>
      <c r="BYD16" s="314" t="s">
        <v>203</v>
      </c>
      <c r="BYE16" s="314" t="s">
        <v>203</v>
      </c>
      <c r="BYF16" s="314" t="s">
        <v>203</v>
      </c>
      <c r="BYG16" s="314" t="s">
        <v>203</v>
      </c>
      <c r="BYH16" s="314" t="s">
        <v>203</v>
      </c>
      <c r="BYI16" s="314" t="s">
        <v>203</v>
      </c>
      <c r="BYJ16" s="314" t="s">
        <v>203</v>
      </c>
      <c r="BYK16" s="314" t="s">
        <v>203</v>
      </c>
      <c r="BYL16" s="314" t="s">
        <v>203</v>
      </c>
      <c r="BYM16" s="314" t="s">
        <v>203</v>
      </c>
      <c r="BYN16" s="314" t="s">
        <v>203</v>
      </c>
      <c r="BYO16" s="314" t="s">
        <v>203</v>
      </c>
      <c r="BYP16" s="314" t="s">
        <v>203</v>
      </c>
      <c r="BYQ16" s="314" t="s">
        <v>203</v>
      </c>
      <c r="BYR16" s="314" t="s">
        <v>203</v>
      </c>
      <c r="BYS16" s="314" t="s">
        <v>203</v>
      </c>
      <c r="BYT16" s="314" t="s">
        <v>203</v>
      </c>
      <c r="BYU16" s="314" t="s">
        <v>203</v>
      </c>
      <c r="BYV16" s="314" t="s">
        <v>203</v>
      </c>
      <c r="BYW16" s="314" t="s">
        <v>203</v>
      </c>
      <c r="BYX16" s="314" t="s">
        <v>203</v>
      </c>
      <c r="BYY16" s="314" t="s">
        <v>203</v>
      </c>
      <c r="BYZ16" s="314" t="s">
        <v>203</v>
      </c>
      <c r="BZA16" s="314" t="s">
        <v>203</v>
      </c>
      <c r="BZB16" s="314" t="s">
        <v>203</v>
      </c>
      <c r="BZC16" s="314" t="s">
        <v>203</v>
      </c>
      <c r="BZD16" s="314" t="s">
        <v>203</v>
      </c>
      <c r="BZE16" s="314" t="s">
        <v>203</v>
      </c>
      <c r="BZF16" s="314" t="s">
        <v>203</v>
      </c>
      <c r="BZG16" s="314" t="s">
        <v>203</v>
      </c>
      <c r="BZH16" s="314" t="s">
        <v>203</v>
      </c>
      <c r="BZI16" s="314" t="s">
        <v>203</v>
      </c>
      <c r="BZJ16" s="314" t="s">
        <v>203</v>
      </c>
      <c r="BZK16" s="314" t="s">
        <v>203</v>
      </c>
      <c r="BZL16" s="314" t="s">
        <v>203</v>
      </c>
      <c r="BZM16" s="314" t="s">
        <v>203</v>
      </c>
      <c r="BZN16" s="314" t="s">
        <v>203</v>
      </c>
      <c r="BZO16" s="314" t="s">
        <v>203</v>
      </c>
      <c r="BZP16" s="314" t="s">
        <v>203</v>
      </c>
      <c r="BZQ16" s="314" t="s">
        <v>203</v>
      </c>
      <c r="BZR16" s="314" t="s">
        <v>203</v>
      </c>
      <c r="BZS16" s="314" t="s">
        <v>203</v>
      </c>
      <c r="BZT16" s="314" t="s">
        <v>203</v>
      </c>
      <c r="BZU16" s="314" t="s">
        <v>203</v>
      </c>
      <c r="BZV16" s="314" t="s">
        <v>203</v>
      </c>
      <c r="BZW16" s="314" t="s">
        <v>203</v>
      </c>
      <c r="BZX16" s="314" t="s">
        <v>203</v>
      </c>
      <c r="BZY16" s="314" t="s">
        <v>203</v>
      </c>
      <c r="BZZ16" s="314" t="s">
        <v>203</v>
      </c>
      <c r="CAA16" s="314" t="s">
        <v>203</v>
      </c>
      <c r="CAB16" s="314" t="s">
        <v>203</v>
      </c>
      <c r="CAC16" s="314" t="s">
        <v>203</v>
      </c>
      <c r="CAD16" s="314" t="s">
        <v>203</v>
      </c>
      <c r="CAE16" s="314" t="s">
        <v>203</v>
      </c>
      <c r="CAF16" s="314" t="s">
        <v>203</v>
      </c>
      <c r="CAG16" s="314" t="s">
        <v>203</v>
      </c>
      <c r="CAH16" s="314" t="s">
        <v>203</v>
      </c>
      <c r="CAI16" s="314" t="s">
        <v>203</v>
      </c>
      <c r="CAJ16" s="314" t="s">
        <v>203</v>
      </c>
      <c r="CAK16" s="314" t="s">
        <v>203</v>
      </c>
      <c r="CAL16" s="314" t="s">
        <v>203</v>
      </c>
      <c r="CAM16" s="314" t="s">
        <v>203</v>
      </c>
      <c r="CAN16" s="314" t="s">
        <v>203</v>
      </c>
      <c r="CAO16" s="314" t="s">
        <v>203</v>
      </c>
      <c r="CAP16" s="314" t="s">
        <v>203</v>
      </c>
      <c r="CAQ16" s="314" t="s">
        <v>203</v>
      </c>
      <c r="CAR16" s="314" t="s">
        <v>203</v>
      </c>
      <c r="CAS16" s="314" t="s">
        <v>203</v>
      </c>
      <c r="CAT16" s="314" t="s">
        <v>203</v>
      </c>
      <c r="CAU16" s="314" t="s">
        <v>203</v>
      </c>
      <c r="CAV16" s="314" t="s">
        <v>203</v>
      </c>
      <c r="CAW16" s="314" t="s">
        <v>203</v>
      </c>
      <c r="CAX16" s="314" t="s">
        <v>203</v>
      </c>
      <c r="CAY16" s="314" t="s">
        <v>203</v>
      </c>
      <c r="CAZ16" s="314" t="s">
        <v>203</v>
      </c>
      <c r="CBA16" s="314" t="s">
        <v>203</v>
      </c>
      <c r="CBB16" s="314" t="s">
        <v>203</v>
      </c>
      <c r="CBC16" s="314" t="s">
        <v>203</v>
      </c>
      <c r="CBD16" s="314" t="s">
        <v>203</v>
      </c>
      <c r="CBE16" s="314" t="s">
        <v>203</v>
      </c>
      <c r="CBF16" s="314" t="s">
        <v>203</v>
      </c>
      <c r="CBG16" s="314" t="s">
        <v>203</v>
      </c>
      <c r="CBH16" s="314" t="s">
        <v>203</v>
      </c>
      <c r="CBI16" s="314" t="s">
        <v>203</v>
      </c>
      <c r="CBJ16" s="314" t="s">
        <v>203</v>
      </c>
      <c r="CBK16" s="314" t="s">
        <v>203</v>
      </c>
      <c r="CBL16" s="314" t="s">
        <v>203</v>
      </c>
      <c r="CBM16" s="314" t="s">
        <v>203</v>
      </c>
      <c r="CBN16" s="314" t="s">
        <v>203</v>
      </c>
      <c r="CBO16" s="314" t="s">
        <v>203</v>
      </c>
      <c r="CBP16" s="314" t="s">
        <v>203</v>
      </c>
      <c r="CBQ16" s="314" t="s">
        <v>203</v>
      </c>
      <c r="CBR16" s="314" t="s">
        <v>203</v>
      </c>
      <c r="CBS16" s="314" t="s">
        <v>203</v>
      </c>
      <c r="CBT16" s="314" t="s">
        <v>203</v>
      </c>
      <c r="CBU16" s="314" t="s">
        <v>203</v>
      </c>
      <c r="CBV16" s="314" t="s">
        <v>203</v>
      </c>
      <c r="CBW16" s="314" t="s">
        <v>203</v>
      </c>
      <c r="CBX16" s="314" t="s">
        <v>203</v>
      </c>
      <c r="CBY16" s="314" t="s">
        <v>203</v>
      </c>
      <c r="CBZ16" s="314" t="s">
        <v>203</v>
      </c>
      <c r="CCA16" s="314" t="s">
        <v>203</v>
      </c>
      <c r="CCB16" s="314" t="s">
        <v>203</v>
      </c>
      <c r="CCC16" s="314" t="s">
        <v>203</v>
      </c>
      <c r="CCD16" s="314" t="s">
        <v>203</v>
      </c>
      <c r="CCE16" s="314" t="s">
        <v>203</v>
      </c>
      <c r="CCF16" s="314" t="s">
        <v>203</v>
      </c>
      <c r="CCG16" s="314" t="s">
        <v>203</v>
      </c>
      <c r="CCH16" s="314" t="s">
        <v>203</v>
      </c>
      <c r="CCI16" s="314" t="s">
        <v>203</v>
      </c>
      <c r="CCJ16" s="314" t="s">
        <v>203</v>
      </c>
      <c r="CCK16" s="314" t="s">
        <v>203</v>
      </c>
      <c r="CCL16" s="314" t="s">
        <v>203</v>
      </c>
      <c r="CCM16" s="314" t="s">
        <v>203</v>
      </c>
      <c r="CCN16" s="314" t="s">
        <v>203</v>
      </c>
      <c r="CCO16" s="314" t="s">
        <v>203</v>
      </c>
      <c r="CCP16" s="314" t="s">
        <v>203</v>
      </c>
      <c r="CCQ16" s="314" t="s">
        <v>203</v>
      </c>
      <c r="CCR16" s="314" t="s">
        <v>203</v>
      </c>
      <c r="CCS16" s="314" t="s">
        <v>203</v>
      </c>
      <c r="CCT16" s="314" t="s">
        <v>203</v>
      </c>
      <c r="CCU16" s="314" t="s">
        <v>203</v>
      </c>
      <c r="CCV16" s="314" t="s">
        <v>203</v>
      </c>
      <c r="CCW16" s="314" t="s">
        <v>203</v>
      </c>
      <c r="CCX16" s="314" t="s">
        <v>203</v>
      </c>
      <c r="CCY16" s="314" t="s">
        <v>203</v>
      </c>
      <c r="CCZ16" s="314" t="s">
        <v>203</v>
      </c>
      <c r="CDA16" s="314" t="s">
        <v>203</v>
      </c>
      <c r="CDB16" s="314" t="s">
        <v>203</v>
      </c>
      <c r="CDC16" s="314" t="s">
        <v>203</v>
      </c>
      <c r="CDD16" s="314" t="s">
        <v>203</v>
      </c>
      <c r="CDE16" s="314" t="s">
        <v>203</v>
      </c>
      <c r="CDF16" s="314" t="s">
        <v>203</v>
      </c>
      <c r="CDG16" s="314" t="s">
        <v>203</v>
      </c>
      <c r="CDH16" s="314" t="s">
        <v>203</v>
      </c>
      <c r="CDI16" s="314" t="s">
        <v>203</v>
      </c>
      <c r="CDJ16" s="314" t="s">
        <v>203</v>
      </c>
      <c r="CDK16" s="314" t="s">
        <v>203</v>
      </c>
      <c r="CDL16" s="314" t="s">
        <v>203</v>
      </c>
      <c r="CDM16" s="314" t="s">
        <v>203</v>
      </c>
      <c r="CDN16" s="314" t="s">
        <v>203</v>
      </c>
      <c r="CDO16" s="314" t="s">
        <v>203</v>
      </c>
      <c r="CDP16" s="314" t="s">
        <v>203</v>
      </c>
      <c r="CDQ16" s="314" t="s">
        <v>203</v>
      </c>
      <c r="CDR16" s="314" t="s">
        <v>203</v>
      </c>
      <c r="CDS16" s="314" t="s">
        <v>203</v>
      </c>
      <c r="CDT16" s="314" t="s">
        <v>203</v>
      </c>
      <c r="CDU16" s="314" t="s">
        <v>203</v>
      </c>
      <c r="CDV16" s="314" t="s">
        <v>203</v>
      </c>
      <c r="CDW16" s="314" t="s">
        <v>203</v>
      </c>
      <c r="CDX16" s="314" t="s">
        <v>203</v>
      </c>
      <c r="CDY16" s="314" t="s">
        <v>203</v>
      </c>
      <c r="CDZ16" s="314" t="s">
        <v>203</v>
      </c>
      <c r="CEA16" s="314" t="s">
        <v>203</v>
      </c>
      <c r="CEB16" s="314" t="s">
        <v>203</v>
      </c>
      <c r="CEC16" s="314" t="s">
        <v>203</v>
      </c>
      <c r="CED16" s="314" t="s">
        <v>203</v>
      </c>
      <c r="CEE16" s="314" t="s">
        <v>203</v>
      </c>
      <c r="CEF16" s="314" t="s">
        <v>203</v>
      </c>
      <c r="CEG16" s="314" t="s">
        <v>203</v>
      </c>
      <c r="CEH16" s="314" t="s">
        <v>203</v>
      </c>
      <c r="CEI16" s="314" t="s">
        <v>203</v>
      </c>
      <c r="CEJ16" s="314" t="s">
        <v>203</v>
      </c>
      <c r="CEK16" s="314" t="s">
        <v>203</v>
      </c>
      <c r="CEL16" s="314" t="s">
        <v>203</v>
      </c>
      <c r="CEM16" s="314" t="s">
        <v>203</v>
      </c>
      <c r="CEN16" s="314" t="s">
        <v>203</v>
      </c>
      <c r="CEO16" s="314" t="s">
        <v>203</v>
      </c>
      <c r="CEP16" s="314" t="s">
        <v>203</v>
      </c>
      <c r="CEQ16" s="314" t="s">
        <v>203</v>
      </c>
      <c r="CER16" s="314" t="s">
        <v>203</v>
      </c>
      <c r="CES16" s="314" t="s">
        <v>203</v>
      </c>
      <c r="CET16" s="314" t="s">
        <v>203</v>
      </c>
      <c r="CEU16" s="314" t="s">
        <v>203</v>
      </c>
      <c r="CEV16" s="314" t="s">
        <v>203</v>
      </c>
      <c r="CEW16" s="314" t="s">
        <v>203</v>
      </c>
      <c r="CEX16" s="314" t="s">
        <v>203</v>
      </c>
      <c r="CEY16" s="314" t="s">
        <v>203</v>
      </c>
      <c r="CEZ16" s="314" t="s">
        <v>203</v>
      </c>
      <c r="CFA16" s="314" t="s">
        <v>203</v>
      </c>
      <c r="CFB16" s="314" t="s">
        <v>203</v>
      </c>
      <c r="CFC16" s="314" t="s">
        <v>203</v>
      </c>
      <c r="CFD16" s="314" t="s">
        <v>203</v>
      </c>
      <c r="CFE16" s="314" t="s">
        <v>203</v>
      </c>
      <c r="CFF16" s="314" t="s">
        <v>203</v>
      </c>
      <c r="CFG16" s="314" t="s">
        <v>203</v>
      </c>
      <c r="CFH16" s="314" t="s">
        <v>203</v>
      </c>
      <c r="CFI16" s="314" t="s">
        <v>203</v>
      </c>
      <c r="CFJ16" s="314" t="s">
        <v>203</v>
      </c>
      <c r="CFK16" s="314" t="s">
        <v>203</v>
      </c>
      <c r="CFL16" s="314" t="s">
        <v>203</v>
      </c>
      <c r="CFM16" s="314" t="s">
        <v>203</v>
      </c>
      <c r="CFN16" s="314" t="s">
        <v>203</v>
      </c>
      <c r="CFO16" s="314" t="s">
        <v>203</v>
      </c>
      <c r="CFP16" s="314" t="s">
        <v>203</v>
      </c>
      <c r="CFQ16" s="314" t="s">
        <v>203</v>
      </c>
      <c r="CFR16" s="314" t="s">
        <v>203</v>
      </c>
      <c r="CFS16" s="314" t="s">
        <v>203</v>
      </c>
      <c r="CFT16" s="314" t="s">
        <v>203</v>
      </c>
      <c r="CFU16" s="314" t="s">
        <v>203</v>
      </c>
      <c r="CFV16" s="314" t="s">
        <v>203</v>
      </c>
      <c r="CFW16" s="314" t="s">
        <v>203</v>
      </c>
      <c r="CFX16" s="314" t="s">
        <v>203</v>
      </c>
      <c r="CFY16" s="314" t="s">
        <v>203</v>
      </c>
      <c r="CFZ16" s="314" t="s">
        <v>203</v>
      </c>
      <c r="CGA16" s="314" t="s">
        <v>203</v>
      </c>
      <c r="CGB16" s="314" t="s">
        <v>203</v>
      </c>
      <c r="CGC16" s="314" t="s">
        <v>203</v>
      </c>
      <c r="CGD16" s="314" t="s">
        <v>203</v>
      </c>
      <c r="CGE16" s="314" t="s">
        <v>203</v>
      </c>
      <c r="CGF16" s="314" t="s">
        <v>203</v>
      </c>
      <c r="CGG16" s="314" t="s">
        <v>203</v>
      </c>
      <c r="CGH16" s="314" t="s">
        <v>203</v>
      </c>
      <c r="CGI16" s="314" t="s">
        <v>203</v>
      </c>
      <c r="CGJ16" s="314" t="s">
        <v>203</v>
      </c>
      <c r="CGK16" s="314" t="s">
        <v>203</v>
      </c>
      <c r="CGL16" s="314" t="s">
        <v>203</v>
      </c>
      <c r="CGM16" s="314" t="s">
        <v>203</v>
      </c>
      <c r="CGN16" s="314" t="s">
        <v>203</v>
      </c>
      <c r="CGO16" s="314" t="s">
        <v>203</v>
      </c>
      <c r="CGP16" s="314" t="s">
        <v>203</v>
      </c>
      <c r="CGQ16" s="314" t="s">
        <v>203</v>
      </c>
      <c r="CGR16" s="314" t="s">
        <v>203</v>
      </c>
      <c r="CGS16" s="314" t="s">
        <v>203</v>
      </c>
      <c r="CGT16" s="314" t="s">
        <v>203</v>
      </c>
      <c r="CGU16" s="314" t="s">
        <v>203</v>
      </c>
      <c r="CGV16" s="314" t="s">
        <v>203</v>
      </c>
      <c r="CGW16" s="314" t="s">
        <v>203</v>
      </c>
      <c r="CGX16" s="314" t="s">
        <v>203</v>
      </c>
      <c r="CGY16" s="314" t="s">
        <v>203</v>
      </c>
      <c r="CGZ16" s="314" t="s">
        <v>203</v>
      </c>
      <c r="CHA16" s="314" t="s">
        <v>203</v>
      </c>
      <c r="CHB16" s="314" t="s">
        <v>203</v>
      </c>
      <c r="CHC16" s="314" t="s">
        <v>203</v>
      </c>
      <c r="CHD16" s="314" t="s">
        <v>203</v>
      </c>
      <c r="CHE16" s="314" t="s">
        <v>203</v>
      </c>
      <c r="CHF16" s="314" t="s">
        <v>203</v>
      </c>
      <c r="CHG16" s="314" t="s">
        <v>203</v>
      </c>
      <c r="CHH16" s="314" t="s">
        <v>203</v>
      </c>
      <c r="CHI16" s="314" t="s">
        <v>203</v>
      </c>
      <c r="CHJ16" s="314" t="s">
        <v>203</v>
      </c>
      <c r="CHK16" s="314" t="s">
        <v>203</v>
      </c>
      <c r="CHL16" s="314" t="s">
        <v>203</v>
      </c>
      <c r="CHM16" s="314" t="s">
        <v>203</v>
      </c>
      <c r="CHN16" s="314" t="s">
        <v>203</v>
      </c>
      <c r="CHO16" s="314" t="s">
        <v>203</v>
      </c>
      <c r="CHP16" s="314" t="s">
        <v>203</v>
      </c>
      <c r="CHQ16" s="314" t="s">
        <v>203</v>
      </c>
      <c r="CHR16" s="314" t="s">
        <v>203</v>
      </c>
      <c r="CHS16" s="314" t="s">
        <v>203</v>
      </c>
      <c r="CHT16" s="314" t="s">
        <v>203</v>
      </c>
      <c r="CHU16" s="314" t="s">
        <v>203</v>
      </c>
      <c r="CHV16" s="314" t="s">
        <v>203</v>
      </c>
      <c r="CHW16" s="314" t="s">
        <v>203</v>
      </c>
      <c r="CHX16" s="314" t="s">
        <v>203</v>
      </c>
      <c r="CHY16" s="314" t="s">
        <v>203</v>
      </c>
      <c r="CHZ16" s="314" t="s">
        <v>203</v>
      </c>
      <c r="CIA16" s="314" t="s">
        <v>203</v>
      </c>
      <c r="CIB16" s="314" t="s">
        <v>203</v>
      </c>
      <c r="CIC16" s="314" t="s">
        <v>203</v>
      </c>
      <c r="CID16" s="314" t="s">
        <v>203</v>
      </c>
      <c r="CIE16" s="314" t="s">
        <v>203</v>
      </c>
      <c r="CIF16" s="314" t="s">
        <v>203</v>
      </c>
      <c r="CIG16" s="314" t="s">
        <v>203</v>
      </c>
      <c r="CIH16" s="314" t="s">
        <v>203</v>
      </c>
      <c r="CII16" s="314" t="s">
        <v>203</v>
      </c>
      <c r="CIJ16" s="314" t="s">
        <v>203</v>
      </c>
      <c r="CIK16" s="314" t="s">
        <v>203</v>
      </c>
      <c r="CIL16" s="314" t="s">
        <v>203</v>
      </c>
      <c r="CIM16" s="314" t="s">
        <v>203</v>
      </c>
      <c r="CIN16" s="314" t="s">
        <v>203</v>
      </c>
      <c r="CIO16" s="314" t="s">
        <v>203</v>
      </c>
      <c r="CIP16" s="314" t="s">
        <v>203</v>
      </c>
      <c r="CIQ16" s="314" t="s">
        <v>203</v>
      </c>
      <c r="CIR16" s="314" t="s">
        <v>203</v>
      </c>
      <c r="CIS16" s="314" t="s">
        <v>203</v>
      </c>
      <c r="CIT16" s="314" t="s">
        <v>203</v>
      </c>
      <c r="CIU16" s="314" t="s">
        <v>203</v>
      </c>
      <c r="CIV16" s="314" t="s">
        <v>203</v>
      </c>
      <c r="CIW16" s="314" t="s">
        <v>203</v>
      </c>
      <c r="CIX16" s="314" t="s">
        <v>203</v>
      </c>
      <c r="CIY16" s="314" t="s">
        <v>203</v>
      </c>
      <c r="CIZ16" s="314" t="s">
        <v>203</v>
      </c>
      <c r="CJA16" s="314" t="s">
        <v>203</v>
      </c>
      <c r="CJB16" s="314" t="s">
        <v>203</v>
      </c>
      <c r="CJC16" s="314" t="s">
        <v>203</v>
      </c>
      <c r="CJD16" s="314" t="s">
        <v>203</v>
      </c>
      <c r="CJE16" s="314" t="s">
        <v>203</v>
      </c>
      <c r="CJF16" s="314" t="s">
        <v>203</v>
      </c>
      <c r="CJG16" s="314" t="s">
        <v>203</v>
      </c>
      <c r="CJH16" s="314" t="s">
        <v>203</v>
      </c>
      <c r="CJI16" s="314" t="s">
        <v>203</v>
      </c>
      <c r="CJJ16" s="314" t="s">
        <v>203</v>
      </c>
      <c r="CJK16" s="314" t="s">
        <v>203</v>
      </c>
      <c r="CJL16" s="314" t="s">
        <v>203</v>
      </c>
      <c r="CJM16" s="314" t="s">
        <v>203</v>
      </c>
      <c r="CJN16" s="314" t="s">
        <v>203</v>
      </c>
      <c r="CJO16" s="314" t="s">
        <v>203</v>
      </c>
      <c r="CJP16" s="314" t="s">
        <v>203</v>
      </c>
      <c r="CJQ16" s="314" t="s">
        <v>203</v>
      </c>
      <c r="CJR16" s="314" t="s">
        <v>203</v>
      </c>
      <c r="CJS16" s="314" t="s">
        <v>203</v>
      </c>
      <c r="CJT16" s="314" t="s">
        <v>203</v>
      </c>
      <c r="CJU16" s="314" t="s">
        <v>203</v>
      </c>
      <c r="CJV16" s="314" t="s">
        <v>203</v>
      </c>
      <c r="CJW16" s="314" t="s">
        <v>203</v>
      </c>
      <c r="CJX16" s="314" t="s">
        <v>203</v>
      </c>
      <c r="CJY16" s="314" t="s">
        <v>203</v>
      </c>
      <c r="CJZ16" s="314" t="s">
        <v>203</v>
      </c>
      <c r="CKA16" s="314" t="s">
        <v>203</v>
      </c>
      <c r="CKB16" s="314" t="s">
        <v>203</v>
      </c>
      <c r="CKC16" s="314" t="s">
        <v>203</v>
      </c>
      <c r="CKD16" s="314" t="s">
        <v>203</v>
      </c>
      <c r="CKE16" s="314" t="s">
        <v>203</v>
      </c>
      <c r="CKF16" s="314" t="s">
        <v>203</v>
      </c>
      <c r="CKG16" s="314" t="s">
        <v>203</v>
      </c>
      <c r="CKH16" s="314" t="s">
        <v>203</v>
      </c>
      <c r="CKI16" s="314" t="s">
        <v>203</v>
      </c>
      <c r="CKJ16" s="314" t="s">
        <v>203</v>
      </c>
      <c r="CKK16" s="314" t="s">
        <v>203</v>
      </c>
      <c r="CKL16" s="314" t="s">
        <v>203</v>
      </c>
      <c r="CKM16" s="314" t="s">
        <v>203</v>
      </c>
      <c r="CKN16" s="314" t="s">
        <v>203</v>
      </c>
      <c r="CKO16" s="314" t="s">
        <v>203</v>
      </c>
      <c r="CKP16" s="314" t="s">
        <v>203</v>
      </c>
      <c r="CKQ16" s="314" t="s">
        <v>203</v>
      </c>
      <c r="CKR16" s="314" t="s">
        <v>203</v>
      </c>
      <c r="CKS16" s="314" t="s">
        <v>203</v>
      </c>
      <c r="CKT16" s="314" t="s">
        <v>203</v>
      </c>
      <c r="CKU16" s="314" t="s">
        <v>203</v>
      </c>
      <c r="CKV16" s="314" t="s">
        <v>203</v>
      </c>
      <c r="CKW16" s="314" t="s">
        <v>203</v>
      </c>
      <c r="CKX16" s="314" t="s">
        <v>203</v>
      </c>
      <c r="CKY16" s="314" t="s">
        <v>203</v>
      </c>
      <c r="CKZ16" s="314" t="s">
        <v>203</v>
      </c>
      <c r="CLA16" s="314" t="s">
        <v>203</v>
      </c>
      <c r="CLB16" s="314" t="s">
        <v>203</v>
      </c>
      <c r="CLC16" s="314" t="s">
        <v>203</v>
      </c>
      <c r="CLD16" s="314" t="s">
        <v>203</v>
      </c>
      <c r="CLE16" s="314" t="s">
        <v>203</v>
      </c>
      <c r="CLF16" s="314" t="s">
        <v>203</v>
      </c>
      <c r="CLG16" s="314" t="s">
        <v>203</v>
      </c>
      <c r="CLH16" s="314" t="s">
        <v>203</v>
      </c>
      <c r="CLI16" s="314" t="s">
        <v>203</v>
      </c>
      <c r="CLJ16" s="314" t="s">
        <v>203</v>
      </c>
      <c r="CLK16" s="314" t="s">
        <v>203</v>
      </c>
      <c r="CLL16" s="314" t="s">
        <v>203</v>
      </c>
      <c r="CLM16" s="314" t="s">
        <v>203</v>
      </c>
      <c r="CLN16" s="314" t="s">
        <v>203</v>
      </c>
      <c r="CLO16" s="314" t="s">
        <v>203</v>
      </c>
      <c r="CLP16" s="314" t="s">
        <v>203</v>
      </c>
      <c r="CLQ16" s="314" t="s">
        <v>203</v>
      </c>
      <c r="CLR16" s="314" t="s">
        <v>203</v>
      </c>
      <c r="CLS16" s="314" t="s">
        <v>203</v>
      </c>
      <c r="CLT16" s="314" t="s">
        <v>203</v>
      </c>
      <c r="CLU16" s="314" t="s">
        <v>203</v>
      </c>
      <c r="CLV16" s="314" t="s">
        <v>203</v>
      </c>
      <c r="CLW16" s="314" t="s">
        <v>203</v>
      </c>
      <c r="CLX16" s="314" t="s">
        <v>203</v>
      </c>
      <c r="CLY16" s="314" t="s">
        <v>203</v>
      </c>
      <c r="CLZ16" s="314" t="s">
        <v>203</v>
      </c>
      <c r="CMA16" s="314" t="s">
        <v>203</v>
      </c>
      <c r="CMB16" s="314" t="s">
        <v>203</v>
      </c>
      <c r="CMC16" s="314" t="s">
        <v>203</v>
      </c>
      <c r="CMD16" s="314" t="s">
        <v>203</v>
      </c>
      <c r="CME16" s="314" t="s">
        <v>203</v>
      </c>
      <c r="CMF16" s="314" t="s">
        <v>203</v>
      </c>
      <c r="CMG16" s="314" t="s">
        <v>203</v>
      </c>
      <c r="CMH16" s="314" t="s">
        <v>203</v>
      </c>
      <c r="CMI16" s="314" t="s">
        <v>203</v>
      </c>
      <c r="CMJ16" s="314" t="s">
        <v>203</v>
      </c>
      <c r="CMK16" s="314" t="s">
        <v>203</v>
      </c>
      <c r="CML16" s="314" t="s">
        <v>203</v>
      </c>
      <c r="CMM16" s="314" t="s">
        <v>203</v>
      </c>
      <c r="CMN16" s="314" t="s">
        <v>203</v>
      </c>
      <c r="CMO16" s="314" t="s">
        <v>203</v>
      </c>
      <c r="CMP16" s="314" t="s">
        <v>203</v>
      </c>
      <c r="CMQ16" s="314" t="s">
        <v>203</v>
      </c>
      <c r="CMR16" s="314" t="s">
        <v>203</v>
      </c>
      <c r="CMS16" s="314" t="s">
        <v>203</v>
      </c>
      <c r="CMT16" s="314" t="s">
        <v>203</v>
      </c>
      <c r="CMU16" s="314" t="s">
        <v>203</v>
      </c>
      <c r="CMV16" s="314" t="s">
        <v>203</v>
      </c>
      <c r="CMW16" s="314" t="s">
        <v>203</v>
      </c>
      <c r="CMX16" s="314" t="s">
        <v>203</v>
      </c>
      <c r="CMY16" s="314" t="s">
        <v>203</v>
      </c>
      <c r="CMZ16" s="314" t="s">
        <v>203</v>
      </c>
      <c r="CNA16" s="314" t="s">
        <v>203</v>
      </c>
      <c r="CNB16" s="314" t="s">
        <v>203</v>
      </c>
      <c r="CNC16" s="314" t="s">
        <v>203</v>
      </c>
      <c r="CND16" s="314" t="s">
        <v>203</v>
      </c>
      <c r="CNE16" s="314" t="s">
        <v>203</v>
      </c>
      <c r="CNF16" s="314" t="s">
        <v>203</v>
      </c>
      <c r="CNG16" s="314" t="s">
        <v>203</v>
      </c>
      <c r="CNH16" s="314" t="s">
        <v>203</v>
      </c>
      <c r="CNI16" s="314" t="s">
        <v>203</v>
      </c>
      <c r="CNJ16" s="314" t="s">
        <v>203</v>
      </c>
      <c r="CNK16" s="314" t="s">
        <v>203</v>
      </c>
      <c r="CNL16" s="314" t="s">
        <v>203</v>
      </c>
      <c r="CNM16" s="314" t="s">
        <v>203</v>
      </c>
      <c r="CNN16" s="314" t="s">
        <v>203</v>
      </c>
      <c r="CNO16" s="314" t="s">
        <v>203</v>
      </c>
      <c r="CNP16" s="314" t="s">
        <v>203</v>
      </c>
      <c r="CNQ16" s="314" t="s">
        <v>203</v>
      </c>
      <c r="CNR16" s="314" t="s">
        <v>203</v>
      </c>
      <c r="CNS16" s="314" t="s">
        <v>203</v>
      </c>
      <c r="CNT16" s="314" t="s">
        <v>203</v>
      </c>
      <c r="CNU16" s="314" t="s">
        <v>203</v>
      </c>
      <c r="CNV16" s="314" t="s">
        <v>203</v>
      </c>
      <c r="CNW16" s="314" t="s">
        <v>203</v>
      </c>
      <c r="CNX16" s="314" t="s">
        <v>203</v>
      </c>
      <c r="CNY16" s="314" t="s">
        <v>203</v>
      </c>
      <c r="CNZ16" s="314" t="s">
        <v>203</v>
      </c>
      <c r="COA16" s="314" t="s">
        <v>203</v>
      </c>
      <c r="COB16" s="314" t="s">
        <v>203</v>
      </c>
      <c r="COC16" s="314" t="s">
        <v>203</v>
      </c>
      <c r="COD16" s="314" t="s">
        <v>203</v>
      </c>
      <c r="COE16" s="314" t="s">
        <v>203</v>
      </c>
      <c r="COF16" s="314" t="s">
        <v>203</v>
      </c>
      <c r="COG16" s="314" t="s">
        <v>203</v>
      </c>
      <c r="COH16" s="314" t="s">
        <v>203</v>
      </c>
      <c r="COI16" s="314" t="s">
        <v>203</v>
      </c>
      <c r="COJ16" s="314" t="s">
        <v>203</v>
      </c>
      <c r="COK16" s="314" t="s">
        <v>203</v>
      </c>
      <c r="COL16" s="314" t="s">
        <v>203</v>
      </c>
      <c r="COM16" s="314" t="s">
        <v>203</v>
      </c>
      <c r="CON16" s="314" t="s">
        <v>203</v>
      </c>
      <c r="COO16" s="314" t="s">
        <v>203</v>
      </c>
      <c r="COP16" s="314" t="s">
        <v>203</v>
      </c>
      <c r="COQ16" s="314" t="s">
        <v>203</v>
      </c>
      <c r="COR16" s="314" t="s">
        <v>203</v>
      </c>
      <c r="COS16" s="314" t="s">
        <v>203</v>
      </c>
      <c r="COT16" s="314" t="s">
        <v>203</v>
      </c>
      <c r="COU16" s="314" t="s">
        <v>203</v>
      </c>
      <c r="COV16" s="314" t="s">
        <v>203</v>
      </c>
      <c r="COW16" s="314" t="s">
        <v>203</v>
      </c>
      <c r="COX16" s="314" t="s">
        <v>203</v>
      </c>
      <c r="COY16" s="314" t="s">
        <v>203</v>
      </c>
      <c r="COZ16" s="314" t="s">
        <v>203</v>
      </c>
      <c r="CPA16" s="314" t="s">
        <v>203</v>
      </c>
      <c r="CPB16" s="314" t="s">
        <v>203</v>
      </c>
      <c r="CPC16" s="314" t="s">
        <v>203</v>
      </c>
      <c r="CPD16" s="314" t="s">
        <v>203</v>
      </c>
      <c r="CPE16" s="314" t="s">
        <v>203</v>
      </c>
      <c r="CPF16" s="314" t="s">
        <v>203</v>
      </c>
      <c r="CPG16" s="314" t="s">
        <v>203</v>
      </c>
      <c r="CPH16" s="314" t="s">
        <v>203</v>
      </c>
      <c r="CPI16" s="314" t="s">
        <v>203</v>
      </c>
      <c r="CPJ16" s="314" t="s">
        <v>203</v>
      </c>
      <c r="CPK16" s="314" t="s">
        <v>203</v>
      </c>
      <c r="CPL16" s="314" t="s">
        <v>203</v>
      </c>
      <c r="CPM16" s="314" t="s">
        <v>203</v>
      </c>
      <c r="CPN16" s="314" t="s">
        <v>203</v>
      </c>
      <c r="CPO16" s="314" t="s">
        <v>203</v>
      </c>
      <c r="CPP16" s="314" t="s">
        <v>203</v>
      </c>
      <c r="CPQ16" s="314" t="s">
        <v>203</v>
      </c>
      <c r="CPR16" s="314" t="s">
        <v>203</v>
      </c>
      <c r="CPS16" s="314" t="s">
        <v>203</v>
      </c>
      <c r="CPT16" s="314" t="s">
        <v>203</v>
      </c>
      <c r="CPU16" s="314" t="s">
        <v>203</v>
      </c>
      <c r="CPV16" s="314" t="s">
        <v>203</v>
      </c>
      <c r="CPW16" s="314" t="s">
        <v>203</v>
      </c>
      <c r="CPX16" s="314" t="s">
        <v>203</v>
      </c>
      <c r="CPY16" s="314" t="s">
        <v>203</v>
      </c>
      <c r="CPZ16" s="314" t="s">
        <v>203</v>
      </c>
      <c r="CQA16" s="314" t="s">
        <v>203</v>
      </c>
      <c r="CQB16" s="314" t="s">
        <v>203</v>
      </c>
      <c r="CQC16" s="314" t="s">
        <v>203</v>
      </c>
      <c r="CQD16" s="314" t="s">
        <v>203</v>
      </c>
      <c r="CQE16" s="314" t="s">
        <v>203</v>
      </c>
      <c r="CQF16" s="314" t="s">
        <v>203</v>
      </c>
      <c r="CQG16" s="314" t="s">
        <v>203</v>
      </c>
      <c r="CQH16" s="314" t="s">
        <v>203</v>
      </c>
      <c r="CQI16" s="314" t="s">
        <v>203</v>
      </c>
      <c r="CQJ16" s="314" t="s">
        <v>203</v>
      </c>
      <c r="CQK16" s="314" t="s">
        <v>203</v>
      </c>
      <c r="CQL16" s="314" t="s">
        <v>203</v>
      </c>
      <c r="CQM16" s="314" t="s">
        <v>203</v>
      </c>
      <c r="CQN16" s="314" t="s">
        <v>203</v>
      </c>
      <c r="CQO16" s="314" t="s">
        <v>203</v>
      </c>
      <c r="CQP16" s="314" t="s">
        <v>203</v>
      </c>
      <c r="CQQ16" s="314" t="s">
        <v>203</v>
      </c>
      <c r="CQR16" s="314" t="s">
        <v>203</v>
      </c>
      <c r="CQS16" s="314" t="s">
        <v>203</v>
      </c>
      <c r="CQT16" s="314" t="s">
        <v>203</v>
      </c>
      <c r="CQU16" s="314" t="s">
        <v>203</v>
      </c>
      <c r="CQV16" s="314" t="s">
        <v>203</v>
      </c>
      <c r="CQW16" s="314" t="s">
        <v>203</v>
      </c>
      <c r="CQX16" s="314" t="s">
        <v>203</v>
      </c>
      <c r="CQY16" s="314" t="s">
        <v>203</v>
      </c>
      <c r="CQZ16" s="314" t="s">
        <v>203</v>
      </c>
      <c r="CRA16" s="314" t="s">
        <v>203</v>
      </c>
      <c r="CRB16" s="314" t="s">
        <v>203</v>
      </c>
      <c r="CRC16" s="314" t="s">
        <v>203</v>
      </c>
      <c r="CRD16" s="314" t="s">
        <v>203</v>
      </c>
      <c r="CRE16" s="314" t="s">
        <v>203</v>
      </c>
      <c r="CRF16" s="314" t="s">
        <v>203</v>
      </c>
      <c r="CRG16" s="314" t="s">
        <v>203</v>
      </c>
      <c r="CRH16" s="314" t="s">
        <v>203</v>
      </c>
      <c r="CRI16" s="314" t="s">
        <v>203</v>
      </c>
      <c r="CRJ16" s="314" t="s">
        <v>203</v>
      </c>
      <c r="CRK16" s="314" t="s">
        <v>203</v>
      </c>
      <c r="CRL16" s="314" t="s">
        <v>203</v>
      </c>
      <c r="CRM16" s="314" t="s">
        <v>203</v>
      </c>
      <c r="CRN16" s="314" t="s">
        <v>203</v>
      </c>
      <c r="CRO16" s="314" t="s">
        <v>203</v>
      </c>
      <c r="CRP16" s="314" t="s">
        <v>203</v>
      </c>
      <c r="CRQ16" s="314" t="s">
        <v>203</v>
      </c>
      <c r="CRR16" s="314" t="s">
        <v>203</v>
      </c>
      <c r="CRS16" s="314" t="s">
        <v>203</v>
      </c>
      <c r="CRT16" s="314" t="s">
        <v>203</v>
      </c>
      <c r="CRU16" s="314" t="s">
        <v>203</v>
      </c>
      <c r="CRV16" s="314" t="s">
        <v>203</v>
      </c>
      <c r="CRW16" s="314" t="s">
        <v>203</v>
      </c>
      <c r="CRX16" s="314" t="s">
        <v>203</v>
      </c>
      <c r="CRY16" s="314" t="s">
        <v>203</v>
      </c>
      <c r="CRZ16" s="314" t="s">
        <v>203</v>
      </c>
      <c r="CSA16" s="314" t="s">
        <v>203</v>
      </c>
      <c r="CSB16" s="314" t="s">
        <v>203</v>
      </c>
      <c r="CSC16" s="314" t="s">
        <v>203</v>
      </c>
      <c r="CSD16" s="314" t="s">
        <v>203</v>
      </c>
      <c r="CSE16" s="314" t="s">
        <v>203</v>
      </c>
      <c r="CSF16" s="314" t="s">
        <v>203</v>
      </c>
      <c r="CSG16" s="314" t="s">
        <v>203</v>
      </c>
      <c r="CSH16" s="314" t="s">
        <v>203</v>
      </c>
      <c r="CSI16" s="314" t="s">
        <v>203</v>
      </c>
      <c r="CSJ16" s="314" t="s">
        <v>203</v>
      </c>
      <c r="CSK16" s="314" t="s">
        <v>203</v>
      </c>
      <c r="CSL16" s="314" t="s">
        <v>203</v>
      </c>
      <c r="CSM16" s="314" t="s">
        <v>203</v>
      </c>
      <c r="CSN16" s="314" t="s">
        <v>203</v>
      </c>
      <c r="CSO16" s="314" t="s">
        <v>203</v>
      </c>
      <c r="CSP16" s="314" t="s">
        <v>203</v>
      </c>
      <c r="CSQ16" s="314" t="s">
        <v>203</v>
      </c>
      <c r="CSR16" s="314" t="s">
        <v>203</v>
      </c>
      <c r="CSS16" s="314" t="s">
        <v>203</v>
      </c>
      <c r="CST16" s="314" t="s">
        <v>203</v>
      </c>
      <c r="CSU16" s="314" t="s">
        <v>203</v>
      </c>
      <c r="CSV16" s="314" t="s">
        <v>203</v>
      </c>
      <c r="CSW16" s="314" t="s">
        <v>203</v>
      </c>
      <c r="CSX16" s="314" t="s">
        <v>203</v>
      </c>
      <c r="CSY16" s="314" t="s">
        <v>203</v>
      </c>
      <c r="CSZ16" s="314" t="s">
        <v>203</v>
      </c>
      <c r="CTA16" s="314" t="s">
        <v>203</v>
      </c>
      <c r="CTB16" s="314" t="s">
        <v>203</v>
      </c>
      <c r="CTC16" s="314" t="s">
        <v>203</v>
      </c>
      <c r="CTD16" s="314" t="s">
        <v>203</v>
      </c>
      <c r="CTE16" s="314" t="s">
        <v>203</v>
      </c>
      <c r="CTF16" s="314" t="s">
        <v>203</v>
      </c>
      <c r="CTG16" s="314" t="s">
        <v>203</v>
      </c>
      <c r="CTH16" s="314" t="s">
        <v>203</v>
      </c>
      <c r="CTI16" s="314" t="s">
        <v>203</v>
      </c>
      <c r="CTJ16" s="314" t="s">
        <v>203</v>
      </c>
      <c r="CTK16" s="314" t="s">
        <v>203</v>
      </c>
      <c r="CTL16" s="314" t="s">
        <v>203</v>
      </c>
      <c r="CTM16" s="314" t="s">
        <v>203</v>
      </c>
      <c r="CTN16" s="314" t="s">
        <v>203</v>
      </c>
      <c r="CTO16" s="314" t="s">
        <v>203</v>
      </c>
      <c r="CTP16" s="314" t="s">
        <v>203</v>
      </c>
      <c r="CTQ16" s="314" t="s">
        <v>203</v>
      </c>
      <c r="CTR16" s="314" t="s">
        <v>203</v>
      </c>
      <c r="CTS16" s="314" t="s">
        <v>203</v>
      </c>
      <c r="CTT16" s="314" t="s">
        <v>203</v>
      </c>
      <c r="CTU16" s="314" t="s">
        <v>203</v>
      </c>
      <c r="CTV16" s="314" t="s">
        <v>203</v>
      </c>
      <c r="CTW16" s="314" t="s">
        <v>203</v>
      </c>
      <c r="CTX16" s="314" t="s">
        <v>203</v>
      </c>
      <c r="CTY16" s="314" t="s">
        <v>203</v>
      </c>
      <c r="CTZ16" s="314" t="s">
        <v>203</v>
      </c>
      <c r="CUA16" s="314" t="s">
        <v>203</v>
      </c>
      <c r="CUB16" s="314" t="s">
        <v>203</v>
      </c>
      <c r="CUC16" s="314" t="s">
        <v>203</v>
      </c>
      <c r="CUD16" s="314" t="s">
        <v>203</v>
      </c>
      <c r="CUE16" s="314" t="s">
        <v>203</v>
      </c>
      <c r="CUF16" s="314" t="s">
        <v>203</v>
      </c>
      <c r="CUG16" s="314" t="s">
        <v>203</v>
      </c>
      <c r="CUH16" s="314" t="s">
        <v>203</v>
      </c>
      <c r="CUI16" s="314" t="s">
        <v>203</v>
      </c>
      <c r="CUJ16" s="314" t="s">
        <v>203</v>
      </c>
      <c r="CUK16" s="314" t="s">
        <v>203</v>
      </c>
      <c r="CUL16" s="314" t="s">
        <v>203</v>
      </c>
      <c r="CUM16" s="314" t="s">
        <v>203</v>
      </c>
      <c r="CUN16" s="314" t="s">
        <v>203</v>
      </c>
      <c r="CUO16" s="314" t="s">
        <v>203</v>
      </c>
      <c r="CUP16" s="314" t="s">
        <v>203</v>
      </c>
      <c r="CUQ16" s="314" t="s">
        <v>203</v>
      </c>
      <c r="CUR16" s="314" t="s">
        <v>203</v>
      </c>
      <c r="CUS16" s="314" t="s">
        <v>203</v>
      </c>
      <c r="CUT16" s="314" t="s">
        <v>203</v>
      </c>
      <c r="CUU16" s="314" t="s">
        <v>203</v>
      </c>
      <c r="CUV16" s="314" t="s">
        <v>203</v>
      </c>
      <c r="CUW16" s="314" t="s">
        <v>203</v>
      </c>
      <c r="CUX16" s="314" t="s">
        <v>203</v>
      </c>
      <c r="CUY16" s="314" t="s">
        <v>203</v>
      </c>
      <c r="CUZ16" s="314" t="s">
        <v>203</v>
      </c>
      <c r="CVA16" s="314" t="s">
        <v>203</v>
      </c>
      <c r="CVB16" s="314" t="s">
        <v>203</v>
      </c>
      <c r="CVC16" s="314" t="s">
        <v>203</v>
      </c>
      <c r="CVD16" s="314" t="s">
        <v>203</v>
      </c>
      <c r="CVE16" s="314" t="s">
        <v>203</v>
      </c>
      <c r="CVF16" s="314" t="s">
        <v>203</v>
      </c>
      <c r="CVG16" s="314" t="s">
        <v>203</v>
      </c>
      <c r="CVH16" s="314" t="s">
        <v>203</v>
      </c>
      <c r="CVI16" s="314" t="s">
        <v>203</v>
      </c>
      <c r="CVJ16" s="314" t="s">
        <v>203</v>
      </c>
      <c r="CVK16" s="314" t="s">
        <v>203</v>
      </c>
      <c r="CVL16" s="314" t="s">
        <v>203</v>
      </c>
      <c r="CVM16" s="314" t="s">
        <v>203</v>
      </c>
      <c r="CVN16" s="314" t="s">
        <v>203</v>
      </c>
      <c r="CVO16" s="314" t="s">
        <v>203</v>
      </c>
      <c r="CVP16" s="314" t="s">
        <v>203</v>
      </c>
      <c r="CVQ16" s="314" t="s">
        <v>203</v>
      </c>
      <c r="CVR16" s="314" t="s">
        <v>203</v>
      </c>
      <c r="CVS16" s="314" t="s">
        <v>203</v>
      </c>
      <c r="CVT16" s="314" t="s">
        <v>203</v>
      </c>
      <c r="CVU16" s="314" t="s">
        <v>203</v>
      </c>
      <c r="CVV16" s="314" t="s">
        <v>203</v>
      </c>
      <c r="CVW16" s="314" t="s">
        <v>203</v>
      </c>
      <c r="CVX16" s="314" t="s">
        <v>203</v>
      </c>
      <c r="CVY16" s="314" t="s">
        <v>203</v>
      </c>
      <c r="CVZ16" s="314" t="s">
        <v>203</v>
      </c>
      <c r="CWA16" s="314" t="s">
        <v>203</v>
      </c>
      <c r="CWB16" s="314" t="s">
        <v>203</v>
      </c>
      <c r="CWC16" s="314" t="s">
        <v>203</v>
      </c>
      <c r="CWD16" s="314" t="s">
        <v>203</v>
      </c>
      <c r="CWE16" s="314" t="s">
        <v>203</v>
      </c>
      <c r="CWF16" s="314" t="s">
        <v>203</v>
      </c>
      <c r="CWG16" s="314" t="s">
        <v>203</v>
      </c>
      <c r="CWH16" s="314" t="s">
        <v>203</v>
      </c>
      <c r="CWI16" s="314" t="s">
        <v>203</v>
      </c>
      <c r="CWJ16" s="314" t="s">
        <v>203</v>
      </c>
      <c r="CWK16" s="314" t="s">
        <v>203</v>
      </c>
      <c r="CWL16" s="314" t="s">
        <v>203</v>
      </c>
      <c r="CWM16" s="314" t="s">
        <v>203</v>
      </c>
      <c r="CWN16" s="314" t="s">
        <v>203</v>
      </c>
      <c r="CWO16" s="314" t="s">
        <v>203</v>
      </c>
      <c r="CWP16" s="314" t="s">
        <v>203</v>
      </c>
      <c r="CWQ16" s="314" t="s">
        <v>203</v>
      </c>
      <c r="CWR16" s="314" t="s">
        <v>203</v>
      </c>
      <c r="CWS16" s="314" t="s">
        <v>203</v>
      </c>
      <c r="CWT16" s="314" t="s">
        <v>203</v>
      </c>
      <c r="CWU16" s="314" t="s">
        <v>203</v>
      </c>
      <c r="CWV16" s="314" t="s">
        <v>203</v>
      </c>
      <c r="CWW16" s="314" t="s">
        <v>203</v>
      </c>
      <c r="CWX16" s="314" t="s">
        <v>203</v>
      </c>
      <c r="CWY16" s="314" t="s">
        <v>203</v>
      </c>
      <c r="CWZ16" s="314" t="s">
        <v>203</v>
      </c>
      <c r="CXA16" s="314" t="s">
        <v>203</v>
      </c>
      <c r="CXB16" s="314" t="s">
        <v>203</v>
      </c>
      <c r="CXC16" s="314" t="s">
        <v>203</v>
      </c>
      <c r="CXD16" s="314" t="s">
        <v>203</v>
      </c>
      <c r="CXE16" s="314" t="s">
        <v>203</v>
      </c>
      <c r="CXF16" s="314" t="s">
        <v>203</v>
      </c>
      <c r="CXG16" s="314" t="s">
        <v>203</v>
      </c>
      <c r="CXH16" s="314" t="s">
        <v>203</v>
      </c>
      <c r="CXI16" s="314" t="s">
        <v>203</v>
      </c>
      <c r="CXJ16" s="314" t="s">
        <v>203</v>
      </c>
      <c r="CXK16" s="314" t="s">
        <v>203</v>
      </c>
      <c r="CXL16" s="314" t="s">
        <v>203</v>
      </c>
      <c r="CXM16" s="314" t="s">
        <v>203</v>
      </c>
      <c r="CXN16" s="314" t="s">
        <v>203</v>
      </c>
      <c r="CXO16" s="314" t="s">
        <v>203</v>
      </c>
      <c r="CXP16" s="314" t="s">
        <v>203</v>
      </c>
      <c r="CXQ16" s="314" t="s">
        <v>203</v>
      </c>
      <c r="CXR16" s="314" t="s">
        <v>203</v>
      </c>
      <c r="CXS16" s="314" t="s">
        <v>203</v>
      </c>
      <c r="CXT16" s="314" t="s">
        <v>203</v>
      </c>
      <c r="CXU16" s="314" t="s">
        <v>203</v>
      </c>
      <c r="CXV16" s="314" t="s">
        <v>203</v>
      </c>
      <c r="CXW16" s="314" t="s">
        <v>203</v>
      </c>
      <c r="CXX16" s="314" t="s">
        <v>203</v>
      </c>
      <c r="CXY16" s="314" t="s">
        <v>203</v>
      </c>
      <c r="CXZ16" s="314" t="s">
        <v>203</v>
      </c>
      <c r="CYA16" s="314" t="s">
        <v>203</v>
      </c>
      <c r="CYB16" s="314" t="s">
        <v>203</v>
      </c>
      <c r="CYC16" s="314" t="s">
        <v>203</v>
      </c>
      <c r="CYD16" s="314" t="s">
        <v>203</v>
      </c>
      <c r="CYE16" s="314" t="s">
        <v>203</v>
      </c>
      <c r="CYF16" s="314" t="s">
        <v>203</v>
      </c>
      <c r="CYG16" s="314" t="s">
        <v>203</v>
      </c>
      <c r="CYH16" s="314" t="s">
        <v>203</v>
      </c>
      <c r="CYI16" s="314" t="s">
        <v>203</v>
      </c>
      <c r="CYJ16" s="314" t="s">
        <v>203</v>
      </c>
      <c r="CYK16" s="314" t="s">
        <v>203</v>
      </c>
      <c r="CYL16" s="314" t="s">
        <v>203</v>
      </c>
      <c r="CYM16" s="314" t="s">
        <v>203</v>
      </c>
      <c r="CYN16" s="314" t="s">
        <v>203</v>
      </c>
      <c r="CYO16" s="314" t="s">
        <v>203</v>
      </c>
      <c r="CYP16" s="314" t="s">
        <v>203</v>
      </c>
      <c r="CYQ16" s="314" t="s">
        <v>203</v>
      </c>
      <c r="CYR16" s="314" t="s">
        <v>203</v>
      </c>
      <c r="CYS16" s="314" t="s">
        <v>203</v>
      </c>
      <c r="CYT16" s="314" t="s">
        <v>203</v>
      </c>
      <c r="CYU16" s="314" t="s">
        <v>203</v>
      </c>
      <c r="CYV16" s="314" t="s">
        <v>203</v>
      </c>
      <c r="CYW16" s="314" t="s">
        <v>203</v>
      </c>
      <c r="CYX16" s="314" t="s">
        <v>203</v>
      </c>
      <c r="CYY16" s="314" t="s">
        <v>203</v>
      </c>
      <c r="CYZ16" s="314" t="s">
        <v>203</v>
      </c>
      <c r="CZA16" s="314" t="s">
        <v>203</v>
      </c>
      <c r="CZB16" s="314" t="s">
        <v>203</v>
      </c>
      <c r="CZC16" s="314" t="s">
        <v>203</v>
      </c>
      <c r="CZD16" s="314" t="s">
        <v>203</v>
      </c>
      <c r="CZE16" s="314" t="s">
        <v>203</v>
      </c>
      <c r="CZF16" s="314" t="s">
        <v>203</v>
      </c>
      <c r="CZG16" s="314" t="s">
        <v>203</v>
      </c>
      <c r="CZH16" s="314" t="s">
        <v>203</v>
      </c>
      <c r="CZI16" s="314" t="s">
        <v>203</v>
      </c>
      <c r="CZJ16" s="314" t="s">
        <v>203</v>
      </c>
      <c r="CZK16" s="314" t="s">
        <v>203</v>
      </c>
      <c r="CZL16" s="314" t="s">
        <v>203</v>
      </c>
      <c r="CZM16" s="314" t="s">
        <v>203</v>
      </c>
      <c r="CZN16" s="314" t="s">
        <v>203</v>
      </c>
      <c r="CZO16" s="314" t="s">
        <v>203</v>
      </c>
      <c r="CZP16" s="314" t="s">
        <v>203</v>
      </c>
      <c r="CZQ16" s="314" t="s">
        <v>203</v>
      </c>
      <c r="CZR16" s="314" t="s">
        <v>203</v>
      </c>
      <c r="CZS16" s="314" t="s">
        <v>203</v>
      </c>
      <c r="CZT16" s="314" t="s">
        <v>203</v>
      </c>
      <c r="CZU16" s="314" t="s">
        <v>203</v>
      </c>
      <c r="CZV16" s="314" t="s">
        <v>203</v>
      </c>
      <c r="CZW16" s="314" t="s">
        <v>203</v>
      </c>
      <c r="CZX16" s="314" t="s">
        <v>203</v>
      </c>
      <c r="CZY16" s="314" t="s">
        <v>203</v>
      </c>
      <c r="CZZ16" s="314" t="s">
        <v>203</v>
      </c>
      <c r="DAA16" s="314" t="s">
        <v>203</v>
      </c>
      <c r="DAB16" s="314" t="s">
        <v>203</v>
      </c>
      <c r="DAC16" s="314" t="s">
        <v>203</v>
      </c>
      <c r="DAD16" s="314" t="s">
        <v>203</v>
      </c>
      <c r="DAE16" s="314" t="s">
        <v>203</v>
      </c>
      <c r="DAF16" s="314" t="s">
        <v>203</v>
      </c>
      <c r="DAG16" s="314" t="s">
        <v>203</v>
      </c>
      <c r="DAH16" s="314" t="s">
        <v>203</v>
      </c>
      <c r="DAI16" s="314" t="s">
        <v>203</v>
      </c>
      <c r="DAJ16" s="314" t="s">
        <v>203</v>
      </c>
      <c r="DAK16" s="314" t="s">
        <v>203</v>
      </c>
      <c r="DAL16" s="314" t="s">
        <v>203</v>
      </c>
      <c r="DAM16" s="314" t="s">
        <v>203</v>
      </c>
      <c r="DAN16" s="314" t="s">
        <v>203</v>
      </c>
      <c r="DAO16" s="314" t="s">
        <v>203</v>
      </c>
      <c r="DAP16" s="314" t="s">
        <v>203</v>
      </c>
      <c r="DAQ16" s="314" t="s">
        <v>203</v>
      </c>
      <c r="DAR16" s="314" t="s">
        <v>203</v>
      </c>
      <c r="DAS16" s="314" t="s">
        <v>203</v>
      </c>
      <c r="DAT16" s="314" t="s">
        <v>203</v>
      </c>
      <c r="DAU16" s="314" t="s">
        <v>203</v>
      </c>
      <c r="DAV16" s="314" t="s">
        <v>203</v>
      </c>
      <c r="DAW16" s="314" t="s">
        <v>203</v>
      </c>
      <c r="DAX16" s="314" t="s">
        <v>203</v>
      </c>
      <c r="DAY16" s="314" t="s">
        <v>203</v>
      </c>
      <c r="DAZ16" s="314" t="s">
        <v>203</v>
      </c>
      <c r="DBA16" s="314" t="s">
        <v>203</v>
      </c>
      <c r="DBB16" s="314" t="s">
        <v>203</v>
      </c>
      <c r="DBC16" s="314" t="s">
        <v>203</v>
      </c>
      <c r="DBD16" s="314" t="s">
        <v>203</v>
      </c>
      <c r="DBE16" s="314" t="s">
        <v>203</v>
      </c>
      <c r="DBF16" s="314" t="s">
        <v>203</v>
      </c>
      <c r="DBG16" s="314" t="s">
        <v>203</v>
      </c>
      <c r="DBH16" s="314" t="s">
        <v>203</v>
      </c>
      <c r="DBI16" s="314" t="s">
        <v>203</v>
      </c>
      <c r="DBJ16" s="314" t="s">
        <v>203</v>
      </c>
      <c r="DBK16" s="314" t="s">
        <v>203</v>
      </c>
      <c r="DBL16" s="314" t="s">
        <v>203</v>
      </c>
      <c r="DBM16" s="314" t="s">
        <v>203</v>
      </c>
      <c r="DBN16" s="314" t="s">
        <v>203</v>
      </c>
      <c r="DBO16" s="314" t="s">
        <v>203</v>
      </c>
      <c r="DBP16" s="314" t="s">
        <v>203</v>
      </c>
      <c r="DBQ16" s="314" t="s">
        <v>203</v>
      </c>
      <c r="DBR16" s="314" t="s">
        <v>203</v>
      </c>
      <c r="DBS16" s="314" t="s">
        <v>203</v>
      </c>
      <c r="DBT16" s="314" t="s">
        <v>203</v>
      </c>
      <c r="DBU16" s="314" t="s">
        <v>203</v>
      </c>
      <c r="DBV16" s="314" t="s">
        <v>203</v>
      </c>
      <c r="DBW16" s="314" t="s">
        <v>203</v>
      </c>
      <c r="DBX16" s="314" t="s">
        <v>203</v>
      </c>
      <c r="DBY16" s="314" t="s">
        <v>203</v>
      </c>
      <c r="DBZ16" s="314" t="s">
        <v>203</v>
      </c>
      <c r="DCA16" s="314" t="s">
        <v>203</v>
      </c>
      <c r="DCB16" s="314" t="s">
        <v>203</v>
      </c>
      <c r="DCC16" s="314" t="s">
        <v>203</v>
      </c>
      <c r="DCD16" s="314" t="s">
        <v>203</v>
      </c>
      <c r="DCE16" s="314" t="s">
        <v>203</v>
      </c>
      <c r="DCF16" s="314" t="s">
        <v>203</v>
      </c>
      <c r="DCG16" s="314" t="s">
        <v>203</v>
      </c>
      <c r="DCH16" s="314" t="s">
        <v>203</v>
      </c>
      <c r="DCI16" s="314" t="s">
        <v>203</v>
      </c>
      <c r="DCJ16" s="314" t="s">
        <v>203</v>
      </c>
      <c r="DCK16" s="314" t="s">
        <v>203</v>
      </c>
      <c r="DCL16" s="314" t="s">
        <v>203</v>
      </c>
      <c r="DCM16" s="314" t="s">
        <v>203</v>
      </c>
      <c r="DCN16" s="314" t="s">
        <v>203</v>
      </c>
      <c r="DCO16" s="314" t="s">
        <v>203</v>
      </c>
      <c r="DCP16" s="314" t="s">
        <v>203</v>
      </c>
      <c r="DCQ16" s="314" t="s">
        <v>203</v>
      </c>
      <c r="DCR16" s="314" t="s">
        <v>203</v>
      </c>
      <c r="DCS16" s="314" t="s">
        <v>203</v>
      </c>
      <c r="DCT16" s="314" t="s">
        <v>203</v>
      </c>
      <c r="DCU16" s="314" t="s">
        <v>203</v>
      </c>
      <c r="DCV16" s="314" t="s">
        <v>203</v>
      </c>
      <c r="DCW16" s="314" t="s">
        <v>203</v>
      </c>
      <c r="DCX16" s="314" t="s">
        <v>203</v>
      </c>
      <c r="DCY16" s="314" t="s">
        <v>203</v>
      </c>
      <c r="DCZ16" s="314" t="s">
        <v>203</v>
      </c>
      <c r="DDA16" s="314" t="s">
        <v>203</v>
      </c>
      <c r="DDB16" s="314" t="s">
        <v>203</v>
      </c>
      <c r="DDC16" s="314" t="s">
        <v>203</v>
      </c>
      <c r="DDD16" s="314" t="s">
        <v>203</v>
      </c>
      <c r="DDE16" s="314" t="s">
        <v>203</v>
      </c>
      <c r="DDF16" s="314" t="s">
        <v>203</v>
      </c>
      <c r="DDG16" s="314" t="s">
        <v>203</v>
      </c>
      <c r="DDH16" s="314" t="s">
        <v>203</v>
      </c>
      <c r="DDI16" s="314" t="s">
        <v>203</v>
      </c>
      <c r="DDJ16" s="314" t="s">
        <v>203</v>
      </c>
      <c r="DDK16" s="314" t="s">
        <v>203</v>
      </c>
      <c r="DDL16" s="314" t="s">
        <v>203</v>
      </c>
      <c r="DDM16" s="314" t="s">
        <v>203</v>
      </c>
      <c r="DDN16" s="314" t="s">
        <v>203</v>
      </c>
      <c r="DDO16" s="314" t="s">
        <v>203</v>
      </c>
      <c r="DDP16" s="314" t="s">
        <v>203</v>
      </c>
      <c r="DDQ16" s="314" t="s">
        <v>203</v>
      </c>
      <c r="DDR16" s="314" t="s">
        <v>203</v>
      </c>
      <c r="DDS16" s="314" t="s">
        <v>203</v>
      </c>
      <c r="DDT16" s="314" t="s">
        <v>203</v>
      </c>
      <c r="DDU16" s="314" t="s">
        <v>203</v>
      </c>
      <c r="DDV16" s="314" t="s">
        <v>203</v>
      </c>
      <c r="DDW16" s="314" t="s">
        <v>203</v>
      </c>
      <c r="DDX16" s="314" t="s">
        <v>203</v>
      </c>
      <c r="DDY16" s="314" t="s">
        <v>203</v>
      </c>
      <c r="DDZ16" s="314" t="s">
        <v>203</v>
      </c>
      <c r="DEA16" s="314" t="s">
        <v>203</v>
      </c>
      <c r="DEB16" s="314" t="s">
        <v>203</v>
      </c>
      <c r="DEC16" s="314" t="s">
        <v>203</v>
      </c>
      <c r="DED16" s="314" t="s">
        <v>203</v>
      </c>
      <c r="DEE16" s="314" t="s">
        <v>203</v>
      </c>
      <c r="DEF16" s="314" t="s">
        <v>203</v>
      </c>
      <c r="DEG16" s="314" t="s">
        <v>203</v>
      </c>
      <c r="DEH16" s="314" t="s">
        <v>203</v>
      </c>
      <c r="DEI16" s="314" t="s">
        <v>203</v>
      </c>
      <c r="DEJ16" s="314" t="s">
        <v>203</v>
      </c>
      <c r="DEK16" s="314" t="s">
        <v>203</v>
      </c>
      <c r="DEL16" s="314" t="s">
        <v>203</v>
      </c>
      <c r="DEM16" s="314" t="s">
        <v>203</v>
      </c>
      <c r="DEN16" s="314" t="s">
        <v>203</v>
      </c>
      <c r="DEO16" s="314" t="s">
        <v>203</v>
      </c>
      <c r="DEP16" s="314" t="s">
        <v>203</v>
      </c>
      <c r="DEQ16" s="314" t="s">
        <v>203</v>
      </c>
      <c r="DER16" s="314" t="s">
        <v>203</v>
      </c>
      <c r="DES16" s="314" t="s">
        <v>203</v>
      </c>
      <c r="DET16" s="314" t="s">
        <v>203</v>
      </c>
      <c r="DEU16" s="314" t="s">
        <v>203</v>
      </c>
      <c r="DEV16" s="314" t="s">
        <v>203</v>
      </c>
      <c r="DEW16" s="314" t="s">
        <v>203</v>
      </c>
      <c r="DEX16" s="314" t="s">
        <v>203</v>
      </c>
      <c r="DEY16" s="314" t="s">
        <v>203</v>
      </c>
      <c r="DEZ16" s="314" t="s">
        <v>203</v>
      </c>
      <c r="DFA16" s="314" t="s">
        <v>203</v>
      </c>
      <c r="DFB16" s="314" t="s">
        <v>203</v>
      </c>
      <c r="DFC16" s="314" t="s">
        <v>203</v>
      </c>
      <c r="DFD16" s="314" t="s">
        <v>203</v>
      </c>
      <c r="DFE16" s="314" t="s">
        <v>203</v>
      </c>
      <c r="DFF16" s="314" t="s">
        <v>203</v>
      </c>
      <c r="DFG16" s="314" t="s">
        <v>203</v>
      </c>
      <c r="DFH16" s="314" t="s">
        <v>203</v>
      </c>
      <c r="DFI16" s="314" t="s">
        <v>203</v>
      </c>
      <c r="DFJ16" s="314" t="s">
        <v>203</v>
      </c>
      <c r="DFK16" s="314" t="s">
        <v>203</v>
      </c>
      <c r="DFL16" s="314" t="s">
        <v>203</v>
      </c>
      <c r="DFM16" s="314" t="s">
        <v>203</v>
      </c>
      <c r="DFN16" s="314" t="s">
        <v>203</v>
      </c>
      <c r="DFO16" s="314" t="s">
        <v>203</v>
      </c>
      <c r="DFP16" s="314" t="s">
        <v>203</v>
      </c>
      <c r="DFQ16" s="314" t="s">
        <v>203</v>
      </c>
      <c r="DFR16" s="314" t="s">
        <v>203</v>
      </c>
      <c r="DFS16" s="314" t="s">
        <v>203</v>
      </c>
      <c r="DFT16" s="314" t="s">
        <v>203</v>
      </c>
      <c r="DFU16" s="314" t="s">
        <v>203</v>
      </c>
      <c r="DFV16" s="314" t="s">
        <v>203</v>
      </c>
      <c r="DFW16" s="314" t="s">
        <v>203</v>
      </c>
      <c r="DFX16" s="314" t="s">
        <v>203</v>
      </c>
      <c r="DFY16" s="314" t="s">
        <v>203</v>
      </c>
      <c r="DFZ16" s="314" t="s">
        <v>203</v>
      </c>
      <c r="DGA16" s="314" t="s">
        <v>203</v>
      </c>
      <c r="DGB16" s="314" t="s">
        <v>203</v>
      </c>
      <c r="DGC16" s="314" t="s">
        <v>203</v>
      </c>
      <c r="DGD16" s="314" t="s">
        <v>203</v>
      </c>
      <c r="DGE16" s="314" t="s">
        <v>203</v>
      </c>
      <c r="DGF16" s="314" t="s">
        <v>203</v>
      </c>
      <c r="DGG16" s="314" t="s">
        <v>203</v>
      </c>
      <c r="DGH16" s="314" t="s">
        <v>203</v>
      </c>
      <c r="DGI16" s="314" t="s">
        <v>203</v>
      </c>
      <c r="DGJ16" s="314" t="s">
        <v>203</v>
      </c>
      <c r="DGK16" s="314" t="s">
        <v>203</v>
      </c>
      <c r="DGL16" s="314" t="s">
        <v>203</v>
      </c>
      <c r="DGM16" s="314" t="s">
        <v>203</v>
      </c>
      <c r="DGN16" s="314" t="s">
        <v>203</v>
      </c>
      <c r="DGO16" s="314" t="s">
        <v>203</v>
      </c>
      <c r="DGP16" s="314" t="s">
        <v>203</v>
      </c>
      <c r="DGQ16" s="314" t="s">
        <v>203</v>
      </c>
      <c r="DGR16" s="314" t="s">
        <v>203</v>
      </c>
      <c r="DGS16" s="314" t="s">
        <v>203</v>
      </c>
      <c r="DGT16" s="314" t="s">
        <v>203</v>
      </c>
      <c r="DGU16" s="314" t="s">
        <v>203</v>
      </c>
      <c r="DGV16" s="314" t="s">
        <v>203</v>
      </c>
      <c r="DGW16" s="314" t="s">
        <v>203</v>
      </c>
      <c r="DGX16" s="314" t="s">
        <v>203</v>
      </c>
      <c r="DGY16" s="314" t="s">
        <v>203</v>
      </c>
      <c r="DGZ16" s="314" t="s">
        <v>203</v>
      </c>
      <c r="DHA16" s="314" t="s">
        <v>203</v>
      </c>
      <c r="DHB16" s="314" t="s">
        <v>203</v>
      </c>
      <c r="DHC16" s="314" t="s">
        <v>203</v>
      </c>
      <c r="DHD16" s="314" t="s">
        <v>203</v>
      </c>
      <c r="DHE16" s="314" t="s">
        <v>203</v>
      </c>
      <c r="DHF16" s="314" t="s">
        <v>203</v>
      </c>
      <c r="DHG16" s="314" t="s">
        <v>203</v>
      </c>
      <c r="DHH16" s="314" t="s">
        <v>203</v>
      </c>
      <c r="DHI16" s="314" t="s">
        <v>203</v>
      </c>
      <c r="DHJ16" s="314" t="s">
        <v>203</v>
      </c>
      <c r="DHK16" s="314" t="s">
        <v>203</v>
      </c>
      <c r="DHL16" s="314" t="s">
        <v>203</v>
      </c>
      <c r="DHM16" s="314" t="s">
        <v>203</v>
      </c>
      <c r="DHN16" s="314" t="s">
        <v>203</v>
      </c>
      <c r="DHO16" s="314" t="s">
        <v>203</v>
      </c>
      <c r="DHP16" s="314" t="s">
        <v>203</v>
      </c>
      <c r="DHQ16" s="314" t="s">
        <v>203</v>
      </c>
      <c r="DHR16" s="314" t="s">
        <v>203</v>
      </c>
      <c r="DHS16" s="314" t="s">
        <v>203</v>
      </c>
      <c r="DHT16" s="314" t="s">
        <v>203</v>
      </c>
      <c r="DHU16" s="314" t="s">
        <v>203</v>
      </c>
      <c r="DHV16" s="314" t="s">
        <v>203</v>
      </c>
      <c r="DHW16" s="314" t="s">
        <v>203</v>
      </c>
      <c r="DHX16" s="314" t="s">
        <v>203</v>
      </c>
      <c r="DHY16" s="314" t="s">
        <v>203</v>
      </c>
      <c r="DHZ16" s="314" t="s">
        <v>203</v>
      </c>
      <c r="DIA16" s="314" t="s">
        <v>203</v>
      </c>
      <c r="DIB16" s="314" t="s">
        <v>203</v>
      </c>
      <c r="DIC16" s="314" t="s">
        <v>203</v>
      </c>
      <c r="DID16" s="314" t="s">
        <v>203</v>
      </c>
      <c r="DIE16" s="314" t="s">
        <v>203</v>
      </c>
      <c r="DIF16" s="314" t="s">
        <v>203</v>
      </c>
      <c r="DIG16" s="314" t="s">
        <v>203</v>
      </c>
      <c r="DIH16" s="314" t="s">
        <v>203</v>
      </c>
      <c r="DII16" s="314" t="s">
        <v>203</v>
      </c>
      <c r="DIJ16" s="314" t="s">
        <v>203</v>
      </c>
      <c r="DIK16" s="314" t="s">
        <v>203</v>
      </c>
      <c r="DIL16" s="314" t="s">
        <v>203</v>
      </c>
      <c r="DIM16" s="314" t="s">
        <v>203</v>
      </c>
      <c r="DIN16" s="314" t="s">
        <v>203</v>
      </c>
      <c r="DIO16" s="314" t="s">
        <v>203</v>
      </c>
      <c r="DIP16" s="314" t="s">
        <v>203</v>
      </c>
      <c r="DIQ16" s="314" t="s">
        <v>203</v>
      </c>
      <c r="DIR16" s="314" t="s">
        <v>203</v>
      </c>
      <c r="DIS16" s="314" t="s">
        <v>203</v>
      </c>
      <c r="DIT16" s="314" t="s">
        <v>203</v>
      </c>
      <c r="DIU16" s="314" t="s">
        <v>203</v>
      </c>
      <c r="DIV16" s="314" t="s">
        <v>203</v>
      </c>
      <c r="DIW16" s="314" t="s">
        <v>203</v>
      </c>
      <c r="DIX16" s="314" t="s">
        <v>203</v>
      </c>
      <c r="DIY16" s="314" t="s">
        <v>203</v>
      </c>
      <c r="DIZ16" s="314" t="s">
        <v>203</v>
      </c>
      <c r="DJA16" s="314" t="s">
        <v>203</v>
      </c>
      <c r="DJB16" s="314" t="s">
        <v>203</v>
      </c>
      <c r="DJC16" s="314" t="s">
        <v>203</v>
      </c>
      <c r="DJD16" s="314" t="s">
        <v>203</v>
      </c>
      <c r="DJE16" s="314" t="s">
        <v>203</v>
      </c>
      <c r="DJF16" s="314" t="s">
        <v>203</v>
      </c>
      <c r="DJG16" s="314" t="s">
        <v>203</v>
      </c>
      <c r="DJH16" s="314" t="s">
        <v>203</v>
      </c>
      <c r="DJI16" s="314" t="s">
        <v>203</v>
      </c>
      <c r="DJJ16" s="314" t="s">
        <v>203</v>
      </c>
      <c r="DJK16" s="314" t="s">
        <v>203</v>
      </c>
      <c r="DJL16" s="314" t="s">
        <v>203</v>
      </c>
      <c r="DJM16" s="314" t="s">
        <v>203</v>
      </c>
      <c r="DJN16" s="314" t="s">
        <v>203</v>
      </c>
      <c r="DJO16" s="314" t="s">
        <v>203</v>
      </c>
      <c r="DJP16" s="314" t="s">
        <v>203</v>
      </c>
      <c r="DJQ16" s="314" t="s">
        <v>203</v>
      </c>
      <c r="DJR16" s="314" t="s">
        <v>203</v>
      </c>
      <c r="DJS16" s="314" t="s">
        <v>203</v>
      </c>
      <c r="DJT16" s="314" t="s">
        <v>203</v>
      </c>
      <c r="DJU16" s="314" t="s">
        <v>203</v>
      </c>
      <c r="DJV16" s="314" t="s">
        <v>203</v>
      </c>
      <c r="DJW16" s="314" t="s">
        <v>203</v>
      </c>
      <c r="DJX16" s="314" t="s">
        <v>203</v>
      </c>
      <c r="DJY16" s="314" t="s">
        <v>203</v>
      </c>
      <c r="DJZ16" s="314" t="s">
        <v>203</v>
      </c>
      <c r="DKA16" s="314" t="s">
        <v>203</v>
      </c>
      <c r="DKB16" s="314" t="s">
        <v>203</v>
      </c>
      <c r="DKC16" s="314" t="s">
        <v>203</v>
      </c>
      <c r="DKD16" s="314" t="s">
        <v>203</v>
      </c>
      <c r="DKE16" s="314" t="s">
        <v>203</v>
      </c>
      <c r="DKF16" s="314" t="s">
        <v>203</v>
      </c>
      <c r="DKG16" s="314" t="s">
        <v>203</v>
      </c>
      <c r="DKH16" s="314" t="s">
        <v>203</v>
      </c>
      <c r="DKI16" s="314" t="s">
        <v>203</v>
      </c>
      <c r="DKJ16" s="314" t="s">
        <v>203</v>
      </c>
      <c r="DKK16" s="314" t="s">
        <v>203</v>
      </c>
      <c r="DKL16" s="314" t="s">
        <v>203</v>
      </c>
      <c r="DKM16" s="314" t="s">
        <v>203</v>
      </c>
      <c r="DKN16" s="314" t="s">
        <v>203</v>
      </c>
      <c r="DKO16" s="314" t="s">
        <v>203</v>
      </c>
      <c r="DKP16" s="314" t="s">
        <v>203</v>
      </c>
      <c r="DKQ16" s="314" t="s">
        <v>203</v>
      </c>
      <c r="DKR16" s="314" t="s">
        <v>203</v>
      </c>
      <c r="DKS16" s="314" t="s">
        <v>203</v>
      </c>
      <c r="DKT16" s="314" t="s">
        <v>203</v>
      </c>
      <c r="DKU16" s="314" t="s">
        <v>203</v>
      </c>
      <c r="DKV16" s="314" t="s">
        <v>203</v>
      </c>
      <c r="DKW16" s="314" t="s">
        <v>203</v>
      </c>
      <c r="DKX16" s="314" t="s">
        <v>203</v>
      </c>
      <c r="DKY16" s="314" t="s">
        <v>203</v>
      </c>
      <c r="DKZ16" s="314" t="s">
        <v>203</v>
      </c>
      <c r="DLA16" s="314" t="s">
        <v>203</v>
      </c>
      <c r="DLB16" s="314" t="s">
        <v>203</v>
      </c>
      <c r="DLC16" s="314" t="s">
        <v>203</v>
      </c>
      <c r="DLD16" s="314" t="s">
        <v>203</v>
      </c>
      <c r="DLE16" s="314" t="s">
        <v>203</v>
      </c>
      <c r="DLF16" s="314" t="s">
        <v>203</v>
      </c>
      <c r="DLG16" s="314" t="s">
        <v>203</v>
      </c>
      <c r="DLH16" s="314" t="s">
        <v>203</v>
      </c>
      <c r="DLI16" s="314" t="s">
        <v>203</v>
      </c>
      <c r="DLJ16" s="314" t="s">
        <v>203</v>
      </c>
      <c r="DLK16" s="314" t="s">
        <v>203</v>
      </c>
      <c r="DLL16" s="314" t="s">
        <v>203</v>
      </c>
      <c r="DLM16" s="314" t="s">
        <v>203</v>
      </c>
      <c r="DLN16" s="314" t="s">
        <v>203</v>
      </c>
      <c r="DLO16" s="314" t="s">
        <v>203</v>
      </c>
      <c r="DLP16" s="314" t="s">
        <v>203</v>
      </c>
      <c r="DLQ16" s="314" t="s">
        <v>203</v>
      </c>
      <c r="DLR16" s="314" t="s">
        <v>203</v>
      </c>
      <c r="DLS16" s="314" t="s">
        <v>203</v>
      </c>
      <c r="DLT16" s="314" t="s">
        <v>203</v>
      </c>
      <c r="DLU16" s="314" t="s">
        <v>203</v>
      </c>
      <c r="DLV16" s="314" t="s">
        <v>203</v>
      </c>
      <c r="DLW16" s="314" t="s">
        <v>203</v>
      </c>
      <c r="DLX16" s="314" t="s">
        <v>203</v>
      </c>
      <c r="DLY16" s="314" t="s">
        <v>203</v>
      </c>
      <c r="DLZ16" s="314" t="s">
        <v>203</v>
      </c>
      <c r="DMA16" s="314" t="s">
        <v>203</v>
      </c>
      <c r="DMB16" s="314" t="s">
        <v>203</v>
      </c>
      <c r="DMC16" s="314" t="s">
        <v>203</v>
      </c>
      <c r="DMD16" s="314" t="s">
        <v>203</v>
      </c>
      <c r="DME16" s="314" t="s">
        <v>203</v>
      </c>
      <c r="DMF16" s="314" t="s">
        <v>203</v>
      </c>
      <c r="DMG16" s="314" t="s">
        <v>203</v>
      </c>
      <c r="DMH16" s="314" t="s">
        <v>203</v>
      </c>
      <c r="DMI16" s="314" t="s">
        <v>203</v>
      </c>
      <c r="DMJ16" s="314" t="s">
        <v>203</v>
      </c>
      <c r="DMK16" s="314" t="s">
        <v>203</v>
      </c>
      <c r="DML16" s="314" t="s">
        <v>203</v>
      </c>
      <c r="DMM16" s="314" t="s">
        <v>203</v>
      </c>
      <c r="DMN16" s="314" t="s">
        <v>203</v>
      </c>
      <c r="DMO16" s="314" t="s">
        <v>203</v>
      </c>
      <c r="DMP16" s="314" t="s">
        <v>203</v>
      </c>
      <c r="DMQ16" s="314" t="s">
        <v>203</v>
      </c>
      <c r="DMR16" s="314" t="s">
        <v>203</v>
      </c>
      <c r="DMS16" s="314" t="s">
        <v>203</v>
      </c>
      <c r="DMT16" s="314" t="s">
        <v>203</v>
      </c>
      <c r="DMU16" s="314" t="s">
        <v>203</v>
      </c>
      <c r="DMV16" s="314" t="s">
        <v>203</v>
      </c>
      <c r="DMW16" s="314" t="s">
        <v>203</v>
      </c>
      <c r="DMX16" s="314" t="s">
        <v>203</v>
      </c>
      <c r="DMY16" s="314" t="s">
        <v>203</v>
      </c>
      <c r="DMZ16" s="314" t="s">
        <v>203</v>
      </c>
      <c r="DNA16" s="314" t="s">
        <v>203</v>
      </c>
      <c r="DNB16" s="314" t="s">
        <v>203</v>
      </c>
      <c r="DNC16" s="314" t="s">
        <v>203</v>
      </c>
      <c r="DND16" s="314" t="s">
        <v>203</v>
      </c>
      <c r="DNE16" s="314" t="s">
        <v>203</v>
      </c>
      <c r="DNF16" s="314" t="s">
        <v>203</v>
      </c>
      <c r="DNG16" s="314" t="s">
        <v>203</v>
      </c>
      <c r="DNH16" s="314" t="s">
        <v>203</v>
      </c>
      <c r="DNI16" s="314" t="s">
        <v>203</v>
      </c>
      <c r="DNJ16" s="314" t="s">
        <v>203</v>
      </c>
      <c r="DNK16" s="314" t="s">
        <v>203</v>
      </c>
      <c r="DNL16" s="314" t="s">
        <v>203</v>
      </c>
      <c r="DNM16" s="314" t="s">
        <v>203</v>
      </c>
      <c r="DNN16" s="314" t="s">
        <v>203</v>
      </c>
      <c r="DNO16" s="314" t="s">
        <v>203</v>
      </c>
      <c r="DNP16" s="314" t="s">
        <v>203</v>
      </c>
      <c r="DNQ16" s="314" t="s">
        <v>203</v>
      </c>
      <c r="DNR16" s="314" t="s">
        <v>203</v>
      </c>
      <c r="DNS16" s="314" t="s">
        <v>203</v>
      </c>
      <c r="DNT16" s="314" t="s">
        <v>203</v>
      </c>
      <c r="DNU16" s="314" t="s">
        <v>203</v>
      </c>
      <c r="DNV16" s="314" t="s">
        <v>203</v>
      </c>
      <c r="DNW16" s="314" t="s">
        <v>203</v>
      </c>
      <c r="DNX16" s="314" t="s">
        <v>203</v>
      </c>
      <c r="DNY16" s="314" t="s">
        <v>203</v>
      </c>
      <c r="DNZ16" s="314" t="s">
        <v>203</v>
      </c>
      <c r="DOA16" s="314" t="s">
        <v>203</v>
      </c>
      <c r="DOB16" s="314" t="s">
        <v>203</v>
      </c>
      <c r="DOC16" s="314" t="s">
        <v>203</v>
      </c>
      <c r="DOD16" s="314" t="s">
        <v>203</v>
      </c>
      <c r="DOE16" s="314" t="s">
        <v>203</v>
      </c>
      <c r="DOF16" s="314" t="s">
        <v>203</v>
      </c>
      <c r="DOG16" s="314" t="s">
        <v>203</v>
      </c>
      <c r="DOH16" s="314" t="s">
        <v>203</v>
      </c>
      <c r="DOI16" s="314" t="s">
        <v>203</v>
      </c>
      <c r="DOJ16" s="314" t="s">
        <v>203</v>
      </c>
      <c r="DOK16" s="314" t="s">
        <v>203</v>
      </c>
      <c r="DOL16" s="314" t="s">
        <v>203</v>
      </c>
      <c r="DOM16" s="314" t="s">
        <v>203</v>
      </c>
      <c r="DON16" s="314" t="s">
        <v>203</v>
      </c>
      <c r="DOO16" s="314" t="s">
        <v>203</v>
      </c>
      <c r="DOP16" s="314" t="s">
        <v>203</v>
      </c>
      <c r="DOQ16" s="314" t="s">
        <v>203</v>
      </c>
      <c r="DOR16" s="314" t="s">
        <v>203</v>
      </c>
      <c r="DOS16" s="314" t="s">
        <v>203</v>
      </c>
      <c r="DOT16" s="314" t="s">
        <v>203</v>
      </c>
      <c r="DOU16" s="314" t="s">
        <v>203</v>
      </c>
      <c r="DOV16" s="314" t="s">
        <v>203</v>
      </c>
      <c r="DOW16" s="314" t="s">
        <v>203</v>
      </c>
      <c r="DOX16" s="314" t="s">
        <v>203</v>
      </c>
      <c r="DOY16" s="314" t="s">
        <v>203</v>
      </c>
      <c r="DOZ16" s="314" t="s">
        <v>203</v>
      </c>
      <c r="DPA16" s="314" t="s">
        <v>203</v>
      </c>
      <c r="DPB16" s="314" t="s">
        <v>203</v>
      </c>
      <c r="DPC16" s="314" t="s">
        <v>203</v>
      </c>
      <c r="DPD16" s="314" t="s">
        <v>203</v>
      </c>
      <c r="DPE16" s="314" t="s">
        <v>203</v>
      </c>
      <c r="DPF16" s="314" t="s">
        <v>203</v>
      </c>
      <c r="DPG16" s="314" t="s">
        <v>203</v>
      </c>
      <c r="DPH16" s="314" t="s">
        <v>203</v>
      </c>
      <c r="DPI16" s="314" t="s">
        <v>203</v>
      </c>
      <c r="DPJ16" s="314" t="s">
        <v>203</v>
      </c>
      <c r="DPK16" s="314" t="s">
        <v>203</v>
      </c>
      <c r="DPL16" s="314" t="s">
        <v>203</v>
      </c>
      <c r="DPM16" s="314" t="s">
        <v>203</v>
      </c>
      <c r="DPN16" s="314" t="s">
        <v>203</v>
      </c>
      <c r="DPO16" s="314" t="s">
        <v>203</v>
      </c>
      <c r="DPP16" s="314" t="s">
        <v>203</v>
      </c>
      <c r="DPQ16" s="314" t="s">
        <v>203</v>
      </c>
      <c r="DPR16" s="314" t="s">
        <v>203</v>
      </c>
      <c r="DPS16" s="314" t="s">
        <v>203</v>
      </c>
      <c r="DPT16" s="314" t="s">
        <v>203</v>
      </c>
      <c r="DPU16" s="314" t="s">
        <v>203</v>
      </c>
      <c r="DPV16" s="314" t="s">
        <v>203</v>
      </c>
      <c r="DPW16" s="314" t="s">
        <v>203</v>
      </c>
      <c r="DPX16" s="314" t="s">
        <v>203</v>
      </c>
      <c r="DPY16" s="314" t="s">
        <v>203</v>
      </c>
      <c r="DPZ16" s="314" t="s">
        <v>203</v>
      </c>
      <c r="DQA16" s="314" t="s">
        <v>203</v>
      </c>
      <c r="DQB16" s="314" t="s">
        <v>203</v>
      </c>
      <c r="DQC16" s="314" t="s">
        <v>203</v>
      </c>
      <c r="DQD16" s="314" t="s">
        <v>203</v>
      </c>
      <c r="DQE16" s="314" t="s">
        <v>203</v>
      </c>
      <c r="DQF16" s="314" t="s">
        <v>203</v>
      </c>
      <c r="DQG16" s="314" t="s">
        <v>203</v>
      </c>
      <c r="DQH16" s="314" t="s">
        <v>203</v>
      </c>
      <c r="DQI16" s="314" t="s">
        <v>203</v>
      </c>
      <c r="DQJ16" s="314" t="s">
        <v>203</v>
      </c>
      <c r="DQK16" s="314" t="s">
        <v>203</v>
      </c>
      <c r="DQL16" s="314" t="s">
        <v>203</v>
      </c>
      <c r="DQM16" s="314" t="s">
        <v>203</v>
      </c>
      <c r="DQN16" s="314" t="s">
        <v>203</v>
      </c>
      <c r="DQO16" s="314" t="s">
        <v>203</v>
      </c>
      <c r="DQP16" s="314" t="s">
        <v>203</v>
      </c>
      <c r="DQQ16" s="314" t="s">
        <v>203</v>
      </c>
      <c r="DQR16" s="314" t="s">
        <v>203</v>
      </c>
      <c r="DQS16" s="314" t="s">
        <v>203</v>
      </c>
      <c r="DQT16" s="314" t="s">
        <v>203</v>
      </c>
      <c r="DQU16" s="314" t="s">
        <v>203</v>
      </c>
      <c r="DQV16" s="314" t="s">
        <v>203</v>
      </c>
      <c r="DQW16" s="314" t="s">
        <v>203</v>
      </c>
      <c r="DQX16" s="314" t="s">
        <v>203</v>
      </c>
      <c r="DQY16" s="314" t="s">
        <v>203</v>
      </c>
      <c r="DQZ16" s="314" t="s">
        <v>203</v>
      </c>
      <c r="DRA16" s="314" t="s">
        <v>203</v>
      </c>
      <c r="DRB16" s="314" t="s">
        <v>203</v>
      </c>
      <c r="DRC16" s="314" t="s">
        <v>203</v>
      </c>
      <c r="DRD16" s="314" t="s">
        <v>203</v>
      </c>
      <c r="DRE16" s="314" t="s">
        <v>203</v>
      </c>
      <c r="DRF16" s="314" t="s">
        <v>203</v>
      </c>
      <c r="DRG16" s="314" t="s">
        <v>203</v>
      </c>
      <c r="DRH16" s="314" t="s">
        <v>203</v>
      </c>
      <c r="DRI16" s="314" t="s">
        <v>203</v>
      </c>
      <c r="DRJ16" s="314" t="s">
        <v>203</v>
      </c>
      <c r="DRK16" s="314" t="s">
        <v>203</v>
      </c>
      <c r="DRL16" s="314" t="s">
        <v>203</v>
      </c>
      <c r="DRM16" s="314" t="s">
        <v>203</v>
      </c>
      <c r="DRN16" s="314" t="s">
        <v>203</v>
      </c>
      <c r="DRO16" s="314" t="s">
        <v>203</v>
      </c>
      <c r="DRP16" s="314" t="s">
        <v>203</v>
      </c>
      <c r="DRQ16" s="314" t="s">
        <v>203</v>
      </c>
      <c r="DRR16" s="314" t="s">
        <v>203</v>
      </c>
      <c r="DRS16" s="314" t="s">
        <v>203</v>
      </c>
      <c r="DRT16" s="314" t="s">
        <v>203</v>
      </c>
      <c r="DRU16" s="314" t="s">
        <v>203</v>
      </c>
      <c r="DRV16" s="314" t="s">
        <v>203</v>
      </c>
      <c r="DRW16" s="314" t="s">
        <v>203</v>
      </c>
      <c r="DRX16" s="314" t="s">
        <v>203</v>
      </c>
      <c r="DRY16" s="314" t="s">
        <v>203</v>
      </c>
      <c r="DRZ16" s="314" t="s">
        <v>203</v>
      </c>
      <c r="DSA16" s="314" t="s">
        <v>203</v>
      </c>
      <c r="DSB16" s="314" t="s">
        <v>203</v>
      </c>
      <c r="DSC16" s="314" t="s">
        <v>203</v>
      </c>
      <c r="DSD16" s="314" t="s">
        <v>203</v>
      </c>
      <c r="DSE16" s="314" t="s">
        <v>203</v>
      </c>
      <c r="DSF16" s="314" t="s">
        <v>203</v>
      </c>
      <c r="DSG16" s="314" t="s">
        <v>203</v>
      </c>
      <c r="DSH16" s="314" t="s">
        <v>203</v>
      </c>
      <c r="DSI16" s="314" t="s">
        <v>203</v>
      </c>
      <c r="DSJ16" s="314" t="s">
        <v>203</v>
      </c>
      <c r="DSK16" s="314" t="s">
        <v>203</v>
      </c>
      <c r="DSL16" s="314" t="s">
        <v>203</v>
      </c>
      <c r="DSM16" s="314" t="s">
        <v>203</v>
      </c>
      <c r="DSN16" s="314" t="s">
        <v>203</v>
      </c>
      <c r="DSO16" s="314" t="s">
        <v>203</v>
      </c>
      <c r="DSP16" s="314" t="s">
        <v>203</v>
      </c>
      <c r="DSQ16" s="314" t="s">
        <v>203</v>
      </c>
      <c r="DSR16" s="314" t="s">
        <v>203</v>
      </c>
      <c r="DSS16" s="314" t="s">
        <v>203</v>
      </c>
      <c r="DST16" s="314" t="s">
        <v>203</v>
      </c>
      <c r="DSU16" s="314" t="s">
        <v>203</v>
      </c>
      <c r="DSV16" s="314" t="s">
        <v>203</v>
      </c>
      <c r="DSW16" s="314" t="s">
        <v>203</v>
      </c>
      <c r="DSX16" s="314" t="s">
        <v>203</v>
      </c>
      <c r="DSY16" s="314" t="s">
        <v>203</v>
      </c>
      <c r="DSZ16" s="314" t="s">
        <v>203</v>
      </c>
      <c r="DTA16" s="314" t="s">
        <v>203</v>
      </c>
      <c r="DTB16" s="314" t="s">
        <v>203</v>
      </c>
      <c r="DTC16" s="314" t="s">
        <v>203</v>
      </c>
      <c r="DTD16" s="314" t="s">
        <v>203</v>
      </c>
      <c r="DTE16" s="314" t="s">
        <v>203</v>
      </c>
      <c r="DTF16" s="314" t="s">
        <v>203</v>
      </c>
      <c r="DTG16" s="314" t="s">
        <v>203</v>
      </c>
      <c r="DTH16" s="314" t="s">
        <v>203</v>
      </c>
      <c r="DTI16" s="314" t="s">
        <v>203</v>
      </c>
      <c r="DTJ16" s="314" t="s">
        <v>203</v>
      </c>
      <c r="DTK16" s="314" t="s">
        <v>203</v>
      </c>
      <c r="DTL16" s="314" t="s">
        <v>203</v>
      </c>
      <c r="DTM16" s="314" t="s">
        <v>203</v>
      </c>
      <c r="DTN16" s="314" t="s">
        <v>203</v>
      </c>
      <c r="DTO16" s="314" t="s">
        <v>203</v>
      </c>
      <c r="DTP16" s="314" t="s">
        <v>203</v>
      </c>
      <c r="DTQ16" s="314" t="s">
        <v>203</v>
      </c>
      <c r="DTR16" s="314" t="s">
        <v>203</v>
      </c>
      <c r="DTS16" s="314" t="s">
        <v>203</v>
      </c>
      <c r="DTT16" s="314" t="s">
        <v>203</v>
      </c>
      <c r="DTU16" s="314" t="s">
        <v>203</v>
      </c>
      <c r="DTV16" s="314" t="s">
        <v>203</v>
      </c>
      <c r="DTW16" s="314" t="s">
        <v>203</v>
      </c>
      <c r="DTX16" s="314" t="s">
        <v>203</v>
      </c>
      <c r="DTY16" s="314" t="s">
        <v>203</v>
      </c>
      <c r="DTZ16" s="314" t="s">
        <v>203</v>
      </c>
      <c r="DUA16" s="314" t="s">
        <v>203</v>
      </c>
      <c r="DUB16" s="314" t="s">
        <v>203</v>
      </c>
      <c r="DUC16" s="314" t="s">
        <v>203</v>
      </c>
      <c r="DUD16" s="314" t="s">
        <v>203</v>
      </c>
      <c r="DUE16" s="314" t="s">
        <v>203</v>
      </c>
      <c r="DUF16" s="314" t="s">
        <v>203</v>
      </c>
      <c r="DUG16" s="314" t="s">
        <v>203</v>
      </c>
      <c r="DUH16" s="314" t="s">
        <v>203</v>
      </c>
      <c r="DUI16" s="314" t="s">
        <v>203</v>
      </c>
      <c r="DUJ16" s="314" t="s">
        <v>203</v>
      </c>
      <c r="DUK16" s="314" t="s">
        <v>203</v>
      </c>
      <c r="DUL16" s="314" t="s">
        <v>203</v>
      </c>
      <c r="DUM16" s="314" t="s">
        <v>203</v>
      </c>
      <c r="DUN16" s="314" t="s">
        <v>203</v>
      </c>
      <c r="DUO16" s="314" t="s">
        <v>203</v>
      </c>
      <c r="DUP16" s="314" t="s">
        <v>203</v>
      </c>
      <c r="DUQ16" s="314" t="s">
        <v>203</v>
      </c>
      <c r="DUR16" s="314" t="s">
        <v>203</v>
      </c>
      <c r="DUS16" s="314" t="s">
        <v>203</v>
      </c>
      <c r="DUT16" s="314" t="s">
        <v>203</v>
      </c>
      <c r="DUU16" s="314" t="s">
        <v>203</v>
      </c>
      <c r="DUV16" s="314" t="s">
        <v>203</v>
      </c>
      <c r="DUW16" s="314" t="s">
        <v>203</v>
      </c>
      <c r="DUX16" s="314" t="s">
        <v>203</v>
      </c>
      <c r="DUY16" s="314" t="s">
        <v>203</v>
      </c>
      <c r="DUZ16" s="314" t="s">
        <v>203</v>
      </c>
      <c r="DVA16" s="314" t="s">
        <v>203</v>
      </c>
      <c r="DVB16" s="314" t="s">
        <v>203</v>
      </c>
      <c r="DVC16" s="314" t="s">
        <v>203</v>
      </c>
      <c r="DVD16" s="314" t="s">
        <v>203</v>
      </c>
      <c r="DVE16" s="314" t="s">
        <v>203</v>
      </c>
      <c r="DVF16" s="314" t="s">
        <v>203</v>
      </c>
      <c r="DVG16" s="314" t="s">
        <v>203</v>
      </c>
      <c r="DVH16" s="314" t="s">
        <v>203</v>
      </c>
      <c r="DVI16" s="314" t="s">
        <v>203</v>
      </c>
      <c r="DVJ16" s="314" t="s">
        <v>203</v>
      </c>
      <c r="DVK16" s="314" t="s">
        <v>203</v>
      </c>
      <c r="DVL16" s="314" t="s">
        <v>203</v>
      </c>
      <c r="DVM16" s="314" t="s">
        <v>203</v>
      </c>
      <c r="DVN16" s="314" t="s">
        <v>203</v>
      </c>
      <c r="DVO16" s="314" t="s">
        <v>203</v>
      </c>
      <c r="DVP16" s="314" t="s">
        <v>203</v>
      </c>
      <c r="DVQ16" s="314" t="s">
        <v>203</v>
      </c>
      <c r="DVR16" s="314" t="s">
        <v>203</v>
      </c>
      <c r="DVS16" s="314" t="s">
        <v>203</v>
      </c>
      <c r="DVT16" s="314" t="s">
        <v>203</v>
      </c>
      <c r="DVU16" s="314" t="s">
        <v>203</v>
      </c>
      <c r="DVV16" s="314" t="s">
        <v>203</v>
      </c>
      <c r="DVW16" s="314" t="s">
        <v>203</v>
      </c>
      <c r="DVX16" s="314" t="s">
        <v>203</v>
      </c>
      <c r="DVY16" s="314" t="s">
        <v>203</v>
      </c>
      <c r="DVZ16" s="314" t="s">
        <v>203</v>
      </c>
      <c r="DWA16" s="314" t="s">
        <v>203</v>
      </c>
      <c r="DWB16" s="314" t="s">
        <v>203</v>
      </c>
      <c r="DWC16" s="314" t="s">
        <v>203</v>
      </c>
      <c r="DWD16" s="314" t="s">
        <v>203</v>
      </c>
      <c r="DWE16" s="314" t="s">
        <v>203</v>
      </c>
      <c r="DWF16" s="314" t="s">
        <v>203</v>
      </c>
      <c r="DWG16" s="314" t="s">
        <v>203</v>
      </c>
      <c r="DWH16" s="314" t="s">
        <v>203</v>
      </c>
      <c r="DWI16" s="314" t="s">
        <v>203</v>
      </c>
      <c r="DWJ16" s="314" t="s">
        <v>203</v>
      </c>
      <c r="DWK16" s="314" t="s">
        <v>203</v>
      </c>
      <c r="DWL16" s="314" t="s">
        <v>203</v>
      </c>
      <c r="DWM16" s="314" t="s">
        <v>203</v>
      </c>
      <c r="DWN16" s="314" t="s">
        <v>203</v>
      </c>
      <c r="DWO16" s="314" t="s">
        <v>203</v>
      </c>
      <c r="DWP16" s="314" t="s">
        <v>203</v>
      </c>
      <c r="DWQ16" s="314" t="s">
        <v>203</v>
      </c>
      <c r="DWR16" s="314" t="s">
        <v>203</v>
      </c>
      <c r="DWS16" s="314" t="s">
        <v>203</v>
      </c>
      <c r="DWT16" s="314" t="s">
        <v>203</v>
      </c>
      <c r="DWU16" s="314" t="s">
        <v>203</v>
      </c>
      <c r="DWV16" s="314" t="s">
        <v>203</v>
      </c>
      <c r="DWW16" s="314" t="s">
        <v>203</v>
      </c>
      <c r="DWX16" s="314" t="s">
        <v>203</v>
      </c>
      <c r="DWY16" s="314" t="s">
        <v>203</v>
      </c>
      <c r="DWZ16" s="314" t="s">
        <v>203</v>
      </c>
      <c r="DXA16" s="314" t="s">
        <v>203</v>
      </c>
      <c r="DXB16" s="314" t="s">
        <v>203</v>
      </c>
      <c r="DXC16" s="314" t="s">
        <v>203</v>
      </c>
      <c r="DXD16" s="314" t="s">
        <v>203</v>
      </c>
      <c r="DXE16" s="314" t="s">
        <v>203</v>
      </c>
      <c r="DXF16" s="314" t="s">
        <v>203</v>
      </c>
      <c r="DXG16" s="314" t="s">
        <v>203</v>
      </c>
      <c r="DXH16" s="314" t="s">
        <v>203</v>
      </c>
      <c r="DXI16" s="314" t="s">
        <v>203</v>
      </c>
      <c r="DXJ16" s="314" t="s">
        <v>203</v>
      </c>
      <c r="DXK16" s="314" t="s">
        <v>203</v>
      </c>
      <c r="DXL16" s="314" t="s">
        <v>203</v>
      </c>
      <c r="DXM16" s="314" t="s">
        <v>203</v>
      </c>
      <c r="DXN16" s="314" t="s">
        <v>203</v>
      </c>
      <c r="DXO16" s="314" t="s">
        <v>203</v>
      </c>
      <c r="DXP16" s="314" t="s">
        <v>203</v>
      </c>
      <c r="DXQ16" s="314" t="s">
        <v>203</v>
      </c>
      <c r="DXR16" s="314" t="s">
        <v>203</v>
      </c>
      <c r="DXS16" s="314" t="s">
        <v>203</v>
      </c>
      <c r="DXT16" s="314" t="s">
        <v>203</v>
      </c>
      <c r="DXU16" s="314" t="s">
        <v>203</v>
      </c>
      <c r="DXV16" s="314" t="s">
        <v>203</v>
      </c>
      <c r="DXW16" s="314" t="s">
        <v>203</v>
      </c>
      <c r="DXX16" s="314" t="s">
        <v>203</v>
      </c>
      <c r="DXY16" s="314" t="s">
        <v>203</v>
      </c>
      <c r="DXZ16" s="314" t="s">
        <v>203</v>
      </c>
      <c r="DYA16" s="314" t="s">
        <v>203</v>
      </c>
      <c r="DYB16" s="314" t="s">
        <v>203</v>
      </c>
      <c r="DYC16" s="314" t="s">
        <v>203</v>
      </c>
      <c r="DYD16" s="314" t="s">
        <v>203</v>
      </c>
      <c r="DYE16" s="314" t="s">
        <v>203</v>
      </c>
      <c r="DYF16" s="314" t="s">
        <v>203</v>
      </c>
      <c r="DYG16" s="314" t="s">
        <v>203</v>
      </c>
      <c r="DYH16" s="314" t="s">
        <v>203</v>
      </c>
      <c r="DYI16" s="314" t="s">
        <v>203</v>
      </c>
      <c r="DYJ16" s="314" t="s">
        <v>203</v>
      </c>
      <c r="DYK16" s="314" t="s">
        <v>203</v>
      </c>
      <c r="DYL16" s="314" t="s">
        <v>203</v>
      </c>
      <c r="DYM16" s="314" t="s">
        <v>203</v>
      </c>
      <c r="DYN16" s="314" t="s">
        <v>203</v>
      </c>
      <c r="DYO16" s="314" t="s">
        <v>203</v>
      </c>
      <c r="DYP16" s="314" t="s">
        <v>203</v>
      </c>
      <c r="DYQ16" s="314" t="s">
        <v>203</v>
      </c>
      <c r="DYR16" s="314" t="s">
        <v>203</v>
      </c>
      <c r="DYS16" s="314" t="s">
        <v>203</v>
      </c>
      <c r="DYT16" s="314" t="s">
        <v>203</v>
      </c>
      <c r="DYU16" s="314" t="s">
        <v>203</v>
      </c>
      <c r="DYV16" s="314" t="s">
        <v>203</v>
      </c>
      <c r="DYW16" s="314" t="s">
        <v>203</v>
      </c>
      <c r="DYX16" s="314" t="s">
        <v>203</v>
      </c>
      <c r="DYY16" s="314" t="s">
        <v>203</v>
      </c>
      <c r="DYZ16" s="314" t="s">
        <v>203</v>
      </c>
      <c r="DZA16" s="314" t="s">
        <v>203</v>
      </c>
      <c r="DZB16" s="314" t="s">
        <v>203</v>
      </c>
      <c r="DZC16" s="314" t="s">
        <v>203</v>
      </c>
      <c r="DZD16" s="314" t="s">
        <v>203</v>
      </c>
      <c r="DZE16" s="314" t="s">
        <v>203</v>
      </c>
      <c r="DZF16" s="314" t="s">
        <v>203</v>
      </c>
      <c r="DZG16" s="314" t="s">
        <v>203</v>
      </c>
      <c r="DZH16" s="314" t="s">
        <v>203</v>
      </c>
      <c r="DZI16" s="314" t="s">
        <v>203</v>
      </c>
      <c r="DZJ16" s="314" t="s">
        <v>203</v>
      </c>
      <c r="DZK16" s="314" t="s">
        <v>203</v>
      </c>
      <c r="DZL16" s="314" t="s">
        <v>203</v>
      </c>
      <c r="DZM16" s="314" t="s">
        <v>203</v>
      </c>
      <c r="DZN16" s="314" t="s">
        <v>203</v>
      </c>
      <c r="DZO16" s="314" t="s">
        <v>203</v>
      </c>
      <c r="DZP16" s="314" t="s">
        <v>203</v>
      </c>
      <c r="DZQ16" s="314" t="s">
        <v>203</v>
      </c>
      <c r="DZR16" s="314" t="s">
        <v>203</v>
      </c>
      <c r="DZS16" s="314" t="s">
        <v>203</v>
      </c>
      <c r="DZT16" s="314" t="s">
        <v>203</v>
      </c>
      <c r="DZU16" s="314" t="s">
        <v>203</v>
      </c>
      <c r="DZV16" s="314" t="s">
        <v>203</v>
      </c>
      <c r="DZW16" s="314" t="s">
        <v>203</v>
      </c>
      <c r="DZX16" s="314" t="s">
        <v>203</v>
      </c>
      <c r="DZY16" s="314" t="s">
        <v>203</v>
      </c>
      <c r="DZZ16" s="314" t="s">
        <v>203</v>
      </c>
      <c r="EAA16" s="314" t="s">
        <v>203</v>
      </c>
      <c r="EAB16" s="314" t="s">
        <v>203</v>
      </c>
      <c r="EAC16" s="314" t="s">
        <v>203</v>
      </c>
      <c r="EAD16" s="314" t="s">
        <v>203</v>
      </c>
      <c r="EAE16" s="314" t="s">
        <v>203</v>
      </c>
      <c r="EAF16" s="314" t="s">
        <v>203</v>
      </c>
      <c r="EAG16" s="314" t="s">
        <v>203</v>
      </c>
      <c r="EAH16" s="314" t="s">
        <v>203</v>
      </c>
      <c r="EAI16" s="314" t="s">
        <v>203</v>
      </c>
      <c r="EAJ16" s="314" t="s">
        <v>203</v>
      </c>
      <c r="EAK16" s="314" t="s">
        <v>203</v>
      </c>
      <c r="EAL16" s="314" t="s">
        <v>203</v>
      </c>
      <c r="EAM16" s="314" t="s">
        <v>203</v>
      </c>
      <c r="EAN16" s="314" t="s">
        <v>203</v>
      </c>
      <c r="EAO16" s="314" t="s">
        <v>203</v>
      </c>
      <c r="EAP16" s="314" t="s">
        <v>203</v>
      </c>
      <c r="EAQ16" s="314" t="s">
        <v>203</v>
      </c>
      <c r="EAR16" s="314" t="s">
        <v>203</v>
      </c>
      <c r="EAS16" s="314" t="s">
        <v>203</v>
      </c>
      <c r="EAT16" s="314" t="s">
        <v>203</v>
      </c>
      <c r="EAU16" s="314" t="s">
        <v>203</v>
      </c>
      <c r="EAV16" s="314" t="s">
        <v>203</v>
      </c>
      <c r="EAW16" s="314" t="s">
        <v>203</v>
      </c>
      <c r="EAX16" s="314" t="s">
        <v>203</v>
      </c>
      <c r="EAY16" s="314" t="s">
        <v>203</v>
      </c>
      <c r="EAZ16" s="314" t="s">
        <v>203</v>
      </c>
      <c r="EBA16" s="314" t="s">
        <v>203</v>
      </c>
      <c r="EBB16" s="314" t="s">
        <v>203</v>
      </c>
      <c r="EBC16" s="314" t="s">
        <v>203</v>
      </c>
      <c r="EBD16" s="314" t="s">
        <v>203</v>
      </c>
      <c r="EBE16" s="314" t="s">
        <v>203</v>
      </c>
      <c r="EBF16" s="314" t="s">
        <v>203</v>
      </c>
      <c r="EBG16" s="314" t="s">
        <v>203</v>
      </c>
      <c r="EBH16" s="314" t="s">
        <v>203</v>
      </c>
      <c r="EBI16" s="314" t="s">
        <v>203</v>
      </c>
      <c r="EBJ16" s="314" t="s">
        <v>203</v>
      </c>
      <c r="EBK16" s="314" t="s">
        <v>203</v>
      </c>
      <c r="EBL16" s="314" t="s">
        <v>203</v>
      </c>
      <c r="EBM16" s="314" t="s">
        <v>203</v>
      </c>
      <c r="EBN16" s="314" t="s">
        <v>203</v>
      </c>
      <c r="EBO16" s="314" t="s">
        <v>203</v>
      </c>
      <c r="EBP16" s="314" t="s">
        <v>203</v>
      </c>
      <c r="EBQ16" s="314" t="s">
        <v>203</v>
      </c>
      <c r="EBR16" s="314" t="s">
        <v>203</v>
      </c>
      <c r="EBS16" s="314" t="s">
        <v>203</v>
      </c>
      <c r="EBT16" s="314" t="s">
        <v>203</v>
      </c>
      <c r="EBU16" s="314" t="s">
        <v>203</v>
      </c>
      <c r="EBV16" s="314" t="s">
        <v>203</v>
      </c>
      <c r="EBW16" s="314" t="s">
        <v>203</v>
      </c>
      <c r="EBX16" s="314" t="s">
        <v>203</v>
      </c>
      <c r="EBY16" s="314" t="s">
        <v>203</v>
      </c>
      <c r="EBZ16" s="314" t="s">
        <v>203</v>
      </c>
      <c r="ECA16" s="314" t="s">
        <v>203</v>
      </c>
      <c r="ECB16" s="314" t="s">
        <v>203</v>
      </c>
      <c r="ECC16" s="314" t="s">
        <v>203</v>
      </c>
      <c r="ECD16" s="314" t="s">
        <v>203</v>
      </c>
      <c r="ECE16" s="314" t="s">
        <v>203</v>
      </c>
      <c r="ECF16" s="314" t="s">
        <v>203</v>
      </c>
      <c r="ECG16" s="314" t="s">
        <v>203</v>
      </c>
      <c r="ECH16" s="314" t="s">
        <v>203</v>
      </c>
      <c r="ECI16" s="314" t="s">
        <v>203</v>
      </c>
      <c r="ECJ16" s="314" t="s">
        <v>203</v>
      </c>
      <c r="ECK16" s="314" t="s">
        <v>203</v>
      </c>
      <c r="ECL16" s="314" t="s">
        <v>203</v>
      </c>
      <c r="ECM16" s="314" t="s">
        <v>203</v>
      </c>
      <c r="ECN16" s="314" t="s">
        <v>203</v>
      </c>
      <c r="ECO16" s="314" t="s">
        <v>203</v>
      </c>
      <c r="ECP16" s="314" t="s">
        <v>203</v>
      </c>
      <c r="ECQ16" s="314" t="s">
        <v>203</v>
      </c>
      <c r="ECR16" s="314" t="s">
        <v>203</v>
      </c>
      <c r="ECS16" s="314" t="s">
        <v>203</v>
      </c>
      <c r="ECT16" s="314" t="s">
        <v>203</v>
      </c>
      <c r="ECU16" s="314" t="s">
        <v>203</v>
      </c>
      <c r="ECV16" s="314" t="s">
        <v>203</v>
      </c>
      <c r="ECW16" s="314" t="s">
        <v>203</v>
      </c>
      <c r="ECX16" s="314" t="s">
        <v>203</v>
      </c>
      <c r="ECY16" s="314" t="s">
        <v>203</v>
      </c>
      <c r="ECZ16" s="314" t="s">
        <v>203</v>
      </c>
      <c r="EDA16" s="314" t="s">
        <v>203</v>
      </c>
      <c r="EDB16" s="314" t="s">
        <v>203</v>
      </c>
      <c r="EDC16" s="314" t="s">
        <v>203</v>
      </c>
      <c r="EDD16" s="314" t="s">
        <v>203</v>
      </c>
      <c r="EDE16" s="314" t="s">
        <v>203</v>
      </c>
      <c r="EDF16" s="314" t="s">
        <v>203</v>
      </c>
      <c r="EDG16" s="314" t="s">
        <v>203</v>
      </c>
      <c r="EDH16" s="314" t="s">
        <v>203</v>
      </c>
      <c r="EDI16" s="314" t="s">
        <v>203</v>
      </c>
      <c r="EDJ16" s="314" t="s">
        <v>203</v>
      </c>
      <c r="EDK16" s="314" t="s">
        <v>203</v>
      </c>
      <c r="EDL16" s="314" t="s">
        <v>203</v>
      </c>
      <c r="EDM16" s="314" t="s">
        <v>203</v>
      </c>
      <c r="EDN16" s="314" t="s">
        <v>203</v>
      </c>
      <c r="EDO16" s="314" t="s">
        <v>203</v>
      </c>
      <c r="EDP16" s="314" t="s">
        <v>203</v>
      </c>
      <c r="EDQ16" s="314" t="s">
        <v>203</v>
      </c>
      <c r="EDR16" s="314" t="s">
        <v>203</v>
      </c>
      <c r="EDS16" s="314" t="s">
        <v>203</v>
      </c>
      <c r="EDT16" s="314" t="s">
        <v>203</v>
      </c>
      <c r="EDU16" s="314" t="s">
        <v>203</v>
      </c>
      <c r="EDV16" s="314" t="s">
        <v>203</v>
      </c>
      <c r="EDW16" s="314" t="s">
        <v>203</v>
      </c>
      <c r="EDX16" s="314" t="s">
        <v>203</v>
      </c>
      <c r="EDY16" s="314" t="s">
        <v>203</v>
      </c>
      <c r="EDZ16" s="314" t="s">
        <v>203</v>
      </c>
      <c r="EEA16" s="314" t="s">
        <v>203</v>
      </c>
      <c r="EEB16" s="314" t="s">
        <v>203</v>
      </c>
      <c r="EEC16" s="314" t="s">
        <v>203</v>
      </c>
      <c r="EED16" s="314" t="s">
        <v>203</v>
      </c>
      <c r="EEE16" s="314" t="s">
        <v>203</v>
      </c>
      <c r="EEF16" s="314" t="s">
        <v>203</v>
      </c>
      <c r="EEG16" s="314" t="s">
        <v>203</v>
      </c>
      <c r="EEH16" s="314" t="s">
        <v>203</v>
      </c>
      <c r="EEI16" s="314" t="s">
        <v>203</v>
      </c>
      <c r="EEJ16" s="314" t="s">
        <v>203</v>
      </c>
      <c r="EEK16" s="314" t="s">
        <v>203</v>
      </c>
      <c r="EEL16" s="314" t="s">
        <v>203</v>
      </c>
      <c r="EEM16" s="314" t="s">
        <v>203</v>
      </c>
      <c r="EEN16" s="314" t="s">
        <v>203</v>
      </c>
      <c r="EEO16" s="314" t="s">
        <v>203</v>
      </c>
      <c r="EEP16" s="314" t="s">
        <v>203</v>
      </c>
      <c r="EEQ16" s="314" t="s">
        <v>203</v>
      </c>
      <c r="EER16" s="314" t="s">
        <v>203</v>
      </c>
      <c r="EES16" s="314" t="s">
        <v>203</v>
      </c>
      <c r="EET16" s="314" t="s">
        <v>203</v>
      </c>
      <c r="EEU16" s="314" t="s">
        <v>203</v>
      </c>
      <c r="EEV16" s="314" t="s">
        <v>203</v>
      </c>
      <c r="EEW16" s="314" t="s">
        <v>203</v>
      </c>
      <c r="EEX16" s="314" t="s">
        <v>203</v>
      </c>
      <c r="EEY16" s="314" t="s">
        <v>203</v>
      </c>
      <c r="EEZ16" s="314" t="s">
        <v>203</v>
      </c>
      <c r="EFA16" s="314" t="s">
        <v>203</v>
      </c>
      <c r="EFB16" s="314" t="s">
        <v>203</v>
      </c>
      <c r="EFC16" s="314" t="s">
        <v>203</v>
      </c>
      <c r="EFD16" s="314" t="s">
        <v>203</v>
      </c>
      <c r="EFE16" s="314" t="s">
        <v>203</v>
      </c>
      <c r="EFF16" s="314" t="s">
        <v>203</v>
      </c>
      <c r="EFG16" s="314" t="s">
        <v>203</v>
      </c>
      <c r="EFH16" s="314" t="s">
        <v>203</v>
      </c>
      <c r="EFI16" s="314" t="s">
        <v>203</v>
      </c>
      <c r="EFJ16" s="314" t="s">
        <v>203</v>
      </c>
      <c r="EFK16" s="314" t="s">
        <v>203</v>
      </c>
      <c r="EFL16" s="314" t="s">
        <v>203</v>
      </c>
      <c r="EFM16" s="314" t="s">
        <v>203</v>
      </c>
      <c r="EFN16" s="314" t="s">
        <v>203</v>
      </c>
      <c r="EFO16" s="314" t="s">
        <v>203</v>
      </c>
      <c r="EFP16" s="314" t="s">
        <v>203</v>
      </c>
      <c r="EFQ16" s="314" t="s">
        <v>203</v>
      </c>
      <c r="EFR16" s="314" t="s">
        <v>203</v>
      </c>
      <c r="EFS16" s="314" t="s">
        <v>203</v>
      </c>
      <c r="EFT16" s="314" t="s">
        <v>203</v>
      </c>
      <c r="EFU16" s="314" t="s">
        <v>203</v>
      </c>
      <c r="EFV16" s="314" t="s">
        <v>203</v>
      </c>
      <c r="EFW16" s="314" t="s">
        <v>203</v>
      </c>
      <c r="EFX16" s="314" t="s">
        <v>203</v>
      </c>
      <c r="EFY16" s="314" t="s">
        <v>203</v>
      </c>
      <c r="EFZ16" s="314" t="s">
        <v>203</v>
      </c>
      <c r="EGA16" s="314" t="s">
        <v>203</v>
      </c>
      <c r="EGB16" s="314" t="s">
        <v>203</v>
      </c>
      <c r="EGC16" s="314" t="s">
        <v>203</v>
      </c>
      <c r="EGD16" s="314" t="s">
        <v>203</v>
      </c>
      <c r="EGE16" s="314" t="s">
        <v>203</v>
      </c>
      <c r="EGF16" s="314" t="s">
        <v>203</v>
      </c>
      <c r="EGG16" s="314" t="s">
        <v>203</v>
      </c>
      <c r="EGH16" s="314" t="s">
        <v>203</v>
      </c>
      <c r="EGI16" s="314" t="s">
        <v>203</v>
      </c>
      <c r="EGJ16" s="314" t="s">
        <v>203</v>
      </c>
      <c r="EGK16" s="314" t="s">
        <v>203</v>
      </c>
      <c r="EGL16" s="314" t="s">
        <v>203</v>
      </c>
      <c r="EGM16" s="314" t="s">
        <v>203</v>
      </c>
      <c r="EGN16" s="314" t="s">
        <v>203</v>
      </c>
      <c r="EGO16" s="314" t="s">
        <v>203</v>
      </c>
      <c r="EGP16" s="314" t="s">
        <v>203</v>
      </c>
      <c r="EGQ16" s="314" t="s">
        <v>203</v>
      </c>
      <c r="EGR16" s="314" t="s">
        <v>203</v>
      </c>
      <c r="EGS16" s="314" t="s">
        <v>203</v>
      </c>
      <c r="EGT16" s="314" t="s">
        <v>203</v>
      </c>
      <c r="EGU16" s="314" t="s">
        <v>203</v>
      </c>
      <c r="EGV16" s="314" t="s">
        <v>203</v>
      </c>
      <c r="EGW16" s="314" t="s">
        <v>203</v>
      </c>
      <c r="EGX16" s="314" t="s">
        <v>203</v>
      </c>
      <c r="EGY16" s="314" t="s">
        <v>203</v>
      </c>
      <c r="EGZ16" s="314" t="s">
        <v>203</v>
      </c>
      <c r="EHA16" s="314" t="s">
        <v>203</v>
      </c>
      <c r="EHB16" s="314" t="s">
        <v>203</v>
      </c>
      <c r="EHC16" s="314" t="s">
        <v>203</v>
      </c>
      <c r="EHD16" s="314" t="s">
        <v>203</v>
      </c>
      <c r="EHE16" s="314" t="s">
        <v>203</v>
      </c>
      <c r="EHF16" s="314" t="s">
        <v>203</v>
      </c>
      <c r="EHG16" s="314" t="s">
        <v>203</v>
      </c>
      <c r="EHH16" s="314" t="s">
        <v>203</v>
      </c>
      <c r="EHI16" s="314" t="s">
        <v>203</v>
      </c>
      <c r="EHJ16" s="314" t="s">
        <v>203</v>
      </c>
      <c r="EHK16" s="314" t="s">
        <v>203</v>
      </c>
      <c r="EHL16" s="314" t="s">
        <v>203</v>
      </c>
      <c r="EHM16" s="314" t="s">
        <v>203</v>
      </c>
      <c r="EHN16" s="314" t="s">
        <v>203</v>
      </c>
      <c r="EHO16" s="314" t="s">
        <v>203</v>
      </c>
      <c r="EHP16" s="314" t="s">
        <v>203</v>
      </c>
      <c r="EHQ16" s="314" t="s">
        <v>203</v>
      </c>
      <c r="EHR16" s="314" t="s">
        <v>203</v>
      </c>
      <c r="EHS16" s="314" t="s">
        <v>203</v>
      </c>
      <c r="EHT16" s="314" t="s">
        <v>203</v>
      </c>
      <c r="EHU16" s="314" t="s">
        <v>203</v>
      </c>
      <c r="EHV16" s="314" t="s">
        <v>203</v>
      </c>
      <c r="EHW16" s="314" t="s">
        <v>203</v>
      </c>
      <c r="EHX16" s="314" t="s">
        <v>203</v>
      </c>
      <c r="EHY16" s="314" t="s">
        <v>203</v>
      </c>
      <c r="EHZ16" s="314" t="s">
        <v>203</v>
      </c>
      <c r="EIA16" s="314" t="s">
        <v>203</v>
      </c>
      <c r="EIB16" s="314" t="s">
        <v>203</v>
      </c>
      <c r="EIC16" s="314" t="s">
        <v>203</v>
      </c>
      <c r="EID16" s="314" t="s">
        <v>203</v>
      </c>
      <c r="EIE16" s="314" t="s">
        <v>203</v>
      </c>
      <c r="EIF16" s="314" t="s">
        <v>203</v>
      </c>
      <c r="EIG16" s="314" t="s">
        <v>203</v>
      </c>
      <c r="EIH16" s="314" t="s">
        <v>203</v>
      </c>
      <c r="EII16" s="314" t="s">
        <v>203</v>
      </c>
      <c r="EIJ16" s="314" t="s">
        <v>203</v>
      </c>
      <c r="EIK16" s="314" t="s">
        <v>203</v>
      </c>
      <c r="EIL16" s="314" t="s">
        <v>203</v>
      </c>
      <c r="EIM16" s="314" t="s">
        <v>203</v>
      </c>
      <c r="EIN16" s="314" t="s">
        <v>203</v>
      </c>
      <c r="EIO16" s="314" t="s">
        <v>203</v>
      </c>
      <c r="EIP16" s="314" t="s">
        <v>203</v>
      </c>
      <c r="EIQ16" s="314" t="s">
        <v>203</v>
      </c>
      <c r="EIR16" s="314" t="s">
        <v>203</v>
      </c>
      <c r="EIS16" s="314" t="s">
        <v>203</v>
      </c>
      <c r="EIT16" s="314" t="s">
        <v>203</v>
      </c>
      <c r="EIU16" s="314" t="s">
        <v>203</v>
      </c>
      <c r="EIV16" s="314" t="s">
        <v>203</v>
      </c>
      <c r="EIW16" s="314" t="s">
        <v>203</v>
      </c>
      <c r="EIX16" s="314" t="s">
        <v>203</v>
      </c>
      <c r="EIY16" s="314" t="s">
        <v>203</v>
      </c>
      <c r="EIZ16" s="314" t="s">
        <v>203</v>
      </c>
      <c r="EJA16" s="314" t="s">
        <v>203</v>
      </c>
      <c r="EJB16" s="314" t="s">
        <v>203</v>
      </c>
      <c r="EJC16" s="314" t="s">
        <v>203</v>
      </c>
      <c r="EJD16" s="314" t="s">
        <v>203</v>
      </c>
      <c r="EJE16" s="314" t="s">
        <v>203</v>
      </c>
      <c r="EJF16" s="314" t="s">
        <v>203</v>
      </c>
      <c r="EJG16" s="314" t="s">
        <v>203</v>
      </c>
      <c r="EJH16" s="314" t="s">
        <v>203</v>
      </c>
      <c r="EJI16" s="314" t="s">
        <v>203</v>
      </c>
      <c r="EJJ16" s="314" t="s">
        <v>203</v>
      </c>
      <c r="EJK16" s="314" t="s">
        <v>203</v>
      </c>
      <c r="EJL16" s="314" t="s">
        <v>203</v>
      </c>
      <c r="EJM16" s="314" t="s">
        <v>203</v>
      </c>
      <c r="EJN16" s="314" t="s">
        <v>203</v>
      </c>
      <c r="EJO16" s="314" t="s">
        <v>203</v>
      </c>
      <c r="EJP16" s="314" t="s">
        <v>203</v>
      </c>
      <c r="EJQ16" s="314" t="s">
        <v>203</v>
      </c>
      <c r="EJR16" s="314" t="s">
        <v>203</v>
      </c>
      <c r="EJS16" s="314" t="s">
        <v>203</v>
      </c>
      <c r="EJT16" s="314" t="s">
        <v>203</v>
      </c>
      <c r="EJU16" s="314" t="s">
        <v>203</v>
      </c>
      <c r="EJV16" s="314" t="s">
        <v>203</v>
      </c>
      <c r="EJW16" s="314" t="s">
        <v>203</v>
      </c>
      <c r="EJX16" s="314" t="s">
        <v>203</v>
      </c>
      <c r="EJY16" s="314" t="s">
        <v>203</v>
      </c>
      <c r="EJZ16" s="314" t="s">
        <v>203</v>
      </c>
      <c r="EKA16" s="314" t="s">
        <v>203</v>
      </c>
      <c r="EKB16" s="314" t="s">
        <v>203</v>
      </c>
      <c r="EKC16" s="314" t="s">
        <v>203</v>
      </c>
      <c r="EKD16" s="314" t="s">
        <v>203</v>
      </c>
      <c r="EKE16" s="314" t="s">
        <v>203</v>
      </c>
      <c r="EKF16" s="314" t="s">
        <v>203</v>
      </c>
      <c r="EKG16" s="314" t="s">
        <v>203</v>
      </c>
      <c r="EKH16" s="314" t="s">
        <v>203</v>
      </c>
      <c r="EKI16" s="314" t="s">
        <v>203</v>
      </c>
      <c r="EKJ16" s="314" t="s">
        <v>203</v>
      </c>
      <c r="EKK16" s="314" t="s">
        <v>203</v>
      </c>
      <c r="EKL16" s="314" t="s">
        <v>203</v>
      </c>
      <c r="EKM16" s="314" t="s">
        <v>203</v>
      </c>
      <c r="EKN16" s="314" t="s">
        <v>203</v>
      </c>
      <c r="EKO16" s="314" t="s">
        <v>203</v>
      </c>
      <c r="EKP16" s="314" t="s">
        <v>203</v>
      </c>
      <c r="EKQ16" s="314" t="s">
        <v>203</v>
      </c>
      <c r="EKR16" s="314" t="s">
        <v>203</v>
      </c>
      <c r="EKS16" s="314" t="s">
        <v>203</v>
      </c>
      <c r="EKT16" s="314" t="s">
        <v>203</v>
      </c>
      <c r="EKU16" s="314" t="s">
        <v>203</v>
      </c>
      <c r="EKV16" s="314" t="s">
        <v>203</v>
      </c>
      <c r="EKW16" s="314" t="s">
        <v>203</v>
      </c>
      <c r="EKX16" s="314" t="s">
        <v>203</v>
      </c>
      <c r="EKY16" s="314" t="s">
        <v>203</v>
      </c>
      <c r="EKZ16" s="314" t="s">
        <v>203</v>
      </c>
      <c r="ELA16" s="314" t="s">
        <v>203</v>
      </c>
      <c r="ELB16" s="314" t="s">
        <v>203</v>
      </c>
      <c r="ELC16" s="314" t="s">
        <v>203</v>
      </c>
      <c r="ELD16" s="314" t="s">
        <v>203</v>
      </c>
      <c r="ELE16" s="314" t="s">
        <v>203</v>
      </c>
      <c r="ELF16" s="314" t="s">
        <v>203</v>
      </c>
      <c r="ELG16" s="314" t="s">
        <v>203</v>
      </c>
      <c r="ELH16" s="314" t="s">
        <v>203</v>
      </c>
      <c r="ELI16" s="314" t="s">
        <v>203</v>
      </c>
      <c r="ELJ16" s="314" t="s">
        <v>203</v>
      </c>
      <c r="ELK16" s="314" t="s">
        <v>203</v>
      </c>
      <c r="ELL16" s="314" t="s">
        <v>203</v>
      </c>
      <c r="ELM16" s="314" t="s">
        <v>203</v>
      </c>
      <c r="ELN16" s="314" t="s">
        <v>203</v>
      </c>
      <c r="ELO16" s="314" t="s">
        <v>203</v>
      </c>
      <c r="ELP16" s="314" t="s">
        <v>203</v>
      </c>
      <c r="ELQ16" s="314" t="s">
        <v>203</v>
      </c>
      <c r="ELR16" s="314" t="s">
        <v>203</v>
      </c>
      <c r="ELS16" s="314" t="s">
        <v>203</v>
      </c>
      <c r="ELT16" s="314" t="s">
        <v>203</v>
      </c>
      <c r="ELU16" s="314" t="s">
        <v>203</v>
      </c>
      <c r="ELV16" s="314" t="s">
        <v>203</v>
      </c>
      <c r="ELW16" s="314" t="s">
        <v>203</v>
      </c>
      <c r="ELX16" s="314" t="s">
        <v>203</v>
      </c>
      <c r="ELY16" s="314" t="s">
        <v>203</v>
      </c>
      <c r="ELZ16" s="314" t="s">
        <v>203</v>
      </c>
      <c r="EMA16" s="314" t="s">
        <v>203</v>
      </c>
      <c r="EMB16" s="314" t="s">
        <v>203</v>
      </c>
      <c r="EMC16" s="314" t="s">
        <v>203</v>
      </c>
      <c r="EMD16" s="314" t="s">
        <v>203</v>
      </c>
      <c r="EME16" s="314" t="s">
        <v>203</v>
      </c>
      <c r="EMF16" s="314" t="s">
        <v>203</v>
      </c>
      <c r="EMG16" s="314" t="s">
        <v>203</v>
      </c>
      <c r="EMH16" s="314" t="s">
        <v>203</v>
      </c>
      <c r="EMI16" s="314" t="s">
        <v>203</v>
      </c>
      <c r="EMJ16" s="314" t="s">
        <v>203</v>
      </c>
      <c r="EMK16" s="314" t="s">
        <v>203</v>
      </c>
      <c r="EML16" s="314" t="s">
        <v>203</v>
      </c>
      <c r="EMM16" s="314" t="s">
        <v>203</v>
      </c>
      <c r="EMN16" s="314" t="s">
        <v>203</v>
      </c>
      <c r="EMO16" s="314" t="s">
        <v>203</v>
      </c>
      <c r="EMP16" s="314" t="s">
        <v>203</v>
      </c>
      <c r="EMQ16" s="314" t="s">
        <v>203</v>
      </c>
      <c r="EMR16" s="314" t="s">
        <v>203</v>
      </c>
      <c r="EMS16" s="314" t="s">
        <v>203</v>
      </c>
      <c r="EMT16" s="314" t="s">
        <v>203</v>
      </c>
      <c r="EMU16" s="314" t="s">
        <v>203</v>
      </c>
      <c r="EMV16" s="314" t="s">
        <v>203</v>
      </c>
      <c r="EMW16" s="314" t="s">
        <v>203</v>
      </c>
      <c r="EMX16" s="314" t="s">
        <v>203</v>
      </c>
      <c r="EMY16" s="314" t="s">
        <v>203</v>
      </c>
      <c r="EMZ16" s="314" t="s">
        <v>203</v>
      </c>
      <c r="ENA16" s="314" t="s">
        <v>203</v>
      </c>
      <c r="ENB16" s="314" t="s">
        <v>203</v>
      </c>
      <c r="ENC16" s="314" t="s">
        <v>203</v>
      </c>
      <c r="END16" s="314" t="s">
        <v>203</v>
      </c>
      <c r="ENE16" s="314" t="s">
        <v>203</v>
      </c>
      <c r="ENF16" s="314" t="s">
        <v>203</v>
      </c>
      <c r="ENG16" s="314" t="s">
        <v>203</v>
      </c>
      <c r="ENH16" s="314" t="s">
        <v>203</v>
      </c>
      <c r="ENI16" s="314" t="s">
        <v>203</v>
      </c>
      <c r="ENJ16" s="314" t="s">
        <v>203</v>
      </c>
      <c r="ENK16" s="314" t="s">
        <v>203</v>
      </c>
      <c r="ENL16" s="314" t="s">
        <v>203</v>
      </c>
      <c r="ENM16" s="314" t="s">
        <v>203</v>
      </c>
      <c r="ENN16" s="314" t="s">
        <v>203</v>
      </c>
      <c r="ENO16" s="314" t="s">
        <v>203</v>
      </c>
      <c r="ENP16" s="314" t="s">
        <v>203</v>
      </c>
      <c r="ENQ16" s="314" t="s">
        <v>203</v>
      </c>
      <c r="ENR16" s="314" t="s">
        <v>203</v>
      </c>
      <c r="ENS16" s="314" t="s">
        <v>203</v>
      </c>
      <c r="ENT16" s="314" t="s">
        <v>203</v>
      </c>
      <c r="ENU16" s="314" t="s">
        <v>203</v>
      </c>
      <c r="ENV16" s="314" t="s">
        <v>203</v>
      </c>
      <c r="ENW16" s="314" t="s">
        <v>203</v>
      </c>
      <c r="ENX16" s="314" t="s">
        <v>203</v>
      </c>
      <c r="ENY16" s="314" t="s">
        <v>203</v>
      </c>
      <c r="ENZ16" s="314" t="s">
        <v>203</v>
      </c>
      <c r="EOA16" s="314" t="s">
        <v>203</v>
      </c>
      <c r="EOB16" s="314" t="s">
        <v>203</v>
      </c>
      <c r="EOC16" s="314" t="s">
        <v>203</v>
      </c>
      <c r="EOD16" s="314" t="s">
        <v>203</v>
      </c>
      <c r="EOE16" s="314" t="s">
        <v>203</v>
      </c>
      <c r="EOF16" s="314" t="s">
        <v>203</v>
      </c>
      <c r="EOG16" s="314" t="s">
        <v>203</v>
      </c>
      <c r="EOH16" s="314" t="s">
        <v>203</v>
      </c>
      <c r="EOI16" s="314" t="s">
        <v>203</v>
      </c>
      <c r="EOJ16" s="314" t="s">
        <v>203</v>
      </c>
      <c r="EOK16" s="314" t="s">
        <v>203</v>
      </c>
      <c r="EOL16" s="314" t="s">
        <v>203</v>
      </c>
      <c r="EOM16" s="314" t="s">
        <v>203</v>
      </c>
      <c r="EON16" s="314" t="s">
        <v>203</v>
      </c>
      <c r="EOO16" s="314" t="s">
        <v>203</v>
      </c>
      <c r="EOP16" s="314" t="s">
        <v>203</v>
      </c>
      <c r="EOQ16" s="314" t="s">
        <v>203</v>
      </c>
      <c r="EOR16" s="314" t="s">
        <v>203</v>
      </c>
      <c r="EOS16" s="314" t="s">
        <v>203</v>
      </c>
      <c r="EOT16" s="314" t="s">
        <v>203</v>
      </c>
      <c r="EOU16" s="314" t="s">
        <v>203</v>
      </c>
      <c r="EOV16" s="314" t="s">
        <v>203</v>
      </c>
      <c r="EOW16" s="314" t="s">
        <v>203</v>
      </c>
      <c r="EOX16" s="314" t="s">
        <v>203</v>
      </c>
      <c r="EOY16" s="314" t="s">
        <v>203</v>
      </c>
      <c r="EOZ16" s="314" t="s">
        <v>203</v>
      </c>
      <c r="EPA16" s="314" t="s">
        <v>203</v>
      </c>
      <c r="EPB16" s="314" t="s">
        <v>203</v>
      </c>
      <c r="EPC16" s="314" t="s">
        <v>203</v>
      </c>
      <c r="EPD16" s="314" t="s">
        <v>203</v>
      </c>
      <c r="EPE16" s="314" t="s">
        <v>203</v>
      </c>
      <c r="EPF16" s="314" t="s">
        <v>203</v>
      </c>
      <c r="EPG16" s="314" t="s">
        <v>203</v>
      </c>
      <c r="EPH16" s="314" t="s">
        <v>203</v>
      </c>
      <c r="EPI16" s="314" t="s">
        <v>203</v>
      </c>
      <c r="EPJ16" s="314" t="s">
        <v>203</v>
      </c>
      <c r="EPK16" s="314" t="s">
        <v>203</v>
      </c>
      <c r="EPL16" s="314" t="s">
        <v>203</v>
      </c>
      <c r="EPM16" s="314" t="s">
        <v>203</v>
      </c>
      <c r="EPN16" s="314" t="s">
        <v>203</v>
      </c>
      <c r="EPO16" s="314" t="s">
        <v>203</v>
      </c>
      <c r="EPP16" s="314" t="s">
        <v>203</v>
      </c>
      <c r="EPQ16" s="314" t="s">
        <v>203</v>
      </c>
      <c r="EPR16" s="314" t="s">
        <v>203</v>
      </c>
      <c r="EPS16" s="314" t="s">
        <v>203</v>
      </c>
      <c r="EPT16" s="314" t="s">
        <v>203</v>
      </c>
      <c r="EPU16" s="314" t="s">
        <v>203</v>
      </c>
      <c r="EPV16" s="314" t="s">
        <v>203</v>
      </c>
      <c r="EPW16" s="314" t="s">
        <v>203</v>
      </c>
      <c r="EPX16" s="314" t="s">
        <v>203</v>
      </c>
      <c r="EPY16" s="314" t="s">
        <v>203</v>
      </c>
      <c r="EPZ16" s="314" t="s">
        <v>203</v>
      </c>
      <c r="EQA16" s="314" t="s">
        <v>203</v>
      </c>
      <c r="EQB16" s="314" t="s">
        <v>203</v>
      </c>
      <c r="EQC16" s="314" t="s">
        <v>203</v>
      </c>
      <c r="EQD16" s="314" t="s">
        <v>203</v>
      </c>
      <c r="EQE16" s="314" t="s">
        <v>203</v>
      </c>
      <c r="EQF16" s="314" t="s">
        <v>203</v>
      </c>
      <c r="EQG16" s="314" t="s">
        <v>203</v>
      </c>
      <c r="EQH16" s="314" t="s">
        <v>203</v>
      </c>
      <c r="EQI16" s="314" t="s">
        <v>203</v>
      </c>
      <c r="EQJ16" s="314" t="s">
        <v>203</v>
      </c>
      <c r="EQK16" s="314" t="s">
        <v>203</v>
      </c>
      <c r="EQL16" s="314" t="s">
        <v>203</v>
      </c>
      <c r="EQM16" s="314" t="s">
        <v>203</v>
      </c>
      <c r="EQN16" s="314" t="s">
        <v>203</v>
      </c>
      <c r="EQO16" s="314" t="s">
        <v>203</v>
      </c>
      <c r="EQP16" s="314" t="s">
        <v>203</v>
      </c>
      <c r="EQQ16" s="314" t="s">
        <v>203</v>
      </c>
      <c r="EQR16" s="314" t="s">
        <v>203</v>
      </c>
      <c r="EQS16" s="314" t="s">
        <v>203</v>
      </c>
      <c r="EQT16" s="314" t="s">
        <v>203</v>
      </c>
      <c r="EQU16" s="314" t="s">
        <v>203</v>
      </c>
      <c r="EQV16" s="314" t="s">
        <v>203</v>
      </c>
      <c r="EQW16" s="314" t="s">
        <v>203</v>
      </c>
      <c r="EQX16" s="314" t="s">
        <v>203</v>
      </c>
      <c r="EQY16" s="314" t="s">
        <v>203</v>
      </c>
      <c r="EQZ16" s="314" t="s">
        <v>203</v>
      </c>
      <c r="ERA16" s="314" t="s">
        <v>203</v>
      </c>
      <c r="ERB16" s="314" t="s">
        <v>203</v>
      </c>
      <c r="ERC16" s="314" t="s">
        <v>203</v>
      </c>
      <c r="ERD16" s="314" t="s">
        <v>203</v>
      </c>
      <c r="ERE16" s="314" t="s">
        <v>203</v>
      </c>
      <c r="ERF16" s="314" t="s">
        <v>203</v>
      </c>
      <c r="ERG16" s="314" t="s">
        <v>203</v>
      </c>
      <c r="ERH16" s="314" t="s">
        <v>203</v>
      </c>
      <c r="ERI16" s="314" t="s">
        <v>203</v>
      </c>
      <c r="ERJ16" s="314" t="s">
        <v>203</v>
      </c>
      <c r="ERK16" s="314" t="s">
        <v>203</v>
      </c>
      <c r="ERL16" s="314" t="s">
        <v>203</v>
      </c>
      <c r="ERM16" s="314" t="s">
        <v>203</v>
      </c>
      <c r="ERN16" s="314" t="s">
        <v>203</v>
      </c>
      <c r="ERO16" s="314" t="s">
        <v>203</v>
      </c>
      <c r="ERP16" s="314" t="s">
        <v>203</v>
      </c>
      <c r="ERQ16" s="314" t="s">
        <v>203</v>
      </c>
      <c r="ERR16" s="314" t="s">
        <v>203</v>
      </c>
      <c r="ERS16" s="314" t="s">
        <v>203</v>
      </c>
      <c r="ERT16" s="314" t="s">
        <v>203</v>
      </c>
      <c r="ERU16" s="314" t="s">
        <v>203</v>
      </c>
      <c r="ERV16" s="314" t="s">
        <v>203</v>
      </c>
      <c r="ERW16" s="314" t="s">
        <v>203</v>
      </c>
      <c r="ERX16" s="314" t="s">
        <v>203</v>
      </c>
      <c r="ERY16" s="314" t="s">
        <v>203</v>
      </c>
      <c r="ERZ16" s="314" t="s">
        <v>203</v>
      </c>
      <c r="ESA16" s="314" t="s">
        <v>203</v>
      </c>
      <c r="ESB16" s="314" t="s">
        <v>203</v>
      </c>
      <c r="ESC16" s="314" t="s">
        <v>203</v>
      </c>
      <c r="ESD16" s="314" t="s">
        <v>203</v>
      </c>
      <c r="ESE16" s="314" t="s">
        <v>203</v>
      </c>
      <c r="ESF16" s="314" t="s">
        <v>203</v>
      </c>
      <c r="ESG16" s="314" t="s">
        <v>203</v>
      </c>
      <c r="ESH16" s="314" t="s">
        <v>203</v>
      </c>
      <c r="ESI16" s="314" t="s">
        <v>203</v>
      </c>
      <c r="ESJ16" s="314" t="s">
        <v>203</v>
      </c>
      <c r="ESK16" s="314" t="s">
        <v>203</v>
      </c>
      <c r="ESL16" s="314" t="s">
        <v>203</v>
      </c>
      <c r="ESM16" s="314" t="s">
        <v>203</v>
      </c>
      <c r="ESN16" s="314" t="s">
        <v>203</v>
      </c>
      <c r="ESO16" s="314" t="s">
        <v>203</v>
      </c>
      <c r="ESP16" s="314" t="s">
        <v>203</v>
      </c>
      <c r="ESQ16" s="314" t="s">
        <v>203</v>
      </c>
      <c r="ESR16" s="314" t="s">
        <v>203</v>
      </c>
      <c r="ESS16" s="314" t="s">
        <v>203</v>
      </c>
      <c r="EST16" s="314" t="s">
        <v>203</v>
      </c>
      <c r="ESU16" s="314" t="s">
        <v>203</v>
      </c>
      <c r="ESV16" s="314" t="s">
        <v>203</v>
      </c>
      <c r="ESW16" s="314" t="s">
        <v>203</v>
      </c>
      <c r="ESX16" s="314" t="s">
        <v>203</v>
      </c>
      <c r="ESY16" s="314" t="s">
        <v>203</v>
      </c>
      <c r="ESZ16" s="314" t="s">
        <v>203</v>
      </c>
      <c r="ETA16" s="314" t="s">
        <v>203</v>
      </c>
      <c r="ETB16" s="314" t="s">
        <v>203</v>
      </c>
      <c r="ETC16" s="314" t="s">
        <v>203</v>
      </c>
      <c r="ETD16" s="314" t="s">
        <v>203</v>
      </c>
      <c r="ETE16" s="314" t="s">
        <v>203</v>
      </c>
      <c r="ETF16" s="314" t="s">
        <v>203</v>
      </c>
      <c r="ETG16" s="314" t="s">
        <v>203</v>
      </c>
      <c r="ETH16" s="314" t="s">
        <v>203</v>
      </c>
      <c r="ETI16" s="314" t="s">
        <v>203</v>
      </c>
      <c r="ETJ16" s="314" t="s">
        <v>203</v>
      </c>
      <c r="ETK16" s="314" t="s">
        <v>203</v>
      </c>
      <c r="ETL16" s="314" t="s">
        <v>203</v>
      </c>
      <c r="ETM16" s="314" t="s">
        <v>203</v>
      </c>
      <c r="ETN16" s="314" t="s">
        <v>203</v>
      </c>
      <c r="ETO16" s="314" t="s">
        <v>203</v>
      </c>
      <c r="ETP16" s="314" t="s">
        <v>203</v>
      </c>
      <c r="ETQ16" s="314" t="s">
        <v>203</v>
      </c>
      <c r="ETR16" s="314" t="s">
        <v>203</v>
      </c>
      <c r="ETS16" s="314" t="s">
        <v>203</v>
      </c>
      <c r="ETT16" s="314" t="s">
        <v>203</v>
      </c>
      <c r="ETU16" s="314" t="s">
        <v>203</v>
      </c>
      <c r="ETV16" s="314" t="s">
        <v>203</v>
      </c>
      <c r="ETW16" s="314" t="s">
        <v>203</v>
      </c>
      <c r="ETX16" s="314" t="s">
        <v>203</v>
      </c>
      <c r="ETY16" s="314" t="s">
        <v>203</v>
      </c>
      <c r="ETZ16" s="314" t="s">
        <v>203</v>
      </c>
      <c r="EUA16" s="314" t="s">
        <v>203</v>
      </c>
      <c r="EUB16" s="314" t="s">
        <v>203</v>
      </c>
      <c r="EUC16" s="314" t="s">
        <v>203</v>
      </c>
      <c r="EUD16" s="314" t="s">
        <v>203</v>
      </c>
      <c r="EUE16" s="314" t="s">
        <v>203</v>
      </c>
      <c r="EUF16" s="314" t="s">
        <v>203</v>
      </c>
      <c r="EUG16" s="314" t="s">
        <v>203</v>
      </c>
      <c r="EUH16" s="314" t="s">
        <v>203</v>
      </c>
      <c r="EUI16" s="314" t="s">
        <v>203</v>
      </c>
      <c r="EUJ16" s="314" t="s">
        <v>203</v>
      </c>
      <c r="EUK16" s="314" t="s">
        <v>203</v>
      </c>
      <c r="EUL16" s="314" t="s">
        <v>203</v>
      </c>
      <c r="EUM16" s="314" t="s">
        <v>203</v>
      </c>
      <c r="EUN16" s="314" t="s">
        <v>203</v>
      </c>
      <c r="EUO16" s="314" t="s">
        <v>203</v>
      </c>
      <c r="EUP16" s="314" t="s">
        <v>203</v>
      </c>
      <c r="EUQ16" s="314" t="s">
        <v>203</v>
      </c>
      <c r="EUR16" s="314" t="s">
        <v>203</v>
      </c>
      <c r="EUS16" s="314" t="s">
        <v>203</v>
      </c>
      <c r="EUT16" s="314" t="s">
        <v>203</v>
      </c>
      <c r="EUU16" s="314" t="s">
        <v>203</v>
      </c>
      <c r="EUV16" s="314" t="s">
        <v>203</v>
      </c>
      <c r="EUW16" s="314" t="s">
        <v>203</v>
      </c>
      <c r="EUX16" s="314" t="s">
        <v>203</v>
      </c>
      <c r="EUY16" s="314" t="s">
        <v>203</v>
      </c>
      <c r="EUZ16" s="314" t="s">
        <v>203</v>
      </c>
      <c r="EVA16" s="314" t="s">
        <v>203</v>
      </c>
      <c r="EVB16" s="314" t="s">
        <v>203</v>
      </c>
      <c r="EVC16" s="314" t="s">
        <v>203</v>
      </c>
      <c r="EVD16" s="314" t="s">
        <v>203</v>
      </c>
      <c r="EVE16" s="314" t="s">
        <v>203</v>
      </c>
      <c r="EVF16" s="314" t="s">
        <v>203</v>
      </c>
      <c r="EVG16" s="314" t="s">
        <v>203</v>
      </c>
      <c r="EVH16" s="314" t="s">
        <v>203</v>
      </c>
      <c r="EVI16" s="314" t="s">
        <v>203</v>
      </c>
      <c r="EVJ16" s="314" t="s">
        <v>203</v>
      </c>
      <c r="EVK16" s="314" t="s">
        <v>203</v>
      </c>
      <c r="EVL16" s="314" t="s">
        <v>203</v>
      </c>
      <c r="EVM16" s="314" t="s">
        <v>203</v>
      </c>
      <c r="EVN16" s="314" t="s">
        <v>203</v>
      </c>
      <c r="EVO16" s="314" t="s">
        <v>203</v>
      </c>
      <c r="EVP16" s="314" t="s">
        <v>203</v>
      </c>
      <c r="EVQ16" s="314" t="s">
        <v>203</v>
      </c>
      <c r="EVR16" s="314" t="s">
        <v>203</v>
      </c>
      <c r="EVS16" s="314" t="s">
        <v>203</v>
      </c>
      <c r="EVT16" s="314" t="s">
        <v>203</v>
      </c>
      <c r="EVU16" s="314" t="s">
        <v>203</v>
      </c>
      <c r="EVV16" s="314" t="s">
        <v>203</v>
      </c>
      <c r="EVW16" s="314" t="s">
        <v>203</v>
      </c>
      <c r="EVX16" s="314" t="s">
        <v>203</v>
      </c>
      <c r="EVY16" s="314" t="s">
        <v>203</v>
      </c>
      <c r="EVZ16" s="314" t="s">
        <v>203</v>
      </c>
      <c r="EWA16" s="314" t="s">
        <v>203</v>
      </c>
      <c r="EWB16" s="314" t="s">
        <v>203</v>
      </c>
      <c r="EWC16" s="314" t="s">
        <v>203</v>
      </c>
      <c r="EWD16" s="314" t="s">
        <v>203</v>
      </c>
      <c r="EWE16" s="314" t="s">
        <v>203</v>
      </c>
      <c r="EWF16" s="314" t="s">
        <v>203</v>
      </c>
      <c r="EWG16" s="314" t="s">
        <v>203</v>
      </c>
      <c r="EWH16" s="314" t="s">
        <v>203</v>
      </c>
      <c r="EWI16" s="314" t="s">
        <v>203</v>
      </c>
      <c r="EWJ16" s="314" t="s">
        <v>203</v>
      </c>
      <c r="EWK16" s="314" t="s">
        <v>203</v>
      </c>
      <c r="EWL16" s="314" t="s">
        <v>203</v>
      </c>
      <c r="EWM16" s="314" t="s">
        <v>203</v>
      </c>
      <c r="EWN16" s="314" t="s">
        <v>203</v>
      </c>
      <c r="EWO16" s="314" t="s">
        <v>203</v>
      </c>
      <c r="EWP16" s="314" t="s">
        <v>203</v>
      </c>
      <c r="EWQ16" s="314" t="s">
        <v>203</v>
      </c>
      <c r="EWR16" s="314" t="s">
        <v>203</v>
      </c>
      <c r="EWS16" s="314" t="s">
        <v>203</v>
      </c>
      <c r="EWT16" s="314" t="s">
        <v>203</v>
      </c>
      <c r="EWU16" s="314" t="s">
        <v>203</v>
      </c>
      <c r="EWV16" s="314" t="s">
        <v>203</v>
      </c>
      <c r="EWW16" s="314" t="s">
        <v>203</v>
      </c>
      <c r="EWX16" s="314" t="s">
        <v>203</v>
      </c>
      <c r="EWY16" s="314" t="s">
        <v>203</v>
      </c>
      <c r="EWZ16" s="314" t="s">
        <v>203</v>
      </c>
      <c r="EXA16" s="314" t="s">
        <v>203</v>
      </c>
      <c r="EXB16" s="314" t="s">
        <v>203</v>
      </c>
      <c r="EXC16" s="314" t="s">
        <v>203</v>
      </c>
      <c r="EXD16" s="314" t="s">
        <v>203</v>
      </c>
      <c r="EXE16" s="314" t="s">
        <v>203</v>
      </c>
      <c r="EXF16" s="314" t="s">
        <v>203</v>
      </c>
      <c r="EXG16" s="314" t="s">
        <v>203</v>
      </c>
      <c r="EXH16" s="314" t="s">
        <v>203</v>
      </c>
      <c r="EXI16" s="314" t="s">
        <v>203</v>
      </c>
      <c r="EXJ16" s="314" t="s">
        <v>203</v>
      </c>
      <c r="EXK16" s="314" t="s">
        <v>203</v>
      </c>
      <c r="EXL16" s="314" t="s">
        <v>203</v>
      </c>
      <c r="EXM16" s="314" t="s">
        <v>203</v>
      </c>
      <c r="EXN16" s="314" t="s">
        <v>203</v>
      </c>
      <c r="EXO16" s="314" t="s">
        <v>203</v>
      </c>
      <c r="EXP16" s="314" t="s">
        <v>203</v>
      </c>
      <c r="EXQ16" s="314" t="s">
        <v>203</v>
      </c>
      <c r="EXR16" s="314" t="s">
        <v>203</v>
      </c>
      <c r="EXS16" s="314" t="s">
        <v>203</v>
      </c>
      <c r="EXT16" s="314" t="s">
        <v>203</v>
      </c>
      <c r="EXU16" s="314" t="s">
        <v>203</v>
      </c>
      <c r="EXV16" s="314" t="s">
        <v>203</v>
      </c>
      <c r="EXW16" s="314" t="s">
        <v>203</v>
      </c>
      <c r="EXX16" s="314" t="s">
        <v>203</v>
      </c>
      <c r="EXY16" s="314" t="s">
        <v>203</v>
      </c>
      <c r="EXZ16" s="314" t="s">
        <v>203</v>
      </c>
      <c r="EYA16" s="314" t="s">
        <v>203</v>
      </c>
      <c r="EYB16" s="314" t="s">
        <v>203</v>
      </c>
      <c r="EYC16" s="314" t="s">
        <v>203</v>
      </c>
      <c r="EYD16" s="314" t="s">
        <v>203</v>
      </c>
      <c r="EYE16" s="314" t="s">
        <v>203</v>
      </c>
      <c r="EYF16" s="314" t="s">
        <v>203</v>
      </c>
      <c r="EYG16" s="314" t="s">
        <v>203</v>
      </c>
      <c r="EYH16" s="314" t="s">
        <v>203</v>
      </c>
      <c r="EYI16" s="314" t="s">
        <v>203</v>
      </c>
      <c r="EYJ16" s="314" t="s">
        <v>203</v>
      </c>
      <c r="EYK16" s="314" t="s">
        <v>203</v>
      </c>
      <c r="EYL16" s="314" t="s">
        <v>203</v>
      </c>
      <c r="EYM16" s="314" t="s">
        <v>203</v>
      </c>
      <c r="EYN16" s="314" t="s">
        <v>203</v>
      </c>
      <c r="EYO16" s="314" t="s">
        <v>203</v>
      </c>
      <c r="EYP16" s="314" t="s">
        <v>203</v>
      </c>
      <c r="EYQ16" s="314" t="s">
        <v>203</v>
      </c>
      <c r="EYR16" s="314" t="s">
        <v>203</v>
      </c>
      <c r="EYS16" s="314" t="s">
        <v>203</v>
      </c>
      <c r="EYT16" s="314" t="s">
        <v>203</v>
      </c>
      <c r="EYU16" s="314" t="s">
        <v>203</v>
      </c>
      <c r="EYV16" s="314" t="s">
        <v>203</v>
      </c>
      <c r="EYW16" s="314" t="s">
        <v>203</v>
      </c>
      <c r="EYX16" s="314" t="s">
        <v>203</v>
      </c>
      <c r="EYY16" s="314" t="s">
        <v>203</v>
      </c>
      <c r="EYZ16" s="314" t="s">
        <v>203</v>
      </c>
      <c r="EZA16" s="314" t="s">
        <v>203</v>
      </c>
      <c r="EZB16" s="314" t="s">
        <v>203</v>
      </c>
      <c r="EZC16" s="314" t="s">
        <v>203</v>
      </c>
      <c r="EZD16" s="314" t="s">
        <v>203</v>
      </c>
      <c r="EZE16" s="314" t="s">
        <v>203</v>
      </c>
      <c r="EZF16" s="314" t="s">
        <v>203</v>
      </c>
      <c r="EZG16" s="314" t="s">
        <v>203</v>
      </c>
      <c r="EZH16" s="314" t="s">
        <v>203</v>
      </c>
      <c r="EZI16" s="314" t="s">
        <v>203</v>
      </c>
      <c r="EZJ16" s="314" t="s">
        <v>203</v>
      </c>
      <c r="EZK16" s="314" t="s">
        <v>203</v>
      </c>
      <c r="EZL16" s="314" t="s">
        <v>203</v>
      </c>
      <c r="EZM16" s="314" t="s">
        <v>203</v>
      </c>
      <c r="EZN16" s="314" t="s">
        <v>203</v>
      </c>
      <c r="EZO16" s="314" t="s">
        <v>203</v>
      </c>
      <c r="EZP16" s="314" t="s">
        <v>203</v>
      </c>
      <c r="EZQ16" s="314" t="s">
        <v>203</v>
      </c>
      <c r="EZR16" s="314" t="s">
        <v>203</v>
      </c>
      <c r="EZS16" s="314" t="s">
        <v>203</v>
      </c>
      <c r="EZT16" s="314" t="s">
        <v>203</v>
      </c>
      <c r="EZU16" s="314" t="s">
        <v>203</v>
      </c>
      <c r="EZV16" s="314" t="s">
        <v>203</v>
      </c>
      <c r="EZW16" s="314" t="s">
        <v>203</v>
      </c>
      <c r="EZX16" s="314" t="s">
        <v>203</v>
      </c>
      <c r="EZY16" s="314" t="s">
        <v>203</v>
      </c>
      <c r="EZZ16" s="314" t="s">
        <v>203</v>
      </c>
      <c r="FAA16" s="314" t="s">
        <v>203</v>
      </c>
      <c r="FAB16" s="314" t="s">
        <v>203</v>
      </c>
      <c r="FAC16" s="314" t="s">
        <v>203</v>
      </c>
      <c r="FAD16" s="314" t="s">
        <v>203</v>
      </c>
      <c r="FAE16" s="314" t="s">
        <v>203</v>
      </c>
      <c r="FAF16" s="314" t="s">
        <v>203</v>
      </c>
      <c r="FAG16" s="314" t="s">
        <v>203</v>
      </c>
      <c r="FAH16" s="314" t="s">
        <v>203</v>
      </c>
      <c r="FAI16" s="314" t="s">
        <v>203</v>
      </c>
      <c r="FAJ16" s="314" t="s">
        <v>203</v>
      </c>
      <c r="FAK16" s="314" t="s">
        <v>203</v>
      </c>
      <c r="FAL16" s="314" t="s">
        <v>203</v>
      </c>
      <c r="FAM16" s="314" t="s">
        <v>203</v>
      </c>
      <c r="FAN16" s="314" t="s">
        <v>203</v>
      </c>
      <c r="FAO16" s="314" t="s">
        <v>203</v>
      </c>
      <c r="FAP16" s="314" t="s">
        <v>203</v>
      </c>
      <c r="FAQ16" s="314" t="s">
        <v>203</v>
      </c>
      <c r="FAR16" s="314" t="s">
        <v>203</v>
      </c>
      <c r="FAS16" s="314" t="s">
        <v>203</v>
      </c>
      <c r="FAT16" s="314" t="s">
        <v>203</v>
      </c>
      <c r="FAU16" s="314" t="s">
        <v>203</v>
      </c>
      <c r="FAV16" s="314" t="s">
        <v>203</v>
      </c>
      <c r="FAW16" s="314" t="s">
        <v>203</v>
      </c>
      <c r="FAX16" s="314" t="s">
        <v>203</v>
      </c>
      <c r="FAY16" s="314" t="s">
        <v>203</v>
      </c>
      <c r="FAZ16" s="314" t="s">
        <v>203</v>
      </c>
      <c r="FBA16" s="314" t="s">
        <v>203</v>
      </c>
      <c r="FBB16" s="314" t="s">
        <v>203</v>
      </c>
      <c r="FBC16" s="314" t="s">
        <v>203</v>
      </c>
      <c r="FBD16" s="314" t="s">
        <v>203</v>
      </c>
      <c r="FBE16" s="314" t="s">
        <v>203</v>
      </c>
      <c r="FBF16" s="314" t="s">
        <v>203</v>
      </c>
      <c r="FBG16" s="314" t="s">
        <v>203</v>
      </c>
      <c r="FBH16" s="314" t="s">
        <v>203</v>
      </c>
      <c r="FBI16" s="314" t="s">
        <v>203</v>
      </c>
      <c r="FBJ16" s="314" t="s">
        <v>203</v>
      </c>
      <c r="FBK16" s="314" t="s">
        <v>203</v>
      </c>
      <c r="FBL16" s="314" t="s">
        <v>203</v>
      </c>
      <c r="FBM16" s="314" t="s">
        <v>203</v>
      </c>
      <c r="FBN16" s="314" t="s">
        <v>203</v>
      </c>
      <c r="FBO16" s="314" t="s">
        <v>203</v>
      </c>
      <c r="FBP16" s="314" t="s">
        <v>203</v>
      </c>
      <c r="FBQ16" s="314" t="s">
        <v>203</v>
      </c>
      <c r="FBR16" s="314" t="s">
        <v>203</v>
      </c>
      <c r="FBS16" s="314" t="s">
        <v>203</v>
      </c>
      <c r="FBT16" s="314" t="s">
        <v>203</v>
      </c>
      <c r="FBU16" s="314" t="s">
        <v>203</v>
      </c>
      <c r="FBV16" s="314" t="s">
        <v>203</v>
      </c>
      <c r="FBW16" s="314" t="s">
        <v>203</v>
      </c>
      <c r="FBX16" s="314" t="s">
        <v>203</v>
      </c>
      <c r="FBY16" s="314" t="s">
        <v>203</v>
      </c>
      <c r="FBZ16" s="314" t="s">
        <v>203</v>
      </c>
      <c r="FCA16" s="314" t="s">
        <v>203</v>
      </c>
      <c r="FCB16" s="314" t="s">
        <v>203</v>
      </c>
      <c r="FCC16" s="314" t="s">
        <v>203</v>
      </c>
      <c r="FCD16" s="314" t="s">
        <v>203</v>
      </c>
      <c r="FCE16" s="314" t="s">
        <v>203</v>
      </c>
      <c r="FCF16" s="314" t="s">
        <v>203</v>
      </c>
      <c r="FCG16" s="314" t="s">
        <v>203</v>
      </c>
      <c r="FCH16" s="314" t="s">
        <v>203</v>
      </c>
      <c r="FCI16" s="314" t="s">
        <v>203</v>
      </c>
      <c r="FCJ16" s="314" t="s">
        <v>203</v>
      </c>
      <c r="FCK16" s="314" t="s">
        <v>203</v>
      </c>
      <c r="FCL16" s="314" t="s">
        <v>203</v>
      </c>
      <c r="FCM16" s="314" t="s">
        <v>203</v>
      </c>
      <c r="FCN16" s="314" t="s">
        <v>203</v>
      </c>
      <c r="FCO16" s="314" t="s">
        <v>203</v>
      </c>
      <c r="FCP16" s="314" t="s">
        <v>203</v>
      </c>
      <c r="FCQ16" s="314" t="s">
        <v>203</v>
      </c>
      <c r="FCR16" s="314" t="s">
        <v>203</v>
      </c>
      <c r="FCS16" s="314" t="s">
        <v>203</v>
      </c>
      <c r="FCT16" s="314" t="s">
        <v>203</v>
      </c>
      <c r="FCU16" s="314" t="s">
        <v>203</v>
      </c>
      <c r="FCV16" s="314" t="s">
        <v>203</v>
      </c>
      <c r="FCW16" s="314" t="s">
        <v>203</v>
      </c>
      <c r="FCX16" s="314" t="s">
        <v>203</v>
      </c>
      <c r="FCY16" s="314" t="s">
        <v>203</v>
      </c>
      <c r="FCZ16" s="314" t="s">
        <v>203</v>
      </c>
      <c r="FDA16" s="314" t="s">
        <v>203</v>
      </c>
      <c r="FDB16" s="314" t="s">
        <v>203</v>
      </c>
      <c r="FDC16" s="314" t="s">
        <v>203</v>
      </c>
      <c r="FDD16" s="314" t="s">
        <v>203</v>
      </c>
      <c r="FDE16" s="314" t="s">
        <v>203</v>
      </c>
      <c r="FDF16" s="314" t="s">
        <v>203</v>
      </c>
      <c r="FDG16" s="314" t="s">
        <v>203</v>
      </c>
      <c r="FDH16" s="314" t="s">
        <v>203</v>
      </c>
      <c r="FDI16" s="314" t="s">
        <v>203</v>
      </c>
      <c r="FDJ16" s="314" t="s">
        <v>203</v>
      </c>
      <c r="FDK16" s="314" t="s">
        <v>203</v>
      </c>
      <c r="FDL16" s="314" t="s">
        <v>203</v>
      </c>
      <c r="FDM16" s="314" t="s">
        <v>203</v>
      </c>
      <c r="FDN16" s="314" t="s">
        <v>203</v>
      </c>
      <c r="FDO16" s="314" t="s">
        <v>203</v>
      </c>
      <c r="FDP16" s="314" t="s">
        <v>203</v>
      </c>
      <c r="FDQ16" s="314" t="s">
        <v>203</v>
      </c>
      <c r="FDR16" s="314" t="s">
        <v>203</v>
      </c>
      <c r="FDS16" s="314" t="s">
        <v>203</v>
      </c>
      <c r="FDT16" s="314" t="s">
        <v>203</v>
      </c>
      <c r="FDU16" s="314" t="s">
        <v>203</v>
      </c>
      <c r="FDV16" s="314" t="s">
        <v>203</v>
      </c>
      <c r="FDW16" s="314" t="s">
        <v>203</v>
      </c>
      <c r="FDX16" s="314" t="s">
        <v>203</v>
      </c>
      <c r="FDY16" s="314" t="s">
        <v>203</v>
      </c>
      <c r="FDZ16" s="314" t="s">
        <v>203</v>
      </c>
      <c r="FEA16" s="314" t="s">
        <v>203</v>
      </c>
      <c r="FEB16" s="314" t="s">
        <v>203</v>
      </c>
      <c r="FEC16" s="314" t="s">
        <v>203</v>
      </c>
      <c r="FED16" s="314" t="s">
        <v>203</v>
      </c>
      <c r="FEE16" s="314" t="s">
        <v>203</v>
      </c>
      <c r="FEF16" s="314" t="s">
        <v>203</v>
      </c>
      <c r="FEG16" s="314" t="s">
        <v>203</v>
      </c>
      <c r="FEH16" s="314" t="s">
        <v>203</v>
      </c>
      <c r="FEI16" s="314" t="s">
        <v>203</v>
      </c>
      <c r="FEJ16" s="314" t="s">
        <v>203</v>
      </c>
      <c r="FEK16" s="314" t="s">
        <v>203</v>
      </c>
      <c r="FEL16" s="314" t="s">
        <v>203</v>
      </c>
      <c r="FEM16" s="314" t="s">
        <v>203</v>
      </c>
      <c r="FEN16" s="314" t="s">
        <v>203</v>
      </c>
      <c r="FEO16" s="314" t="s">
        <v>203</v>
      </c>
      <c r="FEP16" s="314" t="s">
        <v>203</v>
      </c>
      <c r="FEQ16" s="314" t="s">
        <v>203</v>
      </c>
      <c r="FER16" s="314" t="s">
        <v>203</v>
      </c>
      <c r="FES16" s="314" t="s">
        <v>203</v>
      </c>
      <c r="FET16" s="314" t="s">
        <v>203</v>
      </c>
      <c r="FEU16" s="314" t="s">
        <v>203</v>
      </c>
      <c r="FEV16" s="314" t="s">
        <v>203</v>
      </c>
      <c r="FEW16" s="314" t="s">
        <v>203</v>
      </c>
      <c r="FEX16" s="314" t="s">
        <v>203</v>
      </c>
      <c r="FEY16" s="314" t="s">
        <v>203</v>
      </c>
      <c r="FEZ16" s="314" t="s">
        <v>203</v>
      </c>
      <c r="FFA16" s="314" t="s">
        <v>203</v>
      </c>
      <c r="FFB16" s="314" t="s">
        <v>203</v>
      </c>
      <c r="FFC16" s="314" t="s">
        <v>203</v>
      </c>
      <c r="FFD16" s="314" t="s">
        <v>203</v>
      </c>
      <c r="FFE16" s="314" t="s">
        <v>203</v>
      </c>
      <c r="FFF16" s="314" t="s">
        <v>203</v>
      </c>
      <c r="FFG16" s="314" t="s">
        <v>203</v>
      </c>
      <c r="FFH16" s="314" t="s">
        <v>203</v>
      </c>
      <c r="FFI16" s="314" t="s">
        <v>203</v>
      </c>
      <c r="FFJ16" s="314" t="s">
        <v>203</v>
      </c>
      <c r="FFK16" s="314" t="s">
        <v>203</v>
      </c>
      <c r="FFL16" s="314" t="s">
        <v>203</v>
      </c>
      <c r="FFM16" s="314" t="s">
        <v>203</v>
      </c>
      <c r="FFN16" s="314" t="s">
        <v>203</v>
      </c>
      <c r="FFO16" s="314" t="s">
        <v>203</v>
      </c>
      <c r="FFP16" s="314" t="s">
        <v>203</v>
      </c>
      <c r="FFQ16" s="314" t="s">
        <v>203</v>
      </c>
      <c r="FFR16" s="314" t="s">
        <v>203</v>
      </c>
      <c r="FFS16" s="314" t="s">
        <v>203</v>
      </c>
      <c r="FFT16" s="314" t="s">
        <v>203</v>
      </c>
      <c r="FFU16" s="314" t="s">
        <v>203</v>
      </c>
      <c r="FFV16" s="314" t="s">
        <v>203</v>
      </c>
      <c r="FFW16" s="314" t="s">
        <v>203</v>
      </c>
      <c r="FFX16" s="314" t="s">
        <v>203</v>
      </c>
      <c r="FFY16" s="314" t="s">
        <v>203</v>
      </c>
      <c r="FFZ16" s="314" t="s">
        <v>203</v>
      </c>
      <c r="FGA16" s="314" t="s">
        <v>203</v>
      </c>
      <c r="FGB16" s="314" t="s">
        <v>203</v>
      </c>
      <c r="FGC16" s="314" t="s">
        <v>203</v>
      </c>
      <c r="FGD16" s="314" t="s">
        <v>203</v>
      </c>
      <c r="FGE16" s="314" t="s">
        <v>203</v>
      </c>
      <c r="FGF16" s="314" t="s">
        <v>203</v>
      </c>
      <c r="FGG16" s="314" t="s">
        <v>203</v>
      </c>
      <c r="FGH16" s="314" t="s">
        <v>203</v>
      </c>
      <c r="FGI16" s="314" t="s">
        <v>203</v>
      </c>
      <c r="FGJ16" s="314" t="s">
        <v>203</v>
      </c>
      <c r="FGK16" s="314" t="s">
        <v>203</v>
      </c>
      <c r="FGL16" s="314" t="s">
        <v>203</v>
      </c>
      <c r="FGM16" s="314" t="s">
        <v>203</v>
      </c>
      <c r="FGN16" s="314" t="s">
        <v>203</v>
      </c>
      <c r="FGO16" s="314" t="s">
        <v>203</v>
      </c>
      <c r="FGP16" s="314" t="s">
        <v>203</v>
      </c>
      <c r="FGQ16" s="314" t="s">
        <v>203</v>
      </c>
      <c r="FGR16" s="314" t="s">
        <v>203</v>
      </c>
      <c r="FGS16" s="314" t="s">
        <v>203</v>
      </c>
      <c r="FGT16" s="314" t="s">
        <v>203</v>
      </c>
      <c r="FGU16" s="314" t="s">
        <v>203</v>
      </c>
      <c r="FGV16" s="314" t="s">
        <v>203</v>
      </c>
      <c r="FGW16" s="314" t="s">
        <v>203</v>
      </c>
      <c r="FGX16" s="314" t="s">
        <v>203</v>
      </c>
      <c r="FGY16" s="314" t="s">
        <v>203</v>
      </c>
      <c r="FGZ16" s="314" t="s">
        <v>203</v>
      </c>
      <c r="FHA16" s="314" t="s">
        <v>203</v>
      </c>
      <c r="FHB16" s="314" t="s">
        <v>203</v>
      </c>
      <c r="FHC16" s="314" t="s">
        <v>203</v>
      </c>
      <c r="FHD16" s="314" t="s">
        <v>203</v>
      </c>
      <c r="FHE16" s="314" t="s">
        <v>203</v>
      </c>
      <c r="FHF16" s="314" t="s">
        <v>203</v>
      </c>
      <c r="FHG16" s="314" t="s">
        <v>203</v>
      </c>
      <c r="FHH16" s="314" t="s">
        <v>203</v>
      </c>
      <c r="FHI16" s="314" t="s">
        <v>203</v>
      </c>
      <c r="FHJ16" s="314" t="s">
        <v>203</v>
      </c>
      <c r="FHK16" s="314" t="s">
        <v>203</v>
      </c>
      <c r="FHL16" s="314" t="s">
        <v>203</v>
      </c>
      <c r="FHM16" s="314" t="s">
        <v>203</v>
      </c>
      <c r="FHN16" s="314" t="s">
        <v>203</v>
      </c>
      <c r="FHO16" s="314" t="s">
        <v>203</v>
      </c>
      <c r="FHP16" s="314" t="s">
        <v>203</v>
      </c>
      <c r="FHQ16" s="314" t="s">
        <v>203</v>
      </c>
      <c r="FHR16" s="314" t="s">
        <v>203</v>
      </c>
      <c r="FHS16" s="314" t="s">
        <v>203</v>
      </c>
      <c r="FHT16" s="314" t="s">
        <v>203</v>
      </c>
      <c r="FHU16" s="314" t="s">
        <v>203</v>
      </c>
      <c r="FHV16" s="314" t="s">
        <v>203</v>
      </c>
      <c r="FHW16" s="314" t="s">
        <v>203</v>
      </c>
      <c r="FHX16" s="314" t="s">
        <v>203</v>
      </c>
      <c r="FHY16" s="314" t="s">
        <v>203</v>
      </c>
      <c r="FHZ16" s="314" t="s">
        <v>203</v>
      </c>
      <c r="FIA16" s="314" t="s">
        <v>203</v>
      </c>
      <c r="FIB16" s="314" t="s">
        <v>203</v>
      </c>
      <c r="FIC16" s="314" t="s">
        <v>203</v>
      </c>
      <c r="FID16" s="314" t="s">
        <v>203</v>
      </c>
      <c r="FIE16" s="314" t="s">
        <v>203</v>
      </c>
      <c r="FIF16" s="314" t="s">
        <v>203</v>
      </c>
      <c r="FIG16" s="314" t="s">
        <v>203</v>
      </c>
      <c r="FIH16" s="314" t="s">
        <v>203</v>
      </c>
      <c r="FII16" s="314" t="s">
        <v>203</v>
      </c>
      <c r="FIJ16" s="314" t="s">
        <v>203</v>
      </c>
      <c r="FIK16" s="314" t="s">
        <v>203</v>
      </c>
      <c r="FIL16" s="314" t="s">
        <v>203</v>
      </c>
      <c r="FIM16" s="314" t="s">
        <v>203</v>
      </c>
      <c r="FIN16" s="314" t="s">
        <v>203</v>
      </c>
      <c r="FIO16" s="314" t="s">
        <v>203</v>
      </c>
      <c r="FIP16" s="314" t="s">
        <v>203</v>
      </c>
      <c r="FIQ16" s="314" t="s">
        <v>203</v>
      </c>
      <c r="FIR16" s="314" t="s">
        <v>203</v>
      </c>
      <c r="FIS16" s="314" t="s">
        <v>203</v>
      </c>
      <c r="FIT16" s="314" t="s">
        <v>203</v>
      </c>
      <c r="FIU16" s="314" t="s">
        <v>203</v>
      </c>
      <c r="FIV16" s="314" t="s">
        <v>203</v>
      </c>
      <c r="FIW16" s="314" t="s">
        <v>203</v>
      </c>
      <c r="FIX16" s="314" t="s">
        <v>203</v>
      </c>
      <c r="FIY16" s="314" t="s">
        <v>203</v>
      </c>
      <c r="FIZ16" s="314" t="s">
        <v>203</v>
      </c>
      <c r="FJA16" s="314" t="s">
        <v>203</v>
      </c>
      <c r="FJB16" s="314" t="s">
        <v>203</v>
      </c>
      <c r="FJC16" s="314" t="s">
        <v>203</v>
      </c>
      <c r="FJD16" s="314" t="s">
        <v>203</v>
      </c>
      <c r="FJE16" s="314" t="s">
        <v>203</v>
      </c>
      <c r="FJF16" s="314" t="s">
        <v>203</v>
      </c>
      <c r="FJG16" s="314" t="s">
        <v>203</v>
      </c>
      <c r="FJH16" s="314" t="s">
        <v>203</v>
      </c>
      <c r="FJI16" s="314" t="s">
        <v>203</v>
      </c>
      <c r="FJJ16" s="314" t="s">
        <v>203</v>
      </c>
      <c r="FJK16" s="314" t="s">
        <v>203</v>
      </c>
      <c r="FJL16" s="314" t="s">
        <v>203</v>
      </c>
      <c r="FJM16" s="314" t="s">
        <v>203</v>
      </c>
      <c r="FJN16" s="314" t="s">
        <v>203</v>
      </c>
      <c r="FJO16" s="314" t="s">
        <v>203</v>
      </c>
      <c r="FJP16" s="314" t="s">
        <v>203</v>
      </c>
      <c r="FJQ16" s="314" t="s">
        <v>203</v>
      </c>
      <c r="FJR16" s="314" t="s">
        <v>203</v>
      </c>
      <c r="FJS16" s="314" t="s">
        <v>203</v>
      </c>
      <c r="FJT16" s="314" t="s">
        <v>203</v>
      </c>
      <c r="FJU16" s="314" t="s">
        <v>203</v>
      </c>
      <c r="FJV16" s="314" t="s">
        <v>203</v>
      </c>
      <c r="FJW16" s="314" t="s">
        <v>203</v>
      </c>
      <c r="FJX16" s="314" t="s">
        <v>203</v>
      </c>
      <c r="FJY16" s="314" t="s">
        <v>203</v>
      </c>
      <c r="FJZ16" s="314" t="s">
        <v>203</v>
      </c>
      <c r="FKA16" s="314" t="s">
        <v>203</v>
      </c>
      <c r="FKB16" s="314" t="s">
        <v>203</v>
      </c>
      <c r="FKC16" s="314" t="s">
        <v>203</v>
      </c>
      <c r="FKD16" s="314" t="s">
        <v>203</v>
      </c>
      <c r="FKE16" s="314" t="s">
        <v>203</v>
      </c>
      <c r="FKF16" s="314" t="s">
        <v>203</v>
      </c>
      <c r="FKG16" s="314" t="s">
        <v>203</v>
      </c>
      <c r="FKH16" s="314" t="s">
        <v>203</v>
      </c>
      <c r="FKI16" s="314" t="s">
        <v>203</v>
      </c>
      <c r="FKJ16" s="314" t="s">
        <v>203</v>
      </c>
      <c r="FKK16" s="314" t="s">
        <v>203</v>
      </c>
      <c r="FKL16" s="314" t="s">
        <v>203</v>
      </c>
      <c r="FKM16" s="314" t="s">
        <v>203</v>
      </c>
      <c r="FKN16" s="314" t="s">
        <v>203</v>
      </c>
      <c r="FKO16" s="314" t="s">
        <v>203</v>
      </c>
      <c r="FKP16" s="314" t="s">
        <v>203</v>
      </c>
      <c r="FKQ16" s="314" t="s">
        <v>203</v>
      </c>
      <c r="FKR16" s="314" t="s">
        <v>203</v>
      </c>
      <c r="FKS16" s="314" t="s">
        <v>203</v>
      </c>
      <c r="FKT16" s="314" t="s">
        <v>203</v>
      </c>
      <c r="FKU16" s="314" t="s">
        <v>203</v>
      </c>
      <c r="FKV16" s="314" t="s">
        <v>203</v>
      </c>
      <c r="FKW16" s="314" t="s">
        <v>203</v>
      </c>
      <c r="FKX16" s="314" t="s">
        <v>203</v>
      </c>
      <c r="FKY16" s="314" t="s">
        <v>203</v>
      </c>
      <c r="FKZ16" s="314" t="s">
        <v>203</v>
      </c>
      <c r="FLA16" s="314" t="s">
        <v>203</v>
      </c>
      <c r="FLB16" s="314" t="s">
        <v>203</v>
      </c>
      <c r="FLC16" s="314" t="s">
        <v>203</v>
      </c>
      <c r="FLD16" s="314" t="s">
        <v>203</v>
      </c>
      <c r="FLE16" s="314" t="s">
        <v>203</v>
      </c>
      <c r="FLF16" s="314" t="s">
        <v>203</v>
      </c>
      <c r="FLG16" s="314" t="s">
        <v>203</v>
      </c>
      <c r="FLH16" s="314" t="s">
        <v>203</v>
      </c>
      <c r="FLI16" s="314" t="s">
        <v>203</v>
      </c>
      <c r="FLJ16" s="314" t="s">
        <v>203</v>
      </c>
      <c r="FLK16" s="314" t="s">
        <v>203</v>
      </c>
      <c r="FLL16" s="314" t="s">
        <v>203</v>
      </c>
      <c r="FLM16" s="314" t="s">
        <v>203</v>
      </c>
      <c r="FLN16" s="314" t="s">
        <v>203</v>
      </c>
      <c r="FLO16" s="314" t="s">
        <v>203</v>
      </c>
      <c r="FLP16" s="314" t="s">
        <v>203</v>
      </c>
      <c r="FLQ16" s="314" t="s">
        <v>203</v>
      </c>
      <c r="FLR16" s="314" t="s">
        <v>203</v>
      </c>
      <c r="FLS16" s="314" t="s">
        <v>203</v>
      </c>
      <c r="FLT16" s="314" t="s">
        <v>203</v>
      </c>
      <c r="FLU16" s="314" t="s">
        <v>203</v>
      </c>
      <c r="FLV16" s="314" t="s">
        <v>203</v>
      </c>
      <c r="FLW16" s="314" t="s">
        <v>203</v>
      </c>
      <c r="FLX16" s="314" t="s">
        <v>203</v>
      </c>
      <c r="FLY16" s="314" t="s">
        <v>203</v>
      </c>
      <c r="FLZ16" s="314" t="s">
        <v>203</v>
      </c>
      <c r="FMA16" s="314" t="s">
        <v>203</v>
      </c>
      <c r="FMB16" s="314" t="s">
        <v>203</v>
      </c>
      <c r="FMC16" s="314" t="s">
        <v>203</v>
      </c>
      <c r="FMD16" s="314" t="s">
        <v>203</v>
      </c>
      <c r="FME16" s="314" t="s">
        <v>203</v>
      </c>
      <c r="FMF16" s="314" t="s">
        <v>203</v>
      </c>
      <c r="FMG16" s="314" t="s">
        <v>203</v>
      </c>
      <c r="FMH16" s="314" t="s">
        <v>203</v>
      </c>
      <c r="FMI16" s="314" t="s">
        <v>203</v>
      </c>
      <c r="FMJ16" s="314" t="s">
        <v>203</v>
      </c>
      <c r="FMK16" s="314" t="s">
        <v>203</v>
      </c>
      <c r="FML16" s="314" t="s">
        <v>203</v>
      </c>
      <c r="FMM16" s="314" t="s">
        <v>203</v>
      </c>
      <c r="FMN16" s="314" t="s">
        <v>203</v>
      </c>
      <c r="FMO16" s="314" t="s">
        <v>203</v>
      </c>
      <c r="FMP16" s="314" t="s">
        <v>203</v>
      </c>
      <c r="FMQ16" s="314" t="s">
        <v>203</v>
      </c>
      <c r="FMR16" s="314" t="s">
        <v>203</v>
      </c>
      <c r="FMS16" s="314" t="s">
        <v>203</v>
      </c>
      <c r="FMT16" s="314" t="s">
        <v>203</v>
      </c>
      <c r="FMU16" s="314" t="s">
        <v>203</v>
      </c>
      <c r="FMV16" s="314" t="s">
        <v>203</v>
      </c>
      <c r="FMW16" s="314" t="s">
        <v>203</v>
      </c>
      <c r="FMX16" s="314" t="s">
        <v>203</v>
      </c>
      <c r="FMY16" s="314" t="s">
        <v>203</v>
      </c>
      <c r="FMZ16" s="314" t="s">
        <v>203</v>
      </c>
      <c r="FNA16" s="314" t="s">
        <v>203</v>
      </c>
      <c r="FNB16" s="314" t="s">
        <v>203</v>
      </c>
      <c r="FNC16" s="314" t="s">
        <v>203</v>
      </c>
      <c r="FND16" s="314" t="s">
        <v>203</v>
      </c>
      <c r="FNE16" s="314" t="s">
        <v>203</v>
      </c>
      <c r="FNF16" s="314" t="s">
        <v>203</v>
      </c>
      <c r="FNG16" s="314" t="s">
        <v>203</v>
      </c>
      <c r="FNH16" s="314" t="s">
        <v>203</v>
      </c>
      <c r="FNI16" s="314" t="s">
        <v>203</v>
      </c>
      <c r="FNJ16" s="314" t="s">
        <v>203</v>
      </c>
      <c r="FNK16" s="314" t="s">
        <v>203</v>
      </c>
      <c r="FNL16" s="314" t="s">
        <v>203</v>
      </c>
      <c r="FNM16" s="314" t="s">
        <v>203</v>
      </c>
      <c r="FNN16" s="314" t="s">
        <v>203</v>
      </c>
      <c r="FNO16" s="314" t="s">
        <v>203</v>
      </c>
      <c r="FNP16" s="314" t="s">
        <v>203</v>
      </c>
      <c r="FNQ16" s="314" t="s">
        <v>203</v>
      </c>
      <c r="FNR16" s="314" t="s">
        <v>203</v>
      </c>
      <c r="FNS16" s="314" t="s">
        <v>203</v>
      </c>
      <c r="FNT16" s="314" t="s">
        <v>203</v>
      </c>
      <c r="FNU16" s="314" t="s">
        <v>203</v>
      </c>
      <c r="FNV16" s="314" t="s">
        <v>203</v>
      </c>
      <c r="FNW16" s="314" t="s">
        <v>203</v>
      </c>
      <c r="FNX16" s="314" t="s">
        <v>203</v>
      </c>
      <c r="FNY16" s="314" t="s">
        <v>203</v>
      </c>
      <c r="FNZ16" s="314" t="s">
        <v>203</v>
      </c>
      <c r="FOA16" s="314" t="s">
        <v>203</v>
      </c>
      <c r="FOB16" s="314" t="s">
        <v>203</v>
      </c>
      <c r="FOC16" s="314" t="s">
        <v>203</v>
      </c>
      <c r="FOD16" s="314" t="s">
        <v>203</v>
      </c>
      <c r="FOE16" s="314" t="s">
        <v>203</v>
      </c>
      <c r="FOF16" s="314" t="s">
        <v>203</v>
      </c>
      <c r="FOG16" s="314" t="s">
        <v>203</v>
      </c>
      <c r="FOH16" s="314" t="s">
        <v>203</v>
      </c>
      <c r="FOI16" s="314" t="s">
        <v>203</v>
      </c>
      <c r="FOJ16" s="314" t="s">
        <v>203</v>
      </c>
      <c r="FOK16" s="314" t="s">
        <v>203</v>
      </c>
      <c r="FOL16" s="314" t="s">
        <v>203</v>
      </c>
      <c r="FOM16" s="314" t="s">
        <v>203</v>
      </c>
      <c r="FON16" s="314" t="s">
        <v>203</v>
      </c>
      <c r="FOO16" s="314" t="s">
        <v>203</v>
      </c>
      <c r="FOP16" s="314" t="s">
        <v>203</v>
      </c>
      <c r="FOQ16" s="314" t="s">
        <v>203</v>
      </c>
      <c r="FOR16" s="314" t="s">
        <v>203</v>
      </c>
      <c r="FOS16" s="314" t="s">
        <v>203</v>
      </c>
      <c r="FOT16" s="314" t="s">
        <v>203</v>
      </c>
      <c r="FOU16" s="314" t="s">
        <v>203</v>
      </c>
      <c r="FOV16" s="314" t="s">
        <v>203</v>
      </c>
      <c r="FOW16" s="314" t="s">
        <v>203</v>
      </c>
      <c r="FOX16" s="314" t="s">
        <v>203</v>
      </c>
      <c r="FOY16" s="314" t="s">
        <v>203</v>
      </c>
      <c r="FOZ16" s="314" t="s">
        <v>203</v>
      </c>
      <c r="FPA16" s="314" t="s">
        <v>203</v>
      </c>
      <c r="FPB16" s="314" t="s">
        <v>203</v>
      </c>
      <c r="FPC16" s="314" t="s">
        <v>203</v>
      </c>
      <c r="FPD16" s="314" t="s">
        <v>203</v>
      </c>
      <c r="FPE16" s="314" t="s">
        <v>203</v>
      </c>
      <c r="FPF16" s="314" t="s">
        <v>203</v>
      </c>
      <c r="FPG16" s="314" t="s">
        <v>203</v>
      </c>
      <c r="FPH16" s="314" t="s">
        <v>203</v>
      </c>
      <c r="FPI16" s="314" t="s">
        <v>203</v>
      </c>
      <c r="FPJ16" s="314" t="s">
        <v>203</v>
      </c>
      <c r="FPK16" s="314" t="s">
        <v>203</v>
      </c>
      <c r="FPL16" s="314" t="s">
        <v>203</v>
      </c>
      <c r="FPM16" s="314" t="s">
        <v>203</v>
      </c>
      <c r="FPN16" s="314" t="s">
        <v>203</v>
      </c>
      <c r="FPO16" s="314" t="s">
        <v>203</v>
      </c>
      <c r="FPP16" s="314" t="s">
        <v>203</v>
      </c>
      <c r="FPQ16" s="314" t="s">
        <v>203</v>
      </c>
      <c r="FPR16" s="314" t="s">
        <v>203</v>
      </c>
      <c r="FPS16" s="314" t="s">
        <v>203</v>
      </c>
      <c r="FPT16" s="314" t="s">
        <v>203</v>
      </c>
      <c r="FPU16" s="314" t="s">
        <v>203</v>
      </c>
      <c r="FPV16" s="314" t="s">
        <v>203</v>
      </c>
      <c r="FPW16" s="314" t="s">
        <v>203</v>
      </c>
      <c r="FPX16" s="314" t="s">
        <v>203</v>
      </c>
      <c r="FPY16" s="314" t="s">
        <v>203</v>
      </c>
      <c r="FPZ16" s="314" t="s">
        <v>203</v>
      </c>
      <c r="FQA16" s="314" t="s">
        <v>203</v>
      </c>
      <c r="FQB16" s="314" t="s">
        <v>203</v>
      </c>
      <c r="FQC16" s="314" t="s">
        <v>203</v>
      </c>
      <c r="FQD16" s="314" t="s">
        <v>203</v>
      </c>
      <c r="FQE16" s="314" t="s">
        <v>203</v>
      </c>
      <c r="FQF16" s="314" t="s">
        <v>203</v>
      </c>
      <c r="FQG16" s="314" t="s">
        <v>203</v>
      </c>
      <c r="FQH16" s="314" t="s">
        <v>203</v>
      </c>
      <c r="FQI16" s="314" t="s">
        <v>203</v>
      </c>
      <c r="FQJ16" s="314" t="s">
        <v>203</v>
      </c>
      <c r="FQK16" s="314" t="s">
        <v>203</v>
      </c>
      <c r="FQL16" s="314" t="s">
        <v>203</v>
      </c>
      <c r="FQM16" s="314" t="s">
        <v>203</v>
      </c>
      <c r="FQN16" s="314" t="s">
        <v>203</v>
      </c>
      <c r="FQO16" s="314" t="s">
        <v>203</v>
      </c>
      <c r="FQP16" s="314" t="s">
        <v>203</v>
      </c>
      <c r="FQQ16" s="314" t="s">
        <v>203</v>
      </c>
      <c r="FQR16" s="314" t="s">
        <v>203</v>
      </c>
      <c r="FQS16" s="314" t="s">
        <v>203</v>
      </c>
      <c r="FQT16" s="314" t="s">
        <v>203</v>
      </c>
      <c r="FQU16" s="314" t="s">
        <v>203</v>
      </c>
      <c r="FQV16" s="314" t="s">
        <v>203</v>
      </c>
      <c r="FQW16" s="314" t="s">
        <v>203</v>
      </c>
      <c r="FQX16" s="314" t="s">
        <v>203</v>
      </c>
      <c r="FQY16" s="314" t="s">
        <v>203</v>
      </c>
      <c r="FQZ16" s="314" t="s">
        <v>203</v>
      </c>
      <c r="FRA16" s="314" t="s">
        <v>203</v>
      </c>
      <c r="FRB16" s="314" t="s">
        <v>203</v>
      </c>
      <c r="FRC16" s="314" t="s">
        <v>203</v>
      </c>
      <c r="FRD16" s="314" t="s">
        <v>203</v>
      </c>
      <c r="FRE16" s="314" t="s">
        <v>203</v>
      </c>
      <c r="FRF16" s="314" t="s">
        <v>203</v>
      </c>
      <c r="FRG16" s="314" t="s">
        <v>203</v>
      </c>
      <c r="FRH16" s="314" t="s">
        <v>203</v>
      </c>
      <c r="FRI16" s="314" t="s">
        <v>203</v>
      </c>
      <c r="FRJ16" s="314" t="s">
        <v>203</v>
      </c>
      <c r="FRK16" s="314" t="s">
        <v>203</v>
      </c>
      <c r="FRL16" s="314" t="s">
        <v>203</v>
      </c>
      <c r="FRM16" s="314" t="s">
        <v>203</v>
      </c>
      <c r="FRN16" s="314" t="s">
        <v>203</v>
      </c>
      <c r="FRO16" s="314" t="s">
        <v>203</v>
      </c>
      <c r="FRP16" s="314" t="s">
        <v>203</v>
      </c>
      <c r="FRQ16" s="314" t="s">
        <v>203</v>
      </c>
      <c r="FRR16" s="314" t="s">
        <v>203</v>
      </c>
      <c r="FRS16" s="314" t="s">
        <v>203</v>
      </c>
      <c r="FRT16" s="314" t="s">
        <v>203</v>
      </c>
      <c r="FRU16" s="314" t="s">
        <v>203</v>
      </c>
      <c r="FRV16" s="314" t="s">
        <v>203</v>
      </c>
      <c r="FRW16" s="314" t="s">
        <v>203</v>
      </c>
      <c r="FRX16" s="314" t="s">
        <v>203</v>
      </c>
      <c r="FRY16" s="314" t="s">
        <v>203</v>
      </c>
      <c r="FRZ16" s="314" t="s">
        <v>203</v>
      </c>
      <c r="FSA16" s="314" t="s">
        <v>203</v>
      </c>
      <c r="FSB16" s="314" t="s">
        <v>203</v>
      </c>
      <c r="FSC16" s="314" t="s">
        <v>203</v>
      </c>
      <c r="FSD16" s="314" t="s">
        <v>203</v>
      </c>
      <c r="FSE16" s="314" t="s">
        <v>203</v>
      </c>
      <c r="FSF16" s="314" t="s">
        <v>203</v>
      </c>
      <c r="FSG16" s="314" t="s">
        <v>203</v>
      </c>
      <c r="FSH16" s="314" t="s">
        <v>203</v>
      </c>
      <c r="FSI16" s="314" t="s">
        <v>203</v>
      </c>
      <c r="FSJ16" s="314" t="s">
        <v>203</v>
      </c>
      <c r="FSK16" s="314" t="s">
        <v>203</v>
      </c>
      <c r="FSL16" s="314" t="s">
        <v>203</v>
      </c>
      <c r="FSM16" s="314" t="s">
        <v>203</v>
      </c>
      <c r="FSN16" s="314" t="s">
        <v>203</v>
      </c>
      <c r="FSO16" s="314" t="s">
        <v>203</v>
      </c>
      <c r="FSP16" s="314" t="s">
        <v>203</v>
      </c>
      <c r="FSQ16" s="314" t="s">
        <v>203</v>
      </c>
      <c r="FSR16" s="314" t="s">
        <v>203</v>
      </c>
      <c r="FSS16" s="314" t="s">
        <v>203</v>
      </c>
      <c r="FST16" s="314" t="s">
        <v>203</v>
      </c>
      <c r="FSU16" s="314" t="s">
        <v>203</v>
      </c>
      <c r="FSV16" s="314" t="s">
        <v>203</v>
      </c>
      <c r="FSW16" s="314" t="s">
        <v>203</v>
      </c>
      <c r="FSX16" s="314" t="s">
        <v>203</v>
      </c>
      <c r="FSY16" s="314" t="s">
        <v>203</v>
      </c>
      <c r="FSZ16" s="314" t="s">
        <v>203</v>
      </c>
      <c r="FTA16" s="314" t="s">
        <v>203</v>
      </c>
      <c r="FTB16" s="314" t="s">
        <v>203</v>
      </c>
      <c r="FTC16" s="314" t="s">
        <v>203</v>
      </c>
      <c r="FTD16" s="314" t="s">
        <v>203</v>
      </c>
      <c r="FTE16" s="314" t="s">
        <v>203</v>
      </c>
      <c r="FTF16" s="314" t="s">
        <v>203</v>
      </c>
      <c r="FTG16" s="314" t="s">
        <v>203</v>
      </c>
      <c r="FTH16" s="314" t="s">
        <v>203</v>
      </c>
      <c r="FTI16" s="314" t="s">
        <v>203</v>
      </c>
      <c r="FTJ16" s="314" t="s">
        <v>203</v>
      </c>
      <c r="FTK16" s="314" t="s">
        <v>203</v>
      </c>
      <c r="FTL16" s="314" t="s">
        <v>203</v>
      </c>
      <c r="FTM16" s="314" t="s">
        <v>203</v>
      </c>
      <c r="FTN16" s="314" t="s">
        <v>203</v>
      </c>
      <c r="FTO16" s="314" t="s">
        <v>203</v>
      </c>
      <c r="FTP16" s="314" t="s">
        <v>203</v>
      </c>
      <c r="FTQ16" s="314" t="s">
        <v>203</v>
      </c>
      <c r="FTR16" s="314" t="s">
        <v>203</v>
      </c>
      <c r="FTS16" s="314" t="s">
        <v>203</v>
      </c>
      <c r="FTT16" s="314" t="s">
        <v>203</v>
      </c>
      <c r="FTU16" s="314" t="s">
        <v>203</v>
      </c>
      <c r="FTV16" s="314" t="s">
        <v>203</v>
      </c>
      <c r="FTW16" s="314" t="s">
        <v>203</v>
      </c>
      <c r="FTX16" s="314" t="s">
        <v>203</v>
      </c>
      <c r="FTY16" s="314" t="s">
        <v>203</v>
      </c>
      <c r="FTZ16" s="314" t="s">
        <v>203</v>
      </c>
      <c r="FUA16" s="314" t="s">
        <v>203</v>
      </c>
      <c r="FUB16" s="314" t="s">
        <v>203</v>
      </c>
      <c r="FUC16" s="314" t="s">
        <v>203</v>
      </c>
      <c r="FUD16" s="314" t="s">
        <v>203</v>
      </c>
      <c r="FUE16" s="314" t="s">
        <v>203</v>
      </c>
      <c r="FUF16" s="314" t="s">
        <v>203</v>
      </c>
      <c r="FUG16" s="314" t="s">
        <v>203</v>
      </c>
      <c r="FUH16" s="314" t="s">
        <v>203</v>
      </c>
      <c r="FUI16" s="314" t="s">
        <v>203</v>
      </c>
      <c r="FUJ16" s="314" t="s">
        <v>203</v>
      </c>
      <c r="FUK16" s="314" t="s">
        <v>203</v>
      </c>
      <c r="FUL16" s="314" t="s">
        <v>203</v>
      </c>
      <c r="FUM16" s="314" t="s">
        <v>203</v>
      </c>
      <c r="FUN16" s="314" t="s">
        <v>203</v>
      </c>
      <c r="FUO16" s="314" t="s">
        <v>203</v>
      </c>
      <c r="FUP16" s="314" t="s">
        <v>203</v>
      </c>
      <c r="FUQ16" s="314" t="s">
        <v>203</v>
      </c>
      <c r="FUR16" s="314" t="s">
        <v>203</v>
      </c>
      <c r="FUS16" s="314" t="s">
        <v>203</v>
      </c>
      <c r="FUT16" s="314" t="s">
        <v>203</v>
      </c>
      <c r="FUU16" s="314" t="s">
        <v>203</v>
      </c>
      <c r="FUV16" s="314" t="s">
        <v>203</v>
      </c>
      <c r="FUW16" s="314" t="s">
        <v>203</v>
      </c>
      <c r="FUX16" s="314" t="s">
        <v>203</v>
      </c>
      <c r="FUY16" s="314" t="s">
        <v>203</v>
      </c>
      <c r="FUZ16" s="314" t="s">
        <v>203</v>
      </c>
      <c r="FVA16" s="314" t="s">
        <v>203</v>
      </c>
      <c r="FVB16" s="314" t="s">
        <v>203</v>
      </c>
      <c r="FVC16" s="314" t="s">
        <v>203</v>
      </c>
      <c r="FVD16" s="314" t="s">
        <v>203</v>
      </c>
      <c r="FVE16" s="314" t="s">
        <v>203</v>
      </c>
      <c r="FVF16" s="314" t="s">
        <v>203</v>
      </c>
      <c r="FVG16" s="314" t="s">
        <v>203</v>
      </c>
      <c r="FVH16" s="314" t="s">
        <v>203</v>
      </c>
      <c r="FVI16" s="314" t="s">
        <v>203</v>
      </c>
      <c r="FVJ16" s="314" t="s">
        <v>203</v>
      </c>
      <c r="FVK16" s="314" t="s">
        <v>203</v>
      </c>
      <c r="FVL16" s="314" t="s">
        <v>203</v>
      </c>
      <c r="FVM16" s="314" t="s">
        <v>203</v>
      </c>
      <c r="FVN16" s="314" t="s">
        <v>203</v>
      </c>
      <c r="FVO16" s="314" t="s">
        <v>203</v>
      </c>
      <c r="FVP16" s="314" t="s">
        <v>203</v>
      </c>
      <c r="FVQ16" s="314" t="s">
        <v>203</v>
      </c>
      <c r="FVR16" s="314" t="s">
        <v>203</v>
      </c>
      <c r="FVS16" s="314" t="s">
        <v>203</v>
      </c>
      <c r="FVT16" s="314" t="s">
        <v>203</v>
      </c>
      <c r="FVU16" s="314" t="s">
        <v>203</v>
      </c>
      <c r="FVV16" s="314" t="s">
        <v>203</v>
      </c>
      <c r="FVW16" s="314" t="s">
        <v>203</v>
      </c>
      <c r="FVX16" s="314" t="s">
        <v>203</v>
      </c>
      <c r="FVY16" s="314" t="s">
        <v>203</v>
      </c>
      <c r="FVZ16" s="314" t="s">
        <v>203</v>
      </c>
      <c r="FWA16" s="314" t="s">
        <v>203</v>
      </c>
      <c r="FWB16" s="314" t="s">
        <v>203</v>
      </c>
      <c r="FWC16" s="314" t="s">
        <v>203</v>
      </c>
      <c r="FWD16" s="314" t="s">
        <v>203</v>
      </c>
      <c r="FWE16" s="314" t="s">
        <v>203</v>
      </c>
      <c r="FWF16" s="314" t="s">
        <v>203</v>
      </c>
      <c r="FWG16" s="314" t="s">
        <v>203</v>
      </c>
      <c r="FWH16" s="314" t="s">
        <v>203</v>
      </c>
      <c r="FWI16" s="314" t="s">
        <v>203</v>
      </c>
      <c r="FWJ16" s="314" t="s">
        <v>203</v>
      </c>
      <c r="FWK16" s="314" t="s">
        <v>203</v>
      </c>
      <c r="FWL16" s="314" t="s">
        <v>203</v>
      </c>
      <c r="FWM16" s="314" t="s">
        <v>203</v>
      </c>
      <c r="FWN16" s="314" t="s">
        <v>203</v>
      </c>
      <c r="FWO16" s="314" t="s">
        <v>203</v>
      </c>
      <c r="FWP16" s="314" t="s">
        <v>203</v>
      </c>
      <c r="FWQ16" s="314" t="s">
        <v>203</v>
      </c>
      <c r="FWR16" s="314" t="s">
        <v>203</v>
      </c>
      <c r="FWS16" s="314" t="s">
        <v>203</v>
      </c>
      <c r="FWT16" s="314" t="s">
        <v>203</v>
      </c>
      <c r="FWU16" s="314" t="s">
        <v>203</v>
      </c>
      <c r="FWV16" s="314" t="s">
        <v>203</v>
      </c>
      <c r="FWW16" s="314" t="s">
        <v>203</v>
      </c>
      <c r="FWX16" s="314" t="s">
        <v>203</v>
      </c>
      <c r="FWY16" s="314" t="s">
        <v>203</v>
      </c>
      <c r="FWZ16" s="314" t="s">
        <v>203</v>
      </c>
      <c r="FXA16" s="314" t="s">
        <v>203</v>
      </c>
      <c r="FXB16" s="314" t="s">
        <v>203</v>
      </c>
      <c r="FXC16" s="314" t="s">
        <v>203</v>
      </c>
      <c r="FXD16" s="314" t="s">
        <v>203</v>
      </c>
      <c r="FXE16" s="314" t="s">
        <v>203</v>
      </c>
      <c r="FXF16" s="314" t="s">
        <v>203</v>
      </c>
      <c r="FXG16" s="314" t="s">
        <v>203</v>
      </c>
      <c r="FXH16" s="314" t="s">
        <v>203</v>
      </c>
      <c r="FXI16" s="314" t="s">
        <v>203</v>
      </c>
      <c r="FXJ16" s="314" t="s">
        <v>203</v>
      </c>
      <c r="FXK16" s="314" t="s">
        <v>203</v>
      </c>
      <c r="FXL16" s="314" t="s">
        <v>203</v>
      </c>
      <c r="FXM16" s="314" t="s">
        <v>203</v>
      </c>
      <c r="FXN16" s="314" t="s">
        <v>203</v>
      </c>
      <c r="FXO16" s="314" t="s">
        <v>203</v>
      </c>
      <c r="FXP16" s="314" t="s">
        <v>203</v>
      </c>
      <c r="FXQ16" s="314" t="s">
        <v>203</v>
      </c>
      <c r="FXR16" s="314" t="s">
        <v>203</v>
      </c>
      <c r="FXS16" s="314" t="s">
        <v>203</v>
      </c>
      <c r="FXT16" s="314" t="s">
        <v>203</v>
      </c>
      <c r="FXU16" s="314" t="s">
        <v>203</v>
      </c>
      <c r="FXV16" s="314" t="s">
        <v>203</v>
      </c>
      <c r="FXW16" s="314" t="s">
        <v>203</v>
      </c>
      <c r="FXX16" s="314" t="s">
        <v>203</v>
      </c>
      <c r="FXY16" s="314" t="s">
        <v>203</v>
      </c>
      <c r="FXZ16" s="314" t="s">
        <v>203</v>
      </c>
      <c r="FYA16" s="314" t="s">
        <v>203</v>
      </c>
      <c r="FYB16" s="314" t="s">
        <v>203</v>
      </c>
      <c r="FYC16" s="314" t="s">
        <v>203</v>
      </c>
      <c r="FYD16" s="314" t="s">
        <v>203</v>
      </c>
      <c r="FYE16" s="314" t="s">
        <v>203</v>
      </c>
      <c r="FYF16" s="314" t="s">
        <v>203</v>
      </c>
      <c r="FYG16" s="314" t="s">
        <v>203</v>
      </c>
      <c r="FYH16" s="314" t="s">
        <v>203</v>
      </c>
      <c r="FYI16" s="314" t="s">
        <v>203</v>
      </c>
      <c r="FYJ16" s="314" t="s">
        <v>203</v>
      </c>
      <c r="FYK16" s="314" t="s">
        <v>203</v>
      </c>
      <c r="FYL16" s="314" t="s">
        <v>203</v>
      </c>
      <c r="FYM16" s="314" t="s">
        <v>203</v>
      </c>
      <c r="FYN16" s="314" t="s">
        <v>203</v>
      </c>
      <c r="FYO16" s="314" t="s">
        <v>203</v>
      </c>
      <c r="FYP16" s="314" t="s">
        <v>203</v>
      </c>
      <c r="FYQ16" s="314" t="s">
        <v>203</v>
      </c>
      <c r="FYR16" s="314" t="s">
        <v>203</v>
      </c>
      <c r="FYS16" s="314" t="s">
        <v>203</v>
      </c>
      <c r="FYT16" s="314" t="s">
        <v>203</v>
      </c>
      <c r="FYU16" s="314" t="s">
        <v>203</v>
      </c>
      <c r="FYV16" s="314" t="s">
        <v>203</v>
      </c>
      <c r="FYW16" s="314" t="s">
        <v>203</v>
      </c>
      <c r="FYX16" s="314" t="s">
        <v>203</v>
      </c>
      <c r="FYY16" s="314" t="s">
        <v>203</v>
      </c>
      <c r="FYZ16" s="314" t="s">
        <v>203</v>
      </c>
      <c r="FZA16" s="314" t="s">
        <v>203</v>
      </c>
      <c r="FZB16" s="314" t="s">
        <v>203</v>
      </c>
      <c r="FZC16" s="314" t="s">
        <v>203</v>
      </c>
      <c r="FZD16" s="314" t="s">
        <v>203</v>
      </c>
      <c r="FZE16" s="314" t="s">
        <v>203</v>
      </c>
      <c r="FZF16" s="314" t="s">
        <v>203</v>
      </c>
      <c r="FZG16" s="314" t="s">
        <v>203</v>
      </c>
      <c r="FZH16" s="314" t="s">
        <v>203</v>
      </c>
      <c r="FZI16" s="314" t="s">
        <v>203</v>
      </c>
      <c r="FZJ16" s="314" t="s">
        <v>203</v>
      </c>
      <c r="FZK16" s="314" t="s">
        <v>203</v>
      </c>
      <c r="FZL16" s="314" t="s">
        <v>203</v>
      </c>
      <c r="FZM16" s="314" t="s">
        <v>203</v>
      </c>
      <c r="FZN16" s="314" t="s">
        <v>203</v>
      </c>
      <c r="FZO16" s="314" t="s">
        <v>203</v>
      </c>
      <c r="FZP16" s="314" t="s">
        <v>203</v>
      </c>
      <c r="FZQ16" s="314" t="s">
        <v>203</v>
      </c>
      <c r="FZR16" s="314" t="s">
        <v>203</v>
      </c>
      <c r="FZS16" s="314" t="s">
        <v>203</v>
      </c>
      <c r="FZT16" s="314" t="s">
        <v>203</v>
      </c>
      <c r="FZU16" s="314" t="s">
        <v>203</v>
      </c>
      <c r="FZV16" s="314" t="s">
        <v>203</v>
      </c>
      <c r="FZW16" s="314" t="s">
        <v>203</v>
      </c>
      <c r="FZX16" s="314" t="s">
        <v>203</v>
      </c>
      <c r="FZY16" s="314" t="s">
        <v>203</v>
      </c>
      <c r="FZZ16" s="314" t="s">
        <v>203</v>
      </c>
      <c r="GAA16" s="314" t="s">
        <v>203</v>
      </c>
      <c r="GAB16" s="314" t="s">
        <v>203</v>
      </c>
      <c r="GAC16" s="314" t="s">
        <v>203</v>
      </c>
      <c r="GAD16" s="314" t="s">
        <v>203</v>
      </c>
      <c r="GAE16" s="314" t="s">
        <v>203</v>
      </c>
      <c r="GAF16" s="314" t="s">
        <v>203</v>
      </c>
      <c r="GAG16" s="314" t="s">
        <v>203</v>
      </c>
      <c r="GAH16" s="314" t="s">
        <v>203</v>
      </c>
      <c r="GAI16" s="314" t="s">
        <v>203</v>
      </c>
      <c r="GAJ16" s="314" t="s">
        <v>203</v>
      </c>
      <c r="GAK16" s="314" t="s">
        <v>203</v>
      </c>
      <c r="GAL16" s="314" t="s">
        <v>203</v>
      </c>
      <c r="GAM16" s="314" t="s">
        <v>203</v>
      </c>
      <c r="GAN16" s="314" t="s">
        <v>203</v>
      </c>
      <c r="GAO16" s="314" t="s">
        <v>203</v>
      </c>
      <c r="GAP16" s="314" t="s">
        <v>203</v>
      </c>
      <c r="GAQ16" s="314" t="s">
        <v>203</v>
      </c>
      <c r="GAR16" s="314" t="s">
        <v>203</v>
      </c>
      <c r="GAS16" s="314" t="s">
        <v>203</v>
      </c>
      <c r="GAT16" s="314" t="s">
        <v>203</v>
      </c>
      <c r="GAU16" s="314" t="s">
        <v>203</v>
      </c>
      <c r="GAV16" s="314" t="s">
        <v>203</v>
      </c>
      <c r="GAW16" s="314" t="s">
        <v>203</v>
      </c>
      <c r="GAX16" s="314" t="s">
        <v>203</v>
      </c>
      <c r="GAY16" s="314" t="s">
        <v>203</v>
      </c>
      <c r="GAZ16" s="314" t="s">
        <v>203</v>
      </c>
      <c r="GBA16" s="314" t="s">
        <v>203</v>
      </c>
      <c r="GBB16" s="314" t="s">
        <v>203</v>
      </c>
      <c r="GBC16" s="314" t="s">
        <v>203</v>
      </c>
      <c r="GBD16" s="314" t="s">
        <v>203</v>
      </c>
      <c r="GBE16" s="314" t="s">
        <v>203</v>
      </c>
      <c r="GBF16" s="314" t="s">
        <v>203</v>
      </c>
      <c r="GBG16" s="314" t="s">
        <v>203</v>
      </c>
      <c r="GBH16" s="314" t="s">
        <v>203</v>
      </c>
      <c r="GBI16" s="314" t="s">
        <v>203</v>
      </c>
      <c r="GBJ16" s="314" t="s">
        <v>203</v>
      </c>
      <c r="GBK16" s="314" t="s">
        <v>203</v>
      </c>
      <c r="GBL16" s="314" t="s">
        <v>203</v>
      </c>
      <c r="GBM16" s="314" t="s">
        <v>203</v>
      </c>
      <c r="GBN16" s="314" t="s">
        <v>203</v>
      </c>
      <c r="GBO16" s="314" t="s">
        <v>203</v>
      </c>
      <c r="GBP16" s="314" t="s">
        <v>203</v>
      </c>
      <c r="GBQ16" s="314" t="s">
        <v>203</v>
      </c>
      <c r="GBR16" s="314" t="s">
        <v>203</v>
      </c>
      <c r="GBS16" s="314" t="s">
        <v>203</v>
      </c>
      <c r="GBT16" s="314" t="s">
        <v>203</v>
      </c>
      <c r="GBU16" s="314" t="s">
        <v>203</v>
      </c>
      <c r="GBV16" s="314" t="s">
        <v>203</v>
      </c>
      <c r="GBW16" s="314" t="s">
        <v>203</v>
      </c>
      <c r="GBX16" s="314" t="s">
        <v>203</v>
      </c>
      <c r="GBY16" s="314" t="s">
        <v>203</v>
      </c>
      <c r="GBZ16" s="314" t="s">
        <v>203</v>
      </c>
      <c r="GCA16" s="314" t="s">
        <v>203</v>
      </c>
      <c r="GCB16" s="314" t="s">
        <v>203</v>
      </c>
      <c r="GCC16" s="314" t="s">
        <v>203</v>
      </c>
      <c r="GCD16" s="314" t="s">
        <v>203</v>
      </c>
      <c r="GCE16" s="314" t="s">
        <v>203</v>
      </c>
      <c r="GCF16" s="314" t="s">
        <v>203</v>
      </c>
      <c r="GCG16" s="314" t="s">
        <v>203</v>
      </c>
      <c r="GCH16" s="314" t="s">
        <v>203</v>
      </c>
      <c r="GCI16" s="314" t="s">
        <v>203</v>
      </c>
      <c r="GCJ16" s="314" t="s">
        <v>203</v>
      </c>
      <c r="GCK16" s="314" t="s">
        <v>203</v>
      </c>
      <c r="GCL16" s="314" t="s">
        <v>203</v>
      </c>
      <c r="GCM16" s="314" t="s">
        <v>203</v>
      </c>
      <c r="GCN16" s="314" t="s">
        <v>203</v>
      </c>
      <c r="GCO16" s="314" t="s">
        <v>203</v>
      </c>
      <c r="GCP16" s="314" t="s">
        <v>203</v>
      </c>
      <c r="GCQ16" s="314" t="s">
        <v>203</v>
      </c>
      <c r="GCR16" s="314" t="s">
        <v>203</v>
      </c>
      <c r="GCS16" s="314" t="s">
        <v>203</v>
      </c>
      <c r="GCT16" s="314" t="s">
        <v>203</v>
      </c>
      <c r="GCU16" s="314" t="s">
        <v>203</v>
      </c>
      <c r="GCV16" s="314" t="s">
        <v>203</v>
      </c>
      <c r="GCW16" s="314" t="s">
        <v>203</v>
      </c>
      <c r="GCX16" s="314" t="s">
        <v>203</v>
      </c>
      <c r="GCY16" s="314" t="s">
        <v>203</v>
      </c>
      <c r="GCZ16" s="314" t="s">
        <v>203</v>
      </c>
      <c r="GDA16" s="314" t="s">
        <v>203</v>
      </c>
      <c r="GDB16" s="314" t="s">
        <v>203</v>
      </c>
      <c r="GDC16" s="314" t="s">
        <v>203</v>
      </c>
      <c r="GDD16" s="314" t="s">
        <v>203</v>
      </c>
      <c r="GDE16" s="314" t="s">
        <v>203</v>
      </c>
      <c r="GDF16" s="314" t="s">
        <v>203</v>
      </c>
      <c r="GDG16" s="314" t="s">
        <v>203</v>
      </c>
      <c r="GDH16" s="314" t="s">
        <v>203</v>
      </c>
      <c r="GDI16" s="314" t="s">
        <v>203</v>
      </c>
      <c r="GDJ16" s="314" t="s">
        <v>203</v>
      </c>
      <c r="GDK16" s="314" t="s">
        <v>203</v>
      </c>
      <c r="GDL16" s="314" t="s">
        <v>203</v>
      </c>
      <c r="GDM16" s="314" t="s">
        <v>203</v>
      </c>
      <c r="GDN16" s="314" t="s">
        <v>203</v>
      </c>
      <c r="GDO16" s="314" t="s">
        <v>203</v>
      </c>
      <c r="GDP16" s="314" t="s">
        <v>203</v>
      </c>
      <c r="GDQ16" s="314" t="s">
        <v>203</v>
      </c>
      <c r="GDR16" s="314" t="s">
        <v>203</v>
      </c>
      <c r="GDS16" s="314" t="s">
        <v>203</v>
      </c>
      <c r="GDT16" s="314" t="s">
        <v>203</v>
      </c>
      <c r="GDU16" s="314" t="s">
        <v>203</v>
      </c>
      <c r="GDV16" s="314" t="s">
        <v>203</v>
      </c>
      <c r="GDW16" s="314" t="s">
        <v>203</v>
      </c>
      <c r="GDX16" s="314" t="s">
        <v>203</v>
      </c>
      <c r="GDY16" s="314" t="s">
        <v>203</v>
      </c>
      <c r="GDZ16" s="314" t="s">
        <v>203</v>
      </c>
      <c r="GEA16" s="314" t="s">
        <v>203</v>
      </c>
      <c r="GEB16" s="314" t="s">
        <v>203</v>
      </c>
      <c r="GEC16" s="314" t="s">
        <v>203</v>
      </c>
      <c r="GED16" s="314" t="s">
        <v>203</v>
      </c>
      <c r="GEE16" s="314" t="s">
        <v>203</v>
      </c>
      <c r="GEF16" s="314" t="s">
        <v>203</v>
      </c>
      <c r="GEG16" s="314" t="s">
        <v>203</v>
      </c>
      <c r="GEH16" s="314" t="s">
        <v>203</v>
      </c>
      <c r="GEI16" s="314" t="s">
        <v>203</v>
      </c>
      <c r="GEJ16" s="314" t="s">
        <v>203</v>
      </c>
      <c r="GEK16" s="314" t="s">
        <v>203</v>
      </c>
      <c r="GEL16" s="314" t="s">
        <v>203</v>
      </c>
      <c r="GEM16" s="314" t="s">
        <v>203</v>
      </c>
      <c r="GEN16" s="314" t="s">
        <v>203</v>
      </c>
      <c r="GEO16" s="314" t="s">
        <v>203</v>
      </c>
      <c r="GEP16" s="314" t="s">
        <v>203</v>
      </c>
      <c r="GEQ16" s="314" t="s">
        <v>203</v>
      </c>
      <c r="GER16" s="314" t="s">
        <v>203</v>
      </c>
      <c r="GES16" s="314" t="s">
        <v>203</v>
      </c>
      <c r="GET16" s="314" t="s">
        <v>203</v>
      </c>
      <c r="GEU16" s="314" t="s">
        <v>203</v>
      </c>
      <c r="GEV16" s="314" t="s">
        <v>203</v>
      </c>
      <c r="GEW16" s="314" t="s">
        <v>203</v>
      </c>
      <c r="GEX16" s="314" t="s">
        <v>203</v>
      </c>
      <c r="GEY16" s="314" t="s">
        <v>203</v>
      </c>
      <c r="GEZ16" s="314" t="s">
        <v>203</v>
      </c>
      <c r="GFA16" s="314" t="s">
        <v>203</v>
      </c>
      <c r="GFB16" s="314" t="s">
        <v>203</v>
      </c>
      <c r="GFC16" s="314" t="s">
        <v>203</v>
      </c>
      <c r="GFD16" s="314" t="s">
        <v>203</v>
      </c>
      <c r="GFE16" s="314" t="s">
        <v>203</v>
      </c>
      <c r="GFF16" s="314" t="s">
        <v>203</v>
      </c>
      <c r="GFG16" s="314" t="s">
        <v>203</v>
      </c>
      <c r="GFH16" s="314" t="s">
        <v>203</v>
      </c>
      <c r="GFI16" s="314" t="s">
        <v>203</v>
      </c>
      <c r="GFJ16" s="314" t="s">
        <v>203</v>
      </c>
      <c r="GFK16" s="314" t="s">
        <v>203</v>
      </c>
      <c r="GFL16" s="314" t="s">
        <v>203</v>
      </c>
      <c r="GFM16" s="314" t="s">
        <v>203</v>
      </c>
      <c r="GFN16" s="314" t="s">
        <v>203</v>
      </c>
      <c r="GFO16" s="314" t="s">
        <v>203</v>
      </c>
      <c r="GFP16" s="314" t="s">
        <v>203</v>
      </c>
      <c r="GFQ16" s="314" t="s">
        <v>203</v>
      </c>
      <c r="GFR16" s="314" t="s">
        <v>203</v>
      </c>
      <c r="GFS16" s="314" t="s">
        <v>203</v>
      </c>
      <c r="GFT16" s="314" t="s">
        <v>203</v>
      </c>
      <c r="GFU16" s="314" t="s">
        <v>203</v>
      </c>
      <c r="GFV16" s="314" t="s">
        <v>203</v>
      </c>
      <c r="GFW16" s="314" t="s">
        <v>203</v>
      </c>
      <c r="GFX16" s="314" t="s">
        <v>203</v>
      </c>
      <c r="GFY16" s="314" t="s">
        <v>203</v>
      </c>
      <c r="GFZ16" s="314" t="s">
        <v>203</v>
      </c>
      <c r="GGA16" s="314" t="s">
        <v>203</v>
      </c>
      <c r="GGB16" s="314" t="s">
        <v>203</v>
      </c>
      <c r="GGC16" s="314" t="s">
        <v>203</v>
      </c>
      <c r="GGD16" s="314" t="s">
        <v>203</v>
      </c>
      <c r="GGE16" s="314" t="s">
        <v>203</v>
      </c>
      <c r="GGF16" s="314" t="s">
        <v>203</v>
      </c>
      <c r="GGG16" s="314" t="s">
        <v>203</v>
      </c>
      <c r="GGH16" s="314" t="s">
        <v>203</v>
      </c>
      <c r="GGI16" s="314" t="s">
        <v>203</v>
      </c>
      <c r="GGJ16" s="314" t="s">
        <v>203</v>
      </c>
      <c r="GGK16" s="314" t="s">
        <v>203</v>
      </c>
      <c r="GGL16" s="314" t="s">
        <v>203</v>
      </c>
      <c r="GGM16" s="314" t="s">
        <v>203</v>
      </c>
      <c r="GGN16" s="314" t="s">
        <v>203</v>
      </c>
      <c r="GGO16" s="314" t="s">
        <v>203</v>
      </c>
      <c r="GGP16" s="314" t="s">
        <v>203</v>
      </c>
      <c r="GGQ16" s="314" t="s">
        <v>203</v>
      </c>
      <c r="GGR16" s="314" t="s">
        <v>203</v>
      </c>
      <c r="GGS16" s="314" t="s">
        <v>203</v>
      </c>
      <c r="GGT16" s="314" t="s">
        <v>203</v>
      </c>
      <c r="GGU16" s="314" t="s">
        <v>203</v>
      </c>
      <c r="GGV16" s="314" t="s">
        <v>203</v>
      </c>
      <c r="GGW16" s="314" t="s">
        <v>203</v>
      </c>
      <c r="GGX16" s="314" t="s">
        <v>203</v>
      </c>
      <c r="GGY16" s="314" t="s">
        <v>203</v>
      </c>
      <c r="GGZ16" s="314" t="s">
        <v>203</v>
      </c>
      <c r="GHA16" s="314" t="s">
        <v>203</v>
      </c>
      <c r="GHB16" s="314" t="s">
        <v>203</v>
      </c>
      <c r="GHC16" s="314" t="s">
        <v>203</v>
      </c>
      <c r="GHD16" s="314" t="s">
        <v>203</v>
      </c>
      <c r="GHE16" s="314" t="s">
        <v>203</v>
      </c>
      <c r="GHF16" s="314" t="s">
        <v>203</v>
      </c>
      <c r="GHG16" s="314" t="s">
        <v>203</v>
      </c>
      <c r="GHH16" s="314" t="s">
        <v>203</v>
      </c>
      <c r="GHI16" s="314" t="s">
        <v>203</v>
      </c>
      <c r="GHJ16" s="314" t="s">
        <v>203</v>
      </c>
      <c r="GHK16" s="314" t="s">
        <v>203</v>
      </c>
      <c r="GHL16" s="314" t="s">
        <v>203</v>
      </c>
      <c r="GHM16" s="314" t="s">
        <v>203</v>
      </c>
      <c r="GHN16" s="314" t="s">
        <v>203</v>
      </c>
      <c r="GHO16" s="314" t="s">
        <v>203</v>
      </c>
      <c r="GHP16" s="314" t="s">
        <v>203</v>
      </c>
      <c r="GHQ16" s="314" t="s">
        <v>203</v>
      </c>
      <c r="GHR16" s="314" t="s">
        <v>203</v>
      </c>
      <c r="GHS16" s="314" t="s">
        <v>203</v>
      </c>
      <c r="GHT16" s="314" t="s">
        <v>203</v>
      </c>
      <c r="GHU16" s="314" t="s">
        <v>203</v>
      </c>
      <c r="GHV16" s="314" t="s">
        <v>203</v>
      </c>
      <c r="GHW16" s="314" t="s">
        <v>203</v>
      </c>
      <c r="GHX16" s="314" t="s">
        <v>203</v>
      </c>
      <c r="GHY16" s="314" t="s">
        <v>203</v>
      </c>
      <c r="GHZ16" s="314" t="s">
        <v>203</v>
      </c>
      <c r="GIA16" s="314" t="s">
        <v>203</v>
      </c>
      <c r="GIB16" s="314" t="s">
        <v>203</v>
      </c>
      <c r="GIC16" s="314" t="s">
        <v>203</v>
      </c>
      <c r="GID16" s="314" t="s">
        <v>203</v>
      </c>
      <c r="GIE16" s="314" t="s">
        <v>203</v>
      </c>
      <c r="GIF16" s="314" t="s">
        <v>203</v>
      </c>
      <c r="GIG16" s="314" t="s">
        <v>203</v>
      </c>
      <c r="GIH16" s="314" t="s">
        <v>203</v>
      </c>
      <c r="GII16" s="314" t="s">
        <v>203</v>
      </c>
      <c r="GIJ16" s="314" t="s">
        <v>203</v>
      </c>
      <c r="GIK16" s="314" t="s">
        <v>203</v>
      </c>
      <c r="GIL16" s="314" t="s">
        <v>203</v>
      </c>
      <c r="GIM16" s="314" t="s">
        <v>203</v>
      </c>
      <c r="GIN16" s="314" t="s">
        <v>203</v>
      </c>
      <c r="GIO16" s="314" t="s">
        <v>203</v>
      </c>
      <c r="GIP16" s="314" t="s">
        <v>203</v>
      </c>
      <c r="GIQ16" s="314" t="s">
        <v>203</v>
      </c>
      <c r="GIR16" s="314" t="s">
        <v>203</v>
      </c>
      <c r="GIS16" s="314" t="s">
        <v>203</v>
      </c>
      <c r="GIT16" s="314" t="s">
        <v>203</v>
      </c>
      <c r="GIU16" s="314" t="s">
        <v>203</v>
      </c>
      <c r="GIV16" s="314" t="s">
        <v>203</v>
      </c>
      <c r="GIW16" s="314" t="s">
        <v>203</v>
      </c>
      <c r="GIX16" s="314" t="s">
        <v>203</v>
      </c>
      <c r="GIY16" s="314" t="s">
        <v>203</v>
      </c>
      <c r="GIZ16" s="314" t="s">
        <v>203</v>
      </c>
      <c r="GJA16" s="314" t="s">
        <v>203</v>
      </c>
      <c r="GJB16" s="314" t="s">
        <v>203</v>
      </c>
      <c r="GJC16" s="314" t="s">
        <v>203</v>
      </c>
      <c r="GJD16" s="314" t="s">
        <v>203</v>
      </c>
      <c r="GJE16" s="314" t="s">
        <v>203</v>
      </c>
      <c r="GJF16" s="314" t="s">
        <v>203</v>
      </c>
      <c r="GJG16" s="314" t="s">
        <v>203</v>
      </c>
      <c r="GJH16" s="314" t="s">
        <v>203</v>
      </c>
      <c r="GJI16" s="314" t="s">
        <v>203</v>
      </c>
      <c r="GJJ16" s="314" t="s">
        <v>203</v>
      </c>
      <c r="GJK16" s="314" t="s">
        <v>203</v>
      </c>
      <c r="GJL16" s="314" t="s">
        <v>203</v>
      </c>
      <c r="GJM16" s="314" t="s">
        <v>203</v>
      </c>
      <c r="GJN16" s="314" t="s">
        <v>203</v>
      </c>
      <c r="GJO16" s="314" t="s">
        <v>203</v>
      </c>
      <c r="GJP16" s="314" t="s">
        <v>203</v>
      </c>
      <c r="GJQ16" s="314" t="s">
        <v>203</v>
      </c>
      <c r="GJR16" s="314" t="s">
        <v>203</v>
      </c>
      <c r="GJS16" s="314" t="s">
        <v>203</v>
      </c>
      <c r="GJT16" s="314" t="s">
        <v>203</v>
      </c>
      <c r="GJU16" s="314" t="s">
        <v>203</v>
      </c>
      <c r="GJV16" s="314" t="s">
        <v>203</v>
      </c>
      <c r="GJW16" s="314" t="s">
        <v>203</v>
      </c>
      <c r="GJX16" s="314" t="s">
        <v>203</v>
      </c>
      <c r="GJY16" s="314" t="s">
        <v>203</v>
      </c>
      <c r="GJZ16" s="314" t="s">
        <v>203</v>
      </c>
      <c r="GKA16" s="314" t="s">
        <v>203</v>
      </c>
      <c r="GKB16" s="314" t="s">
        <v>203</v>
      </c>
      <c r="GKC16" s="314" t="s">
        <v>203</v>
      </c>
      <c r="GKD16" s="314" t="s">
        <v>203</v>
      </c>
      <c r="GKE16" s="314" t="s">
        <v>203</v>
      </c>
      <c r="GKF16" s="314" t="s">
        <v>203</v>
      </c>
      <c r="GKG16" s="314" t="s">
        <v>203</v>
      </c>
      <c r="GKH16" s="314" t="s">
        <v>203</v>
      </c>
      <c r="GKI16" s="314" t="s">
        <v>203</v>
      </c>
      <c r="GKJ16" s="314" t="s">
        <v>203</v>
      </c>
      <c r="GKK16" s="314" t="s">
        <v>203</v>
      </c>
      <c r="GKL16" s="314" t="s">
        <v>203</v>
      </c>
      <c r="GKM16" s="314" t="s">
        <v>203</v>
      </c>
      <c r="GKN16" s="314" t="s">
        <v>203</v>
      </c>
      <c r="GKO16" s="314" t="s">
        <v>203</v>
      </c>
      <c r="GKP16" s="314" t="s">
        <v>203</v>
      </c>
      <c r="GKQ16" s="314" t="s">
        <v>203</v>
      </c>
      <c r="GKR16" s="314" t="s">
        <v>203</v>
      </c>
      <c r="GKS16" s="314" t="s">
        <v>203</v>
      </c>
      <c r="GKT16" s="314" t="s">
        <v>203</v>
      </c>
      <c r="GKU16" s="314" t="s">
        <v>203</v>
      </c>
      <c r="GKV16" s="314" t="s">
        <v>203</v>
      </c>
      <c r="GKW16" s="314" t="s">
        <v>203</v>
      </c>
      <c r="GKX16" s="314" t="s">
        <v>203</v>
      </c>
      <c r="GKY16" s="314" t="s">
        <v>203</v>
      </c>
      <c r="GKZ16" s="314" t="s">
        <v>203</v>
      </c>
      <c r="GLA16" s="314" t="s">
        <v>203</v>
      </c>
      <c r="GLB16" s="314" t="s">
        <v>203</v>
      </c>
      <c r="GLC16" s="314" t="s">
        <v>203</v>
      </c>
      <c r="GLD16" s="314" t="s">
        <v>203</v>
      </c>
      <c r="GLE16" s="314" t="s">
        <v>203</v>
      </c>
      <c r="GLF16" s="314" t="s">
        <v>203</v>
      </c>
      <c r="GLG16" s="314" t="s">
        <v>203</v>
      </c>
      <c r="GLH16" s="314" t="s">
        <v>203</v>
      </c>
      <c r="GLI16" s="314" t="s">
        <v>203</v>
      </c>
      <c r="GLJ16" s="314" t="s">
        <v>203</v>
      </c>
      <c r="GLK16" s="314" t="s">
        <v>203</v>
      </c>
      <c r="GLL16" s="314" t="s">
        <v>203</v>
      </c>
      <c r="GLM16" s="314" t="s">
        <v>203</v>
      </c>
      <c r="GLN16" s="314" t="s">
        <v>203</v>
      </c>
      <c r="GLO16" s="314" t="s">
        <v>203</v>
      </c>
      <c r="GLP16" s="314" t="s">
        <v>203</v>
      </c>
      <c r="GLQ16" s="314" t="s">
        <v>203</v>
      </c>
      <c r="GLR16" s="314" t="s">
        <v>203</v>
      </c>
      <c r="GLS16" s="314" t="s">
        <v>203</v>
      </c>
      <c r="GLT16" s="314" t="s">
        <v>203</v>
      </c>
      <c r="GLU16" s="314" t="s">
        <v>203</v>
      </c>
      <c r="GLV16" s="314" t="s">
        <v>203</v>
      </c>
      <c r="GLW16" s="314" t="s">
        <v>203</v>
      </c>
      <c r="GLX16" s="314" t="s">
        <v>203</v>
      </c>
      <c r="GLY16" s="314" t="s">
        <v>203</v>
      </c>
      <c r="GLZ16" s="314" t="s">
        <v>203</v>
      </c>
      <c r="GMA16" s="314" t="s">
        <v>203</v>
      </c>
      <c r="GMB16" s="314" t="s">
        <v>203</v>
      </c>
      <c r="GMC16" s="314" t="s">
        <v>203</v>
      </c>
      <c r="GMD16" s="314" t="s">
        <v>203</v>
      </c>
      <c r="GME16" s="314" t="s">
        <v>203</v>
      </c>
      <c r="GMF16" s="314" t="s">
        <v>203</v>
      </c>
      <c r="GMG16" s="314" t="s">
        <v>203</v>
      </c>
      <c r="GMH16" s="314" t="s">
        <v>203</v>
      </c>
      <c r="GMI16" s="314" t="s">
        <v>203</v>
      </c>
      <c r="GMJ16" s="314" t="s">
        <v>203</v>
      </c>
      <c r="GMK16" s="314" t="s">
        <v>203</v>
      </c>
      <c r="GML16" s="314" t="s">
        <v>203</v>
      </c>
      <c r="GMM16" s="314" t="s">
        <v>203</v>
      </c>
      <c r="GMN16" s="314" t="s">
        <v>203</v>
      </c>
      <c r="GMO16" s="314" t="s">
        <v>203</v>
      </c>
      <c r="GMP16" s="314" t="s">
        <v>203</v>
      </c>
      <c r="GMQ16" s="314" t="s">
        <v>203</v>
      </c>
      <c r="GMR16" s="314" t="s">
        <v>203</v>
      </c>
      <c r="GMS16" s="314" t="s">
        <v>203</v>
      </c>
      <c r="GMT16" s="314" t="s">
        <v>203</v>
      </c>
      <c r="GMU16" s="314" t="s">
        <v>203</v>
      </c>
      <c r="GMV16" s="314" t="s">
        <v>203</v>
      </c>
      <c r="GMW16" s="314" t="s">
        <v>203</v>
      </c>
      <c r="GMX16" s="314" t="s">
        <v>203</v>
      </c>
      <c r="GMY16" s="314" t="s">
        <v>203</v>
      </c>
      <c r="GMZ16" s="314" t="s">
        <v>203</v>
      </c>
      <c r="GNA16" s="314" t="s">
        <v>203</v>
      </c>
      <c r="GNB16" s="314" t="s">
        <v>203</v>
      </c>
      <c r="GNC16" s="314" t="s">
        <v>203</v>
      </c>
      <c r="GND16" s="314" t="s">
        <v>203</v>
      </c>
      <c r="GNE16" s="314" t="s">
        <v>203</v>
      </c>
      <c r="GNF16" s="314" t="s">
        <v>203</v>
      </c>
      <c r="GNG16" s="314" t="s">
        <v>203</v>
      </c>
      <c r="GNH16" s="314" t="s">
        <v>203</v>
      </c>
      <c r="GNI16" s="314" t="s">
        <v>203</v>
      </c>
      <c r="GNJ16" s="314" t="s">
        <v>203</v>
      </c>
      <c r="GNK16" s="314" t="s">
        <v>203</v>
      </c>
      <c r="GNL16" s="314" t="s">
        <v>203</v>
      </c>
      <c r="GNM16" s="314" t="s">
        <v>203</v>
      </c>
      <c r="GNN16" s="314" t="s">
        <v>203</v>
      </c>
      <c r="GNO16" s="314" t="s">
        <v>203</v>
      </c>
      <c r="GNP16" s="314" t="s">
        <v>203</v>
      </c>
      <c r="GNQ16" s="314" t="s">
        <v>203</v>
      </c>
      <c r="GNR16" s="314" t="s">
        <v>203</v>
      </c>
      <c r="GNS16" s="314" t="s">
        <v>203</v>
      </c>
      <c r="GNT16" s="314" t="s">
        <v>203</v>
      </c>
      <c r="GNU16" s="314" t="s">
        <v>203</v>
      </c>
      <c r="GNV16" s="314" t="s">
        <v>203</v>
      </c>
      <c r="GNW16" s="314" t="s">
        <v>203</v>
      </c>
      <c r="GNX16" s="314" t="s">
        <v>203</v>
      </c>
      <c r="GNY16" s="314" t="s">
        <v>203</v>
      </c>
      <c r="GNZ16" s="314" t="s">
        <v>203</v>
      </c>
      <c r="GOA16" s="314" t="s">
        <v>203</v>
      </c>
      <c r="GOB16" s="314" t="s">
        <v>203</v>
      </c>
      <c r="GOC16" s="314" t="s">
        <v>203</v>
      </c>
      <c r="GOD16" s="314" t="s">
        <v>203</v>
      </c>
      <c r="GOE16" s="314" t="s">
        <v>203</v>
      </c>
      <c r="GOF16" s="314" t="s">
        <v>203</v>
      </c>
      <c r="GOG16" s="314" t="s">
        <v>203</v>
      </c>
      <c r="GOH16" s="314" t="s">
        <v>203</v>
      </c>
      <c r="GOI16" s="314" t="s">
        <v>203</v>
      </c>
      <c r="GOJ16" s="314" t="s">
        <v>203</v>
      </c>
      <c r="GOK16" s="314" t="s">
        <v>203</v>
      </c>
      <c r="GOL16" s="314" t="s">
        <v>203</v>
      </c>
      <c r="GOM16" s="314" t="s">
        <v>203</v>
      </c>
      <c r="GON16" s="314" t="s">
        <v>203</v>
      </c>
      <c r="GOO16" s="314" t="s">
        <v>203</v>
      </c>
      <c r="GOP16" s="314" t="s">
        <v>203</v>
      </c>
      <c r="GOQ16" s="314" t="s">
        <v>203</v>
      </c>
      <c r="GOR16" s="314" t="s">
        <v>203</v>
      </c>
      <c r="GOS16" s="314" t="s">
        <v>203</v>
      </c>
      <c r="GOT16" s="314" t="s">
        <v>203</v>
      </c>
      <c r="GOU16" s="314" t="s">
        <v>203</v>
      </c>
      <c r="GOV16" s="314" t="s">
        <v>203</v>
      </c>
      <c r="GOW16" s="314" t="s">
        <v>203</v>
      </c>
      <c r="GOX16" s="314" t="s">
        <v>203</v>
      </c>
      <c r="GOY16" s="314" t="s">
        <v>203</v>
      </c>
      <c r="GOZ16" s="314" t="s">
        <v>203</v>
      </c>
      <c r="GPA16" s="314" t="s">
        <v>203</v>
      </c>
      <c r="GPB16" s="314" t="s">
        <v>203</v>
      </c>
      <c r="GPC16" s="314" t="s">
        <v>203</v>
      </c>
      <c r="GPD16" s="314" t="s">
        <v>203</v>
      </c>
      <c r="GPE16" s="314" t="s">
        <v>203</v>
      </c>
      <c r="GPF16" s="314" t="s">
        <v>203</v>
      </c>
      <c r="GPG16" s="314" t="s">
        <v>203</v>
      </c>
      <c r="GPH16" s="314" t="s">
        <v>203</v>
      </c>
      <c r="GPI16" s="314" t="s">
        <v>203</v>
      </c>
      <c r="GPJ16" s="314" t="s">
        <v>203</v>
      </c>
      <c r="GPK16" s="314" t="s">
        <v>203</v>
      </c>
      <c r="GPL16" s="314" t="s">
        <v>203</v>
      </c>
      <c r="GPM16" s="314" t="s">
        <v>203</v>
      </c>
      <c r="GPN16" s="314" t="s">
        <v>203</v>
      </c>
      <c r="GPO16" s="314" t="s">
        <v>203</v>
      </c>
      <c r="GPP16" s="314" t="s">
        <v>203</v>
      </c>
      <c r="GPQ16" s="314" t="s">
        <v>203</v>
      </c>
      <c r="GPR16" s="314" t="s">
        <v>203</v>
      </c>
      <c r="GPS16" s="314" t="s">
        <v>203</v>
      </c>
      <c r="GPT16" s="314" t="s">
        <v>203</v>
      </c>
      <c r="GPU16" s="314" t="s">
        <v>203</v>
      </c>
      <c r="GPV16" s="314" t="s">
        <v>203</v>
      </c>
      <c r="GPW16" s="314" t="s">
        <v>203</v>
      </c>
      <c r="GPX16" s="314" t="s">
        <v>203</v>
      </c>
      <c r="GPY16" s="314" t="s">
        <v>203</v>
      </c>
      <c r="GPZ16" s="314" t="s">
        <v>203</v>
      </c>
      <c r="GQA16" s="314" t="s">
        <v>203</v>
      </c>
      <c r="GQB16" s="314" t="s">
        <v>203</v>
      </c>
      <c r="GQC16" s="314" t="s">
        <v>203</v>
      </c>
      <c r="GQD16" s="314" t="s">
        <v>203</v>
      </c>
      <c r="GQE16" s="314" t="s">
        <v>203</v>
      </c>
      <c r="GQF16" s="314" t="s">
        <v>203</v>
      </c>
      <c r="GQG16" s="314" t="s">
        <v>203</v>
      </c>
      <c r="GQH16" s="314" t="s">
        <v>203</v>
      </c>
      <c r="GQI16" s="314" t="s">
        <v>203</v>
      </c>
      <c r="GQJ16" s="314" t="s">
        <v>203</v>
      </c>
      <c r="GQK16" s="314" t="s">
        <v>203</v>
      </c>
      <c r="GQL16" s="314" t="s">
        <v>203</v>
      </c>
      <c r="GQM16" s="314" t="s">
        <v>203</v>
      </c>
      <c r="GQN16" s="314" t="s">
        <v>203</v>
      </c>
      <c r="GQO16" s="314" t="s">
        <v>203</v>
      </c>
      <c r="GQP16" s="314" t="s">
        <v>203</v>
      </c>
      <c r="GQQ16" s="314" t="s">
        <v>203</v>
      </c>
      <c r="GQR16" s="314" t="s">
        <v>203</v>
      </c>
      <c r="GQS16" s="314" t="s">
        <v>203</v>
      </c>
      <c r="GQT16" s="314" t="s">
        <v>203</v>
      </c>
      <c r="GQU16" s="314" t="s">
        <v>203</v>
      </c>
      <c r="GQV16" s="314" t="s">
        <v>203</v>
      </c>
      <c r="GQW16" s="314" t="s">
        <v>203</v>
      </c>
      <c r="GQX16" s="314" t="s">
        <v>203</v>
      </c>
      <c r="GQY16" s="314" t="s">
        <v>203</v>
      </c>
      <c r="GQZ16" s="314" t="s">
        <v>203</v>
      </c>
      <c r="GRA16" s="314" t="s">
        <v>203</v>
      </c>
      <c r="GRB16" s="314" t="s">
        <v>203</v>
      </c>
      <c r="GRC16" s="314" t="s">
        <v>203</v>
      </c>
      <c r="GRD16" s="314" t="s">
        <v>203</v>
      </c>
      <c r="GRE16" s="314" t="s">
        <v>203</v>
      </c>
      <c r="GRF16" s="314" t="s">
        <v>203</v>
      </c>
      <c r="GRG16" s="314" t="s">
        <v>203</v>
      </c>
      <c r="GRH16" s="314" t="s">
        <v>203</v>
      </c>
      <c r="GRI16" s="314" t="s">
        <v>203</v>
      </c>
      <c r="GRJ16" s="314" t="s">
        <v>203</v>
      </c>
      <c r="GRK16" s="314" t="s">
        <v>203</v>
      </c>
      <c r="GRL16" s="314" t="s">
        <v>203</v>
      </c>
      <c r="GRM16" s="314" t="s">
        <v>203</v>
      </c>
      <c r="GRN16" s="314" t="s">
        <v>203</v>
      </c>
      <c r="GRO16" s="314" t="s">
        <v>203</v>
      </c>
      <c r="GRP16" s="314" t="s">
        <v>203</v>
      </c>
      <c r="GRQ16" s="314" t="s">
        <v>203</v>
      </c>
      <c r="GRR16" s="314" t="s">
        <v>203</v>
      </c>
      <c r="GRS16" s="314" t="s">
        <v>203</v>
      </c>
      <c r="GRT16" s="314" t="s">
        <v>203</v>
      </c>
      <c r="GRU16" s="314" t="s">
        <v>203</v>
      </c>
      <c r="GRV16" s="314" t="s">
        <v>203</v>
      </c>
      <c r="GRW16" s="314" t="s">
        <v>203</v>
      </c>
      <c r="GRX16" s="314" t="s">
        <v>203</v>
      </c>
      <c r="GRY16" s="314" t="s">
        <v>203</v>
      </c>
      <c r="GRZ16" s="314" t="s">
        <v>203</v>
      </c>
      <c r="GSA16" s="314" t="s">
        <v>203</v>
      </c>
      <c r="GSB16" s="314" t="s">
        <v>203</v>
      </c>
      <c r="GSC16" s="314" t="s">
        <v>203</v>
      </c>
      <c r="GSD16" s="314" t="s">
        <v>203</v>
      </c>
      <c r="GSE16" s="314" t="s">
        <v>203</v>
      </c>
      <c r="GSF16" s="314" t="s">
        <v>203</v>
      </c>
      <c r="GSG16" s="314" t="s">
        <v>203</v>
      </c>
      <c r="GSH16" s="314" t="s">
        <v>203</v>
      </c>
      <c r="GSI16" s="314" t="s">
        <v>203</v>
      </c>
      <c r="GSJ16" s="314" t="s">
        <v>203</v>
      </c>
      <c r="GSK16" s="314" t="s">
        <v>203</v>
      </c>
      <c r="GSL16" s="314" t="s">
        <v>203</v>
      </c>
      <c r="GSM16" s="314" t="s">
        <v>203</v>
      </c>
      <c r="GSN16" s="314" t="s">
        <v>203</v>
      </c>
      <c r="GSO16" s="314" t="s">
        <v>203</v>
      </c>
      <c r="GSP16" s="314" t="s">
        <v>203</v>
      </c>
      <c r="GSQ16" s="314" t="s">
        <v>203</v>
      </c>
      <c r="GSR16" s="314" t="s">
        <v>203</v>
      </c>
      <c r="GSS16" s="314" t="s">
        <v>203</v>
      </c>
      <c r="GST16" s="314" t="s">
        <v>203</v>
      </c>
      <c r="GSU16" s="314" t="s">
        <v>203</v>
      </c>
      <c r="GSV16" s="314" t="s">
        <v>203</v>
      </c>
      <c r="GSW16" s="314" t="s">
        <v>203</v>
      </c>
      <c r="GSX16" s="314" t="s">
        <v>203</v>
      </c>
      <c r="GSY16" s="314" t="s">
        <v>203</v>
      </c>
      <c r="GSZ16" s="314" t="s">
        <v>203</v>
      </c>
      <c r="GTA16" s="314" t="s">
        <v>203</v>
      </c>
      <c r="GTB16" s="314" t="s">
        <v>203</v>
      </c>
      <c r="GTC16" s="314" t="s">
        <v>203</v>
      </c>
      <c r="GTD16" s="314" t="s">
        <v>203</v>
      </c>
      <c r="GTE16" s="314" t="s">
        <v>203</v>
      </c>
      <c r="GTF16" s="314" t="s">
        <v>203</v>
      </c>
      <c r="GTG16" s="314" t="s">
        <v>203</v>
      </c>
      <c r="GTH16" s="314" t="s">
        <v>203</v>
      </c>
      <c r="GTI16" s="314" t="s">
        <v>203</v>
      </c>
      <c r="GTJ16" s="314" t="s">
        <v>203</v>
      </c>
      <c r="GTK16" s="314" t="s">
        <v>203</v>
      </c>
      <c r="GTL16" s="314" t="s">
        <v>203</v>
      </c>
      <c r="GTM16" s="314" t="s">
        <v>203</v>
      </c>
      <c r="GTN16" s="314" t="s">
        <v>203</v>
      </c>
      <c r="GTO16" s="314" t="s">
        <v>203</v>
      </c>
      <c r="GTP16" s="314" t="s">
        <v>203</v>
      </c>
      <c r="GTQ16" s="314" t="s">
        <v>203</v>
      </c>
      <c r="GTR16" s="314" t="s">
        <v>203</v>
      </c>
      <c r="GTS16" s="314" t="s">
        <v>203</v>
      </c>
      <c r="GTT16" s="314" t="s">
        <v>203</v>
      </c>
      <c r="GTU16" s="314" t="s">
        <v>203</v>
      </c>
      <c r="GTV16" s="314" t="s">
        <v>203</v>
      </c>
      <c r="GTW16" s="314" t="s">
        <v>203</v>
      </c>
      <c r="GTX16" s="314" t="s">
        <v>203</v>
      </c>
      <c r="GTY16" s="314" t="s">
        <v>203</v>
      </c>
      <c r="GTZ16" s="314" t="s">
        <v>203</v>
      </c>
      <c r="GUA16" s="314" t="s">
        <v>203</v>
      </c>
      <c r="GUB16" s="314" t="s">
        <v>203</v>
      </c>
      <c r="GUC16" s="314" t="s">
        <v>203</v>
      </c>
      <c r="GUD16" s="314" t="s">
        <v>203</v>
      </c>
      <c r="GUE16" s="314" t="s">
        <v>203</v>
      </c>
      <c r="GUF16" s="314" t="s">
        <v>203</v>
      </c>
      <c r="GUG16" s="314" t="s">
        <v>203</v>
      </c>
      <c r="GUH16" s="314" t="s">
        <v>203</v>
      </c>
      <c r="GUI16" s="314" t="s">
        <v>203</v>
      </c>
      <c r="GUJ16" s="314" t="s">
        <v>203</v>
      </c>
      <c r="GUK16" s="314" t="s">
        <v>203</v>
      </c>
      <c r="GUL16" s="314" t="s">
        <v>203</v>
      </c>
      <c r="GUM16" s="314" t="s">
        <v>203</v>
      </c>
      <c r="GUN16" s="314" t="s">
        <v>203</v>
      </c>
      <c r="GUO16" s="314" t="s">
        <v>203</v>
      </c>
      <c r="GUP16" s="314" t="s">
        <v>203</v>
      </c>
      <c r="GUQ16" s="314" t="s">
        <v>203</v>
      </c>
      <c r="GUR16" s="314" t="s">
        <v>203</v>
      </c>
      <c r="GUS16" s="314" t="s">
        <v>203</v>
      </c>
      <c r="GUT16" s="314" t="s">
        <v>203</v>
      </c>
      <c r="GUU16" s="314" t="s">
        <v>203</v>
      </c>
      <c r="GUV16" s="314" t="s">
        <v>203</v>
      </c>
      <c r="GUW16" s="314" t="s">
        <v>203</v>
      </c>
      <c r="GUX16" s="314" t="s">
        <v>203</v>
      </c>
      <c r="GUY16" s="314" t="s">
        <v>203</v>
      </c>
      <c r="GUZ16" s="314" t="s">
        <v>203</v>
      </c>
      <c r="GVA16" s="314" t="s">
        <v>203</v>
      </c>
      <c r="GVB16" s="314" t="s">
        <v>203</v>
      </c>
      <c r="GVC16" s="314" t="s">
        <v>203</v>
      </c>
      <c r="GVD16" s="314" t="s">
        <v>203</v>
      </c>
      <c r="GVE16" s="314" t="s">
        <v>203</v>
      </c>
      <c r="GVF16" s="314" t="s">
        <v>203</v>
      </c>
      <c r="GVG16" s="314" t="s">
        <v>203</v>
      </c>
      <c r="GVH16" s="314" t="s">
        <v>203</v>
      </c>
      <c r="GVI16" s="314" t="s">
        <v>203</v>
      </c>
      <c r="GVJ16" s="314" t="s">
        <v>203</v>
      </c>
      <c r="GVK16" s="314" t="s">
        <v>203</v>
      </c>
      <c r="GVL16" s="314" t="s">
        <v>203</v>
      </c>
      <c r="GVM16" s="314" t="s">
        <v>203</v>
      </c>
      <c r="GVN16" s="314" t="s">
        <v>203</v>
      </c>
      <c r="GVO16" s="314" t="s">
        <v>203</v>
      </c>
      <c r="GVP16" s="314" t="s">
        <v>203</v>
      </c>
      <c r="GVQ16" s="314" t="s">
        <v>203</v>
      </c>
      <c r="GVR16" s="314" t="s">
        <v>203</v>
      </c>
      <c r="GVS16" s="314" t="s">
        <v>203</v>
      </c>
      <c r="GVT16" s="314" t="s">
        <v>203</v>
      </c>
      <c r="GVU16" s="314" t="s">
        <v>203</v>
      </c>
      <c r="GVV16" s="314" t="s">
        <v>203</v>
      </c>
      <c r="GVW16" s="314" t="s">
        <v>203</v>
      </c>
      <c r="GVX16" s="314" t="s">
        <v>203</v>
      </c>
      <c r="GVY16" s="314" t="s">
        <v>203</v>
      </c>
      <c r="GVZ16" s="314" t="s">
        <v>203</v>
      </c>
      <c r="GWA16" s="314" t="s">
        <v>203</v>
      </c>
      <c r="GWB16" s="314" t="s">
        <v>203</v>
      </c>
      <c r="GWC16" s="314" t="s">
        <v>203</v>
      </c>
      <c r="GWD16" s="314" t="s">
        <v>203</v>
      </c>
      <c r="GWE16" s="314" t="s">
        <v>203</v>
      </c>
      <c r="GWF16" s="314" t="s">
        <v>203</v>
      </c>
      <c r="GWG16" s="314" t="s">
        <v>203</v>
      </c>
      <c r="GWH16" s="314" t="s">
        <v>203</v>
      </c>
      <c r="GWI16" s="314" t="s">
        <v>203</v>
      </c>
      <c r="GWJ16" s="314" t="s">
        <v>203</v>
      </c>
      <c r="GWK16" s="314" t="s">
        <v>203</v>
      </c>
      <c r="GWL16" s="314" t="s">
        <v>203</v>
      </c>
      <c r="GWM16" s="314" t="s">
        <v>203</v>
      </c>
      <c r="GWN16" s="314" t="s">
        <v>203</v>
      </c>
      <c r="GWO16" s="314" t="s">
        <v>203</v>
      </c>
      <c r="GWP16" s="314" t="s">
        <v>203</v>
      </c>
      <c r="GWQ16" s="314" t="s">
        <v>203</v>
      </c>
      <c r="GWR16" s="314" t="s">
        <v>203</v>
      </c>
      <c r="GWS16" s="314" t="s">
        <v>203</v>
      </c>
      <c r="GWT16" s="314" t="s">
        <v>203</v>
      </c>
      <c r="GWU16" s="314" t="s">
        <v>203</v>
      </c>
      <c r="GWV16" s="314" t="s">
        <v>203</v>
      </c>
      <c r="GWW16" s="314" t="s">
        <v>203</v>
      </c>
      <c r="GWX16" s="314" t="s">
        <v>203</v>
      </c>
      <c r="GWY16" s="314" t="s">
        <v>203</v>
      </c>
      <c r="GWZ16" s="314" t="s">
        <v>203</v>
      </c>
      <c r="GXA16" s="314" t="s">
        <v>203</v>
      </c>
      <c r="GXB16" s="314" t="s">
        <v>203</v>
      </c>
      <c r="GXC16" s="314" t="s">
        <v>203</v>
      </c>
      <c r="GXD16" s="314" t="s">
        <v>203</v>
      </c>
      <c r="GXE16" s="314" t="s">
        <v>203</v>
      </c>
      <c r="GXF16" s="314" t="s">
        <v>203</v>
      </c>
      <c r="GXG16" s="314" t="s">
        <v>203</v>
      </c>
      <c r="GXH16" s="314" t="s">
        <v>203</v>
      </c>
      <c r="GXI16" s="314" t="s">
        <v>203</v>
      </c>
      <c r="GXJ16" s="314" t="s">
        <v>203</v>
      </c>
      <c r="GXK16" s="314" t="s">
        <v>203</v>
      </c>
      <c r="GXL16" s="314" t="s">
        <v>203</v>
      </c>
      <c r="GXM16" s="314" t="s">
        <v>203</v>
      </c>
      <c r="GXN16" s="314" t="s">
        <v>203</v>
      </c>
      <c r="GXO16" s="314" t="s">
        <v>203</v>
      </c>
      <c r="GXP16" s="314" t="s">
        <v>203</v>
      </c>
      <c r="GXQ16" s="314" t="s">
        <v>203</v>
      </c>
      <c r="GXR16" s="314" t="s">
        <v>203</v>
      </c>
      <c r="GXS16" s="314" t="s">
        <v>203</v>
      </c>
      <c r="GXT16" s="314" t="s">
        <v>203</v>
      </c>
      <c r="GXU16" s="314" t="s">
        <v>203</v>
      </c>
      <c r="GXV16" s="314" t="s">
        <v>203</v>
      </c>
      <c r="GXW16" s="314" t="s">
        <v>203</v>
      </c>
      <c r="GXX16" s="314" t="s">
        <v>203</v>
      </c>
      <c r="GXY16" s="314" t="s">
        <v>203</v>
      </c>
      <c r="GXZ16" s="314" t="s">
        <v>203</v>
      </c>
      <c r="GYA16" s="314" t="s">
        <v>203</v>
      </c>
      <c r="GYB16" s="314" t="s">
        <v>203</v>
      </c>
      <c r="GYC16" s="314" t="s">
        <v>203</v>
      </c>
      <c r="GYD16" s="314" t="s">
        <v>203</v>
      </c>
      <c r="GYE16" s="314" t="s">
        <v>203</v>
      </c>
      <c r="GYF16" s="314" t="s">
        <v>203</v>
      </c>
      <c r="GYG16" s="314" t="s">
        <v>203</v>
      </c>
      <c r="GYH16" s="314" t="s">
        <v>203</v>
      </c>
      <c r="GYI16" s="314" t="s">
        <v>203</v>
      </c>
      <c r="GYJ16" s="314" t="s">
        <v>203</v>
      </c>
      <c r="GYK16" s="314" t="s">
        <v>203</v>
      </c>
      <c r="GYL16" s="314" t="s">
        <v>203</v>
      </c>
      <c r="GYM16" s="314" t="s">
        <v>203</v>
      </c>
      <c r="GYN16" s="314" t="s">
        <v>203</v>
      </c>
      <c r="GYO16" s="314" t="s">
        <v>203</v>
      </c>
      <c r="GYP16" s="314" t="s">
        <v>203</v>
      </c>
      <c r="GYQ16" s="314" t="s">
        <v>203</v>
      </c>
      <c r="GYR16" s="314" t="s">
        <v>203</v>
      </c>
      <c r="GYS16" s="314" t="s">
        <v>203</v>
      </c>
      <c r="GYT16" s="314" t="s">
        <v>203</v>
      </c>
      <c r="GYU16" s="314" t="s">
        <v>203</v>
      </c>
      <c r="GYV16" s="314" t="s">
        <v>203</v>
      </c>
      <c r="GYW16" s="314" t="s">
        <v>203</v>
      </c>
      <c r="GYX16" s="314" t="s">
        <v>203</v>
      </c>
      <c r="GYY16" s="314" t="s">
        <v>203</v>
      </c>
      <c r="GYZ16" s="314" t="s">
        <v>203</v>
      </c>
      <c r="GZA16" s="314" t="s">
        <v>203</v>
      </c>
      <c r="GZB16" s="314" t="s">
        <v>203</v>
      </c>
      <c r="GZC16" s="314" t="s">
        <v>203</v>
      </c>
      <c r="GZD16" s="314" t="s">
        <v>203</v>
      </c>
      <c r="GZE16" s="314" t="s">
        <v>203</v>
      </c>
      <c r="GZF16" s="314" t="s">
        <v>203</v>
      </c>
      <c r="GZG16" s="314" t="s">
        <v>203</v>
      </c>
      <c r="GZH16" s="314" t="s">
        <v>203</v>
      </c>
      <c r="GZI16" s="314" t="s">
        <v>203</v>
      </c>
      <c r="GZJ16" s="314" t="s">
        <v>203</v>
      </c>
      <c r="GZK16" s="314" t="s">
        <v>203</v>
      </c>
      <c r="GZL16" s="314" t="s">
        <v>203</v>
      </c>
      <c r="GZM16" s="314" t="s">
        <v>203</v>
      </c>
      <c r="GZN16" s="314" t="s">
        <v>203</v>
      </c>
      <c r="GZO16" s="314" t="s">
        <v>203</v>
      </c>
      <c r="GZP16" s="314" t="s">
        <v>203</v>
      </c>
      <c r="GZQ16" s="314" t="s">
        <v>203</v>
      </c>
      <c r="GZR16" s="314" t="s">
        <v>203</v>
      </c>
      <c r="GZS16" s="314" t="s">
        <v>203</v>
      </c>
      <c r="GZT16" s="314" t="s">
        <v>203</v>
      </c>
      <c r="GZU16" s="314" t="s">
        <v>203</v>
      </c>
      <c r="GZV16" s="314" t="s">
        <v>203</v>
      </c>
      <c r="GZW16" s="314" t="s">
        <v>203</v>
      </c>
      <c r="GZX16" s="314" t="s">
        <v>203</v>
      </c>
      <c r="GZY16" s="314" t="s">
        <v>203</v>
      </c>
      <c r="GZZ16" s="314" t="s">
        <v>203</v>
      </c>
      <c r="HAA16" s="314" t="s">
        <v>203</v>
      </c>
      <c r="HAB16" s="314" t="s">
        <v>203</v>
      </c>
      <c r="HAC16" s="314" t="s">
        <v>203</v>
      </c>
      <c r="HAD16" s="314" t="s">
        <v>203</v>
      </c>
      <c r="HAE16" s="314" t="s">
        <v>203</v>
      </c>
      <c r="HAF16" s="314" t="s">
        <v>203</v>
      </c>
      <c r="HAG16" s="314" t="s">
        <v>203</v>
      </c>
      <c r="HAH16" s="314" t="s">
        <v>203</v>
      </c>
      <c r="HAI16" s="314" t="s">
        <v>203</v>
      </c>
      <c r="HAJ16" s="314" t="s">
        <v>203</v>
      </c>
      <c r="HAK16" s="314" t="s">
        <v>203</v>
      </c>
      <c r="HAL16" s="314" t="s">
        <v>203</v>
      </c>
      <c r="HAM16" s="314" t="s">
        <v>203</v>
      </c>
      <c r="HAN16" s="314" t="s">
        <v>203</v>
      </c>
      <c r="HAO16" s="314" t="s">
        <v>203</v>
      </c>
      <c r="HAP16" s="314" t="s">
        <v>203</v>
      </c>
      <c r="HAQ16" s="314" t="s">
        <v>203</v>
      </c>
      <c r="HAR16" s="314" t="s">
        <v>203</v>
      </c>
      <c r="HAS16" s="314" t="s">
        <v>203</v>
      </c>
      <c r="HAT16" s="314" t="s">
        <v>203</v>
      </c>
      <c r="HAU16" s="314" t="s">
        <v>203</v>
      </c>
      <c r="HAV16" s="314" t="s">
        <v>203</v>
      </c>
      <c r="HAW16" s="314" t="s">
        <v>203</v>
      </c>
      <c r="HAX16" s="314" t="s">
        <v>203</v>
      </c>
      <c r="HAY16" s="314" t="s">
        <v>203</v>
      </c>
      <c r="HAZ16" s="314" t="s">
        <v>203</v>
      </c>
      <c r="HBA16" s="314" t="s">
        <v>203</v>
      </c>
      <c r="HBB16" s="314" t="s">
        <v>203</v>
      </c>
      <c r="HBC16" s="314" t="s">
        <v>203</v>
      </c>
      <c r="HBD16" s="314" t="s">
        <v>203</v>
      </c>
      <c r="HBE16" s="314" t="s">
        <v>203</v>
      </c>
      <c r="HBF16" s="314" t="s">
        <v>203</v>
      </c>
      <c r="HBG16" s="314" t="s">
        <v>203</v>
      </c>
      <c r="HBH16" s="314" t="s">
        <v>203</v>
      </c>
      <c r="HBI16" s="314" t="s">
        <v>203</v>
      </c>
      <c r="HBJ16" s="314" t="s">
        <v>203</v>
      </c>
      <c r="HBK16" s="314" t="s">
        <v>203</v>
      </c>
      <c r="HBL16" s="314" t="s">
        <v>203</v>
      </c>
      <c r="HBM16" s="314" t="s">
        <v>203</v>
      </c>
      <c r="HBN16" s="314" t="s">
        <v>203</v>
      </c>
      <c r="HBO16" s="314" t="s">
        <v>203</v>
      </c>
      <c r="HBP16" s="314" t="s">
        <v>203</v>
      </c>
      <c r="HBQ16" s="314" t="s">
        <v>203</v>
      </c>
      <c r="HBR16" s="314" t="s">
        <v>203</v>
      </c>
      <c r="HBS16" s="314" t="s">
        <v>203</v>
      </c>
      <c r="HBT16" s="314" t="s">
        <v>203</v>
      </c>
      <c r="HBU16" s="314" t="s">
        <v>203</v>
      </c>
      <c r="HBV16" s="314" t="s">
        <v>203</v>
      </c>
      <c r="HBW16" s="314" t="s">
        <v>203</v>
      </c>
      <c r="HBX16" s="314" t="s">
        <v>203</v>
      </c>
      <c r="HBY16" s="314" t="s">
        <v>203</v>
      </c>
      <c r="HBZ16" s="314" t="s">
        <v>203</v>
      </c>
      <c r="HCA16" s="314" t="s">
        <v>203</v>
      </c>
      <c r="HCB16" s="314" t="s">
        <v>203</v>
      </c>
      <c r="HCC16" s="314" t="s">
        <v>203</v>
      </c>
      <c r="HCD16" s="314" t="s">
        <v>203</v>
      </c>
      <c r="HCE16" s="314" t="s">
        <v>203</v>
      </c>
      <c r="HCF16" s="314" t="s">
        <v>203</v>
      </c>
      <c r="HCG16" s="314" t="s">
        <v>203</v>
      </c>
      <c r="HCH16" s="314" t="s">
        <v>203</v>
      </c>
      <c r="HCI16" s="314" t="s">
        <v>203</v>
      </c>
      <c r="HCJ16" s="314" t="s">
        <v>203</v>
      </c>
      <c r="HCK16" s="314" t="s">
        <v>203</v>
      </c>
      <c r="HCL16" s="314" t="s">
        <v>203</v>
      </c>
      <c r="HCM16" s="314" t="s">
        <v>203</v>
      </c>
      <c r="HCN16" s="314" t="s">
        <v>203</v>
      </c>
      <c r="HCO16" s="314" t="s">
        <v>203</v>
      </c>
      <c r="HCP16" s="314" t="s">
        <v>203</v>
      </c>
      <c r="HCQ16" s="314" t="s">
        <v>203</v>
      </c>
      <c r="HCR16" s="314" t="s">
        <v>203</v>
      </c>
      <c r="HCS16" s="314" t="s">
        <v>203</v>
      </c>
      <c r="HCT16" s="314" t="s">
        <v>203</v>
      </c>
      <c r="HCU16" s="314" t="s">
        <v>203</v>
      </c>
      <c r="HCV16" s="314" t="s">
        <v>203</v>
      </c>
      <c r="HCW16" s="314" t="s">
        <v>203</v>
      </c>
      <c r="HCX16" s="314" t="s">
        <v>203</v>
      </c>
      <c r="HCY16" s="314" t="s">
        <v>203</v>
      </c>
      <c r="HCZ16" s="314" t="s">
        <v>203</v>
      </c>
      <c r="HDA16" s="314" t="s">
        <v>203</v>
      </c>
      <c r="HDB16" s="314" t="s">
        <v>203</v>
      </c>
      <c r="HDC16" s="314" t="s">
        <v>203</v>
      </c>
      <c r="HDD16" s="314" t="s">
        <v>203</v>
      </c>
      <c r="HDE16" s="314" t="s">
        <v>203</v>
      </c>
      <c r="HDF16" s="314" t="s">
        <v>203</v>
      </c>
      <c r="HDG16" s="314" t="s">
        <v>203</v>
      </c>
      <c r="HDH16" s="314" t="s">
        <v>203</v>
      </c>
      <c r="HDI16" s="314" t="s">
        <v>203</v>
      </c>
      <c r="HDJ16" s="314" t="s">
        <v>203</v>
      </c>
      <c r="HDK16" s="314" t="s">
        <v>203</v>
      </c>
      <c r="HDL16" s="314" t="s">
        <v>203</v>
      </c>
      <c r="HDM16" s="314" t="s">
        <v>203</v>
      </c>
      <c r="HDN16" s="314" t="s">
        <v>203</v>
      </c>
      <c r="HDO16" s="314" t="s">
        <v>203</v>
      </c>
      <c r="HDP16" s="314" t="s">
        <v>203</v>
      </c>
      <c r="HDQ16" s="314" t="s">
        <v>203</v>
      </c>
      <c r="HDR16" s="314" t="s">
        <v>203</v>
      </c>
      <c r="HDS16" s="314" t="s">
        <v>203</v>
      </c>
      <c r="HDT16" s="314" t="s">
        <v>203</v>
      </c>
      <c r="HDU16" s="314" t="s">
        <v>203</v>
      </c>
      <c r="HDV16" s="314" t="s">
        <v>203</v>
      </c>
      <c r="HDW16" s="314" t="s">
        <v>203</v>
      </c>
      <c r="HDX16" s="314" t="s">
        <v>203</v>
      </c>
      <c r="HDY16" s="314" t="s">
        <v>203</v>
      </c>
      <c r="HDZ16" s="314" t="s">
        <v>203</v>
      </c>
      <c r="HEA16" s="314" t="s">
        <v>203</v>
      </c>
      <c r="HEB16" s="314" t="s">
        <v>203</v>
      </c>
      <c r="HEC16" s="314" t="s">
        <v>203</v>
      </c>
      <c r="HED16" s="314" t="s">
        <v>203</v>
      </c>
      <c r="HEE16" s="314" t="s">
        <v>203</v>
      </c>
      <c r="HEF16" s="314" t="s">
        <v>203</v>
      </c>
      <c r="HEG16" s="314" t="s">
        <v>203</v>
      </c>
      <c r="HEH16" s="314" t="s">
        <v>203</v>
      </c>
      <c r="HEI16" s="314" t="s">
        <v>203</v>
      </c>
      <c r="HEJ16" s="314" t="s">
        <v>203</v>
      </c>
      <c r="HEK16" s="314" t="s">
        <v>203</v>
      </c>
      <c r="HEL16" s="314" t="s">
        <v>203</v>
      </c>
      <c r="HEM16" s="314" t="s">
        <v>203</v>
      </c>
      <c r="HEN16" s="314" t="s">
        <v>203</v>
      </c>
      <c r="HEO16" s="314" t="s">
        <v>203</v>
      </c>
      <c r="HEP16" s="314" t="s">
        <v>203</v>
      </c>
      <c r="HEQ16" s="314" t="s">
        <v>203</v>
      </c>
      <c r="HER16" s="314" t="s">
        <v>203</v>
      </c>
      <c r="HES16" s="314" t="s">
        <v>203</v>
      </c>
      <c r="HET16" s="314" t="s">
        <v>203</v>
      </c>
      <c r="HEU16" s="314" t="s">
        <v>203</v>
      </c>
      <c r="HEV16" s="314" t="s">
        <v>203</v>
      </c>
      <c r="HEW16" s="314" t="s">
        <v>203</v>
      </c>
      <c r="HEX16" s="314" t="s">
        <v>203</v>
      </c>
      <c r="HEY16" s="314" t="s">
        <v>203</v>
      </c>
      <c r="HEZ16" s="314" t="s">
        <v>203</v>
      </c>
      <c r="HFA16" s="314" t="s">
        <v>203</v>
      </c>
      <c r="HFB16" s="314" t="s">
        <v>203</v>
      </c>
      <c r="HFC16" s="314" t="s">
        <v>203</v>
      </c>
      <c r="HFD16" s="314" t="s">
        <v>203</v>
      </c>
      <c r="HFE16" s="314" t="s">
        <v>203</v>
      </c>
      <c r="HFF16" s="314" t="s">
        <v>203</v>
      </c>
      <c r="HFG16" s="314" t="s">
        <v>203</v>
      </c>
      <c r="HFH16" s="314" t="s">
        <v>203</v>
      </c>
      <c r="HFI16" s="314" t="s">
        <v>203</v>
      </c>
      <c r="HFJ16" s="314" t="s">
        <v>203</v>
      </c>
      <c r="HFK16" s="314" t="s">
        <v>203</v>
      </c>
      <c r="HFL16" s="314" t="s">
        <v>203</v>
      </c>
      <c r="HFM16" s="314" t="s">
        <v>203</v>
      </c>
      <c r="HFN16" s="314" t="s">
        <v>203</v>
      </c>
      <c r="HFO16" s="314" t="s">
        <v>203</v>
      </c>
      <c r="HFP16" s="314" t="s">
        <v>203</v>
      </c>
      <c r="HFQ16" s="314" t="s">
        <v>203</v>
      </c>
      <c r="HFR16" s="314" t="s">
        <v>203</v>
      </c>
      <c r="HFS16" s="314" t="s">
        <v>203</v>
      </c>
      <c r="HFT16" s="314" t="s">
        <v>203</v>
      </c>
      <c r="HFU16" s="314" t="s">
        <v>203</v>
      </c>
      <c r="HFV16" s="314" t="s">
        <v>203</v>
      </c>
      <c r="HFW16" s="314" t="s">
        <v>203</v>
      </c>
      <c r="HFX16" s="314" t="s">
        <v>203</v>
      </c>
      <c r="HFY16" s="314" t="s">
        <v>203</v>
      </c>
      <c r="HFZ16" s="314" t="s">
        <v>203</v>
      </c>
      <c r="HGA16" s="314" t="s">
        <v>203</v>
      </c>
      <c r="HGB16" s="314" t="s">
        <v>203</v>
      </c>
      <c r="HGC16" s="314" t="s">
        <v>203</v>
      </c>
      <c r="HGD16" s="314" t="s">
        <v>203</v>
      </c>
      <c r="HGE16" s="314" t="s">
        <v>203</v>
      </c>
      <c r="HGF16" s="314" t="s">
        <v>203</v>
      </c>
      <c r="HGG16" s="314" t="s">
        <v>203</v>
      </c>
      <c r="HGH16" s="314" t="s">
        <v>203</v>
      </c>
      <c r="HGI16" s="314" t="s">
        <v>203</v>
      </c>
      <c r="HGJ16" s="314" t="s">
        <v>203</v>
      </c>
      <c r="HGK16" s="314" t="s">
        <v>203</v>
      </c>
      <c r="HGL16" s="314" t="s">
        <v>203</v>
      </c>
      <c r="HGM16" s="314" t="s">
        <v>203</v>
      </c>
      <c r="HGN16" s="314" t="s">
        <v>203</v>
      </c>
      <c r="HGO16" s="314" t="s">
        <v>203</v>
      </c>
      <c r="HGP16" s="314" t="s">
        <v>203</v>
      </c>
      <c r="HGQ16" s="314" t="s">
        <v>203</v>
      </c>
      <c r="HGR16" s="314" t="s">
        <v>203</v>
      </c>
      <c r="HGS16" s="314" t="s">
        <v>203</v>
      </c>
      <c r="HGT16" s="314" t="s">
        <v>203</v>
      </c>
      <c r="HGU16" s="314" t="s">
        <v>203</v>
      </c>
      <c r="HGV16" s="314" t="s">
        <v>203</v>
      </c>
      <c r="HGW16" s="314" t="s">
        <v>203</v>
      </c>
      <c r="HGX16" s="314" t="s">
        <v>203</v>
      </c>
      <c r="HGY16" s="314" t="s">
        <v>203</v>
      </c>
      <c r="HGZ16" s="314" t="s">
        <v>203</v>
      </c>
      <c r="HHA16" s="314" t="s">
        <v>203</v>
      </c>
      <c r="HHB16" s="314" t="s">
        <v>203</v>
      </c>
      <c r="HHC16" s="314" t="s">
        <v>203</v>
      </c>
      <c r="HHD16" s="314" t="s">
        <v>203</v>
      </c>
      <c r="HHE16" s="314" t="s">
        <v>203</v>
      </c>
      <c r="HHF16" s="314" t="s">
        <v>203</v>
      </c>
      <c r="HHG16" s="314" t="s">
        <v>203</v>
      </c>
      <c r="HHH16" s="314" t="s">
        <v>203</v>
      </c>
      <c r="HHI16" s="314" t="s">
        <v>203</v>
      </c>
      <c r="HHJ16" s="314" t="s">
        <v>203</v>
      </c>
      <c r="HHK16" s="314" t="s">
        <v>203</v>
      </c>
      <c r="HHL16" s="314" t="s">
        <v>203</v>
      </c>
      <c r="HHM16" s="314" t="s">
        <v>203</v>
      </c>
      <c r="HHN16" s="314" t="s">
        <v>203</v>
      </c>
      <c r="HHO16" s="314" t="s">
        <v>203</v>
      </c>
      <c r="HHP16" s="314" t="s">
        <v>203</v>
      </c>
      <c r="HHQ16" s="314" t="s">
        <v>203</v>
      </c>
      <c r="HHR16" s="314" t="s">
        <v>203</v>
      </c>
      <c r="HHS16" s="314" t="s">
        <v>203</v>
      </c>
      <c r="HHT16" s="314" t="s">
        <v>203</v>
      </c>
      <c r="HHU16" s="314" t="s">
        <v>203</v>
      </c>
      <c r="HHV16" s="314" t="s">
        <v>203</v>
      </c>
      <c r="HHW16" s="314" t="s">
        <v>203</v>
      </c>
      <c r="HHX16" s="314" t="s">
        <v>203</v>
      </c>
      <c r="HHY16" s="314" t="s">
        <v>203</v>
      </c>
      <c r="HHZ16" s="314" t="s">
        <v>203</v>
      </c>
      <c r="HIA16" s="314" t="s">
        <v>203</v>
      </c>
      <c r="HIB16" s="314" t="s">
        <v>203</v>
      </c>
      <c r="HIC16" s="314" t="s">
        <v>203</v>
      </c>
      <c r="HID16" s="314" t="s">
        <v>203</v>
      </c>
      <c r="HIE16" s="314" t="s">
        <v>203</v>
      </c>
      <c r="HIF16" s="314" t="s">
        <v>203</v>
      </c>
      <c r="HIG16" s="314" t="s">
        <v>203</v>
      </c>
      <c r="HIH16" s="314" t="s">
        <v>203</v>
      </c>
      <c r="HII16" s="314" t="s">
        <v>203</v>
      </c>
      <c r="HIJ16" s="314" t="s">
        <v>203</v>
      </c>
      <c r="HIK16" s="314" t="s">
        <v>203</v>
      </c>
      <c r="HIL16" s="314" t="s">
        <v>203</v>
      </c>
      <c r="HIM16" s="314" t="s">
        <v>203</v>
      </c>
      <c r="HIN16" s="314" t="s">
        <v>203</v>
      </c>
      <c r="HIO16" s="314" t="s">
        <v>203</v>
      </c>
      <c r="HIP16" s="314" t="s">
        <v>203</v>
      </c>
      <c r="HIQ16" s="314" t="s">
        <v>203</v>
      </c>
      <c r="HIR16" s="314" t="s">
        <v>203</v>
      </c>
      <c r="HIS16" s="314" t="s">
        <v>203</v>
      </c>
      <c r="HIT16" s="314" t="s">
        <v>203</v>
      </c>
      <c r="HIU16" s="314" t="s">
        <v>203</v>
      </c>
      <c r="HIV16" s="314" t="s">
        <v>203</v>
      </c>
      <c r="HIW16" s="314" t="s">
        <v>203</v>
      </c>
      <c r="HIX16" s="314" t="s">
        <v>203</v>
      </c>
      <c r="HIY16" s="314" t="s">
        <v>203</v>
      </c>
      <c r="HIZ16" s="314" t="s">
        <v>203</v>
      </c>
      <c r="HJA16" s="314" t="s">
        <v>203</v>
      </c>
      <c r="HJB16" s="314" t="s">
        <v>203</v>
      </c>
      <c r="HJC16" s="314" t="s">
        <v>203</v>
      </c>
      <c r="HJD16" s="314" t="s">
        <v>203</v>
      </c>
      <c r="HJE16" s="314" t="s">
        <v>203</v>
      </c>
      <c r="HJF16" s="314" t="s">
        <v>203</v>
      </c>
      <c r="HJG16" s="314" t="s">
        <v>203</v>
      </c>
      <c r="HJH16" s="314" t="s">
        <v>203</v>
      </c>
      <c r="HJI16" s="314" t="s">
        <v>203</v>
      </c>
      <c r="HJJ16" s="314" t="s">
        <v>203</v>
      </c>
      <c r="HJK16" s="314" t="s">
        <v>203</v>
      </c>
      <c r="HJL16" s="314" t="s">
        <v>203</v>
      </c>
      <c r="HJM16" s="314" t="s">
        <v>203</v>
      </c>
      <c r="HJN16" s="314" t="s">
        <v>203</v>
      </c>
      <c r="HJO16" s="314" t="s">
        <v>203</v>
      </c>
      <c r="HJP16" s="314" t="s">
        <v>203</v>
      </c>
      <c r="HJQ16" s="314" t="s">
        <v>203</v>
      </c>
      <c r="HJR16" s="314" t="s">
        <v>203</v>
      </c>
      <c r="HJS16" s="314" t="s">
        <v>203</v>
      </c>
      <c r="HJT16" s="314" t="s">
        <v>203</v>
      </c>
      <c r="HJU16" s="314" t="s">
        <v>203</v>
      </c>
      <c r="HJV16" s="314" t="s">
        <v>203</v>
      </c>
      <c r="HJW16" s="314" t="s">
        <v>203</v>
      </c>
      <c r="HJX16" s="314" t="s">
        <v>203</v>
      </c>
      <c r="HJY16" s="314" t="s">
        <v>203</v>
      </c>
      <c r="HJZ16" s="314" t="s">
        <v>203</v>
      </c>
      <c r="HKA16" s="314" t="s">
        <v>203</v>
      </c>
      <c r="HKB16" s="314" t="s">
        <v>203</v>
      </c>
      <c r="HKC16" s="314" t="s">
        <v>203</v>
      </c>
      <c r="HKD16" s="314" t="s">
        <v>203</v>
      </c>
      <c r="HKE16" s="314" t="s">
        <v>203</v>
      </c>
      <c r="HKF16" s="314" t="s">
        <v>203</v>
      </c>
      <c r="HKG16" s="314" t="s">
        <v>203</v>
      </c>
      <c r="HKH16" s="314" t="s">
        <v>203</v>
      </c>
      <c r="HKI16" s="314" t="s">
        <v>203</v>
      </c>
      <c r="HKJ16" s="314" t="s">
        <v>203</v>
      </c>
      <c r="HKK16" s="314" t="s">
        <v>203</v>
      </c>
      <c r="HKL16" s="314" t="s">
        <v>203</v>
      </c>
      <c r="HKM16" s="314" t="s">
        <v>203</v>
      </c>
      <c r="HKN16" s="314" t="s">
        <v>203</v>
      </c>
      <c r="HKO16" s="314" t="s">
        <v>203</v>
      </c>
      <c r="HKP16" s="314" t="s">
        <v>203</v>
      </c>
      <c r="HKQ16" s="314" t="s">
        <v>203</v>
      </c>
      <c r="HKR16" s="314" t="s">
        <v>203</v>
      </c>
      <c r="HKS16" s="314" t="s">
        <v>203</v>
      </c>
      <c r="HKT16" s="314" t="s">
        <v>203</v>
      </c>
      <c r="HKU16" s="314" t="s">
        <v>203</v>
      </c>
      <c r="HKV16" s="314" t="s">
        <v>203</v>
      </c>
      <c r="HKW16" s="314" t="s">
        <v>203</v>
      </c>
      <c r="HKX16" s="314" t="s">
        <v>203</v>
      </c>
      <c r="HKY16" s="314" t="s">
        <v>203</v>
      </c>
      <c r="HKZ16" s="314" t="s">
        <v>203</v>
      </c>
      <c r="HLA16" s="314" t="s">
        <v>203</v>
      </c>
      <c r="HLB16" s="314" t="s">
        <v>203</v>
      </c>
      <c r="HLC16" s="314" t="s">
        <v>203</v>
      </c>
      <c r="HLD16" s="314" t="s">
        <v>203</v>
      </c>
      <c r="HLE16" s="314" t="s">
        <v>203</v>
      </c>
      <c r="HLF16" s="314" t="s">
        <v>203</v>
      </c>
      <c r="HLG16" s="314" t="s">
        <v>203</v>
      </c>
      <c r="HLH16" s="314" t="s">
        <v>203</v>
      </c>
      <c r="HLI16" s="314" t="s">
        <v>203</v>
      </c>
      <c r="HLJ16" s="314" t="s">
        <v>203</v>
      </c>
      <c r="HLK16" s="314" t="s">
        <v>203</v>
      </c>
      <c r="HLL16" s="314" t="s">
        <v>203</v>
      </c>
      <c r="HLM16" s="314" t="s">
        <v>203</v>
      </c>
      <c r="HLN16" s="314" t="s">
        <v>203</v>
      </c>
      <c r="HLO16" s="314" t="s">
        <v>203</v>
      </c>
      <c r="HLP16" s="314" t="s">
        <v>203</v>
      </c>
      <c r="HLQ16" s="314" t="s">
        <v>203</v>
      </c>
      <c r="HLR16" s="314" t="s">
        <v>203</v>
      </c>
      <c r="HLS16" s="314" t="s">
        <v>203</v>
      </c>
      <c r="HLT16" s="314" t="s">
        <v>203</v>
      </c>
      <c r="HLU16" s="314" t="s">
        <v>203</v>
      </c>
      <c r="HLV16" s="314" t="s">
        <v>203</v>
      </c>
      <c r="HLW16" s="314" t="s">
        <v>203</v>
      </c>
      <c r="HLX16" s="314" t="s">
        <v>203</v>
      </c>
      <c r="HLY16" s="314" t="s">
        <v>203</v>
      </c>
      <c r="HLZ16" s="314" t="s">
        <v>203</v>
      </c>
      <c r="HMA16" s="314" t="s">
        <v>203</v>
      </c>
      <c r="HMB16" s="314" t="s">
        <v>203</v>
      </c>
      <c r="HMC16" s="314" t="s">
        <v>203</v>
      </c>
      <c r="HMD16" s="314" t="s">
        <v>203</v>
      </c>
      <c r="HME16" s="314" t="s">
        <v>203</v>
      </c>
      <c r="HMF16" s="314" t="s">
        <v>203</v>
      </c>
      <c r="HMG16" s="314" t="s">
        <v>203</v>
      </c>
      <c r="HMH16" s="314" t="s">
        <v>203</v>
      </c>
      <c r="HMI16" s="314" t="s">
        <v>203</v>
      </c>
      <c r="HMJ16" s="314" t="s">
        <v>203</v>
      </c>
      <c r="HMK16" s="314" t="s">
        <v>203</v>
      </c>
      <c r="HML16" s="314" t="s">
        <v>203</v>
      </c>
      <c r="HMM16" s="314" t="s">
        <v>203</v>
      </c>
      <c r="HMN16" s="314" t="s">
        <v>203</v>
      </c>
      <c r="HMO16" s="314" t="s">
        <v>203</v>
      </c>
      <c r="HMP16" s="314" t="s">
        <v>203</v>
      </c>
      <c r="HMQ16" s="314" t="s">
        <v>203</v>
      </c>
      <c r="HMR16" s="314" t="s">
        <v>203</v>
      </c>
      <c r="HMS16" s="314" t="s">
        <v>203</v>
      </c>
      <c r="HMT16" s="314" t="s">
        <v>203</v>
      </c>
      <c r="HMU16" s="314" t="s">
        <v>203</v>
      </c>
      <c r="HMV16" s="314" t="s">
        <v>203</v>
      </c>
      <c r="HMW16" s="314" t="s">
        <v>203</v>
      </c>
      <c r="HMX16" s="314" t="s">
        <v>203</v>
      </c>
      <c r="HMY16" s="314" t="s">
        <v>203</v>
      </c>
      <c r="HMZ16" s="314" t="s">
        <v>203</v>
      </c>
      <c r="HNA16" s="314" t="s">
        <v>203</v>
      </c>
      <c r="HNB16" s="314" t="s">
        <v>203</v>
      </c>
      <c r="HNC16" s="314" t="s">
        <v>203</v>
      </c>
      <c r="HND16" s="314" t="s">
        <v>203</v>
      </c>
      <c r="HNE16" s="314" t="s">
        <v>203</v>
      </c>
      <c r="HNF16" s="314" t="s">
        <v>203</v>
      </c>
      <c r="HNG16" s="314" t="s">
        <v>203</v>
      </c>
      <c r="HNH16" s="314" t="s">
        <v>203</v>
      </c>
      <c r="HNI16" s="314" t="s">
        <v>203</v>
      </c>
      <c r="HNJ16" s="314" t="s">
        <v>203</v>
      </c>
      <c r="HNK16" s="314" t="s">
        <v>203</v>
      </c>
      <c r="HNL16" s="314" t="s">
        <v>203</v>
      </c>
      <c r="HNM16" s="314" t="s">
        <v>203</v>
      </c>
      <c r="HNN16" s="314" t="s">
        <v>203</v>
      </c>
      <c r="HNO16" s="314" t="s">
        <v>203</v>
      </c>
      <c r="HNP16" s="314" t="s">
        <v>203</v>
      </c>
      <c r="HNQ16" s="314" t="s">
        <v>203</v>
      </c>
      <c r="HNR16" s="314" t="s">
        <v>203</v>
      </c>
      <c r="HNS16" s="314" t="s">
        <v>203</v>
      </c>
      <c r="HNT16" s="314" t="s">
        <v>203</v>
      </c>
      <c r="HNU16" s="314" t="s">
        <v>203</v>
      </c>
      <c r="HNV16" s="314" t="s">
        <v>203</v>
      </c>
      <c r="HNW16" s="314" t="s">
        <v>203</v>
      </c>
      <c r="HNX16" s="314" t="s">
        <v>203</v>
      </c>
      <c r="HNY16" s="314" t="s">
        <v>203</v>
      </c>
      <c r="HNZ16" s="314" t="s">
        <v>203</v>
      </c>
      <c r="HOA16" s="314" t="s">
        <v>203</v>
      </c>
      <c r="HOB16" s="314" t="s">
        <v>203</v>
      </c>
      <c r="HOC16" s="314" t="s">
        <v>203</v>
      </c>
      <c r="HOD16" s="314" t="s">
        <v>203</v>
      </c>
      <c r="HOE16" s="314" t="s">
        <v>203</v>
      </c>
      <c r="HOF16" s="314" t="s">
        <v>203</v>
      </c>
      <c r="HOG16" s="314" t="s">
        <v>203</v>
      </c>
      <c r="HOH16" s="314" t="s">
        <v>203</v>
      </c>
      <c r="HOI16" s="314" t="s">
        <v>203</v>
      </c>
      <c r="HOJ16" s="314" t="s">
        <v>203</v>
      </c>
      <c r="HOK16" s="314" t="s">
        <v>203</v>
      </c>
      <c r="HOL16" s="314" t="s">
        <v>203</v>
      </c>
      <c r="HOM16" s="314" t="s">
        <v>203</v>
      </c>
      <c r="HON16" s="314" t="s">
        <v>203</v>
      </c>
      <c r="HOO16" s="314" t="s">
        <v>203</v>
      </c>
      <c r="HOP16" s="314" t="s">
        <v>203</v>
      </c>
      <c r="HOQ16" s="314" t="s">
        <v>203</v>
      </c>
      <c r="HOR16" s="314" t="s">
        <v>203</v>
      </c>
      <c r="HOS16" s="314" t="s">
        <v>203</v>
      </c>
      <c r="HOT16" s="314" t="s">
        <v>203</v>
      </c>
      <c r="HOU16" s="314" t="s">
        <v>203</v>
      </c>
      <c r="HOV16" s="314" t="s">
        <v>203</v>
      </c>
      <c r="HOW16" s="314" t="s">
        <v>203</v>
      </c>
      <c r="HOX16" s="314" t="s">
        <v>203</v>
      </c>
      <c r="HOY16" s="314" t="s">
        <v>203</v>
      </c>
      <c r="HOZ16" s="314" t="s">
        <v>203</v>
      </c>
      <c r="HPA16" s="314" t="s">
        <v>203</v>
      </c>
      <c r="HPB16" s="314" t="s">
        <v>203</v>
      </c>
      <c r="HPC16" s="314" t="s">
        <v>203</v>
      </c>
      <c r="HPD16" s="314" t="s">
        <v>203</v>
      </c>
      <c r="HPE16" s="314" t="s">
        <v>203</v>
      </c>
      <c r="HPF16" s="314" t="s">
        <v>203</v>
      </c>
      <c r="HPG16" s="314" t="s">
        <v>203</v>
      </c>
      <c r="HPH16" s="314" t="s">
        <v>203</v>
      </c>
      <c r="HPI16" s="314" t="s">
        <v>203</v>
      </c>
      <c r="HPJ16" s="314" t="s">
        <v>203</v>
      </c>
      <c r="HPK16" s="314" t="s">
        <v>203</v>
      </c>
      <c r="HPL16" s="314" t="s">
        <v>203</v>
      </c>
      <c r="HPM16" s="314" t="s">
        <v>203</v>
      </c>
      <c r="HPN16" s="314" t="s">
        <v>203</v>
      </c>
      <c r="HPO16" s="314" t="s">
        <v>203</v>
      </c>
      <c r="HPP16" s="314" t="s">
        <v>203</v>
      </c>
      <c r="HPQ16" s="314" t="s">
        <v>203</v>
      </c>
      <c r="HPR16" s="314" t="s">
        <v>203</v>
      </c>
      <c r="HPS16" s="314" t="s">
        <v>203</v>
      </c>
      <c r="HPT16" s="314" t="s">
        <v>203</v>
      </c>
      <c r="HPU16" s="314" t="s">
        <v>203</v>
      </c>
      <c r="HPV16" s="314" t="s">
        <v>203</v>
      </c>
      <c r="HPW16" s="314" t="s">
        <v>203</v>
      </c>
      <c r="HPX16" s="314" t="s">
        <v>203</v>
      </c>
      <c r="HPY16" s="314" t="s">
        <v>203</v>
      </c>
      <c r="HPZ16" s="314" t="s">
        <v>203</v>
      </c>
      <c r="HQA16" s="314" t="s">
        <v>203</v>
      </c>
      <c r="HQB16" s="314" t="s">
        <v>203</v>
      </c>
      <c r="HQC16" s="314" t="s">
        <v>203</v>
      </c>
      <c r="HQD16" s="314" t="s">
        <v>203</v>
      </c>
      <c r="HQE16" s="314" t="s">
        <v>203</v>
      </c>
      <c r="HQF16" s="314" t="s">
        <v>203</v>
      </c>
      <c r="HQG16" s="314" t="s">
        <v>203</v>
      </c>
      <c r="HQH16" s="314" t="s">
        <v>203</v>
      </c>
      <c r="HQI16" s="314" t="s">
        <v>203</v>
      </c>
      <c r="HQJ16" s="314" t="s">
        <v>203</v>
      </c>
      <c r="HQK16" s="314" t="s">
        <v>203</v>
      </c>
      <c r="HQL16" s="314" t="s">
        <v>203</v>
      </c>
      <c r="HQM16" s="314" t="s">
        <v>203</v>
      </c>
      <c r="HQN16" s="314" t="s">
        <v>203</v>
      </c>
      <c r="HQO16" s="314" t="s">
        <v>203</v>
      </c>
      <c r="HQP16" s="314" t="s">
        <v>203</v>
      </c>
      <c r="HQQ16" s="314" t="s">
        <v>203</v>
      </c>
      <c r="HQR16" s="314" t="s">
        <v>203</v>
      </c>
      <c r="HQS16" s="314" t="s">
        <v>203</v>
      </c>
      <c r="HQT16" s="314" t="s">
        <v>203</v>
      </c>
      <c r="HQU16" s="314" t="s">
        <v>203</v>
      </c>
      <c r="HQV16" s="314" t="s">
        <v>203</v>
      </c>
      <c r="HQW16" s="314" t="s">
        <v>203</v>
      </c>
      <c r="HQX16" s="314" t="s">
        <v>203</v>
      </c>
      <c r="HQY16" s="314" t="s">
        <v>203</v>
      </c>
      <c r="HQZ16" s="314" t="s">
        <v>203</v>
      </c>
      <c r="HRA16" s="314" t="s">
        <v>203</v>
      </c>
      <c r="HRB16" s="314" t="s">
        <v>203</v>
      </c>
      <c r="HRC16" s="314" t="s">
        <v>203</v>
      </c>
      <c r="HRD16" s="314" t="s">
        <v>203</v>
      </c>
      <c r="HRE16" s="314" t="s">
        <v>203</v>
      </c>
      <c r="HRF16" s="314" t="s">
        <v>203</v>
      </c>
      <c r="HRG16" s="314" t="s">
        <v>203</v>
      </c>
      <c r="HRH16" s="314" t="s">
        <v>203</v>
      </c>
      <c r="HRI16" s="314" t="s">
        <v>203</v>
      </c>
      <c r="HRJ16" s="314" t="s">
        <v>203</v>
      </c>
      <c r="HRK16" s="314" t="s">
        <v>203</v>
      </c>
      <c r="HRL16" s="314" t="s">
        <v>203</v>
      </c>
      <c r="HRM16" s="314" t="s">
        <v>203</v>
      </c>
      <c r="HRN16" s="314" t="s">
        <v>203</v>
      </c>
      <c r="HRO16" s="314" t="s">
        <v>203</v>
      </c>
      <c r="HRP16" s="314" t="s">
        <v>203</v>
      </c>
      <c r="HRQ16" s="314" t="s">
        <v>203</v>
      </c>
      <c r="HRR16" s="314" t="s">
        <v>203</v>
      </c>
      <c r="HRS16" s="314" t="s">
        <v>203</v>
      </c>
      <c r="HRT16" s="314" t="s">
        <v>203</v>
      </c>
      <c r="HRU16" s="314" t="s">
        <v>203</v>
      </c>
      <c r="HRV16" s="314" t="s">
        <v>203</v>
      </c>
      <c r="HRW16" s="314" t="s">
        <v>203</v>
      </c>
      <c r="HRX16" s="314" t="s">
        <v>203</v>
      </c>
      <c r="HRY16" s="314" t="s">
        <v>203</v>
      </c>
      <c r="HRZ16" s="314" t="s">
        <v>203</v>
      </c>
      <c r="HSA16" s="314" t="s">
        <v>203</v>
      </c>
      <c r="HSB16" s="314" t="s">
        <v>203</v>
      </c>
      <c r="HSC16" s="314" t="s">
        <v>203</v>
      </c>
      <c r="HSD16" s="314" t="s">
        <v>203</v>
      </c>
      <c r="HSE16" s="314" t="s">
        <v>203</v>
      </c>
      <c r="HSF16" s="314" t="s">
        <v>203</v>
      </c>
      <c r="HSG16" s="314" t="s">
        <v>203</v>
      </c>
      <c r="HSH16" s="314" t="s">
        <v>203</v>
      </c>
      <c r="HSI16" s="314" t="s">
        <v>203</v>
      </c>
      <c r="HSJ16" s="314" t="s">
        <v>203</v>
      </c>
      <c r="HSK16" s="314" t="s">
        <v>203</v>
      </c>
      <c r="HSL16" s="314" t="s">
        <v>203</v>
      </c>
      <c r="HSM16" s="314" t="s">
        <v>203</v>
      </c>
      <c r="HSN16" s="314" t="s">
        <v>203</v>
      </c>
      <c r="HSO16" s="314" t="s">
        <v>203</v>
      </c>
      <c r="HSP16" s="314" t="s">
        <v>203</v>
      </c>
      <c r="HSQ16" s="314" t="s">
        <v>203</v>
      </c>
      <c r="HSR16" s="314" t="s">
        <v>203</v>
      </c>
      <c r="HSS16" s="314" t="s">
        <v>203</v>
      </c>
      <c r="HST16" s="314" t="s">
        <v>203</v>
      </c>
      <c r="HSU16" s="314" t="s">
        <v>203</v>
      </c>
      <c r="HSV16" s="314" t="s">
        <v>203</v>
      </c>
      <c r="HSW16" s="314" t="s">
        <v>203</v>
      </c>
      <c r="HSX16" s="314" t="s">
        <v>203</v>
      </c>
      <c r="HSY16" s="314" t="s">
        <v>203</v>
      </c>
      <c r="HSZ16" s="314" t="s">
        <v>203</v>
      </c>
      <c r="HTA16" s="314" t="s">
        <v>203</v>
      </c>
      <c r="HTB16" s="314" t="s">
        <v>203</v>
      </c>
      <c r="HTC16" s="314" t="s">
        <v>203</v>
      </c>
      <c r="HTD16" s="314" t="s">
        <v>203</v>
      </c>
      <c r="HTE16" s="314" t="s">
        <v>203</v>
      </c>
      <c r="HTF16" s="314" t="s">
        <v>203</v>
      </c>
      <c r="HTG16" s="314" t="s">
        <v>203</v>
      </c>
      <c r="HTH16" s="314" t="s">
        <v>203</v>
      </c>
      <c r="HTI16" s="314" t="s">
        <v>203</v>
      </c>
      <c r="HTJ16" s="314" t="s">
        <v>203</v>
      </c>
      <c r="HTK16" s="314" t="s">
        <v>203</v>
      </c>
      <c r="HTL16" s="314" t="s">
        <v>203</v>
      </c>
      <c r="HTM16" s="314" t="s">
        <v>203</v>
      </c>
      <c r="HTN16" s="314" t="s">
        <v>203</v>
      </c>
      <c r="HTO16" s="314" t="s">
        <v>203</v>
      </c>
      <c r="HTP16" s="314" t="s">
        <v>203</v>
      </c>
      <c r="HTQ16" s="314" t="s">
        <v>203</v>
      </c>
      <c r="HTR16" s="314" t="s">
        <v>203</v>
      </c>
      <c r="HTS16" s="314" t="s">
        <v>203</v>
      </c>
      <c r="HTT16" s="314" t="s">
        <v>203</v>
      </c>
      <c r="HTU16" s="314" t="s">
        <v>203</v>
      </c>
      <c r="HTV16" s="314" t="s">
        <v>203</v>
      </c>
      <c r="HTW16" s="314" t="s">
        <v>203</v>
      </c>
      <c r="HTX16" s="314" t="s">
        <v>203</v>
      </c>
      <c r="HTY16" s="314" t="s">
        <v>203</v>
      </c>
      <c r="HTZ16" s="314" t="s">
        <v>203</v>
      </c>
      <c r="HUA16" s="314" t="s">
        <v>203</v>
      </c>
      <c r="HUB16" s="314" t="s">
        <v>203</v>
      </c>
      <c r="HUC16" s="314" t="s">
        <v>203</v>
      </c>
      <c r="HUD16" s="314" t="s">
        <v>203</v>
      </c>
      <c r="HUE16" s="314" t="s">
        <v>203</v>
      </c>
      <c r="HUF16" s="314" t="s">
        <v>203</v>
      </c>
      <c r="HUG16" s="314" t="s">
        <v>203</v>
      </c>
      <c r="HUH16" s="314" t="s">
        <v>203</v>
      </c>
      <c r="HUI16" s="314" t="s">
        <v>203</v>
      </c>
      <c r="HUJ16" s="314" t="s">
        <v>203</v>
      </c>
      <c r="HUK16" s="314" t="s">
        <v>203</v>
      </c>
      <c r="HUL16" s="314" t="s">
        <v>203</v>
      </c>
      <c r="HUM16" s="314" t="s">
        <v>203</v>
      </c>
      <c r="HUN16" s="314" t="s">
        <v>203</v>
      </c>
      <c r="HUO16" s="314" t="s">
        <v>203</v>
      </c>
      <c r="HUP16" s="314" t="s">
        <v>203</v>
      </c>
      <c r="HUQ16" s="314" t="s">
        <v>203</v>
      </c>
      <c r="HUR16" s="314" t="s">
        <v>203</v>
      </c>
      <c r="HUS16" s="314" t="s">
        <v>203</v>
      </c>
      <c r="HUT16" s="314" t="s">
        <v>203</v>
      </c>
      <c r="HUU16" s="314" t="s">
        <v>203</v>
      </c>
      <c r="HUV16" s="314" t="s">
        <v>203</v>
      </c>
      <c r="HUW16" s="314" t="s">
        <v>203</v>
      </c>
      <c r="HUX16" s="314" t="s">
        <v>203</v>
      </c>
      <c r="HUY16" s="314" t="s">
        <v>203</v>
      </c>
      <c r="HUZ16" s="314" t="s">
        <v>203</v>
      </c>
      <c r="HVA16" s="314" t="s">
        <v>203</v>
      </c>
      <c r="HVB16" s="314" t="s">
        <v>203</v>
      </c>
      <c r="HVC16" s="314" t="s">
        <v>203</v>
      </c>
      <c r="HVD16" s="314" t="s">
        <v>203</v>
      </c>
      <c r="HVE16" s="314" t="s">
        <v>203</v>
      </c>
      <c r="HVF16" s="314" t="s">
        <v>203</v>
      </c>
      <c r="HVG16" s="314" t="s">
        <v>203</v>
      </c>
      <c r="HVH16" s="314" t="s">
        <v>203</v>
      </c>
      <c r="HVI16" s="314" t="s">
        <v>203</v>
      </c>
      <c r="HVJ16" s="314" t="s">
        <v>203</v>
      </c>
      <c r="HVK16" s="314" t="s">
        <v>203</v>
      </c>
      <c r="HVL16" s="314" t="s">
        <v>203</v>
      </c>
      <c r="HVM16" s="314" t="s">
        <v>203</v>
      </c>
      <c r="HVN16" s="314" t="s">
        <v>203</v>
      </c>
      <c r="HVO16" s="314" t="s">
        <v>203</v>
      </c>
      <c r="HVP16" s="314" t="s">
        <v>203</v>
      </c>
      <c r="HVQ16" s="314" t="s">
        <v>203</v>
      </c>
      <c r="HVR16" s="314" t="s">
        <v>203</v>
      </c>
      <c r="HVS16" s="314" t="s">
        <v>203</v>
      </c>
      <c r="HVT16" s="314" t="s">
        <v>203</v>
      </c>
      <c r="HVU16" s="314" t="s">
        <v>203</v>
      </c>
      <c r="HVV16" s="314" t="s">
        <v>203</v>
      </c>
      <c r="HVW16" s="314" t="s">
        <v>203</v>
      </c>
      <c r="HVX16" s="314" t="s">
        <v>203</v>
      </c>
      <c r="HVY16" s="314" t="s">
        <v>203</v>
      </c>
      <c r="HVZ16" s="314" t="s">
        <v>203</v>
      </c>
      <c r="HWA16" s="314" t="s">
        <v>203</v>
      </c>
      <c r="HWB16" s="314" t="s">
        <v>203</v>
      </c>
      <c r="HWC16" s="314" t="s">
        <v>203</v>
      </c>
      <c r="HWD16" s="314" t="s">
        <v>203</v>
      </c>
      <c r="HWE16" s="314" t="s">
        <v>203</v>
      </c>
      <c r="HWF16" s="314" t="s">
        <v>203</v>
      </c>
      <c r="HWG16" s="314" t="s">
        <v>203</v>
      </c>
      <c r="HWH16" s="314" t="s">
        <v>203</v>
      </c>
      <c r="HWI16" s="314" t="s">
        <v>203</v>
      </c>
      <c r="HWJ16" s="314" t="s">
        <v>203</v>
      </c>
      <c r="HWK16" s="314" t="s">
        <v>203</v>
      </c>
      <c r="HWL16" s="314" t="s">
        <v>203</v>
      </c>
      <c r="HWM16" s="314" t="s">
        <v>203</v>
      </c>
      <c r="HWN16" s="314" t="s">
        <v>203</v>
      </c>
      <c r="HWO16" s="314" t="s">
        <v>203</v>
      </c>
      <c r="HWP16" s="314" t="s">
        <v>203</v>
      </c>
      <c r="HWQ16" s="314" t="s">
        <v>203</v>
      </c>
      <c r="HWR16" s="314" t="s">
        <v>203</v>
      </c>
      <c r="HWS16" s="314" t="s">
        <v>203</v>
      </c>
      <c r="HWT16" s="314" t="s">
        <v>203</v>
      </c>
      <c r="HWU16" s="314" t="s">
        <v>203</v>
      </c>
      <c r="HWV16" s="314" t="s">
        <v>203</v>
      </c>
      <c r="HWW16" s="314" t="s">
        <v>203</v>
      </c>
      <c r="HWX16" s="314" t="s">
        <v>203</v>
      </c>
      <c r="HWY16" s="314" t="s">
        <v>203</v>
      </c>
      <c r="HWZ16" s="314" t="s">
        <v>203</v>
      </c>
      <c r="HXA16" s="314" t="s">
        <v>203</v>
      </c>
      <c r="HXB16" s="314" t="s">
        <v>203</v>
      </c>
      <c r="HXC16" s="314" t="s">
        <v>203</v>
      </c>
      <c r="HXD16" s="314" t="s">
        <v>203</v>
      </c>
      <c r="HXE16" s="314" t="s">
        <v>203</v>
      </c>
      <c r="HXF16" s="314" t="s">
        <v>203</v>
      </c>
      <c r="HXG16" s="314" t="s">
        <v>203</v>
      </c>
      <c r="HXH16" s="314" t="s">
        <v>203</v>
      </c>
      <c r="HXI16" s="314" t="s">
        <v>203</v>
      </c>
      <c r="HXJ16" s="314" t="s">
        <v>203</v>
      </c>
      <c r="HXK16" s="314" t="s">
        <v>203</v>
      </c>
      <c r="HXL16" s="314" t="s">
        <v>203</v>
      </c>
      <c r="HXM16" s="314" t="s">
        <v>203</v>
      </c>
      <c r="HXN16" s="314" t="s">
        <v>203</v>
      </c>
      <c r="HXO16" s="314" t="s">
        <v>203</v>
      </c>
      <c r="HXP16" s="314" t="s">
        <v>203</v>
      </c>
      <c r="HXQ16" s="314" t="s">
        <v>203</v>
      </c>
      <c r="HXR16" s="314" t="s">
        <v>203</v>
      </c>
      <c r="HXS16" s="314" t="s">
        <v>203</v>
      </c>
      <c r="HXT16" s="314" t="s">
        <v>203</v>
      </c>
      <c r="HXU16" s="314" t="s">
        <v>203</v>
      </c>
      <c r="HXV16" s="314" t="s">
        <v>203</v>
      </c>
      <c r="HXW16" s="314" t="s">
        <v>203</v>
      </c>
      <c r="HXX16" s="314" t="s">
        <v>203</v>
      </c>
      <c r="HXY16" s="314" t="s">
        <v>203</v>
      </c>
      <c r="HXZ16" s="314" t="s">
        <v>203</v>
      </c>
      <c r="HYA16" s="314" t="s">
        <v>203</v>
      </c>
      <c r="HYB16" s="314" t="s">
        <v>203</v>
      </c>
      <c r="HYC16" s="314" t="s">
        <v>203</v>
      </c>
      <c r="HYD16" s="314" t="s">
        <v>203</v>
      </c>
      <c r="HYE16" s="314" t="s">
        <v>203</v>
      </c>
      <c r="HYF16" s="314" t="s">
        <v>203</v>
      </c>
      <c r="HYG16" s="314" t="s">
        <v>203</v>
      </c>
      <c r="HYH16" s="314" t="s">
        <v>203</v>
      </c>
      <c r="HYI16" s="314" t="s">
        <v>203</v>
      </c>
      <c r="HYJ16" s="314" t="s">
        <v>203</v>
      </c>
      <c r="HYK16" s="314" t="s">
        <v>203</v>
      </c>
      <c r="HYL16" s="314" t="s">
        <v>203</v>
      </c>
      <c r="HYM16" s="314" t="s">
        <v>203</v>
      </c>
      <c r="HYN16" s="314" t="s">
        <v>203</v>
      </c>
      <c r="HYO16" s="314" t="s">
        <v>203</v>
      </c>
      <c r="HYP16" s="314" t="s">
        <v>203</v>
      </c>
      <c r="HYQ16" s="314" t="s">
        <v>203</v>
      </c>
      <c r="HYR16" s="314" t="s">
        <v>203</v>
      </c>
      <c r="HYS16" s="314" t="s">
        <v>203</v>
      </c>
      <c r="HYT16" s="314" t="s">
        <v>203</v>
      </c>
      <c r="HYU16" s="314" t="s">
        <v>203</v>
      </c>
      <c r="HYV16" s="314" t="s">
        <v>203</v>
      </c>
      <c r="HYW16" s="314" t="s">
        <v>203</v>
      </c>
      <c r="HYX16" s="314" t="s">
        <v>203</v>
      </c>
      <c r="HYY16" s="314" t="s">
        <v>203</v>
      </c>
      <c r="HYZ16" s="314" t="s">
        <v>203</v>
      </c>
      <c r="HZA16" s="314" t="s">
        <v>203</v>
      </c>
      <c r="HZB16" s="314" t="s">
        <v>203</v>
      </c>
      <c r="HZC16" s="314" t="s">
        <v>203</v>
      </c>
      <c r="HZD16" s="314" t="s">
        <v>203</v>
      </c>
      <c r="HZE16" s="314" t="s">
        <v>203</v>
      </c>
      <c r="HZF16" s="314" t="s">
        <v>203</v>
      </c>
      <c r="HZG16" s="314" t="s">
        <v>203</v>
      </c>
      <c r="HZH16" s="314" t="s">
        <v>203</v>
      </c>
      <c r="HZI16" s="314" t="s">
        <v>203</v>
      </c>
      <c r="HZJ16" s="314" t="s">
        <v>203</v>
      </c>
      <c r="HZK16" s="314" t="s">
        <v>203</v>
      </c>
      <c r="HZL16" s="314" t="s">
        <v>203</v>
      </c>
      <c r="HZM16" s="314" t="s">
        <v>203</v>
      </c>
      <c r="HZN16" s="314" t="s">
        <v>203</v>
      </c>
      <c r="HZO16" s="314" t="s">
        <v>203</v>
      </c>
      <c r="HZP16" s="314" t="s">
        <v>203</v>
      </c>
      <c r="HZQ16" s="314" t="s">
        <v>203</v>
      </c>
      <c r="HZR16" s="314" t="s">
        <v>203</v>
      </c>
      <c r="HZS16" s="314" t="s">
        <v>203</v>
      </c>
      <c r="HZT16" s="314" t="s">
        <v>203</v>
      </c>
      <c r="HZU16" s="314" t="s">
        <v>203</v>
      </c>
      <c r="HZV16" s="314" t="s">
        <v>203</v>
      </c>
      <c r="HZW16" s="314" t="s">
        <v>203</v>
      </c>
      <c r="HZX16" s="314" t="s">
        <v>203</v>
      </c>
      <c r="HZY16" s="314" t="s">
        <v>203</v>
      </c>
      <c r="HZZ16" s="314" t="s">
        <v>203</v>
      </c>
      <c r="IAA16" s="314" t="s">
        <v>203</v>
      </c>
      <c r="IAB16" s="314" t="s">
        <v>203</v>
      </c>
      <c r="IAC16" s="314" t="s">
        <v>203</v>
      </c>
      <c r="IAD16" s="314" t="s">
        <v>203</v>
      </c>
      <c r="IAE16" s="314" t="s">
        <v>203</v>
      </c>
      <c r="IAF16" s="314" t="s">
        <v>203</v>
      </c>
      <c r="IAG16" s="314" t="s">
        <v>203</v>
      </c>
      <c r="IAH16" s="314" t="s">
        <v>203</v>
      </c>
      <c r="IAI16" s="314" t="s">
        <v>203</v>
      </c>
      <c r="IAJ16" s="314" t="s">
        <v>203</v>
      </c>
      <c r="IAK16" s="314" t="s">
        <v>203</v>
      </c>
      <c r="IAL16" s="314" t="s">
        <v>203</v>
      </c>
      <c r="IAM16" s="314" t="s">
        <v>203</v>
      </c>
      <c r="IAN16" s="314" t="s">
        <v>203</v>
      </c>
      <c r="IAO16" s="314" t="s">
        <v>203</v>
      </c>
      <c r="IAP16" s="314" t="s">
        <v>203</v>
      </c>
      <c r="IAQ16" s="314" t="s">
        <v>203</v>
      </c>
      <c r="IAR16" s="314" t="s">
        <v>203</v>
      </c>
      <c r="IAS16" s="314" t="s">
        <v>203</v>
      </c>
      <c r="IAT16" s="314" t="s">
        <v>203</v>
      </c>
      <c r="IAU16" s="314" t="s">
        <v>203</v>
      </c>
      <c r="IAV16" s="314" t="s">
        <v>203</v>
      </c>
      <c r="IAW16" s="314" t="s">
        <v>203</v>
      </c>
      <c r="IAX16" s="314" t="s">
        <v>203</v>
      </c>
      <c r="IAY16" s="314" t="s">
        <v>203</v>
      </c>
      <c r="IAZ16" s="314" t="s">
        <v>203</v>
      </c>
      <c r="IBA16" s="314" t="s">
        <v>203</v>
      </c>
      <c r="IBB16" s="314" t="s">
        <v>203</v>
      </c>
      <c r="IBC16" s="314" t="s">
        <v>203</v>
      </c>
      <c r="IBD16" s="314" t="s">
        <v>203</v>
      </c>
      <c r="IBE16" s="314" t="s">
        <v>203</v>
      </c>
      <c r="IBF16" s="314" t="s">
        <v>203</v>
      </c>
      <c r="IBG16" s="314" t="s">
        <v>203</v>
      </c>
      <c r="IBH16" s="314" t="s">
        <v>203</v>
      </c>
      <c r="IBI16" s="314" t="s">
        <v>203</v>
      </c>
      <c r="IBJ16" s="314" t="s">
        <v>203</v>
      </c>
      <c r="IBK16" s="314" t="s">
        <v>203</v>
      </c>
      <c r="IBL16" s="314" t="s">
        <v>203</v>
      </c>
      <c r="IBM16" s="314" t="s">
        <v>203</v>
      </c>
      <c r="IBN16" s="314" t="s">
        <v>203</v>
      </c>
      <c r="IBO16" s="314" t="s">
        <v>203</v>
      </c>
      <c r="IBP16" s="314" t="s">
        <v>203</v>
      </c>
      <c r="IBQ16" s="314" t="s">
        <v>203</v>
      </c>
      <c r="IBR16" s="314" t="s">
        <v>203</v>
      </c>
      <c r="IBS16" s="314" t="s">
        <v>203</v>
      </c>
      <c r="IBT16" s="314" t="s">
        <v>203</v>
      </c>
      <c r="IBU16" s="314" t="s">
        <v>203</v>
      </c>
      <c r="IBV16" s="314" t="s">
        <v>203</v>
      </c>
      <c r="IBW16" s="314" t="s">
        <v>203</v>
      </c>
      <c r="IBX16" s="314" t="s">
        <v>203</v>
      </c>
      <c r="IBY16" s="314" t="s">
        <v>203</v>
      </c>
      <c r="IBZ16" s="314" t="s">
        <v>203</v>
      </c>
      <c r="ICA16" s="314" t="s">
        <v>203</v>
      </c>
      <c r="ICB16" s="314" t="s">
        <v>203</v>
      </c>
      <c r="ICC16" s="314" t="s">
        <v>203</v>
      </c>
      <c r="ICD16" s="314" t="s">
        <v>203</v>
      </c>
      <c r="ICE16" s="314" t="s">
        <v>203</v>
      </c>
      <c r="ICF16" s="314" t="s">
        <v>203</v>
      </c>
      <c r="ICG16" s="314" t="s">
        <v>203</v>
      </c>
      <c r="ICH16" s="314" t="s">
        <v>203</v>
      </c>
      <c r="ICI16" s="314" t="s">
        <v>203</v>
      </c>
      <c r="ICJ16" s="314" t="s">
        <v>203</v>
      </c>
      <c r="ICK16" s="314" t="s">
        <v>203</v>
      </c>
      <c r="ICL16" s="314" t="s">
        <v>203</v>
      </c>
      <c r="ICM16" s="314" t="s">
        <v>203</v>
      </c>
      <c r="ICN16" s="314" t="s">
        <v>203</v>
      </c>
      <c r="ICO16" s="314" t="s">
        <v>203</v>
      </c>
      <c r="ICP16" s="314" t="s">
        <v>203</v>
      </c>
      <c r="ICQ16" s="314" t="s">
        <v>203</v>
      </c>
      <c r="ICR16" s="314" t="s">
        <v>203</v>
      </c>
      <c r="ICS16" s="314" t="s">
        <v>203</v>
      </c>
      <c r="ICT16" s="314" t="s">
        <v>203</v>
      </c>
      <c r="ICU16" s="314" t="s">
        <v>203</v>
      </c>
      <c r="ICV16" s="314" t="s">
        <v>203</v>
      </c>
      <c r="ICW16" s="314" t="s">
        <v>203</v>
      </c>
      <c r="ICX16" s="314" t="s">
        <v>203</v>
      </c>
      <c r="ICY16" s="314" t="s">
        <v>203</v>
      </c>
      <c r="ICZ16" s="314" t="s">
        <v>203</v>
      </c>
      <c r="IDA16" s="314" t="s">
        <v>203</v>
      </c>
      <c r="IDB16" s="314" t="s">
        <v>203</v>
      </c>
      <c r="IDC16" s="314" t="s">
        <v>203</v>
      </c>
      <c r="IDD16" s="314" t="s">
        <v>203</v>
      </c>
      <c r="IDE16" s="314" t="s">
        <v>203</v>
      </c>
      <c r="IDF16" s="314" t="s">
        <v>203</v>
      </c>
      <c r="IDG16" s="314" t="s">
        <v>203</v>
      </c>
      <c r="IDH16" s="314" t="s">
        <v>203</v>
      </c>
      <c r="IDI16" s="314" t="s">
        <v>203</v>
      </c>
      <c r="IDJ16" s="314" t="s">
        <v>203</v>
      </c>
      <c r="IDK16" s="314" t="s">
        <v>203</v>
      </c>
      <c r="IDL16" s="314" t="s">
        <v>203</v>
      </c>
      <c r="IDM16" s="314" t="s">
        <v>203</v>
      </c>
      <c r="IDN16" s="314" t="s">
        <v>203</v>
      </c>
      <c r="IDO16" s="314" t="s">
        <v>203</v>
      </c>
      <c r="IDP16" s="314" t="s">
        <v>203</v>
      </c>
      <c r="IDQ16" s="314" t="s">
        <v>203</v>
      </c>
      <c r="IDR16" s="314" t="s">
        <v>203</v>
      </c>
      <c r="IDS16" s="314" t="s">
        <v>203</v>
      </c>
      <c r="IDT16" s="314" t="s">
        <v>203</v>
      </c>
      <c r="IDU16" s="314" t="s">
        <v>203</v>
      </c>
      <c r="IDV16" s="314" t="s">
        <v>203</v>
      </c>
      <c r="IDW16" s="314" t="s">
        <v>203</v>
      </c>
      <c r="IDX16" s="314" t="s">
        <v>203</v>
      </c>
      <c r="IDY16" s="314" t="s">
        <v>203</v>
      </c>
      <c r="IDZ16" s="314" t="s">
        <v>203</v>
      </c>
      <c r="IEA16" s="314" t="s">
        <v>203</v>
      </c>
      <c r="IEB16" s="314" t="s">
        <v>203</v>
      </c>
      <c r="IEC16" s="314" t="s">
        <v>203</v>
      </c>
      <c r="IED16" s="314" t="s">
        <v>203</v>
      </c>
      <c r="IEE16" s="314" t="s">
        <v>203</v>
      </c>
      <c r="IEF16" s="314" t="s">
        <v>203</v>
      </c>
      <c r="IEG16" s="314" t="s">
        <v>203</v>
      </c>
      <c r="IEH16" s="314" t="s">
        <v>203</v>
      </c>
      <c r="IEI16" s="314" t="s">
        <v>203</v>
      </c>
      <c r="IEJ16" s="314" t="s">
        <v>203</v>
      </c>
      <c r="IEK16" s="314" t="s">
        <v>203</v>
      </c>
      <c r="IEL16" s="314" t="s">
        <v>203</v>
      </c>
      <c r="IEM16" s="314" t="s">
        <v>203</v>
      </c>
      <c r="IEN16" s="314" t="s">
        <v>203</v>
      </c>
      <c r="IEO16" s="314" t="s">
        <v>203</v>
      </c>
      <c r="IEP16" s="314" t="s">
        <v>203</v>
      </c>
      <c r="IEQ16" s="314" t="s">
        <v>203</v>
      </c>
      <c r="IER16" s="314" t="s">
        <v>203</v>
      </c>
      <c r="IES16" s="314" t="s">
        <v>203</v>
      </c>
      <c r="IET16" s="314" t="s">
        <v>203</v>
      </c>
      <c r="IEU16" s="314" t="s">
        <v>203</v>
      </c>
      <c r="IEV16" s="314" t="s">
        <v>203</v>
      </c>
      <c r="IEW16" s="314" t="s">
        <v>203</v>
      </c>
      <c r="IEX16" s="314" t="s">
        <v>203</v>
      </c>
      <c r="IEY16" s="314" t="s">
        <v>203</v>
      </c>
      <c r="IEZ16" s="314" t="s">
        <v>203</v>
      </c>
      <c r="IFA16" s="314" t="s">
        <v>203</v>
      </c>
      <c r="IFB16" s="314" t="s">
        <v>203</v>
      </c>
      <c r="IFC16" s="314" t="s">
        <v>203</v>
      </c>
      <c r="IFD16" s="314" t="s">
        <v>203</v>
      </c>
      <c r="IFE16" s="314" t="s">
        <v>203</v>
      </c>
      <c r="IFF16" s="314" t="s">
        <v>203</v>
      </c>
      <c r="IFG16" s="314" t="s">
        <v>203</v>
      </c>
      <c r="IFH16" s="314" t="s">
        <v>203</v>
      </c>
      <c r="IFI16" s="314" t="s">
        <v>203</v>
      </c>
      <c r="IFJ16" s="314" t="s">
        <v>203</v>
      </c>
      <c r="IFK16" s="314" t="s">
        <v>203</v>
      </c>
      <c r="IFL16" s="314" t="s">
        <v>203</v>
      </c>
      <c r="IFM16" s="314" t="s">
        <v>203</v>
      </c>
      <c r="IFN16" s="314" t="s">
        <v>203</v>
      </c>
      <c r="IFO16" s="314" t="s">
        <v>203</v>
      </c>
      <c r="IFP16" s="314" t="s">
        <v>203</v>
      </c>
      <c r="IFQ16" s="314" t="s">
        <v>203</v>
      </c>
      <c r="IFR16" s="314" t="s">
        <v>203</v>
      </c>
      <c r="IFS16" s="314" t="s">
        <v>203</v>
      </c>
      <c r="IFT16" s="314" t="s">
        <v>203</v>
      </c>
      <c r="IFU16" s="314" t="s">
        <v>203</v>
      </c>
      <c r="IFV16" s="314" t="s">
        <v>203</v>
      </c>
      <c r="IFW16" s="314" t="s">
        <v>203</v>
      </c>
      <c r="IFX16" s="314" t="s">
        <v>203</v>
      </c>
      <c r="IFY16" s="314" t="s">
        <v>203</v>
      </c>
      <c r="IFZ16" s="314" t="s">
        <v>203</v>
      </c>
      <c r="IGA16" s="314" t="s">
        <v>203</v>
      </c>
      <c r="IGB16" s="314" t="s">
        <v>203</v>
      </c>
      <c r="IGC16" s="314" t="s">
        <v>203</v>
      </c>
      <c r="IGD16" s="314" t="s">
        <v>203</v>
      </c>
      <c r="IGE16" s="314" t="s">
        <v>203</v>
      </c>
      <c r="IGF16" s="314" t="s">
        <v>203</v>
      </c>
      <c r="IGG16" s="314" t="s">
        <v>203</v>
      </c>
      <c r="IGH16" s="314" t="s">
        <v>203</v>
      </c>
      <c r="IGI16" s="314" t="s">
        <v>203</v>
      </c>
      <c r="IGJ16" s="314" t="s">
        <v>203</v>
      </c>
      <c r="IGK16" s="314" t="s">
        <v>203</v>
      </c>
      <c r="IGL16" s="314" t="s">
        <v>203</v>
      </c>
      <c r="IGM16" s="314" t="s">
        <v>203</v>
      </c>
      <c r="IGN16" s="314" t="s">
        <v>203</v>
      </c>
      <c r="IGO16" s="314" t="s">
        <v>203</v>
      </c>
      <c r="IGP16" s="314" t="s">
        <v>203</v>
      </c>
      <c r="IGQ16" s="314" t="s">
        <v>203</v>
      </c>
      <c r="IGR16" s="314" t="s">
        <v>203</v>
      </c>
      <c r="IGS16" s="314" t="s">
        <v>203</v>
      </c>
      <c r="IGT16" s="314" t="s">
        <v>203</v>
      </c>
      <c r="IGU16" s="314" t="s">
        <v>203</v>
      </c>
      <c r="IGV16" s="314" t="s">
        <v>203</v>
      </c>
      <c r="IGW16" s="314" t="s">
        <v>203</v>
      </c>
      <c r="IGX16" s="314" t="s">
        <v>203</v>
      </c>
      <c r="IGY16" s="314" t="s">
        <v>203</v>
      </c>
      <c r="IGZ16" s="314" t="s">
        <v>203</v>
      </c>
      <c r="IHA16" s="314" t="s">
        <v>203</v>
      </c>
      <c r="IHB16" s="314" t="s">
        <v>203</v>
      </c>
      <c r="IHC16" s="314" t="s">
        <v>203</v>
      </c>
      <c r="IHD16" s="314" t="s">
        <v>203</v>
      </c>
      <c r="IHE16" s="314" t="s">
        <v>203</v>
      </c>
      <c r="IHF16" s="314" t="s">
        <v>203</v>
      </c>
      <c r="IHG16" s="314" t="s">
        <v>203</v>
      </c>
      <c r="IHH16" s="314" t="s">
        <v>203</v>
      </c>
      <c r="IHI16" s="314" t="s">
        <v>203</v>
      </c>
      <c r="IHJ16" s="314" t="s">
        <v>203</v>
      </c>
      <c r="IHK16" s="314" t="s">
        <v>203</v>
      </c>
      <c r="IHL16" s="314" t="s">
        <v>203</v>
      </c>
      <c r="IHM16" s="314" t="s">
        <v>203</v>
      </c>
      <c r="IHN16" s="314" t="s">
        <v>203</v>
      </c>
      <c r="IHO16" s="314" t="s">
        <v>203</v>
      </c>
      <c r="IHP16" s="314" t="s">
        <v>203</v>
      </c>
      <c r="IHQ16" s="314" t="s">
        <v>203</v>
      </c>
      <c r="IHR16" s="314" t="s">
        <v>203</v>
      </c>
      <c r="IHS16" s="314" t="s">
        <v>203</v>
      </c>
      <c r="IHT16" s="314" t="s">
        <v>203</v>
      </c>
      <c r="IHU16" s="314" t="s">
        <v>203</v>
      </c>
      <c r="IHV16" s="314" t="s">
        <v>203</v>
      </c>
      <c r="IHW16" s="314" t="s">
        <v>203</v>
      </c>
      <c r="IHX16" s="314" t="s">
        <v>203</v>
      </c>
      <c r="IHY16" s="314" t="s">
        <v>203</v>
      </c>
      <c r="IHZ16" s="314" t="s">
        <v>203</v>
      </c>
      <c r="IIA16" s="314" t="s">
        <v>203</v>
      </c>
      <c r="IIB16" s="314" t="s">
        <v>203</v>
      </c>
      <c r="IIC16" s="314" t="s">
        <v>203</v>
      </c>
      <c r="IID16" s="314" t="s">
        <v>203</v>
      </c>
      <c r="IIE16" s="314" t="s">
        <v>203</v>
      </c>
      <c r="IIF16" s="314" t="s">
        <v>203</v>
      </c>
      <c r="IIG16" s="314" t="s">
        <v>203</v>
      </c>
      <c r="IIH16" s="314" t="s">
        <v>203</v>
      </c>
      <c r="III16" s="314" t="s">
        <v>203</v>
      </c>
      <c r="IIJ16" s="314" t="s">
        <v>203</v>
      </c>
      <c r="IIK16" s="314" t="s">
        <v>203</v>
      </c>
      <c r="IIL16" s="314" t="s">
        <v>203</v>
      </c>
      <c r="IIM16" s="314" t="s">
        <v>203</v>
      </c>
      <c r="IIN16" s="314" t="s">
        <v>203</v>
      </c>
      <c r="IIO16" s="314" t="s">
        <v>203</v>
      </c>
      <c r="IIP16" s="314" t="s">
        <v>203</v>
      </c>
      <c r="IIQ16" s="314" t="s">
        <v>203</v>
      </c>
      <c r="IIR16" s="314" t="s">
        <v>203</v>
      </c>
      <c r="IIS16" s="314" t="s">
        <v>203</v>
      </c>
      <c r="IIT16" s="314" t="s">
        <v>203</v>
      </c>
      <c r="IIU16" s="314" t="s">
        <v>203</v>
      </c>
      <c r="IIV16" s="314" t="s">
        <v>203</v>
      </c>
      <c r="IIW16" s="314" t="s">
        <v>203</v>
      </c>
      <c r="IIX16" s="314" t="s">
        <v>203</v>
      </c>
      <c r="IIY16" s="314" t="s">
        <v>203</v>
      </c>
      <c r="IIZ16" s="314" t="s">
        <v>203</v>
      </c>
      <c r="IJA16" s="314" t="s">
        <v>203</v>
      </c>
      <c r="IJB16" s="314" t="s">
        <v>203</v>
      </c>
      <c r="IJC16" s="314" t="s">
        <v>203</v>
      </c>
      <c r="IJD16" s="314" t="s">
        <v>203</v>
      </c>
      <c r="IJE16" s="314" t="s">
        <v>203</v>
      </c>
      <c r="IJF16" s="314" t="s">
        <v>203</v>
      </c>
      <c r="IJG16" s="314" t="s">
        <v>203</v>
      </c>
      <c r="IJH16" s="314" t="s">
        <v>203</v>
      </c>
      <c r="IJI16" s="314" t="s">
        <v>203</v>
      </c>
      <c r="IJJ16" s="314" t="s">
        <v>203</v>
      </c>
      <c r="IJK16" s="314" t="s">
        <v>203</v>
      </c>
      <c r="IJL16" s="314" t="s">
        <v>203</v>
      </c>
      <c r="IJM16" s="314" t="s">
        <v>203</v>
      </c>
      <c r="IJN16" s="314" t="s">
        <v>203</v>
      </c>
      <c r="IJO16" s="314" t="s">
        <v>203</v>
      </c>
      <c r="IJP16" s="314" t="s">
        <v>203</v>
      </c>
      <c r="IJQ16" s="314" t="s">
        <v>203</v>
      </c>
      <c r="IJR16" s="314" t="s">
        <v>203</v>
      </c>
      <c r="IJS16" s="314" t="s">
        <v>203</v>
      </c>
      <c r="IJT16" s="314" t="s">
        <v>203</v>
      </c>
      <c r="IJU16" s="314" t="s">
        <v>203</v>
      </c>
      <c r="IJV16" s="314" t="s">
        <v>203</v>
      </c>
      <c r="IJW16" s="314" t="s">
        <v>203</v>
      </c>
      <c r="IJX16" s="314" t="s">
        <v>203</v>
      </c>
      <c r="IJY16" s="314" t="s">
        <v>203</v>
      </c>
      <c r="IJZ16" s="314" t="s">
        <v>203</v>
      </c>
      <c r="IKA16" s="314" t="s">
        <v>203</v>
      </c>
      <c r="IKB16" s="314" t="s">
        <v>203</v>
      </c>
      <c r="IKC16" s="314" t="s">
        <v>203</v>
      </c>
      <c r="IKD16" s="314" t="s">
        <v>203</v>
      </c>
      <c r="IKE16" s="314" t="s">
        <v>203</v>
      </c>
      <c r="IKF16" s="314" t="s">
        <v>203</v>
      </c>
      <c r="IKG16" s="314" t="s">
        <v>203</v>
      </c>
      <c r="IKH16" s="314" t="s">
        <v>203</v>
      </c>
      <c r="IKI16" s="314" t="s">
        <v>203</v>
      </c>
      <c r="IKJ16" s="314" t="s">
        <v>203</v>
      </c>
      <c r="IKK16" s="314" t="s">
        <v>203</v>
      </c>
      <c r="IKL16" s="314" t="s">
        <v>203</v>
      </c>
      <c r="IKM16" s="314" t="s">
        <v>203</v>
      </c>
      <c r="IKN16" s="314" t="s">
        <v>203</v>
      </c>
      <c r="IKO16" s="314" t="s">
        <v>203</v>
      </c>
      <c r="IKP16" s="314" t="s">
        <v>203</v>
      </c>
      <c r="IKQ16" s="314" t="s">
        <v>203</v>
      </c>
      <c r="IKR16" s="314" t="s">
        <v>203</v>
      </c>
      <c r="IKS16" s="314" t="s">
        <v>203</v>
      </c>
      <c r="IKT16" s="314" t="s">
        <v>203</v>
      </c>
      <c r="IKU16" s="314" t="s">
        <v>203</v>
      </c>
      <c r="IKV16" s="314" t="s">
        <v>203</v>
      </c>
      <c r="IKW16" s="314" t="s">
        <v>203</v>
      </c>
      <c r="IKX16" s="314" t="s">
        <v>203</v>
      </c>
      <c r="IKY16" s="314" t="s">
        <v>203</v>
      </c>
      <c r="IKZ16" s="314" t="s">
        <v>203</v>
      </c>
      <c r="ILA16" s="314" t="s">
        <v>203</v>
      </c>
      <c r="ILB16" s="314" t="s">
        <v>203</v>
      </c>
      <c r="ILC16" s="314" t="s">
        <v>203</v>
      </c>
      <c r="ILD16" s="314" t="s">
        <v>203</v>
      </c>
      <c r="ILE16" s="314" t="s">
        <v>203</v>
      </c>
      <c r="ILF16" s="314" t="s">
        <v>203</v>
      </c>
      <c r="ILG16" s="314" t="s">
        <v>203</v>
      </c>
      <c r="ILH16" s="314" t="s">
        <v>203</v>
      </c>
      <c r="ILI16" s="314" t="s">
        <v>203</v>
      </c>
      <c r="ILJ16" s="314" t="s">
        <v>203</v>
      </c>
      <c r="ILK16" s="314" t="s">
        <v>203</v>
      </c>
      <c r="ILL16" s="314" t="s">
        <v>203</v>
      </c>
      <c r="ILM16" s="314" t="s">
        <v>203</v>
      </c>
      <c r="ILN16" s="314" t="s">
        <v>203</v>
      </c>
      <c r="ILO16" s="314" t="s">
        <v>203</v>
      </c>
      <c r="ILP16" s="314" t="s">
        <v>203</v>
      </c>
      <c r="ILQ16" s="314" t="s">
        <v>203</v>
      </c>
      <c r="ILR16" s="314" t="s">
        <v>203</v>
      </c>
      <c r="ILS16" s="314" t="s">
        <v>203</v>
      </c>
      <c r="ILT16" s="314" t="s">
        <v>203</v>
      </c>
      <c r="ILU16" s="314" t="s">
        <v>203</v>
      </c>
      <c r="ILV16" s="314" t="s">
        <v>203</v>
      </c>
      <c r="ILW16" s="314" t="s">
        <v>203</v>
      </c>
      <c r="ILX16" s="314" t="s">
        <v>203</v>
      </c>
      <c r="ILY16" s="314" t="s">
        <v>203</v>
      </c>
      <c r="ILZ16" s="314" t="s">
        <v>203</v>
      </c>
      <c r="IMA16" s="314" t="s">
        <v>203</v>
      </c>
      <c r="IMB16" s="314" t="s">
        <v>203</v>
      </c>
      <c r="IMC16" s="314" t="s">
        <v>203</v>
      </c>
      <c r="IMD16" s="314" t="s">
        <v>203</v>
      </c>
      <c r="IME16" s="314" t="s">
        <v>203</v>
      </c>
      <c r="IMF16" s="314" t="s">
        <v>203</v>
      </c>
      <c r="IMG16" s="314" t="s">
        <v>203</v>
      </c>
      <c r="IMH16" s="314" t="s">
        <v>203</v>
      </c>
      <c r="IMI16" s="314" t="s">
        <v>203</v>
      </c>
      <c r="IMJ16" s="314" t="s">
        <v>203</v>
      </c>
      <c r="IMK16" s="314" t="s">
        <v>203</v>
      </c>
      <c r="IML16" s="314" t="s">
        <v>203</v>
      </c>
      <c r="IMM16" s="314" t="s">
        <v>203</v>
      </c>
      <c r="IMN16" s="314" t="s">
        <v>203</v>
      </c>
      <c r="IMO16" s="314" t="s">
        <v>203</v>
      </c>
      <c r="IMP16" s="314" t="s">
        <v>203</v>
      </c>
      <c r="IMQ16" s="314" t="s">
        <v>203</v>
      </c>
      <c r="IMR16" s="314" t="s">
        <v>203</v>
      </c>
      <c r="IMS16" s="314" t="s">
        <v>203</v>
      </c>
      <c r="IMT16" s="314" t="s">
        <v>203</v>
      </c>
      <c r="IMU16" s="314" t="s">
        <v>203</v>
      </c>
      <c r="IMV16" s="314" t="s">
        <v>203</v>
      </c>
      <c r="IMW16" s="314" t="s">
        <v>203</v>
      </c>
      <c r="IMX16" s="314" t="s">
        <v>203</v>
      </c>
      <c r="IMY16" s="314" t="s">
        <v>203</v>
      </c>
      <c r="IMZ16" s="314" t="s">
        <v>203</v>
      </c>
      <c r="INA16" s="314" t="s">
        <v>203</v>
      </c>
      <c r="INB16" s="314" t="s">
        <v>203</v>
      </c>
      <c r="INC16" s="314" t="s">
        <v>203</v>
      </c>
      <c r="IND16" s="314" t="s">
        <v>203</v>
      </c>
      <c r="INE16" s="314" t="s">
        <v>203</v>
      </c>
      <c r="INF16" s="314" t="s">
        <v>203</v>
      </c>
      <c r="ING16" s="314" t="s">
        <v>203</v>
      </c>
      <c r="INH16" s="314" t="s">
        <v>203</v>
      </c>
      <c r="INI16" s="314" t="s">
        <v>203</v>
      </c>
      <c r="INJ16" s="314" t="s">
        <v>203</v>
      </c>
      <c r="INK16" s="314" t="s">
        <v>203</v>
      </c>
      <c r="INL16" s="314" t="s">
        <v>203</v>
      </c>
      <c r="INM16" s="314" t="s">
        <v>203</v>
      </c>
      <c r="INN16" s="314" t="s">
        <v>203</v>
      </c>
      <c r="INO16" s="314" t="s">
        <v>203</v>
      </c>
      <c r="INP16" s="314" t="s">
        <v>203</v>
      </c>
      <c r="INQ16" s="314" t="s">
        <v>203</v>
      </c>
      <c r="INR16" s="314" t="s">
        <v>203</v>
      </c>
      <c r="INS16" s="314" t="s">
        <v>203</v>
      </c>
      <c r="INT16" s="314" t="s">
        <v>203</v>
      </c>
      <c r="INU16" s="314" t="s">
        <v>203</v>
      </c>
      <c r="INV16" s="314" t="s">
        <v>203</v>
      </c>
      <c r="INW16" s="314" t="s">
        <v>203</v>
      </c>
      <c r="INX16" s="314" t="s">
        <v>203</v>
      </c>
      <c r="INY16" s="314" t="s">
        <v>203</v>
      </c>
      <c r="INZ16" s="314" t="s">
        <v>203</v>
      </c>
      <c r="IOA16" s="314" t="s">
        <v>203</v>
      </c>
      <c r="IOB16" s="314" t="s">
        <v>203</v>
      </c>
      <c r="IOC16" s="314" t="s">
        <v>203</v>
      </c>
      <c r="IOD16" s="314" t="s">
        <v>203</v>
      </c>
      <c r="IOE16" s="314" t="s">
        <v>203</v>
      </c>
      <c r="IOF16" s="314" t="s">
        <v>203</v>
      </c>
      <c r="IOG16" s="314" t="s">
        <v>203</v>
      </c>
      <c r="IOH16" s="314" t="s">
        <v>203</v>
      </c>
      <c r="IOI16" s="314" t="s">
        <v>203</v>
      </c>
      <c r="IOJ16" s="314" t="s">
        <v>203</v>
      </c>
      <c r="IOK16" s="314" t="s">
        <v>203</v>
      </c>
      <c r="IOL16" s="314" t="s">
        <v>203</v>
      </c>
      <c r="IOM16" s="314" t="s">
        <v>203</v>
      </c>
      <c r="ION16" s="314" t="s">
        <v>203</v>
      </c>
      <c r="IOO16" s="314" t="s">
        <v>203</v>
      </c>
      <c r="IOP16" s="314" t="s">
        <v>203</v>
      </c>
      <c r="IOQ16" s="314" t="s">
        <v>203</v>
      </c>
      <c r="IOR16" s="314" t="s">
        <v>203</v>
      </c>
      <c r="IOS16" s="314" t="s">
        <v>203</v>
      </c>
      <c r="IOT16" s="314" t="s">
        <v>203</v>
      </c>
      <c r="IOU16" s="314" t="s">
        <v>203</v>
      </c>
      <c r="IOV16" s="314" t="s">
        <v>203</v>
      </c>
      <c r="IOW16" s="314" t="s">
        <v>203</v>
      </c>
      <c r="IOX16" s="314" t="s">
        <v>203</v>
      </c>
      <c r="IOY16" s="314" t="s">
        <v>203</v>
      </c>
      <c r="IOZ16" s="314" t="s">
        <v>203</v>
      </c>
      <c r="IPA16" s="314" t="s">
        <v>203</v>
      </c>
      <c r="IPB16" s="314" t="s">
        <v>203</v>
      </c>
      <c r="IPC16" s="314" t="s">
        <v>203</v>
      </c>
      <c r="IPD16" s="314" t="s">
        <v>203</v>
      </c>
      <c r="IPE16" s="314" t="s">
        <v>203</v>
      </c>
      <c r="IPF16" s="314" t="s">
        <v>203</v>
      </c>
      <c r="IPG16" s="314" t="s">
        <v>203</v>
      </c>
      <c r="IPH16" s="314" t="s">
        <v>203</v>
      </c>
      <c r="IPI16" s="314" t="s">
        <v>203</v>
      </c>
      <c r="IPJ16" s="314" t="s">
        <v>203</v>
      </c>
      <c r="IPK16" s="314" t="s">
        <v>203</v>
      </c>
      <c r="IPL16" s="314" t="s">
        <v>203</v>
      </c>
      <c r="IPM16" s="314" t="s">
        <v>203</v>
      </c>
      <c r="IPN16" s="314" t="s">
        <v>203</v>
      </c>
      <c r="IPO16" s="314" t="s">
        <v>203</v>
      </c>
      <c r="IPP16" s="314" t="s">
        <v>203</v>
      </c>
      <c r="IPQ16" s="314" t="s">
        <v>203</v>
      </c>
      <c r="IPR16" s="314" t="s">
        <v>203</v>
      </c>
      <c r="IPS16" s="314" t="s">
        <v>203</v>
      </c>
      <c r="IPT16" s="314" t="s">
        <v>203</v>
      </c>
      <c r="IPU16" s="314" t="s">
        <v>203</v>
      </c>
      <c r="IPV16" s="314" t="s">
        <v>203</v>
      </c>
      <c r="IPW16" s="314" t="s">
        <v>203</v>
      </c>
      <c r="IPX16" s="314" t="s">
        <v>203</v>
      </c>
      <c r="IPY16" s="314" t="s">
        <v>203</v>
      </c>
      <c r="IPZ16" s="314" t="s">
        <v>203</v>
      </c>
      <c r="IQA16" s="314" t="s">
        <v>203</v>
      </c>
      <c r="IQB16" s="314" t="s">
        <v>203</v>
      </c>
      <c r="IQC16" s="314" t="s">
        <v>203</v>
      </c>
      <c r="IQD16" s="314" t="s">
        <v>203</v>
      </c>
      <c r="IQE16" s="314" t="s">
        <v>203</v>
      </c>
      <c r="IQF16" s="314" t="s">
        <v>203</v>
      </c>
      <c r="IQG16" s="314" t="s">
        <v>203</v>
      </c>
      <c r="IQH16" s="314" t="s">
        <v>203</v>
      </c>
      <c r="IQI16" s="314" t="s">
        <v>203</v>
      </c>
      <c r="IQJ16" s="314" t="s">
        <v>203</v>
      </c>
      <c r="IQK16" s="314" t="s">
        <v>203</v>
      </c>
      <c r="IQL16" s="314" t="s">
        <v>203</v>
      </c>
      <c r="IQM16" s="314" t="s">
        <v>203</v>
      </c>
      <c r="IQN16" s="314" t="s">
        <v>203</v>
      </c>
      <c r="IQO16" s="314" t="s">
        <v>203</v>
      </c>
      <c r="IQP16" s="314" t="s">
        <v>203</v>
      </c>
      <c r="IQQ16" s="314" t="s">
        <v>203</v>
      </c>
      <c r="IQR16" s="314" t="s">
        <v>203</v>
      </c>
      <c r="IQS16" s="314" t="s">
        <v>203</v>
      </c>
      <c r="IQT16" s="314" t="s">
        <v>203</v>
      </c>
      <c r="IQU16" s="314" t="s">
        <v>203</v>
      </c>
      <c r="IQV16" s="314" t="s">
        <v>203</v>
      </c>
      <c r="IQW16" s="314" t="s">
        <v>203</v>
      </c>
      <c r="IQX16" s="314" t="s">
        <v>203</v>
      </c>
      <c r="IQY16" s="314" t="s">
        <v>203</v>
      </c>
      <c r="IQZ16" s="314" t="s">
        <v>203</v>
      </c>
      <c r="IRA16" s="314" t="s">
        <v>203</v>
      </c>
      <c r="IRB16" s="314" t="s">
        <v>203</v>
      </c>
      <c r="IRC16" s="314" t="s">
        <v>203</v>
      </c>
      <c r="IRD16" s="314" t="s">
        <v>203</v>
      </c>
      <c r="IRE16" s="314" t="s">
        <v>203</v>
      </c>
      <c r="IRF16" s="314" t="s">
        <v>203</v>
      </c>
      <c r="IRG16" s="314" t="s">
        <v>203</v>
      </c>
      <c r="IRH16" s="314" t="s">
        <v>203</v>
      </c>
      <c r="IRI16" s="314" t="s">
        <v>203</v>
      </c>
      <c r="IRJ16" s="314" t="s">
        <v>203</v>
      </c>
      <c r="IRK16" s="314" t="s">
        <v>203</v>
      </c>
      <c r="IRL16" s="314" t="s">
        <v>203</v>
      </c>
      <c r="IRM16" s="314" t="s">
        <v>203</v>
      </c>
      <c r="IRN16" s="314" t="s">
        <v>203</v>
      </c>
      <c r="IRO16" s="314" t="s">
        <v>203</v>
      </c>
      <c r="IRP16" s="314" t="s">
        <v>203</v>
      </c>
      <c r="IRQ16" s="314" t="s">
        <v>203</v>
      </c>
      <c r="IRR16" s="314" t="s">
        <v>203</v>
      </c>
      <c r="IRS16" s="314" t="s">
        <v>203</v>
      </c>
      <c r="IRT16" s="314" t="s">
        <v>203</v>
      </c>
      <c r="IRU16" s="314" t="s">
        <v>203</v>
      </c>
      <c r="IRV16" s="314" t="s">
        <v>203</v>
      </c>
      <c r="IRW16" s="314" t="s">
        <v>203</v>
      </c>
      <c r="IRX16" s="314" t="s">
        <v>203</v>
      </c>
      <c r="IRY16" s="314" t="s">
        <v>203</v>
      </c>
      <c r="IRZ16" s="314" t="s">
        <v>203</v>
      </c>
      <c r="ISA16" s="314" t="s">
        <v>203</v>
      </c>
      <c r="ISB16" s="314" t="s">
        <v>203</v>
      </c>
      <c r="ISC16" s="314" t="s">
        <v>203</v>
      </c>
      <c r="ISD16" s="314" t="s">
        <v>203</v>
      </c>
      <c r="ISE16" s="314" t="s">
        <v>203</v>
      </c>
      <c r="ISF16" s="314" t="s">
        <v>203</v>
      </c>
      <c r="ISG16" s="314" t="s">
        <v>203</v>
      </c>
      <c r="ISH16" s="314" t="s">
        <v>203</v>
      </c>
      <c r="ISI16" s="314" t="s">
        <v>203</v>
      </c>
      <c r="ISJ16" s="314" t="s">
        <v>203</v>
      </c>
      <c r="ISK16" s="314" t="s">
        <v>203</v>
      </c>
      <c r="ISL16" s="314" t="s">
        <v>203</v>
      </c>
      <c r="ISM16" s="314" t="s">
        <v>203</v>
      </c>
      <c r="ISN16" s="314" t="s">
        <v>203</v>
      </c>
      <c r="ISO16" s="314" t="s">
        <v>203</v>
      </c>
      <c r="ISP16" s="314" t="s">
        <v>203</v>
      </c>
      <c r="ISQ16" s="314" t="s">
        <v>203</v>
      </c>
      <c r="ISR16" s="314" t="s">
        <v>203</v>
      </c>
      <c r="ISS16" s="314" t="s">
        <v>203</v>
      </c>
      <c r="IST16" s="314" t="s">
        <v>203</v>
      </c>
      <c r="ISU16" s="314" t="s">
        <v>203</v>
      </c>
      <c r="ISV16" s="314" t="s">
        <v>203</v>
      </c>
      <c r="ISW16" s="314" t="s">
        <v>203</v>
      </c>
      <c r="ISX16" s="314" t="s">
        <v>203</v>
      </c>
      <c r="ISY16" s="314" t="s">
        <v>203</v>
      </c>
      <c r="ISZ16" s="314" t="s">
        <v>203</v>
      </c>
      <c r="ITA16" s="314" t="s">
        <v>203</v>
      </c>
      <c r="ITB16" s="314" t="s">
        <v>203</v>
      </c>
      <c r="ITC16" s="314" t="s">
        <v>203</v>
      </c>
      <c r="ITD16" s="314" t="s">
        <v>203</v>
      </c>
      <c r="ITE16" s="314" t="s">
        <v>203</v>
      </c>
      <c r="ITF16" s="314" t="s">
        <v>203</v>
      </c>
      <c r="ITG16" s="314" t="s">
        <v>203</v>
      </c>
      <c r="ITH16" s="314" t="s">
        <v>203</v>
      </c>
      <c r="ITI16" s="314" t="s">
        <v>203</v>
      </c>
      <c r="ITJ16" s="314" t="s">
        <v>203</v>
      </c>
      <c r="ITK16" s="314" t="s">
        <v>203</v>
      </c>
      <c r="ITL16" s="314" t="s">
        <v>203</v>
      </c>
      <c r="ITM16" s="314" t="s">
        <v>203</v>
      </c>
      <c r="ITN16" s="314" t="s">
        <v>203</v>
      </c>
      <c r="ITO16" s="314" t="s">
        <v>203</v>
      </c>
      <c r="ITP16" s="314" t="s">
        <v>203</v>
      </c>
      <c r="ITQ16" s="314" t="s">
        <v>203</v>
      </c>
      <c r="ITR16" s="314" t="s">
        <v>203</v>
      </c>
      <c r="ITS16" s="314" t="s">
        <v>203</v>
      </c>
      <c r="ITT16" s="314" t="s">
        <v>203</v>
      </c>
      <c r="ITU16" s="314" t="s">
        <v>203</v>
      </c>
      <c r="ITV16" s="314" t="s">
        <v>203</v>
      </c>
      <c r="ITW16" s="314" t="s">
        <v>203</v>
      </c>
      <c r="ITX16" s="314" t="s">
        <v>203</v>
      </c>
      <c r="ITY16" s="314" t="s">
        <v>203</v>
      </c>
      <c r="ITZ16" s="314" t="s">
        <v>203</v>
      </c>
      <c r="IUA16" s="314" t="s">
        <v>203</v>
      </c>
      <c r="IUB16" s="314" t="s">
        <v>203</v>
      </c>
      <c r="IUC16" s="314" t="s">
        <v>203</v>
      </c>
      <c r="IUD16" s="314" t="s">
        <v>203</v>
      </c>
      <c r="IUE16" s="314" t="s">
        <v>203</v>
      </c>
      <c r="IUF16" s="314" t="s">
        <v>203</v>
      </c>
      <c r="IUG16" s="314" t="s">
        <v>203</v>
      </c>
      <c r="IUH16" s="314" t="s">
        <v>203</v>
      </c>
      <c r="IUI16" s="314" t="s">
        <v>203</v>
      </c>
      <c r="IUJ16" s="314" t="s">
        <v>203</v>
      </c>
      <c r="IUK16" s="314" t="s">
        <v>203</v>
      </c>
      <c r="IUL16" s="314" t="s">
        <v>203</v>
      </c>
      <c r="IUM16" s="314" t="s">
        <v>203</v>
      </c>
      <c r="IUN16" s="314" t="s">
        <v>203</v>
      </c>
      <c r="IUO16" s="314" t="s">
        <v>203</v>
      </c>
      <c r="IUP16" s="314" t="s">
        <v>203</v>
      </c>
      <c r="IUQ16" s="314" t="s">
        <v>203</v>
      </c>
      <c r="IUR16" s="314" t="s">
        <v>203</v>
      </c>
      <c r="IUS16" s="314" t="s">
        <v>203</v>
      </c>
      <c r="IUT16" s="314" t="s">
        <v>203</v>
      </c>
      <c r="IUU16" s="314" t="s">
        <v>203</v>
      </c>
      <c r="IUV16" s="314" t="s">
        <v>203</v>
      </c>
      <c r="IUW16" s="314" t="s">
        <v>203</v>
      </c>
      <c r="IUX16" s="314" t="s">
        <v>203</v>
      </c>
      <c r="IUY16" s="314" t="s">
        <v>203</v>
      </c>
      <c r="IUZ16" s="314" t="s">
        <v>203</v>
      </c>
      <c r="IVA16" s="314" t="s">
        <v>203</v>
      </c>
      <c r="IVB16" s="314" t="s">
        <v>203</v>
      </c>
      <c r="IVC16" s="314" t="s">
        <v>203</v>
      </c>
      <c r="IVD16" s="314" t="s">
        <v>203</v>
      </c>
      <c r="IVE16" s="314" t="s">
        <v>203</v>
      </c>
      <c r="IVF16" s="314" t="s">
        <v>203</v>
      </c>
      <c r="IVG16" s="314" t="s">
        <v>203</v>
      </c>
      <c r="IVH16" s="314" t="s">
        <v>203</v>
      </c>
      <c r="IVI16" s="314" t="s">
        <v>203</v>
      </c>
      <c r="IVJ16" s="314" t="s">
        <v>203</v>
      </c>
      <c r="IVK16" s="314" t="s">
        <v>203</v>
      </c>
      <c r="IVL16" s="314" t="s">
        <v>203</v>
      </c>
      <c r="IVM16" s="314" t="s">
        <v>203</v>
      </c>
      <c r="IVN16" s="314" t="s">
        <v>203</v>
      </c>
      <c r="IVO16" s="314" t="s">
        <v>203</v>
      </c>
      <c r="IVP16" s="314" t="s">
        <v>203</v>
      </c>
      <c r="IVQ16" s="314" t="s">
        <v>203</v>
      </c>
      <c r="IVR16" s="314" t="s">
        <v>203</v>
      </c>
      <c r="IVS16" s="314" t="s">
        <v>203</v>
      </c>
      <c r="IVT16" s="314" t="s">
        <v>203</v>
      </c>
      <c r="IVU16" s="314" t="s">
        <v>203</v>
      </c>
      <c r="IVV16" s="314" t="s">
        <v>203</v>
      </c>
      <c r="IVW16" s="314" t="s">
        <v>203</v>
      </c>
      <c r="IVX16" s="314" t="s">
        <v>203</v>
      </c>
      <c r="IVY16" s="314" t="s">
        <v>203</v>
      </c>
      <c r="IVZ16" s="314" t="s">
        <v>203</v>
      </c>
      <c r="IWA16" s="314" t="s">
        <v>203</v>
      </c>
      <c r="IWB16" s="314" t="s">
        <v>203</v>
      </c>
      <c r="IWC16" s="314" t="s">
        <v>203</v>
      </c>
      <c r="IWD16" s="314" t="s">
        <v>203</v>
      </c>
      <c r="IWE16" s="314" t="s">
        <v>203</v>
      </c>
      <c r="IWF16" s="314" t="s">
        <v>203</v>
      </c>
      <c r="IWG16" s="314" t="s">
        <v>203</v>
      </c>
      <c r="IWH16" s="314" t="s">
        <v>203</v>
      </c>
      <c r="IWI16" s="314" t="s">
        <v>203</v>
      </c>
      <c r="IWJ16" s="314" t="s">
        <v>203</v>
      </c>
      <c r="IWK16" s="314" t="s">
        <v>203</v>
      </c>
      <c r="IWL16" s="314" t="s">
        <v>203</v>
      </c>
      <c r="IWM16" s="314" t="s">
        <v>203</v>
      </c>
      <c r="IWN16" s="314" t="s">
        <v>203</v>
      </c>
      <c r="IWO16" s="314" t="s">
        <v>203</v>
      </c>
      <c r="IWP16" s="314" t="s">
        <v>203</v>
      </c>
      <c r="IWQ16" s="314" t="s">
        <v>203</v>
      </c>
      <c r="IWR16" s="314" t="s">
        <v>203</v>
      </c>
      <c r="IWS16" s="314" t="s">
        <v>203</v>
      </c>
      <c r="IWT16" s="314" t="s">
        <v>203</v>
      </c>
      <c r="IWU16" s="314" t="s">
        <v>203</v>
      </c>
      <c r="IWV16" s="314" t="s">
        <v>203</v>
      </c>
      <c r="IWW16" s="314" t="s">
        <v>203</v>
      </c>
      <c r="IWX16" s="314" t="s">
        <v>203</v>
      </c>
      <c r="IWY16" s="314" t="s">
        <v>203</v>
      </c>
      <c r="IWZ16" s="314" t="s">
        <v>203</v>
      </c>
      <c r="IXA16" s="314" t="s">
        <v>203</v>
      </c>
      <c r="IXB16" s="314" t="s">
        <v>203</v>
      </c>
      <c r="IXC16" s="314" t="s">
        <v>203</v>
      </c>
      <c r="IXD16" s="314" t="s">
        <v>203</v>
      </c>
      <c r="IXE16" s="314" t="s">
        <v>203</v>
      </c>
      <c r="IXF16" s="314" t="s">
        <v>203</v>
      </c>
      <c r="IXG16" s="314" t="s">
        <v>203</v>
      </c>
      <c r="IXH16" s="314" t="s">
        <v>203</v>
      </c>
      <c r="IXI16" s="314" t="s">
        <v>203</v>
      </c>
      <c r="IXJ16" s="314" t="s">
        <v>203</v>
      </c>
      <c r="IXK16" s="314" t="s">
        <v>203</v>
      </c>
      <c r="IXL16" s="314" t="s">
        <v>203</v>
      </c>
      <c r="IXM16" s="314" t="s">
        <v>203</v>
      </c>
      <c r="IXN16" s="314" t="s">
        <v>203</v>
      </c>
      <c r="IXO16" s="314" t="s">
        <v>203</v>
      </c>
      <c r="IXP16" s="314" t="s">
        <v>203</v>
      </c>
      <c r="IXQ16" s="314" t="s">
        <v>203</v>
      </c>
      <c r="IXR16" s="314" t="s">
        <v>203</v>
      </c>
      <c r="IXS16" s="314" t="s">
        <v>203</v>
      </c>
      <c r="IXT16" s="314" t="s">
        <v>203</v>
      </c>
      <c r="IXU16" s="314" t="s">
        <v>203</v>
      </c>
      <c r="IXV16" s="314" t="s">
        <v>203</v>
      </c>
      <c r="IXW16" s="314" t="s">
        <v>203</v>
      </c>
      <c r="IXX16" s="314" t="s">
        <v>203</v>
      </c>
      <c r="IXY16" s="314" t="s">
        <v>203</v>
      </c>
      <c r="IXZ16" s="314" t="s">
        <v>203</v>
      </c>
      <c r="IYA16" s="314" t="s">
        <v>203</v>
      </c>
      <c r="IYB16" s="314" t="s">
        <v>203</v>
      </c>
      <c r="IYC16" s="314" t="s">
        <v>203</v>
      </c>
      <c r="IYD16" s="314" t="s">
        <v>203</v>
      </c>
      <c r="IYE16" s="314" t="s">
        <v>203</v>
      </c>
      <c r="IYF16" s="314" t="s">
        <v>203</v>
      </c>
      <c r="IYG16" s="314" t="s">
        <v>203</v>
      </c>
      <c r="IYH16" s="314" t="s">
        <v>203</v>
      </c>
      <c r="IYI16" s="314" t="s">
        <v>203</v>
      </c>
      <c r="IYJ16" s="314" t="s">
        <v>203</v>
      </c>
      <c r="IYK16" s="314" t="s">
        <v>203</v>
      </c>
      <c r="IYL16" s="314" t="s">
        <v>203</v>
      </c>
      <c r="IYM16" s="314" t="s">
        <v>203</v>
      </c>
      <c r="IYN16" s="314" t="s">
        <v>203</v>
      </c>
      <c r="IYO16" s="314" t="s">
        <v>203</v>
      </c>
      <c r="IYP16" s="314" t="s">
        <v>203</v>
      </c>
      <c r="IYQ16" s="314" t="s">
        <v>203</v>
      </c>
      <c r="IYR16" s="314" t="s">
        <v>203</v>
      </c>
      <c r="IYS16" s="314" t="s">
        <v>203</v>
      </c>
      <c r="IYT16" s="314" t="s">
        <v>203</v>
      </c>
      <c r="IYU16" s="314" t="s">
        <v>203</v>
      </c>
      <c r="IYV16" s="314" t="s">
        <v>203</v>
      </c>
      <c r="IYW16" s="314" t="s">
        <v>203</v>
      </c>
      <c r="IYX16" s="314" t="s">
        <v>203</v>
      </c>
      <c r="IYY16" s="314" t="s">
        <v>203</v>
      </c>
      <c r="IYZ16" s="314" t="s">
        <v>203</v>
      </c>
      <c r="IZA16" s="314" t="s">
        <v>203</v>
      </c>
      <c r="IZB16" s="314" t="s">
        <v>203</v>
      </c>
      <c r="IZC16" s="314" t="s">
        <v>203</v>
      </c>
      <c r="IZD16" s="314" t="s">
        <v>203</v>
      </c>
      <c r="IZE16" s="314" t="s">
        <v>203</v>
      </c>
      <c r="IZF16" s="314" t="s">
        <v>203</v>
      </c>
      <c r="IZG16" s="314" t="s">
        <v>203</v>
      </c>
      <c r="IZH16" s="314" t="s">
        <v>203</v>
      </c>
      <c r="IZI16" s="314" t="s">
        <v>203</v>
      </c>
      <c r="IZJ16" s="314" t="s">
        <v>203</v>
      </c>
      <c r="IZK16" s="314" t="s">
        <v>203</v>
      </c>
      <c r="IZL16" s="314" t="s">
        <v>203</v>
      </c>
      <c r="IZM16" s="314" t="s">
        <v>203</v>
      </c>
      <c r="IZN16" s="314" t="s">
        <v>203</v>
      </c>
      <c r="IZO16" s="314" t="s">
        <v>203</v>
      </c>
      <c r="IZP16" s="314" t="s">
        <v>203</v>
      </c>
      <c r="IZQ16" s="314" t="s">
        <v>203</v>
      </c>
      <c r="IZR16" s="314" t="s">
        <v>203</v>
      </c>
      <c r="IZS16" s="314" t="s">
        <v>203</v>
      </c>
      <c r="IZT16" s="314" t="s">
        <v>203</v>
      </c>
      <c r="IZU16" s="314" t="s">
        <v>203</v>
      </c>
      <c r="IZV16" s="314" t="s">
        <v>203</v>
      </c>
      <c r="IZW16" s="314" t="s">
        <v>203</v>
      </c>
      <c r="IZX16" s="314" t="s">
        <v>203</v>
      </c>
      <c r="IZY16" s="314" t="s">
        <v>203</v>
      </c>
      <c r="IZZ16" s="314" t="s">
        <v>203</v>
      </c>
      <c r="JAA16" s="314" t="s">
        <v>203</v>
      </c>
      <c r="JAB16" s="314" t="s">
        <v>203</v>
      </c>
      <c r="JAC16" s="314" t="s">
        <v>203</v>
      </c>
      <c r="JAD16" s="314" t="s">
        <v>203</v>
      </c>
      <c r="JAE16" s="314" t="s">
        <v>203</v>
      </c>
      <c r="JAF16" s="314" t="s">
        <v>203</v>
      </c>
      <c r="JAG16" s="314" t="s">
        <v>203</v>
      </c>
      <c r="JAH16" s="314" t="s">
        <v>203</v>
      </c>
      <c r="JAI16" s="314" t="s">
        <v>203</v>
      </c>
      <c r="JAJ16" s="314" t="s">
        <v>203</v>
      </c>
      <c r="JAK16" s="314" t="s">
        <v>203</v>
      </c>
      <c r="JAL16" s="314" t="s">
        <v>203</v>
      </c>
      <c r="JAM16" s="314" t="s">
        <v>203</v>
      </c>
      <c r="JAN16" s="314" t="s">
        <v>203</v>
      </c>
      <c r="JAO16" s="314" t="s">
        <v>203</v>
      </c>
      <c r="JAP16" s="314" t="s">
        <v>203</v>
      </c>
      <c r="JAQ16" s="314" t="s">
        <v>203</v>
      </c>
      <c r="JAR16" s="314" t="s">
        <v>203</v>
      </c>
      <c r="JAS16" s="314" t="s">
        <v>203</v>
      </c>
      <c r="JAT16" s="314" t="s">
        <v>203</v>
      </c>
      <c r="JAU16" s="314" t="s">
        <v>203</v>
      </c>
      <c r="JAV16" s="314" t="s">
        <v>203</v>
      </c>
      <c r="JAW16" s="314" t="s">
        <v>203</v>
      </c>
      <c r="JAX16" s="314" t="s">
        <v>203</v>
      </c>
      <c r="JAY16" s="314" t="s">
        <v>203</v>
      </c>
      <c r="JAZ16" s="314" t="s">
        <v>203</v>
      </c>
      <c r="JBA16" s="314" t="s">
        <v>203</v>
      </c>
      <c r="JBB16" s="314" t="s">
        <v>203</v>
      </c>
      <c r="JBC16" s="314" t="s">
        <v>203</v>
      </c>
      <c r="JBD16" s="314" t="s">
        <v>203</v>
      </c>
      <c r="JBE16" s="314" t="s">
        <v>203</v>
      </c>
      <c r="JBF16" s="314" t="s">
        <v>203</v>
      </c>
      <c r="JBG16" s="314" t="s">
        <v>203</v>
      </c>
      <c r="JBH16" s="314" t="s">
        <v>203</v>
      </c>
      <c r="JBI16" s="314" t="s">
        <v>203</v>
      </c>
      <c r="JBJ16" s="314" t="s">
        <v>203</v>
      </c>
      <c r="JBK16" s="314" t="s">
        <v>203</v>
      </c>
      <c r="JBL16" s="314" t="s">
        <v>203</v>
      </c>
      <c r="JBM16" s="314" t="s">
        <v>203</v>
      </c>
      <c r="JBN16" s="314" t="s">
        <v>203</v>
      </c>
      <c r="JBO16" s="314" t="s">
        <v>203</v>
      </c>
      <c r="JBP16" s="314" t="s">
        <v>203</v>
      </c>
      <c r="JBQ16" s="314" t="s">
        <v>203</v>
      </c>
      <c r="JBR16" s="314" t="s">
        <v>203</v>
      </c>
      <c r="JBS16" s="314" t="s">
        <v>203</v>
      </c>
      <c r="JBT16" s="314" t="s">
        <v>203</v>
      </c>
      <c r="JBU16" s="314" t="s">
        <v>203</v>
      </c>
      <c r="JBV16" s="314" t="s">
        <v>203</v>
      </c>
      <c r="JBW16" s="314" t="s">
        <v>203</v>
      </c>
      <c r="JBX16" s="314" t="s">
        <v>203</v>
      </c>
      <c r="JBY16" s="314" t="s">
        <v>203</v>
      </c>
      <c r="JBZ16" s="314" t="s">
        <v>203</v>
      </c>
      <c r="JCA16" s="314" t="s">
        <v>203</v>
      </c>
      <c r="JCB16" s="314" t="s">
        <v>203</v>
      </c>
      <c r="JCC16" s="314" t="s">
        <v>203</v>
      </c>
      <c r="JCD16" s="314" t="s">
        <v>203</v>
      </c>
      <c r="JCE16" s="314" t="s">
        <v>203</v>
      </c>
      <c r="JCF16" s="314" t="s">
        <v>203</v>
      </c>
      <c r="JCG16" s="314" t="s">
        <v>203</v>
      </c>
      <c r="JCH16" s="314" t="s">
        <v>203</v>
      </c>
      <c r="JCI16" s="314" t="s">
        <v>203</v>
      </c>
      <c r="JCJ16" s="314" t="s">
        <v>203</v>
      </c>
      <c r="JCK16" s="314" t="s">
        <v>203</v>
      </c>
      <c r="JCL16" s="314" t="s">
        <v>203</v>
      </c>
      <c r="JCM16" s="314" t="s">
        <v>203</v>
      </c>
      <c r="JCN16" s="314" t="s">
        <v>203</v>
      </c>
      <c r="JCO16" s="314" t="s">
        <v>203</v>
      </c>
      <c r="JCP16" s="314" t="s">
        <v>203</v>
      </c>
      <c r="JCQ16" s="314" t="s">
        <v>203</v>
      </c>
      <c r="JCR16" s="314" t="s">
        <v>203</v>
      </c>
      <c r="JCS16" s="314" t="s">
        <v>203</v>
      </c>
      <c r="JCT16" s="314" t="s">
        <v>203</v>
      </c>
      <c r="JCU16" s="314" t="s">
        <v>203</v>
      </c>
      <c r="JCV16" s="314" t="s">
        <v>203</v>
      </c>
      <c r="JCW16" s="314" t="s">
        <v>203</v>
      </c>
      <c r="JCX16" s="314" t="s">
        <v>203</v>
      </c>
      <c r="JCY16" s="314" t="s">
        <v>203</v>
      </c>
      <c r="JCZ16" s="314" t="s">
        <v>203</v>
      </c>
      <c r="JDA16" s="314" t="s">
        <v>203</v>
      </c>
      <c r="JDB16" s="314" t="s">
        <v>203</v>
      </c>
      <c r="JDC16" s="314" t="s">
        <v>203</v>
      </c>
      <c r="JDD16" s="314" t="s">
        <v>203</v>
      </c>
      <c r="JDE16" s="314" t="s">
        <v>203</v>
      </c>
      <c r="JDF16" s="314" t="s">
        <v>203</v>
      </c>
      <c r="JDG16" s="314" t="s">
        <v>203</v>
      </c>
      <c r="JDH16" s="314" t="s">
        <v>203</v>
      </c>
      <c r="JDI16" s="314" t="s">
        <v>203</v>
      </c>
      <c r="JDJ16" s="314" t="s">
        <v>203</v>
      </c>
      <c r="JDK16" s="314" t="s">
        <v>203</v>
      </c>
      <c r="JDL16" s="314" t="s">
        <v>203</v>
      </c>
      <c r="JDM16" s="314" t="s">
        <v>203</v>
      </c>
      <c r="JDN16" s="314" t="s">
        <v>203</v>
      </c>
      <c r="JDO16" s="314" t="s">
        <v>203</v>
      </c>
      <c r="JDP16" s="314" t="s">
        <v>203</v>
      </c>
      <c r="JDQ16" s="314" t="s">
        <v>203</v>
      </c>
      <c r="JDR16" s="314" t="s">
        <v>203</v>
      </c>
      <c r="JDS16" s="314" t="s">
        <v>203</v>
      </c>
      <c r="JDT16" s="314" t="s">
        <v>203</v>
      </c>
      <c r="JDU16" s="314" t="s">
        <v>203</v>
      </c>
      <c r="JDV16" s="314" t="s">
        <v>203</v>
      </c>
      <c r="JDW16" s="314" t="s">
        <v>203</v>
      </c>
      <c r="JDX16" s="314" t="s">
        <v>203</v>
      </c>
      <c r="JDY16" s="314" t="s">
        <v>203</v>
      </c>
      <c r="JDZ16" s="314" t="s">
        <v>203</v>
      </c>
      <c r="JEA16" s="314" t="s">
        <v>203</v>
      </c>
      <c r="JEB16" s="314" t="s">
        <v>203</v>
      </c>
      <c r="JEC16" s="314" t="s">
        <v>203</v>
      </c>
      <c r="JED16" s="314" t="s">
        <v>203</v>
      </c>
      <c r="JEE16" s="314" t="s">
        <v>203</v>
      </c>
      <c r="JEF16" s="314" t="s">
        <v>203</v>
      </c>
      <c r="JEG16" s="314" t="s">
        <v>203</v>
      </c>
      <c r="JEH16" s="314" t="s">
        <v>203</v>
      </c>
      <c r="JEI16" s="314" t="s">
        <v>203</v>
      </c>
      <c r="JEJ16" s="314" t="s">
        <v>203</v>
      </c>
      <c r="JEK16" s="314" t="s">
        <v>203</v>
      </c>
      <c r="JEL16" s="314" t="s">
        <v>203</v>
      </c>
      <c r="JEM16" s="314" t="s">
        <v>203</v>
      </c>
      <c r="JEN16" s="314" t="s">
        <v>203</v>
      </c>
      <c r="JEO16" s="314" t="s">
        <v>203</v>
      </c>
      <c r="JEP16" s="314" t="s">
        <v>203</v>
      </c>
      <c r="JEQ16" s="314" t="s">
        <v>203</v>
      </c>
      <c r="JER16" s="314" t="s">
        <v>203</v>
      </c>
      <c r="JES16" s="314" t="s">
        <v>203</v>
      </c>
      <c r="JET16" s="314" t="s">
        <v>203</v>
      </c>
      <c r="JEU16" s="314" t="s">
        <v>203</v>
      </c>
      <c r="JEV16" s="314" t="s">
        <v>203</v>
      </c>
      <c r="JEW16" s="314" t="s">
        <v>203</v>
      </c>
      <c r="JEX16" s="314" t="s">
        <v>203</v>
      </c>
      <c r="JEY16" s="314" t="s">
        <v>203</v>
      </c>
      <c r="JEZ16" s="314" t="s">
        <v>203</v>
      </c>
      <c r="JFA16" s="314" t="s">
        <v>203</v>
      </c>
      <c r="JFB16" s="314" t="s">
        <v>203</v>
      </c>
      <c r="JFC16" s="314" t="s">
        <v>203</v>
      </c>
      <c r="JFD16" s="314" t="s">
        <v>203</v>
      </c>
      <c r="JFE16" s="314" t="s">
        <v>203</v>
      </c>
      <c r="JFF16" s="314" t="s">
        <v>203</v>
      </c>
      <c r="JFG16" s="314" t="s">
        <v>203</v>
      </c>
      <c r="JFH16" s="314" t="s">
        <v>203</v>
      </c>
      <c r="JFI16" s="314" t="s">
        <v>203</v>
      </c>
      <c r="JFJ16" s="314" t="s">
        <v>203</v>
      </c>
      <c r="JFK16" s="314" t="s">
        <v>203</v>
      </c>
      <c r="JFL16" s="314" t="s">
        <v>203</v>
      </c>
      <c r="JFM16" s="314" t="s">
        <v>203</v>
      </c>
      <c r="JFN16" s="314" t="s">
        <v>203</v>
      </c>
      <c r="JFO16" s="314" t="s">
        <v>203</v>
      </c>
      <c r="JFP16" s="314" t="s">
        <v>203</v>
      </c>
      <c r="JFQ16" s="314" t="s">
        <v>203</v>
      </c>
      <c r="JFR16" s="314" t="s">
        <v>203</v>
      </c>
      <c r="JFS16" s="314" t="s">
        <v>203</v>
      </c>
      <c r="JFT16" s="314" t="s">
        <v>203</v>
      </c>
      <c r="JFU16" s="314" t="s">
        <v>203</v>
      </c>
      <c r="JFV16" s="314" t="s">
        <v>203</v>
      </c>
      <c r="JFW16" s="314" t="s">
        <v>203</v>
      </c>
      <c r="JFX16" s="314" t="s">
        <v>203</v>
      </c>
      <c r="JFY16" s="314" t="s">
        <v>203</v>
      </c>
      <c r="JFZ16" s="314" t="s">
        <v>203</v>
      </c>
      <c r="JGA16" s="314" t="s">
        <v>203</v>
      </c>
      <c r="JGB16" s="314" t="s">
        <v>203</v>
      </c>
      <c r="JGC16" s="314" t="s">
        <v>203</v>
      </c>
      <c r="JGD16" s="314" t="s">
        <v>203</v>
      </c>
      <c r="JGE16" s="314" t="s">
        <v>203</v>
      </c>
      <c r="JGF16" s="314" t="s">
        <v>203</v>
      </c>
      <c r="JGG16" s="314" t="s">
        <v>203</v>
      </c>
      <c r="JGH16" s="314" t="s">
        <v>203</v>
      </c>
      <c r="JGI16" s="314" t="s">
        <v>203</v>
      </c>
      <c r="JGJ16" s="314" t="s">
        <v>203</v>
      </c>
      <c r="JGK16" s="314" t="s">
        <v>203</v>
      </c>
      <c r="JGL16" s="314" t="s">
        <v>203</v>
      </c>
      <c r="JGM16" s="314" t="s">
        <v>203</v>
      </c>
      <c r="JGN16" s="314" t="s">
        <v>203</v>
      </c>
      <c r="JGO16" s="314" t="s">
        <v>203</v>
      </c>
      <c r="JGP16" s="314" t="s">
        <v>203</v>
      </c>
      <c r="JGQ16" s="314" t="s">
        <v>203</v>
      </c>
      <c r="JGR16" s="314" t="s">
        <v>203</v>
      </c>
      <c r="JGS16" s="314" t="s">
        <v>203</v>
      </c>
      <c r="JGT16" s="314" t="s">
        <v>203</v>
      </c>
      <c r="JGU16" s="314" t="s">
        <v>203</v>
      </c>
      <c r="JGV16" s="314" t="s">
        <v>203</v>
      </c>
      <c r="JGW16" s="314" t="s">
        <v>203</v>
      </c>
      <c r="JGX16" s="314" t="s">
        <v>203</v>
      </c>
      <c r="JGY16" s="314" t="s">
        <v>203</v>
      </c>
      <c r="JGZ16" s="314" t="s">
        <v>203</v>
      </c>
      <c r="JHA16" s="314" t="s">
        <v>203</v>
      </c>
      <c r="JHB16" s="314" t="s">
        <v>203</v>
      </c>
      <c r="JHC16" s="314" t="s">
        <v>203</v>
      </c>
      <c r="JHD16" s="314" t="s">
        <v>203</v>
      </c>
      <c r="JHE16" s="314" t="s">
        <v>203</v>
      </c>
      <c r="JHF16" s="314" t="s">
        <v>203</v>
      </c>
      <c r="JHG16" s="314" t="s">
        <v>203</v>
      </c>
      <c r="JHH16" s="314" t="s">
        <v>203</v>
      </c>
      <c r="JHI16" s="314" t="s">
        <v>203</v>
      </c>
      <c r="JHJ16" s="314" t="s">
        <v>203</v>
      </c>
      <c r="JHK16" s="314" t="s">
        <v>203</v>
      </c>
      <c r="JHL16" s="314" t="s">
        <v>203</v>
      </c>
      <c r="JHM16" s="314" t="s">
        <v>203</v>
      </c>
      <c r="JHN16" s="314" t="s">
        <v>203</v>
      </c>
      <c r="JHO16" s="314" t="s">
        <v>203</v>
      </c>
      <c r="JHP16" s="314" t="s">
        <v>203</v>
      </c>
      <c r="JHQ16" s="314" t="s">
        <v>203</v>
      </c>
      <c r="JHR16" s="314" t="s">
        <v>203</v>
      </c>
      <c r="JHS16" s="314" t="s">
        <v>203</v>
      </c>
      <c r="JHT16" s="314" t="s">
        <v>203</v>
      </c>
      <c r="JHU16" s="314" t="s">
        <v>203</v>
      </c>
      <c r="JHV16" s="314" t="s">
        <v>203</v>
      </c>
      <c r="JHW16" s="314" t="s">
        <v>203</v>
      </c>
      <c r="JHX16" s="314" t="s">
        <v>203</v>
      </c>
      <c r="JHY16" s="314" t="s">
        <v>203</v>
      </c>
      <c r="JHZ16" s="314" t="s">
        <v>203</v>
      </c>
      <c r="JIA16" s="314" t="s">
        <v>203</v>
      </c>
      <c r="JIB16" s="314" t="s">
        <v>203</v>
      </c>
      <c r="JIC16" s="314" t="s">
        <v>203</v>
      </c>
      <c r="JID16" s="314" t="s">
        <v>203</v>
      </c>
      <c r="JIE16" s="314" t="s">
        <v>203</v>
      </c>
      <c r="JIF16" s="314" t="s">
        <v>203</v>
      </c>
      <c r="JIG16" s="314" t="s">
        <v>203</v>
      </c>
      <c r="JIH16" s="314" t="s">
        <v>203</v>
      </c>
      <c r="JII16" s="314" t="s">
        <v>203</v>
      </c>
      <c r="JIJ16" s="314" t="s">
        <v>203</v>
      </c>
      <c r="JIK16" s="314" t="s">
        <v>203</v>
      </c>
      <c r="JIL16" s="314" t="s">
        <v>203</v>
      </c>
      <c r="JIM16" s="314" t="s">
        <v>203</v>
      </c>
      <c r="JIN16" s="314" t="s">
        <v>203</v>
      </c>
      <c r="JIO16" s="314" t="s">
        <v>203</v>
      </c>
      <c r="JIP16" s="314" t="s">
        <v>203</v>
      </c>
      <c r="JIQ16" s="314" t="s">
        <v>203</v>
      </c>
      <c r="JIR16" s="314" t="s">
        <v>203</v>
      </c>
      <c r="JIS16" s="314" t="s">
        <v>203</v>
      </c>
      <c r="JIT16" s="314" t="s">
        <v>203</v>
      </c>
      <c r="JIU16" s="314" t="s">
        <v>203</v>
      </c>
      <c r="JIV16" s="314" t="s">
        <v>203</v>
      </c>
      <c r="JIW16" s="314" t="s">
        <v>203</v>
      </c>
      <c r="JIX16" s="314" t="s">
        <v>203</v>
      </c>
      <c r="JIY16" s="314" t="s">
        <v>203</v>
      </c>
      <c r="JIZ16" s="314" t="s">
        <v>203</v>
      </c>
      <c r="JJA16" s="314" t="s">
        <v>203</v>
      </c>
      <c r="JJB16" s="314" t="s">
        <v>203</v>
      </c>
      <c r="JJC16" s="314" t="s">
        <v>203</v>
      </c>
      <c r="JJD16" s="314" t="s">
        <v>203</v>
      </c>
      <c r="JJE16" s="314" t="s">
        <v>203</v>
      </c>
      <c r="JJF16" s="314" t="s">
        <v>203</v>
      </c>
      <c r="JJG16" s="314" t="s">
        <v>203</v>
      </c>
      <c r="JJH16" s="314" t="s">
        <v>203</v>
      </c>
      <c r="JJI16" s="314" t="s">
        <v>203</v>
      </c>
      <c r="JJJ16" s="314" t="s">
        <v>203</v>
      </c>
      <c r="JJK16" s="314" t="s">
        <v>203</v>
      </c>
      <c r="JJL16" s="314" t="s">
        <v>203</v>
      </c>
      <c r="JJM16" s="314" t="s">
        <v>203</v>
      </c>
      <c r="JJN16" s="314" t="s">
        <v>203</v>
      </c>
      <c r="JJO16" s="314" t="s">
        <v>203</v>
      </c>
      <c r="JJP16" s="314" t="s">
        <v>203</v>
      </c>
      <c r="JJQ16" s="314" t="s">
        <v>203</v>
      </c>
      <c r="JJR16" s="314" t="s">
        <v>203</v>
      </c>
      <c r="JJS16" s="314" t="s">
        <v>203</v>
      </c>
      <c r="JJT16" s="314" t="s">
        <v>203</v>
      </c>
      <c r="JJU16" s="314" t="s">
        <v>203</v>
      </c>
      <c r="JJV16" s="314" t="s">
        <v>203</v>
      </c>
      <c r="JJW16" s="314" t="s">
        <v>203</v>
      </c>
      <c r="JJX16" s="314" t="s">
        <v>203</v>
      </c>
      <c r="JJY16" s="314" t="s">
        <v>203</v>
      </c>
      <c r="JJZ16" s="314" t="s">
        <v>203</v>
      </c>
      <c r="JKA16" s="314" t="s">
        <v>203</v>
      </c>
      <c r="JKB16" s="314" t="s">
        <v>203</v>
      </c>
      <c r="JKC16" s="314" t="s">
        <v>203</v>
      </c>
      <c r="JKD16" s="314" t="s">
        <v>203</v>
      </c>
      <c r="JKE16" s="314" t="s">
        <v>203</v>
      </c>
      <c r="JKF16" s="314" t="s">
        <v>203</v>
      </c>
      <c r="JKG16" s="314" t="s">
        <v>203</v>
      </c>
      <c r="JKH16" s="314" t="s">
        <v>203</v>
      </c>
      <c r="JKI16" s="314" t="s">
        <v>203</v>
      </c>
      <c r="JKJ16" s="314" t="s">
        <v>203</v>
      </c>
      <c r="JKK16" s="314" t="s">
        <v>203</v>
      </c>
      <c r="JKL16" s="314" t="s">
        <v>203</v>
      </c>
      <c r="JKM16" s="314" t="s">
        <v>203</v>
      </c>
      <c r="JKN16" s="314" t="s">
        <v>203</v>
      </c>
      <c r="JKO16" s="314" t="s">
        <v>203</v>
      </c>
      <c r="JKP16" s="314" t="s">
        <v>203</v>
      </c>
      <c r="JKQ16" s="314" t="s">
        <v>203</v>
      </c>
      <c r="JKR16" s="314" t="s">
        <v>203</v>
      </c>
      <c r="JKS16" s="314" t="s">
        <v>203</v>
      </c>
      <c r="JKT16" s="314" t="s">
        <v>203</v>
      </c>
      <c r="JKU16" s="314" t="s">
        <v>203</v>
      </c>
      <c r="JKV16" s="314" t="s">
        <v>203</v>
      </c>
      <c r="JKW16" s="314" t="s">
        <v>203</v>
      </c>
      <c r="JKX16" s="314" t="s">
        <v>203</v>
      </c>
      <c r="JKY16" s="314" t="s">
        <v>203</v>
      </c>
      <c r="JKZ16" s="314" t="s">
        <v>203</v>
      </c>
      <c r="JLA16" s="314" t="s">
        <v>203</v>
      </c>
      <c r="JLB16" s="314" t="s">
        <v>203</v>
      </c>
      <c r="JLC16" s="314" t="s">
        <v>203</v>
      </c>
      <c r="JLD16" s="314" t="s">
        <v>203</v>
      </c>
      <c r="JLE16" s="314" t="s">
        <v>203</v>
      </c>
      <c r="JLF16" s="314" t="s">
        <v>203</v>
      </c>
      <c r="JLG16" s="314" t="s">
        <v>203</v>
      </c>
      <c r="JLH16" s="314" t="s">
        <v>203</v>
      </c>
      <c r="JLI16" s="314" t="s">
        <v>203</v>
      </c>
      <c r="JLJ16" s="314" t="s">
        <v>203</v>
      </c>
      <c r="JLK16" s="314" t="s">
        <v>203</v>
      </c>
      <c r="JLL16" s="314" t="s">
        <v>203</v>
      </c>
      <c r="JLM16" s="314" t="s">
        <v>203</v>
      </c>
      <c r="JLN16" s="314" t="s">
        <v>203</v>
      </c>
      <c r="JLO16" s="314" t="s">
        <v>203</v>
      </c>
      <c r="JLP16" s="314" t="s">
        <v>203</v>
      </c>
      <c r="JLQ16" s="314" t="s">
        <v>203</v>
      </c>
      <c r="JLR16" s="314" t="s">
        <v>203</v>
      </c>
      <c r="JLS16" s="314" t="s">
        <v>203</v>
      </c>
      <c r="JLT16" s="314" t="s">
        <v>203</v>
      </c>
      <c r="JLU16" s="314" t="s">
        <v>203</v>
      </c>
      <c r="JLV16" s="314" t="s">
        <v>203</v>
      </c>
      <c r="JLW16" s="314" t="s">
        <v>203</v>
      </c>
      <c r="JLX16" s="314" t="s">
        <v>203</v>
      </c>
      <c r="JLY16" s="314" t="s">
        <v>203</v>
      </c>
      <c r="JLZ16" s="314" t="s">
        <v>203</v>
      </c>
      <c r="JMA16" s="314" t="s">
        <v>203</v>
      </c>
      <c r="JMB16" s="314" t="s">
        <v>203</v>
      </c>
      <c r="JMC16" s="314" t="s">
        <v>203</v>
      </c>
      <c r="JMD16" s="314" t="s">
        <v>203</v>
      </c>
      <c r="JME16" s="314" t="s">
        <v>203</v>
      </c>
      <c r="JMF16" s="314" t="s">
        <v>203</v>
      </c>
      <c r="JMG16" s="314" t="s">
        <v>203</v>
      </c>
      <c r="JMH16" s="314" t="s">
        <v>203</v>
      </c>
      <c r="JMI16" s="314" t="s">
        <v>203</v>
      </c>
      <c r="JMJ16" s="314" t="s">
        <v>203</v>
      </c>
      <c r="JMK16" s="314" t="s">
        <v>203</v>
      </c>
      <c r="JML16" s="314" t="s">
        <v>203</v>
      </c>
      <c r="JMM16" s="314" t="s">
        <v>203</v>
      </c>
      <c r="JMN16" s="314" t="s">
        <v>203</v>
      </c>
      <c r="JMO16" s="314" t="s">
        <v>203</v>
      </c>
      <c r="JMP16" s="314" t="s">
        <v>203</v>
      </c>
      <c r="JMQ16" s="314" t="s">
        <v>203</v>
      </c>
      <c r="JMR16" s="314" t="s">
        <v>203</v>
      </c>
      <c r="JMS16" s="314" t="s">
        <v>203</v>
      </c>
      <c r="JMT16" s="314" t="s">
        <v>203</v>
      </c>
      <c r="JMU16" s="314" t="s">
        <v>203</v>
      </c>
      <c r="JMV16" s="314" t="s">
        <v>203</v>
      </c>
      <c r="JMW16" s="314" t="s">
        <v>203</v>
      </c>
      <c r="JMX16" s="314" t="s">
        <v>203</v>
      </c>
      <c r="JMY16" s="314" t="s">
        <v>203</v>
      </c>
      <c r="JMZ16" s="314" t="s">
        <v>203</v>
      </c>
      <c r="JNA16" s="314" t="s">
        <v>203</v>
      </c>
      <c r="JNB16" s="314" t="s">
        <v>203</v>
      </c>
      <c r="JNC16" s="314" t="s">
        <v>203</v>
      </c>
      <c r="JND16" s="314" t="s">
        <v>203</v>
      </c>
      <c r="JNE16" s="314" t="s">
        <v>203</v>
      </c>
      <c r="JNF16" s="314" t="s">
        <v>203</v>
      </c>
      <c r="JNG16" s="314" t="s">
        <v>203</v>
      </c>
      <c r="JNH16" s="314" t="s">
        <v>203</v>
      </c>
      <c r="JNI16" s="314" t="s">
        <v>203</v>
      </c>
      <c r="JNJ16" s="314" t="s">
        <v>203</v>
      </c>
      <c r="JNK16" s="314" t="s">
        <v>203</v>
      </c>
      <c r="JNL16" s="314" t="s">
        <v>203</v>
      </c>
      <c r="JNM16" s="314" t="s">
        <v>203</v>
      </c>
      <c r="JNN16" s="314" t="s">
        <v>203</v>
      </c>
      <c r="JNO16" s="314" t="s">
        <v>203</v>
      </c>
      <c r="JNP16" s="314" t="s">
        <v>203</v>
      </c>
      <c r="JNQ16" s="314" t="s">
        <v>203</v>
      </c>
      <c r="JNR16" s="314" t="s">
        <v>203</v>
      </c>
      <c r="JNS16" s="314" t="s">
        <v>203</v>
      </c>
      <c r="JNT16" s="314" t="s">
        <v>203</v>
      </c>
      <c r="JNU16" s="314" t="s">
        <v>203</v>
      </c>
      <c r="JNV16" s="314" t="s">
        <v>203</v>
      </c>
      <c r="JNW16" s="314" t="s">
        <v>203</v>
      </c>
      <c r="JNX16" s="314" t="s">
        <v>203</v>
      </c>
      <c r="JNY16" s="314" t="s">
        <v>203</v>
      </c>
      <c r="JNZ16" s="314" t="s">
        <v>203</v>
      </c>
      <c r="JOA16" s="314" t="s">
        <v>203</v>
      </c>
      <c r="JOB16" s="314" t="s">
        <v>203</v>
      </c>
      <c r="JOC16" s="314" t="s">
        <v>203</v>
      </c>
      <c r="JOD16" s="314" t="s">
        <v>203</v>
      </c>
      <c r="JOE16" s="314" t="s">
        <v>203</v>
      </c>
      <c r="JOF16" s="314" t="s">
        <v>203</v>
      </c>
      <c r="JOG16" s="314" t="s">
        <v>203</v>
      </c>
      <c r="JOH16" s="314" t="s">
        <v>203</v>
      </c>
      <c r="JOI16" s="314" t="s">
        <v>203</v>
      </c>
      <c r="JOJ16" s="314" t="s">
        <v>203</v>
      </c>
      <c r="JOK16" s="314" t="s">
        <v>203</v>
      </c>
      <c r="JOL16" s="314" t="s">
        <v>203</v>
      </c>
      <c r="JOM16" s="314" t="s">
        <v>203</v>
      </c>
      <c r="JON16" s="314" t="s">
        <v>203</v>
      </c>
      <c r="JOO16" s="314" t="s">
        <v>203</v>
      </c>
      <c r="JOP16" s="314" t="s">
        <v>203</v>
      </c>
      <c r="JOQ16" s="314" t="s">
        <v>203</v>
      </c>
      <c r="JOR16" s="314" t="s">
        <v>203</v>
      </c>
      <c r="JOS16" s="314" t="s">
        <v>203</v>
      </c>
      <c r="JOT16" s="314" t="s">
        <v>203</v>
      </c>
      <c r="JOU16" s="314" t="s">
        <v>203</v>
      </c>
      <c r="JOV16" s="314" t="s">
        <v>203</v>
      </c>
      <c r="JOW16" s="314" t="s">
        <v>203</v>
      </c>
      <c r="JOX16" s="314" t="s">
        <v>203</v>
      </c>
      <c r="JOY16" s="314" t="s">
        <v>203</v>
      </c>
      <c r="JOZ16" s="314" t="s">
        <v>203</v>
      </c>
      <c r="JPA16" s="314" t="s">
        <v>203</v>
      </c>
      <c r="JPB16" s="314" t="s">
        <v>203</v>
      </c>
      <c r="JPC16" s="314" t="s">
        <v>203</v>
      </c>
      <c r="JPD16" s="314" t="s">
        <v>203</v>
      </c>
      <c r="JPE16" s="314" t="s">
        <v>203</v>
      </c>
      <c r="JPF16" s="314" t="s">
        <v>203</v>
      </c>
      <c r="JPG16" s="314" t="s">
        <v>203</v>
      </c>
      <c r="JPH16" s="314" t="s">
        <v>203</v>
      </c>
      <c r="JPI16" s="314" t="s">
        <v>203</v>
      </c>
      <c r="JPJ16" s="314" t="s">
        <v>203</v>
      </c>
      <c r="JPK16" s="314" t="s">
        <v>203</v>
      </c>
      <c r="JPL16" s="314" t="s">
        <v>203</v>
      </c>
      <c r="JPM16" s="314" t="s">
        <v>203</v>
      </c>
      <c r="JPN16" s="314" t="s">
        <v>203</v>
      </c>
      <c r="JPO16" s="314" t="s">
        <v>203</v>
      </c>
      <c r="JPP16" s="314" t="s">
        <v>203</v>
      </c>
      <c r="JPQ16" s="314" t="s">
        <v>203</v>
      </c>
      <c r="JPR16" s="314" t="s">
        <v>203</v>
      </c>
      <c r="JPS16" s="314" t="s">
        <v>203</v>
      </c>
      <c r="JPT16" s="314" t="s">
        <v>203</v>
      </c>
      <c r="JPU16" s="314" t="s">
        <v>203</v>
      </c>
      <c r="JPV16" s="314" t="s">
        <v>203</v>
      </c>
      <c r="JPW16" s="314" t="s">
        <v>203</v>
      </c>
      <c r="JPX16" s="314" t="s">
        <v>203</v>
      </c>
      <c r="JPY16" s="314" t="s">
        <v>203</v>
      </c>
      <c r="JPZ16" s="314" t="s">
        <v>203</v>
      </c>
      <c r="JQA16" s="314" t="s">
        <v>203</v>
      </c>
      <c r="JQB16" s="314" t="s">
        <v>203</v>
      </c>
      <c r="JQC16" s="314" t="s">
        <v>203</v>
      </c>
      <c r="JQD16" s="314" t="s">
        <v>203</v>
      </c>
      <c r="JQE16" s="314" t="s">
        <v>203</v>
      </c>
      <c r="JQF16" s="314" t="s">
        <v>203</v>
      </c>
      <c r="JQG16" s="314" t="s">
        <v>203</v>
      </c>
      <c r="JQH16" s="314" t="s">
        <v>203</v>
      </c>
      <c r="JQI16" s="314" t="s">
        <v>203</v>
      </c>
      <c r="JQJ16" s="314" t="s">
        <v>203</v>
      </c>
      <c r="JQK16" s="314" t="s">
        <v>203</v>
      </c>
      <c r="JQL16" s="314" t="s">
        <v>203</v>
      </c>
      <c r="JQM16" s="314" t="s">
        <v>203</v>
      </c>
      <c r="JQN16" s="314" t="s">
        <v>203</v>
      </c>
      <c r="JQO16" s="314" t="s">
        <v>203</v>
      </c>
      <c r="JQP16" s="314" t="s">
        <v>203</v>
      </c>
      <c r="JQQ16" s="314" t="s">
        <v>203</v>
      </c>
      <c r="JQR16" s="314" t="s">
        <v>203</v>
      </c>
      <c r="JQS16" s="314" t="s">
        <v>203</v>
      </c>
      <c r="JQT16" s="314" t="s">
        <v>203</v>
      </c>
      <c r="JQU16" s="314" t="s">
        <v>203</v>
      </c>
      <c r="JQV16" s="314" t="s">
        <v>203</v>
      </c>
      <c r="JQW16" s="314" t="s">
        <v>203</v>
      </c>
      <c r="JQX16" s="314" t="s">
        <v>203</v>
      </c>
      <c r="JQY16" s="314" t="s">
        <v>203</v>
      </c>
      <c r="JQZ16" s="314" t="s">
        <v>203</v>
      </c>
      <c r="JRA16" s="314" t="s">
        <v>203</v>
      </c>
      <c r="JRB16" s="314" t="s">
        <v>203</v>
      </c>
      <c r="JRC16" s="314" t="s">
        <v>203</v>
      </c>
      <c r="JRD16" s="314" t="s">
        <v>203</v>
      </c>
      <c r="JRE16" s="314" t="s">
        <v>203</v>
      </c>
      <c r="JRF16" s="314" t="s">
        <v>203</v>
      </c>
      <c r="JRG16" s="314" t="s">
        <v>203</v>
      </c>
      <c r="JRH16" s="314" t="s">
        <v>203</v>
      </c>
      <c r="JRI16" s="314" t="s">
        <v>203</v>
      </c>
      <c r="JRJ16" s="314" t="s">
        <v>203</v>
      </c>
      <c r="JRK16" s="314" t="s">
        <v>203</v>
      </c>
      <c r="JRL16" s="314" t="s">
        <v>203</v>
      </c>
      <c r="JRM16" s="314" t="s">
        <v>203</v>
      </c>
      <c r="JRN16" s="314" t="s">
        <v>203</v>
      </c>
      <c r="JRO16" s="314" t="s">
        <v>203</v>
      </c>
      <c r="JRP16" s="314" t="s">
        <v>203</v>
      </c>
      <c r="JRQ16" s="314" t="s">
        <v>203</v>
      </c>
      <c r="JRR16" s="314" t="s">
        <v>203</v>
      </c>
      <c r="JRS16" s="314" t="s">
        <v>203</v>
      </c>
      <c r="JRT16" s="314" t="s">
        <v>203</v>
      </c>
      <c r="JRU16" s="314" t="s">
        <v>203</v>
      </c>
      <c r="JRV16" s="314" t="s">
        <v>203</v>
      </c>
      <c r="JRW16" s="314" t="s">
        <v>203</v>
      </c>
      <c r="JRX16" s="314" t="s">
        <v>203</v>
      </c>
      <c r="JRY16" s="314" t="s">
        <v>203</v>
      </c>
      <c r="JRZ16" s="314" t="s">
        <v>203</v>
      </c>
      <c r="JSA16" s="314" t="s">
        <v>203</v>
      </c>
      <c r="JSB16" s="314" t="s">
        <v>203</v>
      </c>
      <c r="JSC16" s="314" t="s">
        <v>203</v>
      </c>
      <c r="JSD16" s="314" t="s">
        <v>203</v>
      </c>
      <c r="JSE16" s="314" t="s">
        <v>203</v>
      </c>
      <c r="JSF16" s="314" t="s">
        <v>203</v>
      </c>
      <c r="JSG16" s="314" t="s">
        <v>203</v>
      </c>
      <c r="JSH16" s="314" t="s">
        <v>203</v>
      </c>
      <c r="JSI16" s="314" t="s">
        <v>203</v>
      </c>
      <c r="JSJ16" s="314" t="s">
        <v>203</v>
      </c>
      <c r="JSK16" s="314" t="s">
        <v>203</v>
      </c>
      <c r="JSL16" s="314" t="s">
        <v>203</v>
      </c>
      <c r="JSM16" s="314" t="s">
        <v>203</v>
      </c>
      <c r="JSN16" s="314" t="s">
        <v>203</v>
      </c>
      <c r="JSO16" s="314" t="s">
        <v>203</v>
      </c>
      <c r="JSP16" s="314" t="s">
        <v>203</v>
      </c>
      <c r="JSQ16" s="314" t="s">
        <v>203</v>
      </c>
      <c r="JSR16" s="314" t="s">
        <v>203</v>
      </c>
      <c r="JSS16" s="314" t="s">
        <v>203</v>
      </c>
      <c r="JST16" s="314" t="s">
        <v>203</v>
      </c>
      <c r="JSU16" s="314" t="s">
        <v>203</v>
      </c>
      <c r="JSV16" s="314" t="s">
        <v>203</v>
      </c>
      <c r="JSW16" s="314" t="s">
        <v>203</v>
      </c>
      <c r="JSX16" s="314" t="s">
        <v>203</v>
      </c>
      <c r="JSY16" s="314" t="s">
        <v>203</v>
      </c>
      <c r="JSZ16" s="314" t="s">
        <v>203</v>
      </c>
      <c r="JTA16" s="314" t="s">
        <v>203</v>
      </c>
      <c r="JTB16" s="314" t="s">
        <v>203</v>
      </c>
      <c r="JTC16" s="314" t="s">
        <v>203</v>
      </c>
      <c r="JTD16" s="314" t="s">
        <v>203</v>
      </c>
      <c r="JTE16" s="314" t="s">
        <v>203</v>
      </c>
      <c r="JTF16" s="314" t="s">
        <v>203</v>
      </c>
      <c r="JTG16" s="314" t="s">
        <v>203</v>
      </c>
      <c r="JTH16" s="314" t="s">
        <v>203</v>
      </c>
      <c r="JTI16" s="314" t="s">
        <v>203</v>
      </c>
      <c r="JTJ16" s="314" t="s">
        <v>203</v>
      </c>
      <c r="JTK16" s="314" t="s">
        <v>203</v>
      </c>
      <c r="JTL16" s="314" t="s">
        <v>203</v>
      </c>
      <c r="JTM16" s="314" t="s">
        <v>203</v>
      </c>
      <c r="JTN16" s="314" t="s">
        <v>203</v>
      </c>
      <c r="JTO16" s="314" t="s">
        <v>203</v>
      </c>
      <c r="JTP16" s="314" t="s">
        <v>203</v>
      </c>
      <c r="JTQ16" s="314" t="s">
        <v>203</v>
      </c>
      <c r="JTR16" s="314" t="s">
        <v>203</v>
      </c>
      <c r="JTS16" s="314" t="s">
        <v>203</v>
      </c>
      <c r="JTT16" s="314" t="s">
        <v>203</v>
      </c>
      <c r="JTU16" s="314" t="s">
        <v>203</v>
      </c>
      <c r="JTV16" s="314" t="s">
        <v>203</v>
      </c>
      <c r="JTW16" s="314" t="s">
        <v>203</v>
      </c>
      <c r="JTX16" s="314" t="s">
        <v>203</v>
      </c>
      <c r="JTY16" s="314" t="s">
        <v>203</v>
      </c>
      <c r="JTZ16" s="314" t="s">
        <v>203</v>
      </c>
      <c r="JUA16" s="314" t="s">
        <v>203</v>
      </c>
      <c r="JUB16" s="314" t="s">
        <v>203</v>
      </c>
      <c r="JUC16" s="314" t="s">
        <v>203</v>
      </c>
      <c r="JUD16" s="314" t="s">
        <v>203</v>
      </c>
      <c r="JUE16" s="314" t="s">
        <v>203</v>
      </c>
      <c r="JUF16" s="314" t="s">
        <v>203</v>
      </c>
      <c r="JUG16" s="314" t="s">
        <v>203</v>
      </c>
      <c r="JUH16" s="314" t="s">
        <v>203</v>
      </c>
      <c r="JUI16" s="314" t="s">
        <v>203</v>
      </c>
      <c r="JUJ16" s="314" t="s">
        <v>203</v>
      </c>
      <c r="JUK16" s="314" t="s">
        <v>203</v>
      </c>
      <c r="JUL16" s="314" t="s">
        <v>203</v>
      </c>
      <c r="JUM16" s="314" t="s">
        <v>203</v>
      </c>
      <c r="JUN16" s="314" t="s">
        <v>203</v>
      </c>
      <c r="JUO16" s="314" t="s">
        <v>203</v>
      </c>
      <c r="JUP16" s="314" t="s">
        <v>203</v>
      </c>
      <c r="JUQ16" s="314" t="s">
        <v>203</v>
      </c>
      <c r="JUR16" s="314" t="s">
        <v>203</v>
      </c>
      <c r="JUS16" s="314" t="s">
        <v>203</v>
      </c>
      <c r="JUT16" s="314" t="s">
        <v>203</v>
      </c>
      <c r="JUU16" s="314" t="s">
        <v>203</v>
      </c>
      <c r="JUV16" s="314" t="s">
        <v>203</v>
      </c>
      <c r="JUW16" s="314" t="s">
        <v>203</v>
      </c>
      <c r="JUX16" s="314" t="s">
        <v>203</v>
      </c>
      <c r="JUY16" s="314" t="s">
        <v>203</v>
      </c>
      <c r="JUZ16" s="314" t="s">
        <v>203</v>
      </c>
      <c r="JVA16" s="314" t="s">
        <v>203</v>
      </c>
      <c r="JVB16" s="314" t="s">
        <v>203</v>
      </c>
      <c r="JVC16" s="314" t="s">
        <v>203</v>
      </c>
      <c r="JVD16" s="314" t="s">
        <v>203</v>
      </c>
      <c r="JVE16" s="314" t="s">
        <v>203</v>
      </c>
      <c r="JVF16" s="314" t="s">
        <v>203</v>
      </c>
      <c r="JVG16" s="314" t="s">
        <v>203</v>
      </c>
      <c r="JVH16" s="314" t="s">
        <v>203</v>
      </c>
      <c r="JVI16" s="314" t="s">
        <v>203</v>
      </c>
      <c r="JVJ16" s="314" t="s">
        <v>203</v>
      </c>
      <c r="JVK16" s="314" t="s">
        <v>203</v>
      </c>
      <c r="JVL16" s="314" t="s">
        <v>203</v>
      </c>
      <c r="JVM16" s="314" t="s">
        <v>203</v>
      </c>
      <c r="JVN16" s="314" t="s">
        <v>203</v>
      </c>
      <c r="JVO16" s="314" t="s">
        <v>203</v>
      </c>
      <c r="JVP16" s="314" t="s">
        <v>203</v>
      </c>
      <c r="JVQ16" s="314" t="s">
        <v>203</v>
      </c>
      <c r="JVR16" s="314" t="s">
        <v>203</v>
      </c>
      <c r="JVS16" s="314" t="s">
        <v>203</v>
      </c>
      <c r="JVT16" s="314" t="s">
        <v>203</v>
      </c>
      <c r="JVU16" s="314" t="s">
        <v>203</v>
      </c>
      <c r="JVV16" s="314" t="s">
        <v>203</v>
      </c>
      <c r="JVW16" s="314" t="s">
        <v>203</v>
      </c>
      <c r="JVX16" s="314" t="s">
        <v>203</v>
      </c>
      <c r="JVY16" s="314" t="s">
        <v>203</v>
      </c>
      <c r="JVZ16" s="314" t="s">
        <v>203</v>
      </c>
      <c r="JWA16" s="314" t="s">
        <v>203</v>
      </c>
      <c r="JWB16" s="314" t="s">
        <v>203</v>
      </c>
      <c r="JWC16" s="314" t="s">
        <v>203</v>
      </c>
      <c r="JWD16" s="314" t="s">
        <v>203</v>
      </c>
      <c r="JWE16" s="314" t="s">
        <v>203</v>
      </c>
      <c r="JWF16" s="314" t="s">
        <v>203</v>
      </c>
      <c r="JWG16" s="314" t="s">
        <v>203</v>
      </c>
      <c r="JWH16" s="314" t="s">
        <v>203</v>
      </c>
      <c r="JWI16" s="314" t="s">
        <v>203</v>
      </c>
      <c r="JWJ16" s="314" t="s">
        <v>203</v>
      </c>
      <c r="JWK16" s="314" t="s">
        <v>203</v>
      </c>
      <c r="JWL16" s="314" t="s">
        <v>203</v>
      </c>
      <c r="JWM16" s="314" t="s">
        <v>203</v>
      </c>
      <c r="JWN16" s="314" t="s">
        <v>203</v>
      </c>
      <c r="JWO16" s="314" t="s">
        <v>203</v>
      </c>
      <c r="JWP16" s="314" t="s">
        <v>203</v>
      </c>
      <c r="JWQ16" s="314" t="s">
        <v>203</v>
      </c>
      <c r="JWR16" s="314" t="s">
        <v>203</v>
      </c>
      <c r="JWS16" s="314" t="s">
        <v>203</v>
      </c>
      <c r="JWT16" s="314" t="s">
        <v>203</v>
      </c>
      <c r="JWU16" s="314" t="s">
        <v>203</v>
      </c>
      <c r="JWV16" s="314" t="s">
        <v>203</v>
      </c>
      <c r="JWW16" s="314" t="s">
        <v>203</v>
      </c>
      <c r="JWX16" s="314" t="s">
        <v>203</v>
      </c>
      <c r="JWY16" s="314" t="s">
        <v>203</v>
      </c>
      <c r="JWZ16" s="314" t="s">
        <v>203</v>
      </c>
      <c r="JXA16" s="314" t="s">
        <v>203</v>
      </c>
      <c r="JXB16" s="314" t="s">
        <v>203</v>
      </c>
      <c r="JXC16" s="314" t="s">
        <v>203</v>
      </c>
      <c r="JXD16" s="314" t="s">
        <v>203</v>
      </c>
      <c r="JXE16" s="314" t="s">
        <v>203</v>
      </c>
      <c r="JXF16" s="314" t="s">
        <v>203</v>
      </c>
      <c r="JXG16" s="314" t="s">
        <v>203</v>
      </c>
      <c r="JXH16" s="314" t="s">
        <v>203</v>
      </c>
      <c r="JXI16" s="314" t="s">
        <v>203</v>
      </c>
      <c r="JXJ16" s="314" t="s">
        <v>203</v>
      </c>
      <c r="JXK16" s="314" t="s">
        <v>203</v>
      </c>
      <c r="JXL16" s="314" t="s">
        <v>203</v>
      </c>
      <c r="JXM16" s="314" t="s">
        <v>203</v>
      </c>
      <c r="JXN16" s="314" t="s">
        <v>203</v>
      </c>
      <c r="JXO16" s="314" t="s">
        <v>203</v>
      </c>
      <c r="JXP16" s="314" t="s">
        <v>203</v>
      </c>
      <c r="JXQ16" s="314" t="s">
        <v>203</v>
      </c>
      <c r="JXR16" s="314" t="s">
        <v>203</v>
      </c>
      <c r="JXS16" s="314" t="s">
        <v>203</v>
      </c>
      <c r="JXT16" s="314" t="s">
        <v>203</v>
      </c>
      <c r="JXU16" s="314" t="s">
        <v>203</v>
      </c>
      <c r="JXV16" s="314" t="s">
        <v>203</v>
      </c>
      <c r="JXW16" s="314" t="s">
        <v>203</v>
      </c>
      <c r="JXX16" s="314" t="s">
        <v>203</v>
      </c>
      <c r="JXY16" s="314" t="s">
        <v>203</v>
      </c>
      <c r="JXZ16" s="314" t="s">
        <v>203</v>
      </c>
      <c r="JYA16" s="314" t="s">
        <v>203</v>
      </c>
      <c r="JYB16" s="314" t="s">
        <v>203</v>
      </c>
      <c r="JYC16" s="314" t="s">
        <v>203</v>
      </c>
      <c r="JYD16" s="314" t="s">
        <v>203</v>
      </c>
      <c r="JYE16" s="314" t="s">
        <v>203</v>
      </c>
      <c r="JYF16" s="314" t="s">
        <v>203</v>
      </c>
      <c r="JYG16" s="314" t="s">
        <v>203</v>
      </c>
      <c r="JYH16" s="314" t="s">
        <v>203</v>
      </c>
      <c r="JYI16" s="314" t="s">
        <v>203</v>
      </c>
      <c r="JYJ16" s="314" t="s">
        <v>203</v>
      </c>
      <c r="JYK16" s="314" t="s">
        <v>203</v>
      </c>
      <c r="JYL16" s="314" t="s">
        <v>203</v>
      </c>
      <c r="JYM16" s="314" t="s">
        <v>203</v>
      </c>
      <c r="JYN16" s="314" t="s">
        <v>203</v>
      </c>
      <c r="JYO16" s="314" t="s">
        <v>203</v>
      </c>
      <c r="JYP16" s="314" t="s">
        <v>203</v>
      </c>
      <c r="JYQ16" s="314" t="s">
        <v>203</v>
      </c>
      <c r="JYR16" s="314" t="s">
        <v>203</v>
      </c>
      <c r="JYS16" s="314" t="s">
        <v>203</v>
      </c>
      <c r="JYT16" s="314" t="s">
        <v>203</v>
      </c>
      <c r="JYU16" s="314" t="s">
        <v>203</v>
      </c>
      <c r="JYV16" s="314" t="s">
        <v>203</v>
      </c>
      <c r="JYW16" s="314" t="s">
        <v>203</v>
      </c>
      <c r="JYX16" s="314" t="s">
        <v>203</v>
      </c>
      <c r="JYY16" s="314" t="s">
        <v>203</v>
      </c>
      <c r="JYZ16" s="314" t="s">
        <v>203</v>
      </c>
      <c r="JZA16" s="314" t="s">
        <v>203</v>
      </c>
      <c r="JZB16" s="314" t="s">
        <v>203</v>
      </c>
      <c r="JZC16" s="314" t="s">
        <v>203</v>
      </c>
      <c r="JZD16" s="314" t="s">
        <v>203</v>
      </c>
      <c r="JZE16" s="314" t="s">
        <v>203</v>
      </c>
      <c r="JZF16" s="314" t="s">
        <v>203</v>
      </c>
      <c r="JZG16" s="314" t="s">
        <v>203</v>
      </c>
      <c r="JZH16" s="314" t="s">
        <v>203</v>
      </c>
      <c r="JZI16" s="314" t="s">
        <v>203</v>
      </c>
      <c r="JZJ16" s="314" t="s">
        <v>203</v>
      </c>
      <c r="JZK16" s="314" t="s">
        <v>203</v>
      </c>
      <c r="JZL16" s="314" t="s">
        <v>203</v>
      </c>
      <c r="JZM16" s="314" t="s">
        <v>203</v>
      </c>
      <c r="JZN16" s="314" t="s">
        <v>203</v>
      </c>
      <c r="JZO16" s="314" t="s">
        <v>203</v>
      </c>
      <c r="JZP16" s="314" t="s">
        <v>203</v>
      </c>
      <c r="JZQ16" s="314" t="s">
        <v>203</v>
      </c>
      <c r="JZR16" s="314" t="s">
        <v>203</v>
      </c>
      <c r="JZS16" s="314" t="s">
        <v>203</v>
      </c>
      <c r="JZT16" s="314" t="s">
        <v>203</v>
      </c>
      <c r="JZU16" s="314" t="s">
        <v>203</v>
      </c>
      <c r="JZV16" s="314" t="s">
        <v>203</v>
      </c>
      <c r="JZW16" s="314" t="s">
        <v>203</v>
      </c>
      <c r="JZX16" s="314" t="s">
        <v>203</v>
      </c>
      <c r="JZY16" s="314" t="s">
        <v>203</v>
      </c>
      <c r="JZZ16" s="314" t="s">
        <v>203</v>
      </c>
      <c r="KAA16" s="314" t="s">
        <v>203</v>
      </c>
      <c r="KAB16" s="314" t="s">
        <v>203</v>
      </c>
      <c r="KAC16" s="314" t="s">
        <v>203</v>
      </c>
      <c r="KAD16" s="314" t="s">
        <v>203</v>
      </c>
      <c r="KAE16" s="314" t="s">
        <v>203</v>
      </c>
      <c r="KAF16" s="314" t="s">
        <v>203</v>
      </c>
      <c r="KAG16" s="314" t="s">
        <v>203</v>
      </c>
      <c r="KAH16" s="314" t="s">
        <v>203</v>
      </c>
      <c r="KAI16" s="314" t="s">
        <v>203</v>
      </c>
      <c r="KAJ16" s="314" t="s">
        <v>203</v>
      </c>
      <c r="KAK16" s="314" t="s">
        <v>203</v>
      </c>
      <c r="KAL16" s="314" t="s">
        <v>203</v>
      </c>
      <c r="KAM16" s="314" t="s">
        <v>203</v>
      </c>
      <c r="KAN16" s="314" t="s">
        <v>203</v>
      </c>
      <c r="KAO16" s="314" t="s">
        <v>203</v>
      </c>
      <c r="KAP16" s="314" t="s">
        <v>203</v>
      </c>
      <c r="KAQ16" s="314" t="s">
        <v>203</v>
      </c>
      <c r="KAR16" s="314" t="s">
        <v>203</v>
      </c>
      <c r="KAS16" s="314" t="s">
        <v>203</v>
      </c>
      <c r="KAT16" s="314" t="s">
        <v>203</v>
      </c>
      <c r="KAU16" s="314" t="s">
        <v>203</v>
      </c>
      <c r="KAV16" s="314" t="s">
        <v>203</v>
      </c>
      <c r="KAW16" s="314" t="s">
        <v>203</v>
      </c>
      <c r="KAX16" s="314" t="s">
        <v>203</v>
      </c>
      <c r="KAY16" s="314" t="s">
        <v>203</v>
      </c>
      <c r="KAZ16" s="314" t="s">
        <v>203</v>
      </c>
      <c r="KBA16" s="314" t="s">
        <v>203</v>
      </c>
      <c r="KBB16" s="314" t="s">
        <v>203</v>
      </c>
      <c r="KBC16" s="314" t="s">
        <v>203</v>
      </c>
      <c r="KBD16" s="314" t="s">
        <v>203</v>
      </c>
      <c r="KBE16" s="314" t="s">
        <v>203</v>
      </c>
      <c r="KBF16" s="314" t="s">
        <v>203</v>
      </c>
      <c r="KBG16" s="314" t="s">
        <v>203</v>
      </c>
      <c r="KBH16" s="314" t="s">
        <v>203</v>
      </c>
      <c r="KBI16" s="314" t="s">
        <v>203</v>
      </c>
      <c r="KBJ16" s="314" t="s">
        <v>203</v>
      </c>
      <c r="KBK16" s="314" t="s">
        <v>203</v>
      </c>
      <c r="KBL16" s="314" t="s">
        <v>203</v>
      </c>
      <c r="KBM16" s="314" t="s">
        <v>203</v>
      </c>
      <c r="KBN16" s="314" t="s">
        <v>203</v>
      </c>
      <c r="KBO16" s="314" t="s">
        <v>203</v>
      </c>
      <c r="KBP16" s="314" t="s">
        <v>203</v>
      </c>
      <c r="KBQ16" s="314" t="s">
        <v>203</v>
      </c>
      <c r="KBR16" s="314" t="s">
        <v>203</v>
      </c>
      <c r="KBS16" s="314" t="s">
        <v>203</v>
      </c>
      <c r="KBT16" s="314" t="s">
        <v>203</v>
      </c>
      <c r="KBU16" s="314" t="s">
        <v>203</v>
      </c>
      <c r="KBV16" s="314" t="s">
        <v>203</v>
      </c>
      <c r="KBW16" s="314" t="s">
        <v>203</v>
      </c>
      <c r="KBX16" s="314" t="s">
        <v>203</v>
      </c>
      <c r="KBY16" s="314" t="s">
        <v>203</v>
      </c>
      <c r="KBZ16" s="314" t="s">
        <v>203</v>
      </c>
      <c r="KCA16" s="314" t="s">
        <v>203</v>
      </c>
      <c r="KCB16" s="314" t="s">
        <v>203</v>
      </c>
      <c r="KCC16" s="314" t="s">
        <v>203</v>
      </c>
      <c r="KCD16" s="314" t="s">
        <v>203</v>
      </c>
      <c r="KCE16" s="314" t="s">
        <v>203</v>
      </c>
      <c r="KCF16" s="314" t="s">
        <v>203</v>
      </c>
      <c r="KCG16" s="314" t="s">
        <v>203</v>
      </c>
      <c r="KCH16" s="314" t="s">
        <v>203</v>
      </c>
      <c r="KCI16" s="314" t="s">
        <v>203</v>
      </c>
      <c r="KCJ16" s="314" t="s">
        <v>203</v>
      </c>
      <c r="KCK16" s="314" t="s">
        <v>203</v>
      </c>
      <c r="KCL16" s="314" t="s">
        <v>203</v>
      </c>
      <c r="KCM16" s="314" t="s">
        <v>203</v>
      </c>
      <c r="KCN16" s="314" t="s">
        <v>203</v>
      </c>
      <c r="KCO16" s="314" t="s">
        <v>203</v>
      </c>
      <c r="KCP16" s="314" t="s">
        <v>203</v>
      </c>
      <c r="KCQ16" s="314" t="s">
        <v>203</v>
      </c>
      <c r="KCR16" s="314" t="s">
        <v>203</v>
      </c>
      <c r="KCS16" s="314" t="s">
        <v>203</v>
      </c>
      <c r="KCT16" s="314" t="s">
        <v>203</v>
      </c>
      <c r="KCU16" s="314" t="s">
        <v>203</v>
      </c>
      <c r="KCV16" s="314" t="s">
        <v>203</v>
      </c>
      <c r="KCW16" s="314" t="s">
        <v>203</v>
      </c>
      <c r="KCX16" s="314" t="s">
        <v>203</v>
      </c>
      <c r="KCY16" s="314" t="s">
        <v>203</v>
      </c>
      <c r="KCZ16" s="314" t="s">
        <v>203</v>
      </c>
      <c r="KDA16" s="314" t="s">
        <v>203</v>
      </c>
      <c r="KDB16" s="314" t="s">
        <v>203</v>
      </c>
      <c r="KDC16" s="314" t="s">
        <v>203</v>
      </c>
      <c r="KDD16" s="314" t="s">
        <v>203</v>
      </c>
      <c r="KDE16" s="314" t="s">
        <v>203</v>
      </c>
      <c r="KDF16" s="314" t="s">
        <v>203</v>
      </c>
      <c r="KDG16" s="314" t="s">
        <v>203</v>
      </c>
      <c r="KDH16" s="314" t="s">
        <v>203</v>
      </c>
      <c r="KDI16" s="314" t="s">
        <v>203</v>
      </c>
      <c r="KDJ16" s="314" t="s">
        <v>203</v>
      </c>
      <c r="KDK16" s="314" t="s">
        <v>203</v>
      </c>
      <c r="KDL16" s="314" t="s">
        <v>203</v>
      </c>
      <c r="KDM16" s="314" t="s">
        <v>203</v>
      </c>
      <c r="KDN16" s="314" t="s">
        <v>203</v>
      </c>
      <c r="KDO16" s="314" t="s">
        <v>203</v>
      </c>
      <c r="KDP16" s="314" t="s">
        <v>203</v>
      </c>
      <c r="KDQ16" s="314" t="s">
        <v>203</v>
      </c>
      <c r="KDR16" s="314" t="s">
        <v>203</v>
      </c>
      <c r="KDS16" s="314" t="s">
        <v>203</v>
      </c>
      <c r="KDT16" s="314" t="s">
        <v>203</v>
      </c>
      <c r="KDU16" s="314" t="s">
        <v>203</v>
      </c>
      <c r="KDV16" s="314" t="s">
        <v>203</v>
      </c>
      <c r="KDW16" s="314" t="s">
        <v>203</v>
      </c>
      <c r="KDX16" s="314" t="s">
        <v>203</v>
      </c>
      <c r="KDY16" s="314" t="s">
        <v>203</v>
      </c>
      <c r="KDZ16" s="314" t="s">
        <v>203</v>
      </c>
      <c r="KEA16" s="314" t="s">
        <v>203</v>
      </c>
      <c r="KEB16" s="314" t="s">
        <v>203</v>
      </c>
      <c r="KEC16" s="314" t="s">
        <v>203</v>
      </c>
      <c r="KED16" s="314" t="s">
        <v>203</v>
      </c>
      <c r="KEE16" s="314" t="s">
        <v>203</v>
      </c>
      <c r="KEF16" s="314" t="s">
        <v>203</v>
      </c>
      <c r="KEG16" s="314" t="s">
        <v>203</v>
      </c>
      <c r="KEH16" s="314" t="s">
        <v>203</v>
      </c>
      <c r="KEI16" s="314" t="s">
        <v>203</v>
      </c>
      <c r="KEJ16" s="314" t="s">
        <v>203</v>
      </c>
      <c r="KEK16" s="314" t="s">
        <v>203</v>
      </c>
      <c r="KEL16" s="314" t="s">
        <v>203</v>
      </c>
      <c r="KEM16" s="314" t="s">
        <v>203</v>
      </c>
      <c r="KEN16" s="314" t="s">
        <v>203</v>
      </c>
      <c r="KEO16" s="314" t="s">
        <v>203</v>
      </c>
      <c r="KEP16" s="314" t="s">
        <v>203</v>
      </c>
      <c r="KEQ16" s="314" t="s">
        <v>203</v>
      </c>
      <c r="KER16" s="314" t="s">
        <v>203</v>
      </c>
      <c r="KES16" s="314" t="s">
        <v>203</v>
      </c>
      <c r="KET16" s="314" t="s">
        <v>203</v>
      </c>
      <c r="KEU16" s="314" t="s">
        <v>203</v>
      </c>
      <c r="KEV16" s="314" t="s">
        <v>203</v>
      </c>
      <c r="KEW16" s="314" t="s">
        <v>203</v>
      </c>
      <c r="KEX16" s="314" t="s">
        <v>203</v>
      </c>
      <c r="KEY16" s="314" t="s">
        <v>203</v>
      </c>
      <c r="KEZ16" s="314" t="s">
        <v>203</v>
      </c>
      <c r="KFA16" s="314" t="s">
        <v>203</v>
      </c>
      <c r="KFB16" s="314" t="s">
        <v>203</v>
      </c>
      <c r="KFC16" s="314" t="s">
        <v>203</v>
      </c>
      <c r="KFD16" s="314" t="s">
        <v>203</v>
      </c>
      <c r="KFE16" s="314" t="s">
        <v>203</v>
      </c>
      <c r="KFF16" s="314" t="s">
        <v>203</v>
      </c>
      <c r="KFG16" s="314" t="s">
        <v>203</v>
      </c>
      <c r="KFH16" s="314" t="s">
        <v>203</v>
      </c>
      <c r="KFI16" s="314" t="s">
        <v>203</v>
      </c>
      <c r="KFJ16" s="314" t="s">
        <v>203</v>
      </c>
      <c r="KFK16" s="314" t="s">
        <v>203</v>
      </c>
      <c r="KFL16" s="314" t="s">
        <v>203</v>
      </c>
      <c r="KFM16" s="314" t="s">
        <v>203</v>
      </c>
      <c r="KFN16" s="314" t="s">
        <v>203</v>
      </c>
      <c r="KFO16" s="314" t="s">
        <v>203</v>
      </c>
      <c r="KFP16" s="314" t="s">
        <v>203</v>
      </c>
      <c r="KFQ16" s="314" t="s">
        <v>203</v>
      </c>
      <c r="KFR16" s="314" t="s">
        <v>203</v>
      </c>
      <c r="KFS16" s="314" t="s">
        <v>203</v>
      </c>
      <c r="KFT16" s="314" t="s">
        <v>203</v>
      </c>
      <c r="KFU16" s="314" t="s">
        <v>203</v>
      </c>
      <c r="KFV16" s="314" t="s">
        <v>203</v>
      </c>
      <c r="KFW16" s="314" t="s">
        <v>203</v>
      </c>
      <c r="KFX16" s="314" t="s">
        <v>203</v>
      </c>
      <c r="KFY16" s="314" t="s">
        <v>203</v>
      </c>
      <c r="KFZ16" s="314" t="s">
        <v>203</v>
      </c>
      <c r="KGA16" s="314" t="s">
        <v>203</v>
      </c>
      <c r="KGB16" s="314" t="s">
        <v>203</v>
      </c>
      <c r="KGC16" s="314" t="s">
        <v>203</v>
      </c>
      <c r="KGD16" s="314" t="s">
        <v>203</v>
      </c>
      <c r="KGE16" s="314" t="s">
        <v>203</v>
      </c>
      <c r="KGF16" s="314" t="s">
        <v>203</v>
      </c>
      <c r="KGG16" s="314" t="s">
        <v>203</v>
      </c>
      <c r="KGH16" s="314" t="s">
        <v>203</v>
      </c>
      <c r="KGI16" s="314" t="s">
        <v>203</v>
      </c>
      <c r="KGJ16" s="314" t="s">
        <v>203</v>
      </c>
      <c r="KGK16" s="314" t="s">
        <v>203</v>
      </c>
      <c r="KGL16" s="314" t="s">
        <v>203</v>
      </c>
      <c r="KGM16" s="314" t="s">
        <v>203</v>
      </c>
      <c r="KGN16" s="314" t="s">
        <v>203</v>
      </c>
      <c r="KGO16" s="314" t="s">
        <v>203</v>
      </c>
      <c r="KGP16" s="314" t="s">
        <v>203</v>
      </c>
      <c r="KGQ16" s="314" t="s">
        <v>203</v>
      </c>
      <c r="KGR16" s="314" t="s">
        <v>203</v>
      </c>
      <c r="KGS16" s="314" t="s">
        <v>203</v>
      </c>
      <c r="KGT16" s="314" t="s">
        <v>203</v>
      </c>
      <c r="KGU16" s="314" t="s">
        <v>203</v>
      </c>
      <c r="KGV16" s="314" t="s">
        <v>203</v>
      </c>
      <c r="KGW16" s="314" t="s">
        <v>203</v>
      </c>
      <c r="KGX16" s="314" t="s">
        <v>203</v>
      </c>
      <c r="KGY16" s="314" t="s">
        <v>203</v>
      </c>
      <c r="KGZ16" s="314" t="s">
        <v>203</v>
      </c>
      <c r="KHA16" s="314" t="s">
        <v>203</v>
      </c>
      <c r="KHB16" s="314" t="s">
        <v>203</v>
      </c>
      <c r="KHC16" s="314" t="s">
        <v>203</v>
      </c>
      <c r="KHD16" s="314" t="s">
        <v>203</v>
      </c>
      <c r="KHE16" s="314" t="s">
        <v>203</v>
      </c>
      <c r="KHF16" s="314" t="s">
        <v>203</v>
      </c>
      <c r="KHG16" s="314" t="s">
        <v>203</v>
      </c>
      <c r="KHH16" s="314" t="s">
        <v>203</v>
      </c>
      <c r="KHI16" s="314" t="s">
        <v>203</v>
      </c>
      <c r="KHJ16" s="314" t="s">
        <v>203</v>
      </c>
      <c r="KHK16" s="314" t="s">
        <v>203</v>
      </c>
      <c r="KHL16" s="314" t="s">
        <v>203</v>
      </c>
      <c r="KHM16" s="314" t="s">
        <v>203</v>
      </c>
      <c r="KHN16" s="314" t="s">
        <v>203</v>
      </c>
      <c r="KHO16" s="314" t="s">
        <v>203</v>
      </c>
      <c r="KHP16" s="314" t="s">
        <v>203</v>
      </c>
      <c r="KHQ16" s="314" t="s">
        <v>203</v>
      </c>
      <c r="KHR16" s="314" t="s">
        <v>203</v>
      </c>
      <c r="KHS16" s="314" t="s">
        <v>203</v>
      </c>
      <c r="KHT16" s="314" t="s">
        <v>203</v>
      </c>
      <c r="KHU16" s="314" t="s">
        <v>203</v>
      </c>
      <c r="KHV16" s="314" t="s">
        <v>203</v>
      </c>
      <c r="KHW16" s="314" t="s">
        <v>203</v>
      </c>
      <c r="KHX16" s="314" t="s">
        <v>203</v>
      </c>
      <c r="KHY16" s="314" t="s">
        <v>203</v>
      </c>
      <c r="KHZ16" s="314" t="s">
        <v>203</v>
      </c>
      <c r="KIA16" s="314" t="s">
        <v>203</v>
      </c>
      <c r="KIB16" s="314" t="s">
        <v>203</v>
      </c>
      <c r="KIC16" s="314" t="s">
        <v>203</v>
      </c>
      <c r="KID16" s="314" t="s">
        <v>203</v>
      </c>
      <c r="KIE16" s="314" t="s">
        <v>203</v>
      </c>
      <c r="KIF16" s="314" t="s">
        <v>203</v>
      </c>
      <c r="KIG16" s="314" t="s">
        <v>203</v>
      </c>
      <c r="KIH16" s="314" t="s">
        <v>203</v>
      </c>
      <c r="KII16" s="314" t="s">
        <v>203</v>
      </c>
      <c r="KIJ16" s="314" t="s">
        <v>203</v>
      </c>
      <c r="KIK16" s="314" t="s">
        <v>203</v>
      </c>
      <c r="KIL16" s="314" t="s">
        <v>203</v>
      </c>
      <c r="KIM16" s="314" t="s">
        <v>203</v>
      </c>
      <c r="KIN16" s="314" t="s">
        <v>203</v>
      </c>
      <c r="KIO16" s="314" t="s">
        <v>203</v>
      </c>
      <c r="KIP16" s="314" t="s">
        <v>203</v>
      </c>
      <c r="KIQ16" s="314" t="s">
        <v>203</v>
      </c>
      <c r="KIR16" s="314" t="s">
        <v>203</v>
      </c>
      <c r="KIS16" s="314" t="s">
        <v>203</v>
      </c>
      <c r="KIT16" s="314" t="s">
        <v>203</v>
      </c>
      <c r="KIU16" s="314" t="s">
        <v>203</v>
      </c>
      <c r="KIV16" s="314" t="s">
        <v>203</v>
      </c>
      <c r="KIW16" s="314" t="s">
        <v>203</v>
      </c>
      <c r="KIX16" s="314" t="s">
        <v>203</v>
      </c>
      <c r="KIY16" s="314" t="s">
        <v>203</v>
      </c>
      <c r="KIZ16" s="314" t="s">
        <v>203</v>
      </c>
      <c r="KJA16" s="314" t="s">
        <v>203</v>
      </c>
      <c r="KJB16" s="314" t="s">
        <v>203</v>
      </c>
      <c r="KJC16" s="314" t="s">
        <v>203</v>
      </c>
      <c r="KJD16" s="314" t="s">
        <v>203</v>
      </c>
      <c r="KJE16" s="314" t="s">
        <v>203</v>
      </c>
      <c r="KJF16" s="314" t="s">
        <v>203</v>
      </c>
      <c r="KJG16" s="314" t="s">
        <v>203</v>
      </c>
      <c r="KJH16" s="314" t="s">
        <v>203</v>
      </c>
      <c r="KJI16" s="314" t="s">
        <v>203</v>
      </c>
      <c r="KJJ16" s="314" t="s">
        <v>203</v>
      </c>
      <c r="KJK16" s="314" t="s">
        <v>203</v>
      </c>
      <c r="KJL16" s="314" t="s">
        <v>203</v>
      </c>
      <c r="KJM16" s="314" t="s">
        <v>203</v>
      </c>
      <c r="KJN16" s="314" t="s">
        <v>203</v>
      </c>
      <c r="KJO16" s="314" t="s">
        <v>203</v>
      </c>
      <c r="KJP16" s="314" t="s">
        <v>203</v>
      </c>
      <c r="KJQ16" s="314" t="s">
        <v>203</v>
      </c>
      <c r="KJR16" s="314" t="s">
        <v>203</v>
      </c>
      <c r="KJS16" s="314" t="s">
        <v>203</v>
      </c>
      <c r="KJT16" s="314" t="s">
        <v>203</v>
      </c>
      <c r="KJU16" s="314" t="s">
        <v>203</v>
      </c>
      <c r="KJV16" s="314" t="s">
        <v>203</v>
      </c>
      <c r="KJW16" s="314" t="s">
        <v>203</v>
      </c>
      <c r="KJX16" s="314" t="s">
        <v>203</v>
      </c>
      <c r="KJY16" s="314" t="s">
        <v>203</v>
      </c>
      <c r="KJZ16" s="314" t="s">
        <v>203</v>
      </c>
      <c r="KKA16" s="314" t="s">
        <v>203</v>
      </c>
      <c r="KKB16" s="314" t="s">
        <v>203</v>
      </c>
      <c r="KKC16" s="314" t="s">
        <v>203</v>
      </c>
      <c r="KKD16" s="314" t="s">
        <v>203</v>
      </c>
      <c r="KKE16" s="314" t="s">
        <v>203</v>
      </c>
      <c r="KKF16" s="314" t="s">
        <v>203</v>
      </c>
      <c r="KKG16" s="314" t="s">
        <v>203</v>
      </c>
      <c r="KKH16" s="314" t="s">
        <v>203</v>
      </c>
      <c r="KKI16" s="314" t="s">
        <v>203</v>
      </c>
      <c r="KKJ16" s="314" t="s">
        <v>203</v>
      </c>
      <c r="KKK16" s="314" t="s">
        <v>203</v>
      </c>
      <c r="KKL16" s="314" t="s">
        <v>203</v>
      </c>
      <c r="KKM16" s="314" t="s">
        <v>203</v>
      </c>
      <c r="KKN16" s="314" t="s">
        <v>203</v>
      </c>
      <c r="KKO16" s="314" t="s">
        <v>203</v>
      </c>
      <c r="KKP16" s="314" t="s">
        <v>203</v>
      </c>
      <c r="KKQ16" s="314" t="s">
        <v>203</v>
      </c>
      <c r="KKR16" s="314" t="s">
        <v>203</v>
      </c>
      <c r="KKS16" s="314" t="s">
        <v>203</v>
      </c>
      <c r="KKT16" s="314" t="s">
        <v>203</v>
      </c>
      <c r="KKU16" s="314" t="s">
        <v>203</v>
      </c>
      <c r="KKV16" s="314" t="s">
        <v>203</v>
      </c>
      <c r="KKW16" s="314" t="s">
        <v>203</v>
      </c>
      <c r="KKX16" s="314" t="s">
        <v>203</v>
      </c>
      <c r="KKY16" s="314" t="s">
        <v>203</v>
      </c>
      <c r="KKZ16" s="314" t="s">
        <v>203</v>
      </c>
      <c r="KLA16" s="314" t="s">
        <v>203</v>
      </c>
      <c r="KLB16" s="314" t="s">
        <v>203</v>
      </c>
      <c r="KLC16" s="314" t="s">
        <v>203</v>
      </c>
      <c r="KLD16" s="314" t="s">
        <v>203</v>
      </c>
      <c r="KLE16" s="314" t="s">
        <v>203</v>
      </c>
      <c r="KLF16" s="314" t="s">
        <v>203</v>
      </c>
      <c r="KLG16" s="314" t="s">
        <v>203</v>
      </c>
      <c r="KLH16" s="314" t="s">
        <v>203</v>
      </c>
      <c r="KLI16" s="314" t="s">
        <v>203</v>
      </c>
      <c r="KLJ16" s="314" t="s">
        <v>203</v>
      </c>
      <c r="KLK16" s="314" t="s">
        <v>203</v>
      </c>
      <c r="KLL16" s="314" t="s">
        <v>203</v>
      </c>
      <c r="KLM16" s="314" t="s">
        <v>203</v>
      </c>
      <c r="KLN16" s="314" t="s">
        <v>203</v>
      </c>
      <c r="KLO16" s="314" t="s">
        <v>203</v>
      </c>
      <c r="KLP16" s="314" t="s">
        <v>203</v>
      </c>
      <c r="KLQ16" s="314" t="s">
        <v>203</v>
      </c>
      <c r="KLR16" s="314" t="s">
        <v>203</v>
      </c>
      <c r="KLS16" s="314" t="s">
        <v>203</v>
      </c>
      <c r="KLT16" s="314" t="s">
        <v>203</v>
      </c>
      <c r="KLU16" s="314" t="s">
        <v>203</v>
      </c>
      <c r="KLV16" s="314" t="s">
        <v>203</v>
      </c>
      <c r="KLW16" s="314" t="s">
        <v>203</v>
      </c>
      <c r="KLX16" s="314" t="s">
        <v>203</v>
      </c>
      <c r="KLY16" s="314" t="s">
        <v>203</v>
      </c>
      <c r="KLZ16" s="314" t="s">
        <v>203</v>
      </c>
      <c r="KMA16" s="314" t="s">
        <v>203</v>
      </c>
      <c r="KMB16" s="314" t="s">
        <v>203</v>
      </c>
      <c r="KMC16" s="314" t="s">
        <v>203</v>
      </c>
      <c r="KMD16" s="314" t="s">
        <v>203</v>
      </c>
      <c r="KME16" s="314" t="s">
        <v>203</v>
      </c>
      <c r="KMF16" s="314" t="s">
        <v>203</v>
      </c>
      <c r="KMG16" s="314" t="s">
        <v>203</v>
      </c>
      <c r="KMH16" s="314" t="s">
        <v>203</v>
      </c>
      <c r="KMI16" s="314" t="s">
        <v>203</v>
      </c>
      <c r="KMJ16" s="314" t="s">
        <v>203</v>
      </c>
      <c r="KMK16" s="314" t="s">
        <v>203</v>
      </c>
      <c r="KML16" s="314" t="s">
        <v>203</v>
      </c>
      <c r="KMM16" s="314" t="s">
        <v>203</v>
      </c>
      <c r="KMN16" s="314" t="s">
        <v>203</v>
      </c>
      <c r="KMO16" s="314" t="s">
        <v>203</v>
      </c>
      <c r="KMP16" s="314" t="s">
        <v>203</v>
      </c>
      <c r="KMQ16" s="314" t="s">
        <v>203</v>
      </c>
      <c r="KMR16" s="314" t="s">
        <v>203</v>
      </c>
      <c r="KMS16" s="314" t="s">
        <v>203</v>
      </c>
      <c r="KMT16" s="314" t="s">
        <v>203</v>
      </c>
      <c r="KMU16" s="314" t="s">
        <v>203</v>
      </c>
      <c r="KMV16" s="314" t="s">
        <v>203</v>
      </c>
      <c r="KMW16" s="314" t="s">
        <v>203</v>
      </c>
      <c r="KMX16" s="314" t="s">
        <v>203</v>
      </c>
      <c r="KMY16" s="314" t="s">
        <v>203</v>
      </c>
      <c r="KMZ16" s="314" t="s">
        <v>203</v>
      </c>
      <c r="KNA16" s="314" t="s">
        <v>203</v>
      </c>
      <c r="KNB16" s="314" t="s">
        <v>203</v>
      </c>
      <c r="KNC16" s="314" t="s">
        <v>203</v>
      </c>
      <c r="KND16" s="314" t="s">
        <v>203</v>
      </c>
      <c r="KNE16" s="314" t="s">
        <v>203</v>
      </c>
      <c r="KNF16" s="314" t="s">
        <v>203</v>
      </c>
      <c r="KNG16" s="314" t="s">
        <v>203</v>
      </c>
      <c r="KNH16" s="314" t="s">
        <v>203</v>
      </c>
      <c r="KNI16" s="314" t="s">
        <v>203</v>
      </c>
      <c r="KNJ16" s="314" t="s">
        <v>203</v>
      </c>
      <c r="KNK16" s="314" t="s">
        <v>203</v>
      </c>
      <c r="KNL16" s="314" t="s">
        <v>203</v>
      </c>
      <c r="KNM16" s="314" t="s">
        <v>203</v>
      </c>
      <c r="KNN16" s="314" t="s">
        <v>203</v>
      </c>
      <c r="KNO16" s="314" t="s">
        <v>203</v>
      </c>
      <c r="KNP16" s="314" t="s">
        <v>203</v>
      </c>
      <c r="KNQ16" s="314" t="s">
        <v>203</v>
      </c>
      <c r="KNR16" s="314" t="s">
        <v>203</v>
      </c>
      <c r="KNS16" s="314" t="s">
        <v>203</v>
      </c>
      <c r="KNT16" s="314" t="s">
        <v>203</v>
      </c>
      <c r="KNU16" s="314" t="s">
        <v>203</v>
      </c>
      <c r="KNV16" s="314" t="s">
        <v>203</v>
      </c>
      <c r="KNW16" s="314" t="s">
        <v>203</v>
      </c>
      <c r="KNX16" s="314" t="s">
        <v>203</v>
      </c>
      <c r="KNY16" s="314" t="s">
        <v>203</v>
      </c>
      <c r="KNZ16" s="314" t="s">
        <v>203</v>
      </c>
      <c r="KOA16" s="314" t="s">
        <v>203</v>
      </c>
      <c r="KOB16" s="314" t="s">
        <v>203</v>
      </c>
      <c r="KOC16" s="314" t="s">
        <v>203</v>
      </c>
      <c r="KOD16" s="314" t="s">
        <v>203</v>
      </c>
      <c r="KOE16" s="314" t="s">
        <v>203</v>
      </c>
      <c r="KOF16" s="314" t="s">
        <v>203</v>
      </c>
      <c r="KOG16" s="314" t="s">
        <v>203</v>
      </c>
      <c r="KOH16" s="314" t="s">
        <v>203</v>
      </c>
      <c r="KOI16" s="314" t="s">
        <v>203</v>
      </c>
      <c r="KOJ16" s="314" t="s">
        <v>203</v>
      </c>
      <c r="KOK16" s="314" t="s">
        <v>203</v>
      </c>
      <c r="KOL16" s="314" t="s">
        <v>203</v>
      </c>
      <c r="KOM16" s="314" t="s">
        <v>203</v>
      </c>
      <c r="KON16" s="314" t="s">
        <v>203</v>
      </c>
      <c r="KOO16" s="314" t="s">
        <v>203</v>
      </c>
      <c r="KOP16" s="314" t="s">
        <v>203</v>
      </c>
      <c r="KOQ16" s="314" t="s">
        <v>203</v>
      </c>
      <c r="KOR16" s="314" t="s">
        <v>203</v>
      </c>
      <c r="KOS16" s="314" t="s">
        <v>203</v>
      </c>
      <c r="KOT16" s="314" t="s">
        <v>203</v>
      </c>
      <c r="KOU16" s="314" t="s">
        <v>203</v>
      </c>
      <c r="KOV16" s="314" t="s">
        <v>203</v>
      </c>
      <c r="KOW16" s="314" t="s">
        <v>203</v>
      </c>
      <c r="KOX16" s="314" t="s">
        <v>203</v>
      </c>
      <c r="KOY16" s="314" t="s">
        <v>203</v>
      </c>
      <c r="KOZ16" s="314" t="s">
        <v>203</v>
      </c>
      <c r="KPA16" s="314" t="s">
        <v>203</v>
      </c>
      <c r="KPB16" s="314" t="s">
        <v>203</v>
      </c>
      <c r="KPC16" s="314" t="s">
        <v>203</v>
      </c>
      <c r="KPD16" s="314" t="s">
        <v>203</v>
      </c>
      <c r="KPE16" s="314" t="s">
        <v>203</v>
      </c>
      <c r="KPF16" s="314" t="s">
        <v>203</v>
      </c>
      <c r="KPG16" s="314" t="s">
        <v>203</v>
      </c>
      <c r="KPH16" s="314" t="s">
        <v>203</v>
      </c>
      <c r="KPI16" s="314" t="s">
        <v>203</v>
      </c>
      <c r="KPJ16" s="314" t="s">
        <v>203</v>
      </c>
      <c r="KPK16" s="314" t="s">
        <v>203</v>
      </c>
      <c r="KPL16" s="314" t="s">
        <v>203</v>
      </c>
      <c r="KPM16" s="314" t="s">
        <v>203</v>
      </c>
      <c r="KPN16" s="314" t="s">
        <v>203</v>
      </c>
      <c r="KPO16" s="314" t="s">
        <v>203</v>
      </c>
      <c r="KPP16" s="314" t="s">
        <v>203</v>
      </c>
      <c r="KPQ16" s="314" t="s">
        <v>203</v>
      </c>
      <c r="KPR16" s="314" t="s">
        <v>203</v>
      </c>
      <c r="KPS16" s="314" t="s">
        <v>203</v>
      </c>
      <c r="KPT16" s="314" t="s">
        <v>203</v>
      </c>
      <c r="KPU16" s="314" t="s">
        <v>203</v>
      </c>
      <c r="KPV16" s="314" t="s">
        <v>203</v>
      </c>
      <c r="KPW16" s="314" t="s">
        <v>203</v>
      </c>
      <c r="KPX16" s="314" t="s">
        <v>203</v>
      </c>
      <c r="KPY16" s="314" t="s">
        <v>203</v>
      </c>
      <c r="KPZ16" s="314" t="s">
        <v>203</v>
      </c>
      <c r="KQA16" s="314" t="s">
        <v>203</v>
      </c>
      <c r="KQB16" s="314" t="s">
        <v>203</v>
      </c>
      <c r="KQC16" s="314" t="s">
        <v>203</v>
      </c>
      <c r="KQD16" s="314" t="s">
        <v>203</v>
      </c>
      <c r="KQE16" s="314" t="s">
        <v>203</v>
      </c>
      <c r="KQF16" s="314" t="s">
        <v>203</v>
      </c>
      <c r="KQG16" s="314" t="s">
        <v>203</v>
      </c>
      <c r="KQH16" s="314" t="s">
        <v>203</v>
      </c>
      <c r="KQI16" s="314" t="s">
        <v>203</v>
      </c>
      <c r="KQJ16" s="314" t="s">
        <v>203</v>
      </c>
      <c r="KQK16" s="314" t="s">
        <v>203</v>
      </c>
      <c r="KQL16" s="314" t="s">
        <v>203</v>
      </c>
      <c r="KQM16" s="314" t="s">
        <v>203</v>
      </c>
      <c r="KQN16" s="314" t="s">
        <v>203</v>
      </c>
      <c r="KQO16" s="314" t="s">
        <v>203</v>
      </c>
      <c r="KQP16" s="314" t="s">
        <v>203</v>
      </c>
      <c r="KQQ16" s="314" t="s">
        <v>203</v>
      </c>
      <c r="KQR16" s="314" t="s">
        <v>203</v>
      </c>
      <c r="KQS16" s="314" t="s">
        <v>203</v>
      </c>
      <c r="KQT16" s="314" t="s">
        <v>203</v>
      </c>
      <c r="KQU16" s="314" t="s">
        <v>203</v>
      </c>
      <c r="KQV16" s="314" t="s">
        <v>203</v>
      </c>
      <c r="KQW16" s="314" t="s">
        <v>203</v>
      </c>
      <c r="KQX16" s="314" t="s">
        <v>203</v>
      </c>
      <c r="KQY16" s="314" t="s">
        <v>203</v>
      </c>
      <c r="KQZ16" s="314" t="s">
        <v>203</v>
      </c>
      <c r="KRA16" s="314" t="s">
        <v>203</v>
      </c>
      <c r="KRB16" s="314" t="s">
        <v>203</v>
      </c>
      <c r="KRC16" s="314" t="s">
        <v>203</v>
      </c>
      <c r="KRD16" s="314" t="s">
        <v>203</v>
      </c>
      <c r="KRE16" s="314" t="s">
        <v>203</v>
      </c>
      <c r="KRF16" s="314" t="s">
        <v>203</v>
      </c>
      <c r="KRG16" s="314" t="s">
        <v>203</v>
      </c>
      <c r="KRH16" s="314" t="s">
        <v>203</v>
      </c>
      <c r="KRI16" s="314" t="s">
        <v>203</v>
      </c>
      <c r="KRJ16" s="314" t="s">
        <v>203</v>
      </c>
      <c r="KRK16" s="314" t="s">
        <v>203</v>
      </c>
      <c r="KRL16" s="314" t="s">
        <v>203</v>
      </c>
      <c r="KRM16" s="314" t="s">
        <v>203</v>
      </c>
      <c r="KRN16" s="314" t="s">
        <v>203</v>
      </c>
      <c r="KRO16" s="314" t="s">
        <v>203</v>
      </c>
      <c r="KRP16" s="314" t="s">
        <v>203</v>
      </c>
      <c r="KRQ16" s="314" t="s">
        <v>203</v>
      </c>
      <c r="KRR16" s="314" t="s">
        <v>203</v>
      </c>
      <c r="KRS16" s="314" t="s">
        <v>203</v>
      </c>
      <c r="KRT16" s="314" t="s">
        <v>203</v>
      </c>
      <c r="KRU16" s="314" t="s">
        <v>203</v>
      </c>
      <c r="KRV16" s="314" t="s">
        <v>203</v>
      </c>
      <c r="KRW16" s="314" t="s">
        <v>203</v>
      </c>
      <c r="KRX16" s="314" t="s">
        <v>203</v>
      </c>
      <c r="KRY16" s="314" t="s">
        <v>203</v>
      </c>
      <c r="KRZ16" s="314" t="s">
        <v>203</v>
      </c>
      <c r="KSA16" s="314" t="s">
        <v>203</v>
      </c>
      <c r="KSB16" s="314" t="s">
        <v>203</v>
      </c>
      <c r="KSC16" s="314" t="s">
        <v>203</v>
      </c>
      <c r="KSD16" s="314" t="s">
        <v>203</v>
      </c>
      <c r="KSE16" s="314" t="s">
        <v>203</v>
      </c>
      <c r="KSF16" s="314" t="s">
        <v>203</v>
      </c>
      <c r="KSG16" s="314" t="s">
        <v>203</v>
      </c>
      <c r="KSH16" s="314" t="s">
        <v>203</v>
      </c>
      <c r="KSI16" s="314" t="s">
        <v>203</v>
      </c>
      <c r="KSJ16" s="314" t="s">
        <v>203</v>
      </c>
      <c r="KSK16" s="314" t="s">
        <v>203</v>
      </c>
      <c r="KSL16" s="314" t="s">
        <v>203</v>
      </c>
      <c r="KSM16" s="314" t="s">
        <v>203</v>
      </c>
      <c r="KSN16" s="314" t="s">
        <v>203</v>
      </c>
      <c r="KSO16" s="314" t="s">
        <v>203</v>
      </c>
      <c r="KSP16" s="314" t="s">
        <v>203</v>
      </c>
      <c r="KSQ16" s="314" t="s">
        <v>203</v>
      </c>
      <c r="KSR16" s="314" t="s">
        <v>203</v>
      </c>
      <c r="KSS16" s="314" t="s">
        <v>203</v>
      </c>
      <c r="KST16" s="314" t="s">
        <v>203</v>
      </c>
      <c r="KSU16" s="314" t="s">
        <v>203</v>
      </c>
      <c r="KSV16" s="314" t="s">
        <v>203</v>
      </c>
      <c r="KSW16" s="314" t="s">
        <v>203</v>
      </c>
      <c r="KSX16" s="314" t="s">
        <v>203</v>
      </c>
      <c r="KSY16" s="314" t="s">
        <v>203</v>
      </c>
      <c r="KSZ16" s="314" t="s">
        <v>203</v>
      </c>
      <c r="KTA16" s="314" t="s">
        <v>203</v>
      </c>
      <c r="KTB16" s="314" t="s">
        <v>203</v>
      </c>
      <c r="KTC16" s="314" t="s">
        <v>203</v>
      </c>
      <c r="KTD16" s="314" t="s">
        <v>203</v>
      </c>
      <c r="KTE16" s="314" t="s">
        <v>203</v>
      </c>
      <c r="KTF16" s="314" t="s">
        <v>203</v>
      </c>
      <c r="KTG16" s="314" t="s">
        <v>203</v>
      </c>
      <c r="KTH16" s="314" t="s">
        <v>203</v>
      </c>
      <c r="KTI16" s="314" t="s">
        <v>203</v>
      </c>
      <c r="KTJ16" s="314" t="s">
        <v>203</v>
      </c>
      <c r="KTK16" s="314" t="s">
        <v>203</v>
      </c>
      <c r="KTL16" s="314" t="s">
        <v>203</v>
      </c>
      <c r="KTM16" s="314" t="s">
        <v>203</v>
      </c>
      <c r="KTN16" s="314" t="s">
        <v>203</v>
      </c>
      <c r="KTO16" s="314" t="s">
        <v>203</v>
      </c>
      <c r="KTP16" s="314" t="s">
        <v>203</v>
      </c>
      <c r="KTQ16" s="314" t="s">
        <v>203</v>
      </c>
      <c r="KTR16" s="314" t="s">
        <v>203</v>
      </c>
      <c r="KTS16" s="314" t="s">
        <v>203</v>
      </c>
      <c r="KTT16" s="314" t="s">
        <v>203</v>
      </c>
      <c r="KTU16" s="314" t="s">
        <v>203</v>
      </c>
      <c r="KTV16" s="314" t="s">
        <v>203</v>
      </c>
      <c r="KTW16" s="314" t="s">
        <v>203</v>
      </c>
      <c r="KTX16" s="314" t="s">
        <v>203</v>
      </c>
      <c r="KTY16" s="314" t="s">
        <v>203</v>
      </c>
      <c r="KTZ16" s="314" t="s">
        <v>203</v>
      </c>
      <c r="KUA16" s="314" t="s">
        <v>203</v>
      </c>
      <c r="KUB16" s="314" t="s">
        <v>203</v>
      </c>
      <c r="KUC16" s="314" t="s">
        <v>203</v>
      </c>
      <c r="KUD16" s="314" t="s">
        <v>203</v>
      </c>
      <c r="KUE16" s="314" t="s">
        <v>203</v>
      </c>
      <c r="KUF16" s="314" t="s">
        <v>203</v>
      </c>
      <c r="KUG16" s="314" t="s">
        <v>203</v>
      </c>
      <c r="KUH16" s="314" t="s">
        <v>203</v>
      </c>
      <c r="KUI16" s="314" t="s">
        <v>203</v>
      </c>
      <c r="KUJ16" s="314" t="s">
        <v>203</v>
      </c>
      <c r="KUK16" s="314" t="s">
        <v>203</v>
      </c>
      <c r="KUL16" s="314" t="s">
        <v>203</v>
      </c>
      <c r="KUM16" s="314" t="s">
        <v>203</v>
      </c>
      <c r="KUN16" s="314" t="s">
        <v>203</v>
      </c>
      <c r="KUO16" s="314" t="s">
        <v>203</v>
      </c>
      <c r="KUP16" s="314" t="s">
        <v>203</v>
      </c>
      <c r="KUQ16" s="314" t="s">
        <v>203</v>
      </c>
      <c r="KUR16" s="314" t="s">
        <v>203</v>
      </c>
      <c r="KUS16" s="314" t="s">
        <v>203</v>
      </c>
      <c r="KUT16" s="314" t="s">
        <v>203</v>
      </c>
      <c r="KUU16" s="314" t="s">
        <v>203</v>
      </c>
      <c r="KUV16" s="314" t="s">
        <v>203</v>
      </c>
      <c r="KUW16" s="314" t="s">
        <v>203</v>
      </c>
      <c r="KUX16" s="314" t="s">
        <v>203</v>
      </c>
      <c r="KUY16" s="314" t="s">
        <v>203</v>
      </c>
      <c r="KUZ16" s="314" t="s">
        <v>203</v>
      </c>
      <c r="KVA16" s="314" t="s">
        <v>203</v>
      </c>
      <c r="KVB16" s="314" t="s">
        <v>203</v>
      </c>
      <c r="KVC16" s="314" t="s">
        <v>203</v>
      </c>
      <c r="KVD16" s="314" t="s">
        <v>203</v>
      </c>
      <c r="KVE16" s="314" t="s">
        <v>203</v>
      </c>
      <c r="KVF16" s="314" t="s">
        <v>203</v>
      </c>
      <c r="KVG16" s="314" t="s">
        <v>203</v>
      </c>
      <c r="KVH16" s="314" t="s">
        <v>203</v>
      </c>
      <c r="KVI16" s="314" t="s">
        <v>203</v>
      </c>
      <c r="KVJ16" s="314" t="s">
        <v>203</v>
      </c>
      <c r="KVK16" s="314" t="s">
        <v>203</v>
      </c>
      <c r="KVL16" s="314" t="s">
        <v>203</v>
      </c>
      <c r="KVM16" s="314" t="s">
        <v>203</v>
      </c>
      <c r="KVN16" s="314" t="s">
        <v>203</v>
      </c>
      <c r="KVO16" s="314" t="s">
        <v>203</v>
      </c>
      <c r="KVP16" s="314" t="s">
        <v>203</v>
      </c>
      <c r="KVQ16" s="314" t="s">
        <v>203</v>
      </c>
      <c r="KVR16" s="314" t="s">
        <v>203</v>
      </c>
      <c r="KVS16" s="314" t="s">
        <v>203</v>
      </c>
      <c r="KVT16" s="314" t="s">
        <v>203</v>
      </c>
      <c r="KVU16" s="314" t="s">
        <v>203</v>
      </c>
      <c r="KVV16" s="314" t="s">
        <v>203</v>
      </c>
      <c r="KVW16" s="314" t="s">
        <v>203</v>
      </c>
      <c r="KVX16" s="314" t="s">
        <v>203</v>
      </c>
      <c r="KVY16" s="314" t="s">
        <v>203</v>
      </c>
      <c r="KVZ16" s="314" t="s">
        <v>203</v>
      </c>
      <c r="KWA16" s="314" t="s">
        <v>203</v>
      </c>
      <c r="KWB16" s="314" t="s">
        <v>203</v>
      </c>
      <c r="KWC16" s="314" t="s">
        <v>203</v>
      </c>
      <c r="KWD16" s="314" t="s">
        <v>203</v>
      </c>
      <c r="KWE16" s="314" t="s">
        <v>203</v>
      </c>
      <c r="KWF16" s="314" t="s">
        <v>203</v>
      </c>
      <c r="KWG16" s="314" t="s">
        <v>203</v>
      </c>
      <c r="KWH16" s="314" t="s">
        <v>203</v>
      </c>
      <c r="KWI16" s="314" t="s">
        <v>203</v>
      </c>
      <c r="KWJ16" s="314" t="s">
        <v>203</v>
      </c>
      <c r="KWK16" s="314" t="s">
        <v>203</v>
      </c>
      <c r="KWL16" s="314" t="s">
        <v>203</v>
      </c>
      <c r="KWM16" s="314" t="s">
        <v>203</v>
      </c>
      <c r="KWN16" s="314" t="s">
        <v>203</v>
      </c>
      <c r="KWO16" s="314" t="s">
        <v>203</v>
      </c>
      <c r="KWP16" s="314" t="s">
        <v>203</v>
      </c>
      <c r="KWQ16" s="314" t="s">
        <v>203</v>
      </c>
      <c r="KWR16" s="314" t="s">
        <v>203</v>
      </c>
      <c r="KWS16" s="314" t="s">
        <v>203</v>
      </c>
      <c r="KWT16" s="314" t="s">
        <v>203</v>
      </c>
      <c r="KWU16" s="314" t="s">
        <v>203</v>
      </c>
      <c r="KWV16" s="314" t="s">
        <v>203</v>
      </c>
      <c r="KWW16" s="314" t="s">
        <v>203</v>
      </c>
      <c r="KWX16" s="314" t="s">
        <v>203</v>
      </c>
      <c r="KWY16" s="314" t="s">
        <v>203</v>
      </c>
      <c r="KWZ16" s="314" t="s">
        <v>203</v>
      </c>
      <c r="KXA16" s="314" t="s">
        <v>203</v>
      </c>
      <c r="KXB16" s="314" t="s">
        <v>203</v>
      </c>
      <c r="KXC16" s="314" t="s">
        <v>203</v>
      </c>
      <c r="KXD16" s="314" t="s">
        <v>203</v>
      </c>
      <c r="KXE16" s="314" t="s">
        <v>203</v>
      </c>
      <c r="KXF16" s="314" t="s">
        <v>203</v>
      </c>
      <c r="KXG16" s="314" t="s">
        <v>203</v>
      </c>
      <c r="KXH16" s="314" t="s">
        <v>203</v>
      </c>
      <c r="KXI16" s="314" t="s">
        <v>203</v>
      </c>
      <c r="KXJ16" s="314" t="s">
        <v>203</v>
      </c>
      <c r="KXK16" s="314" t="s">
        <v>203</v>
      </c>
      <c r="KXL16" s="314" t="s">
        <v>203</v>
      </c>
      <c r="KXM16" s="314" t="s">
        <v>203</v>
      </c>
      <c r="KXN16" s="314" t="s">
        <v>203</v>
      </c>
      <c r="KXO16" s="314" t="s">
        <v>203</v>
      </c>
      <c r="KXP16" s="314" t="s">
        <v>203</v>
      </c>
      <c r="KXQ16" s="314" t="s">
        <v>203</v>
      </c>
      <c r="KXR16" s="314" t="s">
        <v>203</v>
      </c>
      <c r="KXS16" s="314" t="s">
        <v>203</v>
      </c>
      <c r="KXT16" s="314" t="s">
        <v>203</v>
      </c>
      <c r="KXU16" s="314" t="s">
        <v>203</v>
      </c>
      <c r="KXV16" s="314" t="s">
        <v>203</v>
      </c>
      <c r="KXW16" s="314" t="s">
        <v>203</v>
      </c>
      <c r="KXX16" s="314" t="s">
        <v>203</v>
      </c>
      <c r="KXY16" s="314" t="s">
        <v>203</v>
      </c>
      <c r="KXZ16" s="314" t="s">
        <v>203</v>
      </c>
      <c r="KYA16" s="314" t="s">
        <v>203</v>
      </c>
      <c r="KYB16" s="314" t="s">
        <v>203</v>
      </c>
      <c r="KYC16" s="314" t="s">
        <v>203</v>
      </c>
      <c r="KYD16" s="314" t="s">
        <v>203</v>
      </c>
      <c r="KYE16" s="314" t="s">
        <v>203</v>
      </c>
      <c r="KYF16" s="314" t="s">
        <v>203</v>
      </c>
      <c r="KYG16" s="314" t="s">
        <v>203</v>
      </c>
      <c r="KYH16" s="314" t="s">
        <v>203</v>
      </c>
      <c r="KYI16" s="314" t="s">
        <v>203</v>
      </c>
      <c r="KYJ16" s="314" t="s">
        <v>203</v>
      </c>
      <c r="KYK16" s="314" t="s">
        <v>203</v>
      </c>
      <c r="KYL16" s="314" t="s">
        <v>203</v>
      </c>
      <c r="KYM16" s="314" t="s">
        <v>203</v>
      </c>
      <c r="KYN16" s="314" t="s">
        <v>203</v>
      </c>
      <c r="KYO16" s="314" t="s">
        <v>203</v>
      </c>
      <c r="KYP16" s="314" t="s">
        <v>203</v>
      </c>
      <c r="KYQ16" s="314" t="s">
        <v>203</v>
      </c>
      <c r="KYR16" s="314" t="s">
        <v>203</v>
      </c>
      <c r="KYS16" s="314" t="s">
        <v>203</v>
      </c>
      <c r="KYT16" s="314" t="s">
        <v>203</v>
      </c>
      <c r="KYU16" s="314" t="s">
        <v>203</v>
      </c>
      <c r="KYV16" s="314" t="s">
        <v>203</v>
      </c>
      <c r="KYW16" s="314" t="s">
        <v>203</v>
      </c>
      <c r="KYX16" s="314" t="s">
        <v>203</v>
      </c>
      <c r="KYY16" s="314" t="s">
        <v>203</v>
      </c>
      <c r="KYZ16" s="314" t="s">
        <v>203</v>
      </c>
      <c r="KZA16" s="314" t="s">
        <v>203</v>
      </c>
      <c r="KZB16" s="314" t="s">
        <v>203</v>
      </c>
      <c r="KZC16" s="314" t="s">
        <v>203</v>
      </c>
      <c r="KZD16" s="314" t="s">
        <v>203</v>
      </c>
      <c r="KZE16" s="314" t="s">
        <v>203</v>
      </c>
      <c r="KZF16" s="314" t="s">
        <v>203</v>
      </c>
      <c r="KZG16" s="314" t="s">
        <v>203</v>
      </c>
      <c r="KZH16" s="314" t="s">
        <v>203</v>
      </c>
      <c r="KZI16" s="314" t="s">
        <v>203</v>
      </c>
      <c r="KZJ16" s="314" t="s">
        <v>203</v>
      </c>
      <c r="KZK16" s="314" t="s">
        <v>203</v>
      </c>
      <c r="KZL16" s="314" t="s">
        <v>203</v>
      </c>
      <c r="KZM16" s="314" t="s">
        <v>203</v>
      </c>
      <c r="KZN16" s="314" t="s">
        <v>203</v>
      </c>
      <c r="KZO16" s="314" t="s">
        <v>203</v>
      </c>
      <c r="KZP16" s="314" t="s">
        <v>203</v>
      </c>
      <c r="KZQ16" s="314" t="s">
        <v>203</v>
      </c>
      <c r="KZR16" s="314" t="s">
        <v>203</v>
      </c>
      <c r="KZS16" s="314" t="s">
        <v>203</v>
      </c>
      <c r="KZT16" s="314" t="s">
        <v>203</v>
      </c>
      <c r="KZU16" s="314" t="s">
        <v>203</v>
      </c>
      <c r="KZV16" s="314" t="s">
        <v>203</v>
      </c>
      <c r="KZW16" s="314" t="s">
        <v>203</v>
      </c>
      <c r="KZX16" s="314" t="s">
        <v>203</v>
      </c>
      <c r="KZY16" s="314" t="s">
        <v>203</v>
      </c>
      <c r="KZZ16" s="314" t="s">
        <v>203</v>
      </c>
      <c r="LAA16" s="314" t="s">
        <v>203</v>
      </c>
      <c r="LAB16" s="314" t="s">
        <v>203</v>
      </c>
      <c r="LAC16" s="314" t="s">
        <v>203</v>
      </c>
      <c r="LAD16" s="314" t="s">
        <v>203</v>
      </c>
      <c r="LAE16" s="314" t="s">
        <v>203</v>
      </c>
      <c r="LAF16" s="314" t="s">
        <v>203</v>
      </c>
      <c r="LAG16" s="314" t="s">
        <v>203</v>
      </c>
      <c r="LAH16" s="314" t="s">
        <v>203</v>
      </c>
      <c r="LAI16" s="314" t="s">
        <v>203</v>
      </c>
      <c r="LAJ16" s="314" t="s">
        <v>203</v>
      </c>
      <c r="LAK16" s="314" t="s">
        <v>203</v>
      </c>
      <c r="LAL16" s="314" t="s">
        <v>203</v>
      </c>
      <c r="LAM16" s="314" t="s">
        <v>203</v>
      </c>
      <c r="LAN16" s="314" t="s">
        <v>203</v>
      </c>
      <c r="LAO16" s="314" t="s">
        <v>203</v>
      </c>
      <c r="LAP16" s="314" t="s">
        <v>203</v>
      </c>
      <c r="LAQ16" s="314" t="s">
        <v>203</v>
      </c>
      <c r="LAR16" s="314" t="s">
        <v>203</v>
      </c>
      <c r="LAS16" s="314" t="s">
        <v>203</v>
      </c>
      <c r="LAT16" s="314" t="s">
        <v>203</v>
      </c>
      <c r="LAU16" s="314" t="s">
        <v>203</v>
      </c>
      <c r="LAV16" s="314" t="s">
        <v>203</v>
      </c>
      <c r="LAW16" s="314" t="s">
        <v>203</v>
      </c>
      <c r="LAX16" s="314" t="s">
        <v>203</v>
      </c>
      <c r="LAY16" s="314" t="s">
        <v>203</v>
      </c>
      <c r="LAZ16" s="314" t="s">
        <v>203</v>
      </c>
      <c r="LBA16" s="314" t="s">
        <v>203</v>
      </c>
      <c r="LBB16" s="314" t="s">
        <v>203</v>
      </c>
      <c r="LBC16" s="314" t="s">
        <v>203</v>
      </c>
      <c r="LBD16" s="314" t="s">
        <v>203</v>
      </c>
      <c r="LBE16" s="314" t="s">
        <v>203</v>
      </c>
      <c r="LBF16" s="314" t="s">
        <v>203</v>
      </c>
      <c r="LBG16" s="314" t="s">
        <v>203</v>
      </c>
      <c r="LBH16" s="314" t="s">
        <v>203</v>
      </c>
      <c r="LBI16" s="314" t="s">
        <v>203</v>
      </c>
      <c r="LBJ16" s="314" t="s">
        <v>203</v>
      </c>
      <c r="LBK16" s="314" t="s">
        <v>203</v>
      </c>
      <c r="LBL16" s="314" t="s">
        <v>203</v>
      </c>
      <c r="LBM16" s="314" t="s">
        <v>203</v>
      </c>
      <c r="LBN16" s="314" t="s">
        <v>203</v>
      </c>
      <c r="LBO16" s="314" t="s">
        <v>203</v>
      </c>
      <c r="LBP16" s="314" t="s">
        <v>203</v>
      </c>
      <c r="LBQ16" s="314" t="s">
        <v>203</v>
      </c>
      <c r="LBR16" s="314" t="s">
        <v>203</v>
      </c>
      <c r="LBS16" s="314" t="s">
        <v>203</v>
      </c>
      <c r="LBT16" s="314" t="s">
        <v>203</v>
      </c>
      <c r="LBU16" s="314" t="s">
        <v>203</v>
      </c>
      <c r="LBV16" s="314" t="s">
        <v>203</v>
      </c>
      <c r="LBW16" s="314" t="s">
        <v>203</v>
      </c>
      <c r="LBX16" s="314" t="s">
        <v>203</v>
      </c>
      <c r="LBY16" s="314" t="s">
        <v>203</v>
      </c>
      <c r="LBZ16" s="314" t="s">
        <v>203</v>
      </c>
      <c r="LCA16" s="314" t="s">
        <v>203</v>
      </c>
      <c r="LCB16" s="314" t="s">
        <v>203</v>
      </c>
      <c r="LCC16" s="314" t="s">
        <v>203</v>
      </c>
      <c r="LCD16" s="314" t="s">
        <v>203</v>
      </c>
      <c r="LCE16" s="314" t="s">
        <v>203</v>
      </c>
      <c r="LCF16" s="314" t="s">
        <v>203</v>
      </c>
      <c r="LCG16" s="314" t="s">
        <v>203</v>
      </c>
      <c r="LCH16" s="314" t="s">
        <v>203</v>
      </c>
      <c r="LCI16" s="314" t="s">
        <v>203</v>
      </c>
      <c r="LCJ16" s="314" t="s">
        <v>203</v>
      </c>
      <c r="LCK16" s="314" t="s">
        <v>203</v>
      </c>
      <c r="LCL16" s="314" t="s">
        <v>203</v>
      </c>
      <c r="LCM16" s="314" t="s">
        <v>203</v>
      </c>
      <c r="LCN16" s="314" t="s">
        <v>203</v>
      </c>
      <c r="LCO16" s="314" t="s">
        <v>203</v>
      </c>
      <c r="LCP16" s="314" t="s">
        <v>203</v>
      </c>
      <c r="LCQ16" s="314" t="s">
        <v>203</v>
      </c>
      <c r="LCR16" s="314" t="s">
        <v>203</v>
      </c>
      <c r="LCS16" s="314" t="s">
        <v>203</v>
      </c>
      <c r="LCT16" s="314" t="s">
        <v>203</v>
      </c>
      <c r="LCU16" s="314" t="s">
        <v>203</v>
      </c>
      <c r="LCV16" s="314" t="s">
        <v>203</v>
      </c>
      <c r="LCW16" s="314" t="s">
        <v>203</v>
      </c>
      <c r="LCX16" s="314" t="s">
        <v>203</v>
      </c>
      <c r="LCY16" s="314" t="s">
        <v>203</v>
      </c>
      <c r="LCZ16" s="314" t="s">
        <v>203</v>
      </c>
      <c r="LDA16" s="314" t="s">
        <v>203</v>
      </c>
      <c r="LDB16" s="314" t="s">
        <v>203</v>
      </c>
      <c r="LDC16" s="314" t="s">
        <v>203</v>
      </c>
      <c r="LDD16" s="314" t="s">
        <v>203</v>
      </c>
      <c r="LDE16" s="314" t="s">
        <v>203</v>
      </c>
      <c r="LDF16" s="314" t="s">
        <v>203</v>
      </c>
      <c r="LDG16" s="314" t="s">
        <v>203</v>
      </c>
      <c r="LDH16" s="314" t="s">
        <v>203</v>
      </c>
      <c r="LDI16" s="314" t="s">
        <v>203</v>
      </c>
      <c r="LDJ16" s="314" t="s">
        <v>203</v>
      </c>
      <c r="LDK16" s="314" t="s">
        <v>203</v>
      </c>
      <c r="LDL16" s="314" t="s">
        <v>203</v>
      </c>
      <c r="LDM16" s="314" t="s">
        <v>203</v>
      </c>
      <c r="LDN16" s="314" t="s">
        <v>203</v>
      </c>
      <c r="LDO16" s="314" t="s">
        <v>203</v>
      </c>
      <c r="LDP16" s="314" t="s">
        <v>203</v>
      </c>
      <c r="LDQ16" s="314" t="s">
        <v>203</v>
      </c>
      <c r="LDR16" s="314" t="s">
        <v>203</v>
      </c>
      <c r="LDS16" s="314" t="s">
        <v>203</v>
      </c>
      <c r="LDT16" s="314" t="s">
        <v>203</v>
      </c>
      <c r="LDU16" s="314" t="s">
        <v>203</v>
      </c>
      <c r="LDV16" s="314" t="s">
        <v>203</v>
      </c>
      <c r="LDW16" s="314" t="s">
        <v>203</v>
      </c>
      <c r="LDX16" s="314" t="s">
        <v>203</v>
      </c>
      <c r="LDY16" s="314" t="s">
        <v>203</v>
      </c>
      <c r="LDZ16" s="314" t="s">
        <v>203</v>
      </c>
      <c r="LEA16" s="314" t="s">
        <v>203</v>
      </c>
      <c r="LEB16" s="314" t="s">
        <v>203</v>
      </c>
      <c r="LEC16" s="314" t="s">
        <v>203</v>
      </c>
      <c r="LED16" s="314" t="s">
        <v>203</v>
      </c>
      <c r="LEE16" s="314" t="s">
        <v>203</v>
      </c>
      <c r="LEF16" s="314" t="s">
        <v>203</v>
      </c>
      <c r="LEG16" s="314" t="s">
        <v>203</v>
      </c>
      <c r="LEH16" s="314" t="s">
        <v>203</v>
      </c>
      <c r="LEI16" s="314" t="s">
        <v>203</v>
      </c>
      <c r="LEJ16" s="314" t="s">
        <v>203</v>
      </c>
      <c r="LEK16" s="314" t="s">
        <v>203</v>
      </c>
      <c r="LEL16" s="314" t="s">
        <v>203</v>
      </c>
      <c r="LEM16" s="314" t="s">
        <v>203</v>
      </c>
      <c r="LEN16" s="314" t="s">
        <v>203</v>
      </c>
      <c r="LEO16" s="314" t="s">
        <v>203</v>
      </c>
      <c r="LEP16" s="314" t="s">
        <v>203</v>
      </c>
      <c r="LEQ16" s="314" t="s">
        <v>203</v>
      </c>
      <c r="LER16" s="314" t="s">
        <v>203</v>
      </c>
      <c r="LES16" s="314" t="s">
        <v>203</v>
      </c>
      <c r="LET16" s="314" t="s">
        <v>203</v>
      </c>
      <c r="LEU16" s="314" t="s">
        <v>203</v>
      </c>
      <c r="LEV16" s="314" t="s">
        <v>203</v>
      </c>
      <c r="LEW16" s="314" t="s">
        <v>203</v>
      </c>
      <c r="LEX16" s="314" t="s">
        <v>203</v>
      </c>
      <c r="LEY16" s="314" t="s">
        <v>203</v>
      </c>
      <c r="LEZ16" s="314" t="s">
        <v>203</v>
      </c>
      <c r="LFA16" s="314" t="s">
        <v>203</v>
      </c>
      <c r="LFB16" s="314" t="s">
        <v>203</v>
      </c>
      <c r="LFC16" s="314" t="s">
        <v>203</v>
      </c>
      <c r="LFD16" s="314" t="s">
        <v>203</v>
      </c>
      <c r="LFE16" s="314" t="s">
        <v>203</v>
      </c>
      <c r="LFF16" s="314" t="s">
        <v>203</v>
      </c>
      <c r="LFG16" s="314" t="s">
        <v>203</v>
      </c>
      <c r="LFH16" s="314" t="s">
        <v>203</v>
      </c>
      <c r="LFI16" s="314" t="s">
        <v>203</v>
      </c>
      <c r="LFJ16" s="314" t="s">
        <v>203</v>
      </c>
      <c r="LFK16" s="314" t="s">
        <v>203</v>
      </c>
      <c r="LFL16" s="314" t="s">
        <v>203</v>
      </c>
      <c r="LFM16" s="314" t="s">
        <v>203</v>
      </c>
      <c r="LFN16" s="314" t="s">
        <v>203</v>
      </c>
      <c r="LFO16" s="314" t="s">
        <v>203</v>
      </c>
      <c r="LFP16" s="314" t="s">
        <v>203</v>
      </c>
      <c r="LFQ16" s="314" t="s">
        <v>203</v>
      </c>
      <c r="LFR16" s="314" t="s">
        <v>203</v>
      </c>
      <c r="LFS16" s="314" t="s">
        <v>203</v>
      </c>
      <c r="LFT16" s="314" t="s">
        <v>203</v>
      </c>
      <c r="LFU16" s="314" t="s">
        <v>203</v>
      </c>
      <c r="LFV16" s="314" t="s">
        <v>203</v>
      </c>
      <c r="LFW16" s="314" t="s">
        <v>203</v>
      </c>
      <c r="LFX16" s="314" t="s">
        <v>203</v>
      </c>
      <c r="LFY16" s="314" t="s">
        <v>203</v>
      </c>
      <c r="LFZ16" s="314" t="s">
        <v>203</v>
      </c>
      <c r="LGA16" s="314" t="s">
        <v>203</v>
      </c>
      <c r="LGB16" s="314" t="s">
        <v>203</v>
      </c>
      <c r="LGC16" s="314" t="s">
        <v>203</v>
      </c>
      <c r="LGD16" s="314" t="s">
        <v>203</v>
      </c>
      <c r="LGE16" s="314" t="s">
        <v>203</v>
      </c>
      <c r="LGF16" s="314" t="s">
        <v>203</v>
      </c>
      <c r="LGG16" s="314" t="s">
        <v>203</v>
      </c>
      <c r="LGH16" s="314" t="s">
        <v>203</v>
      </c>
      <c r="LGI16" s="314" t="s">
        <v>203</v>
      </c>
      <c r="LGJ16" s="314" t="s">
        <v>203</v>
      </c>
      <c r="LGK16" s="314" t="s">
        <v>203</v>
      </c>
      <c r="LGL16" s="314" t="s">
        <v>203</v>
      </c>
      <c r="LGM16" s="314" t="s">
        <v>203</v>
      </c>
      <c r="LGN16" s="314" t="s">
        <v>203</v>
      </c>
      <c r="LGO16" s="314" t="s">
        <v>203</v>
      </c>
      <c r="LGP16" s="314" t="s">
        <v>203</v>
      </c>
      <c r="LGQ16" s="314" t="s">
        <v>203</v>
      </c>
      <c r="LGR16" s="314" t="s">
        <v>203</v>
      </c>
      <c r="LGS16" s="314" t="s">
        <v>203</v>
      </c>
      <c r="LGT16" s="314" t="s">
        <v>203</v>
      </c>
      <c r="LGU16" s="314" t="s">
        <v>203</v>
      </c>
      <c r="LGV16" s="314" t="s">
        <v>203</v>
      </c>
      <c r="LGW16" s="314" t="s">
        <v>203</v>
      </c>
      <c r="LGX16" s="314" t="s">
        <v>203</v>
      </c>
      <c r="LGY16" s="314" t="s">
        <v>203</v>
      </c>
      <c r="LGZ16" s="314" t="s">
        <v>203</v>
      </c>
      <c r="LHA16" s="314" t="s">
        <v>203</v>
      </c>
      <c r="LHB16" s="314" t="s">
        <v>203</v>
      </c>
      <c r="LHC16" s="314" t="s">
        <v>203</v>
      </c>
      <c r="LHD16" s="314" t="s">
        <v>203</v>
      </c>
      <c r="LHE16" s="314" t="s">
        <v>203</v>
      </c>
      <c r="LHF16" s="314" t="s">
        <v>203</v>
      </c>
      <c r="LHG16" s="314" t="s">
        <v>203</v>
      </c>
      <c r="LHH16" s="314" t="s">
        <v>203</v>
      </c>
      <c r="LHI16" s="314" t="s">
        <v>203</v>
      </c>
      <c r="LHJ16" s="314" t="s">
        <v>203</v>
      </c>
      <c r="LHK16" s="314" t="s">
        <v>203</v>
      </c>
      <c r="LHL16" s="314" t="s">
        <v>203</v>
      </c>
      <c r="LHM16" s="314" t="s">
        <v>203</v>
      </c>
      <c r="LHN16" s="314" t="s">
        <v>203</v>
      </c>
      <c r="LHO16" s="314" t="s">
        <v>203</v>
      </c>
      <c r="LHP16" s="314" t="s">
        <v>203</v>
      </c>
      <c r="LHQ16" s="314" t="s">
        <v>203</v>
      </c>
      <c r="LHR16" s="314" t="s">
        <v>203</v>
      </c>
      <c r="LHS16" s="314" t="s">
        <v>203</v>
      </c>
      <c r="LHT16" s="314" t="s">
        <v>203</v>
      </c>
      <c r="LHU16" s="314" t="s">
        <v>203</v>
      </c>
      <c r="LHV16" s="314" t="s">
        <v>203</v>
      </c>
      <c r="LHW16" s="314" t="s">
        <v>203</v>
      </c>
      <c r="LHX16" s="314" t="s">
        <v>203</v>
      </c>
      <c r="LHY16" s="314" t="s">
        <v>203</v>
      </c>
      <c r="LHZ16" s="314" t="s">
        <v>203</v>
      </c>
      <c r="LIA16" s="314" t="s">
        <v>203</v>
      </c>
      <c r="LIB16" s="314" t="s">
        <v>203</v>
      </c>
      <c r="LIC16" s="314" t="s">
        <v>203</v>
      </c>
      <c r="LID16" s="314" t="s">
        <v>203</v>
      </c>
      <c r="LIE16" s="314" t="s">
        <v>203</v>
      </c>
      <c r="LIF16" s="314" t="s">
        <v>203</v>
      </c>
      <c r="LIG16" s="314" t="s">
        <v>203</v>
      </c>
      <c r="LIH16" s="314" t="s">
        <v>203</v>
      </c>
      <c r="LII16" s="314" t="s">
        <v>203</v>
      </c>
      <c r="LIJ16" s="314" t="s">
        <v>203</v>
      </c>
      <c r="LIK16" s="314" t="s">
        <v>203</v>
      </c>
      <c r="LIL16" s="314" t="s">
        <v>203</v>
      </c>
      <c r="LIM16" s="314" t="s">
        <v>203</v>
      </c>
      <c r="LIN16" s="314" t="s">
        <v>203</v>
      </c>
      <c r="LIO16" s="314" t="s">
        <v>203</v>
      </c>
      <c r="LIP16" s="314" t="s">
        <v>203</v>
      </c>
      <c r="LIQ16" s="314" t="s">
        <v>203</v>
      </c>
      <c r="LIR16" s="314" t="s">
        <v>203</v>
      </c>
      <c r="LIS16" s="314" t="s">
        <v>203</v>
      </c>
      <c r="LIT16" s="314" t="s">
        <v>203</v>
      </c>
      <c r="LIU16" s="314" t="s">
        <v>203</v>
      </c>
      <c r="LIV16" s="314" t="s">
        <v>203</v>
      </c>
      <c r="LIW16" s="314" t="s">
        <v>203</v>
      </c>
      <c r="LIX16" s="314" t="s">
        <v>203</v>
      </c>
      <c r="LIY16" s="314" t="s">
        <v>203</v>
      </c>
      <c r="LIZ16" s="314" t="s">
        <v>203</v>
      </c>
      <c r="LJA16" s="314" t="s">
        <v>203</v>
      </c>
      <c r="LJB16" s="314" t="s">
        <v>203</v>
      </c>
      <c r="LJC16" s="314" t="s">
        <v>203</v>
      </c>
      <c r="LJD16" s="314" t="s">
        <v>203</v>
      </c>
      <c r="LJE16" s="314" t="s">
        <v>203</v>
      </c>
      <c r="LJF16" s="314" t="s">
        <v>203</v>
      </c>
      <c r="LJG16" s="314" t="s">
        <v>203</v>
      </c>
      <c r="LJH16" s="314" t="s">
        <v>203</v>
      </c>
      <c r="LJI16" s="314" t="s">
        <v>203</v>
      </c>
      <c r="LJJ16" s="314" t="s">
        <v>203</v>
      </c>
      <c r="LJK16" s="314" t="s">
        <v>203</v>
      </c>
      <c r="LJL16" s="314" t="s">
        <v>203</v>
      </c>
      <c r="LJM16" s="314" t="s">
        <v>203</v>
      </c>
      <c r="LJN16" s="314" t="s">
        <v>203</v>
      </c>
      <c r="LJO16" s="314" t="s">
        <v>203</v>
      </c>
      <c r="LJP16" s="314" t="s">
        <v>203</v>
      </c>
      <c r="LJQ16" s="314" t="s">
        <v>203</v>
      </c>
      <c r="LJR16" s="314" t="s">
        <v>203</v>
      </c>
      <c r="LJS16" s="314" t="s">
        <v>203</v>
      </c>
      <c r="LJT16" s="314" t="s">
        <v>203</v>
      </c>
      <c r="LJU16" s="314" t="s">
        <v>203</v>
      </c>
      <c r="LJV16" s="314" t="s">
        <v>203</v>
      </c>
      <c r="LJW16" s="314" t="s">
        <v>203</v>
      </c>
      <c r="LJX16" s="314" t="s">
        <v>203</v>
      </c>
      <c r="LJY16" s="314" t="s">
        <v>203</v>
      </c>
      <c r="LJZ16" s="314" t="s">
        <v>203</v>
      </c>
      <c r="LKA16" s="314" t="s">
        <v>203</v>
      </c>
      <c r="LKB16" s="314" t="s">
        <v>203</v>
      </c>
      <c r="LKC16" s="314" t="s">
        <v>203</v>
      </c>
      <c r="LKD16" s="314" t="s">
        <v>203</v>
      </c>
      <c r="LKE16" s="314" t="s">
        <v>203</v>
      </c>
      <c r="LKF16" s="314" t="s">
        <v>203</v>
      </c>
      <c r="LKG16" s="314" t="s">
        <v>203</v>
      </c>
      <c r="LKH16" s="314" t="s">
        <v>203</v>
      </c>
      <c r="LKI16" s="314" t="s">
        <v>203</v>
      </c>
      <c r="LKJ16" s="314" t="s">
        <v>203</v>
      </c>
      <c r="LKK16" s="314" t="s">
        <v>203</v>
      </c>
      <c r="LKL16" s="314" t="s">
        <v>203</v>
      </c>
      <c r="LKM16" s="314" t="s">
        <v>203</v>
      </c>
      <c r="LKN16" s="314" t="s">
        <v>203</v>
      </c>
      <c r="LKO16" s="314" t="s">
        <v>203</v>
      </c>
      <c r="LKP16" s="314" t="s">
        <v>203</v>
      </c>
      <c r="LKQ16" s="314" t="s">
        <v>203</v>
      </c>
      <c r="LKR16" s="314" t="s">
        <v>203</v>
      </c>
      <c r="LKS16" s="314" t="s">
        <v>203</v>
      </c>
      <c r="LKT16" s="314" t="s">
        <v>203</v>
      </c>
      <c r="LKU16" s="314" t="s">
        <v>203</v>
      </c>
      <c r="LKV16" s="314" t="s">
        <v>203</v>
      </c>
      <c r="LKW16" s="314" t="s">
        <v>203</v>
      </c>
      <c r="LKX16" s="314" t="s">
        <v>203</v>
      </c>
      <c r="LKY16" s="314" t="s">
        <v>203</v>
      </c>
      <c r="LKZ16" s="314" t="s">
        <v>203</v>
      </c>
      <c r="LLA16" s="314" t="s">
        <v>203</v>
      </c>
      <c r="LLB16" s="314" t="s">
        <v>203</v>
      </c>
      <c r="LLC16" s="314" t="s">
        <v>203</v>
      </c>
      <c r="LLD16" s="314" t="s">
        <v>203</v>
      </c>
      <c r="LLE16" s="314" t="s">
        <v>203</v>
      </c>
      <c r="LLF16" s="314" t="s">
        <v>203</v>
      </c>
      <c r="LLG16" s="314" t="s">
        <v>203</v>
      </c>
      <c r="LLH16" s="314" t="s">
        <v>203</v>
      </c>
      <c r="LLI16" s="314" t="s">
        <v>203</v>
      </c>
      <c r="LLJ16" s="314" t="s">
        <v>203</v>
      </c>
      <c r="LLK16" s="314" t="s">
        <v>203</v>
      </c>
      <c r="LLL16" s="314" t="s">
        <v>203</v>
      </c>
      <c r="LLM16" s="314" t="s">
        <v>203</v>
      </c>
      <c r="LLN16" s="314" t="s">
        <v>203</v>
      </c>
      <c r="LLO16" s="314" t="s">
        <v>203</v>
      </c>
      <c r="LLP16" s="314" t="s">
        <v>203</v>
      </c>
      <c r="LLQ16" s="314" t="s">
        <v>203</v>
      </c>
      <c r="LLR16" s="314" t="s">
        <v>203</v>
      </c>
      <c r="LLS16" s="314" t="s">
        <v>203</v>
      </c>
      <c r="LLT16" s="314" t="s">
        <v>203</v>
      </c>
      <c r="LLU16" s="314" t="s">
        <v>203</v>
      </c>
      <c r="LLV16" s="314" t="s">
        <v>203</v>
      </c>
      <c r="LLW16" s="314" t="s">
        <v>203</v>
      </c>
      <c r="LLX16" s="314" t="s">
        <v>203</v>
      </c>
      <c r="LLY16" s="314" t="s">
        <v>203</v>
      </c>
      <c r="LLZ16" s="314" t="s">
        <v>203</v>
      </c>
      <c r="LMA16" s="314" t="s">
        <v>203</v>
      </c>
      <c r="LMB16" s="314" t="s">
        <v>203</v>
      </c>
      <c r="LMC16" s="314" t="s">
        <v>203</v>
      </c>
      <c r="LMD16" s="314" t="s">
        <v>203</v>
      </c>
      <c r="LME16" s="314" t="s">
        <v>203</v>
      </c>
      <c r="LMF16" s="314" t="s">
        <v>203</v>
      </c>
      <c r="LMG16" s="314" t="s">
        <v>203</v>
      </c>
      <c r="LMH16" s="314" t="s">
        <v>203</v>
      </c>
      <c r="LMI16" s="314" t="s">
        <v>203</v>
      </c>
      <c r="LMJ16" s="314" t="s">
        <v>203</v>
      </c>
      <c r="LMK16" s="314" t="s">
        <v>203</v>
      </c>
      <c r="LML16" s="314" t="s">
        <v>203</v>
      </c>
      <c r="LMM16" s="314" t="s">
        <v>203</v>
      </c>
      <c r="LMN16" s="314" t="s">
        <v>203</v>
      </c>
      <c r="LMO16" s="314" t="s">
        <v>203</v>
      </c>
      <c r="LMP16" s="314" t="s">
        <v>203</v>
      </c>
      <c r="LMQ16" s="314" t="s">
        <v>203</v>
      </c>
      <c r="LMR16" s="314" t="s">
        <v>203</v>
      </c>
      <c r="LMS16" s="314" t="s">
        <v>203</v>
      </c>
      <c r="LMT16" s="314" t="s">
        <v>203</v>
      </c>
      <c r="LMU16" s="314" t="s">
        <v>203</v>
      </c>
      <c r="LMV16" s="314" t="s">
        <v>203</v>
      </c>
      <c r="LMW16" s="314" t="s">
        <v>203</v>
      </c>
      <c r="LMX16" s="314" t="s">
        <v>203</v>
      </c>
      <c r="LMY16" s="314" t="s">
        <v>203</v>
      </c>
      <c r="LMZ16" s="314" t="s">
        <v>203</v>
      </c>
      <c r="LNA16" s="314" t="s">
        <v>203</v>
      </c>
      <c r="LNB16" s="314" t="s">
        <v>203</v>
      </c>
      <c r="LNC16" s="314" t="s">
        <v>203</v>
      </c>
      <c r="LND16" s="314" t="s">
        <v>203</v>
      </c>
      <c r="LNE16" s="314" t="s">
        <v>203</v>
      </c>
      <c r="LNF16" s="314" t="s">
        <v>203</v>
      </c>
      <c r="LNG16" s="314" t="s">
        <v>203</v>
      </c>
      <c r="LNH16" s="314" t="s">
        <v>203</v>
      </c>
      <c r="LNI16" s="314" t="s">
        <v>203</v>
      </c>
      <c r="LNJ16" s="314" t="s">
        <v>203</v>
      </c>
      <c r="LNK16" s="314" t="s">
        <v>203</v>
      </c>
      <c r="LNL16" s="314" t="s">
        <v>203</v>
      </c>
      <c r="LNM16" s="314" t="s">
        <v>203</v>
      </c>
      <c r="LNN16" s="314" t="s">
        <v>203</v>
      </c>
      <c r="LNO16" s="314" t="s">
        <v>203</v>
      </c>
      <c r="LNP16" s="314" t="s">
        <v>203</v>
      </c>
      <c r="LNQ16" s="314" t="s">
        <v>203</v>
      </c>
      <c r="LNR16" s="314" t="s">
        <v>203</v>
      </c>
      <c r="LNS16" s="314" t="s">
        <v>203</v>
      </c>
      <c r="LNT16" s="314" t="s">
        <v>203</v>
      </c>
      <c r="LNU16" s="314" t="s">
        <v>203</v>
      </c>
      <c r="LNV16" s="314" t="s">
        <v>203</v>
      </c>
      <c r="LNW16" s="314" t="s">
        <v>203</v>
      </c>
      <c r="LNX16" s="314" t="s">
        <v>203</v>
      </c>
      <c r="LNY16" s="314" t="s">
        <v>203</v>
      </c>
      <c r="LNZ16" s="314" t="s">
        <v>203</v>
      </c>
      <c r="LOA16" s="314" t="s">
        <v>203</v>
      </c>
      <c r="LOB16" s="314" t="s">
        <v>203</v>
      </c>
      <c r="LOC16" s="314" t="s">
        <v>203</v>
      </c>
      <c r="LOD16" s="314" t="s">
        <v>203</v>
      </c>
      <c r="LOE16" s="314" t="s">
        <v>203</v>
      </c>
      <c r="LOF16" s="314" t="s">
        <v>203</v>
      </c>
      <c r="LOG16" s="314" t="s">
        <v>203</v>
      </c>
      <c r="LOH16" s="314" t="s">
        <v>203</v>
      </c>
      <c r="LOI16" s="314" t="s">
        <v>203</v>
      </c>
      <c r="LOJ16" s="314" t="s">
        <v>203</v>
      </c>
      <c r="LOK16" s="314" t="s">
        <v>203</v>
      </c>
      <c r="LOL16" s="314" t="s">
        <v>203</v>
      </c>
      <c r="LOM16" s="314" t="s">
        <v>203</v>
      </c>
      <c r="LON16" s="314" t="s">
        <v>203</v>
      </c>
      <c r="LOO16" s="314" t="s">
        <v>203</v>
      </c>
      <c r="LOP16" s="314" t="s">
        <v>203</v>
      </c>
      <c r="LOQ16" s="314" t="s">
        <v>203</v>
      </c>
      <c r="LOR16" s="314" t="s">
        <v>203</v>
      </c>
      <c r="LOS16" s="314" t="s">
        <v>203</v>
      </c>
      <c r="LOT16" s="314" t="s">
        <v>203</v>
      </c>
      <c r="LOU16" s="314" t="s">
        <v>203</v>
      </c>
      <c r="LOV16" s="314" t="s">
        <v>203</v>
      </c>
      <c r="LOW16" s="314" t="s">
        <v>203</v>
      </c>
      <c r="LOX16" s="314" t="s">
        <v>203</v>
      </c>
      <c r="LOY16" s="314" t="s">
        <v>203</v>
      </c>
      <c r="LOZ16" s="314" t="s">
        <v>203</v>
      </c>
      <c r="LPA16" s="314" t="s">
        <v>203</v>
      </c>
      <c r="LPB16" s="314" t="s">
        <v>203</v>
      </c>
      <c r="LPC16" s="314" t="s">
        <v>203</v>
      </c>
      <c r="LPD16" s="314" t="s">
        <v>203</v>
      </c>
      <c r="LPE16" s="314" t="s">
        <v>203</v>
      </c>
      <c r="LPF16" s="314" t="s">
        <v>203</v>
      </c>
      <c r="LPG16" s="314" t="s">
        <v>203</v>
      </c>
      <c r="LPH16" s="314" t="s">
        <v>203</v>
      </c>
      <c r="LPI16" s="314" t="s">
        <v>203</v>
      </c>
      <c r="LPJ16" s="314" t="s">
        <v>203</v>
      </c>
      <c r="LPK16" s="314" t="s">
        <v>203</v>
      </c>
      <c r="LPL16" s="314" t="s">
        <v>203</v>
      </c>
      <c r="LPM16" s="314" t="s">
        <v>203</v>
      </c>
      <c r="LPN16" s="314" t="s">
        <v>203</v>
      </c>
      <c r="LPO16" s="314" t="s">
        <v>203</v>
      </c>
      <c r="LPP16" s="314" t="s">
        <v>203</v>
      </c>
      <c r="LPQ16" s="314" t="s">
        <v>203</v>
      </c>
      <c r="LPR16" s="314" t="s">
        <v>203</v>
      </c>
      <c r="LPS16" s="314" t="s">
        <v>203</v>
      </c>
      <c r="LPT16" s="314" t="s">
        <v>203</v>
      </c>
      <c r="LPU16" s="314" t="s">
        <v>203</v>
      </c>
      <c r="LPV16" s="314" t="s">
        <v>203</v>
      </c>
      <c r="LPW16" s="314" t="s">
        <v>203</v>
      </c>
      <c r="LPX16" s="314" t="s">
        <v>203</v>
      </c>
      <c r="LPY16" s="314" t="s">
        <v>203</v>
      </c>
      <c r="LPZ16" s="314" t="s">
        <v>203</v>
      </c>
      <c r="LQA16" s="314" t="s">
        <v>203</v>
      </c>
      <c r="LQB16" s="314" t="s">
        <v>203</v>
      </c>
      <c r="LQC16" s="314" t="s">
        <v>203</v>
      </c>
      <c r="LQD16" s="314" t="s">
        <v>203</v>
      </c>
      <c r="LQE16" s="314" t="s">
        <v>203</v>
      </c>
      <c r="LQF16" s="314" t="s">
        <v>203</v>
      </c>
      <c r="LQG16" s="314" t="s">
        <v>203</v>
      </c>
      <c r="LQH16" s="314" t="s">
        <v>203</v>
      </c>
      <c r="LQI16" s="314" t="s">
        <v>203</v>
      </c>
      <c r="LQJ16" s="314" t="s">
        <v>203</v>
      </c>
      <c r="LQK16" s="314" t="s">
        <v>203</v>
      </c>
      <c r="LQL16" s="314" t="s">
        <v>203</v>
      </c>
      <c r="LQM16" s="314" t="s">
        <v>203</v>
      </c>
      <c r="LQN16" s="314" t="s">
        <v>203</v>
      </c>
      <c r="LQO16" s="314" t="s">
        <v>203</v>
      </c>
      <c r="LQP16" s="314" t="s">
        <v>203</v>
      </c>
      <c r="LQQ16" s="314" t="s">
        <v>203</v>
      </c>
      <c r="LQR16" s="314" t="s">
        <v>203</v>
      </c>
      <c r="LQS16" s="314" t="s">
        <v>203</v>
      </c>
      <c r="LQT16" s="314" t="s">
        <v>203</v>
      </c>
      <c r="LQU16" s="314" t="s">
        <v>203</v>
      </c>
      <c r="LQV16" s="314" t="s">
        <v>203</v>
      </c>
      <c r="LQW16" s="314" t="s">
        <v>203</v>
      </c>
      <c r="LQX16" s="314" t="s">
        <v>203</v>
      </c>
      <c r="LQY16" s="314" t="s">
        <v>203</v>
      </c>
      <c r="LQZ16" s="314" t="s">
        <v>203</v>
      </c>
      <c r="LRA16" s="314" t="s">
        <v>203</v>
      </c>
      <c r="LRB16" s="314" t="s">
        <v>203</v>
      </c>
      <c r="LRC16" s="314" t="s">
        <v>203</v>
      </c>
      <c r="LRD16" s="314" t="s">
        <v>203</v>
      </c>
      <c r="LRE16" s="314" t="s">
        <v>203</v>
      </c>
      <c r="LRF16" s="314" t="s">
        <v>203</v>
      </c>
      <c r="LRG16" s="314" t="s">
        <v>203</v>
      </c>
      <c r="LRH16" s="314" t="s">
        <v>203</v>
      </c>
      <c r="LRI16" s="314" t="s">
        <v>203</v>
      </c>
      <c r="LRJ16" s="314" t="s">
        <v>203</v>
      </c>
      <c r="LRK16" s="314" t="s">
        <v>203</v>
      </c>
      <c r="LRL16" s="314" t="s">
        <v>203</v>
      </c>
      <c r="LRM16" s="314" t="s">
        <v>203</v>
      </c>
      <c r="LRN16" s="314" t="s">
        <v>203</v>
      </c>
      <c r="LRO16" s="314" t="s">
        <v>203</v>
      </c>
      <c r="LRP16" s="314" t="s">
        <v>203</v>
      </c>
      <c r="LRQ16" s="314" t="s">
        <v>203</v>
      </c>
      <c r="LRR16" s="314" t="s">
        <v>203</v>
      </c>
      <c r="LRS16" s="314" t="s">
        <v>203</v>
      </c>
      <c r="LRT16" s="314" t="s">
        <v>203</v>
      </c>
      <c r="LRU16" s="314" t="s">
        <v>203</v>
      </c>
      <c r="LRV16" s="314" t="s">
        <v>203</v>
      </c>
      <c r="LRW16" s="314" t="s">
        <v>203</v>
      </c>
      <c r="LRX16" s="314" t="s">
        <v>203</v>
      </c>
      <c r="LRY16" s="314" t="s">
        <v>203</v>
      </c>
      <c r="LRZ16" s="314" t="s">
        <v>203</v>
      </c>
      <c r="LSA16" s="314" t="s">
        <v>203</v>
      </c>
      <c r="LSB16" s="314" t="s">
        <v>203</v>
      </c>
      <c r="LSC16" s="314" t="s">
        <v>203</v>
      </c>
      <c r="LSD16" s="314" t="s">
        <v>203</v>
      </c>
      <c r="LSE16" s="314" t="s">
        <v>203</v>
      </c>
      <c r="LSF16" s="314" t="s">
        <v>203</v>
      </c>
      <c r="LSG16" s="314" t="s">
        <v>203</v>
      </c>
      <c r="LSH16" s="314" t="s">
        <v>203</v>
      </c>
      <c r="LSI16" s="314" t="s">
        <v>203</v>
      </c>
      <c r="LSJ16" s="314" t="s">
        <v>203</v>
      </c>
      <c r="LSK16" s="314" t="s">
        <v>203</v>
      </c>
      <c r="LSL16" s="314" t="s">
        <v>203</v>
      </c>
      <c r="LSM16" s="314" t="s">
        <v>203</v>
      </c>
      <c r="LSN16" s="314" t="s">
        <v>203</v>
      </c>
      <c r="LSO16" s="314" t="s">
        <v>203</v>
      </c>
      <c r="LSP16" s="314" t="s">
        <v>203</v>
      </c>
      <c r="LSQ16" s="314" t="s">
        <v>203</v>
      </c>
      <c r="LSR16" s="314" t="s">
        <v>203</v>
      </c>
      <c r="LSS16" s="314" t="s">
        <v>203</v>
      </c>
      <c r="LST16" s="314" t="s">
        <v>203</v>
      </c>
      <c r="LSU16" s="314" t="s">
        <v>203</v>
      </c>
      <c r="LSV16" s="314" t="s">
        <v>203</v>
      </c>
      <c r="LSW16" s="314" t="s">
        <v>203</v>
      </c>
      <c r="LSX16" s="314" t="s">
        <v>203</v>
      </c>
      <c r="LSY16" s="314" t="s">
        <v>203</v>
      </c>
      <c r="LSZ16" s="314" t="s">
        <v>203</v>
      </c>
      <c r="LTA16" s="314" t="s">
        <v>203</v>
      </c>
      <c r="LTB16" s="314" t="s">
        <v>203</v>
      </c>
      <c r="LTC16" s="314" t="s">
        <v>203</v>
      </c>
      <c r="LTD16" s="314" t="s">
        <v>203</v>
      </c>
      <c r="LTE16" s="314" t="s">
        <v>203</v>
      </c>
      <c r="LTF16" s="314" t="s">
        <v>203</v>
      </c>
      <c r="LTG16" s="314" t="s">
        <v>203</v>
      </c>
      <c r="LTH16" s="314" t="s">
        <v>203</v>
      </c>
      <c r="LTI16" s="314" t="s">
        <v>203</v>
      </c>
      <c r="LTJ16" s="314" t="s">
        <v>203</v>
      </c>
      <c r="LTK16" s="314" t="s">
        <v>203</v>
      </c>
      <c r="LTL16" s="314" t="s">
        <v>203</v>
      </c>
      <c r="LTM16" s="314" t="s">
        <v>203</v>
      </c>
      <c r="LTN16" s="314" t="s">
        <v>203</v>
      </c>
      <c r="LTO16" s="314" t="s">
        <v>203</v>
      </c>
      <c r="LTP16" s="314" t="s">
        <v>203</v>
      </c>
      <c r="LTQ16" s="314" t="s">
        <v>203</v>
      </c>
      <c r="LTR16" s="314" t="s">
        <v>203</v>
      </c>
      <c r="LTS16" s="314" t="s">
        <v>203</v>
      </c>
      <c r="LTT16" s="314" t="s">
        <v>203</v>
      </c>
      <c r="LTU16" s="314" t="s">
        <v>203</v>
      </c>
      <c r="LTV16" s="314" t="s">
        <v>203</v>
      </c>
      <c r="LTW16" s="314" t="s">
        <v>203</v>
      </c>
      <c r="LTX16" s="314" t="s">
        <v>203</v>
      </c>
      <c r="LTY16" s="314" t="s">
        <v>203</v>
      </c>
      <c r="LTZ16" s="314" t="s">
        <v>203</v>
      </c>
      <c r="LUA16" s="314" t="s">
        <v>203</v>
      </c>
      <c r="LUB16" s="314" t="s">
        <v>203</v>
      </c>
      <c r="LUC16" s="314" t="s">
        <v>203</v>
      </c>
      <c r="LUD16" s="314" t="s">
        <v>203</v>
      </c>
      <c r="LUE16" s="314" t="s">
        <v>203</v>
      </c>
      <c r="LUF16" s="314" t="s">
        <v>203</v>
      </c>
      <c r="LUG16" s="314" t="s">
        <v>203</v>
      </c>
      <c r="LUH16" s="314" t="s">
        <v>203</v>
      </c>
      <c r="LUI16" s="314" t="s">
        <v>203</v>
      </c>
      <c r="LUJ16" s="314" t="s">
        <v>203</v>
      </c>
      <c r="LUK16" s="314" t="s">
        <v>203</v>
      </c>
      <c r="LUL16" s="314" t="s">
        <v>203</v>
      </c>
      <c r="LUM16" s="314" t="s">
        <v>203</v>
      </c>
      <c r="LUN16" s="314" t="s">
        <v>203</v>
      </c>
      <c r="LUO16" s="314" t="s">
        <v>203</v>
      </c>
      <c r="LUP16" s="314" t="s">
        <v>203</v>
      </c>
      <c r="LUQ16" s="314" t="s">
        <v>203</v>
      </c>
      <c r="LUR16" s="314" t="s">
        <v>203</v>
      </c>
      <c r="LUS16" s="314" t="s">
        <v>203</v>
      </c>
      <c r="LUT16" s="314" t="s">
        <v>203</v>
      </c>
      <c r="LUU16" s="314" t="s">
        <v>203</v>
      </c>
      <c r="LUV16" s="314" t="s">
        <v>203</v>
      </c>
      <c r="LUW16" s="314" t="s">
        <v>203</v>
      </c>
      <c r="LUX16" s="314" t="s">
        <v>203</v>
      </c>
      <c r="LUY16" s="314" t="s">
        <v>203</v>
      </c>
      <c r="LUZ16" s="314" t="s">
        <v>203</v>
      </c>
      <c r="LVA16" s="314" t="s">
        <v>203</v>
      </c>
      <c r="LVB16" s="314" t="s">
        <v>203</v>
      </c>
      <c r="LVC16" s="314" t="s">
        <v>203</v>
      </c>
      <c r="LVD16" s="314" t="s">
        <v>203</v>
      </c>
      <c r="LVE16" s="314" t="s">
        <v>203</v>
      </c>
      <c r="LVF16" s="314" t="s">
        <v>203</v>
      </c>
      <c r="LVG16" s="314" t="s">
        <v>203</v>
      </c>
      <c r="LVH16" s="314" t="s">
        <v>203</v>
      </c>
      <c r="LVI16" s="314" t="s">
        <v>203</v>
      </c>
      <c r="LVJ16" s="314" t="s">
        <v>203</v>
      </c>
      <c r="LVK16" s="314" t="s">
        <v>203</v>
      </c>
      <c r="LVL16" s="314" t="s">
        <v>203</v>
      </c>
      <c r="LVM16" s="314" t="s">
        <v>203</v>
      </c>
      <c r="LVN16" s="314" t="s">
        <v>203</v>
      </c>
      <c r="LVO16" s="314" t="s">
        <v>203</v>
      </c>
      <c r="LVP16" s="314" t="s">
        <v>203</v>
      </c>
      <c r="LVQ16" s="314" t="s">
        <v>203</v>
      </c>
      <c r="LVR16" s="314" t="s">
        <v>203</v>
      </c>
      <c r="LVS16" s="314" t="s">
        <v>203</v>
      </c>
      <c r="LVT16" s="314" t="s">
        <v>203</v>
      </c>
      <c r="LVU16" s="314" t="s">
        <v>203</v>
      </c>
      <c r="LVV16" s="314" t="s">
        <v>203</v>
      </c>
      <c r="LVW16" s="314" t="s">
        <v>203</v>
      </c>
      <c r="LVX16" s="314" t="s">
        <v>203</v>
      </c>
      <c r="LVY16" s="314" t="s">
        <v>203</v>
      </c>
      <c r="LVZ16" s="314" t="s">
        <v>203</v>
      </c>
      <c r="LWA16" s="314" t="s">
        <v>203</v>
      </c>
      <c r="LWB16" s="314" t="s">
        <v>203</v>
      </c>
      <c r="LWC16" s="314" t="s">
        <v>203</v>
      </c>
      <c r="LWD16" s="314" t="s">
        <v>203</v>
      </c>
      <c r="LWE16" s="314" t="s">
        <v>203</v>
      </c>
      <c r="LWF16" s="314" t="s">
        <v>203</v>
      </c>
      <c r="LWG16" s="314" t="s">
        <v>203</v>
      </c>
      <c r="LWH16" s="314" t="s">
        <v>203</v>
      </c>
      <c r="LWI16" s="314" t="s">
        <v>203</v>
      </c>
      <c r="LWJ16" s="314" t="s">
        <v>203</v>
      </c>
      <c r="LWK16" s="314" t="s">
        <v>203</v>
      </c>
      <c r="LWL16" s="314" t="s">
        <v>203</v>
      </c>
      <c r="LWM16" s="314" t="s">
        <v>203</v>
      </c>
      <c r="LWN16" s="314" t="s">
        <v>203</v>
      </c>
      <c r="LWO16" s="314" t="s">
        <v>203</v>
      </c>
      <c r="LWP16" s="314" t="s">
        <v>203</v>
      </c>
      <c r="LWQ16" s="314" t="s">
        <v>203</v>
      </c>
      <c r="LWR16" s="314" t="s">
        <v>203</v>
      </c>
      <c r="LWS16" s="314" t="s">
        <v>203</v>
      </c>
      <c r="LWT16" s="314" t="s">
        <v>203</v>
      </c>
      <c r="LWU16" s="314" t="s">
        <v>203</v>
      </c>
      <c r="LWV16" s="314" t="s">
        <v>203</v>
      </c>
      <c r="LWW16" s="314" t="s">
        <v>203</v>
      </c>
      <c r="LWX16" s="314" t="s">
        <v>203</v>
      </c>
      <c r="LWY16" s="314" t="s">
        <v>203</v>
      </c>
      <c r="LWZ16" s="314" t="s">
        <v>203</v>
      </c>
      <c r="LXA16" s="314" t="s">
        <v>203</v>
      </c>
      <c r="LXB16" s="314" t="s">
        <v>203</v>
      </c>
      <c r="LXC16" s="314" t="s">
        <v>203</v>
      </c>
      <c r="LXD16" s="314" t="s">
        <v>203</v>
      </c>
      <c r="LXE16" s="314" t="s">
        <v>203</v>
      </c>
      <c r="LXF16" s="314" t="s">
        <v>203</v>
      </c>
      <c r="LXG16" s="314" t="s">
        <v>203</v>
      </c>
      <c r="LXH16" s="314" t="s">
        <v>203</v>
      </c>
      <c r="LXI16" s="314" t="s">
        <v>203</v>
      </c>
      <c r="LXJ16" s="314" t="s">
        <v>203</v>
      </c>
      <c r="LXK16" s="314" t="s">
        <v>203</v>
      </c>
      <c r="LXL16" s="314" t="s">
        <v>203</v>
      </c>
      <c r="LXM16" s="314" t="s">
        <v>203</v>
      </c>
      <c r="LXN16" s="314" t="s">
        <v>203</v>
      </c>
      <c r="LXO16" s="314" t="s">
        <v>203</v>
      </c>
      <c r="LXP16" s="314" t="s">
        <v>203</v>
      </c>
      <c r="LXQ16" s="314" t="s">
        <v>203</v>
      </c>
      <c r="LXR16" s="314" t="s">
        <v>203</v>
      </c>
      <c r="LXS16" s="314" t="s">
        <v>203</v>
      </c>
      <c r="LXT16" s="314" t="s">
        <v>203</v>
      </c>
      <c r="LXU16" s="314" t="s">
        <v>203</v>
      </c>
      <c r="LXV16" s="314" t="s">
        <v>203</v>
      </c>
      <c r="LXW16" s="314" t="s">
        <v>203</v>
      </c>
      <c r="LXX16" s="314" t="s">
        <v>203</v>
      </c>
      <c r="LXY16" s="314" t="s">
        <v>203</v>
      </c>
      <c r="LXZ16" s="314" t="s">
        <v>203</v>
      </c>
      <c r="LYA16" s="314" t="s">
        <v>203</v>
      </c>
      <c r="LYB16" s="314" t="s">
        <v>203</v>
      </c>
      <c r="LYC16" s="314" t="s">
        <v>203</v>
      </c>
      <c r="LYD16" s="314" t="s">
        <v>203</v>
      </c>
      <c r="LYE16" s="314" t="s">
        <v>203</v>
      </c>
      <c r="LYF16" s="314" t="s">
        <v>203</v>
      </c>
      <c r="LYG16" s="314" t="s">
        <v>203</v>
      </c>
      <c r="LYH16" s="314" t="s">
        <v>203</v>
      </c>
      <c r="LYI16" s="314" t="s">
        <v>203</v>
      </c>
      <c r="LYJ16" s="314" t="s">
        <v>203</v>
      </c>
      <c r="LYK16" s="314" t="s">
        <v>203</v>
      </c>
      <c r="LYL16" s="314" t="s">
        <v>203</v>
      </c>
      <c r="LYM16" s="314" t="s">
        <v>203</v>
      </c>
      <c r="LYN16" s="314" t="s">
        <v>203</v>
      </c>
      <c r="LYO16" s="314" t="s">
        <v>203</v>
      </c>
      <c r="LYP16" s="314" t="s">
        <v>203</v>
      </c>
      <c r="LYQ16" s="314" t="s">
        <v>203</v>
      </c>
      <c r="LYR16" s="314" t="s">
        <v>203</v>
      </c>
      <c r="LYS16" s="314" t="s">
        <v>203</v>
      </c>
      <c r="LYT16" s="314" t="s">
        <v>203</v>
      </c>
      <c r="LYU16" s="314" t="s">
        <v>203</v>
      </c>
      <c r="LYV16" s="314" t="s">
        <v>203</v>
      </c>
      <c r="LYW16" s="314" t="s">
        <v>203</v>
      </c>
      <c r="LYX16" s="314" t="s">
        <v>203</v>
      </c>
      <c r="LYY16" s="314" t="s">
        <v>203</v>
      </c>
      <c r="LYZ16" s="314" t="s">
        <v>203</v>
      </c>
      <c r="LZA16" s="314" t="s">
        <v>203</v>
      </c>
      <c r="LZB16" s="314" t="s">
        <v>203</v>
      </c>
      <c r="LZC16" s="314" t="s">
        <v>203</v>
      </c>
      <c r="LZD16" s="314" t="s">
        <v>203</v>
      </c>
      <c r="LZE16" s="314" t="s">
        <v>203</v>
      </c>
      <c r="LZF16" s="314" t="s">
        <v>203</v>
      </c>
      <c r="LZG16" s="314" t="s">
        <v>203</v>
      </c>
      <c r="LZH16" s="314" t="s">
        <v>203</v>
      </c>
      <c r="LZI16" s="314" t="s">
        <v>203</v>
      </c>
      <c r="LZJ16" s="314" t="s">
        <v>203</v>
      </c>
      <c r="LZK16" s="314" t="s">
        <v>203</v>
      </c>
      <c r="LZL16" s="314" t="s">
        <v>203</v>
      </c>
      <c r="LZM16" s="314" t="s">
        <v>203</v>
      </c>
      <c r="LZN16" s="314" t="s">
        <v>203</v>
      </c>
      <c r="LZO16" s="314" t="s">
        <v>203</v>
      </c>
      <c r="LZP16" s="314" t="s">
        <v>203</v>
      </c>
      <c r="LZQ16" s="314" t="s">
        <v>203</v>
      </c>
      <c r="LZR16" s="314" t="s">
        <v>203</v>
      </c>
      <c r="LZS16" s="314" t="s">
        <v>203</v>
      </c>
      <c r="LZT16" s="314" t="s">
        <v>203</v>
      </c>
      <c r="LZU16" s="314" t="s">
        <v>203</v>
      </c>
      <c r="LZV16" s="314" t="s">
        <v>203</v>
      </c>
      <c r="LZW16" s="314" t="s">
        <v>203</v>
      </c>
      <c r="LZX16" s="314" t="s">
        <v>203</v>
      </c>
      <c r="LZY16" s="314" t="s">
        <v>203</v>
      </c>
      <c r="LZZ16" s="314" t="s">
        <v>203</v>
      </c>
      <c r="MAA16" s="314" t="s">
        <v>203</v>
      </c>
      <c r="MAB16" s="314" t="s">
        <v>203</v>
      </c>
      <c r="MAC16" s="314" t="s">
        <v>203</v>
      </c>
      <c r="MAD16" s="314" t="s">
        <v>203</v>
      </c>
      <c r="MAE16" s="314" t="s">
        <v>203</v>
      </c>
      <c r="MAF16" s="314" t="s">
        <v>203</v>
      </c>
      <c r="MAG16" s="314" t="s">
        <v>203</v>
      </c>
      <c r="MAH16" s="314" t="s">
        <v>203</v>
      </c>
      <c r="MAI16" s="314" t="s">
        <v>203</v>
      </c>
      <c r="MAJ16" s="314" t="s">
        <v>203</v>
      </c>
      <c r="MAK16" s="314" t="s">
        <v>203</v>
      </c>
      <c r="MAL16" s="314" t="s">
        <v>203</v>
      </c>
      <c r="MAM16" s="314" t="s">
        <v>203</v>
      </c>
      <c r="MAN16" s="314" t="s">
        <v>203</v>
      </c>
      <c r="MAO16" s="314" t="s">
        <v>203</v>
      </c>
      <c r="MAP16" s="314" t="s">
        <v>203</v>
      </c>
      <c r="MAQ16" s="314" t="s">
        <v>203</v>
      </c>
      <c r="MAR16" s="314" t="s">
        <v>203</v>
      </c>
      <c r="MAS16" s="314" t="s">
        <v>203</v>
      </c>
      <c r="MAT16" s="314" t="s">
        <v>203</v>
      </c>
      <c r="MAU16" s="314" t="s">
        <v>203</v>
      </c>
      <c r="MAV16" s="314" t="s">
        <v>203</v>
      </c>
      <c r="MAW16" s="314" t="s">
        <v>203</v>
      </c>
      <c r="MAX16" s="314" t="s">
        <v>203</v>
      </c>
      <c r="MAY16" s="314" t="s">
        <v>203</v>
      </c>
      <c r="MAZ16" s="314" t="s">
        <v>203</v>
      </c>
      <c r="MBA16" s="314" t="s">
        <v>203</v>
      </c>
      <c r="MBB16" s="314" t="s">
        <v>203</v>
      </c>
      <c r="MBC16" s="314" t="s">
        <v>203</v>
      </c>
      <c r="MBD16" s="314" t="s">
        <v>203</v>
      </c>
      <c r="MBE16" s="314" t="s">
        <v>203</v>
      </c>
      <c r="MBF16" s="314" t="s">
        <v>203</v>
      </c>
      <c r="MBG16" s="314" t="s">
        <v>203</v>
      </c>
      <c r="MBH16" s="314" t="s">
        <v>203</v>
      </c>
      <c r="MBI16" s="314" t="s">
        <v>203</v>
      </c>
      <c r="MBJ16" s="314" t="s">
        <v>203</v>
      </c>
      <c r="MBK16" s="314" t="s">
        <v>203</v>
      </c>
      <c r="MBL16" s="314" t="s">
        <v>203</v>
      </c>
      <c r="MBM16" s="314" t="s">
        <v>203</v>
      </c>
      <c r="MBN16" s="314" t="s">
        <v>203</v>
      </c>
      <c r="MBO16" s="314" t="s">
        <v>203</v>
      </c>
      <c r="MBP16" s="314" t="s">
        <v>203</v>
      </c>
      <c r="MBQ16" s="314" t="s">
        <v>203</v>
      </c>
      <c r="MBR16" s="314" t="s">
        <v>203</v>
      </c>
      <c r="MBS16" s="314" t="s">
        <v>203</v>
      </c>
      <c r="MBT16" s="314" t="s">
        <v>203</v>
      </c>
      <c r="MBU16" s="314" t="s">
        <v>203</v>
      </c>
      <c r="MBV16" s="314" t="s">
        <v>203</v>
      </c>
      <c r="MBW16" s="314" t="s">
        <v>203</v>
      </c>
      <c r="MBX16" s="314" t="s">
        <v>203</v>
      </c>
      <c r="MBY16" s="314" t="s">
        <v>203</v>
      </c>
      <c r="MBZ16" s="314" t="s">
        <v>203</v>
      </c>
      <c r="MCA16" s="314" t="s">
        <v>203</v>
      </c>
      <c r="MCB16" s="314" t="s">
        <v>203</v>
      </c>
      <c r="MCC16" s="314" t="s">
        <v>203</v>
      </c>
      <c r="MCD16" s="314" t="s">
        <v>203</v>
      </c>
      <c r="MCE16" s="314" t="s">
        <v>203</v>
      </c>
      <c r="MCF16" s="314" t="s">
        <v>203</v>
      </c>
      <c r="MCG16" s="314" t="s">
        <v>203</v>
      </c>
      <c r="MCH16" s="314" t="s">
        <v>203</v>
      </c>
      <c r="MCI16" s="314" t="s">
        <v>203</v>
      </c>
      <c r="MCJ16" s="314" t="s">
        <v>203</v>
      </c>
      <c r="MCK16" s="314" t="s">
        <v>203</v>
      </c>
      <c r="MCL16" s="314" t="s">
        <v>203</v>
      </c>
      <c r="MCM16" s="314" t="s">
        <v>203</v>
      </c>
      <c r="MCN16" s="314" t="s">
        <v>203</v>
      </c>
      <c r="MCO16" s="314" t="s">
        <v>203</v>
      </c>
      <c r="MCP16" s="314" t="s">
        <v>203</v>
      </c>
      <c r="MCQ16" s="314" t="s">
        <v>203</v>
      </c>
      <c r="MCR16" s="314" t="s">
        <v>203</v>
      </c>
      <c r="MCS16" s="314" t="s">
        <v>203</v>
      </c>
      <c r="MCT16" s="314" t="s">
        <v>203</v>
      </c>
      <c r="MCU16" s="314" t="s">
        <v>203</v>
      </c>
      <c r="MCV16" s="314" t="s">
        <v>203</v>
      </c>
      <c r="MCW16" s="314" t="s">
        <v>203</v>
      </c>
      <c r="MCX16" s="314" t="s">
        <v>203</v>
      </c>
      <c r="MCY16" s="314" t="s">
        <v>203</v>
      </c>
      <c r="MCZ16" s="314" t="s">
        <v>203</v>
      </c>
      <c r="MDA16" s="314" t="s">
        <v>203</v>
      </c>
      <c r="MDB16" s="314" t="s">
        <v>203</v>
      </c>
      <c r="MDC16" s="314" t="s">
        <v>203</v>
      </c>
      <c r="MDD16" s="314" t="s">
        <v>203</v>
      </c>
      <c r="MDE16" s="314" t="s">
        <v>203</v>
      </c>
      <c r="MDF16" s="314" t="s">
        <v>203</v>
      </c>
      <c r="MDG16" s="314" t="s">
        <v>203</v>
      </c>
      <c r="MDH16" s="314" t="s">
        <v>203</v>
      </c>
      <c r="MDI16" s="314" t="s">
        <v>203</v>
      </c>
      <c r="MDJ16" s="314" t="s">
        <v>203</v>
      </c>
      <c r="MDK16" s="314" t="s">
        <v>203</v>
      </c>
      <c r="MDL16" s="314" t="s">
        <v>203</v>
      </c>
      <c r="MDM16" s="314" t="s">
        <v>203</v>
      </c>
      <c r="MDN16" s="314" t="s">
        <v>203</v>
      </c>
      <c r="MDO16" s="314" t="s">
        <v>203</v>
      </c>
      <c r="MDP16" s="314" t="s">
        <v>203</v>
      </c>
      <c r="MDQ16" s="314" t="s">
        <v>203</v>
      </c>
      <c r="MDR16" s="314" t="s">
        <v>203</v>
      </c>
      <c r="MDS16" s="314" t="s">
        <v>203</v>
      </c>
      <c r="MDT16" s="314" t="s">
        <v>203</v>
      </c>
      <c r="MDU16" s="314" t="s">
        <v>203</v>
      </c>
      <c r="MDV16" s="314" t="s">
        <v>203</v>
      </c>
      <c r="MDW16" s="314" t="s">
        <v>203</v>
      </c>
      <c r="MDX16" s="314" t="s">
        <v>203</v>
      </c>
      <c r="MDY16" s="314" t="s">
        <v>203</v>
      </c>
      <c r="MDZ16" s="314" t="s">
        <v>203</v>
      </c>
      <c r="MEA16" s="314" t="s">
        <v>203</v>
      </c>
      <c r="MEB16" s="314" t="s">
        <v>203</v>
      </c>
      <c r="MEC16" s="314" t="s">
        <v>203</v>
      </c>
      <c r="MED16" s="314" t="s">
        <v>203</v>
      </c>
      <c r="MEE16" s="314" t="s">
        <v>203</v>
      </c>
      <c r="MEF16" s="314" t="s">
        <v>203</v>
      </c>
      <c r="MEG16" s="314" t="s">
        <v>203</v>
      </c>
      <c r="MEH16" s="314" t="s">
        <v>203</v>
      </c>
      <c r="MEI16" s="314" t="s">
        <v>203</v>
      </c>
      <c r="MEJ16" s="314" t="s">
        <v>203</v>
      </c>
      <c r="MEK16" s="314" t="s">
        <v>203</v>
      </c>
      <c r="MEL16" s="314" t="s">
        <v>203</v>
      </c>
      <c r="MEM16" s="314" t="s">
        <v>203</v>
      </c>
      <c r="MEN16" s="314" t="s">
        <v>203</v>
      </c>
      <c r="MEO16" s="314" t="s">
        <v>203</v>
      </c>
      <c r="MEP16" s="314" t="s">
        <v>203</v>
      </c>
      <c r="MEQ16" s="314" t="s">
        <v>203</v>
      </c>
      <c r="MER16" s="314" t="s">
        <v>203</v>
      </c>
      <c r="MES16" s="314" t="s">
        <v>203</v>
      </c>
      <c r="MET16" s="314" t="s">
        <v>203</v>
      </c>
      <c r="MEU16" s="314" t="s">
        <v>203</v>
      </c>
      <c r="MEV16" s="314" t="s">
        <v>203</v>
      </c>
      <c r="MEW16" s="314" t="s">
        <v>203</v>
      </c>
      <c r="MEX16" s="314" t="s">
        <v>203</v>
      </c>
      <c r="MEY16" s="314" t="s">
        <v>203</v>
      </c>
      <c r="MEZ16" s="314" t="s">
        <v>203</v>
      </c>
      <c r="MFA16" s="314" t="s">
        <v>203</v>
      </c>
      <c r="MFB16" s="314" t="s">
        <v>203</v>
      </c>
      <c r="MFC16" s="314" t="s">
        <v>203</v>
      </c>
      <c r="MFD16" s="314" t="s">
        <v>203</v>
      </c>
      <c r="MFE16" s="314" t="s">
        <v>203</v>
      </c>
      <c r="MFF16" s="314" t="s">
        <v>203</v>
      </c>
      <c r="MFG16" s="314" t="s">
        <v>203</v>
      </c>
      <c r="MFH16" s="314" t="s">
        <v>203</v>
      </c>
      <c r="MFI16" s="314" t="s">
        <v>203</v>
      </c>
      <c r="MFJ16" s="314" t="s">
        <v>203</v>
      </c>
      <c r="MFK16" s="314" t="s">
        <v>203</v>
      </c>
      <c r="MFL16" s="314" t="s">
        <v>203</v>
      </c>
      <c r="MFM16" s="314" t="s">
        <v>203</v>
      </c>
      <c r="MFN16" s="314" t="s">
        <v>203</v>
      </c>
      <c r="MFO16" s="314" t="s">
        <v>203</v>
      </c>
      <c r="MFP16" s="314" t="s">
        <v>203</v>
      </c>
      <c r="MFQ16" s="314" t="s">
        <v>203</v>
      </c>
      <c r="MFR16" s="314" t="s">
        <v>203</v>
      </c>
      <c r="MFS16" s="314" t="s">
        <v>203</v>
      </c>
      <c r="MFT16" s="314" t="s">
        <v>203</v>
      </c>
      <c r="MFU16" s="314" t="s">
        <v>203</v>
      </c>
      <c r="MFV16" s="314" t="s">
        <v>203</v>
      </c>
      <c r="MFW16" s="314" t="s">
        <v>203</v>
      </c>
      <c r="MFX16" s="314" t="s">
        <v>203</v>
      </c>
      <c r="MFY16" s="314" t="s">
        <v>203</v>
      </c>
      <c r="MFZ16" s="314" t="s">
        <v>203</v>
      </c>
      <c r="MGA16" s="314" t="s">
        <v>203</v>
      </c>
      <c r="MGB16" s="314" t="s">
        <v>203</v>
      </c>
      <c r="MGC16" s="314" t="s">
        <v>203</v>
      </c>
      <c r="MGD16" s="314" t="s">
        <v>203</v>
      </c>
      <c r="MGE16" s="314" t="s">
        <v>203</v>
      </c>
      <c r="MGF16" s="314" t="s">
        <v>203</v>
      </c>
      <c r="MGG16" s="314" t="s">
        <v>203</v>
      </c>
      <c r="MGH16" s="314" t="s">
        <v>203</v>
      </c>
      <c r="MGI16" s="314" t="s">
        <v>203</v>
      </c>
      <c r="MGJ16" s="314" t="s">
        <v>203</v>
      </c>
      <c r="MGK16" s="314" t="s">
        <v>203</v>
      </c>
      <c r="MGL16" s="314" t="s">
        <v>203</v>
      </c>
      <c r="MGM16" s="314" t="s">
        <v>203</v>
      </c>
      <c r="MGN16" s="314" t="s">
        <v>203</v>
      </c>
      <c r="MGO16" s="314" t="s">
        <v>203</v>
      </c>
      <c r="MGP16" s="314" t="s">
        <v>203</v>
      </c>
      <c r="MGQ16" s="314" t="s">
        <v>203</v>
      </c>
      <c r="MGR16" s="314" t="s">
        <v>203</v>
      </c>
      <c r="MGS16" s="314" t="s">
        <v>203</v>
      </c>
      <c r="MGT16" s="314" t="s">
        <v>203</v>
      </c>
      <c r="MGU16" s="314" t="s">
        <v>203</v>
      </c>
      <c r="MGV16" s="314" t="s">
        <v>203</v>
      </c>
      <c r="MGW16" s="314" t="s">
        <v>203</v>
      </c>
      <c r="MGX16" s="314" t="s">
        <v>203</v>
      </c>
      <c r="MGY16" s="314" t="s">
        <v>203</v>
      </c>
      <c r="MGZ16" s="314" t="s">
        <v>203</v>
      </c>
      <c r="MHA16" s="314" t="s">
        <v>203</v>
      </c>
      <c r="MHB16" s="314" t="s">
        <v>203</v>
      </c>
      <c r="MHC16" s="314" t="s">
        <v>203</v>
      </c>
      <c r="MHD16" s="314" t="s">
        <v>203</v>
      </c>
      <c r="MHE16" s="314" t="s">
        <v>203</v>
      </c>
      <c r="MHF16" s="314" t="s">
        <v>203</v>
      </c>
      <c r="MHG16" s="314" t="s">
        <v>203</v>
      </c>
      <c r="MHH16" s="314" t="s">
        <v>203</v>
      </c>
      <c r="MHI16" s="314" t="s">
        <v>203</v>
      </c>
      <c r="MHJ16" s="314" t="s">
        <v>203</v>
      </c>
      <c r="MHK16" s="314" t="s">
        <v>203</v>
      </c>
      <c r="MHL16" s="314" t="s">
        <v>203</v>
      </c>
      <c r="MHM16" s="314" t="s">
        <v>203</v>
      </c>
      <c r="MHN16" s="314" t="s">
        <v>203</v>
      </c>
      <c r="MHO16" s="314" t="s">
        <v>203</v>
      </c>
      <c r="MHP16" s="314" t="s">
        <v>203</v>
      </c>
      <c r="MHQ16" s="314" t="s">
        <v>203</v>
      </c>
      <c r="MHR16" s="314" t="s">
        <v>203</v>
      </c>
      <c r="MHS16" s="314" t="s">
        <v>203</v>
      </c>
      <c r="MHT16" s="314" t="s">
        <v>203</v>
      </c>
      <c r="MHU16" s="314" t="s">
        <v>203</v>
      </c>
      <c r="MHV16" s="314" t="s">
        <v>203</v>
      </c>
      <c r="MHW16" s="314" t="s">
        <v>203</v>
      </c>
      <c r="MHX16" s="314" t="s">
        <v>203</v>
      </c>
      <c r="MHY16" s="314" t="s">
        <v>203</v>
      </c>
      <c r="MHZ16" s="314" t="s">
        <v>203</v>
      </c>
      <c r="MIA16" s="314" t="s">
        <v>203</v>
      </c>
      <c r="MIB16" s="314" t="s">
        <v>203</v>
      </c>
      <c r="MIC16" s="314" t="s">
        <v>203</v>
      </c>
      <c r="MID16" s="314" t="s">
        <v>203</v>
      </c>
      <c r="MIE16" s="314" t="s">
        <v>203</v>
      </c>
      <c r="MIF16" s="314" t="s">
        <v>203</v>
      </c>
      <c r="MIG16" s="314" t="s">
        <v>203</v>
      </c>
      <c r="MIH16" s="314" t="s">
        <v>203</v>
      </c>
      <c r="MII16" s="314" t="s">
        <v>203</v>
      </c>
      <c r="MIJ16" s="314" t="s">
        <v>203</v>
      </c>
      <c r="MIK16" s="314" t="s">
        <v>203</v>
      </c>
      <c r="MIL16" s="314" t="s">
        <v>203</v>
      </c>
      <c r="MIM16" s="314" t="s">
        <v>203</v>
      </c>
      <c r="MIN16" s="314" t="s">
        <v>203</v>
      </c>
      <c r="MIO16" s="314" t="s">
        <v>203</v>
      </c>
      <c r="MIP16" s="314" t="s">
        <v>203</v>
      </c>
      <c r="MIQ16" s="314" t="s">
        <v>203</v>
      </c>
      <c r="MIR16" s="314" t="s">
        <v>203</v>
      </c>
      <c r="MIS16" s="314" t="s">
        <v>203</v>
      </c>
      <c r="MIT16" s="314" t="s">
        <v>203</v>
      </c>
      <c r="MIU16" s="314" t="s">
        <v>203</v>
      </c>
      <c r="MIV16" s="314" t="s">
        <v>203</v>
      </c>
      <c r="MIW16" s="314" t="s">
        <v>203</v>
      </c>
      <c r="MIX16" s="314" t="s">
        <v>203</v>
      </c>
      <c r="MIY16" s="314" t="s">
        <v>203</v>
      </c>
      <c r="MIZ16" s="314" t="s">
        <v>203</v>
      </c>
      <c r="MJA16" s="314" t="s">
        <v>203</v>
      </c>
      <c r="MJB16" s="314" t="s">
        <v>203</v>
      </c>
      <c r="MJC16" s="314" t="s">
        <v>203</v>
      </c>
      <c r="MJD16" s="314" t="s">
        <v>203</v>
      </c>
      <c r="MJE16" s="314" t="s">
        <v>203</v>
      </c>
      <c r="MJF16" s="314" t="s">
        <v>203</v>
      </c>
      <c r="MJG16" s="314" t="s">
        <v>203</v>
      </c>
      <c r="MJH16" s="314" t="s">
        <v>203</v>
      </c>
      <c r="MJI16" s="314" t="s">
        <v>203</v>
      </c>
      <c r="MJJ16" s="314" t="s">
        <v>203</v>
      </c>
      <c r="MJK16" s="314" t="s">
        <v>203</v>
      </c>
      <c r="MJL16" s="314" t="s">
        <v>203</v>
      </c>
      <c r="MJM16" s="314" t="s">
        <v>203</v>
      </c>
      <c r="MJN16" s="314" t="s">
        <v>203</v>
      </c>
      <c r="MJO16" s="314" t="s">
        <v>203</v>
      </c>
      <c r="MJP16" s="314" t="s">
        <v>203</v>
      </c>
      <c r="MJQ16" s="314" t="s">
        <v>203</v>
      </c>
      <c r="MJR16" s="314" t="s">
        <v>203</v>
      </c>
      <c r="MJS16" s="314" t="s">
        <v>203</v>
      </c>
      <c r="MJT16" s="314" t="s">
        <v>203</v>
      </c>
      <c r="MJU16" s="314" t="s">
        <v>203</v>
      </c>
      <c r="MJV16" s="314" t="s">
        <v>203</v>
      </c>
      <c r="MJW16" s="314" t="s">
        <v>203</v>
      </c>
      <c r="MJX16" s="314" t="s">
        <v>203</v>
      </c>
      <c r="MJY16" s="314" t="s">
        <v>203</v>
      </c>
      <c r="MJZ16" s="314" t="s">
        <v>203</v>
      </c>
      <c r="MKA16" s="314" t="s">
        <v>203</v>
      </c>
      <c r="MKB16" s="314" t="s">
        <v>203</v>
      </c>
      <c r="MKC16" s="314" t="s">
        <v>203</v>
      </c>
      <c r="MKD16" s="314" t="s">
        <v>203</v>
      </c>
      <c r="MKE16" s="314" t="s">
        <v>203</v>
      </c>
      <c r="MKF16" s="314" t="s">
        <v>203</v>
      </c>
      <c r="MKG16" s="314" t="s">
        <v>203</v>
      </c>
      <c r="MKH16" s="314" t="s">
        <v>203</v>
      </c>
      <c r="MKI16" s="314" t="s">
        <v>203</v>
      </c>
      <c r="MKJ16" s="314" t="s">
        <v>203</v>
      </c>
      <c r="MKK16" s="314" t="s">
        <v>203</v>
      </c>
      <c r="MKL16" s="314" t="s">
        <v>203</v>
      </c>
      <c r="MKM16" s="314" t="s">
        <v>203</v>
      </c>
      <c r="MKN16" s="314" t="s">
        <v>203</v>
      </c>
      <c r="MKO16" s="314" t="s">
        <v>203</v>
      </c>
      <c r="MKP16" s="314" t="s">
        <v>203</v>
      </c>
      <c r="MKQ16" s="314" t="s">
        <v>203</v>
      </c>
      <c r="MKR16" s="314" t="s">
        <v>203</v>
      </c>
      <c r="MKS16" s="314" t="s">
        <v>203</v>
      </c>
      <c r="MKT16" s="314" t="s">
        <v>203</v>
      </c>
      <c r="MKU16" s="314" t="s">
        <v>203</v>
      </c>
      <c r="MKV16" s="314" t="s">
        <v>203</v>
      </c>
      <c r="MKW16" s="314" t="s">
        <v>203</v>
      </c>
      <c r="MKX16" s="314" t="s">
        <v>203</v>
      </c>
      <c r="MKY16" s="314" t="s">
        <v>203</v>
      </c>
      <c r="MKZ16" s="314" t="s">
        <v>203</v>
      </c>
      <c r="MLA16" s="314" t="s">
        <v>203</v>
      </c>
      <c r="MLB16" s="314" t="s">
        <v>203</v>
      </c>
      <c r="MLC16" s="314" t="s">
        <v>203</v>
      </c>
      <c r="MLD16" s="314" t="s">
        <v>203</v>
      </c>
      <c r="MLE16" s="314" t="s">
        <v>203</v>
      </c>
      <c r="MLF16" s="314" t="s">
        <v>203</v>
      </c>
      <c r="MLG16" s="314" t="s">
        <v>203</v>
      </c>
      <c r="MLH16" s="314" t="s">
        <v>203</v>
      </c>
      <c r="MLI16" s="314" t="s">
        <v>203</v>
      </c>
      <c r="MLJ16" s="314" t="s">
        <v>203</v>
      </c>
      <c r="MLK16" s="314" t="s">
        <v>203</v>
      </c>
      <c r="MLL16" s="314" t="s">
        <v>203</v>
      </c>
      <c r="MLM16" s="314" t="s">
        <v>203</v>
      </c>
      <c r="MLN16" s="314" t="s">
        <v>203</v>
      </c>
      <c r="MLO16" s="314" t="s">
        <v>203</v>
      </c>
      <c r="MLP16" s="314" t="s">
        <v>203</v>
      </c>
      <c r="MLQ16" s="314" t="s">
        <v>203</v>
      </c>
      <c r="MLR16" s="314" t="s">
        <v>203</v>
      </c>
      <c r="MLS16" s="314" t="s">
        <v>203</v>
      </c>
      <c r="MLT16" s="314" t="s">
        <v>203</v>
      </c>
      <c r="MLU16" s="314" t="s">
        <v>203</v>
      </c>
      <c r="MLV16" s="314" t="s">
        <v>203</v>
      </c>
      <c r="MLW16" s="314" t="s">
        <v>203</v>
      </c>
      <c r="MLX16" s="314" t="s">
        <v>203</v>
      </c>
      <c r="MLY16" s="314" t="s">
        <v>203</v>
      </c>
      <c r="MLZ16" s="314" t="s">
        <v>203</v>
      </c>
      <c r="MMA16" s="314" t="s">
        <v>203</v>
      </c>
      <c r="MMB16" s="314" t="s">
        <v>203</v>
      </c>
      <c r="MMC16" s="314" t="s">
        <v>203</v>
      </c>
      <c r="MMD16" s="314" t="s">
        <v>203</v>
      </c>
      <c r="MME16" s="314" t="s">
        <v>203</v>
      </c>
      <c r="MMF16" s="314" t="s">
        <v>203</v>
      </c>
      <c r="MMG16" s="314" t="s">
        <v>203</v>
      </c>
      <c r="MMH16" s="314" t="s">
        <v>203</v>
      </c>
      <c r="MMI16" s="314" t="s">
        <v>203</v>
      </c>
      <c r="MMJ16" s="314" t="s">
        <v>203</v>
      </c>
      <c r="MMK16" s="314" t="s">
        <v>203</v>
      </c>
      <c r="MML16" s="314" t="s">
        <v>203</v>
      </c>
      <c r="MMM16" s="314" t="s">
        <v>203</v>
      </c>
      <c r="MMN16" s="314" t="s">
        <v>203</v>
      </c>
      <c r="MMO16" s="314" t="s">
        <v>203</v>
      </c>
      <c r="MMP16" s="314" t="s">
        <v>203</v>
      </c>
      <c r="MMQ16" s="314" t="s">
        <v>203</v>
      </c>
      <c r="MMR16" s="314" t="s">
        <v>203</v>
      </c>
      <c r="MMS16" s="314" t="s">
        <v>203</v>
      </c>
      <c r="MMT16" s="314" t="s">
        <v>203</v>
      </c>
      <c r="MMU16" s="314" t="s">
        <v>203</v>
      </c>
      <c r="MMV16" s="314" t="s">
        <v>203</v>
      </c>
      <c r="MMW16" s="314" t="s">
        <v>203</v>
      </c>
      <c r="MMX16" s="314" t="s">
        <v>203</v>
      </c>
      <c r="MMY16" s="314" t="s">
        <v>203</v>
      </c>
      <c r="MMZ16" s="314" t="s">
        <v>203</v>
      </c>
      <c r="MNA16" s="314" t="s">
        <v>203</v>
      </c>
      <c r="MNB16" s="314" t="s">
        <v>203</v>
      </c>
      <c r="MNC16" s="314" t="s">
        <v>203</v>
      </c>
      <c r="MND16" s="314" t="s">
        <v>203</v>
      </c>
      <c r="MNE16" s="314" t="s">
        <v>203</v>
      </c>
      <c r="MNF16" s="314" t="s">
        <v>203</v>
      </c>
      <c r="MNG16" s="314" t="s">
        <v>203</v>
      </c>
      <c r="MNH16" s="314" t="s">
        <v>203</v>
      </c>
      <c r="MNI16" s="314" t="s">
        <v>203</v>
      </c>
      <c r="MNJ16" s="314" t="s">
        <v>203</v>
      </c>
      <c r="MNK16" s="314" t="s">
        <v>203</v>
      </c>
      <c r="MNL16" s="314" t="s">
        <v>203</v>
      </c>
      <c r="MNM16" s="314" t="s">
        <v>203</v>
      </c>
      <c r="MNN16" s="314" t="s">
        <v>203</v>
      </c>
      <c r="MNO16" s="314" t="s">
        <v>203</v>
      </c>
      <c r="MNP16" s="314" t="s">
        <v>203</v>
      </c>
      <c r="MNQ16" s="314" t="s">
        <v>203</v>
      </c>
      <c r="MNR16" s="314" t="s">
        <v>203</v>
      </c>
      <c r="MNS16" s="314" t="s">
        <v>203</v>
      </c>
      <c r="MNT16" s="314" t="s">
        <v>203</v>
      </c>
      <c r="MNU16" s="314" t="s">
        <v>203</v>
      </c>
      <c r="MNV16" s="314" t="s">
        <v>203</v>
      </c>
      <c r="MNW16" s="314" t="s">
        <v>203</v>
      </c>
      <c r="MNX16" s="314" t="s">
        <v>203</v>
      </c>
      <c r="MNY16" s="314" t="s">
        <v>203</v>
      </c>
      <c r="MNZ16" s="314" t="s">
        <v>203</v>
      </c>
      <c r="MOA16" s="314" t="s">
        <v>203</v>
      </c>
      <c r="MOB16" s="314" t="s">
        <v>203</v>
      </c>
      <c r="MOC16" s="314" t="s">
        <v>203</v>
      </c>
      <c r="MOD16" s="314" t="s">
        <v>203</v>
      </c>
      <c r="MOE16" s="314" t="s">
        <v>203</v>
      </c>
      <c r="MOF16" s="314" t="s">
        <v>203</v>
      </c>
      <c r="MOG16" s="314" t="s">
        <v>203</v>
      </c>
      <c r="MOH16" s="314" t="s">
        <v>203</v>
      </c>
      <c r="MOI16" s="314" t="s">
        <v>203</v>
      </c>
      <c r="MOJ16" s="314" t="s">
        <v>203</v>
      </c>
      <c r="MOK16" s="314" t="s">
        <v>203</v>
      </c>
      <c r="MOL16" s="314" t="s">
        <v>203</v>
      </c>
      <c r="MOM16" s="314" t="s">
        <v>203</v>
      </c>
      <c r="MON16" s="314" t="s">
        <v>203</v>
      </c>
      <c r="MOO16" s="314" t="s">
        <v>203</v>
      </c>
      <c r="MOP16" s="314" t="s">
        <v>203</v>
      </c>
      <c r="MOQ16" s="314" t="s">
        <v>203</v>
      </c>
      <c r="MOR16" s="314" t="s">
        <v>203</v>
      </c>
      <c r="MOS16" s="314" t="s">
        <v>203</v>
      </c>
      <c r="MOT16" s="314" t="s">
        <v>203</v>
      </c>
      <c r="MOU16" s="314" t="s">
        <v>203</v>
      </c>
      <c r="MOV16" s="314" t="s">
        <v>203</v>
      </c>
      <c r="MOW16" s="314" t="s">
        <v>203</v>
      </c>
      <c r="MOX16" s="314" t="s">
        <v>203</v>
      </c>
      <c r="MOY16" s="314" t="s">
        <v>203</v>
      </c>
      <c r="MOZ16" s="314" t="s">
        <v>203</v>
      </c>
      <c r="MPA16" s="314" t="s">
        <v>203</v>
      </c>
      <c r="MPB16" s="314" t="s">
        <v>203</v>
      </c>
      <c r="MPC16" s="314" t="s">
        <v>203</v>
      </c>
      <c r="MPD16" s="314" t="s">
        <v>203</v>
      </c>
      <c r="MPE16" s="314" t="s">
        <v>203</v>
      </c>
      <c r="MPF16" s="314" t="s">
        <v>203</v>
      </c>
      <c r="MPG16" s="314" t="s">
        <v>203</v>
      </c>
      <c r="MPH16" s="314" t="s">
        <v>203</v>
      </c>
      <c r="MPI16" s="314" t="s">
        <v>203</v>
      </c>
      <c r="MPJ16" s="314" t="s">
        <v>203</v>
      </c>
      <c r="MPK16" s="314" t="s">
        <v>203</v>
      </c>
      <c r="MPL16" s="314" t="s">
        <v>203</v>
      </c>
      <c r="MPM16" s="314" t="s">
        <v>203</v>
      </c>
      <c r="MPN16" s="314" t="s">
        <v>203</v>
      </c>
      <c r="MPO16" s="314" t="s">
        <v>203</v>
      </c>
      <c r="MPP16" s="314" t="s">
        <v>203</v>
      </c>
      <c r="MPQ16" s="314" t="s">
        <v>203</v>
      </c>
      <c r="MPR16" s="314" t="s">
        <v>203</v>
      </c>
      <c r="MPS16" s="314" t="s">
        <v>203</v>
      </c>
      <c r="MPT16" s="314" t="s">
        <v>203</v>
      </c>
      <c r="MPU16" s="314" t="s">
        <v>203</v>
      </c>
      <c r="MPV16" s="314" t="s">
        <v>203</v>
      </c>
      <c r="MPW16" s="314" t="s">
        <v>203</v>
      </c>
      <c r="MPX16" s="314" t="s">
        <v>203</v>
      </c>
      <c r="MPY16" s="314" t="s">
        <v>203</v>
      </c>
      <c r="MPZ16" s="314" t="s">
        <v>203</v>
      </c>
      <c r="MQA16" s="314" t="s">
        <v>203</v>
      </c>
      <c r="MQB16" s="314" t="s">
        <v>203</v>
      </c>
      <c r="MQC16" s="314" t="s">
        <v>203</v>
      </c>
      <c r="MQD16" s="314" t="s">
        <v>203</v>
      </c>
      <c r="MQE16" s="314" t="s">
        <v>203</v>
      </c>
      <c r="MQF16" s="314" t="s">
        <v>203</v>
      </c>
      <c r="MQG16" s="314" t="s">
        <v>203</v>
      </c>
      <c r="MQH16" s="314" t="s">
        <v>203</v>
      </c>
      <c r="MQI16" s="314" t="s">
        <v>203</v>
      </c>
      <c r="MQJ16" s="314" t="s">
        <v>203</v>
      </c>
      <c r="MQK16" s="314" t="s">
        <v>203</v>
      </c>
      <c r="MQL16" s="314" t="s">
        <v>203</v>
      </c>
      <c r="MQM16" s="314" t="s">
        <v>203</v>
      </c>
      <c r="MQN16" s="314" t="s">
        <v>203</v>
      </c>
      <c r="MQO16" s="314" t="s">
        <v>203</v>
      </c>
      <c r="MQP16" s="314" t="s">
        <v>203</v>
      </c>
      <c r="MQQ16" s="314" t="s">
        <v>203</v>
      </c>
      <c r="MQR16" s="314" t="s">
        <v>203</v>
      </c>
      <c r="MQS16" s="314" t="s">
        <v>203</v>
      </c>
      <c r="MQT16" s="314" t="s">
        <v>203</v>
      </c>
      <c r="MQU16" s="314" t="s">
        <v>203</v>
      </c>
      <c r="MQV16" s="314" t="s">
        <v>203</v>
      </c>
      <c r="MQW16" s="314" t="s">
        <v>203</v>
      </c>
      <c r="MQX16" s="314" t="s">
        <v>203</v>
      </c>
      <c r="MQY16" s="314" t="s">
        <v>203</v>
      </c>
      <c r="MQZ16" s="314" t="s">
        <v>203</v>
      </c>
      <c r="MRA16" s="314" t="s">
        <v>203</v>
      </c>
      <c r="MRB16" s="314" t="s">
        <v>203</v>
      </c>
      <c r="MRC16" s="314" t="s">
        <v>203</v>
      </c>
      <c r="MRD16" s="314" t="s">
        <v>203</v>
      </c>
      <c r="MRE16" s="314" t="s">
        <v>203</v>
      </c>
      <c r="MRF16" s="314" t="s">
        <v>203</v>
      </c>
      <c r="MRG16" s="314" t="s">
        <v>203</v>
      </c>
      <c r="MRH16" s="314" t="s">
        <v>203</v>
      </c>
      <c r="MRI16" s="314" t="s">
        <v>203</v>
      </c>
      <c r="MRJ16" s="314" t="s">
        <v>203</v>
      </c>
      <c r="MRK16" s="314" t="s">
        <v>203</v>
      </c>
      <c r="MRL16" s="314" t="s">
        <v>203</v>
      </c>
      <c r="MRM16" s="314" t="s">
        <v>203</v>
      </c>
      <c r="MRN16" s="314" t="s">
        <v>203</v>
      </c>
      <c r="MRO16" s="314" t="s">
        <v>203</v>
      </c>
      <c r="MRP16" s="314" t="s">
        <v>203</v>
      </c>
      <c r="MRQ16" s="314" t="s">
        <v>203</v>
      </c>
      <c r="MRR16" s="314" t="s">
        <v>203</v>
      </c>
      <c r="MRS16" s="314" t="s">
        <v>203</v>
      </c>
      <c r="MRT16" s="314" t="s">
        <v>203</v>
      </c>
      <c r="MRU16" s="314" t="s">
        <v>203</v>
      </c>
      <c r="MRV16" s="314" t="s">
        <v>203</v>
      </c>
      <c r="MRW16" s="314" t="s">
        <v>203</v>
      </c>
      <c r="MRX16" s="314" t="s">
        <v>203</v>
      </c>
      <c r="MRY16" s="314" t="s">
        <v>203</v>
      </c>
      <c r="MRZ16" s="314" t="s">
        <v>203</v>
      </c>
      <c r="MSA16" s="314" t="s">
        <v>203</v>
      </c>
      <c r="MSB16" s="314" t="s">
        <v>203</v>
      </c>
      <c r="MSC16" s="314" t="s">
        <v>203</v>
      </c>
      <c r="MSD16" s="314" t="s">
        <v>203</v>
      </c>
      <c r="MSE16" s="314" t="s">
        <v>203</v>
      </c>
      <c r="MSF16" s="314" t="s">
        <v>203</v>
      </c>
      <c r="MSG16" s="314" t="s">
        <v>203</v>
      </c>
      <c r="MSH16" s="314" t="s">
        <v>203</v>
      </c>
      <c r="MSI16" s="314" t="s">
        <v>203</v>
      </c>
      <c r="MSJ16" s="314" t="s">
        <v>203</v>
      </c>
      <c r="MSK16" s="314" t="s">
        <v>203</v>
      </c>
      <c r="MSL16" s="314" t="s">
        <v>203</v>
      </c>
      <c r="MSM16" s="314" t="s">
        <v>203</v>
      </c>
      <c r="MSN16" s="314" t="s">
        <v>203</v>
      </c>
      <c r="MSO16" s="314" t="s">
        <v>203</v>
      </c>
      <c r="MSP16" s="314" t="s">
        <v>203</v>
      </c>
      <c r="MSQ16" s="314" t="s">
        <v>203</v>
      </c>
      <c r="MSR16" s="314" t="s">
        <v>203</v>
      </c>
      <c r="MSS16" s="314" t="s">
        <v>203</v>
      </c>
      <c r="MST16" s="314" t="s">
        <v>203</v>
      </c>
      <c r="MSU16" s="314" t="s">
        <v>203</v>
      </c>
      <c r="MSV16" s="314" t="s">
        <v>203</v>
      </c>
      <c r="MSW16" s="314" t="s">
        <v>203</v>
      </c>
      <c r="MSX16" s="314" t="s">
        <v>203</v>
      </c>
      <c r="MSY16" s="314" t="s">
        <v>203</v>
      </c>
      <c r="MSZ16" s="314" t="s">
        <v>203</v>
      </c>
      <c r="MTA16" s="314" t="s">
        <v>203</v>
      </c>
      <c r="MTB16" s="314" t="s">
        <v>203</v>
      </c>
      <c r="MTC16" s="314" t="s">
        <v>203</v>
      </c>
      <c r="MTD16" s="314" t="s">
        <v>203</v>
      </c>
      <c r="MTE16" s="314" t="s">
        <v>203</v>
      </c>
      <c r="MTF16" s="314" t="s">
        <v>203</v>
      </c>
      <c r="MTG16" s="314" t="s">
        <v>203</v>
      </c>
      <c r="MTH16" s="314" t="s">
        <v>203</v>
      </c>
      <c r="MTI16" s="314" t="s">
        <v>203</v>
      </c>
      <c r="MTJ16" s="314" t="s">
        <v>203</v>
      </c>
      <c r="MTK16" s="314" t="s">
        <v>203</v>
      </c>
      <c r="MTL16" s="314" t="s">
        <v>203</v>
      </c>
      <c r="MTM16" s="314" t="s">
        <v>203</v>
      </c>
      <c r="MTN16" s="314" t="s">
        <v>203</v>
      </c>
      <c r="MTO16" s="314" t="s">
        <v>203</v>
      </c>
      <c r="MTP16" s="314" t="s">
        <v>203</v>
      </c>
      <c r="MTQ16" s="314" t="s">
        <v>203</v>
      </c>
      <c r="MTR16" s="314" t="s">
        <v>203</v>
      </c>
      <c r="MTS16" s="314" t="s">
        <v>203</v>
      </c>
      <c r="MTT16" s="314" t="s">
        <v>203</v>
      </c>
      <c r="MTU16" s="314" t="s">
        <v>203</v>
      </c>
      <c r="MTV16" s="314" t="s">
        <v>203</v>
      </c>
      <c r="MTW16" s="314" t="s">
        <v>203</v>
      </c>
      <c r="MTX16" s="314" t="s">
        <v>203</v>
      </c>
      <c r="MTY16" s="314" t="s">
        <v>203</v>
      </c>
      <c r="MTZ16" s="314" t="s">
        <v>203</v>
      </c>
      <c r="MUA16" s="314" t="s">
        <v>203</v>
      </c>
      <c r="MUB16" s="314" t="s">
        <v>203</v>
      </c>
      <c r="MUC16" s="314" t="s">
        <v>203</v>
      </c>
      <c r="MUD16" s="314" t="s">
        <v>203</v>
      </c>
      <c r="MUE16" s="314" t="s">
        <v>203</v>
      </c>
      <c r="MUF16" s="314" t="s">
        <v>203</v>
      </c>
      <c r="MUG16" s="314" t="s">
        <v>203</v>
      </c>
      <c r="MUH16" s="314" t="s">
        <v>203</v>
      </c>
      <c r="MUI16" s="314" t="s">
        <v>203</v>
      </c>
      <c r="MUJ16" s="314" t="s">
        <v>203</v>
      </c>
      <c r="MUK16" s="314" t="s">
        <v>203</v>
      </c>
      <c r="MUL16" s="314" t="s">
        <v>203</v>
      </c>
      <c r="MUM16" s="314" t="s">
        <v>203</v>
      </c>
      <c r="MUN16" s="314" t="s">
        <v>203</v>
      </c>
      <c r="MUO16" s="314" t="s">
        <v>203</v>
      </c>
      <c r="MUP16" s="314" t="s">
        <v>203</v>
      </c>
      <c r="MUQ16" s="314" t="s">
        <v>203</v>
      </c>
      <c r="MUR16" s="314" t="s">
        <v>203</v>
      </c>
      <c r="MUS16" s="314" t="s">
        <v>203</v>
      </c>
      <c r="MUT16" s="314" t="s">
        <v>203</v>
      </c>
      <c r="MUU16" s="314" t="s">
        <v>203</v>
      </c>
      <c r="MUV16" s="314" t="s">
        <v>203</v>
      </c>
      <c r="MUW16" s="314" t="s">
        <v>203</v>
      </c>
      <c r="MUX16" s="314" t="s">
        <v>203</v>
      </c>
      <c r="MUY16" s="314" t="s">
        <v>203</v>
      </c>
      <c r="MUZ16" s="314" t="s">
        <v>203</v>
      </c>
      <c r="MVA16" s="314" t="s">
        <v>203</v>
      </c>
      <c r="MVB16" s="314" t="s">
        <v>203</v>
      </c>
      <c r="MVC16" s="314" t="s">
        <v>203</v>
      </c>
      <c r="MVD16" s="314" t="s">
        <v>203</v>
      </c>
      <c r="MVE16" s="314" t="s">
        <v>203</v>
      </c>
      <c r="MVF16" s="314" t="s">
        <v>203</v>
      </c>
      <c r="MVG16" s="314" t="s">
        <v>203</v>
      </c>
      <c r="MVH16" s="314" t="s">
        <v>203</v>
      </c>
      <c r="MVI16" s="314" t="s">
        <v>203</v>
      </c>
      <c r="MVJ16" s="314" t="s">
        <v>203</v>
      </c>
      <c r="MVK16" s="314" t="s">
        <v>203</v>
      </c>
      <c r="MVL16" s="314" t="s">
        <v>203</v>
      </c>
      <c r="MVM16" s="314" t="s">
        <v>203</v>
      </c>
      <c r="MVN16" s="314" t="s">
        <v>203</v>
      </c>
      <c r="MVO16" s="314" t="s">
        <v>203</v>
      </c>
      <c r="MVP16" s="314" t="s">
        <v>203</v>
      </c>
      <c r="MVQ16" s="314" t="s">
        <v>203</v>
      </c>
      <c r="MVR16" s="314" t="s">
        <v>203</v>
      </c>
      <c r="MVS16" s="314" t="s">
        <v>203</v>
      </c>
      <c r="MVT16" s="314" t="s">
        <v>203</v>
      </c>
      <c r="MVU16" s="314" t="s">
        <v>203</v>
      </c>
      <c r="MVV16" s="314" t="s">
        <v>203</v>
      </c>
      <c r="MVW16" s="314" t="s">
        <v>203</v>
      </c>
      <c r="MVX16" s="314" t="s">
        <v>203</v>
      </c>
      <c r="MVY16" s="314" t="s">
        <v>203</v>
      </c>
      <c r="MVZ16" s="314" t="s">
        <v>203</v>
      </c>
      <c r="MWA16" s="314" t="s">
        <v>203</v>
      </c>
      <c r="MWB16" s="314" t="s">
        <v>203</v>
      </c>
      <c r="MWC16" s="314" t="s">
        <v>203</v>
      </c>
      <c r="MWD16" s="314" t="s">
        <v>203</v>
      </c>
      <c r="MWE16" s="314" t="s">
        <v>203</v>
      </c>
      <c r="MWF16" s="314" t="s">
        <v>203</v>
      </c>
      <c r="MWG16" s="314" t="s">
        <v>203</v>
      </c>
      <c r="MWH16" s="314" t="s">
        <v>203</v>
      </c>
      <c r="MWI16" s="314" t="s">
        <v>203</v>
      </c>
      <c r="MWJ16" s="314" t="s">
        <v>203</v>
      </c>
      <c r="MWK16" s="314" t="s">
        <v>203</v>
      </c>
      <c r="MWL16" s="314" t="s">
        <v>203</v>
      </c>
      <c r="MWM16" s="314" t="s">
        <v>203</v>
      </c>
      <c r="MWN16" s="314" t="s">
        <v>203</v>
      </c>
      <c r="MWO16" s="314" t="s">
        <v>203</v>
      </c>
      <c r="MWP16" s="314" t="s">
        <v>203</v>
      </c>
      <c r="MWQ16" s="314" t="s">
        <v>203</v>
      </c>
      <c r="MWR16" s="314" t="s">
        <v>203</v>
      </c>
      <c r="MWS16" s="314" t="s">
        <v>203</v>
      </c>
      <c r="MWT16" s="314" t="s">
        <v>203</v>
      </c>
      <c r="MWU16" s="314" t="s">
        <v>203</v>
      </c>
      <c r="MWV16" s="314" t="s">
        <v>203</v>
      </c>
      <c r="MWW16" s="314" t="s">
        <v>203</v>
      </c>
      <c r="MWX16" s="314" t="s">
        <v>203</v>
      </c>
      <c r="MWY16" s="314" t="s">
        <v>203</v>
      </c>
      <c r="MWZ16" s="314" t="s">
        <v>203</v>
      </c>
      <c r="MXA16" s="314" t="s">
        <v>203</v>
      </c>
      <c r="MXB16" s="314" t="s">
        <v>203</v>
      </c>
      <c r="MXC16" s="314" t="s">
        <v>203</v>
      </c>
      <c r="MXD16" s="314" t="s">
        <v>203</v>
      </c>
      <c r="MXE16" s="314" t="s">
        <v>203</v>
      </c>
      <c r="MXF16" s="314" t="s">
        <v>203</v>
      </c>
      <c r="MXG16" s="314" t="s">
        <v>203</v>
      </c>
      <c r="MXH16" s="314" t="s">
        <v>203</v>
      </c>
      <c r="MXI16" s="314" t="s">
        <v>203</v>
      </c>
      <c r="MXJ16" s="314" t="s">
        <v>203</v>
      </c>
      <c r="MXK16" s="314" t="s">
        <v>203</v>
      </c>
      <c r="MXL16" s="314" t="s">
        <v>203</v>
      </c>
      <c r="MXM16" s="314" t="s">
        <v>203</v>
      </c>
      <c r="MXN16" s="314" t="s">
        <v>203</v>
      </c>
      <c r="MXO16" s="314" t="s">
        <v>203</v>
      </c>
      <c r="MXP16" s="314" t="s">
        <v>203</v>
      </c>
      <c r="MXQ16" s="314" t="s">
        <v>203</v>
      </c>
      <c r="MXR16" s="314" t="s">
        <v>203</v>
      </c>
      <c r="MXS16" s="314" t="s">
        <v>203</v>
      </c>
      <c r="MXT16" s="314" t="s">
        <v>203</v>
      </c>
      <c r="MXU16" s="314" t="s">
        <v>203</v>
      </c>
      <c r="MXV16" s="314" t="s">
        <v>203</v>
      </c>
      <c r="MXW16" s="314" t="s">
        <v>203</v>
      </c>
      <c r="MXX16" s="314" t="s">
        <v>203</v>
      </c>
      <c r="MXY16" s="314" t="s">
        <v>203</v>
      </c>
      <c r="MXZ16" s="314" t="s">
        <v>203</v>
      </c>
      <c r="MYA16" s="314" t="s">
        <v>203</v>
      </c>
      <c r="MYB16" s="314" t="s">
        <v>203</v>
      </c>
      <c r="MYC16" s="314" t="s">
        <v>203</v>
      </c>
      <c r="MYD16" s="314" t="s">
        <v>203</v>
      </c>
      <c r="MYE16" s="314" t="s">
        <v>203</v>
      </c>
      <c r="MYF16" s="314" t="s">
        <v>203</v>
      </c>
      <c r="MYG16" s="314" t="s">
        <v>203</v>
      </c>
      <c r="MYH16" s="314" t="s">
        <v>203</v>
      </c>
      <c r="MYI16" s="314" t="s">
        <v>203</v>
      </c>
      <c r="MYJ16" s="314" t="s">
        <v>203</v>
      </c>
      <c r="MYK16" s="314" t="s">
        <v>203</v>
      </c>
      <c r="MYL16" s="314" t="s">
        <v>203</v>
      </c>
      <c r="MYM16" s="314" t="s">
        <v>203</v>
      </c>
      <c r="MYN16" s="314" t="s">
        <v>203</v>
      </c>
      <c r="MYO16" s="314" t="s">
        <v>203</v>
      </c>
      <c r="MYP16" s="314" t="s">
        <v>203</v>
      </c>
      <c r="MYQ16" s="314" t="s">
        <v>203</v>
      </c>
      <c r="MYR16" s="314" t="s">
        <v>203</v>
      </c>
      <c r="MYS16" s="314" t="s">
        <v>203</v>
      </c>
      <c r="MYT16" s="314" t="s">
        <v>203</v>
      </c>
      <c r="MYU16" s="314" t="s">
        <v>203</v>
      </c>
      <c r="MYV16" s="314" t="s">
        <v>203</v>
      </c>
      <c r="MYW16" s="314" t="s">
        <v>203</v>
      </c>
      <c r="MYX16" s="314" t="s">
        <v>203</v>
      </c>
      <c r="MYY16" s="314" t="s">
        <v>203</v>
      </c>
      <c r="MYZ16" s="314" t="s">
        <v>203</v>
      </c>
      <c r="MZA16" s="314" t="s">
        <v>203</v>
      </c>
      <c r="MZB16" s="314" t="s">
        <v>203</v>
      </c>
      <c r="MZC16" s="314" t="s">
        <v>203</v>
      </c>
      <c r="MZD16" s="314" t="s">
        <v>203</v>
      </c>
      <c r="MZE16" s="314" t="s">
        <v>203</v>
      </c>
      <c r="MZF16" s="314" t="s">
        <v>203</v>
      </c>
      <c r="MZG16" s="314" t="s">
        <v>203</v>
      </c>
      <c r="MZH16" s="314" t="s">
        <v>203</v>
      </c>
      <c r="MZI16" s="314" t="s">
        <v>203</v>
      </c>
      <c r="MZJ16" s="314" t="s">
        <v>203</v>
      </c>
      <c r="MZK16" s="314" t="s">
        <v>203</v>
      </c>
      <c r="MZL16" s="314" t="s">
        <v>203</v>
      </c>
      <c r="MZM16" s="314" t="s">
        <v>203</v>
      </c>
      <c r="MZN16" s="314" t="s">
        <v>203</v>
      </c>
      <c r="MZO16" s="314" t="s">
        <v>203</v>
      </c>
      <c r="MZP16" s="314" t="s">
        <v>203</v>
      </c>
      <c r="MZQ16" s="314" t="s">
        <v>203</v>
      </c>
      <c r="MZR16" s="314" t="s">
        <v>203</v>
      </c>
      <c r="MZS16" s="314" t="s">
        <v>203</v>
      </c>
      <c r="MZT16" s="314" t="s">
        <v>203</v>
      </c>
      <c r="MZU16" s="314" t="s">
        <v>203</v>
      </c>
      <c r="MZV16" s="314" t="s">
        <v>203</v>
      </c>
      <c r="MZW16" s="314" t="s">
        <v>203</v>
      </c>
      <c r="MZX16" s="314" t="s">
        <v>203</v>
      </c>
      <c r="MZY16" s="314" t="s">
        <v>203</v>
      </c>
      <c r="MZZ16" s="314" t="s">
        <v>203</v>
      </c>
      <c r="NAA16" s="314" t="s">
        <v>203</v>
      </c>
      <c r="NAB16" s="314" t="s">
        <v>203</v>
      </c>
      <c r="NAC16" s="314" t="s">
        <v>203</v>
      </c>
      <c r="NAD16" s="314" t="s">
        <v>203</v>
      </c>
      <c r="NAE16" s="314" t="s">
        <v>203</v>
      </c>
      <c r="NAF16" s="314" t="s">
        <v>203</v>
      </c>
      <c r="NAG16" s="314" t="s">
        <v>203</v>
      </c>
      <c r="NAH16" s="314" t="s">
        <v>203</v>
      </c>
      <c r="NAI16" s="314" t="s">
        <v>203</v>
      </c>
      <c r="NAJ16" s="314" t="s">
        <v>203</v>
      </c>
      <c r="NAK16" s="314" t="s">
        <v>203</v>
      </c>
      <c r="NAL16" s="314" t="s">
        <v>203</v>
      </c>
      <c r="NAM16" s="314" t="s">
        <v>203</v>
      </c>
      <c r="NAN16" s="314" t="s">
        <v>203</v>
      </c>
      <c r="NAO16" s="314" t="s">
        <v>203</v>
      </c>
      <c r="NAP16" s="314" t="s">
        <v>203</v>
      </c>
      <c r="NAQ16" s="314" t="s">
        <v>203</v>
      </c>
      <c r="NAR16" s="314" t="s">
        <v>203</v>
      </c>
      <c r="NAS16" s="314" t="s">
        <v>203</v>
      </c>
      <c r="NAT16" s="314" t="s">
        <v>203</v>
      </c>
      <c r="NAU16" s="314" t="s">
        <v>203</v>
      </c>
      <c r="NAV16" s="314" t="s">
        <v>203</v>
      </c>
      <c r="NAW16" s="314" t="s">
        <v>203</v>
      </c>
      <c r="NAX16" s="314" t="s">
        <v>203</v>
      </c>
      <c r="NAY16" s="314" t="s">
        <v>203</v>
      </c>
      <c r="NAZ16" s="314" t="s">
        <v>203</v>
      </c>
      <c r="NBA16" s="314" t="s">
        <v>203</v>
      </c>
      <c r="NBB16" s="314" t="s">
        <v>203</v>
      </c>
      <c r="NBC16" s="314" t="s">
        <v>203</v>
      </c>
      <c r="NBD16" s="314" t="s">
        <v>203</v>
      </c>
      <c r="NBE16" s="314" t="s">
        <v>203</v>
      </c>
      <c r="NBF16" s="314" t="s">
        <v>203</v>
      </c>
      <c r="NBG16" s="314" t="s">
        <v>203</v>
      </c>
      <c r="NBH16" s="314" t="s">
        <v>203</v>
      </c>
      <c r="NBI16" s="314" t="s">
        <v>203</v>
      </c>
      <c r="NBJ16" s="314" t="s">
        <v>203</v>
      </c>
      <c r="NBK16" s="314" t="s">
        <v>203</v>
      </c>
      <c r="NBL16" s="314" t="s">
        <v>203</v>
      </c>
      <c r="NBM16" s="314" t="s">
        <v>203</v>
      </c>
      <c r="NBN16" s="314" t="s">
        <v>203</v>
      </c>
      <c r="NBO16" s="314" t="s">
        <v>203</v>
      </c>
      <c r="NBP16" s="314" t="s">
        <v>203</v>
      </c>
      <c r="NBQ16" s="314" t="s">
        <v>203</v>
      </c>
      <c r="NBR16" s="314" t="s">
        <v>203</v>
      </c>
      <c r="NBS16" s="314" t="s">
        <v>203</v>
      </c>
      <c r="NBT16" s="314" t="s">
        <v>203</v>
      </c>
      <c r="NBU16" s="314" t="s">
        <v>203</v>
      </c>
      <c r="NBV16" s="314" t="s">
        <v>203</v>
      </c>
      <c r="NBW16" s="314" t="s">
        <v>203</v>
      </c>
      <c r="NBX16" s="314" t="s">
        <v>203</v>
      </c>
      <c r="NBY16" s="314" t="s">
        <v>203</v>
      </c>
      <c r="NBZ16" s="314" t="s">
        <v>203</v>
      </c>
      <c r="NCA16" s="314" t="s">
        <v>203</v>
      </c>
      <c r="NCB16" s="314" t="s">
        <v>203</v>
      </c>
      <c r="NCC16" s="314" t="s">
        <v>203</v>
      </c>
      <c r="NCD16" s="314" t="s">
        <v>203</v>
      </c>
      <c r="NCE16" s="314" t="s">
        <v>203</v>
      </c>
      <c r="NCF16" s="314" t="s">
        <v>203</v>
      </c>
      <c r="NCG16" s="314" t="s">
        <v>203</v>
      </c>
      <c r="NCH16" s="314" t="s">
        <v>203</v>
      </c>
      <c r="NCI16" s="314" t="s">
        <v>203</v>
      </c>
      <c r="NCJ16" s="314" t="s">
        <v>203</v>
      </c>
      <c r="NCK16" s="314" t="s">
        <v>203</v>
      </c>
      <c r="NCL16" s="314" t="s">
        <v>203</v>
      </c>
      <c r="NCM16" s="314" t="s">
        <v>203</v>
      </c>
      <c r="NCN16" s="314" t="s">
        <v>203</v>
      </c>
      <c r="NCO16" s="314" t="s">
        <v>203</v>
      </c>
      <c r="NCP16" s="314" t="s">
        <v>203</v>
      </c>
      <c r="NCQ16" s="314" t="s">
        <v>203</v>
      </c>
      <c r="NCR16" s="314" t="s">
        <v>203</v>
      </c>
      <c r="NCS16" s="314" t="s">
        <v>203</v>
      </c>
      <c r="NCT16" s="314" t="s">
        <v>203</v>
      </c>
      <c r="NCU16" s="314" t="s">
        <v>203</v>
      </c>
      <c r="NCV16" s="314" t="s">
        <v>203</v>
      </c>
      <c r="NCW16" s="314" t="s">
        <v>203</v>
      </c>
      <c r="NCX16" s="314" t="s">
        <v>203</v>
      </c>
      <c r="NCY16" s="314" t="s">
        <v>203</v>
      </c>
      <c r="NCZ16" s="314" t="s">
        <v>203</v>
      </c>
      <c r="NDA16" s="314" t="s">
        <v>203</v>
      </c>
      <c r="NDB16" s="314" t="s">
        <v>203</v>
      </c>
      <c r="NDC16" s="314" t="s">
        <v>203</v>
      </c>
      <c r="NDD16" s="314" t="s">
        <v>203</v>
      </c>
      <c r="NDE16" s="314" t="s">
        <v>203</v>
      </c>
      <c r="NDF16" s="314" t="s">
        <v>203</v>
      </c>
      <c r="NDG16" s="314" t="s">
        <v>203</v>
      </c>
      <c r="NDH16" s="314" t="s">
        <v>203</v>
      </c>
      <c r="NDI16" s="314" t="s">
        <v>203</v>
      </c>
      <c r="NDJ16" s="314" t="s">
        <v>203</v>
      </c>
      <c r="NDK16" s="314" t="s">
        <v>203</v>
      </c>
      <c r="NDL16" s="314" t="s">
        <v>203</v>
      </c>
      <c r="NDM16" s="314" t="s">
        <v>203</v>
      </c>
      <c r="NDN16" s="314" t="s">
        <v>203</v>
      </c>
      <c r="NDO16" s="314" t="s">
        <v>203</v>
      </c>
      <c r="NDP16" s="314" t="s">
        <v>203</v>
      </c>
      <c r="NDQ16" s="314" t="s">
        <v>203</v>
      </c>
      <c r="NDR16" s="314" t="s">
        <v>203</v>
      </c>
      <c r="NDS16" s="314" t="s">
        <v>203</v>
      </c>
      <c r="NDT16" s="314" t="s">
        <v>203</v>
      </c>
      <c r="NDU16" s="314" t="s">
        <v>203</v>
      </c>
      <c r="NDV16" s="314" t="s">
        <v>203</v>
      </c>
      <c r="NDW16" s="314" t="s">
        <v>203</v>
      </c>
      <c r="NDX16" s="314" t="s">
        <v>203</v>
      </c>
      <c r="NDY16" s="314" t="s">
        <v>203</v>
      </c>
      <c r="NDZ16" s="314" t="s">
        <v>203</v>
      </c>
      <c r="NEA16" s="314" t="s">
        <v>203</v>
      </c>
      <c r="NEB16" s="314" t="s">
        <v>203</v>
      </c>
      <c r="NEC16" s="314" t="s">
        <v>203</v>
      </c>
      <c r="NED16" s="314" t="s">
        <v>203</v>
      </c>
      <c r="NEE16" s="314" t="s">
        <v>203</v>
      </c>
      <c r="NEF16" s="314" t="s">
        <v>203</v>
      </c>
      <c r="NEG16" s="314" t="s">
        <v>203</v>
      </c>
      <c r="NEH16" s="314" t="s">
        <v>203</v>
      </c>
      <c r="NEI16" s="314" t="s">
        <v>203</v>
      </c>
      <c r="NEJ16" s="314" t="s">
        <v>203</v>
      </c>
      <c r="NEK16" s="314" t="s">
        <v>203</v>
      </c>
      <c r="NEL16" s="314" t="s">
        <v>203</v>
      </c>
      <c r="NEM16" s="314" t="s">
        <v>203</v>
      </c>
      <c r="NEN16" s="314" t="s">
        <v>203</v>
      </c>
      <c r="NEO16" s="314" t="s">
        <v>203</v>
      </c>
      <c r="NEP16" s="314" t="s">
        <v>203</v>
      </c>
      <c r="NEQ16" s="314" t="s">
        <v>203</v>
      </c>
      <c r="NER16" s="314" t="s">
        <v>203</v>
      </c>
      <c r="NES16" s="314" t="s">
        <v>203</v>
      </c>
      <c r="NET16" s="314" t="s">
        <v>203</v>
      </c>
      <c r="NEU16" s="314" t="s">
        <v>203</v>
      </c>
      <c r="NEV16" s="314" t="s">
        <v>203</v>
      </c>
      <c r="NEW16" s="314" t="s">
        <v>203</v>
      </c>
      <c r="NEX16" s="314" t="s">
        <v>203</v>
      </c>
      <c r="NEY16" s="314" t="s">
        <v>203</v>
      </c>
      <c r="NEZ16" s="314" t="s">
        <v>203</v>
      </c>
      <c r="NFA16" s="314" t="s">
        <v>203</v>
      </c>
      <c r="NFB16" s="314" t="s">
        <v>203</v>
      </c>
      <c r="NFC16" s="314" t="s">
        <v>203</v>
      </c>
      <c r="NFD16" s="314" t="s">
        <v>203</v>
      </c>
      <c r="NFE16" s="314" t="s">
        <v>203</v>
      </c>
      <c r="NFF16" s="314" t="s">
        <v>203</v>
      </c>
      <c r="NFG16" s="314" t="s">
        <v>203</v>
      </c>
      <c r="NFH16" s="314" t="s">
        <v>203</v>
      </c>
      <c r="NFI16" s="314" t="s">
        <v>203</v>
      </c>
      <c r="NFJ16" s="314" t="s">
        <v>203</v>
      </c>
      <c r="NFK16" s="314" t="s">
        <v>203</v>
      </c>
      <c r="NFL16" s="314" t="s">
        <v>203</v>
      </c>
      <c r="NFM16" s="314" t="s">
        <v>203</v>
      </c>
      <c r="NFN16" s="314" t="s">
        <v>203</v>
      </c>
      <c r="NFO16" s="314" t="s">
        <v>203</v>
      </c>
      <c r="NFP16" s="314" t="s">
        <v>203</v>
      </c>
      <c r="NFQ16" s="314" t="s">
        <v>203</v>
      </c>
      <c r="NFR16" s="314" t="s">
        <v>203</v>
      </c>
      <c r="NFS16" s="314" t="s">
        <v>203</v>
      </c>
      <c r="NFT16" s="314" t="s">
        <v>203</v>
      </c>
      <c r="NFU16" s="314" t="s">
        <v>203</v>
      </c>
      <c r="NFV16" s="314" t="s">
        <v>203</v>
      </c>
      <c r="NFW16" s="314" t="s">
        <v>203</v>
      </c>
      <c r="NFX16" s="314" t="s">
        <v>203</v>
      </c>
      <c r="NFY16" s="314" t="s">
        <v>203</v>
      </c>
      <c r="NFZ16" s="314" t="s">
        <v>203</v>
      </c>
      <c r="NGA16" s="314" t="s">
        <v>203</v>
      </c>
      <c r="NGB16" s="314" t="s">
        <v>203</v>
      </c>
      <c r="NGC16" s="314" t="s">
        <v>203</v>
      </c>
      <c r="NGD16" s="314" t="s">
        <v>203</v>
      </c>
      <c r="NGE16" s="314" t="s">
        <v>203</v>
      </c>
      <c r="NGF16" s="314" t="s">
        <v>203</v>
      </c>
      <c r="NGG16" s="314" t="s">
        <v>203</v>
      </c>
      <c r="NGH16" s="314" t="s">
        <v>203</v>
      </c>
      <c r="NGI16" s="314" t="s">
        <v>203</v>
      </c>
      <c r="NGJ16" s="314" t="s">
        <v>203</v>
      </c>
      <c r="NGK16" s="314" t="s">
        <v>203</v>
      </c>
      <c r="NGL16" s="314" t="s">
        <v>203</v>
      </c>
      <c r="NGM16" s="314" t="s">
        <v>203</v>
      </c>
      <c r="NGN16" s="314" t="s">
        <v>203</v>
      </c>
      <c r="NGO16" s="314" t="s">
        <v>203</v>
      </c>
      <c r="NGP16" s="314" t="s">
        <v>203</v>
      </c>
      <c r="NGQ16" s="314" t="s">
        <v>203</v>
      </c>
      <c r="NGR16" s="314" t="s">
        <v>203</v>
      </c>
      <c r="NGS16" s="314" t="s">
        <v>203</v>
      </c>
      <c r="NGT16" s="314" t="s">
        <v>203</v>
      </c>
      <c r="NGU16" s="314" t="s">
        <v>203</v>
      </c>
      <c r="NGV16" s="314" t="s">
        <v>203</v>
      </c>
      <c r="NGW16" s="314" t="s">
        <v>203</v>
      </c>
      <c r="NGX16" s="314" t="s">
        <v>203</v>
      </c>
      <c r="NGY16" s="314" t="s">
        <v>203</v>
      </c>
      <c r="NGZ16" s="314" t="s">
        <v>203</v>
      </c>
      <c r="NHA16" s="314" t="s">
        <v>203</v>
      </c>
      <c r="NHB16" s="314" t="s">
        <v>203</v>
      </c>
      <c r="NHC16" s="314" t="s">
        <v>203</v>
      </c>
      <c r="NHD16" s="314" t="s">
        <v>203</v>
      </c>
      <c r="NHE16" s="314" t="s">
        <v>203</v>
      </c>
      <c r="NHF16" s="314" t="s">
        <v>203</v>
      </c>
      <c r="NHG16" s="314" t="s">
        <v>203</v>
      </c>
      <c r="NHH16" s="314" t="s">
        <v>203</v>
      </c>
      <c r="NHI16" s="314" t="s">
        <v>203</v>
      </c>
      <c r="NHJ16" s="314" t="s">
        <v>203</v>
      </c>
      <c r="NHK16" s="314" t="s">
        <v>203</v>
      </c>
      <c r="NHL16" s="314" t="s">
        <v>203</v>
      </c>
      <c r="NHM16" s="314" t="s">
        <v>203</v>
      </c>
      <c r="NHN16" s="314" t="s">
        <v>203</v>
      </c>
      <c r="NHO16" s="314" t="s">
        <v>203</v>
      </c>
      <c r="NHP16" s="314" t="s">
        <v>203</v>
      </c>
      <c r="NHQ16" s="314" t="s">
        <v>203</v>
      </c>
      <c r="NHR16" s="314" t="s">
        <v>203</v>
      </c>
      <c r="NHS16" s="314" t="s">
        <v>203</v>
      </c>
      <c r="NHT16" s="314" t="s">
        <v>203</v>
      </c>
      <c r="NHU16" s="314" t="s">
        <v>203</v>
      </c>
      <c r="NHV16" s="314" t="s">
        <v>203</v>
      </c>
      <c r="NHW16" s="314" t="s">
        <v>203</v>
      </c>
      <c r="NHX16" s="314" t="s">
        <v>203</v>
      </c>
      <c r="NHY16" s="314" t="s">
        <v>203</v>
      </c>
      <c r="NHZ16" s="314" t="s">
        <v>203</v>
      </c>
      <c r="NIA16" s="314" t="s">
        <v>203</v>
      </c>
      <c r="NIB16" s="314" t="s">
        <v>203</v>
      </c>
      <c r="NIC16" s="314" t="s">
        <v>203</v>
      </c>
      <c r="NID16" s="314" t="s">
        <v>203</v>
      </c>
      <c r="NIE16" s="314" t="s">
        <v>203</v>
      </c>
      <c r="NIF16" s="314" t="s">
        <v>203</v>
      </c>
      <c r="NIG16" s="314" t="s">
        <v>203</v>
      </c>
      <c r="NIH16" s="314" t="s">
        <v>203</v>
      </c>
      <c r="NII16" s="314" t="s">
        <v>203</v>
      </c>
      <c r="NIJ16" s="314" t="s">
        <v>203</v>
      </c>
      <c r="NIK16" s="314" t="s">
        <v>203</v>
      </c>
      <c r="NIL16" s="314" t="s">
        <v>203</v>
      </c>
      <c r="NIM16" s="314" t="s">
        <v>203</v>
      </c>
      <c r="NIN16" s="314" t="s">
        <v>203</v>
      </c>
      <c r="NIO16" s="314" t="s">
        <v>203</v>
      </c>
      <c r="NIP16" s="314" t="s">
        <v>203</v>
      </c>
      <c r="NIQ16" s="314" t="s">
        <v>203</v>
      </c>
      <c r="NIR16" s="314" t="s">
        <v>203</v>
      </c>
      <c r="NIS16" s="314" t="s">
        <v>203</v>
      </c>
      <c r="NIT16" s="314" t="s">
        <v>203</v>
      </c>
      <c r="NIU16" s="314" t="s">
        <v>203</v>
      </c>
      <c r="NIV16" s="314" t="s">
        <v>203</v>
      </c>
      <c r="NIW16" s="314" t="s">
        <v>203</v>
      </c>
      <c r="NIX16" s="314" t="s">
        <v>203</v>
      </c>
      <c r="NIY16" s="314" t="s">
        <v>203</v>
      </c>
      <c r="NIZ16" s="314" t="s">
        <v>203</v>
      </c>
      <c r="NJA16" s="314" t="s">
        <v>203</v>
      </c>
      <c r="NJB16" s="314" t="s">
        <v>203</v>
      </c>
      <c r="NJC16" s="314" t="s">
        <v>203</v>
      </c>
      <c r="NJD16" s="314" t="s">
        <v>203</v>
      </c>
      <c r="NJE16" s="314" t="s">
        <v>203</v>
      </c>
      <c r="NJF16" s="314" t="s">
        <v>203</v>
      </c>
      <c r="NJG16" s="314" t="s">
        <v>203</v>
      </c>
      <c r="NJH16" s="314" t="s">
        <v>203</v>
      </c>
      <c r="NJI16" s="314" t="s">
        <v>203</v>
      </c>
      <c r="NJJ16" s="314" t="s">
        <v>203</v>
      </c>
      <c r="NJK16" s="314" t="s">
        <v>203</v>
      </c>
      <c r="NJL16" s="314" t="s">
        <v>203</v>
      </c>
      <c r="NJM16" s="314" t="s">
        <v>203</v>
      </c>
      <c r="NJN16" s="314" t="s">
        <v>203</v>
      </c>
      <c r="NJO16" s="314" t="s">
        <v>203</v>
      </c>
      <c r="NJP16" s="314" t="s">
        <v>203</v>
      </c>
      <c r="NJQ16" s="314" t="s">
        <v>203</v>
      </c>
      <c r="NJR16" s="314" t="s">
        <v>203</v>
      </c>
      <c r="NJS16" s="314" t="s">
        <v>203</v>
      </c>
      <c r="NJT16" s="314" t="s">
        <v>203</v>
      </c>
      <c r="NJU16" s="314" t="s">
        <v>203</v>
      </c>
      <c r="NJV16" s="314" t="s">
        <v>203</v>
      </c>
      <c r="NJW16" s="314" t="s">
        <v>203</v>
      </c>
      <c r="NJX16" s="314" t="s">
        <v>203</v>
      </c>
      <c r="NJY16" s="314" t="s">
        <v>203</v>
      </c>
      <c r="NJZ16" s="314" t="s">
        <v>203</v>
      </c>
      <c r="NKA16" s="314" t="s">
        <v>203</v>
      </c>
      <c r="NKB16" s="314" t="s">
        <v>203</v>
      </c>
      <c r="NKC16" s="314" t="s">
        <v>203</v>
      </c>
      <c r="NKD16" s="314" t="s">
        <v>203</v>
      </c>
      <c r="NKE16" s="314" t="s">
        <v>203</v>
      </c>
      <c r="NKF16" s="314" t="s">
        <v>203</v>
      </c>
      <c r="NKG16" s="314" t="s">
        <v>203</v>
      </c>
      <c r="NKH16" s="314" t="s">
        <v>203</v>
      </c>
      <c r="NKI16" s="314" t="s">
        <v>203</v>
      </c>
      <c r="NKJ16" s="314" t="s">
        <v>203</v>
      </c>
      <c r="NKK16" s="314" t="s">
        <v>203</v>
      </c>
      <c r="NKL16" s="314" t="s">
        <v>203</v>
      </c>
      <c r="NKM16" s="314" t="s">
        <v>203</v>
      </c>
      <c r="NKN16" s="314" t="s">
        <v>203</v>
      </c>
      <c r="NKO16" s="314" t="s">
        <v>203</v>
      </c>
      <c r="NKP16" s="314" t="s">
        <v>203</v>
      </c>
      <c r="NKQ16" s="314" t="s">
        <v>203</v>
      </c>
      <c r="NKR16" s="314" t="s">
        <v>203</v>
      </c>
      <c r="NKS16" s="314" t="s">
        <v>203</v>
      </c>
      <c r="NKT16" s="314" t="s">
        <v>203</v>
      </c>
      <c r="NKU16" s="314" t="s">
        <v>203</v>
      </c>
      <c r="NKV16" s="314" t="s">
        <v>203</v>
      </c>
      <c r="NKW16" s="314" t="s">
        <v>203</v>
      </c>
      <c r="NKX16" s="314" t="s">
        <v>203</v>
      </c>
      <c r="NKY16" s="314" t="s">
        <v>203</v>
      </c>
      <c r="NKZ16" s="314" t="s">
        <v>203</v>
      </c>
      <c r="NLA16" s="314" t="s">
        <v>203</v>
      </c>
      <c r="NLB16" s="314" t="s">
        <v>203</v>
      </c>
      <c r="NLC16" s="314" t="s">
        <v>203</v>
      </c>
      <c r="NLD16" s="314" t="s">
        <v>203</v>
      </c>
      <c r="NLE16" s="314" t="s">
        <v>203</v>
      </c>
      <c r="NLF16" s="314" t="s">
        <v>203</v>
      </c>
      <c r="NLG16" s="314" t="s">
        <v>203</v>
      </c>
      <c r="NLH16" s="314" t="s">
        <v>203</v>
      </c>
      <c r="NLI16" s="314" t="s">
        <v>203</v>
      </c>
      <c r="NLJ16" s="314" t="s">
        <v>203</v>
      </c>
      <c r="NLK16" s="314" t="s">
        <v>203</v>
      </c>
      <c r="NLL16" s="314" t="s">
        <v>203</v>
      </c>
      <c r="NLM16" s="314" t="s">
        <v>203</v>
      </c>
      <c r="NLN16" s="314" t="s">
        <v>203</v>
      </c>
      <c r="NLO16" s="314" t="s">
        <v>203</v>
      </c>
      <c r="NLP16" s="314" t="s">
        <v>203</v>
      </c>
      <c r="NLQ16" s="314" t="s">
        <v>203</v>
      </c>
      <c r="NLR16" s="314" t="s">
        <v>203</v>
      </c>
      <c r="NLS16" s="314" t="s">
        <v>203</v>
      </c>
      <c r="NLT16" s="314" t="s">
        <v>203</v>
      </c>
      <c r="NLU16" s="314" t="s">
        <v>203</v>
      </c>
      <c r="NLV16" s="314" t="s">
        <v>203</v>
      </c>
      <c r="NLW16" s="314" t="s">
        <v>203</v>
      </c>
      <c r="NLX16" s="314" t="s">
        <v>203</v>
      </c>
      <c r="NLY16" s="314" t="s">
        <v>203</v>
      </c>
      <c r="NLZ16" s="314" t="s">
        <v>203</v>
      </c>
      <c r="NMA16" s="314" t="s">
        <v>203</v>
      </c>
      <c r="NMB16" s="314" t="s">
        <v>203</v>
      </c>
      <c r="NMC16" s="314" t="s">
        <v>203</v>
      </c>
      <c r="NMD16" s="314" t="s">
        <v>203</v>
      </c>
      <c r="NME16" s="314" t="s">
        <v>203</v>
      </c>
      <c r="NMF16" s="314" t="s">
        <v>203</v>
      </c>
      <c r="NMG16" s="314" t="s">
        <v>203</v>
      </c>
      <c r="NMH16" s="314" t="s">
        <v>203</v>
      </c>
      <c r="NMI16" s="314" t="s">
        <v>203</v>
      </c>
      <c r="NMJ16" s="314" t="s">
        <v>203</v>
      </c>
      <c r="NMK16" s="314" t="s">
        <v>203</v>
      </c>
      <c r="NML16" s="314" t="s">
        <v>203</v>
      </c>
      <c r="NMM16" s="314" t="s">
        <v>203</v>
      </c>
      <c r="NMN16" s="314" t="s">
        <v>203</v>
      </c>
      <c r="NMO16" s="314" t="s">
        <v>203</v>
      </c>
      <c r="NMP16" s="314" t="s">
        <v>203</v>
      </c>
      <c r="NMQ16" s="314" t="s">
        <v>203</v>
      </c>
      <c r="NMR16" s="314" t="s">
        <v>203</v>
      </c>
      <c r="NMS16" s="314" t="s">
        <v>203</v>
      </c>
      <c r="NMT16" s="314" t="s">
        <v>203</v>
      </c>
      <c r="NMU16" s="314" t="s">
        <v>203</v>
      </c>
      <c r="NMV16" s="314" t="s">
        <v>203</v>
      </c>
      <c r="NMW16" s="314" t="s">
        <v>203</v>
      </c>
      <c r="NMX16" s="314" t="s">
        <v>203</v>
      </c>
      <c r="NMY16" s="314" t="s">
        <v>203</v>
      </c>
      <c r="NMZ16" s="314" t="s">
        <v>203</v>
      </c>
      <c r="NNA16" s="314" t="s">
        <v>203</v>
      </c>
      <c r="NNB16" s="314" t="s">
        <v>203</v>
      </c>
      <c r="NNC16" s="314" t="s">
        <v>203</v>
      </c>
      <c r="NND16" s="314" t="s">
        <v>203</v>
      </c>
      <c r="NNE16" s="314" t="s">
        <v>203</v>
      </c>
      <c r="NNF16" s="314" t="s">
        <v>203</v>
      </c>
      <c r="NNG16" s="314" t="s">
        <v>203</v>
      </c>
      <c r="NNH16" s="314" t="s">
        <v>203</v>
      </c>
      <c r="NNI16" s="314" t="s">
        <v>203</v>
      </c>
      <c r="NNJ16" s="314" t="s">
        <v>203</v>
      </c>
      <c r="NNK16" s="314" t="s">
        <v>203</v>
      </c>
      <c r="NNL16" s="314" t="s">
        <v>203</v>
      </c>
      <c r="NNM16" s="314" t="s">
        <v>203</v>
      </c>
      <c r="NNN16" s="314" t="s">
        <v>203</v>
      </c>
      <c r="NNO16" s="314" t="s">
        <v>203</v>
      </c>
      <c r="NNP16" s="314" t="s">
        <v>203</v>
      </c>
      <c r="NNQ16" s="314" t="s">
        <v>203</v>
      </c>
      <c r="NNR16" s="314" t="s">
        <v>203</v>
      </c>
      <c r="NNS16" s="314" t="s">
        <v>203</v>
      </c>
      <c r="NNT16" s="314" t="s">
        <v>203</v>
      </c>
      <c r="NNU16" s="314" t="s">
        <v>203</v>
      </c>
      <c r="NNV16" s="314" t="s">
        <v>203</v>
      </c>
      <c r="NNW16" s="314" t="s">
        <v>203</v>
      </c>
      <c r="NNX16" s="314" t="s">
        <v>203</v>
      </c>
      <c r="NNY16" s="314" t="s">
        <v>203</v>
      </c>
      <c r="NNZ16" s="314" t="s">
        <v>203</v>
      </c>
      <c r="NOA16" s="314" t="s">
        <v>203</v>
      </c>
      <c r="NOB16" s="314" t="s">
        <v>203</v>
      </c>
      <c r="NOC16" s="314" t="s">
        <v>203</v>
      </c>
      <c r="NOD16" s="314" t="s">
        <v>203</v>
      </c>
      <c r="NOE16" s="314" t="s">
        <v>203</v>
      </c>
      <c r="NOF16" s="314" t="s">
        <v>203</v>
      </c>
      <c r="NOG16" s="314" t="s">
        <v>203</v>
      </c>
      <c r="NOH16" s="314" t="s">
        <v>203</v>
      </c>
      <c r="NOI16" s="314" t="s">
        <v>203</v>
      </c>
      <c r="NOJ16" s="314" t="s">
        <v>203</v>
      </c>
      <c r="NOK16" s="314" t="s">
        <v>203</v>
      </c>
      <c r="NOL16" s="314" t="s">
        <v>203</v>
      </c>
      <c r="NOM16" s="314" t="s">
        <v>203</v>
      </c>
      <c r="NON16" s="314" t="s">
        <v>203</v>
      </c>
      <c r="NOO16" s="314" t="s">
        <v>203</v>
      </c>
      <c r="NOP16" s="314" t="s">
        <v>203</v>
      </c>
      <c r="NOQ16" s="314" t="s">
        <v>203</v>
      </c>
      <c r="NOR16" s="314" t="s">
        <v>203</v>
      </c>
      <c r="NOS16" s="314" t="s">
        <v>203</v>
      </c>
      <c r="NOT16" s="314" t="s">
        <v>203</v>
      </c>
      <c r="NOU16" s="314" t="s">
        <v>203</v>
      </c>
      <c r="NOV16" s="314" t="s">
        <v>203</v>
      </c>
      <c r="NOW16" s="314" t="s">
        <v>203</v>
      </c>
      <c r="NOX16" s="314" t="s">
        <v>203</v>
      </c>
      <c r="NOY16" s="314" t="s">
        <v>203</v>
      </c>
      <c r="NOZ16" s="314" t="s">
        <v>203</v>
      </c>
      <c r="NPA16" s="314" t="s">
        <v>203</v>
      </c>
      <c r="NPB16" s="314" t="s">
        <v>203</v>
      </c>
      <c r="NPC16" s="314" t="s">
        <v>203</v>
      </c>
      <c r="NPD16" s="314" t="s">
        <v>203</v>
      </c>
      <c r="NPE16" s="314" t="s">
        <v>203</v>
      </c>
      <c r="NPF16" s="314" t="s">
        <v>203</v>
      </c>
      <c r="NPG16" s="314" t="s">
        <v>203</v>
      </c>
      <c r="NPH16" s="314" t="s">
        <v>203</v>
      </c>
      <c r="NPI16" s="314" t="s">
        <v>203</v>
      </c>
      <c r="NPJ16" s="314" t="s">
        <v>203</v>
      </c>
      <c r="NPK16" s="314" t="s">
        <v>203</v>
      </c>
      <c r="NPL16" s="314" t="s">
        <v>203</v>
      </c>
      <c r="NPM16" s="314" t="s">
        <v>203</v>
      </c>
      <c r="NPN16" s="314" t="s">
        <v>203</v>
      </c>
      <c r="NPO16" s="314" t="s">
        <v>203</v>
      </c>
      <c r="NPP16" s="314" t="s">
        <v>203</v>
      </c>
      <c r="NPQ16" s="314" t="s">
        <v>203</v>
      </c>
      <c r="NPR16" s="314" t="s">
        <v>203</v>
      </c>
      <c r="NPS16" s="314" t="s">
        <v>203</v>
      </c>
      <c r="NPT16" s="314" t="s">
        <v>203</v>
      </c>
      <c r="NPU16" s="314" t="s">
        <v>203</v>
      </c>
      <c r="NPV16" s="314" t="s">
        <v>203</v>
      </c>
      <c r="NPW16" s="314" t="s">
        <v>203</v>
      </c>
      <c r="NPX16" s="314" t="s">
        <v>203</v>
      </c>
      <c r="NPY16" s="314" t="s">
        <v>203</v>
      </c>
      <c r="NPZ16" s="314" t="s">
        <v>203</v>
      </c>
      <c r="NQA16" s="314" t="s">
        <v>203</v>
      </c>
      <c r="NQB16" s="314" t="s">
        <v>203</v>
      </c>
      <c r="NQC16" s="314" t="s">
        <v>203</v>
      </c>
      <c r="NQD16" s="314" t="s">
        <v>203</v>
      </c>
      <c r="NQE16" s="314" t="s">
        <v>203</v>
      </c>
      <c r="NQF16" s="314" t="s">
        <v>203</v>
      </c>
      <c r="NQG16" s="314" t="s">
        <v>203</v>
      </c>
      <c r="NQH16" s="314" t="s">
        <v>203</v>
      </c>
      <c r="NQI16" s="314" t="s">
        <v>203</v>
      </c>
      <c r="NQJ16" s="314" t="s">
        <v>203</v>
      </c>
      <c r="NQK16" s="314" t="s">
        <v>203</v>
      </c>
      <c r="NQL16" s="314" t="s">
        <v>203</v>
      </c>
      <c r="NQM16" s="314" t="s">
        <v>203</v>
      </c>
      <c r="NQN16" s="314" t="s">
        <v>203</v>
      </c>
      <c r="NQO16" s="314" t="s">
        <v>203</v>
      </c>
      <c r="NQP16" s="314" t="s">
        <v>203</v>
      </c>
      <c r="NQQ16" s="314" t="s">
        <v>203</v>
      </c>
      <c r="NQR16" s="314" t="s">
        <v>203</v>
      </c>
      <c r="NQS16" s="314" t="s">
        <v>203</v>
      </c>
      <c r="NQT16" s="314" t="s">
        <v>203</v>
      </c>
      <c r="NQU16" s="314" t="s">
        <v>203</v>
      </c>
      <c r="NQV16" s="314" t="s">
        <v>203</v>
      </c>
      <c r="NQW16" s="314" t="s">
        <v>203</v>
      </c>
      <c r="NQX16" s="314" t="s">
        <v>203</v>
      </c>
      <c r="NQY16" s="314" t="s">
        <v>203</v>
      </c>
      <c r="NQZ16" s="314" t="s">
        <v>203</v>
      </c>
      <c r="NRA16" s="314" t="s">
        <v>203</v>
      </c>
      <c r="NRB16" s="314" t="s">
        <v>203</v>
      </c>
      <c r="NRC16" s="314" t="s">
        <v>203</v>
      </c>
      <c r="NRD16" s="314" t="s">
        <v>203</v>
      </c>
      <c r="NRE16" s="314" t="s">
        <v>203</v>
      </c>
      <c r="NRF16" s="314" t="s">
        <v>203</v>
      </c>
      <c r="NRG16" s="314" t="s">
        <v>203</v>
      </c>
      <c r="NRH16" s="314" t="s">
        <v>203</v>
      </c>
      <c r="NRI16" s="314" t="s">
        <v>203</v>
      </c>
      <c r="NRJ16" s="314" t="s">
        <v>203</v>
      </c>
      <c r="NRK16" s="314" t="s">
        <v>203</v>
      </c>
      <c r="NRL16" s="314" t="s">
        <v>203</v>
      </c>
      <c r="NRM16" s="314" t="s">
        <v>203</v>
      </c>
      <c r="NRN16" s="314" t="s">
        <v>203</v>
      </c>
      <c r="NRO16" s="314" t="s">
        <v>203</v>
      </c>
      <c r="NRP16" s="314" t="s">
        <v>203</v>
      </c>
      <c r="NRQ16" s="314" t="s">
        <v>203</v>
      </c>
      <c r="NRR16" s="314" t="s">
        <v>203</v>
      </c>
      <c r="NRS16" s="314" t="s">
        <v>203</v>
      </c>
      <c r="NRT16" s="314" t="s">
        <v>203</v>
      </c>
      <c r="NRU16" s="314" t="s">
        <v>203</v>
      </c>
      <c r="NRV16" s="314" t="s">
        <v>203</v>
      </c>
      <c r="NRW16" s="314" t="s">
        <v>203</v>
      </c>
      <c r="NRX16" s="314" t="s">
        <v>203</v>
      </c>
      <c r="NRY16" s="314" t="s">
        <v>203</v>
      </c>
      <c r="NRZ16" s="314" t="s">
        <v>203</v>
      </c>
      <c r="NSA16" s="314" t="s">
        <v>203</v>
      </c>
      <c r="NSB16" s="314" t="s">
        <v>203</v>
      </c>
      <c r="NSC16" s="314" t="s">
        <v>203</v>
      </c>
      <c r="NSD16" s="314" t="s">
        <v>203</v>
      </c>
      <c r="NSE16" s="314" t="s">
        <v>203</v>
      </c>
      <c r="NSF16" s="314" t="s">
        <v>203</v>
      </c>
      <c r="NSG16" s="314" t="s">
        <v>203</v>
      </c>
      <c r="NSH16" s="314" t="s">
        <v>203</v>
      </c>
      <c r="NSI16" s="314" t="s">
        <v>203</v>
      </c>
      <c r="NSJ16" s="314" t="s">
        <v>203</v>
      </c>
      <c r="NSK16" s="314" t="s">
        <v>203</v>
      </c>
      <c r="NSL16" s="314" t="s">
        <v>203</v>
      </c>
      <c r="NSM16" s="314" t="s">
        <v>203</v>
      </c>
      <c r="NSN16" s="314" t="s">
        <v>203</v>
      </c>
      <c r="NSO16" s="314" t="s">
        <v>203</v>
      </c>
      <c r="NSP16" s="314" t="s">
        <v>203</v>
      </c>
      <c r="NSQ16" s="314" t="s">
        <v>203</v>
      </c>
      <c r="NSR16" s="314" t="s">
        <v>203</v>
      </c>
      <c r="NSS16" s="314" t="s">
        <v>203</v>
      </c>
      <c r="NST16" s="314" t="s">
        <v>203</v>
      </c>
      <c r="NSU16" s="314" t="s">
        <v>203</v>
      </c>
      <c r="NSV16" s="314" t="s">
        <v>203</v>
      </c>
      <c r="NSW16" s="314" t="s">
        <v>203</v>
      </c>
      <c r="NSX16" s="314" t="s">
        <v>203</v>
      </c>
      <c r="NSY16" s="314" t="s">
        <v>203</v>
      </c>
      <c r="NSZ16" s="314" t="s">
        <v>203</v>
      </c>
      <c r="NTA16" s="314" t="s">
        <v>203</v>
      </c>
      <c r="NTB16" s="314" t="s">
        <v>203</v>
      </c>
      <c r="NTC16" s="314" t="s">
        <v>203</v>
      </c>
      <c r="NTD16" s="314" t="s">
        <v>203</v>
      </c>
      <c r="NTE16" s="314" t="s">
        <v>203</v>
      </c>
      <c r="NTF16" s="314" t="s">
        <v>203</v>
      </c>
      <c r="NTG16" s="314" t="s">
        <v>203</v>
      </c>
      <c r="NTH16" s="314" t="s">
        <v>203</v>
      </c>
      <c r="NTI16" s="314" t="s">
        <v>203</v>
      </c>
      <c r="NTJ16" s="314" t="s">
        <v>203</v>
      </c>
      <c r="NTK16" s="314" t="s">
        <v>203</v>
      </c>
      <c r="NTL16" s="314" t="s">
        <v>203</v>
      </c>
      <c r="NTM16" s="314" t="s">
        <v>203</v>
      </c>
      <c r="NTN16" s="314" t="s">
        <v>203</v>
      </c>
      <c r="NTO16" s="314" t="s">
        <v>203</v>
      </c>
      <c r="NTP16" s="314" t="s">
        <v>203</v>
      </c>
      <c r="NTQ16" s="314" t="s">
        <v>203</v>
      </c>
      <c r="NTR16" s="314" t="s">
        <v>203</v>
      </c>
      <c r="NTS16" s="314" t="s">
        <v>203</v>
      </c>
      <c r="NTT16" s="314" t="s">
        <v>203</v>
      </c>
      <c r="NTU16" s="314" t="s">
        <v>203</v>
      </c>
      <c r="NTV16" s="314" t="s">
        <v>203</v>
      </c>
      <c r="NTW16" s="314" t="s">
        <v>203</v>
      </c>
      <c r="NTX16" s="314" t="s">
        <v>203</v>
      </c>
      <c r="NTY16" s="314" t="s">
        <v>203</v>
      </c>
      <c r="NTZ16" s="314" t="s">
        <v>203</v>
      </c>
      <c r="NUA16" s="314" t="s">
        <v>203</v>
      </c>
      <c r="NUB16" s="314" t="s">
        <v>203</v>
      </c>
      <c r="NUC16" s="314" t="s">
        <v>203</v>
      </c>
      <c r="NUD16" s="314" t="s">
        <v>203</v>
      </c>
      <c r="NUE16" s="314" t="s">
        <v>203</v>
      </c>
      <c r="NUF16" s="314" t="s">
        <v>203</v>
      </c>
      <c r="NUG16" s="314" t="s">
        <v>203</v>
      </c>
      <c r="NUH16" s="314" t="s">
        <v>203</v>
      </c>
      <c r="NUI16" s="314" t="s">
        <v>203</v>
      </c>
      <c r="NUJ16" s="314" t="s">
        <v>203</v>
      </c>
      <c r="NUK16" s="314" t="s">
        <v>203</v>
      </c>
      <c r="NUL16" s="314" t="s">
        <v>203</v>
      </c>
      <c r="NUM16" s="314" t="s">
        <v>203</v>
      </c>
      <c r="NUN16" s="314" t="s">
        <v>203</v>
      </c>
      <c r="NUO16" s="314" t="s">
        <v>203</v>
      </c>
      <c r="NUP16" s="314" t="s">
        <v>203</v>
      </c>
      <c r="NUQ16" s="314" t="s">
        <v>203</v>
      </c>
      <c r="NUR16" s="314" t="s">
        <v>203</v>
      </c>
      <c r="NUS16" s="314" t="s">
        <v>203</v>
      </c>
      <c r="NUT16" s="314" t="s">
        <v>203</v>
      </c>
      <c r="NUU16" s="314" t="s">
        <v>203</v>
      </c>
      <c r="NUV16" s="314" t="s">
        <v>203</v>
      </c>
      <c r="NUW16" s="314" t="s">
        <v>203</v>
      </c>
      <c r="NUX16" s="314" t="s">
        <v>203</v>
      </c>
      <c r="NUY16" s="314" t="s">
        <v>203</v>
      </c>
      <c r="NUZ16" s="314" t="s">
        <v>203</v>
      </c>
      <c r="NVA16" s="314" t="s">
        <v>203</v>
      </c>
      <c r="NVB16" s="314" t="s">
        <v>203</v>
      </c>
      <c r="NVC16" s="314" t="s">
        <v>203</v>
      </c>
      <c r="NVD16" s="314" t="s">
        <v>203</v>
      </c>
      <c r="NVE16" s="314" t="s">
        <v>203</v>
      </c>
      <c r="NVF16" s="314" t="s">
        <v>203</v>
      </c>
      <c r="NVG16" s="314" t="s">
        <v>203</v>
      </c>
      <c r="NVH16" s="314" t="s">
        <v>203</v>
      </c>
      <c r="NVI16" s="314" t="s">
        <v>203</v>
      </c>
      <c r="NVJ16" s="314" t="s">
        <v>203</v>
      </c>
      <c r="NVK16" s="314" t="s">
        <v>203</v>
      </c>
      <c r="NVL16" s="314" t="s">
        <v>203</v>
      </c>
      <c r="NVM16" s="314" t="s">
        <v>203</v>
      </c>
      <c r="NVN16" s="314" t="s">
        <v>203</v>
      </c>
      <c r="NVO16" s="314" t="s">
        <v>203</v>
      </c>
      <c r="NVP16" s="314" t="s">
        <v>203</v>
      </c>
      <c r="NVQ16" s="314" t="s">
        <v>203</v>
      </c>
      <c r="NVR16" s="314" t="s">
        <v>203</v>
      </c>
      <c r="NVS16" s="314" t="s">
        <v>203</v>
      </c>
      <c r="NVT16" s="314" t="s">
        <v>203</v>
      </c>
      <c r="NVU16" s="314" t="s">
        <v>203</v>
      </c>
      <c r="NVV16" s="314" t="s">
        <v>203</v>
      </c>
      <c r="NVW16" s="314" t="s">
        <v>203</v>
      </c>
      <c r="NVX16" s="314" t="s">
        <v>203</v>
      </c>
      <c r="NVY16" s="314" t="s">
        <v>203</v>
      </c>
      <c r="NVZ16" s="314" t="s">
        <v>203</v>
      </c>
      <c r="NWA16" s="314" t="s">
        <v>203</v>
      </c>
      <c r="NWB16" s="314" t="s">
        <v>203</v>
      </c>
      <c r="NWC16" s="314" t="s">
        <v>203</v>
      </c>
      <c r="NWD16" s="314" t="s">
        <v>203</v>
      </c>
      <c r="NWE16" s="314" t="s">
        <v>203</v>
      </c>
      <c r="NWF16" s="314" t="s">
        <v>203</v>
      </c>
      <c r="NWG16" s="314" t="s">
        <v>203</v>
      </c>
      <c r="NWH16" s="314" t="s">
        <v>203</v>
      </c>
      <c r="NWI16" s="314" t="s">
        <v>203</v>
      </c>
      <c r="NWJ16" s="314" t="s">
        <v>203</v>
      </c>
      <c r="NWK16" s="314" t="s">
        <v>203</v>
      </c>
      <c r="NWL16" s="314" t="s">
        <v>203</v>
      </c>
      <c r="NWM16" s="314" t="s">
        <v>203</v>
      </c>
      <c r="NWN16" s="314" t="s">
        <v>203</v>
      </c>
      <c r="NWO16" s="314" t="s">
        <v>203</v>
      </c>
      <c r="NWP16" s="314" t="s">
        <v>203</v>
      </c>
      <c r="NWQ16" s="314" t="s">
        <v>203</v>
      </c>
      <c r="NWR16" s="314" t="s">
        <v>203</v>
      </c>
      <c r="NWS16" s="314" t="s">
        <v>203</v>
      </c>
      <c r="NWT16" s="314" t="s">
        <v>203</v>
      </c>
      <c r="NWU16" s="314" t="s">
        <v>203</v>
      </c>
      <c r="NWV16" s="314" t="s">
        <v>203</v>
      </c>
      <c r="NWW16" s="314" t="s">
        <v>203</v>
      </c>
      <c r="NWX16" s="314" t="s">
        <v>203</v>
      </c>
      <c r="NWY16" s="314" t="s">
        <v>203</v>
      </c>
      <c r="NWZ16" s="314" t="s">
        <v>203</v>
      </c>
      <c r="NXA16" s="314" t="s">
        <v>203</v>
      </c>
      <c r="NXB16" s="314" t="s">
        <v>203</v>
      </c>
      <c r="NXC16" s="314" t="s">
        <v>203</v>
      </c>
      <c r="NXD16" s="314" t="s">
        <v>203</v>
      </c>
      <c r="NXE16" s="314" t="s">
        <v>203</v>
      </c>
      <c r="NXF16" s="314" t="s">
        <v>203</v>
      </c>
      <c r="NXG16" s="314" t="s">
        <v>203</v>
      </c>
      <c r="NXH16" s="314" t="s">
        <v>203</v>
      </c>
      <c r="NXI16" s="314" t="s">
        <v>203</v>
      </c>
      <c r="NXJ16" s="314" t="s">
        <v>203</v>
      </c>
      <c r="NXK16" s="314" t="s">
        <v>203</v>
      </c>
      <c r="NXL16" s="314" t="s">
        <v>203</v>
      </c>
      <c r="NXM16" s="314" t="s">
        <v>203</v>
      </c>
      <c r="NXN16" s="314" t="s">
        <v>203</v>
      </c>
      <c r="NXO16" s="314" t="s">
        <v>203</v>
      </c>
      <c r="NXP16" s="314" t="s">
        <v>203</v>
      </c>
      <c r="NXQ16" s="314" t="s">
        <v>203</v>
      </c>
      <c r="NXR16" s="314" t="s">
        <v>203</v>
      </c>
      <c r="NXS16" s="314" t="s">
        <v>203</v>
      </c>
      <c r="NXT16" s="314" t="s">
        <v>203</v>
      </c>
      <c r="NXU16" s="314" t="s">
        <v>203</v>
      </c>
      <c r="NXV16" s="314" t="s">
        <v>203</v>
      </c>
      <c r="NXW16" s="314" t="s">
        <v>203</v>
      </c>
      <c r="NXX16" s="314" t="s">
        <v>203</v>
      </c>
      <c r="NXY16" s="314" t="s">
        <v>203</v>
      </c>
      <c r="NXZ16" s="314" t="s">
        <v>203</v>
      </c>
      <c r="NYA16" s="314" t="s">
        <v>203</v>
      </c>
      <c r="NYB16" s="314" t="s">
        <v>203</v>
      </c>
      <c r="NYC16" s="314" t="s">
        <v>203</v>
      </c>
      <c r="NYD16" s="314" t="s">
        <v>203</v>
      </c>
      <c r="NYE16" s="314" t="s">
        <v>203</v>
      </c>
      <c r="NYF16" s="314" t="s">
        <v>203</v>
      </c>
      <c r="NYG16" s="314" t="s">
        <v>203</v>
      </c>
      <c r="NYH16" s="314" t="s">
        <v>203</v>
      </c>
      <c r="NYI16" s="314" t="s">
        <v>203</v>
      </c>
      <c r="NYJ16" s="314" t="s">
        <v>203</v>
      </c>
      <c r="NYK16" s="314" t="s">
        <v>203</v>
      </c>
      <c r="NYL16" s="314" t="s">
        <v>203</v>
      </c>
      <c r="NYM16" s="314" t="s">
        <v>203</v>
      </c>
      <c r="NYN16" s="314" t="s">
        <v>203</v>
      </c>
      <c r="NYO16" s="314" t="s">
        <v>203</v>
      </c>
      <c r="NYP16" s="314" t="s">
        <v>203</v>
      </c>
      <c r="NYQ16" s="314" t="s">
        <v>203</v>
      </c>
      <c r="NYR16" s="314" t="s">
        <v>203</v>
      </c>
      <c r="NYS16" s="314" t="s">
        <v>203</v>
      </c>
      <c r="NYT16" s="314" t="s">
        <v>203</v>
      </c>
      <c r="NYU16" s="314" t="s">
        <v>203</v>
      </c>
      <c r="NYV16" s="314" t="s">
        <v>203</v>
      </c>
      <c r="NYW16" s="314" t="s">
        <v>203</v>
      </c>
      <c r="NYX16" s="314" t="s">
        <v>203</v>
      </c>
      <c r="NYY16" s="314" t="s">
        <v>203</v>
      </c>
      <c r="NYZ16" s="314" t="s">
        <v>203</v>
      </c>
      <c r="NZA16" s="314" t="s">
        <v>203</v>
      </c>
      <c r="NZB16" s="314" t="s">
        <v>203</v>
      </c>
      <c r="NZC16" s="314" t="s">
        <v>203</v>
      </c>
      <c r="NZD16" s="314" t="s">
        <v>203</v>
      </c>
      <c r="NZE16" s="314" t="s">
        <v>203</v>
      </c>
      <c r="NZF16" s="314" t="s">
        <v>203</v>
      </c>
      <c r="NZG16" s="314" t="s">
        <v>203</v>
      </c>
      <c r="NZH16" s="314" t="s">
        <v>203</v>
      </c>
      <c r="NZI16" s="314" t="s">
        <v>203</v>
      </c>
      <c r="NZJ16" s="314" t="s">
        <v>203</v>
      </c>
      <c r="NZK16" s="314" t="s">
        <v>203</v>
      </c>
      <c r="NZL16" s="314" t="s">
        <v>203</v>
      </c>
      <c r="NZM16" s="314" t="s">
        <v>203</v>
      </c>
      <c r="NZN16" s="314" t="s">
        <v>203</v>
      </c>
      <c r="NZO16" s="314" t="s">
        <v>203</v>
      </c>
      <c r="NZP16" s="314" t="s">
        <v>203</v>
      </c>
      <c r="NZQ16" s="314" t="s">
        <v>203</v>
      </c>
      <c r="NZR16" s="314" t="s">
        <v>203</v>
      </c>
      <c r="NZS16" s="314" t="s">
        <v>203</v>
      </c>
      <c r="NZT16" s="314" t="s">
        <v>203</v>
      </c>
      <c r="NZU16" s="314" t="s">
        <v>203</v>
      </c>
      <c r="NZV16" s="314" t="s">
        <v>203</v>
      </c>
      <c r="NZW16" s="314" t="s">
        <v>203</v>
      </c>
      <c r="NZX16" s="314" t="s">
        <v>203</v>
      </c>
      <c r="NZY16" s="314" t="s">
        <v>203</v>
      </c>
      <c r="NZZ16" s="314" t="s">
        <v>203</v>
      </c>
      <c r="OAA16" s="314" t="s">
        <v>203</v>
      </c>
      <c r="OAB16" s="314" t="s">
        <v>203</v>
      </c>
      <c r="OAC16" s="314" t="s">
        <v>203</v>
      </c>
      <c r="OAD16" s="314" t="s">
        <v>203</v>
      </c>
      <c r="OAE16" s="314" t="s">
        <v>203</v>
      </c>
      <c r="OAF16" s="314" t="s">
        <v>203</v>
      </c>
      <c r="OAG16" s="314" t="s">
        <v>203</v>
      </c>
      <c r="OAH16" s="314" t="s">
        <v>203</v>
      </c>
      <c r="OAI16" s="314" t="s">
        <v>203</v>
      </c>
      <c r="OAJ16" s="314" t="s">
        <v>203</v>
      </c>
      <c r="OAK16" s="314" t="s">
        <v>203</v>
      </c>
      <c r="OAL16" s="314" t="s">
        <v>203</v>
      </c>
      <c r="OAM16" s="314" t="s">
        <v>203</v>
      </c>
      <c r="OAN16" s="314" t="s">
        <v>203</v>
      </c>
      <c r="OAO16" s="314" t="s">
        <v>203</v>
      </c>
      <c r="OAP16" s="314" t="s">
        <v>203</v>
      </c>
      <c r="OAQ16" s="314" t="s">
        <v>203</v>
      </c>
      <c r="OAR16" s="314" t="s">
        <v>203</v>
      </c>
      <c r="OAS16" s="314" t="s">
        <v>203</v>
      </c>
      <c r="OAT16" s="314" t="s">
        <v>203</v>
      </c>
      <c r="OAU16" s="314" t="s">
        <v>203</v>
      </c>
      <c r="OAV16" s="314" t="s">
        <v>203</v>
      </c>
      <c r="OAW16" s="314" t="s">
        <v>203</v>
      </c>
      <c r="OAX16" s="314" t="s">
        <v>203</v>
      </c>
      <c r="OAY16" s="314" t="s">
        <v>203</v>
      </c>
      <c r="OAZ16" s="314" t="s">
        <v>203</v>
      </c>
      <c r="OBA16" s="314" t="s">
        <v>203</v>
      </c>
      <c r="OBB16" s="314" t="s">
        <v>203</v>
      </c>
      <c r="OBC16" s="314" t="s">
        <v>203</v>
      </c>
      <c r="OBD16" s="314" t="s">
        <v>203</v>
      </c>
      <c r="OBE16" s="314" t="s">
        <v>203</v>
      </c>
      <c r="OBF16" s="314" t="s">
        <v>203</v>
      </c>
      <c r="OBG16" s="314" t="s">
        <v>203</v>
      </c>
      <c r="OBH16" s="314" t="s">
        <v>203</v>
      </c>
      <c r="OBI16" s="314" t="s">
        <v>203</v>
      </c>
      <c r="OBJ16" s="314" t="s">
        <v>203</v>
      </c>
      <c r="OBK16" s="314" t="s">
        <v>203</v>
      </c>
      <c r="OBL16" s="314" t="s">
        <v>203</v>
      </c>
      <c r="OBM16" s="314" t="s">
        <v>203</v>
      </c>
      <c r="OBN16" s="314" t="s">
        <v>203</v>
      </c>
      <c r="OBO16" s="314" t="s">
        <v>203</v>
      </c>
      <c r="OBP16" s="314" t="s">
        <v>203</v>
      </c>
      <c r="OBQ16" s="314" t="s">
        <v>203</v>
      </c>
      <c r="OBR16" s="314" t="s">
        <v>203</v>
      </c>
      <c r="OBS16" s="314" t="s">
        <v>203</v>
      </c>
      <c r="OBT16" s="314" t="s">
        <v>203</v>
      </c>
      <c r="OBU16" s="314" t="s">
        <v>203</v>
      </c>
      <c r="OBV16" s="314" t="s">
        <v>203</v>
      </c>
      <c r="OBW16" s="314" t="s">
        <v>203</v>
      </c>
      <c r="OBX16" s="314" t="s">
        <v>203</v>
      </c>
      <c r="OBY16" s="314" t="s">
        <v>203</v>
      </c>
      <c r="OBZ16" s="314" t="s">
        <v>203</v>
      </c>
      <c r="OCA16" s="314" t="s">
        <v>203</v>
      </c>
      <c r="OCB16" s="314" t="s">
        <v>203</v>
      </c>
      <c r="OCC16" s="314" t="s">
        <v>203</v>
      </c>
      <c r="OCD16" s="314" t="s">
        <v>203</v>
      </c>
      <c r="OCE16" s="314" t="s">
        <v>203</v>
      </c>
      <c r="OCF16" s="314" t="s">
        <v>203</v>
      </c>
      <c r="OCG16" s="314" t="s">
        <v>203</v>
      </c>
      <c r="OCH16" s="314" t="s">
        <v>203</v>
      </c>
      <c r="OCI16" s="314" t="s">
        <v>203</v>
      </c>
      <c r="OCJ16" s="314" t="s">
        <v>203</v>
      </c>
      <c r="OCK16" s="314" t="s">
        <v>203</v>
      </c>
      <c r="OCL16" s="314" t="s">
        <v>203</v>
      </c>
      <c r="OCM16" s="314" t="s">
        <v>203</v>
      </c>
      <c r="OCN16" s="314" t="s">
        <v>203</v>
      </c>
      <c r="OCO16" s="314" t="s">
        <v>203</v>
      </c>
      <c r="OCP16" s="314" t="s">
        <v>203</v>
      </c>
      <c r="OCQ16" s="314" t="s">
        <v>203</v>
      </c>
      <c r="OCR16" s="314" t="s">
        <v>203</v>
      </c>
      <c r="OCS16" s="314" t="s">
        <v>203</v>
      </c>
      <c r="OCT16" s="314" t="s">
        <v>203</v>
      </c>
      <c r="OCU16" s="314" t="s">
        <v>203</v>
      </c>
      <c r="OCV16" s="314" t="s">
        <v>203</v>
      </c>
      <c r="OCW16" s="314" t="s">
        <v>203</v>
      </c>
      <c r="OCX16" s="314" t="s">
        <v>203</v>
      </c>
      <c r="OCY16" s="314" t="s">
        <v>203</v>
      </c>
      <c r="OCZ16" s="314" t="s">
        <v>203</v>
      </c>
      <c r="ODA16" s="314" t="s">
        <v>203</v>
      </c>
      <c r="ODB16" s="314" t="s">
        <v>203</v>
      </c>
      <c r="ODC16" s="314" t="s">
        <v>203</v>
      </c>
      <c r="ODD16" s="314" t="s">
        <v>203</v>
      </c>
      <c r="ODE16" s="314" t="s">
        <v>203</v>
      </c>
      <c r="ODF16" s="314" t="s">
        <v>203</v>
      </c>
      <c r="ODG16" s="314" t="s">
        <v>203</v>
      </c>
      <c r="ODH16" s="314" t="s">
        <v>203</v>
      </c>
      <c r="ODI16" s="314" t="s">
        <v>203</v>
      </c>
      <c r="ODJ16" s="314" t="s">
        <v>203</v>
      </c>
      <c r="ODK16" s="314" t="s">
        <v>203</v>
      </c>
      <c r="ODL16" s="314" t="s">
        <v>203</v>
      </c>
      <c r="ODM16" s="314" t="s">
        <v>203</v>
      </c>
      <c r="ODN16" s="314" t="s">
        <v>203</v>
      </c>
      <c r="ODO16" s="314" t="s">
        <v>203</v>
      </c>
      <c r="ODP16" s="314" t="s">
        <v>203</v>
      </c>
      <c r="ODQ16" s="314" t="s">
        <v>203</v>
      </c>
      <c r="ODR16" s="314" t="s">
        <v>203</v>
      </c>
      <c r="ODS16" s="314" t="s">
        <v>203</v>
      </c>
      <c r="ODT16" s="314" t="s">
        <v>203</v>
      </c>
      <c r="ODU16" s="314" t="s">
        <v>203</v>
      </c>
      <c r="ODV16" s="314" t="s">
        <v>203</v>
      </c>
      <c r="ODW16" s="314" t="s">
        <v>203</v>
      </c>
      <c r="ODX16" s="314" t="s">
        <v>203</v>
      </c>
      <c r="ODY16" s="314" t="s">
        <v>203</v>
      </c>
      <c r="ODZ16" s="314" t="s">
        <v>203</v>
      </c>
      <c r="OEA16" s="314" t="s">
        <v>203</v>
      </c>
      <c r="OEB16" s="314" t="s">
        <v>203</v>
      </c>
      <c r="OEC16" s="314" t="s">
        <v>203</v>
      </c>
      <c r="OED16" s="314" t="s">
        <v>203</v>
      </c>
      <c r="OEE16" s="314" t="s">
        <v>203</v>
      </c>
      <c r="OEF16" s="314" t="s">
        <v>203</v>
      </c>
      <c r="OEG16" s="314" t="s">
        <v>203</v>
      </c>
      <c r="OEH16" s="314" t="s">
        <v>203</v>
      </c>
      <c r="OEI16" s="314" t="s">
        <v>203</v>
      </c>
      <c r="OEJ16" s="314" t="s">
        <v>203</v>
      </c>
      <c r="OEK16" s="314" t="s">
        <v>203</v>
      </c>
      <c r="OEL16" s="314" t="s">
        <v>203</v>
      </c>
      <c r="OEM16" s="314" t="s">
        <v>203</v>
      </c>
      <c r="OEN16" s="314" t="s">
        <v>203</v>
      </c>
      <c r="OEO16" s="314" t="s">
        <v>203</v>
      </c>
      <c r="OEP16" s="314" t="s">
        <v>203</v>
      </c>
      <c r="OEQ16" s="314" t="s">
        <v>203</v>
      </c>
      <c r="OER16" s="314" t="s">
        <v>203</v>
      </c>
      <c r="OES16" s="314" t="s">
        <v>203</v>
      </c>
      <c r="OET16" s="314" t="s">
        <v>203</v>
      </c>
      <c r="OEU16" s="314" t="s">
        <v>203</v>
      </c>
      <c r="OEV16" s="314" t="s">
        <v>203</v>
      </c>
      <c r="OEW16" s="314" t="s">
        <v>203</v>
      </c>
      <c r="OEX16" s="314" t="s">
        <v>203</v>
      </c>
      <c r="OEY16" s="314" t="s">
        <v>203</v>
      </c>
      <c r="OEZ16" s="314" t="s">
        <v>203</v>
      </c>
      <c r="OFA16" s="314" t="s">
        <v>203</v>
      </c>
      <c r="OFB16" s="314" t="s">
        <v>203</v>
      </c>
      <c r="OFC16" s="314" t="s">
        <v>203</v>
      </c>
      <c r="OFD16" s="314" t="s">
        <v>203</v>
      </c>
      <c r="OFE16" s="314" t="s">
        <v>203</v>
      </c>
      <c r="OFF16" s="314" t="s">
        <v>203</v>
      </c>
      <c r="OFG16" s="314" t="s">
        <v>203</v>
      </c>
      <c r="OFH16" s="314" t="s">
        <v>203</v>
      </c>
      <c r="OFI16" s="314" t="s">
        <v>203</v>
      </c>
      <c r="OFJ16" s="314" t="s">
        <v>203</v>
      </c>
      <c r="OFK16" s="314" t="s">
        <v>203</v>
      </c>
      <c r="OFL16" s="314" t="s">
        <v>203</v>
      </c>
      <c r="OFM16" s="314" t="s">
        <v>203</v>
      </c>
      <c r="OFN16" s="314" t="s">
        <v>203</v>
      </c>
      <c r="OFO16" s="314" t="s">
        <v>203</v>
      </c>
      <c r="OFP16" s="314" t="s">
        <v>203</v>
      </c>
      <c r="OFQ16" s="314" t="s">
        <v>203</v>
      </c>
      <c r="OFR16" s="314" t="s">
        <v>203</v>
      </c>
      <c r="OFS16" s="314" t="s">
        <v>203</v>
      </c>
      <c r="OFT16" s="314" t="s">
        <v>203</v>
      </c>
      <c r="OFU16" s="314" t="s">
        <v>203</v>
      </c>
      <c r="OFV16" s="314" t="s">
        <v>203</v>
      </c>
      <c r="OFW16" s="314" t="s">
        <v>203</v>
      </c>
      <c r="OFX16" s="314" t="s">
        <v>203</v>
      </c>
      <c r="OFY16" s="314" t="s">
        <v>203</v>
      </c>
      <c r="OFZ16" s="314" t="s">
        <v>203</v>
      </c>
      <c r="OGA16" s="314" t="s">
        <v>203</v>
      </c>
      <c r="OGB16" s="314" t="s">
        <v>203</v>
      </c>
      <c r="OGC16" s="314" t="s">
        <v>203</v>
      </c>
      <c r="OGD16" s="314" t="s">
        <v>203</v>
      </c>
      <c r="OGE16" s="314" t="s">
        <v>203</v>
      </c>
      <c r="OGF16" s="314" t="s">
        <v>203</v>
      </c>
      <c r="OGG16" s="314" t="s">
        <v>203</v>
      </c>
      <c r="OGH16" s="314" t="s">
        <v>203</v>
      </c>
      <c r="OGI16" s="314" t="s">
        <v>203</v>
      </c>
      <c r="OGJ16" s="314" t="s">
        <v>203</v>
      </c>
      <c r="OGK16" s="314" t="s">
        <v>203</v>
      </c>
      <c r="OGL16" s="314" t="s">
        <v>203</v>
      </c>
      <c r="OGM16" s="314" t="s">
        <v>203</v>
      </c>
      <c r="OGN16" s="314" t="s">
        <v>203</v>
      </c>
      <c r="OGO16" s="314" t="s">
        <v>203</v>
      </c>
      <c r="OGP16" s="314" t="s">
        <v>203</v>
      </c>
      <c r="OGQ16" s="314" t="s">
        <v>203</v>
      </c>
      <c r="OGR16" s="314" t="s">
        <v>203</v>
      </c>
      <c r="OGS16" s="314" t="s">
        <v>203</v>
      </c>
      <c r="OGT16" s="314" t="s">
        <v>203</v>
      </c>
      <c r="OGU16" s="314" t="s">
        <v>203</v>
      </c>
      <c r="OGV16" s="314" t="s">
        <v>203</v>
      </c>
      <c r="OGW16" s="314" t="s">
        <v>203</v>
      </c>
      <c r="OGX16" s="314" t="s">
        <v>203</v>
      </c>
      <c r="OGY16" s="314" t="s">
        <v>203</v>
      </c>
      <c r="OGZ16" s="314" t="s">
        <v>203</v>
      </c>
      <c r="OHA16" s="314" t="s">
        <v>203</v>
      </c>
      <c r="OHB16" s="314" t="s">
        <v>203</v>
      </c>
      <c r="OHC16" s="314" t="s">
        <v>203</v>
      </c>
      <c r="OHD16" s="314" t="s">
        <v>203</v>
      </c>
      <c r="OHE16" s="314" t="s">
        <v>203</v>
      </c>
      <c r="OHF16" s="314" t="s">
        <v>203</v>
      </c>
      <c r="OHG16" s="314" t="s">
        <v>203</v>
      </c>
      <c r="OHH16" s="314" t="s">
        <v>203</v>
      </c>
      <c r="OHI16" s="314" t="s">
        <v>203</v>
      </c>
      <c r="OHJ16" s="314" t="s">
        <v>203</v>
      </c>
      <c r="OHK16" s="314" t="s">
        <v>203</v>
      </c>
      <c r="OHL16" s="314" t="s">
        <v>203</v>
      </c>
      <c r="OHM16" s="314" t="s">
        <v>203</v>
      </c>
      <c r="OHN16" s="314" t="s">
        <v>203</v>
      </c>
      <c r="OHO16" s="314" t="s">
        <v>203</v>
      </c>
      <c r="OHP16" s="314" t="s">
        <v>203</v>
      </c>
      <c r="OHQ16" s="314" t="s">
        <v>203</v>
      </c>
      <c r="OHR16" s="314" t="s">
        <v>203</v>
      </c>
      <c r="OHS16" s="314" t="s">
        <v>203</v>
      </c>
      <c r="OHT16" s="314" t="s">
        <v>203</v>
      </c>
      <c r="OHU16" s="314" t="s">
        <v>203</v>
      </c>
      <c r="OHV16" s="314" t="s">
        <v>203</v>
      </c>
      <c r="OHW16" s="314" t="s">
        <v>203</v>
      </c>
      <c r="OHX16" s="314" t="s">
        <v>203</v>
      </c>
      <c r="OHY16" s="314" t="s">
        <v>203</v>
      </c>
      <c r="OHZ16" s="314" t="s">
        <v>203</v>
      </c>
      <c r="OIA16" s="314" t="s">
        <v>203</v>
      </c>
      <c r="OIB16" s="314" t="s">
        <v>203</v>
      </c>
      <c r="OIC16" s="314" t="s">
        <v>203</v>
      </c>
      <c r="OID16" s="314" t="s">
        <v>203</v>
      </c>
      <c r="OIE16" s="314" t="s">
        <v>203</v>
      </c>
      <c r="OIF16" s="314" t="s">
        <v>203</v>
      </c>
      <c r="OIG16" s="314" t="s">
        <v>203</v>
      </c>
      <c r="OIH16" s="314" t="s">
        <v>203</v>
      </c>
      <c r="OII16" s="314" t="s">
        <v>203</v>
      </c>
      <c r="OIJ16" s="314" t="s">
        <v>203</v>
      </c>
      <c r="OIK16" s="314" t="s">
        <v>203</v>
      </c>
      <c r="OIL16" s="314" t="s">
        <v>203</v>
      </c>
      <c r="OIM16" s="314" t="s">
        <v>203</v>
      </c>
      <c r="OIN16" s="314" t="s">
        <v>203</v>
      </c>
      <c r="OIO16" s="314" t="s">
        <v>203</v>
      </c>
      <c r="OIP16" s="314" t="s">
        <v>203</v>
      </c>
      <c r="OIQ16" s="314" t="s">
        <v>203</v>
      </c>
      <c r="OIR16" s="314" t="s">
        <v>203</v>
      </c>
      <c r="OIS16" s="314" t="s">
        <v>203</v>
      </c>
      <c r="OIT16" s="314" t="s">
        <v>203</v>
      </c>
      <c r="OIU16" s="314" t="s">
        <v>203</v>
      </c>
      <c r="OIV16" s="314" t="s">
        <v>203</v>
      </c>
      <c r="OIW16" s="314" t="s">
        <v>203</v>
      </c>
      <c r="OIX16" s="314" t="s">
        <v>203</v>
      </c>
      <c r="OIY16" s="314" t="s">
        <v>203</v>
      </c>
      <c r="OIZ16" s="314" t="s">
        <v>203</v>
      </c>
      <c r="OJA16" s="314" t="s">
        <v>203</v>
      </c>
      <c r="OJB16" s="314" t="s">
        <v>203</v>
      </c>
      <c r="OJC16" s="314" t="s">
        <v>203</v>
      </c>
      <c r="OJD16" s="314" t="s">
        <v>203</v>
      </c>
      <c r="OJE16" s="314" t="s">
        <v>203</v>
      </c>
      <c r="OJF16" s="314" t="s">
        <v>203</v>
      </c>
      <c r="OJG16" s="314" t="s">
        <v>203</v>
      </c>
      <c r="OJH16" s="314" t="s">
        <v>203</v>
      </c>
      <c r="OJI16" s="314" t="s">
        <v>203</v>
      </c>
      <c r="OJJ16" s="314" t="s">
        <v>203</v>
      </c>
      <c r="OJK16" s="314" t="s">
        <v>203</v>
      </c>
      <c r="OJL16" s="314" t="s">
        <v>203</v>
      </c>
      <c r="OJM16" s="314" t="s">
        <v>203</v>
      </c>
      <c r="OJN16" s="314" t="s">
        <v>203</v>
      </c>
      <c r="OJO16" s="314" t="s">
        <v>203</v>
      </c>
      <c r="OJP16" s="314" t="s">
        <v>203</v>
      </c>
      <c r="OJQ16" s="314" t="s">
        <v>203</v>
      </c>
      <c r="OJR16" s="314" t="s">
        <v>203</v>
      </c>
      <c r="OJS16" s="314" t="s">
        <v>203</v>
      </c>
      <c r="OJT16" s="314" t="s">
        <v>203</v>
      </c>
      <c r="OJU16" s="314" t="s">
        <v>203</v>
      </c>
      <c r="OJV16" s="314" t="s">
        <v>203</v>
      </c>
      <c r="OJW16" s="314" t="s">
        <v>203</v>
      </c>
      <c r="OJX16" s="314" t="s">
        <v>203</v>
      </c>
      <c r="OJY16" s="314" t="s">
        <v>203</v>
      </c>
      <c r="OJZ16" s="314" t="s">
        <v>203</v>
      </c>
      <c r="OKA16" s="314" t="s">
        <v>203</v>
      </c>
      <c r="OKB16" s="314" t="s">
        <v>203</v>
      </c>
      <c r="OKC16" s="314" t="s">
        <v>203</v>
      </c>
      <c r="OKD16" s="314" t="s">
        <v>203</v>
      </c>
      <c r="OKE16" s="314" t="s">
        <v>203</v>
      </c>
      <c r="OKF16" s="314" t="s">
        <v>203</v>
      </c>
      <c r="OKG16" s="314" t="s">
        <v>203</v>
      </c>
      <c r="OKH16" s="314" t="s">
        <v>203</v>
      </c>
      <c r="OKI16" s="314" t="s">
        <v>203</v>
      </c>
      <c r="OKJ16" s="314" t="s">
        <v>203</v>
      </c>
      <c r="OKK16" s="314" t="s">
        <v>203</v>
      </c>
      <c r="OKL16" s="314" t="s">
        <v>203</v>
      </c>
      <c r="OKM16" s="314" t="s">
        <v>203</v>
      </c>
      <c r="OKN16" s="314" t="s">
        <v>203</v>
      </c>
      <c r="OKO16" s="314" t="s">
        <v>203</v>
      </c>
      <c r="OKP16" s="314" t="s">
        <v>203</v>
      </c>
      <c r="OKQ16" s="314" t="s">
        <v>203</v>
      </c>
      <c r="OKR16" s="314" t="s">
        <v>203</v>
      </c>
      <c r="OKS16" s="314" t="s">
        <v>203</v>
      </c>
      <c r="OKT16" s="314" t="s">
        <v>203</v>
      </c>
      <c r="OKU16" s="314" t="s">
        <v>203</v>
      </c>
      <c r="OKV16" s="314" t="s">
        <v>203</v>
      </c>
      <c r="OKW16" s="314" t="s">
        <v>203</v>
      </c>
      <c r="OKX16" s="314" t="s">
        <v>203</v>
      </c>
      <c r="OKY16" s="314" t="s">
        <v>203</v>
      </c>
      <c r="OKZ16" s="314" t="s">
        <v>203</v>
      </c>
      <c r="OLA16" s="314" t="s">
        <v>203</v>
      </c>
      <c r="OLB16" s="314" t="s">
        <v>203</v>
      </c>
      <c r="OLC16" s="314" t="s">
        <v>203</v>
      </c>
      <c r="OLD16" s="314" t="s">
        <v>203</v>
      </c>
      <c r="OLE16" s="314" t="s">
        <v>203</v>
      </c>
      <c r="OLF16" s="314" t="s">
        <v>203</v>
      </c>
      <c r="OLG16" s="314" t="s">
        <v>203</v>
      </c>
      <c r="OLH16" s="314" t="s">
        <v>203</v>
      </c>
      <c r="OLI16" s="314" t="s">
        <v>203</v>
      </c>
      <c r="OLJ16" s="314" t="s">
        <v>203</v>
      </c>
      <c r="OLK16" s="314" t="s">
        <v>203</v>
      </c>
      <c r="OLL16" s="314" t="s">
        <v>203</v>
      </c>
      <c r="OLM16" s="314" t="s">
        <v>203</v>
      </c>
      <c r="OLN16" s="314" t="s">
        <v>203</v>
      </c>
      <c r="OLO16" s="314" t="s">
        <v>203</v>
      </c>
      <c r="OLP16" s="314" t="s">
        <v>203</v>
      </c>
      <c r="OLQ16" s="314" t="s">
        <v>203</v>
      </c>
      <c r="OLR16" s="314" t="s">
        <v>203</v>
      </c>
      <c r="OLS16" s="314" t="s">
        <v>203</v>
      </c>
      <c r="OLT16" s="314" t="s">
        <v>203</v>
      </c>
      <c r="OLU16" s="314" t="s">
        <v>203</v>
      </c>
      <c r="OLV16" s="314" t="s">
        <v>203</v>
      </c>
      <c r="OLW16" s="314" t="s">
        <v>203</v>
      </c>
      <c r="OLX16" s="314" t="s">
        <v>203</v>
      </c>
      <c r="OLY16" s="314" t="s">
        <v>203</v>
      </c>
      <c r="OLZ16" s="314" t="s">
        <v>203</v>
      </c>
      <c r="OMA16" s="314" t="s">
        <v>203</v>
      </c>
      <c r="OMB16" s="314" t="s">
        <v>203</v>
      </c>
      <c r="OMC16" s="314" t="s">
        <v>203</v>
      </c>
      <c r="OMD16" s="314" t="s">
        <v>203</v>
      </c>
      <c r="OME16" s="314" t="s">
        <v>203</v>
      </c>
      <c r="OMF16" s="314" t="s">
        <v>203</v>
      </c>
      <c r="OMG16" s="314" t="s">
        <v>203</v>
      </c>
      <c r="OMH16" s="314" t="s">
        <v>203</v>
      </c>
      <c r="OMI16" s="314" t="s">
        <v>203</v>
      </c>
      <c r="OMJ16" s="314" t="s">
        <v>203</v>
      </c>
      <c r="OMK16" s="314" t="s">
        <v>203</v>
      </c>
      <c r="OML16" s="314" t="s">
        <v>203</v>
      </c>
      <c r="OMM16" s="314" t="s">
        <v>203</v>
      </c>
      <c r="OMN16" s="314" t="s">
        <v>203</v>
      </c>
      <c r="OMO16" s="314" t="s">
        <v>203</v>
      </c>
      <c r="OMP16" s="314" t="s">
        <v>203</v>
      </c>
      <c r="OMQ16" s="314" t="s">
        <v>203</v>
      </c>
      <c r="OMR16" s="314" t="s">
        <v>203</v>
      </c>
      <c r="OMS16" s="314" t="s">
        <v>203</v>
      </c>
      <c r="OMT16" s="314" t="s">
        <v>203</v>
      </c>
      <c r="OMU16" s="314" t="s">
        <v>203</v>
      </c>
      <c r="OMV16" s="314" t="s">
        <v>203</v>
      </c>
      <c r="OMW16" s="314" t="s">
        <v>203</v>
      </c>
      <c r="OMX16" s="314" t="s">
        <v>203</v>
      </c>
      <c r="OMY16" s="314" t="s">
        <v>203</v>
      </c>
      <c r="OMZ16" s="314" t="s">
        <v>203</v>
      </c>
      <c r="ONA16" s="314" t="s">
        <v>203</v>
      </c>
      <c r="ONB16" s="314" t="s">
        <v>203</v>
      </c>
      <c r="ONC16" s="314" t="s">
        <v>203</v>
      </c>
      <c r="OND16" s="314" t="s">
        <v>203</v>
      </c>
      <c r="ONE16" s="314" t="s">
        <v>203</v>
      </c>
      <c r="ONF16" s="314" t="s">
        <v>203</v>
      </c>
      <c r="ONG16" s="314" t="s">
        <v>203</v>
      </c>
      <c r="ONH16" s="314" t="s">
        <v>203</v>
      </c>
      <c r="ONI16" s="314" t="s">
        <v>203</v>
      </c>
      <c r="ONJ16" s="314" t="s">
        <v>203</v>
      </c>
      <c r="ONK16" s="314" t="s">
        <v>203</v>
      </c>
      <c r="ONL16" s="314" t="s">
        <v>203</v>
      </c>
      <c r="ONM16" s="314" t="s">
        <v>203</v>
      </c>
      <c r="ONN16" s="314" t="s">
        <v>203</v>
      </c>
      <c r="ONO16" s="314" t="s">
        <v>203</v>
      </c>
      <c r="ONP16" s="314" t="s">
        <v>203</v>
      </c>
      <c r="ONQ16" s="314" t="s">
        <v>203</v>
      </c>
      <c r="ONR16" s="314" t="s">
        <v>203</v>
      </c>
      <c r="ONS16" s="314" t="s">
        <v>203</v>
      </c>
      <c r="ONT16" s="314" t="s">
        <v>203</v>
      </c>
      <c r="ONU16" s="314" t="s">
        <v>203</v>
      </c>
      <c r="ONV16" s="314" t="s">
        <v>203</v>
      </c>
      <c r="ONW16" s="314" t="s">
        <v>203</v>
      </c>
      <c r="ONX16" s="314" t="s">
        <v>203</v>
      </c>
      <c r="ONY16" s="314" t="s">
        <v>203</v>
      </c>
      <c r="ONZ16" s="314" t="s">
        <v>203</v>
      </c>
      <c r="OOA16" s="314" t="s">
        <v>203</v>
      </c>
      <c r="OOB16" s="314" t="s">
        <v>203</v>
      </c>
      <c r="OOC16" s="314" t="s">
        <v>203</v>
      </c>
      <c r="OOD16" s="314" t="s">
        <v>203</v>
      </c>
      <c r="OOE16" s="314" t="s">
        <v>203</v>
      </c>
      <c r="OOF16" s="314" t="s">
        <v>203</v>
      </c>
      <c r="OOG16" s="314" t="s">
        <v>203</v>
      </c>
      <c r="OOH16" s="314" t="s">
        <v>203</v>
      </c>
      <c r="OOI16" s="314" t="s">
        <v>203</v>
      </c>
      <c r="OOJ16" s="314" t="s">
        <v>203</v>
      </c>
      <c r="OOK16" s="314" t="s">
        <v>203</v>
      </c>
      <c r="OOL16" s="314" t="s">
        <v>203</v>
      </c>
      <c r="OOM16" s="314" t="s">
        <v>203</v>
      </c>
      <c r="OON16" s="314" t="s">
        <v>203</v>
      </c>
      <c r="OOO16" s="314" t="s">
        <v>203</v>
      </c>
      <c r="OOP16" s="314" t="s">
        <v>203</v>
      </c>
      <c r="OOQ16" s="314" t="s">
        <v>203</v>
      </c>
      <c r="OOR16" s="314" t="s">
        <v>203</v>
      </c>
      <c r="OOS16" s="314" t="s">
        <v>203</v>
      </c>
      <c r="OOT16" s="314" t="s">
        <v>203</v>
      </c>
      <c r="OOU16" s="314" t="s">
        <v>203</v>
      </c>
      <c r="OOV16" s="314" t="s">
        <v>203</v>
      </c>
      <c r="OOW16" s="314" t="s">
        <v>203</v>
      </c>
      <c r="OOX16" s="314" t="s">
        <v>203</v>
      </c>
      <c r="OOY16" s="314" t="s">
        <v>203</v>
      </c>
      <c r="OOZ16" s="314" t="s">
        <v>203</v>
      </c>
      <c r="OPA16" s="314" t="s">
        <v>203</v>
      </c>
      <c r="OPB16" s="314" t="s">
        <v>203</v>
      </c>
      <c r="OPC16" s="314" t="s">
        <v>203</v>
      </c>
      <c r="OPD16" s="314" t="s">
        <v>203</v>
      </c>
      <c r="OPE16" s="314" t="s">
        <v>203</v>
      </c>
      <c r="OPF16" s="314" t="s">
        <v>203</v>
      </c>
      <c r="OPG16" s="314" t="s">
        <v>203</v>
      </c>
      <c r="OPH16" s="314" t="s">
        <v>203</v>
      </c>
      <c r="OPI16" s="314" t="s">
        <v>203</v>
      </c>
      <c r="OPJ16" s="314" t="s">
        <v>203</v>
      </c>
      <c r="OPK16" s="314" t="s">
        <v>203</v>
      </c>
      <c r="OPL16" s="314" t="s">
        <v>203</v>
      </c>
      <c r="OPM16" s="314" t="s">
        <v>203</v>
      </c>
      <c r="OPN16" s="314" t="s">
        <v>203</v>
      </c>
      <c r="OPO16" s="314" t="s">
        <v>203</v>
      </c>
      <c r="OPP16" s="314" t="s">
        <v>203</v>
      </c>
      <c r="OPQ16" s="314" t="s">
        <v>203</v>
      </c>
      <c r="OPR16" s="314" t="s">
        <v>203</v>
      </c>
      <c r="OPS16" s="314" t="s">
        <v>203</v>
      </c>
      <c r="OPT16" s="314" t="s">
        <v>203</v>
      </c>
      <c r="OPU16" s="314" t="s">
        <v>203</v>
      </c>
      <c r="OPV16" s="314" t="s">
        <v>203</v>
      </c>
      <c r="OPW16" s="314" t="s">
        <v>203</v>
      </c>
      <c r="OPX16" s="314" t="s">
        <v>203</v>
      </c>
      <c r="OPY16" s="314" t="s">
        <v>203</v>
      </c>
      <c r="OPZ16" s="314" t="s">
        <v>203</v>
      </c>
      <c r="OQA16" s="314" t="s">
        <v>203</v>
      </c>
      <c r="OQB16" s="314" t="s">
        <v>203</v>
      </c>
      <c r="OQC16" s="314" t="s">
        <v>203</v>
      </c>
      <c r="OQD16" s="314" t="s">
        <v>203</v>
      </c>
      <c r="OQE16" s="314" t="s">
        <v>203</v>
      </c>
      <c r="OQF16" s="314" t="s">
        <v>203</v>
      </c>
      <c r="OQG16" s="314" t="s">
        <v>203</v>
      </c>
      <c r="OQH16" s="314" t="s">
        <v>203</v>
      </c>
      <c r="OQI16" s="314" t="s">
        <v>203</v>
      </c>
      <c r="OQJ16" s="314" t="s">
        <v>203</v>
      </c>
      <c r="OQK16" s="314" t="s">
        <v>203</v>
      </c>
      <c r="OQL16" s="314" t="s">
        <v>203</v>
      </c>
      <c r="OQM16" s="314" t="s">
        <v>203</v>
      </c>
      <c r="OQN16" s="314" t="s">
        <v>203</v>
      </c>
      <c r="OQO16" s="314" t="s">
        <v>203</v>
      </c>
      <c r="OQP16" s="314" t="s">
        <v>203</v>
      </c>
      <c r="OQQ16" s="314" t="s">
        <v>203</v>
      </c>
      <c r="OQR16" s="314" t="s">
        <v>203</v>
      </c>
      <c r="OQS16" s="314" t="s">
        <v>203</v>
      </c>
      <c r="OQT16" s="314" t="s">
        <v>203</v>
      </c>
      <c r="OQU16" s="314" t="s">
        <v>203</v>
      </c>
      <c r="OQV16" s="314" t="s">
        <v>203</v>
      </c>
      <c r="OQW16" s="314" t="s">
        <v>203</v>
      </c>
      <c r="OQX16" s="314" t="s">
        <v>203</v>
      </c>
      <c r="OQY16" s="314" t="s">
        <v>203</v>
      </c>
      <c r="OQZ16" s="314" t="s">
        <v>203</v>
      </c>
      <c r="ORA16" s="314" t="s">
        <v>203</v>
      </c>
      <c r="ORB16" s="314" t="s">
        <v>203</v>
      </c>
      <c r="ORC16" s="314" t="s">
        <v>203</v>
      </c>
      <c r="ORD16" s="314" t="s">
        <v>203</v>
      </c>
      <c r="ORE16" s="314" t="s">
        <v>203</v>
      </c>
      <c r="ORF16" s="314" t="s">
        <v>203</v>
      </c>
      <c r="ORG16" s="314" t="s">
        <v>203</v>
      </c>
      <c r="ORH16" s="314" t="s">
        <v>203</v>
      </c>
      <c r="ORI16" s="314" t="s">
        <v>203</v>
      </c>
      <c r="ORJ16" s="314" t="s">
        <v>203</v>
      </c>
      <c r="ORK16" s="314" t="s">
        <v>203</v>
      </c>
      <c r="ORL16" s="314" t="s">
        <v>203</v>
      </c>
      <c r="ORM16" s="314" t="s">
        <v>203</v>
      </c>
      <c r="ORN16" s="314" t="s">
        <v>203</v>
      </c>
      <c r="ORO16" s="314" t="s">
        <v>203</v>
      </c>
      <c r="ORP16" s="314" t="s">
        <v>203</v>
      </c>
      <c r="ORQ16" s="314" t="s">
        <v>203</v>
      </c>
      <c r="ORR16" s="314" t="s">
        <v>203</v>
      </c>
      <c r="ORS16" s="314" t="s">
        <v>203</v>
      </c>
      <c r="ORT16" s="314" t="s">
        <v>203</v>
      </c>
      <c r="ORU16" s="314" t="s">
        <v>203</v>
      </c>
      <c r="ORV16" s="314" t="s">
        <v>203</v>
      </c>
      <c r="ORW16" s="314" t="s">
        <v>203</v>
      </c>
      <c r="ORX16" s="314" t="s">
        <v>203</v>
      </c>
      <c r="ORY16" s="314" t="s">
        <v>203</v>
      </c>
      <c r="ORZ16" s="314" t="s">
        <v>203</v>
      </c>
      <c r="OSA16" s="314" t="s">
        <v>203</v>
      </c>
      <c r="OSB16" s="314" t="s">
        <v>203</v>
      </c>
      <c r="OSC16" s="314" t="s">
        <v>203</v>
      </c>
      <c r="OSD16" s="314" t="s">
        <v>203</v>
      </c>
      <c r="OSE16" s="314" t="s">
        <v>203</v>
      </c>
      <c r="OSF16" s="314" t="s">
        <v>203</v>
      </c>
      <c r="OSG16" s="314" t="s">
        <v>203</v>
      </c>
      <c r="OSH16" s="314" t="s">
        <v>203</v>
      </c>
      <c r="OSI16" s="314" t="s">
        <v>203</v>
      </c>
      <c r="OSJ16" s="314" t="s">
        <v>203</v>
      </c>
      <c r="OSK16" s="314" t="s">
        <v>203</v>
      </c>
      <c r="OSL16" s="314" t="s">
        <v>203</v>
      </c>
      <c r="OSM16" s="314" t="s">
        <v>203</v>
      </c>
      <c r="OSN16" s="314" t="s">
        <v>203</v>
      </c>
      <c r="OSO16" s="314" t="s">
        <v>203</v>
      </c>
      <c r="OSP16" s="314" t="s">
        <v>203</v>
      </c>
      <c r="OSQ16" s="314" t="s">
        <v>203</v>
      </c>
      <c r="OSR16" s="314" t="s">
        <v>203</v>
      </c>
      <c r="OSS16" s="314" t="s">
        <v>203</v>
      </c>
      <c r="OST16" s="314" t="s">
        <v>203</v>
      </c>
      <c r="OSU16" s="314" t="s">
        <v>203</v>
      </c>
      <c r="OSV16" s="314" t="s">
        <v>203</v>
      </c>
      <c r="OSW16" s="314" t="s">
        <v>203</v>
      </c>
      <c r="OSX16" s="314" t="s">
        <v>203</v>
      </c>
      <c r="OSY16" s="314" t="s">
        <v>203</v>
      </c>
      <c r="OSZ16" s="314" t="s">
        <v>203</v>
      </c>
      <c r="OTA16" s="314" t="s">
        <v>203</v>
      </c>
      <c r="OTB16" s="314" t="s">
        <v>203</v>
      </c>
      <c r="OTC16" s="314" t="s">
        <v>203</v>
      </c>
      <c r="OTD16" s="314" t="s">
        <v>203</v>
      </c>
      <c r="OTE16" s="314" t="s">
        <v>203</v>
      </c>
      <c r="OTF16" s="314" t="s">
        <v>203</v>
      </c>
      <c r="OTG16" s="314" t="s">
        <v>203</v>
      </c>
      <c r="OTH16" s="314" t="s">
        <v>203</v>
      </c>
      <c r="OTI16" s="314" t="s">
        <v>203</v>
      </c>
      <c r="OTJ16" s="314" t="s">
        <v>203</v>
      </c>
      <c r="OTK16" s="314" t="s">
        <v>203</v>
      </c>
      <c r="OTL16" s="314" t="s">
        <v>203</v>
      </c>
      <c r="OTM16" s="314" t="s">
        <v>203</v>
      </c>
      <c r="OTN16" s="314" t="s">
        <v>203</v>
      </c>
      <c r="OTO16" s="314" t="s">
        <v>203</v>
      </c>
      <c r="OTP16" s="314" t="s">
        <v>203</v>
      </c>
      <c r="OTQ16" s="314" t="s">
        <v>203</v>
      </c>
      <c r="OTR16" s="314" t="s">
        <v>203</v>
      </c>
      <c r="OTS16" s="314" t="s">
        <v>203</v>
      </c>
      <c r="OTT16" s="314" t="s">
        <v>203</v>
      </c>
      <c r="OTU16" s="314" t="s">
        <v>203</v>
      </c>
      <c r="OTV16" s="314" t="s">
        <v>203</v>
      </c>
      <c r="OTW16" s="314" t="s">
        <v>203</v>
      </c>
      <c r="OTX16" s="314" t="s">
        <v>203</v>
      </c>
      <c r="OTY16" s="314" t="s">
        <v>203</v>
      </c>
      <c r="OTZ16" s="314" t="s">
        <v>203</v>
      </c>
      <c r="OUA16" s="314" t="s">
        <v>203</v>
      </c>
      <c r="OUB16" s="314" t="s">
        <v>203</v>
      </c>
      <c r="OUC16" s="314" t="s">
        <v>203</v>
      </c>
      <c r="OUD16" s="314" t="s">
        <v>203</v>
      </c>
      <c r="OUE16" s="314" t="s">
        <v>203</v>
      </c>
      <c r="OUF16" s="314" t="s">
        <v>203</v>
      </c>
      <c r="OUG16" s="314" t="s">
        <v>203</v>
      </c>
      <c r="OUH16" s="314" t="s">
        <v>203</v>
      </c>
      <c r="OUI16" s="314" t="s">
        <v>203</v>
      </c>
      <c r="OUJ16" s="314" t="s">
        <v>203</v>
      </c>
      <c r="OUK16" s="314" t="s">
        <v>203</v>
      </c>
      <c r="OUL16" s="314" t="s">
        <v>203</v>
      </c>
      <c r="OUM16" s="314" t="s">
        <v>203</v>
      </c>
      <c r="OUN16" s="314" t="s">
        <v>203</v>
      </c>
      <c r="OUO16" s="314" t="s">
        <v>203</v>
      </c>
      <c r="OUP16" s="314" t="s">
        <v>203</v>
      </c>
      <c r="OUQ16" s="314" t="s">
        <v>203</v>
      </c>
      <c r="OUR16" s="314" t="s">
        <v>203</v>
      </c>
      <c r="OUS16" s="314" t="s">
        <v>203</v>
      </c>
      <c r="OUT16" s="314" t="s">
        <v>203</v>
      </c>
      <c r="OUU16" s="314" t="s">
        <v>203</v>
      </c>
      <c r="OUV16" s="314" t="s">
        <v>203</v>
      </c>
      <c r="OUW16" s="314" t="s">
        <v>203</v>
      </c>
      <c r="OUX16" s="314" t="s">
        <v>203</v>
      </c>
      <c r="OUY16" s="314" t="s">
        <v>203</v>
      </c>
      <c r="OUZ16" s="314" t="s">
        <v>203</v>
      </c>
      <c r="OVA16" s="314" t="s">
        <v>203</v>
      </c>
      <c r="OVB16" s="314" t="s">
        <v>203</v>
      </c>
      <c r="OVC16" s="314" t="s">
        <v>203</v>
      </c>
      <c r="OVD16" s="314" t="s">
        <v>203</v>
      </c>
      <c r="OVE16" s="314" t="s">
        <v>203</v>
      </c>
      <c r="OVF16" s="314" t="s">
        <v>203</v>
      </c>
      <c r="OVG16" s="314" t="s">
        <v>203</v>
      </c>
      <c r="OVH16" s="314" t="s">
        <v>203</v>
      </c>
      <c r="OVI16" s="314" t="s">
        <v>203</v>
      </c>
      <c r="OVJ16" s="314" t="s">
        <v>203</v>
      </c>
      <c r="OVK16" s="314" t="s">
        <v>203</v>
      </c>
      <c r="OVL16" s="314" t="s">
        <v>203</v>
      </c>
      <c r="OVM16" s="314" t="s">
        <v>203</v>
      </c>
      <c r="OVN16" s="314" t="s">
        <v>203</v>
      </c>
      <c r="OVO16" s="314" t="s">
        <v>203</v>
      </c>
      <c r="OVP16" s="314" t="s">
        <v>203</v>
      </c>
      <c r="OVQ16" s="314" t="s">
        <v>203</v>
      </c>
      <c r="OVR16" s="314" t="s">
        <v>203</v>
      </c>
      <c r="OVS16" s="314" t="s">
        <v>203</v>
      </c>
      <c r="OVT16" s="314" t="s">
        <v>203</v>
      </c>
      <c r="OVU16" s="314" t="s">
        <v>203</v>
      </c>
      <c r="OVV16" s="314" t="s">
        <v>203</v>
      </c>
      <c r="OVW16" s="314" t="s">
        <v>203</v>
      </c>
      <c r="OVX16" s="314" t="s">
        <v>203</v>
      </c>
      <c r="OVY16" s="314" t="s">
        <v>203</v>
      </c>
      <c r="OVZ16" s="314" t="s">
        <v>203</v>
      </c>
      <c r="OWA16" s="314" t="s">
        <v>203</v>
      </c>
      <c r="OWB16" s="314" t="s">
        <v>203</v>
      </c>
      <c r="OWC16" s="314" t="s">
        <v>203</v>
      </c>
      <c r="OWD16" s="314" t="s">
        <v>203</v>
      </c>
      <c r="OWE16" s="314" t="s">
        <v>203</v>
      </c>
      <c r="OWF16" s="314" t="s">
        <v>203</v>
      </c>
      <c r="OWG16" s="314" t="s">
        <v>203</v>
      </c>
      <c r="OWH16" s="314" t="s">
        <v>203</v>
      </c>
      <c r="OWI16" s="314" t="s">
        <v>203</v>
      </c>
      <c r="OWJ16" s="314" t="s">
        <v>203</v>
      </c>
      <c r="OWK16" s="314" t="s">
        <v>203</v>
      </c>
      <c r="OWL16" s="314" t="s">
        <v>203</v>
      </c>
      <c r="OWM16" s="314" t="s">
        <v>203</v>
      </c>
      <c r="OWN16" s="314" t="s">
        <v>203</v>
      </c>
      <c r="OWO16" s="314" t="s">
        <v>203</v>
      </c>
      <c r="OWP16" s="314" t="s">
        <v>203</v>
      </c>
      <c r="OWQ16" s="314" t="s">
        <v>203</v>
      </c>
      <c r="OWR16" s="314" t="s">
        <v>203</v>
      </c>
      <c r="OWS16" s="314" t="s">
        <v>203</v>
      </c>
      <c r="OWT16" s="314" t="s">
        <v>203</v>
      </c>
      <c r="OWU16" s="314" t="s">
        <v>203</v>
      </c>
      <c r="OWV16" s="314" t="s">
        <v>203</v>
      </c>
      <c r="OWW16" s="314" t="s">
        <v>203</v>
      </c>
      <c r="OWX16" s="314" t="s">
        <v>203</v>
      </c>
      <c r="OWY16" s="314" t="s">
        <v>203</v>
      </c>
      <c r="OWZ16" s="314" t="s">
        <v>203</v>
      </c>
      <c r="OXA16" s="314" t="s">
        <v>203</v>
      </c>
      <c r="OXB16" s="314" t="s">
        <v>203</v>
      </c>
      <c r="OXC16" s="314" t="s">
        <v>203</v>
      </c>
      <c r="OXD16" s="314" t="s">
        <v>203</v>
      </c>
      <c r="OXE16" s="314" t="s">
        <v>203</v>
      </c>
      <c r="OXF16" s="314" t="s">
        <v>203</v>
      </c>
      <c r="OXG16" s="314" t="s">
        <v>203</v>
      </c>
      <c r="OXH16" s="314" t="s">
        <v>203</v>
      </c>
      <c r="OXI16" s="314" t="s">
        <v>203</v>
      </c>
      <c r="OXJ16" s="314" t="s">
        <v>203</v>
      </c>
      <c r="OXK16" s="314" t="s">
        <v>203</v>
      </c>
      <c r="OXL16" s="314" t="s">
        <v>203</v>
      </c>
      <c r="OXM16" s="314" t="s">
        <v>203</v>
      </c>
      <c r="OXN16" s="314" t="s">
        <v>203</v>
      </c>
      <c r="OXO16" s="314" t="s">
        <v>203</v>
      </c>
      <c r="OXP16" s="314" t="s">
        <v>203</v>
      </c>
      <c r="OXQ16" s="314" t="s">
        <v>203</v>
      </c>
      <c r="OXR16" s="314" t="s">
        <v>203</v>
      </c>
      <c r="OXS16" s="314" t="s">
        <v>203</v>
      </c>
      <c r="OXT16" s="314" t="s">
        <v>203</v>
      </c>
      <c r="OXU16" s="314" t="s">
        <v>203</v>
      </c>
      <c r="OXV16" s="314" t="s">
        <v>203</v>
      </c>
      <c r="OXW16" s="314" t="s">
        <v>203</v>
      </c>
      <c r="OXX16" s="314" t="s">
        <v>203</v>
      </c>
      <c r="OXY16" s="314" t="s">
        <v>203</v>
      </c>
      <c r="OXZ16" s="314" t="s">
        <v>203</v>
      </c>
      <c r="OYA16" s="314" t="s">
        <v>203</v>
      </c>
      <c r="OYB16" s="314" t="s">
        <v>203</v>
      </c>
      <c r="OYC16" s="314" t="s">
        <v>203</v>
      </c>
      <c r="OYD16" s="314" t="s">
        <v>203</v>
      </c>
      <c r="OYE16" s="314" t="s">
        <v>203</v>
      </c>
      <c r="OYF16" s="314" t="s">
        <v>203</v>
      </c>
      <c r="OYG16" s="314" t="s">
        <v>203</v>
      </c>
      <c r="OYH16" s="314" t="s">
        <v>203</v>
      </c>
      <c r="OYI16" s="314" t="s">
        <v>203</v>
      </c>
      <c r="OYJ16" s="314" t="s">
        <v>203</v>
      </c>
      <c r="OYK16" s="314" t="s">
        <v>203</v>
      </c>
      <c r="OYL16" s="314" t="s">
        <v>203</v>
      </c>
      <c r="OYM16" s="314" t="s">
        <v>203</v>
      </c>
      <c r="OYN16" s="314" t="s">
        <v>203</v>
      </c>
      <c r="OYO16" s="314" t="s">
        <v>203</v>
      </c>
      <c r="OYP16" s="314" t="s">
        <v>203</v>
      </c>
      <c r="OYQ16" s="314" t="s">
        <v>203</v>
      </c>
      <c r="OYR16" s="314" t="s">
        <v>203</v>
      </c>
      <c r="OYS16" s="314" t="s">
        <v>203</v>
      </c>
      <c r="OYT16" s="314" t="s">
        <v>203</v>
      </c>
      <c r="OYU16" s="314" t="s">
        <v>203</v>
      </c>
      <c r="OYV16" s="314" t="s">
        <v>203</v>
      </c>
      <c r="OYW16" s="314" t="s">
        <v>203</v>
      </c>
      <c r="OYX16" s="314" t="s">
        <v>203</v>
      </c>
      <c r="OYY16" s="314" t="s">
        <v>203</v>
      </c>
      <c r="OYZ16" s="314" t="s">
        <v>203</v>
      </c>
      <c r="OZA16" s="314" t="s">
        <v>203</v>
      </c>
      <c r="OZB16" s="314" t="s">
        <v>203</v>
      </c>
      <c r="OZC16" s="314" t="s">
        <v>203</v>
      </c>
      <c r="OZD16" s="314" t="s">
        <v>203</v>
      </c>
      <c r="OZE16" s="314" t="s">
        <v>203</v>
      </c>
      <c r="OZF16" s="314" t="s">
        <v>203</v>
      </c>
      <c r="OZG16" s="314" t="s">
        <v>203</v>
      </c>
      <c r="OZH16" s="314" t="s">
        <v>203</v>
      </c>
      <c r="OZI16" s="314" t="s">
        <v>203</v>
      </c>
      <c r="OZJ16" s="314" t="s">
        <v>203</v>
      </c>
      <c r="OZK16" s="314" t="s">
        <v>203</v>
      </c>
      <c r="OZL16" s="314" t="s">
        <v>203</v>
      </c>
      <c r="OZM16" s="314" t="s">
        <v>203</v>
      </c>
      <c r="OZN16" s="314" t="s">
        <v>203</v>
      </c>
      <c r="OZO16" s="314" t="s">
        <v>203</v>
      </c>
      <c r="OZP16" s="314" t="s">
        <v>203</v>
      </c>
      <c r="OZQ16" s="314" t="s">
        <v>203</v>
      </c>
      <c r="OZR16" s="314" t="s">
        <v>203</v>
      </c>
      <c r="OZS16" s="314" t="s">
        <v>203</v>
      </c>
      <c r="OZT16" s="314" t="s">
        <v>203</v>
      </c>
      <c r="OZU16" s="314" t="s">
        <v>203</v>
      </c>
      <c r="OZV16" s="314" t="s">
        <v>203</v>
      </c>
      <c r="OZW16" s="314" t="s">
        <v>203</v>
      </c>
      <c r="OZX16" s="314" t="s">
        <v>203</v>
      </c>
      <c r="OZY16" s="314" t="s">
        <v>203</v>
      </c>
      <c r="OZZ16" s="314" t="s">
        <v>203</v>
      </c>
      <c r="PAA16" s="314" t="s">
        <v>203</v>
      </c>
      <c r="PAB16" s="314" t="s">
        <v>203</v>
      </c>
      <c r="PAC16" s="314" t="s">
        <v>203</v>
      </c>
      <c r="PAD16" s="314" t="s">
        <v>203</v>
      </c>
      <c r="PAE16" s="314" t="s">
        <v>203</v>
      </c>
      <c r="PAF16" s="314" t="s">
        <v>203</v>
      </c>
      <c r="PAG16" s="314" t="s">
        <v>203</v>
      </c>
      <c r="PAH16" s="314" t="s">
        <v>203</v>
      </c>
      <c r="PAI16" s="314" t="s">
        <v>203</v>
      </c>
      <c r="PAJ16" s="314" t="s">
        <v>203</v>
      </c>
      <c r="PAK16" s="314" t="s">
        <v>203</v>
      </c>
      <c r="PAL16" s="314" t="s">
        <v>203</v>
      </c>
      <c r="PAM16" s="314" t="s">
        <v>203</v>
      </c>
      <c r="PAN16" s="314" t="s">
        <v>203</v>
      </c>
      <c r="PAO16" s="314" t="s">
        <v>203</v>
      </c>
      <c r="PAP16" s="314" t="s">
        <v>203</v>
      </c>
      <c r="PAQ16" s="314" t="s">
        <v>203</v>
      </c>
      <c r="PAR16" s="314" t="s">
        <v>203</v>
      </c>
      <c r="PAS16" s="314" t="s">
        <v>203</v>
      </c>
      <c r="PAT16" s="314" t="s">
        <v>203</v>
      </c>
      <c r="PAU16" s="314" t="s">
        <v>203</v>
      </c>
      <c r="PAV16" s="314" t="s">
        <v>203</v>
      </c>
      <c r="PAW16" s="314" t="s">
        <v>203</v>
      </c>
      <c r="PAX16" s="314" t="s">
        <v>203</v>
      </c>
      <c r="PAY16" s="314" t="s">
        <v>203</v>
      </c>
      <c r="PAZ16" s="314" t="s">
        <v>203</v>
      </c>
      <c r="PBA16" s="314" t="s">
        <v>203</v>
      </c>
      <c r="PBB16" s="314" t="s">
        <v>203</v>
      </c>
      <c r="PBC16" s="314" t="s">
        <v>203</v>
      </c>
      <c r="PBD16" s="314" t="s">
        <v>203</v>
      </c>
      <c r="PBE16" s="314" t="s">
        <v>203</v>
      </c>
      <c r="PBF16" s="314" t="s">
        <v>203</v>
      </c>
      <c r="PBG16" s="314" t="s">
        <v>203</v>
      </c>
      <c r="PBH16" s="314" t="s">
        <v>203</v>
      </c>
      <c r="PBI16" s="314" t="s">
        <v>203</v>
      </c>
      <c r="PBJ16" s="314" t="s">
        <v>203</v>
      </c>
      <c r="PBK16" s="314" t="s">
        <v>203</v>
      </c>
      <c r="PBL16" s="314" t="s">
        <v>203</v>
      </c>
      <c r="PBM16" s="314" t="s">
        <v>203</v>
      </c>
      <c r="PBN16" s="314" t="s">
        <v>203</v>
      </c>
      <c r="PBO16" s="314" t="s">
        <v>203</v>
      </c>
      <c r="PBP16" s="314" t="s">
        <v>203</v>
      </c>
      <c r="PBQ16" s="314" t="s">
        <v>203</v>
      </c>
      <c r="PBR16" s="314" t="s">
        <v>203</v>
      </c>
      <c r="PBS16" s="314" t="s">
        <v>203</v>
      </c>
      <c r="PBT16" s="314" t="s">
        <v>203</v>
      </c>
      <c r="PBU16" s="314" t="s">
        <v>203</v>
      </c>
      <c r="PBV16" s="314" t="s">
        <v>203</v>
      </c>
      <c r="PBW16" s="314" t="s">
        <v>203</v>
      </c>
      <c r="PBX16" s="314" t="s">
        <v>203</v>
      </c>
      <c r="PBY16" s="314" t="s">
        <v>203</v>
      </c>
      <c r="PBZ16" s="314" t="s">
        <v>203</v>
      </c>
      <c r="PCA16" s="314" t="s">
        <v>203</v>
      </c>
      <c r="PCB16" s="314" t="s">
        <v>203</v>
      </c>
      <c r="PCC16" s="314" t="s">
        <v>203</v>
      </c>
      <c r="PCD16" s="314" t="s">
        <v>203</v>
      </c>
      <c r="PCE16" s="314" t="s">
        <v>203</v>
      </c>
      <c r="PCF16" s="314" t="s">
        <v>203</v>
      </c>
      <c r="PCG16" s="314" t="s">
        <v>203</v>
      </c>
      <c r="PCH16" s="314" t="s">
        <v>203</v>
      </c>
      <c r="PCI16" s="314" t="s">
        <v>203</v>
      </c>
      <c r="PCJ16" s="314" t="s">
        <v>203</v>
      </c>
      <c r="PCK16" s="314" t="s">
        <v>203</v>
      </c>
      <c r="PCL16" s="314" t="s">
        <v>203</v>
      </c>
      <c r="PCM16" s="314" t="s">
        <v>203</v>
      </c>
      <c r="PCN16" s="314" t="s">
        <v>203</v>
      </c>
      <c r="PCO16" s="314" t="s">
        <v>203</v>
      </c>
      <c r="PCP16" s="314" t="s">
        <v>203</v>
      </c>
      <c r="PCQ16" s="314" t="s">
        <v>203</v>
      </c>
      <c r="PCR16" s="314" t="s">
        <v>203</v>
      </c>
      <c r="PCS16" s="314" t="s">
        <v>203</v>
      </c>
      <c r="PCT16" s="314" t="s">
        <v>203</v>
      </c>
      <c r="PCU16" s="314" t="s">
        <v>203</v>
      </c>
      <c r="PCV16" s="314" t="s">
        <v>203</v>
      </c>
      <c r="PCW16" s="314" t="s">
        <v>203</v>
      </c>
      <c r="PCX16" s="314" t="s">
        <v>203</v>
      </c>
      <c r="PCY16" s="314" t="s">
        <v>203</v>
      </c>
      <c r="PCZ16" s="314" t="s">
        <v>203</v>
      </c>
      <c r="PDA16" s="314" t="s">
        <v>203</v>
      </c>
      <c r="PDB16" s="314" t="s">
        <v>203</v>
      </c>
      <c r="PDC16" s="314" t="s">
        <v>203</v>
      </c>
      <c r="PDD16" s="314" t="s">
        <v>203</v>
      </c>
      <c r="PDE16" s="314" t="s">
        <v>203</v>
      </c>
      <c r="PDF16" s="314" t="s">
        <v>203</v>
      </c>
      <c r="PDG16" s="314" t="s">
        <v>203</v>
      </c>
      <c r="PDH16" s="314" t="s">
        <v>203</v>
      </c>
      <c r="PDI16" s="314" t="s">
        <v>203</v>
      </c>
      <c r="PDJ16" s="314" t="s">
        <v>203</v>
      </c>
      <c r="PDK16" s="314" t="s">
        <v>203</v>
      </c>
      <c r="PDL16" s="314" t="s">
        <v>203</v>
      </c>
      <c r="PDM16" s="314" t="s">
        <v>203</v>
      </c>
      <c r="PDN16" s="314" t="s">
        <v>203</v>
      </c>
      <c r="PDO16" s="314" t="s">
        <v>203</v>
      </c>
      <c r="PDP16" s="314" t="s">
        <v>203</v>
      </c>
      <c r="PDQ16" s="314" t="s">
        <v>203</v>
      </c>
      <c r="PDR16" s="314" t="s">
        <v>203</v>
      </c>
      <c r="PDS16" s="314" t="s">
        <v>203</v>
      </c>
      <c r="PDT16" s="314" t="s">
        <v>203</v>
      </c>
      <c r="PDU16" s="314" t="s">
        <v>203</v>
      </c>
      <c r="PDV16" s="314" t="s">
        <v>203</v>
      </c>
      <c r="PDW16" s="314" t="s">
        <v>203</v>
      </c>
      <c r="PDX16" s="314" t="s">
        <v>203</v>
      </c>
      <c r="PDY16" s="314" t="s">
        <v>203</v>
      </c>
      <c r="PDZ16" s="314" t="s">
        <v>203</v>
      </c>
      <c r="PEA16" s="314" t="s">
        <v>203</v>
      </c>
      <c r="PEB16" s="314" t="s">
        <v>203</v>
      </c>
      <c r="PEC16" s="314" t="s">
        <v>203</v>
      </c>
      <c r="PED16" s="314" t="s">
        <v>203</v>
      </c>
      <c r="PEE16" s="314" t="s">
        <v>203</v>
      </c>
      <c r="PEF16" s="314" t="s">
        <v>203</v>
      </c>
      <c r="PEG16" s="314" t="s">
        <v>203</v>
      </c>
      <c r="PEH16" s="314" t="s">
        <v>203</v>
      </c>
      <c r="PEI16" s="314" t="s">
        <v>203</v>
      </c>
      <c r="PEJ16" s="314" t="s">
        <v>203</v>
      </c>
      <c r="PEK16" s="314" t="s">
        <v>203</v>
      </c>
      <c r="PEL16" s="314" t="s">
        <v>203</v>
      </c>
      <c r="PEM16" s="314" t="s">
        <v>203</v>
      </c>
      <c r="PEN16" s="314" t="s">
        <v>203</v>
      </c>
      <c r="PEO16" s="314" t="s">
        <v>203</v>
      </c>
      <c r="PEP16" s="314" t="s">
        <v>203</v>
      </c>
      <c r="PEQ16" s="314" t="s">
        <v>203</v>
      </c>
      <c r="PER16" s="314" t="s">
        <v>203</v>
      </c>
      <c r="PES16" s="314" t="s">
        <v>203</v>
      </c>
      <c r="PET16" s="314" t="s">
        <v>203</v>
      </c>
      <c r="PEU16" s="314" t="s">
        <v>203</v>
      </c>
      <c r="PEV16" s="314" t="s">
        <v>203</v>
      </c>
      <c r="PEW16" s="314" t="s">
        <v>203</v>
      </c>
      <c r="PEX16" s="314" t="s">
        <v>203</v>
      </c>
      <c r="PEY16" s="314" t="s">
        <v>203</v>
      </c>
      <c r="PEZ16" s="314" t="s">
        <v>203</v>
      </c>
      <c r="PFA16" s="314" t="s">
        <v>203</v>
      </c>
      <c r="PFB16" s="314" t="s">
        <v>203</v>
      </c>
      <c r="PFC16" s="314" t="s">
        <v>203</v>
      </c>
      <c r="PFD16" s="314" t="s">
        <v>203</v>
      </c>
      <c r="PFE16" s="314" t="s">
        <v>203</v>
      </c>
      <c r="PFF16" s="314" t="s">
        <v>203</v>
      </c>
      <c r="PFG16" s="314" t="s">
        <v>203</v>
      </c>
      <c r="PFH16" s="314" t="s">
        <v>203</v>
      </c>
      <c r="PFI16" s="314" t="s">
        <v>203</v>
      </c>
      <c r="PFJ16" s="314" t="s">
        <v>203</v>
      </c>
      <c r="PFK16" s="314" t="s">
        <v>203</v>
      </c>
      <c r="PFL16" s="314" t="s">
        <v>203</v>
      </c>
      <c r="PFM16" s="314" t="s">
        <v>203</v>
      </c>
      <c r="PFN16" s="314" t="s">
        <v>203</v>
      </c>
      <c r="PFO16" s="314" t="s">
        <v>203</v>
      </c>
      <c r="PFP16" s="314" t="s">
        <v>203</v>
      </c>
      <c r="PFQ16" s="314" t="s">
        <v>203</v>
      </c>
      <c r="PFR16" s="314" t="s">
        <v>203</v>
      </c>
      <c r="PFS16" s="314" t="s">
        <v>203</v>
      </c>
      <c r="PFT16" s="314" t="s">
        <v>203</v>
      </c>
      <c r="PFU16" s="314" t="s">
        <v>203</v>
      </c>
      <c r="PFV16" s="314" t="s">
        <v>203</v>
      </c>
      <c r="PFW16" s="314" t="s">
        <v>203</v>
      </c>
      <c r="PFX16" s="314" t="s">
        <v>203</v>
      </c>
      <c r="PFY16" s="314" t="s">
        <v>203</v>
      </c>
      <c r="PFZ16" s="314" t="s">
        <v>203</v>
      </c>
      <c r="PGA16" s="314" t="s">
        <v>203</v>
      </c>
      <c r="PGB16" s="314" t="s">
        <v>203</v>
      </c>
      <c r="PGC16" s="314" t="s">
        <v>203</v>
      </c>
      <c r="PGD16" s="314" t="s">
        <v>203</v>
      </c>
      <c r="PGE16" s="314" t="s">
        <v>203</v>
      </c>
      <c r="PGF16" s="314" t="s">
        <v>203</v>
      </c>
      <c r="PGG16" s="314" t="s">
        <v>203</v>
      </c>
      <c r="PGH16" s="314" t="s">
        <v>203</v>
      </c>
      <c r="PGI16" s="314" t="s">
        <v>203</v>
      </c>
      <c r="PGJ16" s="314" t="s">
        <v>203</v>
      </c>
      <c r="PGK16" s="314" t="s">
        <v>203</v>
      </c>
      <c r="PGL16" s="314" t="s">
        <v>203</v>
      </c>
      <c r="PGM16" s="314" t="s">
        <v>203</v>
      </c>
      <c r="PGN16" s="314" t="s">
        <v>203</v>
      </c>
      <c r="PGO16" s="314" t="s">
        <v>203</v>
      </c>
      <c r="PGP16" s="314" t="s">
        <v>203</v>
      </c>
      <c r="PGQ16" s="314" t="s">
        <v>203</v>
      </c>
      <c r="PGR16" s="314" t="s">
        <v>203</v>
      </c>
      <c r="PGS16" s="314" t="s">
        <v>203</v>
      </c>
      <c r="PGT16" s="314" t="s">
        <v>203</v>
      </c>
      <c r="PGU16" s="314" t="s">
        <v>203</v>
      </c>
      <c r="PGV16" s="314" t="s">
        <v>203</v>
      </c>
      <c r="PGW16" s="314" t="s">
        <v>203</v>
      </c>
      <c r="PGX16" s="314" t="s">
        <v>203</v>
      </c>
      <c r="PGY16" s="314" t="s">
        <v>203</v>
      </c>
      <c r="PGZ16" s="314" t="s">
        <v>203</v>
      </c>
      <c r="PHA16" s="314" t="s">
        <v>203</v>
      </c>
      <c r="PHB16" s="314" t="s">
        <v>203</v>
      </c>
      <c r="PHC16" s="314" t="s">
        <v>203</v>
      </c>
      <c r="PHD16" s="314" t="s">
        <v>203</v>
      </c>
      <c r="PHE16" s="314" t="s">
        <v>203</v>
      </c>
      <c r="PHF16" s="314" t="s">
        <v>203</v>
      </c>
      <c r="PHG16" s="314" t="s">
        <v>203</v>
      </c>
      <c r="PHH16" s="314" t="s">
        <v>203</v>
      </c>
      <c r="PHI16" s="314" t="s">
        <v>203</v>
      </c>
      <c r="PHJ16" s="314" t="s">
        <v>203</v>
      </c>
      <c r="PHK16" s="314" t="s">
        <v>203</v>
      </c>
      <c r="PHL16" s="314" t="s">
        <v>203</v>
      </c>
      <c r="PHM16" s="314" t="s">
        <v>203</v>
      </c>
      <c r="PHN16" s="314" t="s">
        <v>203</v>
      </c>
      <c r="PHO16" s="314" t="s">
        <v>203</v>
      </c>
      <c r="PHP16" s="314" t="s">
        <v>203</v>
      </c>
      <c r="PHQ16" s="314" t="s">
        <v>203</v>
      </c>
      <c r="PHR16" s="314" t="s">
        <v>203</v>
      </c>
      <c r="PHS16" s="314" t="s">
        <v>203</v>
      </c>
      <c r="PHT16" s="314" t="s">
        <v>203</v>
      </c>
      <c r="PHU16" s="314" t="s">
        <v>203</v>
      </c>
      <c r="PHV16" s="314" t="s">
        <v>203</v>
      </c>
      <c r="PHW16" s="314" t="s">
        <v>203</v>
      </c>
      <c r="PHX16" s="314" t="s">
        <v>203</v>
      </c>
      <c r="PHY16" s="314" t="s">
        <v>203</v>
      </c>
      <c r="PHZ16" s="314" t="s">
        <v>203</v>
      </c>
      <c r="PIA16" s="314" t="s">
        <v>203</v>
      </c>
      <c r="PIB16" s="314" t="s">
        <v>203</v>
      </c>
      <c r="PIC16" s="314" t="s">
        <v>203</v>
      </c>
      <c r="PID16" s="314" t="s">
        <v>203</v>
      </c>
      <c r="PIE16" s="314" t="s">
        <v>203</v>
      </c>
      <c r="PIF16" s="314" t="s">
        <v>203</v>
      </c>
      <c r="PIG16" s="314" t="s">
        <v>203</v>
      </c>
      <c r="PIH16" s="314" t="s">
        <v>203</v>
      </c>
      <c r="PII16" s="314" t="s">
        <v>203</v>
      </c>
      <c r="PIJ16" s="314" t="s">
        <v>203</v>
      </c>
      <c r="PIK16" s="314" t="s">
        <v>203</v>
      </c>
      <c r="PIL16" s="314" t="s">
        <v>203</v>
      </c>
      <c r="PIM16" s="314" t="s">
        <v>203</v>
      </c>
      <c r="PIN16" s="314" t="s">
        <v>203</v>
      </c>
      <c r="PIO16" s="314" t="s">
        <v>203</v>
      </c>
      <c r="PIP16" s="314" t="s">
        <v>203</v>
      </c>
      <c r="PIQ16" s="314" t="s">
        <v>203</v>
      </c>
      <c r="PIR16" s="314" t="s">
        <v>203</v>
      </c>
      <c r="PIS16" s="314" t="s">
        <v>203</v>
      </c>
      <c r="PIT16" s="314" t="s">
        <v>203</v>
      </c>
      <c r="PIU16" s="314" t="s">
        <v>203</v>
      </c>
      <c r="PIV16" s="314" t="s">
        <v>203</v>
      </c>
      <c r="PIW16" s="314" t="s">
        <v>203</v>
      </c>
      <c r="PIX16" s="314" t="s">
        <v>203</v>
      </c>
      <c r="PIY16" s="314" t="s">
        <v>203</v>
      </c>
      <c r="PIZ16" s="314" t="s">
        <v>203</v>
      </c>
      <c r="PJA16" s="314" t="s">
        <v>203</v>
      </c>
      <c r="PJB16" s="314" t="s">
        <v>203</v>
      </c>
      <c r="PJC16" s="314" t="s">
        <v>203</v>
      </c>
      <c r="PJD16" s="314" t="s">
        <v>203</v>
      </c>
      <c r="PJE16" s="314" t="s">
        <v>203</v>
      </c>
      <c r="PJF16" s="314" t="s">
        <v>203</v>
      </c>
      <c r="PJG16" s="314" t="s">
        <v>203</v>
      </c>
      <c r="PJH16" s="314" t="s">
        <v>203</v>
      </c>
      <c r="PJI16" s="314" t="s">
        <v>203</v>
      </c>
      <c r="PJJ16" s="314" t="s">
        <v>203</v>
      </c>
      <c r="PJK16" s="314" t="s">
        <v>203</v>
      </c>
      <c r="PJL16" s="314" t="s">
        <v>203</v>
      </c>
      <c r="PJM16" s="314" t="s">
        <v>203</v>
      </c>
      <c r="PJN16" s="314" t="s">
        <v>203</v>
      </c>
      <c r="PJO16" s="314" t="s">
        <v>203</v>
      </c>
      <c r="PJP16" s="314" t="s">
        <v>203</v>
      </c>
      <c r="PJQ16" s="314" t="s">
        <v>203</v>
      </c>
      <c r="PJR16" s="314" t="s">
        <v>203</v>
      </c>
      <c r="PJS16" s="314" t="s">
        <v>203</v>
      </c>
      <c r="PJT16" s="314" t="s">
        <v>203</v>
      </c>
      <c r="PJU16" s="314" t="s">
        <v>203</v>
      </c>
      <c r="PJV16" s="314" t="s">
        <v>203</v>
      </c>
      <c r="PJW16" s="314" t="s">
        <v>203</v>
      </c>
      <c r="PJX16" s="314" t="s">
        <v>203</v>
      </c>
      <c r="PJY16" s="314" t="s">
        <v>203</v>
      </c>
      <c r="PJZ16" s="314" t="s">
        <v>203</v>
      </c>
      <c r="PKA16" s="314" t="s">
        <v>203</v>
      </c>
      <c r="PKB16" s="314" t="s">
        <v>203</v>
      </c>
      <c r="PKC16" s="314" t="s">
        <v>203</v>
      </c>
      <c r="PKD16" s="314" t="s">
        <v>203</v>
      </c>
      <c r="PKE16" s="314" t="s">
        <v>203</v>
      </c>
      <c r="PKF16" s="314" t="s">
        <v>203</v>
      </c>
      <c r="PKG16" s="314" t="s">
        <v>203</v>
      </c>
      <c r="PKH16" s="314" t="s">
        <v>203</v>
      </c>
      <c r="PKI16" s="314" t="s">
        <v>203</v>
      </c>
      <c r="PKJ16" s="314" t="s">
        <v>203</v>
      </c>
      <c r="PKK16" s="314" t="s">
        <v>203</v>
      </c>
      <c r="PKL16" s="314" t="s">
        <v>203</v>
      </c>
      <c r="PKM16" s="314" t="s">
        <v>203</v>
      </c>
      <c r="PKN16" s="314" t="s">
        <v>203</v>
      </c>
      <c r="PKO16" s="314" t="s">
        <v>203</v>
      </c>
      <c r="PKP16" s="314" t="s">
        <v>203</v>
      </c>
      <c r="PKQ16" s="314" t="s">
        <v>203</v>
      </c>
      <c r="PKR16" s="314" t="s">
        <v>203</v>
      </c>
      <c r="PKS16" s="314" t="s">
        <v>203</v>
      </c>
      <c r="PKT16" s="314" t="s">
        <v>203</v>
      </c>
      <c r="PKU16" s="314" t="s">
        <v>203</v>
      </c>
      <c r="PKV16" s="314" t="s">
        <v>203</v>
      </c>
      <c r="PKW16" s="314" t="s">
        <v>203</v>
      </c>
      <c r="PKX16" s="314" t="s">
        <v>203</v>
      </c>
      <c r="PKY16" s="314" t="s">
        <v>203</v>
      </c>
      <c r="PKZ16" s="314" t="s">
        <v>203</v>
      </c>
      <c r="PLA16" s="314" t="s">
        <v>203</v>
      </c>
      <c r="PLB16" s="314" t="s">
        <v>203</v>
      </c>
      <c r="PLC16" s="314" t="s">
        <v>203</v>
      </c>
      <c r="PLD16" s="314" t="s">
        <v>203</v>
      </c>
      <c r="PLE16" s="314" t="s">
        <v>203</v>
      </c>
      <c r="PLF16" s="314" t="s">
        <v>203</v>
      </c>
      <c r="PLG16" s="314" t="s">
        <v>203</v>
      </c>
      <c r="PLH16" s="314" t="s">
        <v>203</v>
      </c>
      <c r="PLI16" s="314" t="s">
        <v>203</v>
      </c>
      <c r="PLJ16" s="314" t="s">
        <v>203</v>
      </c>
      <c r="PLK16" s="314" t="s">
        <v>203</v>
      </c>
      <c r="PLL16" s="314" t="s">
        <v>203</v>
      </c>
      <c r="PLM16" s="314" t="s">
        <v>203</v>
      </c>
      <c r="PLN16" s="314" t="s">
        <v>203</v>
      </c>
      <c r="PLO16" s="314" t="s">
        <v>203</v>
      </c>
      <c r="PLP16" s="314" t="s">
        <v>203</v>
      </c>
      <c r="PLQ16" s="314" t="s">
        <v>203</v>
      </c>
      <c r="PLR16" s="314" t="s">
        <v>203</v>
      </c>
      <c r="PLS16" s="314" t="s">
        <v>203</v>
      </c>
      <c r="PLT16" s="314" t="s">
        <v>203</v>
      </c>
      <c r="PLU16" s="314" t="s">
        <v>203</v>
      </c>
      <c r="PLV16" s="314" t="s">
        <v>203</v>
      </c>
      <c r="PLW16" s="314" t="s">
        <v>203</v>
      </c>
      <c r="PLX16" s="314" t="s">
        <v>203</v>
      </c>
      <c r="PLY16" s="314" t="s">
        <v>203</v>
      </c>
      <c r="PLZ16" s="314" t="s">
        <v>203</v>
      </c>
      <c r="PMA16" s="314" t="s">
        <v>203</v>
      </c>
      <c r="PMB16" s="314" t="s">
        <v>203</v>
      </c>
      <c r="PMC16" s="314" t="s">
        <v>203</v>
      </c>
      <c r="PMD16" s="314" t="s">
        <v>203</v>
      </c>
      <c r="PME16" s="314" t="s">
        <v>203</v>
      </c>
      <c r="PMF16" s="314" t="s">
        <v>203</v>
      </c>
      <c r="PMG16" s="314" t="s">
        <v>203</v>
      </c>
      <c r="PMH16" s="314" t="s">
        <v>203</v>
      </c>
      <c r="PMI16" s="314" t="s">
        <v>203</v>
      </c>
      <c r="PMJ16" s="314" t="s">
        <v>203</v>
      </c>
      <c r="PMK16" s="314" t="s">
        <v>203</v>
      </c>
      <c r="PML16" s="314" t="s">
        <v>203</v>
      </c>
      <c r="PMM16" s="314" t="s">
        <v>203</v>
      </c>
      <c r="PMN16" s="314" t="s">
        <v>203</v>
      </c>
      <c r="PMO16" s="314" t="s">
        <v>203</v>
      </c>
      <c r="PMP16" s="314" t="s">
        <v>203</v>
      </c>
      <c r="PMQ16" s="314" t="s">
        <v>203</v>
      </c>
      <c r="PMR16" s="314" t="s">
        <v>203</v>
      </c>
      <c r="PMS16" s="314" t="s">
        <v>203</v>
      </c>
      <c r="PMT16" s="314" t="s">
        <v>203</v>
      </c>
      <c r="PMU16" s="314" t="s">
        <v>203</v>
      </c>
      <c r="PMV16" s="314" t="s">
        <v>203</v>
      </c>
      <c r="PMW16" s="314" t="s">
        <v>203</v>
      </c>
      <c r="PMX16" s="314" t="s">
        <v>203</v>
      </c>
      <c r="PMY16" s="314" t="s">
        <v>203</v>
      </c>
      <c r="PMZ16" s="314" t="s">
        <v>203</v>
      </c>
      <c r="PNA16" s="314" t="s">
        <v>203</v>
      </c>
      <c r="PNB16" s="314" t="s">
        <v>203</v>
      </c>
      <c r="PNC16" s="314" t="s">
        <v>203</v>
      </c>
      <c r="PND16" s="314" t="s">
        <v>203</v>
      </c>
      <c r="PNE16" s="314" t="s">
        <v>203</v>
      </c>
      <c r="PNF16" s="314" t="s">
        <v>203</v>
      </c>
      <c r="PNG16" s="314" t="s">
        <v>203</v>
      </c>
      <c r="PNH16" s="314" t="s">
        <v>203</v>
      </c>
      <c r="PNI16" s="314" t="s">
        <v>203</v>
      </c>
      <c r="PNJ16" s="314" t="s">
        <v>203</v>
      </c>
      <c r="PNK16" s="314" t="s">
        <v>203</v>
      </c>
      <c r="PNL16" s="314" t="s">
        <v>203</v>
      </c>
      <c r="PNM16" s="314" t="s">
        <v>203</v>
      </c>
      <c r="PNN16" s="314" t="s">
        <v>203</v>
      </c>
      <c r="PNO16" s="314" t="s">
        <v>203</v>
      </c>
      <c r="PNP16" s="314" t="s">
        <v>203</v>
      </c>
      <c r="PNQ16" s="314" t="s">
        <v>203</v>
      </c>
      <c r="PNR16" s="314" t="s">
        <v>203</v>
      </c>
      <c r="PNS16" s="314" t="s">
        <v>203</v>
      </c>
      <c r="PNT16" s="314" t="s">
        <v>203</v>
      </c>
      <c r="PNU16" s="314" t="s">
        <v>203</v>
      </c>
      <c r="PNV16" s="314" t="s">
        <v>203</v>
      </c>
      <c r="PNW16" s="314" t="s">
        <v>203</v>
      </c>
      <c r="PNX16" s="314" t="s">
        <v>203</v>
      </c>
      <c r="PNY16" s="314" t="s">
        <v>203</v>
      </c>
      <c r="PNZ16" s="314" t="s">
        <v>203</v>
      </c>
      <c r="POA16" s="314" t="s">
        <v>203</v>
      </c>
      <c r="POB16" s="314" t="s">
        <v>203</v>
      </c>
      <c r="POC16" s="314" t="s">
        <v>203</v>
      </c>
      <c r="POD16" s="314" t="s">
        <v>203</v>
      </c>
      <c r="POE16" s="314" t="s">
        <v>203</v>
      </c>
      <c r="POF16" s="314" t="s">
        <v>203</v>
      </c>
      <c r="POG16" s="314" t="s">
        <v>203</v>
      </c>
      <c r="POH16" s="314" t="s">
        <v>203</v>
      </c>
      <c r="POI16" s="314" t="s">
        <v>203</v>
      </c>
      <c r="POJ16" s="314" t="s">
        <v>203</v>
      </c>
      <c r="POK16" s="314" t="s">
        <v>203</v>
      </c>
      <c r="POL16" s="314" t="s">
        <v>203</v>
      </c>
      <c r="POM16" s="314" t="s">
        <v>203</v>
      </c>
      <c r="PON16" s="314" t="s">
        <v>203</v>
      </c>
      <c r="POO16" s="314" t="s">
        <v>203</v>
      </c>
      <c r="POP16" s="314" t="s">
        <v>203</v>
      </c>
      <c r="POQ16" s="314" t="s">
        <v>203</v>
      </c>
      <c r="POR16" s="314" t="s">
        <v>203</v>
      </c>
      <c r="POS16" s="314" t="s">
        <v>203</v>
      </c>
      <c r="POT16" s="314" t="s">
        <v>203</v>
      </c>
      <c r="POU16" s="314" t="s">
        <v>203</v>
      </c>
      <c r="POV16" s="314" t="s">
        <v>203</v>
      </c>
      <c r="POW16" s="314" t="s">
        <v>203</v>
      </c>
      <c r="POX16" s="314" t="s">
        <v>203</v>
      </c>
      <c r="POY16" s="314" t="s">
        <v>203</v>
      </c>
      <c r="POZ16" s="314" t="s">
        <v>203</v>
      </c>
      <c r="PPA16" s="314" t="s">
        <v>203</v>
      </c>
      <c r="PPB16" s="314" t="s">
        <v>203</v>
      </c>
      <c r="PPC16" s="314" t="s">
        <v>203</v>
      </c>
      <c r="PPD16" s="314" t="s">
        <v>203</v>
      </c>
      <c r="PPE16" s="314" t="s">
        <v>203</v>
      </c>
      <c r="PPF16" s="314" t="s">
        <v>203</v>
      </c>
      <c r="PPG16" s="314" t="s">
        <v>203</v>
      </c>
      <c r="PPH16" s="314" t="s">
        <v>203</v>
      </c>
      <c r="PPI16" s="314" t="s">
        <v>203</v>
      </c>
      <c r="PPJ16" s="314" t="s">
        <v>203</v>
      </c>
      <c r="PPK16" s="314" t="s">
        <v>203</v>
      </c>
      <c r="PPL16" s="314" t="s">
        <v>203</v>
      </c>
      <c r="PPM16" s="314" t="s">
        <v>203</v>
      </c>
      <c r="PPN16" s="314" t="s">
        <v>203</v>
      </c>
      <c r="PPO16" s="314" t="s">
        <v>203</v>
      </c>
      <c r="PPP16" s="314" t="s">
        <v>203</v>
      </c>
      <c r="PPQ16" s="314" t="s">
        <v>203</v>
      </c>
      <c r="PPR16" s="314" t="s">
        <v>203</v>
      </c>
      <c r="PPS16" s="314" t="s">
        <v>203</v>
      </c>
      <c r="PPT16" s="314" t="s">
        <v>203</v>
      </c>
      <c r="PPU16" s="314" t="s">
        <v>203</v>
      </c>
      <c r="PPV16" s="314" t="s">
        <v>203</v>
      </c>
      <c r="PPW16" s="314" t="s">
        <v>203</v>
      </c>
      <c r="PPX16" s="314" t="s">
        <v>203</v>
      </c>
      <c r="PPY16" s="314" t="s">
        <v>203</v>
      </c>
      <c r="PPZ16" s="314" t="s">
        <v>203</v>
      </c>
      <c r="PQA16" s="314" t="s">
        <v>203</v>
      </c>
      <c r="PQB16" s="314" t="s">
        <v>203</v>
      </c>
      <c r="PQC16" s="314" t="s">
        <v>203</v>
      </c>
      <c r="PQD16" s="314" t="s">
        <v>203</v>
      </c>
      <c r="PQE16" s="314" t="s">
        <v>203</v>
      </c>
      <c r="PQF16" s="314" t="s">
        <v>203</v>
      </c>
      <c r="PQG16" s="314" t="s">
        <v>203</v>
      </c>
      <c r="PQH16" s="314" t="s">
        <v>203</v>
      </c>
      <c r="PQI16" s="314" t="s">
        <v>203</v>
      </c>
      <c r="PQJ16" s="314" t="s">
        <v>203</v>
      </c>
      <c r="PQK16" s="314" t="s">
        <v>203</v>
      </c>
      <c r="PQL16" s="314" t="s">
        <v>203</v>
      </c>
      <c r="PQM16" s="314" t="s">
        <v>203</v>
      </c>
      <c r="PQN16" s="314" t="s">
        <v>203</v>
      </c>
      <c r="PQO16" s="314" t="s">
        <v>203</v>
      </c>
      <c r="PQP16" s="314" t="s">
        <v>203</v>
      </c>
      <c r="PQQ16" s="314" t="s">
        <v>203</v>
      </c>
      <c r="PQR16" s="314" t="s">
        <v>203</v>
      </c>
      <c r="PQS16" s="314" t="s">
        <v>203</v>
      </c>
      <c r="PQT16" s="314" t="s">
        <v>203</v>
      </c>
      <c r="PQU16" s="314" t="s">
        <v>203</v>
      </c>
      <c r="PQV16" s="314" t="s">
        <v>203</v>
      </c>
      <c r="PQW16" s="314" t="s">
        <v>203</v>
      </c>
      <c r="PQX16" s="314" t="s">
        <v>203</v>
      </c>
      <c r="PQY16" s="314" t="s">
        <v>203</v>
      </c>
      <c r="PQZ16" s="314" t="s">
        <v>203</v>
      </c>
      <c r="PRA16" s="314" t="s">
        <v>203</v>
      </c>
      <c r="PRB16" s="314" t="s">
        <v>203</v>
      </c>
      <c r="PRC16" s="314" t="s">
        <v>203</v>
      </c>
      <c r="PRD16" s="314" t="s">
        <v>203</v>
      </c>
      <c r="PRE16" s="314" t="s">
        <v>203</v>
      </c>
      <c r="PRF16" s="314" t="s">
        <v>203</v>
      </c>
      <c r="PRG16" s="314" t="s">
        <v>203</v>
      </c>
      <c r="PRH16" s="314" t="s">
        <v>203</v>
      </c>
      <c r="PRI16" s="314" t="s">
        <v>203</v>
      </c>
      <c r="PRJ16" s="314" t="s">
        <v>203</v>
      </c>
      <c r="PRK16" s="314" t="s">
        <v>203</v>
      </c>
      <c r="PRL16" s="314" t="s">
        <v>203</v>
      </c>
      <c r="PRM16" s="314" t="s">
        <v>203</v>
      </c>
      <c r="PRN16" s="314" t="s">
        <v>203</v>
      </c>
      <c r="PRO16" s="314" t="s">
        <v>203</v>
      </c>
      <c r="PRP16" s="314" t="s">
        <v>203</v>
      </c>
      <c r="PRQ16" s="314" t="s">
        <v>203</v>
      </c>
      <c r="PRR16" s="314" t="s">
        <v>203</v>
      </c>
      <c r="PRS16" s="314" t="s">
        <v>203</v>
      </c>
      <c r="PRT16" s="314" t="s">
        <v>203</v>
      </c>
      <c r="PRU16" s="314" t="s">
        <v>203</v>
      </c>
      <c r="PRV16" s="314" t="s">
        <v>203</v>
      </c>
      <c r="PRW16" s="314" t="s">
        <v>203</v>
      </c>
      <c r="PRX16" s="314" t="s">
        <v>203</v>
      </c>
      <c r="PRY16" s="314" t="s">
        <v>203</v>
      </c>
      <c r="PRZ16" s="314" t="s">
        <v>203</v>
      </c>
      <c r="PSA16" s="314" t="s">
        <v>203</v>
      </c>
      <c r="PSB16" s="314" t="s">
        <v>203</v>
      </c>
      <c r="PSC16" s="314" t="s">
        <v>203</v>
      </c>
      <c r="PSD16" s="314" t="s">
        <v>203</v>
      </c>
      <c r="PSE16" s="314" t="s">
        <v>203</v>
      </c>
      <c r="PSF16" s="314" t="s">
        <v>203</v>
      </c>
      <c r="PSG16" s="314" t="s">
        <v>203</v>
      </c>
      <c r="PSH16" s="314" t="s">
        <v>203</v>
      </c>
      <c r="PSI16" s="314" t="s">
        <v>203</v>
      </c>
      <c r="PSJ16" s="314" t="s">
        <v>203</v>
      </c>
      <c r="PSK16" s="314" t="s">
        <v>203</v>
      </c>
      <c r="PSL16" s="314" t="s">
        <v>203</v>
      </c>
      <c r="PSM16" s="314" t="s">
        <v>203</v>
      </c>
      <c r="PSN16" s="314" t="s">
        <v>203</v>
      </c>
      <c r="PSO16" s="314" t="s">
        <v>203</v>
      </c>
      <c r="PSP16" s="314" t="s">
        <v>203</v>
      </c>
      <c r="PSQ16" s="314" t="s">
        <v>203</v>
      </c>
      <c r="PSR16" s="314" t="s">
        <v>203</v>
      </c>
      <c r="PSS16" s="314" t="s">
        <v>203</v>
      </c>
      <c r="PST16" s="314" t="s">
        <v>203</v>
      </c>
      <c r="PSU16" s="314" t="s">
        <v>203</v>
      </c>
      <c r="PSV16" s="314" t="s">
        <v>203</v>
      </c>
      <c r="PSW16" s="314" t="s">
        <v>203</v>
      </c>
      <c r="PSX16" s="314" t="s">
        <v>203</v>
      </c>
      <c r="PSY16" s="314" t="s">
        <v>203</v>
      </c>
      <c r="PSZ16" s="314" t="s">
        <v>203</v>
      </c>
      <c r="PTA16" s="314" t="s">
        <v>203</v>
      </c>
      <c r="PTB16" s="314" t="s">
        <v>203</v>
      </c>
      <c r="PTC16" s="314" t="s">
        <v>203</v>
      </c>
      <c r="PTD16" s="314" t="s">
        <v>203</v>
      </c>
      <c r="PTE16" s="314" t="s">
        <v>203</v>
      </c>
      <c r="PTF16" s="314" t="s">
        <v>203</v>
      </c>
      <c r="PTG16" s="314" t="s">
        <v>203</v>
      </c>
      <c r="PTH16" s="314" t="s">
        <v>203</v>
      </c>
      <c r="PTI16" s="314" t="s">
        <v>203</v>
      </c>
      <c r="PTJ16" s="314" t="s">
        <v>203</v>
      </c>
      <c r="PTK16" s="314" t="s">
        <v>203</v>
      </c>
      <c r="PTL16" s="314" t="s">
        <v>203</v>
      </c>
      <c r="PTM16" s="314" t="s">
        <v>203</v>
      </c>
      <c r="PTN16" s="314" t="s">
        <v>203</v>
      </c>
      <c r="PTO16" s="314" t="s">
        <v>203</v>
      </c>
      <c r="PTP16" s="314" t="s">
        <v>203</v>
      </c>
      <c r="PTQ16" s="314" t="s">
        <v>203</v>
      </c>
      <c r="PTR16" s="314" t="s">
        <v>203</v>
      </c>
      <c r="PTS16" s="314" t="s">
        <v>203</v>
      </c>
      <c r="PTT16" s="314" t="s">
        <v>203</v>
      </c>
      <c r="PTU16" s="314" t="s">
        <v>203</v>
      </c>
      <c r="PTV16" s="314" t="s">
        <v>203</v>
      </c>
      <c r="PTW16" s="314" t="s">
        <v>203</v>
      </c>
      <c r="PTX16" s="314" t="s">
        <v>203</v>
      </c>
      <c r="PTY16" s="314" t="s">
        <v>203</v>
      </c>
      <c r="PTZ16" s="314" t="s">
        <v>203</v>
      </c>
      <c r="PUA16" s="314" t="s">
        <v>203</v>
      </c>
      <c r="PUB16" s="314" t="s">
        <v>203</v>
      </c>
      <c r="PUC16" s="314" t="s">
        <v>203</v>
      </c>
      <c r="PUD16" s="314" t="s">
        <v>203</v>
      </c>
      <c r="PUE16" s="314" t="s">
        <v>203</v>
      </c>
      <c r="PUF16" s="314" t="s">
        <v>203</v>
      </c>
      <c r="PUG16" s="314" t="s">
        <v>203</v>
      </c>
      <c r="PUH16" s="314" t="s">
        <v>203</v>
      </c>
      <c r="PUI16" s="314" t="s">
        <v>203</v>
      </c>
      <c r="PUJ16" s="314" t="s">
        <v>203</v>
      </c>
      <c r="PUK16" s="314" t="s">
        <v>203</v>
      </c>
      <c r="PUL16" s="314" t="s">
        <v>203</v>
      </c>
      <c r="PUM16" s="314" t="s">
        <v>203</v>
      </c>
      <c r="PUN16" s="314" t="s">
        <v>203</v>
      </c>
      <c r="PUO16" s="314" t="s">
        <v>203</v>
      </c>
      <c r="PUP16" s="314" t="s">
        <v>203</v>
      </c>
      <c r="PUQ16" s="314" t="s">
        <v>203</v>
      </c>
      <c r="PUR16" s="314" t="s">
        <v>203</v>
      </c>
      <c r="PUS16" s="314" t="s">
        <v>203</v>
      </c>
      <c r="PUT16" s="314" t="s">
        <v>203</v>
      </c>
      <c r="PUU16" s="314" t="s">
        <v>203</v>
      </c>
      <c r="PUV16" s="314" t="s">
        <v>203</v>
      </c>
      <c r="PUW16" s="314" t="s">
        <v>203</v>
      </c>
      <c r="PUX16" s="314" t="s">
        <v>203</v>
      </c>
      <c r="PUY16" s="314" t="s">
        <v>203</v>
      </c>
      <c r="PUZ16" s="314" t="s">
        <v>203</v>
      </c>
      <c r="PVA16" s="314" t="s">
        <v>203</v>
      </c>
      <c r="PVB16" s="314" t="s">
        <v>203</v>
      </c>
      <c r="PVC16" s="314" t="s">
        <v>203</v>
      </c>
      <c r="PVD16" s="314" t="s">
        <v>203</v>
      </c>
      <c r="PVE16" s="314" t="s">
        <v>203</v>
      </c>
      <c r="PVF16" s="314" t="s">
        <v>203</v>
      </c>
      <c r="PVG16" s="314" t="s">
        <v>203</v>
      </c>
      <c r="PVH16" s="314" t="s">
        <v>203</v>
      </c>
      <c r="PVI16" s="314" t="s">
        <v>203</v>
      </c>
      <c r="PVJ16" s="314" t="s">
        <v>203</v>
      </c>
      <c r="PVK16" s="314" t="s">
        <v>203</v>
      </c>
      <c r="PVL16" s="314" t="s">
        <v>203</v>
      </c>
      <c r="PVM16" s="314" t="s">
        <v>203</v>
      </c>
      <c r="PVN16" s="314" t="s">
        <v>203</v>
      </c>
      <c r="PVO16" s="314" t="s">
        <v>203</v>
      </c>
      <c r="PVP16" s="314" t="s">
        <v>203</v>
      </c>
      <c r="PVQ16" s="314" t="s">
        <v>203</v>
      </c>
      <c r="PVR16" s="314" t="s">
        <v>203</v>
      </c>
      <c r="PVS16" s="314" t="s">
        <v>203</v>
      </c>
      <c r="PVT16" s="314" t="s">
        <v>203</v>
      </c>
      <c r="PVU16" s="314" t="s">
        <v>203</v>
      </c>
      <c r="PVV16" s="314" t="s">
        <v>203</v>
      </c>
      <c r="PVW16" s="314" t="s">
        <v>203</v>
      </c>
      <c r="PVX16" s="314" t="s">
        <v>203</v>
      </c>
      <c r="PVY16" s="314" t="s">
        <v>203</v>
      </c>
      <c r="PVZ16" s="314" t="s">
        <v>203</v>
      </c>
      <c r="PWA16" s="314" t="s">
        <v>203</v>
      </c>
      <c r="PWB16" s="314" t="s">
        <v>203</v>
      </c>
      <c r="PWC16" s="314" t="s">
        <v>203</v>
      </c>
      <c r="PWD16" s="314" t="s">
        <v>203</v>
      </c>
      <c r="PWE16" s="314" t="s">
        <v>203</v>
      </c>
      <c r="PWF16" s="314" t="s">
        <v>203</v>
      </c>
      <c r="PWG16" s="314" t="s">
        <v>203</v>
      </c>
      <c r="PWH16" s="314" t="s">
        <v>203</v>
      </c>
      <c r="PWI16" s="314" t="s">
        <v>203</v>
      </c>
      <c r="PWJ16" s="314" t="s">
        <v>203</v>
      </c>
      <c r="PWK16" s="314" t="s">
        <v>203</v>
      </c>
      <c r="PWL16" s="314" t="s">
        <v>203</v>
      </c>
      <c r="PWM16" s="314" t="s">
        <v>203</v>
      </c>
      <c r="PWN16" s="314" t="s">
        <v>203</v>
      </c>
      <c r="PWO16" s="314" t="s">
        <v>203</v>
      </c>
      <c r="PWP16" s="314" t="s">
        <v>203</v>
      </c>
      <c r="PWQ16" s="314" t="s">
        <v>203</v>
      </c>
      <c r="PWR16" s="314" t="s">
        <v>203</v>
      </c>
      <c r="PWS16" s="314" t="s">
        <v>203</v>
      </c>
      <c r="PWT16" s="314" t="s">
        <v>203</v>
      </c>
      <c r="PWU16" s="314" t="s">
        <v>203</v>
      </c>
      <c r="PWV16" s="314" t="s">
        <v>203</v>
      </c>
      <c r="PWW16" s="314" t="s">
        <v>203</v>
      </c>
      <c r="PWX16" s="314" t="s">
        <v>203</v>
      </c>
      <c r="PWY16" s="314" t="s">
        <v>203</v>
      </c>
      <c r="PWZ16" s="314" t="s">
        <v>203</v>
      </c>
      <c r="PXA16" s="314" t="s">
        <v>203</v>
      </c>
      <c r="PXB16" s="314" t="s">
        <v>203</v>
      </c>
      <c r="PXC16" s="314" t="s">
        <v>203</v>
      </c>
      <c r="PXD16" s="314" t="s">
        <v>203</v>
      </c>
      <c r="PXE16" s="314" t="s">
        <v>203</v>
      </c>
      <c r="PXF16" s="314" t="s">
        <v>203</v>
      </c>
      <c r="PXG16" s="314" t="s">
        <v>203</v>
      </c>
      <c r="PXH16" s="314" t="s">
        <v>203</v>
      </c>
      <c r="PXI16" s="314" t="s">
        <v>203</v>
      </c>
      <c r="PXJ16" s="314" t="s">
        <v>203</v>
      </c>
      <c r="PXK16" s="314" t="s">
        <v>203</v>
      </c>
      <c r="PXL16" s="314" t="s">
        <v>203</v>
      </c>
      <c r="PXM16" s="314" t="s">
        <v>203</v>
      </c>
      <c r="PXN16" s="314" t="s">
        <v>203</v>
      </c>
      <c r="PXO16" s="314" t="s">
        <v>203</v>
      </c>
      <c r="PXP16" s="314" t="s">
        <v>203</v>
      </c>
      <c r="PXQ16" s="314" t="s">
        <v>203</v>
      </c>
      <c r="PXR16" s="314" t="s">
        <v>203</v>
      </c>
      <c r="PXS16" s="314" t="s">
        <v>203</v>
      </c>
      <c r="PXT16" s="314" t="s">
        <v>203</v>
      </c>
      <c r="PXU16" s="314" t="s">
        <v>203</v>
      </c>
      <c r="PXV16" s="314" t="s">
        <v>203</v>
      </c>
      <c r="PXW16" s="314" t="s">
        <v>203</v>
      </c>
      <c r="PXX16" s="314" t="s">
        <v>203</v>
      </c>
      <c r="PXY16" s="314" t="s">
        <v>203</v>
      </c>
      <c r="PXZ16" s="314" t="s">
        <v>203</v>
      </c>
      <c r="PYA16" s="314" t="s">
        <v>203</v>
      </c>
      <c r="PYB16" s="314" t="s">
        <v>203</v>
      </c>
      <c r="PYC16" s="314" t="s">
        <v>203</v>
      </c>
      <c r="PYD16" s="314" t="s">
        <v>203</v>
      </c>
      <c r="PYE16" s="314" t="s">
        <v>203</v>
      </c>
      <c r="PYF16" s="314" t="s">
        <v>203</v>
      </c>
      <c r="PYG16" s="314" t="s">
        <v>203</v>
      </c>
      <c r="PYH16" s="314" t="s">
        <v>203</v>
      </c>
      <c r="PYI16" s="314" t="s">
        <v>203</v>
      </c>
      <c r="PYJ16" s="314" t="s">
        <v>203</v>
      </c>
      <c r="PYK16" s="314" t="s">
        <v>203</v>
      </c>
      <c r="PYL16" s="314" t="s">
        <v>203</v>
      </c>
      <c r="PYM16" s="314" t="s">
        <v>203</v>
      </c>
      <c r="PYN16" s="314" t="s">
        <v>203</v>
      </c>
      <c r="PYO16" s="314" t="s">
        <v>203</v>
      </c>
      <c r="PYP16" s="314" t="s">
        <v>203</v>
      </c>
      <c r="PYQ16" s="314" t="s">
        <v>203</v>
      </c>
      <c r="PYR16" s="314" t="s">
        <v>203</v>
      </c>
      <c r="PYS16" s="314" t="s">
        <v>203</v>
      </c>
      <c r="PYT16" s="314" t="s">
        <v>203</v>
      </c>
      <c r="PYU16" s="314" t="s">
        <v>203</v>
      </c>
      <c r="PYV16" s="314" t="s">
        <v>203</v>
      </c>
      <c r="PYW16" s="314" t="s">
        <v>203</v>
      </c>
      <c r="PYX16" s="314" t="s">
        <v>203</v>
      </c>
      <c r="PYY16" s="314" t="s">
        <v>203</v>
      </c>
      <c r="PYZ16" s="314" t="s">
        <v>203</v>
      </c>
      <c r="PZA16" s="314" t="s">
        <v>203</v>
      </c>
      <c r="PZB16" s="314" t="s">
        <v>203</v>
      </c>
      <c r="PZC16" s="314" t="s">
        <v>203</v>
      </c>
      <c r="PZD16" s="314" t="s">
        <v>203</v>
      </c>
      <c r="PZE16" s="314" t="s">
        <v>203</v>
      </c>
      <c r="PZF16" s="314" t="s">
        <v>203</v>
      </c>
      <c r="PZG16" s="314" t="s">
        <v>203</v>
      </c>
      <c r="PZH16" s="314" t="s">
        <v>203</v>
      </c>
      <c r="PZI16" s="314" t="s">
        <v>203</v>
      </c>
      <c r="PZJ16" s="314" t="s">
        <v>203</v>
      </c>
      <c r="PZK16" s="314" t="s">
        <v>203</v>
      </c>
      <c r="PZL16" s="314" t="s">
        <v>203</v>
      </c>
      <c r="PZM16" s="314" t="s">
        <v>203</v>
      </c>
      <c r="PZN16" s="314" t="s">
        <v>203</v>
      </c>
      <c r="PZO16" s="314" t="s">
        <v>203</v>
      </c>
      <c r="PZP16" s="314" t="s">
        <v>203</v>
      </c>
      <c r="PZQ16" s="314" t="s">
        <v>203</v>
      </c>
      <c r="PZR16" s="314" t="s">
        <v>203</v>
      </c>
      <c r="PZS16" s="314" t="s">
        <v>203</v>
      </c>
      <c r="PZT16" s="314" t="s">
        <v>203</v>
      </c>
      <c r="PZU16" s="314" t="s">
        <v>203</v>
      </c>
      <c r="PZV16" s="314" t="s">
        <v>203</v>
      </c>
      <c r="PZW16" s="314" t="s">
        <v>203</v>
      </c>
      <c r="PZX16" s="314" t="s">
        <v>203</v>
      </c>
      <c r="PZY16" s="314" t="s">
        <v>203</v>
      </c>
      <c r="PZZ16" s="314" t="s">
        <v>203</v>
      </c>
      <c r="QAA16" s="314" t="s">
        <v>203</v>
      </c>
      <c r="QAB16" s="314" t="s">
        <v>203</v>
      </c>
      <c r="QAC16" s="314" t="s">
        <v>203</v>
      </c>
      <c r="QAD16" s="314" t="s">
        <v>203</v>
      </c>
      <c r="QAE16" s="314" t="s">
        <v>203</v>
      </c>
      <c r="QAF16" s="314" t="s">
        <v>203</v>
      </c>
      <c r="QAG16" s="314" t="s">
        <v>203</v>
      </c>
      <c r="QAH16" s="314" t="s">
        <v>203</v>
      </c>
      <c r="QAI16" s="314" t="s">
        <v>203</v>
      </c>
      <c r="QAJ16" s="314" t="s">
        <v>203</v>
      </c>
      <c r="QAK16" s="314" t="s">
        <v>203</v>
      </c>
      <c r="QAL16" s="314" t="s">
        <v>203</v>
      </c>
      <c r="QAM16" s="314" t="s">
        <v>203</v>
      </c>
      <c r="QAN16" s="314" t="s">
        <v>203</v>
      </c>
      <c r="QAO16" s="314" t="s">
        <v>203</v>
      </c>
      <c r="QAP16" s="314" t="s">
        <v>203</v>
      </c>
      <c r="QAQ16" s="314" t="s">
        <v>203</v>
      </c>
      <c r="QAR16" s="314" t="s">
        <v>203</v>
      </c>
      <c r="QAS16" s="314" t="s">
        <v>203</v>
      </c>
      <c r="QAT16" s="314" t="s">
        <v>203</v>
      </c>
      <c r="QAU16" s="314" t="s">
        <v>203</v>
      </c>
      <c r="QAV16" s="314" t="s">
        <v>203</v>
      </c>
      <c r="QAW16" s="314" t="s">
        <v>203</v>
      </c>
      <c r="QAX16" s="314" t="s">
        <v>203</v>
      </c>
      <c r="QAY16" s="314" t="s">
        <v>203</v>
      </c>
      <c r="QAZ16" s="314" t="s">
        <v>203</v>
      </c>
      <c r="QBA16" s="314" t="s">
        <v>203</v>
      </c>
      <c r="QBB16" s="314" t="s">
        <v>203</v>
      </c>
      <c r="QBC16" s="314" t="s">
        <v>203</v>
      </c>
      <c r="QBD16" s="314" t="s">
        <v>203</v>
      </c>
      <c r="QBE16" s="314" t="s">
        <v>203</v>
      </c>
      <c r="QBF16" s="314" t="s">
        <v>203</v>
      </c>
      <c r="QBG16" s="314" t="s">
        <v>203</v>
      </c>
      <c r="QBH16" s="314" t="s">
        <v>203</v>
      </c>
      <c r="QBI16" s="314" t="s">
        <v>203</v>
      </c>
      <c r="QBJ16" s="314" t="s">
        <v>203</v>
      </c>
      <c r="QBK16" s="314" t="s">
        <v>203</v>
      </c>
      <c r="QBL16" s="314" t="s">
        <v>203</v>
      </c>
      <c r="QBM16" s="314" t="s">
        <v>203</v>
      </c>
      <c r="QBN16" s="314" t="s">
        <v>203</v>
      </c>
      <c r="QBO16" s="314" t="s">
        <v>203</v>
      </c>
      <c r="QBP16" s="314" t="s">
        <v>203</v>
      </c>
      <c r="QBQ16" s="314" t="s">
        <v>203</v>
      </c>
      <c r="QBR16" s="314" t="s">
        <v>203</v>
      </c>
      <c r="QBS16" s="314" t="s">
        <v>203</v>
      </c>
      <c r="QBT16" s="314" t="s">
        <v>203</v>
      </c>
      <c r="QBU16" s="314" t="s">
        <v>203</v>
      </c>
      <c r="QBV16" s="314" t="s">
        <v>203</v>
      </c>
      <c r="QBW16" s="314" t="s">
        <v>203</v>
      </c>
      <c r="QBX16" s="314" t="s">
        <v>203</v>
      </c>
      <c r="QBY16" s="314" t="s">
        <v>203</v>
      </c>
      <c r="QBZ16" s="314" t="s">
        <v>203</v>
      </c>
      <c r="QCA16" s="314" t="s">
        <v>203</v>
      </c>
      <c r="QCB16" s="314" t="s">
        <v>203</v>
      </c>
      <c r="QCC16" s="314" t="s">
        <v>203</v>
      </c>
      <c r="QCD16" s="314" t="s">
        <v>203</v>
      </c>
      <c r="QCE16" s="314" t="s">
        <v>203</v>
      </c>
      <c r="QCF16" s="314" t="s">
        <v>203</v>
      </c>
      <c r="QCG16" s="314" t="s">
        <v>203</v>
      </c>
      <c r="QCH16" s="314" t="s">
        <v>203</v>
      </c>
      <c r="QCI16" s="314" t="s">
        <v>203</v>
      </c>
      <c r="QCJ16" s="314" t="s">
        <v>203</v>
      </c>
      <c r="QCK16" s="314" t="s">
        <v>203</v>
      </c>
      <c r="QCL16" s="314" t="s">
        <v>203</v>
      </c>
      <c r="QCM16" s="314" t="s">
        <v>203</v>
      </c>
      <c r="QCN16" s="314" t="s">
        <v>203</v>
      </c>
      <c r="QCO16" s="314" t="s">
        <v>203</v>
      </c>
      <c r="QCP16" s="314" t="s">
        <v>203</v>
      </c>
      <c r="QCQ16" s="314" t="s">
        <v>203</v>
      </c>
      <c r="QCR16" s="314" t="s">
        <v>203</v>
      </c>
      <c r="QCS16" s="314" t="s">
        <v>203</v>
      </c>
      <c r="QCT16" s="314" t="s">
        <v>203</v>
      </c>
      <c r="QCU16" s="314" t="s">
        <v>203</v>
      </c>
      <c r="QCV16" s="314" t="s">
        <v>203</v>
      </c>
      <c r="QCW16" s="314" t="s">
        <v>203</v>
      </c>
      <c r="QCX16" s="314" t="s">
        <v>203</v>
      </c>
      <c r="QCY16" s="314" t="s">
        <v>203</v>
      </c>
      <c r="QCZ16" s="314" t="s">
        <v>203</v>
      </c>
      <c r="QDA16" s="314" t="s">
        <v>203</v>
      </c>
      <c r="QDB16" s="314" t="s">
        <v>203</v>
      </c>
      <c r="QDC16" s="314" t="s">
        <v>203</v>
      </c>
      <c r="QDD16" s="314" t="s">
        <v>203</v>
      </c>
      <c r="QDE16" s="314" t="s">
        <v>203</v>
      </c>
      <c r="QDF16" s="314" t="s">
        <v>203</v>
      </c>
      <c r="QDG16" s="314" t="s">
        <v>203</v>
      </c>
      <c r="QDH16" s="314" t="s">
        <v>203</v>
      </c>
      <c r="QDI16" s="314" t="s">
        <v>203</v>
      </c>
      <c r="QDJ16" s="314" t="s">
        <v>203</v>
      </c>
      <c r="QDK16" s="314" t="s">
        <v>203</v>
      </c>
      <c r="QDL16" s="314" t="s">
        <v>203</v>
      </c>
      <c r="QDM16" s="314" t="s">
        <v>203</v>
      </c>
      <c r="QDN16" s="314" t="s">
        <v>203</v>
      </c>
      <c r="QDO16" s="314" t="s">
        <v>203</v>
      </c>
      <c r="QDP16" s="314" t="s">
        <v>203</v>
      </c>
      <c r="QDQ16" s="314" t="s">
        <v>203</v>
      </c>
      <c r="QDR16" s="314" t="s">
        <v>203</v>
      </c>
      <c r="QDS16" s="314" t="s">
        <v>203</v>
      </c>
      <c r="QDT16" s="314" t="s">
        <v>203</v>
      </c>
      <c r="QDU16" s="314" t="s">
        <v>203</v>
      </c>
      <c r="QDV16" s="314" t="s">
        <v>203</v>
      </c>
      <c r="QDW16" s="314" t="s">
        <v>203</v>
      </c>
      <c r="QDX16" s="314" t="s">
        <v>203</v>
      </c>
      <c r="QDY16" s="314" t="s">
        <v>203</v>
      </c>
      <c r="QDZ16" s="314" t="s">
        <v>203</v>
      </c>
      <c r="QEA16" s="314" t="s">
        <v>203</v>
      </c>
      <c r="QEB16" s="314" t="s">
        <v>203</v>
      </c>
      <c r="QEC16" s="314" t="s">
        <v>203</v>
      </c>
      <c r="QED16" s="314" t="s">
        <v>203</v>
      </c>
      <c r="QEE16" s="314" t="s">
        <v>203</v>
      </c>
      <c r="QEF16" s="314" t="s">
        <v>203</v>
      </c>
      <c r="QEG16" s="314" t="s">
        <v>203</v>
      </c>
      <c r="QEH16" s="314" t="s">
        <v>203</v>
      </c>
      <c r="QEI16" s="314" t="s">
        <v>203</v>
      </c>
      <c r="QEJ16" s="314" t="s">
        <v>203</v>
      </c>
      <c r="QEK16" s="314" t="s">
        <v>203</v>
      </c>
      <c r="QEL16" s="314" t="s">
        <v>203</v>
      </c>
      <c r="QEM16" s="314" t="s">
        <v>203</v>
      </c>
      <c r="QEN16" s="314" t="s">
        <v>203</v>
      </c>
      <c r="QEO16" s="314" t="s">
        <v>203</v>
      </c>
      <c r="QEP16" s="314" t="s">
        <v>203</v>
      </c>
      <c r="QEQ16" s="314" t="s">
        <v>203</v>
      </c>
      <c r="QER16" s="314" t="s">
        <v>203</v>
      </c>
      <c r="QES16" s="314" t="s">
        <v>203</v>
      </c>
      <c r="QET16" s="314" t="s">
        <v>203</v>
      </c>
      <c r="QEU16" s="314" t="s">
        <v>203</v>
      </c>
      <c r="QEV16" s="314" t="s">
        <v>203</v>
      </c>
      <c r="QEW16" s="314" t="s">
        <v>203</v>
      </c>
      <c r="QEX16" s="314" t="s">
        <v>203</v>
      </c>
      <c r="QEY16" s="314" t="s">
        <v>203</v>
      </c>
      <c r="QEZ16" s="314" t="s">
        <v>203</v>
      </c>
      <c r="QFA16" s="314" t="s">
        <v>203</v>
      </c>
      <c r="QFB16" s="314" t="s">
        <v>203</v>
      </c>
      <c r="QFC16" s="314" t="s">
        <v>203</v>
      </c>
      <c r="QFD16" s="314" t="s">
        <v>203</v>
      </c>
      <c r="QFE16" s="314" t="s">
        <v>203</v>
      </c>
      <c r="QFF16" s="314" t="s">
        <v>203</v>
      </c>
      <c r="QFG16" s="314" t="s">
        <v>203</v>
      </c>
      <c r="QFH16" s="314" t="s">
        <v>203</v>
      </c>
      <c r="QFI16" s="314" t="s">
        <v>203</v>
      </c>
      <c r="QFJ16" s="314" t="s">
        <v>203</v>
      </c>
      <c r="QFK16" s="314" t="s">
        <v>203</v>
      </c>
      <c r="QFL16" s="314" t="s">
        <v>203</v>
      </c>
      <c r="QFM16" s="314" t="s">
        <v>203</v>
      </c>
      <c r="QFN16" s="314" t="s">
        <v>203</v>
      </c>
      <c r="QFO16" s="314" t="s">
        <v>203</v>
      </c>
      <c r="QFP16" s="314" t="s">
        <v>203</v>
      </c>
      <c r="QFQ16" s="314" t="s">
        <v>203</v>
      </c>
      <c r="QFR16" s="314" t="s">
        <v>203</v>
      </c>
      <c r="QFS16" s="314" t="s">
        <v>203</v>
      </c>
      <c r="QFT16" s="314" t="s">
        <v>203</v>
      </c>
      <c r="QFU16" s="314" t="s">
        <v>203</v>
      </c>
      <c r="QFV16" s="314" t="s">
        <v>203</v>
      </c>
      <c r="QFW16" s="314" t="s">
        <v>203</v>
      </c>
      <c r="QFX16" s="314" t="s">
        <v>203</v>
      </c>
      <c r="QFY16" s="314" t="s">
        <v>203</v>
      </c>
      <c r="QFZ16" s="314" t="s">
        <v>203</v>
      </c>
      <c r="QGA16" s="314" t="s">
        <v>203</v>
      </c>
      <c r="QGB16" s="314" t="s">
        <v>203</v>
      </c>
      <c r="QGC16" s="314" t="s">
        <v>203</v>
      </c>
      <c r="QGD16" s="314" t="s">
        <v>203</v>
      </c>
      <c r="QGE16" s="314" t="s">
        <v>203</v>
      </c>
      <c r="QGF16" s="314" t="s">
        <v>203</v>
      </c>
      <c r="QGG16" s="314" t="s">
        <v>203</v>
      </c>
      <c r="QGH16" s="314" t="s">
        <v>203</v>
      </c>
      <c r="QGI16" s="314" t="s">
        <v>203</v>
      </c>
      <c r="QGJ16" s="314" t="s">
        <v>203</v>
      </c>
      <c r="QGK16" s="314" t="s">
        <v>203</v>
      </c>
      <c r="QGL16" s="314" t="s">
        <v>203</v>
      </c>
      <c r="QGM16" s="314" t="s">
        <v>203</v>
      </c>
      <c r="QGN16" s="314" t="s">
        <v>203</v>
      </c>
      <c r="QGO16" s="314" t="s">
        <v>203</v>
      </c>
      <c r="QGP16" s="314" t="s">
        <v>203</v>
      </c>
      <c r="QGQ16" s="314" t="s">
        <v>203</v>
      </c>
      <c r="QGR16" s="314" t="s">
        <v>203</v>
      </c>
      <c r="QGS16" s="314" t="s">
        <v>203</v>
      </c>
      <c r="QGT16" s="314" t="s">
        <v>203</v>
      </c>
      <c r="QGU16" s="314" t="s">
        <v>203</v>
      </c>
      <c r="QGV16" s="314" t="s">
        <v>203</v>
      </c>
      <c r="QGW16" s="314" t="s">
        <v>203</v>
      </c>
      <c r="QGX16" s="314" t="s">
        <v>203</v>
      </c>
      <c r="QGY16" s="314" t="s">
        <v>203</v>
      </c>
      <c r="QGZ16" s="314" t="s">
        <v>203</v>
      </c>
      <c r="QHA16" s="314" t="s">
        <v>203</v>
      </c>
      <c r="QHB16" s="314" t="s">
        <v>203</v>
      </c>
      <c r="QHC16" s="314" t="s">
        <v>203</v>
      </c>
      <c r="QHD16" s="314" t="s">
        <v>203</v>
      </c>
      <c r="QHE16" s="314" t="s">
        <v>203</v>
      </c>
      <c r="QHF16" s="314" t="s">
        <v>203</v>
      </c>
      <c r="QHG16" s="314" t="s">
        <v>203</v>
      </c>
      <c r="QHH16" s="314" t="s">
        <v>203</v>
      </c>
      <c r="QHI16" s="314" t="s">
        <v>203</v>
      </c>
      <c r="QHJ16" s="314" t="s">
        <v>203</v>
      </c>
      <c r="QHK16" s="314" t="s">
        <v>203</v>
      </c>
      <c r="QHL16" s="314" t="s">
        <v>203</v>
      </c>
      <c r="QHM16" s="314" t="s">
        <v>203</v>
      </c>
      <c r="QHN16" s="314" t="s">
        <v>203</v>
      </c>
      <c r="QHO16" s="314" t="s">
        <v>203</v>
      </c>
      <c r="QHP16" s="314" t="s">
        <v>203</v>
      </c>
      <c r="QHQ16" s="314" t="s">
        <v>203</v>
      </c>
      <c r="QHR16" s="314" t="s">
        <v>203</v>
      </c>
      <c r="QHS16" s="314" t="s">
        <v>203</v>
      </c>
      <c r="QHT16" s="314" t="s">
        <v>203</v>
      </c>
      <c r="QHU16" s="314" t="s">
        <v>203</v>
      </c>
      <c r="QHV16" s="314" t="s">
        <v>203</v>
      </c>
      <c r="QHW16" s="314" t="s">
        <v>203</v>
      </c>
      <c r="QHX16" s="314" t="s">
        <v>203</v>
      </c>
      <c r="QHY16" s="314" t="s">
        <v>203</v>
      </c>
      <c r="QHZ16" s="314" t="s">
        <v>203</v>
      </c>
      <c r="QIA16" s="314" t="s">
        <v>203</v>
      </c>
      <c r="QIB16" s="314" t="s">
        <v>203</v>
      </c>
      <c r="QIC16" s="314" t="s">
        <v>203</v>
      </c>
      <c r="QID16" s="314" t="s">
        <v>203</v>
      </c>
      <c r="QIE16" s="314" t="s">
        <v>203</v>
      </c>
      <c r="QIF16" s="314" t="s">
        <v>203</v>
      </c>
      <c r="QIG16" s="314" t="s">
        <v>203</v>
      </c>
      <c r="QIH16" s="314" t="s">
        <v>203</v>
      </c>
      <c r="QII16" s="314" t="s">
        <v>203</v>
      </c>
      <c r="QIJ16" s="314" t="s">
        <v>203</v>
      </c>
      <c r="QIK16" s="314" t="s">
        <v>203</v>
      </c>
      <c r="QIL16" s="314" t="s">
        <v>203</v>
      </c>
      <c r="QIM16" s="314" t="s">
        <v>203</v>
      </c>
      <c r="QIN16" s="314" t="s">
        <v>203</v>
      </c>
      <c r="QIO16" s="314" t="s">
        <v>203</v>
      </c>
      <c r="QIP16" s="314" t="s">
        <v>203</v>
      </c>
      <c r="QIQ16" s="314" t="s">
        <v>203</v>
      </c>
      <c r="QIR16" s="314" t="s">
        <v>203</v>
      </c>
      <c r="QIS16" s="314" t="s">
        <v>203</v>
      </c>
      <c r="QIT16" s="314" t="s">
        <v>203</v>
      </c>
      <c r="QIU16" s="314" t="s">
        <v>203</v>
      </c>
      <c r="QIV16" s="314" t="s">
        <v>203</v>
      </c>
      <c r="QIW16" s="314" t="s">
        <v>203</v>
      </c>
      <c r="QIX16" s="314" t="s">
        <v>203</v>
      </c>
      <c r="QIY16" s="314" t="s">
        <v>203</v>
      </c>
      <c r="QIZ16" s="314" t="s">
        <v>203</v>
      </c>
      <c r="QJA16" s="314" t="s">
        <v>203</v>
      </c>
      <c r="QJB16" s="314" t="s">
        <v>203</v>
      </c>
      <c r="QJC16" s="314" t="s">
        <v>203</v>
      </c>
      <c r="QJD16" s="314" t="s">
        <v>203</v>
      </c>
      <c r="QJE16" s="314" t="s">
        <v>203</v>
      </c>
      <c r="QJF16" s="314" t="s">
        <v>203</v>
      </c>
      <c r="QJG16" s="314" t="s">
        <v>203</v>
      </c>
      <c r="QJH16" s="314" t="s">
        <v>203</v>
      </c>
      <c r="QJI16" s="314" t="s">
        <v>203</v>
      </c>
      <c r="QJJ16" s="314" t="s">
        <v>203</v>
      </c>
      <c r="QJK16" s="314" t="s">
        <v>203</v>
      </c>
      <c r="QJL16" s="314" t="s">
        <v>203</v>
      </c>
      <c r="QJM16" s="314" t="s">
        <v>203</v>
      </c>
      <c r="QJN16" s="314" t="s">
        <v>203</v>
      </c>
      <c r="QJO16" s="314" t="s">
        <v>203</v>
      </c>
      <c r="QJP16" s="314" t="s">
        <v>203</v>
      </c>
      <c r="QJQ16" s="314" t="s">
        <v>203</v>
      </c>
      <c r="QJR16" s="314" t="s">
        <v>203</v>
      </c>
      <c r="QJS16" s="314" t="s">
        <v>203</v>
      </c>
      <c r="QJT16" s="314" t="s">
        <v>203</v>
      </c>
      <c r="QJU16" s="314" t="s">
        <v>203</v>
      </c>
      <c r="QJV16" s="314" t="s">
        <v>203</v>
      </c>
      <c r="QJW16" s="314" t="s">
        <v>203</v>
      </c>
      <c r="QJX16" s="314" t="s">
        <v>203</v>
      </c>
      <c r="QJY16" s="314" t="s">
        <v>203</v>
      </c>
      <c r="QJZ16" s="314" t="s">
        <v>203</v>
      </c>
      <c r="QKA16" s="314" t="s">
        <v>203</v>
      </c>
      <c r="QKB16" s="314" t="s">
        <v>203</v>
      </c>
      <c r="QKC16" s="314" t="s">
        <v>203</v>
      </c>
      <c r="QKD16" s="314" t="s">
        <v>203</v>
      </c>
      <c r="QKE16" s="314" t="s">
        <v>203</v>
      </c>
      <c r="QKF16" s="314" t="s">
        <v>203</v>
      </c>
      <c r="QKG16" s="314" t="s">
        <v>203</v>
      </c>
      <c r="QKH16" s="314" t="s">
        <v>203</v>
      </c>
      <c r="QKI16" s="314" t="s">
        <v>203</v>
      </c>
      <c r="QKJ16" s="314" t="s">
        <v>203</v>
      </c>
      <c r="QKK16" s="314" t="s">
        <v>203</v>
      </c>
      <c r="QKL16" s="314" t="s">
        <v>203</v>
      </c>
      <c r="QKM16" s="314" t="s">
        <v>203</v>
      </c>
      <c r="QKN16" s="314" t="s">
        <v>203</v>
      </c>
      <c r="QKO16" s="314" t="s">
        <v>203</v>
      </c>
      <c r="QKP16" s="314" t="s">
        <v>203</v>
      </c>
      <c r="QKQ16" s="314" t="s">
        <v>203</v>
      </c>
      <c r="QKR16" s="314" t="s">
        <v>203</v>
      </c>
      <c r="QKS16" s="314" t="s">
        <v>203</v>
      </c>
      <c r="QKT16" s="314" t="s">
        <v>203</v>
      </c>
      <c r="QKU16" s="314" t="s">
        <v>203</v>
      </c>
      <c r="QKV16" s="314" t="s">
        <v>203</v>
      </c>
      <c r="QKW16" s="314" t="s">
        <v>203</v>
      </c>
      <c r="QKX16" s="314" t="s">
        <v>203</v>
      </c>
      <c r="QKY16" s="314" t="s">
        <v>203</v>
      </c>
      <c r="QKZ16" s="314" t="s">
        <v>203</v>
      </c>
      <c r="QLA16" s="314" t="s">
        <v>203</v>
      </c>
      <c r="QLB16" s="314" t="s">
        <v>203</v>
      </c>
      <c r="QLC16" s="314" t="s">
        <v>203</v>
      </c>
      <c r="QLD16" s="314" t="s">
        <v>203</v>
      </c>
      <c r="QLE16" s="314" t="s">
        <v>203</v>
      </c>
      <c r="QLF16" s="314" t="s">
        <v>203</v>
      </c>
      <c r="QLG16" s="314" t="s">
        <v>203</v>
      </c>
      <c r="QLH16" s="314" t="s">
        <v>203</v>
      </c>
      <c r="QLI16" s="314" t="s">
        <v>203</v>
      </c>
      <c r="QLJ16" s="314" t="s">
        <v>203</v>
      </c>
      <c r="QLK16" s="314" t="s">
        <v>203</v>
      </c>
      <c r="QLL16" s="314" t="s">
        <v>203</v>
      </c>
      <c r="QLM16" s="314" t="s">
        <v>203</v>
      </c>
      <c r="QLN16" s="314" t="s">
        <v>203</v>
      </c>
      <c r="QLO16" s="314" t="s">
        <v>203</v>
      </c>
      <c r="QLP16" s="314" t="s">
        <v>203</v>
      </c>
      <c r="QLQ16" s="314" t="s">
        <v>203</v>
      </c>
      <c r="QLR16" s="314" t="s">
        <v>203</v>
      </c>
      <c r="QLS16" s="314" t="s">
        <v>203</v>
      </c>
      <c r="QLT16" s="314" t="s">
        <v>203</v>
      </c>
      <c r="QLU16" s="314" t="s">
        <v>203</v>
      </c>
      <c r="QLV16" s="314" t="s">
        <v>203</v>
      </c>
      <c r="QLW16" s="314" t="s">
        <v>203</v>
      </c>
      <c r="QLX16" s="314" t="s">
        <v>203</v>
      </c>
      <c r="QLY16" s="314" t="s">
        <v>203</v>
      </c>
      <c r="QLZ16" s="314" t="s">
        <v>203</v>
      </c>
      <c r="QMA16" s="314" t="s">
        <v>203</v>
      </c>
      <c r="QMB16" s="314" t="s">
        <v>203</v>
      </c>
      <c r="QMC16" s="314" t="s">
        <v>203</v>
      </c>
      <c r="QMD16" s="314" t="s">
        <v>203</v>
      </c>
      <c r="QME16" s="314" t="s">
        <v>203</v>
      </c>
      <c r="QMF16" s="314" t="s">
        <v>203</v>
      </c>
      <c r="QMG16" s="314" t="s">
        <v>203</v>
      </c>
      <c r="QMH16" s="314" t="s">
        <v>203</v>
      </c>
      <c r="QMI16" s="314" t="s">
        <v>203</v>
      </c>
      <c r="QMJ16" s="314" t="s">
        <v>203</v>
      </c>
      <c r="QMK16" s="314" t="s">
        <v>203</v>
      </c>
      <c r="QML16" s="314" t="s">
        <v>203</v>
      </c>
      <c r="QMM16" s="314" t="s">
        <v>203</v>
      </c>
      <c r="QMN16" s="314" t="s">
        <v>203</v>
      </c>
      <c r="QMO16" s="314" t="s">
        <v>203</v>
      </c>
      <c r="QMP16" s="314" t="s">
        <v>203</v>
      </c>
      <c r="QMQ16" s="314" t="s">
        <v>203</v>
      </c>
      <c r="QMR16" s="314" t="s">
        <v>203</v>
      </c>
      <c r="QMS16" s="314" t="s">
        <v>203</v>
      </c>
      <c r="QMT16" s="314" t="s">
        <v>203</v>
      </c>
      <c r="QMU16" s="314" t="s">
        <v>203</v>
      </c>
      <c r="QMV16" s="314" t="s">
        <v>203</v>
      </c>
      <c r="QMW16" s="314" t="s">
        <v>203</v>
      </c>
      <c r="QMX16" s="314" t="s">
        <v>203</v>
      </c>
      <c r="QMY16" s="314" t="s">
        <v>203</v>
      </c>
      <c r="QMZ16" s="314" t="s">
        <v>203</v>
      </c>
      <c r="QNA16" s="314" t="s">
        <v>203</v>
      </c>
      <c r="QNB16" s="314" t="s">
        <v>203</v>
      </c>
      <c r="QNC16" s="314" t="s">
        <v>203</v>
      </c>
      <c r="QND16" s="314" t="s">
        <v>203</v>
      </c>
      <c r="QNE16" s="314" t="s">
        <v>203</v>
      </c>
      <c r="QNF16" s="314" t="s">
        <v>203</v>
      </c>
      <c r="QNG16" s="314" t="s">
        <v>203</v>
      </c>
      <c r="QNH16" s="314" t="s">
        <v>203</v>
      </c>
      <c r="QNI16" s="314" t="s">
        <v>203</v>
      </c>
      <c r="QNJ16" s="314" t="s">
        <v>203</v>
      </c>
      <c r="QNK16" s="314" t="s">
        <v>203</v>
      </c>
      <c r="QNL16" s="314" t="s">
        <v>203</v>
      </c>
      <c r="QNM16" s="314" t="s">
        <v>203</v>
      </c>
      <c r="QNN16" s="314" t="s">
        <v>203</v>
      </c>
      <c r="QNO16" s="314" t="s">
        <v>203</v>
      </c>
      <c r="QNP16" s="314" t="s">
        <v>203</v>
      </c>
      <c r="QNQ16" s="314" t="s">
        <v>203</v>
      </c>
      <c r="QNR16" s="314" t="s">
        <v>203</v>
      </c>
      <c r="QNS16" s="314" t="s">
        <v>203</v>
      </c>
      <c r="QNT16" s="314" t="s">
        <v>203</v>
      </c>
      <c r="QNU16" s="314" t="s">
        <v>203</v>
      </c>
      <c r="QNV16" s="314" t="s">
        <v>203</v>
      </c>
      <c r="QNW16" s="314" t="s">
        <v>203</v>
      </c>
      <c r="QNX16" s="314" t="s">
        <v>203</v>
      </c>
      <c r="QNY16" s="314" t="s">
        <v>203</v>
      </c>
      <c r="QNZ16" s="314" t="s">
        <v>203</v>
      </c>
      <c r="QOA16" s="314" t="s">
        <v>203</v>
      </c>
      <c r="QOB16" s="314" t="s">
        <v>203</v>
      </c>
      <c r="QOC16" s="314" t="s">
        <v>203</v>
      </c>
      <c r="QOD16" s="314" t="s">
        <v>203</v>
      </c>
      <c r="QOE16" s="314" t="s">
        <v>203</v>
      </c>
      <c r="QOF16" s="314" t="s">
        <v>203</v>
      </c>
      <c r="QOG16" s="314" t="s">
        <v>203</v>
      </c>
      <c r="QOH16" s="314" t="s">
        <v>203</v>
      </c>
      <c r="QOI16" s="314" t="s">
        <v>203</v>
      </c>
      <c r="QOJ16" s="314" t="s">
        <v>203</v>
      </c>
      <c r="QOK16" s="314" t="s">
        <v>203</v>
      </c>
      <c r="QOL16" s="314" t="s">
        <v>203</v>
      </c>
      <c r="QOM16" s="314" t="s">
        <v>203</v>
      </c>
      <c r="QON16" s="314" t="s">
        <v>203</v>
      </c>
      <c r="QOO16" s="314" t="s">
        <v>203</v>
      </c>
      <c r="QOP16" s="314" t="s">
        <v>203</v>
      </c>
      <c r="QOQ16" s="314" t="s">
        <v>203</v>
      </c>
      <c r="QOR16" s="314" t="s">
        <v>203</v>
      </c>
      <c r="QOS16" s="314" t="s">
        <v>203</v>
      </c>
      <c r="QOT16" s="314" t="s">
        <v>203</v>
      </c>
      <c r="QOU16" s="314" t="s">
        <v>203</v>
      </c>
      <c r="QOV16" s="314" t="s">
        <v>203</v>
      </c>
      <c r="QOW16" s="314" t="s">
        <v>203</v>
      </c>
      <c r="QOX16" s="314" t="s">
        <v>203</v>
      </c>
      <c r="QOY16" s="314" t="s">
        <v>203</v>
      </c>
      <c r="QOZ16" s="314" t="s">
        <v>203</v>
      </c>
      <c r="QPA16" s="314" t="s">
        <v>203</v>
      </c>
      <c r="QPB16" s="314" t="s">
        <v>203</v>
      </c>
      <c r="QPC16" s="314" t="s">
        <v>203</v>
      </c>
      <c r="QPD16" s="314" t="s">
        <v>203</v>
      </c>
      <c r="QPE16" s="314" t="s">
        <v>203</v>
      </c>
      <c r="QPF16" s="314" t="s">
        <v>203</v>
      </c>
      <c r="QPG16" s="314" t="s">
        <v>203</v>
      </c>
      <c r="QPH16" s="314" t="s">
        <v>203</v>
      </c>
      <c r="QPI16" s="314" t="s">
        <v>203</v>
      </c>
      <c r="QPJ16" s="314" t="s">
        <v>203</v>
      </c>
      <c r="QPK16" s="314" t="s">
        <v>203</v>
      </c>
      <c r="QPL16" s="314" t="s">
        <v>203</v>
      </c>
      <c r="QPM16" s="314" t="s">
        <v>203</v>
      </c>
      <c r="QPN16" s="314" t="s">
        <v>203</v>
      </c>
      <c r="QPO16" s="314" t="s">
        <v>203</v>
      </c>
      <c r="QPP16" s="314" t="s">
        <v>203</v>
      </c>
      <c r="QPQ16" s="314" t="s">
        <v>203</v>
      </c>
      <c r="QPR16" s="314" t="s">
        <v>203</v>
      </c>
      <c r="QPS16" s="314" t="s">
        <v>203</v>
      </c>
      <c r="QPT16" s="314" t="s">
        <v>203</v>
      </c>
      <c r="QPU16" s="314" t="s">
        <v>203</v>
      </c>
      <c r="QPV16" s="314" t="s">
        <v>203</v>
      </c>
      <c r="QPW16" s="314" t="s">
        <v>203</v>
      </c>
      <c r="QPX16" s="314" t="s">
        <v>203</v>
      </c>
      <c r="QPY16" s="314" t="s">
        <v>203</v>
      </c>
      <c r="QPZ16" s="314" t="s">
        <v>203</v>
      </c>
      <c r="QQA16" s="314" t="s">
        <v>203</v>
      </c>
      <c r="QQB16" s="314" t="s">
        <v>203</v>
      </c>
      <c r="QQC16" s="314" t="s">
        <v>203</v>
      </c>
      <c r="QQD16" s="314" t="s">
        <v>203</v>
      </c>
      <c r="QQE16" s="314" t="s">
        <v>203</v>
      </c>
      <c r="QQF16" s="314" t="s">
        <v>203</v>
      </c>
      <c r="QQG16" s="314" t="s">
        <v>203</v>
      </c>
      <c r="QQH16" s="314" t="s">
        <v>203</v>
      </c>
      <c r="QQI16" s="314" t="s">
        <v>203</v>
      </c>
      <c r="QQJ16" s="314" t="s">
        <v>203</v>
      </c>
      <c r="QQK16" s="314" t="s">
        <v>203</v>
      </c>
      <c r="QQL16" s="314" t="s">
        <v>203</v>
      </c>
      <c r="QQM16" s="314" t="s">
        <v>203</v>
      </c>
      <c r="QQN16" s="314" t="s">
        <v>203</v>
      </c>
      <c r="QQO16" s="314" t="s">
        <v>203</v>
      </c>
      <c r="QQP16" s="314" t="s">
        <v>203</v>
      </c>
      <c r="QQQ16" s="314" t="s">
        <v>203</v>
      </c>
      <c r="QQR16" s="314" t="s">
        <v>203</v>
      </c>
      <c r="QQS16" s="314" t="s">
        <v>203</v>
      </c>
      <c r="QQT16" s="314" t="s">
        <v>203</v>
      </c>
      <c r="QQU16" s="314" t="s">
        <v>203</v>
      </c>
      <c r="QQV16" s="314" t="s">
        <v>203</v>
      </c>
      <c r="QQW16" s="314" t="s">
        <v>203</v>
      </c>
      <c r="QQX16" s="314" t="s">
        <v>203</v>
      </c>
      <c r="QQY16" s="314" t="s">
        <v>203</v>
      </c>
      <c r="QQZ16" s="314" t="s">
        <v>203</v>
      </c>
      <c r="QRA16" s="314" t="s">
        <v>203</v>
      </c>
      <c r="QRB16" s="314" t="s">
        <v>203</v>
      </c>
      <c r="QRC16" s="314" t="s">
        <v>203</v>
      </c>
      <c r="QRD16" s="314" t="s">
        <v>203</v>
      </c>
      <c r="QRE16" s="314" t="s">
        <v>203</v>
      </c>
      <c r="QRF16" s="314" t="s">
        <v>203</v>
      </c>
      <c r="QRG16" s="314" t="s">
        <v>203</v>
      </c>
      <c r="QRH16" s="314" t="s">
        <v>203</v>
      </c>
      <c r="QRI16" s="314" t="s">
        <v>203</v>
      </c>
      <c r="QRJ16" s="314" t="s">
        <v>203</v>
      </c>
      <c r="QRK16" s="314" t="s">
        <v>203</v>
      </c>
      <c r="QRL16" s="314" t="s">
        <v>203</v>
      </c>
      <c r="QRM16" s="314" t="s">
        <v>203</v>
      </c>
      <c r="QRN16" s="314" t="s">
        <v>203</v>
      </c>
      <c r="QRO16" s="314" t="s">
        <v>203</v>
      </c>
      <c r="QRP16" s="314" t="s">
        <v>203</v>
      </c>
      <c r="QRQ16" s="314" t="s">
        <v>203</v>
      </c>
      <c r="QRR16" s="314" t="s">
        <v>203</v>
      </c>
      <c r="QRS16" s="314" t="s">
        <v>203</v>
      </c>
      <c r="QRT16" s="314" t="s">
        <v>203</v>
      </c>
      <c r="QRU16" s="314" t="s">
        <v>203</v>
      </c>
      <c r="QRV16" s="314" t="s">
        <v>203</v>
      </c>
      <c r="QRW16" s="314" t="s">
        <v>203</v>
      </c>
      <c r="QRX16" s="314" t="s">
        <v>203</v>
      </c>
      <c r="QRY16" s="314" t="s">
        <v>203</v>
      </c>
      <c r="QRZ16" s="314" t="s">
        <v>203</v>
      </c>
      <c r="QSA16" s="314" t="s">
        <v>203</v>
      </c>
      <c r="QSB16" s="314" t="s">
        <v>203</v>
      </c>
      <c r="QSC16" s="314" t="s">
        <v>203</v>
      </c>
      <c r="QSD16" s="314" t="s">
        <v>203</v>
      </c>
      <c r="QSE16" s="314" t="s">
        <v>203</v>
      </c>
      <c r="QSF16" s="314" t="s">
        <v>203</v>
      </c>
      <c r="QSG16" s="314" t="s">
        <v>203</v>
      </c>
      <c r="QSH16" s="314" t="s">
        <v>203</v>
      </c>
      <c r="QSI16" s="314" t="s">
        <v>203</v>
      </c>
      <c r="QSJ16" s="314" t="s">
        <v>203</v>
      </c>
      <c r="QSK16" s="314" t="s">
        <v>203</v>
      </c>
      <c r="QSL16" s="314" t="s">
        <v>203</v>
      </c>
      <c r="QSM16" s="314" t="s">
        <v>203</v>
      </c>
      <c r="QSN16" s="314" t="s">
        <v>203</v>
      </c>
      <c r="QSO16" s="314" t="s">
        <v>203</v>
      </c>
      <c r="QSP16" s="314" t="s">
        <v>203</v>
      </c>
      <c r="QSQ16" s="314" t="s">
        <v>203</v>
      </c>
      <c r="QSR16" s="314" t="s">
        <v>203</v>
      </c>
      <c r="QSS16" s="314" t="s">
        <v>203</v>
      </c>
      <c r="QST16" s="314" t="s">
        <v>203</v>
      </c>
      <c r="QSU16" s="314" t="s">
        <v>203</v>
      </c>
      <c r="QSV16" s="314" t="s">
        <v>203</v>
      </c>
      <c r="QSW16" s="314" t="s">
        <v>203</v>
      </c>
      <c r="QSX16" s="314" t="s">
        <v>203</v>
      </c>
      <c r="QSY16" s="314" t="s">
        <v>203</v>
      </c>
      <c r="QSZ16" s="314" t="s">
        <v>203</v>
      </c>
      <c r="QTA16" s="314" t="s">
        <v>203</v>
      </c>
      <c r="QTB16" s="314" t="s">
        <v>203</v>
      </c>
      <c r="QTC16" s="314" t="s">
        <v>203</v>
      </c>
      <c r="QTD16" s="314" t="s">
        <v>203</v>
      </c>
      <c r="QTE16" s="314" t="s">
        <v>203</v>
      </c>
      <c r="QTF16" s="314" t="s">
        <v>203</v>
      </c>
      <c r="QTG16" s="314" t="s">
        <v>203</v>
      </c>
      <c r="QTH16" s="314" t="s">
        <v>203</v>
      </c>
      <c r="QTI16" s="314" t="s">
        <v>203</v>
      </c>
      <c r="QTJ16" s="314" t="s">
        <v>203</v>
      </c>
      <c r="QTK16" s="314" t="s">
        <v>203</v>
      </c>
      <c r="QTL16" s="314" t="s">
        <v>203</v>
      </c>
      <c r="QTM16" s="314" t="s">
        <v>203</v>
      </c>
      <c r="QTN16" s="314" t="s">
        <v>203</v>
      </c>
      <c r="QTO16" s="314" t="s">
        <v>203</v>
      </c>
      <c r="QTP16" s="314" t="s">
        <v>203</v>
      </c>
      <c r="QTQ16" s="314" t="s">
        <v>203</v>
      </c>
      <c r="QTR16" s="314" t="s">
        <v>203</v>
      </c>
      <c r="QTS16" s="314" t="s">
        <v>203</v>
      </c>
      <c r="QTT16" s="314" t="s">
        <v>203</v>
      </c>
      <c r="QTU16" s="314" t="s">
        <v>203</v>
      </c>
      <c r="QTV16" s="314" t="s">
        <v>203</v>
      </c>
      <c r="QTW16" s="314" t="s">
        <v>203</v>
      </c>
      <c r="QTX16" s="314" t="s">
        <v>203</v>
      </c>
      <c r="QTY16" s="314" t="s">
        <v>203</v>
      </c>
      <c r="QTZ16" s="314" t="s">
        <v>203</v>
      </c>
      <c r="QUA16" s="314" t="s">
        <v>203</v>
      </c>
      <c r="QUB16" s="314" t="s">
        <v>203</v>
      </c>
      <c r="QUC16" s="314" t="s">
        <v>203</v>
      </c>
      <c r="QUD16" s="314" t="s">
        <v>203</v>
      </c>
      <c r="QUE16" s="314" t="s">
        <v>203</v>
      </c>
      <c r="QUF16" s="314" t="s">
        <v>203</v>
      </c>
      <c r="QUG16" s="314" t="s">
        <v>203</v>
      </c>
      <c r="QUH16" s="314" t="s">
        <v>203</v>
      </c>
      <c r="QUI16" s="314" t="s">
        <v>203</v>
      </c>
      <c r="QUJ16" s="314" t="s">
        <v>203</v>
      </c>
      <c r="QUK16" s="314" t="s">
        <v>203</v>
      </c>
      <c r="QUL16" s="314" t="s">
        <v>203</v>
      </c>
      <c r="QUM16" s="314" t="s">
        <v>203</v>
      </c>
      <c r="QUN16" s="314" t="s">
        <v>203</v>
      </c>
      <c r="QUO16" s="314" t="s">
        <v>203</v>
      </c>
      <c r="QUP16" s="314" t="s">
        <v>203</v>
      </c>
      <c r="QUQ16" s="314" t="s">
        <v>203</v>
      </c>
      <c r="QUR16" s="314" t="s">
        <v>203</v>
      </c>
      <c r="QUS16" s="314" t="s">
        <v>203</v>
      </c>
      <c r="QUT16" s="314" t="s">
        <v>203</v>
      </c>
      <c r="QUU16" s="314" t="s">
        <v>203</v>
      </c>
      <c r="QUV16" s="314" t="s">
        <v>203</v>
      </c>
      <c r="QUW16" s="314" t="s">
        <v>203</v>
      </c>
      <c r="QUX16" s="314" t="s">
        <v>203</v>
      </c>
      <c r="QUY16" s="314" t="s">
        <v>203</v>
      </c>
      <c r="QUZ16" s="314" t="s">
        <v>203</v>
      </c>
      <c r="QVA16" s="314" t="s">
        <v>203</v>
      </c>
      <c r="QVB16" s="314" t="s">
        <v>203</v>
      </c>
      <c r="QVC16" s="314" t="s">
        <v>203</v>
      </c>
      <c r="QVD16" s="314" t="s">
        <v>203</v>
      </c>
      <c r="QVE16" s="314" t="s">
        <v>203</v>
      </c>
      <c r="QVF16" s="314" t="s">
        <v>203</v>
      </c>
      <c r="QVG16" s="314" t="s">
        <v>203</v>
      </c>
      <c r="QVH16" s="314" t="s">
        <v>203</v>
      </c>
      <c r="QVI16" s="314" t="s">
        <v>203</v>
      </c>
      <c r="QVJ16" s="314" t="s">
        <v>203</v>
      </c>
      <c r="QVK16" s="314" t="s">
        <v>203</v>
      </c>
      <c r="QVL16" s="314" t="s">
        <v>203</v>
      </c>
      <c r="QVM16" s="314" t="s">
        <v>203</v>
      </c>
      <c r="QVN16" s="314" t="s">
        <v>203</v>
      </c>
      <c r="QVO16" s="314" t="s">
        <v>203</v>
      </c>
      <c r="QVP16" s="314" t="s">
        <v>203</v>
      </c>
      <c r="QVQ16" s="314" t="s">
        <v>203</v>
      </c>
      <c r="QVR16" s="314" t="s">
        <v>203</v>
      </c>
      <c r="QVS16" s="314" t="s">
        <v>203</v>
      </c>
      <c r="QVT16" s="314" t="s">
        <v>203</v>
      </c>
      <c r="QVU16" s="314" t="s">
        <v>203</v>
      </c>
      <c r="QVV16" s="314" t="s">
        <v>203</v>
      </c>
      <c r="QVW16" s="314" t="s">
        <v>203</v>
      </c>
      <c r="QVX16" s="314" t="s">
        <v>203</v>
      </c>
      <c r="QVY16" s="314" t="s">
        <v>203</v>
      </c>
      <c r="QVZ16" s="314" t="s">
        <v>203</v>
      </c>
      <c r="QWA16" s="314" t="s">
        <v>203</v>
      </c>
      <c r="QWB16" s="314" t="s">
        <v>203</v>
      </c>
      <c r="QWC16" s="314" t="s">
        <v>203</v>
      </c>
      <c r="QWD16" s="314" t="s">
        <v>203</v>
      </c>
      <c r="QWE16" s="314" t="s">
        <v>203</v>
      </c>
      <c r="QWF16" s="314" t="s">
        <v>203</v>
      </c>
      <c r="QWG16" s="314" t="s">
        <v>203</v>
      </c>
      <c r="QWH16" s="314" t="s">
        <v>203</v>
      </c>
      <c r="QWI16" s="314" t="s">
        <v>203</v>
      </c>
      <c r="QWJ16" s="314" t="s">
        <v>203</v>
      </c>
      <c r="QWK16" s="314" t="s">
        <v>203</v>
      </c>
      <c r="QWL16" s="314" t="s">
        <v>203</v>
      </c>
      <c r="QWM16" s="314" t="s">
        <v>203</v>
      </c>
      <c r="QWN16" s="314" t="s">
        <v>203</v>
      </c>
      <c r="QWO16" s="314" t="s">
        <v>203</v>
      </c>
      <c r="QWP16" s="314" t="s">
        <v>203</v>
      </c>
      <c r="QWQ16" s="314" t="s">
        <v>203</v>
      </c>
      <c r="QWR16" s="314" t="s">
        <v>203</v>
      </c>
      <c r="QWS16" s="314" t="s">
        <v>203</v>
      </c>
      <c r="QWT16" s="314" t="s">
        <v>203</v>
      </c>
      <c r="QWU16" s="314" t="s">
        <v>203</v>
      </c>
      <c r="QWV16" s="314" t="s">
        <v>203</v>
      </c>
      <c r="QWW16" s="314" t="s">
        <v>203</v>
      </c>
      <c r="QWX16" s="314" t="s">
        <v>203</v>
      </c>
      <c r="QWY16" s="314" t="s">
        <v>203</v>
      </c>
      <c r="QWZ16" s="314" t="s">
        <v>203</v>
      </c>
      <c r="QXA16" s="314" t="s">
        <v>203</v>
      </c>
      <c r="QXB16" s="314" t="s">
        <v>203</v>
      </c>
      <c r="QXC16" s="314" t="s">
        <v>203</v>
      </c>
      <c r="QXD16" s="314" t="s">
        <v>203</v>
      </c>
      <c r="QXE16" s="314" t="s">
        <v>203</v>
      </c>
      <c r="QXF16" s="314" t="s">
        <v>203</v>
      </c>
      <c r="QXG16" s="314" t="s">
        <v>203</v>
      </c>
      <c r="QXH16" s="314" t="s">
        <v>203</v>
      </c>
      <c r="QXI16" s="314" t="s">
        <v>203</v>
      </c>
      <c r="QXJ16" s="314" t="s">
        <v>203</v>
      </c>
      <c r="QXK16" s="314" t="s">
        <v>203</v>
      </c>
      <c r="QXL16" s="314" t="s">
        <v>203</v>
      </c>
      <c r="QXM16" s="314" t="s">
        <v>203</v>
      </c>
      <c r="QXN16" s="314" t="s">
        <v>203</v>
      </c>
      <c r="QXO16" s="314" t="s">
        <v>203</v>
      </c>
      <c r="QXP16" s="314" t="s">
        <v>203</v>
      </c>
      <c r="QXQ16" s="314" t="s">
        <v>203</v>
      </c>
      <c r="QXR16" s="314" t="s">
        <v>203</v>
      </c>
      <c r="QXS16" s="314" t="s">
        <v>203</v>
      </c>
      <c r="QXT16" s="314" t="s">
        <v>203</v>
      </c>
      <c r="QXU16" s="314" t="s">
        <v>203</v>
      </c>
      <c r="QXV16" s="314" t="s">
        <v>203</v>
      </c>
      <c r="QXW16" s="314" t="s">
        <v>203</v>
      </c>
      <c r="QXX16" s="314" t="s">
        <v>203</v>
      </c>
      <c r="QXY16" s="314" t="s">
        <v>203</v>
      </c>
      <c r="QXZ16" s="314" t="s">
        <v>203</v>
      </c>
      <c r="QYA16" s="314" t="s">
        <v>203</v>
      </c>
      <c r="QYB16" s="314" t="s">
        <v>203</v>
      </c>
      <c r="QYC16" s="314" t="s">
        <v>203</v>
      </c>
      <c r="QYD16" s="314" t="s">
        <v>203</v>
      </c>
      <c r="QYE16" s="314" t="s">
        <v>203</v>
      </c>
      <c r="QYF16" s="314" t="s">
        <v>203</v>
      </c>
      <c r="QYG16" s="314" t="s">
        <v>203</v>
      </c>
      <c r="QYH16" s="314" t="s">
        <v>203</v>
      </c>
      <c r="QYI16" s="314" t="s">
        <v>203</v>
      </c>
      <c r="QYJ16" s="314" t="s">
        <v>203</v>
      </c>
      <c r="QYK16" s="314" t="s">
        <v>203</v>
      </c>
      <c r="QYL16" s="314" t="s">
        <v>203</v>
      </c>
      <c r="QYM16" s="314" t="s">
        <v>203</v>
      </c>
      <c r="QYN16" s="314" t="s">
        <v>203</v>
      </c>
      <c r="QYO16" s="314" t="s">
        <v>203</v>
      </c>
      <c r="QYP16" s="314" t="s">
        <v>203</v>
      </c>
      <c r="QYQ16" s="314" t="s">
        <v>203</v>
      </c>
      <c r="QYR16" s="314" t="s">
        <v>203</v>
      </c>
      <c r="QYS16" s="314" t="s">
        <v>203</v>
      </c>
      <c r="QYT16" s="314" t="s">
        <v>203</v>
      </c>
      <c r="QYU16" s="314" t="s">
        <v>203</v>
      </c>
      <c r="QYV16" s="314" t="s">
        <v>203</v>
      </c>
      <c r="QYW16" s="314" t="s">
        <v>203</v>
      </c>
      <c r="QYX16" s="314" t="s">
        <v>203</v>
      </c>
      <c r="QYY16" s="314" t="s">
        <v>203</v>
      </c>
      <c r="QYZ16" s="314" t="s">
        <v>203</v>
      </c>
      <c r="QZA16" s="314" t="s">
        <v>203</v>
      </c>
      <c r="QZB16" s="314" t="s">
        <v>203</v>
      </c>
      <c r="QZC16" s="314" t="s">
        <v>203</v>
      </c>
      <c r="QZD16" s="314" t="s">
        <v>203</v>
      </c>
      <c r="QZE16" s="314" t="s">
        <v>203</v>
      </c>
      <c r="QZF16" s="314" t="s">
        <v>203</v>
      </c>
      <c r="QZG16" s="314" t="s">
        <v>203</v>
      </c>
      <c r="QZH16" s="314" t="s">
        <v>203</v>
      </c>
      <c r="QZI16" s="314" t="s">
        <v>203</v>
      </c>
      <c r="QZJ16" s="314" t="s">
        <v>203</v>
      </c>
      <c r="QZK16" s="314" t="s">
        <v>203</v>
      </c>
      <c r="QZL16" s="314" t="s">
        <v>203</v>
      </c>
      <c r="QZM16" s="314" t="s">
        <v>203</v>
      </c>
      <c r="QZN16" s="314" t="s">
        <v>203</v>
      </c>
      <c r="QZO16" s="314" t="s">
        <v>203</v>
      </c>
      <c r="QZP16" s="314" t="s">
        <v>203</v>
      </c>
      <c r="QZQ16" s="314" t="s">
        <v>203</v>
      </c>
      <c r="QZR16" s="314" t="s">
        <v>203</v>
      </c>
      <c r="QZS16" s="314" t="s">
        <v>203</v>
      </c>
      <c r="QZT16" s="314" t="s">
        <v>203</v>
      </c>
      <c r="QZU16" s="314" t="s">
        <v>203</v>
      </c>
      <c r="QZV16" s="314" t="s">
        <v>203</v>
      </c>
      <c r="QZW16" s="314" t="s">
        <v>203</v>
      </c>
      <c r="QZX16" s="314" t="s">
        <v>203</v>
      </c>
      <c r="QZY16" s="314" t="s">
        <v>203</v>
      </c>
      <c r="QZZ16" s="314" t="s">
        <v>203</v>
      </c>
      <c r="RAA16" s="314" t="s">
        <v>203</v>
      </c>
      <c r="RAB16" s="314" t="s">
        <v>203</v>
      </c>
      <c r="RAC16" s="314" t="s">
        <v>203</v>
      </c>
      <c r="RAD16" s="314" t="s">
        <v>203</v>
      </c>
      <c r="RAE16" s="314" t="s">
        <v>203</v>
      </c>
      <c r="RAF16" s="314" t="s">
        <v>203</v>
      </c>
      <c r="RAG16" s="314" t="s">
        <v>203</v>
      </c>
      <c r="RAH16" s="314" t="s">
        <v>203</v>
      </c>
      <c r="RAI16" s="314" t="s">
        <v>203</v>
      </c>
      <c r="RAJ16" s="314" t="s">
        <v>203</v>
      </c>
      <c r="RAK16" s="314" t="s">
        <v>203</v>
      </c>
      <c r="RAL16" s="314" t="s">
        <v>203</v>
      </c>
      <c r="RAM16" s="314" t="s">
        <v>203</v>
      </c>
      <c r="RAN16" s="314" t="s">
        <v>203</v>
      </c>
      <c r="RAO16" s="314" t="s">
        <v>203</v>
      </c>
      <c r="RAP16" s="314" t="s">
        <v>203</v>
      </c>
      <c r="RAQ16" s="314" t="s">
        <v>203</v>
      </c>
      <c r="RAR16" s="314" t="s">
        <v>203</v>
      </c>
      <c r="RAS16" s="314" t="s">
        <v>203</v>
      </c>
      <c r="RAT16" s="314" t="s">
        <v>203</v>
      </c>
      <c r="RAU16" s="314" t="s">
        <v>203</v>
      </c>
      <c r="RAV16" s="314" t="s">
        <v>203</v>
      </c>
      <c r="RAW16" s="314" t="s">
        <v>203</v>
      </c>
      <c r="RAX16" s="314" t="s">
        <v>203</v>
      </c>
      <c r="RAY16" s="314" t="s">
        <v>203</v>
      </c>
      <c r="RAZ16" s="314" t="s">
        <v>203</v>
      </c>
      <c r="RBA16" s="314" t="s">
        <v>203</v>
      </c>
      <c r="RBB16" s="314" t="s">
        <v>203</v>
      </c>
      <c r="RBC16" s="314" t="s">
        <v>203</v>
      </c>
      <c r="RBD16" s="314" t="s">
        <v>203</v>
      </c>
      <c r="RBE16" s="314" t="s">
        <v>203</v>
      </c>
      <c r="RBF16" s="314" t="s">
        <v>203</v>
      </c>
      <c r="RBG16" s="314" t="s">
        <v>203</v>
      </c>
      <c r="RBH16" s="314" t="s">
        <v>203</v>
      </c>
      <c r="RBI16" s="314" t="s">
        <v>203</v>
      </c>
      <c r="RBJ16" s="314" t="s">
        <v>203</v>
      </c>
      <c r="RBK16" s="314" t="s">
        <v>203</v>
      </c>
      <c r="RBL16" s="314" t="s">
        <v>203</v>
      </c>
      <c r="RBM16" s="314" t="s">
        <v>203</v>
      </c>
      <c r="RBN16" s="314" t="s">
        <v>203</v>
      </c>
      <c r="RBO16" s="314" t="s">
        <v>203</v>
      </c>
      <c r="RBP16" s="314" t="s">
        <v>203</v>
      </c>
      <c r="RBQ16" s="314" t="s">
        <v>203</v>
      </c>
      <c r="RBR16" s="314" t="s">
        <v>203</v>
      </c>
      <c r="RBS16" s="314" t="s">
        <v>203</v>
      </c>
      <c r="RBT16" s="314" t="s">
        <v>203</v>
      </c>
      <c r="RBU16" s="314" t="s">
        <v>203</v>
      </c>
      <c r="RBV16" s="314" t="s">
        <v>203</v>
      </c>
      <c r="RBW16" s="314" t="s">
        <v>203</v>
      </c>
      <c r="RBX16" s="314" t="s">
        <v>203</v>
      </c>
      <c r="RBY16" s="314" t="s">
        <v>203</v>
      </c>
      <c r="RBZ16" s="314" t="s">
        <v>203</v>
      </c>
      <c r="RCA16" s="314" t="s">
        <v>203</v>
      </c>
      <c r="RCB16" s="314" t="s">
        <v>203</v>
      </c>
      <c r="RCC16" s="314" t="s">
        <v>203</v>
      </c>
      <c r="RCD16" s="314" t="s">
        <v>203</v>
      </c>
      <c r="RCE16" s="314" t="s">
        <v>203</v>
      </c>
      <c r="RCF16" s="314" t="s">
        <v>203</v>
      </c>
      <c r="RCG16" s="314" t="s">
        <v>203</v>
      </c>
      <c r="RCH16" s="314" t="s">
        <v>203</v>
      </c>
      <c r="RCI16" s="314" t="s">
        <v>203</v>
      </c>
      <c r="RCJ16" s="314" t="s">
        <v>203</v>
      </c>
      <c r="RCK16" s="314" t="s">
        <v>203</v>
      </c>
      <c r="RCL16" s="314" t="s">
        <v>203</v>
      </c>
      <c r="RCM16" s="314" t="s">
        <v>203</v>
      </c>
      <c r="RCN16" s="314" t="s">
        <v>203</v>
      </c>
      <c r="RCO16" s="314" t="s">
        <v>203</v>
      </c>
      <c r="RCP16" s="314" t="s">
        <v>203</v>
      </c>
      <c r="RCQ16" s="314" t="s">
        <v>203</v>
      </c>
      <c r="RCR16" s="314" t="s">
        <v>203</v>
      </c>
      <c r="RCS16" s="314" t="s">
        <v>203</v>
      </c>
      <c r="RCT16" s="314" t="s">
        <v>203</v>
      </c>
      <c r="RCU16" s="314" t="s">
        <v>203</v>
      </c>
      <c r="RCV16" s="314" t="s">
        <v>203</v>
      </c>
      <c r="RCW16" s="314" t="s">
        <v>203</v>
      </c>
      <c r="RCX16" s="314" t="s">
        <v>203</v>
      </c>
      <c r="RCY16" s="314" t="s">
        <v>203</v>
      </c>
      <c r="RCZ16" s="314" t="s">
        <v>203</v>
      </c>
      <c r="RDA16" s="314" t="s">
        <v>203</v>
      </c>
      <c r="RDB16" s="314" t="s">
        <v>203</v>
      </c>
      <c r="RDC16" s="314" t="s">
        <v>203</v>
      </c>
      <c r="RDD16" s="314" t="s">
        <v>203</v>
      </c>
      <c r="RDE16" s="314" t="s">
        <v>203</v>
      </c>
      <c r="RDF16" s="314" t="s">
        <v>203</v>
      </c>
      <c r="RDG16" s="314" t="s">
        <v>203</v>
      </c>
      <c r="RDH16" s="314" t="s">
        <v>203</v>
      </c>
      <c r="RDI16" s="314" t="s">
        <v>203</v>
      </c>
      <c r="RDJ16" s="314" t="s">
        <v>203</v>
      </c>
      <c r="RDK16" s="314" t="s">
        <v>203</v>
      </c>
      <c r="RDL16" s="314" t="s">
        <v>203</v>
      </c>
      <c r="RDM16" s="314" t="s">
        <v>203</v>
      </c>
      <c r="RDN16" s="314" t="s">
        <v>203</v>
      </c>
      <c r="RDO16" s="314" t="s">
        <v>203</v>
      </c>
      <c r="RDP16" s="314" t="s">
        <v>203</v>
      </c>
      <c r="RDQ16" s="314" t="s">
        <v>203</v>
      </c>
      <c r="RDR16" s="314" t="s">
        <v>203</v>
      </c>
      <c r="RDS16" s="314" t="s">
        <v>203</v>
      </c>
      <c r="RDT16" s="314" t="s">
        <v>203</v>
      </c>
      <c r="RDU16" s="314" t="s">
        <v>203</v>
      </c>
      <c r="RDV16" s="314" t="s">
        <v>203</v>
      </c>
      <c r="RDW16" s="314" t="s">
        <v>203</v>
      </c>
      <c r="RDX16" s="314" t="s">
        <v>203</v>
      </c>
      <c r="RDY16" s="314" t="s">
        <v>203</v>
      </c>
      <c r="RDZ16" s="314" t="s">
        <v>203</v>
      </c>
      <c r="REA16" s="314" t="s">
        <v>203</v>
      </c>
      <c r="REB16" s="314" t="s">
        <v>203</v>
      </c>
      <c r="REC16" s="314" t="s">
        <v>203</v>
      </c>
      <c r="RED16" s="314" t="s">
        <v>203</v>
      </c>
      <c r="REE16" s="314" t="s">
        <v>203</v>
      </c>
      <c r="REF16" s="314" t="s">
        <v>203</v>
      </c>
      <c r="REG16" s="314" t="s">
        <v>203</v>
      </c>
      <c r="REH16" s="314" t="s">
        <v>203</v>
      </c>
      <c r="REI16" s="314" t="s">
        <v>203</v>
      </c>
      <c r="REJ16" s="314" t="s">
        <v>203</v>
      </c>
      <c r="REK16" s="314" t="s">
        <v>203</v>
      </c>
      <c r="REL16" s="314" t="s">
        <v>203</v>
      </c>
      <c r="REM16" s="314" t="s">
        <v>203</v>
      </c>
      <c r="REN16" s="314" t="s">
        <v>203</v>
      </c>
      <c r="REO16" s="314" t="s">
        <v>203</v>
      </c>
      <c r="REP16" s="314" t="s">
        <v>203</v>
      </c>
      <c r="REQ16" s="314" t="s">
        <v>203</v>
      </c>
      <c r="RER16" s="314" t="s">
        <v>203</v>
      </c>
      <c r="RES16" s="314" t="s">
        <v>203</v>
      </c>
      <c r="RET16" s="314" t="s">
        <v>203</v>
      </c>
      <c r="REU16" s="314" t="s">
        <v>203</v>
      </c>
      <c r="REV16" s="314" t="s">
        <v>203</v>
      </c>
      <c r="REW16" s="314" t="s">
        <v>203</v>
      </c>
      <c r="REX16" s="314" t="s">
        <v>203</v>
      </c>
      <c r="REY16" s="314" t="s">
        <v>203</v>
      </c>
      <c r="REZ16" s="314" t="s">
        <v>203</v>
      </c>
      <c r="RFA16" s="314" t="s">
        <v>203</v>
      </c>
      <c r="RFB16" s="314" t="s">
        <v>203</v>
      </c>
      <c r="RFC16" s="314" t="s">
        <v>203</v>
      </c>
      <c r="RFD16" s="314" t="s">
        <v>203</v>
      </c>
      <c r="RFE16" s="314" t="s">
        <v>203</v>
      </c>
      <c r="RFF16" s="314" t="s">
        <v>203</v>
      </c>
      <c r="RFG16" s="314" t="s">
        <v>203</v>
      </c>
      <c r="RFH16" s="314" t="s">
        <v>203</v>
      </c>
      <c r="RFI16" s="314" t="s">
        <v>203</v>
      </c>
      <c r="RFJ16" s="314" t="s">
        <v>203</v>
      </c>
      <c r="RFK16" s="314" t="s">
        <v>203</v>
      </c>
      <c r="RFL16" s="314" t="s">
        <v>203</v>
      </c>
      <c r="RFM16" s="314" t="s">
        <v>203</v>
      </c>
      <c r="RFN16" s="314" t="s">
        <v>203</v>
      </c>
      <c r="RFO16" s="314" t="s">
        <v>203</v>
      </c>
      <c r="RFP16" s="314" t="s">
        <v>203</v>
      </c>
      <c r="RFQ16" s="314" t="s">
        <v>203</v>
      </c>
      <c r="RFR16" s="314" t="s">
        <v>203</v>
      </c>
      <c r="RFS16" s="314" t="s">
        <v>203</v>
      </c>
      <c r="RFT16" s="314" t="s">
        <v>203</v>
      </c>
      <c r="RFU16" s="314" t="s">
        <v>203</v>
      </c>
      <c r="RFV16" s="314" t="s">
        <v>203</v>
      </c>
      <c r="RFW16" s="314" t="s">
        <v>203</v>
      </c>
      <c r="RFX16" s="314" t="s">
        <v>203</v>
      </c>
      <c r="RFY16" s="314" t="s">
        <v>203</v>
      </c>
      <c r="RFZ16" s="314" t="s">
        <v>203</v>
      </c>
      <c r="RGA16" s="314" t="s">
        <v>203</v>
      </c>
      <c r="RGB16" s="314" t="s">
        <v>203</v>
      </c>
      <c r="RGC16" s="314" t="s">
        <v>203</v>
      </c>
      <c r="RGD16" s="314" t="s">
        <v>203</v>
      </c>
      <c r="RGE16" s="314" t="s">
        <v>203</v>
      </c>
      <c r="RGF16" s="314" t="s">
        <v>203</v>
      </c>
      <c r="RGG16" s="314" t="s">
        <v>203</v>
      </c>
      <c r="RGH16" s="314" t="s">
        <v>203</v>
      </c>
      <c r="RGI16" s="314" t="s">
        <v>203</v>
      </c>
      <c r="RGJ16" s="314" t="s">
        <v>203</v>
      </c>
      <c r="RGK16" s="314" t="s">
        <v>203</v>
      </c>
      <c r="RGL16" s="314" t="s">
        <v>203</v>
      </c>
      <c r="RGM16" s="314" t="s">
        <v>203</v>
      </c>
      <c r="RGN16" s="314" t="s">
        <v>203</v>
      </c>
      <c r="RGO16" s="314" t="s">
        <v>203</v>
      </c>
      <c r="RGP16" s="314" t="s">
        <v>203</v>
      </c>
      <c r="RGQ16" s="314" t="s">
        <v>203</v>
      </c>
      <c r="RGR16" s="314" t="s">
        <v>203</v>
      </c>
      <c r="RGS16" s="314" t="s">
        <v>203</v>
      </c>
      <c r="RGT16" s="314" t="s">
        <v>203</v>
      </c>
      <c r="RGU16" s="314" t="s">
        <v>203</v>
      </c>
      <c r="RGV16" s="314" t="s">
        <v>203</v>
      </c>
      <c r="RGW16" s="314" t="s">
        <v>203</v>
      </c>
      <c r="RGX16" s="314" t="s">
        <v>203</v>
      </c>
      <c r="RGY16" s="314" t="s">
        <v>203</v>
      </c>
      <c r="RGZ16" s="314" t="s">
        <v>203</v>
      </c>
      <c r="RHA16" s="314" t="s">
        <v>203</v>
      </c>
      <c r="RHB16" s="314" t="s">
        <v>203</v>
      </c>
      <c r="RHC16" s="314" t="s">
        <v>203</v>
      </c>
      <c r="RHD16" s="314" t="s">
        <v>203</v>
      </c>
      <c r="RHE16" s="314" t="s">
        <v>203</v>
      </c>
      <c r="RHF16" s="314" t="s">
        <v>203</v>
      </c>
      <c r="RHG16" s="314" t="s">
        <v>203</v>
      </c>
      <c r="RHH16" s="314" t="s">
        <v>203</v>
      </c>
      <c r="RHI16" s="314" t="s">
        <v>203</v>
      </c>
      <c r="RHJ16" s="314" t="s">
        <v>203</v>
      </c>
      <c r="RHK16" s="314" t="s">
        <v>203</v>
      </c>
      <c r="RHL16" s="314" t="s">
        <v>203</v>
      </c>
      <c r="RHM16" s="314" t="s">
        <v>203</v>
      </c>
      <c r="RHN16" s="314" t="s">
        <v>203</v>
      </c>
      <c r="RHO16" s="314" t="s">
        <v>203</v>
      </c>
      <c r="RHP16" s="314" t="s">
        <v>203</v>
      </c>
      <c r="RHQ16" s="314" t="s">
        <v>203</v>
      </c>
      <c r="RHR16" s="314" t="s">
        <v>203</v>
      </c>
      <c r="RHS16" s="314" t="s">
        <v>203</v>
      </c>
      <c r="RHT16" s="314" t="s">
        <v>203</v>
      </c>
      <c r="RHU16" s="314" t="s">
        <v>203</v>
      </c>
      <c r="RHV16" s="314" t="s">
        <v>203</v>
      </c>
      <c r="RHW16" s="314" t="s">
        <v>203</v>
      </c>
      <c r="RHX16" s="314" t="s">
        <v>203</v>
      </c>
      <c r="RHY16" s="314" t="s">
        <v>203</v>
      </c>
      <c r="RHZ16" s="314" t="s">
        <v>203</v>
      </c>
      <c r="RIA16" s="314" t="s">
        <v>203</v>
      </c>
      <c r="RIB16" s="314" t="s">
        <v>203</v>
      </c>
      <c r="RIC16" s="314" t="s">
        <v>203</v>
      </c>
      <c r="RID16" s="314" t="s">
        <v>203</v>
      </c>
      <c r="RIE16" s="314" t="s">
        <v>203</v>
      </c>
      <c r="RIF16" s="314" t="s">
        <v>203</v>
      </c>
      <c r="RIG16" s="314" t="s">
        <v>203</v>
      </c>
      <c r="RIH16" s="314" t="s">
        <v>203</v>
      </c>
      <c r="RII16" s="314" t="s">
        <v>203</v>
      </c>
      <c r="RIJ16" s="314" t="s">
        <v>203</v>
      </c>
      <c r="RIK16" s="314" t="s">
        <v>203</v>
      </c>
      <c r="RIL16" s="314" t="s">
        <v>203</v>
      </c>
      <c r="RIM16" s="314" t="s">
        <v>203</v>
      </c>
      <c r="RIN16" s="314" t="s">
        <v>203</v>
      </c>
      <c r="RIO16" s="314" t="s">
        <v>203</v>
      </c>
      <c r="RIP16" s="314" t="s">
        <v>203</v>
      </c>
      <c r="RIQ16" s="314" t="s">
        <v>203</v>
      </c>
      <c r="RIR16" s="314" t="s">
        <v>203</v>
      </c>
      <c r="RIS16" s="314" t="s">
        <v>203</v>
      </c>
      <c r="RIT16" s="314" t="s">
        <v>203</v>
      </c>
      <c r="RIU16" s="314" t="s">
        <v>203</v>
      </c>
      <c r="RIV16" s="314" t="s">
        <v>203</v>
      </c>
      <c r="RIW16" s="314" t="s">
        <v>203</v>
      </c>
      <c r="RIX16" s="314" t="s">
        <v>203</v>
      </c>
      <c r="RIY16" s="314" t="s">
        <v>203</v>
      </c>
      <c r="RIZ16" s="314" t="s">
        <v>203</v>
      </c>
      <c r="RJA16" s="314" t="s">
        <v>203</v>
      </c>
      <c r="RJB16" s="314" t="s">
        <v>203</v>
      </c>
      <c r="RJC16" s="314" t="s">
        <v>203</v>
      </c>
      <c r="RJD16" s="314" t="s">
        <v>203</v>
      </c>
      <c r="RJE16" s="314" t="s">
        <v>203</v>
      </c>
      <c r="RJF16" s="314" t="s">
        <v>203</v>
      </c>
      <c r="RJG16" s="314" t="s">
        <v>203</v>
      </c>
      <c r="RJH16" s="314" t="s">
        <v>203</v>
      </c>
      <c r="RJI16" s="314" t="s">
        <v>203</v>
      </c>
      <c r="RJJ16" s="314" t="s">
        <v>203</v>
      </c>
      <c r="RJK16" s="314" t="s">
        <v>203</v>
      </c>
      <c r="RJL16" s="314" t="s">
        <v>203</v>
      </c>
      <c r="RJM16" s="314" t="s">
        <v>203</v>
      </c>
      <c r="RJN16" s="314" t="s">
        <v>203</v>
      </c>
      <c r="RJO16" s="314" t="s">
        <v>203</v>
      </c>
      <c r="RJP16" s="314" t="s">
        <v>203</v>
      </c>
      <c r="RJQ16" s="314" t="s">
        <v>203</v>
      </c>
      <c r="RJR16" s="314" t="s">
        <v>203</v>
      </c>
      <c r="RJS16" s="314" t="s">
        <v>203</v>
      </c>
      <c r="RJT16" s="314" t="s">
        <v>203</v>
      </c>
      <c r="RJU16" s="314" t="s">
        <v>203</v>
      </c>
      <c r="RJV16" s="314" t="s">
        <v>203</v>
      </c>
      <c r="RJW16" s="314" t="s">
        <v>203</v>
      </c>
      <c r="RJX16" s="314" t="s">
        <v>203</v>
      </c>
      <c r="RJY16" s="314" t="s">
        <v>203</v>
      </c>
      <c r="RJZ16" s="314" t="s">
        <v>203</v>
      </c>
      <c r="RKA16" s="314" t="s">
        <v>203</v>
      </c>
      <c r="RKB16" s="314" t="s">
        <v>203</v>
      </c>
      <c r="RKC16" s="314" t="s">
        <v>203</v>
      </c>
      <c r="RKD16" s="314" t="s">
        <v>203</v>
      </c>
      <c r="RKE16" s="314" t="s">
        <v>203</v>
      </c>
      <c r="RKF16" s="314" t="s">
        <v>203</v>
      </c>
      <c r="RKG16" s="314" t="s">
        <v>203</v>
      </c>
      <c r="RKH16" s="314" t="s">
        <v>203</v>
      </c>
      <c r="RKI16" s="314" t="s">
        <v>203</v>
      </c>
      <c r="RKJ16" s="314" t="s">
        <v>203</v>
      </c>
      <c r="RKK16" s="314" t="s">
        <v>203</v>
      </c>
      <c r="RKL16" s="314" t="s">
        <v>203</v>
      </c>
      <c r="RKM16" s="314" t="s">
        <v>203</v>
      </c>
      <c r="RKN16" s="314" t="s">
        <v>203</v>
      </c>
      <c r="RKO16" s="314" t="s">
        <v>203</v>
      </c>
      <c r="RKP16" s="314" t="s">
        <v>203</v>
      </c>
      <c r="RKQ16" s="314" t="s">
        <v>203</v>
      </c>
      <c r="RKR16" s="314" t="s">
        <v>203</v>
      </c>
      <c r="RKS16" s="314" t="s">
        <v>203</v>
      </c>
      <c r="RKT16" s="314" t="s">
        <v>203</v>
      </c>
      <c r="RKU16" s="314" t="s">
        <v>203</v>
      </c>
      <c r="RKV16" s="314" t="s">
        <v>203</v>
      </c>
      <c r="RKW16" s="314" t="s">
        <v>203</v>
      </c>
      <c r="RKX16" s="314" t="s">
        <v>203</v>
      </c>
      <c r="RKY16" s="314" t="s">
        <v>203</v>
      </c>
      <c r="RKZ16" s="314" t="s">
        <v>203</v>
      </c>
      <c r="RLA16" s="314" t="s">
        <v>203</v>
      </c>
      <c r="RLB16" s="314" t="s">
        <v>203</v>
      </c>
      <c r="RLC16" s="314" t="s">
        <v>203</v>
      </c>
      <c r="RLD16" s="314" t="s">
        <v>203</v>
      </c>
      <c r="RLE16" s="314" t="s">
        <v>203</v>
      </c>
      <c r="RLF16" s="314" t="s">
        <v>203</v>
      </c>
      <c r="RLG16" s="314" t="s">
        <v>203</v>
      </c>
      <c r="RLH16" s="314" t="s">
        <v>203</v>
      </c>
      <c r="RLI16" s="314" t="s">
        <v>203</v>
      </c>
      <c r="RLJ16" s="314" t="s">
        <v>203</v>
      </c>
      <c r="RLK16" s="314" t="s">
        <v>203</v>
      </c>
      <c r="RLL16" s="314" t="s">
        <v>203</v>
      </c>
      <c r="RLM16" s="314" t="s">
        <v>203</v>
      </c>
      <c r="RLN16" s="314" t="s">
        <v>203</v>
      </c>
      <c r="RLO16" s="314" t="s">
        <v>203</v>
      </c>
      <c r="RLP16" s="314" t="s">
        <v>203</v>
      </c>
      <c r="RLQ16" s="314" t="s">
        <v>203</v>
      </c>
      <c r="RLR16" s="314" t="s">
        <v>203</v>
      </c>
      <c r="RLS16" s="314" t="s">
        <v>203</v>
      </c>
      <c r="RLT16" s="314" t="s">
        <v>203</v>
      </c>
      <c r="RLU16" s="314" t="s">
        <v>203</v>
      </c>
      <c r="RLV16" s="314" t="s">
        <v>203</v>
      </c>
      <c r="RLW16" s="314" t="s">
        <v>203</v>
      </c>
      <c r="RLX16" s="314" t="s">
        <v>203</v>
      </c>
      <c r="RLY16" s="314" t="s">
        <v>203</v>
      </c>
      <c r="RLZ16" s="314" t="s">
        <v>203</v>
      </c>
      <c r="RMA16" s="314" t="s">
        <v>203</v>
      </c>
      <c r="RMB16" s="314" t="s">
        <v>203</v>
      </c>
      <c r="RMC16" s="314" t="s">
        <v>203</v>
      </c>
      <c r="RMD16" s="314" t="s">
        <v>203</v>
      </c>
      <c r="RME16" s="314" t="s">
        <v>203</v>
      </c>
      <c r="RMF16" s="314" t="s">
        <v>203</v>
      </c>
      <c r="RMG16" s="314" t="s">
        <v>203</v>
      </c>
      <c r="RMH16" s="314" t="s">
        <v>203</v>
      </c>
      <c r="RMI16" s="314" t="s">
        <v>203</v>
      </c>
      <c r="RMJ16" s="314" t="s">
        <v>203</v>
      </c>
      <c r="RMK16" s="314" t="s">
        <v>203</v>
      </c>
      <c r="RML16" s="314" t="s">
        <v>203</v>
      </c>
      <c r="RMM16" s="314" t="s">
        <v>203</v>
      </c>
      <c r="RMN16" s="314" t="s">
        <v>203</v>
      </c>
      <c r="RMO16" s="314" t="s">
        <v>203</v>
      </c>
      <c r="RMP16" s="314" t="s">
        <v>203</v>
      </c>
      <c r="RMQ16" s="314" t="s">
        <v>203</v>
      </c>
      <c r="RMR16" s="314" t="s">
        <v>203</v>
      </c>
      <c r="RMS16" s="314" t="s">
        <v>203</v>
      </c>
      <c r="RMT16" s="314" t="s">
        <v>203</v>
      </c>
      <c r="RMU16" s="314" t="s">
        <v>203</v>
      </c>
      <c r="RMV16" s="314" t="s">
        <v>203</v>
      </c>
      <c r="RMW16" s="314" t="s">
        <v>203</v>
      </c>
      <c r="RMX16" s="314" t="s">
        <v>203</v>
      </c>
      <c r="RMY16" s="314" t="s">
        <v>203</v>
      </c>
      <c r="RMZ16" s="314" t="s">
        <v>203</v>
      </c>
      <c r="RNA16" s="314" t="s">
        <v>203</v>
      </c>
      <c r="RNB16" s="314" t="s">
        <v>203</v>
      </c>
      <c r="RNC16" s="314" t="s">
        <v>203</v>
      </c>
      <c r="RND16" s="314" t="s">
        <v>203</v>
      </c>
      <c r="RNE16" s="314" t="s">
        <v>203</v>
      </c>
      <c r="RNF16" s="314" t="s">
        <v>203</v>
      </c>
      <c r="RNG16" s="314" t="s">
        <v>203</v>
      </c>
      <c r="RNH16" s="314" t="s">
        <v>203</v>
      </c>
      <c r="RNI16" s="314" t="s">
        <v>203</v>
      </c>
      <c r="RNJ16" s="314" t="s">
        <v>203</v>
      </c>
      <c r="RNK16" s="314" t="s">
        <v>203</v>
      </c>
      <c r="RNL16" s="314" t="s">
        <v>203</v>
      </c>
      <c r="RNM16" s="314" t="s">
        <v>203</v>
      </c>
      <c r="RNN16" s="314" t="s">
        <v>203</v>
      </c>
      <c r="RNO16" s="314" t="s">
        <v>203</v>
      </c>
      <c r="RNP16" s="314" t="s">
        <v>203</v>
      </c>
      <c r="RNQ16" s="314" t="s">
        <v>203</v>
      </c>
      <c r="RNR16" s="314" t="s">
        <v>203</v>
      </c>
      <c r="RNS16" s="314" t="s">
        <v>203</v>
      </c>
      <c r="RNT16" s="314" t="s">
        <v>203</v>
      </c>
      <c r="RNU16" s="314" t="s">
        <v>203</v>
      </c>
      <c r="RNV16" s="314" t="s">
        <v>203</v>
      </c>
      <c r="RNW16" s="314" t="s">
        <v>203</v>
      </c>
      <c r="RNX16" s="314" t="s">
        <v>203</v>
      </c>
      <c r="RNY16" s="314" t="s">
        <v>203</v>
      </c>
      <c r="RNZ16" s="314" t="s">
        <v>203</v>
      </c>
      <c r="ROA16" s="314" t="s">
        <v>203</v>
      </c>
      <c r="ROB16" s="314" t="s">
        <v>203</v>
      </c>
      <c r="ROC16" s="314" t="s">
        <v>203</v>
      </c>
      <c r="ROD16" s="314" t="s">
        <v>203</v>
      </c>
      <c r="ROE16" s="314" t="s">
        <v>203</v>
      </c>
      <c r="ROF16" s="314" t="s">
        <v>203</v>
      </c>
      <c r="ROG16" s="314" t="s">
        <v>203</v>
      </c>
      <c r="ROH16" s="314" t="s">
        <v>203</v>
      </c>
      <c r="ROI16" s="314" t="s">
        <v>203</v>
      </c>
      <c r="ROJ16" s="314" t="s">
        <v>203</v>
      </c>
      <c r="ROK16" s="314" t="s">
        <v>203</v>
      </c>
      <c r="ROL16" s="314" t="s">
        <v>203</v>
      </c>
      <c r="ROM16" s="314" t="s">
        <v>203</v>
      </c>
      <c r="RON16" s="314" t="s">
        <v>203</v>
      </c>
      <c r="ROO16" s="314" t="s">
        <v>203</v>
      </c>
      <c r="ROP16" s="314" t="s">
        <v>203</v>
      </c>
      <c r="ROQ16" s="314" t="s">
        <v>203</v>
      </c>
      <c r="ROR16" s="314" t="s">
        <v>203</v>
      </c>
      <c r="ROS16" s="314" t="s">
        <v>203</v>
      </c>
      <c r="ROT16" s="314" t="s">
        <v>203</v>
      </c>
      <c r="ROU16" s="314" t="s">
        <v>203</v>
      </c>
      <c r="ROV16" s="314" t="s">
        <v>203</v>
      </c>
      <c r="ROW16" s="314" t="s">
        <v>203</v>
      </c>
      <c r="ROX16" s="314" t="s">
        <v>203</v>
      </c>
      <c r="ROY16" s="314" t="s">
        <v>203</v>
      </c>
      <c r="ROZ16" s="314" t="s">
        <v>203</v>
      </c>
      <c r="RPA16" s="314" t="s">
        <v>203</v>
      </c>
      <c r="RPB16" s="314" t="s">
        <v>203</v>
      </c>
      <c r="RPC16" s="314" t="s">
        <v>203</v>
      </c>
      <c r="RPD16" s="314" t="s">
        <v>203</v>
      </c>
      <c r="RPE16" s="314" t="s">
        <v>203</v>
      </c>
      <c r="RPF16" s="314" t="s">
        <v>203</v>
      </c>
      <c r="RPG16" s="314" t="s">
        <v>203</v>
      </c>
      <c r="RPH16" s="314" t="s">
        <v>203</v>
      </c>
      <c r="RPI16" s="314" t="s">
        <v>203</v>
      </c>
      <c r="RPJ16" s="314" t="s">
        <v>203</v>
      </c>
      <c r="RPK16" s="314" t="s">
        <v>203</v>
      </c>
      <c r="RPL16" s="314" t="s">
        <v>203</v>
      </c>
      <c r="RPM16" s="314" t="s">
        <v>203</v>
      </c>
      <c r="RPN16" s="314" t="s">
        <v>203</v>
      </c>
      <c r="RPO16" s="314" t="s">
        <v>203</v>
      </c>
      <c r="RPP16" s="314" t="s">
        <v>203</v>
      </c>
      <c r="RPQ16" s="314" t="s">
        <v>203</v>
      </c>
      <c r="RPR16" s="314" t="s">
        <v>203</v>
      </c>
      <c r="RPS16" s="314" t="s">
        <v>203</v>
      </c>
      <c r="RPT16" s="314" t="s">
        <v>203</v>
      </c>
      <c r="RPU16" s="314" t="s">
        <v>203</v>
      </c>
      <c r="RPV16" s="314" t="s">
        <v>203</v>
      </c>
      <c r="RPW16" s="314" t="s">
        <v>203</v>
      </c>
      <c r="RPX16" s="314" t="s">
        <v>203</v>
      </c>
      <c r="RPY16" s="314" t="s">
        <v>203</v>
      </c>
      <c r="RPZ16" s="314" t="s">
        <v>203</v>
      </c>
      <c r="RQA16" s="314" t="s">
        <v>203</v>
      </c>
      <c r="RQB16" s="314" t="s">
        <v>203</v>
      </c>
      <c r="RQC16" s="314" t="s">
        <v>203</v>
      </c>
      <c r="RQD16" s="314" t="s">
        <v>203</v>
      </c>
      <c r="RQE16" s="314" t="s">
        <v>203</v>
      </c>
      <c r="RQF16" s="314" t="s">
        <v>203</v>
      </c>
      <c r="RQG16" s="314" t="s">
        <v>203</v>
      </c>
      <c r="RQH16" s="314" t="s">
        <v>203</v>
      </c>
      <c r="RQI16" s="314" t="s">
        <v>203</v>
      </c>
      <c r="RQJ16" s="314" t="s">
        <v>203</v>
      </c>
      <c r="RQK16" s="314" t="s">
        <v>203</v>
      </c>
      <c r="RQL16" s="314" t="s">
        <v>203</v>
      </c>
      <c r="RQM16" s="314" t="s">
        <v>203</v>
      </c>
      <c r="RQN16" s="314" t="s">
        <v>203</v>
      </c>
      <c r="RQO16" s="314" t="s">
        <v>203</v>
      </c>
      <c r="RQP16" s="314" t="s">
        <v>203</v>
      </c>
      <c r="RQQ16" s="314" t="s">
        <v>203</v>
      </c>
      <c r="RQR16" s="314" t="s">
        <v>203</v>
      </c>
      <c r="RQS16" s="314" t="s">
        <v>203</v>
      </c>
      <c r="RQT16" s="314" t="s">
        <v>203</v>
      </c>
      <c r="RQU16" s="314" t="s">
        <v>203</v>
      </c>
      <c r="RQV16" s="314" t="s">
        <v>203</v>
      </c>
      <c r="RQW16" s="314" t="s">
        <v>203</v>
      </c>
      <c r="RQX16" s="314" t="s">
        <v>203</v>
      </c>
      <c r="RQY16" s="314" t="s">
        <v>203</v>
      </c>
      <c r="RQZ16" s="314" t="s">
        <v>203</v>
      </c>
      <c r="RRA16" s="314" t="s">
        <v>203</v>
      </c>
      <c r="RRB16" s="314" t="s">
        <v>203</v>
      </c>
      <c r="RRC16" s="314" t="s">
        <v>203</v>
      </c>
      <c r="RRD16" s="314" t="s">
        <v>203</v>
      </c>
      <c r="RRE16" s="314" t="s">
        <v>203</v>
      </c>
      <c r="RRF16" s="314" t="s">
        <v>203</v>
      </c>
      <c r="RRG16" s="314" t="s">
        <v>203</v>
      </c>
      <c r="RRH16" s="314" t="s">
        <v>203</v>
      </c>
      <c r="RRI16" s="314" t="s">
        <v>203</v>
      </c>
      <c r="RRJ16" s="314" t="s">
        <v>203</v>
      </c>
      <c r="RRK16" s="314" t="s">
        <v>203</v>
      </c>
      <c r="RRL16" s="314" t="s">
        <v>203</v>
      </c>
      <c r="RRM16" s="314" t="s">
        <v>203</v>
      </c>
      <c r="RRN16" s="314" t="s">
        <v>203</v>
      </c>
      <c r="RRO16" s="314" t="s">
        <v>203</v>
      </c>
      <c r="RRP16" s="314" t="s">
        <v>203</v>
      </c>
      <c r="RRQ16" s="314" t="s">
        <v>203</v>
      </c>
      <c r="RRR16" s="314" t="s">
        <v>203</v>
      </c>
      <c r="RRS16" s="314" t="s">
        <v>203</v>
      </c>
      <c r="RRT16" s="314" t="s">
        <v>203</v>
      </c>
      <c r="RRU16" s="314" t="s">
        <v>203</v>
      </c>
      <c r="RRV16" s="314" t="s">
        <v>203</v>
      </c>
      <c r="RRW16" s="314" t="s">
        <v>203</v>
      </c>
      <c r="RRX16" s="314" t="s">
        <v>203</v>
      </c>
      <c r="RRY16" s="314" t="s">
        <v>203</v>
      </c>
      <c r="RRZ16" s="314" t="s">
        <v>203</v>
      </c>
      <c r="RSA16" s="314" t="s">
        <v>203</v>
      </c>
      <c r="RSB16" s="314" t="s">
        <v>203</v>
      </c>
      <c r="RSC16" s="314" t="s">
        <v>203</v>
      </c>
      <c r="RSD16" s="314" t="s">
        <v>203</v>
      </c>
      <c r="RSE16" s="314" t="s">
        <v>203</v>
      </c>
      <c r="RSF16" s="314" t="s">
        <v>203</v>
      </c>
      <c r="RSG16" s="314" t="s">
        <v>203</v>
      </c>
      <c r="RSH16" s="314" t="s">
        <v>203</v>
      </c>
      <c r="RSI16" s="314" t="s">
        <v>203</v>
      </c>
      <c r="RSJ16" s="314" t="s">
        <v>203</v>
      </c>
      <c r="RSK16" s="314" t="s">
        <v>203</v>
      </c>
      <c r="RSL16" s="314" t="s">
        <v>203</v>
      </c>
      <c r="RSM16" s="314" t="s">
        <v>203</v>
      </c>
      <c r="RSN16" s="314" t="s">
        <v>203</v>
      </c>
      <c r="RSO16" s="314" t="s">
        <v>203</v>
      </c>
      <c r="RSP16" s="314" t="s">
        <v>203</v>
      </c>
      <c r="RSQ16" s="314" t="s">
        <v>203</v>
      </c>
      <c r="RSR16" s="314" t="s">
        <v>203</v>
      </c>
      <c r="RSS16" s="314" t="s">
        <v>203</v>
      </c>
      <c r="RST16" s="314" t="s">
        <v>203</v>
      </c>
      <c r="RSU16" s="314" t="s">
        <v>203</v>
      </c>
      <c r="RSV16" s="314" t="s">
        <v>203</v>
      </c>
      <c r="RSW16" s="314" t="s">
        <v>203</v>
      </c>
      <c r="RSX16" s="314" t="s">
        <v>203</v>
      </c>
      <c r="RSY16" s="314" t="s">
        <v>203</v>
      </c>
      <c r="RSZ16" s="314" t="s">
        <v>203</v>
      </c>
      <c r="RTA16" s="314" t="s">
        <v>203</v>
      </c>
      <c r="RTB16" s="314" t="s">
        <v>203</v>
      </c>
      <c r="RTC16" s="314" t="s">
        <v>203</v>
      </c>
      <c r="RTD16" s="314" t="s">
        <v>203</v>
      </c>
      <c r="RTE16" s="314" t="s">
        <v>203</v>
      </c>
      <c r="RTF16" s="314" t="s">
        <v>203</v>
      </c>
      <c r="RTG16" s="314" t="s">
        <v>203</v>
      </c>
      <c r="RTH16" s="314" t="s">
        <v>203</v>
      </c>
      <c r="RTI16" s="314" t="s">
        <v>203</v>
      </c>
      <c r="RTJ16" s="314" t="s">
        <v>203</v>
      </c>
      <c r="RTK16" s="314" t="s">
        <v>203</v>
      </c>
      <c r="RTL16" s="314" t="s">
        <v>203</v>
      </c>
      <c r="RTM16" s="314" t="s">
        <v>203</v>
      </c>
      <c r="RTN16" s="314" t="s">
        <v>203</v>
      </c>
      <c r="RTO16" s="314" t="s">
        <v>203</v>
      </c>
      <c r="RTP16" s="314" t="s">
        <v>203</v>
      </c>
      <c r="RTQ16" s="314" t="s">
        <v>203</v>
      </c>
      <c r="RTR16" s="314" t="s">
        <v>203</v>
      </c>
      <c r="RTS16" s="314" t="s">
        <v>203</v>
      </c>
      <c r="RTT16" s="314" t="s">
        <v>203</v>
      </c>
      <c r="RTU16" s="314" t="s">
        <v>203</v>
      </c>
      <c r="RTV16" s="314" t="s">
        <v>203</v>
      </c>
      <c r="RTW16" s="314" t="s">
        <v>203</v>
      </c>
      <c r="RTX16" s="314" t="s">
        <v>203</v>
      </c>
      <c r="RTY16" s="314" t="s">
        <v>203</v>
      </c>
      <c r="RTZ16" s="314" t="s">
        <v>203</v>
      </c>
      <c r="RUA16" s="314" t="s">
        <v>203</v>
      </c>
      <c r="RUB16" s="314" t="s">
        <v>203</v>
      </c>
      <c r="RUC16" s="314" t="s">
        <v>203</v>
      </c>
      <c r="RUD16" s="314" t="s">
        <v>203</v>
      </c>
      <c r="RUE16" s="314" t="s">
        <v>203</v>
      </c>
      <c r="RUF16" s="314" t="s">
        <v>203</v>
      </c>
      <c r="RUG16" s="314" t="s">
        <v>203</v>
      </c>
      <c r="RUH16" s="314" t="s">
        <v>203</v>
      </c>
      <c r="RUI16" s="314" t="s">
        <v>203</v>
      </c>
      <c r="RUJ16" s="314" t="s">
        <v>203</v>
      </c>
      <c r="RUK16" s="314" t="s">
        <v>203</v>
      </c>
      <c r="RUL16" s="314" t="s">
        <v>203</v>
      </c>
      <c r="RUM16" s="314" t="s">
        <v>203</v>
      </c>
      <c r="RUN16" s="314" t="s">
        <v>203</v>
      </c>
      <c r="RUO16" s="314" t="s">
        <v>203</v>
      </c>
      <c r="RUP16" s="314" t="s">
        <v>203</v>
      </c>
      <c r="RUQ16" s="314" t="s">
        <v>203</v>
      </c>
      <c r="RUR16" s="314" t="s">
        <v>203</v>
      </c>
      <c r="RUS16" s="314" t="s">
        <v>203</v>
      </c>
      <c r="RUT16" s="314" t="s">
        <v>203</v>
      </c>
      <c r="RUU16" s="314" t="s">
        <v>203</v>
      </c>
      <c r="RUV16" s="314" t="s">
        <v>203</v>
      </c>
      <c r="RUW16" s="314" t="s">
        <v>203</v>
      </c>
      <c r="RUX16" s="314" t="s">
        <v>203</v>
      </c>
      <c r="RUY16" s="314" t="s">
        <v>203</v>
      </c>
      <c r="RUZ16" s="314" t="s">
        <v>203</v>
      </c>
      <c r="RVA16" s="314" t="s">
        <v>203</v>
      </c>
      <c r="RVB16" s="314" t="s">
        <v>203</v>
      </c>
      <c r="RVC16" s="314" t="s">
        <v>203</v>
      </c>
      <c r="RVD16" s="314" t="s">
        <v>203</v>
      </c>
      <c r="RVE16" s="314" t="s">
        <v>203</v>
      </c>
      <c r="RVF16" s="314" t="s">
        <v>203</v>
      </c>
      <c r="RVG16" s="314" t="s">
        <v>203</v>
      </c>
      <c r="RVH16" s="314" t="s">
        <v>203</v>
      </c>
      <c r="RVI16" s="314" t="s">
        <v>203</v>
      </c>
      <c r="RVJ16" s="314" t="s">
        <v>203</v>
      </c>
      <c r="RVK16" s="314" t="s">
        <v>203</v>
      </c>
      <c r="RVL16" s="314" t="s">
        <v>203</v>
      </c>
      <c r="RVM16" s="314" t="s">
        <v>203</v>
      </c>
      <c r="RVN16" s="314" t="s">
        <v>203</v>
      </c>
      <c r="RVO16" s="314" t="s">
        <v>203</v>
      </c>
      <c r="RVP16" s="314" t="s">
        <v>203</v>
      </c>
      <c r="RVQ16" s="314" t="s">
        <v>203</v>
      </c>
      <c r="RVR16" s="314" t="s">
        <v>203</v>
      </c>
      <c r="RVS16" s="314" t="s">
        <v>203</v>
      </c>
      <c r="RVT16" s="314" t="s">
        <v>203</v>
      </c>
      <c r="RVU16" s="314" t="s">
        <v>203</v>
      </c>
      <c r="RVV16" s="314" t="s">
        <v>203</v>
      </c>
      <c r="RVW16" s="314" t="s">
        <v>203</v>
      </c>
      <c r="RVX16" s="314" t="s">
        <v>203</v>
      </c>
      <c r="RVY16" s="314" t="s">
        <v>203</v>
      </c>
      <c r="RVZ16" s="314" t="s">
        <v>203</v>
      </c>
      <c r="RWA16" s="314" t="s">
        <v>203</v>
      </c>
      <c r="RWB16" s="314" t="s">
        <v>203</v>
      </c>
      <c r="RWC16" s="314" t="s">
        <v>203</v>
      </c>
      <c r="RWD16" s="314" t="s">
        <v>203</v>
      </c>
      <c r="RWE16" s="314" t="s">
        <v>203</v>
      </c>
      <c r="RWF16" s="314" t="s">
        <v>203</v>
      </c>
      <c r="RWG16" s="314" t="s">
        <v>203</v>
      </c>
      <c r="RWH16" s="314" t="s">
        <v>203</v>
      </c>
      <c r="RWI16" s="314" t="s">
        <v>203</v>
      </c>
      <c r="RWJ16" s="314" t="s">
        <v>203</v>
      </c>
      <c r="RWK16" s="314" t="s">
        <v>203</v>
      </c>
      <c r="RWL16" s="314" t="s">
        <v>203</v>
      </c>
      <c r="RWM16" s="314" t="s">
        <v>203</v>
      </c>
      <c r="RWN16" s="314" t="s">
        <v>203</v>
      </c>
      <c r="RWO16" s="314" t="s">
        <v>203</v>
      </c>
      <c r="RWP16" s="314" t="s">
        <v>203</v>
      </c>
      <c r="RWQ16" s="314" t="s">
        <v>203</v>
      </c>
      <c r="RWR16" s="314" t="s">
        <v>203</v>
      </c>
      <c r="RWS16" s="314" t="s">
        <v>203</v>
      </c>
      <c r="RWT16" s="314" t="s">
        <v>203</v>
      </c>
      <c r="RWU16" s="314" t="s">
        <v>203</v>
      </c>
      <c r="RWV16" s="314" t="s">
        <v>203</v>
      </c>
      <c r="RWW16" s="314" t="s">
        <v>203</v>
      </c>
      <c r="RWX16" s="314" t="s">
        <v>203</v>
      </c>
      <c r="RWY16" s="314" t="s">
        <v>203</v>
      </c>
      <c r="RWZ16" s="314" t="s">
        <v>203</v>
      </c>
      <c r="RXA16" s="314" t="s">
        <v>203</v>
      </c>
      <c r="RXB16" s="314" t="s">
        <v>203</v>
      </c>
      <c r="RXC16" s="314" t="s">
        <v>203</v>
      </c>
      <c r="RXD16" s="314" t="s">
        <v>203</v>
      </c>
      <c r="RXE16" s="314" t="s">
        <v>203</v>
      </c>
      <c r="RXF16" s="314" t="s">
        <v>203</v>
      </c>
      <c r="RXG16" s="314" t="s">
        <v>203</v>
      </c>
      <c r="RXH16" s="314" t="s">
        <v>203</v>
      </c>
      <c r="RXI16" s="314" t="s">
        <v>203</v>
      </c>
      <c r="RXJ16" s="314" t="s">
        <v>203</v>
      </c>
      <c r="RXK16" s="314" t="s">
        <v>203</v>
      </c>
      <c r="RXL16" s="314" t="s">
        <v>203</v>
      </c>
      <c r="RXM16" s="314" t="s">
        <v>203</v>
      </c>
      <c r="RXN16" s="314" t="s">
        <v>203</v>
      </c>
      <c r="RXO16" s="314" t="s">
        <v>203</v>
      </c>
      <c r="RXP16" s="314" t="s">
        <v>203</v>
      </c>
      <c r="RXQ16" s="314" t="s">
        <v>203</v>
      </c>
      <c r="RXR16" s="314" t="s">
        <v>203</v>
      </c>
      <c r="RXS16" s="314" t="s">
        <v>203</v>
      </c>
      <c r="RXT16" s="314" t="s">
        <v>203</v>
      </c>
      <c r="RXU16" s="314" t="s">
        <v>203</v>
      </c>
      <c r="RXV16" s="314" t="s">
        <v>203</v>
      </c>
      <c r="RXW16" s="314" t="s">
        <v>203</v>
      </c>
      <c r="RXX16" s="314" t="s">
        <v>203</v>
      </c>
      <c r="RXY16" s="314" t="s">
        <v>203</v>
      </c>
      <c r="RXZ16" s="314" t="s">
        <v>203</v>
      </c>
      <c r="RYA16" s="314" t="s">
        <v>203</v>
      </c>
      <c r="RYB16" s="314" t="s">
        <v>203</v>
      </c>
      <c r="RYC16" s="314" t="s">
        <v>203</v>
      </c>
      <c r="RYD16" s="314" t="s">
        <v>203</v>
      </c>
      <c r="RYE16" s="314" t="s">
        <v>203</v>
      </c>
      <c r="RYF16" s="314" t="s">
        <v>203</v>
      </c>
      <c r="RYG16" s="314" t="s">
        <v>203</v>
      </c>
      <c r="RYH16" s="314" t="s">
        <v>203</v>
      </c>
      <c r="RYI16" s="314" t="s">
        <v>203</v>
      </c>
      <c r="RYJ16" s="314" t="s">
        <v>203</v>
      </c>
      <c r="RYK16" s="314" t="s">
        <v>203</v>
      </c>
      <c r="RYL16" s="314" t="s">
        <v>203</v>
      </c>
      <c r="RYM16" s="314" t="s">
        <v>203</v>
      </c>
      <c r="RYN16" s="314" t="s">
        <v>203</v>
      </c>
      <c r="RYO16" s="314" t="s">
        <v>203</v>
      </c>
      <c r="RYP16" s="314" t="s">
        <v>203</v>
      </c>
      <c r="RYQ16" s="314" t="s">
        <v>203</v>
      </c>
      <c r="RYR16" s="314" t="s">
        <v>203</v>
      </c>
      <c r="RYS16" s="314" t="s">
        <v>203</v>
      </c>
      <c r="RYT16" s="314" t="s">
        <v>203</v>
      </c>
      <c r="RYU16" s="314" t="s">
        <v>203</v>
      </c>
      <c r="RYV16" s="314" t="s">
        <v>203</v>
      </c>
      <c r="RYW16" s="314" t="s">
        <v>203</v>
      </c>
      <c r="RYX16" s="314" t="s">
        <v>203</v>
      </c>
      <c r="RYY16" s="314" t="s">
        <v>203</v>
      </c>
      <c r="RYZ16" s="314" t="s">
        <v>203</v>
      </c>
      <c r="RZA16" s="314" t="s">
        <v>203</v>
      </c>
      <c r="RZB16" s="314" t="s">
        <v>203</v>
      </c>
      <c r="RZC16" s="314" t="s">
        <v>203</v>
      </c>
      <c r="RZD16" s="314" t="s">
        <v>203</v>
      </c>
      <c r="RZE16" s="314" t="s">
        <v>203</v>
      </c>
      <c r="RZF16" s="314" t="s">
        <v>203</v>
      </c>
      <c r="RZG16" s="314" t="s">
        <v>203</v>
      </c>
      <c r="RZH16" s="314" t="s">
        <v>203</v>
      </c>
      <c r="RZI16" s="314" t="s">
        <v>203</v>
      </c>
      <c r="RZJ16" s="314" t="s">
        <v>203</v>
      </c>
      <c r="RZK16" s="314" t="s">
        <v>203</v>
      </c>
      <c r="RZL16" s="314" t="s">
        <v>203</v>
      </c>
      <c r="RZM16" s="314" t="s">
        <v>203</v>
      </c>
      <c r="RZN16" s="314" t="s">
        <v>203</v>
      </c>
      <c r="RZO16" s="314" t="s">
        <v>203</v>
      </c>
      <c r="RZP16" s="314" t="s">
        <v>203</v>
      </c>
      <c r="RZQ16" s="314" t="s">
        <v>203</v>
      </c>
      <c r="RZR16" s="314" t="s">
        <v>203</v>
      </c>
      <c r="RZS16" s="314" t="s">
        <v>203</v>
      </c>
      <c r="RZT16" s="314" t="s">
        <v>203</v>
      </c>
      <c r="RZU16" s="314" t="s">
        <v>203</v>
      </c>
      <c r="RZV16" s="314" t="s">
        <v>203</v>
      </c>
      <c r="RZW16" s="314" t="s">
        <v>203</v>
      </c>
      <c r="RZX16" s="314" t="s">
        <v>203</v>
      </c>
      <c r="RZY16" s="314" t="s">
        <v>203</v>
      </c>
      <c r="RZZ16" s="314" t="s">
        <v>203</v>
      </c>
      <c r="SAA16" s="314" t="s">
        <v>203</v>
      </c>
      <c r="SAB16" s="314" t="s">
        <v>203</v>
      </c>
      <c r="SAC16" s="314" t="s">
        <v>203</v>
      </c>
      <c r="SAD16" s="314" t="s">
        <v>203</v>
      </c>
      <c r="SAE16" s="314" t="s">
        <v>203</v>
      </c>
      <c r="SAF16" s="314" t="s">
        <v>203</v>
      </c>
      <c r="SAG16" s="314" t="s">
        <v>203</v>
      </c>
      <c r="SAH16" s="314" t="s">
        <v>203</v>
      </c>
      <c r="SAI16" s="314" t="s">
        <v>203</v>
      </c>
      <c r="SAJ16" s="314" t="s">
        <v>203</v>
      </c>
      <c r="SAK16" s="314" t="s">
        <v>203</v>
      </c>
      <c r="SAL16" s="314" t="s">
        <v>203</v>
      </c>
      <c r="SAM16" s="314" t="s">
        <v>203</v>
      </c>
      <c r="SAN16" s="314" t="s">
        <v>203</v>
      </c>
      <c r="SAO16" s="314" t="s">
        <v>203</v>
      </c>
      <c r="SAP16" s="314" t="s">
        <v>203</v>
      </c>
      <c r="SAQ16" s="314" t="s">
        <v>203</v>
      </c>
      <c r="SAR16" s="314" t="s">
        <v>203</v>
      </c>
      <c r="SAS16" s="314" t="s">
        <v>203</v>
      </c>
      <c r="SAT16" s="314" t="s">
        <v>203</v>
      </c>
      <c r="SAU16" s="314" t="s">
        <v>203</v>
      </c>
      <c r="SAV16" s="314" t="s">
        <v>203</v>
      </c>
      <c r="SAW16" s="314" t="s">
        <v>203</v>
      </c>
      <c r="SAX16" s="314" t="s">
        <v>203</v>
      </c>
      <c r="SAY16" s="314" t="s">
        <v>203</v>
      </c>
      <c r="SAZ16" s="314" t="s">
        <v>203</v>
      </c>
      <c r="SBA16" s="314" t="s">
        <v>203</v>
      </c>
      <c r="SBB16" s="314" t="s">
        <v>203</v>
      </c>
      <c r="SBC16" s="314" t="s">
        <v>203</v>
      </c>
      <c r="SBD16" s="314" t="s">
        <v>203</v>
      </c>
      <c r="SBE16" s="314" t="s">
        <v>203</v>
      </c>
      <c r="SBF16" s="314" t="s">
        <v>203</v>
      </c>
      <c r="SBG16" s="314" t="s">
        <v>203</v>
      </c>
      <c r="SBH16" s="314" t="s">
        <v>203</v>
      </c>
      <c r="SBI16" s="314" t="s">
        <v>203</v>
      </c>
      <c r="SBJ16" s="314" t="s">
        <v>203</v>
      </c>
      <c r="SBK16" s="314" t="s">
        <v>203</v>
      </c>
      <c r="SBL16" s="314" t="s">
        <v>203</v>
      </c>
      <c r="SBM16" s="314" t="s">
        <v>203</v>
      </c>
      <c r="SBN16" s="314" t="s">
        <v>203</v>
      </c>
      <c r="SBO16" s="314" t="s">
        <v>203</v>
      </c>
      <c r="SBP16" s="314" t="s">
        <v>203</v>
      </c>
      <c r="SBQ16" s="314" t="s">
        <v>203</v>
      </c>
      <c r="SBR16" s="314" t="s">
        <v>203</v>
      </c>
      <c r="SBS16" s="314" t="s">
        <v>203</v>
      </c>
      <c r="SBT16" s="314" t="s">
        <v>203</v>
      </c>
      <c r="SBU16" s="314" t="s">
        <v>203</v>
      </c>
      <c r="SBV16" s="314" t="s">
        <v>203</v>
      </c>
      <c r="SBW16" s="314" t="s">
        <v>203</v>
      </c>
      <c r="SBX16" s="314" t="s">
        <v>203</v>
      </c>
      <c r="SBY16" s="314" t="s">
        <v>203</v>
      </c>
      <c r="SBZ16" s="314" t="s">
        <v>203</v>
      </c>
      <c r="SCA16" s="314" t="s">
        <v>203</v>
      </c>
      <c r="SCB16" s="314" t="s">
        <v>203</v>
      </c>
      <c r="SCC16" s="314" t="s">
        <v>203</v>
      </c>
      <c r="SCD16" s="314" t="s">
        <v>203</v>
      </c>
      <c r="SCE16" s="314" t="s">
        <v>203</v>
      </c>
      <c r="SCF16" s="314" t="s">
        <v>203</v>
      </c>
      <c r="SCG16" s="314" t="s">
        <v>203</v>
      </c>
      <c r="SCH16" s="314" t="s">
        <v>203</v>
      </c>
      <c r="SCI16" s="314" t="s">
        <v>203</v>
      </c>
      <c r="SCJ16" s="314" t="s">
        <v>203</v>
      </c>
      <c r="SCK16" s="314" t="s">
        <v>203</v>
      </c>
      <c r="SCL16" s="314" t="s">
        <v>203</v>
      </c>
      <c r="SCM16" s="314" t="s">
        <v>203</v>
      </c>
      <c r="SCN16" s="314" t="s">
        <v>203</v>
      </c>
      <c r="SCO16" s="314" t="s">
        <v>203</v>
      </c>
      <c r="SCP16" s="314" t="s">
        <v>203</v>
      </c>
      <c r="SCQ16" s="314" t="s">
        <v>203</v>
      </c>
      <c r="SCR16" s="314" t="s">
        <v>203</v>
      </c>
      <c r="SCS16" s="314" t="s">
        <v>203</v>
      </c>
      <c r="SCT16" s="314" t="s">
        <v>203</v>
      </c>
      <c r="SCU16" s="314" t="s">
        <v>203</v>
      </c>
      <c r="SCV16" s="314" t="s">
        <v>203</v>
      </c>
      <c r="SCW16" s="314" t="s">
        <v>203</v>
      </c>
      <c r="SCX16" s="314" t="s">
        <v>203</v>
      </c>
      <c r="SCY16" s="314" t="s">
        <v>203</v>
      </c>
      <c r="SCZ16" s="314" t="s">
        <v>203</v>
      </c>
      <c r="SDA16" s="314" t="s">
        <v>203</v>
      </c>
      <c r="SDB16" s="314" t="s">
        <v>203</v>
      </c>
      <c r="SDC16" s="314" t="s">
        <v>203</v>
      </c>
      <c r="SDD16" s="314" t="s">
        <v>203</v>
      </c>
      <c r="SDE16" s="314" t="s">
        <v>203</v>
      </c>
      <c r="SDF16" s="314" t="s">
        <v>203</v>
      </c>
      <c r="SDG16" s="314" t="s">
        <v>203</v>
      </c>
      <c r="SDH16" s="314" t="s">
        <v>203</v>
      </c>
      <c r="SDI16" s="314" t="s">
        <v>203</v>
      </c>
      <c r="SDJ16" s="314" t="s">
        <v>203</v>
      </c>
      <c r="SDK16" s="314" t="s">
        <v>203</v>
      </c>
      <c r="SDL16" s="314" t="s">
        <v>203</v>
      </c>
      <c r="SDM16" s="314" t="s">
        <v>203</v>
      </c>
      <c r="SDN16" s="314" t="s">
        <v>203</v>
      </c>
      <c r="SDO16" s="314" t="s">
        <v>203</v>
      </c>
      <c r="SDP16" s="314" t="s">
        <v>203</v>
      </c>
      <c r="SDQ16" s="314" t="s">
        <v>203</v>
      </c>
      <c r="SDR16" s="314" t="s">
        <v>203</v>
      </c>
      <c r="SDS16" s="314" t="s">
        <v>203</v>
      </c>
      <c r="SDT16" s="314" t="s">
        <v>203</v>
      </c>
      <c r="SDU16" s="314" t="s">
        <v>203</v>
      </c>
      <c r="SDV16" s="314" t="s">
        <v>203</v>
      </c>
      <c r="SDW16" s="314" t="s">
        <v>203</v>
      </c>
      <c r="SDX16" s="314" t="s">
        <v>203</v>
      </c>
      <c r="SDY16" s="314" t="s">
        <v>203</v>
      </c>
      <c r="SDZ16" s="314" t="s">
        <v>203</v>
      </c>
      <c r="SEA16" s="314" t="s">
        <v>203</v>
      </c>
      <c r="SEB16" s="314" t="s">
        <v>203</v>
      </c>
      <c r="SEC16" s="314" t="s">
        <v>203</v>
      </c>
      <c r="SED16" s="314" t="s">
        <v>203</v>
      </c>
      <c r="SEE16" s="314" t="s">
        <v>203</v>
      </c>
      <c r="SEF16" s="314" t="s">
        <v>203</v>
      </c>
      <c r="SEG16" s="314" t="s">
        <v>203</v>
      </c>
      <c r="SEH16" s="314" t="s">
        <v>203</v>
      </c>
      <c r="SEI16" s="314" t="s">
        <v>203</v>
      </c>
      <c r="SEJ16" s="314" t="s">
        <v>203</v>
      </c>
      <c r="SEK16" s="314" t="s">
        <v>203</v>
      </c>
      <c r="SEL16" s="314" t="s">
        <v>203</v>
      </c>
      <c r="SEM16" s="314" t="s">
        <v>203</v>
      </c>
      <c r="SEN16" s="314" t="s">
        <v>203</v>
      </c>
      <c r="SEO16" s="314" t="s">
        <v>203</v>
      </c>
      <c r="SEP16" s="314" t="s">
        <v>203</v>
      </c>
      <c r="SEQ16" s="314" t="s">
        <v>203</v>
      </c>
      <c r="SER16" s="314" t="s">
        <v>203</v>
      </c>
      <c r="SES16" s="314" t="s">
        <v>203</v>
      </c>
      <c r="SET16" s="314" t="s">
        <v>203</v>
      </c>
      <c r="SEU16" s="314" t="s">
        <v>203</v>
      </c>
      <c r="SEV16" s="314" t="s">
        <v>203</v>
      </c>
      <c r="SEW16" s="314" t="s">
        <v>203</v>
      </c>
      <c r="SEX16" s="314" t="s">
        <v>203</v>
      </c>
      <c r="SEY16" s="314" t="s">
        <v>203</v>
      </c>
      <c r="SEZ16" s="314" t="s">
        <v>203</v>
      </c>
      <c r="SFA16" s="314" t="s">
        <v>203</v>
      </c>
      <c r="SFB16" s="314" t="s">
        <v>203</v>
      </c>
      <c r="SFC16" s="314" t="s">
        <v>203</v>
      </c>
      <c r="SFD16" s="314" t="s">
        <v>203</v>
      </c>
      <c r="SFE16" s="314" t="s">
        <v>203</v>
      </c>
      <c r="SFF16" s="314" t="s">
        <v>203</v>
      </c>
      <c r="SFG16" s="314" t="s">
        <v>203</v>
      </c>
      <c r="SFH16" s="314" t="s">
        <v>203</v>
      </c>
      <c r="SFI16" s="314" t="s">
        <v>203</v>
      </c>
      <c r="SFJ16" s="314" t="s">
        <v>203</v>
      </c>
      <c r="SFK16" s="314" t="s">
        <v>203</v>
      </c>
      <c r="SFL16" s="314" t="s">
        <v>203</v>
      </c>
      <c r="SFM16" s="314" t="s">
        <v>203</v>
      </c>
      <c r="SFN16" s="314" t="s">
        <v>203</v>
      </c>
      <c r="SFO16" s="314" t="s">
        <v>203</v>
      </c>
      <c r="SFP16" s="314" t="s">
        <v>203</v>
      </c>
      <c r="SFQ16" s="314" t="s">
        <v>203</v>
      </c>
      <c r="SFR16" s="314" t="s">
        <v>203</v>
      </c>
      <c r="SFS16" s="314" t="s">
        <v>203</v>
      </c>
      <c r="SFT16" s="314" t="s">
        <v>203</v>
      </c>
      <c r="SFU16" s="314" t="s">
        <v>203</v>
      </c>
      <c r="SFV16" s="314" t="s">
        <v>203</v>
      </c>
      <c r="SFW16" s="314" t="s">
        <v>203</v>
      </c>
      <c r="SFX16" s="314" t="s">
        <v>203</v>
      </c>
      <c r="SFY16" s="314" t="s">
        <v>203</v>
      </c>
      <c r="SFZ16" s="314" t="s">
        <v>203</v>
      </c>
      <c r="SGA16" s="314" t="s">
        <v>203</v>
      </c>
      <c r="SGB16" s="314" t="s">
        <v>203</v>
      </c>
      <c r="SGC16" s="314" t="s">
        <v>203</v>
      </c>
      <c r="SGD16" s="314" t="s">
        <v>203</v>
      </c>
      <c r="SGE16" s="314" t="s">
        <v>203</v>
      </c>
      <c r="SGF16" s="314" t="s">
        <v>203</v>
      </c>
      <c r="SGG16" s="314" t="s">
        <v>203</v>
      </c>
      <c r="SGH16" s="314" t="s">
        <v>203</v>
      </c>
      <c r="SGI16" s="314" t="s">
        <v>203</v>
      </c>
      <c r="SGJ16" s="314" t="s">
        <v>203</v>
      </c>
      <c r="SGK16" s="314" t="s">
        <v>203</v>
      </c>
      <c r="SGL16" s="314" t="s">
        <v>203</v>
      </c>
      <c r="SGM16" s="314" t="s">
        <v>203</v>
      </c>
      <c r="SGN16" s="314" t="s">
        <v>203</v>
      </c>
      <c r="SGO16" s="314" t="s">
        <v>203</v>
      </c>
      <c r="SGP16" s="314" t="s">
        <v>203</v>
      </c>
      <c r="SGQ16" s="314" t="s">
        <v>203</v>
      </c>
      <c r="SGR16" s="314" t="s">
        <v>203</v>
      </c>
      <c r="SGS16" s="314" t="s">
        <v>203</v>
      </c>
      <c r="SGT16" s="314" t="s">
        <v>203</v>
      </c>
      <c r="SGU16" s="314" t="s">
        <v>203</v>
      </c>
      <c r="SGV16" s="314" t="s">
        <v>203</v>
      </c>
      <c r="SGW16" s="314" t="s">
        <v>203</v>
      </c>
      <c r="SGX16" s="314" t="s">
        <v>203</v>
      </c>
      <c r="SGY16" s="314" t="s">
        <v>203</v>
      </c>
      <c r="SGZ16" s="314" t="s">
        <v>203</v>
      </c>
      <c r="SHA16" s="314" t="s">
        <v>203</v>
      </c>
      <c r="SHB16" s="314" t="s">
        <v>203</v>
      </c>
      <c r="SHC16" s="314" t="s">
        <v>203</v>
      </c>
      <c r="SHD16" s="314" t="s">
        <v>203</v>
      </c>
      <c r="SHE16" s="314" t="s">
        <v>203</v>
      </c>
      <c r="SHF16" s="314" t="s">
        <v>203</v>
      </c>
      <c r="SHG16" s="314" t="s">
        <v>203</v>
      </c>
      <c r="SHH16" s="314" t="s">
        <v>203</v>
      </c>
      <c r="SHI16" s="314" t="s">
        <v>203</v>
      </c>
      <c r="SHJ16" s="314" t="s">
        <v>203</v>
      </c>
      <c r="SHK16" s="314" t="s">
        <v>203</v>
      </c>
      <c r="SHL16" s="314" t="s">
        <v>203</v>
      </c>
      <c r="SHM16" s="314" t="s">
        <v>203</v>
      </c>
      <c r="SHN16" s="314" t="s">
        <v>203</v>
      </c>
      <c r="SHO16" s="314" t="s">
        <v>203</v>
      </c>
      <c r="SHP16" s="314" t="s">
        <v>203</v>
      </c>
      <c r="SHQ16" s="314" t="s">
        <v>203</v>
      </c>
      <c r="SHR16" s="314" t="s">
        <v>203</v>
      </c>
      <c r="SHS16" s="314" t="s">
        <v>203</v>
      </c>
      <c r="SHT16" s="314" t="s">
        <v>203</v>
      </c>
      <c r="SHU16" s="314" t="s">
        <v>203</v>
      </c>
      <c r="SHV16" s="314" t="s">
        <v>203</v>
      </c>
      <c r="SHW16" s="314" t="s">
        <v>203</v>
      </c>
      <c r="SHX16" s="314" t="s">
        <v>203</v>
      </c>
      <c r="SHY16" s="314" t="s">
        <v>203</v>
      </c>
      <c r="SHZ16" s="314" t="s">
        <v>203</v>
      </c>
      <c r="SIA16" s="314" t="s">
        <v>203</v>
      </c>
      <c r="SIB16" s="314" t="s">
        <v>203</v>
      </c>
      <c r="SIC16" s="314" t="s">
        <v>203</v>
      </c>
      <c r="SID16" s="314" t="s">
        <v>203</v>
      </c>
      <c r="SIE16" s="314" t="s">
        <v>203</v>
      </c>
      <c r="SIF16" s="314" t="s">
        <v>203</v>
      </c>
      <c r="SIG16" s="314" t="s">
        <v>203</v>
      </c>
      <c r="SIH16" s="314" t="s">
        <v>203</v>
      </c>
      <c r="SII16" s="314" t="s">
        <v>203</v>
      </c>
      <c r="SIJ16" s="314" t="s">
        <v>203</v>
      </c>
      <c r="SIK16" s="314" t="s">
        <v>203</v>
      </c>
      <c r="SIL16" s="314" t="s">
        <v>203</v>
      </c>
      <c r="SIM16" s="314" t="s">
        <v>203</v>
      </c>
      <c r="SIN16" s="314" t="s">
        <v>203</v>
      </c>
      <c r="SIO16" s="314" t="s">
        <v>203</v>
      </c>
      <c r="SIP16" s="314" t="s">
        <v>203</v>
      </c>
      <c r="SIQ16" s="314" t="s">
        <v>203</v>
      </c>
      <c r="SIR16" s="314" t="s">
        <v>203</v>
      </c>
      <c r="SIS16" s="314" t="s">
        <v>203</v>
      </c>
      <c r="SIT16" s="314" t="s">
        <v>203</v>
      </c>
      <c r="SIU16" s="314" t="s">
        <v>203</v>
      </c>
      <c r="SIV16" s="314" t="s">
        <v>203</v>
      </c>
      <c r="SIW16" s="314" t="s">
        <v>203</v>
      </c>
      <c r="SIX16" s="314" t="s">
        <v>203</v>
      </c>
      <c r="SIY16" s="314" t="s">
        <v>203</v>
      </c>
      <c r="SIZ16" s="314" t="s">
        <v>203</v>
      </c>
      <c r="SJA16" s="314" t="s">
        <v>203</v>
      </c>
      <c r="SJB16" s="314" t="s">
        <v>203</v>
      </c>
      <c r="SJC16" s="314" t="s">
        <v>203</v>
      </c>
      <c r="SJD16" s="314" t="s">
        <v>203</v>
      </c>
      <c r="SJE16" s="314" t="s">
        <v>203</v>
      </c>
      <c r="SJF16" s="314" t="s">
        <v>203</v>
      </c>
      <c r="SJG16" s="314" t="s">
        <v>203</v>
      </c>
      <c r="SJH16" s="314" t="s">
        <v>203</v>
      </c>
      <c r="SJI16" s="314" t="s">
        <v>203</v>
      </c>
      <c r="SJJ16" s="314" t="s">
        <v>203</v>
      </c>
      <c r="SJK16" s="314" t="s">
        <v>203</v>
      </c>
      <c r="SJL16" s="314" t="s">
        <v>203</v>
      </c>
      <c r="SJM16" s="314" t="s">
        <v>203</v>
      </c>
      <c r="SJN16" s="314" t="s">
        <v>203</v>
      </c>
      <c r="SJO16" s="314" t="s">
        <v>203</v>
      </c>
      <c r="SJP16" s="314" t="s">
        <v>203</v>
      </c>
      <c r="SJQ16" s="314" t="s">
        <v>203</v>
      </c>
      <c r="SJR16" s="314" t="s">
        <v>203</v>
      </c>
      <c r="SJS16" s="314" t="s">
        <v>203</v>
      </c>
      <c r="SJT16" s="314" t="s">
        <v>203</v>
      </c>
      <c r="SJU16" s="314" t="s">
        <v>203</v>
      </c>
      <c r="SJV16" s="314" t="s">
        <v>203</v>
      </c>
      <c r="SJW16" s="314" t="s">
        <v>203</v>
      </c>
      <c r="SJX16" s="314" t="s">
        <v>203</v>
      </c>
      <c r="SJY16" s="314" t="s">
        <v>203</v>
      </c>
      <c r="SJZ16" s="314" t="s">
        <v>203</v>
      </c>
      <c r="SKA16" s="314" t="s">
        <v>203</v>
      </c>
      <c r="SKB16" s="314" t="s">
        <v>203</v>
      </c>
      <c r="SKC16" s="314" t="s">
        <v>203</v>
      </c>
      <c r="SKD16" s="314" t="s">
        <v>203</v>
      </c>
      <c r="SKE16" s="314" t="s">
        <v>203</v>
      </c>
      <c r="SKF16" s="314" t="s">
        <v>203</v>
      </c>
      <c r="SKG16" s="314" t="s">
        <v>203</v>
      </c>
      <c r="SKH16" s="314" t="s">
        <v>203</v>
      </c>
      <c r="SKI16" s="314" t="s">
        <v>203</v>
      </c>
      <c r="SKJ16" s="314" t="s">
        <v>203</v>
      </c>
      <c r="SKK16" s="314" t="s">
        <v>203</v>
      </c>
      <c r="SKL16" s="314" t="s">
        <v>203</v>
      </c>
      <c r="SKM16" s="314" t="s">
        <v>203</v>
      </c>
      <c r="SKN16" s="314" t="s">
        <v>203</v>
      </c>
      <c r="SKO16" s="314" t="s">
        <v>203</v>
      </c>
      <c r="SKP16" s="314" t="s">
        <v>203</v>
      </c>
      <c r="SKQ16" s="314" t="s">
        <v>203</v>
      </c>
      <c r="SKR16" s="314" t="s">
        <v>203</v>
      </c>
      <c r="SKS16" s="314" t="s">
        <v>203</v>
      </c>
      <c r="SKT16" s="314" t="s">
        <v>203</v>
      </c>
      <c r="SKU16" s="314" t="s">
        <v>203</v>
      </c>
      <c r="SKV16" s="314" t="s">
        <v>203</v>
      </c>
      <c r="SKW16" s="314" t="s">
        <v>203</v>
      </c>
      <c r="SKX16" s="314" t="s">
        <v>203</v>
      </c>
      <c r="SKY16" s="314" t="s">
        <v>203</v>
      </c>
      <c r="SKZ16" s="314" t="s">
        <v>203</v>
      </c>
      <c r="SLA16" s="314" t="s">
        <v>203</v>
      </c>
      <c r="SLB16" s="314" t="s">
        <v>203</v>
      </c>
      <c r="SLC16" s="314" t="s">
        <v>203</v>
      </c>
      <c r="SLD16" s="314" t="s">
        <v>203</v>
      </c>
      <c r="SLE16" s="314" t="s">
        <v>203</v>
      </c>
      <c r="SLF16" s="314" t="s">
        <v>203</v>
      </c>
      <c r="SLG16" s="314" t="s">
        <v>203</v>
      </c>
      <c r="SLH16" s="314" t="s">
        <v>203</v>
      </c>
      <c r="SLI16" s="314" t="s">
        <v>203</v>
      </c>
      <c r="SLJ16" s="314" t="s">
        <v>203</v>
      </c>
      <c r="SLK16" s="314" t="s">
        <v>203</v>
      </c>
      <c r="SLL16" s="314" t="s">
        <v>203</v>
      </c>
      <c r="SLM16" s="314" t="s">
        <v>203</v>
      </c>
      <c r="SLN16" s="314" t="s">
        <v>203</v>
      </c>
      <c r="SLO16" s="314" t="s">
        <v>203</v>
      </c>
      <c r="SLP16" s="314" t="s">
        <v>203</v>
      </c>
      <c r="SLQ16" s="314" t="s">
        <v>203</v>
      </c>
      <c r="SLR16" s="314" t="s">
        <v>203</v>
      </c>
      <c r="SLS16" s="314" t="s">
        <v>203</v>
      </c>
      <c r="SLT16" s="314" t="s">
        <v>203</v>
      </c>
      <c r="SLU16" s="314" t="s">
        <v>203</v>
      </c>
      <c r="SLV16" s="314" t="s">
        <v>203</v>
      </c>
      <c r="SLW16" s="314" t="s">
        <v>203</v>
      </c>
      <c r="SLX16" s="314" t="s">
        <v>203</v>
      </c>
      <c r="SLY16" s="314" t="s">
        <v>203</v>
      </c>
      <c r="SLZ16" s="314" t="s">
        <v>203</v>
      </c>
      <c r="SMA16" s="314" t="s">
        <v>203</v>
      </c>
      <c r="SMB16" s="314" t="s">
        <v>203</v>
      </c>
      <c r="SMC16" s="314" t="s">
        <v>203</v>
      </c>
      <c r="SMD16" s="314" t="s">
        <v>203</v>
      </c>
      <c r="SME16" s="314" t="s">
        <v>203</v>
      </c>
      <c r="SMF16" s="314" t="s">
        <v>203</v>
      </c>
      <c r="SMG16" s="314" t="s">
        <v>203</v>
      </c>
      <c r="SMH16" s="314" t="s">
        <v>203</v>
      </c>
      <c r="SMI16" s="314" t="s">
        <v>203</v>
      </c>
      <c r="SMJ16" s="314" t="s">
        <v>203</v>
      </c>
      <c r="SMK16" s="314" t="s">
        <v>203</v>
      </c>
      <c r="SML16" s="314" t="s">
        <v>203</v>
      </c>
      <c r="SMM16" s="314" t="s">
        <v>203</v>
      </c>
      <c r="SMN16" s="314" t="s">
        <v>203</v>
      </c>
      <c r="SMO16" s="314" t="s">
        <v>203</v>
      </c>
      <c r="SMP16" s="314" t="s">
        <v>203</v>
      </c>
      <c r="SMQ16" s="314" t="s">
        <v>203</v>
      </c>
      <c r="SMR16" s="314" t="s">
        <v>203</v>
      </c>
      <c r="SMS16" s="314" t="s">
        <v>203</v>
      </c>
      <c r="SMT16" s="314" t="s">
        <v>203</v>
      </c>
      <c r="SMU16" s="314" t="s">
        <v>203</v>
      </c>
      <c r="SMV16" s="314" t="s">
        <v>203</v>
      </c>
      <c r="SMW16" s="314" t="s">
        <v>203</v>
      </c>
      <c r="SMX16" s="314" t="s">
        <v>203</v>
      </c>
      <c r="SMY16" s="314" t="s">
        <v>203</v>
      </c>
      <c r="SMZ16" s="314" t="s">
        <v>203</v>
      </c>
      <c r="SNA16" s="314" t="s">
        <v>203</v>
      </c>
      <c r="SNB16" s="314" t="s">
        <v>203</v>
      </c>
      <c r="SNC16" s="314" t="s">
        <v>203</v>
      </c>
      <c r="SND16" s="314" t="s">
        <v>203</v>
      </c>
      <c r="SNE16" s="314" t="s">
        <v>203</v>
      </c>
      <c r="SNF16" s="314" t="s">
        <v>203</v>
      </c>
      <c r="SNG16" s="314" t="s">
        <v>203</v>
      </c>
      <c r="SNH16" s="314" t="s">
        <v>203</v>
      </c>
      <c r="SNI16" s="314" t="s">
        <v>203</v>
      </c>
      <c r="SNJ16" s="314" t="s">
        <v>203</v>
      </c>
      <c r="SNK16" s="314" t="s">
        <v>203</v>
      </c>
      <c r="SNL16" s="314" t="s">
        <v>203</v>
      </c>
      <c r="SNM16" s="314" t="s">
        <v>203</v>
      </c>
      <c r="SNN16" s="314" t="s">
        <v>203</v>
      </c>
      <c r="SNO16" s="314" t="s">
        <v>203</v>
      </c>
      <c r="SNP16" s="314" t="s">
        <v>203</v>
      </c>
      <c r="SNQ16" s="314" t="s">
        <v>203</v>
      </c>
      <c r="SNR16" s="314" t="s">
        <v>203</v>
      </c>
      <c r="SNS16" s="314" t="s">
        <v>203</v>
      </c>
      <c r="SNT16" s="314" t="s">
        <v>203</v>
      </c>
      <c r="SNU16" s="314" t="s">
        <v>203</v>
      </c>
      <c r="SNV16" s="314" t="s">
        <v>203</v>
      </c>
      <c r="SNW16" s="314" t="s">
        <v>203</v>
      </c>
      <c r="SNX16" s="314" t="s">
        <v>203</v>
      </c>
      <c r="SNY16" s="314" t="s">
        <v>203</v>
      </c>
      <c r="SNZ16" s="314" t="s">
        <v>203</v>
      </c>
      <c r="SOA16" s="314" t="s">
        <v>203</v>
      </c>
      <c r="SOB16" s="314" t="s">
        <v>203</v>
      </c>
      <c r="SOC16" s="314" t="s">
        <v>203</v>
      </c>
      <c r="SOD16" s="314" t="s">
        <v>203</v>
      </c>
      <c r="SOE16" s="314" t="s">
        <v>203</v>
      </c>
      <c r="SOF16" s="314" t="s">
        <v>203</v>
      </c>
      <c r="SOG16" s="314" t="s">
        <v>203</v>
      </c>
      <c r="SOH16" s="314" t="s">
        <v>203</v>
      </c>
      <c r="SOI16" s="314" t="s">
        <v>203</v>
      </c>
      <c r="SOJ16" s="314" t="s">
        <v>203</v>
      </c>
      <c r="SOK16" s="314" t="s">
        <v>203</v>
      </c>
      <c r="SOL16" s="314" t="s">
        <v>203</v>
      </c>
      <c r="SOM16" s="314" t="s">
        <v>203</v>
      </c>
      <c r="SON16" s="314" t="s">
        <v>203</v>
      </c>
      <c r="SOO16" s="314" t="s">
        <v>203</v>
      </c>
      <c r="SOP16" s="314" t="s">
        <v>203</v>
      </c>
      <c r="SOQ16" s="314" t="s">
        <v>203</v>
      </c>
      <c r="SOR16" s="314" t="s">
        <v>203</v>
      </c>
      <c r="SOS16" s="314" t="s">
        <v>203</v>
      </c>
      <c r="SOT16" s="314" t="s">
        <v>203</v>
      </c>
      <c r="SOU16" s="314" t="s">
        <v>203</v>
      </c>
      <c r="SOV16" s="314" t="s">
        <v>203</v>
      </c>
      <c r="SOW16" s="314" t="s">
        <v>203</v>
      </c>
      <c r="SOX16" s="314" t="s">
        <v>203</v>
      </c>
      <c r="SOY16" s="314" t="s">
        <v>203</v>
      </c>
      <c r="SOZ16" s="314" t="s">
        <v>203</v>
      </c>
      <c r="SPA16" s="314" t="s">
        <v>203</v>
      </c>
      <c r="SPB16" s="314" t="s">
        <v>203</v>
      </c>
      <c r="SPC16" s="314" t="s">
        <v>203</v>
      </c>
      <c r="SPD16" s="314" t="s">
        <v>203</v>
      </c>
      <c r="SPE16" s="314" t="s">
        <v>203</v>
      </c>
      <c r="SPF16" s="314" t="s">
        <v>203</v>
      </c>
      <c r="SPG16" s="314" t="s">
        <v>203</v>
      </c>
      <c r="SPH16" s="314" t="s">
        <v>203</v>
      </c>
      <c r="SPI16" s="314" t="s">
        <v>203</v>
      </c>
      <c r="SPJ16" s="314" t="s">
        <v>203</v>
      </c>
      <c r="SPK16" s="314" t="s">
        <v>203</v>
      </c>
      <c r="SPL16" s="314" t="s">
        <v>203</v>
      </c>
      <c r="SPM16" s="314" t="s">
        <v>203</v>
      </c>
      <c r="SPN16" s="314" t="s">
        <v>203</v>
      </c>
      <c r="SPO16" s="314" t="s">
        <v>203</v>
      </c>
      <c r="SPP16" s="314" t="s">
        <v>203</v>
      </c>
      <c r="SPQ16" s="314" t="s">
        <v>203</v>
      </c>
      <c r="SPR16" s="314" t="s">
        <v>203</v>
      </c>
      <c r="SPS16" s="314" t="s">
        <v>203</v>
      </c>
      <c r="SPT16" s="314" t="s">
        <v>203</v>
      </c>
      <c r="SPU16" s="314" t="s">
        <v>203</v>
      </c>
      <c r="SPV16" s="314" t="s">
        <v>203</v>
      </c>
      <c r="SPW16" s="314" t="s">
        <v>203</v>
      </c>
      <c r="SPX16" s="314" t="s">
        <v>203</v>
      </c>
      <c r="SPY16" s="314" t="s">
        <v>203</v>
      </c>
      <c r="SPZ16" s="314" t="s">
        <v>203</v>
      </c>
      <c r="SQA16" s="314" t="s">
        <v>203</v>
      </c>
      <c r="SQB16" s="314" t="s">
        <v>203</v>
      </c>
      <c r="SQC16" s="314" t="s">
        <v>203</v>
      </c>
      <c r="SQD16" s="314" t="s">
        <v>203</v>
      </c>
      <c r="SQE16" s="314" t="s">
        <v>203</v>
      </c>
      <c r="SQF16" s="314" t="s">
        <v>203</v>
      </c>
      <c r="SQG16" s="314" t="s">
        <v>203</v>
      </c>
      <c r="SQH16" s="314" t="s">
        <v>203</v>
      </c>
      <c r="SQI16" s="314" t="s">
        <v>203</v>
      </c>
      <c r="SQJ16" s="314" t="s">
        <v>203</v>
      </c>
      <c r="SQK16" s="314" t="s">
        <v>203</v>
      </c>
      <c r="SQL16" s="314" t="s">
        <v>203</v>
      </c>
      <c r="SQM16" s="314" t="s">
        <v>203</v>
      </c>
      <c r="SQN16" s="314" t="s">
        <v>203</v>
      </c>
      <c r="SQO16" s="314" t="s">
        <v>203</v>
      </c>
      <c r="SQP16" s="314" t="s">
        <v>203</v>
      </c>
      <c r="SQQ16" s="314" t="s">
        <v>203</v>
      </c>
      <c r="SQR16" s="314" t="s">
        <v>203</v>
      </c>
      <c r="SQS16" s="314" t="s">
        <v>203</v>
      </c>
      <c r="SQT16" s="314" t="s">
        <v>203</v>
      </c>
      <c r="SQU16" s="314" t="s">
        <v>203</v>
      </c>
      <c r="SQV16" s="314" t="s">
        <v>203</v>
      </c>
      <c r="SQW16" s="314" t="s">
        <v>203</v>
      </c>
      <c r="SQX16" s="314" t="s">
        <v>203</v>
      </c>
      <c r="SQY16" s="314" t="s">
        <v>203</v>
      </c>
      <c r="SQZ16" s="314" t="s">
        <v>203</v>
      </c>
      <c r="SRA16" s="314" t="s">
        <v>203</v>
      </c>
      <c r="SRB16" s="314" t="s">
        <v>203</v>
      </c>
      <c r="SRC16" s="314" t="s">
        <v>203</v>
      </c>
      <c r="SRD16" s="314" t="s">
        <v>203</v>
      </c>
      <c r="SRE16" s="314" t="s">
        <v>203</v>
      </c>
      <c r="SRF16" s="314" t="s">
        <v>203</v>
      </c>
      <c r="SRG16" s="314" t="s">
        <v>203</v>
      </c>
      <c r="SRH16" s="314" t="s">
        <v>203</v>
      </c>
      <c r="SRI16" s="314" t="s">
        <v>203</v>
      </c>
      <c r="SRJ16" s="314" t="s">
        <v>203</v>
      </c>
      <c r="SRK16" s="314" t="s">
        <v>203</v>
      </c>
      <c r="SRL16" s="314" t="s">
        <v>203</v>
      </c>
      <c r="SRM16" s="314" t="s">
        <v>203</v>
      </c>
      <c r="SRN16" s="314" t="s">
        <v>203</v>
      </c>
      <c r="SRO16" s="314" t="s">
        <v>203</v>
      </c>
      <c r="SRP16" s="314" t="s">
        <v>203</v>
      </c>
      <c r="SRQ16" s="314" t="s">
        <v>203</v>
      </c>
      <c r="SRR16" s="314" t="s">
        <v>203</v>
      </c>
      <c r="SRS16" s="314" t="s">
        <v>203</v>
      </c>
      <c r="SRT16" s="314" t="s">
        <v>203</v>
      </c>
      <c r="SRU16" s="314" t="s">
        <v>203</v>
      </c>
      <c r="SRV16" s="314" t="s">
        <v>203</v>
      </c>
      <c r="SRW16" s="314" t="s">
        <v>203</v>
      </c>
      <c r="SRX16" s="314" t="s">
        <v>203</v>
      </c>
      <c r="SRY16" s="314" t="s">
        <v>203</v>
      </c>
      <c r="SRZ16" s="314" t="s">
        <v>203</v>
      </c>
      <c r="SSA16" s="314" t="s">
        <v>203</v>
      </c>
      <c r="SSB16" s="314" t="s">
        <v>203</v>
      </c>
      <c r="SSC16" s="314" t="s">
        <v>203</v>
      </c>
      <c r="SSD16" s="314" t="s">
        <v>203</v>
      </c>
      <c r="SSE16" s="314" t="s">
        <v>203</v>
      </c>
      <c r="SSF16" s="314" t="s">
        <v>203</v>
      </c>
      <c r="SSG16" s="314" t="s">
        <v>203</v>
      </c>
      <c r="SSH16" s="314" t="s">
        <v>203</v>
      </c>
      <c r="SSI16" s="314" t="s">
        <v>203</v>
      </c>
      <c r="SSJ16" s="314" t="s">
        <v>203</v>
      </c>
      <c r="SSK16" s="314" t="s">
        <v>203</v>
      </c>
      <c r="SSL16" s="314" t="s">
        <v>203</v>
      </c>
      <c r="SSM16" s="314" t="s">
        <v>203</v>
      </c>
      <c r="SSN16" s="314" t="s">
        <v>203</v>
      </c>
      <c r="SSO16" s="314" t="s">
        <v>203</v>
      </c>
      <c r="SSP16" s="314" t="s">
        <v>203</v>
      </c>
      <c r="SSQ16" s="314" t="s">
        <v>203</v>
      </c>
      <c r="SSR16" s="314" t="s">
        <v>203</v>
      </c>
      <c r="SSS16" s="314" t="s">
        <v>203</v>
      </c>
      <c r="SST16" s="314" t="s">
        <v>203</v>
      </c>
      <c r="SSU16" s="314" t="s">
        <v>203</v>
      </c>
      <c r="SSV16" s="314" t="s">
        <v>203</v>
      </c>
      <c r="SSW16" s="314" t="s">
        <v>203</v>
      </c>
      <c r="SSX16" s="314" t="s">
        <v>203</v>
      </c>
      <c r="SSY16" s="314" t="s">
        <v>203</v>
      </c>
      <c r="SSZ16" s="314" t="s">
        <v>203</v>
      </c>
      <c r="STA16" s="314" t="s">
        <v>203</v>
      </c>
      <c r="STB16" s="314" t="s">
        <v>203</v>
      </c>
      <c r="STC16" s="314" t="s">
        <v>203</v>
      </c>
      <c r="STD16" s="314" t="s">
        <v>203</v>
      </c>
      <c r="STE16" s="314" t="s">
        <v>203</v>
      </c>
      <c r="STF16" s="314" t="s">
        <v>203</v>
      </c>
      <c r="STG16" s="314" t="s">
        <v>203</v>
      </c>
      <c r="STH16" s="314" t="s">
        <v>203</v>
      </c>
      <c r="STI16" s="314" t="s">
        <v>203</v>
      </c>
      <c r="STJ16" s="314" t="s">
        <v>203</v>
      </c>
      <c r="STK16" s="314" t="s">
        <v>203</v>
      </c>
      <c r="STL16" s="314" t="s">
        <v>203</v>
      </c>
      <c r="STM16" s="314" t="s">
        <v>203</v>
      </c>
      <c r="STN16" s="314" t="s">
        <v>203</v>
      </c>
      <c r="STO16" s="314" t="s">
        <v>203</v>
      </c>
      <c r="STP16" s="314" t="s">
        <v>203</v>
      </c>
      <c r="STQ16" s="314" t="s">
        <v>203</v>
      </c>
      <c r="STR16" s="314" t="s">
        <v>203</v>
      </c>
      <c r="STS16" s="314" t="s">
        <v>203</v>
      </c>
      <c r="STT16" s="314" t="s">
        <v>203</v>
      </c>
      <c r="STU16" s="314" t="s">
        <v>203</v>
      </c>
      <c r="STV16" s="314" t="s">
        <v>203</v>
      </c>
      <c r="STW16" s="314" t="s">
        <v>203</v>
      </c>
      <c r="STX16" s="314" t="s">
        <v>203</v>
      </c>
      <c r="STY16" s="314" t="s">
        <v>203</v>
      </c>
      <c r="STZ16" s="314" t="s">
        <v>203</v>
      </c>
      <c r="SUA16" s="314" t="s">
        <v>203</v>
      </c>
      <c r="SUB16" s="314" t="s">
        <v>203</v>
      </c>
      <c r="SUC16" s="314" t="s">
        <v>203</v>
      </c>
      <c r="SUD16" s="314" t="s">
        <v>203</v>
      </c>
      <c r="SUE16" s="314" t="s">
        <v>203</v>
      </c>
      <c r="SUF16" s="314" t="s">
        <v>203</v>
      </c>
      <c r="SUG16" s="314" t="s">
        <v>203</v>
      </c>
      <c r="SUH16" s="314" t="s">
        <v>203</v>
      </c>
      <c r="SUI16" s="314" t="s">
        <v>203</v>
      </c>
      <c r="SUJ16" s="314" t="s">
        <v>203</v>
      </c>
      <c r="SUK16" s="314" t="s">
        <v>203</v>
      </c>
      <c r="SUL16" s="314" t="s">
        <v>203</v>
      </c>
      <c r="SUM16" s="314" t="s">
        <v>203</v>
      </c>
      <c r="SUN16" s="314" t="s">
        <v>203</v>
      </c>
      <c r="SUO16" s="314" t="s">
        <v>203</v>
      </c>
      <c r="SUP16" s="314" t="s">
        <v>203</v>
      </c>
      <c r="SUQ16" s="314" t="s">
        <v>203</v>
      </c>
      <c r="SUR16" s="314" t="s">
        <v>203</v>
      </c>
      <c r="SUS16" s="314" t="s">
        <v>203</v>
      </c>
      <c r="SUT16" s="314" t="s">
        <v>203</v>
      </c>
      <c r="SUU16" s="314" t="s">
        <v>203</v>
      </c>
      <c r="SUV16" s="314" t="s">
        <v>203</v>
      </c>
      <c r="SUW16" s="314" t="s">
        <v>203</v>
      </c>
      <c r="SUX16" s="314" t="s">
        <v>203</v>
      </c>
      <c r="SUY16" s="314" t="s">
        <v>203</v>
      </c>
      <c r="SUZ16" s="314" t="s">
        <v>203</v>
      </c>
      <c r="SVA16" s="314" t="s">
        <v>203</v>
      </c>
      <c r="SVB16" s="314" t="s">
        <v>203</v>
      </c>
      <c r="SVC16" s="314" t="s">
        <v>203</v>
      </c>
      <c r="SVD16" s="314" t="s">
        <v>203</v>
      </c>
      <c r="SVE16" s="314" t="s">
        <v>203</v>
      </c>
      <c r="SVF16" s="314" t="s">
        <v>203</v>
      </c>
      <c r="SVG16" s="314" t="s">
        <v>203</v>
      </c>
      <c r="SVH16" s="314" t="s">
        <v>203</v>
      </c>
      <c r="SVI16" s="314" t="s">
        <v>203</v>
      </c>
      <c r="SVJ16" s="314" t="s">
        <v>203</v>
      </c>
      <c r="SVK16" s="314" t="s">
        <v>203</v>
      </c>
      <c r="SVL16" s="314" t="s">
        <v>203</v>
      </c>
      <c r="SVM16" s="314" t="s">
        <v>203</v>
      </c>
      <c r="SVN16" s="314" t="s">
        <v>203</v>
      </c>
      <c r="SVO16" s="314" t="s">
        <v>203</v>
      </c>
      <c r="SVP16" s="314" t="s">
        <v>203</v>
      </c>
      <c r="SVQ16" s="314" t="s">
        <v>203</v>
      </c>
      <c r="SVR16" s="314" t="s">
        <v>203</v>
      </c>
      <c r="SVS16" s="314" t="s">
        <v>203</v>
      </c>
      <c r="SVT16" s="314" t="s">
        <v>203</v>
      </c>
      <c r="SVU16" s="314" t="s">
        <v>203</v>
      </c>
      <c r="SVV16" s="314" t="s">
        <v>203</v>
      </c>
      <c r="SVW16" s="314" t="s">
        <v>203</v>
      </c>
      <c r="SVX16" s="314" t="s">
        <v>203</v>
      </c>
      <c r="SVY16" s="314" t="s">
        <v>203</v>
      </c>
      <c r="SVZ16" s="314" t="s">
        <v>203</v>
      </c>
      <c r="SWA16" s="314" t="s">
        <v>203</v>
      </c>
      <c r="SWB16" s="314" t="s">
        <v>203</v>
      </c>
      <c r="SWC16" s="314" t="s">
        <v>203</v>
      </c>
      <c r="SWD16" s="314" t="s">
        <v>203</v>
      </c>
      <c r="SWE16" s="314" t="s">
        <v>203</v>
      </c>
      <c r="SWF16" s="314" t="s">
        <v>203</v>
      </c>
      <c r="SWG16" s="314" t="s">
        <v>203</v>
      </c>
      <c r="SWH16" s="314" t="s">
        <v>203</v>
      </c>
      <c r="SWI16" s="314" t="s">
        <v>203</v>
      </c>
      <c r="SWJ16" s="314" t="s">
        <v>203</v>
      </c>
      <c r="SWK16" s="314" t="s">
        <v>203</v>
      </c>
      <c r="SWL16" s="314" t="s">
        <v>203</v>
      </c>
      <c r="SWM16" s="314" t="s">
        <v>203</v>
      </c>
      <c r="SWN16" s="314" t="s">
        <v>203</v>
      </c>
      <c r="SWO16" s="314" t="s">
        <v>203</v>
      </c>
      <c r="SWP16" s="314" t="s">
        <v>203</v>
      </c>
      <c r="SWQ16" s="314" t="s">
        <v>203</v>
      </c>
      <c r="SWR16" s="314" t="s">
        <v>203</v>
      </c>
      <c r="SWS16" s="314" t="s">
        <v>203</v>
      </c>
      <c r="SWT16" s="314" t="s">
        <v>203</v>
      </c>
      <c r="SWU16" s="314" t="s">
        <v>203</v>
      </c>
      <c r="SWV16" s="314" t="s">
        <v>203</v>
      </c>
      <c r="SWW16" s="314" t="s">
        <v>203</v>
      </c>
      <c r="SWX16" s="314" t="s">
        <v>203</v>
      </c>
      <c r="SWY16" s="314" t="s">
        <v>203</v>
      </c>
      <c r="SWZ16" s="314" t="s">
        <v>203</v>
      </c>
      <c r="SXA16" s="314" t="s">
        <v>203</v>
      </c>
      <c r="SXB16" s="314" t="s">
        <v>203</v>
      </c>
      <c r="SXC16" s="314" t="s">
        <v>203</v>
      </c>
      <c r="SXD16" s="314" t="s">
        <v>203</v>
      </c>
      <c r="SXE16" s="314" t="s">
        <v>203</v>
      </c>
      <c r="SXF16" s="314" t="s">
        <v>203</v>
      </c>
      <c r="SXG16" s="314" t="s">
        <v>203</v>
      </c>
      <c r="SXH16" s="314" t="s">
        <v>203</v>
      </c>
      <c r="SXI16" s="314" t="s">
        <v>203</v>
      </c>
      <c r="SXJ16" s="314" t="s">
        <v>203</v>
      </c>
      <c r="SXK16" s="314" t="s">
        <v>203</v>
      </c>
      <c r="SXL16" s="314" t="s">
        <v>203</v>
      </c>
      <c r="SXM16" s="314" t="s">
        <v>203</v>
      </c>
      <c r="SXN16" s="314" t="s">
        <v>203</v>
      </c>
      <c r="SXO16" s="314" t="s">
        <v>203</v>
      </c>
      <c r="SXP16" s="314" t="s">
        <v>203</v>
      </c>
      <c r="SXQ16" s="314" t="s">
        <v>203</v>
      </c>
      <c r="SXR16" s="314" t="s">
        <v>203</v>
      </c>
      <c r="SXS16" s="314" t="s">
        <v>203</v>
      </c>
      <c r="SXT16" s="314" t="s">
        <v>203</v>
      </c>
      <c r="SXU16" s="314" t="s">
        <v>203</v>
      </c>
      <c r="SXV16" s="314" t="s">
        <v>203</v>
      </c>
      <c r="SXW16" s="314" t="s">
        <v>203</v>
      </c>
      <c r="SXX16" s="314" t="s">
        <v>203</v>
      </c>
      <c r="SXY16" s="314" t="s">
        <v>203</v>
      </c>
      <c r="SXZ16" s="314" t="s">
        <v>203</v>
      </c>
      <c r="SYA16" s="314" t="s">
        <v>203</v>
      </c>
      <c r="SYB16" s="314" t="s">
        <v>203</v>
      </c>
      <c r="SYC16" s="314" t="s">
        <v>203</v>
      </c>
      <c r="SYD16" s="314" t="s">
        <v>203</v>
      </c>
      <c r="SYE16" s="314" t="s">
        <v>203</v>
      </c>
      <c r="SYF16" s="314" t="s">
        <v>203</v>
      </c>
      <c r="SYG16" s="314" t="s">
        <v>203</v>
      </c>
      <c r="SYH16" s="314" t="s">
        <v>203</v>
      </c>
      <c r="SYI16" s="314" t="s">
        <v>203</v>
      </c>
      <c r="SYJ16" s="314" t="s">
        <v>203</v>
      </c>
      <c r="SYK16" s="314" t="s">
        <v>203</v>
      </c>
      <c r="SYL16" s="314" t="s">
        <v>203</v>
      </c>
      <c r="SYM16" s="314" t="s">
        <v>203</v>
      </c>
      <c r="SYN16" s="314" t="s">
        <v>203</v>
      </c>
      <c r="SYO16" s="314" t="s">
        <v>203</v>
      </c>
      <c r="SYP16" s="314" t="s">
        <v>203</v>
      </c>
      <c r="SYQ16" s="314" t="s">
        <v>203</v>
      </c>
      <c r="SYR16" s="314" t="s">
        <v>203</v>
      </c>
      <c r="SYS16" s="314" t="s">
        <v>203</v>
      </c>
      <c r="SYT16" s="314" t="s">
        <v>203</v>
      </c>
      <c r="SYU16" s="314" t="s">
        <v>203</v>
      </c>
      <c r="SYV16" s="314" t="s">
        <v>203</v>
      </c>
      <c r="SYW16" s="314" t="s">
        <v>203</v>
      </c>
      <c r="SYX16" s="314" t="s">
        <v>203</v>
      </c>
      <c r="SYY16" s="314" t="s">
        <v>203</v>
      </c>
      <c r="SYZ16" s="314" t="s">
        <v>203</v>
      </c>
      <c r="SZA16" s="314" t="s">
        <v>203</v>
      </c>
      <c r="SZB16" s="314" t="s">
        <v>203</v>
      </c>
      <c r="SZC16" s="314" t="s">
        <v>203</v>
      </c>
      <c r="SZD16" s="314" t="s">
        <v>203</v>
      </c>
      <c r="SZE16" s="314" t="s">
        <v>203</v>
      </c>
      <c r="SZF16" s="314" t="s">
        <v>203</v>
      </c>
      <c r="SZG16" s="314" t="s">
        <v>203</v>
      </c>
      <c r="SZH16" s="314" t="s">
        <v>203</v>
      </c>
      <c r="SZI16" s="314" t="s">
        <v>203</v>
      </c>
      <c r="SZJ16" s="314" t="s">
        <v>203</v>
      </c>
      <c r="SZK16" s="314" t="s">
        <v>203</v>
      </c>
      <c r="SZL16" s="314" t="s">
        <v>203</v>
      </c>
      <c r="SZM16" s="314" t="s">
        <v>203</v>
      </c>
      <c r="SZN16" s="314" t="s">
        <v>203</v>
      </c>
      <c r="SZO16" s="314" t="s">
        <v>203</v>
      </c>
      <c r="SZP16" s="314" t="s">
        <v>203</v>
      </c>
      <c r="SZQ16" s="314" t="s">
        <v>203</v>
      </c>
      <c r="SZR16" s="314" t="s">
        <v>203</v>
      </c>
      <c r="SZS16" s="314" t="s">
        <v>203</v>
      </c>
      <c r="SZT16" s="314" t="s">
        <v>203</v>
      </c>
      <c r="SZU16" s="314" t="s">
        <v>203</v>
      </c>
      <c r="SZV16" s="314" t="s">
        <v>203</v>
      </c>
      <c r="SZW16" s="314" t="s">
        <v>203</v>
      </c>
      <c r="SZX16" s="314" t="s">
        <v>203</v>
      </c>
      <c r="SZY16" s="314" t="s">
        <v>203</v>
      </c>
      <c r="SZZ16" s="314" t="s">
        <v>203</v>
      </c>
      <c r="TAA16" s="314" t="s">
        <v>203</v>
      </c>
      <c r="TAB16" s="314" t="s">
        <v>203</v>
      </c>
      <c r="TAC16" s="314" t="s">
        <v>203</v>
      </c>
      <c r="TAD16" s="314" t="s">
        <v>203</v>
      </c>
      <c r="TAE16" s="314" t="s">
        <v>203</v>
      </c>
      <c r="TAF16" s="314" t="s">
        <v>203</v>
      </c>
      <c r="TAG16" s="314" t="s">
        <v>203</v>
      </c>
      <c r="TAH16" s="314" t="s">
        <v>203</v>
      </c>
      <c r="TAI16" s="314" t="s">
        <v>203</v>
      </c>
      <c r="TAJ16" s="314" t="s">
        <v>203</v>
      </c>
      <c r="TAK16" s="314" t="s">
        <v>203</v>
      </c>
      <c r="TAL16" s="314" t="s">
        <v>203</v>
      </c>
      <c r="TAM16" s="314" t="s">
        <v>203</v>
      </c>
      <c r="TAN16" s="314" t="s">
        <v>203</v>
      </c>
      <c r="TAO16" s="314" t="s">
        <v>203</v>
      </c>
      <c r="TAP16" s="314" t="s">
        <v>203</v>
      </c>
      <c r="TAQ16" s="314" t="s">
        <v>203</v>
      </c>
      <c r="TAR16" s="314" t="s">
        <v>203</v>
      </c>
      <c r="TAS16" s="314" t="s">
        <v>203</v>
      </c>
      <c r="TAT16" s="314" t="s">
        <v>203</v>
      </c>
      <c r="TAU16" s="314" t="s">
        <v>203</v>
      </c>
      <c r="TAV16" s="314" t="s">
        <v>203</v>
      </c>
      <c r="TAW16" s="314" t="s">
        <v>203</v>
      </c>
      <c r="TAX16" s="314" t="s">
        <v>203</v>
      </c>
      <c r="TAY16" s="314" t="s">
        <v>203</v>
      </c>
      <c r="TAZ16" s="314" t="s">
        <v>203</v>
      </c>
      <c r="TBA16" s="314" t="s">
        <v>203</v>
      </c>
      <c r="TBB16" s="314" t="s">
        <v>203</v>
      </c>
      <c r="TBC16" s="314" t="s">
        <v>203</v>
      </c>
      <c r="TBD16" s="314" t="s">
        <v>203</v>
      </c>
      <c r="TBE16" s="314" t="s">
        <v>203</v>
      </c>
      <c r="TBF16" s="314" t="s">
        <v>203</v>
      </c>
      <c r="TBG16" s="314" t="s">
        <v>203</v>
      </c>
      <c r="TBH16" s="314" t="s">
        <v>203</v>
      </c>
      <c r="TBI16" s="314" t="s">
        <v>203</v>
      </c>
      <c r="TBJ16" s="314" t="s">
        <v>203</v>
      </c>
      <c r="TBK16" s="314" t="s">
        <v>203</v>
      </c>
      <c r="TBL16" s="314" t="s">
        <v>203</v>
      </c>
      <c r="TBM16" s="314" t="s">
        <v>203</v>
      </c>
      <c r="TBN16" s="314" t="s">
        <v>203</v>
      </c>
      <c r="TBO16" s="314" t="s">
        <v>203</v>
      </c>
      <c r="TBP16" s="314" t="s">
        <v>203</v>
      </c>
      <c r="TBQ16" s="314" t="s">
        <v>203</v>
      </c>
      <c r="TBR16" s="314" t="s">
        <v>203</v>
      </c>
      <c r="TBS16" s="314" t="s">
        <v>203</v>
      </c>
      <c r="TBT16" s="314" t="s">
        <v>203</v>
      </c>
      <c r="TBU16" s="314" t="s">
        <v>203</v>
      </c>
      <c r="TBV16" s="314" t="s">
        <v>203</v>
      </c>
      <c r="TBW16" s="314" t="s">
        <v>203</v>
      </c>
      <c r="TBX16" s="314" t="s">
        <v>203</v>
      </c>
      <c r="TBY16" s="314" t="s">
        <v>203</v>
      </c>
      <c r="TBZ16" s="314" t="s">
        <v>203</v>
      </c>
      <c r="TCA16" s="314" t="s">
        <v>203</v>
      </c>
      <c r="TCB16" s="314" t="s">
        <v>203</v>
      </c>
      <c r="TCC16" s="314" t="s">
        <v>203</v>
      </c>
      <c r="TCD16" s="314" t="s">
        <v>203</v>
      </c>
      <c r="TCE16" s="314" t="s">
        <v>203</v>
      </c>
      <c r="TCF16" s="314" t="s">
        <v>203</v>
      </c>
      <c r="TCG16" s="314" t="s">
        <v>203</v>
      </c>
      <c r="TCH16" s="314" t="s">
        <v>203</v>
      </c>
      <c r="TCI16" s="314" t="s">
        <v>203</v>
      </c>
      <c r="TCJ16" s="314" t="s">
        <v>203</v>
      </c>
      <c r="TCK16" s="314" t="s">
        <v>203</v>
      </c>
      <c r="TCL16" s="314" t="s">
        <v>203</v>
      </c>
      <c r="TCM16" s="314" t="s">
        <v>203</v>
      </c>
      <c r="TCN16" s="314" t="s">
        <v>203</v>
      </c>
      <c r="TCO16" s="314" t="s">
        <v>203</v>
      </c>
      <c r="TCP16" s="314" t="s">
        <v>203</v>
      </c>
      <c r="TCQ16" s="314" t="s">
        <v>203</v>
      </c>
      <c r="TCR16" s="314" t="s">
        <v>203</v>
      </c>
      <c r="TCS16" s="314" t="s">
        <v>203</v>
      </c>
      <c r="TCT16" s="314" t="s">
        <v>203</v>
      </c>
      <c r="TCU16" s="314" t="s">
        <v>203</v>
      </c>
      <c r="TCV16" s="314" t="s">
        <v>203</v>
      </c>
      <c r="TCW16" s="314" t="s">
        <v>203</v>
      </c>
      <c r="TCX16" s="314" t="s">
        <v>203</v>
      </c>
      <c r="TCY16" s="314" t="s">
        <v>203</v>
      </c>
      <c r="TCZ16" s="314" t="s">
        <v>203</v>
      </c>
      <c r="TDA16" s="314" t="s">
        <v>203</v>
      </c>
      <c r="TDB16" s="314" t="s">
        <v>203</v>
      </c>
      <c r="TDC16" s="314" t="s">
        <v>203</v>
      </c>
      <c r="TDD16" s="314" t="s">
        <v>203</v>
      </c>
      <c r="TDE16" s="314" t="s">
        <v>203</v>
      </c>
      <c r="TDF16" s="314" t="s">
        <v>203</v>
      </c>
      <c r="TDG16" s="314" t="s">
        <v>203</v>
      </c>
      <c r="TDH16" s="314" t="s">
        <v>203</v>
      </c>
      <c r="TDI16" s="314" t="s">
        <v>203</v>
      </c>
      <c r="TDJ16" s="314" t="s">
        <v>203</v>
      </c>
      <c r="TDK16" s="314" t="s">
        <v>203</v>
      </c>
      <c r="TDL16" s="314" t="s">
        <v>203</v>
      </c>
      <c r="TDM16" s="314" t="s">
        <v>203</v>
      </c>
      <c r="TDN16" s="314" t="s">
        <v>203</v>
      </c>
      <c r="TDO16" s="314" t="s">
        <v>203</v>
      </c>
      <c r="TDP16" s="314" t="s">
        <v>203</v>
      </c>
      <c r="TDQ16" s="314" t="s">
        <v>203</v>
      </c>
      <c r="TDR16" s="314" t="s">
        <v>203</v>
      </c>
      <c r="TDS16" s="314" t="s">
        <v>203</v>
      </c>
      <c r="TDT16" s="314" t="s">
        <v>203</v>
      </c>
      <c r="TDU16" s="314" t="s">
        <v>203</v>
      </c>
      <c r="TDV16" s="314" t="s">
        <v>203</v>
      </c>
      <c r="TDW16" s="314" t="s">
        <v>203</v>
      </c>
      <c r="TDX16" s="314" t="s">
        <v>203</v>
      </c>
      <c r="TDY16" s="314" t="s">
        <v>203</v>
      </c>
      <c r="TDZ16" s="314" t="s">
        <v>203</v>
      </c>
      <c r="TEA16" s="314" t="s">
        <v>203</v>
      </c>
      <c r="TEB16" s="314" t="s">
        <v>203</v>
      </c>
      <c r="TEC16" s="314" t="s">
        <v>203</v>
      </c>
      <c r="TED16" s="314" t="s">
        <v>203</v>
      </c>
      <c r="TEE16" s="314" t="s">
        <v>203</v>
      </c>
      <c r="TEF16" s="314" t="s">
        <v>203</v>
      </c>
      <c r="TEG16" s="314" t="s">
        <v>203</v>
      </c>
      <c r="TEH16" s="314" t="s">
        <v>203</v>
      </c>
      <c r="TEI16" s="314" t="s">
        <v>203</v>
      </c>
      <c r="TEJ16" s="314" t="s">
        <v>203</v>
      </c>
      <c r="TEK16" s="314" t="s">
        <v>203</v>
      </c>
      <c r="TEL16" s="314" t="s">
        <v>203</v>
      </c>
      <c r="TEM16" s="314" t="s">
        <v>203</v>
      </c>
      <c r="TEN16" s="314" t="s">
        <v>203</v>
      </c>
      <c r="TEO16" s="314" t="s">
        <v>203</v>
      </c>
      <c r="TEP16" s="314" t="s">
        <v>203</v>
      </c>
      <c r="TEQ16" s="314" t="s">
        <v>203</v>
      </c>
      <c r="TER16" s="314" t="s">
        <v>203</v>
      </c>
      <c r="TES16" s="314" t="s">
        <v>203</v>
      </c>
      <c r="TET16" s="314" t="s">
        <v>203</v>
      </c>
      <c r="TEU16" s="314" t="s">
        <v>203</v>
      </c>
      <c r="TEV16" s="314" t="s">
        <v>203</v>
      </c>
      <c r="TEW16" s="314" t="s">
        <v>203</v>
      </c>
      <c r="TEX16" s="314" t="s">
        <v>203</v>
      </c>
      <c r="TEY16" s="314" t="s">
        <v>203</v>
      </c>
      <c r="TEZ16" s="314" t="s">
        <v>203</v>
      </c>
      <c r="TFA16" s="314" t="s">
        <v>203</v>
      </c>
      <c r="TFB16" s="314" t="s">
        <v>203</v>
      </c>
      <c r="TFC16" s="314" t="s">
        <v>203</v>
      </c>
      <c r="TFD16" s="314" t="s">
        <v>203</v>
      </c>
      <c r="TFE16" s="314" t="s">
        <v>203</v>
      </c>
      <c r="TFF16" s="314" t="s">
        <v>203</v>
      </c>
      <c r="TFG16" s="314" t="s">
        <v>203</v>
      </c>
      <c r="TFH16" s="314" t="s">
        <v>203</v>
      </c>
      <c r="TFI16" s="314" t="s">
        <v>203</v>
      </c>
      <c r="TFJ16" s="314" t="s">
        <v>203</v>
      </c>
      <c r="TFK16" s="314" t="s">
        <v>203</v>
      </c>
      <c r="TFL16" s="314" t="s">
        <v>203</v>
      </c>
      <c r="TFM16" s="314" t="s">
        <v>203</v>
      </c>
      <c r="TFN16" s="314" t="s">
        <v>203</v>
      </c>
      <c r="TFO16" s="314" t="s">
        <v>203</v>
      </c>
      <c r="TFP16" s="314" t="s">
        <v>203</v>
      </c>
      <c r="TFQ16" s="314" t="s">
        <v>203</v>
      </c>
      <c r="TFR16" s="314" t="s">
        <v>203</v>
      </c>
      <c r="TFS16" s="314" t="s">
        <v>203</v>
      </c>
      <c r="TFT16" s="314" t="s">
        <v>203</v>
      </c>
      <c r="TFU16" s="314" t="s">
        <v>203</v>
      </c>
      <c r="TFV16" s="314" t="s">
        <v>203</v>
      </c>
      <c r="TFW16" s="314" t="s">
        <v>203</v>
      </c>
      <c r="TFX16" s="314" t="s">
        <v>203</v>
      </c>
      <c r="TFY16" s="314" t="s">
        <v>203</v>
      </c>
      <c r="TFZ16" s="314" t="s">
        <v>203</v>
      </c>
      <c r="TGA16" s="314" t="s">
        <v>203</v>
      </c>
      <c r="TGB16" s="314" t="s">
        <v>203</v>
      </c>
      <c r="TGC16" s="314" t="s">
        <v>203</v>
      </c>
      <c r="TGD16" s="314" t="s">
        <v>203</v>
      </c>
      <c r="TGE16" s="314" t="s">
        <v>203</v>
      </c>
      <c r="TGF16" s="314" t="s">
        <v>203</v>
      </c>
      <c r="TGG16" s="314" t="s">
        <v>203</v>
      </c>
      <c r="TGH16" s="314" t="s">
        <v>203</v>
      </c>
      <c r="TGI16" s="314" t="s">
        <v>203</v>
      </c>
      <c r="TGJ16" s="314" t="s">
        <v>203</v>
      </c>
      <c r="TGK16" s="314" t="s">
        <v>203</v>
      </c>
      <c r="TGL16" s="314" t="s">
        <v>203</v>
      </c>
      <c r="TGM16" s="314" t="s">
        <v>203</v>
      </c>
      <c r="TGN16" s="314" t="s">
        <v>203</v>
      </c>
      <c r="TGO16" s="314" t="s">
        <v>203</v>
      </c>
      <c r="TGP16" s="314" t="s">
        <v>203</v>
      </c>
      <c r="TGQ16" s="314" t="s">
        <v>203</v>
      </c>
      <c r="TGR16" s="314" t="s">
        <v>203</v>
      </c>
      <c r="TGS16" s="314" t="s">
        <v>203</v>
      </c>
      <c r="TGT16" s="314" t="s">
        <v>203</v>
      </c>
      <c r="TGU16" s="314" t="s">
        <v>203</v>
      </c>
      <c r="TGV16" s="314" t="s">
        <v>203</v>
      </c>
      <c r="TGW16" s="314" t="s">
        <v>203</v>
      </c>
      <c r="TGX16" s="314" t="s">
        <v>203</v>
      </c>
      <c r="TGY16" s="314" t="s">
        <v>203</v>
      </c>
      <c r="TGZ16" s="314" t="s">
        <v>203</v>
      </c>
      <c r="THA16" s="314" t="s">
        <v>203</v>
      </c>
      <c r="THB16" s="314" t="s">
        <v>203</v>
      </c>
      <c r="THC16" s="314" t="s">
        <v>203</v>
      </c>
      <c r="THD16" s="314" t="s">
        <v>203</v>
      </c>
      <c r="THE16" s="314" t="s">
        <v>203</v>
      </c>
      <c r="THF16" s="314" t="s">
        <v>203</v>
      </c>
      <c r="THG16" s="314" t="s">
        <v>203</v>
      </c>
      <c r="THH16" s="314" t="s">
        <v>203</v>
      </c>
      <c r="THI16" s="314" t="s">
        <v>203</v>
      </c>
      <c r="THJ16" s="314" t="s">
        <v>203</v>
      </c>
      <c r="THK16" s="314" t="s">
        <v>203</v>
      </c>
      <c r="THL16" s="314" t="s">
        <v>203</v>
      </c>
      <c r="THM16" s="314" t="s">
        <v>203</v>
      </c>
      <c r="THN16" s="314" t="s">
        <v>203</v>
      </c>
      <c r="THO16" s="314" t="s">
        <v>203</v>
      </c>
      <c r="THP16" s="314" t="s">
        <v>203</v>
      </c>
      <c r="THQ16" s="314" t="s">
        <v>203</v>
      </c>
      <c r="THR16" s="314" t="s">
        <v>203</v>
      </c>
      <c r="THS16" s="314" t="s">
        <v>203</v>
      </c>
      <c r="THT16" s="314" t="s">
        <v>203</v>
      </c>
      <c r="THU16" s="314" t="s">
        <v>203</v>
      </c>
      <c r="THV16" s="314" t="s">
        <v>203</v>
      </c>
      <c r="THW16" s="314" t="s">
        <v>203</v>
      </c>
      <c r="THX16" s="314" t="s">
        <v>203</v>
      </c>
      <c r="THY16" s="314" t="s">
        <v>203</v>
      </c>
      <c r="THZ16" s="314" t="s">
        <v>203</v>
      </c>
      <c r="TIA16" s="314" t="s">
        <v>203</v>
      </c>
      <c r="TIB16" s="314" t="s">
        <v>203</v>
      </c>
      <c r="TIC16" s="314" t="s">
        <v>203</v>
      </c>
      <c r="TID16" s="314" t="s">
        <v>203</v>
      </c>
      <c r="TIE16" s="314" t="s">
        <v>203</v>
      </c>
      <c r="TIF16" s="314" t="s">
        <v>203</v>
      </c>
      <c r="TIG16" s="314" t="s">
        <v>203</v>
      </c>
      <c r="TIH16" s="314" t="s">
        <v>203</v>
      </c>
      <c r="TII16" s="314" t="s">
        <v>203</v>
      </c>
      <c r="TIJ16" s="314" t="s">
        <v>203</v>
      </c>
      <c r="TIK16" s="314" t="s">
        <v>203</v>
      </c>
      <c r="TIL16" s="314" t="s">
        <v>203</v>
      </c>
      <c r="TIM16" s="314" t="s">
        <v>203</v>
      </c>
      <c r="TIN16" s="314" t="s">
        <v>203</v>
      </c>
      <c r="TIO16" s="314" t="s">
        <v>203</v>
      </c>
      <c r="TIP16" s="314" t="s">
        <v>203</v>
      </c>
      <c r="TIQ16" s="314" t="s">
        <v>203</v>
      </c>
      <c r="TIR16" s="314" t="s">
        <v>203</v>
      </c>
      <c r="TIS16" s="314" t="s">
        <v>203</v>
      </c>
      <c r="TIT16" s="314" t="s">
        <v>203</v>
      </c>
      <c r="TIU16" s="314" t="s">
        <v>203</v>
      </c>
      <c r="TIV16" s="314" t="s">
        <v>203</v>
      </c>
      <c r="TIW16" s="314" t="s">
        <v>203</v>
      </c>
      <c r="TIX16" s="314" t="s">
        <v>203</v>
      </c>
      <c r="TIY16" s="314" t="s">
        <v>203</v>
      </c>
      <c r="TIZ16" s="314" t="s">
        <v>203</v>
      </c>
      <c r="TJA16" s="314" t="s">
        <v>203</v>
      </c>
      <c r="TJB16" s="314" t="s">
        <v>203</v>
      </c>
      <c r="TJC16" s="314" t="s">
        <v>203</v>
      </c>
      <c r="TJD16" s="314" t="s">
        <v>203</v>
      </c>
      <c r="TJE16" s="314" t="s">
        <v>203</v>
      </c>
      <c r="TJF16" s="314" t="s">
        <v>203</v>
      </c>
      <c r="TJG16" s="314" t="s">
        <v>203</v>
      </c>
      <c r="TJH16" s="314" t="s">
        <v>203</v>
      </c>
      <c r="TJI16" s="314" t="s">
        <v>203</v>
      </c>
      <c r="TJJ16" s="314" t="s">
        <v>203</v>
      </c>
      <c r="TJK16" s="314" t="s">
        <v>203</v>
      </c>
      <c r="TJL16" s="314" t="s">
        <v>203</v>
      </c>
      <c r="TJM16" s="314" t="s">
        <v>203</v>
      </c>
      <c r="TJN16" s="314" t="s">
        <v>203</v>
      </c>
      <c r="TJO16" s="314" t="s">
        <v>203</v>
      </c>
      <c r="TJP16" s="314" t="s">
        <v>203</v>
      </c>
      <c r="TJQ16" s="314" t="s">
        <v>203</v>
      </c>
      <c r="TJR16" s="314" t="s">
        <v>203</v>
      </c>
      <c r="TJS16" s="314" t="s">
        <v>203</v>
      </c>
      <c r="TJT16" s="314" t="s">
        <v>203</v>
      </c>
      <c r="TJU16" s="314" t="s">
        <v>203</v>
      </c>
      <c r="TJV16" s="314" t="s">
        <v>203</v>
      </c>
      <c r="TJW16" s="314" t="s">
        <v>203</v>
      </c>
      <c r="TJX16" s="314" t="s">
        <v>203</v>
      </c>
      <c r="TJY16" s="314" t="s">
        <v>203</v>
      </c>
      <c r="TJZ16" s="314" t="s">
        <v>203</v>
      </c>
      <c r="TKA16" s="314" t="s">
        <v>203</v>
      </c>
      <c r="TKB16" s="314" t="s">
        <v>203</v>
      </c>
      <c r="TKC16" s="314" t="s">
        <v>203</v>
      </c>
      <c r="TKD16" s="314" t="s">
        <v>203</v>
      </c>
      <c r="TKE16" s="314" t="s">
        <v>203</v>
      </c>
      <c r="TKF16" s="314" t="s">
        <v>203</v>
      </c>
      <c r="TKG16" s="314" t="s">
        <v>203</v>
      </c>
      <c r="TKH16" s="314" t="s">
        <v>203</v>
      </c>
      <c r="TKI16" s="314" t="s">
        <v>203</v>
      </c>
      <c r="TKJ16" s="314" t="s">
        <v>203</v>
      </c>
      <c r="TKK16" s="314" t="s">
        <v>203</v>
      </c>
      <c r="TKL16" s="314" t="s">
        <v>203</v>
      </c>
      <c r="TKM16" s="314" t="s">
        <v>203</v>
      </c>
      <c r="TKN16" s="314" t="s">
        <v>203</v>
      </c>
      <c r="TKO16" s="314" t="s">
        <v>203</v>
      </c>
      <c r="TKP16" s="314" t="s">
        <v>203</v>
      </c>
      <c r="TKQ16" s="314" t="s">
        <v>203</v>
      </c>
      <c r="TKR16" s="314" t="s">
        <v>203</v>
      </c>
      <c r="TKS16" s="314" t="s">
        <v>203</v>
      </c>
      <c r="TKT16" s="314" t="s">
        <v>203</v>
      </c>
      <c r="TKU16" s="314" t="s">
        <v>203</v>
      </c>
      <c r="TKV16" s="314" t="s">
        <v>203</v>
      </c>
      <c r="TKW16" s="314" t="s">
        <v>203</v>
      </c>
      <c r="TKX16" s="314" t="s">
        <v>203</v>
      </c>
      <c r="TKY16" s="314" t="s">
        <v>203</v>
      </c>
      <c r="TKZ16" s="314" t="s">
        <v>203</v>
      </c>
      <c r="TLA16" s="314" t="s">
        <v>203</v>
      </c>
      <c r="TLB16" s="314" t="s">
        <v>203</v>
      </c>
      <c r="TLC16" s="314" t="s">
        <v>203</v>
      </c>
      <c r="TLD16" s="314" t="s">
        <v>203</v>
      </c>
      <c r="TLE16" s="314" t="s">
        <v>203</v>
      </c>
      <c r="TLF16" s="314" t="s">
        <v>203</v>
      </c>
      <c r="TLG16" s="314" t="s">
        <v>203</v>
      </c>
      <c r="TLH16" s="314" t="s">
        <v>203</v>
      </c>
      <c r="TLI16" s="314" t="s">
        <v>203</v>
      </c>
      <c r="TLJ16" s="314" t="s">
        <v>203</v>
      </c>
      <c r="TLK16" s="314" t="s">
        <v>203</v>
      </c>
      <c r="TLL16" s="314" t="s">
        <v>203</v>
      </c>
      <c r="TLM16" s="314" t="s">
        <v>203</v>
      </c>
      <c r="TLN16" s="314" t="s">
        <v>203</v>
      </c>
      <c r="TLO16" s="314" t="s">
        <v>203</v>
      </c>
      <c r="TLP16" s="314" t="s">
        <v>203</v>
      </c>
      <c r="TLQ16" s="314" t="s">
        <v>203</v>
      </c>
      <c r="TLR16" s="314" t="s">
        <v>203</v>
      </c>
      <c r="TLS16" s="314" t="s">
        <v>203</v>
      </c>
      <c r="TLT16" s="314" t="s">
        <v>203</v>
      </c>
      <c r="TLU16" s="314" t="s">
        <v>203</v>
      </c>
      <c r="TLV16" s="314" t="s">
        <v>203</v>
      </c>
      <c r="TLW16" s="314" t="s">
        <v>203</v>
      </c>
      <c r="TLX16" s="314" t="s">
        <v>203</v>
      </c>
      <c r="TLY16" s="314" t="s">
        <v>203</v>
      </c>
      <c r="TLZ16" s="314" t="s">
        <v>203</v>
      </c>
      <c r="TMA16" s="314" t="s">
        <v>203</v>
      </c>
      <c r="TMB16" s="314" t="s">
        <v>203</v>
      </c>
      <c r="TMC16" s="314" t="s">
        <v>203</v>
      </c>
      <c r="TMD16" s="314" t="s">
        <v>203</v>
      </c>
      <c r="TME16" s="314" t="s">
        <v>203</v>
      </c>
      <c r="TMF16" s="314" t="s">
        <v>203</v>
      </c>
      <c r="TMG16" s="314" t="s">
        <v>203</v>
      </c>
      <c r="TMH16" s="314" t="s">
        <v>203</v>
      </c>
      <c r="TMI16" s="314" t="s">
        <v>203</v>
      </c>
      <c r="TMJ16" s="314" t="s">
        <v>203</v>
      </c>
      <c r="TMK16" s="314" t="s">
        <v>203</v>
      </c>
      <c r="TML16" s="314" t="s">
        <v>203</v>
      </c>
      <c r="TMM16" s="314" t="s">
        <v>203</v>
      </c>
      <c r="TMN16" s="314" t="s">
        <v>203</v>
      </c>
      <c r="TMO16" s="314" t="s">
        <v>203</v>
      </c>
      <c r="TMP16" s="314" t="s">
        <v>203</v>
      </c>
      <c r="TMQ16" s="314" t="s">
        <v>203</v>
      </c>
      <c r="TMR16" s="314" t="s">
        <v>203</v>
      </c>
      <c r="TMS16" s="314" t="s">
        <v>203</v>
      </c>
      <c r="TMT16" s="314" t="s">
        <v>203</v>
      </c>
      <c r="TMU16" s="314" t="s">
        <v>203</v>
      </c>
      <c r="TMV16" s="314" t="s">
        <v>203</v>
      </c>
      <c r="TMW16" s="314" t="s">
        <v>203</v>
      </c>
      <c r="TMX16" s="314" t="s">
        <v>203</v>
      </c>
      <c r="TMY16" s="314" t="s">
        <v>203</v>
      </c>
      <c r="TMZ16" s="314" t="s">
        <v>203</v>
      </c>
      <c r="TNA16" s="314" t="s">
        <v>203</v>
      </c>
      <c r="TNB16" s="314" t="s">
        <v>203</v>
      </c>
      <c r="TNC16" s="314" t="s">
        <v>203</v>
      </c>
      <c r="TND16" s="314" t="s">
        <v>203</v>
      </c>
      <c r="TNE16" s="314" t="s">
        <v>203</v>
      </c>
      <c r="TNF16" s="314" t="s">
        <v>203</v>
      </c>
      <c r="TNG16" s="314" t="s">
        <v>203</v>
      </c>
      <c r="TNH16" s="314" t="s">
        <v>203</v>
      </c>
      <c r="TNI16" s="314" t="s">
        <v>203</v>
      </c>
      <c r="TNJ16" s="314" t="s">
        <v>203</v>
      </c>
      <c r="TNK16" s="314" t="s">
        <v>203</v>
      </c>
      <c r="TNL16" s="314" t="s">
        <v>203</v>
      </c>
      <c r="TNM16" s="314" t="s">
        <v>203</v>
      </c>
      <c r="TNN16" s="314" t="s">
        <v>203</v>
      </c>
      <c r="TNO16" s="314" t="s">
        <v>203</v>
      </c>
      <c r="TNP16" s="314" t="s">
        <v>203</v>
      </c>
      <c r="TNQ16" s="314" t="s">
        <v>203</v>
      </c>
      <c r="TNR16" s="314" t="s">
        <v>203</v>
      </c>
      <c r="TNS16" s="314" t="s">
        <v>203</v>
      </c>
      <c r="TNT16" s="314" t="s">
        <v>203</v>
      </c>
      <c r="TNU16" s="314" t="s">
        <v>203</v>
      </c>
      <c r="TNV16" s="314" t="s">
        <v>203</v>
      </c>
      <c r="TNW16" s="314" t="s">
        <v>203</v>
      </c>
      <c r="TNX16" s="314" t="s">
        <v>203</v>
      </c>
      <c r="TNY16" s="314" t="s">
        <v>203</v>
      </c>
      <c r="TNZ16" s="314" t="s">
        <v>203</v>
      </c>
      <c r="TOA16" s="314" t="s">
        <v>203</v>
      </c>
      <c r="TOB16" s="314" t="s">
        <v>203</v>
      </c>
      <c r="TOC16" s="314" t="s">
        <v>203</v>
      </c>
      <c r="TOD16" s="314" t="s">
        <v>203</v>
      </c>
      <c r="TOE16" s="314" t="s">
        <v>203</v>
      </c>
      <c r="TOF16" s="314" t="s">
        <v>203</v>
      </c>
      <c r="TOG16" s="314" t="s">
        <v>203</v>
      </c>
      <c r="TOH16" s="314" t="s">
        <v>203</v>
      </c>
      <c r="TOI16" s="314" t="s">
        <v>203</v>
      </c>
      <c r="TOJ16" s="314" t="s">
        <v>203</v>
      </c>
      <c r="TOK16" s="314" t="s">
        <v>203</v>
      </c>
      <c r="TOL16" s="314" t="s">
        <v>203</v>
      </c>
      <c r="TOM16" s="314" t="s">
        <v>203</v>
      </c>
      <c r="TON16" s="314" t="s">
        <v>203</v>
      </c>
      <c r="TOO16" s="314" t="s">
        <v>203</v>
      </c>
      <c r="TOP16" s="314" t="s">
        <v>203</v>
      </c>
      <c r="TOQ16" s="314" t="s">
        <v>203</v>
      </c>
      <c r="TOR16" s="314" t="s">
        <v>203</v>
      </c>
      <c r="TOS16" s="314" t="s">
        <v>203</v>
      </c>
      <c r="TOT16" s="314" t="s">
        <v>203</v>
      </c>
      <c r="TOU16" s="314" t="s">
        <v>203</v>
      </c>
      <c r="TOV16" s="314" t="s">
        <v>203</v>
      </c>
      <c r="TOW16" s="314" t="s">
        <v>203</v>
      </c>
      <c r="TOX16" s="314" t="s">
        <v>203</v>
      </c>
      <c r="TOY16" s="314" t="s">
        <v>203</v>
      </c>
      <c r="TOZ16" s="314" t="s">
        <v>203</v>
      </c>
      <c r="TPA16" s="314" t="s">
        <v>203</v>
      </c>
      <c r="TPB16" s="314" t="s">
        <v>203</v>
      </c>
      <c r="TPC16" s="314" t="s">
        <v>203</v>
      </c>
      <c r="TPD16" s="314" t="s">
        <v>203</v>
      </c>
      <c r="TPE16" s="314" t="s">
        <v>203</v>
      </c>
      <c r="TPF16" s="314" t="s">
        <v>203</v>
      </c>
      <c r="TPG16" s="314" t="s">
        <v>203</v>
      </c>
      <c r="TPH16" s="314" t="s">
        <v>203</v>
      </c>
      <c r="TPI16" s="314" t="s">
        <v>203</v>
      </c>
      <c r="TPJ16" s="314" t="s">
        <v>203</v>
      </c>
      <c r="TPK16" s="314" t="s">
        <v>203</v>
      </c>
      <c r="TPL16" s="314" t="s">
        <v>203</v>
      </c>
      <c r="TPM16" s="314" t="s">
        <v>203</v>
      </c>
      <c r="TPN16" s="314" t="s">
        <v>203</v>
      </c>
      <c r="TPO16" s="314" t="s">
        <v>203</v>
      </c>
      <c r="TPP16" s="314" t="s">
        <v>203</v>
      </c>
      <c r="TPQ16" s="314" t="s">
        <v>203</v>
      </c>
      <c r="TPR16" s="314" t="s">
        <v>203</v>
      </c>
      <c r="TPS16" s="314" t="s">
        <v>203</v>
      </c>
      <c r="TPT16" s="314" t="s">
        <v>203</v>
      </c>
      <c r="TPU16" s="314" t="s">
        <v>203</v>
      </c>
      <c r="TPV16" s="314" t="s">
        <v>203</v>
      </c>
      <c r="TPW16" s="314" t="s">
        <v>203</v>
      </c>
      <c r="TPX16" s="314" t="s">
        <v>203</v>
      </c>
      <c r="TPY16" s="314" t="s">
        <v>203</v>
      </c>
      <c r="TPZ16" s="314" t="s">
        <v>203</v>
      </c>
      <c r="TQA16" s="314" t="s">
        <v>203</v>
      </c>
      <c r="TQB16" s="314" t="s">
        <v>203</v>
      </c>
      <c r="TQC16" s="314" t="s">
        <v>203</v>
      </c>
      <c r="TQD16" s="314" t="s">
        <v>203</v>
      </c>
      <c r="TQE16" s="314" t="s">
        <v>203</v>
      </c>
      <c r="TQF16" s="314" t="s">
        <v>203</v>
      </c>
      <c r="TQG16" s="314" t="s">
        <v>203</v>
      </c>
      <c r="TQH16" s="314" t="s">
        <v>203</v>
      </c>
      <c r="TQI16" s="314" t="s">
        <v>203</v>
      </c>
      <c r="TQJ16" s="314" t="s">
        <v>203</v>
      </c>
      <c r="TQK16" s="314" t="s">
        <v>203</v>
      </c>
      <c r="TQL16" s="314" t="s">
        <v>203</v>
      </c>
      <c r="TQM16" s="314" t="s">
        <v>203</v>
      </c>
      <c r="TQN16" s="314" t="s">
        <v>203</v>
      </c>
      <c r="TQO16" s="314" t="s">
        <v>203</v>
      </c>
      <c r="TQP16" s="314" t="s">
        <v>203</v>
      </c>
      <c r="TQQ16" s="314" t="s">
        <v>203</v>
      </c>
      <c r="TQR16" s="314" t="s">
        <v>203</v>
      </c>
      <c r="TQS16" s="314" t="s">
        <v>203</v>
      </c>
      <c r="TQT16" s="314" t="s">
        <v>203</v>
      </c>
      <c r="TQU16" s="314" t="s">
        <v>203</v>
      </c>
      <c r="TQV16" s="314" t="s">
        <v>203</v>
      </c>
      <c r="TQW16" s="314" t="s">
        <v>203</v>
      </c>
      <c r="TQX16" s="314" t="s">
        <v>203</v>
      </c>
      <c r="TQY16" s="314" t="s">
        <v>203</v>
      </c>
      <c r="TQZ16" s="314" t="s">
        <v>203</v>
      </c>
      <c r="TRA16" s="314" t="s">
        <v>203</v>
      </c>
      <c r="TRB16" s="314" t="s">
        <v>203</v>
      </c>
      <c r="TRC16" s="314" t="s">
        <v>203</v>
      </c>
      <c r="TRD16" s="314" t="s">
        <v>203</v>
      </c>
      <c r="TRE16" s="314" t="s">
        <v>203</v>
      </c>
      <c r="TRF16" s="314" t="s">
        <v>203</v>
      </c>
      <c r="TRG16" s="314" t="s">
        <v>203</v>
      </c>
      <c r="TRH16" s="314" t="s">
        <v>203</v>
      </c>
      <c r="TRI16" s="314" t="s">
        <v>203</v>
      </c>
      <c r="TRJ16" s="314" t="s">
        <v>203</v>
      </c>
      <c r="TRK16" s="314" t="s">
        <v>203</v>
      </c>
      <c r="TRL16" s="314" t="s">
        <v>203</v>
      </c>
      <c r="TRM16" s="314" t="s">
        <v>203</v>
      </c>
      <c r="TRN16" s="314" t="s">
        <v>203</v>
      </c>
      <c r="TRO16" s="314" t="s">
        <v>203</v>
      </c>
      <c r="TRP16" s="314" t="s">
        <v>203</v>
      </c>
      <c r="TRQ16" s="314" t="s">
        <v>203</v>
      </c>
      <c r="TRR16" s="314" t="s">
        <v>203</v>
      </c>
      <c r="TRS16" s="314" t="s">
        <v>203</v>
      </c>
      <c r="TRT16" s="314" t="s">
        <v>203</v>
      </c>
      <c r="TRU16" s="314" t="s">
        <v>203</v>
      </c>
      <c r="TRV16" s="314" t="s">
        <v>203</v>
      </c>
      <c r="TRW16" s="314" t="s">
        <v>203</v>
      </c>
      <c r="TRX16" s="314" t="s">
        <v>203</v>
      </c>
      <c r="TRY16" s="314" t="s">
        <v>203</v>
      </c>
      <c r="TRZ16" s="314" t="s">
        <v>203</v>
      </c>
      <c r="TSA16" s="314" t="s">
        <v>203</v>
      </c>
      <c r="TSB16" s="314" t="s">
        <v>203</v>
      </c>
      <c r="TSC16" s="314" t="s">
        <v>203</v>
      </c>
      <c r="TSD16" s="314" t="s">
        <v>203</v>
      </c>
      <c r="TSE16" s="314" t="s">
        <v>203</v>
      </c>
      <c r="TSF16" s="314" t="s">
        <v>203</v>
      </c>
      <c r="TSG16" s="314" t="s">
        <v>203</v>
      </c>
      <c r="TSH16" s="314" t="s">
        <v>203</v>
      </c>
      <c r="TSI16" s="314" t="s">
        <v>203</v>
      </c>
      <c r="TSJ16" s="314" t="s">
        <v>203</v>
      </c>
      <c r="TSK16" s="314" t="s">
        <v>203</v>
      </c>
      <c r="TSL16" s="314" t="s">
        <v>203</v>
      </c>
      <c r="TSM16" s="314" t="s">
        <v>203</v>
      </c>
      <c r="TSN16" s="314" t="s">
        <v>203</v>
      </c>
      <c r="TSO16" s="314" t="s">
        <v>203</v>
      </c>
      <c r="TSP16" s="314" t="s">
        <v>203</v>
      </c>
      <c r="TSQ16" s="314" t="s">
        <v>203</v>
      </c>
      <c r="TSR16" s="314" t="s">
        <v>203</v>
      </c>
      <c r="TSS16" s="314" t="s">
        <v>203</v>
      </c>
      <c r="TST16" s="314" t="s">
        <v>203</v>
      </c>
      <c r="TSU16" s="314" t="s">
        <v>203</v>
      </c>
      <c r="TSV16" s="314" t="s">
        <v>203</v>
      </c>
      <c r="TSW16" s="314" t="s">
        <v>203</v>
      </c>
      <c r="TSX16" s="314" t="s">
        <v>203</v>
      </c>
      <c r="TSY16" s="314" t="s">
        <v>203</v>
      </c>
      <c r="TSZ16" s="314" t="s">
        <v>203</v>
      </c>
      <c r="TTA16" s="314" t="s">
        <v>203</v>
      </c>
      <c r="TTB16" s="314" t="s">
        <v>203</v>
      </c>
      <c r="TTC16" s="314" t="s">
        <v>203</v>
      </c>
      <c r="TTD16" s="314" t="s">
        <v>203</v>
      </c>
      <c r="TTE16" s="314" t="s">
        <v>203</v>
      </c>
      <c r="TTF16" s="314" t="s">
        <v>203</v>
      </c>
      <c r="TTG16" s="314" t="s">
        <v>203</v>
      </c>
      <c r="TTH16" s="314" t="s">
        <v>203</v>
      </c>
      <c r="TTI16" s="314" t="s">
        <v>203</v>
      </c>
      <c r="TTJ16" s="314" t="s">
        <v>203</v>
      </c>
      <c r="TTK16" s="314" t="s">
        <v>203</v>
      </c>
      <c r="TTL16" s="314" t="s">
        <v>203</v>
      </c>
      <c r="TTM16" s="314" t="s">
        <v>203</v>
      </c>
      <c r="TTN16" s="314" t="s">
        <v>203</v>
      </c>
      <c r="TTO16" s="314" t="s">
        <v>203</v>
      </c>
      <c r="TTP16" s="314" t="s">
        <v>203</v>
      </c>
      <c r="TTQ16" s="314" t="s">
        <v>203</v>
      </c>
      <c r="TTR16" s="314" t="s">
        <v>203</v>
      </c>
      <c r="TTS16" s="314" t="s">
        <v>203</v>
      </c>
      <c r="TTT16" s="314" t="s">
        <v>203</v>
      </c>
      <c r="TTU16" s="314" t="s">
        <v>203</v>
      </c>
      <c r="TTV16" s="314" t="s">
        <v>203</v>
      </c>
      <c r="TTW16" s="314" t="s">
        <v>203</v>
      </c>
      <c r="TTX16" s="314" t="s">
        <v>203</v>
      </c>
      <c r="TTY16" s="314" t="s">
        <v>203</v>
      </c>
      <c r="TTZ16" s="314" t="s">
        <v>203</v>
      </c>
      <c r="TUA16" s="314" t="s">
        <v>203</v>
      </c>
      <c r="TUB16" s="314" t="s">
        <v>203</v>
      </c>
      <c r="TUC16" s="314" t="s">
        <v>203</v>
      </c>
      <c r="TUD16" s="314" t="s">
        <v>203</v>
      </c>
      <c r="TUE16" s="314" t="s">
        <v>203</v>
      </c>
      <c r="TUF16" s="314" t="s">
        <v>203</v>
      </c>
      <c r="TUG16" s="314" t="s">
        <v>203</v>
      </c>
      <c r="TUH16" s="314" t="s">
        <v>203</v>
      </c>
      <c r="TUI16" s="314" t="s">
        <v>203</v>
      </c>
      <c r="TUJ16" s="314" t="s">
        <v>203</v>
      </c>
      <c r="TUK16" s="314" t="s">
        <v>203</v>
      </c>
      <c r="TUL16" s="314" t="s">
        <v>203</v>
      </c>
      <c r="TUM16" s="314" t="s">
        <v>203</v>
      </c>
      <c r="TUN16" s="314" t="s">
        <v>203</v>
      </c>
      <c r="TUO16" s="314" t="s">
        <v>203</v>
      </c>
      <c r="TUP16" s="314" t="s">
        <v>203</v>
      </c>
      <c r="TUQ16" s="314" t="s">
        <v>203</v>
      </c>
      <c r="TUR16" s="314" t="s">
        <v>203</v>
      </c>
      <c r="TUS16" s="314" t="s">
        <v>203</v>
      </c>
      <c r="TUT16" s="314" t="s">
        <v>203</v>
      </c>
      <c r="TUU16" s="314" t="s">
        <v>203</v>
      </c>
      <c r="TUV16" s="314" t="s">
        <v>203</v>
      </c>
      <c r="TUW16" s="314" t="s">
        <v>203</v>
      </c>
      <c r="TUX16" s="314" t="s">
        <v>203</v>
      </c>
      <c r="TUY16" s="314" t="s">
        <v>203</v>
      </c>
      <c r="TUZ16" s="314" t="s">
        <v>203</v>
      </c>
      <c r="TVA16" s="314" t="s">
        <v>203</v>
      </c>
      <c r="TVB16" s="314" t="s">
        <v>203</v>
      </c>
      <c r="TVC16" s="314" t="s">
        <v>203</v>
      </c>
      <c r="TVD16" s="314" t="s">
        <v>203</v>
      </c>
      <c r="TVE16" s="314" t="s">
        <v>203</v>
      </c>
      <c r="TVF16" s="314" t="s">
        <v>203</v>
      </c>
      <c r="TVG16" s="314" t="s">
        <v>203</v>
      </c>
      <c r="TVH16" s="314" t="s">
        <v>203</v>
      </c>
      <c r="TVI16" s="314" t="s">
        <v>203</v>
      </c>
      <c r="TVJ16" s="314" t="s">
        <v>203</v>
      </c>
      <c r="TVK16" s="314" t="s">
        <v>203</v>
      </c>
      <c r="TVL16" s="314" t="s">
        <v>203</v>
      </c>
      <c r="TVM16" s="314" t="s">
        <v>203</v>
      </c>
      <c r="TVN16" s="314" t="s">
        <v>203</v>
      </c>
      <c r="TVO16" s="314" t="s">
        <v>203</v>
      </c>
      <c r="TVP16" s="314" t="s">
        <v>203</v>
      </c>
      <c r="TVQ16" s="314" t="s">
        <v>203</v>
      </c>
      <c r="TVR16" s="314" t="s">
        <v>203</v>
      </c>
      <c r="TVS16" s="314" t="s">
        <v>203</v>
      </c>
      <c r="TVT16" s="314" t="s">
        <v>203</v>
      </c>
      <c r="TVU16" s="314" t="s">
        <v>203</v>
      </c>
      <c r="TVV16" s="314" t="s">
        <v>203</v>
      </c>
      <c r="TVW16" s="314" t="s">
        <v>203</v>
      </c>
      <c r="TVX16" s="314" t="s">
        <v>203</v>
      </c>
      <c r="TVY16" s="314" t="s">
        <v>203</v>
      </c>
      <c r="TVZ16" s="314" t="s">
        <v>203</v>
      </c>
      <c r="TWA16" s="314" t="s">
        <v>203</v>
      </c>
      <c r="TWB16" s="314" t="s">
        <v>203</v>
      </c>
      <c r="TWC16" s="314" t="s">
        <v>203</v>
      </c>
      <c r="TWD16" s="314" t="s">
        <v>203</v>
      </c>
      <c r="TWE16" s="314" t="s">
        <v>203</v>
      </c>
      <c r="TWF16" s="314" t="s">
        <v>203</v>
      </c>
      <c r="TWG16" s="314" t="s">
        <v>203</v>
      </c>
      <c r="TWH16" s="314" t="s">
        <v>203</v>
      </c>
      <c r="TWI16" s="314" t="s">
        <v>203</v>
      </c>
      <c r="TWJ16" s="314" t="s">
        <v>203</v>
      </c>
      <c r="TWK16" s="314" t="s">
        <v>203</v>
      </c>
      <c r="TWL16" s="314" t="s">
        <v>203</v>
      </c>
      <c r="TWM16" s="314" t="s">
        <v>203</v>
      </c>
      <c r="TWN16" s="314" t="s">
        <v>203</v>
      </c>
      <c r="TWO16" s="314" t="s">
        <v>203</v>
      </c>
      <c r="TWP16" s="314" t="s">
        <v>203</v>
      </c>
      <c r="TWQ16" s="314" t="s">
        <v>203</v>
      </c>
      <c r="TWR16" s="314" t="s">
        <v>203</v>
      </c>
      <c r="TWS16" s="314" t="s">
        <v>203</v>
      </c>
      <c r="TWT16" s="314" t="s">
        <v>203</v>
      </c>
      <c r="TWU16" s="314" t="s">
        <v>203</v>
      </c>
      <c r="TWV16" s="314" t="s">
        <v>203</v>
      </c>
      <c r="TWW16" s="314" t="s">
        <v>203</v>
      </c>
      <c r="TWX16" s="314" t="s">
        <v>203</v>
      </c>
      <c r="TWY16" s="314" t="s">
        <v>203</v>
      </c>
      <c r="TWZ16" s="314" t="s">
        <v>203</v>
      </c>
      <c r="TXA16" s="314" t="s">
        <v>203</v>
      </c>
      <c r="TXB16" s="314" t="s">
        <v>203</v>
      </c>
      <c r="TXC16" s="314" t="s">
        <v>203</v>
      </c>
      <c r="TXD16" s="314" t="s">
        <v>203</v>
      </c>
      <c r="TXE16" s="314" t="s">
        <v>203</v>
      </c>
      <c r="TXF16" s="314" t="s">
        <v>203</v>
      </c>
      <c r="TXG16" s="314" t="s">
        <v>203</v>
      </c>
      <c r="TXH16" s="314" t="s">
        <v>203</v>
      </c>
      <c r="TXI16" s="314" t="s">
        <v>203</v>
      </c>
      <c r="TXJ16" s="314" t="s">
        <v>203</v>
      </c>
      <c r="TXK16" s="314" t="s">
        <v>203</v>
      </c>
      <c r="TXL16" s="314" t="s">
        <v>203</v>
      </c>
      <c r="TXM16" s="314" t="s">
        <v>203</v>
      </c>
      <c r="TXN16" s="314" t="s">
        <v>203</v>
      </c>
      <c r="TXO16" s="314" t="s">
        <v>203</v>
      </c>
      <c r="TXP16" s="314" t="s">
        <v>203</v>
      </c>
      <c r="TXQ16" s="314" t="s">
        <v>203</v>
      </c>
      <c r="TXR16" s="314" t="s">
        <v>203</v>
      </c>
      <c r="TXS16" s="314" t="s">
        <v>203</v>
      </c>
      <c r="TXT16" s="314" t="s">
        <v>203</v>
      </c>
      <c r="TXU16" s="314" t="s">
        <v>203</v>
      </c>
      <c r="TXV16" s="314" t="s">
        <v>203</v>
      </c>
      <c r="TXW16" s="314" t="s">
        <v>203</v>
      </c>
      <c r="TXX16" s="314" t="s">
        <v>203</v>
      </c>
      <c r="TXY16" s="314" t="s">
        <v>203</v>
      </c>
      <c r="TXZ16" s="314" t="s">
        <v>203</v>
      </c>
      <c r="TYA16" s="314" t="s">
        <v>203</v>
      </c>
      <c r="TYB16" s="314" t="s">
        <v>203</v>
      </c>
      <c r="TYC16" s="314" t="s">
        <v>203</v>
      </c>
      <c r="TYD16" s="314" t="s">
        <v>203</v>
      </c>
      <c r="TYE16" s="314" t="s">
        <v>203</v>
      </c>
      <c r="TYF16" s="314" t="s">
        <v>203</v>
      </c>
      <c r="TYG16" s="314" t="s">
        <v>203</v>
      </c>
      <c r="TYH16" s="314" t="s">
        <v>203</v>
      </c>
      <c r="TYI16" s="314" t="s">
        <v>203</v>
      </c>
      <c r="TYJ16" s="314" t="s">
        <v>203</v>
      </c>
      <c r="TYK16" s="314" t="s">
        <v>203</v>
      </c>
      <c r="TYL16" s="314" t="s">
        <v>203</v>
      </c>
      <c r="TYM16" s="314" t="s">
        <v>203</v>
      </c>
      <c r="TYN16" s="314" t="s">
        <v>203</v>
      </c>
      <c r="TYO16" s="314" t="s">
        <v>203</v>
      </c>
      <c r="TYP16" s="314" t="s">
        <v>203</v>
      </c>
      <c r="TYQ16" s="314" t="s">
        <v>203</v>
      </c>
      <c r="TYR16" s="314" t="s">
        <v>203</v>
      </c>
      <c r="TYS16" s="314" t="s">
        <v>203</v>
      </c>
      <c r="TYT16" s="314" t="s">
        <v>203</v>
      </c>
      <c r="TYU16" s="314" t="s">
        <v>203</v>
      </c>
      <c r="TYV16" s="314" t="s">
        <v>203</v>
      </c>
      <c r="TYW16" s="314" t="s">
        <v>203</v>
      </c>
      <c r="TYX16" s="314" t="s">
        <v>203</v>
      </c>
      <c r="TYY16" s="314" t="s">
        <v>203</v>
      </c>
      <c r="TYZ16" s="314" t="s">
        <v>203</v>
      </c>
      <c r="TZA16" s="314" t="s">
        <v>203</v>
      </c>
      <c r="TZB16" s="314" t="s">
        <v>203</v>
      </c>
      <c r="TZC16" s="314" t="s">
        <v>203</v>
      </c>
      <c r="TZD16" s="314" t="s">
        <v>203</v>
      </c>
      <c r="TZE16" s="314" t="s">
        <v>203</v>
      </c>
      <c r="TZF16" s="314" t="s">
        <v>203</v>
      </c>
      <c r="TZG16" s="314" t="s">
        <v>203</v>
      </c>
      <c r="TZH16" s="314" t="s">
        <v>203</v>
      </c>
      <c r="TZI16" s="314" t="s">
        <v>203</v>
      </c>
      <c r="TZJ16" s="314" t="s">
        <v>203</v>
      </c>
      <c r="TZK16" s="314" t="s">
        <v>203</v>
      </c>
      <c r="TZL16" s="314" t="s">
        <v>203</v>
      </c>
      <c r="TZM16" s="314" t="s">
        <v>203</v>
      </c>
      <c r="TZN16" s="314" t="s">
        <v>203</v>
      </c>
      <c r="TZO16" s="314" t="s">
        <v>203</v>
      </c>
      <c r="TZP16" s="314" t="s">
        <v>203</v>
      </c>
      <c r="TZQ16" s="314" t="s">
        <v>203</v>
      </c>
      <c r="TZR16" s="314" t="s">
        <v>203</v>
      </c>
      <c r="TZS16" s="314" t="s">
        <v>203</v>
      </c>
      <c r="TZT16" s="314" t="s">
        <v>203</v>
      </c>
      <c r="TZU16" s="314" t="s">
        <v>203</v>
      </c>
      <c r="TZV16" s="314" t="s">
        <v>203</v>
      </c>
      <c r="TZW16" s="314" t="s">
        <v>203</v>
      </c>
      <c r="TZX16" s="314" t="s">
        <v>203</v>
      </c>
      <c r="TZY16" s="314" t="s">
        <v>203</v>
      </c>
      <c r="TZZ16" s="314" t="s">
        <v>203</v>
      </c>
      <c r="UAA16" s="314" t="s">
        <v>203</v>
      </c>
      <c r="UAB16" s="314" t="s">
        <v>203</v>
      </c>
      <c r="UAC16" s="314" t="s">
        <v>203</v>
      </c>
      <c r="UAD16" s="314" t="s">
        <v>203</v>
      </c>
      <c r="UAE16" s="314" t="s">
        <v>203</v>
      </c>
      <c r="UAF16" s="314" t="s">
        <v>203</v>
      </c>
      <c r="UAG16" s="314" t="s">
        <v>203</v>
      </c>
      <c r="UAH16" s="314" t="s">
        <v>203</v>
      </c>
      <c r="UAI16" s="314" t="s">
        <v>203</v>
      </c>
      <c r="UAJ16" s="314" t="s">
        <v>203</v>
      </c>
      <c r="UAK16" s="314" t="s">
        <v>203</v>
      </c>
      <c r="UAL16" s="314" t="s">
        <v>203</v>
      </c>
      <c r="UAM16" s="314" t="s">
        <v>203</v>
      </c>
      <c r="UAN16" s="314" t="s">
        <v>203</v>
      </c>
      <c r="UAO16" s="314" t="s">
        <v>203</v>
      </c>
      <c r="UAP16" s="314" t="s">
        <v>203</v>
      </c>
      <c r="UAQ16" s="314" t="s">
        <v>203</v>
      </c>
      <c r="UAR16" s="314" t="s">
        <v>203</v>
      </c>
      <c r="UAS16" s="314" t="s">
        <v>203</v>
      </c>
      <c r="UAT16" s="314" t="s">
        <v>203</v>
      </c>
      <c r="UAU16" s="314" t="s">
        <v>203</v>
      </c>
      <c r="UAV16" s="314" t="s">
        <v>203</v>
      </c>
      <c r="UAW16" s="314" t="s">
        <v>203</v>
      </c>
      <c r="UAX16" s="314" t="s">
        <v>203</v>
      </c>
      <c r="UAY16" s="314" t="s">
        <v>203</v>
      </c>
      <c r="UAZ16" s="314" t="s">
        <v>203</v>
      </c>
      <c r="UBA16" s="314" t="s">
        <v>203</v>
      </c>
      <c r="UBB16" s="314" t="s">
        <v>203</v>
      </c>
      <c r="UBC16" s="314" t="s">
        <v>203</v>
      </c>
      <c r="UBD16" s="314" t="s">
        <v>203</v>
      </c>
      <c r="UBE16" s="314" t="s">
        <v>203</v>
      </c>
      <c r="UBF16" s="314" t="s">
        <v>203</v>
      </c>
      <c r="UBG16" s="314" t="s">
        <v>203</v>
      </c>
      <c r="UBH16" s="314" t="s">
        <v>203</v>
      </c>
      <c r="UBI16" s="314" t="s">
        <v>203</v>
      </c>
      <c r="UBJ16" s="314" t="s">
        <v>203</v>
      </c>
      <c r="UBK16" s="314" t="s">
        <v>203</v>
      </c>
      <c r="UBL16" s="314" t="s">
        <v>203</v>
      </c>
      <c r="UBM16" s="314" t="s">
        <v>203</v>
      </c>
      <c r="UBN16" s="314" t="s">
        <v>203</v>
      </c>
      <c r="UBO16" s="314" t="s">
        <v>203</v>
      </c>
      <c r="UBP16" s="314" t="s">
        <v>203</v>
      </c>
      <c r="UBQ16" s="314" t="s">
        <v>203</v>
      </c>
      <c r="UBR16" s="314" t="s">
        <v>203</v>
      </c>
      <c r="UBS16" s="314" t="s">
        <v>203</v>
      </c>
      <c r="UBT16" s="314" t="s">
        <v>203</v>
      </c>
      <c r="UBU16" s="314" t="s">
        <v>203</v>
      </c>
      <c r="UBV16" s="314" t="s">
        <v>203</v>
      </c>
      <c r="UBW16" s="314" t="s">
        <v>203</v>
      </c>
      <c r="UBX16" s="314" t="s">
        <v>203</v>
      </c>
      <c r="UBY16" s="314" t="s">
        <v>203</v>
      </c>
      <c r="UBZ16" s="314" t="s">
        <v>203</v>
      </c>
      <c r="UCA16" s="314" t="s">
        <v>203</v>
      </c>
      <c r="UCB16" s="314" t="s">
        <v>203</v>
      </c>
      <c r="UCC16" s="314" t="s">
        <v>203</v>
      </c>
      <c r="UCD16" s="314" t="s">
        <v>203</v>
      </c>
      <c r="UCE16" s="314" t="s">
        <v>203</v>
      </c>
      <c r="UCF16" s="314" t="s">
        <v>203</v>
      </c>
      <c r="UCG16" s="314" t="s">
        <v>203</v>
      </c>
      <c r="UCH16" s="314" t="s">
        <v>203</v>
      </c>
      <c r="UCI16" s="314" t="s">
        <v>203</v>
      </c>
      <c r="UCJ16" s="314" t="s">
        <v>203</v>
      </c>
      <c r="UCK16" s="314" t="s">
        <v>203</v>
      </c>
      <c r="UCL16" s="314" t="s">
        <v>203</v>
      </c>
      <c r="UCM16" s="314" t="s">
        <v>203</v>
      </c>
      <c r="UCN16" s="314" t="s">
        <v>203</v>
      </c>
      <c r="UCO16" s="314" t="s">
        <v>203</v>
      </c>
      <c r="UCP16" s="314" t="s">
        <v>203</v>
      </c>
      <c r="UCQ16" s="314" t="s">
        <v>203</v>
      </c>
      <c r="UCR16" s="314" t="s">
        <v>203</v>
      </c>
      <c r="UCS16" s="314" t="s">
        <v>203</v>
      </c>
      <c r="UCT16" s="314" t="s">
        <v>203</v>
      </c>
      <c r="UCU16" s="314" t="s">
        <v>203</v>
      </c>
      <c r="UCV16" s="314" t="s">
        <v>203</v>
      </c>
      <c r="UCW16" s="314" t="s">
        <v>203</v>
      </c>
      <c r="UCX16" s="314" t="s">
        <v>203</v>
      </c>
      <c r="UCY16" s="314" t="s">
        <v>203</v>
      </c>
      <c r="UCZ16" s="314" t="s">
        <v>203</v>
      </c>
      <c r="UDA16" s="314" t="s">
        <v>203</v>
      </c>
      <c r="UDB16" s="314" t="s">
        <v>203</v>
      </c>
      <c r="UDC16" s="314" t="s">
        <v>203</v>
      </c>
      <c r="UDD16" s="314" t="s">
        <v>203</v>
      </c>
      <c r="UDE16" s="314" t="s">
        <v>203</v>
      </c>
      <c r="UDF16" s="314" t="s">
        <v>203</v>
      </c>
      <c r="UDG16" s="314" t="s">
        <v>203</v>
      </c>
      <c r="UDH16" s="314" t="s">
        <v>203</v>
      </c>
      <c r="UDI16" s="314" t="s">
        <v>203</v>
      </c>
      <c r="UDJ16" s="314" t="s">
        <v>203</v>
      </c>
      <c r="UDK16" s="314" t="s">
        <v>203</v>
      </c>
      <c r="UDL16" s="314" t="s">
        <v>203</v>
      </c>
      <c r="UDM16" s="314" t="s">
        <v>203</v>
      </c>
      <c r="UDN16" s="314" t="s">
        <v>203</v>
      </c>
      <c r="UDO16" s="314" t="s">
        <v>203</v>
      </c>
      <c r="UDP16" s="314" t="s">
        <v>203</v>
      </c>
      <c r="UDQ16" s="314" t="s">
        <v>203</v>
      </c>
      <c r="UDR16" s="314" t="s">
        <v>203</v>
      </c>
      <c r="UDS16" s="314" t="s">
        <v>203</v>
      </c>
      <c r="UDT16" s="314" t="s">
        <v>203</v>
      </c>
      <c r="UDU16" s="314" t="s">
        <v>203</v>
      </c>
      <c r="UDV16" s="314" t="s">
        <v>203</v>
      </c>
      <c r="UDW16" s="314" t="s">
        <v>203</v>
      </c>
      <c r="UDX16" s="314" t="s">
        <v>203</v>
      </c>
      <c r="UDY16" s="314" t="s">
        <v>203</v>
      </c>
      <c r="UDZ16" s="314" t="s">
        <v>203</v>
      </c>
      <c r="UEA16" s="314" t="s">
        <v>203</v>
      </c>
      <c r="UEB16" s="314" t="s">
        <v>203</v>
      </c>
      <c r="UEC16" s="314" t="s">
        <v>203</v>
      </c>
      <c r="UED16" s="314" t="s">
        <v>203</v>
      </c>
      <c r="UEE16" s="314" t="s">
        <v>203</v>
      </c>
      <c r="UEF16" s="314" t="s">
        <v>203</v>
      </c>
      <c r="UEG16" s="314" t="s">
        <v>203</v>
      </c>
      <c r="UEH16" s="314" t="s">
        <v>203</v>
      </c>
      <c r="UEI16" s="314" t="s">
        <v>203</v>
      </c>
      <c r="UEJ16" s="314" t="s">
        <v>203</v>
      </c>
      <c r="UEK16" s="314" t="s">
        <v>203</v>
      </c>
      <c r="UEL16" s="314" t="s">
        <v>203</v>
      </c>
      <c r="UEM16" s="314" t="s">
        <v>203</v>
      </c>
      <c r="UEN16" s="314" t="s">
        <v>203</v>
      </c>
      <c r="UEO16" s="314" t="s">
        <v>203</v>
      </c>
      <c r="UEP16" s="314" t="s">
        <v>203</v>
      </c>
      <c r="UEQ16" s="314" t="s">
        <v>203</v>
      </c>
      <c r="UER16" s="314" t="s">
        <v>203</v>
      </c>
      <c r="UES16" s="314" t="s">
        <v>203</v>
      </c>
      <c r="UET16" s="314" t="s">
        <v>203</v>
      </c>
      <c r="UEU16" s="314" t="s">
        <v>203</v>
      </c>
      <c r="UEV16" s="314" t="s">
        <v>203</v>
      </c>
      <c r="UEW16" s="314" t="s">
        <v>203</v>
      </c>
      <c r="UEX16" s="314" t="s">
        <v>203</v>
      </c>
      <c r="UEY16" s="314" t="s">
        <v>203</v>
      </c>
      <c r="UEZ16" s="314" t="s">
        <v>203</v>
      </c>
      <c r="UFA16" s="314" t="s">
        <v>203</v>
      </c>
      <c r="UFB16" s="314" t="s">
        <v>203</v>
      </c>
      <c r="UFC16" s="314" t="s">
        <v>203</v>
      </c>
      <c r="UFD16" s="314" t="s">
        <v>203</v>
      </c>
      <c r="UFE16" s="314" t="s">
        <v>203</v>
      </c>
      <c r="UFF16" s="314" t="s">
        <v>203</v>
      </c>
      <c r="UFG16" s="314" t="s">
        <v>203</v>
      </c>
      <c r="UFH16" s="314" t="s">
        <v>203</v>
      </c>
      <c r="UFI16" s="314" t="s">
        <v>203</v>
      </c>
      <c r="UFJ16" s="314" t="s">
        <v>203</v>
      </c>
      <c r="UFK16" s="314" t="s">
        <v>203</v>
      </c>
      <c r="UFL16" s="314" t="s">
        <v>203</v>
      </c>
      <c r="UFM16" s="314" t="s">
        <v>203</v>
      </c>
      <c r="UFN16" s="314" t="s">
        <v>203</v>
      </c>
      <c r="UFO16" s="314" t="s">
        <v>203</v>
      </c>
      <c r="UFP16" s="314" t="s">
        <v>203</v>
      </c>
      <c r="UFQ16" s="314" t="s">
        <v>203</v>
      </c>
      <c r="UFR16" s="314" t="s">
        <v>203</v>
      </c>
      <c r="UFS16" s="314" t="s">
        <v>203</v>
      </c>
      <c r="UFT16" s="314" t="s">
        <v>203</v>
      </c>
      <c r="UFU16" s="314" t="s">
        <v>203</v>
      </c>
      <c r="UFV16" s="314" t="s">
        <v>203</v>
      </c>
      <c r="UFW16" s="314" t="s">
        <v>203</v>
      </c>
      <c r="UFX16" s="314" t="s">
        <v>203</v>
      </c>
      <c r="UFY16" s="314" t="s">
        <v>203</v>
      </c>
      <c r="UFZ16" s="314" t="s">
        <v>203</v>
      </c>
      <c r="UGA16" s="314" t="s">
        <v>203</v>
      </c>
      <c r="UGB16" s="314" t="s">
        <v>203</v>
      </c>
      <c r="UGC16" s="314" t="s">
        <v>203</v>
      </c>
      <c r="UGD16" s="314" t="s">
        <v>203</v>
      </c>
      <c r="UGE16" s="314" t="s">
        <v>203</v>
      </c>
      <c r="UGF16" s="314" t="s">
        <v>203</v>
      </c>
      <c r="UGG16" s="314" t="s">
        <v>203</v>
      </c>
      <c r="UGH16" s="314" t="s">
        <v>203</v>
      </c>
      <c r="UGI16" s="314" t="s">
        <v>203</v>
      </c>
      <c r="UGJ16" s="314" t="s">
        <v>203</v>
      </c>
      <c r="UGK16" s="314" t="s">
        <v>203</v>
      </c>
      <c r="UGL16" s="314" t="s">
        <v>203</v>
      </c>
      <c r="UGM16" s="314" t="s">
        <v>203</v>
      </c>
      <c r="UGN16" s="314" t="s">
        <v>203</v>
      </c>
      <c r="UGO16" s="314" t="s">
        <v>203</v>
      </c>
      <c r="UGP16" s="314" t="s">
        <v>203</v>
      </c>
      <c r="UGQ16" s="314" t="s">
        <v>203</v>
      </c>
      <c r="UGR16" s="314" t="s">
        <v>203</v>
      </c>
      <c r="UGS16" s="314" t="s">
        <v>203</v>
      </c>
      <c r="UGT16" s="314" t="s">
        <v>203</v>
      </c>
      <c r="UGU16" s="314" t="s">
        <v>203</v>
      </c>
      <c r="UGV16" s="314" t="s">
        <v>203</v>
      </c>
      <c r="UGW16" s="314" t="s">
        <v>203</v>
      </c>
      <c r="UGX16" s="314" t="s">
        <v>203</v>
      </c>
      <c r="UGY16" s="314" t="s">
        <v>203</v>
      </c>
      <c r="UGZ16" s="314" t="s">
        <v>203</v>
      </c>
      <c r="UHA16" s="314" t="s">
        <v>203</v>
      </c>
      <c r="UHB16" s="314" t="s">
        <v>203</v>
      </c>
      <c r="UHC16" s="314" t="s">
        <v>203</v>
      </c>
      <c r="UHD16" s="314" t="s">
        <v>203</v>
      </c>
      <c r="UHE16" s="314" t="s">
        <v>203</v>
      </c>
      <c r="UHF16" s="314" t="s">
        <v>203</v>
      </c>
      <c r="UHG16" s="314" t="s">
        <v>203</v>
      </c>
      <c r="UHH16" s="314" t="s">
        <v>203</v>
      </c>
      <c r="UHI16" s="314" t="s">
        <v>203</v>
      </c>
      <c r="UHJ16" s="314" t="s">
        <v>203</v>
      </c>
      <c r="UHK16" s="314" t="s">
        <v>203</v>
      </c>
      <c r="UHL16" s="314" t="s">
        <v>203</v>
      </c>
      <c r="UHM16" s="314" t="s">
        <v>203</v>
      </c>
      <c r="UHN16" s="314" t="s">
        <v>203</v>
      </c>
      <c r="UHO16" s="314" t="s">
        <v>203</v>
      </c>
      <c r="UHP16" s="314" t="s">
        <v>203</v>
      </c>
      <c r="UHQ16" s="314" t="s">
        <v>203</v>
      </c>
      <c r="UHR16" s="314" t="s">
        <v>203</v>
      </c>
      <c r="UHS16" s="314" t="s">
        <v>203</v>
      </c>
      <c r="UHT16" s="314" t="s">
        <v>203</v>
      </c>
      <c r="UHU16" s="314" t="s">
        <v>203</v>
      </c>
      <c r="UHV16" s="314" t="s">
        <v>203</v>
      </c>
      <c r="UHW16" s="314" t="s">
        <v>203</v>
      </c>
      <c r="UHX16" s="314" t="s">
        <v>203</v>
      </c>
      <c r="UHY16" s="314" t="s">
        <v>203</v>
      </c>
      <c r="UHZ16" s="314" t="s">
        <v>203</v>
      </c>
      <c r="UIA16" s="314" t="s">
        <v>203</v>
      </c>
      <c r="UIB16" s="314" t="s">
        <v>203</v>
      </c>
      <c r="UIC16" s="314" t="s">
        <v>203</v>
      </c>
      <c r="UID16" s="314" t="s">
        <v>203</v>
      </c>
      <c r="UIE16" s="314" t="s">
        <v>203</v>
      </c>
      <c r="UIF16" s="314" t="s">
        <v>203</v>
      </c>
      <c r="UIG16" s="314" t="s">
        <v>203</v>
      </c>
      <c r="UIH16" s="314" t="s">
        <v>203</v>
      </c>
      <c r="UII16" s="314" t="s">
        <v>203</v>
      </c>
      <c r="UIJ16" s="314" t="s">
        <v>203</v>
      </c>
      <c r="UIK16" s="314" t="s">
        <v>203</v>
      </c>
      <c r="UIL16" s="314" t="s">
        <v>203</v>
      </c>
      <c r="UIM16" s="314" t="s">
        <v>203</v>
      </c>
      <c r="UIN16" s="314" t="s">
        <v>203</v>
      </c>
      <c r="UIO16" s="314" t="s">
        <v>203</v>
      </c>
      <c r="UIP16" s="314" t="s">
        <v>203</v>
      </c>
      <c r="UIQ16" s="314" t="s">
        <v>203</v>
      </c>
      <c r="UIR16" s="314" t="s">
        <v>203</v>
      </c>
      <c r="UIS16" s="314" t="s">
        <v>203</v>
      </c>
      <c r="UIT16" s="314" t="s">
        <v>203</v>
      </c>
      <c r="UIU16" s="314" t="s">
        <v>203</v>
      </c>
      <c r="UIV16" s="314" t="s">
        <v>203</v>
      </c>
      <c r="UIW16" s="314" t="s">
        <v>203</v>
      </c>
      <c r="UIX16" s="314" t="s">
        <v>203</v>
      </c>
      <c r="UIY16" s="314" t="s">
        <v>203</v>
      </c>
      <c r="UIZ16" s="314" t="s">
        <v>203</v>
      </c>
      <c r="UJA16" s="314" t="s">
        <v>203</v>
      </c>
      <c r="UJB16" s="314" t="s">
        <v>203</v>
      </c>
      <c r="UJC16" s="314" t="s">
        <v>203</v>
      </c>
      <c r="UJD16" s="314" t="s">
        <v>203</v>
      </c>
      <c r="UJE16" s="314" t="s">
        <v>203</v>
      </c>
      <c r="UJF16" s="314" t="s">
        <v>203</v>
      </c>
      <c r="UJG16" s="314" t="s">
        <v>203</v>
      </c>
      <c r="UJH16" s="314" t="s">
        <v>203</v>
      </c>
      <c r="UJI16" s="314" t="s">
        <v>203</v>
      </c>
      <c r="UJJ16" s="314" t="s">
        <v>203</v>
      </c>
      <c r="UJK16" s="314" t="s">
        <v>203</v>
      </c>
      <c r="UJL16" s="314" t="s">
        <v>203</v>
      </c>
      <c r="UJM16" s="314" t="s">
        <v>203</v>
      </c>
      <c r="UJN16" s="314" t="s">
        <v>203</v>
      </c>
      <c r="UJO16" s="314" t="s">
        <v>203</v>
      </c>
      <c r="UJP16" s="314" t="s">
        <v>203</v>
      </c>
      <c r="UJQ16" s="314" t="s">
        <v>203</v>
      </c>
      <c r="UJR16" s="314" t="s">
        <v>203</v>
      </c>
      <c r="UJS16" s="314" t="s">
        <v>203</v>
      </c>
      <c r="UJT16" s="314" t="s">
        <v>203</v>
      </c>
      <c r="UJU16" s="314" t="s">
        <v>203</v>
      </c>
      <c r="UJV16" s="314" t="s">
        <v>203</v>
      </c>
      <c r="UJW16" s="314" t="s">
        <v>203</v>
      </c>
      <c r="UJX16" s="314" t="s">
        <v>203</v>
      </c>
      <c r="UJY16" s="314" t="s">
        <v>203</v>
      </c>
      <c r="UJZ16" s="314" t="s">
        <v>203</v>
      </c>
      <c r="UKA16" s="314" t="s">
        <v>203</v>
      </c>
      <c r="UKB16" s="314" t="s">
        <v>203</v>
      </c>
      <c r="UKC16" s="314" t="s">
        <v>203</v>
      </c>
      <c r="UKD16" s="314" t="s">
        <v>203</v>
      </c>
      <c r="UKE16" s="314" t="s">
        <v>203</v>
      </c>
      <c r="UKF16" s="314" t="s">
        <v>203</v>
      </c>
      <c r="UKG16" s="314" t="s">
        <v>203</v>
      </c>
      <c r="UKH16" s="314" t="s">
        <v>203</v>
      </c>
      <c r="UKI16" s="314" t="s">
        <v>203</v>
      </c>
      <c r="UKJ16" s="314" t="s">
        <v>203</v>
      </c>
      <c r="UKK16" s="314" t="s">
        <v>203</v>
      </c>
      <c r="UKL16" s="314" t="s">
        <v>203</v>
      </c>
      <c r="UKM16" s="314" t="s">
        <v>203</v>
      </c>
      <c r="UKN16" s="314" t="s">
        <v>203</v>
      </c>
      <c r="UKO16" s="314" t="s">
        <v>203</v>
      </c>
      <c r="UKP16" s="314" t="s">
        <v>203</v>
      </c>
      <c r="UKQ16" s="314" t="s">
        <v>203</v>
      </c>
      <c r="UKR16" s="314" t="s">
        <v>203</v>
      </c>
      <c r="UKS16" s="314" t="s">
        <v>203</v>
      </c>
      <c r="UKT16" s="314" t="s">
        <v>203</v>
      </c>
      <c r="UKU16" s="314" t="s">
        <v>203</v>
      </c>
      <c r="UKV16" s="314" t="s">
        <v>203</v>
      </c>
      <c r="UKW16" s="314" t="s">
        <v>203</v>
      </c>
      <c r="UKX16" s="314" t="s">
        <v>203</v>
      </c>
      <c r="UKY16" s="314" t="s">
        <v>203</v>
      </c>
      <c r="UKZ16" s="314" t="s">
        <v>203</v>
      </c>
      <c r="ULA16" s="314" t="s">
        <v>203</v>
      </c>
      <c r="ULB16" s="314" t="s">
        <v>203</v>
      </c>
      <c r="ULC16" s="314" t="s">
        <v>203</v>
      </c>
      <c r="ULD16" s="314" t="s">
        <v>203</v>
      </c>
      <c r="ULE16" s="314" t="s">
        <v>203</v>
      </c>
      <c r="ULF16" s="314" t="s">
        <v>203</v>
      </c>
      <c r="ULG16" s="314" t="s">
        <v>203</v>
      </c>
      <c r="ULH16" s="314" t="s">
        <v>203</v>
      </c>
      <c r="ULI16" s="314" t="s">
        <v>203</v>
      </c>
      <c r="ULJ16" s="314" t="s">
        <v>203</v>
      </c>
      <c r="ULK16" s="314" t="s">
        <v>203</v>
      </c>
      <c r="ULL16" s="314" t="s">
        <v>203</v>
      </c>
      <c r="ULM16" s="314" t="s">
        <v>203</v>
      </c>
      <c r="ULN16" s="314" t="s">
        <v>203</v>
      </c>
      <c r="ULO16" s="314" t="s">
        <v>203</v>
      </c>
      <c r="ULP16" s="314" t="s">
        <v>203</v>
      </c>
      <c r="ULQ16" s="314" t="s">
        <v>203</v>
      </c>
      <c r="ULR16" s="314" t="s">
        <v>203</v>
      </c>
      <c r="ULS16" s="314" t="s">
        <v>203</v>
      </c>
      <c r="ULT16" s="314" t="s">
        <v>203</v>
      </c>
      <c r="ULU16" s="314" t="s">
        <v>203</v>
      </c>
      <c r="ULV16" s="314" t="s">
        <v>203</v>
      </c>
      <c r="ULW16" s="314" t="s">
        <v>203</v>
      </c>
      <c r="ULX16" s="314" t="s">
        <v>203</v>
      </c>
      <c r="ULY16" s="314" t="s">
        <v>203</v>
      </c>
      <c r="ULZ16" s="314" t="s">
        <v>203</v>
      </c>
      <c r="UMA16" s="314" t="s">
        <v>203</v>
      </c>
      <c r="UMB16" s="314" t="s">
        <v>203</v>
      </c>
      <c r="UMC16" s="314" t="s">
        <v>203</v>
      </c>
      <c r="UMD16" s="314" t="s">
        <v>203</v>
      </c>
      <c r="UME16" s="314" t="s">
        <v>203</v>
      </c>
      <c r="UMF16" s="314" t="s">
        <v>203</v>
      </c>
      <c r="UMG16" s="314" t="s">
        <v>203</v>
      </c>
      <c r="UMH16" s="314" t="s">
        <v>203</v>
      </c>
      <c r="UMI16" s="314" t="s">
        <v>203</v>
      </c>
      <c r="UMJ16" s="314" t="s">
        <v>203</v>
      </c>
      <c r="UMK16" s="314" t="s">
        <v>203</v>
      </c>
      <c r="UML16" s="314" t="s">
        <v>203</v>
      </c>
      <c r="UMM16" s="314" t="s">
        <v>203</v>
      </c>
      <c r="UMN16" s="314" t="s">
        <v>203</v>
      </c>
      <c r="UMO16" s="314" t="s">
        <v>203</v>
      </c>
      <c r="UMP16" s="314" t="s">
        <v>203</v>
      </c>
      <c r="UMQ16" s="314" t="s">
        <v>203</v>
      </c>
      <c r="UMR16" s="314" t="s">
        <v>203</v>
      </c>
      <c r="UMS16" s="314" t="s">
        <v>203</v>
      </c>
      <c r="UMT16" s="314" t="s">
        <v>203</v>
      </c>
      <c r="UMU16" s="314" t="s">
        <v>203</v>
      </c>
      <c r="UMV16" s="314" t="s">
        <v>203</v>
      </c>
      <c r="UMW16" s="314" t="s">
        <v>203</v>
      </c>
      <c r="UMX16" s="314" t="s">
        <v>203</v>
      </c>
      <c r="UMY16" s="314" t="s">
        <v>203</v>
      </c>
      <c r="UMZ16" s="314" t="s">
        <v>203</v>
      </c>
      <c r="UNA16" s="314" t="s">
        <v>203</v>
      </c>
      <c r="UNB16" s="314" t="s">
        <v>203</v>
      </c>
      <c r="UNC16" s="314" t="s">
        <v>203</v>
      </c>
      <c r="UND16" s="314" t="s">
        <v>203</v>
      </c>
      <c r="UNE16" s="314" t="s">
        <v>203</v>
      </c>
      <c r="UNF16" s="314" t="s">
        <v>203</v>
      </c>
      <c r="UNG16" s="314" t="s">
        <v>203</v>
      </c>
      <c r="UNH16" s="314" t="s">
        <v>203</v>
      </c>
      <c r="UNI16" s="314" t="s">
        <v>203</v>
      </c>
      <c r="UNJ16" s="314" t="s">
        <v>203</v>
      </c>
      <c r="UNK16" s="314" t="s">
        <v>203</v>
      </c>
      <c r="UNL16" s="314" t="s">
        <v>203</v>
      </c>
      <c r="UNM16" s="314" t="s">
        <v>203</v>
      </c>
      <c r="UNN16" s="314" t="s">
        <v>203</v>
      </c>
      <c r="UNO16" s="314" t="s">
        <v>203</v>
      </c>
      <c r="UNP16" s="314" t="s">
        <v>203</v>
      </c>
      <c r="UNQ16" s="314" t="s">
        <v>203</v>
      </c>
      <c r="UNR16" s="314" t="s">
        <v>203</v>
      </c>
      <c r="UNS16" s="314" t="s">
        <v>203</v>
      </c>
      <c r="UNT16" s="314" t="s">
        <v>203</v>
      </c>
      <c r="UNU16" s="314" t="s">
        <v>203</v>
      </c>
      <c r="UNV16" s="314" t="s">
        <v>203</v>
      </c>
      <c r="UNW16" s="314" t="s">
        <v>203</v>
      </c>
      <c r="UNX16" s="314" t="s">
        <v>203</v>
      </c>
      <c r="UNY16" s="314" t="s">
        <v>203</v>
      </c>
      <c r="UNZ16" s="314" t="s">
        <v>203</v>
      </c>
      <c r="UOA16" s="314" t="s">
        <v>203</v>
      </c>
      <c r="UOB16" s="314" t="s">
        <v>203</v>
      </c>
      <c r="UOC16" s="314" t="s">
        <v>203</v>
      </c>
      <c r="UOD16" s="314" t="s">
        <v>203</v>
      </c>
      <c r="UOE16" s="314" t="s">
        <v>203</v>
      </c>
      <c r="UOF16" s="314" t="s">
        <v>203</v>
      </c>
      <c r="UOG16" s="314" t="s">
        <v>203</v>
      </c>
      <c r="UOH16" s="314" t="s">
        <v>203</v>
      </c>
      <c r="UOI16" s="314" t="s">
        <v>203</v>
      </c>
      <c r="UOJ16" s="314" t="s">
        <v>203</v>
      </c>
      <c r="UOK16" s="314" t="s">
        <v>203</v>
      </c>
      <c r="UOL16" s="314" t="s">
        <v>203</v>
      </c>
      <c r="UOM16" s="314" t="s">
        <v>203</v>
      </c>
      <c r="UON16" s="314" t="s">
        <v>203</v>
      </c>
      <c r="UOO16" s="314" t="s">
        <v>203</v>
      </c>
      <c r="UOP16" s="314" t="s">
        <v>203</v>
      </c>
      <c r="UOQ16" s="314" t="s">
        <v>203</v>
      </c>
      <c r="UOR16" s="314" t="s">
        <v>203</v>
      </c>
      <c r="UOS16" s="314" t="s">
        <v>203</v>
      </c>
      <c r="UOT16" s="314" t="s">
        <v>203</v>
      </c>
      <c r="UOU16" s="314" t="s">
        <v>203</v>
      </c>
      <c r="UOV16" s="314" t="s">
        <v>203</v>
      </c>
      <c r="UOW16" s="314" t="s">
        <v>203</v>
      </c>
      <c r="UOX16" s="314" t="s">
        <v>203</v>
      </c>
      <c r="UOY16" s="314" t="s">
        <v>203</v>
      </c>
      <c r="UOZ16" s="314" t="s">
        <v>203</v>
      </c>
      <c r="UPA16" s="314" t="s">
        <v>203</v>
      </c>
      <c r="UPB16" s="314" t="s">
        <v>203</v>
      </c>
      <c r="UPC16" s="314" t="s">
        <v>203</v>
      </c>
      <c r="UPD16" s="314" t="s">
        <v>203</v>
      </c>
      <c r="UPE16" s="314" t="s">
        <v>203</v>
      </c>
      <c r="UPF16" s="314" t="s">
        <v>203</v>
      </c>
      <c r="UPG16" s="314" t="s">
        <v>203</v>
      </c>
      <c r="UPH16" s="314" t="s">
        <v>203</v>
      </c>
      <c r="UPI16" s="314" t="s">
        <v>203</v>
      </c>
      <c r="UPJ16" s="314" t="s">
        <v>203</v>
      </c>
      <c r="UPK16" s="314" t="s">
        <v>203</v>
      </c>
      <c r="UPL16" s="314" t="s">
        <v>203</v>
      </c>
      <c r="UPM16" s="314" t="s">
        <v>203</v>
      </c>
      <c r="UPN16" s="314" t="s">
        <v>203</v>
      </c>
      <c r="UPO16" s="314" t="s">
        <v>203</v>
      </c>
      <c r="UPP16" s="314" t="s">
        <v>203</v>
      </c>
      <c r="UPQ16" s="314" t="s">
        <v>203</v>
      </c>
      <c r="UPR16" s="314" t="s">
        <v>203</v>
      </c>
      <c r="UPS16" s="314" t="s">
        <v>203</v>
      </c>
      <c r="UPT16" s="314" t="s">
        <v>203</v>
      </c>
      <c r="UPU16" s="314" t="s">
        <v>203</v>
      </c>
      <c r="UPV16" s="314" t="s">
        <v>203</v>
      </c>
      <c r="UPW16" s="314" t="s">
        <v>203</v>
      </c>
      <c r="UPX16" s="314" t="s">
        <v>203</v>
      </c>
      <c r="UPY16" s="314" t="s">
        <v>203</v>
      </c>
      <c r="UPZ16" s="314" t="s">
        <v>203</v>
      </c>
      <c r="UQA16" s="314" t="s">
        <v>203</v>
      </c>
      <c r="UQB16" s="314" t="s">
        <v>203</v>
      </c>
      <c r="UQC16" s="314" t="s">
        <v>203</v>
      </c>
      <c r="UQD16" s="314" t="s">
        <v>203</v>
      </c>
      <c r="UQE16" s="314" t="s">
        <v>203</v>
      </c>
      <c r="UQF16" s="314" t="s">
        <v>203</v>
      </c>
      <c r="UQG16" s="314" t="s">
        <v>203</v>
      </c>
      <c r="UQH16" s="314" t="s">
        <v>203</v>
      </c>
      <c r="UQI16" s="314" t="s">
        <v>203</v>
      </c>
      <c r="UQJ16" s="314" t="s">
        <v>203</v>
      </c>
      <c r="UQK16" s="314" t="s">
        <v>203</v>
      </c>
      <c r="UQL16" s="314" t="s">
        <v>203</v>
      </c>
      <c r="UQM16" s="314" t="s">
        <v>203</v>
      </c>
      <c r="UQN16" s="314" t="s">
        <v>203</v>
      </c>
      <c r="UQO16" s="314" t="s">
        <v>203</v>
      </c>
      <c r="UQP16" s="314" t="s">
        <v>203</v>
      </c>
      <c r="UQQ16" s="314" t="s">
        <v>203</v>
      </c>
      <c r="UQR16" s="314" t="s">
        <v>203</v>
      </c>
      <c r="UQS16" s="314" t="s">
        <v>203</v>
      </c>
      <c r="UQT16" s="314" t="s">
        <v>203</v>
      </c>
      <c r="UQU16" s="314" t="s">
        <v>203</v>
      </c>
      <c r="UQV16" s="314" t="s">
        <v>203</v>
      </c>
      <c r="UQW16" s="314" t="s">
        <v>203</v>
      </c>
      <c r="UQX16" s="314" t="s">
        <v>203</v>
      </c>
      <c r="UQY16" s="314" t="s">
        <v>203</v>
      </c>
      <c r="UQZ16" s="314" t="s">
        <v>203</v>
      </c>
      <c r="URA16" s="314" t="s">
        <v>203</v>
      </c>
      <c r="URB16" s="314" t="s">
        <v>203</v>
      </c>
      <c r="URC16" s="314" t="s">
        <v>203</v>
      </c>
      <c r="URD16" s="314" t="s">
        <v>203</v>
      </c>
      <c r="URE16" s="314" t="s">
        <v>203</v>
      </c>
      <c r="URF16" s="314" t="s">
        <v>203</v>
      </c>
      <c r="URG16" s="314" t="s">
        <v>203</v>
      </c>
      <c r="URH16" s="314" t="s">
        <v>203</v>
      </c>
      <c r="URI16" s="314" t="s">
        <v>203</v>
      </c>
      <c r="URJ16" s="314" t="s">
        <v>203</v>
      </c>
      <c r="URK16" s="314" t="s">
        <v>203</v>
      </c>
      <c r="URL16" s="314" t="s">
        <v>203</v>
      </c>
      <c r="URM16" s="314" t="s">
        <v>203</v>
      </c>
      <c r="URN16" s="314" t="s">
        <v>203</v>
      </c>
      <c r="URO16" s="314" t="s">
        <v>203</v>
      </c>
      <c r="URP16" s="314" t="s">
        <v>203</v>
      </c>
      <c r="URQ16" s="314" t="s">
        <v>203</v>
      </c>
      <c r="URR16" s="314" t="s">
        <v>203</v>
      </c>
      <c r="URS16" s="314" t="s">
        <v>203</v>
      </c>
      <c r="URT16" s="314" t="s">
        <v>203</v>
      </c>
      <c r="URU16" s="314" t="s">
        <v>203</v>
      </c>
      <c r="URV16" s="314" t="s">
        <v>203</v>
      </c>
      <c r="URW16" s="314" t="s">
        <v>203</v>
      </c>
      <c r="URX16" s="314" t="s">
        <v>203</v>
      </c>
      <c r="URY16" s="314" t="s">
        <v>203</v>
      </c>
      <c r="URZ16" s="314" t="s">
        <v>203</v>
      </c>
      <c r="USA16" s="314" t="s">
        <v>203</v>
      </c>
      <c r="USB16" s="314" t="s">
        <v>203</v>
      </c>
      <c r="USC16" s="314" t="s">
        <v>203</v>
      </c>
      <c r="USD16" s="314" t="s">
        <v>203</v>
      </c>
      <c r="USE16" s="314" t="s">
        <v>203</v>
      </c>
      <c r="USF16" s="314" t="s">
        <v>203</v>
      </c>
      <c r="USG16" s="314" t="s">
        <v>203</v>
      </c>
      <c r="USH16" s="314" t="s">
        <v>203</v>
      </c>
      <c r="USI16" s="314" t="s">
        <v>203</v>
      </c>
      <c r="USJ16" s="314" t="s">
        <v>203</v>
      </c>
      <c r="USK16" s="314" t="s">
        <v>203</v>
      </c>
      <c r="USL16" s="314" t="s">
        <v>203</v>
      </c>
      <c r="USM16" s="314" t="s">
        <v>203</v>
      </c>
      <c r="USN16" s="314" t="s">
        <v>203</v>
      </c>
      <c r="USO16" s="314" t="s">
        <v>203</v>
      </c>
      <c r="USP16" s="314" t="s">
        <v>203</v>
      </c>
      <c r="USQ16" s="314" t="s">
        <v>203</v>
      </c>
      <c r="USR16" s="314" t="s">
        <v>203</v>
      </c>
      <c r="USS16" s="314" t="s">
        <v>203</v>
      </c>
      <c r="UST16" s="314" t="s">
        <v>203</v>
      </c>
      <c r="USU16" s="314" t="s">
        <v>203</v>
      </c>
      <c r="USV16" s="314" t="s">
        <v>203</v>
      </c>
      <c r="USW16" s="314" t="s">
        <v>203</v>
      </c>
      <c r="USX16" s="314" t="s">
        <v>203</v>
      </c>
      <c r="USY16" s="314" t="s">
        <v>203</v>
      </c>
      <c r="USZ16" s="314" t="s">
        <v>203</v>
      </c>
      <c r="UTA16" s="314" t="s">
        <v>203</v>
      </c>
      <c r="UTB16" s="314" t="s">
        <v>203</v>
      </c>
      <c r="UTC16" s="314" t="s">
        <v>203</v>
      </c>
      <c r="UTD16" s="314" t="s">
        <v>203</v>
      </c>
      <c r="UTE16" s="314" t="s">
        <v>203</v>
      </c>
      <c r="UTF16" s="314" t="s">
        <v>203</v>
      </c>
      <c r="UTG16" s="314" t="s">
        <v>203</v>
      </c>
      <c r="UTH16" s="314" t="s">
        <v>203</v>
      </c>
      <c r="UTI16" s="314" t="s">
        <v>203</v>
      </c>
      <c r="UTJ16" s="314" t="s">
        <v>203</v>
      </c>
      <c r="UTK16" s="314" t="s">
        <v>203</v>
      </c>
      <c r="UTL16" s="314" t="s">
        <v>203</v>
      </c>
      <c r="UTM16" s="314" t="s">
        <v>203</v>
      </c>
      <c r="UTN16" s="314" t="s">
        <v>203</v>
      </c>
      <c r="UTO16" s="314" t="s">
        <v>203</v>
      </c>
      <c r="UTP16" s="314" t="s">
        <v>203</v>
      </c>
      <c r="UTQ16" s="314" t="s">
        <v>203</v>
      </c>
      <c r="UTR16" s="314" t="s">
        <v>203</v>
      </c>
      <c r="UTS16" s="314" t="s">
        <v>203</v>
      </c>
      <c r="UTT16" s="314" t="s">
        <v>203</v>
      </c>
      <c r="UTU16" s="314" t="s">
        <v>203</v>
      </c>
      <c r="UTV16" s="314" t="s">
        <v>203</v>
      </c>
      <c r="UTW16" s="314" t="s">
        <v>203</v>
      </c>
      <c r="UTX16" s="314" t="s">
        <v>203</v>
      </c>
      <c r="UTY16" s="314" t="s">
        <v>203</v>
      </c>
      <c r="UTZ16" s="314" t="s">
        <v>203</v>
      </c>
      <c r="UUA16" s="314" t="s">
        <v>203</v>
      </c>
      <c r="UUB16" s="314" t="s">
        <v>203</v>
      </c>
      <c r="UUC16" s="314" t="s">
        <v>203</v>
      </c>
      <c r="UUD16" s="314" t="s">
        <v>203</v>
      </c>
      <c r="UUE16" s="314" t="s">
        <v>203</v>
      </c>
      <c r="UUF16" s="314" t="s">
        <v>203</v>
      </c>
      <c r="UUG16" s="314" t="s">
        <v>203</v>
      </c>
      <c r="UUH16" s="314" t="s">
        <v>203</v>
      </c>
      <c r="UUI16" s="314" t="s">
        <v>203</v>
      </c>
      <c r="UUJ16" s="314" t="s">
        <v>203</v>
      </c>
      <c r="UUK16" s="314" t="s">
        <v>203</v>
      </c>
      <c r="UUL16" s="314" t="s">
        <v>203</v>
      </c>
      <c r="UUM16" s="314" t="s">
        <v>203</v>
      </c>
      <c r="UUN16" s="314" t="s">
        <v>203</v>
      </c>
      <c r="UUO16" s="314" t="s">
        <v>203</v>
      </c>
      <c r="UUP16" s="314" t="s">
        <v>203</v>
      </c>
      <c r="UUQ16" s="314" t="s">
        <v>203</v>
      </c>
      <c r="UUR16" s="314" t="s">
        <v>203</v>
      </c>
      <c r="UUS16" s="314" t="s">
        <v>203</v>
      </c>
      <c r="UUT16" s="314" t="s">
        <v>203</v>
      </c>
      <c r="UUU16" s="314" t="s">
        <v>203</v>
      </c>
      <c r="UUV16" s="314" t="s">
        <v>203</v>
      </c>
      <c r="UUW16" s="314" t="s">
        <v>203</v>
      </c>
      <c r="UUX16" s="314" t="s">
        <v>203</v>
      </c>
      <c r="UUY16" s="314" t="s">
        <v>203</v>
      </c>
      <c r="UUZ16" s="314" t="s">
        <v>203</v>
      </c>
      <c r="UVA16" s="314" t="s">
        <v>203</v>
      </c>
      <c r="UVB16" s="314" t="s">
        <v>203</v>
      </c>
      <c r="UVC16" s="314" t="s">
        <v>203</v>
      </c>
      <c r="UVD16" s="314" t="s">
        <v>203</v>
      </c>
      <c r="UVE16" s="314" t="s">
        <v>203</v>
      </c>
      <c r="UVF16" s="314" t="s">
        <v>203</v>
      </c>
      <c r="UVG16" s="314" t="s">
        <v>203</v>
      </c>
      <c r="UVH16" s="314" t="s">
        <v>203</v>
      </c>
      <c r="UVI16" s="314" t="s">
        <v>203</v>
      </c>
      <c r="UVJ16" s="314" t="s">
        <v>203</v>
      </c>
      <c r="UVK16" s="314" t="s">
        <v>203</v>
      </c>
      <c r="UVL16" s="314" t="s">
        <v>203</v>
      </c>
      <c r="UVM16" s="314" t="s">
        <v>203</v>
      </c>
      <c r="UVN16" s="314" t="s">
        <v>203</v>
      </c>
      <c r="UVO16" s="314" t="s">
        <v>203</v>
      </c>
      <c r="UVP16" s="314" t="s">
        <v>203</v>
      </c>
      <c r="UVQ16" s="314" t="s">
        <v>203</v>
      </c>
      <c r="UVR16" s="314" t="s">
        <v>203</v>
      </c>
      <c r="UVS16" s="314" t="s">
        <v>203</v>
      </c>
      <c r="UVT16" s="314" t="s">
        <v>203</v>
      </c>
      <c r="UVU16" s="314" t="s">
        <v>203</v>
      </c>
      <c r="UVV16" s="314" t="s">
        <v>203</v>
      </c>
      <c r="UVW16" s="314" t="s">
        <v>203</v>
      </c>
      <c r="UVX16" s="314" t="s">
        <v>203</v>
      </c>
      <c r="UVY16" s="314" t="s">
        <v>203</v>
      </c>
      <c r="UVZ16" s="314" t="s">
        <v>203</v>
      </c>
      <c r="UWA16" s="314" t="s">
        <v>203</v>
      </c>
      <c r="UWB16" s="314" t="s">
        <v>203</v>
      </c>
      <c r="UWC16" s="314" t="s">
        <v>203</v>
      </c>
      <c r="UWD16" s="314" t="s">
        <v>203</v>
      </c>
      <c r="UWE16" s="314" t="s">
        <v>203</v>
      </c>
      <c r="UWF16" s="314" t="s">
        <v>203</v>
      </c>
      <c r="UWG16" s="314" t="s">
        <v>203</v>
      </c>
      <c r="UWH16" s="314" t="s">
        <v>203</v>
      </c>
      <c r="UWI16" s="314" t="s">
        <v>203</v>
      </c>
      <c r="UWJ16" s="314" t="s">
        <v>203</v>
      </c>
      <c r="UWK16" s="314" t="s">
        <v>203</v>
      </c>
      <c r="UWL16" s="314" t="s">
        <v>203</v>
      </c>
      <c r="UWM16" s="314" t="s">
        <v>203</v>
      </c>
      <c r="UWN16" s="314" t="s">
        <v>203</v>
      </c>
      <c r="UWO16" s="314" t="s">
        <v>203</v>
      </c>
      <c r="UWP16" s="314" t="s">
        <v>203</v>
      </c>
      <c r="UWQ16" s="314" t="s">
        <v>203</v>
      </c>
      <c r="UWR16" s="314" t="s">
        <v>203</v>
      </c>
      <c r="UWS16" s="314" t="s">
        <v>203</v>
      </c>
      <c r="UWT16" s="314" t="s">
        <v>203</v>
      </c>
      <c r="UWU16" s="314" t="s">
        <v>203</v>
      </c>
      <c r="UWV16" s="314" t="s">
        <v>203</v>
      </c>
      <c r="UWW16" s="314" t="s">
        <v>203</v>
      </c>
      <c r="UWX16" s="314" t="s">
        <v>203</v>
      </c>
      <c r="UWY16" s="314" t="s">
        <v>203</v>
      </c>
      <c r="UWZ16" s="314" t="s">
        <v>203</v>
      </c>
      <c r="UXA16" s="314" t="s">
        <v>203</v>
      </c>
      <c r="UXB16" s="314" t="s">
        <v>203</v>
      </c>
      <c r="UXC16" s="314" t="s">
        <v>203</v>
      </c>
      <c r="UXD16" s="314" t="s">
        <v>203</v>
      </c>
      <c r="UXE16" s="314" t="s">
        <v>203</v>
      </c>
      <c r="UXF16" s="314" t="s">
        <v>203</v>
      </c>
      <c r="UXG16" s="314" t="s">
        <v>203</v>
      </c>
      <c r="UXH16" s="314" t="s">
        <v>203</v>
      </c>
      <c r="UXI16" s="314" t="s">
        <v>203</v>
      </c>
      <c r="UXJ16" s="314" t="s">
        <v>203</v>
      </c>
      <c r="UXK16" s="314" t="s">
        <v>203</v>
      </c>
      <c r="UXL16" s="314" t="s">
        <v>203</v>
      </c>
      <c r="UXM16" s="314" t="s">
        <v>203</v>
      </c>
      <c r="UXN16" s="314" t="s">
        <v>203</v>
      </c>
      <c r="UXO16" s="314" t="s">
        <v>203</v>
      </c>
      <c r="UXP16" s="314" t="s">
        <v>203</v>
      </c>
      <c r="UXQ16" s="314" t="s">
        <v>203</v>
      </c>
      <c r="UXR16" s="314" t="s">
        <v>203</v>
      </c>
      <c r="UXS16" s="314" t="s">
        <v>203</v>
      </c>
      <c r="UXT16" s="314" t="s">
        <v>203</v>
      </c>
      <c r="UXU16" s="314" t="s">
        <v>203</v>
      </c>
      <c r="UXV16" s="314" t="s">
        <v>203</v>
      </c>
      <c r="UXW16" s="314" t="s">
        <v>203</v>
      </c>
      <c r="UXX16" s="314" t="s">
        <v>203</v>
      </c>
      <c r="UXY16" s="314" t="s">
        <v>203</v>
      </c>
      <c r="UXZ16" s="314" t="s">
        <v>203</v>
      </c>
      <c r="UYA16" s="314" t="s">
        <v>203</v>
      </c>
      <c r="UYB16" s="314" t="s">
        <v>203</v>
      </c>
      <c r="UYC16" s="314" t="s">
        <v>203</v>
      </c>
      <c r="UYD16" s="314" t="s">
        <v>203</v>
      </c>
      <c r="UYE16" s="314" t="s">
        <v>203</v>
      </c>
      <c r="UYF16" s="314" t="s">
        <v>203</v>
      </c>
      <c r="UYG16" s="314" t="s">
        <v>203</v>
      </c>
      <c r="UYH16" s="314" t="s">
        <v>203</v>
      </c>
      <c r="UYI16" s="314" t="s">
        <v>203</v>
      </c>
      <c r="UYJ16" s="314" t="s">
        <v>203</v>
      </c>
      <c r="UYK16" s="314" t="s">
        <v>203</v>
      </c>
      <c r="UYL16" s="314" t="s">
        <v>203</v>
      </c>
      <c r="UYM16" s="314" t="s">
        <v>203</v>
      </c>
      <c r="UYN16" s="314" t="s">
        <v>203</v>
      </c>
      <c r="UYO16" s="314" t="s">
        <v>203</v>
      </c>
      <c r="UYP16" s="314" t="s">
        <v>203</v>
      </c>
      <c r="UYQ16" s="314" t="s">
        <v>203</v>
      </c>
      <c r="UYR16" s="314" t="s">
        <v>203</v>
      </c>
      <c r="UYS16" s="314" t="s">
        <v>203</v>
      </c>
      <c r="UYT16" s="314" t="s">
        <v>203</v>
      </c>
      <c r="UYU16" s="314" t="s">
        <v>203</v>
      </c>
      <c r="UYV16" s="314" t="s">
        <v>203</v>
      </c>
      <c r="UYW16" s="314" t="s">
        <v>203</v>
      </c>
      <c r="UYX16" s="314" t="s">
        <v>203</v>
      </c>
      <c r="UYY16" s="314" t="s">
        <v>203</v>
      </c>
      <c r="UYZ16" s="314" t="s">
        <v>203</v>
      </c>
      <c r="UZA16" s="314" t="s">
        <v>203</v>
      </c>
      <c r="UZB16" s="314" t="s">
        <v>203</v>
      </c>
      <c r="UZC16" s="314" t="s">
        <v>203</v>
      </c>
      <c r="UZD16" s="314" t="s">
        <v>203</v>
      </c>
      <c r="UZE16" s="314" t="s">
        <v>203</v>
      </c>
      <c r="UZF16" s="314" t="s">
        <v>203</v>
      </c>
      <c r="UZG16" s="314" t="s">
        <v>203</v>
      </c>
      <c r="UZH16" s="314" t="s">
        <v>203</v>
      </c>
      <c r="UZI16" s="314" t="s">
        <v>203</v>
      </c>
      <c r="UZJ16" s="314" t="s">
        <v>203</v>
      </c>
      <c r="UZK16" s="314" t="s">
        <v>203</v>
      </c>
      <c r="UZL16" s="314" t="s">
        <v>203</v>
      </c>
      <c r="UZM16" s="314" t="s">
        <v>203</v>
      </c>
      <c r="UZN16" s="314" t="s">
        <v>203</v>
      </c>
      <c r="UZO16" s="314" t="s">
        <v>203</v>
      </c>
      <c r="UZP16" s="314" t="s">
        <v>203</v>
      </c>
      <c r="UZQ16" s="314" t="s">
        <v>203</v>
      </c>
      <c r="UZR16" s="314" t="s">
        <v>203</v>
      </c>
      <c r="UZS16" s="314" t="s">
        <v>203</v>
      </c>
      <c r="UZT16" s="314" t="s">
        <v>203</v>
      </c>
      <c r="UZU16" s="314" t="s">
        <v>203</v>
      </c>
      <c r="UZV16" s="314" t="s">
        <v>203</v>
      </c>
      <c r="UZW16" s="314" t="s">
        <v>203</v>
      </c>
      <c r="UZX16" s="314" t="s">
        <v>203</v>
      </c>
      <c r="UZY16" s="314" t="s">
        <v>203</v>
      </c>
      <c r="UZZ16" s="314" t="s">
        <v>203</v>
      </c>
      <c r="VAA16" s="314" t="s">
        <v>203</v>
      </c>
      <c r="VAB16" s="314" t="s">
        <v>203</v>
      </c>
      <c r="VAC16" s="314" t="s">
        <v>203</v>
      </c>
      <c r="VAD16" s="314" t="s">
        <v>203</v>
      </c>
      <c r="VAE16" s="314" t="s">
        <v>203</v>
      </c>
      <c r="VAF16" s="314" t="s">
        <v>203</v>
      </c>
      <c r="VAG16" s="314" t="s">
        <v>203</v>
      </c>
      <c r="VAH16" s="314" t="s">
        <v>203</v>
      </c>
      <c r="VAI16" s="314" t="s">
        <v>203</v>
      </c>
      <c r="VAJ16" s="314" t="s">
        <v>203</v>
      </c>
      <c r="VAK16" s="314" t="s">
        <v>203</v>
      </c>
      <c r="VAL16" s="314" t="s">
        <v>203</v>
      </c>
      <c r="VAM16" s="314" t="s">
        <v>203</v>
      </c>
      <c r="VAN16" s="314" t="s">
        <v>203</v>
      </c>
      <c r="VAO16" s="314" t="s">
        <v>203</v>
      </c>
      <c r="VAP16" s="314" t="s">
        <v>203</v>
      </c>
      <c r="VAQ16" s="314" t="s">
        <v>203</v>
      </c>
      <c r="VAR16" s="314" t="s">
        <v>203</v>
      </c>
      <c r="VAS16" s="314" t="s">
        <v>203</v>
      </c>
      <c r="VAT16" s="314" t="s">
        <v>203</v>
      </c>
      <c r="VAU16" s="314" t="s">
        <v>203</v>
      </c>
      <c r="VAV16" s="314" t="s">
        <v>203</v>
      </c>
      <c r="VAW16" s="314" t="s">
        <v>203</v>
      </c>
      <c r="VAX16" s="314" t="s">
        <v>203</v>
      </c>
      <c r="VAY16" s="314" t="s">
        <v>203</v>
      </c>
      <c r="VAZ16" s="314" t="s">
        <v>203</v>
      </c>
      <c r="VBA16" s="314" t="s">
        <v>203</v>
      </c>
      <c r="VBB16" s="314" t="s">
        <v>203</v>
      </c>
      <c r="VBC16" s="314" t="s">
        <v>203</v>
      </c>
      <c r="VBD16" s="314" t="s">
        <v>203</v>
      </c>
      <c r="VBE16" s="314" t="s">
        <v>203</v>
      </c>
      <c r="VBF16" s="314" t="s">
        <v>203</v>
      </c>
      <c r="VBG16" s="314" t="s">
        <v>203</v>
      </c>
      <c r="VBH16" s="314" t="s">
        <v>203</v>
      </c>
      <c r="VBI16" s="314" t="s">
        <v>203</v>
      </c>
      <c r="VBJ16" s="314" t="s">
        <v>203</v>
      </c>
      <c r="VBK16" s="314" t="s">
        <v>203</v>
      </c>
      <c r="VBL16" s="314" t="s">
        <v>203</v>
      </c>
      <c r="VBM16" s="314" t="s">
        <v>203</v>
      </c>
      <c r="VBN16" s="314" t="s">
        <v>203</v>
      </c>
      <c r="VBO16" s="314" t="s">
        <v>203</v>
      </c>
      <c r="VBP16" s="314" t="s">
        <v>203</v>
      </c>
      <c r="VBQ16" s="314" t="s">
        <v>203</v>
      </c>
      <c r="VBR16" s="314" t="s">
        <v>203</v>
      </c>
      <c r="VBS16" s="314" t="s">
        <v>203</v>
      </c>
      <c r="VBT16" s="314" t="s">
        <v>203</v>
      </c>
      <c r="VBU16" s="314" t="s">
        <v>203</v>
      </c>
      <c r="VBV16" s="314" t="s">
        <v>203</v>
      </c>
      <c r="VBW16" s="314" t="s">
        <v>203</v>
      </c>
      <c r="VBX16" s="314" t="s">
        <v>203</v>
      </c>
      <c r="VBY16" s="314" t="s">
        <v>203</v>
      </c>
      <c r="VBZ16" s="314" t="s">
        <v>203</v>
      </c>
      <c r="VCA16" s="314" t="s">
        <v>203</v>
      </c>
      <c r="VCB16" s="314" t="s">
        <v>203</v>
      </c>
      <c r="VCC16" s="314" t="s">
        <v>203</v>
      </c>
      <c r="VCD16" s="314" t="s">
        <v>203</v>
      </c>
      <c r="VCE16" s="314" t="s">
        <v>203</v>
      </c>
      <c r="VCF16" s="314" t="s">
        <v>203</v>
      </c>
      <c r="VCG16" s="314" t="s">
        <v>203</v>
      </c>
      <c r="VCH16" s="314" t="s">
        <v>203</v>
      </c>
      <c r="VCI16" s="314" t="s">
        <v>203</v>
      </c>
      <c r="VCJ16" s="314" t="s">
        <v>203</v>
      </c>
      <c r="VCK16" s="314" t="s">
        <v>203</v>
      </c>
      <c r="VCL16" s="314" t="s">
        <v>203</v>
      </c>
      <c r="VCM16" s="314" t="s">
        <v>203</v>
      </c>
      <c r="VCN16" s="314" t="s">
        <v>203</v>
      </c>
      <c r="VCO16" s="314" t="s">
        <v>203</v>
      </c>
      <c r="VCP16" s="314" t="s">
        <v>203</v>
      </c>
      <c r="VCQ16" s="314" t="s">
        <v>203</v>
      </c>
      <c r="VCR16" s="314" t="s">
        <v>203</v>
      </c>
      <c r="VCS16" s="314" t="s">
        <v>203</v>
      </c>
      <c r="VCT16" s="314" t="s">
        <v>203</v>
      </c>
      <c r="VCU16" s="314" t="s">
        <v>203</v>
      </c>
      <c r="VCV16" s="314" t="s">
        <v>203</v>
      </c>
      <c r="VCW16" s="314" t="s">
        <v>203</v>
      </c>
      <c r="VCX16" s="314" t="s">
        <v>203</v>
      </c>
      <c r="VCY16" s="314" t="s">
        <v>203</v>
      </c>
      <c r="VCZ16" s="314" t="s">
        <v>203</v>
      </c>
      <c r="VDA16" s="314" t="s">
        <v>203</v>
      </c>
      <c r="VDB16" s="314" t="s">
        <v>203</v>
      </c>
      <c r="VDC16" s="314" t="s">
        <v>203</v>
      </c>
      <c r="VDD16" s="314" t="s">
        <v>203</v>
      </c>
      <c r="VDE16" s="314" t="s">
        <v>203</v>
      </c>
      <c r="VDF16" s="314" t="s">
        <v>203</v>
      </c>
      <c r="VDG16" s="314" t="s">
        <v>203</v>
      </c>
      <c r="VDH16" s="314" t="s">
        <v>203</v>
      </c>
      <c r="VDI16" s="314" t="s">
        <v>203</v>
      </c>
      <c r="VDJ16" s="314" t="s">
        <v>203</v>
      </c>
      <c r="VDK16" s="314" t="s">
        <v>203</v>
      </c>
      <c r="VDL16" s="314" t="s">
        <v>203</v>
      </c>
      <c r="VDM16" s="314" t="s">
        <v>203</v>
      </c>
      <c r="VDN16" s="314" t="s">
        <v>203</v>
      </c>
      <c r="VDO16" s="314" t="s">
        <v>203</v>
      </c>
      <c r="VDP16" s="314" t="s">
        <v>203</v>
      </c>
      <c r="VDQ16" s="314" t="s">
        <v>203</v>
      </c>
      <c r="VDR16" s="314" t="s">
        <v>203</v>
      </c>
      <c r="VDS16" s="314" t="s">
        <v>203</v>
      </c>
      <c r="VDT16" s="314" t="s">
        <v>203</v>
      </c>
      <c r="VDU16" s="314" t="s">
        <v>203</v>
      </c>
      <c r="VDV16" s="314" t="s">
        <v>203</v>
      </c>
      <c r="VDW16" s="314" t="s">
        <v>203</v>
      </c>
      <c r="VDX16" s="314" t="s">
        <v>203</v>
      </c>
      <c r="VDY16" s="314" t="s">
        <v>203</v>
      </c>
      <c r="VDZ16" s="314" t="s">
        <v>203</v>
      </c>
      <c r="VEA16" s="314" t="s">
        <v>203</v>
      </c>
      <c r="VEB16" s="314" t="s">
        <v>203</v>
      </c>
      <c r="VEC16" s="314" t="s">
        <v>203</v>
      </c>
      <c r="VED16" s="314" t="s">
        <v>203</v>
      </c>
      <c r="VEE16" s="314" t="s">
        <v>203</v>
      </c>
      <c r="VEF16" s="314" t="s">
        <v>203</v>
      </c>
      <c r="VEG16" s="314" t="s">
        <v>203</v>
      </c>
      <c r="VEH16" s="314" t="s">
        <v>203</v>
      </c>
      <c r="VEI16" s="314" t="s">
        <v>203</v>
      </c>
      <c r="VEJ16" s="314" t="s">
        <v>203</v>
      </c>
      <c r="VEK16" s="314" t="s">
        <v>203</v>
      </c>
      <c r="VEL16" s="314" t="s">
        <v>203</v>
      </c>
      <c r="VEM16" s="314" t="s">
        <v>203</v>
      </c>
      <c r="VEN16" s="314" t="s">
        <v>203</v>
      </c>
      <c r="VEO16" s="314" t="s">
        <v>203</v>
      </c>
      <c r="VEP16" s="314" t="s">
        <v>203</v>
      </c>
      <c r="VEQ16" s="314" t="s">
        <v>203</v>
      </c>
      <c r="VER16" s="314" t="s">
        <v>203</v>
      </c>
      <c r="VES16" s="314" t="s">
        <v>203</v>
      </c>
      <c r="VET16" s="314" t="s">
        <v>203</v>
      </c>
      <c r="VEU16" s="314" t="s">
        <v>203</v>
      </c>
      <c r="VEV16" s="314" t="s">
        <v>203</v>
      </c>
      <c r="VEW16" s="314" t="s">
        <v>203</v>
      </c>
      <c r="VEX16" s="314" t="s">
        <v>203</v>
      </c>
      <c r="VEY16" s="314" t="s">
        <v>203</v>
      </c>
      <c r="VEZ16" s="314" t="s">
        <v>203</v>
      </c>
      <c r="VFA16" s="314" t="s">
        <v>203</v>
      </c>
      <c r="VFB16" s="314" t="s">
        <v>203</v>
      </c>
      <c r="VFC16" s="314" t="s">
        <v>203</v>
      </c>
      <c r="VFD16" s="314" t="s">
        <v>203</v>
      </c>
      <c r="VFE16" s="314" t="s">
        <v>203</v>
      </c>
      <c r="VFF16" s="314" t="s">
        <v>203</v>
      </c>
      <c r="VFG16" s="314" t="s">
        <v>203</v>
      </c>
      <c r="VFH16" s="314" t="s">
        <v>203</v>
      </c>
      <c r="VFI16" s="314" t="s">
        <v>203</v>
      </c>
      <c r="VFJ16" s="314" t="s">
        <v>203</v>
      </c>
      <c r="VFK16" s="314" t="s">
        <v>203</v>
      </c>
      <c r="VFL16" s="314" t="s">
        <v>203</v>
      </c>
      <c r="VFM16" s="314" t="s">
        <v>203</v>
      </c>
      <c r="VFN16" s="314" t="s">
        <v>203</v>
      </c>
      <c r="VFO16" s="314" t="s">
        <v>203</v>
      </c>
      <c r="VFP16" s="314" t="s">
        <v>203</v>
      </c>
      <c r="VFQ16" s="314" t="s">
        <v>203</v>
      </c>
      <c r="VFR16" s="314" t="s">
        <v>203</v>
      </c>
      <c r="VFS16" s="314" t="s">
        <v>203</v>
      </c>
      <c r="VFT16" s="314" t="s">
        <v>203</v>
      </c>
      <c r="VFU16" s="314" t="s">
        <v>203</v>
      </c>
      <c r="VFV16" s="314" t="s">
        <v>203</v>
      </c>
      <c r="VFW16" s="314" t="s">
        <v>203</v>
      </c>
      <c r="VFX16" s="314" t="s">
        <v>203</v>
      </c>
      <c r="VFY16" s="314" t="s">
        <v>203</v>
      </c>
      <c r="VFZ16" s="314" t="s">
        <v>203</v>
      </c>
      <c r="VGA16" s="314" t="s">
        <v>203</v>
      </c>
      <c r="VGB16" s="314" t="s">
        <v>203</v>
      </c>
      <c r="VGC16" s="314" t="s">
        <v>203</v>
      </c>
      <c r="VGD16" s="314" t="s">
        <v>203</v>
      </c>
      <c r="VGE16" s="314" t="s">
        <v>203</v>
      </c>
      <c r="VGF16" s="314" t="s">
        <v>203</v>
      </c>
      <c r="VGG16" s="314" t="s">
        <v>203</v>
      </c>
      <c r="VGH16" s="314" t="s">
        <v>203</v>
      </c>
      <c r="VGI16" s="314" t="s">
        <v>203</v>
      </c>
      <c r="VGJ16" s="314" t="s">
        <v>203</v>
      </c>
      <c r="VGK16" s="314" t="s">
        <v>203</v>
      </c>
      <c r="VGL16" s="314" t="s">
        <v>203</v>
      </c>
      <c r="VGM16" s="314" t="s">
        <v>203</v>
      </c>
      <c r="VGN16" s="314" t="s">
        <v>203</v>
      </c>
      <c r="VGO16" s="314" t="s">
        <v>203</v>
      </c>
      <c r="VGP16" s="314" t="s">
        <v>203</v>
      </c>
      <c r="VGQ16" s="314" t="s">
        <v>203</v>
      </c>
      <c r="VGR16" s="314" t="s">
        <v>203</v>
      </c>
      <c r="VGS16" s="314" t="s">
        <v>203</v>
      </c>
      <c r="VGT16" s="314" t="s">
        <v>203</v>
      </c>
      <c r="VGU16" s="314" t="s">
        <v>203</v>
      </c>
      <c r="VGV16" s="314" t="s">
        <v>203</v>
      </c>
      <c r="VGW16" s="314" t="s">
        <v>203</v>
      </c>
      <c r="VGX16" s="314" t="s">
        <v>203</v>
      </c>
      <c r="VGY16" s="314" t="s">
        <v>203</v>
      </c>
      <c r="VGZ16" s="314" t="s">
        <v>203</v>
      </c>
      <c r="VHA16" s="314" t="s">
        <v>203</v>
      </c>
      <c r="VHB16" s="314" t="s">
        <v>203</v>
      </c>
      <c r="VHC16" s="314" t="s">
        <v>203</v>
      </c>
      <c r="VHD16" s="314" t="s">
        <v>203</v>
      </c>
      <c r="VHE16" s="314" t="s">
        <v>203</v>
      </c>
      <c r="VHF16" s="314" t="s">
        <v>203</v>
      </c>
      <c r="VHG16" s="314" t="s">
        <v>203</v>
      </c>
      <c r="VHH16" s="314" t="s">
        <v>203</v>
      </c>
      <c r="VHI16" s="314" t="s">
        <v>203</v>
      </c>
      <c r="VHJ16" s="314" t="s">
        <v>203</v>
      </c>
      <c r="VHK16" s="314" t="s">
        <v>203</v>
      </c>
      <c r="VHL16" s="314" t="s">
        <v>203</v>
      </c>
      <c r="VHM16" s="314" t="s">
        <v>203</v>
      </c>
      <c r="VHN16" s="314" t="s">
        <v>203</v>
      </c>
      <c r="VHO16" s="314" t="s">
        <v>203</v>
      </c>
      <c r="VHP16" s="314" t="s">
        <v>203</v>
      </c>
      <c r="VHQ16" s="314" t="s">
        <v>203</v>
      </c>
      <c r="VHR16" s="314" t="s">
        <v>203</v>
      </c>
      <c r="VHS16" s="314" t="s">
        <v>203</v>
      </c>
      <c r="VHT16" s="314" t="s">
        <v>203</v>
      </c>
      <c r="VHU16" s="314" t="s">
        <v>203</v>
      </c>
      <c r="VHV16" s="314" t="s">
        <v>203</v>
      </c>
      <c r="VHW16" s="314" t="s">
        <v>203</v>
      </c>
      <c r="VHX16" s="314" t="s">
        <v>203</v>
      </c>
      <c r="VHY16" s="314" t="s">
        <v>203</v>
      </c>
      <c r="VHZ16" s="314" t="s">
        <v>203</v>
      </c>
      <c r="VIA16" s="314" t="s">
        <v>203</v>
      </c>
      <c r="VIB16" s="314" t="s">
        <v>203</v>
      </c>
      <c r="VIC16" s="314" t="s">
        <v>203</v>
      </c>
      <c r="VID16" s="314" t="s">
        <v>203</v>
      </c>
      <c r="VIE16" s="314" t="s">
        <v>203</v>
      </c>
      <c r="VIF16" s="314" t="s">
        <v>203</v>
      </c>
      <c r="VIG16" s="314" t="s">
        <v>203</v>
      </c>
      <c r="VIH16" s="314" t="s">
        <v>203</v>
      </c>
      <c r="VII16" s="314" t="s">
        <v>203</v>
      </c>
      <c r="VIJ16" s="314" t="s">
        <v>203</v>
      </c>
      <c r="VIK16" s="314" t="s">
        <v>203</v>
      </c>
      <c r="VIL16" s="314" t="s">
        <v>203</v>
      </c>
      <c r="VIM16" s="314" t="s">
        <v>203</v>
      </c>
      <c r="VIN16" s="314" t="s">
        <v>203</v>
      </c>
      <c r="VIO16" s="314" t="s">
        <v>203</v>
      </c>
      <c r="VIP16" s="314" t="s">
        <v>203</v>
      </c>
      <c r="VIQ16" s="314" t="s">
        <v>203</v>
      </c>
      <c r="VIR16" s="314" t="s">
        <v>203</v>
      </c>
      <c r="VIS16" s="314" t="s">
        <v>203</v>
      </c>
      <c r="VIT16" s="314" t="s">
        <v>203</v>
      </c>
      <c r="VIU16" s="314" t="s">
        <v>203</v>
      </c>
      <c r="VIV16" s="314" t="s">
        <v>203</v>
      </c>
      <c r="VIW16" s="314" t="s">
        <v>203</v>
      </c>
      <c r="VIX16" s="314" t="s">
        <v>203</v>
      </c>
      <c r="VIY16" s="314" t="s">
        <v>203</v>
      </c>
      <c r="VIZ16" s="314" t="s">
        <v>203</v>
      </c>
      <c r="VJA16" s="314" t="s">
        <v>203</v>
      </c>
      <c r="VJB16" s="314" t="s">
        <v>203</v>
      </c>
      <c r="VJC16" s="314" t="s">
        <v>203</v>
      </c>
      <c r="VJD16" s="314" t="s">
        <v>203</v>
      </c>
      <c r="VJE16" s="314" t="s">
        <v>203</v>
      </c>
      <c r="VJF16" s="314" t="s">
        <v>203</v>
      </c>
      <c r="VJG16" s="314" t="s">
        <v>203</v>
      </c>
      <c r="VJH16" s="314" t="s">
        <v>203</v>
      </c>
      <c r="VJI16" s="314" t="s">
        <v>203</v>
      </c>
      <c r="VJJ16" s="314" t="s">
        <v>203</v>
      </c>
      <c r="VJK16" s="314" t="s">
        <v>203</v>
      </c>
      <c r="VJL16" s="314" t="s">
        <v>203</v>
      </c>
      <c r="VJM16" s="314" t="s">
        <v>203</v>
      </c>
      <c r="VJN16" s="314" t="s">
        <v>203</v>
      </c>
      <c r="VJO16" s="314" t="s">
        <v>203</v>
      </c>
      <c r="VJP16" s="314" t="s">
        <v>203</v>
      </c>
      <c r="VJQ16" s="314" t="s">
        <v>203</v>
      </c>
      <c r="VJR16" s="314" t="s">
        <v>203</v>
      </c>
      <c r="VJS16" s="314" t="s">
        <v>203</v>
      </c>
      <c r="VJT16" s="314" t="s">
        <v>203</v>
      </c>
      <c r="VJU16" s="314" t="s">
        <v>203</v>
      </c>
      <c r="VJV16" s="314" t="s">
        <v>203</v>
      </c>
      <c r="VJW16" s="314" t="s">
        <v>203</v>
      </c>
      <c r="VJX16" s="314" t="s">
        <v>203</v>
      </c>
      <c r="VJY16" s="314" t="s">
        <v>203</v>
      </c>
      <c r="VJZ16" s="314" t="s">
        <v>203</v>
      </c>
      <c r="VKA16" s="314" t="s">
        <v>203</v>
      </c>
      <c r="VKB16" s="314" t="s">
        <v>203</v>
      </c>
      <c r="VKC16" s="314" t="s">
        <v>203</v>
      </c>
      <c r="VKD16" s="314" t="s">
        <v>203</v>
      </c>
      <c r="VKE16" s="314" t="s">
        <v>203</v>
      </c>
      <c r="VKF16" s="314" t="s">
        <v>203</v>
      </c>
      <c r="VKG16" s="314" t="s">
        <v>203</v>
      </c>
      <c r="VKH16" s="314" t="s">
        <v>203</v>
      </c>
      <c r="VKI16" s="314" t="s">
        <v>203</v>
      </c>
      <c r="VKJ16" s="314" t="s">
        <v>203</v>
      </c>
      <c r="VKK16" s="314" t="s">
        <v>203</v>
      </c>
      <c r="VKL16" s="314" t="s">
        <v>203</v>
      </c>
      <c r="VKM16" s="314" t="s">
        <v>203</v>
      </c>
      <c r="VKN16" s="314" t="s">
        <v>203</v>
      </c>
      <c r="VKO16" s="314" t="s">
        <v>203</v>
      </c>
      <c r="VKP16" s="314" t="s">
        <v>203</v>
      </c>
      <c r="VKQ16" s="314" t="s">
        <v>203</v>
      </c>
      <c r="VKR16" s="314" t="s">
        <v>203</v>
      </c>
      <c r="VKS16" s="314" t="s">
        <v>203</v>
      </c>
      <c r="VKT16" s="314" t="s">
        <v>203</v>
      </c>
      <c r="VKU16" s="314" t="s">
        <v>203</v>
      </c>
      <c r="VKV16" s="314" t="s">
        <v>203</v>
      </c>
      <c r="VKW16" s="314" t="s">
        <v>203</v>
      </c>
      <c r="VKX16" s="314" t="s">
        <v>203</v>
      </c>
      <c r="VKY16" s="314" t="s">
        <v>203</v>
      </c>
      <c r="VKZ16" s="314" t="s">
        <v>203</v>
      </c>
      <c r="VLA16" s="314" t="s">
        <v>203</v>
      </c>
      <c r="VLB16" s="314" t="s">
        <v>203</v>
      </c>
      <c r="VLC16" s="314" t="s">
        <v>203</v>
      </c>
      <c r="VLD16" s="314" t="s">
        <v>203</v>
      </c>
      <c r="VLE16" s="314" t="s">
        <v>203</v>
      </c>
      <c r="VLF16" s="314" t="s">
        <v>203</v>
      </c>
      <c r="VLG16" s="314" t="s">
        <v>203</v>
      </c>
      <c r="VLH16" s="314" t="s">
        <v>203</v>
      </c>
      <c r="VLI16" s="314" t="s">
        <v>203</v>
      </c>
      <c r="VLJ16" s="314" t="s">
        <v>203</v>
      </c>
      <c r="VLK16" s="314" t="s">
        <v>203</v>
      </c>
      <c r="VLL16" s="314" t="s">
        <v>203</v>
      </c>
      <c r="VLM16" s="314" t="s">
        <v>203</v>
      </c>
      <c r="VLN16" s="314" t="s">
        <v>203</v>
      </c>
      <c r="VLO16" s="314" t="s">
        <v>203</v>
      </c>
      <c r="VLP16" s="314" t="s">
        <v>203</v>
      </c>
      <c r="VLQ16" s="314" t="s">
        <v>203</v>
      </c>
      <c r="VLR16" s="314" t="s">
        <v>203</v>
      </c>
      <c r="VLS16" s="314" t="s">
        <v>203</v>
      </c>
      <c r="VLT16" s="314" t="s">
        <v>203</v>
      </c>
      <c r="VLU16" s="314" t="s">
        <v>203</v>
      </c>
      <c r="VLV16" s="314" t="s">
        <v>203</v>
      </c>
      <c r="VLW16" s="314" t="s">
        <v>203</v>
      </c>
      <c r="VLX16" s="314" t="s">
        <v>203</v>
      </c>
      <c r="VLY16" s="314" t="s">
        <v>203</v>
      </c>
      <c r="VLZ16" s="314" t="s">
        <v>203</v>
      </c>
      <c r="VMA16" s="314" t="s">
        <v>203</v>
      </c>
      <c r="VMB16" s="314" t="s">
        <v>203</v>
      </c>
      <c r="VMC16" s="314" t="s">
        <v>203</v>
      </c>
      <c r="VMD16" s="314" t="s">
        <v>203</v>
      </c>
      <c r="VME16" s="314" t="s">
        <v>203</v>
      </c>
      <c r="VMF16" s="314" t="s">
        <v>203</v>
      </c>
      <c r="VMG16" s="314" t="s">
        <v>203</v>
      </c>
      <c r="VMH16" s="314" t="s">
        <v>203</v>
      </c>
      <c r="VMI16" s="314" t="s">
        <v>203</v>
      </c>
      <c r="VMJ16" s="314" t="s">
        <v>203</v>
      </c>
      <c r="VMK16" s="314" t="s">
        <v>203</v>
      </c>
      <c r="VML16" s="314" t="s">
        <v>203</v>
      </c>
      <c r="VMM16" s="314" t="s">
        <v>203</v>
      </c>
      <c r="VMN16" s="314" t="s">
        <v>203</v>
      </c>
      <c r="VMO16" s="314" t="s">
        <v>203</v>
      </c>
      <c r="VMP16" s="314" t="s">
        <v>203</v>
      </c>
      <c r="VMQ16" s="314" t="s">
        <v>203</v>
      </c>
      <c r="VMR16" s="314" t="s">
        <v>203</v>
      </c>
      <c r="VMS16" s="314" t="s">
        <v>203</v>
      </c>
      <c r="VMT16" s="314" t="s">
        <v>203</v>
      </c>
      <c r="VMU16" s="314" t="s">
        <v>203</v>
      </c>
      <c r="VMV16" s="314" t="s">
        <v>203</v>
      </c>
      <c r="VMW16" s="314" t="s">
        <v>203</v>
      </c>
      <c r="VMX16" s="314" t="s">
        <v>203</v>
      </c>
      <c r="VMY16" s="314" t="s">
        <v>203</v>
      </c>
      <c r="VMZ16" s="314" t="s">
        <v>203</v>
      </c>
      <c r="VNA16" s="314" t="s">
        <v>203</v>
      </c>
      <c r="VNB16" s="314" t="s">
        <v>203</v>
      </c>
      <c r="VNC16" s="314" t="s">
        <v>203</v>
      </c>
      <c r="VND16" s="314" t="s">
        <v>203</v>
      </c>
      <c r="VNE16" s="314" t="s">
        <v>203</v>
      </c>
      <c r="VNF16" s="314" t="s">
        <v>203</v>
      </c>
      <c r="VNG16" s="314" t="s">
        <v>203</v>
      </c>
      <c r="VNH16" s="314" t="s">
        <v>203</v>
      </c>
      <c r="VNI16" s="314" t="s">
        <v>203</v>
      </c>
      <c r="VNJ16" s="314" t="s">
        <v>203</v>
      </c>
      <c r="VNK16" s="314" t="s">
        <v>203</v>
      </c>
      <c r="VNL16" s="314" t="s">
        <v>203</v>
      </c>
      <c r="VNM16" s="314" t="s">
        <v>203</v>
      </c>
      <c r="VNN16" s="314" t="s">
        <v>203</v>
      </c>
      <c r="VNO16" s="314" t="s">
        <v>203</v>
      </c>
      <c r="VNP16" s="314" t="s">
        <v>203</v>
      </c>
      <c r="VNQ16" s="314" t="s">
        <v>203</v>
      </c>
      <c r="VNR16" s="314" t="s">
        <v>203</v>
      </c>
      <c r="VNS16" s="314" t="s">
        <v>203</v>
      </c>
      <c r="VNT16" s="314" t="s">
        <v>203</v>
      </c>
      <c r="VNU16" s="314" t="s">
        <v>203</v>
      </c>
      <c r="VNV16" s="314" t="s">
        <v>203</v>
      </c>
      <c r="VNW16" s="314" t="s">
        <v>203</v>
      </c>
      <c r="VNX16" s="314" t="s">
        <v>203</v>
      </c>
      <c r="VNY16" s="314" t="s">
        <v>203</v>
      </c>
      <c r="VNZ16" s="314" t="s">
        <v>203</v>
      </c>
      <c r="VOA16" s="314" t="s">
        <v>203</v>
      </c>
      <c r="VOB16" s="314" t="s">
        <v>203</v>
      </c>
      <c r="VOC16" s="314" t="s">
        <v>203</v>
      </c>
      <c r="VOD16" s="314" t="s">
        <v>203</v>
      </c>
      <c r="VOE16" s="314" t="s">
        <v>203</v>
      </c>
      <c r="VOF16" s="314" t="s">
        <v>203</v>
      </c>
      <c r="VOG16" s="314" t="s">
        <v>203</v>
      </c>
      <c r="VOH16" s="314" t="s">
        <v>203</v>
      </c>
      <c r="VOI16" s="314" t="s">
        <v>203</v>
      </c>
      <c r="VOJ16" s="314" t="s">
        <v>203</v>
      </c>
      <c r="VOK16" s="314" t="s">
        <v>203</v>
      </c>
      <c r="VOL16" s="314" t="s">
        <v>203</v>
      </c>
      <c r="VOM16" s="314" t="s">
        <v>203</v>
      </c>
      <c r="VON16" s="314" t="s">
        <v>203</v>
      </c>
      <c r="VOO16" s="314" t="s">
        <v>203</v>
      </c>
      <c r="VOP16" s="314" t="s">
        <v>203</v>
      </c>
      <c r="VOQ16" s="314" t="s">
        <v>203</v>
      </c>
      <c r="VOR16" s="314" t="s">
        <v>203</v>
      </c>
      <c r="VOS16" s="314" t="s">
        <v>203</v>
      </c>
      <c r="VOT16" s="314" t="s">
        <v>203</v>
      </c>
      <c r="VOU16" s="314" t="s">
        <v>203</v>
      </c>
      <c r="VOV16" s="314" t="s">
        <v>203</v>
      </c>
      <c r="VOW16" s="314" t="s">
        <v>203</v>
      </c>
      <c r="VOX16" s="314" t="s">
        <v>203</v>
      </c>
      <c r="VOY16" s="314" t="s">
        <v>203</v>
      </c>
      <c r="VOZ16" s="314" t="s">
        <v>203</v>
      </c>
      <c r="VPA16" s="314" t="s">
        <v>203</v>
      </c>
      <c r="VPB16" s="314" t="s">
        <v>203</v>
      </c>
      <c r="VPC16" s="314" t="s">
        <v>203</v>
      </c>
      <c r="VPD16" s="314" t="s">
        <v>203</v>
      </c>
      <c r="VPE16" s="314" t="s">
        <v>203</v>
      </c>
      <c r="VPF16" s="314" t="s">
        <v>203</v>
      </c>
      <c r="VPG16" s="314" t="s">
        <v>203</v>
      </c>
      <c r="VPH16" s="314" t="s">
        <v>203</v>
      </c>
      <c r="VPI16" s="314" t="s">
        <v>203</v>
      </c>
      <c r="VPJ16" s="314" t="s">
        <v>203</v>
      </c>
      <c r="VPK16" s="314" t="s">
        <v>203</v>
      </c>
      <c r="VPL16" s="314" t="s">
        <v>203</v>
      </c>
      <c r="VPM16" s="314" t="s">
        <v>203</v>
      </c>
      <c r="VPN16" s="314" t="s">
        <v>203</v>
      </c>
      <c r="VPO16" s="314" t="s">
        <v>203</v>
      </c>
      <c r="VPP16" s="314" t="s">
        <v>203</v>
      </c>
      <c r="VPQ16" s="314" t="s">
        <v>203</v>
      </c>
      <c r="VPR16" s="314" t="s">
        <v>203</v>
      </c>
      <c r="VPS16" s="314" t="s">
        <v>203</v>
      </c>
      <c r="VPT16" s="314" t="s">
        <v>203</v>
      </c>
      <c r="VPU16" s="314" t="s">
        <v>203</v>
      </c>
      <c r="VPV16" s="314" t="s">
        <v>203</v>
      </c>
      <c r="VPW16" s="314" t="s">
        <v>203</v>
      </c>
      <c r="VPX16" s="314" t="s">
        <v>203</v>
      </c>
      <c r="VPY16" s="314" t="s">
        <v>203</v>
      </c>
      <c r="VPZ16" s="314" t="s">
        <v>203</v>
      </c>
      <c r="VQA16" s="314" t="s">
        <v>203</v>
      </c>
      <c r="VQB16" s="314" t="s">
        <v>203</v>
      </c>
      <c r="VQC16" s="314" t="s">
        <v>203</v>
      </c>
      <c r="VQD16" s="314" t="s">
        <v>203</v>
      </c>
      <c r="VQE16" s="314" t="s">
        <v>203</v>
      </c>
      <c r="VQF16" s="314" t="s">
        <v>203</v>
      </c>
      <c r="VQG16" s="314" t="s">
        <v>203</v>
      </c>
      <c r="VQH16" s="314" t="s">
        <v>203</v>
      </c>
      <c r="VQI16" s="314" t="s">
        <v>203</v>
      </c>
      <c r="VQJ16" s="314" t="s">
        <v>203</v>
      </c>
      <c r="VQK16" s="314" t="s">
        <v>203</v>
      </c>
      <c r="VQL16" s="314" t="s">
        <v>203</v>
      </c>
      <c r="VQM16" s="314" t="s">
        <v>203</v>
      </c>
      <c r="VQN16" s="314" t="s">
        <v>203</v>
      </c>
      <c r="VQO16" s="314" t="s">
        <v>203</v>
      </c>
      <c r="VQP16" s="314" t="s">
        <v>203</v>
      </c>
      <c r="VQQ16" s="314" t="s">
        <v>203</v>
      </c>
      <c r="VQR16" s="314" t="s">
        <v>203</v>
      </c>
      <c r="VQS16" s="314" t="s">
        <v>203</v>
      </c>
      <c r="VQT16" s="314" t="s">
        <v>203</v>
      </c>
      <c r="VQU16" s="314" t="s">
        <v>203</v>
      </c>
      <c r="VQV16" s="314" t="s">
        <v>203</v>
      </c>
      <c r="VQW16" s="314" t="s">
        <v>203</v>
      </c>
      <c r="VQX16" s="314" t="s">
        <v>203</v>
      </c>
      <c r="VQY16" s="314" t="s">
        <v>203</v>
      </c>
      <c r="VQZ16" s="314" t="s">
        <v>203</v>
      </c>
      <c r="VRA16" s="314" t="s">
        <v>203</v>
      </c>
      <c r="VRB16" s="314" t="s">
        <v>203</v>
      </c>
      <c r="VRC16" s="314" t="s">
        <v>203</v>
      </c>
      <c r="VRD16" s="314" t="s">
        <v>203</v>
      </c>
      <c r="VRE16" s="314" t="s">
        <v>203</v>
      </c>
      <c r="VRF16" s="314" t="s">
        <v>203</v>
      </c>
      <c r="VRG16" s="314" t="s">
        <v>203</v>
      </c>
      <c r="VRH16" s="314" t="s">
        <v>203</v>
      </c>
      <c r="VRI16" s="314" t="s">
        <v>203</v>
      </c>
      <c r="VRJ16" s="314" t="s">
        <v>203</v>
      </c>
      <c r="VRK16" s="314" t="s">
        <v>203</v>
      </c>
      <c r="VRL16" s="314" t="s">
        <v>203</v>
      </c>
      <c r="VRM16" s="314" t="s">
        <v>203</v>
      </c>
      <c r="VRN16" s="314" t="s">
        <v>203</v>
      </c>
      <c r="VRO16" s="314" t="s">
        <v>203</v>
      </c>
      <c r="VRP16" s="314" t="s">
        <v>203</v>
      </c>
      <c r="VRQ16" s="314" t="s">
        <v>203</v>
      </c>
      <c r="VRR16" s="314" t="s">
        <v>203</v>
      </c>
      <c r="VRS16" s="314" t="s">
        <v>203</v>
      </c>
      <c r="VRT16" s="314" t="s">
        <v>203</v>
      </c>
      <c r="VRU16" s="314" t="s">
        <v>203</v>
      </c>
      <c r="VRV16" s="314" t="s">
        <v>203</v>
      </c>
      <c r="VRW16" s="314" t="s">
        <v>203</v>
      </c>
      <c r="VRX16" s="314" t="s">
        <v>203</v>
      </c>
      <c r="VRY16" s="314" t="s">
        <v>203</v>
      </c>
      <c r="VRZ16" s="314" t="s">
        <v>203</v>
      </c>
      <c r="VSA16" s="314" t="s">
        <v>203</v>
      </c>
      <c r="VSB16" s="314" t="s">
        <v>203</v>
      </c>
      <c r="VSC16" s="314" t="s">
        <v>203</v>
      </c>
      <c r="VSD16" s="314" t="s">
        <v>203</v>
      </c>
      <c r="VSE16" s="314" t="s">
        <v>203</v>
      </c>
      <c r="VSF16" s="314" t="s">
        <v>203</v>
      </c>
      <c r="VSG16" s="314" t="s">
        <v>203</v>
      </c>
      <c r="VSH16" s="314" t="s">
        <v>203</v>
      </c>
      <c r="VSI16" s="314" t="s">
        <v>203</v>
      </c>
      <c r="VSJ16" s="314" t="s">
        <v>203</v>
      </c>
      <c r="VSK16" s="314" t="s">
        <v>203</v>
      </c>
      <c r="VSL16" s="314" t="s">
        <v>203</v>
      </c>
      <c r="VSM16" s="314" t="s">
        <v>203</v>
      </c>
      <c r="VSN16" s="314" t="s">
        <v>203</v>
      </c>
      <c r="VSO16" s="314" t="s">
        <v>203</v>
      </c>
      <c r="VSP16" s="314" t="s">
        <v>203</v>
      </c>
      <c r="VSQ16" s="314" t="s">
        <v>203</v>
      </c>
      <c r="VSR16" s="314" t="s">
        <v>203</v>
      </c>
      <c r="VSS16" s="314" t="s">
        <v>203</v>
      </c>
      <c r="VST16" s="314" t="s">
        <v>203</v>
      </c>
      <c r="VSU16" s="314" t="s">
        <v>203</v>
      </c>
      <c r="VSV16" s="314" t="s">
        <v>203</v>
      </c>
      <c r="VSW16" s="314" t="s">
        <v>203</v>
      </c>
      <c r="VSX16" s="314" t="s">
        <v>203</v>
      </c>
      <c r="VSY16" s="314" t="s">
        <v>203</v>
      </c>
      <c r="VSZ16" s="314" t="s">
        <v>203</v>
      </c>
      <c r="VTA16" s="314" t="s">
        <v>203</v>
      </c>
      <c r="VTB16" s="314" t="s">
        <v>203</v>
      </c>
      <c r="VTC16" s="314" t="s">
        <v>203</v>
      </c>
      <c r="VTD16" s="314" t="s">
        <v>203</v>
      </c>
      <c r="VTE16" s="314" t="s">
        <v>203</v>
      </c>
      <c r="VTF16" s="314" t="s">
        <v>203</v>
      </c>
      <c r="VTG16" s="314" t="s">
        <v>203</v>
      </c>
      <c r="VTH16" s="314" t="s">
        <v>203</v>
      </c>
      <c r="VTI16" s="314" t="s">
        <v>203</v>
      </c>
      <c r="VTJ16" s="314" t="s">
        <v>203</v>
      </c>
      <c r="VTK16" s="314" t="s">
        <v>203</v>
      </c>
      <c r="VTL16" s="314" t="s">
        <v>203</v>
      </c>
      <c r="VTM16" s="314" t="s">
        <v>203</v>
      </c>
      <c r="VTN16" s="314" t="s">
        <v>203</v>
      </c>
      <c r="VTO16" s="314" t="s">
        <v>203</v>
      </c>
      <c r="VTP16" s="314" t="s">
        <v>203</v>
      </c>
      <c r="VTQ16" s="314" t="s">
        <v>203</v>
      </c>
      <c r="VTR16" s="314" t="s">
        <v>203</v>
      </c>
      <c r="VTS16" s="314" t="s">
        <v>203</v>
      </c>
      <c r="VTT16" s="314" t="s">
        <v>203</v>
      </c>
      <c r="VTU16" s="314" t="s">
        <v>203</v>
      </c>
      <c r="VTV16" s="314" t="s">
        <v>203</v>
      </c>
      <c r="VTW16" s="314" t="s">
        <v>203</v>
      </c>
      <c r="VTX16" s="314" t="s">
        <v>203</v>
      </c>
      <c r="VTY16" s="314" t="s">
        <v>203</v>
      </c>
      <c r="VTZ16" s="314" t="s">
        <v>203</v>
      </c>
      <c r="VUA16" s="314" t="s">
        <v>203</v>
      </c>
      <c r="VUB16" s="314" t="s">
        <v>203</v>
      </c>
      <c r="VUC16" s="314" t="s">
        <v>203</v>
      </c>
      <c r="VUD16" s="314" t="s">
        <v>203</v>
      </c>
      <c r="VUE16" s="314" t="s">
        <v>203</v>
      </c>
      <c r="VUF16" s="314" t="s">
        <v>203</v>
      </c>
      <c r="VUG16" s="314" t="s">
        <v>203</v>
      </c>
      <c r="VUH16" s="314" t="s">
        <v>203</v>
      </c>
      <c r="VUI16" s="314" t="s">
        <v>203</v>
      </c>
      <c r="VUJ16" s="314" t="s">
        <v>203</v>
      </c>
      <c r="VUK16" s="314" t="s">
        <v>203</v>
      </c>
      <c r="VUL16" s="314" t="s">
        <v>203</v>
      </c>
      <c r="VUM16" s="314" t="s">
        <v>203</v>
      </c>
      <c r="VUN16" s="314" t="s">
        <v>203</v>
      </c>
      <c r="VUO16" s="314" t="s">
        <v>203</v>
      </c>
      <c r="VUP16" s="314" t="s">
        <v>203</v>
      </c>
      <c r="VUQ16" s="314" t="s">
        <v>203</v>
      </c>
      <c r="VUR16" s="314" t="s">
        <v>203</v>
      </c>
      <c r="VUS16" s="314" t="s">
        <v>203</v>
      </c>
      <c r="VUT16" s="314" t="s">
        <v>203</v>
      </c>
      <c r="VUU16" s="314" t="s">
        <v>203</v>
      </c>
      <c r="VUV16" s="314" t="s">
        <v>203</v>
      </c>
      <c r="VUW16" s="314" t="s">
        <v>203</v>
      </c>
      <c r="VUX16" s="314" t="s">
        <v>203</v>
      </c>
      <c r="VUY16" s="314" t="s">
        <v>203</v>
      </c>
      <c r="VUZ16" s="314" t="s">
        <v>203</v>
      </c>
      <c r="VVA16" s="314" t="s">
        <v>203</v>
      </c>
      <c r="VVB16" s="314" t="s">
        <v>203</v>
      </c>
      <c r="VVC16" s="314" t="s">
        <v>203</v>
      </c>
      <c r="VVD16" s="314" t="s">
        <v>203</v>
      </c>
      <c r="VVE16" s="314" t="s">
        <v>203</v>
      </c>
      <c r="VVF16" s="314" t="s">
        <v>203</v>
      </c>
      <c r="VVG16" s="314" t="s">
        <v>203</v>
      </c>
      <c r="VVH16" s="314" t="s">
        <v>203</v>
      </c>
      <c r="VVI16" s="314" t="s">
        <v>203</v>
      </c>
      <c r="VVJ16" s="314" t="s">
        <v>203</v>
      </c>
      <c r="VVK16" s="314" t="s">
        <v>203</v>
      </c>
      <c r="VVL16" s="314" t="s">
        <v>203</v>
      </c>
      <c r="VVM16" s="314" t="s">
        <v>203</v>
      </c>
      <c r="VVN16" s="314" t="s">
        <v>203</v>
      </c>
      <c r="VVO16" s="314" t="s">
        <v>203</v>
      </c>
      <c r="VVP16" s="314" t="s">
        <v>203</v>
      </c>
      <c r="VVQ16" s="314" t="s">
        <v>203</v>
      </c>
      <c r="VVR16" s="314" t="s">
        <v>203</v>
      </c>
      <c r="VVS16" s="314" t="s">
        <v>203</v>
      </c>
      <c r="VVT16" s="314" t="s">
        <v>203</v>
      </c>
      <c r="VVU16" s="314" t="s">
        <v>203</v>
      </c>
      <c r="VVV16" s="314" t="s">
        <v>203</v>
      </c>
      <c r="VVW16" s="314" t="s">
        <v>203</v>
      </c>
      <c r="VVX16" s="314" t="s">
        <v>203</v>
      </c>
      <c r="VVY16" s="314" t="s">
        <v>203</v>
      </c>
      <c r="VVZ16" s="314" t="s">
        <v>203</v>
      </c>
      <c r="VWA16" s="314" t="s">
        <v>203</v>
      </c>
      <c r="VWB16" s="314" t="s">
        <v>203</v>
      </c>
      <c r="VWC16" s="314" t="s">
        <v>203</v>
      </c>
      <c r="VWD16" s="314" t="s">
        <v>203</v>
      </c>
      <c r="VWE16" s="314" t="s">
        <v>203</v>
      </c>
      <c r="VWF16" s="314" t="s">
        <v>203</v>
      </c>
      <c r="VWG16" s="314" t="s">
        <v>203</v>
      </c>
      <c r="VWH16" s="314" t="s">
        <v>203</v>
      </c>
      <c r="VWI16" s="314" t="s">
        <v>203</v>
      </c>
      <c r="VWJ16" s="314" t="s">
        <v>203</v>
      </c>
      <c r="VWK16" s="314" t="s">
        <v>203</v>
      </c>
      <c r="VWL16" s="314" t="s">
        <v>203</v>
      </c>
      <c r="VWM16" s="314" t="s">
        <v>203</v>
      </c>
      <c r="VWN16" s="314" t="s">
        <v>203</v>
      </c>
      <c r="VWO16" s="314" t="s">
        <v>203</v>
      </c>
      <c r="VWP16" s="314" t="s">
        <v>203</v>
      </c>
      <c r="VWQ16" s="314" t="s">
        <v>203</v>
      </c>
      <c r="VWR16" s="314" t="s">
        <v>203</v>
      </c>
      <c r="VWS16" s="314" t="s">
        <v>203</v>
      </c>
      <c r="VWT16" s="314" t="s">
        <v>203</v>
      </c>
      <c r="VWU16" s="314" t="s">
        <v>203</v>
      </c>
      <c r="VWV16" s="314" t="s">
        <v>203</v>
      </c>
      <c r="VWW16" s="314" t="s">
        <v>203</v>
      </c>
      <c r="VWX16" s="314" t="s">
        <v>203</v>
      </c>
      <c r="VWY16" s="314" t="s">
        <v>203</v>
      </c>
      <c r="VWZ16" s="314" t="s">
        <v>203</v>
      </c>
      <c r="VXA16" s="314" t="s">
        <v>203</v>
      </c>
      <c r="VXB16" s="314" t="s">
        <v>203</v>
      </c>
      <c r="VXC16" s="314" t="s">
        <v>203</v>
      </c>
      <c r="VXD16" s="314" t="s">
        <v>203</v>
      </c>
      <c r="VXE16" s="314" t="s">
        <v>203</v>
      </c>
      <c r="VXF16" s="314" t="s">
        <v>203</v>
      </c>
      <c r="VXG16" s="314" t="s">
        <v>203</v>
      </c>
      <c r="VXH16" s="314" t="s">
        <v>203</v>
      </c>
      <c r="VXI16" s="314" t="s">
        <v>203</v>
      </c>
      <c r="VXJ16" s="314" t="s">
        <v>203</v>
      </c>
      <c r="VXK16" s="314" t="s">
        <v>203</v>
      </c>
      <c r="VXL16" s="314" t="s">
        <v>203</v>
      </c>
      <c r="VXM16" s="314" t="s">
        <v>203</v>
      </c>
      <c r="VXN16" s="314" t="s">
        <v>203</v>
      </c>
      <c r="VXO16" s="314" t="s">
        <v>203</v>
      </c>
      <c r="VXP16" s="314" t="s">
        <v>203</v>
      </c>
      <c r="VXQ16" s="314" t="s">
        <v>203</v>
      </c>
      <c r="VXR16" s="314" t="s">
        <v>203</v>
      </c>
      <c r="VXS16" s="314" t="s">
        <v>203</v>
      </c>
      <c r="VXT16" s="314" t="s">
        <v>203</v>
      </c>
      <c r="VXU16" s="314" t="s">
        <v>203</v>
      </c>
      <c r="VXV16" s="314" t="s">
        <v>203</v>
      </c>
      <c r="VXW16" s="314" t="s">
        <v>203</v>
      </c>
      <c r="VXX16" s="314" t="s">
        <v>203</v>
      </c>
      <c r="VXY16" s="314" t="s">
        <v>203</v>
      </c>
      <c r="VXZ16" s="314" t="s">
        <v>203</v>
      </c>
      <c r="VYA16" s="314" t="s">
        <v>203</v>
      </c>
      <c r="VYB16" s="314" t="s">
        <v>203</v>
      </c>
      <c r="VYC16" s="314" t="s">
        <v>203</v>
      </c>
      <c r="VYD16" s="314" t="s">
        <v>203</v>
      </c>
      <c r="VYE16" s="314" t="s">
        <v>203</v>
      </c>
      <c r="VYF16" s="314" t="s">
        <v>203</v>
      </c>
      <c r="VYG16" s="314" t="s">
        <v>203</v>
      </c>
      <c r="VYH16" s="314" t="s">
        <v>203</v>
      </c>
      <c r="VYI16" s="314" t="s">
        <v>203</v>
      </c>
      <c r="VYJ16" s="314" t="s">
        <v>203</v>
      </c>
      <c r="VYK16" s="314" t="s">
        <v>203</v>
      </c>
      <c r="VYL16" s="314" t="s">
        <v>203</v>
      </c>
      <c r="VYM16" s="314" t="s">
        <v>203</v>
      </c>
      <c r="VYN16" s="314" t="s">
        <v>203</v>
      </c>
      <c r="VYO16" s="314" t="s">
        <v>203</v>
      </c>
      <c r="VYP16" s="314" t="s">
        <v>203</v>
      </c>
      <c r="VYQ16" s="314" t="s">
        <v>203</v>
      </c>
      <c r="VYR16" s="314" t="s">
        <v>203</v>
      </c>
      <c r="VYS16" s="314" t="s">
        <v>203</v>
      </c>
      <c r="VYT16" s="314" t="s">
        <v>203</v>
      </c>
      <c r="VYU16" s="314" t="s">
        <v>203</v>
      </c>
      <c r="VYV16" s="314" t="s">
        <v>203</v>
      </c>
      <c r="VYW16" s="314" t="s">
        <v>203</v>
      </c>
      <c r="VYX16" s="314" t="s">
        <v>203</v>
      </c>
      <c r="VYY16" s="314" t="s">
        <v>203</v>
      </c>
      <c r="VYZ16" s="314" t="s">
        <v>203</v>
      </c>
      <c r="VZA16" s="314" t="s">
        <v>203</v>
      </c>
      <c r="VZB16" s="314" t="s">
        <v>203</v>
      </c>
      <c r="VZC16" s="314" t="s">
        <v>203</v>
      </c>
      <c r="VZD16" s="314" t="s">
        <v>203</v>
      </c>
      <c r="VZE16" s="314" t="s">
        <v>203</v>
      </c>
      <c r="VZF16" s="314" t="s">
        <v>203</v>
      </c>
      <c r="VZG16" s="314" t="s">
        <v>203</v>
      </c>
      <c r="VZH16" s="314" t="s">
        <v>203</v>
      </c>
      <c r="VZI16" s="314" t="s">
        <v>203</v>
      </c>
      <c r="VZJ16" s="314" t="s">
        <v>203</v>
      </c>
      <c r="VZK16" s="314" t="s">
        <v>203</v>
      </c>
      <c r="VZL16" s="314" t="s">
        <v>203</v>
      </c>
      <c r="VZM16" s="314" t="s">
        <v>203</v>
      </c>
      <c r="VZN16" s="314" t="s">
        <v>203</v>
      </c>
      <c r="VZO16" s="314" t="s">
        <v>203</v>
      </c>
      <c r="VZP16" s="314" t="s">
        <v>203</v>
      </c>
      <c r="VZQ16" s="314" t="s">
        <v>203</v>
      </c>
      <c r="VZR16" s="314" t="s">
        <v>203</v>
      </c>
      <c r="VZS16" s="314" t="s">
        <v>203</v>
      </c>
      <c r="VZT16" s="314" t="s">
        <v>203</v>
      </c>
      <c r="VZU16" s="314" t="s">
        <v>203</v>
      </c>
      <c r="VZV16" s="314" t="s">
        <v>203</v>
      </c>
      <c r="VZW16" s="314" t="s">
        <v>203</v>
      </c>
      <c r="VZX16" s="314" t="s">
        <v>203</v>
      </c>
      <c r="VZY16" s="314" t="s">
        <v>203</v>
      </c>
      <c r="VZZ16" s="314" t="s">
        <v>203</v>
      </c>
      <c r="WAA16" s="314" t="s">
        <v>203</v>
      </c>
      <c r="WAB16" s="314" t="s">
        <v>203</v>
      </c>
      <c r="WAC16" s="314" t="s">
        <v>203</v>
      </c>
      <c r="WAD16" s="314" t="s">
        <v>203</v>
      </c>
      <c r="WAE16" s="314" t="s">
        <v>203</v>
      </c>
      <c r="WAF16" s="314" t="s">
        <v>203</v>
      </c>
      <c r="WAG16" s="314" t="s">
        <v>203</v>
      </c>
      <c r="WAH16" s="314" t="s">
        <v>203</v>
      </c>
      <c r="WAI16" s="314" t="s">
        <v>203</v>
      </c>
      <c r="WAJ16" s="314" t="s">
        <v>203</v>
      </c>
      <c r="WAK16" s="314" t="s">
        <v>203</v>
      </c>
      <c r="WAL16" s="314" t="s">
        <v>203</v>
      </c>
      <c r="WAM16" s="314" t="s">
        <v>203</v>
      </c>
      <c r="WAN16" s="314" t="s">
        <v>203</v>
      </c>
      <c r="WAO16" s="314" t="s">
        <v>203</v>
      </c>
      <c r="WAP16" s="314" t="s">
        <v>203</v>
      </c>
      <c r="WAQ16" s="314" t="s">
        <v>203</v>
      </c>
      <c r="WAR16" s="314" t="s">
        <v>203</v>
      </c>
      <c r="WAS16" s="314" t="s">
        <v>203</v>
      </c>
      <c r="WAT16" s="314" t="s">
        <v>203</v>
      </c>
      <c r="WAU16" s="314" t="s">
        <v>203</v>
      </c>
      <c r="WAV16" s="314" t="s">
        <v>203</v>
      </c>
      <c r="WAW16" s="314" t="s">
        <v>203</v>
      </c>
      <c r="WAX16" s="314" t="s">
        <v>203</v>
      </c>
      <c r="WAY16" s="314" t="s">
        <v>203</v>
      </c>
      <c r="WAZ16" s="314" t="s">
        <v>203</v>
      </c>
      <c r="WBA16" s="314" t="s">
        <v>203</v>
      </c>
      <c r="WBB16" s="314" t="s">
        <v>203</v>
      </c>
      <c r="WBC16" s="314" t="s">
        <v>203</v>
      </c>
      <c r="WBD16" s="314" t="s">
        <v>203</v>
      </c>
      <c r="WBE16" s="314" t="s">
        <v>203</v>
      </c>
      <c r="WBF16" s="314" t="s">
        <v>203</v>
      </c>
      <c r="WBG16" s="314" t="s">
        <v>203</v>
      </c>
      <c r="WBH16" s="314" t="s">
        <v>203</v>
      </c>
      <c r="WBI16" s="314" t="s">
        <v>203</v>
      </c>
      <c r="WBJ16" s="314" t="s">
        <v>203</v>
      </c>
      <c r="WBK16" s="314" t="s">
        <v>203</v>
      </c>
      <c r="WBL16" s="314" t="s">
        <v>203</v>
      </c>
      <c r="WBM16" s="314" t="s">
        <v>203</v>
      </c>
      <c r="WBN16" s="314" t="s">
        <v>203</v>
      </c>
      <c r="WBO16" s="314" t="s">
        <v>203</v>
      </c>
      <c r="WBP16" s="314" t="s">
        <v>203</v>
      </c>
      <c r="WBQ16" s="314" t="s">
        <v>203</v>
      </c>
      <c r="WBR16" s="314" t="s">
        <v>203</v>
      </c>
      <c r="WBS16" s="314" t="s">
        <v>203</v>
      </c>
      <c r="WBT16" s="314" t="s">
        <v>203</v>
      </c>
      <c r="WBU16" s="314" t="s">
        <v>203</v>
      </c>
      <c r="WBV16" s="314" t="s">
        <v>203</v>
      </c>
      <c r="WBW16" s="314" t="s">
        <v>203</v>
      </c>
      <c r="WBX16" s="314" t="s">
        <v>203</v>
      </c>
      <c r="WBY16" s="314" t="s">
        <v>203</v>
      </c>
      <c r="WBZ16" s="314" t="s">
        <v>203</v>
      </c>
      <c r="WCA16" s="314" t="s">
        <v>203</v>
      </c>
      <c r="WCB16" s="314" t="s">
        <v>203</v>
      </c>
      <c r="WCC16" s="314" t="s">
        <v>203</v>
      </c>
      <c r="WCD16" s="314" t="s">
        <v>203</v>
      </c>
      <c r="WCE16" s="314" t="s">
        <v>203</v>
      </c>
      <c r="WCF16" s="314" t="s">
        <v>203</v>
      </c>
      <c r="WCG16" s="314" t="s">
        <v>203</v>
      </c>
      <c r="WCH16" s="314" t="s">
        <v>203</v>
      </c>
      <c r="WCI16" s="314" t="s">
        <v>203</v>
      </c>
      <c r="WCJ16" s="314" t="s">
        <v>203</v>
      </c>
      <c r="WCK16" s="314" t="s">
        <v>203</v>
      </c>
      <c r="WCL16" s="314" t="s">
        <v>203</v>
      </c>
      <c r="WCM16" s="314" t="s">
        <v>203</v>
      </c>
      <c r="WCN16" s="314" t="s">
        <v>203</v>
      </c>
      <c r="WCO16" s="314" t="s">
        <v>203</v>
      </c>
      <c r="WCP16" s="314" t="s">
        <v>203</v>
      </c>
      <c r="WCQ16" s="314" t="s">
        <v>203</v>
      </c>
      <c r="WCR16" s="314" t="s">
        <v>203</v>
      </c>
      <c r="WCS16" s="314" t="s">
        <v>203</v>
      </c>
      <c r="WCT16" s="314" t="s">
        <v>203</v>
      </c>
      <c r="WCU16" s="314" t="s">
        <v>203</v>
      </c>
      <c r="WCV16" s="314" t="s">
        <v>203</v>
      </c>
      <c r="WCW16" s="314" t="s">
        <v>203</v>
      </c>
      <c r="WCX16" s="314" t="s">
        <v>203</v>
      </c>
      <c r="WCY16" s="314" t="s">
        <v>203</v>
      </c>
      <c r="WCZ16" s="314" t="s">
        <v>203</v>
      </c>
      <c r="WDA16" s="314" t="s">
        <v>203</v>
      </c>
      <c r="WDB16" s="314" t="s">
        <v>203</v>
      </c>
      <c r="WDC16" s="314" t="s">
        <v>203</v>
      </c>
      <c r="WDD16" s="314" t="s">
        <v>203</v>
      </c>
      <c r="WDE16" s="314" t="s">
        <v>203</v>
      </c>
      <c r="WDF16" s="314" t="s">
        <v>203</v>
      </c>
      <c r="WDG16" s="314" t="s">
        <v>203</v>
      </c>
      <c r="WDH16" s="314" t="s">
        <v>203</v>
      </c>
      <c r="WDI16" s="314" t="s">
        <v>203</v>
      </c>
      <c r="WDJ16" s="314" t="s">
        <v>203</v>
      </c>
      <c r="WDK16" s="314" t="s">
        <v>203</v>
      </c>
      <c r="WDL16" s="314" t="s">
        <v>203</v>
      </c>
      <c r="WDM16" s="314" t="s">
        <v>203</v>
      </c>
      <c r="WDN16" s="314" t="s">
        <v>203</v>
      </c>
      <c r="WDO16" s="314" t="s">
        <v>203</v>
      </c>
      <c r="WDP16" s="314" t="s">
        <v>203</v>
      </c>
      <c r="WDQ16" s="314" t="s">
        <v>203</v>
      </c>
      <c r="WDR16" s="314" t="s">
        <v>203</v>
      </c>
      <c r="WDS16" s="314" t="s">
        <v>203</v>
      </c>
      <c r="WDT16" s="314" t="s">
        <v>203</v>
      </c>
      <c r="WDU16" s="314" t="s">
        <v>203</v>
      </c>
      <c r="WDV16" s="314" t="s">
        <v>203</v>
      </c>
      <c r="WDW16" s="314" t="s">
        <v>203</v>
      </c>
      <c r="WDX16" s="314" t="s">
        <v>203</v>
      </c>
      <c r="WDY16" s="314" t="s">
        <v>203</v>
      </c>
      <c r="WDZ16" s="314" t="s">
        <v>203</v>
      </c>
      <c r="WEA16" s="314" t="s">
        <v>203</v>
      </c>
      <c r="WEB16" s="314" t="s">
        <v>203</v>
      </c>
      <c r="WEC16" s="314" t="s">
        <v>203</v>
      </c>
      <c r="WED16" s="314" t="s">
        <v>203</v>
      </c>
      <c r="WEE16" s="314" t="s">
        <v>203</v>
      </c>
      <c r="WEF16" s="314" t="s">
        <v>203</v>
      </c>
      <c r="WEG16" s="314" t="s">
        <v>203</v>
      </c>
      <c r="WEH16" s="314" t="s">
        <v>203</v>
      </c>
      <c r="WEI16" s="314" t="s">
        <v>203</v>
      </c>
      <c r="WEJ16" s="314" t="s">
        <v>203</v>
      </c>
      <c r="WEK16" s="314" t="s">
        <v>203</v>
      </c>
      <c r="WEL16" s="314" t="s">
        <v>203</v>
      </c>
      <c r="WEM16" s="314" t="s">
        <v>203</v>
      </c>
      <c r="WEN16" s="314" t="s">
        <v>203</v>
      </c>
      <c r="WEO16" s="314" t="s">
        <v>203</v>
      </c>
      <c r="WEP16" s="314" t="s">
        <v>203</v>
      </c>
      <c r="WEQ16" s="314" t="s">
        <v>203</v>
      </c>
      <c r="WER16" s="314" t="s">
        <v>203</v>
      </c>
      <c r="WES16" s="314" t="s">
        <v>203</v>
      </c>
      <c r="WET16" s="314" t="s">
        <v>203</v>
      </c>
      <c r="WEU16" s="314" t="s">
        <v>203</v>
      </c>
      <c r="WEV16" s="314" t="s">
        <v>203</v>
      </c>
      <c r="WEW16" s="314" t="s">
        <v>203</v>
      </c>
      <c r="WEX16" s="314" t="s">
        <v>203</v>
      </c>
      <c r="WEY16" s="314" t="s">
        <v>203</v>
      </c>
      <c r="WEZ16" s="314" t="s">
        <v>203</v>
      </c>
      <c r="WFA16" s="314" t="s">
        <v>203</v>
      </c>
      <c r="WFB16" s="314" t="s">
        <v>203</v>
      </c>
      <c r="WFC16" s="314" t="s">
        <v>203</v>
      </c>
      <c r="WFD16" s="314" t="s">
        <v>203</v>
      </c>
      <c r="WFE16" s="314" t="s">
        <v>203</v>
      </c>
      <c r="WFF16" s="314" t="s">
        <v>203</v>
      </c>
      <c r="WFG16" s="314" t="s">
        <v>203</v>
      </c>
      <c r="WFH16" s="314" t="s">
        <v>203</v>
      </c>
      <c r="WFI16" s="314" t="s">
        <v>203</v>
      </c>
      <c r="WFJ16" s="314" t="s">
        <v>203</v>
      </c>
      <c r="WFK16" s="314" t="s">
        <v>203</v>
      </c>
      <c r="WFL16" s="314" t="s">
        <v>203</v>
      </c>
      <c r="WFM16" s="314" t="s">
        <v>203</v>
      </c>
      <c r="WFN16" s="314" t="s">
        <v>203</v>
      </c>
      <c r="WFO16" s="314" t="s">
        <v>203</v>
      </c>
      <c r="WFP16" s="314" t="s">
        <v>203</v>
      </c>
      <c r="WFQ16" s="314" t="s">
        <v>203</v>
      </c>
      <c r="WFR16" s="314" t="s">
        <v>203</v>
      </c>
      <c r="WFS16" s="314" t="s">
        <v>203</v>
      </c>
      <c r="WFT16" s="314" t="s">
        <v>203</v>
      </c>
      <c r="WFU16" s="314" t="s">
        <v>203</v>
      </c>
      <c r="WFV16" s="314" t="s">
        <v>203</v>
      </c>
      <c r="WFW16" s="314" t="s">
        <v>203</v>
      </c>
      <c r="WFX16" s="314" t="s">
        <v>203</v>
      </c>
      <c r="WFY16" s="314" t="s">
        <v>203</v>
      </c>
      <c r="WFZ16" s="314" t="s">
        <v>203</v>
      </c>
      <c r="WGA16" s="314" t="s">
        <v>203</v>
      </c>
      <c r="WGB16" s="314" t="s">
        <v>203</v>
      </c>
      <c r="WGC16" s="314" t="s">
        <v>203</v>
      </c>
      <c r="WGD16" s="314" t="s">
        <v>203</v>
      </c>
      <c r="WGE16" s="314" t="s">
        <v>203</v>
      </c>
      <c r="WGF16" s="314" t="s">
        <v>203</v>
      </c>
      <c r="WGG16" s="314" t="s">
        <v>203</v>
      </c>
      <c r="WGH16" s="314" t="s">
        <v>203</v>
      </c>
      <c r="WGI16" s="314" t="s">
        <v>203</v>
      </c>
      <c r="WGJ16" s="314" t="s">
        <v>203</v>
      </c>
      <c r="WGK16" s="314" t="s">
        <v>203</v>
      </c>
      <c r="WGL16" s="314" t="s">
        <v>203</v>
      </c>
      <c r="WGM16" s="314" t="s">
        <v>203</v>
      </c>
      <c r="WGN16" s="314" t="s">
        <v>203</v>
      </c>
      <c r="WGO16" s="314" t="s">
        <v>203</v>
      </c>
      <c r="WGP16" s="314" t="s">
        <v>203</v>
      </c>
      <c r="WGQ16" s="314" t="s">
        <v>203</v>
      </c>
      <c r="WGR16" s="314" t="s">
        <v>203</v>
      </c>
      <c r="WGS16" s="314" t="s">
        <v>203</v>
      </c>
      <c r="WGT16" s="314" t="s">
        <v>203</v>
      </c>
      <c r="WGU16" s="314" t="s">
        <v>203</v>
      </c>
      <c r="WGV16" s="314" t="s">
        <v>203</v>
      </c>
      <c r="WGW16" s="314" t="s">
        <v>203</v>
      </c>
      <c r="WGX16" s="314" t="s">
        <v>203</v>
      </c>
      <c r="WGY16" s="314" t="s">
        <v>203</v>
      </c>
      <c r="WGZ16" s="314" t="s">
        <v>203</v>
      </c>
      <c r="WHA16" s="314" t="s">
        <v>203</v>
      </c>
      <c r="WHB16" s="314" t="s">
        <v>203</v>
      </c>
      <c r="WHC16" s="314" t="s">
        <v>203</v>
      </c>
      <c r="WHD16" s="314" t="s">
        <v>203</v>
      </c>
      <c r="WHE16" s="314" t="s">
        <v>203</v>
      </c>
      <c r="WHF16" s="314" t="s">
        <v>203</v>
      </c>
      <c r="WHG16" s="314" t="s">
        <v>203</v>
      </c>
      <c r="WHH16" s="314" t="s">
        <v>203</v>
      </c>
      <c r="WHI16" s="314" t="s">
        <v>203</v>
      </c>
      <c r="WHJ16" s="314" t="s">
        <v>203</v>
      </c>
      <c r="WHK16" s="314" t="s">
        <v>203</v>
      </c>
      <c r="WHL16" s="314" t="s">
        <v>203</v>
      </c>
      <c r="WHM16" s="314" t="s">
        <v>203</v>
      </c>
      <c r="WHN16" s="314" t="s">
        <v>203</v>
      </c>
      <c r="WHO16" s="314" t="s">
        <v>203</v>
      </c>
      <c r="WHP16" s="314" t="s">
        <v>203</v>
      </c>
      <c r="WHQ16" s="314" t="s">
        <v>203</v>
      </c>
      <c r="WHR16" s="314" t="s">
        <v>203</v>
      </c>
      <c r="WHS16" s="314" t="s">
        <v>203</v>
      </c>
      <c r="WHT16" s="314" t="s">
        <v>203</v>
      </c>
      <c r="WHU16" s="314" t="s">
        <v>203</v>
      </c>
      <c r="WHV16" s="314" t="s">
        <v>203</v>
      </c>
      <c r="WHW16" s="314" t="s">
        <v>203</v>
      </c>
      <c r="WHX16" s="314" t="s">
        <v>203</v>
      </c>
      <c r="WHY16" s="314" t="s">
        <v>203</v>
      </c>
      <c r="WHZ16" s="314" t="s">
        <v>203</v>
      </c>
      <c r="WIA16" s="314" t="s">
        <v>203</v>
      </c>
      <c r="WIB16" s="314" t="s">
        <v>203</v>
      </c>
      <c r="WIC16" s="314" t="s">
        <v>203</v>
      </c>
      <c r="WID16" s="314" t="s">
        <v>203</v>
      </c>
      <c r="WIE16" s="314" t="s">
        <v>203</v>
      </c>
      <c r="WIF16" s="314" t="s">
        <v>203</v>
      </c>
      <c r="WIG16" s="314" t="s">
        <v>203</v>
      </c>
      <c r="WIH16" s="314" t="s">
        <v>203</v>
      </c>
      <c r="WII16" s="314" t="s">
        <v>203</v>
      </c>
      <c r="WIJ16" s="314" t="s">
        <v>203</v>
      </c>
      <c r="WIK16" s="314" t="s">
        <v>203</v>
      </c>
      <c r="WIL16" s="314" t="s">
        <v>203</v>
      </c>
      <c r="WIM16" s="314" t="s">
        <v>203</v>
      </c>
      <c r="WIN16" s="314" t="s">
        <v>203</v>
      </c>
      <c r="WIO16" s="314" t="s">
        <v>203</v>
      </c>
      <c r="WIP16" s="314" t="s">
        <v>203</v>
      </c>
      <c r="WIQ16" s="314" t="s">
        <v>203</v>
      </c>
      <c r="WIR16" s="314" t="s">
        <v>203</v>
      </c>
      <c r="WIS16" s="314" t="s">
        <v>203</v>
      </c>
      <c r="WIT16" s="314" t="s">
        <v>203</v>
      </c>
      <c r="WIU16" s="314" t="s">
        <v>203</v>
      </c>
      <c r="WIV16" s="314" t="s">
        <v>203</v>
      </c>
      <c r="WIW16" s="314" t="s">
        <v>203</v>
      </c>
      <c r="WIX16" s="314" t="s">
        <v>203</v>
      </c>
      <c r="WIY16" s="314" t="s">
        <v>203</v>
      </c>
      <c r="WIZ16" s="314" t="s">
        <v>203</v>
      </c>
      <c r="WJA16" s="314" t="s">
        <v>203</v>
      </c>
      <c r="WJB16" s="314" t="s">
        <v>203</v>
      </c>
      <c r="WJC16" s="314" t="s">
        <v>203</v>
      </c>
      <c r="WJD16" s="314" t="s">
        <v>203</v>
      </c>
      <c r="WJE16" s="314" t="s">
        <v>203</v>
      </c>
      <c r="WJF16" s="314" t="s">
        <v>203</v>
      </c>
      <c r="WJG16" s="314" t="s">
        <v>203</v>
      </c>
      <c r="WJH16" s="314" t="s">
        <v>203</v>
      </c>
      <c r="WJI16" s="314" t="s">
        <v>203</v>
      </c>
      <c r="WJJ16" s="314" t="s">
        <v>203</v>
      </c>
      <c r="WJK16" s="314" t="s">
        <v>203</v>
      </c>
      <c r="WJL16" s="314" t="s">
        <v>203</v>
      </c>
      <c r="WJM16" s="314" t="s">
        <v>203</v>
      </c>
      <c r="WJN16" s="314" t="s">
        <v>203</v>
      </c>
      <c r="WJO16" s="314" t="s">
        <v>203</v>
      </c>
      <c r="WJP16" s="314" t="s">
        <v>203</v>
      </c>
      <c r="WJQ16" s="314" t="s">
        <v>203</v>
      </c>
      <c r="WJR16" s="314" t="s">
        <v>203</v>
      </c>
      <c r="WJS16" s="314" t="s">
        <v>203</v>
      </c>
      <c r="WJT16" s="314" t="s">
        <v>203</v>
      </c>
      <c r="WJU16" s="314" t="s">
        <v>203</v>
      </c>
      <c r="WJV16" s="314" t="s">
        <v>203</v>
      </c>
      <c r="WJW16" s="314" t="s">
        <v>203</v>
      </c>
      <c r="WJX16" s="314" t="s">
        <v>203</v>
      </c>
      <c r="WJY16" s="314" t="s">
        <v>203</v>
      </c>
      <c r="WJZ16" s="314" t="s">
        <v>203</v>
      </c>
      <c r="WKA16" s="314" t="s">
        <v>203</v>
      </c>
      <c r="WKB16" s="314" t="s">
        <v>203</v>
      </c>
      <c r="WKC16" s="314" t="s">
        <v>203</v>
      </c>
      <c r="WKD16" s="314" t="s">
        <v>203</v>
      </c>
      <c r="WKE16" s="314" t="s">
        <v>203</v>
      </c>
      <c r="WKF16" s="314" t="s">
        <v>203</v>
      </c>
      <c r="WKG16" s="314" t="s">
        <v>203</v>
      </c>
      <c r="WKH16" s="314" t="s">
        <v>203</v>
      </c>
      <c r="WKI16" s="314" t="s">
        <v>203</v>
      </c>
      <c r="WKJ16" s="314" t="s">
        <v>203</v>
      </c>
      <c r="WKK16" s="314" t="s">
        <v>203</v>
      </c>
      <c r="WKL16" s="314" t="s">
        <v>203</v>
      </c>
      <c r="WKM16" s="314" t="s">
        <v>203</v>
      </c>
      <c r="WKN16" s="314" t="s">
        <v>203</v>
      </c>
      <c r="WKO16" s="314" t="s">
        <v>203</v>
      </c>
      <c r="WKP16" s="314" t="s">
        <v>203</v>
      </c>
      <c r="WKQ16" s="314" t="s">
        <v>203</v>
      </c>
      <c r="WKR16" s="314" t="s">
        <v>203</v>
      </c>
      <c r="WKS16" s="314" t="s">
        <v>203</v>
      </c>
      <c r="WKT16" s="314" t="s">
        <v>203</v>
      </c>
      <c r="WKU16" s="314" t="s">
        <v>203</v>
      </c>
      <c r="WKV16" s="314" t="s">
        <v>203</v>
      </c>
      <c r="WKW16" s="314" t="s">
        <v>203</v>
      </c>
      <c r="WKX16" s="314" t="s">
        <v>203</v>
      </c>
      <c r="WKY16" s="314" t="s">
        <v>203</v>
      </c>
      <c r="WKZ16" s="314" t="s">
        <v>203</v>
      </c>
      <c r="WLA16" s="314" t="s">
        <v>203</v>
      </c>
      <c r="WLB16" s="314" t="s">
        <v>203</v>
      </c>
      <c r="WLC16" s="314" t="s">
        <v>203</v>
      </c>
      <c r="WLD16" s="314" t="s">
        <v>203</v>
      </c>
      <c r="WLE16" s="314" t="s">
        <v>203</v>
      </c>
      <c r="WLF16" s="314" t="s">
        <v>203</v>
      </c>
      <c r="WLG16" s="314" t="s">
        <v>203</v>
      </c>
      <c r="WLH16" s="314" t="s">
        <v>203</v>
      </c>
      <c r="WLI16" s="314" t="s">
        <v>203</v>
      </c>
      <c r="WLJ16" s="314" t="s">
        <v>203</v>
      </c>
      <c r="WLK16" s="314" t="s">
        <v>203</v>
      </c>
      <c r="WLL16" s="314" t="s">
        <v>203</v>
      </c>
      <c r="WLM16" s="314" t="s">
        <v>203</v>
      </c>
      <c r="WLN16" s="314" t="s">
        <v>203</v>
      </c>
      <c r="WLO16" s="314" t="s">
        <v>203</v>
      </c>
      <c r="WLP16" s="314" t="s">
        <v>203</v>
      </c>
      <c r="WLQ16" s="314" t="s">
        <v>203</v>
      </c>
      <c r="WLR16" s="314" t="s">
        <v>203</v>
      </c>
      <c r="WLS16" s="314" t="s">
        <v>203</v>
      </c>
      <c r="WLT16" s="314" t="s">
        <v>203</v>
      </c>
      <c r="WLU16" s="314" t="s">
        <v>203</v>
      </c>
      <c r="WLV16" s="314" t="s">
        <v>203</v>
      </c>
      <c r="WLW16" s="314" t="s">
        <v>203</v>
      </c>
      <c r="WLX16" s="314" t="s">
        <v>203</v>
      </c>
      <c r="WLY16" s="314" t="s">
        <v>203</v>
      </c>
      <c r="WLZ16" s="314" t="s">
        <v>203</v>
      </c>
      <c r="WMA16" s="314" t="s">
        <v>203</v>
      </c>
      <c r="WMB16" s="314" t="s">
        <v>203</v>
      </c>
      <c r="WMC16" s="314" t="s">
        <v>203</v>
      </c>
      <c r="WMD16" s="314" t="s">
        <v>203</v>
      </c>
      <c r="WME16" s="314" t="s">
        <v>203</v>
      </c>
      <c r="WMF16" s="314" t="s">
        <v>203</v>
      </c>
      <c r="WMG16" s="314" t="s">
        <v>203</v>
      </c>
      <c r="WMH16" s="314" t="s">
        <v>203</v>
      </c>
      <c r="WMI16" s="314" t="s">
        <v>203</v>
      </c>
      <c r="WMJ16" s="314" t="s">
        <v>203</v>
      </c>
      <c r="WMK16" s="314" t="s">
        <v>203</v>
      </c>
      <c r="WML16" s="314" t="s">
        <v>203</v>
      </c>
      <c r="WMM16" s="314" t="s">
        <v>203</v>
      </c>
      <c r="WMN16" s="314" t="s">
        <v>203</v>
      </c>
      <c r="WMO16" s="314" t="s">
        <v>203</v>
      </c>
      <c r="WMP16" s="314" t="s">
        <v>203</v>
      </c>
      <c r="WMQ16" s="314" t="s">
        <v>203</v>
      </c>
      <c r="WMR16" s="314" t="s">
        <v>203</v>
      </c>
      <c r="WMS16" s="314" t="s">
        <v>203</v>
      </c>
      <c r="WMT16" s="314" t="s">
        <v>203</v>
      </c>
      <c r="WMU16" s="314" t="s">
        <v>203</v>
      </c>
      <c r="WMV16" s="314" t="s">
        <v>203</v>
      </c>
      <c r="WMW16" s="314" t="s">
        <v>203</v>
      </c>
      <c r="WMX16" s="314" t="s">
        <v>203</v>
      </c>
      <c r="WMY16" s="314" t="s">
        <v>203</v>
      </c>
      <c r="WMZ16" s="314" t="s">
        <v>203</v>
      </c>
      <c r="WNA16" s="314" t="s">
        <v>203</v>
      </c>
      <c r="WNB16" s="314" t="s">
        <v>203</v>
      </c>
      <c r="WNC16" s="314" t="s">
        <v>203</v>
      </c>
      <c r="WND16" s="314" t="s">
        <v>203</v>
      </c>
      <c r="WNE16" s="314" t="s">
        <v>203</v>
      </c>
      <c r="WNF16" s="314" t="s">
        <v>203</v>
      </c>
      <c r="WNG16" s="314" t="s">
        <v>203</v>
      </c>
      <c r="WNH16" s="314" t="s">
        <v>203</v>
      </c>
      <c r="WNI16" s="314" t="s">
        <v>203</v>
      </c>
      <c r="WNJ16" s="314" t="s">
        <v>203</v>
      </c>
      <c r="WNK16" s="314" t="s">
        <v>203</v>
      </c>
      <c r="WNL16" s="314" t="s">
        <v>203</v>
      </c>
      <c r="WNM16" s="314" t="s">
        <v>203</v>
      </c>
      <c r="WNN16" s="314" t="s">
        <v>203</v>
      </c>
      <c r="WNO16" s="314" t="s">
        <v>203</v>
      </c>
      <c r="WNP16" s="314" t="s">
        <v>203</v>
      </c>
      <c r="WNQ16" s="314" t="s">
        <v>203</v>
      </c>
      <c r="WNR16" s="314" t="s">
        <v>203</v>
      </c>
      <c r="WNS16" s="314" t="s">
        <v>203</v>
      </c>
      <c r="WNT16" s="314" t="s">
        <v>203</v>
      </c>
      <c r="WNU16" s="314" t="s">
        <v>203</v>
      </c>
      <c r="WNV16" s="314" t="s">
        <v>203</v>
      </c>
      <c r="WNW16" s="314" t="s">
        <v>203</v>
      </c>
      <c r="WNX16" s="314" t="s">
        <v>203</v>
      </c>
      <c r="WNY16" s="314" t="s">
        <v>203</v>
      </c>
      <c r="WNZ16" s="314" t="s">
        <v>203</v>
      </c>
      <c r="WOA16" s="314" t="s">
        <v>203</v>
      </c>
      <c r="WOB16" s="314" t="s">
        <v>203</v>
      </c>
      <c r="WOC16" s="314" t="s">
        <v>203</v>
      </c>
      <c r="WOD16" s="314" t="s">
        <v>203</v>
      </c>
      <c r="WOE16" s="314" t="s">
        <v>203</v>
      </c>
      <c r="WOF16" s="314" t="s">
        <v>203</v>
      </c>
      <c r="WOG16" s="314" t="s">
        <v>203</v>
      </c>
      <c r="WOH16" s="314" t="s">
        <v>203</v>
      </c>
      <c r="WOI16" s="314" t="s">
        <v>203</v>
      </c>
      <c r="WOJ16" s="314" t="s">
        <v>203</v>
      </c>
      <c r="WOK16" s="314" t="s">
        <v>203</v>
      </c>
      <c r="WOL16" s="314" t="s">
        <v>203</v>
      </c>
      <c r="WOM16" s="314" t="s">
        <v>203</v>
      </c>
      <c r="WON16" s="314" t="s">
        <v>203</v>
      </c>
      <c r="WOO16" s="314" t="s">
        <v>203</v>
      </c>
      <c r="WOP16" s="314" t="s">
        <v>203</v>
      </c>
      <c r="WOQ16" s="314" t="s">
        <v>203</v>
      </c>
      <c r="WOR16" s="314" t="s">
        <v>203</v>
      </c>
      <c r="WOS16" s="314" t="s">
        <v>203</v>
      </c>
      <c r="WOT16" s="314" t="s">
        <v>203</v>
      </c>
      <c r="WOU16" s="314" t="s">
        <v>203</v>
      </c>
      <c r="WOV16" s="314" t="s">
        <v>203</v>
      </c>
      <c r="WOW16" s="314" t="s">
        <v>203</v>
      </c>
      <c r="WOX16" s="314" t="s">
        <v>203</v>
      </c>
      <c r="WOY16" s="314" t="s">
        <v>203</v>
      </c>
      <c r="WOZ16" s="314" t="s">
        <v>203</v>
      </c>
      <c r="WPA16" s="314" t="s">
        <v>203</v>
      </c>
      <c r="WPB16" s="314" t="s">
        <v>203</v>
      </c>
      <c r="WPC16" s="314" t="s">
        <v>203</v>
      </c>
      <c r="WPD16" s="314" t="s">
        <v>203</v>
      </c>
      <c r="WPE16" s="314" t="s">
        <v>203</v>
      </c>
      <c r="WPF16" s="314" t="s">
        <v>203</v>
      </c>
      <c r="WPG16" s="314" t="s">
        <v>203</v>
      </c>
      <c r="WPH16" s="314" t="s">
        <v>203</v>
      </c>
      <c r="WPI16" s="314" t="s">
        <v>203</v>
      </c>
      <c r="WPJ16" s="314" t="s">
        <v>203</v>
      </c>
      <c r="WPK16" s="314" t="s">
        <v>203</v>
      </c>
      <c r="WPL16" s="314" t="s">
        <v>203</v>
      </c>
      <c r="WPM16" s="314" t="s">
        <v>203</v>
      </c>
      <c r="WPN16" s="314" t="s">
        <v>203</v>
      </c>
      <c r="WPO16" s="314" t="s">
        <v>203</v>
      </c>
      <c r="WPP16" s="314" t="s">
        <v>203</v>
      </c>
      <c r="WPQ16" s="314" t="s">
        <v>203</v>
      </c>
      <c r="WPR16" s="314" t="s">
        <v>203</v>
      </c>
      <c r="WPS16" s="314" t="s">
        <v>203</v>
      </c>
      <c r="WPT16" s="314" t="s">
        <v>203</v>
      </c>
      <c r="WPU16" s="314" t="s">
        <v>203</v>
      </c>
      <c r="WPV16" s="314" t="s">
        <v>203</v>
      </c>
      <c r="WPW16" s="314" t="s">
        <v>203</v>
      </c>
      <c r="WPX16" s="314" t="s">
        <v>203</v>
      </c>
      <c r="WPY16" s="314" t="s">
        <v>203</v>
      </c>
      <c r="WPZ16" s="314" t="s">
        <v>203</v>
      </c>
      <c r="WQA16" s="314" t="s">
        <v>203</v>
      </c>
      <c r="WQB16" s="314" t="s">
        <v>203</v>
      </c>
      <c r="WQC16" s="314" t="s">
        <v>203</v>
      </c>
      <c r="WQD16" s="314" t="s">
        <v>203</v>
      </c>
      <c r="WQE16" s="314" t="s">
        <v>203</v>
      </c>
      <c r="WQF16" s="314" t="s">
        <v>203</v>
      </c>
      <c r="WQG16" s="314" t="s">
        <v>203</v>
      </c>
      <c r="WQH16" s="314" t="s">
        <v>203</v>
      </c>
      <c r="WQI16" s="314" t="s">
        <v>203</v>
      </c>
      <c r="WQJ16" s="314" t="s">
        <v>203</v>
      </c>
      <c r="WQK16" s="314" t="s">
        <v>203</v>
      </c>
      <c r="WQL16" s="314" t="s">
        <v>203</v>
      </c>
      <c r="WQM16" s="314" t="s">
        <v>203</v>
      </c>
      <c r="WQN16" s="314" t="s">
        <v>203</v>
      </c>
      <c r="WQO16" s="314" t="s">
        <v>203</v>
      </c>
      <c r="WQP16" s="314" t="s">
        <v>203</v>
      </c>
      <c r="WQQ16" s="314" t="s">
        <v>203</v>
      </c>
      <c r="WQR16" s="314" t="s">
        <v>203</v>
      </c>
      <c r="WQS16" s="314" t="s">
        <v>203</v>
      </c>
      <c r="WQT16" s="314" t="s">
        <v>203</v>
      </c>
      <c r="WQU16" s="314" t="s">
        <v>203</v>
      </c>
      <c r="WQV16" s="314" t="s">
        <v>203</v>
      </c>
      <c r="WQW16" s="314" t="s">
        <v>203</v>
      </c>
      <c r="WQX16" s="314" t="s">
        <v>203</v>
      </c>
      <c r="WQY16" s="314" t="s">
        <v>203</v>
      </c>
      <c r="WQZ16" s="314" t="s">
        <v>203</v>
      </c>
      <c r="WRA16" s="314" t="s">
        <v>203</v>
      </c>
      <c r="WRB16" s="314" t="s">
        <v>203</v>
      </c>
      <c r="WRC16" s="314" t="s">
        <v>203</v>
      </c>
      <c r="WRD16" s="314" t="s">
        <v>203</v>
      </c>
      <c r="WRE16" s="314" t="s">
        <v>203</v>
      </c>
      <c r="WRF16" s="314" t="s">
        <v>203</v>
      </c>
      <c r="WRG16" s="314" t="s">
        <v>203</v>
      </c>
      <c r="WRH16" s="314" t="s">
        <v>203</v>
      </c>
      <c r="WRI16" s="314" t="s">
        <v>203</v>
      </c>
      <c r="WRJ16" s="314" t="s">
        <v>203</v>
      </c>
      <c r="WRK16" s="314" t="s">
        <v>203</v>
      </c>
      <c r="WRL16" s="314" t="s">
        <v>203</v>
      </c>
      <c r="WRM16" s="314" t="s">
        <v>203</v>
      </c>
      <c r="WRN16" s="314" t="s">
        <v>203</v>
      </c>
      <c r="WRO16" s="314" t="s">
        <v>203</v>
      </c>
      <c r="WRP16" s="314" t="s">
        <v>203</v>
      </c>
      <c r="WRQ16" s="314" t="s">
        <v>203</v>
      </c>
      <c r="WRR16" s="314" t="s">
        <v>203</v>
      </c>
      <c r="WRS16" s="314" t="s">
        <v>203</v>
      </c>
      <c r="WRT16" s="314" t="s">
        <v>203</v>
      </c>
      <c r="WRU16" s="314" t="s">
        <v>203</v>
      </c>
      <c r="WRV16" s="314" t="s">
        <v>203</v>
      </c>
      <c r="WRW16" s="314" t="s">
        <v>203</v>
      </c>
      <c r="WRX16" s="314" t="s">
        <v>203</v>
      </c>
      <c r="WRY16" s="314" t="s">
        <v>203</v>
      </c>
      <c r="WRZ16" s="314" t="s">
        <v>203</v>
      </c>
      <c r="WSA16" s="314" t="s">
        <v>203</v>
      </c>
      <c r="WSB16" s="314" t="s">
        <v>203</v>
      </c>
      <c r="WSC16" s="314" t="s">
        <v>203</v>
      </c>
      <c r="WSD16" s="314" t="s">
        <v>203</v>
      </c>
      <c r="WSE16" s="314" t="s">
        <v>203</v>
      </c>
      <c r="WSF16" s="314" t="s">
        <v>203</v>
      </c>
      <c r="WSG16" s="314" t="s">
        <v>203</v>
      </c>
      <c r="WSH16" s="314" t="s">
        <v>203</v>
      </c>
      <c r="WSI16" s="314" t="s">
        <v>203</v>
      </c>
      <c r="WSJ16" s="314" t="s">
        <v>203</v>
      </c>
      <c r="WSK16" s="314" t="s">
        <v>203</v>
      </c>
      <c r="WSL16" s="314" t="s">
        <v>203</v>
      </c>
      <c r="WSM16" s="314" t="s">
        <v>203</v>
      </c>
      <c r="WSN16" s="314" t="s">
        <v>203</v>
      </c>
      <c r="WSO16" s="314" t="s">
        <v>203</v>
      </c>
      <c r="WSP16" s="314" t="s">
        <v>203</v>
      </c>
      <c r="WSQ16" s="314" t="s">
        <v>203</v>
      </c>
      <c r="WSR16" s="314" t="s">
        <v>203</v>
      </c>
      <c r="WSS16" s="314" t="s">
        <v>203</v>
      </c>
      <c r="WST16" s="314" t="s">
        <v>203</v>
      </c>
      <c r="WSU16" s="314" t="s">
        <v>203</v>
      </c>
      <c r="WSV16" s="314" t="s">
        <v>203</v>
      </c>
      <c r="WSW16" s="314" t="s">
        <v>203</v>
      </c>
      <c r="WSX16" s="314" t="s">
        <v>203</v>
      </c>
      <c r="WSY16" s="314" t="s">
        <v>203</v>
      </c>
      <c r="WSZ16" s="314" t="s">
        <v>203</v>
      </c>
      <c r="WTA16" s="314" t="s">
        <v>203</v>
      </c>
      <c r="WTB16" s="314" t="s">
        <v>203</v>
      </c>
      <c r="WTC16" s="314" t="s">
        <v>203</v>
      </c>
      <c r="WTD16" s="314" t="s">
        <v>203</v>
      </c>
      <c r="WTE16" s="314" t="s">
        <v>203</v>
      </c>
      <c r="WTF16" s="314" t="s">
        <v>203</v>
      </c>
      <c r="WTG16" s="314" t="s">
        <v>203</v>
      </c>
      <c r="WTH16" s="314" t="s">
        <v>203</v>
      </c>
      <c r="WTI16" s="314" t="s">
        <v>203</v>
      </c>
      <c r="WTJ16" s="314" t="s">
        <v>203</v>
      </c>
      <c r="WTK16" s="314" t="s">
        <v>203</v>
      </c>
      <c r="WTL16" s="314" t="s">
        <v>203</v>
      </c>
      <c r="WTM16" s="314" t="s">
        <v>203</v>
      </c>
      <c r="WTN16" s="314" t="s">
        <v>203</v>
      </c>
      <c r="WTO16" s="314" t="s">
        <v>203</v>
      </c>
      <c r="WTP16" s="314" t="s">
        <v>203</v>
      </c>
      <c r="WTQ16" s="314" t="s">
        <v>203</v>
      </c>
      <c r="WTR16" s="314" t="s">
        <v>203</v>
      </c>
      <c r="WTS16" s="314" t="s">
        <v>203</v>
      </c>
      <c r="WTT16" s="314" t="s">
        <v>203</v>
      </c>
      <c r="WTU16" s="314" t="s">
        <v>203</v>
      </c>
      <c r="WTV16" s="314" t="s">
        <v>203</v>
      </c>
      <c r="WTW16" s="314" t="s">
        <v>203</v>
      </c>
      <c r="WTX16" s="314" t="s">
        <v>203</v>
      </c>
      <c r="WTY16" s="314" t="s">
        <v>203</v>
      </c>
      <c r="WTZ16" s="314" t="s">
        <v>203</v>
      </c>
      <c r="WUA16" s="314" t="s">
        <v>203</v>
      </c>
      <c r="WUB16" s="314" t="s">
        <v>203</v>
      </c>
      <c r="WUC16" s="314" t="s">
        <v>203</v>
      </c>
      <c r="WUD16" s="314" t="s">
        <v>203</v>
      </c>
      <c r="WUE16" s="314" t="s">
        <v>203</v>
      </c>
      <c r="WUF16" s="314" t="s">
        <v>203</v>
      </c>
      <c r="WUG16" s="314" t="s">
        <v>203</v>
      </c>
      <c r="WUH16" s="314" t="s">
        <v>203</v>
      </c>
      <c r="WUI16" s="314" t="s">
        <v>203</v>
      </c>
      <c r="WUJ16" s="314" t="s">
        <v>203</v>
      </c>
      <c r="WUK16" s="314" t="s">
        <v>203</v>
      </c>
      <c r="WUL16" s="314" t="s">
        <v>203</v>
      </c>
      <c r="WUM16" s="314" t="s">
        <v>203</v>
      </c>
      <c r="WUN16" s="314" t="s">
        <v>203</v>
      </c>
      <c r="WUO16" s="314" t="s">
        <v>203</v>
      </c>
      <c r="WUP16" s="314" t="s">
        <v>203</v>
      </c>
      <c r="WUQ16" s="314" t="s">
        <v>203</v>
      </c>
      <c r="WUR16" s="314" t="s">
        <v>203</v>
      </c>
      <c r="WUS16" s="314" t="s">
        <v>203</v>
      </c>
      <c r="WUT16" s="314" t="s">
        <v>203</v>
      </c>
      <c r="WUU16" s="314" t="s">
        <v>203</v>
      </c>
      <c r="WUV16" s="314" t="s">
        <v>203</v>
      </c>
      <c r="WUW16" s="314" t="s">
        <v>203</v>
      </c>
      <c r="WUX16" s="314" t="s">
        <v>203</v>
      </c>
      <c r="WUY16" s="314" t="s">
        <v>203</v>
      </c>
      <c r="WUZ16" s="314" t="s">
        <v>203</v>
      </c>
      <c r="WVA16" s="314" t="s">
        <v>203</v>
      </c>
      <c r="WVB16" s="314" t="s">
        <v>203</v>
      </c>
      <c r="WVC16" s="314" t="s">
        <v>203</v>
      </c>
      <c r="WVD16" s="314" t="s">
        <v>203</v>
      </c>
      <c r="WVE16" s="314" t="s">
        <v>203</v>
      </c>
      <c r="WVF16" s="314" t="s">
        <v>203</v>
      </c>
      <c r="WVG16" s="314" t="s">
        <v>203</v>
      </c>
      <c r="WVH16" s="314" t="s">
        <v>203</v>
      </c>
      <c r="WVI16" s="314" t="s">
        <v>203</v>
      </c>
      <c r="WVJ16" s="314" t="s">
        <v>203</v>
      </c>
      <c r="WVK16" s="314" t="s">
        <v>203</v>
      </c>
      <c r="WVL16" s="314" t="s">
        <v>203</v>
      </c>
      <c r="WVM16" s="314" t="s">
        <v>203</v>
      </c>
      <c r="WVN16" s="314" t="s">
        <v>203</v>
      </c>
      <c r="WVO16" s="314" t="s">
        <v>203</v>
      </c>
      <c r="WVP16" s="314" t="s">
        <v>203</v>
      </c>
      <c r="WVQ16" s="314" t="s">
        <v>203</v>
      </c>
      <c r="WVR16" s="314" t="s">
        <v>203</v>
      </c>
      <c r="WVS16" s="314" t="s">
        <v>203</v>
      </c>
      <c r="WVT16" s="314" t="s">
        <v>203</v>
      </c>
      <c r="WVU16" s="314" t="s">
        <v>203</v>
      </c>
      <c r="WVV16" s="314" t="s">
        <v>203</v>
      </c>
      <c r="WVW16" s="314" t="s">
        <v>203</v>
      </c>
      <c r="WVX16" s="314" t="s">
        <v>203</v>
      </c>
      <c r="WVY16" s="314" t="s">
        <v>203</v>
      </c>
      <c r="WVZ16" s="314" t="s">
        <v>203</v>
      </c>
      <c r="WWA16" s="314" t="s">
        <v>203</v>
      </c>
      <c r="WWB16" s="314" t="s">
        <v>203</v>
      </c>
      <c r="WWC16" s="314" t="s">
        <v>203</v>
      </c>
      <c r="WWD16" s="314" t="s">
        <v>203</v>
      </c>
      <c r="WWE16" s="314" t="s">
        <v>203</v>
      </c>
      <c r="WWF16" s="314" t="s">
        <v>203</v>
      </c>
      <c r="WWG16" s="314" t="s">
        <v>203</v>
      </c>
      <c r="WWH16" s="314" t="s">
        <v>203</v>
      </c>
      <c r="WWI16" s="314" t="s">
        <v>203</v>
      </c>
      <c r="WWJ16" s="314" t="s">
        <v>203</v>
      </c>
      <c r="WWK16" s="314" t="s">
        <v>203</v>
      </c>
      <c r="WWL16" s="314" t="s">
        <v>203</v>
      </c>
      <c r="WWM16" s="314" t="s">
        <v>203</v>
      </c>
      <c r="WWN16" s="314" t="s">
        <v>203</v>
      </c>
      <c r="WWO16" s="314" t="s">
        <v>203</v>
      </c>
      <c r="WWP16" s="314" t="s">
        <v>203</v>
      </c>
      <c r="WWQ16" s="314" t="s">
        <v>203</v>
      </c>
      <c r="WWR16" s="314" t="s">
        <v>203</v>
      </c>
      <c r="WWS16" s="314" t="s">
        <v>203</v>
      </c>
      <c r="WWT16" s="314" t="s">
        <v>203</v>
      </c>
      <c r="WWU16" s="314" t="s">
        <v>203</v>
      </c>
      <c r="WWV16" s="314" t="s">
        <v>203</v>
      </c>
      <c r="WWW16" s="314" t="s">
        <v>203</v>
      </c>
      <c r="WWX16" s="314" t="s">
        <v>203</v>
      </c>
      <c r="WWY16" s="314" t="s">
        <v>203</v>
      </c>
      <c r="WWZ16" s="314" t="s">
        <v>203</v>
      </c>
      <c r="WXA16" s="314" t="s">
        <v>203</v>
      </c>
      <c r="WXB16" s="314" t="s">
        <v>203</v>
      </c>
      <c r="WXC16" s="314" t="s">
        <v>203</v>
      </c>
      <c r="WXD16" s="314" t="s">
        <v>203</v>
      </c>
      <c r="WXE16" s="314" t="s">
        <v>203</v>
      </c>
      <c r="WXF16" s="314" t="s">
        <v>203</v>
      </c>
      <c r="WXG16" s="314" t="s">
        <v>203</v>
      </c>
      <c r="WXH16" s="314" t="s">
        <v>203</v>
      </c>
      <c r="WXI16" s="314" t="s">
        <v>203</v>
      </c>
      <c r="WXJ16" s="314" t="s">
        <v>203</v>
      </c>
      <c r="WXK16" s="314" t="s">
        <v>203</v>
      </c>
      <c r="WXL16" s="314" t="s">
        <v>203</v>
      </c>
      <c r="WXM16" s="314" t="s">
        <v>203</v>
      </c>
      <c r="WXN16" s="314" t="s">
        <v>203</v>
      </c>
      <c r="WXO16" s="314" t="s">
        <v>203</v>
      </c>
      <c r="WXP16" s="314" t="s">
        <v>203</v>
      </c>
      <c r="WXQ16" s="314" t="s">
        <v>203</v>
      </c>
      <c r="WXR16" s="314" t="s">
        <v>203</v>
      </c>
      <c r="WXS16" s="314" t="s">
        <v>203</v>
      </c>
      <c r="WXT16" s="314" t="s">
        <v>203</v>
      </c>
      <c r="WXU16" s="314" t="s">
        <v>203</v>
      </c>
      <c r="WXV16" s="314" t="s">
        <v>203</v>
      </c>
      <c r="WXW16" s="314" t="s">
        <v>203</v>
      </c>
      <c r="WXX16" s="314" t="s">
        <v>203</v>
      </c>
      <c r="WXY16" s="314" t="s">
        <v>203</v>
      </c>
      <c r="WXZ16" s="314" t="s">
        <v>203</v>
      </c>
      <c r="WYA16" s="314" t="s">
        <v>203</v>
      </c>
      <c r="WYB16" s="314" t="s">
        <v>203</v>
      </c>
      <c r="WYC16" s="314" t="s">
        <v>203</v>
      </c>
      <c r="WYD16" s="314" t="s">
        <v>203</v>
      </c>
      <c r="WYE16" s="314" t="s">
        <v>203</v>
      </c>
      <c r="WYF16" s="314" t="s">
        <v>203</v>
      </c>
      <c r="WYG16" s="314" t="s">
        <v>203</v>
      </c>
      <c r="WYH16" s="314" t="s">
        <v>203</v>
      </c>
      <c r="WYI16" s="314" t="s">
        <v>203</v>
      </c>
      <c r="WYJ16" s="314" t="s">
        <v>203</v>
      </c>
      <c r="WYK16" s="314" t="s">
        <v>203</v>
      </c>
      <c r="WYL16" s="314" t="s">
        <v>203</v>
      </c>
      <c r="WYM16" s="314" t="s">
        <v>203</v>
      </c>
      <c r="WYN16" s="314" t="s">
        <v>203</v>
      </c>
      <c r="WYO16" s="314" t="s">
        <v>203</v>
      </c>
      <c r="WYP16" s="314" t="s">
        <v>203</v>
      </c>
      <c r="WYQ16" s="314" t="s">
        <v>203</v>
      </c>
      <c r="WYR16" s="314" t="s">
        <v>203</v>
      </c>
      <c r="WYS16" s="314" t="s">
        <v>203</v>
      </c>
      <c r="WYT16" s="314" t="s">
        <v>203</v>
      </c>
      <c r="WYU16" s="314" t="s">
        <v>203</v>
      </c>
      <c r="WYV16" s="314" t="s">
        <v>203</v>
      </c>
      <c r="WYW16" s="314" t="s">
        <v>203</v>
      </c>
      <c r="WYX16" s="314" t="s">
        <v>203</v>
      </c>
      <c r="WYY16" s="314" t="s">
        <v>203</v>
      </c>
      <c r="WYZ16" s="314" t="s">
        <v>203</v>
      </c>
      <c r="WZA16" s="314" t="s">
        <v>203</v>
      </c>
      <c r="WZB16" s="314" t="s">
        <v>203</v>
      </c>
      <c r="WZC16" s="314" t="s">
        <v>203</v>
      </c>
      <c r="WZD16" s="314" t="s">
        <v>203</v>
      </c>
      <c r="WZE16" s="314" t="s">
        <v>203</v>
      </c>
      <c r="WZF16" s="314" t="s">
        <v>203</v>
      </c>
      <c r="WZG16" s="314" t="s">
        <v>203</v>
      </c>
      <c r="WZH16" s="314" t="s">
        <v>203</v>
      </c>
      <c r="WZI16" s="314" t="s">
        <v>203</v>
      </c>
      <c r="WZJ16" s="314" t="s">
        <v>203</v>
      </c>
      <c r="WZK16" s="314" t="s">
        <v>203</v>
      </c>
      <c r="WZL16" s="314" t="s">
        <v>203</v>
      </c>
      <c r="WZM16" s="314" t="s">
        <v>203</v>
      </c>
      <c r="WZN16" s="314" t="s">
        <v>203</v>
      </c>
      <c r="WZO16" s="314" t="s">
        <v>203</v>
      </c>
      <c r="WZP16" s="314" t="s">
        <v>203</v>
      </c>
      <c r="WZQ16" s="314" t="s">
        <v>203</v>
      </c>
      <c r="WZR16" s="314" t="s">
        <v>203</v>
      </c>
      <c r="WZS16" s="314" t="s">
        <v>203</v>
      </c>
      <c r="WZT16" s="314" t="s">
        <v>203</v>
      </c>
      <c r="WZU16" s="314" t="s">
        <v>203</v>
      </c>
      <c r="WZV16" s="314" t="s">
        <v>203</v>
      </c>
      <c r="WZW16" s="314" t="s">
        <v>203</v>
      </c>
      <c r="WZX16" s="314" t="s">
        <v>203</v>
      </c>
      <c r="WZY16" s="314" t="s">
        <v>203</v>
      </c>
      <c r="WZZ16" s="314" t="s">
        <v>203</v>
      </c>
      <c r="XAA16" s="314" t="s">
        <v>203</v>
      </c>
      <c r="XAB16" s="314" t="s">
        <v>203</v>
      </c>
      <c r="XAC16" s="314" t="s">
        <v>203</v>
      </c>
      <c r="XAD16" s="314" t="s">
        <v>203</v>
      </c>
      <c r="XAE16" s="314" t="s">
        <v>203</v>
      </c>
      <c r="XAF16" s="314" t="s">
        <v>203</v>
      </c>
      <c r="XAG16" s="314" t="s">
        <v>203</v>
      </c>
      <c r="XAH16" s="314" t="s">
        <v>203</v>
      </c>
      <c r="XAI16" s="314" t="s">
        <v>203</v>
      </c>
      <c r="XAJ16" s="314" t="s">
        <v>203</v>
      </c>
      <c r="XAK16" s="314" t="s">
        <v>203</v>
      </c>
      <c r="XAL16" s="314" t="s">
        <v>203</v>
      </c>
      <c r="XAM16" s="314" t="s">
        <v>203</v>
      </c>
      <c r="XAN16" s="314" t="s">
        <v>203</v>
      </c>
      <c r="XAO16" s="314" t="s">
        <v>203</v>
      </c>
      <c r="XAP16" s="314" t="s">
        <v>203</v>
      </c>
      <c r="XAQ16" s="314" t="s">
        <v>203</v>
      </c>
      <c r="XAR16" s="314" t="s">
        <v>203</v>
      </c>
      <c r="XAS16" s="314" t="s">
        <v>203</v>
      </c>
      <c r="XAT16" s="314" t="s">
        <v>203</v>
      </c>
      <c r="XAU16" s="314" t="s">
        <v>203</v>
      </c>
      <c r="XAV16" s="314" t="s">
        <v>203</v>
      </c>
      <c r="XAW16" s="314" t="s">
        <v>203</v>
      </c>
      <c r="XAX16" s="314" t="s">
        <v>203</v>
      </c>
      <c r="XAY16" s="314" t="s">
        <v>203</v>
      </c>
      <c r="XAZ16" s="314" t="s">
        <v>203</v>
      </c>
      <c r="XBA16" s="314" t="s">
        <v>203</v>
      </c>
      <c r="XBB16" s="314" t="s">
        <v>203</v>
      </c>
      <c r="XBC16" s="314" t="s">
        <v>203</v>
      </c>
      <c r="XBD16" s="314" t="s">
        <v>203</v>
      </c>
      <c r="XBE16" s="314" t="s">
        <v>203</v>
      </c>
      <c r="XBF16" s="314" t="s">
        <v>203</v>
      </c>
      <c r="XBG16" s="314" t="s">
        <v>203</v>
      </c>
      <c r="XBH16" s="314" t="s">
        <v>203</v>
      </c>
      <c r="XBI16" s="314" t="s">
        <v>203</v>
      </c>
      <c r="XBJ16" s="314" t="s">
        <v>203</v>
      </c>
      <c r="XBK16" s="314" t="s">
        <v>203</v>
      </c>
      <c r="XBL16" s="314" t="s">
        <v>203</v>
      </c>
      <c r="XBM16" s="314" t="s">
        <v>203</v>
      </c>
      <c r="XBN16" s="314" t="s">
        <v>203</v>
      </c>
      <c r="XBO16" s="314" t="s">
        <v>203</v>
      </c>
      <c r="XBP16" s="314" t="s">
        <v>203</v>
      </c>
      <c r="XBQ16" s="314" t="s">
        <v>203</v>
      </c>
      <c r="XBR16" s="314" t="s">
        <v>203</v>
      </c>
      <c r="XBS16" s="314" t="s">
        <v>203</v>
      </c>
      <c r="XBT16" s="314" t="s">
        <v>203</v>
      </c>
      <c r="XBU16" s="314" t="s">
        <v>203</v>
      </c>
      <c r="XBV16" s="314" t="s">
        <v>203</v>
      </c>
      <c r="XBW16" s="314" t="s">
        <v>203</v>
      </c>
      <c r="XBX16" s="314" t="s">
        <v>203</v>
      </c>
      <c r="XBY16" s="314" t="s">
        <v>203</v>
      </c>
      <c r="XBZ16" s="314" t="s">
        <v>203</v>
      </c>
      <c r="XCA16" s="314" t="s">
        <v>203</v>
      </c>
      <c r="XCB16" s="314" t="s">
        <v>203</v>
      </c>
      <c r="XCC16" s="314" t="s">
        <v>203</v>
      </c>
      <c r="XCD16" s="314" t="s">
        <v>203</v>
      </c>
      <c r="XCE16" s="314" t="s">
        <v>203</v>
      </c>
      <c r="XCF16" s="314" t="s">
        <v>203</v>
      </c>
      <c r="XCG16" s="314" t="s">
        <v>203</v>
      </c>
      <c r="XCH16" s="314" t="s">
        <v>203</v>
      </c>
      <c r="XCI16" s="314" t="s">
        <v>203</v>
      </c>
      <c r="XCJ16" s="314" t="s">
        <v>203</v>
      </c>
      <c r="XCK16" s="314" t="s">
        <v>203</v>
      </c>
      <c r="XCL16" s="314" t="s">
        <v>203</v>
      </c>
      <c r="XCM16" s="314" t="s">
        <v>203</v>
      </c>
      <c r="XCN16" s="314" t="s">
        <v>203</v>
      </c>
      <c r="XCO16" s="314" t="s">
        <v>203</v>
      </c>
      <c r="XCP16" s="314" t="s">
        <v>203</v>
      </c>
      <c r="XCQ16" s="314" t="s">
        <v>203</v>
      </c>
      <c r="XCR16" s="314" t="s">
        <v>203</v>
      </c>
      <c r="XCS16" s="314" t="s">
        <v>203</v>
      </c>
      <c r="XCT16" s="314" t="s">
        <v>203</v>
      </c>
      <c r="XCU16" s="314" t="s">
        <v>203</v>
      </c>
      <c r="XCV16" s="314" t="s">
        <v>203</v>
      </c>
      <c r="XCW16" s="314" t="s">
        <v>203</v>
      </c>
      <c r="XCX16" s="314" t="s">
        <v>203</v>
      </c>
      <c r="XCY16" s="314" t="s">
        <v>203</v>
      </c>
      <c r="XCZ16" s="314" t="s">
        <v>203</v>
      </c>
      <c r="XDA16" s="314" t="s">
        <v>203</v>
      </c>
      <c r="XDB16" s="314" t="s">
        <v>203</v>
      </c>
      <c r="XDC16" s="314" t="s">
        <v>203</v>
      </c>
      <c r="XDD16" s="314" t="s">
        <v>203</v>
      </c>
      <c r="XDE16" s="314" t="s">
        <v>203</v>
      </c>
      <c r="XDF16" s="314" t="s">
        <v>203</v>
      </c>
      <c r="XDG16" s="314" t="s">
        <v>203</v>
      </c>
      <c r="XDH16" s="314" t="s">
        <v>203</v>
      </c>
      <c r="XDI16" s="314" t="s">
        <v>203</v>
      </c>
      <c r="XDJ16" s="314" t="s">
        <v>203</v>
      </c>
      <c r="XDK16" s="314" t="s">
        <v>203</v>
      </c>
      <c r="XDL16" s="314" t="s">
        <v>203</v>
      </c>
      <c r="XDM16" s="314" t="s">
        <v>203</v>
      </c>
      <c r="XDN16" s="314" t="s">
        <v>203</v>
      </c>
      <c r="XDO16" s="314" t="s">
        <v>203</v>
      </c>
      <c r="XDP16" s="314" t="s">
        <v>203</v>
      </c>
      <c r="XDQ16" s="314" t="s">
        <v>203</v>
      </c>
      <c r="XDR16" s="314" t="s">
        <v>203</v>
      </c>
      <c r="XDS16" s="314" t="s">
        <v>203</v>
      </c>
      <c r="XDT16" s="314" t="s">
        <v>203</v>
      </c>
      <c r="XDU16" s="314" t="s">
        <v>203</v>
      </c>
      <c r="XDV16" s="314" t="s">
        <v>203</v>
      </c>
      <c r="XDW16" s="314" t="s">
        <v>203</v>
      </c>
      <c r="XDX16" s="314" t="s">
        <v>203</v>
      </c>
      <c r="XDY16" s="314" t="s">
        <v>203</v>
      </c>
      <c r="XDZ16" s="314" t="s">
        <v>203</v>
      </c>
      <c r="XEA16" s="314" t="s">
        <v>203</v>
      </c>
      <c r="XEB16" s="314" t="s">
        <v>203</v>
      </c>
      <c r="XEC16" s="314" t="s">
        <v>203</v>
      </c>
      <c r="XED16" s="314" t="s">
        <v>203</v>
      </c>
      <c r="XEE16" s="314" t="s">
        <v>203</v>
      </c>
      <c r="XEF16" s="314" t="s">
        <v>203</v>
      </c>
      <c r="XEG16" s="314" t="s">
        <v>203</v>
      </c>
      <c r="XEH16" s="314" t="s">
        <v>203</v>
      </c>
      <c r="XEI16" s="314" t="s">
        <v>203</v>
      </c>
      <c r="XEJ16" s="314" t="s">
        <v>203</v>
      </c>
      <c r="XEK16" s="314" t="s">
        <v>203</v>
      </c>
      <c r="XEL16" s="314" t="s">
        <v>203</v>
      </c>
      <c r="XEM16" s="314" t="s">
        <v>203</v>
      </c>
      <c r="XEN16" s="314" t="s">
        <v>203</v>
      </c>
      <c r="XEO16" s="314" t="s">
        <v>203</v>
      </c>
      <c r="XEP16" s="314" t="s">
        <v>203</v>
      </c>
      <c r="XEQ16" s="314" t="s">
        <v>203</v>
      </c>
      <c r="XER16" s="314" t="s">
        <v>203</v>
      </c>
      <c r="XES16" s="314" t="s">
        <v>203</v>
      </c>
      <c r="XET16" s="314" t="s">
        <v>203</v>
      </c>
      <c r="XEU16" s="314" t="s">
        <v>203</v>
      </c>
      <c r="XEV16" s="314" t="s">
        <v>203</v>
      </c>
      <c r="XEW16" s="314" t="s">
        <v>203</v>
      </c>
      <c r="XEX16" s="314" t="s">
        <v>203</v>
      </c>
      <c r="XEY16" s="314" t="s">
        <v>203</v>
      </c>
      <c r="XEZ16" s="314" t="s">
        <v>203</v>
      </c>
      <c r="XFA16" s="314" t="s">
        <v>203</v>
      </c>
    </row>
    <row r="17" spans="1:48" s="314" customFormat="1" x14ac:dyDescent="0.25">
      <c r="A17" s="518" t="s">
        <v>249</v>
      </c>
      <c r="B17" s="520">
        <v>45840</v>
      </c>
      <c r="C17" s="584">
        <v>45839</v>
      </c>
      <c r="D17" s="530"/>
      <c r="E17" s="521"/>
      <c r="F17" s="521"/>
      <c r="G17" s="531" t="s">
        <v>213</v>
      </c>
      <c r="H17" s="522" t="s">
        <v>250</v>
      </c>
      <c r="I17" s="532">
        <v>1518</v>
      </c>
      <c r="J17" s="532"/>
      <c r="K17" s="521"/>
      <c r="L17" s="526"/>
      <c r="M17" s="525"/>
      <c r="N17" s="524">
        <v>607</v>
      </c>
      <c r="O17" s="533"/>
      <c r="P17" s="521"/>
      <c r="Q17" s="528"/>
      <c r="R17" s="534">
        <v>607.20000000000005</v>
      </c>
      <c r="S17" s="534"/>
      <c r="T17" s="534"/>
      <c r="U17" s="534">
        <v>825</v>
      </c>
      <c r="V17" s="519">
        <v>31983923994</v>
      </c>
      <c r="W17" s="225" t="s">
        <v>294</v>
      </c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</row>
    <row r="18" spans="1:48" x14ac:dyDescent="0.25">
      <c r="A18" s="343" t="s">
        <v>232</v>
      </c>
      <c r="B18" s="535"/>
      <c r="C18" s="536"/>
      <c r="D18" s="536"/>
      <c r="E18" s="537"/>
      <c r="F18" s="537"/>
      <c r="G18" s="538" t="s">
        <v>235</v>
      </c>
      <c r="H18" s="539"/>
      <c r="I18" s="540">
        <v>4000</v>
      </c>
      <c r="J18" s="541"/>
      <c r="K18" s="537"/>
      <c r="L18" s="542"/>
      <c r="M18" s="543"/>
      <c r="N18" s="542"/>
      <c r="O18" s="544"/>
      <c r="P18" s="537"/>
      <c r="Q18" s="545"/>
      <c r="R18" s="475"/>
      <c r="S18" s="475"/>
      <c r="T18" s="545"/>
      <c r="U18" s="545"/>
      <c r="V18" s="321"/>
      <c r="W18" s="225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</row>
    <row r="19" spans="1:48" s="319" customFormat="1" x14ac:dyDescent="0.25">
      <c r="A19" s="445" t="s">
        <v>205</v>
      </c>
      <c r="B19" s="546">
        <v>45793</v>
      </c>
      <c r="C19" s="547">
        <v>45612</v>
      </c>
      <c r="D19" s="547"/>
      <c r="E19" s="548"/>
      <c r="F19" s="548"/>
      <c r="G19" s="549" t="s">
        <v>238</v>
      </c>
      <c r="H19" s="550" t="s">
        <v>206</v>
      </c>
      <c r="I19" s="551">
        <f>1758</f>
        <v>1758</v>
      </c>
      <c r="J19" s="552"/>
      <c r="K19" s="548"/>
      <c r="L19" s="553"/>
      <c r="M19" s="554"/>
      <c r="N19" s="553">
        <v>703.2</v>
      </c>
      <c r="O19" s="555"/>
      <c r="P19" s="548"/>
      <c r="Q19" s="556"/>
      <c r="R19" s="557">
        <v>703.2</v>
      </c>
      <c r="S19" s="557"/>
      <c r="T19" s="556"/>
      <c r="U19" s="556">
        <v>944</v>
      </c>
      <c r="V19" s="558" t="s">
        <v>209</v>
      </c>
      <c r="W19" s="225"/>
    </row>
    <row r="20" spans="1:48" s="319" customFormat="1" ht="16.5" customHeight="1" x14ac:dyDescent="0.25">
      <c r="A20" s="445" t="s">
        <v>108</v>
      </c>
      <c r="B20" s="547">
        <v>45716</v>
      </c>
      <c r="C20" s="547">
        <v>45728</v>
      </c>
      <c r="D20" s="547">
        <v>45786</v>
      </c>
      <c r="E20" s="556"/>
      <c r="F20" s="548"/>
      <c r="G20" s="549" t="s">
        <v>238</v>
      </c>
      <c r="H20" s="550" t="s">
        <v>25</v>
      </c>
      <c r="I20" s="551">
        <v>1758</v>
      </c>
      <c r="J20" s="556"/>
      <c r="K20" s="556"/>
      <c r="L20" s="559"/>
      <c r="M20" s="553"/>
      <c r="N20" s="559">
        <v>703.2</v>
      </c>
      <c r="O20" s="555" t="s">
        <v>290</v>
      </c>
      <c r="P20" s="548"/>
      <c r="Q20" s="556"/>
      <c r="R20" s="557">
        <v>703.2</v>
      </c>
      <c r="S20" s="557"/>
      <c r="T20" s="557"/>
      <c r="U20" s="557">
        <v>654</v>
      </c>
      <c r="V20" s="560" t="s">
        <v>110</v>
      </c>
      <c r="W20" s="225"/>
    </row>
    <row r="21" spans="1:48" x14ac:dyDescent="0.25">
      <c r="A21" s="446" t="s">
        <v>207</v>
      </c>
      <c r="B21" s="561">
        <v>45797</v>
      </c>
      <c r="C21" s="562">
        <v>45797</v>
      </c>
      <c r="D21" s="562"/>
      <c r="E21" s="563"/>
      <c r="F21" s="563"/>
      <c r="G21" s="564" t="s">
        <v>120</v>
      </c>
      <c r="H21" s="565" t="s">
        <v>234</v>
      </c>
      <c r="I21" s="566">
        <f>1634.98+653.98</f>
        <v>2288.96</v>
      </c>
      <c r="J21" s="567"/>
      <c r="K21" s="563"/>
      <c r="L21" s="568"/>
      <c r="M21" s="569"/>
      <c r="N21" s="568">
        <v>654</v>
      </c>
      <c r="O21" s="570"/>
      <c r="P21" s="563"/>
      <c r="Q21" s="571"/>
      <c r="R21" s="572">
        <v>654</v>
      </c>
      <c r="S21" s="572"/>
      <c r="T21" s="571">
        <v>50</v>
      </c>
      <c r="U21" s="571">
        <f>1497.62-50</f>
        <v>1447.62</v>
      </c>
      <c r="V21" s="573">
        <v>10019082606</v>
      </c>
      <c r="W21" s="225" t="s">
        <v>294</v>
      </c>
    </row>
    <row r="22" spans="1:48" x14ac:dyDescent="0.25">
      <c r="A22" s="446" t="s">
        <v>219</v>
      </c>
      <c r="B22" s="561"/>
      <c r="C22" s="562"/>
      <c r="D22" s="562"/>
      <c r="E22" s="563"/>
      <c r="F22" s="563"/>
      <c r="G22" s="564" t="s">
        <v>237</v>
      </c>
      <c r="H22" s="565" t="s">
        <v>234</v>
      </c>
      <c r="I22" s="566"/>
      <c r="J22" s="567"/>
      <c r="K22" s="563"/>
      <c r="L22" s="568"/>
      <c r="M22" s="569"/>
      <c r="N22" s="568"/>
      <c r="O22" s="570"/>
      <c r="P22" s="563"/>
      <c r="Q22" s="571"/>
      <c r="R22" s="572"/>
      <c r="S22" s="572"/>
      <c r="T22" s="571"/>
      <c r="U22" s="571"/>
      <c r="V22" s="573" t="s">
        <v>252</v>
      </c>
      <c r="W22" s="225"/>
    </row>
    <row r="23" spans="1:48" x14ac:dyDescent="0.25">
      <c r="A23" s="574" t="s">
        <v>279</v>
      </c>
      <c r="B23" s="561">
        <v>45862</v>
      </c>
      <c r="C23" s="562">
        <v>45862</v>
      </c>
      <c r="D23" s="575"/>
      <c r="E23" s="574"/>
      <c r="F23" s="574"/>
      <c r="G23" s="576" t="s">
        <v>276</v>
      </c>
      <c r="H23" s="573" t="s">
        <v>78</v>
      </c>
      <c r="I23" s="577">
        <v>1758</v>
      </c>
      <c r="J23" s="574"/>
      <c r="K23" s="574"/>
      <c r="L23" s="568"/>
      <c r="M23" s="569"/>
      <c r="N23" s="568">
        <v>693.22</v>
      </c>
      <c r="O23" s="570"/>
      <c r="P23" s="574"/>
      <c r="Q23" s="571"/>
      <c r="R23" s="571">
        <v>654</v>
      </c>
      <c r="S23" s="571"/>
      <c r="T23" s="571"/>
      <c r="U23" s="571">
        <v>882.86</v>
      </c>
      <c r="V23" s="573" t="s">
        <v>277</v>
      </c>
      <c r="W23" s="225"/>
    </row>
    <row r="24" spans="1:48" x14ac:dyDescent="0.25">
      <c r="A24" s="569" t="s">
        <v>272</v>
      </c>
      <c r="B24" s="561" t="s">
        <v>273</v>
      </c>
      <c r="C24" s="561">
        <v>45890</v>
      </c>
      <c r="D24" s="575"/>
      <c r="E24" s="574"/>
      <c r="F24" s="574"/>
      <c r="G24" s="576"/>
      <c r="H24" s="573"/>
      <c r="I24" s="577">
        <v>1733.05</v>
      </c>
      <c r="J24" s="574"/>
      <c r="K24" s="574"/>
      <c r="L24" s="568"/>
      <c r="M24" s="569"/>
      <c r="N24" s="568">
        <v>693.22</v>
      </c>
      <c r="O24" s="570"/>
      <c r="P24" s="574"/>
      <c r="Q24" s="563"/>
      <c r="R24" s="571">
        <v>654</v>
      </c>
      <c r="S24" s="571"/>
      <c r="T24" s="571"/>
      <c r="U24" s="571">
        <v>370.57</v>
      </c>
      <c r="V24" s="573" t="s">
        <v>280</v>
      </c>
      <c r="W24" s="225" t="s">
        <v>294</v>
      </c>
    </row>
    <row r="25" spans="1:48" x14ac:dyDescent="0.25">
      <c r="A25" s="447" t="s">
        <v>283</v>
      </c>
      <c r="B25" s="561">
        <v>45885</v>
      </c>
      <c r="C25" s="562">
        <v>45889</v>
      </c>
      <c r="D25" s="575"/>
      <c r="E25" s="574"/>
      <c r="F25" s="574"/>
      <c r="G25" s="576" t="s">
        <v>282</v>
      </c>
      <c r="H25" s="573" t="s">
        <v>78</v>
      </c>
      <c r="I25" s="577"/>
      <c r="J25" s="574"/>
      <c r="K25" s="574"/>
      <c r="L25" s="571"/>
      <c r="M25" s="574"/>
      <c r="N25" s="578"/>
      <c r="O25" s="579"/>
      <c r="P25" s="574"/>
      <c r="Q25" s="563"/>
      <c r="R25" s="571"/>
      <c r="S25" s="571"/>
      <c r="T25" s="571">
        <f>80</f>
        <v>80</v>
      </c>
      <c r="U25" s="571">
        <f>768.43-80</f>
        <v>688.43</v>
      </c>
      <c r="V25" s="576">
        <v>31986345542</v>
      </c>
      <c r="W25" s="225"/>
    </row>
    <row r="26" spans="1:48" x14ac:dyDescent="0.25">
      <c r="A26" s="580" t="s">
        <v>254</v>
      </c>
      <c r="B26" s="535">
        <v>45852</v>
      </c>
      <c r="C26" s="536">
        <v>45852</v>
      </c>
      <c r="D26" s="581"/>
      <c r="E26" s="580"/>
      <c r="F26" s="580"/>
      <c r="G26" s="582" t="s">
        <v>238</v>
      </c>
      <c r="H26" s="321" t="s">
        <v>78</v>
      </c>
      <c r="I26" s="540">
        <v>1758</v>
      </c>
      <c r="J26" s="580"/>
      <c r="K26" s="580"/>
      <c r="L26" s="542"/>
      <c r="M26" s="543"/>
      <c r="N26" s="542">
        <v>703</v>
      </c>
      <c r="O26" s="544"/>
      <c r="P26" s="580"/>
      <c r="Q26" s="545"/>
      <c r="R26" s="545">
        <v>703</v>
      </c>
      <c r="S26" s="545"/>
      <c r="T26" s="545"/>
      <c r="U26" s="545">
        <f>949.52</f>
        <v>949.52</v>
      </c>
      <c r="V26" s="321">
        <v>31997199898</v>
      </c>
      <c r="W26" s="225" t="s">
        <v>294</v>
      </c>
    </row>
    <row r="27" spans="1:48" x14ac:dyDescent="0.25">
      <c r="A27" s="580" t="s">
        <v>259</v>
      </c>
      <c r="B27" s="535">
        <v>45859</v>
      </c>
      <c r="C27" s="536"/>
      <c r="D27" s="581"/>
      <c r="E27" s="580"/>
      <c r="F27" s="580"/>
      <c r="G27" s="582" t="s">
        <v>281</v>
      </c>
      <c r="H27" s="321" t="s">
        <v>78</v>
      </c>
      <c r="I27" s="583">
        <v>1758</v>
      </c>
      <c r="J27" s="580"/>
      <c r="K27" s="580"/>
      <c r="L27" s="542"/>
      <c r="M27" s="543"/>
      <c r="N27" s="542">
        <v>703</v>
      </c>
      <c r="O27" s="544"/>
      <c r="P27" s="580"/>
      <c r="Q27" s="537"/>
      <c r="R27" s="545">
        <v>703</v>
      </c>
      <c r="S27" s="545"/>
      <c r="T27" s="545"/>
      <c r="U27" s="545"/>
      <c r="V27" s="321" t="s">
        <v>260</v>
      </c>
      <c r="W27" s="225">
        <v>949.52</v>
      </c>
      <c r="X27" t="s">
        <v>293</v>
      </c>
    </row>
    <row r="28" spans="1:48" x14ac:dyDescent="0.25">
      <c r="A28" s="543" t="s">
        <v>270</v>
      </c>
      <c r="B28" s="535">
        <v>45862</v>
      </c>
      <c r="C28" s="536">
        <v>45862</v>
      </c>
      <c r="D28" s="581"/>
      <c r="E28" s="580"/>
      <c r="F28" s="580"/>
      <c r="G28" s="582" t="s">
        <v>281</v>
      </c>
      <c r="H28" s="321" t="s">
        <v>206</v>
      </c>
      <c r="I28" s="583">
        <v>1758</v>
      </c>
      <c r="J28" s="580"/>
      <c r="K28" s="580"/>
      <c r="L28" s="542"/>
      <c r="M28" s="543"/>
      <c r="N28" s="542">
        <v>703</v>
      </c>
      <c r="O28" s="544">
        <v>45874</v>
      </c>
      <c r="P28" s="580"/>
      <c r="Q28" s="537"/>
      <c r="R28" s="545">
        <v>703</v>
      </c>
      <c r="S28" s="545"/>
      <c r="T28" s="545"/>
      <c r="U28" s="545">
        <v>949.52</v>
      </c>
      <c r="V28" s="321">
        <v>31991488310</v>
      </c>
      <c r="W28" s="225" t="s">
        <v>294</v>
      </c>
    </row>
    <row r="29" spans="1:48" ht="15" customHeight="1" x14ac:dyDescent="0.25">
      <c r="A29" s="605" t="s">
        <v>284</v>
      </c>
      <c r="B29" s="425">
        <v>45897</v>
      </c>
      <c r="C29" s="587">
        <v>45897</v>
      </c>
      <c r="D29" s="427"/>
      <c r="E29" s="361"/>
      <c r="F29" s="361"/>
      <c r="G29" s="426" t="s">
        <v>285</v>
      </c>
      <c r="H29" s="296" t="s">
        <v>74</v>
      </c>
      <c r="I29" s="430">
        <v>1758</v>
      </c>
      <c r="J29" s="361"/>
      <c r="K29" s="361"/>
      <c r="L29" s="429"/>
      <c r="M29" s="361"/>
      <c r="N29" s="435"/>
      <c r="O29" s="586"/>
      <c r="P29" s="361"/>
      <c r="Q29" s="431"/>
      <c r="R29" s="431"/>
      <c r="S29" s="431"/>
      <c r="T29" s="429"/>
      <c r="U29" s="429">
        <v>278</v>
      </c>
      <c r="V29" s="426">
        <v>31992545075</v>
      </c>
      <c r="W29" s="225" t="s">
        <v>294</v>
      </c>
    </row>
    <row r="30" spans="1:48" x14ac:dyDescent="0.25">
      <c r="A30" s="585" t="s">
        <v>286</v>
      </c>
      <c r="B30" s="425">
        <v>45897</v>
      </c>
      <c r="C30" s="587">
        <v>45897</v>
      </c>
      <c r="D30" s="427"/>
      <c r="E30" s="361"/>
      <c r="F30" s="361"/>
      <c r="G30" s="426" t="s">
        <v>285</v>
      </c>
      <c r="H30" s="296" t="s">
        <v>74</v>
      </c>
      <c r="I30" s="430">
        <v>1758</v>
      </c>
      <c r="J30" s="361"/>
      <c r="K30" s="361"/>
      <c r="L30" s="429"/>
      <c r="M30" s="361"/>
      <c r="N30" s="435"/>
      <c r="O30" s="586"/>
      <c r="P30" s="361"/>
      <c r="Q30" s="431"/>
      <c r="R30" s="431"/>
      <c r="S30" s="431"/>
      <c r="T30" s="429"/>
      <c r="U30" s="429">
        <v>175.8</v>
      </c>
      <c r="V30" s="426">
        <v>9987900125</v>
      </c>
      <c r="W30" s="225" t="s">
        <v>294</v>
      </c>
    </row>
    <row r="31" spans="1:48" x14ac:dyDescent="0.25">
      <c r="A31" s="782" t="s">
        <v>275</v>
      </c>
      <c r="B31" s="783"/>
      <c r="C31" s="783"/>
      <c r="D31" s="783"/>
      <c r="E31" s="783"/>
      <c r="F31" s="783"/>
      <c r="G31" s="783"/>
      <c r="H31" s="783"/>
      <c r="I31" s="783"/>
      <c r="J31" s="783"/>
      <c r="K31" s="783"/>
      <c r="L31" s="784"/>
      <c r="M31" s="25"/>
      <c r="N31" s="186">
        <v>13181.6</v>
      </c>
      <c r="O31" s="438"/>
      <c r="P31" s="25"/>
      <c r="Q31" s="381"/>
      <c r="R31" s="381"/>
      <c r="S31" s="381"/>
      <c r="T31" s="380"/>
      <c r="U31" s="380"/>
      <c r="V31" s="208"/>
      <c r="W31" s="225"/>
    </row>
    <row r="32" spans="1:48" x14ac:dyDescent="0.25">
      <c r="W32" s="319"/>
    </row>
    <row r="35" spans="24:24" x14ac:dyDescent="0.25">
      <c r="X35" s="272"/>
    </row>
  </sheetData>
  <autoFilter ref="G1:G31" xr:uid="{6A25047E-EEC9-4EB5-8E39-790574A310E0}"/>
  <mergeCells count="2">
    <mergeCell ref="A1:V1"/>
    <mergeCell ref="A31:L3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71D6-9550-4E12-A797-A4EB2926F4F2}">
  <dimension ref="A1:XFB34"/>
  <sheetViews>
    <sheetView topLeftCell="A2" workbookViewId="0">
      <selection activeCell="A26" sqref="A26:W26"/>
    </sheetView>
  </sheetViews>
  <sheetFormatPr defaultRowHeight="15" x14ac:dyDescent="0.25"/>
  <cols>
    <col min="1" max="1" width="32.85546875" customWidth="1"/>
    <col min="2" max="3" width="9.85546875" customWidth="1"/>
    <col min="4" max="4" width="11.42578125" style="163" customWidth="1"/>
    <col min="5" max="5" width="10.85546875" customWidth="1"/>
    <col min="6" max="6" width="16.7109375" customWidth="1"/>
    <col min="7" max="7" width="18.140625" customWidth="1"/>
    <col min="8" max="8" width="15.140625" customWidth="1"/>
    <col min="9" max="9" width="13.5703125" customWidth="1"/>
    <col min="10" max="10" width="14.5703125" customWidth="1"/>
    <col min="11" max="11" width="9.140625" customWidth="1"/>
    <col min="12" max="12" width="15.7109375" customWidth="1"/>
    <col min="13" max="13" width="9.140625" customWidth="1"/>
    <col min="14" max="14" width="14.42578125" customWidth="1"/>
    <col min="15" max="15" width="11.42578125" style="118" customWidth="1"/>
    <col min="16" max="16" width="11.5703125" customWidth="1"/>
    <col min="17" max="17" width="13" customWidth="1"/>
    <col min="18" max="19" width="16.140625" customWidth="1"/>
    <col min="20" max="20" width="11.5703125" bestFit="1" customWidth="1"/>
    <col min="21" max="21" width="3.42578125" bestFit="1" customWidth="1"/>
    <col min="22" max="23" width="15" customWidth="1"/>
    <col min="24" max="24" width="37.42578125" customWidth="1"/>
    <col min="25" max="25" width="6.5703125" customWidth="1"/>
  </cols>
  <sheetData>
    <row r="1" spans="1:16382" ht="24" hidden="1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</row>
    <row r="2" spans="1:16382" x14ac:dyDescent="0.25">
      <c r="A2" s="439" t="s">
        <v>1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6</v>
      </c>
      <c r="H2" s="439" t="s">
        <v>7</v>
      </c>
      <c r="I2" s="441" t="s">
        <v>8</v>
      </c>
      <c r="J2" s="441" t="s">
        <v>92</v>
      </c>
      <c r="K2" s="439" t="s">
        <v>10</v>
      </c>
      <c r="L2" s="439" t="s">
        <v>99</v>
      </c>
      <c r="M2" s="439" t="s">
        <v>12</v>
      </c>
      <c r="N2" s="439" t="s">
        <v>13</v>
      </c>
      <c r="O2" s="442" t="s">
        <v>18</v>
      </c>
      <c r="P2" s="439" t="s">
        <v>19</v>
      </c>
      <c r="Q2" s="439" t="s">
        <v>99</v>
      </c>
      <c r="R2" s="439" t="s">
        <v>296</v>
      </c>
      <c r="S2" s="439" t="s">
        <v>297</v>
      </c>
      <c r="T2" s="439" t="s">
        <v>312</v>
      </c>
      <c r="U2" s="439" t="s">
        <v>313</v>
      </c>
      <c r="V2" s="439" t="s">
        <v>101</v>
      </c>
      <c r="W2" s="439" t="s">
        <v>102</v>
      </c>
      <c r="X2" s="439" t="s">
        <v>22</v>
      </c>
    </row>
    <row r="3" spans="1:16382" x14ac:dyDescent="0.25">
      <c r="A3" s="444" t="s">
        <v>38</v>
      </c>
      <c r="B3" s="448"/>
      <c r="C3" s="448">
        <v>45632</v>
      </c>
      <c r="D3" s="448"/>
      <c r="E3" s="449"/>
      <c r="F3" s="450"/>
      <c r="G3" s="458" t="s">
        <v>35</v>
      </c>
      <c r="H3" s="458" t="s">
        <v>25</v>
      </c>
      <c r="I3" s="460">
        <v>1733.05</v>
      </c>
      <c r="J3" s="449"/>
      <c r="K3" s="449"/>
      <c r="L3" s="463">
        <v>75</v>
      </c>
      <c r="M3" s="449"/>
      <c r="N3" s="449">
        <f>1733.05*40%</f>
        <v>693.22</v>
      </c>
      <c r="O3" s="593"/>
      <c r="P3" s="457"/>
      <c r="Q3" s="449"/>
      <c r="R3" s="449"/>
      <c r="S3" s="449">
        <f>694-R3</f>
        <v>694</v>
      </c>
      <c r="T3" s="661">
        <v>45926</v>
      </c>
      <c r="U3" s="449" t="s">
        <v>93</v>
      </c>
      <c r="V3" s="449"/>
      <c r="W3" s="449">
        <f>796-115</f>
        <v>681</v>
      </c>
      <c r="X3" s="458">
        <v>31981052930</v>
      </c>
      <c r="Y3" s="25" t="s">
        <v>294</v>
      </c>
    </row>
    <row r="4" spans="1:16382" x14ac:dyDescent="0.25">
      <c r="A4" s="444" t="s">
        <v>39</v>
      </c>
      <c r="B4" s="448">
        <v>45293</v>
      </c>
      <c r="C4" s="448">
        <v>45170</v>
      </c>
      <c r="D4" s="448"/>
      <c r="E4" s="449"/>
      <c r="F4" s="458"/>
      <c r="G4" s="458" t="s">
        <v>35</v>
      </c>
      <c r="H4" s="458" t="s">
        <v>25</v>
      </c>
      <c r="I4" s="460">
        <v>1733.05</v>
      </c>
      <c r="J4" s="449"/>
      <c r="K4" s="449"/>
      <c r="L4" s="449"/>
      <c r="M4" s="449"/>
      <c r="N4" s="449">
        <v>693.22</v>
      </c>
      <c r="O4" s="593"/>
      <c r="P4" s="457"/>
      <c r="Q4" s="449"/>
      <c r="R4" s="449"/>
      <c r="S4" s="449">
        <f t="shared" ref="S4:S6" si="0">694-R4</f>
        <v>694</v>
      </c>
      <c r="T4" s="661"/>
      <c r="U4" s="449"/>
      <c r="V4" s="449"/>
      <c r="W4" s="449">
        <f>1733.05-103.98-694</f>
        <v>935.06999999999994</v>
      </c>
      <c r="X4" s="458" t="s">
        <v>40</v>
      </c>
      <c r="Y4" s="25" t="s">
        <v>294</v>
      </c>
    </row>
    <row r="5" spans="1:16382" x14ac:dyDescent="0.25">
      <c r="A5" s="444" t="s">
        <v>225</v>
      </c>
      <c r="B5" s="450">
        <v>45808</v>
      </c>
      <c r="C5" s="448">
        <v>45826</v>
      </c>
      <c r="D5" s="448"/>
      <c r="E5" s="459"/>
      <c r="F5" s="459"/>
      <c r="G5" s="458" t="s">
        <v>230</v>
      </c>
      <c r="H5" s="458" t="s">
        <v>47</v>
      </c>
      <c r="I5" s="460">
        <v>1733.05</v>
      </c>
      <c r="J5" s="460"/>
      <c r="K5" s="459"/>
      <c r="L5" s="463"/>
      <c r="M5" s="459"/>
      <c r="N5" s="463">
        <v>693.22</v>
      </c>
      <c r="O5" s="593"/>
      <c r="P5" s="459"/>
      <c r="Q5" s="463">
        <v>250</v>
      </c>
      <c r="R5" s="449">
        <v>90</v>
      </c>
      <c r="S5" s="449">
        <f t="shared" si="0"/>
        <v>604</v>
      </c>
      <c r="T5" s="661"/>
      <c r="U5" s="449"/>
      <c r="V5" s="463"/>
      <c r="W5" s="449">
        <v>750</v>
      </c>
      <c r="X5" s="458">
        <v>14983169644</v>
      </c>
      <c r="Y5" s="25" t="s">
        <v>294</v>
      </c>
    </row>
    <row r="6" spans="1:16382" x14ac:dyDescent="0.25">
      <c r="A6" s="664" t="s">
        <v>46</v>
      </c>
      <c r="B6" s="665"/>
      <c r="C6" s="665">
        <v>45497</v>
      </c>
      <c r="D6" s="665"/>
      <c r="E6" s="666"/>
      <c r="F6" s="667"/>
      <c r="G6" s="668" t="s">
        <v>321</v>
      </c>
      <c r="H6" s="668" t="s">
        <v>25</v>
      </c>
      <c r="I6" s="669">
        <v>1733.05</v>
      </c>
      <c r="J6" s="666"/>
      <c r="K6" s="666"/>
      <c r="L6" s="666">
        <f>200+50</f>
        <v>250</v>
      </c>
      <c r="M6" s="666"/>
      <c r="N6" s="666">
        <v>693.22</v>
      </c>
      <c r="O6" s="670"/>
      <c r="P6" s="671"/>
      <c r="Q6" s="666">
        <f>120+20+30+50</f>
        <v>220</v>
      </c>
      <c r="R6" s="666">
        <v>300</v>
      </c>
      <c r="S6" s="666">
        <f t="shared" si="0"/>
        <v>394</v>
      </c>
      <c r="T6" s="672"/>
      <c r="U6" s="666"/>
      <c r="V6" s="666">
        <v>100</v>
      </c>
      <c r="W6" s="666">
        <f>815-50-50</f>
        <v>715</v>
      </c>
      <c r="X6" s="668">
        <v>11282952617</v>
      </c>
      <c r="Y6" s="25"/>
    </row>
    <row r="7" spans="1:16382" x14ac:dyDescent="0.25">
      <c r="A7" s="664" t="s">
        <v>325</v>
      </c>
      <c r="B7" s="665">
        <v>45917</v>
      </c>
      <c r="C7" s="665"/>
      <c r="D7" s="665"/>
      <c r="E7" s="666"/>
      <c r="F7" s="667"/>
      <c r="G7" s="668" t="s">
        <v>321</v>
      </c>
      <c r="H7" s="668"/>
      <c r="I7" s="669"/>
      <c r="J7" s="666"/>
      <c r="K7" s="666"/>
      <c r="L7" s="666"/>
      <c r="M7" s="666"/>
      <c r="N7" s="666"/>
      <c r="O7" s="670"/>
      <c r="P7" s="671"/>
      <c r="Q7" s="666"/>
      <c r="R7" s="666"/>
      <c r="S7" s="666"/>
      <c r="T7" s="672"/>
      <c r="U7" s="666"/>
      <c r="V7" s="666"/>
      <c r="W7" s="666">
        <v>815</v>
      </c>
      <c r="X7" s="668"/>
      <c r="Y7" s="25"/>
    </row>
    <row r="8" spans="1:16382" x14ac:dyDescent="0.25">
      <c r="A8" s="464" t="s">
        <v>53</v>
      </c>
      <c r="B8" s="465"/>
      <c r="C8" s="465">
        <v>45527</v>
      </c>
      <c r="D8" s="465"/>
      <c r="E8" s="466"/>
      <c r="F8" s="260"/>
      <c r="G8" s="260" t="s">
        <v>105</v>
      </c>
      <c r="H8" s="260" t="s">
        <v>107</v>
      </c>
      <c r="I8" s="594">
        <v>1518</v>
      </c>
      <c r="J8" s="471"/>
      <c r="K8" s="466"/>
      <c r="L8" s="466"/>
      <c r="M8" s="466"/>
      <c r="N8" s="466">
        <v>693.22</v>
      </c>
      <c r="O8" s="595"/>
      <c r="P8" s="474"/>
      <c r="Q8" s="466"/>
      <c r="R8" s="475"/>
      <c r="S8" s="475">
        <v>608</v>
      </c>
      <c r="T8" s="662"/>
      <c r="U8" s="475"/>
      <c r="V8" s="466"/>
      <c r="W8" s="475">
        <v>724</v>
      </c>
      <c r="X8" s="260">
        <v>31982397405</v>
      </c>
      <c r="Y8" s="25"/>
    </row>
    <row r="9" spans="1:16382" s="331" customFormat="1" x14ac:dyDescent="0.25">
      <c r="A9" s="344" t="s">
        <v>89</v>
      </c>
      <c r="B9" s="476">
        <v>45663</v>
      </c>
      <c r="C9" s="476">
        <v>45663</v>
      </c>
      <c r="D9" s="476"/>
      <c r="E9" s="477"/>
      <c r="F9" s="478"/>
      <c r="G9" s="346" t="s">
        <v>96</v>
      </c>
      <c r="H9" s="346" t="s">
        <v>25</v>
      </c>
      <c r="I9" s="499">
        <v>3000</v>
      </c>
      <c r="J9" s="477"/>
      <c r="K9" s="477"/>
      <c r="L9" s="475">
        <v>413.8</v>
      </c>
      <c r="M9" s="477"/>
      <c r="N9" s="475">
        <v>1000</v>
      </c>
      <c r="O9" s="596"/>
      <c r="P9" s="478"/>
      <c r="Q9" s="477">
        <v>50</v>
      </c>
      <c r="R9" s="475"/>
      <c r="S9" s="475">
        <v>1000</v>
      </c>
      <c r="T9" s="662"/>
      <c r="U9" s="475"/>
      <c r="V9" s="475"/>
      <c r="W9" s="475">
        <f>1000-50</f>
        <v>950</v>
      </c>
      <c r="X9" s="485">
        <v>13196831698</v>
      </c>
      <c r="Y9" s="361"/>
    </row>
    <row r="10" spans="1:16382" x14ac:dyDescent="0.25">
      <c r="A10" s="486" t="s">
        <v>166</v>
      </c>
      <c r="B10" s="487"/>
      <c r="C10" s="476">
        <v>45628</v>
      </c>
      <c r="D10" s="487"/>
      <c r="E10" s="488"/>
      <c r="F10" s="488"/>
      <c r="G10" s="487" t="s">
        <v>96</v>
      </c>
      <c r="H10" s="488" t="s">
        <v>170</v>
      </c>
      <c r="I10" s="499">
        <f>2650</f>
        <v>2650</v>
      </c>
      <c r="J10" s="488"/>
      <c r="K10" s="488"/>
      <c r="L10" s="477">
        <v>60</v>
      </c>
      <c r="M10" s="488"/>
      <c r="N10" s="477">
        <v>400</v>
      </c>
      <c r="O10" s="476"/>
      <c r="P10" s="488"/>
      <c r="Q10" s="477">
        <v>60</v>
      </c>
      <c r="R10" s="475">
        <v>300</v>
      </c>
      <c r="S10" s="475">
        <f>400-R10</f>
        <v>100</v>
      </c>
      <c r="T10" s="662"/>
      <c r="U10" s="475"/>
      <c r="V10" s="477"/>
      <c r="W10" s="498">
        <f>2500-400-300</f>
        <v>1800</v>
      </c>
      <c r="X10" s="346">
        <v>31991288601</v>
      </c>
      <c r="Y10" s="25"/>
    </row>
    <row r="11" spans="1:16382" x14ac:dyDescent="0.25">
      <c r="A11" s="464" t="s">
        <v>76</v>
      </c>
      <c r="B11" s="260"/>
      <c r="C11" s="465">
        <v>45566</v>
      </c>
      <c r="D11" s="465"/>
      <c r="E11" s="493"/>
      <c r="F11" s="493"/>
      <c r="G11" s="260" t="s">
        <v>217</v>
      </c>
      <c r="H11" s="260" t="s">
        <v>171</v>
      </c>
      <c r="I11" s="495">
        <v>1733.05</v>
      </c>
      <c r="J11" s="495"/>
      <c r="K11" s="493"/>
      <c r="L11" s="498"/>
      <c r="M11" s="493"/>
      <c r="N11" s="498"/>
      <c r="O11" s="595"/>
      <c r="P11" s="493"/>
      <c r="Q11" s="498"/>
      <c r="R11" s="475"/>
      <c r="S11" s="475"/>
      <c r="T11" s="662">
        <v>45926</v>
      </c>
      <c r="U11" s="475" t="s">
        <v>93</v>
      </c>
      <c r="V11" s="498"/>
      <c r="W11" s="477">
        <v>1339</v>
      </c>
      <c r="X11" s="260">
        <v>31982078680</v>
      </c>
      <c r="Y11" s="25"/>
    </row>
    <row r="12" spans="1:16382" ht="14.25" customHeight="1" x14ac:dyDescent="0.25">
      <c r="A12" s="501" t="s">
        <v>168</v>
      </c>
      <c r="B12" s="502"/>
      <c r="C12" s="503">
        <v>45723</v>
      </c>
      <c r="D12" s="503"/>
      <c r="E12" s="504"/>
      <c r="F12" s="504"/>
      <c r="G12" s="502" t="s">
        <v>236</v>
      </c>
      <c r="H12" s="502" t="s">
        <v>74</v>
      </c>
      <c r="I12" s="508">
        <v>1758</v>
      </c>
      <c r="J12" s="508"/>
      <c r="K12" s="504"/>
      <c r="L12" s="512"/>
      <c r="M12" s="504"/>
      <c r="N12" s="512">
        <v>704</v>
      </c>
      <c r="O12" s="597"/>
      <c r="P12" s="504"/>
      <c r="Q12" s="512"/>
      <c r="R12" s="513"/>
      <c r="S12" s="513">
        <f>1758*40%</f>
        <v>703.2</v>
      </c>
      <c r="T12" s="673"/>
      <c r="U12" s="513"/>
      <c r="V12" s="512"/>
      <c r="W12" s="512">
        <v>949</v>
      </c>
      <c r="X12" s="502">
        <v>70278968694</v>
      </c>
      <c r="Y12" s="25"/>
    </row>
    <row r="13" spans="1:16382" x14ac:dyDescent="0.25">
      <c r="A13" s="443" t="s">
        <v>233</v>
      </c>
      <c r="B13" s="514">
        <v>45818</v>
      </c>
      <c r="C13" s="514">
        <v>45840</v>
      </c>
      <c r="D13" s="503">
        <v>45930</v>
      </c>
      <c r="E13" s="502"/>
      <c r="F13" s="502"/>
      <c r="G13" s="514" t="s">
        <v>104</v>
      </c>
      <c r="H13" s="502" t="s">
        <v>47</v>
      </c>
      <c r="I13" s="508">
        <v>1758</v>
      </c>
      <c r="J13" s="508"/>
      <c r="K13" s="504"/>
      <c r="L13" s="512"/>
      <c r="M13" s="513"/>
      <c r="N13" s="512">
        <v>704</v>
      </c>
      <c r="O13" s="597"/>
      <c r="P13" s="504"/>
      <c r="Q13" s="512"/>
      <c r="R13" s="513">
        <v>30</v>
      </c>
      <c r="S13" s="513">
        <v>704</v>
      </c>
      <c r="T13" s="673"/>
      <c r="U13" s="513"/>
      <c r="V13" s="512"/>
      <c r="W13" s="512">
        <v>758</v>
      </c>
      <c r="X13" s="502">
        <v>15825441662</v>
      </c>
      <c r="Y13" s="25"/>
    </row>
    <row r="14" spans="1:16382" x14ac:dyDescent="0.25">
      <c r="A14" s="443" t="s">
        <v>239</v>
      </c>
      <c r="B14" s="514">
        <v>45831</v>
      </c>
      <c r="C14" s="503">
        <v>45840</v>
      </c>
      <c r="D14" s="503">
        <v>45915</v>
      </c>
      <c r="E14" s="504"/>
      <c r="F14" s="504"/>
      <c r="G14" s="502" t="s">
        <v>104</v>
      </c>
      <c r="H14" s="502" t="s">
        <v>47</v>
      </c>
      <c r="I14" s="508">
        <v>1758</v>
      </c>
      <c r="J14" s="508"/>
      <c r="K14" s="504"/>
      <c r="L14" s="512"/>
      <c r="M14" s="504"/>
      <c r="N14" s="512">
        <v>703</v>
      </c>
      <c r="O14" s="597">
        <v>45908</v>
      </c>
      <c r="P14" s="504" t="s">
        <v>93</v>
      </c>
      <c r="Q14" s="512"/>
      <c r="R14" s="513"/>
      <c r="S14" s="513"/>
      <c r="T14" s="673"/>
      <c r="U14" s="513"/>
      <c r="V14" s="512"/>
      <c r="W14" s="512"/>
      <c r="X14" s="502" t="s">
        <v>253</v>
      </c>
      <c r="Y14" s="25"/>
    </row>
    <row r="15" spans="1:16382" x14ac:dyDescent="0.25">
      <c r="A15" s="518" t="s">
        <v>203</v>
      </c>
      <c r="B15" s="519"/>
      <c r="C15" s="520">
        <v>45743</v>
      </c>
      <c r="D15" s="519"/>
      <c r="E15" s="519"/>
      <c r="F15" s="519"/>
      <c r="G15" s="519" t="s">
        <v>213</v>
      </c>
      <c r="H15" s="519" t="s">
        <v>78</v>
      </c>
      <c r="I15" s="598">
        <v>1518</v>
      </c>
      <c r="J15" s="519">
        <v>200</v>
      </c>
      <c r="K15" s="519"/>
      <c r="L15" s="528"/>
      <c r="M15" s="519"/>
      <c r="N15" s="534">
        <v>607</v>
      </c>
      <c r="O15" s="584"/>
      <c r="P15" s="519"/>
      <c r="Q15" s="528"/>
      <c r="R15" s="528"/>
      <c r="S15" s="528">
        <f>1518*40%-R15</f>
        <v>607.20000000000005</v>
      </c>
      <c r="T15" s="674"/>
      <c r="U15" s="528"/>
      <c r="V15" s="528"/>
      <c r="W15" s="528">
        <f>1518-91-607.2</f>
        <v>819.8</v>
      </c>
      <c r="X15" s="529">
        <v>31991443051</v>
      </c>
      <c r="Y15" s="659" t="s">
        <v>294</v>
      </c>
    </row>
    <row r="16" spans="1:16382" s="314" customFormat="1" ht="12.75" x14ac:dyDescent="0.2">
      <c r="A16" s="518" t="s">
        <v>249</v>
      </c>
      <c r="B16" s="520">
        <v>45840</v>
      </c>
      <c r="C16" s="584">
        <v>45839</v>
      </c>
      <c r="D16" s="584"/>
      <c r="E16" s="519"/>
      <c r="F16" s="519"/>
      <c r="G16" s="520" t="s">
        <v>213</v>
      </c>
      <c r="H16" s="519" t="s">
        <v>250</v>
      </c>
      <c r="I16" s="528">
        <v>1518</v>
      </c>
      <c r="J16" s="528"/>
      <c r="K16" s="519"/>
      <c r="L16" s="534"/>
      <c r="M16" s="519"/>
      <c r="N16" s="528">
        <v>607</v>
      </c>
      <c r="O16" s="599"/>
      <c r="P16" s="519"/>
      <c r="Q16" s="528"/>
      <c r="R16" s="528"/>
      <c r="S16" s="528">
        <f t="shared" ref="S16:S17" si="1">1518*40%-R16</f>
        <v>607.20000000000005</v>
      </c>
      <c r="T16" s="674"/>
      <c r="U16" s="528"/>
      <c r="V16" s="534"/>
      <c r="W16" s="534">
        <v>819.8</v>
      </c>
      <c r="X16" s="519">
        <v>15105401646</v>
      </c>
      <c r="Y16" s="660" t="s">
        <v>294</v>
      </c>
      <c r="Z16" s="323"/>
      <c r="AA16" s="323"/>
      <c r="AB16" s="323" t="s">
        <v>317</v>
      </c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BN16" s="314" t="s">
        <v>203</v>
      </c>
      <c r="BO16" s="314" t="s">
        <v>203</v>
      </c>
      <c r="BP16" s="314" t="s">
        <v>203</v>
      </c>
      <c r="BQ16" s="314" t="s">
        <v>203</v>
      </c>
      <c r="BR16" s="314" t="s">
        <v>203</v>
      </c>
      <c r="BS16" s="314" t="s">
        <v>203</v>
      </c>
      <c r="BT16" s="314" t="s">
        <v>203</v>
      </c>
      <c r="BU16" s="314" t="s">
        <v>203</v>
      </c>
      <c r="BV16" s="314" t="s">
        <v>203</v>
      </c>
      <c r="BW16" s="314" t="s">
        <v>203</v>
      </c>
      <c r="BX16" s="314" t="s">
        <v>203</v>
      </c>
      <c r="BY16" s="314" t="s">
        <v>203</v>
      </c>
      <c r="BZ16" s="314" t="s">
        <v>203</v>
      </c>
      <c r="CA16" s="314" t="s">
        <v>203</v>
      </c>
      <c r="CB16" s="314" t="s">
        <v>203</v>
      </c>
      <c r="CC16" s="314" t="s">
        <v>203</v>
      </c>
      <c r="CD16" s="314" t="s">
        <v>203</v>
      </c>
      <c r="CE16" s="314" t="s">
        <v>203</v>
      </c>
      <c r="CF16" s="314" t="s">
        <v>203</v>
      </c>
      <c r="CG16" s="314" t="s">
        <v>203</v>
      </c>
      <c r="CH16" s="314" t="s">
        <v>203</v>
      </c>
      <c r="CI16" s="314" t="s">
        <v>203</v>
      </c>
      <c r="CJ16" s="314" t="s">
        <v>203</v>
      </c>
      <c r="CK16" s="314" t="s">
        <v>203</v>
      </c>
      <c r="CL16" s="314" t="s">
        <v>203</v>
      </c>
      <c r="CM16" s="314" t="s">
        <v>203</v>
      </c>
      <c r="CN16" s="314" t="s">
        <v>203</v>
      </c>
      <c r="CO16" s="314" t="s">
        <v>203</v>
      </c>
      <c r="CP16" s="314" t="s">
        <v>203</v>
      </c>
      <c r="CQ16" s="314" t="s">
        <v>203</v>
      </c>
      <c r="CR16" s="314" t="s">
        <v>203</v>
      </c>
      <c r="CS16" s="314" t="s">
        <v>203</v>
      </c>
      <c r="CT16" s="314" t="s">
        <v>203</v>
      </c>
      <c r="CU16" s="314" t="s">
        <v>203</v>
      </c>
      <c r="CV16" s="314" t="s">
        <v>203</v>
      </c>
      <c r="CW16" s="314" t="s">
        <v>203</v>
      </c>
      <c r="CX16" s="314" t="s">
        <v>203</v>
      </c>
      <c r="CY16" s="314" t="s">
        <v>203</v>
      </c>
      <c r="CZ16" s="314" t="s">
        <v>203</v>
      </c>
      <c r="DA16" s="314" t="s">
        <v>203</v>
      </c>
      <c r="DB16" s="314" t="s">
        <v>203</v>
      </c>
      <c r="DC16" s="314" t="s">
        <v>203</v>
      </c>
      <c r="DD16" s="314" t="s">
        <v>203</v>
      </c>
      <c r="DE16" s="314" t="s">
        <v>203</v>
      </c>
      <c r="DF16" s="314" t="s">
        <v>203</v>
      </c>
      <c r="DG16" s="314" t="s">
        <v>203</v>
      </c>
      <c r="DH16" s="314" t="s">
        <v>203</v>
      </c>
      <c r="DI16" s="314" t="s">
        <v>203</v>
      </c>
      <c r="DJ16" s="314" t="s">
        <v>203</v>
      </c>
      <c r="DK16" s="314" t="s">
        <v>203</v>
      </c>
      <c r="DL16" s="314" t="s">
        <v>203</v>
      </c>
      <c r="DM16" s="314" t="s">
        <v>203</v>
      </c>
      <c r="DN16" s="314" t="s">
        <v>203</v>
      </c>
      <c r="DO16" s="314" t="s">
        <v>203</v>
      </c>
      <c r="DP16" s="314" t="s">
        <v>203</v>
      </c>
      <c r="DQ16" s="314" t="s">
        <v>203</v>
      </c>
      <c r="DR16" s="314" t="s">
        <v>203</v>
      </c>
      <c r="DS16" s="314" t="s">
        <v>203</v>
      </c>
      <c r="DT16" s="314" t="s">
        <v>203</v>
      </c>
      <c r="DU16" s="314" t="s">
        <v>203</v>
      </c>
      <c r="DV16" s="314" t="s">
        <v>203</v>
      </c>
      <c r="DW16" s="314" t="s">
        <v>203</v>
      </c>
      <c r="DX16" s="314" t="s">
        <v>203</v>
      </c>
      <c r="DY16" s="314" t="s">
        <v>203</v>
      </c>
      <c r="DZ16" s="314" t="s">
        <v>203</v>
      </c>
      <c r="EA16" s="314" t="s">
        <v>203</v>
      </c>
      <c r="EB16" s="314" t="s">
        <v>203</v>
      </c>
      <c r="EC16" s="314" t="s">
        <v>203</v>
      </c>
      <c r="ED16" s="314" t="s">
        <v>203</v>
      </c>
      <c r="EE16" s="314" t="s">
        <v>203</v>
      </c>
      <c r="EF16" s="314" t="s">
        <v>203</v>
      </c>
      <c r="EG16" s="314" t="s">
        <v>203</v>
      </c>
      <c r="EH16" s="314" t="s">
        <v>203</v>
      </c>
      <c r="EI16" s="314" t="s">
        <v>203</v>
      </c>
      <c r="EJ16" s="314" t="s">
        <v>203</v>
      </c>
      <c r="EK16" s="314" t="s">
        <v>203</v>
      </c>
      <c r="EL16" s="314" t="s">
        <v>203</v>
      </c>
      <c r="EM16" s="314" t="s">
        <v>203</v>
      </c>
      <c r="EN16" s="314" t="s">
        <v>203</v>
      </c>
      <c r="EO16" s="314" t="s">
        <v>203</v>
      </c>
      <c r="EP16" s="314" t="s">
        <v>203</v>
      </c>
      <c r="EQ16" s="314" t="s">
        <v>203</v>
      </c>
      <c r="ER16" s="314" t="s">
        <v>203</v>
      </c>
      <c r="ES16" s="314" t="s">
        <v>203</v>
      </c>
      <c r="ET16" s="314" t="s">
        <v>203</v>
      </c>
      <c r="EU16" s="314" t="s">
        <v>203</v>
      </c>
      <c r="EV16" s="314" t="s">
        <v>203</v>
      </c>
      <c r="EW16" s="314" t="s">
        <v>203</v>
      </c>
      <c r="EX16" s="314" t="s">
        <v>203</v>
      </c>
      <c r="EY16" s="314" t="s">
        <v>203</v>
      </c>
      <c r="EZ16" s="314" t="s">
        <v>203</v>
      </c>
      <c r="FA16" s="314" t="s">
        <v>203</v>
      </c>
      <c r="FB16" s="314" t="s">
        <v>203</v>
      </c>
      <c r="FC16" s="314" t="s">
        <v>203</v>
      </c>
      <c r="FD16" s="314" t="s">
        <v>203</v>
      </c>
      <c r="FE16" s="314" t="s">
        <v>203</v>
      </c>
      <c r="FF16" s="314" t="s">
        <v>203</v>
      </c>
      <c r="FG16" s="314" t="s">
        <v>203</v>
      </c>
      <c r="FH16" s="314" t="s">
        <v>203</v>
      </c>
      <c r="FI16" s="314" t="s">
        <v>203</v>
      </c>
      <c r="FJ16" s="314" t="s">
        <v>203</v>
      </c>
      <c r="FK16" s="314" t="s">
        <v>203</v>
      </c>
      <c r="FL16" s="314" t="s">
        <v>203</v>
      </c>
      <c r="FM16" s="314" t="s">
        <v>203</v>
      </c>
      <c r="FN16" s="314" t="s">
        <v>203</v>
      </c>
      <c r="FO16" s="314" t="s">
        <v>203</v>
      </c>
      <c r="FP16" s="314" t="s">
        <v>203</v>
      </c>
      <c r="FQ16" s="314" t="s">
        <v>203</v>
      </c>
      <c r="FR16" s="314" t="s">
        <v>203</v>
      </c>
      <c r="FS16" s="314" t="s">
        <v>203</v>
      </c>
      <c r="FT16" s="314" t="s">
        <v>203</v>
      </c>
      <c r="FU16" s="314" t="s">
        <v>203</v>
      </c>
      <c r="FV16" s="314" t="s">
        <v>203</v>
      </c>
      <c r="FW16" s="314" t="s">
        <v>203</v>
      </c>
      <c r="FX16" s="314" t="s">
        <v>203</v>
      </c>
      <c r="FY16" s="314" t="s">
        <v>203</v>
      </c>
      <c r="FZ16" s="314" t="s">
        <v>203</v>
      </c>
      <c r="GA16" s="314" t="s">
        <v>203</v>
      </c>
      <c r="GB16" s="314" t="s">
        <v>203</v>
      </c>
      <c r="GC16" s="314" t="s">
        <v>203</v>
      </c>
      <c r="GD16" s="314" t="s">
        <v>203</v>
      </c>
      <c r="GE16" s="314" t="s">
        <v>203</v>
      </c>
      <c r="GF16" s="314" t="s">
        <v>203</v>
      </c>
      <c r="GG16" s="314" t="s">
        <v>203</v>
      </c>
      <c r="GH16" s="314" t="s">
        <v>203</v>
      </c>
      <c r="GI16" s="314" t="s">
        <v>203</v>
      </c>
      <c r="GJ16" s="314" t="s">
        <v>203</v>
      </c>
      <c r="GK16" s="314" t="s">
        <v>203</v>
      </c>
      <c r="GL16" s="314" t="s">
        <v>203</v>
      </c>
      <c r="GM16" s="314" t="s">
        <v>203</v>
      </c>
      <c r="GN16" s="314" t="s">
        <v>203</v>
      </c>
      <c r="GO16" s="314" t="s">
        <v>203</v>
      </c>
      <c r="GP16" s="314" t="s">
        <v>203</v>
      </c>
      <c r="GQ16" s="314" t="s">
        <v>203</v>
      </c>
      <c r="GR16" s="314" t="s">
        <v>203</v>
      </c>
      <c r="GS16" s="314" t="s">
        <v>203</v>
      </c>
      <c r="GT16" s="314" t="s">
        <v>203</v>
      </c>
      <c r="GU16" s="314" t="s">
        <v>203</v>
      </c>
      <c r="GV16" s="314" t="s">
        <v>203</v>
      </c>
      <c r="GW16" s="314" t="s">
        <v>203</v>
      </c>
      <c r="GX16" s="314" t="s">
        <v>203</v>
      </c>
      <c r="GY16" s="314" t="s">
        <v>203</v>
      </c>
      <c r="GZ16" s="314" t="s">
        <v>203</v>
      </c>
      <c r="HA16" s="314" t="s">
        <v>203</v>
      </c>
      <c r="HB16" s="314" t="s">
        <v>203</v>
      </c>
      <c r="HC16" s="314" t="s">
        <v>203</v>
      </c>
      <c r="HD16" s="314" t="s">
        <v>203</v>
      </c>
      <c r="HE16" s="314" t="s">
        <v>203</v>
      </c>
      <c r="HF16" s="314" t="s">
        <v>203</v>
      </c>
      <c r="HG16" s="314" t="s">
        <v>203</v>
      </c>
      <c r="HH16" s="314" t="s">
        <v>203</v>
      </c>
      <c r="HI16" s="314" t="s">
        <v>203</v>
      </c>
      <c r="HJ16" s="314" t="s">
        <v>203</v>
      </c>
      <c r="HK16" s="314" t="s">
        <v>203</v>
      </c>
      <c r="HL16" s="314" t="s">
        <v>203</v>
      </c>
      <c r="HM16" s="314" t="s">
        <v>203</v>
      </c>
      <c r="HN16" s="314" t="s">
        <v>203</v>
      </c>
      <c r="HO16" s="314" t="s">
        <v>203</v>
      </c>
      <c r="HP16" s="314" t="s">
        <v>203</v>
      </c>
      <c r="HQ16" s="314" t="s">
        <v>203</v>
      </c>
      <c r="HR16" s="314" t="s">
        <v>203</v>
      </c>
      <c r="HS16" s="314" t="s">
        <v>203</v>
      </c>
      <c r="HT16" s="314" t="s">
        <v>203</v>
      </c>
      <c r="HU16" s="314" t="s">
        <v>203</v>
      </c>
      <c r="HV16" s="314" t="s">
        <v>203</v>
      </c>
      <c r="HW16" s="314" t="s">
        <v>203</v>
      </c>
      <c r="HX16" s="314" t="s">
        <v>203</v>
      </c>
      <c r="HY16" s="314" t="s">
        <v>203</v>
      </c>
      <c r="HZ16" s="314" t="s">
        <v>203</v>
      </c>
      <c r="IA16" s="314" t="s">
        <v>203</v>
      </c>
      <c r="IB16" s="314" t="s">
        <v>203</v>
      </c>
      <c r="IC16" s="314" t="s">
        <v>203</v>
      </c>
      <c r="ID16" s="314" t="s">
        <v>203</v>
      </c>
      <c r="IE16" s="314" t="s">
        <v>203</v>
      </c>
      <c r="IF16" s="314" t="s">
        <v>203</v>
      </c>
      <c r="IG16" s="314" t="s">
        <v>203</v>
      </c>
      <c r="IH16" s="314" t="s">
        <v>203</v>
      </c>
      <c r="II16" s="314" t="s">
        <v>203</v>
      </c>
      <c r="IJ16" s="314" t="s">
        <v>203</v>
      </c>
      <c r="IK16" s="314" t="s">
        <v>203</v>
      </c>
      <c r="IL16" s="314" t="s">
        <v>203</v>
      </c>
      <c r="IM16" s="314" t="s">
        <v>203</v>
      </c>
      <c r="IN16" s="314" t="s">
        <v>203</v>
      </c>
      <c r="IO16" s="314" t="s">
        <v>203</v>
      </c>
      <c r="IP16" s="314" t="s">
        <v>203</v>
      </c>
      <c r="IQ16" s="314" t="s">
        <v>203</v>
      </c>
      <c r="IR16" s="314" t="s">
        <v>203</v>
      </c>
      <c r="IS16" s="314" t="s">
        <v>203</v>
      </c>
      <c r="IT16" s="314" t="s">
        <v>203</v>
      </c>
      <c r="IU16" s="314" t="s">
        <v>203</v>
      </c>
      <c r="IV16" s="314" t="s">
        <v>203</v>
      </c>
      <c r="IW16" s="314" t="s">
        <v>203</v>
      </c>
      <c r="IX16" s="314" t="s">
        <v>203</v>
      </c>
      <c r="IY16" s="314" t="s">
        <v>203</v>
      </c>
      <c r="IZ16" s="314" t="s">
        <v>203</v>
      </c>
      <c r="JA16" s="314" t="s">
        <v>203</v>
      </c>
      <c r="JB16" s="314" t="s">
        <v>203</v>
      </c>
      <c r="JC16" s="314" t="s">
        <v>203</v>
      </c>
      <c r="JD16" s="314" t="s">
        <v>203</v>
      </c>
      <c r="JE16" s="314" t="s">
        <v>203</v>
      </c>
      <c r="JF16" s="314" t="s">
        <v>203</v>
      </c>
      <c r="JG16" s="314" t="s">
        <v>203</v>
      </c>
      <c r="JH16" s="314" t="s">
        <v>203</v>
      </c>
      <c r="JI16" s="314" t="s">
        <v>203</v>
      </c>
      <c r="JJ16" s="314" t="s">
        <v>203</v>
      </c>
      <c r="JK16" s="314" t="s">
        <v>203</v>
      </c>
      <c r="JL16" s="314" t="s">
        <v>203</v>
      </c>
      <c r="JM16" s="314" t="s">
        <v>203</v>
      </c>
      <c r="JN16" s="314" t="s">
        <v>203</v>
      </c>
      <c r="JO16" s="314" t="s">
        <v>203</v>
      </c>
      <c r="JP16" s="314" t="s">
        <v>203</v>
      </c>
      <c r="JQ16" s="314" t="s">
        <v>203</v>
      </c>
      <c r="JR16" s="314" t="s">
        <v>203</v>
      </c>
      <c r="JS16" s="314" t="s">
        <v>203</v>
      </c>
      <c r="JT16" s="314" t="s">
        <v>203</v>
      </c>
      <c r="JU16" s="314" t="s">
        <v>203</v>
      </c>
      <c r="JV16" s="314" t="s">
        <v>203</v>
      </c>
      <c r="JW16" s="314" t="s">
        <v>203</v>
      </c>
      <c r="JX16" s="314" t="s">
        <v>203</v>
      </c>
      <c r="JY16" s="314" t="s">
        <v>203</v>
      </c>
      <c r="JZ16" s="314" t="s">
        <v>203</v>
      </c>
      <c r="KA16" s="314" t="s">
        <v>203</v>
      </c>
      <c r="KB16" s="314" t="s">
        <v>203</v>
      </c>
      <c r="KC16" s="314" t="s">
        <v>203</v>
      </c>
      <c r="KD16" s="314" t="s">
        <v>203</v>
      </c>
      <c r="KE16" s="314" t="s">
        <v>203</v>
      </c>
      <c r="KF16" s="314" t="s">
        <v>203</v>
      </c>
      <c r="KG16" s="314" t="s">
        <v>203</v>
      </c>
      <c r="KH16" s="314" t="s">
        <v>203</v>
      </c>
      <c r="KI16" s="314" t="s">
        <v>203</v>
      </c>
      <c r="KJ16" s="314" t="s">
        <v>203</v>
      </c>
      <c r="KK16" s="314" t="s">
        <v>203</v>
      </c>
      <c r="KL16" s="314" t="s">
        <v>203</v>
      </c>
      <c r="KM16" s="314" t="s">
        <v>203</v>
      </c>
      <c r="KN16" s="314" t="s">
        <v>203</v>
      </c>
      <c r="KO16" s="314" t="s">
        <v>203</v>
      </c>
      <c r="KP16" s="314" t="s">
        <v>203</v>
      </c>
      <c r="KQ16" s="314" t="s">
        <v>203</v>
      </c>
      <c r="KR16" s="314" t="s">
        <v>203</v>
      </c>
      <c r="KS16" s="314" t="s">
        <v>203</v>
      </c>
      <c r="KT16" s="314" t="s">
        <v>203</v>
      </c>
      <c r="KU16" s="314" t="s">
        <v>203</v>
      </c>
      <c r="KV16" s="314" t="s">
        <v>203</v>
      </c>
      <c r="KW16" s="314" t="s">
        <v>203</v>
      </c>
      <c r="KX16" s="314" t="s">
        <v>203</v>
      </c>
      <c r="KY16" s="314" t="s">
        <v>203</v>
      </c>
      <c r="KZ16" s="314" t="s">
        <v>203</v>
      </c>
      <c r="LA16" s="314" t="s">
        <v>203</v>
      </c>
      <c r="LB16" s="314" t="s">
        <v>203</v>
      </c>
      <c r="LC16" s="314" t="s">
        <v>203</v>
      </c>
      <c r="LD16" s="314" t="s">
        <v>203</v>
      </c>
      <c r="LE16" s="314" t="s">
        <v>203</v>
      </c>
      <c r="LF16" s="314" t="s">
        <v>203</v>
      </c>
      <c r="LG16" s="314" t="s">
        <v>203</v>
      </c>
      <c r="LH16" s="314" t="s">
        <v>203</v>
      </c>
      <c r="LI16" s="314" t="s">
        <v>203</v>
      </c>
      <c r="LJ16" s="314" t="s">
        <v>203</v>
      </c>
      <c r="LK16" s="314" t="s">
        <v>203</v>
      </c>
      <c r="LL16" s="314" t="s">
        <v>203</v>
      </c>
      <c r="LM16" s="314" t="s">
        <v>203</v>
      </c>
      <c r="LN16" s="314" t="s">
        <v>203</v>
      </c>
      <c r="LO16" s="314" t="s">
        <v>203</v>
      </c>
      <c r="LP16" s="314" t="s">
        <v>203</v>
      </c>
      <c r="LQ16" s="314" t="s">
        <v>203</v>
      </c>
      <c r="LR16" s="314" t="s">
        <v>203</v>
      </c>
      <c r="LS16" s="314" t="s">
        <v>203</v>
      </c>
      <c r="LT16" s="314" t="s">
        <v>203</v>
      </c>
      <c r="LU16" s="314" t="s">
        <v>203</v>
      </c>
      <c r="LV16" s="314" t="s">
        <v>203</v>
      </c>
      <c r="LW16" s="314" t="s">
        <v>203</v>
      </c>
      <c r="LX16" s="314" t="s">
        <v>203</v>
      </c>
      <c r="LY16" s="314" t="s">
        <v>203</v>
      </c>
      <c r="LZ16" s="314" t="s">
        <v>203</v>
      </c>
      <c r="MA16" s="314" t="s">
        <v>203</v>
      </c>
      <c r="MB16" s="314" t="s">
        <v>203</v>
      </c>
      <c r="MC16" s="314" t="s">
        <v>203</v>
      </c>
      <c r="MD16" s="314" t="s">
        <v>203</v>
      </c>
      <c r="ME16" s="314" t="s">
        <v>203</v>
      </c>
      <c r="MF16" s="314" t="s">
        <v>203</v>
      </c>
      <c r="MG16" s="314" t="s">
        <v>203</v>
      </c>
      <c r="MH16" s="314" t="s">
        <v>203</v>
      </c>
      <c r="MI16" s="314" t="s">
        <v>203</v>
      </c>
      <c r="MJ16" s="314" t="s">
        <v>203</v>
      </c>
      <c r="MK16" s="314" t="s">
        <v>203</v>
      </c>
      <c r="ML16" s="314" t="s">
        <v>203</v>
      </c>
      <c r="MM16" s="314" t="s">
        <v>203</v>
      </c>
      <c r="MN16" s="314" t="s">
        <v>203</v>
      </c>
      <c r="MO16" s="314" t="s">
        <v>203</v>
      </c>
      <c r="MP16" s="314" t="s">
        <v>203</v>
      </c>
      <c r="MQ16" s="314" t="s">
        <v>203</v>
      </c>
      <c r="MR16" s="314" t="s">
        <v>203</v>
      </c>
      <c r="MS16" s="314" t="s">
        <v>203</v>
      </c>
      <c r="MT16" s="314" t="s">
        <v>203</v>
      </c>
      <c r="MU16" s="314" t="s">
        <v>203</v>
      </c>
      <c r="MV16" s="314" t="s">
        <v>203</v>
      </c>
      <c r="MW16" s="314" t="s">
        <v>203</v>
      </c>
      <c r="MX16" s="314" t="s">
        <v>203</v>
      </c>
      <c r="MY16" s="314" t="s">
        <v>203</v>
      </c>
      <c r="MZ16" s="314" t="s">
        <v>203</v>
      </c>
      <c r="NA16" s="314" t="s">
        <v>203</v>
      </c>
      <c r="NB16" s="314" t="s">
        <v>203</v>
      </c>
      <c r="NC16" s="314" t="s">
        <v>203</v>
      </c>
      <c r="ND16" s="314" t="s">
        <v>203</v>
      </c>
      <c r="NE16" s="314" t="s">
        <v>203</v>
      </c>
      <c r="NF16" s="314" t="s">
        <v>203</v>
      </c>
      <c r="NG16" s="314" t="s">
        <v>203</v>
      </c>
      <c r="NH16" s="314" t="s">
        <v>203</v>
      </c>
      <c r="NI16" s="314" t="s">
        <v>203</v>
      </c>
      <c r="NJ16" s="314" t="s">
        <v>203</v>
      </c>
      <c r="NK16" s="314" t="s">
        <v>203</v>
      </c>
      <c r="NL16" s="314" t="s">
        <v>203</v>
      </c>
      <c r="NM16" s="314" t="s">
        <v>203</v>
      </c>
      <c r="NN16" s="314" t="s">
        <v>203</v>
      </c>
      <c r="NO16" s="314" t="s">
        <v>203</v>
      </c>
      <c r="NP16" s="314" t="s">
        <v>203</v>
      </c>
      <c r="NQ16" s="314" t="s">
        <v>203</v>
      </c>
      <c r="NR16" s="314" t="s">
        <v>203</v>
      </c>
      <c r="NS16" s="314" t="s">
        <v>203</v>
      </c>
      <c r="NT16" s="314" t="s">
        <v>203</v>
      </c>
      <c r="NU16" s="314" t="s">
        <v>203</v>
      </c>
      <c r="NV16" s="314" t="s">
        <v>203</v>
      </c>
      <c r="NW16" s="314" t="s">
        <v>203</v>
      </c>
      <c r="NX16" s="314" t="s">
        <v>203</v>
      </c>
      <c r="NY16" s="314" t="s">
        <v>203</v>
      </c>
      <c r="NZ16" s="314" t="s">
        <v>203</v>
      </c>
      <c r="OA16" s="314" t="s">
        <v>203</v>
      </c>
      <c r="OB16" s="314" t="s">
        <v>203</v>
      </c>
      <c r="OC16" s="314" t="s">
        <v>203</v>
      </c>
      <c r="OD16" s="314" t="s">
        <v>203</v>
      </c>
      <c r="OE16" s="314" t="s">
        <v>203</v>
      </c>
      <c r="OF16" s="314" t="s">
        <v>203</v>
      </c>
      <c r="OG16" s="314" t="s">
        <v>203</v>
      </c>
      <c r="OH16" s="314" t="s">
        <v>203</v>
      </c>
      <c r="OI16" s="314" t="s">
        <v>203</v>
      </c>
      <c r="OJ16" s="314" t="s">
        <v>203</v>
      </c>
      <c r="OK16" s="314" t="s">
        <v>203</v>
      </c>
      <c r="OL16" s="314" t="s">
        <v>203</v>
      </c>
      <c r="OM16" s="314" t="s">
        <v>203</v>
      </c>
      <c r="ON16" s="314" t="s">
        <v>203</v>
      </c>
      <c r="OO16" s="314" t="s">
        <v>203</v>
      </c>
      <c r="OP16" s="314" t="s">
        <v>203</v>
      </c>
      <c r="OQ16" s="314" t="s">
        <v>203</v>
      </c>
      <c r="OR16" s="314" t="s">
        <v>203</v>
      </c>
      <c r="OS16" s="314" t="s">
        <v>203</v>
      </c>
      <c r="OT16" s="314" t="s">
        <v>203</v>
      </c>
      <c r="OU16" s="314" t="s">
        <v>203</v>
      </c>
      <c r="OV16" s="314" t="s">
        <v>203</v>
      </c>
      <c r="OW16" s="314" t="s">
        <v>203</v>
      </c>
      <c r="OX16" s="314" t="s">
        <v>203</v>
      </c>
      <c r="OY16" s="314" t="s">
        <v>203</v>
      </c>
      <c r="OZ16" s="314" t="s">
        <v>203</v>
      </c>
      <c r="PA16" s="314" t="s">
        <v>203</v>
      </c>
      <c r="PB16" s="314" t="s">
        <v>203</v>
      </c>
      <c r="PC16" s="314" t="s">
        <v>203</v>
      </c>
      <c r="PD16" s="314" t="s">
        <v>203</v>
      </c>
      <c r="PE16" s="314" t="s">
        <v>203</v>
      </c>
      <c r="PF16" s="314" t="s">
        <v>203</v>
      </c>
      <c r="PG16" s="314" t="s">
        <v>203</v>
      </c>
      <c r="PH16" s="314" t="s">
        <v>203</v>
      </c>
      <c r="PI16" s="314" t="s">
        <v>203</v>
      </c>
      <c r="PJ16" s="314" t="s">
        <v>203</v>
      </c>
      <c r="PK16" s="314" t="s">
        <v>203</v>
      </c>
      <c r="PL16" s="314" t="s">
        <v>203</v>
      </c>
      <c r="PM16" s="314" t="s">
        <v>203</v>
      </c>
      <c r="PN16" s="314" t="s">
        <v>203</v>
      </c>
      <c r="PO16" s="314" t="s">
        <v>203</v>
      </c>
      <c r="PP16" s="314" t="s">
        <v>203</v>
      </c>
      <c r="PQ16" s="314" t="s">
        <v>203</v>
      </c>
      <c r="PR16" s="314" t="s">
        <v>203</v>
      </c>
      <c r="PS16" s="314" t="s">
        <v>203</v>
      </c>
      <c r="PT16" s="314" t="s">
        <v>203</v>
      </c>
      <c r="PU16" s="314" t="s">
        <v>203</v>
      </c>
      <c r="PV16" s="314" t="s">
        <v>203</v>
      </c>
      <c r="PW16" s="314" t="s">
        <v>203</v>
      </c>
      <c r="PX16" s="314" t="s">
        <v>203</v>
      </c>
      <c r="PY16" s="314" t="s">
        <v>203</v>
      </c>
      <c r="PZ16" s="314" t="s">
        <v>203</v>
      </c>
      <c r="QA16" s="314" t="s">
        <v>203</v>
      </c>
      <c r="QB16" s="314" t="s">
        <v>203</v>
      </c>
      <c r="QC16" s="314" t="s">
        <v>203</v>
      </c>
      <c r="QD16" s="314" t="s">
        <v>203</v>
      </c>
      <c r="QE16" s="314" t="s">
        <v>203</v>
      </c>
      <c r="QF16" s="314" t="s">
        <v>203</v>
      </c>
      <c r="QG16" s="314" t="s">
        <v>203</v>
      </c>
      <c r="QH16" s="314" t="s">
        <v>203</v>
      </c>
      <c r="QI16" s="314" t="s">
        <v>203</v>
      </c>
      <c r="QJ16" s="314" t="s">
        <v>203</v>
      </c>
      <c r="QK16" s="314" t="s">
        <v>203</v>
      </c>
      <c r="QL16" s="314" t="s">
        <v>203</v>
      </c>
      <c r="QM16" s="314" t="s">
        <v>203</v>
      </c>
      <c r="QN16" s="314" t="s">
        <v>203</v>
      </c>
      <c r="QO16" s="314" t="s">
        <v>203</v>
      </c>
      <c r="QP16" s="314" t="s">
        <v>203</v>
      </c>
      <c r="QQ16" s="314" t="s">
        <v>203</v>
      </c>
      <c r="QR16" s="314" t="s">
        <v>203</v>
      </c>
      <c r="QS16" s="314" t="s">
        <v>203</v>
      </c>
      <c r="QT16" s="314" t="s">
        <v>203</v>
      </c>
      <c r="QU16" s="314" t="s">
        <v>203</v>
      </c>
      <c r="QV16" s="314" t="s">
        <v>203</v>
      </c>
      <c r="QW16" s="314" t="s">
        <v>203</v>
      </c>
      <c r="QX16" s="314" t="s">
        <v>203</v>
      </c>
      <c r="QY16" s="314" t="s">
        <v>203</v>
      </c>
      <c r="QZ16" s="314" t="s">
        <v>203</v>
      </c>
      <c r="RA16" s="314" t="s">
        <v>203</v>
      </c>
      <c r="RB16" s="314" t="s">
        <v>203</v>
      </c>
      <c r="RC16" s="314" t="s">
        <v>203</v>
      </c>
      <c r="RD16" s="314" t="s">
        <v>203</v>
      </c>
      <c r="RE16" s="314" t="s">
        <v>203</v>
      </c>
      <c r="RF16" s="314" t="s">
        <v>203</v>
      </c>
      <c r="RG16" s="314" t="s">
        <v>203</v>
      </c>
      <c r="RH16" s="314" t="s">
        <v>203</v>
      </c>
      <c r="RI16" s="314" t="s">
        <v>203</v>
      </c>
      <c r="RJ16" s="314" t="s">
        <v>203</v>
      </c>
      <c r="RK16" s="314" t="s">
        <v>203</v>
      </c>
      <c r="RL16" s="314" t="s">
        <v>203</v>
      </c>
      <c r="RM16" s="314" t="s">
        <v>203</v>
      </c>
      <c r="RN16" s="314" t="s">
        <v>203</v>
      </c>
      <c r="RO16" s="314" t="s">
        <v>203</v>
      </c>
      <c r="RP16" s="314" t="s">
        <v>203</v>
      </c>
      <c r="RQ16" s="314" t="s">
        <v>203</v>
      </c>
      <c r="RR16" s="314" t="s">
        <v>203</v>
      </c>
      <c r="RS16" s="314" t="s">
        <v>203</v>
      </c>
      <c r="RT16" s="314" t="s">
        <v>203</v>
      </c>
      <c r="RU16" s="314" t="s">
        <v>203</v>
      </c>
      <c r="RV16" s="314" t="s">
        <v>203</v>
      </c>
      <c r="RW16" s="314" t="s">
        <v>203</v>
      </c>
      <c r="RX16" s="314" t="s">
        <v>203</v>
      </c>
      <c r="RY16" s="314" t="s">
        <v>203</v>
      </c>
      <c r="RZ16" s="314" t="s">
        <v>203</v>
      </c>
      <c r="SA16" s="314" t="s">
        <v>203</v>
      </c>
      <c r="SB16" s="314" t="s">
        <v>203</v>
      </c>
      <c r="SC16" s="314" t="s">
        <v>203</v>
      </c>
      <c r="SD16" s="314" t="s">
        <v>203</v>
      </c>
      <c r="SE16" s="314" t="s">
        <v>203</v>
      </c>
      <c r="SF16" s="314" t="s">
        <v>203</v>
      </c>
      <c r="SG16" s="314" t="s">
        <v>203</v>
      </c>
      <c r="SH16" s="314" t="s">
        <v>203</v>
      </c>
      <c r="SI16" s="314" t="s">
        <v>203</v>
      </c>
      <c r="SJ16" s="314" t="s">
        <v>203</v>
      </c>
      <c r="SK16" s="314" t="s">
        <v>203</v>
      </c>
      <c r="SL16" s="314" t="s">
        <v>203</v>
      </c>
      <c r="SM16" s="314" t="s">
        <v>203</v>
      </c>
      <c r="SN16" s="314" t="s">
        <v>203</v>
      </c>
      <c r="SO16" s="314" t="s">
        <v>203</v>
      </c>
      <c r="SP16" s="314" t="s">
        <v>203</v>
      </c>
      <c r="SQ16" s="314" t="s">
        <v>203</v>
      </c>
      <c r="SR16" s="314" t="s">
        <v>203</v>
      </c>
      <c r="SS16" s="314" t="s">
        <v>203</v>
      </c>
      <c r="ST16" s="314" t="s">
        <v>203</v>
      </c>
      <c r="SU16" s="314" t="s">
        <v>203</v>
      </c>
      <c r="SV16" s="314" t="s">
        <v>203</v>
      </c>
      <c r="SW16" s="314" t="s">
        <v>203</v>
      </c>
      <c r="SX16" s="314" t="s">
        <v>203</v>
      </c>
      <c r="SY16" s="314" t="s">
        <v>203</v>
      </c>
      <c r="SZ16" s="314" t="s">
        <v>203</v>
      </c>
      <c r="TA16" s="314" t="s">
        <v>203</v>
      </c>
      <c r="TB16" s="314" t="s">
        <v>203</v>
      </c>
      <c r="TC16" s="314" t="s">
        <v>203</v>
      </c>
      <c r="TD16" s="314" t="s">
        <v>203</v>
      </c>
      <c r="TE16" s="314" t="s">
        <v>203</v>
      </c>
      <c r="TF16" s="314" t="s">
        <v>203</v>
      </c>
      <c r="TG16" s="314" t="s">
        <v>203</v>
      </c>
      <c r="TH16" s="314" t="s">
        <v>203</v>
      </c>
      <c r="TI16" s="314" t="s">
        <v>203</v>
      </c>
      <c r="TJ16" s="314" t="s">
        <v>203</v>
      </c>
      <c r="TK16" s="314" t="s">
        <v>203</v>
      </c>
      <c r="TL16" s="314" t="s">
        <v>203</v>
      </c>
      <c r="TM16" s="314" t="s">
        <v>203</v>
      </c>
      <c r="TN16" s="314" t="s">
        <v>203</v>
      </c>
      <c r="TO16" s="314" t="s">
        <v>203</v>
      </c>
      <c r="TP16" s="314" t="s">
        <v>203</v>
      </c>
      <c r="TQ16" s="314" t="s">
        <v>203</v>
      </c>
      <c r="TR16" s="314" t="s">
        <v>203</v>
      </c>
      <c r="TS16" s="314" t="s">
        <v>203</v>
      </c>
      <c r="TT16" s="314" t="s">
        <v>203</v>
      </c>
      <c r="TU16" s="314" t="s">
        <v>203</v>
      </c>
      <c r="TV16" s="314" t="s">
        <v>203</v>
      </c>
      <c r="TW16" s="314" t="s">
        <v>203</v>
      </c>
      <c r="TX16" s="314" t="s">
        <v>203</v>
      </c>
      <c r="TY16" s="314" t="s">
        <v>203</v>
      </c>
      <c r="TZ16" s="314" t="s">
        <v>203</v>
      </c>
      <c r="UA16" s="314" t="s">
        <v>203</v>
      </c>
      <c r="UB16" s="314" t="s">
        <v>203</v>
      </c>
      <c r="UC16" s="314" t="s">
        <v>203</v>
      </c>
      <c r="UD16" s="314" t="s">
        <v>203</v>
      </c>
      <c r="UE16" s="314" t="s">
        <v>203</v>
      </c>
      <c r="UF16" s="314" t="s">
        <v>203</v>
      </c>
      <c r="UG16" s="314" t="s">
        <v>203</v>
      </c>
      <c r="UH16" s="314" t="s">
        <v>203</v>
      </c>
      <c r="UI16" s="314" t="s">
        <v>203</v>
      </c>
      <c r="UJ16" s="314" t="s">
        <v>203</v>
      </c>
      <c r="UK16" s="314" t="s">
        <v>203</v>
      </c>
      <c r="UL16" s="314" t="s">
        <v>203</v>
      </c>
      <c r="UM16" s="314" t="s">
        <v>203</v>
      </c>
      <c r="UN16" s="314" t="s">
        <v>203</v>
      </c>
      <c r="UO16" s="314" t="s">
        <v>203</v>
      </c>
      <c r="UP16" s="314" t="s">
        <v>203</v>
      </c>
      <c r="UQ16" s="314" t="s">
        <v>203</v>
      </c>
      <c r="UR16" s="314" t="s">
        <v>203</v>
      </c>
      <c r="US16" s="314" t="s">
        <v>203</v>
      </c>
      <c r="UT16" s="314" t="s">
        <v>203</v>
      </c>
      <c r="UU16" s="314" t="s">
        <v>203</v>
      </c>
      <c r="UV16" s="314" t="s">
        <v>203</v>
      </c>
      <c r="UW16" s="314" t="s">
        <v>203</v>
      </c>
      <c r="UX16" s="314" t="s">
        <v>203</v>
      </c>
      <c r="UY16" s="314" t="s">
        <v>203</v>
      </c>
      <c r="UZ16" s="314" t="s">
        <v>203</v>
      </c>
      <c r="VA16" s="314" t="s">
        <v>203</v>
      </c>
      <c r="VB16" s="314" t="s">
        <v>203</v>
      </c>
      <c r="VC16" s="314" t="s">
        <v>203</v>
      </c>
      <c r="VD16" s="314" t="s">
        <v>203</v>
      </c>
      <c r="VE16" s="314" t="s">
        <v>203</v>
      </c>
      <c r="VF16" s="314" t="s">
        <v>203</v>
      </c>
      <c r="VG16" s="314" t="s">
        <v>203</v>
      </c>
      <c r="VH16" s="314" t="s">
        <v>203</v>
      </c>
      <c r="VI16" s="314" t="s">
        <v>203</v>
      </c>
      <c r="VJ16" s="314" t="s">
        <v>203</v>
      </c>
      <c r="VK16" s="314" t="s">
        <v>203</v>
      </c>
      <c r="VL16" s="314" t="s">
        <v>203</v>
      </c>
      <c r="VM16" s="314" t="s">
        <v>203</v>
      </c>
      <c r="VN16" s="314" t="s">
        <v>203</v>
      </c>
      <c r="VO16" s="314" t="s">
        <v>203</v>
      </c>
      <c r="VP16" s="314" t="s">
        <v>203</v>
      </c>
      <c r="VQ16" s="314" t="s">
        <v>203</v>
      </c>
      <c r="VR16" s="314" t="s">
        <v>203</v>
      </c>
      <c r="VS16" s="314" t="s">
        <v>203</v>
      </c>
      <c r="VT16" s="314" t="s">
        <v>203</v>
      </c>
      <c r="VU16" s="314" t="s">
        <v>203</v>
      </c>
      <c r="VV16" s="314" t="s">
        <v>203</v>
      </c>
      <c r="VW16" s="314" t="s">
        <v>203</v>
      </c>
      <c r="VX16" s="314" t="s">
        <v>203</v>
      </c>
      <c r="VY16" s="314" t="s">
        <v>203</v>
      </c>
      <c r="VZ16" s="314" t="s">
        <v>203</v>
      </c>
      <c r="WA16" s="314" t="s">
        <v>203</v>
      </c>
      <c r="WB16" s="314" t="s">
        <v>203</v>
      </c>
      <c r="WC16" s="314" t="s">
        <v>203</v>
      </c>
      <c r="WD16" s="314" t="s">
        <v>203</v>
      </c>
      <c r="WE16" s="314" t="s">
        <v>203</v>
      </c>
      <c r="WF16" s="314" t="s">
        <v>203</v>
      </c>
      <c r="WG16" s="314" t="s">
        <v>203</v>
      </c>
      <c r="WH16" s="314" t="s">
        <v>203</v>
      </c>
      <c r="WI16" s="314" t="s">
        <v>203</v>
      </c>
      <c r="WJ16" s="314" t="s">
        <v>203</v>
      </c>
      <c r="WK16" s="314" t="s">
        <v>203</v>
      </c>
      <c r="WL16" s="314" t="s">
        <v>203</v>
      </c>
      <c r="WM16" s="314" t="s">
        <v>203</v>
      </c>
      <c r="WN16" s="314" t="s">
        <v>203</v>
      </c>
      <c r="WO16" s="314" t="s">
        <v>203</v>
      </c>
      <c r="WP16" s="314" t="s">
        <v>203</v>
      </c>
      <c r="WQ16" s="314" t="s">
        <v>203</v>
      </c>
      <c r="WR16" s="314" t="s">
        <v>203</v>
      </c>
      <c r="WS16" s="314" t="s">
        <v>203</v>
      </c>
      <c r="WT16" s="314" t="s">
        <v>203</v>
      </c>
      <c r="WU16" s="314" t="s">
        <v>203</v>
      </c>
      <c r="WV16" s="314" t="s">
        <v>203</v>
      </c>
      <c r="WW16" s="314" t="s">
        <v>203</v>
      </c>
      <c r="WX16" s="314" t="s">
        <v>203</v>
      </c>
      <c r="WY16" s="314" t="s">
        <v>203</v>
      </c>
      <c r="WZ16" s="314" t="s">
        <v>203</v>
      </c>
      <c r="XA16" s="314" t="s">
        <v>203</v>
      </c>
      <c r="XB16" s="314" t="s">
        <v>203</v>
      </c>
      <c r="XC16" s="314" t="s">
        <v>203</v>
      </c>
      <c r="XD16" s="314" t="s">
        <v>203</v>
      </c>
      <c r="XE16" s="314" t="s">
        <v>203</v>
      </c>
      <c r="XF16" s="314" t="s">
        <v>203</v>
      </c>
      <c r="XG16" s="314" t="s">
        <v>203</v>
      </c>
      <c r="XH16" s="314" t="s">
        <v>203</v>
      </c>
      <c r="XI16" s="314" t="s">
        <v>203</v>
      </c>
      <c r="XJ16" s="314" t="s">
        <v>203</v>
      </c>
      <c r="XK16" s="314" t="s">
        <v>203</v>
      </c>
      <c r="XL16" s="314" t="s">
        <v>203</v>
      </c>
      <c r="XM16" s="314" t="s">
        <v>203</v>
      </c>
      <c r="XN16" s="314" t="s">
        <v>203</v>
      </c>
      <c r="XO16" s="314" t="s">
        <v>203</v>
      </c>
      <c r="XP16" s="314" t="s">
        <v>203</v>
      </c>
      <c r="XQ16" s="314" t="s">
        <v>203</v>
      </c>
      <c r="XR16" s="314" t="s">
        <v>203</v>
      </c>
      <c r="XS16" s="314" t="s">
        <v>203</v>
      </c>
      <c r="XT16" s="314" t="s">
        <v>203</v>
      </c>
      <c r="XU16" s="314" t="s">
        <v>203</v>
      </c>
      <c r="XV16" s="314" t="s">
        <v>203</v>
      </c>
      <c r="XW16" s="314" t="s">
        <v>203</v>
      </c>
      <c r="XX16" s="314" t="s">
        <v>203</v>
      </c>
      <c r="XY16" s="314" t="s">
        <v>203</v>
      </c>
      <c r="XZ16" s="314" t="s">
        <v>203</v>
      </c>
      <c r="YA16" s="314" t="s">
        <v>203</v>
      </c>
      <c r="YB16" s="314" t="s">
        <v>203</v>
      </c>
      <c r="YC16" s="314" t="s">
        <v>203</v>
      </c>
      <c r="YD16" s="314" t="s">
        <v>203</v>
      </c>
      <c r="YE16" s="314" t="s">
        <v>203</v>
      </c>
      <c r="YF16" s="314" t="s">
        <v>203</v>
      </c>
      <c r="YG16" s="314" t="s">
        <v>203</v>
      </c>
      <c r="YH16" s="314" t="s">
        <v>203</v>
      </c>
      <c r="YI16" s="314" t="s">
        <v>203</v>
      </c>
      <c r="YJ16" s="314" t="s">
        <v>203</v>
      </c>
      <c r="YK16" s="314" t="s">
        <v>203</v>
      </c>
      <c r="YL16" s="314" t="s">
        <v>203</v>
      </c>
      <c r="YM16" s="314" t="s">
        <v>203</v>
      </c>
      <c r="YN16" s="314" t="s">
        <v>203</v>
      </c>
      <c r="YO16" s="314" t="s">
        <v>203</v>
      </c>
      <c r="YP16" s="314" t="s">
        <v>203</v>
      </c>
      <c r="YQ16" s="314" t="s">
        <v>203</v>
      </c>
      <c r="YR16" s="314" t="s">
        <v>203</v>
      </c>
      <c r="YS16" s="314" t="s">
        <v>203</v>
      </c>
      <c r="YT16" s="314" t="s">
        <v>203</v>
      </c>
      <c r="YU16" s="314" t="s">
        <v>203</v>
      </c>
      <c r="YV16" s="314" t="s">
        <v>203</v>
      </c>
      <c r="YW16" s="314" t="s">
        <v>203</v>
      </c>
      <c r="YX16" s="314" t="s">
        <v>203</v>
      </c>
      <c r="YY16" s="314" t="s">
        <v>203</v>
      </c>
      <c r="YZ16" s="314" t="s">
        <v>203</v>
      </c>
      <c r="ZA16" s="314" t="s">
        <v>203</v>
      </c>
      <c r="ZB16" s="314" t="s">
        <v>203</v>
      </c>
      <c r="ZC16" s="314" t="s">
        <v>203</v>
      </c>
      <c r="ZD16" s="314" t="s">
        <v>203</v>
      </c>
      <c r="ZE16" s="314" t="s">
        <v>203</v>
      </c>
      <c r="ZF16" s="314" t="s">
        <v>203</v>
      </c>
      <c r="ZG16" s="314" t="s">
        <v>203</v>
      </c>
      <c r="ZH16" s="314" t="s">
        <v>203</v>
      </c>
      <c r="ZI16" s="314" t="s">
        <v>203</v>
      </c>
      <c r="ZJ16" s="314" t="s">
        <v>203</v>
      </c>
      <c r="ZK16" s="314" t="s">
        <v>203</v>
      </c>
      <c r="ZL16" s="314" t="s">
        <v>203</v>
      </c>
      <c r="ZM16" s="314" t="s">
        <v>203</v>
      </c>
      <c r="ZN16" s="314" t="s">
        <v>203</v>
      </c>
      <c r="ZO16" s="314" t="s">
        <v>203</v>
      </c>
      <c r="ZP16" s="314" t="s">
        <v>203</v>
      </c>
      <c r="ZQ16" s="314" t="s">
        <v>203</v>
      </c>
      <c r="ZR16" s="314" t="s">
        <v>203</v>
      </c>
      <c r="ZS16" s="314" t="s">
        <v>203</v>
      </c>
      <c r="ZT16" s="314" t="s">
        <v>203</v>
      </c>
      <c r="ZU16" s="314" t="s">
        <v>203</v>
      </c>
      <c r="ZV16" s="314" t="s">
        <v>203</v>
      </c>
      <c r="ZW16" s="314" t="s">
        <v>203</v>
      </c>
      <c r="ZX16" s="314" t="s">
        <v>203</v>
      </c>
      <c r="ZY16" s="314" t="s">
        <v>203</v>
      </c>
      <c r="ZZ16" s="314" t="s">
        <v>203</v>
      </c>
      <c r="AAA16" s="314" t="s">
        <v>203</v>
      </c>
      <c r="AAB16" s="314" t="s">
        <v>203</v>
      </c>
      <c r="AAC16" s="314" t="s">
        <v>203</v>
      </c>
      <c r="AAD16" s="314" t="s">
        <v>203</v>
      </c>
      <c r="AAE16" s="314" t="s">
        <v>203</v>
      </c>
      <c r="AAF16" s="314" t="s">
        <v>203</v>
      </c>
      <c r="AAG16" s="314" t="s">
        <v>203</v>
      </c>
      <c r="AAH16" s="314" t="s">
        <v>203</v>
      </c>
      <c r="AAI16" s="314" t="s">
        <v>203</v>
      </c>
      <c r="AAJ16" s="314" t="s">
        <v>203</v>
      </c>
      <c r="AAK16" s="314" t="s">
        <v>203</v>
      </c>
      <c r="AAL16" s="314" t="s">
        <v>203</v>
      </c>
      <c r="AAM16" s="314" t="s">
        <v>203</v>
      </c>
      <c r="AAN16" s="314" t="s">
        <v>203</v>
      </c>
      <c r="AAO16" s="314" t="s">
        <v>203</v>
      </c>
      <c r="AAP16" s="314" t="s">
        <v>203</v>
      </c>
      <c r="AAQ16" s="314" t="s">
        <v>203</v>
      </c>
      <c r="AAR16" s="314" t="s">
        <v>203</v>
      </c>
      <c r="AAS16" s="314" t="s">
        <v>203</v>
      </c>
      <c r="AAT16" s="314" t="s">
        <v>203</v>
      </c>
      <c r="AAU16" s="314" t="s">
        <v>203</v>
      </c>
      <c r="AAV16" s="314" t="s">
        <v>203</v>
      </c>
      <c r="AAW16" s="314" t="s">
        <v>203</v>
      </c>
      <c r="AAX16" s="314" t="s">
        <v>203</v>
      </c>
      <c r="AAY16" s="314" t="s">
        <v>203</v>
      </c>
      <c r="AAZ16" s="314" t="s">
        <v>203</v>
      </c>
      <c r="ABA16" s="314" t="s">
        <v>203</v>
      </c>
      <c r="ABB16" s="314" t="s">
        <v>203</v>
      </c>
      <c r="ABC16" s="314" t="s">
        <v>203</v>
      </c>
      <c r="ABD16" s="314" t="s">
        <v>203</v>
      </c>
      <c r="ABE16" s="314" t="s">
        <v>203</v>
      </c>
      <c r="ABF16" s="314" t="s">
        <v>203</v>
      </c>
      <c r="ABG16" s="314" t="s">
        <v>203</v>
      </c>
      <c r="ABH16" s="314" t="s">
        <v>203</v>
      </c>
      <c r="ABI16" s="314" t="s">
        <v>203</v>
      </c>
      <c r="ABJ16" s="314" t="s">
        <v>203</v>
      </c>
      <c r="ABK16" s="314" t="s">
        <v>203</v>
      </c>
      <c r="ABL16" s="314" t="s">
        <v>203</v>
      </c>
      <c r="ABM16" s="314" t="s">
        <v>203</v>
      </c>
      <c r="ABN16" s="314" t="s">
        <v>203</v>
      </c>
      <c r="ABO16" s="314" t="s">
        <v>203</v>
      </c>
      <c r="ABP16" s="314" t="s">
        <v>203</v>
      </c>
      <c r="ABQ16" s="314" t="s">
        <v>203</v>
      </c>
      <c r="ABR16" s="314" t="s">
        <v>203</v>
      </c>
      <c r="ABS16" s="314" t="s">
        <v>203</v>
      </c>
      <c r="ABT16" s="314" t="s">
        <v>203</v>
      </c>
      <c r="ABU16" s="314" t="s">
        <v>203</v>
      </c>
      <c r="ABV16" s="314" t="s">
        <v>203</v>
      </c>
      <c r="ABW16" s="314" t="s">
        <v>203</v>
      </c>
      <c r="ABX16" s="314" t="s">
        <v>203</v>
      </c>
      <c r="ABY16" s="314" t="s">
        <v>203</v>
      </c>
      <c r="ABZ16" s="314" t="s">
        <v>203</v>
      </c>
      <c r="ACA16" s="314" t="s">
        <v>203</v>
      </c>
      <c r="ACB16" s="314" t="s">
        <v>203</v>
      </c>
      <c r="ACC16" s="314" t="s">
        <v>203</v>
      </c>
      <c r="ACD16" s="314" t="s">
        <v>203</v>
      </c>
      <c r="ACE16" s="314" t="s">
        <v>203</v>
      </c>
      <c r="ACF16" s="314" t="s">
        <v>203</v>
      </c>
      <c r="ACG16" s="314" t="s">
        <v>203</v>
      </c>
      <c r="ACH16" s="314" t="s">
        <v>203</v>
      </c>
      <c r="ACI16" s="314" t="s">
        <v>203</v>
      </c>
      <c r="ACJ16" s="314" t="s">
        <v>203</v>
      </c>
      <c r="ACK16" s="314" t="s">
        <v>203</v>
      </c>
      <c r="ACL16" s="314" t="s">
        <v>203</v>
      </c>
      <c r="ACM16" s="314" t="s">
        <v>203</v>
      </c>
      <c r="ACN16" s="314" t="s">
        <v>203</v>
      </c>
      <c r="ACO16" s="314" t="s">
        <v>203</v>
      </c>
      <c r="ACP16" s="314" t="s">
        <v>203</v>
      </c>
      <c r="ACQ16" s="314" t="s">
        <v>203</v>
      </c>
      <c r="ACR16" s="314" t="s">
        <v>203</v>
      </c>
      <c r="ACS16" s="314" t="s">
        <v>203</v>
      </c>
      <c r="ACT16" s="314" t="s">
        <v>203</v>
      </c>
      <c r="ACU16" s="314" t="s">
        <v>203</v>
      </c>
      <c r="ACV16" s="314" t="s">
        <v>203</v>
      </c>
      <c r="ACW16" s="314" t="s">
        <v>203</v>
      </c>
      <c r="ACX16" s="314" t="s">
        <v>203</v>
      </c>
      <c r="ACY16" s="314" t="s">
        <v>203</v>
      </c>
      <c r="ACZ16" s="314" t="s">
        <v>203</v>
      </c>
      <c r="ADA16" s="314" t="s">
        <v>203</v>
      </c>
      <c r="ADB16" s="314" t="s">
        <v>203</v>
      </c>
      <c r="ADC16" s="314" t="s">
        <v>203</v>
      </c>
      <c r="ADD16" s="314" t="s">
        <v>203</v>
      </c>
      <c r="ADE16" s="314" t="s">
        <v>203</v>
      </c>
      <c r="ADF16" s="314" t="s">
        <v>203</v>
      </c>
      <c r="ADG16" s="314" t="s">
        <v>203</v>
      </c>
      <c r="ADH16" s="314" t="s">
        <v>203</v>
      </c>
      <c r="ADI16" s="314" t="s">
        <v>203</v>
      </c>
      <c r="ADJ16" s="314" t="s">
        <v>203</v>
      </c>
      <c r="ADK16" s="314" t="s">
        <v>203</v>
      </c>
      <c r="ADL16" s="314" t="s">
        <v>203</v>
      </c>
      <c r="ADM16" s="314" t="s">
        <v>203</v>
      </c>
      <c r="ADN16" s="314" t="s">
        <v>203</v>
      </c>
      <c r="ADO16" s="314" t="s">
        <v>203</v>
      </c>
      <c r="ADP16" s="314" t="s">
        <v>203</v>
      </c>
      <c r="ADQ16" s="314" t="s">
        <v>203</v>
      </c>
      <c r="ADR16" s="314" t="s">
        <v>203</v>
      </c>
      <c r="ADS16" s="314" t="s">
        <v>203</v>
      </c>
      <c r="ADT16" s="314" t="s">
        <v>203</v>
      </c>
      <c r="ADU16" s="314" t="s">
        <v>203</v>
      </c>
      <c r="ADV16" s="314" t="s">
        <v>203</v>
      </c>
      <c r="ADW16" s="314" t="s">
        <v>203</v>
      </c>
      <c r="ADX16" s="314" t="s">
        <v>203</v>
      </c>
      <c r="ADY16" s="314" t="s">
        <v>203</v>
      </c>
      <c r="ADZ16" s="314" t="s">
        <v>203</v>
      </c>
      <c r="AEA16" s="314" t="s">
        <v>203</v>
      </c>
      <c r="AEB16" s="314" t="s">
        <v>203</v>
      </c>
      <c r="AEC16" s="314" t="s">
        <v>203</v>
      </c>
      <c r="AED16" s="314" t="s">
        <v>203</v>
      </c>
      <c r="AEE16" s="314" t="s">
        <v>203</v>
      </c>
      <c r="AEF16" s="314" t="s">
        <v>203</v>
      </c>
      <c r="AEG16" s="314" t="s">
        <v>203</v>
      </c>
      <c r="AEH16" s="314" t="s">
        <v>203</v>
      </c>
      <c r="AEI16" s="314" t="s">
        <v>203</v>
      </c>
      <c r="AEJ16" s="314" t="s">
        <v>203</v>
      </c>
      <c r="AEK16" s="314" t="s">
        <v>203</v>
      </c>
      <c r="AEL16" s="314" t="s">
        <v>203</v>
      </c>
      <c r="AEM16" s="314" t="s">
        <v>203</v>
      </c>
      <c r="AEN16" s="314" t="s">
        <v>203</v>
      </c>
      <c r="AEO16" s="314" t="s">
        <v>203</v>
      </c>
      <c r="AEP16" s="314" t="s">
        <v>203</v>
      </c>
      <c r="AEQ16" s="314" t="s">
        <v>203</v>
      </c>
      <c r="AER16" s="314" t="s">
        <v>203</v>
      </c>
      <c r="AES16" s="314" t="s">
        <v>203</v>
      </c>
      <c r="AET16" s="314" t="s">
        <v>203</v>
      </c>
      <c r="AEU16" s="314" t="s">
        <v>203</v>
      </c>
      <c r="AEV16" s="314" t="s">
        <v>203</v>
      </c>
      <c r="AEW16" s="314" t="s">
        <v>203</v>
      </c>
      <c r="AEX16" s="314" t="s">
        <v>203</v>
      </c>
      <c r="AEY16" s="314" t="s">
        <v>203</v>
      </c>
      <c r="AEZ16" s="314" t="s">
        <v>203</v>
      </c>
      <c r="AFA16" s="314" t="s">
        <v>203</v>
      </c>
      <c r="AFB16" s="314" t="s">
        <v>203</v>
      </c>
      <c r="AFC16" s="314" t="s">
        <v>203</v>
      </c>
      <c r="AFD16" s="314" t="s">
        <v>203</v>
      </c>
      <c r="AFE16" s="314" t="s">
        <v>203</v>
      </c>
      <c r="AFF16" s="314" t="s">
        <v>203</v>
      </c>
      <c r="AFG16" s="314" t="s">
        <v>203</v>
      </c>
      <c r="AFH16" s="314" t="s">
        <v>203</v>
      </c>
      <c r="AFI16" s="314" t="s">
        <v>203</v>
      </c>
      <c r="AFJ16" s="314" t="s">
        <v>203</v>
      </c>
      <c r="AFK16" s="314" t="s">
        <v>203</v>
      </c>
      <c r="AFL16" s="314" t="s">
        <v>203</v>
      </c>
      <c r="AFM16" s="314" t="s">
        <v>203</v>
      </c>
      <c r="AFN16" s="314" t="s">
        <v>203</v>
      </c>
      <c r="AFO16" s="314" t="s">
        <v>203</v>
      </c>
      <c r="AFP16" s="314" t="s">
        <v>203</v>
      </c>
      <c r="AFQ16" s="314" t="s">
        <v>203</v>
      </c>
      <c r="AFR16" s="314" t="s">
        <v>203</v>
      </c>
      <c r="AFS16" s="314" t="s">
        <v>203</v>
      </c>
      <c r="AFT16" s="314" t="s">
        <v>203</v>
      </c>
      <c r="AFU16" s="314" t="s">
        <v>203</v>
      </c>
      <c r="AFV16" s="314" t="s">
        <v>203</v>
      </c>
      <c r="AFW16" s="314" t="s">
        <v>203</v>
      </c>
      <c r="AFX16" s="314" t="s">
        <v>203</v>
      </c>
      <c r="AFY16" s="314" t="s">
        <v>203</v>
      </c>
      <c r="AFZ16" s="314" t="s">
        <v>203</v>
      </c>
      <c r="AGA16" s="314" t="s">
        <v>203</v>
      </c>
      <c r="AGB16" s="314" t="s">
        <v>203</v>
      </c>
      <c r="AGC16" s="314" t="s">
        <v>203</v>
      </c>
      <c r="AGD16" s="314" t="s">
        <v>203</v>
      </c>
      <c r="AGE16" s="314" t="s">
        <v>203</v>
      </c>
      <c r="AGF16" s="314" t="s">
        <v>203</v>
      </c>
      <c r="AGG16" s="314" t="s">
        <v>203</v>
      </c>
      <c r="AGH16" s="314" t="s">
        <v>203</v>
      </c>
      <c r="AGI16" s="314" t="s">
        <v>203</v>
      </c>
      <c r="AGJ16" s="314" t="s">
        <v>203</v>
      </c>
      <c r="AGK16" s="314" t="s">
        <v>203</v>
      </c>
      <c r="AGL16" s="314" t="s">
        <v>203</v>
      </c>
      <c r="AGM16" s="314" t="s">
        <v>203</v>
      </c>
      <c r="AGN16" s="314" t="s">
        <v>203</v>
      </c>
      <c r="AGO16" s="314" t="s">
        <v>203</v>
      </c>
      <c r="AGP16" s="314" t="s">
        <v>203</v>
      </c>
      <c r="AGQ16" s="314" t="s">
        <v>203</v>
      </c>
      <c r="AGR16" s="314" t="s">
        <v>203</v>
      </c>
      <c r="AGS16" s="314" t="s">
        <v>203</v>
      </c>
      <c r="AGT16" s="314" t="s">
        <v>203</v>
      </c>
      <c r="AGU16" s="314" t="s">
        <v>203</v>
      </c>
      <c r="AGV16" s="314" t="s">
        <v>203</v>
      </c>
      <c r="AGW16" s="314" t="s">
        <v>203</v>
      </c>
      <c r="AGX16" s="314" t="s">
        <v>203</v>
      </c>
      <c r="AGY16" s="314" t="s">
        <v>203</v>
      </c>
      <c r="AGZ16" s="314" t="s">
        <v>203</v>
      </c>
      <c r="AHA16" s="314" t="s">
        <v>203</v>
      </c>
      <c r="AHB16" s="314" t="s">
        <v>203</v>
      </c>
      <c r="AHC16" s="314" t="s">
        <v>203</v>
      </c>
      <c r="AHD16" s="314" t="s">
        <v>203</v>
      </c>
      <c r="AHE16" s="314" t="s">
        <v>203</v>
      </c>
      <c r="AHF16" s="314" t="s">
        <v>203</v>
      </c>
      <c r="AHG16" s="314" t="s">
        <v>203</v>
      </c>
      <c r="AHH16" s="314" t="s">
        <v>203</v>
      </c>
      <c r="AHI16" s="314" t="s">
        <v>203</v>
      </c>
      <c r="AHJ16" s="314" t="s">
        <v>203</v>
      </c>
      <c r="AHK16" s="314" t="s">
        <v>203</v>
      </c>
      <c r="AHL16" s="314" t="s">
        <v>203</v>
      </c>
      <c r="AHM16" s="314" t="s">
        <v>203</v>
      </c>
      <c r="AHN16" s="314" t="s">
        <v>203</v>
      </c>
      <c r="AHO16" s="314" t="s">
        <v>203</v>
      </c>
      <c r="AHP16" s="314" t="s">
        <v>203</v>
      </c>
      <c r="AHQ16" s="314" t="s">
        <v>203</v>
      </c>
      <c r="AHR16" s="314" t="s">
        <v>203</v>
      </c>
      <c r="AHS16" s="314" t="s">
        <v>203</v>
      </c>
      <c r="AHT16" s="314" t="s">
        <v>203</v>
      </c>
      <c r="AHU16" s="314" t="s">
        <v>203</v>
      </c>
      <c r="AHV16" s="314" t="s">
        <v>203</v>
      </c>
      <c r="AHW16" s="314" t="s">
        <v>203</v>
      </c>
      <c r="AHX16" s="314" t="s">
        <v>203</v>
      </c>
      <c r="AHY16" s="314" t="s">
        <v>203</v>
      </c>
      <c r="AHZ16" s="314" t="s">
        <v>203</v>
      </c>
      <c r="AIA16" s="314" t="s">
        <v>203</v>
      </c>
      <c r="AIB16" s="314" t="s">
        <v>203</v>
      </c>
      <c r="AIC16" s="314" t="s">
        <v>203</v>
      </c>
      <c r="AID16" s="314" t="s">
        <v>203</v>
      </c>
      <c r="AIE16" s="314" t="s">
        <v>203</v>
      </c>
      <c r="AIF16" s="314" t="s">
        <v>203</v>
      </c>
      <c r="AIG16" s="314" t="s">
        <v>203</v>
      </c>
      <c r="AIH16" s="314" t="s">
        <v>203</v>
      </c>
      <c r="AII16" s="314" t="s">
        <v>203</v>
      </c>
      <c r="AIJ16" s="314" t="s">
        <v>203</v>
      </c>
      <c r="AIK16" s="314" t="s">
        <v>203</v>
      </c>
      <c r="AIL16" s="314" t="s">
        <v>203</v>
      </c>
      <c r="AIM16" s="314" t="s">
        <v>203</v>
      </c>
      <c r="AIN16" s="314" t="s">
        <v>203</v>
      </c>
      <c r="AIO16" s="314" t="s">
        <v>203</v>
      </c>
      <c r="AIP16" s="314" t="s">
        <v>203</v>
      </c>
      <c r="AIQ16" s="314" t="s">
        <v>203</v>
      </c>
      <c r="AIR16" s="314" t="s">
        <v>203</v>
      </c>
      <c r="AIS16" s="314" t="s">
        <v>203</v>
      </c>
      <c r="AIT16" s="314" t="s">
        <v>203</v>
      </c>
      <c r="AIU16" s="314" t="s">
        <v>203</v>
      </c>
      <c r="AIV16" s="314" t="s">
        <v>203</v>
      </c>
      <c r="AIW16" s="314" t="s">
        <v>203</v>
      </c>
      <c r="AIX16" s="314" t="s">
        <v>203</v>
      </c>
      <c r="AIY16" s="314" t="s">
        <v>203</v>
      </c>
      <c r="AIZ16" s="314" t="s">
        <v>203</v>
      </c>
      <c r="AJA16" s="314" t="s">
        <v>203</v>
      </c>
      <c r="AJB16" s="314" t="s">
        <v>203</v>
      </c>
      <c r="AJC16" s="314" t="s">
        <v>203</v>
      </c>
      <c r="AJD16" s="314" t="s">
        <v>203</v>
      </c>
      <c r="AJE16" s="314" t="s">
        <v>203</v>
      </c>
      <c r="AJF16" s="314" t="s">
        <v>203</v>
      </c>
      <c r="AJG16" s="314" t="s">
        <v>203</v>
      </c>
      <c r="AJH16" s="314" t="s">
        <v>203</v>
      </c>
      <c r="AJI16" s="314" t="s">
        <v>203</v>
      </c>
      <c r="AJJ16" s="314" t="s">
        <v>203</v>
      </c>
      <c r="AJK16" s="314" t="s">
        <v>203</v>
      </c>
      <c r="AJL16" s="314" t="s">
        <v>203</v>
      </c>
      <c r="AJM16" s="314" t="s">
        <v>203</v>
      </c>
      <c r="AJN16" s="314" t="s">
        <v>203</v>
      </c>
      <c r="AJO16" s="314" t="s">
        <v>203</v>
      </c>
      <c r="AJP16" s="314" t="s">
        <v>203</v>
      </c>
      <c r="AJQ16" s="314" t="s">
        <v>203</v>
      </c>
      <c r="AJR16" s="314" t="s">
        <v>203</v>
      </c>
      <c r="AJS16" s="314" t="s">
        <v>203</v>
      </c>
      <c r="AJT16" s="314" t="s">
        <v>203</v>
      </c>
      <c r="AJU16" s="314" t="s">
        <v>203</v>
      </c>
      <c r="AJV16" s="314" t="s">
        <v>203</v>
      </c>
      <c r="AJW16" s="314" t="s">
        <v>203</v>
      </c>
      <c r="AJX16" s="314" t="s">
        <v>203</v>
      </c>
      <c r="AJY16" s="314" t="s">
        <v>203</v>
      </c>
      <c r="AJZ16" s="314" t="s">
        <v>203</v>
      </c>
      <c r="AKA16" s="314" t="s">
        <v>203</v>
      </c>
      <c r="AKB16" s="314" t="s">
        <v>203</v>
      </c>
      <c r="AKC16" s="314" t="s">
        <v>203</v>
      </c>
      <c r="AKD16" s="314" t="s">
        <v>203</v>
      </c>
      <c r="AKE16" s="314" t="s">
        <v>203</v>
      </c>
      <c r="AKF16" s="314" t="s">
        <v>203</v>
      </c>
      <c r="AKG16" s="314" t="s">
        <v>203</v>
      </c>
      <c r="AKH16" s="314" t="s">
        <v>203</v>
      </c>
      <c r="AKI16" s="314" t="s">
        <v>203</v>
      </c>
      <c r="AKJ16" s="314" t="s">
        <v>203</v>
      </c>
      <c r="AKK16" s="314" t="s">
        <v>203</v>
      </c>
      <c r="AKL16" s="314" t="s">
        <v>203</v>
      </c>
      <c r="AKM16" s="314" t="s">
        <v>203</v>
      </c>
      <c r="AKN16" s="314" t="s">
        <v>203</v>
      </c>
      <c r="AKO16" s="314" t="s">
        <v>203</v>
      </c>
      <c r="AKP16" s="314" t="s">
        <v>203</v>
      </c>
      <c r="AKQ16" s="314" t="s">
        <v>203</v>
      </c>
      <c r="AKR16" s="314" t="s">
        <v>203</v>
      </c>
      <c r="AKS16" s="314" t="s">
        <v>203</v>
      </c>
      <c r="AKT16" s="314" t="s">
        <v>203</v>
      </c>
      <c r="AKU16" s="314" t="s">
        <v>203</v>
      </c>
      <c r="AKV16" s="314" t="s">
        <v>203</v>
      </c>
      <c r="AKW16" s="314" t="s">
        <v>203</v>
      </c>
      <c r="AKX16" s="314" t="s">
        <v>203</v>
      </c>
      <c r="AKY16" s="314" t="s">
        <v>203</v>
      </c>
      <c r="AKZ16" s="314" t="s">
        <v>203</v>
      </c>
      <c r="ALA16" s="314" t="s">
        <v>203</v>
      </c>
      <c r="ALB16" s="314" t="s">
        <v>203</v>
      </c>
      <c r="ALC16" s="314" t="s">
        <v>203</v>
      </c>
      <c r="ALD16" s="314" t="s">
        <v>203</v>
      </c>
      <c r="ALE16" s="314" t="s">
        <v>203</v>
      </c>
      <c r="ALF16" s="314" t="s">
        <v>203</v>
      </c>
      <c r="ALG16" s="314" t="s">
        <v>203</v>
      </c>
      <c r="ALH16" s="314" t="s">
        <v>203</v>
      </c>
      <c r="ALI16" s="314" t="s">
        <v>203</v>
      </c>
      <c r="ALJ16" s="314" t="s">
        <v>203</v>
      </c>
      <c r="ALK16" s="314" t="s">
        <v>203</v>
      </c>
      <c r="ALL16" s="314" t="s">
        <v>203</v>
      </c>
      <c r="ALM16" s="314" t="s">
        <v>203</v>
      </c>
      <c r="ALN16" s="314" t="s">
        <v>203</v>
      </c>
      <c r="ALO16" s="314" t="s">
        <v>203</v>
      </c>
      <c r="ALP16" s="314" t="s">
        <v>203</v>
      </c>
      <c r="ALQ16" s="314" t="s">
        <v>203</v>
      </c>
      <c r="ALR16" s="314" t="s">
        <v>203</v>
      </c>
      <c r="ALS16" s="314" t="s">
        <v>203</v>
      </c>
      <c r="ALT16" s="314" t="s">
        <v>203</v>
      </c>
      <c r="ALU16" s="314" t="s">
        <v>203</v>
      </c>
      <c r="ALV16" s="314" t="s">
        <v>203</v>
      </c>
      <c r="ALW16" s="314" t="s">
        <v>203</v>
      </c>
      <c r="ALX16" s="314" t="s">
        <v>203</v>
      </c>
      <c r="ALY16" s="314" t="s">
        <v>203</v>
      </c>
      <c r="ALZ16" s="314" t="s">
        <v>203</v>
      </c>
      <c r="AMA16" s="314" t="s">
        <v>203</v>
      </c>
      <c r="AMB16" s="314" t="s">
        <v>203</v>
      </c>
      <c r="AMC16" s="314" t="s">
        <v>203</v>
      </c>
      <c r="AMD16" s="314" t="s">
        <v>203</v>
      </c>
      <c r="AME16" s="314" t="s">
        <v>203</v>
      </c>
      <c r="AMF16" s="314" t="s">
        <v>203</v>
      </c>
      <c r="AMG16" s="314" t="s">
        <v>203</v>
      </c>
      <c r="AMH16" s="314" t="s">
        <v>203</v>
      </c>
      <c r="AMI16" s="314" t="s">
        <v>203</v>
      </c>
      <c r="AMJ16" s="314" t="s">
        <v>203</v>
      </c>
      <c r="AMK16" s="314" t="s">
        <v>203</v>
      </c>
      <c r="AML16" s="314" t="s">
        <v>203</v>
      </c>
      <c r="AMM16" s="314" t="s">
        <v>203</v>
      </c>
      <c r="AMN16" s="314" t="s">
        <v>203</v>
      </c>
      <c r="AMO16" s="314" t="s">
        <v>203</v>
      </c>
      <c r="AMP16" s="314" t="s">
        <v>203</v>
      </c>
      <c r="AMQ16" s="314" t="s">
        <v>203</v>
      </c>
      <c r="AMR16" s="314" t="s">
        <v>203</v>
      </c>
      <c r="AMS16" s="314" t="s">
        <v>203</v>
      </c>
      <c r="AMT16" s="314" t="s">
        <v>203</v>
      </c>
      <c r="AMU16" s="314" t="s">
        <v>203</v>
      </c>
      <c r="AMV16" s="314" t="s">
        <v>203</v>
      </c>
      <c r="AMW16" s="314" t="s">
        <v>203</v>
      </c>
      <c r="AMX16" s="314" t="s">
        <v>203</v>
      </c>
      <c r="AMY16" s="314" t="s">
        <v>203</v>
      </c>
      <c r="AMZ16" s="314" t="s">
        <v>203</v>
      </c>
      <c r="ANA16" s="314" t="s">
        <v>203</v>
      </c>
      <c r="ANB16" s="314" t="s">
        <v>203</v>
      </c>
      <c r="ANC16" s="314" t="s">
        <v>203</v>
      </c>
      <c r="AND16" s="314" t="s">
        <v>203</v>
      </c>
      <c r="ANE16" s="314" t="s">
        <v>203</v>
      </c>
      <c r="ANF16" s="314" t="s">
        <v>203</v>
      </c>
      <c r="ANG16" s="314" t="s">
        <v>203</v>
      </c>
      <c r="ANH16" s="314" t="s">
        <v>203</v>
      </c>
      <c r="ANI16" s="314" t="s">
        <v>203</v>
      </c>
      <c r="ANJ16" s="314" t="s">
        <v>203</v>
      </c>
      <c r="ANK16" s="314" t="s">
        <v>203</v>
      </c>
      <c r="ANL16" s="314" t="s">
        <v>203</v>
      </c>
      <c r="ANM16" s="314" t="s">
        <v>203</v>
      </c>
      <c r="ANN16" s="314" t="s">
        <v>203</v>
      </c>
      <c r="ANO16" s="314" t="s">
        <v>203</v>
      </c>
      <c r="ANP16" s="314" t="s">
        <v>203</v>
      </c>
      <c r="ANQ16" s="314" t="s">
        <v>203</v>
      </c>
      <c r="ANR16" s="314" t="s">
        <v>203</v>
      </c>
      <c r="ANS16" s="314" t="s">
        <v>203</v>
      </c>
      <c r="ANT16" s="314" t="s">
        <v>203</v>
      </c>
      <c r="ANU16" s="314" t="s">
        <v>203</v>
      </c>
      <c r="ANV16" s="314" t="s">
        <v>203</v>
      </c>
      <c r="ANW16" s="314" t="s">
        <v>203</v>
      </c>
      <c r="ANX16" s="314" t="s">
        <v>203</v>
      </c>
      <c r="ANY16" s="314" t="s">
        <v>203</v>
      </c>
      <c r="ANZ16" s="314" t="s">
        <v>203</v>
      </c>
      <c r="AOA16" s="314" t="s">
        <v>203</v>
      </c>
      <c r="AOB16" s="314" t="s">
        <v>203</v>
      </c>
      <c r="AOC16" s="314" t="s">
        <v>203</v>
      </c>
      <c r="AOD16" s="314" t="s">
        <v>203</v>
      </c>
      <c r="AOE16" s="314" t="s">
        <v>203</v>
      </c>
      <c r="AOF16" s="314" t="s">
        <v>203</v>
      </c>
      <c r="AOG16" s="314" t="s">
        <v>203</v>
      </c>
      <c r="AOH16" s="314" t="s">
        <v>203</v>
      </c>
      <c r="AOI16" s="314" t="s">
        <v>203</v>
      </c>
      <c r="AOJ16" s="314" t="s">
        <v>203</v>
      </c>
      <c r="AOK16" s="314" t="s">
        <v>203</v>
      </c>
      <c r="AOL16" s="314" t="s">
        <v>203</v>
      </c>
      <c r="AOM16" s="314" t="s">
        <v>203</v>
      </c>
      <c r="AON16" s="314" t="s">
        <v>203</v>
      </c>
      <c r="AOO16" s="314" t="s">
        <v>203</v>
      </c>
      <c r="AOP16" s="314" t="s">
        <v>203</v>
      </c>
      <c r="AOQ16" s="314" t="s">
        <v>203</v>
      </c>
      <c r="AOR16" s="314" t="s">
        <v>203</v>
      </c>
      <c r="AOS16" s="314" t="s">
        <v>203</v>
      </c>
      <c r="AOT16" s="314" t="s">
        <v>203</v>
      </c>
      <c r="AOU16" s="314" t="s">
        <v>203</v>
      </c>
      <c r="AOV16" s="314" t="s">
        <v>203</v>
      </c>
      <c r="AOW16" s="314" t="s">
        <v>203</v>
      </c>
      <c r="AOX16" s="314" t="s">
        <v>203</v>
      </c>
      <c r="AOY16" s="314" t="s">
        <v>203</v>
      </c>
      <c r="AOZ16" s="314" t="s">
        <v>203</v>
      </c>
      <c r="APA16" s="314" t="s">
        <v>203</v>
      </c>
      <c r="APB16" s="314" t="s">
        <v>203</v>
      </c>
      <c r="APC16" s="314" t="s">
        <v>203</v>
      </c>
      <c r="APD16" s="314" t="s">
        <v>203</v>
      </c>
      <c r="APE16" s="314" t="s">
        <v>203</v>
      </c>
      <c r="APF16" s="314" t="s">
        <v>203</v>
      </c>
      <c r="APG16" s="314" t="s">
        <v>203</v>
      </c>
      <c r="APH16" s="314" t="s">
        <v>203</v>
      </c>
      <c r="API16" s="314" t="s">
        <v>203</v>
      </c>
      <c r="APJ16" s="314" t="s">
        <v>203</v>
      </c>
      <c r="APK16" s="314" t="s">
        <v>203</v>
      </c>
      <c r="APL16" s="314" t="s">
        <v>203</v>
      </c>
      <c r="APM16" s="314" t="s">
        <v>203</v>
      </c>
      <c r="APN16" s="314" t="s">
        <v>203</v>
      </c>
      <c r="APO16" s="314" t="s">
        <v>203</v>
      </c>
      <c r="APP16" s="314" t="s">
        <v>203</v>
      </c>
      <c r="APQ16" s="314" t="s">
        <v>203</v>
      </c>
      <c r="APR16" s="314" t="s">
        <v>203</v>
      </c>
      <c r="APS16" s="314" t="s">
        <v>203</v>
      </c>
      <c r="APT16" s="314" t="s">
        <v>203</v>
      </c>
      <c r="APU16" s="314" t="s">
        <v>203</v>
      </c>
      <c r="APV16" s="314" t="s">
        <v>203</v>
      </c>
      <c r="APW16" s="314" t="s">
        <v>203</v>
      </c>
      <c r="APX16" s="314" t="s">
        <v>203</v>
      </c>
      <c r="APY16" s="314" t="s">
        <v>203</v>
      </c>
      <c r="APZ16" s="314" t="s">
        <v>203</v>
      </c>
      <c r="AQA16" s="314" t="s">
        <v>203</v>
      </c>
      <c r="AQB16" s="314" t="s">
        <v>203</v>
      </c>
      <c r="AQC16" s="314" t="s">
        <v>203</v>
      </c>
      <c r="AQD16" s="314" t="s">
        <v>203</v>
      </c>
      <c r="AQE16" s="314" t="s">
        <v>203</v>
      </c>
      <c r="AQF16" s="314" t="s">
        <v>203</v>
      </c>
      <c r="AQG16" s="314" t="s">
        <v>203</v>
      </c>
      <c r="AQH16" s="314" t="s">
        <v>203</v>
      </c>
      <c r="AQI16" s="314" t="s">
        <v>203</v>
      </c>
      <c r="AQJ16" s="314" t="s">
        <v>203</v>
      </c>
      <c r="AQK16" s="314" t="s">
        <v>203</v>
      </c>
      <c r="AQL16" s="314" t="s">
        <v>203</v>
      </c>
      <c r="AQM16" s="314" t="s">
        <v>203</v>
      </c>
      <c r="AQN16" s="314" t="s">
        <v>203</v>
      </c>
      <c r="AQO16" s="314" t="s">
        <v>203</v>
      </c>
      <c r="AQP16" s="314" t="s">
        <v>203</v>
      </c>
      <c r="AQQ16" s="314" t="s">
        <v>203</v>
      </c>
      <c r="AQR16" s="314" t="s">
        <v>203</v>
      </c>
      <c r="AQS16" s="314" t="s">
        <v>203</v>
      </c>
      <c r="AQT16" s="314" t="s">
        <v>203</v>
      </c>
      <c r="AQU16" s="314" t="s">
        <v>203</v>
      </c>
      <c r="AQV16" s="314" t="s">
        <v>203</v>
      </c>
      <c r="AQW16" s="314" t="s">
        <v>203</v>
      </c>
      <c r="AQX16" s="314" t="s">
        <v>203</v>
      </c>
      <c r="AQY16" s="314" t="s">
        <v>203</v>
      </c>
      <c r="AQZ16" s="314" t="s">
        <v>203</v>
      </c>
      <c r="ARA16" s="314" t="s">
        <v>203</v>
      </c>
      <c r="ARB16" s="314" t="s">
        <v>203</v>
      </c>
      <c r="ARC16" s="314" t="s">
        <v>203</v>
      </c>
      <c r="ARD16" s="314" t="s">
        <v>203</v>
      </c>
      <c r="ARE16" s="314" t="s">
        <v>203</v>
      </c>
      <c r="ARF16" s="314" t="s">
        <v>203</v>
      </c>
      <c r="ARG16" s="314" t="s">
        <v>203</v>
      </c>
      <c r="ARH16" s="314" t="s">
        <v>203</v>
      </c>
      <c r="ARI16" s="314" t="s">
        <v>203</v>
      </c>
      <c r="ARJ16" s="314" t="s">
        <v>203</v>
      </c>
      <c r="ARK16" s="314" t="s">
        <v>203</v>
      </c>
      <c r="ARL16" s="314" t="s">
        <v>203</v>
      </c>
      <c r="ARM16" s="314" t="s">
        <v>203</v>
      </c>
      <c r="ARN16" s="314" t="s">
        <v>203</v>
      </c>
      <c r="ARO16" s="314" t="s">
        <v>203</v>
      </c>
      <c r="ARP16" s="314" t="s">
        <v>203</v>
      </c>
      <c r="ARQ16" s="314" t="s">
        <v>203</v>
      </c>
      <c r="ARR16" s="314" t="s">
        <v>203</v>
      </c>
      <c r="ARS16" s="314" t="s">
        <v>203</v>
      </c>
      <c r="ART16" s="314" t="s">
        <v>203</v>
      </c>
      <c r="ARU16" s="314" t="s">
        <v>203</v>
      </c>
      <c r="ARV16" s="314" t="s">
        <v>203</v>
      </c>
      <c r="ARW16" s="314" t="s">
        <v>203</v>
      </c>
      <c r="ARX16" s="314" t="s">
        <v>203</v>
      </c>
      <c r="ARY16" s="314" t="s">
        <v>203</v>
      </c>
      <c r="ARZ16" s="314" t="s">
        <v>203</v>
      </c>
      <c r="ASA16" s="314" t="s">
        <v>203</v>
      </c>
      <c r="ASB16" s="314" t="s">
        <v>203</v>
      </c>
      <c r="ASC16" s="314" t="s">
        <v>203</v>
      </c>
      <c r="ASD16" s="314" t="s">
        <v>203</v>
      </c>
      <c r="ASE16" s="314" t="s">
        <v>203</v>
      </c>
      <c r="ASF16" s="314" t="s">
        <v>203</v>
      </c>
      <c r="ASG16" s="314" t="s">
        <v>203</v>
      </c>
      <c r="ASH16" s="314" t="s">
        <v>203</v>
      </c>
      <c r="ASI16" s="314" t="s">
        <v>203</v>
      </c>
      <c r="ASJ16" s="314" t="s">
        <v>203</v>
      </c>
      <c r="ASK16" s="314" t="s">
        <v>203</v>
      </c>
      <c r="ASL16" s="314" t="s">
        <v>203</v>
      </c>
      <c r="ASM16" s="314" t="s">
        <v>203</v>
      </c>
      <c r="ASN16" s="314" t="s">
        <v>203</v>
      </c>
      <c r="ASO16" s="314" t="s">
        <v>203</v>
      </c>
      <c r="ASP16" s="314" t="s">
        <v>203</v>
      </c>
      <c r="ASQ16" s="314" t="s">
        <v>203</v>
      </c>
      <c r="ASR16" s="314" t="s">
        <v>203</v>
      </c>
      <c r="ASS16" s="314" t="s">
        <v>203</v>
      </c>
      <c r="AST16" s="314" t="s">
        <v>203</v>
      </c>
      <c r="ASU16" s="314" t="s">
        <v>203</v>
      </c>
      <c r="ASV16" s="314" t="s">
        <v>203</v>
      </c>
      <c r="ASW16" s="314" t="s">
        <v>203</v>
      </c>
      <c r="ASX16" s="314" t="s">
        <v>203</v>
      </c>
      <c r="ASY16" s="314" t="s">
        <v>203</v>
      </c>
      <c r="ASZ16" s="314" t="s">
        <v>203</v>
      </c>
      <c r="ATA16" s="314" t="s">
        <v>203</v>
      </c>
      <c r="ATB16" s="314" t="s">
        <v>203</v>
      </c>
      <c r="ATC16" s="314" t="s">
        <v>203</v>
      </c>
      <c r="ATD16" s="314" t="s">
        <v>203</v>
      </c>
      <c r="ATE16" s="314" t="s">
        <v>203</v>
      </c>
      <c r="ATF16" s="314" t="s">
        <v>203</v>
      </c>
      <c r="ATG16" s="314" t="s">
        <v>203</v>
      </c>
      <c r="ATH16" s="314" t="s">
        <v>203</v>
      </c>
      <c r="ATI16" s="314" t="s">
        <v>203</v>
      </c>
      <c r="ATJ16" s="314" t="s">
        <v>203</v>
      </c>
      <c r="ATK16" s="314" t="s">
        <v>203</v>
      </c>
      <c r="ATL16" s="314" t="s">
        <v>203</v>
      </c>
      <c r="ATM16" s="314" t="s">
        <v>203</v>
      </c>
      <c r="ATN16" s="314" t="s">
        <v>203</v>
      </c>
      <c r="ATO16" s="314" t="s">
        <v>203</v>
      </c>
      <c r="ATP16" s="314" t="s">
        <v>203</v>
      </c>
      <c r="ATQ16" s="314" t="s">
        <v>203</v>
      </c>
      <c r="ATR16" s="314" t="s">
        <v>203</v>
      </c>
      <c r="ATS16" s="314" t="s">
        <v>203</v>
      </c>
      <c r="ATT16" s="314" t="s">
        <v>203</v>
      </c>
      <c r="ATU16" s="314" t="s">
        <v>203</v>
      </c>
      <c r="ATV16" s="314" t="s">
        <v>203</v>
      </c>
      <c r="ATW16" s="314" t="s">
        <v>203</v>
      </c>
      <c r="ATX16" s="314" t="s">
        <v>203</v>
      </c>
      <c r="ATY16" s="314" t="s">
        <v>203</v>
      </c>
      <c r="ATZ16" s="314" t="s">
        <v>203</v>
      </c>
      <c r="AUA16" s="314" t="s">
        <v>203</v>
      </c>
      <c r="AUB16" s="314" t="s">
        <v>203</v>
      </c>
      <c r="AUC16" s="314" t="s">
        <v>203</v>
      </c>
      <c r="AUD16" s="314" t="s">
        <v>203</v>
      </c>
      <c r="AUE16" s="314" t="s">
        <v>203</v>
      </c>
      <c r="AUF16" s="314" t="s">
        <v>203</v>
      </c>
      <c r="AUG16" s="314" t="s">
        <v>203</v>
      </c>
      <c r="AUH16" s="314" t="s">
        <v>203</v>
      </c>
      <c r="AUI16" s="314" t="s">
        <v>203</v>
      </c>
      <c r="AUJ16" s="314" t="s">
        <v>203</v>
      </c>
      <c r="AUK16" s="314" t="s">
        <v>203</v>
      </c>
      <c r="AUL16" s="314" t="s">
        <v>203</v>
      </c>
      <c r="AUM16" s="314" t="s">
        <v>203</v>
      </c>
      <c r="AUN16" s="314" t="s">
        <v>203</v>
      </c>
      <c r="AUO16" s="314" t="s">
        <v>203</v>
      </c>
      <c r="AUP16" s="314" t="s">
        <v>203</v>
      </c>
      <c r="AUQ16" s="314" t="s">
        <v>203</v>
      </c>
      <c r="AUR16" s="314" t="s">
        <v>203</v>
      </c>
      <c r="AUS16" s="314" t="s">
        <v>203</v>
      </c>
      <c r="AUT16" s="314" t="s">
        <v>203</v>
      </c>
      <c r="AUU16" s="314" t="s">
        <v>203</v>
      </c>
      <c r="AUV16" s="314" t="s">
        <v>203</v>
      </c>
      <c r="AUW16" s="314" t="s">
        <v>203</v>
      </c>
      <c r="AUX16" s="314" t="s">
        <v>203</v>
      </c>
      <c r="AUY16" s="314" t="s">
        <v>203</v>
      </c>
      <c r="AUZ16" s="314" t="s">
        <v>203</v>
      </c>
      <c r="AVA16" s="314" t="s">
        <v>203</v>
      </c>
      <c r="AVB16" s="314" t="s">
        <v>203</v>
      </c>
      <c r="AVC16" s="314" t="s">
        <v>203</v>
      </c>
      <c r="AVD16" s="314" t="s">
        <v>203</v>
      </c>
      <c r="AVE16" s="314" t="s">
        <v>203</v>
      </c>
      <c r="AVF16" s="314" t="s">
        <v>203</v>
      </c>
      <c r="AVG16" s="314" t="s">
        <v>203</v>
      </c>
      <c r="AVH16" s="314" t="s">
        <v>203</v>
      </c>
      <c r="AVI16" s="314" t="s">
        <v>203</v>
      </c>
      <c r="AVJ16" s="314" t="s">
        <v>203</v>
      </c>
      <c r="AVK16" s="314" t="s">
        <v>203</v>
      </c>
      <c r="AVL16" s="314" t="s">
        <v>203</v>
      </c>
      <c r="AVM16" s="314" t="s">
        <v>203</v>
      </c>
      <c r="AVN16" s="314" t="s">
        <v>203</v>
      </c>
      <c r="AVO16" s="314" t="s">
        <v>203</v>
      </c>
      <c r="AVP16" s="314" t="s">
        <v>203</v>
      </c>
      <c r="AVQ16" s="314" t="s">
        <v>203</v>
      </c>
      <c r="AVR16" s="314" t="s">
        <v>203</v>
      </c>
      <c r="AVS16" s="314" t="s">
        <v>203</v>
      </c>
      <c r="AVT16" s="314" t="s">
        <v>203</v>
      </c>
      <c r="AVU16" s="314" t="s">
        <v>203</v>
      </c>
      <c r="AVV16" s="314" t="s">
        <v>203</v>
      </c>
      <c r="AVW16" s="314" t="s">
        <v>203</v>
      </c>
      <c r="AVX16" s="314" t="s">
        <v>203</v>
      </c>
      <c r="AVY16" s="314" t="s">
        <v>203</v>
      </c>
      <c r="AVZ16" s="314" t="s">
        <v>203</v>
      </c>
      <c r="AWA16" s="314" t="s">
        <v>203</v>
      </c>
      <c r="AWB16" s="314" t="s">
        <v>203</v>
      </c>
      <c r="AWC16" s="314" t="s">
        <v>203</v>
      </c>
      <c r="AWD16" s="314" t="s">
        <v>203</v>
      </c>
      <c r="AWE16" s="314" t="s">
        <v>203</v>
      </c>
      <c r="AWF16" s="314" t="s">
        <v>203</v>
      </c>
      <c r="AWG16" s="314" t="s">
        <v>203</v>
      </c>
      <c r="AWH16" s="314" t="s">
        <v>203</v>
      </c>
      <c r="AWI16" s="314" t="s">
        <v>203</v>
      </c>
      <c r="AWJ16" s="314" t="s">
        <v>203</v>
      </c>
      <c r="AWK16" s="314" t="s">
        <v>203</v>
      </c>
      <c r="AWL16" s="314" t="s">
        <v>203</v>
      </c>
      <c r="AWM16" s="314" t="s">
        <v>203</v>
      </c>
      <c r="AWN16" s="314" t="s">
        <v>203</v>
      </c>
      <c r="AWO16" s="314" t="s">
        <v>203</v>
      </c>
      <c r="AWP16" s="314" t="s">
        <v>203</v>
      </c>
      <c r="AWQ16" s="314" t="s">
        <v>203</v>
      </c>
      <c r="AWR16" s="314" t="s">
        <v>203</v>
      </c>
      <c r="AWS16" s="314" t="s">
        <v>203</v>
      </c>
      <c r="AWT16" s="314" t="s">
        <v>203</v>
      </c>
      <c r="AWU16" s="314" t="s">
        <v>203</v>
      </c>
      <c r="AWV16" s="314" t="s">
        <v>203</v>
      </c>
      <c r="AWW16" s="314" t="s">
        <v>203</v>
      </c>
      <c r="AWX16" s="314" t="s">
        <v>203</v>
      </c>
      <c r="AWY16" s="314" t="s">
        <v>203</v>
      </c>
      <c r="AWZ16" s="314" t="s">
        <v>203</v>
      </c>
      <c r="AXA16" s="314" t="s">
        <v>203</v>
      </c>
      <c r="AXB16" s="314" t="s">
        <v>203</v>
      </c>
      <c r="AXC16" s="314" t="s">
        <v>203</v>
      </c>
      <c r="AXD16" s="314" t="s">
        <v>203</v>
      </c>
      <c r="AXE16" s="314" t="s">
        <v>203</v>
      </c>
      <c r="AXF16" s="314" t="s">
        <v>203</v>
      </c>
      <c r="AXG16" s="314" t="s">
        <v>203</v>
      </c>
      <c r="AXH16" s="314" t="s">
        <v>203</v>
      </c>
      <c r="AXI16" s="314" t="s">
        <v>203</v>
      </c>
      <c r="AXJ16" s="314" t="s">
        <v>203</v>
      </c>
      <c r="AXK16" s="314" t="s">
        <v>203</v>
      </c>
      <c r="AXL16" s="314" t="s">
        <v>203</v>
      </c>
      <c r="AXM16" s="314" t="s">
        <v>203</v>
      </c>
      <c r="AXN16" s="314" t="s">
        <v>203</v>
      </c>
      <c r="AXO16" s="314" t="s">
        <v>203</v>
      </c>
      <c r="AXP16" s="314" t="s">
        <v>203</v>
      </c>
      <c r="AXQ16" s="314" t="s">
        <v>203</v>
      </c>
      <c r="AXR16" s="314" t="s">
        <v>203</v>
      </c>
      <c r="AXS16" s="314" t="s">
        <v>203</v>
      </c>
      <c r="AXT16" s="314" t="s">
        <v>203</v>
      </c>
      <c r="AXU16" s="314" t="s">
        <v>203</v>
      </c>
      <c r="AXV16" s="314" t="s">
        <v>203</v>
      </c>
      <c r="AXW16" s="314" t="s">
        <v>203</v>
      </c>
      <c r="AXX16" s="314" t="s">
        <v>203</v>
      </c>
      <c r="AXY16" s="314" t="s">
        <v>203</v>
      </c>
      <c r="AXZ16" s="314" t="s">
        <v>203</v>
      </c>
      <c r="AYA16" s="314" t="s">
        <v>203</v>
      </c>
      <c r="AYB16" s="314" t="s">
        <v>203</v>
      </c>
      <c r="AYC16" s="314" t="s">
        <v>203</v>
      </c>
      <c r="AYD16" s="314" t="s">
        <v>203</v>
      </c>
      <c r="AYE16" s="314" t="s">
        <v>203</v>
      </c>
      <c r="AYF16" s="314" t="s">
        <v>203</v>
      </c>
      <c r="AYG16" s="314" t="s">
        <v>203</v>
      </c>
      <c r="AYH16" s="314" t="s">
        <v>203</v>
      </c>
      <c r="AYI16" s="314" t="s">
        <v>203</v>
      </c>
      <c r="AYJ16" s="314" t="s">
        <v>203</v>
      </c>
      <c r="AYK16" s="314" t="s">
        <v>203</v>
      </c>
      <c r="AYL16" s="314" t="s">
        <v>203</v>
      </c>
      <c r="AYM16" s="314" t="s">
        <v>203</v>
      </c>
      <c r="AYN16" s="314" t="s">
        <v>203</v>
      </c>
      <c r="AYO16" s="314" t="s">
        <v>203</v>
      </c>
      <c r="AYP16" s="314" t="s">
        <v>203</v>
      </c>
      <c r="AYQ16" s="314" t="s">
        <v>203</v>
      </c>
      <c r="AYR16" s="314" t="s">
        <v>203</v>
      </c>
      <c r="AYS16" s="314" t="s">
        <v>203</v>
      </c>
      <c r="AYT16" s="314" t="s">
        <v>203</v>
      </c>
      <c r="AYU16" s="314" t="s">
        <v>203</v>
      </c>
      <c r="AYV16" s="314" t="s">
        <v>203</v>
      </c>
      <c r="AYW16" s="314" t="s">
        <v>203</v>
      </c>
      <c r="AYX16" s="314" t="s">
        <v>203</v>
      </c>
      <c r="AYY16" s="314" t="s">
        <v>203</v>
      </c>
      <c r="AYZ16" s="314" t="s">
        <v>203</v>
      </c>
      <c r="AZA16" s="314" t="s">
        <v>203</v>
      </c>
      <c r="AZB16" s="314" t="s">
        <v>203</v>
      </c>
      <c r="AZC16" s="314" t="s">
        <v>203</v>
      </c>
      <c r="AZD16" s="314" t="s">
        <v>203</v>
      </c>
      <c r="AZE16" s="314" t="s">
        <v>203</v>
      </c>
      <c r="AZF16" s="314" t="s">
        <v>203</v>
      </c>
      <c r="AZG16" s="314" t="s">
        <v>203</v>
      </c>
      <c r="AZH16" s="314" t="s">
        <v>203</v>
      </c>
      <c r="AZI16" s="314" t="s">
        <v>203</v>
      </c>
      <c r="AZJ16" s="314" t="s">
        <v>203</v>
      </c>
      <c r="AZK16" s="314" t="s">
        <v>203</v>
      </c>
      <c r="AZL16" s="314" t="s">
        <v>203</v>
      </c>
      <c r="AZM16" s="314" t="s">
        <v>203</v>
      </c>
      <c r="AZN16" s="314" t="s">
        <v>203</v>
      </c>
      <c r="AZO16" s="314" t="s">
        <v>203</v>
      </c>
      <c r="AZP16" s="314" t="s">
        <v>203</v>
      </c>
      <c r="AZQ16" s="314" t="s">
        <v>203</v>
      </c>
      <c r="AZR16" s="314" t="s">
        <v>203</v>
      </c>
      <c r="AZS16" s="314" t="s">
        <v>203</v>
      </c>
      <c r="AZT16" s="314" t="s">
        <v>203</v>
      </c>
      <c r="AZU16" s="314" t="s">
        <v>203</v>
      </c>
      <c r="AZV16" s="314" t="s">
        <v>203</v>
      </c>
      <c r="AZW16" s="314" t="s">
        <v>203</v>
      </c>
      <c r="AZX16" s="314" t="s">
        <v>203</v>
      </c>
      <c r="AZY16" s="314" t="s">
        <v>203</v>
      </c>
      <c r="AZZ16" s="314" t="s">
        <v>203</v>
      </c>
      <c r="BAA16" s="314" t="s">
        <v>203</v>
      </c>
      <c r="BAB16" s="314" t="s">
        <v>203</v>
      </c>
      <c r="BAC16" s="314" t="s">
        <v>203</v>
      </c>
      <c r="BAD16" s="314" t="s">
        <v>203</v>
      </c>
      <c r="BAE16" s="314" t="s">
        <v>203</v>
      </c>
      <c r="BAF16" s="314" t="s">
        <v>203</v>
      </c>
      <c r="BAG16" s="314" t="s">
        <v>203</v>
      </c>
      <c r="BAH16" s="314" t="s">
        <v>203</v>
      </c>
      <c r="BAI16" s="314" t="s">
        <v>203</v>
      </c>
      <c r="BAJ16" s="314" t="s">
        <v>203</v>
      </c>
      <c r="BAK16" s="314" t="s">
        <v>203</v>
      </c>
      <c r="BAL16" s="314" t="s">
        <v>203</v>
      </c>
      <c r="BAM16" s="314" t="s">
        <v>203</v>
      </c>
      <c r="BAN16" s="314" t="s">
        <v>203</v>
      </c>
      <c r="BAO16" s="314" t="s">
        <v>203</v>
      </c>
      <c r="BAP16" s="314" t="s">
        <v>203</v>
      </c>
      <c r="BAQ16" s="314" t="s">
        <v>203</v>
      </c>
      <c r="BAR16" s="314" t="s">
        <v>203</v>
      </c>
      <c r="BAS16" s="314" t="s">
        <v>203</v>
      </c>
      <c r="BAT16" s="314" t="s">
        <v>203</v>
      </c>
      <c r="BAU16" s="314" t="s">
        <v>203</v>
      </c>
      <c r="BAV16" s="314" t="s">
        <v>203</v>
      </c>
      <c r="BAW16" s="314" t="s">
        <v>203</v>
      </c>
      <c r="BAX16" s="314" t="s">
        <v>203</v>
      </c>
      <c r="BAY16" s="314" t="s">
        <v>203</v>
      </c>
      <c r="BAZ16" s="314" t="s">
        <v>203</v>
      </c>
      <c r="BBA16" s="314" t="s">
        <v>203</v>
      </c>
      <c r="BBB16" s="314" t="s">
        <v>203</v>
      </c>
      <c r="BBC16" s="314" t="s">
        <v>203</v>
      </c>
      <c r="BBD16" s="314" t="s">
        <v>203</v>
      </c>
      <c r="BBE16" s="314" t="s">
        <v>203</v>
      </c>
      <c r="BBF16" s="314" t="s">
        <v>203</v>
      </c>
      <c r="BBG16" s="314" t="s">
        <v>203</v>
      </c>
      <c r="BBH16" s="314" t="s">
        <v>203</v>
      </c>
      <c r="BBI16" s="314" t="s">
        <v>203</v>
      </c>
      <c r="BBJ16" s="314" t="s">
        <v>203</v>
      </c>
      <c r="BBK16" s="314" t="s">
        <v>203</v>
      </c>
      <c r="BBL16" s="314" t="s">
        <v>203</v>
      </c>
      <c r="BBM16" s="314" t="s">
        <v>203</v>
      </c>
      <c r="BBN16" s="314" t="s">
        <v>203</v>
      </c>
      <c r="BBO16" s="314" t="s">
        <v>203</v>
      </c>
      <c r="BBP16" s="314" t="s">
        <v>203</v>
      </c>
      <c r="BBQ16" s="314" t="s">
        <v>203</v>
      </c>
      <c r="BBR16" s="314" t="s">
        <v>203</v>
      </c>
      <c r="BBS16" s="314" t="s">
        <v>203</v>
      </c>
      <c r="BBT16" s="314" t="s">
        <v>203</v>
      </c>
      <c r="BBU16" s="314" t="s">
        <v>203</v>
      </c>
      <c r="BBV16" s="314" t="s">
        <v>203</v>
      </c>
      <c r="BBW16" s="314" t="s">
        <v>203</v>
      </c>
      <c r="BBX16" s="314" t="s">
        <v>203</v>
      </c>
      <c r="BBY16" s="314" t="s">
        <v>203</v>
      </c>
      <c r="BBZ16" s="314" t="s">
        <v>203</v>
      </c>
      <c r="BCA16" s="314" t="s">
        <v>203</v>
      </c>
      <c r="BCB16" s="314" t="s">
        <v>203</v>
      </c>
      <c r="BCC16" s="314" t="s">
        <v>203</v>
      </c>
      <c r="BCD16" s="314" t="s">
        <v>203</v>
      </c>
      <c r="BCE16" s="314" t="s">
        <v>203</v>
      </c>
      <c r="BCF16" s="314" t="s">
        <v>203</v>
      </c>
      <c r="BCG16" s="314" t="s">
        <v>203</v>
      </c>
      <c r="BCH16" s="314" t="s">
        <v>203</v>
      </c>
      <c r="BCI16" s="314" t="s">
        <v>203</v>
      </c>
      <c r="BCJ16" s="314" t="s">
        <v>203</v>
      </c>
      <c r="BCK16" s="314" t="s">
        <v>203</v>
      </c>
      <c r="BCL16" s="314" t="s">
        <v>203</v>
      </c>
      <c r="BCM16" s="314" t="s">
        <v>203</v>
      </c>
      <c r="BCN16" s="314" t="s">
        <v>203</v>
      </c>
      <c r="BCO16" s="314" t="s">
        <v>203</v>
      </c>
      <c r="BCP16" s="314" t="s">
        <v>203</v>
      </c>
      <c r="BCQ16" s="314" t="s">
        <v>203</v>
      </c>
      <c r="BCR16" s="314" t="s">
        <v>203</v>
      </c>
      <c r="BCS16" s="314" t="s">
        <v>203</v>
      </c>
      <c r="BCT16" s="314" t="s">
        <v>203</v>
      </c>
      <c r="BCU16" s="314" t="s">
        <v>203</v>
      </c>
      <c r="BCV16" s="314" t="s">
        <v>203</v>
      </c>
      <c r="BCW16" s="314" t="s">
        <v>203</v>
      </c>
      <c r="BCX16" s="314" t="s">
        <v>203</v>
      </c>
      <c r="BCY16" s="314" t="s">
        <v>203</v>
      </c>
      <c r="BCZ16" s="314" t="s">
        <v>203</v>
      </c>
      <c r="BDA16" s="314" t="s">
        <v>203</v>
      </c>
      <c r="BDB16" s="314" t="s">
        <v>203</v>
      </c>
      <c r="BDC16" s="314" t="s">
        <v>203</v>
      </c>
      <c r="BDD16" s="314" t="s">
        <v>203</v>
      </c>
      <c r="BDE16" s="314" t="s">
        <v>203</v>
      </c>
      <c r="BDF16" s="314" t="s">
        <v>203</v>
      </c>
      <c r="BDG16" s="314" t="s">
        <v>203</v>
      </c>
      <c r="BDH16" s="314" t="s">
        <v>203</v>
      </c>
      <c r="BDI16" s="314" t="s">
        <v>203</v>
      </c>
      <c r="BDJ16" s="314" t="s">
        <v>203</v>
      </c>
      <c r="BDK16" s="314" t="s">
        <v>203</v>
      </c>
      <c r="BDL16" s="314" t="s">
        <v>203</v>
      </c>
      <c r="BDM16" s="314" t="s">
        <v>203</v>
      </c>
      <c r="BDN16" s="314" t="s">
        <v>203</v>
      </c>
      <c r="BDO16" s="314" t="s">
        <v>203</v>
      </c>
      <c r="BDP16" s="314" t="s">
        <v>203</v>
      </c>
      <c r="BDQ16" s="314" t="s">
        <v>203</v>
      </c>
      <c r="BDR16" s="314" t="s">
        <v>203</v>
      </c>
      <c r="BDS16" s="314" t="s">
        <v>203</v>
      </c>
      <c r="BDT16" s="314" t="s">
        <v>203</v>
      </c>
      <c r="BDU16" s="314" t="s">
        <v>203</v>
      </c>
      <c r="BDV16" s="314" t="s">
        <v>203</v>
      </c>
      <c r="BDW16" s="314" t="s">
        <v>203</v>
      </c>
      <c r="BDX16" s="314" t="s">
        <v>203</v>
      </c>
      <c r="BDY16" s="314" t="s">
        <v>203</v>
      </c>
      <c r="BDZ16" s="314" t="s">
        <v>203</v>
      </c>
      <c r="BEA16" s="314" t="s">
        <v>203</v>
      </c>
      <c r="BEB16" s="314" t="s">
        <v>203</v>
      </c>
      <c r="BEC16" s="314" t="s">
        <v>203</v>
      </c>
      <c r="BED16" s="314" t="s">
        <v>203</v>
      </c>
      <c r="BEE16" s="314" t="s">
        <v>203</v>
      </c>
      <c r="BEF16" s="314" t="s">
        <v>203</v>
      </c>
      <c r="BEG16" s="314" t="s">
        <v>203</v>
      </c>
      <c r="BEH16" s="314" t="s">
        <v>203</v>
      </c>
      <c r="BEI16" s="314" t="s">
        <v>203</v>
      </c>
      <c r="BEJ16" s="314" t="s">
        <v>203</v>
      </c>
      <c r="BEK16" s="314" t="s">
        <v>203</v>
      </c>
      <c r="BEL16" s="314" t="s">
        <v>203</v>
      </c>
      <c r="BEM16" s="314" t="s">
        <v>203</v>
      </c>
      <c r="BEN16" s="314" t="s">
        <v>203</v>
      </c>
      <c r="BEO16" s="314" t="s">
        <v>203</v>
      </c>
      <c r="BEP16" s="314" t="s">
        <v>203</v>
      </c>
      <c r="BEQ16" s="314" t="s">
        <v>203</v>
      </c>
      <c r="BER16" s="314" t="s">
        <v>203</v>
      </c>
      <c r="BES16" s="314" t="s">
        <v>203</v>
      </c>
      <c r="BET16" s="314" t="s">
        <v>203</v>
      </c>
      <c r="BEU16" s="314" t="s">
        <v>203</v>
      </c>
      <c r="BEV16" s="314" t="s">
        <v>203</v>
      </c>
      <c r="BEW16" s="314" t="s">
        <v>203</v>
      </c>
      <c r="BEX16" s="314" t="s">
        <v>203</v>
      </c>
      <c r="BEY16" s="314" t="s">
        <v>203</v>
      </c>
      <c r="BEZ16" s="314" t="s">
        <v>203</v>
      </c>
      <c r="BFA16" s="314" t="s">
        <v>203</v>
      </c>
      <c r="BFB16" s="314" t="s">
        <v>203</v>
      </c>
      <c r="BFC16" s="314" t="s">
        <v>203</v>
      </c>
      <c r="BFD16" s="314" t="s">
        <v>203</v>
      </c>
      <c r="BFE16" s="314" t="s">
        <v>203</v>
      </c>
      <c r="BFF16" s="314" t="s">
        <v>203</v>
      </c>
      <c r="BFG16" s="314" t="s">
        <v>203</v>
      </c>
      <c r="BFH16" s="314" t="s">
        <v>203</v>
      </c>
      <c r="BFI16" s="314" t="s">
        <v>203</v>
      </c>
      <c r="BFJ16" s="314" t="s">
        <v>203</v>
      </c>
      <c r="BFK16" s="314" t="s">
        <v>203</v>
      </c>
      <c r="BFL16" s="314" t="s">
        <v>203</v>
      </c>
      <c r="BFM16" s="314" t="s">
        <v>203</v>
      </c>
      <c r="BFN16" s="314" t="s">
        <v>203</v>
      </c>
      <c r="BFO16" s="314" t="s">
        <v>203</v>
      </c>
      <c r="BFP16" s="314" t="s">
        <v>203</v>
      </c>
      <c r="BFQ16" s="314" t="s">
        <v>203</v>
      </c>
      <c r="BFR16" s="314" t="s">
        <v>203</v>
      </c>
      <c r="BFS16" s="314" t="s">
        <v>203</v>
      </c>
      <c r="BFT16" s="314" t="s">
        <v>203</v>
      </c>
      <c r="BFU16" s="314" t="s">
        <v>203</v>
      </c>
      <c r="BFV16" s="314" t="s">
        <v>203</v>
      </c>
      <c r="BFW16" s="314" t="s">
        <v>203</v>
      </c>
      <c r="BFX16" s="314" t="s">
        <v>203</v>
      </c>
      <c r="BFY16" s="314" t="s">
        <v>203</v>
      </c>
      <c r="BFZ16" s="314" t="s">
        <v>203</v>
      </c>
      <c r="BGA16" s="314" t="s">
        <v>203</v>
      </c>
      <c r="BGB16" s="314" t="s">
        <v>203</v>
      </c>
      <c r="BGC16" s="314" t="s">
        <v>203</v>
      </c>
      <c r="BGD16" s="314" t="s">
        <v>203</v>
      </c>
      <c r="BGE16" s="314" t="s">
        <v>203</v>
      </c>
      <c r="BGF16" s="314" t="s">
        <v>203</v>
      </c>
      <c r="BGG16" s="314" t="s">
        <v>203</v>
      </c>
      <c r="BGH16" s="314" t="s">
        <v>203</v>
      </c>
      <c r="BGI16" s="314" t="s">
        <v>203</v>
      </c>
      <c r="BGJ16" s="314" t="s">
        <v>203</v>
      </c>
      <c r="BGK16" s="314" t="s">
        <v>203</v>
      </c>
      <c r="BGL16" s="314" t="s">
        <v>203</v>
      </c>
      <c r="BGM16" s="314" t="s">
        <v>203</v>
      </c>
      <c r="BGN16" s="314" t="s">
        <v>203</v>
      </c>
      <c r="BGO16" s="314" t="s">
        <v>203</v>
      </c>
      <c r="BGP16" s="314" t="s">
        <v>203</v>
      </c>
      <c r="BGQ16" s="314" t="s">
        <v>203</v>
      </c>
      <c r="BGR16" s="314" t="s">
        <v>203</v>
      </c>
      <c r="BGS16" s="314" t="s">
        <v>203</v>
      </c>
      <c r="BGT16" s="314" t="s">
        <v>203</v>
      </c>
      <c r="BGU16" s="314" t="s">
        <v>203</v>
      </c>
      <c r="BGV16" s="314" t="s">
        <v>203</v>
      </c>
      <c r="BGW16" s="314" t="s">
        <v>203</v>
      </c>
      <c r="BGX16" s="314" t="s">
        <v>203</v>
      </c>
      <c r="BGY16" s="314" t="s">
        <v>203</v>
      </c>
      <c r="BGZ16" s="314" t="s">
        <v>203</v>
      </c>
      <c r="BHA16" s="314" t="s">
        <v>203</v>
      </c>
      <c r="BHB16" s="314" t="s">
        <v>203</v>
      </c>
      <c r="BHC16" s="314" t="s">
        <v>203</v>
      </c>
      <c r="BHD16" s="314" t="s">
        <v>203</v>
      </c>
      <c r="BHE16" s="314" t="s">
        <v>203</v>
      </c>
      <c r="BHF16" s="314" t="s">
        <v>203</v>
      </c>
      <c r="BHG16" s="314" t="s">
        <v>203</v>
      </c>
      <c r="BHH16" s="314" t="s">
        <v>203</v>
      </c>
      <c r="BHI16" s="314" t="s">
        <v>203</v>
      </c>
      <c r="BHJ16" s="314" t="s">
        <v>203</v>
      </c>
      <c r="BHK16" s="314" t="s">
        <v>203</v>
      </c>
      <c r="BHL16" s="314" t="s">
        <v>203</v>
      </c>
      <c r="BHM16" s="314" t="s">
        <v>203</v>
      </c>
      <c r="BHN16" s="314" t="s">
        <v>203</v>
      </c>
      <c r="BHO16" s="314" t="s">
        <v>203</v>
      </c>
      <c r="BHP16" s="314" t="s">
        <v>203</v>
      </c>
      <c r="BHQ16" s="314" t="s">
        <v>203</v>
      </c>
      <c r="BHR16" s="314" t="s">
        <v>203</v>
      </c>
      <c r="BHS16" s="314" t="s">
        <v>203</v>
      </c>
      <c r="BHT16" s="314" t="s">
        <v>203</v>
      </c>
      <c r="BHU16" s="314" t="s">
        <v>203</v>
      </c>
      <c r="BHV16" s="314" t="s">
        <v>203</v>
      </c>
      <c r="BHW16" s="314" t="s">
        <v>203</v>
      </c>
      <c r="BHX16" s="314" t="s">
        <v>203</v>
      </c>
      <c r="BHY16" s="314" t="s">
        <v>203</v>
      </c>
      <c r="BHZ16" s="314" t="s">
        <v>203</v>
      </c>
      <c r="BIA16" s="314" t="s">
        <v>203</v>
      </c>
      <c r="BIB16" s="314" t="s">
        <v>203</v>
      </c>
      <c r="BIC16" s="314" t="s">
        <v>203</v>
      </c>
      <c r="BID16" s="314" t="s">
        <v>203</v>
      </c>
      <c r="BIE16" s="314" t="s">
        <v>203</v>
      </c>
      <c r="BIF16" s="314" t="s">
        <v>203</v>
      </c>
      <c r="BIG16" s="314" t="s">
        <v>203</v>
      </c>
      <c r="BIH16" s="314" t="s">
        <v>203</v>
      </c>
      <c r="BII16" s="314" t="s">
        <v>203</v>
      </c>
      <c r="BIJ16" s="314" t="s">
        <v>203</v>
      </c>
      <c r="BIK16" s="314" t="s">
        <v>203</v>
      </c>
      <c r="BIL16" s="314" t="s">
        <v>203</v>
      </c>
      <c r="BIM16" s="314" t="s">
        <v>203</v>
      </c>
      <c r="BIN16" s="314" t="s">
        <v>203</v>
      </c>
      <c r="BIO16" s="314" t="s">
        <v>203</v>
      </c>
      <c r="BIP16" s="314" t="s">
        <v>203</v>
      </c>
      <c r="BIQ16" s="314" t="s">
        <v>203</v>
      </c>
      <c r="BIR16" s="314" t="s">
        <v>203</v>
      </c>
      <c r="BIS16" s="314" t="s">
        <v>203</v>
      </c>
      <c r="BIT16" s="314" t="s">
        <v>203</v>
      </c>
      <c r="BIU16" s="314" t="s">
        <v>203</v>
      </c>
      <c r="BIV16" s="314" t="s">
        <v>203</v>
      </c>
      <c r="BIW16" s="314" t="s">
        <v>203</v>
      </c>
      <c r="BIX16" s="314" t="s">
        <v>203</v>
      </c>
      <c r="BIY16" s="314" t="s">
        <v>203</v>
      </c>
      <c r="BIZ16" s="314" t="s">
        <v>203</v>
      </c>
      <c r="BJA16" s="314" t="s">
        <v>203</v>
      </c>
      <c r="BJB16" s="314" t="s">
        <v>203</v>
      </c>
      <c r="BJC16" s="314" t="s">
        <v>203</v>
      </c>
      <c r="BJD16" s="314" t="s">
        <v>203</v>
      </c>
      <c r="BJE16" s="314" t="s">
        <v>203</v>
      </c>
      <c r="BJF16" s="314" t="s">
        <v>203</v>
      </c>
      <c r="BJG16" s="314" t="s">
        <v>203</v>
      </c>
      <c r="BJH16" s="314" t="s">
        <v>203</v>
      </c>
      <c r="BJI16" s="314" t="s">
        <v>203</v>
      </c>
      <c r="BJJ16" s="314" t="s">
        <v>203</v>
      </c>
      <c r="BJK16" s="314" t="s">
        <v>203</v>
      </c>
      <c r="BJL16" s="314" t="s">
        <v>203</v>
      </c>
      <c r="BJM16" s="314" t="s">
        <v>203</v>
      </c>
      <c r="BJN16" s="314" t="s">
        <v>203</v>
      </c>
      <c r="BJO16" s="314" t="s">
        <v>203</v>
      </c>
      <c r="BJP16" s="314" t="s">
        <v>203</v>
      </c>
      <c r="BJQ16" s="314" t="s">
        <v>203</v>
      </c>
      <c r="BJR16" s="314" t="s">
        <v>203</v>
      </c>
      <c r="BJS16" s="314" t="s">
        <v>203</v>
      </c>
      <c r="BJT16" s="314" t="s">
        <v>203</v>
      </c>
      <c r="BJU16" s="314" t="s">
        <v>203</v>
      </c>
      <c r="BJV16" s="314" t="s">
        <v>203</v>
      </c>
      <c r="BJW16" s="314" t="s">
        <v>203</v>
      </c>
      <c r="BJX16" s="314" t="s">
        <v>203</v>
      </c>
      <c r="BJY16" s="314" t="s">
        <v>203</v>
      </c>
      <c r="BJZ16" s="314" t="s">
        <v>203</v>
      </c>
      <c r="BKA16" s="314" t="s">
        <v>203</v>
      </c>
      <c r="BKB16" s="314" t="s">
        <v>203</v>
      </c>
      <c r="BKC16" s="314" t="s">
        <v>203</v>
      </c>
      <c r="BKD16" s="314" t="s">
        <v>203</v>
      </c>
      <c r="BKE16" s="314" t="s">
        <v>203</v>
      </c>
      <c r="BKF16" s="314" t="s">
        <v>203</v>
      </c>
      <c r="BKG16" s="314" t="s">
        <v>203</v>
      </c>
      <c r="BKH16" s="314" t="s">
        <v>203</v>
      </c>
      <c r="BKI16" s="314" t="s">
        <v>203</v>
      </c>
      <c r="BKJ16" s="314" t="s">
        <v>203</v>
      </c>
      <c r="BKK16" s="314" t="s">
        <v>203</v>
      </c>
      <c r="BKL16" s="314" t="s">
        <v>203</v>
      </c>
      <c r="BKM16" s="314" t="s">
        <v>203</v>
      </c>
      <c r="BKN16" s="314" t="s">
        <v>203</v>
      </c>
      <c r="BKO16" s="314" t="s">
        <v>203</v>
      </c>
      <c r="BKP16" s="314" t="s">
        <v>203</v>
      </c>
      <c r="BKQ16" s="314" t="s">
        <v>203</v>
      </c>
      <c r="BKR16" s="314" t="s">
        <v>203</v>
      </c>
      <c r="BKS16" s="314" t="s">
        <v>203</v>
      </c>
      <c r="BKT16" s="314" t="s">
        <v>203</v>
      </c>
      <c r="BKU16" s="314" t="s">
        <v>203</v>
      </c>
      <c r="BKV16" s="314" t="s">
        <v>203</v>
      </c>
      <c r="BKW16" s="314" t="s">
        <v>203</v>
      </c>
      <c r="BKX16" s="314" t="s">
        <v>203</v>
      </c>
      <c r="BKY16" s="314" t="s">
        <v>203</v>
      </c>
      <c r="BKZ16" s="314" t="s">
        <v>203</v>
      </c>
      <c r="BLA16" s="314" t="s">
        <v>203</v>
      </c>
      <c r="BLB16" s="314" t="s">
        <v>203</v>
      </c>
      <c r="BLC16" s="314" t="s">
        <v>203</v>
      </c>
      <c r="BLD16" s="314" t="s">
        <v>203</v>
      </c>
      <c r="BLE16" s="314" t="s">
        <v>203</v>
      </c>
      <c r="BLF16" s="314" t="s">
        <v>203</v>
      </c>
      <c r="BLG16" s="314" t="s">
        <v>203</v>
      </c>
      <c r="BLH16" s="314" t="s">
        <v>203</v>
      </c>
      <c r="BLI16" s="314" t="s">
        <v>203</v>
      </c>
      <c r="BLJ16" s="314" t="s">
        <v>203</v>
      </c>
      <c r="BLK16" s="314" t="s">
        <v>203</v>
      </c>
      <c r="BLL16" s="314" t="s">
        <v>203</v>
      </c>
      <c r="BLM16" s="314" t="s">
        <v>203</v>
      </c>
      <c r="BLN16" s="314" t="s">
        <v>203</v>
      </c>
      <c r="BLO16" s="314" t="s">
        <v>203</v>
      </c>
      <c r="BLP16" s="314" t="s">
        <v>203</v>
      </c>
      <c r="BLQ16" s="314" t="s">
        <v>203</v>
      </c>
      <c r="BLR16" s="314" t="s">
        <v>203</v>
      </c>
      <c r="BLS16" s="314" t="s">
        <v>203</v>
      </c>
      <c r="BLT16" s="314" t="s">
        <v>203</v>
      </c>
      <c r="BLU16" s="314" t="s">
        <v>203</v>
      </c>
      <c r="BLV16" s="314" t="s">
        <v>203</v>
      </c>
      <c r="BLW16" s="314" t="s">
        <v>203</v>
      </c>
      <c r="BLX16" s="314" t="s">
        <v>203</v>
      </c>
      <c r="BLY16" s="314" t="s">
        <v>203</v>
      </c>
      <c r="BLZ16" s="314" t="s">
        <v>203</v>
      </c>
      <c r="BMA16" s="314" t="s">
        <v>203</v>
      </c>
      <c r="BMB16" s="314" t="s">
        <v>203</v>
      </c>
      <c r="BMC16" s="314" t="s">
        <v>203</v>
      </c>
      <c r="BMD16" s="314" t="s">
        <v>203</v>
      </c>
      <c r="BME16" s="314" t="s">
        <v>203</v>
      </c>
      <c r="BMF16" s="314" t="s">
        <v>203</v>
      </c>
      <c r="BMG16" s="314" t="s">
        <v>203</v>
      </c>
      <c r="BMH16" s="314" t="s">
        <v>203</v>
      </c>
      <c r="BMI16" s="314" t="s">
        <v>203</v>
      </c>
      <c r="BMJ16" s="314" t="s">
        <v>203</v>
      </c>
      <c r="BMK16" s="314" t="s">
        <v>203</v>
      </c>
      <c r="BML16" s="314" t="s">
        <v>203</v>
      </c>
      <c r="BMM16" s="314" t="s">
        <v>203</v>
      </c>
      <c r="BMN16" s="314" t="s">
        <v>203</v>
      </c>
      <c r="BMO16" s="314" t="s">
        <v>203</v>
      </c>
      <c r="BMP16" s="314" t="s">
        <v>203</v>
      </c>
      <c r="BMQ16" s="314" t="s">
        <v>203</v>
      </c>
      <c r="BMR16" s="314" t="s">
        <v>203</v>
      </c>
      <c r="BMS16" s="314" t="s">
        <v>203</v>
      </c>
      <c r="BMT16" s="314" t="s">
        <v>203</v>
      </c>
      <c r="BMU16" s="314" t="s">
        <v>203</v>
      </c>
      <c r="BMV16" s="314" t="s">
        <v>203</v>
      </c>
      <c r="BMW16" s="314" t="s">
        <v>203</v>
      </c>
      <c r="BMX16" s="314" t="s">
        <v>203</v>
      </c>
      <c r="BMY16" s="314" t="s">
        <v>203</v>
      </c>
      <c r="BMZ16" s="314" t="s">
        <v>203</v>
      </c>
      <c r="BNA16" s="314" t="s">
        <v>203</v>
      </c>
      <c r="BNB16" s="314" t="s">
        <v>203</v>
      </c>
      <c r="BNC16" s="314" t="s">
        <v>203</v>
      </c>
      <c r="BND16" s="314" t="s">
        <v>203</v>
      </c>
      <c r="BNE16" s="314" t="s">
        <v>203</v>
      </c>
      <c r="BNF16" s="314" t="s">
        <v>203</v>
      </c>
      <c r="BNG16" s="314" t="s">
        <v>203</v>
      </c>
      <c r="BNH16" s="314" t="s">
        <v>203</v>
      </c>
      <c r="BNI16" s="314" t="s">
        <v>203</v>
      </c>
      <c r="BNJ16" s="314" t="s">
        <v>203</v>
      </c>
      <c r="BNK16" s="314" t="s">
        <v>203</v>
      </c>
      <c r="BNL16" s="314" t="s">
        <v>203</v>
      </c>
      <c r="BNM16" s="314" t="s">
        <v>203</v>
      </c>
      <c r="BNN16" s="314" t="s">
        <v>203</v>
      </c>
      <c r="BNO16" s="314" t="s">
        <v>203</v>
      </c>
      <c r="BNP16" s="314" t="s">
        <v>203</v>
      </c>
      <c r="BNQ16" s="314" t="s">
        <v>203</v>
      </c>
      <c r="BNR16" s="314" t="s">
        <v>203</v>
      </c>
      <c r="BNS16" s="314" t="s">
        <v>203</v>
      </c>
      <c r="BNT16" s="314" t="s">
        <v>203</v>
      </c>
      <c r="BNU16" s="314" t="s">
        <v>203</v>
      </c>
      <c r="BNV16" s="314" t="s">
        <v>203</v>
      </c>
      <c r="BNW16" s="314" t="s">
        <v>203</v>
      </c>
      <c r="BNX16" s="314" t="s">
        <v>203</v>
      </c>
      <c r="BNY16" s="314" t="s">
        <v>203</v>
      </c>
      <c r="BNZ16" s="314" t="s">
        <v>203</v>
      </c>
      <c r="BOA16" s="314" t="s">
        <v>203</v>
      </c>
      <c r="BOB16" s="314" t="s">
        <v>203</v>
      </c>
      <c r="BOC16" s="314" t="s">
        <v>203</v>
      </c>
      <c r="BOD16" s="314" t="s">
        <v>203</v>
      </c>
      <c r="BOE16" s="314" t="s">
        <v>203</v>
      </c>
      <c r="BOF16" s="314" t="s">
        <v>203</v>
      </c>
      <c r="BOG16" s="314" t="s">
        <v>203</v>
      </c>
      <c r="BOH16" s="314" t="s">
        <v>203</v>
      </c>
      <c r="BOI16" s="314" t="s">
        <v>203</v>
      </c>
      <c r="BOJ16" s="314" t="s">
        <v>203</v>
      </c>
      <c r="BOK16" s="314" t="s">
        <v>203</v>
      </c>
      <c r="BOL16" s="314" t="s">
        <v>203</v>
      </c>
      <c r="BOM16" s="314" t="s">
        <v>203</v>
      </c>
      <c r="BON16" s="314" t="s">
        <v>203</v>
      </c>
      <c r="BOO16" s="314" t="s">
        <v>203</v>
      </c>
      <c r="BOP16" s="314" t="s">
        <v>203</v>
      </c>
      <c r="BOQ16" s="314" t="s">
        <v>203</v>
      </c>
      <c r="BOR16" s="314" t="s">
        <v>203</v>
      </c>
      <c r="BOS16" s="314" t="s">
        <v>203</v>
      </c>
      <c r="BOT16" s="314" t="s">
        <v>203</v>
      </c>
      <c r="BOU16" s="314" t="s">
        <v>203</v>
      </c>
      <c r="BOV16" s="314" t="s">
        <v>203</v>
      </c>
      <c r="BOW16" s="314" t="s">
        <v>203</v>
      </c>
      <c r="BOX16" s="314" t="s">
        <v>203</v>
      </c>
      <c r="BOY16" s="314" t="s">
        <v>203</v>
      </c>
      <c r="BOZ16" s="314" t="s">
        <v>203</v>
      </c>
      <c r="BPA16" s="314" t="s">
        <v>203</v>
      </c>
      <c r="BPB16" s="314" t="s">
        <v>203</v>
      </c>
      <c r="BPC16" s="314" t="s">
        <v>203</v>
      </c>
      <c r="BPD16" s="314" t="s">
        <v>203</v>
      </c>
      <c r="BPE16" s="314" t="s">
        <v>203</v>
      </c>
      <c r="BPF16" s="314" t="s">
        <v>203</v>
      </c>
      <c r="BPG16" s="314" t="s">
        <v>203</v>
      </c>
      <c r="BPH16" s="314" t="s">
        <v>203</v>
      </c>
      <c r="BPI16" s="314" t="s">
        <v>203</v>
      </c>
      <c r="BPJ16" s="314" t="s">
        <v>203</v>
      </c>
      <c r="BPK16" s="314" t="s">
        <v>203</v>
      </c>
      <c r="BPL16" s="314" t="s">
        <v>203</v>
      </c>
      <c r="BPM16" s="314" t="s">
        <v>203</v>
      </c>
      <c r="BPN16" s="314" t="s">
        <v>203</v>
      </c>
      <c r="BPO16" s="314" t="s">
        <v>203</v>
      </c>
      <c r="BPP16" s="314" t="s">
        <v>203</v>
      </c>
      <c r="BPQ16" s="314" t="s">
        <v>203</v>
      </c>
      <c r="BPR16" s="314" t="s">
        <v>203</v>
      </c>
      <c r="BPS16" s="314" t="s">
        <v>203</v>
      </c>
      <c r="BPT16" s="314" t="s">
        <v>203</v>
      </c>
      <c r="BPU16" s="314" t="s">
        <v>203</v>
      </c>
      <c r="BPV16" s="314" t="s">
        <v>203</v>
      </c>
      <c r="BPW16" s="314" t="s">
        <v>203</v>
      </c>
      <c r="BPX16" s="314" t="s">
        <v>203</v>
      </c>
      <c r="BPY16" s="314" t="s">
        <v>203</v>
      </c>
      <c r="BPZ16" s="314" t="s">
        <v>203</v>
      </c>
      <c r="BQA16" s="314" t="s">
        <v>203</v>
      </c>
      <c r="BQB16" s="314" t="s">
        <v>203</v>
      </c>
      <c r="BQC16" s="314" t="s">
        <v>203</v>
      </c>
      <c r="BQD16" s="314" t="s">
        <v>203</v>
      </c>
      <c r="BQE16" s="314" t="s">
        <v>203</v>
      </c>
      <c r="BQF16" s="314" t="s">
        <v>203</v>
      </c>
      <c r="BQG16" s="314" t="s">
        <v>203</v>
      </c>
      <c r="BQH16" s="314" t="s">
        <v>203</v>
      </c>
      <c r="BQI16" s="314" t="s">
        <v>203</v>
      </c>
      <c r="BQJ16" s="314" t="s">
        <v>203</v>
      </c>
      <c r="BQK16" s="314" t="s">
        <v>203</v>
      </c>
      <c r="BQL16" s="314" t="s">
        <v>203</v>
      </c>
      <c r="BQM16" s="314" t="s">
        <v>203</v>
      </c>
      <c r="BQN16" s="314" t="s">
        <v>203</v>
      </c>
      <c r="BQO16" s="314" t="s">
        <v>203</v>
      </c>
      <c r="BQP16" s="314" t="s">
        <v>203</v>
      </c>
      <c r="BQQ16" s="314" t="s">
        <v>203</v>
      </c>
      <c r="BQR16" s="314" t="s">
        <v>203</v>
      </c>
      <c r="BQS16" s="314" t="s">
        <v>203</v>
      </c>
      <c r="BQT16" s="314" t="s">
        <v>203</v>
      </c>
      <c r="BQU16" s="314" t="s">
        <v>203</v>
      </c>
      <c r="BQV16" s="314" t="s">
        <v>203</v>
      </c>
      <c r="BQW16" s="314" t="s">
        <v>203</v>
      </c>
      <c r="BQX16" s="314" t="s">
        <v>203</v>
      </c>
      <c r="BQY16" s="314" t="s">
        <v>203</v>
      </c>
      <c r="BQZ16" s="314" t="s">
        <v>203</v>
      </c>
      <c r="BRA16" s="314" t="s">
        <v>203</v>
      </c>
      <c r="BRB16" s="314" t="s">
        <v>203</v>
      </c>
      <c r="BRC16" s="314" t="s">
        <v>203</v>
      </c>
      <c r="BRD16" s="314" t="s">
        <v>203</v>
      </c>
      <c r="BRE16" s="314" t="s">
        <v>203</v>
      </c>
      <c r="BRF16" s="314" t="s">
        <v>203</v>
      </c>
      <c r="BRG16" s="314" t="s">
        <v>203</v>
      </c>
      <c r="BRH16" s="314" t="s">
        <v>203</v>
      </c>
      <c r="BRI16" s="314" t="s">
        <v>203</v>
      </c>
      <c r="BRJ16" s="314" t="s">
        <v>203</v>
      </c>
      <c r="BRK16" s="314" t="s">
        <v>203</v>
      </c>
      <c r="BRL16" s="314" t="s">
        <v>203</v>
      </c>
      <c r="BRM16" s="314" t="s">
        <v>203</v>
      </c>
      <c r="BRN16" s="314" t="s">
        <v>203</v>
      </c>
      <c r="BRO16" s="314" t="s">
        <v>203</v>
      </c>
      <c r="BRP16" s="314" t="s">
        <v>203</v>
      </c>
      <c r="BRQ16" s="314" t="s">
        <v>203</v>
      </c>
      <c r="BRR16" s="314" t="s">
        <v>203</v>
      </c>
      <c r="BRS16" s="314" t="s">
        <v>203</v>
      </c>
      <c r="BRT16" s="314" t="s">
        <v>203</v>
      </c>
      <c r="BRU16" s="314" t="s">
        <v>203</v>
      </c>
      <c r="BRV16" s="314" t="s">
        <v>203</v>
      </c>
      <c r="BRW16" s="314" t="s">
        <v>203</v>
      </c>
      <c r="BRX16" s="314" t="s">
        <v>203</v>
      </c>
      <c r="BRY16" s="314" t="s">
        <v>203</v>
      </c>
      <c r="BRZ16" s="314" t="s">
        <v>203</v>
      </c>
      <c r="BSA16" s="314" t="s">
        <v>203</v>
      </c>
      <c r="BSB16" s="314" t="s">
        <v>203</v>
      </c>
      <c r="BSC16" s="314" t="s">
        <v>203</v>
      </c>
      <c r="BSD16" s="314" t="s">
        <v>203</v>
      </c>
      <c r="BSE16" s="314" t="s">
        <v>203</v>
      </c>
      <c r="BSF16" s="314" t="s">
        <v>203</v>
      </c>
      <c r="BSG16" s="314" t="s">
        <v>203</v>
      </c>
      <c r="BSH16" s="314" t="s">
        <v>203</v>
      </c>
      <c r="BSI16" s="314" t="s">
        <v>203</v>
      </c>
      <c r="BSJ16" s="314" t="s">
        <v>203</v>
      </c>
      <c r="BSK16" s="314" t="s">
        <v>203</v>
      </c>
      <c r="BSL16" s="314" t="s">
        <v>203</v>
      </c>
      <c r="BSM16" s="314" t="s">
        <v>203</v>
      </c>
      <c r="BSN16" s="314" t="s">
        <v>203</v>
      </c>
      <c r="BSO16" s="314" t="s">
        <v>203</v>
      </c>
      <c r="BSP16" s="314" t="s">
        <v>203</v>
      </c>
      <c r="BSQ16" s="314" t="s">
        <v>203</v>
      </c>
      <c r="BSR16" s="314" t="s">
        <v>203</v>
      </c>
      <c r="BSS16" s="314" t="s">
        <v>203</v>
      </c>
      <c r="BST16" s="314" t="s">
        <v>203</v>
      </c>
      <c r="BSU16" s="314" t="s">
        <v>203</v>
      </c>
      <c r="BSV16" s="314" t="s">
        <v>203</v>
      </c>
      <c r="BSW16" s="314" t="s">
        <v>203</v>
      </c>
      <c r="BSX16" s="314" t="s">
        <v>203</v>
      </c>
      <c r="BSY16" s="314" t="s">
        <v>203</v>
      </c>
      <c r="BSZ16" s="314" t="s">
        <v>203</v>
      </c>
      <c r="BTA16" s="314" t="s">
        <v>203</v>
      </c>
      <c r="BTB16" s="314" t="s">
        <v>203</v>
      </c>
      <c r="BTC16" s="314" t="s">
        <v>203</v>
      </c>
      <c r="BTD16" s="314" t="s">
        <v>203</v>
      </c>
      <c r="BTE16" s="314" t="s">
        <v>203</v>
      </c>
      <c r="BTF16" s="314" t="s">
        <v>203</v>
      </c>
      <c r="BTG16" s="314" t="s">
        <v>203</v>
      </c>
      <c r="BTH16" s="314" t="s">
        <v>203</v>
      </c>
      <c r="BTI16" s="314" t="s">
        <v>203</v>
      </c>
      <c r="BTJ16" s="314" t="s">
        <v>203</v>
      </c>
      <c r="BTK16" s="314" t="s">
        <v>203</v>
      </c>
      <c r="BTL16" s="314" t="s">
        <v>203</v>
      </c>
      <c r="BTM16" s="314" t="s">
        <v>203</v>
      </c>
      <c r="BTN16" s="314" t="s">
        <v>203</v>
      </c>
      <c r="BTO16" s="314" t="s">
        <v>203</v>
      </c>
      <c r="BTP16" s="314" t="s">
        <v>203</v>
      </c>
      <c r="BTQ16" s="314" t="s">
        <v>203</v>
      </c>
      <c r="BTR16" s="314" t="s">
        <v>203</v>
      </c>
      <c r="BTS16" s="314" t="s">
        <v>203</v>
      </c>
      <c r="BTT16" s="314" t="s">
        <v>203</v>
      </c>
      <c r="BTU16" s="314" t="s">
        <v>203</v>
      </c>
      <c r="BTV16" s="314" t="s">
        <v>203</v>
      </c>
      <c r="BTW16" s="314" t="s">
        <v>203</v>
      </c>
      <c r="BTX16" s="314" t="s">
        <v>203</v>
      </c>
      <c r="BTY16" s="314" t="s">
        <v>203</v>
      </c>
      <c r="BTZ16" s="314" t="s">
        <v>203</v>
      </c>
      <c r="BUA16" s="314" t="s">
        <v>203</v>
      </c>
      <c r="BUB16" s="314" t="s">
        <v>203</v>
      </c>
      <c r="BUC16" s="314" t="s">
        <v>203</v>
      </c>
      <c r="BUD16" s="314" t="s">
        <v>203</v>
      </c>
      <c r="BUE16" s="314" t="s">
        <v>203</v>
      </c>
      <c r="BUF16" s="314" t="s">
        <v>203</v>
      </c>
      <c r="BUG16" s="314" t="s">
        <v>203</v>
      </c>
      <c r="BUH16" s="314" t="s">
        <v>203</v>
      </c>
      <c r="BUI16" s="314" t="s">
        <v>203</v>
      </c>
      <c r="BUJ16" s="314" t="s">
        <v>203</v>
      </c>
      <c r="BUK16" s="314" t="s">
        <v>203</v>
      </c>
      <c r="BUL16" s="314" t="s">
        <v>203</v>
      </c>
      <c r="BUM16" s="314" t="s">
        <v>203</v>
      </c>
      <c r="BUN16" s="314" t="s">
        <v>203</v>
      </c>
      <c r="BUO16" s="314" t="s">
        <v>203</v>
      </c>
      <c r="BUP16" s="314" t="s">
        <v>203</v>
      </c>
      <c r="BUQ16" s="314" t="s">
        <v>203</v>
      </c>
      <c r="BUR16" s="314" t="s">
        <v>203</v>
      </c>
      <c r="BUS16" s="314" t="s">
        <v>203</v>
      </c>
      <c r="BUT16" s="314" t="s">
        <v>203</v>
      </c>
      <c r="BUU16" s="314" t="s">
        <v>203</v>
      </c>
      <c r="BUV16" s="314" t="s">
        <v>203</v>
      </c>
      <c r="BUW16" s="314" t="s">
        <v>203</v>
      </c>
      <c r="BUX16" s="314" t="s">
        <v>203</v>
      </c>
      <c r="BUY16" s="314" t="s">
        <v>203</v>
      </c>
      <c r="BUZ16" s="314" t="s">
        <v>203</v>
      </c>
      <c r="BVA16" s="314" t="s">
        <v>203</v>
      </c>
      <c r="BVB16" s="314" t="s">
        <v>203</v>
      </c>
      <c r="BVC16" s="314" t="s">
        <v>203</v>
      </c>
      <c r="BVD16" s="314" t="s">
        <v>203</v>
      </c>
      <c r="BVE16" s="314" t="s">
        <v>203</v>
      </c>
      <c r="BVF16" s="314" t="s">
        <v>203</v>
      </c>
      <c r="BVG16" s="314" t="s">
        <v>203</v>
      </c>
      <c r="BVH16" s="314" t="s">
        <v>203</v>
      </c>
      <c r="BVI16" s="314" t="s">
        <v>203</v>
      </c>
      <c r="BVJ16" s="314" t="s">
        <v>203</v>
      </c>
      <c r="BVK16" s="314" t="s">
        <v>203</v>
      </c>
      <c r="BVL16" s="314" t="s">
        <v>203</v>
      </c>
      <c r="BVM16" s="314" t="s">
        <v>203</v>
      </c>
      <c r="BVN16" s="314" t="s">
        <v>203</v>
      </c>
      <c r="BVO16" s="314" t="s">
        <v>203</v>
      </c>
      <c r="BVP16" s="314" t="s">
        <v>203</v>
      </c>
      <c r="BVQ16" s="314" t="s">
        <v>203</v>
      </c>
      <c r="BVR16" s="314" t="s">
        <v>203</v>
      </c>
      <c r="BVS16" s="314" t="s">
        <v>203</v>
      </c>
      <c r="BVT16" s="314" t="s">
        <v>203</v>
      </c>
      <c r="BVU16" s="314" t="s">
        <v>203</v>
      </c>
      <c r="BVV16" s="314" t="s">
        <v>203</v>
      </c>
      <c r="BVW16" s="314" t="s">
        <v>203</v>
      </c>
      <c r="BVX16" s="314" t="s">
        <v>203</v>
      </c>
      <c r="BVY16" s="314" t="s">
        <v>203</v>
      </c>
      <c r="BVZ16" s="314" t="s">
        <v>203</v>
      </c>
      <c r="BWA16" s="314" t="s">
        <v>203</v>
      </c>
      <c r="BWB16" s="314" t="s">
        <v>203</v>
      </c>
      <c r="BWC16" s="314" t="s">
        <v>203</v>
      </c>
      <c r="BWD16" s="314" t="s">
        <v>203</v>
      </c>
      <c r="BWE16" s="314" t="s">
        <v>203</v>
      </c>
      <c r="BWF16" s="314" t="s">
        <v>203</v>
      </c>
      <c r="BWG16" s="314" t="s">
        <v>203</v>
      </c>
      <c r="BWH16" s="314" t="s">
        <v>203</v>
      </c>
      <c r="BWI16" s="314" t="s">
        <v>203</v>
      </c>
      <c r="BWJ16" s="314" t="s">
        <v>203</v>
      </c>
      <c r="BWK16" s="314" t="s">
        <v>203</v>
      </c>
      <c r="BWL16" s="314" t="s">
        <v>203</v>
      </c>
      <c r="BWM16" s="314" t="s">
        <v>203</v>
      </c>
      <c r="BWN16" s="314" t="s">
        <v>203</v>
      </c>
      <c r="BWO16" s="314" t="s">
        <v>203</v>
      </c>
      <c r="BWP16" s="314" t="s">
        <v>203</v>
      </c>
      <c r="BWQ16" s="314" t="s">
        <v>203</v>
      </c>
      <c r="BWR16" s="314" t="s">
        <v>203</v>
      </c>
      <c r="BWS16" s="314" t="s">
        <v>203</v>
      </c>
      <c r="BWT16" s="314" t="s">
        <v>203</v>
      </c>
      <c r="BWU16" s="314" t="s">
        <v>203</v>
      </c>
      <c r="BWV16" s="314" t="s">
        <v>203</v>
      </c>
      <c r="BWW16" s="314" t="s">
        <v>203</v>
      </c>
      <c r="BWX16" s="314" t="s">
        <v>203</v>
      </c>
      <c r="BWY16" s="314" t="s">
        <v>203</v>
      </c>
      <c r="BWZ16" s="314" t="s">
        <v>203</v>
      </c>
      <c r="BXA16" s="314" t="s">
        <v>203</v>
      </c>
      <c r="BXB16" s="314" t="s">
        <v>203</v>
      </c>
      <c r="BXC16" s="314" t="s">
        <v>203</v>
      </c>
      <c r="BXD16" s="314" t="s">
        <v>203</v>
      </c>
      <c r="BXE16" s="314" t="s">
        <v>203</v>
      </c>
      <c r="BXF16" s="314" t="s">
        <v>203</v>
      </c>
      <c r="BXG16" s="314" t="s">
        <v>203</v>
      </c>
      <c r="BXH16" s="314" t="s">
        <v>203</v>
      </c>
      <c r="BXI16" s="314" t="s">
        <v>203</v>
      </c>
      <c r="BXJ16" s="314" t="s">
        <v>203</v>
      </c>
      <c r="BXK16" s="314" t="s">
        <v>203</v>
      </c>
      <c r="BXL16" s="314" t="s">
        <v>203</v>
      </c>
      <c r="BXM16" s="314" t="s">
        <v>203</v>
      </c>
      <c r="BXN16" s="314" t="s">
        <v>203</v>
      </c>
      <c r="BXO16" s="314" t="s">
        <v>203</v>
      </c>
      <c r="BXP16" s="314" t="s">
        <v>203</v>
      </c>
      <c r="BXQ16" s="314" t="s">
        <v>203</v>
      </c>
      <c r="BXR16" s="314" t="s">
        <v>203</v>
      </c>
      <c r="BXS16" s="314" t="s">
        <v>203</v>
      </c>
      <c r="BXT16" s="314" t="s">
        <v>203</v>
      </c>
      <c r="BXU16" s="314" t="s">
        <v>203</v>
      </c>
      <c r="BXV16" s="314" t="s">
        <v>203</v>
      </c>
      <c r="BXW16" s="314" t="s">
        <v>203</v>
      </c>
      <c r="BXX16" s="314" t="s">
        <v>203</v>
      </c>
      <c r="BXY16" s="314" t="s">
        <v>203</v>
      </c>
      <c r="BXZ16" s="314" t="s">
        <v>203</v>
      </c>
      <c r="BYA16" s="314" t="s">
        <v>203</v>
      </c>
      <c r="BYB16" s="314" t="s">
        <v>203</v>
      </c>
      <c r="BYC16" s="314" t="s">
        <v>203</v>
      </c>
      <c r="BYD16" s="314" t="s">
        <v>203</v>
      </c>
      <c r="BYE16" s="314" t="s">
        <v>203</v>
      </c>
      <c r="BYF16" s="314" t="s">
        <v>203</v>
      </c>
      <c r="BYG16" s="314" t="s">
        <v>203</v>
      </c>
      <c r="BYH16" s="314" t="s">
        <v>203</v>
      </c>
      <c r="BYI16" s="314" t="s">
        <v>203</v>
      </c>
      <c r="BYJ16" s="314" t="s">
        <v>203</v>
      </c>
      <c r="BYK16" s="314" t="s">
        <v>203</v>
      </c>
      <c r="BYL16" s="314" t="s">
        <v>203</v>
      </c>
      <c r="BYM16" s="314" t="s">
        <v>203</v>
      </c>
      <c r="BYN16" s="314" t="s">
        <v>203</v>
      </c>
      <c r="BYO16" s="314" t="s">
        <v>203</v>
      </c>
      <c r="BYP16" s="314" t="s">
        <v>203</v>
      </c>
      <c r="BYQ16" s="314" t="s">
        <v>203</v>
      </c>
      <c r="BYR16" s="314" t="s">
        <v>203</v>
      </c>
      <c r="BYS16" s="314" t="s">
        <v>203</v>
      </c>
      <c r="BYT16" s="314" t="s">
        <v>203</v>
      </c>
      <c r="BYU16" s="314" t="s">
        <v>203</v>
      </c>
      <c r="BYV16" s="314" t="s">
        <v>203</v>
      </c>
      <c r="BYW16" s="314" t="s">
        <v>203</v>
      </c>
      <c r="BYX16" s="314" t="s">
        <v>203</v>
      </c>
      <c r="BYY16" s="314" t="s">
        <v>203</v>
      </c>
      <c r="BYZ16" s="314" t="s">
        <v>203</v>
      </c>
      <c r="BZA16" s="314" t="s">
        <v>203</v>
      </c>
      <c r="BZB16" s="314" t="s">
        <v>203</v>
      </c>
      <c r="BZC16" s="314" t="s">
        <v>203</v>
      </c>
      <c r="BZD16" s="314" t="s">
        <v>203</v>
      </c>
      <c r="BZE16" s="314" t="s">
        <v>203</v>
      </c>
      <c r="BZF16" s="314" t="s">
        <v>203</v>
      </c>
      <c r="BZG16" s="314" t="s">
        <v>203</v>
      </c>
      <c r="BZH16" s="314" t="s">
        <v>203</v>
      </c>
      <c r="BZI16" s="314" t="s">
        <v>203</v>
      </c>
      <c r="BZJ16" s="314" t="s">
        <v>203</v>
      </c>
      <c r="BZK16" s="314" t="s">
        <v>203</v>
      </c>
      <c r="BZL16" s="314" t="s">
        <v>203</v>
      </c>
      <c r="BZM16" s="314" t="s">
        <v>203</v>
      </c>
      <c r="BZN16" s="314" t="s">
        <v>203</v>
      </c>
      <c r="BZO16" s="314" t="s">
        <v>203</v>
      </c>
      <c r="BZP16" s="314" t="s">
        <v>203</v>
      </c>
      <c r="BZQ16" s="314" t="s">
        <v>203</v>
      </c>
      <c r="BZR16" s="314" t="s">
        <v>203</v>
      </c>
      <c r="BZS16" s="314" t="s">
        <v>203</v>
      </c>
      <c r="BZT16" s="314" t="s">
        <v>203</v>
      </c>
      <c r="BZU16" s="314" t="s">
        <v>203</v>
      </c>
      <c r="BZV16" s="314" t="s">
        <v>203</v>
      </c>
      <c r="BZW16" s="314" t="s">
        <v>203</v>
      </c>
      <c r="BZX16" s="314" t="s">
        <v>203</v>
      </c>
      <c r="BZY16" s="314" t="s">
        <v>203</v>
      </c>
      <c r="BZZ16" s="314" t="s">
        <v>203</v>
      </c>
      <c r="CAA16" s="314" t="s">
        <v>203</v>
      </c>
      <c r="CAB16" s="314" t="s">
        <v>203</v>
      </c>
      <c r="CAC16" s="314" t="s">
        <v>203</v>
      </c>
      <c r="CAD16" s="314" t="s">
        <v>203</v>
      </c>
      <c r="CAE16" s="314" t="s">
        <v>203</v>
      </c>
      <c r="CAF16" s="314" t="s">
        <v>203</v>
      </c>
      <c r="CAG16" s="314" t="s">
        <v>203</v>
      </c>
      <c r="CAH16" s="314" t="s">
        <v>203</v>
      </c>
      <c r="CAI16" s="314" t="s">
        <v>203</v>
      </c>
      <c r="CAJ16" s="314" t="s">
        <v>203</v>
      </c>
      <c r="CAK16" s="314" t="s">
        <v>203</v>
      </c>
      <c r="CAL16" s="314" t="s">
        <v>203</v>
      </c>
      <c r="CAM16" s="314" t="s">
        <v>203</v>
      </c>
      <c r="CAN16" s="314" t="s">
        <v>203</v>
      </c>
      <c r="CAO16" s="314" t="s">
        <v>203</v>
      </c>
      <c r="CAP16" s="314" t="s">
        <v>203</v>
      </c>
      <c r="CAQ16" s="314" t="s">
        <v>203</v>
      </c>
      <c r="CAR16" s="314" t="s">
        <v>203</v>
      </c>
      <c r="CAS16" s="314" t="s">
        <v>203</v>
      </c>
      <c r="CAT16" s="314" t="s">
        <v>203</v>
      </c>
      <c r="CAU16" s="314" t="s">
        <v>203</v>
      </c>
      <c r="CAV16" s="314" t="s">
        <v>203</v>
      </c>
      <c r="CAW16" s="314" t="s">
        <v>203</v>
      </c>
      <c r="CAX16" s="314" t="s">
        <v>203</v>
      </c>
      <c r="CAY16" s="314" t="s">
        <v>203</v>
      </c>
      <c r="CAZ16" s="314" t="s">
        <v>203</v>
      </c>
      <c r="CBA16" s="314" t="s">
        <v>203</v>
      </c>
      <c r="CBB16" s="314" t="s">
        <v>203</v>
      </c>
      <c r="CBC16" s="314" t="s">
        <v>203</v>
      </c>
      <c r="CBD16" s="314" t="s">
        <v>203</v>
      </c>
      <c r="CBE16" s="314" t="s">
        <v>203</v>
      </c>
      <c r="CBF16" s="314" t="s">
        <v>203</v>
      </c>
      <c r="CBG16" s="314" t="s">
        <v>203</v>
      </c>
      <c r="CBH16" s="314" t="s">
        <v>203</v>
      </c>
      <c r="CBI16" s="314" t="s">
        <v>203</v>
      </c>
      <c r="CBJ16" s="314" t="s">
        <v>203</v>
      </c>
      <c r="CBK16" s="314" t="s">
        <v>203</v>
      </c>
      <c r="CBL16" s="314" t="s">
        <v>203</v>
      </c>
      <c r="CBM16" s="314" t="s">
        <v>203</v>
      </c>
      <c r="CBN16" s="314" t="s">
        <v>203</v>
      </c>
      <c r="CBO16" s="314" t="s">
        <v>203</v>
      </c>
      <c r="CBP16" s="314" t="s">
        <v>203</v>
      </c>
      <c r="CBQ16" s="314" t="s">
        <v>203</v>
      </c>
      <c r="CBR16" s="314" t="s">
        <v>203</v>
      </c>
      <c r="CBS16" s="314" t="s">
        <v>203</v>
      </c>
      <c r="CBT16" s="314" t="s">
        <v>203</v>
      </c>
      <c r="CBU16" s="314" t="s">
        <v>203</v>
      </c>
      <c r="CBV16" s="314" t="s">
        <v>203</v>
      </c>
      <c r="CBW16" s="314" t="s">
        <v>203</v>
      </c>
      <c r="CBX16" s="314" t="s">
        <v>203</v>
      </c>
      <c r="CBY16" s="314" t="s">
        <v>203</v>
      </c>
      <c r="CBZ16" s="314" t="s">
        <v>203</v>
      </c>
      <c r="CCA16" s="314" t="s">
        <v>203</v>
      </c>
      <c r="CCB16" s="314" t="s">
        <v>203</v>
      </c>
      <c r="CCC16" s="314" t="s">
        <v>203</v>
      </c>
      <c r="CCD16" s="314" t="s">
        <v>203</v>
      </c>
      <c r="CCE16" s="314" t="s">
        <v>203</v>
      </c>
      <c r="CCF16" s="314" t="s">
        <v>203</v>
      </c>
      <c r="CCG16" s="314" t="s">
        <v>203</v>
      </c>
      <c r="CCH16" s="314" t="s">
        <v>203</v>
      </c>
      <c r="CCI16" s="314" t="s">
        <v>203</v>
      </c>
      <c r="CCJ16" s="314" t="s">
        <v>203</v>
      </c>
      <c r="CCK16" s="314" t="s">
        <v>203</v>
      </c>
      <c r="CCL16" s="314" t="s">
        <v>203</v>
      </c>
      <c r="CCM16" s="314" t="s">
        <v>203</v>
      </c>
      <c r="CCN16" s="314" t="s">
        <v>203</v>
      </c>
      <c r="CCO16" s="314" t="s">
        <v>203</v>
      </c>
      <c r="CCP16" s="314" t="s">
        <v>203</v>
      </c>
      <c r="CCQ16" s="314" t="s">
        <v>203</v>
      </c>
      <c r="CCR16" s="314" t="s">
        <v>203</v>
      </c>
      <c r="CCS16" s="314" t="s">
        <v>203</v>
      </c>
      <c r="CCT16" s="314" t="s">
        <v>203</v>
      </c>
      <c r="CCU16" s="314" t="s">
        <v>203</v>
      </c>
      <c r="CCV16" s="314" t="s">
        <v>203</v>
      </c>
      <c r="CCW16" s="314" t="s">
        <v>203</v>
      </c>
      <c r="CCX16" s="314" t="s">
        <v>203</v>
      </c>
      <c r="CCY16" s="314" t="s">
        <v>203</v>
      </c>
      <c r="CCZ16" s="314" t="s">
        <v>203</v>
      </c>
      <c r="CDA16" s="314" t="s">
        <v>203</v>
      </c>
      <c r="CDB16" s="314" t="s">
        <v>203</v>
      </c>
      <c r="CDC16" s="314" t="s">
        <v>203</v>
      </c>
      <c r="CDD16" s="314" t="s">
        <v>203</v>
      </c>
      <c r="CDE16" s="314" t="s">
        <v>203</v>
      </c>
      <c r="CDF16" s="314" t="s">
        <v>203</v>
      </c>
      <c r="CDG16" s="314" t="s">
        <v>203</v>
      </c>
      <c r="CDH16" s="314" t="s">
        <v>203</v>
      </c>
      <c r="CDI16" s="314" t="s">
        <v>203</v>
      </c>
      <c r="CDJ16" s="314" t="s">
        <v>203</v>
      </c>
      <c r="CDK16" s="314" t="s">
        <v>203</v>
      </c>
      <c r="CDL16" s="314" t="s">
        <v>203</v>
      </c>
      <c r="CDM16" s="314" t="s">
        <v>203</v>
      </c>
      <c r="CDN16" s="314" t="s">
        <v>203</v>
      </c>
      <c r="CDO16" s="314" t="s">
        <v>203</v>
      </c>
      <c r="CDP16" s="314" t="s">
        <v>203</v>
      </c>
      <c r="CDQ16" s="314" t="s">
        <v>203</v>
      </c>
      <c r="CDR16" s="314" t="s">
        <v>203</v>
      </c>
      <c r="CDS16" s="314" t="s">
        <v>203</v>
      </c>
      <c r="CDT16" s="314" t="s">
        <v>203</v>
      </c>
      <c r="CDU16" s="314" t="s">
        <v>203</v>
      </c>
      <c r="CDV16" s="314" t="s">
        <v>203</v>
      </c>
      <c r="CDW16" s="314" t="s">
        <v>203</v>
      </c>
      <c r="CDX16" s="314" t="s">
        <v>203</v>
      </c>
      <c r="CDY16" s="314" t="s">
        <v>203</v>
      </c>
      <c r="CDZ16" s="314" t="s">
        <v>203</v>
      </c>
      <c r="CEA16" s="314" t="s">
        <v>203</v>
      </c>
      <c r="CEB16" s="314" t="s">
        <v>203</v>
      </c>
      <c r="CEC16" s="314" t="s">
        <v>203</v>
      </c>
      <c r="CED16" s="314" t="s">
        <v>203</v>
      </c>
      <c r="CEE16" s="314" t="s">
        <v>203</v>
      </c>
      <c r="CEF16" s="314" t="s">
        <v>203</v>
      </c>
      <c r="CEG16" s="314" t="s">
        <v>203</v>
      </c>
      <c r="CEH16" s="314" t="s">
        <v>203</v>
      </c>
      <c r="CEI16" s="314" t="s">
        <v>203</v>
      </c>
      <c r="CEJ16" s="314" t="s">
        <v>203</v>
      </c>
      <c r="CEK16" s="314" t="s">
        <v>203</v>
      </c>
      <c r="CEL16" s="314" t="s">
        <v>203</v>
      </c>
      <c r="CEM16" s="314" t="s">
        <v>203</v>
      </c>
      <c r="CEN16" s="314" t="s">
        <v>203</v>
      </c>
      <c r="CEO16" s="314" t="s">
        <v>203</v>
      </c>
      <c r="CEP16" s="314" t="s">
        <v>203</v>
      </c>
      <c r="CEQ16" s="314" t="s">
        <v>203</v>
      </c>
      <c r="CER16" s="314" t="s">
        <v>203</v>
      </c>
      <c r="CES16" s="314" t="s">
        <v>203</v>
      </c>
      <c r="CET16" s="314" t="s">
        <v>203</v>
      </c>
      <c r="CEU16" s="314" t="s">
        <v>203</v>
      </c>
      <c r="CEV16" s="314" t="s">
        <v>203</v>
      </c>
      <c r="CEW16" s="314" t="s">
        <v>203</v>
      </c>
      <c r="CEX16" s="314" t="s">
        <v>203</v>
      </c>
      <c r="CEY16" s="314" t="s">
        <v>203</v>
      </c>
      <c r="CEZ16" s="314" t="s">
        <v>203</v>
      </c>
      <c r="CFA16" s="314" t="s">
        <v>203</v>
      </c>
      <c r="CFB16" s="314" t="s">
        <v>203</v>
      </c>
      <c r="CFC16" s="314" t="s">
        <v>203</v>
      </c>
      <c r="CFD16" s="314" t="s">
        <v>203</v>
      </c>
      <c r="CFE16" s="314" t="s">
        <v>203</v>
      </c>
      <c r="CFF16" s="314" t="s">
        <v>203</v>
      </c>
      <c r="CFG16" s="314" t="s">
        <v>203</v>
      </c>
      <c r="CFH16" s="314" t="s">
        <v>203</v>
      </c>
      <c r="CFI16" s="314" t="s">
        <v>203</v>
      </c>
      <c r="CFJ16" s="314" t="s">
        <v>203</v>
      </c>
      <c r="CFK16" s="314" t="s">
        <v>203</v>
      </c>
      <c r="CFL16" s="314" t="s">
        <v>203</v>
      </c>
      <c r="CFM16" s="314" t="s">
        <v>203</v>
      </c>
      <c r="CFN16" s="314" t="s">
        <v>203</v>
      </c>
      <c r="CFO16" s="314" t="s">
        <v>203</v>
      </c>
      <c r="CFP16" s="314" t="s">
        <v>203</v>
      </c>
      <c r="CFQ16" s="314" t="s">
        <v>203</v>
      </c>
      <c r="CFR16" s="314" t="s">
        <v>203</v>
      </c>
      <c r="CFS16" s="314" t="s">
        <v>203</v>
      </c>
      <c r="CFT16" s="314" t="s">
        <v>203</v>
      </c>
      <c r="CFU16" s="314" t="s">
        <v>203</v>
      </c>
      <c r="CFV16" s="314" t="s">
        <v>203</v>
      </c>
      <c r="CFW16" s="314" t="s">
        <v>203</v>
      </c>
      <c r="CFX16" s="314" t="s">
        <v>203</v>
      </c>
      <c r="CFY16" s="314" t="s">
        <v>203</v>
      </c>
      <c r="CFZ16" s="314" t="s">
        <v>203</v>
      </c>
      <c r="CGA16" s="314" t="s">
        <v>203</v>
      </c>
      <c r="CGB16" s="314" t="s">
        <v>203</v>
      </c>
      <c r="CGC16" s="314" t="s">
        <v>203</v>
      </c>
      <c r="CGD16" s="314" t="s">
        <v>203</v>
      </c>
      <c r="CGE16" s="314" t="s">
        <v>203</v>
      </c>
      <c r="CGF16" s="314" t="s">
        <v>203</v>
      </c>
      <c r="CGG16" s="314" t="s">
        <v>203</v>
      </c>
      <c r="CGH16" s="314" t="s">
        <v>203</v>
      </c>
      <c r="CGI16" s="314" t="s">
        <v>203</v>
      </c>
      <c r="CGJ16" s="314" t="s">
        <v>203</v>
      </c>
      <c r="CGK16" s="314" t="s">
        <v>203</v>
      </c>
      <c r="CGL16" s="314" t="s">
        <v>203</v>
      </c>
      <c r="CGM16" s="314" t="s">
        <v>203</v>
      </c>
      <c r="CGN16" s="314" t="s">
        <v>203</v>
      </c>
      <c r="CGO16" s="314" t="s">
        <v>203</v>
      </c>
      <c r="CGP16" s="314" t="s">
        <v>203</v>
      </c>
      <c r="CGQ16" s="314" t="s">
        <v>203</v>
      </c>
      <c r="CGR16" s="314" t="s">
        <v>203</v>
      </c>
      <c r="CGS16" s="314" t="s">
        <v>203</v>
      </c>
      <c r="CGT16" s="314" t="s">
        <v>203</v>
      </c>
      <c r="CGU16" s="314" t="s">
        <v>203</v>
      </c>
      <c r="CGV16" s="314" t="s">
        <v>203</v>
      </c>
      <c r="CGW16" s="314" t="s">
        <v>203</v>
      </c>
      <c r="CGX16" s="314" t="s">
        <v>203</v>
      </c>
      <c r="CGY16" s="314" t="s">
        <v>203</v>
      </c>
      <c r="CGZ16" s="314" t="s">
        <v>203</v>
      </c>
      <c r="CHA16" s="314" t="s">
        <v>203</v>
      </c>
      <c r="CHB16" s="314" t="s">
        <v>203</v>
      </c>
      <c r="CHC16" s="314" t="s">
        <v>203</v>
      </c>
      <c r="CHD16" s="314" t="s">
        <v>203</v>
      </c>
      <c r="CHE16" s="314" t="s">
        <v>203</v>
      </c>
      <c r="CHF16" s="314" t="s">
        <v>203</v>
      </c>
      <c r="CHG16" s="314" t="s">
        <v>203</v>
      </c>
      <c r="CHH16" s="314" t="s">
        <v>203</v>
      </c>
      <c r="CHI16" s="314" t="s">
        <v>203</v>
      </c>
      <c r="CHJ16" s="314" t="s">
        <v>203</v>
      </c>
      <c r="CHK16" s="314" t="s">
        <v>203</v>
      </c>
      <c r="CHL16" s="314" t="s">
        <v>203</v>
      </c>
      <c r="CHM16" s="314" t="s">
        <v>203</v>
      </c>
      <c r="CHN16" s="314" t="s">
        <v>203</v>
      </c>
      <c r="CHO16" s="314" t="s">
        <v>203</v>
      </c>
      <c r="CHP16" s="314" t="s">
        <v>203</v>
      </c>
      <c r="CHQ16" s="314" t="s">
        <v>203</v>
      </c>
      <c r="CHR16" s="314" t="s">
        <v>203</v>
      </c>
      <c r="CHS16" s="314" t="s">
        <v>203</v>
      </c>
      <c r="CHT16" s="314" t="s">
        <v>203</v>
      </c>
      <c r="CHU16" s="314" t="s">
        <v>203</v>
      </c>
      <c r="CHV16" s="314" t="s">
        <v>203</v>
      </c>
      <c r="CHW16" s="314" t="s">
        <v>203</v>
      </c>
      <c r="CHX16" s="314" t="s">
        <v>203</v>
      </c>
      <c r="CHY16" s="314" t="s">
        <v>203</v>
      </c>
      <c r="CHZ16" s="314" t="s">
        <v>203</v>
      </c>
      <c r="CIA16" s="314" t="s">
        <v>203</v>
      </c>
      <c r="CIB16" s="314" t="s">
        <v>203</v>
      </c>
      <c r="CIC16" s="314" t="s">
        <v>203</v>
      </c>
      <c r="CID16" s="314" t="s">
        <v>203</v>
      </c>
      <c r="CIE16" s="314" t="s">
        <v>203</v>
      </c>
      <c r="CIF16" s="314" t="s">
        <v>203</v>
      </c>
      <c r="CIG16" s="314" t="s">
        <v>203</v>
      </c>
      <c r="CIH16" s="314" t="s">
        <v>203</v>
      </c>
      <c r="CII16" s="314" t="s">
        <v>203</v>
      </c>
      <c r="CIJ16" s="314" t="s">
        <v>203</v>
      </c>
      <c r="CIK16" s="314" t="s">
        <v>203</v>
      </c>
      <c r="CIL16" s="314" t="s">
        <v>203</v>
      </c>
      <c r="CIM16" s="314" t="s">
        <v>203</v>
      </c>
      <c r="CIN16" s="314" t="s">
        <v>203</v>
      </c>
      <c r="CIO16" s="314" t="s">
        <v>203</v>
      </c>
      <c r="CIP16" s="314" t="s">
        <v>203</v>
      </c>
      <c r="CIQ16" s="314" t="s">
        <v>203</v>
      </c>
      <c r="CIR16" s="314" t="s">
        <v>203</v>
      </c>
      <c r="CIS16" s="314" t="s">
        <v>203</v>
      </c>
      <c r="CIT16" s="314" t="s">
        <v>203</v>
      </c>
      <c r="CIU16" s="314" t="s">
        <v>203</v>
      </c>
      <c r="CIV16" s="314" t="s">
        <v>203</v>
      </c>
      <c r="CIW16" s="314" t="s">
        <v>203</v>
      </c>
      <c r="CIX16" s="314" t="s">
        <v>203</v>
      </c>
      <c r="CIY16" s="314" t="s">
        <v>203</v>
      </c>
      <c r="CIZ16" s="314" t="s">
        <v>203</v>
      </c>
      <c r="CJA16" s="314" t="s">
        <v>203</v>
      </c>
      <c r="CJB16" s="314" t="s">
        <v>203</v>
      </c>
      <c r="CJC16" s="314" t="s">
        <v>203</v>
      </c>
      <c r="CJD16" s="314" t="s">
        <v>203</v>
      </c>
      <c r="CJE16" s="314" t="s">
        <v>203</v>
      </c>
      <c r="CJF16" s="314" t="s">
        <v>203</v>
      </c>
      <c r="CJG16" s="314" t="s">
        <v>203</v>
      </c>
      <c r="CJH16" s="314" t="s">
        <v>203</v>
      </c>
      <c r="CJI16" s="314" t="s">
        <v>203</v>
      </c>
      <c r="CJJ16" s="314" t="s">
        <v>203</v>
      </c>
      <c r="CJK16" s="314" t="s">
        <v>203</v>
      </c>
      <c r="CJL16" s="314" t="s">
        <v>203</v>
      </c>
      <c r="CJM16" s="314" t="s">
        <v>203</v>
      </c>
      <c r="CJN16" s="314" t="s">
        <v>203</v>
      </c>
      <c r="CJO16" s="314" t="s">
        <v>203</v>
      </c>
      <c r="CJP16" s="314" t="s">
        <v>203</v>
      </c>
      <c r="CJQ16" s="314" t="s">
        <v>203</v>
      </c>
      <c r="CJR16" s="314" t="s">
        <v>203</v>
      </c>
      <c r="CJS16" s="314" t="s">
        <v>203</v>
      </c>
      <c r="CJT16" s="314" t="s">
        <v>203</v>
      </c>
      <c r="CJU16" s="314" t="s">
        <v>203</v>
      </c>
      <c r="CJV16" s="314" t="s">
        <v>203</v>
      </c>
      <c r="CJW16" s="314" t="s">
        <v>203</v>
      </c>
      <c r="CJX16" s="314" t="s">
        <v>203</v>
      </c>
      <c r="CJY16" s="314" t="s">
        <v>203</v>
      </c>
      <c r="CJZ16" s="314" t="s">
        <v>203</v>
      </c>
      <c r="CKA16" s="314" t="s">
        <v>203</v>
      </c>
      <c r="CKB16" s="314" t="s">
        <v>203</v>
      </c>
      <c r="CKC16" s="314" t="s">
        <v>203</v>
      </c>
      <c r="CKD16" s="314" t="s">
        <v>203</v>
      </c>
      <c r="CKE16" s="314" t="s">
        <v>203</v>
      </c>
      <c r="CKF16" s="314" t="s">
        <v>203</v>
      </c>
      <c r="CKG16" s="314" t="s">
        <v>203</v>
      </c>
      <c r="CKH16" s="314" t="s">
        <v>203</v>
      </c>
      <c r="CKI16" s="314" t="s">
        <v>203</v>
      </c>
      <c r="CKJ16" s="314" t="s">
        <v>203</v>
      </c>
      <c r="CKK16" s="314" t="s">
        <v>203</v>
      </c>
      <c r="CKL16" s="314" t="s">
        <v>203</v>
      </c>
      <c r="CKM16" s="314" t="s">
        <v>203</v>
      </c>
      <c r="CKN16" s="314" t="s">
        <v>203</v>
      </c>
      <c r="CKO16" s="314" t="s">
        <v>203</v>
      </c>
      <c r="CKP16" s="314" t="s">
        <v>203</v>
      </c>
      <c r="CKQ16" s="314" t="s">
        <v>203</v>
      </c>
      <c r="CKR16" s="314" t="s">
        <v>203</v>
      </c>
      <c r="CKS16" s="314" t="s">
        <v>203</v>
      </c>
      <c r="CKT16" s="314" t="s">
        <v>203</v>
      </c>
      <c r="CKU16" s="314" t="s">
        <v>203</v>
      </c>
      <c r="CKV16" s="314" t="s">
        <v>203</v>
      </c>
      <c r="CKW16" s="314" t="s">
        <v>203</v>
      </c>
      <c r="CKX16" s="314" t="s">
        <v>203</v>
      </c>
      <c r="CKY16" s="314" t="s">
        <v>203</v>
      </c>
      <c r="CKZ16" s="314" t="s">
        <v>203</v>
      </c>
      <c r="CLA16" s="314" t="s">
        <v>203</v>
      </c>
      <c r="CLB16" s="314" t="s">
        <v>203</v>
      </c>
      <c r="CLC16" s="314" t="s">
        <v>203</v>
      </c>
      <c r="CLD16" s="314" t="s">
        <v>203</v>
      </c>
      <c r="CLE16" s="314" t="s">
        <v>203</v>
      </c>
      <c r="CLF16" s="314" t="s">
        <v>203</v>
      </c>
      <c r="CLG16" s="314" t="s">
        <v>203</v>
      </c>
      <c r="CLH16" s="314" t="s">
        <v>203</v>
      </c>
      <c r="CLI16" s="314" t="s">
        <v>203</v>
      </c>
      <c r="CLJ16" s="314" t="s">
        <v>203</v>
      </c>
      <c r="CLK16" s="314" t="s">
        <v>203</v>
      </c>
      <c r="CLL16" s="314" t="s">
        <v>203</v>
      </c>
      <c r="CLM16" s="314" t="s">
        <v>203</v>
      </c>
      <c r="CLN16" s="314" t="s">
        <v>203</v>
      </c>
      <c r="CLO16" s="314" t="s">
        <v>203</v>
      </c>
      <c r="CLP16" s="314" t="s">
        <v>203</v>
      </c>
      <c r="CLQ16" s="314" t="s">
        <v>203</v>
      </c>
      <c r="CLR16" s="314" t="s">
        <v>203</v>
      </c>
      <c r="CLS16" s="314" t="s">
        <v>203</v>
      </c>
      <c r="CLT16" s="314" t="s">
        <v>203</v>
      </c>
      <c r="CLU16" s="314" t="s">
        <v>203</v>
      </c>
      <c r="CLV16" s="314" t="s">
        <v>203</v>
      </c>
      <c r="CLW16" s="314" t="s">
        <v>203</v>
      </c>
      <c r="CLX16" s="314" t="s">
        <v>203</v>
      </c>
      <c r="CLY16" s="314" t="s">
        <v>203</v>
      </c>
      <c r="CLZ16" s="314" t="s">
        <v>203</v>
      </c>
      <c r="CMA16" s="314" t="s">
        <v>203</v>
      </c>
      <c r="CMB16" s="314" t="s">
        <v>203</v>
      </c>
      <c r="CMC16" s="314" t="s">
        <v>203</v>
      </c>
      <c r="CMD16" s="314" t="s">
        <v>203</v>
      </c>
      <c r="CME16" s="314" t="s">
        <v>203</v>
      </c>
      <c r="CMF16" s="314" t="s">
        <v>203</v>
      </c>
      <c r="CMG16" s="314" t="s">
        <v>203</v>
      </c>
      <c r="CMH16" s="314" t="s">
        <v>203</v>
      </c>
      <c r="CMI16" s="314" t="s">
        <v>203</v>
      </c>
      <c r="CMJ16" s="314" t="s">
        <v>203</v>
      </c>
      <c r="CMK16" s="314" t="s">
        <v>203</v>
      </c>
      <c r="CML16" s="314" t="s">
        <v>203</v>
      </c>
      <c r="CMM16" s="314" t="s">
        <v>203</v>
      </c>
      <c r="CMN16" s="314" t="s">
        <v>203</v>
      </c>
      <c r="CMO16" s="314" t="s">
        <v>203</v>
      </c>
      <c r="CMP16" s="314" t="s">
        <v>203</v>
      </c>
      <c r="CMQ16" s="314" t="s">
        <v>203</v>
      </c>
      <c r="CMR16" s="314" t="s">
        <v>203</v>
      </c>
      <c r="CMS16" s="314" t="s">
        <v>203</v>
      </c>
      <c r="CMT16" s="314" t="s">
        <v>203</v>
      </c>
      <c r="CMU16" s="314" t="s">
        <v>203</v>
      </c>
      <c r="CMV16" s="314" t="s">
        <v>203</v>
      </c>
      <c r="CMW16" s="314" t="s">
        <v>203</v>
      </c>
      <c r="CMX16" s="314" t="s">
        <v>203</v>
      </c>
      <c r="CMY16" s="314" t="s">
        <v>203</v>
      </c>
      <c r="CMZ16" s="314" t="s">
        <v>203</v>
      </c>
      <c r="CNA16" s="314" t="s">
        <v>203</v>
      </c>
      <c r="CNB16" s="314" t="s">
        <v>203</v>
      </c>
      <c r="CNC16" s="314" t="s">
        <v>203</v>
      </c>
      <c r="CND16" s="314" t="s">
        <v>203</v>
      </c>
      <c r="CNE16" s="314" t="s">
        <v>203</v>
      </c>
      <c r="CNF16" s="314" t="s">
        <v>203</v>
      </c>
      <c r="CNG16" s="314" t="s">
        <v>203</v>
      </c>
      <c r="CNH16" s="314" t="s">
        <v>203</v>
      </c>
      <c r="CNI16" s="314" t="s">
        <v>203</v>
      </c>
      <c r="CNJ16" s="314" t="s">
        <v>203</v>
      </c>
      <c r="CNK16" s="314" t="s">
        <v>203</v>
      </c>
      <c r="CNL16" s="314" t="s">
        <v>203</v>
      </c>
      <c r="CNM16" s="314" t="s">
        <v>203</v>
      </c>
      <c r="CNN16" s="314" t="s">
        <v>203</v>
      </c>
      <c r="CNO16" s="314" t="s">
        <v>203</v>
      </c>
      <c r="CNP16" s="314" t="s">
        <v>203</v>
      </c>
      <c r="CNQ16" s="314" t="s">
        <v>203</v>
      </c>
      <c r="CNR16" s="314" t="s">
        <v>203</v>
      </c>
      <c r="CNS16" s="314" t="s">
        <v>203</v>
      </c>
      <c r="CNT16" s="314" t="s">
        <v>203</v>
      </c>
      <c r="CNU16" s="314" t="s">
        <v>203</v>
      </c>
      <c r="CNV16" s="314" t="s">
        <v>203</v>
      </c>
      <c r="CNW16" s="314" t="s">
        <v>203</v>
      </c>
      <c r="CNX16" s="314" t="s">
        <v>203</v>
      </c>
      <c r="CNY16" s="314" t="s">
        <v>203</v>
      </c>
      <c r="CNZ16" s="314" t="s">
        <v>203</v>
      </c>
      <c r="COA16" s="314" t="s">
        <v>203</v>
      </c>
      <c r="COB16" s="314" t="s">
        <v>203</v>
      </c>
      <c r="COC16" s="314" t="s">
        <v>203</v>
      </c>
      <c r="COD16" s="314" t="s">
        <v>203</v>
      </c>
      <c r="COE16" s="314" t="s">
        <v>203</v>
      </c>
      <c r="COF16" s="314" t="s">
        <v>203</v>
      </c>
      <c r="COG16" s="314" t="s">
        <v>203</v>
      </c>
      <c r="COH16" s="314" t="s">
        <v>203</v>
      </c>
      <c r="COI16" s="314" t="s">
        <v>203</v>
      </c>
      <c r="COJ16" s="314" t="s">
        <v>203</v>
      </c>
      <c r="COK16" s="314" t="s">
        <v>203</v>
      </c>
      <c r="COL16" s="314" t="s">
        <v>203</v>
      </c>
      <c r="COM16" s="314" t="s">
        <v>203</v>
      </c>
      <c r="CON16" s="314" t="s">
        <v>203</v>
      </c>
      <c r="COO16" s="314" t="s">
        <v>203</v>
      </c>
      <c r="COP16" s="314" t="s">
        <v>203</v>
      </c>
      <c r="COQ16" s="314" t="s">
        <v>203</v>
      </c>
      <c r="COR16" s="314" t="s">
        <v>203</v>
      </c>
      <c r="COS16" s="314" t="s">
        <v>203</v>
      </c>
      <c r="COT16" s="314" t="s">
        <v>203</v>
      </c>
      <c r="COU16" s="314" t="s">
        <v>203</v>
      </c>
      <c r="COV16" s="314" t="s">
        <v>203</v>
      </c>
      <c r="COW16" s="314" t="s">
        <v>203</v>
      </c>
      <c r="COX16" s="314" t="s">
        <v>203</v>
      </c>
      <c r="COY16" s="314" t="s">
        <v>203</v>
      </c>
      <c r="COZ16" s="314" t="s">
        <v>203</v>
      </c>
      <c r="CPA16" s="314" t="s">
        <v>203</v>
      </c>
      <c r="CPB16" s="314" t="s">
        <v>203</v>
      </c>
      <c r="CPC16" s="314" t="s">
        <v>203</v>
      </c>
      <c r="CPD16" s="314" t="s">
        <v>203</v>
      </c>
      <c r="CPE16" s="314" t="s">
        <v>203</v>
      </c>
      <c r="CPF16" s="314" t="s">
        <v>203</v>
      </c>
      <c r="CPG16" s="314" t="s">
        <v>203</v>
      </c>
      <c r="CPH16" s="314" t="s">
        <v>203</v>
      </c>
      <c r="CPI16" s="314" t="s">
        <v>203</v>
      </c>
      <c r="CPJ16" s="314" t="s">
        <v>203</v>
      </c>
      <c r="CPK16" s="314" t="s">
        <v>203</v>
      </c>
      <c r="CPL16" s="314" t="s">
        <v>203</v>
      </c>
      <c r="CPM16" s="314" t="s">
        <v>203</v>
      </c>
      <c r="CPN16" s="314" t="s">
        <v>203</v>
      </c>
      <c r="CPO16" s="314" t="s">
        <v>203</v>
      </c>
      <c r="CPP16" s="314" t="s">
        <v>203</v>
      </c>
      <c r="CPQ16" s="314" t="s">
        <v>203</v>
      </c>
      <c r="CPR16" s="314" t="s">
        <v>203</v>
      </c>
      <c r="CPS16" s="314" t="s">
        <v>203</v>
      </c>
      <c r="CPT16" s="314" t="s">
        <v>203</v>
      </c>
      <c r="CPU16" s="314" t="s">
        <v>203</v>
      </c>
      <c r="CPV16" s="314" t="s">
        <v>203</v>
      </c>
      <c r="CPW16" s="314" t="s">
        <v>203</v>
      </c>
      <c r="CPX16" s="314" t="s">
        <v>203</v>
      </c>
      <c r="CPY16" s="314" t="s">
        <v>203</v>
      </c>
      <c r="CPZ16" s="314" t="s">
        <v>203</v>
      </c>
      <c r="CQA16" s="314" t="s">
        <v>203</v>
      </c>
      <c r="CQB16" s="314" t="s">
        <v>203</v>
      </c>
      <c r="CQC16" s="314" t="s">
        <v>203</v>
      </c>
      <c r="CQD16" s="314" t="s">
        <v>203</v>
      </c>
      <c r="CQE16" s="314" t="s">
        <v>203</v>
      </c>
      <c r="CQF16" s="314" t="s">
        <v>203</v>
      </c>
      <c r="CQG16" s="314" t="s">
        <v>203</v>
      </c>
      <c r="CQH16" s="314" t="s">
        <v>203</v>
      </c>
      <c r="CQI16" s="314" t="s">
        <v>203</v>
      </c>
      <c r="CQJ16" s="314" t="s">
        <v>203</v>
      </c>
      <c r="CQK16" s="314" t="s">
        <v>203</v>
      </c>
      <c r="CQL16" s="314" t="s">
        <v>203</v>
      </c>
      <c r="CQM16" s="314" t="s">
        <v>203</v>
      </c>
      <c r="CQN16" s="314" t="s">
        <v>203</v>
      </c>
      <c r="CQO16" s="314" t="s">
        <v>203</v>
      </c>
      <c r="CQP16" s="314" t="s">
        <v>203</v>
      </c>
      <c r="CQQ16" s="314" t="s">
        <v>203</v>
      </c>
      <c r="CQR16" s="314" t="s">
        <v>203</v>
      </c>
      <c r="CQS16" s="314" t="s">
        <v>203</v>
      </c>
      <c r="CQT16" s="314" t="s">
        <v>203</v>
      </c>
      <c r="CQU16" s="314" t="s">
        <v>203</v>
      </c>
      <c r="CQV16" s="314" t="s">
        <v>203</v>
      </c>
      <c r="CQW16" s="314" t="s">
        <v>203</v>
      </c>
      <c r="CQX16" s="314" t="s">
        <v>203</v>
      </c>
      <c r="CQY16" s="314" t="s">
        <v>203</v>
      </c>
      <c r="CQZ16" s="314" t="s">
        <v>203</v>
      </c>
      <c r="CRA16" s="314" t="s">
        <v>203</v>
      </c>
      <c r="CRB16" s="314" t="s">
        <v>203</v>
      </c>
      <c r="CRC16" s="314" t="s">
        <v>203</v>
      </c>
      <c r="CRD16" s="314" t="s">
        <v>203</v>
      </c>
      <c r="CRE16" s="314" t="s">
        <v>203</v>
      </c>
      <c r="CRF16" s="314" t="s">
        <v>203</v>
      </c>
      <c r="CRG16" s="314" t="s">
        <v>203</v>
      </c>
      <c r="CRH16" s="314" t="s">
        <v>203</v>
      </c>
      <c r="CRI16" s="314" t="s">
        <v>203</v>
      </c>
      <c r="CRJ16" s="314" t="s">
        <v>203</v>
      </c>
      <c r="CRK16" s="314" t="s">
        <v>203</v>
      </c>
      <c r="CRL16" s="314" t="s">
        <v>203</v>
      </c>
      <c r="CRM16" s="314" t="s">
        <v>203</v>
      </c>
      <c r="CRN16" s="314" t="s">
        <v>203</v>
      </c>
      <c r="CRO16" s="314" t="s">
        <v>203</v>
      </c>
      <c r="CRP16" s="314" t="s">
        <v>203</v>
      </c>
      <c r="CRQ16" s="314" t="s">
        <v>203</v>
      </c>
      <c r="CRR16" s="314" t="s">
        <v>203</v>
      </c>
      <c r="CRS16" s="314" t="s">
        <v>203</v>
      </c>
      <c r="CRT16" s="314" t="s">
        <v>203</v>
      </c>
      <c r="CRU16" s="314" t="s">
        <v>203</v>
      </c>
      <c r="CRV16" s="314" t="s">
        <v>203</v>
      </c>
      <c r="CRW16" s="314" t="s">
        <v>203</v>
      </c>
      <c r="CRX16" s="314" t="s">
        <v>203</v>
      </c>
      <c r="CRY16" s="314" t="s">
        <v>203</v>
      </c>
      <c r="CRZ16" s="314" t="s">
        <v>203</v>
      </c>
      <c r="CSA16" s="314" t="s">
        <v>203</v>
      </c>
      <c r="CSB16" s="314" t="s">
        <v>203</v>
      </c>
      <c r="CSC16" s="314" t="s">
        <v>203</v>
      </c>
      <c r="CSD16" s="314" t="s">
        <v>203</v>
      </c>
      <c r="CSE16" s="314" t="s">
        <v>203</v>
      </c>
      <c r="CSF16" s="314" t="s">
        <v>203</v>
      </c>
      <c r="CSG16" s="314" t="s">
        <v>203</v>
      </c>
      <c r="CSH16" s="314" t="s">
        <v>203</v>
      </c>
      <c r="CSI16" s="314" t="s">
        <v>203</v>
      </c>
      <c r="CSJ16" s="314" t="s">
        <v>203</v>
      </c>
      <c r="CSK16" s="314" t="s">
        <v>203</v>
      </c>
      <c r="CSL16" s="314" t="s">
        <v>203</v>
      </c>
      <c r="CSM16" s="314" t="s">
        <v>203</v>
      </c>
      <c r="CSN16" s="314" t="s">
        <v>203</v>
      </c>
      <c r="CSO16" s="314" t="s">
        <v>203</v>
      </c>
      <c r="CSP16" s="314" t="s">
        <v>203</v>
      </c>
      <c r="CSQ16" s="314" t="s">
        <v>203</v>
      </c>
      <c r="CSR16" s="314" t="s">
        <v>203</v>
      </c>
      <c r="CSS16" s="314" t="s">
        <v>203</v>
      </c>
      <c r="CST16" s="314" t="s">
        <v>203</v>
      </c>
      <c r="CSU16" s="314" t="s">
        <v>203</v>
      </c>
      <c r="CSV16" s="314" t="s">
        <v>203</v>
      </c>
      <c r="CSW16" s="314" t="s">
        <v>203</v>
      </c>
      <c r="CSX16" s="314" t="s">
        <v>203</v>
      </c>
      <c r="CSY16" s="314" t="s">
        <v>203</v>
      </c>
      <c r="CSZ16" s="314" t="s">
        <v>203</v>
      </c>
      <c r="CTA16" s="314" t="s">
        <v>203</v>
      </c>
      <c r="CTB16" s="314" t="s">
        <v>203</v>
      </c>
      <c r="CTC16" s="314" t="s">
        <v>203</v>
      </c>
      <c r="CTD16" s="314" t="s">
        <v>203</v>
      </c>
      <c r="CTE16" s="314" t="s">
        <v>203</v>
      </c>
      <c r="CTF16" s="314" t="s">
        <v>203</v>
      </c>
      <c r="CTG16" s="314" t="s">
        <v>203</v>
      </c>
      <c r="CTH16" s="314" t="s">
        <v>203</v>
      </c>
      <c r="CTI16" s="314" t="s">
        <v>203</v>
      </c>
      <c r="CTJ16" s="314" t="s">
        <v>203</v>
      </c>
      <c r="CTK16" s="314" t="s">
        <v>203</v>
      </c>
      <c r="CTL16" s="314" t="s">
        <v>203</v>
      </c>
      <c r="CTM16" s="314" t="s">
        <v>203</v>
      </c>
      <c r="CTN16" s="314" t="s">
        <v>203</v>
      </c>
      <c r="CTO16" s="314" t="s">
        <v>203</v>
      </c>
      <c r="CTP16" s="314" t="s">
        <v>203</v>
      </c>
      <c r="CTQ16" s="314" t="s">
        <v>203</v>
      </c>
      <c r="CTR16" s="314" t="s">
        <v>203</v>
      </c>
      <c r="CTS16" s="314" t="s">
        <v>203</v>
      </c>
      <c r="CTT16" s="314" t="s">
        <v>203</v>
      </c>
      <c r="CTU16" s="314" t="s">
        <v>203</v>
      </c>
      <c r="CTV16" s="314" t="s">
        <v>203</v>
      </c>
      <c r="CTW16" s="314" t="s">
        <v>203</v>
      </c>
      <c r="CTX16" s="314" t="s">
        <v>203</v>
      </c>
      <c r="CTY16" s="314" t="s">
        <v>203</v>
      </c>
      <c r="CTZ16" s="314" t="s">
        <v>203</v>
      </c>
      <c r="CUA16" s="314" t="s">
        <v>203</v>
      </c>
      <c r="CUB16" s="314" t="s">
        <v>203</v>
      </c>
      <c r="CUC16" s="314" t="s">
        <v>203</v>
      </c>
      <c r="CUD16" s="314" t="s">
        <v>203</v>
      </c>
      <c r="CUE16" s="314" t="s">
        <v>203</v>
      </c>
      <c r="CUF16" s="314" t="s">
        <v>203</v>
      </c>
      <c r="CUG16" s="314" t="s">
        <v>203</v>
      </c>
      <c r="CUH16" s="314" t="s">
        <v>203</v>
      </c>
      <c r="CUI16" s="314" t="s">
        <v>203</v>
      </c>
      <c r="CUJ16" s="314" t="s">
        <v>203</v>
      </c>
      <c r="CUK16" s="314" t="s">
        <v>203</v>
      </c>
      <c r="CUL16" s="314" t="s">
        <v>203</v>
      </c>
      <c r="CUM16" s="314" t="s">
        <v>203</v>
      </c>
      <c r="CUN16" s="314" t="s">
        <v>203</v>
      </c>
      <c r="CUO16" s="314" t="s">
        <v>203</v>
      </c>
      <c r="CUP16" s="314" t="s">
        <v>203</v>
      </c>
      <c r="CUQ16" s="314" t="s">
        <v>203</v>
      </c>
      <c r="CUR16" s="314" t="s">
        <v>203</v>
      </c>
      <c r="CUS16" s="314" t="s">
        <v>203</v>
      </c>
      <c r="CUT16" s="314" t="s">
        <v>203</v>
      </c>
      <c r="CUU16" s="314" t="s">
        <v>203</v>
      </c>
      <c r="CUV16" s="314" t="s">
        <v>203</v>
      </c>
      <c r="CUW16" s="314" t="s">
        <v>203</v>
      </c>
      <c r="CUX16" s="314" t="s">
        <v>203</v>
      </c>
      <c r="CUY16" s="314" t="s">
        <v>203</v>
      </c>
      <c r="CUZ16" s="314" t="s">
        <v>203</v>
      </c>
      <c r="CVA16" s="314" t="s">
        <v>203</v>
      </c>
      <c r="CVB16" s="314" t="s">
        <v>203</v>
      </c>
      <c r="CVC16" s="314" t="s">
        <v>203</v>
      </c>
      <c r="CVD16" s="314" t="s">
        <v>203</v>
      </c>
      <c r="CVE16" s="314" t="s">
        <v>203</v>
      </c>
      <c r="CVF16" s="314" t="s">
        <v>203</v>
      </c>
      <c r="CVG16" s="314" t="s">
        <v>203</v>
      </c>
      <c r="CVH16" s="314" t="s">
        <v>203</v>
      </c>
      <c r="CVI16" s="314" t="s">
        <v>203</v>
      </c>
      <c r="CVJ16" s="314" t="s">
        <v>203</v>
      </c>
      <c r="CVK16" s="314" t="s">
        <v>203</v>
      </c>
      <c r="CVL16" s="314" t="s">
        <v>203</v>
      </c>
      <c r="CVM16" s="314" t="s">
        <v>203</v>
      </c>
      <c r="CVN16" s="314" t="s">
        <v>203</v>
      </c>
      <c r="CVO16" s="314" t="s">
        <v>203</v>
      </c>
      <c r="CVP16" s="314" t="s">
        <v>203</v>
      </c>
      <c r="CVQ16" s="314" t="s">
        <v>203</v>
      </c>
      <c r="CVR16" s="314" t="s">
        <v>203</v>
      </c>
      <c r="CVS16" s="314" t="s">
        <v>203</v>
      </c>
      <c r="CVT16" s="314" t="s">
        <v>203</v>
      </c>
      <c r="CVU16" s="314" t="s">
        <v>203</v>
      </c>
      <c r="CVV16" s="314" t="s">
        <v>203</v>
      </c>
      <c r="CVW16" s="314" t="s">
        <v>203</v>
      </c>
      <c r="CVX16" s="314" t="s">
        <v>203</v>
      </c>
      <c r="CVY16" s="314" t="s">
        <v>203</v>
      </c>
      <c r="CVZ16" s="314" t="s">
        <v>203</v>
      </c>
      <c r="CWA16" s="314" t="s">
        <v>203</v>
      </c>
      <c r="CWB16" s="314" t="s">
        <v>203</v>
      </c>
      <c r="CWC16" s="314" t="s">
        <v>203</v>
      </c>
      <c r="CWD16" s="314" t="s">
        <v>203</v>
      </c>
      <c r="CWE16" s="314" t="s">
        <v>203</v>
      </c>
      <c r="CWF16" s="314" t="s">
        <v>203</v>
      </c>
      <c r="CWG16" s="314" t="s">
        <v>203</v>
      </c>
      <c r="CWH16" s="314" t="s">
        <v>203</v>
      </c>
      <c r="CWI16" s="314" t="s">
        <v>203</v>
      </c>
      <c r="CWJ16" s="314" t="s">
        <v>203</v>
      </c>
      <c r="CWK16" s="314" t="s">
        <v>203</v>
      </c>
      <c r="CWL16" s="314" t="s">
        <v>203</v>
      </c>
      <c r="CWM16" s="314" t="s">
        <v>203</v>
      </c>
      <c r="CWN16" s="314" t="s">
        <v>203</v>
      </c>
      <c r="CWO16" s="314" t="s">
        <v>203</v>
      </c>
      <c r="CWP16" s="314" t="s">
        <v>203</v>
      </c>
      <c r="CWQ16" s="314" t="s">
        <v>203</v>
      </c>
      <c r="CWR16" s="314" t="s">
        <v>203</v>
      </c>
      <c r="CWS16" s="314" t="s">
        <v>203</v>
      </c>
      <c r="CWT16" s="314" t="s">
        <v>203</v>
      </c>
      <c r="CWU16" s="314" t="s">
        <v>203</v>
      </c>
      <c r="CWV16" s="314" t="s">
        <v>203</v>
      </c>
      <c r="CWW16" s="314" t="s">
        <v>203</v>
      </c>
      <c r="CWX16" s="314" t="s">
        <v>203</v>
      </c>
      <c r="CWY16" s="314" t="s">
        <v>203</v>
      </c>
      <c r="CWZ16" s="314" t="s">
        <v>203</v>
      </c>
      <c r="CXA16" s="314" t="s">
        <v>203</v>
      </c>
      <c r="CXB16" s="314" t="s">
        <v>203</v>
      </c>
      <c r="CXC16" s="314" t="s">
        <v>203</v>
      </c>
      <c r="CXD16" s="314" t="s">
        <v>203</v>
      </c>
      <c r="CXE16" s="314" t="s">
        <v>203</v>
      </c>
      <c r="CXF16" s="314" t="s">
        <v>203</v>
      </c>
      <c r="CXG16" s="314" t="s">
        <v>203</v>
      </c>
      <c r="CXH16" s="314" t="s">
        <v>203</v>
      </c>
      <c r="CXI16" s="314" t="s">
        <v>203</v>
      </c>
      <c r="CXJ16" s="314" t="s">
        <v>203</v>
      </c>
      <c r="CXK16" s="314" t="s">
        <v>203</v>
      </c>
      <c r="CXL16" s="314" t="s">
        <v>203</v>
      </c>
      <c r="CXM16" s="314" t="s">
        <v>203</v>
      </c>
      <c r="CXN16" s="314" t="s">
        <v>203</v>
      </c>
      <c r="CXO16" s="314" t="s">
        <v>203</v>
      </c>
      <c r="CXP16" s="314" t="s">
        <v>203</v>
      </c>
      <c r="CXQ16" s="314" t="s">
        <v>203</v>
      </c>
      <c r="CXR16" s="314" t="s">
        <v>203</v>
      </c>
      <c r="CXS16" s="314" t="s">
        <v>203</v>
      </c>
      <c r="CXT16" s="314" t="s">
        <v>203</v>
      </c>
      <c r="CXU16" s="314" t="s">
        <v>203</v>
      </c>
      <c r="CXV16" s="314" t="s">
        <v>203</v>
      </c>
      <c r="CXW16" s="314" t="s">
        <v>203</v>
      </c>
      <c r="CXX16" s="314" t="s">
        <v>203</v>
      </c>
      <c r="CXY16" s="314" t="s">
        <v>203</v>
      </c>
      <c r="CXZ16" s="314" t="s">
        <v>203</v>
      </c>
      <c r="CYA16" s="314" t="s">
        <v>203</v>
      </c>
      <c r="CYB16" s="314" t="s">
        <v>203</v>
      </c>
      <c r="CYC16" s="314" t="s">
        <v>203</v>
      </c>
      <c r="CYD16" s="314" t="s">
        <v>203</v>
      </c>
      <c r="CYE16" s="314" t="s">
        <v>203</v>
      </c>
      <c r="CYF16" s="314" t="s">
        <v>203</v>
      </c>
      <c r="CYG16" s="314" t="s">
        <v>203</v>
      </c>
      <c r="CYH16" s="314" t="s">
        <v>203</v>
      </c>
      <c r="CYI16" s="314" t="s">
        <v>203</v>
      </c>
      <c r="CYJ16" s="314" t="s">
        <v>203</v>
      </c>
      <c r="CYK16" s="314" t="s">
        <v>203</v>
      </c>
      <c r="CYL16" s="314" t="s">
        <v>203</v>
      </c>
      <c r="CYM16" s="314" t="s">
        <v>203</v>
      </c>
      <c r="CYN16" s="314" t="s">
        <v>203</v>
      </c>
      <c r="CYO16" s="314" t="s">
        <v>203</v>
      </c>
      <c r="CYP16" s="314" t="s">
        <v>203</v>
      </c>
      <c r="CYQ16" s="314" t="s">
        <v>203</v>
      </c>
      <c r="CYR16" s="314" t="s">
        <v>203</v>
      </c>
      <c r="CYS16" s="314" t="s">
        <v>203</v>
      </c>
      <c r="CYT16" s="314" t="s">
        <v>203</v>
      </c>
      <c r="CYU16" s="314" t="s">
        <v>203</v>
      </c>
      <c r="CYV16" s="314" t="s">
        <v>203</v>
      </c>
      <c r="CYW16" s="314" t="s">
        <v>203</v>
      </c>
      <c r="CYX16" s="314" t="s">
        <v>203</v>
      </c>
      <c r="CYY16" s="314" t="s">
        <v>203</v>
      </c>
      <c r="CYZ16" s="314" t="s">
        <v>203</v>
      </c>
      <c r="CZA16" s="314" t="s">
        <v>203</v>
      </c>
      <c r="CZB16" s="314" t="s">
        <v>203</v>
      </c>
      <c r="CZC16" s="314" t="s">
        <v>203</v>
      </c>
      <c r="CZD16" s="314" t="s">
        <v>203</v>
      </c>
      <c r="CZE16" s="314" t="s">
        <v>203</v>
      </c>
      <c r="CZF16" s="314" t="s">
        <v>203</v>
      </c>
      <c r="CZG16" s="314" t="s">
        <v>203</v>
      </c>
      <c r="CZH16" s="314" t="s">
        <v>203</v>
      </c>
      <c r="CZI16" s="314" t="s">
        <v>203</v>
      </c>
      <c r="CZJ16" s="314" t="s">
        <v>203</v>
      </c>
      <c r="CZK16" s="314" t="s">
        <v>203</v>
      </c>
      <c r="CZL16" s="314" t="s">
        <v>203</v>
      </c>
      <c r="CZM16" s="314" t="s">
        <v>203</v>
      </c>
      <c r="CZN16" s="314" t="s">
        <v>203</v>
      </c>
      <c r="CZO16" s="314" t="s">
        <v>203</v>
      </c>
      <c r="CZP16" s="314" t="s">
        <v>203</v>
      </c>
      <c r="CZQ16" s="314" t="s">
        <v>203</v>
      </c>
      <c r="CZR16" s="314" t="s">
        <v>203</v>
      </c>
      <c r="CZS16" s="314" t="s">
        <v>203</v>
      </c>
      <c r="CZT16" s="314" t="s">
        <v>203</v>
      </c>
      <c r="CZU16" s="314" t="s">
        <v>203</v>
      </c>
      <c r="CZV16" s="314" t="s">
        <v>203</v>
      </c>
      <c r="CZW16" s="314" t="s">
        <v>203</v>
      </c>
      <c r="CZX16" s="314" t="s">
        <v>203</v>
      </c>
      <c r="CZY16" s="314" t="s">
        <v>203</v>
      </c>
      <c r="CZZ16" s="314" t="s">
        <v>203</v>
      </c>
      <c r="DAA16" s="314" t="s">
        <v>203</v>
      </c>
      <c r="DAB16" s="314" t="s">
        <v>203</v>
      </c>
      <c r="DAC16" s="314" t="s">
        <v>203</v>
      </c>
      <c r="DAD16" s="314" t="s">
        <v>203</v>
      </c>
      <c r="DAE16" s="314" t="s">
        <v>203</v>
      </c>
      <c r="DAF16" s="314" t="s">
        <v>203</v>
      </c>
      <c r="DAG16" s="314" t="s">
        <v>203</v>
      </c>
      <c r="DAH16" s="314" t="s">
        <v>203</v>
      </c>
      <c r="DAI16" s="314" t="s">
        <v>203</v>
      </c>
      <c r="DAJ16" s="314" t="s">
        <v>203</v>
      </c>
      <c r="DAK16" s="314" t="s">
        <v>203</v>
      </c>
      <c r="DAL16" s="314" t="s">
        <v>203</v>
      </c>
      <c r="DAM16" s="314" t="s">
        <v>203</v>
      </c>
      <c r="DAN16" s="314" t="s">
        <v>203</v>
      </c>
      <c r="DAO16" s="314" t="s">
        <v>203</v>
      </c>
      <c r="DAP16" s="314" t="s">
        <v>203</v>
      </c>
      <c r="DAQ16" s="314" t="s">
        <v>203</v>
      </c>
      <c r="DAR16" s="314" t="s">
        <v>203</v>
      </c>
      <c r="DAS16" s="314" t="s">
        <v>203</v>
      </c>
      <c r="DAT16" s="314" t="s">
        <v>203</v>
      </c>
      <c r="DAU16" s="314" t="s">
        <v>203</v>
      </c>
      <c r="DAV16" s="314" t="s">
        <v>203</v>
      </c>
      <c r="DAW16" s="314" t="s">
        <v>203</v>
      </c>
      <c r="DAX16" s="314" t="s">
        <v>203</v>
      </c>
      <c r="DAY16" s="314" t="s">
        <v>203</v>
      </c>
      <c r="DAZ16" s="314" t="s">
        <v>203</v>
      </c>
      <c r="DBA16" s="314" t="s">
        <v>203</v>
      </c>
      <c r="DBB16" s="314" t="s">
        <v>203</v>
      </c>
      <c r="DBC16" s="314" t="s">
        <v>203</v>
      </c>
      <c r="DBD16" s="314" t="s">
        <v>203</v>
      </c>
      <c r="DBE16" s="314" t="s">
        <v>203</v>
      </c>
      <c r="DBF16" s="314" t="s">
        <v>203</v>
      </c>
      <c r="DBG16" s="314" t="s">
        <v>203</v>
      </c>
      <c r="DBH16" s="314" t="s">
        <v>203</v>
      </c>
      <c r="DBI16" s="314" t="s">
        <v>203</v>
      </c>
      <c r="DBJ16" s="314" t="s">
        <v>203</v>
      </c>
      <c r="DBK16" s="314" t="s">
        <v>203</v>
      </c>
      <c r="DBL16" s="314" t="s">
        <v>203</v>
      </c>
      <c r="DBM16" s="314" t="s">
        <v>203</v>
      </c>
      <c r="DBN16" s="314" t="s">
        <v>203</v>
      </c>
      <c r="DBO16" s="314" t="s">
        <v>203</v>
      </c>
      <c r="DBP16" s="314" t="s">
        <v>203</v>
      </c>
      <c r="DBQ16" s="314" t="s">
        <v>203</v>
      </c>
      <c r="DBR16" s="314" t="s">
        <v>203</v>
      </c>
      <c r="DBS16" s="314" t="s">
        <v>203</v>
      </c>
      <c r="DBT16" s="314" t="s">
        <v>203</v>
      </c>
      <c r="DBU16" s="314" t="s">
        <v>203</v>
      </c>
      <c r="DBV16" s="314" t="s">
        <v>203</v>
      </c>
      <c r="DBW16" s="314" t="s">
        <v>203</v>
      </c>
      <c r="DBX16" s="314" t="s">
        <v>203</v>
      </c>
      <c r="DBY16" s="314" t="s">
        <v>203</v>
      </c>
      <c r="DBZ16" s="314" t="s">
        <v>203</v>
      </c>
      <c r="DCA16" s="314" t="s">
        <v>203</v>
      </c>
      <c r="DCB16" s="314" t="s">
        <v>203</v>
      </c>
      <c r="DCC16" s="314" t="s">
        <v>203</v>
      </c>
      <c r="DCD16" s="314" t="s">
        <v>203</v>
      </c>
      <c r="DCE16" s="314" t="s">
        <v>203</v>
      </c>
      <c r="DCF16" s="314" t="s">
        <v>203</v>
      </c>
      <c r="DCG16" s="314" t="s">
        <v>203</v>
      </c>
      <c r="DCH16" s="314" t="s">
        <v>203</v>
      </c>
      <c r="DCI16" s="314" t="s">
        <v>203</v>
      </c>
      <c r="DCJ16" s="314" t="s">
        <v>203</v>
      </c>
      <c r="DCK16" s="314" t="s">
        <v>203</v>
      </c>
      <c r="DCL16" s="314" t="s">
        <v>203</v>
      </c>
      <c r="DCM16" s="314" t="s">
        <v>203</v>
      </c>
      <c r="DCN16" s="314" t="s">
        <v>203</v>
      </c>
      <c r="DCO16" s="314" t="s">
        <v>203</v>
      </c>
      <c r="DCP16" s="314" t="s">
        <v>203</v>
      </c>
      <c r="DCQ16" s="314" t="s">
        <v>203</v>
      </c>
      <c r="DCR16" s="314" t="s">
        <v>203</v>
      </c>
      <c r="DCS16" s="314" t="s">
        <v>203</v>
      </c>
      <c r="DCT16" s="314" t="s">
        <v>203</v>
      </c>
      <c r="DCU16" s="314" t="s">
        <v>203</v>
      </c>
      <c r="DCV16" s="314" t="s">
        <v>203</v>
      </c>
      <c r="DCW16" s="314" t="s">
        <v>203</v>
      </c>
      <c r="DCX16" s="314" t="s">
        <v>203</v>
      </c>
      <c r="DCY16" s="314" t="s">
        <v>203</v>
      </c>
      <c r="DCZ16" s="314" t="s">
        <v>203</v>
      </c>
      <c r="DDA16" s="314" t="s">
        <v>203</v>
      </c>
      <c r="DDB16" s="314" t="s">
        <v>203</v>
      </c>
      <c r="DDC16" s="314" t="s">
        <v>203</v>
      </c>
      <c r="DDD16" s="314" t="s">
        <v>203</v>
      </c>
      <c r="DDE16" s="314" t="s">
        <v>203</v>
      </c>
      <c r="DDF16" s="314" t="s">
        <v>203</v>
      </c>
      <c r="DDG16" s="314" t="s">
        <v>203</v>
      </c>
      <c r="DDH16" s="314" t="s">
        <v>203</v>
      </c>
      <c r="DDI16" s="314" t="s">
        <v>203</v>
      </c>
      <c r="DDJ16" s="314" t="s">
        <v>203</v>
      </c>
      <c r="DDK16" s="314" t="s">
        <v>203</v>
      </c>
      <c r="DDL16" s="314" t="s">
        <v>203</v>
      </c>
      <c r="DDM16" s="314" t="s">
        <v>203</v>
      </c>
      <c r="DDN16" s="314" t="s">
        <v>203</v>
      </c>
      <c r="DDO16" s="314" t="s">
        <v>203</v>
      </c>
      <c r="DDP16" s="314" t="s">
        <v>203</v>
      </c>
      <c r="DDQ16" s="314" t="s">
        <v>203</v>
      </c>
      <c r="DDR16" s="314" t="s">
        <v>203</v>
      </c>
      <c r="DDS16" s="314" t="s">
        <v>203</v>
      </c>
      <c r="DDT16" s="314" t="s">
        <v>203</v>
      </c>
      <c r="DDU16" s="314" t="s">
        <v>203</v>
      </c>
      <c r="DDV16" s="314" t="s">
        <v>203</v>
      </c>
      <c r="DDW16" s="314" t="s">
        <v>203</v>
      </c>
      <c r="DDX16" s="314" t="s">
        <v>203</v>
      </c>
      <c r="DDY16" s="314" t="s">
        <v>203</v>
      </c>
      <c r="DDZ16" s="314" t="s">
        <v>203</v>
      </c>
      <c r="DEA16" s="314" t="s">
        <v>203</v>
      </c>
      <c r="DEB16" s="314" t="s">
        <v>203</v>
      </c>
      <c r="DEC16" s="314" t="s">
        <v>203</v>
      </c>
      <c r="DED16" s="314" t="s">
        <v>203</v>
      </c>
      <c r="DEE16" s="314" t="s">
        <v>203</v>
      </c>
      <c r="DEF16" s="314" t="s">
        <v>203</v>
      </c>
      <c r="DEG16" s="314" t="s">
        <v>203</v>
      </c>
      <c r="DEH16" s="314" t="s">
        <v>203</v>
      </c>
      <c r="DEI16" s="314" t="s">
        <v>203</v>
      </c>
      <c r="DEJ16" s="314" t="s">
        <v>203</v>
      </c>
      <c r="DEK16" s="314" t="s">
        <v>203</v>
      </c>
      <c r="DEL16" s="314" t="s">
        <v>203</v>
      </c>
      <c r="DEM16" s="314" t="s">
        <v>203</v>
      </c>
      <c r="DEN16" s="314" t="s">
        <v>203</v>
      </c>
      <c r="DEO16" s="314" t="s">
        <v>203</v>
      </c>
      <c r="DEP16" s="314" t="s">
        <v>203</v>
      </c>
      <c r="DEQ16" s="314" t="s">
        <v>203</v>
      </c>
      <c r="DER16" s="314" t="s">
        <v>203</v>
      </c>
      <c r="DES16" s="314" t="s">
        <v>203</v>
      </c>
      <c r="DET16" s="314" t="s">
        <v>203</v>
      </c>
      <c r="DEU16" s="314" t="s">
        <v>203</v>
      </c>
      <c r="DEV16" s="314" t="s">
        <v>203</v>
      </c>
      <c r="DEW16" s="314" t="s">
        <v>203</v>
      </c>
      <c r="DEX16" s="314" t="s">
        <v>203</v>
      </c>
      <c r="DEY16" s="314" t="s">
        <v>203</v>
      </c>
      <c r="DEZ16" s="314" t="s">
        <v>203</v>
      </c>
      <c r="DFA16" s="314" t="s">
        <v>203</v>
      </c>
      <c r="DFB16" s="314" t="s">
        <v>203</v>
      </c>
      <c r="DFC16" s="314" t="s">
        <v>203</v>
      </c>
      <c r="DFD16" s="314" t="s">
        <v>203</v>
      </c>
      <c r="DFE16" s="314" t="s">
        <v>203</v>
      </c>
      <c r="DFF16" s="314" t="s">
        <v>203</v>
      </c>
      <c r="DFG16" s="314" t="s">
        <v>203</v>
      </c>
      <c r="DFH16" s="314" t="s">
        <v>203</v>
      </c>
      <c r="DFI16" s="314" t="s">
        <v>203</v>
      </c>
      <c r="DFJ16" s="314" t="s">
        <v>203</v>
      </c>
      <c r="DFK16" s="314" t="s">
        <v>203</v>
      </c>
      <c r="DFL16" s="314" t="s">
        <v>203</v>
      </c>
      <c r="DFM16" s="314" t="s">
        <v>203</v>
      </c>
      <c r="DFN16" s="314" t="s">
        <v>203</v>
      </c>
      <c r="DFO16" s="314" t="s">
        <v>203</v>
      </c>
      <c r="DFP16" s="314" t="s">
        <v>203</v>
      </c>
      <c r="DFQ16" s="314" t="s">
        <v>203</v>
      </c>
      <c r="DFR16" s="314" t="s">
        <v>203</v>
      </c>
      <c r="DFS16" s="314" t="s">
        <v>203</v>
      </c>
      <c r="DFT16" s="314" t="s">
        <v>203</v>
      </c>
      <c r="DFU16" s="314" t="s">
        <v>203</v>
      </c>
      <c r="DFV16" s="314" t="s">
        <v>203</v>
      </c>
      <c r="DFW16" s="314" t="s">
        <v>203</v>
      </c>
      <c r="DFX16" s="314" t="s">
        <v>203</v>
      </c>
      <c r="DFY16" s="314" t="s">
        <v>203</v>
      </c>
      <c r="DFZ16" s="314" t="s">
        <v>203</v>
      </c>
      <c r="DGA16" s="314" t="s">
        <v>203</v>
      </c>
      <c r="DGB16" s="314" t="s">
        <v>203</v>
      </c>
      <c r="DGC16" s="314" t="s">
        <v>203</v>
      </c>
      <c r="DGD16" s="314" t="s">
        <v>203</v>
      </c>
      <c r="DGE16" s="314" t="s">
        <v>203</v>
      </c>
      <c r="DGF16" s="314" t="s">
        <v>203</v>
      </c>
      <c r="DGG16" s="314" t="s">
        <v>203</v>
      </c>
      <c r="DGH16" s="314" t="s">
        <v>203</v>
      </c>
      <c r="DGI16" s="314" t="s">
        <v>203</v>
      </c>
      <c r="DGJ16" s="314" t="s">
        <v>203</v>
      </c>
      <c r="DGK16" s="314" t="s">
        <v>203</v>
      </c>
      <c r="DGL16" s="314" t="s">
        <v>203</v>
      </c>
      <c r="DGM16" s="314" t="s">
        <v>203</v>
      </c>
      <c r="DGN16" s="314" t="s">
        <v>203</v>
      </c>
      <c r="DGO16" s="314" t="s">
        <v>203</v>
      </c>
      <c r="DGP16" s="314" t="s">
        <v>203</v>
      </c>
      <c r="DGQ16" s="314" t="s">
        <v>203</v>
      </c>
      <c r="DGR16" s="314" t="s">
        <v>203</v>
      </c>
      <c r="DGS16" s="314" t="s">
        <v>203</v>
      </c>
      <c r="DGT16" s="314" t="s">
        <v>203</v>
      </c>
      <c r="DGU16" s="314" t="s">
        <v>203</v>
      </c>
      <c r="DGV16" s="314" t="s">
        <v>203</v>
      </c>
      <c r="DGW16" s="314" t="s">
        <v>203</v>
      </c>
      <c r="DGX16" s="314" t="s">
        <v>203</v>
      </c>
      <c r="DGY16" s="314" t="s">
        <v>203</v>
      </c>
      <c r="DGZ16" s="314" t="s">
        <v>203</v>
      </c>
      <c r="DHA16" s="314" t="s">
        <v>203</v>
      </c>
      <c r="DHB16" s="314" t="s">
        <v>203</v>
      </c>
      <c r="DHC16" s="314" t="s">
        <v>203</v>
      </c>
      <c r="DHD16" s="314" t="s">
        <v>203</v>
      </c>
      <c r="DHE16" s="314" t="s">
        <v>203</v>
      </c>
      <c r="DHF16" s="314" t="s">
        <v>203</v>
      </c>
      <c r="DHG16" s="314" t="s">
        <v>203</v>
      </c>
      <c r="DHH16" s="314" t="s">
        <v>203</v>
      </c>
      <c r="DHI16" s="314" t="s">
        <v>203</v>
      </c>
      <c r="DHJ16" s="314" t="s">
        <v>203</v>
      </c>
      <c r="DHK16" s="314" t="s">
        <v>203</v>
      </c>
      <c r="DHL16" s="314" t="s">
        <v>203</v>
      </c>
      <c r="DHM16" s="314" t="s">
        <v>203</v>
      </c>
      <c r="DHN16" s="314" t="s">
        <v>203</v>
      </c>
      <c r="DHO16" s="314" t="s">
        <v>203</v>
      </c>
      <c r="DHP16" s="314" t="s">
        <v>203</v>
      </c>
      <c r="DHQ16" s="314" t="s">
        <v>203</v>
      </c>
      <c r="DHR16" s="314" t="s">
        <v>203</v>
      </c>
      <c r="DHS16" s="314" t="s">
        <v>203</v>
      </c>
      <c r="DHT16" s="314" t="s">
        <v>203</v>
      </c>
      <c r="DHU16" s="314" t="s">
        <v>203</v>
      </c>
      <c r="DHV16" s="314" t="s">
        <v>203</v>
      </c>
      <c r="DHW16" s="314" t="s">
        <v>203</v>
      </c>
      <c r="DHX16" s="314" t="s">
        <v>203</v>
      </c>
      <c r="DHY16" s="314" t="s">
        <v>203</v>
      </c>
      <c r="DHZ16" s="314" t="s">
        <v>203</v>
      </c>
      <c r="DIA16" s="314" t="s">
        <v>203</v>
      </c>
      <c r="DIB16" s="314" t="s">
        <v>203</v>
      </c>
      <c r="DIC16" s="314" t="s">
        <v>203</v>
      </c>
      <c r="DID16" s="314" t="s">
        <v>203</v>
      </c>
      <c r="DIE16" s="314" t="s">
        <v>203</v>
      </c>
      <c r="DIF16" s="314" t="s">
        <v>203</v>
      </c>
      <c r="DIG16" s="314" t="s">
        <v>203</v>
      </c>
      <c r="DIH16" s="314" t="s">
        <v>203</v>
      </c>
      <c r="DII16" s="314" t="s">
        <v>203</v>
      </c>
      <c r="DIJ16" s="314" t="s">
        <v>203</v>
      </c>
      <c r="DIK16" s="314" t="s">
        <v>203</v>
      </c>
      <c r="DIL16" s="314" t="s">
        <v>203</v>
      </c>
      <c r="DIM16" s="314" t="s">
        <v>203</v>
      </c>
      <c r="DIN16" s="314" t="s">
        <v>203</v>
      </c>
      <c r="DIO16" s="314" t="s">
        <v>203</v>
      </c>
      <c r="DIP16" s="314" t="s">
        <v>203</v>
      </c>
      <c r="DIQ16" s="314" t="s">
        <v>203</v>
      </c>
      <c r="DIR16" s="314" t="s">
        <v>203</v>
      </c>
      <c r="DIS16" s="314" t="s">
        <v>203</v>
      </c>
      <c r="DIT16" s="314" t="s">
        <v>203</v>
      </c>
      <c r="DIU16" s="314" t="s">
        <v>203</v>
      </c>
      <c r="DIV16" s="314" t="s">
        <v>203</v>
      </c>
      <c r="DIW16" s="314" t="s">
        <v>203</v>
      </c>
      <c r="DIX16" s="314" t="s">
        <v>203</v>
      </c>
      <c r="DIY16" s="314" t="s">
        <v>203</v>
      </c>
      <c r="DIZ16" s="314" t="s">
        <v>203</v>
      </c>
      <c r="DJA16" s="314" t="s">
        <v>203</v>
      </c>
      <c r="DJB16" s="314" t="s">
        <v>203</v>
      </c>
      <c r="DJC16" s="314" t="s">
        <v>203</v>
      </c>
      <c r="DJD16" s="314" t="s">
        <v>203</v>
      </c>
      <c r="DJE16" s="314" t="s">
        <v>203</v>
      </c>
      <c r="DJF16" s="314" t="s">
        <v>203</v>
      </c>
      <c r="DJG16" s="314" t="s">
        <v>203</v>
      </c>
      <c r="DJH16" s="314" t="s">
        <v>203</v>
      </c>
      <c r="DJI16" s="314" t="s">
        <v>203</v>
      </c>
      <c r="DJJ16" s="314" t="s">
        <v>203</v>
      </c>
      <c r="DJK16" s="314" t="s">
        <v>203</v>
      </c>
      <c r="DJL16" s="314" t="s">
        <v>203</v>
      </c>
      <c r="DJM16" s="314" t="s">
        <v>203</v>
      </c>
      <c r="DJN16" s="314" t="s">
        <v>203</v>
      </c>
      <c r="DJO16" s="314" t="s">
        <v>203</v>
      </c>
      <c r="DJP16" s="314" t="s">
        <v>203</v>
      </c>
      <c r="DJQ16" s="314" t="s">
        <v>203</v>
      </c>
      <c r="DJR16" s="314" t="s">
        <v>203</v>
      </c>
      <c r="DJS16" s="314" t="s">
        <v>203</v>
      </c>
      <c r="DJT16" s="314" t="s">
        <v>203</v>
      </c>
      <c r="DJU16" s="314" t="s">
        <v>203</v>
      </c>
      <c r="DJV16" s="314" t="s">
        <v>203</v>
      </c>
      <c r="DJW16" s="314" t="s">
        <v>203</v>
      </c>
      <c r="DJX16" s="314" t="s">
        <v>203</v>
      </c>
      <c r="DJY16" s="314" t="s">
        <v>203</v>
      </c>
      <c r="DJZ16" s="314" t="s">
        <v>203</v>
      </c>
      <c r="DKA16" s="314" t="s">
        <v>203</v>
      </c>
      <c r="DKB16" s="314" t="s">
        <v>203</v>
      </c>
      <c r="DKC16" s="314" t="s">
        <v>203</v>
      </c>
      <c r="DKD16" s="314" t="s">
        <v>203</v>
      </c>
      <c r="DKE16" s="314" t="s">
        <v>203</v>
      </c>
      <c r="DKF16" s="314" t="s">
        <v>203</v>
      </c>
      <c r="DKG16" s="314" t="s">
        <v>203</v>
      </c>
      <c r="DKH16" s="314" t="s">
        <v>203</v>
      </c>
      <c r="DKI16" s="314" t="s">
        <v>203</v>
      </c>
      <c r="DKJ16" s="314" t="s">
        <v>203</v>
      </c>
      <c r="DKK16" s="314" t="s">
        <v>203</v>
      </c>
      <c r="DKL16" s="314" t="s">
        <v>203</v>
      </c>
      <c r="DKM16" s="314" t="s">
        <v>203</v>
      </c>
      <c r="DKN16" s="314" t="s">
        <v>203</v>
      </c>
      <c r="DKO16" s="314" t="s">
        <v>203</v>
      </c>
      <c r="DKP16" s="314" t="s">
        <v>203</v>
      </c>
      <c r="DKQ16" s="314" t="s">
        <v>203</v>
      </c>
      <c r="DKR16" s="314" t="s">
        <v>203</v>
      </c>
      <c r="DKS16" s="314" t="s">
        <v>203</v>
      </c>
      <c r="DKT16" s="314" t="s">
        <v>203</v>
      </c>
      <c r="DKU16" s="314" t="s">
        <v>203</v>
      </c>
      <c r="DKV16" s="314" t="s">
        <v>203</v>
      </c>
      <c r="DKW16" s="314" t="s">
        <v>203</v>
      </c>
      <c r="DKX16" s="314" t="s">
        <v>203</v>
      </c>
      <c r="DKY16" s="314" t="s">
        <v>203</v>
      </c>
      <c r="DKZ16" s="314" t="s">
        <v>203</v>
      </c>
      <c r="DLA16" s="314" t="s">
        <v>203</v>
      </c>
      <c r="DLB16" s="314" t="s">
        <v>203</v>
      </c>
      <c r="DLC16" s="314" t="s">
        <v>203</v>
      </c>
      <c r="DLD16" s="314" t="s">
        <v>203</v>
      </c>
      <c r="DLE16" s="314" t="s">
        <v>203</v>
      </c>
      <c r="DLF16" s="314" t="s">
        <v>203</v>
      </c>
      <c r="DLG16" s="314" t="s">
        <v>203</v>
      </c>
      <c r="DLH16" s="314" t="s">
        <v>203</v>
      </c>
      <c r="DLI16" s="314" t="s">
        <v>203</v>
      </c>
      <c r="DLJ16" s="314" t="s">
        <v>203</v>
      </c>
      <c r="DLK16" s="314" t="s">
        <v>203</v>
      </c>
      <c r="DLL16" s="314" t="s">
        <v>203</v>
      </c>
      <c r="DLM16" s="314" t="s">
        <v>203</v>
      </c>
      <c r="DLN16" s="314" t="s">
        <v>203</v>
      </c>
      <c r="DLO16" s="314" t="s">
        <v>203</v>
      </c>
      <c r="DLP16" s="314" t="s">
        <v>203</v>
      </c>
      <c r="DLQ16" s="314" t="s">
        <v>203</v>
      </c>
      <c r="DLR16" s="314" t="s">
        <v>203</v>
      </c>
      <c r="DLS16" s="314" t="s">
        <v>203</v>
      </c>
      <c r="DLT16" s="314" t="s">
        <v>203</v>
      </c>
      <c r="DLU16" s="314" t="s">
        <v>203</v>
      </c>
      <c r="DLV16" s="314" t="s">
        <v>203</v>
      </c>
      <c r="DLW16" s="314" t="s">
        <v>203</v>
      </c>
      <c r="DLX16" s="314" t="s">
        <v>203</v>
      </c>
      <c r="DLY16" s="314" t="s">
        <v>203</v>
      </c>
      <c r="DLZ16" s="314" t="s">
        <v>203</v>
      </c>
      <c r="DMA16" s="314" t="s">
        <v>203</v>
      </c>
      <c r="DMB16" s="314" t="s">
        <v>203</v>
      </c>
      <c r="DMC16" s="314" t="s">
        <v>203</v>
      </c>
      <c r="DMD16" s="314" t="s">
        <v>203</v>
      </c>
      <c r="DME16" s="314" t="s">
        <v>203</v>
      </c>
      <c r="DMF16" s="314" t="s">
        <v>203</v>
      </c>
      <c r="DMG16" s="314" t="s">
        <v>203</v>
      </c>
      <c r="DMH16" s="314" t="s">
        <v>203</v>
      </c>
      <c r="DMI16" s="314" t="s">
        <v>203</v>
      </c>
      <c r="DMJ16" s="314" t="s">
        <v>203</v>
      </c>
      <c r="DMK16" s="314" t="s">
        <v>203</v>
      </c>
      <c r="DML16" s="314" t="s">
        <v>203</v>
      </c>
      <c r="DMM16" s="314" t="s">
        <v>203</v>
      </c>
      <c r="DMN16" s="314" t="s">
        <v>203</v>
      </c>
      <c r="DMO16" s="314" t="s">
        <v>203</v>
      </c>
      <c r="DMP16" s="314" t="s">
        <v>203</v>
      </c>
      <c r="DMQ16" s="314" t="s">
        <v>203</v>
      </c>
      <c r="DMR16" s="314" t="s">
        <v>203</v>
      </c>
      <c r="DMS16" s="314" t="s">
        <v>203</v>
      </c>
      <c r="DMT16" s="314" t="s">
        <v>203</v>
      </c>
      <c r="DMU16" s="314" t="s">
        <v>203</v>
      </c>
      <c r="DMV16" s="314" t="s">
        <v>203</v>
      </c>
      <c r="DMW16" s="314" t="s">
        <v>203</v>
      </c>
      <c r="DMX16" s="314" t="s">
        <v>203</v>
      </c>
      <c r="DMY16" s="314" t="s">
        <v>203</v>
      </c>
      <c r="DMZ16" s="314" t="s">
        <v>203</v>
      </c>
      <c r="DNA16" s="314" t="s">
        <v>203</v>
      </c>
      <c r="DNB16" s="314" t="s">
        <v>203</v>
      </c>
      <c r="DNC16" s="314" t="s">
        <v>203</v>
      </c>
      <c r="DND16" s="314" t="s">
        <v>203</v>
      </c>
      <c r="DNE16" s="314" t="s">
        <v>203</v>
      </c>
      <c r="DNF16" s="314" t="s">
        <v>203</v>
      </c>
      <c r="DNG16" s="314" t="s">
        <v>203</v>
      </c>
      <c r="DNH16" s="314" t="s">
        <v>203</v>
      </c>
      <c r="DNI16" s="314" t="s">
        <v>203</v>
      </c>
      <c r="DNJ16" s="314" t="s">
        <v>203</v>
      </c>
      <c r="DNK16" s="314" t="s">
        <v>203</v>
      </c>
      <c r="DNL16" s="314" t="s">
        <v>203</v>
      </c>
      <c r="DNM16" s="314" t="s">
        <v>203</v>
      </c>
      <c r="DNN16" s="314" t="s">
        <v>203</v>
      </c>
      <c r="DNO16" s="314" t="s">
        <v>203</v>
      </c>
      <c r="DNP16" s="314" t="s">
        <v>203</v>
      </c>
      <c r="DNQ16" s="314" t="s">
        <v>203</v>
      </c>
      <c r="DNR16" s="314" t="s">
        <v>203</v>
      </c>
      <c r="DNS16" s="314" t="s">
        <v>203</v>
      </c>
      <c r="DNT16" s="314" t="s">
        <v>203</v>
      </c>
      <c r="DNU16" s="314" t="s">
        <v>203</v>
      </c>
      <c r="DNV16" s="314" t="s">
        <v>203</v>
      </c>
      <c r="DNW16" s="314" t="s">
        <v>203</v>
      </c>
      <c r="DNX16" s="314" t="s">
        <v>203</v>
      </c>
      <c r="DNY16" s="314" t="s">
        <v>203</v>
      </c>
      <c r="DNZ16" s="314" t="s">
        <v>203</v>
      </c>
      <c r="DOA16" s="314" t="s">
        <v>203</v>
      </c>
      <c r="DOB16" s="314" t="s">
        <v>203</v>
      </c>
      <c r="DOC16" s="314" t="s">
        <v>203</v>
      </c>
      <c r="DOD16" s="314" t="s">
        <v>203</v>
      </c>
      <c r="DOE16" s="314" t="s">
        <v>203</v>
      </c>
      <c r="DOF16" s="314" t="s">
        <v>203</v>
      </c>
      <c r="DOG16" s="314" t="s">
        <v>203</v>
      </c>
      <c r="DOH16" s="314" t="s">
        <v>203</v>
      </c>
      <c r="DOI16" s="314" t="s">
        <v>203</v>
      </c>
      <c r="DOJ16" s="314" t="s">
        <v>203</v>
      </c>
      <c r="DOK16" s="314" t="s">
        <v>203</v>
      </c>
      <c r="DOL16" s="314" t="s">
        <v>203</v>
      </c>
      <c r="DOM16" s="314" t="s">
        <v>203</v>
      </c>
      <c r="DON16" s="314" t="s">
        <v>203</v>
      </c>
      <c r="DOO16" s="314" t="s">
        <v>203</v>
      </c>
      <c r="DOP16" s="314" t="s">
        <v>203</v>
      </c>
      <c r="DOQ16" s="314" t="s">
        <v>203</v>
      </c>
      <c r="DOR16" s="314" t="s">
        <v>203</v>
      </c>
      <c r="DOS16" s="314" t="s">
        <v>203</v>
      </c>
      <c r="DOT16" s="314" t="s">
        <v>203</v>
      </c>
      <c r="DOU16" s="314" t="s">
        <v>203</v>
      </c>
      <c r="DOV16" s="314" t="s">
        <v>203</v>
      </c>
      <c r="DOW16" s="314" t="s">
        <v>203</v>
      </c>
      <c r="DOX16" s="314" t="s">
        <v>203</v>
      </c>
      <c r="DOY16" s="314" t="s">
        <v>203</v>
      </c>
      <c r="DOZ16" s="314" t="s">
        <v>203</v>
      </c>
      <c r="DPA16" s="314" t="s">
        <v>203</v>
      </c>
      <c r="DPB16" s="314" t="s">
        <v>203</v>
      </c>
      <c r="DPC16" s="314" t="s">
        <v>203</v>
      </c>
      <c r="DPD16" s="314" t="s">
        <v>203</v>
      </c>
      <c r="DPE16" s="314" t="s">
        <v>203</v>
      </c>
      <c r="DPF16" s="314" t="s">
        <v>203</v>
      </c>
      <c r="DPG16" s="314" t="s">
        <v>203</v>
      </c>
      <c r="DPH16" s="314" t="s">
        <v>203</v>
      </c>
      <c r="DPI16" s="314" t="s">
        <v>203</v>
      </c>
      <c r="DPJ16" s="314" t="s">
        <v>203</v>
      </c>
      <c r="DPK16" s="314" t="s">
        <v>203</v>
      </c>
      <c r="DPL16" s="314" t="s">
        <v>203</v>
      </c>
      <c r="DPM16" s="314" t="s">
        <v>203</v>
      </c>
      <c r="DPN16" s="314" t="s">
        <v>203</v>
      </c>
      <c r="DPO16" s="314" t="s">
        <v>203</v>
      </c>
      <c r="DPP16" s="314" t="s">
        <v>203</v>
      </c>
      <c r="DPQ16" s="314" t="s">
        <v>203</v>
      </c>
      <c r="DPR16" s="314" t="s">
        <v>203</v>
      </c>
      <c r="DPS16" s="314" t="s">
        <v>203</v>
      </c>
      <c r="DPT16" s="314" t="s">
        <v>203</v>
      </c>
      <c r="DPU16" s="314" t="s">
        <v>203</v>
      </c>
      <c r="DPV16" s="314" t="s">
        <v>203</v>
      </c>
      <c r="DPW16" s="314" t="s">
        <v>203</v>
      </c>
      <c r="DPX16" s="314" t="s">
        <v>203</v>
      </c>
      <c r="DPY16" s="314" t="s">
        <v>203</v>
      </c>
      <c r="DPZ16" s="314" t="s">
        <v>203</v>
      </c>
      <c r="DQA16" s="314" t="s">
        <v>203</v>
      </c>
      <c r="DQB16" s="314" t="s">
        <v>203</v>
      </c>
      <c r="DQC16" s="314" t="s">
        <v>203</v>
      </c>
      <c r="DQD16" s="314" t="s">
        <v>203</v>
      </c>
      <c r="DQE16" s="314" t="s">
        <v>203</v>
      </c>
      <c r="DQF16" s="314" t="s">
        <v>203</v>
      </c>
      <c r="DQG16" s="314" t="s">
        <v>203</v>
      </c>
      <c r="DQH16" s="314" t="s">
        <v>203</v>
      </c>
      <c r="DQI16" s="314" t="s">
        <v>203</v>
      </c>
      <c r="DQJ16" s="314" t="s">
        <v>203</v>
      </c>
      <c r="DQK16" s="314" t="s">
        <v>203</v>
      </c>
      <c r="DQL16" s="314" t="s">
        <v>203</v>
      </c>
      <c r="DQM16" s="314" t="s">
        <v>203</v>
      </c>
      <c r="DQN16" s="314" t="s">
        <v>203</v>
      </c>
      <c r="DQO16" s="314" t="s">
        <v>203</v>
      </c>
      <c r="DQP16" s="314" t="s">
        <v>203</v>
      </c>
      <c r="DQQ16" s="314" t="s">
        <v>203</v>
      </c>
      <c r="DQR16" s="314" t="s">
        <v>203</v>
      </c>
      <c r="DQS16" s="314" t="s">
        <v>203</v>
      </c>
      <c r="DQT16" s="314" t="s">
        <v>203</v>
      </c>
      <c r="DQU16" s="314" t="s">
        <v>203</v>
      </c>
      <c r="DQV16" s="314" t="s">
        <v>203</v>
      </c>
      <c r="DQW16" s="314" t="s">
        <v>203</v>
      </c>
      <c r="DQX16" s="314" t="s">
        <v>203</v>
      </c>
      <c r="DQY16" s="314" t="s">
        <v>203</v>
      </c>
      <c r="DQZ16" s="314" t="s">
        <v>203</v>
      </c>
      <c r="DRA16" s="314" t="s">
        <v>203</v>
      </c>
      <c r="DRB16" s="314" t="s">
        <v>203</v>
      </c>
      <c r="DRC16" s="314" t="s">
        <v>203</v>
      </c>
      <c r="DRD16" s="314" t="s">
        <v>203</v>
      </c>
      <c r="DRE16" s="314" t="s">
        <v>203</v>
      </c>
      <c r="DRF16" s="314" t="s">
        <v>203</v>
      </c>
      <c r="DRG16" s="314" t="s">
        <v>203</v>
      </c>
      <c r="DRH16" s="314" t="s">
        <v>203</v>
      </c>
      <c r="DRI16" s="314" t="s">
        <v>203</v>
      </c>
      <c r="DRJ16" s="314" t="s">
        <v>203</v>
      </c>
      <c r="DRK16" s="314" t="s">
        <v>203</v>
      </c>
      <c r="DRL16" s="314" t="s">
        <v>203</v>
      </c>
      <c r="DRM16" s="314" t="s">
        <v>203</v>
      </c>
      <c r="DRN16" s="314" t="s">
        <v>203</v>
      </c>
      <c r="DRO16" s="314" t="s">
        <v>203</v>
      </c>
      <c r="DRP16" s="314" t="s">
        <v>203</v>
      </c>
      <c r="DRQ16" s="314" t="s">
        <v>203</v>
      </c>
      <c r="DRR16" s="314" t="s">
        <v>203</v>
      </c>
      <c r="DRS16" s="314" t="s">
        <v>203</v>
      </c>
      <c r="DRT16" s="314" t="s">
        <v>203</v>
      </c>
      <c r="DRU16" s="314" t="s">
        <v>203</v>
      </c>
      <c r="DRV16" s="314" t="s">
        <v>203</v>
      </c>
      <c r="DRW16" s="314" t="s">
        <v>203</v>
      </c>
      <c r="DRX16" s="314" t="s">
        <v>203</v>
      </c>
      <c r="DRY16" s="314" t="s">
        <v>203</v>
      </c>
      <c r="DRZ16" s="314" t="s">
        <v>203</v>
      </c>
      <c r="DSA16" s="314" t="s">
        <v>203</v>
      </c>
      <c r="DSB16" s="314" t="s">
        <v>203</v>
      </c>
      <c r="DSC16" s="314" t="s">
        <v>203</v>
      </c>
      <c r="DSD16" s="314" t="s">
        <v>203</v>
      </c>
      <c r="DSE16" s="314" t="s">
        <v>203</v>
      </c>
      <c r="DSF16" s="314" t="s">
        <v>203</v>
      </c>
      <c r="DSG16" s="314" t="s">
        <v>203</v>
      </c>
      <c r="DSH16" s="314" t="s">
        <v>203</v>
      </c>
      <c r="DSI16" s="314" t="s">
        <v>203</v>
      </c>
      <c r="DSJ16" s="314" t="s">
        <v>203</v>
      </c>
      <c r="DSK16" s="314" t="s">
        <v>203</v>
      </c>
      <c r="DSL16" s="314" t="s">
        <v>203</v>
      </c>
      <c r="DSM16" s="314" t="s">
        <v>203</v>
      </c>
      <c r="DSN16" s="314" t="s">
        <v>203</v>
      </c>
      <c r="DSO16" s="314" t="s">
        <v>203</v>
      </c>
      <c r="DSP16" s="314" t="s">
        <v>203</v>
      </c>
      <c r="DSQ16" s="314" t="s">
        <v>203</v>
      </c>
      <c r="DSR16" s="314" t="s">
        <v>203</v>
      </c>
      <c r="DSS16" s="314" t="s">
        <v>203</v>
      </c>
      <c r="DST16" s="314" t="s">
        <v>203</v>
      </c>
      <c r="DSU16" s="314" t="s">
        <v>203</v>
      </c>
      <c r="DSV16" s="314" t="s">
        <v>203</v>
      </c>
      <c r="DSW16" s="314" t="s">
        <v>203</v>
      </c>
      <c r="DSX16" s="314" t="s">
        <v>203</v>
      </c>
      <c r="DSY16" s="314" t="s">
        <v>203</v>
      </c>
      <c r="DSZ16" s="314" t="s">
        <v>203</v>
      </c>
      <c r="DTA16" s="314" t="s">
        <v>203</v>
      </c>
      <c r="DTB16" s="314" t="s">
        <v>203</v>
      </c>
      <c r="DTC16" s="314" t="s">
        <v>203</v>
      </c>
      <c r="DTD16" s="314" t="s">
        <v>203</v>
      </c>
      <c r="DTE16" s="314" t="s">
        <v>203</v>
      </c>
      <c r="DTF16" s="314" t="s">
        <v>203</v>
      </c>
      <c r="DTG16" s="314" t="s">
        <v>203</v>
      </c>
      <c r="DTH16" s="314" t="s">
        <v>203</v>
      </c>
      <c r="DTI16" s="314" t="s">
        <v>203</v>
      </c>
      <c r="DTJ16" s="314" t="s">
        <v>203</v>
      </c>
      <c r="DTK16" s="314" t="s">
        <v>203</v>
      </c>
      <c r="DTL16" s="314" t="s">
        <v>203</v>
      </c>
      <c r="DTM16" s="314" t="s">
        <v>203</v>
      </c>
      <c r="DTN16" s="314" t="s">
        <v>203</v>
      </c>
      <c r="DTO16" s="314" t="s">
        <v>203</v>
      </c>
      <c r="DTP16" s="314" t="s">
        <v>203</v>
      </c>
      <c r="DTQ16" s="314" t="s">
        <v>203</v>
      </c>
      <c r="DTR16" s="314" t="s">
        <v>203</v>
      </c>
      <c r="DTS16" s="314" t="s">
        <v>203</v>
      </c>
      <c r="DTT16" s="314" t="s">
        <v>203</v>
      </c>
      <c r="DTU16" s="314" t="s">
        <v>203</v>
      </c>
      <c r="DTV16" s="314" t="s">
        <v>203</v>
      </c>
      <c r="DTW16" s="314" t="s">
        <v>203</v>
      </c>
      <c r="DTX16" s="314" t="s">
        <v>203</v>
      </c>
      <c r="DTY16" s="314" t="s">
        <v>203</v>
      </c>
      <c r="DTZ16" s="314" t="s">
        <v>203</v>
      </c>
      <c r="DUA16" s="314" t="s">
        <v>203</v>
      </c>
      <c r="DUB16" s="314" t="s">
        <v>203</v>
      </c>
      <c r="DUC16" s="314" t="s">
        <v>203</v>
      </c>
      <c r="DUD16" s="314" t="s">
        <v>203</v>
      </c>
      <c r="DUE16" s="314" t="s">
        <v>203</v>
      </c>
      <c r="DUF16" s="314" t="s">
        <v>203</v>
      </c>
      <c r="DUG16" s="314" t="s">
        <v>203</v>
      </c>
      <c r="DUH16" s="314" t="s">
        <v>203</v>
      </c>
      <c r="DUI16" s="314" t="s">
        <v>203</v>
      </c>
      <c r="DUJ16" s="314" t="s">
        <v>203</v>
      </c>
      <c r="DUK16" s="314" t="s">
        <v>203</v>
      </c>
      <c r="DUL16" s="314" t="s">
        <v>203</v>
      </c>
      <c r="DUM16" s="314" t="s">
        <v>203</v>
      </c>
      <c r="DUN16" s="314" t="s">
        <v>203</v>
      </c>
      <c r="DUO16" s="314" t="s">
        <v>203</v>
      </c>
      <c r="DUP16" s="314" t="s">
        <v>203</v>
      </c>
      <c r="DUQ16" s="314" t="s">
        <v>203</v>
      </c>
      <c r="DUR16" s="314" t="s">
        <v>203</v>
      </c>
      <c r="DUS16" s="314" t="s">
        <v>203</v>
      </c>
      <c r="DUT16" s="314" t="s">
        <v>203</v>
      </c>
      <c r="DUU16" s="314" t="s">
        <v>203</v>
      </c>
      <c r="DUV16" s="314" t="s">
        <v>203</v>
      </c>
      <c r="DUW16" s="314" t="s">
        <v>203</v>
      </c>
      <c r="DUX16" s="314" t="s">
        <v>203</v>
      </c>
      <c r="DUY16" s="314" t="s">
        <v>203</v>
      </c>
      <c r="DUZ16" s="314" t="s">
        <v>203</v>
      </c>
      <c r="DVA16" s="314" t="s">
        <v>203</v>
      </c>
      <c r="DVB16" s="314" t="s">
        <v>203</v>
      </c>
      <c r="DVC16" s="314" t="s">
        <v>203</v>
      </c>
      <c r="DVD16" s="314" t="s">
        <v>203</v>
      </c>
      <c r="DVE16" s="314" t="s">
        <v>203</v>
      </c>
      <c r="DVF16" s="314" t="s">
        <v>203</v>
      </c>
      <c r="DVG16" s="314" t="s">
        <v>203</v>
      </c>
      <c r="DVH16" s="314" t="s">
        <v>203</v>
      </c>
      <c r="DVI16" s="314" t="s">
        <v>203</v>
      </c>
      <c r="DVJ16" s="314" t="s">
        <v>203</v>
      </c>
      <c r="DVK16" s="314" t="s">
        <v>203</v>
      </c>
      <c r="DVL16" s="314" t="s">
        <v>203</v>
      </c>
      <c r="DVM16" s="314" t="s">
        <v>203</v>
      </c>
      <c r="DVN16" s="314" t="s">
        <v>203</v>
      </c>
      <c r="DVO16" s="314" t="s">
        <v>203</v>
      </c>
      <c r="DVP16" s="314" t="s">
        <v>203</v>
      </c>
      <c r="DVQ16" s="314" t="s">
        <v>203</v>
      </c>
      <c r="DVR16" s="314" t="s">
        <v>203</v>
      </c>
      <c r="DVS16" s="314" t="s">
        <v>203</v>
      </c>
      <c r="DVT16" s="314" t="s">
        <v>203</v>
      </c>
      <c r="DVU16" s="314" t="s">
        <v>203</v>
      </c>
      <c r="DVV16" s="314" t="s">
        <v>203</v>
      </c>
      <c r="DVW16" s="314" t="s">
        <v>203</v>
      </c>
      <c r="DVX16" s="314" t="s">
        <v>203</v>
      </c>
      <c r="DVY16" s="314" t="s">
        <v>203</v>
      </c>
      <c r="DVZ16" s="314" t="s">
        <v>203</v>
      </c>
      <c r="DWA16" s="314" t="s">
        <v>203</v>
      </c>
      <c r="DWB16" s="314" t="s">
        <v>203</v>
      </c>
      <c r="DWC16" s="314" t="s">
        <v>203</v>
      </c>
      <c r="DWD16" s="314" t="s">
        <v>203</v>
      </c>
      <c r="DWE16" s="314" t="s">
        <v>203</v>
      </c>
      <c r="DWF16" s="314" t="s">
        <v>203</v>
      </c>
      <c r="DWG16" s="314" t="s">
        <v>203</v>
      </c>
      <c r="DWH16" s="314" t="s">
        <v>203</v>
      </c>
      <c r="DWI16" s="314" t="s">
        <v>203</v>
      </c>
      <c r="DWJ16" s="314" t="s">
        <v>203</v>
      </c>
      <c r="DWK16" s="314" t="s">
        <v>203</v>
      </c>
      <c r="DWL16" s="314" t="s">
        <v>203</v>
      </c>
      <c r="DWM16" s="314" t="s">
        <v>203</v>
      </c>
      <c r="DWN16" s="314" t="s">
        <v>203</v>
      </c>
      <c r="DWO16" s="314" t="s">
        <v>203</v>
      </c>
      <c r="DWP16" s="314" t="s">
        <v>203</v>
      </c>
      <c r="DWQ16" s="314" t="s">
        <v>203</v>
      </c>
      <c r="DWR16" s="314" t="s">
        <v>203</v>
      </c>
      <c r="DWS16" s="314" t="s">
        <v>203</v>
      </c>
      <c r="DWT16" s="314" t="s">
        <v>203</v>
      </c>
      <c r="DWU16" s="314" t="s">
        <v>203</v>
      </c>
      <c r="DWV16" s="314" t="s">
        <v>203</v>
      </c>
      <c r="DWW16" s="314" t="s">
        <v>203</v>
      </c>
      <c r="DWX16" s="314" t="s">
        <v>203</v>
      </c>
      <c r="DWY16" s="314" t="s">
        <v>203</v>
      </c>
      <c r="DWZ16" s="314" t="s">
        <v>203</v>
      </c>
      <c r="DXA16" s="314" t="s">
        <v>203</v>
      </c>
      <c r="DXB16" s="314" t="s">
        <v>203</v>
      </c>
      <c r="DXC16" s="314" t="s">
        <v>203</v>
      </c>
      <c r="DXD16" s="314" t="s">
        <v>203</v>
      </c>
      <c r="DXE16" s="314" t="s">
        <v>203</v>
      </c>
      <c r="DXF16" s="314" t="s">
        <v>203</v>
      </c>
      <c r="DXG16" s="314" t="s">
        <v>203</v>
      </c>
      <c r="DXH16" s="314" t="s">
        <v>203</v>
      </c>
      <c r="DXI16" s="314" t="s">
        <v>203</v>
      </c>
      <c r="DXJ16" s="314" t="s">
        <v>203</v>
      </c>
      <c r="DXK16" s="314" t="s">
        <v>203</v>
      </c>
      <c r="DXL16" s="314" t="s">
        <v>203</v>
      </c>
      <c r="DXM16" s="314" t="s">
        <v>203</v>
      </c>
      <c r="DXN16" s="314" t="s">
        <v>203</v>
      </c>
      <c r="DXO16" s="314" t="s">
        <v>203</v>
      </c>
      <c r="DXP16" s="314" t="s">
        <v>203</v>
      </c>
      <c r="DXQ16" s="314" t="s">
        <v>203</v>
      </c>
      <c r="DXR16" s="314" t="s">
        <v>203</v>
      </c>
      <c r="DXS16" s="314" t="s">
        <v>203</v>
      </c>
      <c r="DXT16" s="314" t="s">
        <v>203</v>
      </c>
      <c r="DXU16" s="314" t="s">
        <v>203</v>
      </c>
      <c r="DXV16" s="314" t="s">
        <v>203</v>
      </c>
      <c r="DXW16" s="314" t="s">
        <v>203</v>
      </c>
      <c r="DXX16" s="314" t="s">
        <v>203</v>
      </c>
      <c r="DXY16" s="314" t="s">
        <v>203</v>
      </c>
      <c r="DXZ16" s="314" t="s">
        <v>203</v>
      </c>
      <c r="DYA16" s="314" t="s">
        <v>203</v>
      </c>
      <c r="DYB16" s="314" t="s">
        <v>203</v>
      </c>
      <c r="DYC16" s="314" t="s">
        <v>203</v>
      </c>
      <c r="DYD16" s="314" t="s">
        <v>203</v>
      </c>
      <c r="DYE16" s="314" t="s">
        <v>203</v>
      </c>
      <c r="DYF16" s="314" t="s">
        <v>203</v>
      </c>
      <c r="DYG16" s="314" t="s">
        <v>203</v>
      </c>
      <c r="DYH16" s="314" t="s">
        <v>203</v>
      </c>
      <c r="DYI16" s="314" t="s">
        <v>203</v>
      </c>
      <c r="DYJ16" s="314" t="s">
        <v>203</v>
      </c>
      <c r="DYK16" s="314" t="s">
        <v>203</v>
      </c>
      <c r="DYL16" s="314" t="s">
        <v>203</v>
      </c>
      <c r="DYM16" s="314" t="s">
        <v>203</v>
      </c>
      <c r="DYN16" s="314" t="s">
        <v>203</v>
      </c>
      <c r="DYO16" s="314" t="s">
        <v>203</v>
      </c>
      <c r="DYP16" s="314" t="s">
        <v>203</v>
      </c>
      <c r="DYQ16" s="314" t="s">
        <v>203</v>
      </c>
      <c r="DYR16" s="314" t="s">
        <v>203</v>
      </c>
      <c r="DYS16" s="314" t="s">
        <v>203</v>
      </c>
      <c r="DYT16" s="314" t="s">
        <v>203</v>
      </c>
      <c r="DYU16" s="314" t="s">
        <v>203</v>
      </c>
      <c r="DYV16" s="314" t="s">
        <v>203</v>
      </c>
      <c r="DYW16" s="314" t="s">
        <v>203</v>
      </c>
      <c r="DYX16" s="314" t="s">
        <v>203</v>
      </c>
      <c r="DYY16" s="314" t="s">
        <v>203</v>
      </c>
      <c r="DYZ16" s="314" t="s">
        <v>203</v>
      </c>
      <c r="DZA16" s="314" t="s">
        <v>203</v>
      </c>
      <c r="DZB16" s="314" t="s">
        <v>203</v>
      </c>
      <c r="DZC16" s="314" t="s">
        <v>203</v>
      </c>
      <c r="DZD16" s="314" t="s">
        <v>203</v>
      </c>
      <c r="DZE16" s="314" t="s">
        <v>203</v>
      </c>
      <c r="DZF16" s="314" t="s">
        <v>203</v>
      </c>
      <c r="DZG16" s="314" t="s">
        <v>203</v>
      </c>
      <c r="DZH16" s="314" t="s">
        <v>203</v>
      </c>
      <c r="DZI16" s="314" t="s">
        <v>203</v>
      </c>
      <c r="DZJ16" s="314" t="s">
        <v>203</v>
      </c>
      <c r="DZK16" s="314" t="s">
        <v>203</v>
      </c>
      <c r="DZL16" s="314" t="s">
        <v>203</v>
      </c>
      <c r="DZM16" s="314" t="s">
        <v>203</v>
      </c>
      <c r="DZN16" s="314" t="s">
        <v>203</v>
      </c>
      <c r="DZO16" s="314" t="s">
        <v>203</v>
      </c>
      <c r="DZP16" s="314" t="s">
        <v>203</v>
      </c>
      <c r="DZQ16" s="314" t="s">
        <v>203</v>
      </c>
      <c r="DZR16" s="314" t="s">
        <v>203</v>
      </c>
      <c r="DZS16" s="314" t="s">
        <v>203</v>
      </c>
      <c r="DZT16" s="314" t="s">
        <v>203</v>
      </c>
      <c r="DZU16" s="314" t="s">
        <v>203</v>
      </c>
      <c r="DZV16" s="314" t="s">
        <v>203</v>
      </c>
      <c r="DZW16" s="314" t="s">
        <v>203</v>
      </c>
      <c r="DZX16" s="314" t="s">
        <v>203</v>
      </c>
      <c r="DZY16" s="314" t="s">
        <v>203</v>
      </c>
      <c r="DZZ16" s="314" t="s">
        <v>203</v>
      </c>
      <c r="EAA16" s="314" t="s">
        <v>203</v>
      </c>
      <c r="EAB16" s="314" t="s">
        <v>203</v>
      </c>
      <c r="EAC16" s="314" t="s">
        <v>203</v>
      </c>
      <c r="EAD16" s="314" t="s">
        <v>203</v>
      </c>
      <c r="EAE16" s="314" t="s">
        <v>203</v>
      </c>
      <c r="EAF16" s="314" t="s">
        <v>203</v>
      </c>
      <c r="EAG16" s="314" t="s">
        <v>203</v>
      </c>
      <c r="EAH16" s="314" t="s">
        <v>203</v>
      </c>
      <c r="EAI16" s="314" t="s">
        <v>203</v>
      </c>
      <c r="EAJ16" s="314" t="s">
        <v>203</v>
      </c>
      <c r="EAK16" s="314" t="s">
        <v>203</v>
      </c>
      <c r="EAL16" s="314" t="s">
        <v>203</v>
      </c>
      <c r="EAM16" s="314" t="s">
        <v>203</v>
      </c>
      <c r="EAN16" s="314" t="s">
        <v>203</v>
      </c>
      <c r="EAO16" s="314" t="s">
        <v>203</v>
      </c>
      <c r="EAP16" s="314" t="s">
        <v>203</v>
      </c>
      <c r="EAQ16" s="314" t="s">
        <v>203</v>
      </c>
      <c r="EAR16" s="314" t="s">
        <v>203</v>
      </c>
      <c r="EAS16" s="314" t="s">
        <v>203</v>
      </c>
      <c r="EAT16" s="314" t="s">
        <v>203</v>
      </c>
      <c r="EAU16" s="314" t="s">
        <v>203</v>
      </c>
      <c r="EAV16" s="314" t="s">
        <v>203</v>
      </c>
      <c r="EAW16" s="314" t="s">
        <v>203</v>
      </c>
      <c r="EAX16" s="314" t="s">
        <v>203</v>
      </c>
      <c r="EAY16" s="314" t="s">
        <v>203</v>
      </c>
      <c r="EAZ16" s="314" t="s">
        <v>203</v>
      </c>
      <c r="EBA16" s="314" t="s">
        <v>203</v>
      </c>
      <c r="EBB16" s="314" t="s">
        <v>203</v>
      </c>
      <c r="EBC16" s="314" t="s">
        <v>203</v>
      </c>
      <c r="EBD16" s="314" t="s">
        <v>203</v>
      </c>
      <c r="EBE16" s="314" t="s">
        <v>203</v>
      </c>
      <c r="EBF16" s="314" t="s">
        <v>203</v>
      </c>
      <c r="EBG16" s="314" t="s">
        <v>203</v>
      </c>
      <c r="EBH16" s="314" t="s">
        <v>203</v>
      </c>
      <c r="EBI16" s="314" t="s">
        <v>203</v>
      </c>
      <c r="EBJ16" s="314" t="s">
        <v>203</v>
      </c>
      <c r="EBK16" s="314" t="s">
        <v>203</v>
      </c>
      <c r="EBL16" s="314" t="s">
        <v>203</v>
      </c>
      <c r="EBM16" s="314" t="s">
        <v>203</v>
      </c>
      <c r="EBN16" s="314" t="s">
        <v>203</v>
      </c>
      <c r="EBO16" s="314" t="s">
        <v>203</v>
      </c>
      <c r="EBP16" s="314" t="s">
        <v>203</v>
      </c>
      <c r="EBQ16" s="314" t="s">
        <v>203</v>
      </c>
      <c r="EBR16" s="314" t="s">
        <v>203</v>
      </c>
      <c r="EBS16" s="314" t="s">
        <v>203</v>
      </c>
      <c r="EBT16" s="314" t="s">
        <v>203</v>
      </c>
      <c r="EBU16" s="314" t="s">
        <v>203</v>
      </c>
      <c r="EBV16" s="314" t="s">
        <v>203</v>
      </c>
      <c r="EBW16" s="314" t="s">
        <v>203</v>
      </c>
      <c r="EBX16" s="314" t="s">
        <v>203</v>
      </c>
      <c r="EBY16" s="314" t="s">
        <v>203</v>
      </c>
      <c r="EBZ16" s="314" t="s">
        <v>203</v>
      </c>
      <c r="ECA16" s="314" t="s">
        <v>203</v>
      </c>
      <c r="ECB16" s="314" t="s">
        <v>203</v>
      </c>
      <c r="ECC16" s="314" t="s">
        <v>203</v>
      </c>
      <c r="ECD16" s="314" t="s">
        <v>203</v>
      </c>
      <c r="ECE16" s="314" t="s">
        <v>203</v>
      </c>
      <c r="ECF16" s="314" t="s">
        <v>203</v>
      </c>
      <c r="ECG16" s="314" t="s">
        <v>203</v>
      </c>
      <c r="ECH16" s="314" t="s">
        <v>203</v>
      </c>
      <c r="ECI16" s="314" t="s">
        <v>203</v>
      </c>
      <c r="ECJ16" s="314" t="s">
        <v>203</v>
      </c>
      <c r="ECK16" s="314" t="s">
        <v>203</v>
      </c>
      <c r="ECL16" s="314" t="s">
        <v>203</v>
      </c>
      <c r="ECM16" s="314" t="s">
        <v>203</v>
      </c>
      <c r="ECN16" s="314" t="s">
        <v>203</v>
      </c>
      <c r="ECO16" s="314" t="s">
        <v>203</v>
      </c>
      <c r="ECP16" s="314" t="s">
        <v>203</v>
      </c>
      <c r="ECQ16" s="314" t="s">
        <v>203</v>
      </c>
      <c r="ECR16" s="314" t="s">
        <v>203</v>
      </c>
      <c r="ECS16" s="314" t="s">
        <v>203</v>
      </c>
      <c r="ECT16" s="314" t="s">
        <v>203</v>
      </c>
      <c r="ECU16" s="314" t="s">
        <v>203</v>
      </c>
      <c r="ECV16" s="314" t="s">
        <v>203</v>
      </c>
      <c r="ECW16" s="314" t="s">
        <v>203</v>
      </c>
      <c r="ECX16" s="314" t="s">
        <v>203</v>
      </c>
      <c r="ECY16" s="314" t="s">
        <v>203</v>
      </c>
      <c r="ECZ16" s="314" t="s">
        <v>203</v>
      </c>
      <c r="EDA16" s="314" t="s">
        <v>203</v>
      </c>
      <c r="EDB16" s="314" t="s">
        <v>203</v>
      </c>
      <c r="EDC16" s="314" t="s">
        <v>203</v>
      </c>
      <c r="EDD16" s="314" t="s">
        <v>203</v>
      </c>
      <c r="EDE16" s="314" t="s">
        <v>203</v>
      </c>
      <c r="EDF16" s="314" t="s">
        <v>203</v>
      </c>
      <c r="EDG16" s="314" t="s">
        <v>203</v>
      </c>
      <c r="EDH16" s="314" t="s">
        <v>203</v>
      </c>
      <c r="EDI16" s="314" t="s">
        <v>203</v>
      </c>
      <c r="EDJ16" s="314" t="s">
        <v>203</v>
      </c>
      <c r="EDK16" s="314" t="s">
        <v>203</v>
      </c>
      <c r="EDL16" s="314" t="s">
        <v>203</v>
      </c>
      <c r="EDM16" s="314" t="s">
        <v>203</v>
      </c>
      <c r="EDN16" s="314" t="s">
        <v>203</v>
      </c>
      <c r="EDO16" s="314" t="s">
        <v>203</v>
      </c>
      <c r="EDP16" s="314" t="s">
        <v>203</v>
      </c>
      <c r="EDQ16" s="314" t="s">
        <v>203</v>
      </c>
      <c r="EDR16" s="314" t="s">
        <v>203</v>
      </c>
      <c r="EDS16" s="314" t="s">
        <v>203</v>
      </c>
      <c r="EDT16" s="314" t="s">
        <v>203</v>
      </c>
      <c r="EDU16" s="314" t="s">
        <v>203</v>
      </c>
      <c r="EDV16" s="314" t="s">
        <v>203</v>
      </c>
      <c r="EDW16" s="314" t="s">
        <v>203</v>
      </c>
      <c r="EDX16" s="314" t="s">
        <v>203</v>
      </c>
      <c r="EDY16" s="314" t="s">
        <v>203</v>
      </c>
      <c r="EDZ16" s="314" t="s">
        <v>203</v>
      </c>
      <c r="EEA16" s="314" t="s">
        <v>203</v>
      </c>
      <c r="EEB16" s="314" t="s">
        <v>203</v>
      </c>
      <c r="EEC16" s="314" t="s">
        <v>203</v>
      </c>
      <c r="EED16" s="314" t="s">
        <v>203</v>
      </c>
      <c r="EEE16" s="314" t="s">
        <v>203</v>
      </c>
      <c r="EEF16" s="314" t="s">
        <v>203</v>
      </c>
      <c r="EEG16" s="314" t="s">
        <v>203</v>
      </c>
      <c r="EEH16" s="314" t="s">
        <v>203</v>
      </c>
      <c r="EEI16" s="314" t="s">
        <v>203</v>
      </c>
      <c r="EEJ16" s="314" t="s">
        <v>203</v>
      </c>
      <c r="EEK16" s="314" t="s">
        <v>203</v>
      </c>
      <c r="EEL16" s="314" t="s">
        <v>203</v>
      </c>
      <c r="EEM16" s="314" t="s">
        <v>203</v>
      </c>
      <c r="EEN16" s="314" t="s">
        <v>203</v>
      </c>
      <c r="EEO16" s="314" t="s">
        <v>203</v>
      </c>
      <c r="EEP16" s="314" t="s">
        <v>203</v>
      </c>
      <c r="EEQ16" s="314" t="s">
        <v>203</v>
      </c>
      <c r="EER16" s="314" t="s">
        <v>203</v>
      </c>
      <c r="EES16" s="314" t="s">
        <v>203</v>
      </c>
      <c r="EET16" s="314" t="s">
        <v>203</v>
      </c>
      <c r="EEU16" s="314" t="s">
        <v>203</v>
      </c>
      <c r="EEV16" s="314" t="s">
        <v>203</v>
      </c>
      <c r="EEW16" s="314" t="s">
        <v>203</v>
      </c>
      <c r="EEX16" s="314" t="s">
        <v>203</v>
      </c>
      <c r="EEY16" s="314" t="s">
        <v>203</v>
      </c>
      <c r="EEZ16" s="314" t="s">
        <v>203</v>
      </c>
      <c r="EFA16" s="314" t="s">
        <v>203</v>
      </c>
      <c r="EFB16" s="314" t="s">
        <v>203</v>
      </c>
      <c r="EFC16" s="314" t="s">
        <v>203</v>
      </c>
      <c r="EFD16" s="314" t="s">
        <v>203</v>
      </c>
      <c r="EFE16" s="314" t="s">
        <v>203</v>
      </c>
      <c r="EFF16" s="314" t="s">
        <v>203</v>
      </c>
      <c r="EFG16" s="314" t="s">
        <v>203</v>
      </c>
      <c r="EFH16" s="314" t="s">
        <v>203</v>
      </c>
      <c r="EFI16" s="314" t="s">
        <v>203</v>
      </c>
      <c r="EFJ16" s="314" t="s">
        <v>203</v>
      </c>
      <c r="EFK16" s="314" t="s">
        <v>203</v>
      </c>
      <c r="EFL16" s="314" t="s">
        <v>203</v>
      </c>
      <c r="EFM16" s="314" t="s">
        <v>203</v>
      </c>
      <c r="EFN16" s="314" t="s">
        <v>203</v>
      </c>
      <c r="EFO16" s="314" t="s">
        <v>203</v>
      </c>
      <c r="EFP16" s="314" t="s">
        <v>203</v>
      </c>
      <c r="EFQ16" s="314" t="s">
        <v>203</v>
      </c>
      <c r="EFR16" s="314" t="s">
        <v>203</v>
      </c>
      <c r="EFS16" s="314" t="s">
        <v>203</v>
      </c>
      <c r="EFT16" s="314" t="s">
        <v>203</v>
      </c>
      <c r="EFU16" s="314" t="s">
        <v>203</v>
      </c>
      <c r="EFV16" s="314" t="s">
        <v>203</v>
      </c>
      <c r="EFW16" s="314" t="s">
        <v>203</v>
      </c>
      <c r="EFX16" s="314" t="s">
        <v>203</v>
      </c>
      <c r="EFY16" s="314" t="s">
        <v>203</v>
      </c>
      <c r="EFZ16" s="314" t="s">
        <v>203</v>
      </c>
      <c r="EGA16" s="314" t="s">
        <v>203</v>
      </c>
      <c r="EGB16" s="314" t="s">
        <v>203</v>
      </c>
      <c r="EGC16" s="314" t="s">
        <v>203</v>
      </c>
      <c r="EGD16" s="314" t="s">
        <v>203</v>
      </c>
      <c r="EGE16" s="314" t="s">
        <v>203</v>
      </c>
      <c r="EGF16" s="314" t="s">
        <v>203</v>
      </c>
      <c r="EGG16" s="314" t="s">
        <v>203</v>
      </c>
      <c r="EGH16" s="314" t="s">
        <v>203</v>
      </c>
      <c r="EGI16" s="314" t="s">
        <v>203</v>
      </c>
      <c r="EGJ16" s="314" t="s">
        <v>203</v>
      </c>
      <c r="EGK16" s="314" t="s">
        <v>203</v>
      </c>
      <c r="EGL16" s="314" t="s">
        <v>203</v>
      </c>
      <c r="EGM16" s="314" t="s">
        <v>203</v>
      </c>
      <c r="EGN16" s="314" t="s">
        <v>203</v>
      </c>
      <c r="EGO16" s="314" t="s">
        <v>203</v>
      </c>
      <c r="EGP16" s="314" t="s">
        <v>203</v>
      </c>
      <c r="EGQ16" s="314" t="s">
        <v>203</v>
      </c>
      <c r="EGR16" s="314" t="s">
        <v>203</v>
      </c>
      <c r="EGS16" s="314" t="s">
        <v>203</v>
      </c>
      <c r="EGT16" s="314" t="s">
        <v>203</v>
      </c>
      <c r="EGU16" s="314" t="s">
        <v>203</v>
      </c>
      <c r="EGV16" s="314" t="s">
        <v>203</v>
      </c>
      <c r="EGW16" s="314" t="s">
        <v>203</v>
      </c>
      <c r="EGX16" s="314" t="s">
        <v>203</v>
      </c>
      <c r="EGY16" s="314" t="s">
        <v>203</v>
      </c>
      <c r="EGZ16" s="314" t="s">
        <v>203</v>
      </c>
      <c r="EHA16" s="314" t="s">
        <v>203</v>
      </c>
      <c r="EHB16" s="314" t="s">
        <v>203</v>
      </c>
      <c r="EHC16" s="314" t="s">
        <v>203</v>
      </c>
      <c r="EHD16" s="314" t="s">
        <v>203</v>
      </c>
      <c r="EHE16" s="314" t="s">
        <v>203</v>
      </c>
      <c r="EHF16" s="314" t="s">
        <v>203</v>
      </c>
      <c r="EHG16" s="314" t="s">
        <v>203</v>
      </c>
      <c r="EHH16" s="314" t="s">
        <v>203</v>
      </c>
      <c r="EHI16" s="314" t="s">
        <v>203</v>
      </c>
      <c r="EHJ16" s="314" t="s">
        <v>203</v>
      </c>
      <c r="EHK16" s="314" t="s">
        <v>203</v>
      </c>
      <c r="EHL16" s="314" t="s">
        <v>203</v>
      </c>
      <c r="EHM16" s="314" t="s">
        <v>203</v>
      </c>
      <c r="EHN16" s="314" t="s">
        <v>203</v>
      </c>
      <c r="EHO16" s="314" t="s">
        <v>203</v>
      </c>
      <c r="EHP16" s="314" t="s">
        <v>203</v>
      </c>
      <c r="EHQ16" s="314" t="s">
        <v>203</v>
      </c>
      <c r="EHR16" s="314" t="s">
        <v>203</v>
      </c>
      <c r="EHS16" s="314" t="s">
        <v>203</v>
      </c>
      <c r="EHT16" s="314" t="s">
        <v>203</v>
      </c>
      <c r="EHU16" s="314" t="s">
        <v>203</v>
      </c>
      <c r="EHV16" s="314" t="s">
        <v>203</v>
      </c>
      <c r="EHW16" s="314" t="s">
        <v>203</v>
      </c>
      <c r="EHX16" s="314" t="s">
        <v>203</v>
      </c>
      <c r="EHY16" s="314" t="s">
        <v>203</v>
      </c>
      <c r="EHZ16" s="314" t="s">
        <v>203</v>
      </c>
      <c r="EIA16" s="314" t="s">
        <v>203</v>
      </c>
      <c r="EIB16" s="314" t="s">
        <v>203</v>
      </c>
      <c r="EIC16" s="314" t="s">
        <v>203</v>
      </c>
      <c r="EID16" s="314" t="s">
        <v>203</v>
      </c>
      <c r="EIE16" s="314" t="s">
        <v>203</v>
      </c>
      <c r="EIF16" s="314" t="s">
        <v>203</v>
      </c>
      <c r="EIG16" s="314" t="s">
        <v>203</v>
      </c>
      <c r="EIH16" s="314" t="s">
        <v>203</v>
      </c>
      <c r="EII16" s="314" t="s">
        <v>203</v>
      </c>
      <c r="EIJ16" s="314" t="s">
        <v>203</v>
      </c>
      <c r="EIK16" s="314" t="s">
        <v>203</v>
      </c>
      <c r="EIL16" s="314" t="s">
        <v>203</v>
      </c>
      <c r="EIM16" s="314" t="s">
        <v>203</v>
      </c>
      <c r="EIN16" s="314" t="s">
        <v>203</v>
      </c>
      <c r="EIO16" s="314" t="s">
        <v>203</v>
      </c>
      <c r="EIP16" s="314" t="s">
        <v>203</v>
      </c>
      <c r="EIQ16" s="314" t="s">
        <v>203</v>
      </c>
      <c r="EIR16" s="314" t="s">
        <v>203</v>
      </c>
      <c r="EIS16" s="314" t="s">
        <v>203</v>
      </c>
      <c r="EIT16" s="314" t="s">
        <v>203</v>
      </c>
      <c r="EIU16" s="314" t="s">
        <v>203</v>
      </c>
      <c r="EIV16" s="314" t="s">
        <v>203</v>
      </c>
      <c r="EIW16" s="314" t="s">
        <v>203</v>
      </c>
      <c r="EIX16" s="314" t="s">
        <v>203</v>
      </c>
      <c r="EIY16" s="314" t="s">
        <v>203</v>
      </c>
      <c r="EIZ16" s="314" t="s">
        <v>203</v>
      </c>
      <c r="EJA16" s="314" t="s">
        <v>203</v>
      </c>
      <c r="EJB16" s="314" t="s">
        <v>203</v>
      </c>
      <c r="EJC16" s="314" t="s">
        <v>203</v>
      </c>
      <c r="EJD16" s="314" t="s">
        <v>203</v>
      </c>
      <c r="EJE16" s="314" t="s">
        <v>203</v>
      </c>
      <c r="EJF16" s="314" t="s">
        <v>203</v>
      </c>
      <c r="EJG16" s="314" t="s">
        <v>203</v>
      </c>
      <c r="EJH16" s="314" t="s">
        <v>203</v>
      </c>
      <c r="EJI16" s="314" t="s">
        <v>203</v>
      </c>
      <c r="EJJ16" s="314" t="s">
        <v>203</v>
      </c>
      <c r="EJK16" s="314" t="s">
        <v>203</v>
      </c>
      <c r="EJL16" s="314" t="s">
        <v>203</v>
      </c>
      <c r="EJM16" s="314" t="s">
        <v>203</v>
      </c>
      <c r="EJN16" s="314" t="s">
        <v>203</v>
      </c>
      <c r="EJO16" s="314" t="s">
        <v>203</v>
      </c>
      <c r="EJP16" s="314" t="s">
        <v>203</v>
      </c>
      <c r="EJQ16" s="314" t="s">
        <v>203</v>
      </c>
      <c r="EJR16" s="314" t="s">
        <v>203</v>
      </c>
      <c r="EJS16" s="314" t="s">
        <v>203</v>
      </c>
      <c r="EJT16" s="314" t="s">
        <v>203</v>
      </c>
      <c r="EJU16" s="314" t="s">
        <v>203</v>
      </c>
      <c r="EJV16" s="314" t="s">
        <v>203</v>
      </c>
      <c r="EJW16" s="314" t="s">
        <v>203</v>
      </c>
      <c r="EJX16" s="314" t="s">
        <v>203</v>
      </c>
      <c r="EJY16" s="314" t="s">
        <v>203</v>
      </c>
      <c r="EJZ16" s="314" t="s">
        <v>203</v>
      </c>
      <c r="EKA16" s="314" t="s">
        <v>203</v>
      </c>
      <c r="EKB16" s="314" t="s">
        <v>203</v>
      </c>
      <c r="EKC16" s="314" t="s">
        <v>203</v>
      </c>
      <c r="EKD16" s="314" t="s">
        <v>203</v>
      </c>
      <c r="EKE16" s="314" t="s">
        <v>203</v>
      </c>
      <c r="EKF16" s="314" t="s">
        <v>203</v>
      </c>
      <c r="EKG16" s="314" t="s">
        <v>203</v>
      </c>
      <c r="EKH16" s="314" t="s">
        <v>203</v>
      </c>
      <c r="EKI16" s="314" t="s">
        <v>203</v>
      </c>
      <c r="EKJ16" s="314" t="s">
        <v>203</v>
      </c>
      <c r="EKK16" s="314" t="s">
        <v>203</v>
      </c>
      <c r="EKL16" s="314" t="s">
        <v>203</v>
      </c>
      <c r="EKM16" s="314" t="s">
        <v>203</v>
      </c>
      <c r="EKN16" s="314" t="s">
        <v>203</v>
      </c>
      <c r="EKO16" s="314" t="s">
        <v>203</v>
      </c>
      <c r="EKP16" s="314" t="s">
        <v>203</v>
      </c>
      <c r="EKQ16" s="314" t="s">
        <v>203</v>
      </c>
      <c r="EKR16" s="314" t="s">
        <v>203</v>
      </c>
      <c r="EKS16" s="314" t="s">
        <v>203</v>
      </c>
      <c r="EKT16" s="314" t="s">
        <v>203</v>
      </c>
      <c r="EKU16" s="314" t="s">
        <v>203</v>
      </c>
      <c r="EKV16" s="314" t="s">
        <v>203</v>
      </c>
      <c r="EKW16" s="314" t="s">
        <v>203</v>
      </c>
      <c r="EKX16" s="314" t="s">
        <v>203</v>
      </c>
      <c r="EKY16" s="314" t="s">
        <v>203</v>
      </c>
      <c r="EKZ16" s="314" t="s">
        <v>203</v>
      </c>
      <c r="ELA16" s="314" t="s">
        <v>203</v>
      </c>
      <c r="ELB16" s="314" t="s">
        <v>203</v>
      </c>
      <c r="ELC16" s="314" t="s">
        <v>203</v>
      </c>
      <c r="ELD16" s="314" t="s">
        <v>203</v>
      </c>
      <c r="ELE16" s="314" t="s">
        <v>203</v>
      </c>
      <c r="ELF16" s="314" t="s">
        <v>203</v>
      </c>
      <c r="ELG16" s="314" t="s">
        <v>203</v>
      </c>
      <c r="ELH16" s="314" t="s">
        <v>203</v>
      </c>
      <c r="ELI16" s="314" t="s">
        <v>203</v>
      </c>
      <c r="ELJ16" s="314" t="s">
        <v>203</v>
      </c>
      <c r="ELK16" s="314" t="s">
        <v>203</v>
      </c>
      <c r="ELL16" s="314" t="s">
        <v>203</v>
      </c>
      <c r="ELM16" s="314" t="s">
        <v>203</v>
      </c>
      <c r="ELN16" s="314" t="s">
        <v>203</v>
      </c>
      <c r="ELO16" s="314" t="s">
        <v>203</v>
      </c>
      <c r="ELP16" s="314" t="s">
        <v>203</v>
      </c>
      <c r="ELQ16" s="314" t="s">
        <v>203</v>
      </c>
      <c r="ELR16" s="314" t="s">
        <v>203</v>
      </c>
      <c r="ELS16" s="314" t="s">
        <v>203</v>
      </c>
      <c r="ELT16" s="314" t="s">
        <v>203</v>
      </c>
      <c r="ELU16" s="314" t="s">
        <v>203</v>
      </c>
      <c r="ELV16" s="314" t="s">
        <v>203</v>
      </c>
      <c r="ELW16" s="314" t="s">
        <v>203</v>
      </c>
      <c r="ELX16" s="314" t="s">
        <v>203</v>
      </c>
      <c r="ELY16" s="314" t="s">
        <v>203</v>
      </c>
      <c r="ELZ16" s="314" t="s">
        <v>203</v>
      </c>
      <c r="EMA16" s="314" t="s">
        <v>203</v>
      </c>
      <c r="EMB16" s="314" t="s">
        <v>203</v>
      </c>
      <c r="EMC16" s="314" t="s">
        <v>203</v>
      </c>
      <c r="EMD16" s="314" t="s">
        <v>203</v>
      </c>
      <c r="EME16" s="314" t="s">
        <v>203</v>
      </c>
      <c r="EMF16" s="314" t="s">
        <v>203</v>
      </c>
      <c r="EMG16" s="314" t="s">
        <v>203</v>
      </c>
      <c r="EMH16" s="314" t="s">
        <v>203</v>
      </c>
      <c r="EMI16" s="314" t="s">
        <v>203</v>
      </c>
      <c r="EMJ16" s="314" t="s">
        <v>203</v>
      </c>
      <c r="EMK16" s="314" t="s">
        <v>203</v>
      </c>
      <c r="EML16" s="314" t="s">
        <v>203</v>
      </c>
      <c r="EMM16" s="314" t="s">
        <v>203</v>
      </c>
      <c r="EMN16" s="314" t="s">
        <v>203</v>
      </c>
      <c r="EMO16" s="314" t="s">
        <v>203</v>
      </c>
      <c r="EMP16" s="314" t="s">
        <v>203</v>
      </c>
      <c r="EMQ16" s="314" t="s">
        <v>203</v>
      </c>
      <c r="EMR16" s="314" t="s">
        <v>203</v>
      </c>
      <c r="EMS16" s="314" t="s">
        <v>203</v>
      </c>
      <c r="EMT16" s="314" t="s">
        <v>203</v>
      </c>
      <c r="EMU16" s="314" t="s">
        <v>203</v>
      </c>
      <c r="EMV16" s="314" t="s">
        <v>203</v>
      </c>
      <c r="EMW16" s="314" t="s">
        <v>203</v>
      </c>
      <c r="EMX16" s="314" t="s">
        <v>203</v>
      </c>
      <c r="EMY16" s="314" t="s">
        <v>203</v>
      </c>
      <c r="EMZ16" s="314" t="s">
        <v>203</v>
      </c>
      <c r="ENA16" s="314" t="s">
        <v>203</v>
      </c>
      <c r="ENB16" s="314" t="s">
        <v>203</v>
      </c>
      <c r="ENC16" s="314" t="s">
        <v>203</v>
      </c>
      <c r="END16" s="314" t="s">
        <v>203</v>
      </c>
      <c r="ENE16" s="314" t="s">
        <v>203</v>
      </c>
      <c r="ENF16" s="314" t="s">
        <v>203</v>
      </c>
      <c r="ENG16" s="314" t="s">
        <v>203</v>
      </c>
      <c r="ENH16" s="314" t="s">
        <v>203</v>
      </c>
      <c r="ENI16" s="314" t="s">
        <v>203</v>
      </c>
      <c r="ENJ16" s="314" t="s">
        <v>203</v>
      </c>
      <c r="ENK16" s="314" t="s">
        <v>203</v>
      </c>
      <c r="ENL16" s="314" t="s">
        <v>203</v>
      </c>
      <c r="ENM16" s="314" t="s">
        <v>203</v>
      </c>
      <c r="ENN16" s="314" t="s">
        <v>203</v>
      </c>
      <c r="ENO16" s="314" t="s">
        <v>203</v>
      </c>
      <c r="ENP16" s="314" t="s">
        <v>203</v>
      </c>
      <c r="ENQ16" s="314" t="s">
        <v>203</v>
      </c>
      <c r="ENR16" s="314" t="s">
        <v>203</v>
      </c>
      <c r="ENS16" s="314" t="s">
        <v>203</v>
      </c>
      <c r="ENT16" s="314" t="s">
        <v>203</v>
      </c>
      <c r="ENU16" s="314" t="s">
        <v>203</v>
      </c>
      <c r="ENV16" s="314" t="s">
        <v>203</v>
      </c>
      <c r="ENW16" s="314" t="s">
        <v>203</v>
      </c>
      <c r="ENX16" s="314" t="s">
        <v>203</v>
      </c>
      <c r="ENY16" s="314" t="s">
        <v>203</v>
      </c>
      <c r="ENZ16" s="314" t="s">
        <v>203</v>
      </c>
      <c r="EOA16" s="314" t="s">
        <v>203</v>
      </c>
      <c r="EOB16" s="314" t="s">
        <v>203</v>
      </c>
      <c r="EOC16" s="314" t="s">
        <v>203</v>
      </c>
      <c r="EOD16" s="314" t="s">
        <v>203</v>
      </c>
      <c r="EOE16" s="314" t="s">
        <v>203</v>
      </c>
      <c r="EOF16" s="314" t="s">
        <v>203</v>
      </c>
      <c r="EOG16" s="314" t="s">
        <v>203</v>
      </c>
      <c r="EOH16" s="314" t="s">
        <v>203</v>
      </c>
      <c r="EOI16" s="314" t="s">
        <v>203</v>
      </c>
      <c r="EOJ16" s="314" t="s">
        <v>203</v>
      </c>
      <c r="EOK16" s="314" t="s">
        <v>203</v>
      </c>
      <c r="EOL16" s="314" t="s">
        <v>203</v>
      </c>
      <c r="EOM16" s="314" t="s">
        <v>203</v>
      </c>
      <c r="EON16" s="314" t="s">
        <v>203</v>
      </c>
      <c r="EOO16" s="314" t="s">
        <v>203</v>
      </c>
      <c r="EOP16" s="314" t="s">
        <v>203</v>
      </c>
      <c r="EOQ16" s="314" t="s">
        <v>203</v>
      </c>
      <c r="EOR16" s="314" t="s">
        <v>203</v>
      </c>
      <c r="EOS16" s="314" t="s">
        <v>203</v>
      </c>
      <c r="EOT16" s="314" t="s">
        <v>203</v>
      </c>
      <c r="EOU16" s="314" t="s">
        <v>203</v>
      </c>
      <c r="EOV16" s="314" t="s">
        <v>203</v>
      </c>
      <c r="EOW16" s="314" t="s">
        <v>203</v>
      </c>
      <c r="EOX16" s="314" t="s">
        <v>203</v>
      </c>
      <c r="EOY16" s="314" t="s">
        <v>203</v>
      </c>
      <c r="EOZ16" s="314" t="s">
        <v>203</v>
      </c>
      <c r="EPA16" s="314" t="s">
        <v>203</v>
      </c>
      <c r="EPB16" s="314" t="s">
        <v>203</v>
      </c>
      <c r="EPC16" s="314" t="s">
        <v>203</v>
      </c>
      <c r="EPD16" s="314" t="s">
        <v>203</v>
      </c>
      <c r="EPE16" s="314" t="s">
        <v>203</v>
      </c>
      <c r="EPF16" s="314" t="s">
        <v>203</v>
      </c>
      <c r="EPG16" s="314" t="s">
        <v>203</v>
      </c>
      <c r="EPH16" s="314" t="s">
        <v>203</v>
      </c>
      <c r="EPI16" s="314" t="s">
        <v>203</v>
      </c>
      <c r="EPJ16" s="314" t="s">
        <v>203</v>
      </c>
      <c r="EPK16" s="314" t="s">
        <v>203</v>
      </c>
      <c r="EPL16" s="314" t="s">
        <v>203</v>
      </c>
      <c r="EPM16" s="314" t="s">
        <v>203</v>
      </c>
      <c r="EPN16" s="314" t="s">
        <v>203</v>
      </c>
      <c r="EPO16" s="314" t="s">
        <v>203</v>
      </c>
      <c r="EPP16" s="314" t="s">
        <v>203</v>
      </c>
      <c r="EPQ16" s="314" t="s">
        <v>203</v>
      </c>
      <c r="EPR16" s="314" t="s">
        <v>203</v>
      </c>
      <c r="EPS16" s="314" t="s">
        <v>203</v>
      </c>
      <c r="EPT16" s="314" t="s">
        <v>203</v>
      </c>
      <c r="EPU16" s="314" t="s">
        <v>203</v>
      </c>
      <c r="EPV16" s="314" t="s">
        <v>203</v>
      </c>
      <c r="EPW16" s="314" t="s">
        <v>203</v>
      </c>
      <c r="EPX16" s="314" t="s">
        <v>203</v>
      </c>
      <c r="EPY16" s="314" t="s">
        <v>203</v>
      </c>
      <c r="EPZ16" s="314" t="s">
        <v>203</v>
      </c>
      <c r="EQA16" s="314" t="s">
        <v>203</v>
      </c>
      <c r="EQB16" s="314" t="s">
        <v>203</v>
      </c>
      <c r="EQC16" s="314" t="s">
        <v>203</v>
      </c>
      <c r="EQD16" s="314" t="s">
        <v>203</v>
      </c>
      <c r="EQE16" s="314" t="s">
        <v>203</v>
      </c>
      <c r="EQF16" s="314" t="s">
        <v>203</v>
      </c>
      <c r="EQG16" s="314" t="s">
        <v>203</v>
      </c>
      <c r="EQH16" s="314" t="s">
        <v>203</v>
      </c>
      <c r="EQI16" s="314" t="s">
        <v>203</v>
      </c>
      <c r="EQJ16" s="314" t="s">
        <v>203</v>
      </c>
      <c r="EQK16" s="314" t="s">
        <v>203</v>
      </c>
      <c r="EQL16" s="314" t="s">
        <v>203</v>
      </c>
      <c r="EQM16" s="314" t="s">
        <v>203</v>
      </c>
      <c r="EQN16" s="314" t="s">
        <v>203</v>
      </c>
      <c r="EQO16" s="314" t="s">
        <v>203</v>
      </c>
      <c r="EQP16" s="314" t="s">
        <v>203</v>
      </c>
      <c r="EQQ16" s="314" t="s">
        <v>203</v>
      </c>
      <c r="EQR16" s="314" t="s">
        <v>203</v>
      </c>
      <c r="EQS16" s="314" t="s">
        <v>203</v>
      </c>
      <c r="EQT16" s="314" t="s">
        <v>203</v>
      </c>
      <c r="EQU16" s="314" t="s">
        <v>203</v>
      </c>
      <c r="EQV16" s="314" t="s">
        <v>203</v>
      </c>
      <c r="EQW16" s="314" t="s">
        <v>203</v>
      </c>
      <c r="EQX16" s="314" t="s">
        <v>203</v>
      </c>
      <c r="EQY16" s="314" t="s">
        <v>203</v>
      </c>
      <c r="EQZ16" s="314" t="s">
        <v>203</v>
      </c>
      <c r="ERA16" s="314" t="s">
        <v>203</v>
      </c>
      <c r="ERB16" s="314" t="s">
        <v>203</v>
      </c>
      <c r="ERC16" s="314" t="s">
        <v>203</v>
      </c>
      <c r="ERD16" s="314" t="s">
        <v>203</v>
      </c>
      <c r="ERE16" s="314" t="s">
        <v>203</v>
      </c>
      <c r="ERF16" s="314" t="s">
        <v>203</v>
      </c>
      <c r="ERG16" s="314" t="s">
        <v>203</v>
      </c>
      <c r="ERH16" s="314" t="s">
        <v>203</v>
      </c>
      <c r="ERI16" s="314" t="s">
        <v>203</v>
      </c>
      <c r="ERJ16" s="314" t="s">
        <v>203</v>
      </c>
      <c r="ERK16" s="314" t="s">
        <v>203</v>
      </c>
      <c r="ERL16" s="314" t="s">
        <v>203</v>
      </c>
      <c r="ERM16" s="314" t="s">
        <v>203</v>
      </c>
      <c r="ERN16" s="314" t="s">
        <v>203</v>
      </c>
      <c r="ERO16" s="314" t="s">
        <v>203</v>
      </c>
      <c r="ERP16" s="314" t="s">
        <v>203</v>
      </c>
      <c r="ERQ16" s="314" t="s">
        <v>203</v>
      </c>
      <c r="ERR16" s="314" t="s">
        <v>203</v>
      </c>
      <c r="ERS16" s="314" t="s">
        <v>203</v>
      </c>
      <c r="ERT16" s="314" t="s">
        <v>203</v>
      </c>
      <c r="ERU16" s="314" t="s">
        <v>203</v>
      </c>
      <c r="ERV16" s="314" t="s">
        <v>203</v>
      </c>
      <c r="ERW16" s="314" t="s">
        <v>203</v>
      </c>
      <c r="ERX16" s="314" t="s">
        <v>203</v>
      </c>
      <c r="ERY16" s="314" t="s">
        <v>203</v>
      </c>
      <c r="ERZ16" s="314" t="s">
        <v>203</v>
      </c>
      <c r="ESA16" s="314" t="s">
        <v>203</v>
      </c>
      <c r="ESB16" s="314" t="s">
        <v>203</v>
      </c>
      <c r="ESC16" s="314" t="s">
        <v>203</v>
      </c>
      <c r="ESD16" s="314" t="s">
        <v>203</v>
      </c>
      <c r="ESE16" s="314" t="s">
        <v>203</v>
      </c>
      <c r="ESF16" s="314" t="s">
        <v>203</v>
      </c>
      <c r="ESG16" s="314" t="s">
        <v>203</v>
      </c>
      <c r="ESH16" s="314" t="s">
        <v>203</v>
      </c>
      <c r="ESI16" s="314" t="s">
        <v>203</v>
      </c>
      <c r="ESJ16" s="314" t="s">
        <v>203</v>
      </c>
      <c r="ESK16" s="314" t="s">
        <v>203</v>
      </c>
      <c r="ESL16" s="314" t="s">
        <v>203</v>
      </c>
      <c r="ESM16" s="314" t="s">
        <v>203</v>
      </c>
      <c r="ESN16" s="314" t="s">
        <v>203</v>
      </c>
      <c r="ESO16" s="314" t="s">
        <v>203</v>
      </c>
      <c r="ESP16" s="314" t="s">
        <v>203</v>
      </c>
      <c r="ESQ16" s="314" t="s">
        <v>203</v>
      </c>
      <c r="ESR16" s="314" t="s">
        <v>203</v>
      </c>
      <c r="ESS16" s="314" t="s">
        <v>203</v>
      </c>
      <c r="EST16" s="314" t="s">
        <v>203</v>
      </c>
      <c r="ESU16" s="314" t="s">
        <v>203</v>
      </c>
      <c r="ESV16" s="314" t="s">
        <v>203</v>
      </c>
      <c r="ESW16" s="314" t="s">
        <v>203</v>
      </c>
      <c r="ESX16" s="314" t="s">
        <v>203</v>
      </c>
      <c r="ESY16" s="314" t="s">
        <v>203</v>
      </c>
      <c r="ESZ16" s="314" t="s">
        <v>203</v>
      </c>
      <c r="ETA16" s="314" t="s">
        <v>203</v>
      </c>
      <c r="ETB16" s="314" t="s">
        <v>203</v>
      </c>
      <c r="ETC16" s="314" t="s">
        <v>203</v>
      </c>
      <c r="ETD16" s="314" t="s">
        <v>203</v>
      </c>
      <c r="ETE16" s="314" t="s">
        <v>203</v>
      </c>
      <c r="ETF16" s="314" t="s">
        <v>203</v>
      </c>
      <c r="ETG16" s="314" t="s">
        <v>203</v>
      </c>
      <c r="ETH16" s="314" t="s">
        <v>203</v>
      </c>
      <c r="ETI16" s="314" t="s">
        <v>203</v>
      </c>
      <c r="ETJ16" s="314" t="s">
        <v>203</v>
      </c>
      <c r="ETK16" s="314" t="s">
        <v>203</v>
      </c>
      <c r="ETL16" s="314" t="s">
        <v>203</v>
      </c>
      <c r="ETM16" s="314" t="s">
        <v>203</v>
      </c>
      <c r="ETN16" s="314" t="s">
        <v>203</v>
      </c>
      <c r="ETO16" s="314" t="s">
        <v>203</v>
      </c>
      <c r="ETP16" s="314" t="s">
        <v>203</v>
      </c>
      <c r="ETQ16" s="314" t="s">
        <v>203</v>
      </c>
      <c r="ETR16" s="314" t="s">
        <v>203</v>
      </c>
      <c r="ETS16" s="314" t="s">
        <v>203</v>
      </c>
      <c r="ETT16" s="314" t="s">
        <v>203</v>
      </c>
      <c r="ETU16" s="314" t="s">
        <v>203</v>
      </c>
      <c r="ETV16" s="314" t="s">
        <v>203</v>
      </c>
      <c r="ETW16" s="314" t="s">
        <v>203</v>
      </c>
      <c r="ETX16" s="314" t="s">
        <v>203</v>
      </c>
      <c r="ETY16" s="314" t="s">
        <v>203</v>
      </c>
      <c r="ETZ16" s="314" t="s">
        <v>203</v>
      </c>
      <c r="EUA16" s="314" t="s">
        <v>203</v>
      </c>
      <c r="EUB16" s="314" t="s">
        <v>203</v>
      </c>
      <c r="EUC16" s="314" t="s">
        <v>203</v>
      </c>
      <c r="EUD16" s="314" t="s">
        <v>203</v>
      </c>
      <c r="EUE16" s="314" t="s">
        <v>203</v>
      </c>
      <c r="EUF16" s="314" t="s">
        <v>203</v>
      </c>
      <c r="EUG16" s="314" t="s">
        <v>203</v>
      </c>
      <c r="EUH16" s="314" t="s">
        <v>203</v>
      </c>
      <c r="EUI16" s="314" t="s">
        <v>203</v>
      </c>
      <c r="EUJ16" s="314" t="s">
        <v>203</v>
      </c>
      <c r="EUK16" s="314" t="s">
        <v>203</v>
      </c>
      <c r="EUL16" s="314" t="s">
        <v>203</v>
      </c>
      <c r="EUM16" s="314" t="s">
        <v>203</v>
      </c>
      <c r="EUN16" s="314" t="s">
        <v>203</v>
      </c>
      <c r="EUO16" s="314" t="s">
        <v>203</v>
      </c>
      <c r="EUP16" s="314" t="s">
        <v>203</v>
      </c>
      <c r="EUQ16" s="314" t="s">
        <v>203</v>
      </c>
      <c r="EUR16" s="314" t="s">
        <v>203</v>
      </c>
      <c r="EUS16" s="314" t="s">
        <v>203</v>
      </c>
      <c r="EUT16" s="314" t="s">
        <v>203</v>
      </c>
      <c r="EUU16" s="314" t="s">
        <v>203</v>
      </c>
      <c r="EUV16" s="314" t="s">
        <v>203</v>
      </c>
      <c r="EUW16" s="314" t="s">
        <v>203</v>
      </c>
      <c r="EUX16" s="314" t="s">
        <v>203</v>
      </c>
      <c r="EUY16" s="314" t="s">
        <v>203</v>
      </c>
      <c r="EUZ16" s="314" t="s">
        <v>203</v>
      </c>
      <c r="EVA16" s="314" t="s">
        <v>203</v>
      </c>
      <c r="EVB16" s="314" t="s">
        <v>203</v>
      </c>
      <c r="EVC16" s="314" t="s">
        <v>203</v>
      </c>
      <c r="EVD16" s="314" t="s">
        <v>203</v>
      </c>
      <c r="EVE16" s="314" t="s">
        <v>203</v>
      </c>
      <c r="EVF16" s="314" t="s">
        <v>203</v>
      </c>
      <c r="EVG16" s="314" t="s">
        <v>203</v>
      </c>
      <c r="EVH16" s="314" t="s">
        <v>203</v>
      </c>
      <c r="EVI16" s="314" t="s">
        <v>203</v>
      </c>
      <c r="EVJ16" s="314" t="s">
        <v>203</v>
      </c>
      <c r="EVK16" s="314" t="s">
        <v>203</v>
      </c>
      <c r="EVL16" s="314" t="s">
        <v>203</v>
      </c>
      <c r="EVM16" s="314" t="s">
        <v>203</v>
      </c>
      <c r="EVN16" s="314" t="s">
        <v>203</v>
      </c>
      <c r="EVO16" s="314" t="s">
        <v>203</v>
      </c>
      <c r="EVP16" s="314" t="s">
        <v>203</v>
      </c>
      <c r="EVQ16" s="314" t="s">
        <v>203</v>
      </c>
      <c r="EVR16" s="314" t="s">
        <v>203</v>
      </c>
      <c r="EVS16" s="314" t="s">
        <v>203</v>
      </c>
      <c r="EVT16" s="314" t="s">
        <v>203</v>
      </c>
      <c r="EVU16" s="314" t="s">
        <v>203</v>
      </c>
      <c r="EVV16" s="314" t="s">
        <v>203</v>
      </c>
      <c r="EVW16" s="314" t="s">
        <v>203</v>
      </c>
      <c r="EVX16" s="314" t="s">
        <v>203</v>
      </c>
      <c r="EVY16" s="314" t="s">
        <v>203</v>
      </c>
      <c r="EVZ16" s="314" t="s">
        <v>203</v>
      </c>
      <c r="EWA16" s="314" t="s">
        <v>203</v>
      </c>
      <c r="EWB16" s="314" t="s">
        <v>203</v>
      </c>
      <c r="EWC16" s="314" t="s">
        <v>203</v>
      </c>
      <c r="EWD16" s="314" t="s">
        <v>203</v>
      </c>
      <c r="EWE16" s="314" t="s">
        <v>203</v>
      </c>
      <c r="EWF16" s="314" t="s">
        <v>203</v>
      </c>
      <c r="EWG16" s="314" t="s">
        <v>203</v>
      </c>
      <c r="EWH16" s="314" t="s">
        <v>203</v>
      </c>
      <c r="EWI16" s="314" t="s">
        <v>203</v>
      </c>
      <c r="EWJ16" s="314" t="s">
        <v>203</v>
      </c>
      <c r="EWK16" s="314" t="s">
        <v>203</v>
      </c>
      <c r="EWL16" s="314" t="s">
        <v>203</v>
      </c>
      <c r="EWM16" s="314" t="s">
        <v>203</v>
      </c>
      <c r="EWN16" s="314" t="s">
        <v>203</v>
      </c>
      <c r="EWO16" s="314" t="s">
        <v>203</v>
      </c>
      <c r="EWP16" s="314" t="s">
        <v>203</v>
      </c>
      <c r="EWQ16" s="314" t="s">
        <v>203</v>
      </c>
      <c r="EWR16" s="314" t="s">
        <v>203</v>
      </c>
      <c r="EWS16" s="314" t="s">
        <v>203</v>
      </c>
      <c r="EWT16" s="314" t="s">
        <v>203</v>
      </c>
      <c r="EWU16" s="314" t="s">
        <v>203</v>
      </c>
      <c r="EWV16" s="314" t="s">
        <v>203</v>
      </c>
      <c r="EWW16" s="314" t="s">
        <v>203</v>
      </c>
      <c r="EWX16" s="314" t="s">
        <v>203</v>
      </c>
      <c r="EWY16" s="314" t="s">
        <v>203</v>
      </c>
      <c r="EWZ16" s="314" t="s">
        <v>203</v>
      </c>
      <c r="EXA16" s="314" t="s">
        <v>203</v>
      </c>
      <c r="EXB16" s="314" t="s">
        <v>203</v>
      </c>
      <c r="EXC16" s="314" t="s">
        <v>203</v>
      </c>
      <c r="EXD16" s="314" t="s">
        <v>203</v>
      </c>
      <c r="EXE16" s="314" t="s">
        <v>203</v>
      </c>
      <c r="EXF16" s="314" t="s">
        <v>203</v>
      </c>
      <c r="EXG16" s="314" t="s">
        <v>203</v>
      </c>
      <c r="EXH16" s="314" t="s">
        <v>203</v>
      </c>
      <c r="EXI16" s="314" t="s">
        <v>203</v>
      </c>
      <c r="EXJ16" s="314" t="s">
        <v>203</v>
      </c>
      <c r="EXK16" s="314" t="s">
        <v>203</v>
      </c>
      <c r="EXL16" s="314" t="s">
        <v>203</v>
      </c>
      <c r="EXM16" s="314" t="s">
        <v>203</v>
      </c>
      <c r="EXN16" s="314" t="s">
        <v>203</v>
      </c>
      <c r="EXO16" s="314" t="s">
        <v>203</v>
      </c>
      <c r="EXP16" s="314" t="s">
        <v>203</v>
      </c>
      <c r="EXQ16" s="314" t="s">
        <v>203</v>
      </c>
      <c r="EXR16" s="314" t="s">
        <v>203</v>
      </c>
      <c r="EXS16" s="314" t="s">
        <v>203</v>
      </c>
      <c r="EXT16" s="314" t="s">
        <v>203</v>
      </c>
      <c r="EXU16" s="314" t="s">
        <v>203</v>
      </c>
      <c r="EXV16" s="314" t="s">
        <v>203</v>
      </c>
      <c r="EXW16" s="314" t="s">
        <v>203</v>
      </c>
      <c r="EXX16" s="314" t="s">
        <v>203</v>
      </c>
      <c r="EXY16" s="314" t="s">
        <v>203</v>
      </c>
      <c r="EXZ16" s="314" t="s">
        <v>203</v>
      </c>
      <c r="EYA16" s="314" t="s">
        <v>203</v>
      </c>
      <c r="EYB16" s="314" t="s">
        <v>203</v>
      </c>
      <c r="EYC16" s="314" t="s">
        <v>203</v>
      </c>
      <c r="EYD16" s="314" t="s">
        <v>203</v>
      </c>
      <c r="EYE16" s="314" t="s">
        <v>203</v>
      </c>
      <c r="EYF16" s="314" t="s">
        <v>203</v>
      </c>
      <c r="EYG16" s="314" t="s">
        <v>203</v>
      </c>
      <c r="EYH16" s="314" t="s">
        <v>203</v>
      </c>
      <c r="EYI16" s="314" t="s">
        <v>203</v>
      </c>
      <c r="EYJ16" s="314" t="s">
        <v>203</v>
      </c>
      <c r="EYK16" s="314" t="s">
        <v>203</v>
      </c>
      <c r="EYL16" s="314" t="s">
        <v>203</v>
      </c>
      <c r="EYM16" s="314" t="s">
        <v>203</v>
      </c>
      <c r="EYN16" s="314" t="s">
        <v>203</v>
      </c>
      <c r="EYO16" s="314" t="s">
        <v>203</v>
      </c>
      <c r="EYP16" s="314" t="s">
        <v>203</v>
      </c>
      <c r="EYQ16" s="314" t="s">
        <v>203</v>
      </c>
      <c r="EYR16" s="314" t="s">
        <v>203</v>
      </c>
      <c r="EYS16" s="314" t="s">
        <v>203</v>
      </c>
      <c r="EYT16" s="314" t="s">
        <v>203</v>
      </c>
      <c r="EYU16" s="314" t="s">
        <v>203</v>
      </c>
      <c r="EYV16" s="314" t="s">
        <v>203</v>
      </c>
      <c r="EYW16" s="314" t="s">
        <v>203</v>
      </c>
      <c r="EYX16" s="314" t="s">
        <v>203</v>
      </c>
      <c r="EYY16" s="314" t="s">
        <v>203</v>
      </c>
      <c r="EYZ16" s="314" t="s">
        <v>203</v>
      </c>
      <c r="EZA16" s="314" t="s">
        <v>203</v>
      </c>
      <c r="EZB16" s="314" t="s">
        <v>203</v>
      </c>
      <c r="EZC16" s="314" t="s">
        <v>203</v>
      </c>
      <c r="EZD16" s="314" t="s">
        <v>203</v>
      </c>
      <c r="EZE16" s="314" t="s">
        <v>203</v>
      </c>
      <c r="EZF16" s="314" t="s">
        <v>203</v>
      </c>
      <c r="EZG16" s="314" t="s">
        <v>203</v>
      </c>
      <c r="EZH16" s="314" t="s">
        <v>203</v>
      </c>
      <c r="EZI16" s="314" t="s">
        <v>203</v>
      </c>
      <c r="EZJ16" s="314" t="s">
        <v>203</v>
      </c>
      <c r="EZK16" s="314" t="s">
        <v>203</v>
      </c>
      <c r="EZL16" s="314" t="s">
        <v>203</v>
      </c>
      <c r="EZM16" s="314" t="s">
        <v>203</v>
      </c>
      <c r="EZN16" s="314" t="s">
        <v>203</v>
      </c>
      <c r="EZO16" s="314" t="s">
        <v>203</v>
      </c>
      <c r="EZP16" s="314" t="s">
        <v>203</v>
      </c>
      <c r="EZQ16" s="314" t="s">
        <v>203</v>
      </c>
      <c r="EZR16" s="314" t="s">
        <v>203</v>
      </c>
      <c r="EZS16" s="314" t="s">
        <v>203</v>
      </c>
      <c r="EZT16" s="314" t="s">
        <v>203</v>
      </c>
      <c r="EZU16" s="314" t="s">
        <v>203</v>
      </c>
      <c r="EZV16" s="314" t="s">
        <v>203</v>
      </c>
      <c r="EZW16" s="314" t="s">
        <v>203</v>
      </c>
      <c r="EZX16" s="314" t="s">
        <v>203</v>
      </c>
      <c r="EZY16" s="314" t="s">
        <v>203</v>
      </c>
      <c r="EZZ16" s="314" t="s">
        <v>203</v>
      </c>
      <c r="FAA16" s="314" t="s">
        <v>203</v>
      </c>
      <c r="FAB16" s="314" t="s">
        <v>203</v>
      </c>
      <c r="FAC16" s="314" t="s">
        <v>203</v>
      </c>
      <c r="FAD16" s="314" t="s">
        <v>203</v>
      </c>
      <c r="FAE16" s="314" t="s">
        <v>203</v>
      </c>
      <c r="FAF16" s="314" t="s">
        <v>203</v>
      </c>
      <c r="FAG16" s="314" t="s">
        <v>203</v>
      </c>
      <c r="FAH16" s="314" t="s">
        <v>203</v>
      </c>
      <c r="FAI16" s="314" t="s">
        <v>203</v>
      </c>
      <c r="FAJ16" s="314" t="s">
        <v>203</v>
      </c>
      <c r="FAK16" s="314" t="s">
        <v>203</v>
      </c>
      <c r="FAL16" s="314" t="s">
        <v>203</v>
      </c>
      <c r="FAM16" s="314" t="s">
        <v>203</v>
      </c>
      <c r="FAN16" s="314" t="s">
        <v>203</v>
      </c>
      <c r="FAO16" s="314" t="s">
        <v>203</v>
      </c>
      <c r="FAP16" s="314" t="s">
        <v>203</v>
      </c>
      <c r="FAQ16" s="314" t="s">
        <v>203</v>
      </c>
      <c r="FAR16" s="314" t="s">
        <v>203</v>
      </c>
      <c r="FAS16" s="314" t="s">
        <v>203</v>
      </c>
      <c r="FAT16" s="314" t="s">
        <v>203</v>
      </c>
      <c r="FAU16" s="314" t="s">
        <v>203</v>
      </c>
      <c r="FAV16" s="314" t="s">
        <v>203</v>
      </c>
      <c r="FAW16" s="314" t="s">
        <v>203</v>
      </c>
      <c r="FAX16" s="314" t="s">
        <v>203</v>
      </c>
      <c r="FAY16" s="314" t="s">
        <v>203</v>
      </c>
      <c r="FAZ16" s="314" t="s">
        <v>203</v>
      </c>
      <c r="FBA16" s="314" t="s">
        <v>203</v>
      </c>
      <c r="FBB16" s="314" t="s">
        <v>203</v>
      </c>
      <c r="FBC16" s="314" t="s">
        <v>203</v>
      </c>
      <c r="FBD16" s="314" t="s">
        <v>203</v>
      </c>
      <c r="FBE16" s="314" t="s">
        <v>203</v>
      </c>
      <c r="FBF16" s="314" t="s">
        <v>203</v>
      </c>
      <c r="FBG16" s="314" t="s">
        <v>203</v>
      </c>
      <c r="FBH16" s="314" t="s">
        <v>203</v>
      </c>
      <c r="FBI16" s="314" t="s">
        <v>203</v>
      </c>
      <c r="FBJ16" s="314" t="s">
        <v>203</v>
      </c>
      <c r="FBK16" s="314" t="s">
        <v>203</v>
      </c>
      <c r="FBL16" s="314" t="s">
        <v>203</v>
      </c>
      <c r="FBM16" s="314" t="s">
        <v>203</v>
      </c>
      <c r="FBN16" s="314" t="s">
        <v>203</v>
      </c>
      <c r="FBO16" s="314" t="s">
        <v>203</v>
      </c>
      <c r="FBP16" s="314" t="s">
        <v>203</v>
      </c>
      <c r="FBQ16" s="314" t="s">
        <v>203</v>
      </c>
      <c r="FBR16" s="314" t="s">
        <v>203</v>
      </c>
      <c r="FBS16" s="314" t="s">
        <v>203</v>
      </c>
      <c r="FBT16" s="314" t="s">
        <v>203</v>
      </c>
      <c r="FBU16" s="314" t="s">
        <v>203</v>
      </c>
      <c r="FBV16" s="314" t="s">
        <v>203</v>
      </c>
      <c r="FBW16" s="314" t="s">
        <v>203</v>
      </c>
      <c r="FBX16" s="314" t="s">
        <v>203</v>
      </c>
      <c r="FBY16" s="314" t="s">
        <v>203</v>
      </c>
      <c r="FBZ16" s="314" t="s">
        <v>203</v>
      </c>
      <c r="FCA16" s="314" t="s">
        <v>203</v>
      </c>
      <c r="FCB16" s="314" t="s">
        <v>203</v>
      </c>
      <c r="FCC16" s="314" t="s">
        <v>203</v>
      </c>
      <c r="FCD16" s="314" t="s">
        <v>203</v>
      </c>
      <c r="FCE16" s="314" t="s">
        <v>203</v>
      </c>
      <c r="FCF16" s="314" t="s">
        <v>203</v>
      </c>
      <c r="FCG16" s="314" t="s">
        <v>203</v>
      </c>
      <c r="FCH16" s="314" t="s">
        <v>203</v>
      </c>
      <c r="FCI16" s="314" t="s">
        <v>203</v>
      </c>
      <c r="FCJ16" s="314" t="s">
        <v>203</v>
      </c>
      <c r="FCK16" s="314" t="s">
        <v>203</v>
      </c>
      <c r="FCL16" s="314" t="s">
        <v>203</v>
      </c>
      <c r="FCM16" s="314" t="s">
        <v>203</v>
      </c>
      <c r="FCN16" s="314" t="s">
        <v>203</v>
      </c>
      <c r="FCO16" s="314" t="s">
        <v>203</v>
      </c>
      <c r="FCP16" s="314" t="s">
        <v>203</v>
      </c>
      <c r="FCQ16" s="314" t="s">
        <v>203</v>
      </c>
      <c r="FCR16" s="314" t="s">
        <v>203</v>
      </c>
      <c r="FCS16" s="314" t="s">
        <v>203</v>
      </c>
      <c r="FCT16" s="314" t="s">
        <v>203</v>
      </c>
      <c r="FCU16" s="314" t="s">
        <v>203</v>
      </c>
      <c r="FCV16" s="314" t="s">
        <v>203</v>
      </c>
      <c r="FCW16" s="314" t="s">
        <v>203</v>
      </c>
      <c r="FCX16" s="314" t="s">
        <v>203</v>
      </c>
      <c r="FCY16" s="314" t="s">
        <v>203</v>
      </c>
      <c r="FCZ16" s="314" t="s">
        <v>203</v>
      </c>
      <c r="FDA16" s="314" t="s">
        <v>203</v>
      </c>
      <c r="FDB16" s="314" t="s">
        <v>203</v>
      </c>
      <c r="FDC16" s="314" t="s">
        <v>203</v>
      </c>
      <c r="FDD16" s="314" t="s">
        <v>203</v>
      </c>
      <c r="FDE16" s="314" t="s">
        <v>203</v>
      </c>
      <c r="FDF16" s="314" t="s">
        <v>203</v>
      </c>
      <c r="FDG16" s="314" t="s">
        <v>203</v>
      </c>
      <c r="FDH16" s="314" t="s">
        <v>203</v>
      </c>
      <c r="FDI16" s="314" t="s">
        <v>203</v>
      </c>
      <c r="FDJ16" s="314" t="s">
        <v>203</v>
      </c>
      <c r="FDK16" s="314" t="s">
        <v>203</v>
      </c>
      <c r="FDL16" s="314" t="s">
        <v>203</v>
      </c>
      <c r="FDM16" s="314" t="s">
        <v>203</v>
      </c>
      <c r="FDN16" s="314" t="s">
        <v>203</v>
      </c>
      <c r="FDO16" s="314" t="s">
        <v>203</v>
      </c>
      <c r="FDP16" s="314" t="s">
        <v>203</v>
      </c>
      <c r="FDQ16" s="314" t="s">
        <v>203</v>
      </c>
      <c r="FDR16" s="314" t="s">
        <v>203</v>
      </c>
      <c r="FDS16" s="314" t="s">
        <v>203</v>
      </c>
      <c r="FDT16" s="314" t="s">
        <v>203</v>
      </c>
      <c r="FDU16" s="314" t="s">
        <v>203</v>
      </c>
      <c r="FDV16" s="314" t="s">
        <v>203</v>
      </c>
      <c r="FDW16" s="314" t="s">
        <v>203</v>
      </c>
      <c r="FDX16" s="314" t="s">
        <v>203</v>
      </c>
      <c r="FDY16" s="314" t="s">
        <v>203</v>
      </c>
      <c r="FDZ16" s="314" t="s">
        <v>203</v>
      </c>
      <c r="FEA16" s="314" t="s">
        <v>203</v>
      </c>
      <c r="FEB16" s="314" t="s">
        <v>203</v>
      </c>
      <c r="FEC16" s="314" t="s">
        <v>203</v>
      </c>
      <c r="FED16" s="314" t="s">
        <v>203</v>
      </c>
      <c r="FEE16" s="314" t="s">
        <v>203</v>
      </c>
      <c r="FEF16" s="314" t="s">
        <v>203</v>
      </c>
      <c r="FEG16" s="314" t="s">
        <v>203</v>
      </c>
      <c r="FEH16" s="314" t="s">
        <v>203</v>
      </c>
      <c r="FEI16" s="314" t="s">
        <v>203</v>
      </c>
      <c r="FEJ16" s="314" t="s">
        <v>203</v>
      </c>
      <c r="FEK16" s="314" t="s">
        <v>203</v>
      </c>
      <c r="FEL16" s="314" t="s">
        <v>203</v>
      </c>
      <c r="FEM16" s="314" t="s">
        <v>203</v>
      </c>
      <c r="FEN16" s="314" t="s">
        <v>203</v>
      </c>
      <c r="FEO16" s="314" t="s">
        <v>203</v>
      </c>
      <c r="FEP16" s="314" t="s">
        <v>203</v>
      </c>
      <c r="FEQ16" s="314" t="s">
        <v>203</v>
      </c>
      <c r="FER16" s="314" t="s">
        <v>203</v>
      </c>
      <c r="FES16" s="314" t="s">
        <v>203</v>
      </c>
      <c r="FET16" s="314" t="s">
        <v>203</v>
      </c>
      <c r="FEU16" s="314" t="s">
        <v>203</v>
      </c>
      <c r="FEV16" s="314" t="s">
        <v>203</v>
      </c>
      <c r="FEW16" s="314" t="s">
        <v>203</v>
      </c>
      <c r="FEX16" s="314" t="s">
        <v>203</v>
      </c>
      <c r="FEY16" s="314" t="s">
        <v>203</v>
      </c>
      <c r="FEZ16" s="314" t="s">
        <v>203</v>
      </c>
      <c r="FFA16" s="314" t="s">
        <v>203</v>
      </c>
      <c r="FFB16" s="314" t="s">
        <v>203</v>
      </c>
      <c r="FFC16" s="314" t="s">
        <v>203</v>
      </c>
      <c r="FFD16" s="314" t="s">
        <v>203</v>
      </c>
      <c r="FFE16" s="314" t="s">
        <v>203</v>
      </c>
      <c r="FFF16" s="314" t="s">
        <v>203</v>
      </c>
      <c r="FFG16" s="314" t="s">
        <v>203</v>
      </c>
      <c r="FFH16" s="314" t="s">
        <v>203</v>
      </c>
      <c r="FFI16" s="314" t="s">
        <v>203</v>
      </c>
      <c r="FFJ16" s="314" t="s">
        <v>203</v>
      </c>
      <c r="FFK16" s="314" t="s">
        <v>203</v>
      </c>
      <c r="FFL16" s="314" t="s">
        <v>203</v>
      </c>
      <c r="FFM16" s="314" t="s">
        <v>203</v>
      </c>
      <c r="FFN16" s="314" t="s">
        <v>203</v>
      </c>
      <c r="FFO16" s="314" t="s">
        <v>203</v>
      </c>
      <c r="FFP16" s="314" t="s">
        <v>203</v>
      </c>
      <c r="FFQ16" s="314" t="s">
        <v>203</v>
      </c>
      <c r="FFR16" s="314" t="s">
        <v>203</v>
      </c>
      <c r="FFS16" s="314" t="s">
        <v>203</v>
      </c>
      <c r="FFT16" s="314" t="s">
        <v>203</v>
      </c>
      <c r="FFU16" s="314" t="s">
        <v>203</v>
      </c>
      <c r="FFV16" s="314" t="s">
        <v>203</v>
      </c>
      <c r="FFW16" s="314" t="s">
        <v>203</v>
      </c>
      <c r="FFX16" s="314" t="s">
        <v>203</v>
      </c>
      <c r="FFY16" s="314" t="s">
        <v>203</v>
      </c>
      <c r="FFZ16" s="314" t="s">
        <v>203</v>
      </c>
      <c r="FGA16" s="314" t="s">
        <v>203</v>
      </c>
      <c r="FGB16" s="314" t="s">
        <v>203</v>
      </c>
      <c r="FGC16" s="314" t="s">
        <v>203</v>
      </c>
      <c r="FGD16" s="314" t="s">
        <v>203</v>
      </c>
      <c r="FGE16" s="314" t="s">
        <v>203</v>
      </c>
      <c r="FGF16" s="314" t="s">
        <v>203</v>
      </c>
      <c r="FGG16" s="314" t="s">
        <v>203</v>
      </c>
      <c r="FGH16" s="314" t="s">
        <v>203</v>
      </c>
      <c r="FGI16" s="314" t="s">
        <v>203</v>
      </c>
      <c r="FGJ16" s="314" t="s">
        <v>203</v>
      </c>
      <c r="FGK16" s="314" t="s">
        <v>203</v>
      </c>
      <c r="FGL16" s="314" t="s">
        <v>203</v>
      </c>
      <c r="FGM16" s="314" t="s">
        <v>203</v>
      </c>
      <c r="FGN16" s="314" t="s">
        <v>203</v>
      </c>
      <c r="FGO16" s="314" t="s">
        <v>203</v>
      </c>
      <c r="FGP16" s="314" t="s">
        <v>203</v>
      </c>
      <c r="FGQ16" s="314" t="s">
        <v>203</v>
      </c>
      <c r="FGR16" s="314" t="s">
        <v>203</v>
      </c>
      <c r="FGS16" s="314" t="s">
        <v>203</v>
      </c>
      <c r="FGT16" s="314" t="s">
        <v>203</v>
      </c>
      <c r="FGU16" s="314" t="s">
        <v>203</v>
      </c>
      <c r="FGV16" s="314" t="s">
        <v>203</v>
      </c>
      <c r="FGW16" s="314" t="s">
        <v>203</v>
      </c>
      <c r="FGX16" s="314" t="s">
        <v>203</v>
      </c>
      <c r="FGY16" s="314" t="s">
        <v>203</v>
      </c>
      <c r="FGZ16" s="314" t="s">
        <v>203</v>
      </c>
      <c r="FHA16" s="314" t="s">
        <v>203</v>
      </c>
      <c r="FHB16" s="314" t="s">
        <v>203</v>
      </c>
      <c r="FHC16" s="314" t="s">
        <v>203</v>
      </c>
      <c r="FHD16" s="314" t="s">
        <v>203</v>
      </c>
      <c r="FHE16" s="314" t="s">
        <v>203</v>
      </c>
      <c r="FHF16" s="314" t="s">
        <v>203</v>
      </c>
      <c r="FHG16" s="314" t="s">
        <v>203</v>
      </c>
      <c r="FHH16" s="314" t="s">
        <v>203</v>
      </c>
      <c r="FHI16" s="314" t="s">
        <v>203</v>
      </c>
      <c r="FHJ16" s="314" t="s">
        <v>203</v>
      </c>
      <c r="FHK16" s="314" t="s">
        <v>203</v>
      </c>
      <c r="FHL16" s="314" t="s">
        <v>203</v>
      </c>
      <c r="FHM16" s="314" t="s">
        <v>203</v>
      </c>
      <c r="FHN16" s="314" t="s">
        <v>203</v>
      </c>
      <c r="FHO16" s="314" t="s">
        <v>203</v>
      </c>
      <c r="FHP16" s="314" t="s">
        <v>203</v>
      </c>
      <c r="FHQ16" s="314" t="s">
        <v>203</v>
      </c>
      <c r="FHR16" s="314" t="s">
        <v>203</v>
      </c>
      <c r="FHS16" s="314" t="s">
        <v>203</v>
      </c>
      <c r="FHT16" s="314" t="s">
        <v>203</v>
      </c>
      <c r="FHU16" s="314" t="s">
        <v>203</v>
      </c>
      <c r="FHV16" s="314" t="s">
        <v>203</v>
      </c>
      <c r="FHW16" s="314" t="s">
        <v>203</v>
      </c>
      <c r="FHX16" s="314" t="s">
        <v>203</v>
      </c>
      <c r="FHY16" s="314" t="s">
        <v>203</v>
      </c>
      <c r="FHZ16" s="314" t="s">
        <v>203</v>
      </c>
      <c r="FIA16" s="314" t="s">
        <v>203</v>
      </c>
      <c r="FIB16" s="314" t="s">
        <v>203</v>
      </c>
      <c r="FIC16" s="314" t="s">
        <v>203</v>
      </c>
      <c r="FID16" s="314" t="s">
        <v>203</v>
      </c>
      <c r="FIE16" s="314" t="s">
        <v>203</v>
      </c>
      <c r="FIF16" s="314" t="s">
        <v>203</v>
      </c>
      <c r="FIG16" s="314" t="s">
        <v>203</v>
      </c>
      <c r="FIH16" s="314" t="s">
        <v>203</v>
      </c>
      <c r="FII16" s="314" t="s">
        <v>203</v>
      </c>
      <c r="FIJ16" s="314" t="s">
        <v>203</v>
      </c>
      <c r="FIK16" s="314" t="s">
        <v>203</v>
      </c>
      <c r="FIL16" s="314" t="s">
        <v>203</v>
      </c>
      <c r="FIM16" s="314" t="s">
        <v>203</v>
      </c>
      <c r="FIN16" s="314" t="s">
        <v>203</v>
      </c>
      <c r="FIO16" s="314" t="s">
        <v>203</v>
      </c>
      <c r="FIP16" s="314" t="s">
        <v>203</v>
      </c>
      <c r="FIQ16" s="314" t="s">
        <v>203</v>
      </c>
      <c r="FIR16" s="314" t="s">
        <v>203</v>
      </c>
      <c r="FIS16" s="314" t="s">
        <v>203</v>
      </c>
      <c r="FIT16" s="314" t="s">
        <v>203</v>
      </c>
      <c r="FIU16" s="314" t="s">
        <v>203</v>
      </c>
      <c r="FIV16" s="314" t="s">
        <v>203</v>
      </c>
      <c r="FIW16" s="314" t="s">
        <v>203</v>
      </c>
      <c r="FIX16" s="314" t="s">
        <v>203</v>
      </c>
      <c r="FIY16" s="314" t="s">
        <v>203</v>
      </c>
      <c r="FIZ16" s="314" t="s">
        <v>203</v>
      </c>
      <c r="FJA16" s="314" t="s">
        <v>203</v>
      </c>
      <c r="FJB16" s="314" t="s">
        <v>203</v>
      </c>
      <c r="FJC16" s="314" t="s">
        <v>203</v>
      </c>
      <c r="FJD16" s="314" t="s">
        <v>203</v>
      </c>
      <c r="FJE16" s="314" t="s">
        <v>203</v>
      </c>
      <c r="FJF16" s="314" t="s">
        <v>203</v>
      </c>
      <c r="FJG16" s="314" t="s">
        <v>203</v>
      </c>
      <c r="FJH16" s="314" t="s">
        <v>203</v>
      </c>
      <c r="FJI16" s="314" t="s">
        <v>203</v>
      </c>
      <c r="FJJ16" s="314" t="s">
        <v>203</v>
      </c>
      <c r="FJK16" s="314" t="s">
        <v>203</v>
      </c>
      <c r="FJL16" s="314" t="s">
        <v>203</v>
      </c>
      <c r="FJM16" s="314" t="s">
        <v>203</v>
      </c>
      <c r="FJN16" s="314" t="s">
        <v>203</v>
      </c>
      <c r="FJO16" s="314" t="s">
        <v>203</v>
      </c>
      <c r="FJP16" s="314" t="s">
        <v>203</v>
      </c>
      <c r="FJQ16" s="314" t="s">
        <v>203</v>
      </c>
      <c r="FJR16" s="314" t="s">
        <v>203</v>
      </c>
      <c r="FJS16" s="314" t="s">
        <v>203</v>
      </c>
      <c r="FJT16" s="314" t="s">
        <v>203</v>
      </c>
      <c r="FJU16" s="314" t="s">
        <v>203</v>
      </c>
      <c r="FJV16" s="314" t="s">
        <v>203</v>
      </c>
      <c r="FJW16" s="314" t="s">
        <v>203</v>
      </c>
      <c r="FJX16" s="314" t="s">
        <v>203</v>
      </c>
      <c r="FJY16" s="314" t="s">
        <v>203</v>
      </c>
      <c r="FJZ16" s="314" t="s">
        <v>203</v>
      </c>
      <c r="FKA16" s="314" t="s">
        <v>203</v>
      </c>
      <c r="FKB16" s="314" t="s">
        <v>203</v>
      </c>
      <c r="FKC16" s="314" t="s">
        <v>203</v>
      </c>
      <c r="FKD16" s="314" t="s">
        <v>203</v>
      </c>
      <c r="FKE16" s="314" t="s">
        <v>203</v>
      </c>
      <c r="FKF16" s="314" t="s">
        <v>203</v>
      </c>
      <c r="FKG16" s="314" t="s">
        <v>203</v>
      </c>
      <c r="FKH16" s="314" t="s">
        <v>203</v>
      </c>
      <c r="FKI16" s="314" t="s">
        <v>203</v>
      </c>
      <c r="FKJ16" s="314" t="s">
        <v>203</v>
      </c>
      <c r="FKK16" s="314" t="s">
        <v>203</v>
      </c>
      <c r="FKL16" s="314" t="s">
        <v>203</v>
      </c>
      <c r="FKM16" s="314" t="s">
        <v>203</v>
      </c>
      <c r="FKN16" s="314" t="s">
        <v>203</v>
      </c>
      <c r="FKO16" s="314" t="s">
        <v>203</v>
      </c>
      <c r="FKP16" s="314" t="s">
        <v>203</v>
      </c>
      <c r="FKQ16" s="314" t="s">
        <v>203</v>
      </c>
      <c r="FKR16" s="314" t="s">
        <v>203</v>
      </c>
      <c r="FKS16" s="314" t="s">
        <v>203</v>
      </c>
      <c r="FKT16" s="314" t="s">
        <v>203</v>
      </c>
      <c r="FKU16" s="314" t="s">
        <v>203</v>
      </c>
      <c r="FKV16" s="314" t="s">
        <v>203</v>
      </c>
      <c r="FKW16" s="314" t="s">
        <v>203</v>
      </c>
      <c r="FKX16" s="314" t="s">
        <v>203</v>
      </c>
      <c r="FKY16" s="314" t="s">
        <v>203</v>
      </c>
      <c r="FKZ16" s="314" t="s">
        <v>203</v>
      </c>
      <c r="FLA16" s="314" t="s">
        <v>203</v>
      </c>
      <c r="FLB16" s="314" t="s">
        <v>203</v>
      </c>
      <c r="FLC16" s="314" t="s">
        <v>203</v>
      </c>
      <c r="FLD16" s="314" t="s">
        <v>203</v>
      </c>
      <c r="FLE16" s="314" t="s">
        <v>203</v>
      </c>
      <c r="FLF16" s="314" t="s">
        <v>203</v>
      </c>
      <c r="FLG16" s="314" t="s">
        <v>203</v>
      </c>
      <c r="FLH16" s="314" t="s">
        <v>203</v>
      </c>
      <c r="FLI16" s="314" t="s">
        <v>203</v>
      </c>
      <c r="FLJ16" s="314" t="s">
        <v>203</v>
      </c>
      <c r="FLK16" s="314" t="s">
        <v>203</v>
      </c>
      <c r="FLL16" s="314" t="s">
        <v>203</v>
      </c>
      <c r="FLM16" s="314" t="s">
        <v>203</v>
      </c>
      <c r="FLN16" s="314" t="s">
        <v>203</v>
      </c>
      <c r="FLO16" s="314" t="s">
        <v>203</v>
      </c>
      <c r="FLP16" s="314" t="s">
        <v>203</v>
      </c>
      <c r="FLQ16" s="314" t="s">
        <v>203</v>
      </c>
      <c r="FLR16" s="314" t="s">
        <v>203</v>
      </c>
      <c r="FLS16" s="314" t="s">
        <v>203</v>
      </c>
      <c r="FLT16" s="314" t="s">
        <v>203</v>
      </c>
      <c r="FLU16" s="314" t="s">
        <v>203</v>
      </c>
      <c r="FLV16" s="314" t="s">
        <v>203</v>
      </c>
      <c r="FLW16" s="314" t="s">
        <v>203</v>
      </c>
      <c r="FLX16" s="314" t="s">
        <v>203</v>
      </c>
      <c r="FLY16" s="314" t="s">
        <v>203</v>
      </c>
      <c r="FLZ16" s="314" t="s">
        <v>203</v>
      </c>
      <c r="FMA16" s="314" t="s">
        <v>203</v>
      </c>
      <c r="FMB16" s="314" t="s">
        <v>203</v>
      </c>
      <c r="FMC16" s="314" t="s">
        <v>203</v>
      </c>
      <c r="FMD16" s="314" t="s">
        <v>203</v>
      </c>
      <c r="FME16" s="314" t="s">
        <v>203</v>
      </c>
      <c r="FMF16" s="314" t="s">
        <v>203</v>
      </c>
      <c r="FMG16" s="314" t="s">
        <v>203</v>
      </c>
      <c r="FMH16" s="314" t="s">
        <v>203</v>
      </c>
      <c r="FMI16" s="314" t="s">
        <v>203</v>
      </c>
      <c r="FMJ16" s="314" t="s">
        <v>203</v>
      </c>
      <c r="FMK16" s="314" t="s">
        <v>203</v>
      </c>
      <c r="FML16" s="314" t="s">
        <v>203</v>
      </c>
      <c r="FMM16" s="314" t="s">
        <v>203</v>
      </c>
      <c r="FMN16" s="314" t="s">
        <v>203</v>
      </c>
      <c r="FMO16" s="314" t="s">
        <v>203</v>
      </c>
      <c r="FMP16" s="314" t="s">
        <v>203</v>
      </c>
      <c r="FMQ16" s="314" t="s">
        <v>203</v>
      </c>
      <c r="FMR16" s="314" t="s">
        <v>203</v>
      </c>
      <c r="FMS16" s="314" t="s">
        <v>203</v>
      </c>
      <c r="FMT16" s="314" t="s">
        <v>203</v>
      </c>
      <c r="FMU16" s="314" t="s">
        <v>203</v>
      </c>
      <c r="FMV16" s="314" t="s">
        <v>203</v>
      </c>
      <c r="FMW16" s="314" t="s">
        <v>203</v>
      </c>
      <c r="FMX16" s="314" t="s">
        <v>203</v>
      </c>
      <c r="FMY16" s="314" t="s">
        <v>203</v>
      </c>
      <c r="FMZ16" s="314" t="s">
        <v>203</v>
      </c>
      <c r="FNA16" s="314" t="s">
        <v>203</v>
      </c>
      <c r="FNB16" s="314" t="s">
        <v>203</v>
      </c>
      <c r="FNC16" s="314" t="s">
        <v>203</v>
      </c>
      <c r="FND16" s="314" t="s">
        <v>203</v>
      </c>
      <c r="FNE16" s="314" t="s">
        <v>203</v>
      </c>
      <c r="FNF16" s="314" t="s">
        <v>203</v>
      </c>
      <c r="FNG16" s="314" t="s">
        <v>203</v>
      </c>
      <c r="FNH16" s="314" t="s">
        <v>203</v>
      </c>
      <c r="FNI16" s="314" t="s">
        <v>203</v>
      </c>
      <c r="FNJ16" s="314" t="s">
        <v>203</v>
      </c>
      <c r="FNK16" s="314" t="s">
        <v>203</v>
      </c>
      <c r="FNL16" s="314" t="s">
        <v>203</v>
      </c>
      <c r="FNM16" s="314" t="s">
        <v>203</v>
      </c>
      <c r="FNN16" s="314" t="s">
        <v>203</v>
      </c>
      <c r="FNO16" s="314" t="s">
        <v>203</v>
      </c>
      <c r="FNP16" s="314" t="s">
        <v>203</v>
      </c>
      <c r="FNQ16" s="314" t="s">
        <v>203</v>
      </c>
      <c r="FNR16" s="314" t="s">
        <v>203</v>
      </c>
      <c r="FNS16" s="314" t="s">
        <v>203</v>
      </c>
      <c r="FNT16" s="314" t="s">
        <v>203</v>
      </c>
      <c r="FNU16" s="314" t="s">
        <v>203</v>
      </c>
      <c r="FNV16" s="314" t="s">
        <v>203</v>
      </c>
      <c r="FNW16" s="314" t="s">
        <v>203</v>
      </c>
      <c r="FNX16" s="314" t="s">
        <v>203</v>
      </c>
      <c r="FNY16" s="314" t="s">
        <v>203</v>
      </c>
      <c r="FNZ16" s="314" t="s">
        <v>203</v>
      </c>
      <c r="FOA16" s="314" t="s">
        <v>203</v>
      </c>
      <c r="FOB16" s="314" t="s">
        <v>203</v>
      </c>
      <c r="FOC16" s="314" t="s">
        <v>203</v>
      </c>
      <c r="FOD16" s="314" t="s">
        <v>203</v>
      </c>
      <c r="FOE16" s="314" t="s">
        <v>203</v>
      </c>
      <c r="FOF16" s="314" t="s">
        <v>203</v>
      </c>
      <c r="FOG16" s="314" t="s">
        <v>203</v>
      </c>
      <c r="FOH16" s="314" t="s">
        <v>203</v>
      </c>
      <c r="FOI16" s="314" t="s">
        <v>203</v>
      </c>
      <c r="FOJ16" s="314" t="s">
        <v>203</v>
      </c>
      <c r="FOK16" s="314" t="s">
        <v>203</v>
      </c>
      <c r="FOL16" s="314" t="s">
        <v>203</v>
      </c>
      <c r="FOM16" s="314" t="s">
        <v>203</v>
      </c>
      <c r="FON16" s="314" t="s">
        <v>203</v>
      </c>
      <c r="FOO16" s="314" t="s">
        <v>203</v>
      </c>
      <c r="FOP16" s="314" t="s">
        <v>203</v>
      </c>
      <c r="FOQ16" s="314" t="s">
        <v>203</v>
      </c>
      <c r="FOR16" s="314" t="s">
        <v>203</v>
      </c>
      <c r="FOS16" s="314" t="s">
        <v>203</v>
      </c>
      <c r="FOT16" s="314" t="s">
        <v>203</v>
      </c>
      <c r="FOU16" s="314" t="s">
        <v>203</v>
      </c>
      <c r="FOV16" s="314" t="s">
        <v>203</v>
      </c>
      <c r="FOW16" s="314" t="s">
        <v>203</v>
      </c>
      <c r="FOX16" s="314" t="s">
        <v>203</v>
      </c>
      <c r="FOY16" s="314" t="s">
        <v>203</v>
      </c>
      <c r="FOZ16" s="314" t="s">
        <v>203</v>
      </c>
      <c r="FPA16" s="314" t="s">
        <v>203</v>
      </c>
      <c r="FPB16" s="314" t="s">
        <v>203</v>
      </c>
      <c r="FPC16" s="314" t="s">
        <v>203</v>
      </c>
      <c r="FPD16" s="314" t="s">
        <v>203</v>
      </c>
      <c r="FPE16" s="314" t="s">
        <v>203</v>
      </c>
      <c r="FPF16" s="314" t="s">
        <v>203</v>
      </c>
      <c r="FPG16" s="314" t="s">
        <v>203</v>
      </c>
      <c r="FPH16" s="314" t="s">
        <v>203</v>
      </c>
      <c r="FPI16" s="314" t="s">
        <v>203</v>
      </c>
      <c r="FPJ16" s="314" t="s">
        <v>203</v>
      </c>
      <c r="FPK16" s="314" t="s">
        <v>203</v>
      </c>
      <c r="FPL16" s="314" t="s">
        <v>203</v>
      </c>
      <c r="FPM16" s="314" t="s">
        <v>203</v>
      </c>
      <c r="FPN16" s="314" t="s">
        <v>203</v>
      </c>
      <c r="FPO16" s="314" t="s">
        <v>203</v>
      </c>
      <c r="FPP16" s="314" t="s">
        <v>203</v>
      </c>
      <c r="FPQ16" s="314" t="s">
        <v>203</v>
      </c>
      <c r="FPR16" s="314" t="s">
        <v>203</v>
      </c>
      <c r="FPS16" s="314" t="s">
        <v>203</v>
      </c>
      <c r="FPT16" s="314" t="s">
        <v>203</v>
      </c>
      <c r="FPU16" s="314" t="s">
        <v>203</v>
      </c>
      <c r="FPV16" s="314" t="s">
        <v>203</v>
      </c>
      <c r="FPW16" s="314" t="s">
        <v>203</v>
      </c>
      <c r="FPX16" s="314" t="s">
        <v>203</v>
      </c>
      <c r="FPY16" s="314" t="s">
        <v>203</v>
      </c>
      <c r="FPZ16" s="314" t="s">
        <v>203</v>
      </c>
      <c r="FQA16" s="314" t="s">
        <v>203</v>
      </c>
      <c r="FQB16" s="314" t="s">
        <v>203</v>
      </c>
      <c r="FQC16" s="314" t="s">
        <v>203</v>
      </c>
      <c r="FQD16" s="314" t="s">
        <v>203</v>
      </c>
      <c r="FQE16" s="314" t="s">
        <v>203</v>
      </c>
      <c r="FQF16" s="314" t="s">
        <v>203</v>
      </c>
      <c r="FQG16" s="314" t="s">
        <v>203</v>
      </c>
      <c r="FQH16" s="314" t="s">
        <v>203</v>
      </c>
      <c r="FQI16" s="314" t="s">
        <v>203</v>
      </c>
      <c r="FQJ16" s="314" t="s">
        <v>203</v>
      </c>
      <c r="FQK16" s="314" t="s">
        <v>203</v>
      </c>
      <c r="FQL16" s="314" t="s">
        <v>203</v>
      </c>
      <c r="FQM16" s="314" t="s">
        <v>203</v>
      </c>
      <c r="FQN16" s="314" t="s">
        <v>203</v>
      </c>
      <c r="FQO16" s="314" t="s">
        <v>203</v>
      </c>
      <c r="FQP16" s="314" t="s">
        <v>203</v>
      </c>
      <c r="FQQ16" s="314" t="s">
        <v>203</v>
      </c>
      <c r="FQR16" s="314" t="s">
        <v>203</v>
      </c>
      <c r="FQS16" s="314" t="s">
        <v>203</v>
      </c>
      <c r="FQT16" s="314" t="s">
        <v>203</v>
      </c>
      <c r="FQU16" s="314" t="s">
        <v>203</v>
      </c>
      <c r="FQV16" s="314" t="s">
        <v>203</v>
      </c>
      <c r="FQW16" s="314" t="s">
        <v>203</v>
      </c>
      <c r="FQX16" s="314" t="s">
        <v>203</v>
      </c>
      <c r="FQY16" s="314" t="s">
        <v>203</v>
      </c>
      <c r="FQZ16" s="314" t="s">
        <v>203</v>
      </c>
      <c r="FRA16" s="314" t="s">
        <v>203</v>
      </c>
      <c r="FRB16" s="314" t="s">
        <v>203</v>
      </c>
      <c r="FRC16" s="314" t="s">
        <v>203</v>
      </c>
      <c r="FRD16" s="314" t="s">
        <v>203</v>
      </c>
      <c r="FRE16" s="314" t="s">
        <v>203</v>
      </c>
      <c r="FRF16" s="314" t="s">
        <v>203</v>
      </c>
      <c r="FRG16" s="314" t="s">
        <v>203</v>
      </c>
      <c r="FRH16" s="314" t="s">
        <v>203</v>
      </c>
      <c r="FRI16" s="314" t="s">
        <v>203</v>
      </c>
      <c r="FRJ16" s="314" t="s">
        <v>203</v>
      </c>
      <c r="FRK16" s="314" t="s">
        <v>203</v>
      </c>
      <c r="FRL16" s="314" t="s">
        <v>203</v>
      </c>
      <c r="FRM16" s="314" t="s">
        <v>203</v>
      </c>
      <c r="FRN16" s="314" t="s">
        <v>203</v>
      </c>
      <c r="FRO16" s="314" t="s">
        <v>203</v>
      </c>
      <c r="FRP16" s="314" t="s">
        <v>203</v>
      </c>
      <c r="FRQ16" s="314" t="s">
        <v>203</v>
      </c>
      <c r="FRR16" s="314" t="s">
        <v>203</v>
      </c>
      <c r="FRS16" s="314" t="s">
        <v>203</v>
      </c>
      <c r="FRT16" s="314" t="s">
        <v>203</v>
      </c>
      <c r="FRU16" s="314" t="s">
        <v>203</v>
      </c>
      <c r="FRV16" s="314" t="s">
        <v>203</v>
      </c>
      <c r="FRW16" s="314" t="s">
        <v>203</v>
      </c>
      <c r="FRX16" s="314" t="s">
        <v>203</v>
      </c>
      <c r="FRY16" s="314" t="s">
        <v>203</v>
      </c>
      <c r="FRZ16" s="314" t="s">
        <v>203</v>
      </c>
      <c r="FSA16" s="314" t="s">
        <v>203</v>
      </c>
      <c r="FSB16" s="314" t="s">
        <v>203</v>
      </c>
      <c r="FSC16" s="314" t="s">
        <v>203</v>
      </c>
      <c r="FSD16" s="314" t="s">
        <v>203</v>
      </c>
      <c r="FSE16" s="314" t="s">
        <v>203</v>
      </c>
      <c r="FSF16" s="314" t="s">
        <v>203</v>
      </c>
      <c r="FSG16" s="314" t="s">
        <v>203</v>
      </c>
      <c r="FSH16" s="314" t="s">
        <v>203</v>
      </c>
      <c r="FSI16" s="314" t="s">
        <v>203</v>
      </c>
      <c r="FSJ16" s="314" t="s">
        <v>203</v>
      </c>
      <c r="FSK16" s="314" t="s">
        <v>203</v>
      </c>
      <c r="FSL16" s="314" t="s">
        <v>203</v>
      </c>
      <c r="FSM16" s="314" t="s">
        <v>203</v>
      </c>
      <c r="FSN16" s="314" t="s">
        <v>203</v>
      </c>
      <c r="FSO16" s="314" t="s">
        <v>203</v>
      </c>
      <c r="FSP16" s="314" t="s">
        <v>203</v>
      </c>
      <c r="FSQ16" s="314" t="s">
        <v>203</v>
      </c>
      <c r="FSR16" s="314" t="s">
        <v>203</v>
      </c>
      <c r="FSS16" s="314" t="s">
        <v>203</v>
      </c>
      <c r="FST16" s="314" t="s">
        <v>203</v>
      </c>
      <c r="FSU16" s="314" t="s">
        <v>203</v>
      </c>
      <c r="FSV16" s="314" t="s">
        <v>203</v>
      </c>
      <c r="FSW16" s="314" t="s">
        <v>203</v>
      </c>
      <c r="FSX16" s="314" t="s">
        <v>203</v>
      </c>
      <c r="FSY16" s="314" t="s">
        <v>203</v>
      </c>
      <c r="FSZ16" s="314" t="s">
        <v>203</v>
      </c>
      <c r="FTA16" s="314" t="s">
        <v>203</v>
      </c>
      <c r="FTB16" s="314" t="s">
        <v>203</v>
      </c>
      <c r="FTC16" s="314" t="s">
        <v>203</v>
      </c>
      <c r="FTD16" s="314" t="s">
        <v>203</v>
      </c>
      <c r="FTE16" s="314" t="s">
        <v>203</v>
      </c>
      <c r="FTF16" s="314" t="s">
        <v>203</v>
      </c>
      <c r="FTG16" s="314" t="s">
        <v>203</v>
      </c>
      <c r="FTH16" s="314" t="s">
        <v>203</v>
      </c>
      <c r="FTI16" s="314" t="s">
        <v>203</v>
      </c>
      <c r="FTJ16" s="314" t="s">
        <v>203</v>
      </c>
      <c r="FTK16" s="314" t="s">
        <v>203</v>
      </c>
      <c r="FTL16" s="314" t="s">
        <v>203</v>
      </c>
      <c r="FTM16" s="314" t="s">
        <v>203</v>
      </c>
      <c r="FTN16" s="314" t="s">
        <v>203</v>
      </c>
      <c r="FTO16" s="314" t="s">
        <v>203</v>
      </c>
      <c r="FTP16" s="314" t="s">
        <v>203</v>
      </c>
      <c r="FTQ16" s="314" t="s">
        <v>203</v>
      </c>
      <c r="FTR16" s="314" t="s">
        <v>203</v>
      </c>
      <c r="FTS16" s="314" t="s">
        <v>203</v>
      </c>
      <c r="FTT16" s="314" t="s">
        <v>203</v>
      </c>
      <c r="FTU16" s="314" t="s">
        <v>203</v>
      </c>
      <c r="FTV16" s="314" t="s">
        <v>203</v>
      </c>
      <c r="FTW16" s="314" t="s">
        <v>203</v>
      </c>
      <c r="FTX16" s="314" t="s">
        <v>203</v>
      </c>
      <c r="FTY16" s="314" t="s">
        <v>203</v>
      </c>
      <c r="FTZ16" s="314" t="s">
        <v>203</v>
      </c>
      <c r="FUA16" s="314" t="s">
        <v>203</v>
      </c>
      <c r="FUB16" s="314" t="s">
        <v>203</v>
      </c>
      <c r="FUC16" s="314" t="s">
        <v>203</v>
      </c>
      <c r="FUD16" s="314" t="s">
        <v>203</v>
      </c>
      <c r="FUE16" s="314" t="s">
        <v>203</v>
      </c>
      <c r="FUF16" s="314" t="s">
        <v>203</v>
      </c>
      <c r="FUG16" s="314" t="s">
        <v>203</v>
      </c>
      <c r="FUH16" s="314" t="s">
        <v>203</v>
      </c>
      <c r="FUI16" s="314" t="s">
        <v>203</v>
      </c>
      <c r="FUJ16" s="314" t="s">
        <v>203</v>
      </c>
      <c r="FUK16" s="314" t="s">
        <v>203</v>
      </c>
      <c r="FUL16" s="314" t="s">
        <v>203</v>
      </c>
      <c r="FUM16" s="314" t="s">
        <v>203</v>
      </c>
      <c r="FUN16" s="314" t="s">
        <v>203</v>
      </c>
      <c r="FUO16" s="314" t="s">
        <v>203</v>
      </c>
      <c r="FUP16" s="314" t="s">
        <v>203</v>
      </c>
      <c r="FUQ16" s="314" t="s">
        <v>203</v>
      </c>
      <c r="FUR16" s="314" t="s">
        <v>203</v>
      </c>
      <c r="FUS16" s="314" t="s">
        <v>203</v>
      </c>
      <c r="FUT16" s="314" t="s">
        <v>203</v>
      </c>
      <c r="FUU16" s="314" t="s">
        <v>203</v>
      </c>
      <c r="FUV16" s="314" t="s">
        <v>203</v>
      </c>
      <c r="FUW16" s="314" t="s">
        <v>203</v>
      </c>
      <c r="FUX16" s="314" t="s">
        <v>203</v>
      </c>
      <c r="FUY16" s="314" t="s">
        <v>203</v>
      </c>
      <c r="FUZ16" s="314" t="s">
        <v>203</v>
      </c>
      <c r="FVA16" s="314" t="s">
        <v>203</v>
      </c>
      <c r="FVB16" s="314" t="s">
        <v>203</v>
      </c>
      <c r="FVC16" s="314" t="s">
        <v>203</v>
      </c>
      <c r="FVD16" s="314" t="s">
        <v>203</v>
      </c>
      <c r="FVE16" s="314" t="s">
        <v>203</v>
      </c>
      <c r="FVF16" s="314" t="s">
        <v>203</v>
      </c>
      <c r="FVG16" s="314" t="s">
        <v>203</v>
      </c>
      <c r="FVH16" s="314" t="s">
        <v>203</v>
      </c>
      <c r="FVI16" s="314" t="s">
        <v>203</v>
      </c>
      <c r="FVJ16" s="314" t="s">
        <v>203</v>
      </c>
      <c r="FVK16" s="314" t="s">
        <v>203</v>
      </c>
      <c r="FVL16" s="314" t="s">
        <v>203</v>
      </c>
      <c r="FVM16" s="314" t="s">
        <v>203</v>
      </c>
      <c r="FVN16" s="314" t="s">
        <v>203</v>
      </c>
      <c r="FVO16" s="314" t="s">
        <v>203</v>
      </c>
      <c r="FVP16" s="314" t="s">
        <v>203</v>
      </c>
      <c r="FVQ16" s="314" t="s">
        <v>203</v>
      </c>
      <c r="FVR16" s="314" t="s">
        <v>203</v>
      </c>
      <c r="FVS16" s="314" t="s">
        <v>203</v>
      </c>
      <c r="FVT16" s="314" t="s">
        <v>203</v>
      </c>
      <c r="FVU16" s="314" t="s">
        <v>203</v>
      </c>
      <c r="FVV16" s="314" t="s">
        <v>203</v>
      </c>
      <c r="FVW16" s="314" t="s">
        <v>203</v>
      </c>
      <c r="FVX16" s="314" t="s">
        <v>203</v>
      </c>
      <c r="FVY16" s="314" t="s">
        <v>203</v>
      </c>
      <c r="FVZ16" s="314" t="s">
        <v>203</v>
      </c>
      <c r="FWA16" s="314" t="s">
        <v>203</v>
      </c>
      <c r="FWB16" s="314" t="s">
        <v>203</v>
      </c>
      <c r="FWC16" s="314" t="s">
        <v>203</v>
      </c>
      <c r="FWD16" s="314" t="s">
        <v>203</v>
      </c>
      <c r="FWE16" s="314" t="s">
        <v>203</v>
      </c>
      <c r="FWF16" s="314" t="s">
        <v>203</v>
      </c>
      <c r="FWG16" s="314" t="s">
        <v>203</v>
      </c>
      <c r="FWH16" s="314" t="s">
        <v>203</v>
      </c>
      <c r="FWI16" s="314" t="s">
        <v>203</v>
      </c>
      <c r="FWJ16" s="314" t="s">
        <v>203</v>
      </c>
      <c r="FWK16" s="314" t="s">
        <v>203</v>
      </c>
      <c r="FWL16" s="314" t="s">
        <v>203</v>
      </c>
      <c r="FWM16" s="314" t="s">
        <v>203</v>
      </c>
      <c r="FWN16" s="314" t="s">
        <v>203</v>
      </c>
      <c r="FWO16" s="314" t="s">
        <v>203</v>
      </c>
      <c r="FWP16" s="314" t="s">
        <v>203</v>
      </c>
      <c r="FWQ16" s="314" t="s">
        <v>203</v>
      </c>
      <c r="FWR16" s="314" t="s">
        <v>203</v>
      </c>
      <c r="FWS16" s="314" t="s">
        <v>203</v>
      </c>
      <c r="FWT16" s="314" t="s">
        <v>203</v>
      </c>
      <c r="FWU16" s="314" t="s">
        <v>203</v>
      </c>
      <c r="FWV16" s="314" t="s">
        <v>203</v>
      </c>
      <c r="FWW16" s="314" t="s">
        <v>203</v>
      </c>
      <c r="FWX16" s="314" t="s">
        <v>203</v>
      </c>
      <c r="FWY16" s="314" t="s">
        <v>203</v>
      </c>
      <c r="FWZ16" s="314" t="s">
        <v>203</v>
      </c>
      <c r="FXA16" s="314" t="s">
        <v>203</v>
      </c>
      <c r="FXB16" s="314" t="s">
        <v>203</v>
      </c>
      <c r="FXC16" s="314" t="s">
        <v>203</v>
      </c>
      <c r="FXD16" s="314" t="s">
        <v>203</v>
      </c>
      <c r="FXE16" s="314" t="s">
        <v>203</v>
      </c>
      <c r="FXF16" s="314" t="s">
        <v>203</v>
      </c>
      <c r="FXG16" s="314" t="s">
        <v>203</v>
      </c>
      <c r="FXH16" s="314" t="s">
        <v>203</v>
      </c>
      <c r="FXI16" s="314" t="s">
        <v>203</v>
      </c>
      <c r="FXJ16" s="314" t="s">
        <v>203</v>
      </c>
      <c r="FXK16" s="314" t="s">
        <v>203</v>
      </c>
      <c r="FXL16" s="314" t="s">
        <v>203</v>
      </c>
      <c r="FXM16" s="314" t="s">
        <v>203</v>
      </c>
      <c r="FXN16" s="314" t="s">
        <v>203</v>
      </c>
      <c r="FXO16" s="314" t="s">
        <v>203</v>
      </c>
      <c r="FXP16" s="314" t="s">
        <v>203</v>
      </c>
      <c r="FXQ16" s="314" t="s">
        <v>203</v>
      </c>
      <c r="FXR16" s="314" t="s">
        <v>203</v>
      </c>
      <c r="FXS16" s="314" t="s">
        <v>203</v>
      </c>
      <c r="FXT16" s="314" t="s">
        <v>203</v>
      </c>
      <c r="FXU16" s="314" t="s">
        <v>203</v>
      </c>
      <c r="FXV16" s="314" t="s">
        <v>203</v>
      </c>
      <c r="FXW16" s="314" t="s">
        <v>203</v>
      </c>
      <c r="FXX16" s="314" t="s">
        <v>203</v>
      </c>
      <c r="FXY16" s="314" t="s">
        <v>203</v>
      </c>
      <c r="FXZ16" s="314" t="s">
        <v>203</v>
      </c>
      <c r="FYA16" s="314" t="s">
        <v>203</v>
      </c>
      <c r="FYB16" s="314" t="s">
        <v>203</v>
      </c>
      <c r="FYC16" s="314" t="s">
        <v>203</v>
      </c>
      <c r="FYD16" s="314" t="s">
        <v>203</v>
      </c>
      <c r="FYE16" s="314" t="s">
        <v>203</v>
      </c>
      <c r="FYF16" s="314" t="s">
        <v>203</v>
      </c>
      <c r="FYG16" s="314" t="s">
        <v>203</v>
      </c>
      <c r="FYH16" s="314" t="s">
        <v>203</v>
      </c>
      <c r="FYI16" s="314" t="s">
        <v>203</v>
      </c>
      <c r="FYJ16" s="314" t="s">
        <v>203</v>
      </c>
      <c r="FYK16" s="314" t="s">
        <v>203</v>
      </c>
      <c r="FYL16" s="314" t="s">
        <v>203</v>
      </c>
      <c r="FYM16" s="314" t="s">
        <v>203</v>
      </c>
      <c r="FYN16" s="314" t="s">
        <v>203</v>
      </c>
      <c r="FYO16" s="314" t="s">
        <v>203</v>
      </c>
      <c r="FYP16" s="314" t="s">
        <v>203</v>
      </c>
      <c r="FYQ16" s="314" t="s">
        <v>203</v>
      </c>
      <c r="FYR16" s="314" t="s">
        <v>203</v>
      </c>
      <c r="FYS16" s="314" t="s">
        <v>203</v>
      </c>
      <c r="FYT16" s="314" t="s">
        <v>203</v>
      </c>
      <c r="FYU16" s="314" t="s">
        <v>203</v>
      </c>
      <c r="FYV16" s="314" t="s">
        <v>203</v>
      </c>
      <c r="FYW16" s="314" t="s">
        <v>203</v>
      </c>
      <c r="FYX16" s="314" t="s">
        <v>203</v>
      </c>
      <c r="FYY16" s="314" t="s">
        <v>203</v>
      </c>
      <c r="FYZ16" s="314" t="s">
        <v>203</v>
      </c>
      <c r="FZA16" s="314" t="s">
        <v>203</v>
      </c>
      <c r="FZB16" s="314" t="s">
        <v>203</v>
      </c>
      <c r="FZC16" s="314" t="s">
        <v>203</v>
      </c>
      <c r="FZD16" s="314" t="s">
        <v>203</v>
      </c>
      <c r="FZE16" s="314" t="s">
        <v>203</v>
      </c>
      <c r="FZF16" s="314" t="s">
        <v>203</v>
      </c>
      <c r="FZG16" s="314" t="s">
        <v>203</v>
      </c>
      <c r="FZH16" s="314" t="s">
        <v>203</v>
      </c>
      <c r="FZI16" s="314" t="s">
        <v>203</v>
      </c>
      <c r="FZJ16" s="314" t="s">
        <v>203</v>
      </c>
      <c r="FZK16" s="314" t="s">
        <v>203</v>
      </c>
      <c r="FZL16" s="314" t="s">
        <v>203</v>
      </c>
      <c r="FZM16" s="314" t="s">
        <v>203</v>
      </c>
      <c r="FZN16" s="314" t="s">
        <v>203</v>
      </c>
      <c r="FZO16" s="314" t="s">
        <v>203</v>
      </c>
      <c r="FZP16" s="314" t="s">
        <v>203</v>
      </c>
      <c r="FZQ16" s="314" t="s">
        <v>203</v>
      </c>
      <c r="FZR16" s="314" t="s">
        <v>203</v>
      </c>
      <c r="FZS16" s="314" t="s">
        <v>203</v>
      </c>
      <c r="FZT16" s="314" t="s">
        <v>203</v>
      </c>
      <c r="FZU16" s="314" t="s">
        <v>203</v>
      </c>
      <c r="FZV16" s="314" t="s">
        <v>203</v>
      </c>
      <c r="FZW16" s="314" t="s">
        <v>203</v>
      </c>
      <c r="FZX16" s="314" t="s">
        <v>203</v>
      </c>
      <c r="FZY16" s="314" t="s">
        <v>203</v>
      </c>
      <c r="FZZ16" s="314" t="s">
        <v>203</v>
      </c>
      <c r="GAA16" s="314" t="s">
        <v>203</v>
      </c>
      <c r="GAB16" s="314" t="s">
        <v>203</v>
      </c>
      <c r="GAC16" s="314" t="s">
        <v>203</v>
      </c>
      <c r="GAD16" s="314" t="s">
        <v>203</v>
      </c>
      <c r="GAE16" s="314" t="s">
        <v>203</v>
      </c>
      <c r="GAF16" s="314" t="s">
        <v>203</v>
      </c>
      <c r="GAG16" s="314" t="s">
        <v>203</v>
      </c>
      <c r="GAH16" s="314" t="s">
        <v>203</v>
      </c>
      <c r="GAI16" s="314" t="s">
        <v>203</v>
      </c>
      <c r="GAJ16" s="314" t="s">
        <v>203</v>
      </c>
      <c r="GAK16" s="314" t="s">
        <v>203</v>
      </c>
      <c r="GAL16" s="314" t="s">
        <v>203</v>
      </c>
      <c r="GAM16" s="314" t="s">
        <v>203</v>
      </c>
      <c r="GAN16" s="314" t="s">
        <v>203</v>
      </c>
      <c r="GAO16" s="314" t="s">
        <v>203</v>
      </c>
      <c r="GAP16" s="314" t="s">
        <v>203</v>
      </c>
      <c r="GAQ16" s="314" t="s">
        <v>203</v>
      </c>
      <c r="GAR16" s="314" t="s">
        <v>203</v>
      </c>
      <c r="GAS16" s="314" t="s">
        <v>203</v>
      </c>
      <c r="GAT16" s="314" t="s">
        <v>203</v>
      </c>
      <c r="GAU16" s="314" t="s">
        <v>203</v>
      </c>
      <c r="GAV16" s="314" t="s">
        <v>203</v>
      </c>
      <c r="GAW16" s="314" t="s">
        <v>203</v>
      </c>
      <c r="GAX16" s="314" t="s">
        <v>203</v>
      </c>
      <c r="GAY16" s="314" t="s">
        <v>203</v>
      </c>
      <c r="GAZ16" s="314" t="s">
        <v>203</v>
      </c>
      <c r="GBA16" s="314" t="s">
        <v>203</v>
      </c>
      <c r="GBB16" s="314" t="s">
        <v>203</v>
      </c>
      <c r="GBC16" s="314" t="s">
        <v>203</v>
      </c>
      <c r="GBD16" s="314" t="s">
        <v>203</v>
      </c>
      <c r="GBE16" s="314" t="s">
        <v>203</v>
      </c>
      <c r="GBF16" s="314" t="s">
        <v>203</v>
      </c>
      <c r="GBG16" s="314" t="s">
        <v>203</v>
      </c>
      <c r="GBH16" s="314" t="s">
        <v>203</v>
      </c>
      <c r="GBI16" s="314" t="s">
        <v>203</v>
      </c>
      <c r="GBJ16" s="314" t="s">
        <v>203</v>
      </c>
      <c r="GBK16" s="314" t="s">
        <v>203</v>
      </c>
      <c r="GBL16" s="314" t="s">
        <v>203</v>
      </c>
      <c r="GBM16" s="314" t="s">
        <v>203</v>
      </c>
      <c r="GBN16" s="314" t="s">
        <v>203</v>
      </c>
      <c r="GBO16" s="314" t="s">
        <v>203</v>
      </c>
      <c r="GBP16" s="314" t="s">
        <v>203</v>
      </c>
      <c r="GBQ16" s="314" t="s">
        <v>203</v>
      </c>
      <c r="GBR16" s="314" t="s">
        <v>203</v>
      </c>
      <c r="GBS16" s="314" t="s">
        <v>203</v>
      </c>
      <c r="GBT16" s="314" t="s">
        <v>203</v>
      </c>
      <c r="GBU16" s="314" t="s">
        <v>203</v>
      </c>
      <c r="GBV16" s="314" t="s">
        <v>203</v>
      </c>
      <c r="GBW16" s="314" t="s">
        <v>203</v>
      </c>
      <c r="GBX16" s="314" t="s">
        <v>203</v>
      </c>
      <c r="GBY16" s="314" t="s">
        <v>203</v>
      </c>
      <c r="GBZ16" s="314" t="s">
        <v>203</v>
      </c>
      <c r="GCA16" s="314" t="s">
        <v>203</v>
      </c>
      <c r="GCB16" s="314" t="s">
        <v>203</v>
      </c>
      <c r="GCC16" s="314" t="s">
        <v>203</v>
      </c>
      <c r="GCD16" s="314" t="s">
        <v>203</v>
      </c>
      <c r="GCE16" s="314" t="s">
        <v>203</v>
      </c>
      <c r="GCF16" s="314" t="s">
        <v>203</v>
      </c>
      <c r="GCG16" s="314" t="s">
        <v>203</v>
      </c>
      <c r="GCH16" s="314" t="s">
        <v>203</v>
      </c>
      <c r="GCI16" s="314" t="s">
        <v>203</v>
      </c>
      <c r="GCJ16" s="314" t="s">
        <v>203</v>
      </c>
      <c r="GCK16" s="314" t="s">
        <v>203</v>
      </c>
      <c r="GCL16" s="314" t="s">
        <v>203</v>
      </c>
      <c r="GCM16" s="314" t="s">
        <v>203</v>
      </c>
      <c r="GCN16" s="314" t="s">
        <v>203</v>
      </c>
      <c r="GCO16" s="314" t="s">
        <v>203</v>
      </c>
      <c r="GCP16" s="314" t="s">
        <v>203</v>
      </c>
      <c r="GCQ16" s="314" t="s">
        <v>203</v>
      </c>
      <c r="GCR16" s="314" t="s">
        <v>203</v>
      </c>
      <c r="GCS16" s="314" t="s">
        <v>203</v>
      </c>
      <c r="GCT16" s="314" t="s">
        <v>203</v>
      </c>
      <c r="GCU16" s="314" t="s">
        <v>203</v>
      </c>
      <c r="GCV16" s="314" t="s">
        <v>203</v>
      </c>
      <c r="GCW16" s="314" t="s">
        <v>203</v>
      </c>
      <c r="GCX16" s="314" t="s">
        <v>203</v>
      </c>
      <c r="GCY16" s="314" t="s">
        <v>203</v>
      </c>
      <c r="GCZ16" s="314" t="s">
        <v>203</v>
      </c>
      <c r="GDA16" s="314" t="s">
        <v>203</v>
      </c>
      <c r="GDB16" s="314" t="s">
        <v>203</v>
      </c>
      <c r="GDC16" s="314" t="s">
        <v>203</v>
      </c>
      <c r="GDD16" s="314" t="s">
        <v>203</v>
      </c>
      <c r="GDE16" s="314" t="s">
        <v>203</v>
      </c>
      <c r="GDF16" s="314" t="s">
        <v>203</v>
      </c>
      <c r="GDG16" s="314" t="s">
        <v>203</v>
      </c>
      <c r="GDH16" s="314" t="s">
        <v>203</v>
      </c>
      <c r="GDI16" s="314" t="s">
        <v>203</v>
      </c>
      <c r="GDJ16" s="314" t="s">
        <v>203</v>
      </c>
      <c r="GDK16" s="314" t="s">
        <v>203</v>
      </c>
      <c r="GDL16" s="314" t="s">
        <v>203</v>
      </c>
      <c r="GDM16" s="314" t="s">
        <v>203</v>
      </c>
      <c r="GDN16" s="314" t="s">
        <v>203</v>
      </c>
      <c r="GDO16" s="314" t="s">
        <v>203</v>
      </c>
      <c r="GDP16" s="314" t="s">
        <v>203</v>
      </c>
      <c r="GDQ16" s="314" t="s">
        <v>203</v>
      </c>
      <c r="GDR16" s="314" t="s">
        <v>203</v>
      </c>
      <c r="GDS16" s="314" t="s">
        <v>203</v>
      </c>
      <c r="GDT16" s="314" t="s">
        <v>203</v>
      </c>
      <c r="GDU16" s="314" t="s">
        <v>203</v>
      </c>
      <c r="GDV16" s="314" t="s">
        <v>203</v>
      </c>
      <c r="GDW16" s="314" t="s">
        <v>203</v>
      </c>
      <c r="GDX16" s="314" t="s">
        <v>203</v>
      </c>
      <c r="GDY16" s="314" t="s">
        <v>203</v>
      </c>
      <c r="GDZ16" s="314" t="s">
        <v>203</v>
      </c>
      <c r="GEA16" s="314" t="s">
        <v>203</v>
      </c>
      <c r="GEB16" s="314" t="s">
        <v>203</v>
      </c>
      <c r="GEC16" s="314" t="s">
        <v>203</v>
      </c>
      <c r="GED16" s="314" t="s">
        <v>203</v>
      </c>
      <c r="GEE16" s="314" t="s">
        <v>203</v>
      </c>
      <c r="GEF16" s="314" t="s">
        <v>203</v>
      </c>
      <c r="GEG16" s="314" t="s">
        <v>203</v>
      </c>
      <c r="GEH16" s="314" t="s">
        <v>203</v>
      </c>
      <c r="GEI16" s="314" t="s">
        <v>203</v>
      </c>
      <c r="GEJ16" s="314" t="s">
        <v>203</v>
      </c>
      <c r="GEK16" s="314" t="s">
        <v>203</v>
      </c>
      <c r="GEL16" s="314" t="s">
        <v>203</v>
      </c>
      <c r="GEM16" s="314" t="s">
        <v>203</v>
      </c>
      <c r="GEN16" s="314" t="s">
        <v>203</v>
      </c>
      <c r="GEO16" s="314" t="s">
        <v>203</v>
      </c>
      <c r="GEP16" s="314" t="s">
        <v>203</v>
      </c>
      <c r="GEQ16" s="314" t="s">
        <v>203</v>
      </c>
      <c r="GER16" s="314" t="s">
        <v>203</v>
      </c>
      <c r="GES16" s="314" t="s">
        <v>203</v>
      </c>
      <c r="GET16" s="314" t="s">
        <v>203</v>
      </c>
      <c r="GEU16" s="314" t="s">
        <v>203</v>
      </c>
      <c r="GEV16" s="314" t="s">
        <v>203</v>
      </c>
      <c r="GEW16" s="314" t="s">
        <v>203</v>
      </c>
      <c r="GEX16" s="314" t="s">
        <v>203</v>
      </c>
      <c r="GEY16" s="314" t="s">
        <v>203</v>
      </c>
      <c r="GEZ16" s="314" t="s">
        <v>203</v>
      </c>
      <c r="GFA16" s="314" t="s">
        <v>203</v>
      </c>
      <c r="GFB16" s="314" t="s">
        <v>203</v>
      </c>
      <c r="GFC16" s="314" t="s">
        <v>203</v>
      </c>
      <c r="GFD16" s="314" t="s">
        <v>203</v>
      </c>
      <c r="GFE16" s="314" t="s">
        <v>203</v>
      </c>
      <c r="GFF16" s="314" t="s">
        <v>203</v>
      </c>
      <c r="GFG16" s="314" t="s">
        <v>203</v>
      </c>
      <c r="GFH16" s="314" t="s">
        <v>203</v>
      </c>
      <c r="GFI16" s="314" t="s">
        <v>203</v>
      </c>
      <c r="GFJ16" s="314" t="s">
        <v>203</v>
      </c>
      <c r="GFK16" s="314" t="s">
        <v>203</v>
      </c>
      <c r="GFL16" s="314" t="s">
        <v>203</v>
      </c>
      <c r="GFM16" s="314" t="s">
        <v>203</v>
      </c>
      <c r="GFN16" s="314" t="s">
        <v>203</v>
      </c>
      <c r="GFO16" s="314" t="s">
        <v>203</v>
      </c>
      <c r="GFP16" s="314" t="s">
        <v>203</v>
      </c>
      <c r="GFQ16" s="314" t="s">
        <v>203</v>
      </c>
      <c r="GFR16" s="314" t="s">
        <v>203</v>
      </c>
      <c r="GFS16" s="314" t="s">
        <v>203</v>
      </c>
      <c r="GFT16" s="314" t="s">
        <v>203</v>
      </c>
      <c r="GFU16" s="314" t="s">
        <v>203</v>
      </c>
      <c r="GFV16" s="314" t="s">
        <v>203</v>
      </c>
      <c r="GFW16" s="314" t="s">
        <v>203</v>
      </c>
      <c r="GFX16" s="314" t="s">
        <v>203</v>
      </c>
      <c r="GFY16" s="314" t="s">
        <v>203</v>
      </c>
      <c r="GFZ16" s="314" t="s">
        <v>203</v>
      </c>
      <c r="GGA16" s="314" t="s">
        <v>203</v>
      </c>
      <c r="GGB16" s="314" t="s">
        <v>203</v>
      </c>
      <c r="GGC16" s="314" t="s">
        <v>203</v>
      </c>
      <c r="GGD16" s="314" t="s">
        <v>203</v>
      </c>
      <c r="GGE16" s="314" t="s">
        <v>203</v>
      </c>
      <c r="GGF16" s="314" t="s">
        <v>203</v>
      </c>
      <c r="GGG16" s="314" t="s">
        <v>203</v>
      </c>
      <c r="GGH16" s="314" t="s">
        <v>203</v>
      </c>
      <c r="GGI16" s="314" t="s">
        <v>203</v>
      </c>
      <c r="GGJ16" s="314" t="s">
        <v>203</v>
      </c>
      <c r="GGK16" s="314" t="s">
        <v>203</v>
      </c>
      <c r="GGL16" s="314" t="s">
        <v>203</v>
      </c>
      <c r="GGM16" s="314" t="s">
        <v>203</v>
      </c>
      <c r="GGN16" s="314" t="s">
        <v>203</v>
      </c>
      <c r="GGO16" s="314" t="s">
        <v>203</v>
      </c>
      <c r="GGP16" s="314" t="s">
        <v>203</v>
      </c>
      <c r="GGQ16" s="314" t="s">
        <v>203</v>
      </c>
      <c r="GGR16" s="314" t="s">
        <v>203</v>
      </c>
      <c r="GGS16" s="314" t="s">
        <v>203</v>
      </c>
      <c r="GGT16" s="314" t="s">
        <v>203</v>
      </c>
      <c r="GGU16" s="314" t="s">
        <v>203</v>
      </c>
      <c r="GGV16" s="314" t="s">
        <v>203</v>
      </c>
      <c r="GGW16" s="314" t="s">
        <v>203</v>
      </c>
      <c r="GGX16" s="314" t="s">
        <v>203</v>
      </c>
      <c r="GGY16" s="314" t="s">
        <v>203</v>
      </c>
      <c r="GGZ16" s="314" t="s">
        <v>203</v>
      </c>
      <c r="GHA16" s="314" t="s">
        <v>203</v>
      </c>
      <c r="GHB16" s="314" t="s">
        <v>203</v>
      </c>
      <c r="GHC16" s="314" t="s">
        <v>203</v>
      </c>
      <c r="GHD16" s="314" t="s">
        <v>203</v>
      </c>
      <c r="GHE16" s="314" t="s">
        <v>203</v>
      </c>
      <c r="GHF16" s="314" t="s">
        <v>203</v>
      </c>
      <c r="GHG16" s="314" t="s">
        <v>203</v>
      </c>
      <c r="GHH16" s="314" t="s">
        <v>203</v>
      </c>
      <c r="GHI16" s="314" t="s">
        <v>203</v>
      </c>
      <c r="GHJ16" s="314" t="s">
        <v>203</v>
      </c>
      <c r="GHK16" s="314" t="s">
        <v>203</v>
      </c>
      <c r="GHL16" s="314" t="s">
        <v>203</v>
      </c>
      <c r="GHM16" s="314" t="s">
        <v>203</v>
      </c>
      <c r="GHN16" s="314" t="s">
        <v>203</v>
      </c>
      <c r="GHO16" s="314" t="s">
        <v>203</v>
      </c>
      <c r="GHP16" s="314" t="s">
        <v>203</v>
      </c>
      <c r="GHQ16" s="314" t="s">
        <v>203</v>
      </c>
      <c r="GHR16" s="314" t="s">
        <v>203</v>
      </c>
      <c r="GHS16" s="314" t="s">
        <v>203</v>
      </c>
      <c r="GHT16" s="314" t="s">
        <v>203</v>
      </c>
      <c r="GHU16" s="314" t="s">
        <v>203</v>
      </c>
      <c r="GHV16" s="314" t="s">
        <v>203</v>
      </c>
      <c r="GHW16" s="314" t="s">
        <v>203</v>
      </c>
      <c r="GHX16" s="314" t="s">
        <v>203</v>
      </c>
      <c r="GHY16" s="314" t="s">
        <v>203</v>
      </c>
      <c r="GHZ16" s="314" t="s">
        <v>203</v>
      </c>
      <c r="GIA16" s="314" t="s">
        <v>203</v>
      </c>
      <c r="GIB16" s="314" t="s">
        <v>203</v>
      </c>
      <c r="GIC16" s="314" t="s">
        <v>203</v>
      </c>
      <c r="GID16" s="314" t="s">
        <v>203</v>
      </c>
      <c r="GIE16" s="314" t="s">
        <v>203</v>
      </c>
      <c r="GIF16" s="314" t="s">
        <v>203</v>
      </c>
      <c r="GIG16" s="314" t="s">
        <v>203</v>
      </c>
      <c r="GIH16" s="314" t="s">
        <v>203</v>
      </c>
      <c r="GII16" s="314" t="s">
        <v>203</v>
      </c>
      <c r="GIJ16" s="314" t="s">
        <v>203</v>
      </c>
      <c r="GIK16" s="314" t="s">
        <v>203</v>
      </c>
      <c r="GIL16" s="314" t="s">
        <v>203</v>
      </c>
      <c r="GIM16" s="314" t="s">
        <v>203</v>
      </c>
      <c r="GIN16" s="314" t="s">
        <v>203</v>
      </c>
      <c r="GIO16" s="314" t="s">
        <v>203</v>
      </c>
      <c r="GIP16" s="314" t="s">
        <v>203</v>
      </c>
      <c r="GIQ16" s="314" t="s">
        <v>203</v>
      </c>
      <c r="GIR16" s="314" t="s">
        <v>203</v>
      </c>
      <c r="GIS16" s="314" t="s">
        <v>203</v>
      </c>
      <c r="GIT16" s="314" t="s">
        <v>203</v>
      </c>
      <c r="GIU16" s="314" t="s">
        <v>203</v>
      </c>
      <c r="GIV16" s="314" t="s">
        <v>203</v>
      </c>
      <c r="GIW16" s="314" t="s">
        <v>203</v>
      </c>
      <c r="GIX16" s="314" t="s">
        <v>203</v>
      </c>
      <c r="GIY16" s="314" t="s">
        <v>203</v>
      </c>
      <c r="GIZ16" s="314" t="s">
        <v>203</v>
      </c>
      <c r="GJA16" s="314" t="s">
        <v>203</v>
      </c>
      <c r="GJB16" s="314" t="s">
        <v>203</v>
      </c>
      <c r="GJC16" s="314" t="s">
        <v>203</v>
      </c>
      <c r="GJD16" s="314" t="s">
        <v>203</v>
      </c>
      <c r="GJE16" s="314" t="s">
        <v>203</v>
      </c>
      <c r="GJF16" s="314" t="s">
        <v>203</v>
      </c>
      <c r="GJG16" s="314" t="s">
        <v>203</v>
      </c>
      <c r="GJH16" s="314" t="s">
        <v>203</v>
      </c>
      <c r="GJI16" s="314" t="s">
        <v>203</v>
      </c>
      <c r="GJJ16" s="314" t="s">
        <v>203</v>
      </c>
      <c r="GJK16" s="314" t="s">
        <v>203</v>
      </c>
      <c r="GJL16" s="314" t="s">
        <v>203</v>
      </c>
      <c r="GJM16" s="314" t="s">
        <v>203</v>
      </c>
      <c r="GJN16" s="314" t="s">
        <v>203</v>
      </c>
      <c r="GJO16" s="314" t="s">
        <v>203</v>
      </c>
      <c r="GJP16" s="314" t="s">
        <v>203</v>
      </c>
      <c r="GJQ16" s="314" t="s">
        <v>203</v>
      </c>
      <c r="GJR16" s="314" t="s">
        <v>203</v>
      </c>
      <c r="GJS16" s="314" t="s">
        <v>203</v>
      </c>
      <c r="GJT16" s="314" t="s">
        <v>203</v>
      </c>
      <c r="GJU16" s="314" t="s">
        <v>203</v>
      </c>
      <c r="GJV16" s="314" t="s">
        <v>203</v>
      </c>
      <c r="GJW16" s="314" t="s">
        <v>203</v>
      </c>
      <c r="GJX16" s="314" t="s">
        <v>203</v>
      </c>
      <c r="GJY16" s="314" t="s">
        <v>203</v>
      </c>
      <c r="GJZ16" s="314" t="s">
        <v>203</v>
      </c>
      <c r="GKA16" s="314" t="s">
        <v>203</v>
      </c>
      <c r="GKB16" s="314" t="s">
        <v>203</v>
      </c>
      <c r="GKC16" s="314" t="s">
        <v>203</v>
      </c>
      <c r="GKD16" s="314" t="s">
        <v>203</v>
      </c>
      <c r="GKE16" s="314" t="s">
        <v>203</v>
      </c>
      <c r="GKF16" s="314" t="s">
        <v>203</v>
      </c>
      <c r="GKG16" s="314" t="s">
        <v>203</v>
      </c>
      <c r="GKH16" s="314" t="s">
        <v>203</v>
      </c>
      <c r="GKI16" s="314" t="s">
        <v>203</v>
      </c>
      <c r="GKJ16" s="314" t="s">
        <v>203</v>
      </c>
      <c r="GKK16" s="314" t="s">
        <v>203</v>
      </c>
      <c r="GKL16" s="314" t="s">
        <v>203</v>
      </c>
      <c r="GKM16" s="314" t="s">
        <v>203</v>
      </c>
      <c r="GKN16" s="314" t="s">
        <v>203</v>
      </c>
      <c r="GKO16" s="314" t="s">
        <v>203</v>
      </c>
      <c r="GKP16" s="314" t="s">
        <v>203</v>
      </c>
      <c r="GKQ16" s="314" t="s">
        <v>203</v>
      </c>
      <c r="GKR16" s="314" t="s">
        <v>203</v>
      </c>
      <c r="GKS16" s="314" t="s">
        <v>203</v>
      </c>
      <c r="GKT16" s="314" t="s">
        <v>203</v>
      </c>
      <c r="GKU16" s="314" t="s">
        <v>203</v>
      </c>
      <c r="GKV16" s="314" t="s">
        <v>203</v>
      </c>
      <c r="GKW16" s="314" t="s">
        <v>203</v>
      </c>
      <c r="GKX16" s="314" t="s">
        <v>203</v>
      </c>
      <c r="GKY16" s="314" t="s">
        <v>203</v>
      </c>
      <c r="GKZ16" s="314" t="s">
        <v>203</v>
      </c>
      <c r="GLA16" s="314" t="s">
        <v>203</v>
      </c>
      <c r="GLB16" s="314" t="s">
        <v>203</v>
      </c>
      <c r="GLC16" s="314" t="s">
        <v>203</v>
      </c>
      <c r="GLD16" s="314" t="s">
        <v>203</v>
      </c>
      <c r="GLE16" s="314" t="s">
        <v>203</v>
      </c>
      <c r="GLF16" s="314" t="s">
        <v>203</v>
      </c>
      <c r="GLG16" s="314" t="s">
        <v>203</v>
      </c>
      <c r="GLH16" s="314" t="s">
        <v>203</v>
      </c>
      <c r="GLI16" s="314" t="s">
        <v>203</v>
      </c>
      <c r="GLJ16" s="314" t="s">
        <v>203</v>
      </c>
      <c r="GLK16" s="314" t="s">
        <v>203</v>
      </c>
      <c r="GLL16" s="314" t="s">
        <v>203</v>
      </c>
      <c r="GLM16" s="314" t="s">
        <v>203</v>
      </c>
      <c r="GLN16" s="314" t="s">
        <v>203</v>
      </c>
      <c r="GLO16" s="314" t="s">
        <v>203</v>
      </c>
      <c r="GLP16" s="314" t="s">
        <v>203</v>
      </c>
      <c r="GLQ16" s="314" t="s">
        <v>203</v>
      </c>
      <c r="GLR16" s="314" t="s">
        <v>203</v>
      </c>
      <c r="GLS16" s="314" t="s">
        <v>203</v>
      </c>
      <c r="GLT16" s="314" t="s">
        <v>203</v>
      </c>
      <c r="GLU16" s="314" t="s">
        <v>203</v>
      </c>
      <c r="GLV16" s="314" t="s">
        <v>203</v>
      </c>
      <c r="GLW16" s="314" t="s">
        <v>203</v>
      </c>
      <c r="GLX16" s="314" t="s">
        <v>203</v>
      </c>
      <c r="GLY16" s="314" t="s">
        <v>203</v>
      </c>
      <c r="GLZ16" s="314" t="s">
        <v>203</v>
      </c>
      <c r="GMA16" s="314" t="s">
        <v>203</v>
      </c>
      <c r="GMB16" s="314" t="s">
        <v>203</v>
      </c>
      <c r="GMC16" s="314" t="s">
        <v>203</v>
      </c>
      <c r="GMD16" s="314" t="s">
        <v>203</v>
      </c>
      <c r="GME16" s="314" t="s">
        <v>203</v>
      </c>
      <c r="GMF16" s="314" t="s">
        <v>203</v>
      </c>
      <c r="GMG16" s="314" t="s">
        <v>203</v>
      </c>
      <c r="GMH16" s="314" t="s">
        <v>203</v>
      </c>
      <c r="GMI16" s="314" t="s">
        <v>203</v>
      </c>
      <c r="GMJ16" s="314" t="s">
        <v>203</v>
      </c>
      <c r="GMK16" s="314" t="s">
        <v>203</v>
      </c>
      <c r="GML16" s="314" t="s">
        <v>203</v>
      </c>
      <c r="GMM16" s="314" t="s">
        <v>203</v>
      </c>
      <c r="GMN16" s="314" t="s">
        <v>203</v>
      </c>
      <c r="GMO16" s="314" t="s">
        <v>203</v>
      </c>
      <c r="GMP16" s="314" t="s">
        <v>203</v>
      </c>
      <c r="GMQ16" s="314" t="s">
        <v>203</v>
      </c>
      <c r="GMR16" s="314" t="s">
        <v>203</v>
      </c>
      <c r="GMS16" s="314" t="s">
        <v>203</v>
      </c>
      <c r="GMT16" s="314" t="s">
        <v>203</v>
      </c>
      <c r="GMU16" s="314" t="s">
        <v>203</v>
      </c>
      <c r="GMV16" s="314" t="s">
        <v>203</v>
      </c>
      <c r="GMW16" s="314" t="s">
        <v>203</v>
      </c>
      <c r="GMX16" s="314" t="s">
        <v>203</v>
      </c>
      <c r="GMY16" s="314" t="s">
        <v>203</v>
      </c>
      <c r="GMZ16" s="314" t="s">
        <v>203</v>
      </c>
      <c r="GNA16" s="314" t="s">
        <v>203</v>
      </c>
      <c r="GNB16" s="314" t="s">
        <v>203</v>
      </c>
      <c r="GNC16" s="314" t="s">
        <v>203</v>
      </c>
      <c r="GND16" s="314" t="s">
        <v>203</v>
      </c>
      <c r="GNE16" s="314" t="s">
        <v>203</v>
      </c>
      <c r="GNF16" s="314" t="s">
        <v>203</v>
      </c>
      <c r="GNG16" s="314" t="s">
        <v>203</v>
      </c>
      <c r="GNH16" s="314" t="s">
        <v>203</v>
      </c>
      <c r="GNI16" s="314" t="s">
        <v>203</v>
      </c>
      <c r="GNJ16" s="314" t="s">
        <v>203</v>
      </c>
      <c r="GNK16" s="314" t="s">
        <v>203</v>
      </c>
      <c r="GNL16" s="314" t="s">
        <v>203</v>
      </c>
      <c r="GNM16" s="314" t="s">
        <v>203</v>
      </c>
      <c r="GNN16" s="314" t="s">
        <v>203</v>
      </c>
      <c r="GNO16" s="314" t="s">
        <v>203</v>
      </c>
      <c r="GNP16" s="314" t="s">
        <v>203</v>
      </c>
      <c r="GNQ16" s="314" t="s">
        <v>203</v>
      </c>
      <c r="GNR16" s="314" t="s">
        <v>203</v>
      </c>
      <c r="GNS16" s="314" t="s">
        <v>203</v>
      </c>
      <c r="GNT16" s="314" t="s">
        <v>203</v>
      </c>
      <c r="GNU16" s="314" t="s">
        <v>203</v>
      </c>
      <c r="GNV16" s="314" t="s">
        <v>203</v>
      </c>
      <c r="GNW16" s="314" t="s">
        <v>203</v>
      </c>
      <c r="GNX16" s="314" t="s">
        <v>203</v>
      </c>
      <c r="GNY16" s="314" t="s">
        <v>203</v>
      </c>
      <c r="GNZ16" s="314" t="s">
        <v>203</v>
      </c>
      <c r="GOA16" s="314" t="s">
        <v>203</v>
      </c>
      <c r="GOB16" s="314" t="s">
        <v>203</v>
      </c>
      <c r="GOC16" s="314" t="s">
        <v>203</v>
      </c>
      <c r="GOD16" s="314" t="s">
        <v>203</v>
      </c>
      <c r="GOE16" s="314" t="s">
        <v>203</v>
      </c>
      <c r="GOF16" s="314" t="s">
        <v>203</v>
      </c>
      <c r="GOG16" s="314" t="s">
        <v>203</v>
      </c>
      <c r="GOH16" s="314" t="s">
        <v>203</v>
      </c>
      <c r="GOI16" s="314" t="s">
        <v>203</v>
      </c>
      <c r="GOJ16" s="314" t="s">
        <v>203</v>
      </c>
      <c r="GOK16" s="314" t="s">
        <v>203</v>
      </c>
      <c r="GOL16" s="314" t="s">
        <v>203</v>
      </c>
      <c r="GOM16" s="314" t="s">
        <v>203</v>
      </c>
      <c r="GON16" s="314" t="s">
        <v>203</v>
      </c>
      <c r="GOO16" s="314" t="s">
        <v>203</v>
      </c>
      <c r="GOP16" s="314" t="s">
        <v>203</v>
      </c>
      <c r="GOQ16" s="314" t="s">
        <v>203</v>
      </c>
      <c r="GOR16" s="314" t="s">
        <v>203</v>
      </c>
      <c r="GOS16" s="314" t="s">
        <v>203</v>
      </c>
      <c r="GOT16" s="314" t="s">
        <v>203</v>
      </c>
      <c r="GOU16" s="314" t="s">
        <v>203</v>
      </c>
      <c r="GOV16" s="314" t="s">
        <v>203</v>
      </c>
      <c r="GOW16" s="314" t="s">
        <v>203</v>
      </c>
      <c r="GOX16" s="314" t="s">
        <v>203</v>
      </c>
      <c r="GOY16" s="314" t="s">
        <v>203</v>
      </c>
      <c r="GOZ16" s="314" t="s">
        <v>203</v>
      </c>
      <c r="GPA16" s="314" t="s">
        <v>203</v>
      </c>
      <c r="GPB16" s="314" t="s">
        <v>203</v>
      </c>
      <c r="GPC16" s="314" t="s">
        <v>203</v>
      </c>
      <c r="GPD16" s="314" t="s">
        <v>203</v>
      </c>
      <c r="GPE16" s="314" t="s">
        <v>203</v>
      </c>
      <c r="GPF16" s="314" t="s">
        <v>203</v>
      </c>
      <c r="GPG16" s="314" t="s">
        <v>203</v>
      </c>
      <c r="GPH16" s="314" t="s">
        <v>203</v>
      </c>
      <c r="GPI16" s="314" t="s">
        <v>203</v>
      </c>
      <c r="GPJ16" s="314" t="s">
        <v>203</v>
      </c>
      <c r="GPK16" s="314" t="s">
        <v>203</v>
      </c>
      <c r="GPL16" s="314" t="s">
        <v>203</v>
      </c>
      <c r="GPM16" s="314" t="s">
        <v>203</v>
      </c>
      <c r="GPN16" s="314" t="s">
        <v>203</v>
      </c>
      <c r="GPO16" s="314" t="s">
        <v>203</v>
      </c>
      <c r="GPP16" s="314" t="s">
        <v>203</v>
      </c>
      <c r="GPQ16" s="314" t="s">
        <v>203</v>
      </c>
      <c r="GPR16" s="314" t="s">
        <v>203</v>
      </c>
      <c r="GPS16" s="314" t="s">
        <v>203</v>
      </c>
      <c r="GPT16" s="314" t="s">
        <v>203</v>
      </c>
      <c r="GPU16" s="314" t="s">
        <v>203</v>
      </c>
      <c r="GPV16" s="314" t="s">
        <v>203</v>
      </c>
      <c r="GPW16" s="314" t="s">
        <v>203</v>
      </c>
      <c r="GPX16" s="314" t="s">
        <v>203</v>
      </c>
      <c r="GPY16" s="314" t="s">
        <v>203</v>
      </c>
      <c r="GPZ16" s="314" t="s">
        <v>203</v>
      </c>
      <c r="GQA16" s="314" t="s">
        <v>203</v>
      </c>
      <c r="GQB16" s="314" t="s">
        <v>203</v>
      </c>
      <c r="GQC16" s="314" t="s">
        <v>203</v>
      </c>
      <c r="GQD16" s="314" t="s">
        <v>203</v>
      </c>
      <c r="GQE16" s="314" t="s">
        <v>203</v>
      </c>
      <c r="GQF16" s="314" t="s">
        <v>203</v>
      </c>
      <c r="GQG16" s="314" t="s">
        <v>203</v>
      </c>
      <c r="GQH16" s="314" t="s">
        <v>203</v>
      </c>
      <c r="GQI16" s="314" t="s">
        <v>203</v>
      </c>
      <c r="GQJ16" s="314" t="s">
        <v>203</v>
      </c>
      <c r="GQK16" s="314" t="s">
        <v>203</v>
      </c>
      <c r="GQL16" s="314" t="s">
        <v>203</v>
      </c>
      <c r="GQM16" s="314" t="s">
        <v>203</v>
      </c>
      <c r="GQN16" s="314" t="s">
        <v>203</v>
      </c>
      <c r="GQO16" s="314" t="s">
        <v>203</v>
      </c>
      <c r="GQP16" s="314" t="s">
        <v>203</v>
      </c>
      <c r="GQQ16" s="314" t="s">
        <v>203</v>
      </c>
      <c r="GQR16" s="314" t="s">
        <v>203</v>
      </c>
      <c r="GQS16" s="314" t="s">
        <v>203</v>
      </c>
      <c r="GQT16" s="314" t="s">
        <v>203</v>
      </c>
      <c r="GQU16" s="314" t="s">
        <v>203</v>
      </c>
      <c r="GQV16" s="314" t="s">
        <v>203</v>
      </c>
      <c r="GQW16" s="314" t="s">
        <v>203</v>
      </c>
      <c r="GQX16" s="314" t="s">
        <v>203</v>
      </c>
      <c r="GQY16" s="314" t="s">
        <v>203</v>
      </c>
      <c r="GQZ16" s="314" t="s">
        <v>203</v>
      </c>
      <c r="GRA16" s="314" t="s">
        <v>203</v>
      </c>
      <c r="GRB16" s="314" t="s">
        <v>203</v>
      </c>
      <c r="GRC16" s="314" t="s">
        <v>203</v>
      </c>
      <c r="GRD16" s="314" t="s">
        <v>203</v>
      </c>
      <c r="GRE16" s="314" t="s">
        <v>203</v>
      </c>
      <c r="GRF16" s="314" t="s">
        <v>203</v>
      </c>
      <c r="GRG16" s="314" t="s">
        <v>203</v>
      </c>
      <c r="GRH16" s="314" t="s">
        <v>203</v>
      </c>
      <c r="GRI16" s="314" t="s">
        <v>203</v>
      </c>
      <c r="GRJ16" s="314" t="s">
        <v>203</v>
      </c>
      <c r="GRK16" s="314" t="s">
        <v>203</v>
      </c>
      <c r="GRL16" s="314" t="s">
        <v>203</v>
      </c>
      <c r="GRM16" s="314" t="s">
        <v>203</v>
      </c>
      <c r="GRN16" s="314" t="s">
        <v>203</v>
      </c>
      <c r="GRO16" s="314" t="s">
        <v>203</v>
      </c>
      <c r="GRP16" s="314" t="s">
        <v>203</v>
      </c>
      <c r="GRQ16" s="314" t="s">
        <v>203</v>
      </c>
      <c r="GRR16" s="314" t="s">
        <v>203</v>
      </c>
      <c r="GRS16" s="314" t="s">
        <v>203</v>
      </c>
      <c r="GRT16" s="314" t="s">
        <v>203</v>
      </c>
      <c r="GRU16" s="314" t="s">
        <v>203</v>
      </c>
      <c r="GRV16" s="314" t="s">
        <v>203</v>
      </c>
      <c r="GRW16" s="314" t="s">
        <v>203</v>
      </c>
      <c r="GRX16" s="314" t="s">
        <v>203</v>
      </c>
      <c r="GRY16" s="314" t="s">
        <v>203</v>
      </c>
      <c r="GRZ16" s="314" t="s">
        <v>203</v>
      </c>
      <c r="GSA16" s="314" t="s">
        <v>203</v>
      </c>
      <c r="GSB16" s="314" t="s">
        <v>203</v>
      </c>
      <c r="GSC16" s="314" t="s">
        <v>203</v>
      </c>
      <c r="GSD16" s="314" t="s">
        <v>203</v>
      </c>
      <c r="GSE16" s="314" t="s">
        <v>203</v>
      </c>
      <c r="GSF16" s="314" t="s">
        <v>203</v>
      </c>
      <c r="GSG16" s="314" t="s">
        <v>203</v>
      </c>
      <c r="GSH16" s="314" t="s">
        <v>203</v>
      </c>
      <c r="GSI16" s="314" t="s">
        <v>203</v>
      </c>
      <c r="GSJ16" s="314" t="s">
        <v>203</v>
      </c>
      <c r="GSK16" s="314" t="s">
        <v>203</v>
      </c>
      <c r="GSL16" s="314" t="s">
        <v>203</v>
      </c>
      <c r="GSM16" s="314" t="s">
        <v>203</v>
      </c>
      <c r="GSN16" s="314" t="s">
        <v>203</v>
      </c>
      <c r="GSO16" s="314" t="s">
        <v>203</v>
      </c>
      <c r="GSP16" s="314" t="s">
        <v>203</v>
      </c>
      <c r="GSQ16" s="314" t="s">
        <v>203</v>
      </c>
      <c r="GSR16" s="314" t="s">
        <v>203</v>
      </c>
      <c r="GSS16" s="314" t="s">
        <v>203</v>
      </c>
      <c r="GST16" s="314" t="s">
        <v>203</v>
      </c>
      <c r="GSU16" s="314" t="s">
        <v>203</v>
      </c>
      <c r="GSV16" s="314" t="s">
        <v>203</v>
      </c>
      <c r="GSW16" s="314" t="s">
        <v>203</v>
      </c>
      <c r="GSX16" s="314" t="s">
        <v>203</v>
      </c>
      <c r="GSY16" s="314" t="s">
        <v>203</v>
      </c>
      <c r="GSZ16" s="314" t="s">
        <v>203</v>
      </c>
      <c r="GTA16" s="314" t="s">
        <v>203</v>
      </c>
      <c r="GTB16" s="314" t="s">
        <v>203</v>
      </c>
      <c r="GTC16" s="314" t="s">
        <v>203</v>
      </c>
      <c r="GTD16" s="314" t="s">
        <v>203</v>
      </c>
      <c r="GTE16" s="314" t="s">
        <v>203</v>
      </c>
      <c r="GTF16" s="314" t="s">
        <v>203</v>
      </c>
      <c r="GTG16" s="314" t="s">
        <v>203</v>
      </c>
      <c r="GTH16" s="314" t="s">
        <v>203</v>
      </c>
      <c r="GTI16" s="314" t="s">
        <v>203</v>
      </c>
      <c r="GTJ16" s="314" t="s">
        <v>203</v>
      </c>
      <c r="GTK16" s="314" t="s">
        <v>203</v>
      </c>
      <c r="GTL16" s="314" t="s">
        <v>203</v>
      </c>
      <c r="GTM16" s="314" t="s">
        <v>203</v>
      </c>
      <c r="GTN16" s="314" t="s">
        <v>203</v>
      </c>
      <c r="GTO16" s="314" t="s">
        <v>203</v>
      </c>
      <c r="GTP16" s="314" t="s">
        <v>203</v>
      </c>
      <c r="GTQ16" s="314" t="s">
        <v>203</v>
      </c>
      <c r="GTR16" s="314" t="s">
        <v>203</v>
      </c>
      <c r="GTS16" s="314" t="s">
        <v>203</v>
      </c>
      <c r="GTT16" s="314" t="s">
        <v>203</v>
      </c>
      <c r="GTU16" s="314" t="s">
        <v>203</v>
      </c>
      <c r="GTV16" s="314" t="s">
        <v>203</v>
      </c>
      <c r="GTW16" s="314" t="s">
        <v>203</v>
      </c>
      <c r="GTX16" s="314" t="s">
        <v>203</v>
      </c>
      <c r="GTY16" s="314" t="s">
        <v>203</v>
      </c>
      <c r="GTZ16" s="314" t="s">
        <v>203</v>
      </c>
      <c r="GUA16" s="314" t="s">
        <v>203</v>
      </c>
      <c r="GUB16" s="314" t="s">
        <v>203</v>
      </c>
      <c r="GUC16" s="314" t="s">
        <v>203</v>
      </c>
      <c r="GUD16" s="314" t="s">
        <v>203</v>
      </c>
      <c r="GUE16" s="314" t="s">
        <v>203</v>
      </c>
      <c r="GUF16" s="314" t="s">
        <v>203</v>
      </c>
      <c r="GUG16" s="314" t="s">
        <v>203</v>
      </c>
      <c r="GUH16" s="314" t="s">
        <v>203</v>
      </c>
      <c r="GUI16" s="314" t="s">
        <v>203</v>
      </c>
      <c r="GUJ16" s="314" t="s">
        <v>203</v>
      </c>
      <c r="GUK16" s="314" t="s">
        <v>203</v>
      </c>
      <c r="GUL16" s="314" t="s">
        <v>203</v>
      </c>
      <c r="GUM16" s="314" t="s">
        <v>203</v>
      </c>
      <c r="GUN16" s="314" t="s">
        <v>203</v>
      </c>
      <c r="GUO16" s="314" t="s">
        <v>203</v>
      </c>
      <c r="GUP16" s="314" t="s">
        <v>203</v>
      </c>
      <c r="GUQ16" s="314" t="s">
        <v>203</v>
      </c>
      <c r="GUR16" s="314" t="s">
        <v>203</v>
      </c>
      <c r="GUS16" s="314" t="s">
        <v>203</v>
      </c>
      <c r="GUT16" s="314" t="s">
        <v>203</v>
      </c>
      <c r="GUU16" s="314" t="s">
        <v>203</v>
      </c>
      <c r="GUV16" s="314" t="s">
        <v>203</v>
      </c>
      <c r="GUW16" s="314" t="s">
        <v>203</v>
      </c>
      <c r="GUX16" s="314" t="s">
        <v>203</v>
      </c>
      <c r="GUY16" s="314" t="s">
        <v>203</v>
      </c>
      <c r="GUZ16" s="314" t="s">
        <v>203</v>
      </c>
      <c r="GVA16" s="314" t="s">
        <v>203</v>
      </c>
      <c r="GVB16" s="314" t="s">
        <v>203</v>
      </c>
      <c r="GVC16" s="314" t="s">
        <v>203</v>
      </c>
      <c r="GVD16" s="314" t="s">
        <v>203</v>
      </c>
      <c r="GVE16" s="314" t="s">
        <v>203</v>
      </c>
      <c r="GVF16" s="314" t="s">
        <v>203</v>
      </c>
      <c r="GVG16" s="314" t="s">
        <v>203</v>
      </c>
      <c r="GVH16" s="314" t="s">
        <v>203</v>
      </c>
      <c r="GVI16" s="314" t="s">
        <v>203</v>
      </c>
      <c r="GVJ16" s="314" t="s">
        <v>203</v>
      </c>
      <c r="GVK16" s="314" t="s">
        <v>203</v>
      </c>
      <c r="GVL16" s="314" t="s">
        <v>203</v>
      </c>
      <c r="GVM16" s="314" t="s">
        <v>203</v>
      </c>
      <c r="GVN16" s="314" t="s">
        <v>203</v>
      </c>
      <c r="GVO16" s="314" t="s">
        <v>203</v>
      </c>
      <c r="GVP16" s="314" t="s">
        <v>203</v>
      </c>
      <c r="GVQ16" s="314" t="s">
        <v>203</v>
      </c>
      <c r="GVR16" s="314" t="s">
        <v>203</v>
      </c>
      <c r="GVS16" s="314" t="s">
        <v>203</v>
      </c>
      <c r="GVT16" s="314" t="s">
        <v>203</v>
      </c>
      <c r="GVU16" s="314" t="s">
        <v>203</v>
      </c>
      <c r="GVV16" s="314" t="s">
        <v>203</v>
      </c>
      <c r="GVW16" s="314" t="s">
        <v>203</v>
      </c>
      <c r="GVX16" s="314" t="s">
        <v>203</v>
      </c>
      <c r="GVY16" s="314" t="s">
        <v>203</v>
      </c>
      <c r="GVZ16" s="314" t="s">
        <v>203</v>
      </c>
      <c r="GWA16" s="314" t="s">
        <v>203</v>
      </c>
      <c r="GWB16" s="314" t="s">
        <v>203</v>
      </c>
      <c r="GWC16" s="314" t="s">
        <v>203</v>
      </c>
      <c r="GWD16" s="314" t="s">
        <v>203</v>
      </c>
      <c r="GWE16" s="314" t="s">
        <v>203</v>
      </c>
      <c r="GWF16" s="314" t="s">
        <v>203</v>
      </c>
      <c r="GWG16" s="314" t="s">
        <v>203</v>
      </c>
      <c r="GWH16" s="314" t="s">
        <v>203</v>
      </c>
      <c r="GWI16" s="314" t="s">
        <v>203</v>
      </c>
      <c r="GWJ16" s="314" t="s">
        <v>203</v>
      </c>
      <c r="GWK16" s="314" t="s">
        <v>203</v>
      </c>
      <c r="GWL16" s="314" t="s">
        <v>203</v>
      </c>
      <c r="GWM16" s="314" t="s">
        <v>203</v>
      </c>
      <c r="GWN16" s="314" t="s">
        <v>203</v>
      </c>
      <c r="GWO16" s="314" t="s">
        <v>203</v>
      </c>
      <c r="GWP16" s="314" t="s">
        <v>203</v>
      </c>
      <c r="GWQ16" s="314" t="s">
        <v>203</v>
      </c>
      <c r="GWR16" s="314" t="s">
        <v>203</v>
      </c>
      <c r="GWS16" s="314" t="s">
        <v>203</v>
      </c>
      <c r="GWT16" s="314" t="s">
        <v>203</v>
      </c>
      <c r="GWU16" s="314" t="s">
        <v>203</v>
      </c>
      <c r="GWV16" s="314" t="s">
        <v>203</v>
      </c>
      <c r="GWW16" s="314" t="s">
        <v>203</v>
      </c>
      <c r="GWX16" s="314" t="s">
        <v>203</v>
      </c>
      <c r="GWY16" s="314" t="s">
        <v>203</v>
      </c>
      <c r="GWZ16" s="314" t="s">
        <v>203</v>
      </c>
      <c r="GXA16" s="314" t="s">
        <v>203</v>
      </c>
      <c r="GXB16" s="314" t="s">
        <v>203</v>
      </c>
      <c r="GXC16" s="314" t="s">
        <v>203</v>
      </c>
      <c r="GXD16" s="314" t="s">
        <v>203</v>
      </c>
      <c r="GXE16" s="314" t="s">
        <v>203</v>
      </c>
      <c r="GXF16" s="314" t="s">
        <v>203</v>
      </c>
      <c r="GXG16" s="314" t="s">
        <v>203</v>
      </c>
      <c r="GXH16" s="314" t="s">
        <v>203</v>
      </c>
      <c r="GXI16" s="314" t="s">
        <v>203</v>
      </c>
      <c r="GXJ16" s="314" t="s">
        <v>203</v>
      </c>
      <c r="GXK16" s="314" t="s">
        <v>203</v>
      </c>
      <c r="GXL16" s="314" t="s">
        <v>203</v>
      </c>
      <c r="GXM16" s="314" t="s">
        <v>203</v>
      </c>
      <c r="GXN16" s="314" t="s">
        <v>203</v>
      </c>
      <c r="GXO16" s="314" t="s">
        <v>203</v>
      </c>
      <c r="GXP16" s="314" t="s">
        <v>203</v>
      </c>
      <c r="GXQ16" s="314" t="s">
        <v>203</v>
      </c>
      <c r="GXR16" s="314" t="s">
        <v>203</v>
      </c>
      <c r="GXS16" s="314" t="s">
        <v>203</v>
      </c>
      <c r="GXT16" s="314" t="s">
        <v>203</v>
      </c>
      <c r="GXU16" s="314" t="s">
        <v>203</v>
      </c>
      <c r="GXV16" s="314" t="s">
        <v>203</v>
      </c>
      <c r="GXW16" s="314" t="s">
        <v>203</v>
      </c>
      <c r="GXX16" s="314" t="s">
        <v>203</v>
      </c>
      <c r="GXY16" s="314" t="s">
        <v>203</v>
      </c>
      <c r="GXZ16" s="314" t="s">
        <v>203</v>
      </c>
      <c r="GYA16" s="314" t="s">
        <v>203</v>
      </c>
      <c r="GYB16" s="314" t="s">
        <v>203</v>
      </c>
      <c r="GYC16" s="314" t="s">
        <v>203</v>
      </c>
      <c r="GYD16" s="314" t="s">
        <v>203</v>
      </c>
      <c r="GYE16" s="314" t="s">
        <v>203</v>
      </c>
      <c r="GYF16" s="314" t="s">
        <v>203</v>
      </c>
      <c r="GYG16" s="314" t="s">
        <v>203</v>
      </c>
      <c r="GYH16" s="314" t="s">
        <v>203</v>
      </c>
      <c r="GYI16" s="314" t="s">
        <v>203</v>
      </c>
      <c r="GYJ16" s="314" t="s">
        <v>203</v>
      </c>
      <c r="GYK16" s="314" t="s">
        <v>203</v>
      </c>
      <c r="GYL16" s="314" t="s">
        <v>203</v>
      </c>
      <c r="GYM16" s="314" t="s">
        <v>203</v>
      </c>
      <c r="GYN16" s="314" t="s">
        <v>203</v>
      </c>
      <c r="GYO16" s="314" t="s">
        <v>203</v>
      </c>
      <c r="GYP16" s="314" t="s">
        <v>203</v>
      </c>
      <c r="GYQ16" s="314" t="s">
        <v>203</v>
      </c>
      <c r="GYR16" s="314" t="s">
        <v>203</v>
      </c>
      <c r="GYS16" s="314" t="s">
        <v>203</v>
      </c>
      <c r="GYT16" s="314" t="s">
        <v>203</v>
      </c>
      <c r="GYU16" s="314" t="s">
        <v>203</v>
      </c>
      <c r="GYV16" s="314" t="s">
        <v>203</v>
      </c>
      <c r="GYW16" s="314" t="s">
        <v>203</v>
      </c>
      <c r="GYX16" s="314" t="s">
        <v>203</v>
      </c>
      <c r="GYY16" s="314" t="s">
        <v>203</v>
      </c>
      <c r="GYZ16" s="314" t="s">
        <v>203</v>
      </c>
      <c r="GZA16" s="314" t="s">
        <v>203</v>
      </c>
      <c r="GZB16" s="314" t="s">
        <v>203</v>
      </c>
      <c r="GZC16" s="314" t="s">
        <v>203</v>
      </c>
      <c r="GZD16" s="314" t="s">
        <v>203</v>
      </c>
      <c r="GZE16" s="314" t="s">
        <v>203</v>
      </c>
      <c r="GZF16" s="314" t="s">
        <v>203</v>
      </c>
      <c r="GZG16" s="314" t="s">
        <v>203</v>
      </c>
      <c r="GZH16" s="314" t="s">
        <v>203</v>
      </c>
      <c r="GZI16" s="314" t="s">
        <v>203</v>
      </c>
      <c r="GZJ16" s="314" t="s">
        <v>203</v>
      </c>
      <c r="GZK16" s="314" t="s">
        <v>203</v>
      </c>
      <c r="GZL16" s="314" t="s">
        <v>203</v>
      </c>
      <c r="GZM16" s="314" t="s">
        <v>203</v>
      </c>
      <c r="GZN16" s="314" t="s">
        <v>203</v>
      </c>
      <c r="GZO16" s="314" t="s">
        <v>203</v>
      </c>
      <c r="GZP16" s="314" t="s">
        <v>203</v>
      </c>
      <c r="GZQ16" s="314" t="s">
        <v>203</v>
      </c>
      <c r="GZR16" s="314" t="s">
        <v>203</v>
      </c>
      <c r="GZS16" s="314" t="s">
        <v>203</v>
      </c>
      <c r="GZT16" s="314" t="s">
        <v>203</v>
      </c>
      <c r="GZU16" s="314" t="s">
        <v>203</v>
      </c>
      <c r="GZV16" s="314" t="s">
        <v>203</v>
      </c>
      <c r="GZW16" s="314" t="s">
        <v>203</v>
      </c>
      <c r="GZX16" s="314" t="s">
        <v>203</v>
      </c>
      <c r="GZY16" s="314" t="s">
        <v>203</v>
      </c>
      <c r="GZZ16" s="314" t="s">
        <v>203</v>
      </c>
      <c r="HAA16" s="314" t="s">
        <v>203</v>
      </c>
      <c r="HAB16" s="314" t="s">
        <v>203</v>
      </c>
      <c r="HAC16" s="314" t="s">
        <v>203</v>
      </c>
      <c r="HAD16" s="314" t="s">
        <v>203</v>
      </c>
      <c r="HAE16" s="314" t="s">
        <v>203</v>
      </c>
      <c r="HAF16" s="314" t="s">
        <v>203</v>
      </c>
      <c r="HAG16" s="314" t="s">
        <v>203</v>
      </c>
      <c r="HAH16" s="314" t="s">
        <v>203</v>
      </c>
      <c r="HAI16" s="314" t="s">
        <v>203</v>
      </c>
      <c r="HAJ16" s="314" t="s">
        <v>203</v>
      </c>
      <c r="HAK16" s="314" t="s">
        <v>203</v>
      </c>
      <c r="HAL16" s="314" t="s">
        <v>203</v>
      </c>
      <c r="HAM16" s="314" t="s">
        <v>203</v>
      </c>
      <c r="HAN16" s="314" t="s">
        <v>203</v>
      </c>
      <c r="HAO16" s="314" t="s">
        <v>203</v>
      </c>
      <c r="HAP16" s="314" t="s">
        <v>203</v>
      </c>
      <c r="HAQ16" s="314" t="s">
        <v>203</v>
      </c>
      <c r="HAR16" s="314" t="s">
        <v>203</v>
      </c>
      <c r="HAS16" s="314" t="s">
        <v>203</v>
      </c>
      <c r="HAT16" s="314" t="s">
        <v>203</v>
      </c>
      <c r="HAU16" s="314" t="s">
        <v>203</v>
      </c>
      <c r="HAV16" s="314" t="s">
        <v>203</v>
      </c>
      <c r="HAW16" s="314" t="s">
        <v>203</v>
      </c>
      <c r="HAX16" s="314" t="s">
        <v>203</v>
      </c>
      <c r="HAY16" s="314" t="s">
        <v>203</v>
      </c>
      <c r="HAZ16" s="314" t="s">
        <v>203</v>
      </c>
      <c r="HBA16" s="314" t="s">
        <v>203</v>
      </c>
      <c r="HBB16" s="314" t="s">
        <v>203</v>
      </c>
      <c r="HBC16" s="314" t="s">
        <v>203</v>
      </c>
      <c r="HBD16" s="314" t="s">
        <v>203</v>
      </c>
      <c r="HBE16" s="314" t="s">
        <v>203</v>
      </c>
      <c r="HBF16" s="314" t="s">
        <v>203</v>
      </c>
      <c r="HBG16" s="314" t="s">
        <v>203</v>
      </c>
      <c r="HBH16" s="314" t="s">
        <v>203</v>
      </c>
      <c r="HBI16" s="314" t="s">
        <v>203</v>
      </c>
      <c r="HBJ16" s="314" t="s">
        <v>203</v>
      </c>
      <c r="HBK16" s="314" t="s">
        <v>203</v>
      </c>
      <c r="HBL16" s="314" t="s">
        <v>203</v>
      </c>
      <c r="HBM16" s="314" t="s">
        <v>203</v>
      </c>
      <c r="HBN16" s="314" t="s">
        <v>203</v>
      </c>
      <c r="HBO16" s="314" t="s">
        <v>203</v>
      </c>
      <c r="HBP16" s="314" t="s">
        <v>203</v>
      </c>
      <c r="HBQ16" s="314" t="s">
        <v>203</v>
      </c>
      <c r="HBR16" s="314" t="s">
        <v>203</v>
      </c>
      <c r="HBS16" s="314" t="s">
        <v>203</v>
      </c>
      <c r="HBT16" s="314" t="s">
        <v>203</v>
      </c>
      <c r="HBU16" s="314" t="s">
        <v>203</v>
      </c>
      <c r="HBV16" s="314" t="s">
        <v>203</v>
      </c>
      <c r="HBW16" s="314" t="s">
        <v>203</v>
      </c>
      <c r="HBX16" s="314" t="s">
        <v>203</v>
      </c>
      <c r="HBY16" s="314" t="s">
        <v>203</v>
      </c>
      <c r="HBZ16" s="314" t="s">
        <v>203</v>
      </c>
      <c r="HCA16" s="314" t="s">
        <v>203</v>
      </c>
      <c r="HCB16" s="314" t="s">
        <v>203</v>
      </c>
      <c r="HCC16" s="314" t="s">
        <v>203</v>
      </c>
      <c r="HCD16" s="314" t="s">
        <v>203</v>
      </c>
      <c r="HCE16" s="314" t="s">
        <v>203</v>
      </c>
      <c r="HCF16" s="314" t="s">
        <v>203</v>
      </c>
      <c r="HCG16" s="314" t="s">
        <v>203</v>
      </c>
      <c r="HCH16" s="314" t="s">
        <v>203</v>
      </c>
      <c r="HCI16" s="314" t="s">
        <v>203</v>
      </c>
      <c r="HCJ16" s="314" t="s">
        <v>203</v>
      </c>
      <c r="HCK16" s="314" t="s">
        <v>203</v>
      </c>
      <c r="HCL16" s="314" t="s">
        <v>203</v>
      </c>
      <c r="HCM16" s="314" t="s">
        <v>203</v>
      </c>
      <c r="HCN16" s="314" t="s">
        <v>203</v>
      </c>
      <c r="HCO16" s="314" t="s">
        <v>203</v>
      </c>
      <c r="HCP16" s="314" t="s">
        <v>203</v>
      </c>
      <c r="HCQ16" s="314" t="s">
        <v>203</v>
      </c>
      <c r="HCR16" s="314" t="s">
        <v>203</v>
      </c>
      <c r="HCS16" s="314" t="s">
        <v>203</v>
      </c>
      <c r="HCT16" s="314" t="s">
        <v>203</v>
      </c>
      <c r="HCU16" s="314" t="s">
        <v>203</v>
      </c>
      <c r="HCV16" s="314" t="s">
        <v>203</v>
      </c>
      <c r="HCW16" s="314" t="s">
        <v>203</v>
      </c>
      <c r="HCX16" s="314" t="s">
        <v>203</v>
      </c>
      <c r="HCY16" s="314" t="s">
        <v>203</v>
      </c>
      <c r="HCZ16" s="314" t="s">
        <v>203</v>
      </c>
      <c r="HDA16" s="314" t="s">
        <v>203</v>
      </c>
      <c r="HDB16" s="314" t="s">
        <v>203</v>
      </c>
      <c r="HDC16" s="314" t="s">
        <v>203</v>
      </c>
      <c r="HDD16" s="314" t="s">
        <v>203</v>
      </c>
      <c r="HDE16" s="314" t="s">
        <v>203</v>
      </c>
      <c r="HDF16" s="314" t="s">
        <v>203</v>
      </c>
      <c r="HDG16" s="314" t="s">
        <v>203</v>
      </c>
      <c r="HDH16" s="314" t="s">
        <v>203</v>
      </c>
      <c r="HDI16" s="314" t="s">
        <v>203</v>
      </c>
      <c r="HDJ16" s="314" t="s">
        <v>203</v>
      </c>
      <c r="HDK16" s="314" t="s">
        <v>203</v>
      </c>
      <c r="HDL16" s="314" t="s">
        <v>203</v>
      </c>
      <c r="HDM16" s="314" t="s">
        <v>203</v>
      </c>
      <c r="HDN16" s="314" t="s">
        <v>203</v>
      </c>
      <c r="HDO16" s="314" t="s">
        <v>203</v>
      </c>
      <c r="HDP16" s="314" t="s">
        <v>203</v>
      </c>
      <c r="HDQ16" s="314" t="s">
        <v>203</v>
      </c>
      <c r="HDR16" s="314" t="s">
        <v>203</v>
      </c>
      <c r="HDS16" s="314" t="s">
        <v>203</v>
      </c>
      <c r="HDT16" s="314" t="s">
        <v>203</v>
      </c>
      <c r="HDU16" s="314" t="s">
        <v>203</v>
      </c>
      <c r="HDV16" s="314" t="s">
        <v>203</v>
      </c>
      <c r="HDW16" s="314" t="s">
        <v>203</v>
      </c>
      <c r="HDX16" s="314" t="s">
        <v>203</v>
      </c>
      <c r="HDY16" s="314" t="s">
        <v>203</v>
      </c>
      <c r="HDZ16" s="314" t="s">
        <v>203</v>
      </c>
      <c r="HEA16" s="314" t="s">
        <v>203</v>
      </c>
      <c r="HEB16" s="314" t="s">
        <v>203</v>
      </c>
      <c r="HEC16" s="314" t="s">
        <v>203</v>
      </c>
      <c r="HED16" s="314" t="s">
        <v>203</v>
      </c>
      <c r="HEE16" s="314" t="s">
        <v>203</v>
      </c>
      <c r="HEF16" s="314" t="s">
        <v>203</v>
      </c>
      <c r="HEG16" s="314" t="s">
        <v>203</v>
      </c>
      <c r="HEH16" s="314" t="s">
        <v>203</v>
      </c>
      <c r="HEI16" s="314" t="s">
        <v>203</v>
      </c>
      <c r="HEJ16" s="314" t="s">
        <v>203</v>
      </c>
      <c r="HEK16" s="314" t="s">
        <v>203</v>
      </c>
      <c r="HEL16" s="314" t="s">
        <v>203</v>
      </c>
      <c r="HEM16" s="314" t="s">
        <v>203</v>
      </c>
      <c r="HEN16" s="314" t="s">
        <v>203</v>
      </c>
      <c r="HEO16" s="314" t="s">
        <v>203</v>
      </c>
      <c r="HEP16" s="314" t="s">
        <v>203</v>
      </c>
      <c r="HEQ16" s="314" t="s">
        <v>203</v>
      </c>
      <c r="HER16" s="314" t="s">
        <v>203</v>
      </c>
      <c r="HES16" s="314" t="s">
        <v>203</v>
      </c>
      <c r="HET16" s="314" t="s">
        <v>203</v>
      </c>
      <c r="HEU16" s="314" t="s">
        <v>203</v>
      </c>
      <c r="HEV16" s="314" t="s">
        <v>203</v>
      </c>
      <c r="HEW16" s="314" t="s">
        <v>203</v>
      </c>
      <c r="HEX16" s="314" t="s">
        <v>203</v>
      </c>
      <c r="HEY16" s="314" t="s">
        <v>203</v>
      </c>
      <c r="HEZ16" s="314" t="s">
        <v>203</v>
      </c>
      <c r="HFA16" s="314" t="s">
        <v>203</v>
      </c>
      <c r="HFB16" s="314" t="s">
        <v>203</v>
      </c>
      <c r="HFC16" s="314" t="s">
        <v>203</v>
      </c>
      <c r="HFD16" s="314" t="s">
        <v>203</v>
      </c>
      <c r="HFE16" s="314" t="s">
        <v>203</v>
      </c>
      <c r="HFF16" s="314" t="s">
        <v>203</v>
      </c>
      <c r="HFG16" s="314" t="s">
        <v>203</v>
      </c>
      <c r="HFH16" s="314" t="s">
        <v>203</v>
      </c>
      <c r="HFI16" s="314" t="s">
        <v>203</v>
      </c>
      <c r="HFJ16" s="314" t="s">
        <v>203</v>
      </c>
      <c r="HFK16" s="314" t="s">
        <v>203</v>
      </c>
      <c r="HFL16" s="314" t="s">
        <v>203</v>
      </c>
      <c r="HFM16" s="314" t="s">
        <v>203</v>
      </c>
      <c r="HFN16" s="314" t="s">
        <v>203</v>
      </c>
      <c r="HFO16" s="314" t="s">
        <v>203</v>
      </c>
      <c r="HFP16" s="314" t="s">
        <v>203</v>
      </c>
      <c r="HFQ16" s="314" t="s">
        <v>203</v>
      </c>
      <c r="HFR16" s="314" t="s">
        <v>203</v>
      </c>
      <c r="HFS16" s="314" t="s">
        <v>203</v>
      </c>
      <c r="HFT16" s="314" t="s">
        <v>203</v>
      </c>
      <c r="HFU16" s="314" t="s">
        <v>203</v>
      </c>
      <c r="HFV16" s="314" t="s">
        <v>203</v>
      </c>
      <c r="HFW16" s="314" t="s">
        <v>203</v>
      </c>
      <c r="HFX16" s="314" t="s">
        <v>203</v>
      </c>
      <c r="HFY16" s="314" t="s">
        <v>203</v>
      </c>
      <c r="HFZ16" s="314" t="s">
        <v>203</v>
      </c>
      <c r="HGA16" s="314" t="s">
        <v>203</v>
      </c>
      <c r="HGB16" s="314" t="s">
        <v>203</v>
      </c>
      <c r="HGC16" s="314" t="s">
        <v>203</v>
      </c>
      <c r="HGD16" s="314" t="s">
        <v>203</v>
      </c>
      <c r="HGE16" s="314" t="s">
        <v>203</v>
      </c>
      <c r="HGF16" s="314" t="s">
        <v>203</v>
      </c>
      <c r="HGG16" s="314" t="s">
        <v>203</v>
      </c>
      <c r="HGH16" s="314" t="s">
        <v>203</v>
      </c>
      <c r="HGI16" s="314" t="s">
        <v>203</v>
      </c>
      <c r="HGJ16" s="314" t="s">
        <v>203</v>
      </c>
      <c r="HGK16" s="314" t="s">
        <v>203</v>
      </c>
      <c r="HGL16" s="314" t="s">
        <v>203</v>
      </c>
      <c r="HGM16" s="314" t="s">
        <v>203</v>
      </c>
      <c r="HGN16" s="314" t="s">
        <v>203</v>
      </c>
      <c r="HGO16" s="314" t="s">
        <v>203</v>
      </c>
      <c r="HGP16" s="314" t="s">
        <v>203</v>
      </c>
      <c r="HGQ16" s="314" t="s">
        <v>203</v>
      </c>
      <c r="HGR16" s="314" t="s">
        <v>203</v>
      </c>
      <c r="HGS16" s="314" t="s">
        <v>203</v>
      </c>
      <c r="HGT16" s="314" t="s">
        <v>203</v>
      </c>
      <c r="HGU16" s="314" t="s">
        <v>203</v>
      </c>
      <c r="HGV16" s="314" t="s">
        <v>203</v>
      </c>
      <c r="HGW16" s="314" t="s">
        <v>203</v>
      </c>
      <c r="HGX16" s="314" t="s">
        <v>203</v>
      </c>
      <c r="HGY16" s="314" t="s">
        <v>203</v>
      </c>
      <c r="HGZ16" s="314" t="s">
        <v>203</v>
      </c>
      <c r="HHA16" s="314" t="s">
        <v>203</v>
      </c>
      <c r="HHB16" s="314" t="s">
        <v>203</v>
      </c>
      <c r="HHC16" s="314" t="s">
        <v>203</v>
      </c>
      <c r="HHD16" s="314" t="s">
        <v>203</v>
      </c>
      <c r="HHE16" s="314" t="s">
        <v>203</v>
      </c>
      <c r="HHF16" s="314" t="s">
        <v>203</v>
      </c>
      <c r="HHG16" s="314" t="s">
        <v>203</v>
      </c>
      <c r="HHH16" s="314" t="s">
        <v>203</v>
      </c>
      <c r="HHI16" s="314" t="s">
        <v>203</v>
      </c>
      <c r="HHJ16" s="314" t="s">
        <v>203</v>
      </c>
      <c r="HHK16" s="314" t="s">
        <v>203</v>
      </c>
      <c r="HHL16" s="314" t="s">
        <v>203</v>
      </c>
      <c r="HHM16" s="314" t="s">
        <v>203</v>
      </c>
      <c r="HHN16" s="314" t="s">
        <v>203</v>
      </c>
      <c r="HHO16" s="314" t="s">
        <v>203</v>
      </c>
      <c r="HHP16" s="314" t="s">
        <v>203</v>
      </c>
      <c r="HHQ16" s="314" t="s">
        <v>203</v>
      </c>
      <c r="HHR16" s="314" t="s">
        <v>203</v>
      </c>
      <c r="HHS16" s="314" t="s">
        <v>203</v>
      </c>
      <c r="HHT16" s="314" t="s">
        <v>203</v>
      </c>
      <c r="HHU16" s="314" t="s">
        <v>203</v>
      </c>
      <c r="HHV16" s="314" t="s">
        <v>203</v>
      </c>
      <c r="HHW16" s="314" t="s">
        <v>203</v>
      </c>
      <c r="HHX16" s="314" t="s">
        <v>203</v>
      </c>
      <c r="HHY16" s="314" t="s">
        <v>203</v>
      </c>
      <c r="HHZ16" s="314" t="s">
        <v>203</v>
      </c>
      <c r="HIA16" s="314" t="s">
        <v>203</v>
      </c>
      <c r="HIB16" s="314" t="s">
        <v>203</v>
      </c>
      <c r="HIC16" s="314" t="s">
        <v>203</v>
      </c>
      <c r="HID16" s="314" t="s">
        <v>203</v>
      </c>
      <c r="HIE16" s="314" t="s">
        <v>203</v>
      </c>
      <c r="HIF16" s="314" t="s">
        <v>203</v>
      </c>
      <c r="HIG16" s="314" t="s">
        <v>203</v>
      </c>
      <c r="HIH16" s="314" t="s">
        <v>203</v>
      </c>
      <c r="HII16" s="314" t="s">
        <v>203</v>
      </c>
      <c r="HIJ16" s="314" t="s">
        <v>203</v>
      </c>
      <c r="HIK16" s="314" t="s">
        <v>203</v>
      </c>
      <c r="HIL16" s="314" t="s">
        <v>203</v>
      </c>
      <c r="HIM16" s="314" t="s">
        <v>203</v>
      </c>
      <c r="HIN16" s="314" t="s">
        <v>203</v>
      </c>
      <c r="HIO16" s="314" t="s">
        <v>203</v>
      </c>
      <c r="HIP16" s="314" t="s">
        <v>203</v>
      </c>
      <c r="HIQ16" s="314" t="s">
        <v>203</v>
      </c>
      <c r="HIR16" s="314" t="s">
        <v>203</v>
      </c>
      <c r="HIS16" s="314" t="s">
        <v>203</v>
      </c>
      <c r="HIT16" s="314" t="s">
        <v>203</v>
      </c>
      <c r="HIU16" s="314" t="s">
        <v>203</v>
      </c>
      <c r="HIV16" s="314" t="s">
        <v>203</v>
      </c>
      <c r="HIW16" s="314" t="s">
        <v>203</v>
      </c>
      <c r="HIX16" s="314" t="s">
        <v>203</v>
      </c>
      <c r="HIY16" s="314" t="s">
        <v>203</v>
      </c>
      <c r="HIZ16" s="314" t="s">
        <v>203</v>
      </c>
      <c r="HJA16" s="314" t="s">
        <v>203</v>
      </c>
      <c r="HJB16" s="314" t="s">
        <v>203</v>
      </c>
      <c r="HJC16" s="314" t="s">
        <v>203</v>
      </c>
      <c r="HJD16" s="314" t="s">
        <v>203</v>
      </c>
      <c r="HJE16" s="314" t="s">
        <v>203</v>
      </c>
      <c r="HJF16" s="314" t="s">
        <v>203</v>
      </c>
      <c r="HJG16" s="314" t="s">
        <v>203</v>
      </c>
      <c r="HJH16" s="314" t="s">
        <v>203</v>
      </c>
      <c r="HJI16" s="314" t="s">
        <v>203</v>
      </c>
      <c r="HJJ16" s="314" t="s">
        <v>203</v>
      </c>
      <c r="HJK16" s="314" t="s">
        <v>203</v>
      </c>
      <c r="HJL16" s="314" t="s">
        <v>203</v>
      </c>
      <c r="HJM16" s="314" t="s">
        <v>203</v>
      </c>
      <c r="HJN16" s="314" t="s">
        <v>203</v>
      </c>
      <c r="HJO16" s="314" t="s">
        <v>203</v>
      </c>
      <c r="HJP16" s="314" t="s">
        <v>203</v>
      </c>
      <c r="HJQ16" s="314" t="s">
        <v>203</v>
      </c>
      <c r="HJR16" s="314" t="s">
        <v>203</v>
      </c>
      <c r="HJS16" s="314" t="s">
        <v>203</v>
      </c>
      <c r="HJT16" s="314" t="s">
        <v>203</v>
      </c>
      <c r="HJU16" s="314" t="s">
        <v>203</v>
      </c>
      <c r="HJV16" s="314" t="s">
        <v>203</v>
      </c>
      <c r="HJW16" s="314" t="s">
        <v>203</v>
      </c>
      <c r="HJX16" s="314" t="s">
        <v>203</v>
      </c>
      <c r="HJY16" s="314" t="s">
        <v>203</v>
      </c>
      <c r="HJZ16" s="314" t="s">
        <v>203</v>
      </c>
      <c r="HKA16" s="314" t="s">
        <v>203</v>
      </c>
      <c r="HKB16" s="314" t="s">
        <v>203</v>
      </c>
      <c r="HKC16" s="314" t="s">
        <v>203</v>
      </c>
      <c r="HKD16" s="314" t="s">
        <v>203</v>
      </c>
      <c r="HKE16" s="314" t="s">
        <v>203</v>
      </c>
      <c r="HKF16" s="314" t="s">
        <v>203</v>
      </c>
      <c r="HKG16" s="314" t="s">
        <v>203</v>
      </c>
      <c r="HKH16" s="314" t="s">
        <v>203</v>
      </c>
      <c r="HKI16" s="314" t="s">
        <v>203</v>
      </c>
      <c r="HKJ16" s="314" t="s">
        <v>203</v>
      </c>
      <c r="HKK16" s="314" t="s">
        <v>203</v>
      </c>
      <c r="HKL16" s="314" t="s">
        <v>203</v>
      </c>
      <c r="HKM16" s="314" t="s">
        <v>203</v>
      </c>
      <c r="HKN16" s="314" t="s">
        <v>203</v>
      </c>
      <c r="HKO16" s="314" t="s">
        <v>203</v>
      </c>
      <c r="HKP16" s="314" t="s">
        <v>203</v>
      </c>
      <c r="HKQ16" s="314" t="s">
        <v>203</v>
      </c>
      <c r="HKR16" s="314" t="s">
        <v>203</v>
      </c>
      <c r="HKS16" s="314" t="s">
        <v>203</v>
      </c>
      <c r="HKT16" s="314" t="s">
        <v>203</v>
      </c>
      <c r="HKU16" s="314" t="s">
        <v>203</v>
      </c>
      <c r="HKV16" s="314" t="s">
        <v>203</v>
      </c>
      <c r="HKW16" s="314" t="s">
        <v>203</v>
      </c>
      <c r="HKX16" s="314" t="s">
        <v>203</v>
      </c>
      <c r="HKY16" s="314" t="s">
        <v>203</v>
      </c>
      <c r="HKZ16" s="314" t="s">
        <v>203</v>
      </c>
      <c r="HLA16" s="314" t="s">
        <v>203</v>
      </c>
      <c r="HLB16" s="314" t="s">
        <v>203</v>
      </c>
      <c r="HLC16" s="314" t="s">
        <v>203</v>
      </c>
      <c r="HLD16" s="314" t="s">
        <v>203</v>
      </c>
      <c r="HLE16" s="314" t="s">
        <v>203</v>
      </c>
      <c r="HLF16" s="314" t="s">
        <v>203</v>
      </c>
      <c r="HLG16" s="314" t="s">
        <v>203</v>
      </c>
      <c r="HLH16" s="314" t="s">
        <v>203</v>
      </c>
      <c r="HLI16" s="314" t="s">
        <v>203</v>
      </c>
      <c r="HLJ16" s="314" t="s">
        <v>203</v>
      </c>
      <c r="HLK16" s="314" t="s">
        <v>203</v>
      </c>
      <c r="HLL16" s="314" t="s">
        <v>203</v>
      </c>
      <c r="HLM16" s="314" t="s">
        <v>203</v>
      </c>
      <c r="HLN16" s="314" t="s">
        <v>203</v>
      </c>
      <c r="HLO16" s="314" t="s">
        <v>203</v>
      </c>
      <c r="HLP16" s="314" t="s">
        <v>203</v>
      </c>
      <c r="HLQ16" s="314" t="s">
        <v>203</v>
      </c>
      <c r="HLR16" s="314" t="s">
        <v>203</v>
      </c>
      <c r="HLS16" s="314" t="s">
        <v>203</v>
      </c>
      <c r="HLT16" s="314" t="s">
        <v>203</v>
      </c>
      <c r="HLU16" s="314" t="s">
        <v>203</v>
      </c>
      <c r="HLV16" s="314" t="s">
        <v>203</v>
      </c>
      <c r="HLW16" s="314" t="s">
        <v>203</v>
      </c>
      <c r="HLX16" s="314" t="s">
        <v>203</v>
      </c>
      <c r="HLY16" s="314" t="s">
        <v>203</v>
      </c>
      <c r="HLZ16" s="314" t="s">
        <v>203</v>
      </c>
      <c r="HMA16" s="314" t="s">
        <v>203</v>
      </c>
      <c r="HMB16" s="314" t="s">
        <v>203</v>
      </c>
      <c r="HMC16" s="314" t="s">
        <v>203</v>
      </c>
      <c r="HMD16" s="314" t="s">
        <v>203</v>
      </c>
      <c r="HME16" s="314" t="s">
        <v>203</v>
      </c>
      <c r="HMF16" s="314" t="s">
        <v>203</v>
      </c>
      <c r="HMG16" s="314" t="s">
        <v>203</v>
      </c>
      <c r="HMH16" s="314" t="s">
        <v>203</v>
      </c>
      <c r="HMI16" s="314" t="s">
        <v>203</v>
      </c>
      <c r="HMJ16" s="314" t="s">
        <v>203</v>
      </c>
      <c r="HMK16" s="314" t="s">
        <v>203</v>
      </c>
      <c r="HML16" s="314" t="s">
        <v>203</v>
      </c>
      <c r="HMM16" s="314" t="s">
        <v>203</v>
      </c>
      <c r="HMN16" s="314" t="s">
        <v>203</v>
      </c>
      <c r="HMO16" s="314" t="s">
        <v>203</v>
      </c>
      <c r="HMP16" s="314" t="s">
        <v>203</v>
      </c>
      <c r="HMQ16" s="314" t="s">
        <v>203</v>
      </c>
      <c r="HMR16" s="314" t="s">
        <v>203</v>
      </c>
      <c r="HMS16" s="314" t="s">
        <v>203</v>
      </c>
      <c r="HMT16" s="314" t="s">
        <v>203</v>
      </c>
      <c r="HMU16" s="314" t="s">
        <v>203</v>
      </c>
      <c r="HMV16" s="314" t="s">
        <v>203</v>
      </c>
      <c r="HMW16" s="314" t="s">
        <v>203</v>
      </c>
      <c r="HMX16" s="314" t="s">
        <v>203</v>
      </c>
      <c r="HMY16" s="314" t="s">
        <v>203</v>
      </c>
      <c r="HMZ16" s="314" t="s">
        <v>203</v>
      </c>
      <c r="HNA16" s="314" t="s">
        <v>203</v>
      </c>
      <c r="HNB16" s="314" t="s">
        <v>203</v>
      </c>
      <c r="HNC16" s="314" t="s">
        <v>203</v>
      </c>
      <c r="HND16" s="314" t="s">
        <v>203</v>
      </c>
      <c r="HNE16" s="314" t="s">
        <v>203</v>
      </c>
      <c r="HNF16" s="314" t="s">
        <v>203</v>
      </c>
      <c r="HNG16" s="314" t="s">
        <v>203</v>
      </c>
      <c r="HNH16" s="314" t="s">
        <v>203</v>
      </c>
      <c r="HNI16" s="314" t="s">
        <v>203</v>
      </c>
      <c r="HNJ16" s="314" t="s">
        <v>203</v>
      </c>
      <c r="HNK16" s="314" t="s">
        <v>203</v>
      </c>
      <c r="HNL16" s="314" t="s">
        <v>203</v>
      </c>
      <c r="HNM16" s="314" t="s">
        <v>203</v>
      </c>
      <c r="HNN16" s="314" t="s">
        <v>203</v>
      </c>
      <c r="HNO16" s="314" t="s">
        <v>203</v>
      </c>
      <c r="HNP16" s="314" t="s">
        <v>203</v>
      </c>
      <c r="HNQ16" s="314" t="s">
        <v>203</v>
      </c>
      <c r="HNR16" s="314" t="s">
        <v>203</v>
      </c>
      <c r="HNS16" s="314" t="s">
        <v>203</v>
      </c>
      <c r="HNT16" s="314" t="s">
        <v>203</v>
      </c>
      <c r="HNU16" s="314" t="s">
        <v>203</v>
      </c>
      <c r="HNV16" s="314" t="s">
        <v>203</v>
      </c>
      <c r="HNW16" s="314" t="s">
        <v>203</v>
      </c>
      <c r="HNX16" s="314" t="s">
        <v>203</v>
      </c>
      <c r="HNY16" s="314" t="s">
        <v>203</v>
      </c>
      <c r="HNZ16" s="314" t="s">
        <v>203</v>
      </c>
      <c r="HOA16" s="314" t="s">
        <v>203</v>
      </c>
      <c r="HOB16" s="314" t="s">
        <v>203</v>
      </c>
      <c r="HOC16" s="314" t="s">
        <v>203</v>
      </c>
      <c r="HOD16" s="314" t="s">
        <v>203</v>
      </c>
      <c r="HOE16" s="314" t="s">
        <v>203</v>
      </c>
      <c r="HOF16" s="314" t="s">
        <v>203</v>
      </c>
      <c r="HOG16" s="314" t="s">
        <v>203</v>
      </c>
      <c r="HOH16" s="314" t="s">
        <v>203</v>
      </c>
      <c r="HOI16" s="314" t="s">
        <v>203</v>
      </c>
      <c r="HOJ16" s="314" t="s">
        <v>203</v>
      </c>
      <c r="HOK16" s="314" t="s">
        <v>203</v>
      </c>
      <c r="HOL16" s="314" t="s">
        <v>203</v>
      </c>
      <c r="HOM16" s="314" t="s">
        <v>203</v>
      </c>
      <c r="HON16" s="314" t="s">
        <v>203</v>
      </c>
      <c r="HOO16" s="314" t="s">
        <v>203</v>
      </c>
      <c r="HOP16" s="314" t="s">
        <v>203</v>
      </c>
      <c r="HOQ16" s="314" t="s">
        <v>203</v>
      </c>
      <c r="HOR16" s="314" t="s">
        <v>203</v>
      </c>
      <c r="HOS16" s="314" t="s">
        <v>203</v>
      </c>
      <c r="HOT16" s="314" t="s">
        <v>203</v>
      </c>
      <c r="HOU16" s="314" t="s">
        <v>203</v>
      </c>
      <c r="HOV16" s="314" t="s">
        <v>203</v>
      </c>
      <c r="HOW16" s="314" t="s">
        <v>203</v>
      </c>
      <c r="HOX16" s="314" t="s">
        <v>203</v>
      </c>
      <c r="HOY16" s="314" t="s">
        <v>203</v>
      </c>
      <c r="HOZ16" s="314" t="s">
        <v>203</v>
      </c>
      <c r="HPA16" s="314" t="s">
        <v>203</v>
      </c>
      <c r="HPB16" s="314" t="s">
        <v>203</v>
      </c>
      <c r="HPC16" s="314" t="s">
        <v>203</v>
      </c>
      <c r="HPD16" s="314" t="s">
        <v>203</v>
      </c>
      <c r="HPE16" s="314" t="s">
        <v>203</v>
      </c>
      <c r="HPF16" s="314" t="s">
        <v>203</v>
      </c>
      <c r="HPG16" s="314" t="s">
        <v>203</v>
      </c>
      <c r="HPH16" s="314" t="s">
        <v>203</v>
      </c>
      <c r="HPI16" s="314" t="s">
        <v>203</v>
      </c>
      <c r="HPJ16" s="314" t="s">
        <v>203</v>
      </c>
      <c r="HPK16" s="314" t="s">
        <v>203</v>
      </c>
      <c r="HPL16" s="314" t="s">
        <v>203</v>
      </c>
      <c r="HPM16" s="314" t="s">
        <v>203</v>
      </c>
      <c r="HPN16" s="314" t="s">
        <v>203</v>
      </c>
      <c r="HPO16" s="314" t="s">
        <v>203</v>
      </c>
      <c r="HPP16" s="314" t="s">
        <v>203</v>
      </c>
      <c r="HPQ16" s="314" t="s">
        <v>203</v>
      </c>
      <c r="HPR16" s="314" t="s">
        <v>203</v>
      </c>
      <c r="HPS16" s="314" t="s">
        <v>203</v>
      </c>
      <c r="HPT16" s="314" t="s">
        <v>203</v>
      </c>
      <c r="HPU16" s="314" t="s">
        <v>203</v>
      </c>
      <c r="HPV16" s="314" t="s">
        <v>203</v>
      </c>
      <c r="HPW16" s="314" t="s">
        <v>203</v>
      </c>
      <c r="HPX16" s="314" t="s">
        <v>203</v>
      </c>
      <c r="HPY16" s="314" t="s">
        <v>203</v>
      </c>
      <c r="HPZ16" s="314" t="s">
        <v>203</v>
      </c>
      <c r="HQA16" s="314" t="s">
        <v>203</v>
      </c>
      <c r="HQB16" s="314" t="s">
        <v>203</v>
      </c>
      <c r="HQC16" s="314" t="s">
        <v>203</v>
      </c>
      <c r="HQD16" s="314" t="s">
        <v>203</v>
      </c>
      <c r="HQE16" s="314" t="s">
        <v>203</v>
      </c>
      <c r="HQF16" s="314" t="s">
        <v>203</v>
      </c>
      <c r="HQG16" s="314" t="s">
        <v>203</v>
      </c>
      <c r="HQH16" s="314" t="s">
        <v>203</v>
      </c>
      <c r="HQI16" s="314" t="s">
        <v>203</v>
      </c>
      <c r="HQJ16" s="314" t="s">
        <v>203</v>
      </c>
      <c r="HQK16" s="314" t="s">
        <v>203</v>
      </c>
      <c r="HQL16" s="314" t="s">
        <v>203</v>
      </c>
      <c r="HQM16" s="314" t="s">
        <v>203</v>
      </c>
      <c r="HQN16" s="314" t="s">
        <v>203</v>
      </c>
      <c r="HQO16" s="314" t="s">
        <v>203</v>
      </c>
      <c r="HQP16" s="314" t="s">
        <v>203</v>
      </c>
      <c r="HQQ16" s="314" t="s">
        <v>203</v>
      </c>
      <c r="HQR16" s="314" t="s">
        <v>203</v>
      </c>
      <c r="HQS16" s="314" t="s">
        <v>203</v>
      </c>
      <c r="HQT16" s="314" t="s">
        <v>203</v>
      </c>
      <c r="HQU16" s="314" t="s">
        <v>203</v>
      </c>
      <c r="HQV16" s="314" t="s">
        <v>203</v>
      </c>
      <c r="HQW16" s="314" t="s">
        <v>203</v>
      </c>
      <c r="HQX16" s="314" t="s">
        <v>203</v>
      </c>
      <c r="HQY16" s="314" t="s">
        <v>203</v>
      </c>
      <c r="HQZ16" s="314" t="s">
        <v>203</v>
      </c>
      <c r="HRA16" s="314" t="s">
        <v>203</v>
      </c>
      <c r="HRB16" s="314" t="s">
        <v>203</v>
      </c>
      <c r="HRC16" s="314" t="s">
        <v>203</v>
      </c>
      <c r="HRD16" s="314" t="s">
        <v>203</v>
      </c>
      <c r="HRE16" s="314" t="s">
        <v>203</v>
      </c>
      <c r="HRF16" s="314" t="s">
        <v>203</v>
      </c>
      <c r="HRG16" s="314" t="s">
        <v>203</v>
      </c>
      <c r="HRH16" s="314" t="s">
        <v>203</v>
      </c>
      <c r="HRI16" s="314" t="s">
        <v>203</v>
      </c>
      <c r="HRJ16" s="314" t="s">
        <v>203</v>
      </c>
      <c r="HRK16" s="314" t="s">
        <v>203</v>
      </c>
      <c r="HRL16" s="314" t="s">
        <v>203</v>
      </c>
      <c r="HRM16" s="314" t="s">
        <v>203</v>
      </c>
      <c r="HRN16" s="314" t="s">
        <v>203</v>
      </c>
      <c r="HRO16" s="314" t="s">
        <v>203</v>
      </c>
      <c r="HRP16" s="314" t="s">
        <v>203</v>
      </c>
      <c r="HRQ16" s="314" t="s">
        <v>203</v>
      </c>
      <c r="HRR16" s="314" t="s">
        <v>203</v>
      </c>
      <c r="HRS16" s="314" t="s">
        <v>203</v>
      </c>
      <c r="HRT16" s="314" t="s">
        <v>203</v>
      </c>
      <c r="HRU16" s="314" t="s">
        <v>203</v>
      </c>
      <c r="HRV16" s="314" t="s">
        <v>203</v>
      </c>
      <c r="HRW16" s="314" t="s">
        <v>203</v>
      </c>
      <c r="HRX16" s="314" t="s">
        <v>203</v>
      </c>
      <c r="HRY16" s="314" t="s">
        <v>203</v>
      </c>
      <c r="HRZ16" s="314" t="s">
        <v>203</v>
      </c>
      <c r="HSA16" s="314" t="s">
        <v>203</v>
      </c>
      <c r="HSB16" s="314" t="s">
        <v>203</v>
      </c>
      <c r="HSC16" s="314" t="s">
        <v>203</v>
      </c>
      <c r="HSD16" s="314" t="s">
        <v>203</v>
      </c>
      <c r="HSE16" s="314" t="s">
        <v>203</v>
      </c>
      <c r="HSF16" s="314" t="s">
        <v>203</v>
      </c>
      <c r="HSG16" s="314" t="s">
        <v>203</v>
      </c>
      <c r="HSH16" s="314" t="s">
        <v>203</v>
      </c>
      <c r="HSI16" s="314" t="s">
        <v>203</v>
      </c>
      <c r="HSJ16" s="314" t="s">
        <v>203</v>
      </c>
      <c r="HSK16" s="314" t="s">
        <v>203</v>
      </c>
      <c r="HSL16" s="314" t="s">
        <v>203</v>
      </c>
      <c r="HSM16" s="314" t="s">
        <v>203</v>
      </c>
      <c r="HSN16" s="314" t="s">
        <v>203</v>
      </c>
      <c r="HSO16" s="314" t="s">
        <v>203</v>
      </c>
      <c r="HSP16" s="314" t="s">
        <v>203</v>
      </c>
      <c r="HSQ16" s="314" t="s">
        <v>203</v>
      </c>
      <c r="HSR16" s="314" t="s">
        <v>203</v>
      </c>
      <c r="HSS16" s="314" t="s">
        <v>203</v>
      </c>
      <c r="HST16" s="314" t="s">
        <v>203</v>
      </c>
      <c r="HSU16" s="314" t="s">
        <v>203</v>
      </c>
      <c r="HSV16" s="314" t="s">
        <v>203</v>
      </c>
      <c r="HSW16" s="314" t="s">
        <v>203</v>
      </c>
      <c r="HSX16" s="314" t="s">
        <v>203</v>
      </c>
      <c r="HSY16" s="314" t="s">
        <v>203</v>
      </c>
      <c r="HSZ16" s="314" t="s">
        <v>203</v>
      </c>
      <c r="HTA16" s="314" t="s">
        <v>203</v>
      </c>
      <c r="HTB16" s="314" t="s">
        <v>203</v>
      </c>
      <c r="HTC16" s="314" t="s">
        <v>203</v>
      </c>
      <c r="HTD16" s="314" t="s">
        <v>203</v>
      </c>
      <c r="HTE16" s="314" t="s">
        <v>203</v>
      </c>
      <c r="HTF16" s="314" t="s">
        <v>203</v>
      </c>
      <c r="HTG16" s="314" t="s">
        <v>203</v>
      </c>
      <c r="HTH16" s="314" t="s">
        <v>203</v>
      </c>
      <c r="HTI16" s="314" t="s">
        <v>203</v>
      </c>
      <c r="HTJ16" s="314" t="s">
        <v>203</v>
      </c>
      <c r="HTK16" s="314" t="s">
        <v>203</v>
      </c>
      <c r="HTL16" s="314" t="s">
        <v>203</v>
      </c>
      <c r="HTM16" s="314" t="s">
        <v>203</v>
      </c>
      <c r="HTN16" s="314" t="s">
        <v>203</v>
      </c>
      <c r="HTO16" s="314" t="s">
        <v>203</v>
      </c>
      <c r="HTP16" s="314" t="s">
        <v>203</v>
      </c>
      <c r="HTQ16" s="314" t="s">
        <v>203</v>
      </c>
      <c r="HTR16" s="314" t="s">
        <v>203</v>
      </c>
      <c r="HTS16" s="314" t="s">
        <v>203</v>
      </c>
      <c r="HTT16" s="314" t="s">
        <v>203</v>
      </c>
      <c r="HTU16" s="314" t="s">
        <v>203</v>
      </c>
      <c r="HTV16" s="314" t="s">
        <v>203</v>
      </c>
      <c r="HTW16" s="314" t="s">
        <v>203</v>
      </c>
      <c r="HTX16" s="314" t="s">
        <v>203</v>
      </c>
      <c r="HTY16" s="314" t="s">
        <v>203</v>
      </c>
      <c r="HTZ16" s="314" t="s">
        <v>203</v>
      </c>
      <c r="HUA16" s="314" t="s">
        <v>203</v>
      </c>
      <c r="HUB16" s="314" t="s">
        <v>203</v>
      </c>
      <c r="HUC16" s="314" t="s">
        <v>203</v>
      </c>
      <c r="HUD16" s="314" t="s">
        <v>203</v>
      </c>
      <c r="HUE16" s="314" t="s">
        <v>203</v>
      </c>
      <c r="HUF16" s="314" t="s">
        <v>203</v>
      </c>
      <c r="HUG16" s="314" t="s">
        <v>203</v>
      </c>
      <c r="HUH16" s="314" t="s">
        <v>203</v>
      </c>
      <c r="HUI16" s="314" t="s">
        <v>203</v>
      </c>
      <c r="HUJ16" s="314" t="s">
        <v>203</v>
      </c>
      <c r="HUK16" s="314" t="s">
        <v>203</v>
      </c>
      <c r="HUL16" s="314" t="s">
        <v>203</v>
      </c>
      <c r="HUM16" s="314" t="s">
        <v>203</v>
      </c>
      <c r="HUN16" s="314" t="s">
        <v>203</v>
      </c>
      <c r="HUO16" s="314" t="s">
        <v>203</v>
      </c>
      <c r="HUP16" s="314" t="s">
        <v>203</v>
      </c>
      <c r="HUQ16" s="314" t="s">
        <v>203</v>
      </c>
      <c r="HUR16" s="314" t="s">
        <v>203</v>
      </c>
      <c r="HUS16" s="314" t="s">
        <v>203</v>
      </c>
      <c r="HUT16" s="314" t="s">
        <v>203</v>
      </c>
      <c r="HUU16" s="314" t="s">
        <v>203</v>
      </c>
      <c r="HUV16" s="314" t="s">
        <v>203</v>
      </c>
      <c r="HUW16" s="314" t="s">
        <v>203</v>
      </c>
      <c r="HUX16" s="314" t="s">
        <v>203</v>
      </c>
      <c r="HUY16" s="314" t="s">
        <v>203</v>
      </c>
      <c r="HUZ16" s="314" t="s">
        <v>203</v>
      </c>
      <c r="HVA16" s="314" t="s">
        <v>203</v>
      </c>
      <c r="HVB16" s="314" t="s">
        <v>203</v>
      </c>
      <c r="HVC16" s="314" t="s">
        <v>203</v>
      </c>
      <c r="HVD16" s="314" t="s">
        <v>203</v>
      </c>
      <c r="HVE16" s="314" t="s">
        <v>203</v>
      </c>
      <c r="HVF16" s="314" t="s">
        <v>203</v>
      </c>
      <c r="HVG16" s="314" t="s">
        <v>203</v>
      </c>
      <c r="HVH16" s="314" t="s">
        <v>203</v>
      </c>
      <c r="HVI16" s="314" t="s">
        <v>203</v>
      </c>
      <c r="HVJ16" s="314" t="s">
        <v>203</v>
      </c>
      <c r="HVK16" s="314" t="s">
        <v>203</v>
      </c>
      <c r="HVL16" s="314" t="s">
        <v>203</v>
      </c>
      <c r="HVM16" s="314" t="s">
        <v>203</v>
      </c>
      <c r="HVN16" s="314" t="s">
        <v>203</v>
      </c>
      <c r="HVO16" s="314" t="s">
        <v>203</v>
      </c>
      <c r="HVP16" s="314" t="s">
        <v>203</v>
      </c>
      <c r="HVQ16" s="314" t="s">
        <v>203</v>
      </c>
      <c r="HVR16" s="314" t="s">
        <v>203</v>
      </c>
      <c r="HVS16" s="314" t="s">
        <v>203</v>
      </c>
      <c r="HVT16" s="314" t="s">
        <v>203</v>
      </c>
      <c r="HVU16" s="314" t="s">
        <v>203</v>
      </c>
      <c r="HVV16" s="314" t="s">
        <v>203</v>
      </c>
      <c r="HVW16" s="314" t="s">
        <v>203</v>
      </c>
      <c r="HVX16" s="314" t="s">
        <v>203</v>
      </c>
      <c r="HVY16" s="314" t="s">
        <v>203</v>
      </c>
      <c r="HVZ16" s="314" t="s">
        <v>203</v>
      </c>
      <c r="HWA16" s="314" t="s">
        <v>203</v>
      </c>
      <c r="HWB16" s="314" t="s">
        <v>203</v>
      </c>
      <c r="HWC16" s="314" t="s">
        <v>203</v>
      </c>
      <c r="HWD16" s="314" t="s">
        <v>203</v>
      </c>
      <c r="HWE16" s="314" t="s">
        <v>203</v>
      </c>
      <c r="HWF16" s="314" t="s">
        <v>203</v>
      </c>
      <c r="HWG16" s="314" t="s">
        <v>203</v>
      </c>
      <c r="HWH16" s="314" t="s">
        <v>203</v>
      </c>
      <c r="HWI16" s="314" t="s">
        <v>203</v>
      </c>
      <c r="HWJ16" s="314" t="s">
        <v>203</v>
      </c>
      <c r="HWK16" s="314" t="s">
        <v>203</v>
      </c>
      <c r="HWL16" s="314" t="s">
        <v>203</v>
      </c>
      <c r="HWM16" s="314" t="s">
        <v>203</v>
      </c>
      <c r="HWN16" s="314" t="s">
        <v>203</v>
      </c>
      <c r="HWO16" s="314" t="s">
        <v>203</v>
      </c>
      <c r="HWP16" s="314" t="s">
        <v>203</v>
      </c>
      <c r="HWQ16" s="314" t="s">
        <v>203</v>
      </c>
      <c r="HWR16" s="314" t="s">
        <v>203</v>
      </c>
      <c r="HWS16" s="314" t="s">
        <v>203</v>
      </c>
      <c r="HWT16" s="314" t="s">
        <v>203</v>
      </c>
      <c r="HWU16" s="314" t="s">
        <v>203</v>
      </c>
      <c r="HWV16" s="314" t="s">
        <v>203</v>
      </c>
      <c r="HWW16" s="314" t="s">
        <v>203</v>
      </c>
      <c r="HWX16" s="314" t="s">
        <v>203</v>
      </c>
      <c r="HWY16" s="314" t="s">
        <v>203</v>
      </c>
      <c r="HWZ16" s="314" t="s">
        <v>203</v>
      </c>
      <c r="HXA16" s="314" t="s">
        <v>203</v>
      </c>
      <c r="HXB16" s="314" t="s">
        <v>203</v>
      </c>
      <c r="HXC16" s="314" t="s">
        <v>203</v>
      </c>
      <c r="HXD16" s="314" t="s">
        <v>203</v>
      </c>
      <c r="HXE16" s="314" t="s">
        <v>203</v>
      </c>
      <c r="HXF16" s="314" t="s">
        <v>203</v>
      </c>
      <c r="HXG16" s="314" t="s">
        <v>203</v>
      </c>
      <c r="HXH16" s="314" t="s">
        <v>203</v>
      </c>
      <c r="HXI16" s="314" t="s">
        <v>203</v>
      </c>
      <c r="HXJ16" s="314" t="s">
        <v>203</v>
      </c>
      <c r="HXK16" s="314" t="s">
        <v>203</v>
      </c>
      <c r="HXL16" s="314" t="s">
        <v>203</v>
      </c>
      <c r="HXM16" s="314" t="s">
        <v>203</v>
      </c>
      <c r="HXN16" s="314" t="s">
        <v>203</v>
      </c>
      <c r="HXO16" s="314" t="s">
        <v>203</v>
      </c>
      <c r="HXP16" s="314" t="s">
        <v>203</v>
      </c>
      <c r="HXQ16" s="314" t="s">
        <v>203</v>
      </c>
      <c r="HXR16" s="314" t="s">
        <v>203</v>
      </c>
      <c r="HXS16" s="314" t="s">
        <v>203</v>
      </c>
      <c r="HXT16" s="314" t="s">
        <v>203</v>
      </c>
      <c r="HXU16" s="314" t="s">
        <v>203</v>
      </c>
      <c r="HXV16" s="314" t="s">
        <v>203</v>
      </c>
      <c r="HXW16" s="314" t="s">
        <v>203</v>
      </c>
      <c r="HXX16" s="314" t="s">
        <v>203</v>
      </c>
      <c r="HXY16" s="314" t="s">
        <v>203</v>
      </c>
      <c r="HXZ16" s="314" t="s">
        <v>203</v>
      </c>
      <c r="HYA16" s="314" t="s">
        <v>203</v>
      </c>
      <c r="HYB16" s="314" t="s">
        <v>203</v>
      </c>
      <c r="HYC16" s="314" t="s">
        <v>203</v>
      </c>
      <c r="HYD16" s="314" t="s">
        <v>203</v>
      </c>
      <c r="HYE16" s="314" t="s">
        <v>203</v>
      </c>
      <c r="HYF16" s="314" t="s">
        <v>203</v>
      </c>
      <c r="HYG16" s="314" t="s">
        <v>203</v>
      </c>
      <c r="HYH16" s="314" t="s">
        <v>203</v>
      </c>
      <c r="HYI16" s="314" t="s">
        <v>203</v>
      </c>
      <c r="HYJ16" s="314" t="s">
        <v>203</v>
      </c>
      <c r="HYK16" s="314" t="s">
        <v>203</v>
      </c>
      <c r="HYL16" s="314" t="s">
        <v>203</v>
      </c>
      <c r="HYM16" s="314" t="s">
        <v>203</v>
      </c>
      <c r="HYN16" s="314" t="s">
        <v>203</v>
      </c>
      <c r="HYO16" s="314" t="s">
        <v>203</v>
      </c>
      <c r="HYP16" s="314" t="s">
        <v>203</v>
      </c>
      <c r="HYQ16" s="314" t="s">
        <v>203</v>
      </c>
      <c r="HYR16" s="314" t="s">
        <v>203</v>
      </c>
      <c r="HYS16" s="314" t="s">
        <v>203</v>
      </c>
      <c r="HYT16" s="314" t="s">
        <v>203</v>
      </c>
      <c r="HYU16" s="314" t="s">
        <v>203</v>
      </c>
      <c r="HYV16" s="314" t="s">
        <v>203</v>
      </c>
      <c r="HYW16" s="314" t="s">
        <v>203</v>
      </c>
      <c r="HYX16" s="314" t="s">
        <v>203</v>
      </c>
      <c r="HYY16" s="314" t="s">
        <v>203</v>
      </c>
      <c r="HYZ16" s="314" t="s">
        <v>203</v>
      </c>
      <c r="HZA16" s="314" t="s">
        <v>203</v>
      </c>
      <c r="HZB16" s="314" t="s">
        <v>203</v>
      </c>
      <c r="HZC16" s="314" t="s">
        <v>203</v>
      </c>
      <c r="HZD16" s="314" t="s">
        <v>203</v>
      </c>
      <c r="HZE16" s="314" t="s">
        <v>203</v>
      </c>
      <c r="HZF16" s="314" t="s">
        <v>203</v>
      </c>
      <c r="HZG16" s="314" t="s">
        <v>203</v>
      </c>
      <c r="HZH16" s="314" t="s">
        <v>203</v>
      </c>
      <c r="HZI16" s="314" t="s">
        <v>203</v>
      </c>
      <c r="HZJ16" s="314" t="s">
        <v>203</v>
      </c>
      <c r="HZK16" s="314" t="s">
        <v>203</v>
      </c>
      <c r="HZL16" s="314" t="s">
        <v>203</v>
      </c>
      <c r="HZM16" s="314" t="s">
        <v>203</v>
      </c>
      <c r="HZN16" s="314" t="s">
        <v>203</v>
      </c>
      <c r="HZO16" s="314" t="s">
        <v>203</v>
      </c>
      <c r="HZP16" s="314" t="s">
        <v>203</v>
      </c>
      <c r="HZQ16" s="314" t="s">
        <v>203</v>
      </c>
      <c r="HZR16" s="314" t="s">
        <v>203</v>
      </c>
      <c r="HZS16" s="314" t="s">
        <v>203</v>
      </c>
      <c r="HZT16" s="314" t="s">
        <v>203</v>
      </c>
      <c r="HZU16" s="314" t="s">
        <v>203</v>
      </c>
      <c r="HZV16" s="314" t="s">
        <v>203</v>
      </c>
      <c r="HZW16" s="314" t="s">
        <v>203</v>
      </c>
      <c r="HZX16" s="314" t="s">
        <v>203</v>
      </c>
      <c r="HZY16" s="314" t="s">
        <v>203</v>
      </c>
      <c r="HZZ16" s="314" t="s">
        <v>203</v>
      </c>
      <c r="IAA16" s="314" t="s">
        <v>203</v>
      </c>
      <c r="IAB16" s="314" t="s">
        <v>203</v>
      </c>
      <c r="IAC16" s="314" t="s">
        <v>203</v>
      </c>
      <c r="IAD16" s="314" t="s">
        <v>203</v>
      </c>
      <c r="IAE16" s="314" t="s">
        <v>203</v>
      </c>
      <c r="IAF16" s="314" t="s">
        <v>203</v>
      </c>
      <c r="IAG16" s="314" t="s">
        <v>203</v>
      </c>
      <c r="IAH16" s="314" t="s">
        <v>203</v>
      </c>
      <c r="IAI16" s="314" t="s">
        <v>203</v>
      </c>
      <c r="IAJ16" s="314" t="s">
        <v>203</v>
      </c>
      <c r="IAK16" s="314" t="s">
        <v>203</v>
      </c>
      <c r="IAL16" s="314" t="s">
        <v>203</v>
      </c>
      <c r="IAM16" s="314" t="s">
        <v>203</v>
      </c>
      <c r="IAN16" s="314" t="s">
        <v>203</v>
      </c>
      <c r="IAO16" s="314" t="s">
        <v>203</v>
      </c>
      <c r="IAP16" s="314" t="s">
        <v>203</v>
      </c>
      <c r="IAQ16" s="314" t="s">
        <v>203</v>
      </c>
      <c r="IAR16" s="314" t="s">
        <v>203</v>
      </c>
      <c r="IAS16" s="314" t="s">
        <v>203</v>
      </c>
      <c r="IAT16" s="314" t="s">
        <v>203</v>
      </c>
      <c r="IAU16" s="314" t="s">
        <v>203</v>
      </c>
      <c r="IAV16" s="314" t="s">
        <v>203</v>
      </c>
      <c r="IAW16" s="314" t="s">
        <v>203</v>
      </c>
      <c r="IAX16" s="314" t="s">
        <v>203</v>
      </c>
      <c r="IAY16" s="314" t="s">
        <v>203</v>
      </c>
      <c r="IAZ16" s="314" t="s">
        <v>203</v>
      </c>
      <c r="IBA16" s="314" t="s">
        <v>203</v>
      </c>
      <c r="IBB16" s="314" t="s">
        <v>203</v>
      </c>
      <c r="IBC16" s="314" t="s">
        <v>203</v>
      </c>
      <c r="IBD16" s="314" t="s">
        <v>203</v>
      </c>
      <c r="IBE16" s="314" t="s">
        <v>203</v>
      </c>
      <c r="IBF16" s="314" t="s">
        <v>203</v>
      </c>
      <c r="IBG16" s="314" t="s">
        <v>203</v>
      </c>
      <c r="IBH16" s="314" t="s">
        <v>203</v>
      </c>
      <c r="IBI16" s="314" t="s">
        <v>203</v>
      </c>
      <c r="IBJ16" s="314" t="s">
        <v>203</v>
      </c>
      <c r="IBK16" s="314" t="s">
        <v>203</v>
      </c>
      <c r="IBL16" s="314" t="s">
        <v>203</v>
      </c>
      <c r="IBM16" s="314" t="s">
        <v>203</v>
      </c>
      <c r="IBN16" s="314" t="s">
        <v>203</v>
      </c>
      <c r="IBO16" s="314" t="s">
        <v>203</v>
      </c>
      <c r="IBP16" s="314" t="s">
        <v>203</v>
      </c>
      <c r="IBQ16" s="314" t="s">
        <v>203</v>
      </c>
      <c r="IBR16" s="314" t="s">
        <v>203</v>
      </c>
      <c r="IBS16" s="314" t="s">
        <v>203</v>
      </c>
      <c r="IBT16" s="314" t="s">
        <v>203</v>
      </c>
      <c r="IBU16" s="314" t="s">
        <v>203</v>
      </c>
      <c r="IBV16" s="314" t="s">
        <v>203</v>
      </c>
      <c r="IBW16" s="314" t="s">
        <v>203</v>
      </c>
      <c r="IBX16" s="314" t="s">
        <v>203</v>
      </c>
      <c r="IBY16" s="314" t="s">
        <v>203</v>
      </c>
      <c r="IBZ16" s="314" t="s">
        <v>203</v>
      </c>
      <c r="ICA16" s="314" t="s">
        <v>203</v>
      </c>
      <c r="ICB16" s="314" t="s">
        <v>203</v>
      </c>
      <c r="ICC16" s="314" t="s">
        <v>203</v>
      </c>
      <c r="ICD16" s="314" t="s">
        <v>203</v>
      </c>
      <c r="ICE16" s="314" t="s">
        <v>203</v>
      </c>
      <c r="ICF16" s="314" t="s">
        <v>203</v>
      </c>
      <c r="ICG16" s="314" t="s">
        <v>203</v>
      </c>
      <c r="ICH16" s="314" t="s">
        <v>203</v>
      </c>
      <c r="ICI16" s="314" t="s">
        <v>203</v>
      </c>
      <c r="ICJ16" s="314" t="s">
        <v>203</v>
      </c>
      <c r="ICK16" s="314" t="s">
        <v>203</v>
      </c>
      <c r="ICL16" s="314" t="s">
        <v>203</v>
      </c>
      <c r="ICM16" s="314" t="s">
        <v>203</v>
      </c>
      <c r="ICN16" s="314" t="s">
        <v>203</v>
      </c>
      <c r="ICO16" s="314" t="s">
        <v>203</v>
      </c>
      <c r="ICP16" s="314" t="s">
        <v>203</v>
      </c>
      <c r="ICQ16" s="314" t="s">
        <v>203</v>
      </c>
      <c r="ICR16" s="314" t="s">
        <v>203</v>
      </c>
      <c r="ICS16" s="314" t="s">
        <v>203</v>
      </c>
      <c r="ICT16" s="314" t="s">
        <v>203</v>
      </c>
      <c r="ICU16" s="314" t="s">
        <v>203</v>
      </c>
      <c r="ICV16" s="314" t="s">
        <v>203</v>
      </c>
      <c r="ICW16" s="314" t="s">
        <v>203</v>
      </c>
      <c r="ICX16" s="314" t="s">
        <v>203</v>
      </c>
      <c r="ICY16" s="314" t="s">
        <v>203</v>
      </c>
      <c r="ICZ16" s="314" t="s">
        <v>203</v>
      </c>
      <c r="IDA16" s="314" t="s">
        <v>203</v>
      </c>
      <c r="IDB16" s="314" t="s">
        <v>203</v>
      </c>
      <c r="IDC16" s="314" t="s">
        <v>203</v>
      </c>
      <c r="IDD16" s="314" t="s">
        <v>203</v>
      </c>
      <c r="IDE16" s="314" t="s">
        <v>203</v>
      </c>
      <c r="IDF16" s="314" t="s">
        <v>203</v>
      </c>
      <c r="IDG16" s="314" t="s">
        <v>203</v>
      </c>
      <c r="IDH16" s="314" t="s">
        <v>203</v>
      </c>
      <c r="IDI16" s="314" t="s">
        <v>203</v>
      </c>
      <c r="IDJ16" s="314" t="s">
        <v>203</v>
      </c>
      <c r="IDK16" s="314" t="s">
        <v>203</v>
      </c>
      <c r="IDL16" s="314" t="s">
        <v>203</v>
      </c>
      <c r="IDM16" s="314" t="s">
        <v>203</v>
      </c>
      <c r="IDN16" s="314" t="s">
        <v>203</v>
      </c>
      <c r="IDO16" s="314" t="s">
        <v>203</v>
      </c>
      <c r="IDP16" s="314" t="s">
        <v>203</v>
      </c>
      <c r="IDQ16" s="314" t="s">
        <v>203</v>
      </c>
      <c r="IDR16" s="314" t="s">
        <v>203</v>
      </c>
      <c r="IDS16" s="314" t="s">
        <v>203</v>
      </c>
      <c r="IDT16" s="314" t="s">
        <v>203</v>
      </c>
      <c r="IDU16" s="314" t="s">
        <v>203</v>
      </c>
      <c r="IDV16" s="314" t="s">
        <v>203</v>
      </c>
      <c r="IDW16" s="314" t="s">
        <v>203</v>
      </c>
      <c r="IDX16" s="314" t="s">
        <v>203</v>
      </c>
      <c r="IDY16" s="314" t="s">
        <v>203</v>
      </c>
      <c r="IDZ16" s="314" t="s">
        <v>203</v>
      </c>
      <c r="IEA16" s="314" t="s">
        <v>203</v>
      </c>
      <c r="IEB16" s="314" t="s">
        <v>203</v>
      </c>
      <c r="IEC16" s="314" t="s">
        <v>203</v>
      </c>
      <c r="IED16" s="314" t="s">
        <v>203</v>
      </c>
      <c r="IEE16" s="314" t="s">
        <v>203</v>
      </c>
      <c r="IEF16" s="314" t="s">
        <v>203</v>
      </c>
      <c r="IEG16" s="314" t="s">
        <v>203</v>
      </c>
      <c r="IEH16" s="314" t="s">
        <v>203</v>
      </c>
      <c r="IEI16" s="314" t="s">
        <v>203</v>
      </c>
      <c r="IEJ16" s="314" t="s">
        <v>203</v>
      </c>
      <c r="IEK16" s="314" t="s">
        <v>203</v>
      </c>
      <c r="IEL16" s="314" t="s">
        <v>203</v>
      </c>
      <c r="IEM16" s="314" t="s">
        <v>203</v>
      </c>
      <c r="IEN16" s="314" t="s">
        <v>203</v>
      </c>
      <c r="IEO16" s="314" t="s">
        <v>203</v>
      </c>
      <c r="IEP16" s="314" t="s">
        <v>203</v>
      </c>
      <c r="IEQ16" s="314" t="s">
        <v>203</v>
      </c>
      <c r="IER16" s="314" t="s">
        <v>203</v>
      </c>
      <c r="IES16" s="314" t="s">
        <v>203</v>
      </c>
      <c r="IET16" s="314" t="s">
        <v>203</v>
      </c>
      <c r="IEU16" s="314" t="s">
        <v>203</v>
      </c>
      <c r="IEV16" s="314" t="s">
        <v>203</v>
      </c>
      <c r="IEW16" s="314" t="s">
        <v>203</v>
      </c>
      <c r="IEX16" s="314" t="s">
        <v>203</v>
      </c>
      <c r="IEY16" s="314" t="s">
        <v>203</v>
      </c>
      <c r="IEZ16" s="314" t="s">
        <v>203</v>
      </c>
      <c r="IFA16" s="314" t="s">
        <v>203</v>
      </c>
      <c r="IFB16" s="314" t="s">
        <v>203</v>
      </c>
      <c r="IFC16" s="314" t="s">
        <v>203</v>
      </c>
      <c r="IFD16" s="314" t="s">
        <v>203</v>
      </c>
      <c r="IFE16" s="314" t="s">
        <v>203</v>
      </c>
      <c r="IFF16" s="314" t="s">
        <v>203</v>
      </c>
      <c r="IFG16" s="314" t="s">
        <v>203</v>
      </c>
      <c r="IFH16" s="314" t="s">
        <v>203</v>
      </c>
      <c r="IFI16" s="314" t="s">
        <v>203</v>
      </c>
      <c r="IFJ16" s="314" t="s">
        <v>203</v>
      </c>
      <c r="IFK16" s="314" t="s">
        <v>203</v>
      </c>
      <c r="IFL16" s="314" t="s">
        <v>203</v>
      </c>
      <c r="IFM16" s="314" t="s">
        <v>203</v>
      </c>
      <c r="IFN16" s="314" t="s">
        <v>203</v>
      </c>
      <c r="IFO16" s="314" t="s">
        <v>203</v>
      </c>
      <c r="IFP16" s="314" t="s">
        <v>203</v>
      </c>
      <c r="IFQ16" s="314" t="s">
        <v>203</v>
      </c>
      <c r="IFR16" s="314" t="s">
        <v>203</v>
      </c>
      <c r="IFS16" s="314" t="s">
        <v>203</v>
      </c>
      <c r="IFT16" s="314" t="s">
        <v>203</v>
      </c>
      <c r="IFU16" s="314" t="s">
        <v>203</v>
      </c>
      <c r="IFV16" s="314" t="s">
        <v>203</v>
      </c>
      <c r="IFW16" s="314" t="s">
        <v>203</v>
      </c>
      <c r="IFX16" s="314" t="s">
        <v>203</v>
      </c>
      <c r="IFY16" s="314" t="s">
        <v>203</v>
      </c>
      <c r="IFZ16" s="314" t="s">
        <v>203</v>
      </c>
      <c r="IGA16" s="314" t="s">
        <v>203</v>
      </c>
      <c r="IGB16" s="314" t="s">
        <v>203</v>
      </c>
      <c r="IGC16" s="314" t="s">
        <v>203</v>
      </c>
      <c r="IGD16" s="314" t="s">
        <v>203</v>
      </c>
      <c r="IGE16" s="314" t="s">
        <v>203</v>
      </c>
      <c r="IGF16" s="314" t="s">
        <v>203</v>
      </c>
      <c r="IGG16" s="314" t="s">
        <v>203</v>
      </c>
      <c r="IGH16" s="314" t="s">
        <v>203</v>
      </c>
      <c r="IGI16" s="314" t="s">
        <v>203</v>
      </c>
      <c r="IGJ16" s="314" t="s">
        <v>203</v>
      </c>
      <c r="IGK16" s="314" t="s">
        <v>203</v>
      </c>
      <c r="IGL16" s="314" t="s">
        <v>203</v>
      </c>
      <c r="IGM16" s="314" t="s">
        <v>203</v>
      </c>
      <c r="IGN16" s="314" t="s">
        <v>203</v>
      </c>
      <c r="IGO16" s="314" t="s">
        <v>203</v>
      </c>
      <c r="IGP16" s="314" t="s">
        <v>203</v>
      </c>
      <c r="IGQ16" s="314" t="s">
        <v>203</v>
      </c>
      <c r="IGR16" s="314" t="s">
        <v>203</v>
      </c>
      <c r="IGS16" s="314" t="s">
        <v>203</v>
      </c>
      <c r="IGT16" s="314" t="s">
        <v>203</v>
      </c>
      <c r="IGU16" s="314" t="s">
        <v>203</v>
      </c>
      <c r="IGV16" s="314" t="s">
        <v>203</v>
      </c>
      <c r="IGW16" s="314" t="s">
        <v>203</v>
      </c>
      <c r="IGX16" s="314" t="s">
        <v>203</v>
      </c>
      <c r="IGY16" s="314" t="s">
        <v>203</v>
      </c>
      <c r="IGZ16" s="314" t="s">
        <v>203</v>
      </c>
      <c r="IHA16" s="314" t="s">
        <v>203</v>
      </c>
      <c r="IHB16" s="314" t="s">
        <v>203</v>
      </c>
      <c r="IHC16" s="314" t="s">
        <v>203</v>
      </c>
      <c r="IHD16" s="314" t="s">
        <v>203</v>
      </c>
      <c r="IHE16" s="314" t="s">
        <v>203</v>
      </c>
      <c r="IHF16" s="314" t="s">
        <v>203</v>
      </c>
      <c r="IHG16" s="314" t="s">
        <v>203</v>
      </c>
      <c r="IHH16" s="314" t="s">
        <v>203</v>
      </c>
      <c r="IHI16" s="314" t="s">
        <v>203</v>
      </c>
      <c r="IHJ16" s="314" t="s">
        <v>203</v>
      </c>
      <c r="IHK16" s="314" t="s">
        <v>203</v>
      </c>
      <c r="IHL16" s="314" t="s">
        <v>203</v>
      </c>
      <c r="IHM16" s="314" t="s">
        <v>203</v>
      </c>
      <c r="IHN16" s="314" t="s">
        <v>203</v>
      </c>
      <c r="IHO16" s="314" t="s">
        <v>203</v>
      </c>
      <c r="IHP16" s="314" t="s">
        <v>203</v>
      </c>
      <c r="IHQ16" s="314" t="s">
        <v>203</v>
      </c>
      <c r="IHR16" s="314" t="s">
        <v>203</v>
      </c>
      <c r="IHS16" s="314" t="s">
        <v>203</v>
      </c>
      <c r="IHT16" s="314" t="s">
        <v>203</v>
      </c>
      <c r="IHU16" s="314" t="s">
        <v>203</v>
      </c>
      <c r="IHV16" s="314" t="s">
        <v>203</v>
      </c>
      <c r="IHW16" s="314" t="s">
        <v>203</v>
      </c>
      <c r="IHX16" s="314" t="s">
        <v>203</v>
      </c>
      <c r="IHY16" s="314" t="s">
        <v>203</v>
      </c>
      <c r="IHZ16" s="314" t="s">
        <v>203</v>
      </c>
      <c r="IIA16" s="314" t="s">
        <v>203</v>
      </c>
      <c r="IIB16" s="314" t="s">
        <v>203</v>
      </c>
      <c r="IIC16" s="314" t="s">
        <v>203</v>
      </c>
      <c r="IID16" s="314" t="s">
        <v>203</v>
      </c>
      <c r="IIE16" s="314" t="s">
        <v>203</v>
      </c>
      <c r="IIF16" s="314" t="s">
        <v>203</v>
      </c>
      <c r="IIG16" s="314" t="s">
        <v>203</v>
      </c>
      <c r="IIH16" s="314" t="s">
        <v>203</v>
      </c>
      <c r="III16" s="314" t="s">
        <v>203</v>
      </c>
      <c r="IIJ16" s="314" t="s">
        <v>203</v>
      </c>
      <c r="IIK16" s="314" t="s">
        <v>203</v>
      </c>
      <c r="IIL16" s="314" t="s">
        <v>203</v>
      </c>
      <c r="IIM16" s="314" t="s">
        <v>203</v>
      </c>
      <c r="IIN16" s="314" t="s">
        <v>203</v>
      </c>
      <c r="IIO16" s="314" t="s">
        <v>203</v>
      </c>
      <c r="IIP16" s="314" t="s">
        <v>203</v>
      </c>
      <c r="IIQ16" s="314" t="s">
        <v>203</v>
      </c>
      <c r="IIR16" s="314" t="s">
        <v>203</v>
      </c>
      <c r="IIS16" s="314" t="s">
        <v>203</v>
      </c>
      <c r="IIT16" s="314" t="s">
        <v>203</v>
      </c>
      <c r="IIU16" s="314" t="s">
        <v>203</v>
      </c>
      <c r="IIV16" s="314" t="s">
        <v>203</v>
      </c>
      <c r="IIW16" s="314" t="s">
        <v>203</v>
      </c>
      <c r="IIX16" s="314" t="s">
        <v>203</v>
      </c>
      <c r="IIY16" s="314" t="s">
        <v>203</v>
      </c>
      <c r="IIZ16" s="314" t="s">
        <v>203</v>
      </c>
      <c r="IJA16" s="314" t="s">
        <v>203</v>
      </c>
      <c r="IJB16" s="314" t="s">
        <v>203</v>
      </c>
      <c r="IJC16" s="314" t="s">
        <v>203</v>
      </c>
      <c r="IJD16" s="314" t="s">
        <v>203</v>
      </c>
      <c r="IJE16" s="314" t="s">
        <v>203</v>
      </c>
      <c r="IJF16" s="314" t="s">
        <v>203</v>
      </c>
      <c r="IJG16" s="314" t="s">
        <v>203</v>
      </c>
      <c r="IJH16" s="314" t="s">
        <v>203</v>
      </c>
      <c r="IJI16" s="314" t="s">
        <v>203</v>
      </c>
      <c r="IJJ16" s="314" t="s">
        <v>203</v>
      </c>
      <c r="IJK16" s="314" t="s">
        <v>203</v>
      </c>
      <c r="IJL16" s="314" t="s">
        <v>203</v>
      </c>
      <c r="IJM16" s="314" t="s">
        <v>203</v>
      </c>
      <c r="IJN16" s="314" t="s">
        <v>203</v>
      </c>
      <c r="IJO16" s="314" t="s">
        <v>203</v>
      </c>
      <c r="IJP16" s="314" t="s">
        <v>203</v>
      </c>
      <c r="IJQ16" s="314" t="s">
        <v>203</v>
      </c>
      <c r="IJR16" s="314" t="s">
        <v>203</v>
      </c>
      <c r="IJS16" s="314" t="s">
        <v>203</v>
      </c>
      <c r="IJT16" s="314" t="s">
        <v>203</v>
      </c>
      <c r="IJU16" s="314" t="s">
        <v>203</v>
      </c>
      <c r="IJV16" s="314" t="s">
        <v>203</v>
      </c>
      <c r="IJW16" s="314" t="s">
        <v>203</v>
      </c>
      <c r="IJX16" s="314" t="s">
        <v>203</v>
      </c>
      <c r="IJY16" s="314" t="s">
        <v>203</v>
      </c>
      <c r="IJZ16" s="314" t="s">
        <v>203</v>
      </c>
      <c r="IKA16" s="314" t="s">
        <v>203</v>
      </c>
      <c r="IKB16" s="314" t="s">
        <v>203</v>
      </c>
      <c r="IKC16" s="314" t="s">
        <v>203</v>
      </c>
      <c r="IKD16" s="314" t="s">
        <v>203</v>
      </c>
      <c r="IKE16" s="314" t="s">
        <v>203</v>
      </c>
      <c r="IKF16" s="314" t="s">
        <v>203</v>
      </c>
      <c r="IKG16" s="314" t="s">
        <v>203</v>
      </c>
      <c r="IKH16" s="314" t="s">
        <v>203</v>
      </c>
      <c r="IKI16" s="314" t="s">
        <v>203</v>
      </c>
      <c r="IKJ16" s="314" t="s">
        <v>203</v>
      </c>
      <c r="IKK16" s="314" t="s">
        <v>203</v>
      </c>
      <c r="IKL16" s="314" t="s">
        <v>203</v>
      </c>
      <c r="IKM16" s="314" t="s">
        <v>203</v>
      </c>
      <c r="IKN16" s="314" t="s">
        <v>203</v>
      </c>
      <c r="IKO16" s="314" t="s">
        <v>203</v>
      </c>
      <c r="IKP16" s="314" t="s">
        <v>203</v>
      </c>
      <c r="IKQ16" s="314" t="s">
        <v>203</v>
      </c>
      <c r="IKR16" s="314" t="s">
        <v>203</v>
      </c>
      <c r="IKS16" s="314" t="s">
        <v>203</v>
      </c>
      <c r="IKT16" s="314" t="s">
        <v>203</v>
      </c>
      <c r="IKU16" s="314" t="s">
        <v>203</v>
      </c>
      <c r="IKV16" s="314" t="s">
        <v>203</v>
      </c>
      <c r="IKW16" s="314" t="s">
        <v>203</v>
      </c>
      <c r="IKX16" s="314" t="s">
        <v>203</v>
      </c>
      <c r="IKY16" s="314" t="s">
        <v>203</v>
      </c>
      <c r="IKZ16" s="314" t="s">
        <v>203</v>
      </c>
      <c r="ILA16" s="314" t="s">
        <v>203</v>
      </c>
      <c r="ILB16" s="314" t="s">
        <v>203</v>
      </c>
      <c r="ILC16" s="314" t="s">
        <v>203</v>
      </c>
      <c r="ILD16" s="314" t="s">
        <v>203</v>
      </c>
      <c r="ILE16" s="314" t="s">
        <v>203</v>
      </c>
      <c r="ILF16" s="314" t="s">
        <v>203</v>
      </c>
      <c r="ILG16" s="314" t="s">
        <v>203</v>
      </c>
      <c r="ILH16" s="314" t="s">
        <v>203</v>
      </c>
      <c r="ILI16" s="314" t="s">
        <v>203</v>
      </c>
      <c r="ILJ16" s="314" t="s">
        <v>203</v>
      </c>
      <c r="ILK16" s="314" t="s">
        <v>203</v>
      </c>
      <c r="ILL16" s="314" t="s">
        <v>203</v>
      </c>
      <c r="ILM16" s="314" t="s">
        <v>203</v>
      </c>
      <c r="ILN16" s="314" t="s">
        <v>203</v>
      </c>
      <c r="ILO16" s="314" t="s">
        <v>203</v>
      </c>
      <c r="ILP16" s="314" t="s">
        <v>203</v>
      </c>
      <c r="ILQ16" s="314" t="s">
        <v>203</v>
      </c>
      <c r="ILR16" s="314" t="s">
        <v>203</v>
      </c>
      <c r="ILS16" s="314" t="s">
        <v>203</v>
      </c>
      <c r="ILT16" s="314" t="s">
        <v>203</v>
      </c>
      <c r="ILU16" s="314" t="s">
        <v>203</v>
      </c>
      <c r="ILV16" s="314" t="s">
        <v>203</v>
      </c>
      <c r="ILW16" s="314" t="s">
        <v>203</v>
      </c>
      <c r="ILX16" s="314" t="s">
        <v>203</v>
      </c>
      <c r="ILY16" s="314" t="s">
        <v>203</v>
      </c>
      <c r="ILZ16" s="314" t="s">
        <v>203</v>
      </c>
      <c r="IMA16" s="314" t="s">
        <v>203</v>
      </c>
      <c r="IMB16" s="314" t="s">
        <v>203</v>
      </c>
      <c r="IMC16" s="314" t="s">
        <v>203</v>
      </c>
      <c r="IMD16" s="314" t="s">
        <v>203</v>
      </c>
      <c r="IME16" s="314" t="s">
        <v>203</v>
      </c>
      <c r="IMF16" s="314" t="s">
        <v>203</v>
      </c>
      <c r="IMG16" s="314" t="s">
        <v>203</v>
      </c>
      <c r="IMH16" s="314" t="s">
        <v>203</v>
      </c>
      <c r="IMI16" s="314" t="s">
        <v>203</v>
      </c>
      <c r="IMJ16" s="314" t="s">
        <v>203</v>
      </c>
      <c r="IMK16" s="314" t="s">
        <v>203</v>
      </c>
      <c r="IML16" s="314" t="s">
        <v>203</v>
      </c>
      <c r="IMM16" s="314" t="s">
        <v>203</v>
      </c>
      <c r="IMN16" s="314" t="s">
        <v>203</v>
      </c>
      <c r="IMO16" s="314" t="s">
        <v>203</v>
      </c>
      <c r="IMP16" s="314" t="s">
        <v>203</v>
      </c>
      <c r="IMQ16" s="314" t="s">
        <v>203</v>
      </c>
      <c r="IMR16" s="314" t="s">
        <v>203</v>
      </c>
      <c r="IMS16" s="314" t="s">
        <v>203</v>
      </c>
      <c r="IMT16" s="314" t="s">
        <v>203</v>
      </c>
      <c r="IMU16" s="314" t="s">
        <v>203</v>
      </c>
      <c r="IMV16" s="314" t="s">
        <v>203</v>
      </c>
      <c r="IMW16" s="314" t="s">
        <v>203</v>
      </c>
      <c r="IMX16" s="314" t="s">
        <v>203</v>
      </c>
      <c r="IMY16" s="314" t="s">
        <v>203</v>
      </c>
      <c r="IMZ16" s="314" t="s">
        <v>203</v>
      </c>
      <c r="INA16" s="314" t="s">
        <v>203</v>
      </c>
      <c r="INB16" s="314" t="s">
        <v>203</v>
      </c>
      <c r="INC16" s="314" t="s">
        <v>203</v>
      </c>
      <c r="IND16" s="314" t="s">
        <v>203</v>
      </c>
      <c r="INE16" s="314" t="s">
        <v>203</v>
      </c>
      <c r="INF16" s="314" t="s">
        <v>203</v>
      </c>
      <c r="ING16" s="314" t="s">
        <v>203</v>
      </c>
      <c r="INH16" s="314" t="s">
        <v>203</v>
      </c>
      <c r="INI16" s="314" t="s">
        <v>203</v>
      </c>
      <c r="INJ16" s="314" t="s">
        <v>203</v>
      </c>
      <c r="INK16" s="314" t="s">
        <v>203</v>
      </c>
      <c r="INL16" s="314" t="s">
        <v>203</v>
      </c>
      <c r="INM16" s="314" t="s">
        <v>203</v>
      </c>
      <c r="INN16" s="314" t="s">
        <v>203</v>
      </c>
      <c r="INO16" s="314" t="s">
        <v>203</v>
      </c>
      <c r="INP16" s="314" t="s">
        <v>203</v>
      </c>
      <c r="INQ16" s="314" t="s">
        <v>203</v>
      </c>
      <c r="INR16" s="314" t="s">
        <v>203</v>
      </c>
      <c r="INS16" s="314" t="s">
        <v>203</v>
      </c>
      <c r="INT16" s="314" t="s">
        <v>203</v>
      </c>
      <c r="INU16" s="314" t="s">
        <v>203</v>
      </c>
      <c r="INV16" s="314" t="s">
        <v>203</v>
      </c>
      <c r="INW16" s="314" t="s">
        <v>203</v>
      </c>
      <c r="INX16" s="314" t="s">
        <v>203</v>
      </c>
      <c r="INY16" s="314" t="s">
        <v>203</v>
      </c>
      <c r="INZ16" s="314" t="s">
        <v>203</v>
      </c>
      <c r="IOA16" s="314" t="s">
        <v>203</v>
      </c>
      <c r="IOB16" s="314" t="s">
        <v>203</v>
      </c>
      <c r="IOC16" s="314" t="s">
        <v>203</v>
      </c>
      <c r="IOD16" s="314" t="s">
        <v>203</v>
      </c>
      <c r="IOE16" s="314" t="s">
        <v>203</v>
      </c>
      <c r="IOF16" s="314" t="s">
        <v>203</v>
      </c>
      <c r="IOG16" s="314" t="s">
        <v>203</v>
      </c>
      <c r="IOH16" s="314" t="s">
        <v>203</v>
      </c>
      <c r="IOI16" s="314" t="s">
        <v>203</v>
      </c>
      <c r="IOJ16" s="314" t="s">
        <v>203</v>
      </c>
      <c r="IOK16" s="314" t="s">
        <v>203</v>
      </c>
      <c r="IOL16" s="314" t="s">
        <v>203</v>
      </c>
      <c r="IOM16" s="314" t="s">
        <v>203</v>
      </c>
      <c r="ION16" s="314" t="s">
        <v>203</v>
      </c>
      <c r="IOO16" s="314" t="s">
        <v>203</v>
      </c>
      <c r="IOP16" s="314" t="s">
        <v>203</v>
      </c>
      <c r="IOQ16" s="314" t="s">
        <v>203</v>
      </c>
      <c r="IOR16" s="314" t="s">
        <v>203</v>
      </c>
      <c r="IOS16" s="314" t="s">
        <v>203</v>
      </c>
      <c r="IOT16" s="314" t="s">
        <v>203</v>
      </c>
      <c r="IOU16" s="314" t="s">
        <v>203</v>
      </c>
      <c r="IOV16" s="314" t="s">
        <v>203</v>
      </c>
      <c r="IOW16" s="314" t="s">
        <v>203</v>
      </c>
      <c r="IOX16" s="314" t="s">
        <v>203</v>
      </c>
      <c r="IOY16" s="314" t="s">
        <v>203</v>
      </c>
      <c r="IOZ16" s="314" t="s">
        <v>203</v>
      </c>
      <c r="IPA16" s="314" t="s">
        <v>203</v>
      </c>
      <c r="IPB16" s="314" t="s">
        <v>203</v>
      </c>
      <c r="IPC16" s="314" t="s">
        <v>203</v>
      </c>
      <c r="IPD16" s="314" t="s">
        <v>203</v>
      </c>
      <c r="IPE16" s="314" t="s">
        <v>203</v>
      </c>
      <c r="IPF16" s="314" t="s">
        <v>203</v>
      </c>
      <c r="IPG16" s="314" t="s">
        <v>203</v>
      </c>
      <c r="IPH16" s="314" t="s">
        <v>203</v>
      </c>
      <c r="IPI16" s="314" t="s">
        <v>203</v>
      </c>
      <c r="IPJ16" s="314" t="s">
        <v>203</v>
      </c>
      <c r="IPK16" s="314" t="s">
        <v>203</v>
      </c>
      <c r="IPL16" s="314" t="s">
        <v>203</v>
      </c>
      <c r="IPM16" s="314" t="s">
        <v>203</v>
      </c>
      <c r="IPN16" s="314" t="s">
        <v>203</v>
      </c>
      <c r="IPO16" s="314" t="s">
        <v>203</v>
      </c>
      <c r="IPP16" s="314" t="s">
        <v>203</v>
      </c>
      <c r="IPQ16" s="314" t="s">
        <v>203</v>
      </c>
      <c r="IPR16" s="314" t="s">
        <v>203</v>
      </c>
      <c r="IPS16" s="314" t="s">
        <v>203</v>
      </c>
      <c r="IPT16" s="314" t="s">
        <v>203</v>
      </c>
      <c r="IPU16" s="314" t="s">
        <v>203</v>
      </c>
      <c r="IPV16" s="314" t="s">
        <v>203</v>
      </c>
      <c r="IPW16" s="314" t="s">
        <v>203</v>
      </c>
      <c r="IPX16" s="314" t="s">
        <v>203</v>
      </c>
      <c r="IPY16" s="314" t="s">
        <v>203</v>
      </c>
      <c r="IPZ16" s="314" t="s">
        <v>203</v>
      </c>
      <c r="IQA16" s="314" t="s">
        <v>203</v>
      </c>
      <c r="IQB16" s="314" t="s">
        <v>203</v>
      </c>
      <c r="IQC16" s="314" t="s">
        <v>203</v>
      </c>
      <c r="IQD16" s="314" t="s">
        <v>203</v>
      </c>
      <c r="IQE16" s="314" t="s">
        <v>203</v>
      </c>
      <c r="IQF16" s="314" t="s">
        <v>203</v>
      </c>
      <c r="IQG16" s="314" t="s">
        <v>203</v>
      </c>
      <c r="IQH16" s="314" t="s">
        <v>203</v>
      </c>
      <c r="IQI16" s="314" t="s">
        <v>203</v>
      </c>
      <c r="IQJ16" s="314" t="s">
        <v>203</v>
      </c>
      <c r="IQK16" s="314" t="s">
        <v>203</v>
      </c>
      <c r="IQL16" s="314" t="s">
        <v>203</v>
      </c>
      <c r="IQM16" s="314" t="s">
        <v>203</v>
      </c>
      <c r="IQN16" s="314" t="s">
        <v>203</v>
      </c>
      <c r="IQO16" s="314" t="s">
        <v>203</v>
      </c>
      <c r="IQP16" s="314" t="s">
        <v>203</v>
      </c>
      <c r="IQQ16" s="314" t="s">
        <v>203</v>
      </c>
      <c r="IQR16" s="314" t="s">
        <v>203</v>
      </c>
      <c r="IQS16" s="314" t="s">
        <v>203</v>
      </c>
      <c r="IQT16" s="314" t="s">
        <v>203</v>
      </c>
      <c r="IQU16" s="314" t="s">
        <v>203</v>
      </c>
      <c r="IQV16" s="314" t="s">
        <v>203</v>
      </c>
      <c r="IQW16" s="314" t="s">
        <v>203</v>
      </c>
      <c r="IQX16" s="314" t="s">
        <v>203</v>
      </c>
      <c r="IQY16" s="314" t="s">
        <v>203</v>
      </c>
      <c r="IQZ16" s="314" t="s">
        <v>203</v>
      </c>
      <c r="IRA16" s="314" t="s">
        <v>203</v>
      </c>
      <c r="IRB16" s="314" t="s">
        <v>203</v>
      </c>
      <c r="IRC16" s="314" t="s">
        <v>203</v>
      </c>
      <c r="IRD16" s="314" t="s">
        <v>203</v>
      </c>
      <c r="IRE16" s="314" t="s">
        <v>203</v>
      </c>
      <c r="IRF16" s="314" t="s">
        <v>203</v>
      </c>
      <c r="IRG16" s="314" t="s">
        <v>203</v>
      </c>
      <c r="IRH16" s="314" t="s">
        <v>203</v>
      </c>
      <c r="IRI16" s="314" t="s">
        <v>203</v>
      </c>
      <c r="IRJ16" s="314" t="s">
        <v>203</v>
      </c>
      <c r="IRK16" s="314" t="s">
        <v>203</v>
      </c>
      <c r="IRL16" s="314" t="s">
        <v>203</v>
      </c>
      <c r="IRM16" s="314" t="s">
        <v>203</v>
      </c>
      <c r="IRN16" s="314" t="s">
        <v>203</v>
      </c>
      <c r="IRO16" s="314" t="s">
        <v>203</v>
      </c>
      <c r="IRP16" s="314" t="s">
        <v>203</v>
      </c>
      <c r="IRQ16" s="314" t="s">
        <v>203</v>
      </c>
      <c r="IRR16" s="314" t="s">
        <v>203</v>
      </c>
      <c r="IRS16" s="314" t="s">
        <v>203</v>
      </c>
      <c r="IRT16" s="314" t="s">
        <v>203</v>
      </c>
      <c r="IRU16" s="314" t="s">
        <v>203</v>
      </c>
      <c r="IRV16" s="314" t="s">
        <v>203</v>
      </c>
      <c r="IRW16" s="314" t="s">
        <v>203</v>
      </c>
      <c r="IRX16" s="314" t="s">
        <v>203</v>
      </c>
      <c r="IRY16" s="314" t="s">
        <v>203</v>
      </c>
      <c r="IRZ16" s="314" t="s">
        <v>203</v>
      </c>
      <c r="ISA16" s="314" t="s">
        <v>203</v>
      </c>
      <c r="ISB16" s="314" t="s">
        <v>203</v>
      </c>
      <c r="ISC16" s="314" t="s">
        <v>203</v>
      </c>
      <c r="ISD16" s="314" t="s">
        <v>203</v>
      </c>
      <c r="ISE16" s="314" t="s">
        <v>203</v>
      </c>
      <c r="ISF16" s="314" t="s">
        <v>203</v>
      </c>
      <c r="ISG16" s="314" t="s">
        <v>203</v>
      </c>
      <c r="ISH16" s="314" t="s">
        <v>203</v>
      </c>
      <c r="ISI16" s="314" t="s">
        <v>203</v>
      </c>
      <c r="ISJ16" s="314" t="s">
        <v>203</v>
      </c>
      <c r="ISK16" s="314" t="s">
        <v>203</v>
      </c>
      <c r="ISL16" s="314" t="s">
        <v>203</v>
      </c>
      <c r="ISM16" s="314" t="s">
        <v>203</v>
      </c>
      <c r="ISN16" s="314" t="s">
        <v>203</v>
      </c>
      <c r="ISO16" s="314" t="s">
        <v>203</v>
      </c>
      <c r="ISP16" s="314" t="s">
        <v>203</v>
      </c>
      <c r="ISQ16" s="314" t="s">
        <v>203</v>
      </c>
      <c r="ISR16" s="314" t="s">
        <v>203</v>
      </c>
      <c r="ISS16" s="314" t="s">
        <v>203</v>
      </c>
      <c r="IST16" s="314" t="s">
        <v>203</v>
      </c>
      <c r="ISU16" s="314" t="s">
        <v>203</v>
      </c>
      <c r="ISV16" s="314" t="s">
        <v>203</v>
      </c>
      <c r="ISW16" s="314" t="s">
        <v>203</v>
      </c>
      <c r="ISX16" s="314" t="s">
        <v>203</v>
      </c>
      <c r="ISY16" s="314" t="s">
        <v>203</v>
      </c>
      <c r="ISZ16" s="314" t="s">
        <v>203</v>
      </c>
      <c r="ITA16" s="314" t="s">
        <v>203</v>
      </c>
      <c r="ITB16" s="314" t="s">
        <v>203</v>
      </c>
      <c r="ITC16" s="314" t="s">
        <v>203</v>
      </c>
      <c r="ITD16" s="314" t="s">
        <v>203</v>
      </c>
      <c r="ITE16" s="314" t="s">
        <v>203</v>
      </c>
      <c r="ITF16" s="314" t="s">
        <v>203</v>
      </c>
      <c r="ITG16" s="314" t="s">
        <v>203</v>
      </c>
      <c r="ITH16" s="314" t="s">
        <v>203</v>
      </c>
      <c r="ITI16" s="314" t="s">
        <v>203</v>
      </c>
      <c r="ITJ16" s="314" t="s">
        <v>203</v>
      </c>
      <c r="ITK16" s="314" t="s">
        <v>203</v>
      </c>
      <c r="ITL16" s="314" t="s">
        <v>203</v>
      </c>
      <c r="ITM16" s="314" t="s">
        <v>203</v>
      </c>
      <c r="ITN16" s="314" t="s">
        <v>203</v>
      </c>
      <c r="ITO16" s="314" t="s">
        <v>203</v>
      </c>
      <c r="ITP16" s="314" t="s">
        <v>203</v>
      </c>
      <c r="ITQ16" s="314" t="s">
        <v>203</v>
      </c>
      <c r="ITR16" s="314" t="s">
        <v>203</v>
      </c>
      <c r="ITS16" s="314" t="s">
        <v>203</v>
      </c>
      <c r="ITT16" s="314" t="s">
        <v>203</v>
      </c>
      <c r="ITU16" s="314" t="s">
        <v>203</v>
      </c>
      <c r="ITV16" s="314" t="s">
        <v>203</v>
      </c>
      <c r="ITW16" s="314" t="s">
        <v>203</v>
      </c>
      <c r="ITX16" s="314" t="s">
        <v>203</v>
      </c>
      <c r="ITY16" s="314" t="s">
        <v>203</v>
      </c>
      <c r="ITZ16" s="314" t="s">
        <v>203</v>
      </c>
      <c r="IUA16" s="314" t="s">
        <v>203</v>
      </c>
      <c r="IUB16" s="314" t="s">
        <v>203</v>
      </c>
      <c r="IUC16" s="314" t="s">
        <v>203</v>
      </c>
      <c r="IUD16" s="314" t="s">
        <v>203</v>
      </c>
      <c r="IUE16" s="314" t="s">
        <v>203</v>
      </c>
      <c r="IUF16" s="314" t="s">
        <v>203</v>
      </c>
      <c r="IUG16" s="314" t="s">
        <v>203</v>
      </c>
      <c r="IUH16" s="314" t="s">
        <v>203</v>
      </c>
      <c r="IUI16" s="314" t="s">
        <v>203</v>
      </c>
      <c r="IUJ16" s="314" t="s">
        <v>203</v>
      </c>
      <c r="IUK16" s="314" t="s">
        <v>203</v>
      </c>
      <c r="IUL16" s="314" t="s">
        <v>203</v>
      </c>
      <c r="IUM16" s="314" t="s">
        <v>203</v>
      </c>
      <c r="IUN16" s="314" t="s">
        <v>203</v>
      </c>
      <c r="IUO16" s="314" t="s">
        <v>203</v>
      </c>
      <c r="IUP16" s="314" t="s">
        <v>203</v>
      </c>
      <c r="IUQ16" s="314" t="s">
        <v>203</v>
      </c>
      <c r="IUR16" s="314" t="s">
        <v>203</v>
      </c>
      <c r="IUS16" s="314" t="s">
        <v>203</v>
      </c>
      <c r="IUT16" s="314" t="s">
        <v>203</v>
      </c>
      <c r="IUU16" s="314" t="s">
        <v>203</v>
      </c>
      <c r="IUV16" s="314" t="s">
        <v>203</v>
      </c>
      <c r="IUW16" s="314" t="s">
        <v>203</v>
      </c>
      <c r="IUX16" s="314" t="s">
        <v>203</v>
      </c>
      <c r="IUY16" s="314" t="s">
        <v>203</v>
      </c>
      <c r="IUZ16" s="314" t="s">
        <v>203</v>
      </c>
      <c r="IVA16" s="314" t="s">
        <v>203</v>
      </c>
      <c r="IVB16" s="314" t="s">
        <v>203</v>
      </c>
      <c r="IVC16" s="314" t="s">
        <v>203</v>
      </c>
      <c r="IVD16" s="314" t="s">
        <v>203</v>
      </c>
      <c r="IVE16" s="314" t="s">
        <v>203</v>
      </c>
      <c r="IVF16" s="314" t="s">
        <v>203</v>
      </c>
      <c r="IVG16" s="314" t="s">
        <v>203</v>
      </c>
      <c r="IVH16" s="314" t="s">
        <v>203</v>
      </c>
      <c r="IVI16" s="314" t="s">
        <v>203</v>
      </c>
      <c r="IVJ16" s="314" t="s">
        <v>203</v>
      </c>
      <c r="IVK16" s="314" t="s">
        <v>203</v>
      </c>
      <c r="IVL16" s="314" t="s">
        <v>203</v>
      </c>
      <c r="IVM16" s="314" t="s">
        <v>203</v>
      </c>
      <c r="IVN16" s="314" t="s">
        <v>203</v>
      </c>
      <c r="IVO16" s="314" t="s">
        <v>203</v>
      </c>
      <c r="IVP16" s="314" t="s">
        <v>203</v>
      </c>
      <c r="IVQ16" s="314" t="s">
        <v>203</v>
      </c>
      <c r="IVR16" s="314" t="s">
        <v>203</v>
      </c>
      <c r="IVS16" s="314" t="s">
        <v>203</v>
      </c>
      <c r="IVT16" s="314" t="s">
        <v>203</v>
      </c>
      <c r="IVU16" s="314" t="s">
        <v>203</v>
      </c>
      <c r="IVV16" s="314" t="s">
        <v>203</v>
      </c>
      <c r="IVW16" s="314" t="s">
        <v>203</v>
      </c>
      <c r="IVX16" s="314" t="s">
        <v>203</v>
      </c>
      <c r="IVY16" s="314" t="s">
        <v>203</v>
      </c>
      <c r="IVZ16" s="314" t="s">
        <v>203</v>
      </c>
      <c r="IWA16" s="314" t="s">
        <v>203</v>
      </c>
      <c r="IWB16" s="314" t="s">
        <v>203</v>
      </c>
      <c r="IWC16" s="314" t="s">
        <v>203</v>
      </c>
      <c r="IWD16" s="314" t="s">
        <v>203</v>
      </c>
      <c r="IWE16" s="314" t="s">
        <v>203</v>
      </c>
      <c r="IWF16" s="314" t="s">
        <v>203</v>
      </c>
      <c r="IWG16" s="314" t="s">
        <v>203</v>
      </c>
      <c r="IWH16" s="314" t="s">
        <v>203</v>
      </c>
      <c r="IWI16" s="314" t="s">
        <v>203</v>
      </c>
      <c r="IWJ16" s="314" t="s">
        <v>203</v>
      </c>
      <c r="IWK16" s="314" t="s">
        <v>203</v>
      </c>
      <c r="IWL16" s="314" t="s">
        <v>203</v>
      </c>
      <c r="IWM16" s="314" t="s">
        <v>203</v>
      </c>
      <c r="IWN16" s="314" t="s">
        <v>203</v>
      </c>
      <c r="IWO16" s="314" t="s">
        <v>203</v>
      </c>
      <c r="IWP16" s="314" t="s">
        <v>203</v>
      </c>
      <c r="IWQ16" s="314" t="s">
        <v>203</v>
      </c>
      <c r="IWR16" s="314" t="s">
        <v>203</v>
      </c>
      <c r="IWS16" s="314" t="s">
        <v>203</v>
      </c>
      <c r="IWT16" s="314" t="s">
        <v>203</v>
      </c>
      <c r="IWU16" s="314" t="s">
        <v>203</v>
      </c>
      <c r="IWV16" s="314" t="s">
        <v>203</v>
      </c>
      <c r="IWW16" s="314" t="s">
        <v>203</v>
      </c>
      <c r="IWX16" s="314" t="s">
        <v>203</v>
      </c>
      <c r="IWY16" s="314" t="s">
        <v>203</v>
      </c>
      <c r="IWZ16" s="314" t="s">
        <v>203</v>
      </c>
      <c r="IXA16" s="314" t="s">
        <v>203</v>
      </c>
      <c r="IXB16" s="314" t="s">
        <v>203</v>
      </c>
      <c r="IXC16" s="314" t="s">
        <v>203</v>
      </c>
      <c r="IXD16" s="314" t="s">
        <v>203</v>
      </c>
      <c r="IXE16" s="314" t="s">
        <v>203</v>
      </c>
      <c r="IXF16" s="314" t="s">
        <v>203</v>
      </c>
      <c r="IXG16" s="314" t="s">
        <v>203</v>
      </c>
      <c r="IXH16" s="314" t="s">
        <v>203</v>
      </c>
      <c r="IXI16" s="314" t="s">
        <v>203</v>
      </c>
      <c r="IXJ16" s="314" t="s">
        <v>203</v>
      </c>
      <c r="IXK16" s="314" t="s">
        <v>203</v>
      </c>
      <c r="IXL16" s="314" t="s">
        <v>203</v>
      </c>
      <c r="IXM16" s="314" t="s">
        <v>203</v>
      </c>
      <c r="IXN16" s="314" t="s">
        <v>203</v>
      </c>
      <c r="IXO16" s="314" t="s">
        <v>203</v>
      </c>
      <c r="IXP16" s="314" t="s">
        <v>203</v>
      </c>
      <c r="IXQ16" s="314" t="s">
        <v>203</v>
      </c>
      <c r="IXR16" s="314" t="s">
        <v>203</v>
      </c>
      <c r="IXS16" s="314" t="s">
        <v>203</v>
      </c>
      <c r="IXT16" s="314" t="s">
        <v>203</v>
      </c>
      <c r="IXU16" s="314" t="s">
        <v>203</v>
      </c>
      <c r="IXV16" s="314" t="s">
        <v>203</v>
      </c>
      <c r="IXW16" s="314" t="s">
        <v>203</v>
      </c>
      <c r="IXX16" s="314" t="s">
        <v>203</v>
      </c>
      <c r="IXY16" s="314" t="s">
        <v>203</v>
      </c>
      <c r="IXZ16" s="314" t="s">
        <v>203</v>
      </c>
      <c r="IYA16" s="314" t="s">
        <v>203</v>
      </c>
      <c r="IYB16" s="314" t="s">
        <v>203</v>
      </c>
      <c r="IYC16" s="314" t="s">
        <v>203</v>
      </c>
      <c r="IYD16" s="314" t="s">
        <v>203</v>
      </c>
      <c r="IYE16" s="314" t="s">
        <v>203</v>
      </c>
      <c r="IYF16" s="314" t="s">
        <v>203</v>
      </c>
      <c r="IYG16" s="314" t="s">
        <v>203</v>
      </c>
      <c r="IYH16" s="314" t="s">
        <v>203</v>
      </c>
      <c r="IYI16" s="314" t="s">
        <v>203</v>
      </c>
      <c r="IYJ16" s="314" t="s">
        <v>203</v>
      </c>
      <c r="IYK16" s="314" t="s">
        <v>203</v>
      </c>
      <c r="IYL16" s="314" t="s">
        <v>203</v>
      </c>
      <c r="IYM16" s="314" t="s">
        <v>203</v>
      </c>
      <c r="IYN16" s="314" t="s">
        <v>203</v>
      </c>
      <c r="IYO16" s="314" t="s">
        <v>203</v>
      </c>
      <c r="IYP16" s="314" t="s">
        <v>203</v>
      </c>
      <c r="IYQ16" s="314" t="s">
        <v>203</v>
      </c>
      <c r="IYR16" s="314" t="s">
        <v>203</v>
      </c>
      <c r="IYS16" s="314" t="s">
        <v>203</v>
      </c>
      <c r="IYT16" s="314" t="s">
        <v>203</v>
      </c>
      <c r="IYU16" s="314" t="s">
        <v>203</v>
      </c>
      <c r="IYV16" s="314" t="s">
        <v>203</v>
      </c>
      <c r="IYW16" s="314" t="s">
        <v>203</v>
      </c>
      <c r="IYX16" s="314" t="s">
        <v>203</v>
      </c>
      <c r="IYY16" s="314" t="s">
        <v>203</v>
      </c>
      <c r="IYZ16" s="314" t="s">
        <v>203</v>
      </c>
      <c r="IZA16" s="314" t="s">
        <v>203</v>
      </c>
      <c r="IZB16" s="314" t="s">
        <v>203</v>
      </c>
      <c r="IZC16" s="314" t="s">
        <v>203</v>
      </c>
      <c r="IZD16" s="314" t="s">
        <v>203</v>
      </c>
      <c r="IZE16" s="314" t="s">
        <v>203</v>
      </c>
      <c r="IZF16" s="314" t="s">
        <v>203</v>
      </c>
      <c r="IZG16" s="314" t="s">
        <v>203</v>
      </c>
      <c r="IZH16" s="314" t="s">
        <v>203</v>
      </c>
      <c r="IZI16" s="314" t="s">
        <v>203</v>
      </c>
      <c r="IZJ16" s="314" t="s">
        <v>203</v>
      </c>
      <c r="IZK16" s="314" t="s">
        <v>203</v>
      </c>
      <c r="IZL16" s="314" t="s">
        <v>203</v>
      </c>
      <c r="IZM16" s="314" t="s">
        <v>203</v>
      </c>
      <c r="IZN16" s="314" t="s">
        <v>203</v>
      </c>
      <c r="IZO16" s="314" t="s">
        <v>203</v>
      </c>
      <c r="IZP16" s="314" t="s">
        <v>203</v>
      </c>
      <c r="IZQ16" s="314" t="s">
        <v>203</v>
      </c>
      <c r="IZR16" s="314" t="s">
        <v>203</v>
      </c>
      <c r="IZS16" s="314" t="s">
        <v>203</v>
      </c>
      <c r="IZT16" s="314" t="s">
        <v>203</v>
      </c>
      <c r="IZU16" s="314" t="s">
        <v>203</v>
      </c>
      <c r="IZV16" s="314" t="s">
        <v>203</v>
      </c>
      <c r="IZW16" s="314" t="s">
        <v>203</v>
      </c>
      <c r="IZX16" s="314" t="s">
        <v>203</v>
      </c>
      <c r="IZY16" s="314" t="s">
        <v>203</v>
      </c>
      <c r="IZZ16" s="314" t="s">
        <v>203</v>
      </c>
      <c r="JAA16" s="314" t="s">
        <v>203</v>
      </c>
      <c r="JAB16" s="314" t="s">
        <v>203</v>
      </c>
      <c r="JAC16" s="314" t="s">
        <v>203</v>
      </c>
      <c r="JAD16" s="314" t="s">
        <v>203</v>
      </c>
      <c r="JAE16" s="314" t="s">
        <v>203</v>
      </c>
      <c r="JAF16" s="314" t="s">
        <v>203</v>
      </c>
      <c r="JAG16" s="314" t="s">
        <v>203</v>
      </c>
      <c r="JAH16" s="314" t="s">
        <v>203</v>
      </c>
      <c r="JAI16" s="314" t="s">
        <v>203</v>
      </c>
      <c r="JAJ16" s="314" t="s">
        <v>203</v>
      </c>
      <c r="JAK16" s="314" t="s">
        <v>203</v>
      </c>
      <c r="JAL16" s="314" t="s">
        <v>203</v>
      </c>
      <c r="JAM16" s="314" t="s">
        <v>203</v>
      </c>
      <c r="JAN16" s="314" t="s">
        <v>203</v>
      </c>
      <c r="JAO16" s="314" t="s">
        <v>203</v>
      </c>
      <c r="JAP16" s="314" t="s">
        <v>203</v>
      </c>
      <c r="JAQ16" s="314" t="s">
        <v>203</v>
      </c>
      <c r="JAR16" s="314" t="s">
        <v>203</v>
      </c>
      <c r="JAS16" s="314" t="s">
        <v>203</v>
      </c>
      <c r="JAT16" s="314" t="s">
        <v>203</v>
      </c>
      <c r="JAU16" s="314" t="s">
        <v>203</v>
      </c>
      <c r="JAV16" s="314" t="s">
        <v>203</v>
      </c>
      <c r="JAW16" s="314" t="s">
        <v>203</v>
      </c>
      <c r="JAX16" s="314" t="s">
        <v>203</v>
      </c>
      <c r="JAY16" s="314" t="s">
        <v>203</v>
      </c>
      <c r="JAZ16" s="314" t="s">
        <v>203</v>
      </c>
      <c r="JBA16" s="314" t="s">
        <v>203</v>
      </c>
      <c r="JBB16" s="314" t="s">
        <v>203</v>
      </c>
      <c r="JBC16" s="314" t="s">
        <v>203</v>
      </c>
      <c r="JBD16" s="314" t="s">
        <v>203</v>
      </c>
      <c r="JBE16" s="314" t="s">
        <v>203</v>
      </c>
      <c r="JBF16" s="314" t="s">
        <v>203</v>
      </c>
      <c r="JBG16" s="314" t="s">
        <v>203</v>
      </c>
      <c r="JBH16" s="314" t="s">
        <v>203</v>
      </c>
      <c r="JBI16" s="314" t="s">
        <v>203</v>
      </c>
      <c r="JBJ16" s="314" t="s">
        <v>203</v>
      </c>
      <c r="JBK16" s="314" t="s">
        <v>203</v>
      </c>
      <c r="JBL16" s="314" t="s">
        <v>203</v>
      </c>
      <c r="JBM16" s="314" t="s">
        <v>203</v>
      </c>
      <c r="JBN16" s="314" t="s">
        <v>203</v>
      </c>
      <c r="JBO16" s="314" t="s">
        <v>203</v>
      </c>
      <c r="JBP16" s="314" t="s">
        <v>203</v>
      </c>
      <c r="JBQ16" s="314" t="s">
        <v>203</v>
      </c>
      <c r="JBR16" s="314" t="s">
        <v>203</v>
      </c>
      <c r="JBS16" s="314" t="s">
        <v>203</v>
      </c>
      <c r="JBT16" s="314" t="s">
        <v>203</v>
      </c>
      <c r="JBU16" s="314" t="s">
        <v>203</v>
      </c>
      <c r="JBV16" s="314" t="s">
        <v>203</v>
      </c>
      <c r="JBW16" s="314" t="s">
        <v>203</v>
      </c>
      <c r="JBX16" s="314" t="s">
        <v>203</v>
      </c>
      <c r="JBY16" s="314" t="s">
        <v>203</v>
      </c>
      <c r="JBZ16" s="314" t="s">
        <v>203</v>
      </c>
      <c r="JCA16" s="314" t="s">
        <v>203</v>
      </c>
      <c r="JCB16" s="314" t="s">
        <v>203</v>
      </c>
      <c r="JCC16" s="314" t="s">
        <v>203</v>
      </c>
      <c r="JCD16" s="314" t="s">
        <v>203</v>
      </c>
      <c r="JCE16" s="314" t="s">
        <v>203</v>
      </c>
      <c r="JCF16" s="314" t="s">
        <v>203</v>
      </c>
      <c r="JCG16" s="314" t="s">
        <v>203</v>
      </c>
      <c r="JCH16" s="314" t="s">
        <v>203</v>
      </c>
      <c r="JCI16" s="314" t="s">
        <v>203</v>
      </c>
      <c r="JCJ16" s="314" t="s">
        <v>203</v>
      </c>
      <c r="JCK16" s="314" t="s">
        <v>203</v>
      </c>
      <c r="JCL16" s="314" t="s">
        <v>203</v>
      </c>
      <c r="JCM16" s="314" t="s">
        <v>203</v>
      </c>
      <c r="JCN16" s="314" t="s">
        <v>203</v>
      </c>
      <c r="JCO16" s="314" t="s">
        <v>203</v>
      </c>
      <c r="JCP16" s="314" t="s">
        <v>203</v>
      </c>
      <c r="JCQ16" s="314" t="s">
        <v>203</v>
      </c>
      <c r="JCR16" s="314" t="s">
        <v>203</v>
      </c>
      <c r="JCS16" s="314" t="s">
        <v>203</v>
      </c>
      <c r="JCT16" s="314" t="s">
        <v>203</v>
      </c>
      <c r="JCU16" s="314" t="s">
        <v>203</v>
      </c>
      <c r="JCV16" s="314" t="s">
        <v>203</v>
      </c>
      <c r="JCW16" s="314" t="s">
        <v>203</v>
      </c>
      <c r="JCX16" s="314" t="s">
        <v>203</v>
      </c>
      <c r="JCY16" s="314" t="s">
        <v>203</v>
      </c>
      <c r="JCZ16" s="314" t="s">
        <v>203</v>
      </c>
      <c r="JDA16" s="314" t="s">
        <v>203</v>
      </c>
      <c r="JDB16" s="314" t="s">
        <v>203</v>
      </c>
      <c r="JDC16" s="314" t="s">
        <v>203</v>
      </c>
      <c r="JDD16" s="314" t="s">
        <v>203</v>
      </c>
      <c r="JDE16" s="314" t="s">
        <v>203</v>
      </c>
      <c r="JDF16" s="314" t="s">
        <v>203</v>
      </c>
      <c r="JDG16" s="314" t="s">
        <v>203</v>
      </c>
      <c r="JDH16" s="314" t="s">
        <v>203</v>
      </c>
      <c r="JDI16" s="314" t="s">
        <v>203</v>
      </c>
      <c r="JDJ16" s="314" t="s">
        <v>203</v>
      </c>
      <c r="JDK16" s="314" t="s">
        <v>203</v>
      </c>
      <c r="JDL16" s="314" t="s">
        <v>203</v>
      </c>
      <c r="JDM16" s="314" t="s">
        <v>203</v>
      </c>
      <c r="JDN16" s="314" t="s">
        <v>203</v>
      </c>
      <c r="JDO16" s="314" t="s">
        <v>203</v>
      </c>
      <c r="JDP16" s="314" t="s">
        <v>203</v>
      </c>
      <c r="JDQ16" s="314" t="s">
        <v>203</v>
      </c>
      <c r="JDR16" s="314" t="s">
        <v>203</v>
      </c>
      <c r="JDS16" s="314" t="s">
        <v>203</v>
      </c>
      <c r="JDT16" s="314" t="s">
        <v>203</v>
      </c>
      <c r="JDU16" s="314" t="s">
        <v>203</v>
      </c>
      <c r="JDV16" s="314" t="s">
        <v>203</v>
      </c>
      <c r="JDW16" s="314" t="s">
        <v>203</v>
      </c>
      <c r="JDX16" s="314" t="s">
        <v>203</v>
      </c>
      <c r="JDY16" s="314" t="s">
        <v>203</v>
      </c>
      <c r="JDZ16" s="314" t="s">
        <v>203</v>
      </c>
      <c r="JEA16" s="314" t="s">
        <v>203</v>
      </c>
      <c r="JEB16" s="314" t="s">
        <v>203</v>
      </c>
      <c r="JEC16" s="314" t="s">
        <v>203</v>
      </c>
      <c r="JED16" s="314" t="s">
        <v>203</v>
      </c>
      <c r="JEE16" s="314" t="s">
        <v>203</v>
      </c>
      <c r="JEF16" s="314" t="s">
        <v>203</v>
      </c>
      <c r="JEG16" s="314" t="s">
        <v>203</v>
      </c>
      <c r="JEH16" s="314" t="s">
        <v>203</v>
      </c>
      <c r="JEI16" s="314" t="s">
        <v>203</v>
      </c>
      <c r="JEJ16" s="314" t="s">
        <v>203</v>
      </c>
      <c r="JEK16" s="314" t="s">
        <v>203</v>
      </c>
      <c r="JEL16" s="314" t="s">
        <v>203</v>
      </c>
      <c r="JEM16" s="314" t="s">
        <v>203</v>
      </c>
      <c r="JEN16" s="314" t="s">
        <v>203</v>
      </c>
      <c r="JEO16" s="314" t="s">
        <v>203</v>
      </c>
      <c r="JEP16" s="314" t="s">
        <v>203</v>
      </c>
      <c r="JEQ16" s="314" t="s">
        <v>203</v>
      </c>
      <c r="JER16" s="314" t="s">
        <v>203</v>
      </c>
      <c r="JES16" s="314" t="s">
        <v>203</v>
      </c>
      <c r="JET16" s="314" t="s">
        <v>203</v>
      </c>
      <c r="JEU16" s="314" t="s">
        <v>203</v>
      </c>
      <c r="JEV16" s="314" t="s">
        <v>203</v>
      </c>
      <c r="JEW16" s="314" t="s">
        <v>203</v>
      </c>
      <c r="JEX16" s="314" t="s">
        <v>203</v>
      </c>
      <c r="JEY16" s="314" t="s">
        <v>203</v>
      </c>
      <c r="JEZ16" s="314" t="s">
        <v>203</v>
      </c>
      <c r="JFA16" s="314" t="s">
        <v>203</v>
      </c>
      <c r="JFB16" s="314" t="s">
        <v>203</v>
      </c>
      <c r="JFC16" s="314" t="s">
        <v>203</v>
      </c>
      <c r="JFD16" s="314" t="s">
        <v>203</v>
      </c>
      <c r="JFE16" s="314" t="s">
        <v>203</v>
      </c>
      <c r="JFF16" s="314" t="s">
        <v>203</v>
      </c>
      <c r="JFG16" s="314" t="s">
        <v>203</v>
      </c>
      <c r="JFH16" s="314" t="s">
        <v>203</v>
      </c>
      <c r="JFI16" s="314" t="s">
        <v>203</v>
      </c>
      <c r="JFJ16" s="314" t="s">
        <v>203</v>
      </c>
      <c r="JFK16" s="314" t="s">
        <v>203</v>
      </c>
      <c r="JFL16" s="314" t="s">
        <v>203</v>
      </c>
      <c r="JFM16" s="314" t="s">
        <v>203</v>
      </c>
      <c r="JFN16" s="314" t="s">
        <v>203</v>
      </c>
      <c r="JFO16" s="314" t="s">
        <v>203</v>
      </c>
      <c r="JFP16" s="314" t="s">
        <v>203</v>
      </c>
      <c r="JFQ16" s="314" t="s">
        <v>203</v>
      </c>
      <c r="JFR16" s="314" t="s">
        <v>203</v>
      </c>
      <c r="JFS16" s="314" t="s">
        <v>203</v>
      </c>
      <c r="JFT16" s="314" t="s">
        <v>203</v>
      </c>
      <c r="JFU16" s="314" t="s">
        <v>203</v>
      </c>
      <c r="JFV16" s="314" t="s">
        <v>203</v>
      </c>
      <c r="JFW16" s="314" t="s">
        <v>203</v>
      </c>
      <c r="JFX16" s="314" t="s">
        <v>203</v>
      </c>
      <c r="JFY16" s="314" t="s">
        <v>203</v>
      </c>
      <c r="JFZ16" s="314" t="s">
        <v>203</v>
      </c>
      <c r="JGA16" s="314" t="s">
        <v>203</v>
      </c>
      <c r="JGB16" s="314" t="s">
        <v>203</v>
      </c>
      <c r="JGC16" s="314" t="s">
        <v>203</v>
      </c>
      <c r="JGD16" s="314" t="s">
        <v>203</v>
      </c>
      <c r="JGE16" s="314" t="s">
        <v>203</v>
      </c>
      <c r="JGF16" s="314" t="s">
        <v>203</v>
      </c>
      <c r="JGG16" s="314" t="s">
        <v>203</v>
      </c>
      <c r="JGH16" s="314" t="s">
        <v>203</v>
      </c>
      <c r="JGI16" s="314" t="s">
        <v>203</v>
      </c>
      <c r="JGJ16" s="314" t="s">
        <v>203</v>
      </c>
      <c r="JGK16" s="314" t="s">
        <v>203</v>
      </c>
      <c r="JGL16" s="314" t="s">
        <v>203</v>
      </c>
      <c r="JGM16" s="314" t="s">
        <v>203</v>
      </c>
      <c r="JGN16" s="314" t="s">
        <v>203</v>
      </c>
      <c r="JGO16" s="314" t="s">
        <v>203</v>
      </c>
      <c r="JGP16" s="314" t="s">
        <v>203</v>
      </c>
      <c r="JGQ16" s="314" t="s">
        <v>203</v>
      </c>
      <c r="JGR16" s="314" t="s">
        <v>203</v>
      </c>
      <c r="JGS16" s="314" t="s">
        <v>203</v>
      </c>
      <c r="JGT16" s="314" t="s">
        <v>203</v>
      </c>
      <c r="JGU16" s="314" t="s">
        <v>203</v>
      </c>
      <c r="JGV16" s="314" t="s">
        <v>203</v>
      </c>
      <c r="JGW16" s="314" t="s">
        <v>203</v>
      </c>
      <c r="JGX16" s="314" t="s">
        <v>203</v>
      </c>
      <c r="JGY16" s="314" t="s">
        <v>203</v>
      </c>
      <c r="JGZ16" s="314" t="s">
        <v>203</v>
      </c>
      <c r="JHA16" s="314" t="s">
        <v>203</v>
      </c>
      <c r="JHB16" s="314" t="s">
        <v>203</v>
      </c>
      <c r="JHC16" s="314" t="s">
        <v>203</v>
      </c>
      <c r="JHD16" s="314" t="s">
        <v>203</v>
      </c>
      <c r="JHE16" s="314" t="s">
        <v>203</v>
      </c>
      <c r="JHF16" s="314" t="s">
        <v>203</v>
      </c>
      <c r="JHG16" s="314" t="s">
        <v>203</v>
      </c>
      <c r="JHH16" s="314" t="s">
        <v>203</v>
      </c>
      <c r="JHI16" s="314" t="s">
        <v>203</v>
      </c>
      <c r="JHJ16" s="314" t="s">
        <v>203</v>
      </c>
      <c r="JHK16" s="314" t="s">
        <v>203</v>
      </c>
      <c r="JHL16" s="314" t="s">
        <v>203</v>
      </c>
      <c r="JHM16" s="314" t="s">
        <v>203</v>
      </c>
      <c r="JHN16" s="314" t="s">
        <v>203</v>
      </c>
      <c r="JHO16" s="314" t="s">
        <v>203</v>
      </c>
      <c r="JHP16" s="314" t="s">
        <v>203</v>
      </c>
      <c r="JHQ16" s="314" t="s">
        <v>203</v>
      </c>
      <c r="JHR16" s="314" t="s">
        <v>203</v>
      </c>
      <c r="JHS16" s="314" t="s">
        <v>203</v>
      </c>
      <c r="JHT16" s="314" t="s">
        <v>203</v>
      </c>
      <c r="JHU16" s="314" t="s">
        <v>203</v>
      </c>
      <c r="JHV16" s="314" t="s">
        <v>203</v>
      </c>
      <c r="JHW16" s="314" t="s">
        <v>203</v>
      </c>
      <c r="JHX16" s="314" t="s">
        <v>203</v>
      </c>
      <c r="JHY16" s="314" t="s">
        <v>203</v>
      </c>
      <c r="JHZ16" s="314" t="s">
        <v>203</v>
      </c>
      <c r="JIA16" s="314" t="s">
        <v>203</v>
      </c>
      <c r="JIB16" s="314" t="s">
        <v>203</v>
      </c>
      <c r="JIC16" s="314" t="s">
        <v>203</v>
      </c>
      <c r="JID16" s="314" t="s">
        <v>203</v>
      </c>
      <c r="JIE16" s="314" t="s">
        <v>203</v>
      </c>
      <c r="JIF16" s="314" t="s">
        <v>203</v>
      </c>
      <c r="JIG16" s="314" t="s">
        <v>203</v>
      </c>
      <c r="JIH16" s="314" t="s">
        <v>203</v>
      </c>
      <c r="JII16" s="314" t="s">
        <v>203</v>
      </c>
      <c r="JIJ16" s="314" t="s">
        <v>203</v>
      </c>
      <c r="JIK16" s="314" t="s">
        <v>203</v>
      </c>
      <c r="JIL16" s="314" t="s">
        <v>203</v>
      </c>
      <c r="JIM16" s="314" t="s">
        <v>203</v>
      </c>
      <c r="JIN16" s="314" t="s">
        <v>203</v>
      </c>
      <c r="JIO16" s="314" t="s">
        <v>203</v>
      </c>
      <c r="JIP16" s="314" t="s">
        <v>203</v>
      </c>
      <c r="JIQ16" s="314" t="s">
        <v>203</v>
      </c>
      <c r="JIR16" s="314" t="s">
        <v>203</v>
      </c>
      <c r="JIS16" s="314" t="s">
        <v>203</v>
      </c>
      <c r="JIT16" s="314" t="s">
        <v>203</v>
      </c>
      <c r="JIU16" s="314" t="s">
        <v>203</v>
      </c>
      <c r="JIV16" s="314" t="s">
        <v>203</v>
      </c>
      <c r="JIW16" s="314" t="s">
        <v>203</v>
      </c>
      <c r="JIX16" s="314" t="s">
        <v>203</v>
      </c>
      <c r="JIY16" s="314" t="s">
        <v>203</v>
      </c>
      <c r="JIZ16" s="314" t="s">
        <v>203</v>
      </c>
      <c r="JJA16" s="314" t="s">
        <v>203</v>
      </c>
      <c r="JJB16" s="314" t="s">
        <v>203</v>
      </c>
      <c r="JJC16" s="314" t="s">
        <v>203</v>
      </c>
      <c r="JJD16" s="314" t="s">
        <v>203</v>
      </c>
      <c r="JJE16" s="314" t="s">
        <v>203</v>
      </c>
      <c r="JJF16" s="314" t="s">
        <v>203</v>
      </c>
      <c r="JJG16" s="314" t="s">
        <v>203</v>
      </c>
      <c r="JJH16" s="314" t="s">
        <v>203</v>
      </c>
      <c r="JJI16" s="314" t="s">
        <v>203</v>
      </c>
      <c r="JJJ16" s="314" t="s">
        <v>203</v>
      </c>
      <c r="JJK16" s="314" t="s">
        <v>203</v>
      </c>
      <c r="JJL16" s="314" t="s">
        <v>203</v>
      </c>
      <c r="JJM16" s="314" t="s">
        <v>203</v>
      </c>
      <c r="JJN16" s="314" t="s">
        <v>203</v>
      </c>
      <c r="JJO16" s="314" t="s">
        <v>203</v>
      </c>
      <c r="JJP16" s="314" t="s">
        <v>203</v>
      </c>
      <c r="JJQ16" s="314" t="s">
        <v>203</v>
      </c>
      <c r="JJR16" s="314" t="s">
        <v>203</v>
      </c>
      <c r="JJS16" s="314" t="s">
        <v>203</v>
      </c>
      <c r="JJT16" s="314" t="s">
        <v>203</v>
      </c>
      <c r="JJU16" s="314" t="s">
        <v>203</v>
      </c>
      <c r="JJV16" s="314" t="s">
        <v>203</v>
      </c>
      <c r="JJW16" s="314" t="s">
        <v>203</v>
      </c>
      <c r="JJX16" s="314" t="s">
        <v>203</v>
      </c>
      <c r="JJY16" s="314" t="s">
        <v>203</v>
      </c>
      <c r="JJZ16" s="314" t="s">
        <v>203</v>
      </c>
      <c r="JKA16" s="314" t="s">
        <v>203</v>
      </c>
      <c r="JKB16" s="314" t="s">
        <v>203</v>
      </c>
      <c r="JKC16" s="314" t="s">
        <v>203</v>
      </c>
      <c r="JKD16" s="314" t="s">
        <v>203</v>
      </c>
      <c r="JKE16" s="314" t="s">
        <v>203</v>
      </c>
      <c r="JKF16" s="314" t="s">
        <v>203</v>
      </c>
      <c r="JKG16" s="314" t="s">
        <v>203</v>
      </c>
      <c r="JKH16" s="314" t="s">
        <v>203</v>
      </c>
      <c r="JKI16" s="314" t="s">
        <v>203</v>
      </c>
      <c r="JKJ16" s="314" t="s">
        <v>203</v>
      </c>
      <c r="JKK16" s="314" t="s">
        <v>203</v>
      </c>
      <c r="JKL16" s="314" t="s">
        <v>203</v>
      </c>
      <c r="JKM16" s="314" t="s">
        <v>203</v>
      </c>
      <c r="JKN16" s="314" t="s">
        <v>203</v>
      </c>
      <c r="JKO16" s="314" t="s">
        <v>203</v>
      </c>
      <c r="JKP16" s="314" t="s">
        <v>203</v>
      </c>
      <c r="JKQ16" s="314" t="s">
        <v>203</v>
      </c>
      <c r="JKR16" s="314" t="s">
        <v>203</v>
      </c>
      <c r="JKS16" s="314" t="s">
        <v>203</v>
      </c>
      <c r="JKT16" s="314" t="s">
        <v>203</v>
      </c>
      <c r="JKU16" s="314" t="s">
        <v>203</v>
      </c>
      <c r="JKV16" s="314" t="s">
        <v>203</v>
      </c>
      <c r="JKW16" s="314" t="s">
        <v>203</v>
      </c>
      <c r="JKX16" s="314" t="s">
        <v>203</v>
      </c>
      <c r="JKY16" s="314" t="s">
        <v>203</v>
      </c>
      <c r="JKZ16" s="314" t="s">
        <v>203</v>
      </c>
      <c r="JLA16" s="314" t="s">
        <v>203</v>
      </c>
      <c r="JLB16" s="314" t="s">
        <v>203</v>
      </c>
      <c r="JLC16" s="314" t="s">
        <v>203</v>
      </c>
      <c r="JLD16" s="314" t="s">
        <v>203</v>
      </c>
      <c r="JLE16" s="314" t="s">
        <v>203</v>
      </c>
      <c r="JLF16" s="314" t="s">
        <v>203</v>
      </c>
      <c r="JLG16" s="314" t="s">
        <v>203</v>
      </c>
      <c r="JLH16" s="314" t="s">
        <v>203</v>
      </c>
      <c r="JLI16" s="314" t="s">
        <v>203</v>
      </c>
      <c r="JLJ16" s="314" t="s">
        <v>203</v>
      </c>
      <c r="JLK16" s="314" t="s">
        <v>203</v>
      </c>
      <c r="JLL16" s="314" t="s">
        <v>203</v>
      </c>
      <c r="JLM16" s="314" t="s">
        <v>203</v>
      </c>
      <c r="JLN16" s="314" t="s">
        <v>203</v>
      </c>
      <c r="JLO16" s="314" t="s">
        <v>203</v>
      </c>
      <c r="JLP16" s="314" t="s">
        <v>203</v>
      </c>
      <c r="JLQ16" s="314" t="s">
        <v>203</v>
      </c>
      <c r="JLR16" s="314" t="s">
        <v>203</v>
      </c>
      <c r="JLS16" s="314" t="s">
        <v>203</v>
      </c>
      <c r="JLT16" s="314" t="s">
        <v>203</v>
      </c>
      <c r="JLU16" s="314" t="s">
        <v>203</v>
      </c>
      <c r="JLV16" s="314" t="s">
        <v>203</v>
      </c>
      <c r="JLW16" s="314" t="s">
        <v>203</v>
      </c>
      <c r="JLX16" s="314" t="s">
        <v>203</v>
      </c>
      <c r="JLY16" s="314" t="s">
        <v>203</v>
      </c>
      <c r="JLZ16" s="314" t="s">
        <v>203</v>
      </c>
      <c r="JMA16" s="314" t="s">
        <v>203</v>
      </c>
      <c r="JMB16" s="314" t="s">
        <v>203</v>
      </c>
      <c r="JMC16" s="314" t="s">
        <v>203</v>
      </c>
      <c r="JMD16" s="314" t="s">
        <v>203</v>
      </c>
      <c r="JME16" s="314" t="s">
        <v>203</v>
      </c>
      <c r="JMF16" s="314" t="s">
        <v>203</v>
      </c>
      <c r="JMG16" s="314" t="s">
        <v>203</v>
      </c>
      <c r="JMH16" s="314" t="s">
        <v>203</v>
      </c>
      <c r="JMI16" s="314" t="s">
        <v>203</v>
      </c>
      <c r="JMJ16" s="314" t="s">
        <v>203</v>
      </c>
      <c r="JMK16" s="314" t="s">
        <v>203</v>
      </c>
      <c r="JML16" s="314" t="s">
        <v>203</v>
      </c>
      <c r="JMM16" s="314" t="s">
        <v>203</v>
      </c>
      <c r="JMN16" s="314" t="s">
        <v>203</v>
      </c>
      <c r="JMO16" s="314" t="s">
        <v>203</v>
      </c>
      <c r="JMP16" s="314" t="s">
        <v>203</v>
      </c>
      <c r="JMQ16" s="314" t="s">
        <v>203</v>
      </c>
      <c r="JMR16" s="314" t="s">
        <v>203</v>
      </c>
      <c r="JMS16" s="314" t="s">
        <v>203</v>
      </c>
      <c r="JMT16" s="314" t="s">
        <v>203</v>
      </c>
      <c r="JMU16" s="314" t="s">
        <v>203</v>
      </c>
      <c r="JMV16" s="314" t="s">
        <v>203</v>
      </c>
      <c r="JMW16" s="314" t="s">
        <v>203</v>
      </c>
      <c r="JMX16" s="314" t="s">
        <v>203</v>
      </c>
      <c r="JMY16" s="314" t="s">
        <v>203</v>
      </c>
      <c r="JMZ16" s="314" t="s">
        <v>203</v>
      </c>
      <c r="JNA16" s="314" t="s">
        <v>203</v>
      </c>
      <c r="JNB16" s="314" t="s">
        <v>203</v>
      </c>
      <c r="JNC16" s="314" t="s">
        <v>203</v>
      </c>
      <c r="JND16" s="314" t="s">
        <v>203</v>
      </c>
      <c r="JNE16" s="314" t="s">
        <v>203</v>
      </c>
      <c r="JNF16" s="314" t="s">
        <v>203</v>
      </c>
      <c r="JNG16" s="314" t="s">
        <v>203</v>
      </c>
      <c r="JNH16" s="314" t="s">
        <v>203</v>
      </c>
      <c r="JNI16" s="314" t="s">
        <v>203</v>
      </c>
      <c r="JNJ16" s="314" t="s">
        <v>203</v>
      </c>
      <c r="JNK16" s="314" t="s">
        <v>203</v>
      </c>
      <c r="JNL16" s="314" t="s">
        <v>203</v>
      </c>
      <c r="JNM16" s="314" t="s">
        <v>203</v>
      </c>
      <c r="JNN16" s="314" t="s">
        <v>203</v>
      </c>
      <c r="JNO16" s="314" t="s">
        <v>203</v>
      </c>
      <c r="JNP16" s="314" t="s">
        <v>203</v>
      </c>
      <c r="JNQ16" s="314" t="s">
        <v>203</v>
      </c>
      <c r="JNR16" s="314" t="s">
        <v>203</v>
      </c>
      <c r="JNS16" s="314" t="s">
        <v>203</v>
      </c>
      <c r="JNT16" s="314" t="s">
        <v>203</v>
      </c>
      <c r="JNU16" s="314" t="s">
        <v>203</v>
      </c>
      <c r="JNV16" s="314" t="s">
        <v>203</v>
      </c>
      <c r="JNW16" s="314" t="s">
        <v>203</v>
      </c>
      <c r="JNX16" s="314" t="s">
        <v>203</v>
      </c>
      <c r="JNY16" s="314" t="s">
        <v>203</v>
      </c>
      <c r="JNZ16" s="314" t="s">
        <v>203</v>
      </c>
      <c r="JOA16" s="314" t="s">
        <v>203</v>
      </c>
      <c r="JOB16" s="314" t="s">
        <v>203</v>
      </c>
      <c r="JOC16" s="314" t="s">
        <v>203</v>
      </c>
      <c r="JOD16" s="314" t="s">
        <v>203</v>
      </c>
      <c r="JOE16" s="314" t="s">
        <v>203</v>
      </c>
      <c r="JOF16" s="314" t="s">
        <v>203</v>
      </c>
      <c r="JOG16" s="314" t="s">
        <v>203</v>
      </c>
      <c r="JOH16" s="314" t="s">
        <v>203</v>
      </c>
      <c r="JOI16" s="314" t="s">
        <v>203</v>
      </c>
      <c r="JOJ16" s="314" t="s">
        <v>203</v>
      </c>
      <c r="JOK16" s="314" t="s">
        <v>203</v>
      </c>
      <c r="JOL16" s="314" t="s">
        <v>203</v>
      </c>
      <c r="JOM16" s="314" t="s">
        <v>203</v>
      </c>
      <c r="JON16" s="314" t="s">
        <v>203</v>
      </c>
      <c r="JOO16" s="314" t="s">
        <v>203</v>
      </c>
      <c r="JOP16" s="314" t="s">
        <v>203</v>
      </c>
      <c r="JOQ16" s="314" t="s">
        <v>203</v>
      </c>
      <c r="JOR16" s="314" t="s">
        <v>203</v>
      </c>
      <c r="JOS16" s="314" t="s">
        <v>203</v>
      </c>
      <c r="JOT16" s="314" t="s">
        <v>203</v>
      </c>
      <c r="JOU16" s="314" t="s">
        <v>203</v>
      </c>
      <c r="JOV16" s="314" t="s">
        <v>203</v>
      </c>
      <c r="JOW16" s="314" t="s">
        <v>203</v>
      </c>
      <c r="JOX16" s="314" t="s">
        <v>203</v>
      </c>
      <c r="JOY16" s="314" t="s">
        <v>203</v>
      </c>
      <c r="JOZ16" s="314" t="s">
        <v>203</v>
      </c>
      <c r="JPA16" s="314" t="s">
        <v>203</v>
      </c>
      <c r="JPB16" s="314" t="s">
        <v>203</v>
      </c>
      <c r="JPC16" s="314" t="s">
        <v>203</v>
      </c>
      <c r="JPD16" s="314" t="s">
        <v>203</v>
      </c>
      <c r="JPE16" s="314" t="s">
        <v>203</v>
      </c>
      <c r="JPF16" s="314" t="s">
        <v>203</v>
      </c>
      <c r="JPG16" s="314" t="s">
        <v>203</v>
      </c>
      <c r="JPH16" s="314" t="s">
        <v>203</v>
      </c>
      <c r="JPI16" s="314" t="s">
        <v>203</v>
      </c>
      <c r="JPJ16" s="314" t="s">
        <v>203</v>
      </c>
      <c r="JPK16" s="314" t="s">
        <v>203</v>
      </c>
      <c r="JPL16" s="314" t="s">
        <v>203</v>
      </c>
      <c r="JPM16" s="314" t="s">
        <v>203</v>
      </c>
      <c r="JPN16" s="314" t="s">
        <v>203</v>
      </c>
      <c r="JPO16" s="314" t="s">
        <v>203</v>
      </c>
      <c r="JPP16" s="314" t="s">
        <v>203</v>
      </c>
      <c r="JPQ16" s="314" t="s">
        <v>203</v>
      </c>
      <c r="JPR16" s="314" t="s">
        <v>203</v>
      </c>
      <c r="JPS16" s="314" t="s">
        <v>203</v>
      </c>
      <c r="JPT16" s="314" t="s">
        <v>203</v>
      </c>
      <c r="JPU16" s="314" t="s">
        <v>203</v>
      </c>
      <c r="JPV16" s="314" t="s">
        <v>203</v>
      </c>
      <c r="JPW16" s="314" t="s">
        <v>203</v>
      </c>
      <c r="JPX16" s="314" t="s">
        <v>203</v>
      </c>
      <c r="JPY16" s="314" t="s">
        <v>203</v>
      </c>
      <c r="JPZ16" s="314" t="s">
        <v>203</v>
      </c>
      <c r="JQA16" s="314" t="s">
        <v>203</v>
      </c>
      <c r="JQB16" s="314" t="s">
        <v>203</v>
      </c>
      <c r="JQC16" s="314" t="s">
        <v>203</v>
      </c>
      <c r="JQD16" s="314" t="s">
        <v>203</v>
      </c>
      <c r="JQE16" s="314" t="s">
        <v>203</v>
      </c>
      <c r="JQF16" s="314" t="s">
        <v>203</v>
      </c>
      <c r="JQG16" s="314" t="s">
        <v>203</v>
      </c>
      <c r="JQH16" s="314" t="s">
        <v>203</v>
      </c>
      <c r="JQI16" s="314" t="s">
        <v>203</v>
      </c>
      <c r="JQJ16" s="314" t="s">
        <v>203</v>
      </c>
      <c r="JQK16" s="314" t="s">
        <v>203</v>
      </c>
      <c r="JQL16" s="314" t="s">
        <v>203</v>
      </c>
      <c r="JQM16" s="314" t="s">
        <v>203</v>
      </c>
      <c r="JQN16" s="314" t="s">
        <v>203</v>
      </c>
      <c r="JQO16" s="314" t="s">
        <v>203</v>
      </c>
      <c r="JQP16" s="314" t="s">
        <v>203</v>
      </c>
      <c r="JQQ16" s="314" t="s">
        <v>203</v>
      </c>
      <c r="JQR16" s="314" t="s">
        <v>203</v>
      </c>
      <c r="JQS16" s="314" t="s">
        <v>203</v>
      </c>
      <c r="JQT16" s="314" t="s">
        <v>203</v>
      </c>
      <c r="JQU16" s="314" t="s">
        <v>203</v>
      </c>
      <c r="JQV16" s="314" t="s">
        <v>203</v>
      </c>
      <c r="JQW16" s="314" t="s">
        <v>203</v>
      </c>
      <c r="JQX16" s="314" t="s">
        <v>203</v>
      </c>
      <c r="JQY16" s="314" t="s">
        <v>203</v>
      </c>
      <c r="JQZ16" s="314" t="s">
        <v>203</v>
      </c>
      <c r="JRA16" s="314" t="s">
        <v>203</v>
      </c>
      <c r="JRB16" s="314" t="s">
        <v>203</v>
      </c>
      <c r="JRC16" s="314" t="s">
        <v>203</v>
      </c>
      <c r="JRD16" s="314" t="s">
        <v>203</v>
      </c>
      <c r="JRE16" s="314" t="s">
        <v>203</v>
      </c>
      <c r="JRF16" s="314" t="s">
        <v>203</v>
      </c>
      <c r="JRG16" s="314" t="s">
        <v>203</v>
      </c>
      <c r="JRH16" s="314" t="s">
        <v>203</v>
      </c>
      <c r="JRI16" s="314" t="s">
        <v>203</v>
      </c>
      <c r="JRJ16" s="314" t="s">
        <v>203</v>
      </c>
      <c r="JRK16" s="314" t="s">
        <v>203</v>
      </c>
      <c r="JRL16" s="314" t="s">
        <v>203</v>
      </c>
      <c r="JRM16" s="314" t="s">
        <v>203</v>
      </c>
      <c r="JRN16" s="314" t="s">
        <v>203</v>
      </c>
      <c r="JRO16" s="314" t="s">
        <v>203</v>
      </c>
      <c r="JRP16" s="314" t="s">
        <v>203</v>
      </c>
      <c r="JRQ16" s="314" t="s">
        <v>203</v>
      </c>
      <c r="JRR16" s="314" t="s">
        <v>203</v>
      </c>
      <c r="JRS16" s="314" t="s">
        <v>203</v>
      </c>
      <c r="JRT16" s="314" t="s">
        <v>203</v>
      </c>
      <c r="JRU16" s="314" t="s">
        <v>203</v>
      </c>
      <c r="JRV16" s="314" t="s">
        <v>203</v>
      </c>
      <c r="JRW16" s="314" t="s">
        <v>203</v>
      </c>
      <c r="JRX16" s="314" t="s">
        <v>203</v>
      </c>
      <c r="JRY16" s="314" t="s">
        <v>203</v>
      </c>
      <c r="JRZ16" s="314" t="s">
        <v>203</v>
      </c>
      <c r="JSA16" s="314" t="s">
        <v>203</v>
      </c>
      <c r="JSB16" s="314" t="s">
        <v>203</v>
      </c>
      <c r="JSC16" s="314" t="s">
        <v>203</v>
      </c>
      <c r="JSD16" s="314" t="s">
        <v>203</v>
      </c>
      <c r="JSE16" s="314" t="s">
        <v>203</v>
      </c>
      <c r="JSF16" s="314" t="s">
        <v>203</v>
      </c>
      <c r="JSG16" s="314" t="s">
        <v>203</v>
      </c>
      <c r="JSH16" s="314" t="s">
        <v>203</v>
      </c>
      <c r="JSI16" s="314" t="s">
        <v>203</v>
      </c>
      <c r="JSJ16" s="314" t="s">
        <v>203</v>
      </c>
      <c r="JSK16" s="314" t="s">
        <v>203</v>
      </c>
      <c r="JSL16" s="314" t="s">
        <v>203</v>
      </c>
      <c r="JSM16" s="314" t="s">
        <v>203</v>
      </c>
      <c r="JSN16" s="314" t="s">
        <v>203</v>
      </c>
      <c r="JSO16" s="314" t="s">
        <v>203</v>
      </c>
      <c r="JSP16" s="314" t="s">
        <v>203</v>
      </c>
      <c r="JSQ16" s="314" t="s">
        <v>203</v>
      </c>
      <c r="JSR16" s="314" t="s">
        <v>203</v>
      </c>
      <c r="JSS16" s="314" t="s">
        <v>203</v>
      </c>
      <c r="JST16" s="314" t="s">
        <v>203</v>
      </c>
      <c r="JSU16" s="314" t="s">
        <v>203</v>
      </c>
      <c r="JSV16" s="314" t="s">
        <v>203</v>
      </c>
      <c r="JSW16" s="314" t="s">
        <v>203</v>
      </c>
      <c r="JSX16" s="314" t="s">
        <v>203</v>
      </c>
      <c r="JSY16" s="314" t="s">
        <v>203</v>
      </c>
      <c r="JSZ16" s="314" t="s">
        <v>203</v>
      </c>
      <c r="JTA16" s="314" t="s">
        <v>203</v>
      </c>
      <c r="JTB16" s="314" t="s">
        <v>203</v>
      </c>
      <c r="JTC16" s="314" t="s">
        <v>203</v>
      </c>
      <c r="JTD16" s="314" t="s">
        <v>203</v>
      </c>
      <c r="JTE16" s="314" t="s">
        <v>203</v>
      </c>
      <c r="JTF16" s="314" t="s">
        <v>203</v>
      </c>
      <c r="JTG16" s="314" t="s">
        <v>203</v>
      </c>
      <c r="JTH16" s="314" t="s">
        <v>203</v>
      </c>
      <c r="JTI16" s="314" t="s">
        <v>203</v>
      </c>
      <c r="JTJ16" s="314" t="s">
        <v>203</v>
      </c>
      <c r="JTK16" s="314" t="s">
        <v>203</v>
      </c>
      <c r="JTL16" s="314" t="s">
        <v>203</v>
      </c>
      <c r="JTM16" s="314" t="s">
        <v>203</v>
      </c>
      <c r="JTN16" s="314" t="s">
        <v>203</v>
      </c>
      <c r="JTO16" s="314" t="s">
        <v>203</v>
      </c>
      <c r="JTP16" s="314" t="s">
        <v>203</v>
      </c>
      <c r="JTQ16" s="314" t="s">
        <v>203</v>
      </c>
      <c r="JTR16" s="314" t="s">
        <v>203</v>
      </c>
      <c r="JTS16" s="314" t="s">
        <v>203</v>
      </c>
      <c r="JTT16" s="314" t="s">
        <v>203</v>
      </c>
      <c r="JTU16" s="314" t="s">
        <v>203</v>
      </c>
      <c r="JTV16" s="314" t="s">
        <v>203</v>
      </c>
      <c r="JTW16" s="314" t="s">
        <v>203</v>
      </c>
      <c r="JTX16" s="314" t="s">
        <v>203</v>
      </c>
      <c r="JTY16" s="314" t="s">
        <v>203</v>
      </c>
      <c r="JTZ16" s="314" t="s">
        <v>203</v>
      </c>
      <c r="JUA16" s="314" t="s">
        <v>203</v>
      </c>
      <c r="JUB16" s="314" t="s">
        <v>203</v>
      </c>
      <c r="JUC16" s="314" t="s">
        <v>203</v>
      </c>
      <c r="JUD16" s="314" t="s">
        <v>203</v>
      </c>
      <c r="JUE16" s="314" t="s">
        <v>203</v>
      </c>
      <c r="JUF16" s="314" t="s">
        <v>203</v>
      </c>
      <c r="JUG16" s="314" t="s">
        <v>203</v>
      </c>
      <c r="JUH16" s="314" t="s">
        <v>203</v>
      </c>
      <c r="JUI16" s="314" t="s">
        <v>203</v>
      </c>
      <c r="JUJ16" s="314" t="s">
        <v>203</v>
      </c>
      <c r="JUK16" s="314" t="s">
        <v>203</v>
      </c>
      <c r="JUL16" s="314" t="s">
        <v>203</v>
      </c>
      <c r="JUM16" s="314" t="s">
        <v>203</v>
      </c>
      <c r="JUN16" s="314" t="s">
        <v>203</v>
      </c>
      <c r="JUO16" s="314" t="s">
        <v>203</v>
      </c>
      <c r="JUP16" s="314" t="s">
        <v>203</v>
      </c>
      <c r="JUQ16" s="314" t="s">
        <v>203</v>
      </c>
      <c r="JUR16" s="314" t="s">
        <v>203</v>
      </c>
      <c r="JUS16" s="314" t="s">
        <v>203</v>
      </c>
      <c r="JUT16" s="314" t="s">
        <v>203</v>
      </c>
      <c r="JUU16" s="314" t="s">
        <v>203</v>
      </c>
      <c r="JUV16" s="314" t="s">
        <v>203</v>
      </c>
      <c r="JUW16" s="314" t="s">
        <v>203</v>
      </c>
      <c r="JUX16" s="314" t="s">
        <v>203</v>
      </c>
      <c r="JUY16" s="314" t="s">
        <v>203</v>
      </c>
      <c r="JUZ16" s="314" t="s">
        <v>203</v>
      </c>
      <c r="JVA16" s="314" t="s">
        <v>203</v>
      </c>
      <c r="JVB16" s="314" t="s">
        <v>203</v>
      </c>
      <c r="JVC16" s="314" t="s">
        <v>203</v>
      </c>
      <c r="JVD16" s="314" t="s">
        <v>203</v>
      </c>
      <c r="JVE16" s="314" t="s">
        <v>203</v>
      </c>
      <c r="JVF16" s="314" t="s">
        <v>203</v>
      </c>
      <c r="JVG16" s="314" t="s">
        <v>203</v>
      </c>
      <c r="JVH16" s="314" t="s">
        <v>203</v>
      </c>
      <c r="JVI16" s="314" t="s">
        <v>203</v>
      </c>
      <c r="JVJ16" s="314" t="s">
        <v>203</v>
      </c>
      <c r="JVK16" s="314" t="s">
        <v>203</v>
      </c>
      <c r="JVL16" s="314" t="s">
        <v>203</v>
      </c>
      <c r="JVM16" s="314" t="s">
        <v>203</v>
      </c>
      <c r="JVN16" s="314" t="s">
        <v>203</v>
      </c>
      <c r="JVO16" s="314" t="s">
        <v>203</v>
      </c>
      <c r="JVP16" s="314" t="s">
        <v>203</v>
      </c>
      <c r="JVQ16" s="314" t="s">
        <v>203</v>
      </c>
      <c r="JVR16" s="314" t="s">
        <v>203</v>
      </c>
      <c r="JVS16" s="314" t="s">
        <v>203</v>
      </c>
      <c r="JVT16" s="314" t="s">
        <v>203</v>
      </c>
      <c r="JVU16" s="314" t="s">
        <v>203</v>
      </c>
      <c r="JVV16" s="314" t="s">
        <v>203</v>
      </c>
      <c r="JVW16" s="314" t="s">
        <v>203</v>
      </c>
      <c r="JVX16" s="314" t="s">
        <v>203</v>
      </c>
      <c r="JVY16" s="314" t="s">
        <v>203</v>
      </c>
      <c r="JVZ16" s="314" t="s">
        <v>203</v>
      </c>
      <c r="JWA16" s="314" t="s">
        <v>203</v>
      </c>
      <c r="JWB16" s="314" t="s">
        <v>203</v>
      </c>
      <c r="JWC16" s="314" t="s">
        <v>203</v>
      </c>
      <c r="JWD16" s="314" t="s">
        <v>203</v>
      </c>
      <c r="JWE16" s="314" t="s">
        <v>203</v>
      </c>
      <c r="JWF16" s="314" t="s">
        <v>203</v>
      </c>
      <c r="JWG16" s="314" t="s">
        <v>203</v>
      </c>
      <c r="JWH16" s="314" t="s">
        <v>203</v>
      </c>
      <c r="JWI16" s="314" t="s">
        <v>203</v>
      </c>
      <c r="JWJ16" s="314" t="s">
        <v>203</v>
      </c>
      <c r="JWK16" s="314" t="s">
        <v>203</v>
      </c>
      <c r="JWL16" s="314" t="s">
        <v>203</v>
      </c>
      <c r="JWM16" s="314" t="s">
        <v>203</v>
      </c>
      <c r="JWN16" s="314" t="s">
        <v>203</v>
      </c>
      <c r="JWO16" s="314" t="s">
        <v>203</v>
      </c>
      <c r="JWP16" s="314" t="s">
        <v>203</v>
      </c>
      <c r="JWQ16" s="314" t="s">
        <v>203</v>
      </c>
      <c r="JWR16" s="314" t="s">
        <v>203</v>
      </c>
      <c r="JWS16" s="314" t="s">
        <v>203</v>
      </c>
      <c r="JWT16" s="314" t="s">
        <v>203</v>
      </c>
      <c r="JWU16" s="314" t="s">
        <v>203</v>
      </c>
      <c r="JWV16" s="314" t="s">
        <v>203</v>
      </c>
      <c r="JWW16" s="314" t="s">
        <v>203</v>
      </c>
      <c r="JWX16" s="314" t="s">
        <v>203</v>
      </c>
      <c r="JWY16" s="314" t="s">
        <v>203</v>
      </c>
      <c r="JWZ16" s="314" t="s">
        <v>203</v>
      </c>
      <c r="JXA16" s="314" t="s">
        <v>203</v>
      </c>
      <c r="JXB16" s="314" t="s">
        <v>203</v>
      </c>
      <c r="JXC16" s="314" t="s">
        <v>203</v>
      </c>
      <c r="JXD16" s="314" t="s">
        <v>203</v>
      </c>
      <c r="JXE16" s="314" t="s">
        <v>203</v>
      </c>
      <c r="JXF16" s="314" t="s">
        <v>203</v>
      </c>
      <c r="JXG16" s="314" t="s">
        <v>203</v>
      </c>
      <c r="JXH16" s="314" t="s">
        <v>203</v>
      </c>
      <c r="JXI16" s="314" t="s">
        <v>203</v>
      </c>
      <c r="JXJ16" s="314" t="s">
        <v>203</v>
      </c>
      <c r="JXK16" s="314" t="s">
        <v>203</v>
      </c>
      <c r="JXL16" s="314" t="s">
        <v>203</v>
      </c>
      <c r="JXM16" s="314" t="s">
        <v>203</v>
      </c>
      <c r="JXN16" s="314" t="s">
        <v>203</v>
      </c>
      <c r="JXO16" s="314" t="s">
        <v>203</v>
      </c>
      <c r="JXP16" s="314" t="s">
        <v>203</v>
      </c>
      <c r="JXQ16" s="314" t="s">
        <v>203</v>
      </c>
      <c r="JXR16" s="314" t="s">
        <v>203</v>
      </c>
      <c r="JXS16" s="314" t="s">
        <v>203</v>
      </c>
      <c r="JXT16" s="314" t="s">
        <v>203</v>
      </c>
      <c r="JXU16" s="314" t="s">
        <v>203</v>
      </c>
      <c r="JXV16" s="314" t="s">
        <v>203</v>
      </c>
      <c r="JXW16" s="314" t="s">
        <v>203</v>
      </c>
      <c r="JXX16" s="314" t="s">
        <v>203</v>
      </c>
      <c r="JXY16" s="314" t="s">
        <v>203</v>
      </c>
      <c r="JXZ16" s="314" t="s">
        <v>203</v>
      </c>
      <c r="JYA16" s="314" t="s">
        <v>203</v>
      </c>
      <c r="JYB16" s="314" t="s">
        <v>203</v>
      </c>
      <c r="JYC16" s="314" t="s">
        <v>203</v>
      </c>
      <c r="JYD16" s="314" t="s">
        <v>203</v>
      </c>
      <c r="JYE16" s="314" t="s">
        <v>203</v>
      </c>
      <c r="JYF16" s="314" t="s">
        <v>203</v>
      </c>
      <c r="JYG16" s="314" t="s">
        <v>203</v>
      </c>
      <c r="JYH16" s="314" t="s">
        <v>203</v>
      </c>
      <c r="JYI16" s="314" t="s">
        <v>203</v>
      </c>
      <c r="JYJ16" s="314" t="s">
        <v>203</v>
      </c>
      <c r="JYK16" s="314" t="s">
        <v>203</v>
      </c>
      <c r="JYL16" s="314" t="s">
        <v>203</v>
      </c>
      <c r="JYM16" s="314" t="s">
        <v>203</v>
      </c>
      <c r="JYN16" s="314" t="s">
        <v>203</v>
      </c>
      <c r="JYO16" s="314" t="s">
        <v>203</v>
      </c>
      <c r="JYP16" s="314" t="s">
        <v>203</v>
      </c>
      <c r="JYQ16" s="314" t="s">
        <v>203</v>
      </c>
      <c r="JYR16" s="314" t="s">
        <v>203</v>
      </c>
      <c r="JYS16" s="314" t="s">
        <v>203</v>
      </c>
      <c r="JYT16" s="314" t="s">
        <v>203</v>
      </c>
      <c r="JYU16" s="314" t="s">
        <v>203</v>
      </c>
      <c r="JYV16" s="314" t="s">
        <v>203</v>
      </c>
      <c r="JYW16" s="314" t="s">
        <v>203</v>
      </c>
      <c r="JYX16" s="314" t="s">
        <v>203</v>
      </c>
      <c r="JYY16" s="314" t="s">
        <v>203</v>
      </c>
      <c r="JYZ16" s="314" t="s">
        <v>203</v>
      </c>
      <c r="JZA16" s="314" t="s">
        <v>203</v>
      </c>
      <c r="JZB16" s="314" t="s">
        <v>203</v>
      </c>
      <c r="JZC16" s="314" t="s">
        <v>203</v>
      </c>
      <c r="JZD16" s="314" t="s">
        <v>203</v>
      </c>
      <c r="JZE16" s="314" t="s">
        <v>203</v>
      </c>
      <c r="JZF16" s="314" t="s">
        <v>203</v>
      </c>
      <c r="JZG16" s="314" t="s">
        <v>203</v>
      </c>
      <c r="JZH16" s="314" t="s">
        <v>203</v>
      </c>
      <c r="JZI16" s="314" t="s">
        <v>203</v>
      </c>
      <c r="JZJ16" s="314" t="s">
        <v>203</v>
      </c>
      <c r="JZK16" s="314" t="s">
        <v>203</v>
      </c>
      <c r="JZL16" s="314" t="s">
        <v>203</v>
      </c>
      <c r="JZM16" s="314" t="s">
        <v>203</v>
      </c>
      <c r="JZN16" s="314" t="s">
        <v>203</v>
      </c>
      <c r="JZO16" s="314" t="s">
        <v>203</v>
      </c>
      <c r="JZP16" s="314" t="s">
        <v>203</v>
      </c>
      <c r="JZQ16" s="314" t="s">
        <v>203</v>
      </c>
      <c r="JZR16" s="314" t="s">
        <v>203</v>
      </c>
      <c r="JZS16" s="314" t="s">
        <v>203</v>
      </c>
      <c r="JZT16" s="314" t="s">
        <v>203</v>
      </c>
      <c r="JZU16" s="314" t="s">
        <v>203</v>
      </c>
      <c r="JZV16" s="314" t="s">
        <v>203</v>
      </c>
      <c r="JZW16" s="314" t="s">
        <v>203</v>
      </c>
      <c r="JZX16" s="314" t="s">
        <v>203</v>
      </c>
      <c r="JZY16" s="314" t="s">
        <v>203</v>
      </c>
      <c r="JZZ16" s="314" t="s">
        <v>203</v>
      </c>
      <c r="KAA16" s="314" t="s">
        <v>203</v>
      </c>
      <c r="KAB16" s="314" t="s">
        <v>203</v>
      </c>
      <c r="KAC16" s="314" t="s">
        <v>203</v>
      </c>
      <c r="KAD16" s="314" t="s">
        <v>203</v>
      </c>
      <c r="KAE16" s="314" t="s">
        <v>203</v>
      </c>
      <c r="KAF16" s="314" t="s">
        <v>203</v>
      </c>
      <c r="KAG16" s="314" t="s">
        <v>203</v>
      </c>
      <c r="KAH16" s="314" t="s">
        <v>203</v>
      </c>
      <c r="KAI16" s="314" t="s">
        <v>203</v>
      </c>
      <c r="KAJ16" s="314" t="s">
        <v>203</v>
      </c>
      <c r="KAK16" s="314" t="s">
        <v>203</v>
      </c>
      <c r="KAL16" s="314" t="s">
        <v>203</v>
      </c>
      <c r="KAM16" s="314" t="s">
        <v>203</v>
      </c>
      <c r="KAN16" s="314" t="s">
        <v>203</v>
      </c>
      <c r="KAO16" s="314" t="s">
        <v>203</v>
      </c>
      <c r="KAP16" s="314" t="s">
        <v>203</v>
      </c>
      <c r="KAQ16" s="314" t="s">
        <v>203</v>
      </c>
      <c r="KAR16" s="314" t="s">
        <v>203</v>
      </c>
      <c r="KAS16" s="314" t="s">
        <v>203</v>
      </c>
      <c r="KAT16" s="314" t="s">
        <v>203</v>
      </c>
      <c r="KAU16" s="314" t="s">
        <v>203</v>
      </c>
      <c r="KAV16" s="314" t="s">
        <v>203</v>
      </c>
      <c r="KAW16" s="314" t="s">
        <v>203</v>
      </c>
      <c r="KAX16" s="314" t="s">
        <v>203</v>
      </c>
      <c r="KAY16" s="314" t="s">
        <v>203</v>
      </c>
      <c r="KAZ16" s="314" t="s">
        <v>203</v>
      </c>
      <c r="KBA16" s="314" t="s">
        <v>203</v>
      </c>
      <c r="KBB16" s="314" t="s">
        <v>203</v>
      </c>
      <c r="KBC16" s="314" t="s">
        <v>203</v>
      </c>
      <c r="KBD16" s="314" t="s">
        <v>203</v>
      </c>
      <c r="KBE16" s="314" t="s">
        <v>203</v>
      </c>
      <c r="KBF16" s="314" t="s">
        <v>203</v>
      </c>
      <c r="KBG16" s="314" t="s">
        <v>203</v>
      </c>
      <c r="KBH16" s="314" t="s">
        <v>203</v>
      </c>
      <c r="KBI16" s="314" t="s">
        <v>203</v>
      </c>
      <c r="KBJ16" s="314" t="s">
        <v>203</v>
      </c>
      <c r="KBK16" s="314" t="s">
        <v>203</v>
      </c>
      <c r="KBL16" s="314" t="s">
        <v>203</v>
      </c>
      <c r="KBM16" s="314" t="s">
        <v>203</v>
      </c>
      <c r="KBN16" s="314" t="s">
        <v>203</v>
      </c>
      <c r="KBO16" s="314" t="s">
        <v>203</v>
      </c>
      <c r="KBP16" s="314" t="s">
        <v>203</v>
      </c>
      <c r="KBQ16" s="314" t="s">
        <v>203</v>
      </c>
      <c r="KBR16" s="314" t="s">
        <v>203</v>
      </c>
      <c r="KBS16" s="314" t="s">
        <v>203</v>
      </c>
      <c r="KBT16" s="314" t="s">
        <v>203</v>
      </c>
      <c r="KBU16" s="314" t="s">
        <v>203</v>
      </c>
      <c r="KBV16" s="314" t="s">
        <v>203</v>
      </c>
      <c r="KBW16" s="314" t="s">
        <v>203</v>
      </c>
      <c r="KBX16" s="314" t="s">
        <v>203</v>
      </c>
      <c r="KBY16" s="314" t="s">
        <v>203</v>
      </c>
      <c r="KBZ16" s="314" t="s">
        <v>203</v>
      </c>
      <c r="KCA16" s="314" t="s">
        <v>203</v>
      </c>
      <c r="KCB16" s="314" t="s">
        <v>203</v>
      </c>
      <c r="KCC16" s="314" t="s">
        <v>203</v>
      </c>
      <c r="KCD16" s="314" t="s">
        <v>203</v>
      </c>
      <c r="KCE16" s="314" t="s">
        <v>203</v>
      </c>
      <c r="KCF16" s="314" t="s">
        <v>203</v>
      </c>
      <c r="KCG16" s="314" t="s">
        <v>203</v>
      </c>
      <c r="KCH16" s="314" t="s">
        <v>203</v>
      </c>
      <c r="KCI16" s="314" t="s">
        <v>203</v>
      </c>
      <c r="KCJ16" s="314" t="s">
        <v>203</v>
      </c>
      <c r="KCK16" s="314" t="s">
        <v>203</v>
      </c>
      <c r="KCL16" s="314" t="s">
        <v>203</v>
      </c>
      <c r="KCM16" s="314" t="s">
        <v>203</v>
      </c>
      <c r="KCN16" s="314" t="s">
        <v>203</v>
      </c>
      <c r="KCO16" s="314" t="s">
        <v>203</v>
      </c>
      <c r="KCP16" s="314" t="s">
        <v>203</v>
      </c>
      <c r="KCQ16" s="314" t="s">
        <v>203</v>
      </c>
      <c r="KCR16" s="314" t="s">
        <v>203</v>
      </c>
      <c r="KCS16" s="314" t="s">
        <v>203</v>
      </c>
      <c r="KCT16" s="314" t="s">
        <v>203</v>
      </c>
      <c r="KCU16" s="314" t="s">
        <v>203</v>
      </c>
      <c r="KCV16" s="314" t="s">
        <v>203</v>
      </c>
      <c r="KCW16" s="314" t="s">
        <v>203</v>
      </c>
      <c r="KCX16" s="314" t="s">
        <v>203</v>
      </c>
      <c r="KCY16" s="314" t="s">
        <v>203</v>
      </c>
      <c r="KCZ16" s="314" t="s">
        <v>203</v>
      </c>
      <c r="KDA16" s="314" t="s">
        <v>203</v>
      </c>
      <c r="KDB16" s="314" t="s">
        <v>203</v>
      </c>
      <c r="KDC16" s="314" t="s">
        <v>203</v>
      </c>
      <c r="KDD16" s="314" t="s">
        <v>203</v>
      </c>
      <c r="KDE16" s="314" t="s">
        <v>203</v>
      </c>
      <c r="KDF16" s="314" t="s">
        <v>203</v>
      </c>
      <c r="KDG16" s="314" t="s">
        <v>203</v>
      </c>
      <c r="KDH16" s="314" t="s">
        <v>203</v>
      </c>
      <c r="KDI16" s="314" t="s">
        <v>203</v>
      </c>
      <c r="KDJ16" s="314" t="s">
        <v>203</v>
      </c>
      <c r="KDK16" s="314" t="s">
        <v>203</v>
      </c>
      <c r="KDL16" s="314" t="s">
        <v>203</v>
      </c>
      <c r="KDM16" s="314" t="s">
        <v>203</v>
      </c>
      <c r="KDN16" s="314" t="s">
        <v>203</v>
      </c>
      <c r="KDO16" s="314" t="s">
        <v>203</v>
      </c>
      <c r="KDP16" s="314" t="s">
        <v>203</v>
      </c>
      <c r="KDQ16" s="314" t="s">
        <v>203</v>
      </c>
      <c r="KDR16" s="314" t="s">
        <v>203</v>
      </c>
      <c r="KDS16" s="314" t="s">
        <v>203</v>
      </c>
      <c r="KDT16" s="314" t="s">
        <v>203</v>
      </c>
      <c r="KDU16" s="314" t="s">
        <v>203</v>
      </c>
      <c r="KDV16" s="314" t="s">
        <v>203</v>
      </c>
      <c r="KDW16" s="314" t="s">
        <v>203</v>
      </c>
      <c r="KDX16" s="314" t="s">
        <v>203</v>
      </c>
      <c r="KDY16" s="314" t="s">
        <v>203</v>
      </c>
      <c r="KDZ16" s="314" t="s">
        <v>203</v>
      </c>
      <c r="KEA16" s="314" t="s">
        <v>203</v>
      </c>
      <c r="KEB16" s="314" t="s">
        <v>203</v>
      </c>
      <c r="KEC16" s="314" t="s">
        <v>203</v>
      </c>
      <c r="KED16" s="314" t="s">
        <v>203</v>
      </c>
      <c r="KEE16" s="314" t="s">
        <v>203</v>
      </c>
      <c r="KEF16" s="314" t="s">
        <v>203</v>
      </c>
      <c r="KEG16" s="314" t="s">
        <v>203</v>
      </c>
      <c r="KEH16" s="314" t="s">
        <v>203</v>
      </c>
      <c r="KEI16" s="314" t="s">
        <v>203</v>
      </c>
      <c r="KEJ16" s="314" t="s">
        <v>203</v>
      </c>
      <c r="KEK16" s="314" t="s">
        <v>203</v>
      </c>
      <c r="KEL16" s="314" t="s">
        <v>203</v>
      </c>
      <c r="KEM16" s="314" t="s">
        <v>203</v>
      </c>
      <c r="KEN16" s="314" t="s">
        <v>203</v>
      </c>
      <c r="KEO16" s="314" t="s">
        <v>203</v>
      </c>
      <c r="KEP16" s="314" t="s">
        <v>203</v>
      </c>
      <c r="KEQ16" s="314" t="s">
        <v>203</v>
      </c>
      <c r="KER16" s="314" t="s">
        <v>203</v>
      </c>
      <c r="KES16" s="314" t="s">
        <v>203</v>
      </c>
      <c r="KET16" s="314" t="s">
        <v>203</v>
      </c>
      <c r="KEU16" s="314" t="s">
        <v>203</v>
      </c>
      <c r="KEV16" s="314" t="s">
        <v>203</v>
      </c>
      <c r="KEW16" s="314" t="s">
        <v>203</v>
      </c>
      <c r="KEX16" s="314" t="s">
        <v>203</v>
      </c>
      <c r="KEY16" s="314" t="s">
        <v>203</v>
      </c>
      <c r="KEZ16" s="314" t="s">
        <v>203</v>
      </c>
      <c r="KFA16" s="314" t="s">
        <v>203</v>
      </c>
      <c r="KFB16" s="314" t="s">
        <v>203</v>
      </c>
      <c r="KFC16" s="314" t="s">
        <v>203</v>
      </c>
      <c r="KFD16" s="314" t="s">
        <v>203</v>
      </c>
      <c r="KFE16" s="314" t="s">
        <v>203</v>
      </c>
      <c r="KFF16" s="314" t="s">
        <v>203</v>
      </c>
      <c r="KFG16" s="314" t="s">
        <v>203</v>
      </c>
      <c r="KFH16" s="314" t="s">
        <v>203</v>
      </c>
      <c r="KFI16" s="314" t="s">
        <v>203</v>
      </c>
      <c r="KFJ16" s="314" t="s">
        <v>203</v>
      </c>
      <c r="KFK16" s="314" t="s">
        <v>203</v>
      </c>
      <c r="KFL16" s="314" t="s">
        <v>203</v>
      </c>
      <c r="KFM16" s="314" t="s">
        <v>203</v>
      </c>
      <c r="KFN16" s="314" t="s">
        <v>203</v>
      </c>
      <c r="KFO16" s="314" t="s">
        <v>203</v>
      </c>
      <c r="KFP16" s="314" t="s">
        <v>203</v>
      </c>
      <c r="KFQ16" s="314" t="s">
        <v>203</v>
      </c>
      <c r="KFR16" s="314" t="s">
        <v>203</v>
      </c>
      <c r="KFS16" s="314" t="s">
        <v>203</v>
      </c>
      <c r="KFT16" s="314" t="s">
        <v>203</v>
      </c>
      <c r="KFU16" s="314" t="s">
        <v>203</v>
      </c>
      <c r="KFV16" s="314" t="s">
        <v>203</v>
      </c>
      <c r="KFW16" s="314" t="s">
        <v>203</v>
      </c>
      <c r="KFX16" s="314" t="s">
        <v>203</v>
      </c>
      <c r="KFY16" s="314" t="s">
        <v>203</v>
      </c>
      <c r="KFZ16" s="314" t="s">
        <v>203</v>
      </c>
      <c r="KGA16" s="314" t="s">
        <v>203</v>
      </c>
      <c r="KGB16" s="314" t="s">
        <v>203</v>
      </c>
      <c r="KGC16" s="314" t="s">
        <v>203</v>
      </c>
      <c r="KGD16" s="314" t="s">
        <v>203</v>
      </c>
      <c r="KGE16" s="314" t="s">
        <v>203</v>
      </c>
      <c r="KGF16" s="314" t="s">
        <v>203</v>
      </c>
      <c r="KGG16" s="314" t="s">
        <v>203</v>
      </c>
      <c r="KGH16" s="314" t="s">
        <v>203</v>
      </c>
      <c r="KGI16" s="314" t="s">
        <v>203</v>
      </c>
      <c r="KGJ16" s="314" t="s">
        <v>203</v>
      </c>
      <c r="KGK16" s="314" t="s">
        <v>203</v>
      </c>
      <c r="KGL16" s="314" t="s">
        <v>203</v>
      </c>
      <c r="KGM16" s="314" t="s">
        <v>203</v>
      </c>
      <c r="KGN16" s="314" t="s">
        <v>203</v>
      </c>
      <c r="KGO16" s="314" t="s">
        <v>203</v>
      </c>
      <c r="KGP16" s="314" t="s">
        <v>203</v>
      </c>
      <c r="KGQ16" s="314" t="s">
        <v>203</v>
      </c>
      <c r="KGR16" s="314" t="s">
        <v>203</v>
      </c>
      <c r="KGS16" s="314" t="s">
        <v>203</v>
      </c>
      <c r="KGT16" s="314" t="s">
        <v>203</v>
      </c>
      <c r="KGU16" s="314" t="s">
        <v>203</v>
      </c>
      <c r="KGV16" s="314" t="s">
        <v>203</v>
      </c>
      <c r="KGW16" s="314" t="s">
        <v>203</v>
      </c>
      <c r="KGX16" s="314" t="s">
        <v>203</v>
      </c>
      <c r="KGY16" s="314" t="s">
        <v>203</v>
      </c>
      <c r="KGZ16" s="314" t="s">
        <v>203</v>
      </c>
      <c r="KHA16" s="314" t="s">
        <v>203</v>
      </c>
      <c r="KHB16" s="314" t="s">
        <v>203</v>
      </c>
      <c r="KHC16" s="314" t="s">
        <v>203</v>
      </c>
      <c r="KHD16" s="314" t="s">
        <v>203</v>
      </c>
      <c r="KHE16" s="314" t="s">
        <v>203</v>
      </c>
      <c r="KHF16" s="314" t="s">
        <v>203</v>
      </c>
      <c r="KHG16" s="314" t="s">
        <v>203</v>
      </c>
      <c r="KHH16" s="314" t="s">
        <v>203</v>
      </c>
      <c r="KHI16" s="314" t="s">
        <v>203</v>
      </c>
      <c r="KHJ16" s="314" t="s">
        <v>203</v>
      </c>
      <c r="KHK16" s="314" t="s">
        <v>203</v>
      </c>
      <c r="KHL16" s="314" t="s">
        <v>203</v>
      </c>
      <c r="KHM16" s="314" t="s">
        <v>203</v>
      </c>
      <c r="KHN16" s="314" t="s">
        <v>203</v>
      </c>
      <c r="KHO16" s="314" t="s">
        <v>203</v>
      </c>
      <c r="KHP16" s="314" t="s">
        <v>203</v>
      </c>
      <c r="KHQ16" s="314" t="s">
        <v>203</v>
      </c>
      <c r="KHR16" s="314" t="s">
        <v>203</v>
      </c>
      <c r="KHS16" s="314" t="s">
        <v>203</v>
      </c>
      <c r="KHT16" s="314" t="s">
        <v>203</v>
      </c>
      <c r="KHU16" s="314" t="s">
        <v>203</v>
      </c>
      <c r="KHV16" s="314" t="s">
        <v>203</v>
      </c>
      <c r="KHW16" s="314" t="s">
        <v>203</v>
      </c>
      <c r="KHX16" s="314" t="s">
        <v>203</v>
      </c>
      <c r="KHY16" s="314" t="s">
        <v>203</v>
      </c>
      <c r="KHZ16" s="314" t="s">
        <v>203</v>
      </c>
      <c r="KIA16" s="314" t="s">
        <v>203</v>
      </c>
      <c r="KIB16" s="314" t="s">
        <v>203</v>
      </c>
      <c r="KIC16" s="314" t="s">
        <v>203</v>
      </c>
      <c r="KID16" s="314" t="s">
        <v>203</v>
      </c>
      <c r="KIE16" s="314" t="s">
        <v>203</v>
      </c>
      <c r="KIF16" s="314" t="s">
        <v>203</v>
      </c>
      <c r="KIG16" s="314" t="s">
        <v>203</v>
      </c>
      <c r="KIH16" s="314" t="s">
        <v>203</v>
      </c>
      <c r="KII16" s="314" t="s">
        <v>203</v>
      </c>
      <c r="KIJ16" s="314" t="s">
        <v>203</v>
      </c>
      <c r="KIK16" s="314" t="s">
        <v>203</v>
      </c>
      <c r="KIL16" s="314" t="s">
        <v>203</v>
      </c>
      <c r="KIM16" s="314" t="s">
        <v>203</v>
      </c>
      <c r="KIN16" s="314" t="s">
        <v>203</v>
      </c>
      <c r="KIO16" s="314" t="s">
        <v>203</v>
      </c>
      <c r="KIP16" s="314" t="s">
        <v>203</v>
      </c>
      <c r="KIQ16" s="314" t="s">
        <v>203</v>
      </c>
      <c r="KIR16" s="314" t="s">
        <v>203</v>
      </c>
      <c r="KIS16" s="314" t="s">
        <v>203</v>
      </c>
      <c r="KIT16" s="314" t="s">
        <v>203</v>
      </c>
      <c r="KIU16" s="314" t="s">
        <v>203</v>
      </c>
      <c r="KIV16" s="314" t="s">
        <v>203</v>
      </c>
      <c r="KIW16" s="314" t="s">
        <v>203</v>
      </c>
      <c r="KIX16" s="314" t="s">
        <v>203</v>
      </c>
      <c r="KIY16" s="314" t="s">
        <v>203</v>
      </c>
      <c r="KIZ16" s="314" t="s">
        <v>203</v>
      </c>
      <c r="KJA16" s="314" t="s">
        <v>203</v>
      </c>
      <c r="KJB16" s="314" t="s">
        <v>203</v>
      </c>
      <c r="KJC16" s="314" t="s">
        <v>203</v>
      </c>
      <c r="KJD16" s="314" t="s">
        <v>203</v>
      </c>
      <c r="KJE16" s="314" t="s">
        <v>203</v>
      </c>
      <c r="KJF16" s="314" t="s">
        <v>203</v>
      </c>
      <c r="KJG16" s="314" t="s">
        <v>203</v>
      </c>
      <c r="KJH16" s="314" t="s">
        <v>203</v>
      </c>
      <c r="KJI16" s="314" t="s">
        <v>203</v>
      </c>
      <c r="KJJ16" s="314" t="s">
        <v>203</v>
      </c>
      <c r="KJK16" s="314" t="s">
        <v>203</v>
      </c>
      <c r="KJL16" s="314" t="s">
        <v>203</v>
      </c>
      <c r="KJM16" s="314" t="s">
        <v>203</v>
      </c>
      <c r="KJN16" s="314" t="s">
        <v>203</v>
      </c>
      <c r="KJO16" s="314" t="s">
        <v>203</v>
      </c>
      <c r="KJP16" s="314" t="s">
        <v>203</v>
      </c>
      <c r="KJQ16" s="314" t="s">
        <v>203</v>
      </c>
      <c r="KJR16" s="314" t="s">
        <v>203</v>
      </c>
      <c r="KJS16" s="314" t="s">
        <v>203</v>
      </c>
      <c r="KJT16" s="314" t="s">
        <v>203</v>
      </c>
      <c r="KJU16" s="314" t="s">
        <v>203</v>
      </c>
      <c r="KJV16" s="314" t="s">
        <v>203</v>
      </c>
      <c r="KJW16" s="314" t="s">
        <v>203</v>
      </c>
      <c r="KJX16" s="314" t="s">
        <v>203</v>
      </c>
      <c r="KJY16" s="314" t="s">
        <v>203</v>
      </c>
      <c r="KJZ16" s="314" t="s">
        <v>203</v>
      </c>
      <c r="KKA16" s="314" t="s">
        <v>203</v>
      </c>
      <c r="KKB16" s="314" t="s">
        <v>203</v>
      </c>
      <c r="KKC16" s="314" t="s">
        <v>203</v>
      </c>
      <c r="KKD16" s="314" t="s">
        <v>203</v>
      </c>
      <c r="KKE16" s="314" t="s">
        <v>203</v>
      </c>
      <c r="KKF16" s="314" t="s">
        <v>203</v>
      </c>
      <c r="KKG16" s="314" t="s">
        <v>203</v>
      </c>
      <c r="KKH16" s="314" t="s">
        <v>203</v>
      </c>
      <c r="KKI16" s="314" t="s">
        <v>203</v>
      </c>
      <c r="KKJ16" s="314" t="s">
        <v>203</v>
      </c>
      <c r="KKK16" s="314" t="s">
        <v>203</v>
      </c>
      <c r="KKL16" s="314" t="s">
        <v>203</v>
      </c>
      <c r="KKM16" s="314" t="s">
        <v>203</v>
      </c>
      <c r="KKN16" s="314" t="s">
        <v>203</v>
      </c>
      <c r="KKO16" s="314" t="s">
        <v>203</v>
      </c>
      <c r="KKP16" s="314" t="s">
        <v>203</v>
      </c>
      <c r="KKQ16" s="314" t="s">
        <v>203</v>
      </c>
      <c r="KKR16" s="314" t="s">
        <v>203</v>
      </c>
      <c r="KKS16" s="314" t="s">
        <v>203</v>
      </c>
      <c r="KKT16" s="314" t="s">
        <v>203</v>
      </c>
      <c r="KKU16" s="314" t="s">
        <v>203</v>
      </c>
      <c r="KKV16" s="314" t="s">
        <v>203</v>
      </c>
      <c r="KKW16" s="314" t="s">
        <v>203</v>
      </c>
      <c r="KKX16" s="314" t="s">
        <v>203</v>
      </c>
      <c r="KKY16" s="314" t="s">
        <v>203</v>
      </c>
      <c r="KKZ16" s="314" t="s">
        <v>203</v>
      </c>
      <c r="KLA16" s="314" t="s">
        <v>203</v>
      </c>
      <c r="KLB16" s="314" t="s">
        <v>203</v>
      </c>
      <c r="KLC16" s="314" t="s">
        <v>203</v>
      </c>
      <c r="KLD16" s="314" t="s">
        <v>203</v>
      </c>
      <c r="KLE16" s="314" t="s">
        <v>203</v>
      </c>
      <c r="KLF16" s="314" t="s">
        <v>203</v>
      </c>
      <c r="KLG16" s="314" t="s">
        <v>203</v>
      </c>
      <c r="KLH16" s="314" t="s">
        <v>203</v>
      </c>
      <c r="KLI16" s="314" t="s">
        <v>203</v>
      </c>
      <c r="KLJ16" s="314" t="s">
        <v>203</v>
      </c>
      <c r="KLK16" s="314" t="s">
        <v>203</v>
      </c>
      <c r="KLL16" s="314" t="s">
        <v>203</v>
      </c>
      <c r="KLM16" s="314" t="s">
        <v>203</v>
      </c>
      <c r="KLN16" s="314" t="s">
        <v>203</v>
      </c>
      <c r="KLO16" s="314" t="s">
        <v>203</v>
      </c>
      <c r="KLP16" s="314" t="s">
        <v>203</v>
      </c>
      <c r="KLQ16" s="314" t="s">
        <v>203</v>
      </c>
      <c r="KLR16" s="314" t="s">
        <v>203</v>
      </c>
      <c r="KLS16" s="314" t="s">
        <v>203</v>
      </c>
      <c r="KLT16" s="314" t="s">
        <v>203</v>
      </c>
      <c r="KLU16" s="314" t="s">
        <v>203</v>
      </c>
      <c r="KLV16" s="314" t="s">
        <v>203</v>
      </c>
      <c r="KLW16" s="314" t="s">
        <v>203</v>
      </c>
      <c r="KLX16" s="314" t="s">
        <v>203</v>
      </c>
      <c r="KLY16" s="314" t="s">
        <v>203</v>
      </c>
      <c r="KLZ16" s="314" t="s">
        <v>203</v>
      </c>
      <c r="KMA16" s="314" t="s">
        <v>203</v>
      </c>
      <c r="KMB16" s="314" t="s">
        <v>203</v>
      </c>
      <c r="KMC16" s="314" t="s">
        <v>203</v>
      </c>
      <c r="KMD16" s="314" t="s">
        <v>203</v>
      </c>
      <c r="KME16" s="314" t="s">
        <v>203</v>
      </c>
      <c r="KMF16" s="314" t="s">
        <v>203</v>
      </c>
      <c r="KMG16" s="314" t="s">
        <v>203</v>
      </c>
      <c r="KMH16" s="314" t="s">
        <v>203</v>
      </c>
      <c r="KMI16" s="314" t="s">
        <v>203</v>
      </c>
      <c r="KMJ16" s="314" t="s">
        <v>203</v>
      </c>
      <c r="KMK16" s="314" t="s">
        <v>203</v>
      </c>
      <c r="KML16" s="314" t="s">
        <v>203</v>
      </c>
      <c r="KMM16" s="314" t="s">
        <v>203</v>
      </c>
      <c r="KMN16" s="314" t="s">
        <v>203</v>
      </c>
      <c r="KMO16" s="314" t="s">
        <v>203</v>
      </c>
      <c r="KMP16" s="314" t="s">
        <v>203</v>
      </c>
      <c r="KMQ16" s="314" t="s">
        <v>203</v>
      </c>
      <c r="KMR16" s="314" t="s">
        <v>203</v>
      </c>
      <c r="KMS16" s="314" t="s">
        <v>203</v>
      </c>
      <c r="KMT16" s="314" t="s">
        <v>203</v>
      </c>
      <c r="KMU16" s="314" t="s">
        <v>203</v>
      </c>
      <c r="KMV16" s="314" t="s">
        <v>203</v>
      </c>
      <c r="KMW16" s="314" t="s">
        <v>203</v>
      </c>
      <c r="KMX16" s="314" t="s">
        <v>203</v>
      </c>
      <c r="KMY16" s="314" t="s">
        <v>203</v>
      </c>
      <c r="KMZ16" s="314" t="s">
        <v>203</v>
      </c>
      <c r="KNA16" s="314" t="s">
        <v>203</v>
      </c>
      <c r="KNB16" s="314" t="s">
        <v>203</v>
      </c>
      <c r="KNC16" s="314" t="s">
        <v>203</v>
      </c>
      <c r="KND16" s="314" t="s">
        <v>203</v>
      </c>
      <c r="KNE16" s="314" t="s">
        <v>203</v>
      </c>
      <c r="KNF16" s="314" t="s">
        <v>203</v>
      </c>
      <c r="KNG16" s="314" t="s">
        <v>203</v>
      </c>
      <c r="KNH16" s="314" t="s">
        <v>203</v>
      </c>
      <c r="KNI16" s="314" t="s">
        <v>203</v>
      </c>
      <c r="KNJ16" s="314" t="s">
        <v>203</v>
      </c>
      <c r="KNK16" s="314" t="s">
        <v>203</v>
      </c>
      <c r="KNL16" s="314" t="s">
        <v>203</v>
      </c>
      <c r="KNM16" s="314" t="s">
        <v>203</v>
      </c>
      <c r="KNN16" s="314" t="s">
        <v>203</v>
      </c>
      <c r="KNO16" s="314" t="s">
        <v>203</v>
      </c>
      <c r="KNP16" s="314" t="s">
        <v>203</v>
      </c>
      <c r="KNQ16" s="314" t="s">
        <v>203</v>
      </c>
      <c r="KNR16" s="314" t="s">
        <v>203</v>
      </c>
      <c r="KNS16" s="314" t="s">
        <v>203</v>
      </c>
      <c r="KNT16" s="314" t="s">
        <v>203</v>
      </c>
      <c r="KNU16" s="314" t="s">
        <v>203</v>
      </c>
      <c r="KNV16" s="314" t="s">
        <v>203</v>
      </c>
      <c r="KNW16" s="314" t="s">
        <v>203</v>
      </c>
      <c r="KNX16" s="314" t="s">
        <v>203</v>
      </c>
      <c r="KNY16" s="314" t="s">
        <v>203</v>
      </c>
      <c r="KNZ16" s="314" t="s">
        <v>203</v>
      </c>
      <c r="KOA16" s="314" t="s">
        <v>203</v>
      </c>
      <c r="KOB16" s="314" t="s">
        <v>203</v>
      </c>
      <c r="KOC16" s="314" t="s">
        <v>203</v>
      </c>
      <c r="KOD16" s="314" t="s">
        <v>203</v>
      </c>
      <c r="KOE16" s="314" t="s">
        <v>203</v>
      </c>
      <c r="KOF16" s="314" t="s">
        <v>203</v>
      </c>
      <c r="KOG16" s="314" t="s">
        <v>203</v>
      </c>
      <c r="KOH16" s="314" t="s">
        <v>203</v>
      </c>
      <c r="KOI16" s="314" t="s">
        <v>203</v>
      </c>
      <c r="KOJ16" s="314" t="s">
        <v>203</v>
      </c>
      <c r="KOK16" s="314" t="s">
        <v>203</v>
      </c>
      <c r="KOL16" s="314" t="s">
        <v>203</v>
      </c>
      <c r="KOM16" s="314" t="s">
        <v>203</v>
      </c>
      <c r="KON16" s="314" t="s">
        <v>203</v>
      </c>
      <c r="KOO16" s="314" t="s">
        <v>203</v>
      </c>
      <c r="KOP16" s="314" t="s">
        <v>203</v>
      </c>
      <c r="KOQ16" s="314" t="s">
        <v>203</v>
      </c>
      <c r="KOR16" s="314" t="s">
        <v>203</v>
      </c>
      <c r="KOS16" s="314" t="s">
        <v>203</v>
      </c>
      <c r="KOT16" s="314" t="s">
        <v>203</v>
      </c>
      <c r="KOU16" s="314" t="s">
        <v>203</v>
      </c>
      <c r="KOV16" s="314" t="s">
        <v>203</v>
      </c>
      <c r="KOW16" s="314" t="s">
        <v>203</v>
      </c>
      <c r="KOX16" s="314" t="s">
        <v>203</v>
      </c>
      <c r="KOY16" s="314" t="s">
        <v>203</v>
      </c>
      <c r="KOZ16" s="314" t="s">
        <v>203</v>
      </c>
      <c r="KPA16" s="314" t="s">
        <v>203</v>
      </c>
      <c r="KPB16" s="314" t="s">
        <v>203</v>
      </c>
      <c r="KPC16" s="314" t="s">
        <v>203</v>
      </c>
      <c r="KPD16" s="314" t="s">
        <v>203</v>
      </c>
      <c r="KPE16" s="314" t="s">
        <v>203</v>
      </c>
      <c r="KPF16" s="314" t="s">
        <v>203</v>
      </c>
      <c r="KPG16" s="314" t="s">
        <v>203</v>
      </c>
      <c r="KPH16" s="314" t="s">
        <v>203</v>
      </c>
      <c r="KPI16" s="314" t="s">
        <v>203</v>
      </c>
      <c r="KPJ16" s="314" t="s">
        <v>203</v>
      </c>
      <c r="KPK16" s="314" t="s">
        <v>203</v>
      </c>
      <c r="KPL16" s="314" t="s">
        <v>203</v>
      </c>
      <c r="KPM16" s="314" t="s">
        <v>203</v>
      </c>
      <c r="KPN16" s="314" t="s">
        <v>203</v>
      </c>
      <c r="KPO16" s="314" t="s">
        <v>203</v>
      </c>
      <c r="KPP16" s="314" t="s">
        <v>203</v>
      </c>
      <c r="KPQ16" s="314" t="s">
        <v>203</v>
      </c>
      <c r="KPR16" s="314" t="s">
        <v>203</v>
      </c>
      <c r="KPS16" s="314" t="s">
        <v>203</v>
      </c>
      <c r="KPT16" s="314" t="s">
        <v>203</v>
      </c>
      <c r="KPU16" s="314" t="s">
        <v>203</v>
      </c>
      <c r="KPV16" s="314" t="s">
        <v>203</v>
      </c>
      <c r="KPW16" s="314" t="s">
        <v>203</v>
      </c>
      <c r="KPX16" s="314" t="s">
        <v>203</v>
      </c>
      <c r="KPY16" s="314" t="s">
        <v>203</v>
      </c>
      <c r="KPZ16" s="314" t="s">
        <v>203</v>
      </c>
      <c r="KQA16" s="314" t="s">
        <v>203</v>
      </c>
      <c r="KQB16" s="314" t="s">
        <v>203</v>
      </c>
      <c r="KQC16" s="314" t="s">
        <v>203</v>
      </c>
      <c r="KQD16" s="314" t="s">
        <v>203</v>
      </c>
      <c r="KQE16" s="314" t="s">
        <v>203</v>
      </c>
      <c r="KQF16" s="314" t="s">
        <v>203</v>
      </c>
      <c r="KQG16" s="314" t="s">
        <v>203</v>
      </c>
      <c r="KQH16" s="314" t="s">
        <v>203</v>
      </c>
      <c r="KQI16" s="314" t="s">
        <v>203</v>
      </c>
      <c r="KQJ16" s="314" t="s">
        <v>203</v>
      </c>
      <c r="KQK16" s="314" t="s">
        <v>203</v>
      </c>
      <c r="KQL16" s="314" t="s">
        <v>203</v>
      </c>
      <c r="KQM16" s="314" t="s">
        <v>203</v>
      </c>
      <c r="KQN16" s="314" t="s">
        <v>203</v>
      </c>
      <c r="KQO16" s="314" t="s">
        <v>203</v>
      </c>
      <c r="KQP16" s="314" t="s">
        <v>203</v>
      </c>
      <c r="KQQ16" s="314" t="s">
        <v>203</v>
      </c>
      <c r="KQR16" s="314" t="s">
        <v>203</v>
      </c>
      <c r="KQS16" s="314" t="s">
        <v>203</v>
      </c>
      <c r="KQT16" s="314" t="s">
        <v>203</v>
      </c>
      <c r="KQU16" s="314" t="s">
        <v>203</v>
      </c>
      <c r="KQV16" s="314" t="s">
        <v>203</v>
      </c>
      <c r="KQW16" s="314" t="s">
        <v>203</v>
      </c>
      <c r="KQX16" s="314" t="s">
        <v>203</v>
      </c>
      <c r="KQY16" s="314" t="s">
        <v>203</v>
      </c>
      <c r="KQZ16" s="314" t="s">
        <v>203</v>
      </c>
      <c r="KRA16" s="314" t="s">
        <v>203</v>
      </c>
      <c r="KRB16" s="314" t="s">
        <v>203</v>
      </c>
      <c r="KRC16" s="314" t="s">
        <v>203</v>
      </c>
      <c r="KRD16" s="314" t="s">
        <v>203</v>
      </c>
      <c r="KRE16" s="314" t="s">
        <v>203</v>
      </c>
      <c r="KRF16" s="314" t="s">
        <v>203</v>
      </c>
      <c r="KRG16" s="314" t="s">
        <v>203</v>
      </c>
      <c r="KRH16" s="314" t="s">
        <v>203</v>
      </c>
      <c r="KRI16" s="314" t="s">
        <v>203</v>
      </c>
      <c r="KRJ16" s="314" t="s">
        <v>203</v>
      </c>
      <c r="KRK16" s="314" t="s">
        <v>203</v>
      </c>
      <c r="KRL16" s="314" t="s">
        <v>203</v>
      </c>
      <c r="KRM16" s="314" t="s">
        <v>203</v>
      </c>
      <c r="KRN16" s="314" t="s">
        <v>203</v>
      </c>
      <c r="KRO16" s="314" t="s">
        <v>203</v>
      </c>
      <c r="KRP16" s="314" t="s">
        <v>203</v>
      </c>
      <c r="KRQ16" s="314" t="s">
        <v>203</v>
      </c>
      <c r="KRR16" s="314" t="s">
        <v>203</v>
      </c>
      <c r="KRS16" s="314" t="s">
        <v>203</v>
      </c>
      <c r="KRT16" s="314" t="s">
        <v>203</v>
      </c>
      <c r="KRU16" s="314" t="s">
        <v>203</v>
      </c>
      <c r="KRV16" s="314" t="s">
        <v>203</v>
      </c>
      <c r="KRW16" s="314" t="s">
        <v>203</v>
      </c>
      <c r="KRX16" s="314" t="s">
        <v>203</v>
      </c>
      <c r="KRY16" s="314" t="s">
        <v>203</v>
      </c>
      <c r="KRZ16" s="314" t="s">
        <v>203</v>
      </c>
      <c r="KSA16" s="314" t="s">
        <v>203</v>
      </c>
      <c r="KSB16" s="314" t="s">
        <v>203</v>
      </c>
      <c r="KSC16" s="314" t="s">
        <v>203</v>
      </c>
      <c r="KSD16" s="314" t="s">
        <v>203</v>
      </c>
      <c r="KSE16" s="314" t="s">
        <v>203</v>
      </c>
      <c r="KSF16" s="314" t="s">
        <v>203</v>
      </c>
      <c r="KSG16" s="314" t="s">
        <v>203</v>
      </c>
      <c r="KSH16" s="314" t="s">
        <v>203</v>
      </c>
      <c r="KSI16" s="314" t="s">
        <v>203</v>
      </c>
      <c r="KSJ16" s="314" t="s">
        <v>203</v>
      </c>
      <c r="KSK16" s="314" t="s">
        <v>203</v>
      </c>
      <c r="KSL16" s="314" t="s">
        <v>203</v>
      </c>
      <c r="KSM16" s="314" t="s">
        <v>203</v>
      </c>
      <c r="KSN16" s="314" t="s">
        <v>203</v>
      </c>
      <c r="KSO16" s="314" t="s">
        <v>203</v>
      </c>
      <c r="KSP16" s="314" t="s">
        <v>203</v>
      </c>
      <c r="KSQ16" s="314" t="s">
        <v>203</v>
      </c>
      <c r="KSR16" s="314" t="s">
        <v>203</v>
      </c>
      <c r="KSS16" s="314" t="s">
        <v>203</v>
      </c>
      <c r="KST16" s="314" t="s">
        <v>203</v>
      </c>
      <c r="KSU16" s="314" t="s">
        <v>203</v>
      </c>
      <c r="KSV16" s="314" t="s">
        <v>203</v>
      </c>
      <c r="KSW16" s="314" t="s">
        <v>203</v>
      </c>
      <c r="KSX16" s="314" t="s">
        <v>203</v>
      </c>
      <c r="KSY16" s="314" t="s">
        <v>203</v>
      </c>
      <c r="KSZ16" s="314" t="s">
        <v>203</v>
      </c>
      <c r="KTA16" s="314" t="s">
        <v>203</v>
      </c>
      <c r="KTB16" s="314" t="s">
        <v>203</v>
      </c>
      <c r="KTC16" s="314" t="s">
        <v>203</v>
      </c>
      <c r="KTD16" s="314" t="s">
        <v>203</v>
      </c>
      <c r="KTE16" s="314" t="s">
        <v>203</v>
      </c>
      <c r="KTF16" s="314" t="s">
        <v>203</v>
      </c>
      <c r="KTG16" s="314" t="s">
        <v>203</v>
      </c>
      <c r="KTH16" s="314" t="s">
        <v>203</v>
      </c>
      <c r="KTI16" s="314" t="s">
        <v>203</v>
      </c>
      <c r="KTJ16" s="314" t="s">
        <v>203</v>
      </c>
      <c r="KTK16" s="314" t="s">
        <v>203</v>
      </c>
      <c r="KTL16" s="314" t="s">
        <v>203</v>
      </c>
      <c r="KTM16" s="314" t="s">
        <v>203</v>
      </c>
      <c r="KTN16" s="314" t="s">
        <v>203</v>
      </c>
      <c r="KTO16" s="314" t="s">
        <v>203</v>
      </c>
      <c r="KTP16" s="314" t="s">
        <v>203</v>
      </c>
      <c r="KTQ16" s="314" t="s">
        <v>203</v>
      </c>
      <c r="KTR16" s="314" t="s">
        <v>203</v>
      </c>
      <c r="KTS16" s="314" t="s">
        <v>203</v>
      </c>
      <c r="KTT16" s="314" t="s">
        <v>203</v>
      </c>
      <c r="KTU16" s="314" t="s">
        <v>203</v>
      </c>
      <c r="KTV16" s="314" t="s">
        <v>203</v>
      </c>
      <c r="KTW16" s="314" t="s">
        <v>203</v>
      </c>
      <c r="KTX16" s="314" t="s">
        <v>203</v>
      </c>
      <c r="KTY16" s="314" t="s">
        <v>203</v>
      </c>
      <c r="KTZ16" s="314" t="s">
        <v>203</v>
      </c>
      <c r="KUA16" s="314" t="s">
        <v>203</v>
      </c>
      <c r="KUB16" s="314" t="s">
        <v>203</v>
      </c>
      <c r="KUC16" s="314" t="s">
        <v>203</v>
      </c>
      <c r="KUD16" s="314" t="s">
        <v>203</v>
      </c>
      <c r="KUE16" s="314" t="s">
        <v>203</v>
      </c>
      <c r="KUF16" s="314" t="s">
        <v>203</v>
      </c>
      <c r="KUG16" s="314" t="s">
        <v>203</v>
      </c>
      <c r="KUH16" s="314" t="s">
        <v>203</v>
      </c>
      <c r="KUI16" s="314" t="s">
        <v>203</v>
      </c>
      <c r="KUJ16" s="314" t="s">
        <v>203</v>
      </c>
      <c r="KUK16" s="314" t="s">
        <v>203</v>
      </c>
      <c r="KUL16" s="314" t="s">
        <v>203</v>
      </c>
      <c r="KUM16" s="314" t="s">
        <v>203</v>
      </c>
      <c r="KUN16" s="314" t="s">
        <v>203</v>
      </c>
      <c r="KUO16" s="314" t="s">
        <v>203</v>
      </c>
      <c r="KUP16" s="314" t="s">
        <v>203</v>
      </c>
      <c r="KUQ16" s="314" t="s">
        <v>203</v>
      </c>
      <c r="KUR16" s="314" t="s">
        <v>203</v>
      </c>
      <c r="KUS16" s="314" t="s">
        <v>203</v>
      </c>
      <c r="KUT16" s="314" t="s">
        <v>203</v>
      </c>
      <c r="KUU16" s="314" t="s">
        <v>203</v>
      </c>
      <c r="KUV16" s="314" t="s">
        <v>203</v>
      </c>
      <c r="KUW16" s="314" t="s">
        <v>203</v>
      </c>
      <c r="KUX16" s="314" t="s">
        <v>203</v>
      </c>
      <c r="KUY16" s="314" t="s">
        <v>203</v>
      </c>
      <c r="KUZ16" s="314" t="s">
        <v>203</v>
      </c>
      <c r="KVA16" s="314" t="s">
        <v>203</v>
      </c>
      <c r="KVB16" s="314" t="s">
        <v>203</v>
      </c>
      <c r="KVC16" s="314" t="s">
        <v>203</v>
      </c>
      <c r="KVD16" s="314" t="s">
        <v>203</v>
      </c>
      <c r="KVE16" s="314" t="s">
        <v>203</v>
      </c>
      <c r="KVF16" s="314" t="s">
        <v>203</v>
      </c>
      <c r="KVG16" s="314" t="s">
        <v>203</v>
      </c>
      <c r="KVH16" s="314" t="s">
        <v>203</v>
      </c>
      <c r="KVI16" s="314" t="s">
        <v>203</v>
      </c>
      <c r="KVJ16" s="314" t="s">
        <v>203</v>
      </c>
      <c r="KVK16" s="314" t="s">
        <v>203</v>
      </c>
      <c r="KVL16" s="314" t="s">
        <v>203</v>
      </c>
      <c r="KVM16" s="314" t="s">
        <v>203</v>
      </c>
      <c r="KVN16" s="314" t="s">
        <v>203</v>
      </c>
      <c r="KVO16" s="314" t="s">
        <v>203</v>
      </c>
      <c r="KVP16" s="314" t="s">
        <v>203</v>
      </c>
      <c r="KVQ16" s="314" t="s">
        <v>203</v>
      </c>
      <c r="KVR16" s="314" t="s">
        <v>203</v>
      </c>
      <c r="KVS16" s="314" t="s">
        <v>203</v>
      </c>
      <c r="KVT16" s="314" t="s">
        <v>203</v>
      </c>
      <c r="KVU16" s="314" t="s">
        <v>203</v>
      </c>
      <c r="KVV16" s="314" t="s">
        <v>203</v>
      </c>
      <c r="KVW16" s="314" t="s">
        <v>203</v>
      </c>
      <c r="KVX16" s="314" t="s">
        <v>203</v>
      </c>
      <c r="KVY16" s="314" t="s">
        <v>203</v>
      </c>
      <c r="KVZ16" s="314" t="s">
        <v>203</v>
      </c>
      <c r="KWA16" s="314" t="s">
        <v>203</v>
      </c>
      <c r="KWB16" s="314" t="s">
        <v>203</v>
      </c>
      <c r="KWC16" s="314" t="s">
        <v>203</v>
      </c>
      <c r="KWD16" s="314" t="s">
        <v>203</v>
      </c>
      <c r="KWE16" s="314" t="s">
        <v>203</v>
      </c>
      <c r="KWF16" s="314" t="s">
        <v>203</v>
      </c>
      <c r="KWG16" s="314" t="s">
        <v>203</v>
      </c>
      <c r="KWH16" s="314" t="s">
        <v>203</v>
      </c>
      <c r="KWI16" s="314" t="s">
        <v>203</v>
      </c>
      <c r="KWJ16" s="314" t="s">
        <v>203</v>
      </c>
      <c r="KWK16" s="314" t="s">
        <v>203</v>
      </c>
      <c r="KWL16" s="314" t="s">
        <v>203</v>
      </c>
      <c r="KWM16" s="314" t="s">
        <v>203</v>
      </c>
      <c r="KWN16" s="314" t="s">
        <v>203</v>
      </c>
      <c r="KWO16" s="314" t="s">
        <v>203</v>
      </c>
      <c r="KWP16" s="314" t="s">
        <v>203</v>
      </c>
      <c r="KWQ16" s="314" t="s">
        <v>203</v>
      </c>
      <c r="KWR16" s="314" t="s">
        <v>203</v>
      </c>
      <c r="KWS16" s="314" t="s">
        <v>203</v>
      </c>
      <c r="KWT16" s="314" t="s">
        <v>203</v>
      </c>
      <c r="KWU16" s="314" t="s">
        <v>203</v>
      </c>
      <c r="KWV16" s="314" t="s">
        <v>203</v>
      </c>
      <c r="KWW16" s="314" t="s">
        <v>203</v>
      </c>
      <c r="KWX16" s="314" t="s">
        <v>203</v>
      </c>
      <c r="KWY16" s="314" t="s">
        <v>203</v>
      </c>
      <c r="KWZ16" s="314" t="s">
        <v>203</v>
      </c>
      <c r="KXA16" s="314" t="s">
        <v>203</v>
      </c>
      <c r="KXB16" s="314" t="s">
        <v>203</v>
      </c>
      <c r="KXC16" s="314" t="s">
        <v>203</v>
      </c>
      <c r="KXD16" s="314" t="s">
        <v>203</v>
      </c>
      <c r="KXE16" s="314" t="s">
        <v>203</v>
      </c>
      <c r="KXF16" s="314" t="s">
        <v>203</v>
      </c>
      <c r="KXG16" s="314" t="s">
        <v>203</v>
      </c>
      <c r="KXH16" s="314" t="s">
        <v>203</v>
      </c>
      <c r="KXI16" s="314" t="s">
        <v>203</v>
      </c>
      <c r="KXJ16" s="314" t="s">
        <v>203</v>
      </c>
      <c r="KXK16" s="314" t="s">
        <v>203</v>
      </c>
      <c r="KXL16" s="314" t="s">
        <v>203</v>
      </c>
      <c r="KXM16" s="314" t="s">
        <v>203</v>
      </c>
      <c r="KXN16" s="314" t="s">
        <v>203</v>
      </c>
      <c r="KXO16" s="314" t="s">
        <v>203</v>
      </c>
      <c r="KXP16" s="314" t="s">
        <v>203</v>
      </c>
      <c r="KXQ16" s="314" t="s">
        <v>203</v>
      </c>
      <c r="KXR16" s="314" t="s">
        <v>203</v>
      </c>
      <c r="KXS16" s="314" t="s">
        <v>203</v>
      </c>
      <c r="KXT16" s="314" t="s">
        <v>203</v>
      </c>
      <c r="KXU16" s="314" t="s">
        <v>203</v>
      </c>
      <c r="KXV16" s="314" t="s">
        <v>203</v>
      </c>
      <c r="KXW16" s="314" t="s">
        <v>203</v>
      </c>
      <c r="KXX16" s="314" t="s">
        <v>203</v>
      </c>
      <c r="KXY16" s="314" t="s">
        <v>203</v>
      </c>
      <c r="KXZ16" s="314" t="s">
        <v>203</v>
      </c>
      <c r="KYA16" s="314" t="s">
        <v>203</v>
      </c>
      <c r="KYB16" s="314" t="s">
        <v>203</v>
      </c>
      <c r="KYC16" s="314" t="s">
        <v>203</v>
      </c>
      <c r="KYD16" s="314" t="s">
        <v>203</v>
      </c>
      <c r="KYE16" s="314" t="s">
        <v>203</v>
      </c>
      <c r="KYF16" s="314" t="s">
        <v>203</v>
      </c>
      <c r="KYG16" s="314" t="s">
        <v>203</v>
      </c>
      <c r="KYH16" s="314" t="s">
        <v>203</v>
      </c>
      <c r="KYI16" s="314" t="s">
        <v>203</v>
      </c>
      <c r="KYJ16" s="314" t="s">
        <v>203</v>
      </c>
      <c r="KYK16" s="314" t="s">
        <v>203</v>
      </c>
      <c r="KYL16" s="314" t="s">
        <v>203</v>
      </c>
      <c r="KYM16" s="314" t="s">
        <v>203</v>
      </c>
      <c r="KYN16" s="314" t="s">
        <v>203</v>
      </c>
      <c r="KYO16" s="314" t="s">
        <v>203</v>
      </c>
      <c r="KYP16" s="314" t="s">
        <v>203</v>
      </c>
      <c r="KYQ16" s="314" t="s">
        <v>203</v>
      </c>
      <c r="KYR16" s="314" t="s">
        <v>203</v>
      </c>
      <c r="KYS16" s="314" t="s">
        <v>203</v>
      </c>
      <c r="KYT16" s="314" t="s">
        <v>203</v>
      </c>
      <c r="KYU16" s="314" t="s">
        <v>203</v>
      </c>
      <c r="KYV16" s="314" t="s">
        <v>203</v>
      </c>
      <c r="KYW16" s="314" t="s">
        <v>203</v>
      </c>
      <c r="KYX16" s="314" t="s">
        <v>203</v>
      </c>
      <c r="KYY16" s="314" t="s">
        <v>203</v>
      </c>
      <c r="KYZ16" s="314" t="s">
        <v>203</v>
      </c>
      <c r="KZA16" s="314" t="s">
        <v>203</v>
      </c>
      <c r="KZB16" s="314" t="s">
        <v>203</v>
      </c>
      <c r="KZC16" s="314" t="s">
        <v>203</v>
      </c>
      <c r="KZD16" s="314" t="s">
        <v>203</v>
      </c>
      <c r="KZE16" s="314" t="s">
        <v>203</v>
      </c>
      <c r="KZF16" s="314" t="s">
        <v>203</v>
      </c>
      <c r="KZG16" s="314" t="s">
        <v>203</v>
      </c>
      <c r="KZH16" s="314" t="s">
        <v>203</v>
      </c>
      <c r="KZI16" s="314" t="s">
        <v>203</v>
      </c>
      <c r="KZJ16" s="314" t="s">
        <v>203</v>
      </c>
      <c r="KZK16" s="314" t="s">
        <v>203</v>
      </c>
      <c r="KZL16" s="314" t="s">
        <v>203</v>
      </c>
      <c r="KZM16" s="314" t="s">
        <v>203</v>
      </c>
      <c r="KZN16" s="314" t="s">
        <v>203</v>
      </c>
      <c r="KZO16" s="314" t="s">
        <v>203</v>
      </c>
      <c r="KZP16" s="314" t="s">
        <v>203</v>
      </c>
      <c r="KZQ16" s="314" t="s">
        <v>203</v>
      </c>
      <c r="KZR16" s="314" t="s">
        <v>203</v>
      </c>
      <c r="KZS16" s="314" t="s">
        <v>203</v>
      </c>
      <c r="KZT16" s="314" t="s">
        <v>203</v>
      </c>
      <c r="KZU16" s="314" t="s">
        <v>203</v>
      </c>
      <c r="KZV16" s="314" t="s">
        <v>203</v>
      </c>
      <c r="KZW16" s="314" t="s">
        <v>203</v>
      </c>
      <c r="KZX16" s="314" t="s">
        <v>203</v>
      </c>
      <c r="KZY16" s="314" t="s">
        <v>203</v>
      </c>
      <c r="KZZ16" s="314" t="s">
        <v>203</v>
      </c>
      <c r="LAA16" s="314" t="s">
        <v>203</v>
      </c>
      <c r="LAB16" s="314" t="s">
        <v>203</v>
      </c>
      <c r="LAC16" s="314" t="s">
        <v>203</v>
      </c>
      <c r="LAD16" s="314" t="s">
        <v>203</v>
      </c>
      <c r="LAE16" s="314" t="s">
        <v>203</v>
      </c>
      <c r="LAF16" s="314" t="s">
        <v>203</v>
      </c>
      <c r="LAG16" s="314" t="s">
        <v>203</v>
      </c>
      <c r="LAH16" s="314" t="s">
        <v>203</v>
      </c>
      <c r="LAI16" s="314" t="s">
        <v>203</v>
      </c>
      <c r="LAJ16" s="314" t="s">
        <v>203</v>
      </c>
      <c r="LAK16" s="314" t="s">
        <v>203</v>
      </c>
      <c r="LAL16" s="314" t="s">
        <v>203</v>
      </c>
      <c r="LAM16" s="314" t="s">
        <v>203</v>
      </c>
      <c r="LAN16" s="314" t="s">
        <v>203</v>
      </c>
      <c r="LAO16" s="314" t="s">
        <v>203</v>
      </c>
      <c r="LAP16" s="314" t="s">
        <v>203</v>
      </c>
      <c r="LAQ16" s="314" t="s">
        <v>203</v>
      </c>
      <c r="LAR16" s="314" t="s">
        <v>203</v>
      </c>
      <c r="LAS16" s="314" t="s">
        <v>203</v>
      </c>
      <c r="LAT16" s="314" t="s">
        <v>203</v>
      </c>
      <c r="LAU16" s="314" t="s">
        <v>203</v>
      </c>
      <c r="LAV16" s="314" t="s">
        <v>203</v>
      </c>
      <c r="LAW16" s="314" t="s">
        <v>203</v>
      </c>
      <c r="LAX16" s="314" t="s">
        <v>203</v>
      </c>
      <c r="LAY16" s="314" t="s">
        <v>203</v>
      </c>
      <c r="LAZ16" s="314" t="s">
        <v>203</v>
      </c>
      <c r="LBA16" s="314" t="s">
        <v>203</v>
      </c>
      <c r="LBB16" s="314" t="s">
        <v>203</v>
      </c>
      <c r="LBC16" s="314" t="s">
        <v>203</v>
      </c>
      <c r="LBD16" s="314" t="s">
        <v>203</v>
      </c>
      <c r="LBE16" s="314" t="s">
        <v>203</v>
      </c>
      <c r="LBF16" s="314" t="s">
        <v>203</v>
      </c>
      <c r="LBG16" s="314" t="s">
        <v>203</v>
      </c>
      <c r="LBH16" s="314" t="s">
        <v>203</v>
      </c>
      <c r="LBI16" s="314" t="s">
        <v>203</v>
      </c>
      <c r="LBJ16" s="314" t="s">
        <v>203</v>
      </c>
      <c r="LBK16" s="314" t="s">
        <v>203</v>
      </c>
      <c r="LBL16" s="314" t="s">
        <v>203</v>
      </c>
      <c r="LBM16" s="314" t="s">
        <v>203</v>
      </c>
      <c r="LBN16" s="314" t="s">
        <v>203</v>
      </c>
      <c r="LBO16" s="314" t="s">
        <v>203</v>
      </c>
      <c r="LBP16" s="314" t="s">
        <v>203</v>
      </c>
      <c r="LBQ16" s="314" t="s">
        <v>203</v>
      </c>
      <c r="LBR16" s="314" t="s">
        <v>203</v>
      </c>
      <c r="LBS16" s="314" t="s">
        <v>203</v>
      </c>
      <c r="LBT16" s="314" t="s">
        <v>203</v>
      </c>
      <c r="LBU16" s="314" t="s">
        <v>203</v>
      </c>
      <c r="LBV16" s="314" t="s">
        <v>203</v>
      </c>
      <c r="LBW16" s="314" t="s">
        <v>203</v>
      </c>
      <c r="LBX16" s="314" t="s">
        <v>203</v>
      </c>
      <c r="LBY16" s="314" t="s">
        <v>203</v>
      </c>
      <c r="LBZ16" s="314" t="s">
        <v>203</v>
      </c>
      <c r="LCA16" s="314" t="s">
        <v>203</v>
      </c>
      <c r="LCB16" s="314" t="s">
        <v>203</v>
      </c>
      <c r="LCC16" s="314" t="s">
        <v>203</v>
      </c>
      <c r="LCD16" s="314" t="s">
        <v>203</v>
      </c>
      <c r="LCE16" s="314" t="s">
        <v>203</v>
      </c>
      <c r="LCF16" s="314" t="s">
        <v>203</v>
      </c>
      <c r="LCG16" s="314" t="s">
        <v>203</v>
      </c>
      <c r="LCH16" s="314" t="s">
        <v>203</v>
      </c>
      <c r="LCI16" s="314" t="s">
        <v>203</v>
      </c>
      <c r="LCJ16" s="314" t="s">
        <v>203</v>
      </c>
      <c r="LCK16" s="314" t="s">
        <v>203</v>
      </c>
      <c r="LCL16" s="314" t="s">
        <v>203</v>
      </c>
      <c r="LCM16" s="314" t="s">
        <v>203</v>
      </c>
      <c r="LCN16" s="314" t="s">
        <v>203</v>
      </c>
      <c r="LCO16" s="314" t="s">
        <v>203</v>
      </c>
      <c r="LCP16" s="314" t="s">
        <v>203</v>
      </c>
      <c r="LCQ16" s="314" t="s">
        <v>203</v>
      </c>
      <c r="LCR16" s="314" t="s">
        <v>203</v>
      </c>
      <c r="LCS16" s="314" t="s">
        <v>203</v>
      </c>
      <c r="LCT16" s="314" t="s">
        <v>203</v>
      </c>
      <c r="LCU16" s="314" t="s">
        <v>203</v>
      </c>
      <c r="LCV16" s="314" t="s">
        <v>203</v>
      </c>
      <c r="LCW16" s="314" t="s">
        <v>203</v>
      </c>
      <c r="LCX16" s="314" t="s">
        <v>203</v>
      </c>
      <c r="LCY16" s="314" t="s">
        <v>203</v>
      </c>
      <c r="LCZ16" s="314" t="s">
        <v>203</v>
      </c>
      <c r="LDA16" s="314" t="s">
        <v>203</v>
      </c>
      <c r="LDB16" s="314" t="s">
        <v>203</v>
      </c>
      <c r="LDC16" s="314" t="s">
        <v>203</v>
      </c>
      <c r="LDD16" s="314" t="s">
        <v>203</v>
      </c>
      <c r="LDE16" s="314" t="s">
        <v>203</v>
      </c>
      <c r="LDF16" s="314" t="s">
        <v>203</v>
      </c>
      <c r="LDG16" s="314" t="s">
        <v>203</v>
      </c>
      <c r="LDH16" s="314" t="s">
        <v>203</v>
      </c>
      <c r="LDI16" s="314" t="s">
        <v>203</v>
      </c>
      <c r="LDJ16" s="314" t="s">
        <v>203</v>
      </c>
      <c r="LDK16" s="314" t="s">
        <v>203</v>
      </c>
      <c r="LDL16" s="314" t="s">
        <v>203</v>
      </c>
      <c r="LDM16" s="314" t="s">
        <v>203</v>
      </c>
      <c r="LDN16" s="314" t="s">
        <v>203</v>
      </c>
      <c r="LDO16" s="314" t="s">
        <v>203</v>
      </c>
      <c r="LDP16" s="314" t="s">
        <v>203</v>
      </c>
      <c r="LDQ16" s="314" t="s">
        <v>203</v>
      </c>
      <c r="LDR16" s="314" t="s">
        <v>203</v>
      </c>
      <c r="LDS16" s="314" t="s">
        <v>203</v>
      </c>
      <c r="LDT16" s="314" t="s">
        <v>203</v>
      </c>
      <c r="LDU16" s="314" t="s">
        <v>203</v>
      </c>
      <c r="LDV16" s="314" t="s">
        <v>203</v>
      </c>
      <c r="LDW16" s="314" t="s">
        <v>203</v>
      </c>
      <c r="LDX16" s="314" t="s">
        <v>203</v>
      </c>
      <c r="LDY16" s="314" t="s">
        <v>203</v>
      </c>
      <c r="LDZ16" s="314" t="s">
        <v>203</v>
      </c>
      <c r="LEA16" s="314" t="s">
        <v>203</v>
      </c>
      <c r="LEB16" s="314" t="s">
        <v>203</v>
      </c>
      <c r="LEC16" s="314" t="s">
        <v>203</v>
      </c>
      <c r="LED16" s="314" t="s">
        <v>203</v>
      </c>
      <c r="LEE16" s="314" t="s">
        <v>203</v>
      </c>
      <c r="LEF16" s="314" t="s">
        <v>203</v>
      </c>
      <c r="LEG16" s="314" t="s">
        <v>203</v>
      </c>
      <c r="LEH16" s="314" t="s">
        <v>203</v>
      </c>
      <c r="LEI16" s="314" t="s">
        <v>203</v>
      </c>
      <c r="LEJ16" s="314" t="s">
        <v>203</v>
      </c>
      <c r="LEK16" s="314" t="s">
        <v>203</v>
      </c>
      <c r="LEL16" s="314" t="s">
        <v>203</v>
      </c>
      <c r="LEM16" s="314" t="s">
        <v>203</v>
      </c>
      <c r="LEN16" s="314" t="s">
        <v>203</v>
      </c>
      <c r="LEO16" s="314" t="s">
        <v>203</v>
      </c>
      <c r="LEP16" s="314" t="s">
        <v>203</v>
      </c>
      <c r="LEQ16" s="314" t="s">
        <v>203</v>
      </c>
      <c r="LER16" s="314" t="s">
        <v>203</v>
      </c>
      <c r="LES16" s="314" t="s">
        <v>203</v>
      </c>
      <c r="LET16" s="314" t="s">
        <v>203</v>
      </c>
      <c r="LEU16" s="314" t="s">
        <v>203</v>
      </c>
      <c r="LEV16" s="314" t="s">
        <v>203</v>
      </c>
      <c r="LEW16" s="314" t="s">
        <v>203</v>
      </c>
      <c r="LEX16" s="314" t="s">
        <v>203</v>
      </c>
      <c r="LEY16" s="314" t="s">
        <v>203</v>
      </c>
      <c r="LEZ16" s="314" t="s">
        <v>203</v>
      </c>
      <c r="LFA16" s="314" t="s">
        <v>203</v>
      </c>
      <c r="LFB16" s="314" t="s">
        <v>203</v>
      </c>
      <c r="LFC16" s="314" t="s">
        <v>203</v>
      </c>
      <c r="LFD16" s="314" t="s">
        <v>203</v>
      </c>
      <c r="LFE16" s="314" t="s">
        <v>203</v>
      </c>
      <c r="LFF16" s="314" t="s">
        <v>203</v>
      </c>
      <c r="LFG16" s="314" t="s">
        <v>203</v>
      </c>
      <c r="LFH16" s="314" t="s">
        <v>203</v>
      </c>
      <c r="LFI16" s="314" t="s">
        <v>203</v>
      </c>
      <c r="LFJ16" s="314" t="s">
        <v>203</v>
      </c>
      <c r="LFK16" s="314" t="s">
        <v>203</v>
      </c>
      <c r="LFL16" s="314" t="s">
        <v>203</v>
      </c>
      <c r="LFM16" s="314" t="s">
        <v>203</v>
      </c>
      <c r="LFN16" s="314" t="s">
        <v>203</v>
      </c>
      <c r="LFO16" s="314" t="s">
        <v>203</v>
      </c>
      <c r="LFP16" s="314" t="s">
        <v>203</v>
      </c>
      <c r="LFQ16" s="314" t="s">
        <v>203</v>
      </c>
      <c r="LFR16" s="314" t="s">
        <v>203</v>
      </c>
      <c r="LFS16" s="314" t="s">
        <v>203</v>
      </c>
      <c r="LFT16" s="314" t="s">
        <v>203</v>
      </c>
      <c r="LFU16" s="314" t="s">
        <v>203</v>
      </c>
      <c r="LFV16" s="314" t="s">
        <v>203</v>
      </c>
      <c r="LFW16" s="314" t="s">
        <v>203</v>
      </c>
      <c r="LFX16" s="314" t="s">
        <v>203</v>
      </c>
      <c r="LFY16" s="314" t="s">
        <v>203</v>
      </c>
      <c r="LFZ16" s="314" t="s">
        <v>203</v>
      </c>
      <c r="LGA16" s="314" t="s">
        <v>203</v>
      </c>
      <c r="LGB16" s="314" t="s">
        <v>203</v>
      </c>
      <c r="LGC16" s="314" t="s">
        <v>203</v>
      </c>
      <c r="LGD16" s="314" t="s">
        <v>203</v>
      </c>
      <c r="LGE16" s="314" t="s">
        <v>203</v>
      </c>
      <c r="LGF16" s="314" t="s">
        <v>203</v>
      </c>
      <c r="LGG16" s="314" t="s">
        <v>203</v>
      </c>
      <c r="LGH16" s="314" t="s">
        <v>203</v>
      </c>
      <c r="LGI16" s="314" t="s">
        <v>203</v>
      </c>
      <c r="LGJ16" s="314" t="s">
        <v>203</v>
      </c>
      <c r="LGK16" s="314" t="s">
        <v>203</v>
      </c>
      <c r="LGL16" s="314" t="s">
        <v>203</v>
      </c>
      <c r="LGM16" s="314" t="s">
        <v>203</v>
      </c>
      <c r="LGN16" s="314" t="s">
        <v>203</v>
      </c>
      <c r="LGO16" s="314" t="s">
        <v>203</v>
      </c>
      <c r="LGP16" s="314" t="s">
        <v>203</v>
      </c>
      <c r="LGQ16" s="314" t="s">
        <v>203</v>
      </c>
      <c r="LGR16" s="314" t="s">
        <v>203</v>
      </c>
      <c r="LGS16" s="314" t="s">
        <v>203</v>
      </c>
      <c r="LGT16" s="314" t="s">
        <v>203</v>
      </c>
      <c r="LGU16" s="314" t="s">
        <v>203</v>
      </c>
      <c r="LGV16" s="314" t="s">
        <v>203</v>
      </c>
      <c r="LGW16" s="314" t="s">
        <v>203</v>
      </c>
      <c r="LGX16" s="314" t="s">
        <v>203</v>
      </c>
      <c r="LGY16" s="314" t="s">
        <v>203</v>
      </c>
      <c r="LGZ16" s="314" t="s">
        <v>203</v>
      </c>
      <c r="LHA16" s="314" t="s">
        <v>203</v>
      </c>
      <c r="LHB16" s="314" t="s">
        <v>203</v>
      </c>
      <c r="LHC16" s="314" t="s">
        <v>203</v>
      </c>
      <c r="LHD16" s="314" t="s">
        <v>203</v>
      </c>
      <c r="LHE16" s="314" t="s">
        <v>203</v>
      </c>
      <c r="LHF16" s="314" t="s">
        <v>203</v>
      </c>
      <c r="LHG16" s="314" t="s">
        <v>203</v>
      </c>
      <c r="LHH16" s="314" t="s">
        <v>203</v>
      </c>
      <c r="LHI16" s="314" t="s">
        <v>203</v>
      </c>
      <c r="LHJ16" s="314" t="s">
        <v>203</v>
      </c>
      <c r="LHK16" s="314" t="s">
        <v>203</v>
      </c>
      <c r="LHL16" s="314" t="s">
        <v>203</v>
      </c>
      <c r="LHM16" s="314" t="s">
        <v>203</v>
      </c>
      <c r="LHN16" s="314" t="s">
        <v>203</v>
      </c>
      <c r="LHO16" s="314" t="s">
        <v>203</v>
      </c>
      <c r="LHP16" s="314" t="s">
        <v>203</v>
      </c>
      <c r="LHQ16" s="314" t="s">
        <v>203</v>
      </c>
      <c r="LHR16" s="314" t="s">
        <v>203</v>
      </c>
      <c r="LHS16" s="314" t="s">
        <v>203</v>
      </c>
      <c r="LHT16" s="314" t="s">
        <v>203</v>
      </c>
      <c r="LHU16" s="314" t="s">
        <v>203</v>
      </c>
      <c r="LHV16" s="314" t="s">
        <v>203</v>
      </c>
      <c r="LHW16" s="314" t="s">
        <v>203</v>
      </c>
      <c r="LHX16" s="314" t="s">
        <v>203</v>
      </c>
      <c r="LHY16" s="314" t="s">
        <v>203</v>
      </c>
      <c r="LHZ16" s="314" t="s">
        <v>203</v>
      </c>
      <c r="LIA16" s="314" t="s">
        <v>203</v>
      </c>
      <c r="LIB16" s="314" t="s">
        <v>203</v>
      </c>
      <c r="LIC16" s="314" t="s">
        <v>203</v>
      </c>
      <c r="LID16" s="314" t="s">
        <v>203</v>
      </c>
      <c r="LIE16" s="314" t="s">
        <v>203</v>
      </c>
      <c r="LIF16" s="314" t="s">
        <v>203</v>
      </c>
      <c r="LIG16" s="314" t="s">
        <v>203</v>
      </c>
      <c r="LIH16" s="314" t="s">
        <v>203</v>
      </c>
      <c r="LII16" s="314" t="s">
        <v>203</v>
      </c>
      <c r="LIJ16" s="314" t="s">
        <v>203</v>
      </c>
      <c r="LIK16" s="314" t="s">
        <v>203</v>
      </c>
      <c r="LIL16" s="314" t="s">
        <v>203</v>
      </c>
      <c r="LIM16" s="314" t="s">
        <v>203</v>
      </c>
      <c r="LIN16" s="314" t="s">
        <v>203</v>
      </c>
      <c r="LIO16" s="314" t="s">
        <v>203</v>
      </c>
      <c r="LIP16" s="314" t="s">
        <v>203</v>
      </c>
      <c r="LIQ16" s="314" t="s">
        <v>203</v>
      </c>
      <c r="LIR16" s="314" t="s">
        <v>203</v>
      </c>
      <c r="LIS16" s="314" t="s">
        <v>203</v>
      </c>
      <c r="LIT16" s="314" t="s">
        <v>203</v>
      </c>
      <c r="LIU16" s="314" t="s">
        <v>203</v>
      </c>
      <c r="LIV16" s="314" t="s">
        <v>203</v>
      </c>
      <c r="LIW16" s="314" t="s">
        <v>203</v>
      </c>
      <c r="LIX16" s="314" t="s">
        <v>203</v>
      </c>
      <c r="LIY16" s="314" t="s">
        <v>203</v>
      </c>
      <c r="LIZ16" s="314" t="s">
        <v>203</v>
      </c>
      <c r="LJA16" s="314" t="s">
        <v>203</v>
      </c>
      <c r="LJB16" s="314" t="s">
        <v>203</v>
      </c>
      <c r="LJC16" s="314" t="s">
        <v>203</v>
      </c>
      <c r="LJD16" s="314" t="s">
        <v>203</v>
      </c>
      <c r="LJE16" s="314" t="s">
        <v>203</v>
      </c>
      <c r="LJF16" s="314" t="s">
        <v>203</v>
      </c>
      <c r="LJG16" s="314" t="s">
        <v>203</v>
      </c>
      <c r="LJH16" s="314" t="s">
        <v>203</v>
      </c>
      <c r="LJI16" s="314" t="s">
        <v>203</v>
      </c>
      <c r="LJJ16" s="314" t="s">
        <v>203</v>
      </c>
      <c r="LJK16" s="314" t="s">
        <v>203</v>
      </c>
      <c r="LJL16" s="314" t="s">
        <v>203</v>
      </c>
      <c r="LJM16" s="314" t="s">
        <v>203</v>
      </c>
      <c r="LJN16" s="314" t="s">
        <v>203</v>
      </c>
      <c r="LJO16" s="314" t="s">
        <v>203</v>
      </c>
      <c r="LJP16" s="314" t="s">
        <v>203</v>
      </c>
      <c r="LJQ16" s="314" t="s">
        <v>203</v>
      </c>
      <c r="LJR16" s="314" t="s">
        <v>203</v>
      </c>
      <c r="LJS16" s="314" t="s">
        <v>203</v>
      </c>
      <c r="LJT16" s="314" t="s">
        <v>203</v>
      </c>
      <c r="LJU16" s="314" t="s">
        <v>203</v>
      </c>
      <c r="LJV16" s="314" t="s">
        <v>203</v>
      </c>
      <c r="LJW16" s="314" t="s">
        <v>203</v>
      </c>
      <c r="LJX16" s="314" t="s">
        <v>203</v>
      </c>
      <c r="LJY16" s="314" t="s">
        <v>203</v>
      </c>
      <c r="LJZ16" s="314" t="s">
        <v>203</v>
      </c>
      <c r="LKA16" s="314" t="s">
        <v>203</v>
      </c>
      <c r="LKB16" s="314" t="s">
        <v>203</v>
      </c>
      <c r="LKC16" s="314" t="s">
        <v>203</v>
      </c>
      <c r="LKD16" s="314" t="s">
        <v>203</v>
      </c>
      <c r="LKE16" s="314" t="s">
        <v>203</v>
      </c>
      <c r="LKF16" s="314" t="s">
        <v>203</v>
      </c>
      <c r="LKG16" s="314" t="s">
        <v>203</v>
      </c>
      <c r="LKH16" s="314" t="s">
        <v>203</v>
      </c>
      <c r="LKI16" s="314" t="s">
        <v>203</v>
      </c>
      <c r="LKJ16" s="314" t="s">
        <v>203</v>
      </c>
      <c r="LKK16" s="314" t="s">
        <v>203</v>
      </c>
      <c r="LKL16" s="314" t="s">
        <v>203</v>
      </c>
      <c r="LKM16" s="314" t="s">
        <v>203</v>
      </c>
      <c r="LKN16" s="314" t="s">
        <v>203</v>
      </c>
      <c r="LKO16" s="314" t="s">
        <v>203</v>
      </c>
      <c r="LKP16" s="314" t="s">
        <v>203</v>
      </c>
      <c r="LKQ16" s="314" t="s">
        <v>203</v>
      </c>
      <c r="LKR16" s="314" t="s">
        <v>203</v>
      </c>
      <c r="LKS16" s="314" t="s">
        <v>203</v>
      </c>
      <c r="LKT16" s="314" t="s">
        <v>203</v>
      </c>
      <c r="LKU16" s="314" t="s">
        <v>203</v>
      </c>
      <c r="LKV16" s="314" t="s">
        <v>203</v>
      </c>
      <c r="LKW16" s="314" t="s">
        <v>203</v>
      </c>
      <c r="LKX16" s="314" t="s">
        <v>203</v>
      </c>
      <c r="LKY16" s="314" t="s">
        <v>203</v>
      </c>
      <c r="LKZ16" s="314" t="s">
        <v>203</v>
      </c>
      <c r="LLA16" s="314" t="s">
        <v>203</v>
      </c>
      <c r="LLB16" s="314" t="s">
        <v>203</v>
      </c>
      <c r="LLC16" s="314" t="s">
        <v>203</v>
      </c>
      <c r="LLD16" s="314" t="s">
        <v>203</v>
      </c>
      <c r="LLE16" s="314" t="s">
        <v>203</v>
      </c>
      <c r="LLF16" s="314" t="s">
        <v>203</v>
      </c>
      <c r="LLG16" s="314" t="s">
        <v>203</v>
      </c>
      <c r="LLH16" s="314" t="s">
        <v>203</v>
      </c>
      <c r="LLI16" s="314" t="s">
        <v>203</v>
      </c>
      <c r="LLJ16" s="314" t="s">
        <v>203</v>
      </c>
      <c r="LLK16" s="314" t="s">
        <v>203</v>
      </c>
      <c r="LLL16" s="314" t="s">
        <v>203</v>
      </c>
      <c r="LLM16" s="314" t="s">
        <v>203</v>
      </c>
      <c r="LLN16" s="314" t="s">
        <v>203</v>
      </c>
      <c r="LLO16" s="314" t="s">
        <v>203</v>
      </c>
      <c r="LLP16" s="314" t="s">
        <v>203</v>
      </c>
      <c r="LLQ16" s="314" t="s">
        <v>203</v>
      </c>
      <c r="LLR16" s="314" t="s">
        <v>203</v>
      </c>
      <c r="LLS16" s="314" t="s">
        <v>203</v>
      </c>
      <c r="LLT16" s="314" t="s">
        <v>203</v>
      </c>
      <c r="LLU16" s="314" t="s">
        <v>203</v>
      </c>
      <c r="LLV16" s="314" t="s">
        <v>203</v>
      </c>
      <c r="LLW16" s="314" t="s">
        <v>203</v>
      </c>
      <c r="LLX16" s="314" t="s">
        <v>203</v>
      </c>
      <c r="LLY16" s="314" t="s">
        <v>203</v>
      </c>
      <c r="LLZ16" s="314" t="s">
        <v>203</v>
      </c>
      <c r="LMA16" s="314" t="s">
        <v>203</v>
      </c>
      <c r="LMB16" s="314" t="s">
        <v>203</v>
      </c>
      <c r="LMC16" s="314" t="s">
        <v>203</v>
      </c>
      <c r="LMD16" s="314" t="s">
        <v>203</v>
      </c>
      <c r="LME16" s="314" t="s">
        <v>203</v>
      </c>
      <c r="LMF16" s="314" t="s">
        <v>203</v>
      </c>
      <c r="LMG16" s="314" t="s">
        <v>203</v>
      </c>
      <c r="LMH16" s="314" t="s">
        <v>203</v>
      </c>
      <c r="LMI16" s="314" t="s">
        <v>203</v>
      </c>
      <c r="LMJ16" s="314" t="s">
        <v>203</v>
      </c>
      <c r="LMK16" s="314" t="s">
        <v>203</v>
      </c>
      <c r="LML16" s="314" t="s">
        <v>203</v>
      </c>
      <c r="LMM16" s="314" t="s">
        <v>203</v>
      </c>
      <c r="LMN16" s="314" t="s">
        <v>203</v>
      </c>
      <c r="LMO16" s="314" t="s">
        <v>203</v>
      </c>
      <c r="LMP16" s="314" t="s">
        <v>203</v>
      </c>
      <c r="LMQ16" s="314" t="s">
        <v>203</v>
      </c>
      <c r="LMR16" s="314" t="s">
        <v>203</v>
      </c>
      <c r="LMS16" s="314" t="s">
        <v>203</v>
      </c>
      <c r="LMT16" s="314" t="s">
        <v>203</v>
      </c>
      <c r="LMU16" s="314" t="s">
        <v>203</v>
      </c>
      <c r="LMV16" s="314" t="s">
        <v>203</v>
      </c>
      <c r="LMW16" s="314" t="s">
        <v>203</v>
      </c>
      <c r="LMX16" s="314" t="s">
        <v>203</v>
      </c>
      <c r="LMY16" s="314" t="s">
        <v>203</v>
      </c>
      <c r="LMZ16" s="314" t="s">
        <v>203</v>
      </c>
      <c r="LNA16" s="314" t="s">
        <v>203</v>
      </c>
      <c r="LNB16" s="314" t="s">
        <v>203</v>
      </c>
      <c r="LNC16" s="314" t="s">
        <v>203</v>
      </c>
      <c r="LND16" s="314" t="s">
        <v>203</v>
      </c>
      <c r="LNE16" s="314" t="s">
        <v>203</v>
      </c>
      <c r="LNF16" s="314" t="s">
        <v>203</v>
      </c>
      <c r="LNG16" s="314" t="s">
        <v>203</v>
      </c>
      <c r="LNH16" s="314" t="s">
        <v>203</v>
      </c>
      <c r="LNI16" s="314" t="s">
        <v>203</v>
      </c>
      <c r="LNJ16" s="314" t="s">
        <v>203</v>
      </c>
      <c r="LNK16" s="314" t="s">
        <v>203</v>
      </c>
      <c r="LNL16" s="314" t="s">
        <v>203</v>
      </c>
      <c r="LNM16" s="314" t="s">
        <v>203</v>
      </c>
      <c r="LNN16" s="314" t="s">
        <v>203</v>
      </c>
      <c r="LNO16" s="314" t="s">
        <v>203</v>
      </c>
      <c r="LNP16" s="314" t="s">
        <v>203</v>
      </c>
      <c r="LNQ16" s="314" t="s">
        <v>203</v>
      </c>
      <c r="LNR16" s="314" t="s">
        <v>203</v>
      </c>
      <c r="LNS16" s="314" t="s">
        <v>203</v>
      </c>
      <c r="LNT16" s="314" t="s">
        <v>203</v>
      </c>
      <c r="LNU16" s="314" t="s">
        <v>203</v>
      </c>
      <c r="LNV16" s="314" t="s">
        <v>203</v>
      </c>
      <c r="LNW16" s="314" t="s">
        <v>203</v>
      </c>
      <c r="LNX16" s="314" t="s">
        <v>203</v>
      </c>
      <c r="LNY16" s="314" t="s">
        <v>203</v>
      </c>
      <c r="LNZ16" s="314" t="s">
        <v>203</v>
      </c>
      <c r="LOA16" s="314" t="s">
        <v>203</v>
      </c>
      <c r="LOB16" s="314" t="s">
        <v>203</v>
      </c>
      <c r="LOC16" s="314" t="s">
        <v>203</v>
      </c>
      <c r="LOD16" s="314" t="s">
        <v>203</v>
      </c>
      <c r="LOE16" s="314" t="s">
        <v>203</v>
      </c>
      <c r="LOF16" s="314" t="s">
        <v>203</v>
      </c>
      <c r="LOG16" s="314" t="s">
        <v>203</v>
      </c>
      <c r="LOH16" s="314" t="s">
        <v>203</v>
      </c>
      <c r="LOI16" s="314" t="s">
        <v>203</v>
      </c>
      <c r="LOJ16" s="314" t="s">
        <v>203</v>
      </c>
      <c r="LOK16" s="314" t="s">
        <v>203</v>
      </c>
      <c r="LOL16" s="314" t="s">
        <v>203</v>
      </c>
      <c r="LOM16" s="314" t="s">
        <v>203</v>
      </c>
      <c r="LON16" s="314" t="s">
        <v>203</v>
      </c>
      <c r="LOO16" s="314" t="s">
        <v>203</v>
      </c>
      <c r="LOP16" s="314" t="s">
        <v>203</v>
      </c>
      <c r="LOQ16" s="314" t="s">
        <v>203</v>
      </c>
      <c r="LOR16" s="314" t="s">
        <v>203</v>
      </c>
      <c r="LOS16" s="314" t="s">
        <v>203</v>
      </c>
      <c r="LOT16" s="314" t="s">
        <v>203</v>
      </c>
      <c r="LOU16" s="314" t="s">
        <v>203</v>
      </c>
      <c r="LOV16" s="314" t="s">
        <v>203</v>
      </c>
      <c r="LOW16" s="314" t="s">
        <v>203</v>
      </c>
      <c r="LOX16" s="314" t="s">
        <v>203</v>
      </c>
      <c r="LOY16" s="314" t="s">
        <v>203</v>
      </c>
      <c r="LOZ16" s="314" t="s">
        <v>203</v>
      </c>
      <c r="LPA16" s="314" t="s">
        <v>203</v>
      </c>
      <c r="LPB16" s="314" t="s">
        <v>203</v>
      </c>
      <c r="LPC16" s="314" t="s">
        <v>203</v>
      </c>
      <c r="LPD16" s="314" t="s">
        <v>203</v>
      </c>
      <c r="LPE16" s="314" t="s">
        <v>203</v>
      </c>
      <c r="LPF16" s="314" t="s">
        <v>203</v>
      </c>
      <c r="LPG16" s="314" t="s">
        <v>203</v>
      </c>
      <c r="LPH16" s="314" t="s">
        <v>203</v>
      </c>
      <c r="LPI16" s="314" t="s">
        <v>203</v>
      </c>
      <c r="LPJ16" s="314" t="s">
        <v>203</v>
      </c>
      <c r="LPK16" s="314" t="s">
        <v>203</v>
      </c>
      <c r="LPL16" s="314" t="s">
        <v>203</v>
      </c>
      <c r="LPM16" s="314" t="s">
        <v>203</v>
      </c>
      <c r="LPN16" s="314" t="s">
        <v>203</v>
      </c>
      <c r="LPO16" s="314" t="s">
        <v>203</v>
      </c>
      <c r="LPP16" s="314" t="s">
        <v>203</v>
      </c>
      <c r="LPQ16" s="314" t="s">
        <v>203</v>
      </c>
      <c r="LPR16" s="314" t="s">
        <v>203</v>
      </c>
      <c r="LPS16" s="314" t="s">
        <v>203</v>
      </c>
      <c r="LPT16" s="314" t="s">
        <v>203</v>
      </c>
      <c r="LPU16" s="314" t="s">
        <v>203</v>
      </c>
      <c r="LPV16" s="314" t="s">
        <v>203</v>
      </c>
      <c r="LPW16" s="314" t="s">
        <v>203</v>
      </c>
      <c r="LPX16" s="314" t="s">
        <v>203</v>
      </c>
      <c r="LPY16" s="314" t="s">
        <v>203</v>
      </c>
      <c r="LPZ16" s="314" t="s">
        <v>203</v>
      </c>
      <c r="LQA16" s="314" t="s">
        <v>203</v>
      </c>
      <c r="LQB16" s="314" t="s">
        <v>203</v>
      </c>
      <c r="LQC16" s="314" t="s">
        <v>203</v>
      </c>
      <c r="LQD16" s="314" t="s">
        <v>203</v>
      </c>
      <c r="LQE16" s="314" t="s">
        <v>203</v>
      </c>
      <c r="LQF16" s="314" t="s">
        <v>203</v>
      </c>
      <c r="LQG16" s="314" t="s">
        <v>203</v>
      </c>
      <c r="LQH16" s="314" t="s">
        <v>203</v>
      </c>
      <c r="LQI16" s="314" t="s">
        <v>203</v>
      </c>
      <c r="LQJ16" s="314" t="s">
        <v>203</v>
      </c>
      <c r="LQK16" s="314" t="s">
        <v>203</v>
      </c>
      <c r="LQL16" s="314" t="s">
        <v>203</v>
      </c>
      <c r="LQM16" s="314" t="s">
        <v>203</v>
      </c>
      <c r="LQN16" s="314" t="s">
        <v>203</v>
      </c>
      <c r="LQO16" s="314" t="s">
        <v>203</v>
      </c>
      <c r="LQP16" s="314" t="s">
        <v>203</v>
      </c>
      <c r="LQQ16" s="314" t="s">
        <v>203</v>
      </c>
      <c r="LQR16" s="314" t="s">
        <v>203</v>
      </c>
      <c r="LQS16" s="314" t="s">
        <v>203</v>
      </c>
      <c r="LQT16" s="314" t="s">
        <v>203</v>
      </c>
      <c r="LQU16" s="314" t="s">
        <v>203</v>
      </c>
      <c r="LQV16" s="314" t="s">
        <v>203</v>
      </c>
      <c r="LQW16" s="314" t="s">
        <v>203</v>
      </c>
      <c r="LQX16" s="314" t="s">
        <v>203</v>
      </c>
      <c r="LQY16" s="314" t="s">
        <v>203</v>
      </c>
      <c r="LQZ16" s="314" t="s">
        <v>203</v>
      </c>
      <c r="LRA16" s="314" t="s">
        <v>203</v>
      </c>
      <c r="LRB16" s="314" t="s">
        <v>203</v>
      </c>
      <c r="LRC16" s="314" t="s">
        <v>203</v>
      </c>
      <c r="LRD16" s="314" t="s">
        <v>203</v>
      </c>
      <c r="LRE16" s="314" t="s">
        <v>203</v>
      </c>
      <c r="LRF16" s="314" t="s">
        <v>203</v>
      </c>
      <c r="LRG16" s="314" t="s">
        <v>203</v>
      </c>
      <c r="LRH16" s="314" t="s">
        <v>203</v>
      </c>
      <c r="LRI16" s="314" t="s">
        <v>203</v>
      </c>
      <c r="LRJ16" s="314" t="s">
        <v>203</v>
      </c>
      <c r="LRK16" s="314" t="s">
        <v>203</v>
      </c>
      <c r="LRL16" s="314" t="s">
        <v>203</v>
      </c>
      <c r="LRM16" s="314" t="s">
        <v>203</v>
      </c>
      <c r="LRN16" s="314" t="s">
        <v>203</v>
      </c>
      <c r="LRO16" s="314" t="s">
        <v>203</v>
      </c>
      <c r="LRP16" s="314" t="s">
        <v>203</v>
      </c>
      <c r="LRQ16" s="314" t="s">
        <v>203</v>
      </c>
      <c r="LRR16" s="314" t="s">
        <v>203</v>
      </c>
      <c r="LRS16" s="314" t="s">
        <v>203</v>
      </c>
      <c r="LRT16" s="314" t="s">
        <v>203</v>
      </c>
      <c r="LRU16" s="314" t="s">
        <v>203</v>
      </c>
      <c r="LRV16" s="314" t="s">
        <v>203</v>
      </c>
      <c r="LRW16" s="314" t="s">
        <v>203</v>
      </c>
      <c r="LRX16" s="314" t="s">
        <v>203</v>
      </c>
      <c r="LRY16" s="314" t="s">
        <v>203</v>
      </c>
      <c r="LRZ16" s="314" t="s">
        <v>203</v>
      </c>
      <c r="LSA16" s="314" t="s">
        <v>203</v>
      </c>
      <c r="LSB16" s="314" t="s">
        <v>203</v>
      </c>
      <c r="LSC16" s="314" t="s">
        <v>203</v>
      </c>
      <c r="LSD16" s="314" t="s">
        <v>203</v>
      </c>
      <c r="LSE16" s="314" t="s">
        <v>203</v>
      </c>
      <c r="LSF16" s="314" t="s">
        <v>203</v>
      </c>
      <c r="LSG16" s="314" t="s">
        <v>203</v>
      </c>
      <c r="LSH16" s="314" t="s">
        <v>203</v>
      </c>
      <c r="LSI16" s="314" t="s">
        <v>203</v>
      </c>
      <c r="LSJ16" s="314" t="s">
        <v>203</v>
      </c>
      <c r="LSK16" s="314" t="s">
        <v>203</v>
      </c>
      <c r="LSL16" s="314" t="s">
        <v>203</v>
      </c>
      <c r="LSM16" s="314" t="s">
        <v>203</v>
      </c>
      <c r="LSN16" s="314" t="s">
        <v>203</v>
      </c>
      <c r="LSO16" s="314" t="s">
        <v>203</v>
      </c>
      <c r="LSP16" s="314" t="s">
        <v>203</v>
      </c>
      <c r="LSQ16" s="314" t="s">
        <v>203</v>
      </c>
      <c r="LSR16" s="314" t="s">
        <v>203</v>
      </c>
      <c r="LSS16" s="314" t="s">
        <v>203</v>
      </c>
      <c r="LST16" s="314" t="s">
        <v>203</v>
      </c>
      <c r="LSU16" s="314" t="s">
        <v>203</v>
      </c>
      <c r="LSV16" s="314" t="s">
        <v>203</v>
      </c>
      <c r="LSW16" s="314" t="s">
        <v>203</v>
      </c>
      <c r="LSX16" s="314" t="s">
        <v>203</v>
      </c>
      <c r="LSY16" s="314" t="s">
        <v>203</v>
      </c>
      <c r="LSZ16" s="314" t="s">
        <v>203</v>
      </c>
      <c r="LTA16" s="314" t="s">
        <v>203</v>
      </c>
      <c r="LTB16" s="314" t="s">
        <v>203</v>
      </c>
      <c r="LTC16" s="314" t="s">
        <v>203</v>
      </c>
      <c r="LTD16" s="314" t="s">
        <v>203</v>
      </c>
      <c r="LTE16" s="314" t="s">
        <v>203</v>
      </c>
      <c r="LTF16" s="314" t="s">
        <v>203</v>
      </c>
      <c r="LTG16" s="314" t="s">
        <v>203</v>
      </c>
      <c r="LTH16" s="314" t="s">
        <v>203</v>
      </c>
      <c r="LTI16" s="314" t="s">
        <v>203</v>
      </c>
      <c r="LTJ16" s="314" t="s">
        <v>203</v>
      </c>
      <c r="LTK16" s="314" t="s">
        <v>203</v>
      </c>
      <c r="LTL16" s="314" t="s">
        <v>203</v>
      </c>
      <c r="LTM16" s="314" t="s">
        <v>203</v>
      </c>
      <c r="LTN16" s="314" t="s">
        <v>203</v>
      </c>
      <c r="LTO16" s="314" t="s">
        <v>203</v>
      </c>
      <c r="LTP16" s="314" t="s">
        <v>203</v>
      </c>
      <c r="LTQ16" s="314" t="s">
        <v>203</v>
      </c>
      <c r="LTR16" s="314" t="s">
        <v>203</v>
      </c>
      <c r="LTS16" s="314" t="s">
        <v>203</v>
      </c>
      <c r="LTT16" s="314" t="s">
        <v>203</v>
      </c>
      <c r="LTU16" s="314" t="s">
        <v>203</v>
      </c>
      <c r="LTV16" s="314" t="s">
        <v>203</v>
      </c>
      <c r="LTW16" s="314" t="s">
        <v>203</v>
      </c>
      <c r="LTX16" s="314" t="s">
        <v>203</v>
      </c>
      <c r="LTY16" s="314" t="s">
        <v>203</v>
      </c>
      <c r="LTZ16" s="314" t="s">
        <v>203</v>
      </c>
      <c r="LUA16" s="314" t="s">
        <v>203</v>
      </c>
      <c r="LUB16" s="314" t="s">
        <v>203</v>
      </c>
      <c r="LUC16" s="314" t="s">
        <v>203</v>
      </c>
      <c r="LUD16" s="314" t="s">
        <v>203</v>
      </c>
      <c r="LUE16" s="314" t="s">
        <v>203</v>
      </c>
      <c r="LUF16" s="314" t="s">
        <v>203</v>
      </c>
      <c r="LUG16" s="314" t="s">
        <v>203</v>
      </c>
      <c r="LUH16" s="314" t="s">
        <v>203</v>
      </c>
      <c r="LUI16" s="314" t="s">
        <v>203</v>
      </c>
      <c r="LUJ16" s="314" t="s">
        <v>203</v>
      </c>
      <c r="LUK16" s="314" t="s">
        <v>203</v>
      </c>
      <c r="LUL16" s="314" t="s">
        <v>203</v>
      </c>
      <c r="LUM16" s="314" t="s">
        <v>203</v>
      </c>
      <c r="LUN16" s="314" t="s">
        <v>203</v>
      </c>
      <c r="LUO16" s="314" t="s">
        <v>203</v>
      </c>
      <c r="LUP16" s="314" t="s">
        <v>203</v>
      </c>
      <c r="LUQ16" s="314" t="s">
        <v>203</v>
      </c>
      <c r="LUR16" s="314" t="s">
        <v>203</v>
      </c>
      <c r="LUS16" s="314" t="s">
        <v>203</v>
      </c>
      <c r="LUT16" s="314" t="s">
        <v>203</v>
      </c>
      <c r="LUU16" s="314" t="s">
        <v>203</v>
      </c>
      <c r="LUV16" s="314" t="s">
        <v>203</v>
      </c>
      <c r="LUW16" s="314" t="s">
        <v>203</v>
      </c>
      <c r="LUX16" s="314" t="s">
        <v>203</v>
      </c>
      <c r="LUY16" s="314" t="s">
        <v>203</v>
      </c>
      <c r="LUZ16" s="314" t="s">
        <v>203</v>
      </c>
      <c r="LVA16" s="314" t="s">
        <v>203</v>
      </c>
      <c r="LVB16" s="314" t="s">
        <v>203</v>
      </c>
      <c r="LVC16" s="314" t="s">
        <v>203</v>
      </c>
      <c r="LVD16" s="314" t="s">
        <v>203</v>
      </c>
      <c r="LVE16" s="314" t="s">
        <v>203</v>
      </c>
      <c r="LVF16" s="314" t="s">
        <v>203</v>
      </c>
      <c r="LVG16" s="314" t="s">
        <v>203</v>
      </c>
      <c r="LVH16" s="314" t="s">
        <v>203</v>
      </c>
      <c r="LVI16" s="314" t="s">
        <v>203</v>
      </c>
      <c r="LVJ16" s="314" t="s">
        <v>203</v>
      </c>
      <c r="LVK16" s="314" t="s">
        <v>203</v>
      </c>
      <c r="LVL16" s="314" t="s">
        <v>203</v>
      </c>
      <c r="LVM16" s="314" t="s">
        <v>203</v>
      </c>
      <c r="LVN16" s="314" t="s">
        <v>203</v>
      </c>
      <c r="LVO16" s="314" t="s">
        <v>203</v>
      </c>
      <c r="LVP16" s="314" t="s">
        <v>203</v>
      </c>
      <c r="LVQ16" s="314" t="s">
        <v>203</v>
      </c>
      <c r="LVR16" s="314" t="s">
        <v>203</v>
      </c>
      <c r="LVS16" s="314" t="s">
        <v>203</v>
      </c>
      <c r="LVT16" s="314" t="s">
        <v>203</v>
      </c>
      <c r="LVU16" s="314" t="s">
        <v>203</v>
      </c>
      <c r="LVV16" s="314" t="s">
        <v>203</v>
      </c>
      <c r="LVW16" s="314" t="s">
        <v>203</v>
      </c>
      <c r="LVX16" s="314" t="s">
        <v>203</v>
      </c>
      <c r="LVY16" s="314" t="s">
        <v>203</v>
      </c>
      <c r="LVZ16" s="314" t="s">
        <v>203</v>
      </c>
      <c r="LWA16" s="314" t="s">
        <v>203</v>
      </c>
      <c r="LWB16" s="314" t="s">
        <v>203</v>
      </c>
      <c r="LWC16" s="314" t="s">
        <v>203</v>
      </c>
      <c r="LWD16" s="314" t="s">
        <v>203</v>
      </c>
      <c r="LWE16" s="314" t="s">
        <v>203</v>
      </c>
      <c r="LWF16" s="314" t="s">
        <v>203</v>
      </c>
      <c r="LWG16" s="314" t="s">
        <v>203</v>
      </c>
      <c r="LWH16" s="314" t="s">
        <v>203</v>
      </c>
      <c r="LWI16" s="314" t="s">
        <v>203</v>
      </c>
      <c r="LWJ16" s="314" t="s">
        <v>203</v>
      </c>
      <c r="LWK16" s="314" t="s">
        <v>203</v>
      </c>
      <c r="LWL16" s="314" t="s">
        <v>203</v>
      </c>
      <c r="LWM16" s="314" t="s">
        <v>203</v>
      </c>
      <c r="LWN16" s="314" t="s">
        <v>203</v>
      </c>
      <c r="LWO16" s="314" t="s">
        <v>203</v>
      </c>
      <c r="LWP16" s="314" t="s">
        <v>203</v>
      </c>
      <c r="LWQ16" s="314" t="s">
        <v>203</v>
      </c>
      <c r="LWR16" s="314" t="s">
        <v>203</v>
      </c>
      <c r="LWS16" s="314" t="s">
        <v>203</v>
      </c>
      <c r="LWT16" s="314" t="s">
        <v>203</v>
      </c>
      <c r="LWU16" s="314" t="s">
        <v>203</v>
      </c>
      <c r="LWV16" s="314" t="s">
        <v>203</v>
      </c>
      <c r="LWW16" s="314" t="s">
        <v>203</v>
      </c>
      <c r="LWX16" s="314" t="s">
        <v>203</v>
      </c>
      <c r="LWY16" s="314" t="s">
        <v>203</v>
      </c>
      <c r="LWZ16" s="314" t="s">
        <v>203</v>
      </c>
      <c r="LXA16" s="314" t="s">
        <v>203</v>
      </c>
      <c r="LXB16" s="314" t="s">
        <v>203</v>
      </c>
      <c r="LXC16" s="314" t="s">
        <v>203</v>
      </c>
      <c r="LXD16" s="314" t="s">
        <v>203</v>
      </c>
      <c r="LXE16" s="314" t="s">
        <v>203</v>
      </c>
      <c r="LXF16" s="314" t="s">
        <v>203</v>
      </c>
      <c r="LXG16" s="314" t="s">
        <v>203</v>
      </c>
      <c r="LXH16" s="314" t="s">
        <v>203</v>
      </c>
      <c r="LXI16" s="314" t="s">
        <v>203</v>
      </c>
      <c r="LXJ16" s="314" t="s">
        <v>203</v>
      </c>
      <c r="LXK16" s="314" t="s">
        <v>203</v>
      </c>
      <c r="LXL16" s="314" t="s">
        <v>203</v>
      </c>
      <c r="LXM16" s="314" t="s">
        <v>203</v>
      </c>
      <c r="LXN16" s="314" t="s">
        <v>203</v>
      </c>
      <c r="LXO16" s="314" t="s">
        <v>203</v>
      </c>
      <c r="LXP16" s="314" t="s">
        <v>203</v>
      </c>
      <c r="LXQ16" s="314" t="s">
        <v>203</v>
      </c>
      <c r="LXR16" s="314" t="s">
        <v>203</v>
      </c>
      <c r="LXS16" s="314" t="s">
        <v>203</v>
      </c>
      <c r="LXT16" s="314" t="s">
        <v>203</v>
      </c>
      <c r="LXU16" s="314" t="s">
        <v>203</v>
      </c>
      <c r="LXV16" s="314" t="s">
        <v>203</v>
      </c>
      <c r="LXW16" s="314" t="s">
        <v>203</v>
      </c>
      <c r="LXX16" s="314" t="s">
        <v>203</v>
      </c>
      <c r="LXY16" s="314" t="s">
        <v>203</v>
      </c>
      <c r="LXZ16" s="314" t="s">
        <v>203</v>
      </c>
      <c r="LYA16" s="314" t="s">
        <v>203</v>
      </c>
      <c r="LYB16" s="314" t="s">
        <v>203</v>
      </c>
      <c r="LYC16" s="314" t="s">
        <v>203</v>
      </c>
      <c r="LYD16" s="314" t="s">
        <v>203</v>
      </c>
      <c r="LYE16" s="314" t="s">
        <v>203</v>
      </c>
      <c r="LYF16" s="314" t="s">
        <v>203</v>
      </c>
      <c r="LYG16" s="314" t="s">
        <v>203</v>
      </c>
      <c r="LYH16" s="314" t="s">
        <v>203</v>
      </c>
      <c r="LYI16" s="314" t="s">
        <v>203</v>
      </c>
      <c r="LYJ16" s="314" t="s">
        <v>203</v>
      </c>
      <c r="LYK16" s="314" t="s">
        <v>203</v>
      </c>
      <c r="LYL16" s="314" t="s">
        <v>203</v>
      </c>
      <c r="LYM16" s="314" t="s">
        <v>203</v>
      </c>
      <c r="LYN16" s="314" t="s">
        <v>203</v>
      </c>
      <c r="LYO16" s="314" t="s">
        <v>203</v>
      </c>
      <c r="LYP16" s="314" t="s">
        <v>203</v>
      </c>
      <c r="LYQ16" s="314" t="s">
        <v>203</v>
      </c>
      <c r="LYR16" s="314" t="s">
        <v>203</v>
      </c>
      <c r="LYS16" s="314" t="s">
        <v>203</v>
      </c>
      <c r="LYT16" s="314" t="s">
        <v>203</v>
      </c>
      <c r="LYU16" s="314" t="s">
        <v>203</v>
      </c>
      <c r="LYV16" s="314" t="s">
        <v>203</v>
      </c>
      <c r="LYW16" s="314" t="s">
        <v>203</v>
      </c>
      <c r="LYX16" s="314" t="s">
        <v>203</v>
      </c>
      <c r="LYY16" s="314" t="s">
        <v>203</v>
      </c>
      <c r="LYZ16" s="314" t="s">
        <v>203</v>
      </c>
      <c r="LZA16" s="314" t="s">
        <v>203</v>
      </c>
      <c r="LZB16" s="314" t="s">
        <v>203</v>
      </c>
      <c r="LZC16" s="314" t="s">
        <v>203</v>
      </c>
      <c r="LZD16" s="314" t="s">
        <v>203</v>
      </c>
      <c r="LZE16" s="314" t="s">
        <v>203</v>
      </c>
      <c r="LZF16" s="314" t="s">
        <v>203</v>
      </c>
      <c r="LZG16" s="314" t="s">
        <v>203</v>
      </c>
      <c r="LZH16" s="314" t="s">
        <v>203</v>
      </c>
      <c r="LZI16" s="314" t="s">
        <v>203</v>
      </c>
      <c r="LZJ16" s="314" t="s">
        <v>203</v>
      </c>
      <c r="LZK16" s="314" t="s">
        <v>203</v>
      </c>
      <c r="LZL16" s="314" t="s">
        <v>203</v>
      </c>
      <c r="LZM16" s="314" t="s">
        <v>203</v>
      </c>
      <c r="LZN16" s="314" t="s">
        <v>203</v>
      </c>
      <c r="LZO16" s="314" t="s">
        <v>203</v>
      </c>
      <c r="LZP16" s="314" t="s">
        <v>203</v>
      </c>
      <c r="LZQ16" s="314" t="s">
        <v>203</v>
      </c>
      <c r="LZR16" s="314" t="s">
        <v>203</v>
      </c>
      <c r="LZS16" s="314" t="s">
        <v>203</v>
      </c>
      <c r="LZT16" s="314" t="s">
        <v>203</v>
      </c>
      <c r="LZU16" s="314" t="s">
        <v>203</v>
      </c>
      <c r="LZV16" s="314" t="s">
        <v>203</v>
      </c>
      <c r="LZW16" s="314" t="s">
        <v>203</v>
      </c>
      <c r="LZX16" s="314" t="s">
        <v>203</v>
      </c>
      <c r="LZY16" s="314" t="s">
        <v>203</v>
      </c>
      <c r="LZZ16" s="314" t="s">
        <v>203</v>
      </c>
      <c r="MAA16" s="314" t="s">
        <v>203</v>
      </c>
      <c r="MAB16" s="314" t="s">
        <v>203</v>
      </c>
      <c r="MAC16" s="314" t="s">
        <v>203</v>
      </c>
      <c r="MAD16" s="314" t="s">
        <v>203</v>
      </c>
      <c r="MAE16" s="314" t="s">
        <v>203</v>
      </c>
      <c r="MAF16" s="314" t="s">
        <v>203</v>
      </c>
      <c r="MAG16" s="314" t="s">
        <v>203</v>
      </c>
      <c r="MAH16" s="314" t="s">
        <v>203</v>
      </c>
      <c r="MAI16" s="314" t="s">
        <v>203</v>
      </c>
      <c r="MAJ16" s="314" t="s">
        <v>203</v>
      </c>
      <c r="MAK16" s="314" t="s">
        <v>203</v>
      </c>
      <c r="MAL16" s="314" t="s">
        <v>203</v>
      </c>
      <c r="MAM16" s="314" t="s">
        <v>203</v>
      </c>
      <c r="MAN16" s="314" t="s">
        <v>203</v>
      </c>
      <c r="MAO16" s="314" t="s">
        <v>203</v>
      </c>
      <c r="MAP16" s="314" t="s">
        <v>203</v>
      </c>
      <c r="MAQ16" s="314" t="s">
        <v>203</v>
      </c>
      <c r="MAR16" s="314" t="s">
        <v>203</v>
      </c>
      <c r="MAS16" s="314" t="s">
        <v>203</v>
      </c>
      <c r="MAT16" s="314" t="s">
        <v>203</v>
      </c>
      <c r="MAU16" s="314" t="s">
        <v>203</v>
      </c>
      <c r="MAV16" s="314" t="s">
        <v>203</v>
      </c>
      <c r="MAW16" s="314" t="s">
        <v>203</v>
      </c>
      <c r="MAX16" s="314" t="s">
        <v>203</v>
      </c>
      <c r="MAY16" s="314" t="s">
        <v>203</v>
      </c>
      <c r="MAZ16" s="314" t="s">
        <v>203</v>
      </c>
      <c r="MBA16" s="314" t="s">
        <v>203</v>
      </c>
      <c r="MBB16" s="314" t="s">
        <v>203</v>
      </c>
      <c r="MBC16" s="314" t="s">
        <v>203</v>
      </c>
      <c r="MBD16" s="314" t="s">
        <v>203</v>
      </c>
      <c r="MBE16" s="314" t="s">
        <v>203</v>
      </c>
      <c r="MBF16" s="314" t="s">
        <v>203</v>
      </c>
      <c r="MBG16" s="314" t="s">
        <v>203</v>
      </c>
      <c r="MBH16" s="314" t="s">
        <v>203</v>
      </c>
      <c r="MBI16" s="314" t="s">
        <v>203</v>
      </c>
      <c r="MBJ16" s="314" t="s">
        <v>203</v>
      </c>
      <c r="MBK16" s="314" t="s">
        <v>203</v>
      </c>
      <c r="MBL16" s="314" t="s">
        <v>203</v>
      </c>
      <c r="MBM16" s="314" t="s">
        <v>203</v>
      </c>
      <c r="MBN16" s="314" t="s">
        <v>203</v>
      </c>
      <c r="MBO16" s="314" t="s">
        <v>203</v>
      </c>
      <c r="MBP16" s="314" t="s">
        <v>203</v>
      </c>
      <c r="MBQ16" s="314" t="s">
        <v>203</v>
      </c>
      <c r="MBR16" s="314" t="s">
        <v>203</v>
      </c>
      <c r="MBS16" s="314" t="s">
        <v>203</v>
      </c>
      <c r="MBT16" s="314" t="s">
        <v>203</v>
      </c>
      <c r="MBU16" s="314" t="s">
        <v>203</v>
      </c>
      <c r="MBV16" s="314" t="s">
        <v>203</v>
      </c>
      <c r="MBW16" s="314" t="s">
        <v>203</v>
      </c>
      <c r="MBX16" s="314" t="s">
        <v>203</v>
      </c>
      <c r="MBY16" s="314" t="s">
        <v>203</v>
      </c>
      <c r="MBZ16" s="314" t="s">
        <v>203</v>
      </c>
      <c r="MCA16" s="314" t="s">
        <v>203</v>
      </c>
      <c r="MCB16" s="314" t="s">
        <v>203</v>
      </c>
      <c r="MCC16" s="314" t="s">
        <v>203</v>
      </c>
      <c r="MCD16" s="314" t="s">
        <v>203</v>
      </c>
      <c r="MCE16" s="314" t="s">
        <v>203</v>
      </c>
      <c r="MCF16" s="314" t="s">
        <v>203</v>
      </c>
      <c r="MCG16" s="314" t="s">
        <v>203</v>
      </c>
      <c r="MCH16" s="314" t="s">
        <v>203</v>
      </c>
      <c r="MCI16" s="314" t="s">
        <v>203</v>
      </c>
      <c r="MCJ16" s="314" t="s">
        <v>203</v>
      </c>
      <c r="MCK16" s="314" t="s">
        <v>203</v>
      </c>
      <c r="MCL16" s="314" t="s">
        <v>203</v>
      </c>
      <c r="MCM16" s="314" t="s">
        <v>203</v>
      </c>
      <c r="MCN16" s="314" t="s">
        <v>203</v>
      </c>
      <c r="MCO16" s="314" t="s">
        <v>203</v>
      </c>
      <c r="MCP16" s="314" t="s">
        <v>203</v>
      </c>
      <c r="MCQ16" s="314" t="s">
        <v>203</v>
      </c>
      <c r="MCR16" s="314" t="s">
        <v>203</v>
      </c>
      <c r="MCS16" s="314" t="s">
        <v>203</v>
      </c>
      <c r="MCT16" s="314" t="s">
        <v>203</v>
      </c>
      <c r="MCU16" s="314" t="s">
        <v>203</v>
      </c>
      <c r="MCV16" s="314" t="s">
        <v>203</v>
      </c>
      <c r="MCW16" s="314" t="s">
        <v>203</v>
      </c>
      <c r="MCX16" s="314" t="s">
        <v>203</v>
      </c>
      <c r="MCY16" s="314" t="s">
        <v>203</v>
      </c>
      <c r="MCZ16" s="314" t="s">
        <v>203</v>
      </c>
      <c r="MDA16" s="314" t="s">
        <v>203</v>
      </c>
      <c r="MDB16" s="314" t="s">
        <v>203</v>
      </c>
      <c r="MDC16" s="314" t="s">
        <v>203</v>
      </c>
      <c r="MDD16" s="314" t="s">
        <v>203</v>
      </c>
      <c r="MDE16" s="314" t="s">
        <v>203</v>
      </c>
      <c r="MDF16" s="314" t="s">
        <v>203</v>
      </c>
      <c r="MDG16" s="314" t="s">
        <v>203</v>
      </c>
      <c r="MDH16" s="314" t="s">
        <v>203</v>
      </c>
      <c r="MDI16" s="314" t="s">
        <v>203</v>
      </c>
      <c r="MDJ16" s="314" t="s">
        <v>203</v>
      </c>
      <c r="MDK16" s="314" t="s">
        <v>203</v>
      </c>
      <c r="MDL16" s="314" t="s">
        <v>203</v>
      </c>
      <c r="MDM16" s="314" t="s">
        <v>203</v>
      </c>
      <c r="MDN16" s="314" t="s">
        <v>203</v>
      </c>
      <c r="MDO16" s="314" t="s">
        <v>203</v>
      </c>
      <c r="MDP16" s="314" t="s">
        <v>203</v>
      </c>
      <c r="MDQ16" s="314" t="s">
        <v>203</v>
      </c>
      <c r="MDR16" s="314" t="s">
        <v>203</v>
      </c>
      <c r="MDS16" s="314" t="s">
        <v>203</v>
      </c>
      <c r="MDT16" s="314" t="s">
        <v>203</v>
      </c>
      <c r="MDU16" s="314" t="s">
        <v>203</v>
      </c>
      <c r="MDV16" s="314" t="s">
        <v>203</v>
      </c>
      <c r="MDW16" s="314" t="s">
        <v>203</v>
      </c>
      <c r="MDX16" s="314" t="s">
        <v>203</v>
      </c>
      <c r="MDY16" s="314" t="s">
        <v>203</v>
      </c>
      <c r="MDZ16" s="314" t="s">
        <v>203</v>
      </c>
      <c r="MEA16" s="314" t="s">
        <v>203</v>
      </c>
      <c r="MEB16" s="314" t="s">
        <v>203</v>
      </c>
      <c r="MEC16" s="314" t="s">
        <v>203</v>
      </c>
      <c r="MED16" s="314" t="s">
        <v>203</v>
      </c>
      <c r="MEE16" s="314" t="s">
        <v>203</v>
      </c>
      <c r="MEF16" s="314" t="s">
        <v>203</v>
      </c>
      <c r="MEG16" s="314" t="s">
        <v>203</v>
      </c>
      <c r="MEH16" s="314" t="s">
        <v>203</v>
      </c>
      <c r="MEI16" s="314" t="s">
        <v>203</v>
      </c>
      <c r="MEJ16" s="314" t="s">
        <v>203</v>
      </c>
      <c r="MEK16" s="314" t="s">
        <v>203</v>
      </c>
      <c r="MEL16" s="314" t="s">
        <v>203</v>
      </c>
      <c r="MEM16" s="314" t="s">
        <v>203</v>
      </c>
      <c r="MEN16" s="314" t="s">
        <v>203</v>
      </c>
      <c r="MEO16" s="314" t="s">
        <v>203</v>
      </c>
      <c r="MEP16" s="314" t="s">
        <v>203</v>
      </c>
      <c r="MEQ16" s="314" t="s">
        <v>203</v>
      </c>
      <c r="MER16" s="314" t="s">
        <v>203</v>
      </c>
      <c r="MES16" s="314" t="s">
        <v>203</v>
      </c>
      <c r="MET16" s="314" t="s">
        <v>203</v>
      </c>
      <c r="MEU16" s="314" t="s">
        <v>203</v>
      </c>
      <c r="MEV16" s="314" t="s">
        <v>203</v>
      </c>
      <c r="MEW16" s="314" t="s">
        <v>203</v>
      </c>
      <c r="MEX16" s="314" t="s">
        <v>203</v>
      </c>
      <c r="MEY16" s="314" t="s">
        <v>203</v>
      </c>
      <c r="MEZ16" s="314" t="s">
        <v>203</v>
      </c>
      <c r="MFA16" s="314" t="s">
        <v>203</v>
      </c>
      <c r="MFB16" s="314" t="s">
        <v>203</v>
      </c>
      <c r="MFC16" s="314" t="s">
        <v>203</v>
      </c>
      <c r="MFD16" s="314" t="s">
        <v>203</v>
      </c>
      <c r="MFE16" s="314" t="s">
        <v>203</v>
      </c>
      <c r="MFF16" s="314" t="s">
        <v>203</v>
      </c>
      <c r="MFG16" s="314" t="s">
        <v>203</v>
      </c>
      <c r="MFH16" s="314" t="s">
        <v>203</v>
      </c>
      <c r="MFI16" s="314" t="s">
        <v>203</v>
      </c>
      <c r="MFJ16" s="314" t="s">
        <v>203</v>
      </c>
      <c r="MFK16" s="314" t="s">
        <v>203</v>
      </c>
      <c r="MFL16" s="314" t="s">
        <v>203</v>
      </c>
      <c r="MFM16" s="314" t="s">
        <v>203</v>
      </c>
      <c r="MFN16" s="314" t="s">
        <v>203</v>
      </c>
      <c r="MFO16" s="314" t="s">
        <v>203</v>
      </c>
      <c r="MFP16" s="314" t="s">
        <v>203</v>
      </c>
      <c r="MFQ16" s="314" t="s">
        <v>203</v>
      </c>
      <c r="MFR16" s="314" t="s">
        <v>203</v>
      </c>
      <c r="MFS16" s="314" t="s">
        <v>203</v>
      </c>
      <c r="MFT16" s="314" t="s">
        <v>203</v>
      </c>
      <c r="MFU16" s="314" t="s">
        <v>203</v>
      </c>
      <c r="MFV16" s="314" t="s">
        <v>203</v>
      </c>
      <c r="MFW16" s="314" t="s">
        <v>203</v>
      </c>
      <c r="MFX16" s="314" t="s">
        <v>203</v>
      </c>
      <c r="MFY16" s="314" t="s">
        <v>203</v>
      </c>
      <c r="MFZ16" s="314" t="s">
        <v>203</v>
      </c>
      <c r="MGA16" s="314" t="s">
        <v>203</v>
      </c>
      <c r="MGB16" s="314" t="s">
        <v>203</v>
      </c>
      <c r="MGC16" s="314" t="s">
        <v>203</v>
      </c>
      <c r="MGD16" s="314" t="s">
        <v>203</v>
      </c>
      <c r="MGE16" s="314" t="s">
        <v>203</v>
      </c>
      <c r="MGF16" s="314" t="s">
        <v>203</v>
      </c>
      <c r="MGG16" s="314" t="s">
        <v>203</v>
      </c>
      <c r="MGH16" s="314" t="s">
        <v>203</v>
      </c>
      <c r="MGI16" s="314" t="s">
        <v>203</v>
      </c>
      <c r="MGJ16" s="314" t="s">
        <v>203</v>
      </c>
      <c r="MGK16" s="314" t="s">
        <v>203</v>
      </c>
      <c r="MGL16" s="314" t="s">
        <v>203</v>
      </c>
      <c r="MGM16" s="314" t="s">
        <v>203</v>
      </c>
      <c r="MGN16" s="314" t="s">
        <v>203</v>
      </c>
      <c r="MGO16" s="314" t="s">
        <v>203</v>
      </c>
      <c r="MGP16" s="314" t="s">
        <v>203</v>
      </c>
      <c r="MGQ16" s="314" t="s">
        <v>203</v>
      </c>
      <c r="MGR16" s="314" t="s">
        <v>203</v>
      </c>
      <c r="MGS16" s="314" t="s">
        <v>203</v>
      </c>
      <c r="MGT16" s="314" t="s">
        <v>203</v>
      </c>
      <c r="MGU16" s="314" t="s">
        <v>203</v>
      </c>
      <c r="MGV16" s="314" t="s">
        <v>203</v>
      </c>
      <c r="MGW16" s="314" t="s">
        <v>203</v>
      </c>
      <c r="MGX16" s="314" t="s">
        <v>203</v>
      </c>
      <c r="MGY16" s="314" t="s">
        <v>203</v>
      </c>
      <c r="MGZ16" s="314" t="s">
        <v>203</v>
      </c>
      <c r="MHA16" s="314" t="s">
        <v>203</v>
      </c>
      <c r="MHB16" s="314" t="s">
        <v>203</v>
      </c>
      <c r="MHC16" s="314" t="s">
        <v>203</v>
      </c>
      <c r="MHD16" s="314" t="s">
        <v>203</v>
      </c>
      <c r="MHE16" s="314" t="s">
        <v>203</v>
      </c>
      <c r="MHF16" s="314" t="s">
        <v>203</v>
      </c>
      <c r="MHG16" s="314" t="s">
        <v>203</v>
      </c>
      <c r="MHH16" s="314" t="s">
        <v>203</v>
      </c>
      <c r="MHI16" s="314" t="s">
        <v>203</v>
      </c>
      <c r="MHJ16" s="314" t="s">
        <v>203</v>
      </c>
      <c r="MHK16" s="314" t="s">
        <v>203</v>
      </c>
      <c r="MHL16" s="314" t="s">
        <v>203</v>
      </c>
      <c r="MHM16" s="314" t="s">
        <v>203</v>
      </c>
      <c r="MHN16" s="314" t="s">
        <v>203</v>
      </c>
      <c r="MHO16" s="314" t="s">
        <v>203</v>
      </c>
      <c r="MHP16" s="314" t="s">
        <v>203</v>
      </c>
      <c r="MHQ16" s="314" t="s">
        <v>203</v>
      </c>
      <c r="MHR16" s="314" t="s">
        <v>203</v>
      </c>
      <c r="MHS16" s="314" t="s">
        <v>203</v>
      </c>
      <c r="MHT16" s="314" t="s">
        <v>203</v>
      </c>
      <c r="MHU16" s="314" t="s">
        <v>203</v>
      </c>
      <c r="MHV16" s="314" t="s">
        <v>203</v>
      </c>
      <c r="MHW16" s="314" t="s">
        <v>203</v>
      </c>
      <c r="MHX16" s="314" t="s">
        <v>203</v>
      </c>
      <c r="MHY16" s="314" t="s">
        <v>203</v>
      </c>
      <c r="MHZ16" s="314" t="s">
        <v>203</v>
      </c>
      <c r="MIA16" s="314" t="s">
        <v>203</v>
      </c>
      <c r="MIB16" s="314" t="s">
        <v>203</v>
      </c>
      <c r="MIC16" s="314" t="s">
        <v>203</v>
      </c>
      <c r="MID16" s="314" t="s">
        <v>203</v>
      </c>
      <c r="MIE16" s="314" t="s">
        <v>203</v>
      </c>
      <c r="MIF16" s="314" t="s">
        <v>203</v>
      </c>
      <c r="MIG16" s="314" t="s">
        <v>203</v>
      </c>
      <c r="MIH16" s="314" t="s">
        <v>203</v>
      </c>
      <c r="MII16" s="314" t="s">
        <v>203</v>
      </c>
      <c r="MIJ16" s="314" t="s">
        <v>203</v>
      </c>
      <c r="MIK16" s="314" t="s">
        <v>203</v>
      </c>
      <c r="MIL16" s="314" t="s">
        <v>203</v>
      </c>
      <c r="MIM16" s="314" t="s">
        <v>203</v>
      </c>
      <c r="MIN16" s="314" t="s">
        <v>203</v>
      </c>
      <c r="MIO16" s="314" t="s">
        <v>203</v>
      </c>
      <c r="MIP16" s="314" t="s">
        <v>203</v>
      </c>
      <c r="MIQ16" s="314" t="s">
        <v>203</v>
      </c>
      <c r="MIR16" s="314" t="s">
        <v>203</v>
      </c>
      <c r="MIS16" s="314" t="s">
        <v>203</v>
      </c>
      <c r="MIT16" s="314" t="s">
        <v>203</v>
      </c>
      <c r="MIU16" s="314" t="s">
        <v>203</v>
      </c>
      <c r="MIV16" s="314" t="s">
        <v>203</v>
      </c>
      <c r="MIW16" s="314" t="s">
        <v>203</v>
      </c>
      <c r="MIX16" s="314" t="s">
        <v>203</v>
      </c>
      <c r="MIY16" s="314" t="s">
        <v>203</v>
      </c>
      <c r="MIZ16" s="314" t="s">
        <v>203</v>
      </c>
      <c r="MJA16" s="314" t="s">
        <v>203</v>
      </c>
      <c r="MJB16" s="314" t="s">
        <v>203</v>
      </c>
      <c r="MJC16" s="314" t="s">
        <v>203</v>
      </c>
      <c r="MJD16" s="314" t="s">
        <v>203</v>
      </c>
      <c r="MJE16" s="314" t="s">
        <v>203</v>
      </c>
      <c r="MJF16" s="314" t="s">
        <v>203</v>
      </c>
      <c r="MJG16" s="314" t="s">
        <v>203</v>
      </c>
      <c r="MJH16" s="314" t="s">
        <v>203</v>
      </c>
      <c r="MJI16" s="314" t="s">
        <v>203</v>
      </c>
      <c r="MJJ16" s="314" t="s">
        <v>203</v>
      </c>
      <c r="MJK16" s="314" t="s">
        <v>203</v>
      </c>
      <c r="MJL16" s="314" t="s">
        <v>203</v>
      </c>
      <c r="MJM16" s="314" t="s">
        <v>203</v>
      </c>
      <c r="MJN16" s="314" t="s">
        <v>203</v>
      </c>
      <c r="MJO16" s="314" t="s">
        <v>203</v>
      </c>
      <c r="MJP16" s="314" t="s">
        <v>203</v>
      </c>
      <c r="MJQ16" s="314" t="s">
        <v>203</v>
      </c>
      <c r="MJR16" s="314" t="s">
        <v>203</v>
      </c>
      <c r="MJS16" s="314" t="s">
        <v>203</v>
      </c>
      <c r="MJT16" s="314" t="s">
        <v>203</v>
      </c>
      <c r="MJU16" s="314" t="s">
        <v>203</v>
      </c>
      <c r="MJV16" s="314" t="s">
        <v>203</v>
      </c>
      <c r="MJW16" s="314" t="s">
        <v>203</v>
      </c>
      <c r="MJX16" s="314" t="s">
        <v>203</v>
      </c>
      <c r="MJY16" s="314" t="s">
        <v>203</v>
      </c>
      <c r="MJZ16" s="314" t="s">
        <v>203</v>
      </c>
      <c r="MKA16" s="314" t="s">
        <v>203</v>
      </c>
      <c r="MKB16" s="314" t="s">
        <v>203</v>
      </c>
      <c r="MKC16" s="314" t="s">
        <v>203</v>
      </c>
      <c r="MKD16" s="314" t="s">
        <v>203</v>
      </c>
      <c r="MKE16" s="314" t="s">
        <v>203</v>
      </c>
      <c r="MKF16" s="314" t="s">
        <v>203</v>
      </c>
      <c r="MKG16" s="314" t="s">
        <v>203</v>
      </c>
      <c r="MKH16" s="314" t="s">
        <v>203</v>
      </c>
      <c r="MKI16" s="314" t="s">
        <v>203</v>
      </c>
      <c r="MKJ16" s="314" t="s">
        <v>203</v>
      </c>
      <c r="MKK16" s="314" t="s">
        <v>203</v>
      </c>
      <c r="MKL16" s="314" t="s">
        <v>203</v>
      </c>
      <c r="MKM16" s="314" t="s">
        <v>203</v>
      </c>
      <c r="MKN16" s="314" t="s">
        <v>203</v>
      </c>
      <c r="MKO16" s="314" t="s">
        <v>203</v>
      </c>
      <c r="MKP16" s="314" t="s">
        <v>203</v>
      </c>
      <c r="MKQ16" s="314" t="s">
        <v>203</v>
      </c>
      <c r="MKR16" s="314" t="s">
        <v>203</v>
      </c>
      <c r="MKS16" s="314" t="s">
        <v>203</v>
      </c>
      <c r="MKT16" s="314" t="s">
        <v>203</v>
      </c>
      <c r="MKU16" s="314" t="s">
        <v>203</v>
      </c>
      <c r="MKV16" s="314" t="s">
        <v>203</v>
      </c>
      <c r="MKW16" s="314" t="s">
        <v>203</v>
      </c>
      <c r="MKX16" s="314" t="s">
        <v>203</v>
      </c>
      <c r="MKY16" s="314" t="s">
        <v>203</v>
      </c>
      <c r="MKZ16" s="314" t="s">
        <v>203</v>
      </c>
      <c r="MLA16" s="314" t="s">
        <v>203</v>
      </c>
      <c r="MLB16" s="314" t="s">
        <v>203</v>
      </c>
      <c r="MLC16" s="314" t="s">
        <v>203</v>
      </c>
      <c r="MLD16" s="314" t="s">
        <v>203</v>
      </c>
      <c r="MLE16" s="314" t="s">
        <v>203</v>
      </c>
      <c r="MLF16" s="314" t="s">
        <v>203</v>
      </c>
      <c r="MLG16" s="314" t="s">
        <v>203</v>
      </c>
      <c r="MLH16" s="314" t="s">
        <v>203</v>
      </c>
      <c r="MLI16" s="314" t="s">
        <v>203</v>
      </c>
      <c r="MLJ16" s="314" t="s">
        <v>203</v>
      </c>
      <c r="MLK16" s="314" t="s">
        <v>203</v>
      </c>
      <c r="MLL16" s="314" t="s">
        <v>203</v>
      </c>
      <c r="MLM16" s="314" t="s">
        <v>203</v>
      </c>
      <c r="MLN16" s="314" t="s">
        <v>203</v>
      </c>
      <c r="MLO16" s="314" t="s">
        <v>203</v>
      </c>
      <c r="MLP16" s="314" t="s">
        <v>203</v>
      </c>
      <c r="MLQ16" s="314" t="s">
        <v>203</v>
      </c>
      <c r="MLR16" s="314" t="s">
        <v>203</v>
      </c>
      <c r="MLS16" s="314" t="s">
        <v>203</v>
      </c>
      <c r="MLT16" s="314" t="s">
        <v>203</v>
      </c>
      <c r="MLU16" s="314" t="s">
        <v>203</v>
      </c>
      <c r="MLV16" s="314" t="s">
        <v>203</v>
      </c>
      <c r="MLW16" s="314" t="s">
        <v>203</v>
      </c>
      <c r="MLX16" s="314" t="s">
        <v>203</v>
      </c>
      <c r="MLY16" s="314" t="s">
        <v>203</v>
      </c>
      <c r="MLZ16" s="314" t="s">
        <v>203</v>
      </c>
      <c r="MMA16" s="314" t="s">
        <v>203</v>
      </c>
      <c r="MMB16" s="314" t="s">
        <v>203</v>
      </c>
      <c r="MMC16" s="314" t="s">
        <v>203</v>
      </c>
      <c r="MMD16" s="314" t="s">
        <v>203</v>
      </c>
      <c r="MME16" s="314" t="s">
        <v>203</v>
      </c>
      <c r="MMF16" s="314" t="s">
        <v>203</v>
      </c>
      <c r="MMG16" s="314" t="s">
        <v>203</v>
      </c>
      <c r="MMH16" s="314" t="s">
        <v>203</v>
      </c>
      <c r="MMI16" s="314" t="s">
        <v>203</v>
      </c>
      <c r="MMJ16" s="314" t="s">
        <v>203</v>
      </c>
      <c r="MMK16" s="314" t="s">
        <v>203</v>
      </c>
      <c r="MML16" s="314" t="s">
        <v>203</v>
      </c>
      <c r="MMM16" s="314" t="s">
        <v>203</v>
      </c>
      <c r="MMN16" s="314" t="s">
        <v>203</v>
      </c>
      <c r="MMO16" s="314" t="s">
        <v>203</v>
      </c>
      <c r="MMP16" s="314" t="s">
        <v>203</v>
      </c>
      <c r="MMQ16" s="314" t="s">
        <v>203</v>
      </c>
      <c r="MMR16" s="314" t="s">
        <v>203</v>
      </c>
      <c r="MMS16" s="314" t="s">
        <v>203</v>
      </c>
      <c r="MMT16" s="314" t="s">
        <v>203</v>
      </c>
      <c r="MMU16" s="314" t="s">
        <v>203</v>
      </c>
      <c r="MMV16" s="314" t="s">
        <v>203</v>
      </c>
      <c r="MMW16" s="314" t="s">
        <v>203</v>
      </c>
      <c r="MMX16" s="314" t="s">
        <v>203</v>
      </c>
      <c r="MMY16" s="314" t="s">
        <v>203</v>
      </c>
      <c r="MMZ16" s="314" t="s">
        <v>203</v>
      </c>
      <c r="MNA16" s="314" t="s">
        <v>203</v>
      </c>
      <c r="MNB16" s="314" t="s">
        <v>203</v>
      </c>
      <c r="MNC16" s="314" t="s">
        <v>203</v>
      </c>
      <c r="MND16" s="314" t="s">
        <v>203</v>
      </c>
      <c r="MNE16" s="314" t="s">
        <v>203</v>
      </c>
      <c r="MNF16" s="314" t="s">
        <v>203</v>
      </c>
      <c r="MNG16" s="314" t="s">
        <v>203</v>
      </c>
      <c r="MNH16" s="314" t="s">
        <v>203</v>
      </c>
      <c r="MNI16" s="314" t="s">
        <v>203</v>
      </c>
      <c r="MNJ16" s="314" t="s">
        <v>203</v>
      </c>
      <c r="MNK16" s="314" t="s">
        <v>203</v>
      </c>
      <c r="MNL16" s="314" t="s">
        <v>203</v>
      </c>
      <c r="MNM16" s="314" t="s">
        <v>203</v>
      </c>
      <c r="MNN16" s="314" t="s">
        <v>203</v>
      </c>
      <c r="MNO16" s="314" t="s">
        <v>203</v>
      </c>
      <c r="MNP16" s="314" t="s">
        <v>203</v>
      </c>
      <c r="MNQ16" s="314" t="s">
        <v>203</v>
      </c>
      <c r="MNR16" s="314" t="s">
        <v>203</v>
      </c>
      <c r="MNS16" s="314" t="s">
        <v>203</v>
      </c>
      <c r="MNT16" s="314" t="s">
        <v>203</v>
      </c>
      <c r="MNU16" s="314" t="s">
        <v>203</v>
      </c>
      <c r="MNV16" s="314" t="s">
        <v>203</v>
      </c>
      <c r="MNW16" s="314" t="s">
        <v>203</v>
      </c>
      <c r="MNX16" s="314" t="s">
        <v>203</v>
      </c>
      <c r="MNY16" s="314" t="s">
        <v>203</v>
      </c>
      <c r="MNZ16" s="314" t="s">
        <v>203</v>
      </c>
      <c r="MOA16" s="314" t="s">
        <v>203</v>
      </c>
      <c r="MOB16" s="314" t="s">
        <v>203</v>
      </c>
      <c r="MOC16" s="314" t="s">
        <v>203</v>
      </c>
      <c r="MOD16" s="314" t="s">
        <v>203</v>
      </c>
      <c r="MOE16" s="314" t="s">
        <v>203</v>
      </c>
      <c r="MOF16" s="314" t="s">
        <v>203</v>
      </c>
      <c r="MOG16" s="314" t="s">
        <v>203</v>
      </c>
      <c r="MOH16" s="314" t="s">
        <v>203</v>
      </c>
      <c r="MOI16" s="314" t="s">
        <v>203</v>
      </c>
      <c r="MOJ16" s="314" t="s">
        <v>203</v>
      </c>
      <c r="MOK16" s="314" t="s">
        <v>203</v>
      </c>
      <c r="MOL16" s="314" t="s">
        <v>203</v>
      </c>
      <c r="MOM16" s="314" t="s">
        <v>203</v>
      </c>
      <c r="MON16" s="314" t="s">
        <v>203</v>
      </c>
      <c r="MOO16" s="314" t="s">
        <v>203</v>
      </c>
      <c r="MOP16" s="314" t="s">
        <v>203</v>
      </c>
      <c r="MOQ16" s="314" t="s">
        <v>203</v>
      </c>
      <c r="MOR16" s="314" t="s">
        <v>203</v>
      </c>
      <c r="MOS16" s="314" t="s">
        <v>203</v>
      </c>
      <c r="MOT16" s="314" t="s">
        <v>203</v>
      </c>
      <c r="MOU16" s="314" t="s">
        <v>203</v>
      </c>
      <c r="MOV16" s="314" t="s">
        <v>203</v>
      </c>
      <c r="MOW16" s="314" t="s">
        <v>203</v>
      </c>
      <c r="MOX16" s="314" t="s">
        <v>203</v>
      </c>
      <c r="MOY16" s="314" t="s">
        <v>203</v>
      </c>
      <c r="MOZ16" s="314" t="s">
        <v>203</v>
      </c>
      <c r="MPA16" s="314" t="s">
        <v>203</v>
      </c>
      <c r="MPB16" s="314" t="s">
        <v>203</v>
      </c>
      <c r="MPC16" s="314" t="s">
        <v>203</v>
      </c>
      <c r="MPD16" s="314" t="s">
        <v>203</v>
      </c>
      <c r="MPE16" s="314" t="s">
        <v>203</v>
      </c>
      <c r="MPF16" s="314" t="s">
        <v>203</v>
      </c>
      <c r="MPG16" s="314" t="s">
        <v>203</v>
      </c>
      <c r="MPH16" s="314" t="s">
        <v>203</v>
      </c>
      <c r="MPI16" s="314" t="s">
        <v>203</v>
      </c>
      <c r="MPJ16" s="314" t="s">
        <v>203</v>
      </c>
      <c r="MPK16" s="314" t="s">
        <v>203</v>
      </c>
      <c r="MPL16" s="314" t="s">
        <v>203</v>
      </c>
      <c r="MPM16" s="314" t="s">
        <v>203</v>
      </c>
      <c r="MPN16" s="314" t="s">
        <v>203</v>
      </c>
      <c r="MPO16" s="314" t="s">
        <v>203</v>
      </c>
      <c r="MPP16" s="314" t="s">
        <v>203</v>
      </c>
      <c r="MPQ16" s="314" t="s">
        <v>203</v>
      </c>
      <c r="MPR16" s="314" t="s">
        <v>203</v>
      </c>
      <c r="MPS16" s="314" t="s">
        <v>203</v>
      </c>
      <c r="MPT16" s="314" t="s">
        <v>203</v>
      </c>
      <c r="MPU16" s="314" t="s">
        <v>203</v>
      </c>
      <c r="MPV16" s="314" t="s">
        <v>203</v>
      </c>
      <c r="MPW16" s="314" t="s">
        <v>203</v>
      </c>
      <c r="MPX16" s="314" t="s">
        <v>203</v>
      </c>
      <c r="MPY16" s="314" t="s">
        <v>203</v>
      </c>
      <c r="MPZ16" s="314" t="s">
        <v>203</v>
      </c>
      <c r="MQA16" s="314" t="s">
        <v>203</v>
      </c>
      <c r="MQB16" s="314" t="s">
        <v>203</v>
      </c>
      <c r="MQC16" s="314" t="s">
        <v>203</v>
      </c>
      <c r="MQD16" s="314" t="s">
        <v>203</v>
      </c>
      <c r="MQE16" s="314" t="s">
        <v>203</v>
      </c>
      <c r="MQF16" s="314" t="s">
        <v>203</v>
      </c>
      <c r="MQG16" s="314" t="s">
        <v>203</v>
      </c>
      <c r="MQH16" s="314" t="s">
        <v>203</v>
      </c>
      <c r="MQI16" s="314" t="s">
        <v>203</v>
      </c>
      <c r="MQJ16" s="314" t="s">
        <v>203</v>
      </c>
      <c r="MQK16" s="314" t="s">
        <v>203</v>
      </c>
      <c r="MQL16" s="314" t="s">
        <v>203</v>
      </c>
      <c r="MQM16" s="314" t="s">
        <v>203</v>
      </c>
      <c r="MQN16" s="314" t="s">
        <v>203</v>
      </c>
      <c r="MQO16" s="314" t="s">
        <v>203</v>
      </c>
      <c r="MQP16" s="314" t="s">
        <v>203</v>
      </c>
      <c r="MQQ16" s="314" t="s">
        <v>203</v>
      </c>
      <c r="MQR16" s="314" t="s">
        <v>203</v>
      </c>
      <c r="MQS16" s="314" t="s">
        <v>203</v>
      </c>
      <c r="MQT16" s="314" t="s">
        <v>203</v>
      </c>
      <c r="MQU16" s="314" t="s">
        <v>203</v>
      </c>
      <c r="MQV16" s="314" t="s">
        <v>203</v>
      </c>
      <c r="MQW16" s="314" t="s">
        <v>203</v>
      </c>
      <c r="MQX16" s="314" t="s">
        <v>203</v>
      </c>
      <c r="MQY16" s="314" t="s">
        <v>203</v>
      </c>
      <c r="MQZ16" s="314" t="s">
        <v>203</v>
      </c>
      <c r="MRA16" s="314" t="s">
        <v>203</v>
      </c>
      <c r="MRB16" s="314" t="s">
        <v>203</v>
      </c>
      <c r="MRC16" s="314" t="s">
        <v>203</v>
      </c>
      <c r="MRD16" s="314" t="s">
        <v>203</v>
      </c>
      <c r="MRE16" s="314" t="s">
        <v>203</v>
      </c>
      <c r="MRF16" s="314" t="s">
        <v>203</v>
      </c>
      <c r="MRG16" s="314" t="s">
        <v>203</v>
      </c>
      <c r="MRH16" s="314" t="s">
        <v>203</v>
      </c>
      <c r="MRI16" s="314" t="s">
        <v>203</v>
      </c>
      <c r="MRJ16" s="314" t="s">
        <v>203</v>
      </c>
      <c r="MRK16" s="314" t="s">
        <v>203</v>
      </c>
      <c r="MRL16" s="314" t="s">
        <v>203</v>
      </c>
      <c r="MRM16" s="314" t="s">
        <v>203</v>
      </c>
      <c r="MRN16" s="314" t="s">
        <v>203</v>
      </c>
      <c r="MRO16" s="314" t="s">
        <v>203</v>
      </c>
      <c r="MRP16" s="314" t="s">
        <v>203</v>
      </c>
      <c r="MRQ16" s="314" t="s">
        <v>203</v>
      </c>
      <c r="MRR16" s="314" t="s">
        <v>203</v>
      </c>
      <c r="MRS16" s="314" t="s">
        <v>203</v>
      </c>
      <c r="MRT16" s="314" t="s">
        <v>203</v>
      </c>
      <c r="MRU16" s="314" t="s">
        <v>203</v>
      </c>
      <c r="MRV16" s="314" t="s">
        <v>203</v>
      </c>
      <c r="MRW16" s="314" t="s">
        <v>203</v>
      </c>
      <c r="MRX16" s="314" t="s">
        <v>203</v>
      </c>
      <c r="MRY16" s="314" t="s">
        <v>203</v>
      </c>
      <c r="MRZ16" s="314" t="s">
        <v>203</v>
      </c>
      <c r="MSA16" s="314" t="s">
        <v>203</v>
      </c>
      <c r="MSB16" s="314" t="s">
        <v>203</v>
      </c>
      <c r="MSC16" s="314" t="s">
        <v>203</v>
      </c>
      <c r="MSD16" s="314" t="s">
        <v>203</v>
      </c>
      <c r="MSE16" s="314" t="s">
        <v>203</v>
      </c>
      <c r="MSF16" s="314" t="s">
        <v>203</v>
      </c>
      <c r="MSG16" s="314" t="s">
        <v>203</v>
      </c>
      <c r="MSH16" s="314" t="s">
        <v>203</v>
      </c>
      <c r="MSI16" s="314" t="s">
        <v>203</v>
      </c>
      <c r="MSJ16" s="314" t="s">
        <v>203</v>
      </c>
      <c r="MSK16" s="314" t="s">
        <v>203</v>
      </c>
      <c r="MSL16" s="314" t="s">
        <v>203</v>
      </c>
      <c r="MSM16" s="314" t="s">
        <v>203</v>
      </c>
      <c r="MSN16" s="314" t="s">
        <v>203</v>
      </c>
      <c r="MSO16" s="314" t="s">
        <v>203</v>
      </c>
      <c r="MSP16" s="314" t="s">
        <v>203</v>
      </c>
      <c r="MSQ16" s="314" t="s">
        <v>203</v>
      </c>
      <c r="MSR16" s="314" t="s">
        <v>203</v>
      </c>
      <c r="MSS16" s="314" t="s">
        <v>203</v>
      </c>
      <c r="MST16" s="314" t="s">
        <v>203</v>
      </c>
      <c r="MSU16" s="314" t="s">
        <v>203</v>
      </c>
      <c r="MSV16" s="314" t="s">
        <v>203</v>
      </c>
      <c r="MSW16" s="314" t="s">
        <v>203</v>
      </c>
      <c r="MSX16" s="314" t="s">
        <v>203</v>
      </c>
      <c r="MSY16" s="314" t="s">
        <v>203</v>
      </c>
      <c r="MSZ16" s="314" t="s">
        <v>203</v>
      </c>
      <c r="MTA16" s="314" t="s">
        <v>203</v>
      </c>
      <c r="MTB16" s="314" t="s">
        <v>203</v>
      </c>
      <c r="MTC16" s="314" t="s">
        <v>203</v>
      </c>
      <c r="MTD16" s="314" t="s">
        <v>203</v>
      </c>
      <c r="MTE16" s="314" t="s">
        <v>203</v>
      </c>
      <c r="MTF16" s="314" t="s">
        <v>203</v>
      </c>
      <c r="MTG16" s="314" t="s">
        <v>203</v>
      </c>
      <c r="MTH16" s="314" t="s">
        <v>203</v>
      </c>
      <c r="MTI16" s="314" t="s">
        <v>203</v>
      </c>
      <c r="MTJ16" s="314" t="s">
        <v>203</v>
      </c>
      <c r="MTK16" s="314" t="s">
        <v>203</v>
      </c>
      <c r="MTL16" s="314" t="s">
        <v>203</v>
      </c>
      <c r="MTM16" s="314" t="s">
        <v>203</v>
      </c>
      <c r="MTN16" s="314" t="s">
        <v>203</v>
      </c>
      <c r="MTO16" s="314" t="s">
        <v>203</v>
      </c>
      <c r="MTP16" s="314" t="s">
        <v>203</v>
      </c>
      <c r="MTQ16" s="314" t="s">
        <v>203</v>
      </c>
      <c r="MTR16" s="314" t="s">
        <v>203</v>
      </c>
      <c r="MTS16" s="314" t="s">
        <v>203</v>
      </c>
      <c r="MTT16" s="314" t="s">
        <v>203</v>
      </c>
      <c r="MTU16" s="314" t="s">
        <v>203</v>
      </c>
      <c r="MTV16" s="314" t="s">
        <v>203</v>
      </c>
      <c r="MTW16" s="314" t="s">
        <v>203</v>
      </c>
      <c r="MTX16" s="314" t="s">
        <v>203</v>
      </c>
      <c r="MTY16" s="314" t="s">
        <v>203</v>
      </c>
      <c r="MTZ16" s="314" t="s">
        <v>203</v>
      </c>
      <c r="MUA16" s="314" t="s">
        <v>203</v>
      </c>
      <c r="MUB16" s="314" t="s">
        <v>203</v>
      </c>
      <c r="MUC16" s="314" t="s">
        <v>203</v>
      </c>
      <c r="MUD16" s="314" t="s">
        <v>203</v>
      </c>
      <c r="MUE16" s="314" t="s">
        <v>203</v>
      </c>
      <c r="MUF16" s="314" t="s">
        <v>203</v>
      </c>
      <c r="MUG16" s="314" t="s">
        <v>203</v>
      </c>
      <c r="MUH16" s="314" t="s">
        <v>203</v>
      </c>
      <c r="MUI16" s="314" t="s">
        <v>203</v>
      </c>
      <c r="MUJ16" s="314" t="s">
        <v>203</v>
      </c>
      <c r="MUK16" s="314" t="s">
        <v>203</v>
      </c>
      <c r="MUL16" s="314" t="s">
        <v>203</v>
      </c>
      <c r="MUM16" s="314" t="s">
        <v>203</v>
      </c>
      <c r="MUN16" s="314" t="s">
        <v>203</v>
      </c>
      <c r="MUO16" s="314" t="s">
        <v>203</v>
      </c>
      <c r="MUP16" s="314" t="s">
        <v>203</v>
      </c>
      <c r="MUQ16" s="314" t="s">
        <v>203</v>
      </c>
      <c r="MUR16" s="314" t="s">
        <v>203</v>
      </c>
      <c r="MUS16" s="314" t="s">
        <v>203</v>
      </c>
      <c r="MUT16" s="314" t="s">
        <v>203</v>
      </c>
      <c r="MUU16" s="314" t="s">
        <v>203</v>
      </c>
      <c r="MUV16" s="314" t="s">
        <v>203</v>
      </c>
      <c r="MUW16" s="314" t="s">
        <v>203</v>
      </c>
      <c r="MUX16" s="314" t="s">
        <v>203</v>
      </c>
      <c r="MUY16" s="314" t="s">
        <v>203</v>
      </c>
      <c r="MUZ16" s="314" t="s">
        <v>203</v>
      </c>
      <c r="MVA16" s="314" t="s">
        <v>203</v>
      </c>
      <c r="MVB16" s="314" t="s">
        <v>203</v>
      </c>
      <c r="MVC16" s="314" t="s">
        <v>203</v>
      </c>
      <c r="MVD16" s="314" t="s">
        <v>203</v>
      </c>
      <c r="MVE16" s="314" t="s">
        <v>203</v>
      </c>
      <c r="MVF16" s="314" t="s">
        <v>203</v>
      </c>
      <c r="MVG16" s="314" t="s">
        <v>203</v>
      </c>
      <c r="MVH16" s="314" t="s">
        <v>203</v>
      </c>
      <c r="MVI16" s="314" t="s">
        <v>203</v>
      </c>
      <c r="MVJ16" s="314" t="s">
        <v>203</v>
      </c>
      <c r="MVK16" s="314" t="s">
        <v>203</v>
      </c>
      <c r="MVL16" s="314" t="s">
        <v>203</v>
      </c>
      <c r="MVM16" s="314" t="s">
        <v>203</v>
      </c>
      <c r="MVN16" s="314" t="s">
        <v>203</v>
      </c>
      <c r="MVO16" s="314" t="s">
        <v>203</v>
      </c>
      <c r="MVP16" s="314" t="s">
        <v>203</v>
      </c>
      <c r="MVQ16" s="314" t="s">
        <v>203</v>
      </c>
      <c r="MVR16" s="314" t="s">
        <v>203</v>
      </c>
      <c r="MVS16" s="314" t="s">
        <v>203</v>
      </c>
      <c r="MVT16" s="314" t="s">
        <v>203</v>
      </c>
      <c r="MVU16" s="314" t="s">
        <v>203</v>
      </c>
      <c r="MVV16" s="314" t="s">
        <v>203</v>
      </c>
      <c r="MVW16" s="314" t="s">
        <v>203</v>
      </c>
      <c r="MVX16" s="314" t="s">
        <v>203</v>
      </c>
      <c r="MVY16" s="314" t="s">
        <v>203</v>
      </c>
      <c r="MVZ16" s="314" t="s">
        <v>203</v>
      </c>
      <c r="MWA16" s="314" t="s">
        <v>203</v>
      </c>
      <c r="MWB16" s="314" t="s">
        <v>203</v>
      </c>
      <c r="MWC16" s="314" t="s">
        <v>203</v>
      </c>
      <c r="MWD16" s="314" t="s">
        <v>203</v>
      </c>
      <c r="MWE16" s="314" t="s">
        <v>203</v>
      </c>
      <c r="MWF16" s="314" t="s">
        <v>203</v>
      </c>
      <c r="MWG16" s="314" t="s">
        <v>203</v>
      </c>
      <c r="MWH16" s="314" t="s">
        <v>203</v>
      </c>
      <c r="MWI16" s="314" t="s">
        <v>203</v>
      </c>
      <c r="MWJ16" s="314" t="s">
        <v>203</v>
      </c>
      <c r="MWK16" s="314" t="s">
        <v>203</v>
      </c>
      <c r="MWL16" s="314" t="s">
        <v>203</v>
      </c>
      <c r="MWM16" s="314" t="s">
        <v>203</v>
      </c>
      <c r="MWN16" s="314" t="s">
        <v>203</v>
      </c>
      <c r="MWO16" s="314" t="s">
        <v>203</v>
      </c>
      <c r="MWP16" s="314" t="s">
        <v>203</v>
      </c>
      <c r="MWQ16" s="314" t="s">
        <v>203</v>
      </c>
      <c r="MWR16" s="314" t="s">
        <v>203</v>
      </c>
      <c r="MWS16" s="314" t="s">
        <v>203</v>
      </c>
      <c r="MWT16" s="314" t="s">
        <v>203</v>
      </c>
      <c r="MWU16" s="314" t="s">
        <v>203</v>
      </c>
      <c r="MWV16" s="314" t="s">
        <v>203</v>
      </c>
      <c r="MWW16" s="314" t="s">
        <v>203</v>
      </c>
      <c r="MWX16" s="314" t="s">
        <v>203</v>
      </c>
      <c r="MWY16" s="314" t="s">
        <v>203</v>
      </c>
      <c r="MWZ16" s="314" t="s">
        <v>203</v>
      </c>
      <c r="MXA16" s="314" t="s">
        <v>203</v>
      </c>
      <c r="MXB16" s="314" t="s">
        <v>203</v>
      </c>
      <c r="MXC16" s="314" t="s">
        <v>203</v>
      </c>
      <c r="MXD16" s="314" t="s">
        <v>203</v>
      </c>
      <c r="MXE16" s="314" t="s">
        <v>203</v>
      </c>
      <c r="MXF16" s="314" t="s">
        <v>203</v>
      </c>
      <c r="MXG16" s="314" t="s">
        <v>203</v>
      </c>
      <c r="MXH16" s="314" t="s">
        <v>203</v>
      </c>
      <c r="MXI16" s="314" t="s">
        <v>203</v>
      </c>
      <c r="MXJ16" s="314" t="s">
        <v>203</v>
      </c>
      <c r="MXK16" s="314" t="s">
        <v>203</v>
      </c>
      <c r="MXL16" s="314" t="s">
        <v>203</v>
      </c>
      <c r="MXM16" s="314" t="s">
        <v>203</v>
      </c>
      <c r="MXN16" s="314" t="s">
        <v>203</v>
      </c>
      <c r="MXO16" s="314" t="s">
        <v>203</v>
      </c>
      <c r="MXP16" s="314" t="s">
        <v>203</v>
      </c>
      <c r="MXQ16" s="314" t="s">
        <v>203</v>
      </c>
      <c r="MXR16" s="314" t="s">
        <v>203</v>
      </c>
      <c r="MXS16" s="314" t="s">
        <v>203</v>
      </c>
      <c r="MXT16" s="314" t="s">
        <v>203</v>
      </c>
      <c r="MXU16" s="314" t="s">
        <v>203</v>
      </c>
      <c r="MXV16" s="314" t="s">
        <v>203</v>
      </c>
      <c r="MXW16" s="314" t="s">
        <v>203</v>
      </c>
      <c r="MXX16" s="314" t="s">
        <v>203</v>
      </c>
      <c r="MXY16" s="314" t="s">
        <v>203</v>
      </c>
      <c r="MXZ16" s="314" t="s">
        <v>203</v>
      </c>
      <c r="MYA16" s="314" t="s">
        <v>203</v>
      </c>
      <c r="MYB16" s="314" t="s">
        <v>203</v>
      </c>
      <c r="MYC16" s="314" t="s">
        <v>203</v>
      </c>
      <c r="MYD16" s="314" t="s">
        <v>203</v>
      </c>
      <c r="MYE16" s="314" t="s">
        <v>203</v>
      </c>
      <c r="MYF16" s="314" t="s">
        <v>203</v>
      </c>
      <c r="MYG16" s="314" t="s">
        <v>203</v>
      </c>
      <c r="MYH16" s="314" t="s">
        <v>203</v>
      </c>
      <c r="MYI16" s="314" t="s">
        <v>203</v>
      </c>
      <c r="MYJ16" s="314" t="s">
        <v>203</v>
      </c>
      <c r="MYK16" s="314" t="s">
        <v>203</v>
      </c>
      <c r="MYL16" s="314" t="s">
        <v>203</v>
      </c>
      <c r="MYM16" s="314" t="s">
        <v>203</v>
      </c>
      <c r="MYN16" s="314" t="s">
        <v>203</v>
      </c>
      <c r="MYO16" s="314" t="s">
        <v>203</v>
      </c>
      <c r="MYP16" s="314" t="s">
        <v>203</v>
      </c>
      <c r="MYQ16" s="314" t="s">
        <v>203</v>
      </c>
      <c r="MYR16" s="314" t="s">
        <v>203</v>
      </c>
      <c r="MYS16" s="314" t="s">
        <v>203</v>
      </c>
      <c r="MYT16" s="314" t="s">
        <v>203</v>
      </c>
      <c r="MYU16" s="314" t="s">
        <v>203</v>
      </c>
      <c r="MYV16" s="314" t="s">
        <v>203</v>
      </c>
      <c r="MYW16" s="314" t="s">
        <v>203</v>
      </c>
      <c r="MYX16" s="314" t="s">
        <v>203</v>
      </c>
      <c r="MYY16" s="314" t="s">
        <v>203</v>
      </c>
      <c r="MYZ16" s="314" t="s">
        <v>203</v>
      </c>
      <c r="MZA16" s="314" t="s">
        <v>203</v>
      </c>
      <c r="MZB16" s="314" t="s">
        <v>203</v>
      </c>
      <c r="MZC16" s="314" t="s">
        <v>203</v>
      </c>
      <c r="MZD16" s="314" t="s">
        <v>203</v>
      </c>
      <c r="MZE16" s="314" t="s">
        <v>203</v>
      </c>
      <c r="MZF16" s="314" t="s">
        <v>203</v>
      </c>
      <c r="MZG16" s="314" t="s">
        <v>203</v>
      </c>
      <c r="MZH16" s="314" t="s">
        <v>203</v>
      </c>
      <c r="MZI16" s="314" t="s">
        <v>203</v>
      </c>
      <c r="MZJ16" s="314" t="s">
        <v>203</v>
      </c>
      <c r="MZK16" s="314" t="s">
        <v>203</v>
      </c>
      <c r="MZL16" s="314" t="s">
        <v>203</v>
      </c>
      <c r="MZM16" s="314" t="s">
        <v>203</v>
      </c>
      <c r="MZN16" s="314" t="s">
        <v>203</v>
      </c>
      <c r="MZO16" s="314" t="s">
        <v>203</v>
      </c>
      <c r="MZP16" s="314" t="s">
        <v>203</v>
      </c>
      <c r="MZQ16" s="314" t="s">
        <v>203</v>
      </c>
      <c r="MZR16" s="314" t="s">
        <v>203</v>
      </c>
      <c r="MZS16" s="314" t="s">
        <v>203</v>
      </c>
      <c r="MZT16" s="314" t="s">
        <v>203</v>
      </c>
      <c r="MZU16" s="314" t="s">
        <v>203</v>
      </c>
      <c r="MZV16" s="314" t="s">
        <v>203</v>
      </c>
      <c r="MZW16" s="314" t="s">
        <v>203</v>
      </c>
      <c r="MZX16" s="314" t="s">
        <v>203</v>
      </c>
      <c r="MZY16" s="314" t="s">
        <v>203</v>
      </c>
      <c r="MZZ16" s="314" t="s">
        <v>203</v>
      </c>
      <c r="NAA16" s="314" t="s">
        <v>203</v>
      </c>
      <c r="NAB16" s="314" t="s">
        <v>203</v>
      </c>
      <c r="NAC16" s="314" t="s">
        <v>203</v>
      </c>
      <c r="NAD16" s="314" t="s">
        <v>203</v>
      </c>
      <c r="NAE16" s="314" t="s">
        <v>203</v>
      </c>
      <c r="NAF16" s="314" t="s">
        <v>203</v>
      </c>
      <c r="NAG16" s="314" t="s">
        <v>203</v>
      </c>
      <c r="NAH16" s="314" t="s">
        <v>203</v>
      </c>
      <c r="NAI16" s="314" t="s">
        <v>203</v>
      </c>
      <c r="NAJ16" s="314" t="s">
        <v>203</v>
      </c>
      <c r="NAK16" s="314" t="s">
        <v>203</v>
      </c>
      <c r="NAL16" s="314" t="s">
        <v>203</v>
      </c>
      <c r="NAM16" s="314" t="s">
        <v>203</v>
      </c>
      <c r="NAN16" s="314" t="s">
        <v>203</v>
      </c>
      <c r="NAO16" s="314" t="s">
        <v>203</v>
      </c>
      <c r="NAP16" s="314" t="s">
        <v>203</v>
      </c>
      <c r="NAQ16" s="314" t="s">
        <v>203</v>
      </c>
      <c r="NAR16" s="314" t="s">
        <v>203</v>
      </c>
      <c r="NAS16" s="314" t="s">
        <v>203</v>
      </c>
      <c r="NAT16" s="314" t="s">
        <v>203</v>
      </c>
      <c r="NAU16" s="314" t="s">
        <v>203</v>
      </c>
      <c r="NAV16" s="314" t="s">
        <v>203</v>
      </c>
      <c r="NAW16" s="314" t="s">
        <v>203</v>
      </c>
      <c r="NAX16" s="314" t="s">
        <v>203</v>
      </c>
      <c r="NAY16" s="314" t="s">
        <v>203</v>
      </c>
      <c r="NAZ16" s="314" t="s">
        <v>203</v>
      </c>
      <c r="NBA16" s="314" t="s">
        <v>203</v>
      </c>
      <c r="NBB16" s="314" t="s">
        <v>203</v>
      </c>
      <c r="NBC16" s="314" t="s">
        <v>203</v>
      </c>
      <c r="NBD16" s="314" t="s">
        <v>203</v>
      </c>
      <c r="NBE16" s="314" t="s">
        <v>203</v>
      </c>
      <c r="NBF16" s="314" t="s">
        <v>203</v>
      </c>
      <c r="NBG16" s="314" t="s">
        <v>203</v>
      </c>
      <c r="NBH16" s="314" t="s">
        <v>203</v>
      </c>
      <c r="NBI16" s="314" t="s">
        <v>203</v>
      </c>
      <c r="NBJ16" s="314" t="s">
        <v>203</v>
      </c>
      <c r="NBK16" s="314" t="s">
        <v>203</v>
      </c>
      <c r="NBL16" s="314" t="s">
        <v>203</v>
      </c>
      <c r="NBM16" s="314" t="s">
        <v>203</v>
      </c>
      <c r="NBN16" s="314" t="s">
        <v>203</v>
      </c>
      <c r="NBO16" s="314" t="s">
        <v>203</v>
      </c>
      <c r="NBP16" s="314" t="s">
        <v>203</v>
      </c>
      <c r="NBQ16" s="314" t="s">
        <v>203</v>
      </c>
      <c r="NBR16" s="314" t="s">
        <v>203</v>
      </c>
      <c r="NBS16" s="314" t="s">
        <v>203</v>
      </c>
      <c r="NBT16" s="314" t="s">
        <v>203</v>
      </c>
      <c r="NBU16" s="314" t="s">
        <v>203</v>
      </c>
      <c r="NBV16" s="314" t="s">
        <v>203</v>
      </c>
      <c r="NBW16" s="314" t="s">
        <v>203</v>
      </c>
      <c r="NBX16" s="314" t="s">
        <v>203</v>
      </c>
      <c r="NBY16" s="314" t="s">
        <v>203</v>
      </c>
      <c r="NBZ16" s="314" t="s">
        <v>203</v>
      </c>
      <c r="NCA16" s="314" t="s">
        <v>203</v>
      </c>
      <c r="NCB16" s="314" t="s">
        <v>203</v>
      </c>
      <c r="NCC16" s="314" t="s">
        <v>203</v>
      </c>
      <c r="NCD16" s="314" t="s">
        <v>203</v>
      </c>
      <c r="NCE16" s="314" t="s">
        <v>203</v>
      </c>
      <c r="NCF16" s="314" t="s">
        <v>203</v>
      </c>
      <c r="NCG16" s="314" t="s">
        <v>203</v>
      </c>
      <c r="NCH16" s="314" t="s">
        <v>203</v>
      </c>
      <c r="NCI16" s="314" t="s">
        <v>203</v>
      </c>
      <c r="NCJ16" s="314" t="s">
        <v>203</v>
      </c>
      <c r="NCK16" s="314" t="s">
        <v>203</v>
      </c>
      <c r="NCL16" s="314" t="s">
        <v>203</v>
      </c>
      <c r="NCM16" s="314" t="s">
        <v>203</v>
      </c>
      <c r="NCN16" s="314" t="s">
        <v>203</v>
      </c>
      <c r="NCO16" s="314" t="s">
        <v>203</v>
      </c>
      <c r="NCP16" s="314" t="s">
        <v>203</v>
      </c>
      <c r="NCQ16" s="314" t="s">
        <v>203</v>
      </c>
      <c r="NCR16" s="314" t="s">
        <v>203</v>
      </c>
      <c r="NCS16" s="314" t="s">
        <v>203</v>
      </c>
      <c r="NCT16" s="314" t="s">
        <v>203</v>
      </c>
      <c r="NCU16" s="314" t="s">
        <v>203</v>
      </c>
      <c r="NCV16" s="314" t="s">
        <v>203</v>
      </c>
      <c r="NCW16" s="314" t="s">
        <v>203</v>
      </c>
      <c r="NCX16" s="314" t="s">
        <v>203</v>
      </c>
      <c r="NCY16" s="314" t="s">
        <v>203</v>
      </c>
      <c r="NCZ16" s="314" t="s">
        <v>203</v>
      </c>
      <c r="NDA16" s="314" t="s">
        <v>203</v>
      </c>
      <c r="NDB16" s="314" t="s">
        <v>203</v>
      </c>
      <c r="NDC16" s="314" t="s">
        <v>203</v>
      </c>
      <c r="NDD16" s="314" t="s">
        <v>203</v>
      </c>
      <c r="NDE16" s="314" t="s">
        <v>203</v>
      </c>
      <c r="NDF16" s="314" t="s">
        <v>203</v>
      </c>
      <c r="NDG16" s="314" t="s">
        <v>203</v>
      </c>
      <c r="NDH16" s="314" t="s">
        <v>203</v>
      </c>
      <c r="NDI16" s="314" t="s">
        <v>203</v>
      </c>
      <c r="NDJ16" s="314" t="s">
        <v>203</v>
      </c>
      <c r="NDK16" s="314" t="s">
        <v>203</v>
      </c>
      <c r="NDL16" s="314" t="s">
        <v>203</v>
      </c>
      <c r="NDM16" s="314" t="s">
        <v>203</v>
      </c>
      <c r="NDN16" s="314" t="s">
        <v>203</v>
      </c>
      <c r="NDO16" s="314" t="s">
        <v>203</v>
      </c>
      <c r="NDP16" s="314" t="s">
        <v>203</v>
      </c>
      <c r="NDQ16" s="314" t="s">
        <v>203</v>
      </c>
      <c r="NDR16" s="314" t="s">
        <v>203</v>
      </c>
      <c r="NDS16" s="314" t="s">
        <v>203</v>
      </c>
      <c r="NDT16" s="314" t="s">
        <v>203</v>
      </c>
      <c r="NDU16" s="314" t="s">
        <v>203</v>
      </c>
      <c r="NDV16" s="314" t="s">
        <v>203</v>
      </c>
      <c r="NDW16" s="314" t="s">
        <v>203</v>
      </c>
      <c r="NDX16" s="314" t="s">
        <v>203</v>
      </c>
      <c r="NDY16" s="314" t="s">
        <v>203</v>
      </c>
      <c r="NDZ16" s="314" t="s">
        <v>203</v>
      </c>
      <c r="NEA16" s="314" t="s">
        <v>203</v>
      </c>
      <c r="NEB16" s="314" t="s">
        <v>203</v>
      </c>
      <c r="NEC16" s="314" t="s">
        <v>203</v>
      </c>
      <c r="NED16" s="314" t="s">
        <v>203</v>
      </c>
      <c r="NEE16" s="314" t="s">
        <v>203</v>
      </c>
      <c r="NEF16" s="314" t="s">
        <v>203</v>
      </c>
      <c r="NEG16" s="314" t="s">
        <v>203</v>
      </c>
      <c r="NEH16" s="314" t="s">
        <v>203</v>
      </c>
      <c r="NEI16" s="314" t="s">
        <v>203</v>
      </c>
      <c r="NEJ16" s="314" t="s">
        <v>203</v>
      </c>
      <c r="NEK16" s="314" t="s">
        <v>203</v>
      </c>
      <c r="NEL16" s="314" t="s">
        <v>203</v>
      </c>
      <c r="NEM16" s="314" t="s">
        <v>203</v>
      </c>
      <c r="NEN16" s="314" t="s">
        <v>203</v>
      </c>
      <c r="NEO16" s="314" t="s">
        <v>203</v>
      </c>
      <c r="NEP16" s="314" t="s">
        <v>203</v>
      </c>
      <c r="NEQ16" s="314" t="s">
        <v>203</v>
      </c>
      <c r="NER16" s="314" t="s">
        <v>203</v>
      </c>
      <c r="NES16" s="314" t="s">
        <v>203</v>
      </c>
      <c r="NET16" s="314" t="s">
        <v>203</v>
      </c>
      <c r="NEU16" s="314" t="s">
        <v>203</v>
      </c>
      <c r="NEV16" s="314" t="s">
        <v>203</v>
      </c>
      <c r="NEW16" s="314" t="s">
        <v>203</v>
      </c>
      <c r="NEX16" s="314" t="s">
        <v>203</v>
      </c>
      <c r="NEY16" s="314" t="s">
        <v>203</v>
      </c>
      <c r="NEZ16" s="314" t="s">
        <v>203</v>
      </c>
      <c r="NFA16" s="314" t="s">
        <v>203</v>
      </c>
      <c r="NFB16" s="314" t="s">
        <v>203</v>
      </c>
      <c r="NFC16" s="314" t="s">
        <v>203</v>
      </c>
      <c r="NFD16" s="314" t="s">
        <v>203</v>
      </c>
      <c r="NFE16" s="314" t="s">
        <v>203</v>
      </c>
      <c r="NFF16" s="314" t="s">
        <v>203</v>
      </c>
      <c r="NFG16" s="314" t="s">
        <v>203</v>
      </c>
      <c r="NFH16" s="314" t="s">
        <v>203</v>
      </c>
      <c r="NFI16" s="314" t="s">
        <v>203</v>
      </c>
      <c r="NFJ16" s="314" t="s">
        <v>203</v>
      </c>
      <c r="NFK16" s="314" t="s">
        <v>203</v>
      </c>
      <c r="NFL16" s="314" t="s">
        <v>203</v>
      </c>
      <c r="NFM16" s="314" t="s">
        <v>203</v>
      </c>
      <c r="NFN16" s="314" t="s">
        <v>203</v>
      </c>
      <c r="NFO16" s="314" t="s">
        <v>203</v>
      </c>
      <c r="NFP16" s="314" t="s">
        <v>203</v>
      </c>
      <c r="NFQ16" s="314" t="s">
        <v>203</v>
      </c>
      <c r="NFR16" s="314" t="s">
        <v>203</v>
      </c>
      <c r="NFS16" s="314" t="s">
        <v>203</v>
      </c>
      <c r="NFT16" s="314" t="s">
        <v>203</v>
      </c>
      <c r="NFU16" s="314" t="s">
        <v>203</v>
      </c>
      <c r="NFV16" s="314" t="s">
        <v>203</v>
      </c>
      <c r="NFW16" s="314" t="s">
        <v>203</v>
      </c>
      <c r="NFX16" s="314" t="s">
        <v>203</v>
      </c>
      <c r="NFY16" s="314" t="s">
        <v>203</v>
      </c>
      <c r="NFZ16" s="314" t="s">
        <v>203</v>
      </c>
      <c r="NGA16" s="314" t="s">
        <v>203</v>
      </c>
      <c r="NGB16" s="314" t="s">
        <v>203</v>
      </c>
      <c r="NGC16" s="314" t="s">
        <v>203</v>
      </c>
      <c r="NGD16" s="314" t="s">
        <v>203</v>
      </c>
      <c r="NGE16" s="314" t="s">
        <v>203</v>
      </c>
      <c r="NGF16" s="314" t="s">
        <v>203</v>
      </c>
      <c r="NGG16" s="314" t="s">
        <v>203</v>
      </c>
      <c r="NGH16" s="314" t="s">
        <v>203</v>
      </c>
      <c r="NGI16" s="314" t="s">
        <v>203</v>
      </c>
      <c r="NGJ16" s="314" t="s">
        <v>203</v>
      </c>
      <c r="NGK16" s="314" t="s">
        <v>203</v>
      </c>
      <c r="NGL16" s="314" t="s">
        <v>203</v>
      </c>
      <c r="NGM16" s="314" t="s">
        <v>203</v>
      </c>
      <c r="NGN16" s="314" t="s">
        <v>203</v>
      </c>
      <c r="NGO16" s="314" t="s">
        <v>203</v>
      </c>
      <c r="NGP16" s="314" t="s">
        <v>203</v>
      </c>
      <c r="NGQ16" s="314" t="s">
        <v>203</v>
      </c>
      <c r="NGR16" s="314" t="s">
        <v>203</v>
      </c>
      <c r="NGS16" s="314" t="s">
        <v>203</v>
      </c>
      <c r="NGT16" s="314" t="s">
        <v>203</v>
      </c>
      <c r="NGU16" s="314" t="s">
        <v>203</v>
      </c>
      <c r="NGV16" s="314" t="s">
        <v>203</v>
      </c>
      <c r="NGW16" s="314" t="s">
        <v>203</v>
      </c>
      <c r="NGX16" s="314" t="s">
        <v>203</v>
      </c>
      <c r="NGY16" s="314" t="s">
        <v>203</v>
      </c>
      <c r="NGZ16" s="314" t="s">
        <v>203</v>
      </c>
      <c r="NHA16" s="314" t="s">
        <v>203</v>
      </c>
      <c r="NHB16" s="314" t="s">
        <v>203</v>
      </c>
      <c r="NHC16" s="314" t="s">
        <v>203</v>
      </c>
      <c r="NHD16" s="314" t="s">
        <v>203</v>
      </c>
      <c r="NHE16" s="314" t="s">
        <v>203</v>
      </c>
      <c r="NHF16" s="314" t="s">
        <v>203</v>
      </c>
      <c r="NHG16" s="314" t="s">
        <v>203</v>
      </c>
      <c r="NHH16" s="314" t="s">
        <v>203</v>
      </c>
      <c r="NHI16" s="314" t="s">
        <v>203</v>
      </c>
      <c r="NHJ16" s="314" t="s">
        <v>203</v>
      </c>
      <c r="NHK16" s="314" t="s">
        <v>203</v>
      </c>
      <c r="NHL16" s="314" t="s">
        <v>203</v>
      </c>
      <c r="NHM16" s="314" t="s">
        <v>203</v>
      </c>
      <c r="NHN16" s="314" t="s">
        <v>203</v>
      </c>
      <c r="NHO16" s="314" t="s">
        <v>203</v>
      </c>
      <c r="NHP16" s="314" t="s">
        <v>203</v>
      </c>
      <c r="NHQ16" s="314" t="s">
        <v>203</v>
      </c>
      <c r="NHR16" s="314" t="s">
        <v>203</v>
      </c>
      <c r="NHS16" s="314" t="s">
        <v>203</v>
      </c>
      <c r="NHT16" s="314" t="s">
        <v>203</v>
      </c>
      <c r="NHU16" s="314" t="s">
        <v>203</v>
      </c>
      <c r="NHV16" s="314" t="s">
        <v>203</v>
      </c>
      <c r="NHW16" s="314" t="s">
        <v>203</v>
      </c>
      <c r="NHX16" s="314" t="s">
        <v>203</v>
      </c>
      <c r="NHY16" s="314" t="s">
        <v>203</v>
      </c>
      <c r="NHZ16" s="314" t="s">
        <v>203</v>
      </c>
      <c r="NIA16" s="314" t="s">
        <v>203</v>
      </c>
      <c r="NIB16" s="314" t="s">
        <v>203</v>
      </c>
      <c r="NIC16" s="314" t="s">
        <v>203</v>
      </c>
      <c r="NID16" s="314" t="s">
        <v>203</v>
      </c>
      <c r="NIE16" s="314" t="s">
        <v>203</v>
      </c>
      <c r="NIF16" s="314" t="s">
        <v>203</v>
      </c>
      <c r="NIG16" s="314" t="s">
        <v>203</v>
      </c>
      <c r="NIH16" s="314" t="s">
        <v>203</v>
      </c>
      <c r="NII16" s="314" t="s">
        <v>203</v>
      </c>
      <c r="NIJ16" s="314" t="s">
        <v>203</v>
      </c>
      <c r="NIK16" s="314" t="s">
        <v>203</v>
      </c>
      <c r="NIL16" s="314" t="s">
        <v>203</v>
      </c>
      <c r="NIM16" s="314" t="s">
        <v>203</v>
      </c>
      <c r="NIN16" s="314" t="s">
        <v>203</v>
      </c>
      <c r="NIO16" s="314" t="s">
        <v>203</v>
      </c>
      <c r="NIP16" s="314" t="s">
        <v>203</v>
      </c>
      <c r="NIQ16" s="314" t="s">
        <v>203</v>
      </c>
      <c r="NIR16" s="314" t="s">
        <v>203</v>
      </c>
      <c r="NIS16" s="314" t="s">
        <v>203</v>
      </c>
      <c r="NIT16" s="314" t="s">
        <v>203</v>
      </c>
      <c r="NIU16" s="314" t="s">
        <v>203</v>
      </c>
      <c r="NIV16" s="314" t="s">
        <v>203</v>
      </c>
      <c r="NIW16" s="314" t="s">
        <v>203</v>
      </c>
      <c r="NIX16" s="314" t="s">
        <v>203</v>
      </c>
      <c r="NIY16" s="314" t="s">
        <v>203</v>
      </c>
      <c r="NIZ16" s="314" t="s">
        <v>203</v>
      </c>
      <c r="NJA16" s="314" t="s">
        <v>203</v>
      </c>
      <c r="NJB16" s="314" t="s">
        <v>203</v>
      </c>
      <c r="NJC16" s="314" t="s">
        <v>203</v>
      </c>
      <c r="NJD16" s="314" t="s">
        <v>203</v>
      </c>
      <c r="NJE16" s="314" t="s">
        <v>203</v>
      </c>
      <c r="NJF16" s="314" t="s">
        <v>203</v>
      </c>
      <c r="NJG16" s="314" t="s">
        <v>203</v>
      </c>
      <c r="NJH16" s="314" t="s">
        <v>203</v>
      </c>
      <c r="NJI16" s="314" t="s">
        <v>203</v>
      </c>
      <c r="NJJ16" s="314" t="s">
        <v>203</v>
      </c>
      <c r="NJK16" s="314" t="s">
        <v>203</v>
      </c>
      <c r="NJL16" s="314" t="s">
        <v>203</v>
      </c>
      <c r="NJM16" s="314" t="s">
        <v>203</v>
      </c>
      <c r="NJN16" s="314" t="s">
        <v>203</v>
      </c>
      <c r="NJO16" s="314" t="s">
        <v>203</v>
      </c>
      <c r="NJP16" s="314" t="s">
        <v>203</v>
      </c>
      <c r="NJQ16" s="314" t="s">
        <v>203</v>
      </c>
      <c r="NJR16" s="314" t="s">
        <v>203</v>
      </c>
      <c r="NJS16" s="314" t="s">
        <v>203</v>
      </c>
      <c r="NJT16" s="314" t="s">
        <v>203</v>
      </c>
      <c r="NJU16" s="314" t="s">
        <v>203</v>
      </c>
      <c r="NJV16" s="314" t="s">
        <v>203</v>
      </c>
      <c r="NJW16" s="314" t="s">
        <v>203</v>
      </c>
      <c r="NJX16" s="314" t="s">
        <v>203</v>
      </c>
      <c r="NJY16" s="314" t="s">
        <v>203</v>
      </c>
      <c r="NJZ16" s="314" t="s">
        <v>203</v>
      </c>
      <c r="NKA16" s="314" t="s">
        <v>203</v>
      </c>
      <c r="NKB16" s="314" t="s">
        <v>203</v>
      </c>
      <c r="NKC16" s="314" t="s">
        <v>203</v>
      </c>
      <c r="NKD16" s="314" t="s">
        <v>203</v>
      </c>
      <c r="NKE16" s="314" t="s">
        <v>203</v>
      </c>
      <c r="NKF16" s="314" t="s">
        <v>203</v>
      </c>
      <c r="NKG16" s="314" t="s">
        <v>203</v>
      </c>
      <c r="NKH16" s="314" t="s">
        <v>203</v>
      </c>
      <c r="NKI16" s="314" t="s">
        <v>203</v>
      </c>
      <c r="NKJ16" s="314" t="s">
        <v>203</v>
      </c>
      <c r="NKK16" s="314" t="s">
        <v>203</v>
      </c>
      <c r="NKL16" s="314" t="s">
        <v>203</v>
      </c>
      <c r="NKM16" s="314" t="s">
        <v>203</v>
      </c>
      <c r="NKN16" s="314" t="s">
        <v>203</v>
      </c>
      <c r="NKO16" s="314" t="s">
        <v>203</v>
      </c>
      <c r="NKP16" s="314" t="s">
        <v>203</v>
      </c>
      <c r="NKQ16" s="314" t="s">
        <v>203</v>
      </c>
      <c r="NKR16" s="314" t="s">
        <v>203</v>
      </c>
      <c r="NKS16" s="314" t="s">
        <v>203</v>
      </c>
      <c r="NKT16" s="314" t="s">
        <v>203</v>
      </c>
      <c r="NKU16" s="314" t="s">
        <v>203</v>
      </c>
      <c r="NKV16" s="314" t="s">
        <v>203</v>
      </c>
      <c r="NKW16" s="314" t="s">
        <v>203</v>
      </c>
      <c r="NKX16" s="314" t="s">
        <v>203</v>
      </c>
      <c r="NKY16" s="314" t="s">
        <v>203</v>
      </c>
      <c r="NKZ16" s="314" t="s">
        <v>203</v>
      </c>
      <c r="NLA16" s="314" t="s">
        <v>203</v>
      </c>
      <c r="NLB16" s="314" t="s">
        <v>203</v>
      </c>
      <c r="NLC16" s="314" t="s">
        <v>203</v>
      </c>
      <c r="NLD16" s="314" t="s">
        <v>203</v>
      </c>
      <c r="NLE16" s="314" t="s">
        <v>203</v>
      </c>
      <c r="NLF16" s="314" t="s">
        <v>203</v>
      </c>
      <c r="NLG16" s="314" t="s">
        <v>203</v>
      </c>
      <c r="NLH16" s="314" t="s">
        <v>203</v>
      </c>
      <c r="NLI16" s="314" t="s">
        <v>203</v>
      </c>
      <c r="NLJ16" s="314" t="s">
        <v>203</v>
      </c>
      <c r="NLK16" s="314" t="s">
        <v>203</v>
      </c>
      <c r="NLL16" s="314" t="s">
        <v>203</v>
      </c>
      <c r="NLM16" s="314" t="s">
        <v>203</v>
      </c>
      <c r="NLN16" s="314" t="s">
        <v>203</v>
      </c>
      <c r="NLO16" s="314" t="s">
        <v>203</v>
      </c>
      <c r="NLP16" s="314" t="s">
        <v>203</v>
      </c>
      <c r="NLQ16" s="314" t="s">
        <v>203</v>
      </c>
      <c r="NLR16" s="314" t="s">
        <v>203</v>
      </c>
      <c r="NLS16" s="314" t="s">
        <v>203</v>
      </c>
      <c r="NLT16" s="314" t="s">
        <v>203</v>
      </c>
      <c r="NLU16" s="314" t="s">
        <v>203</v>
      </c>
      <c r="NLV16" s="314" t="s">
        <v>203</v>
      </c>
      <c r="NLW16" s="314" t="s">
        <v>203</v>
      </c>
      <c r="NLX16" s="314" t="s">
        <v>203</v>
      </c>
      <c r="NLY16" s="314" t="s">
        <v>203</v>
      </c>
      <c r="NLZ16" s="314" t="s">
        <v>203</v>
      </c>
      <c r="NMA16" s="314" t="s">
        <v>203</v>
      </c>
      <c r="NMB16" s="314" t="s">
        <v>203</v>
      </c>
      <c r="NMC16" s="314" t="s">
        <v>203</v>
      </c>
      <c r="NMD16" s="314" t="s">
        <v>203</v>
      </c>
      <c r="NME16" s="314" t="s">
        <v>203</v>
      </c>
      <c r="NMF16" s="314" t="s">
        <v>203</v>
      </c>
      <c r="NMG16" s="314" t="s">
        <v>203</v>
      </c>
      <c r="NMH16" s="314" t="s">
        <v>203</v>
      </c>
      <c r="NMI16" s="314" t="s">
        <v>203</v>
      </c>
      <c r="NMJ16" s="314" t="s">
        <v>203</v>
      </c>
      <c r="NMK16" s="314" t="s">
        <v>203</v>
      </c>
      <c r="NML16" s="314" t="s">
        <v>203</v>
      </c>
      <c r="NMM16" s="314" t="s">
        <v>203</v>
      </c>
      <c r="NMN16" s="314" t="s">
        <v>203</v>
      </c>
      <c r="NMO16" s="314" t="s">
        <v>203</v>
      </c>
      <c r="NMP16" s="314" t="s">
        <v>203</v>
      </c>
      <c r="NMQ16" s="314" t="s">
        <v>203</v>
      </c>
      <c r="NMR16" s="314" t="s">
        <v>203</v>
      </c>
      <c r="NMS16" s="314" t="s">
        <v>203</v>
      </c>
      <c r="NMT16" s="314" t="s">
        <v>203</v>
      </c>
      <c r="NMU16" s="314" t="s">
        <v>203</v>
      </c>
      <c r="NMV16" s="314" t="s">
        <v>203</v>
      </c>
      <c r="NMW16" s="314" t="s">
        <v>203</v>
      </c>
      <c r="NMX16" s="314" t="s">
        <v>203</v>
      </c>
      <c r="NMY16" s="314" t="s">
        <v>203</v>
      </c>
      <c r="NMZ16" s="314" t="s">
        <v>203</v>
      </c>
      <c r="NNA16" s="314" t="s">
        <v>203</v>
      </c>
      <c r="NNB16" s="314" t="s">
        <v>203</v>
      </c>
      <c r="NNC16" s="314" t="s">
        <v>203</v>
      </c>
      <c r="NND16" s="314" t="s">
        <v>203</v>
      </c>
      <c r="NNE16" s="314" t="s">
        <v>203</v>
      </c>
      <c r="NNF16" s="314" t="s">
        <v>203</v>
      </c>
      <c r="NNG16" s="314" t="s">
        <v>203</v>
      </c>
      <c r="NNH16" s="314" t="s">
        <v>203</v>
      </c>
      <c r="NNI16" s="314" t="s">
        <v>203</v>
      </c>
      <c r="NNJ16" s="314" t="s">
        <v>203</v>
      </c>
      <c r="NNK16" s="314" t="s">
        <v>203</v>
      </c>
      <c r="NNL16" s="314" t="s">
        <v>203</v>
      </c>
      <c r="NNM16" s="314" t="s">
        <v>203</v>
      </c>
      <c r="NNN16" s="314" t="s">
        <v>203</v>
      </c>
      <c r="NNO16" s="314" t="s">
        <v>203</v>
      </c>
      <c r="NNP16" s="314" t="s">
        <v>203</v>
      </c>
      <c r="NNQ16" s="314" t="s">
        <v>203</v>
      </c>
      <c r="NNR16" s="314" t="s">
        <v>203</v>
      </c>
      <c r="NNS16" s="314" t="s">
        <v>203</v>
      </c>
      <c r="NNT16" s="314" t="s">
        <v>203</v>
      </c>
      <c r="NNU16" s="314" t="s">
        <v>203</v>
      </c>
      <c r="NNV16" s="314" t="s">
        <v>203</v>
      </c>
      <c r="NNW16" s="314" t="s">
        <v>203</v>
      </c>
      <c r="NNX16" s="314" t="s">
        <v>203</v>
      </c>
      <c r="NNY16" s="314" t="s">
        <v>203</v>
      </c>
      <c r="NNZ16" s="314" t="s">
        <v>203</v>
      </c>
      <c r="NOA16" s="314" t="s">
        <v>203</v>
      </c>
      <c r="NOB16" s="314" t="s">
        <v>203</v>
      </c>
      <c r="NOC16" s="314" t="s">
        <v>203</v>
      </c>
      <c r="NOD16" s="314" t="s">
        <v>203</v>
      </c>
      <c r="NOE16" s="314" t="s">
        <v>203</v>
      </c>
      <c r="NOF16" s="314" t="s">
        <v>203</v>
      </c>
      <c r="NOG16" s="314" t="s">
        <v>203</v>
      </c>
      <c r="NOH16" s="314" t="s">
        <v>203</v>
      </c>
      <c r="NOI16" s="314" t="s">
        <v>203</v>
      </c>
      <c r="NOJ16" s="314" t="s">
        <v>203</v>
      </c>
      <c r="NOK16" s="314" t="s">
        <v>203</v>
      </c>
      <c r="NOL16" s="314" t="s">
        <v>203</v>
      </c>
      <c r="NOM16" s="314" t="s">
        <v>203</v>
      </c>
      <c r="NON16" s="314" t="s">
        <v>203</v>
      </c>
      <c r="NOO16" s="314" t="s">
        <v>203</v>
      </c>
      <c r="NOP16" s="314" t="s">
        <v>203</v>
      </c>
      <c r="NOQ16" s="314" t="s">
        <v>203</v>
      </c>
      <c r="NOR16" s="314" t="s">
        <v>203</v>
      </c>
      <c r="NOS16" s="314" t="s">
        <v>203</v>
      </c>
      <c r="NOT16" s="314" t="s">
        <v>203</v>
      </c>
      <c r="NOU16" s="314" t="s">
        <v>203</v>
      </c>
      <c r="NOV16" s="314" t="s">
        <v>203</v>
      </c>
      <c r="NOW16" s="314" t="s">
        <v>203</v>
      </c>
      <c r="NOX16" s="314" t="s">
        <v>203</v>
      </c>
      <c r="NOY16" s="314" t="s">
        <v>203</v>
      </c>
      <c r="NOZ16" s="314" t="s">
        <v>203</v>
      </c>
      <c r="NPA16" s="314" t="s">
        <v>203</v>
      </c>
      <c r="NPB16" s="314" t="s">
        <v>203</v>
      </c>
      <c r="NPC16" s="314" t="s">
        <v>203</v>
      </c>
      <c r="NPD16" s="314" t="s">
        <v>203</v>
      </c>
      <c r="NPE16" s="314" t="s">
        <v>203</v>
      </c>
      <c r="NPF16" s="314" t="s">
        <v>203</v>
      </c>
      <c r="NPG16" s="314" t="s">
        <v>203</v>
      </c>
      <c r="NPH16" s="314" t="s">
        <v>203</v>
      </c>
      <c r="NPI16" s="314" t="s">
        <v>203</v>
      </c>
      <c r="NPJ16" s="314" t="s">
        <v>203</v>
      </c>
      <c r="NPK16" s="314" t="s">
        <v>203</v>
      </c>
      <c r="NPL16" s="314" t="s">
        <v>203</v>
      </c>
      <c r="NPM16" s="314" t="s">
        <v>203</v>
      </c>
      <c r="NPN16" s="314" t="s">
        <v>203</v>
      </c>
      <c r="NPO16" s="314" t="s">
        <v>203</v>
      </c>
      <c r="NPP16" s="314" t="s">
        <v>203</v>
      </c>
      <c r="NPQ16" s="314" t="s">
        <v>203</v>
      </c>
      <c r="NPR16" s="314" t="s">
        <v>203</v>
      </c>
      <c r="NPS16" s="314" t="s">
        <v>203</v>
      </c>
      <c r="NPT16" s="314" t="s">
        <v>203</v>
      </c>
      <c r="NPU16" s="314" t="s">
        <v>203</v>
      </c>
      <c r="NPV16" s="314" t="s">
        <v>203</v>
      </c>
      <c r="NPW16" s="314" t="s">
        <v>203</v>
      </c>
      <c r="NPX16" s="314" t="s">
        <v>203</v>
      </c>
      <c r="NPY16" s="314" t="s">
        <v>203</v>
      </c>
      <c r="NPZ16" s="314" t="s">
        <v>203</v>
      </c>
      <c r="NQA16" s="314" t="s">
        <v>203</v>
      </c>
      <c r="NQB16" s="314" t="s">
        <v>203</v>
      </c>
      <c r="NQC16" s="314" t="s">
        <v>203</v>
      </c>
      <c r="NQD16" s="314" t="s">
        <v>203</v>
      </c>
      <c r="NQE16" s="314" t="s">
        <v>203</v>
      </c>
      <c r="NQF16" s="314" t="s">
        <v>203</v>
      </c>
      <c r="NQG16" s="314" t="s">
        <v>203</v>
      </c>
      <c r="NQH16" s="314" t="s">
        <v>203</v>
      </c>
      <c r="NQI16" s="314" t="s">
        <v>203</v>
      </c>
      <c r="NQJ16" s="314" t="s">
        <v>203</v>
      </c>
      <c r="NQK16" s="314" t="s">
        <v>203</v>
      </c>
      <c r="NQL16" s="314" t="s">
        <v>203</v>
      </c>
      <c r="NQM16" s="314" t="s">
        <v>203</v>
      </c>
      <c r="NQN16" s="314" t="s">
        <v>203</v>
      </c>
      <c r="NQO16" s="314" t="s">
        <v>203</v>
      </c>
      <c r="NQP16" s="314" t="s">
        <v>203</v>
      </c>
      <c r="NQQ16" s="314" t="s">
        <v>203</v>
      </c>
      <c r="NQR16" s="314" t="s">
        <v>203</v>
      </c>
      <c r="NQS16" s="314" t="s">
        <v>203</v>
      </c>
      <c r="NQT16" s="314" t="s">
        <v>203</v>
      </c>
      <c r="NQU16" s="314" t="s">
        <v>203</v>
      </c>
      <c r="NQV16" s="314" t="s">
        <v>203</v>
      </c>
      <c r="NQW16" s="314" t="s">
        <v>203</v>
      </c>
      <c r="NQX16" s="314" t="s">
        <v>203</v>
      </c>
      <c r="NQY16" s="314" t="s">
        <v>203</v>
      </c>
      <c r="NQZ16" s="314" t="s">
        <v>203</v>
      </c>
      <c r="NRA16" s="314" t="s">
        <v>203</v>
      </c>
      <c r="NRB16" s="314" t="s">
        <v>203</v>
      </c>
      <c r="NRC16" s="314" t="s">
        <v>203</v>
      </c>
      <c r="NRD16" s="314" t="s">
        <v>203</v>
      </c>
      <c r="NRE16" s="314" t="s">
        <v>203</v>
      </c>
      <c r="NRF16" s="314" t="s">
        <v>203</v>
      </c>
      <c r="NRG16" s="314" t="s">
        <v>203</v>
      </c>
      <c r="NRH16" s="314" t="s">
        <v>203</v>
      </c>
      <c r="NRI16" s="314" t="s">
        <v>203</v>
      </c>
      <c r="NRJ16" s="314" t="s">
        <v>203</v>
      </c>
      <c r="NRK16" s="314" t="s">
        <v>203</v>
      </c>
      <c r="NRL16" s="314" t="s">
        <v>203</v>
      </c>
      <c r="NRM16" s="314" t="s">
        <v>203</v>
      </c>
      <c r="NRN16" s="314" t="s">
        <v>203</v>
      </c>
      <c r="NRO16" s="314" t="s">
        <v>203</v>
      </c>
      <c r="NRP16" s="314" t="s">
        <v>203</v>
      </c>
      <c r="NRQ16" s="314" t="s">
        <v>203</v>
      </c>
      <c r="NRR16" s="314" t="s">
        <v>203</v>
      </c>
      <c r="NRS16" s="314" t="s">
        <v>203</v>
      </c>
      <c r="NRT16" s="314" t="s">
        <v>203</v>
      </c>
      <c r="NRU16" s="314" t="s">
        <v>203</v>
      </c>
      <c r="NRV16" s="314" t="s">
        <v>203</v>
      </c>
      <c r="NRW16" s="314" t="s">
        <v>203</v>
      </c>
      <c r="NRX16" s="314" t="s">
        <v>203</v>
      </c>
      <c r="NRY16" s="314" t="s">
        <v>203</v>
      </c>
      <c r="NRZ16" s="314" t="s">
        <v>203</v>
      </c>
      <c r="NSA16" s="314" t="s">
        <v>203</v>
      </c>
      <c r="NSB16" s="314" t="s">
        <v>203</v>
      </c>
      <c r="NSC16" s="314" t="s">
        <v>203</v>
      </c>
      <c r="NSD16" s="314" t="s">
        <v>203</v>
      </c>
      <c r="NSE16" s="314" t="s">
        <v>203</v>
      </c>
      <c r="NSF16" s="314" t="s">
        <v>203</v>
      </c>
      <c r="NSG16" s="314" t="s">
        <v>203</v>
      </c>
      <c r="NSH16" s="314" t="s">
        <v>203</v>
      </c>
      <c r="NSI16" s="314" t="s">
        <v>203</v>
      </c>
      <c r="NSJ16" s="314" t="s">
        <v>203</v>
      </c>
      <c r="NSK16" s="314" t="s">
        <v>203</v>
      </c>
      <c r="NSL16" s="314" t="s">
        <v>203</v>
      </c>
      <c r="NSM16" s="314" t="s">
        <v>203</v>
      </c>
      <c r="NSN16" s="314" t="s">
        <v>203</v>
      </c>
      <c r="NSO16" s="314" t="s">
        <v>203</v>
      </c>
      <c r="NSP16" s="314" t="s">
        <v>203</v>
      </c>
      <c r="NSQ16" s="314" t="s">
        <v>203</v>
      </c>
      <c r="NSR16" s="314" t="s">
        <v>203</v>
      </c>
      <c r="NSS16" s="314" t="s">
        <v>203</v>
      </c>
      <c r="NST16" s="314" t="s">
        <v>203</v>
      </c>
      <c r="NSU16" s="314" t="s">
        <v>203</v>
      </c>
      <c r="NSV16" s="314" t="s">
        <v>203</v>
      </c>
      <c r="NSW16" s="314" t="s">
        <v>203</v>
      </c>
      <c r="NSX16" s="314" t="s">
        <v>203</v>
      </c>
      <c r="NSY16" s="314" t="s">
        <v>203</v>
      </c>
      <c r="NSZ16" s="314" t="s">
        <v>203</v>
      </c>
      <c r="NTA16" s="314" t="s">
        <v>203</v>
      </c>
      <c r="NTB16" s="314" t="s">
        <v>203</v>
      </c>
      <c r="NTC16" s="314" t="s">
        <v>203</v>
      </c>
      <c r="NTD16" s="314" t="s">
        <v>203</v>
      </c>
      <c r="NTE16" s="314" t="s">
        <v>203</v>
      </c>
      <c r="NTF16" s="314" t="s">
        <v>203</v>
      </c>
      <c r="NTG16" s="314" t="s">
        <v>203</v>
      </c>
      <c r="NTH16" s="314" t="s">
        <v>203</v>
      </c>
      <c r="NTI16" s="314" t="s">
        <v>203</v>
      </c>
      <c r="NTJ16" s="314" t="s">
        <v>203</v>
      </c>
      <c r="NTK16" s="314" t="s">
        <v>203</v>
      </c>
      <c r="NTL16" s="314" t="s">
        <v>203</v>
      </c>
      <c r="NTM16" s="314" t="s">
        <v>203</v>
      </c>
      <c r="NTN16" s="314" t="s">
        <v>203</v>
      </c>
      <c r="NTO16" s="314" t="s">
        <v>203</v>
      </c>
      <c r="NTP16" s="314" t="s">
        <v>203</v>
      </c>
      <c r="NTQ16" s="314" t="s">
        <v>203</v>
      </c>
      <c r="NTR16" s="314" t="s">
        <v>203</v>
      </c>
      <c r="NTS16" s="314" t="s">
        <v>203</v>
      </c>
      <c r="NTT16" s="314" t="s">
        <v>203</v>
      </c>
      <c r="NTU16" s="314" t="s">
        <v>203</v>
      </c>
      <c r="NTV16" s="314" t="s">
        <v>203</v>
      </c>
      <c r="NTW16" s="314" t="s">
        <v>203</v>
      </c>
      <c r="NTX16" s="314" t="s">
        <v>203</v>
      </c>
      <c r="NTY16" s="314" t="s">
        <v>203</v>
      </c>
      <c r="NTZ16" s="314" t="s">
        <v>203</v>
      </c>
      <c r="NUA16" s="314" t="s">
        <v>203</v>
      </c>
      <c r="NUB16" s="314" t="s">
        <v>203</v>
      </c>
      <c r="NUC16" s="314" t="s">
        <v>203</v>
      </c>
      <c r="NUD16" s="314" t="s">
        <v>203</v>
      </c>
      <c r="NUE16" s="314" t="s">
        <v>203</v>
      </c>
      <c r="NUF16" s="314" t="s">
        <v>203</v>
      </c>
      <c r="NUG16" s="314" t="s">
        <v>203</v>
      </c>
      <c r="NUH16" s="314" t="s">
        <v>203</v>
      </c>
      <c r="NUI16" s="314" t="s">
        <v>203</v>
      </c>
      <c r="NUJ16" s="314" t="s">
        <v>203</v>
      </c>
      <c r="NUK16" s="314" t="s">
        <v>203</v>
      </c>
      <c r="NUL16" s="314" t="s">
        <v>203</v>
      </c>
      <c r="NUM16" s="314" t="s">
        <v>203</v>
      </c>
      <c r="NUN16" s="314" t="s">
        <v>203</v>
      </c>
      <c r="NUO16" s="314" t="s">
        <v>203</v>
      </c>
      <c r="NUP16" s="314" t="s">
        <v>203</v>
      </c>
      <c r="NUQ16" s="314" t="s">
        <v>203</v>
      </c>
      <c r="NUR16" s="314" t="s">
        <v>203</v>
      </c>
      <c r="NUS16" s="314" t="s">
        <v>203</v>
      </c>
      <c r="NUT16" s="314" t="s">
        <v>203</v>
      </c>
      <c r="NUU16" s="314" t="s">
        <v>203</v>
      </c>
      <c r="NUV16" s="314" t="s">
        <v>203</v>
      </c>
      <c r="NUW16" s="314" t="s">
        <v>203</v>
      </c>
      <c r="NUX16" s="314" t="s">
        <v>203</v>
      </c>
      <c r="NUY16" s="314" t="s">
        <v>203</v>
      </c>
      <c r="NUZ16" s="314" t="s">
        <v>203</v>
      </c>
      <c r="NVA16" s="314" t="s">
        <v>203</v>
      </c>
      <c r="NVB16" s="314" t="s">
        <v>203</v>
      </c>
      <c r="NVC16" s="314" t="s">
        <v>203</v>
      </c>
      <c r="NVD16" s="314" t="s">
        <v>203</v>
      </c>
      <c r="NVE16" s="314" t="s">
        <v>203</v>
      </c>
      <c r="NVF16" s="314" t="s">
        <v>203</v>
      </c>
      <c r="NVG16" s="314" t="s">
        <v>203</v>
      </c>
      <c r="NVH16" s="314" t="s">
        <v>203</v>
      </c>
      <c r="NVI16" s="314" t="s">
        <v>203</v>
      </c>
      <c r="NVJ16" s="314" t="s">
        <v>203</v>
      </c>
      <c r="NVK16" s="314" t="s">
        <v>203</v>
      </c>
      <c r="NVL16" s="314" t="s">
        <v>203</v>
      </c>
      <c r="NVM16" s="314" t="s">
        <v>203</v>
      </c>
      <c r="NVN16" s="314" t="s">
        <v>203</v>
      </c>
      <c r="NVO16" s="314" t="s">
        <v>203</v>
      </c>
      <c r="NVP16" s="314" t="s">
        <v>203</v>
      </c>
      <c r="NVQ16" s="314" t="s">
        <v>203</v>
      </c>
      <c r="NVR16" s="314" t="s">
        <v>203</v>
      </c>
      <c r="NVS16" s="314" t="s">
        <v>203</v>
      </c>
      <c r="NVT16" s="314" t="s">
        <v>203</v>
      </c>
      <c r="NVU16" s="314" t="s">
        <v>203</v>
      </c>
      <c r="NVV16" s="314" t="s">
        <v>203</v>
      </c>
      <c r="NVW16" s="314" t="s">
        <v>203</v>
      </c>
      <c r="NVX16" s="314" t="s">
        <v>203</v>
      </c>
      <c r="NVY16" s="314" t="s">
        <v>203</v>
      </c>
      <c r="NVZ16" s="314" t="s">
        <v>203</v>
      </c>
      <c r="NWA16" s="314" t="s">
        <v>203</v>
      </c>
      <c r="NWB16" s="314" t="s">
        <v>203</v>
      </c>
      <c r="NWC16" s="314" t="s">
        <v>203</v>
      </c>
      <c r="NWD16" s="314" t="s">
        <v>203</v>
      </c>
      <c r="NWE16" s="314" t="s">
        <v>203</v>
      </c>
      <c r="NWF16" s="314" t="s">
        <v>203</v>
      </c>
      <c r="NWG16" s="314" t="s">
        <v>203</v>
      </c>
      <c r="NWH16" s="314" t="s">
        <v>203</v>
      </c>
      <c r="NWI16" s="314" t="s">
        <v>203</v>
      </c>
      <c r="NWJ16" s="314" t="s">
        <v>203</v>
      </c>
      <c r="NWK16" s="314" t="s">
        <v>203</v>
      </c>
      <c r="NWL16" s="314" t="s">
        <v>203</v>
      </c>
      <c r="NWM16" s="314" t="s">
        <v>203</v>
      </c>
      <c r="NWN16" s="314" t="s">
        <v>203</v>
      </c>
      <c r="NWO16" s="314" t="s">
        <v>203</v>
      </c>
      <c r="NWP16" s="314" t="s">
        <v>203</v>
      </c>
      <c r="NWQ16" s="314" t="s">
        <v>203</v>
      </c>
      <c r="NWR16" s="314" t="s">
        <v>203</v>
      </c>
      <c r="NWS16" s="314" t="s">
        <v>203</v>
      </c>
      <c r="NWT16" s="314" t="s">
        <v>203</v>
      </c>
      <c r="NWU16" s="314" t="s">
        <v>203</v>
      </c>
      <c r="NWV16" s="314" t="s">
        <v>203</v>
      </c>
      <c r="NWW16" s="314" t="s">
        <v>203</v>
      </c>
      <c r="NWX16" s="314" t="s">
        <v>203</v>
      </c>
      <c r="NWY16" s="314" t="s">
        <v>203</v>
      </c>
      <c r="NWZ16" s="314" t="s">
        <v>203</v>
      </c>
      <c r="NXA16" s="314" t="s">
        <v>203</v>
      </c>
      <c r="NXB16" s="314" t="s">
        <v>203</v>
      </c>
      <c r="NXC16" s="314" t="s">
        <v>203</v>
      </c>
      <c r="NXD16" s="314" t="s">
        <v>203</v>
      </c>
      <c r="NXE16" s="314" t="s">
        <v>203</v>
      </c>
      <c r="NXF16" s="314" t="s">
        <v>203</v>
      </c>
      <c r="NXG16" s="314" t="s">
        <v>203</v>
      </c>
      <c r="NXH16" s="314" t="s">
        <v>203</v>
      </c>
      <c r="NXI16" s="314" t="s">
        <v>203</v>
      </c>
      <c r="NXJ16" s="314" t="s">
        <v>203</v>
      </c>
      <c r="NXK16" s="314" t="s">
        <v>203</v>
      </c>
      <c r="NXL16" s="314" t="s">
        <v>203</v>
      </c>
      <c r="NXM16" s="314" t="s">
        <v>203</v>
      </c>
      <c r="NXN16" s="314" t="s">
        <v>203</v>
      </c>
      <c r="NXO16" s="314" t="s">
        <v>203</v>
      </c>
      <c r="NXP16" s="314" t="s">
        <v>203</v>
      </c>
      <c r="NXQ16" s="314" t="s">
        <v>203</v>
      </c>
      <c r="NXR16" s="314" t="s">
        <v>203</v>
      </c>
      <c r="NXS16" s="314" t="s">
        <v>203</v>
      </c>
      <c r="NXT16" s="314" t="s">
        <v>203</v>
      </c>
      <c r="NXU16" s="314" t="s">
        <v>203</v>
      </c>
      <c r="NXV16" s="314" t="s">
        <v>203</v>
      </c>
      <c r="NXW16" s="314" t="s">
        <v>203</v>
      </c>
      <c r="NXX16" s="314" t="s">
        <v>203</v>
      </c>
      <c r="NXY16" s="314" t="s">
        <v>203</v>
      </c>
      <c r="NXZ16" s="314" t="s">
        <v>203</v>
      </c>
      <c r="NYA16" s="314" t="s">
        <v>203</v>
      </c>
      <c r="NYB16" s="314" t="s">
        <v>203</v>
      </c>
      <c r="NYC16" s="314" t="s">
        <v>203</v>
      </c>
      <c r="NYD16" s="314" t="s">
        <v>203</v>
      </c>
      <c r="NYE16" s="314" t="s">
        <v>203</v>
      </c>
      <c r="NYF16" s="314" t="s">
        <v>203</v>
      </c>
      <c r="NYG16" s="314" t="s">
        <v>203</v>
      </c>
      <c r="NYH16" s="314" t="s">
        <v>203</v>
      </c>
      <c r="NYI16" s="314" t="s">
        <v>203</v>
      </c>
      <c r="NYJ16" s="314" t="s">
        <v>203</v>
      </c>
      <c r="NYK16" s="314" t="s">
        <v>203</v>
      </c>
      <c r="NYL16" s="314" t="s">
        <v>203</v>
      </c>
      <c r="NYM16" s="314" t="s">
        <v>203</v>
      </c>
      <c r="NYN16" s="314" t="s">
        <v>203</v>
      </c>
      <c r="NYO16" s="314" t="s">
        <v>203</v>
      </c>
      <c r="NYP16" s="314" t="s">
        <v>203</v>
      </c>
      <c r="NYQ16" s="314" t="s">
        <v>203</v>
      </c>
      <c r="NYR16" s="314" t="s">
        <v>203</v>
      </c>
      <c r="NYS16" s="314" t="s">
        <v>203</v>
      </c>
      <c r="NYT16" s="314" t="s">
        <v>203</v>
      </c>
      <c r="NYU16" s="314" t="s">
        <v>203</v>
      </c>
      <c r="NYV16" s="314" t="s">
        <v>203</v>
      </c>
      <c r="NYW16" s="314" t="s">
        <v>203</v>
      </c>
      <c r="NYX16" s="314" t="s">
        <v>203</v>
      </c>
      <c r="NYY16" s="314" t="s">
        <v>203</v>
      </c>
      <c r="NYZ16" s="314" t="s">
        <v>203</v>
      </c>
      <c r="NZA16" s="314" t="s">
        <v>203</v>
      </c>
      <c r="NZB16" s="314" t="s">
        <v>203</v>
      </c>
      <c r="NZC16" s="314" t="s">
        <v>203</v>
      </c>
      <c r="NZD16" s="314" t="s">
        <v>203</v>
      </c>
      <c r="NZE16" s="314" t="s">
        <v>203</v>
      </c>
      <c r="NZF16" s="314" t="s">
        <v>203</v>
      </c>
      <c r="NZG16" s="314" t="s">
        <v>203</v>
      </c>
      <c r="NZH16" s="314" t="s">
        <v>203</v>
      </c>
      <c r="NZI16" s="314" t="s">
        <v>203</v>
      </c>
      <c r="NZJ16" s="314" t="s">
        <v>203</v>
      </c>
      <c r="NZK16" s="314" t="s">
        <v>203</v>
      </c>
      <c r="NZL16" s="314" t="s">
        <v>203</v>
      </c>
      <c r="NZM16" s="314" t="s">
        <v>203</v>
      </c>
      <c r="NZN16" s="314" t="s">
        <v>203</v>
      </c>
      <c r="NZO16" s="314" t="s">
        <v>203</v>
      </c>
      <c r="NZP16" s="314" t="s">
        <v>203</v>
      </c>
      <c r="NZQ16" s="314" t="s">
        <v>203</v>
      </c>
      <c r="NZR16" s="314" t="s">
        <v>203</v>
      </c>
      <c r="NZS16" s="314" t="s">
        <v>203</v>
      </c>
      <c r="NZT16" s="314" t="s">
        <v>203</v>
      </c>
      <c r="NZU16" s="314" t="s">
        <v>203</v>
      </c>
      <c r="NZV16" s="314" t="s">
        <v>203</v>
      </c>
      <c r="NZW16" s="314" t="s">
        <v>203</v>
      </c>
      <c r="NZX16" s="314" t="s">
        <v>203</v>
      </c>
      <c r="NZY16" s="314" t="s">
        <v>203</v>
      </c>
      <c r="NZZ16" s="314" t="s">
        <v>203</v>
      </c>
      <c r="OAA16" s="314" t="s">
        <v>203</v>
      </c>
      <c r="OAB16" s="314" t="s">
        <v>203</v>
      </c>
      <c r="OAC16" s="314" t="s">
        <v>203</v>
      </c>
      <c r="OAD16" s="314" t="s">
        <v>203</v>
      </c>
      <c r="OAE16" s="314" t="s">
        <v>203</v>
      </c>
      <c r="OAF16" s="314" t="s">
        <v>203</v>
      </c>
      <c r="OAG16" s="314" t="s">
        <v>203</v>
      </c>
      <c r="OAH16" s="314" t="s">
        <v>203</v>
      </c>
      <c r="OAI16" s="314" t="s">
        <v>203</v>
      </c>
      <c r="OAJ16" s="314" t="s">
        <v>203</v>
      </c>
      <c r="OAK16" s="314" t="s">
        <v>203</v>
      </c>
      <c r="OAL16" s="314" t="s">
        <v>203</v>
      </c>
      <c r="OAM16" s="314" t="s">
        <v>203</v>
      </c>
      <c r="OAN16" s="314" t="s">
        <v>203</v>
      </c>
      <c r="OAO16" s="314" t="s">
        <v>203</v>
      </c>
      <c r="OAP16" s="314" t="s">
        <v>203</v>
      </c>
      <c r="OAQ16" s="314" t="s">
        <v>203</v>
      </c>
      <c r="OAR16" s="314" t="s">
        <v>203</v>
      </c>
      <c r="OAS16" s="314" t="s">
        <v>203</v>
      </c>
      <c r="OAT16" s="314" t="s">
        <v>203</v>
      </c>
      <c r="OAU16" s="314" t="s">
        <v>203</v>
      </c>
      <c r="OAV16" s="314" t="s">
        <v>203</v>
      </c>
      <c r="OAW16" s="314" t="s">
        <v>203</v>
      </c>
      <c r="OAX16" s="314" t="s">
        <v>203</v>
      </c>
      <c r="OAY16" s="314" t="s">
        <v>203</v>
      </c>
      <c r="OAZ16" s="314" t="s">
        <v>203</v>
      </c>
      <c r="OBA16" s="314" t="s">
        <v>203</v>
      </c>
      <c r="OBB16" s="314" t="s">
        <v>203</v>
      </c>
      <c r="OBC16" s="314" t="s">
        <v>203</v>
      </c>
      <c r="OBD16" s="314" t="s">
        <v>203</v>
      </c>
      <c r="OBE16" s="314" t="s">
        <v>203</v>
      </c>
      <c r="OBF16" s="314" t="s">
        <v>203</v>
      </c>
      <c r="OBG16" s="314" t="s">
        <v>203</v>
      </c>
      <c r="OBH16" s="314" t="s">
        <v>203</v>
      </c>
      <c r="OBI16" s="314" t="s">
        <v>203</v>
      </c>
      <c r="OBJ16" s="314" t="s">
        <v>203</v>
      </c>
      <c r="OBK16" s="314" t="s">
        <v>203</v>
      </c>
      <c r="OBL16" s="314" t="s">
        <v>203</v>
      </c>
      <c r="OBM16" s="314" t="s">
        <v>203</v>
      </c>
      <c r="OBN16" s="314" t="s">
        <v>203</v>
      </c>
      <c r="OBO16" s="314" t="s">
        <v>203</v>
      </c>
      <c r="OBP16" s="314" t="s">
        <v>203</v>
      </c>
      <c r="OBQ16" s="314" t="s">
        <v>203</v>
      </c>
      <c r="OBR16" s="314" t="s">
        <v>203</v>
      </c>
      <c r="OBS16" s="314" t="s">
        <v>203</v>
      </c>
      <c r="OBT16" s="314" t="s">
        <v>203</v>
      </c>
      <c r="OBU16" s="314" t="s">
        <v>203</v>
      </c>
      <c r="OBV16" s="314" t="s">
        <v>203</v>
      </c>
      <c r="OBW16" s="314" t="s">
        <v>203</v>
      </c>
      <c r="OBX16" s="314" t="s">
        <v>203</v>
      </c>
      <c r="OBY16" s="314" t="s">
        <v>203</v>
      </c>
      <c r="OBZ16" s="314" t="s">
        <v>203</v>
      </c>
      <c r="OCA16" s="314" t="s">
        <v>203</v>
      </c>
      <c r="OCB16" s="314" t="s">
        <v>203</v>
      </c>
      <c r="OCC16" s="314" t="s">
        <v>203</v>
      </c>
      <c r="OCD16" s="314" t="s">
        <v>203</v>
      </c>
      <c r="OCE16" s="314" t="s">
        <v>203</v>
      </c>
      <c r="OCF16" s="314" t="s">
        <v>203</v>
      </c>
      <c r="OCG16" s="314" t="s">
        <v>203</v>
      </c>
      <c r="OCH16" s="314" t="s">
        <v>203</v>
      </c>
      <c r="OCI16" s="314" t="s">
        <v>203</v>
      </c>
      <c r="OCJ16" s="314" t="s">
        <v>203</v>
      </c>
      <c r="OCK16" s="314" t="s">
        <v>203</v>
      </c>
      <c r="OCL16" s="314" t="s">
        <v>203</v>
      </c>
      <c r="OCM16" s="314" t="s">
        <v>203</v>
      </c>
      <c r="OCN16" s="314" t="s">
        <v>203</v>
      </c>
      <c r="OCO16" s="314" t="s">
        <v>203</v>
      </c>
      <c r="OCP16" s="314" t="s">
        <v>203</v>
      </c>
      <c r="OCQ16" s="314" t="s">
        <v>203</v>
      </c>
      <c r="OCR16" s="314" t="s">
        <v>203</v>
      </c>
      <c r="OCS16" s="314" t="s">
        <v>203</v>
      </c>
      <c r="OCT16" s="314" t="s">
        <v>203</v>
      </c>
      <c r="OCU16" s="314" t="s">
        <v>203</v>
      </c>
      <c r="OCV16" s="314" t="s">
        <v>203</v>
      </c>
      <c r="OCW16" s="314" t="s">
        <v>203</v>
      </c>
      <c r="OCX16" s="314" t="s">
        <v>203</v>
      </c>
      <c r="OCY16" s="314" t="s">
        <v>203</v>
      </c>
      <c r="OCZ16" s="314" t="s">
        <v>203</v>
      </c>
      <c r="ODA16" s="314" t="s">
        <v>203</v>
      </c>
      <c r="ODB16" s="314" t="s">
        <v>203</v>
      </c>
      <c r="ODC16" s="314" t="s">
        <v>203</v>
      </c>
      <c r="ODD16" s="314" t="s">
        <v>203</v>
      </c>
      <c r="ODE16" s="314" t="s">
        <v>203</v>
      </c>
      <c r="ODF16" s="314" t="s">
        <v>203</v>
      </c>
      <c r="ODG16" s="314" t="s">
        <v>203</v>
      </c>
      <c r="ODH16" s="314" t="s">
        <v>203</v>
      </c>
      <c r="ODI16" s="314" t="s">
        <v>203</v>
      </c>
      <c r="ODJ16" s="314" t="s">
        <v>203</v>
      </c>
      <c r="ODK16" s="314" t="s">
        <v>203</v>
      </c>
      <c r="ODL16" s="314" t="s">
        <v>203</v>
      </c>
      <c r="ODM16" s="314" t="s">
        <v>203</v>
      </c>
      <c r="ODN16" s="314" t="s">
        <v>203</v>
      </c>
      <c r="ODO16" s="314" t="s">
        <v>203</v>
      </c>
      <c r="ODP16" s="314" t="s">
        <v>203</v>
      </c>
      <c r="ODQ16" s="314" t="s">
        <v>203</v>
      </c>
      <c r="ODR16" s="314" t="s">
        <v>203</v>
      </c>
      <c r="ODS16" s="314" t="s">
        <v>203</v>
      </c>
      <c r="ODT16" s="314" t="s">
        <v>203</v>
      </c>
      <c r="ODU16" s="314" t="s">
        <v>203</v>
      </c>
      <c r="ODV16" s="314" t="s">
        <v>203</v>
      </c>
      <c r="ODW16" s="314" t="s">
        <v>203</v>
      </c>
      <c r="ODX16" s="314" t="s">
        <v>203</v>
      </c>
      <c r="ODY16" s="314" t="s">
        <v>203</v>
      </c>
      <c r="ODZ16" s="314" t="s">
        <v>203</v>
      </c>
      <c r="OEA16" s="314" t="s">
        <v>203</v>
      </c>
      <c r="OEB16" s="314" t="s">
        <v>203</v>
      </c>
      <c r="OEC16" s="314" t="s">
        <v>203</v>
      </c>
      <c r="OED16" s="314" t="s">
        <v>203</v>
      </c>
      <c r="OEE16" s="314" t="s">
        <v>203</v>
      </c>
      <c r="OEF16" s="314" t="s">
        <v>203</v>
      </c>
      <c r="OEG16" s="314" t="s">
        <v>203</v>
      </c>
      <c r="OEH16" s="314" t="s">
        <v>203</v>
      </c>
      <c r="OEI16" s="314" t="s">
        <v>203</v>
      </c>
      <c r="OEJ16" s="314" t="s">
        <v>203</v>
      </c>
      <c r="OEK16" s="314" t="s">
        <v>203</v>
      </c>
      <c r="OEL16" s="314" t="s">
        <v>203</v>
      </c>
      <c r="OEM16" s="314" t="s">
        <v>203</v>
      </c>
      <c r="OEN16" s="314" t="s">
        <v>203</v>
      </c>
      <c r="OEO16" s="314" t="s">
        <v>203</v>
      </c>
      <c r="OEP16" s="314" t="s">
        <v>203</v>
      </c>
      <c r="OEQ16" s="314" t="s">
        <v>203</v>
      </c>
      <c r="OER16" s="314" t="s">
        <v>203</v>
      </c>
      <c r="OES16" s="314" t="s">
        <v>203</v>
      </c>
      <c r="OET16" s="314" t="s">
        <v>203</v>
      </c>
      <c r="OEU16" s="314" t="s">
        <v>203</v>
      </c>
      <c r="OEV16" s="314" t="s">
        <v>203</v>
      </c>
      <c r="OEW16" s="314" t="s">
        <v>203</v>
      </c>
      <c r="OEX16" s="314" t="s">
        <v>203</v>
      </c>
      <c r="OEY16" s="314" t="s">
        <v>203</v>
      </c>
      <c r="OEZ16" s="314" t="s">
        <v>203</v>
      </c>
      <c r="OFA16" s="314" t="s">
        <v>203</v>
      </c>
      <c r="OFB16" s="314" t="s">
        <v>203</v>
      </c>
      <c r="OFC16" s="314" t="s">
        <v>203</v>
      </c>
      <c r="OFD16" s="314" t="s">
        <v>203</v>
      </c>
      <c r="OFE16" s="314" t="s">
        <v>203</v>
      </c>
      <c r="OFF16" s="314" t="s">
        <v>203</v>
      </c>
      <c r="OFG16" s="314" t="s">
        <v>203</v>
      </c>
      <c r="OFH16" s="314" t="s">
        <v>203</v>
      </c>
      <c r="OFI16" s="314" t="s">
        <v>203</v>
      </c>
      <c r="OFJ16" s="314" t="s">
        <v>203</v>
      </c>
      <c r="OFK16" s="314" t="s">
        <v>203</v>
      </c>
      <c r="OFL16" s="314" t="s">
        <v>203</v>
      </c>
      <c r="OFM16" s="314" t="s">
        <v>203</v>
      </c>
      <c r="OFN16" s="314" t="s">
        <v>203</v>
      </c>
      <c r="OFO16" s="314" t="s">
        <v>203</v>
      </c>
      <c r="OFP16" s="314" t="s">
        <v>203</v>
      </c>
      <c r="OFQ16" s="314" t="s">
        <v>203</v>
      </c>
      <c r="OFR16" s="314" t="s">
        <v>203</v>
      </c>
      <c r="OFS16" s="314" t="s">
        <v>203</v>
      </c>
      <c r="OFT16" s="314" t="s">
        <v>203</v>
      </c>
      <c r="OFU16" s="314" t="s">
        <v>203</v>
      </c>
      <c r="OFV16" s="314" t="s">
        <v>203</v>
      </c>
      <c r="OFW16" s="314" t="s">
        <v>203</v>
      </c>
      <c r="OFX16" s="314" t="s">
        <v>203</v>
      </c>
      <c r="OFY16" s="314" t="s">
        <v>203</v>
      </c>
      <c r="OFZ16" s="314" t="s">
        <v>203</v>
      </c>
      <c r="OGA16" s="314" t="s">
        <v>203</v>
      </c>
      <c r="OGB16" s="314" t="s">
        <v>203</v>
      </c>
      <c r="OGC16" s="314" t="s">
        <v>203</v>
      </c>
      <c r="OGD16" s="314" t="s">
        <v>203</v>
      </c>
      <c r="OGE16" s="314" t="s">
        <v>203</v>
      </c>
      <c r="OGF16" s="314" t="s">
        <v>203</v>
      </c>
      <c r="OGG16" s="314" t="s">
        <v>203</v>
      </c>
      <c r="OGH16" s="314" t="s">
        <v>203</v>
      </c>
      <c r="OGI16" s="314" t="s">
        <v>203</v>
      </c>
      <c r="OGJ16" s="314" t="s">
        <v>203</v>
      </c>
      <c r="OGK16" s="314" t="s">
        <v>203</v>
      </c>
      <c r="OGL16" s="314" t="s">
        <v>203</v>
      </c>
      <c r="OGM16" s="314" t="s">
        <v>203</v>
      </c>
      <c r="OGN16" s="314" t="s">
        <v>203</v>
      </c>
      <c r="OGO16" s="314" t="s">
        <v>203</v>
      </c>
      <c r="OGP16" s="314" t="s">
        <v>203</v>
      </c>
      <c r="OGQ16" s="314" t="s">
        <v>203</v>
      </c>
      <c r="OGR16" s="314" t="s">
        <v>203</v>
      </c>
      <c r="OGS16" s="314" t="s">
        <v>203</v>
      </c>
      <c r="OGT16" s="314" t="s">
        <v>203</v>
      </c>
      <c r="OGU16" s="314" t="s">
        <v>203</v>
      </c>
      <c r="OGV16" s="314" t="s">
        <v>203</v>
      </c>
      <c r="OGW16" s="314" t="s">
        <v>203</v>
      </c>
      <c r="OGX16" s="314" t="s">
        <v>203</v>
      </c>
      <c r="OGY16" s="314" t="s">
        <v>203</v>
      </c>
      <c r="OGZ16" s="314" t="s">
        <v>203</v>
      </c>
      <c r="OHA16" s="314" t="s">
        <v>203</v>
      </c>
      <c r="OHB16" s="314" t="s">
        <v>203</v>
      </c>
      <c r="OHC16" s="314" t="s">
        <v>203</v>
      </c>
      <c r="OHD16" s="314" t="s">
        <v>203</v>
      </c>
      <c r="OHE16" s="314" t="s">
        <v>203</v>
      </c>
      <c r="OHF16" s="314" t="s">
        <v>203</v>
      </c>
      <c r="OHG16" s="314" t="s">
        <v>203</v>
      </c>
      <c r="OHH16" s="314" t="s">
        <v>203</v>
      </c>
      <c r="OHI16" s="314" t="s">
        <v>203</v>
      </c>
      <c r="OHJ16" s="314" t="s">
        <v>203</v>
      </c>
      <c r="OHK16" s="314" t="s">
        <v>203</v>
      </c>
      <c r="OHL16" s="314" t="s">
        <v>203</v>
      </c>
      <c r="OHM16" s="314" t="s">
        <v>203</v>
      </c>
      <c r="OHN16" s="314" t="s">
        <v>203</v>
      </c>
      <c r="OHO16" s="314" t="s">
        <v>203</v>
      </c>
      <c r="OHP16" s="314" t="s">
        <v>203</v>
      </c>
      <c r="OHQ16" s="314" t="s">
        <v>203</v>
      </c>
      <c r="OHR16" s="314" t="s">
        <v>203</v>
      </c>
      <c r="OHS16" s="314" t="s">
        <v>203</v>
      </c>
      <c r="OHT16" s="314" t="s">
        <v>203</v>
      </c>
      <c r="OHU16" s="314" t="s">
        <v>203</v>
      </c>
      <c r="OHV16" s="314" t="s">
        <v>203</v>
      </c>
      <c r="OHW16" s="314" t="s">
        <v>203</v>
      </c>
      <c r="OHX16" s="314" t="s">
        <v>203</v>
      </c>
      <c r="OHY16" s="314" t="s">
        <v>203</v>
      </c>
      <c r="OHZ16" s="314" t="s">
        <v>203</v>
      </c>
      <c r="OIA16" s="314" t="s">
        <v>203</v>
      </c>
      <c r="OIB16" s="314" t="s">
        <v>203</v>
      </c>
      <c r="OIC16" s="314" t="s">
        <v>203</v>
      </c>
      <c r="OID16" s="314" t="s">
        <v>203</v>
      </c>
      <c r="OIE16" s="314" t="s">
        <v>203</v>
      </c>
      <c r="OIF16" s="314" t="s">
        <v>203</v>
      </c>
      <c r="OIG16" s="314" t="s">
        <v>203</v>
      </c>
      <c r="OIH16" s="314" t="s">
        <v>203</v>
      </c>
      <c r="OII16" s="314" t="s">
        <v>203</v>
      </c>
      <c r="OIJ16" s="314" t="s">
        <v>203</v>
      </c>
      <c r="OIK16" s="314" t="s">
        <v>203</v>
      </c>
      <c r="OIL16" s="314" t="s">
        <v>203</v>
      </c>
      <c r="OIM16" s="314" t="s">
        <v>203</v>
      </c>
      <c r="OIN16" s="314" t="s">
        <v>203</v>
      </c>
      <c r="OIO16" s="314" t="s">
        <v>203</v>
      </c>
      <c r="OIP16" s="314" t="s">
        <v>203</v>
      </c>
      <c r="OIQ16" s="314" t="s">
        <v>203</v>
      </c>
      <c r="OIR16" s="314" t="s">
        <v>203</v>
      </c>
      <c r="OIS16" s="314" t="s">
        <v>203</v>
      </c>
      <c r="OIT16" s="314" t="s">
        <v>203</v>
      </c>
      <c r="OIU16" s="314" t="s">
        <v>203</v>
      </c>
      <c r="OIV16" s="314" t="s">
        <v>203</v>
      </c>
      <c r="OIW16" s="314" t="s">
        <v>203</v>
      </c>
      <c r="OIX16" s="314" t="s">
        <v>203</v>
      </c>
      <c r="OIY16" s="314" t="s">
        <v>203</v>
      </c>
      <c r="OIZ16" s="314" t="s">
        <v>203</v>
      </c>
      <c r="OJA16" s="314" t="s">
        <v>203</v>
      </c>
      <c r="OJB16" s="314" t="s">
        <v>203</v>
      </c>
      <c r="OJC16" s="314" t="s">
        <v>203</v>
      </c>
      <c r="OJD16" s="314" t="s">
        <v>203</v>
      </c>
      <c r="OJE16" s="314" t="s">
        <v>203</v>
      </c>
      <c r="OJF16" s="314" t="s">
        <v>203</v>
      </c>
      <c r="OJG16" s="314" t="s">
        <v>203</v>
      </c>
      <c r="OJH16" s="314" t="s">
        <v>203</v>
      </c>
      <c r="OJI16" s="314" t="s">
        <v>203</v>
      </c>
      <c r="OJJ16" s="314" t="s">
        <v>203</v>
      </c>
      <c r="OJK16" s="314" t="s">
        <v>203</v>
      </c>
      <c r="OJL16" s="314" t="s">
        <v>203</v>
      </c>
      <c r="OJM16" s="314" t="s">
        <v>203</v>
      </c>
      <c r="OJN16" s="314" t="s">
        <v>203</v>
      </c>
      <c r="OJO16" s="314" t="s">
        <v>203</v>
      </c>
      <c r="OJP16" s="314" t="s">
        <v>203</v>
      </c>
      <c r="OJQ16" s="314" t="s">
        <v>203</v>
      </c>
      <c r="OJR16" s="314" t="s">
        <v>203</v>
      </c>
      <c r="OJS16" s="314" t="s">
        <v>203</v>
      </c>
      <c r="OJT16" s="314" t="s">
        <v>203</v>
      </c>
      <c r="OJU16" s="314" t="s">
        <v>203</v>
      </c>
      <c r="OJV16" s="314" t="s">
        <v>203</v>
      </c>
      <c r="OJW16" s="314" t="s">
        <v>203</v>
      </c>
      <c r="OJX16" s="314" t="s">
        <v>203</v>
      </c>
      <c r="OJY16" s="314" t="s">
        <v>203</v>
      </c>
      <c r="OJZ16" s="314" t="s">
        <v>203</v>
      </c>
      <c r="OKA16" s="314" t="s">
        <v>203</v>
      </c>
      <c r="OKB16" s="314" t="s">
        <v>203</v>
      </c>
      <c r="OKC16" s="314" t="s">
        <v>203</v>
      </c>
      <c r="OKD16" s="314" t="s">
        <v>203</v>
      </c>
      <c r="OKE16" s="314" t="s">
        <v>203</v>
      </c>
      <c r="OKF16" s="314" t="s">
        <v>203</v>
      </c>
      <c r="OKG16" s="314" t="s">
        <v>203</v>
      </c>
      <c r="OKH16" s="314" t="s">
        <v>203</v>
      </c>
      <c r="OKI16" s="314" t="s">
        <v>203</v>
      </c>
      <c r="OKJ16" s="314" t="s">
        <v>203</v>
      </c>
      <c r="OKK16" s="314" t="s">
        <v>203</v>
      </c>
      <c r="OKL16" s="314" t="s">
        <v>203</v>
      </c>
      <c r="OKM16" s="314" t="s">
        <v>203</v>
      </c>
      <c r="OKN16" s="314" t="s">
        <v>203</v>
      </c>
      <c r="OKO16" s="314" t="s">
        <v>203</v>
      </c>
      <c r="OKP16" s="314" t="s">
        <v>203</v>
      </c>
      <c r="OKQ16" s="314" t="s">
        <v>203</v>
      </c>
      <c r="OKR16" s="314" t="s">
        <v>203</v>
      </c>
      <c r="OKS16" s="314" t="s">
        <v>203</v>
      </c>
      <c r="OKT16" s="314" t="s">
        <v>203</v>
      </c>
      <c r="OKU16" s="314" t="s">
        <v>203</v>
      </c>
      <c r="OKV16" s="314" t="s">
        <v>203</v>
      </c>
      <c r="OKW16" s="314" t="s">
        <v>203</v>
      </c>
      <c r="OKX16" s="314" t="s">
        <v>203</v>
      </c>
      <c r="OKY16" s="314" t="s">
        <v>203</v>
      </c>
      <c r="OKZ16" s="314" t="s">
        <v>203</v>
      </c>
      <c r="OLA16" s="314" t="s">
        <v>203</v>
      </c>
      <c r="OLB16" s="314" t="s">
        <v>203</v>
      </c>
      <c r="OLC16" s="314" t="s">
        <v>203</v>
      </c>
      <c r="OLD16" s="314" t="s">
        <v>203</v>
      </c>
      <c r="OLE16" s="314" t="s">
        <v>203</v>
      </c>
      <c r="OLF16" s="314" t="s">
        <v>203</v>
      </c>
      <c r="OLG16" s="314" t="s">
        <v>203</v>
      </c>
      <c r="OLH16" s="314" t="s">
        <v>203</v>
      </c>
      <c r="OLI16" s="314" t="s">
        <v>203</v>
      </c>
      <c r="OLJ16" s="314" t="s">
        <v>203</v>
      </c>
      <c r="OLK16" s="314" t="s">
        <v>203</v>
      </c>
      <c r="OLL16" s="314" t="s">
        <v>203</v>
      </c>
      <c r="OLM16" s="314" t="s">
        <v>203</v>
      </c>
      <c r="OLN16" s="314" t="s">
        <v>203</v>
      </c>
      <c r="OLO16" s="314" t="s">
        <v>203</v>
      </c>
      <c r="OLP16" s="314" t="s">
        <v>203</v>
      </c>
      <c r="OLQ16" s="314" t="s">
        <v>203</v>
      </c>
      <c r="OLR16" s="314" t="s">
        <v>203</v>
      </c>
      <c r="OLS16" s="314" t="s">
        <v>203</v>
      </c>
      <c r="OLT16" s="314" t="s">
        <v>203</v>
      </c>
      <c r="OLU16" s="314" t="s">
        <v>203</v>
      </c>
      <c r="OLV16" s="314" t="s">
        <v>203</v>
      </c>
      <c r="OLW16" s="314" t="s">
        <v>203</v>
      </c>
      <c r="OLX16" s="314" t="s">
        <v>203</v>
      </c>
      <c r="OLY16" s="314" t="s">
        <v>203</v>
      </c>
      <c r="OLZ16" s="314" t="s">
        <v>203</v>
      </c>
      <c r="OMA16" s="314" t="s">
        <v>203</v>
      </c>
      <c r="OMB16" s="314" t="s">
        <v>203</v>
      </c>
      <c r="OMC16" s="314" t="s">
        <v>203</v>
      </c>
      <c r="OMD16" s="314" t="s">
        <v>203</v>
      </c>
      <c r="OME16" s="314" t="s">
        <v>203</v>
      </c>
      <c r="OMF16" s="314" t="s">
        <v>203</v>
      </c>
      <c r="OMG16" s="314" t="s">
        <v>203</v>
      </c>
      <c r="OMH16" s="314" t="s">
        <v>203</v>
      </c>
      <c r="OMI16" s="314" t="s">
        <v>203</v>
      </c>
      <c r="OMJ16" s="314" t="s">
        <v>203</v>
      </c>
      <c r="OMK16" s="314" t="s">
        <v>203</v>
      </c>
      <c r="OML16" s="314" t="s">
        <v>203</v>
      </c>
      <c r="OMM16" s="314" t="s">
        <v>203</v>
      </c>
      <c r="OMN16" s="314" t="s">
        <v>203</v>
      </c>
      <c r="OMO16" s="314" t="s">
        <v>203</v>
      </c>
      <c r="OMP16" s="314" t="s">
        <v>203</v>
      </c>
      <c r="OMQ16" s="314" t="s">
        <v>203</v>
      </c>
      <c r="OMR16" s="314" t="s">
        <v>203</v>
      </c>
      <c r="OMS16" s="314" t="s">
        <v>203</v>
      </c>
      <c r="OMT16" s="314" t="s">
        <v>203</v>
      </c>
      <c r="OMU16" s="314" t="s">
        <v>203</v>
      </c>
      <c r="OMV16" s="314" t="s">
        <v>203</v>
      </c>
      <c r="OMW16" s="314" t="s">
        <v>203</v>
      </c>
      <c r="OMX16" s="314" t="s">
        <v>203</v>
      </c>
      <c r="OMY16" s="314" t="s">
        <v>203</v>
      </c>
      <c r="OMZ16" s="314" t="s">
        <v>203</v>
      </c>
      <c r="ONA16" s="314" t="s">
        <v>203</v>
      </c>
      <c r="ONB16" s="314" t="s">
        <v>203</v>
      </c>
      <c r="ONC16" s="314" t="s">
        <v>203</v>
      </c>
      <c r="OND16" s="314" t="s">
        <v>203</v>
      </c>
      <c r="ONE16" s="314" t="s">
        <v>203</v>
      </c>
      <c r="ONF16" s="314" t="s">
        <v>203</v>
      </c>
      <c r="ONG16" s="314" t="s">
        <v>203</v>
      </c>
      <c r="ONH16" s="314" t="s">
        <v>203</v>
      </c>
      <c r="ONI16" s="314" t="s">
        <v>203</v>
      </c>
      <c r="ONJ16" s="314" t="s">
        <v>203</v>
      </c>
      <c r="ONK16" s="314" t="s">
        <v>203</v>
      </c>
      <c r="ONL16" s="314" t="s">
        <v>203</v>
      </c>
      <c r="ONM16" s="314" t="s">
        <v>203</v>
      </c>
      <c r="ONN16" s="314" t="s">
        <v>203</v>
      </c>
      <c r="ONO16" s="314" t="s">
        <v>203</v>
      </c>
      <c r="ONP16" s="314" t="s">
        <v>203</v>
      </c>
      <c r="ONQ16" s="314" t="s">
        <v>203</v>
      </c>
      <c r="ONR16" s="314" t="s">
        <v>203</v>
      </c>
      <c r="ONS16" s="314" t="s">
        <v>203</v>
      </c>
      <c r="ONT16" s="314" t="s">
        <v>203</v>
      </c>
      <c r="ONU16" s="314" t="s">
        <v>203</v>
      </c>
      <c r="ONV16" s="314" t="s">
        <v>203</v>
      </c>
      <c r="ONW16" s="314" t="s">
        <v>203</v>
      </c>
      <c r="ONX16" s="314" t="s">
        <v>203</v>
      </c>
      <c r="ONY16" s="314" t="s">
        <v>203</v>
      </c>
      <c r="ONZ16" s="314" t="s">
        <v>203</v>
      </c>
      <c r="OOA16" s="314" t="s">
        <v>203</v>
      </c>
      <c r="OOB16" s="314" t="s">
        <v>203</v>
      </c>
      <c r="OOC16" s="314" t="s">
        <v>203</v>
      </c>
      <c r="OOD16" s="314" t="s">
        <v>203</v>
      </c>
      <c r="OOE16" s="314" t="s">
        <v>203</v>
      </c>
      <c r="OOF16" s="314" t="s">
        <v>203</v>
      </c>
      <c r="OOG16" s="314" t="s">
        <v>203</v>
      </c>
      <c r="OOH16" s="314" t="s">
        <v>203</v>
      </c>
      <c r="OOI16" s="314" t="s">
        <v>203</v>
      </c>
      <c r="OOJ16" s="314" t="s">
        <v>203</v>
      </c>
      <c r="OOK16" s="314" t="s">
        <v>203</v>
      </c>
      <c r="OOL16" s="314" t="s">
        <v>203</v>
      </c>
      <c r="OOM16" s="314" t="s">
        <v>203</v>
      </c>
      <c r="OON16" s="314" t="s">
        <v>203</v>
      </c>
      <c r="OOO16" s="314" t="s">
        <v>203</v>
      </c>
      <c r="OOP16" s="314" t="s">
        <v>203</v>
      </c>
      <c r="OOQ16" s="314" t="s">
        <v>203</v>
      </c>
      <c r="OOR16" s="314" t="s">
        <v>203</v>
      </c>
      <c r="OOS16" s="314" t="s">
        <v>203</v>
      </c>
      <c r="OOT16" s="314" t="s">
        <v>203</v>
      </c>
      <c r="OOU16" s="314" t="s">
        <v>203</v>
      </c>
      <c r="OOV16" s="314" t="s">
        <v>203</v>
      </c>
      <c r="OOW16" s="314" t="s">
        <v>203</v>
      </c>
      <c r="OOX16" s="314" t="s">
        <v>203</v>
      </c>
      <c r="OOY16" s="314" t="s">
        <v>203</v>
      </c>
      <c r="OOZ16" s="314" t="s">
        <v>203</v>
      </c>
      <c r="OPA16" s="314" t="s">
        <v>203</v>
      </c>
      <c r="OPB16" s="314" t="s">
        <v>203</v>
      </c>
      <c r="OPC16" s="314" t="s">
        <v>203</v>
      </c>
      <c r="OPD16" s="314" t="s">
        <v>203</v>
      </c>
      <c r="OPE16" s="314" t="s">
        <v>203</v>
      </c>
      <c r="OPF16" s="314" t="s">
        <v>203</v>
      </c>
      <c r="OPG16" s="314" t="s">
        <v>203</v>
      </c>
      <c r="OPH16" s="314" t="s">
        <v>203</v>
      </c>
      <c r="OPI16" s="314" t="s">
        <v>203</v>
      </c>
      <c r="OPJ16" s="314" t="s">
        <v>203</v>
      </c>
      <c r="OPK16" s="314" t="s">
        <v>203</v>
      </c>
      <c r="OPL16" s="314" t="s">
        <v>203</v>
      </c>
      <c r="OPM16" s="314" t="s">
        <v>203</v>
      </c>
      <c r="OPN16" s="314" t="s">
        <v>203</v>
      </c>
      <c r="OPO16" s="314" t="s">
        <v>203</v>
      </c>
      <c r="OPP16" s="314" t="s">
        <v>203</v>
      </c>
      <c r="OPQ16" s="314" t="s">
        <v>203</v>
      </c>
      <c r="OPR16" s="314" t="s">
        <v>203</v>
      </c>
      <c r="OPS16" s="314" t="s">
        <v>203</v>
      </c>
      <c r="OPT16" s="314" t="s">
        <v>203</v>
      </c>
      <c r="OPU16" s="314" t="s">
        <v>203</v>
      </c>
      <c r="OPV16" s="314" t="s">
        <v>203</v>
      </c>
      <c r="OPW16" s="314" t="s">
        <v>203</v>
      </c>
      <c r="OPX16" s="314" t="s">
        <v>203</v>
      </c>
      <c r="OPY16" s="314" t="s">
        <v>203</v>
      </c>
      <c r="OPZ16" s="314" t="s">
        <v>203</v>
      </c>
      <c r="OQA16" s="314" t="s">
        <v>203</v>
      </c>
      <c r="OQB16" s="314" t="s">
        <v>203</v>
      </c>
      <c r="OQC16" s="314" t="s">
        <v>203</v>
      </c>
      <c r="OQD16" s="314" t="s">
        <v>203</v>
      </c>
      <c r="OQE16" s="314" t="s">
        <v>203</v>
      </c>
      <c r="OQF16" s="314" t="s">
        <v>203</v>
      </c>
      <c r="OQG16" s="314" t="s">
        <v>203</v>
      </c>
      <c r="OQH16" s="314" t="s">
        <v>203</v>
      </c>
      <c r="OQI16" s="314" t="s">
        <v>203</v>
      </c>
      <c r="OQJ16" s="314" t="s">
        <v>203</v>
      </c>
      <c r="OQK16" s="314" t="s">
        <v>203</v>
      </c>
      <c r="OQL16" s="314" t="s">
        <v>203</v>
      </c>
      <c r="OQM16" s="314" t="s">
        <v>203</v>
      </c>
      <c r="OQN16" s="314" t="s">
        <v>203</v>
      </c>
      <c r="OQO16" s="314" t="s">
        <v>203</v>
      </c>
      <c r="OQP16" s="314" t="s">
        <v>203</v>
      </c>
      <c r="OQQ16" s="314" t="s">
        <v>203</v>
      </c>
      <c r="OQR16" s="314" t="s">
        <v>203</v>
      </c>
      <c r="OQS16" s="314" t="s">
        <v>203</v>
      </c>
      <c r="OQT16" s="314" t="s">
        <v>203</v>
      </c>
      <c r="OQU16" s="314" t="s">
        <v>203</v>
      </c>
      <c r="OQV16" s="314" t="s">
        <v>203</v>
      </c>
      <c r="OQW16" s="314" t="s">
        <v>203</v>
      </c>
      <c r="OQX16" s="314" t="s">
        <v>203</v>
      </c>
      <c r="OQY16" s="314" t="s">
        <v>203</v>
      </c>
      <c r="OQZ16" s="314" t="s">
        <v>203</v>
      </c>
      <c r="ORA16" s="314" t="s">
        <v>203</v>
      </c>
      <c r="ORB16" s="314" t="s">
        <v>203</v>
      </c>
      <c r="ORC16" s="314" t="s">
        <v>203</v>
      </c>
      <c r="ORD16" s="314" t="s">
        <v>203</v>
      </c>
      <c r="ORE16" s="314" t="s">
        <v>203</v>
      </c>
      <c r="ORF16" s="314" t="s">
        <v>203</v>
      </c>
      <c r="ORG16" s="314" t="s">
        <v>203</v>
      </c>
      <c r="ORH16" s="314" t="s">
        <v>203</v>
      </c>
      <c r="ORI16" s="314" t="s">
        <v>203</v>
      </c>
      <c r="ORJ16" s="314" t="s">
        <v>203</v>
      </c>
      <c r="ORK16" s="314" t="s">
        <v>203</v>
      </c>
      <c r="ORL16" s="314" t="s">
        <v>203</v>
      </c>
      <c r="ORM16" s="314" t="s">
        <v>203</v>
      </c>
      <c r="ORN16" s="314" t="s">
        <v>203</v>
      </c>
      <c r="ORO16" s="314" t="s">
        <v>203</v>
      </c>
      <c r="ORP16" s="314" t="s">
        <v>203</v>
      </c>
      <c r="ORQ16" s="314" t="s">
        <v>203</v>
      </c>
      <c r="ORR16" s="314" t="s">
        <v>203</v>
      </c>
      <c r="ORS16" s="314" t="s">
        <v>203</v>
      </c>
      <c r="ORT16" s="314" t="s">
        <v>203</v>
      </c>
      <c r="ORU16" s="314" t="s">
        <v>203</v>
      </c>
      <c r="ORV16" s="314" t="s">
        <v>203</v>
      </c>
      <c r="ORW16" s="314" t="s">
        <v>203</v>
      </c>
      <c r="ORX16" s="314" t="s">
        <v>203</v>
      </c>
      <c r="ORY16" s="314" t="s">
        <v>203</v>
      </c>
      <c r="ORZ16" s="314" t="s">
        <v>203</v>
      </c>
      <c r="OSA16" s="314" t="s">
        <v>203</v>
      </c>
      <c r="OSB16" s="314" t="s">
        <v>203</v>
      </c>
      <c r="OSC16" s="314" t="s">
        <v>203</v>
      </c>
      <c r="OSD16" s="314" t="s">
        <v>203</v>
      </c>
      <c r="OSE16" s="314" t="s">
        <v>203</v>
      </c>
      <c r="OSF16" s="314" t="s">
        <v>203</v>
      </c>
      <c r="OSG16" s="314" t="s">
        <v>203</v>
      </c>
      <c r="OSH16" s="314" t="s">
        <v>203</v>
      </c>
      <c r="OSI16" s="314" t="s">
        <v>203</v>
      </c>
      <c r="OSJ16" s="314" t="s">
        <v>203</v>
      </c>
      <c r="OSK16" s="314" t="s">
        <v>203</v>
      </c>
      <c r="OSL16" s="314" t="s">
        <v>203</v>
      </c>
      <c r="OSM16" s="314" t="s">
        <v>203</v>
      </c>
      <c r="OSN16" s="314" t="s">
        <v>203</v>
      </c>
      <c r="OSO16" s="314" t="s">
        <v>203</v>
      </c>
      <c r="OSP16" s="314" t="s">
        <v>203</v>
      </c>
      <c r="OSQ16" s="314" t="s">
        <v>203</v>
      </c>
      <c r="OSR16" s="314" t="s">
        <v>203</v>
      </c>
      <c r="OSS16" s="314" t="s">
        <v>203</v>
      </c>
      <c r="OST16" s="314" t="s">
        <v>203</v>
      </c>
      <c r="OSU16" s="314" t="s">
        <v>203</v>
      </c>
      <c r="OSV16" s="314" t="s">
        <v>203</v>
      </c>
      <c r="OSW16" s="314" t="s">
        <v>203</v>
      </c>
      <c r="OSX16" s="314" t="s">
        <v>203</v>
      </c>
      <c r="OSY16" s="314" t="s">
        <v>203</v>
      </c>
      <c r="OSZ16" s="314" t="s">
        <v>203</v>
      </c>
      <c r="OTA16" s="314" t="s">
        <v>203</v>
      </c>
      <c r="OTB16" s="314" t="s">
        <v>203</v>
      </c>
      <c r="OTC16" s="314" t="s">
        <v>203</v>
      </c>
      <c r="OTD16" s="314" t="s">
        <v>203</v>
      </c>
      <c r="OTE16" s="314" t="s">
        <v>203</v>
      </c>
      <c r="OTF16" s="314" t="s">
        <v>203</v>
      </c>
      <c r="OTG16" s="314" t="s">
        <v>203</v>
      </c>
      <c r="OTH16" s="314" t="s">
        <v>203</v>
      </c>
      <c r="OTI16" s="314" t="s">
        <v>203</v>
      </c>
      <c r="OTJ16" s="314" t="s">
        <v>203</v>
      </c>
      <c r="OTK16" s="314" t="s">
        <v>203</v>
      </c>
      <c r="OTL16" s="314" t="s">
        <v>203</v>
      </c>
      <c r="OTM16" s="314" t="s">
        <v>203</v>
      </c>
      <c r="OTN16" s="314" t="s">
        <v>203</v>
      </c>
      <c r="OTO16" s="314" t="s">
        <v>203</v>
      </c>
      <c r="OTP16" s="314" t="s">
        <v>203</v>
      </c>
      <c r="OTQ16" s="314" t="s">
        <v>203</v>
      </c>
      <c r="OTR16" s="314" t="s">
        <v>203</v>
      </c>
      <c r="OTS16" s="314" t="s">
        <v>203</v>
      </c>
      <c r="OTT16" s="314" t="s">
        <v>203</v>
      </c>
      <c r="OTU16" s="314" t="s">
        <v>203</v>
      </c>
      <c r="OTV16" s="314" t="s">
        <v>203</v>
      </c>
      <c r="OTW16" s="314" t="s">
        <v>203</v>
      </c>
      <c r="OTX16" s="314" t="s">
        <v>203</v>
      </c>
      <c r="OTY16" s="314" t="s">
        <v>203</v>
      </c>
      <c r="OTZ16" s="314" t="s">
        <v>203</v>
      </c>
      <c r="OUA16" s="314" t="s">
        <v>203</v>
      </c>
      <c r="OUB16" s="314" t="s">
        <v>203</v>
      </c>
      <c r="OUC16" s="314" t="s">
        <v>203</v>
      </c>
      <c r="OUD16" s="314" t="s">
        <v>203</v>
      </c>
      <c r="OUE16" s="314" t="s">
        <v>203</v>
      </c>
      <c r="OUF16" s="314" t="s">
        <v>203</v>
      </c>
      <c r="OUG16" s="314" t="s">
        <v>203</v>
      </c>
      <c r="OUH16" s="314" t="s">
        <v>203</v>
      </c>
      <c r="OUI16" s="314" t="s">
        <v>203</v>
      </c>
      <c r="OUJ16" s="314" t="s">
        <v>203</v>
      </c>
      <c r="OUK16" s="314" t="s">
        <v>203</v>
      </c>
      <c r="OUL16" s="314" t="s">
        <v>203</v>
      </c>
      <c r="OUM16" s="314" t="s">
        <v>203</v>
      </c>
      <c r="OUN16" s="314" t="s">
        <v>203</v>
      </c>
      <c r="OUO16" s="314" t="s">
        <v>203</v>
      </c>
      <c r="OUP16" s="314" t="s">
        <v>203</v>
      </c>
      <c r="OUQ16" s="314" t="s">
        <v>203</v>
      </c>
      <c r="OUR16" s="314" t="s">
        <v>203</v>
      </c>
      <c r="OUS16" s="314" t="s">
        <v>203</v>
      </c>
      <c r="OUT16" s="314" t="s">
        <v>203</v>
      </c>
      <c r="OUU16" s="314" t="s">
        <v>203</v>
      </c>
      <c r="OUV16" s="314" t="s">
        <v>203</v>
      </c>
      <c r="OUW16" s="314" t="s">
        <v>203</v>
      </c>
      <c r="OUX16" s="314" t="s">
        <v>203</v>
      </c>
      <c r="OUY16" s="314" t="s">
        <v>203</v>
      </c>
      <c r="OUZ16" s="314" t="s">
        <v>203</v>
      </c>
      <c r="OVA16" s="314" t="s">
        <v>203</v>
      </c>
      <c r="OVB16" s="314" t="s">
        <v>203</v>
      </c>
      <c r="OVC16" s="314" t="s">
        <v>203</v>
      </c>
      <c r="OVD16" s="314" t="s">
        <v>203</v>
      </c>
      <c r="OVE16" s="314" t="s">
        <v>203</v>
      </c>
      <c r="OVF16" s="314" t="s">
        <v>203</v>
      </c>
      <c r="OVG16" s="314" t="s">
        <v>203</v>
      </c>
      <c r="OVH16" s="314" t="s">
        <v>203</v>
      </c>
      <c r="OVI16" s="314" t="s">
        <v>203</v>
      </c>
      <c r="OVJ16" s="314" t="s">
        <v>203</v>
      </c>
      <c r="OVK16" s="314" t="s">
        <v>203</v>
      </c>
      <c r="OVL16" s="314" t="s">
        <v>203</v>
      </c>
      <c r="OVM16" s="314" t="s">
        <v>203</v>
      </c>
      <c r="OVN16" s="314" t="s">
        <v>203</v>
      </c>
      <c r="OVO16" s="314" t="s">
        <v>203</v>
      </c>
      <c r="OVP16" s="314" t="s">
        <v>203</v>
      </c>
      <c r="OVQ16" s="314" t="s">
        <v>203</v>
      </c>
      <c r="OVR16" s="314" t="s">
        <v>203</v>
      </c>
      <c r="OVS16" s="314" t="s">
        <v>203</v>
      </c>
      <c r="OVT16" s="314" t="s">
        <v>203</v>
      </c>
      <c r="OVU16" s="314" t="s">
        <v>203</v>
      </c>
      <c r="OVV16" s="314" t="s">
        <v>203</v>
      </c>
      <c r="OVW16" s="314" t="s">
        <v>203</v>
      </c>
      <c r="OVX16" s="314" t="s">
        <v>203</v>
      </c>
      <c r="OVY16" s="314" t="s">
        <v>203</v>
      </c>
      <c r="OVZ16" s="314" t="s">
        <v>203</v>
      </c>
      <c r="OWA16" s="314" t="s">
        <v>203</v>
      </c>
      <c r="OWB16" s="314" t="s">
        <v>203</v>
      </c>
      <c r="OWC16" s="314" t="s">
        <v>203</v>
      </c>
      <c r="OWD16" s="314" t="s">
        <v>203</v>
      </c>
      <c r="OWE16" s="314" t="s">
        <v>203</v>
      </c>
      <c r="OWF16" s="314" t="s">
        <v>203</v>
      </c>
      <c r="OWG16" s="314" t="s">
        <v>203</v>
      </c>
      <c r="OWH16" s="314" t="s">
        <v>203</v>
      </c>
      <c r="OWI16" s="314" t="s">
        <v>203</v>
      </c>
      <c r="OWJ16" s="314" t="s">
        <v>203</v>
      </c>
      <c r="OWK16" s="314" t="s">
        <v>203</v>
      </c>
      <c r="OWL16" s="314" t="s">
        <v>203</v>
      </c>
      <c r="OWM16" s="314" t="s">
        <v>203</v>
      </c>
      <c r="OWN16" s="314" t="s">
        <v>203</v>
      </c>
      <c r="OWO16" s="314" t="s">
        <v>203</v>
      </c>
      <c r="OWP16" s="314" t="s">
        <v>203</v>
      </c>
      <c r="OWQ16" s="314" t="s">
        <v>203</v>
      </c>
      <c r="OWR16" s="314" t="s">
        <v>203</v>
      </c>
      <c r="OWS16" s="314" t="s">
        <v>203</v>
      </c>
      <c r="OWT16" s="314" t="s">
        <v>203</v>
      </c>
      <c r="OWU16" s="314" t="s">
        <v>203</v>
      </c>
      <c r="OWV16" s="314" t="s">
        <v>203</v>
      </c>
      <c r="OWW16" s="314" t="s">
        <v>203</v>
      </c>
      <c r="OWX16" s="314" t="s">
        <v>203</v>
      </c>
      <c r="OWY16" s="314" t="s">
        <v>203</v>
      </c>
      <c r="OWZ16" s="314" t="s">
        <v>203</v>
      </c>
      <c r="OXA16" s="314" t="s">
        <v>203</v>
      </c>
      <c r="OXB16" s="314" t="s">
        <v>203</v>
      </c>
      <c r="OXC16" s="314" t="s">
        <v>203</v>
      </c>
      <c r="OXD16" s="314" t="s">
        <v>203</v>
      </c>
      <c r="OXE16" s="314" t="s">
        <v>203</v>
      </c>
      <c r="OXF16" s="314" t="s">
        <v>203</v>
      </c>
      <c r="OXG16" s="314" t="s">
        <v>203</v>
      </c>
      <c r="OXH16" s="314" t="s">
        <v>203</v>
      </c>
      <c r="OXI16" s="314" t="s">
        <v>203</v>
      </c>
      <c r="OXJ16" s="314" t="s">
        <v>203</v>
      </c>
      <c r="OXK16" s="314" t="s">
        <v>203</v>
      </c>
      <c r="OXL16" s="314" t="s">
        <v>203</v>
      </c>
      <c r="OXM16" s="314" t="s">
        <v>203</v>
      </c>
      <c r="OXN16" s="314" t="s">
        <v>203</v>
      </c>
      <c r="OXO16" s="314" t="s">
        <v>203</v>
      </c>
      <c r="OXP16" s="314" t="s">
        <v>203</v>
      </c>
      <c r="OXQ16" s="314" t="s">
        <v>203</v>
      </c>
      <c r="OXR16" s="314" t="s">
        <v>203</v>
      </c>
      <c r="OXS16" s="314" t="s">
        <v>203</v>
      </c>
      <c r="OXT16" s="314" t="s">
        <v>203</v>
      </c>
      <c r="OXU16" s="314" t="s">
        <v>203</v>
      </c>
      <c r="OXV16" s="314" t="s">
        <v>203</v>
      </c>
      <c r="OXW16" s="314" t="s">
        <v>203</v>
      </c>
      <c r="OXX16" s="314" t="s">
        <v>203</v>
      </c>
      <c r="OXY16" s="314" t="s">
        <v>203</v>
      </c>
      <c r="OXZ16" s="314" t="s">
        <v>203</v>
      </c>
      <c r="OYA16" s="314" t="s">
        <v>203</v>
      </c>
      <c r="OYB16" s="314" t="s">
        <v>203</v>
      </c>
      <c r="OYC16" s="314" t="s">
        <v>203</v>
      </c>
      <c r="OYD16" s="314" t="s">
        <v>203</v>
      </c>
      <c r="OYE16" s="314" t="s">
        <v>203</v>
      </c>
      <c r="OYF16" s="314" t="s">
        <v>203</v>
      </c>
      <c r="OYG16" s="314" t="s">
        <v>203</v>
      </c>
      <c r="OYH16" s="314" t="s">
        <v>203</v>
      </c>
      <c r="OYI16" s="314" t="s">
        <v>203</v>
      </c>
      <c r="OYJ16" s="314" t="s">
        <v>203</v>
      </c>
      <c r="OYK16" s="314" t="s">
        <v>203</v>
      </c>
      <c r="OYL16" s="314" t="s">
        <v>203</v>
      </c>
      <c r="OYM16" s="314" t="s">
        <v>203</v>
      </c>
      <c r="OYN16" s="314" t="s">
        <v>203</v>
      </c>
      <c r="OYO16" s="314" t="s">
        <v>203</v>
      </c>
      <c r="OYP16" s="314" t="s">
        <v>203</v>
      </c>
      <c r="OYQ16" s="314" t="s">
        <v>203</v>
      </c>
      <c r="OYR16" s="314" t="s">
        <v>203</v>
      </c>
      <c r="OYS16" s="314" t="s">
        <v>203</v>
      </c>
      <c r="OYT16" s="314" t="s">
        <v>203</v>
      </c>
      <c r="OYU16" s="314" t="s">
        <v>203</v>
      </c>
      <c r="OYV16" s="314" t="s">
        <v>203</v>
      </c>
      <c r="OYW16" s="314" t="s">
        <v>203</v>
      </c>
      <c r="OYX16" s="314" t="s">
        <v>203</v>
      </c>
      <c r="OYY16" s="314" t="s">
        <v>203</v>
      </c>
      <c r="OYZ16" s="314" t="s">
        <v>203</v>
      </c>
      <c r="OZA16" s="314" t="s">
        <v>203</v>
      </c>
      <c r="OZB16" s="314" t="s">
        <v>203</v>
      </c>
      <c r="OZC16" s="314" t="s">
        <v>203</v>
      </c>
      <c r="OZD16" s="314" t="s">
        <v>203</v>
      </c>
      <c r="OZE16" s="314" t="s">
        <v>203</v>
      </c>
      <c r="OZF16" s="314" t="s">
        <v>203</v>
      </c>
      <c r="OZG16" s="314" t="s">
        <v>203</v>
      </c>
      <c r="OZH16" s="314" t="s">
        <v>203</v>
      </c>
      <c r="OZI16" s="314" t="s">
        <v>203</v>
      </c>
      <c r="OZJ16" s="314" t="s">
        <v>203</v>
      </c>
      <c r="OZK16" s="314" t="s">
        <v>203</v>
      </c>
      <c r="OZL16" s="314" t="s">
        <v>203</v>
      </c>
      <c r="OZM16" s="314" t="s">
        <v>203</v>
      </c>
      <c r="OZN16" s="314" t="s">
        <v>203</v>
      </c>
      <c r="OZO16" s="314" t="s">
        <v>203</v>
      </c>
      <c r="OZP16" s="314" t="s">
        <v>203</v>
      </c>
      <c r="OZQ16" s="314" t="s">
        <v>203</v>
      </c>
      <c r="OZR16" s="314" t="s">
        <v>203</v>
      </c>
      <c r="OZS16" s="314" t="s">
        <v>203</v>
      </c>
      <c r="OZT16" s="314" t="s">
        <v>203</v>
      </c>
      <c r="OZU16" s="314" t="s">
        <v>203</v>
      </c>
      <c r="OZV16" s="314" t="s">
        <v>203</v>
      </c>
      <c r="OZW16" s="314" t="s">
        <v>203</v>
      </c>
      <c r="OZX16" s="314" t="s">
        <v>203</v>
      </c>
      <c r="OZY16" s="314" t="s">
        <v>203</v>
      </c>
      <c r="OZZ16" s="314" t="s">
        <v>203</v>
      </c>
      <c r="PAA16" s="314" t="s">
        <v>203</v>
      </c>
      <c r="PAB16" s="314" t="s">
        <v>203</v>
      </c>
      <c r="PAC16" s="314" t="s">
        <v>203</v>
      </c>
      <c r="PAD16" s="314" t="s">
        <v>203</v>
      </c>
      <c r="PAE16" s="314" t="s">
        <v>203</v>
      </c>
      <c r="PAF16" s="314" t="s">
        <v>203</v>
      </c>
      <c r="PAG16" s="314" t="s">
        <v>203</v>
      </c>
      <c r="PAH16" s="314" t="s">
        <v>203</v>
      </c>
      <c r="PAI16" s="314" t="s">
        <v>203</v>
      </c>
      <c r="PAJ16" s="314" t="s">
        <v>203</v>
      </c>
      <c r="PAK16" s="314" t="s">
        <v>203</v>
      </c>
      <c r="PAL16" s="314" t="s">
        <v>203</v>
      </c>
      <c r="PAM16" s="314" t="s">
        <v>203</v>
      </c>
      <c r="PAN16" s="314" t="s">
        <v>203</v>
      </c>
      <c r="PAO16" s="314" t="s">
        <v>203</v>
      </c>
      <c r="PAP16" s="314" t="s">
        <v>203</v>
      </c>
      <c r="PAQ16" s="314" t="s">
        <v>203</v>
      </c>
      <c r="PAR16" s="314" t="s">
        <v>203</v>
      </c>
      <c r="PAS16" s="314" t="s">
        <v>203</v>
      </c>
      <c r="PAT16" s="314" t="s">
        <v>203</v>
      </c>
      <c r="PAU16" s="314" t="s">
        <v>203</v>
      </c>
      <c r="PAV16" s="314" t="s">
        <v>203</v>
      </c>
      <c r="PAW16" s="314" t="s">
        <v>203</v>
      </c>
      <c r="PAX16" s="314" t="s">
        <v>203</v>
      </c>
      <c r="PAY16" s="314" t="s">
        <v>203</v>
      </c>
      <c r="PAZ16" s="314" t="s">
        <v>203</v>
      </c>
      <c r="PBA16" s="314" t="s">
        <v>203</v>
      </c>
      <c r="PBB16" s="314" t="s">
        <v>203</v>
      </c>
      <c r="PBC16" s="314" t="s">
        <v>203</v>
      </c>
      <c r="PBD16" s="314" t="s">
        <v>203</v>
      </c>
      <c r="PBE16" s="314" t="s">
        <v>203</v>
      </c>
      <c r="PBF16" s="314" t="s">
        <v>203</v>
      </c>
      <c r="PBG16" s="314" t="s">
        <v>203</v>
      </c>
      <c r="PBH16" s="314" t="s">
        <v>203</v>
      </c>
      <c r="PBI16" s="314" t="s">
        <v>203</v>
      </c>
      <c r="PBJ16" s="314" t="s">
        <v>203</v>
      </c>
      <c r="PBK16" s="314" t="s">
        <v>203</v>
      </c>
      <c r="PBL16" s="314" t="s">
        <v>203</v>
      </c>
      <c r="PBM16" s="314" t="s">
        <v>203</v>
      </c>
      <c r="PBN16" s="314" t="s">
        <v>203</v>
      </c>
      <c r="PBO16" s="314" t="s">
        <v>203</v>
      </c>
      <c r="PBP16" s="314" t="s">
        <v>203</v>
      </c>
      <c r="PBQ16" s="314" t="s">
        <v>203</v>
      </c>
      <c r="PBR16" s="314" t="s">
        <v>203</v>
      </c>
      <c r="PBS16" s="314" t="s">
        <v>203</v>
      </c>
      <c r="PBT16" s="314" t="s">
        <v>203</v>
      </c>
      <c r="PBU16" s="314" t="s">
        <v>203</v>
      </c>
      <c r="PBV16" s="314" t="s">
        <v>203</v>
      </c>
      <c r="PBW16" s="314" t="s">
        <v>203</v>
      </c>
      <c r="PBX16" s="314" t="s">
        <v>203</v>
      </c>
      <c r="PBY16" s="314" t="s">
        <v>203</v>
      </c>
      <c r="PBZ16" s="314" t="s">
        <v>203</v>
      </c>
      <c r="PCA16" s="314" t="s">
        <v>203</v>
      </c>
      <c r="PCB16" s="314" t="s">
        <v>203</v>
      </c>
      <c r="PCC16" s="314" t="s">
        <v>203</v>
      </c>
      <c r="PCD16" s="314" t="s">
        <v>203</v>
      </c>
      <c r="PCE16" s="314" t="s">
        <v>203</v>
      </c>
      <c r="PCF16" s="314" t="s">
        <v>203</v>
      </c>
      <c r="PCG16" s="314" t="s">
        <v>203</v>
      </c>
      <c r="PCH16" s="314" t="s">
        <v>203</v>
      </c>
      <c r="PCI16" s="314" t="s">
        <v>203</v>
      </c>
      <c r="PCJ16" s="314" t="s">
        <v>203</v>
      </c>
      <c r="PCK16" s="314" t="s">
        <v>203</v>
      </c>
      <c r="PCL16" s="314" t="s">
        <v>203</v>
      </c>
      <c r="PCM16" s="314" t="s">
        <v>203</v>
      </c>
      <c r="PCN16" s="314" t="s">
        <v>203</v>
      </c>
      <c r="PCO16" s="314" t="s">
        <v>203</v>
      </c>
      <c r="PCP16" s="314" t="s">
        <v>203</v>
      </c>
      <c r="PCQ16" s="314" t="s">
        <v>203</v>
      </c>
      <c r="PCR16" s="314" t="s">
        <v>203</v>
      </c>
      <c r="PCS16" s="314" t="s">
        <v>203</v>
      </c>
      <c r="PCT16" s="314" t="s">
        <v>203</v>
      </c>
      <c r="PCU16" s="314" t="s">
        <v>203</v>
      </c>
      <c r="PCV16" s="314" t="s">
        <v>203</v>
      </c>
      <c r="PCW16" s="314" t="s">
        <v>203</v>
      </c>
      <c r="PCX16" s="314" t="s">
        <v>203</v>
      </c>
      <c r="PCY16" s="314" t="s">
        <v>203</v>
      </c>
      <c r="PCZ16" s="314" t="s">
        <v>203</v>
      </c>
      <c r="PDA16" s="314" t="s">
        <v>203</v>
      </c>
      <c r="PDB16" s="314" t="s">
        <v>203</v>
      </c>
      <c r="PDC16" s="314" t="s">
        <v>203</v>
      </c>
      <c r="PDD16" s="314" t="s">
        <v>203</v>
      </c>
      <c r="PDE16" s="314" t="s">
        <v>203</v>
      </c>
      <c r="PDF16" s="314" t="s">
        <v>203</v>
      </c>
      <c r="PDG16" s="314" t="s">
        <v>203</v>
      </c>
      <c r="PDH16" s="314" t="s">
        <v>203</v>
      </c>
      <c r="PDI16" s="314" t="s">
        <v>203</v>
      </c>
      <c r="PDJ16" s="314" t="s">
        <v>203</v>
      </c>
      <c r="PDK16" s="314" t="s">
        <v>203</v>
      </c>
      <c r="PDL16" s="314" t="s">
        <v>203</v>
      </c>
      <c r="PDM16" s="314" t="s">
        <v>203</v>
      </c>
      <c r="PDN16" s="314" t="s">
        <v>203</v>
      </c>
      <c r="PDO16" s="314" t="s">
        <v>203</v>
      </c>
      <c r="PDP16" s="314" t="s">
        <v>203</v>
      </c>
      <c r="PDQ16" s="314" t="s">
        <v>203</v>
      </c>
      <c r="PDR16" s="314" t="s">
        <v>203</v>
      </c>
      <c r="PDS16" s="314" t="s">
        <v>203</v>
      </c>
      <c r="PDT16" s="314" t="s">
        <v>203</v>
      </c>
      <c r="PDU16" s="314" t="s">
        <v>203</v>
      </c>
      <c r="PDV16" s="314" t="s">
        <v>203</v>
      </c>
      <c r="PDW16" s="314" t="s">
        <v>203</v>
      </c>
      <c r="PDX16" s="314" t="s">
        <v>203</v>
      </c>
      <c r="PDY16" s="314" t="s">
        <v>203</v>
      </c>
      <c r="PDZ16" s="314" t="s">
        <v>203</v>
      </c>
      <c r="PEA16" s="314" t="s">
        <v>203</v>
      </c>
      <c r="PEB16" s="314" t="s">
        <v>203</v>
      </c>
      <c r="PEC16" s="314" t="s">
        <v>203</v>
      </c>
      <c r="PED16" s="314" t="s">
        <v>203</v>
      </c>
      <c r="PEE16" s="314" t="s">
        <v>203</v>
      </c>
      <c r="PEF16" s="314" t="s">
        <v>203</v>
      </c>
      <c r="PEG16" s="314" t="s">
        <v>203</v>
      </c>
      <c r="PEH16" s="314" t="s">
        <v>203</v>
      </c>
      <c r="PEI16" s="314" t="s">
        <v>203</v>
      </c>
      <c r="PEJ16" s="314" t="s">
        <v>203</v>
      </c>
      <c r="PEK16" s="314" t="s">
        <v>203</v>
      </c>
      <c r="PEL16" s="314" t="s">
        <v>203</v>
      </c>
      <c r="PEM16" s="314" t="s">
        <v>203</v>
      </c>
      <c r="PEN16" s="314" t="s">
        <v>203</v>
      </c>
      <c r="PEO16" s="314" t="s">
        <v>203</v>
      </c>
      <c r="PEP16" s="314" t="s">
        <v>203</v>
      </c>
      <c r="PEQ16" s="314" t="s">
        <v>203</v>
      </c>
      <c r="PER16" s="314" t="s">
        <v>203</v>
      </c>
      <c r="PES16" s="314" t="s">
        <v>203</v>
      </c>
      <c r="PET16" s="314" t="s">
        <v>203</v>
      </c>
      <c r="PEU16" s="314" t="s">
        <v>203</v>
      </c>
      <c r="PEV16" s="314" t="s">
        <v>203</v>
      </c>
      <c r="PEW16" s="314" t="s">
        <v>203</v>
      </c>
      <c r="PEX16" s="314" t="s">
        <v>203</v>
      </c>
      <c r="PEY16" s="314" t="s">
        <v>203</v>
      </c>
      <c r="PEZ16" s="314" t="s">
        <v>203</v>
      </c>
      <c r="PFA16" s="314" t="s">
        <v>203</v>
      </c>
      <c r="PFB16" s="314" t="s">
        <v>203</v>
      </c>
      <c r="PFC16" s="314" t="s">
        <v>203</v>
      </c>
      <c r="PFD16" s="314" t="s">
        <v>203</v>
      </c>
      <c r="PFE16" s="314" t="s">
        <v>203</v>
      </c>
      <c r="PFF16" s="314" t="s">
        <v>203</v>
      </c>
      <c r="PFG16" s="314" t="s">
        <v>203</v>
      </c>
      <c r="PFH16" s="314" t="s">
        <v>203</v>
      </c>
      <c r="PFI16" s="314" t="s">
        <v>203</v>
      </c>
      <c r="PFJ16" s="314" t="s">
        <v>203</v>
      </c>
      <c r="PFK16" s="314" t="s">
        <v>203</v>
      </c>
      <c r="PFL16" s="314" t="s">
        <v>203</v>
      </c>
      <c r="PFM16" s="314" t="s">
        <v>203</v>
      </c>
      <c r="PFN16" s="314" t="s">
        <v>203</v>
      </c>
      <c r="PFO16" s="314" t="s">
        <v>203</v>
      </c>
      <c r="PFP16" s="314" t="s">
        <v>203</v>
      </c>
      <c r="PFQ16" s="314" t="s">
        <v>203</v>
      </c>
      <c r="PFR16" s="314" t="s">
        <v>203</v>
      </c>
      <c r="PFS16" s="314" t="s">
        <v>203</v>
      </c>
      <c r="PFT16" s="314" t="s">
        <v>203</v>
      </c>
      <c r="PFU16" s="314" t="s">
        <v>203</v>
      </c>
      <c r="PFV16" s="314" t="s">
        <v>203</v>
      </c>
      <c r="PFW16" s="314" t="s">
        <v>203</v>
      </c>
      <c r="PFX16" s="314" t="s">
        <v>203</v>
      </c>
      <c r="PFY16" s="314" t="s">
        <v>203</v>
      </c>
      <c r="PFZ16" s="314" t="s">
        <v>203</v>
      </c>
      <c r="PGA16" s="314" t="s">
        <v>203</v>
      </c>
      <c r="PGB16" s="314" t="s">
        <v>203</v>
      </c>
      <c r="PGC16" s="314" t="s">
        <v>203</v>
      </c>
      <c r="PGD16" s="314" t="s">
        <v>203</v>
      </c>
      <c r="PGE16" s="314" t="s">
        <v>203</v>
      </c>
      <c r="PGF16" s="314" t="s">
        <v>203</v>
      </c>
      <c r="PGG16" s="314" t="s">
        <v>203</v>
      </c>
      <c r="PGH16" s="314" t="s">
        <v>203</v>
      </c>
      <c r="PGI16" s="314" t="s">
        <v>203</v>
      </c>
      <c r="PGJ16" s="314" t="s">
        <v>203</v>
      </c>
      <c r="PGK16" s="314" t="s">
        <v>203</v>
      </c>
      <c r="PGL16" s="314" t="s">
        <v>203</v>
      </c>
      <c r="PGM16" s="314" t="s">
        <v>203</v>
      </c>
      <c r="PGN16" s="314" t="s">
        <v>203</v>
      </c>
      <c r="PGO16" s="314" t="s">
        <v>203</v>
      </c>
      <c r="PGP16" s="314" t="s">
        <v>203</v>
      </c>
      <c r="PGQ16" s="314" t="s">
        <v>203</v>
      </c>
      <c r="PGR16" s="314" t="s">
        <v>203</v>
      </c>
      <c r="PGS16" s="314" t="s">
        <v>203</v>
      </c>
      <c r="PGT16" s="314" t="s">
        <v>203</v>
      </c>
      <c r="PGU16" s="314" t="s">
        <v>203</v>
      </c>
      <c r="PGV16" s="314" t="s">
        <v>203</v>
      </c>
      <c r="PGW16" s="314" t="s">
        <v>203</v>
      </c>
      <c r="PGX16" s="314" t="s">
        <v>203</v>
      </c>
      <c r="PGY16" s="314" t="s">
        <v>203</v>
      </c>
      <c r="PGZ16" s="314" t="s">
        <v>203</v>
      </c>
      <c r="PHA16" s="314" t="s">
        <v>203</v>
      </c>
      <c r="PHB16" s="314" t="s">
        <v>203</v>
      </c>
      <c r="PHC16" s="314" t="s">
        <v>203</v>
      </c>
      <c r="PHD16" s="314" t="s">
        <v>203</v>
      </c>
      <c r="PHE16" s="314" t="s">
        <v>203</v>
      </c>
      <c r="PHF16" s="314" t="s">
        <v>203</v>
      </c>
      <c r="PHG16" s="314" t="s">
        <v>203</v>
      </c>
      <c r="PHH16" s="314" t="s">
        <v>203</v>
      </c>
      <c r="PHI16" s="314" t="s">
        <v>203</v>
      </c>
      <c r="PHJ16" s="314" t="s">
        <v>203</v>
      </c>
      <c r="PHK16" s="314" t="s">
        <v>203</v>
      </c>
      <c r="PHL16" s="314" t="s">
        <v>203</v>
      </c>
      <c r="PHM16" s="314" t="s">
        <v>203</v>
      </c>
      <c r="PHN16" s="314" t="s">
        <v>203</v>
      </c>
      <c r="PHO16" s="314" t="s">
        <v>203</v>
      </c>
      <c r="PHP16" s="314" t="s">
        <v>203</v>
      </c>
      <c r="PHQ16" s="314" t="s">
        <v>203</v>
      </c>
      <c r="PHR16" s="314" t="s">
        <v>203</v>
      </c>
      <c r="PHS16" s="314" t="s">
        <v>203</v>
      </c>
      <c r="PHT16" s="314" t="s">
        <v>203</v>
      </c>
      <c r="PHU16" s="314" t="s">
        <v>203</v>
      </c>
      <c r="PHV16" s="314" t="s">
        <v>203</v>
      </c>
      <c r="PHW16" s="314" t="s">
        <v>203</v>
      </c>
      <c r="PHX16" s="314" t="s">
        <v>203</v>
      </c>
      <c r="PHY16" s="314" t="s">
        <v>203</v>
      </c>
      <c r="PHZ16" s="314" t="s">
        <v>203</v>
      </c>
      <c r="PIA16" s="314" t="s">
        <v>203</v>
      </c>
      <c r="PIB16" s="314" t="s">
        <v>203</v>
      </c>
      <c r="PIC16" s="314" t="s">
        <v>203</v>
      </c>
      <c r="PID16" s="314" t="s">
        <v>203</v>
      </c>
      <c r="PIE16" s="314" t="s">
        <v>203</v>
      </c>
      <c r="PIF16" s="314" t="s">
        <v>203</v>
      </c>
      <c r="PIG16" s="314" t="s">
        <v>203</v>
      </c>
      <c r="PIH16" s="314" t="s">
        <v>203</v>
      </c>
      <c r="PII16" s="314" t="s">
        <v>203</v>
      </c>
      <c r="PIJ16" s="314" t="s">
        <v>203</v>
      </c>
      <c r="PIK16" s="314" t="s">
        <v>203</v>
      </c>
      <c r="PIL16" s="314" t="s">
        <v>203</v>
      </c>
      <c r="PIM16" s="314" t="s">
        <v>203</v>
      </c>
      <c r="PIN16" s="314" t="s">
        <v>203</v>
      </c>
      <c r="PIO16" s="314" t="s">
        <v>203</v>
      </c>
      <c r="PIP16" s="314" t="s">
        <v>203</v>
      </c>
      <c r="PIQ16" s="314" t="s">
        <v>203</v>
      </c>
      <c r="PIR16" s="314" t="s">
        <v>203</v>
      </c>
      <c r="PIS16" s="314" t="s">
        <v>203</v>
      </c>
      <c r="PIT16" s="314" t="s">
        <v>203</v>
      </c>
      <c r="PIU16" s="314" t="s">
        <v>203</v>
      </c>
      <c r="PIV16" s="314" t="s">
        <v>203</v>
      </c>
      <c r="PIW16" s="314" t="s">
        <v>203</v>
      </c>
      <c r="PIX16" s="314" t="s">
        <v>203</v>
      </c>
      <c r="PIY16" s="314" t="s">
        <v>203</v>
      </c>
      <c r="PIZ16" s="314" t="s">
        <v>203</v>
      </c>
      <c r="PJA16" s="314" t="s">
        <v>203</v>
      </c>
      <c r="PJB16" s="314" t="s">
        <v>203</v>
      </c>
      <c r="PJC16" s="314" t="s">
        <v>203</v>
      </c>
      <c r="PJD16" s="314" t="s">
        <v>203</v>
      </c>
      <c r="PJE16" s="314" t="s">
        <v>203</v>
      </c>
      <c r="PJF16" s="314" t="s">
        <v>203</v>
      </c>
      <c r="PJG16" s="314" t="s">
        <v>203</v>
      </c>
      <c r="PJH16" s="314" t="s">
        <v>203</v>
      </c>
      <c r="PJI16" s="314" t="s">
        <v>203</v>
      </c>
      <c r="PJJ16" s="314" t="s">
        <v>203</v>
      </c>
      <c r="PJK16" s="314" t="s">
        <v>203</v>
      </c>
      <c r="PJL16" s="314" t="s">
        <v>203</v>
      </c>
      <c r="PJM16" s="314" t="s">
        <v>203</v>
      </c>
      <c r="PJN16" s="314" t="s">
        <v>203</v>
      </c>
      <c r="PJO16" s="314" t="s">
        <v>203</v>
      </c>
      <c r="PJP16" s="314" t="s">
        <v>203</v>
      </c>
      <c r="PJQ16" s="314" t="s">
        <v>203</v>
      </c>
      <c r="PJR16" s="314" t="s">
        <v>203</v>
      </c>
      <c r="PJS16" s="314" t="s">
        <v>203</v>
      </c>
      <c r="PJT16" s="314" t="s">
        <v>203</v>
      </c>
      <c r="PJU16" s="314" t="s">
        <v>203</v>
      </c>
      <c r="PJV16" s="314" t="s">
        <v>203</v>
      </c>
      <c r="PJW16" s="314" t="s">
        <v>203</v>
      </c>
      <c r="PJX16" s="314" t="s">
        <v>203</v>
      </c>
      <c r="PJY16" s="314" t="s">
        <v>203</v>
      </c>
      <c r="PJZ16" s="314" t="s">
        <v>203</v>
      </c>
      <c r="PKA16" s="314" t="s">
        <v>203</v>
      </c>
      <c r="PKB16" s="314" t="s">
        <v>203</v>
      </c>
      <c r="PKC16" s="314" t="s">
        <v>203</v>
      </c>
      <c r="PKD16" s="314" t="s">
        <v>203</v>
      </c>
      <c r="PKE16" s="314" t="s">
        <v>203</v>
      </c>
      <c r="PKF16" s="314" t="s">
        <v>203</v>
      </c>
      <c r="PKG16" s="314" t="s">
        <v>203</v>
      </c>
      <c r="PKH16" s="314" t="s">
        <v>203</v>
      </c>
      <c r="PKI16" s="314" t="s">
        <v>203</v>
      </c>
      <c r="PKJ16" s="314" t="s">
        <v>203</v>
      </c>
      <c r="PKK16" s="314" t="s">
        <v>203</v>
      </c>
      <c r="PKL16" s="314" t="s">
        <v>203</v>
      </c>
      <c r="PKM16" s="314" t="s">
        <v>203</v>
      </c>
      <c r="PKN16" s="314" t="s">
        <v>203</v>
      </c>
      <c r="PKO16" s="314" t="s">
        <v>203</v>
      </c>
      <c r="PKP16" s="314" t="s">
        <v>203</v>
      </c>
      <c r="PKQ16" s="314" t="s">
        <v>203</v>
      </c>
      <c r="PKR16" s="314" t="s">
        <v>203</v>
      </c>
      <c r="PKS16" s="314" t="s">
        <v>203</v>
      </c>
      <c r="PKT16" s="314" t="s">
        <v>203</v>
      </c>
      <c r="PKU16" s="314" t="s">
        <v>203</v>
      </c>
      <c r="PKV16" s="314" t="s">
        <v>203</v>
      </c>
      <c r="PKW16" s="314" t="s">
        <v>203</v>
      </c>
      <c r="PKX16" s="314" t="s">
        <v>203</v>
      </c>
      <c r="PKY16" s="314" t="s">
        <v>203</v>
      </c>
      <c r="PKZ16" s="314" t="s">
        <v>203</v>
      </c>
      <c r="PLA16" s="314" t="s">
        <v>203</v>
      </c>
      <c r="PLB16" s="314" t="s">
        <v>203</v>
      </c>
      <c r="PLC16" s="314" t="s">
        <v>203</v>
      </c>
      <c r="PLD16" s="314" t="s">
        <v>203</v>
      </c>
      <c r="PLE16" s="314" t="s">
        <v>203</v>
      </c>
      <c r="PLF16" s="314" t="s">
        <v>203</v>
      </c>
      <c r="PLG16" s="314" t="s">
        <v>203</v>
      </c>
      <c r="PLH16" s="314" t="s">
        <v>203</v>
      </c>
      <c r="PLI16" s="314" t="s">
        <v>203</v>
      </c>
      <c r="PLJ16" s="314" t="s">
        <v>203</v>
      </c>
      <c r="PLK16" s="314" t="s">
        <v>203</v>
      </c>
      <c r="PLL16" s="314" t="s">
        <v>203</v>
      </c>
      <c r="PLM16" s="314" t="s">
        <v>203</v>
      </c>
      <c r="PLN16" s="314" t="s">
        <v>203</v>
      </c>
      <c r="PLO16" s="314" t="s">
        <v>203</v>
      </c>
      <c r="PLP16" s="314" t="s">
        <v>203</v>
      </c>
      <c r="PLQ16" s="314" t="s">
        <v>203</v>
      </c>
      <c r="PLR16" s="314" t="s">
        <v>203</v>
      </c>
      <c r="PLS16" s="314" t="s">
        <v>203</v>
      </c>
      <c r="PLT16" s="314" t="s">
        <v>203</v>
      </c>
      <c r="PLU16" s="314" t="s">
        <v>203</v>
      </c>
      <c r="PLV16" s="314" t="s">
        <v>203</v>
      </c>
      <c r="PLW16" s="314" t="s">
        <v>203</v>
      </c>
      <c r="PLX16" s="314" t="s">
        <v>203</v>
      </c>
      <c r="PLY16" s="314" t="s">
        <v>203</v>
      </c>
      <c r="PLZ16" s="314" t="s">
        <v>203</v>
      </c>
      <c r="PMA16" s="314" t="s">
        <v>203</v>
      </c>
      <c r="PMB16" s="314" t="s">
        <v>203</v>
      </c>
      <c r="PMC16" s="314" t="s">
        <v>203</v>
      </c>
      <c r="PMD16" s="314" t="s">
        <v>203</v>
      </c>
      <c r="PME16" s="314" t="s">
        <v>203</v>
      </c>
      <c r="PMF16" s="314" t="s">
        <v>203</v>
      </c>
      <c r="PMG16" s="314" t="s">
        <v>203</v>
      </c>
      <c r="PMH16" s="314" t="s">
        <v>203</v>
      </c>
      <c r="PMI16" s="314" t="s">
        <v>203</v>
      </c>
      <c r="PMJ16" s="314" t="s">
        <v>203</v>
      </c>
      <c r="PMK16" s="314" t="s">
        <v>203</v>
      </c>
      <c r="PML16" s="314" t="s">
        <v>203</v>
      </c>
      <c r="PMM16" s="314" t="s">
        <v>203</v>
      </c>
      <c r="PMN16" s="314" t="s">
        <v>203</v>
      </c>
      <c r="PMO16" s="314" t="s">
        <v>203</v>
      </c>
      <c r="PMP16" s="314" t="s">
        <v>203</v>
      </c>
      <c r="PMQ16" s="314" t="s">
        <v>203</v>
      </c>
      <c r="PMR16" s="314" t="s">
        <v>203</v>
      </c>
      <c r="PMS16" s="314" t="s">
        <v>203</v>
      </c>
      <c r="PMT16" s="314" t="s">
        <v>203</v>
      </c>
      <c r="PMU16" s="314" t="s">
        <v>203</v>
      </c>
      <c r="PMV16" s="314" t="s">
        <v>203</v>
      </c>
      <c r="PMW16" s="314" t="s">
        <v>203</v>
      </c>
      <c r="PMX16" s="314" t="s">
        <v>203</v>
      </c>
      <c r="PMY16" s="314" t="s">
        <v>203</v>
      </c>
      <c r="PMZ16" s="314" t="s">
        <v>203</v>
      </c>
      <c r="PNA16" s="314" t="s">
        <v>203</v>
      </c>
      <c r="PNB16" s="314" t="s">
        <v>203</v>
      </c>
      <c r="PNC16" s="314" t="s">
        <v>203</v>
      </c>
      <c r="PND16" s="314" t="s">
        <v>203</v>
      </c>
      <c r="PNE16" s="314" t="s">
        <v>203</v>
      </c>
      <c r="PNF16" s="314" t="s">
        <v>203</v>
      </c>
      <c r="PNG16" s="314" t="s">
        <v>203</v>
      </c>
      <c r="PNH16" s="314" t="s">
        <v>203</v>
      </c>
      <c r="PNI16" s="314" t="s">
        <v>203</v>
      </c>
      <c r="PNJ16" s="314" t="s">
        <v>203</v>
      </c>
      <c r="PNK16" s="314" t="s">
        <v>203</v>
      </c>
      <c r="PNL16" s="314" t="s">
        <v>203</v>
      </c>
      <c r="PNM16" s="314" t="s">
        <v>203</v>
      </c>
      <c r="PNN16" s="314" t="s">
        <v>203</v>
      </c>
      <c r="PNO16" s="314" t="s">
        <v>203</v>
      </c>
      <c r="PNP16" s="314" t="s">
        <v>203</v>
      </c>
      <c r="PNQ16" s="314" t="s">
        <v>203</v>
      </c>
      <c r="PNR16" s="314" t="s">
        <v>203</v>
      </c>
      <c r="PNS16" s="314" t="s">
        <v>203</v>
      </c>
      <c r="PNT16" s="314" t="s">
        <v>203</v>
      </c>
      <c r="PNU16" s="314" t="s">
        <v>203</v>
      </c>
      <c r="PNV16" s="314" t="s">
        <v>203</v>
      </c>
      <c r="PNW16" s="314" t="s">
        <v>203</v>
      </c>
      <c r="PNX16" s="314" t="s">
        <v>203</v>
      </c>
      <c r="PNY16" s="314" t="s">
        <v>203</v>
      </c>
      <c r="PNZ16" s="314" t="s">
        <v>203</v>
      </c>
      <c r="POA16" s="314" t="s">
        <v>203</v>
      </c>
      <c r="POB16" s="314" t="s">
        <v>203</v>
      </c>
      <c r="POC16" s="314" t="s">
        <v>203</v>
      </c>
      <c r="POD16" s="314" t="s">
        <v>203</v>
      </c>
      <c r="POE16" s="314" t="s">
        <v>203</v>
      </c>
      <c r="POF16" s="314" t="s">
        <v>203</v>
      </c>
      <c r="POG16" s="314" t="s">
        <v>203</v>
      </c>
      <c r="POH16" s="314" t="s">
        <v>203</v>
      </c>
      <c r="POI16" s="314" t="s">
        <v>203</v>
      </c>
      <c r="POJ16" s="314" t="s">
        <v>203</v>
      </c>
      <c r="POK16" s="314" t="s">
        <v>203</v>
      </c>
      <c r="POL16" s="314" t="s">
        <v>203</v>
      </c>
      <c r="POM16" s="314" t="s">
        <v>203</v>
      </c>
      <c r="PON16" s="314" t="s">
        <v>203</v>
      </c>
      <c r="POO16" s="314" t="s">
        <v>203</v>
      </c>
      <c r="POP16" s="314" t="s">
        <v>203</v>
      </c>
      <c r="POQ16" s="314" t="s">
        <v>203</v>
      </c>
      <c r="POR16" s="314" t="s">
        <v>203</v>
      </c>
      <c r="POS16" s="314" t="s">
        <v>203</v>
      </c>
      <c r="POT16" s="314" t="s">
        <v>203</v>
      </c>
      <c r="POU16" s="314" t="s">
        <v>203</v>
      </c>
      <c r="POV16" s="314" t="s">
        <v>203</v>
      </c>
      <c r="POW16" s="314" t="s">
        <v>203</v>
      </c>
      <c r="POX16" s="314" t="s">
        <v>203</v>
      </c>
      <c r="POY16" s="314" t="s">
        <v>203</v>
      </c>
      <c r="POZ16" s="314" t="s">
        <v>203</v>
      </c>
      <c r="PPA16" s="314" t="s">
        <v>203</v>
      </c>
      <c r="PPB16" s="314" t="s">
        <v>203</v>
      </c>
      <c r="PPC16" s="314" t="s">
        <v>203</v>
      </c>
      <c r="PPD16" s="314" t="s">
        <v>203</v>
      </c>
      <c r="PPE16" s="314" t="s">
        <v>203</v>
      </c>
      <c r="PPF16" s="314" t="s">
        <v>203</v>
      </c>
      <c r="PPG16" s="314" t="s">
        <v>203</v>
      </c>
      <c r="PPH16" s="314" t="s">
        <v>203</v>
      </c>
      <c r="PPI16" s="314" t="s">
        <v>203</v>
      </c>
      <c r="PPJ16" s="314" t="s">
        <v>203</v>
      </c>
      <c r="PPK16" s="314" t="s">
        <v>203</v>
      </c>
      <c r="PPL16" s="314" t="s">
        <v>203</v>
      </c>
      <c r="PPM16" s="314" t="s">
        <v>203</v>
      </c>
      <c r="PPN16" s="314" t="s">
        <v>203</v>
      </c>
      <c r="PPO16" s="314" t="s">
        <v>203</v>
      </c>
      <c r="PPP16" s="314" t="s">
        <v>203</v>
      </c>
      <c r="PPQ16" s="314" t="s">
        <v>203</v>
      </c>
      <c r="PPR16" s="314" t="s">
        <v>203</v>
      </c>
      <c r="PPS16" s="314" t="s">
        <v>203</v>
      </c>
      <c r="PPT16" s="314" t="s">
        <v>203</v>
      </c>
      <c r="PPU16" s="314" t="s">
        <v>203</v>
      </c>
      <c r="PPV16" s="314" t="s">
        <v>203</v>
      </c>
      <c r="PPW16" s="314" t="s">
        <v>203</v>
      </c>
      <c r="PPX16" s="314" t="s">
        <v>203</v>
      </c>
      <c r="PPY16" s="314" t="s">
        <v>203</v>
      </c>
      <c r="PPZ16" s="314" t="s">
        <v>203</v>
      </c>
      <c r="PQA16" s="314" t="s">
        <v>203</v>
      </c>
      <c r="PQB16" s="314" t="s">
        <v>203</v>
      </c>
      <c r="PQC16" s="314" t="s">
        <v>203</v>
      </c>
      <c r="PQD16" s="314" t="s">
        <v>203</v>
      </c>
      <c r="PQE16" s="314" t="s">
        <v>203</v>
      </c>
      <c r="PQF16" s="314" t="s">
        <v>203</v>
      </c>
      <c r="PQG16" s="314" t="s">
        <v>203</v>
      </c>
      <c r="PQH16" s="314" t="s">
        <v>203</v>
      </c>
      <c r="PQI16" s="314" t="s">
        <v>203</v>
      </c>
      <c r="PQJ16" s="314" t="s">
        <v>203</v>
      </c>
      <c r="PQK16" s="314" t="s">
        <v>203</v>
      </c>
      <c r="PQL16" s="314" t="s">
        <v>203</v>
      </c>
      <c r="PQM16" s="314" t="s">
        <v>203</v>
      </c>
      <c r="PQN16" s="314" t="s">
        <v>203</v>
      </c>
      <c r="PQO16" s="314" t="s">
        <v>203</v>
      </c>
      <c r="PQP16" s="314" t="s">
        <v>203</v>
      </c>
      <c r="PQQ16" s="314" t="s">
        <v>203</v>
      </c>
      <c r="PQR16" s="314" t="s">
        <v>203</v>
      </c>
      <c r="PQS16" s="314" t="s">
        <v>203</v>
      </c>
      <c r="PQT16" s="314" t="s">
        <v>203</v>
      </c>
      <c r="PQU16" s="314" t="s">
        <v>203</v>
      </c>
      <c r="PQV16" s="314" t="s">
        <v>203</v>
      </c>
      <c r="PQW16" s="314" t="s">
        <v>203</v>
      </c>
      <c r="PQX16" s="314" t="s">
        <v>203</v>
      </c>
      <c r="PQY16" s="314" t="s">
        <v>203</v>
      </c>
      <c r="PQZ16" s="314" t="s">
        <v>203</v>
      </c>
      <c r="PRA16" s="314" t="s">
        <v>203</v>
      </c>
      <c r="PRB16" s="314" t="s">
        <v>203</v>
      </c>
      <c r="PRC16" s="314" t="s">
        <v>203</v>
      </c>
      <c r="PRD16" s="314" t="s">
        <v>203</v>
      </c>
      <c r="PRE16" s="314" t="s">
        <v>203</v>
      </c>
      <c r="PRF16" s="314" t="s">
        <v>203</v>
      </c>
      <c r="PRG16" s="314" t="s">
        <v>203</v>
      </c>
      <c r="PRH16" s="314" t="s">
        <v>203</v>
      </c>
      <c r="PRI16" s="314" t="s">
        <v>203</v>
      </c>
      <c r="PRJ16" s="314" t="s">
        <v>203</v>
      </c>
      <c r="PRK16" s="314" t="s">
        <v>203</v>
      </c>
      <c r="PRL16" s="314" t="s">
        <v>203</v>
      </c>
      <c r="PRM16" s="314" t="s">
        <v>203</v>
      </c>
      <c r="PRN16" s="314" t="s">
        <v>203</v>
      </c>
      <c r="PRO16" s="314" t="s">
        <v>203</v>
      </c>
      <c r="PRP16" s="314" t="s">
        <v>203</v>
      </c>
      <c r="PRQ16" s="314" t="s">
        <v>203</v>
      </c>
      <c r="PRR16" s="314" t="s">
        <v>203</v>
      </c>
      <c r="PRS16" s="314" t="s">
        <v>203</v>
      </c>
      <c r="PRT16" s="314" t="s">
        <v>203</v>
      </c>
      <c r="PRU16" s="314" t="s">
        <v>203</v>
      </c>
      <c r="PRV16" s="314" t="s">
        <v>203</v>
      </c>
      <c r="PRW16" s="314" t="s">
        <v>203</v>
      </c>
      <c r="PRX16" s="314" t="s">
        <v>203</v>
      </c>
      <c r="PRY16" s="314" t="s">
        <v>203</v>
      </c>
      <c r="PRZ16" s="314" t="s">
        <v>203</v>
      </c>
      <c r="PSA16" s="314" t="s">
        <v>203</v>
      </c>
      <c r="PSB16" s="314" t="s">
        <v>203</v>
      </c>
      <c r="PSC16" s="314" t="s">
        <v>203</v>
      </c>
      <c r="PSD16" s="314" t="s">
        <v>203</v>
      </c>
      <c r="PSE16" s="314" t="s">
        <v>203</v>
      </c>
      <c r="PSF16" s="314" t="s">
        <v>203</v>
      </c>
      <c r="PSG16" s="314" t="s">
        <v>203</v>
      </c>
      <c r="PSH16" s="314" t="s">
        <v>203</v>
      </c>
      <c r="PSI16" s="314" t="s">
        <v>203</v>
      </c>
      <c r="PSJ16" s="314" t="s">
        <v>203</v>
      </c>
      <c r="PSK16" s="314" t="s">
        <v>203</v>
      </c>
      <c r="PSL16" s="314" t="s">
        <v>203</v>
      </c>
      <c r="PSM16" s="314" t="s">
        <v>203</v>
      </c>
      <c r="PSN16" s="314" t="s">
        <v>203</v>
      </c>
      <c r="PSO16" s="314" t="s">
        <v>203</v>
      </c>
      <c r="PSP16" s="314" t="s">
        <v>203</v>
      </c>
      <c r="PSQ16" s="314" t="s">
        <v>203</v>
      </c>
      <c r="PSR16" s="314" t="s">
        <v>203</v>
      </c>
      <c r="PSS16" s="314" t="s">
        <v>203</v>
      </c>
      <c r="PST16" s="314" t="s">
        <v>203</v>
      </c>
      <c r="PSU16" s="314" t="s">
        <v>203</v>
      </c>
      <c r="PSV16" s="314" t="s">
        <v>203</v>
      </c>
      <c r="PSW16" s="314" t="s">
        <v>203</v>
      </c>
      <c r="PSX16" s="314" t="s">
        <v>203</v>
      </c>
      <c r="PSY16" s="314" t="s">
        <v>203</v>
      </c>
      <c r="PSZ16" s="314" t="s">
        <v>203</v>
      </c>
      <c r="PTA16" s="314" t="s">
        <v>203</v>
      </c>
      <c r="PTB16" s="314" t="s">
        <v>203</v>
      </c>
      <c r="PTC16" s="314" t="s">
        <v>203</v>
      </c>
      <c r="PTD16" s="314" t="s">
        <v>203</v>
      </c>
      <c r="PTE16" s="314" t="s">
        <v>203</v>
      </c>
      <c r="PTF16" s="314" t="s">
        <v>203</v>
      </c>
      <c r="PTG16" s="314" t="s">
        <v>203</v>
      </c>
      <c r="PTH16" s="314" t="s">
        <v>203</v>
      </c>
      <c r="PTI16" s="314" t="s">
        <v>203</v>
      </c>
      <c r="PTJ16" s="314" t="s">
        <v>203</v>
      </c>
      <c r="PTK16" s="314" t="s">
        <v>203</v>
      </c>
      <c r="PTL16" s="314" t="s">
        <v>203</v>
      </c>
      <c r="PTM16" s="314" t="s">
        <v>203</v>
      </c>
      <c r="PTN16" s="314" t="s">
        <v>203</v>
      </c>
      <c r="PTO16" s="314" t="s">
        <v>203</v>
      </c>
      <c r="PTP16" s="314" t="s">
        <v>203</v>
      </c>
      <c r="PTQ16" s="314" t="s">
        <v>203</v>
      </c>
      <c r="PTR16" s="314" t="s">
        <v>203</v>
      </c>
      <c r="PTS16" s="314" t="s">
        <v>203</v>
      </c>
      <c r="PTT16" s="314" t="s">
        <v>203</v>
      </c>
      <c r="PTU16" s="314" t="s">
        <v>203</v>
      </c>
      <c r="PTV16" s="314" t="s">
        <v>203</v>
      </c>
      <c r="PTW16" s="314" t="s">
        <v>203</v>
      </c>
      <c r="PTX16" s="314" t="s">
        <v>203</v>
      </c>
      <c r="PTY16" s="314" t="s">
        <v>203</v>
      </c>
      <c r="PTZ16" s="314" t="s">
        <v>203</v>
      </c>
      <c r="PUA16" s="314" t="s">
        <v>203</v>
      </c>
      <c r="PUB16" s="314" t="s">
        <v>203</v>
      </c>
      <c r="PUC16" s="314" t="s">
        <v>203</v>
      </c>
      <c r="PUD16" s="314" t="s">
        <v>203</v>
      </c>
      <c r="PUE16" s="314" t="s">
        <v>203</v>
      </c>
      <c r="PUF16" s="314" t="s">
        <v>203</v>
      </c>
      <c r="PUG16" s="314" t="s">
        <v>203</v>
      </c>
      <c r="PUH16" s="314" t="s">
        <v>203</v>
      </c>
      <c r="PUI16" s="314" t="s">
        <v>203</v>
      </c>
      <c r="PUJ16" s="314" t="s">
        <v>203</v>
      </c>
      <c r="PUK16" s="314" t="s">
        <v>203</v>
      </c>
      <c r="PUL16" s="314" t="s">
        <v>203</v>
      </c>
      <c r="PUM16" s="314" t="s">
        <v>203</v>
      </c>
      <c r="PUN16" s="314" t="s">
        <v>203</v>
      </c>
      <c r="PUO16" s="314" t="s">
        <v>203</v>
      </c>
      <c r="PUP16" s="314" t="s">
        <v>203</v>
      </c>
      <c r="PUQ16" s="314" t="s">
        <v>203</v>
      </c>
      <c r="PUR16" s="314" t="s">
        <v>203</v>
      </c>
      <c r="PUS16" s="314" t="s">
        <v>203</v>
      </c>
      <c r="PUT16" s="314" t="s">
        <v>203</v>
      </c>
      <c r="PUU16" s="314" t="s">
        <v>203</v>
      </c>
      <c r="PUV16" s="314" t="s">
        <v>203</v>
      </c>
      <c r="PUW16" s="314" t="s">
        <v>203</v>
      </c>
      <c r="PUX16" s="314" t="s">
        <v>203</v>
      </c>
      <c r="PUY16" s="314" t="s">
        <v>203</v>
      </c>
      <c r="PUZ16" s="314" t="s">
        <v>203</v>
      </c>
      <c r="PVA16" s="314" t="s">
        <v>203</v>
      </c>
      <c r="PVB16" s="314" t="s">
        <v>203</v>
      </c>
      <c r="PVC16" s="314" t="s">
        <v>203</v>
      </c>
      <c r="PVD16" s="314" t="s">
        <v>203</v>
      </c>
      <c r="PVE16" s="314" t="s">
        <v>203</v>
      </c>
      <c r="PVF16" s="314" t="s">
        <v>203</v>
      </c>
      <c r="PVG16" s="314" t="s">
        <v>203</v>
      </c>
      <c r="PVH16" s="314" t="s">
        <v>203</v>
      </c>
      <c r="PVI16" s="314" t="s">
        <v>203</v>
      </c>
      <c r="PVJ16" s="314" t="s">
        <v>203</v>
      </c>
      <c r="PVK16" s="314" t="s">
        <v>203</v>
      </c>
      <c r="PVL16" s="314" t="s">
        <v>203</v>
      </c>
      <c r="PVM16" s="314" t="s">
        <v>203</v>
      </c>
      <c r="PVN16" s="314" t="s">
        <v>203</v>
      </c>
      <c r="PVO16" s="314" t="s">
        <v>203</v>
      </c>
      <c r="PVP16" s="314" t="s">
        <v>203</v>
      </c>
      <c r="PVQ16" s="314" t="s">
        <v>203</v>
      </c>
      <c r="PVR16" s="314" t="s">
        <v>203</v>
      </c>
      <c r="PVS16" s="314" t="s">
        <v>203</v>
      </c>
      <c r="PVT16" s="314" t="s">
        <v>203</v>
      </c>
      <c r="PVU16" s="314" t="s">
        <v>203</v>
      </c>
      <c r="PVV16" s="314" t="s">
        <v>203</v>
      </c>
      <c r="PVW16" s="314" t="s">
        <v>203</v>
      </c>
      <c r="PVX16" s="314" t="s">
        <v>203</v>
      </c>
      <c r="PVY16" s="314" t="s">
        <v>203</v>
      </c>
      <c r="PVZ16" s="314" t="s">
        <v>203</v>
      </c>
      <c r="PWA16" s="314" t="s">
        <v>203</v>
      </c>
      <c r="PWB16" s="314" t="s">
        <v>203</v>
      </c>
      <c r="PWC16" s="314" t="s">
        <v>203</v>
      </c>
      <c r="PWD16" s="314" t="s">
        <v>203</v>
      </c>
      <c r="PWE16" s="314" t="s">
        <v>203</v>
      </c>
      <c r="PWF16" s="314" t="s">
        <v>203</v>
      </c>
      <c r="PWG16" s="314" t="s">
        <v>203</v>
      </c>
      <c r="PWH16" s="314" t="s">
        <v>203</v>
      </c>
      <c r="PWI16" s="314" t="s">
        <v>203</v>
      </c>
      <c r="PWJ16" s="314" t="s">
        <v>203</v>
      </c>
      <c r="PWK16" s="314" t="s">
        <v>203</v>
      </c>
      <c r="PWL16" s="314" t="s">
        <v>203</v>
      </c>
      <c r="PWM16" s="314" t="s">
        <v>203</v>
      </c>
      <c r="PWN16" s="314" t="s">
        <v>203</v>
      </c>
      <c r="PWO16" s="314" t="s">
        <v>203</v>
      </c>
      <c r="PWP16" s="314" t="s">
        <v>203</v>
      </c>
      <c r="PWQ16" s="314" t="s">
        <v>203</v>
      </c>
      <c r="PWR16" s="314" t="s">
        <v>203</v>
      </c>
      <c r="PWS16" s="314" t="s">
        <v>203</v>
      </c>
      <c r="PWT16" s="314" t="s">
        <v>203</v>
      </c>
      <c r="PWU16" s="314" t="s">
        <v>203</v>
      </c>
      <c r="PWV16" s="314" t="s">
        <v>203</v>
      </c>
      <c r="PWW16" s="314" t="s">
        <v>203</v>
      </c>
      <c r="PWX16" s="314" t="s">
        <v>203</v>
      </c>
      <c r="PWY16" s="314" t="s">
        <v>203</v>
      </c>
      <c r="PWZ16" s="314" t="s">
        <v>203</v>
      </c>
      <c r="PXA16" s="314" t="s">
        <v>203</v>
      </c>
      <c r="PXB16" s="314" t="s">
        <v>203</v>
      </c>
      <c r="PXC16" s="314" t="s">
        <v>203</v>
      </c>
      <c r="PXD16" s="314" t="s">
        <v>203</v>
      </c>
      <c r="PXE16" s="314" t="s">
        <v>203</v>
      </c>
      <c r="PXF16" s="314" t="s">
        <v>203</v>
      </c>
      <c r="PXG16" s="314" t="s">
        <v>203</v>
      </c>
      <c r="PXH16" s="314" t="s">
        <v>203</v>
      </c>
      <c r="PXI16" s="314" t="s">
        <v>203</v>
      </c>
      <c r="PXJ16" s="314" t="s">
        <v>203</v>
      </c>
      <c r="PXK16" s="314" t="s">
        <v>203</v>
      </c>
      <c r="PXL16" s="314" t="s">
        <v>203</v>
      </c>
      <c r="PXM16" s="314" t="s">
        <v>203</v>
      </c>
      <c r="PXN16" s="314" t="s">
        <v>203</v>
      </c>
      <c r="PXO16" s="314" t="s">
        <v>203</v>
      </c>
      <c r="PXP16" s="314" t="s">
        <v>203</v>
      </c>
      <c r="PXQ16" s="314" t="s">
        <v>203</v>
      </c>
      <c r="PXR16" s="314" t="s">
        <v>203</v>
      </c>
      <c r="PXS16" s="314" t="s">
        <v>203</v>
      </c>
      <c r="PXT16" s="314" t="s">
        <v>203</v>
      </c>
      <c r="PXU16" s="314" t="s">
        <v>203</v>
      </c>
      <c r="PXV16" s="314" t="s">
        <v>203</v>
      </c>
      <c r="PXW16" s="314" t="s">
        <v>203</v>
      </c>
      <c r="PXX16" s="314" t="s">
        <v>203</v>
      </c>
      <c r="PXY16" s="314" t="s">
        <v>203</v>
      </c>
      <c r="PXZ16" s="314" t="s">
        <v>203</v>
      </c>
      <c r="PYA16" s="314" t="s">
        <v>203</v>
      </c>
      <c r="PYB16" s="314" t="s">
        <v>203</v>
      </c>
      <c r="PYC16" s="314" t="s">
        <v>203</v>
      </c>
      <c r="PYD16" s="314" t="s">
        <v>203</v>
      </c>
      <c r="PYE16" s="314" t="s">
        <v>203</v>
      </c>
      <c r="PYF16" s="314" t="s">
        <v>203</v>
      </c>
      <c r="PYG16" s="314" t="s">
        <v>203</v>
      </c>
      <c r="PYH16" s="314" t="s">
        <v>203</v>
      </c>
      <c r="PYI16" s="314" t="s">
        <v>203</v>
      </c>
      <c r="PYJ16" s="314" t="s">
        <v>203</v>
      </c>
      <c r="PYK16" s="314" t="s">
        <v>203</v>
      </c>
      <c r="PYL16" s="314" t="s">
        <v>203</v>
      </c>
      <c r="PYM16" s="314" t="s">
        <v>203</v>
      </c>
      <c r="PYN16" s="314" t="s">
        <v>203</v>
      </c>
      <c r="PYO16" s="314" t="s">
        <v>203</v>
      </c>
      <c r="PYP16" s="314" t="s">
        <v>203</v>
      </c>
      <c r="PYQ16" s="314" t="s">
        <v>203</v>
      </c>
      <c r="PYR16" s="314" t="s">
        <v>203</v>
      </c>
      <c r="PYS16" s="314" t="s">
        <v>203</v>
      </c>
      <c r="PYT16" s="314" t="s">
        <v>203</v>
      </c>
      <c r="PYU16" s="314" t="s">
        <v>203</v>
      </c>
      <c r="PYV16" s="314" t="s">
        <v>203</v>
      </c>
      <c r="PYW16" s="314" t="s">
        <v>203</v>
      </c>
      <c r="PYX16" s="314" t="s">
        <v>203</v>
      </c>
      <c r="PYY16" s="314" t="s">
        <v>203</v>
      </c>
      <c r="PYZ16" s="314" t="s">
        <v>203</v>
      </c>
      <c r="PZA16" s="314" t="s">
        <v>203</v>
      </c>
      <c r="PZB16" s="314" t="s">
        <v>203</v>
      </c>
      <c r="PZC16" s="314" t="s">
        <v>203</v>
      </c>
      <c r="PZD16" s="314" t="s">
        <v>203</v>
      </c>
      <c r="PZE16" s="314" t="s">
        <v>203</v>
      </c>
      <c r="PZF16" s="314" t="s">
        <v>203</v>
      </c>
      <c r="PZG16" s="314" t="s">
        <v>203</v>
      </c>
      <c r="PZH16" s="314" t="s">
        <v>203</v>
      </c>
      <c r="PZI16" s="314" t="s">
        <v>203</v>
      </c>
      <c r="PZJ16" s="314" t="s">
        <v>203</v>
      </c>
      <c r="PZK16" s="314" t="s">
        <v>203</v>
      </c>
      <c r="PZL16" s="314" t="s">
        <v>203</v>
      </c>
      <c r="PZM16" s="314" t="s">
        <v>203</v>
      </c>
      <c r="PZN16" s="314" t="s">
        <v>203</v>
      </c>
      <c r="PZO16" s="314" t="s">
        <v>203</v>
      </c>
      <c r="PZP16" s="314" t="s">
        <v>203</v>
      </c>
      <c r="PZQ16" s="314" t="s">
        <v>203</v>
      </c>
      <c r="PZR16" s="314" t="s">
        <v>203</v>
      </c>
      <c r="PZS16" s="314" t="s">
        <v>203</v>
      </c>
      <c r="PZT16" s="314" t="s">
        <v>203</v>
      </c>
      <c r="PZU16" s="314" t="s">
        <v>203</v>
      </c>
      <c r="PZV16" s="314" t="s">
        <v>203</v>
      </c>
      <c r="PZW16" s="314" t="s">
        <v>203</v>
      </c>
      <c r="PZX16" s="314" t="s">
        <v>203</v>
      </c>
      <c r="PZY16" s="314" t="s">
        <v>203</v>
      </c>
      <c r="PZZ16" s="314" t="s">
        <v>203</v>
      </c>
      <c r="QAA16" s="314" t="s">
        <v>203</v>
      </c>
      <c r="QAB16" s="314" t="s">
        <v>203</v>
      </c>
      <c r="QAC16" s="314" t="s">
        <v>203</v>
      </c>
      <c r="QAD16" s="314" t="s">
        <v>203</v>
      </c>
      <c r="QAE16" s="314" t="s">
        <v>203</v>
      </c>
      <c r="QAF16" s="314" t="s">
        <v>203</v>
      </c>
      <c r="QAG16" s="314" t="s">
        <v>203</v>
      </c>
      <c r="QAH16" s="314" t="s">
        <v>203</v>
      </c>
      <c r="QAI16" s="314" t="s">
        <v>203</v>
      </c>
      <c r="QAJ16" s="314" t="s">
        <v>203</v>
      </c>
      <c r="QAK16" s="314" t="s">
        <v>203</v>
      </c>
      <c r="QAL16" s="314" t="s">
        <v>203</v>
      </c>
      <c r="QAM16" s="314" t="s">
        <v>203</v>
      </c>
      <c r="QAN16" s="314" t="s">
        <v>203</v>
      </c>
      <c r="QAO16" s="314" t="s">
        <v>203</v>
      </c>
      <c r="QAP16" s="314" t="s">
        <v>203</v>
      </c>
      <c r="QAQ16" s="314" t="s">
        <v>203</v>
      </c>
      <c r="QAR16" s="314" t="s">
        <v>203</v>
      </c>
      <c r="QAS16" s="314" t="s">
        <v>203</v>
      </c>
      <c r="QAT16" s="314" t="s">
        <v>203</v>
      </c>
      <c r="QAU16" s="314" t="s">
        <v>203</v>
      </c>
      <c r="QAV16" s="314" t="s">
        <v>203</v>
      </c>
      <c r="QAW16" s="314" t="s">
        <v>203</v>
      </c>
      <c r="QAX16" s="314" t="s">
        <v>203</v>
      </c>
      <c r="QAY16" s="314" t="s">
        <v>203</v>
      </c>
      <c r="QAZ16" s="314" t="s">
        <v>203</v>
      </c>
      <c r="QBA16" s="314" t="s">
        <v>203</v>
      </c>
      <c r="QBB16" s="314" t="s">
        <v>203</v>
      </c>
      <c r="QBC16" s="314" t="s">
        <v>203</v>
      </c>
      <c r="QBD16" s="314" t="s">
        <v>203</v>
      </c>
      <c r="QBE16" s="314" t="s">
        <v>203</v>
      </c>
      <c r="QBF16" s="314" t="s">
        <v>203</v>
      </c>
      <c r="QBG16" s="314" t="s">
        <v>203</v>
      </c>
      <c r="QBH16" s="314" t="s">
        <v>203</v>
      </c>
      <c r="QBI16" s="314" t="s">
        <v>203</v>
      </c>
      <c r="QBJ16" s="314" t="s">
        <v>203</v>
      </c>
      <c r="QBK16" s="314" t="s">
        <v>203</v>
      </c>
      <c r="QBL16" s="314" t="s">
        <v>203</v>
      </c>
      <c r="QBM16" s="314" t="s">
        <v>203</v>
      </c>
      <c r="QBN16" s="314" t="s">
        <v>203</v>
      </c>
      <c r="QBO16" s="314" t="s">
        <v>203</v>
      </c>
      <c r="QBP16" s="314" t="s">
        <v>203</v>
      </c>
      <c r="QBQ16" s="314" t="s">
        <v>203</v>
      </c>
      <c r="QBR16" s="314" t="s">
        <v>203</v>
      </c>
      <c r="QBS16" s="314" t="s">
        <v>203</v>
      </c>
      <c r="QBT16" s="314" t="s">
        <v>203</v>
      </c>
      <c r="QBU16" s="314" t="s">
        <v>203</v>
      </c>
      <c r="QBV16" s="314" t="s">
        <v>203</v>
      </c>
      <c r="QBW16" s="314" t="s">
        <v>203</v>
      </c>
      <c r="QBX16" s="314" t="s">
        <v>203</v>
      </c>
      <c r="QBY16" s="314" t="s">
        <v>203</v>
      </c>
      <c r="QBZ16" s="314" t="s">
        <v>203</v>
      </c>
      <c r="QCA16" s="314" t="s">
        <v>203</v>
      </c>
      <c r="QCB16" s="314" t="s">
        <v>203</v>
      </c>
      <c r="QCC16" s="314" t="s">
        <v>203</v>
      </c>
      <c r="QCD16" s="314" t="s">
        <v>203</v>
      </c>
      <c r="QCE16" s="314" t="s">
        <v>203</v>
      </c>
      <c r="QCF16" s="314" t="s">
        <v>203</v>
      </c>
      <c r="QCG16" s="314" t="s">
        <v>203</v>
      </c>
      <c r="QCH16" s="314" t="s">
        <v>203</v>
      </c>
      <c r="QCI16" s="314" t="s">
        <v>203</v>
      </c>
      <c r="QCJ16" s="314" t="s">
        <v>203</v>
      </c>
      <c r="QCK16" s="314" t="s">
        <v>203</v>
      </c>
      <c r="QCL16" s="314" t="s">
        <v>203</v>
      </c>
      <c r="QCM16" s="314" t="s">
        <v>203</v>
      </c>
      <c r="QCN16" s="314" t="s">
        <v>203</v>
      </c>
      <c r="QCO16" s="314" t="s">
        <v>203</v>
      </c>
      <c r="QCP16" s="314" t="s">
        <v>203</v>
      </c>
      <c r="QCQ16" s="314" t="s">
        <v>203</v>
      </c>
      <c r="QCR16" s="314" t="s">
        <v>203</v>
      </c>
      <c r="QCS16" s="314" t="s">
        <v>203</v>
      </c>
      <c r="QCT16" s="314" t="s">
        <v>203</v>
      </c>
      <c r="QCU16" s="314" t="s">
        <v>203</v>
      </c>
      <c r="QCV16" s="314" t="s">
        <v>203</v>
      </c>
      <c r="QCW16" s="314" t="s">
        <v>203</v>
      </c>
      <c r="QCX16" s="314" t="s">
        <v>203</v>
      </c>
      <c r="QCY16" s="314" t="s">
        <v>203</v>
      </c>
      <c r="QCZ16" s="314" t="s">
        <v>203</v>
      </c>
      <c r="QDA16" s="314" t="s">
        <v>203</v>
      </c>
      <c r="QDB16" s="314" t="s">
        <v>203</v>
      </c>
      <c r="QDC16" s="314" t="s">
        <v>203</v>
      </c>
      <c r="QDD16" s="314" t="s">
        <v>203</v>
      </c>
      <c r="QDE16" s="314" t="s">
        <v>203</v>
      </c>
      <c r="QDF16" s="314" t="s">
        <v>203</v>
      </c>
      <c r="QDG16" s="314" t="s">
        <v>203</v>
      </c>
      <c r="QDH16" s="314" t="s">
        <v>203</v>
      </c>
      <c r="QDI16" s="314" t="s">
        <v>203</v>
      </c>
      <c r="QDJ16" s="314" t="s">
        <v>203</v>
      </c>
      <c r="QDK16" s="314" t="s">
        <v>203</v>
      </c>
      <c r="QDL16" s="314" t="s">
        <v>203</v>
      </c>
      <c r="QDM16" s="314" t="s">
        <v>203</v>
      </c>
      <c r="QDN16" s="314" t="s">
        <v>203</v>
      </c>
      <c r="QDO16" s="314" t="s">
        <v>203</v>
      </c>
      <c r="QDP16" s="314" t="s">
        <v>203</v>
      </c>
      <c r="QDQ16" s="314" t="s">
        <v>203</v>
      </c>
      <c r="QDR16" s="314" t="s">
        <v>203</v>
      </c>
      <c r="QDS16" s="314" t="s">
        <v>203</v>
      </c>
      <c r="QDT16" s="314" t="s">
        <v>203</v>
      </c>
      <c r="QDU16" s="314" t="s">
        <v>203</v>
      </c>
      <c r="QDV16" s="314" t="s">
        <v>203</v>
      </c>
      <c r="QDW16" s="314" t="s">
        <v>203</v>
      </c>
      <c r="QDX16" s="314" t="s">
        <v>203</v>
      </c>
      <c r="QDY16" s="314" t="s">
        <v>203</v>
      </c>
      <c r="QDZ16" s="314" t="s">
        <v>203</v>
      </c>
      <c r="QEA16" s="314" t="s">
        <v>203</v>
      </c>
      <c r="QEB16" s="314" t="s">
        <v>203</v>
      </c>
      <c r="QEC16" s="314" t="s">
        <v>203</v>
      </c>
      <c r="QED16" s="314" t="s">
        <v>203</v>
      </c>
      <c r="QEE16" s="314" t="s">
        <v>203</v>
      </c>
      <c r="QEF16" s="314" t="s">
        <v>203</v>
      </c>
      <c r="QEG16" s="314" t="s">
        <v>203</v>
      </c>
      <c r="QEH16" s="314" t="s">
        <v>203</v>
      </c>
      <c r="QEI16" s="314" t="s">
        <v>203</v>
      </c>
      <c r="QEJ16" s="314" t="s">
        <v>203</v>
      </c>
      <c r="QEK16" s="314" t="s">
        <v>203</v>
      </c>
      <c r="QEL16" s="314" t="s">
        <v>203</v>
      </c>
      <c r="QEM16" s="314" t="s">
        <v>203</v>
      </c>
      <c r="QEN16" s="314" t="s">
        <v>203</v>
      </c>
      <c r="QEO16" s="314" t="s">
        <v>203</v>
      </c>
      <c r="QEP16" s="314" t="s">
        <v>203</v>
      </c>
      <c r="QEQ16" s="314" t="s">
        <v>203</v>
      </c>
      <c r="QER16" s="314" t="s">
        <v>203</v>
      </c>
      <c r="QES16" s="314" t="s">
        <v>203</v>
      </c>
      <c r="QET16" s="314" t="s">
        <v>203</v>
      </c>
      <c r="QEU16" s="314" t="s">
        <v>203</v>
      </c>
      <c r="QEV16" s="314" t="s">
        <v>203</v>
      </c>
      <c r="QEW16" s="314" t="s">
        <v>203</v>
      </c>
      <c r="QEX16" s="314" t="s">
        <v>203</v>
      </c>
      <c r="QEY16" s="314" t="s">
        <v>203</v>
      </c>
      <c r="QEZ16" s="314" t="s">
        <v>203</v>
      </c>
      <c r="QFA16" s="314" t="s">
        <v>203</v>
      </c>
      <c r="QFB16" s="314" t="s">
        <v>203</v>
      </c>
      <c r="QFC16" s="314" t="s">
        <v>203</v>
      </c>
      <c r="QFD16" s="314" t="s">
        <v>203</v>
      </c>
      <c r="QFE16" s="314" t="s">
        <v>203</v>
      </c>
      <c r="QFF16" s="314" t="s">
        <v>203</v>
      </c>
      <c r="QFG16" s="314" t="s">
        <v>203</v>
      </c>
      <c r="QFH16" s="314" t="s">
        <v>203</v>
      </c>
      <c r="QFI16" s="314" t="s">
        <v>203</v>
      </c>
      <c r="QFJ16" s="314" t="s">
        <v>203</v>
      </c>
      <c r="QFK16" s="314" t="s">
        <v>203</v>
      </c>
      <c r="QFL16" s="314" t="s">
        <v>203</v>
      </c>
      <c r="QFM16" s="314" t="s">
        <v>203</v>
      </c>
      <c r="QFN16" s="314" t="s">
        <v>203</v>
      </c>
      <c r="QFO16" s="314" t="s">
        <v>203</v>
      </c>
      <c r="QFP16" s="314" t="s">
        <v>203</v>
      </c>
      <c r="QFQ16" s="314" t="s">
        <v>203</v>
      </c>
      <c r="QFR16" s="314" t="s">
        <v>203</v>
      </c>
      <c r="QFS16" s="314" t="s">
        <v>203</v>
      </c>
      <c r="QFT16" s="314" t="s">
        <v>203</v>
      </c>
      <c r="QFU16" s="314" t="s">
        <v>203</v>
      </c>
      <c r="QFV16" s="314" t="s">
        <v>203</v>
      </c>
      <c r="QFW16" s="314" t="s">
        <v>203</v>
      </c>
      <c r="QFX16" s="314" t="s">
        <v>203</v>
      </c>
      <c r="QFY16" s="314" t="s">
        <v>203</v>
      </c>
      <c r="QFZ16" s="314" t="s">
        <v>203</v>
      </c>
      <c r="QGA16" s="314" t="s">
        <v>203</v>
      </c>
      <c r="QGB16" s="314" t="s">
        <v>203</v>
      </c>
      <c r="QGC16" s="314" t="s">
        <v>203</v>
      </c>
      <c r="QGD16" s="314" t="s">
        <v>203</v>
      </c>
      <c r="QGE16" s="314" t="s">
        <v>203</v>
      </c>
      <c r="QGF16" s="314" t="s">
        <v>203</v>
      </c>
      <c r="QGG16" s="314" t="s">
        <v>203</v>
      </c>
      <c r="QGH16" s="314" t="s">
        <v>203</v>
      </c>
      <c r="QGI16" s="314" t="s">
        <v>203</v>
      </c>
      <c r="QGJ16" s="314" t="s">
        <v>203</v>
      </c>
      <c r="QGK16" s="314" t="s">
        <v>203</v>
      </c>
      <c r="QGL16" s="314" t="s">
        <v>203</v>
      </c>
      <c r="QGM16" s="314" t="s">
        <v>203</v>
      </c>
      <c r="QGN16" s="314" t="s">
        <v>203</v>
      </c>
      <c r="QGO16" s="314" t="s">
        <v>203</v>
      </c>
      <c r="QGP16" s="314" t="s">
        <v>203</v>
      </c>
      <c r="QGQ16" s="314" t="s">
        <v>203</v>
      </c>
      <c r="QGR16" s="314" t="s">
        <v>203</v>
      </c>
      <c r="QGS16" s="314" t="s">
        <v>203</v>
      </c>
      <c r="QGT16" s="314" t="s">
        <v>203</v>
      </c>
      <c r="QGU16" s="314" t="s">
        <v>203</v>
      </c>
      <c r="QGV16" s="314" t="s">
        <v>203</v>
      </c>
      <c r="QGW16" s="314" t="s">
        <v>203</v>
      </c>
      <c r="QGX16" s="314" t="s">
        <v>203</v>
      </c>
      <c r="QGY16" s="314" t="s">
        <v>203</v>
      </c>
      <c r="QGZ16" s="314" t="s">
        <v>203</v>
      </c>
      <c r="QHA16" s="314" t="s">
        <v>203</v>
      </c>
      <c r="QHB16" s="314" t="s">
        <v>203</v>
      </c>
      <c r="QHC16" s="314" t="s">
        <v>203</v>
      </c>
      <c r="QHD16" s="314" t="s">
        <v>203</v>
      </c>
      <c r="QHE16" s="314" t="s">
        <v>203</v>
      </c>
      <c r="QHF16" s="314" t="s">
        <v>203</v>
      </c>
      <c r="QHG16" s="314" t="s">
        <v>203</v>
      </c>
      <c r="QHH16" s="314" t="s">
        <v>203</v>
      </c>
      <c r="QHI16" s="314" t="s">
        <v>203</v>
      </c>
      <c r="QHJ16" s="314" t="s">
        <v>203</v>
      </c>
      <c r="QHK16" s="314" t="s">
        <v>203</v>
      </c>
      <c r="QHL16" s="314" t="s">
        <v>203</v>
      </c>
      <c r="QHM16" s="314" t="s">
        <v>203</v>
      </c>
      <c r="QHN16" s="314" t="s">
        <v>203</v>
      </c>
      <c r="QHO16" s="314" t="s">
        <v>203</v>
      </c>
      <c r="QHP16" s="314" t="s">
        <v>203</v>
      </c>
      <c r="QHQ16" s="314" t="s">
        <v>203</v>
      </c>
      <c r="QHR16" s="314" t="s">
        <v>203</v>
      </c>
      <c r="QHS16" s="314" t="s">
        <v>203</v>
      </c>
      <c r="QHT16" s="314" t="s">
        <v>203</v>
      </c>
      <c r="QHU16" s="314" t="s">
        <v>203</v>
      </c>
      <c r="QHV16" s="314" t="s">
        <v>203</v>
      </c>
      <c r="QHW16" s="314" t="s">
        <v>203</v>
      </c>
      <c r="QHX16" s="314" t="s">
        <v>203</v>
      </c>
      <c r="QHY16" s="314" t="s">
        <v>203</v>
      </c>
      <c r="QHZ16" s="314" t="s">
        <v>203</v>
      </c>
      <c r="QIA16" s="314" t="s">
        <v>203</v>
      </c>
      <c r="QIB16" s="314" t="s">
        <v>203</v>
      </c>
      <c r="QIC16" s="314" t="s">
        <v>203</v>
      </c>
      <c r="QID16" s="314" t="s">
        <v>203</v>
      </c>
      <c r="QIE16" s="314" t="s">
        <v>203</v>
      </c>
      <c r="QIF16" s="314" t="s">
        <v>203</v>
      </c>
      <c r="QIG16" s="314" t="s">
        <v>203</v>
      </c>
      <c r="QIH16" s="314" t="s">
        <v>203</v>
      </c>
      <c r="QII16" s="314" t="s">
        <v>203</v>
      </c>
      <c r="QIJ16" s="314" t="s">
        <v>203</v>
      </c>
      <c r="QIK16" s="314" t="s">
        <v>203</v>
      </c>
      <c r="QIL16" s="314" t="s">
        <v>203</v>
      </c>
      <c r="QIM16" s="314" t="s">
        <v>203</v>
      </c>
      <c r="QIN16" s="314" t="s">
        <v>203</v>
      </c>
      <c r="QIO16" s="314" t="s">
        <v>203</v>
      </c>
      <c r="QIP16" s="314" t="s">
        <v>203</v>
      </c>
      <c r="QIQ16" s="314" t="s">
        <v>203</v>
      </c>
      <c r="QIR16" s="314" t="s">
        <v>203</v>
      </c>
      <c r="QIS16" s="314" t="s">
        <v>203</v>
      </c>
      <c r="QIT16" s="314" t="s">
        <v>203</v>
      </c>
      <c r="QIU16" s="314" t="s">
        <v>203</v>
      </c>
      <c r="QIV16" s="314" t="s">
        <v>203</v>
      </c>
      <c r="QIW16" s="314" t="s">
        <v>203</v>
      </c>
      <c r="QIX16" s="314" t="s">
        <v>203</v>
      </c>
      <c r="QIY16" s="314" t="s">
        <v>203</v>
      </c>
      <c r="QIZ16" s="314" t="s">
        <v>203</v>
      </c>
      <c r="QJA16" s="314" t="s">
        <v>203</v>
      </c>
      <c r="QJB16" s="314" t="s">
        <v>203</v>
      </c>
      <c r="QJC16" s="314" t="s">
        <v>203</v>
      </c>
      <c r="QJD16" s="314" t="s">
        <v>203</v>
      </c>
      <c r="QJE16" s="314" t="s">
        <v>203</v>
      </c>
      <c r="QJF16" s="314" t="s">
        <v>203</v>
      </c>
      <c r="QJG16" s="314" t="s">
        <v>203</v>
      </c>
      <c r="QJH16" s="314" t="s">
        <v>203</v>
      </c>
      <c r="QJI16" s="314" t="s">
        <v>203</v>
      </c>
      <c r="QJJ16" s="314" t="s">
        <v>203</v>
      </c>
      <c r="QJK16" s="314" t="s">
        <v>203</v>
      </c>
      <c r="QJL16" s="314" t="s">
        <v>203</v>
      </c>
      <c r="QJM16" s="314" t="s">
        <v>203</v>
      </c>
      <c r="QJN16" s="314" t="s">
        <v>203</v>
      </c>
      <c r="QJO16" s="314" t="s">
        <v>203</v>
      </c>
      <c r="QJP16" s="314" t="s">
        <v>203</v>
      </c>
      <c r="QJQ16" s="314" t="s">
        <v>203</v>
      </c>
      <c r="QJR16" s="314" t="s">
        <v>203</v>
      </c>
      <c r="QJS16" s="314" t="s">
        <v>203</v>
      </c>
      <c r="QJT16" s="314" t="s">
        <v>203</v>
      </c>
      <c r="QJU16" s="314" t="s">
        <v>203</v>
      </c>
      <c r="QJV16" s="314" t="s">
        <v>203</v>
      </c>
      <c r="QJW16" s="314" t="s">
        <v>203</v>
      </c>
      <c r="QJX16" s="314" t="s">
        <v>203</v>
      </c>
      <c r="QJY16" s="314" t="s">
        <v>203</v>
      </c>
      <c r="QJZ16" s="314" t="s">
        <v>203</v>
      </c>
      <c r="QKA16" s="314" t="s">
        <v>203</v>
      </c>
      <c r="QKB16" s="314" t="s">
        <v>203</v>
      </c>
      <c r="QKC16" s="314" t="s">
        <v>203</v>
      </c>
      <c r="QKD16" s="314" t="s">
        <v>203</v>
      </c>
      <c r="QKE16" s="314" t="s">
        <v>203</v>
      </c>
      <c r="QKF16" s="314" t="s">
        <v>203</v>
      </c>
      <c r="QKG16" s="314" t="s">
        <v>203</v>
      </c>
      <c r="QKH16" s="314" t="s">
        <v>203</v>
      </c>
      <c r="QKI16" s="314" t="s">
        <v>203</v>
      </c>
      <c r="QKJ16" s="314" t="s">
        <v>203</v>
      </c>
      <c r="QKK16" s="314" t="s">
        <v>203</v>
      </c>
      <c r="QKL16" s="314" t="s">
        <v>203</v>
      </c>
      <c r="QKM16" s="314" t="s">
        <v>203</v>
      </c>
      <c r="QKN16" s="314" t="s">
        <v>203</v>
      </c>
      <c r="QKO16" s="314" t="s">
        <v>203</v>
      </c>
      <c r="QKP16" s="314" t="s">
        <v>203</v>
      </c>
      <c r="QKQ16" s="314" t="s">
        <v>203</v>
      </c>
      <c r="QKR16" s="314" t="s">
        <v>203</v>
      </c>
      <c r="QKS16" s="314" t="s">
        <v>203</v>
      </c>
      <c r="QKT16" s="314" t="s">
        <v>203</v>
      </c>
      <c r="QKU16" s="314" t="s">
        <v>203</v>
      </c>
      <c r="QKV16" s="314" t="s">
        <v>203</v>
      </c>
      <c r="QKW16" s="314" t="s">
        <v>203</v>
      </c>
      <c r="QKX16" s="314" t="s">
        <v>203</v>
      </c>
      <c r="QKY16" s="314" t="s">
        <v>203</v>
      </c>
      <c r="QKZ16" s="314" t="s">
        <v>203</v>
      </c>
      <c r="QLA16" s="314" t="s">
        <v>203</v>
      </c>
      <c r="QLB16" s="314" t="s">
        <v>203</v>
      </c>
      <c r="QLC16" s="314" t="s">
        <v>203</v>
      </c>
      <c r="QLD16" s="314" t="s">
        <v>203</v>
      </c>
      <c r="QLE16" s="314" t="s">
        <v>203</v>
      </c>
      <c r="QLF16" s="314" t="s">
        <v>203</v>
      </c>
      <c r="QLG16" s="314" t="s">
        <v>203</v>
      </c>
      <c r="QLH16" s="314" t="s">
        <v>203</v>
      </c>
      <c r="QLI16" s="314" t="s">
        <v>203</v>
      </c>
      <c r="QLJ16" s="314" t="s">
        <v>203</v>
      </c>
      <c r="QLK16" s="314" t="s">
        <v>203</v>
      </c>
      <c r="QLL16" s="314" t="s">
        <v>203</v>
      </c>
      <c r="QLM16" s="314" t="s">
        <v>203</v>
      </c>
      <c r="QLN16" s="314" t="s">
        <v>203</v>
      </c>
      <c r="QLO16" s="314" t="s">
        <v>203</v>
      </c>
      <c r="QLP16" s="314" t="s">
        <v>203</v>
      </c>
      <c r="QLQ16" s="314" t="s">
        <v>203</v>
      </c>
      <c r="QLR16" s="314" t="s">
        <v>203</v>
      </c>
      <c r="QLS16" s="314" t="s">
        <v>203</v>
      </c>
      <c r="QLT16" s="314" t="s">
        <v>203</v>
      </c>
      <c r="QLU16" s="314" t="s">
        <v>203</v>
      </c>
      <c r="QLV16" s="314" t="s">
        <v>203</v>
      </c>
      <c r="QLW16" s="314" t="s">
        <v>203</v>
      </c>
      <c r="QLX16" s="314" t="s">
        <v>203</v>
      </c>
      <c r="QLY16" s="314" t="s">
        <v>203</v>
      </c>
      <c r="QLZ16" s="314" t="s">
        <v>203</v>
      </c>
      <c r="QMA16" s="314" t="s">
        <v>203</v>
      </c>
      <c r="QMB16" s="314" t="s">
        <v>203</v>
      </c>
      <c r="QMC16" s="314" t="s">
        <v>203</v>
      </c>
      <c r="QMD16" s="314" t="s">
        <v>203</v>
      </c>
      <c r="QME16" s="314" t="s">
        <v>203</v>
      </c>
      <c r="QMF16" s="314" t="s">
        <v>203</v>
      </c>
      <c r="QMG16" s="314" t="s">
        <v>203</v>
      </c>
      <c r="QMH16" s="314" t="s">
        <v>203</v>
      </c>
      <c r="QMI16" s="314" t="s">
        <v>203</v>
      </c>
      <c r="QMJ16" s="314" t="s">
        <v>203</v>
      </c>
      <c r="QMK16" s="314" t="s">
        <v>203</v>
      </c>
      <c r="QML16" s="314" t="s">
        <v>203</v>
      </c>
      <c r="QMM16" s="314" t="s">
        <v>203</v>
      </c>
      <c r="QMN16" s="314" t="s">
        <v>203</v>
      </c>
      <c r="QMO16" s="314" t="s">
        <v>203</v>
      </c>
      <c r="QMP16" s="314" t="s">
        <v>203</v>
      </c>
      <c r="QMQ16" s="314" t="s">
        <v>203</v>
      </c>
      <c r="QMR16" s="314" t="s">
        <v>203</v>
      </c>
      <c r="QMS16" s="314" t="s">
        <v>203</v>
      </c>
      <c r="QMT16" s="314" t="s">
        <v>203</v>
      </c>
      <c r="QMU16" s="314" t="s">
        <v>203</v>
      </c>
      <c r="QMV16" s="314" t="s">
        <v>203</v>
      </c>
      <c r="QMW16" s="314" t="s">
        <v>203</v>
      </c>
      <c r="QMX16" s="314" t="s">
        <v>203</v>
      </c>
      <c r="QMY16" s="314" t="s">
        <v>203</v>
      </c>
      <c r="QMZ16" s="314" t="s">
        <v>203</v>
      </c>
      <c r="QNA16" s="314" t="s">
        <v>203</v>
      </c>
      <c r="QNB16" s="314" t="s">
        <v>203</v>
      </c>
      <c r="QNC16" s="314" t="s">
        <v>203</v>
      </c>
      <c r="QND16" s="314" t="s">
        <v>203</v>
      </c>
      <c r="QNE16" s="314" t="s">
        <v>203</v>
      </c>
      <c r="QNF16" s="314" t="s">
        <v>203</v>
      </c>
      <c r="QNG16" s="314" t="s">
        <v>203</v>
      </c>
      <c r="QNH16" s="314" t="s">
        <v>203</v>
      </c>
      <c r="QNI16" s="314" t="s">
        <v>203</v>
      </c>
      <c r="QNJ16" s="314" t="s">
        <v>203</v>
      </c>
      <c r="QNK16" s="314" t="s">
        <v>203</v>
      </c>
      <c r="QNL16" s="314" t="s">
        <v>203</v>
      </c>
      <c r="QNM16" s="314" t="s">
        <v>203</v>
      </c>
      <c r="QNN16" s="314" t="s">
        <v>203</v>
      </c>
      <c r="QNO16" s="314" t="s">
        <v>203</v>
      </c>
      <c r="QNP16" s="314" t="s">
        <v>203</v>
      </c>
      <c r="QNQ16" s="314" t="s">
        <v>203</v>
      </c>
      <c r="QNR16" s="314" t="s">
        <v>203</v>
      </c>
      <c r="QNS16" s="314" t="s">
        <v>203</v>
      </c>
      <c r="QNT16" s="314" t="s">
        <v>203</v>
      </c>
      <c r="QNU16" s="314" t="s">
        <v>203</v>
      </c>
      <c r="QNV16" s="314" t="s">
        <v>203</v>
      </c>
      <c r="QNW16" s="314" t="s">
        <v>203</v>
      </c>
      <c r="QNX16" s="314" t="s">
        <v>203</v>
      </c>
      <c r="QNY16" s="314" t="s">
        <v>203</v>
      </c>
      <c r="QNZ16" s="314" t="s">
        <v>203</v>
      </c>
      <c r="QOA16" s="314" t="s">
        <v>203</v>
      </c>
      <c r="QOB16" s="314" t="s">
        <v>203</v>
      </c>
      <c r="QOC16" s="314" t="s">
        <v>203</v>
      </c>
      <c r="QOD16" s="314" t="s">
        <v>203</v>
      </c>
      <c r="QOE16" s="314" t="s">
        <v>203</v>
      </c>
      <c r="QOF16" s="314" t="s">
        <v>203</v>
      </c>
      <c r="QOG16" s="314" t="s">
        <v>203</v>
      </c>
      <c r="QOH16" s="314" t="s">
        <v>203</v>
      </c>
      <c r="QOI16" s="314" t="s">
        <v>203</v>
      </c>
      <c r="QOJ16" s="314" t="s">
        <v>203</v>
      </c>
      <c r="QOK16" s="314" t="s">
        <v>203</v>
      </c>
      <c r="QOL16" s="314" t="s">
        <v>203</v>
      </c>
      <c r="QOM16" s="314" t="s">
        <v>203</v>
      </c>
      <c r="QON16" s="314" t="s">
        <v>203</v>
      </c>
      <c r="QOO16" s="314" t="s">
        <v>203</v>
      </c>
      <c r="QOP16" s="314" t="s">
        <v>203</v>
      </c>
      <c r="QOQ16" s="314" t="s">
        <v>203</v>
      </c>
      <c r="QOR16" s="314" t="s">
        <v>203</v>
      </c>
      <c r="QOS16" s="314" t="s">
        <v>203</v>
      </c>
      <c r="QOT16" s="314" t="s">
        <v>203</v>
      </c>
      <c r="QOU16" s="314" t="s">
        <v>203</v>
      </c>
      <c r="QOV16" s="314" t="s">
        <v>203</v>
      </c>
      <c r="QOW16" s="314" t="s">
        <v>203</v>
      </c>
      <c r="QOX16" s="314" t="s">
        <v>203</v>
      </c>
      <c r="QOY16" s="314" t="s">
        <v>203</v>
      </c>
      <c r="QOZ16" s="314" t="s">
        <v>203</v>
      </c>
      <c r="QPA16" s="314" t="s">
        <v>203</v>
      </c>
      <c r="QPB16" s="314" t="s">
        <v>203</v>
      </c>
      <c r="QPC16" s="314" t="s">
        <v>203</v>
      </c>
      <c r="QPD16" s="314" t="s">
        <v>203</v>
      </c>
      <c r="QPE16" s="314" t="s">
        <v>203</v>
      </c>
      <c r="QPF16" s="314" t="s">
        <v>203</v>
      </c>
      <c r="QPG16" s="314" t="s">
        <v>203</v>
      </c>
      <c r="QPH16" s="314" t="s">
        <v>203</v>
      </c>
      <c r="QPI16" s="314" t="s">
        <v>203</v>
      </c>
      <c r="QPJ16" s="314" t="s">
        <v>203</v>
      </c>
      <c r="QPK16" s="314" t="s">
        <v>203</v>
      </c>
      <c r="QPL16" s="314" t="s">
        <v>203</v>
      </c>
      <c r="QPM16" s="314" t="s">
        <v>203</v>
      </c>
      <c r="QPN16" s="314" t="s">
        <v>203</v>
      </c>
      <c r="QPO16" s="314" t="s">
        <v>203</v>
      </c>
      <c r="QPP16" s="314" t="s">
        <v>203</v>
      </c>
      <c r="QPQ16" s="314" t="s">
        <v>203</v>
      </c>
      <c r="QPR16" s="314" t="s">
        <v>203</v>
      </c>
      <c r="QPS16" s="314" t="s">
        <v>203</v>
      </c>
      <c r="QPT16" s="314" t="s">
        <v>203</v>
      </c>
      <c r="QPU16" s="314" t="s">
        <v>203</v>
      </c>
      <c r="QPV16" s="314" t="s">
        <v>203</v>
      </c>
      <c r="QPW16" s="314" t="s">
        <v>203</v>
      </c>
      <c r="QPX16" s="314" t="s">
        <v>203</v>
      </c>
      <c r="QPY16" s="314" t="s">
        <v>203</v>
      </c>
      <c r="QPZ16" s="314" t="s">
        <v>203</v>
      </c>
      <c r="QQA16" s="314" t="s">
        <v>203</v>
      </c>
      <c r="QQB16" s="314" t="s">
        <v>203</v>
      </c>
      <c r="QQC16" s="314" t="s">
        <v>203</v>
      </c>
      <c r="QQD16" s="314" t="s">
        <v>203</v>
      </c>
      <c r="QQE16" s="314" t="s">
        <v>203</v>
      </c>
      <c r="QQF16" s="314" t="s">
        <v>203</v>
      </c>
      <c r="QQG16" s="314" t="s">
        <v>203</v>
      </c>
      <c r="QQH16" s="314" t="s">
        <v>203</v>
      </c>
      <c r="QQI16" s="314" t="s">
        <v>203</v>
      </c>
      <c r="QQJ16" s="314" t="s">
        <v>203</v>
      </c>
      <c r="QQK16" s="314" t="s">
        <v>203</v>
      </c>
      <c r="QQL16" s="314" t="s">
        <v>203</v>
      </c>
      <c r="QQM16" s="314" t="s">
        <v>203</v>
      </c>
      <c r="QQN16" s="314" t="s">
        <v>203</v>
      </c>
      <c r="QQO16" s="314" t="s">
        <v>203</v>
      </c>
      <c r="QQP16" s="314" t="s">
        <v>203</v>
      </c>
      <c r="QQQ16" s="314" t="s">
        <v>203</v>
      </c>
      <c r="QQR16" s="314" t="s">
        <v>203</v>
      </c>
      <c r="QQS16" s="314" t="s">
        <v>203</v>
      </c>
      <c r="QQT16" s="314" t="s">
        <v>203</v>
      </c>
      <c r="QQU16" s="314" t="s">
        <v>203</v>
      </c>
      <c r="QQV16" s="314" t="s">
        <v>203</v>
      </c>
      <c r="QQW16" s="314" t="s">
        <v>203</v>
      </c>
      <c r="QQX16" s="314" t="s">
        <v>203</v>
      </c>
      <c r="QQY16" s="314" t="s">
        <v>203</v>
      </c>
      <c r="QQZ16" s="314" t="s">
        <v>203</v>
      </c>
      <c r="QRA16" s="314" t="s">
        <v>203</v>
      </c>
      <c r="QRB16" s="314" t="s">
        <v>203</v>
      </c>
      <c r="QRC16" s="314" t="s">
        <v>203</v>
      </c>
      <c r="QRD16" s="314" t="s">
        <v>203</v>
      </c>
      <c r="QRE16" s="314" t="s">
        <v>203</v>
      </c>
      <c r="QRF16" s="314" t="s">
        <v>203</v>
      </c>
      <c r="QRG16" s="314" t="s">
        <v>203</v>
      </c>
      <c r="QRH16" s="314" t="s">
        <v>203</v>
      </c>
      <c r="QRI16" s="314" t="s">
        <v>203</v>
      </c>
      <c r="QRJ16" s="314" t="s">
        <v>203</v>
      </c>
      <c r="QRK16" s="314" t="s">
        <v>203</v>
      </c>
      <c r="QRL16" s="314" t="s">
        <v>203</v>
      </c>
      <c r="QRM16" s="314" t="s">
        <v>203</v>
      </c>
      <c r="QRN16" s="314" t="s">
        <v>203</v>
      </c>
      <c r="QRO16" s="314" t="s">
        <v>203</v>
      </c>
      <c r="QRP16" s="314" t="s">
        <v>203</v>
      </c>
      <c r="QRQ16" s="314" t="s">
        <v>203</v>
      </c>
      <c r="QRR16" s="314" t="s">
        <v>203</v>
      </c>
      <c r="QRS16" s="314" t="s">
        <v>203</v>
      </c>
      <c r="QRT16" s="314" t="s">
        <v>203</v>
      </c>
      <c r="QRU16" s="314" t="s">
        <v>203</v>
      </c>
      <c r="QRV16" s="314" t="s">
        <v>203</v>
      </c>
      <c r="QRW16" s="314" t="s">
        <v>203</v>
      </c>
      <c r="QRX16" s="314" t="s">
        <v>203</v>
      </c>
      <c r="QRY16" s="314" t="s">
        <v>203</v>
      </c>
      <c r="QRZ16" s="314" t="s">
        <v>203</v>
      </c>
      <c r="QSA16" s="314" t="s">
        <v>203</v>
      </c>
      <c r="QSB16" s="314" t="s">
        <v>203</v>
      </c>
      <c r="QSC16" s="314" t="s">
        <v>203</v>
      </c>
      <c r="QSD16" s="314" t="s">
        <v>203</v>
      </c>
      <c r="QSE16" s="314" t="s">
        <v>203</v>
      </c>
      <c r="QSF16" s="314" t="s">
        <v>203</v>
      </c>
      <c r="QSG16" s="314" t="s">
        <v>203</v>
      </c>
      <c r="QSH16" s="314" t="s">
        <v>203</v>
      </c>
      <c r="QSI16" s="314" t="s">
        <v>203</v>
      </c>
      <c r="QSJ16" s="314" t="s">
        <v>203</v>
      </c>
      <c r="QSK16" s="314" t="s">
        <v>203</v>
      </c>
      <c r="QSL16" s="314" t="s">
        <v>203</v>
      </c>
      <c r="QSM16" s="314" t="s">
        <v>203</v>
      </c>
      <c r="QSN16" s="314" t="s">
        <v>203</v>
      </c>
      <c r="QSO16" s="314" t="s">
        <v>203</v>
      </c>
      <c r="QSP16" s="314" t="s">
        <v>203</v>
      </c>
      <c r="QSQ16" s="314" t="s">
        <v>203</v>
      </c>
      <c r="QSR16" s="314" t="s">
        <v>203</v>
      </c>
      <c r="QSS16" s="314" t="s">
        <v>203</v>
      </c>
      <c r="QST16" s="314" t="s">
        <v>203</v>
      </c>
      <c r="QSU16" s="314" t="s">
        <v>203</v>
      </c>
      <c r="QSV16" s="314" t="s">
        <v>203</v>
      </c>
      <c r="QSW16" s="314" t="s">
        <v>203</v>
      </c>
      <c r="QSX16" s="314" t="s">
        <v>203</v>
      </c>
      <c r="QSY16" s="314" t="s">
        <v>203</v>
      </c>
      <c r="QSZ16" s="314" t="s">
        <v>203</v>
      </c>
      <c r="QTA16" s="314" t="s">
        <v>203</v>
      </c>
      <c r="QTB16" s="314" t="s">
        <v>203</v>
      </c>
      <c r="QTC16" s="314" t="s">
        <v>203</v>
      </c>
      <c r="QTD16" s="314" t="s">
        <v>203</v>
      </c>
      <c r="QTE16" s="314" t="s">
        <v>203</v>
      </c>
      <c r="QTF16" s="314" t="s">
        <v>203</v>
      </c>
      <c r="QTG16" s="314" t="s">
        <v>203</v>
      </c>
      <c r="QTH16" s="314" t="s">
        <v>203</v>
      </c>
      <c r="QTI16" s="314" t="s">
        <v>203</v>
      </c>
      <c r="QTJ16" s="314" t="s">
        <v>203</v>
      </c>
      <c r="QTK16" s="314" t="s">
        <v>203</v>
      </c>
      <c r="QTL16" s="314" t="s">
        <v>203</v>
      </c>
      <c r="QTM16" s="314" t="s">
        <v>203</v>
      </c>
      <c r="QTN16" s="314" t="s">
        <v>203</v>
      </c>
      <c r="QTO16" s="314" t="s">
        <v>203</v>
      </c>
      <c r="QTP16" s="314" t="s">
        <v>203</v>
      </c>
      <c r="QTQ16" s="314" t="s">
        <v>203</v>
      </c>
      <c r="QTR16" s="314" t="s">
        <v>203</v>
      </c>
      <c r="QTS16" s="314" t="s">
        <v>203</v>
      </c>
      <c r="QTT16" s="314" t="s">
        <v>203</v>
      </c>
      <c r="QTU16" s="314" t="s">
        <v>203</v>
      </c>
      <c r="QTV16" s="314" t="s">
        <v>203</v>
      </c>
      <c r="QTW16" s="314" t="s">
        <v>203</v>
      </c>
      <c r="QTX16" s="314" t="s">
        <v>203</v>
      </c>
      <c r="QTY16" s="314" t="s">
        <v>203</v>
      </c>
      <c r="QTZ16" s="314" t="s">
        <v>203</v>
      </c>
      <c r="QUA16" s="314" t="s">
        <v>203</v>
      </c>
      <c r="QUB16" s="314" t="s">
        <v>203</v>
      </c>
      <c r="QUC16" s="314" t="s">
        <v>203</v>
      </c>
      <c r="QUD16" s="314" t="s">
        <v>203</v>
      </c>
      <c r="QUE16" s="314" t="s">
        <v>203</v>
      </c>
      <c r="QUF16" s="314" t="s">
        <v>203</v>
      </c>
      <c r="QUG16" s="314" t="s">
        <v>203</v>
      </c>
      <c r="QUH16" s="314" t="s">
        <v>203</v>
      </c>
      <c r="QUI16" s="314" t="s">
        <v>203</v>
      </c>
      <c r="QUJ16" s="314" t="s">
        <v>203</v>
      </c>
      <c r="QUK16" s="314" t="s">
        <v>203</v>
      </c>
      <c r="QUL16" s="314" t="s">
        <v>203</v>
      </c>
      <c r="QUM16" s="314" t="s">
        <v>203</v>
      </c>
      <c r="QUN16" s="314" t="s">
        <v>203</v>
      </c>
      <c r="QUO16" s="314" t="s">
        <v>203</v>
      </c>
      <c r="QUP16" s="314" t="s">
        <v>203</v>
      </c>
      <c r="QUQ16" s="314" t="s">
        <v>203</v>
      </c>
      <c r="QUR16" s="314" t="s">
        <v>203</v>
      </c>
      <c r="QUS16" s="314" t="s">
        <v>203</v>
      </c>
      <c r="QUT16" s="314" t="s">
        <v>203</v>
      </c>
      <c r="QUU16" s="314" t="s">
        <v>203</v>
      </c>
      <c r="QUV16" s="314" t="s">
        <v>203</v>
      </c>
      <c r="QUW16" s="314" t="s">
        <v>203</v>
      </c>
      <c r="QUX16" s="314" t="s">
        <v>203</v>
      </c>
      <c r="QUY16" s="314" t="s">
        <v>203</v>
      </c>
      <c r="QUZ16" s="314" t="s">
        <v>203</v>
      </c>
      <c r="QVA16" s="314" t="s">
        <v>203</v>
      </c>
      <c r="QVB16" s="314" t="s">
        <v>203</v>
      </c>
      <c r="QVC16" s="314" t="s">
        <v>203</v>
      </c>
      <c r="QVD16" s="314" t="s">
        <v>203</v>
      </c>
      <c r="QVE16" s="314" t="s">
        <v>203</v>
      </c>
      <c r="QVF16" s="314" t="s">
        <v>203</v>
      </c>
      <c r="QVG16" s="314" t="s">
        <v>203</v>
      </c>
      <c r="QVH16" s="314" t="s">
        <v>203</v>
      </c>
      <c r="QVI16" s="314" t="s">
        <v>203</v>
      </c>
      <c r="QVJ16" s="314" t="s">
        <v>203</v>
      </c>
      <c r="QVK16" s="314" t="s">
        <v>203</v>
      </c>
      <c r="QVL16" s="314" t="s">
        <v>203</v>
      </c>
      <c r="QVM16" s="314" t="s">
        <v>203</v>
      </c>
      <c r="QVN16" s="314" t="s">
        <v>203</v>
      </c>
      <c r="QVO16" s="314" t="s">
        <v>203</v>
      </c>
      <c r="QVP16" s="314" t="s">
        <v>203</v>
      </c>
      <c r="QVQ16" s="314" t="s">
        <v>203</v>
      </c>
      <c r="QVR16" s="314" t="s">
        <v>203</v>
      </c>
      <c r="QVS16" s="314" t="s">
        <v>203</v>
      </c>
      <c r="QVT16" s="314" t="s">
        <v>203</v>
      </c>
      <c r="QVU16" s="314" t="s">
        <v>203</v>
      </c>
      <c r="QVV16" s="314" t="s">
        <v>203</v>
      </c>
      <c r="QVW16" s="314" t="s">
        <v>203</v>
      </c>
      <c r="QVX16" s="314" t="s">
        <v>203</v>
      </c>
      <c r="QVY16" s="314" t="s">
        <v>203</v>
      </c>
      <c r="QVZ16" s="314" t="s">
        <v>203</v>
      </c>
      <c r="QWA16" s="314" t="s">
        <v>203</v>
      </c>
      <c r="QWB16" s="314" t="s">
        <v>203</v>
      </c>
      <c r="QWC16" s="314" t="s">
        <v>203</v>
      </c>
      <c r="QWD16" s="314" t="s">
        <v>203</v>
      </c>
      <c r="QWE16" s="314" t="s">
        <v>203</v>
      </c>
      <c r="QWF16" s="314" t="s">
        <v>203</v>
      </c>
      <c r="QWG16" s="314" t="s">
        <v>203</v>
      </c>
      <c r="QWH16" s="314" t="s">
        <v>203</v>
      </c>
      <c r="QWI16" s="314" t="s">
        <v>203</v>
      </c>
      <c r="QWJ16" s="314" t="s">
        <v>203</v>
      </c>
      <c r="QWK16" s="314" t="s">
        <v>203</v>
      </c>
      <c r="QWL16" s="314" t="s">
        <v>203</v>
      </c>
      <c r="QWM16" s="314" t="s">
        <v>203</v>
      </c>
      <c r="QWN16" s="314" t="s">
        <v>203</v>
      </c>
      <c r="QWO16" s="314" t="s">
        <v>203</v>
      </c>
      <c r="QWP16" s="314" t="s">
        <v>203</v>
      </c>
      <c r="QWQ16" s="314" t="s">
        <v>203</v>
      </c>
      <c r="QWR16" s="314" t="s">
        <v>203</v>
      </c>
      <c r="QWS16" s="314" t="s">
        <v>203</v>
      </c>
      <c r="QWT16" s="314" t="s">
        <v>203</v>
      </c>
      <c r="QWU16" s="314" t="s">
        <v>203</v>
      </c>
      <c r="QWV16" s="314" t="s">
        <v>203</v>
      </c>
      <c r="QWW16" s="314" t="s">
        <v>203</v>
      </c>
      <c r="QWX16" s="314" t="s">
        <v>203</v>
      </c>
      <c r="QWY16" s="314" t="s">
        <v>203</v>
      </c>
      <c r="QWZ16" s="314" t="s">
        <v>203</v>
      </c>
      <c r="QXA16" s="314" t="s">
        <v>203</v>
      </c>
      <c r="QXB16" s="314" t="s">
        <v>203</v>
      </c>
      <c r="QXC16" s="314" t="s">
        <v>203</v>
      </c>
      <c r="QXD16" s="314" t="s">
        <v>203</v>
      </c>
      <c r="QXE16" s="314" t="s">
        <v>203</v>
      </c>
      <c r="QXF16" s="314" t="s">
        <v>203</v>
      </c>
      <c r="QXG16" s="314" t="s">
        <v>203</v>
      </c>
      <c r="QXH16" s="314" t="s">
        <v>203</v>
      </c>
      <c r="QXI16" s="314" t="s">
        <v>203</v>
      </c>
      <c r="QXJ16" s="314" t="s">
        <v>203</v>
      </c>
      <c r="QXK16" s="314" t="s">
        <v>203</v>
      </c>
      <c r="QXL16" s="314" t="s">
        <v>203</v>
      </c>
      <c r="QXM16" s="314" t="s">
        <v>203</v>
      </c>
      <c r="QXN16" s="314" t="s">
        <v>203</v>
      </c>
      <c r="QXO16" s="314" t="s">
        <v>203</v>
      </c>
      <c r="QXP16" s="314" t="s">
        <v>203</v>
      </c>
      <c r="QXQ16" s="314" t="s">
        <v>203</v>
      </c>
      <c r="QXR16" s="314" t="s">
        <v>203</v>
      </c>
      <c r="QXS16" s="314" t="s">
        <v>203</v>
      </c>
      <c r="QXT16" s="314" t="s">
        <v>203</v>
      </c>
      <c r="QXU16" s="314" t="s">
        <v>203</v>
      </c>
      <c r="QXV16" s="314" t="s">
        <v>203</v>
      </c>
      <c r="QXW16" s="314" t="s">
        <v>203</v>
      </c>
      <c r="QXX16" s="314" t="s">
        <v>203</v>
      </c>
      <c r="QXY16" s="314" t="s">
        <v>203</v>
      </c>
      <c r="QXZ16" s="314" t="s">
        <v>203</v>
      </c>
      <c r="QYA16" s="314" t="s">
        <v>203</v>
      </c>
      <c r="QYB16" s="314" t="s">
        <v>203</v>
      </c>
      <c r="QYC16" s="314" t="s">
        <v>203</v>
      </c>
      <c r="QYD16" s="314" t="s">
        <v>203</v>
      </c>
      <c r="QYE16" s="314" t="s">
        <v>203</v>
      </c>
      <c r="QYF16" s="314" t="s">
        <v>203</v>
      </c>
      <c r="QYG16" s="314" t="s">
        <v>203</v>
      </c>
      <c r="QYH16" s="314" t="s">
        <v>203</v>
      </c>
      <c r="QYI16" s="314" t="s">
        <v>203</v>
      </c>
      <c r="QYJ16" s="314" t="s">
        <v>203</v>
      </c>
      <c r="QYK16" s="314" t="s">
        <v>203</v>
      </c>
      <c r="QYL16" s="314" t="s">
        <v>203</v>
      </c>
      <c r="QYM16" s="314" t="s">
        <v>203</v>
      </c>
      <c r="QYN16" s="314" t="s">
        <v>203</v>
      </c>
      <c r="QYO16" s="314" t="s">
        <v>203</v>
      </c>
      <c r="QYP16" s="314" t="s">
        <v>203</v>
      </c>
      <c r="QYQ16" s="314" t="s">
        <v>203</v>
      </c>
      <c r="QYR16" s="314" t="s">
        <v>203</v>
      </c>
      <c r="QYS16" s="314" t="s">
        <v>203</v>
      </c>
      <c r="QYT16" s="314" t="s">
        <v>203</v>
      </c>
      <c r="QYU16" s="314" t="s">
        <v>203</v>
      </c>
      <c r="QYV16" s="314" t="s">
        <v>203</v>
      </c>
      <c r="QYW16" s="314" t="s">
        <v>203</v>
      </c>
      <c r="QYX16" s="314" t="s">
        <v>203</v>
      </c>
      <c r="QYY16" s="314" t="s">
        <v>203</v>
      </c>
      <c r="QYZ16" s="314" t="s">
        <v>203</v>
      </c>
      <c r="QZA16" s="314" t="s">
        <v>203</v>
      </c>
      <c r="QZB16" s="314" t="s">
        <v>203</v>
      </c>
      <c r="QZC16" s="314" t="s">
        <v>203</v>
      </c>
      <c r="QZD16" s="314" t="s">
        <v>203</v>
      </c>
      <c r="QZE16" s="314" t="s">
        <v>203</v>
      </c>
      <c r="QZF16" s="314" t="s">
        <v>203</v>
      </c>
      <c r="QZG16" s="314" t="s">
        <v>203</v>
      </c>
      <c r="QZH16" s="314" t="s">
        <v>203</v>
      </c>
      <c r="QZI16" s="314" t="s">
        <v>203</v>
      </c>
      <c r="QZJ16" s="314" t="s">
        <v>203</v>
      </c>
      <c r="QZK16" s="314" t="s">
        <v>203</v>
      </c>
      <c r="QZL16" s="314" t="s">
        <v>203</v>
      </c>
      <c r="QZM16" s="314" t="s">
        <v>203</v>
      </c>
      <c r="QZN16" s="314" t="s">
        <v>203</v>
      </c>
      <c r="QZO16" s="314" t="s">
        <v>203</v>
      </c>
      <c r="QZP16" s="314" t="s">
        <v>203</v>
      </c>
      <c r="QZQ16" s="314" t="s">
        <v>203</v>
      </c>
      <c r="QZR16" s="314" t="s">
        <v>203</v>
      </c>
      <c r="QZS16" s="314" t="s">
        <v>203</v>
      </c>
      <c r="QZT16" s="314" t="s">
        <v>203</v>
      </c>
      <c r="QZU16" s="314" t="s">
        <v>203</v>
      </c>
      <c r="QZV16" s="314" t="s">
        <v>203</v>
      </c>
      <c r="QZW16" s="314" t="s">
        <v>203</v>
      </c>
      <c r="QZX16" s="314" t="s">
        <v>203</v>
      </c>
      <c r="QZY16" s="314" t="s">
        <v>203</v>
      </c>
      <c r="QZZ16" s="314" t="s">
        <v>203</v>
      </c>
      <c r="RAA16" s="314" t="s">
        <v>203</v>
      </c>
      <c r="RAB16" s="314" t="s">
        <v>203</v>
      </c>
      <c r="RAC16" s="314" t="s">
        <v>203</v>
      </c>
      <c r="RAD16" s="314" t="s">
        <v>203</v>
      </c>
      <c r="RAE16" s="314" t="s">
        <v>203</v>
      </c>
      <c r="RAF16" s="314" t="s">
        <v>203</v>
      </c>
      <c r="RAG16" s="314" t="s">
        <v>203</v>
      </c>
      <c r="RAH16" s="314" t="s">
        <v>203</v>
      </c>
      <c r="RAI16" s="314" t="s">
        <v>203</v>
      </c>
      <c r="RAJ16" s="314" t="s">
        <v>203</v>
      </c>
      <c r="RAK16" s="314" t="s">
        <v>203</v>
      </c>
      <c r="RAL16" s="314" t="s">
        <v>203</v>
      </c>
      <c r="RAM16" s="314" t="s">
        <v>203</v>
      </c>
      <c r="RAN16" s="314" t="s">
        <v>203</v>
      </c>
      <c r="RAO16" s="314" t="s">
        <v>203</v>
      </c>
      <c r="RAP16" s="314" t="s">
        <v>203</v>
      </c>
      <c r="RAQ16" s="314" t="s">
        <v>203</v>
      </c>
      <c r="RAR16" s="314" t="s">
        <v>203</v>
      </c>
      <c r="RAS16" s="314" t="s">
        <v>203</v>
      </c>
      <c r="RAT16" s="314" t="s">
        <v>203</v>
      </c>
      <c r="RAU16" s="314" t="s">
        <v>203</v>
      </c>
      <c r="RAV16" s="314" t="s">
        <v>203</v>
      </c>
      <c r="RAW16" s="314" t="s">
        <v>203</v>
      </c>
      <c r="RAX16" s="314" t="s">
        <v>203</v>
      </c>
      <c r="RAY16" s="314" t="s">
        <v>203</v>
      </c>
      <c r="RAZ16" s="314" t="s">
        <v>203</v>
      </c>
      <c r="RBA16" s="314" t="s">
        <v>203</v>
      </c>
      <c r="RBB16" s="314" t="s">
        <v>203</v>
      </c>
      <c r="RBC16" s="314" t="s">
        <v>203</v>
      </c>
      <c r="RBD16" s="314" t="s">
        <v>203</v>
      </c>
      <c r="RBE16" s="314" t="s">
        <v>203</v>
      </c>
      <c r="RBF16" s="314" t="s">
        <v>203</v>
      </c>
      <c r="RBG16" s="314" t="s">
        <v>203</v>
      </c>
      <c r="RBH16" s="314" t="s">
        <v>203</v>
      </c>
      <c r="RBI16" s="314" t="s">
        <v>203</v>
      </c>
      <c r="RBJ16" s="314" t="s">
        <v>203</v>
      </c>
      <c r="RBK16" s="314" t="s">
        <v>203</v>
      </c>
      <c r="RBL16" s="314" t="s">
        <v>203</v>
      </c>
      <c r="RBM16" s="314" t="s">
        <v>203</v>
      </c>
      <c r="RBN16" s="314" t="s">
        <v>203</v>
      </c>
      <c r="RBO16" s="314" t="s">
        <v>203</v>
      </c>
      <c r="RBP16" s="314" t="s">
        <v>203</v>
      </c>
      <c r="RBQ16" s="314" t="s">
        <v>203</v>
      </c>
      <c r="RBR16" s="314" t="s">
        <v>203</v>
      </c>
      <c r="RBS16" s="314" t="s">
        <v>203</v>
      </c>
      <c r="RBT16" s="314" t="s">
        <v>203</v>
      </c>
      <c r="RBU16" s="314" t="s">
        <v>203</v>
      </c>
      <c r="RBV16" s="314" t="s">
        <v>203</v>
      </c>
      <c r="RBW16" s="314" t="s">
        <v>203</v>
      </c>
      <c r="RBX16" s="314" t="s">
        <v>203</v>
      </c>
      <c r="RBY16" s="314" t="s">
        <v>203</v>
      </c>
      <c r="RBZ16" s="314" t="s">
        <v>203</v>
      </c>
      <c r="RCA16" s="314" t="s">
        <v>203</v>
      </c>
      <c r="RCB16" s="314" t="s">
        <v>203</v>
      </c>
      <c r="RCC16" s="314" t="s">
        <v>203</v>
      </c>
      <c r="RCD16" s="314" t="s">
        <v>203</v>
      </c>
      <c r="RCE16" s="314" t="s">
        <v>203</v>
      </c>
      <c r="RCF16" s="314" t="s">
        <v>203</v>
      </c>
      <c r="RCG16" s="314" t="s">
        <v>203</v>
      </c>
      <c r="RCH16" s="314" t="s">
        <v>203</v>
      </c>
      <c r="RCI16" s="314" t="s">
        <v>203</v>
      </c>
      <c r="RCJ16" s="314" t="s">
        <v>203</v>
      </c>
      <c r="RCK16" s="314" t="s">
        <v>203</v>
      </c>
      <c r="RCL16" s="314" t="s">
        <v>203</v>
      </c>
      <c r="RCM16" s="314" t="s">
        <v>203</v>
      </c>
      <c r="RCN16" s="314" t="s">
        <v>203</v>
      </c>
      <c r="RCO16" s="314" t="s">
        <v>203</v>
      </c>
      <c r="RCP16" s="314" t="s">
        <v>203</v>
      </c>
      <c r="RCQ16" s="314" t="s">
        <v>203</v>
      </c>
      <c r="RCR16" s="314" t="s">
        <v>203</v>
      </c>
      <c r="RCS16" s="314" t="s">
        <v>203</v>
      </c>
      <c r="RCT16" s="314" t="s">
        <v>203</v>
      </c>
      <c r="RCU16" s="314" t="s">
        <v>203</v>
      </c>
      <c r="RCV16" s="314" t="s">
        <v>203</v>
      </c>
      <c r="RCW16" s="314" t="s">
        <v>203</v>
      </c>
      <c r="RCX16" s="314" t="s">
        <v>203</v>
      </c>
      <c r="RCY16" s="314" t="s">
        <v>203</v>
      </c>
      <c r="RCZ16" s="314" t="s">
        <v>203</v>
      </c>
      <c r="RDA16" s="314" t="s">
        <v>203</v>
      </c>
      <c r="RDB16" s="314" t="s">
        <v>203</v>
      </c>
      <c r="RDC16" s="314" t="s">
        <v>203</v>
      </c>
      <c r="RDD16" s="314" t="s">
        <v>203</v>
      </c>
      <c r="RDE16" s="314" t="s">
        <v>203</v>
      </c>
      <c r="RDF16" s="314" t="s">
        <v>203</v>
      </c>
      <c r="RDG16" s="314" t="s">
        <v>203</v>
      </c>
      <c r="RDH16" s="314" t="s">
        <v>203</v>
      </c>
      <c r="RDI16" s="314" t="s">
        <v>203</v>
      </c>
      <c r="RDJ16" s="314" t="s">
        <v>203</v>
      </c>
      <c r="RDK16" s="314" t="s">
        <v>203</v>
      </c>
      <c r="RDL16" s="314" t="s">
        <v>203</v>
      </c>
      <c r="RDM16" s="314" t="s">
        <v>203</v>
      </c>
      <c r="RDN16" s="314" t="s">
        <v>203</v>
      </c>
      <c r="RDO16" s="314" t="s">
        <v>203</v>
      </c>
      <c r="RDP16" s="314" t="s">
        <v>203</v>
      </c>
      <c r="RDQ16" s="314" t="s">
        <v>203</v>
      </c>
      <c r="RDR16" s="314" t="s">
        <v>203</v>
      </c>
      <c r="RDS16" s="314" t="s">
        <v>203</v>
      </c>
      <c r="RDT16" s="314" t="s">
        <v>203</v>
      </c>
      <c r="RDU16" s="314" t="s">
        <v>203</v>
      </c>
      <c r="RDV16" s="314" t="s">
        <v>203</v>
      </c>
      <c r="RDW16" s="314" t="s">
        <v>203</v>
      </c>
      <c r="RDX16" s="314" t="s">
        <v>203</v>
      </c>
      <c r="RDY16" s="314" t="s">
        <v>203</v>
      </c>
      <c r="RDZ16" s="314" t="s">
        <v>203</v>
      </c>
      <c r="REA16" s="314" t="s">
        <v>203</v>
      </c>
      <c r="REB16" s="314" t="s">
        <v>203</v>
      </c>
      <c r="REC16" s="314" t="s">
        <v>203</v>
      </c>
      <c r="RED16" s="314" t="s">
        <v>203</v>
      </c>
      <c r="REE16" s="314" t="s">
        <v>203</v>
      </c>
      <c r="REF16" s="314" t="s">
        <v>203</v>
      </c>
      <c r="REG16" s="314" t="s">
        <v>203</v>
      </c>
      <c r="REH16" s="314" t="s">
        <v>203</v>
      </c>
      <c r="REI16" s="314" t="s">
        <v>203</v>
      </c>
      <c r="REJ16" s="314" t="s">
        <v>203</v>
      </c>
      <c r="REK16" s="314" t="s">
        <v>203</v>
      </c>
      <c r="REL16" s="314" t="s">
        <v>203</v>
      </c>
      <c r="REM16" s="314" t="s">
        <v>203</v>
      </c>
      <c r="REN16" s="314" t="s">
        <v>203</v>
      </c>
      <c r="REO16" s="314" t="s">
        <v>203</v>
      </c>
      <c r="REP16" s="314" t="s">
        <v>203</v>
      </c>
      <c r="REQ16" s="314" t="s">
        <v>203</v>
      </c>
      <c r="RER16" s="314" t="s">
        <v>203</v>
      </c>
      <c r="RES16" s="314" t="s">
        <v>203</v>
      </c>
      <c r="RET16" s="314" t="s">
        <v>203</v>
      </c>
      <c r="REU16" s="314" t="s">
        <v>203</v>
      </c>
      <c r="REV16" s="314" t="s">
        <v>203</v>
      </c>
      <c r="REW16" s="314" t="s">
        <v>203</v>
      </c>
      <c r="REX16" s="314" t="s">
        <v>203</v>
      </c>
      <c r="REY16" s="314" t="s">
        <v>203</v>
      </c>
      <c r="REZ16" s="314" t="s">
        <v>203</v>
      </c>
      <c r="RFA16" s="314" t="s">
        <v>203</v>
      </c>
      <c r="RFB16" s="314" t="s">
        <v>203</v>
      </c>
      <c r="RFC16" s="314" t="s">
        <v>203</v>
      </c>
      <c r="RFD16" s="314" t="s">
        <v>203</v>
      </c>
      <c r="RFE16" s="314" t="s">
        <v>203</v>
      </c>
      <c r="RFF16" s="314" t="s">
        <v>203</v>
      </c>
      <c r="RFG16" s="314" t="s">
        <v>203</v>
      </c>
      <c r="RFH16" s="314" t="s">
        <v>203</v>
      </c>
      <c r="RFI16" s="314" t="s">
        <v>203</v>
      </c>
      <c r="RFJ16" s="314" t="s">
        <v>203</v>
      </c>
      <c r="RFK16" s="314" t="s">
        <v>203</v>
      </c>
      <c r="RFL16" s="314" t="s">
        <v>203</v>
      </c>
      <c r="RFM16" s="314" t="s">
        <v>203</v>
      </c>
      <c r="RFN16" s="314" t="s">
        <v>203</v>
      </c>
      <c r="RFO16" s="314" t="s">
        <v>203</v>
      </c>
      <c r="RFP16" s="314" t="s">
        <v>203</v>
      </c>
      <c r="RFQ16" s="314" t="s">
        <v>203</v>
      </c>
      <c r="RFR16" s="314" t="s">
        <v>203</v>
      </c>
      <c r="RFS16" s="314" t="s">
        <v>203</v>
      </c>
      <c r="RFT16" s="314" t="s">
        <v>203</v>
      </c>
      <c r="RFU16" s="314" t="s">
        <v>203</v>
      </c>
      <c r="RFV16" s="314" t="s">
        <v>203</v>
      </c>
      <c r="RFW16" s="314" t="s">
        <v>203</v>
      </c>
      <c r="RFX16" s="314" t="s">
        <v>203</v>
      </c>
      <c r="RFY16" s="314" t="s">
        <v>203</v>
      </c>
      <c r="RFZ16" s="314" t="s">
        <v>203</v>
      </c>
      <c r="RGA16" s="314" t="s">
        <v>203</v>
      </c>
      <c r="RGB16" s="314" t="s">
        <v>203</v>
      </c>
      <c r="RGC16" s="314" t="s">
        <v>203</v>
      </c>
      <c r="RGD16" s="314" t="s">
        <v>203</v>
      </c>
      <c r="RGE16" s="314" t="s">
        <v>203</v>
      </c>
      <c r="RGF16" s="314" t="s">
        <v>203</v>
      </c>
      <c r="RGG16" s="314" t="s">
        <v>203</v>
      </c>
      <c r="RGH16" s="314" t="s">
        <v>203</v>
      </c>
      <c r="RGI16" s="314" t="s">
        <v>203</v>
      </c>
      <c r="RGJ16" s="314" t="s">
        <v>203</v>
      </c>
      <c r="RGK16" s="314" t="s">
        <v>203</v>
      </c>
      <c r="RGL16" s="314" t="s">
        <v>203</v>
      </c>
      <c r="RGM16" s="314" t="s">
        <v>203</v>
      </c>
      <c r="RGN16" s="314" t="s">
        <v>203</v>
      </c>
      <c r="RGO16" s="314" t="s">
        <v>203</v>
      </c>
      <c r="RGP16" s="314" t="s">
        <v>203</v>
      </c>
      <c r="RGQ16" s="314" t="s">
        <v>203</v>
      </c>
      <c r="RGR16" s="314" t="s">
        <v>203</v>
      </c>
      <c r="RGS16" s="314" t="s">
        <v>203</v>
      </c>
      <c r="RGT16" s="314" t="s">
        <v>203</v>
      </c>
      <c r="RGU16" s="314" t="s">
        <v>203</v>
      </c>
      <c r="RGV16" s="314" t="s">
        <v>203</v>
      </c>
      <c r="RGW16" s="314" t="s">
        <v>203</v>
      </c>
      <c r="RGX16" s="314" t="s">
        <v>203</v>
      </c>
      <c r="RGY16" s="314" t="s">
        <v>203</v>
      </c>
      <c r="RGZ16" s="314" t="s">
        <v>203</v>
      </c>
      <c r="RHA16" s="314" t="s">
        <v>203</v>
      </c>
      <c r="RHB16" s="314" t="s">
        <v>203</v>
      </c>
      <c r="RHC16" s="314" t="s">
        <v>203</v>
      </c>
      <c r="RHD16" s="314" t="s">
        <v>203</v>
      </c>
      <c r="RHE16" s="314" t="s">
        <v>203</v>
      </c>
      <c r="RHF16" s="314" t="s">
        <v>203</v>
      </c>
      <c r="RHG16" s="314" t="s">
        <v>203</v>
      </c>
      <c r="RHH16" s="314" t="s">
        <v>203</v>
      </c>
      <c r="RHI16" s="314" t="s">
        <v>203</v>
      </c>
      <c r="RHJ16" s="314" t="s">
        <v>203</v>
      </c>
      <c r="RHK16" s="314" t="s">
        <v>203</v>
      </c>
      <c r="RHL16" s="314" t="s">
        <v>203</v>
      </c>
      <c r="RHM16" s="314" t="s">
        <v>203</v>
      </c>
      <c r="RHN16" s="314" t="s">
        <v>203</v>
      </c>
      <c r="RHO16" s="314" t="s">
        <v>203</v>
      </c>
      <c r="RHP16" s="314" t="s">
        <v>203</v>
      </c>
      <c r="RHQ16" s="314" t="s">
        <v>203</v>
      </c>
      <c r="RHR16" s="314" t="s">
        <v>203</v>
      </c>
      <c r="RHS16" s="314" t="s">
        <v>203</v>
      </c>
      <c r="RHT16" s="314" t="s">
        <v>203</v>
      </c>
      <c r="RHU16" s="314" t="s">
        <v>203</v>
      </c>
      <c r="RHV16" s="314" t="s">
        <v>203</v>
      </c>
      <c r="RHW16" s="314" t="s">
        <v>203</v>
      </c>
      <c r="RHX16" s="314" t="s">
        <v>203</v>
      </c>
      <c r="RHY16" s="314" t="s">
        <v>203</v>
      </c>
      <c r="RHZ16" s="314" t="s">
        <v>203</v>
      </c>
      <c r="RIA16" s="314" t="s">
        <v>203</v>
      </c>
      <c r="RIB16" s="314" t="s">
        <v>203</v>
      </c>
      <c r="RIC16" s="314" t="s">
        <v>203</v>
      </c>
      <c r="RID16" s="314" t="s">
        <v>203</v>
      </c>
      <c r="RIE16" s="314" t="s">
        <v>203</v>
      </c>
      <c r="RIF16" s="314" t="s">
        <v>203</v>
      </c>
      <c r="RIG16" s="314" t="s">
        <v>203</v>
      </c>
      <c r="RIH16" s="314" t="s">
        <v>203</v>
      </c>
      <c r="RII16" s="314" t="s">
        <v>203</v>
      </c>
      <c r="RIJ16" s="314" t="s">
        <v>203</v>
      </c>
      <c r="RIK16" s="314" t="s">
        <v>203</v>
      </c>
      <c r="RIL16" s="314" t="s">
        <v>203</v>
      </c>
      <c r="RIM16" s="314" t="s">
        <v>203</v>
      </c>
      <c r="RIN16" s="314" t="s">
        <v>203</v>
      </c>
      <c r="RIO16" s="314" t="s">
        <v>203</v>
      </c>
      <c r="RIP16" s="314" t="s">
        <v>203</v>
      </c>
      <c r="RIQ16" s="314" t="s">
        <v>203</v>
      </c>
      <c r="RIR16" s="314" t="s">
        <v>203</v>
      </c>
      <c r="RIS16" s="314" t="s">
        <v>203</v>
      </c>
      <c r="RIT16" s="314" t="s">
        <v>203</v>
      </c>
      <c r="RIU16" s="314" t="s">
        <v>203</v>
      </c>
      <c r="RIV16" s="314" t="s">
        <v>203</v>
      </c>
      <c r="RIW16" s="314" t="s">
        <v>203</v>
      </c>
      <c r="RIX16" s="314" t="s">
        <v>203</v>
      </c>
      <c r="RIY16" s="314" t="s">
        <v>203</v>
      </c>
      <c r="RIZ16" s="314" t="s">
        <v>203</v>
      </c>
      <c r="RJA16" s="314" t="s">
        <v>203</v>
      </c>
      <c r="RJB16" s="314" t="s">
        <v>203</v>
      </c>
      <c r="RJC16" s="314" t="s">
        <v>203</v>
      </c>
      <c r="RJD16" s="314" t="s">
        <v>203</v>
      </c>
      <c r="RJE16" s="314" t="s">
        <v>203</v>
      </c>
      <c r="RJF16" s="314" t="s">
        <v>203</v>
      </c>
      <c r="RJG16" s="314" t="s">
        <v>203</v>
      </c>
      <c r="RJH16" s="314" t="s">
        <v>203</v>
      </c>
      <c r="RJI16" s="314" t="s">
        <v>203</v>
      </c>
      <c r="RJJ16" s="314" t="s">
        <v>203</v>
      </c>
      <c r="RJK16" s="314" t="s">
        <v>203</v>
      </c>
      <c r="RJL16" s="314" t="s">
        <v>203</v>
      </c>
      <c r="RJM16" s="314" t="s">
        <v>203</v>
      </c>
      <c r="RJN16" s="314" t="s">
        <v>203</v>
      </c>
      <c r="RJO16" s="314" t="s">
        <v>203</v>
      </c>
      <c r="RJP16" s="314" t="s">
        <v>203</v>
      </c>
      <c r="RJQ16" s="314" t="s">
        <v>203</v>
      </c>
      <c r="RJR16" s="314" t="s">
        <v>203</v>
      </c>
      <c r="RJS16" s="314" t="s">
        <v>203</v>
      </c>
      <c r="RJT16" s="314" t="s">
        <v>203</v>
      </c>
      <c r="RJU16" s="314" t="s">
        <v>203</v>
      </c>
      <c r="RJV16" s="314" t="s">
        <v>203</v>
      </c>
      <c r="RJW16" s="314" t="s">
        <v>203</v>
      </c>
      <c r="RJX16" s="314" t="s">
        <v>203</v>
      </c>
      <c r="RJY16" s="314" t="s">
        <v>203</v>
      </c>
      <c r="RJZ16" s="314" t="s">
        <v>203</v>
      </c>
      <c r="RKA16" s="314" t="s">
        <v>203</v>
      </c>
      <c r="RKB16" s="314" t="s">
        <v>203</v>
      </c>
      <c r="RKC16" s="314" t="s">
        <v>203</v>
      </c>
      <c r="RKD16" s="314" t="s">
        <v>203</v>
      </c>
      <c r="RKE16" s="314" t="s">
        <v>203</v>
      </c>
      <c r="RKF16" s="314" t="s">
        <v>203</v>
      </c>
      <c r="RKG16" s="314" t="s">
        <v>203</v>
      </c>
      <c r="RKH16" s="314" t="s">
        <v>203</v>
      </c>
      <c r="RKI16" s="314" t="s">
        <v>203</v>
      </c>
      <c r="RKJ16" s="314" t="s">
        <v>203</v>
      </c>
      <c r="RKK16" s="314" t="s">
        <v>203</v>
      </c>
      <c r="RKL16" s="314" t="s">
        <v>203</v>
      </c>
      <c r="RKM16" s="314" t="s">
        <v>203</v>
      </c>
      <c r="RKN16" s="314" t="s">
        <v>203</v>
      </c>
      <c r="RKO16" s="314" t="s">
        <v>203</v>
      </c>
      <c r="RKP16" s="314" t="s">
        <v>203</v>
      </c>
      <c r="RKQ16" s="314" t="s">
        <v>203</v>
      </c>
      <c r="RKR16" s="314" t="s">
        <v>203</v>
      </c>
      <c r="RKS16" s="314" t="s">
        <v>203</v>
      </c>
      <c r="RKT16" s="314" t="s">
        <v>203</v>
      </c>
      <c r="RKU16" s="314" t="s">
        <v>203</v>
      </c>
      <c r="RKV16" s="314" t="s">
        <v>203</v>
      </c>
      <c r="RKW16" s="314" t="s">
        <v>203</v>
      </c>
      <c r="RKX16" s="314" t="s">
        <v>203</v>
      </c>
      <c r="RKY16" s="314" t="s">
        <v>203</v>
      </c>
      <c r="RKZ16" s="314" t="s">
        <v>203</v>
      </c>
      <c r="RLA16" s="314" t="s">
        <v>203</v>
      </c>
      <c r="RLB16" s="314" t="s">
        <v>203</v>
      </c>
      <c r="RLC16" s="314" t="s">
        <v>203</v>
      </c>
      <c r="RLD16" s="314" t="s">
        <v>203</v>
      </c>
      <c r="RLE16" s="314" t="s">
        <v>203</v>
      </c>
      <c r="RLF16" s="314" t="s">
        <v>203</v>
      </c>
      <c r="RLG16" s="314" t="s">
        <v>203</v>
      </c>
      <c r="RLH16" s="314" t="s">
        <v>203</v>
      </c>
      <c r="RLI16" s="314" t="s">
        <v>203</v>
      </c>
      <c r="RLJ16" s="314" t="s">
        <v>203</v>
      </c>
      <c r="RLK16" s="314" t="s">
        <v>203</v>
      </c>
      <c r="RLL16" s="314" t="s">
        <v>203</v>
      </c>
      <c r="RLM16" s="314" t="s">
        <v>203</v>
      </c>
      <c r="RLN16" s="314" t="s">
        <v>203</v>
      </c>
      <c r="RLO16" s="314" t="s">
        <v>203</v>
      </c>
      <c r="RLP16" s="314" t="s">
        <v>203</v>
      </c>
      <c r="RLQ16" s="314" t="s">
        <v>203</v>
      </c>
      <c r="RLR16" s="314" t="s">
        <v>203</v>
      </c>
      <c r="RLS16" s="314" t="s">
        <v>203</v>
      </c>
      <c r="RLT16" s="314" t="s">
        <v>203</v>
      </c>
      <c r="RLU16" s="314" t="s">
        <v>203</v>
      </c>
      <c r="RLV16" s="314" t="s">
        <v>203</v>
      </c>
      <c r="RLW16" s="314" t="s">
        <v>203</v>
      </c>
      <c r="RLX16" s="314" t="s">
        <v>203</v>
      </c>
      <c r="RLY16" s="314" t="s">
        <v>203</v>
      </c>
      <c r="RLZ16" s="314" t="s">
        <v>203</v>
      </c>
      <c r="RMA16" s="314" t="s">
        <v>203</v>
      </c>
      <c r="RMB16" s="314" t="s">
        <v>203</v>
      </c>
      <c r="RMC16" s="314" t="s">
        <v>203</v>
      </c>
      <c r="RMD16" s="314" t="s">
        <v>203</v>
      </c>
      <c r="RME16" s="314" t="s">
        <v>203</v>
      </c>
      <c r="RMF16" s="314" t="s">
        <v>203</v>
      </c>
      <c r="RMG16" s="314" t="s">
        <v>203</v>
      </c>
      <c r="RMH16" s="314" t="s">
        <v>203</v>
      </c>
      <c r="RMI16" s="314" t="s">
        <v>203</v>
      </c>
      <c r="RMJ16" s="314" t="s">
        <v>203</v>
      </c>
      <c r="RMK16" s="314" t="s">
        <v>203</v>
      </c>
      <c r="RML16" s="314" t="s">
        <v>203</v>
      </c>
      <c r="RMM16" s="314" t="s">
        <v>203</v>
      </c>
      <c r="RMN16" s="314" t="s">
        <v>203</v>
      </c>
      <c r="RMO16" s="314" t="s">
        <v>203</v>
      </c>
      <c r="RMP16" s="314" t="s">
        <v>203</v>
      </c>
      <c r="RMQ16" s="314" t="s">
        <v>203</v>
      </c>
      <c r="RMR16" s="314" t="s">
        <v>203</v>
      </c>
      <c r="RMS16" s="314" t="s">
        <v>203</v>
      </c>
      <c r="RMT16" s="314" t="s">
        <v>203</v>
      </c>
      <c r="RMU16" s="314" t="s">
        <v>203</v>
      </c>
      <c r="RMV16" s="314" t="s">
        <v>203</v>
      </c>
      <c r="RMW16" s="314" t="s">
        <v>203</v>
      </c>
      <c r="RMX16" s="314" t="s">
        <v>203</v>
      </c>
      <c r="RMY16" s="314" t="s">
        <v>203</v>
      </c>
      <c r="RMZ16" s="314" t="s">
        <v>203</v>
      </c>
      <c r="RNA16" s="314" t="s">
        <v>203</v>
      </c>
      <c r="RNB16" s="314" t="s">
        <v>203</v>
      </c>
      <c r="RNC16" s="314" t="s">
        <v>203</v>
      </c>
      <c r="RND16" s="314" t="s">
        <v>203</v>
      </c>
      <c r="RNE16" s="314" t="s">
        <v>203</v>
      </c>
      <c r="RNF16" s="314" t="s">
        <v>203</v>
      </c>
      <c r="RNG16" s="314" t="s">
        <v>203</v>
      </c>
      <c r="RNH16" s="314" t="s">
        <v>203</v>
      </c>
      <c r="RNI16" s="314" t="s">
        <v>203</v>
      </c>
      <c r="RNJ16" s="314" t="s">
        <v>203</v>
      </c>
      <c r="RNK16" s="314" t="s">
        <v>203</v>
      </c>
      <c r="RNL16" s="314" t="s">
        <v>203</v>
      </c>
      <c r="RNM16" s="314" t="s">
        <v>203</v>
      </c>
      <c r="RNN16" s="314" t="s">
        <v>203</v>
      </c>
      <c r="RNO16" s="314" t="s">
        <v>203</v>
      </c>
      <c r="RNP16" s="314" t="s">
        <v>203</v>
      </c>
      <c r="RNQ16" s="314" t="s">
        <v>203</v>
      </c>
      <c r="RNR16" s="314" t="s">
        <v>203</v>
      </c>
      <c r="RNS16" s="314" t="s">
        <v>203</v>
      </c>
      <c r="RNT16" s="314" t="s">
        <v>203</v>
      </c>
      <c r="RNU16" s="314" t="s">
        <v>203</v>
      </c>
      <c r="RNV16" s="314" t="s">
        <v>203</v>
      </c>
      <c r="RNW16" s="314" t="s">
        <v>203</v>
      </c>
      <c r="RNX16" s="314" t="s">
        <v>203</v>
      </c>
      <c r="RNY16" s="314" t="s">
        <v>203</v>
      </c>
      <c r="RNZ16" s="314" t="s">
        <v>203</v>
      </c>
      <c r="ROA16" s="314" t="s">
        <v>203</v>
      </c>
      <c r="ROB16" s="314" t="s">
        <v>203</v>
      </c>
      <c r="ROC16" s="314" t="s">
        <v>203</v>
      </c>
      <c r="ROD16" s="314" t="s">
        <v>203</v>
      </c>
      <c r="ROE16" s="314" t="s">
        <v>203</v>
      </c>
      <c r="ROF16" s="314" t="s">
        <v>203</v>
      </c>
      <c r="ROG16" s="314" t="s">
        <v>203</v>
      </c>
      <c r="ROH16" s="314" t="s">
        <v>203</v>
      </c>
      <c r="ROI16" s="314" t="s">
        <v>203</v>
      </c>
      <c r="ROJ16" s="314" t="s">
        <v>203</v>
      </c>
      <c r="ROK16" s="314" t="s">
        <v>203</v>
      </c>
      <c r="ROL16" s="314" t="s">
        <v>203</v>
      </c>
      <c r="ROM16" s="314" t="s">
        <v>203</v>
      </c>
      <c r="RON16" s="314" t="s">
        <v>203</v>
      </c>
      <c r="ROO16" s="314" t="s">
        <v>203</v>
      </c>
      <c r="ROP16" s="314" t="s">
        <v>203</v>
      </c>
      <c r="ROQ16" s="314" t="s">
        <v>203</v>
      </c>
      <c r="ROR16" s="314" t="s">
        <v>203</v>
      </c>
      <c r="ROS16" s="314" t="s">
        <v>203</v>
      </c>
      <c r="ROT16" s="314" t="s">
        <v>203</v>
      </c>
      <c r="ROU16" s="314" t="s">
        <v>203</v>
      </c>
      <c r="ROV16" s="314" t="s">
        <v>203</v>
      </c>
      <c r="ROW16" s="314" t="s">
        <v>203</v>
      </c>
      <c r="ROX16" s="314" t="s">
        <v>203</v>
      </c>
      <c r="ROY16" s="314" t="s">
        <v>203</v>
      </c>
      <c r="ROZ16" s="314" t="s">
        <v>203</v>
      </c>
      <c r="RPA16" s="314" t="s">
        <v>203</v>
      </c>
      <c r="RPB16" s="314" t="s">
        <v>203</v>
      </c>
      <c r="RPC16" s="314" t="s">
        <v>203</v>
      </c>
      <c r="RPD16" s="314" t="s">
        <v>203</v>
      </c>
      <c r="RPE16" s="314" t="s">
        <v>203</v>
      </c>
      <c r="RPF16" s="314" t="s">
        <v>203</v>
      </c>
      <c r="RPG16" s="314" t="s">
        <v>203</v>
      </c>
      <c r="RPH16" s="314" t="s">
        <v>203</v>
      </c>
      <c r="RPI16" s="314" t="s">
        <v>203</v>
      </c>
      <c r="RPJ16" s="314" t="s">
        <v>203</v>
      </c>
      <c r="RPK16" s="314" t="s">
        <v>203</v>
      </c>
      <c r="RPL16" s="314" t="s">
        <v>203</v>
      </c>
      <c r="RPM16" s="314" t="s">
        <v>203</v>
      </c>
      <c r="RPN16" s="314" t="s">
        <v>203</v>
      </c>
      <c r="RPO16" s="314" t="s">
        <v>203</v>
      </c>
      <c r="RPP16" s="314" t="s">
        <v>203</v>
      </c>
      <c r="RPQ16" s="314" t="s">
        <v>203</v>
      </c>
      <c r="RPR16" s="314" t="s">
        <v>203</v>
      </c>
      <c r="RPS16" s="314" t="s">
        <v>203</v>
      </c>
      <c r="RPT16" s="314" t="s">
        <v>203</v>
      </c>
      <c r="RPU16" s="314" t="s">
        <v>203</v>
      </c>
      <c r="RPV16" s="314" t="s">
        <v>203</v>
      </c>
      <c r="RPW16" s="314" t="s">
        <v>203</v>
      </c>
      <c r="RPX16" s="314" t="s">
        <v>203</v>
      </c>
      <c r="RPY16" s="314" t="s">
        <v>203</v>
      </c>
      <c r="RPZ16" s="314" t="s">
        <v>203</v>
      </c>
      <c r="RQA16" s="314" t="s">
        <v>203</v>
      </c>
      <c r="RQB16" s="314" t="s">
        <v>203</v>
      </c>
      <c r="RQC16" s="314" t="s">
        <v>203</v>
      </c>
      <c r="RQD16" s="314" t="s">
        <v>203</v>
      </c>
      <c r="RQE16" s="314" t="s">
        <v>203</v>
      </c>
      <c r="RQF16" s="314" t="s">
        <v>203</v>
      </c>
      <c r="RQG16" s="314" t="s">
        <v>203</v>
      </c>
      <c r="RQH16" s="314" t="s">
        <v>203</v>
      </c>
      <c r="RQI16" s="314" t="s">
        <v>203</v>
      </c>
      <c r="RQJ16" s="314" t="s">
        <v>203</v>
      </c>
      <c r="RQK16" s="314" t="s">
        <v>203</v>
      </c>
      <c r="RQL16" s="314" t="s">
        <v>203</v>
      </c>
      <c r="RQM16" s="314" t="s">
        <v>203</v>
      </c>
      <c r="RQN16" s="314" t="s">
        <v>203</v>
      </c>
      <c r="RQO16" s="314" t="s">
        <v>203</v>
      </c>
      <c r="RQP16" s="314" t="s">
        <v>203</v>
      </c>
      <c r="RQQ16" s="314" t="s">
        <v>203</v>
      </c>
      <c r="RQR16" s="314" t="s">
        <v>203</v>
      </c>
      <c r="RQS16" s="314" t="s">
        <v>203</v>
      </c>
      <c r="RQT16" s="314" t="s">
        <v>203</v>
      </c>
      <c r="RQU16" s="314" t="s">
        <v>203</v>
      </c>
      <c r="RQV16" s="314" t="s">
        <v>203</v>
      </c>
      <c r="RQW16" s="314" t="s">
        <v>203</v>
      </c>
      <c r="RQX16" s="314" t="s">
        <v>203</v>
      </c>
      <c r="RQY16" s="314" t="s">
        <v>203</v>
      </c>
      <c r="RQZ16" s="314" t="s">
        <v>203</v>
      </c>
      <c r="RRA16" s="314" t="s">
        <v>203</v>
      </c>
      <c r="RRB16" s="314" t="s">
        <v>203</v>
      </c>
      <c r="RRC16" s="314" t="s">
        <v>203</v>
      </c>
      <c r="RRD16" s="314" t="s">
        <v>203</v>
      </c>
      <c r="RRE16" s="314" t="s">
        <v>203</v>
      </c>
      <c r="RRF16" s="314" t="s">
        <v>203</v>
      </c>
      <c r="RRG16" s="314" t="s">
        <v>203</v>
      </c>
      <c r="RRH16" s="314" t="s">
        <v>203</v>
      </c>
      <c r="RRI16" s="314" t="s">
        <v>203</v>
      </c>
      <c r="RRJ16" s="314" t="s">
        <v>203</v>
      </c>
      <c r="RRK16" s="314" t="s">
        <v>203</v>
      </c>
      <c r="RRL16" s="314" t="s">
        <v>203</v>
      </c>
      <c r="RRM16" s="314" t="s">
        <v>203</v>
      </c>
      <c r="RRN16" s="314" t="s">
        <v>203</v>
      </c>
      <c r="RRO16" s="314" t="s">
        <v>203</v>
      </c>
      <c r="RRP16" s="314" t="s">
        <v>203</v>
      </c>
      <c r="RRQ16" s="314" t="s">
        <v>203</v>
      </c>
      <c r="RRR16" s="314" t="s">
        <v>203</v>
      </c>
      <c r="RRS16" s="314" t="s">
        <v>203</v>
      </c>
      <c r="RRT16" s="314" t="s">
        <v>203</v>
      </c>
      <c r="RRU16" s="314" t="s">
        <v>203</v>
      </c>
      <c r="RRV16" s="314" t="s">
        <v>203</v>
      </c>
      <c r="RRW16" s="314" t="s">
        <v>203</v>
      </c>
      <c r="RRX16" s="314" t="s">
        <v>203</v>
      </c>
      <c r="RRY16" s="314" t="s">
        <v>203</v>
      </c>
      <c r="RRZ16" s="314" t="s">
        <v>203</v>
      </c>
      <c r="RSA16" s="314" t="s">
        <v>203</v>
      </c>
      <c r="RSB16" s="314" t="s">
        <v>203</v>
      </c>
      <c r="RSC16" s="314" t="s">
        <v>203</v>
      </c>
      <c r="RSD16" s="314" t="s">
        <v>203</v>
      </c>
      <c r="RSE16" s="314" t="s">
        <v>203</v>
      </c>
      <c r="RSF16" s="314" t="s">
        <v>203</v>
      </c>
      <c r="RSG16" s="314" t="s">
        <v>203</v>
      </c>
      <c r="RSH16" s="314" t="s">
        <v>203</v>
      </c>
      <c r="RSI16" s="314" t="s">
        <v>203</v>
      </c>
      <c r="RSJ16" s="314" t="s">
        <v>203</v>
      </c>
      <c r="RSK16" s="314" t="s">
        <v>203</v>
      </c>
      <c r="RSL16" s="314" t="s">
        <v>203</v>
      </c>
      <c r="RSM16" s="314" t="s">
        <v>203</v>
      </c>
      <c r="RSN16" s="314" t="s">
        <v>203</v>
      </c>
      <c r="RSO16" s="314" t="s">
        <v>203</v>
      </c>
      <c r="RSP16" s="314" t="s">
        <v>203</v>
      </c>
      <c r="RSQ16" s="314" t="s">
        <v>203</v>
      </c>
      <c r="RSR16" s="314" t="s">
        <v>203</v>
      </c>
      <c r="RSS16" s="314" t="s">
        <v>203</v>
      </c>
      <c r="RST16" s="314" t="s">
        <v>203</v>
      </c>
      <c r="RSU16" s="314" t="s">
        <v>203</v>
      </c>
      <c r="RSV16" s="314" t="s">
        <v>203</v>
      </c>
      <c r="RSW16" s="314" t="s">
        <v>203</v>
      </c>
      <c r="RSX16" s="314" t="s">
        <v>203</v>
      </c>
      <c r="RSY16" s="314" t="s">
        <v>203</v>
      </c>
      <c r="RSZ16" s="314" t="s">
        <v>203</v>
      </c>
      <c r="RTA16" s="314" t="s">
        <v>203</v>
      </c>
      <c r="RTB16" s="314" t="s">
        <v>203</v>
      </c>
      <c r="RTC16" s="314" t="s">
        <v>203</v>
      </c>
      <c r="RTD16" s="314" t="s">
        <v>203</v>
      </c>
      <c r="RTE16" s="314" t="s">
        <v>203</v>
      </c>
      <c r="RTF16" s="314" t="s">
        <v>203</v>
      </c>
      <c r="RTG16" s="314" t="s">
        <v>203</v>
      </c>
      <c r="RTH16" s="314" t="s">
        <v>203</v>
      </c>
      <c r="RTI16" s="314" t="s">
        <v>203</v>
      </c>
      <c r="RTJ16" s="314" t="s">
        <v>203</v>
      </c>
      <c r="RTK16" s="314" t="s">
        <v>203</v>
      </c>
      <c r="RTL16" s="314" t="s">
        <v>203</v>
      </c>
      <c r="RTM16" s="314" t="s">
        <v>203</v>
      </c>
      <c r="RTN16" s="314" t="s">
        <v>203</v>
      </c>
      <c r="RTO16" s="314" t="s">
        <v>203</v>
      </c>
      <c r="RTP16" s="314" t="s">
        <v>203</v>
      </c>
      <c r="RTQ16" s="314" t="s">
        <v>203</v>
      </c>
      <c r="RTR16" s="314" t="s">
        <v>203</v>
      </c>
      <c r="RTS16" s="314" t="s">
        <v>203</v>
      </c>
      <c r="RTT16" s="314" t="s">
        <v>203</v>
      </c>
      <c r="RTU16" s="314" t="s">
        <v>203</v>
      </c>
      <c r="RTV16" s="314" t="s">
        <v>203</v>
      </c>
      <c r="RTW16" s="314" t="s">
        <v>203</v>
      </c>
      <c r="RTX16" s="314" t="s">
        <v>203</v>
      </c>
      <c r="RTY16" s="314" t="s">
        <v>203</v>
      </c>
      <c r="RTZ16" s="314" t="s">
        <v>203</v>
      </c>
      <c r="RUA16" s="314" t="s">
        <v>203</v>
      </c>
      <c r="RUB16" s="314" t="s">
        <v>203</v>
      </c>
      <c r="RUC16" s="314" t="s">
        <v>203</v>
      </c>
      <c r="RUD16" s="314" t="s">
        <v>203</v>
      </c>
      <c r="RUE16" s="314" t="s">
        <v>203</v>
      </c>
      <c r="RUF16" s="314" t="s">
        <v>203</v>
      </c>
      <c r="RUG16" s="314" t="s">
        <v>203</v>
      </c>
      <c r="RUH16" s="314" t="s">
        <v>203</v>
      </c>
      <c r="RUI16" s="314" t="s">
        <v>203</v>
      </c>
      <c r="RUJ16" s="314" t="s">
        <v>203</v>
      </c>
      <c r="RUK16" s="314" t="s">
        <v>203</v>
      </c>
      <c r="RUL16" s="314" t="s">
        <v>203</v>
      </c>
      <c r="RUM16" s="314" t="s">
        <v>203</v>
      </c>
      <c r="RUN16" s="314" t="s">
        <v>203</v>
      </c>
      <c r="RUO16" s="314" t="s">
        <v>203</v>
      </c>
      <c r="RUP16" s="314" t="s">
        <v>203</v>
      </c>
      <c r="RUQ16" s="314" t="s">
        <v>203</v>
      </c>
      <c r="RUR16" s="314" t="s">
        <v>203</v>
      </c>
      <c r="RUS16" s="314" t="s">
        <v>203</v>
      </c>
      <c r="RUT16" s="314" t="s">
        <v>203</v>
      </c>
      <c r="RUU16" s="314" t="s">
        <v>203</v>
      </c>
      <c r="RUV16" s="314" t="s">
        <v>203</v>
      </c>
      <c r="RUW16" s="314" t="s">
        <v>203</v>
      </c>
      <c r="RUX16" s="314" t="s">
        <v>203</v>
      </c>
      <c r="RUY16" s="314" t="s">
        <v>203</v>
      </c>
      <c r="RUZ16" s="314" t="s">
        <v>203</v>
      </c>
      <c r="RVA16" s="314" t="s">
        <v>203</v>
      </c>
      <c r="RVB16" s="314" t="s">
        <v>203</v>
      </c>
      <c r="RVC16" s="314" t="s">
        <v>203</v>
      </c>
      <c r="RVD16" s="314" t="s">
        <v>203</v>
      </c>
      <c r="RVE16" s="314" t="s">
        <v>203</v>
      </c>
      <c r="RVF16" s="314" t="s">
        <v>203</v>
      </c>
      <c r="RVG16" s="314" t="s">
        <v>203</v>
      </c>
      <c r="RVH16" s="314" t="s">
        <v>203</v>
      </c>
      <c r="RVI16" s="314" t="s">
        <v>203</v>
      </c>
      <c r="RVJ16" s="314" t="s">
        <v>203</v>
      </c>
      <c r="RVK16" s="314" t="s">
        <v>203</v>
      </c>
      <c r="RVL16" s="314" t="s">
        <v>203</v>
      </c>
      <c r="RVM16" s="314" t="s">
        <v>203</v>
      </c>
      <c r="RVN16" s="314" t="s">
        <v>203</v>
      </c>
      <c r="RVO16" s="314" t="s">
        <v>203</v>
      </c>
      <c r="RVP16" s="314" t="s">
        <v>203</v>
      </c>
      <c r="RVQ16" s="314" t="s">
        <v>203</v>
      </c>
      <c r="RVR16" s="314" t="s">
        <v>203</v>
      </c>
      <c r="RVS16" s="314" t="s">
        <v>203</v>
      </c>
      <c r="RVT16" s="314" t="s">
        <v>203</v>
      </c>
      <c r="RVU16" s="314" t="s">
        <v>203</v>
      </c>
      <c r="RVV16" s="314" t="s">
        <v>203</v>
      </c>
      <c r="RVW16" s="314" t="s">
        <v>203</v>
      </c>
      <c r="RVX16" s="314" t="s">
        <v>203</v>
      </c>
      <c r="RVY16" s="314" t="s">
        <v>203</v>
      </c>
      <c r="RVZ16" s="314" t="s">
        <v>203</v>
      </c>
      <c r="RWA16" s="314" t="s">
        <v>203</v>
      </c>
      <c r="RWB16" s="314" t="s">
        <v>203</v>
      </c>
      <c r="RWC16" s="314" t="s">
        <v>203</v>
      </c>
      <c r="RWD16" s="314" t="s">
        <v>203</v>
      </c>
      <c r="RWE16" s="314" t="s">
        <v>203</v>
      </c>
      <c r="RWF16" s="314" t="s">
        <v>203</v>
      </c>
      <c r="RWG16" s="314" t="s">
        <v>203</v>
      </c>
      <c r="RWH16" s="314" t="s">
        <v>203</v>
      </c>
      <c r="RWI16" s="314" t="s">
        <v>203</v>
      </c>
      <c r="RWJ16" s="314" t="s">
        <v>203</v>
      </c>
      <c r="RWK16" s="314" t="s">
        <v>203</v>
      </c>
      <c r="RWL16" s="314" t="s">
        <v>203</v>
      </c>
      <c r="RWM16" s="314" t="s">
        <v>203</v>
      </c>
      <c r="RWN16" s="314" t="s">
        <v>203</v>
      </c>
      <c r="RWO16" s="314" t="s">
        <v>203</v>
      </c>
      <c r="RWP16" s="314" t="s">
        <v>203</v>
      </c>
      <c r="RWQ16" s="314" t="s">
        <v>203</v>
      </c>
      <c r="RWR16" s="314" t="s">
        <v>203</v>
      </c>
      <c r="RWS16" s="314" t="s">
        <v>203</v>
      </c>
      <c r="RWT16" s="314" t="s">
        <v>203</v>
      </c>
      <c r="RWU16" s="314" t="s">
        <v>203</v>
      </c>
      <c r="RWV16" s="314" t="s">
        <v>203</v>
      </c>
      <c r="RWW16" s="314" t="s">
        <v>203</v>
      </c>
      <c r="RWX16" s="314" t="s">
        <v>203</v>
      </c>
      <c r="RWY16" s="314" t="s">
        <v>203</v>
      </c>
      <c r="RWZ16" s="314" t="s">
        <v>203</v>
      </c>
      <c r="RXA16" s="314" t="s">
        <v>203</v>
      </c>
      <c r="RXB16" s="314" t="s">
        <v>203</v>
      </c>
      <c r="RXC16" s="314" t="s">
        <v>203</v>
      </c>
      <c r="RXD16" s="314" t="s">
        <v>203</v>
      </c>
      <c r="RXE16" s="314" t="s">
        <v>203</v>
      </c>
      <c r="RXF16" s="314" t="s">
        <v>203</v>
      </c>
      <c r="RXG16" s="314" t="s">
        <v>203</v>
      </c>
      <c r="RXH16" s="314" t="s">
        <v>203</v>
      </c>
      <c r="RXI16" s="314" t="s">
        <v>203</v>
      </c>
      <c r="RXJ16" s="314" t="s">
        <v>203</v>
      </c>
      <c r="RXK16" s="314" t="s">
        <v>203</v>
      </c>
      <c r="RXL16" s="314" t="s">
        <v>203</v>
      </c>
      <c r="RXM16" s="314" t="s">
        <v>203</v>
      </c>
      <c r="RXN16" s="314" t="s">
        <v>203</v>
      </c>
      <c r="RXO16" s="314" t="s">
        <v>203</v>
      </c>
      <c r="RXP16" s="314" t="s">
        <v>203</v>
      </c>
      <c r="RXQ16" s="314" t="s">
        <v>203</v>
      </c>
      <c r="RXR16" s="314" t="s">
        <v>203</v>
      </c>
      <c r="RXS16" s="314" t="s">
        <v>203</v>
      </c>
      <c r="RXT16" s="314" t="s">
        <v>203</v>
      </c>
      <c r="RXU16" s="314" t="s">
        <v>203</v>
      </c>
      <c r="RXV16" s="314" t="s">
        <v>203</v>
      </c>
      <c r="RXW16" s="314" t="s">
        <v>203</v>
      </c>
      <c r="RXX16" s="314" t="s">
        <v>203</v>
      </c>
      <c r="RXY16" s="314" t="s">
        <v>203</v>
      </c>
      <c r="RXZ16" s="314" t="s">
        <v>203</v>
      </c>
      <c r="RYA16" s="314" t="s">
        <v>203</v>
      </c>
      <c r="RYB16" s="314" t="s">
        <v>203</v>
      </c>
      <c r="RYC16" s="314" t="s">
        <v>203</v>
      </c>
      <c r="RYD16" s="314" t="s">
        <v>203</v>
      </c>
      <c r="RYE16" s="314" t="s">
        <v>203</v>
      </c>
      <c r="RYF16" s="314" t="s">
        <v>203</v>
      </c>
      <c r="RYG16" s="314" t="s">
        <v>203</v>
      </c>
      <c r="RYH16" s="314" t="s">
        <v>203</v>
      </c>
      <c r="RYI16" s="314" t="s">
        <v>203</v>
      </c>
      <c r="RYJ16" s="314" t="s">
        <v>203</v>
      </c>
      <c r="RYK16" s="314" t="s">
        <v>203</v>
      </c>
      <c r="RYL16" s="314" t="s">
        <v>203</v>
      </c>
      <c r="RYM16" s="314" t="s">
        <v>203</v>
      </c>
      <c r="RYN16" s="314" t="s">
        <v>203</v>
      </c>
      <c r="RYO16" s="314" t="s">
        <v>203</v>
      </c>
      <c r="RYP16" s="314" t="s">
        <v>203</v>
      </c>
      <c r="RYQ16" s="314" t="s">
        <v>203</v>
      </c>
      <c r="RYR16" s="314" t="s">
        <v>203</v>
      </c>
      <c r="RYS16" s="314" t="s">
        <v>203</v>
      </c>
      <c r="RYT16" s="314" t="s">
        <v>203</v>
      </c>
      <c r="RYU16" s="314" t="s">
        <v>203</v>
      </c>
      <c r="RYV16" s="314" t="s">
        <v>203</v>
      </c>
      <c r="RYW16" s="314" t="s">
        <v>203</v>
      </c>
      <c r="RYX16" s="314" t="s">
        <v>203</v>
      </c>
      <c r="RYY16" s="314" t="s">
        <v>203</v>
      </c>
      <c r="RYZ16" s="314" t="s">
        <v>203</v>
      </c>
      <c r="RZA16" s="314" t="s">
        <v>203</v>
      </c>
      <c r="RZB16" s="314" t="s">
        <v>203</v>
      </c>
      <c r="RZC16" s="314" t="s">
        <v>203</v>
      </c>
      <c r="RZD16" s="314" t="s">
        <v>203</v>
      </c>
      <c r="RZE16" s="314" t="s">
        <v>203</v>
      </c>
      <c r="RZF16" s="314" t="s">
        <v>203</v>
      </c>
      <c r="RZG16" s="314" t="s">
        <v>203</v>
      </c>
      <c r="RZH16" s="314" t="s">
        <v>203</v>
      </c>
      <c r="RZI16" s="314" t="s">
        <v>203</v>
      </c>
      <c r="RZJ16" s="314" t="s">
        <v>203</v>
      </c>
      <c r="RZK16" s="314" t="s">
        <v>203</v>
      </c>
      <c r="RZL16" s="314" t="s">
        <v>203</v>
      </c>
      <c r="RZM16" s="314" t="s">
        <v>203</v>
      </c>
      <c r="RZN16" s="314" t="s">
        <v>203</v>
      </c>
      <c r="RZO16" s="314" t="s">
        <v>203</v>
      </c>
      <c r="RZP16" s="314" t="s">
        <v>203</v>
      </c>
      <c r="RZQ16" s="314" t="s">
        <v>203</v>
      </c>
      <c r="RZR16" s="314" t="s">
        <v>203</v>
      </c>
      <c r="RZS16" s="314" t="s">
        <v>203</v>
      </c>
      <c r="RZT16" s="314" t="s">
        <v>203</v>
      </c>
      <c r="RZU16" s="314" t="s">
        <v>203</v>
      </c>
      <c r="RZV16" s="314" t="s">
        <v>203</v>
      </c>
      <c r="RZW16" s="314" t="s">
        <v>203</v>
      </c>
      <c r="RZX16" s="314" t="s">
        <v>203</v>
      </c>
      <c r="RZY16" s="314" t="s">
        <v>203</v>
      </c>
      <c r="RZZ16" s="314" t="s">
        <v>203</v>
      </c>
      <c r="SAA16" s="314" t="s">
        <v>203</v>
      </c>
      <c r="SAB16" s="314" t="s">
        <v>203</v>
      </c>
      <c r="SAC16" s="314" t="s">
        <v>203</v>
      </c>
      <c r="SAD16" s="314" t="s">
        <v>203</v>
      </c>
      <c r="SAE16" s="314" t="s">
        <v>203</v>
      </c>
      <c r="SAF16" s="314" t="s">
        <v>203</v>
      </c>
      <c r="SAG16" s="314" t="s">
        <v>203</v>
      </c>
      <c r="SAH16" s="314" t="s">
        <v>203</v>
      </c>
      <c r="SAI16" s="314" t="s">
        <v>203</v>
      </c>
      <c r="SAJ16" s="314" t="s">
        <v>203</v>
      </c>
      <c r="SAK16" s="314" t="s">
        <v>203</v>
      </c>
      <c r="SAL16" s="314" t="s">
        <v>203</v>
      </c>
      <c r="SAM16" s="314" t="s">
        <v>203</v>
      </c>
      <c r="SAN16" s="314" t="s">
        <v>203</v>
      </c>
      <c r="SAO16" s="314" t="s">
        <v>203</v>
      </c>
      <c r="SAP16" s="314" t="s">
        <v>203</v>
      </c>
      <c r="SAQ16" s="314" t="s">
        <v>203</v>
      </c>
      <c r="SAR16" s="314" t="s">
        <v>203</v>
      </c>
      <c r="SAS16" s="314" t="s">
        <v>203</v>
      </c>
      <c r="SAT16" s="314" t="s">
        <v>203</v>
      </c>
      <c r="SAU16" s="314" t="s">
        <v>203</v>
      </c>
      <c r="SAV16" s="314" t="s">
        <v>203</v>
      </c>
      <c r="SAW16" s="314" t="s">
        <v>203</v>
      </c>
      <c r="SAX16" s="314" t="s">
        <v>203</v>
      </c>
      <c r="SAY16" s="314" t="s">
        <v>203</v>
      </c>
      <c r="SAZ16" s="314" t="s">
        <v>203</v>
      </c>
      <c r="SBA16" s="314" t="s">
        <v>203</v>
      </c>
      <c r="SBB16" s="314" t="s">
        <v>203</v>
      </c>
      <c r="SBC16" s="314" t="s">
        <v>203</v>
      </c>
      <c r="SBD16" s="314" t="s">
        <v>203</v>
      </c>
      <c r="SBE16" s="314" t="s">
        <v>203</v>
      </c>
      <c r="SBF16" s="314" t="s">
        <v>203</v>
      </c>
      <c r="SBG16" s="314" t="s">
        <v>203</v>
      </c>
      <c r="SBH16" s="314" t="s">
        <v>203</v>
      </c>
      <c r="SBI16" s="314" t="s">
        <v>203</v>
      </c>
      <c r="SBJ16" s="314" t="s">
        <v>203</v>
      </c>
      <c r="SBK16" s="314" t="s">
        <v>203</v>
      </c>
      <c r="SBL16" s="314" t="s">
        <v>203</v>
      </c>
      <c r="SBM16" s="314" t="s">
        <v>203</v>
      </c>
      <c r="SBN16" s="314" t="s">
        <v>203</v>
      </c>
      <c r="SBO16" s="314" t="s">
        <v>203</v>
      </c>
      <c r="SBP16" s="314" t="s">
        <v>203</v>
      </c>
      <c r="SBQ16" s="314" t="s">
        <v>203</v>
      </c>
      <c r="SBR16" s="314" t="s">
        <v>203</v>
      </c>
      <c r="SBS16" s="314" t="s">
        <v>203</v>
      </c>
      <c r="SBT16" s="314" t="s">
        <v>203</v>
      </c>
      <c r="SBU16" s="314" t="s">
        <v>203</v>
      </c>
      <c r="SBV16" s="314" t="s">
        <v>203</v>
      </c>
      <c r="SBW16" s="314" t="s">
        <v>203</v>
      </c>
      <c r="SBX16" s="314" t="s">
        <v>203</v>
      </c>
      <c r="SBY16" s="314" t="s">
        <v>203</v>
      </c>
      <c r="SBZ16" s="314" t="s">
        <v>203</v>
      </c>
      <c r="SCA16" s="314" t="s">
        <v>203</v>
      </c>
      <c r="SCB16" s="314" t="s">
        <v>203</v>
      </c>
      <c r="SCC16" s="314" t="s">
        <v>203</v>
      </c>
      <c r="SCD16" s="314" t="s">
        <v>203</v>
      </c>
      <c r="SCE16" s="314" t="s">
        <v>203</v>
      </c>
      <c r="SCF16" s="314" t="s">
        <v>203</v>
      </c>
      <c r="SCG16" s="314" t="s">
        <v>203</v>
      </c>
      <c r="SCH16" s="314" t="s">
        <v>203</v>
      </c>
      <c r="SCI16" s="314" t="s">
        <v>203</v>
      </c>
      <c r="SCJ16" s="314" t="s">
        <v>203</v>
      </c>
      <c r="SCK16" s="314" t="s">
        <v>203</v>
      </c>
      <c r="SCL16" s="314" t="s">
        <v>203</v>
      </c>
      <c r="SCM16" s="314" t="s">
        <v>203</v>
      </c>
      <c r="SCN16" s="314" t="s">
        <v>203</v>
      </c>
      <c r="SCO16" s="314" t="s">
        <v>203</v>
      </c>
      <c r="SCP16" s="314" t="s">
        <v>203</v>
      </c>
      <c r="SCQ16" s="314" t="s">
        <v>203</v>
      </c>
      <c r="SCR16" s="314" t="s">
        <v>203</v>
      </c>
      <c r="SCS16" s="314" t="s">
        <v>203</v>
      </c>
      <c r="SCT16" s="314" t="s">
        <v>203</v>
      </c>
      <c r="SCU16" s="314" t="s">
        <v>203</v>
      </c>
      <c r="SCV16" s="314" t="s">
        <v>203</v>
      </c>
      <c r="SCW16" s="314" t="s">
        <v>203</v>
      </c>
      <c r="SCX16" s="314" t="s">
        <v>203</v>
      </c>
      <c r="SCY16" s="314" t="s">
        <v>203</v>
      </c>
      <c r="SCZ16" s="314" t="s">
        <v>203</v>
      </c>
      <c r="SDA16" s="314" t="s">
        <v>203</v>
      </c>
      <c r="SDB16" s="314" t="s">
        <v>203</v>
      </c>
      <c r="SDC16" s="314" t="s">
        <v>203</v>
      </c>
      <c r="SDD16" s="314" t="s">
        <v>203</v>
      </c>
      <c r="SDE16" s="314" t="s">
        <v>203</v>
      </c>
      <c r="SDF16" s="314" t="s">
        <v>203</v>
      </c>
      <c r="SDG16" s="314" t="s">
        <v>203</v>
      </c>
      <c r="SDH16" s="314" t="s">
        <v>203</v>
      </c>
      <c r="SDI16" s="314" t="s">
        <v>203</v>
      </c>
      <c r="SDJ16" s="314" t="s">
        <v>203</v>
      </c>
      <c r="SDK16" s="314" t="s">
        <v>203</v>
      </c>
      <c r="SDL16" s="314" t="s">
        <v>203</v>
      </c>
      <c r="SDM16" s="314" t="s">
        <v>203</v>
      </c>
      <c r="SDN16" s="314" t="s">
        <v>203</v>
      </c>
      <c r="SDO16" s="314" t="s">
        <v>203</v>
      </c>
      <c r="SDP16" s="314" t="s">
        <v>203</v>
      </c>
      <c r="SDQ16" s="314" t="s">
        <v>203</v>
      </c>
      <c r="SDR16" s="314" t="s">
        <v>203</v>
      </c>
      <c r="SDS16" s="314" t="s">
        <v>203</v>
      </c>
      <c r="SDT16" s="314" t="s">
        <v>203</v>
      </c>
      <c r="SDU16" s="314" t="s">
        <v>203</v>
      </c>
      <c r="SDV16" s="314" t="s">
        <v>203</v>
      </c>
      <c r="SDW16" s="314" t="s">
        <v>203</v>
      </c>
      <c r="SDX16" s="314" t="s">
        <v>203</v>
      </c>
      <c r="SDY16" s="314" t="s">
        <v>203</v>
      </c>
      <c r="SDZ16" s="314" t="s">
        <v>203</v>
      </c>
      <c r="SEA16" s="314" t="s">
        <v>203</v>
      </c>
      <c r="SEB16" s="314" t="s">
        <v>203</v>
      </c>
      <c r="SEC16" s="314" t="s">
        <v>203</v>
      </c>
      <c r="SED16" s="314" t="s">
        <v>203</v>
      </c>
      <c r="SEE16" s="314" t="s">
        <v>203</v>
      </c>
      <c r="SEF16" s="314" t="s">
        <v>203</v>
      </c>
      <c r="SEG16" s="314" t="s">
        <v>203</v>
      </c>
      <c r="SEH16" s="314" t="s">
        <v>203</v>
      </c>
      <c r="SEI16" s="314" t="s">
        <v>203</v>
      </c>
      <c r="SEJ16" s="314" t="s">
        <v>203</v>
      </c>
      <c r="SEK16" s="314" t="s">
        <v>203</v>
      </c>
      <c r="SEL16" s="314" t="s">
        <v>203</v>
      </c>
      <c r="SEM16" s="314" t="s">
        <v>203</v>
      </c>
      <c r="SEN16" s="314" t="s">
        <v>203</v>
      </c>
      <c r="SEO16" s="314" t="s">
        <v>203</v>
      </c>
      <c r="SEP16" s="314" t="s">
        <v>203</v>
      </c>
      <c r="SEQ16" s="314" t="s">
        <v>203</v>
      </c>
      <c r="SER16" s="314" t="s">
        <v>203</v>
      </c>
      <c r="SES16" s="314" t="s">
        <v>203</v>
      </c>
      <c r="SET16" s="314" t="s">
        <v>203</v>
      </c>
      <c r="SEU16" s="314" t="s">
        <v>203</v>
      </c>
      <c r="SEV16" s="314" t="s">
        <v>203</v>
      </c>
      <c r="SEW16" s="314" t="s">
        <v>203</v>
      </c>
      <c r="SEX16" s="314" t="s">
        <v>203</v>
      </c>
      <c r="SEY16" s="314" t="s">
        <v>203</v>
      </c>
      <c r="SEZ16" s="314" t="s">
        <v>203</v>
      </c>
      <c r="SFA16" s="314" t="s">
        <v>203</v>
      </c>
      <c r="SFB16" s="314" t="s">
        <v>203</v>
      </c>
      <c r="SFC16" s="314" t="s">
        <v>203</v>
      </c>
      <c r="SFD16" s="314" t="s">
        <v>203</v>
      </c>
      <c r="SFE16" s="314" t="s">
        <v>203</v>
      </c>
      <c r="SFF16" s="314" t="s">
        <v>203</v>
      </c>
      <c r="SFG16" s="314" t="s">
        <v>203</v>
      </c>
      <c r="SFH16" s="314" t="s">
        <v>203</v>
      </c>
      <c r="SFI16" s="314" t="s">
        <v>203</v>
      </c>
      <c r="SFJ16" s="314" t="s">
        <v>203</v>
      </c>
      <c r="SFK16" s="314" t="s">
        <v>203</v>
      </c>
      <c r="SFL16" s="314" t="s">
        <v>203</v>
      </c>
      <c r="SFM16" s="314" t="s">
        <v>203</v>
      </c>
      <c r="SFN16" s="314" t="s">
        <v>203</v>
      </c>
      <c r="SFO16" s="314" t="s">
        <v>203</v>
      </c>
      <c r="SFP16" s="314" t="s">
        <v>203</v>
      </c>
      <c r="SFQ16" s="314" t="s">
        <v>203</v>
      </c>
      <c r="SFR16" s="314" t="s">
        <v>203</v>
      </c>
      <c r="SFS16" s="314" t="s">
        <v>203</v>
      </c>
      <c r="SFT16" s="314" t="s">
        <v>203</v>
      </c>
      <c r="SFU16" s="314" t="s">
        <v>203</v>
      </c>
      <c r="SFV16" s="314" t="s">
        <v>203</v>
      </c>
      <c r="SFW16" s="314" t="s">
        <v>203</v>
      </c>
      <c r="SFX16" s="314" t="s">
        <v>203</v>
      </c>
      <c r="SFY16" s="314" t="s">
        <v>203</v>
      </c>
      <c r="SFZ16" s="314" t="s">
        <v>203</v>
      </c>
      <c r="SGA16" s="314" t="s">
        <v>203</v>
      </c>
      <c r="SGB16" s="314" t="s">
        <v>203</v>
      </c>
      <c r="SGC16" s="314" t="s">
        <v>203</v>
      </c>
      <c r="SGD16" s="314" t="s">
        <v>203</v>
      </c>
      <c r="SGE16" s="314" t="s">
        <v>203</v>
      </c>
      <c r="SGF16" s="314" t="s">
        <v>203</v>
      </c>
      <c r="SGG16" s="314" t="s">
        <v>203</v>
      </c>
      <c r="SGH16" s="314" t="s">
        <v>203</v>
      </c>
      <c r="SGI16" s="314" t="s">
        <v>203</v>
      </c>
      <c r="SGJ16" s="314" t="s">
        <v>203</v>
      </c>
      <c r="SGK16" s="314" t="s">
        <v>203</v>
      </c>
      <c r="SGL16" s="314" t="s">
        <v>203</v>
      </c>
      <c r="SGM16" s="314" t="s">
        <v>203</v>
      </c>
      <c r="SGN16" s="314" t="s">
        <v>203</v>
      </c>
      <c r="SGO16" s="314" t="s">
        <v>203</v>
      </c>
      <c r="SGP16" s="314" t="s">
        <v>203</v>
      </c>
      <c r="SGQ16" s="314" t="s">
        <v>203</v>
      </c>
      <c r="SGR16" s="314" t="s">
        <v>203</v>
      </c>
      <c r="SGS16" s="314" t="s">
        <v>203</v>
      </c>
      <c r="SGT16" s="314" t="s">
        <v>203</v>
      </c>
      <c r="SGU16" s="314" t="s">
        <v>203</v>
      </c>
      <c r="SGV16" s="314" t="s">
        <v>203</v>
      </c>
      <c r="SGW16" s="314" t="s">
        <v>203</v>
      </c>
      <c r="SGX16" s="314" t="s">
        <v>203</v>
      </c>
      <c r="SGY16" s="314" t="s">
        <v>203</v>
      </c>
      <c r="SGZ16" s="314" t="s">
        <v>203</v>
      </c>
      <c r="SHA16" s="314" t="s">
        <v>203</v>
      </c>
      <c r="SHB16" s="314" t="s">
        <v>203</v>
      </c>
      <c r="SHC16" s="314" t="s">
        <v>203</v>
      </c>
      <c r="SHD16" s="314" t="s">
        <v>203</v>
      </c>
      <c r="SHE16" s="314" t="s">
        <v>203</v>
      </c>
      <c r="SHF16" s="314" t="s">
        <v>203</v>
      </c>
      <c r="SHG16" s="314" t="s">
        <v>203</v>
      </c>
      <c r="SHH16" s="314" t="s">
        <v>203</v>
      </c>
      <c r="SHI16" s="314" t="s">
        <v>203</v>
      </c>
      <c r="SHJ16" s="314" t="s">
        <v>203</v>
      </c>
      <c r="SHK16" s="314" t="s">
        <v>203</v>
      </c>
      <c r="SHL16" s="314" t="s">
        <v>203</v>
      </c>
      <c r="SHM16" s="314" t="s">
        <v>203</v>
      </c>
      <c r="SHN16" s="314" t="s">
        <v>203</v>
      </c>
      <c r="SHO16" s="314" t="s">
        <v>203</v>
      </c>
      <c r="SHP16" s="314" t="s">
        <v>203</v>
      </c>
      <c r="SHQ16" s="314" t="s">
        <v>203</v>
      </c>
      <c r="SHR16" s="314" t="s">
        <v>203</v>
      </c>
      <c r="SHS16" s="314" t="s">
        <v>203</v>
      </c>
      <c r="SHT16" s="314" t="s">
        <v>203</v>
      </c>
      <c r="SHU16" s="314" t="s">
        <v>203</v>
      </c>
      <c r="SHV16" s="314" t="s">
        <v>203</v>
      </c>
      <c r="SHW16" s="314" t="s">
        <v>203</v>
      </c>
      <c r="SHX16" s="314" t="s">
        <v>203</v>
      </c>
      <c r="SHY16" s="314" t="s">
        <v>203</v>
      </c>
      <c r="SHZ16" s="314" t="s">
        <v>203</v>
      </c>
      <c r="SIA16" s="314" t="s">
        <v>203</v>
      </c>
      <c r="SIB16" s="314" t="s">
        <v>203</v>
      </c>
      <c r="SIC16" s="314" t="s">
        <v>203</v>
      </c>
      <c r="SID16" s="314" t="s">
        <v>203</v>
      </c>
      <c r="SIE16" s="314" t="s">
        <v>203</v>
      </c>
      <c r="SIF16" s="314" t="s">
        <v>203</v>
      </c>
      <c r="SIG16" s="314" t="s">
        <v>203</v>
      </c>
      <c r="SIH16" s="314" t="s">
        <v>203</v>
      </c>
      <c r="SII16" s="314" t="s">
        <v>203</v>
      </c>
      <c r="SIJ16" s="314" t="s">
        <v>203</v>
      </c>
      <c r="SIK16" s="314" t="s">
        <v>203</v>
      </c>
      <c r="SIL16" s="314" t="s">
        <v>203</v>
      </c>
      <c r="SIM16" s="314" t="s">
        <v>203</v>
      </c>
      <c r="SIN16" s="314" t="s">
        <v>203</v>
      </c>
      <c r="SIO16" s="314" t="s">
        <v>203</v>
      </c>
      <c r="SIP16" s="314" t="s">
        <v>203</v>
      </c>
      <c r="SIQ16" s="314" t="s">
        <v>203</v>
      </c>
      <c r="SIR16" s="314" t="s">
        <v>203</v>
      </c>
      <c r="SIS16" s="314" t="s">
        <v>203</v>
      </c>
      <c r="SIT16" s="314" t="s">
        <v>203</v>
      </c>
      <c r="SIU16" s="314" t="s">
        <v>203</v>
      </c>
      <c r="SIV16" s="314" t="s">
        <v>203</v>
      </c>
      <c r="SIW16" s="314" t="s">
        <v>203</v>
      </c>
      <c r="SIX16" s="314" t="s">
        <v>203</v>
      </c>
      <c r="SIY16" s="314" t="s">
        <v>203</v>
      </c>
      <c r="SIZ16" s="314" t="s">
        <v>203</v>
      </c>
      <c r="SJA16" s="314" t="s">
        <v>203</v>
      </c>
      <c r="SJB16" s="314" t="s">
        <v>203</v>
      </c>
      <c r="SJC16" s="314" t="s">
        <v>203</v>
      </c>
      <c r="SJD16" s="314" t="s">
        <v>203</v>
      </c>
      <c r="SJE16" s="314" t="s">
        <v>203</v>
      </c>
      <c r="SJF16" s="314" t="s">
        <v>203</v>
      </c>
      <c r="SJG16" s="314" t="s">
        <v>203</v>
      </c>
      <c r="SJH16" s="314" t="s">
        <v>203</v>
      </c>
      <c r="SJI16" s="314" t="s">
        <v>203</v>
      </c>
      <c r="SJJ16" s="314" t="s">
        <v>203</v>
      </c>
      <c r="SJK16" s="314" t="s">
        <v>203</v>
      </c>
      <c r="SJL16" s="314" t="s">
        <v>203</v>
      </c>
      <c r="SJM16" s="314" t="s">
        <v>203</v>
      </c>
      <c r="SJN16" s="314" t="s">
        <v>203</v>
      </c>
      <c r="SJO16" s="314" t="s">
        <v>203</v>
      </c>
      <c r="SJP16" s="314" t="s">
        <v>203</v>
      </c>
      <c r="SJQ16" s="314" t="s">
        <v>203</v>
      </c>
      <c r="SJR16" s="314" t="s">
        <v>203</v>
      </c>
      <c r="SJS16" s="314" t="s">
        <v>203</v>
      </c>
      <c r="SJT16" s="314" t="s">
        <v>203</v>
      </c>
      <c r="SJU16" s="314" t="s">
        <v>203</v>
      </c>
      <c r="SJV16" s="314" t="s">
        <v>203</v>
      </c>
      <c r="SJW16" s="314" t="s">
        <v>203</v>
      </c>
      <c r="SJX16" s="314" t="s">
        <v>203</v>
      </c>
      <c r="SJY16" s="314" t="s">
        <v>203</v>
      </c>
      <c r="SJZ16" s="314" t="s">
        <v>203</v>
      </c>
      <c r="SKA16" s="314" t="s">
        <v>203</v>
      </c>
      <c r="SKB16" s="314" t="s">
        <v>203</v>
      </c>
      <c r="SKC16" s="314" t="s">
        <v>203</v>
      </c>
      <c r="SKD16" s="314" t="s">
        <v>203</v>
      </c>
      <c r="SKE16" s="314" t="s">
        <v>203</v>
      </c>
      <c r="SKF16" s="314" t="s">
        <v>203</v>
      </c>
      <c r="SKG16" s="314" t="s">
        <v>203</v>
      </c>
      <c r="SKH16" s="314" t="s">
        <v>203</v>
      </c>
      <c r="SKI16" s="314" t="s">
        <v>203</v>
      </c>
      <c r="SKJ16" s="314" t="s">
        <v>203</v>
      </c>
      <c r="SKK16" s="314" t="s">
        <v>203</v>
      </c>
      <c r="SKL16" s="314" t="s">
        <v>203</v>
      </c>
      <c r="SKM16" s="314" t="s">
        <v>203</v>
      </c>
      <c r="SKN16" s="314" t="s">
        <v>203</v>
      </c>
      <c r="SKO16" s="314" t="s">
        <v>203</v>
      </c>
      <c r="SKP16" s="314" t="s">
        <v>203</v>
      </c>
      <c r="SKQ16" s="314" t="s">
        <v>203</v>
      </c>
      <c r="SKR16" s="314" t="s">
        <v>203</v>
      </c>
      <c r="SKS16" s="314" t="s">
        <v>203</v>
      </c>
      <c r="SKT16" s="314" t="s">
        <v>203</v>
      </c>
      <c r="SKU16" s="314" t="s">
        <v>203</v>
      </c>
      <c r="SKV16" s="314" t="s">
        <v>203</v>
      </c>
      <c r="SKW16" s="314" t="s">
        <v>203</v>
      </c>
      <c r="SKX16" s="314" t="s">
        <v>203</v>
      </c>
      <c r="SKY16" s="314" t="s">
        <v>203</v>
      </c>
      <c r="SKZ16" s="314" t="s">
        <v>203</v>
      </c>
      <c r="SLA16" s="314" t="s">
        <v>203</v>
      </c>
      <c r="SLB16" s="314" t="s">
        <v>203</v>
      </c>
      <c r="SLC16" s="314" t="s">
        <v>203</v>
      </c>
      <c r="SLD16" s="314" t="s">
        <v>203</v>
      </c>
      <c r="SLE16" s="314" t="s">
        <v>203</v>
      </c>
      <c r="SLF16" s="314" t="s">
        <v>203</v>
      </c>
      <c r="SLG16" s="314" t="s">
        <v>203</v>
      </c>
      <c r="SLH16" s="314" t="s">
        <v>203</v>
      </c>
      <c r="SLI16" s="314" t="s">
        <v>203</v>
      </c>
      <c r="SLJ16" s="314" t="s">
        <v>203</v>
      </c>
      <c r="SLK16" s="314" t="s">
        <v>203</v>
      </c>
      <c r="SLL16" s="314" t="s">
        <v>203</v>
      </c>
      <c r="SLM16" s="314" t="s">
        <v>203</v>
      </c>
      <c r="SLN16" s="314" t="s">
        <v>203</v>
      </c>
      <c r="SLO16" s="314" t="s">
        <v>203</v>
      </c>
      <c r="SLP16" s="314" t="s">
        <v>203</v>
      </c>
      <c r="SLQ16" s="314" t="s">
        <v>203</v>
      </c>
      <c r="SLR16" s="314" t="s">
        <v>203</v>
      </c>
      <c r="SLS16" s="314" t="s">
        <v>203</v>
      </c>
      <c r="SLT16" s="314" t="s">
        <v>203</v>
      </c>
      <c r="SLU16" s="314" t="s">
        <v>203</v>
      </c>
      <c r="SLV16" s="314" t="s">
        <v>203</v>
      </c>
      <c r="SLW16" s="314" t="s">
        <v>203</v>
      </c>
      <c r="SLX16" s="314" t="s">
        <v>203</v>
      </c>
      <c r="SLY16" s="314" t="s">
        <v>203</v>
      </c>
      <c r="SLZ16" s="314" t="s">
        <v>203</v>
      </c>
      <c r="SMA16" s="314" t="s">
        <v>203</v>
      </c>
      <c r="SMB16" s="314" t="s">
        <v>203</v>
      </c>
      <c r="SMC16" s="314" t="s">
        <v>203</v>
      </c>
      <c r="SMD16" s="314" t="s">
        <v>203</v>
      </c>
      <c r="SME16" s="314" t="s">
        <v>203</v>
      </c>
      <c r="SMF16" s="314" t="s">
        <v>203</v>
      </c>
      <c r="SMG16" s="314" t="s">
        <v>203</v>
      </c>
      <c r="SMH16" s="314" t="s">
        <v>203</v>
      </c>
      <c r="SMI16" s="314" t="s">
        <v>203</v>
      </c>
      <c r="SMJ16" s="314" t="s">
        <v>203</v>
      </c>
      <c r="SMK16" s="314" t="s">
        <v>203</v>
      </c>
      <c r="SML16" s="314" t="s">
        <v>203</v>
      </c>
      <c r="SMM16" s="314" t="s">
        <v>203</v>
      </c>
      <c r="SMN16" s="314" t="s">
        <v>203</v>
      </c>
      <c r="SMO16" s="314" t="s">
        <v>203</v>
      </c>
      <c r="SMP16" s="314" t="s">
        <v>203</v>
      </c>
      <c r="SMQ16" s="314" t="s">
        <v>203</v>
      </c>
      <c r="SMR16" s="314" t="s">
        <v>203</v>
      </c>
      <c r="SMS16" s="314" t="s">
        <v>203</v>
      </c>
      <c r="SMT16" s="314" t="s">
        <v>203</v>
      </c>
      <c r="SMU16" s="314" t="s">
        <v>203</v>
      </c>
      <c r="SMV16" s="314" t="s">
        <v>203</v>
      </c>
      <c r="SMW16" s="314" t="s">
        <v>203</v>
      </c>
      <c r="SMX16" s="314" t="s">
        <v>203</v>
      </c>
      <c r="SMY16" s="314" t="s">
        <v>203</v>
      </c>
      <c r="SMZ16" s="314" t="s">
        <v>203</v>
      </c>
      <c r="SNA16" s="314" t="s">
        <v>203</v>
      </c>
      <c r="SNB16" s="314" t="s">
        <v>203</v>
      </c>
      <c r="SNC16" s="314" t="s">
        <v>203</v>
      </c>
      <c r="SND16" s="314" t="s">
        <v>203</v>
      </c>
      <c r="SNE16" s="314" t="s">
        <v>203</v>
      </c>
      <c r="SNF16" s="314" t="s">
        <v>203</v>
      </c>
      <c r="SNG16" s="314" t="s">
        <v>203</v>
      </c>
      <c r="SNH16" s="314" t="s">
        <v>203</v>
      </c>
      <c r="SNI16" s="314" t="s">
        <v>203</v>
      </c>
      <c r="SNJ16" s="314" t="s">
        <v>203</v>
      </c>
      <c r="SNK16" s="314" t="s">
        <v>203</v>
      </c>
      <c r="SNL16" s="314" t="s">
        <v>203</v>
      </c>
      <c r="SNM16" s="314" t="s">
        <v>203</v>
      </c>
      <c r="SNN16" s="314" t="s">
        <v>203</v>
      </c>
      <c r="SNO16" s="314" t="s">
        <v>203</v>
      </c>
      <c r="SNP16" s="314" t="s">
        <v>203</v>
      </c>
      <c r="SNQ16" s="314" t="s">
        <v>203</v>
      </c>
      <c r="SNR16" s="314" t="s">
        <v>203</v>
      </c>
      <c r="SNS16" s="314" t="s">
        <v>203</v>
      </c>
      <c r="SNT16" s="314" t="s">
        <v>203</v>
      </c>
      <c r="SNU16" s="314" t="s">
        <v>203</v>
      </c>
      <c r="SNV16" s="314" t="s">
        <v>203</v>
      </c>
      <c r="SNW16" s="314" t="s">
        <v>203</v>
      </c>
      <c r="SNX16" s="314" t="s">
        <v>203</v>
      </c>
      <c r="SNY16" s="314" t="s">
        <v>203</v>
      </c>
      <c r="SNZ16" s="314" t="s">
        <v>203</v>
      </c>
      <c r="SOA16" s="314" t="s">
        <v>203</v>
      </c>
      <c r="SOB16" s="314" t="s">
        <v>203</v>
      </c>
      <c r="SOC16" s="314" t="s">
        <v>203</v>
      </c>
      <c r="SOD16" s="314" t="s">
        <v>203</v>
      </c>
      <c r="SOE16" s="314" t="s">
        <v>203</v>
      </c>
      <c r="SOF16" s="314" t="s">
        <v>203</v>
      </c>
      <c r="SOG16" s="314" t="s">
        <v>203</v>
      </c>
      <c r="SOH16" s="314" t="s">
        <v>203</v>
      </c>
      <c r="SOI16" s="314" t="s">
        <v>203</v>
      </c>
      <c r="SOJ16" s="314" t="s">
        <v>203</v>
      </c>
      <c r="SOK16" s="314" t="s">
        <v>203</v>
      </c>
      <c r="SOL16" s="314" t="s">
        <v>203</v>
      </c>
      <c r="SOM16" s="314" t="s">
        <v>203</v>
      </c>
      <c r="SON16" s="314" t="s">
        <v>203</v>
      </c>
      <c r="SOO16" s="314" t="s">
        <v>203</v>
      </c>
      <c r="SOP16" s="314" t="s">
        <v>203</v>
      </c>
      <c r="SOQ16" s="314" t="s">
        <v>203</v>
      </c>
      <c r="SOR16" s="314" t="s">
        <v>203</v>
      </c>
      <c r="SOS16" s="314" t="s">
        <v>203</v>
      </c>
      <c r="SOT16" s="314" t="s">
        <v>203</v>
      </c>
      <c r="SOU16" s="314" t="s">
        <v>203</v>
      </c>
      <c r="SOV16" s="314" t="s">
        <v>203</v>
      </c>
      <c r="SOW16" s="314" t="s">
        <v>203</v>
      </c>
      <c r="SOX16" s="314" t="s">
        <v>203</v>
      </c>
      <c r="SOY16" s="314" t="s">
        <v>203</v>
      </c>
      <c r="SOZ16" s="314" t="s">
        <v>203</v>
      </c>
      <c r="SPA16" s="314" t="s">
        <v>203</v>
      </c>
      <c r="SPB16" s="314" t="s">
        <v>203</v>
      </c>
      <c r="SPC16" s="314" t="s">
        <v>203</v>
      </c>
      <c r="SPD16" s="314" t="s">
        <v>203</v>
      </c>
      <c r="SPE16" s="314" t="s">
        <v>203</v>
      </c>
      <c r="SPF16" s="314" t="s">
        <v>203</v>
      </c>
      <c r="SPG16" s="314" t="s">
        <v>203</v>
      </c>
      <c r="SPH16" s="314" t="s">
        <v>203</v>
      </c>
      <c r="SPI16" s="314" t="s">
        <v>203</v>
      </c>
      <c r="SPJ16" s="314" t="s">
        <v>203</v>
      </c>
      <c r="SPK16" s="314" t="s">
        <v>203</v>
      </c>
      <c r="SPL16" s="314" t="s">
        <v>203</v>
      </c>
      <c r="SPM16" s="314" t="s">
        <v>203</v>
      </c>
      <c r="SPN16" s="314" t="s">
        <v>203</v>
      </c>
      <c r="SPO16" s="314" t="s">
        <v>203</v>
      </c>
      <c r="SPP16" s="314" t="s">
        <v>203</v>
      </c>
      <c r="SPQ16" s="314" t="s">
        <v>203</v>
      </c>
      <c r="SPR16" s="314" t="s">
        <v>203</v>
      </c>
      <c r="SPS16" s="314" t="s">
        <v>203</v>
      </c>
      <c r="SPT16" s="314" t="s">
        <v>203</v>
      </c>
      <c r="SPU16" s="314" t="s">
        <v>203</v>
      </c>
      <c r="SPV16" s="314" t="s">
        <v>203</v>
      </c>
      <c r="SPW16" s="314" t="s">
        <v>203</v>
      </c>
      <c r="SPX16" s="314" t="s">
        <v>203</v>
      </c>
      <c r="SPY16" s="314" t="s">
        <v>203</v>
      </c>
      <c r="SPZ16" s="314" t="s">
        <v>203</v>
      </c>
      <c r="SQA16" s="314" t="s">
        <v>203</v>
      </c>
      <c r="SQB16" s="314" t="s">
        <v>203</v>
      </c>
      <c r="SQC16" s="314" t="s">
        <v>203</v>
      </c>
      <c r="SQD16" s="314" t="s">
        <v>203</v>
      </c>
      <c r="SQE16" s="314" t="s">
        <v>203</v>
      </c>
      <c r="SQF16" s="314" t="s">
        <v>203</v>
      </c>
      <c r="SQG16" s="314" t="s">
        <v>203</v>
      </c>
      <c r="SQH16" s="314" t="s">
        <v>203</v>
      </c>
      <c r="SQI16" s="314" t="s">
        <v>203</v>
      </c>
      <c r="SQJ16" s="314" t="s">
        <v>203</v>
      </c>
      <c r="SQK16" s="314" t="s">
        <v>203</v>
      </c>
      <c r="SQL16" s="314" t="s">
        <v>203</v>
      </c>
      <c r="SQM16" s="314" t="s">
        <v>203</v>
      </c>
      <c r="SQN16" s="314" t="s">
        <v>203</v>
      </c>
      <c r="SQO16" s="314" t="s">
        <v>203</v>
      </c>
      <c r="SQP16" s="314" t="s">
        <v>203</v>
      </c>
      <c r="SQQ16" s="314" t="s">
        <v>203</v>
      </c>
      <c r="SQR16" s="314" t="s">
        <v>203</v>
      </c>
      <c r="SQS16" s="314" t="s">
        <v>203</v>
      </c>
      <c r="SQT16" s="314" t="s">
        <v>203</v>
      </c>
      <c r="SQU16" s="314" t="s">
        <v>203</v>
      </c>
      <c r="SQV16" s="314" t="s">
        <v>203</v>
      </c>
      <c r="SQW16" s="314" t="s">
        <v>203</v>
      </c>
      <c r="SQX16" s="314" t="s">
        <v>203</v>
      </c>
      <c r="SQY16" s="314" t="s">
        <v>203</v>
      </c>
      <c r="SQZ16" s="314" t="s">
        <v>203</v>
      </c>
      <c r="SRA16" s="314" t="s">
        <v>203</v>
      </c>
      <c r="SRB16" s="314" t="s">
        <v>203</v>
      </c>
      <c r="SRC16" s="314" t="s">
        <v>203</v>
      </c>
      <c r="SRD16" s="314" t="s">
        <v>203</v>
      </c>
      <c r="SRE16" s="314" t="s">
        <v>203</v>
      </c>
      <c r="SRF16" s="314" t="s">
        <v>203</v>
      </c>
      <c r="SRG16" s="314" t="s">
        <v>203</v>
      </c>
      <c r="SRH16" s="314" t="s">
        <v>203</v>
      </c>
      <c r="SRI16" s="314" t="s">
        <v>203</v>
      </c>
      <c r="SRJ16" s="314" t="s">
        <v>203</v>
      </c>
      <c r="SRK16" s="314" t="s">
        <v>203</v>
      </c>
      <c r="SRL16" s="314" t="s">
        <v>203</v>
      </c>
      <c r="SRM16" s="314" t="s">
        <v>203</v>
      </c>
      <c r="SRN16" s="314" t="s">
        <v>203</v>
      </c>
      <c r="SRO16" s="314" t="s">
        <v>203</v>
      </c>
      <c r="SRP16" s="314" t="s">
        <v>203</v>
      </c>
      <c r="SRQ16" s="314" t="s">
        <v>203</v>
      </c>
      <c r="SRR16" s="314" t="s">
        <v>203</v>
      </c>
      <c r="SRS16" s="314" t="s">
        <v>203</v>
      </c>
      <c r="SRT16" s="314" t="s">
        <v>203</v>
      </c>
      <c r="SRU16" s="314" t="s">
        <v>203</v>
      </c>
      <c r="SRV16" s="314" t="s">
        <v>203</v>
      </c>
      <c r="SRW16" s="314" t="s">
        <v>203</v>
      </c>
      <c r="SRX16" s="314" t="s">
        <v>203</v>
      </c>
      <c r="SRY16" s="314" t="s">
        <v>203</v>
      </c>
      <c r="SRZ16" s="314" t="s">
        <v>203</v>
      </c>
      <c r="SSA16" s="314" t="s">
        <v>203</v>
      </c>
      <c r="SSB16" s="314" t="s">
        <v>203</v>
      </c>
      <c r="SSC16" s="314" t="s">
        <v>203</v>
      </c>
      <c r="SSD16" s="314" t="s">
        <v>203</v>
      </c>
      <c r="SSE16" s="314" t="s">
        <v>203</v>
      </c>
      <c r="SSF16" s="314" t="s">
        <v>203</v>
      </c>
      <c r="SSG16" s="314" t="s">
        <v>203</v>
      </c>
      <c r="SSH16" s="314" t="s">
        <v>203</v>
      </c>
      <c r="SSI16" s="314" t="s">
        <v>203</v>
      </c>
      <c r="SSJ16" s="314" t="s">
        <v>203</v>
      </c>
      <c r="SSK16" s="314" t="s">
        <v>203</v>
      </c>
      <c r="SSL16" s="314" t="s">
        <v>203</v>
      </c>
      <c r="SSM16" s="314" t="s">
        <v>203</v>
      </c>
      <c r="SSN16" s="314" t="s">
        <v>203</v>
      </c>
      <c r="SSO16" s="314" t="s">
        <v>203</v>
      </c>
      <c r="SSP16" s="314" t="s">
        <v>203</v>
      </c>
      <c r="SSQ16" s="314" t="s">
        <v>203</v>
      </c>
      <c r="SSR16" s="314" t="s">
        <v>203</v>
      </c>
      <c r="SSS16" s="314" t="s">
        <v>203</v>
      </c>
      <c r="SST16" s="314" t="s">
        <v>203</v>
      </c>
      <c r="SSU16" s="314" t="s">
        <v>203</v>
      </c>
      <c r="SSV16" s="314" t="s">
        <v>203</v>
      </c>
      <c r="SSW16" s="314" t="s">
        <v>203</v>
      </c>
      <c r="SSX16" s="314" t="s">
        <v>203</v>
      </c>
      <c r="SSY16" s="314" t="s">
        <v>203</v>
      </c>
      <c r="SSZ16" s="314" t="s">
        <v>203</v>
      </c>
      <c r="STA16" s="314" t="s">
        <v>203</v>
      </c>
      <c r="STB16" s="314" t="s">
        <v>203</v>
      </c>
      <c r="STC16" s="314" t="s">
        <v>203</v>
      </c>
      <c r="STD16" s="314" t="s">
        <v>203</v>
      </c>
      <c r="STE16" s="314" t="s">
        <v>203</v>
      </c>
      <c r="STF16" s="314" t="s">
        <v>203</v>
      </c>
      <c r="STG16" s="314" t="s">
        <v>203</v>
      </c>
      <c r="STH16" s="314" t="s">
        <v>203</v>
      </c>
      <c r="STI16" s="314" t="s">
        <v>203</v>
      </c>
      <c r="STJ16" s="314" t="s">
        <v>203</v>
      </c>
      <c r="STK16" s="314" t="s">
        <v>203</v>
      </c>
      <c r="STL16" s="314" t="s">
        <v>203</v>
      </c>
      <c r="STM16" s="314" t="s">
        <v>203</v>
      </c>
      <c r="STN16" s="314" t="s">
        <v>203</v>
      </c>
      <c r="STO16" s="314" t="s">
        <v>203</v>
      </c>
      <c r="STP16" s="314" t="s">
        <v>203</v>
      </c>
      <c r="STQ16" s="314" t="s">
        <v>203</v>
      </c>
      <c r="STR16" s="314" t="s">
        <v>203</v>
      </c>
      <c r="STS16" s="314" t="s">
        <v>203</v>
      </c>
      <c r="STT16" s="314" t="s">
        <v>203</v>
      </c>
      <c r="STU16" s="314" t="s">
        <v>203</v>
      </c>
      <c r="STV16" s="314" t="s">
        <v>203</v>
      </c>
      <c r="STW16" s="314" t="s">
        <v>203</v>
      </c>
      <c r="STX16" s="314" t="s">
        <v>203</v>
      </c>
      <c r="STY16" s="314" t="s">
        <v>203</v>
      </c>
      <c r="STZ16" s="314" t="s">
        <v>203</v>
      </c>
      <c r="SUA16" s="314" t="s">
        <v>203</v>
      </c>
      <c r="SUB16" s="314" t="s">
        <v>203</v>
      </c>
      <c r="SUC16" s="314" t="s">
        <v>203</v>
      </c>
      <c r="SUD16" s="314" t="s">
        <v>203</v>
      </c>
      <c r="SUE16" s="314" t="s">
        <v>203</v>
      </c>
      <c r="SUF16" s="314" t="s">
        <v>203</v>
      </c>
      <c r="SUG16" s="314" t="s">
        <v>203</v>
      </c>
      <c r="SUH16" s="314" t="s">
        <v>203</v>
      </c>
      <c r="SUI16" s="314" t="s">
        <v>203</v>
      </c>
      <c r="SUJ16" s="314" t="s">
        <v>203</v>
      </c>
      <c r="SUK16" s="314" t="s">
        <v>203</v>
      </c>
      <c r="SUL16" s="314" t="s">
        <v>203</v>
      </c>
      <c r="SUM16" s="314" t="s">
        <v>203</v>
      </c>
      <c r="SUN16" s="314" t="s">
        <v>203</v>
      </c>
      <c r="SUO16" s="314" t="s">
        <v>203</v>
      </c>
      <c r="SUP16" s="314" t="s">
        <v>203</v>
      </c>
      <c r="SUQ16" s="314" t="s">
        <v>203</v>
      </c>
      <c r="SUR16" s="314" t="s">
        <v>203</v>
      </c>
      <c r="SUS16" s="314" t="s">
        <v>203</v>
      </c>
      <c r="SUT16" s="314" t="s">
        <v>203</v>
      </c>
      <c r="SUU16" s="314" t="s">
        <v>203</v>
      </c>
      <c r="SUV16" s="314" t="s">
        <v>203</v>
      </c>
      <c r="SUW16" s="314" t="s">
        <v>203</v>
      </c>
      <c r="SUX16" s="314" t="s">
        <v>203</v>
      </c>
      <c r="SUY16" s="314" t="s">
        <v>203</v>
      </c>
      <c r="SUZ16" s="314" t="s">
        <v>203</v>
      </c>
      <c r="SVA16" s="314" t="s">
        <v>203</v>
      </c>
      <c r="SVB16" s="314" t="s">
        <v>203</v>
      </c>
      <c r="SVC16" s="314" t="s">
        <v>203</v>
      </c>
      <c r="SVD16" s="314" t="s">
        <v>203</v>
      </c>
      <c r="SVE16" s="314" t="s">
        <v>203</v>
      </c>
      <c r="SVF16" s="314" t="s">
        <v>203</v>
      </c>
      <c r="SVG16" s="314" t="s">
        <v>203</v>
      </c>
      <c r="SVH16" s="314" t="s">
        <v>203</v>
      </c>
      <c r="SVI16" s="314" t="s">
        <v>203</v>
      </c>
      <c r="SVJ16" s="314" t="s">
        <v>203</v>
      </c>
      <c r="SVK16" s="314" t="s">
        <v>203</v>
      </c>
      <c r="SVL16" s="314" t="s">
        <v>203</v>
      </c>
      <c r="SVM16" s="314" t="s">
        <v>203</v>
      </c>
      <c r="SVN16" s="314" t="s">
        <v>203</v>
      </c>
      <c r="SVO16" s="314" t="s">
        <v>203</v>
      </c>
      <c r="SVP16" s="314" t="s">
        <v>203</v>
      </c>
      <c r="SVQ16" s="314" t="s">
        <v>203</v>
      </c>
      <c r="SVR16" s="314" t="s">
        <v>203</v>
      </c>
      <c r="SVS16" s="314" t="s">
        <v>203</v>
      </c>
      <c r="SVT16" s="314" t="s">
        <v>203</v>
      </c>
      <c r="SVU16" s="314" t="s">
        <v>203</v>
      </c>
      <c r="SVV16" s="314" t="s">
        <v>203</v>
      </c>
      <c r="SVW16" s="314" t="s">
        <v>203</v>
      </c>
      <c r="SVX16" s="314" t="s">
        <v>203</v>
      </c>
      <c r="SVY16" s="314" t="s">
        <v>203</v>
      </c>
      <c r="SVZ16" s="314" t="s">
        <v>203</v>
      </c>
      <c r="SWA16" s="314" t="s">
        <v>203</v>
      </c>
      <c r="SWB16" s="314" t="s">
        <v>203</v>
      </c>
      <c r="SWC16" s="314" t="s">
        <v>203</v>
      </c>
      <c r="SWD16" s="314" t="s">
        <v>203</v>
      </c>
      <c r="SWE16" s="314" t="s">
        <v>203</v>
      </c>
      <c r="SWF16" s="314" t="s">
        <v>203</v>
      </c>
      <c r="SWG16" s="314" t="s">
        <v>203</v>
      </c>
      <c r="SWH16" s="314" t="s">
        <v>203</v>
      </c>
      <c r="SWI16" s="314" t="s">
        <v>203</v>
      </c>
      <c r="SWJ16" s="314" t="s">
        <v>203</v>
      </c>
      <c r="SWK16" s="314" t="s">
        <v>203</v>
      </c>
      <c r="SWL16" s="314" t="s">
        <v>203</v>
      </c>
      <c r="SWM16" s="314" t="s">
        <v>203</v>
      </c>
      <c r="SWN16" s="314" t="s">
        <v>203</v>
      </c>
      <c r="SWO16" s="314" t="s">
        <v>203</v>
      </c>
      <c r="SWP16" s="314" t="s">
        <v>203</v>
      </c>
      <c r="SWQ16" s="314" t="s">
        <v>203</v>
      </c>
      <c r="SWR16" s="314" t="s">
        <v>203</v>
      </c>
      <c r="SWS16" s="314" t="s">
        <v>203</v>
      </c>
      <c r="SWT16" s="314" t="s">
        <v>203</v>
      </c>
      <c r="SWU16" s="314" t="s">
        <v>203</v>
      </c>
      <c r="SWV16" s="314" t="s">
        <v>203</v>
      </c>
      <c r="SWW16" s="314" t="s">
        <v>203</v>
      </c>
      <c r="SWX16" s="314" t="s">
        <v>203</v>
      </c>
      <c r="SWY16" s="314" t="s">
        <v>203</v>
      </c>
      <c r="SWZ16" s="314" t="s">
        <v>203</v>
      </c>
      <c r="SXA16" s="314" t="s">
        <v>203</v>
      </c>
      <c r="SXB16" s="314" t="s">
        <v>203</v>
      </c>
      <c r="SXC16" s="314" t="s">
        <v>203</v>
      </c>
      <c r="SXD16" s="314" t="s">
        <v>203</v>
      </c>
      <c r="SXE16" s="314" t="s">
        <v>203</v>
      </c>
      <c r="SXF16" s="314" t="s">
        <v>203</v>
      </c>
      <c r="SXG16" s="314" t="s">
        <v>203</v>
      </c>
      <c r="SXH16" s="314" t="s">
        <v>203</v>
      </c>
      <c r="SXI16" s="314" t="s">
        <v>203</v>
      </c>
      <c r="SXJ16" s="314" t="s">
        <v>203</v>
      </c>
      <c r="SXK16" s="314" t="s">
        <v>203</v>
      </c>
      <c r="SXL16" s="314" t="s">
        <v>203</v>
      </c>
      <c r="SXM16" s="314" t="s">
        <v>203</v>
      </c>
      <c r="SXN16" s="314" t="s">
        <v>203</v>
      </c>
      <c r="SXO16" s="314" t="s">
        <v>203</v>
      </c>
      <c r="SXP16" s="314" t="s">
        <v>203</v>
      </c>
      <c r="SXQ16" s="314" t="s">
        <v>203</v>
      </c>
      <c r="SXR16" s="314" t="s">
        <v>203</v>
      </c>
      <c r="SXS16" s="314" t="s">
        <v>203</v>
      </c>
      <c r="SXT16" s="314" t="s">
        <v>203</v>
      </c>
      <c r="SXU16" s="314" t="s">
        <v>203</v>
      </c>
      <c r="SXV16" s="314" t="s">
        <v>203</v>
      </c>
      <c r="SXW16" s="314" t="s">
        <v>203</v>
      </c>
      <c r="SXX16" s="314" t="s">
        <v>203</v>
      </c>
      <c r="SXY16" s="314" t="s">
        <v>203</v>
      </c>
      <c r="SXZ16" s="314" t="s">
        <v>203</v>
      </c>
      <c r="SYA16" s="314" t="s">
        <v>203</v>
      </c>
      <c r="SYB16" s="314" t="s">
        <v>203</v>
      </c>
      <c r="SYC16" s="314" t="s">
        <v>203</v>
      </c>
      <c r="SYD16" s="314" t="s">
        <v>203</v>
      </c>
      <c r="SYE16" s="314" t="s">
        <v>203</v>
      </c>
      <c r="SYF16" s="314" t="s">
        <v>203</v>
      </c>
      <c r="SYG16" s="314" t="s">
        <v>203</v>
      </c>
      <c r="SYH16" s="314" t="s">
        <v>203</v>
      </c>
      <c r="SYI16" s="314" t="s">
        <v>203</v>
      </c>
      <c r="SYJ16" s="314" t="s">
        <v>203</v>
      </c>
      <c r="SYK16" s="314" t="s">
        <v>203</v>
      </c>
      <c r="SYL16" s="314" t="s">
        <v>203</v>
      </c>
      <c r="SYM16" s="314" t="s">
        <v>203</v>
      </c>
      <c r="SYN16" s="314" t="s">
        <v>203</v>
      </c>
      <c r="SYO16" s="314" t="s">
        <v>203</v>
      </c>
      <c r="SYP16" s="314" t="s">
        <v>203</v>
      </c>
      <c r="SYQ16" s="314" t="s">
        <v>203</v>
      </c>
      <c r="SYR16" s="314" t="s">
        <v>203</v>
      </c>
      <c r="SYS16" s="314" t="s">
        <v>203</v>
      </c>
      <c r="SYT16" s="314" t="s">
        <v>203</v>
      </c>
      <c r="SYU16" s="314" t="s">
        <v>203</v>
      </c>
      <c r="SYV16" s="314" t="s">
        <v>203</v>
      </c>
      <c r="SYW16" s="314" t="s">
        <v>203</v>
      </c>
      <c r="SYX16" s="314" t="s">
        <v>203</v>
      </c>
      <c r="SYY16" s="314" t="s">
        <v>203</v>
      </c>
      <c r="SYZ16" s="314" t="s">
        <v>203</v>
      </c>
      <c r="SZA16" s="314" t="s">
        <v>203</v>
      </c>
      <c r="SZB16" s="314" t="s">
        <v>203</v>
      </c>
      <c r="SZC16" s="314" t="s">
        <v>203</v>
      </c>
      <c r="SZD16" s="314" t="s">
        <v>203</v>
      </c>
      <c r="SZE16" s="314" t="s">
        <v>203</v>
      </c>
      <c r="SZF16" s="314" t="s">
        <v>203</v>
      </c>
      <c r="SZG16" s="314" t="s">
        <v>203</v>
      </c>
      <c r="SZH16" s="314" t="s">
        <v>203</v>
      </c>
      <c r="SZI16" s="314" t="s">
        <v>203</v>
      </c>
      <c r="SZJ16" s="314" t="s">
        <v>203</v>
      </c>
      <c r="SZK16" s="314" t="s">
        <v>203</v>
      </c>
      <c r="SZL16" s="314" t="s">
        <v>203</v>
      </c>
      <c r="SZM16" s="314" t="s">
        <v>203</v>
      </c>
      <c r="SZN16" s="314" t="s">
        <v>203</v>
      </c>
      <c r="SZO16" s="314" t="s">
        <v>203</v>
      </c>
      <c r="SZP16" s="314" t="s">
        <v>203</v>
      </c>
      <c r="SZQ16" s="314" t="s">
        <v>203</v>
      </c>
      <c r="SZR16" s="314" t="s">
        <v>203</v>
      </c>
      <c r="SZS16" s="314" t="s">
        <v>203</v>
      </c>
      <c r="SZT16" s="314" t="s">
        <v>203</v>
      </c>
      <c r="SZU16" s="314" t="s">
        <v>203</v>
      </c>
      <c r="SZV16" s="314" t="s">
        <v>203</v>
      </c>
      <c r="SZW16" s="314" t="s">
        <v>203</v>
      </c>
      <c r="SZX16" s="314" t="s">
        <v>203</v>
      </c>
      <c r="SZY16" s="314" t="s">
        <v>203</v>
      </c>
      <c r="SZZ16" s="314" t="s">
        <v>203</v>
      </c>
      <c r="TAA16" s="314" t="s">
        <v>203</v>
      </c>
      <c r="TAB16" s="314" t="s">
        <v>203</v>
      </c>
      <c r="TAC16" s="314" t="s">
        <v>203</v>
      </c>
      <c r="TAD16" s="314" t="s">
        <v>203</v>
      </c>
      <c r="TAE16" s="314" t="s">
        <v>203</v>
      </c>
      <c r="TAF16" s="314" t="s">
        <v>203</v>
      </c>
      <c r="TAG16" s="314" t="s">
        <v>203</v>
      </c>
      <c r="TAH16" s="314" t="s">
        <v>203</v>
      </c>
      <c r="TAI16" s="314" t="s">
        <v>203</v>
      </c>
      <c r="TAJ16" s="314" t="s">
        <v>203</v>
      </c>
      <c r="TAK16" s="314" t="s">
        <v>203</v>
      </c>
      <c r="TAL16" s="314" t="s">
        <v>203</v>
      </c>
      <c r="TAM16" s="314" t="s">
        <v>203</v>
      </c>
      <c r="TAN16" s="314" t="s">
        <v>203</v>
      </c>
      <c r="TAO16" s="314" t="s">
        <v>203</v>
      </c>
      <c r="TAP16" s="314" t="s">
        <v>203</v>
      </c>
      <c r="TAQ16" s="314" t="s">
        <v>203</v>
      </c>
      <c r="TAR16" s="314" t="s">
        <v>203</v>
      </c>
      <c r="TAS16" s="314" t="s">
        <v>203</v>
      </c>
      <c r="TAT16" s="314" t="s">
        <v>203</v>
      </c>
      <c r="TAU16" s="314" t="s">
        <v>203</v>
      </c>
      <c r="TAV16" s="314" t="s">
        <v>203</v>
      </c>
      <c r="TAW16" s="314" t="s">
        <v>203</v>
      </c>
      <c r="TAX16" s="314" t="s">
        <v>203</v>
      </c>
      <c r="TAY16" s="314" t="s">
        <v>203</v>
      </c>
      <c r="TAZ16" s="314" t="s">
        <v>203</v>
      </c>
      <c r="TBA16" s="314" t="s">
        <v>203</v>
      </c>
      <c r="TBB16" s="314" t="s">
        <v>203</v>
      </c>
      <c r="TBC16" s="314" t="s">
        <v>203</v>
      </c>
      <c r="TBD16" s="314" t="s">
        <v>203</v>
      </c>
      <c r="TBE16" s="314" t="s">
        <v>203</v>
      </c>
      <c r="TBF16" s="314" t="s">
        <v>203</v>
      </c>
      <c r="TBG16" s="314" t="s">
        <v>203</v>
      </c>
      <c r="TBH16" s="314" t="s">
        <v>203</v>
      </c>
      <c r="TBI16" s="314" t="s">
        <v>203</v>
      </c>
      <c r="TBJ16" s="314" t="s">
        <v>203</v>
      </c>
      <c r="TBK16" s="314" t="s">
        <v>203</v>
      </c>
      <c r="TBL16" s="314" t="s">
        <v>203</v>
      </c>
      <c r="TBM16" s="314" t="s">
        <v>203</v>
      </c>
      <c r="TBN16" s="314" t="s">
        <v>203</v>
      </c>
      <c r="TBO16" s="314" t="s">
        <v>203</v>
      </c>
      <c r="TBP16" s="314" t="s">
        <v>203</v>
      </c>
      <c r="TBQ16" s="314" t="s">
        <v>203</v>
      </c>
      <c r="TBR16" s="314" t="s">
        <v>203</v>
      </c>
      <c r="TBS16" s="314" t="s">
        <v>203</v>
      </c>
      <c r="TBT16" s="314" t="s">
        <v>203</v>
      </c>
      <c r="TBU16" s="314" t="s">
        <v>203</v>
      </c>
      <c r="TBV16" s="314" t="s">
        <v>203</v>
      </c>
      <c r="TBW16" s="314" t="s">
        <v>203</v>
      </c>
      <c r="TBX16" s="314" t="s">
        <v>203</v>
      </c>
      <c r="TBY16" s="314" t="s">
        <v>203</v>
      </c>
      <c r="TBZ16" s="314" t="s">
        <v>203</v>
      </c>
      <c r="TCA16" s="314" t="s">
        <v>203</v>
      </c>
      <c r="TCB16" s="314" t="s">
        <v>203</v>
      </c>
      <c r="TCC16" s="314" t="s">
        <v>203</v>
      </c>
      <c r="TCD16" s="314" t="s">
        <v>203</v>
      </c>
      <c r="TCE16" s="314" t="s">
        <v>203</v>
      </c>
      <c r="TCF16" s="314" t="s">
        <v>203</v>
      </c>
      <c r="TCG16" s="314" t="s">
        <v>203</v>
      </c>
      <c r="TCH16" s="314" t="s">
        <v>203</v>
      </c>
      <c r="TCI16" s="314" t="s">
        <v>203</v>
      </c>
      <c r="TCJ16" s="314" t="s">
        <v>203</v>
      </c>
      <c r="TCK16" s="314" t="s">
        <v>203</v>
      </c>
      <c r="TCL16" s="314" t="s">
        <v>203</v>
      </c>
      <c r="TCM16" s="314" t="s">
        <v>203</v>
      </c>
      <c r="TCN16" s="314" t="s">
        <v>203</v>
      </c>
      <c r="TCO16" s="314" t="s">
        <v>203</v>
      </c>
      <c r="TCP16" s="314" t="s">
        <v>203</v>
      </c>
      <c r="TCQ16" s="314" t="s">
        <v>203</v>
      </c>
      <c r="TCR16" s="314" t="s">
        <v>203</v>
      </c>
      <c r="TCS16" s="314" t="s">
        <v>203</v>
      </c>
      <c r="TCT16" s="314" t="s">
        <v>203</v>
      </c>
      <c r="TCU16" s="314" t="s">
        <v>203</v>
      </c>
      <c r="TCV16" s="314" t="s">
        <v>203</v>
      </c>
      <c r="TCW16" s="314" t="s">
        <v>203</v>
      </c>
      <c r="TCX16" s="314" t="s">
        <v>203</v>
      </c>
      <c r="TCY16" s="314" t="s">
        <v>203</v>
      </c>
      <c r="TCZ16" s="314" t="s">
        <v>203</v>
      </c>
      <c r="TDA16" s="314" t="s">
        <v>203</v>
      </c>
      <c r="TDB16" s="314" t="s">
        <v>203</v>
      </c>
      <c r="TDC16" s="314" t="s">
        <v>203</v>
      </c>
      <c r="TDD16" s="314" t="s">
        <v>203</v>
      </c>
      <c r="TDE16" s="314" t="s">
        <v>203</v>
      </c>
      <c r="TDF16" s="314" t="s">
        <v>203</v>
      </c>
      <c r="TDG16" s="314" t="s">
        <v>203</v>
      </c>
      <c r="TDH16" s="314" t="s">
        <v>203</v>
      </c>
      <c r="TDI16" s="314" t="s">
        <v>203</v>
      </c>
      <c r="TDJ16" s="314" t="s">
        <v>203</v>
      </c>
      <c r="TDK16" s="314" t="s">
        <v>203</v>
      </c>
      <c r="TDL16" s="314" t="s">
        <v>203</v>
      </c>
      <c r="TDM16" s="314" t="s">
        <v>203</v>
      </c>
      <c r="TDN16" s="314" t="s">
        <v>203</v>
      </c>
      <c r="TDO16" s="314" t="s">
        <v>203</v>
      </c>
      <c r="TDP16" s="314" t="s">
        <v>203</v>
      </c>
      <c r="TDQ16" s="314" t="s">
        <v>203</v>
      </c>
      <c r="TDR16" s="314" t="s">
        <v>203</v>
      </c>
      <c r="TDS16" s="314" t="s">
        <v>203</v>
      </c>
      <c r="TDT16" s="314" t="s">
        <v>203</v>
      </c>
      <c r="TDU16" s="314" t="s">
        <v>203</v>
      </c>
      <c r="TDV16" s="314" t="s">
        <v>203</v>
      </c>
      <c r="TDW16" s="314" t="s">
        <v>203</v>
      </c>
      <c r="TDX16" s="314" t="s">
        <v>203</v>
      </c>
      <c r="TDY16" s="314" t="s">
        <v>203</v>
      </c>
      <c r="TDZ16" s="314" t="s">
        <v>203</v>
      </c>
      <c r="TEA16" s="314" t="s">
        <v>203</v>
      </c>
      <c r="TEB16" s="314" t="s">
        <v>203</v>
      </c>
      <c r="TEC16" s="314" t="s">
        <v>203</v>
      </c>
      <c r="TED16" s="314" t="s">
        <v>203</v>
      </c>
      <c r="TEE16" s="314" t="s">
        <v>203</v>
      </c>
      <c r="TEF16" s="314" t="s">
        <v>203</v>
      </c>
      <c r="TEG16" s="314" t="s">
        <v>203</v>
      </c>
      <c r="TEH16" s="314" t="s">
        <v>203</v>
      </c>
      <c r="TEI16" s="314" t="s">
        <v>203</v>
      </c>
      <c r="TEJ16" s="314" t="s">
        <v>203</v>
      </c>
      <c r="TEK16" s="314" t="s">
        <v>203</v>
      </c>
      <c r="TEL16" s="314" t="s">
        <v>203</v>
      </c>
      <c r="TEM16" s="314" t="s">
        <v>203</v>
      </c>
      <c r="TEN16" s="314" t="s">
        <v>203</v>
      </c>
      <c r="TEO16" s="314" t="s">
        <v>203</v>
      </c>
      <c r="TEP16" s="314" t="s">
        <v>203</v>
      </c>
      <c r="TEQ16" s="314" t="s">
        <v>203</v>
      </c>
      <c r="TER16" s="314" t="s">
        <v>203</v>
      </c>
      <c r="TES16" s="314" t="s">
        <v>203</v>
      </c>
      <c r="TET16" s="314" t="s">
        <v>203</v>
      </c>
      <c r="TEU16" s="314" t="s">
        <v>203</v>
      </c>
      <c r="TEV16" s="314" t="s">
        <v>203</v>
      </c>
      <c r="TEW16" s="314" t="s">
        <v>203</v>
      </c>
      <c r="TEX16" s="314" t="s">
        <v>203</v>
      </c>
      <c r="TEY16" s="314" t="s">
        <v>203</v>
      </c>
      <c r="TEZ16" s="314" t="s">
        <v>203</v>
      </c>
      <c r="TFA16" s="314" t="s">
        <v>203</v>
      </c>
      <c r="TFB16" s="314" t="s">
        <v>203</v>
      </c>
      <c r="TFC16" s="314" t="s">
        <v>203</v>
      </c>
      <c r="TFD16" s="314" t="s">
        <v>203</v>
      </c>
      <c r="TFE16" s="314" t="s">
        <v>203</v>
      </c>
      <c r="TFF16" s="314" t="s">
        <v>203</v>
      </c>
      <c r="TFG16" s="314" t="s">
        <v>203</v>
      </c>
      <c r="TFH16" s="314" t="s">
        <v>203</v>
      </c>
      <c r="TFI16" s="314" t="s">
        <v>203</v>
      </c>
      <c r="TFJ16" s="314" t="s">
        <v>203</v>
      </c>
      <c r="TFK16" s="314" t="s">
        <v>203</v>
      </c>
      <c r="TFL16" s="314" t="s">
        <v>203</v>
      </c>
      <c r="TFM16" s="314" t="s">
        <v>203</v>
      </c>
      <c r="TFN16" s="314" t="s">
        <v>203</v>
      </c>
      <c r="TFO16" s="314" t="s">
        <v>203</v>
      </c>
      <c r="TFP16" s="314" t="s">
        <v>203</v>
      </c>
      <c r="TFQ16" s="314" t="s">
        <v>203</v>
      </c>
      <c r="TFR16" s="314" t="s">
        <v>203</v>
      </c>
      <c r="TFS16" s="314" t="s">
        <v>203</v>
      </c>
      <c r="TFT16" s="314" t="s">
        <v>203</v>
      </c>
      <c r="TFU16" s="314" t="s">
        <v>203</v>
      </c>
      <c r="TFV16" s="314" t="s">
        <v>203</v>
      </c>
      <c r="TFW16" s="314" t="s">
        <v>203</v>
      </c>
      <c r="TFX16" s="314" t="s">
        <v>203</v>
      </c>
      <c r="TFY16" s="314" t="s">
        <v>203</v>
      </c>
      <c r="TFZ16" s="314" t="s">
        <v>203</v>
      </c>
      <c r="TGA16" s="314" t="s">
        <v>203</v>
      </c>
      <c r="TGB16" s="314" t="s">
        <v>203</v>
      </c>
      <c r="TGC16" s="314" t="s">
        <v>203</v>
      </c>
      <c r="TGD16" s="314" t="s">
        <v>203</v>
      </c>
      <c r="TGE16" s="314" t="s">
        <v>203</v>
      </c>
      <c r="TGF16" s="314" t="s">
        <v>203</v>
      </c>
      <c r="TGG16" s="314" t="s">
        <v>203</v>
      </c>
      <c r="TGH16" s="314" t="s">
        <v>203</v>
      </c>
      <c r="TGI16" s="314" t="s">
        <v>203</v>
      </c>
      <c r="TGJ16" s="314" t="s">
        <v>203</v>
      </c>
      <c r="TGK16" s="314" t="s">
        <v>203</v>
      </c>
      <c r="TGL16" s="314" t="s">
        <v>203</v>
      </c>
      <c r="TGM16" s="314" t="s">
        <v>203</v>
      </c>
      <c r="TGN16" s="314" t="s">
        <v>203</v>
      </c>
      <c r="TGO16" s="314" t="s">
        <v>203</v>
      </c>
      <c r="TGP16" s="314" t="s">
        <v>203</v>
      </c>
      <c r="TGQ16" s="314" t="s">
        <v>203</v>
      </c>
      <c r="TGR16" s="314" t="s">
        <v>203</v>
      </c>
      <c r="TGS16" s="314" t="s">
        <v>203</v>
      </c>
      <c r="TGT16" s="314" t="s">
        <v>203</v>
      </c>
      <c r="TGU16" s="314" t="s">
        <v>203</v>
      </c>
      <c r="TGV16" s="314" t="s">
        <v>203</v>
      </c>
      <c r="TGW16" s="314" t="s">
        <v>203</v>
      </c>
      <c r="TGX16" s="314" t="s">
        <v>203</v>
      </c>
      <c r="TGY16" s="314" t="s">
        <v>203</v>
      </c>
      <c r="TGZ16" s="314" t="s">
        <v>203</v>
      </c>
      <c r="THA16" s="314" t="s">
        <v>203</v>
      </c>
      <c r="THB16" s="314" t="s">
        <v>203</v>
      </c>
      <c r="THC16" s="314" t="s">
        <v>203</v>
      </c>
      <c r="THD16" s="314" t="s">
        <v>203</v>
      </c>
      <c r="THE16" s="314" t="s">
        <v>203</v>
      </c>
      <c r="THF16" s="314" t="s">
        <v>203</v>
      </c>
      <c r="THG16" s="314" t="s">
        <v>203</v>
      </c>
      <c r="THH16" s="314" t="s">
        <v>203</v>
      </c>
      <c r="THI16" s="314" t="s">
        <v>203</v>
      </c>
      <c r="THJ16" s="314" t="s">
        <v>203</v>
      </c>
      <c r="THK16" s="314" t="s">
        <v>203</v>
      </c>
      <c r="THL16" s="314" t="s">
        <v>203</v>
      </c>
      <c r="THM16" s="314" t="s">
        <v>203</v>
      </c>
      <c r="THN16" s="314" t="s">
        <v>203</v>
      </c>
      <c r="THO16" s="314" t="s">
        <v>203</v>
      </c>
      <c r="THP16" s="314" t="s">
        <v>203</v>
      </c>
      <c r="THQ16" s="314" t="s">
        <v>203</v>
      </c>
      <c r="THR16" s="314" t="s">
        <v>203</v>
      </c>
      <c r="THS16" s="314" t="s">
        <v>203</v>
      </c>
      <c r="THT16" s="314" t="s">
        <v>203</v>
      </c>
      <c r="THU16" s="314" t="s">
        <v>203</v>
      </c>
      <c r="THV16" s="314" t="s">
        <v>203</v>
      </c>
      <c r="THW16" s="314" t="s">
        <v>203</v>
      </c>
      <c r="THX16" s="314" t="s">
        <v>203</v>
      </c>
      <c r="THY16" s="314" t="s">
        <v>203</v>
      </c>
      <c r="THZ16" s="314" t="s">
        <v>203</v>
      </c>
      <c r="TIA16" s="314" t="s">
        <v>203</v>
      </c>
      <c r="TIB16" s="314" t="s">
        <v>203</v>
      </c>
      <c r="TIC16" s="314" t="s">
        <v>203</v>
      </c>
      <c r="TID16" s="314" t="s">
        <v>203</v>
      </c>
      <c r="TIE16" s="314" t="s">
        <v>203</v>
      </c>
      <c r="TIF16" s="314" t="s">
        <v>203</v>
      </c>
      <c r="TIG16" s="314" t="s">
        <v>203</v>
      </c>
      <c r="TIH16" s="314" t="s">
        <v>203</v>
      </c>
      <c r="TII16" s="314" t="s">
        <v>203</v>
      </c>
      <c r="TIJ16" s="314" t="s">
        <v>203</v>
      </c>
      <c r="TIK16" s="314" t="s">
        <v>203</v>
      </c>
      <c r="TIL16" s="314" t="s">
        <v>203</v>
      </c>
      <c r="TIM16" s="314" t="s">
        <v>203</v>
      </c>
      <c r="TIN16" s="314" t="s">
        <v>203</v>
      </c>
      <c r="TIO16" s="314" t="s">
        <v>203</v>
      </c>
      <c r="TIP16" s="314" t="s">
        <v>203</v>
      </c>
      <c r="TIQ16" s="314" t="s">
        <v>203</v>
      </c>
      <c r="TIR16" s="314" t="s">
        <v>203</v>
      </c>
      <c r="TIS16" s="314" t="s">
        <v>203</v>
      </c>
      <c r="TIT16" s="314" t="s">
        <v>203</v>
      </c>
      <c r="TIU16" s="314" t="s">
        <v>203</v>
      </c>
      <c r="TIV16" s="314" t="s">
        <v>203</v>
      </c>
      <c r="TIW16" s="314" t="s">
        <v>203</v>
      </c>
      <c r="TIX16" s="314" t="s">
        <v>203</v>
      </c>
      <c r="TIY16" s="314" t="s">
        <v>203</v>
      </c>
      <c r="TIZ16" s="314" t="s">
        <v>203</v>
      </c>
      <c r="TJA16" s="314" t="s">
        <v>203</v>
      </c>
      <c r="TJB16" s="314" t="s">
        <v>203</v>
      </c>
      <c r="TJC16" s="314" t="s">
        <v>203</v>
      </c>
      <c r="TJD16" s="314" t="s">
        <v>203</v>
      </c>
      <c r="TJE16" s="314" t="s">
        <v>203</v>
      </c>
      <c r="TJF16" s="314" t="s">
        <v>203</v>
      </c>
      <c r="TJG16" s="314" t="s">
        <v>203</v>
      </c>
      <c r="TJH16" s="314" t="s">
        <v>203</v>
      </c>
      <c r="TJI16" s="314" t="s">
        <v>203</v>
      </c>
      <c r="TJJ16" s="314" t="s">
        <v>203</v>
      </c>
      <c r="TJK16" s="314" t="s">
        <v>203</v>
      </c>
      <c r="TJL16" s="314" t="s">
        <v>203</v>
      </c>
      <c r="TJM16" s="314" t="s">
        <v>203</v>
      </c>
      <c r="TJN16" s="314" t="s">
        <v>203</v>
      </c>
      <c r="TJO16" s="314" t="s">
        <v>203</v>
      </c>
      <c r="TJP16" s="314" t="s">
        <v>203</v>
      </c>
      <c r="TJQ16" s="314" t="s">
        <v>203</v>
      </c>
      <c r="TJR16" s="314" t="s">
        <v>203</v>
      </c>
      <c r="TJS16" s="314" t="s">
        <v>203</v>
      </c>
      <c r="TJT16" s="314" t="s">
        <v>203</v>
      </c>
      <c r="TJU16" s="314" t="s">
        <v>203</v>
      </c>
      <c r="TJV16" s="314" t="s">
        <v>203</v>
      </c>
      <c r="TJW16" s="314" t="s">
        <v>203</v>
      </c>
      <c r="TJX16" s="314" t="s">
        <v>203</v>
      </c>
      <c r="TJY16" s="314" t="s">
        <v>203</v>
      </c>
      <c r="TJZ16" s="314" t="s">
        <v>203</v>
      </c>
      <c r="TKA16" s="314" t="s">
        <v>203</v>
      </c>
      <c r="TKB16" s="314" t="s">
        <v>203</v>
      </c>
      <c r="TKC16" s="314" t="s">
        <v>203</v>
      </c>
      <c r="TKD16" s="314" t="s">
        <v>203</v>
      </c>
      <c r="TKE16" s="314" t="s">
        <v>203</v>
      </c>
      <c r="TKF16" s="314" t="s">
        <v>203</v>
      </c>
      <c r="TKG16" s="314" t="s">
        <v>203</v>
      </c>
      <c r="TKH16" s="314" t="s">
        <v>203</v>
      </c>
      <c r="TKI16" s="314" t="s">
        <v>203</v>
      </c>
      <c r="TKJ16" s="314" t="s">
        <v>203</v>
      </c>
      <c r="TKK16" s="314" t="s">
        <v>203</v>
      </c>
      <c r="TKL16" s="314" t="s">
        <v>203</v>
      </c>
      <c r="TKM16" s="314" t="s">
        <v>203</v>
      </c>
      <c r="TKN16" s="314" t="s">
        <v>203</v>
      </c>
      <c r="TKO16" s="314" t="s">
        <v>203</v>
      </c>
      <c r="TKP16" s="314" t="s">
        <v>203</v>
      </c>
      <c r="TKQ16" s="314" t="s">
        <v>203</v>
      </c>
      <c r="TKR16" s="314" t="s">
        <v>203</v>
      </c>
      <c r="TKS16" s="314" t="s">
        <v>203</v>
      </c>
      <c r="TKT16" s="314" t="s">
        <v>203</v>
      </c>
      <c r="TKU16" s="314" t="s">
        <v>203</v>
      </c>
      <c r="TKV16" s="314" t="s">
        <v>203</v>
      </c>
      <c r="TKW16" s="314" t="s">
        <v>203</v>
      </c>
      <c r="TKX16" s="314" t="s">
        <v>203</v>
      </c>
      <c r="TKY16" s="314" t="s">
        <v>203</v>
      </c>
      <c r="TKZ16" s="314" t="s">
        <v>203</v>
      </c>
      <c r="TLA16" s="314" t="s">
        <v>203</v>
      </c>
      <c r="TLB16" s="314" t="s">
        <v>203</v>
      </c>
      <c r="TLC16" s="314" t="s">
        <v>203</v>
      </c>
      <c r="TLD16" s="314" t="s">
        <v>203</v>
      </c>
      <c r="TLE16" s="314" t="s">
        <v>203</v>
      </c>
      <c r="TLF16" s="314" t="s">
        <v>203</v>
      </c>
      <c r="TLG16" s="314" t="s">
        <v>203</v>
      </c>
      <c r="TLH16" s="314" t="s">
        <v>203</v>
      </c>
      <c r="TLI16" s="314" t="s">
        <v>203</v>
      </c>
      <c r="TLJ16" s="314" t="s">
        <v>203</v>
      </c>
      <c r="TLK16" s="314" t="s">
        <v>203</v>
      </c>
      <c r="TLL16" s="314" t="s">
        <v>203</v>
      </c>
      <c r="TLM16" s="314" t="s">
        <v>203</v>
      </c>
      <c r="TLN16" s="314" t="s">
        <v>203</v>
      </c>
      <c r="TLO16" s="314" t="s">
        <v>203</v>
      </c>
      <c r="TLP16" s="314" t="s">
        <v>203</v>
      </c>
      <c r="TLQ16" s="314" t="s">
        <v>203</v>
      </c>
      <c r="TLR16" s="314" t="s">
        <v>203</v>
      </c>
      <c r="TLS16" s="314" t="s">
        <v>203</v>
      </c>
      <c r="TLT16" s="314" t="s">
        <v>203</v>
      </c>
      <c r="TLU16" s="314" t="s">
        <v>203</v>
      </c>
      <c r="TLV16" s="314" t="s">
        <v>203</v>
      </c>
      <c r="TLW16" s="314" t="s">
        <v>203</v>
      </c>
      <c r="TLX16" s="314" t="s">
        <v>203</v>
      </c>
      <c r="TLY16" s="314" t="s">
        <v>203</v>
      </c>
      <c r="TLZ16" s="314" t="s">
        <v>203</v>
      </c>
      <c r="TMA16" s="314" t="s">
        <v>203</v>
      </c>
      <c r="TMB16" s="314" t="s">
        <v>203</v>
      </c>
      <c r="TMC16" s="314" t="s">
        <v>203</v>
      </c>
      <c r="TMD16" s="314" t="s">
        <v>203</v>
      </c>
      <c r="TME16" s="314" t="s">
        <v>203</v>
      </c>
      <c r="TMF16" s="314" t="s">
        <v>203</v>
      </c>
      <c r="TMG16" s="314" t="s">
        <v>203</v>
      </c>
      <c r="TMH16" s="314" t="s">
        <v>203</v>
      </c>
      <c r="TMI16" s="314" t="s">
        <v>203</v>
      </c>
      <c r="TMJ16" s="314" t="s">
        <v>203</v>
      </c>
      <c r="TMK16" s="314" t="s">
        <v>203</v>
      </c>
      <c r="TML16" s="314" t="s">
        <v>203</v>
      </c>
      <c r="TMM16" s="314" t="s">
        <v>203</v>
      </c>
      <c r="TMN16" s="314" t="s">
        <v>203</v>
      </c>
      <c r="TMO16" s="314" t="s">
        <v>203</v>
      </c>
      <c r="TMP16" s="314" t="s">
        <v>203</v>
      </c>
      <c r="TMQ16" s="314" t="s">
        <v>203</v>
      </c>
      <c r="TMR16" s="314" t="s">
        <v>203</v>
      </c>
      <c r="TMS16" s="314" t="s">
        <v>203</v>
      </c>
      <c r="TMT16" s="314" t="s">
        <v>203</v>
      </c>
      <c r="TMU16" s="314" t="s">
        <v>203</v>
      </c>
      <c r="TMV16" s="314" t="s">
        <v>203</v>
      </c>
      <c r="TMW16" s="314" t="s">
        <v>203</v>
      </c>
      <c r="TMX16" s="314" t="s">
        <v>203</v>
      </c>
      <c r="TMY16" s="314" t="s">
        <v>203</v>
      </c>
      <c r="TMZ16" s="314" t="s">
        <v>203</v>
      </c>
      <c r="TNA16" s="314" t="s">
        <v>203</v>
      </c>
      <c r="TNB16" s="314" t="s">
        <v>203</v>
      </c>
      <c r="TNC16" s="314" t="s">
        <v>203</v>
      </c>
      <c r="TND16" s="314" t="s">
        <v>203</v>
      </c>
      <c r="TNE16" s="314" t="s">
        <v>203</v>
      </c>
      <c r="TNF16" s="314" t="s">
        <v>203</v>
      </c>
      <c r="TNG16" s="314" t="s">
        <v>203</v>
      </c>
      <c r="TNH16" s="314" t="s">
        <v>203</v>
      </c>
      <c r="TNI16" s="314" t="s">
        <v>203</v>
      </c>
      <c r="TNJ16" s="314" t="s">
        <v>203</v>
      </c>
      <c r="TNK16" s="314" t="s">
        <v>203</v>
      </c>
      <c r="TNL16" s="314" t="s">
        <v>203</v>
      </c>
      <c r="TNM16" s="314" t="s">
        <v>203</v>
      </c>
      <c r="TNN16" s="314" t="s">
        <v>203</v>
      </c>
      <c r="TNO16" s="314" t="s">
        <v>203</v>
      </c>
      <c r="TNP16" s="314" t="s">
        <v>203</v>
      </c>
      <c r="TNQ16" s="314" t="s">
        <v>203</v>
      </c>
      <c r="TNR16" s="314" t="s">
        <v>203</v>
      </c>
      <c r="TNS16" s="314" t="s">
        <v>203</v>
      </c>
      <c r="TNT16" s="314" t="s">
        <v>203</v>
      </c>
      <c r="TNU16" s="314" t="s">
        <v>203</v>
      </c>
      <c r="TNV16" s="314" t="s">
        <v>203</v>
      </c>
      <c r="TNW16" s="314" t="s">
        <v>203</v>
      </c>
      <c r="TNX16" s="314" t="s">
        <v>203</v>
      </c>
      <c r="TNY16" s="314" t="s">
        <v>203</v>
      </c>
      <c r="TNZ16" s="314" t="s">
        <v>203</v>
      </c>
      <c r="TOA16" s="314" t="s">
        <v>203</v>
      </c>
      <c r="TOB16" s="314" t="s">
        <v>203</v>
      </c>
      <c r="TOC16" s="314" t="s">
        <v>203</v>
      </c>
      <c r="TOD16" s="314" t="s">
        <v>203</v>
      </c>
      <c r="TOE16" s="314" t="s">
        <v>203</v>
      </c>
      <c r="TOF16" s="314" t="s">
        <v>203</v>
      </c>
      <c r="TOG16" s="314" t="s">
        <v>203</v>
      </c>
      <c r="TOH16" s="314" t="s">
        <v>203</v>
      </c>
      <c r="TOI16" s="314" t="s">
        <v>203</v>
      </c>
      <c r="TOJ16" s="314" t="s">
        <v>203</v>
      </c>
      <c r="TOK16" s="314" t="s">
        <v>203</v>
      </c>
      <c r="TOL16" s="314" t="s">
        <v>203</v>
      </c>
      <c r="TOM16" s="314" t="s">
        <v>203</v>
      </c>
      <c r="TON16" s="314" t="s">
        <v>203</v>
      </c>
      <c r="TOO16" s="314" t="s">
        <v>203</v>
      </c>
      <c r="TOP16" s="314" t="s">
        <v>203</v>
      </c>
      <c r="TOQ16" s="314" t="s">
        <v>203</v>
      </c>
      <c r="TOR16" s="314" t="s">
        <v>203</v>
      </c>
      <c r="TOS16" s="314" t="s">
        <v>203</v>
      </c>
      <c r="TOT16" s="314" t="s">
        <v>203</v>
      </c>
      <c r="TOU16" s="314" t="s">
        <v>203</v>
      </c>
      <c r="TOV16" s="314" t="s">
        <v>203</v>
      </c>
      <c r="TOW16" s="314" t="s">
        <v>203</v>
      </c>
      <c r="TOX16" s="314" t="s">
        <v>203</v>
      </c>
      <c r="TOY16" s="314" t="s">
        <v>203</v>
      </c>
      <c r="TOZ16" s="314" t="s">
        <v>203</v>
      </c>
      <c r="TPA16" s="314" t="s">
        <v>203</v>
      </c>
      <c r="TPB16" s="314" t="s">
        <v>203</v>
      </c>
      <c r="TPC16" s="314" t="s">
        <v>203</v>
      </c>
      <c r="TPD16" s="314" t="s">
        <v>203</v>
      </c>
      <c r="TPE16" s="314" t="s">
        <v>203</v>
      </c>
      <c r="TPF16" s="314" t="s">
        <v>203</v>
      </c>
      <c r="TPG16" s="314" t="s">
        <v>203</v>
      </c>
      <c r="TPH16" s="314" t="s">
        <v>203</v>
      </c>
      <c r="TPI16" s="314" t="s">
        <v>203</v>
      </c>
      <c r="TPJ16" s="314" t="s">
        <v>203</v>
      </c>
      <c r="TPK16" s="314" t="s">
        <v>203</v>
      </c>
      <c r="TPL16" s="314" t="s">
        <v>203</v>
      </c>
      <c r="TPM16" s="314" t="s">
        <v>203</v>
      </c>
      <c r="TPN16" s="314" t="s">
        <v>203</v>
      </c>
      <c r="TPO16" s="314" t="s">
        <v>203</v>
      </c>
      <c r="TPP16" s="314" t="s">
        <v>203</v>
      </c>
      <c r="TPQ16" s="314" t="s">
        <v>203</v>
      </c>
      <c r="TPR16" s="314" t="s">
        <v>203</v>
      </c>
      <c r="TPS16" s="314" t="s">
        <v>203</v>
      </c>
      <c r="TPT16" s="314" t="s">
        <v>203</v>
      </c>
      <c r="TPU16" s="314" t="s">
        <v>203</v>
      </c>
      <c r="TPV16" s="314" t="s">
        <v>203</v>
      </c>
      <c r="TPW16" s="314" t="s">
        <v>203</v>
      </c>
      <c r="TPX16" s="314" t="s">
        <v>203</v>
      </c>
      <c r="TPY16" s="314" t="s">
        <v>203</v>
      </c>
      <c r="TPZ16" s="314" t="s">
        <v>203</v>
      </c>
      <c r="TQA16" s="314" t="s">
        <v>203</v>
      </c>
      <c r="TQB16" s="314" t="s">
        <v>203</v>
      </c>
      <c r="TQC16" s="314" t="s">
        <v>203</v>
      </c>
      <c r="TQD16" s="314" t="s">
        <v>203</v>
      </c>
      <c r="TQE16" s="314" t="s">
        <v>203</v>
      </c>
      <c r="TQF16" s="314" t="s">
        <v>203</v>
      </c>
      <c r="TQG16" s="314" t="s">
        <v>203</v>
      </c>
      <c r="TQH16" s="314" t="s">
        <v>203</v>
      </c>
      <c r="TQI16" s="314" t="s">
        <v>203</v>
      </c>
      <c r="TQJ16" s="314" t="s">
        <v>203</v>
      </c>
      <c r="TQK16" s="314" t="s">
        <v>203</v>
      </c>
      <c r="TQL16" s="314" t="s">
        <v>203</v>
      </c>
      <c r="TQM16" s="314" t="s">
        <v>203</v>
      </c>
      <c r="TQN16" s="314" t="s">
        <v>203</v>
      </c>
      <c r="TQO16" s="314" t="s">
        <v>203</v>
      </c>
      <c r="TQP16" s="314" t="s">
        <v>203</v>
      </c>
      <c r="TQQ16" s="314" t="s">
        <v>203</v>
      </c>
      <c r="TQR16" s="314" t="s">
        <v>203</v>
      </c>
      <c r="TQS16" s="314" t="s">
        <v>203</v>
      </c>
      <c r="TQT16" s="314" t="s">
        <v>203</v>
      </c>
      <c r="TQU16" s="314" t="s">
        <v>203</v>
      </c>
      <c r="TQV16" s="314" t="s">
        <v>203</v>
      </c>
      <c r="TQW16" s="314" t="s">
        <v>203</v>
      </c>
      <c r="TQX16" s="314" t="s">
        <v>203</v>
      </c>
      <c r="TQY16" s="314" t="s">
        <v>203</v>
      </c>
      <c r="TQZ16" s="314" t="s">
        <v>203</v>
      </c>
      <c r="TRA16" s="314" t="s">
        <v>203</v>
      </c>
      <c r="TRB16" s="314" t="s">
        <v>203</v>
      </c>
      <c r="TRC16" s="314" t="s">
        <v>203</v>
      </c>
      <c r="TRD16" s="314" t="s">
        <v>203</v>
      </c>
      <c r="TRE16" s="314" t="s">
        <v>203</v>
      </c>
      <c r="TRF16" s="314" t="s">
        <v>203</v>
      </c>
      <c r="TRG16" s="314" t="s">
        <v>203</v>
      </c>
      <c r="TRH16" s="314" t="s">
        <v>203</v>
      </c>
      <c r="TRI16" s="314" t="s">
        <v>203</v>
      </c>
      <c r="TRJ16" s="314" t="s">
        <v>203</v>
      </c>
      <c r="TRK16" s="314" t="s">
        <v>203</v>
      </c>
      <c r="TRL16" s="314" t="s">
        <v>203</v>
      </c>
      <c r="TRM16" s="314" t="s">
        <v>203</v>
      </c>
      <c r="TRN16" s="314" t="s">
        <v>203</v>
      </c>
      <c r="TRO16" s="314" t="s">
        <v>203</v>
      </c>
      <c r="TRP16" s="314" t="s">
        <v>203</v>
      </c>
      <c r="TRQ16" s="314" t="s">
        <v>203</v>
      </c>
      <c r="TRR16" s="314" t="s">
        <v>203</v>
      </c>
      <c r="TRS16" s="314" t="s">
        <v>203</v>
      </c>
      <c r="TRT16" s="314" t="s">
        <v>203</v>
      </c>
      <c r="TRU16" s="314" t="s">
        <v>203</v>
      </c>
      <c r="TRV16" s="314" t="s">
        <v>203</v>
      </c>
      <c r="TRW16" s="314" t="s">
        <v>203</v>
      </c>
      <c r="TRX16" s="314" t="s">
        <v>203</v>
      </c>
      <c r="TRY16" s="314" t="s">
        <v>203</v>
      </c>
      <c r="TRZ16" s="314" t="s">
        <v>203</v>
      </c>
      <c r="TSA16" s="314" t="s">
        <v>203</v>
      </c>
      <c r="TSB16" s="314" t="s">
        <v>203</v>
      </c>
      <c r="TSC16" s="314" t="s">
        <v>203</v>
      </c>
      <c r="TSD16" s="314" t="s">
        <v>203</v>
      </c>
      <c r="TSE16" s="314" t="s">
        <v>203</v>
      </c>
      <c r="TSF16" s="314" t="s">
        <v>203</v>
      </c>
      <c r="TSG16" s="314" t="s">
        <v>203</v>
      </c>
      <c r="TSH16" s="314" t="s">
        <v>203</v>
      </c>
      <c r="TSI16" s="314" t="s">
        <v>203</v>
      </c>
      <c r="TSJ16" s="314" t="s">
        <v>203</v>
      </c>
      <c r="TSK16" s="314" t="s">
        <v>203</v>
      </c>
      <c r="TSL16" s="314" t="s">
        <v>203</v>
      </c>
      <c r="TSM16" s="314" t="s">
        <v>203</v>
      </c>
      <c r="TSN16" s="314" t="s">
        <v>203</v>
      </c>
      <c r="TSO16" s="314" t="s">
        <v>203</v>
      </c>
      <c r="TSP16" s="314" t="s">
        <v>203</v>
      </c>
      <c r="TSQ16" s="314" t="s">
        <v>203</v>
      </c>
      <c r="TSR16" s="314" t="s">
        <v>203</v>
      </c>
      <c r="TSS16" s="314" t="s">
        <v>203</v>
      </c>
      <c r="TST16" s="314" t="s">
        <v>203</v>
      </c>
      <c r="TSU16" s="314" t="s">
        <v>203</v>
      </c>
      <c r="TSV16" s="314" t="s">
        <v>203</v>
      </c>
      <c r="TSW16" s="314" t="s">
        <v>203</v>
      </c>
      <c r="TSX16" s="314" t="s">
        <v>203</v>
      </c>
      <c r="TSY16" s="314" t="s">
        <v>203</v>
      </c>
      <c r="TSZ16" s="314" t="s">
        <v>203</v>
      </c>
      <c r="TTA16" s="314" t="s">
        <v>203</v>
      </c>
      <c r="TTB16" s="314" t="s">
        <v>203</v>
      </c>
      <c r="TTC16" s="314" t="s">
        <v>203</v>
      </c>
      <c r="TTD16" s="314" t="s">
        <v>203</v>
      </c>
      <c r="TTE16" s="314" t="s">
        <v>203</v>
      </c>
      <c r="TTF16" s="314" t="s">
        <v>203</v>
      </c>
      <c r="TTG16" s="314" t="s">
        <v>203</v>
      </c>
      <c r="TTH16" s="314" t="s">
        <v>203</v>
      </c>
      <c r="TTI16" s="314" t="s">
        <v>203</v>
      </c>
      <c r="TTJ16" s="314" t="s">
        <v>203</v>
      </c>
      <c r="TTK16" s="314" t="s">
        <v>203</v>
      </c>
      <c r="TTL16" s="314" t="s">
        <v>203</v>
      </c>
      <c r="TTM16" s="314" t="s">
        <v>203</v>
      </c>
      <c r="TTN16" s="314" t="s">
        <v>203</v>
      </c>
      <c r="TTO16" s="314" t="s">
        <v>203</v>
      </c>
      <c r="TTP16" s="314" t="s">
        <v>203</v>
      </c>
      <c r="TTQ16" s="314" t="s">
        <v>203</v>
      </c>
      <c r="TTR16" s="314" t="s">
        <v>203</v>
      </c>
      <c r="TTS16" s="314" t="s">
        <v>203</v>
      </c>
      <c r="TTT16" s="314" t="s">
        <v>203</v>
      </c>
      <c r="TTU16" s="314" t="s">
        <v>203</v>
      </c>
      <c r="TTV16" s="314" t="s">
        <v>203</v>
      </c>
      <c r="TTW16" s="314" t="s">
        <v>203</v>
      </c>
      <c r="TTX16" s="314" t="s">
        <v>203</v>
      </c>
      <c r="TTY16" s="314" t="s">
        <v>203</v>
      </c>
      <c r="TTZ16" s="314" t="s">
        <v>203</v>
      </c>
      <c r="TUA16" s="314" t="s">
        <v>203</v>
      </c>
      <c r="TUB16" s="314" t="s">
        <v>203</v>
      </c>
      <c r="TUC16" s="314" t="s">
        <v>203</v>
      </c>
      <c r="TUD16" s="314" t="s">
        <v>203</v>
      </c>
      <c r="TUE16" s="314" t="s">
        <v>203</v>
      </c>
      <c r="TUF16" s="314" t="s">
        <v>203</v>
      </c>
      <c r="TUG16" s="314" t="s">
        <v>203</v>
      </c>
      <c r="TUH16" s="314" t="s">
        <v>203</v>
      </c>
      <c r="TUI16" s="314" t="s">
        <v>203</v>
      </c>
      <c r="TUJ16" s="314" t="s">
        <v>203</v>
      </c>
      <c r="TUK16" s="314" t="s">
        <v>203</v>
      </c>
      <c r="TUL16" s="314" t="s">
        <v>203</v>
      </c>
      <c r="TUM16" s="314" t="s">
        <v>203</v>
      </c>
      <c r="TUN16" s="314" t="s">
        <v>203</v>
      </c>
      <c r="TUO16" s="314" t="s">
        <v>203</v>
      </c>
      <c r="TUP16" s="314" t="s">
        <v>203</v>
      </c>
      <c r="TUQ16" s="314" t="s">
        <v>203</v>
      </c>
      <c r="TUR16" s="314" t="s">
        <v>203</v>
      </c>
      <c r="TUS16" s="314" t="s">
        <v>203</v>
      </c>
      <c r="TUT16" s="314" t="s">
        <v>203</v>
      </c>
      <c r="TUU16" s="314" t="s">
        <v>203</v>
      </c>
      <c r="TUV16" s="314" t="s">
        <v>203</v>
      </c>
      <c r="TUW16" s="314" t="s">
        <v>203</v>
      </c>
      <c r="TUX16" s="314" t="s">
        <v>203</v>
      </c>
      <c r="TUY16" s="314" t="s">
        <v>203</v>
      </c>
      <c r="TUZ16" s="314" t="s">
        <v>203</v>
      </c>
      <c r="TVA16" s="314" t="s">
        <v>203</v>
      </c>
      <c r="TVB16" s="314" t="s">
        <v>203</v>
      </c>
      <c r="TVC16" s="314" t="s">
        <v>203</v>
      </c>
      <c r="TVD16" s="314" t="s">
        <v>203</v>
      </c>
      <c r="TVE16" s="314" t="s">
        <v>203</v>
      </c>
      <c r="TVF16" s="314" t="s">
        <v>203</v>
      </c>
      <c r="TVG16" s="314" t="s">
        <v>203</v>
      </c>
      <c r="TVH16" s="314" t="s">
        <v>203</v>
      </c>
      <c r="TVI16" s="314" t="s">
        <v>203</v>
      </c>
      <c r="TVJ16" s="314" t="s">
        <v>203</v>
      </c>
      <c r="TVK16" s="314" t="s">
        <v>203</v>
      </c>
      <c r="TVL16" s="314" t="s">
        <v>203</v>
      </c>
      <c r="TVM16" s="314" t="s">
        <v>203</v>
      </c>
      <c r="TVN16" s="314" t="s">
        <v>203</v>
      </c>
      <c r="TVO16" s="314" t="s">
        <v>203</v>
      </c>
      <c r="TVP16" s="314" t="s">
        <v>203</v>
      </c>
      <c r="TVQ16" s="314" t="s">
        <v>203</v>
      </c>
      <c r="TVR16" s="314" t="s">
        <v>203</v>
      </c>
      <c r="TVS16" s="314" t="s">
        <v>203</v>
      </c>
      <c r="TVT16" s="314" t="s">
        <v>203</v>
      </c>
      <c r="TVU16" s="314" t="s">
        <v>203</v>
      </c>
      <c r="TVV16" s="314" t="s">
        <v>203</v>
      </c>
      <c r="TVW16" s="314" t="s">
        <v>203</v>
      </c>
      <c r="TVX16" s="314" t="s">
        <v>203</v>
      </c>
      <c r="TVY16" s="314" t="s">
        <v>203</v>
      </c>
      <c r="TVZ16" s="314" t="s">
        <v>203</v>
      </c>
      <c r="TWA16" s="314" t="s">
        <v>203</v>
      </c>
      <c r="TWB16" s="314" t="s">
        <v>203</v>
      </c>
      <c r="TWC16" s="314" t="s">
        <v>203</v>
      </c>
      <c r="TWD16" s="314" t="s">
        <v>203</v>
      </c>
      <c r="TWE16" s="314" t="s">
        <v>203</v>
      </c>
      <c r="TWF16" s="314" t="s">
        <v>203</v>
      </c>
      <c r="TWG16" s="314" t="s">
        <v>203</v>
      </c>
      <c r="TWH16" s="314" t="s">
        <v>203</v>
      </c>
      <c r="TWI16" s="314" t="s">
        <v>203</v>
      </c>
      <c r="TWJ16" s="314" t="s">
        <v>203</v>
      </c>
      <c r="TWK16" s="314" t="s">
        <v>203</v>
      </c>
      <c r="TWL16" s="314" t="s">
        <v>203</v>
      </c>
      <c r="TWM16" s="314" t="s">
        <v>203</v>
      </c>
      <c r="TWN16" s="314" t="s">
        <v>203</v>
      </c>
      <c r="TWO16" s="314" t="s">
        <v>203</v>
      </c>
      <c r="TWP16" s="314" t="s">
        <v>203</v>
      </c>
      <c r="TWQ16" s="314" t="s">
        <v>203</v>
      </c>
      <c r="TWR16" s="314" t="s">
        <v>203</v>
      </c>
      <c r="TWS16" s="314" t="s">
        <v>203</v>
      </c>
      <c r="TWT16" s="314" t="s">
        <v>203</v>
      </c>
      <c r="TWU16" s="314" t="s">
        <v>203</v>
      </c>
      <c r="TWV16" s="314" t="s">
        <v>203</v>
      </c>
      <c r="TWW16" s="314" t="s">
        <v>203</v>
      </c>
      <c r="TWX16" s="314" t="s">
        <v>203</v>
      </c>
      <c r="TWY16" s="314" t="s">
        <v>203</v>
      </c>
      <c r="TWZ16" s="314" t="s">
        <v>203</v>
      </c>
      <c r="TXA16" s="314" t="s">
        <v>203</v>
      </c>
      <c r="TXB16" s="314" t="s">
        <v>203</v>
      </c>
      <c r="TXC16" s="314" t="s">
        <v>203</v>
      </c>
      <c r="TXD16" s="314" t="s">
        <v>203</v>
      </c>
      <c r="TXE16" s="314" t="s">
        <v>203</v>
      </c>
      <c r="TXF16" s="314" t="s">
        <v>203</v>
      </c>
      <c r="TXG16" s="314" t="s">
        <v>203</v>
      </c>
      <c r="TXH16" s="314" t="s">
        <v>203</v>
      </c>
      <c r="TXI16" s="314" t="s">
        <v>203</v>
      </c>
      <c r="TXJ16" s="314" t="s">
        <v>203</v>
      </c>
      <c r="TXK16" s="314" t="s">
        <v>203</v>
      </c>
      <c r="TXL16" s="314" t="s">
        <v>203</v>
      </c>
      <c r="TXM16" s="314" t="s">
        <v>203</v>
      </c>
      <c r="TXN16" s="314" t="s">
        <v>203</v>
      </c>
      <c r="TXO16" s="314" t="s">
        <v>203</v>
      </c>
      <c r="TXP16" s="314" t="s">
        <v>203</v>
      </c>
      <c r="TXQ16" s="314" t="s">
        <v>203</v>
      </c>
      <c r="TXR16" s="314" t="s">
        <v>203</v>
      </c>
      <c r="TXS16" s="314" t="s">
        <v>203</v>
      </c>
      <c r="TXT16" s="314" t="s">
        <v>203</v>
      </c>
      <c r="TXU16" s="314" t="s">
        <v>203</v>
      </c>
      <c r="TXV16" s="314" t="s">
        <v>203</v>
      </c>
      <c r="TXW16" s="314" t="s">
        <v>203</v>
      </c>
      <c r="TXX16" s="314" t="s">
        <v>203</v>
      </c>
      <c r="TXY16" s="314" t="s">
        <v>203</v>
      </c>
      <c r="TXZ16" s="314" t="s">
        <v>203</v>
      </c>
      <c r="TYA16" s="314" t="s">
        <v>203</v>
      </c>
      <c r="TYB16" s="314" t="s">
        <v>203</v>
      </c>
      <c r="TYC16" s="314" t="s">
        <v>203</v>
      </c>
      <c r="TYD16" s="314" t="s">
        <v>203</v>
      </c>
      <c r="TYE16" s="314" t="s">
        <v>203</v>
      </c>
      <c r="TYF16" s="314" t="s">
        <v>203</v>
      </c>
      <c r="TYG16" s="314" t="s">
        <v>203</v>
      </c>
      <c r="TYH16" s="314" t="s">
        <v>203</v>
      </c>
      <c r="TYI16" s="314" t="s">
        <v>203</v>
      </c>
      <c r="TYJ16" s="314" t="s">
        <v>203</v>
      </c>
      <c r="TYK16" s="314" t="s">
        <v>203</v>
      </c>
      <c r="TYL16" s="314" t="s">
        <v>203</v>
      </c>
      <c r="TYM16" s="314" t="s">
        <v>203</v>
      </c>
      <c r="TYN16" s="314" t="s">
        <v>203</v>
      </c>
      <c r="TYO16" s="314" t="s">
        <v>203</v>
      </c>
      <c r="TYP16" s="314" t="s">
        <v>203</v>
      </c>
      <c r="TYQ16" s="314" t="s">
        <v>203</v>
      </c>
      <c r="TYR16" s="314" t="s">
        <v>203</v>
      </c>
      <c r="TYS16" s="314" t="s">
        <v>203</v>
      </c>
      <c r="TYT16" s="314" t="s">
        <v>203</v>
      </c>
      <c r="TYU16" s="314" t="s">
        <v>203</v>
      </c>
      <c r="TYV16" s="314" t="s">
        <v>203</v>
      </c>
      <c r="TYW16" s="314" t="s">
        <v>203</v>
      </c>
      <c r="TYX16" s="314" t="s">
        <v>203</v>
      </c>
      <c r="TYY16" s="314" t="s">
        <v>203</v>
      </c>
      <c r="TYZ16" s="314" t="s">
        <v>203</v>
      </c>
      <c r="TZA16" s="314" t="s">
        <v>203</v>
      </c>
      <c r="TZB16" s="314" t="s">
        <v>203</v>
      </c>
      <c r="TZC16" s="314" t="s">
        <v>203</v>
      </c>
      <c r="TZD16" s="314" t="s">
        <v>203</v>
      </c>
      <c r="TZE16" s="314" t="s">
        <v>203</v>
      </c>
      <c r="TZF16" s="314" t="s">
        <v>203</v>
      </c>
      <c r="TZG16" s="314" t="s">
        <v>203</v>
      </c>
      <c r="TZH16" s="314" t="s">
        <v>203</v>
      </c>
      <c r="TZI16" s="314" t="s">
        <v>203</v>
      </c>
      <c r="TZJ16" s="314" t="s">
        <v>203</v>
      </c>
      <c r="TZK16" s="314" t="s">
        <v>203</v>
      </c>
      <c r="TZL16" s="314" t="s">
        <v>203</v>
      </c>
      <c r="TZM16" s="314" t="s">
        <v>203</v>
      </c>
      <c r="TZN16" s="314" t="s">
        <v>203</v>
      </c>
      <c r="TZO16" s="314" t="s">
        <v>203</v>
      </c>
      <c r="TZP16" s="314" t="s">
        <v>203</v>
      </c>
      <c r="TZQ16" s="314" t="s">
        <v>203</v>
      </c>
      <c r="TZR16" s="314" t="s">
        <v>203</v>
      </c>
      <c r="TZS16" s="314" t="s">
        <v>203</v>
      </c>
      <c r="TZT16" s="314" t="s">
        <v>203</v>
      </c>
      <c r="TZU16" s="314" t="s">
        <v>203</v>
      </c>
      <c r="TZV16" s="314" t="s">
        <v>203</v>
      </c>
      <c r="TZW16" s="314" t="s">
        <v>203</v>
      </c>
      <c r="TZX16" s="314" t="s">
        <v>203</v>
      </c>
      <c r="TZY16" s="314" t="s">
        <v>203</v>
      </c>
      <c r="TZZ16" s="314" t="s">
        <v>203</v>
      </c>
      <c r="UAA16" s="314" t="s">
        <v>203</v>
      </c>
      <c r="UAB16" s="314" t="s">
        <v>203</v>
      </c>
      <c r="UAC16" s="314" t="s">
        <v>203</v>
      </c>
      <c r="UAD16" s="314" t="s">
        <v>203</v>
      </c>
      <c r="UAE16" s="314" t="s">
        <v>203</v>
      </c>
      <c r="UAF16" s="314" t="s">
        <v>203</v>
      </c>
      <c r="UAG16" s="314" t="s">
        <v>203</v>
      </c>
      <c r="UAH16" s="314" t="s">
        <v>203</v>
      </c>
      <c r="UAI16" s="314" t="s">
        <v>203</v>
      </c>
      <c r="UAJ16" s="314" t="s">
        <v>203</v>
      </c>
      <c r="UAK16" s="314" t="s">
        <v>203</v>
      </c>
      <c r="UAL16" s="314" t="s">
        <v>203</v>
      </c>
      <c r="UAM16" s="314" t="s">
        <v>203</v>
      </c>
      <c r="UAN16" s="314" t="s">
        <v>203</v>
      </c>
      <c r="UAO16" s="314" t="s">
        <v>203</v>
      </c>
      <c r="UAP16" s="314" t="s">
        <v>203</v>
      </c>
      <c r="UAQ16" s="314" t="s">
        <v>203</v>
      </c>
      <c r="UAR16" s="314" t="s">
        <v>203</v>
      </c>
      <c r="UAS16" s="314" t="s">
        <v>203</v>
      </c>
      <c r="UAT16" s="314" t="s">
        <v>203</v>
      </c>
      <c r="UAU16" s="314" t="s">
        <v>203</v>
      </c>
      <c r="UAV16" s="314" t="s">
        <v>203</v>
      </c>
      <c r="UAW16" s="314" t="s">
        <v>203</v>
      </c>
      <c r="UAX16" s="314" t="s">
        <v>203</v>
      </c>
      <c r="UAY16" s="314" t="s">
        <v>203</v>
      </c>
      <c r="UAZ16" s="314" t="s">
        <v>203</v>
      </c>
      <c r="UBA16" s="314" t="s">
        <v>203</v>
      </c>
      <c r="UBB16" s="314" t="s">
        <v>203</v>
      </c>
      <c r="UBC16" s="314" t="s">
        <v>203</v>
      </c>
      <c r="UBD16" s="314" t="s">
        <v>203</v>
      </c>
      <c r="UBE16" s="314" t="s">
        <v>203</v>
      </c>
      <c r="UBF16" s="314" t="s">
        <v>203</v>
      </c>
      <c r="UBG16" s="314" t="s">
        <v>203</v>
      </c>
      <c r="UBH16" s="314" t="s">
        <v>203</v>
      </c>
      <c r="UBI16" s="314" t="s">
        <v>203</v>
      </c>
      <c r="UBJ16" s="314" t="s">
        <v>203</v>
      </c>
      <c r="UBK16" s="314" t="s">
        <v>203</v>
      </c>
      <c r="UBL16" s="314" t="s">
        <v>203</v>
      </c>
      <c r="UBM16" s="314" t="s">
        <v>203</v>
      </c>
      <c r="UBN16" s="314" t="s">
        <v>203</v>
      </c>
      <c r="UBO16" s="314" t="s">
        <v>203</v>
      </c>
      <c r="UBP16" s="314" t="s">
        <v>203</v>
      </c>
      <c r="UBQ16" s="314" t="s">
        <v>203</v>
      </c>
      <c r="UBR16" s="314" t="s">
        <v>203</v>
      </c>
      <c r="UBS16" s="314" t="s">
        <v>203</v>
      </c>
      <c r="UBT16" s="314" t="s">
        <v>203</v>
      </c>
      <c r="UBU16" s="314" t="s">
        <v>203</v>
      </c>
      <c r="UBV16" s="314" t="s">
        <v>203</v>
      </c>
      <c r="UBW16" s="314" t="s">
        <v>203</v>
      </c>
      <c r="UBX16" s="314" t="s">
        <v>203</v>
      </c>
      <c r="UBY16" s="314" t="s">
        <v>203</v>
      </c>
      <c r="UBZ16" s="314" t="s">
        <v>203</v>
      </c>
      <c r="UCA16" s="314" t="s">
        <v>203</v>
      </c>
      <c r="UCB16" s="314" t="s">
        <v>203</v>
      </c>
      <c r="UCC16" s="314" t="s">
        <v>203</v>
      </c>
      <c r="UCD16" s="314" t="s">
        <v>203</v>
      </c>
      <c r="UCE16" s="314" t="s">
        <v>203</v>
      </c>
      <c r="UCF16" s="314" t="s">
        <v>203</v>
      </c>
      <c r="UCG16" s="314" t="s">
        <v>203</v>
      </c>
      <c r="UCH16" s="314" t="s">
        <v>203</v>
      </c>
      <c r="UCI16" s="314" t="s">
        <v>203</v>
      </c>
      <c r="UCJ16" s="314" t="s">
        <v>203</v>
      </c>
      <c r="UCK16" s="314" t="s">
        <v>203</v>
      </c>
      <c r="UCL16" s="314" t="s">
        <v>203</v>
      </c>
      <c r="UCM16" s="314" t="s">
        <v>203</v>
      </c>
      <c r="UCN16" s="314" t="s">
        <v>203</v>
      </c>
      <c r="UCO16" s="314" t="s">
        <v>203</v>
      </c>
      <c r="UCP16" s="314" t="s">
        <v>203</v>
      </c>
      <c r="UCQ16" s="314" t="s">
        <v>203</v>
      </c>
      <c r="UCR16" s="314" t="s">
        <v>203</v>
      </c>
      <c r="UCS16" s="314" t="s">
        <v>203</v>
      </c>
      <c r="UCT16" s="314" t="s">
        <v>203</v>
      </c>
      <c r="UCU16" s="314" t="s">
        <v>203</v>
      </c>
      <c r="UCV16" s="314" t="s">
        <v>203</v>
      </c>
      <c r="UCW16" s="314" t="s">
        <v>203</v>
      </c>
      <c r="UCX16" s="314" t="s">
        <v>203</v>
      </c>
      <c r="UCY16" s="314" t="s">
        <v>203</v>
      </c>
      <c r="UCZ16" s="314" t="s">
        <v>203</v>
      </c>
      <c r="UDA16" s="314" t="s">
        <v>203</v>
      </c>
      <c r="UDB16" s="314" t="s">
        <v>203</v>
      </c>
      <c r="UDC16" s="314" t="s">
        <v>203</v>
      </c>
      <c r="UDD16" s="314" t="s">
        <v>203</v>
      </c>
      <c r="UDE16" s="314" t="s">
        <v>203</v>
      </c>
      <c r="UDF16" s="314" t="s">
        <v>203</v>
      </c>
      <c r="UDG16" s="314" t="s">
        <v>203</v>
      </c>
      <c r="UDH16" s="314" t="s">
        <v>203</v>
      </c>
      <c r="UDI16" s="314" t="s">
        <v>203</v>
      </c>
      <c r="UDJ16" s="314" t="s">
        <v>203</v>
      </c>
      <c r="UDK16" s="314" t="s">
        <v>203</v>
      </c>
      <c r="UDL16" s="314" t="s">
        <v>203</v>
      </c>
      <c r="UDM16" s="314" t="s">
        <v>203</v>
      </c>
      <c r="UDN16" s="314" t="s">
        <v>203</v>
      </c>
      <c r="UDO16" s="314" t="s">
        <v>203</v>
      </c>
      <c r="UDP16" s="314" t="s">
        <v>203</v>
      </c>
      <c r="UDQ16" s="314" t="s">
        <v>203</v>
      </c>
      <c r="UDR16" s="314" t="s">
        <v>203</v>
      </c>
      <c r="UDS16" s="314" t="s">
        <v>203</v>
      </c>
      <c r="UDT16" s="314" t="s">
        <v>203</v>
      </c>
      <c r="UDU16" s="314" t="s">
        <v>203</v>
      </c>
      <c r="UDV16" s="314" t="s">
        <v>203</v>
      </c>
      <c r="UDW16" s="314" t="s">
        <v>203</v>
      </c>
      <c r="UDX16" s="314" t="s">
        <v>203</v>
      </c>
      <c r="UDY16" s="314" t="s">
        <v>203</v>
      </c>
      <c r="UDZ16" s="314" t="s">
        <v>203</v>
      </c>
      <c r="UEA16" s="314" t="s">
        <v>203</v>
      </c>
      <c r="UEB16" s="314" t="s">
        <v>203</v>
      </c>
      <c r="UEC16" s="314" t="s">
        <v>203</v>
      </c>
      <c r="UED16" s="314" t="s">
        <v>203</v>
      </c>
      <c r="UEE16" s="314" t="s">
        <v>203</v>
      </c>
      <c r="UEF16" s="314" t="s">
        <v>203</v>
      </c>
      <c r="UEG16" s="314" t="s">
        <v>203</v>
      </c>
      <c r="UEH16" s="314" t="s">
        <v>203</v>
      </c>
      <c r="UEI16" s="314" t="s">
        <v>203</v>
      </c>
      <c r="UEJ16" s="314" t="s">
        <v>203</v>
      </c>
      <c r="UEK16" s="314" t="s">
        <v>203</v>
      </c>
      <c r="UEL16" s="314" t="s">
        <v>203</v>
      </c>
      <c r="UEM16" s="314" t="s">
        <v>203</v>
      </c>
      <c r="UEN16" s="314" t="s">
        <v>203</v>
      </c>
      <c r="UEO16" s="314" t="s">
        <v>203</v>
      </c>
      <c r="UEP16" s="314" t="s">
        <v>203</v>
      </c>
      <c r="UEQ16" s="314" t="s">
        <v>203</v>
      </c>
      <c r="UER16" s="314" t="s">
        <v>203</v>
      </c>
      <c r="UES16" s="314" t="s">
        <v>203</v>
      </c>
      <c r="UET16" s="314" t="s">
        <v>203</v>
      </c>
      <c r="UEU16" s="314" t="s">
        <v>203</v>
      </c>
      <c r="UEV16" s="314" t="s">
        <v>203</v>
      </c>
      <c r="UEW16" s="314" t="s">
        <v>203</v>
      </c>
      <c r="UEX16" s="314" t="s">
        <v>203</v>
      </c>
      <c r="UEY16" s="314" t="s">
        <v>203</v>
      </c>
      <c r="UEZ16" s="314" t="s">
        <v>203</v>
      </c>
      <c r="UFA16" s="314" t="s">
        <v>203</v>
      </c>
      <c r="UFB16" s="314" t="s">
        <v>203</v>
      </c>
      <c r="UFC16" s="314" t="s">
        <v>203</v>
      </c>
      <c r="UFD16" s="314" t="s">
        <v>203</v>
      </c>
      <c r="UFE16" s="314" t="s">
        <v>203</v>
      </c>
      <c r="UFF16" s="314" t="s">
        <v>203</v>
      </c>
      <c r="UFG16" s="314" t="s">
        <v>203</v>
      </c>
      <c r="UFH16" s="314" t="s">
        <v>203</v>
      </c>
      <c r="UFI16" s="314" t="s">
        <v>203</v>
      </c>
      <c r="UFJ16" s="314" t="s">
        <v>203</v>
      </c>
      <c r="UFK16" s="314" t="s">
        <v>203</v>
      </c>
      <c r="UFL16" s="314" t="s">
        <v>203</v>
      </c>
      <c r="UFM16" s="314" t="s">
        <v>203</v>
      </c>
      <c r="UFN16" s="314" t="s">
        <v>203</v>
      </c>
      <c r="UFO16" s="314" t="s">
        <v>203</v>
      </c>
      <c r="UFP16" s="314" t="s">
        <v>203</v>
      </c>
      <c r="UFQ16" s="314" t="s">
        <v>203</v>
      </c>
      <c r="UFR16" s="314" t="s">
        <v>203</v>
      </c>
      <c r="UFS16" s="314" t="s">
        <v>203</v>
      </c>
      <c r="UFT16" s="314" t="s">
        <v>203</v>
      </c>
      <c r="UFU16" s="314" t="s">
        <v>203</v>
      </c>
      <c r="UFV16" s="314" t="s">
        <v>203</v>
      </c>
      <c r="UFW16" s="314" t="s">
        <v>203</v>
      </c>
      <c r="UFX16" s="314" t="s">
        <v>203</v>
      </c>
      <c r="UFY16" s="314" t="s">
        <v>203</v>
      </c>
      <c r="UFZ16" s="314" t="s">
        <v>203</v>
      </c>
      <c r="UGA16" s="314" t="s">
        <v>203</v>
      </c>
      <c r="UGB16" s="314" t="s">
        <v>203</v>
      </c>
      <c r="UGC16" s="314" t="s">
        <v>203</v>
      </c>
      <c r="UGD16" s="314" t="s">
        <v>203</v>
      </c>
      <c r="UGE16" s="314" t="s">
        <v>203</v>
      </c>
      <c r="UGF16" s="314" t="s">
        <v>203</v>
      </c>
      <c r="UGG16" s="314" t="s">
        <v>203</v>
      </c>
      <c r="UGH16" s="314" t="s">
        <v>203</v>
      </c>
      <c r="UGI16" s="314" t="s">
        <v>203</v>
      </c>
      <c r="UGJ16" s="314" t="s">
        <v>203</v>
      </c>
      <c r="UGK16" s="314" t="s">
        <v>203</v>
      </c>
      <c r="UGL16" s="314" t="s">
        <v>203</v>
      </c>
      <c r="UGM16" s="314" t="s">
        <v>203</v>
      </c>
      <c r="UGN16" s="314" t="s">
        <v>203</v>
      </c>
      <c r="UGO16" s="314" t="s">
        <v>203</v>
      </c>
      <c r="UGP16" s="314" t="s">
        <v>203</v>
      </c>
      <c r="UGQ16" s="314" t="s">
        <v>203</v>
      </c>
      <c r="UGR16" s="314" t="s">
        <v>203</v>
      </c>
      <c r="UGS16" s="314" t="s">
        <v>203</v>
      </c>
      <c r="UGT16" s="314" t="s">
        <v>203</v>
      </c>
      <c r="UGU16" s="314" t="s">
        <v>203</v>
      </c>
      <c r="UGV16" s="314" t="s">
        <v>203</v>
      </c>
      <c r="UGW16" s="314" t="s">
        <v>203</v>
      </c>
      <c r="UGX16" s="314" t="s">
        <v>203</v>
      </c>
      <c r="UGY16" s="314" t="s">
        <v>203</v>
      </c>
      <c r="UGZ16" s="314" t="s">
        <v>203</v>
      </c>
      <c r="UHA16" s="314" t="s">
        <v>203</v>
      </c>
      <c r="UHB16" s="314" t="s">
        <v>203</v>
      </c>
      <c r="UHC16" s="314" t="s">
        <v>203</v>
      </c>
      <c r="UHD16" s="314" t="s">
        <v>203</v>
      </c>
      <c r="UHE16" s="314" t="s">
        <v>203</v>
      </c>
      <c r="UHF16" s="314" t="s">
        <v>203</v>
      </c>
      <c r="UHG16" s="314" t="s">
        <v>203</v>
      </c>
      <c r="UHH16" s="314" t="s">
        <v>203</v>
      </c>
      <c r="UHI16" s="314" t="s">
        <v>203</v>
      </c>
      <c r="UHJ16" s="314" t="s">
        <v>203</v>
      </c>
      <c r="UHK16" s="314" t="s">
        <v>203</v>
      </c>
      <c r="UHL16" s="314" t="s">
        <v>203</v>
      </c>
      <c r="UHM16" s="314" t="s">
        <v>203</v>
      </c>
      <c r="UHN16" s="314" t="s">
        <v>203</v>
      </c>
      <c r="UHO16" s="314" t="s">
        <v>203</v>
      </c>
      <c r="UHP16" s="314" t="s">
        <v>203</v>
      </c>
      <c r="UHQ16" s="314" t="s">
        <v>203</v>
      </c>
      <c r="UHR16" s="314" t="s">
        <v>203</v>
      </c>
      <c r="UHS16" s="314" t="s">
        <v>203</v>
      </c>
      <c r="UHT16" s="314" t="s">
        <v>203</v>
      </c>
      <c r="UHU16" s="314" t="s">
        <v>203</v>
      </c>
      <c r="UHV16" s="314" t="s">
        <v>203</v>
      </c>
      <c r="UHW16" s="314" t="s">
        <v>203</v>
      </c>
      <c r="UHX16" s="314" t="s">
        <v>203</v>
      </c>
      <c r="UHY16" s="314" t="s">
        <v>203</v>
      </c>
      <c r="UHZ16" s="314" t="s">
        <v>203</v>
      </c>
      <c r="UIA16" s="314" t="s">
        <v>203</v>
      </c>
      <c r="UIB16" s="314" t="s">
        <v>203</v>
      </c>
      <c r="UIC16" s="314" t="s">
        <v>203</v>
      </c>
      <c r="UID16" s="314" t="s">
        <v>203</v>
      </c>
      <c r="UIE16" s="314" t="s">
        <v>203</v>
      </c>
      <c r="UIF16" s="314" t="s">
        <v>203</v>
      </c>
      <c r="UIG16" s="314" t="s">
        <v>203</v>
      </c>
      <c r="UIH16" s="314" t="s">
        <v>203</v>
      </c>
      <c r="UII16" s="314" t="s">
        <v>203</v>
      </c>
      <c r="UIJ16" s="314" t="s">
        <v>203</v>
      </c>
      <c r="UIK16" s="314" t="s">
        <v>203</v>
      </c>
      <c r="UIL16" s="314" t="s">
        <v>203</v>
      </c>
      <c r="UIM16" s="314" t="s">
        <v>203</v>
      </c>
      <c r="UIN16" s="314" t="s">
        <v>203</v>
      </c>
      <c r="UIO16" s="314" t="s">
        <v>203</v>
      </c>
      <c r="UIP16" s="314" t="s">
        <v>203</v>
      </c>
      <c r="UIQ16" s="314" t="s">
        <v>203</v>
      </c>
      <c r="UIR16" s="314" t="s">
        <v>203</v>
      </c>
      <c r="UIS16" s="314" t="s">
        <v>203</v>
      </c>
      <c r="UIT16" s="314" t="s">
        <v>203</v>
      </c>
      <c r="UIU16" s="314" t="s">
        <v>203</v>
      </c>
      <c r="UIV16" s="314" t="s">
        <v>203</v>
      </c>
      <c r="UIW16" s="314" t="s">
        <v>203</v>
      </c>
      <c r="UIX16" s="314" t="s">
        <v>203</v>
      </c>
      <c r="UIY16" s="314" t="s">
        <v>203</v>
      </c>
      <c r="UIZ16" s="314" t="s">
        <v>203</v>
      </c>
      <c r="UJA16" s="314" t="s">
        <v>203</v>
      </c>
      <c r="UJB16" s="314" t="s">
        <v>203</v>
      </c>
      <c r="UJC16" s="314" t="s">
        <v>203</v>
      </c>
      <c r="UJD16" s="314" t="s">
        <v>203</v>
      </c>
      <c r="UJE16" s="314" t="s">
        <v>203</v>
      </c>
      <c r="UJF16" s="314" t="s">
        <v>203</v>
      </c>
      <c r="UJG16" s="314" t="s">
        <v>203</v>
      </c>
      <c r="UJH16" s="314" t="s">
        <v>203</v>
      </c>
      <c r="UJI16" s="314" t="s">
        <v>203</v>
      </c>
      <c r="UJJ16" s="314" t="s">
        <v>203</v>
      </c>
      <c r="UJK16" s="314" t="s">
        <v>203</v>
      </c>
      <c r="UJL16" s="314" t="s">
        <v>203</v>
      </c>
      <c r="UJM16" s="314" t="s">
        <v>203</v>
      </c>
      <c r="UJN16" s="314" t="s">
        <v>203</v>
      </c>
      <c r="UJO16" s="314" t="s">
        <v>203</v>
      </c>
      <c r="UJP16" s="314" t="s">
        <v>203</v>
      </c>
      <c r="UJQ16" s="314" t="s">
        <v>203</v>
      </c>
      <c r="UJR16" s="314" t="s">
        <v>203</v>
      </c>
      <c r="UJS16" s="314" t="s">
        <v>203</v>
      </c>
      <c r="UJT16" s="314" t="s">
        <v>203</v>
      </c>
      <c r="UJU16" s="314" t="s">
        <v>203</v>
      </c>
      <c r="UJV16" s="314" t="s">
        <v>203</v>
      </c>
      <c r="UJW16" s="314" t="s">
        <v>203</v>
      </c>
      <c r="UJX16" s="314" t="s">
        <v>203</v>
      </c>
      <c r="UJY16" s="314" t="s">
        <v>203</v>
      </c>
      <c r="UJZ16" s="314" t="s">
        <v>203</v>
      </c>
      <c r="UKA16" s="314" t="s">
        <v>203</v>
      </c>
      <c r="UKB16" s="314" t="s">
        <v>203</v>
      </c>
      <c r="UKC16" s="314" t="s">
        <v>203</v>
      </c>
      <c r="UKD16" s="314" t="s">
        <v>203</v>
      </c>
      <c r="UKE16" s="314" t="s">
        <v>203</v>
      </c>
      <c r="UKF16" s="314" t="s">
        <v>203</v>
      </c>
      <c r="UKG16" s="314" t="s">
        <v>203</v>
      </c>
      <c r="UKH16" s="314" t="s">
        <v>203</v>
      </c>
      <c r="UKI16" s="314" t="s">
        <v>203</v>
      </c>
      <c r="UKJ16" s="314" t="s">
        <v>203</v>
      </c>
      <c r="UKK16" s="314" t="s">
        <v>203</v>
      </c>
      <c r="UKL16" s="314" t="s">
        <v>203</v>
      </c>
      <c r="UKM16" s="314" t="s">
        <v>203</v>
      </c>
      <c r="UKN16" s="314" t="s">
        <v>203</v>
      </c>
      <c r="UKO16" s="314" t="s">
        <v>203</v>
      </c>
      <c r="UKP16" s="314" t="s">
        <v>203</v>
      </c>
      <c r="UKQ16" s="314" t="s">
        <v>203</v>
      </c>
      <c r="UKR16" s="314" t="s">
        <v>203</v>
      </c>
      <c r="UKS16" s="314" t="s">
        <v>203</v>
      </c>
      <c r="UKT16" s="314" t="s">
        <v>203</v>
      </c>
      <c r="UKU16" s="314" t="s">
        <v>203</v>
      </c>
      <c r="UKV16" s="314" t="s">
        <v>203</v>
      </c>
      <c r="UKW16" s="314" t="s">
        <v>203</v>
      </c>
      <c r="UKX16" s="314" t="s">
        <v>203</v>
      </c>
      <c r="UKY16" s="314" t="s">
        <v>203</v>
      </c>
      <c r="UKZ16" s="314" t="s">
        <v>203</v>
      </c>
      <c r="ULA16" s="314" t="s">
        <v>203</v>
      </c>
      <c r="ULB16" s="314" t="s">
        <v>203</v>
      </c>
      <c r="ULC16" s="314" t="s">
        <v>203</v>
      </c>
      <c r="ULD16" s="314" t="s">
        <v>203</v>
      </c>
      <c r="ULE16" s="314" t="s">
        <v>203</v>
      </c>
      <c r="ULF16" s="314" t="s">
        <v>203</v>
      </c>
      <c r="ULG16" s="314" t="s">
        <v>203</v>
      </c>
      <c r="ULH16" s="314" t="s">
        <v>203</v>
      </c>
      <c r="ULI16" s="314" t="s">
        <v>203</v>
      </c>
      <c r="ULJ16" s="314" t="s">
        <v>203</v>
      </c>
      <c r="ULK16" s="314" t="s">
        <v>203</v>
      </c>
      <c r="ULL16" s="314" t="s">
        <v>203</v>
      </c>
      <c r="ULM16" s="314" t="s">
        <v>203</v>
      </c>
      <c r="ULN16" s="314" t="s">
        <v>203</v>
      </c>
      <c r="ULO16" s="314" t="s">
        <v>203</v>
      </c>
      <c r="ULP16" s="314" t="s">
        <v>203</v>
      </c>
      <c r="ULQ16" s="314" t="s">
        <v>203</v>
      </c>
      <c r="ULR16" s="314" t="s">
        <v>203</v>
      </c>
      <c r="ULS16" s="314" t="s">
        <v>203</v>
      </c>
      <c r="ULT16" s="314" t="s">
        <v>203</v>
      </c>
      <c r="ULU16" s="314" t="s">
        <v>203</v>
      </c>
      <c r="ULV16" s="314" t="s">
        <v>203</v>
      </c>
      <c r="ULW16" s="314" t="s">
        <v>203</v>
      </c>
      <c r="ULX16" s="314" t="s">
        <v>203</v>
      </c>
      <c r="ULY16" s="314" t="s">
        <v>203</v>
      </c>
      <c r="ULZ16" s="314" t="s">
        <v>203</v>
      </c>
      <c r="UMA16" s="314" t="s">
        <v>203</v>
      </c>
      <c r="UMB16" s="314" t="s">
        <v>203</v>
      </c>
      <c r="UMC16" s="314" t="s">
        <v>203</v>
      </c>
      <c r="UMD16" s="314" t="s">
        <v>203</v>
      </c>
      <c r="UME16" s="314" t="s">
        <v>203</v>
      </c>
      <c r="UMF16" s="314" t="s">
        <v>203</v>
      </c>
      <c r="UMG16" s="314" t="s">
        <v>203</v>
      </c>
      <c r="UMH16" s="314" t="s">
        <v>203</v>
      </c>
      <c r="UMI16" s="314" t="s">
        <v>203</v>
      </c>
      <c r="UMJ16" s="314" t="s">
        <v>203</v>
      </c>
      <c r="UMK16" s="314" t="s">
        <v>203</v>
      </c>
      <c r="UML16" s="314" t="s">
        <v>203</v>
      </c>
      <c r="UMM16" s="314" t="s">
        <v>203</v>
      </c>
      <c r="UMN16" s="314" t="s">
        <v>203</v>
      </c>
      <c r="UMO16" s="314" t="s">
        <v>203</v>
      </c>
      <c r="UMP16" s="314" t="s">
        <v>203</v>
      </c>
      <c r="UMQ16" s="314" t="s">
        <v>203</v>
      </c>
      <c r="UMR16" s="314" t="s">
        <v>203</v>
      </c>
      <c r="UMS16" s="314" t="s">
        <v>203</v>
      </c>
      <c r="UMT16" s="314" t="s">
        <v>203</v>
      </c>
      <c r="UMU16" s="314" t="s">
        <v>203</v>
      </c>
      <c r="UMV16" s="314" t="s">
        <v>203</v>
      </c>
      <c r="UMW16" s="314" t="s">
        <v>203</v>
      </c>
      <c r="UMX16" s="314" t="s">
        <v>203</v>
      </c>
      <c r="UMY16" s="314" t="s">
        <v>203</v>
      </c>
      <c r="UMZ16" s="314" t="s">
        <v>203</v>
      </c>
      <c r="UNA16" s="314" t="s">
        <v>203</v>
      </c>
      <c r="UNB16" s="314" t="s">
        <v>203</v>
      </c>
      <c r="UNC16" s="314" t="s">
        <v>203</v>
      </c>
      <c r="UND16" s="314" t="s">
        <v>203</v>
      </c>
      <c r="UNE16" s="314" t="s">
        <v>203</v>
      </c>
      <c r="UNF16" s="314" t="s">
        <v>203</v>
      </c>
      <c r="UNG16" s="314" t="s">
        <v>203</v>
      </c>
      <c r="UNH16" s="314" t="s">
        <v>203</v>
      </c>
      <c r="UNI16" s="314" t="s">
        <v>203</v>
      </c>
      <c r="UNJ16" s="314" t="s">
        <v>203</v>
      </c>
      <c r="UNK16" s="314" t="s">
        <v>203</v>
      </c>
      <c r="UNL16" s="314" t="s">
        <v>203</v>
      </c>
      <c r="UNM16" s="314" t="s">
        <v>203</v>
      </c>
      <c r="UNN16" s="314" t="s">
        <v>203</v>
      </c>
      <c r="UNO16" s="314" t="s">
        <v>203</v>
      </c>
      <c r="UNP16" s="314" t="s">
        <v>203</v>
      </c>
      <c r="UNQ16" s="314" t="s">
        <v>203</v>
      </c>
      <c r="UNR16" s="314" t="s">
        <v>203</v>
      </c>
      <c r="UNS16" s="314" t="s">
        <v>203</v>
      </c>
      <c r="UNT16" s="314" t="s">
        <v>203</v>
      </c>
      <c r="UNU16" s="314" t="s">
        <v>203</v>
      </c>
      <c r="UNV16" s="314" t="s">
        <v>203</v>
      </c>
      <c r="UNW16" s="314" t="s">
        <v>203</v>
      </c>
      <c r="UNX16" s="314" t="s">
        <v>203</v>
      </c>
      <c r="UNY16" s="314" t="s">
        <v>203</v>
      </c>
      <c r="UNZ16" s="314" t="s">
        <v>203</v>
      </c>
      <c r="UOA16" s="314" t="s">
        <v>203</v>
      </c>
      <c r="UOB16" s="314" t="s">
        <v>203</v>
      </c>
      <c r="UOC16" s="314" t="s">
        <v>203</v>
      </c>
      <c r="UOD16" s="314" t="s">
        <v>203</v>
      </c>
      <c r="UOE16" s="314" t="s">
        <v>203</v>
      </c>
      <c r="UOF16" s="314" t="s">
        <v>203</v>
      </c>
      <c r="UOG16" s="314" t="s">
        <v>203</v>
      </c>
      <c r="UOH16" s="314" t="s">
        <v>203</v>
      </c>
      <c r="UOI16" s="314" t="s">
        <v>203</v>
      </c>
      <c r="UOJ16" s="314" t="s">
        <v>203</v>
      </c>
      <c r="UOK16" s="314" t="s">
        <v>203</v>
      </c>
      <c r="UOL16" s="314" t="s">
        <v>203</v>
      </c>
      <c r="UOM16" s="314" t="s">
        <v>203</v>
      </c>
      <c r="UON16" s="314" t="s">
        <v>203</v>
      </c>
      <c r="UOO16" s="314" t="s">
        <v>203</v>
      </c>
      <c r="UOP16" s="314" t="s">
        <v>203</v>
      </c>
      <c r="UOQ16" s="314" t="s">
        <v>203</v>
      </c>
      <c r="UOR16" s="314" t="s">
        <v>203</v>
      </c>
      <c r="UOS16" s="314" t="s">
        <v>203</v>
      </c>
      <c r="UOT16" s="314" t="s">
        <v>203</v>
      </c>
      <c r="UOU16" s="314" t="s">
        <v>203</v>
      </c>
      <c r="UOV16" s="314" t="s">
        <v>203</v>
      </c>
      <c r="UOW16" s="314" t="s">
        <v>203</v>
      </c>
      <c r="UOX16" s="314" t="s">
        <v>203</v>
      </c>
      <c r="UOY16" s="314" t="s">
        <v>203</v>
      </c>
      <c r="UOZ16" s="314" t="s">
        <v>203</v>
      </c>
      <c r="UPA16" s="314" t="s">
        <v>203</v>
      </c>
      <c r="UPB16" s="314" t="s">
        <v>203</v>
      </c>
      <c r="UPC16" s="314" t="s">
        <v>203</v>
      </c>
      <c r="UPD16" s="314" t="s">
        <v>203</v>
      </c>
      <c r="UPE16" s="314" t="s">
        <v>203</v>
      </c>
      <c r="UPF16" s="314" t="s">
        <v>203</v>
      </c>
      <c r="UPG16" s="314" t="s">
        <v>203</v>
      </c>
      <c r="UPH16" s="314" t="s">
        <v>203</v>
      </c>
      <c r="UPI16" s="314" t="s">
        <v>203</v>
      </c>
      <c r="UPJ16" s="314" t="s">
        <v>203</v>
      </c>
      <c r="UPK16" s="314" t="s">
        <v>203</v>
      </c>
      <c r="UPL16" s="314" t="s">
        <v>203</v>
      </c>
      <c r="UPM16" s="314" t="s">
        <v>203</v>
      </c>
      <c r="UPN16" s="314" t="s">
        <v>203</v>
      </c>
      <c r="UPO16" s="314" t="s">
        <v>203</v>
      </c>
      <c r="UPP16" s="314" t="s">
        <v>203</v>
      </c>
      <c r="UPQ16" s="314" t="s">
        <v>203</v>
      </c>
      <c r="UPR16" s="314" t="s">
        <v>203</v>
      </c>
      <c r="UPS16" s="314" t="s">
        <v>203</v>
      </c>
      <c r="UPT16" s="314" t="s">
        <v>203</v>
      </c>
      <c r="UPU16" s="314" t="s">
        <v>203</v>
      </c>
      <c r="UPV16" s="314" t="s">
        <v>203</v>
      </c>
      <c r="UPW16" s="314" t="s">
        <v>203</v>
      </c>
      <c r="UPX16" s="314" t="s">
        <v>203</v>
      </c>
      <c r="UPY16" s="314" t="s">
        <v>203</v>
      </c>
      <c r="UPZ16" s="314" t="s">
        <v>203</v>
      </c>
      <c r="UQA16" s="314" t="s">
        <v>203</v>
      </c>
      <c r="UQB16" s="314" t="s">
        <v>203</v>
      </c>
      <c r="UQC16" s="314" t="s">
        <v>203</v>
      </c>
      <c r="UQD16" s="314" t="s">
        <v>203</v>
      </c>
      <c r="UQE16" s="314" t="s">
        <v>203</v>
      </c>
      <c r="UQF16" s="314" t="s">
        <v>203</v>
      </c>
      <c r="UQG16" s="314" t="s">
        <v>203</v>
      </c>
      <c r="UQH16" s="314" t="s">
        <v>203</v>
      </c>
      <c r="UQI16" s="314" t="s">
        <v>203</v>
      </c>
      <c r="UQJ16" s="314" t="s">
        <v>203</v>
      </c>
      <c r="UQK16" s="314" t="s">
        <v>203</v>
      </c>
      <c r="UQL16" s="314" t="s">
        <v>203</v>
      </c>
      <c r="UQM16" s="314" t="s">
        <v>203</v>
      </c>
      <c r="UQN16" s="314" t="s">
        <v>203</v>
      </c>
      <c r="UQO16" s="314" t="s">
        <v>203</v>
      </c>
      <c r="UQP16" s="314" t="s">
        <v>203</v>
      </c>
      <c r="UQQ16" s="314" t="s">
        <v>203</v>
      </c>
      <c r="UQR16" s="314" t="s">
        <v>203</v>
      </c>
      <c r="UQS16" s="314" t="s">
        <v>203</v>
      </c>
      <c r="UQT16" s="314" t="s">
        <v>203</v>
      </c>
      <c r="UQU16" s="314" t="s">
        <v>203</v>
      </c>
      <c r="UQV16" s="314" t="s">
        <v>203</v>
      </c>
      <c r="UQW16" s="314" t="s">
        <v>203</v>
      </c>
      <c r="UQX16" s="314" t="s">
        <v>203</v>
      </c>
      <c r="UQY16" s="314" t="s">
        <v>203</v>
      </c>
      <c r="UQZ16" s="314" t="s">
        <v>203</v>
      </c>
      <c r="URA16" s="314" t="s">
        <v>203</v>
      </c>
      <c r="URB16" s="314" t="s">
        <v>203</v>
      </c>
      <c r="URC16" s="314" t="s">
        <v>203</v>
      </c>
      <c r="URD16" s="314" t="s">
        <v>203</v>
      </c>
      <c r="URE16" s="314" t="s">
        <v>203</v>
      </c>
      <c r="URF16" s="314" t="s">
        <v>203</v>
      </c>
      <c r="URG16" s="314" t="s">
        <v>203</v>
      </c>
      <c r="URH16" s="314" t="s">
        <v>203</v>
      </c>
      <c r="URI16" s="314" t="s">
        <v>203</v>
      </c>
      <c r="URJ16" s="314" t="s">
        <v>203</v>
      </c>
      <c r="URK16" s="314" t="s">
        <v>203</v>
      </c>
      <c r="URL16" s="314" t="s">
        <v>203</v>
      </c>
      <c r="URM16" s="314" t="s">
        <v>203</v>
      </c>
      <c r="URN16" s="314" t="s">
        <v>203</v>
      </c>
      <c r="URO16" s="314" t="s">
        <v>203</v>
      </c>
      <c r="URP16" s="314" t="s">
        <v>203</v>
      </c>
      <c r="URQ16" s="314" t="s">
        <v>203</v>
      </c>
      <c r="URR16" s="314" t="s">
        <v>203</v>
      </c>
      <c r="URS16" s="314" t="s">
        <v>203</v>
      </c>
      <c r="URT16" s="314" t="s">
        <v>203</v>
      </c>
      <c r="URU16" s="314" t="s">
        <v>203</v>
      </c>
      <c r="URV16" s="314" t="s">
        <v>203</v>
      </c>
      <c r="URW16" s="314" t="s">
        <v>203</v>
      </c>
      <c r="URX16" s="314" t="s">
        <v>203</v>
      </c>
      <c r="URY16" s="314" t="s">
        <v>203</v>
      </c>
      <c r="URZ16" s="314" t="s">
        <v>203</v>
      </c>
      <c r="USA16" s="314" t="s">
        <v>203</v>
      </c>
      <c r="USB16" s="314" t="s">
        <v>203</v>
      </c>
      <c r="USC16" s="314" t="s">
        <v>203</v>
      </c>
      <c r="USD16" s="314" t="s">
        <v>203</v>
      </c>
      <c r="USE16" s="314" t="s">
        <v>203</v>
      </c>
      <c r="USF16" s="314" t="s">
        <v>203</v>
      </c>
      <c r="USG16" s="314" t="s">
        <v>203</v>
      </c>
      <c r="USH16" s="314" t="s">
        <v>203</v>
      </c>
      <c r="USI16" s="314" t="s">
        <v>203</v>
      </c>
      <c r="USJ16" s="314" t="s">
        <v>203</v>
      </c>
      <c r="USK16" s="314" t="s">
        <v>203</v>
      </c>
      <c r="USL16" s="314" t="s">
        <v>203</v>
      </c>
      <c r="USM16" s="314" t="s">
        <v>203</v>
      </c>
      <c r="USN16" s="314" t="s">
        <v>203</v>
      </c>
      <c r="USO16" s="314" t="s">
        <v>203</v>
      </c>
      <c r="USP16" s="314" t="s">
        <v>203</v>
      </c>
      <c r="USQ16" s="314" t="s">
        <v>203</v>
      </c>
      <c r="USR16" s="314" t="s">
        <v>203</v>
      </c>
      <c r="USS16" s="314" t="s">
        <v>203</v>
      </c>
      <c r="UST16" s="314" t="s">
        <v>203</v>
      </c>
      <c r="USU16" s="314" t="s">
        <v>203</v>
      </c>
      <c r="USV16" s="314" t="s">
        <v>203</v>
      </c>
      <c r="USW16" s="314" t="s">
        <v>203</v>
      </c>
      <c r="USX16" s="314" t="s">
        <v>203</v>
      </c>
      <c r="USY16" s="314" t="s">
        <v>203</v>
      </c>
      <c r="USZ16" s="314" t="s">
        <v>203</v>
      </c>
      <c r="UTA16" s="314" t="s">
        <v>203</v>
      </c>
      <c r="UTB16" s="314" t="s">
        <v>203</v>
      </c>
      <c r="UTC16" s="314" t="s">
        <v>203</v>
      </c>
      <c r="UTD16" s="314" t="s">
        <v>203</v>
      </c>
      <c r="UTE16" s="314" t="s">
        <v>203</v>
      </c>
      <c r="UTF16" s="314" t="s">
        <v>203</v>
      </c>
      <c r="UTG16" s="314" t="s">
        <v>203</v>
      </c>
      <c r="UTH16" s="314" t="s">
        <v>203</v>
      </c>
      <c r="UTI16" s="314" t="s">
        <v>203</v>
      </c>
      <c r="UTJ16" s="314" t="s">
        <v>203</v>
      </c>
      <c r="UTK16" s="314" t="s">
        <v>203</v>
      </c>
      <c r="UTL16" s="314" t="s">
        <v>203</v>
      </c>
      <c r="UTM16" s="314" t="s">
        <v>203</v>
      </c>
      <c r="UTN16" s="314" t="s">
        <v>203</v>
      </c>
      <c r="UTO16" s="314" t="s">
        <v>203</v>
      </c>
      <c r="UTP16" s="314" t="s">
        <v>203</v>
      </c>
      <c r="UTQ16" s="314" t="s">
        <v>203</v>
      </c>
      <c r="UTR16" s="314" t="s">
        <v>203</v>
      </c>
      <c r="UTS16" s="314" t="s">
        <v>203</v>
      </c>
      <c r="UTT16" s="314" t="s">
        <v>203</v>
      </c>
      <c r="UTU16" s="314" t="s">
        <v>203</v>
      </c>
      <c r="UTV16" s="314" t="s">
        <v>203</v>
      </c>
      <c r="UTW16" s="314" t="s">
        <v>203</v>
      </c>
      <c r="UTX16" s="314" t="s">
        <v>203</v>
      </c>
      <c r="UTY16" s="314" t="s">
        <v>203</v>
      </c>
      <c r="UTZ16" s="314" t="s">
        <v>203</v>
      </c>
      <c r="UUA16" s="314" t="s">
        <v>203</v>
      </c>
      <c r="UUB16" s="314" t="s">
        <v>203</v>
      </c>
      <c r="UUC16" s="314" t="s">
        <v>203</v>
      </c>
      <c r="UUD16" s="314" t="s">
        <v>203</v>
      </c>
      <c r="UUE16" s="314" t="s">
        <v>203</v>
      </c>
      <c r="UUF16" s="314" t="s">
        <v>203</v>
      </c>
      <c r="UUG16" s="314" t="s">
        <v>203</v>
      </c>
      <c r="UUH16" s="314" t="s">
        <v>203</v>
      </c>
      <c r="UUI16" s="314" t="s">
        <v>203</v>
      </c>
      <c r="UUJ16" s="314" t="s">
        <v>203</v>
      </c>
      <c r="UUK16" s="314" t="s">
        <v>203</v>
      </c>
      <c r="UUL16" s="314" t="s">
        <v>203</v>
      </c>
      <c r="UUM16" s="314" t="s">
        <v>203</v>
      </c>
      <c r="UUN16" s="314" t="s">
        <v>203</v>
      </c>
      <c r="UUO16" s="314" t="s">
        <v>203</v>
      </c>
      <c r="UUP16" s="314" t="s">
        <v>203</v>
      </c>
      <c r="UUQ16" s="314" t="s">
        <v>203</v>
      </c>
      <c r="UUR16" s="314" t="s">
        <v>203</v>
      </c>
      <c r="UUS16" s="314" t="s">
        <v>203</v>
      </c>
      <c r="UUT16" s="314" t="s">
        <v>203</v>
      </c>
      <c r="UUU16" s="314" t="s">
        <v>203</v>
      </c>
      <c r="UUV16" s="314" t="s">
        <v>203</v>
      </c>
      <c r="UUW16" s="314" t="s">
        <v>203</v>
      </c>
      <c r="UUX16" s="314" t="s">
        <v>203</v>
      </c>
      <c r="UUY16" s="314" t="s">
        <v>203</v>
      </c>
      <c r="UUZ16" s="314" t="s">
        <v>203</v>
      </c>
      <c r="UVA16" s="314" t="s">
        <v>203</v>
      </c>
      <c r="UVB16" s="314" t="s">
        <v>203</v>
      </c>
      <c r="UVC16" s="314" t="s">
        <v>203</v>
      </c>
      <c r="UVD16" s="314" t="s">
        <v>203</v>
      </c>
      <c r="UVE16" s="314" t="s">
        <v>203</v>
      </c>
      <c r="UVF16" s="314" t="s">
        <v>203</v>
      </c>
      <c r="UVG16" s="314" t="s">
        <v>203</v>
      </c>
      <c r="UVH16" s="314" t="s">
        <v>203</v>
      </c>
      <c r="UVI16" s="314" t="s">
        <v>203</v>
      </c>
      <c r="UVJ16" s="314" t="s">
        <v>203</v>
      </c>
      <c r="UVK16" s="314" t="s">
        <v>203</v>
      </c>
      <c r="UVL16" s="314" t="s">
        <v>203</v>
      </c>
      <c r="UVM16" s="314" t="s">
        <v>203</v>
      </c>
      <c r="UVN16" s="314" t="s">
        <v>203</v>
      </c>
      <c r="UVO16" s="314" t="s">
        <v>203</v>
      </c>
      <c r="UVP16" s="314" t="s">
        <v>203</v>
      </c>
      <c r="UVQ16" s="314" t="s">
        <v>203</v>
      </c>
      <c r="UVR16" s="314" t="s">
        <v>203</v>
      </c>
      <c r="UVS16" s="314" t="s">
        <v>203</v>
      </c>
      <c r="UVT16" s="314" t="s">
        <v>203</v>
      </c>
      <c r="UVU16" s="314" t="s">
        <v>203</v>
      </c>
      <c r="UVV16" s="314" t="s">
        <v>203</v>
      </c>
      <c r="UVW16" s="314" t="s">
        <v>203</v>
      </c>
      <c r="UVX16" s="314" t="s">
        <v>203</v>
      </c>
      <c r="UVY16" s="314" t="s">
        <v>203</v>
      </c>
      <c r="UVZ16" s="314" t="s">
        <v>203</v>
      </c>
      <c r="UWA16" s="314" t="s">
        <v>203</v>
      </c>
      <c r="UWB16" s="314" t="s">
        <v>203</v>
      </c>
      <c r="UWC16" s="314" t="s">
        <v>203</v>
      </c>
      <c r="UWD16" s="314" t="s">
        <v>203</v>
      </c>
      <c r="UWE16" s="314" t="s">
        <v>203</v>
      </c>
      <c r="UWF16" s="314" t="s">
        <v>203</v>
      </c>
      <c r="UWG16" s="314" t="s">
        <v>203</v>
      </c>
      <c r="UWH16" s="314" t="s">
        <v>203</v>
      </c>
      <c r="UWI16" s="314" t="s">
        <v>203</v>
      </c>
      <c r="UWJ16" s="314" t="s">
        <v>203</v>
      </c>
      <c r="UWK16" s="314" t="s">
        <v>203</v>
      </c>
      <c r="UWL16" s="314" t="s">
        <v>203</v>
      </c>
      <c r="UWM16" s="314" t="s">
        <v>203</v>
      </c>
      <c r="UWN16" s="314" t="s">
        <v>203</v>
      </c>
      <c r="UWO16" s="314" t="s">
        <v>203</v>
      </c>
      <c r="UWP16" s="314" t="s">
        <v>203</v>
      </c>
      <c r="UWQ16" s="314" t="s">
        <v>203</v>
      </c>
      <c r="UWR16" s="314" t="s">
        <v>203</v>
      </c>
      <c r="UWS16" s="314" t="s">
        <v>203</v>
      </c>
      <c r="UWT16" s="314" t="s">
        <v>203</v>
      </c>
      <c r="UWU16" s="314" t="s">
        <v>203</v>
      </c>
      <c r="UWV16" s="314" t="s">
        <v>203</v>
      </c>
      <c r="UWW16" s="314" t="s">
        <v>203</v>
      </c>
      <c r="UWX16" s="314" t="s">
        <v>203</v>
      </c>
      <c r="UWY16" s="314" t="s">
        <v>203</v>
      </c>
      <c r="UWZ16" s="314" t="s">
        <v>203</v>
      </c>
      <c r="UXA16" s="314" t="s">
        <v>203</v>
      </c>
      <c r="UXB16" s="314" t="s">
        <v>203</v>
      </c>
      <c r="UXC16" s="314" t="s">
        <v>203</v>
      </c>
      <c r="UXD16" s="314" t="s">
        <v>203</v>
      </c>
      <c r="UXE16" s="314" t="s">
        <v>203</v>
      </c>
      <c r="UXF16" s="314" t="s">
        <v>203</v>
      </c>
      <c r="UXG16" s="314" t="s">
        <v>203</v>
      </c>
      <c r="UXH16" s="314" t="s">
        <v>203</v>
      </c>
      <c r="UXI16" s="314" t="s">
        <v>203</v>
      </c>
      <c r="UXJ16" s="314" t="s">
        <v>203</v>
      </c>
      <c r="UXK16" s="314" t="s">
        <v>203</v>
      </c>
      <c r="UXL16" s="314" t="s">
        <v>203</v>
      </c>
      <c r="UXM16" s="314" t="s">
        <v>203</v>
      </c>
      <c r="UXN16" s="314" t="s">
        <v>203</v>
      </c>
      <c r="UXO16" s="314" t="s">
        <v>203</v>
      </c>
      <c r="UXP16" s="314" t="s">
        <v>203</v>
      </c>
      <c r="UXQ16" s="314" t="s">
        <v>203</v>
      </c>
      <c r="UXR16" s="314" t="s">
        <v>203</v>
      </c>
      <c r="UXS16" s="314" t="s">
        <v>203</v>
      </c>
      <c r="UXT16" s="314" t="s">
        <v>203</v>
      </c>
      <c r="UXU16" s="314" t="s">
        <v>203</v>
      </c>
      <c r="UXV16" s="314" t="s">
        <v>203</v>
      </c>
      <c r="UXW16" s="314" t="s">
        <v>203</v>
      </c>
      <c r="UXX16" s="314" t="s">
        <v>203</v>
      </c>
      <c r="UXY16" s="314" t="s">
        <v>203</v>
      </c>
      <c r="UXZ16" s="314" t="s">
        <v>203</v>
      </c>
      <c r="UYA16" s="314" t="s">
        <v>203</v>
      </c>
      <c r="UYB16" s="314" t="s">
        <v>203</v>
      </c>
      <c r="UYC16" s="314" t="s">
        <v>203</v>
      </c>
      <c r="UYD16" s="314" t="s">
        <v>203</v>
      </c>
      <c r="UYE16" s="314" t="s">
        <v>203</v>
      </c>
      <c r="UYF16" s="314" t="s">
        <v>203</v>
      </c>
      <c r="UYG16" s="314" t="s">
        <v>203</v>
      </c>
      <c r="UYH16" s="314" t="s">
        <v>203</v>
      </c>
      <c r="UYI16" s="314" t="s">
        <v>203</v>
      </c>
      <c r="UYJ16" s="314" t="s">
        <v>203</v>
      </c>
      <c r="UYK16" s="314" t="s">
        <v>203</v>
      </c>
      <c r="UYL16" s="314" t="s">
        <v>203</v>
      </c>
      <c r="UYM16" s="314" t="s">
        <v>203</v>
      </c>
      <c r="UYN16" s="314" t="s">
        <v>203</v>
      </c>
      <c r="UYO16" s="314" t="s">
        <v>203</v>
      </c>
      <c r="UYP16" s="314" t="s">
        <v>203</v>
      </c>
      <c r="UYQ16" s="314" t="s">
        <v>203</v>
      </c>
      <c r="UYR16" s="314" t="s">
        <v>203</v>
      </c>
      <c r="UYS16" s="314" t="s">
        <v>203</v>
      </c>
      <c r="UYT16" s="314" t="s">
        <v>203</v>
      </c>
      <c r="UYU16" s="314" t="s">
        <v>203</v>
      </c>
      <c r="UYV16" s="314" t="s">
        <v>203</v>
      </c>
      <c r="UYW16" s="314" t="s">
        <v>203</v>
      </c>
      <c r="UYX16" s="314" t="s">
        <v>203</v>
      </c>
      <c r="UYY16" s="314" t="s">
        <v>203</v>
      </c>
      <c r="UYZ16" s="314" t="s">
        <v>203</v>
      </c>
      <c r="UZA16" s="314" t="s">
        <v>203</v>
      </c>
      <c r="UZB16" s="314" t="s">
        <v>203</v>
      </c>
      <c r="UZC16" s="314" t="s">
        <v>203</v>
      </c>
      <c r="UZD16" s="314" t="s">
        <v>203</v>
      </c>
      <c r="UZE16" s="314" t="s">
        <v>203</v>
      </c>
      <c r="UZF16" s="314" t="s">
        <v>203</v>
      </c>
      <c r="UZG16" s="314" t="s">
        <v>203</v>
      </c>
      <c r="UZH16" s="314" t="s">
        <v>203</v>
      </c>
      <c r="UZI16" s="314" t="s">
        <v>203</v>
      </c>
      <c r="UZJ16" s="314" t="s">
        <v>203</v>
      </c>
      <c r="UZK16" s="314" t="s">
        <v>203</v>
      </c>
      <c r="UZL16" s="314" t="s">
        <v>203</v>
      </c>
      <c r="UZM16" s="314" t="s">
        <v>203</v>
      </c>
      <c r="UZN16" s="314" t="s">
        <v>203</v>
      </c>
      <c r="UZO16" s="314" t="s">
        <v>203</v>
      </c>
      <c r="UZP16" s="314" t="s">
        <v>203</v>
      </c>
      <c r="UZQ16" s="314" t="s">
        <v>203</v>
      </c>
      <c r="UZR16" s="314" t="s">
        <v>203</v>
      </c>
      <c r="UZS16" s="314" t="s">
        <v>203</v>
      </c>
      <c r="UZT16" s="314" t="s">
        <v>203</v>
      </c>
      <c r="UZU16" s="314" t="s">
        <v>203</v>
      </c>
      <c r="UZV16" s="314" t="s">
        <v>203</v>
      </c>
      <c r="UZW16" s="314" t="s">
        <v>203</v>
      </c>
      <c r="UZX16" s="314" t="s">
        <v>203</v>
      </c>
      <c r="UZY16" s="314" t="s">
        <v>203</v>
      </c>
      <c r="UZZ16" s="314" t="s">
        <v>203</v>
      </c>
      <c r="VAA16" s="314" t="s">
        <v>203</v>
      </c>
      <c r="VAB16" s="314" t="s">
        <v>203</v>
      </c>
      <c r="VAC16" s="314" t="s">
        <v>203</v>
      </c>
      <c r="VAD16" s="314" t="s">
        <v>203</v>
      </c>
      <c r="VAE16" s="314" t="s">
        <v>203</v>
      </c>
      <c r="VAF16" s="314" t="s">
        <v>203</v>
      </c>
      <c r="VAG16" s="314" t="s">
        <v>203</v>
      </c>
      <c r="VAH16" s="314" t="s">
        <v>203</v>
      </c>
      <c r="VAI16" s="314" t="s">
        <v>203</v>
      </c>
      <c r="VAJ16" s="314" t="s">
        <v>203</v>
      </c>
      <c r="VAK16" s="314" t="s">
        <v>203</v>
      </c>
      <c r="VAL16" s="314" t="s">
        <v>203</v>
      </c>
      <c r="VAM16" s="314" t="s">
        <v>203</v>
      </c>
      <c r="VAN16" s="314" t="s">
        <v>203</v>
      </c>
      <c r="VAO16" s="314" t="s">
        <v>203</v>
      </c>
      <c r="VAP16" s="314" t="s">
        <v>203</v>
      </c>
      <c r="VAQ16" s="314" t="s">
        <v>203</v>
      </c>
      <c r="VAR16" s="314" t="s">
        <v>203</v>
      </c>
      <c r="VAS16" s="314" t="s">
        <v>203</v>
      </c>
      <c r="VAT16" s="314" t="s">
        <v>203</v>
      </c>
      <c r="VAU16" s="314" t="s">
        <v>203</v>
      </c>
      <c r="VAV16" s="314" t="s">
        <v>203</v>
      </c>
      <c r="VAW16" s="314" t="s">
        <v>203</v>
      </c>
      <c r="VAX16" s="314" t="s">
        <v>203</v>
      </c>
      <c r="VAY16" s="314" t="s">
        <v>203</v>
      </c>
      <c r="VAZ16" s="314" t="s">
        <v>203</v>
      </c>
      <c r="VBA16" s="314" t="s">
        <v>203</v>
      </c>
      <c r="VBB16" s="314" t="s">
        <v>203</v>
      </c>
      <c r="VBC16" s="314" t="s">
        <v>203</v>
      </c>
      <c r="VBD16" s="314" t="s">
        <v>203</v>
      </c>
      <c r="VBE16" s="314" t="s">
        <v>203</v>
      </c>
      <c r="VBF16" s="314" t="s">
        <v>203</v>
      </c>
      <c r="VBG16" s="314" t="s">
        <v>203</v>
      </c>
      <c r="VBH16" s="314" t="s">
        <v>203</v>
      </c>
      <c r="VBI16" s="314" t="s">
        <v>203</v>
      </c>
      <c r="VBJ16" s="314" t="s">
        <v>203</v>
      </c>
      <c r="VBK16" s="314" t="s">
        <v>203</v>
      </c>
      <c r="VBL16" s="314" t="s">
        <v>203</v>
      </c>
      <c r="VBM16" s="314" t="s">
        <v>203</v>
      </c>
      <c r="VBN16" s="314" t="s">
        <v>203</v>
      </c>
      <c r="VBO16" s="314" t="s">
        <v>203</v>
      </c>
      <c r="VBP16" s="314" t="s">
        <v>203</v>
      </c>
      <c r="VBQ16" s="314" t="s">
        <v>203</v>
      </c>
      <c r="VBR16" s="314" t="s">
        <v>203</v>
      </c>
      <c r="VBS16" s="314" t="s">
        <v>203</v>
      </c>
      <c r="VBT16" s="314" t="s">
        <v>203</v>
      </c>
      <c r="VBU16" s="314" t="s">
        <v>203</v>
      </c>
      <c r="VBV16" s="314" t="s">
        <v>203</v>
      </c>
      <c r="VBW16" s="314" t="s">
        <v>203</v>
      </c>
      <c r="VBX16" s="314" t="s">
        <v>203</v>
      </c>
      <c r="VBY16" s="314" t="s">
        <v>203</v>
      </c>
      <c r="VBZ16" s="314" t="s">
        <v>203</v>
      </c>
      <c r="VCA16" s="314" t="s">
        <v>203</v>
      </c>
      <c r="VCB16" s="314" t="s">
        <v>203</v>
      </c>
      <c r="VCC16" s="314" t="s">
        <v>203</v>
      </c>
      <c r="VCD16" s="314" t="s">
        <v>203</v>
      </c>
      <c r="VCE16" s="314" t="s">
        <v>203</v>
      </c>
      <c r="VCF16" s="314" t="s">
        <v>203</v>
      </c>
      <c r="VCG16" s="314" t="s">
        <v>203</v>
      </c>
      <c r="VCH16" s="314" t="s">
        <v>203</v>
      </c>
      <c r="VCI16" s="314" t="s">
        <v>203</v>
      </c>
      <c r="VCJ16" s="314" t="s">
        <v>203</v>
      </c>
      <c r="VCK16" s="314" t="s">
        <v>203</v>
      </c>
      <c r="VCL16" s="314" t="s">
        <v>203</v>
      </c>
      <c r="VCM16" s="314" t="s">
        <v>203</v>
      </c>
      <c r="VCN16" s="314" t="s">
        <v>203</v>
      </c>
      <c r="VCO16" s="314" t="s">
        <v>203</v>
      </c>
      <c r="VCP16" s="314" t="s">
        <v>203</v>
      </c>
      <c r="VCQ16" s="314" t="s">
        <v>203</v>
      </c>
      <c r="VCR16" s="314" t="s">
        <v>203</v>
      </c>
      <c r="VCS16" s="314" t="s">
        <v>203</v>
      </c>
      <c r="VCT16" s="314" t="s">
        <v>203</v>
      </c>
      <c r="VCU16" s="314" t="s">
        <v>203</v>
      </c>
      <c r="VCV16" s="314" t="s">
        <v>203</v>
      </c>
      <c r="VCW16" s="314" t="s">
        <v>203</v>
      </c>
      <c r="VCX16" s="314" t="s">
        <v>203</v>
      </c>
      <c r="VCY16" s="314" t="s">
        <v>203</v>
      </c>
      <c r="VCZ16" s="314" t="s">
        <v>203</v>
      </c>
      <c r="VDA16" s="314" t="s">
        <v>203</v>
      </c>
      <c r="VDB16" s="314" t="s">
        <v>203</v>
      </c>
      <c r="VDC16" s="314" t="s">
        <v>203</v>
      </c>
      <c r="VDD16" s="314" t="s">
        <v>203</v>
      </c>
      <c r="VDE16" s="314" t="s">
        <v>203</v>
      </c>
      <c r="VDF16" s="314" t="s">
        <v>203</v>
      </c>
      <c r="VDG16" s="314" t="s">
        <v>203</v>
      </c>
      <c r="VDH16" s="314" t="s">
        <v>203</v>
      </c>
      <c r="VDI16" s="314" t="s">
        <v>203</v>
      </c>
      <c r="VDJ16" s="314" t="s">
        <v>203</v>
      </c>
      <c r="VDK16" s="314" t="s">
        <v>203</v>
      </c>
      <c r="VDL16" s="314" t="s">
        <v>203</v>
      </c>
      <c r="VDM16" s="314" t="s">
        <v>203</v>
      </c>
      <c r="VDN16" s="314" t="s">
        <v>203</v>
      </c>
      <c r="VDO16" s="314" t="s">
        <v>203</v>
      </c>
      <c r="VDP16" s="314" t="s">
        <v>203</v>
      </c>
      <c r="VDQ16" s="314" t="s">
        <v>203</v>
      </c>
      <c r="VDR16" s="314" t="s">
        <v>203</v>
      </c>
      <c r="VDS16" s="314" t="s">
        <v>203</v>
      </c>
      <c r="VDT16" s="314" t="s">
        <v>203</v>
      </c>
      <c r="VDU16" s="314" t="s">
        <v>203</v>
      </c>
      <c r="VDV16" s="314" t="s">
        <v>203</v>
      </c>
      <c r="VDW16" s="314" t="s">
        <v>203</v>
      </c>
      <c r="VDX16" s="314" t="s">
        <v>203</v>
      </c>
      <c r="VDY16" s="314" t="s">
        <v>203</v>
      </c>
      <c r="VDZ16" s="314" t="s">
        <v>203</v>
      </c>
      <c r="VEA16" s="314" t="s">
        <v>203</v>
      </c>
      <c r="VEB16" s="314" t="s">
        <v>203</v>
      </c>
      <c r="VEC16" s="314" t="s">
        <v>203</v>
      </c>
      <c r="VED16" s="314" t="s">
        <v>203</v>
      </c>
      <c r="VEE16" s="314" t="s">
        <v>203</v>
      </c>
      <c r="VEF16" s="314" t="s">
        <v>203</v>
      </c>
      <c r="VEG16" s="314" t="s">
        <v>203</v>
      </c>
      <c r="VEH16" s="314" t="s">
        <v>203</v>
      </c>
      <c r="VEI16" s="314" t="s">
        <v>203</v>
      </c>
      <c r="VEJ16" s="314" t="s">
        <v>203</v>
      </c>
      <c r="VEK16" s="314" t="s">
        <v>203</v>
      </c>
      <c r="VEL16" s="314" t="s">
        <v>203</v>
      </c>
      <c r="VEM16" s="314" t="s">
        <v>203</v>
      </c>
      <c r="VEN16" s="314" t="s">
        <v>203</v>
      </c>
      <c r="VEO16" s="314" t="s">
        <v>203</v>
      </c>
      <c r="VEP16" s="314" t="s">
        <v>203</v>
      </c>
      <c r="VEQ16" s="314" t="s">
        <v>203</v>
      </c>
      <c r="VER16" s="314" t="s">
        <v>203</v>
      </c>
      <c r="VES16" s="314" t="s">
        <v>203</v>
      </c>
      <c r="VET16" s="314" t="s">
        <v>203</v>
      </c>
      <c r="VEU16" s="314" t="s">
        <v>203</v>
      </c>
      <c r="VEV16" s="314" t="s">
        <v>203</v>
      </c>
      <c r="VEW16" s="314" t="s">
        <v>203</v>
      </c>
      <c r="VEX16" s="314" t="s">
        <v>203</v>
      </c>
      <c r="VEY16" s="314" t="s">
        <v>203</v>
      </c>
      <c r="VEZ16" s="314" t="s">
        <v>203</v>
      </c>
      <c r="VFA16" s="314" t="s">
        <v>203</v>
      </c>
      <c r="VFB16" s="314" t="s">
        <v>203</v>
      </c>
      <c r="VFC16" s="314" t="s">
        <v>203</v>
      </c>
      <c r="VFD16" s="314" t="s">
        <v>203</v>
      </c>
      <c r="VFE16" s="314" t="s">
        <v>203</v>
      </c>
      <c r="VFF16" s="314" t="s">
        <v>203</v>
      </c>
      <c r="VFG16" s="314" t="s">
        <v>203</v>
      </c>
      <c r="VFH16" s="314" t="s">
        <v>203</v>
      </c>
      <c r="VFI16" s="314" t="s">
        <v>203</v>
      </c>
      <c r="VFJ16" s="314" t="s">
        <v>203</v>
      </c>
      <c r="VFK16" s="314" t="s">
        <v>203</v>
      </c>
      <c r="VFL16" s="314" t="s">
        <v>203</v>
      </c>
      <c r="VFM16" s="314" t="s">
        <v>203</v>
      </c>
      <c r="VFN16" s="314" t="s">
        <v>203</v>
      </c>
      <c r="VFO16" s="314" t="s">
        <v>203</v>
      </c>
      <c r="VFP16" s="314" t="s">
        <v>203</v>
      </c>
      <c r="VFQ16" s="314" t="s">
        <v>203</v>
      </c>
      <c r="VFR16" s="314" t="s">
        <v>203</v>
      </c>
      <c r="VFS16" s="314" t="s">
        <v>203</v>
      </c>
      <c r="VFT16" s="314" t="s">
        <v>203</v>
      </c>
      <c r="VFU16" s="314" t="s">
        <v>203</v>
      </c>
      <c r="VFV16" s="314" t="s">
        <v>203</v>
      </c>
      <c r="VFW16" s="314" t="s">
        <v>203</v>
      </c>
      <c r="VFX16" s="314" t="s">
        <v>203</v>
      </c>
      <c r="VFY16" s="314" t="s">
        <v>203</v>
      </c>
      <c r="VFZ16" s="314" t="s">
        <v>203</v>
      </c>
      <c r="VGA16" s="314" t="s">
        <v>203</v>
      </c>
      <c r="VGB16" s="314" t="s">
        <v>203</v>
      </c>
      <c r="VGC16" s="314" t="s">
        <v>203</v>
      </c>
      <c r="VGD16" s="314" t="s">
        <v>203</v>
      </c>
      <c r="VGE16" s="314" t="s">
        <v>203</v>
      </c>
      <c r="VGF16" s="314" t="s">
        <v>203</v>
      </c>
      <c r="VGG16" s="314" t="s">
        <v>203</v>
      </c>
      <c r="VGH16" s="314" t="s">
        <v>203</v>
      </c>
      <c r="VGI16" s="314" t="s">
        <v>203</v>
      </c>
      <c r="VGJ16" s="314" t="s">
        <v>203</v>
      </c>
      <c r="VGK16" s="314" t="s">
        <v>203</v>
      </c>
      <c r="VGL16" s="314" t="s">
        <v>203</v>
      </c>
      <c r="VGM16" s="314" t="s">
        <v>203</v>
      </c>
      <c r="VGN16" s="314" t="s">
        <v>203</v>
      </c>
      <c r="VGO16" s="314" t="s">
        <v>203</v>
      </c>
      <c r="VGP16" s="314" t="s">
        <v>203</v>
      </c>
      <c r="VGQ16" s="314" t="s">
        <v>203</v>
      </c>
      <c r="VGR16" s="314" t="s">
        <v>203</v>
      </c>
      <c r="VGS16" s="314" t="s">
        <v>203</v>
      </c>
      <c r="VGT16" s="314" t="s">
        <v>203</v>
      </c>
      <c r="VGU16" s="314" t="s">
        <v>203</v>
      </c>
      <c r="VGV16" s="314" t="s">
        <v>203</v>
      </c>
      <c r="VGW16" s="314" t="s">
        <v>203</v>
      </c>
      <c r="VGX16" s="314" t="s">
        <v>203</v>
      </c>
      <c r="VGY16" s="314" t="s">
        <v>203</v>
      </c>
      <c r="VGZ16" s="314" t="s">
        <v>203</v>
      </c>
      <c r="VHA16" s="314" t="s">
        <v>203</v>
      </c>
      <c r="VHB16" s="314" t="s">
        <v>203</v>
      </c>
      <c r="VHC16" s="314" t="s">
        <v>203</v>
      </c>
      <c r="VHD16" s="314" t="s">
        <v>203</v>
      </c>
      <c r="VHE16" s="314" t="s">
        <v>203</v>
      </c>
      <c r="VHF16" s="314" t="s">
        <v>203</v>
      </c>
      <c r="VHG16" s="314" t="s">
        <v>203</v>
      </c>
      <c r="VHH16" s="314" t="s">
        <v>203</v>
      </c>
      <c r="VHI16" s="314" t="s">
        <v>203</v>
      </c>
      <c r="VHJ16" s="314" t="s">
        <v>203</v>
      </c>
      <c r="VHK16" s="314" t="s">
        <v>203</v>
      </c>
      <c r="VHL16" s="314" t="s">
        <v>203</v>
      </c>
      <c r="VHM16" s="314" t="s">
        <v>203</v>
      </c>
      <c r="VHN16" s="314" t="s">
        <v>203</v>
      </c>
      <c r="VHO16" s="314" t="s">
        <v>203</v>
      </c>
      <c r="VHP16" s="314" t="s">
        <v>203</v>
      </c>
      <c r="VHQ16" s="314" t="s">
        <v>203</v>
      </c>
      <c r="VHR16" s="314" t="s">
        <v>203</v>
      </c>
      <c r="VHS16" s="314" t="s">
        <v>203</v>
      </c>
      <c r="VHT16" s="314" t="s">
        <v>203</v>
      </c>
      <c r="VHU16" s="314" t="s">
        <v>203</v>
      </c>
      <c r="VHV16" s="314" t="s">
        <v>203</v>
      </c>
      <c r="VHW16" s="314" t="s">
        <v>203</v>
      </c>
      <c r="VHX16" s="314" t="s">
        <v>203</v>
      </c>
      <c r="VHY16" s="314" t="s">
        <v>203</v>
      </c>
      <c r="VHZ16" s="314" t="s">
        <v>203</v>
      </c>
      <c r="VIA16" s="314" t="s">
        <v>203</v>
      </c>
      <c r="VIB16" s="314" t="s">
        <v>203</v>
      </c>
      <c r="VIC16" s="314" t="s">
        <v>203</v>
      </c>
      <c r="VID16" s="314" t="s">
        <v>203</v>
      </c>
      <c r="VIE16" s="314" t="s">
        <v>203</v>
      </c>
      <c r="VIF16" s="314" t="s">
        <v>203</v>
      </c>
      <c r="VIG16" s="314" t="s">
        <v>203</v>
      </c>
      <c r="VIH16" s="314" t="s">
        <v>203</v>
      </c>
      <c r="VII16" s="314" t="s">
        <v>203</v>
      </c>
      <c r="VIJ16" s="314" t="s">
        <v>203</v>
      </c>
      <c r="VIK16" s="314" t="s">
        <v>203</v>
      </c>
      <c r="VIL16" s="314" t="s">
        <v>203</v>
      </c>
      <c r="VIM16" s="314" t="s">
        <v>203</v>
      </c>
      <c r="VIN16" s="314" t="s">
        <v>203</v>
      </c>
      <c r="VIO16" s="314" t="s">
        <v>203</v>
      </c>
      <c r="VIP16" s="314" t="s">
        <v>203</v>
      </c>
      <c r="VIQ16" s="314" t="s">
        <v>203</v>
      </c>
      <c r="VIR16" s="314" t="s">
        <v>203</v>
      </c>
      <c r="VIS16" s="314" t="s">
        <v>203</v>
      </c>
      <c r="VIT16" s="314" t="s">
        <v>203</v>
      </c>
      <c r="VIU16" s="314" t="s">
        <v>203</v>
      </c>
      <c r="VIV16" s="314" t="s">
        <v>203</v>
      </c>
      <c r="VIW16" s="314" t="s">
        <v>203</v>
      </c>
      <c r="VIX16" s="314" t="s">
        <v>203</v>
      </c>
      <c r="VIY16" s="314" t="s">
        <v>203</v>
      </c>
      <c r="VIZ16" s="314" t="s">
        <v>203</v>
      </c>
      <c r="VJA16" s="314" t="s">
        <v>203</v>
      </c>
      <c r="VJB16" s="314" t="s">
        <v>203</v>
      </c>
      <c r="VJC16" s="314" t="s">
        <v>203</v>
      </c>
      <c r="VJD16" s="314" t="s">
        <v>203</v>
      </c>
      <c r="VJE16" s="314" t="s">
        <v>203</v>
      </c>
      <c r="VJF16" s="314" t="s">
        <v>203</v>
      </c>
      <c r="VJG16" s="314" t="s">
        <v>203</v>
      </c>
      <c r="VJH16" s="314" t="s">
        <v>203</v>
      </c>
      <c r="VJI16" s="314" t="s">
        <v>203</v>
      </c>
      <c r="VJJ16" s="314" t="s">
        <v>203</v>
      </c>
      <c r="VJK16" s="314" t="s">
        <v>203</v>
      </c>
      <c r="VJL16" s="314" t="s">
        <v>203</v>
      </c>
      <c r="VJM16" s="314" t="s">
        <v>203</v>
      </c>
      <c r="VJN16" s="314" t="s">
        <v>203</v>
      </c>
      <c r="VJO16" s="314" t="s">
        <v>203</v>
      </c>
      <c r="VJP16" s="314" t="s">
        <v>203</v>
      </c>
      <c r="VJQ16" s="314" t="s">
        <v>203</v>
      </c>
      <c r="VJR16" s="314" t="s">
        <v>203</v>
      </c>
      <c r="VJS16" s="314" t="s">
        <v>203</v>
      </c>
      <c r="VJT16" s="314" t="s">
        <v>203</v>
      </c>
      <c r="VJU16" s="314" t="s">
        <v>203</v>
      </c>
      <c r="VJV16" s="314" t="s">
        <v>203</v>
      </c>
      <c r="VJW16" s="314" t="s">
        <v>203</v>
      </c>
      <c r="VJX16" s="314" t="s">
        <v>203</v>
      </c>
      <c r="VJY16" s="314" t="s">
        <v>203</v>
      </c>
      <c r="VJZ16" s="314" t="s">
        <v>203</v>
      </c>
      <c r="VKA16" s="314" t="s">
        <v>203</v>
      </c>
      <c r="VKB16" s="314" t="s">
        <v>203</v>
      </c>
      <c r="VKC16" s="314" t="s">
        <v>203</v>
      </c>
      <c r="VKD16" s="314" t="s">
        <v>203</v>
      </c>
      <c r="VKE16" s="314" t="s">
        <v>203</v>
      </c>
      <c r="VKF16" s="314" t="s">
        <v>203</v>
      </c>
      <c r="VKG16" s="314" t="s">
        <v>203</v>
      </c>
      <c r="VKH16" s="314" t="s">
        <v>203</v>
      </c>
      <c r="VKI16" s="314" t="s">
        <v>203</v>
      </c>
      <c r="VKJ16" s="314" t="s">
        <v>203</v>
      </c>
      <c r="VKK16" s="314" t="s">
        <v>203</v>
      </c>
      <c r="VKL16" s="314" t="s">
        <v>203</v>
      </c>
      <c r="VKM16" s="314" t="s">
        <v>203</v>
      </c>
      <c r="VKN16" s="314" t="s">
        <v>203</v>
      </c>
      <c r="VKO16" s="314" t="s">
        <v>203</v>
      </c>
      <c r="VKP16" s="314" t="s">
        <v>203</v>
      </c>
      <c r="VKQ16" s="314" t="s">
        <v>203</v>
      </c>
      <c r="VKR16" s="314" t="s">
        <v>203</v>
      </c>
      <c r="VKS16" s="314" t="s">
        <v>203</v>
      </c>
      <c r="VKT16" s="314" t="s">
        <v>203</v>
      </c>
      <c r="VKU16" s="314" t="s">
        <v>203</v>
      </c>
      <c r="VKV16" s="314" t="s">
        <v>203</v>
      </c>
      <c r="VKW16" s="314" t="s">
        <v>203</v>
      </c>
      <c r="VKX16" s="314" t="s">
        <v>203</v>
      </c>
      <c r="VKY16" s="314" t="s">
        <v>203</v>
      </c>
      <c r="VKZ16" s="314" t="s">
        <v>203</v>
      </c>
      <c r="VLA16" s="314" t="s">
        <v>203</v>
      </c>
      <c r="VLB16" s="314" t="s">
        <v>203</v>
      </c>
      <c r="VLC16" s="314" t="s">
        <v>203</v>
      </c>
      <c r="VLD16" s="314" t="s">
        <v>203</v>
      </c>
      <c r="VLE16" s="314" t="s">
        <v>203</v>
      </c>
      <c r="VLF16" s="314" t="s">
        <v>203</v>
      </c>
      <c r="VLG16" s="314" t="s">
        <v>203</v>
      </c>
      <c r="VLH16" s="314" t="s">
        <v>203</v>
      </c>
      <c r="VLI16" s="314" t="s">
        <v>203</v>
      </c>
      <c r="VLJ16" s="314" t="s">
        <v>203</v>
      </c>
      <c r="VLK16" s="314" t="s">
        <v>203</v>
      </c>
      <c r="VLL16" s="314" t="s">
        <v>203</v>
      </c>
      <c r="VLM16" s="314" t="s">
        <v>203</v>
      </c>
      <c r="VLN16" s="314" t="s">
        <v>203</v>
      </c>
      <c r="VLO16" s="314" t="s">
        <v>203</v>
      </c>
      <c r="VLP16" s="314" t="s">
        <v>203</v>
      </c>
      <c r="VLQ16" s="314" t="s">
        <v>203</v>
      </c>
      <c r="VLR16" s="314" t="s">
        <v>203</v>
      </c>
      <c r="VLS16" s="314" t="s">
        <v>203</v>
      </c>
      <c r="VLT16" s="314" t="s">
        <v>203</v>
      </c>
      <c r="VLU16" s="314" t="s">
        <v>203</v>
      </c>
      <c r="VLV16" s="314" t="s">
        <v>203</v>
      </c>
      <c r="VLW16" s="314" t="s">
        <v>203</v>
      </c>
      <c r="VLX16" s="314" t="s">
        <v>203</v>
      </c>
      <c r="VLY16" s="314" t="s">
        <v>203</v>
      </c>
      <c r="VLZ16" s="314" t="s">
        <v>203</v>
      </c>
      <c r="VMA16" s="314" t="s">
        <v>203</v>
      </c>
      <c r="VMB16" s="314" t="s">
        <v>203</v>
      </c>
      <c r="VMC16" s="314" t="s">
        <v>203</v>
      </c>
      <c r="VMD16" s="314" t="s">
        <v>203</v>
      </c>
      <c r="VME16" s="314" t="s">
        <v>203</v>
      </c>
      <c r="VMF16" s="314" t="s">
        <v>203</v>
      </c>
      <c r="VMG16" s="314" t="s">
        <v>203</v>
      </c>
      <c r="VMH16" s="314" t="s">
        <v>203</v>
      </c>
      <c r="VMI16" s="314" t="s">
        <v>203</v>
      </c>
      <c r="VMJ16" s="314" t="s">
        <v>203</v>
      </c>
      <c r="VMK16" s="314" t="s">
        <v>203</v>
      </c>
      <c r="VML16" s="314" t="s">
        <v>203</v>
      </c>
      <c r="VMM16" s="314" t="s">
        <v>203</v>
      </c>
      <c r="VMN16" s="314" t="s">
        <v>203</v>
      </c>
      <c r="VMO16" s="314" t="s">
        <v>203</v>
      </c>
      <c r="VMP16" s="314" t="s">
        <v>203</v>
      </c>
      <c r="VMQ16" s="314" t="s">
        <v>203</v>
      </c>
      <c r="VMR16" s="314" t="s">
        <v>203</v>
      </c>
      <c r="VMS16" s="314" t="s">
        <v>203</v>
      </c>
      <c r="VMT16" s="314" t="s">
        <v>203</v>
      </c>
      <c r="VMU16" s="314" t="s">
        <v>203</v>
      </c>
      <c r="VMV16" s="314" t="s">
        <v>203</v>
      </c>
      <c r="VMW16" s="314" t="s">
        <v>203</v>
      </c>
      <c r="VMX16" s="314" t="s">
        <v>203</v>
      </c>
      <c r="VMY16" s="314" t="s">
        <v>203</v>
      </c>
      <c r="VMZ16" s="314" t="s">
        <v>203</v>
      </c>
      <c r="VNA16" s="314" t="s">
        <v>203</v>
      </c>
      <c r="VNB16" s="314" t="s">
        <v>203</v>
      </c>
      <c r="VNC16" s="314" t="s">
        <v>203</v>
      </c>
      <c r="VND16" s="314" t="s">
        <v>203</v>
      </c>
      <c r="VNE16" s="314" t="s">
        <v>203</v>
      </c>
      <c r="VNF16" s="314" t="s">
        <v>203</v>
      </c>
      <c r="VNG16" s="314" t="s">
        <v>203</v>
      </c>
      <c r="VNH16" s="314" t="s">
        <v>203</v>
      </c>
      <c r="VNI16" s="314" t="s">
        <v>203</v>
      </c>
      <c r="VNJ16" s="314" t="s">
        <v>203</v>
      </c>
      <c r="VNK16" s="314" t="s">
        <v>203</v>
      </c>
      <c r="VNL16" s="314" t="s">
        <v>203</v>
      </c>
      <c r="VNM16" s="314" t="s">
        <v>203</v>
      </c>
      <c r="VNN16" s="314" t="s">
        <v>203</v>
      </c>
      <c r="VNO16" s="314" t="s">
        <v>203</v>
      </c>
      <c r="VNP16" s="314" t="s">
        <v>203</v>
      </c>
      <c r="VNQ16" s="314" t="s">
        <v>203</v>
      </c>
      <c r="VNR16" s="314" t="s">
        <v>203</v>
      </c>
      <c r="VNS16" s="314" t="s">
        <v>203</v>
      </c>
      <c r="VNT16" s="314" t="s">
        <v>203</v>
      </c>
      <c r="VNU16" s="314" t="s">
        <v>203</v>
      </c>
      <c r="VNV16" s="314" t="s">
        <v>203</v>
      </c>
      <c r="VNW16" s="314" t="s">
        <v>203</v>
      </c>
      <c r="VNX16" s="314" t="s">
        <v>203</v>
      </c>
      <c r="VNY16" s="314" t="s">
        <v>203</v>
      </c>
      <c r="VNZ16" s="314" t="s">
        <v>203</v>
      </c>
      <c r="VOA16" s="314" t="s">
        <v>203</v>
      </c>
      <c r="VOB16" s="314" t="s">
        <v>203</v>
      </c>
      <c r="VOC16" s="314" t="s">
        <v>203</v>
      </c>
      <c r="VOD16" s="314" t="s">
        <v>203</v>
      </c>
      <c r="VOE16" s="314" t="s">
        <v>203</v>
      </c>
      <c r="VOF16" s="314" t="s">
        <v>203</v>
      </c>
      <c r="VOG16" s="314" t="s">
        <v>203</v>
      </c>
      <c r="VOH16" s="314" t="s">
        <v>203</v>
      </c>
      <c r="VOI16" s="314" t="s">
        <v>203</v>
      </c>
      <c r="VOJ16" s="314" t="s">
        <v>203</v>
      </c>
      <c r="VOK16" s="314" t="s">
        <v>203</v>
      </c>
      <c r="VOL16" s="314" t="s">
        <v>203</v>
      </c>
      <c r="VOM16" s="314" t="s">
        <v>203</v>
      </c>
      <c r="VON16" s="314" t="s">
        <v>203</v>
      </c>
      <c r="VOO16" s="314" t="s">
        <v>203</v>
      </c>
      <c r="VOP16" s="314" t="s">
        <v>203</v>
      </c>
      <c r="VOQ16" s="314" t="s">
        <v>203</v>
      </c>
      <c r="VOR16" s="314" t="s">
        <v>203</v>
      </c>
      <c r="VOS16" s="314" t="s">
        <v>203</v>
      </c>
      <c r="VOT16" s="314" t="s">
        <v>203</v>
      </c>
      <c r="VOU16" s="314" t="s">
        <v>203</v>
      </c>
      <c r="VOV16" s="314" t="s">
        <v>203</v>
      </c>
      <c r="VOW16" s="314" t="s">
        <v>203</v>
      </c>
      <c r="VOX16" s="314" t="s">
        <v>203</v>
      </c>
      <c r="VOY16" s="314" t="s">
        <v>203</v>
      </c>
      <c r="VOZ16" s="314" t="s">
        <v>203</v>
      </c>
      <c r="VPA16" s="314" t="s">
        <v>203</v>
      </c>
      <c r="VPB16" s="314" t="s">
        <v>203</v>
      </c>
      <c r="VPC16" s="314" t="s">
        <v>203</v>
      </c>
      <c r="VPD16" s="314" t="s">
        <v>203</v>
      </c>
      <c r="VPE16" s="314" t="s">
        <v>203</v>
      </c>
      <c r="VPF16" s="314" t="s">
        <v>203</v>
      </c>
      <c r="VPG16" s="314" t="s">
        <v>203</v>
      </c>
      <c r="VPH16" s="314" t="s">
        <v>203</v>
      </c>
      <c r="VPI16" s="314" t="s">
        <v>203</v>
      </c>
      <c r="VPJ16" s="314" t="s">
        <v>203</v>
      </c>
      <c r="VPK16" s="314" t="s">
        <v>203</v>
      </c>
      <c r="VPL16" s="314" t="s">
        <v>203</v>
      </c>
      <c r="VPM16" s="314" t="s">
        <v>203</v>
      </c>
      <c r="VPN16" s="314" t="s">
        <v>203</v>
      </c>
      <c r="VPO16" s="314" t="s">
        <v>203</v>
      </c>
      <c r="VPP16" s="314" t="s">
        <v>203</v>
      </c>
      <c r="VPQ16" s="314" t="s">
        <v>203</v>
      </c>
      <c r="VPR16" s="314" t="s">
        <v>203</v>
      </c>
      <c r="VPS16" s="314" t="s">
        <v>203</v>
      </c>
      <c r="VPT16" s="314" t="s">
        <v>203</v>
      </c>
      <c r="VPU16" s="314" t="s">
        <v>203</v>
      </c>
      <c r="VPV16" s="314" t="s">
        <v>203</v>
      </c>
      <c r="VPW16" s="314" t="s">
        <v>203</v>
      </c>
      <c r="VPX16" s="314" t="s">
        <v>203</v>
      </c>
      <c r="VPY16" s="314" t="s">
        <v>203</v>
      </c>
      <c r="VPZ16" s="314" t="s">
        <v>203</v>
      </c>
      <c r="VQA16" s="314" t="s">
        <v>203</v>
      </c>
      <c r="VQB16" s="314" t="s">
        <v>203</v>
      </c>
      <c r="VQC16" s="314" t="s">
        <v>203</v>
      </c>
      <c r="VQD16" s="314" t="s">
        <v>203</v>
      </c>
      <c r="VQE16" s="314" t="s">
        <v>203</v>
      </c>
      <c r="VQF16" s="314" t="s">
        <v>203</v>
      </c>
      <c r="VQG16" s="314" t="s">
        <v>203</v>
      </c>
      <c r="VQH16" s="314" t="s">
        <v>203</v>
      </c>
      <c r="VQI16" s="314" t="s">
        <v>203</v>
      </c>
      <c r="VQJ16" s="314" t="s">
        <v>203</v>
      </c>
      <c r="VQK16" s="314" t="s">
        <v>203</v>
      </c>
      <c r="VQL16" s="314" t="s">
        <v>203</v>
      </c>
      <c r="VQM16" s="314" t="s">
        <v>203</v>
      </c>
      <c r="VQN16" s="314" t="s">
        <v>203</v>
      </c>
      <c r="VQO16" s="314" t="s">
        <v>203</v>
      </c>
      <c r="VQP16" s="314" t="s">
        <v>203</v>
      </c>
      <c r="VQQ16" s="314" t="s">
        <v>203</v>
      </c>
      <c r="VQR16" s="314" t="s">
        <v>203</v>
      </c>
      <c r="VQS16" s="314" t="s">
        <v>203</v>
      </c>
      <c r="VQT16" s="314" t="s">
        <v>203</v>
      </c>
      <c r="VQU16" s="314" t="s">
        <v>203</v>
      </c>
      <c r="VQV16" s="314" t="s">
        <v>203</v>
      </c>
      <c r="VQW16" s="314" t="s">
        <v>203</v>
      </c>
      <c r="VQX16" s="314" t="s">
        <v>203</v>
      </c>
      <c r="VQY16" s="314" t="s">
        <v>203</v>
      </c>
      <c r="VQZ16" s="314" t="s">
        <v>203</v>
      </c>
      <c r="VRA16" s="314" t="s">
        <v>203</v>
      </c>
      <c r="VRB16" s="314" t="s">
        <v>203</v>
      </c>
      <c r="VRC16" s="314" t="s">
        <v>203</v>
      </c>
      <c r="VRD16" s="314" t="s">
        <v>203</v>
      </c>
      <c r="VRE16" s="314" t="s">
        <v>203</v>
      </c>
      <c r="VRF16" s="314" t="s">
        <v>203</v>
      </c>
      <c r="VRG16" s="314" t="s">
        <v>203</v>
      </c>
      <c r="VRH16" s="314" t="s">
        <v>203</v>
      </c>
      <c r="VRI16" s="314" t="s">
        <v>203</v>
      </c>
      <c r="VRJ16" s="314" t="s">
        <v>203</v>
      </c>
      <c r="VRK16" s="314" t="s">
        <v>203</v>
      </c>
      <c r="VRL16" s="314" t="s">
        <v>203</v>
      </c>
      <c r="VRM16" s="314" t="s">
        <v>203</v>
      </c>
      <c r="VRN16" s="314" t="s">
        <v>203</v>
      </c>
      <c r="VRO16" s="314" t="s">
        <v>203</v>
      </c>
      <c r="VRP16" s="314" t="s">
        <v>203</v>
      </c>
      <c r="VRQ16" s="314" t="s">
        <v>203</v>
      </c>
      <c r="VRR16" s="314" t="s">
        <v>203</v>
      </c>
      <c r="VRS16" s="314" t="s">
        <v>203</v>
      </c>
      <c r="VRT16" s="314" t="s">
        <v>203</v>
      </c>
      <c r="VRU16" s="314" t="s">
        <v>203</v>
      </c>
      <c r="VRV16" s="314" t="s">
        <v>203</v>
      </c>
      <c r="VRW16" s="314" t="s">
        <v>203</v>
      </c>
      <c r="VRX16" s="314" t="s">
        <v>203</v>
      </c>
      <c r="VRY16" s="314" t="s">
        <v>203</v>
      </c>
      <c r="VRZ16" s="314" t="s">
        <v>203</v>
      </c>
      <c r="VSA16" s="314" t="s">
        <v>203</v>
      </c>
      <c r="VSB16" s="314" t="s">
        <v>203</v>
      </c>
      <c r="VSC16" s="314" t="s">
        <v>203</v>
      </c>
      <c r="VSD16" s="314" t="s">
        <v>203</v>
      </c>
      <c r="VSE16" s="314" t="s">
        <v>203</v>
      </c>
      <c r="VSF16" s="314" t="s">
        <v>203</v>
      </c>
      <c r="VSG16" s="314" t="s">
        <v>203</v>
      </c>
      <c r="VSH16" s="314" t="s">
        <v>203</v>
      </c>
      <c r="VSI16" s="314" t="s">
        <v>203</v>
      </c>
      <c r="VSJ16" s="314" t="s">
        <v>203</v>
      </c>
      <c r="VSK16" s="314" t="s">
        <v>203</v>
      </c>
      <c r="VSL16" s="314" t="s">
        <v>203</v>
      </c>
      <c r="VSM16" s="314" t="s">
        <v>203</v>
      </c>
      <c r="VSN16" s="314" t="s">
        <v>203</v>
      </c>
      <c r="VSO16" s="314" t="s">
        <v>203</v>
      </c>
      <c r="VSP16" s="314" t="s">
        <v>203</v>
      </c>
      <c r="VSQ16" s="314" t="s">
        <v>203</v>
      </c>
      <c r="VSR16" s="314" t="s">
        <v>203</v>
      </c>
      <c r="VSS16" s="314" t="s">
        <v>203</v>
      </c>
      <c r="VST16" s="314" t="s">
        <v>203</v>
      </c>
      <c r="VSU16" s="314" t="s">
        <v>203</v>
      </c>
      <c r="VSV16" s="314" t="s">
        <v>203</v>
      </c>
      <c r="VSW16" s="314" t="s">
        <v>203</v>
      </c>
      <c r="VSX16" s="314" t="s">
        <v>203</v>
      </c>
      <c r="VSY16" s="314" t="s">
        <v>203</v>
      </c>
      <c r="VSZ16" s="314" t="s">
        <v>203</v>
      </c>
      <c r="VTA16" s="314" t="s">
        <v>203</v>
      </c>
      <c r="VTB16" s="314" t="s">
        <v>203</v>
      </c>
      <c r="VTC16" s="314" t="s">
        <v>203</v>
      </c>
      <c r="VTD16" s="314" t="s">
        <v>203</v>
      </c>
      <c r="VTE16" s="314" t="s">
        <v>203</v>
      </c>
      <c r="VTF16" s="314" t="s">
        <v>203</v>
      </c>
      <c r="VTG16" s="314" t="s">
        <v>203</v>
      </c>
      <c r="VTH16" s="314" t="s">
        <v>203</v>
      </c>
      <c r="VTI16" s="314" t="s">
        <v>203</v>
      </c>
      <c r="VTJ16" s="314" t="s">
        <v>203</v>
      </c>
      <c r="VTK16" s="314" t="s">
        <v>203</v>
      </c>
      <c r="VTL16" s="314" t="s">
        <v>203</v>
      </c>
      <c r="VTM16" s="314" t="s">
        <v>203</v>
      </c>
      <c r="VTN16" s="314" t="s">
        <v>203</v>
      </c>
      <c r="VTO16" s="314" t="s">
        <v>203</v>
      </c>
      <c r="VTP16" s="314" t="s">
        <v>203</v>
      </c>
      <c r="VTQ16" s="314" t="s">
        <v>203</v>
      </c>
      <c r="VTR16" s="314" t="s">
        <v>203</v>
      </c>
      <c r="VTS16" s="314" t="s">
        <v>203</v>
      </c>
      <c r="VTT16" s="314" t="s">
        <v>203</v>
      </c>
      <c r="VTU16" s="314" t="s">
        <v>203</v>
      </c>
      <c r="VTV16" s="314" t="s">
        <v>203</v>
      </c>
      <c r="VTW16" s="314" t="s">
        <v>203</v>
      </c>
      <c r="VTX16" s="314" t="s">
        <v>203</v>
      </c>
      <c r="VTY16" s="314" t="s">
        <v>203</v>
      </c>
      <c r="VTZ16" s="314" t="s">
        <v>203</v>
      </c>
      <c r="VUA16" s="314" t="s">
        <v>203</v>
      </c>
      <c r="VUB16" s="314" t="s">
        <v>203</v>
      </c>
      <c r="VUC16" s="314" t="s">
        <v>203</v>
      </c>
      <c r="VUD16" s="314" t="s">
        <v>203</v>
      </c>
      <c r="VUE16" s="314" t="s">
        <v>203</v>
      </c>
      <c r="VUF16" s="314" t="s">
        <v>203</v>
      </c>
      <c r="VUG16" s="314" t="s">
        <v>203</v>
      </c>
      <c r="VUH16" s="314" t="s">
        <v>203</v>
      </c>
      <c r="VUI16" s="314" t="s">
        <v>203</v>
      </c>
      <c r="VUJ16" s="314" t="s">
        <v>203</v>
      </c>
      <c r="VUK16" s="314" t="s">
        <v>203</v>
      </c>
      <c r="VUL16" s="314" t="s">
        <v>203</v>
      </c>
      <c r="VUM16" s="314" t="s">
        <v>203</v>
      </c>
      <c r="VUN16" s="314" t="s">
        <v>203</v>
      </c>
      <c r="VUO16" s="314" t="s">
        <v>203</v>
      </c>
      <c r="VUP16" s="314" t="s">
        <v>203</v>
      </c>
      <c r="VUQ16" s="314" t="s">
        <v>203</v>
      </c>
      <c r="VUR16" s="314" t="s">
        <v>203</v>
      </c>
      <c r="VUS16" s="314" t="s">
        <v>203</v>
      </c>
      <c r="VUT16" s="314" t="s">
        <v>203</v>
      </c>
      <c r="VUU16" s="314" t="s">
        <v>203</v>
      </c>
      <c r="VUV16" s="314" t="s">
        <v>203</v>
      </c>
      <c r="VUW16" s="314" t="s">
        <v>203</v>
      </c>
      <c r="VUX16" s="314" t="s">
        <v>203</v>
      </c>
      <c r="VUY16" s="314" t="s">
        <v>203</v>
      </c>
      <c r="VUZ16" s="314" t="s">
        <v>203</v>
      </c>
      <c r="VVA16" s="314" t="s">
        <v>203</v>
      </c>
      <c r="VVB16" s="314" t="s">
        <v>203</v>
      </c>
      <c r="VVC16" s="314" t="s">
        <v>203</v>
      </c>
      <c r="VVD16" s="314" t="s">
        <v>203</v>
      </c>
      <c r="VVE16" s="314" t="s">
        <v>203</v>
      </c>
      <c r="VVF16" s="314" t="s">
        <v>203</v>
      </c>
      <c r="VVG16" s="314" t="s">
        <v>203</v>
      </c>
      <c r="VVH16" s="314" t="s">
        <v>203</v>
      </c>
      <c r="VVI16" s="314" t="s">
        <v>203</v>
      </c>
      <c r="VVJ16" s="314" t="s">
        <v>203</v>
      </c>
      <c r="VVK16" s="314" t="s">
        <v>203</v>
      </c>
      <c r="VVL16" s="314" t="s">
        <v>203</v>
      </c>
      <c r="VVM16" s="314" t="s">
        <v>203</v>
      </c>
      <c r="VVN16" s="314" t="s">
        <v>203</v>
      </c>
      <c r="VVO16" s="314" t="s">
        <v>203</v>
      </c>
      <c r="VVP16" s="314" t="s">
        <v>203</v>
      </c>
      <c r="VVQ16" s="314" t="s">
        <v>203</v>
      </c>
      <c r="VVR16" s="314" t="s">
        <v>203</v>
      </c>
      <c r="VVS16" s="314" t="s">
        <v>203</v>
      </c>
      <c r="VVT16" s="314" t="s">
        <v>203</v>
      </c>
      <c r="VVU16" s="314" t="s">
        <v>203</v>
      </c>
      <c r="VVV16" s="314" t="s">
        <v>203</v>
      </c>
      <c r="VVW16" s="314" t="s">
        <v>203</v>
      </c>
      <c r="VVX16" s="314" t="s">
        <v>203</v>
      </c>
      <c r="VVY16" s="314" t="s">
        <v>203</v>
      </c>
      <c r="VVZ16" s="314" t="s">
        <v>203</v>
      </c>
      <c r="VWA16" s="314" t="s">
        <v>203</v>
      </c>
      <c r="VWB16" s="314" t="s">
        <v>203</v>
      </c>
      <c r="VWC16" s="314" t="s">
        <v>203</v>
      </c>
      <c r="VWD16" s="314" t="s">
        <v>203</v>
      </c>
      <c r="VWE16" s="314" t="s">
        <v>203</v>
      </c>
      <c r="VWF16" s="314" t="s">
        <v>203</v>
      </c>
      <c r="VWG16" s="314" t="s">
        <v>203</v>
      </c>
      <c r="VWH16" s="314" t="s">
        <v>203</v>
      </c>
      <c r="VWI16" s="314" t="s">
        <v>203</v>
      </c>
      <c r="VWJ16" s="314" t="s">
        <v>203</v>
      </c>
      <c r="VWK16" s="314" t="s">
        <v>203</v>
      </c>
      <c r="VWL16" s="314" t="s">
        <v>203</v>
      </c>
      <c r="VWM16" s="314" t="s">
        <v>203</v>
      </c>
      <c r="VWN16" s="314" t="s">
        <v>203</v>
      </c>
      <c r="VWO16" s="314" t="s">
        <v>203</v>
      </c>
      <c r="VWP16" s="314" t="s">
        <v>203</v>
      </c>
      <c r="VWQ16" s="314" t="s">
        <v>203</v>
      </c>
      <c r="VWR16" s="314" t="s">
        <v>203</v>
      </c>
      <c r="VWS16" s="314" t="s">
        <v>203</v>
      </c>
      <c r="VWT16" s="314" t="s">
        <v>203</v>
      </c>
      <c r="VWU16" s="314" t="s">
        <v>203</v>
      </c>
      <c r="VWV16" s="314" t="s">
        <v>203</v>
      </c>
      <c r="VWW16" s="314" t="s">
        <v>203</v>
      </c>
      <c r="VWX16" s="314" t="s">
        <v>203</v>
      </c>
      <c r="VWY16" s="314" t="s">
        <v>203</v>
      </c>
      <c r="VWZ16" s="314" t="s">
        <v>203</v>
      </c>
      <c r="VXA16" s="314" t="s">
        <v>203</v>
      </c>
      <c r="VXB16" s="314" t="s">
        <v>203</v>
      </c>
      <c r="VXC16" s="314" t="s">
        <v>203</v>
      </c>
      <c r="VXD16" s="314" t="s">
        <v>203</v>
      </c>
      <c r="VXE16" s="314" t="s">
        <v>203</v>
      </c>
      <c r="VXF16" s="314" t="s">
        <v>203</v>
      </c>
      <c r="VXG16" s="314" t="s">
        <v>203</v>
      </c>
      <c r="VXH16" s="314" t="s">
        <v>203</v>
      </c>
      <c r="VXI16" s="314" t="s">
        <v>203</v>
      </c>
      <c r="VXJ16" s="314" t="s">
        <v>203</v>
      </c>
      <c r="VXK16" s="314" t="s">
        <v>203</v>
      </c>
      <c r="VXL16" s="314" t="s">
        <v>203</v>
      </c>
      <c r="VXM16" s="314" t="s">
        <v>203</v>
      </c>
      <c r="VXN16" s="314" t="s">
        <v>203</v>
      </c>
      <c r="VXO16" s="314" t="s">
        <v>203</v>
      </c>
      <c r="VXP16" s="314" t="s">
        <v>203</v>
      </c>
      <c r="VXQ16" s="314" t="s">
        <v>203</v>
      </c>
      <c r="VXR16" s="314" t="s">
        <v>203</v>
      </c>
      <c r="VXS16" s="314" t="s">
        <v>203</v>
      </c>
      <c r="VXT16" s="314" t="s">
        <v>203</v>
      </c>
      <c r="VXU16" s="314" t="s">
        <v>203</v>
      </c>
      <c r="VXV16" s="314" t="s">
        <v>203</v>
      </c>
      <c r="VXW16" s="314" t="s">
        <v>203</v>
      </c>
      <c r="VXX16" s="314" t="s">
        <v>203</v>
      </c>
      <c r="VXY16" s="314" t="s">
        <v>203</v>
      </c>
      <c r="VXZ16" s="314" t="s">
        <v>203</v>
      </c>
      <c r="VYA16" s="314" t="s">
        <v>203</v>
      </c>
      <c r="VYB16" s="314" t="s">
        <v>203</v>
      </c>
      <c r="VYC16" s="314" t="s">
        <v>203</v>
      </c>
      <c r="VYD16" s="314" t="s">
        <v>203</v>
      </c>
      <c r="VYE16" s="314" t="s">
        <v>203</v>
      </c>
      <c r="VYF16" s="314" t="s">
        <v>203</v>
      </c>
      <c r="VYG16" s="314" t="s">
        <v>203</v>
      </c>
      <c r="VYH16" s="314" t="s">
        <v>203</v>
      </c>
      <c r="VYI16" s="314" t="s">
        <v>203</v>
      </c>
      <c r="VYJ16" s="314" t="s">
        <v>203</v>
      </c>
      <c r="VYK16" s="314" t="s">
        <v>203</v>
      </c>
      <c r="VYL16" s="314" t="s">
        <v>203</v>
      </c>
      <c r="VYM16" s="314" t="s">
        <v>203</v>
      </c>
      <c r="VYN16" s="314" t="s">
        <v>203</v>
      </c>
      <c r="VYO16" s="314" t="s">
        <v>203</v>
      </c>
      <c r="VYP16" s="314" t="s">
        <v>203</v>
      </c>
      <c r="VYQ16" s="314" t="s">
        <v>203</v>
      </c>
      <c r="VYR16" s="314" t="s">
        <v>203</v>
      </c>
      <c r="VYS16" s="314" t="s">
        <v>203</v>
      </c>
      <c r="VYT16" s="314" t="s">
        <v>203</v>
      </c>
      <c r="VYU16" s="314" t="s">
        <v>203</v>
      </c>
      <c r="VYV16" s="314" t="s">
        <v>203</v>
      </c>
      <c r="VYW16" s="314" t="s">
        <v>203</v>
      </c>
      <c r="VYX16" s="314" t="s">
        <v>203</v>
      </c>
      <c r="VYY16" s="314" t="s">
        <v>203</v>
      </c>
      <c r="VYZ16" s="314" t="s">
        <v>203</v>
      </c>
      <c r="VZA16" s="314" t="s">
        <v>203</v>
      </c>
      <c r="VZB16" s="314" t="s">
        <v>203</v>
      </c>
      <c r="VZC16" s="314" t="s">
        <v>203</v>
      </c>
      <c r="VZD16" s="314" t="s">
        <v>203</v>
      </c>
      <c r="VZE16" s="314" t="s">
        <v>203</v>
      </c>
      <c r="VZF16" s="314" t="s">
        <v>203</v>
      </c>
      <c r="VZG16" s="314" t="s">
        <v>203</v>
      </c>
      <c r="VZH16" s="314" t="s">
        <v>203</v>
      </c>
      <c r="VZI16" s="314" t="s">
        <v>203</v>
      </c>
      <c r="VZJ16" s="314" t="s">
        <v>203</v>
      </c>
      <c r="VZK16" s="314" t="s">
        <v>203</v>
      </c>
      <c r="VZL16" s="314" t="s">
        <v>203</v>
      </c>
      <c r="VZM16" s="314" t="s">
        <v>203</v>
      </c>
      <c r="VZN16" s="314" t="s">
        <v>203</v>
      </c>
      <c r="VZO16" s="314" t="s">
        <v>203</v>
      </c>
      <c r="VZP16" s="314" t="s">
        <v>203</v>
      </c>
      <c r="VZQ16" s="314" t="s">
        <v>203</v>
      </c>
      <c r="VZR16" s="314" t="s">
        <v>203</v>
      </c>
      <c r="VZS16" s="314" t="s">
        <v>203</v>
      </c>
      <c r="VZT16" s="314" t="s">
        <v>203</v>
      </c>
      <c r="VZU16" s="314" t="s">
        <v>203</v>
      </c>
      <c r="VZV16" s="314" t="s">
        <v>203</v>
      </c>
      <c r="VZW16" s="314" t="s">
        <v>203</v>
      </c>
      <c r="VZX16" s="314" t="s">
        <v>203</v>
      </c>
      <c r="VZY16" s="314" t="s">
        <v>203</v>
      </c>
      <c r="VZZ16" s="314" t="s">
        <v>203</v>
      </c>
      <c r="WAA16" s="314" t="s">
        <v>203</v>
      </c>
      <c r="WAB16" s="314" t="s">
        <v>203</v>
      </c>
      <c r="WAC16" s="314" t="s">
        <v>203</v>
      </c>
      <c r="WAD16" s="314" t="s">
        <v>203</v>
      </c>
      <c r="WAE16" s="314" t="s">
        <v>203</v>
      </c>
      <c r="WAF16" s="314" t="s">
        <v>203</v>
      </c>
      <c r="WAG16" s="314" t="s">
        <v>203</v>
      </c>
      <c r="WAH16" s="314" t="s">
        <v>203</v>
      </c>
      <c r="WAI16" s="314" t="s">
        <v>203</v>
      </c>
      <c r="WAJ16" s="314" t="s">
        <v>203</v>
      </c>
      <c r="WAK16" s="314" t="s">
        <v>203</v>
      </c>
      <c r="WAL16" s="314" t="s">
        <v>203</v>
      </c>
      <c r="WAM16" s="314" t="s">
        <v>203</v>
      </c>
      <c r="WAN16" s="314" t="s">
        <v>203</v>
      </c>
      <c r="WAO16" s="314" t="s">
        <v>203</v>
      </c>
      <c r="WAP16" s="314" t="s">
        <v>203</v>
      </c>
      <c r="WAQ16" s="314" t="s">
        <v>203</v>
      </c>
      <c r="WAR16" s="314" t="s">
        <v>203</v>
      </c>
      <c r="WAS16" s="314" t="s">
        <v>203</v>
      </c>
      <c r="WAT16" s="314" t="s">
        <v>203</v>
      </c>
      <c r="WAU16" s="314" t="s">
        <v>203</v>
      </c>
      <c r="WAV16" s="314" t="s">
        <v>203</v>
      </c>
      <c r="WAW16" s="314" t="s">
        <v>203</v>
      </c>
      <c r="WAX16" s="314" t="s">
        <v>203</v>
      </c>
      <c r="WAY16" s="314" t="s">
        <v>203</v>
      </c>
      <c r="WAZ16" s="314" t="s">
        <v>203</v>
      </c>
      <c r="WBA16" s="314" t="s">
        <v>203</v>
      </c>
      <c r="WBB16" s="314" t="s">
        <v>203</v>
      </c>
      <c r="WBC16" s="314" t="s">
        <v>203</v>
      </c>
      <c r="WBD16" s="314" t="s">
        <v>203</v>
      </c>
      <c r="WBE16" s="314" t="s">
        <v>203</v>
      </c>
      <c r="WBF16" s="314" t="s">
        <v>203</v>
      </c>
      <c r="WBG16" s="314" t="s">
        <v>203</v>
      </c>
      <c r="WBH16" s="314" t="s">
        <v>203</v>
      </c>
      <c r="WBI16" s="314" t="s">
        <v>203</v>
      </c>
      <c r="WBJ16" s="314" t="s">
        <v>203</v>
      </c>
      <c r="WBK16" s="314" t="s">
        <v>203</v>
      </c>
      <c r="WBL16" s="314" t="s">
        <v>203</v>
      </c>
      <c r="WBM16" s="314" t="s">
        <v>203</v>
      </c>
      <c r="WBN16" s="314" t="s">
        <v>203</v>
      </c>
      <c r="WBO16" s="314" t="s">
        <v>203</v>
      </c>
      <c r="WBP16" s="314" t="s">
        <v>203</v>
      </c>
      <c r="WBQ16" s="314" t="s">
        <v>203</v>
      </c>
      <c r="WBR16" s="314" t="s">
        <v>203</v>
      </c>
      <c r="WBS16" s="314" t="s">
        <v>203</v>
      </c>
      <c r="WBT16" s="314" t="s">
        <v>203</v>
      </c>
      <c r="WBU16" s="314" t="s">
        <v>203</v>
      </c>
      <c r="WBV16" s="314" t="s">
        <v>203</v>
      </c>
      <c r="WBW16" s="314" t="s">
        <v>203</v>
      </c>
      <c r="WBX16" s="314" t="s">
        <v>203</v>
      </c>
      <c r="WBY16" s="314" t="s">
        <v>203</v>
      </c>
      <c r="WBZ16" s="314" t="s">
        <v>203</v>
      </c>
      <c r="WCA16" s="314" t="s">
        <v>203</v>
      </c>
      <c r="WCB16" s="314" t="s">
        <v>203</v>
      </c>
      <c r="WCC16" s="314" t="s">
        <v>203</v>
      </c>
      <c r="WCD16" s="314" t="s">
        <v>203</v>
      </c>
      <c r="WCE16" s="314" t="s">
        <v>203</v>
      </c>
      <c r="WCF16" s="314" t="s">
        <v>203</v>
      </c>
      <c r="WCG16" s="314" t="s">
        <v>203</v>
      </c>
      <c r="WCH16" s="314" t="s">
        <v>203</v>
      </c>
      <c r="WCI16" s="314" t="s">
        <v>203</v>
      </c>
      <c r="WCJ16" s="314" t="s">
        <v>203</v>
      </c>
      <c r="WCK16" s="314" t="s">
        <v>203</v>
      </c>
      <c r="WCL16" s="314" t="s">
        <v>203</v>
      </c>
      <c r="WCM16" s="314" t="s">
        <v>203</v>
      </c>
      <c r="WCN16" s="314" t="s">
        <v>203</v>
      </c>
      <c r="WCO16" s="314" t="s">
        <v>203</v>
      </c>
      <c r="WCP16" s="314" t="s">
        <v>203</v>
      </c>
      <c r="WCQ16" s="314" t="s">
        <v>203</v>
      </c>
      <c r="WCR16" s="314" t="s">
        <v>203</v>
      </c>
      <c r="WCS16" s="314" t="s">
        <v>203</v>
      </c>
      <c r="WCT16" s="314" t="s">
        <v>203</v>
      </c>
      <c r="WCU16" s="314" t="s">
        <v>203</v>
      </c>
      <c r="WCV16" s="314" t="s">
        <v>203</v>
      </c>
      <c r="WCW16" s="314" t="s">
        <v>203</v>
      </c>
      <c r="WCX16" s="314" t="s">
        <v>203</v>
      </c>
      <c r="WCY16" s="314" t="s">
        <v>203</v>
      </c>
      <c r="WCZ16" s="314" t="s">
        <v>203</v>
      </c>
      <c r="WDA16" s="314" t="s">
        <v>203</v>
      </c>
      <c r="WDB16" s="314" t="s">
        <v>203</v>
      </c>
      <c r="WDC16" s="314" t="s">
        <v>203</v>
      </c>
      <c r="WDD16" s="314" t="s">
        <v>203</v>
      </c>
      <c r="WDE16" s="314" t="s">
        <v>203</v>
      </c>
      <c r="WDF16" s="314" t="s">
        <v>203</v>
      </c>
      <c r="WDG16" s="314" t="s">
        <v>203</v>
      </c>
      <c r="WDH16" s="314" t="s">
        <v>203</v>
      </c>
      <c r="WDI16" s="314" t="s">
        <v>203</v>
      </c>
      <c r="WDJ16" s="314" t="s">
        <v>203</v>
      </c>
      <c r="WDK16" s="314" t="s">
        <v>203</v>
      </c>
      <c r="WDL16" s="314" t="s">
        <v>203</v>
      </c>
      <c r="WDM16" s="314" t="s">
        <v>203</v>
      </c>
      <c r="WDN16" s="314" t="s">
        <v>203</v>
      </c>
      <c r="WDO16" s="314" t="s">
        <v>203</v>
      </c>
      <c r="WDP16" s="314" t="s">
        <v>203</v>
      </c>
      <c r="WDQ16" s="314" t="s">
        <v>203</v>
      </c>
      <c r="WDR16" s="314" t="s">
        <v>203</v>
      </c>
      <c r="WDS16" s="314" t="s">
        <v>203</v>
      </c>
      <c r="WDT16" s="314" t="s">
        <v>203</v>
      </c>
      <c r="WDU16" s="314" t="s">
        <v>203</v>
      </c>
      <c r="WDV16" s="314" t="s">
        <v>203</v>
      </c>
      <c r="WDW16" s="314" t="s">
        <v>203</v>
      </c>
      <c r="WDX16" s="314" t="s">
        <v>203</v>
      </c>
      <c r="WDY16" s="314" t="s">
        <v>203</v>
      </c>
      <c r="WDZ16" s="314" t="s">
        <v>203</v>
      </c>
      <c r="WEA16" s="314" t="s">
        <v>203</v>
      </c>
      <c r="WEB16" s="314" t="s">
        <v>203</v>
      </c>
      <c r="WEC16" s="314" t="s">
        <v>203</v>
      </c>
      <c r="WED16" s="314" t="s">
        <v>203</v>
      </c>
      <c r="WEE16" s="314" t="s">
        <v>203</v>
      </c>
      <c r="WEF16" s="314" t="s">
        <v>203</v>
      </c>
      <c r="WEG16" s="314" t="s">
        <v>203</v>
      </c>
      <c r="WEH16" s="314" t="s">
        <v>203</v>
      </c>
      <c r="WEI16" s="314" t="s">
        <v>203</v>
      </c>
      <c r="WEJ16" s="314" t="s">
        <v>203</v>
      </c>
      <c r="WEK16" s="314" t="s">
        <v>203</v>
      </c>
      <c r="WEL16" s="314" t="s">
        <v>203</v>
      </c>
      <c r="WEM16" s="314" t="s">
        <v>203</v>
      </c>
      <c r="WEN16" s="314" t="s">
        <v>203</v>
      </c>
      <c r="WEO16" s="314" t="s">
        <v>203</v>
      </c>
      <c r="WEP16" s="314" t="s">
        <v>203</v>
      </c>
      <c r="WEQ16" s="314" t="s">
        <v>203</v>
      </c>
      <c r="WER16" s="314" t="s">
        <v>203</v>
      </c>
      <c r="WES16" s="314" t="s">
        <v>203</v>
      </c>
      <c r="WET16" s="314" t="s">
        <v>203</v>
      </c>
      <c r="WEU16" s="314" t="s">
        <v>203</v>
      </c>
      <c r="WEV16" s="314" t="s">
        <v>203</v>
      </c>
      <c r="WEW16" s="314" t="s">
        <v>203</v>
      </c>
      <c r="WEX16" s="314" t="s">
        <v>203</v>
      </c>
      <c r="WEY16" s="314" t="s">
        <v>203</v>
      </c>
      <c r="WEZ16" s="314" t="s">
        <v>203</v>
      </c>
      <c r="WFA16" s="314" t="s">
        <v>203</v>
      </c>
      <c r="WFB16" s="314" t="s">
        <v>203</v>
      </c>
      <c r="WFC16" s="314" t="s">
        <v>203</v>
      </c>
      <c r="WFD16" s="314" t="s">
        <v>203</v>
      </c>
      <c r="WFE16" s="314" t="s">
        <v>203</v>
      </c>
      <c r="WFF16" s="314" t="s">
        <v>203</v>
      </c>
      <c r="WFG16" s="314" t="s">
        <v>203</v>
      </c>
      <c r="WFH16" s="314" t="s">
        <v>203</v>
      </c>
      <c r="WFI16" s="314" t="s">
        <v>203</v>
      </c>
      <c r="WFJ16" s="314" t="s">
        <v>203</v>
      </c>
      <c r="WFK16" s="314" t="s">
        <v>203</v>
      </c>
      <c r="WFL16" s="314" t="s">
        <v>203</v>
      </c>
      <c r="WFM16" s="314" t="s">
        <v>203</v>
      </c>
      <c r="WFN16" s="314" t="s">
        <v>203</v>
      </c>
      <c r="WFO16" s="314" t="s">
        <v>203</v>
      </c>
      <c r="WFP16" s="314" t="s">
        <v>203</v>
      </c>
      <c r="WFQ16" s="314" t="s">
        <v>203</v>
      </c>
      <c r="WFR16" s="314" t="s">
        <v>203</v>
      </c>
      <c r="WFS16" s="314" t="s">
        <v>203</v>
      </c>
      <c r="WFT16" s="314" t="s">
        <v>203</v>
      </c>
      <c r="WFU16" s="314" t="s">
        <v>203</v>
      </c>
      <c r="WFV16" s="314" t="s">
        <v>203</v>
      </c>
      <c r="WFW16" s="314" t="s">
        <v>203</v>
      </c>
      <c r="WFX16" s="314" t="s">
        <v>203</v>
      </c>
      <c r="WFY16" s="314" t="s">
        <v>203</v>
      </c>
      <c r="WFZ16" s="314" t="s">
        <v>203</v>
      </c>
      <c r="WGA16" s="314" t="s">
        <v>203</v>
      </c>
      <c r="WGB16" s="314" t="s">
        <v>203</v>
      </c>
      <c r="WGC16" s="314" t="s">
        <v>203</v>
      </c>
      <c r="WGD16" s="314" t="s">
        <v>203</v>
      </c>
      <c r="WGE16" s="314" t="s">
        <v>203</v>
      </c>
      <c r="WGF16" s="314" t="s">
        <v>203</v>
      </c>
      <c r="WGG16" s="314" t="s">
        <v>203</v>
      </c>
      <c r="WGH16" s="314" t="s">
        <v>203</v>
      </c>
      <c r="WGI16" s="314" t="s">
        <v>203</v>
      </c>
      <c r="WGJ16" s="314" t="s">
        <v>203</v>
      </c>
      <c r="WGK16" s="314" t="s">
        <v>203</v>
      </c>
      <c r="WGL16" s="314" t="s">
        <v>203</v>
      </c>
      <c r="WGM16" s="314" t="s">
        <v>203</v>
      </c>
      <c r="WGN16" s="314" t="s">
        <v>203</v>
      </c>
      <c r="WGO16" s="314" t="s">
        <v>203</v>
      </c>
      <c r="WGP16" s="314" t="s">
        <v>203</v>
      </c>
      <c r="WGQ16" s="314" t="s">
        <v>203</v>
      </c>
      <c r="WGR16" s="314" t="s">
        <v>203</v>
      </c>
      <c r="WGS16" s="314" t="s">
        <v>203</v>
      </c>
      <c r="WGT16" s="314" t="s">
        <v>203</v>
      </c>
      <c r="WGU16" s="314" t="s">
        <v>203</v>
      </c>
      <c r="WGV16" s="314" t="s">
        <v>203</v>
      </c>
      <c r="WGW16" s="314" t="s">
        <v>203</v>
      </c>
      <c r="WGX16" s="314" t="s">
        <v>203</v>
      </c>
      <c r="WGY16" s="314" t="s">
        <v>203</v>
      </c>
      <c r="WGZ16" s="314" t="s">
        <v>203</v>
      </c>
      <c r="WHA16" s="314" t="s">
        <v>203</v>
      </c>
      <c r="WHB16" s="314" t="s">
        <v>203</v>
      </c>
      <c r="WHC16" s="314" t="s">
        <v>203</v>
      </c>
      <c r="WHD16" s="314" t="s">
        <v>203</v>
      </c>
      <c r="WHE16" s="314" t="s">
        <v>203</v>
      </c>
      <c r="WHF16" s="314" t="s">
        <v>203</v>
      </c>
      <c r="WHG16" s="314" t="s">
        <v>203</v>
      </c>
      <c r="WHH16" s="314" t="s">
        <v>203</v>
      </c>
      <c r="WHI16" s="314" t="s">
        <v>203</v>
      </c>
      <c r="WHJ16" s="314" t="s">
        <v>203</v>
      </c>
      <c r="WHK16" s="314" t="s">
        <v>203</v>
      </c>
      <c r="WHL16" s="314" t="s">
        <v>203</v>
      </c>
      <c r="WHM16" s="314" t="s">
        <v>203</v>
      </c>
      <c r="WHN16" s="314" t="s">
        <v>203</v>
      </c>
      <c r="WHO16" s="314" t="s">
        <v>203</v>
      </c>
      <c r="WHP16" s="314" t="s">
        <v>203</v>
      </c>
      <c r="WHQ16" s="314" t="s">
        <v>203</v>
      </c>
      <c r="WHR16" s="314" t="s">
        <v>203</v>
      </c>
      <c r="WHS16" s="314" t="s">
        <v>203</v>
      </c>
      <c r="WHT16" s="314" t="s">
        <v>203</v>
      </c>
      <c r="WHU16" s="314" t="s">
        <v>203</v>
      </c>
      <c r="WHV16" s="314" t="s">
        <v>203</v>
      </c>
      <c r="WHW16" s="314" t="s">
        <v>203</v>
      </c>
      <c r="WHX16" s="314" t="s">
        <v>203</v>
      </c>
      <c r="WHY16" s="314" t="s">
        <v>203</v>
      </c>
      <c r="WHZ16" s="314" t="s">
        <v>203</v>
      </c>
      <c r="WIA16" s="314" t="s">
        <v>203</v>
      </c>
      <c r="WIB16" s="314" t="s">
        <v>203</v>
      </c>
      <c r="WIC16" s="314" t="s">
        <v>203</v>
      </c>
      <c r="WID16" s="314" t="s">
        <v>203</v>
      </c>
      <c r="WIE16" s="314" t="s">
        <v>203</v>
      </c>
      <c r="WIF16" s="314" t="s">
        <v>203</v>
      </c>
      <c r="WIG16" s="314" t="s">
        <v>203</v>
      </c>
      <c r="WIH16" s="314" t="s">
        <v>203</v>
      </c>
      <c r="WII16" s="314" t="s">
        <v>203</v>
      </c>
      <c r="WIJ16" s="314" t="s">
        <v>203</v>
      </c>
      <c r="WIK16" s="314" t="s">
        <v>203</v>
      </c>
      <c r="WIL16" s="314" t="s">
        <v>203</v>
      </c>
      <c r="WIM16" s="314" t="s">
        <v>203</v>
      </c>
      <c r="WIN16" s="314" t="s">
        <v>203</v>
      </c>
      <c r="WIO16" s="314" t="s">
        <v>203</v>
      </c>
      <c r="WIP16" s="314" t="s">
        <v>203</v>
      </c>
      <c r="WIQ16" s="314" t="s">
        <v>203</v>
      </c>
      <c r="WIR16" s="314" t="s">
        <v>203</v>
      </c>
      <c r="WIS16" s="314" t="s">
        <v>203</v>
      </c>
      <c r="WIT16" s="314" t="s">
        <v>203</v>
      </c>
      <c r="WIU16" s="314" t="s">
        <v>203</v>
      </c>
      <c r="WIV16" s="314" t="s">
        <v>203</v>
      </c>
      <c r="WIW16" s="314" t="s">
        <v>203</v>
      </c>
      <c r="WIX16" s="314" t="s">
        <v>203</v>
      </c>
      <c r="WIY16" s="314" t="s">
        <v>203</v>
      </c>
      <c r="WIZ16" s="314" t="s">
        <v>203</v>
      </c>
      <c r="WJA16" s="314" t="s">
        <v>203</v>
      </c>
      <c r="WJB16" s="314" t="s">
        <v>203</v>
      </c>
      <c r="WJC16" s="314" t="s">
        <v>203</v>
      </c>
      <c r="WJD16" s="314" t="s">
        <v>203</v>
      </c>
      <c r="WJE16" s="314" t="s">
        <v>203</v>
      </c>
      <c r="WJF16" s="314" t="s">
        <v>203</v>
      </c>
      <c r="WJG16" s="314" t="s">
        <v>203</v>
      </c>
      <c r="WJH16" s="314" t="s">
        <v>203</v>
      </c>
      <c r="WJI16" s="314" t="s">
        <v>203</v>
      </c>
      <c r="WJJ16" s="314" t="s">
        <v>203</v>
      </c>
      <c r="WJK16" s="314" t="s">
        <v>203</v>
      </c>
      <c r="WJL16" s="314" t="s">
        <v>203</v>
      </c>
      <c r="WJM16" s="314" t="s">
        <v>203</v>
      </c>
      <c r="WJN16" s="314" t="s">
        <v>203</v>
      </c>
      <c r="WJO16" s="314" t="s">
        <v>203</v>
      </c>
      <c r="WJP16" s="314" t="s">
        <v>203</v>
      </c>
      <c r="WJQ16" s="314" t="s">
        <v>203</v>
      </c>
      <c r="WJR16" s="314" t="s">
        <v>203</v>
      </c>
      <c r="WJS16" s="314" t="s">
        <v>203</v>
      </c>
      <c r="WJT16" s="314" t="s">
        <v>203</v>
      </c>
      <c r="WJU16" s="314" t="s">
        <v>203</v>
      </c>
      <c r="WJV16" s="314" t="s">
        <v>203</v>
      </c>
      <c r="WJW16" s="314" t="s">
        <v>203</v>
      </c>
      <c r="WJX16" s="314" t="s">
        <v>203</v>
      </c>
      <c r="WJY16" s="314" t="s">
        <v>203</v>
      </c>
      <c r="WJZ16" s="314" t="s">
        <v>203</v>
      </c>
      <c r="WKA16" s="314" t="s">
        <v>203</v>
      </c>
      <c r="WKB16" s="314" t="s">
        <v>203</v>
      </c>
      <c r="WKC16" s="314" t="s">
        <v>203</v>
      </c>
      <c r="WKD16" s="314" t="s">
        <v>203</v>
      </c>
      <c r="WKE16" s="314" t="s">
        <v>203</v>
      </c>
      <c r="WKF16" s="314" t="s">
        <v>203</v>
      </c>
      <c r="WKG16" s="314" t="s">
        <v>203</v>
      </c>
      <c r="WKH16" s="314" t="s">
        <v>203</v>
      </c>
      <c r="WKI16" s="314" t="s">
        <v>203</v>
      </c>
      <c r="WKJ16" s="314" t="s">
        <v>203</v>
      </c>
      <c r="WKK16" s="314" t="s">
        <v>203</v>
      </c>
      <c r="WKL16" s="314" t="s">
        <v>203</v>
      </c>
      <c r="WKM16" s="314" t="s">
        <v>203</v>
      </c>
      <c r="WKN16" s="314" t="s">
        <v>203</v>
      </c>
      <c r="WKO16" s="314" t="s">
        <v>203</v>
      </c>
      <c r="WKP16" s="314" t="s">
        <v>203</v>
      </c>
      <c r="WKQ16" s="314" t="s">
        <v>203</v>
      </c>
      <c r="WKR16" s="314" t="s">
        <v>203</v>
      </c>
      <c r="WKS16" s="314" t="s">
        <v>203</v>
      </c>
      <c r="WKT16" s="314" t="s">
        <v>203</v>
      </c>
      <c r="WKU16" s="314" t="s">
        <v>203</v>
      </c>
      <c r="WKV16" s="314" t="s">
        <v>203</v>
      </c>
      <c r="WKW16" s="314" t="s">
        <v>203</v>
      </c>
      <c r="WKX16" s="314" t="s">
        <v>203</v>
      </c>
      <c r="WKY16" s="314" t="s">
        <v>203</v>
      </c>
      <c r="WKZ16" s="314" t="s">
        <v>203</v>
      </c>
      <c r="WLA16" s="314" t="s">
        <v>203</v>
      </c>
      <c r="WLB16" s="314" t="s">
        <v>203</v>
      </c>
      <c r="WLC16" s="314" t="s">
        <v>203</v>
      </c>
      <c r="WLD16" s="314" t="s">
        <v>203</v>
      </c>
      <c r="WLE16" s="314" t="s">
        <v>203</v>
      </c>
      <c r="WLF16" s="314" t="s">
        <v>203</v>
      </c>
      <c r="WLG16" s="314" t="s">
        <v>203</v>
      </c>
      <c r="WLH16" s="314" t="s">
        <v>203</v>
      </c>
      <c r="WLI16" s="314" t="s">
        <v>203</v>
      </c>
      <c r="WLJ16" s="314" t="s">
        <v>203</v>
      </c>
      <c r="WLK16" s="314" t="s">
        <v>203</v>
      </c>
      <c r="WLL16" s="314" t="s">
        <v>203</v>
      </c>
      <c r="WLM16" s="314" t="s">
        <v>203</v>
      </c>
      <c r="WLN16" s="314" t="s">
        <v>203</v>
      </c>
      <c r="WLO16" s="314" t="s">
        <v>203</v>
      </c>
      <c r="WLP16" s="314" t="s">
        <v>203</v>
      </c>
      <c r="WLQ16" s="314" t="s">
        <v>203</v>
      </c>
      <c r="WLR16" s="314" t="s">
        <v>203</v>
      </c>
      <c r="WLS16" s="314" t="s">
        <v>203</v>
      </c>
      <c r="WLT16" s="314" t="s">
        <v>203</v>
      </c>
      <c r="WLU16" s="314" t="s">
        <v>203</v>
      </c>
      <c r="WLV16" s="314" t="s">
        <v>203</v>
      </c>
      <c r="WLW16" s="314" t="s">
        <v>203</v>
      </c>
      <c r="WLX16" s="314" t="s">
        <v>203</v>
      </c>
      <c r="WLY16" s="314" t="s">
        <v>203</v>
      </c>
      <c r="WLZ16" s="314" t="s">
        <v>203</v>
      </c>
      <c r="WMA16" s="314" t="s">
        <v>203</v>
      </c>
      <c r="WMB16" s="314" t="s">
        <v>203</v>
      </c>
      <c r="WMC16" s="314" t="s">
        <v>203</v>
      </c>
      <c r="WMD16" s="314" t="s">
        <v>203</v>
      </c>
      <c r="WME16" s="314" t="s">
        <v>203</v>
      </c>
      <c r="WMF16" s="314" t="s">
        <v>203</v>
      </c>
      <c r="WMG16" s="314" t="s">
        <v>203</v>
      </c>
      <c r="WMH16" s="314" t="s">
        <v>203</v>
      </c>
      <c r="WMI16" s="314" t="s">
        <v>203</v>
      </c>
      <c r="WMJ16" s="314" t="s">
        <v>203</v>
      </c>
      <c r="WMK16" s="314" t="s">
        <v>203</v>
      </c>
      <c r="WML16" s="314" t="s">
        <v>203</v>
      </c>
      <c r="WMM16" s="314" t="s">
        <v>203</v>
      </c>
      <c r="WMN16" s="314" t="s">
        <v>203</v>
      </c>
      <c r="WMO16" s="314" t="s">
        <v>203</v>
      </c>
      <c r="WMP16" s="314" t="s">
        <v>203</v>
      </c>
      <c r="WMQ16" s="314" t="s">
        <v>203</v>
      </c>
      <c r="WMR16" s="314" t="s">
        <v>203</v>
      </c>
      <c r="WMS16" s="314" t="s">
        <v>203</v>
      </c>
      <c r="WMT16" s="314" t="s">
        <v>203</v>
      </c>
      <c r="WMU16" s="314" t="s">
        <v>203</v>
      </c>
      <c r="WMV16" s="314" t="s">
        <v>203</v>
      </c>
      <c r="WMW16" s="314" t="s">
        <v>203</v>
      </c>
      <c r="WMX16" s="314" t="s">
        <v>203</v>
      </c>
      <c r="WMY16" s="314" t="s">
        <v>203</v>
      </c>
      <c r="WMZ16" s="314" t="s">
        <v>203</v>
      </c>
      <c r="WNA16" s="314" t="s">
        <v>203</v>
      </c>
      <c r="WNB16" s="314" t="s">
        <v>203</v>
      </c>
      <c r="WNC16" s="314" t="s">
        <v>203</v>
      </c>
      <c r="WND16" s="314" t="s">
        <v>203</v>
      </c>
      <c r="WNE16" s="314" t="s">
        <v>203</v>
      </c>
      <c r="WNF16" s="314" t="s">
        <v>203</v>
      </c>
      <c r="WNG16" s="314" t="s">
        <v>203</v>
      </c>
      <c r="WNH16" s="314" t="s">
        <v>203</v>
      </c>
      <c r="WNI16" s="314" t="s">
        <v>203</v>
      </c>
      <c r="WNJ16" s="314" t="s">
        <v>203</v>
      </c>
      <c r="WNK16" s="314" t="s">
        <v>203</v>
      </c>
      <c r="WNL16" s="314" t="s">
        <v>203</v>
      </c>
      <c r="WNM16" s="314" t="s">
        <v>203</v>
      </c>
      <c r="WNN16" s="314" t="s">
        <v>203</v>
      </c>
      <c r="WNO16" s="314" t="s">
        <v>203</v>
      </c>
      <c r="WNP16" s="314" t="s">
        <v>203</v>
      </c>
      <c r="WNQ16" s="314" t="s">
        <v>203</v>
      </c>
      <c r="WNR16" s="314" t="s">
        <v>203</v>
      </c>
      <c r="WNS16" s="314" t="s">
        <v>203</v>
      </c>
      <c r="WNT16" s="314" t="s">
        <v>203</v>
      </c>
      <c r="WNU16" s="314" t="s">
        <v>203</v>
      </c>
      <c r="WNV16" s="314" t="s">
        <v>203</v>
      </c>
      <c r="WNW16" s="314" t="s">
        <v>203</v>
      </c>
      <c r="WNX16" s="314" t="s">
        <v>203</v>
      </c>
      <c r="WNY16" s="314" t="s">
        <v>203</v>
      </c>
      <c r="WNZ16" s="314" t="s">
        <v>203</v>
      </c>
      <c r="WOA16" s="314" t="s">
        <v>203</v>
      </c>
      <c r="WOB16" s="314" t="s">
        <v>203</v>
      </c>
      <c r="WOC16" s="314" t="s">
        <v>203</v>
      </c>
      <c r="WOD16" s="314" t="s">
        <v>203</v>
      </c>
      <c r="WOE16" s="314" t="s">
        <v>203</v>
      </c>
      <c r="WOF16" s="314" t="s">
        <v>203</v>
      </c>
      <c r="WOG16" s="314" t="s">
        <v>203</v>
      </c>
      <c r="WOH16" s="314" t="s">
        <v>203</v>
      </c>
      <c r="WOI16" s="314" t="s">
        <v>203</v>
      </c>
      <c r="WOJ16" s="314" t="s">
        <v>203</v>
      </c>
      <c r="WOK16" s="314" t="s">
        <v>203</v>
      </c>
      <c r="WOL16" s="314" t="s">
        <v>203</v>
      </c>
      <c r="WOM16" s="314" t="s">
        <v>203</v>
      </c>
      <c r="WON16" s="314" t="s">
        <v>203</v>
      </c>
      <c r="WOO16" s="314" t="s">
        <v>203</v>
      </c>
      <c r="WOP16" s="314" t="s">
        <v>203</v>
      </c>
      <c r="WOQ16" s="314" t="s">
        <v>203</v>
      </c>
      <c r="WOR16" s="314" t="s">
        <v>203</v>
      </c>
      <c r="WOS16" s="314" t="s">
        <v>203</v>
      </c>
      <c r="WOT16" s="314" t="s">
        <v>203</v>
      </c>
      <c r="WOU16" s="314" t="s">
        <v>203</v>
      </c>
      <c r="WOV16" s="314" t="s">
        <v>203</v>
      </c>
      <c r="WOW16" s="314" t="s">
        <v>203</v>
      </c>
      <c r="WOX16" s="314" t="s">
        <v>203</v>
      </c>
      <c r="WOY16" s="314" t="s">
        <v>203</v>
      </c>
      <c r="WOZ16" s="314" t="s">
        <v>203</v>
      </c>
      <c r="WPA16" s="314" t="s">
        <v>203</v>
      </c>
      <c r="WPB16" s="314" t="s">
        <v>203</v>
      </c>
      <c r="WPC16" s="314" t="s">
        <v>203</v>
      </c>
      <c r="WPD16" s="314" t="s">
        <v>203</v>
      </c>
      <c r="WPE16" s="314" t="s">
        <v>203</v>
      </c>
      <c r="WPF16" s="314" t="s">
        <v>203</v>
      </c>
      <c r="WPG16" s="314" t="s">
        <v>203</v>
      </c>
      <c r="WPH16" s="314" t="s">
        <v>203</v>
      </c>
      <c r="WPI16" s="314" t="s">
        <v>203</v>
      </c>
      <c r="WPJ16" s="314" t="s">
        <v>203</v>
      </c>
      <c r="WPK16" s="314" t="s">
        <v>203</v>
      </c>
      <c r="WPL16" s="314" t="s">
        <v>203</v>
      </c>
      <c r="WPM16" s="314" t="s">
        <v>203</v>
      </c>
      <c r="WPN16" s="314" t="s">
        <v>203</v>
      </c>
      <c r="WPO16" s="314" t="s">
        <v>203</v>
      </c>
      <c r="WPP16" s="314" t="s">
        <v>203</v>
      </c>
      <c r="WPQ16" s="314" t="s">
        <v>203</v>
      </c>
      <c r="WPR16" s="314" t="s">
        <v>203</v>
      </c>
      <c r="WPS16" s="314" t="s">
        <v>203</v>
      </c>
      <c r="WPT16" s="314" t="s">
        <v>203</v>
      </c>
      <c r="WPU16" s="314" t="s">
        <v>203</v>
      </c>
      <c r="WPV16" s="314" t="s">
        <v>203</v>
      </c>
      <c r="WPW16" s="314" t="s">
        <v>203</v>
      </c>
      <c r="WPX16" s="314" t="s">
        <v>203</v>
      </c>
      <c r="WPY16" s="314" t="s">
        <v>203</v>
      </c>
      <c r="WPZ16" s="314" t="s">
        <v>203</v>
      </c>
      <c r="WQA16" s="314" t="s">
        <v>203</v>
      </c>
      <c r="WQB16" s="314" t="s">
        <v>203</v>
      </c>
      <c r="WQC16" s="314" t="s">
        <v>203</v>
      </c>
      <c r="WQD16" s="314" t="s">
        <v>203</v>
      </c>
      <c r="WQE16" s="314" t="s">
        <v>203</v>
      </c>
      <c r="WQF16" s="314" t="s">
        <v>203</v>
      </c>
      <c r="WQG16" s="314" t="s">
        <v>203</v>
      </c>
      <c r="WQH16" s="314" t="s">
        <v>203</v>
      </c>
      <c r="WQI16" s="314" t="s">
        <v>203</v>
      </c>
      <c r="WQJ16" s="314" t="s">
        <v>203</v>
      </c>
      <c r="WQK16" s="314" t="s">
        <v>203</v>
      </c>
      <c r="WQL16" s="314" t="s">
        <v>203</v>
      </c>
      <c r="WQM16" s="314" t="s">
        <v>203</v>
      </c>
      <c r="WQN16" s="314" t="s">
        <v>203</v>
      </c>
      <c r="WQO16" s="314" t="s">
        <v>203</v>
      </c>
      <c r="WQP16" s="314" t="s">
        <v>203</v>
      </c>
      <c r="WQQ16" s="314" t="s">
        <v>203</v>
      </c>
      <c r="WQR16" s="314" t="s">
        <v>203</v>
      </c>
      <c r="WQS16" s="314" t="s">
        <v>203</v>
      </c>
      <c r="WQT16" s="314" t="s">
        <v>203</v>
      </c>
      <c r="WQU16" s="314" t="s">
        <v>203</v>
      </c>
      <c r="WQV16" s="314" t="s">
        <v>203</v>
      </c>
      <c r="WQW16" s="314" t="s">
        <v>203</v>
      </c>
      <c r="WQX16" s="314" t="s">
        <v>203</v>
      </c>
      <c r="WQY16" s="314" t="s">
        <v>203</v>
      </c>
      <c r="WQZ16" s="314" t="s">
        <v>203</v>
      </c>
      <c r="WRA16" s="314" t="s">
        <v>203</v>
      </c>
      <c r="WRB16" s="314" t="s">
        <v>203</v>
      </c>
      <c r="WRC16" s="314" t="s">
        <v>203</v>
      </c>
      <c r="WRD16" s="314" t="s">
        <v>203</v>
      </c>
      <c r="WRE16" s="314" t="s">
        <v>203</v>
      </c>
      <c r="WRF16" s="314" t="s">
        <v>203</v>
      </c>
      <c r="WRG16" s="314" t="s">
        <v>203</v>
      </c>
      <c r="WRH16" s="314" t="s">
        <v>203</v>
      </c>
      <c r="WRI16" s="314" t="s">
        <v>203</v>
      </c>
      <c r="WRJ16" s="314" t="s">
        <v>203</v>
      </c>
      <c r="WRK16" s="314" t="s">
        <v>203</v>
      </c>
      <c r="WRL16" s="314" t="s">
        <v>203</v>
      </c>
      <c r="WRM16" s="314" t="s">
        <v>203</v>
      </c>
      <c r="WRN16" s="314" t="s">
        <v>203</v>
      </c>
      <c r="WRO16" s="314" t="s">
        <v>203</v>
      </c>
      <c r="WRP16" s="314" t="s">
        <v>203</v>
      </c>
      <c r="WRQ16" s="314" t="s">
        <v>203</v>
      </c>
      <c r="WRR16" s="314" t="s">
        <v>203</v>
      </c>
      <c r="WRS16" s="314" t="s">
        <v>203</v>
      </c>
      <c r="WRT16" s="314" t="s">
        <v>203</v>
      </c>
      <c r="WRU16" s="314" t="s">
        <v>203</v>
      </c>
      <c r="WRV16" s="314" t="s">
        <v>203</v>
      </c>
      <c r="WRW16" s="314" t="s">
        <v>203</v>
      </c>
      <c r="WRX16" s="314" t="s">
        <v>203</v>
      </c>
      <c r="WRY16" s="314" t="s">
        <v>203</v>
      </c>
      <c r="WRZ16" s="314" t="s">
        <v>203</v>
      </c>
      <c r="WSA16" s="314" t="s">
        <v>203</v>
      </c>
      <c r="WSB16" s="314" t="s">
        <v>203</v>
      </c>
      <c r="WSC16" s="314" t="s">
        <v>203</v>
      </c>
      <c r="WSD16" s="314" t="s">
        <v>203</v>
      </c>
      <c r="WSE16" s="314" t="s">
        <v>203</v>
      </c>
      <c r="WSF16" s="314" t="s">
        <v>203</v>
      </c>
      <c r="WSG16" s="314" t="s">
        <v>203</v>
      </c>
      <c r="WSH16" s="314" t="s">
        <v>203</v>
      </c>
      <c r="WSI16" s="314" t="s">
        <v>203</v>
      </c>
      <c r="WSJ16" s="314" t="s">
        <v>203</v>
      </c>
      <c r="WSK16" s="314" t="s">
        <v>203</v>
      </c>
      <c r="WSL16" s="314" t="s">
        <v>203</v>
      </c>
      <c r="WSM16" s="314" t="s">
        <v>203</v>
      </c>
      <c r="WSN16" s="314" t="s">
        <v>203</v>
      </c>
      <c r="WSO16" s="314" t="s">
        <v>203</v>
      </c>
      <c r="WSP16" s="314" t="s">
        <v>203</v>
      </c>
      <c r="WSQ16" s="314" t="s">
        <v>203</v>
      </c>
      <c r="WSR16" s="314" t="s">
        <v>203</v>
      </c>
      <c r="WSS16" s="314" t="s">
        <v>203</v>
      </c>
      <c r="WST16" s="314" t="s">
        <v>203</v>
      </c>
      <c r="WSU16" s="314" t="s">
        <v>203</v>
      </c>
      <c r="WSV16" s="314" t="s">
        <v>203</v>
      </c>
      <c r="WSW16" s="314" t="s">
        <v>203</v>
      </c>
      <c r="WSX16" s="314" t="s">
        <v>203</v>
      </c>
      <c r="WSY16" s="314" t="s">
        <v>203</v>
      </c>
      <c r="WSZ16" s="314" t="s">
        <v>203</v>
      </c>
      <c r="WTA16" s="314" t="s">
        <v>203</v>
      </c>
      <c r="WTB16" s="314" t="s">
        <v>203</v>
      </c>
      <c r="WTC16" s="314" t="s">
        <v>203</v>
      </c>
      <c r="WTD16" s="314" t="s">
        <v>203</v>
      </c>
      <c r="WTE16" s="314" t="s">
        <v>203</v>
      </c>
      <c r="WTF16" s="314" t="s">
        <v>203</v>
      </c>
      <c r="WTG16" s="314" t="s">
        <v>203</v>
      </c>
      <c r="WTH16" s="314" t="s">
        <v>203</v>
      </c>
      <c r="WTI16" s="314" t="s">
        <v>203</v>
      </c>
      <c r="WTJ16" s="314" t="s">
        <v>203</v>
      </c>
      <c r="WTK16" s="314" t="s">
        <v>203</v>
      </c>
      <c r="WTL16" s="314" t="s">
        <v>203</v>
      </c>
      <c r="WTM16" s="314" t="s">
        <v>203</v>
      </c>
      <c r="WTN16" s="314" t="s">
        <v>203</v>
      </c>
      <c r="WTO16" s="314" t="s">
        <v>203</v>
      </c>
      <c r="WTP16" s="314" t="s">
        <v>203</v>
      </c>
      <c r="WTQ16" s="314" t="s">
        <v>203</v>
      </c>
      <c r="WTR16" s="314" t="s">
        <v>203</v>
      </c>
      <c r="WTS16" s="314" t="s">
        <v>203</v>
      </c>
      <c r="WTT16" s="314" t="s">
        <v>203</v>
      </c>
      <c r="WTU16" s="314" t="s">
        <v>203</v>
      </c>
      <c r="WTV16" s="314" t="s">
        <v>203</v>
      </c>
      <c r="WTW16" s="314" t="s">
        <v>203</v>
      </c>
      <c r="WTX16" s="314" t="s">
        <v>203</v>
      </c>
      <c r="WTY16" s="314" t="s">
        <v>203</v>
      </c>
      <c r="WTZ16" s="314" t="s">
        <v>203</v>
      </c>
      <c r="WUA16" s="314" t="s">
        <v>203</v>
      </c>
      <c r="WUB16" s="314" t="s">
        <v>203</v>
      </c>
      <c r="WUC16" s="314" t="s">
        <v>203</v>
      </c>
      <c r="WUD16" s="314" t="s">
        <v>203</v>
      </c>
      <c r="WUE16" s="314" t="s">
        <v>203</v>
      </c>
      <c r="WUF16" s="314" t="s">
        <v>203</v>
      </c>
      <c r="WUG16" s="314" t="s">
        <v>203</v>
      </c>
      <c r="WUH16" s="314" t="s">
        <v>203</v>
      </c>
      <c r="WUI16" s="314" t="s">
        <v>203</v>
      </c>
      <c r="WUJ16" s="314" t="s">
        <v>203</v>
      </c>
      <c r="WUK16" s="314" t="s">
        <v>203</v>
      </c>
      <c r="WUL16" s="314" t="s">
        <v>203</v>
      </c>
      <c r="WUM16" s="314" t="s">
        <v>203</v>
      </c>
      <c r="WUN16" s="314" t="s">
        <v>203</v>
      </c>
      <c r="WUO16" s="314" t="s">
        <v>203</v>
      </c>
      <c r="WUP16" s="314" t="s">
        <v>203</v>
      </c>
      <c r="WUQ16" s="314" t="s">
        <v>203</v>
      </c>
      <c r="WUR16" s="314" t="s">
        <v>203</v>
      </c>
      <c r="WUS16" s="314" t="s">
        <v>203</v>
      </c>
      <c r="WUT16" s="314" t="s">
        <v>203</v>
      </c>
      <c r="WUU16" s="314" t="s">
        <v>203</v>
      </c>
      <c r="WUV16" s="314" t="s">
        <v>203</v>
      </c>
      <c r="WUW16" s="314" t="s">
        <v>203</v>
      </c>
      <c r="WUX16" s="314" t="s">
        <v>203</v>
      </c>
      <c r="WUY16" s="314" t="s">
        <v>203</v>
      </c>
      <c r="WUZ16" s="314" t="s">
        <v>203</v>
      </c>
      <c r="WVA16" s="314" t="s">
        <v>203</v>
      </c>
      <c r="WVB16" s="314" t="s">
        <v>203</v>
      </c>
      <c r="WVC16" s="314" t="s">
        <v>203</v>
      </c>
      <c r="WVD16" s="314" t="s">
        <v>203</v>
      </c>
      <c r="WVE16" s="314" t="s">
        <v>203</v>
      </c>
      <c r="WVF16" s="314" t="s">
        <v>203</v>
      </c>
      <c r="WVG16" s="314" t="s">
        <v>203</v>
      </c>
      <c r="WVH16" s="314" t="s">
        <v>203</v>
      </c>
      <c r="WVI16" s="314" t="s">
        <v>203</v>
      </c>
      <c r="WVJ16" s="314" t="s">
        <v>203</v>
      </c>
      <c r="WVK16" s="314" t="s">
        <v>203</v>
      </c>
      <c r="WVL16" s="314" t="s">
        <v>203</v>
      </c>
      <c r="WVM16" s="314" t="s">
        <v>203</v>
      </c>
      <c r="WVN16" s="314" t="s">
        <v>203</v>
      </c>
      <c r="WVO16" s="314" t="s">
        <v>203</v>
      </c>
      <c r="WVP16" s="314" t="s">
        <v>203</v>
      </c>
      <c r="WVQ16" s="314" t="s">
        <v>203</v>
      </c>
      <c r="WVR16" s="314" t="s">
        <v>203</v>
      </c>
      <c r="WVS16" s="314" t="s">
        <v>203</v>
      </c>
      <c r="WVT16" s="314" t="s">
        <v>203</v>
      </c>
      <c r="WVU16" s="314" t="s">
        <v>203</v>
      </c>
      <c r="WVV16" s="314" t="s">
        <v>203</v>
      </c>
      <c r="WVW16" s="314" t="s">
        <v>203</v>
      </c>
      <c r="WVX16" s="314" t="s">
        <v>203</v>
      </c>
      <c r="WVY16" s="314" t="s">
        <v>203</v>
      </c>
      <c r="WVZ16" s="314" t="s">
        <v>203</v>
      </c>
      <c r="WWA16" s="314" t="s">
        <v>203</v>
      </c>
      <c r="WWB16" s="314" t="s">
        <v>203</v>
      </c>
      <c r="WWC16" s="314" t="s">
        <v>203</v>
      </c>
      <c r="WWD16" s="314" t="s">
        <v>203</v>
      </c>
      <c r="WWE16" s="314" t="s">
        <v>203</v>
      </c>
      <c r="WWF16" s="314" t="s">
        <v>203</v>
      </c>
      <c r="WWG16" s="314" t="s">
        <v>203</v>
      </c>
      <c r="WWH16" s="314" t="s">
        <v>203</v>
      </c>
      <c r="WWI16" s="314" t="s">
        <v>203</v>
      </c>
      <c r="WWJ16" s="314" t="s">
        <v>203</v>
      </c>
      <c r="WWK16" s="314" t="s">
        <v>203</v>
      </c>
      <c r="WWL16" s="314" t="s">
        <v>203</v>
      </c>
      <c r="WWM16" s="314" t="s">
        <v>203</v>
      </c>
      <c r="WWN16" s="314" t="s">
        <v>203</v>
      </c>
      <c r="WWO16" s="314" t="s">
        <v>203</v>
      </c>
      <c r="WWP16" s="314" t="s">
        <v>203</v>
      </c>
      <c r="WWQ16" s="314" t="s">
        <v>203</v>
      </c>
      <c r="WWR16" s="314" t="s">
        <v>203</v>
      </c>
      <c r="WWS16" s="314" t="s">
        <v>203</v>
      </c>
      <c r="WWT16" s="314" t="s">
        <v>203</v>
      </c>
      <c r="WWU16" s="314" t="s">
        <v>203</v>
      </c>
      <c r="WWV16" s="314" t="s">
        <v>203</v>
      </c>
      <c r="WWW16" s="314" t="s">
        <v>203</v>
      </c>
      <c r="WWX16" s="314" t="s">
        <v>203</v>
      </c>
      <c r="WWY16" s="314" t="s">
        <v>203</v>
      </c>
      <c r="WWZ16" s="314" t="s">
        <v>203</v>
      </c>
      <c r="WXA16" s="314" t="s">
        <v>203</v>
      </c>
      <c r="WXB16" s="314" t="s">
        <v>203</v>
      </c>
      <c r="WXC16" s="314" t="s">
        <v>203</v>
      </c>
      <c r="WXD16" s="314" t="s">
        <v>203</v>
      </c>
      <c r="WXE16" s="314" t="s">
        <v>203</v>
      </c>
      <c r="WXF16" s="314" t="s">
        <v>203</v>
      </c>
      <c r="WXG16" s="314" t="s">
        <v>203</v>
      </c>
      <c r="WXH16" s="314" t="s">
        <v>203</v>
      </c>
      <c r="WXI16" s="314" t="s">
        <v>203</v>
      </c>
      <c r="WXJ16" s="314" t="s">
        <v>203</v>
      </c>
      <c r="WXK16" s="314" t="s">
        <v>203</v>
      </c>
      <c r="WXL16" s="314" t="s">
        <v>203</v>
      </c>
      <c r="WXM16" s="314" t="s">
        <v>203</v>
      </c>
      <c r="WXN16" s="314" t="s">
        <v>203</v>
      </c>
      <c r="WXO16" s="314" t="s">
        <v>203</v>
      </c>
      <c r="WXP16" s="314" t="s">
        <v>203</v>
      </c>
      <c r="WXQ16" s="314" t="s">
        <v>203</v>
      </c>
      <c r="WXR16" s="314" t="s">
        <v>203</v>
      </c>
      <c r="WXS16" s="314" t="s">
        <v>203</v>
      </c>
      <c r="WXT16" s="314" t="s">
        <v>203</v>
      </c>
      <c r="WXU16" s="314" t="s">
        <v>203</v>
      </c>
      <c r="WXV16" s="314" t="s">
        <v>203</v>
      </c>
      <c r="WXW16" s="314" t="s">
        <v>203</v>
      </c>
      <c r="WXX16" s="314" t="s">
        <v>203</v>
      </c>
      <c r="WXY16" s="314" t="s">
        <v>203</v>
      </c>
      <c r="WXZ16" s="314" t="s">
        <v>203</v>
      </c>
      <c r="WYA16" s="314" t="s">
        <v>203</v>
      </c>
      <c r="WYB16" s="314" t="s">
        <v>203</v>
      </c>
      <c r="WYC16" s="314" t="s">
        <v>203</v>
      </c>
      <c r="WYD16" s="314" t="s">
        <v>203</v>
      </c>
      <c r="WYE16" s="314" t="s">
        <v>203</v>
      </c>
      <c r="WYF16" s="314" t="s">
        <v>203</v>
      </c>
      <c r="WYG16" s="314" t="s">
        <v>203</v>
      </c>
      <c r="WYH16" s="314" t="s">
        <v>203</v>
      </c>
      <c r="WYI16" s="314" t="s">
        <v>203</v>
      </c>
      <c r="WYJ16" s="314" t="s">
        <v>203</v>
      </c>
      <c r="WYK16" s="314" t="s">
        <v>203</v>
      </c>
      <c r="WYL16" s="314" t="s">
        <v>203</v>
      </c>
      <c r="WYM16" s="314" t="s">
        <v>203</v>
      </c>
      <c r="WYN16" s="314" t="s">
        <v>203</v>
      </c>
      <c r="WYO16" s="314" t="s">
        <v>203</v>
      </c>
      <c r="WYP16" s="314" t="s">
        <v>203</v>
      </c>
      <c r="WYQ16" s="314" t="s">
        <v>203</v>
      </c>
      <c r="WYR16" s="314" t="s">
        <v>203</v>
      </c>
      <c r="WYS16" s="314" t="s">
        <v>203</v>
      </c>
      <c r="WYT16" s="314" t="s">
        <v>203</v>
      </c>
      <c r="WYU16" s="314" t="s">
        <v>203</v>
      </c>
      <c r="WYV16" s="314" t="s">
        <v>203</v>
      </c>
      <c r="WYW16" s="314" t="s">
        <v>203</v>
      </c>
      <c r="WYX16" s="314" t="s">
        <v>203</v>
      </c>
      <c r="WYY16" s="314" t="s">
        <v>203</v>
      </c>
      <c r="WYZ16" s="314" t="s">
        <v>203</v>
      </c>
      <c r="WZA16" s="314" t="s">
        <v>203</v>
      </c>
      <c r="WZB16" s="314" t="s">
        <v>203</v>
      </c>
      <c r="WZC16" s="314" t="s">
        <v>203</v>
      </c>
      <c r="WZD16" s="314" t="s">
        <v>203</v>
      </c>
      <c r="WZE16" s="314" t="s">
        <v>203</v>
      </c>
      <c r="WZF16" s="314" t="s">
        <v>203</v>
      </c>
      <c r="WZG16" s="314" t="s">
        <v>203</v>
      </c>
      <c r="WZH16" s="314" t="s">
        <v>203</v>
      </c>
      <c r="WZI16" s="314" t="s">
        <v>203</v>
      </c>
      <c r="WZJ16" s="314" t="s">
        <v>203</v>
      </c>
      <c r="WZK16" s="314" t="s">
        <v>203</v>
      </c>
      <c r="WZL16" s="314" t="s">
        <v>203</v>
      </c>
      <c r="WZM16" s="314" t="s">
        <v>203</v>
      </c>
      <c r="WZN16" s="314" t="s">
        <v>203</v>
      </c>
      <c r="WZO16" s="314" t="s">
        <v>203</v>
      </c>
      <c r="WZP16" s="314" t="s">
        <v>203</v>
      </c>
      <c r="WZQ16" s="314" t="s">
        <v>203</v>
      </c>
      <c r="WZR16" s="314" t="s">
        <v>203</v>
      </c>
      <c r="WZS16" s="314" t="s">
        <v>203</v>
      </c>
      <c r="WZT16" s="314" t="s">
        <v>203</v>
      </c>
      <c r="WZU16" s="314" t="s">
        <v>203</v>
      </c>
      <c r="WZV16" s="314" t="s">
        <v>203</v>
      </c>
      <c r="WZW16" s="314" t="s">
        <v>203</v>
      </c>
      <c r="WZX16" s="314" t="s">
        <v>203</v>
      </c>
      <c r="WZY16" s="314" t="s">
        <v>203</v>
      </c>
      <c r="WZZ16" s="314" t="s">
        <v>203</v>
      </c>
      <c r="XAA16" s="314" t="s">
        <v>203</v>
      </c>
      <c r="XAB16" s="314" t="s">
        <v>203</v>
      </c>
      <c r="XAC16" s="314" t="s">
        <v>203</v>
      </c>
      <c r="XAD16" s="314" t="s">
        <v>203</v>
      </c>
      <c r="XAE16" s="314" t="s">
        <v>203</v>
      </c>
      <c r="XAF16" s="314" t="s">
        <v>203</v>
      </c>
      <c r="XAG16" s="314" t="s">
        <v>203</v>
      </c>
      <c r="XAH16" s="314" t="s">
        <v>203</v>
      </c>
      <c r="XAI16" s="314" t="s">
        <v>203</v>
      </c>
      <c r="XAJ16" s="314" t="s">
        <v>203</v>
      </c>
      <c r="XAK16" s="314" t="s">
        <v>203</v>
      </c>
      <c r="XAL16" s="314" t="s">
        <v>203</v>
      </c>
      <c r="XAM16" s="314" t="s">
        <v>203</v>
      </c>
      <c r="XAN16" s="314" t="s">
        <v>203</v>
      </c>
      <c r="XAO16" s="314" t="s">
        <v>203</v>
      </c>
      <c r="XAP16" s="314" t="s">
        <v>203</v>
      </c>
      <c r="XAQ16" s="314" t="s">
        <v>203</v>
      </c>
      <c r="XAR16" s="314" t="s">
        <v>203</v>
      </c>
      <c r="XAS16" s="314" t="s">
        <v>203</v>
      </c>
      <c r="XAT16" s="314" t="s">
        <v>203</v>
      </c>
      <c r="XAU16" s="314" t="s">
        <v>203</v>
      </c>
      <c r="XAV16" s="314" t="s">
        <v>203</v>
      </c>
      <c r="XAW16" s="314" t="s">
        <v>203</v>
      </c>
      <c r="XAX16" s="314" t="s">
        <v>203</v>
      </c>
      <c r="XAY16" s="314" t="s">
        <v>203</v>
      </c>
      <c r="XAZ16" s="314" t="s">
        <v>203</v>
      </c>
      <c r="XBA16" s="314" t="s">
        <v>203</v>
      </c>
      <c r="XBB16" s="314" t="s">
        <v>203</v>
      </c>
      <c r="XBC16" s="314" t="s">
        <v>203</v>
      </c>
      <c r="XBD16" s="314" t="s">
        <v>203</v>
      </c>
      <c r="XBE16" s="314" t="s">
        <v>203</v>
      </c>
      <c r="XBF16" s="314" t="s">
        <v>203</v>
      </c>
      <c r="XBG16" s="314" t="s">
        <v>203</v>
      </c>
      <c r="XBH16" s="314" t="s">
        <v>203</v>
      </c>
      <c r="XBI16" s="314" t="s">
        <v>203</v>
      </c>
      <c r="XBJ16" s="314" t="s">
        <v>203</v>
      </c>
      <c r="XBK16" s="314" t="s">
        <v>203</v>
      </c>
      <c r="XBL16" s="314" t="s">
        <v>203</v>
      </c>
      <c r="XBM16" s="314" t="s">
        <v>203</v>
      </c>
      <c r="XBN16" s="314" t="s">
        <v>203</v>
      </c>
      <c r="XBO16" s="314" t="s">
        <v>203</v>
      </c>
      <c r="XBP16" s="314" t="s">
        <v>203</v>
      </c>
      <c r="XBQ16" s="314" t="s">
        <v>203</v>
      </c>
      <c r="XBR16" s="314" t="s">
        <v>203</v>
      </c>
      <c r="XBS16" s="314" t="s">
        <v>203</v>
      </c>
      <c r="XBT16" s="314" t="s">
        <v>203</v>
      </c>
      <c r="XBU16" s="314" t="s">
        <v>203</v>
      </c>
      <c r="XBV16" s="314" t="s">
        <v>203</v>
      </c>
      <c r="XBW16" s="314" t="s">
        <v>203</v>
      </c>
      <c r="XBX16" s="314" t="s">
        <v>203</v>
      </c>
      <c r="XBY16" s="314" t="s">
        <v>203</v>
      </c>
      <c r="XBZ16" s="314" t="s">
        <v>203</v>
      </c>
      <c r="XCA16" s="314" t="s">
        <v>203</v>
      </c>
      <c r="XCB16" s="314" t="s">
        <v>203</v>
      </c>
      <c r="XCC16" s="314" t="s">
        <v>203</v>
      </c>
      <c r="XCD16" s="314" t="s">
        <v>203</v>
      </c>
      <c r="XCE16" s="314" t="s">
        <v>203</v>
      </c>
      <c r="XCF16" s="314" t="s">
        <v>203</v>
      </c>
      <c r="XCG16" s="314" t="s">
        <v>203</v>
      </c>
      <c r="XCH16" s="314" t="s">
        <v>203</v>
      </c>
      <c r="XCI16" s="314" t="s">
        <v>203</v>
      </c>
      <c r="XCJ16" s="314" t="s">
        <v>203</v>
      </c>
      <c r="XCK16" s="314" t="s">
        <v>203</v>
      </c>
      <c r="XCL16" s="314" t="s">
        <v>203</v>
      </c>
      <c r="XCM16" s="314" t="s">
        <v>203</v>
      </c>
      <c r="XCN16" s="314" t="s">
        <v>203</v>
      </c>
      <c r="XCO16" s="314" t="s">
        <v>203</v>
      </c>
      <c r="XCP16" s="314" t="s">
        <v>203</v>
      </c>
      <c r="XCQ16" s="314" t="s">
        <v>203</v>
      </c>
      <c r="XCR16" s="314" t="s">
        <v>203</v>
      </c>
      <c r="XCS16" s="314" t="s">
        <v>203</v>
      </c>
      <c r="XCT16" s="314" t="s">
        <v>203</v>
      </c>
      <c r="XCU16" s="314" t="s">
        <v>203</v>
      </c>
      <c r="XCV16" s="314" t="s">
        <v>203</v>
      </c>
      <c r="XCW16" s="314" t="s">
        <v>203</v>
      </c>
      <c r="XCX16" s="314" t="s">
        <v>203</v>
      </c>
      <c r="XCY16" s="314" t="s">
        <v>203</v>
      </c>
      <c r="XCZ16" s="314" t="s">
        <v>203</v>
      </c>
      <c r="XDA16" s="314" t="s">
        <v>203</v>
      </c>
      <c r="XDB16" s="314" t="s">
        <v>203</v>
      </c>
      <c r="XDC16" s="314" t="s">
        <v>203</v>
      </c>
      <c r="XDD16" s="314" t="s">
        <v>203</v>
      </c>
      <c r="XDE16" s="314" t="s">
        <v>203</v>
      </c>
      <c r="XDF16" s="314" t="s">
        <v>203</v>
      </c>
      <c r="XDG16" s="314" t="s">
        <v>203</v>
      </c>
      <c r="XDH16" s="314" t="s">
        <v>203</v>
      </c>
      <c r="XDI16" s="314" t="s">
        <v>203</v>
      </c>
      <c r="XDJ16" s="314" t="s">
        <v>203</v>
      </c>
      <c r="XDK16" s="314" t="s">
        <v>203</v>
      </c>
      <c r="XDL16" s="314" t="s">
        <v>203</v>
      </c>
      <c r="XDM16" s="314" t="s">
        <v>203</v>
      </c>
      <c r="XDN16" s="314" t="s">
        <v>203</v>
      </c>
      <c r="XDO16" s="314" t="s">
        <v>203</v>
      </c>
      <c r="XDP16" s="314" t="s">
        <v>203</v>
      </c>
      <c r="XDQ16" s="314" t="s">
        <v>203</v>
      </c>
      <c r="XDR16" s="314" t="s">
        <v>203</v>
      </c>
      <c r="XDS16" s="314" t="s">
        <v>203</v>
      </c>
      <c r="XDT16" s="314" t="s">
        <v>203</v>
      </c>
      <c r="XDU16" s="314" t="s">
        <v>203</v>
      </c>
      <c r="XDV16" s="314" t="s">
        <v>203</v>
      </c>
      <c r="XDW16" s="314" t="s">
        <v>203</v>
      </c>
      <c r="XDX16" s="314" t="s">
        <v>203</v>
      </c>
      <c r="XDY16" s="314" t="s">
        <v>203</v>
      </c>
      <c r="XDZ16" s="314" t="s">
        <v>203</v>
      </c>
      <c r="XEA16" s="314" t="s">
        <v>203</v>
      </c>
      <c r="XEB16" s="314" t="s">
        <v>203</v>
      </c>
      <c r="XEC16" s="314" t="s">
        <v>203</v>
      </c>
      <c r="XED16" s="314" t="s">
        <v>203</v>
      </c>
      <c r="XEE16" s="314" t="s">
        <v>203</v>
      </c>
      <c r="XEF16" s="314" t="s">
        <v>203</v>
      </c>
      <c r="XEG16" s="314" t="s">
        <v>203</v>
      </c>
      <c r="XEH16" s="314" t="s">
        <v>203</v>
      </c>
      <c r="XEI16" s="314" t="s">
        <v>203</v>
      </c>
      <c r="XEJ16" s="314" t="s">
        <v>203</v>
      </c>
      <c r="XEK16" s="314" t="s">
        <v>203</v>
      </c>
      <c r="XEL16" s="314" t="s">
        <v>203</v>
      </c>
      <c r="XEM16" s="314" t="s">
        <v>203</v>
      </c>
      <c r="XEN16" s="314" t="s">
        <v>203</v>
      </c>
      <c r="XEO16" s="314" t="s">
        <v>203</v>
      </c>
      <c r="XEP16" s="314" t="s">
        <v>203</v>
      </c>
      <c r="XEQ16" s="314" t="s">
        <v>203</v>
      </c>
      <c r="XER16" s="314" t="s">
        <v>203</v>
      </c>
      <c r="XES16" s="314" t="s">
        <v>203</v>
      </c>
      <c r="XET16" s="314" t="s">
        <v>203</v>
      </c>
      <c r="XEU16" s="314" t="s">
        <v>203</v>
      </c>
      <c r="XEV16" s="314" t="s">
        <v>203</v>
      </c>
      <c r="XEW16" s="314" t="s">
        <v>203</v>
      </c>
      <c r="XEX16" s="314" t="s">
        <v>203</v>
      </c>
      <c r="XEY16" s="314" t="s">
        <v>203</v>
      </c>
      <c r="XEZ16" s="314" t="s">
        <v>203</v>
      </c>
      <c r="XFA16" s="314" t="s">
        <v>203</v>
      </c>
      <c r="XFB16" s="314" t="s">
        <v>203</v>
      </c>
    </row>
    <row r="17" spans="1:49" s="314" customFormat="1" ht="16.5" customHeight="1" x14ac:dyDescent="0.2">
      <c r="A17" s="606" t="s">
        <v>291</v>
      </c>
      <c r="B17" s="607">
        <v>45902</v>
      </c>
      <c r="C17" s="608"/>
      <c r="D17" s="608"/>
      <c r="E17" s="609"/>
      <c r="F17" s="609"/>
      <c r="G17" s="607" t="s">
        <v>213</v>
      </c>
      <c r="H17" s="609" t="s">
        <v>47</v>
      </c>
      <c r="I17" s="610">
        <v>1518</v>
      </c>
      <c r="J17" s="610"/>
      <c r="K17" s="609"/>
      <c r="L17" s="611"/>
      <c r="M17" s="609"/>
      <c r="N17" s="610"/>
      <c r="O17" s="612"/>
      <c r="P17" s="609"/>
      <c r="Q17" s="610"/>
      <c r="R17" s="528"/>
      <c r="S17" s="528">
        <f t="shared" si="1"/>
        <v>607.20000000000005</v>
      </c>
      <c r="T17" s="674"/>
      <c r="U17" s="528"/>
      <c r="V17" s="611"/>
      <c r="W17" s="611">
        <f>1467-91-607.2</f>
        <v>768.8</v>
      </c>
      <c r="X17" s="613" t="s">
        <v>292</v>
      </c>
      <c r="Y17" s="660" t="s">
        <v>294</v>
      </c>
      <c r="Z17" s="323"/>
      <c r="AA17" s="323"/>
      <c r="AB17" s="323" t="s">
        <v>318</v>
      </c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</row>
    <row r="18" spans="1:49" x14ac:dyDescent="0.25">
      <c r="A18" s="445" t="s">
        <v>205</v>
      </c>
      <c r="B18" s="546">
        <v>45793</v>
      </c>
      <c r="C18" s="547">
        <v>45612</v>
      </c>
      <c r="D18" s="547"/>
      <c r="E18" s="548"/>
      <c r="F18" s="548"/>
      <c r="G18" s="558" t="s">
        <v>238</v>
      </c>
      <c r="H18" s="558" t="s">
        <v>206</v>
      </c>
      <c r="I18" s="552">
        <f>1758</f>
        <v>1758</v>
      </c>
      <c r="J18" s="552">
        <v>600</v>
      </c>
      <c r="K18" s="548"/>
      <c r="L18" s="556"/>
      <c r="M18" s="548"/>
      <c r="N18" s="556">
        <v>703.2</v>
      </c>
      <c r="O18" s="601"/>
      <c r="P18" s="548"/>
      <c r="Q18" s="556"/>
      <c r="R18" s="557"/>
      <c r="S18" s="557">
        <f>703.2-R18</f>
        <v>703.2</v>
      </c>
      <c r="T18" s="675"/>
      <c r="U18" s="557"/>
      <c r="V18" s="556"/>
      <c r="W18" s="556">
        <v>889</v>
      </c>
      <c r="X18" s="558" t="s">
        <v>209</v>
      </c>
      <c r="Y18" s="289"/>
      <c r="Z18" s="319"/>
      <c r="AA18" s="319"/>
      <c r="AB18" s="319" t="s">
        <v>319</v>
      </c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</row>
    <row r="19" spans="1:49" s="319" customFormat="1" x14ac:dyDescent="0.25">
      <c r="A19" s="446" t="s">
        <v>167</v>
      </c>
      <c r="B19" s="573"/>
      <c r="C19" s="562">
        <v>45980</v>
      </c>
      <c r="D19" s="562"/>
      <c r="E19" s="563"/>
      <c r="F19" s="563"/>
      <c r="G19" s="573" t="s">
        <v>120</v>
      </c>
      <c r="H19" s="573" t="s">
        <v>74</v>
      </c>
      <c r="I19" s="567">
        <v>1733.05</v>
      </c>
      <c r="J19" s="567"/>
      <c r="K19" s="563"/>
      <c r="L19" s="571"/>
      <c r="M19" s="563"/>
      <c r="N19" s="571">
        <v>693.22</v>
      </c>
      <c r="O19" s="602"/>
      <c r="P19" s="563"/>
      <c r="Q19" s="571"/>
      <c r="R19" s="572">
        <v>45</v>
      </c>
      <c r="S19" s="572">
        <f>693.22-R19</f>
        <v>648.22</v>
      </c>
      <c r="T19" s="676"/>
      <c r="U19" s="572"/>
      <c r="V19" s="571"/>
      <c r="W19" s="571">
        <v>750</v>
      </c>
      <c r="X19" s="573">
        <v>14760536698</v>
      </c>
      <c r="Y19" s="289"/>
    </row>
    <row r="20" spans="1:49" x14ac:dyDescent="0.25">
      <c r="A20" s="446" t="s">
        <v>207</v>
      </c>
      <c r="B20" s="561">
        <v>45797</v>
      </c>
      <c r="C20" s="562">
        <v>45797</v>
      </c>
      <c r="D20" s="562"/>
      <c r="E20" s="563"/>
      <c r="F20" s="563"/>
      <c r="G20" s="573" t="s">
        <v>120</v>
      </c>
      <c r="H20" s="573" t="s">
        <v>234</v>
      </c>
      <c r="I20" s="567">
        <f>1733+694</f>
        <v>2427</v>
      </c>
      <c r="J20" s="567"/>
      <c r="K20" s="563"/>
      <c r="L20" s="571"/>
      <c r="M20" s="563"/>
      <c r="N20" s="571">
        <v>654</v>
      </c>
      <c r="O20" s="602"/>
      <c r="P20" s="563"/>
      <c r="Q20" s="571"/>
      <c r="R20" s="572"/>
      <c r="S20" s="572">
        <f t="shared" ref="S20:S23" si="2">693.22-R20</f>
        <v>693.22</v>
      </c>
      <c r="T20" s="676"/>
      <c r="U20" s="572"/>
      <c r="V20" s="571"/>
      <c r="W20" s="571">
        <f>2427-145-693</f>
        <v>1589</v>
      </c>
      <c r="X20" s="573">
        <v>10019082606</v>
      </c>
      <c r="Y20" s="25"/>
    </row>
    <row r="21" spans="1:49" x14ac:dyDescent="0.25">
      <c r="A21" s="446" t="s">
        <v>288</v>
      </c>
      <c r="B21" s="561"/>
      <c r="C21" s="562">
        <v>45901</v>
      </c>
      <c r="D21" s="562"/>
      <c r="E21" s="563"/>
      <c r="F21" s="563"/>
      <c r="G21" s="573" t="s">
        <v>257</v>
      </c>
      <c r="H21" s="573" t="s">
        <v>206</v>
      </c>
      <c r="I21" s="567">
        <v>1733.05</v>
      </c>
      <c r="J21" s="567"/>
      <c r="K21" s="563"/>
      <c r="L21" s="571"/>
      <c r="M21" s="563"/>
      <c r="N21" s="571"/>
      <c r="O21" s="602"/>
      <c r="P21" s="563"/>
      <c r="Q21" s="571"/>
      <c r="R21" s="572"/>
      <c r="S21" s="572">
        <f t="shared" si="2"/>
        <v>693.22</v>
      </c>
      <c r="T21" s="676"/>
      <c r="U21" s="572"/>
      <c r="V21" s="571"/>
      <c r="W21" s="571">
        <f>1733-103-693</f>
        <v>937</v>
      </c>
      <c r="X21" s="677" t="s">
        <v>289</v>
      </c>
      <c r="Y21" s="25"/>
    </row>
    <row r="22" spans="1:49" x14ac:dyDescent="0.25">
      <c r="A22" s="563" t="s">
        <v>316</v>
      </c>
      <c r="B22" s="561">
        <v>45930</v>
      </c>
      <c r="C22" s="562"/>
      <c r="D22" s="562"/>
      <c r="E22" s="563"/>
      <c r="F22" s="563"/>
      <c r="G22" s="573" t="s">
        <v>120</v>
      </c>
      <c r="H22" s="573" t="s">
        <v>78</v>
      </c>
      <c r="I22" s="571">
        <v>1758</v>
      </c>
      <c r="J22" s="563"/>
      <c r="K22" s="563"/>
      <c r="L22" s="571"/>
      <c r="M22" s="563"/>
      <c r="N22" s="571"/>
      <c r="O22" s="602"/>
      <c r="P22" s="563"/>
      <c r="Q22" s="571"/>
      <c r="R22" s="571"/>
      <c r="S22" s="572"/>
      <c r="T22" s="676"/>
      <c r="U22" s="572"/>
      <c r="V22" s="571"/>
      <c r="W22" s="571"/>
      <c r="X22" s="573"/>
      <c r="Y22" s="25"/>
    </row>
    <row r="23" spans="1:49" x14ac:dyDescent="0.25">
      <c r="A23" s="447" t="s">
        <v>283</v>
      </c>
      <c r="B23" s="561">
        <v>45885</v>
      </c>
      <c r="C23" s="562">
        <v>45883</v>
      </c>
      <c r="D23" s="562"/>
      <c r="E23" s="563"/>
      <c r="F23" s="563"/>
      <c r="G23" s="573" t="s">
        <v>282</v>
      </c>
      <c r="H23" s="573" t="s">
        <v>78</v>
      </c>
      <c r="I23" s="571">
        <v>1653.98</v>
      </c>
      <c r="J23" s="563"/>
      <c r="K23" s="563"/>
      <c r="L23" s="571"/>
      <c r="M23" s="563"/>
      <c r="N23" s="571"/>
      <c r="O23" s="602">
        <v>45905</v>
      </c>
      <c r="P23" s="563"/>
      <c r="Q23" s="563"/>
      <c r="R23" s="571"/>
      <c r="S23" s="572">
        <f t="shared" si="2"/>
        <v>693.22</v>
      </c>
      <c r="T23" s="676"/>
      <c r="U23" s="572"/>
      <c r="V23" s="571"/>
      <c r="W23" s="571">
        <f>1733.05-103.98-693</f>
        <v>936.06999999999994</v>
      </c>
      <c r="X23" s="573">
        <v>31986345542</v>
      </c>
      <c r="Y23" s="35"/>
    </row>
    <row r="24" spans="1:49" x14ac:dyDescent="0.25">
      <c r="A24" s="537" t="s">
        <v>254</v>
      </c>
      <c r="B24" s="535">
        <v>45852</v>
      </c>
      <c r="C24" s="536">
        <v>45852</v>
      </c>
      <c r="D24" s="536"/>
      <c r="E24" s="537"/>
      <c r="F24" s="537"/>
      <c r="G24" s="321" t="s">
        <v>238</v>
      </c>
      <c r="H24" s="321" t="s">
        <v>78</v>
      </c>
      <c r="I24" s="541">
        <v>1758</v>
      </c>
      <c r="J24" s="537"/>
      <c r="K24" s="537"/>
      <c r="L24" s="545"/>
      <c r="M24" s="537"/>
      <c r="N24" s="545">
        <v>703</v>
      </c>
      <c r="O24" s="600"/>
      <c r="P24" s="537"/>
      <c r="Q24" s="545"/>
      <c r="R24" s="545"/>
      <c r="S24" s="545">
        <f>703.2-R24</f>
        <v>703.2</v>
      </c>
      <c r="T24" s="663">
        <v>45929</v>
      </c>
      <c r="U24" s="545" t="s">
        <v>93</v>
      </c>
      <c r="V24" s="545">
        <f>703.2+80</f>
        <v>783.2</v>
      </c>
      <c r="W24" s="545">
        <f>1758-105-703.2-783.2</f>
        <v>166.59999999999991</v>
      </c>
      <c r="X24" s="321">
        <v>31997199898</v>
      </c>
      <c r="Y24" s="25"/>
    </row>
    <row r="25" spans="1:49" x14ac:dyDescent="0.25">
      <c r="A25" s="537" t="s">
        <v>270</v>
      </c>
      <c r="B25" s="535">
        <v>45862</v>
      </c>
      <c r="C25" s="536">
        <v>45862</v>
      </c>
      <c r="D25" s="536"/>
      <c r="E25" s="537"/>
      <c r="F25" s="537"/>
      <c r="G25" s="321" t="s">
        <v>281</v>
      </c>
      <c r="H25" s="321" t="s">
        <v>206</v>
      </c>
      <c r="I25" s="545">
        <v>1758</v>
      </c>
      <c r="J25" s="537"/>
      <c r="K25" s="537"/>
      <c r="L25" s="545"/>
      <c r="M25" s="537"/>
      <c r="N25" s="545">
        <v>703</v>
      </c>
      <c r="O25" s="600"/>
      <c r="P25" s="537"/>
      <c r="Q25" s="537"/>
      <c r="R25" s="545"/>
      <c r="S25" s="545">
        <f t="shared" ref="S25" si="3">703.2-R25</f>
        <v>703.2</v>
      </c>
      <c r="T25" s="663"/>
      <c r="U25" s="545"/>
      <c r="V25" s="545"/>
      <c r="W25" s="545">
        <f>1758-105-703.2</f>
        <v>949.8</v>
      </c>
      <c r="X25" s="321">
        <v>31991488310</v>
      </c>
      <c r="Y25" s="25"/>
      <c r="Z25">
        <v>949.8</v>
      </c>
    </row>
    <row r="26" spans="1:49" x14ac:dyDescent="0.25">
      <c r="A26" s="603" t="s">
        <v>286</v>
      </c>
      <c r="B26" s="535">
        <v>45897</v>
      </c>
      <c r="C26" s="535">
        <v>45897</v>
      </c>
      <c r="D26" s="536"/>
      <c r="E26" s="537"/>
      <c r="F26" s="537"/>
      <c r="G26" s="321" t="s">
        <v>285</v>
      </c>
      <c r="H26" s="321" t="s">
        <v>74</v>
      </c>
      <c r="I26" s="545">
        <v>1758</v>
      </c>
      <c r="J26" s="537"/>
      <c r="K26" s="537"/>
      <c r="L26" s="545"/>
      <c r="M26" s="537"/>
      <c r="N26" s="545"/>
      <c r="O26" s="600"/>
      <c r="P26" s="537"/>
      <c r="Q26" s="537"/>
      <c r="R26" s="537"/>
      <c r="S26" s="545">
        <f>703.2-R26</f>
        <v>703.2</v>
      </c>
      <c r="T26" s="663"/>
      <c r="U26" s="545"/>
      <c r="V26" s="545"/>
      <c r="W26" s="545">
        <f>1758-105-703.2-60</f>
        <v>889.8</v>
      </c>
      <c r="X26" s="321" t="s">
        <v>308</v>
      </c>
      <c r="Y26" s="25"/>
    </row>
    <row r="27" spans="1:49" x14ac:dyDescent="0.25">
      <c r="A27" s="603" t="s">
        <v>298</v>
      </c>
      <c r="B27" s="535">
        <v>45905</v>
      </c>
      <c r="C27" s="535">
        <v>45929</v>
      </c>
      <c r="D27" s="536"/>
      <c r="E27" s="537"/>
      <c r="F27" s="537"/>
      <c r="G27" s="321" t="s">
        <v>263</v>
      </c>
      <c r="H27" s="321" t="s">
        <v>74</v>
      </c>
      <c r="I27" s="545">
        <v>1758</v>
      </c>
      <c r="J27" s="537"/>
      <c r="K27" s="537"/>
      <c r="L27" s="545"/>
      <c r="M27" s="537"/>
      <c r="N27" s="545"/>
      <c r="O27" s="600"/>
      <c r="P27" s="537"/>
      <c r="Q27" s="537"/>
      <c r="R27" s="537"/>
      <c r="S27" s="545">
        <f>703.2-R27</f>
        <v>703.2</v>
      </c>
      <c r="T27" s="663"/>
      <c r="U27" s="545"/>
      <c r="V27" s="545"/>
      <c r="W27" s="592" t="s">
        <v>320</v>
      </c>
      <c r="X27" s="321">
        <v>31992622914</v>
      </c>
      <c r="Y27" s="255">
        <v>45939</v>
      </c>
    </row>
    <row r="28" spans="1:49" x14ac:dyDescent="0.25">
      <c r="A28" s="603" t="s">
        <v>299</v>
      </c>
      <c r="B28" s="535">
        <v>45913</v>
      </c>
      <c r="C28" s="535"/>
      <c r="D28" s="536"/>
      <c r="E28" s="537"/>
      <c r="F28" s="537"/>
      <c r="G28" s="321" t="s">
        <v>104</v>
      </c>
      <c r="H28" s="321" t="s">
        <v>74</v>
      </c>
      <c r="I28" s="545">
        <v>1758</v>
      </c>
      <c r="J28" s="537"/>
      <c r="K28" s="537"/>
      <c r="L28" s="545"/>
      <c r="M28" s="537"/>
      <c r="N28" s="545"/>
      <c r="O28" s="600"/>
      <c r="P28" s="537"/>
      <c r="Q28" s="537"/>
      <c r="R28" s="537"/>
      <c r="S28" s="545"/>
      <c r="T28" s="663"/>
      <c r="U28" s="545"/>
      <c r="V28" s="545"/>
      <c r="W28" s="545">
        <f>1758/30*17</f>
        <v>996.2</v>
      </c>
      <c r="X28" s="321" t="s">
        <v>300</v>
      </c>
      <c r="Y28" s="25"/>
    </row>
    <row r="29" spans="1:49" x14ac:dyDescent="0.25">
      <c r="A29" s="603" t="s">
        <v>309</v>
      </c>
      <c r="B29" s="535">
        <v>45923</v>
      </c>
      <c r="C29" s="535"/>
      <c r="D29" s="536"/>
      <c r="E29" s="537"/>
      <c r="F29" s="537"/>
      <c r="G29" s="321" t="s">
        <v>310</v>
      </c>
      <c r="H29" s="321" t="s">
        <v>74</v>
      </c>
      <c r="I29" s="545">
        <v>1758</v>
      </c>
      <c r="J29" s="537"/>
      <c r="K29" s="537"/>
      <c r="L29" s="545"/>
      <c r="M29" s="537"/>
      <c r="N29" s="545"/>
      <c r="O29" s="600"/>
      <c r="P29" s="537"/>
      <c r="Q29" s="537"/>
      <c r="R29" s="537"/>
      <c r="S29" s="545"/>
      <c r="T29" s="663"/>
      <c r="U29" s="545"/>
      <c r="V29" s="545"/>
      <c r="W29" s="545">
        <f>1758/30*7</f>
        <v>410.2</v>
      </c>
      <c r="X29" s="321">
        <v>17857955620</v>
      </c>
      <c r="Y29" s="25"/>
    </row>
    <row r="30" spans="1:49" x14ac:dyDescent="0.25">
      <c r="A30" s="782" t="s">
        <v>275</v>
      </c>
      <c r="B30" s="783"/>
      <c r="C30" s="783"/>
      <c r="D30" s="783"/>
      <c r="E30" s="783"/>
      <c r="F30" s="783"/>
      <c r="G30" s="783"/>
      <c r="H30" s="783"/>
      <c r="I30" s="783"/>
      <c r="J30" s="783"/>
      <c r="K30" s="783"/>
      <c r="L30" s="784"/>
      <c r="M30" s="25"/>
      <c r="N30" s="186">
        <v>13181.6</v>
      </c>
      <c r="O30" s="438"/>
      <c r="P30" s="25"/>
      <c r="Q30" s="381"/>
      <c r="R30" s="381"/>
      <c r="S30" s="380">
        <v>15597.17</v>
      </c>
      <c r="T30" s="380"/>
      <c r="U30" s="380"/>
      <c r="V30" s="380"/>
      <c r="W30" s="380">
        <v>22485.84</v>
      </c>
      <c r="X30" s="208"/>
      <c r="Y30" s="25"/>
    </row>
    <row r="32" spans="1:49" x14ac:dyDescent="0.25">
      <c r="X32" s="616"/>
    </row>
    <row r="34" spans="25:25" x14ac:dyDescent="0.25">
      <c r="Y34" s="272"/>
    </row>
  </sheetData>
  <autoFilter ref="G1:G30" xr:uid="{6A25047E-EEC9-4EB5-8E39-790574A310E0}"/>
  <mergeCells count="2">
    <mergeCell ref="A1:X1"/>
    <mergeCell ref="A30:L30"/>
  </mergeCells>
  <hyperlinks>
    <hyperlink ref="X21" r:id="rId1" xr:uid="{8DD6A380-00CD-49A6-AC62-7603A658AA01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02F4-41BF-4CF9-B927-EE57B15AE1B2}">
  <dimension ref="A1:XFD35"/>
  <sheetViews>
    <sheetView topLeftCell="A2" workbookViewId="0">
      <selection activeCell="U10" sqref="U10"/>
    </sheetView>
  </sheetViews>
  <sheetFormatPr defaultRowHeight="15" x14ac:dyDescent="0.25"/>
  <cols>
    <col min="1" max="1" width="32.85546875" customWidth="1"/>
    <col min="2" max="3" width="9.85546875" hidden="1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1.5703125" hidden="1" customWidth="1"/>
    <col min="8" max="8" width="21" customWidth="1"/>
    <col min="9" max="9" width="16.140625" customWidth="1"/>
    <col min="10" max="10" width="13.5703125" customWidth="1"/>
    <col min="11" max="11" width="14.5703125" hidden="1" customWidth="1"/>
    <col min="12" max="12" width="9.140625" hidden="1" customWidth="1"/>
    <col min="13" max="13" width="15.7109375" hidden="1" customWidth="1"/>
    <col min="14" max="14" width="9.140625" hidden="1" customWidth="1"/>
    <col min="15" max="15" width="14.42578125" hidden="1" customWidth="1"/>
    <col min="16" max="16" width="11.42578125" style="118" hidden="1" customWidth="1"/>
    <col min="17" max="17" width="11.5703125" hidden="1" customWidth="1"/>
    <col min="18" max="18" width="13" hidden="1" customWidth="1"/>
    <col min="19" max="19" width="16.140625" hidden="1" customWidth="1"/>
    <col min="20" max="20" width="14" customWidth="1"/>
    <col min="21" max="21" width="16.140625" customWidth="1"/>
    <col min="22" max="22" width="16.5703125" customWidth="1"/>
    <col min="23" max="23" width="3.42578125" bestFit="1" customWidth="1"/>
    <col min="24" max="25" width="15" customWidth="1"/>
    <col min="26" max="26" width="40.42578125" bestFit="1" customWidth="1"/>
    <col min="27" max="27" width="6.5703125" customWidth="1"/>
  </cols>
  <sheetData>
    <row r="1" spans="1:16384" ht="24" hidden="1" x14ac:dyDescent="0.4">
      <c r="A1" s="775" t="s">
        <v>98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  <c r="Z1" s="775"/>
    </row>
    <row r="2" spans="1:16384" x14ac:dyDescent="0.25">
      <c r="A2" s="439" t="s">
        <v>1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328</v>
      </c>
      <c r="H2" s="439" t="s">
        <v>6</v>
      </c>
      <c r="I2" s="439" t="s">
        <v>7</v>
      </c>
      <c r="J2" s="441" t="s">
        <v>8</v>
      </c>
      <c r="K2" s="441" t="s">
        <v>92</v>
      </c>
      <c r="L2" s="439" t="s">
        <v>10</v>
      </c>
      <c r="M2" s="439" t="s">
        <v>99</v>
      </c>
      <c r="N2" s="439" t="s">
        <v>12</v>
      </c>
      <c r="O2" s="439" t="s">
        <v>13</v>
      </c>
      <c r="P2" s="442" t="s">
        <v>18</v>
      </c>
      <c r="Q2" s="439" t="s">
        <v>19</v>
      </c>
      <c r="R2" s="439" t="s">
        <v>99</v>
      </c>
      <c r="S2" s="439" t="s">
        <v>296</v>
      </c>
      <c r="T2" s="439" t="s">
        <v>20</v>
      </c>
      <c r="U2" s="439" t="s">
        <v>297</v>
      </c>
      <c r="V2" s="439" t="s">
        <v>312</v>
      </c>
      <c r="W2" s="439" t="s">
        <v>313</v>
      </c>
      <c r="X2" s="439" t="s">
        <v>101</v>
      </c>
      <c r="Y2" s="439" t="s">
        <v>337</v>
      </c>
      <c r="Z2" s="439" t="s">
        <v>22</v>
      </c>
    </row>
    <row r="3" spans="1:16384" x14ac:dyDescent="0.25">
      <c r="A3" s="444" t="s">
        <v>38</v>
      </c>
      <c r="B3" s="448"/>
      <c r="C3" s="448">
        <v>45632</v>
      </c>
      <c r="D3" s="448"/>
      <c r="E3" s="449"/>
      <c r="F3" s="450"/>
      <c r="G3" s="450"/>
      <c r="H3" s="458" t="s">
        <v>35</v>
      </c>
      <c r="I3" s="458" t="s">
        <v>25</v>
      </c>
      <c r="J3" s="460">
        <v>1733.05</v>
      </c>
      <c r="K3" s="449"/>
      <c r="L3" s="449"/>
      <c r="M3" s="463">
        <v>75</v>
      </c>
      <c r="N3" s="449"/>
      <c r="O3" s="449">
        <f>1733.05*40%</f>
        <v>693.22</v>
      </c>
      <c r="P3" s="593"/>
      <c r="Q3" s="457"/>
      <c r="R3" s="449"/>
      <c r="S3" s="449"/>
      <c r="T3" s="449"/>
      <c r="U3" s="449">
        <v>694</v>
      </c>
      <c r="V3" s="661"/>
      <c r="W3" s="449"/>
      <c r="X3" s="449"/>
      <c r="Y3" s="449">
        <v>802</v>
      </c>
      <c r="Z3" s="458">
        <v>31981052930</v>
      </c>
      <c r="AA3" s="25"/>
    </row>
    <row r="4" spans="1:16384" x14ac:dyDescent="0.25">
      <c r="A4" s="444" t="s">
        <v>39</v>
      </c>
      <c r="B4" s="448">
        <v>45293</v>
      </c>
      <c r="C4" s="448">
        <v>45170</v>
      </c>
      <c r="D4" s="448"/>
      <c r="E4" s="449"/>
      <c r="F4" s="458"/>
      <c r="G4" s="458"/>
      <c r="H4" s="458" t="s">
        <v>35</v>
      </c>
      <c r="I4" s="458" t="s">
        <v>25</v>
      </c>
      <c r="J4" s="460">
        <v>1733.05</v>
      </c>
      <c r="K4" s="449"/>
      <c r="L4" s="449"/>
      <c r="M4" s="449"/>
      <c r="N4" s="449"/>
      <c r="O4" s="449">
        <v>693.22</v>
      </c>
      <c r="P4" s="593"/>
      <c r="Q4" s="457"/>
      <c r="R4" s="449"/>
      <c r="S4" s="449"/>
      <c r="T4" s="449"/>
      <c r="U4" s="449">
        <v>694</v>
      </c>
      <c r="V4" s="661"/>
      <c r="W4" s="449"/>
      <c r="X4" s="449"/>
      <c r="Y4" s="449">
        <f>1733.05-103.98-694</f>
        <v>935.06999999999994</v>
      </c>
      <c r="Z4" s="458" t="s">
        <v>40</v>
      </c>
      <c r="AA4" s="25"/>
    </row>
    <row r="5" spans="1:16384" x14ac:dyDescent="0.25">
      <c r="A5" s="444" t="s">
        <v>225</v>
      </c>
      <c r="B5" s="450">
        <v>45808</v>
      </c>
      <c r="C5" s="448">
        <v>45826</v>
      </c>
      <c r="D5" s="448"/>
      <c r="E5" s="459"/>
      <c r="F5" s="459"/>
      <c r="G5" s="459"/>
      <c r="H5" s="458" t="s">
        <v>230</v>
      </c>
      <c r="I5" s="458" t="s">
        <v>47</v>
      </c>
      <c r="J5" s="460">
        <v>1733.05</v>
      </c>
      <c r="K5" s="460"/>
      <c r="L5" s="459"/>
      <c r="M5" s="463"/>
      <c r="N5" s="459"/>
      <c r="O5" s="463">
        <v>693.22</v>
      </c>
      <c r="P5" s="593"/>
      <c r="Q5" s="459"/>
      <c r="R5" s="463">
        <v>250</v>
      </c>
      <c r="S5" s="449">
        <v>90</v>
      </c>
      <c r="T5" s="449"/>
      <c r="U5" s="449">
        <v>694</v>
      </c>
      <c r="V5" s="661"/>
      <c r="W5" s="449"/>
      <c r="X5" s="463"/>
      <c r="Y5" s="449">
        <v>803</v>
      </c>
      <c r="Z5" s="458">
        <v>14983169644</v>
      </c>
      <c r="AA5" s="25"/>
    </row>
    <row r="6" spans="1:16384" x14ac:dyDescent="0.25">
      <c r="A6" s="664" t="s">
        <v>46</v>
      </c>
      <c r="B6" s="665"/>
      <c r="C6" s="665">
        <v>45497</v>
      </c>
      <c r="D6" s="665"/>
      <c r="E6" s="666"/>
      <c r="F6" s="667"/>
      <c r="G6" s="667"/>
      <c r="H6" s="668" t="s">
        <v>321</v>
      </c>
      <c r="I6" s="668" t="s">
        <v>25</v>
      </c>
      <c r="J6" s="669">
        <v>1733.05</v>
      </c>
      <c r="K6" s="666"/>
      <c r="L6" s="666"/>
      <c r="M6" s="666">
        <f>200+50</f>
        <v>250</v>
      </c>
      <c r="N6" s="666"/>
      <c r="O6" s="666">
        <v>693.22</v>
      </c>
      <c r="P6" s="670"/>
      <c r="Q6" s="671"/>
      <c r="R6" s="666">
        <f>120+20+30+50</f>
        <v>220</v>
      </c>
      <c r="S6" s="666">
        <v>300</v>
      </c>
      <c r="T6" s="666">
        <v>305</v>
      </c>
      <c r="U6" s="666">
        <f>694-305</f>
        <v>389</v>
      </c>
      <c r="V6" s="672">
        <v>45934</v>
      </c>
      <c r="W6" s="666" t="s">
        <v>93</v>
      </c>
      <c r="X6" s="666">
        <v>44</v>
      </c>
      <c r="Y6" s="666">
        <v>771</v>
      </c>
      <c r="Z6" s="668">
        <v>11282952617</v>
      </c>
      <c r="AA6" s="25"/>
    </row>
    <row r="7" spans="1:16384" x14ac:dyDescent="0.25">
      <c r="A7" s="664" t="s">
        <v>322</v>
      </c>
      <c r="B7" s="665">
        <v>45916</v>
      </c>
      <c r="C7" s="665"/>
      <c r="D7" s="665"/>
      <c r="E7" s="666"/>
      <c r="F7" s="667"/>
      <c r="G7" s="667"/>
      <c r="H7" s="668" t="s">
        <v>321</v>
      </c>
      <c r="I7" s="668"/>
      <c r="J7" s="669">
        <v>1733.05</v>
      </c>
      <c r="K7" s="666"/>
      <c r="L7" s="666"/>
      <c r="M7" s="666"/>
      <c r="N7" s="666"/>
      <c r="O7" s="666"/>
      <c r="P7" s="670"/>
      <c r="Q7" s="671"/>
      <c r="R7" s="666"/>
      <c r="S7" s="666"/>
      <c r="T7" s="666">
        <f>250</f>
        <v>250</v>
      </c>
      <c r="U7" s="666">
        <f>694-250</f>
        <v>444</v>
      </c>
      <c r="V7" s="672"/>
      <c r="W7" s="666"/>
      <c r="X7" s="666"/>
      <c r="Y7" s="666">
        <f>1758-105.48-694-65.92+65</f>
        <v>957.6</v>
      </c>
      <c r="Z7" s="668">
        <v>31975693078</v>
      </c>
      <c r="AA7" s="25"/>
    </row>
    <row r="8" spans="1:16384" x14ac:dyDescent="0.25">
      <c r="A8" s="464" t="s">
        <v>53</v>
      </c>
      <c r="B8" s="465"/>
      <c r="C8" s="465">
        <v>45527</v>
      </c>
      <c r="D8" s="465"/>
      <c r="E8" s="466"/>
      <c r="F8" s="260"/>
      <c r="G8" s="260"/>
      <c r="H8" s="260" t="s">
        <v>105</v>
      </c>
      <c r="I8" s="260" t="s">
        <v>107</v>
      </c>
      <c r="J8" s="594">
        <v>1548</v>
      </c>
      <c r="K8" s="471"/>
      <c r="L8" s="466"/>
      <c r="M8" s="466"/>
      <c r="N8" s="466"/>
      <c r="O8" s="466">
        <v>693.22</v>
      </c>
      <c r="P8" s="595"/>
      <c r="Q8" s="474"/>
      <c r="R8" s="466"/>
      <c r="S8" s="475"/>
      <c r="T8" s="475"/>
      <c r="U8" s="475">
        <v>608</v>
      </c>
      <c r="V8" s="662"/>
      <c r="W8" s="475"/>
      <c r="X8" s="466"/>
      <c r="Y8" s="475">
        <v>813</v>
      </c>
      <c r="Z8" s="260">
        <v>31983640606</v>
      </c>
      <c r="AA8" s="25"/>
      <c r="AC8">
        <f>1518*6%</f>
        <v>91.08</v>
      </c>
    </row>
    <row r="9" spans="1:16384" s="331" customFormat="1" x14ac:dyDescent="0.25">
      <c r="A9" s="344" t="s">
        <v>89</v>
      </c>
      <c r="B9" s="476">
        <v>45663</v>
      </c>
      <c r="C9" s="476">
        <v>45663</v>
      </c>
      <c r="D9" s="476"/>
      <c r="E9" s="477"/>
      <c r="F9" s="478"/>
      <c r="G9" s="478"/>
      <c r="H9" s="346" t="s">
        <v>96</v>
      </c>
      <c r="I9" s="346" t="s">
        <v>25</v>
      </c>
      <c r="J9" s="499">
        <v>3000</v>
      </c>
      <c r="K9" s="477"/>
      <c r="L9" s="477"/>
      <c r="M9" s="475">
        <v>413.8</v>
      </c>
      <c r="N9" s="477"/>
      <c r="O9" s="475">
        <v>1000</v>
      </c>
      <c r="P9" s="596"/>
      <c r="Q9" s="478"/>
      <c r="R9" s="477">
        <v>50</v>
      </c>
      <c r="S9" s="475"/>
      <c r="T9" s="475"/>
      <c r="U9" s="475">
        <v>1000</v>
      </c>
      <c r="V9" s="662"/>
      <c r="W9" s="475"/>
      <c r="X9" s="475"/>
      <c r="Y9" s="475">
        <v>1000</v>
      </c>
      <c r="Z9" s="485">
        <v>13196831698</v>
      </c>
      <c r="AA9" s="361"/>
    </row>
    <row r="10" spans="1:16384" x14ac:dyDescent="0.25">
      <c r="A10" s="486" t="s">
        <v>166</v>
      </c>
      <c r="B10" s="487"/>
      <c r="C10" s="476">
        <v>45628</v>
      </c>
      <c r="D10" s="487"/>
      <c r="E10" s="488"/>
      <c r="F10" s="488"/>
      <c r="G10" s="488"/>
      <c r="H10" s="487" t="s">
        <v>96</v>
      </c>
      <c r="I10" s="488" t="s">
        <v>170</v>
      </c>
      <c r="J10" s="499">
        <v>2550</v>
      </c>
      <c r="K10" s="488"/>
      <c r="L10" s="488"/>
      <c r="M10" s="477">
        <v>60</v>
      </c>
      <c r="N10" s="488"/>
      <c r="O10" s="477">
        <v>400</v>
      </c>
      <c r="P10" s="476"/>
      <c r="Q10" s="488"/>
      <c r="R10" s="477">
        <v>60</v>
      </c>
      <c r="S10" s="475">
        <v>300</v>
      </c>
      <c r="T10" s="475">
        <v>300</v>
      </c>
      <c r="U10" s="475">
        <v>100</v>
      </c>
      <c r="V10" s="662"/>
      <c r="W10" s="475"/>
      <c r="X10" s="477"/>
      <c r="Y10" s="498">
        <v>2100</v>
      </c>
      <c r="Z10" s="346">
        <v>31991288601</v>
      </c>
      <c r="AA10" s="25"/>
    </row>
    <row r="11" spans="1:16384" ht="14.25" customHeight="1" x14ac:dyDescent="0.25">
      <c r="A11" s="501" t="s">
        <v>168</v>
      </c>
      <c r="B11" s="502"/>
      <c r="C11" s="503">
        <v>45723</v>
      </c>
      <c r="D11" s="503"/>
      <c r="E11" s="504"/>
      <c r="F11" s="504"/>
      <c r="G11" s="504"/>
      <c r="H11" s="502" t="s">
        <v>236</v>
      </c>
      <c r="I11" s="502" t="s">
        <v>74</v>
      </c>
      <c r="J11" s="508">
        <v>1758</v>
      </c>
      <c r="K11" s="508"/>
      <c r="L11" s="504"/>
      <c r="M11" s="512"/>
      <c r="N11" s="504"/>
      <c r="O11" s="512">
        <v>704</v>
      </c>
      <c r="P11" s="597"/>
      <c r="Q11" s="504"/>
      <c r="R11" s="512"/>
      <c r="S11" s="513"/>
      <c r="T11" s="513"/>
      <c r="U11" s="513">
        <v>703.2</v>
      </c>
      <c r="V11" s="673">
        <v>45959</v>
      </c>
      <c r="W11" s="513" t="s">
        <v>93</v>
      </c>
      <c r="X11" s="512"/>
      <c r="Y11" s="512">
        <f>1758-103.98-703.2-113.4</f>
        <v>837.42</v>
      </c>
      <c r="Z11" s="502">
        <v>70278968694</v>
      </c>
      <c r="AA11" s="25"/>
    </row>
    <row r="12" spans="1:16384" ht="15.75" thickBot="1" x14ac:dyDescent="0.3">
      <c r="A12" s="443" t="s">
        <v>233</v>
      </c>
      <c r="B12" s="514">
        <v>45818</v>
      </c>
      <c r="C12" s="514">
        <v>45840</v>
      </c>
      <c r="D12" s="503">
        <v>45930</v>
      </c>
      <c r="E12" s="502"/>
      <c r="F12" s="502"/>
      <c r="G12" s="502"/>
      <c r="H12" s="514" t="s">
        <v>104</v>
      </c>
      <c r="I12" s="502" t="s">
        <v>47</v>
      </c>
      <c r="J12" s="508">
        <v>1758</v>
      </c>
      <c r="K12" s="508"/>
      <c r="L12" s="504"/>
      <c r="M12" s="512"/>
      <c r="N12" s="513"/>
      <c r="O12" s="512">
        <v>704</v>
      </c>
      <c r="P12" s="597"/>
      <c r="Q12" s="504"/>
      <c r="R12" s="512"/>
      <c r="S12" s="513">
        <v>30</v>
      </c>
      <c r="T12" s="513"/>
      <c r="U12" s="513">
        <v>703.2</v>
      </c>
      <c r="V12" s="673"/>
      <c r="W12" s="513"/>
      <c r="X12" s="512"/>
      <c r="Y12" s="512">
        <v>879</v>
      </c>
      <c r="Z12" s="502">
        <v>15825441662</v>
      </c>
      <c r="AA12" s="25"/>
    </row>
    <row r="13" spans="1:16384" x14ac:dyDescent="0.25">
      <c r="A13" s="518" t="s">
        <v>203</v>
      </c>
      <c r="B13" s="519"/>
      <c r="C13" s="520">
        <v>45743</v>
      </c>
      <c r="D13" s="519"/>
      <c r="E13" s="519"/>
      <c r="F13" s="519"/>
      <c r="G13" s="519"/>
      <c r="H13" s="519" t="s">
        <v>213</v>
      </c>
      <c r="I13" s="519" t="s">
        <v>78</v>
      </c>
      <c r="J13" s="598">
        <v>1518</v>
      </c>
      <c r="K13" s="519">
        <v>200</v>
      </c>
      <c r="L13" s="519"/>
      <c r="M13" s="528"/>
      <c r="N13" s="519"/>
      <c r="O13" s="534">
        <v>607</v>
      </c>
      <c r="P13" s="584"/>
      <c r="Q13" s="519"/>
      <c r="R13" s="528"/>
      <c r="S13" s="528"/>
      <c r="T13" s="528"/>
      <c r="U13" s="528">
        <f>1518*40%</f>
        <v>607.20000000000005</v>
      </c>
      <c r="V13" s="674"/>
      <c r="W13" s="528"/>
      <c r="X13" s="528"/>
      <c r="Y13" s="528">
        <f>1518-91.08-607</f>
        <v>819.92000000000007</v>
      </c>
      <c r="Z13" s="529">
        <v>31991443051</v>
      </c>
      <c r="AA13" s="659"/>
      <c r="AC13" s="695"/>
      <c r="AD13" s="696"/>
      <c r="AE13" s="697"/>
    </row>
    <row r="14" spans="1:16384" s="314" customFormat="1" ht="12.75" x14ac:dyDescent="0.2">
      <c r="A14" s="518" t="s">
        <v>249</v>
      </c>
      <c r="B14" s="520">
        <v>45840</v>
      </c>
      <c r="C14" s="584">
        <v>45839</v>
      </c>
      <c r="D14" s="584"/>
      <c r="E14" s="519"/>
      <c r="F14" s="519"/>
      <c r="G14" s="519"/>
      <c r="H14" s="520" t="s">
        <v>213</v>
      </c>
      <c r="I14" s="519" t="s">
        <v>250</v>
      </c>
      <c r="J14" s="528">
        <v>1518</v>
      </c>
      <c r="K14" s="528"/>
      <c r="L14" s="519"/>
      <c r="M14" s="534"/>
      <c r="N14" s="519"/>
      <c r="O14" s="528">
        <v>607</v>
      </c>
      <c r="P14" s="599"/>
      <c r="Q14" s="519"/>
      <c r="R14" s="528"/>
      <c r="S14" s="528"/>
      <c r="T14" s="528"/>
      <c r="U14" s="528">
        <v>607</v>
      </c>
      <c r="V14" s="674">
        <v>45948</v>
      </c>
      <c r="W14" s="528" t="s">
        <v>93</v>
      </c>
      <c r="X14" s="534"/>
      <c r="Y14" s="534">
        <v>819.92</v>
      </c>
      <c r="Z14" s="519">
        <v>31983923994</v>
      </c>
      <c r="AA14" s="660"/>
      <c r="AB14" s="323"/>
      <c r="AC14" s="698"/>
      <c r="AD14" s="323" t="s">
        <v>317</v>
      </c>
      <c r="AE14" s="699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  <c r="AY14" s="323"/>
      <c r="BP14" s="314" t="s">
        <v>203</v>
      </c>
      <c r="BQ14" s="314" t="s">
        <v>203</v>
      </c>
      <c r="BR14" s="314" t="s">
        <v>203</v>
      </c>
      <c r="BS14" s="314" t="s">
        <v>203</v>
      </c>
      <c r="BT14" s="314" t="s">
        <v>203</v>
      </c>
      <c r="BU14" s="314" t="s">
        <v>203</v>
      </c>
      <c r="BV14" s="314" t="s">
        <v>203</v>
      </c>
      <c r="BW14" s="314" t="s">
        <v>203</v>
      </c>
      <c r="BX14" s="314" t="s">
        <v>203</v>
      </c>
      <c r="BY14" s="314" t="s">
        <v>203</v>
      </c>
      <c r="BZ14" s="314" t="s">
        <v>203</v>
      </c>
      <c r="CA14" s="314" t="s">
        <v>203</v>
      </c>
      <c r="CB14" s="314" t="s">
        <v>203</v>
      </c>
      <c r="CC14" s="314" t="s">
        <v>203</v>
      </c>
      <c r="CD14" s="314" t="s">
        <v>203</v>
      </c>
      <c r="CE14" s="314" t="s">
        <v>203</v>
      </c>
      <c r="CF14" s="314" t="s">
        <v>203</v>
      </c>
      <c r="CG14" s="314" t="s">
        <v>203</v>
      </c>
      <c r="CH14" s="314" t="s">
        <v>203</v>
      </c>
      <c r="CI14" s="314" t="s">
        <v>203</v>
      </c>
      <c r="CJ14" s="314" t="s">
        <v>203</v>
      </c>
      <c r="CK14" s="314" t="s">
        <v>203</v>
      </c>
      <c r="CL14" s="314" t="s">
        <v>203</v>
      </c>
      <c r="CM14" s="314" t="s">
        <v>203</v>
      </c>
      <c r="CN14" s="314" t="s">
        <v>203</v>
      </c>
      <c r="CO14" s="314" t="s">
        <v>203</v>
      </c>
      <c r="CP14" s="314" t="s">
        <v>203</v>
      </c>
      <c r="CQ14" s="314" t="s">
        <v>203</v>
      </c>
      <c r="CR14" s="314" t="s">
        <v>203</v>
      </c>
      <c r="CS14" s="314" t="s">
        <v>203</v>
      </c>
      <c r="CT14" s="314" t="s">
        <v>203</v>
      </c>
      <c r="CU14" s="314" t="s">
        <v>203</v>
      </c>
      <c r="CV14" s="314" t="s">
        <v>203</v>
      </c>
      <c r="CW14" s="314" t="s">
        <v>203</v>
      </c>
      <c r="CX14" s="314" t="s">
        <v>203</v>
      </c>
      <c r="CY14" s="314" t="s">
        <v>203</v>
      </c>
      <c r="CZ14" s="314" t="s">
        <v>203</v>
      </c>
      <c r="DA14" s="314" t="s">
        <v>203</v>
      </c>
      <c r="DB14" s="314" t="s">
        <v>203</v>
      </c>
      <c r="DC14" s="314" t="s">
        <v>203</v>
      </c>
      <c r="DD14" s="314" t="s">
        <v>203</v>
      </c>
      <c r="DE14" s="314" t="s">
        <v>203</v>
      </c>
      <c r="DF14" s="314" t="s">
        <v>203</v>
      </c>
      <c r="DG14" s="314" t="s">
        <v>203</v>
      </c>
      <c r="DH14" s="314" t="s">
        <v>203</v>
      </c>
      <c r="DI14" s="314" t="s">
        <v>203</v>
      </c>
      <c r="DJ14" s="314" t="s">
        <v>203</v>
      </c>
      <c r="DK14" s="314" t="s">
        <v>203</v>
      </c>
      <c r="DL14" s="314" t="s">
        <v>203</v>
      </c>
      <c r="DM14" s="314" t="s">
        <v>203</v>
      </c>
      <c r="DN14" s="314" t="s">
        <v>203</v>
      </c>
      <c r="DO14" s="314" t="s">
        <v>203</v>
      </c>
      <c r="DP14" s="314" t="s">
        <v>203</v>
      </c>
      <c r="DQ14" s="314" t="s">
        <v>203</v>
      </c>
      <c r="DR14" s="314" t="s">
        <v>203</v>
      </c>
      <c r="DS14" s="314" t="s">
        <v>203</v>
      </c>
      <c r="DT14" s="314" t="s">
        <v>203</v>
      </c>
      <c r="DU14" s="314" t="s">
        <v>203</v>
      </c>
      <c r="DV14" s="314" t="s">
        <v>203</v>
      </c>
      <c r="DW14" s="314" t="s">
        <v>203</v>
      </c>
      <c r="DX14" s="314" t="s">
        <v>203</v>
      </c>
      <c r="DY14" s="314" t="s">
        <v>203</v>
      </c>
      <c r="DZ14" s="314" t="s">
        <v>203</v>
      </c>
      <c r="EA14" s="314" t="s">
        <v>203</v>
      </c>
      <c r="EB14" s="314" t="s">
        <v>203</v>
      </c>
      <c r="EC14" s="314" t="s">
        <v>203</v>
      </c>
      <c r="ED14" s="314" t="s">
        <v>203</v>
      </c>
      <c r="EE14" s="314" t="s">
        <v>203</v>
      </c>
      <c r="EF14" s="314" t="s">
        <v>203</v>
      </c>
      <c r="EG14" s="314" t="s">
        <v>203</v>
      </c>
      <c r="EH14" s="314" t="s">
        <v>203</v>
      </c>
      <c r="EI14" s="314" t="s">
        <v>203</v>
      </c>
      <c r="EJ14" s="314" t="s">
        <v>203</v>
      </c>
      <c r="EK14" s="314" t="s">
        <v>203</v>
      </c>
      <c r="EL14" s="314" t="s">
        <v>203</v>
      </c>
      <c r="EM14" s="314" t="s">
        <v>203</v>
      </c>
      <c r="EN14" s="314" t="s">
        <v>203</v>
      </c>
      <c r="EO14" s="314" t="s">
        <v>203</v>
      </c>
      <c r="EP14" s="314" t="s">
        <v>203</v>
      </c>
      <c r="EQ14" s="314" t="s">
        <v>203</v>
      </c>
      <c r="ER14" s="314" t="s">
        <v>203</v>
      </c>
      <c r="ES14" s="314" t="s">
        <v>203</v>
      </c>
      <c r="ET14" s="314" t="s">
        <v>203</v>
      </c>
      <c r="EU14" s="314" t="s">
        <v>203</v>
      </c>
      <c r="EV14" s="314" t="s">
        <v>203</v>
      </c>
      <c r="EW14" s="314" t="s">
        <v>203</v>
      </c>
      <c r="EX14" s="314" t="s">
        <v>203</v>
      </c>
      <c r="EY14" s="314" t="s">
        <v>203</v>
      </c>
      <c r="EZ14" s="314" t="s">
        <v>203</v>
      </c>
      <c r="FA14" s="314" t="s">
        <v>203</v>
      </c>
      <c r="FB14" s="314" t="s">
        <v>203</v>
      </c>
      <c r="FC14" s="314" t="s">
        <v>203</v>
      </c>
      <c r="FD14" s="314" t="s">
        <v>203</v>
      </c>
      <c r="FE14" s="314" t="s">
        <v>203</v>
      </c>
      <c r="FF14" s="314" t="s">
        <v>203</v>
      </c>
      <c r="FG14" s="314" t="s">
        <v>203</v>
      </c>
      <c r="FH14" s="314" t="s">
        <v>203</v>
      </c>
      <c r="FI14" s="314" t="s">
        <v>203</v>
      </c>
      <c r="FJ14" s="314" t="s">
        <v>203</v>
      </c>
      <c r="FK14" s="314" t="s">
        <v>203</v>
      </c>
      <c r="FL14" s="314" t="s">
        <v>203</v>
      </c>
      <c r="FM14" s="314" t="s">
        <v>203</v>
      </c>
      <c r="FN14" s="314" t="s">
        <v>203</v>
      </c>
      <c r="FO14" s="314" t="s">
        <v>203</v>
      </c>
      <c r="FP14" s="314" t="s">
        <v>203</v>
      </c>
      <c r="FQ14" s="314" t="s">
        <v>203</v>
      </c>
      <c r="FR14" s="314" t="s">
        <v>203</v>
      </c>
      <c r="FS14" s="314" t="s">
        <v>203</v>
      </c>
      <c r="FT14" s="314" t="s">
        <v>203</v>
      </c>
      <c r="FU14" s="314" t="s">
        <v>203</v>
      </c>
      <c r="FV14" s="314" t="s">
        <v>203</v>
      </c>
      <c r="FW14" s="314" t="s">
        <v>203</v>
      </c>
      <c r="FX14" s="314" t="s">
        <v>203</v>
      </c>
      <c r="FY14" s="314" t="s">
        <v>203</v>
      </c>
      <c r="FZ14" s="314" t="s">
        <v>203</v>
      </c>
      <c r="GA14" s="314" t="s">
        <v>203</v>
      </c>
      <c r="GB14" s="314" t="s">
        <v>203</v>
      </c>
      <c r="GC14" s="314" t="s">
        <v>203</v>
      </c>
      <c r="GD14" s="314" t="s">
        <v>203</v>
      </c>
      <c r="GE14" s="314" t="s">
        <v>203</v>
      </c>
      <c r="GF14" s="314" t="s">
        <v>203</v>
      </c>
      <c r="GG14" s="314" t="s">
        <v>203</v>
      </c>
      <c r="GH14" s="314" t="s">
        <v>203</v>
      </c>
      <c r="GI14" s="314" t="s">
        <v>203</v>
      </c>
      <c r="GJ14" s="314" t="s">
        <v>203</v>
      </c>
      <c r="GK14" s="314" t="s">
        <v>203</v>
      </c>
      <c r="GL14" s="314" t="s">
        <v>203</v>
      </c>
      <c r="GM14" s="314" t="s">
        <v>203</v>
      </c>
      <c r="GN14" s="314" t="s">
        <v>203</v>
      </c>
      <c r="GO14" s="314" t="s">
        <v>203</v>
      </c>
      <c r="GP14" s="314" t="s">
        <v>203</v>
      </c>
      <c r="GQ14" s="314" t="s">
        <v>203</v>
      </c>
      <c r="GR14" s="314" t="s">
        <v>203</v>
      </c>
      <c r="GS14" s="314" t="s">
        <v>203</v>
      </c>
      <c r="GT14" s="314" t="s">
        <v>203</v>
      </c>
      <c r="GU14" s="314" t="s">
        <v>203</v>
      </c>
      <c r="GV14" s="314" t="s">
        <v>203</v>
      </c>
      <c r="GW14" s="314" t="s">
        <v>203</v>
      </c>
      <c r="GX14" s="314" t="s">
        <v>203</v>
      </c>
      <c r="GY14" s="314" t="s">
        <v>203</v>
      </c>
      <c r="GZ14" s="314" t="s">
        <v>203</v>
      </c>
      <c r="HA14" s="314" t="s">
        <v>203</v>
      </c>
      <c r="HB14" s="314" t="s">
        <v>203</v>
      </c>
      <c r="HC14" s="314" t="s">
        <v>203</v>
      </c>
      <c r="HD14" s="314" t="s">
        <v>203</v>
      </c>
      <c r="HE14" s="314" t="s">
        <v>203</v>
      </c>
      <c r="HF14" s="314" t="s">
        <v>203</v>
      </c>
      <c r="HG14" s="314" t="s">
        <v>203</v>
      </c>
      <c r="HH14" s="314" t="s">
        <v>203</v>
      </c>
      <c r="HI14" s="314" t="s">
        <v>203</v>
      </c>
      <c r="HJ14" s="314" t="s">
        <v>203</v>
      </c>
      <c r="HK14" s="314" t="s">
        <v>203</v>
      </c>
      <c r="HL14" s="314" t="s">
        <v>203</v>
      </c>
      <c r="HM14" s="314" t="s">
        <v>203</v>
      </c>
      <c r="HN14" s="314" t="s">
        <v>203</v>
      </c>
      <c r="HO14" s="314" t="s">
        <v>203</v>
      </c>
      <c r="HP14" s="314" t="s">
        <v>203</v>
      </c>
      <c r="HQ14" s="314" t="s">
        <v>203</v>
      </c>
      <c r="HR14" s="314" t="s">
        <v>203</v>
      </c>
      <c r="HS14" s="314" t="s">
        <v>203</v>
      </c>
      <c r="HT14" s="314" t="s">
        <v>203</v>
      </c>
      <c r="HU14" s="314" t="s">
        <v>203</v>
      </c>
      <c r="HV14" s="314" t="s">
        <v>203</v>
      </c>
      <c r="HW14" s="314" t="s">
        <v>203</v>
      </c>
      <c r="HX14" s="314" t="s">
        <v>203</v>
      </c>
      <c r="HY14" s="314" t="s">
        <v>203</v>
      </c>
      <c r="HZ14" s="314" t="s">
        <v>203</v>
      </c>
      <c r="IA14" s="314" t="s">
        <v>203</v>
      </c>
      <c r="IB14" s="314" t="s">
        <v>203</v>
      </c>
      <c r="IC14" s="314" t="s">
        <v>203</v>
      </c>
      <c r="ID14" s="314" t="s">
        <v>203</v>
      </c>
      <c r="IE14" s="314" t="s">
        <v>203</v>
      </c>
      <c r="IF14" s="314" t="s">
        <v>203</v>
      </c>
      <c r="IG14" s="314" t="s">
        <v>203</v>
      </c>
      <c r="IH14" s="314" t="s">
        <v>203</v>
      </c>
      <c r="II14" s="314" t="s">
        <v>203</v>
      </c>
      <c r="IJ14" s="314" t="s">
        <v>203</v>
      </c>
      <c r="IK14" s="314" t="s">
        <v>203</v>
      </c>
      <c r="IL14" s="314" t="s">
        <v>203</v>
      </c>
      <c r="IM14" s="314" t="s">
        <v>203</v>
      </c>
      <c r="IN14" s="314" t="s">
        <v>203</v>
      </c>
      <c r="IO14" s="314" t="s">
        <v>203</v>
      </c>
      <c r="IP14" s="314" t="s">
        <v>203</v>
      </c>
      <c r="IQ14" s="314" t="s">
        <v>203</v>
      </c>
      <c r="IR14" s="314" t="s">
        <v>203</v>
      </c>
      <c r="IS14" s="314" t="s">
        <v>203</v>
      </c>
      <c r="IT14" s="314" t="s">
        <v>203</v>
      </c>
      <c r="IU14" s="314" t="s">
        <v>203</v>
      </c>
      <c r="IV14" s="314" t="s">
        <v>203</v>
      </c>
      <c r="IW14" s="314" t="s">
        <v>203</v>
      </c>
      <c r="IX14" s="314" t="s">
        <v>203</v>
      </c>
      <c r="IY14" s="314" t="s">
        <v>203</v>
      </c>
      <c r="IZ14" s="314" t="s">
        <v>203</v>
      </c>
      <c r="JA14" s="314" t="s">
        <v>203</v>
      </c>
      <c r="JB14" s="314" t="s">
        <v>203</v>
      </c>
      <c r="JC14" s="314" t="s">
        <v>203</v>
      </c>
      <c r="JD14" s="314" t="s">
        <v>203</v>
      </c>
      <c r="JE14" s="314" t="s">
        <v>203</v>
      </c>
      <c r="JF14" s="314" t="s">
        <v>203</v>
      </c>
      <c r="JG14" s="314" t="s">
        <v>203</v>
      </c>
      <c r="JH14" s="314" t="s">
        <v>203</v>
      </c>
      <c r="JI14" s="314" t="s">
        <v>203</v>
      </c>
      <c r="JJ14" s="314" t="s">
        <v>203</v>
      </c>
      <c r="JK14" s="314" t="s">
        <v>203</v>
      </c>
      <c r="JL14" s="314" t="s">
        <v>203</v>
      </c>
      <c r="JM14" s="314" t="s">
        <v>203</v>
      </c>
      <c r="JN14" s="314" t="s">
        <v>203</v>
      </c>
      <c r="JO14" s="314" t="s">
        <v>203</v>
      </c>
      <c r="JP14" s="314" t="s">
        <v>203</v>
      </c>
      <c r="JQ14" s="314" t="s">
        <v>203</v>
      </c>
      <c r="JR14" s="314" t="s">
        <v>203</v>
      </c>
      <c r="JS14" s="314" t="s">
        <v>203</v>
      </c>
      <c r="JT14" s="314" t="s">
        <v>203</v>
      </c>
      <c r="JU14" s="314" t="s">
        <v>203</v>
      </c>
      <c r="JV14" s="314" t="s">
        <v>203</v>
      </c>
      <c r="JW14" s="314" t="s">
        <v>203</v>
      </c>
      <c r="JX14" s="314" t="s">
        <v>203</v>
      </c>
      <c r="JY14" s="314" t="s">
        <v>203</v>
      </c>
      <c r="JZ14" s="314" t="s">
        <v>203</v>
      </c>
      <c r="KA14" s="314" t="s">
        <v>203</v>
      </c>
      <c r="KB14" s="314" t="s">
        <v>203</v>
      </c>
      <c r="KC14" s="314" t="s">
        <v>203</v>
      </c>
      <c r="KD14" s="314" t="s">
        <v>203</v>
      </c>
      <c r="KE14" s="314" t="s">
        <v>203</v>
      </c>
      <c r="KF14" s="314" t="s">
        <v>203</v>
      </c>
      <c r="KG14" s="314" t="s">
        <v>203</v>
      </c>
      <c r="KH14" s="314" t="s">
        <v>203</v>
      </c>
      <c r="KI14" s="314" t="s">
        <v>203</v>
      </c>
      <c r="KJ14" s="314" t="s">
        <v>203</v>
      </c>
      <c r="KK14" s="314" t="s">
        <v>203</v>
      </c>
      <c r="KL14" s="314" t="s">
        <v>203</v>
      </c>
      <c r="KM14" s="314" t="s">
        <v>203</v>
      </c>
      <c r="KN14" s="314" t="s">
        <v>203</v>
      </c>
      <c r="KO14" s="314" t="s">
        <v>203</v>
      </c>
      <c r="KP14" s="314" t="s">
        <v>203</v>
      </c>
      <c r="KQ14" s="314" t="s">
        <v>203</v>
      </c>
      <c r="KR14" s="314" t="s">
        <v>203</v>
      </c>
      <c r="KS14" s="314" t="s">
        <v>203</v>
      </c>
      <c r="KT14" s="314" t="s">
        <v>203</v>
      </c>
      <c r="KU14" s="314" t="s">
        <v>203</v>
      </c>
      <c r="KV14" s="314" t="s">
        <v>203</v>
      </c>
      <c r="KW14" s="314" t="s">
        <v>203</v>
      </c>
      <c r="KX14" s="314" t="s">
        <v>203</v>
      </c>
      <c r="KY14" s="314" t="s">
        <v>203</v>
      </c>
      <c r="KZ14" s="314" t="s">
        <v>203</v>
      </c>
      <c r="LA14" s="314" t="s">
        <v>203</v>
      </c>
      <c r="LB14" s="314" t="s">
        <v>203</v>
      </c>
      <c r="LC14" s="314" t="s">
        <v>203</v>
      </c>
      <c r="LD14" s="314" t="s">
        <v>203</v>
      </c>
      <c r="LE14" s="314" t="s">
        <v>203</v>
      </c>
      <c r="LF14" s="314" t="s">
        <v>203</v>
      </c>
      <c r="LG14" s="314" t="s">
        <v>203</v>
      </c>
      <c r="LH14" s="314" t="s">
        <v>203</v>
      </c>
      <c r="LI14" s="314" t="s">
        <v>203</v>
      </c>
      <c r="LJ14" s="314" t="s">
        <v>203</v>
      </c>
      <c r="LK14" s="314" t="s">
        <v>203</v>
      </c>
      <c r="LL14" s="314" t="s">
        <v>203</v>
      </c>
      <c r="LM14" s="314" t="s">
        <v>203</v>
      </c>
      <c r="LN14" s="314" t="s">
        <v>203</v>
      </c>
      <c r="LO14" s="314" t="s">
        <v>203</v>
      </c>
      <c r="LP14" s="314" t="s">
        <v>203</v>
      </c>
      <c r="LQ14" s="314" t="s">
        <v>203</v>
      </c>
      <c r="LR14" s="314" t="s">
        <v>203</v>
      </c>
      <c r="LS14" s="314" t="s">
        <v>203</v>
      </c>
      <c r="LT14" s="314" t="s">
        <v>203</v>
      </c>
      <c r="LU14" s="314" t="s">
        <v>203</v>
      </c>
      <c r="LV14" s="314" t="s">
        <v>203</v>
      </c>
      <c r="LW14" s="314" t="s">
        <v>203</v>
      </c>
      <c r="LX14" s="314" t="s">
        <v>203</v>
      </c>
      <c r="LY14" s="314" t="s">
        <v>203</v>
      </c>
      <c r="LZ14" s="314" t="s">
        <v>203</v>
      </c>
      <c r="MA14" s="314" t="s">
        <v>203</v>
      </c>
      <c r="MB14" s="314" t="s">
        <v>203</v>
      </c>
      <c r="MC14" s="314" t="s">
        <v>203</v>
      </c>
      <c r="MD14" s="314" t="s">
        <v>203</v>
      </c>
      <c r="ME14" s="314" t="s">
        <v>203</v>
      </c>
      <c r="MF14" s="314" t="s">
        <v>203</v>
      </c>
      <c r="MG14" s="314" t="s">
        <v>203</v>
      </c>
      <c r="MH14" s="314" t="s">
        <v>203</v>
      </c>
      <c r="MI14" s="314" t="s">
        <v>203</v>
      </c>
      <c r="MJ14" s="314" t="s">
        <v>203</v>
      </c>
      <c r="MK14" s="314" t="s">
        <v>203</v>
      </c>
      <c r="ML14" s="314" t="s">
        <v>203</v>
      </c>
      <c r="MM14" s="314" t="s">
        <v>203</v>
      </c>
      <c r="MN14" s="314" t="s">
        <v>203</v>
      </c>
      <c r="MO14" s="314" t="s">
        <v>203</v>
      </c>
      <c r="MP14" s="314" t="s">
        <v>203</v>
      </c>
      <c r="MQ14" s="314" t="s">
        <v>203</v>
      </c>
      <c r="MR14" s="314" t="s">
        <v>203</v>
      </c>
      <c r="MS14" s="314" t="s">
        <v>203</v>
      </c>
      <c r="MT14" s="314" t="s">
        <v>203</v>
      </c>
      <c r="MU14" s="314" t="s">
        <v>203</v>
      </c>
      <c r="MV14" s="314" t="s">
        <v>203</v>
      </c>
      <c r="MW14" s="314" t="s">
        <v>203</v>
      </c>
      <c r="MX14" s="314" t="s">
        <v>203</v>
      </c>
      <c r="MY14" s="314" t="s">
        <v>203</v>
      </c>
      <c r="MZ14" s="314" t="s">
        <v>203</v>
      </c>
      <c r="NA14" s="314" t="s">
        <v>203</v>
      </c>
      <c r="NB14" s="314" t="s">
        <v>203</v>
      </c>
      <c r="NC14" s="314" t="s">
        <v>203</v>
      </c>
      <c r="ND14" s="314" t="s">
        <v>203</v>
      </c>
      <c r="NE14" s="314" t="s">
        <v>203</v>
      </c>
      <c r="NF14" s="314" t="s">
        <v>203</v>
      </c>
      <c r="NG14" s="314" t="s">
        <v>203</v>
      </c>
      <c r="NH14" s="314" t="s">
        <v>203</v>
      </c>
      <c r="NI14" s="314" t="s">
        <v>203</v>
      </c>
      <c r="NJ14" s="314" t="s">
        <v>203</v>
      </c>
      <c r="NK14" s="314" t="s">
        <v>203</v>
      </c>
      <c r="NL14" s="314" t="s">
        <v>203</v>
      </c>
      <c r="NM14" s="314" t="s">
        <v>203</v>
      </c>
      <c r="NN14" s="314" t="s">
        <v>203</v>
      </c>
      <c r="NO14" s="314" t="s">
        <v>203</v>
      </c>
      <c r="NP14" s="314" t="s">
        <v>203</v>
      </c>
      <c r="NQ14" s="314" t="s">
        <v>203</v>
      </c>
      <c r="NR14" s="314" t="s">
        <v>203</v>
      </c>
      <c r="NS14" s="314" t="s">
        <v>203</v>
      </c>
      <c r="NT14" s="314" t="s">
        <v>203</v>
      </c>
      <c r="NU14" s="314" t="s">
        <v>203</v>
      </c>
      <c r="NV14" s="314" t="s">
        <v>203</v>
      </c>
      <c r="NW14" s="314" t="s">
        <v>203</v>
      </c>
      <c r="NX14" s="314" t="s">
        <v>203</v>
      </c>
      <c r="NY14" s="314" t="s">
        <v>203</v>
      </c>
      <c r="NZ14" s="314" t="s">
        <v>203</v>
      </c>
      <c r="OA14" s="314" t="s">
        <v>203</v>
      </c>
      <c r="OB14" s="314" t="s">
        <v>203</v>
      </c>
      <c r="OC14" s="314" t="s">
        <v>203</v>
      </c>
      <c r="OD14" s="314" t="s">
        <v>203</v>
      </c>
      <c r="OE14" s="314" t="s">
        <v>203</v>
      </c>
      <c r="OF14" s="314" t="s">
        <v>203</v>
      </c>
      <c r="OG14" s="314" t="s">
        <v>203</v>
      </c>
      <c r="OH14" s="314" t="s">
        <v>203</v>
      </c>
      <c r="OI14" s="314" t="s">
        <v>203</v>
      </c>
      <c r="OJ14" s="314" t="s">
        <v>203</v>
      </c>
      <c r="OK14" s="314" t="s">
        <v>203</v>
      </c>
      <c r="OL14" s="314" t="s">
        <v>203</v>
      </c>
      <c r="OM14" s="314" t="s">
        <v>203</v>
      </c>
      <c r="ON14" s="314" t="s">
        <v>203</v>
      </c>
      <c r="OO14" s="314" t="s">
        <v>203</v>
      </c>
      <c r="OP14" s="314" t="s">
        <v>203</v>
      </c>
      <c r="OQ14" s="314" t="s">
        <v>203</v>
      </c>
      <c r="OR14" s="314" t="s">
        <v>203</v>
      </c>
      <c r="OS14" s="314" t="s">
        <v>203</v>
      </c>
      <c r="OT14" s="314" t="s">
        <v>203</v>
      </c>
      <c r="OU14" s="314" t="s">
        <v>203</v>
      </c>
      <c r="OV14" s="314" t="s">
        <v>203</v>
      </c>
      <c r="OW14" s="314" t="s">
        <v>203</v>
      </c>
      <c r="OX14" s="314" t="s">
        <v>203</v>
      </c>
      <c r="OY14" s="314" t="s">
        <v>203</v>
      </c>
      <c r="OZ14" s="314" t="s">
        <v>203</v>
      </c>
      <c r="PA14" s="314" t="s">
        <v>203</v>
      </c>
      <c r="PB14" s="314" t="s">
        <v>203</v>
      </c>
      <c r="PC14" s="314" t="s">
        <v>203</v>
      </c>
      <c r="PD14" s="314" t="s">
        <v>203</v>
      </c>
      <c r="PE14" s="314" t="s">
        <v>203</v>
      </c>
      <c r="PF14" s="314" t="s">
        <v>203</v>
      </c>
      <c r="PG14" s="314" t="s">
        <v>203</v>
      </c>
      <c r="PH14" s="314" t="s">
        <v>203</v>
      </c>
      <c r="PI14" s="314" t="s">
        <v>203</v>
      </c>
      <c r="PJ14" s="314" t="s">
        <v>203</v>
      </c>
      <c r="PK14" s="314" t="s">
        <v>203</v>
      </c>
      <c r="PL14" s="314" t="s">
        <v>203</v>
      </c>
      <c r="PM14" s="314" t="s">
        <v>203</v>
      </c>
      <c r="PN14" s="314" t="s">
        <v>203</v>
      </c>
      <c r="PO14" s="314" t="s">
        <v>203</v>
      </c>
      <c r="PP14" s="314" t="s">
        <v>203</v>
      </c>
      <c r="PQ14" s="314" t="s">
        <v>203</v>
      </c>
      <c r="PR14" s="314" t="s">
        <v>203</v>
      </c>
      <c r="PS14" s="314" t="s">
        <v>203</v>
      </c>
      <c r="PT14" s="314" t="s">
        <v>203</v>
      </c>
      <c r="PU14" s="314" t="s">
        <v>203</v>
      </c>
      <c r="PV14" s="314" t="s">
        <v>203</v>
      </c>
      <c r="PW14" s="314" t="s">
        <v>203</v>
      </c>
      <c r="PX14" s="314" t="s">
        <v>203</v>
      </c>
      <c r="PY14" s="314" t="s">
        <v>203</v>
      </c>
      <c r="PZ14" s="314" t="s">
        <v>203</v>
      </c>
      <c r="QA14" s="314" t="s">
        <v>203</v>
      </c>
      <c r="QB14" s="314" t="s">
        <v>203</v>
      </c>
      <c r="QC14" s="314" t="s">
        <v>203</v>
      </c>
      <c r="QD14" s="314" t="s">
        <v>203</v>
      </c>
      <c r="QE14" s="314" t="s">
        <v>203</v>
      </c>
      <c r="QF14" s="314" t="s">
        <v>203</v>
      </c>
      <c r="QG14" s="314" t="s">
        <v>203</v>
      </c>
      <c r="QH14" s="314" t="s">
        <v>203</v>
      </c>
      <c r="QI14" s="314" t="s">
        <v>203</v>
      </c>
      <c r="QJ14" s="314" t="s">
        <v>203</v>
      </c>
      <c r="QK14" s="314" t="s">
        <v>203</v>
      </c>
      <c r="QL14" s="314" t="s">
        <v>203</v>
      </c>
      <c r="QM14" s="314" t="s">
        <v>203</v>
      </c>
      <c r="QN14" s="314" t="s">
        <v>203</v>
      </c>
      <c r="QO14" s="314" t="s">
        <v>203</v>
      </c>
      <c r="QP14" s="314" t="s">
        <v>203</v>
      </c>
      <c r="QQ14" s="314" t="s">
        <v>203</v>
      </c>
      <c r="QR14" s="314" t="s">
        <v>203</v>
      </c>
      <c r="QS14" s="314" t="s">
        <v>203</v>
      </c>
      <c r="QT14" s="314" t="s">
        <v>203</v>
      </c>
      <c r="QU14" s="314" t="s">
        <v>203</v>
      </c>
      <c r="QV14" s="314" t="s">
        <v>203</v>
      </c>
      <c r="QW14" s="314" t="s">
        <v>203</v>
      </c>
      <c r="QX14" s="314" t="s">
        <v>203</v>
      </c>
      <c r="QY14" s="314" t="s">
        <v>203</v>
      </c>
      <c r="QZ14" s="314" t="s">
        <v>203</v>
      </c>
      <c r="RA14" s="314" t="s">
        <v>203</v>
      </c>
      <c r="RB14" s="314" t="s">
        <v>203</v>
      </c>
      <c r="RC14" s="314" t="s">
        <v>203</v>
      </c>
      <c r="RD14" s="314" t="s">
        <v>203</v>
      </c>
      <c r="RE14" s="314" t="s">
        <v>203</v>
      </c>
      <c r="RF14" s="314" t="s">
        <v>203</v>
      </c>
      <c r="RG14" s="314" t="s">
        <v>203</v>
      </c>
      <c r="RH14" s="314" t="s">
        <v>203</v>
      </c>
      <c r="RI14" s="314" t="s">
        <v>203</v>
      </c>
      <c r="RJ14" s="314" t="s">
        <v>203</v>
      </c>
      <c r="RK14" s="314" t="s">
        <v>203</v>
      </c>
      <c r="RL14" s="314" t="s">
        <v>203</v>
      </c>
      <c r="RM14" s="314" t="s">
        <v>203</v>
      </c>
      <c r="RN14" s="314" t="s">
        <v>203</v>
      </c>
      <c r="RO14" s="314" t="s">
        <v>203</v>
      </c>
      <c r="RP14" s="314" t="s">
        <v>203</v>
      </c>
      <c r="RQ14" s="314" t="s">
        <v>203</v>
      </c>
      <c r="RR14" s="314" t="s">
        <v>203</v>
      </c>
      <c r="RS14" s="314" t="s">
        <v>203</v>
      </c>
      <c r="RT14" s="314" t="s">
        <v>203</v>
      </c>
      <c r="RU14" s="314" t="s">
        <v>203</v>
      </c>
      <c r="RV14" s="314" t="s">
        <v>203</v>
      </c>
      <c r="RW14" s="314" t="s">
        <v>203</v>
      </c>
      <c r="RX14" s="314" t="s">
        <v>203</v>
      </c>
      <c r="RY14" s="314" t="s">
        <v>203</v>
      </c>
      <c r="RZ14" s="314" t="s">
        <v>203</v>
      </c>
      <c r="SA14" s="314" t="s">
        <v>203</v>
      </c>
      <c r="SB14" s="314" t="s">
        <v>203</v>
      </c>
      <c r="SC14" s="314" t="s">
        <v>203</v>
      </c>
      <c r="SD14" s="314" t="s">
        <v>203</v>
      </c>
      <c r="SE14" s="314" t="s">
        <v>203</v>
      </c>
      <c r="SF14" s="314" t="s">
        <v>203</v>
      </c>
      <c r="SG14" s="314" t="s">
        <v>203</v>
      </c>
      <c r="SH14" s="314" t="s">
        <v>203</v>
      </c>
      <c r="SI14" s="314" t="s">
        <v>203</v>
      </c>
      <c r="SJ14" s="314" t="s">
        <v>203</v>
      </c>
      <c r="SK14" s="314" t="s">
        <v>203</v>
      </c>
      <c r="SL14" s="314" t="s">
        <v>203</v>
      </c>
      <c r="SM14" s="314" t="s">
        <v>203</v>
      </c>
      <c r="SN14" s="314" t="s">
        <v>203</v>
      </c>
      <c r="SO14" s="314" t="s">
        <v>203</v>
      </c>
      <c r="SP14" s="314" t="s">
        <v>203</v>
      </c>
      <c r="SQ14" s="314" t="s">
        <v>203</v>
      </c>
      <c r="SR14" s="314" t="s">
        <v>203</v>
      </c>
      <c r="SS14" s="314" t="s">
        <v>203</v>
      </c>
      <c r="ST14" s="314" t="s">
        <v>203</v>
      </c>
      <c r="SU14" s="314" t="s">
        <v>203</v>
      </c>
      <c r="SV14" s="314" t="s">
        <v>203</v>
      </c>
      <c r="SW14" s="314" t="s">
        <v>203</v>
      </c>
      <c r="SX14" s="314" t="s">
        <v>203</v>
      </c>
      <c r="SY14" s="314" t="s">
        <v>203</v>
      </c>
      <c r="SZ14" s="314" t="s">
        <v>203</v>
      </c>
      <c r="TA14" s="314" t="s">
        <v>203</v>
      </c>
      <c r="TB14" s="314" t="s">
        <v>203</v>
      </c>
      <c r="TC14" s="314" t="s">
        <v>203</v>
      </c>
      <c r="TD14" s="314" t="s">
        <v>203</v>
      </c>
      <c r="TE14" s="314" t="s">
        <v>203</v>
      </c>
      <c r="TF14" s="314" t="s">
        <v>203</v>
      </c>
      <c r="TG14" s="314" t="s">
        <v>203</v>
      </c>
      <c r="TH14" s="314" t="s">
        <v>203</v>
      </c>
      <c r="TI14" s="314" t="s">
        <v>203</v>
      </c>
      <c r="TJ14" s="314" t="s">
        <v>203</v>
      </c>
      <c r="TK14" s="314" t="s">
        <v>203</v>
      </c>
      <c r="TL14" s="314" t="s">
        <v>203</v>
      </c>
      <c r="TM14" s="314" t="s">
        <v>203</v>
      </c>
      <c r="TN14" s="314" t="s">
        <v>203</v>
      </c>
      <c r="TO14" s="314" t="s">
        <v>203</v>
      </c>
      <c r="TP14" s="314" t="s">
        <v>203</v>
      </c>
      <c r="TQ14" s="314" t="s">
        <v>203</v>
      </c>
      <c r="TR14" s="314" t="s">
        <v>203</v>
      </c>
      <c r="TS14" s="314" t="s">
        <v>203</v>
      </c>
      <c r="TT14" s="314" t="s">
        <v>203</v>
      </c>
      <c r="TU14" s="314" t="s">
        <v>203</v>
      </c>
      <c r="TV14" s="314" t="s">
        <v>203</v>
      </c>
      <c r="TW14" s="314" t="s">
        <v>203</v>
      </c>
      <c r="TX14" s="314" t="s">
        <v>203</v>
      </c>
      <c r="TY14" s="314" t="s">
        <v>203</v>
      </c>
      <c r="TZ14" s="314" t="s">
        <v>203</v>
      </c>
      <c r="UA14" s="314" t="s">
        <v>203</v>
      </c>
      <c r="UB14" s="314" t="s">
        <v>203</v>
      </c>
      <c r="UC14" s="314" t="s">
        <v>203</v>
      </c>
      <c r="UD14" s="314" t="s">
        <v>203</v>
      </c>
      <c r="UE14" s="314" t="s">
        <v>203</v>
      </c>
      <c r="UF14" s="314" t="s">
        <v>203</v>
      </c>
      <c r="UG14" s="314" t="s">
        <v>203</v>
      </c>
      <c r="UH14" s="314" t="s">
        <v>203</v>
      </c>
      <c r="UI14" s="314" t="s">
        <v>203</v>
      </c>
      <c r="UJ14" s="314" t="s">
        <v>203</v>
      </c>
      <c r="UK14" s="314" t="s">
        <v>203</v>
      </c>
      <c r="UL14" s="314" t="s">
        <v>203</v>
      </c>
      <c r="UM14" s="314" t="s">
        <v>203</v>
      </c>
      <c r="UN14" s="314" t="s">
        <v>203</v>
      </c>
      <c r="UO14" s="314" t="s">
        <v>203</v>
      </c>
      <c r="UP14" s="314" t="s">
        <v>203</v>
      </c>
      <c r="UQ14" s="314" t="s">
        <v>203</v>
      </c>
      <c r="UR14" s="314" t="s">
        <v>203</v>
      </c>
      <c r="US14" s="314" t="s">
        <v>203</v>
      </c>
      <c r="UT14" s="314" t="s">
        <v>203</v>
      </c>
      <c r="UU14" s="314" t="s">
        <v>203</v>
      </c>
      <c r="UV14" s="314" t="s">
        <v>203</v>
      </c>
      <c r="UW14" s="314" t="s">
        <v>203</v>
      </c>
      <c r="UX14" s="314" t="s">
        <v>203</v>
      </c>
      <c r="UY14" s="314" t="s">
        <v>203</v>
      </c>
      <c r="UZ14" s="314" t="s">
        <v>203</v>
      </c>
      <c r="VA14" s="314" t="s">
        <v>203</v>
      </c>
      <c r="VB14" s="314" t="s">
        <v>203</v>
      </c>
      <c r="VC14" s="314" t="s">
        <v>203</v>
      </c>
      <c r="VD14" s="314" t="s">
        <v>203</v>
      </c>
      <c r="VE14" s="314" t="s">
        <v>203</v>
      </c>
      <c r="VF14" s="314" t="s">
        <v>203</v>
      </c>
      <c r="VG14" s="314" t="s">
        <v>203</v>
      </c>
      <c r="VH14" s="314" t="s">
        <v>203</v>
      </c>
      <c r="VI14" s="314" t="s">
        <v>203</v>
      </c>
      <c r="VJ14" s="314" t="s">
        <v>203</v>
      </c>
      <c r="VK14" s="314" t="s">
        <v>203</v>
      </c>
      <c r="VL14" s="314" t="s">
        <v>203</v>
      </c>
      <c r="VM14" s="314" t="s">
        <v>203</v>
      </c>
      <c r="VN14" s="314" t="s">
        <v>203</v>
      </c>
      <c r="VO14" s="314" t="s">
        <v>203</v>
      </c>
      <c r="VP14" s="314" t="s">
        <v>203</v>
      </c>
      <c r="VQ14" s="314" t="s">
        <v>203</v>
      </c>
      <c r="VR14" s="314" t="s">
        <v>203</v>
      </c>
      <c r="VS14" s="314" t="s">
        <v>203</v>
      </c>
      <c r="VT14" s="314" t="s">
        <v>203</v>
      </c>
      <c r="VU14" s="314" t="s">
        <v>203</v>
      </c>
      <c r="VV14" s="314" t="s">
        <v>203</v>
      </c>
      <c r="VW14" s="314" t="s">
        <v>203</v>
      </c>
      <c r="VX14" s="314" t="s">
        <v>203</v>
      </c>
      <c r="VY14" s="314" t="s">
        <v>203</v>
      </c>
      <c r="VZ14" s="314" t="s">
        <v>203</v>
      </c>
      <c r="WA14" s="314" t="s">
        <v>203</v>
      </c>
      <c r="WB14" s="314" t="s">
        <v>203</v>
      </c>
      <c r="WC14" s="314" t="s">
        <v>203</v>
      </c>
      <c r="WD14" s="314" t="s">
        <v>203</v>
      </c>
      <c r="WE14" s="314" t="s">
        <v>203</v>
      </c>
      <c r="WF14" s="314" t="s">
        <v>203</v>
      </c>
      <c r="WG14" s="314" t="s">
        <v>203</v>
      </c>
      <c r="WH14" s="314" t="s">
        <v>203</v>
      </c>
      <c r="WI14" s="314" t="s">
        <v>203</v>
      </c>
      <c r="WJ14" s="314" t="s">
        <v>203</v>
      </c>
      <c r="WK14" s="314" t="s">
        <v>203</v>
      </c>
      <c r="WL14" s="314" t="s">
        <v>203</v>
      </c>
      <c r="WM14" s="314" t="s">
        <v>203</v>
      </c>
      <c r="WN14" s="314" t="s">
        <v>203</v>
      </c>
      <c r="WO14" s="314" t="s">
        <v>203</v>
      </c>
      <c r="WP14" s="314" t="s">
        <v>203</v>
      </c>
      <c r="WQ14" s="314" t="s">
        <v>203</v>
      </c>
      <c r="WR14" s="314" t="s">
        <v>203</v>
      </c>
      <c r="WS14" s="314" t="s">
        <v>203</v>
      </c>
      <c r="WT14" s="314" t="s">
        <v>203</v>
      </c>
      <c r="WU14" s="314" t="s">
        <v>203</v>
      </c>
      <c r="WV14" s="314" t="s">
        <v>203</v>
      </c>
      <c r="WW14" s="314" t="s">
        <v>203</v>
      </c>
      <c r="WX14" s="314" t="s">
        <v>203</v>
      </c>
      <c r="WY14" s="314" t="s">
        <v>203</v>
      </c>
      <c r="WZ14" s="314" t="s">
        <v>203</v>
      </c>
      <c r="XA14" s="314" t="s">
        <v>203</v>
      </c>
      <c r="XB14" s="314" t="s">
        <v>203</v>
      </c>
      <c r="XC14" s="314" t="s">
        <v>203</v>
      </c>
      <c r="XD14" s="314" t="s">
        <v>203</v>
      </c>
      <c r="XE14" s="314" t="s">
        <v>203</v>
      </c>
      <c r="XF14" s="314" t="s">
        <v>203</v>
      </c>
      <c r="XG14" s="314" t="s">
        <v>203</v>
      </c>
      <c r="XH14" s="314" t="s">
        <v>203</v>
      </c>
      <c r="XI14" s="314" t="s">
        <v>203</v>
      </c>
      <c r="XJ14" s="314" t="s">
        <v>203</v>
      </c>
      <c r="XK14" s="314" t="s">
        <v>203</v>
      </c>
      <c r="XL14" s="314" t="s">
        <v>203</v>
      </c>
      <c r="XM14" s="314" t="s">
        <v>203</v>
      </c>
      <c r="XN14" s="314" t="s">
        <v>203</v>
      </c>
      <c r="XO14" s="314" t="s">
        <v>203</v>
      </c>
      <c r="XP14" s="314" t="s">
        <v>203</v>
      </c>
      <c r="XQ14" s="314" t="s">
        <v>203</v>
      </c>
      <c r="XR14" s="314" t="s">
        <v>203</v>
      </c>
      <c r="XS14" s="314" t="s">
        <v>203</v>
      </c>
      <c r="XT14" s="314" t="s">
        <v>203</v>
      </c>
      <c r="XU14" s="314" t="s">
        <v>203</v>
      </c>
      <c r="XV14" s="314" t="s">
        <v>203</v>
      </c>
      <c r="XW14" s="314" t="s">
        <v>203</v>
      </c>
      <c r="XX14" s="314" t="s">
        <v>203</v>
      </c>
      <c r="XY14" s="314" t="s">
        <v>203</v>
      </c>
      <c r="XZ14" s="314" t="s">
        <v>203</v>
      </c>
      <c r="YA14" s="314" t="s">
        <v>203</v>
      </c>
      <c r="YB14" s="314" t="s">
        <v>203</v>
      </c>
      <c r="YC14" s="314" t="s">
        <v>203</v>
      </c>
      <c r="YD14" s="314" t="s">
        <v>203</v>
      </c>
      <c r="YE14" s="314" t="s">
        <v>203</v>
      </c>
      <c r="YF14" s="314" t="s">
        <v>203</v>
      </c>
      <c r="YG14" s="314" t="s">
        <v>203</v>
      </c>
      <c r="YH14" s="314" t="s">
        <v>203</v>
      </c>
      <c r="YI14" s="314" t="s">
        <v>203</v>
      </c>
      <c r="YJ14" s="314" t="s">
        <v>203</v>
      </c>
      <c r="YK14" s="314" t="s">
        <v>203</v>
      </c>
      <c r="YL14" s="314" t="s">
        <v>203</v>
      </c>
      <c r="YM14" s="314" t="s">
        <v>203</v>
      </c>
      <c r="YN14" s="314" t="s">
        <v>203</v>
      </c>
      <c r="YO14" s="314" t="s">
        <v>203</v>
      </c>
      <c r="YP14" s="314" t="s">
        <v>203</v>
      </c>
      <c r="YQ14" s="314" t="s">
        <v>203</v>
      </c>
      <c r="YR14" s="314" t="s">
        <v>203</v>
      </c>
      <c r="YS14" s="314" t="s">
        <v>203</v>
      </c>
      <c r="YT14" s="314" t="s">
        <v>203</v>
      </c>
      <c r="YU14" s="314" t="s">
        <v>203</v>
      </c>
      <c r="YV14" s="314" t="s">
        <v>203</v>
      </c>
      <c r="YW14" s="314" t="s">
        <v>203</v>
      </c>
      <c r="YX14" s="314" t="s">
        <v>203</v>
      </c>
      <c r="YY14" s="314" t="s">
        <v>203</v>
      </c>
      <c r="YZ14" s="314" t="s">
        <v>203</v>
      </c>
      <c r="ZA14" s="314" t="s">
        <v>203</v>
      </c>
      <c r="ZB14" s="314" t="s">
        <v>203</v>
      </c>
      <c r="ZC14" s="314" t="s">
        <v>203</v>
      </c>
      <c r="ZD14" s="314" t="s">
        <v>203</v>
      </c>
      <c r="ZE14" s="314" t="s">
        <v>203</v>
      </c>
      <c r="ZF14" s="314" t="s">
        <v>203</v>
      </c>
      <c r="ZG14" s="314" t="s">
        <v>203</v>
      </c>
      <c r="ZH14" s="314" t="s">
        <v>203</v>
      </c>
      <c r="ZI14" s="314" t="s">
        <v>203</v>
      </c>
      <c r="ZJ14" s="314" t="s">
        <v>203</v>
      </c>
      <c r="ZK14" s="314" t="s">
        <v>203</v>
      </c>
      <c r="ZL14" s="314" t="s">
        <v>203</v>
      </c>
      <c r="ZM14" s="314" t="s">
        <v>203</v>
      </c>
      <c r="ZN14" s="314" t="s">
        <v>203</v>
      </c>
      <c r="ZO14" s="314" t="s">
        <v>203</v>
      </c>
      <c r="ZP14" s="314" t="s">
        <v>203</v>
      </c>
      <c r="ZQ14" s="314" t="s">
        <v>203</v>
      </c>
      <c r="ZR14" s="314" t="s">
        <v>203</v>
      </c>
      <c r="ZS14" s="314" t="s">
        <v>203</v>
      </c>
      <c r="ZT14" s="314" t="s">
        <v>203</v>
      </c>
      <c r="ZU14" s="314" t="s">
        <v>203</v>
      </c>
      <c r="ZV14" s="314" t="s">
        <v>203</v>
      </c>
      <c r="ZW14" s="314" t="s">
        <v>203</v>
      </c>
      <c r="ZX14" s="314" t="s">
        <v>203</v>
      </c>
      <c r="ZY14" s="314" t="s">
        <v>203</v>
      </c>
      <c r="ZZ14" s="314" t="s">
        <v>203</v>
      </c>
      <c r="AAA14" s="314" t="s">
        <v>203</v>
      </c>
      <c r="AAB14" s="314" t="s">
        <v>203</v>
      </c>
      <c r="AAC14" s="314" t="s">
        <v>203</v>
      </c>
      <c r="AAD14" s="314" t="s">
        <v>203</v>
      </c>
      <c r="AAE14" s="314" t="s">
        <v>203</v>
      </c>
      <c r="AAF14" s="314" t="s">
        <v>203</v>
      </c>
      <c r="AAG14" s="314" t="s">
        <v>203</v>
      </c>
      <c r="AAH14" s="314" t="s">
        <v>203</v>
      </c>
      <c r="AAI14" s="314" t="s">
        <v>203</v>
      </c>
      <c r="AAJ14" s="314" t="s">
        <v>203</v>
      </c>
      <c r="AAK14" s="314" t="s">
        <v>203</v>
      </c>
      <c r="AAL14" s="314" t="s">
        <v>203</v>
      </c>
      <c r="AAM14" s="314" t="s">
        <v>203</v>
      </c>
      <c r="AAN14" s="314" t="s">
        <v>203</v>
      </c>
      <c r="AAO14" s="314" t="s">
        <v>203</v>
      </c>
      <c r="AAP14" s="314" t="s">
        <v>203</v>
      </c>
      <c r="AAQ14" s="314" t="s">
        <v>203</v>
      </c>
      <c r="AAR14" s="314" t="s">
        <v>203</v>
      </c>
      <c r="AAS14" s="314" t="s">
        <v>203</v>
      </c>
      <c r="AAT14" s="314" t="s">
        <v>203</v>
      </c>
      <c r="AAU14" s="314" t="s">
        <v>203</v>
      </c>
      <c r="AAV14" s="314" t="s">
        <v>203</v>
      </c>
      <c r="AAW14" s="314" t="s">
        <v>203</v>
      </c>
      <c r="AAX14" s="314" t="s">
        <v>203</v>
      </c>
      <c r="AAY14" s="314" t="s">
        <v>203</v>
      </c>
      <c r="AAZ14" s="314" t="s">
        <v>203</v>
      </c>
      <c r="ABA14" s="314" t="s">
        <v>203</v>
      </c>
      <c r="ABB14" s="314" t="s">
        <v>203</v>
      </c>
      <c r="ABC14" s="314" t="s">
        <v>203</v>
      </c>
      <c r="ABD14" s="314" t="s">
        <v>203</v>
      </c>
      <c r="ABE14" s="314" t="s">
        <v>203</v>
      </c>
      <c r="ABF14" s="314" t="s">
        <v>203</v>
      </c>
      <c r="ABG14" s="314" t="s">
        <v>203</v>
      </c>
      <c r="ABH14" s="314" t="s">
        <v>203</v>
      </c>
      <c r="ABI14" s="314" t="s">
        <v>203</v>
      </c>
      <c r="ABJ14" s="314" t="s">
        <v>203</v>
      </c>
      <c r="ABK14" s="314" t="s">
        <v>203</v>
      </c>
      <c r="ABL14" s="314" t="s">
        <v>203</v>
      </c>
      <c r="ABM14" s="314" t="s">
        <v>203</v>
      </c>
      <c r="ABN14" s="314" t="s">
        <v>203</v>
      </c>
      <c r="ABO14" s="314" t="s">
        <v>203</v>
      </c>
      <c r="ABP14" s="314" t="s">
        <v>203</v>
      </c>
      <c r="ABQ14" s="314" t="s">
        <v>203</v>
      </c>
      <c r="ABR14" s="314" t="s">
        <v>203</v>
      </c>
      <c r="ABS14" s="314" t="s">
        <v>203</v>
      </c>
      <c r="ABT14" s="314" t="s">
        <v>203</v>
      </c>
      <c r="ABU14" s="314" t="s">
        <v>203</v>
      </c>
      <c r="ABV14" s="314" t="s">
        <v>203</v>
      </c>
      <c r="ABW14" s="314" t="s">
        <v>203</v>
      </c>
      <c r="ABX14" s="314" t="s">
        <v>203</v>
      </c>
      <c r="ABY14" s="314" t="s">
        <v>203</v>
      </c>
      <c r="ABZ14" s="314" t="s">
        <v>203</v>
      </c>
      <c r="ACA14" s="314" t="s">
        <v>203</v>
      </c>
      <c r="ACB14" s="314" t="s">
        <v>203</v>
      </c>
      <c r="ACC14" s="314" t="s">
        <v>203</v>
      </c>
      <c r="ACD14" s="314" t="s">
        <v>203</v>
      </c>
      <c r="ACE14" s="314" t="s">
        <v>203</v>
      </c>
      <c r="ACF14" s="314" t="s">
        <v>203</v>
      </c>
      <c r="ACG14" s="314" t="s">
        <v>203</v>
      </c>
      <c r="ACH14" s="314" t="s">
        <v>203</v>
      </c>
      <c r="ACI14" s="314" t="s">
        <v>203</v>
      </c>
      <c r="ACJ14" s="314" t="s">
        <v>203</v>
      </c>
      <c r="ACK14" s="314" t="s">
        <v>203</v>
      </c>
      <c r="ACL14" s="314" t="s">
        <v>203</v>
      </c>
      <c r="ACM14" s="314" t="s">
        <v>203</v>
      </c>
      <c r="ACN14" s="314" t="s">
        <v>203</v>
      </c>
      <c r="ACO14" s="314" t="s">
        <v>203</v>
      </c>
      <c r="ACP14" s="314" t="s">
        <v>203</v>
      </c>
      <c r="ACQ14" s="314" t="s">
        <v>203</v>
      </c>
      <c r="ACR14" s="314" t="s">
        <v>203</v>
      </c>
      <c r="ACS14" s="314" t="s">
        <v>203</v>
      </c>
      <c r="ACT14" s="314" t="s">
        <v>203</v>
      </c>
      <c r="ACU14" s="314" t="s">
        <v>203</v>
      </c>
      <c r="ACV14" s="314" t="s">
        <v>203</v>
      </c>
      <c r="ACW14" s="314" t="s">
        <v>203</v>
      </c>
      <c r="ACX14" s="314" t="s">
        <v>203</v>
      </c>
      <c r="ACY14" s="314" t="s">
        <v>203</v>
      </c>
      <c r="ACZ14" s="314" t="s">
        <v>203</v>
      </c>
      <c r="ADA14" s="314" t="s">
        <v>203</v>
      </c>
      <c r="ADB14" s="314" t="s">
        <v>203</v>
      </c>
      <c r="ADC14" s="314" t="s">
        <v>203</v>
      </c>
      <c r="ADD14" s="314" t="s">
        <v>203</v>
      </c>
      <c r="ADE14" s="314" t="s">
        <v>203</v>
      </c>
      <c r="ADF14" s="314" t="s">
        <v>203</v>
      </c>
      <c r="ADG14" s="314" t="s">
        <v>203</v>
      </c>
      <c r="ADH14" s="314" t="s">
        <v>203</v>
      </c>
      <c r="ADI14" s="314" t="s">
        <v>203</v>
      </c>
      <c r="ADJ14" s="314" t="s">
        <v>203</v>
      </c>
      <c r="ADK14" s="314" t="s">
        <v>203</v>
      </c>
      <c r="ADL14" s="314" t="s">
        <v>203</v>
      </c>
      <c r="ADM14" s="314" t="s">
        <v>203</v>
      </c>
      <c r="ADN14" s="314" t="s">
        <v>203</v>
      </c>
      <c r="ADO14" s="314" t="s">
        <v>203</v>
      </c>
      <c r="ADP14" s="314" t="s">
        <v>203</v>
      </c>
      <c r="ADQ14" s="314" t="s">
        <v>203</v>
      </c>
      <c r="ADR14" s="314" t="s">
        <v>203</v>
      </c>
      <c r="ADS14" s="314" t="s">
        <v>203</v>
      </c>
      <c r="ADT14" s="314" t="s">
        <v>203</v>
      </c>
      <c r="ADU14" s="314" t="s">
        <v>203</v>
      </c>
      <c r="ADV14" s="314" t="s">
        <v>203</v>
      </c>
      <c r="ADW14" s="314" t="s">
        <v>203</v>
      </c>
      <c r="ADX14" s="314" t="s">
        <v>203</v>
      </c>
      <c r="ADY14" s="314" t="s">
        <v>203</v>
      </c>
      <c r="ADZ14" s="314" t="s">
        <v>203</v>
      </c>
      <c r="AEA14" s="314" t="s">
        <v>203</v>
      </c>
      <c r="AEB14" s="314" t="s">
        <v>203</v>
      </c>
      <c r="AEC14" s="314" t="s">
        <v>203</v>
      </c>
      <c r="AED14" s="314" t="s">
        <v>203</v>
      </c>
      <c r="AEE14" s="314" t="s">
        <v>203</v>
      </c>
      <c r="AEF14" s="314" t="s">
        <v>203</v>
      </c>
      <c r="AEG14" s="314" t="s">
        <v>203</v>
      </c>
      <c r="AEH14" s="314" t="s">
        <v>203</v>
      </c>
      <c r="AEI14" s="314" t="s">
        <v>203</v>
      </c>
      <c r="AEJ14" s="314" t="s">
        <v>203</v>
      </c>
      <c r="AEK14" s="314" t="s">
        <v>203</v>
      </c>
      <c r="AEL14" s="314" t="s">
        <v>203</v>
      </c>
      <c r="AEM14" s="314" t="s">
        <v>203</v>
      </c>
      <c r="AEN14" s="314" t="s">
        <v>203</v>
      </c>
      <c r="AEO14" s="314" t="s">
        <v>203</v>
      </c>
      <c r="AEP14" s="314" t="s">
        <v>203</v>
      </c>
      <c r="AEQ14" s="314" t="s">
        <v>203</v>
      </c>
      <c r="AER14" s="314" t="s">
        <v>203</v>
      </c>
      <c r="AES14" s="314" t="s">
        <v>203</v>
      </c>
      <c r="AET14" s="314" t="s">
        <v>203</v>
      </c>
      <c r="AEU14" s="314" t="s">
        <v>203</v>
      </c>
      <c r="AEV14" s="314" t="s">
        <v>203</v>
      </c>
      <c r="AEW14" s="314" t="s">
        <v>203</v>
      </c>
      <c r="AEX14" s="314" t="s">
        <v>203</v>
      </c>
      <c r="AEY14" s="314" t="s">
        <v>203</v>
      </c>
      <c r="AEZ14" s="314" t="s">
        <v>203</v>
      </c>
      <c r="AFA14" s="314" t="s">
        <v>203</v>
      </c>
      <c r="AFB14" s="314" t="s">
        <v>203</v>
      </c>
      <c r="AFC14" s="314" t="s">
        <v>203</v>
      </c>
      <c r="AFD14" s="314" t="s">
        <v>203</v>
      </c>
      <c r="AFE14" s="314" t="s">
        <v>203</v>
      </c>
      <c r="AFF14" s="314" t="s">
        <v>203</v>
      </c>
      <c r="AFG14" s="314" t="s">
        <v>203</v>
      </c>
      <c r="AFH14" s="314" t="s">
        <v>203</v>
      </c>
      <c r="AFI14" s="314" t="s">
        <v>203</v>
      </c>
      <c r="AFJ14" s="314" t="s">
        <v>203</v>
      </c>
      <c r="AFK14" s="314" t="s">
        <v>203</v>
      </c>
      <c r="AFL14" s="314" t="s">
        <v>203</v>
      </c>
      <c r="AFM14" s="314" t="s">
        <v>203</v>
      </c>
      <c r="AFN14" s="314" t="s">
        <v>203</v>
      </c>
      <c r="AFO14" s="314" t="s">
        <v>203</v>
      </c>
      <c r="AFP14" s="314" t="s">
        <v>203</v>
      </c>
      <c r="AFQ14" s="314" t="s">
        <v>203</v>
      </c>
      <c r="AFR14" s="314" t="s">
        <v>203</v>
      </c>
      <c r="AFS14" s="314" t="s">
        <v>203</v>
      </c>
      <c r="AFT14" s="314" t="s">
        <v>203</v>
      </c>
      <c r="AFU14" s="314" t="s">
        <v>203</v>
      </c>
      <c r="AFV14" s="314" t="s">
        <v>203</v>
      </c>
      <c r="AFW14" s="314" t="s">
        <v>203</v>
      </c>
      <c r="AFX14" s="314" t="s">
        <v>203</v>
      </c>
      <c r="AFY14" s="314" t="s">
        <v>203</v>
      </c>
      <c r="AFZ14" s="314" t="s">
        <v>203</v>
      </c>
      <c r="AGA14" s="314" t="s">
        <v>203</v>
      </c>
      <c r="AGB14" s="314" t="s">
        <v>203</v>
      </c>
      <c r="AGC14" s="314" t="s">
        <v>203</v>
      </c>
      <c r="AGD14" s="314" t="s">
        <v>203</v>
      </c>
      <c r="AGE14" s="314" t="s">
        <v>203</v>
      </c>
      <c r="AGF14" s="314" t="s">
        <v>203</v>
      </c>
      <c r="AGG14" s="314" t="s">
        <v>203</v>
      </c>
      <c r="AGH14" s="314" t="s">
        <v>203</v>
      </c>
      <c r="AGI14" s="314" t="s">
        <v>203</v>
      </c>
      <c r="AGJ14" s="314" t="s">
        <v>203</v>
      </c>
      <c r="AGK14" s="314" t="s">
        <v>203</v>
      </c>
      <c r="AGL14" s="314" t="s">
        <v>203</v>
      </c>
      <c r="AGM14" s="314" t="s">
        <v>203</v>
      </c>
      <c r="AGN14" s="314" t="s">
        <v>203</v>
      </c>
      <c r="AGO14" s="314" t="s">
        <v>203</v>
      </c>
      <c r="AGP14" s="314" t="s">
        <v>203</v>
      </c>
      <c r="AGQ14" s="314" t="s">
        <v>203</v>
      </c>
      <c r="AGR14" s="314" t="s">
        <v>203</v>
      </c>
      <c r="AGS14" s="314" t="s">
        <v>203</v>
      </c>
      <c r="AGT14" s="314" t="s">
        <v>203</v>
      </c>
      <c r="AGU14" s="314" t="s">
        <v>203</v>
      </c>
      <c r="AGV14" s="314" t="s">
        <v>203</v>
      </c>
      <c r="AGW14" s="314" t="s">
        <v>203</v>
      </c>
      <c r="AGX14" s="314" t="s">
        <v>203</v>
      </c>
      <c r="AGY14" s="314" t="s">
        <v>203</v>
      </c>
      <c r="AGZ14" s="314" t="s">
        <v>203</v>
      </c>
      <c r="AHA14" s="314" t="s">
        <v>203</v>
      </c>
      <c r="AHB14" s="314" t="s">
        <v>203</v>
      </c>
      <c r="AHC14" s="314" t="s">
        <v>203</v>
      </c>
      <c r="AHD14" s="314" t="s">
        <v>203</v>
      </c>
      <c r="AHE14" s="314" t="s">
        <v>203</v>
      </c>
      <c r="AHF14" s="314" t="s">
        <v>203</v>
      </c>
      <c r="AHG14" s="314" t="s">
        <v>203</v>
      </c>
      <c r="AHH14" s="314" t="s">
        <v>203</v>
      </c>
      <c r="AHI14" s="314" t="s">
        <v>203</v>
      </c>
      <c r="AHJ14" s="314" t="s">
        <v>203</v>
      </c>
      <c r="AHK14" s="314" t="s">
        <v>203</v>
      </c>
      <c r="AHL14" s="314" t="s">
        <v>203</v>
      </c>
      <c r="AHM14" s="314" t="s">
        <v>203</v>
      </c>
      <c r="AHN14" s="314" t="s">
        <v>203</v>
      </c>
      <c r="AHO14" s="314" t="s">
        <v>203</v>
      </c>
      <c r="AHP14" s="314" t="s">
        <v>203</v>
      </c>
      <c r="AHQ14" s="314" t="s">
        <v>203</v>
      </c>
      <c r="AHR14" s="314" t="s">
        <v>203</v>
      </c>
      <c r="AHS14" s="314" t="s">
        <v>203</v>
      </c>
      <c r="AHT14" s="314" t="s">
        <v>203</v>
      </c>
      <c r="AHU14" s="314" t="s">
        <v>203</v>
      </c>
      <c r="AHV14" s="314" t="s">
        <v>203</v>
      </c>
      <c r="AHW14" s="314" t="s">
        <v>203</v>
      </c>
      <c r="AHX14" s="314" t="s">
        <v>203</v>
      </c>
      <c r="AHY14" s="314" t="s">
        <v>203</v>
      </c>
      <c r="AHZ14" s="314" t="s">
        <v>203</v>
      </c>
      <c r="AIA14" s="314" t="s">
        <v>203</v>
      </c>
      <c r="AIB14" s="314" t="s">
        <v>203</v>
      </c>
      <c r="AIC14" s="314" t="s">
        <v>203</v>
      </c>
      <c r="AID14" s="314" t="s">
        <v>203</v>
      </c>
      <c r="AIE14" s="314" t="s">
        <v>203</v>
      </c>
      <c r="AIF14" s="314" t="s">
        <v>203</v>
      </c>
      <c r="AIG14" s="314" t="s">
        <v>203</v>
      </c>
      <c r="AIH14" s="314" t="s">
        <v>203</v>
      </c>
      <c r="AII14" s="314" t="s">
        <v>203</v>
      </c>
      <c r="AIJ14" s="314" t="s">
        <v>203</v>
      </c>
      <c r="AIK14" s="314" t="s">
        <v>203</v>
      </c>
      <c r="AIL14" s="314" t="s">
        <v>203</v>
      </c>
      <c r="AIM14" s="314" t="s">
        <v>203</v>
      </c>
      <c r="AIN14" s="314" t="s">
        <v>203</v>
      </c>
      <c r="AIO14" s="314" t="s">
        <v>203</v>
      </c>
      <c r="AIP14" s="314" t="s">
        <v>203</v>
      </c>
      <c r="AIQ14" s="314" t="s">
        <v>203</v>
      </c>
      <c r="AIR14" s="314" t="s">
        <v>203</v>
      </c>
      <c r="AIS14" s="314" t="s">
        <v>203</v>
      </c>
      <c r="AIT14" s="314" t="s">
        <v>203</v>
      </c>
      <c r="AIU14" s="314" t="s">
        <v>203</v>
      </c>
      <c r="AIV14" s="314" t="s">
        <v>203</v>
      </c>
      <c r="AIW14" s="314" t="s">
        <v>203</v>
      </c>
      <c r="AIX14" s="314" t="s">
        <v>203</v>
      </c>
      <c r="AIY14" s="314" t="s">
        <v>203</v>
      </c>
      <c r="AIZ14" s="314" t="s">
        <v>203</v>
      </c>
      <c r="AJA14" s="314" t="s">
        <v>203</v>
      </c>
      <c r="AJB14" s="314" t="s">
        <v>203</v>
      </c>
      <c r="AJC14" s="314" t="s">
        <v>203</v>
      </c>
      <c r="AJD14" s="314" t="s">
        <v>203</v>
      </c>
      <c r="AJE14" s="314" t="s">
        <v>203</v>
      </c>
      <c r="AJF14" s="314" t="s">
        <v>203</v>
      </c>
      <c r="AJG14" s="314" t="s">
        <v>203</v>
      </c>
      <c r="AJH14" s="314" t="s">
        <v>203</v>
      </c>
      <c r="AJI14" s="314" t="s">
        <v>203</v>
      </c>
      <c r="AJJ14" s="314" t="s">
        <v>203</v>
      </c>
      <c r="AJK14" s="314" t="s">
        <v>203</v>
      </c>
      <c r="AJL14" s="314" t="s">
        <v>203</v>
      </c>
      <c r="AJM14" s="314" t="s">
        <v>203</v>
      </c>
      <c r="AJN14" s="314" t="s">
        <v>203</v>
      </c>
      <c r="AJO14" s="314" t="s">
        <v>203</v>
      </c>
      <c r="AJP14" s="314" t="s">
        <v>203</v>
      </c>
      <c r="AJQ14" s="314" t="s">
        <v>203</v>
      </c>
      <c r="AJR14" s="314" t="s">
        <v>203</v>
      </c>
      <c r="AJS14" s="314" t="s">
        <v>203</v>
      </c>
      <c r="AJT14" s="314" t="s">
        <v>203</v>
      </c>
      <c r="AJU14" s="314" t="s">
        <v>203</v>
      </c>
      <c r="AJV14" s="314" t="s">
        <v>203</v>
      </c>
      <c r="AJW14" s="314" t="s">
        <v>203</v>
      </c>
      <c r="AJX14" s="314" t="s">
        <v>203</v>
      </c>
      <c r="AJY14" s="314" t="s">
        <v>203</v>
      </c>
      <c r="AJZ14" s="314" t="s">
        <v>203</v>
      </c>
      <c r="AKA14" s="314" t="s">
        <v>203</v>
      </c>
      <c r="AKB14" s="314" t="s">
        <v>203</v>
      </c>
      <c r="AKC14" s="314" t="s">
        <v>203</v>
      </c>
      <c r="AKD14" s="314" t="s">
        <v>203</v>
      </c>
      <c r="AKE14" s="314" t="s">
        <v>203</v>
      </c>
      <c r="AKF14" s="314" t="s">
        <v>203</v>
      </c>
      <c r="AKG14" s="314" t="s">
        <v>203</v>
      </c>
      <c r="AKH14" s="314" t="s">
        <v>203</v>
      </c>
      <c r="AKI14" s="314" t="s">
        <v>203</v>
      </c>
      <c r="AKJ14" s="314" t="s">
        <v>203</v>
      </c>
      <c r="AKK14" s="314" t="s">
        <v>203</v>
      </c>
      <c r="AKL14" s="314" t="s">
        <v>203</v>
      </c>
      <c r="AKM14" s="314" t="s">
        <v>203</v>
      </c>
      <c r="AKN14" s="314" t="s">
        <v>203</v>
      </c>
      <c r="AKO14" s="314" t="s">
        <v>203</v>
      </c>
      <c r="AKP14" s="314" t="s">
        <v>203</v>
      </c>
      <c r="AKQ14" s="314" t="s">
        <v>203</v>
      </c>
      <c r="AKR14" s="314" t="s">
        <v>203</v>
      </c>
      <c r="AKS14" s="314" t="s">
        <v>203</v>
      </c>
      <c r="AKT14" s="314" t="s">
        <v>203</v>
      </c>
      <c r="AKU14" s="314" t="s">
        <v>203</v>
      </c>
      <c r="AKV14" s="314" t="s">
        <v>203</v>
      </c>
      <c r="AKW14" s="314" t="s">
        <v>203</v>
      </c>
      <c r="AKX14" s="314" t="s">
        <v>203</v>
      </c>
      <c r="AKY14" s="314" t="s">
        <v>203</v>
      </c>
      <c r="AKZ14" s="314" t="s">
        <v>203</v>
      </c>
      <c r="ALA14" s="314" t="s">
        <v>203</v>
      </c>
      <c r="ALB14" s="314" t="s">
        <v>203</v>
      </c>
      <c r="ALC14" s="314" t="s">
        <v>203</v>
      </c>
      <c r="ALD14" s="314" t="s">
        <v>203</v>
      </c>
      <c r="ALE14" s="314" t="s">
        <v>203</v>
      </c>
      <c r="ALF14" s="314" t="s">
        <v>203</v>
      </c>
      <c r="ALG14" s="314" t="s">
        <v>203</v>
      </c>
      <c r="ALH14" s="314" t="s">
        <v>203</v>
      </c>
      <c r="ALI14" s="314" t="s">
        <v>203</v>
      </c>
      <c r="ALJ14" s="314" t="s">
        <v>203</v>
      </c>
      <c r="ALK14" s="314" t="s">
        <v>203</v>
      </c>
      <c r="ALL14" s="314" t="s">
        <v>203</v>
      </c>
      <c r="ALM14" s="314" t="s">
        <v>203</v>
      </c>
      <c r="ALN14" s="314" t="s">
        <v>203</v>
      </c>
      <c r="ALO14" s="314" t="s">
        <v>203</v>
      </c>
      <c r="ALP14" s="314" t="s">
        <v>203</v>
      </c>
      <c r="ALQ14" s="314" t="s">
        <v>203</v>
      </c>
      <c r="ALR14" s="314" t="s">
        <v>203</v>
      </c>
      <c r="ALS14" s="314" t="s">
        <v>203</v>
      </c>
      <c r="ALT14" s="314" t="s">
        <v>203</v>
      </c>
      <c r="ALU14" s="314" t="s">
        <v>203</v>
      </c>
      <c r="ALV14" s="314" t="s">
        <v>203</v>
      </c>
      <c r="ALW14" s="314" t="s">
        <v>203</v>
      </c>
      <c r="ALX14" s="314" t="s">
        <v>203</v>
      </c>
      <c r="ALY14" s="314" t="s">
        <v>203</v>
      </c>
      <c r="ALZ14" s="314" t="s">
        <v>203</v>
      </c>
      <c r="AMA14" s="314" t="s">
        <v>203</v>
      </c>
      <c r="AMB14" s="314" t="s">
        <v>203</v>
      </c>
      <c r="AMC14" s="314" t="s">
        <v>203</v>
      </c>
      <c r="AMD14" s="314" t="s">
        <v>203</v>
      </c>
      <c r="AME14" s="314" t="s">
        <v>203</v>
      </c>
      <c r="AMF14" s="314" t="s">
        <v>203</v>
      </c>
      <c r="AMG14" s="314" t="s">
        <v>203</v>
      </c>
      <c r="AMH14" s="314" t="s">
        <v>203</v>
      </c>
      <c r="AMI14" s="314" t="s">
        <v>203</v>
      </c>
      <c r="AMJ14" s="314" t="s">
        <v>203</v>
      </c>
      <c r="AMK14" s="314" t="s">
        <v>203</v>
      </c>
      <c r="AML14" s="314" t="s">
        <v>203</v>
      </c>
      <c r="AMM14" s="314" t="s">
        <v>203</v>
      </c>
      <c r="AMN14" s="314" t="s">
        <v>203</v>
      </c>
      <c r="AMO14" s="314" t="s">
        <v>203</v>
      </c>
      <c r="AMP14" s="314" t="s">
        <v>203</v>
      </c>
      <c r="AMQ14" s="314" t="s">
        <v>203</v>
      </c>
      <c r="AMR14" s="314" t="s">
        <v>203</v>
      </c>
      <c r="AMS14" s="314" t="s">
        <v>203</v>
      </c>
      <c r="AMT14" s="314" t="s">
        <v>203</v>
      </c>
      <c r="AMU14" s="314" t="s">
        <v>203</v>
      </c>
      <c r="AMV14" s="314" t="s">
        <v>203</v>
      </c>
      <c r="AMW14" s="314" t="s">
        <v>203</v>
      </c>
      <c r="AMX14" s="314" t="s">
        <v>203</v>
      </c>
      <c r="AMY14" s="314" t="s">
        <v>203</v>
      </c>
      <c r="AMZ14" s="314" t="s">
        <v>203</v>
      </c>
      <c r="ANA14" s="314" t="s">
        <v>203</v>
      </c>
      <c r="ANB14" s="314" t="s">
        <v>203</v>
      </c>
      <c r="ANC14" s="314" t="s">
        <v>203</v>
      </c>
      <c r="AND14" s="314" t="s">
        <v>203</v>
      </c>
      <c r="ANE14" s="314" t="s">
        <v>203</v>
      </c>
      <c r="ANF14" s="314" t="s">
        <v>203</v>
      </c>
      <c r="ANG14" s="314" t="s">
        <v>203</v>
      </c>
      <c r="ANH14" s="314" t="s">
        <v>203</v>
      </c>
      <c r="ANI14" s="314" t="s">
        <v>203</v>
      </c>
      <c r="ANJ14" s="314" t="s">
        <v>203</v>
      </c>
      <c r="ANK14" s="314" t="s">
        <v>203</v>
      </c>
      <c r="ANL14" s="314" t="s">
        <v>203</v>
      </c>
      <c r="ANM14" s="314" t="s">
        <v>203</v>
      </c>
      <c r="ANN14" s="314" t="s">
        <v>203</v>
      </c>
      <c r="ANO14" s="314" t="s">
        <v>203</v>
      </c>
      <c r="ANP14" s="314" t="s">
        <v>203</v>
      </c>
      <c r="ANQ14" s="314" t="s">
        <v>203</v>
      </c>
      <c r="ANR14" s="314" t="s">
        <v>203</v>
      </c>
      <c r="ANS14" s="314" t="s">
        <v>203</v>
      </c>
      <c r="ANT14" s="314" t="s">
        <v>203</v>
      </c>
      <c r="ANU14" s="314" t="s">
        <v>203</v>
      </c>
      <c r="ANV14" s="314" t="s">
        <v>203</v>
      </c>
      <c r="ANW14" s="314" t="s">
        <v>203</v>
      </c>
      <c r="ANX14" s="314" t="s">
        <v>203</v>
      </c>
      <c r="ANY14" s="314" t="s">
        <v>203</v>
      </c>
      <c r="ANZ14" s="314" t="s">
        <v>203</v>
      </c>
      <c r="AOA14" s="314" t="s">
        <v>203</v>
      </c>
      <c r="AOB14" s="314" t="s">
        <v>203</v>
      </c>
      <c r="AOC14" s="314" t="s">
        <v>203</v>
      </c>
      <c r="AOD14" s="314" t="s">
        <v>203</v>
      </c>
      <c r="AOE14" s="314" t="s">
        <v>203</v>
      </c>
      <c r="AOF14" s="314" t="s">
        <v>203</v>
      </c>
      <c r="AOG14" s="314" t="s">
        <v>203</v>
      </c>
      <c r="AOH14" s="314" t="s">
        <v>203</v>
      </c>
      <c r="AOI14" s="314" t="s">
        <v>203</v>
      </c>
      <c r="AOJ14" s="314" t="s">
        <v>203</v>
      </c>
      <c r="AOK14" s="314" t="s">
        <v>203</v>
      </c>
      <c r="AOL14" s="314" t="s">
        <v>203</v>
      </c>
      <c r="AOM14" s="314" t="s">
        <v>203</v>
      </c>
      <c r="AON14" s="314" t="s">
        <v>203</v>
      </c>
      <c r="AOO14" s="314" t="s">
        <v>203</v>
      </c>
      <c r="AOP14" s="314" t="s">
        <v>203</v>
      </c>
      <c r="AOQ14" s="314" t="s">
        <v>203</v>
      </c>
      <c r="AOR14" s="314" t="s">
        <v>203</v>
      </c>
      <c r="AOS14" s="314" t="s">
        <v>203</v>
      </c>
      <c r="AOT14" s="314" t="s">
        <v>203</v>
      </c>
      <c r="AOU14" s="314" t="s">
        <v>203</v>
      </c>
      <c r="AOV14" s="314" t="s">
        <v>203</v>
      </c>
      <c r="AOW14" s="314" t="s">
        <v>203</v>
      </c>
      <c r="AOX14" s="314" t="s">
        <v>203</v>
      </c>
      <c r="AOY14" s="314" t="s">
        <v>203</v>
      </c>
      <c r="AOZ14" s="314" t="s">
        <v>203</v>
      </c>
      <c r="APA14" s="314" t="s">
        <v>203</v>
      </c>
      <c r="APB14" s="314" t="s">
        <v>203</v>
      </c>
      <c r="APC14" s="314" t="s">
        <v>203</v>
      </c>
      <c r="APD14" s="314" t="s">
        <v>203</v>
      </c>
      <c r="APE14" s="314" t="s">
        <v>203</v>
      </c>
      <c r="APF14" s="314" t="s">
        <v>203</v>
      </c>
      <c r="APG14" s="314" t="s">
        <v>203</v>
      </c>
      <c r="APH14" s="314" t="s">
        <v>203</v>
      </c>
      <c r="API14" s="314" t="s">
        <v>203</v>
      </c>
      <c r="APJ14" s="314" t="s">
        <v>203</v>
      </c>
      <c r="APK14" s="314" t="s">
        <v>203</v>
      </c>
      <c r="APL14" s="314" t="s">
        <v>203</v>
      </c>
      <c r="APM14" s="314" t="s">
        <v>203</v>
      </c>
      <c r="APN14" s="314" t="s">
        <v>203</v>
      </c>
      <c r="APO14" s="314" t="s">
        <v>203</v>
      </c>
      <c r="APP14" s="314" t="s">
        <v>203</v>
      </c>
      <c r="APQ14" s="314" t="s">
        <v>203</v>
      </c>
      <c r="APR14" s="314" t="s">
        <v>203</v>
      </c>
      <c r="APS14" s="314" t="s">
        <v>203</v>
      </c>
      <c r="APT14" s="314" t="s">
        <v>203</v>
      </c>
      <c r="APU14" s="314" t="s">
        <v>203</v>
      </c>
      <c r="APV14" s="314" t="s">
        <v>203</v>
      </c>
      <c r="APW14" s="314" t="s">
        <v>203</v>
      </c>
      <c r="APX14" s="314" t="s">
        <v>203</v>
      </c>
      <c r="APY14" s="314" t="s">
        <v>203</v>
      </c>
      <c r="APZ14" s="314" t="s">
        <v>203</v>
      </c>
      <c r="AQA14" s="314" t="s">
        <v>203</v>
      </c>
      <c r="AQB14" s="314" t="s">
        <v>203</v>
      </c>
      <c r="AQC14" s="314" t="s">
        <v>203</v>
      </c>
      <c r="AQD14" s="314" t="s">
        <v>203</v>
      </c>
      <c r="AQE14" s="314" t="s">
        <v>203</v>
      </c>
      <c r="AQF14" s="314" t="s">
        <v>203</v>
      </c>
      <c r="AQG14" s="314" t="s">
        <v>203</v>
      </c>
      <c r="AQH14" s="314" t="s">
        <v>203</v>
      </c>
      <c r="AQI14" s="314" t="s">
        <v>203</v>
      </c>
      <c r="AQJ14" s="314" t="s">
        <v>203</v>
      </c>
      <c r="AQK14" s="314" t="s">
        <v>203</v>
      </c>
      <c r="AQL14" s="314" t="s">
        <v>203</v>
      </c>
      <c r="AQM14" s="314" t="s">
        <v>203</v>
      </c>
      <c r="AQN14" s="314" t="s">
        <v>203</v>
      </c>
      <c r="AQO14" s="314" t="s">
        <v>203</v>
      </c>
      <c r="AQP14" s="314" t="s">
        <v>203</v>
      </c>
      <c r="AQQ14" s="314" t="s">
        <v>203</v>
      </c>
      <c r="AQR14" s="314" t="s">
        <v>203</v>
      </c>
      <c r="AQS14" s="314" t="s">
        <v>203</v>
      </c>
      <c r="AQT14" s="314" t="s">
        <v>203</v>
      </c>
      <c r="AQU14" s="314" t="s">
        <v>203</v>
      </c>
      <c r="AQV14" s="314" t="s">
        <v>203</v>
      </c>
      <c r="AQW14" s="314" t="s">
        <v>203</v>
      </c>
      <c r="AQX14" s="314" t="s">
        <v>203</v>
      </c>
      <c r="AQY14" s="314" t="s">
        <v>203</v>
      </c>
      <c r="AQZ14" s="314" t="s">
        <v>203</v>
      </c>
      <c r="ARA14" s="314" t="s">
        <v>203</v>
      </c>
      <c r="ARB14" s="314" t="s">
        <v>203</v>
      </c>
      <c r="ARC14" s="314" t="s">
        <v>203</v>
      </c>
      <c r="ARD14" s="314" t="s">
        <v>203</v>
      </c>
      <c r="ARE14" s="314" t="s">
        <v>203</v>
      </c>
      <c r="ARF14" s="314" t="s">
        <v>203</v>
      </c>
      <c r="ARG14" s="314" t="s">
        <v>203</v>
      </c>
      <c r="ARH14" s="314" t="s">
        <v>203</v>
      </c>
      <c r="ARI14" s="314" t="s">
        <v>203</v>
      </c>
      <c r="ARJ14" s="314" t="s">
        <v>203</v>
      </c>
      <c r="ARK14" s="314" t="s">
        <v>203</v>
      </c>
      <c r="ARL14" s="314" t="s">
        <v>203</v>
      </c>
      <c r="ARM14" s="314" t="s">
        <v>203</v>
      </c>
      <c r="ARN14" s="314" t="s">
        <v>203</v>
      </c>
      <c r="ARO14" s="314" t="s">
        <v>203</v>
      </c>
      <c r="ARP14" s="314" t="s">
        <v>203</v>
      </c>
      <c r="ARQ14" s="314" t="s">
        <v>203</v>
      </c>
      <c r="ARR14" s="314" t="s">
        <v>203</v>
      </c>
      <c r="ARS14" s="314" t="s">
        <v>203</v>
      </c>
      <c r="ART14" s="314" t="s">
        <v>203</v>
      </c>
      <c r="ARU14" s="314" t="s">
        <v>203</v>
      </c>
      <c r="ARV14" s="314" t="s">
        <v>203</v>
      </c>
      <c r="ARW14" s="314" t="s">
        <v>203</v>
      </c>
      <c r="ARX14" s="314" t="s">
        <v>203</v>
      </c>
      <c r="ARY14" s="314" t="s">
        <v>203</v>
      </c>
      <c r="ARZ14" s="314" t="s">
        <v>203</v>
      </c>
      <c r="ASA14" s="314" t="s">
        <v>203</v>
      </c>
      <c r="ASB14" s="314" t="s">
        <v>203</v>
      </c>
      <c r="ASC14" s="314" t="s">
        <v>203</v>
      </c>
      <c r="ASD14" s="314" t="s">
        <v>203</v>
      </c>
      <c r="ASE14" s="314" t="s">
        <v>203</v>
      </c>
      <c r="ASF14" s="314" t="s">
        <v>203</v>
      </c>
      <c r="ASG14" s="314" t="s">
        <v>203</v>
      </c>
      <c r="ASH14" s="314" t="s">
        <v>203</v>
      </c>
      <c r="ASI14" s="314" t="s">
        <v>203</v>
      </c>
      <c r="ASJ14" s="314" t="s">
        <v>203</v>
      </c>
      <c r="ASK14" s="314" t="s">
        <v>203</v>
      </c>
      <c r="ASL14" s="314" t="s">
        <v>203</v>
      </c>
      <c r="ASM14" s="314" t="s">
        <v>203</v>
      </c>
      <c r="ASN14" s="314" t="s">
        <v>203</v>
      </c>
      <c r="ASO14" s="314" t="s">
        <v>203</v>
      </c>
      <c r="ASP14" s="314" t="s">
        <v>203</v>
      </c>
      <c r="ASQ14" s="314" t="s">
        <v>203</v>
      </c>
      <c r="ASR14" s="314" t="s">
        <v>203</v>
      </c>
      <c r="ASS14" s="314" t="s">
        <v>203</v>
      </c>
      <c r="AST14" s="314" t="s">
        <v>203</v>
      </c>
      <c r="ASU14" s="314" t="s">
        <v>203</v>
      </c>
      <c r="ASV14" s="314" t="s">
        <v>203</v>
      </c>
      <c r="ASW14" s="314" t="s">
        <v>203</v>
      </c>
      <c r="ASX14" s="314" t="s">
        <v>203</v>
      </c>
      <c r="ASY14" s="314" t="s">
        <v>203</v>
      </c>
      <c r="ASZ14" s="314" t="s">
        <v>203</v>
      </c>
      <c r="ATA14" s="314" t="s">
        <v>203</v>
      </c>
      <c r="ATB14" s="314" t="s">
        <v>203</v>
      </c>
      <c r="ATC14" s="314" t="s">
        <v>203</v>
      </c>
      <c r="ATD14" s="314" t="s">
        <v>203</v>
      </c>
      <c r="ATE14" s="314" t="s">
        <v>203</v>
      </c>
      <c r="ATF14" s="314" t="s">
        <v>203</v>
      </c>
      <c r="ATG14" s="314" t="s">
        <v>203</v>
      </c>
      <c r="ATH14" s="314" t="s">
        <v>203</v>
      </c>
      <c r="ATI14" s="314" t="s">
        <v>203</v>
      </c>
      <c r="ATJ14" s="314" t="s">
        <v>203</v>
      </c>
      <c r="ATK14" s="314" t="s">
        <v>203</v>
      </c>
      <c r="ATL14" s="314" t="s">
        <v>203</v>
      </c>
      <c r="ATM14" s="314" t="s">
        <v>203</v>
      </c>
      <c r="ATN14" s="314" t="s">
        <v>203</v>
      </c>
      <c r="ATO14" s="314" t="s">
        <v>203</v>
      </c>
      <c r="ATP14" s="314" t="s">
        <v>203</v>
      </c>
      <c r="ATQ14" s="314" t="s">
        <v>203</v>
      </c>
      <c r="ATR14" s="314" t="s">
        <v>203</v>
      </c>
      <c r="ATS14" s="314" t="s">
        <v>203</v>
      </c>
      <c r="ATT14" s="314" t="s">
        <v>203</v>
      </c>
      <c r="ATU14" s="314" t="s">
        <v>203</v>
      </c>
      <c r="ATV14" s="314" t="s">
        <v>203</v>
      </c>
      <c r="ATW14" s="314" t="s">
        <v>203</v>
      </c>
      <c r="ATX14" s="314" t="s">
        <v>203</v>
      </c>
      <c r="ATY14" s="314" t="s">
        <v>203</v>
      </c>
      <c r="ATZ14" s="314" t="s">
        <v>203</v>
      </c>
      <c r="AUA14" s="314" t="s">
        <v>203</v>
      </c>
      <c r="AUB14" s="314" t="s">
        <v>203</v>
      </c>
      <c r="AUC14" s="314" t="s">
        <v>203</v>
      </c>
      <c r="AUD14" s="314" t="s">
        <v>203</v>
      </c>
      <c r="AUE14" s="314" t="s">
        <v>203</v>
      </c>
      <c r="AUF14" s="314" t="s">
        <v>203</v>
      </c>
      <c r="AUG14" s="314" t="s">
        <v>203</v>
      </c>
      <c r="AUH14" s="314" t="s">
        <v>203</v>
      </c>
      <c r="AUI14" s="314" t="s">
        <v>203</v>
      </c>
      <c r="AUJ14" s="314" t="s">
        <v>203</v>
      </c>
      <c r="AUK14" s="314" t="s">
        <v>203</v>
      </c>
      <c r="AUL14" s="314" t="s">
        <v>203</v>
      </c>
      <c r="AUM14" s="314" t="s">
        <v>203</v>
      </c>
      <c r="AUN14" s="314" t="s">
        <v>203</v>
      </c>
      <c r="AUO14" s="314" t="s">
        <v>203</v>
      </c>
      <c r="AUP14" s="314" t="s">
        <v>203</v>
      </c>
      <c r="AUQ14" s="314" t="s">
        <v>203</v>
      </c>
      <c r="AUR14" s="314" t="s">
        <v>203</v>
      </c>
      <c r="AUS14" s="314" t="s">
        <v>203</v>
      </c>
      <c r="AUT14" s="314" t="s">
        <v>203</v>
      </c>
      <c r="AUU14" s="314" t="s">
        <v>203</v>
      </c>
      <c r="AUV14" s="314" t="s">
        <v>203</v>
      </c>
      <c r="AUW14" s="314" t="s">
        <v>203</v>
      </c>
      <c r="AUX14" s="314" t="s">
        <v>203</v>
      </c>
      <c r="AUY14" s="314" t="s">
        <v>203</v>
      </c>
      <c r="AUZ14" s="314" t="s">
        <v>203</v>
      </c>
      <c r="AVA14" s="314" t="s">
        <v>203</v>
      </c>
      <c r="AVB14" s="314" t="s">
        <v>203</v>
      </c>
      <c r="AVC14" s="314" t="s">
        <v>203</v>
      </c>
      <c r="AVD14" s="314" t="s">
        <v>203</v>
      </c>
      <c r="AVE14" s="314" t="s">
        <v>203</v>
      </c>
      <c r="AVF14" s="314" t="s">
        <v>203</v>
      </c>
      <c r="AVG14" s="314" t="s">
        <v>203</v>
      </c>
      <c r="AVH14" s="314" t="s">
        <v>203</v>
      </c>
      <c r="AVI14" s="314" t="s">
        <v>203</v>
      </c>
      <c r="AVJ14" s="314" t="s">
        <v>203</v>
      </c>
      <c r="AVK14" s="314" t="s">
        <v>203</v>
      </c>
      <c r="AVL14" s="314" t="s">
        <v>203</v>
      </c>
      <c r="AVM14" s="314" t="s">
        <v>203</v>
      </c>
      <c r="AVN14" s="314" t="s">
        <v>203</v>
      </c>
      <c r="AVO14" s="314" t="s">
        <v>203</v>
      </c>
      <c r="AVP14" s="314" t="s">
        <v>203</v>
      </c>
      <c r="AVQ14" s="314" t="s">
        <v>203</v>
      </c>
      <c r="AVR14" s="314" t="s">
        <v>203</v>
      </c>
      <c r="AVS14" s="314" t="s">
        <v>203</v>
      </c>
      <c r="AVT14" s="314" t="s">
        <v>203</v>
      </c>
      <c r="AVU14" s="314" t="s">
        <v>203</v>
      </c>
      <c r="AVV14" s="314" t="s">
        <v>203</v>
      </c>
      <c r="AVW14" s="314" t="s">
        <v>203</v>
      </c>
      <c r="AVX14" s="314" t="s">
        <v>203</v>
      </c>
      <c r="AVY14" s="314" t="s">
        <v>203</v>
      </c>
      <c r="AVZ14" s="314" t="s">
        <v>203</v>
      </c>
      <c r="AWA14" s="314" t="s">
        <v>203</v>
      </c>
      <c r="AWB14" s="314" t="s">
        <v>203</v>
      </c>
      <c r="AWC14" s="314" t="s">
        <v>203</v>
      </c>
      <c r="AWD14" s="314" t="s">
        <v>203</v>
      </c>
      <c r="AWE14" s="314" t="s">
        <v>203</v>
      </c>
      <c r="AWF14" s="314" t="s">
        <v>203</v>
      </c>
      <c r="AWG14" s="314" t="s">
        <v>203</v>
      </c>
      <c r="AWH14" s="314" t="s">
        <v>203</v>
      </c>
      <c r="AWI14" s="314" t="s">
        <v>203</v>
      </c>
      <c r="AWJ14" s="314" t="s">
        <v>203</v>
      </c>
      <c r="AWK14" s="314" t="s">
        <v>203</v>
      </c>
      <c r="AWL14" s="314" t="s">
        <v>203</v>
      </c>
      <c r="AWM14" s="314" t="s">
        <v>203</v>
      </c>
      <c r="AWN14" s="314" t="s">
        <v>203</v>
      </c>
      <c r="AWO14" s="314" t="s">
        <v>203</v>
      </c>
      <c r="AWP14" s="314" t="s">
        <v>203</v>
      </c>
      <c r="AWQ14" s="314" t="s">
        <v>203</v>
      </c>
      <c r="AWR14" s="314" t="s">
        <v>203</v>
      </c>
      <c r="AWS14" s="314" t="s">
        <v>203</v>
      </c>
      <c r="AWT14" s="314" t="s">
        <v>203</v>
      </c>
      <c r="AWU14" s="314" t="s">
        <v>203</v>
      </c>
      <c r="AWV14" s="314" t="s">
        <v>203</v>
      </c>
      <c r="AWW14" s="314" t="s">
        <v>203</v>
      </c>
      <c r="AWX14" s="314" t="s">
        <v>203</v>
      </c>
      <c r="AWY14" s="314" t="s">
        <v>203</v>
      </c>
      <c r="AWZ14" s="314" t="s">
        <v>203</v>
      </c>
      <c r="AXA14" s="314" t="s">
        <v>203</v>
      </c>
      <c r="AXB14" s="314" t="s">
        <v>203</v>
      </c>
      <c r="AXC14" s="314" t="s">
        <v>203</v>
      </c>
      <c r="AXD14" s="314" t="s">
        <v>203</v>
      </c>
      <c r="AXE14" s="314" t="s">
        <v>203</v>
      </c>
      <c r="AXF14" s="314" t="s">
        <v>203</v>
      </c>
      <c r="AXG14" s="314" t="s">
        <v>203</v>
      </c>
      <c r="AXH14" s="314" t="s">
        <v>203</v>
      </c>
      <c r="AXI14" s="314" t="s">
        <v>203</v>
      </c>
      <c r="AXJ14" s="314" t="s">
        <v>203</v>
      </c>
      <c r="AXK14" s="314" t="s">
        <v>203</v>
      </c>
      <c r="AXL14" s="314" t="s">
        <v>203</v>
      </c>
      <c r="AXM14" s="314" t="s">
        <v>203</v>
      </c>
      <c r="AXN14" s="314" t="s">
        <v>203</v>
      </c>
      <c r="AXO14" s="314" t="s">
        <v>203</v>
      </c>
      <c r="AXP14" s="314" t="s">
        <v>203</v>
      </c>
      <c r="AXQ14" s="314" t="s">
        <v>203</v>
      </c>
      <c r="AXR14" s="314" t="s">
        <v>203</v>
      </c>
      <c r="AXS14" s="314" t="s">
        <v>203</v>
      </c>
      <c r="AXT14" s="314" t="s">
        <v>203</v>
      </c>
      <c r="AXU14" s="314" t="s">
        <v>203</v>
      </c>
      <c r="AXV14" s="314" t="s">
        <v>203</v>
      </c>
      <c r="AXW14" s="314" t="s">
        <v>203</v>
      </c>
      <c r="AXX14" s="314" t="s">
        <v>203</v>
      </c>
      <c r="AXY14" s="314" t="s">
        <v>203</v>
      </c>
      <c r="AXZ14" s="314" t="s">
        <v>203</v>
      </c>
      <c r="AYA14" s="314" t="s">
        <v>203</v>
      </c>
      <c r="AYB14" s="314" t="s">
        <v>203</v>
      </c>
      <c r="AYC14" s="314" t="s">
        <v>203</v>
      </c>
      <c r="AYD14" s="314" t="s">
        <v>203</v>
      </c>
      <c r="AYE14" s="314" t="s">
        <v>203</v>
      </c>
      <c r="AYF14" s="314" t="s">
        <v>203</v>
      </c>
      <c r="AYG14" s="314" t="s">
        <v>203</v>
      </c>
      <c r="AYH14" s="314" t="s">
        <v>203</v>
      </c>
      <c r="AYI14" s="314" t="s">
        <v>203</v>
      </c>
      <c r="AYJ14" s="314" t="s">
        <v>203</v>
      </c>
      <c r="AYK14" s="314" t="s">
        <v>203</v>
      </c>
      <c r="AYL14" s="314" t="s">
        <v>203</v>
      </c>
      <c r="AYM14" s="314" t="s">
        <v>203</v>
      </c>
      <c r="AYN14" s="314" t="s">
        <v>203</v>
      </c>
      <c r="AYO14" s="314" t="s">
        <v>203</v>
      </c>
      <c r="AYP14" s="314" t="s">
        <v>203</v>
      </c>
      <c r="AYQ14" s="314" t="s">
        <v>203</v>
      </c>
      <c r="AYR14" s="314" t="s">
        <v>203</v>
      </c>
      <c r="AYS14" s="314" t="s">
        <v>203</v>
      </c>
      <c r="AYT14" s="314" t="s">
        <v>203</v>
      </c>
      <c r="AYU14" s="314" t="s">
        <v>203</v>
      </c>
      <c r="AYV14" s="314" t="s">
        <v>203</v>
      </c>
      <c r="AYW14" s="314" t="s">
        <v>203</v>
      </c>
      <c r="AYX14" s="314" t="s">
        <v>203</v>
      </c>
      <c r="AYY14" s="314" t="s">
        <v>203</v>
      </c>
      <c r="AYZ14" s="314" t="s">
        <v>203</v>
      </c>
      <c r="AZA14" s="314" t="s">
        <v>203</v>
      </c>
      <c r="AZB14" s="314" t="s">
        <v>203</v>
      </c>
      <c r="AZC14" s="314" t="s">
        <v>203</v>
      </c>
      <c r="AZD14" s="314" t="s">
        <v>203</v>
      </c>
      <c r="AZE14" s="314" t="s">
        <v>203</v>
      </c>
      <c r="AZF14" s="314" t="s">
        <v>203</v>
      </c>
      <c r="AZG14" s="314" t="s">
        <v>203</v>
      </c>
      <c r="AZH14" s="314" t="s">
        <v>203</v>
      </c>
      <c r="AZI14" s="314" t="s">
        <v>203</v>
      </c>
      <c r="AZJ14" s="314" t="s">
        <v>203</v>
      </c>
      <c r="AZK14" s="314" t="s">
        <v>203</v>
      </c>
      <c r="AZL14" s="314" t="s">
        <v>203</v>
      </c>
      <c r="AZM14" s="314" t="s">
        <v>203</v>
      </c>
      <c r="AZN14" s="314" t="s">
        <v>203</v>
      </c>
      <c r="AZO14" s="314" t="s">
        <v>203</v>
      </c>
      <c r="AZP14" s="314" t="s">
        <v>203</v>
      </c>
      <c r="AZQ14" s="314" t="s">
        <v>203</v>
      </c>
      <c r="AZR14" s="314" t="s">
        <v>203</v>
      </c>
      <c r="AZS14" s="314" t="s">
        <v>203</v>
      </c>
      <c r="AZT14" s="314" t="s">
        <v>203</v>
      </c>
      <c r="AZU14" s="314" t="s">
        <v>203</v>
      </c>
      <c r="AZV14" s="314" t="s">
        <v>203</v>
      </c>
      <c r="AZW14" s="314" t="s">
        <v>203</v>
      </c>
      <c r="AZX14" s="314" t="s">
        <v>203</v>
      </c>
      <c r="AZY14" s="314" t="s">
        <v>203</v>
      </c>
      <c r="AZZ14" s="314" t="s">
        <v>203</v>
      </c>
      <c r="BAA14" s="314" t="s">
        <v>203</v>
      </c>
      <c r="BAB14" s="314" t="s">
        <v>203</v>
      </c>
      <c r="BAC14" s="314" t="s">
        <v>203</v>
      </c>
      <c r="BAD14" s="314" t="s">
        <v>203</v>
      </c>
      <c r="BAE14" s="314" t="s">
        <v>203</v>
      </c>
      <c r="BAF14" s="314" t="s">
        <v>203</v>
      </c>
      <c r="BAG14" s="314" t="s">
        <v>203</v>
      </c>
      <c r="BAH14" s="314" t="s">
        <v>203</v>
      </c>
      <c r="BAI14" s="314" t="s">
        <v>203</v>
      </c>
      <c r="BAJ14" s="314" t="s">
        <v>203</v>
      </c>
      <c r="BAK14" s="314" t="s">
        <v>203</v>
      </c>
      <c r="BAL14" s="314" t="s">
        <v>203</v>
      </c>
      <c r="BAM14" s="314" t="s">
        <v>203</v>
      </c>
      <c r="BAN14" s="314" t="s">
        <v>203</v>
      </c>
      <c r="BAO14" s="314" t="s">
        <v>203</v>
      </c>
      <c r="BAP14" s="314" t="s">
        <v>203</v>
      </c>
      <c r="BAQ14" s="314" t="s">
        <v>203</v>
      </c>
      <c r="BAR14" s="314" t="s">
        <v>203</v>
      </c>
      <c r="BAS14" s="314" t="s">
        <v>203</v>
      </c>
      <c r="BAT14" s="314" t="s">
        <v>203</v>
      </c>
      <c r="BAU14" s="314" t="s">
        <v>203</v>
      </c>
      <c r="BAV14" s="314" t="s">
        <v>203</v>
      </c>
      <c r="BAW14" s="314" t="s">
        <v>203</v>
      </c>
      <c r="BAX14" s="314" t="s">
        <v>203</v>
      </c>
      <c r="BAY14" s="314" t="s">
        <v>203</v>
      </c>
      <c r="BAZ14" s="314" t="s">
        <v>203</v>
      </c>
      <c r="BBA14" s="314" t="s">
        <v>203</v>
      </c>
      <c r="BBB14" s="314" t="s">
        <v>203</v>
      </c>
      <c r="BBC14" s="314" t="s">
        <v>203</v>
      </c>
      <c r="BBD14" s="314" t="s">
        <v>203</v>
      </c>
      <c r="BBE14" s="314" t="s">
        <v>203</v>
      </c>
      <c r="BBF14" s="314" t="s">
        <v>203</v>
      </c>
      <c r="BBG14" s="314" t="s">
        <v>203</v>
      </c>
      <c r="BBH14" s="314" t="s">
        <v>203</v>
      </c>
      <c r="BBI14" s="314" t="s">
        <v>203</v>
      </c>
      <c r="BBJ14" s="314" t="s">
        <v>203</v>
      </c>
      <c r="BBK14" s="314" t="s">
        <v>203</v>
      </c>
      <c r="BBL14" s="314" t="s">
        <v>203</v>
      </c>
      <c r="BBM14" s="314" t="s">
        <v>203</v>
      </c>
      <c r="BBN14" s="314" t="s">
        <v>203</v>
      </c>
      <c r="BBO14" s="314" t="s">
        <v>203</v>
      </c>
      <c r="BBP14" s="314" t="s">
        <v>203</v>
      </c>
      <c r="BBQ14" s="314" t="s">
        <v>203</v>
      </c>
      <c r="BBR14" s="314" t="s">
        <v>203</v>
      </c>
      <c r="BBS14" s="314" t="s">
        <v>203</v>
      </c>
      <c r="BBT14" s="314" t="s">
        <v>203</v>
      </c>
      <c r="BBU14" s="314" t="s">
        <v>203</v>
      </c>
      <c r="BBV14" s="314" t="s">
        <v>203</v>
      </c>
      <c r="BBW14" s="314" t="s">
        <v>203</v>
      </c>
      <c r="BBX14" s="314" t="s">
        <v>203</v>
      </c>
      <c r="BBY14" s="314" t="s">
        <v>203</v>
      </c>
      <c r="BBZ14" s="314" t="s">
        <v>203</v>
      </c>
      <c r="BCA14" s="314" t="s">
        <v>203</v>
      </c>
      <c r="BCB14" s="314" t="s">
        <v>203</v>
      </c>
      <c r="BCC14" s="314" t="s">
        <v>203</v>
      </c>
      <c r="BCD14" s="314" t="s">
        <v>203</v>
      </c>
      <c r="BCE14" s="314" t="s">
        <v>203</v>
      </c>
      <c r="BCF14" s="314" t="s">
        <v>203</v>
      </c>
      <c r="BCG14" s="314" t="s">
        <v>203</v>
      </c>
      <c r="BCH14" s="314" t="s">
        <v>203</v>
      </c>
      <c r="BCI14" s="314" t="s">
        <v>203</v>
      </c>
      <c r="BCJ14" s="314" t="s">
        <v>203</v>
      </c>
      <c r="BCK14" s="314" t="s">
        <v>203</v>
      </c>
      <c r="BCL14" s="314" t="s">
        <v>203</v>
      </c>
      <c r="BCM14" s="314" t="s">
        <v>203</v>
      </c>
      <c r="BCN14" s="314" t="s">
        <v>203</v>
      </c>
      <c r="BCO14" s="314" t="s">
        <v>203</v>
      </c>
      <c r="BCP14" s="314" t="s">
        <v>203</v>
      </c>
      <c r="BCQ14" s="314" t="s">
        <v>203</v>
      </c>
      <c r="BCR14" s="314" t="s">
        <v>203</v>
      </c>
      <c r="BCS14" s="314" t="s">
        <v>203</v>
      </c>
      <c r="BCT14" s="314" t="s">
        <v>203</v>
      </c>
      <c r="BCU14" s="314" t="s">
        <v>203</v>
      </c>
      <c r="BCV14" s="314" t="s">
        <v>203</v>
      </c>
      <c r="BCW14" s="314" t="s">
        <v>203</v>
      </c>
      <c r="BCX14" s="314" t="s">
        <v>203</v>
      </c>
      <c r="BCY14" s="314" t="s">
        <v>203</v>
      </c>
      <c r="BCZ14" s="314" t="s">
        <v>203</v>
      </c>
      <c r="BDA14" s="314" t="s">
        <v>203</v>
      </c>
      <c r="BDB14" s="314" t="s">
        <v>203</v>
      </c>
      <c r="BDC14" s="314" t="s">
        <v>203</v>
      </c>
      <c r="BDD14" s="314" t="s">
        <v>203</v>
      </c>
      <c r="BDE14" s="314" t="s">
        <v>203</v>
      </c>
      <c r="BDF14" s="314" t="s">
        <v>203</v>
      </c>
      <c r="BDG14" s="314" t="s">
        <v>203</v>
      </c>
      <c r="BDH14" s="314" t="s">
        <v>203</v>
      </c>
      <c r="BDI14" s="314" t="s">
        <v>203</v>
      </c>
      <c r="BDJ14" s="314" t="s">
        <v>203</v>
      </c>
      <c r="BDK14" s="314" t="s">
        <v>203</v>
      </c>
      <c r="BDL14" s="314" t="s">
        <v>203</v>
      </c>
      <c r="BDM14" s="314" t="s">
        <v>203</v>
      </c>
      <c r="BDN14" s="314" t="s">
        <v>203</v>
      </c>
      <c r="BDO14" s="314" t="s">
        <v>203</v>
      </c>
      <c r="BDP14" s="314" t="s">
        <v>203</v>
      </c>
      <c r="BDQ14" s="314" t="s">
        <v>203</v>
      </c>
      <c r="BDR14" s="314" t="s">
        <v>203</v>
      </c>
      <c r="BDS14" s="314" t="s">
        <v>203</v>
      </c>
      <c r="BDT14" s="314" t="s">
        <v>203</v>
      </c>
      <c r="BDU14" s="314" t="s">
        <v>203</v>
      </c>
      <c r="BDV14" s="314" t="s">
        <v>203</v>
      </c>
      <c r="BDW14" s="314" t="s">
        <v>203</v>
      </c>
      <c r="BDX14" s="314" t="s">
        <v>203</v>
      </c>
      <c r="BDY14" s="314" t="s">
        <v>203</v>
      </c>
      <c r="BDZ14" s="314" t="s">
        <v>203</v>
      </c>
      <c r="BEA14" s="314" t="s">
        <v>203</v>
      </c>
      <c r="BEB14" s="314" t="s">
        <v>203</v>
      </c>
      <c r="BEC14" s="314" t="s">
        <v>203</v>
      </c>
      <c r="BED14" s="314" t="s">
        <v>203</v>
      </c>
      <c r="BEE14" s="314" t="s">
        <v>203</v>
      </c>
      <c r="BEF14" s="314" t="s">
        <v>203</v>
      </c>
      <c r="BEG14" s="314" t="s">
        <v>203</v>
      </c>
      <c r="BEH14" s="314" t="s">
        <v>203</v>
      </c>
      <c r="BEI14" s="314" t="s">
        <v>203</v>
      </c>
      <c r="BEJ14" s="314" t="s">
        <v>203</v>
      </c>
      <c r="BEK14" s="314" t="s">
        <v>203</v>
      </c>
      <c r="BEL14" s="314" t="s">
        <v>203</v>
      </c>
      <c r="BEM14" s="314" t="s">
        <v>203</v>
      </c>
      <c r="BEN14" s="314" t="s">
        <v>203</v>
      </c>
      <c r="BEO14" s="314" t="s">
        <v>203</v>
      </c>
      <c r="BEP14" s="314" t="s">
        <v>203</v>
      </c>
      <c r="BEQ14" s="314" t="s">
        <v>203</v>
      </c>
      <c r="BER14" s="314" t="s">
        <v>203</v>
      </c>
      <c r="BES14" s="314" t="s">
        <v>203</v>
      </c>
      <c r="BET14" s="314" t="s">
        <v>203</v>
      </c>
      <c r="BEU14" s="314" t="s">
        <v>203</v>
      </c>
      <c r="BEV14" s="314" t="s">
        <v>203</v>
      </c>
      <c r="BEW14" s="314" t="s">
        <v>203</v>
      </c>
      <c r="BEX14" s="314" t="s">
        <v>203</v>
      </c>
      <c r="BEY14" s="314" t="s">
        <v>203</v>
      </c>
      <c r="BEZ14" s="314" t="s">
        <v>203</v>
      </c>
      <c r="BFA14" s="314" t="s">
        <v>203</v>
      </c>
      <c r="BFB14" s="314" t="s">
        <v>203</v>
      </c>
      <c r="BFC14" s="314" t="s">
        <v>203</v>
      </c>
      <c r="BFD14" s="314" t="s">
        <v>203</v>
      </c>
      <c r="BFE14" s="314" t="s">
        <v>203</v>
      </c>
      <c r="BFF14" s="314" t="s">
        <v>203</v>
      </c>
      <c r="BFG14" s="314" t="s">
        <v>203</v>
      </c>
      <c r="BFH14" s="314" t="s">
        <v>203</v>
      </c>
      <c r="BFI14" s="314" t="s">
        <v>203</v>
      </c>
      <c r="BFJ14" s="314" t="s">
        <v>203</v>
      </c>
      <c r="BFK14" s="314" t="s">
        <v>203</v>
      </c>
      <c r="BFL14" s="314" t="s">
        <v>203</v>
      </c>
      <c r="BFM14" s="314" t="s">
        <v>203</v>
      </c>
      <c r="BFN14" s="314" t="s">
        <v>203</v>
      </c>
      <c r="BFO14" s="314" t="s">
        <v>203</v>
      </c>
      <c r="BFP14" s="314" t="s">
        <v>203</v>
      </c>
      <c r="BFQ14" s="314" t="s">
        <v>203</v>
      </c>
      <c r="BFR14" s="314" t="s">
        <v>203</v>
      </c>
      <c r="BFS14" s="314" t="s">
        <v>203</v>
      </c>
      <c r="BFT14" s="314" t="s">
        <v>203</v>
      </c>
      <c r="BFU14" s="314" t="s">
        <v>203</v>
      </c>
      <c r="BFV14" s="314" t="s">
        <v>203</v>
      </c>
      <c r="BFW14" s="314" t="s">
        <v>203</v>
      </c>
      <c r="BFX14" s="314" t="s">
        <v>203</v>
      </c>
      <c r="BFY14" s="314" t="s">
        <v>203</v>
      </c>
      <c r="BFZ14" s="314" t="s">
        <v>203</v>
      </c>
      <c r="BGA14" s="314" t="s">
        <v>203</v>
      </c>
      <c r="BGB14" s="314" t="s">
        <v>203</v>
      </c>
      <c r="BGC14" s="314" t="s">
        <v>203</v>
      </c>
      <c r="BGD14" s="314" t="s">
        <v>203</v>
      </c>
      <c r="BGE14" s="314" t="s">
        <v>203</v>
      </c>
      <c r="BGF14" s="314" t="s">
        <v>203</v>
      </c>
      <c r="BGG14" s="314" t="s">
        <v>203</v>
      </c>
      <c r="BGH14" s="314" t="s">
        <v>203</v>
      </c>
      <c r="BGI14" s="314" t="s">
        <v>203</v>
      </c>
      <c r="BGJ14" s="314" t="s">
        <v>203</v>
      </c>
      <c r="BGK14" s="314" t="s">
        <v>203</v>
      </c>
      <c r="BGL14" s="314" t="s">
        <v>203</v>
      </c>
      <c r="BGM14" s="314" t="s">
        <v>203</v>
      </c>
      <c r="BGN14" s="314" t="s">
        <v>203</v>
      </c>
      <c r="BGO14" s="314" t="s">
        <v>203</v>
      </c>
      <c r="BGP14" s="314" t="s">
        <v>203</v>
      </c>
      <c r="BGQ14" s="314" t="s">
        <v>203</v>
      </c>
      <c r="BGR14" s="314" t="s">
        <v>203</v>
      </c>
      <c r="BGS14" s="314" t="s">
        <v>203</v>
      </c>
      <c r="BGT14" s="314" t="s">
        <v>203</v>
      </c>
      <c r="BGU14" s="314" t="s">
        <v>203</v>
      </c>
      <c r="BGV14" s="314" t="s">
        <v>203</v>
      </c>
      <c r="BGW14" s="314" t="s">
        <v>203</v>
      </c>
      <c r="BGX14" s="314" t="s">
        <v>203</v>
      </c>
      <c r="BGY14" s="314" t="s">
        <v>203</v>
      </c>
      <c r="BGZ14" s="314" t="s">
        <v>203</v>
      </c>
      <c r="BHA14" s="314" t="s">
        <v>203</v>
      </c>
      <c r="BHB14" s="314" t="s">
        <v>203</v>
      </c>
      <c r="BHC14" s="314" t="s">
        <v>203</v>
      </c>
      <c r="BHD14" s="314" t="s">
        <v>203</v>
      </c>
      <c r="BHE14" s="314" t="s">
        <v>203</v>
      </c>
      <c r="BHF14" s="314" t="s">
        <v>203</v>
      </c>
      <c r="BHG14" s="314" t="s">
        <v>203</v>
      </c>
      <c r="BHH14" s="314" t="s">
        <v>203</v>
      </c>
      <c r="BHI14" s="314" t="s">
        <v>203</v>
      </c>
      <c r="BHJ14" s="314" t="s">
        <v>203</v>
      </c>
      <c r="BHK14" s="314" t="s">
        <v>203</v>
      </c>
      <c r="BHL14" s="314" t="s">
        <v>203</v>
      </c>
      <c r="BHM14" s="314" t="s">
        <v>203</v>
      </c>
      <c r="BHN14" s="314" t="s">
        <v>203</v>
      </c>
      <c r="BHO14" s="314" t="s">
        <v>203</v>
      </c>
      <c r="BHP14" s="314" t="s">
        <v>203</v>
      </c>
      <c r="BHQ14" s="314" t="s">
        <v>203</v>
      </c>
      <c r="BHR14" s="314" t="s">
        <v>203</v>
      </c>
      <c r="BHS14" s="314" t="s">
        <v>203</v>
      </c>
      <c r="BHT14" s="314" t="s">
        <v>203</v>
      </c>
      <c r="BHU14" s="314" t="s">
        <v>203</v>
      </c>
      <c r="BHV14" s="314" t="s">
        <v>203</v>
      </c>
      <c r="BHW14" s="314" t="s">
        <v>203</v>
      </c>
      <c r="BHX14" s="314" t="s">
        <v>203</v>
      </c>
      <c r="BHY14" s="314" t="s">
        <v>203</v>
      </c>
      <c r="BHZ14" s="314" t="s">
        <v>203</v>
      </c>
      <c r="BIA14" s="314" t="s">
        <v>203</v>
      </c>
      <c r="BIB14" s="314" t="s">
        <v>203</v>
      </c>
      <c r="BIC14" s="314" t="s">
        <v>203</v>
      </c>
      <c r="BID14" s="314" t="s">
        <v>203</v>
      </c>
      <c r="BIE14" s="314" t="s">
        <v>203</v>
      </c>
      <c r="BIF14" s="314" t="s">
        <v>203</v>
      </c>
      <c r="BIG14" s="314" t="s">
        <v>203</v>
      </c>
      <c r="BIH14" s="314" t="s">
        <v>203</v>
      </c>
      <c r="BII14" s="314" t="s">
        <v>203</v>
      </c>
      <c r="BIJ14" s="314" t="s">
        <v>203</v>
      </c>
      <c r="BIK14" s="314" t="s">
        <v>203</v>
      </c>
      <c r="BIL14" s="314" t="s">
        <v>203</v>
      </c>
      <c r="BIM14" s="314" t="s">
        <v>203</v>
      </c>
      <c r="BIN14" s="314" t="s">
        <v>203</v>
      </c>
      <c r="BIO14" s="314" t="s">
        <v>203</v>
      </c>
      <c r="BIP14" s="314" t="s">
        <v>203</v>
      </c>
      <c r="BIQ14" s="314" t="s">
        <v>203</v>
      </c>
      <c r="BIR14" s="314" t="s">
        <v>203</v>
      </c>
      <c r="BIS14" s="314" t="s">
        <v>203</v>
      </c>
      <c r="BIT14" s="314" t="s">
        <v>203</v>
      </c>
      <c r="BIU14" s="314" t="s">
        <v>203</v>
      </c>
      <c r="BIV14" s="314" t="s">
        <v>203</v>
      </c>
      <c r="BIW14" s="314" t="s">
        <v>203</v>
      </c>
      <c r="BIX14" s="314" t="s">
        <v>203</v>
      </c>
      <c r="BIY14" s="314" t="s">
        <v>203</v>
      </c>
      <c r="BIZ14" s="314" t="s">
        <v>203</v>
      </c>
      <c r="BJA14" s="314" t="s">
        <v>203</v>
      </c>
      <c r="BJB14" s="314" t="s">
        <v>203</v>
      </c>
      <c r="BJC14" s="314" t="s">
        <v>203</v>
      </c>
      <c r="BJD14" s="314" t="s">
        <v>203</v>
      </c>
      <c r="BJE14" s="314" t="s">
        <v>203</v>
      </c>
      <c r="BJF14" s="314" t="s">
        <v>203</v>
      </c>
      <c r="BJG14" s="314" t="s">
        <v>203</v>
      </c>
      <c r="BJH14" s="314" t="s">
        <v>203</v>
      </c>
      <c r="BJI14" s="314" t="s">
        <v>203</v>
      </c>
      <c r="BJJ14" s="314" t="s">
        <v>203</v>
      </c>
      <c r="BJK14" s="314" t="s">
        <v>203</v>
      </c>
      <c r="BJL14" s="314" t="s">
        <v>203</v>
      </c>
      <c r="BJM14" s="314" t="s">
        <v>203</v>
      </c>
      <c r="BJN14" s="314" t="s">
        <v>203</v>
      </c>
      <c r="BJO14" s="314" t="s">
        <v>203</v>
      </c>
      <c r="BJP14" s="314" t="s">
        <v>203</v>
      </c>
      <c r="BJQ14" s="314" t="s">
        <v>203</v>
      </c>
      <c r="BJR14" s="314" t="s">
        <v>203</v>
      </c>
      <c r="BJS14" s="314" t="s">
        <v>203</v>
      </c>
      <c r="BJT14" s="314" t="s">
        <v>203</v>
      </c>
      <c r="BJU14" s="314" t="s">
        <v>203</v>
      </c>
      <c r="BJV14" s="314" t="s">
        <v>203</v>
      </c>
      <c r="BJW14" s="314" t="s">
        <v>203</v>
      </c>
      <c r="BJX14" s="314" t="s">
        <v>203</v>
      </c>
      <c r="BJY14" s="314" t="s">
        <v>203</v>
      </c>
      <c r="BJZ14" s="314" t="s">
        <v>203</v>
      </c>
      <c r="BKA14" s="314" t="s">
        <v>203</v>
      </c>
      <c r="BKB14" s="314" t="s">
        <v>203</v>
      </c>
      <c r="BKC14" s="314" t="s">
        <v>203</v>
      </c>
      <c r="BKD14" s="314" t="s">
        <v>203</v>
      </c>
      <c r="BKE14" s="314" t="s">
        <v>203</v>
      </c>
      <c r="BKF14" s="314" t="s">
        <v>203</v>
      </c>
      <c r="BKG14" s="314" t="s">
        <v>203</v>
      </c>
      <c r="BKH14" s="314" t="s">
        <v>203</v>
      </c>
      <c r="BKI14" s="314" t="s">
        <v>203</v>
      </c>
      <c r="BKJ14" s="314" t="s">
        <v>203</v>
      </c>
      <c r="BKK14" s="314" t="s">
        <v>203</v>
      </c>
      <c r="BKL14" s="314" t="s">
        <v>203</v>
      </c>
      <c r="BKM14" s="314" t="s">
        <v>203</v>
      </c>
      <c r="BKN14" s="314" t="s">
        <v>203</v>
      </c>
      <c r="BKO14" s="314" t="s">
        <v>203</v>
      </c>
      <c r="BKP14" s="314" t="s">
        <v>203</v>
      </c>
      <c r="BKQ14" s="314" t="s">
        <v>203</v>
      </c>
      <c r="BKR14" s="314" t="s">
        <v>203</v>
      </c>
      <c r="BKS14" s="314" t="s">
        <v>203</v>
      </c>
      <c r="BKT14" s="314" t="s">
        <v>203</v>
      </c>
      <c r="BKU14" s="314" t="s">
        <v>203</v>
      </c>
      <c r="BKV14" s="314" t="s">
        <v>203</v>
      </c>
      <c r="BKW14" s="314" t="s">
        <v>203</v>
      </c>
      <c r="BKX14" s="314" t="s">
        <v>203</v>
      </c>
      <c r="BKY14" s="314" t="s">
        <v>203</v>
      </c>
      <c r="BKZ14" s="314" t="s">
        <v>203</v>
      </c>
      <c r="BLA14" s="314" t="s">
        <v>203</v>
      </c>
      <c r="BLB14" s="314" t="s">
        <v>203</v>
      </c>
      <c r="BLC14" s="314" t="s">
        <v>203</v>
      </c>
      <c r="BLD14" s="314" t="s">
        <v>203</v>
      </c>
      <c r="BLE14" s="314" t="s">
        <v>203</v>
      </c>
      <c r="BLF14" s="314" t="s">
        <v>203</v>
      </c>
      <c r="BLG14" s="314" t="s">
        <v>203</v>
      </c>
      <c r="BLH14" s="314" t="s">
        <v>203</v>
      </c>
      <c r="BLI14" s="314" t="s">
        <v>203</v>
      </c>
      <c r="BLJ14" s="314" t="s">
        <v>203</v>
      </c>
      <c r="BLK14" s="314" t="s">
        <v>203</v>
      </c>
      <c r="BLL14" s="314" t="s">
        <v>203</v>
      </c>
      <c r="BLM14" s="314" t="s">
        <v>203</v>
      </c>
      <c r="BLN14" s="314" t="s">
        <v>203</v>
      </c>
      <c r="BLO14" s="314" t="s">
        <v>203</v>
      </c>
      <c r="BLP14" s="314" t="s">
        <v>203</v>
      </c>
      <c r="BLQ14" s="314" t="s">
        <v>203</v>
      </c>
      <c r="BLR14" s="314" t="s">
        <v>203</v>
      </c>
      <c r="BLS14" s="314" t="s">
        <v>203</v>
      </c>
      <c r="BLT14" s="314" t="s">
        <v>203</v>
      </c>
      <c r="BLU14" s="314" t="s">
        <v>203</v>
      </c>
      <c r="BLV14" s="314" t="s">
        <v>203</v>
      </c>
      <c r="BLW14" s="314" t="s">
        <v>203</v>
      </c>
      <c r="BLX14" s="314" t="s">
        <v>203</v>
      </c>
      <c r="BLY14" s="314" t="s">
        <v>203</v>
      </c>
      <c r="BLZ14" s="314" t="s">
        <v>203</v>
      </c>
      <c r="BMA14" s="314" t="s">
        <v>203</v>
      </c>
      <c r="BMB14" s="314" t="s">
        <v>203</v>
      </c>
      <c r="BMC14" s="314" t="s">
        <v>203</v>
      </c>
      <c r="BMD14" s="314" t="s">
        <v>203</v>
      </c>
      <c r="BME14" s="314" t="s">
        <v>203</v>
      </c>
      <c r="BMF14" s="314" t="s">
        <v>203</v>
      </c>
      <c r="BMG14" s="314" t="s">
        <v>203</v>
      </c>
      <c r="BMH14" s="314" t="s">
        <v>203</v>
      </c>
      <c r="BMI14" s="314" t="s">
        <v>203</v>
      </c>
      <c r="BMJ14" s="314" t="s">
        <v>203</v>
      </c>
      <c r="BMK14" s="314" t="s">
        <v>203</v>
      </c>
      <c r="BML14" s="314" t="s">
        <v>203</v>
      </c>
      <c r="BMM14" s="314" t="s">
        <v>203</v>
      </c>
      <c r="BMN14" s="314" t="s">
        <v>203</v>
      </c>
      <c r="BMO14" s="314" t="s">
        <v>203</v>
      </c>
      <c r="BMP14" s="314" t="s">
        <v>203</v>
      </c>
      <c r="BMQ14" s="314" t="s">
        <v>203</v>
      </c>
      <c r="BMR14" s="314" t="s">
        <v>203</v>
      </c>
      <c r="BMS14" s="314" t="s">
        <v>203</v>
      </c>
      <c r="BMT14" s="314" t="s">
        <v>203</v>
      </c>
      <c r="BMU14" s="314" t="s">
        <v>203</v>
      </c>
      <c r="BMV14" s="314" t="s">
        <v>203</v>
      </c>
      <c r="BMW14" s="314" t="s">
        <v>203</v>
      </c>
      <c r="BMX14" s="314" t="s">
        <v>203</v>
      </c>
      <c r="BMY14" s="314" t="s">
        <v>203</v>
      </c>
      <c r="BMZ14" s="314" t="s">
        <v>203</v>
      </c>
      <c r="BNA14" s="314" t="s">
        <v>203</v>
      </c>
      <c r="BNB14" s="314" t="s">
        <v>203</v>
      </c>
      <c r="BNC14" s="314" t="s">
        <v>203</v>
      </c>
      <c r="BND14" s="314" t="s">
        <v>203</v>
      </c>
      <c r="BNE14" s="314" t="s">
        <v>203</v>
      </c>
      <c r="BNF14" s="314" t="s">
        <v>203</v>
      </c>
      <c r="BNG14" s="314" t="s">
        <v>203</v>
      </c>
      <c r="BNH14" s="314" t="s">
        <v>203</v>
      </c>
      <c r="BNI14" s="314" t="s">
        <v>203</v>
      </c>
      <c r="BNJ14" s="314" t="s">
        <v>203</v>
      </c>
      <c r="BNK14" s="314" t="s">
        <v>203</v>
      </c>
      <c r="BNL14" s="314" t="s">
        <v>203</v>
      </c>
      <c r="BNM14" s="314" t="s">
        <v>203</v>
      </c>
      <c r="BNN14" s="314" t="s">
        <v>203</v>
      </c>
      <c r="BNO14" s="314" t="s">
        <v>203</v>
      </c>
      <c r="BNP14" s="314" t="s">
        <v>203</v>
      </c>
      <c r="BNQ14" s="314" t="s">
        <v>203</v>
      </c>
      <c r="BNR14" s="314" t="s">
        <v>203</v>
      </c>
      <c r="BNS14" s="314" t="s">
        <v>203</v>
      </c>
      <c r="BNT14" s="314" t="s">
        <v>203</v>
      </c>
      <c r="BNU14" s="314" t="s">
        <v>203</v>
      </c>
      <c r="BNV14" s="314" t="s">
        <v>203</v>
      </c>
      <c r="BNW14" s="314" t="s">
        <v>203</v>
      </c>
      <c r="BNX14" s="314" t="s">
        <v>203</v>
      </c>
      <c r="BNY14" s="314" t="s">
        <v>203</v>
      </c>
      <c r="BNZ14" s="314" t="s">
        <v>203</v>
      </c>
      <c r="BOA14" s="314" t="s">
        <v>203</v>
      </c>
      <c r="BOB14" s="314" t="s">
        <v>203</v>
      </c>
      <c r="BOC14" s="314" t="s">
        <v>203</v>
      </c>
      <c r="BOD14" s="314" t="s">
        <v>203</v>
      </c>
      <c r="BOE14" s="314" t="s">
        <v>203</v>
      </c>
      <c r="BOF14" s="314" t="s">
        <v>203</v>
      </c>
      <c r="BOG14" s="314" t="s">
        <v>203</v>
      </c>
      <c r="BOH14" s="314" t="s">
        <v>203</v>
      </c>
      <c r="BOI14" s="314" t="s">
        <v>203</v>
      </c>
      <c r="BOJ14" s="314" t="s">
        <v>203</v>
      </c>
      <c r="BOK14" s="314" t="s">
        <v>203</v>
      </c>
      <c r="BOL14" s="314" t="s">
        <v>203</v>
      </c>
      <c r="BOM14" s="314" t="s">
        <v>203</v>
      </c>
      <c r="BON14" s="314" t="s">
        <v>203</v>
      </c>
      <c r="BOO14" s="314" t="s">
        <v>203</v>
      </c>
      <c r="BOP14" s="314" t="s">
        <v>203</v>
      </c>
      <c r="BOQ14" s="314" t="s">
        <v>203</v>
      </c>
      <c r="BOR14" s="314" t="s">
        <v>203</v>
      </c>
      <c r="BOS14" s="314" t="s">
        <v>203</v>
      </c>
      <c r="BOT14" s="314" t="s">
        <v>203</v>
      </c>
      <c r="BOU14" s="314" t="s">
        <v>203</v>
      </c>
      <c r="BOV14" s="314" t="s">
        <v>203</v>
      </c>
      <c r="BOW14" s="314" t="s">
        <v>203</v>
      </c>
      <c r="BOX14" s="314" t="s">
        <v>203</v>
      </c>
      <c r="BOY14" s="314" t="s">
        <v>203</v>
      </c>
      <c r="BOZ14" s="314" t="s">
        <v>203</v>
      </c>
      <c r="BPA14" s="314" t="s">
        <v>203</v>
      </c>
      <c r="BPB14" s="314" t="s">
        <v>203</v>
      </c>
      <c r="BPC14" s="314" t="s">
        <v>203</v>
      </c>
      <c r="BPD14" s="314" t="s">
        <v>203</v>
      </c>
      <c r="BPE14" s="314" t="s">
        <v>203</v>
      </c>
      <c r="BPF14" s="314" t="s">
        <v>203</v>
      </c>
      <c r="BPG14" s="314" t="s">
        <v>203</v>
      </c>
      <c r="BPH14" s="314" t="s">
        <v>203</v>
      </c>
      <c r="BPI14" s="314" t="s">
        <v>203</v>
      </c>
      <c r="BPJ14" s="314" t="s">
        <v>203</v>
      </c>
      <c r="BPK14" s="314" t="s">
        <v>203</v>
      </c>
      <c r="BPL14" s="314" t="s">
        <v>203</v>
      </c>
      <c r="BPM14" s="314" t="s">
        <v>203</v>
      </c>
      <c r="BPN14" s="314" t="s">
        <v>203</v>
      </c>
      <c r="BPO14" s="314" t="s">
        <v>203</v>
      </c>
      <c r="BPP14" s="314" t="s">
        <v>203</v>
      </c>
      <c r="BPQ14" s="314" t="s">
        <v>203</v>
      </c>
      <c r="BPR14" s="314" t="s">
        <v>203</v>
      </c>
      <c r="BPS14" s="314" t="s">
        <v>203</v>
      </c>
      <c r="BPT14" s="314" t="s">
        <v>203</v>
      </c>
      <c r="BPU14" s="314" t="s">
        <v>203</v>
      </c>
      <c r="BPV14" s="314" t="s">
        <v>203</v>
      </c>
      <c r="BPW14" s="314" t="s">
        <v>203</v>
      </c>
      <c r="BPX14" s="314" t="s">
        <v>203</v>
      </c>
      <c r="BPY14" s="314" t="s">
        <v>203</v>
      </c>
      <c r="BPZ14" s="314" t="s">
        <v>203</v>
      </c>
      <c r="BQA14" s="314" t="s">
        <v>203</v>
      </c>
      <c r="BQB14" s="314" t="s">
        <v>203</v>
      </c>
      <c r="BQC14" s="314" t="s">
        <v>203</v>
      </c>
      <c r="BQD14" s="314" t="s">
        <v>203</v>
      </c>
      <c r="BQE14" s="314" t="s">
        <v>203</v>
      </c>
      <c r="BQF14" s="314" t="s">
        <v>203</v>
      </c>
      <c r="BQG14" s="314" t="s">
        <v>203</v>
      </c>
      <c r="BQH14" s="314" t="s">
        <v>203</v>
      </c>
      <c r="BQI14" s="314" t="s">
        <v>203</v>
      </c>
      <c r="BQJ14" s="314" t="s">
        <v>203</v>
      </c>
      <c r="BQK14" s="314" t="s">
        <v>203</v>
      </c>
      <c r="BQL14" s="314" t="s">
        <v>203</v>
      </c>
      <c r="BQM14" s="314" t="s">
        <v>203</v>
      </c>
      <c r="BQN14" s="314" t="s">
        <v>203</v>
      </c>
      <c r="BQO14" s="314" t="s">
        <v>203</v>
      </c>
      <c r="BQP14" s="314" t="s">
        <v>203</v>
      </c>
      <c r="BQQ14" s="314" t="s">
        <v>203</v>
      </c>
      <c r="BQR14" s="314" t="s">
        <v>203</v>
      </c>
      <c r="BQS14" s="314" t="s">
        <v>203</v>
      </c>
      <c r="BQT14" s="314" t="s">
        <v>203</v>
      </c>
      <c r="BQU14" s="314" t="s">
        <v>203</v>
      </c>
      <c r="BQV14" s="314" t="s">
        <v>203</v>
      </c>
      <c r="BQW14" s="314" t="s">
        <v>203</v>
      </c>
      <c r="BQX14" s="314" t="s">
        <v>203</v>
      </c>
      <c r="BQY14" s="314" t="s">
        <v>203</v>
      </c>
      <c r="BQZ14" s="314" t="s">
        <v>203</v>
      </c>
      <c r="BRA14" s="314" t="s">
        <v>203</v>
      </c>
      <c r="BRB14" s="314" t="s">
        <v>203</v>
      </c>
      <c r="BRC14" s="314" t="s">
        <v>203</v>
      </c>
      <c r="BRD14" s="314" t="s">
        <v>203</v>
      </c>
      <c r="BRE14" s="314" t="s">
        <v>203</v>
      </c>
      <c r="BRF14" s="314" t="s">
        <v>203</v>
      </c>
      <c r="BRG14" s="314" t="s">
        <v>203</v>
      </c>
      <c r="BRH14" s="314" t="s">
        <v>203</v>
      </c>
      <c r="BRI14" s="314" t="s">
        <v>203</v>
      </c>
      <c r="BRJ14" s="314" t="s">
        <v>203</v>
      </c>
      <c r="BRK14" s="314" t="s">
        <v>203</v>
      </c>
      <c r="BRL14" s="314" t="s">
        <v>203</v>
      </c>
      <c r="BRM14" s="314" t="s">
        <v>203</v>
      </c>
      <c r="BRN14" s="314" t="s">
        <v>203</v>
      </c>
      <c r="BRO14" s="314" t="s">
        <v>203</v>
      </c>
      <c r="BRP14" s="314" t="s">
        <v>203</v>
      </c>
      <c r="BRQ14" s="314" t="s">
        <v>203</v>
      </c>
      <c r="BRR14" s="314" t="s">
        <v>203</v>
      </c>
      <c r="BRS14" s="314" t="s">
        <v>203</v>
      </c>
      <c r="BRT14" s="314" t="s">
        <v>203</v>
      </c>
      <c r="BRU14" s="314" t="s">
        <v>203</v>
      </c>
      <c r="BRV14" s="314" t="s">
        <v>203</v>
      </c>
      <c r="BRW14" s="314" t="s">
        <v>203</v>
      </c>
      <c r="BRX14" s="314" t="s">
        <v>203</v>
      </c>
      <c r="BRY14" s="314" t="s">
        <v>203</v>
      </c>
      <c r="BRZ14" s="314" t="s">
        <v>203</v>
      </c>
      <c r="BSA14" s="314" t="s">
        <v>203</v>
      </c>
      <c r="BSB14" s="314" t="s">
        <v>203</v>
      </c>
      <c r="BSC14" s="314" t="s">
        <v>203</v>
      </c>
      <c r="BSD14" s="314" t="s">
        <v>203</v>
      </c>
      <c r="BSE14" s="314" t="s">
        <v>203</v>
      </c>
      <c r="BSF14" s="314" t="s">
        <v>203</v>
      </c>
      <c r="BSG14" s="314" t="s">
        <v>203</v>
      </c>
      <c r="BSH14" s="314" t="s">
        <v>203</v>
      </c>
      <c r="BSI14" s="314" t="s">
        <v>203</v>
      </c>
      <c r="BSJ14" s="314" t="s">
        <v>203</v>
      </c>
      <c r="BSK14" s="314" t="s">
        <v>203</v>
      </c>
      <c r="BSL14" s="314" t="s">
        <v>203</v>
      </c>
      <c r="BSM14" s="314" t="s">
        <v>203</v>
      </c>
      <c r="BSN14" s="314" t="s">
        <v>203</v>
      </c>
      <c r="BSO14" s="314" t="s">
        <v>203</v>
      </c>
      <c r="BSP14" s="314" t="s">
        <v>203</v>
      </c>
      <c r="BSQ14" s="314" t="s">
        <v>203</v>
      </c>
      <c r="BSR14" s="314" t="s">
        <v>203</v>
      </c>
      <c r="BSS14" s="314" t="s">
        <v>203</v>
      </c>
      <c r="BST14" s="314" t="s">
        <v>203</v>
      </c>
      <c r="BSU14" s="314" t="s">
        <v>203</v>
      </c>
      <c r="BSV14" s="314" t="s">
        <v>203</v>
      </c>
      <c r="BSW14" s="314" t="s">
        <v>203</v>
      </c>
      <c r="BSX14" s="314" t="s">
        <v>203</v>
      </c>
      <c r="BSY14" s="314" t="s">
        <v>203</v>
      </c>
      <c r="BSZ14" s="314" t="s">
        <v>203</v>
      </c>
      <c r="BTA14" s="314" t="s">
        <v>203</v>
      </c>
      <c r="BTB14" s="314" t="s">
        <v>203</v>
      </c>
      <c r="BTC14" s="314" t="s">
        <v>203</v>
      </c>
      <c r="BTD14" s="314" t="s">
        <v>203</v>
      </c>
      <c r="BTE14" s="314" t="s">
        <v>203</v>
      </c>
      <c r="BTF14" s="314" t="s">
        <v>203</v>
      </c>
      <c r="BTG14" s="314" t="s">
        <v>203</v>
      </c>
      <c r="BTH14" s="314" t="s">
        <v>203</v>
      </c>
      <c r="BTI14" s="314" t="s">
        <v>203</v>
      </c>
      <c r="BTJ14" s="314" t="s">
        <v>203</v>
      </c>
      <c r="BTK14" s="314" t="s">
        <v>203</v>
      </c>
      <c r="BTL14" s="314" t="s">
        <v>203</v>
      </c>
      <c r="BTM14" s="314" t="s">
        <v>203</v>
      </c>
      <c r="BTN14" s="314" t="s">
        <v>203</v>
      </c>
      <c r="BTO14" s="314" t="s">
        <v>203</v>
      </c>
      <c r="BTP14" s="314" t="s">
        <v>203</v>
      </c>
      <c r="BTQ14" s="314" t="s">
        <v>203</v>
      </c>
      <c r="BTR14" s="314" t="s">
        <v>203</v>
      </c>
      <c r="BTS14" s="314" t="s">
        <v>203</v>
      </c>
      <c r="BTT14" s="314" t="s">
        <v>203</v>
      </c>
      <c r="BTU14" s="314" t="s">
        <v>203</v>
      </c>
      <c r="BTV14" s="314" t="s">
        <v>203</v>
      </c>
      <c r="BTW14" s="314" t="s">
        <v>203</v>
      </c>
      <c r="BTX14" s="314" t="s">
        <v>203</v>
      </c>
      <c r="BTY14" s="314" t="s">
        <v>203</v>
      </c>
      <c r="BTZ14" s="314" t="s">
        <v>203</v>
      </c>
      <c r="BUA14" s="314" t="s">
        <v>203</v>
      </c>
      <c r="BUB14" s="314" t="s">
        <v>203</v>
      </c>
      <c r="BUC14" s="314" t="s">
        <v>203</v>
      </c>
      <c r="BUD14" s="314" t="s">
        <v>203</v>
      </c>
      <c r="BUE14" s="314" t="s">
        <v>203</v>
      </c>
      <c r="BUF14" s="314" t="s">
        <v>203</v>
      </c>
      <c r="BUG14" s="314" t="s">
        <v>203</v>
      </c>
      <c r="BUH14" s="314" t="s">
        <v>203</v>
      </c>
      <c r="BUI14" s="314" t="s">
        <v>203</v>
      </c>
      <c r="BUJ14" s="314" t="s">
        <v>203</v>
      </c>
      <c r="BUK14" s="314" t="s">
        <v>203</v>
      </c>
      <c r="BUL14" s="314" t="s">
        <v>203</v>
      </c>
      <c r="BUM14" s="314" t="s">
        <v>203</v>
      </c>
      <c r="BUN14" s="314" t="s">
        <v>203</v>
      </c>
      <c r="BUO14" s="314" t="s">
        <v>203</v>
      </c>
      <c r="BUP14" s="314" t="s">
        <v>203</v>
      </c>
      <c r="BUQ14" s="314" t="s">
        <v>203</v>
      </c>
      <c r="BUR14" s="314" t="s">
        <v>203</v>
      </c>
      <c r="BUS14" s="314" t="s">
        <v>203</v>
      </c>
      <c r="BUT14" s="314" t="s">
        <v>203</v>
      </c>
      <c r="BUU14" s="314" t="s">
        <v>203</v>
      </c>
      <c r="BUV14" s="314" t="s">
        <v>203</v>
      </c>
      <c r="BUW14" s="314" t="s">
        <v>203</v>
      </c>
      <c r="BUX14" s="314" t="s">
        <v>203</v>
      </c>
      <c r="BUY14" s="314" t="s">
        <v>203</v>
      </c>
      <c r="BUZ14" s="314" t="s">
        <v>203</v>
      </c>
      <c r="BVA14" s="314" t="s">
        <v>203</v>
      </c>
      <c r="BVB14" s="314" t="s">
        <v>203</v>
      </c>
      <c r="BVC14" s="314" t="s">
        <v>203</v>
      </c>
      <c r="BVD14" s="314" t="s">
        <v>203</v>
      </c>
      <c r="BVE14" s="314" t="s">
        <v>203</v>
      </c>
      <c r="BVF14" s="314" t="s">
        <v>203</v>
      </c>
      <c r="BVG14" s="314" t="s">
        <v>203</v>
      </c>
      <c r="BVH14" s="314" t="s">
        <v>203</v>
      </c>
      <c r="BVI14" s="314" t="s">
        <v>203</v>
      </c>
      <c r="BVJ14" s="314" t="s">
        <v>203</v>
      </c>
      <c r="BVK14" s="314" t="s">
        <v>203</v>
      </c>
      <c r="BVL14" s="314" t="s">
        <v>203</v>
      </c>
      <c r="BVM14" s="314" t="s">
        <v>203</v>
      </c>
      <c r="BVN14" s="314" t="s">
        <v>203</v>
      </c>
      <c r="BVO14" s="314" t="s">
        <v>203</v>
      </c>
      <c r="BVP14" s="314" t="s">
        <v>203</v>
      </c>
      <c r="BVQ14" s="314" t="s">
        <v>203</v>
      </c>
      <c r="BVR14" s="314" t="s">
        <v>203</v>
      </c>
      <c r="BVS14" s="314" t="s">
        <v>203</v>
      </c>
      <c r="BVT14" s="314" t="s">
        <v>203</v>
      </c>
      <c r="BVU14" s="314" t="s">
        <v>203</v>
      </c>
      <c r="BVV14" s="314" t="s">
        <v>203</v>
      </c>
      <c r="BVW14" s="314" t="s">
        <v>203</v>
      </c>
      <c r="BVX14" s="314" t="s">
        <v>203</v>
      </c>
      <c r="BVY14" s="314" t="s">
        <v>203</v>
      </c>
      <c r="BVZ14" s="314" t="s">
        <v>203</v>
      </c>
      <c r="BWA14" s="314" t="s">
        <v>203</v>
      </c>
      <c r="BWB14" s="314" t="s">
        <v>203</v>
      </c>
      <c r="BWC14" s="314" t="s">
        <v>203</v>
      </c>
      <c r="BWD14" s="314" t="s">
        <v>203</v>
      </c>
      <c r="BWE14" s="314" t="s">
        <v>203</v>
      </c>
      <c r="BWF14" s="314" t="s">
        <v>203</v>
      </c>
      <c r="BWG14" s="314" t="s">
        <v>203</v>
      </c>
      <c r="BWH14" s="314" t="s">
        <v>203</v>
      </c>
      <c r="BWI14" s="314" t="s">
        <v>203</v>
      </c>
      <c r="BWJ14" s="314" t="s">
        <v>203</v>
      </c>
      <c r="BWK14" s="314" t="s">
        <v>203</v>
      </c>
      <c r="BWL14" s="314" t="s">
        <v>203</v>
      </c>
      <c r="BWM14" s="314" t="s">
        <v>203</v>
      </c>
      <c r="BWN14" s="314" t="s">
        <v>203</v>
      </c>
      <c r="BWO14" s="314" t="s">
        <v>203</v>
      </c>
      <c r="BWP14" s="314" t="s">
        <v>203</v>
      </c>
      <c r="BWQ14" s="314" t="s">
        <v>203</v>
      </c>
      <c r="BWR14" s="314" t="s">
        <v>203</v>
      </c>
      <c r="BWS14" s="314" t="s">
        <v>203</v>
      </c>
      <c r="BWT14" s="314" t="s">
        <v>203</v>
      </c>
      <c r="BWU14" s="314" t="s">
        <v>203</v>
      </c>
      <c r="BWV14" s="314" t="s">
        <v>203</v>
      </c>
      <c r="BWW14" s="314" t="s">
        <v>203</v>
      </c>
      <c r="BWX14" s="314" t="s">
        <v>203</v>
      </c>
      <c r="BWY14" s="314" t="s">
        <v>203</v>
      </c>
      <c r="BWZ14" s="314" t="s">
        <v>203</v>
      </c>
      <c r="BXA14" s="314" t="s">
        <v>203</v>
      </c>
      <c r="BXB14" s="314" t="s">
        <v>203</v>
      </c>
      <c r="BXC14" s="314" t="s">
        <v>203</v>
      </c>
      <c r="BXD14" s="314" t="s">
        <v>203</v>
      </c>
      <c r="BXE14" s="314" t="s">
        <v>203</v>
      </c>
      <c r="BXF14" s="314" t="s">
        <v>203</v>
      </c>
      <c r="BXG14" s="314" t="s">
        <v>203</v>
      </c>
      <c r="BXH14" s="314" t="s">
        <v>203</v>
      </c>
      <c r="BXI14" s="314" t="s">
        <v>203</v>
      </c>
      <c r="BXJ14" s="314" t="s">
        <v>203</v>
      </c>
      <c r="BXK14" s="314" t="s">
        <v>203</v>
      </c>
      <c r="BXL14" s="314" t="s">
        <v>203</v>
      </c>
      <c r="BXM14" s="314" t="s">
        <v>203</v>
      </c>
      <c r="BXN14" s="314" t="s">
        <v>203</v>
      </c>
      <c r="BXO14" s="314" t="s">
        <v>203</v>
      </c>
      <c r="BXP14" s="314" t="s">
        <v>203</v>
      </c>
      <c r="BXQ14" s="314" t="s">
        <v>203</v>
      </c>
      <c r="BXR14" s="314" t="s">
        <v>203</v>
      </c>
      <c r="BXS14" s="314" t="s">
        <v>203</v>
      </c>
      <c r="BXT14" s="314" t="s">
        <v>203</v>
      </c>
      <c r="BXU14" s="314" t="s">
        <v>203</v>
      </c>
      <c r="BXV14" s="314" t="s">
        <v>203</v>
      </c>
      <c r="BXW14" s="314" t="s">
        <v>203</v>
      </c>
      <c r="BXX14" s="314" t="s">
        <v>203</v>
      </c>
      <c r="BXY14" s="314" t="s">
        <v>203</v>
      </c>
      <c r="BXZ14" s="314" t="s">
        <v>203</v>
      </c>
      <c r="BYA14" s="314" t="s">
        <v>203</v>
      </c>
      <c r="BYB14" s="314" t="s">
        <v>203</v>
      </c>
      <c r="BYC14" s="314" t="s">
        <v>203</v>
      </c>
      <c r="BYD14" s="314" t="s">
        <v>203</v>
      </c>
      <c r="BYE14" s="314" t="s">
        <v>203</v>
      </c>
      <c r="BYF14" s="314" t="s">
        <v>203</v>
      </c>
      <c r="BYG14" s="314" t="s">
        <v>203</v>
      </c>
      <c r="BYH14" s="314" t="s">
        <v>203</v>
      </c>
      <c r="BYI14" s="314" t="s">
        <v>203</v>
      </c>
      <c r="BYJ14" s="314" t="s">
        <v>203</v>
      </c>
      <c r="BYK14" s="314" t="s">
        <v>203</v>
      </c>
      <c r="BYL14" s="314" t="s">
        <v>203</v>
      </c>
      <c r="BYM14" s="314" t="s">
        <v>203</v>
      </c>
      <c r="BYN14" s="314" t="s">
        <v>203</v>
      </c>
      <c r="BYO14" s="314" t="s">
        <v>203</v>
      </c>
      <c r="BYP14" s="314" t="s">
        <v>203</v>
      </c>
      <c r="BYQ14" s="314" t="s">
        <v>203</v>
      </c>
      <c r="BYR14" s="314" t="s">
        <v>203</v>
      </c>
      <c r="BYS14" s="314" t="s">
        <v>203</v>
      </c>
      <c r="BYT14" s="314" t="s">
        <v>203</v>
      </c>
      <c r="BYU14" s="314" t="s">
        <v>203</v>
      </c>
      <c r="BYV14" s="314" t="s">
        <v>203</v>
      </c>
      <c r="BYW14" s="314" t="s">
        <v>203</v>
      </c>
      <c r="BYX14" s="314" t="s">
        <v>203</v>
      </c>
      <c r="BYY14" s="314" t="s">
        <v>203</v>
      </c>
      <c r="BYZ14" s="314" t="s">
        <v>203</v>
      </c>
      <c r="BZA14" s="314" t="s">
        <v>203</v>
      </c>
      <c r="BZB14" s="314" t="s">
        <v>203</v>
      </c>
      <c r="BZC14" s="314" t="s">
        <v>203</v>
      </c>
      <c r="BZD14" s="314" t="s">
        <v>203</v>
      </c>
      <c r="BZE14" s="314" t="s">
        <v>203</v>
      </c>
      <c r="BZF14" s="314" t="s">
        <v>203</v>
      </c>
      <c r="BZG14" s="314" t="s">
        <v>203</v>
      </c>
      <c r="BZH14" s="314" t="s">
        <v>203</v>
      </c>
      <c r="BZI14" s="314" t="s">
        <v>203</v>
      </c>
      <c r="BZJ14" s="314" t="s">
        <v>203</v>
      </c>
      <c r="BZK14" s="314" t="s">
        <v>203</v>
      </c>
      <c r="BZL14" s="314" t="s">
        <v>203</v>
      </c>
      <c r="BZM14" s="314" t="s">
        <v>203</v>
      </c>
      <c r="BZN14" s="314" t="s">
        <v>203</v>
      </c>
      <c r="BZO14" s="314" t="s">
        <v>203</v>
      </c>
      <c r="BZP14" s="314" t="s">
        <v>203</v>
      </c>
      <c r="BZQ14" s="314" t="s">
        <v>203</v>
      </c>
      <c r="BZR14" s="314" t="s">
        <v>203</v>
      </c>
      <c r="BZS14" s="314" t="s">
        <v>203</v>
      </c>
      <c r="BZT14" s="314" t="s">
        <v>203</v>
      </c>
      <c r="BZU14" s="314" t="s">
        <v>203</v>
      </c>
      <c r="BZV14" s="314" t="s">
        <v>203</v>
      </c>
      <c r="BZW14" s="314" t="s">
        <v>203</v>
      </c>
      <c r="BZX14" s="314" t="s">
        <v>203</v>
      </c>
      <c r="BZY14" s="314" t="s">
        <v>203</v>
      </c>
      <c r="BZZ14" s="314" t="s">
        <v>203</v>
      </c>
      <c r="CAA14" s="314" t="s">
        <v>203</v>
      </c>
      <c r="CAB14" s="314" t="s">
        <v>203</v>
      </c>
      <c r="CAC14" s="314" t="s">
        <v>203</v>
      </c>
      <c r="CAD14" s="314" t="s">
        <v>203</v>
      </c>
      <c r="CAE14" s="314" t="s">
        <v>203</v>
      </c>
      <c r="CAF14" s="314" t="s">
        <v>203</v>
      </c>
      <c r="CAG14" s="314" t="s">
        <v>203</v>
      </c>
      <c r="CAH14" s="314" t="s">
        <v>203</v>
      </c>
      <c r="CAI14" s="314" t="s">
        <v>203</v>
      </c>
      <c r="CAJ14" s="314" t="s">
        <v>203</v>
      </c>
      <c r="CAK14" s="314" t="s">
        <v>203</v>
      </c>
      <c r="CAL14" s="314" t="s">
        <v>203</v>
      </c>
      <c r="CAM14" s="314" t="s">
        <v>203</v>
      </c>
      <c r="CAN14" s="314" t="s">
        <v>203</v>
      </c>
      <c r="CAO14" s="314" t="s">
        <v>203</v>
      </c>
      <c r="CAP14" s="314" t="s">
        <v>203</v>
      </c>
      <c r="CAQ14" s="314" t="s">
        <v>203</v>
      </c>
      <c r="CAR14" s="314" t="s">
        <v>203</v>
      </c>
      <c r="CAS14" s="314" t="s">
        <v>203</v>
      </c>
      <c r="CAT14" s="314" t="s">
        <v>203</v>
      </c>
      <c r="CAU14" s="314" t="s">
        <v>203</v>
      </c>
      <c r="CAV14" s="314" t="s">
        <v>203</v>
      </c>
      <c r="CAW14" s="314" t="s">
        <v>203</v>
      </c>
      <c r="CAX14" s="314" t="s">
        <v>203</v>
      </c>
      <c r="CAY14" s="314" t="s">
        <v>203</v>
      </c>
      <c r="CAZ14" s="314" t="s">
        <v>203</v>
      </c>
      <c r="CBA14" s="314" t="s">
        <v>203</v>
      </c>
      <c r="CBB14" s="314" t="s">
        <v>203</v>
      </c>
      <c r="CBC14" s="314" t="s">
        <v>203</v>
      </c>
      <c r="CBD14" s="314" t="s">
        <v>203</v>
      </c>
      <c r="CBE14" s="314" t="s">
        <v>203</v>
      </c>
      <c r="CBF14" s="314" t="s">
        <v>203</v>
      </c>
      <c r="CBG14" s="314" t="s">
        <v>203</v>
      </c>
      <c r="CBH14" s="314" t="s">
        <v>203</v>
      </c>
      <c r="CBI14" s="314" t="s">
        <v>203</v>
      </c>
      <c r="CBJ14" s="314" t="s">
        <v>203</v>
      </c>
      <c r="CBK14" s="314" t="s">
        <v>203</v>
      </c>
      <c r="CBL14" s="314" t="s">
        <v>203</v>
      </c>
      <c r="CBM14" s="314" t="s">
        <v>203</v>
      </c>
      <c r="CBN14" s="314" t="s">
        <v>203</v>
      </c>
      <c r="CBO14" s="314" t="s">
        <v>203</v>
      </c>
      <c r="CBP14" s="314" t="s">
        <v>203</v>
      </c>
      <c r="CBQ14" s="314" t="s">
        <v>203</v>
      </c>
      <c r="CBR14" s="314" t="s">
        <v>203</v>
      </c>
      <c r="CBS14" s="314" t="s">
        <v>203</v>
      </c>
      <c r="CBT14" s="314" t="s">
        <v>203</v>
      </c>
      <c r="CBU14" s="314" t="s">
        <v>203</v>
      </c>
      <c r="CBV14" s="314" t="s">
        <v>203</v>
      </c>
      <c r="CBW14" s="314" t="s">
        <v>203</v>
      </c>
      <c r="CBX14" s="314" t="s">
        <v>203</v>
      </c>
      <c r="CBY14" s="314" t="s">
        <v>203</v>
      </c>
      <c r="CBZ14" s="314" t="s">
        <v>203</v>
      </c>
      <c r="CCA14" s="314" t="s">
        <v>203</v>
      </c>
      <c r="CCB14" s="314" t="s">
        <v>203</v>
      </c>
      <c r="CCC14" s="314" t="s">
        <v>203</v>
      </c>
      <c r="CCD14" s="314" t="s">
        <v>203</v>
      </c>
      <c r="CCE14" s="314" t="s">
        <v>203</v>
      </c>
      <c r="CCF14" s="314" t="s">
        <v>203</v>
      </c>
      <c r="CCG14" s="314" t="s">
        <v>203</v>
      </c>
      <c r="CCH14" s="314" t="s">
        <v>203</v>
      </c>
      <c r="CCI14" s="314" t="s">
        <v>203</v>
      </c>
      <c r="CCJ14" s="314" t="s">
        <v>203</v>
      </c>
      <c r="CCK14" s="314" t="s">
        <v>203</v>
      </c>
      <c r="CCL14" s="314" t="s">
        <v>203</v>
      </c>
      <c r="CCM14" s="314" t="s">
        <v>203</v>
      </c>
      <c r="CCN14" s="314" t="s">
        <v>203</v>
      </c>
      <c r="CCO14" s="314" t="s">
        <v>203</v>
      </c>
      <c r="CCP14" s="314" t="s">
        <v>203</v>
      </c>
      <c r="CCQ14" s="314" t="s">
        <v>203</v>
      </c>
      <c r="CCR14" s="314" t="s">
        <v>203</v>
      </c>
      <c r="CCS14" s="314" t="s">
        <v>203</v>
      </c>
      <c r="CCT14" s="314" t="s">
        <v>203</v>
      </c>
      <c r="CCU14" s="314" t="s">
        <v>203</v>
      </c>
      <c r="CCV14" s="314" t="s">
        <v>203</v>
      </c>
      <c r="CCW14" s="314" t="s">
        <v>203</v>
      </c>
      <c r="CCX14" s="314" t="s">
        <v>203</v>
      </c>
      <c r="CCY14" s="314" t="s">
        <v>203</v>
      </c>
      <c r="CCZ14" s="314" t="s">
        <v>203</v>
      </c>
      <c r="CDA14" s="314" t="s">
        <v>203</v>
      </c>
      <c r="CDB14" s="314" t="s">
        <v>203</v>
      </c>
      <c r="CDC14" s="314" t="s">
        <v>203</v>
      </c>
      <c r="CDD14" s="314" t="s">
        <v>203</v>
      </c>
      <c r="CDE14" s="314" t="s">
        <v>203</v>
      </c>
      <c r="CDF14" s="314" t="s">
        <v>203</v>
      </c>
      <c r="CDG14" s="314" t="s">
        <v>203</v>
      </c>
      <c r="CDH14" s="314" t="s">
        <v>203</v>
      </c>
      <c r="CDI14" s="314" t="s">
        <v>203</v>
      </c>
      <c r="CDJ14" s="314" t="s">
        <v>203</v>
      </c>
      <c r="CDK14" s="314" t="s">
        <v>203</v>
      </c>
      <c r="CDL14" s="314" t="s">
        <v>203</v>
      </c>
      <c r="CDM14" s="314" t="s">
        <v>203</v>
      </c>
      <c r="CDN14" s="314" t="s">
        <v>203</v>
      </c>
      <c r="CDO14" s="314" t="s">
        <v>203</v>
      </c>
      <c r="CDP14" s="314" t="s">
        <v>203</v>
      </c>
      <c r="CDQ14" s="314" t="s">
        <v>203</v>
      </c>
      <c r="CDR14" s="314" t="s">
        <v>203</v>
      </c>
      <c r="CDS14" s="314" t="s">
        <v>203</v>
      </c>
      <c r="CDT14" s="314" t="s">
        <v>203</v>
      </c>
      <c r="CDU14" s="314" t="s">
        <v>203</v>
      </c>
      <c r="CDV14" s="314" t="s">
        <v>203</v>
      </c>
      <c r="CDW14" s="314" t="s">
        <v>203</v>
      </c>
      <c r="CDX14" s="314" t="s">
        <v>203</v>
      </c>
      <c r="CDY14" s="314" t="s">
        <v>203</v>
      </c>
      <c r="CDZ14" s="314" t="s">
        <v>203</v>
      </c>
      <c r="CEA14" s="314" t="s">
        <v>203</v>
      </c>
      <c r="CEB14" s="314" t="s">
        <v>203</v>
      </c>
      <c r="CEC14" s="314" t="s">
        <v>203</v>
      </c>
      <c r="CED14" s="314" t="s">
        <v>203</v>
      </c>
      <c r="CEE14" s="314" t="s">
        <v>203</v>
      </c>
      <c r="CEF14" s="314" t="s">
        <v>203</v>
      </c>
      <c r="CEG14" s="314" t="s">
        <v>203</v>
      </c>
      <c r="CEH14" s="314" t="s">
        <v>203</v>
      </c>
      <c r="CEI14" s="314" t="s">
        <v>203</v>
      </c>
      <c r="CEJ14" s="314" t="s">
        <v>203</v>
      </c>
      <c r="CEK14" s="314" t="s">
        <v>203</v>
      </c>
      <c r="CEL14" s="314" t="s">
        <v>203</v>
      </c>
      <c r="CEM14" s="314" t="s">
        <v>203</v>
      </c>
      <c r="CEN14" s="314" t="s">
        <v>203</v>
      </c>
      <c r="CEO14" s="314" t="s">
        <v>203</v>
      </c>
      <c r="CEP14" s="314" t="s">
        <v>203</v>
      </c>
      <c r="CEQ14" s="314" t="s">
        <v>203</v>
      </c>
      <c r="CER14" s="314" t="s">
        <v>203</v>
      </c>
      <c r="CES14" s="314" t="s">
        <v>203</v>
      </c>
      <c r="CET14" s="314" t="s">
        <v>203</v>
      </c>
      <c r="CEU14" s="314" t="s">
        <v>203</v>
      </c>
      <c r="CEV14" s="314" t="s">
        <v>203</v>
      </c>
      <c r="CEW14" s="314" t="s">
        <v>203</v>
      </c>
      <c r="CEX14" s="314" t="s">
        <v>203</v>
      </c>
      <c r="CEY14" s="314" t="s">
        <v>203</v>
      </c>
      <c r="CEZ14" s="314" t="s">
        <v>203</v>
      </c>
      <c r="CFA14" s="314" t="s">
        <v>203</v>
      </c>
      <c r="CFB14" s="314" t="s">
        <v>203</v>
      </c>
      <c r="CFC14" s="314" t="s">
        <v>203</v>
      </c>
      <c r="CFD14" s="314" t="s">
        <v>203</v>
      </c>
      <c r="CFE14" s="314" t="s">
        <v>203</v>
      </c>
      <c r="CFF14" s="314" t="s">
        <v>203</v>
      </c>
      <c r="CFG14" s="314" t="s">
        <v>203</v>
      </c>
      <c r="CFH14" s="314" t="s">
        <v>203</v>
      </c>
      <c r="CFI14" s="314" t="s">
        <v>203</v>
      </c>
      <c r="CFJ14" s="314" t="s">
        <v>203</v>
      </c>
      <c r="CFK14" s="314" t="s">
        <v>203</v>
      </c>
      <c r="CFL14" s="314" t="s">
        <v>203</v>
      </c>
      <c r="CFM14" s="314" t="s">
        <v>203</v>
      </c>
      <c r="CFN14" s="314" t="s">
        <v>203</v>
      </c>
      <c r="CFO14" s="314" t="s">
        <v>203</v>
      </c>
      <c r="CFP14" s="314" t="s">
        <v>203</v>
      </c>
      <c r="CFQ14" s="314" t="s">
        <v>203</v>
      </c>
      <c r="CFR14" s="314" t="s">
        <v>203</v>
      </c>
      <c r="CFS14" s="314" t="s">
        <v>203</v>
      </c>
      <c r="CFT14" s="314" t="s">
        <v>203</v>
      </c>
      <c r="CFU14" s="314" t="s">
        <v>203</v>
      </c>
      <c r="CFV14" s="314" t="s">
        <v>203</v>
      </c>
      <c r="CFW14" s="314" t="s">
        <v>203</v>
      </c>
      <c r="CFX14" s="314" t="s">
        <v>203</v>
      </c>
      <c r="CFY14" s="314" t="s">
        <v>203</v>
      </c>
      <c r="CFZ14" s="314" t="s">
        <v>203</v>
      </c>
      <c r="CGA14" s="314" t="s">
        <v>203</v>
      </c>
      <c r="CGB14" s="314" t="s">
        <v>203</v>
      </c>
      <c r="CGC14" s="314" t="s">
        <v>203</v>
      </c>
      <c r="CGD14" s="314" t="s">
        <v>203</v>
      </c>
      <c r="CGE14" s="314" t="s">
        <v>203</v>
      </c>
      <c r="CGF14" s="314" t="s">
        <v>203</v>
      </c>
      <c r="CGG14" s="314" t="s">
        <v>203</v>
      </c>
      <c r="CGH14" s="314" t="s">
        <v>203</v>
      </c>
      <c r="CGI14" s="314" t="s">
        <v>203</v>
      </c>
      <c r="CGJ14" s="314" t="s">
        <v>203</v>
      </c>
      <c r="CGK14" s="314" t="s">
        <v>203</v>
      </c>
      <c r="CGL14" s="314" t="s">
        <v>203</v>
      </c>
      <c r="CGM14" s="314" t="s">
        <v>203</v>
      </c>
      <c r="CGN14" s="314" t="s">
        <v>203</v>
      </c>
      <c r="CGO14" s="314" t="s">
        <v>203</v>
      </c>
      <c r="CGP14" s="314" t="s">
        <v>203</v>
      </c>
      <c r="CGQ14" s="314" t="s">
        <v>203</v>
      </c>
      <c r="CGR14" s="314" t="s">
        <v>203</v>
      </c>
      <c r="CGS14" s="314" t="s">
        <v>203</v>
      </c>
      <c r="CGT14" s="314" t="s">
        <v>203</v>
      </c>
      <c r="CGU14" s="314" t="s">
        <v>203</v>
      </c>
      <c r="CGV14" s="314" t="s">
        <v>203</v>
      </c>
      <c r="CGW14" s="314" t="s">
        <v>203</v>
      </c>
      <c r="CGX14" s="314" t="s">
        <v>203</v>
      </c>
      <c r="CGY14" s="314" t="s">
        <v>203</v>
      </c>
      <c r="CGZ14" s="314" t="s">
        <v>203</v>
      </c>
      <c r="CHA14" s="314" t="s">
        <v>203</v>
      </c>
      <c r="CHB14" s="314" t="s">
        <v>203</v>
      </c>
      <c r="CHC14" s="314" t="s">
        <v>203</v>
      </c>
      <c r="CHD14" s="314" t="s">
        <v>203</v>
      </c>
      <c r="CHE14" s="314" t="s">
        <v>203</v>
      </c>
      <c r="CHF14" s="314" t="s">
        <v>203</v>
      </c>
      <c r="CHG14" s="314" t="s">
        <v>203</v>
      </c>
      <c r="CHH14" s="314" t="s">
        <v>203</v>
      </c>
      <c r="CHI14" s="314" t="s">
        <v>203</v>
      </c>
      <c r="CHJ14" s="314" t="s">
        <v>203</v>
      </c>
      <c r="CHK14" s="314" t="s">
        <v>203</v>
      </c>
      <c r="CHL14" s="314" t="s">
        <v>203</v>
      </c>
      <c r="CHM14" s="314" t="s">
        <v>203</v>
      </c>
      <c r="CHN14" s="314" t="s">
        <v>203</v>
      </c>
      <c r="CHO14" s="314" t="s">
        <v>203</v>
      </c>
      <c r="CHP14" s="314" t="s">
        <v>203</v>
      </c>
      <c r="CHQ14" s="314" t="s">
        <v>203</v>
      </c>
      <c r="CHR14" s="314" t="s">
        <v>203</v>
      </c>
      <c r="CHS14" s="314" t="s">
        <v>203</v>
      </c>
      <c r="CHT14" s="314" t="s">
        <v>203</v>
      </c>
      <c r="CHU14" s="314" t="s">
        <v>203</v>
      </c>
      <c r="CHV14" s="314" t="s">
        <v>203</v>
      </c>
      <c r="CHW14" s="314" t="s">
        <v>203</v>
      </c>
      <c r="CHX14" s="314" t="s">
        <v>203</v>
      </c>
      <c r="CHY14" s="314" t="s">
        <v>203</v>
      </c>
      <c r="CHZ14" s="314" t="s">
        <v>203</v>
      </c>
      <c r="CIA14" s="314" t="s">
        <v>203</v>
      </c>
      <c r="CIB14" s="314" t="s">
        <v>203</v>
      </c>
      <c r="CIC14" s="314" t="s">
        <v>203</v>
      </c>
      <c r="CID14" s="314" t="s">
        <v>203</v>
      </c>
      <c r="CIE14" s="314" t="s">
        <v>203</v>
      </c>
      <c r="CIF14" s="314" t="s">
        <v>203</v>
      </c>
      <c r="CIG14" s="314" t="s">
        <v>203</v>
      </c>
      <c r="CIH14" s="314" t="s">
        <v>203</v>
      </c>
      <c r="CII14" s="314" t="s">
        <v>203</v>
      </c>
      <c r="CIJ14" s="314" t="s">
        <v>203</v>
      </c>
      <c r="CIK14" s="314" t="s">
        <v>203</v>
      </c>
      <c r="CIL14" s="314" t="s">
        <v>203</v>
      </c>
      <c r="CIM14" s="314" t="s">
        <v>203</v>
      </c>
      <c r="CIN14" s="314" t="s">
        <v>203</v>
      </c>
      <c r="CIO14" s="314" t="s">
        <v>203</v>
      </c>
      <c r="CIP14" s="314" t="s">
        <v>203</v>
      </c>
      <c r="CIQ14" s="314" t="s">
        <v>203</v>
      </c>
      <c r="CIR14" s="314" t="s">
        <v>203</v>
      </c>
      <c r="CIS14" s="314" t="s">
        <v>203</v>
      </c>
      <c r="CIT14" s="314" t="s">
        <v>203</v>
      </c>
      <c r="CIU14" s="314" t="s">
        <v>203</v>
      </c>
      <c r="CIV14" s="314" t="s">
        <v>203</v>
      </c>
      <c r="CIW14" s="314" t="s">
        <v>203</v>
      </c>
      <c r="CIX14" s="314" t="s">
        <v>203</v>
      </c>
      <c r="CIY14" s="314" t="s">
        <v>203</v>
      </c>
      <c r="CIZ14" s="314" t="s">
        <v>203</v>
      </c>
      <c r="CJA14" s="314" t="s">
        <v>203</v>
      </c>
      <c r="CJB14" s="314" t="s">
        <v>203</v>
      </c>
      <c r="CJC14" s="314" t="s">
        <v>203</v>
      </c>
      <c r="CJD14" s="314" t="s">
        <v>203</v>
      </c>
      <c r="CJE14" s="314" t="s">
        <v>203</v>
      </c>
      <c r="CJF14" s="314" t="s">
        <v>203</v>
      </c>
      <c r="CJG14" s="314" t="s">
        <v>203</v>
      </c>
      <c r="CJH14" s="314" t="s">
        <v>203</v>
      </c>
      <c r="CJI14" s="314" t="s">
        <v>203</v>
      </c>
      <c r="CJJ14" s="314" t="s">
        <v>203</v>
      </c>
      <c r="CJK14" s="314" t="s">
        <v>203</v>
      </c>
      <c r="CJL14" s="314" t="s">
        <v>203</v>
      </c>
      <c r="CJM14" s="314" t="s">
        <v>203</v>
      </c>
      <c r="CJN14" s="314" t="s">
        <v>203</v>
      </c>
      <c r="CJO14" s="314" t="s">
        <v>203</v>
      </c>
      <c r="CJP14" s="314" t="s">
        <v>203</v>
      </c>
      <c r="CJQ14" s="314" t="s">
        <v>203</v>
      </c>
      <c r="CJR14" s="314" t="s">
        <v>203</v>
      </c>
      <c r="CJS14" s="314" t="s">
        <v>203</v>
      </c>
      <c r="CJT14" s="314" t="s">
        <v>203</v>
      </c>
      <c r="CJU14" s="314" t="s">
        <v>203</v>
      </c>
      <c r="CJV14" s="314" t="s">
        <v>203</v>
      </c>
      <c r="CJW14" s="314" t="s">
        <v>203</v>
      </c>
      <c r="CJX14" s="314" t="s">
        <v>203</v>
      </c>
      <c r="CJY14" s="314" t="s">
        <v>203</v>
      </c>
      <c r="CJZ14" s="314" t="s">
        <v>203</v>
      </c>
      <c r="CKA14" s="314" t="s">
        <v>203</v>
      </c>
      <c r="CKB14" s="314" t="s">
        <v>203</v>
      </c>
      <c r="CKC14" s="314" t="s">
        <v>203</v>
      </c>
      <c r="CKD14" s="314" t="s">
        <v>203</v>
      </c>
      <c r="CKE14" s="314" t="s">
        <v>203</v>
      </c>
      <c r="CKF14" s="314" t="s">
        <v>203</v>
      </c>
      <c r="CKG14" s="314" t="s">
        <v>203</v>
      </c>
      <c r="CKH14" s="314" t="s">
        <v>203</v>
      </c>
      <c r="CKI14" s="314" t="s">
        <v>203</v>
      </c>
      <c r="CKJ14" s="314" t="s">
        <v>203</v>
      </c>
      <c r="CKK14" s="314" t="s">
        <v>203</v>
      </c>
      <c r="CKL14" s="314" t="s">
        <v>203</v>
      </c>
      <c r="CKM14" s="314" t="s">
        <v>203</v>
      </c>
      <c r="CKN14" s="314" t="s">
        <v>203</v>
      </c>
      <c r="CKO14" s="314" t="s">
        <v>203</v>
      </c>
      <c r="CKP14" s="314" t="s">
        <v>203</v>
      </c>
      <c r="CKQ14" s="314" t="s">
        <v>203</v>
      </c>
      <c r="CKR14" s="314" t="s">
        <v>203</v>
      </c>
      <c r="CKS14" s="314" t="s">
        <v>203</v>
      </c>
      <c r="CKT14" s="314" t="s">
        <v>203</v>
      </c>
      <c r="CKU14" s="314" t="s">
        <v>203</v>
      </c>
      <c r="CKV14" s="314" t="s">
        <v>203</v>
      </c>
      <c r="CKW14" s="314" t="s">
        <v>203</v>
      </c>
      <c r="CKX14" s="314" t="s">
        <v>203</v>
      </c>
      <c r="CKY14" s="314" t="s">
        <v>203</v>
      </c>
      <c r="CKZ14" s="314" t="s">
        <v>203</v>
      </c>
      <c r="CLA14" s="314" t="s">
        <v>203</v>
      </c>
      <c r="CLB14" s="314" t="s">
        <v>203</v>
      </c>
      <c r="CLC14" s="314" t="s">
        <v>203</v>
      </c>
      <c r="CLD14" s="314" t="s">
        <v>203</v>
      </c>
      <c r="CLE14" s="314" t="s">
        <v>203</v>
      </c>
      <c r="CLF14" s="314" t="s">
        <v>203</v>
      </c>
      <c r="CLG14" s="314" t="s">
        <v>203</v>
      </c>
      <c r="CLH14" s="314" t="s">
        <v>203</v>
      </c>
      <c r="CLI14" s="314" t="s">
        <v>203</v>
      </c>
      <c r="CLJ14" s="314" t="s">
        <v>203</v>
      </c>
      <c r="CLK14" s="314" t="s">
        <v>203</v>
      </c>
      <c r="CLL14" s="314" t="s">
        <v>203</v>
      </c>
      <c r="CLM14" s="314" t="s">
        <v>203</v>
      </c>
      <c r="CLN14" s="314" t="s">
        <v>203</v>
      </c>
      <c r="CLO14" s="314" t="s">
        <v>203</v>
      </c>
      <c r="CLP14" s="314" t="s">
        <v>203</v>
      </c>
      <c r="CLQ14" s="314" t="s">
        <v>203</v>
      </c>
      <c r="CLR14" s="314" t="s">
        <v>203</v>
      </c>
      <c r="CLS14" s="314" t="s">
        <v>203</v>
      </c>
      <c r="CLT14" s="314" t="s">
        <v>203</v>
      </c>
      <c r="CLU14" s="314" t="s">
        <v>203</v>
      </c>
      <c r="CLV14" s="314" t="s">
        <v>203</v>
      </c>
      <c r="CLW14" s="314" t="s">
        <v>203</v>
      </c>
      <c r="CLX14" s="314" t="s">
        <v>203</v>
      </c>
      <c r="CLY14" s="314" t="s">
        <v>203</v>
      </c>
      <c r="CLZ14" s="314" t="s">
        <v>203</v>
      </c>
      <c r="CMA14" s="314" t="s">
        <v>203</v>
      </c>
      <c r="CMB14" s="314" t="s">
        <v>203</v>
      </c>
      <c r="CMC14" s="314" t="s">
        <v>203</v>
      </c>
      <c r="CMD14" s="314" t="s">
        <v>203</v>
      </c>
      <c r="CME14" s="314" t="s">
        <v>203</v>
      </c>
      <c r="CMF14" s="314" t="s">
        <v>203</v>
      </c>
      <c r="CMG14" s="314" t="s">
        <v>203</v>
      </c>
      <c r="CMH14" s="314" t="s">
        <v>203</v>
      </c>
      <c r="CMI14" s="314" t="s">
        <v>203</v>
      </c>
      <c r="CMJ14" s="314" t="s">
        <v>203</v>
      </c>
      <c r="CMK14" s="314" t="s">
        <v>203</v>
      </c>
      <c r="CML14" s="314" t="s">
        <v>203</v>
      </c>
      <c r="CMM14" s="314" t="s">
        <v>203</v>
      </c>
      <c r="CMN14" s="314" t="s">
        <v>203</v>
      </c>
      <c r="CMO14" s="314" t="s">
        <v>203</v>
      </c>
      <c r="CMP14" s="314" t="s">
        <v>203</v>
      </c>
      <c r="CMQ14" s="314" t="s">
        <v>203</v>
      </c>
      <c r="CMR14" s="314" t="s">
        <v>203</v>
      </c>
      <c r="CMS14" s="314" t="s">
        <v>203</v>
      </c>
      <c r="CMT14" s="314" t="s">
        <v>203</v>
      </c>
      <c r="CMU14" s="314" t="s">
        <v>203</v>
      </c>
      <c r="CMV14" s="314" t="s">
        <v>203</v>
      </c>
      <c r="CMW14" s="314" t="s">
        <v>203</v>
      </c>
      <c r="CMX14" s="314" t="s">
        <v>203</v>
      </c>
      <c r="CMY14" s="314" t="s">
        <v>203</v>
      </c>
      <c r="CMZ14" s="314" t="s">
        <v>203</v>
      </c>
      <c r="CNA14" s="314" t="s">
        <v>203</v>
      </c>
      <c r="CNB14" s="314" t="s">
        <v>203</v>
      </c>
      <c r="CNC14" s="314" t="s">
        <v>203</v>
      </c>
      <c r="CND14" s="314" t="s">
        <v>203</v>
      </c>
      <c r="CNE14" s="314" t="s">
        <v>203</v>
      </c>
      <c r="CNF14" s="314" t="s">
        <v>203</v>
      </c>
      <c r="CNG14" s="314" t="s">
        <v>203</v>
      </c>
      <c r="CNH14" s="314" t="s">
        <v>203</v>
      </c>
      <c r="CNI14" s="314" t="s">
        <v>203</v>
      </c>
      <c r="CNJ14" s="314" t="s">
        <v>203</v>
      </c>
      <c r="CNK14" s="314" t="s">
        <v>203</v>
      </c>
      <c r="CNL14" s="314" t="s">
        <v>203</v>
      </c>
      <c r="CNM14" s="314" t="s">
        <v>203</v>
      </c>
      <c r="CNN14" s="314" t="s">
        <v>203</v>
      </c>
      <c r="CNO14" s="314" t="s">
        <v>203</v>
      </c>
      <c r="CNP14" s="314" t="s">
        <v>203</v>
      </c>
      <c r="CNQ14" s="314" t="s">
        <v>203</v>
      </c>
      <c r="CNR14" s="314" t="s">
        <v>203</v>
      </c>
      <c r="CNS14" s="314" t="s">
        <v>203</v>
      </c>
      <c r="CNT14" s="314" t="s">
        <v>203</v>
      </c>
      <c r="CNU14" s="314" t="s">
        <v>203</v>
      </c>
      <c r="CNV14" s="314" t="s">
        <v>203</v>
      </c>
      <c r="CNW14" s="314" t="s">
        <v>203</v>
      </c>
      <c r="CNX14" s="314" t="s">
        <v>203</v>
      </c>
      <c r="CNY14" s="314" t="s">
        <v>203</v>
      </c>
      <c r="CNZ14" s="314" t="s">
        <v>203</v>
      </c>
      <c r="COA14" s="314" t="s">
        <v>203</v>
      </c>
      <c r="COB14" s="314" t="s">
        <v>203</v>
      </c>
      <c r="COC14" s="314" t="s">
        <v>203</v>
      </c>
      <c r="COD14" s="314" t="s">
        <v>203</v>
      </c>
      <c r="COE14" s="314" t="s">
        <v>203</v>
      </c>
      <c r="COF14" s="314" t="s">
        <v>203</v>
      </c>
      <c r="COG14" s="314" t="s">
        <v>203</v>
      </c>
      <c r="COH14" s="314" t="s">
        <v>203</v>
      </c>
      <c r="COI14" s="314" t="s">
        <v>203</v>
      </c>
      <c r="COJ14" s="314" t="s">
        <v>203</v>
      </c>
      <c r="COK14" s="314" t="s">
        <v>203</v>
      </c>
      <c r="COL14" s="314" t="s">
        <v>203</v>
      </c>
      <c r="COM14" s="314" t="s">
        <v>203</v>
      </c>
      <c r="CON14" s="314" t="s">
        <v>203</v>
      </c>
      <c r="COO14" s="314" t="s">
        <v>203</v>
      </c>
      <c r="COP14" s="314" t="s">
        <v>203</v>
      </c>
      <c r="COQ14" s="314" t="s">
        <v>203</v>
      </c>
      <c r="COR14" s="314" t="s">
        <v>203</v>
      </c>
      <c r="COS14" s="314" t="s">
        <v>203</v>
      </c>
      <c r="COT14" s="314" t="s">
        <v>203</v>
      </c>
      <c r="COU14" s="314" t="s">
        <v>203</v>
      </c>
      <c r="COV14" s="314" t="s">
        <v>203</v>
      </c>
      <c r="COW14" s="314" t="s">
        <v>203</v>
      </c>
      <c r="COX14" s="314" t="s">
        <v>203</v>
      </c>
      <c r="COY14" s="314" t="s">
        <v>203</v>
      </c>
      <c r="COZ14" s="314" t="s">
        <v>203</v>
      </c>
      <c r="CPA14" s="314" t="s">
        <v>203</v>
      </c>
      <c r="CPB14" s="314" t="s">
        <v>203</v>
      </c>
      <c r="CPC14" s="314" t="s">
        <v>203</v>
      </c>
      <c r="CPD14" s="314" t="s">
        <v>203</v>
      </c>
      <c r="CPE14" s="314" t="s">
        <v>203</v>
      </c>
      <c r="CPF14" s="314" t="s">
        <v>203</v>
      </c>
      <c r="CPG14" s="314" t="s">
        <v>203</v>
      </c>
      <c r="CPH14" s="314" t="s">
        <v>203</v>
      </c>
      <c r="CPI14" s="314" t="s">
        <v>203</v>
      </c>
      <c r="CPJ14" s="314" t="s">
        <v>203</v>
      </c>
      <c r="CPK14" s="314" t="s">
        <v>203</v>
      </c>
      <c r="CPL14" s="314" t="s">
        <v>203</v>
      </c>
      <c r="CPM14" s="314" t="s">
        <v>203</v>
      </c>
      <c r="CPN14" s="314" t="s">
        <v>203</v>
      </c>
      <c r="CPO14" s="314" t="s">
        <v>203</v>
      </c>
      <c r="CPP14" s="314" t="s">
        <v>203</v>
      </c>
      <c r="CPQ14" s="314" t="s">
        <v>203</v>
      </c>
      <c r="CPR14" s="314" t="s">
        <v>203</v>
      </c>
      <c r="CPS14" s="314" t="s">
        <v>203</v>
      </c>
      <c r="CPT14" s="314" t="s">
        <v>203</v>
      </c>
      <c r="CPU14" s="314" t="s">
        <v>203</v>
      </c>
      <c r="CPV14" s="314" t="s">
        <v>203</v>
      </c>
      <c r="CPW14" s="314" t="s">
        <v>203</v>
      </c>
      <c r="CPX14" s="314" t="s">
        <v>203</v>
      </c>
      <c r="CPY14" s="314" t="s">
        <v>203</v>
      </c>
      <c r="CPZ14" s="314" t="s">
        <v>203</v>
      </c>
      <c r="CQA14" s="314" t="s">
        <v>203</v>
      </c>
      <c r="CQB14" s="314" t="s">
        <v>203</v>
      </c>
      <c r="CQC14" s="314" t="s">
        <v>203</v>
      </c>
      <c r="CQD14" s="314" t="s">
        <v>203</v>
      </c>
      <c r="CQE14" s="314" t="s">
        <v>203</v>
      </c>
      <c r="CQF14" s="314" t="s">
        <v>203</v>
      </c>
      <c r="CQG14" s="314" t="s">
        <v>203</v>
      </c>
      <c r="CQH14" s="314" t="s">
        <v>203</v>
      </c>
      <c r="CQI14" s="314" t="s">
        <v>203</v>
      </c>
      <c r="CQJ14" s="314" t="s">
        <v>203</v>
      </c>
      <c r="CQK14" s="314" t="s">
        <v>203</v>
      </c>
      <c r="CQL14" s="314" t="s">
        <v>203</v>
      </c>
      <c r="CQM14" s="314" t="s">
        <v>203</v>
      </c>
      <c r="CQN14" s="314" t="s">
        <v>203</v>
      </c>
      <c r="CQO14" s="314" t="s">
        <v>203</v>
      </c>
      <c r="CQP14" s="314" t="s">
        <v>203</v>
      </c>
      <c r="CQQ14" s="314" t="s">
        <v>203</v>
      </c>
      <c r="CQR14" s="314" t="s">
        <v>203</v>
      </c>
      <c r="CQS14" s="314" t="s">
        <v>203</v>
      </c>
      <c r="CQT14" s="314" t="s">
        <v>203</v>
      </c>
      <c r="CQU14" s="314" t="s">
        <v>203</v>
      </c>
      <c r="CQV14" s="314" t="s">
        <v>203</v>
      </c>
      <c r="CQW14" s="314" t="s">
        <v>203</v>
      </c>
      <c r="CQX14" s="314" t="s">
        <v>203</v>
      </c>
      <c r="CQY14" s="314" t="s">
        <v>203</v>
      </c>
      <c r="CQZ14" s="314" t="s">
        <v>203</v>
      </c>
      <c r="CRA14" s="314" t="s">
        <v>203</v>
      </c>
      <c r="CRB14" s="314" t="s">
        <v>203</v>
      </c>
      <c r="CRC14" s="314" t="s">
        <v>203</v>
      </c>
      <c r="CRD14" s="314" t="s">
        <v>203</v>
      </c>
      <c r="CRE14" s="314" t="s">
        <v>203</v>
      </c>
      <c r="CRF14" s="314" t="s">
        <v>203</v>
      </c>
      <c r="CRG14" s="314" t="s">
        <v>203</v>
      </c>
      <c r="CRH14" s="314" t="s">
        <v>203</v>
      </c>
      <c r="CRI14" s="314" t="s">
        <v>203</v>
      </c>
      <c r="CRJ14" s="314" t="s">
        <v>203</v>
      </c>
      <c r="CRK14" s="314" t="s">
        <v>203</v>
      </c>
      <c r="CRL14" s="314" t="s">
        <v>203</v>
      </c>
      <c r="CRM14" s="314" t="s">
        <v>203</v>
      </c>
      <c r="CRN14" s="314" t="s">
        <v>203</v>
      </c>
      <c r="CRO14" s="314" t="s">
        <v>203</v>
      </c>
      <c r="CRP14" s="314" t="s">
        <v>203</v>
      </c>
      <c r="CRQ14" s="314" t="s">
        <v>203</v>
      </c>
      <c r="CRR14" s="314" t="s">
        <v>203</v>
      </c>
      <c r="CRS14" s="314" t="s">
        <v>203</v>
      </c>
      <c r="CRT14" s="314" t="s">
        <v>203</v>
      </c>
      <c r="CRU14" s="314" t="s">
        <v>203</v>
      </c>
      <c r="CRV14" s="314" t="s">
        <v>203</v>
      </c>
      <c r="CRW14" s="314" t="s">
        <v>203</v>
      </c>
      <c r="CRX14" s="314" t="s">
        <v>203</v>
      </c>
      <c r="CRY14" s="314" t="s">
        <v>203</v>
      </c>
      <c r="CRZ14" s="314" t="s">
        <v>203</v>
      </c>
      <c r="CSA14" s="314" t="s">
        <v>203</v>
      </c>
      <c r="CSB14" s="314" t="s">
        <v>203</v>
      </c>
      <c r="CSC14" s="314" t="s">
        <v>203</v>
      </c>
      <c r="CSD14" s="314" t="s">
        <v>203</v>
      </c>
      <c r="CSE14" s="314" t="s">
        <v>203</v>
      </c>
      <c r="CSF14" s="314" t="s">
        <v>203</v>
      </c>
      <c r="CSG14" s="314" t="s">
        <v>203</v>
      </c>
      <c r="CSH14" s="314" t="s">
        <v>203</v>
      </c>
      <c r="CSI14" s="314" t="s">
        <v>203</v>
      </c>
      <c r="CSJ14" s="314" t="s">
        <v>203</v>
      </c>
      <c r="CSK14" s="314" t="s">
        <v>203</v>
      </c>
      <c r="CSL14" s="314" t="s">
        <v>203</v>
      </c>
      <c r="CSM14" s="314" t="s">
        <v>203</v>
      </c>
      <c r="CSN14" s="314" t="s">
        <v>203</v>
      </c>
      <c r="CSO14" s="314" t="s">
        <v>203</v>
      </c>
      <c r="CSP14" s="314" t="s">
        <v>203</v>
      </c>
      <c r="CSQ14" s="314" t="s">
        <v>203</v>
      </c>
      <c r="CSR14" s="314" t="s">
        <v>203</v>
      </c>
      <c r="CSS14" s="314" t="s">
        <v>203</v>
      </c>
      <c r="CST14" s="314" t="s">
        <v>203</v>
      </c>
      <c r="CSU14" s="314" t="s">
        <v>203</v>
      </c>
      <c r="CSV14" s="314" t="s">
        <v>203</v>
      </c>
      <c r="CSW14" s="314" t="s">
        <v>203</v>
      </c>
      <c r="CSX14" s="314" t="s">
        <v>203</v>
      </c>
      <c r="CSY14" s="314" t="s">
        <v>203</v>
      </c>
      <c r="CSZ14" s="314" t="s">
        <v>203</v>
      </c>
      <c r="CTA14" s="314" t="s">
        <v>203</v>
      </c>
      <c r="CTB14" s="314" t="s">
        <v>203</v>
      </c>
      <c r="CTC14" s="314" t="s">
        <v>203</v>
      </c>
      <c r="CTD14" s="314" t="s">
        <v>203</v>
      </c>
      <c r="CTE14" s="314" t="s">
        <v>203</v>
      </c>
      <c r="CTF14" s="314" t="s">
        <v>203</v>
      </c>
      <c r="CTG14" s="314" t="s">
        <v>203</v>
      </c>
      <c r="CTH14" s="314" t="s">
        <v>203</v>
      </c>
      <c r="CTI14" s="314" t="s">
        <v>203</v>
      </c>
      <c r="CTJ14" s="314" t="s">
        <v>203</v>
      </c>
      <c r="CTK14" s="314" t="s">
        <v>203</v>
      </c>
      <c r="CTL14" s="314" t="s">
        <v>203</v>
      </c>
      <c r="CTM14" s="314" t="s">
        <v>203</v>
      </c>
      <c r="CTN14" s="314" t="s">
        <v>203</v>
      </c>
      <c r="CTO14" s="314" t="s">
        <v>203</v>
      </c>
      <c r="CTP14" s="314" t="s">
        <v>203</v>
      </c>
      <c r="CTQ14" s="314" t="s">
        <v>203</v>
      </c>
      <c r="CTR14" s="314" t="s">
        <v>203</v>
      </c>
      <c r="CTS14" s="314" t="s">
        <v>203</v>
      </c>
      <c r="CTT14" s="314" t="s">
        <v>203</v>
      </c>
      <c r="CTU14" s="314" t="s">
        <v>203</v>
      </c>
      <c r="CTV14" s="314" t="s">
        <v>203</v>
      </c>
      <c r="CTW14" s="314" t="s">
        <v>203</v>
      </c>
      <c r="CTX14" s="314" t="s">
        <v>203</v>
      </c>
      <c r="CTY14" s="314" t="s">
        <v>203</v>
      </c>
      <c r="CTZ14" s="314" t="s">
        <v>203</v>
      </c>
      <c r="CUA14" s="314" t="s">
        <v>203</v>
      </c>
      <c r="CUB14" s="314" t="s">
        <v>203</v>
      </c>
      <c r="CUC14" s="314" t="s">
        <v>203</v>
      </c>
      <c r="CUD14" s="314" t="s">
        <v>203</v>
      </c>
      <c r="CUE14" s="314" t="s">
        <v>203</v>
      </c>
      <c r="CUF14" s="314" t="s">
        <v>203</v>
      </c>
      <c r="CUG14" s="314" t="s">
        <v>203</v>
      </c>
      <c r="CUH14" s="314" t="s">
        <v>203</v>
      </c>
      <c r="CUI14" s="314" t="s">
        <v>203</v>
      </c>
      <c r="CUJ14" s="314" t="s">
        <v>203</v>
      </c>
      <c r="CUK14" s="314" t="s">
        <v>203</v>
      </c>
      <c r="CUL14" s="314" t="s">
        <v>203</v>
      </c>
      <c r="CUM14" s="314" t="s">
        <v>203</v>
      </c>
      <c r="CUN14" s="314" t="s">
        <v>203</v>
      </c>
      <c r="CUO14" s="314" t="s">
        <v>203</v>
      </c>
      <c r="CUP14" s="314" t="s">
        <v>203</v>
      </c>
      <c r="CUQ14" s="314" t="s">
        <v>203</v>
      </c>
      <c r="CUR14" s="314" t="s">
        <v>203</v>
      </c>
      <c r="CUS14" s="314" t="s">
        <v>203</v>
      </c>
      <c r="CUT14" s="314" t="s">
        <v>203</v>
      </c>
      <c r="CUU14" s="314" t="s">
        <v>203</v>
      </c>
      <c r="CUV14" s="314" t="s">
        <v>203</v>
      </c>
      <c r="CUW14" s="314" t="s">
        <v>203</v>
      </c>
      <c r="CUX14" s="314" t="s">
        <v>203</v>
      </c>
      <c r="CUY14" s="314" t="s">
        <v>203</v>
      </c>
      <c r="CUZ14" s="314" t="s">
        <v>203</v>
      </c>
      <c r="CVA14" s="314" t="s">
        <v>203</v>
      </c>
      <c r="CVB14" s="314" t="s">
        <v>203</v>
      </c>
      <c r="CVC14" s="314" t="s">
        <v>203</v>
      </c>
      <c r="CVD14" s="314" t="s">
        <v>203</v>
      </c>
      <c r="CVE14" s="314" t="s">
        <v>203</v>
      </c>
      <c r="CVF14" s="314" t="s">
        <v>203</v>
      </c>
      <c r="CVG14" s="314" t="s">
        <v>203</v>
      </c>
      <c r="CVH14" s="314" t="s">
        <v>203</v>
      </c>
      <c r="CVI14" s="314" t="s">
        <v>203</v>
      </c>
      <c r="CVJ14" s="314" t="s">
        <v>203</v>
      </c>
      <c r="CVK14" s="314" t="s">
        <v>203</v>
      </c>
      <c r="CVL14" s="314" t="s">
        <v>203</v>
      </c>
      <c r="CVM14" s="314" t="s">
        <v>203</v>
      </c>
      <c r="CVN14" s="314" t="s">
        <v>203</v>
      </c>
      <c r="CVO14" s="314" t="s">
        <v>203</v>
      </c>
      <c r="CVP14" s="314" t="s">
        <v>203</v>
      </c>
      <c r="CVQ14" s="314" t="s">
        <v>203</v>
      </c>
      <c r="CVR14" s="314" t="s">
        <v>203</v>
      </c>
      <c r="CVS14" s="314" t="s">
        <v>203</v>
      </c>
      <c r="CVT14" s="314" t="s">
        <v>203</v>
      </c>
      <c r="CVU14" s="314" t="s">
        <v>203</v>
      </c>
      <c r="CVV14" s="314" t="s">
        <v>203</v>
      </c>
      <c r="CVW14" s="314" t="s">
        <v>203</v>
      </c>
      <c r="CVX14" s="314" t="s">
        <v>203</v>
      </c>
      <c r="CVY14" s="314" t="s">
        <v>203</v>
      </c>
      <c r="CVZ14" s="314" t="s">
        <v>203</v>
      </c>
      <c r="CWA14" s="314" t="s">
        <v>203</v>
      </c>
      <c r="CWB14" s="314" t="s">
        <v>203</v>
      </c>
      <c r="CWC14" s="314" t="s">
        <v>203</v>
      </c>
      <c r="CWD14" s="314" t="s">
        <v>203</v>
      </c>
      <c r="CWE14" s="314" t="s">
        <v>203</v>
      </c>
      <c r="CWF14" s="314" t="s">
        <v>203</v>
      </c>
      <c r="CWG14" s="314" t="s">
        <v>203</v>
      </c>
      <c r="CWH14" s="314" t="s">
        <v>203</v>
      </c>
      <c r="CWI14" s="314" t="s">
        <v>203</v>
      </c>
      <c r="CWJ14" s="314" t="s">
        <v>203</v>
      </c>
      <c r="CWK14" s="314" t="s">
        <v>203</v>
      </c>
      <c r="CWL14" s="314" t="s">
        <v>203</v>
      </c>
      <c r="CWM14" s="314" t="s">
        <v>203</v>
      </c>
      <c r="CWN14" s="314" t="s">
        <v>203</v>
      </c>
      <c r="CWO14" s="314" t="s">
        <v>203</v>
      </c>
      <c r="CWP14" s="314" t="s">
        <v>203</v>
      </c>
      <c r="CWQ14" s="314" t="s">
        <v>203</v>
      </c>
      <c r="CWR14" s="314" t="s">
        <v>203</v>
      </c>
      <c r="CWS14" s="314" t="s">
        <v>203</v>
      </c>
      <c r="CWT14" s="314" t="s">
        <v>203</v>
      </c>
      <c r="CWU14" s="314" t="s">
        <v>203</v>
      </c>
      <c r="CWV14" s="314" t="s">
        <v>203</v>
      </c>
      <c r="CWW14" s="314" t="s">
        <v>203</v>
      </c>
      <c r="CWX14" s="314" t="s">
        <v>203</v>
      </c>
      <c r="CWY14" s="314" t="s">
        <v>203</v>
      </c>
      <c r="CWZ14" s="314" t="s">
        <v>203</v>
      </c>
      <c r="CXA14" s="314" t="s">
        <v>203</v>
      </c>
      <c r="CXB14" s="314" t="s">
        <v>203</v>
      </c>
      <c r="CXC14" s="314" t="s">
        <v>203</v>
      </c>
      <c r="CXD14" s="314" t="s">
        <v>203</v>
      </c>
      <c r="CXE14" s="314" t="s">
        <v>203</v>
      </c>
      <c r="CXF14" s="314" t="s">
        <v>203</v>
      </c>
      <c r="CXG14" s="314" t="s">
        <v>203</v>
      </c>
      <c r="CXH14" s="314" t="s">
        <v>203</v>
      </c>
      <c r="CXI14" s="314" t="s">
        <v>203</v>
      </c>
      <c r="CXJ14" s="314" t="s">
        <v>203</v>
      </c>
      <c r="CXK14" s="314" t="s">
        <v>203</v>
      </c>
      <c r="CXL14" s="314" t="s">
        <v>203</v>
      </c>
      <c r="CXM14" s="314" t="s">
        <v>203</v>
      </c>
      <c r="CXN14" s="314" t="s">
        <v>203</v>
      </c>
      <c r="CXO14" s="314" t="s">
        <v>203</v>
      </c>
      <c r="CXP14" s="314" t="s">
        <v>203</v>
      </c>
      <c r="CXQ14" s="314" t="s">
        <v>203</v>
      </c>
      <c r="CXR14" s="314" t="s">
        <v>203</v>
      </c>
      <c r="CXS14" s="314" t="s">
        <v>203</v>
      </c>
      <c r="CXT14" s="314" t="s">
        <v>203</v>
      </c>
      <c r="CXU14" s="314" t="s">
        <v>203</v>
      </c>
      <c r="CXV14" s="314" t="s">
        <v>203</v>
      </c>
      <c r="CXW14" s="314" t="s">
        <v>203</v>
      </c>
      <c r="CXX14" s="314" t="s">
        <v>203</v>
      </c>
      <c r="CXY14" s="314" t="s">
        <v>203</v>
      </c>
      <c r="CXZ14" s="314" t="s">
        <v>203</v>
      </c>
      <c r="CYA14" s="314" t="s">
        <v>203</v>
      </c>
      <c r="CYB14" s="314" t="s">
        <v>203</v>
      </c>
      <c r="CYC14" s="314" t="s">
        <v>203</v>
      </c>
      <c r="CYD14" s="314" t="s">
        <v>203</v>
      </c>
      <c r="CYE14" s="314" t="s">
        <v>203</v>
      </c>
      <c r="CYF14" s="314" t="s">
        <v>203</v>
      </c>
      <c r="CYG14" s="314" t="s">
        <v>203</v>
      </c>
      <c r="CYH14" s="314" t="s">
        <v>203</v>
      </c>
      <c r="CYI14" s="314" t="s">
        <v>203</v>
      </c>
      <c r="CYJ14" s="314" t="s">
        <v>203</v>
      </c>
      <c r="CYK14" s="314" t="s">
        <v>203</v>
      </c>
      <c r="CYL14" s="314" t="s">
        <v>203</v>
      </c>
      <c r="CYM14" s="314" t="s">
        <v>203</v>
      </c>
      <c r="CYN14" s="314" t="s">
        <v>203</v>
      </c>
      <c r="CYO14" s="314" t="s">
        <v>203</v>
      </c>
      <c r="CYP14" s="314" t="s">
        <v>203</v>
      </c>
      <c r="CYQ14" s="314" t="s">
        <v>203</v>
      </c>
      <c r="CYR14" s="314" t="s">
        <v>203</v>
      </c>
      <c r="CYS14" s="314" t="s">
        <v>203</v>
      </c>
      <c r="CYT14" s="314" t="s">
        <v>203</v>
      </c>
      <c r="CYU14" s="314" t="s">
        <v>203</v>
      </c>
      <c r="CYV14" s="314" t="s">
        <v>203</v>
      </c>
      <c r="CYW14" s="314" t="s">
        <v>203</v>
      </c>
      <c r="CYX14" s="314" t="s">
        <v>203</v>
      </c>
      <c r="CYY14" s="314" t="s">
        <v>203</v>
      </c>
      <c r="CYZ14" s="314" t="s">
        <v>203</v>
      </c>
      <c r="CZA14" s="314" t="s">
        <v>203</v>
      </c>
      <c r="CZB14" s="314" t="s">
        <v>203</v>
      </c>
      <c r="CZC14" s="314" t="s">
        <v>203</v>
      </c>
      <c r="CZD14" s="314" t="s">
        <v>203</v>
      </c>
      <c r="CZE14" s="314" t="s">
        <v>203</v>
      </c>
      <c r="CZF14" s="314" t="s">
        <v>203</v>
      </c>
      <c r="CZG14" s="314" t="s">
        <v>203</v>
      </c>
      <c r="CZH14" s="314" t="s">
        <v>203</v>
      </c>
      <c r="CZI14" s="314" t="s">
        <v>203</v>
      </c>
      <c r="CZJ14" s="314" t="s">
        <v>203</v>
      </c>
      <c r="CZK14" s="314" t="s">
        <v>203</v>
      </c>
      <c r="CZL14" s="314" t="s">
        <v>203</v>
      </c>
      <c r="CZM14" s="314" t="s">
        <v>203</v>
      </c>
      <c r="CZN14" s="314" t="s">
        <v>203</v>
      </c>
      <c r="CZO14" s="314" t="s">
        <v>203</v>
      </c>
      <c r="CZP14" s="314" t="s">
        <v>203</v>
      </c>
      <c r="CZQ14" s="314" t="s">
        <v>203</v>
      </c>
      <c r="CZR14" s="314" t="s">
        <v>203</v>
      </c>
      <c r="CZS14" s="314" t="s">
        <v>203</v>
      </c>
      <c r="CZT14" s="314" t="s">
        <v>203</v>
      </c>
      <c r="CZU14" s="314" t="s">
        <v>203</v>
      </c>
      <c r="CZV14" s="314" t="s">
        <v>203</v>
      </c>
      <c r="CZW14" s="314" t="s">
        <v>203</v>
      </c>
      <c r="CZX14" s="314" t="s">
        <v>203</v>
      </c>
      <c r="CZY14" s="314" t="s">
        <v>203</v>
      </c>
      <c r="CZZ14" s="314" t="s">
        <v>203</v>
      </c>
      <c r="DAA14" s="314" t="s">
        <v>203</v>
      </c>
      <c r="DAB14" s="314" t="s">
        <v>203</v>
      </c>
      <c r="DAC14" s="314" t="s">
        <v>203</v>
      </c>
      <c r="DAD14" s="314" t="s">
        <v>203</v>
      </c>
      <c r="DAE14" s="314" t="s">
        <v>203</v>
      </c>
      <c r="DAF14" s="314" t="s">
        <v>203</v>
      </c>
      <c r="DAG14" s="314" t="s">
        <v>203</v>
      </c>
      <c r="DAH14" s="314" t="s">
        <v>203</v>
      </c>
      <c r="DAI14" s="314" t="s">
        <v>203</v>
      </c>
      <c r="DAJ14" s="314" t="s">
        <v>203</v>
      </c>
      <c r="DAK14" s="314" t="s">
        <v>203</v>
      </c>
      <c r="DAL14" s="314" t="s">
        <v>203</v>
      </c>
      <c r="DAM14" s="314" t="s">
        <v>203</v>
      </c>
      <c r="DAN14" s="314" t="s">
        <v>203</v>
      </c>
      <c r="DAO14" s="314" t="s">
        <v>203</v>
      </c>
      <c r="DAP14" s="314" t="s">
        <v>203</v>
      </c>
      <c r="DAQ14" s="314" t="s">
        <v>203</v>
      </c>
      <c r="DAR14" s="314" t="s">
        <v>203</v>
      </c>
      <c r="DAS14" s="314" t="s">
        <v>203</v>
      </c>
      <c r="DAT14" s="314" t="s">
        <v>203</v>
      </c>
      <c r="DAU14" s="314" t="s">
        <v>203</v>
      </c>
      <c r="DAV14" s="314" t="s">
        <v>203</v>
      </c>
      <c r="DAW14" s="314" t="s">
        <v>203</v>
      </c>
      <c r="DAX14" s="314" t="s">
        <v>203</v>
      </c>
      <c r="DAY14" s="314" t="s">
        <v>203</v>
      </c>
      <c r="DAZ14" s="314" t="s">
        <v>203</v>
      </c>
      <c r="DBA14" s="314" t="s">
        <v>203</v>
      </c>
      <c r="DBB14" s="314" t="s">
        <v>203</v>
      </c>
      <c r="DBC14" s="314" t="s">
        <v>203</v>
      </c>
      <c r="DBD14" s="314" t="s">
        <v>203</v>
      </c>
      <c r="DBE14" s="314" t="s">
        <v>203</v>
      </c>
      <c r="DBF14" s="314" t="s">
        <v>203</v>
      </c>
      <c r="DBG14" s="314" t="s">
        <v>203</v>
      </c>
      <c r="DBH14" s="314" t="s">
        <v>203</v>
      </c>
      <c r="DBI14" s="314" t="s">
        <v>203</v>
      </c>
      <c r="DBJ14" s="314" t="s">
        <v>203</v>
      </c>
      <c r="DBK14" s="314" t="s">
        <v>203</v>
      </c>
      <c r="DBL14" s="314" t="s">
        <v>203</v>
      </c>
      <c r="DBM14" s="314" t="s">
        <v>203</v>
      </c>
      <c r="DBN14" s="314" t="s">
        <v>203</v>
      </c>
      <c r="DBO14" s="314" t="s">
        <v>203</v>
      </c>
      <c r="DBP14" s="314" t="s">
        <v>203</v>
      </c>
      <c r="DBQ14" s="314" t="s">
        <v>203</v>
      </c>
      <c r="DBR14" s="314" t="s">
        <v>203</v>
      </c>
      <c r="DBS14" s="314" t="s">
        <v>203</v>
      </c>
      <c r="DBT14" s="314" t="s">
        <v>203</v>
      </c>
      <c r="DBU14" s="314" t="s">
        <v>203</v>
      </c>
      <c r="DBV14" s="314" t="s">
        <v>203</v>
      </c>
      <c r="DBW14" s="314" t="s">
        <v>203</v>
      </c>
      <c r="DBX14" s="314" t="s">
        <v>203</v>
      </c>
      <c r="DBY14" s="314" t="s">
        <v>203</v>
      </c>
      <c r="DBZ14" s="314" t="s">
        <v>203</v>
      </c>
      <c r="DCA14" s="314" t="s">
        <v>203</v>
      </c>
      <c r="DCB14" s="314" t="s">
        <v>203</v>
      </c>
      <c r="DCC14" s="314" t="s">
        <v>203</v>
      </c>
      <c r="DCD14" s="314" t="s">
        <v>203</v>
      </c>
      <c r="DCE14" s="314" t="s">
        <v>203</v>
      </c>
      <c r="DCF14" s="314" t="s">
        <v>203</v>
      </c>
      <c r="DCG14" s="314" t="s">
        <v>203</v>
      </c>
      <c r="DCH14" s="314" t="s">
        <v>203</v>
      </c>
      <c r="DCI14" s="314" t="s">
        <v>203</v>
      </c>
      <c r="DCJ14" s="314" t="s">
        <v>203</v>
      </c>
      <c r="DCK14" s="314" t="s">
        <v>203</v>
      </c>
      <c r="DCL14" s="314" t="s">
        <v>203</v>
      </c>
      <c r="DCM14" s="314" t="s">
        <v>203</v>
      </c>
      <c r="DCN14" s="314" t="s">
        <v>203</v>
      </c>
      <c r="DCO14" s="314" t="s">
        <v>203</v>
      </c>
      <c r="DCP14" s="314" t="s">
        <v>203</v>
      </c>
      <c r="DCQ14" s="314" t="s">
        <v>203</v>
      </c>
      <c r="DCR14" s="314" t="s">
        <v>203</v>
      </c>
      <c r="DCS14" s="314" t="s">
        <v>203</v>
      </c>
      <c r="DCT14" s="314" t="s">
        <v>203</v>
      </c>
      <c r="DCU14" s="314" t="s">
        <v>203</v>
      </c>
      <c r="DCV14" s="314" t="s">
        <v>203</v>
      </c>
      <c r="DCW14" s="314" t="s">
        <v>203</v>
      </c>
      <c r="DCX14" s="314" t="s">
        <v>203</v>
      </c>
      <c r="DCY14" s="314" t="s">
        <v>203</v>
      </c>
      <c r="DCZ14" s="314" t="s">
        <v>203</v>
      </c>
      <c r="DDA14" s="314" t="s">
        <v>203</v>
      </c>
      <c r="DDB14" s="314" t="s">
        <v>203</v>
      </c>
      <c r="DDC14" s="314" t="s">
        <v>203</v>
      </c>
      <c r="DDD14" s="314" t="s">
        <v>203</v>
      </c>
      <c r="DDE14" s="314" t="s">
        <v>203</v>
      </c>
      <c r="DDF14" s="314" t="s">
        <v>203</v>
      </c>
      <c r="DDG14" s="314" t="s">
        <v>203</v>
      </c>
      <c r="DDH14" s="314" t="s">
        <v>203</v>
      </c>
      <c r="DDI14" s="314" t="s">
        <v>203</v>
      </c>
      <c r="DDJ14" s="314" t="s">
        <v>203</v>
      </c>
      <c r="DDK14" s="314" t="s">
        <v>203</v>
      </c>
      <c r="DDL14" s="314" t="s">
        <v>203</v>
      </c>
      <c r="DDM14" s="314" t="s">
        <v>203</v>
      </c>
      <c r="DDN14" s="314" t="s">
        <v>203</v>
      </c>
      <c r="DDO14" s="314" t="s">
        <v>203</v>
      </c>
      <c r="DDP14" s="314" t="s">
        <v>203</v>
      </c>
      <c r="DDQ14" s="314" t="s">
        <v>203</v>
      </c>
      <c r="DDR14" s="314" t="s">
        <v>203</v>
      </c>
      <c r="DDS14" s="314" t="s">
        <v>203</v>
      </c>
      <c r="DDT14" s="314" t="s">
        <v>203</v>
      </c>
      <c r="DDU14" s="314" t="s">
        <v>203</v>
      </c>
      <c r="DDV14" s="314" t="s">
        <v>203</v>
      </c>
      <c r="DDW14" s="314" t="s">
        <v>203</v>
      </c>
      <c r="DDX14" s="314" t="s">
        <v>203</v>
      </c>
      <c r="DDY14" s="314" t="s">
        <v>203</v>
      </c>
      <c r="DDZ14" s="314" t="s">
        <v>203</v>
      </c>
      <c r="DEA14" s="314" t="s">
        <v>203</v>
      </c>
      <c r="DEB14" s="314" t="s">
        <v>203</v>
      </c>
      <c r="DEC14" s="314" t="s">
        <v>203</v>
      </c>
      <c r="DED14" s="314" t="s">
        <v>203</v>
      </c>
      <c r="DEE14" s="314" t="s">
        <v>203</v>
      </c>
      <c r="DEF14" s="314" t="s">
        <v>203</v>
      </c>
      <c r="DEG14" s="314" t="s">
        <v>203</v>
      </c>
      <c r="DEH14" s="314" t="s">
        <v>203</v>
      </c>
      <c r="DEI14" s="314" t="s">
        <v>203</v>
      </c>
      <c r="DEJ14" s="314" t="s">
        <v>203</v>
      </c>
      <c r="DEK14" s="314" t="s">
        <v>203</v>
      </c>
      <c r="DEL14" s="314" t="s">
        <v>203</v>
      </c>
      <c r="DEM14" s="314" t="s">
        <v>203</v>
      </c>
      <c r="DEN14" s="314" t="s">
        <v>203</v>
      </c>
      <c r="DEO14" s="314" t="s">
        <v>203</v>
      </c>
      <c r="DEP14" s="314" t="s">
        <v>203</v>
      </c>
      <c r="DEQ14" s="314" t="s">
        <v>203</v>
      </c>
      <c r="DER14" s="314" t="s">
        <v>203</v>
      </c>
      <c r="DES14" s="314" t="s">
        <v>203</v>
      </c>
      <c r="DET14" s="314" t="s">
        <v>203</v>
      </c>
      <c r="DEU14" s="314" t="s">
        <v>203</v>
      </c>
      <c r="DEV14" s="314" t="s">
        <v>203</v>
      </c>
      <c r="DEW14" s="314" t="s">
        <v>203</v>
      </c>
      <c r="DEX14" s="314" t="s">
        <v>203</v>
      </c>
      <c r="DEY14" s="314" t="s">
        <v>203</v>
      </c>
      <c r="DEZ14" s="314" t="s">
        <v>203</v>
      </c>
      <c r="DFA14" s="314" t="s">
        <v>203</v>
      </c>
      <c r="DFB14" s="314" t="s">
        <v>203</v>
      </c>
      <c r="DFC14" s="314" t="s">
        <v>203</v>
      </c>
      <c r="DFD14" s="314" t="s">
        <v>203</v>
      </c>
      <c r="DFE14" s="314" t="s">
        <v>203</v>
      </c>
      <c r="DFF14" s="314" t="s">
        <v>203</v>
      </c>
      <c r="DFG14" s="314" t="s">
        <v>203</v>
      </c>
      <c r="DFH14" s="314" t="s">
        <v>203</v>
      </c>
      <c r="DFI14" s="314" t="s">
        <v>203</v>
      </c>
      <c r="DFJ14" s="314" t="s">
        <v>203</v>
      </c>
      <c r="DFK14" s="314" t="s">
        <v>203</v>
      </c>
      <c r="DFL14" s="314" t="s">
        <v>203</v>
      </c>
      <c r="DFM14" s="314" t="s">
        <v>203</v>
      </c>
      <c r="DFN14" s="314" t="s">
        <v>203</v>
      </c>
      <c r="DFO14" s="314" t="s">
        <v>203</v>
      </c>
      <c r="DFP14" s="314" t="s">
        <v>203</v>
      </c>
      <c r="DFQ14" s="314" t="s">
        <v>203</v>
      </c>
      <c r="DFR14" s="314" t="s">
        <v>203</v>
      </c>
      <c r="DFS14" s="314" t="s">
        <v>203</v>
      </c>
      <c r="DFT14" s="314" t="s">
        <v>203</v>
      </c>
      <c r="DFU14" s="314" t="s">
        <v>203</v>
      </c>
      <c r="DFV14" s="314" t="s">
        <v>203</v>
      </c>
      <c r="DFW14" s="314" t="s">
        <v>203</v>
      </c>
      <c r="DFX14" s="314" t="s">
        <v>203</v>
      </c>
      <c r="DFY14" s="314" t="s">
        <v>203</v>
      </c>
      <c r="DFZ14" s="314" t="s">
        <v>203</v>
      </c>
      <c r="DGA14" s="314" t="s">
        <v>203</v>
      </c>
      <c r="DGB14" s="314" t="s">
        <v>203</v>
      </c>
      <c r="DGC14" s="314" t="s">
        <v>203</v>
      </c>
      <c r="DGD14" s="314" t="s">
        <v>203</v>
      </c>
      <c r="DGE14" s="314" t="s">
        <v>203</v>
      </c>
      <c r="DGF14" s="314" t="s">
        <v>203</v>
      </c>
      <c r="DGG14" s="314" t="s">
        <v>203</v>
      </c>
      <c r="DGH14" s="314" t="s">
        <v>203</v>
      </c>
      <c r="DGI14" s="314" t="s">
        <v>203</v>
      </c>
      <c r="DGJ14" s="314" t="s">
        <v>203</v>
      </c>
      <c r="DGK14" s="314" t="s">
        <v>203</v>
      </c>
      <c r="DGL14" s="314" t="s">
        <v>203</v>
      </c>
      <c r="DGM14" s="314" t="s">
        <v>203</v>
      </c>
      <c r="DGN14" s="314" t="s">
        <v>203</v>
      </c>
      <c r="DGO14" s="314" t="s">
        <v>203</v>
      </c>
      <c r="DGP14" s="314" t="s">
        <v>203</v>
      </c>
      <c r="DGQ14" s="314" t="s">
        <v>203</v>
      </c>
      <c r="DGR14" s="314" t="s">
        <v>203</v>
      </c>
      <c r="DGS14" s="314" t="s">
        <v>203</v>
      </c>
      <c r="DGT14" s="314" t="s">
        <v>203</v>
      </c>
      <c r="DGU14" s="314" t="s">
        <v>203</v>
      </c>
      <c r="DGV14" s="314" t="s">
        <v>203</v>
      </c>
      <c r="DGW14" s="314" t="s">
        <v>203</v>
      </c>
      <c r="DGX14" s="314" t="s">
        <v>203</v>
      </c>
      <c r="DGY14" s="314" t="s">
        <v>203</v>
      </c>
      <c r="DGZ14" s="314" t="s">
        <v>203</v>
      </c>
      <c r="DHA14" s="314" t="s">
        <v>203</v>
      </c>
      <c r="DHB14" s="314" t="s">
        <v>203</v>
      </c>
      <c r="DHC14" s="314" t="s">
        <v>203</v>
      </c>
      <c r="DHD14" s="314" t="s">
        <v>203</v>
      </c>
      <c r="DHE14" s="314" t="s">
        <v>203</v>
      </c>
      <c r="DHF14" s="314" t="s">
        <v>203</v>
      </c>
      <c r="DHG14" s="314" t="s">
        <v>203</v>
      </c>
      <c r="DHH14" s="314" t="s">
        <v>203</v>
      </c>
      <c r="DHI14" s="314" t="s">
        <v>203</v>
      </c>
      <c r="DHJ14" s="314" t="s">
        <v>203</v>
      </c>
      <c r="DHK14" s="314" t="s">
        <v>203</v>
      </c>
      <c r="DHL14" s="314" t="s">
        <v>203</v>
      </c>
      <c r="DHM14" s="314" t="s">
        <v>203</v>
      </c>
      <c r="DHN14" s="314" t="s">
        <v>203</v>
      </c>
      <c r="DHO14" s="314" t="s">
        <v>203</v>
      </c>
      <c r="DHP14" s="314" t="s">
        <v>203</v>
      </c>
      <c r="DHQ14" s="314" t="s">
        <v>203</v>
      </c>
      <c r="DHR14" s="314" t="s">
        <v>203</v>
      </c>
      <c r="DHS14" s="314" t="s">
        <v>203</v>
      </c>
      <c r="DHT14" s="314" t="s">
        <v>203</v>
      </c>
      <c r="DHU14" s="314" t="s">
        <v>203</v>
      </c>
      <c r="DHV14" s="314" t="s">
        <v>203</v>
      </c>
      <c r="DHW14" s="314" t="s">
        <v>203</v>
      </c>
      <c r="DHX14" s="314" t="s">
        <v>203</v>
      </c>
      <c r="DHY14" s="314" t="s">
        <v>203</v>
      </c>
      <c r="DHZ14" s="314" t="s">
        <v>203</v>
      </c>
      <c r="DIA14" s="314" t="s">
        <v>203</v>
      </c>
      <c r="DIB14" s="314" t="s">
        <v>203</v>
      </c>
      <c r="DIC14" s="314" t="s">
        <v>203</v>
      </c>
      <c r="DID14" s="314" t="s">
        <v>203</v>
      </c>
      <c r="DIE14" s="314" t="s">
        <v>203</v>
      </c>
      <c r="DIF14" s="314" t="s">
        <v>203</v>
      </c>
      <c r="DIG14" s="314" t="s">
        <v>203</v>
      </c>
      <c r="DIH14" s="314" t="s">
        <v>203</v>
      </c>
      <c r="DII14" s="314" t="s">
        <v>203</v>
      </c>
      <c r="DIJ14" s="314" t="s">
        <v>203</v>
      </c>
      <c r="DIK14" s="314" t="s">
        <v>203</v>
      </c>
      <c r="DIL14" s="314" t="s">
        <v>203</v>
      </c>
      <c r="DIM14" s="314" t="s">
        <v>203</v>
      </c>
      <c r="DIN14" s="314" t="s">
        <v>203</v>
      </c>
      <c r="DIO14" s="314" t="s">
        <v>203</v>
      </c>
      <c r="DIP14" s="314" t="s">
        <v>203</v>
      </c>
      <c r="DIQ14" s="314" t="s">
        <v>203</v>
      </c>
      <c r="DIR14" s="314" t="s">
        <v>203</v>
      </c>
      <c r="DIS14" s="314" t="s">
        <v>203</v>
      </c>
      <c r="DIT14" s="314" t="s">
        <v>203</v>
      </c>
      <c r="DIU14" s="314" t="s">
        <v>203</v>
      </c>
      <c r="DIV14" s="314" t="s">
        <v>203</v>
      </c>
      <c r="DIW14" s="314" t="s">
        <v>203</v>
      </c>
      <c r="DIX14" s="314" t="s">
        <v>203</v>
      </c>
      <c r="DIY14" s="314" t="s">
        <v>203</v>
      </c>
      <c r="DIZ14" s="314" t="s">
        <v>203</v>
      </c>
      <c r="DJA14" s="314" t="s">
        <v>203</v>
      </c>
      <c r="DJB14" s="314" t="s">
        <v>203</v>
      </c>
      <c r="DJC14" s="314" t="s">
        <v>203</v>
      </c>
      <c r="DJD14" s="314" t="s">
        <v>203</v>
      </c>
      <c r="DJE14" s="314" t="s">
        <v>203</v>
      </c>
      <c r="DJF14" s="314" t="s">
        <v>203</v>
      </c>
      <c r="DJG14" s="314" t="s">
        <v>203</v>
      </c>
      <c r="DJH14" s="314" t="s">
        <v>203</v>
      </c>
      <c r="DJI14" s="314" t="s">
        <v>203</v>
      </c>
      <c r="DJJ14" s="314" t="s">
        <v>203</v>
      </c>
      <c r="DJK14" s="314" t="s">
        <v>203</v>
      </c>
      <c r="DJL14" s="314" t="s">
        <v>203</v>
      </c>
      <c r="DJM14" s="314" t="s">
        <v>203</v>
      </c>
      <c r="DJN14" s="314" t="s">
        <v>203</v>
      </c>
      <c r="DJO14" s="314" t="s">
        <v>203</v>
      </c>
      <c r="DJP14" s="314" t="s">
        <v>203</v>
      </c>
      <c r="DJQ14" s="314" t="s">
        <v>203</v>
      </c>
      <c r="DJR14" s="314" t="s">
        <v>203</v>
      </c>
      <c r="DJS14" s="314" t="s">
        <v>203</v>
      </c>
      <c r="DJT14" s="314" t="s">
        <v>203</v>
      </c>
      <c r="DJU14" s="314" t="s">
        <v>203</v>
      </c>
      <c r="DJV14" s="314" t="s">
        <v>203</v>
      </c>
      <c r="DJW14" s="314" t="s">
        <v>203</v>
      </c>
      <c r="DJX14" s="314" t="s">
        <v>203</v>
      </c>
      <c r="DJY14" s="314" t="s">
        <v>203</v>
      </c>
      <c r="DJZ14" s="314" t="s">
        <v>203</v>
      </c>
      <c r="DKA14" s="314" t="s">
        <v>203</v>
      </c>
      <c r="DKB14" s="314" t="s">
        <v>203</v>
      </c>
      <c r="DKC14" s="314" t="s">
        <v>203</v>
      </c>
      <c r="DKD14" s="314" t="s">
        <v>203</v>
      </c>
      <c r="DKE14" s="314" t="s">
        <v>203</v>
      </c>
      <c r="DKF14" s="314" t="s">
        <v>203</v>
      </c>
      <c r="DKG14" s="314" t="s">
        <v>203</v>
      </c>
      <c r="DKH14" s="314" t="s">
        <v>203</v>
      </c>
      <c r="DKI14" s="314" t="s">
        <v>203</v>
      </c>
      <c r="DKJ14" s="314" t="s">
        <v>203</v>
      </c>
      <c r="DKK14" s="314" t="s">
        <v>203</v>
      </c>
      <c r="DKL14" s="314" t="s">
        <v>203</v>
      </c>
      <c r="DKM14" s="314" t="s">
        <v>203</v>
      </c>
      <c r="DKN14" s="314" t="s">
        <v>203</v>
      </c>
      <c r="DKO14" s="314" t="s">
        <v>203</v>
      </c>
      <c r="DKP14" s="314" t="s">
        <v>203</v>
      </c>
      <c r="DKQ14" s="314" t="s">
        <v>203</v>
      </c>
      <c r="DKR14" s="314" t="s">
        <v>203</v>
      </c>
      <c r="DKS14" s="314" t="s">
        <v>203</v>
      </c>
      <c r="DKT14" s="314" t="s">
        <v>203</v>
      </c>
      <c r="DKU14" s="314" t="s">
        <v>203</v>
      </c>
      <c r="DKV14" s="314" t="s">
        <v>203</v>
      </c>
      <c r="DKW14" s="314" t="s">
        <v>203</v>
      </c>
      <c r="DKX14" s="314" t="s">
        <v>203</v>
      </c>
      <c r="DKY14" s="314" t="s">
        <v>203</v>
      </c>
      <c r="DKZ14" s="314" t="s">
        <v>203</v>
      </c>
      <c r="DLA14" s="314" t="s">
        <v>203</v>
      </c>
      <c r="DLB14" s="314" t="s">
        <v>203</v>
      </c>
      <c r="DLC14" s="314" t="s">
        <v>203</v>
      </c>
      <c r="DLD14" s="314" t="s">
        <v>203</v>
      </c>
      <c r="DLE14" s="314" t="s">
        <v>203</v>
      </c>
      <c r="DLF14" s="314" t="s">
        <v>203</v>
      </c>
      <c r="DLG14" s="314" t="s">
        <v>203</v>
      </c>
      <c r="DLH14" s="314" t="s">
        <v>203</v>
      </c>
      <c r="DLI14" s="314" t="s">
        <v>203</v>
      </c>
      <c r="DLJ14" s="314" t="s">
        <v>203</v>
      </c>
      <c r="DLK14" s="314" t="s">
        <v>203</v>
      </c>
      <c r="DLL14" s="314" t="s">
        <v>203</v>
      </c>
      <c r="DLM14" s="314" t="s">
        <v>203</v>
      </c>
      <c r="DLN14" s="314" t="s">
        <v>203</v>
      </c>
      <c r="DLO14" s="314" t="s">
        <v>203</v>
      </c>
      <c r="DLP14" s="314" t="s">
        <v>203</v>
      </c>
      <c r="DLQ14" s="314" t="s">
        <v>203</v>
      </c>
      <c r="DLR14" s="314" t="s">
        <v>203</v>
      </c>
      <c r="DLS14" s="314" t="s">
        <v>203</v>
      </c>
      <c r="DLT14" s="314" t="s">
        <v>203</v>
      </c>
      <c r="DLU14" s="314" t="s">
        <v>203</v>
      </c>
      <c r="DLV14" s="314" t="s">
        <v>203</v>
      </c>
      <c r="DLW14" s="314" t="s">
        <v>203</v>
      </c>
      <c r="DLX14" s="314" t="s">
        <v>203</v>
      </c>
      <c r="DLY14" s="314" t="s">
        <v>203</v>
      </c>
      <c r="DLZ14" s="314" t="s">
        <v>203</v>
      </c>
      <c r="DMA14" s="314" t="s">
        <v>203</v>
      </c>
      <c r="DMB14" s="314" t="s">
        <v>203</v>
      </c>
      <c r="DMC14" s="314" t="s">
        <v>203</v>
      </c>
      <c r="DMD14" s="314" t="s">
        <v>203</v>
      </c>
      <c r="DME14" s="314" t="s">
        <v>203</v>
      </c>
      <c r="DMF14" s="314" t="s">
        <v>203</v>
      </c>
      <c r="DMG14" s="314" t="s">
        <v>203</v>
      </c>
      <c r="DMH14" s="314" t="s">
        <v>203</v>
      </c>
      <c r="DMI14" s="314" t="s">
        <v>203</v>
      </c>
      <c r="DMJ14" s="314" t="s">
        <v>203</v>
      </c>
      <c r="DMK14" s="314" t="s">
        <v>203</v>
      </c>
      <c r="DML14" s="314" t="s">
        <v>203</v>
      </c>
      <c r="DMM14" s="314" t="s">
        <v>203</v>
      </c>
      <c r="DMN14" s="314" t="s">
        <v>203</v>
      </c>
      <c r="DMO14" s="314" t="s">
        <v>203</v>
      </c>
      <c r="DMP14" s="314" t="s">
        <v>203</v>
      </c>
      <c r="DMQ14" s="314" t="s">
        <v>203</v>
      </c>
      <c r="DMR14" s="314" t="s">
        <v>203</v>
      </c>
      <c r="DMS14" s="314" t="s">
        <v>203</v>
      </c>
      <c r="DMT14" s="314" t="s">
        <v>203</v>
      </c>
      <c r="DMU14" s="314" t="s">
        <v>203</v>
      </c>
      <c r="DMV14" s="314" t="s">
        <v>203</v>
      </c>
      <c r="DMW14" s="314" t="s">
        <v>203</v>
      </c>
      <c r="DMX14" s="314" t="s">
        <v>203</v>
      </c>
      <c r="DMY14" s="314" t="s">
        <v>203</v>
      </c>
      <c r="DMZ14" s="314" t="s">
        <v>203</v>
      </c>
      <c r="DNA14" s="314" t="s">
        <v>203</v>
      </c>
      <c r="DNB14" s="314" t="s">
        <v>203</v>
      </c>
      <c r="DNC14" s="314" t="s">
        <v>203</v>
      </c>
      <c r="DND14" s="314" t="s">
        <v>203</v>
      </c>
      <c r="DNE14" s="314" t="s">
        <v>203</v>
      </c>
      <c r="DNF14" s="314" t="s">
        <v>203</v>
      </c>
      <c r="DNG14" s="314" t="s">
        <v>203</v>
      </c>
      <c r="DNH14" s="314" t="s">
        <v>203</v>
      </c>
      <c r="DNI14" s="314" t="s">
        <v>203</v>
      </c>
      <c r="DNJ14" s="314" t="s">
        <v>203</v>
      </c>
      <c r="DNK14" s="314" t="s">
        <v>203</v>
      </c>
      <c r="DNL14" s="314" t="s">
        <v>203</v>
      </c>
      <c r="DNM14" s="314" t="s">
        <v>203</v>
      </c>
      <c r="DNN14" s="314" t="s">
        <v>203</v>
      </c>
      <c r="DNO14" s="314" t="s">
        <v>203</v>
      </c>
      <c r="DNP14" s="314" t="s">
        <v>203</v>
      </c>
      <c r="DNQ14" s="314" t="s">
        <v>203</v>
      </c>
      <c r="DNR14" s="314" t="s">
        <v>203</v>
      </c>
      <c r="DNS14" s="314" t="s">
        <v>203</v>
      </c>
      <c r="DNT14" s="314" t="s">
        <v>203</v>
      </c>
      <c r="DNU14" s="314" t="s">
        <v>203</v>
      </c>
      <c r="DNV14" s="314" t="s">
        <v>203</v>
      </c>
      <c r="DNW14" s="314" t="s">
        <v>203</v>
      </c>
      <c r="DNX14" s="314" t="s">
        <v>203</v>
      </c>
      <c r="DNY14" s="314" t="s">
        <v>203</v>
      </c>
      <c r="DNZ14" s="314" t="s">
        <v>203</v>
      </c>
      <c r="DOA14" s="314" t="s">
        <v>203</v>
      </c>
      <c r="DOB14" s="314" t="s">
        <v>203</v>
      </c>
      <c r="DOC14" s="314" t="s">
        <v>203</v>
      </c>
      <c r="DOD14" s="314" t="s">
        <v>203</v>
      </c>
      <c r="DOE14" s="314" t="s">
        <v>203</v>
      </c>
      <c r="DOF14" s="314" t="s">
        <v>203</v>
      </c>
      <c r="DOG14" s="314" t="s">
        <v>203</v>
      </c>
      <c r="DOH14" s="314" t="s">
        <v>203</v>
      </c>
      <c r="DOI14" s="314" t="s">
        <v>203</v>
      </c>
      <c r="DOJ14" s="314" t="s">
        <v>203</v>
      </c>
      <c r="DOK14" s="314" t="s">
        <v>203</v>
      </c>
      <c r="DOL14" s="314" t="s">
        <v>203</v>
      </c>
      <c r="DOM14" s="314" t="s">
        <v>203</v>
      </c>
      <c r="DON14" s="314" t="s">
        <v>203</v>
      </c>
      <c r="DOO14" s="314" t="s">
        <v>203</v>
      </c>
      <c r="DOP14" s="314" t="s">
        <v>203</v>
      </c>
      <c r="DOQ14" s="314" t="s">
        <v>203</v>
      </c>
      <c r="DOR14" s="314" t="s">
        <v>203</v>
      </c>
      <c r="DOS14" s="314" t="s">
        <v>203</v>
      </c>
      <c r="DOT14" s="314" t="s">
        <v>203</v>
      </c>
      <c r="DOU14" s="314" t="s">
        <v>203</v>
      </c>
      <c r="DOV14" s="314" t="s">
        <v>203</v>
      </c>
      <c r="DOW14" s="314" t="s">
        <v>203</v>
      </c>
      <c r="DOX14" s="314" t="s">
        <v>203</v>
      </c>
      <c r="DOY14" s="314" t="s">
        <v>203</v>
      </c>
      <c r="DOZ14" s="314" t="s">
        <v>203</v>
      </c>
      <c r="DPA14" s="314" t="s">
        <v>203</v>
      </c>
      <c r="DPB14" s="314" t="s">
        <v>203</v>
      </c>
      <c r="DPC14" s="314" t="s">
        <v>203</v>
      </c>
      <c r="DPD14" s="314" t="s">
        <v>203</v>
      </c>
      <c r="DPE14" s="314" t="s">
        <v>203</v>
      </c>
      <c r="DPF14" s="314" t="s">
        <v>203</v>
      </c>
      <c r="DPG14" s="314" t="s">
        <v>203</v>
      </c>
      <c r="DPH14" s="314" t="s">
        <v>203</v>
      </c>
      <c r="DPI14" s="314" t="s">
        <v>203</v>
      </c>
      <c r="DPJ14" s="314" t="s">
        <v>203</v>
      </c>
      <c r="DPK14" s="314" t="s">
        <v>203</v>
      </c>
      <c r="DPL14" s="314" t="s">
        <v>203</v>
      </c>
      <c r="DPM14" s="314" t="s">
        <v>203</v>
      </c>
      <c r="DPN14" s="314" t="s">
        <v>203</v>
      </c>
      <c r="DPO14" s="314" t="s">
        <v>203</v>
      </c>
      <c r="DPP14" s="314" t="s">
        <v>203</v>
      </c>
      <c r="DPQ14" s="314" t="s">
        <v>203</v>
      </c>
      <c r="DPR14" s="314" t="s">
        <v>203</v>
      </c>
      <c r="DPS14" s="314" t="s">
        <v>203</v>
      </c>
      <c r="DPT14" s="314" t="s">
        <v>203</v>
      </c>
      <c r="DPU14" s="314" t="s">
        <v>203</v>
      </c>
      <c r="DPV14" s="314" t="s">
        <v>203</v>
      </c>
      <c r="DPW14" s="314" t="s">
        <v>203</v>
      </c>
      <c r="DPX14" s="314" t="s">
        <v>203</v>
      </c>
      <c r="DPY14" s="314" t="s">
        <v>203</v>
      </c>
      <c r="DPZ14" s="314" t="s">
        <v>203</v>
      </c>
      <c r="DQA14" s="314" t="s">
        <v>203</v>
      </c>
      <c r="DQB14" s="314" t="s">
        <v>203</v>
      </c>
      <c r="DQC14" s="314" t="s">
        <v>203</v>
      </c>
      <c r="DQD14" s="314" t="s">
        <v>203</v>
      </c>
      <c r="DQE14" s="314" t="s">
        <v>203</v>
      </c>
      <c r="DQF14" s="314" t="s">
        <v>203</v>
      </c>
      <c r="DQG14" s="314" t="s">
        <v>203</v>
      </c>
      <c r="DQH14" s="314" t="s">
        <v>203</v>
      </c>
      <c r="DQI14" s="314" t="s">
        <v>203</v>
      </c>
      <c r="DQJ14" s="314" t="s">
        <v>203</v>
      </c>
      <c r="DQK14" s="314" t="s">
        <v>203</v>
      </c>
      <c r="DQL14" s="314" t="s">
        <v>203</v>
      </c>
      <c r="DQM14" s="314" t="s">
        <v>203</v>
      </c>
      <c r="DQN14" s="314" t="s">
        <v>203</v>
      </c>
      <c r="DQO14" s="314" t="s">
        <v>203</v>
      </c>
      <c r="DQP14" s="314" t="s">
        <v>203</v>
      </c>
      <c r="DQQ14" s="314" t="s">
        <v>203</v>
      </c>
      <c r="DQR14" s="314" t="s">
        <v>203</v>
      </c>
      <c r="DQS14" s="314" t="s">
        <v>203</v>
      </c>
      <c r="DQT14" s="314" t="s">
        <v>203</v>
      </c>
      <c r="DQU14" s="314" t="s">
        <v>203</v>
      </c>
      <c r="DQV14" s="314" t="s">
        <v>203</v>
      </c>
      <c r="DQW14" s="314" t="s">
        <v>203</v>
      </c>
      <c r="DQX14" s="314" t="s">
        <v>203</v>
      </c>
      <c r="DQY14" s="314" t="s">
        <v>203</v>
      </c>
      <c r="DQZ14" s="314" t="s">
        <v>203</v>
      </c>
      <c r="DRA14" s="314" t="s">
        <v>203</v>
      </c>
      <c r="DRB14" s="314" t="s">
        <v>203</v>
      </c>
      <c r="DRC14" s="314" t="s">
        <v>203</v>
      </c>
      <c r="DRD14" s="314" t="s">
        <v>203</v>
      </c>
      <c r="DRE14" s="314" t="s">
        <v>203</v>
      </c>
      <c r="DRF14" s="314" t="s">
        <v>203</v>
      </c>
      <c r="DRG14" s="314" t="s">
        <v>203</v>
      </c>
      <c r="DRH14" s="314" t="s">
        <v>203</v>
      </c>
      <c r="DRI14" s="314" t="s">
        <v>203</v>
      </c>
      <c r="DRJ14" s="314" t="s">
        <v>203</v>
      </c>
      <c r="DRK14" s="314" t="s">
        <v>203</v>
      </c>
      <c r="DRL14" s="314" t="s">
        <v>203</v>
      </c>
      <c r="DRM14" s="314" t="s">
        <v>203</v>
      </c>
      <c r="DRN14" s="314" t="s">
        <v>203</v>
      </c>
      <c r="DRO14" s="314" t="s">
        <v>203</v>
      </c>
      <c r="DRP14" s="314" t="s">
        <v>203</v>
      </c>
      <c r="DRQ14" s="314" t="s">
        <v>203</v>
      </c>
      <c r="DRR14" s="314" t="s">
        <v>203</v>
      </c>
      <c r="DRS14" s="314" t="s">
        <v>203</v>
      </c>
      <c r="DRT14" s="314" t="s">
        <v>203</v>
      </c>
      <c r="DRU14" s="314" t="s">
        <v>203</v>
      </c>
      <c r="DRV14" s="314" t="s">
        <v>203</v>
      </c>
      <c r="DRW14" s="314" t="s">
        <v>203</v>
      </c>
      <c r="DRX14" s="314" t="s">
        <v>203</v>
      </c>
      <c r="DRY14" s="314" t="s">
        <v>203</v>
      </c>
      <c r="DRZ14" s="314" t="s">
        <v>203</v>
      </c>
      <c r="DSA14" s="314" t="s">
        <v>203</v>
      </c>
      <c r="DSB14" s="314" t="s">
        <v>203</v>
      </c>
      <c r="DSC14" s="314" t="s">
        <v>203</v>
      </c>
      <c r="DSD14" s="314" t="s">
        <v>203</v>
      </c>
      <c r="DSE14" s="314" t="s">
        <v>203</v>
      </c>
      <c r="DSF14" s="314" t="s">
        <v>203</v>
      </c>
      <c r="DSG14" s="314" t="s">
        <v>203</v>
      </c>
      <c r="DSH14" s="314" t="s">
        <v>203</v>
      </c>
      <c r="DSI14" s="314" t="s">
        <v>203</v>
      </c>
      <c r="DSJ14" s="314" t="s">
        <v>203</v>
      </c>
      <c r="DSK14" s="314" t="s">
        <v>203</v>
      </c>
      <c r="DSL14" s="314" t="s">
        <v>203</v>
      </c>
      <c r="DSM14" s="314" t="s">
        <v>203</v>
      </c>
      <c r="DSN14" s="314" t="s">
        <v>203</v>
      </c>
      <c r="DSO14" s="314" t="s">
        <v>203</v>
      </c>
      <c r="DSP14" s="314" t="s">
        <v>203</v>
      </c>
      <c r="DSQ14" s="314" t="s">
        <v>203</v>
      </c>
      <c r="DSR14" s="314" t="s">
        <v>203</v>
      </c>
      <c r="DSS14" s="314" t="s">
        <v>203</v>
      </c>
      <c r="DST14" s="314" t="s">
        <v>203</v>
      </c>
      <c r="DSU14" s="314" t="s">
        <v>203</v>
      </c>
      <c r="DSV14" s="314" t="s">
        <v>203</v>
      </c>
      <c r="DSW14" s="314" t="s">
        <v>203</v>
      </c>
      <c r="DSX14" s="314" t="s">
        <v>203</v>
      </c>
      <c r="DSY14" s="314" t="s">
        <v>203</v>
      </c>
      <c r="DSZ14" s="314" t="s">
        <v>203</v>
      </c>
      <c r="DTA14" s="314" t="s">
        <v>203</v>
      </c>
      <c r="DTB14" s="314" t="s">
        <v>203</v>
      </c>
      <c r="DTC14" s="314" t="s">
        <v>203</v>
      </c>
      <c r="DTD14" s="314" t="s">
        <v>203</v>
      </c>
      <c r="DTE14" s="314" t="s">
        <v>203</v>
      </c>
      <c r="DTF14" s="314" t="s">
        <v>203</v>
      </c>
      <c r="DTG14" s="314" t="s">
        <v>203</v>
      </c>
      <c r="DTH14" s="314" t="s">
        <v>203</v>
      </c>
      <c r="DTI14" s="314" t="s">
        <v>203</v>
      </c>
      <c r="DTJ14" s="314" t="s">
        <v>203</v>
      </c>
      <c r="DTK14" s="314" t="s">
        <v>203</v>
      </c>
      <c r="DTL14" s="314" t="s">
        <v>203</v>
      </c>
      <c r="DTM14" s="314" t="s">
        <v>203</v>
      </c>
      <c r="DTN14" s="314" t="s">
        <v>203</v>
      </c>
      <c r="DTO14" s="314" t="s">
        <v>203</v>
      </c>
      <c r="DTP14" s="314" t="s">
        <v>203</v>
      </c>
      <c r="DTQ14" s="314" t="s">
        <v>203</v>
      </c>
      <c r="DTR14" s="314" t="s">
        <v>203</v>
      </c>
      <c r="DTS14" s="314" t="s">
        <v>203</v>
      </c>
      <c r="DTT14" s="314" t="s">
        <v>203</v>
      </c>
      <c r="DTU14" s="314" t="s">
        <v>203</v>
      </c>
      <c r="DTV14" s="314" t="s">
        <v>203</v>
      </c>
      <c r="DTW14" s="314" t="s">
        <v>203</v>
      </c>
      <c r="DTX14" s="314" t="s">
        <v>203</v>
      </c>
      <c r="DTY14" s="314" t="s">
        <v>203</v>
      </c>
      <c r="DTZ14" s="314" t="s">
        <v>203</v>
      </c>
      <c r="DUA14" s="314" t="s">
        <v>203</v>
      </c>
      <c r="DUB14" s="314" t="s">
        <v>203</v>
      </c>
      <c r="DUC14" s="314" t="s">
        <v>203</v>
      </c>
      <c r="DUD14" s="314" t="s">
        <v>203</v>
      </c>
      <c r="DUE14" s="314" t="s">
        <v>203</v>
      </c>
      <c r="DUF14" s="314" t="s">
        <v>203</v>
      </c>
      <c r="DUG14" s="314" t="s">
        <v>203</v>
      </c>
      <c r="DUH14" s="314" t="s">
        <v>203</v>
      </c>
      <c r="DUI14" s="314" t="s">
        <v>203</v>
      </c>
      <c r="DUJ14" s="314" t="s">
        <v>203</v>
      </c>
      <c r="DUK14" s="314" t="s">
        <v>203</v>
      </c>
      <c r="DUL14" s="314" t="s">
        <v>203</v>
      </c>
      <c r="DUM14" s="314" t="s">
        <v>203</v>
      </c>
      <c r="DUN14" s="314" t="s">
        <v>203</v>
      </c>
      <c r="DUO14" s="314" t="s">
        <v>203</v>
      </c>
      <c r="DUP14" s="314" t="s">
        <v>203</v>
      </c>
      <c r="DUQ14" s="314" t="s">
        <v>203</v>
      </c>
      <c r="DUR14" s="314" t="s">
        <v>203</v>
      </c>
      <c r="DUS14" s="314" t="s">
        <v>203</v>
      </c>
      <c r="DUT14" s="314" t="s">
        <v>203</v>
      </c>
      <c r="DUU14" s="314" t="s">
        <v>203</v>
      </c>
      <c r="DUV14" s="314" t="s">
        <v>203</v>
      </c>
      <c r="DUW14" s="314" t="s">
        <v>203</v>
      </c>
      <c r="DUX14" s="314" t="s">
        <v>203</v>
      </c>
      <c r="DUY14" s="314" t="s">
        <v>203</v>
      </c>
      <c r="DUZ14" s="314" t="s">
        <v>203</v>
      </c>
      <c r="DVA14" s="314" t="s">
        <v>203</v>
      </c>
      <c r="DVB14" s="314" t="s">
        <v>203</v>
      </c>
      <c r="DVC14" s="314" t="s">
        <v>203</v>
      </c>
      <c r="DVD14" s="314" t="s">
        <v>203</v>
      </c>
      <c r="DVE14" s="314" t="s">
        <v>203</v>
      </c>
      <c r="DVF14" s="314" t="s">
        <v>203</v>
      </c>
      <c r="DVG14" s="314" t="s">
        <v>203</v>
      </c>
      <c r="DVH14" s="314" t="s">
        <v>203</v>
      </c>
      <c r="DVI14" s="314" t="s">
        <v>203</v>
      </c>
      <c r="DVJ14" s="314" t="s">
        <v>203</v>
      </c>
      <c r="DVK14" s="314" t="s">
        <v>203</v>
      </c>
      <c r="DVL14" s="314" t="s">
        <v>203</v>
      </c>
      <c r="DVM14" s="314" t="s">
        <v>203</v>
      </c>
      <c r="DVN14" s="314" t="s">
        <v>203</v>
      </c>
      <c r="DVO14" s="314" t="s">
        <v>203</v>
      </c>
      <c r="DVP14" s="314" t="s">
        <v>203</v>
      </c>
      <c r="DVQ14" s="314" t="s">
        <v>203</v>
      </c>
      <c r="DVR14" s="314" t="s">
        <v>203</v>
      </c>
      <c r="DVS14" s="314" t="s">
        <v>203</v>
      </c>
      <c r="DVT14" s="314" t="s">
        <v>203</v>
      </c>
      <c r="DVU14" s="314" t="s">
        <v>203</v>
      </c>
      <c r="DVV14" s="314" t="s">
        <v>203</v>
      </c>
      <c r="DVW14" s="314" t="s">
        <v>203</v>
      </c>
      <c r="DVX14" s="314" t="s">
        <v>203</v>
      </c>
      <c r="DVY14" s="314" t="s">
        <v>203</v>
      </c>
      <c r="DVZ14" s="314" t="s">
        <v>203</v>
      </c>
      <c r="DWA14" s="314" t="s">
        <v>203</v>
      </c>
      <c r="DWB14" s="314" t="s">
        <v>203</v>
      </c>
      <c r="DWC14" s="314" t="s">
        <v>203</v>
      </c>
      <c r="DWD14" s="314" t="s">
        <v>203</v>
      </c>
      <c r="DWE14" s="314" t="s">
        <v>203</v>
      </c>
      <c r="DWF14" s="314" t="s">
        <v>203</v>
      </c>
      <c r="DWG14" s="314" t="s">
        <v>203</v>
      </c>
      <c r="DWH14" s="314" t="s">
        <v>203</v>
      </c>
      <c r="DWI14" s="314" t="s">
        <v>203</v>
      </c>
      <c r="DWJ14" s="314" t="s">
        <v>203</v>
      </c>
      <c r="DWK14" s="314" t="s">
        <v>203</v>
      </c>
      <c r="DWL14" s="314" t="s">
        <v>203</v>
      </c>
      <c r="DWM14" s="314" t="s">
        <v>203</v>
      </c>
      <c r="DWN14" s="314" t="s">
        <v>203</v>
      </c>
      <c r="DWO14" s="314" t="s">
        <v>203</v>
      </c>
      <c r="DWP14" s="314" t="s">
        <v>203</v>
      </c>
      <c r="DWQ14" s="314" t="s">
        <v>203</v>
      </c>
      <c r="DWR14" s="314" t="s">
        <v>203</v>
      </c>
      <c r="DWS14" s="314" t="s">
        <v>203</v>
      </c>
      <c r="DWT14" s="314" t="s">
        <v>203</v>
      </c>
      <c r="DWU14" s="314" t="s">
        <v>203</v>
      </c>
      <c r="DWV14" s="314" t="s">
        <v>203</v>
      </c>
      <c r="DWW14" s="314" t="s">
        <v>203</v>
      </c>
      <c r="DWX14" s="314" t="s">
        <v>203</v>
      </c>
      <c r="DWY14" s="314" t="s">
        <v>203</v>
      </c>
      <c r="DWZ14" s="314" t="s">
        <v>203</v>
      </c>
      <c r="DXA14" s="314" t="s">
        <v>203</v>
      </c>
      <c r="DXB14" s="314" t="s">
        <v>203</v>
      </c>
      <c r="DXC14" s="314" t="s">
        <v>203</v>
      </c>
      <c r="DXD14" s="314" t="s">
        <v>203</v>
      </c>
      <c r="DXE14" s="314" t="s">
        <v>203</v>
      </c>
      <c r="DXF14" s="314" t="s">
        <v>203</v>
      </c>
      <c r="DXG14" s="314" t="s">
        <v>203</v>
      </c>
      <c r="DXH14" s="314" t="s">
        <v>203</v>
      </c>
      <c r="DXI14" s="314" t="s">
        <v>203</v>
      </c>
      <c r="DXJ14" s="314" t="s">
        <v>203</v>
      </c>
      <c r="DXK14" s="314" t="s">
        <v>203</v>
      </c>
      <c r="DXL14" s="314" t="s">
        <v>203</v>
      </c>
      <c r="DXM14" s="314" t="s">
        <v>203</v>
      </c>
      <c r="DXN14" s="314" t="s">
        <v>203</v>
      </c>
      <c r="DXO14" s="314" t="s">
        <v>203</v>
      </c>
      <c r="DXP14" s="314" t="s">
        <v>203</v>
      </c>
      <c r="DXQ14" s="314" t="s">
        <v>203</v>
      </c>
      <c r="DXR14" s="314" t="s">
        <v>203</v>
      </c>
      <c r="DXS14" s="314" t="s">
        <v>203</v>
      </c>
      <c r="DXT14" s="314" t="s">
        <v>203</v>
      </c>
      <c r="DXU14" s="314" t="s">
        <v>203</v>
      </c>
      <c r="DXV14" s="314" t="s">
        <v>203</v>
      </c>
      <c r="DXW14" s="314" t="s">
        <v>203</v>
      </c>
      <c r="DXX14" s="314" t="s">
        <v>203</v>
      </c>
      <c r="DXY14" s="314" t="s">
        <v>203</v>
      </c>
      <c r="DXZ14" s="314" t="s">
        <v>203</v>
      </c>
      <c r="DYA14" s="314" t="s">
        <v>203</v>
      </c>
      <c r="DYB14" s="314" t="s">
        <v>203</v>
      </c>
      <c r="DYC14" s="314" t="s">
        <v>203</v>
      </c>
      <c r="DYD14" s="314" t="s">
        <v>203</v>
      </c>
      <c r="DYE14" s="314" t="s">
        <v>203</v>
      </c>
      <c r="DYF14" s="314" t="s">
        <v>203</v>
      </c>
      <c r="DYG14" s="314" t="s">
        <v>203</v>
      </c>
      <c r="DYH14" s="314" t="s">
        <v>203</v>
      </c>
      <c r="DYI14" s="314" t="s">
        <v>203</v>
      </c>
      <c r="DYJ14" s="314" t="s">
        <v>203</v>
      </c>
      <c r="DYK14" s="314" t="s">
        <v>203</v>
      </c>
      <c r="DYL14" s="314" t="s">
        <v>203</v>
      </c>
      <c r="DYM14" s="314" t="s">
        <v>203</v>
      </c>
      <c r="DYN14" s="314" t="s">
        <v>203</v>
      </c>
      <c r="DYO14" s="314" t="s">
        <v>203</v>
      </c>
      <c r="DYP14" s="314" t="s">
        <v>203</v>
      </c>
      <c r="DYQ14" s="314" t="s">
        <v>203</v>
      </c>
      <c r="DYR14" s="314" t="s">
        <v>203</v>
      </c>
      <c r="DYS14" s="314" t="s">
        <v>203</v>
      </c>
      <c r="DYT14" s="314" t="s">
        <v>203</v>
      </c>
      <c r="DYU14" s="314" t="s">
        <v>203</v>
      </c>
      <c r="DYV14" s="314" t="s">
        <v>203</v>
      </c>
      <c r="DYW14" s="314" t="s">
        <v>203</v>
      </c>
      <c r="DYX14" s="314" t="s">
        <v>203</v>
      </c>
      <c r="DYY14" s="314" t="s">
        <v>203</v>
      </c>
      <c r="DYZ14" s="314" t="s">
        <v>203</v>
      </c>
      <c r="DZA14" s="314" t="s">
        <v>203</v>
      </c>
      <c r="DZB14" s="314" t="s">
        <v>203</v>
      </c>
      <c r="DZC14" s="314" t="s">
        <v>203</v>
      </c>
      <c r="DZD14" s="314" t="s">
        <v>203</v>
      </c>
      <c r="DZE14" s="314" t="s">
        <v>203</v>
      </c>
      <c r="DZF14" s="314" t="s">
        <v>203</v>
      </c>
      <c r="DZG14" s="314" t="s">
        <v>203</v>
      </c>
      <c r="DZH14" s="314" t="s">
        <v>203</v>
      </c>
      <c r="DZI14" s="314" t="s">
        <v>203</v>
      </c>
      <c r="DZJ14" s="314" t="s">
        <v>203</v>
      </c>
      <c r="DZK14" s="314" t="s">
        <v>203</v>
      </c>
      <c r="DZL14" s="314" t="s">
        <v>203</v>
      </c>
      <c r="DZM14" s="314" t="s">
        <v>203</v>
      </c>
      <c r="DZN14" s="314" t="s">
        <v>203</v>
      </c>
      <c r="DZO14" s="314" t="s">
        <v>203</v>
      </c>
      <c r="DZP14" s="314" t="s">
        <v>203</v>
      </c>
      <c r="DZQ14" s="314" t="s">
        <v>203</v>
      </c>
      <c r="DZR14" s="314" t="s">
        <v>203</v>
      </c>
      <c r="DZS14" s="314" t="s">
        <v>203</v>
      </c>
      <c r="DZT14" s="314" t="s">
        <v>203</v>
      </c>
      <c r="DZU14" s="314" t="s">
        <v>203</v>
      </c>
      <c r="DZV14" s="314" t="s">
        <v>203</v>
      </c>
      <c r="DZW14" s="314" t="s">
        <v>203</v>
      </c>
      <c r="DZX14" s="314" t="s">
        <v>203</v>
      </c>
      <c r="DZY14" s="314" t="s">
        <v>203</v>
      </c>
      <c r="DZZ14" s="314" t="s">
        <v>203</v>
      </c>
      <c r="EAA14" s="314" t="s">
        <v>203</v>
      </c>
      <c r="EAB14" s="314" t="s">
        <v>203</v>
      </c>
      <c r="EAC14" s="314" t="s">
        <v>203</v>
      </c>
      <c r="EAD14" s="314" t="s">
        <v>203</v>
      </c>
      <c r="EAE14" s="314" t="s">
        <v>203</v>
      </c>
      <c r="EAF14" s="314" t="s">
        <v>203</v>
      </c>
      <c r="EAG14" s="314" t="s">
        <v>203</v>
      </c>
      <c r="EAH14" s="314" t="s">
        <v>203</v>
      </c>
      <c r="EAI14" s="314" t="s">
        <v>203</v>
      </c>
      <c r="EAJ14" s="314" t="s">
        <v>203</v>
      </c>
      <c r="EAK14" s="314" t="s">
        <v>203</v>
      </c>
      <c r="EAL14" s="314" t="s">
        <v>203</v>
      </c>
      <c r="EAM14" s="314" t="s">
        <v>203</v>
      </c>
      <c r="EAN14" s="314" t="s">
        <v>203</v>
      </c>
      <c r="EAO14" s="314" t="s">
        <v>203</v>
      </c>
      <c r="EAP14" s="314" t="s">
        <v>203</v>
      </c>
      <c r="EAQ14" s="314" t="s">
        <v>203</v>
      </c>
      <c r="EAR14" s="314" t="s">
        <v>203</v>
      </c>
      <c r="EAS14" s="314" t="s">
        <v>203</v>
      </c>
      <c r="EAT14" s="314" t="s">
        <v>203</v>
      </c>
      <c r="EAU14" s="314" t="s">
        <v>203</v>
      </c>
      <c r="EAV14" s="314" t="s">
        <v>203</v>
      </c>
      <c r="EAW14" s="314" t="s">
        <v>203</v>
      </c>
      <c r="EAX14" s="314" t="s">
        <v>203</v>
      </c>
      <c r="EAY14" s="314" t="s">
        <v>203</v>
      </c>
      <c r="EAZ14" s="314" t="s">
        <v>203</v>
      </c>
      <c r="EBA14" s="314" t="s">
        <v>203</v>
      </c>
      <c r="EBB14" s="314" t="s">
        <v>203</v>
      </c>
      <c r="EBC14" s="314" t="s">
        <v>203</v>
      </c>
      <c r="EBD14" s="314" t="s">
        <v>203</v>
      </c>
      <c r="EBE14" s="314" t="s">
        <v>203</v>
      </c>
      <c r="EBF14" s="314" t="s">
        <v>203</v>
      </c>
      <c r="EBG14" s="314" t="s">
        <v>203</v>
      </c>
      <c r="EBH14" s="314" t="s">
        <v>203</v>
      </c>
      <c r="EBI14" s="314" t="s">
        <v>203</v>
      </c>
      <c r="EBJ14" s="314" t="s">
        <v>203</v>
      </c>
      <c r="EBK14" s="314" t="s">
        <v>203</v>
      </c>
      <c r="EBL14" s="314" t="s">
        <v>203</v>
      </c>
      <c r="EBM14" s="314" t="s">
        <v>203</v>
      </c>
      <c r="EBN14" s="314" t="s">
        <v>203</v>
      </c>
      <c r="EBO14" s="314" t="s">
        <v>203</v>
      </c>
      <c r="EBP14" s="314" t="s">
        <v>203</v>
      </c>
      <c r="EBQ14" s="314" t="s">
        <v>203</v>
      </c>
      <c r="EBR14" s="314" t="s">
        <v>203</v>
      </c>
      <c r="EBS14" s="314" t="s">
        <v>203</v>
      </c>
      <c r="EBT14" s="314" t="s">
        <v>203</v>
      </c>
      <c r="EBU14" s="314" t="s">
        <v>203</v>
      </c>
      <c r="EBV14" s="314" t="s">
        <v>203</v>
      </c>
      <c r="EBW14" s="314" t="s">
        <v>203</v>
      </c>
      <c r="EBX14" s="314" t="s">
        <v>203</v>
      </c>
      <c r="EBY14" s="314" t="s">
        <v>203</v>
      </c>
      <c r="EBZ14" s="314" t="s">
        <v>203</v>
      </c>
      <c r="ECA14" s="314" t="s">
        <v>203</v>
      </c>
      <c r="ECB14" s="314" t="s">
        <v>203</v>
      </c>
      <c r="ECC14" s="314" t="s">
        <v>203</v>
      </c>
      <c r="ECD14" s="314" t="s">
        <v>203</v>
      </c>
      <c r="ECE14" s="314" t="s">
        <v>203</v>
      </c>
      <c r="ECF14" s="314" t="s">
        <v>203</v>
      </c>
      <c r="ECG14" s="314" t="s">
        <v>203</v>
      </c>
      <c r="ECH14" s="314" t="s">
        <v>203</v>
      </c>
      <c r="ECI14" s="314" t="s">
        <v>203</v>
      </c>
      <c r="ECJ14" s="314" t="s">
        <v>203</v>
      </c>
      <c r="ECK14" s="314" t="s">
        <v>203</v>
      </c>
      <c r="ECL14" s="314" t="s">
        <v>203</v>
      </c>
      <c r="ECM14" s="314" t="s">
        <v>203</v>
      </c>
      <c r="ECN14" s="314" t="s">
        <v>203</v>
      </c>
      <c r="ECO14" s="314" t="s">
        <v>203</v>
      </c>
      <c r="ECP14" s="314" t="s">
        <v>203</v>
      </c>
      <c r="ECQ14" s="314" t="s">
        <v>203</v>
      </c>
      <c r="ECR14" s="314" t="s">
        <v>203</v>
      </c>
      <c r="ECS14" s="314" t="s">
        <v>203</v>
      </c>
      <c r="ECT14" s="314" t="s">
        <v>203</v>
      </c>
      <c r="ECU14" s="314" t="s">
        <v>203</v>
      </c>
      <c r="ECV14" s="314" t="s">
        <v>203</v>
      </c>
      <c r="ECW14" s="314" t="s">
        <v>203</v>
      </c>
      <c r="ECX14" s="314" t="s">
        <v>203</v>
      </c>
      <c r="ECY14" s="314" t="s">
        <v>203</v>
      </c>
      <c r="ECZ14" s="314" t="s">
        <v>203</v>
      </c>
      <c r="EDA14" s="314" t="s">
        <v>203</v>
      </c>
      <c r="EDB14" s="314" t="s">
        <v>203</v>
      </c>
      <c r="EDC14" s="314" t="s">
        <v>203</v>
      </c>
      <c r="EDD14" s="314" t="s">
        <v>203</v>
      </c>
      <c r="EDE14" s="314" t="s">
        <v>203</v>
      </c>
      <c r="EDF14" s="314" t="s">
        <v>203</v>
      </c>
      <c r="EDG14" s="314" t="s">
        <v>203</v>
      </c>
      <c r="EDH14" s="314" t="s">
        <v>203</v>
      </c>
      <c r="EDI14" s="314" t="s">
        <v>203</v>
      </c>
      <c r="EDJ14" s="314" t="s">
        <v>203</v>
      </c>
      <c r="EDK14" s="314" t="s">
        <v>203</v>
      </c>
      <c r="EDL14" s="314" t="s">
        <v>203</v>
      </c>
      <c r="EDM14" s="314" t="s">
        <v>203</v>
      </c>
      <c r="EDN14" s="314" t="s">
        <v>203</v>
      </c>
      <c r="EDO14" s="314" t="s">
        <v>203</v>
      </c>
      <c r="EDP14" s="314" t="s">
        <v>203</v>
      </c>
      <c r="EDQ14" s="314" t="s">
        <v>203</v>
      </c>
      <c r="EDR14" s="314" t="s">
        <v>203</v>
      </c>
      <c r="EDS14" s="314" t="s">
        <v>203</v>
      </c>
      <c r="EDT14" s="314" t="s">
        <v>203</v>
      </c>
      <c r="EDU14" s="314" t="s">
        <v>203</v>
      </c>
      <c r="EDV14" s="314" t="s">
        <v>203</v>
      </c>
      <c r="EDW14" s="314" t="s">
        <v>203</v>
      </c>
      <c r="EDX14" s="314" t="s">
        <v>203</v>
      </c>
      <c r="EDY14" s="314" t="s">
        <v>203</v>
      </c>
      <c r="EDZ14" s="314" t="s">
        <v>203</v>
      </c>
      <c r="EEA14" s="314" t="s">
        <v>203</v>
      </c>
      <c r="EEB14" s="314" t="s">
        <v>203</v>
      </c>
      <c r="EEC14" s="314" t="s">
        <v>203</v>
      </c>
      <c r="EED14" s="314" t="s">
        <v>203</v>
      </c>
      <c r="EEE14" s="314" t="s">
        <v>203</v>
      </c>
      <c r="EEF14" s="314" t="s">
        <v>203</v>
      </c>
      <c r="EEG14" s="314" t="s">
        <v>203</v>
      </c>
      <c r="EEH14" s="314" t="s">
        <v>203</v>
      </c>
      <c r="EEI14" s="314" t="s">
        <v>203</v>
      </c>
      <c r="EEJ14" s="314" t="s">
        <v>203</v>
      </c>
      <c r="EEK14" s="314" t="s">
        <v>203</v>
      </c>
      <c r="EEL14" s="314" t="s">
        <v>203</v>
      </c>
      <c r="EEM14" s="314" t="s">
        <v>203</v>
      </c>
      <c r="EEN14" s="314" t="s">
        <v>203</v>
      </c>
      <c r="EEO14" s="314" t="s">
        <v>203</v>
      </c>
      <c r="EEP14" s="314" t="s">
        <v>203</v>
      </c>
      <c r="EEQ14" s="314" t="s">
        <v>203</v>
      </c>
      <c r="EER14" s="314" t="s">
        <v>203</v>
      </c>
      <c r="EES14" s="314" t="s">
        <v>203</v>
      </c>
      <c r="EET14" s="314" t="s">
        <v>203</v>
      </c>
      <c r="EEU14" s="314" t="s">
        <v>203</v>
      </c>
      <c r="EEV14" s="314" t="s">
        <v>203</v>
      </c>
      <c r="EEW14" s="314" t="s">
        <v>203</v>
      </c>
      <c r="EEX14" s="314" t="s">
        <v>203</v>
      </c>
      <c r="EEY14" s="314" t="s">
        <v>203</v>
      </c>
      <c r="EEZ14" s="314" t="s">
        <v>203</v>
      </c>
      <c r="EFA14" s="314" t="s">
        <v>203</v>
      </c>
      <c r="EFB14" s="314" t="s">
        <v>203</v>
      </c>
      <c r="EFC14" s="314" t="s">
        <v>203</v>
      </c>
      <c r="EFD14" s="314" t="s">
        <v>203</v>
      </c>
      <c r="EFE14" s="314" t="s">
        <v>203</v>
      </c>
      <c r="EFF14" s="314" t="s">
        <v>203</v>
      </c>
      <c r="EFG14" s="314" t="s">
        <v>203</v>
      </c>
      <c r="EFH14" s="314" t="s">
        <v>203</v>
      </c>
      <c r="EFI14" s="314" t="s">
        <v>203</v>
      </c>
      <c r="EFJ14" s="314" t="s">
        <v>203</v>
      </c>
      <c r="EFK14" s="314" t="s">
        <v>203</v>
      </c>
      <c r="EFL14" s="314" t="s">
        <v>203</v>
      </c>
      <c r="EFM14" s="314" t="s">
        <v>203</v>
      </c>
      <c r="EFN14" s="314" t="s">
        <v>203</v>
      </c>
      <c r="EFO14" s="314" t="s">
        <v>203</v>
      </c>
      <c r="EFP14" s="314" t="s">
        <v>203</v>
      </c>
      <c r="EFQ14" s="314" t="s">
        <v>203</v>
      </c>
      <c r="EFR14" s="314" t="s">
        <v>203</v>
      </c>
      <c r="EFS14" s="314" t="s">
        <v>203</v>
      </c>
      <c r="EFT14" s="314" t="s">
        <v>203</v>
      </c>
      <c r="EFU14" s="314" t="s">
        <v>203</v>
      </c>
      <c r="EFV14" s="314" t="s">
        <v>203</v>
      </c>
      <c r="EFW14" s="314" t="s">
        <v>203</v>
      </c>
      <c r="EFX14" s="314" t="s">
        <v>203</v>
      </c>
      <c r="EFY14" s="314" t="s">
        <v>203</v>
      </c>
      <c r="EFZ14" s="314" t="s">
        <v>203</v>
      </c>
      <c r="EGA14" s="314" t="s">
        <v>203</v>
      </c>
      <c r="EGB14" s="314" t="s">
        <v>203</v>
      </c>
      <c r="EGC14" s="314" t="s">
        <v>203</v>
      </c>
      <c r="EGD14" s="314" t="s">
        <v>203</v>
      </c>
      <c r="EGE14" s="314" t="s">
        <v>203</v>
      </c>
      <c r="EGF14" s="314" t="s">
        <v>203</v>
      </c>
      <c r="EGG14" s="314" t="s">
        <v>203</v>
      </c>
      <c r="EGH14" s="314" t="s">
        <v>203</v>
      </c>
      <c r="EGI14" s="314" t="s">
        <v>203</v>
      </c>
      <c r="EGJ14" s="314" t="s">
        <v>203</v>
      </c>
      <c r="EGK14" s="314" t="s">
        <v>203</v>
      </c>
      <c r="EGL14" s="314" t="s">
        <v>203</v>
      </c>
      <c r="EGM14" s="314" t="s">
        <v>203</v>
      </c>
      <c r="EGN14" s="314" t="s">
        <v>203</v>
      </c>
      <c r="EGO14" s="314" t="s">
        <v>203</v>
      </c>
      <c r="EGP14" s="314" t="s">
        <v>203</v>
      </c>
      <c r="EGQ14" s="314" t="s">
        <v>203</v>
      </c>
      <c r="EGR14" s="314" t="s">
        <v>203</v>
      </c>
      <c r="EGS14" s="314" t="s">
        <v>203</v>
      </c>
      <c r="EGT14" s="314" t="s">
        <v>203</v>
      </c>
      <c r="EGU14" s="314" t="s">
        <v>203</v>
      </c>
      <c r="EGV14" s="314" t="s">
        <v>203</v>
      </c>
      <c r="EGW14" s="314" t="s">
        <v>203</v>
      </c>
      <c r="EGX14" s="314" t="s">
        <v>203</v>
      </c>
      <c r="EGY14" s="314" t="s">
        <v>203</v>
      </c>
      <c r="EGZ14" s="314" t="s">
        <v>203</v>
      </c>
      <c r="EHA14" s="314" t="s">
        <v>203</v>
      </c>
      <c r="EHB14" s="314" t="s">
        <v>203</v>
      </c>
      <c r="EHC14" s="314" t="s">
        <v>203</v>
      </c>
      <c r="EHD14" s="314" t="s">
        <v>203</v>
      </c>
      <c r="EHE14" s="314" t="s">
        <v>203</v>
      </c>
      <c r="EHF14" s="314" t="s">
        <v>203</v>
      </c>
      <c r="EHG14" s="314" t="s">
        <v>203</v>
      </c>
      <c r="EHH14" s="314" t="s">
        <v>203</v>
      </c>
      <c r="EHI14" s="314" t="s">
        <v>203</v>
      </c>
      <c r="EHJ14" s="314" t="s">
        <v>203</v>
      </c>
      <c r="EHK14" s="314" t="s">
        <v>203</v>
      </c>
      <c r="EHL14" s="314" t="s">
        <v>203</v>
      </c>
      <c r="EHM14" s="314" t="s">
        <v>203</v>
      </c>
      <c r="EHN14" s="314" t="s">
        <v>203</v>
      </c>
      <c r="EHO14" s="314" t="s">
        <v>203</v>
      </c>
      <c r="EHP14" s="314" t="s">
        <v>203</v>
      </c>
      <c r="EHQ14" s="314" t="s">
        <v>203</v>
      </c>
      <c r="EHR14" s="314" t="s">
        <v>203</v>
      </c>
      <c r="EHS14" s="314" t="s">
        <v>203</v>
      </c>
      <c r="EHT14" s="314" t="s">
        <v>203</v>
      </c>
      <c r="EHU14" s="314" t="s">
        <v>203</v>
      </c>
      <c r="EHV14" s="314" t="s">
        <v>203</v>
      </c>
      <c r="EHW14" s="314" t="s">
        <v>203</v>
      </c>
      <c r="EHX14" s="314" t="s">
        <v>203</v>
      </c>
      <c r="EHY14" s="314" t="s">
        <v>203</v>
      </c>
      <c r="EHZ14" s="314" t="s">
        <v>203</v>
      </c>
      <c r="EIA14" s="314" t="s">
        <v>203</v>
      </c>
      <c r="EIB14" s="314" t="s">
        <v>203</v>
      </c>
      <c r="EIC14" s="314" t="s">
        <v>203</v>
      </c>
      <c r="EID14" s="314" t="s">
        <v>203</v>
      </c>
      <c r="EIE14" s="314" t="s">
        <v>203</v>
      </c>
      <c r="EIF14" s="314" t="s">
        <v>203</v>
      </c>
      <c r="EIG14" s="314" t="s">
        <v>203</v>
      </c>
      <c r="EIH14" s="314" t="s">
        <v>203</v>
      </c>
      <c r="EII14" s="314" t="s">
        <v>203</v>
      </c>
      <c r="EIJ14" s="314" t="s">
        <v>203</v>
      </c>
      <c r="EIK14" s="314" t="s">
        <v>203</v>
      </c>
      <c r="EIL14" s="314" t="s">
        <v>203</v>
      </c>
      <c r="EIM14" s="314" t="s">
        <v>203</v>
      </c>
      <c r="EIN14" s="314" t="s">
        <v>203</v>
      </c>
      <c r="EIO14" s="314" t="s">
        <v>203</v>
      </c>
      <c r="EIP14" s="314" t="s">
        <v>203</v>
      </c>
      <c r="EIQ14" s="314" t="s">
        <v>203</v>
      </c>
      <c r="EIR14" s="314" t="s">
        <v>203</v>
      </c>
      <c r="EIS14" s="314" t="s">
        <v>203</v>
      </c>
      <c r="EIT14" s="314" t="s">
        <v>203</v>
      </c>
      <c r="EIU14" s="314" t="s">
        <v>203</v>
      </c>
      <c r="EIV14" s="314" t="s">
        <v>203</v>
      </c>
      <c r="EIW14" s="314" t="s">
        <v>203</v>
      </c>
      <c r="EIX14" s="314" t="s">
        <v>203</v>
      </c>
      <c r="EIY14" s="314" t="s">
        <v>203</v>
      </c>
      <c r="EIZ14" s="314" t="s">
        <v>203</v>
      </c>
      <c r="EJA14" s="314" t="s">
        <v>203</v>
      </c>
      <c r="EJB14" s="314" t="s">
        <v>203</v>
      </c>
      <c r="EJC14" s="314" t="s">
        <v>203</v>
      </c>
      <c r="EJD14" s="314" t="s">
        <v>203</v>
      </c>
      <c r="EJE14" s="314" t="s">
        <v>203</v>
      </c>
      <c r="EJF14" s="314" t="s">
        <v>203</v>
      </c>
      <c r="EJG14" s="314" t="s">
        <v>203</v>
      </c>
      <c r="EJH14" s="314" t="s">
        <v>203</v>
      </c>
      <c r="EJI14" s="314" t="s">
        <v>203</v>
      </c>
      <c r="EJJ14" s="314" t="s">
        <v>203</v>
      </c>
      <c r="EJK14" s="314" t="s">
        <v>203</v>
      </c>
      <c r="EJL14" s="314" t="s">
        <v>203</v>
      </c>
      <c r="EJM14" s="314" t="s">
        <v>203</v>
      </c>
      <c r="EJN14" s="314" t="s">
        <v>203</v>
      </c>
      <c r="EJO14" s="314" t="s">
        <v>203</v>
      </c>
      <c r="EJP14" s="314" t="s">
        <v>203</v>
      </c>
      <c r="EJQ14" s="314" t="s">
        <v>203</v>
      </c>
      <c r="EJR14" s="314" t="s">
        <v>203</v>
      </c>
      <c r="EJS14" s="314" t="s">
        <v>203</v>
      </c>
      <c r="EJT14" s="314" t="s">
        <v>203</v>
      </c>
      <c r="EJU14" s="314" t="s">
        <v>203</v>
      </c>
      <c r="EJV14" s="314" t="s">
        <v>203</v>
      </c>
      <c r="EJW14" s="314" t="s">
        <v>203</v>
      </c>
      <c r="EJX14" s="314" t="s">
        <v>203</v>
      </c>
      <c r="EJY14" s="314" t="s">
        <v>203</v>
      </c>
      <c r="EJZ14" s="314" t="s">
        <v>203</v>
      </c>
      <c r="EKA14" s="314" t="s">
        <v>203</v>
      </c>
      <c r="EKB14" s="314" t="s">
        <v>203</v>
      </c>
      <c r="EKC14" s="314" t="s">
        <v>203</v>
      </c>
      <c r="EKD14" s="314" t="s">
        <v>203</v>
      </c>
      <c r="EKE14" s="314" t="s">
        <v>203</v>
      </c>
      <c r="EKF14" s="314" t="s">
        <v>203</v>
      </c>
      <c r="EKG14" s="314" t="s">
        <v>203</v>
      </c>
      <c r="EKH14" s="314" t="s">
        <v>203</v>
      </c>
      <c r="EKI14" s="314" t="s">
        <v>203</v>
      </c>
      <c r="EKJ14" s="314" t="s">
        <v>203</v>
      </c>
      <c r="EKK14" s="314" t="s">
        <v>203</v>
      </c>
      <c r="EKL14" s="314" t="s">
        <v>203</v>
      </c>
      <c r="EKM14" s="314" t="s">
        <v>203</v>
      </c>
      <c r="EKN14" s="314" t="s">
        <v>203</v>
      </c>
      <c r="EKO14" s="314" t="s">
        <v>203</v>
      </c>
      <c r="EKP14" s="314" t="s">
        <v>203</v>
      </c>
      <c r="EKQ14" s="314" t="s">
        <v>203</v>
      </c>
      <c r="EKR14" s="314" t="s">
        <v>203</v>
      </c>
      <c r="EKS14" s="314" t="s">
        <v>203</v>
      </c>
      <c r="EKT14" s="314" t="s">
        <v>203</v>
      </c>
      <c r="EKU14" s="314" t="s">
        <v>203</v>
      </c>
      <c r="EKV14" s="314" t="s">
        <v>203</v>
      </c>
      <c r="EKW14" s="314" t="s">
        <v>203</v>
      </c>
      <c r="EKX14" s="314" t="s">
        <v>203</v>
      </c>
      <c r="EKY14" s="314" t="s">
        <v>203</v>
      </c>
      <c r="EKZ14" s="314" t="s">
        <v>203</v>
      </c>
      <c r="ELA14" s="314" t="s">
        <v>203</v>
      </c>
      <c r="ELB14" s="314" t="s">
        <v>203</v>
      </c>
      <c r="ELC14" s="314" t="s">
        <v>203</v>
      </c>
      <c r="ELD14" s="314" t="s">
        <v>203</v>
      </c>
      <c r="ELE14" s="314" t="s">
        <v>203</v>
      </c>
      <c r="ELF14" s="314" t="s">
        <v>203</v>
      </c>
      <c r="ELG14" s="314" t="s">
        <v>203</v>
      </c>
      <c r="ELH14" s="314" t="s">
        <v>203</v>
      </c>
      <c r="ELI14" s="314" t="s">
        <v>203</v>
      </c>
      <c r="ELJ14" s="314" t="s">
        <v>203</v>
      </c>
      <c r="ELK14" s="314" t="s">
        <v>203</v>
      </c>
      <c r="ELL14" s="314" t="s">
        <v>203</v>
      </c>
      <c r="ELM14" s="314" t="s">
        <v>203</v>
      </c>
      <c r="ELN14" s="314" t="s">
        <v>203</v>
      </c>
      <c r="ELO14" s="314" t="s">
        <v>203</v>
      </c>
      <c r="ELP14" s="314" t="s">
        <v>203</v>
      </c>
      <c r="ELQ14" s="314" t="s">
        <v>203</v>
      </c>
      <c r="ELR14" s="314" t="s">
        <v>203</v>
      </c>
      <c r="ELS14" s="314" t="s">
        <v>203</v>
      </c>
      <c r="ELT14" s="314" t="s">
        <v>203</v>
      </c>
      <c r="ELU14" s="314" t="s">
        <v>203</v>
      </c>
      <c r="ELV14" s="314" t="s">
        <v>203</v>
      </c>
      <c r="ELW14" s="314" t="s">
        <v>203</v>
      </c>
      <c r="ELX14" s="314" t="s">
        <v>203</v>
      </c>
      <c r="ELY14" s="314" t="s">
        <v>203</v>
      </c>
      <c r="ELZ14" s="314" t="s">
        <v>203</v>
      </c>
      <c r="EMA14" s="314" t="s">
        <v>203</v>
      </c>
      <c r="EMB14" s="314" t="s">
        <v>203</v>
      </c>
      <c r="EMC14" s="314" t="s">
        <v>203</v>
      </c>
      <c r="EMD14" s="314" t="s">
        <v>203</v>
      </c>
      <c r="EME14" s="314" t="s">
        <v>203</v>
      </c>
      <c r="EMF14" s="314" t="s">
        <v>203</v>
      </c>
      <c r="EMG14" s="314" t="s">
        <v>203</v>
      </c>
      <c r="EMH14" s="314" t="s">
        <v>203</v>
      </c>
      <c r="EMI14" s="314" t="s">
        <v>203</v>
      </c>
      <c r="EMJ14" s="314" t="s">
        <v>203</v>
      </c>
      <c r="EMK14" s="314" t="s">
        <v>203</v>
      </c>
      <c r="EML14" s="314" t="s">
        <v>203</v>
      </c>
      <c r="EMM14" s="314" t="s">
        <v>203</v>
      </c>
      <c r="EMN14" s="314" t="s">
        <v>203</v>
      </c>
      <c r="EMO14" s="314" t="s">
        <v>203</v>
      </c>
      <c r="EMP14" s="314" t="s">
        <v>203</v>
      </c>
      <c r="EMQ14" s="314" t="s">
        <v>203</v>
      </c>
      <c r="EMR14" s="314" t="s">
        <v>203</v>
      </c>
      <c r="EMS14" s="314" t="s">
        <v>203</v>
      </c>
      <c r="EMT14" s="314" t="s">
        <v>203</v>
      </c>
      <c r="EMU14" s="314" t="s">
        <v>203</v>
      </c>
      <c r="EMV14" s="314" t="s">
        <v>203</v>
      </c>
      <c r="EMW14" s="314" t="s">
        <v>203</v>
      </c>
      <c r="EMX14" s="314" t="s">
        <v>203</v>
      </c>
      <c r="EMY14" s="314" t="s">
        <v>203</v>
      </c>
      <c r="EMZ14" s="314" t="s">
        <v>203</v>
      </c>
      <c r="ENA14" s="314" t="s">
        <v>203</v>
      </c>
      <c r="ENB14" s="314" t="s">
        <v>203</v>
      </c>
      <c r="ENC14" s="314" t="s">
        <v>203</v>
      </c>
      <c r="END14" s="314" t="s">
        <v>203</v>
      </c>
      <c r="ENE14" s="314" t="s">
        <v>203</v>
      </c>
      <c r="ENF14" s="314" t="s">
        <v>203</v>
      </c>
      <c r="ENG14" s="314" t="s">
        <v>203</v>
      </c>
      <c r="ENH14" s="314" t="s">
        <v>203</v>
      </c>
      <c r="ENI14" s="314" t="s">
        <v>203</v>
      </c>
      <c r="ENJ14" s="314" t="s">
        <v>203</v>
      </c>
      <c r="ENK14" s="314" t="s">
        <v>203</v>
      </c>
      <c r="ENL14" s="314" t="s">
        <v>203</v>
      </c>
      <c r="ENM14" s="314" t="s">
        <v>203</v>
      </c>
      <c r="ENN14" s="314" t="s">
        <v>203</v>
      </c>
      <c r="ENO14" s="314" t="s">
        <v>203</v>
      </c>
      <c r="ENP14" s="314" t="s">
        <v>203</v>
      </c>
      <c r="ENQ14" s="314" t="s">
        <v>203</v>
      </c>
      <c r="ENR14" s="314" t="s">
        <v>203</v>
      </c>
      <c r="ENS14" s="314" t="s">
        <v>203</v>
      </c>
      <c r="ENT14" s="314" t="s">
        <v>203</v>
      </c>
      <c r="ENU14" s="314" t="s">
        <v>203</v>
      </c>
      <c r="ENV14" s="314" t="s">
        <v>203</v>
      </c>
      <c r="ENW14" s="314" t="s">
        <v>203</v>
      </c>
      <c r="ENX14" s="314" t="s">
        <v>203</v>
      </c>
      <c r="ENY14" s="314" t="s">
        <v>203</v>
      </c>
      <c r="ENZ14" s="314" t="s">
        <v>203</v>
      </c>
      <c r="EOA14" s="314" t="s">
        <v>203</v>
      </c>
      <c r="EOB14" s="314" t="s">
        <v>203</v>
      </c>
      <c r="EOC14" s="314" t="s">
        <v>203</v>
      </c>
      <c r="EOD14" s="314" t="s">
        <v>203</v>
      </c>
      <c r="EOE14" s="314" t="s">
        <v>203</v>
      </c>
      <c r="EOF14" s="314" t="s">
        <v>203</v>
      </c>
      <c r="EOG14" s="314" t="s">
        <v>203</v>
      </c>
      <c r="EOH14" s="314" t="s">
        <v>203</v>
      </c>
      <c r="EOI14" s="314" t="s">
        <v>203</v>
      </c>
      <c r="EOJ14" s="314" t="s">
        <v>203</v>
      </c>
      <c r="EOK14" s="314" t="s">
        <v>203</v>
      </c>
      <c r="EOL14" s="314" t="s">
        <v>203</v>
      </c>
      <c r="EOM14" s="314" t="s">
        <v>203</v>
      </c>
      <c r="EON14" s="314" t="s">
        <v>203</v>
      </c>
      <c r="EOO14" s="314" t="s">
        <v>203</v>
      </c>
      <c r="EOP14" s="314" t="s">
        <v>203</v>
      </c>
      <c r="EOQ14" s="314" t="s">
        <v>203</v>
      </c>
      <c r="EOR14" s="314" t="s">
        <v>203</v>
      </c>
      <c r="EOS14" s="314" t="s">
        <v>203</v>
      </c>
      <c r="EOT14" s="314" t="s">
        <v>203</v>
      </c>
      <c r="EOU14" s="314" t="s">
        <v>203</v>
      </c>
      <c r="EOV14" s="314" t="s">
        <v>203</v>
      </c>
      <c r="EOW14" s="314" t="s">
        <v>203</v>
      </c>
      <c r="EOX14" s="314" t="s">
        <v>203</v>
      </c>
      <c r="EOY14" s="314" t="s">
        <v>203</v>
      </c>
      <c r="EOZ14" s="314" t="s">
        <v>203</v>
      </c>
      <c r="EPA14" s="314" t="s">
        <v>203</v>
      </c>
      <c r="EPB14" s="314" t="s">
        <v>203</v>
      </c>
      <c r="EPC14" s="314" t="s">
        <v>203</v>
      </c>
      <c r="EPD14" s="314" t="s">
        <v>203</v>
      </c>
      <c r="EPE14" s="314" t="s">
        <v>203</v>
      </c>
      <c r="EPF14" s="314" t="s">
        <v>203</v>
      </c>
      <c r="EPG14" s="314" t="s">
        <v>203</v>
      </c>
      <c r="EPH14" s="314" t="s">
        <v>203</v>
      </c>
      <c r="EPI14" s="314" t="s">
        <v>203</v>
      </c>
      <c r="EPJ14" s="314" t="s">
        <v>203</v>
      </c>
      <c r="EPK14" s="314" t="s">
        <v>203</v>
      </c>
      <c r="EPL14" s="314" t="s">
        <v>203</v>
      </c>
      <c r="EPM14" s="314" t="s">
        <v>203</v>
      </c>
      <c r="EPN14" s="314" t="s">
        <v>203</v>
      </c>
      <c r="EPO14" s="314" t="s">
        <v>203</v>
      </c>
      <c r="EPP14" s="314" t="s">
        <v>203</v>
      </c>
      <c r="EPQ14" s="314" t="s">
        <v>203</v>
      </c>
      <c r="EPR14" s="314" t="s">
        <v>203</v>
      </c>
      <c r="EPS14" s="314" t="s">
        <v>203</v>
      </c>
      <c r="EPT14" s="314" t="s">
        <v>203</v>
      </c>
      <c r="EPU14" s="314" t="s">
        <v>203</v>
      </c>
      <c r="EPV14" s="314" t="s">
        <v>203</v>
      </c>
      <c r="EPW14" s="314" t="s">
        <v>203</v>
      </c>
      <c r="EPX14" s="314" t="s">
        <v>203</v>
      </c>
      <c r="EPY14" s="314" t="s">
        <v>203</v>
      </c>
      <c r="EPZ14" s="314" t="s">
        <v>203</v>
      </c>
      <c r="EQA14" s="314" t="s">
        <v>203</v>
      </c>
      <c r="EQB14" s="314" t="s">
        <v>203</v>
      </c>
      <c r="EQC14" s="314" t="s">
        <v>203</v>
      </c>
      <c r="EQD14" s="314" t="s">
        <v>203</v>
      </c>
      <c r="EQE14" s="314" t="s">
        <v>203</v>
      </c>
      <c r="EQF14" s="314" t="s">
        <v>203</v>
      </c>
      <c r="EQG14" s="314" t="s">
        <v>203</v>
      </c>
      <c r="EQH14" s="314" t="s">
        <v>203</v>
      </c>
      <c r="EQI14" s="314" t="s">
        <v>203</v>
      </c>
      <c r="EQJ14" s="314" t="s">
        <v>203</v>
      </c>
      <c r="EQK14" s="314" t="s">
        <v>203</v>
      </c>
      <c r="EQL14" s="314" t="s">
        <v>203</v>
      </c>
      <c r="EQM14" s="314" t="s">
        <v>203</v>
      </c>
      <c r="EQN14" s="314" t="s">
        <v>203</v>
      </c>
      <c r="EQO14" s="314" t="s">
        <v>203</v>
      </c>
      <c r="EQP14" s="314" t="s">
        <v>203</v>
      </c>
      <c r="EQQ14" s="314" t="s">
        <v>203</v>
      </c>
      <c r="EQR14" s="314" t="s">
        <v>203</v>
      </c>
      <c r="EQS14" s="314" t="s">
        <v>203</v>
      </c>
      <c r="EQT14" s="314" t="s">
        <v>203</v>
      </c>
      <c r="EQU14" s="314" t="s">
        <v>203</v>
      </c>
      <c r="EQV14" s="314" t="s">
        <v>203</v>
      </c>
      <c r="EQW14" s="314" t="s">
        <v>203</v>
      </c>
      <c r="EQX14" s="314" t="s">
        <v>203</v>
      </c>
      <c r="EQY14" s="314" t="s">
        <v>203</v>
      </c>
      <c r="EQZ14" s="314" t="s">
        <v>203</v>
      </c>
      <c r="ERA14" s="314" t="s">
        <v>203</v>
      </c>
      <c r="ERB14" s="314" t="s">
        <v>203</v>
      </c>
      <c r="ERC14" s="314" t="s">
        <v>203</v>
      </c>
      <c r="ERD14" s="314" t="s">
        <v>203</v>
      </c>
      <c r="ERE14" s="314" t="s">
        <v>203</v>
      </c>
      <c r="ERF14" s="314" t="s">
        <v>203</v>
      </c>
      <c r="ERG14" s="314" t="s">
        <v>203</v>
      </c>
      <c r="ERH14" s="314" t="s">
        <v>203</v>
      </c>
      <c r="ERI14" s="314" t="s">
        <v>203</v>
      </c>
      <c r="ERJ14" s="314" t="s">
        <v>203</v>
      </c>
      <c r="ERK14" s="314" t="s">
        <v>203</v>
      </c>
      <c r="ERL14" s="314" t="s">
        <v>203</v>
      </c>
      <c r="ERM14" s="314" t="s">
        <v>203</v>
      </c>
      <c r="ERN14" s="314" t="s">
        <v>203</v>
      </c>
      <c r="ERO14" s="314" t="s">
        <v>203</v>
      </c>
      <c r="ERP14" s="314" t="s">
        <v>203</v>
      </c>
      <c r="ERQ14" s="314" t="s">
        <v>203</v>
      </c>
      <c r="ERR14" s="314" t="s">
        <v>203</v>
      </c>
      <c r="ERS14" s="314" t="s">
        <v>203</v>
      </c>
      <c r="ERT14" s="314" t="s">
        <v>203</v>
      </c>
      <c r="ERU14" s="314" t="s">
        <v>203</v>
      </c>
      <c r="ERV14" s="314" t="s">
        <v>203</v>
      </c>
      <c r="ERW14" s="314" t="s">
        <v>203</v>
      </c>
      <c r="ERX14" s="314" t="s">
        <v>203</v>
      </c>
      <c r="ERY14" s="314" t="s">
        <v>203</v>
      </c>
      <c r="ERZ14" s="314" t="s">
        <v>203</v>
      </c>
      <c r="ESA14" s="314" t="s">
        <v>203</v>
      </c>
      <c r="ESB14" s="314" t="s">
        <v>203</v>
      </c>
      <c r="ESC14" s="314" t="s">
        <v>203</v>
      </c>
      <c r="ESD14" s="314" t="s">
        <v>203</v>
      </c>
      <c r="ESE14" s="314" t="s">
        <v>203</v>
      </c>
      <c r="ESF14" s="314" t="s">
        <v>203</v>
      </c>
      <c r="ESG14" s="314" t="s">
        <v>203</v>
      </c>
      <c r="ESH14" s="314" t="s">
        <v>203</v>
      </c>
      <c r="ESI14" s="314" t="s">
        <v>203</v>
      </c>
      <c r="ESJ14" s="314" t="s">
        <v>203</v>
      </c>
      <c r="ESK14" s="314" t="s">
        <v>203</v>
      </c>
      <c r="ESL14" s="314" t="s">
        <v>203</v>
      </c>
      <c r="ESM14" s="314" t="s">
        <v>203</v>
      </c>
      <c r="ESN14" s="314" t="s">
        <v>203</v>
      </c>
      <c r="ESO14" s="314" t="s">
        <v>203</v>
      </c>
      <c r="ESP14" s="314" t="s">
        <v>203</v>
      </c>
      <c r="ESQ14" s="314" t="s">
        <v>203</v>
      </c>
      <c r="ESR14" s="314" t="s">
        <v>203</v>
      </c>
      <c r="ESS14" s="314" t="s">
        <v>203</v>
      </c>
      <c r="EST14" s="314" t="s">
        <v>203</v>
      </c>
      <c r="ESU14" s="314" t="s">
        <v>203</v>
      </c>
      <c r="ESV14" s="314" t="s">
        <v>203</v>
      </c>
      <c r="ESW14" s="314" t="s">
        <v>203</v>
      </c>
      <c r="ESX14" s="314" t="s">
        <v>203</v>
      </c>
      <c r="ESY14" s="314" t="s">
        <v>203</v>
      </c>
      <c r="ESZ14" s="314" t="s">
        <v>203</v>
      </c>
      <c r="ETA14" s="314" t="s">
        <v>203</v>
      </c>
      <c r="ETB14" s="314" t="s">
        <v>203</v>
      </c>
      <c r="ETC14" s="314" t="s">
        <v>203</v>
      </c>
      <c r="ETD14" s="314" t="s">
        <v>203</v>
      </c>
      <c r="ETE14" s="314" t="s">
        <v>203</v>
      </c>
      <c r="ETF14" s="314" t="s">
        <v>203</v>
      </c>
      <c r="ETG14" s="314" t="s">
        <v>203</v>
      </c>
      <c r="ETH14" s="314" t="s">
        <v>203</v>
      </c>
      <c r="ETI14" s="314" t="s">
        <v>203</v>
      </c>
      <c r="ETJ14" s="314" t="s">
        <v>203</v>
      </c>
      <c r="ETK14" s="314" t="s">
        <v>203</v>
      </c>
      <c r="ETL14" s="314" t="s">
        <v>203</v>
      </c>
      <c r="ETM14" s="314" t="s">
        <v>203</v>
      </c>
      <c r="ETN14" s="314" t="s">
        <v>203</v>
      </c>
      <c r="ETO14" s="314" t="s">
        <v>203</v>
      </c>
      <c r="ETP14" s="314" t="s">
        <v>203</v>
      </c>
      <c r="ETQ14" s="314" t="s">
        <v>203</v>
      </c>
      <c r="ETR14" s="314" t="s">
        <v>203</v>
      </c>
      <c r="ETS14" s="314" t="s">
        <v>203</v>
      </c>
      <c r="ETT14" s="314" t="s">
        <v>203</v>
      </c>
      <c r="ETU14" s="314" t="s">
        <v>203</v>
      </c>
      <c r="ETV14" s="314" t="s">
        <v>203</v>
      </c>
      <c r="ETW14" s="314" t="s">
        <v>203</v>
      </c>
      <c r="ETX14" s="314" t="s">
        <v>203</v>
      </c>
      <c r="ETY14" s="314" t="s">
        <v>203</v>
      </c>
      <c r="ETZ14" s="314" t="s">
        <v>203</v>
      </c>
      <c r="EUA14" s="314" t="s">
        <v>203</v>
      </c>
      <c r="EUB14" s="314" t="s">
        <v>203</v>
      </c>
      <c r="EUC14" s="314" t="s">
        <v>203</v>
      </c>
      <c r="EUD14" s="314" t="s">
        <v>203</v>
      </c>
      <c r="EUE14" s="314" t="s">
        <v>203</v>
      </c>
      <c r="EUF14" s="314" t="s">
        <v>203</v>
      </c>
      <c r="EUG14" s="314" t="s">
        <v>203</v>
      </c>
      <c r="EUH14" s="314" t="s">
        <v>203</v>
      </c>
      <c r="EUI14" s="314" t="s">
        <v>203</v>
      </c>
      <c r="EUJ14" s="314" t="s">
        <v>203</v>
      </c>
      <c r="EUK14" s="314" t="s">
        <v>203</v>
      </c>
      <c r="EUL14" s="314" t="s">
        <v>203</v>
      </c>
      <c r="EUM14" s="314" t="s">
        <v>203</v>
      </c>
      <c r="EUN14" s="314" t="s">
        <v>203</v>
      </c>
      <c r="EUO14" s="314" t="s">
        <v>203</v>
      </c>
      <c r="EUP14" s="314" t="s">
        <v>203</v>
      </c>
      <c r="EUQ14" s="314" t="s">
        <v>203</v>
      </c>
      <c r="EUR14" s="314" t="s">
        <v>203</v>
      </c>
      <c r="EUS14" s="314" t="s">
        <v>203</v>
      </c>
      <c r="EUT14" s="314" t="s">
        <v>203</v>
      </c>
      <c r="EUU14" s="314" t="s">
        <v>203</v>
      </c>
      <c r="EUV14" s="314" t="s">
        <v>203</v>
      </c>
      <c r="EUW14" s="314" t="s">
        <v>203</v>
      </c>
      <c r="EUX14" s="314" t="s">
        <v>203</v>
      </c>
      <c r="EUY14" s="314" t="s">
        <v>203</v>
      </c>
      <c r="EUZ14" s="314" t="s">
        <v>203</v>
      </c>
      <c r="EVA14" s="314" t="s">
        <v>203</v>
      </c>
      <c r="EVB14" s="314" t="s">
        <v>203</v>
      </c>
      <c r="EVC14" s="314" t="s">
        <v>203</v>
      </c>
      <c r="EVD14" s="314" t="s">
        <v>203</v>
      </c>
      <c r="EVE14" s="314" t="s">
        <v>203</v>
      </c>
      <c r="EVF14" s="314" t="s">
        <v>203</v>
      </c>
      <c r="EVG14" s="314" t="s">
        <v>203</v>
      </c>
      <c r="EVH14" s="314" t="s">
        <v>203</v>
      </c>
      <c r="EVI14" s="314" t="s">
        <v>203</v>
      </c>
      <c r="EVJ14" s="314" t="s">
        <v>203</v>
      </c>
      <c r="EVK14" s="314" t="s">
        <v>203</v>
      </c>
      <c r="EVL14" s="314" t="s">
        <v>203</v>
      </c>
      <c r="EVM14" s="314" t="s">
        <v>203</v>
      </c>
      <c r="EVN14" s="314" t="s">
        <v>203</v>
      </c>
      <c r="EVO14" s="314" t="s">
        <v>203</v>
      </c>
      <c r="EVP14" s="314" t="s">
        <v>203</v>
      </c>
      <c r="EVQ14" s="314" t="s">
        <v>203</v>
      </c>
      <c r="EVR14" s="314" t="s">
        <v>203</v>
      </c>
      <c r="EVS14" s="314" t="s">
        <v>203</v>
      </c>
      <c r="EVT14" s="314" t="s">
        <v>203</v>
      </c>
      <c r="EVU14" s="314" t="s">
        <v>203</v>
      </c>
      <c r="EVV14" s="314" t="s">
        <v>203</v>
      </c>
      <c r="EVW14" s="314" t="s">
        <v>203</v>
      </c>
      <c r="EVX14" s="314" t="s">
        <v>203</v>
      </c>
      <c r="EVY14" s="314" t="s">
        <v>203</v>
      </c>
      <c r="EVZ14" s="314" t="s">
        <v>203</v>
      </c>
      <c r="EWA14" s="314" t="s">
        <v>203</v>
      </c>
      <c r="EWB14" s="314" t="s">
        <v>203</v>
      </c>
      <c r="EWC14" s="314" t="s">
        <v>203</v>
      </c>
      <c r="EWD14" s="314" t="s">
        <v>203</v>
      </c>
      <c r="EWE14" s="314" t="s">
        <v>203</v>
      </c>
      <c r="EWF14" s="314" t="s">
        <v>203</v>
      </c>
      <c r="EWG14" s="314" t="s">
        <v>203</v>
      </c>
      <c r="EWH14" s="314" t="s">
        <v>203</v>
      </c>
      <c r="EWI14" s="314" t="s">
        <v>203</v>
      </c>
      <c r="EWJ14" s="314" t="s">
        <v>203</v>
      </c>
      <c r="EWK14" s="314" t="s">
        <v>203</v>
      </c>
      <c r="EWL14" s="314" t="s">
        <v>203</v>
      </c>
      <c r="EWM14" s="314" t="s">
        <v>203</v>
      </c>
      <c r="EWN14" s="314" t="s">
        <v>203</v>
      </c>
      <c r="EWO14" s="314" t="s">
        <v>203</v>
      </c>
      <c r="EWP14" s="314" t="s">
        <v>203</v>
      </c>
      <c r="EWQ14" s="314" t="s">
        <v>203</v>
      </c>
      <c r="EWR14" s="314" t="s">
        <v>203</v>
      </c>
      <c r="EWS14" s="314" t="s">
        <v>203</v>
      </c>
      <c r="EWT14" s="314" t="s">
        <v>203</v>
      </c>
      <c r="EWU14" s="314" t="s">
        <v>203</v>
      </c>
      <c r="EWV14" s="314" t="s">
        <v>203</v>
      </c>
      <c r="EWW14" s="314" t="s">
        <v>203</v>
      </c>
      <c r="EWX14" s="314" t="s">
        <v>203</v>
      </c>
      <c r="EWY14" s="314" t="s">
        <v>203</v>
      </c>
      <c r="EWZ14" s="314" t="s">
        <v>203</v>
      </c>
      <c r="EXA14" s="314" t="s">
        <v>203</v>
      </c>
      <c r="EXB14" s="314" t="s">
        <v>203</v>
      </c>
      <c r="EXC14" s="314" t="s">
        <v>203</v>
      </c>
      <c r="EXD14" s="314" t="s">
        <v>203</v>
      </c>
      <c r="EXE14" s="314" t="s">
        <v>203</v>
      </c>
      <c r="EXF14" s="314" t="s">
        <v>203</v>
      </c>
      <c r="EXG14" s="314" t="s">
        <v>203</v>
      </c>
      <c r="EXH14" s="314" t="s">
        <v>203</v>
      </c>
      <c r="EXI14" s="314" t="s">
        <v>203</v>
      </c>
      <c r="EXJ14" s="314" t="s">
        <v>203</v>
      </c>
      <c r="EXK14" s="314" t="s">
        <v>203</v>
      </c>
      <c r="EXL14" s="314" t="s">
        <v>203</v>
      </c>
      <c r="EXM14" s="314" t="s">
        <v>203</v>
      </c>
      <c r="EXN14" s="314" t="s">
        <v>203</v>
      </c>
      <c r="EXO14" s="314" t="s">
        <v>203</v>
      </c>
      <c r="EXP14" s="314" t="s">
        <v>203</v>
      </c>
      <c r="EXQ14" s="314" t="s">
        <v>203</v>
      </c>
      <c r="EXR14" s="314" t="s">
        <v>203</v>
      </c>
      <c r="EXS14" s="314" t="s">
        <v>203</v>
      </c>
      <c r="EXT14" s="314" t="s">
        <v>203</v>
      </c>
      <c r="EXU14" s="314" t="s">
        <v>203</v>
      </c>
      <c r="EXV14" s="314" t="s">
        <v>203</v>
      </c>
      <c r="EXW14" s="314" t="s">
        <v>203</v>
      </c>
      <c r="EXX14" s="314" t="s">
        <v>203</v>
      </c>
      <c r="EXY14" s="314" t="s">
        <v>203</v>
      </c>
      <c r="EXZ14" s="314" t="s">
        <v>203</v>
      </c>
      <c r="EYA14" s="314" t="s">
        <v>203</v>
      </c>
      <c r="EYB14" s="314" t="s">
        <v>203</v>
      </c>
      <c r="EYC14" s="314" t="s">
        <v>203</v>
      </c>
      <c r="EYD14" s="314" t="s">
        <v>203</v>
      </c>
      <c r="EYE14" s="314" t="s">
        <v>203</v>
      </c>
      <c r="EYF14" s="314" t="s">
        <v>203</v>
      </c>
      <c r="EYG14" s="314" t="s">
        <v>203</v>
      </c>
      <c r="EYH14" s="314" t="s">
        <v>203</v>
      </c>
      <c r="EYI14" s="314" t="s">
        <v>203</v>
      </c>
      <c r="EYJ14" s="314" t="s">
        <v>203</v>
      </c>
      <c r="EYK14" s="314" t="s">
        <v>203</v>
      </c>
      <c r="EYL14" s="314" t="s">
        <v>203</v>
      </c>
      <c r="EYM14" s="314" t="s">
        <v>203</v>
      </c>
      <c r="EYN14" s="314" t="s">
        <v>203</v>
      </c>
      <c r="EYO14" s="314" t="s">
        <v>203</v>
      </c>
      <c r="EYP14" s="314" t="s">
        <v>203</v>
      </c>
      <c r="EYQ14" s="314" t="s">
        <v>203</v>
      </c>
      <c r="EYR14" s="314" t="s">
        <v>203</v>
      </c>
      <c r="EYS14" s="314" t="s">
        <v>203</v>
      </c>
      <c r="EYT14" s="314" t="s">
        <v>203</v>
      </c>
      <c r="EYU14" s="314" t="s">
        <v>203</v>
      </c>
      <c r="EYV14" s="314" t="s">
        <v>203</v>
      </c>
      <c r="EYW14" s="314" t="s">
        <v>203</v>
      </c>
      <c r="EYX14" s="314" t="s">
        <v>203</v>
      </c>
      <c r="EYY14" s="314" t="s">
        <v>203</v>
      </c>
      <c r="EYZ14" s="314" t="s">
        <v>203</v>
      </c>
      <c r="EZA14" s="314" t="s">
        <v>203</v>
      </c>
      <c r="EZB14" s="314" t="s">
        <v>203</v>
      </c>
      <c r="EZC14" s="314" t="s">
        <v>203</v>
      </c>
      <c r="EZD14" s="314" t="s">
        <v>203</v>
      </c>
      <c r="EZE14" s="314" t="s">
        <v>203</v>
      </c>
      <c r="EZF14" s="314" t="s">
        <v>203</v>
      </c>
      <c r="EZG14" s="314" t="s">
        <v>203</v>
      </c>
      <c r="EZH14" s="314" t="s">
        <v>203</v>
      </c>
      <c r="EZI14" s="314" t="s">
        <v>203</v>
      </c>
      <c r="EZJ14" s="314" t="s">
        <v>203</v>
      </c>
      <c r="EZK14" s="314" t="s">
        <v>203</v>
      </c>
      <c r="EZL14" s="314" t="s">
        <v>203</v>
      </c>
      <c r="EZM14" s="314" t="s">
        <v>203</v>
      </c>
      <c r="EZN14" s="314" t="s">
        <v>203</v>
      </c>
      <c r="EZO14" s="314" t="s">
        <v>203</v>
      </c>
      <c r="EZP14" s="314" t="s">
        <v>203</v>
      </c>
      <c r="EZQ14" s="314" t="s">
        <v>203</v>
      </c>
      <c r="EZR14" s="314" t="s">
        <v>203</v>
      </c>
      <c r="EZS14" s="314" t="s">
        <v>203</v>
      </c>
      <c r="EZT14" s="314" t="s">
        <v>203</v>
      </c>
      <c r="EZU14" s="314" t="s">
        <v>203</v>
      </c>
      <c r="EZV14" s="314" t="s">
        <v>203</v>
      </c>
      <c r="EZW14" s="314" t="s">
        <v>203</v>
      </c>
      <c r="EZX14" s="314" t="s">
        <v>203</v>
      </c>
      <c r="EZY14" s="314" t="s">
        <v>203</v>
      </c>
      <c r="EZZ14" s="314" t="s">
        <v>203</v>
      </c>
      <c r="FAA14" s="314" t="s">
        <v>203</v>
      </c>
      <c r="FAB14" s="314" t="s">
        <v>203</v>
      </c>
      <c r="FAC14" s="314" t="s">
        <v>203</v>
      </c>
      <c r="FAD14" s="314" t="s">
        <v>203</v>
      </c>
      <c r="FAE14" s="314" t="s">
        <v>203</v>
      </c>
      <c r="FAF14" s="314" t="s">
        <v>203</v>
      </c>
      <c r="FAG14" s="314" t="s">
        <v>203</v>
      </c>
      <c r="FAH14" s="314" t="s">
        <v>203</v>
      </c>
      <c r="FAI14" s="314" t="s">
        <v>203</v>
      </c>
      <c r="FAJ14" s="314" t="s">
        <v>203</v>
      </c>
      <c r="FAK14" s="314" t="s">
        <v>203</v>
      </c>
      <c r="FAL14" s="314" t="s">
        <v>203</v>
      </c>
      <c r="FAM14" s="314" t="s">
        <v>203</v>
      </c>
      <c r="FAN14" s="314" t="s">
        <v>203</v>
      </c>
      <c r="FAO14" s="314" t="s">
        <v>203</v>
      </c>
      <c r="FAP14" s="314" t="s">
        <v>203</v>
      </c>
      <c r="FAQ14" s="314" t="s">
        <v>203</v>
      </c>
      <c r="FAR14" s="314" t="s">
        <v>203</v>
      </c>
      <c r="FAS14" s="314" t="s">
        <v>203</v>
      </c>
      <c r="FAT14" s="314" t="s">
        <v>203</v>
      </c>
      <c r="FAU14" s="314" t="s">
        <v>203</v>
      </c>
      <c r="FAV14" s="314" t="s">
        <v>203</v>
      </c>
      <c r="FAW14" s="314" t="s">
        <v>203</v>
      </c>
      <c r="FAX14" s="314" t="s">
        <v>203</v>
      </c>
      <c r="FAY14" s="314" t="s">
        <v>203</v>
      </c>
      <c r="FAZ14" s="314" t="s">
        <v>203</v>
      </c>
      <c r="FBA14" s="314" t="s">
        <v>203</v>
      </c>
      <c r="FBB14" s="314" t="s">
        <v>203</v>
      </c>
      <c r="FBC14" s="314" t="s">
        <v>203</v>
      </c>
      <c r="FBD14" s="314" t="s">
        <v>203</v>
      </c>
      <c r="FBE14" s="314" t="s">
        <v>203</v>
      </c>
      <c r="FBF14" s="314" t="s">
        <v>203</v>
      </c>
      <c r="FBG14" s="314" t="s">
        <v>203</v>
      </c>
      <c r="FBH14" s="314" t="s">
        <v>203</v>
      </c>
      <c r="FBI14" s="314" t="s">
        <v>203</v>
      </c>
      <c r="FBJ14" s="314" t="s">
        <v>203</v>
      </c>
      <c r="FBK14" s="314" t="s">
        <v>203</v>
      </c>
      <c r="FBL14" s="314" t="s">
        <v>203</v>
      </c>
      <c r="FBM14" s="314" t="s">
        <v>203</v>
      </c>
      <c r="FBN14" s="314" t="s">
        <v>203</v>
      </c>
      <c r="FBO14" s="314" t="s">
        <v>203</v>
      </c>
      <c r="FBP14" s="314" t="s">
        <v>203</v>
      </c>
      <c r="FBQ14" s="314" t="s">
        <v>203</v>
      </c>
      <c r="FBR14" s="314" t="s">
        <v>203</v>
      </c>
      <c r="FBS14" s="314" t="s">
        <v>203</v>
      </c>
      <c r="FBT14" s="314" t="s">
        <v>203</v>
      </c>
      <c r="FBU14" s="314" t="s">
        <v>203</v>
      </c>
      <c r="FBV14" s="314" t="s">
        <v>203</v>
      </c>
      <c r="FBW14" s="314" t="s">
        <v>203</v>
      </c>
      <c r="FBX14" s="314" t="s">
        <v>203</v>
      </c>
      <c r="FBY14" s="314" t="s">
        <v>203</v>
      </c>
      <c r="FBZ14" s="314" t="s">
        <v>203</v>
      </c>
      <c r="FCA14" s="314" t="s">
        <v>203</v>
      </c>
      <c r="FCB14" s="314" t="s">
        <v>203</v>
      </c>
      <c r="FCC14" s="314" t="s">
        <v>203</v>
      </c>
      <c r="FCD14" s="314" t="s">
        <v>203</v>
      </c>
      <c r="FCE14" s="314" t="s">
        <v>203</v>
      </c>
      <c r="FCF14" s="314" t="s">
        <v>203</v>
      </c>
      <c r="FCG14" s="314" t="s">
        <v>203</v>
      </c>
      <c r="FCH14" s="314" t="s">
        <v>203</v>
      </c>
      <c r="FCI14" s="314" t="s">
        <v>203</v>
      </c>
      <c r="FCJ14" s="314" t="s">
        <v>203</v>
      </c>
      <c r="FCK14" s="314" t="s">
        <v>203</v>
      </c>
      <c r="FCL14" s="314" t="s">
        <v>203</v>
      </c>
      <c r="FCM14" s="314" t="s">
        <v>203</v>
      </c>
      <c r="FCN14" s="314" t="s">
        <v>203</v>
      </c>
      <c r="FCO14" s="314" t="s">
        <v>203</v>
      </c>
      <c r="FCP14" s="314" t="s">
        <v>203</v>
      </c>
      <c r="FCQ14" s="314" t="s">
        <v>203</v>
      </c>
      <c r="FCR14" s="314" t="s">
        <v>203</v>
      </c>
      <c r="FCS14" s="314" t="s">
        <v>203</v>
      </c>
      <c r="FCT14" s="314" t="s">
        <v>203</v>
      </c>
      <c r="FCU14" s="314" t="s">
        <v>203</v>
      </c>
      <c r="FCV14" s="314" t="s">
        <v>203</v>
      </c>
      <c r="FCW14" s="314" t="s">
        <v>203</v>
      </c>
      <c r="FCX14" s="314" t="s">
        <v>203</v>
      </c>
      <c r="FCY14" s="314" t="s">
        <v>203</v>
      </c>
      <c r="FCZ14" s="314" t="s">
        <v>203</v>
      </c>
      <c r="FDA14" s="314" t="s">
        <v>203</v>
      </c>
      <c r="FDB14" s="314" t="s">
        <v>203</v>
      </c>
      <c r="FDC14" s="314" t="s">
        <v>203</v>
      </c>
      <c r="FDD14" s="314" t="s">
        <v>203</v>
      </c>
      <c r="FDE14" s="314" t="s">
        <v>203</v>
      </c>
      <c r="FDF14" s="314" t="s">
        <v>203</v>
      </c>
      <c r="FDG14" s="314" t="s">
        <v>203</v>
      </c>
      <c r="FDH14" s="314" t="s">
        <v>203</v>
      </c>
      <c r="FDI14" s="314" t="s">
        <v>203</v>
      </c>
      <c r="FDJ14" s="314" t="s">
        <v>203</v>
      </c>
      <c r="FDK14" s="314" t="s">
        <v>203</v>
      </c>
      <c r="FDL14" s="314" t="s">
        <v>203</v>
      </c>
      <c r="FDM14" s="314" t="s">
        <v>203</v>
      </c>
      <c r="FDN14" s="314" t="s">
        <v>203</v>
      </c>
      <c r="FDO14" s="314" t="s">
        <v>203</v>
      </c>
      <c r="FDP14" s="314" t="s">
        <v>203</v>
      </c>
      <c r="FDQ14" s="314" t="s">
        <v>203</v>
      </c>
      <c r="FDR14" s="314" t="s">
        <v>203</v>
      </c>
      <c r="FDS14" s="314" t="s">
        <v>203</v>
      </c>
      <c r="FDT14" s="314" t="s">
        <v>203</v>
      </c>
      <c r="FDU14" s="314" t="s">
        <v>203</v>
      </c>
      <c r="FDV14" s="314" t="s">
        <v>203</v>
      </c>
      <c r="FDW14" s="314" t="s">
        <v>203</v>
      </c>
      <c r="FDX14" s="314" t="s">
        <v>203</v>
      </c>
      <c r="FDY14" s="314" t="s">
        <v>203</v>
      </c>
      <c r="FDZ14" s="314" t="s">
        <v>203</v>
      </c>
      <c r="FEA14" s="314" t="s">
        <v>203</v>
      </c>
      <c r="FEB14" s="314" t="s">
        <v>203</v>
      </c>
      <c r="FEC14" s="314" t="s">
        <v>203</v>
      </c>
      <c r="FED14" s="314" t="s">
        <v>203</v>
      </c>
      <c r="FEE14" s="314" t="s">
        <v>203</v>
      </c>
      <c r="FEF14" s="314" t="s">
        <v>203</v>
      </c>
      <c r="FEG14" s="314" t="s">
        <v>203</v>
      </c>
      <c r="FEH14" s="314" t="s">
        <v>203</v>
      </c>
      <c r="FEI14" s="314" t="s">
        <v>203</v>
      </c>
      <c r="FEJ14" s="314" t="s">
        <v>203</v>
      </c>
      <c r="FEK14" s="314" t="s">
        <v>203</v>
      </c>
      <c r="FEL14" s="314" t="s">
        <v>203</v>
      </c>
      <c r="FEM14" s="314" t="s">
        <v>203</v>
      </c>
      <c r="FEN14" s="314" t="s">
        <v>203</v>
      </c>
      <c r="FEO14" s="314" t="s">
        <v>203</v>
      </c>
      <c r="FEP14" s="314" t="s">
        <v>203</v>
      </c>
      <c r="FEQ14" s="314" t="s">
        <v>203</v>
      </c>
      <c r="FER14" s="314" t="s">
        <v>203</v>
      </c>
      <c r="FES14" s="314" t="s">
        <v>203</v>
      </c>
      <c r="FET14" s="314" t="s">
        <v>203</v>
      </c>
      <c r="FEU14" s="314" t="s">
        <v>203</v>
      </c>
      <c r="FEV14" s="314" t="s">
        <v>203</v>
      </c>
      <c r="FEW14" s="314" t="s">
        <v>203</v>
      </c>
      <c r="FEX14" s="314" t="s">
        <v>203</v>
      </c>
      <c r="FEY14" s="314" t="s">
        <v>203</v>
      </c>
      <c r="FEZ14" s="314" t="s">
        <v>203</v>
      </c>
      <c r="FFA14" s="314" t="s">
        <v>203</v>
      </c>
      <c r="FFB14" s="314" t="s">
        <v>203</v>
      </c>
      <c r="FFC14" s="314" t="s">
        <v>203</v>
      </c>
      <c r="FFD14" s="314" t="s">
        <v>203</v>
      </c>
      <c r="FFE14" s="314" t="s">
        <v>203</v>
      </c>
      <c r="FFF14" s="314" t="s">
        <v>203</v>
      </c>
      <c r="FFG14" s="314" t="s">
        <v>203</v>
      </c>
      <c r="FFH14" s="314" t="s">
        <v>203</v>
      </c>
      <c r="FFI14" s="314" t="s">
        <v>203</v>
      </c>
      <c r="FFJ14" s="314" t="s">
        <v>203</v>
      </c>
      <c r="FFK14" s="314" t="s">
        <v>203</v>
      </c>
      <c r="FFL14" s="314" t="s">
        <v>203</v>
      </c>
      <c r="FFM14" s="314" t="s">
        <v>203</v>
      </c>
      <c r="FFN14" s="314" t="s">
        <v>203</v>
      </c>
      <c r="FFO14" s="314" t="s">
        <v>203</v>
      </c>
      <c r="FFP14" s="314" t="s">
        <v>203</v>
      </c>
      <c r="FFQ14" s="314" t="s">
        <v>203</v>
      </c>
      <c r="FFR14" s="314" t="s">
        <v>203</v>
      </c>
      <c r="FFS14" s="314" t="s">
        <v>203</v>
      </c>
      <c r="FFT14" s="314" t="s">
        <v>203</v>
      </c>
      <c r="FFU14" s="314" t="s">
        <v>203</v>
      </c>
      <c r="FFV14" s="314" t="s">
        <v>203</v>
      </c>
      <c r="FFW14" s="314" t="s">
        <v>203</v>
      </c>
      <c r="FFX14" s="314" t="s">
        <v>203</v>
      </c>
      <c r="FFY14" s="314" t="s">
        <v>203</v>
      </c>
      <c r="FFZ14" s="314" t="s">
        <v>203</v>
      </c>
      <c r="FGA14" s="314" t="s">
        <v>203</v>
      </c>
      <c r="FGB14" s="314" t="s">
        <v>203</v>
      </c>
      <c r="FGC14" s="314" t="s">
        <v>203</v>
      </c>
      <c r="FGD14" s="314" t="s">
        <v>203</v>
      </c>
      <c r="FGE14" s="314" t="s">
        <v>203</v>
      </c>
      <c r="FGF14" s="314" t="s">
        <v>203</v>
      </c>
      <c r="FGG14" s="314" t="s">
        <v>203</v>
      </c>
      <c r="FGH14" s="314" t="s">
        <v>203</v>
      </c>
      <c r="FGI14" s="314" t="s">
        <v>203</v>
      </c>
      <c r="FGJ14" s="314" t="s">
        <v>203</v>
      </c>
      <c r="FGK14" s="314" t="s">
        <v>203</v>
      </c>
      <c r="FGL14" s="314" t="s">
        <v>203</v>
      </c>
      <c r="FGM14" s="314" t="s">
        <v>203</v>
      </c>
      <c r="FGN14" s="314" t="s">
        <v>203</v>
      </c>
      <c r="FGO14" s="314" t="s">
        <v>203</v>
      </c>
      <c r="FGP14" s="314" t="s">
        <v>203</v>
      </c>
      <c r="FGQ14" s="314" t="s">
        <v>203</v>
      </c>
      <c r="FGR14" s="314" t="s">
        <v>203</v>
      </c>
      <c r="FGS14" s="314" t="s">
        <v>203</v>
      </c>
      <c r="FGT14" s="314" t="s">
        <v>203</v>
      </c>
      <c r="FGU14" s="314" t="s">
        <v>203</v>
      </c>
      <c r="FGV14" s="314" t="s">
        <v>203</v>
      </c>
      <c r="FGW14" s="314" t="s">
        <v>203</v>
      </c>
      <c r="FGX14" s="314" t="s">
        <v>203</v>
      </c>
      <c r="FGY14" s="314" t="s">
        <v>203</v>
      </c>
      <c r="FGZ14" s="314" t="s">
        <v>203</v>
      </c>
      <c r="FHA14" s="314" t="s">
        <v>203</v>
      </c>
      <c r="FHB14" s="314" t="s">
        <v>203</v>
      </c>
      <c r="FHC14" s="314" t="s">
        <v>203</v>
      </c>
      <c r="FHD14" s="314" t="s">
        <v>203</v>
      </c>
      <c r="FHE14" s="314" t="s">
        <v>203</v>
      </c>
      <c r="FHF14" s="314" t="s">
        <v>203</v>
      </c>
      <c r="FHG14" s="314" t="s">
        <v>203</v>
      </c>
      <c r="FHH14" s="314" t="s">
        <v>203</v>
      </c>
      <c r="FHI14" s="314" t="s">
        <v>203</v>
      </c>
      <c r="FHJ14" s="314" t="s">
        <v>203</v>
      </c>
      <c r="FHK14" s="314" t="s">
        <v>203</v>
      </c>
      <c r="FHL14" s="314" t="s">
        <v>203</v>
      </c>
      <c r="FHM14" s="314" t="s">
        <v>203</v>
      </c>
      <c r="FHN14" s="314" t="s">
        <v>203</v>
      </c>
      <c r="FHO14" s="314" t="s">
        <v>203</v>
      </c>
      <c r="FHP14" s="314" t="s">
        <v>203</v>
      </c>
      <c r="FHQ14" s="314" t="s">
        <v>203</v>
      </c>
      <c r="FHR14" s="314" t="s">
        <v>203</v>
      </c>
      <c r="FHS14" s="314" t="s">
        <v>203</v>
      </c>
      <c r="FHT14" s="314" t="s">
        <v>203</v>
      </c>
      <c r="FHU14" s="314" t="s">
        <v>203</v>
      </c>
      <c r="FHV14" s="314" t="s">
        <v>203</v>
      </c>
      <c r="FHW14" s="314" t="s">
        <v>203</v>
      </c>
      <c r="FHX14" s="314" t="s">
        <v>203</v>
      </c>
      <c r="FHY14" s="314" t="s">
        <v>203</v>
      </c>
      <c r="FHZ14" s="314" t="s">
        <v>203</v>
      </c>
      <c r="FIA14" s="314" t="s">
        <v>203</v>
      </c>
      <c r="FIB14" s="314" t="s">
        <v>203</v>
      </c>
      <c r="FIC14" s="314" t="s">
        <v>203</v>
      </c>
      <c r="FID14" s="314" t="s">
        <v>203</v>
      </c>
      <c r="FIE14" s="314" t="s">
        <v>203</v>
      </c>
      <c r="FIF14" s="314" t="s">
        <v>203</v>
      </c>
      <c r="FIG14" s="314" t="s">
        <v>203</v>
      </c>
      <c r="FIH14" s="314" t="s">
        <v>203</v>
      </c>
      <c r="FII14" s="314" t="s">
        <v>203</v>
      </c>
      <c r="FIJ14" s="314" t="s">
        <v>203</v>
      </c>
      <c r="FIK14" s="314" t="s">
        <v>203</v>
      </c>
      <c r="FIL14" s="314" t="s">
        <v>203</v>
      </c>
      <c r="FIM14" s="314" t="s">
        <v>203</v>
      </c>
      <c r="FIN14" s="314" t="s">
        <v>203</v>
      </c>
      <c r="FIO14" s="314" t="s">
        <v>203</v>
      </c>
      <c r="FIP14" s="314" t="s">
        <v>203</v>
      </c>
      <c r="FIQ14" s="314" t="s">
        <v>203</v>
      </c>
      <c r="FIR14" s="314" t="s">
        <v>203</v>
      </c>
      <c r="FIS14" s="314" t="s">
        <v>203</v>
      </c>
      <c r="FIT14" s="314" t="s">
        <v>203</v>
      </c>
      <c r="FIU14" s="314" t="s">
        <v>203</v>
      </c>
      <c r="FIV14" s="314" t="s">
        <v>203</v>
      </c>
      <c r="FIW14" s="314" t="s">
        <v>203</v>
      </c>
      <c r="FIX14" s="314" t="s">
        <v>203</v>
      </c>
      <c r="FIY14" s="314" t="s">
        <v>203</v>
      </c>
      <c r="FIZ14" s="314" t="s">
        <v>203</v>
      </c>
      <c r="FJA14" s="314" t="s">
        <v>203</v>
      </c>
      <c r="FJB14" s="314" t="s">
        <v>203</v>
      </c>
      <c r="FJC14" s="314" t="s">
        <v>203</v>
      </c>
      <c r="FJD14" s="314" t="s">
        <v>203</v>
      </c>
      <c r="FJE14" s="314" t="s">
        <v>203</v>
      </c>
      <c r="FJF14" s="314" t="s">
        <v>203</v>
      </c>
      <c r="FJG14" s="314" t="s">
        <v>203</v>
      </c>
      <c r="FJH14" s="314" t="s">
        <v>203</v>
      </c>
      <c r="FJI14" s="314" t="s">
        <v>203</v>
      </c>
      <c r="FJJ14" s="314" t="s">
        <v>203</v>
      </c>
      <c r="FJK14" s="314" t="s">
        <v>203</v>
      </c>
      <c r="FJL14" s="314" t="s">
        <v>203</v>
      </c>
      <c r="FJM14" s="314" t="s">
        <v>203</v>
      </c>
      <c r="FJN14" s="314" t="s">
        <v>203</v>
      </c>
      <c r="FJO14" s="314" t="s">
        <v>203</v>
      </c>
      <c r="FJP14" s="314" t="s">
        <v>203</v>
      </c>
      <c r="FJQ14" s="314" t="s">
        <v>203</v>
      </c>
      <c r="FJR14" s="314" t="s">
        <v>203</v>
      </c>
      <c r="FJS14" s="314" t="s">
        <v>203</v>
      </c>
      <c r="FJT14" s="314" t="s">
        <v>203</v>
      </c>
      <c r="FJU14" s="314" t="s">
        <v>203</v>
      </c>
      <c r="FJV14" s="314" t="s">
        <v>203</v>
      </c>
      <c r="FJW14" s="314" t="s">
        <v>203</v>
      </c>
      <c r="FJX14" s="314" t="s">
        <v>203</v>
      </c>
      <c r="FJY14" s="314" t="s">
        <v>203</v>
      </c>
      <c r="FJZ14" s="314" t="s">
        <v>203</v>
      </c>
      <c r="FKA14" s="314" t="s">
        <v>203</v>
      </c>
      <c r="FKB14" s="314" t="s">
        <v>203</v>
      </c>
      <c r="FKC14" s="314" t="s">
        <v>203</v>
      </c>
      <c r="FKD14" s="314" t="s">
        <v>203</v>
      </c>
      <c r="FKE14" s="314" t="s">
        <v>203</v>
      </c>
      <c r="FKF14" s="314" t="s">
        <v>203</v>
      </c>
      <c r="FKG14" s="314" t="s">
        <v>203</v>
      </c>
      <c r="FKH14" s="314" t="s">
        <v>203</v>
      </c>
      <c r="FKI14" s="314" t="s">
        <v>203</v>
      </c>
      <c r="FKJ14" s="314" t="s">
        <v>203</v>
      </c>
      <c r="FKK14" s="314" t="s">
        <v>203</v>
      </c>
      <c r="FKL14" s="314" t="s">
        <v>203</v>
      </c>
      <c r="FKM14" s="314" t="s">
        <v>203</v>
      </c>
      <c r="FKN14" s="314" t="s">
        <v>203</v>
      </c>
      <c r="FKO14" s="314" t="s">
        <v>203</v>
      </c>
      <c r="FKP14" s="314" t="s">
        <v>203</v>
      </c>
      <c r="FKQ14" s="314" t="s">
        <v>203</v>
      </c>
      <c r="FKR14" s="314" t="s">
        <v>203</v>
      </c>
      <c r="FKS14" s="314" t="s">
        <v>203</v>
      </c>
      <c r="FKT14" s="314" t="s">
        <v>203</v>
      </c>
      <c r="FKU14" s="314" t="s">
        <v>203</v>
      </c>
      <c r="FKV14" s="314" t="s">
        <v>203</v>
      </c>
      <c r="FKW14" s="314" t="s">
        <v>203</v>
      </c>
      <c r="FKX14" s="314" t="s">
        <v>203</v>
      </c>
      <c r="FKY14" s="314" t="s">
        <v>203</v>
      </c>
      <c r="FKZ14" s="314" t="s">
        <v>203</v>
      </c>
      <c r="FLA14" s="314" t="s">
        <v>203</v>
      </c>
      <c r="FLB14" s="314" t="s">
        <v>203</v>
      </c>
      <c r="FLC14" s="314" t="s">
        <v>203</v>
      </c>
      <c r="FLD14" s="314" t="s">
        <v>203</v>
      </c>
      <c r="FLE14" s="314" t="s">
        <v>203</v>
      </c>
      <c r="FLF14" s="314" t="s">
        <v>203</v>
      </c>
      <c r="FLG14" s="314" t="s">
        <v>203</v>
      </c>
      <c r="FLH14" s="314" t="s">
        <v>203</v>
      </c>
      <c r="FLI14" s="314" t="s">
        <v>203</v>
      </c>
      <c r="FLJ14" s="314" t="s">
        <v>203</v>
      </c>
      <c r="FLK14" s="314" t="s">
        <v>203</v>
      </c>
      <c r="FLL14" s="314" t="s">
        <v>203</v>
      </c>
      <c r="FLM14" s="314" t="s">
        <v>203</v>
      </c>
      <c r="FLN14" s="314" t="s">
        <v>203</v>
      </c>
      <c r="FLO14" s="314" t="s">
        <v>203</v>
      </c>
      <c r="FLP14" s="314" t="s">
        <v>203</v>
      </c>
      <c r="FLQ14" s="314" t="s">
        <v>203</v>
      </c>
      <c r="FLR14" s="314" t="s">
        <v>203</v>
      </c>
      <c r="FLS14" s="314" t="s">
        <v>203</v>
      </c>
      <c r="FLT14" s="314" t="s">
        <v>203</v>
      </c>
      <c r="FLU14" s="314" t="s">
        <v>203</v>
      </c>
      <c r="FLV14" s="314" t="s">
        <v>203</v>
      </c>
      <c r="FLW14" s="314" t="s">
        <v>203</v>
      </c>
      <c r="FLX14" s="314" t="s">
        <v>203</v>
      </c>
      <c r="FLY14" s="314" t="s">
        <v>203</v>
      </c>
      <c r="FLZ14" s="314" t="s">
        <v>203</v>
      </c>
      <c r="FMA14" s="314" t="s">
        <v>203</v>
      </c>
      <c r="FMB14" s="314" t="s">
        <v>203</v>
      </c>
      <c r="FMC14" s="314" t="s">
        <v>203</v>
      </c>
      <c r="FMD14" s="314" t="s">
        <v>203</v>
      </c>
      <c r="FME14" s="314" t="s">
        <v>203</v>
      </c>
      <c r="FMF14" s="314" t="s">
        <v>203</v>
      </c>
      <c r="FMG14" s="314" t="s">
        <v>203</v>
      </c>
      <c r="FMH14" s="314" t="s">
        <v>203</v>
      </c>
      <c r="FMI14" s="314" t="s">
        <v>203</v>
      </c>
      <c r="FMJ14" s="314" t="s">
        <v>203</v>
      </c>
      <c r="FMK14" s="314" t="s">
        <v>203</v>
      </c>
      <c r="FML14" s="314" t="s">
        <v>203</v>
      </c>
      <c r="FMM14" s="314" t="s">
        <v>203</v>
      </c>
      <c r="FMN14" s="314" t="s">
        <v>203</v>
      </c>
      <c r="FMO14" s="314" t="s">
        <v>203</v>
      </c>
      <c r="FMP14" s="314" t="s">
        <v>203</v>
      </c>
      <c r="FMQ14" s="314" t="s">
        <v>203</v>
      </c>
      <c r="FMR14" s="314" t="s">
        <v>203</v>
      </c>
      <c r="FMS14" s="314" t="s">
        <v>203</v>
      </c>
      <c r="FMT14" s="314" t="s">
        <v>203</v>
      </c>
      <c r="FMU14" s="314" t="s">
        <v>203</v>
      </c>
      <c r="FMV14" s="314" t="s">
        <v>203</v>
      </c>
      <c r="FMW14" s="314" t="s">
        <v>203</v>
      </c>
      <c r="FMX14" s="314" t="s">
        <v>203</v>
      </c>
      <c r="FMY14" s="314" t="s">
        <v>203</v>
      </c>
      <c r="FMZ14" s="314" t="s">
        <v>203</v>
      </c>
      <c r="FNA14" s="314" t="s">
        <v>203</v>
      </c>
      <c r="FNB14" s="314" t="s">
        <v>203</v>
      </c>
      <c r="FNC14" s="314" t="s">
        <v>203</v>
      </c>
      <c r="FND14" s="314" t="s">
        <v>203</v>
      </c>
      <c r="FNE14" s="314" t="s">
        <v>203</v>
      </c>
      <c r="FNF14" s="314" t="s">
        <v>203</v>
      </c>
      <c r="FNG14" s="314" t="s">
        <v>203</v>
      </c>
      <c r="FNH14" s="314" t="s">
        <v>203</v>
      </c>
      <c r="FNI14" s="314" t="s">
        <v>203</v>
      </c>
      <c r="FNJ14" s="314" t="s">
        <v>203</v>
      </c>
      <c r="FNK14" s="314" t="s">
        <v>203</v>
      </c>
      <c r="FNL14" s="314" t="s">
        <v>203</v>
      </c>
      <c r="FNM14" s="314" t="s">
        <v>203</v>
      </c>
      <c r="FNN14" s="314" t="s">
        <v>203</v>
      </c>
      <c r="FNO14" s="314" t="s">
        <v>203</v>
      </c>
      <c r="FNP14" s="314" t="s">
        <v>203</v>
      </c>
      <c r="FNQ14" s="314" t="s">
        <v>203</v>
      </c>
      <c r="FNR14" s="314" t="s">
        <v>203</v>
      </c>
      <c r="FNS14" s="314" t="s">
        <v>203</v>
      </c>
      <c r="FNT14" s="314" t="s">
        <v>203</v>
      </c>
      <c r="FNU14" s="314" t="s">
        <v>203</v>
      </c>
      <c r="FNV14" s="314" t="s">
        <v>203</v>
      </c>
      <c r="FNW14" s="314" t="s">
        <v>203</v>
      </c>
      <c r="FNX14" s="314" t="s">
        <v>203</v>
      </c>
      <c r="FNY14" s="314" t="s">
        <v>203</v>
      </c>
      <c r="FNZ14" s="314" t="s">
        <v>203</v>
      </c>
      <c r="FOA14" s="314" t="s">
        <v>203</v>
      </c>
      <c r="FOB14" s="314" t="s">
        <v>203</v>
      </c>
      <c r="FOC14" s="314" t="s">
        <v>203</v>
      </c>
      <c r="FOD14" s="314" t="s">
        <v>203</v>
      </c>
      <c r="FOE14" s="314" t="s">
        <v>203</v>
      </c>
      <c r="FOF14" s="314" t="s">
        <v>203</v>
      </c>
      <c r="FOG14" s="314" t="s">
        <v>203</v>
      </c>
      <c r="FOH14" s="314" t="s">
        <v>203</v>
      </c>
      <c r="FOI14" s="314" t="s">
        <v>203</v>
      </c>
      <c r="FOJ14" s="314" t="s">
        <v>203</v>
      </c>
      <c r="FOK14" s="314" t="s">
        <v>203</v>
      </c>
      <c r="FOL14" s="314" t="s">
        <v>203</v>
      </c>
      <c r="FOM14" s="314" t="s">
        <v>203</v>
      </c>
      <c r="FON14" s="314" t="s">
        <v>203</v>
      </c>
      <c r="FOO14" s="314" t="s">
        <v>203</v>
      </c>
      <c r="FOP14" s="314" t="s">
        <v>203</v>
      </c>
      <c r="FOQ14" s="314" t="s">
        <v>203</v>
      </c>
      <c r="FOR14" s="314" t="s">
        <v>203</v>
      </c>
      <c r="FOS14" s="314" t="s">
        <v>203</v>
      </c>
      <c r="FOT14" s="314" t="s">
        <v>203</v>
      </c>
      <c r="FOU14" s="314" t="s">
        <v>203</v>
      </c>
      <c r="FOV14" s="314" t="s">
        <v>203</v>
      </c>
      <c r="FOW14" s="314" t="s">
        <v>203</v>
      </c>
      <c r="FOX14" s="314" t="s">
        <v>203</v>
      </c>
      <c r="FOY14" s="314" t="s">
        <v>203</v>
      </c>
      <c r="FOZ14" s="314" t="s">
        <v>203</v>
      </c>
      <c r="FPA14" s="314" t="s">
        <v>203</v>
      </c>
      <c r="FPB14" s="314" t="s">
        <v>203</v>
      </c>
      <c r="FPC14" s="314" t="s">
        <v>203</v>
      </c>
      <c r="FPD14" s="314" t="s">
        <v>203</v>
      </c>
      <c r="FPE14" s="314" t="s">
        <v>203</v>
      </c>
      <c r="FPF14" s="314" t="s">
        <v>203</v>
      </c>
      <c r="FPG14" s="314" t="s">
        <v>203</v>
      </c>
      <c r="FPH14" s="314" t="s">
        <v>203</v>
      </c>
      <c r="FPI14" s="314" t="s">
        <v>203</v>
      </c>
      <c r="FPJ14" s="314" t="s">
        <v>203</v>
      </c>
      <c r="FPK14" s="314" t="s">
        <v>203</v>
      </c>
      <c r="FPL14" s="314" t="s">
        <v>203</v>
      </c>
      <c r="FPM14" s="314" t="s">
        <v>203</v>
      </c>
      <c r="FPN14" s="314" t="s">
        <v>203</v>
      </c>
      <c r="FPO14" s="314" t="s">
        <v>203</v>
      </c>
      <c r="FPP14" s="314" t="s">
        <v>203</v>
      </c>
      <c r="FPQ14" s="314" t="s">
        <v>203</v>
      </c>
      <c r="FPR14" s="314" t="s">
        <v>203</v>
      </c>
      <c r="FPS14" s="314" t="s">
        <v>203</v>
      </c>
      <c r="FPT14" s="314" t="s">
        <v>203</v>
      </c>
      <c r="FPU14" s="314" t="s">
        <v>203</v>
      </c>
      <c r="FPV14" s="314" t="s">
        <v>203</v>
      </c>
      <c r="FPW14" s="314" t="s">
        <v>203</v>
      </c>
      <c r="FPX14" s="314" t="s">
        <v>203</v>
      </c>
      <c r="FPY14" s="314" t="s">
        <v>203</v>
      </c>
      <c r="FPZ14" s="314" t="s">
        <v>203</v>
      </c>
      <c r="FQA14" s="314" t="s">
        <v>203</v>
      </c>
      <c r="FQB14" s="314" t="s">
        <v>203</v>
      </c>
      <c r="FQC14" s="314" t="s">
        <v>203</v>
      </c>
      <c r="FQD14" s="314" t="s">
        <v>203</v>
      </c>
      <c r="FQE14" s="314" t="s">
        <v>203</v>
      </c>
      <c r="FQF14" s="314" t="s">
        <v>203</v>
      </c>
      <c r="FQG14" s="314" t="s">
        <v>203</v>
      </c>
      <c r="FQH14" s="314" t="s">
        <v>203</v>
      </c>
      <c r="FQI14" s="314" t="s">
        <v>203</v>
      </c>
      <c r="FQJ14" s="314" t="s">
        <v>203</v>
      </c>
      <c r="FQK14" s="314" t="s">
        <v>203</v>
      </c>
      <c r="FQL14" s="314" t="s">
        <v>203</v>
      </c>
      <c r="FQM14" s="314" t="s">
        <v>203</v>
      </c>
      <c r="FQN14" s="314" t="s">
        <v>203</v>
      </c>
      <c r="FQO14" s="314" t="s">
        <v>203</v>
      </c>
      <c r="FQP14" s="314" t="s">
        <v>203</v>
      </c>
      <c r="FQQ14" s="314" t="s">
        <v>203</v>
      </c>
      <c r="FQR14" s="314" t="s">
        <v>203</v>
      </c>
      <c r="FQS14" s="314" t="s">
        <v>203</v>
      </c>
      <c r="FQT14" s="314" t="s">
        <v>203</v>
      </c>
      <c r="FQU14" s="314" t="s">
        <v>203</v>
      </c>
      <c r="FQV14" s="314" t="s">
        <v>203</v>
      </c>
      <c r="FQW14" s="314" t="s">
        <v>203</v>
      </c>
      <c r="FQX14" s="314" t="s">
        <v>203</v>
      </c>
      <c r="FQY14" s="314" t="s">
        <v>203</v>
      </c>
      <c r="FQZ14" s="314" t="s">
        <v>203</v>
      </c>
      <c r="FRA14" s="314" t="s">
        <v>203</v>
      </c>
      <c r="FRB14" s="314" t="s">
        <v>203</v>
      </c>
      <c r="FRC14" s="314" t="s">
        <v>203</v>
      </c>
      <c r="FRD14" s="314" t="s">
        <v>203</v>
      </c>
      <c r="FRE14" s="314" t="s">
        <v>203</v>
      </c>
      <c r="FRF14" s="314" t="s">
        <v>203</v>
      </c>
      <c r="FRG14" s="314" t="s">
        <v>203</v>
      </c>
      <c r="FRH14" s="314" t="s">
        <v>203</v>
      </c>
      <c r="FRI14" s="314" t="s">
        <v>203</v>
      </c>
      <c r="FRJ14" s="314" t="s">
        <v>203</v>
      </c>
      <c r="FRK14" s="314" t="s">
        <v>203</v>
      </c>
      <c r="FRL14" s="314" t="s">
        <v>203</v>
      </c>
      <c r="FRM14" s="314" t="s">
        <v>203</v>
      </c>
      <c r="FRN14" s="314" t="s">
        <v>203</v>
      </c>
      <c r="FRO14" s="314" t="s">
        <v>203</v>
      </c>
      <c r="FRP14" s="314" t="s">
        <v>203</v>
      </c>
      <c r="FRQ14" s="314" t="s">
        <v>203</v>
      </c>
      <c r="FRR14" s="314" t="s">
        <v>203</v>
      </c>
      <c r="FRS14" s="314" t="s">
        <v>203</v>
      </c>
      <c r="FRT14" s="314" t="s">
        <v>203</v>
      </c>
      <c r="FRU14" s="314" t="s">
        <v>203</v>
      </c>
      <c r="FRV14" s="314" t="s">
        <v>203</v>
      </c>
      <c r="FRW14" s="314" t="s">
        <v>203</v>
      </c>
      <c r="FRX14" s="314" t="s">
        <v>203</v>
      </c>
      <c r="FRY14" s="314" t="s">
        <v>203</v>
      </c>
      <c r="FRZ14" s="314" t="s">
        <v>203</v>
      </c>
      <c r="FSA14" s="314" t="s">
        <v>203</v>
      </c>
      <c r="FSB14" s="314" t="s">
        <v>203</v>
      </c>
      <c r="FSC14" s="314" t="s">
        <v>203</v>
      </c>
      <c r="FSD14" s="314" t="s">
        <v>203</v>
      </c>
      <c r="FSE14" s="314" t="s">
        <v>203</v>
      </c>
      <c r="FSF14" s="314" t="s">
        <v>203</v>
      </c>
      <c r="FSG14" s="314" t="s">
        <v>203</v>
      </c>
      <c r="FSH14" s="314" t="s">
        <v>203</v>
      </c>
      <c r="FSI14" s="314" t="s">
        <v>203</v>
      </c>
      <c r="FSJ14" s="314" t="s">
        <v>203</v>
      </c>
      <c r="FSK14" s="314" t="s">
        <v>203</v>
      </c>
      <c r="FSL14" s="314" t="s">
        <v>203</v>
      </c>
      <c r="FSM14" s="314" t="s">
        <v>203</v>
      </c>
      <c r="FSN14" s="314" t="s">
        <v>203</v>
      </c>
      <c r="FSO14" s="314" t="s">
        <v>203</v>
      </c>
      <c r="FSP14" s="314" t="s">
        <v>203</v>
      </c>
      <c r="FSQ14" s="314" t="s">
        <v>203</v>
      </c>
      <c r="FSR14" s="314" t="s">
        <v>203</v>
      </c>
      <c r="FSS14" s="314" t="s">
        <v>203</v>
      </c>
      <c r="FST14" s="314" t="s">
        <v>203</v>
      </c>
      <c r="FSU14" s="314" t="s">
        <v>203</v>
      </c>
      <c r="FSV14" s="314" t="s">
        <v>203</v>
      </c>
      <c r="FSW14" s="314" t="s">
        <v>203</v>
      </c>
      <c r="FSX14" s="314" t="s">
        <v>203</v>
      </c>
      <c r="FSY14" s="314" t="s">
        <v>203</v>
      </c>
      <c r="FSZ14" s="314" t="s">
        <v>203</v>
      </c>
      <c r="FTA14" s="314" t="s">
        <v>203</v>
      </c>
      <c r="FTB14" s="314" t="s">
        <v>203</v>
      </c>
      <c r="FTC14" s="314" t="s">
        <v>203</v>
      </c>
      <c r="FTD14" s="314" t="s">
        <v>203</v>
      </c>
      <c r="FTE14" s="314" t="s">
        <v>203</v>
      </c>
      <c r="FTF14" s="314" t="s">
        <v>203</v>
      </c>
      <c r="FTG14" s="314" t="s">
        <v>203</v>
      </c>
      <c r="FTH14" s="314" t="s">
        <v>203</v>
      </c>
      <c r="FTI14" s="314" t="s">
        <v>203</v>
      </c>
      <c r="FTJ14" s="314" t="s">
        <v>203</v>
      </c>
      <c r="FTK14" s="314" t="s">
        <v>203</v>
      </c>
      <c r="FTL14" s="314" t="s">
        <v>203</v>
      </c>
      <c r="FTM14" s="314" t="s">
        <v>203</v>
      </c>
      <c r="FTN14" s="314" t="s">
        <v>203</v>
      </c>
      <c r="FTO14" s="314" t="s">
        <v>203</v>
      </c>
      <c r="FTP14" s="314" t="s">
        <v>203</v>
      </c>
      <c r="FTQ14" s="314" t="s">
        <v>203</v>
      </c>
      <c r="FTR14" s="314" t="s">
        <v>203</v>
      </c>
      <c r="FTS14" s="314" t="s">
        <v>203</v>
      </c>
      <c r="FTT14" s="314" t="s">
        <v>203</v>
      </c>
      <c r="FTU14" s="314" t="s">
        <v>203</v>
      </c>
      <c r="FTV14" s="314" t="s">
        <v>203</v>
      </c>
      <c r="FTW14" s="314" t="s">
        <v>203</v>
      </c>
      <c r="FTX14" s="314" t="s">
        <v>203</v>
      </c>
      <c r="FTY14" s="314" t="s">
        <v>203</v>
      </c>
      <c r="FTZ14" s="314" t="s">
        <v>203</v>
      </c>
      <c r="FUA14" s="314" t="s">
        <v>203</v>
      </c>
      <c r="FUB14" s="314" t="s">
        <v>203</v>
      </c>
      <c r="FUC14" s="314" t="s">
        <v>203</v>
      </c>
      <c r="FUD14" s="314" t="s">
        <v>203</v>
      </c>
      <c r="FUE14" s="314" t="s">
        <v>203</v>
      </c>
      <c r="FUF14" s="314" t="s">
        <v>203</v>
      </c>
      <c r="FUG14" s="314" t="s">
        <v>203</v>
      </c>
      <c r="FUH14" s="314" t="s">
        <v>203</v>
      </c>
      <c r="FUI14" s="314" t="s">
        <v>203</v>
      </c>
      <c r="FUJ14" s="314" t="s">
        <v>203</v>
      </c>
      <c r="FUK14" s="314" t="s">
        <v>203</v>
      </c>
      <c r="FUL14" s="314" t="s">
        <v>203</v>
      </c>
      <c r="FUM14" s="314" t="s">
        <v>203</v>
      </c>
      <c r="FUN14" s="314" t="s">
        <v>203</v>
      </c>
      <c r="FUO14" s="314" t="s">
        <v>203</v>
      </c>
      <c r="FUP14" s="314" t="s">
        <v>203</v>
      </c>
      <c r="FUQ14" s="314" t="s">
        <v>203</v>
      </c>
      <c r="FUR14" s="314" t="s">
        <v>203</v>
      </c>
      <c r="FUS14" s="314" t="s">
        <v>203</v>
      </c>
      <c r="FUT14" s="314" t="s">
        <v>203</v>
      </c>
      <c r="FUU14" s="314" t="s">
        <v>203</v>
      </c>
      <c r="FUV14" s="314" t="s">
        <v>203</v>
      </c>
      <c r="FUW14" s="314" t="s">
        <v>203</v>
      </c>
      <c r="FUX14" s="314" t="s">
        <v>203</v>
      </c>
      <c r="FUY14" s="314" t="s">
        <v>203</v>
      </c>
      <c r="FUZ14" s="314" t="s">
        <v>203</v>
      </c>
      <c r="FVA14" s="314" t="s">
        <v>203</v>
      </c>
      <c r="FVB14" s="314" t="s">
        <v>203</v>
      </c>
      <c r="FVC14" s="314" t="s">
        <v>203</v>
      </c>
      <c r="FVD14" s="314" t="s">
        <v>203</v>
      </c>
      <c r="FVE14" s="314" t="s">
        <v>203</v>
      </c>
      <c r="FVF14" s="314" t="s">
        <v>203</v>
      </c>
      <c r="FVG14" s="314" t="s">
        <v>203</v>
      </c>
      <c r="FVH14" s="314" t="s">
        <v>203</v>
      </c>
      <c r="FVI14" s="314" t="s">
        <v>203</v>
      </c>
      <c r="FVJ14" s="314" t="s">
        <v>203</v>
      </c>
      <c r="FVK14" s="314" t="s">
        <v>203</v>
      </c>
      <c r="FVL14" s="314" t="s">
        <v>203</v>
      </c>
      <c r="FVM14" s="314" t="s">
        <v>203</v>
      </c>
      <c r="FVN14" s="314" t="s">
        <v>203</v>
      </c>
      <c r="FVO14" s="314" t="s">
        <v>203</v>
      </c>
      <c r="FVP14" s="314" t="s">
        <v>203</v>
      </c>
      <c r="FVQ14" s="314" t="s">
        <v>203</v>
      </c>
      <c r="FVR14" s="314" t="s">
        <v>203</v>
      </c>
      <c r="FVS14" s="314" t="s">
        <v>203</v>
      </c>
      <c r="FVT14" s="314" t="s">
        <v>203</v>
      </c>
      <c r="FVU14" s="314" t="s">
        <v>203</v>
      </c>
      <c r="FVV14" s="314" t="s">
        <v>203</v>
      </c>
      <c r="FVW14" s="314" t="s">
        <v>203</v>
      </c>
      <c r="FVX14" s="314" t="s">
        <v>203</v>
      </c>
      <c r="FVY14" s="314" t="s">
        <v>203</v>
      </c>
      <c r="FVZ14" s="314" t="s">
        <v>203</v>
      </c>
      <c r="FWA14" s="314" t="s">
        <v>203</v>
      </c>
      <c r="FWB14" s="314" t="s">
        <v>203</v>
      </c>
      <c r="FWC14" s="314" t="s">
        <v>203</v>
      </c>
      <c r="FWD14" s="314" t="s">
        <v>203</v>
      </c>
      <c r="FWE14" s="314" t="s">
        <v>203</v>
      </c>
      <c r="FWF14" s="314" t="s">
        <v>203</v>
      </c>
      <c r="FWG14" s="314" t="s">
        <v>203</v>
      </c>
      <c r="FWH14" s="314" t="s">
        <v>203</v>
      </c>
      <c r="FWI14" s="314" t="s">
        <v>203</v>
      </c>
      <c r="FWJ14" s="314" t="s">
        <v>203</v>
      </c>
      <c r="FWK14" s="314" t="s">
        <v>203</v>
      </c>
      <c r="FWL14" s="314" t="s">
        <v>203</v>
      </c>
      <c r="FWM14" s="314" t="s">
        <v>203</v>
      </c>
      <c r="FWN14" s="314" t="s">
        <v>203</v>
      </c>
      <c r="FWO14" s="314" t="s">
        <v>203</v>
      </c>
      <c r="FWP14" s="314" t="s">
        <v>203</v>
      </c>
      <c r="FWQ14" s="314" t="s">
        <v>203</v>
      </c>
      <c r="FWR14" s="314" t="s">
        <v>203</v>
      </c>
      <c r="FWS14" s="314" t="s">
        <v>203</v>
      </c>
      <c r="FWT14" s="314" t="s">
        <v>203</v>
      </c>
      <c r="FWU14" s="314" t="s">
        <v>203</v>
      </c>
      <c r="FWV14" s="314" t="s">
        <v>203</v>
      </c>
      <c r="FWW14" s="314" t="s">
        <v>203</v>
      </c>
      <c r="FWX14" s="314" t="s">
        <v>203</v>
      </c>
      <c r="FWY14" s="314" t="s">
        <v>203</v>
      </c>
      <c r="FWZ14" s="314" t="s">
        <v>203</v>
      </c>
      <c r="FXA14" s="314" t="s">
        <v>203</v>
      </c>
      <c r="FXB14" s="314" t="s">
        <v>203</v>
      </c>
      <c r="FXC14" s="314" t="s">
        <v>203</v>
      </c>
      <c r="FXD14" s="314" t="s">
        <v>203</v>
      </c>
      <c r="FXE14" s="314" t="s">
        <v>203</v>
      </c>
      <c r="FXF14" s="314" t="s">
        <v>203</v>
      </c>
      <c r="FXG14" s="314" t="s">
        <v>203</v>
      </c>
      <c r="FXH14" s="314" t="s">
        <v>203</v>
      </c>
      <c r="FXI14" s="314" t="s">
        <v>203</v>
      </c>
      <c r="FXJ14" s="314" t="s">
        <v>203</v>
      </c>
      <c r="FXK14" s="314" t="s">
        <v>203</v>
      </c>
      <c r="FXL14" s="314" t="s">
        <v>203</v>
      </c>
      <c r="FXM14" s="314" t="s">
        <v>203</v>
      </c>
      <c r="FXN14" s="314" t="s">
        <v>203</v>
      </c>
      <c r="FXO14" s="314" t="s">
        <v>203</v>
      </c>
      <c r="FXP14" s="314" t="s">
        <v>203</v>
      </c>
      <c r="FXQ14" s="314" t="s">
        <v>203</v>
      </c>
      <c r="FXR14" s="314" t="s">
        <v>203</v>
      </c>
      <c r="FXS14" s="314" t="s">
        <v>203</v>
      </c>
      <c r="FXT14" s="314" t="s">
        <v>203</v>
      </c>
      <c r="FXU14" s="314" t="s">
        <v>203</v>
      </c>
      <c r="FXV14" s="314" t="s">
        <v>203</v>
      </c>
      <c r="FXW14" s="314" t="s">
        <v>203</v>
      </c>
      <c r="FXX14" s="314" t="s">
        <v>203</v>
      </c>
      <c r="FXY14" s="314" t="s">
        <v>203</v>
      </c>
      <c r="FXZ14" s="314" t="s">
        <v>203</v>
      </c>
      <c r="FYA14" s="314" t="s">
        <v>203</v>
      </c>
      <c r="FYB14" s="314" t="s">
        <v>203</v>
      </c>
      <c r="FYC14" s="314" t="s">
        <v>203</v>
      </c>
      <c r="FYD14" s="314" t="s">
        <v>203</v>
      </c>
      <c r="FYE14" s="314" t="s">
        <v>203</v>
      </c>
      <c r="FYF14" s="314" t="s">
        <v>203</v>
      </c>
      <c r="FYG14" s="314" t="s">
        <v>203</v>
      </c>
      <c r="FYH14" s="314" t="s">
        <v>203</v>
      </c>
      <c r="FYI14" s="314" t="s">
        <v>203</v>
      </c>
      <c r="FYJ14" s="314" t="s">
        <v>203</v>
      </c>
      <c r="FYK14" s="314" t="s">
        <v>203</v>
      </c>
      <c r="FYL14" s="314" t="s">
        <v>203</v>
      </c>
      <c r="FYM14" s="314" t="s">
        <v>203</v>
      </c>
      <c r="FYN14" s="314" t="s">
        <v>203</v>
      </c>
      <c r="FYO14" s="314" t="s">
        <v>203</v>
      </c>
      <c r="FYP14" s="314" t="s">
        <v>203</v>
      </c>
      <c r="FYQ14" s="314" t="s">
        <v>203</v>
      </c>
      <c r="FYR14" s="314" t="s">
        <v>203</v>
      </c>
      <c r="FYS14" s="314" t="s">
        <v>203</v>
      </c>
      <c r="FYT14" s="314" t="s">
        <v>203</v>
      </c>
      <c r="FYU14" s="314" t="s">
        <v>203</v>
      </c>
      <c r="FYV14" s="314" t="s">
        <v>203</v>
      </c>
      <c r="FYW14" s="314" t="s">
        <v>203</v>
      </c>
      <c r="FYX14" s="314" t="s">
        <v>203</v>
      </c>
      <c r="FYY14" s="314" t="s">
        <v>203</v>
      </c>
      <c r="FYZ14" s="314" t="s">
        <v>203</v>
      </c>
      <c r="FZA14" s="314" t="s">
        <v>203</v>
      </c>
      <c r="FZB14" s="314" t="s">
        <v>203</v>
      </c>
      <c r="FZC14" s="314" t="s">
        <v>203</v>
      </c>
      <c r="FZD14" s="314" t="s">
        <v>203</v>
      </c>
      <c r="FZE14" s="314" t="s">
        <v>203</v>
      </c>
      <c r="FZF14" s="314" t="s">
        <v>203</v>
      </c>
      <c r="FZG14" s="314" t="s">
        <v>203</v>
      </c>
      <c r="FZH14" s="314" t="s">
        <v>203</v>
      </c>
      <c r="FZI14" s="314" t="s">
        <v>203</v>
      </c>
      <c r="FZJ14" s="314" t="s">
        <v>203</v>
      </c>
      <c r="FZK14" s="314" t="s">
        <v>203</v>
      </c>
      <c r="FZL14" s="314" t="s">
        <v>203</v>
      </c>
      <c r="FZM14" s="314" t="s">
        <v>203</v>
      </c>
      <c r="FZN14" s="314" t="s">
        <v>203</v>
      </c>
      <c r="FZO14" s="314" t="s">
        <v>203</v>
      </c>
      <c r="FZP14" s="314" t="s">
        <v>203</v>
      </c>
      <c r="FZQ14" s="314" t="s">
        <v>203</v>
      </c>
      <c r="FZR14" s="314" t="s">
        <v>203</v>
      </c>
      <c r="FZS14" s="314" t="s">
        <v>203</v>
      </c>
      <c r="FZT14" s="314" t="s">
        <v>203</v>
      </c>
      <c r="FZU14" s="314" t="s">
        <v>203</v>
      </c>
      <c r="FZV14" s="314" t="s">
        <v>203</v>
      </c>
      <c r="FZW14" s="314" t="s">
        <v>203</v>
      </c>
      <c r="FZX14" s="314" t="s">
        <v>203</v>
      </c>
      <c r="FZY14" s="314" t="s">
        <v>203</v>
      </c>
      <c r="FZZ14" s="314" t="s">
        <v>203</v>
      </c>
      <c r="GAA14" s="314" t="s">
        <v>203</v>
      </c>
      <c r="GAB14" s="314" t="s">
        <v>203</v>
      </c>
      <c r="GAC14" s="314" t="s">
        <v>203</v>
      </c>
      <c r="GAD14" s="314" t="s">
        <v>203</v>
      </c>
      <c r="GAE14" s="314" t="s">
        <v>203</v>
      </c>
      <c r="GAF14" s="314" t="s">
        <v>203</v>
      </c>
      <c r="GAG14" s="314" t="s">
        <v>203</v>
      </c>
      <c r="GAH14" s="314" t="s">
        <v>203</v>
      </c>
      <c r="GAI14" s="314" t="s">
        <v>203</v>
      </c>
      <c r="GAJ14" s="314" t="s">
        <v>203</v>
      </c>
      <c r="GAK14" s="314" t="s">
        <v>203</v>
      </c>
      <c r="GAL14" s="314" t="s">
        <v>203</v>
      </c>
      <c r="GAM14" s="314" t="s">
        <v>203</v>
      </c>
      <c r="GAN14" s="314" t="s">
        <v>203</v>
      </c>
      <c r="GAO14" s="314" t="s">
        <v>203</v>
      </c>
      <c r="GAP14" s="314" t="s">
        <v>203</v>
      </c>
      <c r="GAQ14" s="314" t="s">
        <v>203</v>
      </c>
      <c r="GAR14" s="314" t="s">
        <v>203</v>
      </c>
      <c r="GAS14" s="314" t="s">
        <v>203</v>
      </c>
      <c r="GAT14" s="314" t="s">
        <v>203</v>
      </c>
      <c r="GAU14" s="314" t="s">
        <v>203</v>
      </c>
      <c r="GAV14" s="314" t="s">
        <v>203</v>
      </c>
      <c r="GAW14" s="314" t="s">
        <v>203</v>
      </c>
      <c r="GAX14" s="314" t="s">
        <v>203</v>
      </c>
      <c r="GAY14" s="314" t="s">
        <v>203</v>
      </c>
      <c r="GAZ14" s="314" t="s">
        <v>203</v>
      </c>
      <c r="GBA14" s="314" t="s">
        <v>203</v>
      </c>
      <c r="GBB14" s="314" t="s">
        <v>203</v>
      </c>
      <c r="GBC14" s="314" t="s">
        <v>203</v>
      </c>
      <c r="GBD14" s="314" t="s">
        <v>203</v>
      </c>
      <c r="GBE14" s="314" t="s">
        <v>203</v>
      </c>
      <c r="GBF14" s="314" t="s">
        <v>203</v>
      </c>
      <c r="GBG14" s="314" t="s">
        <v>203</v>
      </c>
      <c r="GBH14" s="314" t="s">
        <v>203</v>
      </c>
      <c r="GBI14" s="314" t="s">
        <v>203</v>
      </c>
      <c r="GBJ14" s="314" t="s">
        <v>203</v>
      </c>
      <c r="GBK14" s="314" t="s">
        <v>203</v>
      </c>
      <c r="GBL14" s="314" t="s">
        <v>203</v>
      </c>
      <c r="GBM14" s="314" t="s">
        <v>203</v>
      </c>
      <c r="GBN14" s="314" t="s">
        <v>203</v>
      </c>
      <c r="GBO14" s="314" t="s">
        <v>203</v>
      </c>
      <c r="GBP14" s="314" t="s">
        <v>203</v>
      </c>
      <c r="GBQ14" s="314" t="s">
        <v>203</v>
      </c>
      <c r="GBR14" s="314" t="s">
        <v>203</v>
      </c>
      <c r="GBS14" s="314" t="s">
        <v>203</v>
      </c>
      <c r="GBT14" s="314" t="s">
        <v>203</v>
      </c>
      <c r="GBU14" s="314" t="s">
        <v>203</v>
      </c>
      <c r="GBV14" s="314" t="s">
        <v>203</v>
      </c>
      <c r="GBW14" s="314" t="s">
        <v>203</v>
      </c>
      <c r="GBX14" s="314" t="s">
        <v>203</v>
      </c>
      <c r="GBY14" s="314" t="s">
        <v>203</v>
      </c>
      <c r="GBZ14" s="314" t="s">
        <v>203</v>
      </c>
      <c r="GCA14" s="314" t="s">
        <v>203</v>
      </c>
      <c r="GCB14" s="314" t="s">
        <v>203</v>
      </c>
      <c r="GCC14" s="314" t="s">
        <v>203</v>
      </c>
      <c r="GCD14" s="314" t="s">
        <v>203</v>
      </c>
      <c r="GCE14" s="314" t="s">
        <v>203</v>
      </c>
      <c r="GCF14" s="314" t="s">
        <v>203</v>
      </c>
      <c r="GCG14" s="314" t="s">
        <v>203</v>
      </c>
      <c r="GCH14" s="314" t="s">
        <v>203</v>
      </c>
      <c r="GCI14" s="314" t="s">
        <v>203</v>
      </c>
      <c r="GCJ14" s="314" t="s">
        <v>203</v>
      </c>
      <c r="GCK14" s="314" t="s">
        <v>203</v>
      </c>
      <c r="GCL14" s="314" t="s">
        <v>203</v>
      </c>
      <c r="GCM14" s="314" t="s">
        <v>203</v>
      </c>
      <c r="GCN14" s="314" t="s">
        <v>203</v>
      </c>
      <c r="GCO14" s="314" t="s">
        <v>203</v>
      </c>
      <c r="GCP14" s="314" t="s">
        <v>203</v>
      </c>
      <c r="GCQ14" s="314" t="s">
        <v>203</v>
      </c>
      <c r="GCR14" s="314" t="s">
        <v>203</v>
      </c>
      <c r="GCS14" s="314" t="s">
        <v>203</v>
      </c>
      <c r="GCT14" s="314" t="s">
        <v>203</v>
      </c>
      <c r="GCU14" s="314" t="s">
        <v>203</v>
      </c>
      <c r="GCV14" s="314" t="s">
        <v>203</v>
      </c>
      <c r="GCW14" s="314" t="s">
        <v>203</v>
      </c>
      <c r="GCX14" s="314" t="s">
        <v>203</v>
      </c>
      <c r="GCY14" s="314" t="s">
        <v>203</v>
      </c>
      <c r="GCZ14" s="314" t="s">
        <v>203</v>
      </c>
      <c r="GDA14" s="314" t="s">
        <v>203</v>
      </c>
      <c r="GDB14" s="314" t="s">
        <v>203</v>
      </c>
      <c r="GDC14" s="314" t="s">
        <v>203</v>
      </c>
      <c r="GDD14" s="314" t="s">
        <v>203</v>
      </c>
      <c r="GDE14" s="314" t="s">
        <v>203</v>
      </c>
      <c r="GDF14" s="314" t="s">
        <v>203</v>
      </c>
      <c r="GDG14" s="314" t="s">
        <v>203</v>
      </c>
      <c r="GDH14" s="314" t="s">
        <v>203</v>
      </c>
      <c r="GDI14" s="314" t="s">
        <v>203</v>
      </c>
      <c r="GDJ14" s="314" t="s">
        <v>203</v>
      </c>
      <c r="GDK14" s="314" t="s">
        <v>203</v>
      </c>
      <c r="GDL14" s="314" t="s">
        <v>203</v>
      </c>
      <c r="GDM14" s="314" t="s">
        <v>203</v>
      </c>
      <c r="GDN14" s="314" t="s">
        <v>203</v>
      </c>
      <c r="GDO14" s="314" t="s">
        <v>203</v>
      </c>
      <c r="GDP14" s="314" t="s">
        <v>203</v>
      </c>
      <c r="GDQ14" s="314" t="s">
        <v>203</v>
      </c>
      <c r="GDR14" s="314" t="s">
        <v>203</v>
      </c>
      <c r="GDS14" s="314" t="s">
        <v>203</v>
      </c>
      <c r="GDT14" s="314" t="s">
        <v>203</v>
      </c>
      <c r="GDU14" s="314" t="s">
        <v>203</v>
      </c>
      <c r="GDV14" s="314" t="s">
        <v>203</v>
      </c>
      <c r="GDW14" s="314" t="s">
        <v>203</v>
      </c>
      <c r="GDX14" s="314" t="s">
        <v>203</v>
      </c>
      <c r="GDY14" s="314" t="s">
        <v>203</v>
      </c>
      <c r="GDZ14" s="314" t="s">
        <v>203</v>
      </c>
      <c r="GEA14" s="314" t="s">
        <v>203</v>
      </c>
      <c r="GEB14" s="314" t="s">
        <v>203</v>
      </c>
      <c r="GEC14" s="314" t="s">
        <v>203</v>
      </c>
      <c r="GED14" s="314" t="s">
        <v>203</v>
      </c>
      <c r="GEE14" s="314" t="s">
        <v>203</v>
      </c>
      <c r="GEF14" s="314" t="s">
        <v>203</v>
      </c>
      <c r="GEG14" s="314" t="s">
        <v>203</v>
      </c>
      <c r="GEH14" s="314" t="s">
        <v>203</v>
      </c>
      <c r="GEI14" s="314" t="s">
        <v>203</v>
      </c>
      <c r="GEJ14" s="314" t="s">
        <v>203</v>
      </c>
      <c r="GEK14" s="314" t="s">
        <v>203</v>
      </c>
      <c r="GEL14" s="314" t="s">
        <v>203</v>
      </c>
      <c r="GEM14" s="314" t="s">
        <v>203</v>
      </c>
      <c r="GEN14" s="314" t="s">
        <v>203</v>
      </c>
      <c r="GEO14" s="314" t="s">
        <v>203</v>
      </c>
      <c r="GEP14" s="314" t="s">
        <v>203</v>
      </c>
      <c r="GEQ14" s="314" t="s">
        <v>203</v>
      </c>
      <c r="GER14" s="314" t="s">
        <v>203</v>
      </c>
      <c r="GES14" s="314" t="s">
        <v>203</v>
      </c>
      <c r="GET14" s="314" t="s">
        <v>203</v>
      </c>
      <c r="GEU14" s="314" t="s">
        <v>203</v>
      </c>
      <c r="GEV14" s="314" t="s">
        <v>203</v>
      </c>
      <c r="GEW14" s="314" t="s">
        <v>203</v>
      </c>
      <c r="GEX14" s="314" t="s">
        <v>203</v>
      </c>
      <c r="GEY14" s="314" t="s">
        <v>203</v>
      </c>
      <c r="GEZ14" s="314" t="s">
        <v>203</v>
      </c>
      <c r="GFA14" s="314" t="s">
        <v>203</v>
      </c>
      <c r="GFB14" s="314" t="s">
        <v>203</v>
      </c>
      <c r="GFC14" s="314" t="s">
        <v>203</v>
      </c>
      <c r="GFD14" s="314" t="s">
        <v>203</v>
      </c>
      <c r="GFE14" s="314" t="s">
        <v>203</v>
      </c>
      <c r="GFF14" s="314" t="s">
        <v>203</v>
      </c>
      <c r="GFG14" s="314" t="s">
        <v>203</v>
      </c>
      <c r="GFH14" s="314" t="s">
        <v>203</v>
      </c>
      <c r="GFI14" s="314" t="s">
        <v>203</v>
      </c>
      <c r="GFJ14" s="314" t="s">
        <v>203</v>
      </c>
      <c r="GFK14" s="314" t="s">
        <v>203</v>
      </c>
      <c r="GFL14" s="314" t="s">
        <v>203</v>
      </c>
      <c r="GFM14" s="314" t="s">
        <v>203</v>
      </c>
      <c r="GFN14" s="314" t="s">
        <v>203</v>
      </c>
      <c r="GFO14" s="314" t="s">
        <v>203</v>
      </c>
      <c r="GFP14" s="314" t="s">
        <v>203</v>
      </c>
      <c r="GFQ14" s="314" t="s">
        <v>203</v>
      </c>
      <c r="GFR14" s="314" t="s">
        <v>203</v>
      </c>
      <c r="GFS14" s="314" t="s">
        <v>203</v>
      </c>
      <c r="GFT14" s="314" t="s">
        <v>203</v>
      </c>
      <c r="GFU14" s="314" t="s">
        <v>203</v>
      </c>
      <c r="GFV14" s="314" t="s">
        <v>203</v>
      </c>
      <c r="GFW14" s="314" t="s">
        <v>203</v>
      </c>
      <c r="GFX14" s="314" t="s">
        <v>203</v>
      </c>
      <c r="GFY14" s="314" t="s">
        <v>203</v>
      </c>
      <c r="GFZ14" s="314" t="s">
        <v>203</v>
      </c>
      <c r="GGA14" s="314" t="s">
        <v>203</v>
      </c>
      <c r="GGB14" s="314" t="s">
        <v>203</v>
      </c>
      <c r="GGC14" s="314" t="s">
        <v>203</v>
      </c>
      <c r="GGD14" s="314" t="s">
        <v>203</v>
      </c>
      <c r="GGE14" s="314" t="s">
        <v>203</v>
      </c>
      <c r="GGF14" s="314" t="s">
        <v>203</v>
      </c>
      <c r="GGG14" s="314" t="s">
        <v>203</v>
      </c>
      <c r="GGH14" s="314" t="s">
        <v>203</v>
      </c>
      <c r="GGI14" s="314" t="s">
        <v>203</v>
      </c>
      <c r="GGJ14" s="314" t="s">
        <v>203</v>
      </c>
      <c r="GGK14" s="314" t="s">
        <v>203</v>
      </c>
      <c r="GGL14" s="314" t="s">
        <v>203</v>
      </c>
      <c r="GGM14" s="314" t="s">
        <v>203</v>
      </c>
      <c r="GGN14" s="314" t="s">
        <v>203</v>
      </c>
      <c r="GGO14" s="314" t="s">
        <v>203</v>
      </c>
      <c r="GGP14" s="314" t="s">
        <v>203</v>
      </c>
      <c r="GGQ14" s="314" t="s">
        <v>203</v>
      </c>
      <c r="GGR14" s="314" t="s">
        <v>203</v>
      </c>
      <c r="GGS14" s="314" t="s">
        <v>203</v>
      </c>
      <c r="GGT14" s="314" t="s">
        <v>203</v>
      </c>
      <c r="GGU14" s="314" t="s">
        <v>203</v>
      </c>
      <c r="GGV14" s="314" t="s">
        <v>203</v>
      </c>
      <c r="GGW14" s="314" t="s">
        <v>203</v>
      </c>
      <c r="GGX14" s="314" t="s">
        <v>203</v>
      </c>
      <c r="GGY14" s="314" t="s">
        <v>203</v>
      </c>
      <c r="GGZ14" s="314" t="s">
        <v>203</v>
      </c>
      <c r="GHA14" s="314" t="s">
        <v>203</v>
      </c>
      <c r="GHB14" s="314" t="s">
        <v>203</v>
      </c>
      <c r="GHC14" s="314" t="s">
        <v>203</v>
      </c>
      <c r="GHD14" s="314" t="s">
        <v>203</v>
      </c>
      <c r="GHE14" s="314" t="s">
        <v>203</v>
      </c>
      <c r="GHF14" s="314" t="s">
        <v>203</v>
      </c>
      <c r="GHG14" s="314" t="s">
        <v>203</v>
      </c>
      <c r="GHH14" s="314" t="s">
        <v>203</v>
      </c>
      <c r="GHI14" s="314" t="s">
        <v>203</v>
      </c>
      <c r="GHJ14" s="314" t="s">
        <v>203</v>
      </c>
      <c r="GHK14" s="314" t="s">
        <v>203</v>
      </c>
      <c r="GHL14" s="314" t="s">
        <v>203</v>
      </c>
      <c r="GHM14" s="314" t="s">
        <v>203</v>
      </c>
      <c r="GHN14" s="314" t="s">
        <v>203</v>
      </c>
      <c r="GHO14" s="314" t="s">
        <v>203</v>
      </c>
      <c r="GHP14" s="314" t="s">
        <v>203</v>
      </c>
      <c r="GHQ14" s="314" t="s">
        <v>203</v>
      </c>
      <c r="GHR14" s="314" t="s">
        <v>203</v>
      </c>
      <c r="GHS14" s="314" t="s">
        <v>203</v>
      </c>
      <c r="GHT14" s="314" t="s">
        <v>203</v>
      </c>
      <c r="GHU14" s="314" t="s">
        <v>203</v>
      </c>
      <c r="GHV14" s="314" t="s">
        <v>203</v>
      </c>
      <c r="GHW14" s="314" t="s">
        <v>203</v>
      </c>
      <c r="GHX14" s="314" t="s">
        <v>203</v>
      </c>
      <c r="GHY14" s="314" t="s">
        <v>203</v>
      </c>
      <c r="GHZ14" s="314" t="s">
        <v>203</v>
      </c>
      <c r="GIA14" s="314" t="s">
        <v>203</v>
      </c>
      <c r="GIB14" s="314" t="s">
        <v>203</v>
      </c>
      <c r="GIC14" s="314" t="s">
        <v>203</v>
      </c>
      <c r="GID14" s="314" t="s">
        <v>203</v>
      </c>
      <c r="GIE14" s="314" t="s">
        <v>203</v>
      </c>
      <c r="GIF14" s="314" t="s">
        <v>203</v>
      </c>
      <c r="GIG14" s="314" t="s">
        <v>203</v>
      </c>
      <c r="GIH14" s="314" t="s">
        <v>203</v>
      </c>
      <c r="GII14" s="314" t="s">
        <v>203</v>
      </c>
      <c r="GIJ14" s="314" t="s">
        <v>203</v>
      </c>
      <c r="GIK14" s="314" t="s">
        <v>203</v>
      </c>
      <c r="GIL14" s="314" t="s">
        <v>203</v>
      </c>
      <c r="GIM14" s="314" t="s">
        <v>203</v>
      </c>
      <c r="GIN14" s="314" t="s">
        <v>203</v>
      </c>
      <c r="GIO14" s="314" t="s">
        <v>203</v>
      </c>
      <c r="GIP14" s="314" t="s">
        <v>203</v>
      </c>
      <c r="GIQ14" s="314" t="s">
        <v>203</v>
      </c>
      <c r="GIR14" s="314" t="s">
        <v>203</v>
      </c>
      <c r="GIS14" s="314" t="s">
        <v>203</v>
      </c>
      <c r="GIT14" s="314" t="s">
        <v>203</v>
      </c>
      <c r="GIU14" s="314" t="s">
        <v>203</v>
      </c>
      <c r="GIV14" s="314" t="s">
        <v>203</v>
      </c>
      <c r="GIW14" s="314" t="s">
        <v>203</v>
      </c>
      <c r="GIX14" s="314" t="s">
        <v>203</v>
      </c>
      <c r="GIY14" s="314" t="s">
        <v>203</v>
      </c>
      <c r="GIZ14" s="314" t="s">
        <v>203</v>
      </c>
      <c r="GJA14" s="314" t="s">
        <v>203</v>
      </c>
      <c r="GJB14" s="314" t="s">
        <v>203</v>
      </c>
      <c r="GJC14" s="314" t="s">
        <v>203</v>
      </c>
      <c r="GJD14" s="314" t="s">
        <v>203</v>
      </c>
      <c r="GJE14" s="314" t="s">
        <v>203</v>
      </c>
      <c r="GJF14" s="314" t="s">
        <v>203</v>
      </c>
      <c r="GJG14" s="314" t="s">
        <v>203</v>
      </c>
      <c r="GJH14" s="314" t="s">
        <v>203</v>
      </c>
      <c r="GJI14" s="314" t="s">
        <v>203</v>
      </c>
      <c r="GJJ14" s="314" t="s">
        <v>203</v>
      </c>
      <c r="GJK14" s="314" t="s">
        <v>203</v>
      </c>
      <c r="GJL14" s="314" t="s">
        <v>203</v>
      </c>
      <c r="GJM14" s="314" t="s">
        <v>203</v>
      </c>
      <c r="GJN14" s="314" t="s">
        <v>203</v>
      </c>
      <c r="GJO14" s="314" t="s">
        <v>203</v>
      </c>
      <c r="GJP14" s="314" t="s">
        <v>203</v>
      </c>
      <c r="GJQ14" s="314" t="s">
        <v>203</v>
      </c>
      <c r="GJR14" s="314" t="s">
        <v>203</v>
      </c>
      <c r="GJS14" s="314" t="s">
        <v>203</v>
      </c>
      <c r="GJT14" s="314" t="s">
        <v>203</v>
      </c>
      <c r="GJU14" s="314" t="s">
        <v>203</v>
      </c>
      <c r="GJV14" s="314" t="s">
        <v>203</v>
      </c>
      <c r="GJW14" s="314" t="s">
        <v>203</v>
      </c>
      <c r="GJX14" s="314" t="s">
        <v>203</v>
      </c>
      <c r="GJY14" s="314" t="s">
        <v>203</v>
      </c>
      <c r="GJZ14" s="314" t="s">
        <v>203</v>
      </c>
      <c r="GKA14" s="314" t="s">
        <v>203</v>
      </c>
      <c r="GKB14" s="314" t="s">
        <v>203</v>
      </c>
      <c r="GKC14" s="314" t="s">
        <v>203</v>
      </c>
      <c r="GKD14" s="314" t="s">
        <v>203</v>
      </c>
      <c r="GKE14" s="314" t="s">
        <v>203</v>
      </c>
      <c r="GKF14" s="314" t="s">
        <v>203</v>
      </c>
      <c r="GKG14" s="314" t="s">
        <v>203</v>
      </c>
      <c r="GKH14" s="314" t="s">
        <v>203</v>
      </c>
      <c r="GKI14" s="314" t="s">
        <v>203</v>
      </c>
      <c r="GKJ14" s="314" t="s">
        <v>203</v>
      </c>
      <c r="GKK14" s="314" t="s">
        <v>203</v>
      </c>
      <c r="GKL14" s="314" t="s">
        <v>203</v>
      </c>
      <c r="GKM14" s="314" t="s">
        <v>203</v>
      </c>
      <c r="GKN14" s="314" t="s">
        <v>203</v>
      </c>
      <c r="GKO14" s="314" t="s">
        <v>203</v>
      </c>
      <c r="GKP14" s="314" t="s">
        <v>203</v>
      </c>
      <c r="GKQ14" s="314" t="s">
        <v>203</v>
      </c>
      <c r="GKR14" s="314" t="s">
        <v>203</v>
      </c>
      <c r="GKS14" s="314" t="s">
        <v>203</v>
      </c>
      <c r="GKT14" s="314" t="s">
        <v>203</v>
      </c>
      <c r="GKU14" s="314" t="s">
        <v>203</v>
      </c>
      <c r="GKV14" s="314" t="s">
        <v>203</v>
      </c>
      <c r="GKW14" s="314" t="s">
        <v>203</v>
      </c>
      <c r="GKX14" s="314" t="s">
        <v>203</v>
      </c>
      <c r="GKY14" s="314" t="s">
        <v>203</v>
      </c>
      <c r="GKZ14" s="314" t="s">
        <v>203</v>
      </c>
      <c r="GLA14" s="314" t="s">
        <v>203</v>
      </c>
      <c r="GLB14" s="314" t="s">
        <v>203</v>
      </c>
      <c r="GLC14" s="314" t="s">
        <v>203</v>
      </c>
      <c r="GLD14" s="314" t="s">
        <v>203</v>
      </c>
      <c r="GLE14" s="314" t="s">
        <v>203</v>
      </c>
      <c r="GLF14" s="314" t="s">
        <v>203</v>
      </c>
      <c r="GLG14" s="314" t="s">
        <v>203</v>
      </c>
      <c r="GLH14" s="314" t="s">
        <v>203</v>
      </c>
      <c r="GLI14" s="314" t="s">
        <v>203</v>
      </c>
      <c r="GLJ14" s="314" t="s">
        <v>203</v>
      </c>
      <c r="GLK14" s="314" t="s">
        <v>203</v>
      </c>
      <c r="GLL14" s="314" t="s">
        <v>203</v>
      </c>
      <c r="GLM14" s="314" t="s">
        <v>203</v>
      </c>
      <c r="GLN14" s="314" t="s">
        <v>203</v>
      </c>
      <c r="GLO14" s="314" t="s">
        <v>203</v>
      </c>
      <c r="GLP14" s="314" t="s">
        <v>203</v>
      </c>
      <c r="GLQ14" s="314" t="s">
        <v>203</v>
      </c>
      <c r="GLR14" s="314" t="s">
        <v>203</v>
      </c>
      <c r="GLS14" s="314" t="s">
        <v>203</v>
      </c>
      <c r="GLT14" s="314" t="s">
        <v>203</v>
      </c>
      <c r="GLU14" s="314" t="s">
        <v>203</v>
      </c>
      <c r="GLV14" s="314" t="s">
        <v>203</v>
      </c>
      <c r="GLW14" s="314" t="s">
        <v>203</v>
      </c>
      <c r="GLX14" s="314" t="s">
        <v>203</v>
      </c>
      <c r="GLY14" s="314" t="s">
        <v>203</v>
      </c>
      <c r="GLZ14" s="314" t="s">
        <v>203</v>
      </c>
      <c r="GMA14" s="314" t="s">
        <v>203</v>
      </c>
      <c r="GMB14" s="314" t="s">
        <v>203</v>
      </c>
      <c r="GMC14" s="314" t="s">
        <v>203</v>
      </c>
      <c r="GMD14" s="314" t="s">
        <v>203</v>
      </c>
      <c r="GME14" s="314" t="s">
        <v>203</v>
      </c>
      <c r="GMF14" s="314" t="s">
        <v>203</v>
      </c>
      <c r="GMG14" s="314" t="s">
        <v>203</v>
      </c>
      <c r="GMH14" s="314" t="s">
        <v>203</v>
      </c>
      <c r="GMI14" s="314" t="s">
        <v>203</v>
      </c>
      <c r="GMJ14" s="314" t="s">
        <v>203</v>
      </c>
      <c r="GMK14" s="314" t="s">
        <v>203</v>
      </c>
      <c r="GML14" s="314" t="s">
        <v>203</v>
      </c>
      <c r="GMM14" s="314" t="s">
        <v>203</v>
      </c>
      <c r="GMN14" s="314" t="s">
        <v>203</v>
      </c>
      <c r="GMO14" s="314" t="s">
        <v>203</v>
      </c>
      <c r="GMP14" s="314" t="s">
        <v>203</v>
      </c>
      <c r="GMQ14" s="314" t="s">
        <v>203</v>
      </c>
      <c r="GMR14" s="314" t="s">
        <v>203</v>
      </c>
      <c r="GMS14" s="314" t="s">
        <v>203</v>
      </c>
      <c r="GMT14" s="314" t="s">
        <v>203</v>
      </c>
      <c r="GMU14" s="314" t="s">
        <v>203</v>
      </c>
      <c r="GMV14" s="314" t="s">
        <v>203</v>
      </c>
      <c r="GMW14" s="314" t="s">
        <v>203</v>
      </c>
      <c r="GMX14" s="314" t="s">
        <v>203</v>
      </c>
      <c r="GMY14" s="314" t="s">
        <v>203</v>
      </c>
      <c r="GMZ14" s="314" t="s">
        <v>203</v>
      </c>
      <c r="GNA14" s="314" t="s">
        <v>203</v>
      </c>
      <c r="GNB14" s="314" t="s">
        <v>203</v>
      </c>
      <c r="GNC14" s="314" t="s">
        <v>203</v>
      </c>
      <c r="GND14" s="314" t="s">
        <v>203</v>
      </c>
      <c r="GNE14" s="314" t="s">
        <v>203</v>
      </c>
      <c r="GNF14" s="314" t="s">
        <v>203</v>
      </c>
      <c r="GNG14" s="314" t="s">
        <v>203</v>
      </c>
      <c r="GNH14" s="314" t="s">
        <v>203</v>
      </c>
      <c r="GNI14" s="314" t="s">
        <v>203</v>
      </c>
      <c r="GNJ14" s="314" t="s">
        <v>203</v>
      </c>
      <c r="GNK14" s="314" t="s">
        <v>203</v>
      </c>
      <c r="GNL14" s="314" t="s">
        <v>203</v>
      </c>
      <c r="GNM14" s="314" t="s">
        <v>203</v>
      </c>
      <c r="GNN14" s="314" t="s">
        <v>203</v>
      </c>
      <c r="GNO14" s="314" t="s">
        <v>203</v>
      </c>
      <c r="GNP14" s="314" t="s">
        <v>203</v>
      </c>
      <c r="GNQ14" s="314" t="s">
        <v>203</v>
      </c>
      <c r="GNR14" s="314" t="s">
        <v>203</v>
      </c>
      <c r="GNS14" s="314" t="s">
        <v>203</v>
      </c>
      <c r="GNT14" s="314" t="s">
        <v>203</v>
      </c>
      <c r="GNU14" s="314" t="s">
        <v>203</v>
      </c>
      <c r="GNV14" s="314" t="s">
        <v>203</v>
      </c>
      <c r="GNW14" s="314" t="s">
        <v>203</v>
      </c>
      <c r="GNX14" s="314" t="s">
        <v>203</v>
      </c>
      <c r="GNY14" s="314" t="s">
        <v>203</v>
      </c>
      <c r="GNZ14" s="314" t="s">
        <v>203</v>
      </c>
      <c r="GOA14" s="314" t="s">
        <v>203</v>
      </c>
      <c r="GOB14" s="314" t="s">
        <v>203</v>
      </c>
      <c r="GOC14" s="314" t="s">
        <v>203</v>
      </c>
      <c r="GOD14" s="314" t="s">
        <v>203</v>
      </c>
      <c r="GOE14" s="314" t="s">
        <v>203</v>
      </c>
      <c r="GOF14" s="314" t="s">
        <v>203</v>
      </c>
      <c r="GOG14" s="314" t="s">
        <v>203</v>
      </c>
      <c r="GOH14" s="314" t="s">
        <v>203</v>
      </c>
      <c r="GOI14" s="314" t="s">
        <v>203</v>
      </c>
      <c r="GOJ14" s="314" t="s">
        <v>203</v>
      </c>
      <c r="GOK14" s="314" t="s">
        <v>203</v>
      </c>
      <c r="GOL14" s="314" t="s">
        <v>203</v>
      </c>
      <c r="GOM14" s="314" t="s">
        <v>203</v>
      </c>
      <c r="GON14" s="314" t="s">
        <v>203</v>
      </c>
      <c r="GOO14" s="314" t="s">
        <v>203</v>
      </c>
      <c r="GOP14" s="314" t="s">
        <v>203</v>
      </c>
      <c r="GOQ14" s="314" t="s">
        <v>203</v>
      </c>
      <c r="GOR14" s="314" t="s">
        <v>203</v>
      </c>
      <c r="GOS14" s="314" t="s">
        <v>203</v>
      </c>
      <c r="GOT14" s="314" t="s">
        <v>203</v>
      </c>
      <c r="GOU14" s="314" t="s">
        <v>203</v>
      </c>
      <c r="GOV14" s="314" t="s">
        <v>203</v>
      </c>
      <c r="GOW14" s="314" t="s">
        <v>203</v>
      </c>
      <c r="GOX14" s="314" t="s">
        <v>203</v>
      </c>
      <c r="GOY14" s="314" t="s">
        <v>203</v>
      </c>
      <c r="GOZ14" s="314" t="s">
        <v>203</v>
      </c>
      <c r="GPA14" s="314" t="s">
        <v>203</v>
      </c>
      <c r="GPB14" s="314" t="s">
        <v>203</v>
      </c>
      <c r="GPC14" s="314" t="s">
        <v>203</v>
      </c>
      <c r="GPD14" s="314" t="s">
        <v>203</v>
      </c>
      <c r="GPE14" s="314" t="s">
        <v>203</v>
      </c>
      <c r="GPF14" s="314" t="s">
        <v>203</v>
      </c>
      <c r="GPG14" s="314" t="s">
        <v>203</v>
      </c>
      <c r="GPH14" s="314" t="s">
        <v>203</v>
      </c>
      <c r="GPI14" s="314" t="s">
        <v>203</v>
      </c>
      <c r="GPJ14" s="314" t="s">
        <v>203</v>
      </c>
      <c r="GPK14" s="314" t="s">
        <v>203</v>
      </c>
      <c r="GPL14" s="314" t="s">
        <v>203</v>
      </c>
      <c r="GPM14" s="314" t="s">
        <v>203</v>
      </c>
      <c r="GPN14" s="314" t="s">
        <v>203</v>
      </c>
      <c r="GPO14" s="314" t="s">
        <v>203</v>
      </c>
      <c r="GPP14" s="314" t="s">
        <v>203</v>
      </c>
      <c r="GPQ14" s="314" t="s">
        <v>203</v>
      </c>
      <c r="GPR14" s="314" t="s">
        <v>203</v>
      </c>
      <c r="GPS14" s="314" t="s">
        <v>203</v>
      </c>
      <c r="GPT14" s="314" t="s">
        <v>203</v>
      </c>
      <c r="GPU14" s="314" t="s">
        <v>203</v>
      </c>
      <c r="GPV14" s="314" t="s">
        <v>203</v>
      </c>
      <c r="GPW14" s="314" t="s">
        <v>203</v>
      </c>
      <c r="GPX14" s="314" t="s">
        <v>203</v>
      </c>
      <c r="GPY14" s="314" t="s">
        <v>203</v>
      </c>
      <c r="GPZ14" s="314" t="s">
        <v>203</v>
      </c>
      <c r="GQA14" s="314" t="s">
        <v>203</v>
      </c>
      <c r="GQB14" s="314" t="s">
        <v>203</v>
      </c>
      <c r="GQC14" s="314" t="s">
        <v>203</v>
      </c>
      <c r="GQD14" s="314" t="s">
        <v>203</v>
      </c>
      <c r="GQE14" s="314" t="s">
        <v>203</v>
      </c>
      <c r="GQF14" s="314" t="s">
        <v>203</v>
      </c>
      <c r="GQG14" s="314" t="s">
        <v>203</v>
      </c>
      <c r="GQH14" s="314" t="s">
        <v>203</v>
      </c>
      <c r="GQI14" s="314" t="s">
        <v>203</v>
      </c>
      <c r="GQJ14" s="314" t="s">
        <v>203</v>
      </c>
      <c r="GQK14" s="314" t="s">
        <v>203</v>
      </c>
      <c r="GQL14" s="314" t="s">
        <v>203</v>
      </c>
      <c r="GQM14" s="314" t="s">
        <v>203</v>
      </c>
      <c r="GQN14" s="314" t="s">
        <v>203</v>
      </c>
      <c r="GQO14" s="314" t="s">
        <v>203</v>
      </c>
      <c r="GQP14" s="314" t="s">
        <v>203</v>
      </c>
      <c r="GQQ14" s="314" t="s">
        <v>203</v>
      </c>
      <c r="GQR14" s="314" t="s">
        <v>203</v>
      </c>
      <c r="GQS14" s="314" t="s">
        <v>203</v>
      </c>
      <c r="GQT14" s="314" t="s">
        <v>203</v>
      </c>
      <c r="GQU14" s="314" t="s">
        <v>203</v>
      </c>
      <c r="GQV14" s="314" t="s">
        <v>203</v>
      </c>
      <c r="GQW14" s="314" t="s">
        <v>203</v>
      </c>
      <c r="GQX14" s="314" t="s">
        <v>203</v>
      </c>
      <c r="GQY14" s="314" t="s">
        <v>203</v>
      </c>
      <c r="GQZ14" s="314" t="s">
        <v>203</v>
      </c>
      <c r="GRA14" s="314" t="s">
        <v>203</v>
      </c>
      <c r="GRB14" s="314" t="s">
        <v>203</v>
      </c>
      <c r="GRC14" s="314" t="s">
        <v>203</v>
      </c>
      <c r="GRD14" s="314" t="s">
        <v>203</v>
      </c>
      <c r="GRE14" s="314" t="s">
        <v>203</v>
      </c>
      <c r="GRF14" s="314" t="s">
        <v>203</v>
      </c>
      <c r="GRG14" s="314" t="s">
        <v>203</v>
      </c>
      <c r="GRH14" s="314" t="s">
        <v>203</v>
      </c>
      <c r="GRI14" s="314" t="s">
        <v>203</v>
      </c>
      <c r="GRJ14" s="314" t="s">
        <v>203</v>
      </c>
      <c r="GRK14" s="314" t="s">
        <v>203</v>
      </c>
      <c r="GRL14" s="314" t="s">
        <v>203</v>
      </c>
      <c r="GRM14" s="314" t="s">
        <v>203</v>
      </c>
      <c r="GRN14" s="314" t="s">
        <v>203</v>
      </c>
      <c r="GRO14" s="314" t="s">
        <v>203</v>
      </c>
      <c r="GRP14" s="314" t="s">
        <v>203</v>
      </c>
      <c r="GRQ14" s="314" t="s">
        <v>203</v>
      </c>
      <c r="GRR14" s="314" t="s">
        <v>203</v>
      </c>
      <c r="GRS14" s="314" t="s">
        <v>203</v>
      </c>
      <c r="GRT14" s="314" t="s">
        <v>203</v>
      </c>
      <c r="GRU14" s="314" t="s">
        <v>203</v>
      </c>
      <c r="GRV14" s="314" t="s">
        <v>203</v>
      </c>
      <c r="GRW14" s="314" t="s">
        <v>203</v>
      </c>
      <c r="GRX14" s="314" t="s">
        <v>203</v>
      </c>
      <c r="GRY14" s="314" t="s">
        <v>203</v>
      </c>
      <c r="GRZ14" s="314" t="s">
        <v>203</v>
      </c>
      <c r="GSA14" s="314" t="s">
        <v>203</v>
      </c>
      <c r="GSB14" s="314" t="s">
        <v>203</v>
      </c>
      <c r="GSC14" s="314" t="s">
        <v>203</v>
      </c>
      <c r="GSD14" s="314" t="s">
        <v>203</v>
      </c>
      <c r="GSE14" s="314" t="s">
        <v>203</v>
      </c>
      <c r="GSF14" s="314" t="s">
        <v>203</v>
      </c>
      <c r="GSG14" s="314" t="s">
        <v>203</v>
      </c>
      <c r="GSH14" s="314" t="s">
        <v>203</v>
      </c>
      <c r="GSI14" s="314" t="s">
        <v>203</v>
      </c>
      <c r="GSJ14" s="314" t="s">
        <v>203</v>
      </c>
      <c r="GSK14" s="314" t="s">
        <v>203</v>
      </c>
      <c r="GSL14" s="314" t="s">
        <v>203</v>
      </c>
      <c r="GSM14" s="314" t="s">
        <v>203</v>
      </c>
      <c r="GSN14" s="314" t="s">
        <v>203</v>
      </c>
      <c r="GSO14" s="314" t="s">
        <v>203</v>
      </c>
      <c r="GSP14" s="314" t="s">
        <v>203</v>
      </c>
      <c r="GSQ14" s="314" t="s">
        <v>203</v>
      </c>
      <c r="GSR14" s="314" t="s">
        <v>203</v>
      </c>
      <c r="GSS14" s="314" t="s">
        <v>203</v>
      </c>
      <c r="GST14" s="314" t="s">
        <v>203</v>
      </c>
      <c r="GSU14" s="314" t="s">
        <v>203</v>
      </c>
      <c r="GSV14" s="314" t="s">
        <v>203</v>
      </c>
      <c r="GSW14" s="314" t="s">
        <v>203</v>
      </c>
      <c r="GSX14" s="314" t="s">
        <v>203</v>
      </c>
      <c r="GSY14" s="314" t="s">
        <v>203</v>
      </c>
      <c r="GSZ14" s="314" t="s">
        <v>203</v>
      </c>
      <c r="GTA14" s="314" t="s">
        <v>203</v>
      </c>
      <c r="GTB14" s="314" t="s">
        <v>203</v>
      </c>
      <c r="GTC14" s="314" t="s">
        <v>203</v>
      </c>
      <c r="GTD14" s="314" t="s">
        <v>203</v>
      </c>
      <c r="GTE14" s="314" t="s">
        <v>203</v>
      </c>
      <c r="GTF14" s="314" t="s">
        <v>203</v>
      </c>
      <c r="GTG14" s="314" t="s">
        <v>203</v>
      </c>
      <c r="GTH14" s="314" t="s">
        <v>203</v>
      </c>
      <c r="GTI14" s="314" t="s">
        <v>203</v>
      </c>
      <c r="GTJ14" s="314" t="s">
        <v>203</v>
      </c>
      <c r="GTK14" s="314" t="s">
        <v>203</v>
      </c>
      <c r="GTL14" s="314" t="s">
        <v>203</v>
      </c>
      <c r="GTM14" s="314" t="s">
        <v>203</v>
      </c>
      <c r="GTN14" s="314" t="s">
        <v>203</v>
      </c>
      <c r="GTO14" s="314" t="s">
        <v>203</v>
      </c>
      <c r="GTP14" s="314" t="s">
        <v>203</v>
      </c>
      <c r="GTQ14" s="314" t="s">
        <v>203</v>
      </c>
      <c r="GTR14" s="314" t="s">
        <v>203</v>
      </c>
      <c r="GTS14" s="314" t="s">
        <v>203</v>
      </c>
      <c r="GTT14" s="314" t="s">
        <v>203</v>
      </c>
      <c r="GTU14" s="314" t="s">
        <v>203</v>
      </c>
      <c r="GTV14" s="314" t="s">
        <v>203</v>
      </c>
      <c r="GTW14" s="314" t="s">
        <v>203</v>
      </c>
      <c r="GTX14" s="314" t="s">
        <v>203</v>
      </c>
      <c r="GTY14" s="314" t="s">
        <v>203</v>
      </c>
      <c r="GTZ14" s="314" t="s">
        <v>203</v>
      </c>
      <c r="GUA14" s="314" t="s">
        <v>203</v>
      </c>
      <c r="GUB14" s="314" t="s">
        <v>203</v>
      </c>
      <c r="GUC14" s="314" t="s">
        <v>203</v>
      </c>
      <c r="GUD14" s="314" t="s">
        <v>203</v>
      </c>
      <c r="GUE14" s="314" t="s">
        <v>203</v>
      </c>
      <c r="GUF14" s="314" t="s">
        <v>203</v>
      </c>
      <c r="GUG14" s="314" t="s">
        <v>203</v>
      </c>
      <c r="GUH14" s="314" t="s">
        <v>203</v>
      </c>
      <c r="GUI14" s="314" t="s">
        <v>203</v>
      </c>
      <c r="GUJ14" s="314" t="s">
        <v>203</v>
      </c>
      <c r="GUK14" s="314" t="s">
        <v>203</v>
      </c>
      <c r="GUL14" s="314" t="s">
        <v>203</v>
      </c>
      <c r="GUM14" s="314" t="s">
        <v>203</v>
      </c>
      <c r="GUN14" s="314" t="s">
        <v>203</v>
      </c>
      <c r="GUO14" s="314" t="s">
        <v>203</v>
      </c>
      <c r="GUP14" s="314" t="s">
        <v>203</v>
      </c>
      <c r="GUQ14" s="314" t="s">
        <v>203</v>
      </c>
      <c r="GUR14" s="314" t="s">
        <v>203</v>
      </c>
      <c r="GUS14" s="314" t="s">
        <v>203</v>
      </c>
      <c r="GUT14" s="314" t="s">
        <v>203</v>
      </c>
      <c r="GUU14" s="314" t="s">
        <v>203</v>
      </c>
      <c r="GUV14" s="314" t="s">
        <v>203</v>
      </c>
      <c r="GUW14" s="314" t="s">
        <v>203</v>
      </c>
      <c r="GUX14" s="314" t="s">
        <v>203</v>
      </c>
      <c r="GUY14" s="314" t="s">
        <v>203</v>
      </c>
      <c r="GUZ14" s="314" t="s">
        <v>203</v>
      </c>
      <c r="GVA14" s="314" t="s">
        <v>203</v>
      </c>
      <c r="GVB14" s="314" t="s">
        <v>203</v>
      </c>
      <c r="GVC14" s="314" t="s">
        <v>203</v>
      </c>
      <c r="GVD14" s="314" t="s">
        <v>203</v>
      </c>
      <c r="GVE14" s="314" t="s">
        <v>203</v>
      </c>
      <c r="GVF14" s="314" t="s">
        <v>203</v>
      </c>
      <c r="GVG14" s="314" t="s">
        <v>203</v>
      </c>
      <c r="GVH14" s="314" t="s">
        <v>203</v>
      </c>
      <c r="GVI14" s="314" t="s">
        <v>203</v>
      </c>
      <c r="GVJ14" s="314" t="s">
        <v>203</v>
      </c>
      <c r="GVK14" s="314" t="s">
        <v>203</v>
      </c>
      <c r="GVL14" s="314" t="s">
        <v>203</v>
      </c>
      <c r="GVM14" s="314" t="s">
        <v>203</v>
      </c>
      <c r="GVN14" s="314" t="s">
        <v>203</v>
      </c>
      <c r="GVO14" s="314" t="s">
        <v>203</v>
      </c>
      <c r="GVP14" s="314" t="s">
        <v>203</v>
      </c>
      <c r="GVQ14" s="314" t="s">
        <v>203</v>
      </c>
      <c r="GVR14" s="314" t="s">
        <v>203</v>
      </c>
      <c r="GVS14" s="314" t="s">
        <v>203</v>
      </c>
      <c r="GVT14" s="314" t="s">
        <v>203</v>
      </c>
      <c r="GVU14" s="314" t="s">
        <v>203</v>
      </c>
      <c r="GVV14" s="314" t="s">
        <v>203</v>
      </c>
      <c r="GVW14" s="314" t="s">
        <v>203</v>
      </c>
      <c r="GVX14" s="314" t="s">
        <v>203</v>
      </c>
      <c r="GVY14" s="314" t="s">
        <v>203</v>
      </c>
      <c r="GVZ14" s="314" t="s">
        <v>203</v>
      </c>
      <c r="GWA14" s="314" t="s">
        <v>203</v>
      </c>
      <c r="GWB14" s="314" t="s">
        <v>203</v>
      </c>
      <c r="GWC14" s="314" t="s">
        <v>203</v>
      </c>
      <c r="GWD14" s="314" t="s">
        <v>203</v>
      </c>
      <c r="GWE14" s="314" t="s">
        <v>203</v>
      </c>
      <c r="GWF14" s="314" t="s">
        <v>203</v>
      </c>
      <c r="GWG14" s="314" t="s">
        <v>203</v>
      </c>
      <c r="GWH14" s="314" t="s">
        <v>203</v>
      </c>
      <c r="GWI14" s="314" t="s">
        <v>203</v>
      </c>
      <c r="GWJ14" s="314" t="s">
        <v>203</v>
      </c>
      <c r="GWK14" s="314" t="s">
        <v>203</v>
      </c>
      <c r="GWL14" s="314" t="s">
        <v>203</v>
      </c>
      <c r="GWM14" s="314" t="s">
        <v>203</v>
      </c>
      <c r="GWN14" s="314" t="s">
        <v>203</v>
      </c>
      <c r="GWO14" s="314" t="s">
        <v>203</v>
      </c>
      <c r="GWP14" s="314" t="s">
        <v>203</v>
      </c>
      <c r="GWQ14" s="314" t="s">
        <v>203</v>
      </c>
      <c r="GWR14" s="314" t="s">
        <v>203</v>
      </c>
      <c r="GWS14" s="314" t="s">
        <v>203</v>
      </c>
      <c r="GWT14" s="314" t="s">
        <v>203</v>
      </c>
      <c r="GWU14" s="314" t="s">
        <v>203</v>
      </c>
      <c r="GWV14" s="314" t="s">
        <v>203</v>
      </c>
      <c r="GWW14" s="314" t="s">
        <v>203</v>
      </c>
      <c r="GWX14" s="314" t="s">
        <v>203</v>
      </c>
      <c r="GWY14" s="314" t="s">
        <v>203</v>
      </c>
      <c r="GWZ14" s="314" t="s">
        <v>203</v>
      </c>
      <c r="GXA14" s="314" t="s">
        <v>203</v>
      </c>
      <c r="GXB14" s="314" t="s">
        <v>203</v>
      </c>
      <c r="GXC14" s="314" t="s">
        <v>203</v>
      </c>
      <c r="GXD14" s="314" t="s">
        <v>203</v>
      </c>
      <c r="GXE14" s="314" t="s">
        <v>203</v>
      </c>
      <c r="GXF14" s="314" t="s">
        <v>203</v>
      </c>
      <c r="GXG14" s="314" t="s">
        <v>203</v>
      </c>
      <c r="GXH14" s="314" t="s">
        <v>203</v>
      </c>
      <c r="GXI14" s="314" t="s">
        <v>203</v>
      </c>
      <c r="GXJ14" s="314" t="s">
        <v>203</v>
      </c>
      <c r="GXK14" s="314" t="s">
        <v>203</v>
      </c>
      <c r="GXL14" s="314" t="s">
        <v>203</v>
      </c>
      <c r="GXM14" s="314" t="s">
        <v>203</v>
      </c>
      <c r="GXN14" s="314" t="s">
        <v>203</v>
      </c>
      <c r="GXO14" s="314" t="s">
        <v>203</v>
      </c>
      <c r="GXP14" s="314" t="s">
        <v>203</v>
      </c>
      <c r="GXQ14" s="314" t="s">
        <v>203</v>
      </c>
      <c r="GXR14" s="314" t="s">
        <v>203</v>
      </c>
      <c r="GXS14" s="314" t="s">
        <v>203</v>
      </c>
      <c r="GXT14" s="314" t="s">
        <v>203</v>
      </c>
      <c r="GXU14" s="314" t="s">
        <v>203</v>
      </c>
      <c r="GXV14" s="314" t="s">
        <v>203</v>
      </c>
      <c r="GXW14" s="314" t="s">
        <v>203</v>
      </c>
      <c r="GXX14" s="314" t="s">
        <v>203</v>
      </c>
      <c r="GXY14" s="314" t="s">
        <v>203</v>
      </c>
      <c r="GXZ14" s="314" t="s">
        <v>203</v>
      </c>
      <c r="GYA14" s="314" t="s">
        <v>203</v>
      </c>
      <c r="GYB14" s="314" t="s">
        <v>203</v>
      </c>
      <c r="GYC14" s="314" t="s">
        <v>203</v>
      </c>
      <c r="GYD14" s="314" t="s">
        <v>203</v>
      </c>
      <c r="GYE14" s="314" t="s">
        <v>203</v>
      </c>
      <c r="GYF14" s="314" t="s">
        <v>203</v>
      </c>
      <c r="GYG14" s="314" t="s">
        <v>203</v>
      </c>
      <c r="GYH14" s="314" t="s">
        <v>203</v>
      </c>
      <c r="GYI14" s="314" t="s">
        <v>203</v>
      </c>
      <c r="GYJ14" s="314" t="s">
        <v>203</v>
      </c>
      <c r="GYK14" s="314" t="s">
        <v>203</v>
      </c>
      <c r="GYL14" s="314" t="s">
        <v>203</v>
      </c>
      <c r="GYM14" s="314" t="s">
        <v>203</v>
      </c>
      <c r="GYN14" s="314" t="s">
        <v>203</v>
      </c>
      <c r="GYO14" s="314" t="s">
        <v>203</v>
      </c>
      <c r="GYP14" s="314" t="s">
        <v>203</v>
      </c>
      <c r="GYQ14" s="314" t="s">
        <v>203</v>
      </c>
      <c r="GYR14" s="314" t="s">
        <v>203</v>
      </c>
      <c r="GYS14" s="314" t="s">
        <v>203</v>
      </c>
      <c r="GYT14" s="314" t="s">
        <v>203</v>
      </c>
      <c r="GYU14" s="314" t="s">
        <v>203</v>
      </c>
      <c r="GYV14" s="314" t="s">
        <v>203</v>
      </c>
      <c r="GYW14" s="314" t="s">
        <v>203</v>
      </c>
      <c r="GYX14" s="314" t="s">
        <v>203</v>
      </c>
      <c r="GYY14" s="314" t="s">
        <v>203</v>
      </c>
      <c r="GYZ14" s="314" t="s">
        <v>203</v>
      </c>
      <c r="GZA14" s="314" t="s">
        <v>203</v>
      </c>
      <c r="GZB14" s="314" t="s">
        <v>203</v>
      </c>
      <c r="GZC14" s="314" t="s">
        <v>203</v>
      </c>
      <c r="GZD14" s="314" t="s">
        <v>203</v>
      </c>
      <c r="GZE14" s="314" t="s">
        <v>203</v>
      </c>
      <c r="GZF14" s="314" t="s">
        <v>203</v>
      </c>
      <c r="GZG14" s="314" t="s">
        <v>203</v>
      </c>
      <c r="GZH14" s="314" t="s">
        <v>203</v>
      </c>
      <c r="GZI14" s="314" t="s">
        <v>203</v>
      </c>
      <c r="GZJ14" s="314" t="s">
        <v>203</v>
      </c>
      <c r="GZK14" s="314" t="s">
        <v>203</v>
      </c>
      <c r="GZL14" s="314" t="s">
        <v>203</v>
      </c>
      <c r="GZM14" s="314" t="s">
        <v>203</v>
      </c>
      <c r="GZN14" s="314" t="s">
        <v>203</v>
      </c>
      <c r="GZO14" s="314" t="s">
        <v>203</v>
      </c>
      <c r="GZP14" s="314" t="s">
        <v>203</v>
      </c>
      <c r="GZQ14" s="314" t="s">
        <v>203</v>
      </c>
      <c r="GZR14" s="314" t="s">
        <v>203</v>
      </c>
      <c r="GZS14" s="314" t="s">
        <v>203</v>
      </c>
      <c r="GZT14" s="314" t="s">
        <v>203</v>
      </c>
      <c r="GZU14" s="314" t="s">
        <v>203</v>
      </c>
      <c r="GZV14" s="314" t="s">
        <v>203</v>
      </c>
      <c r="GZW14" s="314" t="s">
        <v>203</v>
      </c>
      <c r="GZX14" s="314" t="s">
        <v>203</v>
      </c>
      <c r="GZY14" s="314" t="s">
        <v>203</v>
      </c>
      <c r="GZZ14" s="314" t="s">
        <v>203</v>
      </c>
      <c r="HAA14" s="314" t="s">
        <v>203</v>
      </c>
      <c r="HAB14" s="314" t="s">
        <v>203</v>
      </c>
      <c r="HAC14" s="314" t="s">
        <v>203</v>
      </c>
      <c r="HAD14" s="314" t="s">
        <v>203</v>
      </c>
      <c r="HAE14" s="314" t="s">
        <v>203</v>
      </c>
      <c r="HAF14" s="314" t="s">
        <v>203</v>
      </c>
      <c r="HAG14" s="314" t="s">
        <v>203</v>
      </c>
      <c r="HAH14" s="314" t="s">
        <v>203</v>
      </c>
      <c r="HAI14" s="314" t="s">
        <v>203</v>
      </c>
      <c r="HAJ14" s="314" t="s">
        <v>203</v>
      </c>
      <c r="HAK14" s="314" t="s">
        <v>203</v>
      </c>
      <c r="HAL14" s="314" t="s">
        <v>203</v>
      </c>
      <c r="HAM14" s="314" t="s">
        <v>203</v>
      </c>
      <c r="HAN14" s="314" t="s">
        <v>203</v>
      </c>
      <c r="HAO14" s="314" t="s">
        <v>203</v>
      </c>
      <c r="HAP14" s="314" t="s">
        <v>203</v>
      </c>
      <c r="HAQ14" s="314" t="s">
        <v>203</v>
      </c>
      <c r="HAR14" s="314" t="s">
        <v>203</v>
      </c>
      <c r="HAS14" s="314" t="s">
        <v>203</v>
      </c>
      <c r="HAT14" s="314" t="s">
        <v>203</v>
      </c>
      <c r="HAU14" s="314" t="s">
        <v>203</v>
      </c>
      <c r="HAV14" s="314" t="s">
        <v>203</v>
      </c>
      <c r="HAW14" s="314" t="s">
        <v>203</v>
      </c>
      <c r="HAX14" s="314" t="s">
        <v>203</v>
      </c>
      <c r="HAY14" s="314" t="s">
        <v>203</v>
      </c>
      <c r="HAZ14" s="314" t="s">
        <v>203</v>
      </c>
      <c r="HBA14" s="314" t="s">
        <v>203</v>
      </c>
      <c r="HBB14" s="314" t="s">
        <v>203</v>
      </c>
      <c r="HBC14" s="314" t="s">
        <v>203</v>
      </c>
      <c r="HBD14" s="314" t="s">
        <v>203</v>
      </c>
      <c r="HBE14" s="314" t="s">
        <v>203</v>
      </c>
      <c r="HBF14" s="314" t="s">
        <v>203</v>
      </c>
      <c r="HBG14" s="314" t="s">
        <v>203</v>
      </c>
      <c r="HBH14" s="314" t="s">
        <v>203</v>
      </c>
      <c r="HBI14" s="314" t="s">
        <v>203</v>
      </c>
      <c r="HBJ14" s="314" t="s">
        <v>203</v>
      </c>
      <c r="HBK14" s="314" t="s">
        <v>203</v>
      </c>
      <c r="HBL14" s="314" t="s">
        <v>203</v>
      </c>
      <c r="HBM14" s="314" t="s">
        <v>203</v>
      </c>
      <c r="HBN14" s="314" t="s">
        <v>203</v>
      </c>
      <c r="HBO14" s="314" t="s">
        <v>203</v>
      </c>
      <c r="HBP14" s="314" t="s">
        <v>203</v>
      </c>
      <c r="HBQ14" s="314" t="s">
        <v>203</v>
      </c>
      <c r="HBR14" s="314" t="s">
        <v>203</v>
      </c>
      <c r="HBS14" s="314" t="s">
        <v>203</v>
      </c>
      <c r="HBT14" s="314" t="s">
        <v>203</v>
      </c>
      <c r="HBU14" s="314" t="s">
        <v>203</v>
      </c>
      <c r="HBV14" s="314" t="s">
        <v>203</v>
      </c>
      <c r="HBW14" s="314" t="s">
        <v>203</v>
      </c>
      <c r="HBX14" s="314" t="s">
        <v>203</v>
      </c>
      <c r="HBY14" s="314" t="s">
        <v>203</v>
      </c>
      <c r="HBZ14" s="314" t="s">
        <v>203</v>
      </c>
      <c r="HCA14" s="314" t="s">
        <v>203</v>
      </c>
      <c r="HCB14" s="314" t="s">
        <v>203</v>
      </c>
      <c r="HCC14" s="314" t="s">
        <v>203</v>
      </c>
      <c r="HCD14" s="314" t="s">
        <v>203</v>
      </c>
      <c r="HCE14" s="314" t="s">
        <v>203</v>
      </c>
      <c r="HCF14" s="314" t="s">
        <v>203</v>
      </c>
      <c r="HCG14" s="314" t="s">
        <v>203</v>
      </c>
      <c r="HCH14" s="314" t="s">
        <v>203</v>
      </c>
      <c r="HCI14" s="314" t="s">
        <v>203</v>
      </c>
      <c r="HCJ14" s="314" t="s">
        <v>203</v>
      </c>
      <c r="HCK14" s="314" t="s">
        <v>203</v>
      </c>
      <c r="HCL14" s="314" t="s">
        <v>203</v>
      </c>
      <c r="HCM14" s="314" t="s">
        <v>203</v>
      </c>
      <c r="HCN14" s="314" t="s">
        <v>203</v>
      </c>
      <c r="HCO14" s="314" t="s">
        <v>203</v>
      </c>
      <c r="HCP14" s="314" t="s">
        <v>203</v>
      </c>
      <c r="HCQ14" s="314" t="s">
        <v>203</v>
      </c>
      <c r="HCR14" s="314" t="s">
        <v>203</v>
      </c>
      <c r="HCS14" s="314" t="s">
        <v>203</v>
      </c>
      <c r="HCT14" s="314" t="s">
        <v>203</v>
      </c>
      <c r="HCU14" s="314" t="s">
        <v>203</v>
      </c>
      <c r="HCV14" s="314" t="s">
        <v>203</v>
      </c>
      <c r="HCW14" s="314" t="s">
        <v>203</v>
      </c>
      <c r="HCX14" s="314" t="s">
        <v>203</v>
      </c>
      <c r="HCY14" s="314" t="s">
        <v>203</v>
      </c>
      <c r="HCZ14" s="314" t="s">
        <v>203</v>
      </c>
      <c r="HDA14" s="314" t="s">
        <v>203</v>
      </c>
      <c r="HDB14" s="314" t="s">
        <v>203</v>
      </c>
      <c r="HDC14" s="314" t="s">
        <v>203</v>
      </c>
      <c r="HDD14" s="314" t="s">
        <v>203</v>
      </c>
      <c r="HDE14" s="314" t="s">
        <v>203</v>
      </c>
      <c r="HDF14" s="314" t="s">
        <v>203</v>
      </c>
      <c r="HDG14" s="314" t="s">
        <v>203</v>
      </c>
      <c r="HDH14" s="314" t="s">
        <v>203</v>
      </c>
      <c r="HDI14" s="314" t="s">
        <v>203</v>
      </c>
      <c r="HDJ14" s="314" t="s">
        <v>203</v>
      </c>
      <c r="HDK14" s="314" t="s">
        <v>203</v>
      </c>
      <c r="HDL14" s="314" t="s">
        <v>203</v>
      </c>
      <c r="HDM14" s="314" t="s">
        <v>203</v>
      </c>
      <c r="HDN14" s="314" t="s">
        <v>203</v>
      </c>
      <c r="HDO14" s="314" t="s">
        <v>203</v>
      </c>
      <c r="HDP14" s="314" t="s">
        <v>203</v>
      </c>
      <c r="HDQ14" s="314" t="s">
        <v>203</v>
      </c>
      <c r="HDR14" s="314" t="s">
        <v>203</v>
      </c>
      <c r="HDS14" s="314" t="s">
        <v>203</v>
      </c>
      <c r="HDT14" s="314" t="s">
        <v>203</v>
      </c>
      <c r="HDU14" s="314" t="s">
        <v>203</v>
      </c>
      <c r="HDV14" s="314" t="s">
        <v>203</v>
      </c>
      <c r="HDW14" s="314" t="s">
        <v>203</v>
      </c>
      <c r="HDX14" s="314" t="s">
        <v>203</v>
      </c>
      <c r="HDY14" s="314" t="s">
        <v>203</v>
      </c>
      <c r="HDZ14" s="314" t="s">
        <v>203</v>
      </c>
      <c r="HEA14" s="314" t="s">
        <v>203</v>
      </c>
      <c r="HEB14" s="314" t="s">
        <v>203</v>
      </c>
      <c r="HEC14" s="314" t="s">
        <v>203</v>
      </c>
      <c r="HED14" s="314" t="s">
        <v>203</v>
      </c>
      <c r="HEE14" s="314" t="s">
        <v>203</v>
      </c>
      <c r="HEF14" s="314" t="s">
        <v>203</v>
      </c>
      <c r="HEG14" s="314" t="s">
        <v>203</v>
      </c>
      <c r="HEH14" s="314" t="s">
        <v>203</v>
      </c>
      <c r="HEI14" s="314" t="s">
        <v>203</v>
      </c>
      <c r="HEJ14" s="314" t="s">
        <v>203</v>
      </c>
      <c r="HEK14" s="314" t="s">
        <v>203</v>
      </c>
      <c r="HEL14" s="314" t="s">
        <v>203</v>
      </c>
      <c r="HEM14" s="314" t="s">
        <v>203</v>
      </c>
      <c r="HEN14" s="314" t="s">
        <v>203</v>
      </c>
      <c r="HEO14" s="314" t="s">
        <v>203</v>
      </c>
      <c r="HEP14" s="314" t="s">
        <v>203</v>
      </c>
      <c r="HEQ14" s="314" t="s">
        <v>203</v>
      </c>
      <c r="HER14" s="314" t="s">
        <v>203</v>
      </c>
      <c r="HES14" s="314" t="s">
        <v>203</v>
      </c>
      <c r="HET14" s="314" t="s">
        <v>203</v>
      </c>
      <c r="HEU14" s="314" t="s">
        <v>203</v>
      </c>
      <c r="HEV14" s="314" t="s">
        <v>203</v>
      </c>
      <c r="HEW14" s="314" t="s">
        <v>203</v>
      </c>
      <c r="HEX14" s="314" t="s">
        <v>203</v>
      </c>
      <c r="HEY14" s="314" t="s">
        <v>203</v>
      </c>
      <c r="HEZ14" s="314" t="s">
        <v>203</v>
      </c>
      <c r="HFA14" s="314" t="s">
        <v>203</v>
      </c>
      <c r="HFB14" s="314" t="s">
        <v>203</v>
      </c>
      <c r="HFC14" s="314" t="s">
        <v>203</v>
      </c>
      <c r="HFD14" s="314" t="s">
        <v>203</v>
      </c>
      <c r="HFE14" s="314" t="s">
        <v>203</v>
      </c>
      <c r="HFF14" s="314" t="s">
        <v>203</v>
      </c>
      <c r="HFG14" s="314" t="s">
        <v>203</v>
      </c>
      <c r="HFH14" s="314" t="s">
        <v>203</v>
      </c>
      <c r="HFI14" s="314" t="s">
        <v>203</v>
      </c>
      <c r="HFJ14" s="314" t="s">
        <v>203</v>
      </c>
      <c r="HFK14" s="314" t="s">
        <v>203</v>
      </c>
      <c r="HFL14" s="314" t="s">
        <v>203</v>
      </c>
      <c r="HFM14" s="314" t="s">
        <v>203</v>
      </c>
      <c r="HFN14" s="314" t="s">
        <v>203</v>
      </c>
      <c r="HFO14" s="314" t="s">
        <v>203</v>
      </c>
      <c r="HFP14" s="314" t="s">
        <v>203</v>
      </c>
      <c r="HFQ14" s="314" t="s">
        <v>203</v>
      </c>
      <c r="HFR14" s="314" t="s">
        <v>203</v>
      </c>
      <c r="HFS14" s="314" t="s">
        <v>203</v>
      </c>
      <c r="HFT14" s="314" t="s">
        <v>203</v>
      </c>
      <c r="HFU14" s="314" t="s">
        <v>203</v>
      </c>
      <c r="HFV14" s="314" t="s">
        <v>203</v>
      </c>
      <c r="HFW14" s="314" t="s">
        <v>203</v>
      </c>
      <c r="HFX14" s="314" t="s">
        <v>203</v>
      </c>
      <c r="HFY14" s="314" t="s">
        <v>203</v>
      </c>
      <c r="HFZ14" s="314" t="s">
        <v>203</v>
      </c>
      <c r="HGA14" s="314" t="s">
        <v>203</v>
      </c>
      <c r="HGB14" s="314" t="s">
        <v>203</v>
      </c>
      <c r="HGC14" s="314" t="s">
        <v>203</v>
      </c>
      <c r="HGD14" s="314" t="s">
        <v>203</v>
      </c>
      <c r="HGE14" s="314" t="s">
        <v>203</v>
      </c>
      <c r="HGF14" s="314" t="s">
        <v>203</v>
      </c>
      <c r="HGG14" s="314" t="s">
        <v>203</v>
      </c>
      <c r="HGH14" s="314" t="s">
        <v>203</v>
      </c>
      <c r="HGI14" s="314" t="s">
        <v>203</v>
      </c>
      <c r="HGJ14" s="314" t="s">
        <v>203</v>
      </c>
      <c r="HGK14" s="314" t="s">
        <v>203</v>
      </c>
      <c r="HGL14" s="314" t="s">
        <v>203</v>
      </c>
      <c r="HGM14" s="314" t="s">
        <v>203</v>
      </c>
      <c r="HGN14" s="314" t="s">
        <v>203</v>
      </c>
      <c r="HGO14" s="314" t="s">
        <v>203</v>
      </c>
      <c r="HGP14" s="314" t="s">
        <v>203</v>
      </c>
      <c r="HGQ14" s="314" t="s">
        <v>203</v>
      </c>
      <c r="HGR14" s="314" t="s">
        <v>203</v>
      </c>
      <c r="HGS14" s="314" t="s">
        <v>203</v>
      </c>
      <c r="HGT14" s="314" t="s">
        <v>203</v>
      </c>
      <c r="HGU14" s="314" t="s">
        <v>203</v>
      </c>
      <c r="HGV14" s="314" t="s">
        <v>203</v>
      </c>
      <c r="HGW14" s="314" t="s">
        <v>203</v>
      </c>
      <c r="HGX14" s="314" t="s">
        <v>203</v>
      </c>
      <c r="HGY14" s="314" t="s">
        <v>203</v>
      </c>
      <c r="HGZ14" s="314" t="s">
        <v>203</v>
      </c>
      <c r="HHA14" s="314" t="s">
        <v>203</v>
      </c>
      <c r="HHB14" s="314" t="s">
        <v>203</v>
      </c>
      <c r="HHC14" s="314" t="s">
        <v>203</v>
      </c>
      <c r="HHD14" s="314" t="s">
        <v>203</v>
      </c>
      <c r="HHE14" s="314" t="s">
        <v>203</v>
      </c>
      <c r="HHF14" s="314" t="s">
        <v>203</v>
      </c>
      <c r="HHG14" s="314" t="s">
        <v>203</v>
      </c>
      <c r="HHH14" s="314" t="s">
        <v>203</v>
      </c>
      <c r="HHI14" s="314" t="s">
        <v>203</v>
      </c>
      <c r="HHJ14" s="314" t="s">
        <v>203</v>
      </c>
      <c r="HHK14" s="314" t="s">
        <v>203</v>
      </c>
      <c r="HHL14" s="314" t="s">
        <v>203</v>
      </c>
      <c r="HHM14" s="314" t="s">
        <v>203</v>
      </c>
      <c r="HHN14" s="314" t="s">
        <v>203</v>
      </c>
      <c r="HHO14" s="314" t="s">
        <v>203</v>
      </c>
      <c r="HHP14" s="314" t="s">
        <v>203</v>
      </c>
      <c r="HHQ14" s="314" t="s">
        <v>203</v>
      </c>
      <c r="HHR14" s="314" t="s">
        <v>203</v>
      </c>
      <c r="HHS14" s="314" t="s">
        <v>203</v>
      </c>
      <c r="HHT14" s="314" t="s">
        <v>203</v>
      </c>
      <c r="HHU14" s="314" t="s">
        <v>203</v>
      </c>
      <c r="HHV14" s="314" t="s">
        <v>203</v>
      </c>
      <c r="HHW14" s="314" t="s">
        <v>203</v>
      </c>
      <c r="HHX14" s="314" t="s">
        <v>203</v>
      </c>
      <c r="HHY14" s="314" t="s">
        <v>203</v>
      </c>
      <c r="HHZ14" s="314" t="s">
        <v>203</v>
      </c>
      <c r="HIA14" s="314" t="s">
        <v>203</v>
      </c>
      <c r="HIB14" s="314" t="s">
        <v>203</v>
      </c>
      <c r="HIC14" s="314" t="s">
        <v>203</v>
      </c>
      <c r="HID14" s="314" t="s">
        <v>203</v>
      </c>
      <c r="HIE14" s="314" t="s">
        <v>203</v>
      </c>
      <c r="HIF14" s="314" t="s">
        <v>203</v>
      </c>
      <c r="HIG14" s="314" t="s">
        <v>203</v>
      </c>
      <c r="HIH14" s="314" t="s">
        <v>203</v>
      </c>
      <c r="HII14" s="314" t="s">
        <v>203</v>
      </c>
      <c r="HIJ14" s="314" t="s">
        <v>203</v>
      </c>
      <c r="HIK14" s="314" t="s">
        <v>203</v>
      </c>
      <c r="HIL14" s="314" t="s">
        <v>203</v>
      </c>
      <c r="HIM14" s="314" t="s">
        <v>203</v>
      </c>
      <c r="HIN14" s="314" t="s">
        <v>203</v>
      </c>
      <c r="HIO14" s="314" t="s">
        <v>203</v>
      </c>
      <c r="HIP14" s="314" t="s">
        <v>203</v>
      </c>
      <c r="HIQ14" s="314" t="s">
        <v>203</v>
      </c>
      <c r="HIR14" s="314" t="s">
        <v>203</v>
      </c>
      <c r="HIS14" s="314" t="s">
        <v>203</v>
      </c>
      <c r="HIT14" s="314" t="s">
        <v>203</v>
      </c>
      <c r="HIU14" s="314" t="s">
        <v>203</v>
      </c>
      <c r="HIV14" s="314" t="s">
        <v>203</v>
      </c>
      <c r="HIW14" s="314" t="s">
        <v>203</v>
      </c>
      <c r="HIX14" s="314" t="s">
        <v>203</v>
      </c>
      <c r="HIY14" s="314" t="s">
        <v>203</v>
      </c>
      <c r="HIZ14" s="314" t="s">
        <v>203</v>
      </c>
      <c r="HJA14" s="314" t="s">
        <v>203</v>
      </c>
      <c r="HJB14" s="314" t="s">
        <v>203</v>
      </c>
      <c r="HJC14" s="314" t="s">
        <v>203</v>
      </c>
      <c r="HJD14" s="314" t="s">
        <v>203</v>
      </c>
      <c r="HJE14" s="314" t="s">
        <v>203</v>
      </c>
      <c r="HJF14" s="314" t="s">
        <v>203</v>
      </c>
      <c r="HJG14" s="314" t="s">
        <v>203</v>
      </c>
      <c r="HJH14" s="314" t="s">
        <v>203</v>
      </c>
      <c r="HJI14" s="314" t="s">
        <v>203</v>
      </c>
      <c r="HJJ14" s="314" t="s">
        <v>203</v>
      </c>
      <c r="HJK14" s="314" t="s">
        <v>203</v>
      </c>
      <c r="HJL14" s="314" t="s">
        <v>203</v>
      </c>
      <c r="HJM14" s="314" t="s">
        <v>203</v>
      </c>
      <c r="HJN14" s="314" t="s">
        <v>203</v>
      </c>
      <c r="HJO14" s="314" t="s">
        <v>203</v>
      </c>
      <c r="HJP14" s="314" t="s">
        <v>203</v>
      </c>
      <c r="HJQ14" s="314" t="s">
        <v>203</v>
      </c>
      <c r="HJR14" s="314" t="s">
        <v>203</v>
      </c>
      <c r="HJS14" s="314" t="s">
        <v>203</v>
      </c>
      <c r="HJT14" s="314" t="s">
        <v>203</v>
      </c>
      <c r="HJU14" s="314" t="s">
        <v>203</v>
      </c>
      <c r="HJV14" s="314" t="s">
        <v>203</v>
      </c>
      <c r="HJW14" s="314" t="s">
        <v>203</v>
      </c>
      <c r="HJX14" s="314" t="s">
        <v>203</v>
      </c>
      <c r="HJY14" s="314" t="s">
        <v>203</v>
      </c>
      <c r="HJZ14" s="314" t="s">
        <v>203</v>
      </c>
      <c r="HKA14" s="314" t="s">
        <v>203</v>
      </c>
      <c r="HKB14" s="314" t="s">
        <v>203</v>
      </c>
      <c r="HKC14" s="314" t="s">
        <v>203</v>
      </c>
      <c r="HKD14" s="314" t="s">
        <v>203</v>
      </c>
      <c r="HKE14" s="314" t="s">
        <v>203</v>
      </c>
      <c r="HKF14" s="314" t="s">
        <v>203</v>
      </c>
      <c r="HKG14" s="314" t="s">
        <v>203</v>
      </c>
      <c r="HKH14" s="314" t="s">
        <v>203</v>
      </c>
      <c r="HKI14" s="314" t="s">
        <v>203</v>
      </c>
      <c r="HKJ14" s="314" t="s">
        <v>203</v>
      </c>
      <c r="HKK14" s="314" t="s">
        <v>203</v>
      </c>
      <c r="HKL14" s="314" t="s">
        <v>203</v>
      </c>
      <c r="HKM14" s="314" t="s">
        <v>203</v>
      </c>
      <c r="HKN14" s="314" t="s">
        <v>203</v>
      </c>
      <c r="HKO14" s="314" t="s">
        <v>203</v>
      </c>
      <c r="HKP14" s="314" t="s">
        <v>203</v>
      </c>
      <c r="HKQ14" s="314" t="s">
        <v>203</v>
      </c>
      <c r="HKR14" s="314" t="s">
        <v>203</v>
      </c>
      <c r="HKS14" s="314" t="s">
        <v>203</v>
      </c>
      <c r="HKT14" s="314" t="s">
        <v>203</v>
      </c>
      <c r="HKU14" s="314" t="s">
        <v>203</v>
      </c>
      <c r="HKV14" s="314" t="s">
        <v>203</v>
      </c>
      <c r="HKW14" s="314" t="s">
        <v>203</v>
      </c>
      <c r="HKX14" s="314" t="s">
        <v>203</v>
      </c>
      <c r="HKY14" s="314" t="s">
        <v>203</v>
      </c>
      <c r="HKZ14" s="314" t="s">
        <v>203</v>
      </c>
      <c r="HLA14" s="314" t="s">
        <v>203</v>
      </c>
      <c r="HLB14" s="314" t="s">
        <v>203</v>
      </c>
      <c r="HLC14" s="314" t="s">
        <v>203</v>
      </c>
      <c r="HLD14" s="314" t="s">
        <v>203</v>
      </c>
      <c r="HLE14" s="314" t="s">
        <v>203</v>
      </c>
      <c r="HLF14" s="314" t="s">
        <v>203</v>
      </c>
      <c r="HLG14" s="314" t="s">
        <v>203</v>
      </c>
      <c r="HLH14" s="314" t="s">
        <v>203</v>
      </c>
      <c r="HLI14" s="314" t="s">
        <v>203</v>
      </c>
      <c r="HLJ14" s="314" t="s">
        <v>203</v>
      </c>
      <c r="HLK14" s="314" t="s">
        <v>203</v>
      </c>
      <c r="HLL14" s="314" t="s">
        <v>203</v>
      </c>
      <c r="HLM14" s="314" t="s">
        <v>203</v>
      </c>
      <c r="HLN14" s="314" t="s">
        <v>203</v>
      </c>
      <c r="HLO14" s="314" t="s">
        <v>203</v>
      </c>
      <c r="HLP14" s="314" t="s">
        <v>203</v>
      </c>
      <c r="HLQ14" s="314" t="s">
        <v>203</v>
      </c>
      <c r="HLR14" s="314" t="s">
        <v>203</v>
      </c>
      <c r="HLS14" s="314" t="s">
        <v>203</v>
      </c>
      <c r="HLT14" s="314" t="s">
        <v>203</v>
      </c>
      <c r="HLU14" s="314" t="s">
        <v>203</v>
      </c>
      <c r="HLV14" s="314" t="s">
        <v>203</v>
      </c>
      <c r="HLW14" s="314" t="s">
        <v>203</v>
      </c>
      <c r="HLX14" s="314" t="s">
        <v>203</v>
      </c>
      <c r="HLY14" s="314" t="s">
        <v>203</v>
      </c>
      <c r="HLZ14" s="314" t="s">
        <v>203</v>
      </c>
      <c r="HMA14" s="314" t="s">
        <v>203</v>
      </c>
      <c r="HMB14" s="314" t="s">
        <v>203</v>
      </c>
      <c r="HMC14" s="314" t="s">
        <v>203</v>
      </c>
      <c r="HMD14" s="314" t="s">
        <v>203</v>
      </c>
      <c r="HME14" s="314" t="s">
        <v>203</v>
      </c>
      <c r="HMF14" s="314" t="s">
        <v>203</v>
      </c>
      <c r="HMG14" s="314" t="s">
        <v>203</v>
      </c>
      <c r="HMH14" s="314" t="s">
        <v>203</v>
      </c>
      <c r="HMI14" s="314" t="s">
        <v>203</v>
      </c>
      <c r="HMJ14" s="314" t="s">
        <v>203</v>
      </c>
      <c r="HMK14" s="314" t="s">
        <v>203</v>
      </c>
      <c r="HML14" s="314" t="s">
        <v>203</v>
      </c>
      <c r="HMM14" s="314" t="s">
        <v>203</v>
      </c>
      <c r="HMN14" s="314" t="s">
        <v>203</v>
      </c>
      <c r="HMO14" s="314" t="s">
        <v>203</v>
      </c>
      <c r="HMP14" s="314" t="s">
        <v>203</v>
      </c>
      <c r="HMQ14" s="314" t="s">
        <v>203</v>
      </c>
      <c r="HMR14" s="314" t="s">
        <v>203</v>
      </c>
      <c r="HMS14" s="314" t="s">
        <v>203</v>
      </c>
      <c r="HMT14" s="314" t="s">
        <v>203</v>
      </c>
      <c r="HMU14" s="314" t="s">
        <v>203</v>
      </c>
      <c r="HMV14" s="314" t="s">
        <v>203</v>
      </c>
      <c r="HMW14" s="314" t="s">
        <v>203</v>
      </c>
      <c r="HMX14" s="314" t="s">
        <v>203</v>
      </c>
      <c r="HMY14" s="314" t="s">
        <v>203</v>
      </c>
      <c r="HMZ14" s="314" t="s">
        <v>203</v>
      </c>
      <c r="HNA14" s="314" t="s">
        <v>203</v>
      </c>
      <c r="HNB14" s="314" t="s">
        <v>203</v>
      </c>
      <c r="HNC14" s="314" t="s">
        <v>203</v>
      </c>
      <c r="HND14" s="314" t="s">
        <v>203</v>
      </c>
      <c r="HNE14" s="314" t="s">
        <v>203</v>
      </c>
      <c r="HNF14" s="314" t="s">
        <v>203</v>
      </c>
      <c r="HNG14" s="314" t="s">
        <v>203</v>
      </c>
      <c r="HNH14" s="314" t="s">
        <v>203</v>
      </c>
      <c r="HNI14" s="314" t="s">
        <v>203</v>
      </c>
      <c r="HNJ14" s="314" t="s">
        <v>203</v>
      </c>
      <c r="HNK14" s="314" t="s">
        <v>203</v>
      </c>
      <c r="HNL14" s="314" t="s">
        <v>203</v>
      </c>
      <c r="HNM14" s="314" t="s">
        <v>203</v>
      </c>
      <c r="HNN14" s="314" t="s">
        <v>203</v>
      </c>
      <c r="HNO14" s="314" t="s">
        <v>203</v>
      </c>
      <c r="HNP14" s="314" t="s">
        <v>203</v>
      </c>
      <c r="HNQ14" s="314" t="s">
        <v>203</v>
      </c>
      <c r="HNR14" s="314" t="s">
        <v>203</v>
      </c>
      <c r="HNS14" s="314" t="s">
        <v>203</v>
      </c>
      <c r="HNT14" s="314" t="s">
        <v>203</v>
      </c>
      <c r="HNU14" s="314" t="s">
        <v>203</v>
      </c>
      <c r="HNV14" s="314" t="s">
        <v>203</v>
      </c>
      <c r="HNW14" s="314" t="s">
        <v>203</v>
      </c>
      <c r="HNX14" s="314" t="s">
        <v>203</v>
      </c>
      <c r="HNY14" s="314" t="s">
        <v>203</v>
      </c>
      <c r="HNZ14" s="314" t="s">
        <v>203</v>
      </c>
      <c r="HOA14" s="314" t="s">
        <v>203</v>
      </c>
      <c r="HOB14" s="314" t="s">
        <v>203</v>
      </c>
      <c r="HOC14" s="314" t="s">
        <v>203</v>
      </c>
      <c r="HOD14" s="314" t="s">
        <v>203</v>
      </c>
      <c r="HOE14" s="314" t="s">
        <v>203</v>
      </c>
      <c r="HOF14" s="314" t="s">
        <v>203</v>
      </c>
      <c r="HOG14" s="314" t="s">
        <v>203</v>
      </c>
      <c r="HOH14" s="314" t="s">
        <v>203</v>
      </c>
      <c r="HOI14" s="314" t="s">
        <v>203</v>
      </c>
      <c r="HOJ14" s="314" t="s">
        <v>203</v>
      </c>
      <c r="HOK14" s="314" t="s">
        <v>203</v>
      </c>
      <c r="HOL14" s="314" t="s">
        <v>203</v>
      </c>
      <c r="HOM14" s="314" t="s">
        <v>203</v>
      </c>
      <c r="HON14" s="314" t="s">
        <v>203</v>
      </c>
      <c r="HOO14" s="314" t="s">
        <v>203</v>
      </c>
      <c r="HOP14" s="314" t="s">
        <v>203</v>
      </c>
      <c r="HOQ14" s="314" t="s">
        <v>203</v>
      </c>
      <c r="HOR14" s="314" t="s">
        <v>203</v>
      </c>
      <c r="HOS14" s="314" t="s">
        <v>203</v>
      </c>
      <c r="HOT14" s="314" t="s">
        <v>203</v>
      </c>
      <c r="HOU14" s="314" t="s">
        <v>203</v>
      </c>
      <c r="HOV14" s="314" t="s">
        <v>203</v>
      </c>
      <c r="HOW14" s="314" t="s">
        <v>203</v>
      </c>
      <c r="HOX14" s="314" t="s">
        <v>203</v>
      </c>
      <c r="HOY14" s="314" t="s">
        <v>203</v>
      </c>
      <c r="HOZ14" s="314" t="s">
        <v>203</v>
      </c>
      <c r="HPA14" s="314" t="s">
        <v>203</v>
      </c>
      <c r="HPB14" s="314" t="s">
        <v>203</v>
      </c>
      <c r="HPC14" s="314" t="s">
        <v>203</v>
      </c>
      <c r="HPD14" s="314" t="s">
        <v>203</v>
      </c>
      <c r="HPE14" s="314" t="s">
        <v>203</v>
      </c>
      <c r="HPF14" s="314" t="s">
        <v>203</v>
      </c>
      <c r="HPG14" s="314" t="s">
        <v>203</v>
      </c>
      <c r="HPH14" s="314" t="s">
        <v>203</v>
      </c>
      <c r="HPI14" s="314" t="s">
        <v>203</v>
      </c>
      <c r="HPJ14" s="314" t="s">
        <v>203</v>
      </c>
      <c r="HPK14" s="314" t="s">
        <v>203</v>
      </c>
      <c r="HPL14" s="314" t="s">
        <v>203</v>
      </c>
      <c r="HPM14" s="314" t="s">
        <v>203</v>
      </c>
      <c r="HPN14" s="314" t="s">
        <v>203</v>
      </c>
      <c r="HPO14" s="314" t="s">
        <v>203</v>
      </c>
      <c r="HPP14" s="314" t="s">
        <v>203</v>
      </c>
      <c r="HPQ14" s="314" t="s">
        <v>203</v>
      </c>
      <c r="HPR14" s="314" t="s">
        <v>203</v>
      </c>
      <c r="HPS14" s="314" t="s">
        <v>203</v>
      </c>
      <c r="HPT14" s="314" t="s">
        <v>203</v>
      </c>
      <c r="HPU14" s="314" t="s">
        <v>203</v>
      </c>
      <c r="HPV14" s="314" t="s">
        <v>203</v>
      </c>
      <c r="HPW14" s="314" t="s">
        <v>203</v>
      </c>
      <c r="HPX14" s="314" t="s">
        <v>203</v>
      </c>
      <c r="HPY14" s="314" t="s">
        <v>203</v>
      </c>
      <c r="HPZ14" s="314" t="s">
        <v>203</v>
      </c>
      <c r="HQA14" s="314" t="s">
        <v>203</v>
      </c>
      <c r="HQB14" s="314" t="s">
        <v>203</v>
      </c>
      <c r="HQC14" s="314" t="s">
        <v>203</v>
      </c>
      <c r="HQD14" s="314" t="s">
        <v>203</v>
      </c>
      <c r="HQE14" s="314" t="s">
        <v>203</v>
      </c>
      <c r="HQF14" s="314" t="s">
        <v>203</v>
      </c>
      <c r="HQG14" s="314" t="s">
        <v>203</v>
      </c>
      <c r="HQH14" s="314" t="s">
        <v>203</v>
      </c>
      <c r="HQI14" s="314" t="s">
        <v>203</v>
      </c>
      <c r="HQJ14" s="314" t="s">
        <v>203</v>
      </c>
      <c r="HQK14" s="314" t="s">
        <v>203</v>
      </c>
      <c r="HQL14" s="314" t="s">
        <v>203</v>
      </c>
      <c r="HQM14" s="314" t="s">
        <v>203</v>
      </c>
      <c r="HQN14" s="314" t="s">
        <v>203</v>
      </c>
      <c r="HQO14" s="314" t="s">
        <v>203</v>
      </c>
      <c r="HQP14" s="314" t="s">
        <v>203</v>
      </c>
      <c r="HQQ14" s="314" t="s">
        <v>203</v>
      </c>
      <c r="HQR14" s="314" t="s">
        <v>203</v>
      </c>
      <c r="HQS14" s="314" t="s">
        <v>203</v>
      </c>
      <c r="HQT14" s="314" t="s">
        <v>203</v>
      </c>
      <c r="HQU14" s="314" t="s">
        <v>203</v>
      </c>
      <c r="HQV14" s="314" t="s">
        <v>203</v>
      </c>
      <c r="HQW14" s="314" t="s">
        <v>203</v>
      </c>
      <c r="HQX14" s="314" t="s">
        <v>203</v>
      </c>
      <c r="HQY14" s="314" t="s">
        <v>203</v>
      </c>
      <c r="HQZ14" s="314" t="s">
        <v>203</v>
      </c>
      <c r="HRA14" s="314" t="s">
        <v>203</v>
      </c>
      <c r="HRB14" s="314" t="s">
        <v>203</v>
      </c>
      <c r="HRC14" s="314" t="s">
        <v>203</v>
      </c>
      <c r="HRD14" s="314" t="s">
        <v>203</v>
      </c>
      <c r="HRE14" s="314" t="s">
        <v>203</v>
      </c>
      <c r="HRF14" s="314" t="s">
        <v>203</v>
      </c>
      <c r="HRG14" s="314" t="s">
        <v>203</v>
      </c>
      <c r="HRH14" s="314" t="s">
        <v>203</v>
      </c>
      <c r="HRI14" s="314" t="s">
        <v>203</v>
      </c>
      <c r="HRJ14" s="314" t="s">
        <v>203</v>
      </c>
      <c r="HRK14" s="314" t="s">
        <v>203</v>
      </c>
      <c r="HRL14" s="314" t="s">
        <v>203</v>
      </c>
      <c r="HRM14" s="314" t="s">
        <v>203</v>
      </c>
      <c r="HRN14" s="314" t="s">
        <v>203</v>
      </c>
      <c r="HRO14" s="314" t="s">
        <v>203</v>
      </c>
      <c r="HRP14" s="314" t="s">
        <v>203</v>
      </c>
      <c r="HRQ14" s="314" t="s">
        <v>203</v>
      </c>
      <c r="HRR14" s="314" t="s">
        <v>203</v>
      </c>
      <c r="HRS14" s="314" t="s">
        <v>203</v>
      </c>
      <c r="HRT14" s="314" t="s">
        <v>203</v>
      </c>
      <c r="HRU14" s="314" t="s">
        <v>203</v>
      </c>
      <c r="HRV14" s="314" t="s">
        <v>203</v>
      </c>
      <c r="HRW14" s="314" t="s">
        <v>203</v>
      </c>
      <c r="HRX14" s="314" t="s">
        <v>203</v>
      </c>
      <c r="HRY14" s="314" t="s">
        <v>203</v>
      </c>
      <c r="HRZ14" s="314" t="s">
        <v>203</v>
      </c>
      <c r="HSA14" s="314" t="s">
        <v>203</v>
      </c>
      <c r="HSB14" s="314" t="s">
        <v>203</v>
      </c>
      <c r="HSC14" s="314" t="s">
        <v>203</v>
      </c>
      <c r="HSD14" s="314" t="s">
        <v>203</v>
      </c>
      <c r="HSE14" s="314" t="s">
        <v>203</v>
      </c>
      <c r="HSF14" s="314" t="s">
        <v>203</v>
      </c>
      <c r="HSG14" s="314" t="s">
        <v>203</v>
      </c>
      <c r="HSH14" s="314" t="s">
        <v>203</v>
      </c>
      <c r="HSI14" s="314" t="s">
        <v>203</v>
      </c>
      <c r="HSJ14" s="314" t="s">
        <v>203</v>
      </c>
      <c r="HSK14" s="314" t="s">
        <v>203</v>
      </c>
      <c r="HSL14" s="314" t="s">
        <v>203</v>
      </c>
      <c r="HSM14" s="314" t="s">
        <v>203</v>
      </c>
      <c r="HSN14" s="314" t="s">
        <v>203</v>
      </c>
      <c r="HSO14" s="314" t="s">
        <v>203</v>
      </c>
      <c r="HSP14" s="314" t="s">
        <v>203</v>
      </c>
      <c r="HSQ14" s="314" t="s">
        <v>203</v>
      </c>
      <c r="HSR14" s="314" t="s">
        <v>203</v>
      </c>
      <c r="HSS14" s="314" t="s">
        <v>203</v>
      </c>
      <c r="HST14" s="314" t="s">
        <v>203</v>
      </c>
      <c r="HSU14" s="314" t="s">
        <v>203</v>
      </c>
      <c r="HSV14" s="314" t="s">
        <v>203</v>
      </c>
      <c r="HSW14" s="314" t="s">
        <v>203</v>
      </c>
      <c r="HSX14" s="314" t="s">
        <v>203</v>
      </c>
      <c r="HSY14" s="314" t="s">
        <v>203</v>
      </c>
      <c r="HSZ14" s="314" t="s">
        <v>203</v>
      </c>
      <c r="HTA14" s="314" t="s">
        <v>203</v>
      </c>
      <c r="HTB14" s="314" t="s">
        <v>203</v>
      </c>
      <c r="HTC14" s="314" t="s">
        <v>203</v>
      </c>
      <c r="HTD14" s="314" t="s">
        <v>203</v>
      </c>
      <c r="HTE14" s="314" t="s">
        <v>203</v>
      </c>
      <c r="HTF14" s="314" t="s">
        <v>203</v>
      </c>
      <c r="HTG14" s="314" t="s">
        <v>203</v>
      </c>
      <c r="HTH14" s="314" t="s">
        <v>203</v>
      </c>
      <c r="HTI14" s="314" t="s">
        <v>203</v>
      </c>
      <c r="HTJ14" s="314" t="s">
        <v>203</v>
      </c>
      <c r="HTK14" s="314" t="s">
        <v>203</v>
      </c>
      <c r="HTL14" s="314" t="s">
        <v>203</v>
      </c>
      <c r="HTM14" s="314" t="s">
        <v>203</v>
      </c>
      <c r="HTN14" s="314" t="s">
        <v>203</v>
      </c>
      <c r="HTO14" s="314" t="s">
        <v>203</v>
      </c>
      <c r="HTP14" s="314" t="s">
        <v>203</v>
      </c>
      <c r="HTQ14" s="314" t="s">
        <v>203</v>
      </c>
      <c r="HTR14" s="314" t="s">
        <v>203</v>
      </c>
      <c r="HTS14" s="314" t="s">
        <v>203</v>
      </c>
      <c r="HTT14" s="314" t="s">
        <v>203</v>
      </c>
      <c r="HTU14" s="314" t="s">
        <v>203</v>
      </c>
      <c r="HTV14" s="314" t="s">
        <v>203</v>
      </c>
      <c r="HTW14" s="314" t="s">
        <v>203</v>
      </c>
      <c r="HTX14" s="314" t="s">
        <v>203</v>
      </c>
      <c r="HTY14" s="314" t="s">
        <v>203</v>
      </c>
      <c r="HTZ14" s="314" t="s">
        <v>203</v>
      </c>
      <c r="HUA14" s="314" t="s">
        <v>203</v>
      </c>
      <c r="HUB14" s="314" t="s">
        <v>203</v>
      </c>
      <c r="HUC14" s="314" t="s">
        <v>203</v>
      </c>
      <c r="HUD14" s="314" t="s">
        <v>203</v>
      </c>
      <c r="HUE14" s="314" t="s">
        <v>203</v>
      </c>
      <c r="HUF14" s="314" t="s">
        <v>203</v>
      </c>
      <c r="HUG14" s="314" t="s">
        <v>203</v>
      </c>
      <c r="HUH14" s="314" t="s">
        <v>203</v>
      </c>
      <c r="HUI14" s="314" t="s">
        <v>203</v>
      </c>
      <c r="HUJ14" s="314" t="s">
        <v>203</v>
      </c>
      <c r="HUK14" s="314" t="s">
        <v>203</v>
      </c>
      <c r="HUL14" s="314" t="s">
        <v>203</v>
      </c>
      <c r="HUM14" s="314" t="s">
        <v>203</v>
      </c>
      <c r="HUN14" s="314" t="s">
        <v>203</v>
      </c>
      <c r="HUO14" s="314" t="s">
        <v>203</v>
      </c>
      <c r="HUP14" s="314" t="s">
        <v>203</v>
      </c>
      <c r="HUQ14" s="314" t="s">
        <v>203</v>
      </c>
      <c r="HUR14" s="314" t="s">
        <v>203</v>
      </c>
      <c r="HUS14" s="314" t="s">
        <v>203</v>
      </c>
      <c r="HUT14" s="314" t="s">
        <v>203</v>
      </c>
      <c r="HUU14" s="314" t="s">
        <v>203</v>
      </c>
      <c r="HUV14" s="314" t="s">
        <v>203</v>
      </c>
      <c r="HUW14" s="314" t="s">
        <v>203</v>
      </c>
      <c r="HUX14" s="314" t="s">
        <v>203</v>
      </c>
      <c r="HUY14" s="314" t="s">
        <v>203</v>
      </c>
      <c r="HUZ14" s="314" t="s">
        <v>203</v>
      </c>
      <c r="HVA14" s="314" t="s">
        <v>203</v>
      </c>
      <c r="HVB14" s="314" t="s">
        <v>203</v>
      </c>
      <c r="HVC14" s="314" t="s">
        <v>203</v>
      </c>
      <c r="HVD14" s="314" t="s">
        <v>203</v>
      </c>
      <c r="HVE14" s="314" t="s">
        <v>203</v>
      </c>
      <c r="HVF14" s="314" t="s">
        <v>203</v>
      </c>
      <c r="HVG14" s="314" t="s">
        <v>203</v>
      </c>
      <c r="HVH14" s="314" t="s">
        <v>203</v>
      </c>
      <c r="HVI14" s="314" t="s">
        <v>203</v>
      </c>
      <c r="HVJ14" s="314" t="s">
        <v>203</v>
      </c>
      <c r="HVK14" s="314" t="s">
        <v>203</v>
      </c>
      <c r="HVL14" s="314" t="s">
        <v>203</v>
      </c>
      <c r="HVM14" s="314" t="s">
        <v>203</v>
      </c>
      <c r="HVN14" s="314" t="s">
        <v>203</v>
      </c>
      <c r="HVO14" s="314" t="s">
        <v>203</v>
      </c>
      <c r="HVP14" s="314" t="s">
        <v>203</v>
      </c>
      <c r="HVQ14" s="314" t="s">
        <v>203</v>
      </c>
      <c r="HVR14" s="314" t="s">
        <v>203</v>
      </c>
      <c r="HVS14" s="314" t="s">
        <v>203</v>
      </c>
      <c r="HVT14" s="314" t="s">
        <v>203</v>
      </c>
      <c r="HVU14" s="314" t="s">
        <v>203</v>
      </c>
      <c r="HVV14" s="314" t="s">
        <v>203</v>
      </c>
      <c r="HVW14" s="314" t="s">
        <v>203</v>
      </c>
      <c r="HVX14" s="314" t="s">
        <v>203</v>
      </c>
      <c r="HVY14" s="314" t="s">
        <v>203</v>
      </c>
      <c r="HVZ14" s="314" t="s">
        <v>203</v>
      </c>
      <c r="HWA14" s="314" t="s">
        <v>203</v>
      </c>
      <c r="HWB14" s="314" t="s">
        <v>203</v>
      </c>
      <c r="HWC14" s="314" t="s">
        <v>203</v>
      </c>
      <c r="HWD14" s="314" t="s">
        <v>203</v>
      </c>
      <c r="HWE14" s="314" t="s">
        <v>203</v>
      </c>
      <c r="HWF14" s="314" t="s">
        <v>203</v>
      </c>
      <c r="HWG14" s="314" t="s">
        <v>203</v>
      </c>
      <c r="HWH14" s="314" t="s">
        <v>203</v>
      </c>
      <c r="HWI14" s="314" t="s">
        <v>203</v>
      </c>
      <c r="HWJ14" s="314" t="s">
        <v>203</v>
      </c>
      <c r="HWK14" s="314" t="s">
        <v>203</v>
      </c>
      <c r="HWL14" s="314" t="s">
        <v>203</v>
      </c>
      <c r="HWM14" s="314" t="s">
        <v>203</v>
      </c>
      <c r="HWN14" s="314" t="s">
        <v>203</v>
      </c>
      <c r="HWO14" s="314" t="s">
        <v>203</v>
      </c>
      <c r="HWP14" s="314" t="s">
        <v>203</v>
      </c>
      <c r="HWQ14" s="314" t="s">
        <v>203</v>
      </c>
      <c r="HWR14" s="314" t="s">
        <v>203</v>
      </c>
      <c r="HWS14" s="314" t="s">
        <v>203</v>
      </c>
      <c r="HWT14" s="314" t="s">
        <v>203</v>
      </c>
      <c r="HWU14" s="314" t="s">
        <v>203</v>
      </c>
      <c r="HWV14" s="314" t="s">
        <v>203</v>
      </c>
      <c r="HWW14" s="314" t="s">
        <v>203</v>
      </c>
      <c r="HWX14" s="314" t="s">
        <v>203</v>
      </c>
      <c r="HWY14" s="314" t="s">
        <v>203</v>
      </c>
      <c r="HWZ14" s="314" t="s">
        <v>203</v>
      </c>
      <c r="HXA14" s="314" t="s">
        <v>203</v>
      </c>
      <c r="HXB14" s="314" t="s">
        <v>203</v>
      </c>
      <c r="HXC14" s="314" t="s">
        <v>203</v>
      </c>
      <c r="HXD14" s="314" t="s">
        <v>203</v>
      </c>
      <c r="HXE14" s="314" t="s">
        <v>203</v>
      </c>
      <c r="HXF14" s="314" t="s">
        <v>203</v>
      </c>
      <c r="HXG14" s="314" t="s">
        <v>203</v>
      </c>
      <c r="HXH14" s="314" t="s">
        <v>203</v>
      </c>
      <c r="HXI14" s="314" t="s">
        <v>203</v>
      </c>
      <c r="HXJ14" s="314" t="s">
        <v>203</v>
      </c>
      <c r="HXK14" s="314" t="s">
        <v>203</v>
      </c>
      <c r="HXL14" s="314" t="s">
        <v>203</v>
      </c>
      <c r="HXM14" s="314" t="s">
        <v>203</v>
      </c>
      <c r="HXN14" s="314" t="s">
        <v>203</v>
      </c>
      <c r="HXO14" s="314" t="s">
        <v>203</v>
      </c>
      <c r="HXP14" s="314" t="s">
        <v>203</v>
      </c>
      <c r="HXQ14" s="314" t="s">
        <v>203</v>
      </c>
      <c r="HXR14" s="314" t="s">
        <v>203</v>
      </c>
      <c r="HXS14" s="314" t="s">
        <v>203</v>
      </c>
      <c r="HXT14" s="314" t="s">
        <v>203</v>
      </c>
      <c r="HXU14" s="314" t="s">
        <v>203</v>
      </c>
      <c r="HXV14" s="314" t="s">
        <v>203</v>
      </c>
      <c r="HXW14" s="314" t="s">
        <v>203</v>
      </c>
      <c r="HXX14" s="314" t="s">
        <v>203</v>
      </c>
      <c r="HXY14" s="314" t="s">
        <v>203</v>
      </c>
      <c r="HXZ14" s="314" t="s">
        <v>203</v>
      </c>
      <c r="HYA14" s="314" t="s">
        <v>203</v>
      </c>
      <c r="HYB14" s="314" t="s">
        <v>203</v>
      </c>
      <c r="HYC14" s="314" t="s">
        <v>203</v>
      </c>
      <c r="HYD14" s="314" t="s">
        <v>203</v>
      </c>
      <c r="HYE14" s="314" t="s">
        <v>203</v>
      </c>
      <c r="HYF14" s="314" t="s">
        <v>203</v>
      </c>
      <c r="HYG14" s="314" t="s">
        <v>203</v>
      </c>
      <c r="HYH14" s="314" t="s">
        <v>203</v>
      </c>
      <c r="HYI14" s="314" t="s">
        <v>203</v>
      </c>
      <c r="HYJ14" s="314" t="s">
        <v>203</v>
      </c>
      <c r="HYK14" s="314" t="s">
        <v>203</v>
      </c>
      <c r="HYL14" s="314" t="s">
        <v>203</v>
      </c>
      <c r="HYM14" s="314" t="s">
        <v>203</v>
      </c>
      <c r="HYN14" s="314" t="s">
        <v>203</v>
      </c>
      <c r="HYO14" s="314" t="s">
        <v>203</v>
      </c>
      <c r="HYP14" s="314" t="s">
        <v>203</v>
      </c>
      <c r="HYQ14" s="314" t="s">
        <v>203</v>
      </c>
      <c r="HYR14" s="314" t="s">
        <v>203</v>
      </c>
      <c r="HYS14" s="314" t="s">
        <v>203</v>
      </c>
      <c r="HYT14" s="314" t="s">
        <v>203</v>
      </c>
      <c r="HYU14" s="314" t="s">
        <v>203</v>
      </c>
      <c r="HYV14" s="314" t="s">
        <v>203</v>
      </c>
      <c r="HYW14" s="314" t="s">
        <v>203</v>
      </c>
      <c r="HYX14" s="314" t="s">
        <v>203</v>
      </c>
      <c r="HYY14" s="314" t="s">
        <v>203</v>
      </c>
      <c r="HYZ14" s="314" t="s">
        <v>203</v>
      </c>
      <c r="HZA14" s="314" t="s">
        <v>203</v>
      </c>
      <c r="HZB14" s="314" t="s">
        <v>203</v>
      </c>
      <c r="HZC14" s="314" t="s">
        <v>203</v>
      </c>
      <c r="HZD14" s="314" t="s">
        <v>203</v>
      </c>
      <c r="HZE14" s="314" t="s">
        <v>203</v>
      </c>
      <c r="HZF14" s="314" t="s">
        <v>203</v>
      </c>
      <c r="HZG14" s="314" t="s">
        <v>203</v>
      </c>
      <c r="HZH14" s="314" t="s">
        <v>203</v>
      </c>
      <c r="HZI14" s="314" t="s">
        <v>203</v>
      </c>
      <c r="HZJ14" s="314" t="s">
        <v>203</v>
      </c>
      <c r="HZK14" s="314" t="s">
        <v>203</v>
      </c>
      <c r="HZL14" s="314" t="s">
        <v>203</v>
      </c>
      <c r="HZM14" s="314" t="s">
        <v>203</v>
      </c>
      <c r="HZN14" s="314" t="s">
        <v>203</v>
      </c>
      <c r="HZO14" s="314" t="s">
        <v>203</v>
      </c>
      <c r="HZP14" s="314" t="s">
        <v>203</v>
      </c>
      <c r="HZQ14" s="314" t="s">
        <v>203</v>
      </c>
      <c r="HZR14" s="314" t="s">
        <v>203</v>
      </c>
      <c r="HZS14" s="314" t="s">
        <v>203</v>
      </c>
      <c r="HZT14" s="314" t="s">
        <v>203</v>
      </c>
      <c r="HZU14" s="314" t="s">
        <v>203</v>
      </c>
      <c r="HZV14" s="314" t="s">
        <v>203</v>
      </c>
      <c r="HZW14" s="314" t="s">
        <v>203</v>
      </c>
      <c r="HZX14" s="314" t="s">
        <v>203</v>
      </c>
      <c r="HZY14" s="314" t="s">
        <v>203</v>
      </c>
      <c r="HZZ14" s="314" t="s">
        <v>203</v>
      </c>
      <c r="IAA14" s="314" t="s">
        <v>203</v>
      </c>
      <c r="IAB14" s="314" t="s">
        <v>203</v>
      </c>
      <c r="IAC14" s="314" t="s">
        <v>203</v>
      </c>
      <c r="IAD14" s="314" t="s">
        <v>203</v>
      </c>
      <c r="IAE14" s="314" t="s">
        <v>203</v>
      </c>
      <c r="IAF14" s="314" t="s">
        <v>203</v>
      </c>
      <c r="IAG14" s="314" t="s">
        <v>203</v>
      </c>
      <c r="IAH14" s="314" t="s">
        <v>203</v>
      </c>
      <c r="IAI14" s="314" t="s">
        <v>203</v>
      </c>
      <c r="IAJ14" s="314" t="s">
        <v>203</v>
      </c>
      <c r="IAK14" s="314" t="s">
        <v>203</v>
      </c>
      <c r="IAL14" s="314" t="s">
        <v>203</v>
      </c>
      <c r="IAM14" s="314" t="s">
        <v>203</v>
      </c>
      <c r="IAN14" s="314" t="s">
        <v>203</v>
      </c>
      <c r="IAO14" s="314" t="s">
        <v>203</v>
      </c>
      <c r="IAP14" s="314" t="s">
        <v>203</v>
      </c>
      <c r="IAQ14" s="314" t="s">
        <v>203</v>
      </c>
      <c r="IAR14" s="314" t="s">
        <v>203</v>
      </c>
      <c r="IAS14" s="314" t="s">
        <v>203</v>
      </c>
      <c r="IAT14" s="314" t="s">
        <v>203</v>
      </c>
      <c r="IAU14" s="314" t="s">
        <v>203</v>
      </c>
      <c r="IAV14" s="314" t="s">
        <v>203</v>
      </c>
      <c r="IAW14" s="314" t="s">
        <v>203</v>
      </c>
      <c r="IAX14" s="314" t="s">
        <v>203</v>
      </c>
      <c r="IAY14" s="314" t="s">
        <v>203</v>
      </c>
      <c r="IAZ14" s="314" t="s">
        <v>203</v>
      </c>
      <c r="IBA14" s="314" t="s">
        <v>203</v>
      </c>
      <c r="IBB14" s="314" t="s">
        <v>203</v>
      </c>
      <c r="IBC14" s="314" t="s">
        <v>203</v>
      </c>
      <c r="IBD14" s="314" t="s">
        <v>203</v>
      </c>
      <c r="IBE14" s="314" t="s">
        <v>203</v>
      </c>
      <c r="IBF14" s="314" t="s">
        <v>203</v>
      </c>
      <c r="IBG14" s="314" t="s">
        <v>203</v>
      </c>
      <c r="IBH14" s="314" t="s">
        <v>203</v>
      </c>
      <c r="IBI14" s="314" t="s">
        <v>203</v>
      </c>
      <c r="IBJ14" s="314" t="s">
        <v>203</v>
      </c>
      <c r="IBK14" s="314" t="s">
        <v>203</v>
      </c>
      <c r="IBL14" s="314" t="s">
        <v>203</v>
      </c>
      <c r="IBM14" s="314" t="s">
        <v>203</v>
      </c>
      <c r="IBN14" s="314" t="s">
        <v>203</v>
      </c>
      <c r="IBO14" s="314" t="s">
        <v>203</v>
      </c>
      <c r="IBP14" s="314" t="s">
        <v>203</v>
      </c>
      <c r="IBQ14" s="314" t="s">
        <v>203</v>
      </c>
      <c r="IBR14" s="314" t="s">
        <v>203</v>
      </c>
      <c r="IBS14" s="314" t="s">
        <v>203</v>
      </c>
      <c r="IBT14" s="314" t="s">
        <v>203</v>
      </c>
      <c r="IBU14" s="314" t="s">
        <v>203</v>
      </c>
      <c r="IBV14" s="314" t="s">
        <v>203</v>
      </c>
      <c r="IBW14" s="314" t="s">
        <v>203</v>
      </c>
      <c r="IBX14" s="314" t="s">
        <v>203</v>
      </c>
      <c r="IBY14" s="314" t="s">
        <v>203</v>
      </c>
      <c r="IBZ14" s="314" t="s">
        <v>203</v>
      </c>
      <c r="ICA14" s="314" t="s">
        <v>203</v>
      </c>
      <c r="ICB14" s="314" t="s">
        <v>203</v>
      </c>
      <c r="ICC14" s="314" t="s">
        <v>203</v>
      </c>
      <c r="ICD14" s="314" t="s">
        <v>203</v>
      </c>
      <c r="ICE14" s="314" t="s">
        <v>203</v>
      </c>
      <c r="ICF14" s="314" t="s">
        <v>203</v>
      </c>
      <c r="ICG14" s="314" t="s">
        <v>203</v>
      </c>
      <c r="ICH14" s="314" t="s">
        <v>203</v>
      </c>
      <c r="ICI14" s="314" t="s">
        <v>203</v>
      </c>
      <c r="ICJ14" s="314" t="s">
        <v>203</v>
      </c>
      <c r="ICK14" s="314" t="s">
        <v>203</v>
      </c>
      <c r="ICL14" s="314" t="s">
        <v>203</v>
      </c>
      <c r="ICM14" s="314" t="s">
        <v>203</v>
      </c>
      <c r="ICN14" s="314" t="s">
        <v>203</v>
      </c>
      <c r="ICO14" s="314" t="s">
        <v>203</v>
      </c>
      <c r="ICP14" s="314" t="s">
        <v>203</v>
      </c>
      <c r="ICQ14" s="314" t="s">
        <v>203</v>
      </c>
      <c r="ICR14" s="314" t="s">
        <v>203</v>
      </c>
      <c r="ICS14" s="314" t="s">
        <v>203</v>
      </c>
      <c r="ICT14" s="314" t="s">
        <v>203</v>
      </c>
      <c r="ICU14" s="314" t="s">
        <v>203</v>
      </c>
      <c r="ICV14" s="314" t="s">
        <v>203</v>
      </c>
      <c r="ICW14" s="314" t="s">
        <v>203</v>
      </c>
      <c r="ICX14" s="314" t="s">
        <v>203</v>
      </c>
      <c r="ICY14" s="314" t="s">
        <v>203</v>
      </c>
      <c r="ICZ14" s="314" t="s">
        <v>203</v>
      </c>
      <c r="IDA14" s="314" t="s">
        <v>203</v>
      </c>
      <c r="IDB14" s="314" t="s">
        <v>203</v>
      </c>
      <c r="IDC14" s="314" t="s">
        <v>203</v>
      </c>
      <c r="IDD14" s="314" t="s">
        <v>203</v>
      </c>
      <c r="IDE14" s="314" t="s">
        <v>203</v>
      </c>
      <c r="IDF14" s="314" t="s">
        <v>203</v>
      </c>
      <c r="IDG14" s="314" t="s">
        <v>203</v>
      </c>
      <c r="IDH14" s="314" t="s">
        <v>203</v>
      </c>
      <c r="IDI14" s="314" t="s">
        <v>203</v>
      </c>
      <c r="IDJ14" s="314" t="s">
        <v>203</v>
      </c>
      <c r="IDK14" s="314" t="s">
        <v>203</v>
      </c>
      <c r="IDL14" s="314" t="s">
        <v>203</v>
      </c>
      <c r="IDM14" s="314" t="s">
        <v>203</v>
      </c>
      <c r="IDN14" s="314" t="s">
        <v>203</v>
      </c>
      <c r="IDO14" s="314" t="s">
        <v>203</v>
      </c>
      <c r="IDP14" s="314" t="s">
        <v>203</v>
      </c>
      <c r="IDQ14" s="314" t="s">
        <v>203</v>
      </c>
      <c r="IDR14" s="314" t="s">
        <v>203</v>
      </c>
      <c r="IDS14" s="314" t="s">
        <v>203</v>
      </c>
      <c r="IDT14" s="314" t="s">
        <v>203</v>
      </c>
      <c r="IDU14" s="314" t="s">
        <v>203</v>
      </c>
      <c r="IDV14" s="314" t="s">
        <v>203</v>
      </c>
      <c r="IDW14" s="314" t="s">
        <v>203</v>
      </c>
      <c r="IDX14" s="314" t="s">
        <v>203</v>
      </c>
      <c r="IDY14" s="314" t="s">
        <v>203</v>
      </c>
      <c r="IDZ14" s="314" t="s">
        <v>203</v>
      </c>
      <c r="IEA14" s="314" t="s">
        <v>203</v>
      </c>
      <c r="IEB14" s="314" t="s">
        <v>203</v>
      </c>
      <c r="IEC14" s="314" t="s">
        <v>203</v>
      </c>
      <c r="IED14" s="314" t="s">
        <v>203</v>
      </c>
      <c r="IEE14" s="314" t="s">
        <v>203</v>
      </c>
      <c r="IEF14" s="314" t="s">
        <v>203</v>
      </c>
      <c r="IEG14" s="314" t="s">
        <v>203</v>
      </c>
      <c r="IEH14" s="314" t="s">
        <v>203</v>
      </c>
      <c r="IEI14" s="314" t="s">
        <v>203</v>
      </c>
      <c r="IEJ14" s="314" t="s">
        <v>203</v>
      </c>
      <c r="IEK14" s="314" t="s">
        <v>203</v>
      </c>
      <c r="IEL14" s="314" t="s">
        <v>203</v>
      </c>
      <c r="IEM14" s="314" t="s">
        <v>203</v>
      </c>
      <c r="IEN14" s="314" t="s">
        <v>203</v>
      </c>
      <c r="IEO14" s="314" t="s">
        <v>203</v>
      </c>
      <c r="IEP14" s="314" t="s">
        <v>203</v>
      </c>
      <c r="IEQ14" s="314" t="s">
        <v>203</v>
      </c>
      <c r="IER14" s="314" t="s">
        <v>203</v>
      </c>
      <c r="IES14" s="314" t="s">
        <v>203</v>
      </c>
      <c r="IET14" s="314" t="s">
        <v>203</v>
      </c>
      <c r="IEU14" s="314" t="s">
        <v>203</v>
      </c>
      <c r="IEV14" s="314" t="s">
        <v>203</v>
      </c>
      <c r="IEW14" s="314" t="s">
        <v>203</v>
      </c>
      <c r="IEX14" s="314" t="s">
        <v>203</v>
      </c>
      <c r="IEY14" s="314" t="s">
        <v>203</v>
      </c>
      <c r="IEZ14" s="314" t="s">
        <v>203</v>
      </c>
      <c r="IFA14" s="314" t="s">
        <v>203</v>
      </c>
      <c r="IFB14" s="314" t="s">
        <v>203</v>
      </c>
      <c r="IFC14" s="314" t="s">
        <v>203</v>
      </c>
      <c r="IFD14" s="314" t="s">
        <v>203</v>
      </c>
      <c r="IFE14" s="314" t="s">
        <v>203</v>
      </c>
      <c r="IFF14" s="314" t="s">
        <v>203</v>
      </c>
      <c r="IFG14" s="314" t="s">
        <v>203</v>
      </c>
      <c r="IFH14" s="314" t="s">
        <v>203</v>
      </c>
      <c r="IFI14" s="314" t="s">
        <v>203</v>
      </c>
      <c r="IFJ14" s="314" t="s">
        <v>203</v>
      </c>
      <c r="IFK14" s="314" t="s">
        <v>203</v>
      </c>
      <c r="IFL14" s="314" t="s">
        <v>203</v>
      </c>
      <c r="IFM14" s="314" t="s">
        <v>203</v>
      </c>
      <c r="IFN14" s="314" t="s">
        <v>203</v>
      </c>
      <c r="IFO14" s="314" t="s">
        <v>203</v>
      </c>
      <c r="IFP14" s="314" t="s">
        <v>203</v>
      </c>
      <c r="IFQ14" s="314" t="s">
        <v>203</v>
      </c>
      <c r="IFR14" s="314" t="s">
        <v>203</v>
      </c>
      <c r="IFS14" s="314" t="s">
        <v>203</v>
      </c>
      <c r="IFT14" s="314" t="s">
        <v>203</v>
      </c>
      <c r="IFU14" s="314" t="s">
        <v>203</v>
      </c>
      <c r="IFV14" s="314" t="s">
        <v>203</v>
      </c>
      <c r="IFW14" s="314" t="s">
        <v>203</v>
      </c>
      <c r="IFX14" s="314" t="s">
        <v>203</v>
      </c>
      <c r="IFY14" s="314" t="s">
        <v>203</v>
      </c>
      <c r="IFZ14" s="314" t="s">
        <v>203</v>
      </c>
      <c r="IGA14" s="314" t="s">
        <v>203</v>
      </c>
      <c r="IGB14" s="314" t="s">
        <v>203</v>
      </c>
      <c r="IGC14" s="314" t="s">
        <v>203</v>
      </c>
      <c r="IGD14" s="314" t="s">
        <v>203</v>
      </c>
      <c r="IGE14" s="314" t="s">
        <v>203</v>
      </c>
      <c r="IGF14" s="314" t="s">
        <v>203</v>
      </c>
      <c r="IGG14" s="314" t="s">
        <v>203</v>
      </c>
      <c r="IGH14" s="314" t="s">
        <v>203</v>
      </c>
      <c r="IGI14" s="314" t="s">
        <v>203</v>
      </c>
      <c r="IGJ14" s="314" t="s">
        <v>203</v>
      </c>
      <c r="IGK14" s="314" t="s">
        <v>203</v>
      </c>
      <c r="IGL14" s="314" t="s">
        <v>203</v>
      </c>
      <c r="IGM14" s="314" t="s">
        <v>203</v>
      </c>
      <c r="IGN14" s="314" t="s">
        <v>203</v>
      </c>
      <c r="IGO14" s="314" t="s">
        <v>203</v>
      </c>
      <c r="IGP14" s="314" t="s">
        <v>203</v>
      </c>
      <c r="IGQ14" s="314" t="s">
        <v>203</v>
      </c>
      <c r="IGR14" s="314" t="s">
        <v>203</v>
      </c>
      <c r="IGS14" s="314" t="s">
        <v>203</v>
      </c>
      <c r="IGT14" s="314" t="s">
        <v>203</v>
      </c>
      <c r="IGU14" s="314" t="s">
        <v>203</v>
      </c>
      <c r="IGV14" s="314" t="s">
        <v>203</v>
      </c>
      <c r="IGW14" s="314" t="s">
        <v>203</v>
      </c>
      <c r="IGX14" s="314" t="s">
        <v>203</v>
      </c>
      <c r="IGY14" s="314" t="s">
        <v>203</v>
      </c>
      <c r="IGZ14" s="314" t="s">
        <v>203</v>
      </c>
      <c r="IHA14" s="314" t="s">
        <v>203</v>
      </c>
      <c r="IHB14" s="314" t="s">
        <v>203</v>
      </c>
      <c r="IHC14" s="314" t="s">
        <v>203</v>
      </c>
      <c r="IHD14" s="314" t="s">
        <v>203</v>
      </c>
      <c r="IHE14" s="314" t="s">
        <v>203</v>
      </c>
      <c r="IHF14" s="314" t="s">
        <v>203</v>
      </c>
      <c r="IHG14" s="314" t="s">
        <v>203</v>
      </c>
      <c r="IHH14" s="314" t="s">
        <v>203</v>
      </c>
      <c r="IHI14" s="314" t="s">
        <v>203</v>
      </c>
      <c r="IHJ14" s="314" t="s">
        <v>203</v>
      </c>
      <c r="IHK14" s="314" t="s">
        <v>203</v>
      </c>
      <c r="IHL14" s="314" t="s">
        <v>203</v>
      </c>
      <c r="IHM14" s="314" t="s">
        <v>203</v>
      </c>
      <c r="IHN14" s="314" t="s">
        <v>203</v>
      </c>
      <c r="IHO14" s="314" t="s">
        <v>203</v>
      </c>
      <c r="IHP14" s="314" t="s">
        <v>203</v>
      </c>
      <c r="IHQ14" s="314" t="s">
        <v>203</v>
      </c>
      <c r="IHR14" s="314" t="s">
        <v>203</v>
      </c>
      <c r="IHS14" s="314" t="s">
        <v>203</v>
      </c>
      <c r="IHT14" s="314" t="s">
        <v>203</v>
      </c>
      <c r="IHU14" s="314" t="s">
        <v>203</v>
      </c>
      <c r="IHV14" s="314" t="s">
        <v>203</v>
      </c>
      <c r="IHW14" s="314" t="s">
        <v>203</v>
      </c>
      <c r="IHX14" s="314" t="s">
        <v>203</v>
      </c>
      <c r="IHY14" s="314" t="s">
        <v>203</v>
      </c>
      <c r="IHZ14" s="314" t="s">
        <v>203</v>
      </c>
      <c r="IIA14" s="314" t="s">
        <v>203</v>
      </c>
      <c r="IIB14" s="314" t="s">
        <v>203</v>
      </c>
      <c r="IIC14" s="314" t="s">
        <v>203</v>
      </c>
      <c r="IID14" s="314" t="s">
        <v>203</v>
      </c>
      <c r="IIE14" s="314" t="s">
        <v>203</v>
      </c>
      <c r="IIF14" s="314" t="s">
        <v>203</v>
      </c>
      <c r="IIG14" s="314" t="s">
        <v>203</v>
      </c>
      <c r="IIH14" s="314" t="s">
        <v>203</v>
      </c>
      <c r="III14" s="314" t="s">
        <v>203</v>
      </c>
      <c r="IIJ14" s="314" t="s">
        <v>203</v>
      </c>
      <c r="IIK14" s="314" t="s">
        <v>203</v>
      </c>
      <c r="IIL14" s="314" t="s">
        <v>203</v>
      </c>
      <c r="IIM14" s="314" t="s">
        <v>203</v>
      </c>
      <c r="IIN14" s="314" t="s">
        <v>203</v>
      </c>
      <c r="IIO14" s="314" t="s">
        <v>203</v>
      </c>
      <c r="IIP14" s="314" t="s">
        <v>203</v>
      </c>
      <c r="IIQ14" s="314" t="s">
        <v>203</v>
      </c>
      <c r="IIR14" s="314" t="s">
        <v>203</v>
      </c>
      <c r="IIS14" s="314" t="s">
        <v>203</v>
      </c>
      <c r="IIT14" s="314" t="s">
        <v>203</v>
      </c>
      <c r="IIU14" s="314" t="s">
        <v>203</v>
      </c>
      <c r="IIV14" s="314" t="s">
        <v>203</v>
      </c>
      <c r="IIW14" s="314" t="s">
        <v>203</v>
      </c>
      <c r="IIX14" s="314" t="s">
        <v>203</v>
      </c>
      <c r="IIY14" s="314" t="s">
        <v>203</v>
      </c>
      <c r="IIZ14" s="314" t="s">
        <v>203</v>
      </c>
      <c r="IJA14" s="314" t="s">
        <v>203</v>
      </c>
      <c r="IJB14" s="314" t="s">
        <v>203</v>
      </c>
      <c r="IJC14" s="314" t="s">
        <v>203</v>
      </c>
      <c r="IJD14" s="314" t="s">
        <v>203</v>
      </c>
      <c r="IJE14" s="314" t="s">
        <v>203</v>
      </c>
      <c r="IJF14" s="314" t="s">
        <v>203</v>
      </c>
      <c r="IJG14" s="314" t="s">
        <v>203</v>
      </c>
      <c r="IJH14" s="314" t="s">
        <v>203</v>
      </c>
      <c r="IJI14" s="314" t="s">
        <v>203</v>
      </c>
      <c r="IJJ14" s="314" t="s">
        <v>203</v>
      </c>
      <c r="IJK14" s="314" t="s">
        <v>203</v>
      </c>
      <c r="IJL14" s="314" t="s">
        <v>203</v>
      </c>
      <c r="IJM14" s="314" t="s">
        <v>203</v>
      </c>
      <c r="IJN14" s="314" t="s">
        <v>203</v>
      </c>
      <c r="IJO14" s="314" t="s">
        <v>203</v>
      </c>
      <c r="IJP14" s="314" t="s">
        <v>203</v>
      </c>
      <c r="IJQ14" s="314" t="s">
        <v>203</v>
      </c>
      <c r="IJR14" s="314" t="s">
        <v>203</v>
      </c>
      <c r="IJS14" s="314" t="s">
        <v>203</v>
      </c>
      <c r="IJT14" s="314" t="s">
        <v>203</v>
      </c>
      <c r="IJU14" s="314" t="s">
        <v>203</v>
      </c>
      <c r="IJV14" s="314" t="s">
        <v>203</v>
      </c>
      <c r="IJW14" s="314" t="s">
        <v>203</v>
      </c>
      <c r="IJX14" s="314" t="s">
        <v>203</v>
      </c>
      <c r="IJY14" s="314" t="s">
        <v>203</v>
      </c>
      <c r="IJZ14" s="314" t="s">
        <v>203</v>
      </c>
      <c r="IKA14" s="314" t="s">
        <v>203</v>
      </c>
      <c r="IKB14" s="314" t="s">
        <v>203</v>
      </c>
      <c r="IKC14" s="314" t="s">
        <v>203</v>
      </c>
      <c r="IKD14" s="314" t="s">
        <v>203</v>
      </c>
      <c r="IKE14" s="314" t="s">
        <v>203</v>
      </c>
      <c r="IKF14" s="314" t="s">
        <v>203</v>
      </c>
      <c r="IKG14" s="314" t="s">
        <v>203</v>
      </c>
      <c r="IKH14" s="314" t="s">
        <v>203</v>
      </c>
      <c r="IKI14" s="314" t="s">
        <v>203</v>
      </c>
      <c r="IKJ14" s="314" t="s">
        <v>203</v>
      </c>
      <c r="IKK14" s="314" t="s">
        <v>203</v>
      </c>
      <c r="IKL14" s="314" t="s">
        <v>203</v>
      </c>
      <c r="IKM14" s="314" t="s">
        <v>203</v>
      </c>
      <c r="IKN14" s="314" t="s">
        <v>203</v>
      </c>
      <c r="IKO14" s="314" t="s">
        <v>203</v>
      </c>
      <c r="IKP14" s="314" t="s">
        <v>203</v>
      </c>
      <c r="IKQ14" s="314" t="s">
        <v>203</v>
      </c>
      <c r="IKR14" s="314" t="s">
        <v>203</v>
      </c>
      <c r="IKS14" s="314" t="s">
        <v>203</v>
      </c>
      <c r="IKT14" s="314" t="s">
        <v>203</v>
      </c>
      <c r="IKU14" s="314" t="s">
        <v>203</v>
      </c>
      <c r="IKV14" s="314" t="s">
        <v>203</v>
      </c>
      <c r="IKW14" s="314" t="s">
        <v>203</v>
      </c>
      <c r="IKX14" s="314" t="s">
        <v>203</v>
      </c>
      <c r="IKY14" s="314" t="s">
        <v>203</v>
      </c>
      <c r="IKZ14" s="314" t="s">
        <v>203</v>
      </c>
      <c r="ILA14" s="314" t="s">
        <v>203</v>
      </c>
      <c r="ILB14" s="314" t="s">
        <v>203</v>
      </c>
      <c r="ILC14" s="314" t="s">
        <v>203</v>
      </c>
      <c r="ILD14" s="314" t="s">
        <v>203</v>
      </c>
      <c r="ILE14" s="314" t="s">
        <v>203</v>
      </c>
      <c r="ILF14" s="314" t="s">
        <v>203</v>
      </c>
      <c r="ILG14" s="314" t="s">
        <v>203</v>
      </c>
      <c r="ILH14" s="314" t="s">
        <v>203</v>
      </c>
      <c r="ILI14" s="314" t="s">
        <v>203</v>
      </c>
      <c r="ILJ14" s="314" t="s">
        <v>203</v>
      </c>
      <c r="ILK14" s="314" t="s">
        <v>203</v>
      </c>
      <c r="ILL14" s="314" t="s">
        <v>203</v>
      </c>
      <c r="ILM14" s="314" t="s">
        <v>203</v>
      </c>
      <c r="ILN14" s="314" t="s">
        <v>203</v>
      </c>
      <c r="ILO14" s="314" t="s">
        <v>203</v>
      </c>
      <c r="ILP14" s="314" t="s">
        <v>203</v>
      </c>
      <c r="ILQ14" s="314" t="s">
        <v>203</v>
      </c>
      <c r="ILR14" s="314" t="s">
        <v>203</v>
      </c>
      <c r="ILS14" s="314" t="s">
        <v>203</v>
      </c>
      <c r="ILT14" s="314" t="s">
        <v>203</v>
      </c>
      <c r="ILU14" s="314" t="s">
        <v>203</v>
      </c>
      <c r="ILV14" s="314" t="s">
        <v>203</v>
      </c>
      <c r="ILW14" s="314" t="s">
        <v>203</v>
      </c>
      <c r="ILX14" s="314" t="s">
        <v>203</v>
      </c>
      <c r="ILY14" s="314" t="s">
        <v>203</v>
      </c>
      <c r="ILZ14" s="314" t="s">
        <v>203</v>
      </c>
      <c r="IMA14" s="314" t="s">
        <v>203</v>
      </c>
      <c r="IMB14" s="314" t="s">
        <v>203</v>
      </c>
      <c r="IMC14" s="314" t="s">
        <v>203</v>
      </c>
      <c r="IMD14" s="314" t="s">
        <v>203</v>
      </c>
      <c r="IME14" s="314" t="s">
        <v>203</v>
      </c>
      <c r="IMF14" s="314" t="s">
        <v>203</v>
      </c>
      <c r="IMG14" s="314" t="s">
        <v>203</v>
      </c>
      <c r="IMH14" s="314" t="s">
        <v>203</v>
      </c>
      <c r="IMI14" s="314" t="s">
        <v>203</v>
      </c>
      <c r="IMJ14" s="314" t="s">
        <v>203</v>
      </c>
      <c r="IMK14" s="314" t="s">
        <v>203</v>
      </c>
      <c r="IML14" s="314" t="s">
        <v>203</v>
      </c>
      <c r="IMM14" s="314" t="s">
        <v>203</v>
      </c>
      <c r="IMN14" s="314" t="s">
        <v>203</v>
      </c>
      <c r="IMO14" s="314" t="s">
        <v>203</v>
      </c>
      <c r="IMP14" s="314" t="s">
        <v>203</v>
      </c>
      <c r="IMQ14" s="314" t="s">
        <v>203</v>
      </c>
      <c r="IMR14" s="314" t="s">
        <v>203</v>
      </c>
      <c r="IMS14" s="314" t="s">
        <v>203</v>
      </c>
      <c r="IMT14" s="314" t="s">
        <v>203</v>
      </c>
      <c r="IMU14" s="314" t="s">
        <v>203</v>
      </c>
      <c r="IMV14" s="314" t="s">
        <v>203</v>
      </c>
      <c r="IMW14" s="314" t="s">
        <v>203</v>
      </c>
      <c r="IMX14" s="314" t="s">
        <v>203</v>
      </c>
      <c r="IMY14" s="314" t="s">
        <v>203</v>
      </c>
      <c r="IMZ14" s="314" t="s">
        <v>203</v>
      </c>
      <c r="INA14" s="314" t="s">
        <v>203</v>
      </c>
      <c r="INB14" s="314" t="s">
        <v>203</v>
      </c>
      <c r="INC14" s="314" t="s">
        <v>203</v>
      </c>
      <c r="IND14" s="314" t="s">
        <v>203</v>
      </c>
      <c r="INE14" s="314" t="s">
        <v>203</v>
      </c>
      <c r="INF14" s="314" t="s">
        <v>203</v>
      </c>
      <c r="ING14" s="314" t="s">
        <v>203</v>
      </c>
      <c r="INH14" s="314" t="s">
        <v>203</v>
      </c>
      <c r="INI14" s="314" t="s">
        <v>203</v>
      </c>
      <c r="INJ14" s="314" t="s">
        <v>203</v>
      </c>
      <c r="INK14" s="314" t="s">
        <v>203</v>
      </c>
      <c r="INL14" s="314" t="s">
        <v>203</v>
      </c>
      <c r="INM14" s="314" t="s">
        <v>203</v>
      </c>
      <c r="INN14" s="314" t="s">
        <v>203</v>
      </c>
      <c r="INO14" s="314" t="s">
        <v>203</v>
      </c>
      <c r="INP14" s="314" t="s">
        <v>203</v>
      </c>
      <c r="INQ14" s="314" t="s">
        <v>203</v>
      </c>
      <c r="INR14" s="314" t="s">
        <v>203</v>
      </c>
      <c r="INS14" s="314" t="s">
        <v>203</v>
      </c>
      <c r="INT14" s="314" t="s">
        <v>203</v>
      </c>
      <c r="INU14" s="314" t="s">
        <v>203</v>
      </c>
      <c r="INV14" s="314" t="s">
        <v>203</v>
      </c>
      <c r="INW14" s="314" t="s">
        <v>203</v>
      </c>
      <c r="INX14" s="314" t="s">
        <v>203</v>
      </c>
      <c r="INY14" s="314" t="s">
        <v>203</v>
      </c>
      <c r="INZ14" s="314" t="s">
        <v>203</v>
      </c>
      <c r="IOA14" s="314" t="s">
        <v>203</v>
      </c>
      <c r="IOB14" s="314" t="s">
        <v>203</v>
      </c>
      <c r="IOC14" s="314" t="s">
        <v>203</v>
      </c>
      <c r="IOD14" s="314" t="s">
        <v>203</v>
      </c>
      <c r="IOE14" s="314" t="s">
        <v>203</v>
      </c>
      <c r="IOF14" s="314" t="s">
        <v>203</v>
      </c>
      <c r="IOG14" s="314" t="s">
        <v>203</v>
      </c>
      <c r="IOH14" s="314" t="s">
        <v>203</v>
      </c>
      <c r="IOI14" s="314" t="s">
        <v>203</v>
      </c>
      <c r="IOJ14" s="314" t="s">
        <v>203</v>
      </c>
      <c r="IOK14" s="314" t="s">
        <v>203</v>
      </c>
      <c r="IOL14" s="314" t="s">
        <v>203</v>
      </c>
      <c r="IOM14" s="314" t="s">
        <v>203</v>
      </c>
      <c r="ION14" s="314" t="s">
        <v>203</v>
      </c>
      <c r="IOO14" s="314" t="s">
        <v>203</v>
      </c>
      <c r="IOP14" s="314" t="s">
        <v>203</v>
      </c>
      <c r="IOQ14" s="314" t="s">
        <v>203</v>
      </c>
      <c r="IOR14" s="314" t="s">
        <v>203</v>
      </c>
      <c r="IOS14" s="314" t="s">
        <v>203</v>
      </c>
      <c r="IOT14" s="314" t="s">
        <v>203</v>
      </c>
      <c r="IOU14" s="314" t="s">
        <v>203</v>
      </c>
      <c r="IOV14" s="314" t="s">
        <v>203</v>
      </c>
      <c r="IOW14" s="314" t="s">
        <v>203</v>
      </c>
      <c r="IOX14" s="314" t="s">
        <v>203</v>
      </c>
      <c r="IOY14" s="314" t="s">
        <v>203</v>
      </c>
      <c r="IOZ14" s="314" t="s">
        <v>203</v>
      </c>
      <c r="IPA14" s="314" t="s">
        <v>203</v>
      </c>
      <c r="IPB14" s="314" t="s">
        <v>203</v>
      </c>
      <c r="IPC14" s="314" t="s">
        <v>203</v>
      </c>
      <c r="IPD14" s="314" t="s">
        <v>203</v>
      </c>
      <c r="IPE14" s="314" t="s">
        <v>203</v>
      </c>
      <c r="IPF14" s="314" t="s">
        <v>203</v>
      </c>
      <c r="IPG14" s="314" t="s">
        <v>203</v>
      </c>
      <c r="IPH14" s="314" t="s">
        <v>203</v>
      </c>
      <c r="IPI14" s="314" t="s">
        <v>203</v>
      </c>
      <c r="IPJ14" s="314" t="s">
        <v>203</v>
      </c>
      <c r="IPK14" s="314" t="s">
        <v>203</v>
      </c>
      <c r="IPL14" s="314" t="s">
        <v>203</v>
      </c>
      <c r="IPM14" s="314" t="s">
        <v>203</v>
      </c>
      <c r="IPN14" s="314" t="s">
        <v>203</v>
      </c>
      <c r="IPO14" s="314" t="s">
        <v>203</v>
      </c>
      <c r="IPP14" s="314" t="s">
        <v>203</v>
      </c>
      <c r="IPQ14" s="314" t="s">
        <v>203</v>
      </c>
      <c r="IPR14" s="314" t="s">
        <v>203</v>
      </c>
      <c r="IPS14" s="314" t="s">
        <v>203</v>
      </c>
      <c r="IPT14" s="314" t="s">
        <v>203</v>
      </c>
      <c r="IPU14" s="314" t="s">
        <v>203</v>
      </c>
      <c r="IPV14" s="314" t="s">
        <v>203</v>
      </c>
      <c r="IPW14" s="314" t="s">
        <v>203</v>
      </c>
      <c r="IPX14" s="314" t="s">
        <v>203</v>
      </c>
      <c r="IPY14" s="314" t="s">
        <v>203</v>
      </c>
      <c r="IPZ14" s="314" t="s">
        <v>203</v>
      </c>
      <c r="IQA14" s="314" t="s">
        <v>203</v>
      </c>
      <c r="IQB14" s="314" t="s">
        <v>203</v>
      </c>
      <c r="IQC14" s="314" t="s">
        <v>203</v>
      </c>
      <c r="IQD14" s="314" t="s">
        <v>203</v>
      </c>
      <c r="IQE14" s="314" t="s">
        <v>203</v>
      </c>
      <c r="IQF14" s="314" t="s">
        <v>203</v>
      </c>
      <c r="IQG14" s="314" t="s">
        <v>203</v>
      </c>
      <c r="IQH14" s="314" t="s">
        <v>203</v>
      </c>
      <c r="IQI14" s="314" t="s">
        <v>203</v>
      </c>
      <c r="IQJ14" s="314" t="s">
        <v>203</v>
      </c>
      <c r="IQK14" s="314" t="s">
        <v>203</v>
      </c>
      <c r="IQL14" s="314" t="s">
        <v>203</v>
      </c>
      <c r="IQM14" s="314" t="s">
        <v>203</v>
      </c>
      <c r="IQN14" s="314" t="s">
        <v>203</v>
      </c>
      <c r="IQO14" s="314" t="s">
        <v>203</v>
      </c>
      <c r="IQP14" s="314" t="s">
        <v>203</v>
      </c>
      <c r="IQQ14" s="314" t="s">
        <v>203</v>
      </c>
      <c r="IQR14" s="314" t="s">
        <v>203</v>
      </c>
      <c r="IQS14" s="314" t="s">
        <v>203</v>
      </c>
      <c r="IQT14" s="314" t="s">
        <v>203</v>
      </c>
      <c r="IQU14" s="314" t="s">
        <v>203</v>
      </c>
      <c r="IQV14" s="314" t="s">
        <v>203</v>
      </c>
      <c r="IQW14" s="314" t="s">
        <v>203</v>
      </c>
      <c r="IQX14" s="314" t="s">
        <v>203</v>
      </c>
      <c r="IQY14" s="314" t="s">
        <v>203</v>
      </c>
      <c r="IQZ14" s="314" t="s">
        <v>203</v>
      </c>
      <c r="IRA14" s="314" t="s">
        <v>203</v>
      </c>
      <c r="IRB14" s="314" t="s">
        <v>203</v>
      </c>
      <c r="IRC14" s="314" t="s">
        <v>203</v>
      </c>
      <c r="IRD14" s="314" t="s">
        <v>203</v>
      </c>
      <c r="IRE14" s="314" t="s">
        <v>203</v>
      </c>
      <c r="IRF14" s="314" t="s">
        <v>203</v>
      </c>
      <c r="IRG14" s="314" t="s">
        <v>203</v>
      </c>
      <c r="IRH14" s="314" t="s">
        <v>203</v>
      </c>
      <c r="IRI14" s="314" t="s">
        <v>203</v>
      </c>
      <c r="IRJ14" s="314" t="s">
        <v>203</v>
      </c>
      <c r="IRK14" s="314" t="s">
        <v>203</v>
      </c>
      <c r="IRL14" s="314" t="s">
        <v>203</v>
      </c>
      <c r="IRM14" s="314" t="s">
        <v>203</v>
      </c>
      <c r="IRN14" s="314" t="s">
        <v>203</v>
      </c>
      <c r="IRO14" s="314" t="s">
        <v>203</v>
      </c>
      <c r="IRP14" s="314" t="s">
        <v>203</v>
      </c>
      <c r="IRQ14" s="314" t="s">
        <v>203</v>
      </c>
      <c r="IRR14" s="314" t="s">
        <v>203</v>
      </c>
      <c r="IRS14" s="314" t="s">
        <v>203</v>
      </c>
      <c r="IRT14" s="314" t="s">
        <v>203</v>
      </c>
      <c r="IRU14" s="314" t="s">
        <v>203</v>
      </c>
      <c r="IRV14" s="314" t="s">
        <v>203</v>
      </c>
      <c r="IRW14" s="314" t="s">
        <v>203</v>
      </c>
      <c r="IRX14" s="314" t="s">
        <v>203</v>
      </c>
      <c r="IRY14" s="314" t="s">
        <v>203</v>
      </c>
      <c r="IRZ14" s="314" t="s">
        <v>203</v>
      </c>
      <c r="ISA14" s="314" t="s">
        <v>203</v>
      </c>
      <c r="ISB14" s="314" t="s">
        <v>203</v>
      </c>
      <c r="ISC14" s="314" t="s">
        <v>203</v>
      </c>
      <c r="ISD14" s="314" t="s">
        <v>203</v>
      </c>
      <c r="ISE14" s="314" t="s">
        <v>203</v>
      </c>
      <c r="ISF14" s="314" t="s">
        <v>203</v>
      </c>
      <c r="ISG14" s="314" t="s">
        <v>203</v>
      </c>
      <c r="ISH14" s="314" t="s">
        <v>203</v>
      </c>
      <c r="ISI14" s="314" t="s">
        <v>203</v>
      </c>
      <c r="ISJ14" s="314" t="s">
        <v>203</v>
      </c>
      <c r="ISK14" s="314" t="s">
        <v>203</v>
      </c>
      <c r="ISL14" s="314" t="s">
        <v>203</v>
      </c>
      <c r="ISM14" s="314" t="s">
        <v>203</v>
      </c>
      <c r="ISN14" s="314" t="s">
        <v>203</v>
      </c>
      <c r="ISO14" s="314" t="s">
        <v>203</v>
      </c>
      <c r="ISP14" s="314" t="s">
        <v>203</v>
      </c>
      <c r="ISQ14" s="314" t="s">
        <v>203</v>
      </c>
      <c r="ISR14" s="314" t="s">
        <v>203</v>
      </c>
      <c r="ISS14" s="314" t="s">
        <v>203</v>
      </c>
      <c r="IST14" s="314" t="s">
        <v>203</v>
      </c>
      <c r="ISU14" s="314" t="s">
        <v>203</v>
      </c>
      <c r="ISV14" s="314" t="s">
        <v>203</v>
      </c>
      <c r="ISW14" s="314" t="s">
        <v>203</v>
      </c>
      <c r="ISX14" s="314" t="s">
        <v>203</v>
      </c>
      <c r="ISY14" s="314" t="s">
        <v>203</v>
      </c>
      <c r="ISZ14" s="314" t="s">
        <v>203</v>
      </c>
      <c r="ITA14" s="314" t="s">
        <v>203</v>
      </c>
      <c r="ITB14" s="314" t="s">
        <v>203</v>
      </c>
      <c r="ITC14" s="314" t="s">
        <v>203</v>
      </c>
      <c r="ITD14" s="314" t="s">
        <v>203</v>
      </c>
      <c r="ITE14" s="314" t="s">
        <v>203</v>
      </c>
      <c r="ITF14" s="314" t="s">
        <v>203</v>
      </c>
      <c r="ITG14" s="314" t="s">
        <v>203</v>
      </c>
      <c r="ITH14" s="314" t="s">
        <v>203</v>
      </c>
      <c r="ITI14" s="314" t="s">
        <v>203</v>
      </c>
      <c r="ITJ14" s="314" t="s">
        <v>203</v>
      </c>
      <c r="ITK14" s="314" t="s">
        <v>203</v>
      </c>
      <c r="ITL14" s="314" t="s">
        <v>203</v>
      </c>
      <c r="ITM14" s="314" t="s">
        <v>203</v>
      </c>
      <c r="ITN14" s="314" t="s">
        <v>203</v>
      </c>
      <c r="ITO14" s="314" t="s">
        <v>203</v>
      </c>
      <c r="ITP14" s="314" t="s">
        <v>203</v>
      </c>
      <c r="ITQ14" s="314" t="s">
        <v>203</v>
      </c>
      <c r="ITR14" s="314" t="s">
        <v>203</v>
      </c>
      <c r="ITS14" s="314" t="s">
        <v>203</v>
      </c>
      <c r="ITT14" s="314" t="s">
        <v>203</v>
      </c>
      <c r="ITU14" s="314" t="s">
        <v>203</v>
      </c>
      <c r="ITV14" s="314" t="s">
        <v>203</v>
      </c>
      <c r="ITW14" s="314" t="s">
        <v>203</v>
      </c>
      <c r="ITX14" s="314" t="s">
        <v>203</v>
      </c>
      <c r="ITY14" s="314" t="s">
        <v>203</v>
      </c>
      <c r="ITZ14" s="314" t="s">
        <v>203</v>
      </c>
      <c r="IUA14" s="314" t="s">
        <v>203</v>
      </c>
      <c r="IUB14" s="314" t="s">
        <v>203</v>
      </c>
      <c r="IUC14" s="314" t="s">
        <v>203</v>
      </c>
      <c r="IUD14" s="314" t="s">
        <v>203</v>
      </c>
      <c r="IUE14" s="314" t="s">
        <v>203</v>
      </c>
      <c r="IUF14" s="314" t="s">
        <v>203</v>
      </c>
      <c r="IUG14" s="314" t="s">
        <v>203</v>
      </c>
      <c r="IUH14" s="314" t="s">
        <v>203</v>
      </c>
      <c r="IUI14" s="314" t="s">
        <v>203</v>
      </c>
      <c r="IUJ14" s="314" t="s">
        <v>203</v>
      </c>
      <c r="IUK14" s="314" t="s">
        <v>203</v>
      </c>
      <c r="IUL14" s="314" t="s">
        <v>203</v>
      </c>
      <c r="IUM14" s="314" t="s">
        <v>203</v>
      </c>
      <c r="IUN14" s="314" t="s">
        <v>203</v>
      </c>
      <c r="IUO14" s="314" t="s">
        <v>203</v>
      </c>
      <c r="IUP14" s="314" t="s">
        <v>203</v>
      </c>
      <c r="IUQ14" s="314" t="s">
        <v>203</v>
      </c>
      <c r="IUR14" s="314" t="s">
        <v>203</v>
      </c>
      <c r="IUS14" s="314" t="s">
        <v>203</v>
      </c>
      <c r="IUT14" s="314" t="s">
        <v>203</v>
      </c>
      <c r="IUU14" s="314" t="s">
        <v>203</v>
      </c>
      <c r="IUV14" s="314" t="s">
        <v>203</v>
      </c>
      <c r="IUW14" s="314" t="s">
        <v>203</v>
      </c>
      <c r="IUX14" s="314" t="s">
        <v>203</v>
      </c>
      <c r="IUY14" s="314" t="s">
        <v>203</v>
      </c>
      <c r="IUZ14" s="314" t="s">
        <v>203</v>
      </c>
      <c r="IVA14" s="314" t="s">
        <v>203</v>
      </c>
      <c r="IVB14" s="314" t="s">
        <v>203</v>
      </c>
      <c r="IVC14" s="314" t="s">
        <v>203</v>
      </c>
      <c r="IVD14" s="314" t="s">
        <v>203</v>
      </c>
      <c r="IVE14" s="314" t="s">
        <v>203</v>
      </c>
      <c r="IVF14" s="314" t="s">
        <v>203</v>
      </c>
      <c r="IVG14" s="314" t="s">
        <v>203</v>
      </c>
      <c r="IVH14" s="314" t="s">
        <v>203</v>
      </c>
      <c r="IVI14" s="314" t="s">
        <v>203</v>
      </c>
      <c r="IVJ14" s="314" t="s">
        <v>203</v>
      </c>
      <c r="IVK14" s="314" t="s">
        <v>203</v>
      </c>
      <c r="IVL14" s="314" t="s">
        <v>203</v>
      </c>
      <c r="IVM14" s="314" t="s">
        <v>203</v>
      </c>
      <c r="IVN14" s="314" t="s">
        <v>203</v>
      </c>
      <c r="IVO14" s="314" t="s">
        <v>203</v>
      </c>
      <c r="IVP14" s="314" t="s">
        <v>203</v>
      </c>
      <c r="IVQ14" s="314" t="s">
        <v>203</v>
      </c>
      <c r="IVR14" s="314" t="s">
        <v>203</v>
      </c>
      <c r="IVS14" s="314" t="s">
        <v>203</v>
      </c>
      <c r="IVT14" s="314" t="s">
        <v>203</v>
      </c>
      <c r="IVU14" s="314" t="s">
        <v>203</v>
      </c>
      <c r="IVV14" s="314" t="s">
        <v>203</v>
      </c>
      <c r="IVW14" s="314" t="s">
        <v>203</v>
      </c>
      <c r="IVX14" s="314" t="s">
        <v>203</v>
      </c>
      <c r="IVY14" s="314" t="s">
        <v>203</v>
      </c>
      <c r="IVZ14" s="314" t="s">
        <v>203</v>
      </c>
      <c r="IWA14" s="314" t="s">
        <v>203</v>
      </c>
      <c r="IWB14" s="314" t="s">
        <v>203</v>
      </c>
      <c r="IWC14" s="314" t="s">
        <v>203</v>
      </c>
      <c r="IWD14" s="314" t="s">
        <v>203</v>
      </c>
      <c r="IWE14" s="314" t="s">
        <v>203</v>
      </c>
      <c r="IWF14" s="314" t="s">
        <v>203</v>
      </c>
      <c r="IWG14" s="314" t="s">
        <v>203</v>
      </c>
      <c r="IWH14" s="314" t="s">
        <v>203</v>
      </c>
      <c r="IWI14" s="314" t="s">
        <v>203</v>
      </c>
      <c r="IWJ14" s="314" t="s">
        <v>203</v>
      </c>
      <c r="IWK14" s="314" t="s">
        <v>203</v>
      </c>
      <c r="IWL14" s="314" t="s">
        <v>203</v>
      </c>
      <c r="IWM14" s="314" t="s">
        <v>203</v>
      </c>
      <c r="IWN14" s="314" t="s">
        <v>203</v>
      </c>
      <c r="IWO14" s="314" t="s">
        <v>203</v>
      </c>
      <c r="IWP14" s="314" t="s">
        <v>203</v>
      </c>
      <c r="IWQ14" s="314" t="s">
        <v>203</v>
      </c>
      <c r="IWR14" s="314" t="s">
        <v>203</v>
      </c>
      <c r="IWS14" s="314" t="s">
        <v>203</v>
      </c>
      <c r="IWT14" s="314" t="s">
        <v>203</v>
      </c>
      <c r="IWU14" s="314" t="s">
        <v>203</v>
      </c>
      <c r="IWV14" s="314" t="s">
        <v>203</v>
      </c>
      <c r="IWW14" s="314" t="s">
        <v>203</v>
      </c>
      <c r="IWX14" s="314" t="s">
        <v>203</v>
      </c>
      <c r="IWY14" s="314" t="s">
        <v>203</v>
      </c>
      <c r="IWZ14" s="314" t="s">
        <v>203</v>
      </c>
      <c r="IXA14" s="314" t="s">
        <v>203</v>
      </c>
      <c r="IXB14" s="314" t="s">
        <v>203</v>
      </c>
      <c r="IXC14" s="314" t="s">
        <v>203</v>
      </c>
      <c r="IXD14" s="314" t="s">
        <v>203</v>
      </c>
      <c r="IXE14" s="314" t="s">
        <v>203</v>
      </c>
      <c r="IXF14" s="314" t="s">
        <v>203</v>
      </c>
      <c r="IXG14" s="314" t="s">
        <v>203</v>
      </c>
      <c r="IXH14" s="314" t="s">
        <v>203</v>
      </c>
      <c r="IXI14" s="314" t="s">
        <v>203</v>
      </c>
      <c r="IXJ14" s="314" t="s">
        <v>203</v>
      </c>
      <c r="IXK14" s="314" t="s">
        <v>203</v>
      </c>
      <c r="IXL14" s="314" t="s">
        <v>203</v>
      </c>
      <c r="IXM14" s="314" t="s">
        <v>203</v>
      </c>
      <c r="IXN14" s="314" t="s">
        <v>203</v>
      </c>
      <c r="IXO14" s="314" t="s">
        <v>203</v>
      </c>
      <c r="IXP14" s="314" t="s">
        <v>203</v>
      </c>
      <c r="IXQ14" s="314" t="s">
        <v>203</v>
      </c>
      <c r="IXR14" s="314" t="s">
        <v>203</v>
      </c>
      <c r="IXS14" s="314" t="s">
        <v>203</v>
      </c>
      <c r="IXT14" s="314" t="s">
        <v>203</v>
      </c>
      <c r="IXU14" s="314" t="s">
        <v>203</v>
      </c>
      <c r="IXV14" s="314" t="s">
        <v>203</v>
      </c>
      <c r="IXW14" s="314" t="s">
        <v>203</v>
      </c>
      <c r="IXX14" s="314" t="s">
        <v>203</v>
      </c>
      <c r="IXY14" s="314" t="s">
        <v>203</v>
      </c>
      <c r="IXZ14" s="314" t="s">
        <v>203</v>
      </c>
      <c r="IYA14" s="314" t="s">
        <v>203</v>
      </c>
      <c r="IYB14" s="314" t="s">
        <v>203</v>
      </c>
      <c r="IYC14" s="314" t="s">
        <v>203</v>
      </c>
      <c r="IYD14" s="314" t="s">
        <v>203</v>
      </c>
      <c r="IYE14" s="314" t="s">
        <v>203</v>
      </c>
      <c r="IYF14" s="314" t="s">
        <v>203</v>
      </c>
      <c r="IYG14" s="314" t="s">
        <v>203</v>
      </c>
      <c r="IYH14" s="314" t="s">
        <v>203</v>
      </c>
      <c r="IYI14" s="314" t="s">
        <v>203</v>
      </c>
      <c r="IYJ14" s="314" t="s">
        <v>203</v>
      </c>
      <c r="IYK14" s="314" t="s">
        <v>203</v>
      </c>
      <c r="IYL14" s="314" t="s">
        <v>203</v>
      </c>
      <c r="IYM14" s="314" t="s">
        <v>203</v>
      </c>
      <c r="IYN14" s="314" t="s">
        <v>203</v>
      </c>
      <c r="IYO14" s="314" t="s">
        <v>203</v>
      </c>
      <c r="IYP14" s="314" t="s">
        <v>203</v>
      </c>
      <c r="IYQ14" s="314" t="s">
        <v>203</v>
      </c>
      <c r="IYR14" s="314" t="s">
        <v>203</v>
      </c>
      <c r="IYS14" s="314" t="s">
        <v>203</v>
      </c>
      <c r="IYT14" s="314" t="s">
        <v>203</v>
      </c>
      <c r="IYU14" s="314" t="s">
        <v>203</v>
      </c>
      <c r="IYV14" s="314" t="s">
        <v>203</v>
      </c>
      <c r="IYW14" s="314" t="s">
        <v>203</v>
      </c>
      <c r="IYX14" s="314" t="s">
        <v>203</v>
      </c>
      <c r="IYY14" s="314" t="s">
        <v>203</v>
      </c>
      <c r="IYZ14" s="314" t="s">
        <v>203</v>
      </c>
      <c r="IZA14" s="314" t="s">
        <v>203</v>
      </c>
      <c r="IZB14" s="314" t="s">
        <v>203</v>
      </c>
      <c r="IZC14" s="314" t="s">
        <v>203</v>
      </c>
      <c r="IZD14" s="314" t="s">
        <v>203</v>
      </c>
      <c r="IZE14" s="314" t="s">
        <v>203</v>
      </c>
      <c r="IZF14" s="314" t="s">
        <v>203</v>
      </c>
      <c r="IZG14" s="314" t="s">
        <v>203</v>
      </c>
      <c r="IZH14" s="314" t="s">
        <v>203</v>
      </c>
      <c r="IZI14" s="314" t="s">
        <v>203</v>
      </c>
      <c r="IZJ14" s="314" t="s">
        <v>203</v>
      </c>
      <c r="IZK14" s="314" t="s">
        <v>203</v>
      </c>
      <c r="IZL14" s="314" t="s">
        <v>203</v>
      </c>
      <c r="IZM14" s="314" t="s">
        <v>203</v>
      </c>
      <c r="IZN14" s="314" t="s">
        <v>203</v>
      </c>
      <c r="IZO14" s="314" t="s">
        <v>203</v>
      </c>
      <c r="IZP14" s="314" t="s">
        <v>203</v>
      </c>
      <c r="IZQ14" s="314" t="s">
        <v>203</v>
      </c>
      <c r="IZR14" s="314" t="s">
        <v>203</v>
      </c>
      <c r="IZS14" s="314" t="s">
        <v>203</v>
      </c>
      <c r="IZT14" s="314" t="s">
        <v>203</v>
      </c>
      <c r="IZU14" s="314" t="s">
        <v>203</v>
      </c>
      <c r="IZV14" s="314" t="s">
        <v>203</v>
      </c>
      <c r="IZW14" s="314" t="s">
        <v>203</v>
      </c>
      <c r="IZX14" s="314" t="s">
        <v>203</v>
      </c>
      <c r="IZY14" s="314" t="s">
        <v>203</v>
      </c>
      <c r="IZZ14" s="314" t="s">
        <v>203</v>
      </c>
      <c r="JAA14" s="314" t="s">
        <v>203</v>
      </c>
      <c r="JAB14" s="314" t="s">
        <v>203</v>
      </c>
      <c r="JAC14" s="314" t="s">
        <v>203</v>
      </c>
      <c r="JAD14" s="314" t="s">
        <v>203</v>
      </c>
      <c r="JAE14" s="314" t="s">
        <v>203</v>
      </c>
      <c r="JAF14" s="314" t="s">
        <v>203</v>
      </c>
      <c r="JAG14" s="314" t="s">
        <v>203</v>
      </c>
      <c r="JAH14" s="314" t="s">
        <v>203</v>
      </c>
      <c r="JAI14" s="314" t="s">
        <v>203</v>
      </c>
      <c r="JAJ14" s="314" t="s">
        <v>203</v>
      </c>
      <c r="JAK14" s="314" t="s">
        <v>203</v>
      </c>
      <c r="JAL14" s="314" t="s">
        <v>203</v>
      </c>
      <c r="JAM14" s="314" t="s">
        <v>203</v>
      </c>
      <c r="JAN14" s="314" t="s">
        <v>203</v>
      </c>
      <c r="JAO14" s="314" t="s">
        <v>203</v>
      </c>
      <c r="JAP14" s="314" t="s">
        <v>203</v>
      </c>
      <c r="JAQ14" s="314" t="s">
        <v>203</v>
      </c>
      <c r="JAR14" s="314" t="s">
        <v>203</v>
      </c>
      <c r="JAS14" s="314" t="s">
        <v>203</v>
      </c>
      <c r="JAT14" s="314" t="s">
        <v>203</v>
      </c>
      <c r="JAU14" s="314" t="s">
        <v>203</v>
      </c>
      <c r="JAV14" s="314" t="s">
        <v>203</v>
      </c>
      <c r="JAW14" s="314" t="s">
        <v>203</v>
      </c>
      <c r="JAX14" s="314" t="s">
        <v>203</v>
      </c>
      <c r="JAY14" s="314" t="s">
        <v>203</v>
      </c>
      <c r="JAZ14" s="314" t="s">
        <v>203</v>
      </c>
      <c r="JBA14" s="314" t="s">
        <v>203</v>
      </c>
      <c r="JBB14" s="314" t="s">
        <v>203</v>
      </c>
      <c r="JBC14" s="314" t="s">
        <v>203</v>
      </c>
      <c r="JBD14" s="314" t="s">
        <v>203</v>
      </c>
      <c r="JBE14" s="314" t="s">
        <v>203</v>
      </c>
      <c r="JBF14" s="314" t="s">
        <v>203</v>
      </c>
      <c r="JBG14" s="314" t="s">
        <v>203</v>
      </c>
      <c r="JBH14" s="314" t="s">
        <v>203</v>
      </c>
      <c r="JBI14" s="314" t="s">
        <v>203</v>
      </c>
      <c r="JBJ14" s="314" t="s">
        <v>203</v>
      </c>
      <c r="JBK14" s="314" t="s">
        <v>203</v>
      </c>
      <c r="JBL14" s="314" t="s">
        <v>203</v>
      </c>
      <c r="JBM14" s="314" t="s">
        <v>203</v>
      </c>
      <c r="JBN14" s="314" t="s">
        <v>203</v>
      </c>
      <c r="JBO14" s="314" t="s">
        <v>203</v>
      </c>
      <c r="JBP14" s="314" t="s">
        <v>203</v>
      </c>
      <c r="JBQ14" s="314" t="s">
        <v>203</v>
      </c>
      <c r="JBR14" s="314" t="s">
        <v>203</v>
      </c>
      <c r="JBS14" s="314" t="s">
        <v>203</v>
      </c>
      <c r="JBT14" s="314" t="s">
        <v>203</v>
      </c>
      <c r="JBU14" s="314" t="s">
        <v>203</v>
      </c>
      <c r="JBV14" s="314" t="s">
        <v>203</v>
      </c>
      <c r="JBW14" s="314" t="s">
        <v>203</v>
      </c>
      <c r="JBX14" s="314" t="s">
        <v>203</v>
      </c>
      <c r="JBY14" s="314" t="s">
        <v>203</v>
      </c>
      <c r="JBZ14" s="314" t="s">
        <v>203</v>
      </c>
      <c r="JCA14" s="314" t="s">
        <v>203</v>
      </c>
      <c r="JCB14" s="314" t="s">
        <v>203</v>
      </c>
      <c r="JCC14" s="314" t="s">
        <v>203</v>
      </c>
      <c r="JCD14" s="314" t="s">
        <v>203</v>
      </c>
      <c r="JCE14" s="314" t="s">
        <v>203</v>
      </c>
      <c r="JCF14" s="314" t="s">
        <v>203</v>
      </c>
      <c r="JCG14" s="314" t="s">
        <v>203</v>
      </c>
      <c r="JCH14" s="314" t="s">
        <v>203</v>
      </c>
      <c r="JCI14" s="314" t="s">
        <v>203</v>
      </c>
      <c r="JCJ14" s="314" t="s">
        <v>203</v>
      </c>
      <c r="JCK14" s="314" t="s">
        <v>203</v>
      </c>
      <c r="JCL14" s="314" t="s">
        <v>203</v>
      </c>
      <c r="JCM14" s="314" t="s">
        <v>203</v>
      </c>
      <c r="JCN14" s="314" t="s">
        <v>203</v>
      </c>
      <c r="JCO14" s="314" t="s">
        <v>203</v>
      </c>
      <c r="JCP14" s="314" t="s">
        <v>203</v>
      </c>
      <c r="JCQ14" s="314" t="s">
        <v>203</v>
      </c>
      <c r="JCR14" s="314" t="s">
        <v>203</v>
      </c>
      <c r="JCS14" s="314" t="s">
        <v>203</v>
      </c>
      <c r="JCT14" s="314" t="s">
        <v>203</v>
      </c>
      <c r="JCU14" s="314" t="s">
        <v>203</v>
      </c>
      <c r="JCV14" s="314" t="s">
        <v>203</v>
      </c>
      <c r="JCW14" s="314" t="s">
        <v>203</v>
      </c>
      <c r="JCX14" s="314" t="s">
        <v>203</v>
      </c>
      <c r="JCY14" s="314" t="s">
        <v>203</v>
      </c>
      <c r="JCZ14" s="314" t="s">
        <v>203</v>
      </c>
      <c r="JDA14" s="314" t="s">
        <v>203</v>
      </c>
      <c r="JDB14" s="314" t="s">
        <v>203</v>
      </c>
      <c r="JDC14" s="314" t="s">
        <v>203</v>
      </c>
      <c r="JDD14" s="314" t="s">
        <v>203</v>
      </c>
      <c r="JDE14" s="314" t="s">
        <v>203</v>
      </c>
      <c r="JDF14" s="314" t="s">
        <v>203</v>
      </c>
      <c r="JDG14" s="314" t="s">
        <v>203</v>
      </c>
      <c r="JDH14" s="314" t="s">
        <v>203</v>
      </c>
      <c r="JDI14" s="314" t="s">
        <v>203</v>
      </c>
      <c r="JDJ14" s="314" t="s">
        <v>203</v>
      </c>
      <c r="JDK14" s="314" t="s">
        <v>203</v>
      </c>
      <c r="JDL14" s="314" t="s">
        <v>203</v>
      </c>
      <c r="JDM14" s="314" t="s">
        <v>203</v>
      </c>
      <c r="JDN14" s="314" t="s">
        <v>203</v>
      </c>
      <c r="JDO14" s="314" t="s">
        <v>203</v>
      </c>
      <c r="JDP14" s="314" t="s">
        <v>203</v>
      </c>
      <c r="JDQ14" s="314" t="s">
        <v>203</v>
      </c>
      <c r="JDR14" s="314" t="s">
        <v>203</v>
      </c>
      <c r="JDS14" s="314" t="s">
        <v>203</v>
      </c>
      <c r="JDT14" s="314" t="s">
        <v>203</v>
      </c>
      <c r="JDU14" s="314" t="s">
        <v>203</v>
      </c>
      <c r="JDV14" s="314" t="s">
        <v>203</v>
      </c>
      <c r="JDW14" s="314" t="s">
        <v>203</v>
      </c>
      <c r="JDX14" s="314" t="s">
        <v>203</v>
      </c>
      <c r="JDY14" s="314" t="s">
        <v>203</v>
      </c>
      <c r="JDZ14" s="314" t="s">
        <v>203</v>
      </c>
      <c r="JEA14" s="314" t="s">
        <v>203</v>
      </c>
      <c r="JEB14" s="314" t="s">
        <v>203</v>
      </c>
      <c r="JEC14" s="314" t="s">
        <v>203</v>
      </c>
      <c r="JED14" s="314" t="s">
        <v>203</v>
      </c>
      <c r="JEE14" s="314" t="s">
        <v>203</v>
      </c>
      <c r="JEF14" s="314" t="s">
        <v>203</v>
      </c>
      <c r="JEG14" s="314" t="s">
        <v>203</v>
      </c>
      <c r="JEH14" s="314" t="s">
        <v>203</v>
      </c>
      <c r="JEI14" s="314" t="s">
        <v>203</v>
      </c>
      <c r="JEJ14" s="314" t="s">
        <v>203</v>
      </c>
      <c r="JEK14" s="314" t="s">
        <v>203</v>
      </c>
      <c r="JEL14" s="314" t="s">
        <v>203</v>
      </c>
      <c r="JEM14" s="314" t="s">
        <v>203</v>
      </c>
      <c r="JEN14" s="314" t="s">
        <v>203</v>
      </c>
      <c r="JEO14" s="314" t="s">
        <v>203</v>
      </c>
      <c r="JEP14" s="314" t="s">
        <v>203</v>
      </c>
      <c r="JEQ14" s="314" t="s">
        <v>203</v>
      </c>
      <c r="JER14" s="314" t="s">
        <v>203</v>
      </c>
      <c r="JES14" s="314" t="s">
        <v>203</v>
      </c>
      <c r="JET14" s="314" t="s">
        <v>203</v>
      </c>
      <c r="JEU14" s="314" t="s">
        <v>203</v>
      </c>
      <c r="JEV14" s="314" t="s">
        <v>203</v>
      </c>
      <c r="JEW14" s="314" t="s">
        <v>203</v>
      </c>
      <c r="JEX14" s="314" t="s">
        <v>203</v>
      </c>
      <c r="JEY14" s="314" t="s">
        <v>203</v>
      </c>
      <c r="JEZ14" s="314" t="s">
        <v>203</v>
      </c>
      <c r="JFA14" s="314" t="s">
        <v>203</v>
      </c>
      <c r="JFB14" s="314" t="s">
        <v>203</v>
      </c>
      <c r="JFC14" s="314" t="s">
        <v>203</v>
      </c>
      <c r="JFD14" s="314" t="s">
        <v>203</v>
      </c>
      <c r="JFE14" s="314" t="s">
        <v>203</v>
      </c>
      <c r="JFF14" s="314" t="s">
        <v>203</v>
      </c>
      <c r="JFG14" s="314" t="s">
        <v>203</v>
      </c>
      <c r="JFH14" s="314" t="s">
        <v>203</v>
      </c>
      <c r="JFI14" s="314" t="s">
        <v>203</v>
      </c>
      <c r="JFJ14" s="314" t="s">
        <v>203</v>
      </c>
      <c r="JFK14" s="314" t="s">
        <v>203</v>
      </c>
      <c r="JFL14" s="314" t="s">
        <v>203</v>
      </c>
      <c r="JFM14" s="314" t="s">
        <v>203</v>
      </c>
      <c r="JFN14" s="314" t="s">
        <v>203</v>
      </c>
      <c r="JFO14" s="314" t="s">
        <v>203</v>
      </c>
      <c r="JFP14" s="314" t="s">
        <v>203</v>
      </c>
      <c r="JFQ14" s="314" t="s">
        <v>203</v>
      </c>
      <c r="JFR14" s="314" t="s">
        <v>203</v>
      </c>
      <c r="JFS14" s="314" t="s">
        <v>203</v>
      </c>
      <c r="JFT14" s="314" t="s">
        <v>203</v>
      </c>
      <c r="JFU14" s="314" t="s">
        <v>203</v>
      </c>
      <c r="JFV14" s="314" t="s">
        <v>203</v>
      </c>
      <c r="JFW14" s="314" t="s">
        <v>203</v>
      </c>
      <c r="JFX14" s="314" t="s">
        <v>203</v>
      </c>
      <c r="JFY14" s="314" t="s">
        <v>203</v>
      </c>
      <c r="JFZ14" s="314" t="s">
        <v>203</v>
      </c>
      <c r="JGA14" s="314" t="s">
        <v>203</v>
      </c>
      <c r="JGB14" s="314" t="s">
        <v>203</v>
      </c>
      <c r="JGC14" s="314" t="s">
        <v>203</v>
      </c>
      <c r="JGD14" s="314" t="s">
        <v>203</v>
      </c>
      <c r="JGE14" s="314" t="s">
        <v>203</v>
      </c>
      <c r="JGF14" s="314" t="s">
        <v>203</v>
      </c>
      <c r="JGG14" s="314" t="s">
        <v>203</v>
      </c>
      <c r="JGH14" s="314" t="s">
        <v>203</v>
      </c>
      <c r="JGI14" s="314" t="s">
        <v>203</v>
      </c>
      <c r="JGJ14" s="314" t="s">
        <v>203</v>
      </c>
      <c r="JGK14" s="314" t="s">
        <v>203</v>
      </c>
      <c r="JGL14" s="314" t="s">
        <v>203</v>
      </c>
      <c r="JGM14" s="314" t="s">
        <v>203</v>
      </c>
      <c r="JGN14" s="314" t="s">
        <v>203</v>
      </c>
      <c r="JGO14" s="314" t="s">
        <v>203</v>
      </c>
      <c r="JGP14" s="314" t="s">
        <v>203</v>
      </c>
      <c r="JGQ14" s="314" t="s">
        <v>203</v>
      </c>
      <c r="JGR14" s="314" t="s">
        <v>203</v>
      </c>
      <c r="JGS14" s="314" t="s">
        <v>203</v>
      </c>
      <c r="JGT14" s="314" t="s">
        <v>203</v>
      </c>
      <c r="JGU14" s="314" t="s">
        <v>203</v>
      </c>
      <c r="JGV14" s="314" t="s">
        <v>203</v>
      </c>
      <c r="JGW14" s="314" t="s">
        <v>203</v>
      </c>
      <c r="JGX14" s="314" t="s">
        <v>203</v>
      </c>
      <c r="JGY14" s="314" t="s">
        <v>203</v>
      </c>
      <c r="JGZ14" s="314" t="s">
        <v>203</v>
      </c>
      <c r="JHA14" s="314" t="s">
        <v>203</v>
      </c>
      <c r="JHB14" s="314" t="s">
        <v>203</v>
      </c>
      <c r="JHC14" s="314" t="s">
        <v>203</v>
      </c>
      <c r="JHD14" s="314" t="s">
        <v>203</v>
      </c>
      <c r="JHE14" s="314" t="s">
        <v>203</v>
      </c>
      <c r="JHF14" s="314" t="s">
        <v>203</v>
      </c>
      <c r="JHG14" s="314" t="s">
        <v>203</v>
      </c>
      <c r="JHH14" s="314" t="s">
        <v>203</v>
      </c>
      <c r="JHI14" s="314" t="s">
        <v>203</v>
      </c>
      <c r="JHJ14" s="314" t="s">
        <v>203</v>
      </c>
      <c r="JHK14" s="314" t="s">
        <v>203</v>
      </c>
      <c r="JHL14" s="314" t="s">
        <v>203</v>
      </c>
      <c r="JHM14" s="314" t="s">
        <v>203</v>
      </c>
      <c r="JHN14" s="314" t="s">
        <v>203</v>
      </c>
      <c r="JHO14" s="314" t="s">
        <v>203</v>
      </c>
      <c r="JHP14" s="314" t="s">
        <v>203</v>
      </c>
      <c r="JHQ14" s="314" t="s">
        <v>203</v>
      </c>
      <c r="JHR14" s="314" t="s">
        <v>203</v>
      </c>
      <c r="JHS14" s="314" t="s">
        <v>203</v>
      </c>
      <c r="JHT14" s="314" t="s">
        <v>203</v>
      </c>
      <c r="JHU14" s="314" t="s">
        <v>203</v>
      </c>
      <c r="JHV14" s="314" t="s">
        <v>203</v>
      </c>
      <c r="JHW14" s="314" t="s">
        <v>203</v>
      </c>
      <c r="JHX14" s="314" t="s">
        <v>203</v>
      </c>
      <c r="JHY14" s="314" t="s">
        <v>203</v>
      </c>
      <c r="JHZ14" s="314" t="s">
        <v>203</v>
      </c>
      <c r="JIA14" s="314" t="s">
        <v>203</v>
      </c>
      <c r="JIB14" s="314" t="s">
        <v>203</v>
      </c>
      <c r="JIC14" s="314" t="s">
        <v>203</v>
      </c>
      <c r="JID14" s="314" t="s">
        <v>203</v>
      </c>
      <c r="JIE14" s="314" t="s">
        <v>203</v>
      </c>
      <c r="JIF14" s="314" t="s">
        <v>203</v>
      </c>
      <c r="JIG14" s="314" t="s">
        <v>203</v>
      </c>
      <c r="JIH14" s="314" t="s">
        <v>203</v>
      </c>
      <c r="JII14" s="314" t="s">
        <v>203</v>
      </c>
      <c r="JIJ14" s="314" t="s">
        <v>203</v>
      </c>
      <c r="JIK14" s="314" t="s">
        <v>203</v>
      </c>
      <c r="JIL14" s="314" t="s">
        <v>203</v>
      </c>
      <c r="JIM14" s="314" t="s">
        <v>203</v>
      </c>
      <c r="JIN14" s="314" t="s">
        <v>203</v>
      </c>
      <c r="JIO14" s="314" t="s">
        <v>203</v>
      </c>
      <c r="JIP14" s="314" t="s">
        <v>203</v>
      </c>
      <c r="JIQ14" s="314" t="s">
        <v>203</v>
      </c>
      <c r="JIR14" s="314" t="s">
        <v>203</v>
      </c>
      <c r="JIS14" s="314" t="s">
        <v>203</v>
      </c>
      <c r="JIT14" s="314" t="s">
        <v>203</v>
      </c>
      <c r="JIU14" s="314" t="s">
        <v>203</v>
      </c>
      <c r="JIV14" s="314" t="s">
        <v>203</v>
      </c>
      <c r="JIW14" s="314" t="s">
        <v>203</v>
      </c>
      <c r="JIX14" s="314" t="s">
        <v>203</v>
      </c>
      <c r="JIY14" s="314" t="s">
        <v>203</v>
      </c>
      <c r="JIZ14" s="314" t="s">
        <v>203</v>
      </c>
      <c r="JJA14" s="314" t="s">
        <v>203</v>
      </c>
      <c r="JJB14" s="314" t="s">
        <v>203</v>
      </c>
      <c r="JJC14" s="314" t="s">
        <v>203</v>
      </c>
      <c r="JJD14" s="314" t="s">
        <v>203</v>
      </c>
      <c r="JJE14" s="314" t="s">
        <v>203</v>
      </c>
      <c r="JJF14" s="314" t="s">
        <v>203</v>
      </c>
      <c r="JJG14" s="314" t="s">
        <v>203</v>
      </c>
      <c r="JJH14" s="314" t="s">
        <v>203</v>
      </c>
      <c r="JJI14" s="314" t="s">
        <v>203</v>
      </c>
      <c r="JJJ14" s="314" t="s">
        <v>203</v>
      </c>
      <c r="JJK14" s="314" t="s">
        <v>203</v>
      </c>
      <c r="JJL14" s="314" t="s">
        <v>203</v>
      </c>
      <c r="JJM14" s="314" t="s">
        <v>203</v>
      </c>
      <c r="JJN14" s="314" t="s">
        <v>203</v>
      </c>
      <c r="JJO14" s="314" t="s">
        <v>203</v>
      </c>
      <c r="JJP14" s="314" t="s">
        <v>203</v>
      </c>
      <c r="JJQ14" s="314" t="s">
        <v>203</v>
      </c>
      <c r="JJR14" s="314" t="s">
        <v>203</v>
      </c>
      <c r="JJS14" s="314" t="s">
        <v>203</v>
      </c>
      <c r="JJT14" s="314" t="s">
        <v>203</v>
      </c>
      <c r="JJU14" s="314" t="s">
        <v>203</v>
      </c>
      <c r="JJV14" s="314" t="s">
        <v>203</v>
      </c>
      <c r="JJW14" s="314" t="s">
        <v>203</v>
      </c>
      <c r="JJX14" s="314" t="s">
        <v>203</v>
      </c>
      <c r="JJY14" s="314" t="s">
        <v>203</v>
      </c>
      <c r="JJZ14" s="314" t="s">
        <v>203</v>
      </c>
      <c r="JKA14" s="314" t="s">
        <v>203</v>
      </c>
      <c r="JKB14" s="314" t="s">
        <v>203</v>
      </c>
      <c r="JKC14" s="314" t="s">
        <v>203</v>
      </c>
      <c r="JKD14" s="314" t="s">
        <v>203</v>
      </c>
      <c r="JKE14" s="314" t="s">
        <v>203</v>
      </c>
      <c r="JKF14" s="314" t="s">
        <v>203</v>
      </c>
      <c r="JKG14" s="314" t="s">
        <v>203</v>
      </c>
      <c r="JKH14" s="314" t="s">
        <v>203</v>
      </c>
      <c r="JKI14" s="314" t="s">
        <v>203</v>
      </c>
      <c r="JKJ14" s="314" t="s">
        <v>203</v>
      </c>
      <c r="JKK14" s="314" t="s">
        <v>203</v>
      </c>
      <c r="JKL14" s="314" t="s">
        <v>203</v>
      </c>
      <c r="JKM14" s="314" t="s">
        <v>203</v>
      </c>
      <c r="JKN14" s="314" t="s">
        <v>203</v>
      </c>
      <c r="JKO14" s="314" t="s">
        <v>203</v>
      </c>
      <c r="JKP14" s="314" t="s">
        <v>203</v>
      </c>
      <c r="JKQ14" s="314" t="s">
        <v>203</v>
      </c>
      <c r="JKR14" s="314" t="s">
        <v>203</v>
      </c>
      <c r="JKS14" s="314" t="s">
        <v>203</v>
      </c>
      <c r="JKT14" s="314" t="s">
        <v>203</v>
      </c>
      <c r="JKU14" s="314" t="s">
        <v>203</v>
      </c>
      <c r="JKV14" s="314" t="s">
        <v>203</v>
      </c>
      <c r="JKW14" s="314" t="s">
        <v>203</v>
      </c>
      <c r="JKX14" s="314" t="s">
        <v>203</v>
      </c>
      <c r="JKY14" s="314" t="s">
        <v>203</v>
      </c>
      <c r="JKZ14" s="314" t="s">
        <v>203</v>
      </c>
      <c r="JLA14" s="314" t="s">
        <v>203</v>
      </c>
      <c r="JLB14" s="314" t="s">
        <v>203</v>
      </c>
      <c r="JLC14" s="314" t="s">
        <v>203</v>
      </c>
      <c r="JLD14" s="314" t="s">
        <v>203</v>
      </c>
      <c r="JLE14" s="314" t="s">
        <v>203</v>
      </c>
      <c r="JLF14" s="314" t="s">
        <v>203</v>
      </c>
      <c r="JLG14" s="314" t="s">
        <v>203</v>
      </c>
      <c r="JLH14" s="314" t="s">
        <v>203</v>
      </c>
      <c r="JLI14" s="314" t="s">
        <v>203</v>
      </c>
      <c r="JLJ14" s="314" t="s">
        <v>203</v>
      </c>
      <c r="JLK14" s="314" t="s">
        <v>203</v>
      </c>
      <c r="JLL14" s="314" t="s">
        <v>203</v>
      </c>
      <c r="JLM14" s="314" t="s">
        <v>203</v>
      </c>
      <c r="JLN14" s="314" t="s">
        <v>203</v>
      </c>
      <c r="JLO14" s="314" t="s">
        <v>203</v>
      </c>
      <c r="JLP14" s="314" t="s">
        <v>203</v>
      </c>
      <c r="JLQ14" s="314" t="s">
        <v>203</v>
      </c>
      <c r="JLR14" s="314" t="s">
        <v>203</v>
      </c>
      <c r="JLS14" s="314" t="s">
        <v>203</v>
      </c>
      <c r="JLT14" s="314" t="s">
        <v>203</v>
      </c>
      <c r="JLU14" s="314" t="s">
        <v>203</v>
      </c>
      <c r="JLV14" s="314" t="s">
        <v>203</v>
      </c>
      <c r="JLW14" s="314" t="s">
        <v>203</v>
      </c>
      <c r="JLX14" s="314" t="s">
        <v>203</v>
      </c>
      <c r="JLY14" s="314" t="s">
        <v>203</v>
      </c>
      <c r="JLZ14" s="314" t="s">
        <v>203</v>
      </c>
      <c r="JMA14" s="314" t="s">
        <v>203</v>
      </c>
      <c r="JMB14" s="314" t="s">
        <v>203</v>
      </c>
      <c r="JMC14" s="314" t="s">
        <v>203</v>
      </c>
      <c r="JMD14" s="314" t="s">
        <v>203</v>
      </c>
      <c r="JME14" s="314" t="s">
        <v>203</v>
      </c>
      <c r="JMF14" s="314" t="s">
        <v>203</v>
      </c>
      <c r="JMG14" s="314" t="s">
        <v>203</v>
      </c>
      <c r="JMH14" s="314" t="s">
        <v>203</v>
      </c>
      <c r="JMI14" s="314" t="s">
        <v>203</v>
      </c>
      <c r="JMJ14" s="314" t="s">
        <v>203</v>
      </c>
      <c r="JMK14" s="314" t="s">
        <v>203</v>
      </c>
      <c r="JML14" s="314" t="s">
        <v>203</v>
      </c>
      <c r="JMM14" s="314" t="s">
        <v>203</v>
      </c>
      <c r="JMN14" s="314" t="s">
        <v>203</v>
      </c>
      <c r="JMO14" s="314" t="s">
        <v>203</v>
      </c>
      <c r="JMP14" s="314" t="s">
        <v>203</v>
      </c>
      <c r="JMQ14" s="314" t="s">
        <v>203</v>
      </c>
      <c r="JMR14" s="314" t="s">
        <v>203</v>
      </c>
      <c r="JMS14" s="314" t="s">
        <v>203</v>
      </c>
      <c r="JMT14" s="314" t="s">
        <v>203</v>
      </c>
      <c r="JMU14" s="314" t="s">
        <v>203</v>
      </c>
      <c r="JMV14" s="314" t="s">
        <v>203</v>
      </c>
      <c r="JMW14" s="314" t="s">
        <v>203</v>
      </c>
      <c r="JMX14" s="314" t="s">
        <v>203</v>
      </c>
      <c r="JMY14" s="314" t="s">
        <v>203</v>
      </c>
      <c r="JMZ14" s="314" t="s">
        <v>203</v>
      </c>
      <c r="JNA14" s="314" t="s">
        <v>203</v>
      </c>
      <c r="JNB14" s="314" t="s">
        <v>203</v>
      </c>
      <c r="JNC14" s="314" t="s">
        <v>203</v>
      </c>
      <c r="JND14" s="314" t="s">
        <v>203</v>
      </c>
      <c r="JNE14" s="314" t="s">
        <v>203</v>
      </c>
      <c r="JNF14" s="314" t="s">
        <v>203</v>
      </c>
      <c r="JNG14" s="314" t="s">
        <v>203</v>
      </c>
      <c r="JNH14" s="314" t="s">
        <v>203</v>
      </c>
      <c r="JNI14" s="314" t="s">
        <v>203</v>
      </c>
      <c r="JNJ14" s="314" t="s">
        <v>203</v>
      </c>
      <c r="JNK14" s="314" t="s">
        <v>203</v>
      </c>
      <c r="JNL14" s="314" t="s">
        <v>203</v>
      </c>
      <c r="JNM14" s="314" t="s">
        <v>203</v>
      </c>
      <c r="JNN14" s="314" t="s">
        <v>203</v>
      </c>
      <c r="JNO14" s="314" t="s">
        <v>203</v>
      </c>
      <c r="JNP14" s="314" t="s">
        <v>203</v>
      </c>
      <c r="JNQ14" s="314" t="s">
        <v>203</v>
      </c>
      <c r="JNR14" s="314" t="s">
        <v>203</v>
      </c>
      <c r="JNS14" s="314" t="s">
        <v>203</v>
      </c>
      <c r="JNT14" s="314" t="s">
        <v>203</v>
      </c>
      <c r="JNU14" s="314" t="s">
        <v>203</v>
      </c>
      <c r="JNV14" s="314" t="s">
        <v>203</v>
      </c>
      <c r="JNW14" s="314" t="s">
        <v>203</v>
      </c>
      <c r="JNX14" s="314" t="s">
        <v>203</v>
      </c>
      <c r="JNY14" s="314" t="s">
        <v>203</v>
      </c>
      <c r="JNZ14" s="314" t="s">
        <v>203</v>
      </c>
      <c r="JOA14" s="314" t="s">
        <v>203</v>
      </c>
      <c r="JOB14" s="314" t="s">
        <v>203</v>
      </c>
      <c r="JOC14" s="314" t="s">
        <v>203</v>
      </c>
      <c r="JOD14" s="314" t="s">
        <v>203</v>
      </c>
      <c r="JOE14" s="314" t="s">
        <v>203</v>
      </c>
      <c r="JOF14" s="314" t="s">
        <v>203</v>
      </c>
      <c r="JOG14" s="314" t="s">
        <v>203</v>
      </c>
      <c r="JOH14" s="314" t="s">
        <v>203</v>
      </c>
      <c r="JOI14" s="314" t="s">
        <v>203</v>
      </c>
      <c r="JOJ14" s="314" t="s">
        <v>203</v>
      </c>
      <c r="JOK14" s="314" t="s">
        <v>203</v>
      </c>
      <c r="JOL14" s="314" t="s">
        <v>203</v>
      </c>
      <c r="JOM14" s="314" t="s">
        <v>203</v>
      </c>
      <c r="JON14" s="314" t="s">
        <v>203</v>
      </c>
      <c r="JOO14" s="314" t="s">
        <v>203</v>
      </c>
      <c r="JOP14" s="314" t="s">
        <v>203</v>
      </c>
      <c r="JOQ14" s="314" t="s">
        <v>203</v>
      </c>
      <c r="JOR14" s="314" t="s">
        <v>203</v>
      </c>
      <c r="JOS14" s="314" t="s">
        <v>203</v>
      </c>
      <c r="JOT14" s="314" t="s">
        <v>203</v>
      </c>
      <c r="JOU14" s="314" t="s">
        <v>203</v>
      </c>
      <c r="JOV14" s="314" t="s">
        <v>203</v>
      </c>
      <c r="JOW14" s="314" t="s">
        <v>203</v>
      </c>
      <c r="JOX14" s="314" t="s">
        <v>203</v>
      </c>
      <c r="JOY14" s="314" t="s">
        <v>203</v>
      </c>
      <c r="JOZ14" s="314" t="s">
        <v>203</v>
      </c>
      <c r="JPA14" s="314" t="s">
        <v>203</v>
      </c>
      <c r="JPB14" s="314" t="s">
        <v>203</v>
      </c>
      <c r="JPC14" s="314" t="s">
        <v>203</v>
      </c>
      <c r="JPD14" s="314" t="s">
        <v>203</v>
      </c>
      <c r="JPE14" s="314" t="s">
        <v>203</v>
      </c>
      <c r="JPF14" s="314" t="s">
        <v>203</v>
      </c>
      <c r="JPG14" s="314" t="s">
        <v>203</v>
      </c>
      <c r="JPH14" s="314" t="s">
        <v>203</v>
      </c>
      <c r="JPI14" s="314" t="s">
        <v>203</v>
      </c>
      <c r="JPJ14" s="314" t="s">
        <v>203</v>
      </c>
      <c r="JPK14" s="314" t="s">
        <v>203</v>
      </c>
      <c r="JPL14" s="314" t="s">
        <v>203</v>
      </c>
      <c r="JPM14" s="314" t="s">
        <v>203</v>
      </c>
      <c r="JPN14" s="314" t="s">
        <v>203</v>
      </c>
      <c r="JPO14" s="314" t="s">
        <v>203</v>
      </c>
      <c r="JPP14" s="314" t="s">
        <v>203</v>
      </c>
      <c r="JPQ14" s="314" t="s">
        <v>203</v>
      </c>
      <c r="JPR14" s="314" t="s">
        <v>203</v>
      </c>
      <c r="JPS14" s="314" t="s">
        <v>203</v>
      </c>
      <c r="JPT14" s="314" t="s">
        <v>203</v>
      </c>
      <c r="JPU14" s="314" t="s">
        <v>203</v>
      </c>
      <c r="JPV14" s="314" t="s">
        <v>203</v>
      </c>
      <c r="JPW14" s="314" t="s">
        <v>203</v>
      </c>
      <c r="JPX14" s="314" t="s">
        <v>203</v>
      </c>
      <c r="JPY14" s="314" t="s">
        <v>203</v>
      </c>
      <c r="JPZ14" s="314" t="s">
        <v>203</v>
      </c>
      <c r="JQA14" s="314" t="s">
        <v>203</v>
      </c>
      <c r="JQB14" s="314" t="s">
        <v>203</v>
      </c>
      <c r="JQC14" s="314" t="s">
        <v>203</v>
      </c>
      <c r="JQD14" s="314" t="s">
        <v>203</v>
      </c>
      <c r="JQE14" s="314" t="s">
        <v>203</v>
      </c>
      <c r="JQF14" s="314" t="s">
        <v>203</v>
      </c>
      <c r="JQG14" s="314" t="s">
        <v>203</v>
      </c>
      <c r="JQH14" s="314" t="s">
        <v>203</v>
      </c>
      <c r="JQI14" s="314" t="s">
        <v>203</v>
      </c>
      <c r="JQJ14" s="314" t="s">
        <v>203</v>
      </c>
      <c r="JQK14" s="314" t="s">
        <v>203</v>
      </c>
      <c r="JQL14" s="314" t="s">
        <v>203</v>
      </c>
      <c r="JQM14" s="314" t="s">
        <v>203</v>
      </c>
      <c r="JQN14" s="314" t="s">
        <v>203</v>
      </c>
      <c r="JQO14" s="314" t="s">
        <v>203</v>
      </c>
      <c r="JQP14" s="314" t="s">
        <v>203</v>
      </c>
      <c r="JQQ14" s="314" t="s">
        <v>203</v>
      </c>
      <c r="JQR14" s="314" t="s">
        <v>203</v>
      </c>
      <c r="JQS14" s="314" t="s">
        <v>203</v>
      </c>
      <c r="JQT14" s="314" t="s">
        <v>203</v>
      </c>
      <c r="JQU14" s="314" t="s">
        <v>203</v>
      </c>
      <c r="JQV14" s="314" t="s">
        <v>203</v>
      </c>
      <c r="JQW14" s="314" t="s">
        <v>203</v>
      </c>
      <c r="JQX14" s="314" t="s">
        <v>203</v>
      </c>
      <c r="JQY14" s="314" t="s">
        <v>203</v>
      </c>
      <c r="JQZ14" s="314" t="s">
        <v>203</v>
      </c>
      <c r="JRA14" s="314" t="s">
        <v>203</v>
      </c>
      <c r="JRB14" s="314" t="s">
        <v>203</v>
      </c>
      <c r="JRC14" s="314" t="s">
        <v>203</v>
      </c>
      <c r="JRD14" s="314" t="s">
        <v>203</v>
      </c>
      <c r="JRE14" s="314" t="s">
        <v>203</v>
      </c>
      <c r="JRF14" s="314" t="s">
        <v>203</v>
      </c>
      <c r="JRG14" s="314" t="s">
        <v>203</v>
      </c>
      <c r="JRH14" s="314" t="s">
        <v>203</v>
      </c>
      <c r="JRI14" s="314" t="s">
        <v>203</v>
      </c>
      <c r="JRJ14" s="314" t="s">
        <v>203</v>
      </c>
      <c r="JRK14" s="314" t="s">
        <v>203</v>
      </c>
      <c r="JRL14" s="314" t="s">
        <v>203</v>
      </c>
      <c r="JRM14" s="314" t="s">
        <v>203</v>
      </c>
      <c r="JRN14" s="314" t="s">
        <v>203</v>
      </c>
      <c r="JRO14" s="314" t="s">
        <v>203</v>
      </c>
      <c r="JRP14" s="314" t="s">
        <v>203</v>
      </c>
      <c r="JRQ14" s="314" t="s">
        <v>203</v>
      </c>
      <c r="JRR14" s="314" t="s">
        <v>203</v>
      </c>
      <c r="JRS14" s="314" t="s">
        <v>203</v>
      </c>
      <c r="JRT14" s="314" t="s">
        <v>203</v>
      </c>
      <c r="JRU14" s="314" t="s">
        <v>203</v>
      </c>
      <c r="JRV14" s="314" t="s">
        <v>203</v>
      </c>
      <c r="JRW14" s="314" t="s">
        <v>203</v>
      </c>
      <c r="JRX14" s="314" t="s">
        <v>203</v>
      </c>
      <c r="JRY14" s="314" t="s">
        <v>203</v>
      </c>
      <c r="JRZ14" s="314" t="s">
        <v>203</v>
      </c>
      <c r="JSA14" s="314" t="s">
        <v>203</v>
      </c>
      <c r="JSB14" s="314" t="s">
        <v>203</v>
      </c>
      <c r="JSC14" s="314" t="s">
        <v>203</v>
      </c>
      <c r="JSD14" s="314" t="s">
        <v>203</v>
      </c>
      <c r="JSE14" s="314" t="s">
        <v>203</v>
      </c>
      <c r="JSF14" s="314" t="s">
        <v>203</v>
      </c>
      <c r="JSG14" s="314" t="s">
        <v>203</v>
      </c>
      <c r="JSH14" s="314" t="s">
        <v>203</v>
      </c>
      <c r="JSI14" s="314" t="s">
        <v>203</v>
      </c>
      <c r="JSJ14" s="314" t="s">
        <v>203</v>
      </c>
      <c r="JSK14" s="314" t="s">
        <v>203</v>
      </c>
      <c r="JSL14" s="314" t="s">
        <v>203</v>
      </c>
      <c r="JSM14" s="314" t="s">
        <v>203</v>
      </c>
      <c r="JSN14" s="314" t="s">
        <v>203</v>
      </c>
      <c r="JSO14" s="314" t="s">
        <v>203</v>
      </c>
      <c r="JSP14" s="314" t="s">
        <v>203</v>
      </c>
      <c r="JSQ14" s="314" t="s">
        <v>203</v>
      </c>
      <c r="JSR14" s="314" t="s">
        <v>203</v>
      </c>
      <c r="JSS14" s="314" t="s">
        <v>203</v>
      </c>
      <c r="JST14" s="314" t="s">
        <v>203</v>
      </c>
      <c r="JSU14" s="314" t="s">
        <v>203</v>
      </c>
      <c r="JSV14" s="314" t="s">
        <v>203</v>
      </c>
      <c r="JSW14" s="314" t="s">
        <v>203</v>
      </c>
      <c r="JSX14" s="314" t="s">
        <v>203</v>
      </c>
      <c r="JSY14" s="314" t="s">
        <v>203</v>
      </c>
      <c r="JSZ14" s="314" t="s">
        <v>203</v>
      </c>
      <c r="JTA14" s="314" t="s">
        <v>203</v>
      </c>
      <c r="JTB14" s="314" t="s">
        <v>203</v>
      </c>
      <c r="JTC14" s="314" t="s">
        <v>203</v>
      </c>
      <c r="JTD14" s="314" t="s">
        <v>203</v>
      </c>
      <c r="JTE14" s="314" t="s">
        <v>203</v>
      </c>
      <c r="JTF14" s="314" t="s">
        <v>203</v>
      </c>
      <c r="JTG14" s="314" t="s">
        <v>203</v>
      </c>
      <c r="JTH14" s="314" t="s">
        <v>203</v>
      </c>
      <c r="JTI14" s="314" t="s">
        <v>203</v>
      </c>
      <c r="JTJ14" s="314" t="s">
        <v>203</v>
      </c>
      <c r="JTK14" s="314" t="s">
        <v>203</v>
      </c>
      <c r="JTL14" s="314" t="s">
        <v>203</v>
      </c>
      <c r="JTM14" s="314" t="s">
        <v>203</v>
      </c>
      <c r="JTN14" s="314" t="s">
        <v>203</v>
      </c>
      <c r="JTO14" s="314" t="s">
        <v>203</v>
      </c>
      <c r="JTP14" s="314" t="s">
        <v>203</v>
      </c>
      <c r="JTQ14" s="314" t="s">
        <v>203</v>
      </c>
      <c r="JTR14" s="314" t="s">
        <v>203</v>
      </c>
      <c r="JTS14" s="314" t="s">
        <v>203</v>
      </c>
      <c r="JTT14" s="314" t="s">
        <v>203</v>
      </c>
      <c r="JTU14" s="314" t="s">
        <v>203</v>
      </c>
      <c r="JTV14" s="314" t="s">
        <v>203</v>
      </c>
      <c r="JTW14" s="314" t="s">
        <v>203</v>
      </c>
      <c r="JTX14" s="314" t="s">
        <v>203</v>
      </c>
      <c r="JTY14" s="314" t="s">
        <v>203</v>
      </c>
      <c r="JTZ14" s="314" t="s">
        <v>203</v>
      </c>
      <c r="JUA14" s="314" t="s">
        <v>203</v>
      </c>
      <c r="JUB14" s="314" t="s">
        <v>203</v>
      </c>
      <c r="JUC14" s="314" t="s">
        <v>203</v>
      </c>
      <c r="JUD14" s="314" t="s">
        <v>203</v>
      </c>
      <c r="JUE14" s="314" t="s">
        <v>203</v>
      </c>
      <c r="JUF14" s="314" t="s">
        <v>203</v>
      </c>
      <c r="JUG14" s="314" t="s">
        <v>203</v>
      </c>
      <c r="JUH14" s="314" t="s">
        <v>203</v>
      </c>
      <c r="JUI14" s="314" t="s">
        <v>203</v>
      </c>
      <c r="JUJ14" s="314" t="s">
        <v>203</v>
      </c>
      <c r="JUK14" s="314" t="s">
        <v>203</v>
      </c>
      <c r="JUL14" s="314" t="s">
        <v>203</v>
      </c>
      <c r="JUM14" s="314" t="s">
        <v>203</v>
      </c>
      <c r="JUN14" s="314" t="s">
        <v>203</v>
      </c>
      <c r="JUO14" s="314" t="s">
        <v>203</v>
      </c>
      <c r="JUP14" s="314" t="s">
        <v>203</v>
      </c>
      <c r="JUQ14" s="314" t="s">
        <v>203</v>
      </c>
      <c r="JUR14" s="314" t="s">
        <v>203</v>
      </c>
      <c r="JUS14" s="314" t="s">
        <v>203</v>
      </c>
      <c r="JUT14" s="314" t="s">
        <v>203</v>
      </c>
      <c r="JUU14" s="314" t="s">
        <v>203</v>
      </c>
      <c r="JUV14" s="314" t="s">
        <v>203</v>
      </c>
      <c r="JUW14" s="314" t="s">
        <v>203</v>
      </c>
      <c r="JUX14" s="314" t="s">
        <v>203</v>
      </c>
      <c r="JUY14" s="314" t="s">
        <v>203</v>
      </c>
      <c r="JUZ14" s="314" t="s">
        <v>203</v>
      </c>
      <c r="JVA14" s="314" t="s">
        <v>203</v>
      </c>
      <c r="JVB14" s="314" t="s">
        <v>203</v>
      </c>
      <c r="JVC14" s="314" t="s">
        <v>203</v>
      </c>
      <c r="JVD14" s="314" t="s">
        <v>203</v>
      </c>
      <c r="JVE14" s="314" t="s">
        <v>203</v>
      </c>
      <c r="JVF14" s="314" t="s">
        <v>203</v>
      </c>
      <c r="JVG14" s="314" t="s">
        <v>203</v>
      </c>
      <c r="JVH14" s="314" t="s">
        <v>203</v>
      </c>
      <c r="JVI14" s="314" t="s">
        <v>203</v>
      </c>
      <c r="JVJ14" s="314" t="s">
        <v>203</v>
      </c>
      <c r="JVK14" s="314" t="s">
        <v>203</v>
      </c>
      <c r="JVL14" s="314" t="s">
        <v>203</v>
      </c>
      <c r="JVM14" s="314" t="s">
        <v>203</v>
      </c>
      <c r="JVN14" s="314" t="s">
        <v>203</v>
      </c>
      <c r="JVO14" s="314" t="s">
        <v>203</v>
      </c>
      <c r="JVP14" s="314" t="s">
        <v>203</v>
      </c>
      <c r="JVQ14" s="314" t="s">
        <v>203</v>
      </c>
      <c r="JVR14" s="314" t="s">
        <v>203</v>
      </c>
      <c r="JVS14" s="314" t="s">
        <v>203</v>
      </c>
      <c r="JVT14" s="314" t="s">
        <v>203</v>
      </c>
      <c r="JVU14" s="314" t="s">
        <v>203</v>
      </c>
      <c r="JVV14" s="314" t="s">
        <v>203</v>
      </c>
      <c r="JVW14" s="314" t="s">
        <v>203</v>
      </c>
      <c r="JVX14" s="314" t="s">
        <v>203</v>
      </c>
      <c r="JVY14" s="314" t="s">
        <v>203</v>
      </c>
      <c r="JVZ14" s="314" t="s">
        <v>203</v>
      </c>
      <c r="JWA14" s="314" t="s">
        <v>203</v>
      </c>
      <c r="JWB14" s="314" t="s">
        <v>203</v>
      </c>
      <c r="JWC14" s="314" t="s">
        <v>203</v>
      </c>
      <c r="JWD14" s="314" t="s">
        <v>203</v>
      </c>
      <c r="JWE14" s="314" t="s">
        <v>203</v>
      </c>
      <c r="JWF14" s="314" t="s">
        <v>203</v>
      </c>
      <c r="JWG14" s="314" t="s">
        <v>203</v>
      </c>
      <c r="JWH14" s="314" t="s">
        <v>203</v>
      </c>
      <c r="JWI14" s="314" t="s">
        <v>203</v>
      </c>
      <c r="JWJ14" s="314" t="s">
        <v>203</v>
      </c>
      <c r="JWK14" s="314" t="s">
        <v>203</v>
      </c>
      <c r="JWL14" s="314" t="s">
        <v>203</v>
      </c>
      <c r="JWM14" s="314" t="s">
        <v>203</v>
      </c>
      <c r="JWN14" s="314" t="s">
        <v>203</v>
      </c>
      <c r="JWO14" s="314" t="s">
        <v>203</v>
      </c>
      <c r="JWP14" s="314" t="s">
        <v>203</v>
      </c>
      <c r="JWQ14" s="314" t="s">
        <v>203</v>
      </c>
      <c r="JWR14" s="314" t="s">
        <v>203</v>
      </c>
      <c r="JWS14" s="314" t="s">
        <v>203</v>
      </c>
      <c r="JWT14" s="314" t="s">
        <v>203</v>
      </c>
      <c r="JWU14" s="314" t="s">
        <v>203</v>
      </c>
      <c r="JWV14" s="314" t="s">
        <v>203</v>
      </c>
      <c r="JWW14" s="314" t="s">
        <v>203</v>
      </c>
      <c r="JWX14" s="314" t="s">
        <v>203</v>
      </c>
      <c r="JWY14" s="314" t="s">
        <v>203</v>
      </c>
      <c r="JWZ14" s="314" t="s">
        <v>203</v>
      </c>
      <c r="JXA14" s="314" t="s">
        <v>203</v>
      </c>
      <c r="JXB14" s="314" t="s">
        <v>203</v>
      </c>
      <c r="JXC14" s="314" t="s">
        <v>203</v>
      </c>
      <c r="JXD14" s="314" t="s">
        <v>203</v>
      </c>
      <c r="JXE14" s="314" t="s">
        <v>203</v>
      </c>
      <c r="JXF14" s="314" t="s">
        <v>203</v>
      </c>
      <c r="JXG14" s="314" t="s">
        <v>203</v>
      </c>
      <c r="JXH14" s="314" t="s">
        <v>203</v>
      </c>
      <c r="JXI14" s="314" t="s">
        <v>203</v>
      </c>
      <c r="JXJ14" s="314" t="s">
        <v>203</v>
      </c>
      <c r="JXK14" s="314" t="s">
        <v>203</v>
      </c>
      <c r="JXL14" s="314" t="s">
        <v>203</v>
      </c>
      <c r="JXM14" s="314" t="s">
        <v>203</v>
      </c>
      <c r="JXN14" s="314" t="s">
        <v>203</v>
      </c>
      <c r="JXO14" s="314" t="s">
        <v>203</v>
      </c>
      <c r="JXP14" s="314" t="s">
        <v>203</v>
      </c>
      <c r="JXQ14" s="314" t="s">
        <v>203</v>
      </c>
      <c r="JXR14" s="314" t="s">
        <v>203</v>
      </c>
      <c r="JXS14" s="314" t="s">
        <v>203</v>
      </c>
      <c r="JXT14" s="314" t="s">
        <v>203</v>
      </c>
      <c r="JXU14" s="314" t="s">
        <v>203</v>
      </c>
      <c r="JXV14" s="314" t="s">
        <v>203</v>
      </c>
      <c r="JXW14" s="314" t="s">
        <v>203</v>
      </c>
      <c r="JXX14" s="314" t="s">
        <v>203</v>
      </c>
      <c r="JXY14" s="314" t="s">
        <v>203</v>
      </c>
      <c r="JXZ14" s="314" t="s">
        <v>203</v>
      </c>
      <c r="JYA14" s="314" t="s">
        <v>203</v>
      </c>
      <c r="JYB14" s="314" t="s">
        <v>203</v>
      </c>
      <c r="JYC14" s="314" t="s">
        <v>203</v>
      </c>
      <c r="JYD14" s="314" t="s">
        <v>203</v>
      </c>
      <c r="JYE14" s="314" t="s">
        <v>203</v>
      </c>
      <c r="JYF14" s="314" t="s">
        <v>203</v>
      </c>
      <c r="JYG14" s="314" t="s">
        <v>203</v>
      </c>
      <c r="JYH14" s="314" t="s">
        <v>203</v>
      </c>
      <c r="JYI14" s="314" t="s">
        <v>203</v>
      </c>
      <c r="JYJ14" s="314" t="s">
        <v>203</v>
      </c>
      <c r="JYK14" s="314" t="s">
        <v>203</v>
      </c>
      <c r="JYL14" s="314" t="s">
        <v>203</v>
      </c>
      <c r="JYM14" s="314" t="s">
        <v>203</v>
      </c>
      <c r="JYN14" s="314" t="s">
        <v>203</v>
      </c>
      <c r="JYO14" s="314" t="s">
        <v>203</v>
      </c>
      <c r="JYP14" s="314" t="s">
        <v>203</v>
      </c>
      <c r="JYQ14" s="314" t="s">
        <v>203</v>
      </c>
      <c r="JYR14" s="314" t="s">
        <v>203</v>
      </c>
      <c r="JYS14" s="314" t="s">
        <v>203</v>
      </c>
      <c r="JYT14" s="314" t="s">
        <v>203</v>
      </c>
      <c r="JYU14" s="314" t="s">
        <v>203</v>
      </c>
      <c r="JYV14" s="314" t="s">
        <v>203</v>
      </c>
      <c r="JYW14" s="314" t="s">
        <v>203</v>
      </c>
      <c r="JYX14" s="314" t="s">
        <v>203</v>
      </c>
      <c r="JYY14" s="314" t="s">
        <v>203</v>
      </c>
      <c r="JYZ14" s="314" t="s">
        <v>203</v>
      </c>
      <c r="JZA14" s="314" t="s">
        <v>203</v>
      </c>
      <c r="JZB14" s="314" t="s">
        <v>203</v>
      </c>
      <c r="JZC14" s="314" t="s">
        <v>203</v>
      </c>
      <c r="JZD14" s="314" t="s">
        <v>203</v>
      </c>
      <c r="JZE14" s="314" t="s">
        <v>203</v>
      </c>
      <c r="JZF14" s="314" t="s">
        <v>203</v>
      </c>
      <c r="JZG14" s="314" t="s">
        <v>203</v>
      </c>
      <c r="JZH14" s="314" t="s">
        <v>203</v>
      </c>
      <c r="JZI14" s="314" t="s">
        <v>203</v>
      </c>
      <c r="JZJ14" s="314" t="s">
        <v>203</v>
      </c>
      <c r="JZK14" s="314" t="s">
        <v>203</v>
      </c>
      <c r="JZL14" s="314" t="s">
        <v>203</v>
      </c>
      <c r="JZM14" s="314" t="s">
        <v>203</v>
      </c>
      <c r="JZN14" s="314" t="s">
        <v>203</v>
      </c>
      <c r="JZO14" s="314" t="s">
        <v>203</v>
      </c>
      <c r="JZP14" s="314" t="s">
        <v>203</v>
      </c>
      <c r="JZQ14" s="314" t="s">
        <v>203</v>
      </c>
      <c r="JZR14" s="314" t="s">
        <v>203</v>
      </c>
      <c r="JZS14" s="314" t="s">
        <v>203</v>
      </c>
      <c r="JZT14" s="314" t="s">
        <v>203</v>
      </c>
      <c r="JZU14" s="314" t="s">
        <v>203</v>
      </c>
      <c r="JZV14" s="314" t="s">
        <v>203</v>
      </c>
      <c r="JZW14" s="314" t="s">
        <v>203</v>
      </c>
      <c r="JZX14" s="314" t="s">
        <v>203</v>
      </c>
      <c r="JZY14" s="314" t="s">
        <v>203</v>
      </c>
      <c r="JZZ14" s="314" t="s">
        <v>203</v>
      </c>
      <c r="KAA14" s="314" t="s">
        <v>203</v>
      </c>
      <c r="KAB14" s="314" t="s">
        <v>203</v>
      </c>
      <c r="KAC14" s="314" t="s">
        <v>203</v>
      </c>
      <c r="KAD14" s="314" t="s">
        <v>203</v>
      </c>
      <c r="KAE14" s="314" t="s">
        <v>203</v>
      </c>
      <c r="KAF14" s="314" t="s">
        <v>203</v>
      </c>
      <c r="KAG14" s="314" t="s">
        <v>203</v>
      </c>
      <c r="KAH14" s="314" t="s">
        <v>203</v>
      </c>
      <c r="KAI14" s="314" t="s">
        <v>203</v>
      </c>
      <c r="KAJ14" s="314" t="s">
        <v>203</v>
      </c>
      <c r="KAK14" s="314" t="s">
        <v>203</v>
      </c>
      <c r="KAL14" s="314" t="s">
        <v>203</v>
      </c>
      <c r="KAM14" s="314" t="s">
        <v>203</v>
      </c>
      <c r="KAN14" s="314" t="s">
        <v>203</v>
      </c>
      <c r="KAO14" s="314" t="s">
        <v>203</v>
      </c>
      <c r="KAP14" s="314" t="s">
        <v>203</v>
      </c>
      <c r="KAQ14" s="314" t="s">
        <v>203</v>
      </c>
      <c r="KAR14" s="314" t="s">
        <v>203</v>
      </c>
      <c r="KAS14" s="314" t="s">
        <v>203</v>
      </c>
      <c r="KAT14" s="314" t="s">
        <v>203</v>
      </c>
      <c r="KAU14" s="314" t="s">
        <v>203</v>
      </c>
      <c r="KAV14" s="314" t="s">
        <v>203</v>
      </c>
      <c r="KAW14" s="314" t="s">
        <v>203</v>
      </c>
      <c r="KAX14" s="314" t="s">
        <v>203</v>
      </c>
      <c r="KAY14" s="314" t="s">
        <v>203</v>
      </c>
      <c r="KAZ14" s="314" t="s">
        <v>203</v>
      </c>
      <c r="KBA14" s="314" t="s">
        <v>203</v>
      </c>
      <c r="KBB14" s="314" t="s">
        <v>203</v>
      </c>
      <c r="KBC14" s="314" t="s">
        <v>203</v>
      </c>
      <c r="KBD14" s="314" t="s">
        <v>203</v>
      </c>
      <c r="KBE14" s="314" t="s">
        <v>203</v>
      </c>
      <c r="KBF14" s="314" t="s">
        <v>203</v>
      </c>
      <c r="KBG14" s="314" t="s">
        <v>203</v>
      </c>
      <c r="KBH14" s="314" t="s">
        <v>203</v>
      </c>
      <c r="KBI14" s="314" t="s">
        <v>203</v>
      </c>
      <c r="KBJ14" s="314" t="s">
        <v>203</v>
      </c>
      <c r="KBK14" s="314" t="s">
        <v>203</v>
      </c>
      <c r="KBL14" s="314" t="s">
        <v>203</v>
      </c>
      <c r="KBM14" s="314" t="s">
        <v>203</v>
      </c>
      <c r="KBN14" s="314" t="s">
        <v>203</v>
      </c>
      <c r="KBO14" s="314" t="s">
        <v>203</v>
      </c>
      <c r="KBP14" s="314" t="s">
        <v>203</v>
      </c>
      <c r="KBQ14" s="314" t="s">
        <v>203</v>
      </c>
      <c r="KBR14" s="314" t="s">
        <v>203</v>
      </c>
      <c r="KBS14" s="314" t="s">
        <v>203</v>
      </c>
      <c r="KBT14" s="314" t="s">
        <v>203</v>
      </c>
      <c r="KBU14" s="314" t="s">
        <v>203</v>
      </c>
      <c r="KBV14" s="314" t="s">
        <v>203</v>
      </c>
      <c r="KBW14" s="314" t="s">
        <v>203</v>
      </c>
      <c r="KBX14" s="314" t="s">
        <v>203</v>
      </c>
      <c r="KBY14" s="314" t="s">
        <v>203</v>
      </c>
      <c r="KBZ14" s="314" t="s">
        <v>203</v>
      </c>
      <c r="KCA14" s="314" t="s">
        <v>203</v>
      </c>
      <c r="KCB14" s="314" t="s">
        <v>203</v>
      </c>
      <c r="KCC14" s="314" t="s">
        <v>203</v>
      </c>
      <c r="KCD14" s="314" t="s">
        <v>203</v>
      </c>
      <c r="KCE14" s="314" t="s">
        <v>203</v>
      </c>
      <c r="KCF14" s="314" t="s">
        <v>203</v>
      </c>
      <c r="KCG14" s="314" t="s">
        <v>203</v>
      </c>
      <c r="KCH14" s="314" t="s">
        <v>203</v>
      </c>
      <c r="KCI14" s="314" t="s">
        <v>203</v>
      </c>
      <c r="KCJ14" s="314" t="s">
        <v>203</v>
      </c>
      <c r="KCK14" s="314" t="s">
        <v>203</v>
      </c>
      <c r="KCL14" s="314" t="s">
        <v>203</v>
      </c>
      <c r="KCM14" s="314" t="s">
        <v>203</v>
      </c>
      <c r="KCN14" s="314" t="s">
        <v>203</v>
      </c>
      <c r="KCO14" s="314" t="s">
        <v>203</v>
      </c>
      <c r="KCP14" s="314" t="s">
        <v>203</v>
      </c>
      <c r="KCQ14" s="314" t="s">
        <v>203</v>
      </c>
      <c r="KCR14" s="314" t="s">
        <v>203</v>
      </c>
      <c r="KCS14" s="314" t="s">
        <v>203</v>
      </c>
      <c r="KCT14" s="314" t="s">
        <v>203</v>
      </c>
      <c r="KCU14" s="314" t="s">
        <v>203</v>
      </c>
      <c r="KCV14" s="314" t="s">
        <v>203</v>
      </c>
      <c r="KCW14" s="314" t="s">
        <v>203</v>
      </c>
      <c r="KCX14" s="314" t="s">
        <v>203</v>
      </c>
      <c r="KCY14" s="314" t="s">
        <v>203</v>
      </c>
      <c r="KCZ14" s="314" t="s">
        <v>203</v>
      </c>
      <c r="KDA14" s="314" t="s">
        <v>203</v>
      </c>
      <c r="KDB14" s="314" t="s">
        <v>203</v>
      </c>
      <c r="KDC14" s="314" t="s">
        <v>203</v>
      </c>
      <c r="KDD14" s="314" t="s">
        <v>203</v>
      </c>
      <c r="KDE14" s="314" t="s">
        <v>203</v>
      </c>
      <c r="KDF14" s="314" t="s">
        <v>203</v>
      </c>
      <c r="KDG14" s="314" t="s">
        <v>203</v>
      </c>
      <c r="KDH14" s="314" t="s">
        <v>203</v>
      </c>
      <c r="KDI14" s="314" t="s">
        <v>203</v>
      </c>
      <c r="KDJ14" s="314" t="s">
        <v>203</v>
      </c>
      <c r="KDK14" s="314" t="s">
        <v>203</v>
      </c>
      <c r="KDL14" s="314" t="s">
        <v>203</v>
      </c>
      <c r="KDM14" s="314" t="s">
        <v>203</v>
      </c>
      <c r="KDN14" s="314" t="s">
        <v>203</v>
      </c>
      <c r="KDO14" s="314" t="s">
        <v>203</v>
      </c>
      <c r="KDP14" s="314" t="s">
        <v>203</v>
      </c>
      <c r="KDQ14" s="314" t="s">
        <v>203</v>
      </c>
      <c r="KDR14" s="314" t="s">
        <v>203</v>
      </c>
      <c r="KDS14" s="314" t="s">
        <v>203</v>
      </c>
      <c r="KDT14" s="314" t="s">
        <v>203</v>
      </c>
      <c r="KDU14" s="314" t="s">
        <v>203</v>
      </c>
      <c r="KDV14" s="314" t="s">
        <v>203</v>
      </c>
      <c r="KDW14" s="314" t="s">
        <v>203</v>
      </c>
      <c r="KDX14" s="314" t="s">
        <v>203</v>
      </c>
      <c r="KDY14" s="314" t="s">
        <v>203</v>
      </c>
      <c r="KDZ14" s="314" t="s">
        <v>203</v>
      </c>
      <c r="KEA14" s="314" t="s">
        <v>203</v>
      </c>
      <c r="KEB14" s="314" t="s">
        <v>203</v>
      </c>
      <c r="KEC14" s="314" t="s">
        <v>203</v>
      </c>
      <c r="KED14" s="314" t="s">
        <v>203</v>
      </c>
      <c r="KEE14" s="314" t="s">
        <v>203</v>
      </c>
      <c r="KEF14" s="314" t="s">
        <v>203</v>
      </c>
      <c r="KEG14" s="314" t="s">
        <v>203</v>
      </c>
      <c r="KEH14" s="314" t="s">
        <v>203</v>
      </c>
      <c r="KEI14" s="314" t="s">
        <v>203</v>
      </c>
      <c r="KEJ14" s="314" t="s">
        <v>203</v>
      </c>
      <c r="KEK14" s="314" t="s">
        <v>203</v>
      </c>
      <c r="KEL14" s="314" t="s">
        <v>203</v>
      </c>
      <c r="KEM14" s="314" t="s">
        <v>203</v>
      </c>
      <c r="KEN14" s="314" t="s">
        <v>203</v>
      </c>
      <c r="KEO14" s="314" t="s">
        <v>203</v>
      </c>
      <c r="KEP14" s="314" t="s">
        <v>203</v>
      </c>
      <c r="KEQ14" s="314" t="s">
        <v>203</v>
      </c>
      <c r="KER14" s="314" t="s">
        <v>203</v>
      </c>
      <c r="KES14" s="314" t="s">
        <v>203</v>
      </c>
      <c r="KET14" s="314" t="s">
        <v>203</v>
      </c>
      <c r="KEU14" s="314" t="s">
        <v>203</v>
      </c>
      <c r="KEV14" s="314" t="s">
        <v>203</v>
      </c>
      <c r="KEW14" s="314" t="s">
        <v>203</v>
      </c>
      <c r="KEX14" s="314" t="s">
        <v>203</v>
      </c>
      <c r="KEY14" s="314" t="s">
        <v>203</v>
      </c>
      <c r="KEZ14" s="314" t="s">
        <v>203</v>
      </c>
      <c r="KFA14" s="314" t="s">
        <v>203</v>
      </c>
      <c r="KFB14" s="314" t="s">
        <v>203</v>
      </c>
      <c r="KFC14" s="314" t="s">
        <v>203</v>
      </c>
      <c r="KFD14" s="314" t="s">
        <v>203</v>
      </c>
      <c r="KFE14" s="314" t="s">
        <v>203</v>
      </c>
      <c r="KFF14" s="314" t="s">
        <v>203</v>
      </c>
      <c r="KFG14" s="314" t="s">
        <v>203</v>
      </c>
      <c r="KFH14" s="314" t="s">
        <v>203</v>
      </c>
      <c r="KFI14" s="314" t="s">
        <v>203</v>
      </c>
      <c r="KFJ14" s="314" t="s">
        <v>203</v>
      </c>
      <c r="KFK14" s="314" t="s">
        <v>203</v>
      </c>
      <c r="KFL14" s="314" t="s">
        <v>203</v>
      </c>
      <c r="KFM14" s="314" t="s">
        <v>203</v>
      </c>
      <c r="KFN14" s="314" t="s">
        <v>203</v>
      </c>
      <c r="KFO14" s="314" t="s">
        <v>203</v>
      </c>
      <c r="KFP14" s="314" t="s">
        <v>203</v>
      </c>
      <c r="KFQ14" s="314" t="s">
        <v>203</v>
      </c>
      <c r="KFR14" s="314" t="s">
        <v>203</v>
      </c>
      <c r="KFS14" s="314" t="s">
        <v>203</v>
      </c>
      <c r="KFT14" s="314" t="s">
        <v>203</v>
      </c>
      <c r="KFU14" s="314" t="s">
        <v>203</v>
      </c>
      <c r="KFV14" s="314" t="s">
        <v>203</v>
      </c>
      <c r="KFW14" s="314" t="s">
        <v>203</v>
      </c>
      <c r="KFX14" s="314" t="s">
        <v>203</v>
      </c>
      <c r="KFY14" s="314" t="s">
        <v>203</v>
      </c>
      <c r="KFZ14" s="314" t="s">
        <v>203</v>
      </c>
      <c r="KGA14" s="314" t="s">
        <v>203</v>
      </c>
      <c r="KGB14" s="314" t="s">
        <v>203</v>
      </c>
      <c r="KGC14" s="314" t="s">
        <v>203</v>
      </c>
      <c r="KGD14" s="314" t="s">
        <v>203</v>
      </c>
      <c r="KGE14" s="314" t="s">
        <v>203</v>
      </c>
      <c r="KGF14" s="314" t="s">
        <v>203</v>
      </c>
      <c r="KGG14" s="314" t="s">
        <v>203</v>
      </c>
      <c r="KGH14" s="314" t="s">
        <v>203</v>
      </c>
      <c r="KGI14" s="314" t="s">
        <v>203</v>
      </c>
      <c r="KGJ14" s="314" t="s">
        <v>203</v>
      </c>
      <c r="KGK14" s="314" t="s">
        <v>203</v>
      </c>
      <c r="KGL14" s="314" t="s">
        <v>203</v>
      </c>
      <c r="KGM14" s="314" t="s">
        <v>203</v>
      </c>
      <c r="KGN14" s="314" t="s">
        <v>203</v>
      </c>
      <c r="KGO14" s="314" t="s">
        <v>203</v>
      </c>
      <c r="KGP14" s="314" t="s">
        <v>203</v>
      </c>
      <c r="KGQ14" s="314" t="s">
        <v>203</v>
      </c>
      <c r="KGR14" s="314" t="s">
        <v>203</v>
      </c>
      <c r="KGS14" s="314" t="s">
        <v>203</v>
      </c>
      <c r="KGT14" s="314" t="s">
        <v>203</v>
      </c>
      <c r="KGU14" s="314" t="s">
        <v>203</v>
      </c>
      <c r="KGV14" s="314" t="s">
        <v>203</v>
      </c>
      <c r="KGW14" s="314" t="s">
        <v>203</v>
      </c>
      <c r="KGX14" s="314" t="s">
        <v>203</v>
      </c>
      <c r="KGY14" s="314" t="s">
        <v>203</v>
      </c>
      <c r="KGZ14" s="314" t="s">
        <v>203</v>
      </c>
      <c r="KHA14" s="314" t="s">
        <v>203</v>
      </c>
      <c r="KHB14" s="314" t="s">
        <v>203</v>
      </c>
      <c r="KHC14" s="314" t="s">
        <v>203</v>
      </c>
      <c r="KHD14" s="314" t="s">
        <v>203</v>
      </c>
      <c r="KHE14" s="314" t="s">
        <v>203</v>
      </c>
      <c r="KHF14" s="314" t="s">
        <v>203</v>
      </c>
      <c r="KHG14" s="314" t="s">
        <v>203</v>
      </c>
      <c r="KHH14" s="314" t="s">
        <v>203</v>
      </c>
      <c r="KHI14" s="314" t="s">
        <v>203</v>
      </c>
      <c r="KHJ14" s="314" t="s">
        <v>203</v>
      </c>
      <c r="KHK14" s="314" t="s">
        <v>203</v>
      </c>
      <c r="KHL14" s="314" t="s">
        <v>203</v>
      </c>
      <c r="KHM14" s="314" t="s">
        <v>203</v>
      </c>
      <c r="KHN14" s="314" t="s">
        <v>203</v>
      </c>
      <c r="KHO14" s="314" t="s">
        <v>203</v>
      </c>
      <c r="KHP14" s="314" t="s">
        <v>203</v>
      </c>
      <c r="KHQ14" s="314" t="s">
        <v>203</v>
      </c>
      <c r="KHR14" s="314" t="s">
        <v>203</v>
      </c>
      <c r="KHS14" s="314" t="s">
        <v>203</v>
      </c>
      <c r="KHT14" s="314" t="s">
        <v>203</v>
      </c>
      <c r="KHU14" s="314" t="s">
        <v>203</v>
      </c>
      <c r="KHV14" s="314" t="s">
        <v>203</v>
      </c>
      <c r="KHW14" s="314" t="s">
        <v>203</v>
      </c>
      <c r="KHX14" s="314" t="s">
        <v>203</v>
      </c>
      <c r="KHY14" s="314" t="s">
        <v>203</v>
      </c>
      <c r="KHZ14" s="314" t="s">
        <v>203</v>
      </c>
      <c r="KIA14" s="314" t="s">
        <v>203</v>
      </c>
      <c r="KIB14" s="314" t="s">
        <v>203</v>
      </c>
      <c r="KIC14" s="314" t="s">
        <v>203</v>
      </c>
      <c r="KID14" s="314" t="s">
        <v>203</v>
      </c>
      <c r="KIE14" s="314" t="s">
        <v>203</v>
      </c>
      <c r="KIF14" s="314" t="s">
        <v>203</v>
      </c>
      <c r="KIG14" s="314" t="s">
        <v>203</v>
      </c>
      <c r="KIH14" s="314" t="s">
        <v>203</v>
      </c>
      <c r="KII14" s="314" t="s">
        <v>203</v>
      </c>
      <c r="KIJ14" s="314" t="s">
        <v>203</v>
      </c>
      <c r="KIK14" s="314" t="s">
        <v>203</v>
      </c>
      <c r="KIL14" s="314" t="s">
        <v>203</v>
      </c>
      <c r="KIM14" s="314" t="s">
        <v>203</v>
      </c>
      <c r="KIN14" s="314" t="s">
        <v>203</v>
      </c>
      <c r="KIO14" s="314" t="s">
        <v>203</v>
      </c>
      <c r="KIP14" s="314" t="s">
        <v>203</v>
      </c>
      <c r="KIQ14" s="314" t="s">
        <v>203</v>
      </c>
      <c r="KIR14" s="314" t="s">
        <v>203</v>
      </c>
      <c r="KIS14" s="314" t="s">
        <v>203</v>
      </c>
      <c r="KIT14" s="314" t="s">
        <v>203</v>
      </c>
      <c r="KIU14" s="314" t="s">
        <v>203</v>
      </c>
      <c r="KIV14" s="314" t="s">
        <v>203</v>
      </c>
      <c r="KIW14" s="314" t="s">
        <v>203</v>
      </c>
      <c r="KIX14" s="314" t="s">
        <v>203</v>
      </c>
      <c r="KIY14" s="314" t="s">
        <v>203</v>
      </c>
      <c r="KIZ14" s="314" t="s">
        <v>203</v>
      </c>
      <c r="KJA14" s="314" t="s">
        <v>203</v>
      </c>
      <c r="KJB14" s="314" t="s">
        <v>203</v>
      </c>
      <c r="KJC14" s="314" t="s">
        <v>203</v>
      </c>
      <c r="KJD14" s="314" t="s">
        <v>203</v>
      </c>
      <c r="KJE14" s="314" t="s">
        <v>203</v>
      </c>
      <c r="KJF14" s="314" t="s">
        <v>203</v>
      </c>
      <c r="KJG14" s="314" t="s">
        <v>203</v>
      </c>
      <c r="KJH14" s="314" t="s">
        <v>203</v>
      </c>
      <c r="KJI14" s="314" t="s">
        <v>203</v>
      </c>
      <c r="KJJ14" s="314" t="s">
        <v>203</v>
      </c>
      <c r="KJK14" s="314" t="s">
        <v>203</v>
      </c>
      <c r="KJL14" s="314" t="s">
        <v>203</v>
      </c>
      <c r="KJM14" s="314" t="s">
        <v>203</v>
      </c>
      <c r="KJN14" s="314" t="s">
        <v>203</v>
      </c>
      <c r="KJO14" s="314" t="s">
        <v>203</v>
      </c>
      <c r="KJP14" s="314" t="s">
        <v>203</v>
      </c>
      <c r="KJQ14" s="314" t="s">
        <v>203</v>
      </c>
      <c r="KJR14" s="314" t="s">
        <v>203</v>
      </c>
      <c r="KJS14" s="314" t="s">
        <v>203</v>
      </c>
      <c r="KJT14" s="314" t="s">
        <v>203</v>
      </c>
      <c r="KJU14" s="314" t="s">
        <v>203</v>
      </c>
      <c r="KJV14" s="314" t="s">
        <v>203</v>
      </c>
      <c r="KJW14" s="314" t="s">
        <v>203</v>
      </c>
      <c r="KJX14" s="314" t="s">
        <v>203</v>
      </c>
      <c r="KJY14" s="314" t="s">
        <v>203</v>
      </c>
      <c r="KJZ14" s="314" t="s">
        <v>203</v>
      </c>
      <c r="KKA14" s="314" t="s">
        <v>203</v>
      </c>
      <c r="KKB14" s="314" t="s">
        <v>203</v>
      </c>
      <c r="KKC14" s="314" t="s">
        <v>203</v>
      </c>
      <c r="KKD14" s="314" t="s">
        <v>203</v>
      </c>
      <c r="KKE14" s="314" t="s">
        <v>203</v>
      </c>
      <c r="KKF14" s="314" t="s">
        <v>203</v>
      </c>
      <c r="KKG14" s="314" t="s">
        <v>203</v>
      </c>
      <c r="KKH14" s="314" t="s">
        <v>203</v>
      </c>
      <c r="KKI14" s="314" t="s">
        <v>203</v>
      </c>
      <c r="KKJ14" s="314" t="s">
        <v>203</v>
      </c>
      <c r="KKK14" s="314" t="s">
        <v>203</v>
      </c>
      <c r="KKL14" s="314" t="s">
        <v>203</v>
      </c>
      <c r="KKM14" s="314" t="s">
        <v>203</v>
      </c>
      <c r="KKN14" s="314" t="s">
        <v>203</v>
      </c>
      <c r="KKO14" s="314" t="s">
        <v>203</v>
      </c>
      <c r="KKP14" s="314" t="s">
        <v>203</v>
      </c>
      <c r="KKQ14" s="314" t="s">
        <v>203</v>
      </c>
      <c r="KKR14" s="314" t="s">
        <v>203</v>
      </c>
      <c r="KKS14" s="314" t="s">
        <v>203</v>
      </c>
      <c r="KKT14" s="314" t="s">
        <v>203</v>
      </c>
      <c r="KKU14" s="314" t="s">
        <v>203</v>
      </c>
      <c r="KKV14" s="314" t="s">
        <v>203</v>
      </c>
      <c r="KKW14" s="314" t="s">
        <v>203</v>
      </c>
      <c r="KKX14" s="314" t="s">
        <v>203</v>
      </c>
      <c r="KKY14" s="314" t="s">
        <v>203</v>
      </c>
      <c r="KKZ14" s="314" t="s">
        <v>203</v>
      </c>
      <c r="KLA14" s="314" t="s">
        <v>203</v>
      </c>
      <c r="KLB14" s="314" t="s">
        <v>203</v>
      </c>
      <c r="KLC14" s="314" t="s">
        <v>203</v>
      </c>
      <c r="KLD14" s="314" t="s">
        <v>203</v>
      </c>
      <c r="KLE14" s="314" t="s">
        <v>203</v>
      </c>
      <c r="KLF14" s="314" t="s">
        <v>203</v>
      </c>
      <c r="KLG14" s="314" t="s">
        <v>203</v>
      </c>
      <c r="KLH14" s="314" t="s">
        <v>203</v>
      </c>
      <c r="KLI14" s="314" t="s">
        <v>203</v>
      </c>
      <c r="KLJ14" s="314" t="s">
        <v>203</v>
      </c>
      <c r="KLK14" s="314" t="s">
        <v>203</v>
      </c>
      <c r="KLL14" s="314" t="s">
        <v>203</v>
      </c>
      <c r="KLM14" s="314" t="s">
        <v>203</v>
      </c>
      <c r="KLN14" s="314" t="s">
        <v>203</v>
      </c>
      <c r="KLO14" s="314" t="s">
        <v>203</v>
      </c>
      <c r="KLP14" s="314" t="s">
        <v>203</v>
      </c>
      <c r="KLQ14" s="314" t="s">
        <v>203</v>
      </c>
      <c r="KLR14" s="314" t="s">
        <v>203</v>
      </c>
      <c r="KLS14" s="314" t="s">
        <v>203</v>
      </c>
      <c r="KLT14" s="314" t="s">
        <v>203</v>
      </c>
      <c r="KLU14" s="314" t="s">
        <v>203</v>
      </c>
      <c r="KLV14" s="314" t="s">
        <v>203</v>
      </c>
      <c r="KLW14" s="314" t="s">
        <v>203</v>
      </c>
      <c r="KLX14" s="314" t="s">
        <v>203</v>
      </c>
      <c r="KLY14" s="314" t="s">
        <v>203</v>
      </c>
      <c r="KLZ14" s="314" t="s">
        <v>203</v>
      </c>
      <c r="KMA14" s="314" t="s">
        <v>203</v>
      </c>
      <c r="KMB14" s="314" t="s">
        <v>203</v>
      </c>
      <c r="KMC14" s="314" t="s">
        <v>203</v>
      </c>
      <c r="KMD14" s="314" t="s">
        <v>203</v>
      </c>
      <c r="KME14" s="314" t="s">
        <v>203</v>
      </c>
      <c r="KMF14" s="314" t="s">
        <v>203</v>
      </c>
      <c r="KMG14" s="314" t="s">
        <v>203</v>
      </c>
      <c r="KMH14" s="314" t="s">
        <v>203</v>
      </c>
      <c r="KMI14" s="314" t="s">
        <v>203</v>
      </c>
      <c r="KMJ14" s="314" t="s">
        <v>203</v>
      </c>
      <c r="KMK14" s="314" t="s">
        <v>203</v>
      </c>
      <c r="KML14" s="314" t="s">
        <v>203</v>
      </c>
      <c r="KMM14" s="314" t="s">
        <v>203</v>
      </c>
      <c r="KMN14" s="314" t="s">
        <v>203</v>
      </c>
      <c r="KMO14" s="314" t="s">
        <v>203</v>
      </c>
      <c r="KMP14" s="314" t="s">
        <v>203</v>
      </c>
      <c r="KMQ14" s="314" t="s">
        <v>203</v>
      </c>
      <c r="KMR14" s="314" t="s">
        <v>203</v>
      </c>
      <c r="KMS14" s="314" t="s">
        <v>203</v>
      </c>
      <c r="KMT14" s="314" t="s">
        <v>203</v>
      </c>
      <c r="KMU14" s="314" t="s">
        <v>203</v>
      </c>
      <c r="KMV14" s="314" t="s">
        <v>203</v>
      </c>
      <c r="KMW14" s="314" t="s">
        <v>203</v>
      </c>
      <c r="KMX14" s="314" t="s">
        <v>203</v>
      </c>
      <c r="KMY14" s="314" t="s">
        <v>203</v>
      </c>
      <c r="KMZ14" s="314" t="s">
        <v>203</v>
      </c>
      <c r="KNA14" s="314" t="s">
        <v>203</v>
      </c>
      <c r="KNB14" s="314" t="s">
        <v>203</v>
      </c>
      <c r="KNC14" s="314" t="s">
        <v>203</v>
      </c>
      <c r="KND14" s="314" t="s">
        <v>203</v>
      </c>
      <c r="KNE14" s="314" t="s">
        <v>203</v>
      </c>
      <c r="KNF14" s="314" t="s">
        <v>203</v>
      </c>
      <c r="KNG14" s="314" t="s">
        <v>203</v>
      </c>
      <c r="KNH14" s="314" t="s">
        <v>203</v>
      </c>
      <c r="KNI14" s="314" t="s">
        <v>203</v>
      </c>
      <c r="KNJ14" s="314" t="s">
        <v>203</v>
      </c>
      <c r="KNK14" s="314" t="s">
        <v>203</v>
      </c>
      <c r="KNL14" s="314" t="s">
        <v>203</v>
      </c>
      <c r="KNM14" s="314" t="s">
        <v>203</v>
      </c>
      <c r="KNN14" s="314" t="s">
        <v>203</v>
      </c>
      <c r="KNO14" s="314" t="s">
        <v>203</v>
      </c>
      <c r="KNP14" s="314" t="s">
        <v>203</v>
      </c>
      <c r="KNQ14" s="314" t="s">
        <v>203</v>
      </c>
      <c r="KNR14" s="314" t="s">
        <v>203</v>
      </c>
      <c r="KNS14" s="314" t="s">
        <v>203</v>
      </c>
      <c r="KNT14" s="314" t="s">
        <v>203</v>
      </c>
      <c r="KNU14" s="314" t="s">
        <v>203</v>
      </c>
      <c r="KNV14" s="314" t="s">
        <v>203</v>
      </c>
      <c r="KNW14" s="314" t="s">
        <v>203</v>
      </c>
      <c r="KNX14" s="314" t="s">
        <v>203</v>
      </c>
      <c r="KNY14" s="314" t="s">
        <v>203</v>
      </c>
      <c r="KNZ14" s="314" t="s">
        <v>203</v>
      </c>
      <c r="KOA14" s="314" t="s">
        <v>203</v>
      </c>
      <c r="KOB14" s="314" t="s">
        <v>203</v>
      </c>
      <c r="KOC14" s="314" t="s">
        <v>203</v>
      </c>
      <c r="KOD14" s="314" t="s">
        <v>203</v>
      </c>
      <c r="KOE14" s="314" t="s">
        <v>203</v>
      </c>
      <c r="KOF14" s="314" t="s">
        <v>203</v>
      </c>
      <c r="KOG14" s="314" t="s">
        <v>203</v>
      </c>
      <c r="KOH14" s="314" t="s">
        <v>203</v>
      </c>
      <c r="KOI14" s="314" t="s">
        <v>203</v>
      </c>
      <c r="KOJ14" s="314" t="s">
        <v>203</v>
      </c>
      <c r="KOK14" s="314" t="s">
        <v>203</v>
      </c>
      <c r="KOL14" s="314" t="s">
        <v>203</v>
      </c>
      <c r="KOM14" s="314" t="s">
        <v>203</v>
      </c>
      <c r="KON14" s="314" t="s">
        <v>203</v>
      </c>
      <c r="KOO14" s="314" t="s">
        <v>203</v>
      </c>
      <c r="KOP14" s="314" t="s">
        <v>203</v>
      </c>
      <c r="KOQ14" s="314" t="s">
        <v>203</v>
      </c>
      <c r="KOR14" s="314" t="s">
        <v>203</v>
      </c>
      <c r="KOS14" s="314" t="s">
        <v>203</v>
      </c>
      <c r="KOT14" s="314" t="s">
        <v>203</v>
      </c>
      <c r="KOU14" s="314" t="s">
        <v>203</v>
      </c>
      <c r="KOV14" s="314" t="s">
        <v>203</v>
      </c>
      <c r="KOW14" s="314" t="s">
        <v>203</v>
      </c>
      <c r="KOX14" s="314" t="s">
        <v>203</v>
      </c>
      <c r="KOY14" s="314" t="s">
        <v>203</v>
      </c>
      <c r="KOZ14" s="314" t="s">
        <v>203</v>
      </c>
      <c r="KPA14" s="314" t="s">
        <v>203</v>
      </c>
      <c r="KPB14" s="314" t="s">
        <v>203</v>
      </c>
      <c r="KPC14" s="314" t="s">
        <v>203</v>
      </c>
      <c r="KPD14" s="314" t="s">
        <v>203</v>
      </c>
      <c r="KPE14" s="314" t="s">
        <v>203</v>
      </c>
      <c r="KPF14" s="314" t="s">
        <v>203</v>
      </c>
      <c r="KPG14" s="314" t="s">
        <v>203</v>
      </c>
      <c r="KPH14" s="314" t="s">
        <v>203</v>
      </c>
      <c r="KPI14" s="314" t="s">
        <v>203</v>
      </c>
      <c r="KPJ14" s="314" t="s">
        <v>203</v>
      </c>
      <c r="KPK14" s="314" t="s">
        <v>203</v>
      </c>
      <c r="KPL14" s="314" t="s">
        <v>203</v>
      </c>
      <c r="KPM14" s="314" t="s">
        <v>203</v>
      </c>
      <c r="KPN14" s="314" t="s">
        <v>203</v>
      </c>
      <c r="KPO14" s="314" t="s">
        <v>203</v>
      </c>
      <c r="KPP14" s="314" t="s">
        <v>203</v>
      </c>
      <c r="KPQ14" s="314" t="s">
        <v>203</v>
      </c>
      <c r="KPR14" s="314" t="s">
        <v>203</v>
      </c>
      <c r="KPS14" s="314" t="s">
        <v>203</v>
      </c>
      <c r="KPT14" s="314" t="s">
        <v>203</v>
      </c>
      <c r="KPU14" s="314" t="s">
        <v>203</v>
      </c>
      <c r="KPV14" s="314" t="s">
        <v>203</v>
      </c>
      <c r="KPW14" s="314" t="s">
        <v>203</v>
      </c>
      <c r="KPX14" s="314" t="s">
        <v>203</v>
      </c>
      <c r="KPY14" s="314" t="s">
        <v>203</v>
      </c>
      <c r="KPZ14" s="314" t="s">
        <v>203</v>
      </c>
      <c r="KQA14" s="314" t="s">
        <v>203</v>
      </c>
      <c r="KQB14" s="314" t="s">
        <v>203</v>
      </c>
      <c r="KQC14" s="314" t="s">
        <v>203</v>
      </c>
      <c r="KQD14" s="314" t="s">
        <v>203</v>
      </c>
      <c r="KQE14" s="314" t="s">
        <v>203</v>
      </c>
      <c r="KQF14" s="314" t="s">
        <v>203</v>
      </c>
      <c r="KQG14" s="314" t="s">
        <v>203</v>
      </c>
      <c r="KQH14" s="314" t="s">
        <v>203</v>
      </c>
      <c r="KQI14" s="314" t="s">
        <v>203</v>
      </c>
      <c r="KQJ14" s="314" t="s">
        <v>203</v>
      </c>
      <c r="KQK14" s="314" t="s">
        <v>203</v>
      </c>
      <c r="KQL14" s="314" t="s">
        <v>203</v>
      </c>
      <c r="KQM14" s="314" t="s">
        <v>203</v>
      </c>
      <c r="KQN14" s="314" t="s">
        <v>203</v>
      </c>
      <c r="KQO14" s="314" t="s">
        <v>203</v>
      </c>
      <c r="KQP14" s="314" t="s">
        <v>203</v>
      </c>
      <c r="KQQ14" s="314" t="s">
        <v>203</v>
      </c>
      <c r="KQR14" s="314" t="s">
        <v>203</v>
      </c>
      <c r="KQS14" s="314" t="s">
        <v>203</v>
      </c>
      <c r="KQT14" s="314" t="s">
        <v>203</v>
      </c>
      <c r="KQU14" s="314" t="s">
        <v>203</v>
      </c>
      <c r="KQV14" s="314" t="s">
        <v>203</v>
      </c>
      <c r="KQW14" s="314" t="s">
        <v>203</v>
      </c>
      <c r="KQX14" s="314" t="s">
        <v>203</v>
      </c>
      <c r="KQY14" s="314" t="s">
        <v>203</v>
      </c>
      <c r="KQZ14" s="314" t="s">
        <v>203</v>
      </c>
      <c r="KRA14" s="314" t="s">
        <v>203</v>
      </c>
      <c r="KRB14" s="314" t="s">
        <v>203</v>
      </c>
      <c r="KRC14" s="314" t="s">
        <v>203</v>
      </c>
      <c r="KRD14" s="314" t="s">
        <v>203</v>
      </c>
      <c r="KRE14" s="314" t="s">
        <v>203</v>
      </c>
      <c r="KRF14" s="314" t="s">
        <v>203</v>
      </c>
      <c r="KRG14" s="314" t="s">
        <v>203</v>
      </c>
      <c r="KRH14" s="314" t="s">
        <v>203</v>
      </c>
      <c r="KRI14" s="314" t="s">
        <v>203</v>
      </c>
      <c r="KRJ14" s="314" t="s">
        <v>203</v>
      </c>
      <c r="KRK14" s="314" t="s">
        <v>203</v>
      </c>
      <c r="KRL14" s="314" t="s">
        <v>203</v>
      </c>
      <c r="KRM14" s="314" t="s">
        <v>203</v>
      </c>
      <c r="KRN14" s="314" t="s">
        <v>203</v>
      </c>
      <c r="KRO14" s="314" t="s">
        <v>203</v>
      </c>
      <c r="KRP14" s="314" t="s">
        <v>203</v>
      </c>
      <c r="KRQ14" s="314" t="s">
        <v>203</v>
      </c>
      <c r="KRR14" s="314" t="s">
        <v>203</v>
      </c>
      <c r="KRS14" s="314" t="s">
        <v>203</v>
      </c>
      <c r="KRT14" s="314" t="s">
        <v>203</v>
      </c>
      <c r="KRU14" s="314" t="s">
        <v>203</v>
      </c>
      <c r="KRV14" s="314" t="s">
        <v>203</v>
      </c>
      <c r="KRW14" s="314" t="s">
        <v>203</v>
      </c>
      <c r="KRX14" s="314" t="s">
        <v>203</v>
      </c>
      <c r="KRY14" s="314" t="s">
        <v>203</v>
      </c>
      <c r="KRZ14" s="314" t="s">
        <v>203</v>
      </c>
      <c r="KSA14" s="314" t="s">
        <v>203</v>
      </c>
      <c r="KSB14" s="314" t="s">
        <v>203</v>
      </c>
      <c r="KSC14" s="314" t="s">
        <v>203</v>
      </c>
      <c r="KSD14" s="314" t="s">
        <v>203</v>
      </c>
      <c r="KSE14" s="314" t="s">
        <v>203</v>
      </c>
      <c r="KSF14" s="314" t="s">
        <v>203</v>
      </c>
      <c r="KSG14" s="314" t="s">
        <v>203</v>
      </c>
      <c r="KSH14" s="314" t="s">
        <v>203</v>
      </c>
      <c r="KSI14" s="314" t="s">
        <v>203</v>
      </c>
      <c r="KSJ14" s="314" t="s">
        <v>203</v>
      </c>
      <c r="KSK14" s="314" t="s">
        <v>203</v>
      </c>
      <c r="KSL14" s="314" t="s">
        <v>203</v>
      </c>
      <c r="KSM14" s="314" t="s">
        <v>203</v>
      </c>
      <c r="KSN14" s="314" t="s">
        <v>203</v>
      </c>
      <c r="KSO14" s="314" t="s">
        <v>203</v>
      </c>
      <c r="KSP14" s="314" t="s">
        <v>203</v>
      </c>
      <c r="KSQ14" s="314" t="s">
        <v>203</v>
      </c>
      <c r="KSR14" s="314" t="s">
        <v>203</v>
      </c>
      <c r="KSS14" s="314" t="s">
        <v>203</v>
      </c>
      <c r="KST14" s="314" t="s">
        <v>203</v>
      </c>
      <c r="KSU14" s="314" t="s">
        <v>203</v>
      </c>
      <c r="KSV14" s="314" t="s">
        <v>203</v>
      </c>
      <c r="KSW14" s="314" t="s">
        <v>203</v>
      </c>
      <c r="KSX14" s="314" t="s">
        <v>203</v>
      </c>
      <c r="KSY14" s="314" t="s">
        <v>203</v>
      </c>
      <c r="KSZ14" s="314" t="s">
        <v>203</v>
      </c>
      <c r="KTA14" s="314" t="s">
        <v>203</v>
      </c>
      <c r="KTB14" s="314" t="s">
        <v>203</v>
      </c>
      <c r="KTC14" s="314" t="s">
        <v>203</v>
      </c>
      <c r="KTD14" s="314" t="s">
        <v>203</v>
      </c>
      <c r="KTE14" s="314" t="s">
        <v>203</v>
      </c>
      <c r="KTF14" s="314" t="s">
        <v>203</v>
      </c>
      <c r="KTG14" s="314" t="s">
        <v>203</v>
      </c>
      <c r="KTH14" s="314" t="s">
        <v>203</v>
      </c>
      <c r="KTI14" s="314" t="s">
        <v>203</v>
      </c>
      <c r="KTJ14" s="314" t="s">
        <v>203</v>
      </c>
      <c r="KTK14" s="314" t="s">
        <v>203</v>
      </c>
      <c r="KTL14" s="314" t="s">
        <v>203</v>
      </c>
      <c r="KTM14" s="314" t="s">
        <v>203</v>
      </c>
      <c r="KTN14" s="314" t="s">
        <v>203</v>
      </c>
      <c r="KTO14" s="314" t="s">
        <v>203</v>
      </c>
      <c r="KTP14" s="314" t="s">
        <v>203</v>
      </c>
      <c r="KTQ14" s="314" t="s">
        <v>203</v>
      </c>
      <c r="KTR14" s="314" t="s">
        <v>203</v>
      </c>
      <c r="KTS14" s="314" t="s">
        <v>203</v>
      </c>
      <c r="KTT14" s="314" t="s">
        <v>203</v>
      </c>
      <c r="KTU14" s="314" t="s">
        <v>203</v>
      </c>
      <c r="KTV14" s="314" t="s">
        <v>203</v>
      </c>
      <c r="KTW14" s="314" t="s">
        <v>203</v>
      </c>
      <c r="KTX14" s="314" t="s">
        <v>203</v>
      </c>
      <c r="KTY14" s="314" t="s">
        <v>203</v>
      </c>
      <c r="KTZ14" s="314" t="s">
        <v>203</v>
      </c>
      <c r="KUA14" s="314" t="s">
        <v>203</v>
      </c>
      <c r="KUB14" s="314" t="s">
        <v>203</v>
      </c>
      <c r="KUC14" s="314" t="s">
        <v>203</v>
      </c>
      <c r="KUD14" s="314" t="s">
        <v>203</v>
      </c>
      <c r="KUE14" s="314" t="s">
        <v>203</v>
      </c>
      <c r="KUF14" s="314" t="s">
        <v>203</v>
      </c>
      <c r="KUG14" s="314" t="s">
        <v>203</v>
      </c>
      <c r="KUH14" s="314" t="s">
        <v>203</v>
      </c>
      <c r="KUI14" s="314" t="s">
        <v>203</v>
      </c>
      <c r="KUJ14" s="314" t="s">
        <v>203</v>
      </c>
      <c r="KUK14" s="314" t="s">
        <v>203</v>
      </c>
      <c r="KUL14" s="314" t="s">
        <v>203</v>
      </c>
      <c r="KUM14" s="314" t="s">
        <v>203</v>
      </c>
      <c r="KUN14" s="314" t="s">
        <v>203</v>
      </c>
      <c r="KUO14" s="314" t="s">
        <v>203</v>
      </c>
      <c r="KUP14" s="314" t="s">
        <v>203</v>
      </c>
      <c r="KUQ14" s="314" t="s">
        <v>203</v>
      </c>
      <c r="KUR14" s="314" t="s">
        <v>203</v>
      </c>
      <c r="KUS14" s="314" t="s">
        <v>203</v>
      </c>
      <c r="KUT14" s="314" t="s">
        <v>203</v>
      </c>
      <c r="KUU14" s="314" t="s">
        <v>203</v>
      </c>
      <c r="KUV14" s="314" t="s">
        <v>203</v>
      </c>
      <c r="KUW14" s="314" t="s">
        <v>203</v>
      </c>
      <c r="KUX14" s="314" t="s">
        <v>203</v>
      </c>
      <c r="KUY14" s="314" t="s">
        <v>203</v>
      </c>
      <c r="KUZ14" s="314" t="s">
        <v>203</v>
      </c>
      <c r="KVA14" s="314" t="s">
        <v>203</v>
      </c>
      <c r="KVB14" s="314" t="s">
        <v>203</v>
      </c>
      <c r="KVC14" s="314" t="s">
        <v>203</v>
      </c>
      <c r="KVD14" s="314" t="s">
        <v>203</v>
      </c>
      <c r="KVE14" s="314" t="s">
        <v>203</v>
      </c>
      <c r="KVF14" s="314" t="s">
        <v>203</v>
      </c>
      <c r="KVG14" s="314" t="s">
        <v>203</v>
      </c>
      <c r="KVH14" s="314" t="s">
        <v>203</v>
      </c>
      <c r="KVI14" s="314" t="s">
        <v>203</v>
      </c>
      <c r="KVJ14" s="314" t="s">
        <v>203</v>
      </c>
      <c r="KVK14" s="314" t="s">
        <v>203</v>
      </c>
      <c r="KVL14" s="314" t="s">
        <v>203</v>
      </c>
      <c r="KVM14" s="314" t="s">
        <v>203</v>
      </c>
      <c r="KVN14" s="314" t="s">
        <v>203</v>
      </c>
      <c r="KVO14" s="314" t="s">
        <v>203</v>
      </c>
      <c r="KVP14" s="314" t="s">
        <v>203</v>
      </c>
      <c r="KVQ14" s="314" t="s">
        <v>203</v>
      </c>
      <c r="KVR14" s="314" t="s">
        <v>203</v>
      </c>
      <c r="KVS14" s="314" t="s">
        <v>203</v>
      </c>
      <c r="KVT14" s="314" t="s">
        <v>203</v>
      </c>
      <c r="KVU14" s="314" t="s">
        <v>203</v>
      </c>
      <c r="KVV14" s="314" t="s">
        <v>203</v>
      </c>
      <c r="KVW14" s="314" t="s">
        <v>203</v>
      </c>
      <c r="KVX14" s="314" t="s">
        <v>203</v>
      </c>
      <c r="KVY14" s="314" t="s">
        <v>203</v>
      </c>
      <c r="KVZ14" s="314" t="s">
        <v>203</v>
      </c>
      <c r="KWA14" s="314" t="s">
        <v>203</v>
      </c>
      <c r="KWB14" s="314" t="s">
        <v>203</v>
      </c>
      <c r="KWC14" s="314" t="s">
        <v>203</v>
      </c>
      <c r="KWD14" s="314" t="s">
        <v>203</v>
      </c>
      <c r="KWE14" s="314" t="s">
        <v>203</v>
      </c>
      <c r="KWF14" s="314" t="s">
        <v>203</v>
      </c>
      <c r="KWG14" s="314" t="s">
        <v>203</v>
      </c>
      <c r="KWH14" s="314" t="s">
        <v>203</v>
      </c>
      <c r="KWI14" s="314" t="s">
        <v>203</v>
      </c>
      <c r="KWJ14" s="314" t="s">
        <v>203</v>
      </c>
      <c r="KWK14" s="314" t="s">
        <v>203</v>
      </c>
      <c r="KWL14" s="314" t="s">
        <v>203</v>
      </c>
      <c r="KWM14" s="314" t="s">
        <v>203</v>
      </c>
      <c r="KWN14" s="314" t="s">
        <v>203</v>
      </c>
      <c r="KWO14" s="314" t="s">
        <v>203</v>
      </c>
      <c r="KWP14" s="314" t="s">
        <v>203</v>
      </c>
      <c r="KWQ14" s="314" t="s">
        <v>203</v>
      </c>
      <c r="KWR14" s="314" t="s">
        <v>203</v>
      </c>
      <c r="KWS14" s="314" t="s">
        <v>203</v>
      </c>
      <c r="KWT14" s="314" t="s">
        <v>203</v>
      </c>
      <c r="KWU14" s="314" t="s">
        <v>203</v>
      </c>
      <c r="KWV14" s="314" t="s">
        <v>203</v>
      </c>
      <c r="KWW14" s="314" t="s">
        <v>203</v>
      </c>
      <c r="KWX14" s="314" t="s">
        <v>203</v>
      </c>
      <c r="KWY14" s="314" t="s">
        <v>203</v>
      </c>
      <c r="KWZ14" s="314" t="s">
        <v>203</v>
      </c>
      <c r="KXA14" s="314" t="s">
        <v>203</v>
      </c>
      <c r="KXB14" s="314" t="s">
        <v>203</v>
      </c>
      <c r="KXC14" s="314" t="s">
        <v>203</v>
      </c>
      <c r="KXD14" s="314" t="s">
        <v>203</v>
      </c>
      <c r="KXE14" s="314" t="s">
        <v>203</v>
      </c>
      <c r="KXF14" s="314" t="s">
        <v>203</v>
      </c>
      <c r="KXG14" s="314" t="s">
        <v>203</v>
      </c>
      <c r="KXH14" s="314" t="s">
        <v>203</v>
      </c>
      <c r="KXI14" s="314" t="s">
        <v>203</v>
      </c>
      <c r="KXJ14" s="314" t="s">
        <v>203</v>
      </c>
      <c r="KXK14" s="314" t="s">
        <v>203</v>
      </c>
      <c r="KXL14" s="314" t="s">
        <v>203</v>
      </c>
      <c r="KXM14" s="314" t="s">
        <v>203</v>
      </c>
      <c r="KXN14" s="314" t="s">
        <v>203</v>
      </c>
      <c r="KXO14" s="314" t="s">
        <v>203</v>
      </c>
      <c r="KXP14" s="314" t="s">
        <v>203</v>
      </c>
      <c r="KXQ14" s="314" t="s">
        <v>203</v>
      </c>
      <c r="KXR14" s="314" t="s">
        <v>203</v>
      </c>
      <c r="KXS14" s="314" t="s">
        <v>203</v>
      </c>
      <c r="KXT14" s="314" t="s">
        <v>203</v>
      </c>
      <c r="KXU14" s="314" t="s">
        <v>203</v>
      </c>
      <c r="KXV14" s="314" t="s">
        <v>203</v>
      </c>
      <c r="KXW14" s="314" t="s">
        <v>203</v>
      </c>
      <c r="KXX14" s="314" t="s">
        <v>203</v>
      </c>
      <c r="KXY14" s="314" t="s">
        <v>203</v>
      </c>
      <c r="KXZ14" s="314" t="s">
        <v>203</v>
      </c>
      <c r="KYA14" s="314" t="s">
        <v>203</v>
      </c>
      <c r="KYB14" s="314" t="s">
        <v>203</v>
      </c>
      <c r="KYC14" s="314" t="s">
        <v>203</v>
      </c>
      <c r="KYD14" s="314" t="s">
        <v>203</v>
      </c>
      <c r="KYE14" s="314" t="s">
        <v>203</v>
      </c>
      <c r="KYF14" s="314" t="s">
        <v>203</v>
      </c>
      <c r="KYG14" s="314" t="s">
        <v>203</v>
      </c>
      <c r="KYH14" s="314" t="s">
        <v>203</v>
      </c>
      <c r="KYI14" s="314" t="s">
        <v>203</v>
      </c>
      <c r="KYJ14" s="314" t="s">
        <v>203</v>
      </c>
      <c r="KYK14" s="314" t="s">
        <v>203</v>
      </c>
      <c r="KYL14" s="314" t="s">
        <v>203</v>
      </c>
      <c r="KYM14" s="314" t="s">
        <v>203</v>
      </c>
      <c r="KYN14" s="314" t="s">
        <v>203</v>
      </c>
      <c r="KYO14" s="314" t="s">
        <v>203</v>
      </c>
      <c r="KYP14" s="314" t="s">
        <v>203</v>
      </c>
      <c r="KYQ14" s="314" t="s">
        <v>203</v>
      </c>
      <c r="KYR14" s="314" t="s">
        <v>203</v>
      </c>
      <c r="KYS14" s="314" t="s">
        <v>203</v>
      </c>
      <c r="KYT14" s="314" t="s">
        <v>203</v>
      </c>
      <c r="KYU14" s="314" t="s">
        <v>203</v>
      </c>
      <c r="KYV14" s="314" t="s">
        <v>203</v>
      </c>
      <c r="KYW14" s="314" t="s">
        <v>203</v>
      </c>
      <c r="KYX14" s="314" t="s">
        <v>203</v>
      </c>
      <c r="KYY14" s="314" t="s">
        <v>203</v>
      </c>
      <c r="KYZ14" s="314" t="s">
        <v>203</v>
      </c>
      <c r="KZA14" s="314" t="s">
        <v>203</v>
      </c>
      <c r="KZB14" s="314" t="s">
        <v>203</v>
      </c>
      <c r="KZC14" s="314" t="s">
        <v>203</v>
      </c>
      <c r="KZD14" s="314" t="s">
        <v>203</v>
      </c>
      <c r="KZE14" s="314" t="s">
        <v>203</v>
      </c>
      <c r="KZF14" s="314" t="s">
        <v>203</v>
      </c>
      <c r="KZG14" s="314" t="s">
        <v>203</v>
      </c>
      <c r="KZH14" s="314" t="s">
        <v>203</v>
      </c>
      <c r="KZI14" s="314" t="s">
        <v>203</v>
      </c>
      <c r="KZJ14" s="314" t="s">
        <v>203</v>
      </c>
      <c r="KZK14" s="314" t="s">
        <v>203</v>
      </c>
      <c r="KZL14" s="314" t="s">
        <v>203</v>
      </c>
      <c r="KZM14" s="314" t="s">
        <v>203</v>
      </c>
      <c r="KZN14" s="314" t="s">
        <v>203</v>
      </c>
      <c r="KZO14" s="314" t="s">
        <v>203</v>
      </c>
      <c r="KZP14" s="314" t="s">
        <v>203</v>
      </c>
      <c r="KZQ14" s="314" t="s">
        <v>203</v>
      </c>
      <c r="KZR14" s="314" t="s">
        <v>203</v>
      </c>
      <c r="KZS14" s="314" t="s">
        <v>203</v>
      </c>
      <c r="KZT14" s="314" t="s">
        <v>203</v>
      </c>
      <c r="KZU14" s="314" t="s">
        <v>203</v>
      </c>
      <c r="KZV14" s="314" t="s">
        <v>203</v>
      </c>
      <c r="KZW14" s="314" t="s">
        <v>203</v>
      </c>
      <c r="KZX14" s="314" t="s">
        <v>203</v>
      </c>
      <c r="KZY14" s="314" t="s">
        <v>203</v>
      </c>
      <c r="KZZ14" s="314" t="s">
        <v>203</v>
      </c>
      <c r="LAA14" s="314" t="s">
        <v>203</v>
      </c>
      <c r="LAB14" s="314" t="s">
        <v>203</v>
      </c>
      <c r="LAC14" s="314" t="s">
        <v>203</v>
      </c>
      <c r="LAD14" s="314" t="s">
        <v>203</v>
      </c>
      <c r="LAE14" s="314" t="s">
        <v>203</v>
      </c>
      <c r="LAF14" s="314" t="s">
        <v>203</v>
      </c>
      <c r="LAG14" s="314" t="s">
        <v>203</v>
      </c>
      <c r="LAH14" s="314" t="s">
        <v>203</v>
      </c>
      <c r="LAI14" s="314" t="s">
        <v>203</v>
      </c>
      <c r="LAJ14" s="314" t="s">
        <v>203</v>
      </c>
      <c r="LAK14" s="314" t="s">
        <v>203</v>
      </c>
      <c r="LAL14" s="314" t="s">
        <v>203</v>
      </c>
      <c r="LAM14" s="314" t="s">
        <v>203</v>
      </c>
      <c r="LAN14" s="314" t="s">
        <v>203</v>
      </c>
      <c r="LAO14" s="314" t="s">
        <v>203</v>
      </c>
      <c r="LAP14" s="314" t="s">
        <v>203</v>
      </c>
      <c r="LAQ14" s="314" t="s">
        <v>203</v>
      </c>
      <c r="LAR14" s="314" t="s">
        <v>203</v>
      </c>
      <c r="LAS14" s="314" t="s">
        <v>203</v>
      </c>
      <c r="LAT14" s="314" t="s">
        <v>203</v>
      </c>
      <c r="LAU14" s="314" t="s">
        <v>203</v>
      </c>
      <c r="LAV14" s="314" t="s">
        <v>203</v>
      </c>
      <c r="LAW14" s="314" t="s">
        <v>203</v>
      </c>
      <c r="LAX14" s="314" t="s">
        <v>203</v>
      </c>
      <c r="LAY14" s="314" t="s">
        <v>203</v>
      </c>
      <c r="LAZ14" s="314" t="s">
        <v>203</v>
      </c>
      <c r="LBA14" s="314" t="s">
        <v>203</v>
      </c>
      <c r="LBB14" s="314" t="s">
        <v>203</v>
      </c>
      <c r="LBC14" s="314" t="s">
        <v>203</v>
      </c>
      <c r="LBD14" s="314" t="s">
        <v>203</v>
      </c>
      <c r="LBE14" s="314" t="s">
        <v>203</v>
      </c>
      <c r="LBF14" s="314" t="s">
        <v>203</v>
      </c>
      <c r="LBG14" s="314" t="s">
        <v>203</v>
      </c>
      <c r="LBH14" s="314" t="s">
        <v>203</v>
      </c>
      <c r="LBI14" s="314" t="s">
        <v>203</v>
      </c>
      <c r="LBJ14" s="314" t="s">
        <v>203</v>
      </c>
      <c r="LBK14" s="314" t="s">
        <v>203</v>
      </c>
      <c r="LBL14" s="314" t="s">
        <v>203</v>
      </c>
      <c r="LBM14" s="314" t="s">
        <v>203</v>
      </c>
      <c r="LBN14" s="314" t="s">
        <v>203</v>
      </c>
      <c r="LBO14" s="314" t="s">
        <v>203</v>
      </c>
      <c r="LBP14" s="314" t="s">
        <v>203</v>
      </c>
      <c r="LBQ14" s="314" t="s">
        <v>203</v>
      </c>
      <c r="LBR14" s="314" t="s">
        <v>203</v>
      </c>
      <c r="LBS14" s="314" t="s">
        <v>203</v>
      </c>
      <c r="LBT14" s="314" t="s">
        <v>203</v>
      </c>
      <c r="LBU14" s="314" t="s">
        <v>203</v>
      </c>
      <c r="LBV14" s="314" t="s">
        <v>203</v>
      </c>
      <c r="LBW14" s="314" t="s">
        <v>203</v>
      </c>
      <c r="LBX14" s="314" t="s">
        <v>203</v>
      </c>
      <c r="LBY14" s="314" t="s">
        <v>203</v>
      </c>
      <c r="LBZ14" s="314" t="s">
        <v>203</v>
      </c>
      <c r="LCA14" s="314" t="s">
        <v>203</v>
      </c>
      <c r="LCB14" s="314" t="s">
        <v>203</v>
      </c>
      <c r="LCC14" s="314" t="s">
        <v>203</v>
      </c>
      <c r="LCD14" s="314" t="s">
        <v>203</v>
      </c>
      <c r="LCE14" s="314" t="s">
        <v>203</v>
      </c>
      <c r="LCF14" s="314" t="s">
        <v>203</v>
      </c>
      <c r="LCG14" s="314" t="s">
        <v>203</v>
      </c>
      <c r="LCH14" s="314" t="s">
        <v>203</v>
      </c>
      <c r="LCI14" s="314" t="s">
        <v>203</v>
      </c>
      <c r="LCJ14" s="314" t="s">
        <v>203</v>
      </c>
      <c r="LCK14" s="314" t="s">
        <v>203</v>
      </c>
      <c r="LCL14" s="314" t="s">
        <v>203</v>
      </c>
      <c r="LCM14" s="314" t="s">
        <v>203</v>
      </c>
      <c r="LCN14" s="314" t="s">
        <v>203</v>
      </c>
      <c r="LCO14" s="314" t="s">
        <v>203</v>
      </c>
      <c r="LCP14" s="314" t="s">
        <v>203</v>
      </c>
      <c r="LCQ14" s="314" t="s">
        <v>203</v>
      </c>
      <c r="LCR14" s="314" t="s">
        <v>203</v>
      </c>
      <c r="LCS14" s="314" t="s">
        <v>203</v>
      </c>
      <c r="LCT14" s="314" t="s">
        <v>203</v>
      </c>
      <c r="LCU14" s="314" t="s">
        <v>203</v>
      </c>
      <c r="LCV14" s="314" t="s">
        <v>203</v>
      </c>
      <c r="LCW14" s="314" t="s">
        <v>203</v>
      </c>
      <c r="LCX14" s="314" t="s">
        <v>203</v>
      </c>
      <c r="LCY14" s="314" t="s">
        <v>203</v>
      </c>
      <c r="LCZ14" s="314" t="s">
        <v>203</v>
      </c>
      <c r="LDA14" s="314" t="s">
        <v>203</v>
      </c>
      <c r="LDB14" s="314" t="s">
        <v>203</v>
      </c>
      <c r="LDC14" s="314" t="s">
        <v>203</v>
      </c>
      <c r="LDD14" s="314" t="s">
        <v>203</v>
      </c>
      <c r="LDE14" s="314" t="s">
        <v>203</v>
      </c>
      <c r="LDF14" s="314" t="s">
        <v>203</v>
      </c>
      <c r="LDG14" s="314" t="s">
        <v>203</v>
      </c>
      <c r="LDH14" s="314" t="s">
        <v>203</v>
      </c>
      <c r="LDI14" s="314" t="s">
        <v>203</v>
      </c>
      <c r="LDJ14" s="314" t="s">
        <v>203</v>
      </c>
      <c r="LDK14" s="314" t="s">
        <v>203</v>
      </c>
      <c r="LDL14" s="314" t="s">
        <v>203</v>
      </c>
      <c r="LDM14" s="314" t="s">
        <v>203</v>
      </c>
      <c r="LDN14" s="314" t="s">
        <v>203</v>
      </c>
      <c r="LDO14" s="314" t="s">
        <v>203</v>
      </c>
      <c r="LDP14" s="314" t="s">
        <v>203</v>
      </c>
      <c r="LDQ14" s="314" t="s">
        <v>203</v>
      </c>
      <c r="LDR14" s="314" t="s">
        <v>203</v>
      </c>
      <c r="LDS14" s="314" t="s">
        <v>203</v>
      </c>
      <c r="LDT14" s="314" t="s">
        <v>203</v>
      </c>
      <c r="LDU14" s="314" t="s">
        <v>203</v>
      </c>
      <c r="LDV14" s="314" t="s">
        <v>203</v>
      </c>
      <c r="LDW14" s="314" t="s">
        <v>203</v>
      </c>
      <c r="LDX14" s="314" t="s">
        <v>203</v>
      </c>
      <c r="LDY14" s="314" t="s">
        <v>203</v>
      </c>
      <c r="LDZ14" s="314" t="s">
        <v>203</v>
      </c>
      <c r="LEA14" s="314" t="s">
        <v>203</v>
      </c>
      <c r="LEB14" s="314" t="s">
        <v>203</v>
      </c>
      <c r="LEC14" s="314" t="s">
        <v>203</v>
      </c>
      <c r="LED14" s="314" t="s">
        <v>203</v>
      </c>
      <c r="LEE14" s="314" t="s">
        <v>203</v>
      </c>
      <c r="LEF14" s="314" t="s">
        <v>203</v>
      </c>
      <c r="LEG14" s="314" t="s">
        <v>203</v>
      </c>
      <c r="LEH14" s="314" t="s">
        <v>203</v>
      </c>
      <c r="LEI14" s="314" t="s">
        <v>203</v>
      </c>
      <c r="LEJ14" s="314" t="s">
        <v>203</v>
      </c>
      <c r="LEK14" s="314" t="s">
        <v>203</v>
      </c>
      <c r="LEL14" s="314" t="s">
        <v>203</v>
      </c>
      <c r="LEM14" s="314" t="s">
        <v>203</v>
      </c>
      <c r="LEN14" s="314" t="s">
        <v>203</v>
      </c>
      <c r="LEO14" s="314" t="s">
        <v>203</v>
      </c>
      <c r="LEP14" s="314" t="s">
        <v>203</v>
      </c>
      <c r="LEQ14" s="314" t="s">
        <v>203</v>
      </c>
      <c r="LER14" s="314" t="s">
        <v>203</v>
      </c>
      <c r="LES14" s="314" t="s">
        <v>203</v>
      </c>
      <c r="LET14" s="314" t="s">
        <v>203</v>
      </c>
      <c r="LEU14" s="314" t="s">
        <v>203</v>
      </c>
      <c r="LEV14" s="314" t="s">
        <v>203</v>
      </c>
      <c r="LEW14" s="314" t="s">
        <v>203</v>
      </c>
      <c r="LEX14" s="314" t="s">
        <v>203</v>
      </c>
      <c r="LEY14" s="314" t="s">
        <v>203</v>
      </c>
      <c r="LEZ14" s="314" t="s">
        <v>203</v>
      </c>
      <c r="LFA14" s="314" t="s">
        <v>203</v>
      </c>
      <c r="LFB14" s="314" t="s">
        <v>203</v>
      </c>
      <c r="LFC14" s="314" t="s">
        <v>203</v>
      </c>
      <c r="LFD14" s="314" t="s">
        <v>203</v>
      </c>
      <c r="LFE14" s="314" t="s">
        <v>203</v>
      </c>
      <c r="LFF14" s="314" t="s">
        <v>203</v>
      </c>
      <c r="LFG14" s="314" t="s">
        <v>203</v>
      </c>
      <c r="LFH14" s="314" t="s">
        <v>203</v>
      </c>
      <c r="LFI14" s="314" t="s">
        <v>203</v>
      </c>
      <c r="LFJ14" s="314" t="s">
        <v>203</v>
      </c>
      <c r="LFK14" s="314" t="s">
        <v>203</v>
      </c>
      <c r="LFL14" s="314" t="s">
        <v>203</v>
      </c>
      <c r="LFM14" s="314" t="s">
        <v>203</v>
      </c>
      <c r="LFN14" s="314" t="s">
        <v>203</v>
      </c>
      <c r="LFO14" s="314" t="s">
        <v>203</v>
      </c>
      <c r="LFP14" s="314" t="s">
        <v>203</v>
      </c>
      <c r="LFQ14" s="314" t="s">
        <v>203</v>
      </c>
      <c r="LFR14" s="314" t="s">
        <v>203</v>
      </c>
      <c r="LFS14" s="314" t="s">
        <v>203</v>
      </c>
      <c r="LFT14" s="314" t="s">
        <v>203</v>
      </c>
      <c r="LFU14" s="314" t="s">
        <v>203</v>
      </c>
      <c r="LFV14" s="314" t="s">
        <v>203</v>
      </c>
      <c r="LFW14" s="314" t="s">
        <v>203</v>
      </c>
      <c r="LFX14" s="314" t="s">
        <v>203</v>
      </c>
      <c r="LFY14" s="314" t="s">
        <v>203</v>
      </c>
      <c r="LFZ14" s="314" t="s">
        <v>203</v>
      </c>
      <c r="LGA14" s="314" t="s">
        <v>203</v>
      </c>
      <c r="LGB14" s="314" t="s">
        <v>203</v>
      </c>
      <c r="LGC14" s="314" t="s">
        <v>203</v>
      </c>
      <c r="LGD14" s="314" t="s">
        <v>203</v>
      </c>
      <c r="LGE14" s="314" t="s">
        <v>203</v>
      </c>
      <c r="LGF14" s="314" t="s">
        <v>203</v>
      </c>
      <c r="LGG14" s="314" t="s">
        <v>203</v>
      </c>
      <c r="LGH14" s="314" t="s">
        <v>203</v>
      </c>
      <c r="LGI14" s="314" t="s">
        <v>203</v>
      </c>
      <c r="LGJ14" s="314" t="s">
        <v>203</v>
      </c>
      <c r="LGK14" s="314" t="s">
        <v>203</v>
      </c>
      <c r="LGL14" s="314" t="s">
        <v>203</v>
      </c>
      <c r="LGM14" s="314" t="s">
        <v>203</v>
      </c>
      <c r="LGN14" s="314" t="s">
        <v>203</v>
      </c>
      <c r="LGO14" s="314" t="s">
        <v>203</v>
      </c>
      <c r="LGP14" s="314" t="s">
        <v>203</v>
      </c>
      <c r="LGQ14" s="314" t="s">
        <v>203</v>
      </c>
      <c r="LGR14" s="314" t="s">
        <v>203</v>
      </c>
      <c r="LGS14" s="314" t="s">
        <v>203</v>
      </c>
      <c r="LGT14" s="314" t="s">
        <v>203</v>
      </c>
      <c r="LGU14" s="314" t="s">
        <v>203</v>
      </c>
      <c r="LGV14" s="314" t="s">
        <v>203</v>
      </c>
      <c r="LGW14" s="314" t="s">
        <v>203</v>
      </c>
      <c r="LGX14" s="314" t="s">
        <v>203</v>
      </c>
      <c r="LGY14" s="314" t="s">
        <v>203</v>
      </c>
      <c r="LGZ14" s="314" t="s">
        <v>203</v>
      </c>
      <c r="LHA14" s="314" t="s">
        <v>203</v>
      </c>
      <c r="LHB14" s="314" t="s">
        <v>203</v>
      </c>
      <c r="LHC14" s="314" t="s">
        <v>203</v>
      </c>
      <c r="LHD14" s="314" t="s">
        <v>203</v>
      </c>
      <c r="LHE14" s="314" t="s">
        <v>203</v>
      </c>
      <c r="LHF14" s="314" t="s">
        <v>203</v>
      </c>
      <c r="LHG14" s="314" t="s">
        <v>203</v>
      </c>
      <c r="LHH14" s="314" t="s">
        <v>203</v>
      </c>
      <c r="LHI14" s="314" t="s">
        <v>203</v>
      </c>
      <c r="LHJ14" s="314" t="s">
        <v>203</v>
      </c>
      <c r="LHK14" s="314" t="s">
        <v>203</v>
      </c>
      <c r="LHL14" s="314" t="s">
        <v>203</v>
      </c>
      <c r="LHM14" s="314" t="s">
        <v>203</v>
      </c>
      <c r="LHN14" s="314" t="s">
        <v>203</v>
      </c>
      <c r="LHO14" s="314" t="s">
        <v>203</v>
      </c>
      <c r="LHP14" s="314" t="s">
        <v>203</v>
      </c>
      <c r="LHQ14" s="314" t="s">
        <v>203</v>
      </c>
      <c r="LHR14" s="314" t="s">
        <v>203</v>
      </c>
      <c r="LHS14" s="314" t="s">
        <v>203</v>
      </c>
      <c r="LHT14" s="314" t="s">
        <v>203</v>
      </c>
      <c r="LHU14" s="314" t="s">
        <v>203</v>
      </c>
      <c r="LHV14" s="314" t="s">
        <v>203</v>
      </c>
      <c r="LHW14" s="314" t="s">
        <v>203</v>
      </c>
      <c r="LHX14" s="314" t="s">
        <v>203</v>
      </c>
      <c r="LHY14" s="314" t="s">
        <v>203</v>
      </c>
      <c r="LHZ14" s="314" t="s">
        <v>203</v>
      </c>
      <c r="LIA14" s="314" t="s">
        <v>203</v>
      </c>
      <c r="LIB14" s="314" t="s">
        <v>203</v>
      </c>
      <c r="LIC14" s="314" t="s">
        <v>203</v>
      </c>
      <c r="LID14" s="314" t="s">
        <v>203</v>
      </c>
      <c r="LIE14" s="314" t="s">
        <v>203</v>
      </c>
      <c r="LIF14" s="314" t="s">
        <v>203</v>
      </c>
      <c r="LIG14" s="314" t="s">
        <v>203</v>
      </c>
      <c r="LIH14" s="314" t="s">
        <v>203</v>
      </c>
      <c r="LII14" s="314" t="s">
        <v>203</v>
      </c>
      <c r="LIJ14" s="314" t="s">
        <v>203</v>
      </c>
      <c r="LIK14" s="314" t="s">
        <v>203</v>
      </c>
      <c r="LIL14" s="314" t="s">
        <v>203</v>
      </c>
      <c r="LIM14" s="314" t="s">
        <v>203</v>
      </c>
      <c r="LIN14" s="314" t="s">
        <v>203</v>
      </c>
      <c r="LIO14" s="314" t="s">
        <v>203</v>
      </c>
      <c r="LIP14" s="314" t="s">
        <v>203</v>
      </c>
      <c r="LIQ14" s="314" t="s">
        <v>203</v>
      </c>
      <c r="LIR14" s="314" t="s">
        <v>203</v>
      </c>
      <c r="LIS14" s="314" t="s">
        <v>203</v>
      </c>
      <c r="LIT14" s="314" t="s">
        <v>203</v>
      </c>
      <c r="LIU14" s="314" t="s">
        <v>203</v>
      </c>
      <c r="LIV14" s="314" t="s">
        <v>203</v>
      </c>
      <c r="LIW14" s="314" t="s">
        <v>203</v>
      </c>
      <c r="LIX14" s="314" t="s">
        <v>203</v>
      </c>
      <c r="LIY14" s="314" t="s">
        <v>203</v>
      </c>
      <c r="LIZ14" s="314" t="s">
        <v>203</v>
      </c>
      <c r="LJA14" s="314" t="s">
        <v>203</v>
      </c>
      <c r="LJB14" s="314" t="s">
        <v>203</v>
      </c>
      <c r="LJC14" s="314" t="s">
        <v>203</v>
      </c>
      <c r="LJD14" s="314" t="s">
        <v>203</v>
      </c>
      <c r="LJE14" s="314" t="s">
        <v>203</v>
      </c>
      <c r="LJF14" s="314" t="s">
        <v>203</v>
      </c>
      <c r="LJG14" s="314" t="s">
        <v>203</v>
      </c>
      <c r="LJH14" s="314" t="s">
        <v>203</v>
      </c>
      <c r="LJI14" s="314" t="s">
        <v>203</v>
      </c>
      <c r="LJJ14" s="314" t="s">
        <v>203</v>
      </c>
      <c r="LJK14" s="314" t="s">
        <v>203</v>
      </c>
      <c r="LJL14" s="314" t="s">
        <v>203</v>
      </c>
      <c r="LJM14" s="314" t="s">
        <v>203</v>
      </c>
      <c r="LJN14" s="314" t="s">
        <v>203</v>
      </c>
      <c r="LJO14" s="314" t="s">
        <v>203</v>
      </c>
      <c r="LJP14" s="314" t="s">
        <v>203</v>
      </c>
      <c r="LJQ14" s="314" t="s">
        <v>203</v>
      </c>
      <c r="LJR14" s="314" t="s">
        <v>203</v>
      </c>
      <c r="LJS14" s="314" t="s">
        <v>203</v>
      </c>
      <c r="LJT14" s="314" t="s">
        <v>203</v>
      </c>
      <c r="LJU14" s="314" t="s">
        <v>203</v>
      </c>
      <c r="LJV14" s="314" t="s">
        <v>203</v>
      </c>
      <c r="LJW14" s="314" t="s">
        <v>203</v>
      </c>
      <c r="LJX14" s="314" t="s">
        <v>203</v>
      </c>
      <c r="LJY14" s="314" t="s">
        <v>203</v>
      </c>
      <c r="LJZ14" s="314" t="s">
        <v>203</v>
      </c>
      <c r="LKA14" s="314" t="s">
        <v>203</v>
      </c>
      <c r="LKB14" s="314" t="s">
        <v>203</v>
      </c>
      <c r="LKC14" s="314" t="s">
        <v>203</v>
      </c>
      <c r="LKD14" s="314" t="s">
        <v>203</v>
      </c>
      <c r="LKE14" s="314" t="s">
        <v>203</v>
      </c>
      <c r="LKF14" s="314" t="s">
        <v>203</v>
      </c>
      <c r="LKG14" s="314" t="s">
        <v>203</v>
      </c>
      <c r="LKH14" s="314" t="s">
        <v>203</v>
      </c>
      <c r="LKI14" s="314" t="s">
        <v>203</v>
      </c>
      <c r="LKJ14" s="314" t="s">
        <v>203</v>
      </c>
      <c r="LKK14" s="314" t="s">
        <v>203</v>
      </c>
      <c r="LKL14" s="314" t="s">
        <v>203</v>
      </c>
      <c r="LKM14" s="314" t="s">
        <v>203</v>
      </c>
      <c r="LKN14" s="314" t="s">
        <v>203</v>
      </c>
      <c r="LKO14" s="314" t="s">
        <v>203</v>
      </c>
      <c r="LKP14" s="314" t="s">
        <v>203</v>
      </c>
      <c r="LKQ14" s="314" t="s">
        <v>203</v>
      </c>
      <c r="LKR14" s="314" t="s">
        <v>203</v>
      </c>
      <c r="LKS14" s="314" t="s">
        <v>203</v>
      </c>
      <c r="LKT14" s="314" t="s">
        <v>203</v>
      </c>
      <c r="LKU14" s="314" t="s">
        <v>203</v>
      </c>
      <c r="LKV14" s="314" t="s">
        <v>203</v>
      </c>
      <c r="LKW14" s="314" t="s">
        <v>203</v>
      </c>
      <c r="LKX14" s="314" t="s">
        <v>203</v>
      </c>
      <c r="LKY14" s="314" t="s">
        <v>203</v>
      </c>
      <c r="LKZ14" s="314" t="s">
        <v>203</v>
      </c>
      <c r="LLA14" s="314" t="s">
        <v>203</v>
      </c>
      <c r="LLB14" s="314" t="s">
        <v>203</v>
      </c>
      <c r="LLC14" s="314" t="s">
        <v>203</v>
      </c>
      <c r="LLD14" s="314" t="s">
        <v>203</v>
      </c>
      <c r="LLE14" s="314" t="s">
        <v>203</v>
      </c>
      <c r="LLF14" s="314" t="s">
        <v>203</v>
      </c>
      <c r="LLG14" s="314" t="s">
        <v>203</v>
      </c>
      <c r="LLH14" s="314" t="s">
        <v>203</v>
      </c>
      <c r="LLI14" s="314" t="s">
        <v>203</v>
      </c>
      <c r="LLJ14" s="314" t="s">
        <v>203</v>
      </c>
      <c r="LLK14" s="314" t="s">
        <v>203</v>
      </c>
      <c r="LLL14" s="314" t="s">
        <v>203</v>
      </c>
      <c r="LLM14" s="314" t="s">
        <v>203</v>
      </c>
      <c r="LLN14" s="314" t="s">
        <v>203</v>
      </c>
      <c r="LLO14" s="314" t="s">
        <v>203</v>
      </c>
      <c r="LLP14" s="314" t="s">
        <v>203</v>
      </c>
      <c r="LLQ14" s="314" t="s">
        <v>203</v>
      </c>
      <c r="LLR14" s="314" t="s">
        <v>203</v>
      </c>
      <c r="LLS14" s="314" t="s">
        <v>203</v>
      </c>
      <c r="LLT14" s="314" t="s">
        <v>203</v>
      </c>
      <c r="LLU14" s="314" t="s">
        <v>203</v>
      </c>
      <c r="LLV14" s="314" t="s">
        <v>203</v>
      </c>
      <c r="LLW14" s="314" t="s">
        <v>203</v>
      </c>
      <c r="LLX14" s="314" t="s">
        <v>203</v>
      </c>
      <c r="LLY14" s="314" t="s">
        <v>203</v>
      </c>
      <c r="LLZ14" s="314" t="s">
        <v>203</v>
      </c>
      <c r="LMA14" s="314" t="s">
        <v>203</v>
      </c>
      <c r="LMB14" s="314" t="s">
        <v>203</v>
      </c>
      <c r="LMC14" s="314" t="s">
        <v>203</v>
      </c>
      <c r="LMD14" s="314" t="s">
        <v>203</v>
      </c>
      <c r="LME14" s="314" t="s">
        <v>203</v>
      </c>
      <c r="LMF14" s="314" t="s">
        <v>203</v>
      </c>
      <c r="LMG14" s="314" t="s">
        <v>203</v>
      </c>
      <c r="LMH14" s="314" t="s">
        <v>203</v>
      </c>
      <c r="LMI14" s="314" t="s">
        <v>203</v>
      </c>
      <c r="LMJ14" s="314" t="s">
        <v>203</v>
      </c>
      <c r="LMK14" s="314" t="s">
        <v>203</v>
      </c>
      <c r="LML14" s="314" t="s">
        <v>203</v>
      </c>
      <c r="LMM14" s="314" t="s">
        <v>203</v>
      </c>
      <c r="LMN14" s="314" t="s">
        <v>203</v>
      </c>
      <c r="LMO14" s="314" t="s">
        <v>203</v>
      </c>
      <c r="LMP14" s="314" t="s">
        <v>203</v>
      </c>
      <c r="LMQ14" s="314" t="s">
        <v>203</v>
      </c>
      <c r="LMR14" s="314" t="s">
        <v>203</v>
      </c>
      <c r="LMS14" s="314" t="s">
        <v>203</v>
      </c>
      <c r="LMT14" s="314" t="s">
        <v>203</v>
      </c>
      <c r="LMU14" s="314" t="s">
        <v>203</v>
      </c>
      <c r="LMV14" s="314" t="s">
        <v>203</v>
      </c>
      <c r="LMW14" s="314" t="s">
        <v>203</v>
      </c>
      <c r="LMX14" s="314" t="s">
        <v>203</v>
      </c>
      <c r="LMY14" s="314" t="s">
        <v>203</v>
      </c>
      <c r="LMZ14" s="314" t="s">
        <v>203</v>
      </c>
      <c r="LNA14" s="314" t="s">
        <v>203</v>
      </c>
      <c r="LNB14" s="314" t="s">
        <v>203</v>
      </c>
      <c r="LNC14" s="314" t="s">
        <v>203</v>
      </c>
      <c r="LND14" s="314" t="s">
        <v>203</v>
      </c>
      <c r="LNE14" s="314" t="s">
        <v>203</v>
      </c>
      <c r="LNF14" s="314" t="s">
        <v>203</v>
      </c>
      <c r="LNG14" s="314" t="s">
        <v>203</v>
      </c>
      <c r="LNH14" s="314" t="s">
        <v>203</v>
      </c>
      <c r="LNI14" s="314" t="s">
        <v>203</v>
      </c>
      <c r="LNJ14" s="314" t="s">
        <v>203</v>
      </c>
      <c r="LNK14" s="314" t="s">
        <v>203</v>
      </c>
      <c r="LNL14" s="314" t="s">
        <v>203</v>
      </c>
      <c r="LNM14" s="314" t="s">
        <v>203</v>
      </c>
      <c r="LNN14" s="314" t="s">
        <v>203</v>
      </c>
      <c r="LNO14" s="314" t="s">
        <v>203</v>
      </c>
      <c r="LNP14" s="314" t="s">
        <v>203</v>
      </c>
      <c r="LNQ14" s="314" t="s">
        <v>203</v>
      </c>
      <c r="LNR14" s="314" t="s">
        <v>203</v>
      </c>
      <c r="LNS14" s="314" t="s">
        <v>203</v>
      </c>
      <c r="LNT14" s="314" t="s">
        <v>203</v>
      </c>
      <c r="LNU14" s="314" t="s">
        <v>203</v>
      </c>
      <c r="LNV14" s="314" t="s">
        <v>203</v>
      </c>
      <c r="LNW14" s="314" t="s">
        <v>203</v>
      </c>
      <c r="LNX14" s="314" t="s">
        <v>203</v>
      </c>
      <c r="LNY14" s="314" t="s">
        <v>203</v>
      </c>
      <c r="LNZ14" s="314" t="s">
        <v>203</v>
      </c>
      <c r="LOA14" s="314" t="s">
        <v>203</v>
      </c>
      <c r="LOB14" s="314" t="s">
        <v>203</v>
      </c>
      <c r="LOC14" s="314" t="s">
        <v>203</v>
      </c>
      <c r="LOD14" s="314" t="s">
        <v>203</v>
      </c>
      <c r="LOE14" s="314" t="s">
        <v>203</v>
      </c>
      <c r="LOF14" s="314" t="s">
        <v>203</v>
      </c>
      <c r="LOG14" s="314" t="s">
        <v>203</v>
      </c>
      <c r="LOH14" s="314" t="s">
        <v>203</v>
      </c>
      <c r="LOI14" s="314" t="s">
        <v>203</v>
      </c>
      <c r="LOJ14" s="314" t="s">
        <v>203</v>
      </c>
      <c r="LOK14" s="314" t="s">
        <v>203</v>
      </c>
      <c r="LOL14" s="314" t="s">
        <v>203</v>
      </c>
      <c r="LOM14" s="314" t="s">
        <v>203</v>
      </c>
      <c r="LON14" s="314" t="s">
        <v>203</v>
      </c>
      <c r="LOO14" s="314" t="s">
        <v>203</v>
      </c>
      <c r="LOP14" s="314" t="s">
        <v>203</v>
      </c>
      <c r="LOQ14" s="314" t="s">
        <v>203</v>
      </c>
      <c r="LOR14" s="314" t="s">
        <v>203</v>
      </c>
      <c r="LOS14" s="314" t="s">
        <v>203</v>
      </c>
      <c r="LOT14" s="314" t="s">
        <v>203</v>
      </c>
      <c r="LOU14" s="314" t="s">
        <v>203</v>
      </c>
      <c r="LOV14" s="314" t="s">
        <v>203</v>
      </c>
      <c r="LOW14" s="314" t="s">
        <v>203</v>
      </c>
      <c r="LOX14" s="314" t="s">
        <v>203</v>
      </c>
      <c r="LOY14" s="314" t="s">
        <v>203</v>
      </c>
      <c r="LOZ14" s="314" t="s">
        <v>203</v>
      </c>
      <c r="LPA14" s="314" t="s">
        <v>203</v>
      </c>
      <c r="LPB14" s="314" t="s">
        <v>203</v>
      </c>
      <c r="LPC14" s="314" t="s">
        <v>203</v>
      </c>
      <c r="LPD14" s="314" t="s">
        <v>203</v>
      </c>
      <c r="LPE14" s="314" t="s">
        <v>203</v>
      </c>
      <c r="LPF14" s="314" t="s">
        <v>203</v>
      </c>
      <c r="LPG14" s="314" t="s">
        <v>203</v>
      </c>
      <c r="LPH14" s="314" t="s">
        <v>203</v>
      </c>
      <c r="LPI14" s="314" t="s">
        <v>203</v>
      </c>
      <c r="LPJ14" s="314" t="s">
        <v>203</v>
      </c>
      <c r="LPK14" s="314" t="s">
        <v>203</v>
      </c>
      <c r="LPL14" s="314" t="s">
        <v>203</v>
      </c>
      <c r="LPM14" s="314" t="s">
        <v>203</v>
      </c>
      <c r="LPN14" s="314" t="s">
        <v>203</v>
      </c>
      <c r="LPO14" s="314" t="s">
        <v>203</v>
      </c>
      <c r="LPP14" s="314" t="s">
        <v>203</v>
      </c>
      <c r="LPQ14" s="314" t="s">
        <v>203</v>
      </c>
      <c r="LPR14" s="314" t="s">
        <v>203</v>
      </c>
      <c r="LPS14" s="314" t="s">
        <v>203</v>
      </c>
      <c r="LPT14" s="314" t="s">
        <v>203</v>
      </c>
      <c r="LPU14" s="314" t="s">
        <v>203</v>
      </c>
      <c r="LPV14" s="314" t="s">
        <v>203</v>
      </c>
      <c r="LPW14" s="314" t="s">
        <v>203</v>
      </c>
      <c r="LPX14" s="314" t="s">
        <v>203</v>
      </c>
      <c r="LPY14" s="314" t="s">
        <v>203</v>
      </c>
      <c r="LPZ14" s="314" t="s">
        <v>203</v>
      </c>
      <c r="LQA14" s="314" t="s">
        <v>203</v>
      </c>
      <c r="LQB14" s="314" t="s">
        <v>203</v>
      </c>
      <c r="LQC14" s="314" t="s">
        <v>203</v>
      </c>
      <c r="LQD14" s="314" t="s">
        <v>203</v>
      </c>
      <c r="LQE14" s="314" t="s">
        <v>203</v>
      </c>
      <c r="LQF14" s="314" t="s">
        <v>203</v>
      </c>
      <c r="LQG14" s="314" t="s">
        <v>203</v>
      </c>
      <c r="LQH14" s="314" t="s">
        <v>203</v>
      </c>
      <c r="LQI14" s="314" t="s">
        <v>203</v>
      </c>
      <c r="LQJ14" s="314" t="s">
        <v>203</v>
      </c>
      <c r="LQK14" s="314" t="s">
        <v>203</v>
      </c>
      <c r="LQL14" s="314" t="s">
        <v>203</v>
      </c>
      <c r="LQM14" s="314" t="s">
        <v>203</v>
      </c>
      <c r="LQN14" s="314" t="s">
        <v>203</v>
      </c>
      <c r="LQO14" s="314" t="s">
        <v>203</v>
      </c>
      <c r="LQP14" s="314" t="s">
        <v>203</v>
      </c>
      <c r="LQQ14" s="314" t="s">
        <v>203</v>
      </c>
      <c r="LQR14" s="314" t="s">
        <v>203</v>
      </c>
      <c r="LQS14" s="314" t="s">
        <v>203</v>
      </c>
      <c r="LQT14" s="314" t="s">
        <v>203</v>
      </c>
      <c r="LQU14" s="314" t="s">
        <v>203</v>
      </c>
      <c r="LQV14" s="314" t="s">
        <v>203</v>
      </c>
      <c r="LQW14" s="314" t="s">
        <v>203</v>
      </c>
      <c r="LQX14" s="314" t="s">
        <v>203</v>
      </c>
      <c r="LQY14" s="314" t="s">
        <v>203</v>
      </c>
      <c r="LQZ14" s="314" t="s">
        <v>203</v>
      </c>
      <c r="LRA14" s="314" t="s">
        <v>203</v>
      </c>
      <c r="LRB14" s="314" t="s">
        <v>203</v>
      </c>
      <c r="LRC14" s="314" t="s">
        <v>203</v>
      </c>
      <c r="LRD14" s="314" t="s">
        <v>203</v>
      </c>
      <c r="LRE14" s="314" t="s">
        <v>203</v>
      </c>
      <c r="LRF14" s="314" t="s">
        <v>203</v>
      </c>
      <c r="LRG14" s="314" t="s">
        <v>203</v>
      </c>
      <c r="LRH14" s="314" t="s">
        <v>203</v>
      </c>
      <c r="LRI14" s="314" t="s">
        <v>203</v>
      </c>
      <c r="LRJ14" s="314" t="s">
        <v>203</v>
      </c>
      <c r="LRK14" s="314" t="s">
        <v>203</v>
      </c>
      <c r="LRL14" s="314" t="s">
        <v>203</v>
      </c>
      <c r="LRM14" s="314" t="s">
        <v>203</v>
      </c>
      <c r="LRN14" s="314" t="s">
        <v>203</v>
      </c>
      <c r="LRO14" s="314" t="s">
        <v>203</v>
      </c>
      <c r="LRP14" s="314" t="s">
        <v>203</v>
      </c>
      <c r="LRQ14" s="314" t="s">
        <v>203</v>
      </c>
      <c r="LRR14" s="314" t="s">
        <v>203</v>
      </c>
      <c r="LRS14" s="314" t="s">
        <v>203</v>
      </c>
      <c r="LRT14" s="314" t="s">
        <v>203</v>
      </c>
      <c r="LRU14" s="314" t="s">
        <v>203</v>
      </c>
      <c r="LRV14" s="314" t="s">
        <v>203</v>
      </c>
      <c r="LRW14" s="314" t="s">
        <v>203</v>
      </c>
      <c r="LRX14" s="314" t="s">
        <v>203</v>
      </c>
      <c r="LRY14" s="314" t="s">
        <v>203</v>
      </c>
      <c r="LRZ14" s="314" t="s">
        <v>203</v>
      </c>
      <c r="LSA14" s="314" t="s">
        <v>203</v>
      </c>
      <c r="LSB14" s="314" t="s">
        <v>203</v>
      </c>
      <c r="LSC14" s="314" t="s">
        <v>203</v>
      </c>
      <c r="LSD14" s="314" t="s">
        <v>203</v>
      </c>
      <c r="LSE14" s="314" t="s">
        <v>203</v>
      </c>
      <c r="LSF14" s="314" t="s">
        <v>203</v>
      </c>
      <c r="LSG14" s="314" t="s">
        <v>203</v>
      </c>
      <c r="LSH14" s="314" t="s">
        <v>203</v>
      </c>
      <c r="LSI14" s="314" t="s">
        <v>203</v>
      </c>
      <c r="LSJ14" s="314" t="s">
        <v>203</v>
      </c>
      <c r="LSK14" s="314" t="s">
        <v>203</v>
      </c>
      <c r="LSL14" s="314" t="s">
        <v>203</v>
      </c>
      <c r="LSM14" s="314" t="s">
        <v>203</v>
      </c>
      <c r="LSN14" s="314" t="s">
        <v>203</v>
      </c>
      <c r="LSO14" s="314" t="s">
        <v>203</v>
      </c>
      <c r="LSP14" s="314" t="s">
        <v>203</v>
      </c>
      <c r="LSQ14" s="314" t="s">
        <v>203</v>
      </c>
      <c r="LSR14" s="314" t="s">
        <v>203</v>
      </c>
      <c r="LSS14" s="314" t="s">
        <v>203</v>
      </c>
      <c r="LST14" s="314" t="s">
        <v>203</v>
      </c>
      <c r="LSU14" s="314" t="s">
        <v>203</v>
      </c>
      <c r="LSV14" s="314" t="s">
        <v>203</v>
      </c>
      <c r="LSW14" s="314" t="s">
        <v>203</v>
      </c>
      <c r="LSX14" s="314" t="s">
        <v>203</v>
      </c>
      <c r="LSY14" s="314" t="s">
        <v>203</v>
      </c>
      <c r="LSZ14" s="314" t="s">
        <v>203</v>
      </c>
      <c r="LTA14" s="314" t="s">
        <v>203</v>
      </c>
      <c r="LTB14" s="314" t="s">
        <v>203</v>
      </c>
      <c r="LTC14" s="314" t="s">
        <v>203</v>
      </c>
      <c r="LTD14" s="314" t="s">
        <v>203</v>
      </c>
      <c r="LTE14" s="314" t="s">
        <v>203</v>
      </c>
      <c r="LTF14" s="314" t="s">
        <v>203</v>
      </c>
      <c r="LTG14" s="314" t="s">
        <v>203</v>
      </c>
      <c r="LTH14" s="314" t="s">
        <v>203</v>
      </c>
      <c r="LTI14" s="314" t="s">
        <v>203</v>
      </c>
      <c r="LTJ14" s="314" t="s">
        <v>203</v>
      </c>
      <c r="LTK14" s="314" t="s">
        <v>203</v>
      </c>
      <c r="LTL14" s="314" t="s">
        <v>203</v>
      </c>
      <c r="LTM14" s="314" t="s">
        <v>203</v>
      </c>
      <c r="LTN14" s="314" t="s">
        <v>203</v>
      </c>
      <c r="LTO14" s="314" t="s">
        <v>203</v>
      </c>
      <c r="LTP14" s="314" t="s">
        <v>203</v>
      </c>
      <c r="LTQ14" s="314" t="s">
        <v>203</v>
      </c>
      <c r="LTR14" s="314" t="s">
        <v>203</v>
      </c>
      <c r="LTS14" s="314" t="s">
        <v>203</v>
      </c>
      <c r="LTT14" s="314" t="s">
        <v>203</v>
      </c>
      <c r="LTU14" s="314" t="s">
        <v>203</v>
      </c>
      <c r="LTV14" s="314" t="s">
        <v>203</v>
      </c>
      <c r="LTW14" s="314" t="s">
        <v>203</v>
      </c>
      <c r="LTX14" s="314" t="s">
        <v>203</v>
      </c>
      <c r="LTY14" s="314" t="s">
        <v>203</v>
      </c>
      <c r="LTZ14" s="314" t="s">
        <v>203</v>
      </c>
      <c r="LUA14" s="314" t="s">
        <v>203</v>
      </c>
      <c r="LUB14" s="314" t="s">
        <v>203</v>
      </c>
      <c r="LUC14" s="314" t="s">
        <v>203</v>
      </c>
      <c r="LUD14" s="314" t="s">
        <v>203</v>
      </c>
      <c r="LUE14" s="314" t="s">
        <v>203</v>
      </c>
      <c r="LUF14" s="314" t="s">
        <v>203</v>
      </c>
      <c r="LUG14" s="314" t="s">
        <v>203</v>
      </c>
      <c r="LUH14" s="314" t="s">
        <v>203</v>
      </c>
      <c r="LUI14" s="314" t="s">
        <v>203</v>
      </c>
      <c r="LUJ14" s="314" t="s">
        <v>203</v>
      </c>
      <c r="LUK14" s="314" t="s">
        <v>203</v>
      </c>
      <c r="LUL14" s="314" t="s">
        <v>203</v>
      </c>
      <c r="LUM14" s="314" t="s">
        <v>203</v>
      </c>
      <c r="LUN14" s="314" t="s">
        <v>203</v>
      </c>
      <c r="LUO14" s="314" t="s">
        <v>203</v>
      </c>
      <c r="LUP14" s="314" t="s">
        <v>203</v>
      </c>
      <c r="LUQ14" s="314" t="s">
        <v>203</v>
      </c>
      <c r="LUR14" s="314" t="s">
        <v>203</v>
      </c>
      <c r="LUS14" s="314" t="s">
        <v>203</v>
      </c>
      <c r="LUT14" s="314" t="s">
        <v>203</v>
      </c>
      <c r="LUU14" s="314" t="s">
        <v>203</v>
      </c>
      <c r="LUV14" s="314" t="s">
        <v>203</v>
      </c>
      <c r="LUW14" s="314" t="s">
        <v>203</v>
      </c>
      <c r="LUX14" s="314" t="s">
        <v>203</v>
      </c>
      <c r="LUY14" s="314" t="s">
        <v>203</v>
      </c>
      <c r="LUZ14" s="314" t="s">
        <v>203</v>
      </c>
      <c r="LVA14" s="314" t="s">
        <v>203</v>
      </c>
      <c r="LVB14" s="314" t="s">
        <v>203</v>
      </c>
      <c r="LVC14" s="314" t="s">
        <v>203</v>
      </c>
      <c r="LVD14" s="314" t="s">
        <v>203</v>
      </c>
      <c r="LVE14" s="314" t="s">
        <v>203</v>
      </c>
      <c r="LVF14" s="314" t="s">
        <v>203</v>
      </c>
      <c r="LVG14" s="314" t="s">
        <v>203</v>
      </c>
      <c r="LVH14" s="314" t="s">
        <v>203</v>
      </c>
      <c r="LVI14" s="314" t="s">
        <v>203</v>
      </c>
      <c r="LVJ14" s="314" t="s">
        <v>203</v>
      </c>
      <c r="LVK14" s="314" t="s">
        <v>203</v>
      </c>
      <c r="LVL14" s="314" t="s">
        <v>203</v>
      </c>
      <c r="LVM14" s="314" t="s">
        <v>203</v>
      </c>
      <c r="LVN14" s="314" t="s">
        <v>203</v>
      </c>
      <c r="LVO14" s="314" t="s">
        <v>203</v>
      </c>
      <c r="LVP14" s="314" t="s">
        <v>203</v>
      </c>
      <c r="LVQ14" s="314" t="s">
        <v>203</v>
      </c>
      <c r="LVR14" s="314" t="s">
        <v>203</v>
      </c>
      <c r="LVS14" s="314" t="s">
        <v>203</v>
      </c>
      <c r="LVT14" s="314" t="s">
        <v>203</v>
      </c>
      <c r="LVU14" s="314" t="s">
        <v>203</v>
      </c>
      <c r="LVV14" s="314" t="s">
        <v>203</v>
      </c>
      <c r="LVW14" s="314" t="s">
        <v>203</v>
      </c>
      <c r="LVX14" s="314" t="s">
        <v>203</v>
      </c>
      <c r="LVY14" s="314" t="s">
        <v>203</v>
      </c>
      <c r="LVZ14" s="314" t="s">
        <v>203</v>
      </c>
      <c r="LWA14" s="314" t="s">
        <v>203</v>
      </c>
      <c r="LWB14" s="314" t="s">
        <v>203</v>
      </c>
      <c r="LWC14" s="314" t="s">
        <v>203</v>
      </c>
      <c r="LWD14" s="314" t="s">
        <v>203</v>
      </c>
      <c r="LWE14" s="314" t="s">
        <v>203</v>
      </c>
      <c r="LWF14" s="314" t="s">
        <v>203</v>
      </c>
      <c r="LWG14" s="314" t="s">
        <v>203</v>
      </c>
      <c r="LWH14" s="314" t="s">
        <v>203</v>
      </c>
      <c r="LWI14" s="314" t="s">
        <v>203</v>
      </c>
      <c r="LWJ14" s="314" t="s">
        <v>203</v>
      </c>
      <c r="LWK14" s="314" t="s">
        <v>203</v>
      </c>
      <c r="LWL14" s="314" t="s">
        <v>203</v>
      </c>
      <c r="LWM14" s="314" t="s">
        <v>203</v>
      </c>
      <c r="LWN14" s="314" t="s">
        <v>203</v>
      </c>
      <c r="LWO14" s="314" t="s">
        <v>203</v>
      </c>
      <c r="LWP14" s="314" t="s">
        <v>203</v>
      </c>
      <c r="LWQ14" s="314" t="s">
        <v>203</v>
      </c>
      <c r="LWR14" s="314" t="s">
        <v>203</v>
      </c>
      <c r="LWS14" s="314" t="s">
        <v>203</v>
      </c>
      <c r="LWT14" s="314" t="s">
        <v>203</v>
      </c>
      <c r="LWU14" s="314" t="s">
        <v>203</v>
      </c>
      <c r="LWV14" s="314" t="s">
        <v>203</v>
      </c>
      <c r="LWW14" s="314" t="s">
        <v>203</v>
      </c>
      <c r="LWX14" s="314" t="s">
        <v>203</v>
      </c>
      <c r="LWY14" s="314" t="s">
        <v>203</v>
      </c>
      <c r="LWZ14" s="314" t="s">
        <v>203</v>
      </c>
      <c r="LXA14" s="314" t="s">
        <v>203</v>
      </c>
      <c r="LXB14" s="314" t="s">
        <v>203</v>
      </c>
      <c r="LXC14" s="314" t="s">
        <v>203</v>
      </c>
      <c r="LXD14" s="314" t="s">
        <v>203</v>
      </c>
      <c r="LXE14" s="314" t="s">
        <v>203</v>
      </c>
      <c r="LXF14" s="314" t="s">
        <v>203</v>
      </c>
      <c r="LXG14" s="314" t="s">
        <v>203</v>
      </c>
      <c r="LXH14" s="314" t="s">
        <v>203</v>
      </c>
      <c r="LXI14" s="314" t="s">
        <v>203</v>
      </c>
      <c r="LXJ14" s="314" t="s">
        <v>203</v>
      </c>
      <c r="LXK14" s="314" t="s">
        <v>203</v>
      </c>
      <c r="LXL14" s="314" t="s">
        <v>203</v>
      </c>
      <c r="LXM14" s="314" t="s">
        <v>203</v>
      </c>
      <c r="LXN14" s="314" t="s">
        <v>203</v>
      </c>
      <c r="LXO14" s="314" t="s">
        <v>203</v>
      </c>
      <c r="LXP14" s="314" t="s">
        <v>203</v>
      </c>
      <c r="LXQ14" s="314" t="s">
        <v>203</v>
      </c>
      <c r="LXR14" s="314" t="s">
        <v>203</v>
      </c>
      <c r="LXS14" s="314" t="s">
        <v>203</v>
      </c>
      <c r="LXT14" s="314" t="s">
        <v>203</v>
      </c>
      <c r="LXU14" s="314" t="s">
        <v>203</v>
      </c>
      <c r="LXV14" s="314" t="s">
        <v>203</v>
      </c>
      <c r="LXW14" s="314" t="s">
        <v>203</v>
      </c>
      <c r="LXX14" s="314" t="s">
        <v>203</v>
      </c>
      <c r="LXY14" s="314" t="s">
        <v>203</v>
      </c>
      <c r="LXZ14" s="314" t="s">
        <v>203</v>
      </c>
      <c r="LYA14" s="314" t="s">
        <v>203</v>
      </c>
      <c r="LYB14" s="314" t="s">
        <v>203</v>
      </c>
      <c r="LYC14" s="314" t="s">
        <v>203</v>
      </c>
      <c r="LYD14" s="314" t="s">
        <v>203</v>
      </c>
      <c r="LYE14" s="314" t="s">
        <v>203</v>
      </c>
      <c r="LYF14" s="314" t="s">
        <v>203</v>
      </c>
      <c r="LYG14" s="314" t="s">
        <v>203</v>
      </c>
      <c r="LYH14" s="314" t="s">
        <v>203</v>
      </c>
      <c r="LYI14" s="314" t="s">
        <v>203</v>
      </c>
      <c r="LYJ14" s="314" t="s">
        <v>203</v>
      </c>
      <c r="LYK14" s="314" t="s">
        <v>203</v>
      </c>
      <c r="LYL14" s="314" t="s">
        <v>203</v>
      </c>
      <c r="LYM14" s="314" t="s">
        <v>203</v>
      </c>
      <c r="LYN14" s="314" t="s">
        <v>203</v>
      </c>
      <c r="LYO14" s="314" t="s">
        <v>203</v>
      </c>
      <c r="LYP14" s="314" t="s">
        <v>203</v>
      </c>
      <c r="LYQ14" s="314" t="s">
        <v>203</v>
      </c>
      <c r="LYR14" s="314" t="s">
        <v>203</v>
      </c>
      <c r="LYS14" s="314" t="s">
        <v>203</v>
      </c>
      <c r="LYT14" s="314" t="s">
        <v>203</v>
      </c>
      <c r="LYU14" s="314" t="s">
        <v>203</v>
      </c>
      <c r="LYV14" s="314" t="s">
        <v>203</v>
      </c>
      <c r="LYW14" s="314" t="s">
        <v>203</v>
      </c>
      <c r="LYX14" s="314" t="s">
        <v>203</v>
      </c>
      <c r="LYY14" s="314" t="s">
        <v>203</v>
      </c>
      <c r="LYZ14" s="314" t="s">
        <v>203</v>
      </c>
      <c r="LZA14" s="314" t="s">
        <v>203</v>
      </c>
      <c r="LZB14" s="314" t="s">
        <v>203</v>
      </c>
      <c r="LZC14" s="314" t="s">
        <v>203</v>
      </c>
      <c r="LZD14" s="314" t="s">
        <v>203</v>
      </c>
      <c r="LZE14" s="314" t="s">
        <v>203</v>
      </c>
      <c r="LZF14" s="314" t="s">
        <v>203</v>
      </c>
      <c r="LZG14" s="314" t="s">
        <v>203</v>
      </c>
      <c r="LZH14" s="314" t="s">
        <v>203</v>
      </c>
      <c r="LZI14" s="314" t="s">
        <v>203</v>
      </c>
      <c r="LZJ14" s="314" t="s">
        <v>203</v>
      </c>
      <c r="LZK14" s="314" t="s">
        <v>203</v>
      </c>
      <c r="LZL14" s="314" t="s">
        <v>203</v>
      </c>
      <c r="LZM14" s="314" t="s">
        <v>203</v>
      </c>
      <c r="LZN14" s="314" t="s">
        <v>203</v>
      </c>
      <c r="LZO14" s="314" t="s">
        <v>203</v>
      </c>
      <c r="LZP14" s="314" t="s">
        <v>203</v>
      </c>
      <c r="LZQ14" s="314" t="s">
        <v>203</v>
      </c>
      <c r="LZR14" s="314" t="s">
        <v>203</v>
      </c>
      <c r="LZS14" s="314" t="s">
        <v>203</v>
      </c>
      <c r="LZT14" s="314" t="s">
        <v>203</v>
      </c>
      <c r="LZU14" s="314" t="s">
        <v>203</v>
      </c>
      <c r="LZV14" s="314" t="s">
        <v>203</v>
      </c>
      <c r="LZW14" s="314" t="s">
        <v>203</v>
      </c>
      <c r="LZX14" s="314" t="s">
        <v>203</v>
      </c>
      <c r="LZY14" s="314" t="s">
        <v>203</v>
      </c>
      <c r="LZZ14" s="314" t="s">
        <v>203</v>
      </c>
      <c r="MAA14" s="314" t="s">
        <v>203</v>
      </c>
      <c r="MAB14" s="314" t="s">
        <v>203</v>
      </c>
      <c r="MAC14" s="314" t="s">
        <v>203</v>
      </c>
      <c r="MAD14" s="314" t="s">
        <v>203</v>
      </c>
      <c r="MAE14" s="314" t="s">
        <v>203</v>
      </c>
      <c r="MAF14" s="314" t="s">
        <v>203</v>
      </c>
      <c r="MAG14" s="314" t="s">
        <v>203</v>
      </c>
      <c r="MAH14" s="314" t="s">
        <v>203</v>
      </c>
      <c r="MAI14" s="314" t="s">
        <v>203</v>
      </c>
      <c r="MAJ14" s="314" t="s">
        <v>203</v>
      </c>
      <c r="MAK14" s="314" t="s">
        <v>203</v>
      </c>
      <c r="MAL14" s="314" t="s">
        <v>203</v>
      </c>
      <c r="MAM14" s="314" t="s">
        <v>203</v>
      </c>
      <c r="MAN14" s="314" t="s">
        <v>203</v>
      </c>
      <c r="MAO14" s="314" t="s">
        <v>203</v>
      </c>
      <c r="MAP14" s="314" t="s">
        <v>203</v>
      </c>
      <c r="MAQ14" s="314" t="s">
        <v>203</v>
      </c>
      <c r="MAR14" s="314" t="s">
        <v>203</v>
      </c>
      <c r="MAS14" s="314" t="s">
        <v>203</v>
      </c>
      <c r="MAT14" s="314" t="s">
        <v>203</v>
      </c>
      <c r="MAU14" s="314" t="s">
        <v>203</v>
      </c>
      <c r="MAV14" s="314" t="s">
        <v>203</v>
      </c>
      <c r="MAW14" s="314" t="s">
        <v>203</v>
      </c>
      <c r="MAX14" s="314" t="s">
        <v>203</v>
      </c>
      <c r="MAY14" s="314" t="s">
        <v>203</v>
      </c>
      <c r="MAZ14" s="314" t="s">
        <v>203</v>
      </c>
      <c r="MBA14" s="314" t="s">
        <v>203</v>
      </c>
      <c r="MBB14" s="314" t="s">
        <v>203</v>
      </c>
      <c r="MBC14" s="314" t="s">
        <v>203</v>
      </c>
      <c r="MBD14" s="314" t="s">
        <v>203</v>
      </c>
      <c r="MBE14" s="314" t="s">
        <v>203</v>
      </c>
      <c r="MBF14" s="314" t="s">
        <v>203</v>
      </c>
      <c r="MBG14" s="314" t="s">
        <v>203</v>
      </c>
      <c r="MBH14" s="314" t="s">
        <v>203</v>
      </c>
      <c r="MBI14" s="314" t="s">
        <v>203</v>
      </c>
      <c r="MBJ14" s="314" t="s">
        <v>203</v>
      </c>
      <c r="MBK14" s="314" t="s">
        <v>203</v>
      </c>
      <c r="MBL14" s="314" t="s">
        <v>203</v>
      </c>
      <c r="MBM14" s="314" t="s">
        <v>203</v>
      </c>
      <c r="MBN14" s="314" t="s">
        <v>203</v>
      </c>
      <c r="MBO14" s="314" t="s">
        <v>203</v>
      </c>
      <c r="MBP14" s="314" t="s">
        <v>203</v>
      </c>
      <c r="MBQ14" s="314" t="s">
        <v>203</v>
      </c>
      <c r="MBR14" s="314" t="s">
        <v>203</v>
      </c>
      <c r="MBS14" s="314" t="s">
        <v>203</v>
      </c>
      <c r="MBT14" s="314" t="s">
        <v>203</v>
      </c>
      <c r="MBU14" s="314" t="s">
        <v>203</v>
      </c>
      <c r="MBV14" s="314" t="s">
        <v>203</v>
      </c>
      <c r="MBW14" s="314" t="s">
        <v>203</v>
      </c>
      <c r="MBX14" s="314" t="s">
        <v>203</v>
      </c>
      <c r="MBY14" s="314" t="s">
        <v>203</v>
      </c>
      <c r="MBZ14" s="314" t="s">
        <v>203</v>
      </c>
      <c r="MCA14" s="314" t="s">
        <v>203</v>
      </c>
      <c r="MCB14" s="314" t="s">
        <v>203</v>
      </c>
      <c r="MCC14" s="314" t="s">
        <v>203</v>
      </c>
      <c r="MCD14" s="314" t="s">
        <v>203</v>
      </c>
      <c r="MCE14" s="314" t="s">
        <v>203</v>
      </c>
      <c r="MCF14" s="314" t="s">
        <v>203</v>
      </c>
      <c r="MCG14" s="314" t="s">
        <v>203</v>
      </c>
      <c r="MCH14" s="314" t="s">
        <v>203</v>
      </c>
      <c r="MCI14" s="314" t="s">
        <v>203</v>
      </c>
      <c r="MCJ14" s="314" t="s">
        <v>203</v>
      </c>
      <c r="MCK14" s="314" t="s">
        <v>203</v>
      </c>
      <c r="MCL14" s="314" t="s">
        <v>203</v>
      </c>
      <c r="MCM14" s="314" t="s">
        <v>203</v>
      </c>
      <c r="MCN14" s="314" t="s">
        <v>203</v>
      </c>
      <c r="MCO14" s="314" t="s">
        <v>203</v>
      </c>
      <c r="MCP14" s="314" t="s">
        <v>203</v>
      </c>
      <c r="MCQ14" s="314" t="s">
        <v>203</v>
      </c>
      <c r="MCR14" s="314" t="s">
        <v>203</v>
      </c>
      <c r="MCS14" s="314" t="s">
        <v>203</v>
      </c>
      <c r="MCT14" s="314" t="s">
        <v>203</v>
      </c>
      <c r="MCU14" s="314" t="s">
        <v>203</v>
      </c>
      <c r="MCV14" s="314" t="s">
        <v>203</v>
      </c>
      <c r="MCW14" s="314" t="s">
        <v>203</v>
      </c>
      <c r="MCX14" s="314" t="s">
        <v>203</v>
      </c>
      <c r="MCY14" s="314" t="s">
        <v>203</v>
      </c>
      <c r="MCZ14" s="314" t="s">
        <v>203</v>
      </c>
      <c r="MDA14" s="314" t="s">
        <v>203</v>
      </c>
      <c r="MDB14" s="314" t="s">
        <v>203</v>
      </c>
      <c r="MDC14" s="314" t="s">
        <v>203</v>
      </c>
      <c r="MDD14" s="314" t="s">
        <v>203</v>
      </c>
      <c r="MDE14" s="314" t="s">
        <v>203</v>
      </c>
      <c r="MDF14" s="314" t="s">
        <v>203</v>
      </c>
      <c r="MDG14" s="314" t="s">
        <v>203</v>
      </c>
      <c r="MDH14" s="314" t="s">
        <v>203</v>
      </c>
      <c r="MDI14" s="314" t="s">
        <v>203</v>
      </c>
      <c r="MDJ14" s="314" t="s">
        <v>203</v>
      </c>
      <c r="MDK14" s="314" t="s">
        <v>203</v>
      </c>
      <c r="MDL14" s="314" t="s">
        <v>203</v>
      </c>
      <c r="MDM14" s="314" t="s">
        <v>203</v>
      </c>
      <c r="MDN14" s="314" t="s">
        <v>203</v>
      </c>
      <c r="MDO14" s="314" t="s">
        <v>203</v>
      </c>
      <c r="MDP14" s="314" t="s">
        <v>203</v>
      </c>
      <c r="MDQ14" s="314" t="s">
        <v>203</v>
      </c>
      <c r="MDR14" s="314" t="s">
        <v>203</v>
      </c>
      <c r="MDS14" s="314" t="s">
        <v>203</v>
      </c>
      <c r="MDT14" s="314" t="s">
        <v>203</v>
      </c>
      <c r="MDU14" s="314" t="s">
        <v>203</v>
      </c>
      <c r="MDV14" s="314" t="s">
        <v>203</v>
      </c>
      <c r="MDW14" s="314" t="s">
        <v>203</v>
      </c>
      <c r="MDX14" s="314" t="s">
        <v>203</v>
      </c>
      <c r="MDY14" s="314" t="s">
        <v>203</v>
      </c>
      <c r="MDZ14" s="314" t="s">
        <v>203</v>
      </c>
      <c r="MEA14" s="314" t="s">
        <v>203</v>
      </c>
      <c r="MEB14" s="314" t="s">
        <v>203</v>
      </c>
      <c r="MEC14" s="314" t="s">
        <v>203</v>
      </c>
      <c r="MED14" s="314" t="s">
        <v>203</v>
      </c>
      <c r="MEE14" s="314" t="s">
        <v>203</v>
      </c>
      <c r="MEF14" s="314" t="s">
        <v>203</v>
      </c>
      <c r="MEG14" s="314" t="s">
        <v>203</v>
      </c>
      <c r="MEH14" s="314" t="s">
        <v>203</v>
      </c>
      <c r="MEI14" s="314" t="s">
        <v>203</v>
      </c>
      <c r="MEJ14" s="314" t="s">
        <v>203</v>
      </c>
      <c r="MEK14" s="314" t="s">
        <v>203</v>
      </c>
      <c r="MEL14" s="314" t="s">
        <v>203</v>
      </c>
      <c r="MEM14" s="314" t="s">
        <v>203</v>
      </c>
      <c r="MEN14" s="314" t="s">
        <v>203</v>
      </c>
      <c r="MEO14" s="314" t="s">
        <v>203</v>
      </c>
      <c r="MEP14" s="314" t="s">
        <v>203</v>
      </c>
      <c r="MEQ14" s="314" t="s">
        <v>203</v>
      </c>
      <c r="MER14" s="314" t="s">
        <v>203</v>
      </c>
      <c r="MES14" s="314" t="s">
        <v>203</v>
      </c>
      <c r="MET14" s="314" t="s">
        <v>203</v>
      </c>
      <c r="MEU14" s="314" t="s">
        <v>203</v>
      </c>
      <c r="MEV14" s="314" t="s">
        <v>203</v>
      </c>
      <c r="MEW14" s="314" t="s">
        <v>203</v>
      </c>
      <c r="MEX14" s="314" t="s">
        <v>203</v>
      </c>
      <c r="MEY14" s="314" t="s">
        <v>203</v>
      </c>
      <c r="MEZ14" s="314" t="s">
        <v>203</v>
      </c>
      <c r="MFA14" s="314" t="s">
        <v>203</v>
      </c>
      <c r="MFB14" s="314" t="s">
        <v>203</v>
      </c>
      <c r="MFC14" s="314" t="s">
        <v>203</v>
      </c>
      <c r="MFD14" s="314" t="s">
        <v>203</v>
      </c>
      <c r="MFE14" s="314" t="s">
        <v>203</v>
      </c>
      <c r="MFF14" s="314" t="s">
        <v>203</v>
      </c>
      <c r="MFG14" s="314" t="s">
        <v>203</v>
      </c>
      <c r="MFH14" s="314" t="s">
        <v>203</v>
      </c>
      <c r="MFI14" s="314" t="s">
        <v>203</v>
      </c>
      <c r="MFJ14" s="314" t="s">
        <v>203</v>
      </c>
      <c r="MFK14" s="314" t="s">
        <v>203</v>
      </c>
      <c r="MFL14" s="314" t="s">
        <v>203</v>
      </c>
      <c r="MFM14" s="314" t="s">
        <v>203</v>
      </c>
      <c r="MFN14" s="314" t="s">
        <v>203</v>
      </c>
      <c r="MFO14" s="314" t="s">
        <v>203</v>
      </c>
      <c r="MFP14" s="314" t="s">
        <v>203</v>
      </c>
      <c r="MFQ14" s="314" t="s">
        <v>203</v>
      </c>
      <c r="MFR14" s="314" t="s">
        <v>203</v>
      </c>
      <c r="MFS14" s="314" t="s">
        <v>203</v>
      </c>
      <c r="MFT14" s="314" t="s">
        <v>203</v>
      </c>
      <c r="MFU14" s="314" t="s">
        <v>203</v>
      </c>
      <c r="MFV14" s="314" t="s">
        <v>203</v>
      </c>
      <c r="MFW14" s="314" t="s">
        <v>203</v>
      </c>
      <c r="MFX14" s="314" t="s">
        <v>203</v>
      </c>
      <c r="MFY14" s="314" t="s">
        <v>203</v>
      </c>
      <c r="MFZ14" s="314" t="s">
        <v>203</v>
      </c>
      <c r="MGA14" s="314" t="s">
        <v>203</v>
      </c>
      <c r="MGB14" s="314" t="s">
        <v>203</v>
      </c>
      <c r="MGC14" s="314" t="s">
        <v>203</v>
      </c>
      <c r="MGD14" s="314" t="s">
        <v>203</v>
      </c>
      <c r="MGE14" s="314" t="s">
        <v>203</v>
      </c>
      <c r="MGF14" s="314" t="s">
        <v>203</v>
      </c>
      <c r="MGG14" s="314" t="s">
        <v>203</v>
      </c>
      <c r="MGH14" s="314" t="s">
        <v>203</v>
      </c>
      <c r="MGI14" s="314" t="s">
        <v>203</v>
      </c>
      <c r="MGJ14" s="314" t="s">
        <v>203</v>
      </c>
      <c r="MGK14" s="314" t="s">
        <v>203</v>
      </c>
      <c r="MGL14" s="314" t="s">
        <v>203</v>
      </c>
      <c r="MGM14" s="314" t="s">
        <v>203</v>
      </c>
      <c r="MGN14" s="314" t="s">
        <v>203</v>
      </c>
      <c r="MGO14" s="314" t="s">
        <v>203</v>
      </c>
      <c r="MGP14" s="314" t="s">
        <v>203</v>
      </c>
      <c r="MGQ14" s="314" t="s">
        <v>203</v>
      </c>
      <c r="MGR14" s="314" t="s">
        <v>203</v>
      </c>
      <c r="MGS14" s="314" t="s">
        <v>203</v>
      </c>
      <c r="MGT14" s="314" t="s">
        <v>203</v>
      </c>
      <c r="MGU14" s="314" t="s">
        <v>203</v>
      </c>
      <c r="MGV14" s="314" t="s">
        <v>203</v>
      </c>
      <c r="MGW14" s="314" t="s">
        <v>203</v>
      </c>
      <c r="MGX14" s="314" t="s">
        <v>203</v>
      </c>
      <c r="MGY14" s="314" t="s">
        <v>203</v>
      </c>
      <c r="MGZ14" s="314" t="s">
        <v>203</v>
      </c>
      <c r="MHA14" s="314" t="s">
        <v>203</v>
      </c>
      <c r="MHB14" s="314" t="s">
        <v>203</v>
      </c>
      <c r="MHC14" s="314" t="s">
        <v>203</v>
      </c>
      <c r="MHD14" s="314" t="s">
        <v>203</v>
      </c>
      <c r="MHE14" s="314" t="s">
        <v>203</v>
      </c>
      <c r="MHF14" s="314" t="s">
        <v>203</v>
      </c>
      <c r="MHG14" s="314" t="s">
        <v>203</v>
      </c>
      <c r="MHH14" s="314" t="s">
        <v>203</v>
      </c>
      <c r="MHI14" s="314" t="s">
        <v>203</v>
      </c>
      <c r="MHJ14" s="314" t="s">
        <v>203</v>
      </c>
      <c r="MHK14" s="314" t="s">
        <v>203</v>
      </c>
      <c r="MHL14" s="314" t="s">
        <v>203</v>
      </c>
      <c r="MHM14" s="314" t="s">
        <v>203</v>
      </c>
      <c r="MHN14" s="314" t="s">
        <v>203</v>
      </c>
      <c r="MHO14" s="314" t="s">
        <v>203</v>
      </c>
      <c r="MHP14" s="314" t="s">
        <v>203</v>
      </c>
      <c r="MHQ14" s="314" t="s">
        <v>203</v>
      </c>
      <c r="MHR14" s="314" t="s">
        <v>203</v>
      </c>
      <c r="MHS14" s="314" t="s">
        <v>203</v>
      </c>
      <c r="MHT14" s="314" t="s">
        <v>203</v>
      </c>
      <c r="MHU14" s="314" t="s">
        <v>203</v>
      </c>
      <c r="MHV14" s="314" t="s">
        <v>203</v>
      </c>
      <c r="MHW14" s="314" t="s">
        <v>203</v>
      </c>
      <c r="MHX14" s="314" t="s">
        <v>203</v>
      </c>
      <c r="MHY14" s="314" t="s">
        <v>203</v>
      </c>
      <c r="MHZ14" s="314" t="s">
        <v>203</v>
      </c>
      <c r="MIA14" s="314" t="s">
        <v>203</v>
      </c>
      <c r="MIB14" s="314" t="s">
        <v>203</v>
      </c>
      <c r="MIC14" s="314" t="s">
        <v>203</v>
      </c>
      <c r="MID14" s="314" t="s">
        <v>203</v>
      </c>
      <c r="MIE14" s="314" t="s">
        <v>203</v>
      </c>
      <c r="MIF14" s="314" t="s">
        <v>203</v>
      </c>
      <c r="MIG14" s="314" t="s">
        <v>203</v>
      </c>
      <c r="MIH14" s="314" t="s">
        <v>203</v>
      </c>
      <c r="MII14" s="314" t="s">
        <v>203</v>
      </c>
      <c r="MIJ14" s="314" t="s">
        <v>203</v>
      </c>
      <c r="MIK14" s="314" t="s">
        <v>203</v>
      </c>
      <c r="MIL14" s="314" t="s">
        <v>203</v>
      </c>
      <c r="MIM14" s="314" t="s">
        <v>203</v>
      </c>
      <c r="MIN14" s="314" t="s">
        <v>203</v>
      </c>
      <c r="MIO14" s="314" t="s">
        <v>203</v>
      </c>
      <c r="MIP14" s="314" t="s">
        <v>203</v>
      </c>
      <c r="MIQ14" s="314" t="s">
        <v>203</v>
      </c>
      <c r="MIR14" s="314" t="s">
        <v>203</v>
      </c>
      <c r="MIS14" s="314" t="s">
        <v>203</v>
      </c>
      <c r="MIT14" s="314" t="s">
        <v>203</v>
      </c>
      <c r="MIU14" s="314" t="s">
        <v>203</v>
      </c>
      <c r="MIV14" s="314" t="s">
        <v>203</v>
      </c>
      <c r="MIW14" s="314" t="s">
        <v>203</v>
      </c>
      <c r="MIX14" s="314" t="s">
        <v>203</v>
      </c>
      <c r="MIY14" s="314" t="s">
        <v>203</v>
      </c>
      <c r="MIZ14" s="314" t="s">
        <v>203</v>
      </c>
      <c r="MJA14" s="314" t="s">
        <v>203</v>
      </c>
      <c r="MJB14" s="314" t="s">
        <v>203</v>
      </c>
      <c r="MJC14" s="314" t="s">
        <v>203</v>
      </c>
      <c r="MJD14" s="314" t="s">
        <v>203</v>
      </c>
      <c r="MJE14" s="314" t="s">
        <v>203</v>
      </c>
      <c r="MJF14" s="314" t="s">
        <v>203</v>
      </c>
      <c r="MJG14" s="314" t="s">
        <v>203</v>
      </c>
      <c r="MJH14" s="314" t="s">
        <v>203</v>
      </c>
      <c r="MJI14" s="314" t="s">
        <v>203</v>
      </c>
      <c r="MJJ14" s="314" t="s">
        <v>203</v>
      </c>
      <c r="MJK14" s="314" t="s">
        <v>203</v>
      </c>
      <c r="MJL14" s="314" t="s">
        <v>203</v>
      </c>
      <c r="MJM14" s="314" t="s">
        <v>203</v>
      </c>
      <c r="MJN14" s="314" t="s">
        <v>203</v>
      </c>
      <c r="MJO14" s="314" t="s">
        <v>203</v>
      </c>
      <c r="MJP14" s="314" t="s">
        <v>203</v>
      </c>
      <c r="MJQ14" s="314" t="s">
        <v>203</v>
      </c>
      <c r="MJR14" s="314" t="s">
        <v>203</v>
      </c>
      <c r="MJS14" s="314" t="s">
        <v>203</v>
      </c>
      <c r="MJT14" s="314" t="s">
        <v>203</v>
      </c>
      <c r="MJU14" s="314" t="s">
        <v>203</v>
      </c>
      <c r="MJV14" s="314" t="s">
        <v>203</v>
      </c>
      <c r="MJW14" s="314" t="s">
        <v>203</v>
      </c>
      <c r="MJX14" s="314" t="s">
        <v>203</v>
      </c>
      <c r="MJY14" s="314" t="s">
        <v>203</v>
      </c>
      <c r="MJZ14" s="314" t="s">
        <v>203</v>
      </c>
      <c r="MKA14" s="314" t="s">
        <v>203</v>
      </c>
      <c r="MKB14" s="314" t="s">
        <v>203</v>
      </c>
      <c r="MKC14" s="314" t="s">
        <v>203</v>
      </c>
      <c r="MKD14" s="314" t="s">
        <v>203</v>
      </c>
      <c r="MKE14" s="314" t="s">
        <v>203</v>
      </c>
      <c r="MKF14" s="314" t="s">
        <v>203</v>
      </c>
      <c r="MKG14" s="314" t="s">
        <v>203</v>
      </c>
      <c r="MKH14" s="314" t="s">
        <v>203</v>
      </c>
      <c r="MKI14" s="314" t="s">
        <v>203</v>
      </c>
      <c r="MKJ14" s="314" t="s">
        <v>203</v>
      </c>
      <c r="MKK14" s="314" t="s">
        <v>203</v>
      </c>
      <c r="MKL14" s="314" t="s">
        <v>203</v>
      </c>
      <c r="MKM14" s="314" t="s">
        <v>203</v>
      </c>
      <c r="MKN14" s="314" t="s">
        <v>203</v>
      </c>
      <c r="MKO14" s="314" t="s">
        <v>203</v>
      </c>
      <c r="MKP14" s="314" t="s">
        <v>203</v>
      </c>
      <c r="MKQ14" s="314" t="s">
        <v>203</v>
      </c>
      <c r="MKR14" s="314" t="s">
        <v>203</v>
      </c>
      <c r="MKS14" s="314" t="s">
        <v>203</v>
      </c>
      <c r="MKT14" s="314" t="s">
        <v>203</v>
      </c>
      <c r="MKU14" s="314" t="s">
        <v>203</v>
      </c>
      <c r="MKV14" s="314" t="s">
        <v>203</v>
      </c>
      <c r="MKW14" s="314" t="s">
        <v>203</v>
      </c>
      <c r="MKX14" s="314" t="s">
        <v>203</v>
      </c>
      <c r="MKY14" s="314" t="s">
        <v>203</v>
      </c>
      <c r="MKZ14" s="314" t="s">
        <v>203</v>
      </c>
      <c r="MLA14" s="314" t="s">
        <v>203</v>
      </c>
      <c r="MLB14" s="314" t="s">
        <v>203</v>
      </c>
      <c r="MLC14" s="314" t="s">
        <v>203</v>
      </c>
      <c r="MLD14" s="314" t="s">
        <v>203</v>
      </c>
      <c r="MLE14" s="314" t="s">
        <v>203</v>
      </c>
      <c r="MLF14" s="314" t="s">
        <v>203</v>
      </c>
      <c r="MLG14" s="314" t="s">
        <v>203</v>
      </c>
      <c r="MLH14" s="314" t="s">
        <v>203</v>
      </c>
      <c r="MLI14" s="314" t="s">
        <v>203</v>
      </c>
      <c r="MLJ14" s="314" t="s">
        <v>203</v>
      </c>
      <c r="MLK14" s="314" t="s">
        <v>203</v>
      </c>
      <c r="MLL14" s="314" t="s">
        <v>203</v>
      </c>
      <c r="MLM14" s="314" t="s">
        <v>203</v>
      </c>
      <c r="MLN14" s="314" t="s">
        <v>203</v>
      </c>
      <c r="MLO14" s="314" t="s">
        <v>203</v>
      </c>
      <c r="MLP14" s="314" t="s">
        <v>203</v>
      </c>
      <c r="MLQ14" s="314" t="s">
        <v>203</v>
      </c>
      <c r="MLR14" s="314" t="s">
        <v>203</v>
      </c>
      <c r="MLS14" s="314" t="s">
        <v>203</v>
      </c>
      <c r="MLT14" s="314" t="s">
        <v>203</v>
      </c>
      <c r="MLU14" s="314" t="s">
        <v>203</v>
      </c>
      <c r="MLV14" s="314" t="s">
        <v>203</v>
      </c>
      <c r="MLW14" s="314" t="s">
        <v>203</v>
      </c>
      <c r="MLX14" s="314" t="s">
        <v>203</v>
      </c>
      <c r="MLY14" s="314" t="s">
        <v>203</v>
      </c>
      <c r="MLZ14" s="314" t="s">
        <v>203</v>
      </c>
      <c r="MMA14" s="314" t="s">
        <v>203</v>
      </c>
      <c r="MMB14" s="314" t="s">
        <v>203</v>
      </c>
      <c r="MMC14" s="314" t="s">
        <v>203</v>
      </c>
      <c r="MMD14" s="314" t="s">
        <v>203</v>
      </c>
      <c r="MME14" s="314" t="s">
        <v>203</v>
      </c>
      <c r="MMF14" s="314" t="s">
        <v>203</v>
      </c>
      <c r="MMG14" s="314" t="s">
        <v>203</v>
      </c>
      <c r="MMH14" s="314" t="s">
        <v>203</v>
      </c>
      <c r="MMI14" s="314" t="s">
        <v>203</v>
      </c>
      <c r="MMJ14" s="314" t="s">
        <v>203</v>
      </c>
      <c r="MMK14" s="314" t="s">
        <v>203</v>
      </c>
      <c r="MML14" s="314" t="s">
        <v>203</v>
      </c>
      <c r="MMM14" s="314" t="s">
        <v>203</v>
      </c>
      <c r="MMN14" s="314" t="s">
        <v>203</v>
      </c>
      <c r="MMO14" s="314" t="s">
        <v>203</v>
      </c>
      <c r="MMP14" s="314" t="s">
        <v>203</v>
      </c>
      <c r="MMQ14" s="314" t="s">
        <v>203</v>
      </c>
      <c r="MMR14" s="314" t="s">
        <v>203</v>
      </c>
      <c r="MMS14" s="314" t="s">
        <v>203</v>
      </c>
      <c r="MMT14" s="314" t="s">
        <v>203</v>
      </c>
      <c r="MMU14" s="314" t="s">
        <v>203</v>
      </c>
      <c r="MMV14" s="314" t="s">
        <v>203</v>
      </c>
      <c r="MMW14" s="314" t="s">
        <v>203</v>
      </c>
      <c r="MMX14" s="314" t="s">
        <v>203</v>
      </c>
      <c r="MMY14" s="314" t="s">
        <v>203</v>
      </c>
      <c r="MMZ14" s="314" t="s">
        <v>203</v>
      </c>
      <c r="MNA14" s="314" t="s">
        <v>203</v>
      </c>
      <c r="MNB14" s="314" t="s">
        <v>203</v>
      </c>
      <c r="MNC14" s="314" t="s">
        <v>203</v>
      </c>
      <c r="MND14" s="314" t="s">
        <v>203</v>
      </c>
      <c r="MNE14" s="314" t="s">
        <v>203</v>
      </c>
      <c r="MNF14" s="314" t="s">
        <v>203</v>
      </c>
      <c r="MNG14" s="314" t="s">
        <v>203</v>
      </c>
      <c r="MNH14" s="314" t="s">
        <v>203</v>
      </c>
      <c r="MNI14" s="314" t="s">
        <v>203</v>
      </c>
      <c r="MNJ14" s="314" t="s">
        <v>203</v>
      </c>
      <c r="MNK14" s="314" t="s">
        <v>203</v>
      </c>
      <c r="MNL14" s="314" t="s">
        <v>203</v>
      </c>
      <c r="MNM14" s="314" t="s">
        <v>203</v>
      </c>
      <c r="MNN14" s="314" t="s">
        <v>203</v>
      </c>
      <c r="MNO14" s="314" t="s">
        <v>203</v>
      </c>
      <c r="MNP14" s="314" t="s">
        <v>203</v>
      </c>
      <c r="MNQ14" s="314" t="s">
        <v>203</v>
      </c>
      <c r="MNR14" s="314" t="s">
        <v>203</v>
      </c>
      <c r="MNS14" s="314" t="s">
        <v>203</v>
      </c>
      <c r="MNT14" s="314" t="s">
        <v>203</v>
      </c>
      <c r="MNU14" s="314" t="s">
        <v>203</v>
      </c>
      <c r="MNV14" s="314" t="s">
        <v>203</v>
      </c>
      <c r="MNW14" s="314" t="s">
        <v>203</v>
      </c>
      <c r="MNX14" s="314" t="s">
        <v>203</v>
      </c>
      <c r="MNY14" s="314" t="s">
        <v>203</v>
      </c>
      <c r="MNZ14" s="314" t="s">
        <v>203</v>
      </c>
      <c r="MOA14" s="314" t="s">
        <v>203</v>
      </c>
      <c r="MOB14" s="314" t="s">
        <v>203</v>
      </c>
      <c r="MOC14" s="314" t="s">
        <v>203</v>
      </c>
      <c r="MOD14" s="314" t="s">
        <v>203</v>
      </c>
      <c r="MOE14" s="314" t="s">
        <v>203</v>
      </c>
      <c r="MOF14" s="314" t="s">
        <v>203</v>
      </c>
      <c r="MOG14" s="314" t="s">
        <v>203</v>
      </c>
      <c r="MOH14" s="314" t="s">
        <v>203</v>
      </c>
      <c r="MOI14" s="314" t="s">
        <v>203</v>
      </c>
      <c r="MOJ14" s="314" t="s">
        <v>203</v>
      </c>
      <c r="MOK14" s="314" t="s">
        <v>203</v>
      </c>
      <c r="MOL14" s="314" t="s">
        <v>203</v>
      </c>
      <c r="MOM14" s="314" t="s">
        <v>203</v>
      </c>
      <c r="MON14" s="314" t="s">
        <v>203</v>
      </c>
      <c r="MOO14" s="314" t="s">
        <v>203</v>
      </c>
      <c r="MOP14" s="314" t="s">
        <v>203</v>
      </c>
      <c r="MOQ14" s="314" t="s">
        <v>203</v>
      </c>
      <c r="MOR14" s="314" t="s">
        <v>203</v>
      </c>
      <c r="MOS14" s="314" t="s">
        <v>203</v>
      </c>
      <c r="MOT14" s="314" t="s">
        <v>203</v>
      </c>
      <c r="MOU14" s="314" t="s">
        <v>203</v>
      </c>
      <c r="MOV14" s="314" t="s">
        <v>203</v>
      </c>
      <c r="MOW14" s="314" t="s">
        <v>203</v>
      </c>
      <c r="MOX14" s="314" t="s">
        <v>203</v>
      </c>
      <c r="MOY14" s="314" t="s">
        <v>203</v>
      </c>
      <c r="MOZ14" s="314" t="s">
        <v>203</v>
      </c>
      <c r="MPA14" s="314" t="s">
        <v>203</v>
      </c>
      <c r="MPB14" s="314" t="s">
        <v>203</v>
      </c>
      <c r="MPC14" s="314" t="s">
        <v>203</v>
      </c>
      <c r="MPD14" s="314" t="s">
        <v>203</v>
      </c>
      <c r="MPE14" s="314" t="s">
        <v>203</v>
      </c>
      <c r="MPF14" s="314" t="s">
        <v>203</v>
      </c>
      <c r="MPG14" s="314" t="s">
        <v>203</v>
      </c>
      <c r="MPH14" s="314" t="s">
        <v>203</v>
      </c>
      <c r="MPI14" s="314" t="s">
        <v>203</v>
      </c>
      <c r="MPJ14" s="314" t="s">
        <v>203</v>
      </c>
      <c r="MPK14" s="314" t="s">
        <v>203</v>
      </c>
      <c r="MPL14" s="314" t="s">
        <v>203</v>
      </c>
      <c r="MPM14" s="314" t="s">
        <v>203</v>
      </c>
      <c r="MPN14" s="314" t="s">
        <v>203</v>
      </c>
      <c r="MPO14" s="314" t="s">
        <v>203</v>
      </c>
      <c r="MPP14" s="314" t="s">
        <v>203</v>
      </c>
      <c r="MPQ14" s="314" t="s">
        <v>203</v>
      </c>
      <c r="MPR14" s="314" t="s">
        <v>203</v>
      </c>
      <c r="MPS14" s="314" t="s">
        <v>203</v>
      </c>
      <c r="MPT14" s="314" t="s">
        <v>203</v>
      </c>
      <c r="MPU14" s="314" t="s">
        <v>203</v>
      </c>
      <c r="MPV14" s="314" t="s">
        <v>203</v>
      </c>
      <c r="MPW14" s="314" t="s">
        <v>203</v>
      </c>
      <c r="MPX14" s="314" t="s">
        <v>203</v>
      </c>
      <c r="MPY14" s="314" t="s">
        <v>203</v>
      </c>
      <c r="MPZ14" s="314" t="s">
        <v>203</v>
      </c>
      <c r="MQA14" s="314" t="s">
        <v>203</v>
      </c>
      <c r="MQB14" s="314" t="s">
        <v>203</v>
      </c>
      <c r="MQC14" s="314" t="s">
        <v>203</v>
      </c>
      <c r="MQD14" s="314" t="s">
        <v>203</v>
      </c>
      <c r="MQE14" s="314" t="s">
        <v>203</v>
      </c>
      <c r="MQF14" s="314" t="s">
        <v>203</v>
      </c>
      <c r="MQG14" s="314" t="s">
        <v>203</v>
      </c>
      <c r="MQH14" s="314" t="s">
        <v>203</v>
      </c>
      <c r="MQI14" s="314" t="s">
        <v>203</v>
      </c>
      <c r="MQJ14" s="314" t="s">
        <v>203</v>
      </c>
      <c r="MQK14" s="314" t="s">
        <v>203</v>
      </c>
      <c r="MQL14" s="314" t="s">
        <v>203</v>
      </c>
      <c r="MQM14" s="314" t="s">
        <v>203</v>
      </c>
      <c r="MQN14" s="314" t="s">
        <v>203</v>
      </c>
      <c r="MQO14" s="314" t="s">
        <v>203</v>
      </c>
      <c r="MQP14" s="314" t="s">
        <v>203</v>
      </c>
      <c r="MQQ14" s="314" t="s">
        <v>203</v>
      </c>
      <c r="MQR14" s="314" t="s">
        <v>203</v>
      </c>
      <c r="MQS14" s="314" t="s">
        <v>203</v>
      </c>
      <c r="MQT14" s="314" t="s">
        <v>203</v>
      </c>
      <c r="MQU14" s="314" t="s">
        <v>203</v>
      </c>
      <c r="MQV14" s="314" t="s">
        <v>203</v>
      </c>
      <c r="MQW14" s="314" t="s">
        <v>203</v>
      </c>
      <c r="MQX14" s="314" t="s">
        <v>203</v>
      </c>
      <c r="MQY14" s="314" t="s">
        <v>203</v>
      </c>
      <c r="MQZ14" s="314" t="s">
        <v>203</v>
      </c>
      <c r="MRA14" s="314" t="s">
        <v>203</v>
      </c>
      <c r="MRB14" s="314" t="s">
        <v>203</v>
      </c>
      <c r="MRC14" s="314" t="s">
        <v>203</v>
      </c>
      <c r="MRD14" s="314" t="s">
        <v>203</v>
      </c>
      <c r="MRE14" s="314" t="s">
        <v>203</v>
      </c>
      <c r="MRF14" s="314" t="s">
        <v>203</v>
      </c>
      <c r="MRG14" s="314" t="s">
        <v>203</v>
      </c>
      <c r="MRH14" s="314" t="s">
        <v>203</v>
      </c>
      <c r="MRI14" s="314" t="s">
        <v>203</v>
      </c>
      <c r="MRJ14" s="314" t="s">
        <v>203</v>
      </c>
      <c r="MRK14" s="314" t="s">
        <v>203</v>
      </c>
      <c r="MRL14" s="314" t="s">
        <v>203</v>
      </c>
      <c r="MRM14" s="314" t="s">
        <v>203</v>
      </c>
      <c r="MRN14" s="314" t="s">
        <v>203</v>
      </c>
      <c r="MRO14" s="314" t="s">
        <v>203</v>
      </c>
      <c r="MRP14" s="314" t="s">
        <v>203</v>
      </c>
      <c r="MRQ14" s="314" t="s">
        <v>203</v>
      </c>
      <c r="MRR14" s="314" t="s">
        <v>203</v>
      </c>
      <c r="MRS14" s="314" t="s">
        <v>203</v>
      </c>
      <c r="MRT14" s="314" t="s">
        <v>203</v>
      </c>
      <c r="MRU14" s="314" t="s">
        <v>203</v>
      </c>
      <c r="MRV14" s="314" t="s">
        <v>203</v>
      </c>
      <c r="MRW14" s="314" t="s">
        <v>203</v>
      </c>
      <c r="MRX14" s="314" t="s">
        <v>203</v>
      </c>
      <c r="MRY14" s="314" t="s">
        <v>203</v>
      </c>
      <c r="MRZ14" s="314" t="s">
        <v>203</v>
      </c>
      <c r="MSA14" s="314" t="s">
        <v>203</v>
      </c>
      <c r="MSB14" s="314" t="s">
        <v>203</v>
      </c>
      <c r="MSC14" s="314" t="s">
        <v>203</v>
      </c>
      <c r="MSD14" s="314" t="s">
        <v>203</v>
      </c>
      <c r="MSE14" s="314" t="s">
        <v>203</v>
      </c>
      <c r="MSF14" s="314" t="s">
        <v>203</v>
      </c>
      <c r="MSG14" s="314" t="s">
        <v>203</v>
      </c>
      <c r="MSH14" s="314" t="s">
        <v>203</v>
      </c>
      <c r="MSI14" s="314" t="s">
        <v>203</v>
      </c>
      <c r="MSJ14" s="314" t="s">
        <v>203</v>
      </c>
      <c r="MSK14" s="314" t="s">
        <v>203</v>
      </c>
      <c r="MSL14" s="314" t="s">
        <v>203</v>
      </c>
      <c r="MSM14" s="314" t="s">
        <v>203</v>
      </c>
      <c r="MSN14" s="314" t="s">
        <v>203</v>
      </c>
      <c r="MSO14" s="314" t="s">
        <v>203</v>
      </c>
      <c r="MSP14" s="314" t="s">
        <v>203</v>
      </c>
      <c r="MSQ14" s="314" t="s">
        <v>203</v>
      </c>
      <c r="MSR14" s="314" t="s">
        <v>203</v>
      </c>
      <c r="MSS14" s="314" t="s">
        <v>203</v>
      </c>
      <c r="MST14" s="314" t="s">
        <v>203</v>
      </c>
      <c r="MSU14" s="314" t="s">
        <v>203</v>
      </c>
      <c r="MSV14" s="314" t="s">
        <v>203</v>
      </c>
      <c r="MSW14" s="314" t="s">
        <v>203</v>
      </c>
      <c r="MSX14" s="314" t="s">
        <v>203</v>
      </c>
      <c r="MSY14" s="314" t="s">
        <v>203</v>
      </c>
      <c r="MSZ14" s="314" t="s">
        <v>203</v>
      </c>
      <c r="MTA14" s="314" t="s">
        <v>203</v>
      </c>
      <c r="MTB14" s="314" t="s">
        <v>203</v>
      </c>
      <c r="MTC14" s="314" t="s">
        <v>203</v>
      </c>
      <c r="MTD14" s="314" t="s">
        <v>203</v>
      </c>
      <c r="MTE14" s="314" t="s">
        <v>203</v>
      </c>
      <c r="MTF14" s="314" t="s">
        <v>203</v>
      </c>
      <c r="MTG14" s="314" t="s">
        <v>203</v>
      </c>
      <c r="MTH14" s="314" t="s">
        <v>203</v>
      </c>
      <c r="MTI14" s="314" t="s">
        <v>203</v>
      </c>
      <c r="MTJ14" s="314" t="s">
        <v>203</v>
      </c>
      <c r="MTK14" s="314" t="s">
        <v>203</v>
      </c>
      <c r="MTL14" s="314" t="s">
        <v>203</v>
      </c>
      <c r="MTM14" s="314" t="s">
        <v>203</v>
      </c>
      <c r="MTN14" s="314" t="s">
        <v>203</v>
      </c>
      <c r="MTO14" s="314" t="s">
        <v>203</v>
      </c>
      <c r="MTP14" s="314" t="s">
        <v>203</v>
      </c>
      <c r="MTQ14" s="314" t="s">
        <v>203</v>
      </c>
      <c r="MTR14" s="314" t="s">
        <v>203</v>
      </c>
      <c r="MTS14" s="314" t="s">
        <v>203</v>
      </c>
      <c r="MTT14" s="314" t="s">
        <v>203</v>
      </c>
      <c r="MTU14" s="314" t="s">
        <v>203</v>
      </c>
      <c r="MTV14" s="314" t="s">
        <v>203</v>
      </c>
      <c r="MTW14" s="314" t="s">
        <v>203</v>
      </c>
      <c r="MTX14" s="314" t="s">
        <v>203</v>
      </c>
      <c r="MTY14" s="314" t="s">
        <v>203</v>
      </c>
      <c r="MTZ14" s="314" t="s">
        <v>203</v>
      </c>
      <c r="MUA14" s="314" t="s">
        <v>203</v>
      </c>
      <c r="MUB14" s="314" t="s">
        <v>203</v>
      </c>
      <c r="MUC14" s="314" t="s">
        <v>203</v>
      </c>
      <c r="MUD14" s="314" t="s">
        <v>203</v>
      </c>
      <c r="MUE14" s="314" t="s">
        <v>203</v>
      </c>
      <c r="MUF14" s="314" t="s">
        <v>203</v>
      </c>
      <c r="MUG14" s="314" t="s">
        <v>203</v>
      </c>
      <c r="MUH14" s="314" t="s">
        <v>203</v>
      </c>
      <c r="MUI14" s="314" t="s">
        <v>203</v>
      </c>
      <c r="MUJ14" s="314" t="s">
        <v>203</v>
      </c>
      <c r="MUK14" s="314" t="s">
        <v>203</v>
      </c>
      <c r="MUL14" s="314" t="s">
        <v>203</v>
      </c>
      <c r="MUM14" s="314" t="s">
        <v>203</v>
      </c>
      <c r="MUN14" s="314" t="s">
        <v>203</v>
      </c>
      <c r="MUO14" s="314" t="s">
        <v>203</v>
      </c>
      <c r="MUP14" s="314" t="s">
        <v>203</v>
      </c>
      <c r="MUQ14" s="314" t="s">
        <v>203</v>
      </c>
      <c r="MUR14" s="314" t="s">
        <v>203</v>
      </c>
      <c r="MUS14" s="314" t="s">
        <v>203</v>
      </c>
      <c r="MUT14" s="314" t="s">
        <v>203</v>
      </c>
      <c r="MUU14" s="314" t="s">
        <v>203</v>
      </c>
      <c r="MUV14" s="314" t="s">
        <v>203</v>
      </c>
      <c r="MUW14" s="314" t="s">
        <v>203</v>
      </c>
      <c r="MUX14" s="314" t="s">
        <v>203</v>
      </c>
      <c r="MUY14" s="314" t="s">
        <v>203</v>
      </c>
      <c r="MUZ14" s="314" t="s">
        <v>203</v>
      </c>
      <c r="MVA14" s="314" t="s">
        <v>203</v>
      </c>
      <c r="MVB14" s="314" t="s">
        <v>203</v>
      </c>
      <c r="MVC14" s="314" t="s">
        <v>203</v>
      </c>
      <c r="MVD14" s="314" t="s">
        <v>203</v>
      </c>
      <c r="MVE14" s="314" t="s">
        <v>203</v>
      </c>
      <c r="MVF14" s="314" t="s">
        <v>203</v>
      </c>
      <c r="MVG14" s="314" t="s">
        <v>203</v>
      </c>
      <c r="MVH14" s="314" t="s">
        <v>203</v>
      </c>
      <c r="MVI14" s="314" t="s">
        <v>203</v>
      </c>
      <c r="MVJ14" s="314" t="s">
        <v>203</v>
      </c>
      <c r="MVK14" s="314" t="s">
        <v>203</v>
      </c>
      <c r="MVL14" s="314" t="s">
        <v>203</v>
      </c>
      <c r="MVM14" s="314" t="s">
        <v>203</v>
      </c>
      <c r="MVN14" s="314" t="s">
        <v>203</v>
      </c>
      <c r="MVO14" s="314" t="s">
        <v>203</v>
      </c>
      <c r="MVP14" s="314" t="s">
        <v>203</v>
      </c>
      <c r="MVQ14" s="314" t="s">
        <v>203</v>
      </c>
      <c r="MVR14" s="314" t="s">
        <v>203</v>
      </c>
      <c r="MVS14" s="314" t="s">
        <v>203</v>
      </c>
      <c r="MVT14" s="314" t="s">
        <v>203</v>
      </c>
      <c r="MVU14" s="314" t="s">
        <v>203</v>
      </c>
      <c r="MVV14" s="314" t="s">
        <v>203</v>
      </c>
      <c r="MVW14" s="314" t="s">
        <v>203</v>
      </c>
      <c r="MVX14" s="314" t="s">
        <v>203</v>
      </c>
      <c r="MVY14" s="314" t="s">
        <v>203</v>
      </c>
      <c r="MVZ14" s="314" t="s">
        <v>203</v>
      </c>
      <c r="MWA14" s="314" t="s">
        <v>203</v>
      </c>
      <c r="MWB14" s="314" t="s">
        <v>203</v>
      </c>
      <c r="MWC14" s="314" t="s">
        <v>203</v>
      </c>
      <c r="MWD14" s="314" t="s">
        <v>203</v>
      </c>
      <c r="MWE14" s="314" t="s">
        <v>203</v>
      </c>
      <c r="MWF14" s="314" t="s">
        <v>203</v>
      </c>
      <c r="MWG14" s="314" t="s">
        <v>203</v>
      </c>
      <c r="MWH14" s="314" t="s">
        <v>203</v>
      </c>
      <c r="MWI14" s="314" t="s">
        <v>203</v>
      </c>
      <c r="MWJ14" s="314" t="s">
        <v>203</v>
      </c>
      <c r="MWK14" s="314" t="s">
        <v>203</v>
      </c>
      <c r="MWL14" s="314" t="s">
        <v>203</v>
      </c>
      <c r="MWM14" s="314" t="s">
        <v>203</v>
      </c>
      <c r="MWN14" s="314" t="s">
        <v>203</v>
      </c>
      <c r="MWO14" s="314" t="s">
        <v>203</v>
      </c>
      <c r="MWP14" s="314" t="s">
        <v>203</v>
      </c>
      <c r="MWQ14" s="314" t="s">
        <v>203</v>
      </c>
      <c r="MWR14" s="314" t="s">
        <v>203</v>
      </c>
      <c r="MWS14" s="314" t="s">
        <v>203</v>
      </c>
      <c r="MWT14" s="314" t="s">
        <v>203</v>
      </c>
      <c r="MWU14" s="314" t="s">
        <v>203</v>
      </c>
      <c r="MWV14" s="314" t="s">
        <v>203</v>
      </c>
      <c r="MWW14" s="314" t="s">
        <v>203</v>
      </c>
      <c r="MWX14" s="314" t="s">
        <v>203</v>
      </c>
      <c r="MWY14" s="314" t="s">
        <v>203</v>
      </c>
      <c r="MWZ14" s="314" t="s">
        <v>203</v>
      </c>
      <c r="MXA14" s="314" t="s">
        <v>203</v>
      </c>
      <c r="MXB14" s="314" t="s">
        <v>203</v>
      </c>
      <c r="MXC14" s="314" t="s">
        <v>203</v>
      </c>
      <c r="MXD14" s="314" t="s">
        <v>203</v>
      </c>
      <c r="MXE14" s="314" t="s">
        <v>203</v>
      </c>
      <c r="MXF14" s="314" t="s">
        <v>203</v>
      </c>
      <c r="MXG14" s="314" t="s">
        <v>203</v>
      </c>
      <c r="MXH14" s="314" t="s">
        <v>203</v>
      </c>
      <c r="MXI14" s="314" t="s">
        <v>203</v>
      </c>
      <c r="MXJ14" s="314" t="s">
        <v>203</v>
      </c>
      <c r="MXK14" s="314" t="s">
        <v>203</v>
      </c>
      <c r="MXL14" s="314" t="s">
        <v>203</v>
      </c>
      <c r="MXM14" s="314" t="s">
        <v>203</v>
      </c>
      <c r="MXN14" s="314" t="s">
        <v>203</v>
      </c>
      <c r="MXO14" s="314" t="s">
        <v>203</v>
      </c>
      <c r="MXP14" s="314" t="s">
        <v>203</v>
      </c>
      <c r="MXQ14" s="314" t="s">
        <v>203</v>
      </c>
      <c r="MXR14" s="314" t="s">
        <v>203</v>
      </c>
      <c r="MXS14" s="314" t="s">
        <v>203</v>
      </c>
      <c r="MXT14" s="314" t="s">
        <v>203</v>
      </c>
      <c r="MXU14" s="314" t="s">
        <v>203</v>
      </c>
      <c r="MXV14" s="314" t="s">
        <v>203</v>
      </c>
      <c r="MXW14" s="314" t="s">
        <v>203</v>
      </c>
      <c r="MXX14" s="314" t="s">
        <v>203</v>
      </c>
      <c r="MXY14" s="314" t="s">
        <v>203</v>
      </c>
      <c r="MXZ14" s="314" t="s">
        <v>203</v>
      </c>
      <c r="MYA14" s="314" t="s">
        <v>203</v>
      </c>
      <c r="MYB14" s="314" t="s">
        <v>203</v>
      </c>
      <c r="MYC14" s="314" t="s">
        <v>203</v>
      </c>
      <c r="MYD14" s="314" t="s">
        <v>203</v>
      </c>
      <c r="MYE14" s="314" t="s">
        <v>203</v>
      </c>
      <c r="MYF14" s="314" t="s">
        <v>203</v>
      </c>
      <c r="MYG14" s="314" t="s">
        <v>203</v>
      </c>
      <c r="MYH14" s="314" t="s">
        <v>203</v>
      </c>
      <c r="MYI14" s="314" t="s">
        <v>203</v>
      </c>
      <c r="MYJ14" s="314" t="s">
        <v>203</v>
      </c>
      <c r="MYK14" s="314" t="s">
        <v>203</v>
      </c>
      <c r="MYL14" s="314" t="s">
        <v>203</v>
      </c>
      <c r="MYM14" s="314" t="s">
        <v>203</v>
      </c>
      <c r="MYN14" s="314" t="s">
        <v>203</v>
      </c>
      <c r="MYO14" s="314" t="s">
        <v>203</v>
      </c>
      <c r="MYP14" s="314" t="s">
        <v>203</v>
      </c>
      <c r="MYQ14" s="314" t="s">
        <v>203</v>
      </c>
      <c r="MYR14" s="314" t="s">
        <v>203</v>
      </c>
      <c r="MYS14" s="314" t="s">
        <v>203</v>
      </c>
      <c r="MYT14" s="314" t="s">
        <v>203</v>
      </c>
      <c r="MYU14" s="314" t="s">
        <v>203</v>
      </c>
      <c r="MYV14" s="314" t="s">
        <v>203</v>
      </c>
      <c r="MYW14" s="314" t="s">
        <v>203</v>
      </c>
      <c r="MYX14" s="314" t="s">
        <v>203</v>
      </c>
      <c r="MYY14" s="314" t="s">
        <v>203</v>
      </c>
      <c r="MYZ14" s="314" t="s">
        <v>203</v>
      </c>
      <c r="MZA14" s="314" t="s">
        <v>203</v>
      </c>
      <c r="MZB14" s="314" t="s">
        <v>203</v>
      </c>
      <c r="MZC14" s="314" t="s">
        <v>203</v>
      </c>
      <c r="MZD14" s="314" t="s">
        <v>203</v>
      </c>
      <c r="MZE14" s="314" t="s">
        <v>203</v>
      </c>
      <c r="MZF14" s="314" t="s">
        <v>203</v>
      </c>
      <c r="MZG14" s="314" t="s">
        <v>203</v>
      </c>
      <c r="MZH14" s="314" t="s">
        <v>203</v>
      </c>
      <c r="MZI14" s="314" t="s">
        <v>203</v>
      </c>
      <c r="MZJ14" s="314" t="s">
        <v>203</v>
      </c>
      <c r="MZK14" s="314" t="s">
        <v>203</v>
      </c>
      <c r="MZL14" s="314" t="s">
        <v>203</v>
      </c>
      <c r="MZM14" s="314" t="s">
        <v>203</v>
      </c>
      <c r="MZN14" s="314" t="s">
        <v>203</v>
      </c>
      <c r="MZO14" s="314" t="s">
        <v>203</v>
      </c>
      <c r="MZP14" s="314" t="s">
        <v>203</v>
      </c>
      <c r="MZQ14" s="314" t="s">
        <v>203</v>
      </c>
      <c r="MZR14" s="314" t="s">
        <v>203</v>
      </c>
      <c r="MZS14" s="314" t="s">
        <v>203</v>
      </c>
      <c r="MZT14" s="314" t="s">
        <v>203</v>
      </c>
      <c r="MZU14" s="314" t="s">
        <v>203</v>
      </c>
      <c r="MZV14" s="314" t="s">
        <v>203</v>
      </c>
      <c r="MZW14" s="314" t="s">
        <v>203</v>
      </c>
      <c r="MZX14" s="314" t="s">
        <v>203</v>
      </c>
      <c r="MZY14" s="314" t="s">
        <v>203</v>
      </c>
      <c r="MZZ14" s="314" t="s">
        <v>203</v>
      </c>
      <c r="NAA14" s="314" t="s">
        <v>203</v>
      </c>
      <c r="NAB14" s="314" t="s">
        <v>203</v>
      </c>
      <c r="NAC14" s="314" t="s">
        <v>203</v>
      </c>
      <c r="NAD14" s="314" t="s">
        <v>203</v>
      </c>
      <c r="NAE14" s="314" t="s">
        <v>203</v>
      </c>
      <c r="NAF14" s="314" t="s">
        <v>203</v>
      </c>
      <c r="NAG14" s="314" t="s">
        <v>203</v>
      </c>
      <c r="NAH14" s="314" t="s">
        <v>203</v>
      </c>
      <c r="NAI14" s="314" t="s">
        <v>203</v>
      </c>
      <c r="NAJ14" s="314" t="s">
        <v>203</v>
      </c>
      <c r="NAK14" s="314" t="s">
        <v>203</v>
      </c>
      <c r="NAL14" s="314" t="s">
        <v>203</v>
      </c>
      <c r="NAM14" s="314" t="s">
        <v>203</v>
      </c>
      <c r="NAN14" s="314" t="s">
        <v>203</v>
      </c>
      <c r="NAO14" s="314" t="s">
        <v>203</v>
      </c>
      <c r="NAP14" s="314" t="s">
        <v>203</v>
      </c>
      <c r="NAQ14" s="314" t="s">
        <v>203</v>
      </c>
      <c r="NAR14" s="314" t="s">
        <v>203</v>
      </c>
      <c r="NAS14" s="314" t="s">
        <v>203</v>
      </c>
      <c r="NAT14" s="314" t="s">
        <v>203</v>
      </c>
      <c r="NAU14" s="314" t="s">
        <v>203</v>
      </c>
      <c r="NAV14" s="314" t="s">
        <v>203</v>
      </c>
      <c r="NAW14" s="314" t="s">
        <v>203</v>
      </c>
      <c r="NAX14" s="314" t="s">
        <v>203</v>
      </c>
      <c r="NAY14" s="314" t="s">
        <v>203</v>
      </c>
      <c r="NAZ14" s="314" t="s">
        <v>203</v>
      </c>
      <c r="NBA14" s="314" t="s">
        <v>203</v>
      </c>
      <c r="NBB14" s="314" t="s">
        <v>203</v>
      </c>
      <c r="NBC14" s="314" t="s">
        <v>203</v>
      </c>
      <c r="NBD14" s="314" t="s">
        <v>203</v>
      </c>
      <c r="NBE14" s="314" t="s">
        <v>203</v>
      </c>
      <c r="NBF14" s="314" t="s">
        <v>203</v>
      </c>
      <c r="NBG14" s="314" t="s">
        <v>203</v>
      </c>
      <c r="NBH14" s="314" t="s">
        <v>203</v>
      </c>
      <c r="NBI14" s="314" t="s">
        <v>203</v>
      </c>
      <c r="NBJ14" s="314" t="s">
        <v>203</v>
      </c>
      <c r="NBK14" s="314" t="s">
        <v>203</v>
      </c>
      <c r="NBL14" s="314" t="s">
        <v>203</v>
      </c>
      <c r="NBM14" s="314" t="s">
        <v>203</v>
      </c>
      <c r="NBN14" s="314" t="s">
        <v>203</v>
      </c>
      <c r="NBO14" s="314" t="s">
        <v>203</v>
      </c>
      <c r="NBP14" s="314" t="s">
        <v>203</v>
      </c>
      <c r="NBQ14" s="314" t="s">
        <v>203</v>
      </c>
      <c r="NBR14" s="314" t="s">
        <v>203</v>
      </c>
      <c r="NBS14" s="314" t="s">
        <v>203</v>
      </c>
      <c r="NBT14" s="314" t="s">
        <v>203</v>
      </c>
      <c r="NBU14" s="314" t="s">
        <v>203</v>
      </c>
      <c r="NBV14" s="314" t="s">
        <v>203</v>
      </c>
      <c r="NBW14" s="314" t="s">
        <v>203</v>
      </c>
      <c r="NBX14" s="314" t="s">
        <v>203</v>
      </c>
      <c r="NBY14" s="314" t="s">
        <v>203</v>
      </c>
      <c r="NBZ14" s="314" t="s">
        <v>203</v>
      </c>
      <c r="NCA14" s="314" t="s">
        <v>203</v>
      </c>
      <c r="NCB14" s="314" t="s">
        <v>203</v>
      </c>
      <c r="NCC14" s="314" t="s">
        <v>203</v>
      </c>
      <c r="NCD14" s="314" t="s">
        <v>203</v>
      </c>
      <c r="NCE14" s="314" t="s">
        <v>203</v>
      </c>
      <c r="NCF14" s="314" t="s">
        <v>203</v>
      </c>
      <c r="NCG14" s="314" t="s">
        <v>203</v>
      </c>
      <c r="NCH14" s="314" t="s">
        <v>203</v>
      </c>
      <c r="NCI14" s="314" t="s">
        <v>203</v>
      </c>
      <c r="NCJ14" s="314" t="s">
        <v>203</v>
      </c>
      <c r="NCK14" s="314" t="s">
        <v>203</v>
      </c>
      <c r="NCL14" s="314" t="s">
        <v>203</v>
      </c>
      <c r="NCM14" s="314" t="s">
        <v>203</v>
      </c>
      <c r="NCN14" s="314" t="s">
        <v>203</v>
      </c>
      <c r="NCO14" s="314" t="s">
        <v>203</v>
      </c>
      <c r="NCP14" s="314" t="s">
        <v>203</v>
      </c>
      <c r="NCQ14" s="314" t="s">
        <v>203</v>
      </c>
      <c r="NCR14" s="314" t="s">
        <v>203</v>
      </c>
      <c r="NCS14" s="314" t="s">
        <v>203</v>
      </c>
      <c r="NCT14" s="314" t="s">
        <v>203</v>
      </c>
      <c r="NCU14" s="314" t="s">
        <v>203</v>
      </c>
      <c r="NCV14" s="314" t="s">
        <v>203</v>
      </c>
      <c r="NCW14" s="314" t="s">
        <v>203</v>
      </c>
      <c r="NCX14" s="314" t="s">
        <v>203</v>
      </c>
      <c r="NCY14" s="314" t="s">
        <v>203</v>
      </c>
      <c r="NCZ14" s="314" t="s">
        <v>203</v>
      </c>
      <c r="NDA14" s="314" t="s">
        <v>203</v>
      </c>
      <c r="NDB14" s="314" t="s">
        <v>203</v>
      </c>
      <c r="NDC14" s="314" t="s">
        <v>203</v>
      </c>
      <c r="NDD14" s="314" t="s">
        <v>203</v>
      </c>
      <c r="NDE14" s="314" t="s">
        <v>203</v>
      </c>
      <c r="NDF14" s="314" t="s">
        <v>203</v>
      </c>
      <c r="NDG14" s="314" t="s">
        <v>203</v>
      </c>
      <c r="NDH14" s="314" t="s">
        <v>203</v>
      </c>
      <c r="NDI14" s="314" t="s">
        <v>203</v>
      </c>
      <c r="NDJ14" s="314" t="s">
        <v>203</v>
      </c>
      <c r="NDK14" s="314" t="s">
        <v>203</v>
      </c>
      <c r="NDL14" s="314" t="s">
        <v>203</v>
      </c>
      <c r="NDM14" s="314" t="s">
        <v>203</v>
      </c>
      <c r="NDN14" s="314" t="s">
        <v>203</v>
      </c>
      <c r="NDO14" s="314" t="s">
        <v>203</v>
      </c>
      <c r="NDP14" s="314" t="s">
        <v>203</v>
      </c>
      <c r="NDQ14" s="314" t="s">
        <v>203</v>
      </c>
      <c r="NDR14" s="314" t="s">
        <v>203</v>
      </c>
      <c r="NDS14" s="314" t="s">
        <v>203</v>
      </c>
      <c r="NDT14" s="314" t="s">
        <v>203</v>
      </c>
      <c r="NDU14" s="314" t="s">
        <v>203</v>
      </c>
      <c r="NDV14" s="314" t="s">
        <v>203</v>
      </c>
      <c r="NDW14" s="314" t="s">
        <v>203</v>
      </c>
      <c r="NDX14" s="314" t="s">
        <v>203</v>
      </c>
      <c r="NDY14" s="314" t="s">
        <v>203</v>
      </c>
      <c r="NDZ14" s="314" t="s">
        <v>203</v>
      </c>
      <c r="NEA14" s="314" t="s">
        <v>203</v>
      </c>
      <c r="NEB14" s="314" t="s">
        <v>203</v>
      </c>
      <c r="NEC14" s="314" t="s">
        <v>203</v>
      </c>
      <c r="NED14" s="314" t="s">
        <v>203</v>
      </c>
      <c r="NEE14" s="314" t="s">
        <v>203</v>
      </c>
      <c r="NEF14" s="314" t="s">
        <v>203</v>
      </c>
      <c r="NEG14" s="314" t="s">
        <v>203</v>
      </c>
      <c r="NEH14" s="314" t="s">
        <v>203</v>
      </c>
      <c r="NEI14" s="314" t="s">
        <v>203</v>
      </c>
      <c r="NEJ14" s="314" t="s">
        <v>203</v>
      </c>
      <c r="NEK14" s="314" t="s">
        <v>203</v>
      </c>
      <c r="NEL14" s="314" t="s">
        <v>203</v>
      </c>
      <c r="NEM14" s="314" t="s">
        <v>203</v>
      </c>
      <c r="NEN14" s="314" t="s">
        <v>203</v>
      </c>
      <c r="NEO14" s="314" t="s">
        <v>203</v>
      </c>
      <c r="NEP14" s="314" t="s">
        <v>203</v>
      </c>
      <c r="NEQ14" s="314" t="s">
        <v>203</v>
      </c>
      <c r="NER14" s="314" t="s">
        <v>203</v>
      </c>
      <c r="NES14" s="314" t="s">
        <v>203</v>
      </c>
      <c r="NET14" s="314" t="s">
        <v>203</v>
      </c>
      <c r="NEU14" s="314" t="s">
        <v>203</v>
      </c>
      <c r="NEV14" s="314" t="s">
        <v>203</v>
      </c>
      <c r="NEW14" s="314" t="s">
        <v>203</v>
      </c>
      <c r="NEX14" s="314" t="s">
        <v>203</v>
      </c>
      <c r="NEY14" s="314" t="s">
        <v>203</v>
      </c>
      <c r="NEZ14" s="314" t="s">
        <v>203</v>
      </c>
      <c r="NFA14" s="314" t="s">
        <v>203</v>
      </c>
      <c r="NFB14" s="314" t="s">
        <v>203</v>
      </c>
      <c r="NFC14" s="314" t="s">
        <v>203</v>
      </c>
      <c r="NFD14" s="314" t="s">
        <v>203</v>
      </c>
      <c r="NFE14" s="314" t="s">
        <v>203</v>
      </c>
      <c r="NFF14" s="314" t="s">
        <v>203</v>
      </c>
      <c r="NFG14" s="314" t="s">
        <v>203</v>
      </c>
      <c r="NFH14" s="314" t="s">
        <v>203</v>
      </c>
      <c r="NFI14" s="314" t="s">
        <v>203</v>
      </c>
      <c r="NFJ14" s="314" t="s">
        <v>203</v>
      </c>
      <c r="NFK14" s="314" t="s">
        <v>203</v>
      </c>
      <c r="NFL14" s="314" t="s">
        <v>203</v>
      </c>
      <c r="NFM14" s="314" t="s">
        <v>203</v>
      </c>
      <c r="NFN14" s="314" t="s">
        <v>203</v>
      </c>
      <c r="NFO14" s="314" t="s">
        <v>203</v>
      </c>
      <c r="NFP14" s="314" t="s">
        <v>203</v>
      </c>
      <c r="NFQ14" s="314" t="s">
        <v>203</v>
      </c>
      <c r="NFR14" s="314" t="s">
        <v>203</v>
      </c>
      <c r="NFS14" s="314" t="s">
        <v>203</v>
      </c>
      <c r="NFT14" s="314" t="s">
        <v>203</v>
      </c>
      <c r="NFU14" s="314" t="s">
        <v>203</v>
      </c>
      <c r="NFV14" s="314" t="s">
        <v>203</v>
      </c>
      <c r="NFW14" s="314" t="s">
        <v>203</v>
      </c>
      <c r="NFX14" s="314" t="s">
        <v>203</v>
      </c>
      <c r="NFY14" s="314" t="s">
        <v>203</v>
      </c>
      <c r="NFZ14" s="314" t="s">
        <v>203</v>
      </c>
      <c r="NGA14" s="314" t="s">
        <v>203</v>
      </c>
      <c r="NGB14" s="314" t="s">
        <v>203</v>
      </c>
      <c r="NGC14" s="314" t="s">
        <v>203</v>
      </c>
      <c r="NGD14" s="314" t="s">
        <v>203</v>
      </c>
      <c r="NGE14" s="314" t="s">
        <v>203</v>
      </c>
      <c r="NGF14" s="314" t="s">
        <v>203</v>
      </c>
      <c r="NGG14" s="314" t="s">
        <v>203</v>
      </c>
      <c r="NGH14" s="314" t="s">
        <v>203</v>
      </c>
      <c r="NGI14" s="314" t="s">
        <v>203</v>
      </c>
      <c r="NGJ14" s="314" t="s">
        <v>203</v>
      </c>
      <c r="NGK14" s="314" t="s">
        <v>203</v>
      </c>
      <c r="NGL14" s="314" t="s">
        <v>203</v>
      </c>
      <c r="NGM14" s="314" t="s">
        <v>203</v>
      </c>
      <c r="NGN14" s="314" t="s">
        <v>203</v>
      </c>
      <c r="NGO14" s="314" t="s">
        <v>203</v>
      </c>
      <c r="NGP14" s="314" t="s">
        <v>203</v>
      </c>
      <c r="NGQ14" s="314" t="s">
        <v>203</v>
      </c>
      <c r="NGR14" s="314" t="s">
        <v>203</v>
      </c>
      <c r="NGS14" s="314" t="s">
        <v>203</v>
      </c>
      <c r="NGT14" s="314" t="s">
        <v>203</v>
      </c>
      <c r="NGU14" s="314" t="s">
        <v>203</v>
      </c>
      <c r="NGV14" s="314" t="s">
        <v>203</v>
      </c>
      <c r="NGW14" s="314" t="s">
        <v>203</v>
      </c>
      <c r="NGX14" s="314" t="s">
        <v>203</v>
      </c>
      <c r="NGY14" s="314" t="s">
        <v>203</v>
      </c>
      <c r="NGZ14" s="314" t="s">
        <v>203</v>
      </c>
      <c r="NHA14" s="314" t="s">
        <v>203</v>
      </c>
      <c r="NHB14" s="314" t="s">
        <v>203</v>
      </c>
      <c r="NHC14" s="314" t="s">
        <v>203</v>
      </c>
      <c r="NHD14" s="314" t="s">
        <v>203</v>
      </c>
      <c r="NHE14" s="314" t="s">
        <v>203</v>
      </c>
      <c r="NHF14" s="314" t="s">
        <v>203</v>
      </c>
      <c r="NHG14" s="314" t="s">
        <v>203</v>
      </c>
      <c r="NHH14" s="314" t="s">
        <v>203</v>
      </c>
      <c r="NHI14" s="314" t="s">
        <v>203</v>
      </c>
      <c r="NHJ14" s="314" t="s">
        <v>203</v>
      </c>
      <c r="NHK14" s="314" t="s">
        <v>203</v>
      </c>
      <c r="NHL14" s="314" t="s">
        <v>203</v>
      </c>
      <c r="NHM14" s="314" t="s">
        <v>203</v>
      </c>
      <c r="NHN14" s="314" t="s">
        <v>203</v>
      </c>
      <c r="NHO14" s="314" t="s">
        <v>203</v>
      </c>
      <c r="NHP14" s="314" t="s">
        <v>203</v>
      </c>
      <c r="NHQ14" s="314" t="s">
        <v>203</v>
      </c>
      <c r="NHR14" s="314" t="s">
        <v>203</v>
      </c>
      <c r="NHS14" s="314" t="s">
        <v>203</v>
      </c>
      <c r="NHT14" s="314" t="s">
        <v>203</v>
      </c>
      <c r="NHU14" s="314" t="s">
        <v>203</v>
      </c>
      <c r="NHV14" s="314" t="s">
        <v>203</v>
      </c>
      <c r="NHW14" s="314" t="s">
        <v>203</v>
      </c>
      <c r="NHX14" s="314" t="s">
        <v>203</v>
      </c>
      <c r="NHY14" s="314" t="s">
        <v>203</v>
      </c>
      <c r="NHZ14" s="314" t="s">
        <v>203</v>
      </c>
      <c r="NIA14" s="314" t="s">
        <v>203</v>
      </c>
      <c r="NIB14" s="314" t="s">
        <v>203</v>
      </c>
      <c r="NIC14" s="314" t="s">
        <v>203</v>
      </c>
      <c r="NID14" s="314" t="s">
        <v>203</v>
      </c>
      <c r="NIE14" s="314" t="s">
        <v>203</v>
      </c>
      <c r="NIF14" s="314" t="s">
        <v>203</v>
      </c>
      <c r="NIG14" s="314" t="s">
        <v>203</v>
      </c>
      <c r="NIH14" s="314" t="s">
        <v>203</v>
      </c>
      <c r="NII14" s="314" t="s">
        <v>203</v>
      </c>
      <c r="NIJ14" s="314" t="s">
        <v>203</v>
      </c>
      <c r="NIK14" s="314" t="s">
        <v>203</v>
      </c>
      <c r="NIL14" s="314" t="s">
        <v>203</v>
      </c>
      <c r="NIM14" s="314" t="s">
        <v>203</v>
      </c>
      <c r="NIN14" s="314" t="s">
        <v>203</v>
      </c>
      <c r="NIO14" s="314" t="s">
        <v>203</v>
      </c>
      <c r="NIP14" s="314" t="s">
        <v>203</v>
      </c>
      <c r="NIQ14" s="314" t="s">
        <v>203</v>
      </c>
      <c r="NIR14" s="314" t="s">
        <v>203</v>
      </c>
      <c r="NIS14" s="314" t="s">
        <v>203</v>
      </c>
      <c r="NIT14" s="314" t="s">
        <v>203</v>
      </c>
      <c r="NIU14" s="314" t="s">
        <v>203</v>
      </c>
      <c r="NIV14" s="314" t="s">
        <v>203</v>
      </c>
      <c r="NIW14" s="314" t="s">
        <v>203</v>
      </c>
      <c r="NIX14" s="314" t="s">
        <v>203</v>
      </c>
      <c r="NIY14" s="314" t="s">
        <v>203</v>
      </c>
      <c r="NIZ14" s="314" t="s">
        <v>203</v>
      </c>
      <c r="NJA14" s="314" t="s">
        <v>203</v>
      </c>
      <c r="NJB14" s="314" t="s">
        <v>203</v>
      </c>
      <c r="NJC14" s="314" t="s">
        <v>203</v>
      </c>
      <c r="NJD14" s="314" t="s">
        <v>203</v>
      </c>
      <c r="NJE14" s="314" t="s">
        <v>203</v>
      </c>
      <c r="NJF14" s="314" t="s">
        <v>203</v>
      </c>
      <c r="NJG14" s="314" t="s">
        <v>203</v>
      </c>
      <c r="NJH14" s="314" t="s">
        <v>203</v>
      </c>
      <c r="NJI14" s="314" t="s">
        <v>203</v>
      </c>
      <c r="NJJ14" s="314" t="s">
        <v>203</v>
      </c>
      <c r="NJK14" s="314" t="s">
        <v>203</v>
      </c>
      <c r="NJL14" s="314" t="s">
        <v>203</v>
      </c>
      <c r="NJM14" s="314" t="s">
        <v>203</v>
      </c>
      <c r="NJN14" s="314" t="s">
        <v>203</v>
      </c>
      <c r="NJO14" s="314" t="s">
        <v>203</v>
      </c>
      <c r="NJP14" s="314" t="s">
        <v>203</v>
      </c>
      <c r="NJQ14" s="314" t="s">
        <v>203</v>
      </c>
      <c r="NJR14" s="314" t="s">
        <v>203</v>
      </c>
      <c r="NJS14" s="314" t="s">
        <v>203</v>
      </c>
      <c r="NJT14" s="314" t="s">
        <v>203</v>
      </c>
      <c r="NJU14" s="314" t="s">
        <v>203</v>
      </c>
      <c r="NJV14" s="314" t="s">
        <v>203</v>
      </c>
      <c r="NJW14" s="314" t="s">
        <v>203</v>
      </c>
      <c r="NJX14" s="314" t="s">
        <v>203</v>
      </c>
      <c r="NJY14" s="314" t="s">
        <v>203</v>
      </c>
      <c r="NJZ14" s="314" t="s">
        <v>203</v>
      </c>
      <c r="NKA14" s="314" t="s">
        <v>203</v>
      </c>
      <c r="NKB14" s="314" t="s">
        <v>203</v>
      </c>
      <c r="NKC14" s="314" t="s">
        <v>203</v>
      </c>
      <c r="NKD14" s="314" t="s">
        <v>203</v>
      </c>
      <c r="NKE14" s="314" t="s">
        <v>203</v>
      </c>
      <c r="NKF14" s="314" t="s">
        <v>203</v>
      </c>
      <c r="NKG14" s="314" t="s">
        <v>203</v>
      </c>
      <c r="NKH14" s="314" t="s">
        <v>203</v>
      </c>
      <c r="NKI14" s="314" t="s">
        <v>203</v>
      </c>
      <c r="NKJ14" s="314" t="s">
        <v>203</v>
      </c>
      <c r="NKK14" s="314" t="s">
        <v>203</v>
      </c>
      <c r="NKL14" s="314" t="s">
        <v>203</v>
      </c>
      <c r="NKM14" s="314" t="s">
        <v>203</v>
      </c>
      <c r="NKN14" s="314" t="s">
        <v>203</v>
      </c>
      <c r="NKO14" s="314" t="s">
        <v>203</v>
      </c>
      <c r="NKP14" s="314" t="s">
        <v>203</v>
      </c>
      <c r="NKQ14" s="314" t="s">
        <v>203</v>
      </c>
      <c r="NKR14" s="314" t="s">
        <v>203</v>
      </c>
      <c r="NKS14" s="314" t="s">
        <v>203</v>
      </c>
      <c r="NKT14" s="314" t="s">
        <v>203</v>
      </c>
      <c r="NKU14" s="314" t="s">
        <v>203</v>
      </c>
      <c r="NKV14" s="314" t="s">
        <v>203</v>
      </c>
      <c r="NKW14" s="314" t="s">
        <v>203</v>
      </c>
      <c r="NKX14" s="314" t="s">
        <v>203</v>
      </c>
      <c r="NKY14" s="314" t="s">
        <v>203</v>
      </c>
      <c r="NKZ14" s="314" t="s">
        <v>203</v>
      </c>
      <c r="NLA14" s="314" t="s">
        <v>203</v>
      </c>
      <c r="NLB14" s="314" t="s">
        <v>203</v>
      </c>
      <c r="NLC14" s="314" t="s">
        <v>203</v>
      </c>
      <c r="NLD14" s="314" t="s">
        <v>203</v>
      </c>
      <c r="NLE14" s="314" t="s">
        <v>203</v>
      </c>
      <c r="NLF14" s="314" t="s">
        <v>203</v>
      </c>
      <c r="NLG14" s="314" t="s">
        <v>203</v>
      </c>
      <c r="NLH14" s="314" t="s">
        <v>203</v>
      </c>
      <c r="NLI14" s="314" t="s">
        <v>203</v>
      </c>
      <c r="NLJ14" s="314" t="s">
        <v>203</v>
      </c>
      <c r="NLK14" s="314" t="s">
        <v>203</v>
      </c>
      <c r="NLL14" s="314" t="s">
        <v>203</v>
      </c>
      <c r="NLM14" s="314" t="s">
        <v>203</v>
      </c>
      <c r="NLN14" s="314" t="s">
        <v>203</v>
      </c>
      <c r="NLO14" s="314" t="s">
        <v>203</v>
      </c>
      <c r="NLP14" s="314" t="s">
        <v>203</v>
      </c>
      <c r="NLQ14" s="314" t="s">
        <v>203</v>
      </c>
      <c r="NLR14" s="314" t="s">
        <v>203</v>
      </c>
      <c r="NLS14" s="314" t="s">
        <v>203</v>
      </c>
      <c r="NLT14" s="314" t="s">
        <v>203</v>
      </c>
      <c r="NLU14" s="314" t="s">
        <v>203</v>
      </c>
      <c r="NLV14" s="314" t="s">
        <v>203</v>
      </c>
      <c r="NLW14" s="314" t="s">
        <v>203</v>
      </c>
      <c r="NLX14" s="314" t="s">
        <v>203</v>
      </c>
      <c r="NLY14" s="314" t="s">
        <v>203</v>
      </c>
      <c r="NLZ14" s="314" t="s">
        <v>203</v>
      </c>
      <c r="NMA14" s="314" t="s">
        <v>203</v>
      </c>
      <c r="NMB14" s="314" t="s">
        <v>203</v>
      </c>
      <c r="NMC14" s="314" t="s">
        <v>203</v>
      </c>
      <c r="NMD14" s="314" t="s">
        <v>203</v>
      </c>
      <c r="NME14" s="314" t="s">
        <v>203</v>
      </c>
      <c r="NMF14" s="314" t="s">
        <v>203</v>
      </c>
      <c r="NMG14" s="314" t="s">
        <v>203</v>
      </c>
      <c r="NMH14" s="314" t="s">
        <v>203</v>
      </c>
      <c r="NMI14" s="314" t="s">
        <v>203</v>
      </c>
      <c r="NMJ14" s="314" t="s">
        <v>203</v>
      </c>
      <c r="NMK14" s="314" t="s">
        <v>203</v>
      </c>
      <c r="NML14" s="314" t="s">
        <v>203</v>
      </c>
      <c r="NMM14" s="314" t="s">
        <v>203</v>
      </c>
      <c r="NMN14" s="314" t="s">
        <v>203</v>
      </c>
      <c r="NMO14" s="314" t="s">
        <v>203</v>
      </c>
      <c r="NMP14" s="314" t="s">
        <v>203</v>
      </c>
      <c r="NMQ14" s="314" t="s">
        <v>203</v>
      </c>
      <c r="NMR14" s="314" t="s">
        <v>203</v>
      </c>
      <c r="NMS14" s="314" t="s">
        <v>203</v>
      </c>
      <c r="NMT14" s="314" t="s">
        <v>203</v>
      </c>
      <c r="NMU14" s="314" t="s">
        <v>203</v>
      </c>
      <c r="NMV14" s="314" t="s">
        <v>203</v>
      </c>
      <c r="NMW14" s="314" t="s">
        <v>203</v>
      </c>
      <c r="NMX14" s="314" t="s">
        <v>203</v>
      </c>
      <c r="NMY14" s="314" t="s">
        <v>203</v>
      </c>
      <c r="NMZ14" s="314" t="s">
        <v>203</v>
      </c>
      <c r="NNA14" s="314" t="s">
        <v>203</v>
      </c>
      <c r="NNB14" s="314" t="s">
        <v>203</v>
      </c>
      <c r="NNC14" s="314" t="s">
        <v>203</v>
      </c>
      <c r="NND14" s="314" t="s">
        <v>203</v>
      </c>
      <c r="NNE14" s="314" t="s">
        <v>203</v>
      </c>
      <c r="NNF14" s="314" t="s">
        <v>203</v>
      </c>
      <c r="NNG14" s="314" t="s">
        <v>203</v>
      </c>
      <c r="NNH14" s="314" t="s">
        <v>203</v>
      </c>
      <c r="NNI14" s="314" t="s">
        <v>203</v>
      </c>
      <c r="NNJ14" s="314" t="s">
        <v>203</v>
      </c>
      <c r="NNK14" s="314" t="s">
        <v>203</v>
      </c>
      <c r="NNL14" s="314" t="s">
        <v>203</v>
      </c>
      <c r="NNM14" s="314" t="s">
        <v>203</v>
      </c>
      <c r="NNN14" s="314" t="s">
        <v>203</v>
      </c>
      <c r="NNO14" s="314" t="s">
        <v>203</v>
      </c>
      <c r="NNP14" s="314" t="s">
        <v>203</v>
      </c>
      <c r="NNQ14" s="314" t="s">
        <v>203</v>
      </c>
      <c r="NNR14" s="314" t="s">
        <v>203</v>
      </c>
      <c r="NNS14" s="314" t="s">
        <v>203</v>
      </c>
      <c r="NNT14" s="314" t="s">
        <v>203</v>
      </c>
      <c r="NNU14" s="314" t="s">
        <v>203</v>
      </c>
      <c r="NNV14" s="314" t="s">
        <v>203</v>
      </c>
      <c r="NNW14" s="314" t="s">
        <v>203</v>
      </c>
      <c r="NNX14" s="314" t="s">
        <v>203</v>
      </c>
      <c r="NNY14" s="314" t="s">
        <v>203</v>
      </c>
      <c r="NNZ14" s="314" t="s">
        <v>203</v>
      </c>
      <c r="NOA14" s="314" t="s">
        <v>203</v>
      </c>
      <c r="NOB14" s="314" t="s">
        <v>203</v>
      </c>
      <c r="NOC14" s="314" t="s">
        <v>203</v>
      </c>
      <c r="NOD14" s="314" t="s">
        <v>203</v>
      </c>
      <c r="NOE14" s="314" t="s">
        <v>203</v>
      </c>
      <c r="NOF14" s="314" t="s">
        <v>203</v>
      </c>
      <c r="NOG14" s="314" t="s">
        <v>203</v>
      </c>
      <c r="NOH14" s="314" t="s">
        <v>203</v>
      </c>
      <c r="NOI14" s="314" t="s">
        <v>203</v>
      </c>
      <c r="NOJ14" s="314" t="s">
        <v>203</v>
      </c>
      <c r="NOK14" s="314" t="s">
        <v>203</v>
      </c>
      <c r="NOL14" s="314" t="s">
        <v>203</v>
      </c>
      <c r="NOM14" s="314" t="s">
        <v>203</v>
      </c>
      <c r="NON14" s="314" t="s">
        <v>203</v>
      </c>
      <c r="NOO14" s="314" t="s">
        <v>203</v>
      </c>
      <c r="NOP14" s="314" t="s">
        <v>203</v>
      </c>
      <c r="NOQ14" s="314" t="s">
        <v>203</v>
      </c>
      <c r="NOR14" s="314" t="s">
        <v>203</v>
      </c>
      <c r="NOS14" s="314" t="s">
        <v>203</v>
      </c>
      <c r="NOT14" s="314" t="s">
        <v>203</v>
      </c>
      <c r="NOU14" s="314" t="s">
        <v>203</v>
      </c>
      <c r="NOV14" s="314" t="s">
        <v>203</v>
      </c>
      <c r="NOW14" s="314" t="s">
        <v>203</v>
      </c>
      <c r="NOX14" s="314" t="s">
        <v>203</v>
      </c>
      <c r="NOY14" s="314" t="s">
        <v>203</v>
      </c>
      <c r="NOZ14" s="314" t="s">
        <v>203</v>
      </c>
      <c r="NPA14" s="314" t="s">
        <v>203</v>
      </c>
      <c r="NPB14" s="314" t="s">
        <v>203</v>
      </c>
      <c r="NPC14" s="314" t="s">
        <v>203</v>
      </c>
      <c r="NPD14" s="314" t="s">
        <v>203</v>
      </c>
      <c r="NPE14" s="314" t="s">
        <v>203</v>
      </c>
      <c r="NPF14" s="314" t="s">
        <v>203</v>
      </c>
      <c r="NPG14" s="314" t="s">
        <v>203</v>
      </c>
      <c r="NPH14" s="314" t="s">
        <v>203</v>
      </c>
      <c r="NPI14" s="314" t="s">
        <v>203</v>
      </c>
      <c r="NPJ14" s="314" t="s">
        <v>203</v>
      </c>
      <c r="NPK14" s="314" t="s">
        <v>203</v>
      </c>
      <c r="NPL14" s="314" t="s">
        <v>203</v>
      </c>
      <c r="NPM14" s="314" t="s">
        <v>203</v>
      </c>
      <c r="NPN14" s="314" t="s">
        <v>203</v>
      </c>
      <c r="NPO14" s="314" t="s">
        <v>203</v>
      </c>
      <c r="NPP14" s="314" t="s">
        <v>203</v>
      </c>
      <c r="NPQ14" s="314" t="s">
        <v>203</v>
      </c>
      <c r="NPR14" s="314" t="s">
        <v>203</v>
      </c>
      <c r="NPS14" s="314" t="s">
        <v>203</v>
      </c>
      <c r="NPT14" s="314" t="s">
        <v>203</v>
      </c>
      <c r="NPU14" s="314" t="s">
        <v>203</v>
      </c>
      <c r="NPV14" s="314" t="s">
        <v>203</v>
      </c>
      <c r="NPW14" s="314" t="s">
        <v>203</v>
      </c>
      <c r="NPX14" s="314" t="s">
        <v>203</v>
      </c>
      <c r="NPY14" s="314" t="s">
        <v>203</v>
      </c>
      <c r="NPZ14" s="314" t="s">
        <v>203</v>
      </c>
      <c r="NQA14" s="314" t="s">
        <v>203</v>
      </c>
      <c r="NQB14" s="314" t="s">
        <v>203</v>
      </c>
      <c r="NQC14" s="314" t="s">
        <v>203</v>
      </c>
      <c r="NQD14" s="314" t="s">
        <v>203</v>
      </c>
      <c r="NQE14" s="314" t="s">
        <v>203</v>
      </c>
      <c r="NQF14" s="314" t="s">
        <v>203</v>
      </c>
      <c r="NQG14" s="314" t="s">
        <v>203</v>
      </c>
      <c r="NQH14" s="314" t="s">
        <v>203</v>
      </c>
      <c r="NQI14" s="314" t="s">
        <v>203</v>
      </c>
      <c r="NQJ14" s="314" t="s">
        <v>203</v>
      </c>
      <c r="NQK14" s="314" t="s">
        <v>203</v>
      </c>
      <c r="NQL14" s="314" t="s">
        <v>203</v>
      </c>
      <c r="NQM14" s="314" t="s">
        <v>203</v>
      </c>
      <c r="NQN14" s="314" t="s">
        <v>203</v>
      </c>
      <c r="NQO14" s="314" t="s">
        <v>203</v>
      </c>
      <c r="NQP14" s="314" t="s">
        <v>203</v>
      </c>
      <c r="NQQ14" s="314" t="s">
        <v>203</v>
      </c>
      <c r="NQR14" s="314" t="s">
        <v>203</v>
      </c>
      <c r="NQS14" s="314" t="s">
        <v>203</v>
      </c>
      <c r="NQT14" s="314" t="s">
        <v>203</v>
      </c>
      <c r="NQU14" s="314" t="s">
        <v>203</v>
      </c>
      <c r="NQV14" s="314" t="s">
        <v>203</v>
      </c>
      <c r="NQW14" s="314" t="s">
        <v>203</v>
      </c>
      <c r="NQX14" s="314" t="s">
        <v>203</v>
      </c>
      <c r="NQY14" s="314" t="s">
        <v>203</v>
      </c>
      <c r="NQZ14" s="314" t="s">
        <v>203</v>
      </c>
      <c r="NRA14" s="314" t="s">
        <v>203</v>
      </c>
      <c r="NRB14" s="314" t="s">
        <v>203</v>
      </c>
      <c r="NRC14" s="314" t="s">
        <v>203</v>
      </c>
      <c r="NRD14" s="314" t="s">
        <v>203</v>
      </c>
      <c r="NRE14" s="314" t="s">
        <v>203</v>
      </c>
      <c r="NRF14" s="314" t="s">
        <v>203</v>
      </c>
      <c r="NRG14" s="314" t="s">
        <v>203</v>
      </c>
      <c r="NRH14" s="314" t="s">
        <v>203</v>
      </c>
      <c r="NRI14" s="314" t="s">
        <v>203</v>
      </c>
      <c r="NRJ14" s="314" t="s">
        <v>203</v>
      </c>
      <c r="NRK14" s="314" t="s">
        <v>203</v>
      </c>
      <c r="NRL14" s="314" t="s">
        <v>203</v>
      </c>
      <c r="NRM14" s="314" t="s">
        <v>203</v>
      </c>
      <c r="NRN14" s="314" t="s">
        <v>203</v>
      </c>
      <c r="NRO14" s="314" t="s">
        <v>203</v>
      </c>
      <c r="NRP14" s="314" t="s">
        <v>203</v>
      </c>
      <c r="NRQ14" s="314" t="s">
        <v>203</v>
      </c>
      <c r="NRR14" s="314" t="s">
        <v>203</v>
      </c>
      <c r="NRS14" s="314" t="s">
        <v>203</v>
      </c>
      <c r="NRT14" s="314" t="s">
        <v>203</v>
      </c>
      <c r="NRU14" s="314" t="s">
        <v>203</v>
      </c>
      <c r="NRV14" s="314" t="s">
        <v>203</v>
      </c>
      <c r="NRW14" s="314" t="s">
        <v>203</v>
      </c>
      <c r="NRX14" s="314" t="s">
        <v>203</v>
      </c>
      <c r="NRY14" s="314" t="s">
        <v>203</v>
      </c>
      <c r="NRZ14" s="314" t="s">
        <v>203</v>
      </c>
      <c r="NSA14" s="314" t="s">
        <v>203</v>
      </c>
      <c r="NSB14" s="314" t="s">
        <v>203</v>
      </c>
      <c r="NSC14" s="314" t="s">
        <v>203</v>
      </c>
      <c r="NSD14" s="314" t="s">
        <v>203</v>
      </c>
      <c r="NSE14" s="314" t="s">
        <v>203</v>
      </c>
      <c r="NSF14" s="314" t="s">
        <v>203</v>
      </c>
      <c r="NSG14" s="314" t="s">
        <v>203</v>
      </c>
      <c r="NSH14" s="314" t="s">
        <v>203</v>
      </c>
      <c r="NSI14" s="314" t="s">
        <v>203</v>
      </c>
      <c r="NSJ14" s="314" t="s">
        <v>203</v>
      </c>
      <c r="NSK14" s="314" t="s">
        <v>203</v>
      </c>
      <c r="NSL14" s="314" t="s">
        <v>203</v>
      </c>
      <c r="NSM14" s="314" t="s">
        <v>203</v>
      </c>
      <c r="NSN14" s="314" t="s">
        <v>203</v>
      </c>
      <c r="NSO14" s="314" t="s">
        <v>203</v>
      </c>
      <c r="NSP14" s="314" t="s">
        <v>203</v>
      </c>
      <c r="NSQ14" s="314" t="s">
        <v>203</v>
      </c>
      <c r="NSR14" s="314" t="s">
        <v>203</v>
      </c>
      <c r="NSS14" s="314" t="s">
        <v>203</v>
      </c>
      <c r="NST14" s="314" t="s">
        <v>203</v>
      </c>
      <c r="NSU14" s="314" t="s">
        <v>203</v>
      </c>
      <c r="NSV14" s="314" t="s">
        <v>203</v>
      </c>
      <c r="NSW14" s="314" t="s">
        <v>203</v>
      </c>
      <c r="NSX14" s="314" t="s">
        <v>203</v>
      </c>
      <c r="NSY14" s="314" t="s">
        <v>203</v>
      </c>
      <c r="NSZ14" s="314" t="s">
        <v>203</v>
      </c>
      <c r="NTA14" s="314" t="s">
        <v>203</v>
      </c>
      <c r="NTB14" s="314" t="s">
        <v>203</v>
      </c>
      <c r="NTC14" s="314" t="s">
        <v>203</v>
      </c>
      <c r="NTD14" s="314" t="s">
        <v>203</v>
      </c>
      <c r="NTE14" s="314" t="s">
        <v>203</v>
      </c>
      <c r="NTF14" s="314" t="s">
        <v>203</v>
      </c>
      <c r="NTG14" s="314" t="s">
        <v>203</v>
      </c>
      <c r="NTH14" s="314" t="s">
        <v>203</v>
      </c>
      <c r="NTI14" s="314" t="s">
        <v>203</v>
      </c>
      <c r="NTJ14" s="314" t="s">
        <v>203</v>
      </c>
      <c r="NTK14" s="314" t="s">
        <v>203</v>
      </c>
      <c r="NTL14" s="314" t="s">
        <v>203</v>
      </c>
      <c r="NTM14" s="314" t="s">
        <v>203</v>
      </c>
      <c r="NTN14" s="314" t="s">
        <v>203</v>
      </c>
      <c r="NTO14" s="314" t="s">
        <v>203</v>
      </c>
      <c r="NTP14" s="314" t="s">
        <v>203</v>
      </c>
      <c r="NTQ14" s="314" t="s">
        <v>203</v>
      </c>
      <c r="NTR14" s="314" t="s">
        <v>203</v>
      </c>
      <c r="NTS14" s="314" t="s">
        <v>203</v>
      </c>
      <c r="NTT14" s="314" t="s">
        <v>203</v>
      </c>
      <c r="NTU14" s="314" t="s">
        <v>203</v>
      </c>
      <c r="NTV14" s="314" t="s">
        <v>203</v>
      </c>
      <c r="NTW14" s="314" t="s">
        <v>203</v>
      </c>
      <c r="NTX14" s="314" t="s">
        <v>203</v>
      </c>
      <c r="NTY14" s="314" t="s">
        <v>203</v>
      </c>
      <c r="NTZ14" s="314" t="s">
        <v>203</v>
      </c>
      <c r="NUA14" s="314" t="s">
        <v>203</v>
      </c>
      <c r="NUB14" s="314" t="s">
        <v>203</v>
      </c>
      <c r="NUC14" s="314" t="s">
        <v>203</v>
      </c>
      <c r="NUD14" s="314" t="s">
        <v>203</v>
      </c>
      <c r="NUE14" s="314" t="s">
        <v>203</v>
      </c>
      <c r="NUF14" s="314" t="s">
        <v>203</v>
      </c>
      <c r="NUG14" s="314" t="s">
        <v>203</v>
      </c>
      <c r="NUH14" s="314" t="s">
        <v>203</v>
      </c>
      <c r="NUI14" s="314" t="s">
        <v>203</v>
      </c>
      <c r="NUJ14" s="314" t="s">
        <v>203</v>
      </c>
      <c r="NUK14" s="314" t="s">
        <v>203</v>
      </c>
      <c r="NUL14" s="314" t="s">
        <v>203</v>
      </c>
      <c r="NUM14" s="314" t="s">
        <v>203</v>
      </c>
      <c r="NUN14" s="314" t="s">
        <v>203</v>
      </c>
      <c r="NUO14" s="314" t="s">
        <v>203</v>
      </c>
      <c r="NUP14" s="314" t="s">
        <v>203</v>
      </c>
      <c r="NUQ14" s="314" t="s">
        <v>203</v>
      </c>
      <c r="NUR14" s="314" t="s">
        <v>203</v>
      </c>
      <c r="NUS14" s="314" t="s">
        <v>203</v>
      </c>
      <c r="NUT14" s="314" t="s">
        <v>203</v>
      </c>
      <c r="NUU14" s="314" t="s">
        <v>203</v>
      </c>
      <c r="NUV14" s="314" t="s">
        <v>203</v>
      </c>
      <c r="NUW14" s="314" t="s">
        <v>203</v>
      </c>
      <c r="NUX14" s="314" t="s">
        <v>203</v>
      </c>
      <c r="NUY14" s="314" t="s">
        <v>203</v>
      </c>
      <c r="NUZ14" s="314" t="s">
        <v>203</v>
      </c>
      <c r="NVA14" s="314" t="s">
        <v>203</v>
      </c>
      <c r="NVB14" s="314" t="s">
        <v>203</v>
      </c>
      <c r="NVC14" s="314" t="s">
        <v>203</v>
      </c>
      <c r="NVD14" s="314" t="s">
        <v>203</v>
      </c>
      <c r="NVE14" s="314" t="s">
        <v>203</v>
      </c>
      <c r="NVF14" s="314" t="s">
        <v>203</v>
      </c>
      <c r="NVG14" s="314" t="s">
        <v>203</v>
      </c>
      <c r="NVH14" s="314" t="s">
        <v>203</v>
      </c>
      <c r="NVI14" s="314" t="s">
        <v>203</v>
      </c>
      <c r="NVJ14" s="314" t="s">
        <v>203</v>
      </c>
      <c r="NVK14" s="314" t="s">
        <v>203</v>
      </c>
      <c r="NVL14" s="314" t="s">
        <v>203</v>
      </c>
      <c r="NVM14" s="314" t="s">
        <v>203</v>
      </c>
      <c r="NVN14" s="314" t="s">
        <v>203</v>
      </c>
      <c r="NVO14" s="314" t="s">
        <v>203</v>
      </c>
      <c r="NVP14" s="314" t="s">
        <v>203</v>
      </c>
      <c r="NVQ14" s="314" t="s">
        <v>203</v>
      </c>
      <c r="NVR14" s="314" t="s">
        <v>203</v>
      </c>
      <c r="NVS14" s="314" t="s">
        <v>203</v>
      </c>
      <c r="NVT14" s="314" t="s">
        <v>203</v>
      </c>
      <c r="NVU14" s="314" t="s">
        <v>203</v>
      </c>
      <c r="NVV14" s="314" t="s">
        <v>203</v>
      </c>
      <c r="NVW14" s="314" t="s">
        <v>203</v>
      </c>
      <c r="NVX14" s="314" t="s">
        <v>203</v>
      </c>
      <c r="NVY14" s="314" t="s">
        <v>203</v>
      </c>
      <c r="NVZ14" s="314" t="s">
        <v>203</v>
      </c>
      <c r="NWA14" s="314" t="s">
        <v>203</v>
      </c>
      <c r="NWB14" s="314" t="s">
        <v>203</v>
      </c>
      <c r="NWC14" s="314" t="s">
        <v>203</v>
      </c>
      <c r="NWD14" s="314" t="s">
        <v>203</v>
      </c>
      <c r="NWE14" s="314" t="s">
        <v>203</v>
      </c>
      <c r="NWF14" s="314" t="s">
        <v>203</v>
      </c>
      <c r="NWG14" s="314" t="s">
        <v>203</v>
      </c>
      <c r="NWH14" s="314" t="s">
        <v>203</v>
      </c>
      <c r="NWI14" s="314" t="s">
        <v>203</v>
      </c>
      <c r="NWJ14" s="314" t="s">
        <v>203</v>
      </c>
      <c r="NWK14" s="314" t="s">
        <v>203</v>
      </c>
      <c r="NWL14" s="314" t="s">
        <v>203</v>
      </c>
      <c r="NWM14" s="314" t="s">
        <v>203</v>
      </c>
      <c r="NWN14" s="314" t="s">
        <v>203</v>
      </c>
      <c r="NWO14" s="314" t="s">
        <v>203</v>
      </c>
      <c r="NWP14" s="314" t="s">
        <v>203</v>
      </c>
      <c r="NWQ14" s="314" t="s">
        <v>203</v>
      </c>
      <c r="NWR14" s="314" t="s">
        <v>203</v>
      </c>
      <c r="NWS14" s="314" t="s">
        <v>203</v>
      </c>
      <c r="NWT14" s="314" t="s">
        <v>203</v>
      </c>
      <c r="NWU14" s="314" t="s">
        <v>203</v>
      </c>
      <c r="NWV14" s="314" t="s">
        <v>203</v>
      </c>
      <c r="NWW14" s="314" t="s">
        <v>203</v>
      </c>
      <c r="NWX14" s="314" t="s">
        <v>203</v>
      </c>
      <c r="NWY14" s="314" t="s">
        <v>203</v>
      </c>
      <c r="NWZ14" s="314" t="s">
        <v>203</v>
      </c>
      <c r="NXA14" s="314" t="s">
        <v>203</v>
      </c>
      <c r="NXB14" s="314" t="s">
        <v>203</v>
      </c>
      <c r="NXC14" s="314" t="s">
        <v>203</v>
      </c>
      <c r="NXD14" s="314" t="s">
        <v>203</v>
      </c>
      <c r="NXE14" s="314" t="s">
        <v>203</v>
      </c>
      <c r="NXF14" s="314" t="s">
        <v>203</v>
      </c>
      <c r="NXG14" s="314" t="s">
        <v>203</v>
      </c>
      <c r="NXH14" s="314" t="s">
        <v>203</v>
      </c>
      <c r="NXI14" s="314" t="s">
        <v>203</v>
      </c>
      <c r="NXJ14" s="314" t="s">
        <v>203</v>
      </c>
      <c r="NXK14" s="314" t="s">
        <v>203</v>
      </c>
      <c r="NXL14" s="314" t="s">
        <v>203</v>
      </c>
      <c r="NXM14" s="314" t="s">
        <v>203</v>
      </c>
      <c r="NXN14" s="314" t="s">
        <v>203</v>
      </c>
      <c r="NXO14" s="314" t="s">
        <v>203</v>
      </c>
      <c r="NXP14" s="314" t="s">
        <v>203</v>
      </c>
      <c r="NXQ14" s="314" t="s">
        <v>203</v>
      </c>
      <c r="NXR14" s="314" t="s">
        <v>203</v>
      </c>
      <c r="NXS14" s="314" t="s">
        <v>203</v>
      </c>
      <c r="NXT14" s="314" t="s">
        <v>203</v>
      </c>
      <c r="NXU14" s="314" t="s">
        <v>203</v>
      </c>
      <c r="NXV14" s="314" t="s">
        <v>203</v>
      </c>
      <c r="NXW14" s="314" t="s">
        <v>203</v>
      </c>
      <c r="NXX14" s="314" t="s">
        <v>203</v>
      </c>
      <c r="NXY14" s="314" t="s">
        <v>203</v>
      </c>
      <c r="NXZ14" s="314" t="s">
        <v>203</v>
      </c>
      <c r="NYA14" s="314" t="s">
        <v>203</v>
      </c>
      <c r="NYB14" s="314" t="s">
        <v>203</v>
      </c>
      <c r="NYC14" s="314" t="s">
        <v>203</v>
      </c>
      <c r="NYD14" s="314" t="s">
        <v>203</v>
      </c>
      <c r="NYE14" s="314" t="s">
        <v>203</v>
      </c>
      <c r="NYF14" s="314" t="s">
        <v>203</v>
      </c>
      <c r="NYG14" s="314" t="s">
        <v>203</v>
      </c>
      <c r="NYH14" s="314" t="s">
        <v>203</v>
      </c>
      <c r="NYI14" s="314" t="s">
        <v>203</v>
      </c>
      <c r="NYJ14" s="314" t="s">
        <v>203</v>
      </c>
      <c r="NYK14" s="314" t="s">
        <v>203</v>
      </c>
      <c r="NYL14" s="314" t="s">
        <v>203</v>
      </c>
      <c r="NYM14" s="314" t="s">
        <v>203</v>
      </c>
      <c r="NYN14" s="314" t="s">
        <v>203</v>
      </c>
      <c r="NYO14" s="314" t="s">
        <v>203</v>
      </c>
      <c r="NYP14" s="314" t="s">
        <v>203</v>
      </c>
      <c r="NYQ14" s="314" t="s">
        <v>203</v>
      </c>
      <c r="NYR14" s="314" t="s">
        <v>203</v>
      </c>
      <c r="NYS14" s="314" t="s">
        <v>203</v>
      </c>
      <c r="NYT14" s="314" t="s">
        <v>203</v>
      </c>
      <c r="NYU14" s="314" t="s">
        <v>203</v>
      </c>
      <c r="NYV14" s="314" t="s">
        <v>203</v>
      </c>
      <c r="NYW14" s="314" t="s">
        <v>203</v>
      </c>
      <c r="NYX14" s="314" t="s">
        <v>203</v>
      </c>
      <c r="NYY14" s="314" t="s">
        <v>203</v>
      </c>
      <c r="NYZ14" s="314" t="s">
        <v>203</v>
      </c>
      <c r="NZA14" s="314" t="s">
        <v>203</v>
      </c>
      <c r="NZB14" s="314" t="s">
        <v>203</v>
      </c>
      <c r="NZC14" s="314" t="s">
        <v>203</v>
      </c>
      <c r="NZD14" s="314" t="s">
        <v>203</v>
      </c>
      <c r="NZE14" s="314" t="s">
        <v>203</v>
      </c>
      <c r="NZF14" s="314" t="s">
        <v>203</v>
      </c>
      <c r="NZG14" s="314" t="s">
        <v>203</v>
      </c>
      <c r="NZH14" s="314" t="s">
        <v>203</v>
      </c>
      <c r="NZI14" s="314" t="s">
        <v>203</v>
      </c>
      <c r="NZJ14" s="314" t="s">
        <v>203</v>
      </c>
      <c r="NZK14" s="314" t="s">
        <v>203</v>
      </c>
      <c r="NZL14" s="314" t="s">
        <v>203</v>
      </c>
      <c r="NZM14" s="314" t="s">
        <v>203</v>
      </c>
      <c r="NZN14" s="314" t="s">
        <v>203</v>
      </c>
      <c r="NZO14" s="314" t="s">
        <v>203</v>
      </c>
      <c r="NZP14" s="314" t="s">
        <v>203</v>
      </c>
      <c r="NZQ14" s="314" t="s">
        <v>203</v>
      </c>
      <c r="NZR14" s="314" t="s">
        <v>203</v>
      </c>
      <c r="NZS14" s="314" t="s">
        <v>203</v>
      </c>
      <c r="NZT14" s="314" t="s">
        <v>203</v>
      </c>
      <c r="NZU14" s="314" t="s">
        <v>203</v>
      </c>
      <c r="NZV14" s="314" t="s">
        <v>203</v>
      </c>
      <c r="NZW14" s="314" t="s">
        <v>203</v>
      </c>
      <c r="NZX14" s="314" t="s">
        <v>203</v>
      </c>
      <c r="NZY14" s="314" t="s">
        <v>203</v>
      </c>
      <c r="NZZ14" s="314" t="s">
        <v>203</v>
      </c>
      <c r="OAA14" s="314" t="s">
        <v>203</v>
      </c>
      <c r="OAB14" s="314" t="s">
        <v>203</v>
      </c>
      <c r="OAC14" s="314" t="s">
        <v>203</v>
      </c>
      <c r="OAD14" s="314" t="s">
        <v>203</v>
      </c>
      <c r="OAE14" s="314" t="s">
        <v>203</v>
      </c>
      <c r="OAF14" s="314" t="s">
        <v>203</v>
      </c>
      <c r="OAG14" s="314" t="s">
        <v>203</v>
      </c>
      <c r="OAH14" s="314" t="s">
        <v>203</v>
      </c>
      <c r="OAI14" s="314" t="s">
        <v>203</v>
      </c>
      <c r="OAJ14" s="314" t="s">
        <v>203</v>
      </c>
      <c r="OAK14" s="314" t="s">
        <v>203</v>
      </c>
      <c r="OAL14" s="314" t="s">
        <v>203</v>
      </c>
      <c r="OAM14" s="314" t="s">
        <v>203</v>
      </c>
      <c r="OAN14" s="314" t="s">
        <v>203</v>
      </c>
      <c r="OAO14" s="314" t="s">
        <v>203</v>
      </c>
      <c r="OAP14" s="314" t="s">
        <v>203</v>
      </c>
      <c r="OAQ14" s="314" t="s">
        <v>203</v>
      </c>
      <c r="OAR14" s="314" t="s">
        <v>203</v>
      </c>
      <c r="OAS14" s="314" t="s">
        <v>203</v>
      </c>
      <c r="OAT14" s="314" t="s">
        <v>203</v>
      </c>
      <c r="OAU14" s="314" t="s">
        <v>203</v>
      </c>
      <c r="OAV14" s="314" t="s">
        <v>203</v>
      </c>
      <c r="OAW14" s="314" t="s">
        <v>203</v>
      </c>
      <c r="OAX14" s="314" t="s">
        <v>203</v>
      </c>
      <c r="OAY14" s="314" t="s">
        <v>203</v>
      </c>
      <c r="OAZ14" s="314" t="s">
        <v>203</v>
      </c>
      <c r="OBA14" s="314" t="s">
        <v>203</v>
      </c>
      <c r="OBB14" s="314" t="s">
        <v>203</v>
      </c>
      <c r="OBC14" s="314" t="s">
        <v>203</v>
      </c>
      <c r="OBD14" s="314" t="s">
        <v>203</v>
      </c>
      <c r="OBE14" s="314" t="s">
        <v>203</v>
      </c>
      <c r="OBF14" s="314" t="s">
        <v>203</v>
      </c>
      <c r="OBG14" s="314" t="s">
        <v>203</v>
      </c>
      <c r="OBH14" s="314" t="s">
        <v>203</v>
      </c>
      <c r="OBI14" s="314" t="s">
        <v>203</v>
      </c>
      <c r="OBJ14" s="314" t="s">
        <v>203</v>
      </c>
      <c r="OBK14" s="314" t="s">
        <v>203</v>
      </c>
      <c r="OBL14" s="314" t="s">
        <v>203</v>
      </c>
      <c r="OBM14" s="314" t="s">
        <v>203</v>
      </c>
      <c r="OBN14" s="314" t="s">
        <v>203</v>
      </c>
      <c r="OBO14" s="314" t="s">
        <v>203</v>
      </c>
      <c r="OBP14" s="314" t="s">
        <v>203</v>
      </c>
      <c r="OBQ14" s="314" t="s">
        <v>203</v>
      </c>
      <c r="OBR14" s="314" t="s">
        <v>203</v>
      </c>
      <c r="OBS14" s="314" t="s">
        <v>203</v>
      </c>
      <c r="OBT14" s="314" t="s">
        <v>203</v>
      </c>
      <c r="OBU14" s="314" t="s">
        <v>203</v>
      </c>
      <c r="OBV14" s="314" t="s">
        <v>203</v>
      </c>
      <c r="OBW14" s="314" t="s">
        <v>203</v>
      </c>
      <c r="OBX14" s="314" t="s">
        <v>203</v>
      </c>
      <c r="OBY14" s="314" t="s">
        <v>203</v>
      </c>
      <c r="OBZ14" s="314" t="s">
        <v>203</v>
      </c>
      <c r="OCA14" s="314" t="s">
        <v>203</v>
      </c>
      <c r="OCB14" s="314" t="s">
        <v>203</v>
      </c>
      <c r="OCC14" s="314" t="s">
        <v>203</v>
      </c>
      <c r="OCD14" s="314" t="s">
        <v>203</v>
      </c>
      <c r="OCE14" s="314" t="s">
        <v>203</v>
      </c>
      <c r="OCF14" s="314" t="s">
        <v>203</v>
      </c>
      <c r="OCG14" s="314" t="s">
        <v>203</v>
      </c>
      <c r="OCH14" s="314" t="s">
        <v>203</v>
      </c>
      <c r="OCI14" s="314" t="s">
        <v>203</v>
      </c>
      <c r="OCJ14" s="314" t="s">
        <v>203</v>
      </c>
      <c r="OCK14" s="314" t="s">
        <v>203</v>
      </c>
      <c r="OCL14" s="314" t="s">
        <v>203</v>
      </c>
      <c r="OCM14" s="314" t="s">
        <v>203</v>
      </c>
      <c r="OCN14" s="314" t="s">
        <v>203</v>
      </c>
      <c r="OCO14" s="314" t="s">
        <v>203</v>
      </c>
      <c r="OCP14" s="314" t="s">
        <v>203</v>
      </c>
      <c r="OCQ14" s="314" t="s">
        <v>203</v>
      </c>
      <c r="OCR14" s="314" t="s">
        <v>203</v>
      </c>
      <c r="OCS14" s="314" t="s">
        <v>203</v>
      </c>
      <c r="OCT14" s="314" t="s">
        <v>203</v>
      </c>
      <c r="OCU14" s="314" t="s">
        <v>203</v>
      </c>
      <c r="OCV14" s="314" t="s">
        <v>203</v>
      </c>
      <c r="OCW14" s="314" t="s">
        <v>203</v>
      </c>
      <c r="OCX14" s="314" t="s">
        <v>203</v>
      </c>
      <c r="OCY14" s="314" t="s">
        <v>203</v>
      </c>
      <c r="OCZ14" s="314" t="s">
        <v>203</v>
      </c>
      <c r="ODA14" s="314" t="s">
        <v>203</v>
      </c>
      <c r="ODB14" s="314" t="s">
        <v>203</v>
      </c>
      <c r="ODC14" s="314" t="s">
        <v>203</v>
      </c>
      <c r="ODD14" s="314" t="s">
        <v>203</v>
      </c>
      <c r="ODE14" s="314" t="s">
        <v>203</v>
      </c>
      <c r="ODF14" s="314" t="s">
        <v>203</v>
      </c>
      <c r="ODG14" s="314" t="s">
        <v>203</v>
      </c>
      <c r="ODH14" s="314" t="s">
        <v>203</v>
      </c>
      <c r="ODI14" s="314" t="s">
        <v>203</v>
      </c>
      <c r="ODJ14" s="314" t="s">
        <v>203</v>
      </c>
      <c r="ODK14" s="314" t="s">
        <v>203</v>
      </c>
      <c r="ODL14" s="314" t="s">
        <v>203</v>
      </c>
      <c r="ODM14" s="314" t="s">
        <v>203</v>
      </c>
      <c r="ODN14" s="314" t="s">
        <v>203</v>
      </c>
      <c r="ODO14" s="314" t="s">
        <v>203</v>
      </c>
      <c r="ODP14" s="314" t="s">
        <v>203</v>
      </c>
      <c r="ODQ14" s="314" t="s">
        <v>203</v>
      </c>
      <c r="ODR14" s="314" t="s">
        <v>203</v>
      </c>
      <c r="ODS14" s="314" t="s">
        <v>203</v>
      </c>
      <c r="ODT14" s="314" t="s">
        <v>203</v>
      </c>
      <c r="ODU14" s="314" t="s">
        <v>203</v>
      </c>
      <c r="ODV14" s="314" t="s">
        <v>203</v>
      </c>
      <c r="ODW14" s="314" t="s">
        <v>203</v>
      </c>
      <c r="ODX14" s="314" t="s">
        <v>203</v>
      </c>
      <c r="ODY14" s="314" t="s">
        <v>203</v>
      </c>
      <c r="ODZ14" s="314" t="s">
        <v>203</v>
      </c>
      <c r="OEA14" s="314" t="s">
        <v>203</v>
      </c>
      <c r="OEB14" s="314" t="s">
        <v>203</v>
      </c>
      <c r="OEC14" s="314" t="s">
        <v>203</v>
      </c>
      <c r="OED14" s="314" t="s">
        <v>203</v>
      </c>
      <c r="OEE14" s="314" t="s">
        <v>203</v>
      </c>
      <c r="OEF14" s="314" t="s">
        <v>203</v>
      </c>
      <c r="OEG14" s="314" t="s">
        <v>203</v>
      </c>
      <c r="OEH14" s="314" t="s">
        <v>203</v>
      </c>
      <c r="OEI14" s="314" t="s">
        <v>203</v>
      </c>
      <c r="OEJ14" s="314" t="s">
        <v>203</v>
      </c>
      <c r="OEK14" s="314" t="s">
        <v>203</v>
      </c>
      <c r="OEL14" s="314" t="s">
        <v>203</v>
      </c>
      <c r="OEM14" s="314" t="s">
        <v>203</v>
      </c>
      <c r="OEN14" s="314" t="s">
        <v>203</v>
      </c>
      <c r="OEO14" s="314" t="s">
        <v>203</v>
      </c>
      <c r="OEP14" s="314" t="s">
        <v>203</v>
      </c>
      <c r="OEQ14" s="314" t="s">
        <v>203</v>
      </c>
      <c r="OER14" s="314" t="s">
        <v>203</v>
      </c>
      <c r="OES14" s="314" t="s">
        <v>203</v>
      </c>
      <c r="OET14" s="314" t="s">
        <v>203</v>
      </c>
      <c r="OEU14" s="314" t="s">
        <v>203</v>
      </c>
      <c r="OEV14" s="314" t="s">
        <v>203</v>
      </c>
      <c r="OEW14" s="314" t="s">
        <v>203</v>
      </c>
      <c r="OEX14" s="314" t="s">
        <v>203</v>
      </c>
      <c r="OEY14" s="314" t="s">
        <v>203</v>
      </c>
      <c r="OEZ14" s="314" t="s">
        <v>203</v>
      </c>
      <c r="OFA14" s="314" t="s">
        <v>203</v>
      </c>
      <c r="OFB14" s="314" t="s">
        <v>203</v>
      </c>
      <c r="OFC14" s="314" t="s">
        <v>203</v>
      </c>
      <c r="OFD14" s="314" t="s">
        <v>203</v>
      </c>
      <c r="OFE14" s="314" t="s">
        <v>203</v>
      </c>
      <c r="OFF14" s="314" t="s">
        <v>203</v>
      </c>
      <c r="OFG14" s="314" t="s">
        <v>203</v>
      </c>
      <c r="OFH14" s="314" t="s">
        <v>203</v>
      </c>
      <c r="OFI14" s="314" t="s">
        <v>203</v>
      </c>
      <c r="OFJ14" s="314" t="s">
        <v>203</v>
      </c>
      <c r="OFK14" s="314" t="s">
        <v>203</v>
      </c>
      <c r="OFL14" s="314" t="s">
        <v>203</v>
      </c>
      <c r="OFM14" s="314" t="s">
        <v>203</v>
      </c>
      <c r="OFN14" s="314" t="s">
        <v>203</v>
      </c>
      <c r="OFO14" s="314" t="s">
        <v>203</v>
      </c>
      <c r="OFP14" s="314" t="s">
        <v>203</v>
      </c>
      <c r="OFQ14" s="314" t="s">
        <v>203</v>
      </c>
      <c r="OFR14" s="314" t="s">
        <v>203</v>
      </c>
      <c r="OFS14" s="314" t="s">
        <v>203</v>
      </c>
      <c r="OFT14" s="314" t="s">
        <v>203</v>
      </c>
      <c r="OFU14" s="314" t="s">
        <v>203</v>
      </c>
      <c r="OFV14" s="314" t="s">
        <v>203</v>
      </c>
      <c r="OFW14" s="314" t="s">
        <v>203</v>
      </c>
      <c r="OFX14" s="314" t="s">
        <v>203</v>
      </c>
      <c r="OFY14" s="314" t="s">
        <v>203</v>
      </c>
      <c r="OFZ14" s="314" t="s">
        <v>203</v>
      </c>
      <c r="OGA14" s="314" t="s">
        <v>203</v>
      </c>
      <c r="OGB14" s="314" t="s">
        <v>203</v>
      </c>
      <c r="OGC14" s="314" t="s">
        <v>203</v>
      </c>
      <c r="OGD14" s="314" t="s">
        <v>203</v>
      </c>
      <c r="OGE14" s="314" t="s">
        <v>203</v>
      </c>
      <c r="OGF14" s="314" t="s">
        <v>203</v>
      </c>
      <c r="OGG14" s="314" t="s">
        <v>203</v>
      </c>
      <c r="OGH14" s="314" t="s">
        <v>203</v>
      </c>
      <c r="OGI14" s="314" t="s">
        <v>203</v>
      </c>
      <c r="OGJ14" s="314" t="s">
        <v>203</v>
      </c>
      <c r="OGK14" s="314" t="s">
        <v>203</v>
      </c>
      <c r="OGL14" s="314" t="s">
        <v>203</v>
      </c>
      <c r="OGM14" s="314" t="s">
        <v>203</v>
      </c>
      <c r="OGN14" s="314" t="s">
        <v>203</v>
      </c>
      <c r="OGO14" s="314" t="s">
        <v>203</v>
      </c>
      <c r="OGP14" s="314" t="s">
        <v>203</v>
      </c>
      <c r="OGQ14" s="314" t="s">
        <v>203</v>
      </c>
      <c r="OGR14" s="314" t="s">
        <v>203</v>
      </c>
      <c r="OGS14" s="314" t="s">
        <v>203</v>
      </c>
      <c r="OGT14" s="314" t="s">
        <v>203</v>
      </c>
      <c r="OGU14" s="314" t="s">
        <v>203</v>
      </c>
      <c r="OGV14" s="314" t="s">
        <v>203</v>
      </c>
      <c r="OGW14" s="314" t="s">
        <v>203</v>
      </c>
      <c r="OGX14" s="314" t="s">
        <v>203</v>
      </c>
      <c r="OGY14" s="314" t="s">
        <v>203</v>
      </c>
      <c r="OGZ14" s="314" t="s">
        <v>203</v>
      </c>
      <c r="OHA14" s="314" t="s">
        <v>203</v>
      </c>
      <c r="OHB14" s="314" t="s">
        <v>203</v>
      </c>
      <c r="OHC14" s="314" t="s">
        <v>203</v>
      </c>
      <c r="OHD14" s="314" t="s">
        <v>203</v>
      </c>
      <c r="OHE14" s="314" t="s">
        <v>203</v>
      </c>
      <c r="OHF14" s="314" t="s">
        <v>203</v>
      </c>
      <c r="OHG14" s="314" t="s">
        <v>203</v>
      </c>
      <c r="OHH14" s="314" t="s">
        <v>203</v>
      </c>
      <c r="OHI14" s="314" t="s">
        <v>203</v>
      </c>
      <c r="OHJ14" s="314" t="s">
        <v>203</v>
      </c>
      <c r="OHK14" s="314" t="s">
        <v>203</v>
      </c>
      <c r="OHL14" s="314" t="s">
        <v>203</v>
      </c>
      <c r="OHM14" s="314" t="s">
        <v>203</v>
      </c>
      <c r="OHN14" s="314" t="s">
        <v>203</v>
      </c>
      <c r="OHO14" s="314" t="s">
        <v>203</v>
      </c>
      <c r="OHP14" s="314" t="s">
        <v>203</v>
      </c>
      <c r="OHQ14" s="314" t="s">
        <v>203</v>
      </c>
      <c r="OHR14" s="314" t="s">
        <v>203</v>
      </c>
      <c r="OHS14" s="314" t="s">
        <v>203</v>
      </c>
      <c r="OHT14" s="314" t="s">
        <v>203</v>
      </c>
      <c r="OHU14" s="314" t="s">
        <v>203</v>
      </c>
      <c r="OHV14" s="314" t="s">
        <v>203</v>
      </c>
      <c r="OHW14" s="314" t="s">
        <v>203</v>
      </c>
      <c r="OHX14" s="314" t="s">
        <v>203</v>
      </c>
      <c r="OHY14" s="314" t="s">
        <v>203</v>
      </c>
      <c r="OHZ14" s="314" t="s">
        <v>203</v>
      </c>
      <c r="OIA14" s="314" t="s">
        <v>203</v>
      </c>
      <c r="OIB14" s="314" t="s">
        <v>203</v>
      </c>
      <c r="OIC14" s="314" t="s">
        <v>203</v>
      </c>
      <c r="OID14" s="314" t="s">
        <v>203</v>
      </c>
      <c r="OIE14" s="314" t="s">
        <v>203</v>
      </c>
      <c r="OIF14" s="314" t="s">
        <v>203</v>
      </c>
      <c r="OIG14" s="314" t="s">
        <v>203</v>
      </c>
      <c r="OIH14" s="314" t="s">
        <v>203</v>
      </c>
      <c r="OII14" s="314" t="s">
        <v>203</v>
      </c>
      <c r="OIJ14" s="314" t="s">
        <v>203</v>
      </c>
      <c r="OIK14" s="314" t="s">
        <v>203</v>
      </c>
      <c r="OIL14" s="314" t="s">
        <v>203</v>
      </c>
      <c r="OIM14" s="314" t="s">
        <v>203</v>
      </c>
      <c r="OIN14" s="314" t="s">
        <v>203</v>
      </c>
      <c r="OIO14" s="314" t="s">
        <v>203</v>
      </c>
      <c r="OIP14" s="314" t="s">
        <v>203</v>
      </c>
      <c r="OIQ14" s="314" t="s">
        <v>203</v>
      </c>
      <c r="OIR14" s="314" t="s">
        <v>203</v>
      </c>
      <c r="OIS14" s="314" t="s">
        <v>203</v>
      </c>
      <c r="OIT14" s="314" t="s">
        <v>203</v>
      </c>
      <c r="OIU14" s="314" t="s">
        <v>203</v>
      </c>
      <c r="OIV14" s="314" t="s">
        <v>203</v>
      </c>
      <c r="OIW14" s="314" t="s">
        <v>203</v>
      </c>
      <c r="OIX14" s="314" t="s">
        <v>203</v>
      </c>
      <c r="OIY14" s="314" t="s">
        <v>203</v>
      </c>
      <c r="OIZ14" s="314" t="s">
        <v>203</v>
      </c>
      <c r="OJA14" s="314" t="s">
        <v>203</v>
      </c>
      <c r="OJB14" s="314" t="s">
        <v>203</v>
      </c>
      <c r="OJC14" s="314" t="s">
        <v>203</v>
      </c>
      <c r="OJD14" s="314" t="s">
        <v>203</v>
      </c>
      <c r="OJE14" s="314" t="s">
        <v>203</v>
      </c>
      <c r="OJF14" s="314" t="s">
        <v>203</v>
      </c>
      <c r="OJG14" s="314" t="s">
        <v>203</v>
      </c>
      <c r="OJH14" s="314" t="s">
        <v>203</v>
      </c>
      <c r="OJI14" s="314" t="s">
        <v>203</v>
      </c>
      <c r="OJJ14" s="314" t="s">
        <v>203</v>
      </c>
      <c r="OJK14" s="314" t="s">
        <v>203</v>
      </c>
      <c r="OJL14" s="314" t="s">
        <v>203</v>
      </c>
      <c r="OJM14" s="314" t="s">
        <v>203</v>
      </c>
      <c r="OJN14" s="314" t="s">
        <v>203</v>
      </c>
      <c r="OJO14" s="314" t="s">
        <v>203</v>
      </c>
      <c r="OJP14" s="314" t="s">
        <v>203</v>
      </c>
      <c r="OJQ14" s="314" t="s">
        <v>203</v>
      </c>
      <c r="OJR14" s="314" t="s">
        <v>203</v>
      </c>
      <c r="OJS14" s="314" t="s">
        <v>203</v>
      </c>
      <c r="OJT14" s="314" t="s">
        <v>203</v>
      </c>
      <c r="OJU14" s="314" t="s">
        <v>203</v>
      </c>
      <c r="OJV14" s="314" t="s">
        <v>203</v>
      </c>
      <c r="OJW14" s="314" t="s">
        <v>203</v>
      </c>
      <c r="OJX14" s="314" t="s">
        <v>203</v>
      </c>
      <c r="OJY14" s="314" t="s">
        <v>203</v>
      </c>
      <c r="OJZ14" s="314" t="s">
        <v>203</v>
      </c>
      <c r="OKA14" s="314" t="s">
        <v>203</v>
      </c>
      <c r="OKB14" s="314" t="s">
        <v>203</v>
      </c>
      <c r="OKC14" s="314" t="s">
        <v>203</v>
      </c>
      <c r="OKD14" s="314" t="s">
        <v>203</v>
      </c>
      <c r="OKE14" s="314" t="s">
        <v>203</v>
      </c>
      <c r="OKF14" s="314" t="s">
        <v>203</v>
      </c>
      <c r="OKG14" s="314" t="s">
        <v>203</v>
      </c>
      <c r="OKH14" s="314" t="s">
        <v>203</v>
      </c>
      <c r="OKI14" s="314" t="s">
        <v>203</v>
      </c>
      <c r="OKJ14" s="314" t="s">
        <v>203</v>
      </c>
      <c r="OKK14" s="314" t="s">
        <v>203</v>
      </c>
      <c r="OKL14" s="314" t="s">
        <v>203</v>
      </c>
      <c r="OKM14" s="314" t="s">
        <v>203</v>
      </c>
      <c r="OKN14" s="314" t="s">
        <v>203</v>
      </c>
      <c r="OKO14" s="314" t="s">
        <v>203</v>
      </c>
      <c r="OKP14" s="314" t="s">
        <v>203</v>
      </c>
      <c r="OKQ14" s="314" t="s">
        <v>203</v>
      </c>
      <c r="OKR14" s="314" t="s">
        <v>203</v>
      </c>
      <c r="OKS14" s="314" t="s">
        <v>203</v>
      </c>
      <c r="OKT14" s="314" t="s">
        <v>203</v>
      </c>
      <c r="OKU14" s="314" t="s">
        <v>203</v>
      </c>
      <c r="OKV14" s="314" t="s">
        <v>203</v>
      </c>
      <c r="OKW14" s="314" t="s">
        <v>203</v>
      </c>
      <c r="OKX14" s="314" t="s">
        <v>203</v>
      </c>
      <c r="OKY14" s="314" t="s">
        <v>203</v>
      </c>
      <c r="OKZ14" s="314" t="s">
        <v>203</v>
      </c>
      <c r="OLA14" s="314" t="s">
        <v>203</v>
      </c>
      <c r="OLB14" s="314" t="s">
        <v>203</v>
      </c>
      <c r="OLC14" s="314" t="s">
        <v>203</v>
      </c>
      <c r="OLD14" s="314" t="s">
        <v>203</v>
      </c>
      <c r="OLE14" s="314" t="s">
        <v>203</v>
      </c>
      <c r="OLF14" s="314" t="s">
        <v>203</v>
      </c>
      <c r="OLG14" s="314" t="s">
        <v>203</v>
      </c>
      <c r="OLH14" s="314" t="s">
        <v>203</v>
      </c>
      <c r="OLI14" s="314" t="s">
        <v>203</v>
      </c>
      <c r="OLJ14" s="314" t="s">
        <v>203</v>
      </c>
      <c r="OLK14" s="314" t="s">
        <v>203</v>
      </c>
      <c r="OLL14" s="314" t="s">
        <v>203</v>
      </c>
      <c r="OLM14" s="314" t="s">
        <v>203</v>
      </c>
      <c r="OLN14" s="314" t="s">
        <v>203</v>
      </c>
      <c r="OLO14" s="314" t="s">
        <v>203</v>
      </c>
      <c r="OLP14" s="314" t="s">
        <v>203</v>
      </c>
      <c r="OLQ14" s="314" t="s">
        <v>203</v>
      </c>
      <c r="OLR14" s="314" t="s">
        <v>203</v>
      </c>
      <c r="OLS14" s="314" t="s">
        <v>203</v>
      </c>
      <c r="OLT14" s="314" t="s">
        <v>203</v>
      </c>
      <c r="OLU14" s="314" t="s">
        <v>203</v>
      </c>
      <c r="OLV14" s="314" t="s">
        <v>203</v>
      </c>
      <c r="OLW14" s="314" t="s">
        <v>203</v>
      </c>
      <c r="OLX14" s="314" t="s">
        <v>203</v>
      </c>
      <c r="OLY14" s="314" t="s">
        <v>203</v>
      </c>
      <c r="OLZ14" s="314" t="s">
        <v>203</v>
      </c>
      <c r="OMA14" s="314" t="s">
        <v>203</v>
      </c>
      <c r="OMB14" s="314" t="s">
        <v>203</v>
      </c>
      <c r="OMC14" s="314" t="s">
        <v>203</v>
      </c>
      <c r="OMD14" s="314" t="s">
        <v>203</v>
      </c>
      <c r="OME14" s="314" t="s">
        <v>203</v>
      </c>
      <c r="OMF14" s="314" t="s">
        <v>203</v>
      </c>
      <c r="OMG14" s="314" t="s">
        <v>203</v>
      </c>
      <c r="OMH14" s="314" t="s">
        <v>203</v>
      </c>
      <c r="OMI14" s="314" t="s">
        <v>203</v>
      </c>
      <c r="OMJ14" s="314" t="s">
        <v>203</v>
      </c>
      <c r="OMK14" s="314" t="s">
        <v>203</v>
      </c>
      <c r="OML14" s="314" t="s">
        <v>203</v>
      </c>
      <c r="OMM14" s="314" t="s">
        <v>203</v>
      </c>
      <c r="OMN14" s="314" t="s">
        <v>203</v>
      </c>
      <c r="OMO14" s="314" t="s">
        <v>203</v>
      </c>
      <c r="OMP14" s="314" t="s">
        <v>203</v>
      </c>
      <c r="OMQ14" s="314" t="s">
        <v>203</v>
      </c>
      <c r="OMR14" s="314" t="s">
        <v>203</v>
      </c>
      <c r="OMS14" s="314" t="s">
        <v>203</v>
      </c>
      <c r="OMT14" s="314" t="s">
        <v>203</v>
      </c>
      <c r="OMU14" s="314" t="s">
        <v>203</v>
      </c>
      <c r="OMV14" s="314" t="s">
        <v>203</v>
      </c>
      <c r="OMW14" s="314" t="s">
        <v>203</v>
      </c>
      <c r="OMX14" s="314" t="s">
        <v>203</v>
      </c>
      <c r="OMY14" s="314" t="s">
        <v>203</v>
      </c>
      <c r="OMZ14" s="314" t="s">
        <v>203</v>
      </c>
      <c r="ONA14" s="314" t="s">
        <v>203</v>
      </c>
      <c r="ONB14" s="314" t="s">
        <v>203</v>
      </c>
      <c r="ONC14" s="314" t="s">
        <v>203</v>
      </c>
      <c r="OND14" s="314" t="s">
        <v>203</v>
      </c>
      <c r="ONE14" s="314" t="s">
        <v>203</v>
      </c>
      <c r="ONF14" s="314" t="s">
        <v>203</v>
      </c>
      <c r="ONG14" s="314" t="s">
        <v>203</v>
      </c>
      <c r="ONH14" s="314" t="s">
        <v>203</v>
      </c>
      <c r="ONI14" s="314" t="s">
        <v>203</v>
      </c>
      <c r="ONJ14" s="314" t="s">
        <v>203</v>
      </c>
      <c r="ONK14" s="314" t="s">
        <v>203</v>
      </c>
      <c r="ONL14" s="314" t="s">
        <v>203</v>
      </c>
      <c r="ONM14" s="314" t="s">
        <v>203</v>
      </c>
      <c r="ONN14" s="314" t="s">
        <v>203</v>
      </c>
      <c r="ONO14" s="314" t="s">
        <v>203</v>
      </c>
      <c r="ONP14" s="314" t="s">
        <v>203</v>
      </c>
      <c r="ONQ14" s="314" t="s">
        <v>203</v>
      </c>
      <c r="ONR14" s="314" t="s">
        <v>203</v>
      </c>
      <c r="ONS14" s="314" t="s">
        <v>203</v>
      </c>
      <c r="ONT14" s="314" t="s">
        <v>203</v>
      </c>
      <c r="ONU14" s="314" t="s">
        <v>203</v>
      </c>
      <c r="ONV14" s="314" t="s">
        <v>203</v>
      </c>
      <c r="ONW14" s="314" t="s">
        <v>203</v>
      </c>
      <c r="ONX14" s="314" t="s">
        <v>203</v>
      </c>
      <c r="ONY14" s="314" t="s">
        <v>203</v>
      </c>
      <c r="ONZ14" s="314" t="s">
        <v>203</v>
      </c>
      <c r="OOA14" s="314" t="s">
        <v>203</v>
      </c>
      <c r="OOB14" s="314" t="s">
        <v>203</v>
      </c>
      <c r="OOC14" s="314" t="s">
        <v>203</v>
      </c>
      <c r="OOD14" s="314" t="s">
        <v>203</v>
      </c>
      <c r="OOE14" s="314" t="s">
        <v>203</v>
      </c>
      <c r="OOF14" s="314" t="s">
        <v>203</v>
      </c>
      <c r="OOG14" s="314" t="s">
        <v>203</v>
      </c>
      <c r="OOH14" s="314" t="s">
        <v>203</v>
      </c>
      <c r="OOI14" s="314" t="s">
        <v>203</v>
      </c>
      <c r="OOJ14" s="314" t="s">
        <v>203</v>
      </c>
      <c r="OOK14" s="314" t="s">
        <v>203</v>
      </c>
      <c r="OOL14" s="314" t="s">
        <v>203</v>
      </c>
      <c r="OOM14" s="314" t="s">
        <v>203</v>
      </c>
      <c r="OON14" s="314" t="s">
        <v>203</v>
      </c>
      <c r="OOO14" s="314" t="s">
        <v>203</v>
      </c>
      <c r="OOP14" s="314" t="s">
        <v>203</v>
      </c>
      <c r="OOQ14" s="314" t="s">
        <v>203</v>
      </c>
      <c r="OOR14" s="314" t="s">
        <v>203</v>
      </c>
      <c r="OOS14" s="314" t="s">
        <v>203</v>
      </c>
      <c r="OOT14" s="314" t="s">
        <v>203</v>
      </c>
      <c r="OOU14" s="314" t="s">
        <v>203</v>
      </c>
      <c r="OOV14" s="314" t="s">
        <v>203</v>
      </c>
      <c r="OOW14" s="314" t="s">
        <v>203</v>
      </c>
      <c r="OOX14" s="314" t="s">
        <v>203</v>
      </c>
      <c r="OOY14" s="314" t="s">
        <v>203</v>
      </c>
      <c r="OOZ14" s="314" t="s">
        <v>203</v>
      </c>
      <c r="OPA14" s="314" t="s">
        <v>203</v>
      </c>
      <c r="OPB14" s="314" t="s">
        <v>203</v>
      </c>
      <c r="OPC14" s="314" t="s">
        <v>203</v>
      </c>
      <c r="OPD14" s="314" t="s">
        <v>203</v>
      </c>
      <c r="OPE14" s="314" t="s">
        <v>203</v>
      </c>
      <c r="OPF14" s="314" t="s">
        <v>203</v>
      </c>
      <c r="OPG14" s="314" t="s">
        <v>203</v>
      </c>
      <c r="OPH14" s="314" t="s">
        <v>203</v>
      </c>
      <c r="OPI14" s="314" t="s">
        <v>203</v>
      </c>
      <c r="OPJ14" s="314" t="s">
        <v>203</v>
      </c>
      <c r="OPK14" s="314" t="s">
        <v>203</v>
      </c>
      <c r="OPL14" s="314" t="s">
        <v>203</v>
      </c>
      <c r="OPM14" s="314" t="s">
        <v>203</v>
      </c>
      <c r="OPN14" s="314" t="s">
        <v>203</v>
      </c>
      <c r="OPO14" s="314" t="s">
        <v>203</v>
      </c>
      <c r="OPP14" s="314" t="s">
        <v>203</v>
      </c>
      <c r="OPQ14" s="314" t="s">
        <v>203</v>
      </c>
      <c r="OPR14" s="314" t="s">
        <v>203</v>
      </c>
      <c r="OPS14" s="314" t="s">
        <v>203</v>
      </c>
      <c r="OPT14" s="314" t="s">
        <v>203</v>
      </c>
      <c r="OPU14" s="314" t="s">
        <v>203</v>
      </c>
      <c r="OPV14" s="314" t="s">
        <v>203</v>
      </c>
      <c r="OPW14" s="314" t="s">
        <v>203</v>
      </c>
      <c r="OPX14" s="314" t="s">
        <v>203</v>
      </c>
      <c r="OPY14" s="314" t="s">
        <v>203</v>
      </c>
      <c r="OPZ14" s="314" t="s">
        <v>203</v>
      </c>
      <c r="OQA14" s="314" t="s">
        <v>203</v>
      </c>
      <c r="OQB14" s="314" t="s">
        <v>203</v>
      </c>
      <c r="OQC14" s="314" t="s">
        <v>203</v>
      </c>
      <c r="OQD14" s="314" t="s">
        <v>203</v>
      </c>
      <c r="OQE14" s="314" t="s">
        <v>203</v>
      </c>
      <c r="OQF14" s="314" t="s">
        <v>203</v>
      </c>
      <c r="OQG14" s="314" t="s">
        <v>203</v>
      </c>
      <c r="OQH14" s="314" t="s">
        <v>203</v>
      </c>
      <c r="OQI14" s="314" t="s">
        <v>203</v>
      </c>
      <c r="OQJ14" s="314" t="s">
        <v>203</v>
      </c>
      <c r="OQK14" s="314" t="s">
        <v>203</v>
      </c>
      <c r="OQL14" s="314" t="s">
        <v>203</v>
      </c>
      <c r="OQM14" s="314" t="s">
        <v>203</v>
      </c>
      <c r="OQN14" s="314" t="s">
        <v>203</v>
      </c>
      <c r="OQO14" s="314" t="s">
        <v>203</v>
      </c>
      <c r="OQP14" s="314" t="s">
        <v>203</v>
      </c>
      <c r="OQQ14" s="314" t="s">
        <v>203</v>
      </c>
      <c r="OQR14" s="314" t="s">
        <v>203</v>
      </c>
      <c r="OQS14" s="314" t="s">
        <v>203</v>
      </c>
      <c r="OQT14" s="314" t="s">
        <v>203</v>
      </c>
      <c r="OQU14" s="314" t="s">
        <v>203</v>
      </c>
      <c r="OQV14" s="314" t="s">
        <v>203</v>
      </c>
      <c r="OQW14" s="314" t="s">
        <v>203</v>
      </c>
      <c r="OQX14" s="314" t="s">
        <v>203</v>
      </c>
      <c r="OQY14" s="314" t="s">
        <v>203</v>
      </c>
      <c r="OQZ14" s="314" t="s">
        <v>203</v>
      </c>
      <c r="ORA14" s="314" t="s">
        <v>203</v>
      </c>
      <c r="ORB14" s="314" t="s">
        <v>203</v>
      </c>
      <c r="ORC14" s="314" t="s">
        <v>203</v>
      </c>
      <c r="ORD14" s="314" t="s">
        <v>203</v>
      </c>
      <c r="ORE14" s="314" t="s">
        <v>203</v>
      </c>
      <c r="ORF14" s="314" t="s">
        <v>203</v>
      </c>
      <c r="ORG14" s="314" t="s">
        <v>203</v>
      </c>
      <c r="ORH14" s="314" t="s">
        <v>203</v>
      </c>
      <c r="ORI14" s="314" t="s">
        <v>203</v>
      </c>
      <c r="ORJ14" s="314" t="s">
        <v>203</v>
      </c>
      <c r="ORK14" s="314" t="s">
        <v>203</v>
      </c>
      <c r="ORL14" s="314" t="s">
        <v>203</v>
      </c>
      <c r="ORM14" s="314" t="s">
        <v>203</v>
      </c>
      <c r="ORN14" s="314" t="s">
        <v>203</v>
      </c>
      <c r="ORO14" s="314" t="s">
        <v>203</v>
      </c>
      <c r="ORP14" s="314" t="s">
        <v>203</v>
      </c>
      <c r="ORQ14" s="314" t="s">
        <v>203</v>
      </c>
      <c r="ORR14" s="314" t="s">
        <v>203</v>
      </c>
      <c r="ORS14" s="314" t="s">
        <v>203</v>
      </c>
      <c r="ORT14" s="314" t="s">
        <v>203</v>
      </c>
      <c r="ORU14" s="314" t="s">
        <v>203</v>
      </c>
      <c r="ORV14" s="314" t="s">
        <v>203</v>
      </c>
      <c r="ORW14" s="314" t="s">
        <v>203</v>
      </c>
      <c r="ORX14" s="314" t="s">
        <v>203</v>
      </c>
      <c r="ORY14" s="314" t="s">
        <v>203</v>
      </c>
      <c r="ORZ14" s="314" t="s">
        <v>203</v>
      </c>
      <c r="OSA14" s="314" t="s">
        <v>203</v>
      </c>
      <c r="OSB14" s="314" t="s">
        <v>203</v>
      </c>
      <c r="OSC14" s="314" t="s">
        <v>203</v>
      </c>
      <c r="OSD14" s="314" t="s">
        <v>203</v>
      </c>
      <c r="OSE14" s="314" t="s">
        <v>203</v>
      </c>
      <c r="OSF14" s="314" t="s">
        <v>203</v>
      </c>
      <c r="OSG14" s="314" t="s">
        <v>203</v>
      </c>
      <c r="OSH14" s="314" t="s">
        <v>203</v>
      </c>
      <c r="OSI14" s="314" t="s">
        <v>203</v>
      </c>
      <c r="OSJ14" s="314" t="s">
        <v>203</v>
      </c>
      <c r="OSK14" s="314" t="s">
        <v>203</v>
      </c>
      <c r="OSL14" s="314" t="s">
        <v>203</v>
      </c>
      <c r="OSM14" s="314" t="s">
        <v>203</v>
      </c>
      <c r="OSN14" s="314" t="s">
        <v>203</v>
      </c>
      <c r="OSO14" s="314" t="s">
        <v>203</v>
      </c>
      <c r="OSP14" s="314" t="s">
        <v>203</v>
      </c>
      <c r="OSQ14" s="314" t="s">
        <v>203</v>
      </c>
      <c r="OSR14" s="314" t="s">
        <v>203</v>
      </c>
      <c r="OSS14" s="314" t="s">
        <v>203</v>
      </c>
      <c r="OST14" s="314" t="s">
        <v>203</v>
      </c>
      <c r="OSU14" s="314" t="s">
        <v>203</v>
      </c>
      <c r="OSV14" s="314" t="s">
        <v>203</v>
      </c>
      <c r="OSW14" s="314" t="s">
        <v>203</v>
      </c>
      <c r="OSX14" s="314" t="s">
        <v>203</v>
      </c>
      <c r="OSY14" s="314" t="s">
        <v>203</v>
      </c>
      <c r="OSZ14" s="314" t="s">
        <v>203</v>
      </c>
      <c r="OTA14" s="314" t="s">
        <v>203</v>
      </c>
      <c r="OTB14" s="314" t="s">
        <v>203</v>
      </c>
      <c r="OTC14" s="314" t="s">
        <v>203</v>
      </c>
      <c r="OTD14" s="314" t="s">
        <v>203</v>
      </c>
      <c r="OTE14" s="314" t="s">
        <v>203</v>
      </c>
      <c r="OTF14" s="314" t="s">
        <v>203</v>
      </c>
      <c r="OTG14" s="314" t="s">
        <v>203</v>
      </c>
      <c r="OTH14" s="314" t="s">
        <v>203</v>
      </c>
      <c r="OTI14" s="314" t="s">
        <v>203</v>
      </c>
      <c r="OTJ14" s="314" t="s">
        <v>203</v>
      </c>
      <c r="OTK14" s="314" t="s">
        <v>203</v>
      </c>
      <c r="OTL14" s="314" t="s">
        <v>203</v>
      </c>
      <c r="OTM14" s="314" t="s">
        <v>203</v>
      </c>
      <c r="OTN14" s="314" t="s">
        <v>203</v>
      </c>
      <c r="OTO14" s="314" t="s">
        <v>203</v>
      </c>
      <c r="OTP14" s="314" t="s">
        <v>203</v>
      </c>
      <c r="OTQ14" s="314" t="s">
        <v>203</v>
      </c>
      <c r="OTR14" s="314" t="s">
        <v>203</v>
      </c>
      <c r="OTS14" s="314" t="s">
        <v>203</v>
      </c>
      <c r="OTT14" s="314" t="s">
        <v>203</v>
      </c>
      <c r="OTU14" s="314" t="s">
        <v>203</v>
      </c>
      <c r="OTV14" s="314" t="s">
        <v>203</v>
      </c>
      <c r="OTW14" s="314" t="s">
        <v>203</v>
      </c>
      <c r="OTX14" s="314" t="s">
        <v>203</v>
      </c>
      <c r="OTY14" s="314" t="s">
        <v>203</v>
      </c>
      <c r="OTZ14" s="314" t="s">
        <v>203</v>
      </c>
      <c r="OUA14" s="314" t="s">
        <v>203</v>
      </c>
      <c r="OUB14" s="314" t="s">
        <v>203</v>
      </c>
      <c r="OUC14" s="314" t="s">
        <v>203</v>
      </c>
      <c r="OUD14" s="314" t="s">
        <v>203</v>
      </c>
      <c r="OUE14" s="314" t="s">
        <v>203</v>
      </c>
      <c r="OUF14" s="314" t="s">
        <v>203</v>
      </c>
      <c r="OUG14" s="314" t="s">
        <v>203</v>
      </c>
      <c r="OUH14" s="314" t="s">
        <v>203</v>
      </c>
      <c r="OUI14" s="314" t="s">
        <v>203</v>
      </c>
      <c r="OUJ14" s="314" t="s">
        <v>203</v>
      </c>
      <c r="OUK14" s="314" t="s">
        <v>203</v>
      </c>
      <c r="OUL14" s="314" t="s">
        <v>203</v>
      </c>
      <c r="OUM14" s="314" t="s">
        <v>203</v>
      </c>
      <c r="OUN14" s="314" t="s">
        <v>203</v>
      </c>
      <c r="OUO14" s="314" t="s">
        <v>203</v>
      </c>
      <c r="OUP14" s="314" t="s">
        <v>203</v>
      </c>
      <c r="OUQ14" s="314" t="s">
        <v>203</v>
      </c>
      <c r="OUR14" s="314" t="s">
        <v>203</v>
      </c>
      <c r="OUS14" s="314" t="s">
        <v>203</v>
      </c>
      <c r="OUT14" s="314" t="s">
        <v>203</v>
      </c>
      <c r="OUU14" s="314" t="s">
        <v>203</v>
      </c>
      <c r="OUV14" s="314" t="s">
        <v>203</v>
      </c>
      <c r="OUW14" s="314" t="s">
        <v>203</v>
      </c>
      <c r="OUX14" s="314" t="s">
        <v>203</v>
      </c>
      <c r="OUY14" s="314" t="s">
        <v>203</v>
      </c>
      <c r="OUZ14" s="314" t="s">
        <v>203</v>
      </c>
      <c r="OVA14" s="314" t="s">
        <v>203</v>
      </c>
      <c r="OVB14" s="314" t="s">
        <v>203</v>
      </c>
      <c r="OVC14" s="314" t="s">
        <v>203</v>
      </c>
      <c r="OVD14" s="314" t="s">
        <v>203</v>
      </c>
      <c r="OVE14" s="314" t="s">
        <v>203</v>
      </c>
      <c r="OVF14" s="314" t="s">
        <v>203</v>
      </c>
      <c r="OVG14" s="314" t="s">
        <v>203</v>
      </c>
      <c r="OVH14" s="314" t="s">
        <v>203</v>
      </c>
      <c r="OVI14" s="314" t="s">
        <v>203</v>
      </c>
      <c r="OVJ14" s="314" t="s">
        <v>203</v>
      </c>
      <c r="OVK14" s="314" t="s">
        <v>203</v>
      </c>
      <c r="OVL14" s="314" t="s">
        <v>203</v>
      </c>
      <c r="OVM14" s="314" t="s">
        <v>203</v>
      </c>
      <c r="OVN14" s="314" t="s">
        <v>203</v>
      </c>
      <c r="OVO14" s="314" t="s">
        <v>203</v>
      </c>
      <c r="OVP14" s="314" t="s">
        <v>203</v>
      </c>
      <c r="OVQ14" s="314" t="s">
        <v>203</v>
      </c>
      <c r="OVR14" s="314" t="s">
        <v>203</v>
      </c>
      <c r="OVS14" s="314" t="s">
        <v>203</v>
      </c>
      <c r="OVT14" s="314" t="s">
        <v>203</v>
      </c>
      <c r="OVU14" s="314" t="s">
        <v>203</v>
      </c>
      <c r="OVV14" s="314" t="s">
        <v>203</v>
      </c>
      <c r="OVW14" s="314" t="s">
        <v>203</v>
      </c>
      <c r="OVX14" s="314" t="s">
        <v>203</v>
      </c>
      <c r="OVY14" s="314" t="s">
        <v>203</v>
      </c>
      <c r="OVZ14" s="314" t="s">
        <v>203</v>
      </c>
      <c r="OWA14" s="314" t="s">
        <v>203</v>
      </c>
      <c r="OWB14" s="314" t="s">
        <v>203</v>
      </c>
      <c r="OWC14" s="314" t="s">
        <v>203</v>
      </c>
      <c r="OWD14" s="314" t="s">
        <v>203</v>
      </c>
      <c r="OWE14" s="314" t="s">
        <v>203</v>
      </c>
      <c r="OWF14" s="314" t="s">
        <v>203</v>
      </c>
      <c r="OWG14" s="314" t="s">
        <v>203</v>
      </c>
      <c r="OWH14" s="314" t="s">
        <v>203</v>
      </c>
      <c r="OWI14" s="314" t="s">
        <v>203</v>
      </c>
      <c r="OWJ14" s="314" t="s">
        <v>203</v>
      </c>
      <c r="OWK14" s="314" t="s">
        <v>203</v>
      </c>
      <c r="OWL14" s="314" t="s">
        <v>203</v>
      </c>
      <c r="OWM14" s="314" t="s">
        <v>203</v>
      </c>
      <c r="OWN14" s="314" t="s">
        <v>203</v>
      </c>
      <c r="OWO14" s="314" t="s">
        <v>203</v>
      </c>
      <c r="OWP14" s="314" t="s">
        <v>203</v>
      </c>
      <c r="OWQ14" s="314" t="s">
        <v>203</v>
      </c>
      <c r="OWR14" s="314" t="s">
        <v>203</v>
      </c>
      <c r="OWS14" s="314" t="s">
        <v>203</v>
      </c>
      <c r="OWT14" s="314" t="s">
        <v>203</v>
      </c>
      <c r="OWU14" s="314" t="s">
        <v>203</v>
      </c>
      <c r="OWV14" s="314" t="s">
        <v>203</v>
      </c>
      <c r="OWW14" s="314" t="s">
        <v>203</v>
      </c>
      <c r="OWX14" s="314" t="s">
        <v>203</v>
      </c>
      <c r="OWY14" s="314" t="s">
        <v>203</v>
      </c>
      <c r="OWZ14" s="314" t="s">
        <v>203</v>
      </c>
      <c r="OXA14" s="314" t="s">
        <v>203</v>
      </c>
      <c r="OXB14" s="314" t="s">
        <v>203</v>
      </c>
      <c r="OXC14" s="314" t="s">
        <v>203</v>
      </c>
      <c r="OXD14" s="314" t="s">
        <v>203</v>
      </c>
      <c r="OXE14" s="314" t="s">
        <v>203</v>
      </c>
      <c r="OXF14" s="314" t="s">
        <v>203</v>
      </c>
      <c r="OXG14" s="314" t="s">
        <v>203</v>
      </c>
      <c r="OXH14" s="314" t="s">
        <v>203</v>
      </c>
      <c r="OXI14" s="314" t="s">
        <v>203</v>
      </c>
      <c r="OXJ14" s="314" t="s">
        <v>203</v>
      </c>
      <c r="OXK14" s="314" t="s">
        <v>203</v>
      </c>
      <c r="OXL14" s="314" t="s">
        <v>203</v>
      </c>
      <c r="OXM14" s="314" t="s">
        <v>203</v>
      </c>
      <c r="OXN14" s="314" t="s">
        <v>203</v>
      </c>
      <c r="OXO14" s="314" t="s">
        <v>203</v>
      </c>
      <c r="OXP14" s="314" t="s">
        <v>203</v>
      </c>
      <c r="OXQ14" s="314" t="s">
        <v>203</v>
      </c>
      <c r="OXR14" s="314" t="s">
        <v>203</v>
      </c>
      <c r="OXS14" s="314" t="s">
        <v>203</v>
      </c>
      <c r="OXT14" s="314" t="s">
        <v>203</v>
      </c>
      <c r="OXU14" s="314" t="s">
        <v>203</v>
      </c>
      <c r="OXV14" s="314" t="s">
        <v>203</v>
      </c>
      <c r="OXW14" s="314" t="s">
        <v>203</v>
      </c>
      <c r="OXX14" s="314" t="s">
        <v>203</v>
      </c>
      <c r="OXY14" s="314" t="s">
        <v>203</v>
      </c>
      <c r="OXZ14" s="314" t="s">
        <v>203</v>
      </c>
      <c r="OYA14" s="314" t="s">
        <v>203</v>
      </c>
      <c r="OYB14" s="314" t="s">
        <v>203</v>
      </c>
      <c r="OYC14" s="314" t="s">
        <v>203</v>
      </c>
      <c r="OYD14" s="314" t="s">
        <v>203</v>
      </c>
      <c r="OYE14" s="314" t="s">
        <v>203</v>
      </c>
      <c r="OYF14" s="314" t="s">
        <v>203</v>
      </c>
      <c r="OYG14" s="314" t="s">
        <v>203</v>
      </c>
      <c r="OYH14" s="314" t="s">
        <v>203</v>
      </c>
      <c r="OYI14" s="314" t="s">
        <v>203</v>
      </c>
      <c r="OYJ14" s="314" t="s">
        <v>203</v>
      </c>
      <c r="OYK14" s="314" t="s">
        <v>203</v>
      </c>
      <c r="OYL14" s="314" t="s">
        <v>203</v>
      </c>
      <c r="OYM14" s="314" t="s">
        <v>203</v>
      </c>
      <c r="OYN14" s="314" t="s">
        <v>203</v>
      </c>
      <c r="OYO14" s="314" t="s">
        <v>203</v>
      </c>
      <c r="OYP14" s="314" t="s">
        <v>203</v>
      </c>
      <c r="OYQ14" s="314" t="s">
        <v>203</v>
      </c>
      <c r="OYR14" s="314" t="s">
        <v>203</v>
      </c>
      <c r="OYS14" s="314" t="s">
        <v>203</v>
      </c>
      <c r="OYT14" s="314" t="s">
        <v>203</v>
      </c>
      <c r="OYU14" s="314" t="s">
        <v>203</v>
      </c>
      <c r="OYV14" s="314" t="s">
        <v>203</v>
      </c>
      <c r="OYW14" s="314" t="s">
        <v>203</v>
      </c>
      <c r="OYX14" s="314" t="s">
        <v>203</v>
      </c>
      <c r="OYY14" s="314" t="s">
        <v>203</v>
      </c>
      <c r="OYZ14" s="314" t="s">
        <v>203</v>
      </c>
      <c r="OZA14" s="314" t="s">
        <v>203</v>
      </c>
      <c r="OZB14" s="314" t="s">
        <v>203</v>
      </c>
      <c r="OZC14" s="314" t="s">
        <v>203</v>
      </c>
      <c r="OZD14" s="314" t="s">
        <v>203</v>
      </c>
      <c r="OZE14" s="314" t="s">
        <v>203</v>
      </c>
      <c r="OZF14" s="314" t="s">
        <v>203</v>
      </c>
      <c r="OZG14" s="314" t="s">
        <v>203</v>
      </c>
      <c r="OZH14" s="314" t="s">
        <v>203</v>
      </c>
      <c r="OZI14" s="314" t="s">
        <v>203</v>
      </c>
      <c r="OZJ14" s="314" t="s">
        <v>203</v>
      </c>
      <c r="OZK14" s="314" t="s">
        <v>203</v>
      </c>
      <c r="OZL14" s="314" t="s">
        <v>203</v>
      </c>
      <c r="OZM14" s="314" t="s">
        <v>203</v>
      </c>
      <c r="OZN14" s="314" t="s">
        <v>203</v>
      </c>
      <c r="OZO14" s="314" t="s">
        <v>203</v>
      </c>
      <c r="OZP14" s="314" t="s">
        <v>203</v>
      </c>
      <c r="OZQ14" s="314" t="s">
        <v>203</v>
      </c>
      <c r="OZR14" s="314" t="s">
        <v>203</v>
      </c>
      <c r="OZS14" s="314" t="s">
        <v>203</v>
      </c>
      <c r="OZT14" s="314" t="s">
        <v>203</v>
      </c>
      <c r="OZU14" s="314" t="s">
        <v>203</v>
      </c>
      <c r="OZV14" s="314" t="s">
        <v>203</v>
      </c>
      <c r="OZW14" s="314" t="s">
        <v>203</v>
      </c>
      <c r="OZX14" s="314" t="s">
        <v>203</v>
      </c>
      <c r="OZY14" s="314" t="s">
        <v>203</v>
      </c>
      <c r="OZZ14" s="314" t="s">
        <v>203</v>
      </c>
      <c r="PAA14" s="314" t="s">
        <v>203</v>
      </c>
      <c r="PAB14" s="314" t="s">
        <v>203</v>
      </c>
      <c r="PAC14" s="314" t="s">
        <v>203</v>
      </c>
      <c r="PAD14" s="314" t="s">
        <v>203</v>
      </c>
      <c r="PAE14" s="314" t="s">
        <v>203</v>
      </c>
      <c r="PAF14" s="314" t="s">
        <v>203</v>
      </c>
      <c r="PAG14" s="314" t="s">
        <v>203</v>
      </c>
      <c r="PAH14" s="314" t="s">
        <v>203</v>
      </c>
      <c r="PAI14" s="314" t="s">
        <v>203</v>
      </c>
      <c r="PAJ14" s="314" t="s">
        <v>203</v>
      </c>
      <c r="PAK14" s="314" t="s">
        <v>203</v>
      </c>
      <c r="PAL14" s="314" t="s">
        <v>203</v>
      </c>
      <c r="PAM14" s="314" t="s">
        <v>203</v>
      </c>
      <c r="PAN14" s="314" t="s">
        <v>203</v>
      </c>
      <c r="PAO14" s="314" t="s">
        <v>203</v>
      </c>
      <c r="PAP14" s="314" t="s">
        <v>203</v>
      </c>
      <c r="PAQ14" s="314" t="s">
        <v>203</v>
      </c>
      <c r="PAR14" s="314" t="s">
        <v>203</v>
      </c>
      <c r="PAS14" s="314" t="s">
        <v>203</v>
      </c>
      <c r="PAT14" s="314" t="s">
        <v>203</v>
      </c>
      <c r="PAU14" s="314" t="s">
        <v>203</v>
      </c>
      <c r="PAV14" s="314" t="s">
        <v>203</v>
      </c>
      <c r="PAW14" s="314" t="s">
        <v>203</v>
      </c>
      <c r="PAX14" s="314" t="s">
        <v>203</v>
      </c>
      <c r="PAY14" s="314" t="s">
        <v>203</v>
      </c>
      <c r="PAZ14" s="314" t="s">
        <v>203</v>
      </c>
      <c r="PBA14" s="314" t="s">
        <v>203</v>
      </c>
      <c r="PBB14" s="314" t="s">
        <v>203</v>
      </c>
      <c r="PBC14" s="314" t="s">
        <v>203</v>
      </c>
      <c r="PBD14" s="314" t="s">
        <v>203</v>
      </c>
      <c r="PBE14" s="314" t="s">
        <v>203</v>
      </c>
      <c r="PBF14" s="314" t="s">
        <v>203</v>
      </c>
      <c r="PBG14" s="314" t="s">
        <v>203</v>
      </c>
      <c r="PBH14" s="314" t="s">
        <v>203</v>
      </c>
      <c r="PBI14" s="314" t="s">
        <v>203</v>
      </c>
      <c r="PBJ14" s="314" t="s">
        <v>203</v>
      </c>
      <c r="PBK14" s="314" t="s">
        <v>203</v>
      </c>
      <c r="PBL14" s="314" t="s">
        <v>203</v>
      </c>
      <c r="PBM14" s="314" t="s">
        <v>203</v>
      </c>
      <c r="PBN14" s="314" t="s">
        <v>203</v>
      </c>
      <c r="PBO14" s="314" t="s">
        <v>203</v>
      </c>
      <c r="PBP14" s="314" t="s">
        <v>203</v>
      </c>
      <c r="PBQ14" s="314" t="s">
        <v>203</v>
      </c>
      <c r="PBR14" s="314" t="s">
        <v>203</v>
      </c>
      <c r="PBS14" s="314" t="s">
        <v>203</v>
      </c>
      <c r="PBT14" s="314" t="s">
        <v>203</v>
      </c>
      <c r="PBU14" s="314" t="s">
        <v>203</v>
      </c>
      <c r="PBV14" s="314" t="s">
        <v>203</v>
      </c>
      <c r="PBW14" s="314" t="s">
        <v>203</v>
      </c>
      <c r="PBX14" s="314" t="s">
        <v>203</v>
      </c>
      <c r="PBY14" s="314" t="s">
        <v>203</v>
      </c>
      <c r="PBZ14" s="314" t="s">
        <v>203</v>
      </c>
      <c r="PCA14" s="314" t="s">
        <v>203</v>
      </c>
      <c r="PCB14" s="314" t="s">
        <v>203</v>
      </c>
      <c r="PCC14" s="314" t="s">
        <v>203</v>
      </c>
      <c r="PCD14" s="314" t="s">
        <v>203</v>
      </c>
      <c r="PCE14" s="314" t="s">
        <v>203</v>
      </c>
      <c r="PCF14" s="314" t="s">
        <v>203</v>
      </c>
      <c r="PCG14" s="314" t="s">
        <v>203</v>
      </c>
      <c r="PCH14" s="314" t="s">
        <v>203</v>
      </c>
      <c r="PCI14" s="314" t="s">
        <v>203</v>
      </c>
      <c r="PCJ14" s="314" t="s">
        <v>203</v>
      </c>
      <c r="PCK14" s="314" t="s">
        <v>203</v>
      </c>
      <c r="PCL14" s="314" t="s">
        <v>203</v>
      </c>
      <c r="PCM14" s="314" t="s">
        <v>203</v>
      </c>
      <c r="PCN14" s="314" t="s">
        <v>203</v>
      </c>
      <c r="PCO14" s="314" t="s">
        <v>203</v>
      </c>
      <c r="PCP14" s="314" t="s">
        <v>203</v>
      </c>
      <c r="PCQ14" s="314" t="s">
        <v>203</v>
      </c>
      <c r="PCR14" s="314" t="s">
        <v>203</v>
      </c>
      <c r="PCS14" s="314" t="s">
        <v>203</v>
      </c>
      <c r="PCT14" s="314" t="s">
        <v>203</v>
      </c>
      <c r="PCU14" s="314" t="s">
        <v>203</v>
      </c>
      <c r="PCV14" s="314" t="s">
        <v>203</v>
      </c>
      <c r="PCW14" s="314" t="s">
        <v>203</v>
      </c>
      <c r="PCX14" s="314" t="s">
        <v>203</v>
      </c>
      <c r="PCY14" s="314" t="s">
        <v>203</v>
      </c>
      <c r="PCZ14" s="314" t="s">
        <v>203</v>
      </c>
      <c r="PDA14" s="314" t="s">
        <v>203</v>
      </c>
      <c r="PDB14" s="314" t="s">
        <v>203</v>
      </c>
      <c r="PDC14" s="314" t="s">
        <v>203</v>
      </c>
      <c r="PDD14" s="314" t="s">
        <v>203</v>
      </c>
      <c r="PDE14" s="314" t="s">
        <v>203</v>
      </c>
      <c r="PDF14" s="314" t="s">
        <v>203</v>
      </c>
      <c r="PDG14" s="314" t="s">
        <v>203</v>
      </c>
      <c r="PDH14" s="314" t="s">
        <v>203</v>
      </c>
      <c r="PDI14" s="314" t="s">
        <v>203</v>
      </c>
      <c r="PDJ14" s="314" t="s">
        <v>203</v>
      </c>
      <c r="PDK14" s="314" t="s">
        <v>203</v>
      </c>
      <c r="PDL14" s="314" t="s">
        <v>203</v>
      </c>
      <c r="PDM14" s="314" t="s">
        <v>203</v>
      </c>
      <c r="PDN14" s="314" t="s">
        <v>203</v>
      </c>
      <c r="PDO14" s="314" t="s">
        <v>203</v>
      </c>
      <c r="PDP14" s="314" t="s">
        <v>203</v>
      </c>
      <c r="PDQ14" s="314" t="s">
        <v>203</v>
      </c>
      <c r="PDR14" s="314" t="s">
        <v>203</v>
      </c>
      <c r="PDS14" s="314" t="s">
        <v>203</v>
      </c>
      <c r="PDT14" s="314" t="s">
        <v>203</v>
      </c>
      <c r="PDU14" s="314" t="s">
        <v>203</v>
      </c>
      <c r="PDV14" s="314" t="s">
        <v>203</v>
      </c>
      <c r="PDW14" s="314" t="s">
        <v>203</v>
      </c>
      <c r="PDX14" s="314" t="s">
        <v>203</v>
      </c>
      <c r="PDY14" s="314" t="s">
        <v>203</v>
      </c>
      <c r="PDZ14" s="314" t="s">
        <v>203</v>
      </c>
      <c r="PEA14" s="314" t="s">
        <v>203</v>
      </c>
      <c r="PEB14" s="314" t="s">
        <v>203</v>
      </c>
      <c r="PEC14" s="314" t="s">
        <v>203</v>
      </c>
      <c r="PED14" s="314" t="s">
        <v>203</v>
      </c>
      <c r="PEE14" s="314" t="s">
        <v>203</v>
      </c>
      <c r="PEF14" s="314" t="s">
        <v>203</v>
      </c>
      <c r="PEG14" s="314" t="s">
        <v>203</v>
      </c>
      <c r="PEH14" s="314" t="s">
        <v>203</v>
      </c>
      <c r="PEI14" s="314" t="s">
        <v>203</v>
      </c>
      <c r="PEJ14" s="314" t="s">
        <v>203</v>
      </c>
      <c r="PEK14" s="314" t="s">
        <v>203</v>
      </c>
      <c r="PEL14" s="314" t="s">
        <v>203</v>
      </c>
      <c r="PEM14" s="314" t="s">
        <v>203</v>
      </c>
      <c r="PEN14" s="314" t="s">
        <v>203</v>
      </c>
      <c r="PEO14" s="314" t="s">
        <v>203</v>
      </c>
      <c r="PEP14" s="314" t="s">
        <v>203</v>
      </c>
      <c r="PEQ14" s="314" t="s">
        <v>203</v>
      </c>
      <c r="PER14" s="314" t="s">
        <v>203</v>
      </c>
      <c r="PES14" s="314" t="s">
        <v>203</v>
      </c>
      <c r="PET14" s="314" t="s">
        <v>203</v>
      </c>
      <c r="PEU14" s="314" t="s">
        <v>203</v>
      </c>
      <c r="PEV14" s="314" t="s">
        <v>203</v>
      </c>
      <c r="PEW14" s="314" t="s">
        <v>203</v>
      </c>
      <c r="PEX14" s="314" t="s">
        <v>203</v>
      </c>
      <c r="PEY14" s="314" t="s">
        <v>203</v>
      </c>
      <c r="PEZ14" s="314" t="s">
        <v>203</v>
      </c>
      <c r="PFA14" s="314" t="s">
        <v>203</v>
      </c>
      <c r="PFB14" s="314" t="s">
        <v>203</v>
      </c>
      <c r="PFC14" s="314" t="s">
        <v>203</v>
      </c>
      <c r="PFD14" s="314" t="s">
        <v>203</v>
      </c>
      <c r="PFE14" s="314" t="s">
        <v>203</v>
      </c>
      <c r="PFF14" s="314" t="s">
        <v>203</v>
      </c>
      <c r="PFG14" s="314" t="s">
        <v>203</v>
      </c>
      <c r="PFH14" s="314" t="s">
        <v>203</v>
      </c>
      <c r="PFI14" s="314" t="s">
        <v>203</v>
      </c>
      <c r="PFJ14" s="314" t="s">
        <v>203</v>
      </c>
      <c r="PFK14" s="314" t="s">
        <v>203</v>
      </c>
      <c r="PFL14" s="314" t="s">
        <v>203</v>
      </c>
      <c r="PFM14" s="314" t="s">
        <v>203</v>
      </c>
      <c r="PFN14" s="314" t="s">
        <v>203</v>
      </c>
      <c r="PFO14" s="314" t="s">
        <v>203</v>
      </c>
      <c r="PFP14" s="314" t="s">
        <v>203</v>
      </c>
      <c r="PFQ14" s="314" t="s">
        <v>203</v>
      </c>
      <c r="PFR14" s="314" t="s">
        <v>203</v>
      </c>
      <c r="PFS14" s="314" t="s">
        <v>203</v>
      </c>
      <c r="PFT14" s="314" t="s">
        <v>203</v>
      </c>
      <c r="PFU14" s="314" t="s">
        <v>203</v>
      </c>
      <c r="PFV14" s="314" t="s">
        <v>203</v>
      </c>
      <c r="PFW14" s="314" t="s">
        <v>203</v>
      </c>
      <c r="PFX14" s="314" t="s">
        <v>203</v>
      </c>
      <c r="PFY14" s="314" t="s">
        <v>203</v>
      </c>
      <c r="PFZ14" s="314" t="s">
        <v>203</v>
      </c>
      <c r="PGA14" s="314" t="s">
        <v>203</v>
      </c>
      <c r="PGB14" s="314" t="s">
        <v>203</v>
      </c>
      <c r="PGC14" s="314" t="s">
        <v>203</v>
      </c>
      <c r="PGD14" s="314" t="s">
        <v>203</v>
      </c>
      <c r="PGE14" s="314" t="s">
        <v>203</v>
      </c>
      <c r="PGF14" s="314" t="s">
        <v>203</v>
      </c>
      <c r="PGG14" s="314" t="s">
        <v>203</v>
      </c>
      <c r="PGH14" s="314" t="s">
        <v>203</v>
      </c>
      <c r="PGI14" s="314" t="s">
        <v>203</v>
      </c>
      <c r="PGJ14" s="314" t="s">
        <v>203</v>
      </c>
      <c r="PGK14" s="314" t="s">
        <v>203</v>
      </c>
      <c r="PGL14" s="314" t="s">
        <v>203</v>
      </c>
      <c r="PGM14" s="314" t="s">
        <v>203</v>
      </c>
      <c r="PGN14" s="314" t="s">
        <v>203</v>
      </c>
      <c r="PGO14" s="314" t="s">
        <v>203</v>
      </c>
      <c r="PGP14" s="314" t="s">
        <v>203</v>
      </c>
      <c r="PGQ14" s="314" t="s">
        <v>203</v>
      </c>
      <c r="PGR14" s="314" t="s">
        <v>203</v>
      </c>
      <c r="PGS14" s="314" t="s">
        <v>203</v>
      </c>
      <c r="PGT14" s="314" t="s">
        <v>203</v>
      </c>
      <c r="PGU14" s="314" t="s">
        <v>203</v>
      </c>
      <c r="PGV14" s="314" t="s">
        <v>203</v>
      </c>
      <c r="PGW14" s="314" t="s">
        <v>203</v>
      </c>
      <c r="PGX14" s="314" t="s">
        <v>203</v>
      </c>
      <c r="PGY14" s="314" t="s">
        <v>203</v>
      </c>
      <c r="PGZ14" s="314" t="s">
        <v>203</v>
      </c>
      <c r="PHA14" s="314" t="s">
        <v>203</v>
      </c>
      <c r="PHB14" s="314" t="s">
        <v>203</v>
      </c>
      <c r="PHC14" s="314" t="s">
        <v>203</v>
      </c>
      <c r="PHD14" s="314" t="s">
        <v>203</v>
      </c>
      <c r="PHE14" s="314" t="s">
        <v>203</v>
      </c>
      <c r="PHF14" s="314" t="s">
        <v>203</v>
      </c>
      <c r="PHG14" s="314" t="s">
        <v>203</v>
      </c>
      <c r="PHH14" s="314" t="s">
        <v>203</v>
      </c>
      <c r="PHI14" s="314" t="s">
        <v>203</v>
      </c>
      <c r="PHJ14" s="314" t="s">
        <v>203</v>
      </c>
      <c r="PHK14" s="314" t="s">
        <v>203</v>
      </c>
      <c r="PHL14" s="314" t="s">
        <v>203</v>
      </c>
      <c r="PHM14" s="314" t="s">
        <v>203</v>
      </c>
      <c r="PHN14" s="314" t="s">
        <v>203</v>
      </c>
      <c r="PHO14" s="314" t="s">
        <v>203</v>
      </c>
      <c r="PHP14" s="314" t="s">
        <v>203</v>
      </c>
      <c r="PHQ14" s="314" t="s">
        <v>203</v>
      </c>
      <c r="PHR14" s="314" t="s">
        <v>203</v>
      </c>
      <c r="PHS14" s="314" t="s">
        <v>203</v>
      </c>
      <c r="PHT14" s="314" t="s">
        <v>203</v>
      </c>
      <c r="PHU14" s="314" t="s">
        <v>203</v>
      </c>
      <c r="PHV14" s="314" t="s">
        <v>203</v>
      </c>
      <c r="PHW14" s="314" t="s">
        <v>203</v>
      </c>
      <c r="PHX14" s="314" t="s">
        <v>203</v>
      </c>
      <c r="PHY14" s="314" t="s">
        <v>203</v>
      </c>
      <c r="PHZ14" s="314" t="s">
        <v>203</v>
      </c>
      <c r="PIA14" s="314" t="s">
        <v>203</v>
      </c>
      <c r="PIB14" s="314" t="s">
        <v>203</v>
      </c>
      <c r="PIC14" s="314" t="s">
        <v>203</v>
      </c>
      <c r="PID14" s="314" t="s">
        <v>203</v>
      </c>
      <c r="PIE14" s="314" t="s">
        <v>203</v>
      </c>
      <c r="PIF14" s="314" t="s">
        <v>203</v>
      </c>
      <c r="PIG14" s="314" t="s">
        <v>203</v>
      </c>
      <c r="PIH14" s="314" t="s">
        <v>203</v>
      </c>
      <c r="PII14" s="314" t="s">
        <v>203</v>
      </c>
      <c r="PIJ14" s="314" t="s">
        <v>203</v>
      </c>
      <c r="PIK14" s="314" t="s">
        <v>203</v>
      </c>
      <c r="PIL14" s="314" t="s">
        <v>203</v>
      </c>
      <c r="PIM14" s="314" t="s">
        <v>203</v>
      </c>
      <c r="PIN14" s="314" t="s">
        <v>203</v>
      </c>
      <c r="PIO14" s="314" t="s">
        <v>203</v>
      </c>
      <c r="PIP14" s="314" t="s">
        <v>203</v>
      </c>
      <c r="PIQ14" s="314" t="s">
        <v>203</v>
      </c>
      <c r="PIR14" s="314" t="s">
        <v>203</v>
      </c>
      <c r="PIS14" s="314" t="s">
        <v>203</v>
      </c>
      <c r="PIT14" s="314" t="s">
        <v>203</v>
      </c>
      <c r="PIU14" s="314" t="s">
        <v>203</v>
      </c>
      <c r="PIV14" s="314" t="s">
        <v>203</v>
      </c>
      <c r="PIW14" s="314" t="s">
        <v>203</v>
      </c>
      <c r="PIX14" s="314" t="s">
        <v>203</v>
      </c>
      <c r="PIY14" s="314" t="s">
        <v>203</v>
      </c>
      <c r="PIZ14" s="314" t="s">
        <v>203</v>
      </c>
      <c r="PJA14" s="314" t="s">
        <v>203</v>
      </c>
      <c r="PJB14" s="314" t="s">
        <v>203</v>
      </c>
      <c r="PJC14" s="314" t="s">
        <v>203</v>
      </c>
      <c r="PJD14" s="314" t="s">
        <v>203</v>
      </c>
      <c r="PJE14" s="314" t="s">
        <v>203</v>
      </c>
      <c r="PJF14" s="314" t="s">
        <v>203</v>
      </c>
      <c r="PJG14" s="314" t="s">
        <v>203</v>
      </c>
      <c r="PJH14" s="314" t="s">
        <v>203</v>
      </c>
      <c r="PJI14" s="314" t="s">
        <v>203</v>
      </c>
      <c r="PJJ14" s="314" t="s">
        <v>203</v>
      </c>
      <c r="PJK14" s="314" t="s">
        <v>203</v>
      </c>
      <c r="PJL14" s="314" t="s">
        <v>203</v>
      </c>
      <c r="PJM14" s="314" t="s">
        <v>203</v>
      </c>
      <c r="PJN14" s="314" t="s">
        <v>203</v>
      </c>
      <c r="PJO14" s="314" t="s">
        <v>203</v>
      </c>
      <c r="PJP14" s="314" t="s">
        <v>203</v>
      </c>
      <c r="PJQ14" s="314" t="s">
        <v>203</v>
      </c>
      <c r="PJR14" s="314" t="s">
        <v>203</v>
      </c>
      <c r="PJS14" s="314" t="s">
        <v>203</v>
      </c>
      <c r="PJT14" s="314" t="s">
        <v>203</v>
      </c>
      <c r="PJU14" s="314" t="s">
        <v>203</v>
      </c>
      <c r="PJV14" s="314" t="s">
        <v>203</v>
      </c>
      <c r="PJW14" s="314" t="s">
        <v>203</v>
      </c>
      <c r="PJX14" s="314" t="s">
        <v>203</v>
      </c>
      <c r="PJY14" s="314" t="s">
        <v>203</v>
      </c>
      <c r="PJZ14" s="314" t="s">
        <v>203</v>
      </c>
      <c r="PKA14" s="314" t="s">
        <v>203</v>
      </c>
      <c r="PKB14" s="314" t="s">
        <v>203</v>
      </c>
      <c r="PKC14" s="314" t="s">
        <v>203</v>
      </c>
      <c r="PKD14" s="314" t="s">
        <v>203</v>
      </c>
      <c r="PKE14" s="314" t="s">
        <v>203</v>
      </c>
      <c r="PKF14" s="314" t="s">
        <v>203</v>
      </c>
      <c r="PKG14" s="314" t="s">
        <v>203</v>
      </c>
      <c r="PKH14" s="314" t="s">
        <v>203</v>
      </c>
      <c r="PKI14" s="314" t="s">
        <v>203</v>
      </c>
      <c r="PKJ14" s="314" t="s">
        <v>203</v>
      </c>
      <c r="PKK14" s="314" t="s">
        <v>203</v>
      </c>
      <c r="PKL14" s="314" t="s">
        <v>203</v>
      </c>
      <c r="PKM14" s="314" t="s">
        <v>203</v>
      </c>
      <c r="PKN14" s="314" t="s">
        <v>203</v>
      </c>
      <c r="PKO14" s="314" t="s">
        <v>203</v>
      </c>
      <c r="PKP14" s="314" t="s">
        <v>203</v>
      </c>
      <c r="PKQ14" s="314" t="s">
        <v>203</v>
      </c>
      <c r="PKR14" s="314" t="s">
        <v>203</v>
      </c>
      <c r="PKS14" s="314" t="s">
        <v>203</v>
      </c>
      <c r="PKT14" s="314" t="s">
        <v>203</v>
      </c>
      <c r="PKU14" s="314" t="s">
        <v>203</v>
      </c>
      <c r="PKV14" s="314" t="s">
        <v>203</v>
      </c>
      <c r="PKW14" s="314" t="s">
        <v>203</v>
      </c>
      <c r="PKX14" s="314" t="s">
        <v>203</v>
      </c>
      <c r="PKY14" s="314" t="s">
        <v>203</v>
      </c>
      <c r="PKZ14" s="314" t="s">
        <v>203</v>
      </c>
      <c r="PLA14" s="314" t="s">
        <v>203</v>
      </c>
      <c r="PLB14" s="314" t="s">
        <v>203</v>
      </c>
      <c r="PLC14" s="314" t="s">
        <v>203</v>
      </c>
      <c r="PLD14" s="314" t="s">
        <v>203</v>
      </c>
      <c r="PLE14" s="314" t="s">
        <v>203</v>
      </c>
      <c r="PLF14" s="314" t="s">
        <v>203</v>
      </c>
      <c r="PLG14" s="314" t="s">
        <v>203</v>
      </c>
      <c r="PLH14" s="314" t="s">
        <v>203</v>
      </c>
      <c r="PLI14" s="314" t="s">
        <v>203</v>
      </c>
      <c r="PLJ14" s="314" t="s">
        <v>203</v>
      </c>
      <c r="PLK14" s="314" t="s">
        <v>203</v>
      </c>
      <c r="PLL14" s="314" t="s">
        <v>203</v>
      </c>
      <c r="PLM14" s="314" t="s">
        <v>203</v>
      </c>
      <c r="PLN14" s="314" t="s">
        <v>203</v>
      </c>
      <c r="PLO14" s="314" t="s">
        <v>203</v>
      </c>
      <c r="PLP14" s="314" t="s">
        <v>203</v>
      </c>
      <c r="PLQ14" s="314" t="s">
        <v>203</v>
      </c>
      <c r="PLR14" s="314" t="s">
        <v>203</v>
      </c>
      <c r="PLS14" s="314" t="s">
        <v>203</v>
      </c>
      <c r="PLT14" s="314" t="s">
        <v>203</v>
      </c>
      <c r="PLU14" s="314" t="s">
        <v>203</v>
      </c>
      <c r="PLV14" s="314" t="s">
        <v>203</v>
      </c>
      <c r="PLW14" s="314" t="s">
        <v>203</v>
      </c>
      <c r="PLX14" s="314" t="s">
        <v>203</v>
      </c>
      <c r="PLY14" s="314" t="s">
        <v>203</v>
      </c>
      <c r="PLZ14" s="314" t="s">
        <v>203</v>
      </c>
      <c r="PMA14" s="314" t="s">
        <v>203</v>
      </c>
      <c r="PMB14" s="314" t="s">
        <v>203</v>
      </c>
      <c r="PMC14" s="314" t="s">
        <v>203</v>
      </c>
      <c r="PMD14" s="314" t="s">
        <v>203</v>
      </c>
      <c r="PME14" s="314" t="s">
        <v>203</v>
      </c>
      <c r="PMF14" s="314" t="s">
        <v>203</v>
      </c>
      <c r="PMG14" s="314" t="s">
        <v>203</v>
      </c>
      <c r="PMH14" s="314" t="s">
        <v>203</v>
      </c>
      <c r="PMI14" s="314" t="s">
        <v>203</v>
      </c>
      <c r="PMJ14" s="314" t="s">
        <v>203</v>
      </c>
      <c r="PMK14" s="314" t="s">
        <v>203</v>
      </c>
      <c r="PML14" s="314" t="s">
        <v>203</v>
      </c>
      <c r="PMM14" s="314" t="s">
        <v>203</v>
      </c>
      <c r="PMN14" s="314" t="s">
        <v>203</v>
      </c>
      <c r="PMO14" s="314" t="s">
        <v>203</v>
      </c>
      <c r="PMP14" s="314" t="s">
        <v>203</v>
      </c>
      <c r="PMQ14" s="314" t="s">
        <v>203</v>
      </c>
      <c r="PMR14" s="314" t="s">
        <v>203</v>
      </c>
      <c r="PMS14" s="314" t="s">
        <v>203</v>
      </c>
      <c r="PMT14" s="314" t="s">
        <v>203</v>
      </c>
      <c r="PMU14" s="314" t="s">
        <v>203</v>
      </c>
      <c r="PMV14" s="314" t="s">
        <v>203</v>
      </c>
      <c r="PMW14" s="314" t="s">
        <v>203</v>
      </c>
      <c r="PMX14" s="314" t="s">
        <v>203</v>
      </c>
      <c r="PMY14" s="314" t="s">
        <v>203</v>
      </c>
      <c r="PMZ14" s="314" t="s">
        <v>203</v>
      </c>
      <c r="PNA14" s="314" t="s">
        <v>203</v>
      </c>
      <c r="PNB14" s="314" t="s">
        <v>203</v>
      </c>
      <c r="PNC14" s="314" t="s">
        <v>203</v>
      </c>
      <c r="PND14" s="314" t="s">
        <v>203</v>
      </c>
      <c r="PNE14" s="314" t="s">
        <v>203</v>
      </c>
      <c r="PNF14" s="314" t="s">
        <v>203</v>
      </c>
      <c r="PNG14" s="314" t="s">
        <v>203</v>
      </c>
      <c r="PNH14" s="314" t="s">
        <v>203</v>
      </c>
      <c r="PNI14" s="314" t="s">
        <v>203</v>
      </c>
      <c r="PNJ14" s="314" t="s">
        <v>203</v>
      </c>
      <c r="PNK14" s="314" t="s">
        <v>203</v>
      </c>
      <c r="PNL14" s="314" t="s">
        <v>203</v>
      </c>
      <c r="PNM14" s="314" t="s">
        <v>203</v>
      </c>
      <c r="PNN14" s="314" t="s">
        <v>203</v>
      </c>
      <c r="PNO14" s="314" t="s">
        <v>203</v>
      </c>
      <c r="PNP14" s="314" t="s">
        <v>203</v>
      </c>
      <c r="PNQ14" s="314" t="s">
        <v>203</v>
      </c>
      <c r="PNR14" s="314" t="s">
        <v>203</v>
      </c>
      <c r="PNS14" s="314" t="s">
        <v>203</v>
      </c>
      <c r="PNT14" s="314" t="s">
        <v>203</v>
      </c>
      <c r="PNU14" s="314" t="s">
        <v>203</v>
      </c>
      <c r="PNV14" s="314" t="s">
        <v>203</v>
      </c>
      <c r="PNW14" s="314" t="s">
        <v>203</v>
      </c>
      <c r="PNX14" s="314" t="s">
        <v>203</v>
      </c>
      <c r="PNY14" s="314" t="s">
        <v>203</v>
      </c>
      <c r="PNZ14" s="314" t="s">
        <v>203</v>
      </c>
      <c r="POA14" s="314" t="s">
        <v>203</v>
      </c>
      <c r="POB14" s="314" t="s">
        <v>203</v>
      </c>
      <c r="POC14" s="314" t="s">
        <v>203</v>
      </c>
      <c r="POD14" s="314" t="s">
        <v>203</v>
      </c>
      <c r="POE14" s="314" t="s">
        <v>203</v>
      </c>
      <c r="POF14" s="314" t="s">
        <v>203</v>
      </c>
      <c r="POG14" s="314" t="s">
        <v>203</v>
      </c>
      <c r="POH14" s="314" t="s">
        <v>203</v>
      </c>
      <c r="POI14" s="314" t="s">
        <v>203</v>
      </c>
      <c r="POJ14" s="314" t="s">
        <v>203</v>
      </c>
      <c r="POK14" s="314" t="s">
        <v>203</v>
      </c>
      <c r="POL14" s="314" t="s">
        <v>203</v>
      </c>
      <c r="POM14" s="314" t="s">
        <v>203</v>
      </c>
      <c r="PON14" s="314" t="s">
        <v>203</v>
      </c>
      <c r="POO14" s="314" t="s">
        <v>203</v>
      </c>
      <c r="POP14" s="314" t="s">
        <v>203</v>
      </c>
      <c r="POQ14" s="314" t="s">
        <v>203</v>
      </c>
      <c r="POR14" s="314" t="s">
        <v>203</v>
      </c>
      <c r="POS14" s="314" t="s">
        <v>203</v>
      </c>
      <c r="POT14" s="314" t="s">
        <v>203</v>
      </c>
      <c r="POU14" s="314" t="s">
        <v>203</v>
      </c>
      <c r="POV14" s="314" t="s">
        <v>203</v>
      </c>
      <c r="POW14" s="314" t="s">
        <v>203</v>
      </c>
      <c r="POX14" s="314" t="s">
        <v>203</v>
      </c>
      <c r="POY14" s="314" t="s">
        <v>203</v>
      </c>
      <c r="POZ14" s="314" t="s">
        <v>203</v>
      </c>
      <c r="PPA14" s="314" t="s">
        <v>203</v>
      </c>
      <c r="PPB14" s="314" t="s">
        <v>203</v>
      </c>
      <c r="PPC14" s="314" t="s">
        <v>203</v>
      </c>
      <c r="PPD14" s="314" t="s">
        <v>203</v>
      </c>
      <c r="PPE14" s="314" t="s">
        <v>203</v>
      </c>
      <c r="PPF14" s="314" t="s">
        <v>203</v>
      </c>
      <c r="PPG14" s="314" t="s">
        <v>203</v>
      </c>
      <c r="PPH14" s="314" t="s">
        <v>203</v>
      </c>
      <c r="PPI14" s="314" t="s">
        <v>203</v>
      </c>
      <c r="PPJ14" s="314" t="s">
        <v>203</v>
      </c>
      <c r="PPK14" s="314" t="s">
        <v>203</v>
      </c>
      <c r="PPL14" s="314" t="s">
        <v>203</v>
      </c>
      <c r="PPM14" s="314" t="s">
        <v>203</v>
      </c>
      <c r="PPN14" s="314" t="s">
        <v>203</v>
      </c>
      <c r="PPO14" s="314" t="s">
        <v>203</v>
      </c>
      <c r="PPP14" s="314" t="s">
        <v>203</v>
      </c>
      <c r="PPQ14" s="314" t="s">
        <v>203</v>
      </c>
      <c r="PPR14" s="314" t="s">
        <v>203</v>
      </c>
      <c r="PPS14" s="314" t="s">
        <v>203</v>
      </c>
      <c r="PPT14" s="314" t="s">
        <v>203</v>
      </c>
      <c r="PPU14" s="314" t="s">
        <v>203</v>
      </c>
      <c r="PPV14" s="314" t="s">
        <v>203</v>
      </c>
      <c r="PPW14" s="314" t="s">
        <v>203</v>
      </c>
      <c r="PPX14" s="314" t="s">
        <v>203</v>
      </c>
      <c r="PPY14" s="314" t="s">
        <v>203</v>
      </c>
      <c r="PPZ14" s="314" t="s">
        <v>203</v>
      </c>
      <c r="PQA14" s="314" t="s">
        <v>203</v>
      </c>
      <c r="PQB14" s="314" t="s">
        <v>203</v>
      </c>
      <c r="PQC14" s="314" t="s">
        <v>203</v>
      </c>
      <c r="PQD14" s="314" t="s">
        <v>203</v>
      </c>
      <c r="PQE14" s="314" t="s">
        <v>203</v>
      </c>
      <c r="PQF14" s="314" t="s">
        <v>203</v>
      </c>
      <c r="PQG14" s="314" t="s">
        <v>203</v>
      </c>
      <c r="PQH14" s="314" t="s">
        <v>203</v>
      </c>
      <c r="PQI14" s="314" t="s">
        <v>203</v>
      </c>
      <c r="PQJ14" s="314" t="s">
        <v>203</v>
      </c>
      <c r="PQK14" s="314" t="s">
        <v>203</v>
      </c>
      <c r="PQL14" s="314" t="s">
        <v>203</v>
      </c>
      <c r="PQM14" s="314" t="s">
        <v>203</v>
      </c>
      <c r="PQN14" s="314" t="s">
        <v>203</v>
      </c>
      <c r="PQO14" s="314" t="s">
        <v>203</v>
      </c>
      <c r="PQP14" s="314" t="s">
        <v>203</v>
      </c>
      <c r="PQQ14" s="314" t="s">
        <v>203</v>
      </c>
      <c r="PQR14" s="314" t="s">
        <v>203</v>
      </c>
      <c r="PQS14" s="314" t="s">
        <v>203</v>
      </c>
      <c r="PQT14" s="314" t="s">
        <v>203</v>
      </c>
      <c r="PQU14" s="314" t="s">
        <v>203</v>
      </c>
      <c r="PQV14" s="314" t="s">
        <v>203</v>
      </c>
      <c r="PQW14" s="314" t="s">
        <v>203</v>
      </c>
      <c r="PQX14" s="314" t="s">
        <v>203</v>
      </c>
      <c r="PQY14" s="314" t="s">
        <v>203</v>
      </c>
      <c r="PQZ14" s="314" t="s">
        <v>203</v>
      </c>
      <c r="PRA14" s="314" t="s">
        <v>203</v>
      </c>
      <c r="PRB14" s="314" t="s">
        <v>203</v>
      </c>
      <c r="PRC14" s="314" t="s">
        <v>203</v>
      </c>
      <c r="PRD14" s="314" t="s">
        <v>203</v>
      </c>
      <c r="PRE14" s="314" t="s">
        <v>203</v>
      </c>
      <c r="PRF14" s="314" t="s">
        <v>203</v>
      </c>
      <c r="PRG14" s="314" t="s">
        <v>203</v>
      </c>
      <c r="PRH14" s="314" t="s">
        <v>203</v>
      </c>
      <c r="PRI14" s="314" t="s">
        <v>203</v>
      </c>
      <c r="PRJ14" s="314" t="s">
        <v>203</v>
      </c>
      <c r="PRK14" s="314" t="s">
        <v>203</v>
      </c>
      <c r="PRL14" s="314" t="s">
        <v>203</v>
      </c>
      <c r="PRM14" s="314" t="s">
        <v>203</v>
      </c>
      <c r="PRN14" s="314" t="s">
        <v>203</v>
      </c>
      <c r="PRO14" s="314" t="s">
        <v>203</v>
      </c>
      <c r="PRP14" s="314" t="s">
        <v>203</v>
      </c>
      <c r="PRQ14" s="314" t="s">
        <v>203</v>
      </c>
      <c r="PRR14" s="314" t="s">
        <v>203</v>
      </c>
      <c r="PRS14" s="314" t="s">
        <v>203</v>
      </c>
      <c r="PRT14" s="314" t="s">
        <v>203</v>
      </c>
      <c r="PRU14" s="314" t="s">
        <v>203</v>
      </c>
      <c r="PRV14" s="314" t="s">
        <v>203</v>
      </c>
      <c r="PRW14" s="314" t="s">
        <v>203</v>
      </c>
      <c r="PRX14" s="314" t="s">
        <v>203</v>
      </c>
      <c r="PRY14" s="314" t="s">
        <v>203</v>
      </c>
      <c r="PRZ14" s="314" t="s">
        <v>203</v>
      </c>
      <c r="PSA14" s="314" t="s">
        <v>203</v>
      </c>
      <c r="PSB14" s="314" t="s">
        <v>203</v>
      </c>
      <c r="PSC14" s="314" t="s">
        <v>203</v>
      </c>
      <c r="PSD14" s="314" t="s">
        <v>203</v>
      </c>
      <c r="PSE14" s="314" t="s">
        <v>203</v>
      </c>
      <c r="PSF14" s="314" t="s">
        <v>203</v>
      </c>
      <c r="PSG14" s="314" t="s">
        <v>203</v>
      </c>
      <c r="PSH14" s="314" t="s">
        <v>203</v>
      </c>
      <c r="PSI14" s="314" t="s">
        <v>203</v>
      </c>
      <c r="PSJ14" s="314" t="s">
        <v>203</v>
      </c>
      <c r="PSK14" s="314" t="s">
        <v>203</v>
      </c>
      <c r="PSL14" s="314" t="s">
        <v>203</v>
      </c>
      <c r="PSM14" s="314" t="s">
        <v>203</v>
      </c>
      <c r="PSN14" s="314" t="s">
        <v>203</v>
      </c>
      <c r="PSO14" s="314" t="s">
        <v>203</v>
      </c>
      <c r="PSP14" s="314" t="s">
        <v>203</v>
      </c>
      <c r="PSQ14" s="314" t="s">
        <v>203</v>
      </c>
      <c r="PSR14" s="314" t="s">
        <v>203</v>
      </c>
      <c r="PSS14" s="314" t="s">
        <v>203</v>
      </c>
      <c r="PST14" s="314" t="s">
        <v>203</v>
      </c>
      <c r="PSU14" s="314" t="s">
        <v>203</v>
      </c>
      <c r="PSV14" s="314" t="s">
        <v>203</v>
      </c>
      <c r="PSW14" s="314" t="s">
        <v>203</v>
      </c>
      <c r="PSX14" s="314" t="s">
        <v>203</v>
      </c>
      <c r="PSY14" s="314" t="s">
        <v>203</v>
      </c>
      <c r="PSZ14" s="314" t="s">
        <v>203</v>
      </c>
      <c r="PTA14" s="314" t="s">
        <v>203</v>
      </c>
      <c r="PTB14" s="314" t="s">
        <v>203</v>
      </c>
      <c r="PTC14" s="314" t="s">
        <v>203</v>
      </c>
      <c r="PTD14" s="314" t="s">
        <v>203</v>
      </c>
      <c r="PTE14" s="314" t="s">
        <v>203</v>
      </c>
      <c r="PTF14" s="314" t="s">
        <v>203</v>
      </c>
      <c r="PTG14" s="314" t="s">
        <v>203</v>
      </c>
      <c r="PTH14" s="314" t="s">
        <v>203</v>
      </c>
      <c r="PTI14" s="314" t="s">
        <v>203</v>
      </c>
      <c r="PTJ14" s="314" t="s">
        <v>203</v>
      </c>
      <c r="PTK14" s="314" t="s">
        <v>203</v>
      </c>
      <c r="PTL14" s="314" t="s">
        <v>203</v>
      </c>
      <c r="PTM14" s="314" t="s">
        <v>203</v>
      </c>
      <c r="PTN14" s="314" t="s">
        <v>203</v>
      </c>
      <c r="PTO14" s="314" t="s">
        <v>203</v>
      </c>
      <c r="PTP14" s="314" t="s">
        <v>203</v>
      </c>
      <c r="PTQ14" s="314" t="s">
        <v>203</v>
      </c>
      <c r="PTR14" s="314" t="s">
        <v>203</v>
      </c>
      <c r="PTS14" s="314" t="s">
        <v>203</v>
      </c>
      <c r="PTT14" s="314" t="s">
        <v>203</v>
      </c>
      <c r="PTU14" s="314" t="s">
        <v>203</v>
      </c>
      <c r="PTV14" s="314" t="s">
        <v>203</v>
      </c>
      <c r="PTW14" s="314" t="s">
        <v>203</v>
      </c>
      <c r="PTX14" s="314" t="s">
        <v>203</v>
      </c>
      <c r="PTY14" s="314" t="s">
        <v>203</v>
      </c>
      <c r="PTZ14" s="314" t="s">
        <v>203</v>
      </c>
      <c r="PUA14" s="314" t="s">
        <v>203</v>
      </c>
      <c r="PUB14" s="314" t="s">
        <v>203</v>
      </c>
      <c r="PUC14" s="314" t="s">
        <v>203</v>
      </c>
      <c r="PUD14" s="314" t="s">
        <v>203</v>
      </c>
      <c r="PUE14" s="314" t="s">
        <v>203</v>
      </c>
      <c r="PUF14" s="314" t="s">
        <v>203</v>
      </c>
      <c r="PUG14" s="314" t="s">
        <v>203</v>
      </c>
      <c r="PUH14" s="314" t="s">
        <v>203</v>
      </c>
      <c r="PUI14" s="314" t="s">
        <v>203</v>
      </c>
      <c r="PUJ14" s="314" t="s">
        <v>203</v>
      </c>
      <c r="PUK14" s="314" t="s">
        <v>203</v>
      </c>
      <c r="PUL14" s="314" t="s">
        <v>203</v>
      </c>
      <c r="PUM14" s="314" t="s">
        <v>203</v>
      </c>
      <c r="PUN14" s="314" t="s">
        <v>203</v>
      </c>
      <c r="PUO14" s="314" t="s">
        <v>203</v>
      </c>
      <c r="PUP14" s="314" t="s">
        <v>203</v>
      </c>
      <c r="PUQ14" s="314" t="s">
        <v>203</v>
      </c>
      <c r="PUR14" s="314" t="s">
        <v>203</v>
      </c>
      <c r="PUS14" s="314" t="s">
        <v>203</v>
      </c>
      <c r="PUT14" s="314" t="s">
        <v>203</v>
      </c>
      <c r="PUU14" s="314" t="s">
        <v>203</v>
      </c>
      <c r="PUV14" s="314" t="s">
        <v>203</v>
      </c>
      <c r="PUW14" s="314" t="s">
        <v>203</v>
      </c>
      <c r="PUX14" s="314" t="s">
        <v>203</v>
      </c>
      <c r="PUY14" s="314" t="s">
        <v>203</v>
      </c>
      <c r="PUZ14" s="314" t="s">
        <v>203</v>
      </c>
      <c r="PVA14" s="314" t="s">
        <v>203</v>
      </c>
      <c r="PVB14" s="314" t="s">
        <v>203</v>
      </c>
      <c r="PVC14" s="314" t="s">
        <v>203</v>
      </c>
      <c r="PVD14" s="314" t="s">
        <v>203</v>
      </c>
      <c r="PVE14" s="314" t="s">
        <v>203</v>
      </c>
      <c r="PVF14" s="314" t="s">
        <v>203</v>
      </c>
      <c r="PVG14" s="314" t="s">
        <v>203</v>
      </c>
      <c r="PVH14" s="314" t="s">
        <v>203</v>
      </c>
      <c r="PVI14" s="314" t="s">
        <v>203</v>
      </c>
      <c r="PVJ14" s="314" t="s">
        <v>203</v>
      </c>
      <c r="PVK14" s="314" t="s">
        <v>203</v>
      </c>
      <c r="PVL14" s="314" t="s">
        <v>203</v>
      </c>
      <c r="PVM14" s="314" t="s">
        <v>203</v>
      </c>
      <c r="PVN14" s="314" t="s">
        <v>203</v>
      </c>
      <c r="PVO14" s="314" t="s">
        <v>203</v>
      </c>
      <c r="PVP14" s="314" t="s">
        <v>203</v>
      </c>
      <c r="PVQ14" s="314" t="s">
        <v>203</v>
      </c>
      <c r="PVR14" s="314" t="s">
        <v>203</v>
      </c>
      <c r="PVS14" s="314" t="s">
        <v>203</v>
      </c>
      <c r="PVT14" s="314" t="s">
        <v>203</v>
      </c>
      <c r="PVU14" s="314" t="s">
        <v>203</v>
      </c>
      <c r="PVV14" s="314" t="s">
        <v>203</v>
      </c>
      <c r="PVW14" s="314" t="s">
        <v>203</v>
      </c>
      <c r="PVX14" s="314" t="s">
        <v>203</v>
      </c>
      <c r="PVY14" s="314" t="s">
        <v>203</v>
      </c>
      <c r="PVZ14" s="314" t="s">
        <v>203</v>
      </c>
      <c r="PWA14" s="314" t="s">
        <v>203</v>
      </c>
      <c r="PWB14" s="314" t="s">
        <v>203</v>
      </c>
      <c r="PWC14" s="314" t="s">
        <v>203</v>
      </c>
      <c r="PWD14" s="314" t="s">
        <v>203</v>
      </c>
      <c r="PWE14" s="314" t="s">
        <v>203</v>
      </c>
      <c r="PWF14" s="314" t="s">
        <v>203</v>
      </c>
      <c r="PWG14" s="314" t="s">
        <v>203</v>
      </c>
      <c r="PWH14" s="314" t="s">
        <v>203</v>
      </c>
      <c r="PWI14" s="314" t="s">
        <v>203</v>
      </c>
      <c r="PWJ14" s="314" t="s">
        <v>203</v>
      </c>
      <c r="PWK14" s="314" t="s">
        <v>203</v>
      </c>
      <c r="PWL14" s="314" t="s">
        <v>203</v>
      </c>
      <c r="PWM14" s="314" t="s">
        <v>203</v>
      </c>
      <c r="PWN14" s="314" t="s">
        <v>203</v>
      </c>
      <c r="PWO14" s="314" t="s">
        <v>203</v>
      </c>
      <c r="PWP14" s="314" t="s">
        <v>203</v>
      </c>
      <c r="PWQ14" s="314" t="s">
        <v>203</v>
      </c>
      <c r="PWR14" s="314" t="s">
        <v>203</v>
      </c>
      <c r="PWS14" s="314" t="s">
        <v>203</v>
      </c>
      <c r="PWT14" s="314" t="s">
        <v>203</v>
      </c>
      <c r="PWU14" s="314" t="s">
        <v>203</v>
      </c>
      <c r="PWV14" s="314" t="s">
        <v>203</v>
      </c>
      <c r="PWW14" s="314" t="s">
        <v>203</v>
      </c>
      <c r="PWX14" s="314" t="s">
        <v>203</v>
      </c>
      <c r="PWY14" s="314" t="s">
        <v>203</v>
      </c>
      <c r="PWZ14" s="314" t="s">
        <v>203</v>
      </c>
      <c r="PXA14" s="314" t="s">
        <v>203</v>
      </c>
      <c r="PXB14" s="314" t="s">
        <v>203</v>
      </c>
      <c r="PXC14" s="314" t="s">
        <v>203</v>
      </c>
      <c r="PXD14" s="314" t="s">
        <v>203</v>
      </c>
      <c r="PXE14" s="314" t="s">
        <v>203</v>
      </c>
      <c r="PXF14" s="314" t="s">
        <v>203</v>
      </c>
      <c r="PXG14" s="314" t="s">
        <v>203</v>
      </c>
      <c r="PXH14" s="314" t="s">
        <v>203</v>
      </c>
      <c r="PXI14" s="314" t="s">
        <v>203</v>
      </c>
      <c r="PXJ14" s="314" t="s">
        <v>203</v>
      </c>
      <c r="PXK14" s="314" t="s">
        <v>203</v>
      </c>
      <c r="PXL14" s="314" t="s">
        <v>203</v>
      </c>
      <c r="PXM14" s="314" t="s">
        <v>203</v>
      </c>
      <c r="PXN14" s="314" t="s">
        <v>203</v>
      </c>
      <c r="PXO14" s="314" t="s">
        <v>203</v>
      </c>
      <c r="PXP14" s="314" t="s">
        <v>203</v>
      </c>
      <c r="PXQ14" s="314" t="s">
        <v>203</v>
      </c>
      <c r="PXR14" s="314" t="s">
        <v>203</v>
      </c>
      <c r="PXS14" s="314" t="s">
        <v>203</v>
      </c>
      <c r="PXT14" s="314" t="s">
        <v>203</v>
      </c>
      <c r="PXU14" s="314" t="s">
        <v>203</v>
      </c>
      <c r="PXV14" s="314" t="s">
        <v>203</v>
      </c>
      <c r="PXW14" s="314" t="s">
        <v>203</v>
      </c>
      <c r="PXX14" s="314" t="s">
        <v>203</v>
      </c>
      <c r="PXY14" s="314" t="s">
        <v>203</v>
      </c>
      <c r="PXZ14" s="314" t="s">
        <v>203</v>
      </c>
      <c r="PYA14" s="314" t="s">
        <v>203</v>
      </c>
      <c r="PYB14" s="314" t="s">
        <v>203</v>
      </c>
      <c r="PYC14" s="314" t="s">
        <v>203</v>
      </c>
      <c r="PYD14" s="314" t="s">
        <v>203</v>
      </c>
      <c r="PYE14" s="314" t="s">
        <v>203</v>
      </c>
      <c r="PYF14" s="314" t="s">
        <v>203</v>
      </c>
      <c r="PYG14" s="314" t="s">
        <v>203</v>
      </c>
      <c r="PYH14" s="314" t="s">
        <v>203</v>
      </c>
      <c r="PYI14" s="314" t="s">
        <v>203</v>
      </c>
      <c r="PYJ14" s="314" t="s">
        <v>203</v>
      </c>
      <c r="PYK14" s="314" t="s">
        <v>203</v>
      </c>
      <c r="PYL14" s="314" t="s">
        <v>203</v>
      </c>
      <c r="PYM14" s="314" t="s">
        <v>203</v>
      </c>
      <c r="PYN14" s="314" t="s">
        <v>203</v>
      </c>
      <c r="PYO14" s="314" t="s">
        <v>203</v>
      </c>
      <c r="PYP14" s="314" t="s">
        <v>203</v>
      </c>
      <c r="PYQ14" s="314" t="s">
        <v>203</v>
      </c>
      <c r="PYR14" s="314" t="s">
        <v>203</v>
      </c>
      <c r="PYS14" s="314" t="s">
        <v>203</v>
      </c>
      <c r="PYT14" s="314" t="s">
        <v>203</v>
      </c>
      <c r="PYU14" s="314" t="s">
        <v>203</v>
      </c>
      <c r="PYV14" s="314" t="s">
        <v>203</v>
      </c>
      <c r="PYW14" s="314" t="s">
        <v>203</v>
      </c>
      <c r="PYX14" s="314" t="s">
        <v>203</v>
      </c>
      <c r="PYY14" s="314" t="s">
        <v>203</v>
      </c>
      <c r="PYZ14" s="314" t="s">
        <v>203</v>
      </c>
      <c r="PZA14" s="314" t="s">
        <v>203</v>
      </c>
      <c r="PZB14" s="314" t="s">
        <v>203</v>
      </c>
      <c r="PZC14" s="314" t="s">
        <v>203</v>
      </c>
      <c r="PZD14" s="314" t="s">
        <v>203</v>
      </c>
      <c r="PZE14" s="314" t="s">
        <v>203</v>
      </c>
      <c r="PZF14" s="314" t="s">
        <v>203</v>
      </c>
      <c r="PZG14" s="314" t="s">
        <v>203</v>
      </c>
      <c r="PZH14" s="314" t="s">
        <v>203</v>
      </c>
      <c r="PZI14" s="314" t="s">
        <v>203</v>
      </c>
      <c r="PZJ14" s="314" t="s">
        <v>203</v>
      </c>
      <c r="PZK14" s="314" t="s">
        <v>203</v>
      </c>
      <c r="PZL14" s="314" t="s">
        <v>203</v>
      </c>
      <c r="PZM14" s="314" t="s">
        <v>203</v>
      </c>
      <c r="PZN14" s="314" t="s">
        <v>203</v>
      </c>
      <c r="PZO14" s="314" t="s">
        <v>203</v>
      </c>
      <c r="PZP14" s="314" t="s">
        <v>203</v>
      </c>
      <c r="PZQ14" s="314" t="s">
        <v>203</v>
      </c>
      <c r="PZR14" s="314" t="s">
        <v>203</v>
      </c>
      <c r="PZS14" s="314" t="s">
        <v>203</v>
      </c>
      <c r="PZT14" s="314" t="s">
        <v>203</v>
      </c>
      <c r="PZU14" s="314" t="s">
        <v>203</v>
      </c>
      <c r="PZV14" s="314" t="s">
        <v>203</v>
      </c>
      <c r="PZW14" s="314" t="s">
        <v>203</v>
      </c>
      <c r="PZX14" s="314" t="s">
        <v>203</v>
      </c>
      <c r="PZY14" s="314" t="s">
        <v>203</v>
      </c>
      <c r="PZZ14" s="314" t="s">
        <v>203</v>
      </c>
      <c r="QAA14" s="314" t="s">
        <v>203</v>
      </c>
      <c r="QAB14" s="314" t="s">
        <v>203</v>
      </c>
      <c r="QAC14" s="314" t="s">
        <v>203</v>
      </c>
      <c r="QAD14" s="314" t="s">
        <v>203</v>
      </c>
      <c r="QAE14" s="314" t="s">
        <v>203</v>
      </c>
      <c r="QAF14" s="314" t="s">
        <v>203</v>
      </c>
      <c r="QAG14" s="314" t="s">
        <v>203</v>
      </c>
      <c r="QAH14" s="314" t="s">
        <v>203</v>
      </c>
      <c r="QAI14" s="314" t="s">
        <v>203</v>
      </c>
      <c r="QAJ14" s="314" t="s">
        <v>203</v>
      </c>
      <c r="QAK14" s="314" t="s">
        <v>203</v>
      </c>
      <c r="QAL14" s="314" t="s">
        <v>203</v>
      </c>
      <c r="QAM14" s="314" t="s">
        <v>203</v>
      </c>
      <c r="QAN14" s="314" t="s">
        <v>203</v>
      </c>
      <c r="QAO14" s="314" t="s">
        <v>203</v>
      </c>
      <c r="QAP14" s="314" t="s">
        <v>203</v>
      </c>
      <c r="QAQ14" s="314" t="s">
        <v>203</v>
      </c>
      <c r="QAR14" s="314" t="s">
        <v>203</v>
      </c>
      <c r="QAS14" s="314" t="s">
        <v>203</v>
      </c>
      <c r="QAT14" s="314" t="s">
        <v>203</v>
      </c>
      <c r="QAU14" s="314" t="s">
        <v>203</v>
      </c>
      <c r="QAV14" s="314" t="s">
        <v>203</v>
      </c>
      <c r="QAW14" s="314" t="s">
        <v>203</v>
      </c>
      <c r="QAX14" s="314" t="s">
        <v>203</v>
      </c>
      <c r="QAY14" s="314" t="s">
        <v>203</v>
      </c>
      <c r="QAZ14" s="314" t="s">
        <v>203</v>
      </c>
      <c r="QBA14" s="314" t="s">
        <v>203</v>
      </c>
      <c r="QBB14" s="314" t="s">
        <v>203</v>
      </c>
      <c r="QBC14" s="314" t="s">
        <v>203</v>
      </c>
      <c r="QBD14" s="314" t="s">
        <v>203</v>
      </c>
      <c r="QBE14" s="314" t="s">
        <v>203</v>
      </c>
      <c r="QBF14" s="314" t="s">
        <v>203</v>
      </c>
      <c r="QBG14" s="314" t="s">
        <v>203</v>
      </c>
      <c r="QBH14" s="314" t="s">
        <v>203</v>
      </c>
      <c r="QBI14" s="314" t="s">
        <v>203</v>
      </c>
      <c r="QBJ14" s="314" t="s">
        <v>203</v>
      </c>
      <c r="QBK14" s="314" t="s">
        <v>203</v>
      </c>
      <c r="QBL14" s="314" t="s">
        <v>203</v>
      </c>
      <c r="QBM14" s="314" t="s">
        <v>203</v>
      </c>
      <c r="QBN14" s="314" t="s">
        <v>203</v>
      </c>
      <c r="QBO14" s="314" t="s">
        <v>203</v>
      </c>
      <c r="QBP14" s="314" t="s">
        <v>203</v>
      </c>
      <c r="QBQ14" s="314" t="s">
        <v>203</v>
      </c>
      <c r="QBR14" s="314" t="s">
        <v>203</v>
      </c>
      <c r="QBS14" s="314" t="s">
        <v>203</v>
      </c>
      <c r="QBT14" s="314" t="s">
        <v>203</v>
      </c>
      <c r="QBU14" s="314" t="s">
        <v>203</v>
      </c>
      <c r="QBV14" s="314" t="s">
        <v>203</v>
      </c>
      <c r="QBW14" s="314" t="s">
        <v>203</v>
      </c>
      <c r="QBX14" s="314" t="s">
        <v>203</v>
      </c>
      <c r="QBY14" s="314" t="s">
        <v>203</v>
      </c>
      <c r="QBZ14" s="314" t="s">
        <v>203</v>
      </c>
      <c r="QCA14" s="314" t="s">
        <v>203</v>
      </c>
      <c r="QCB14" s="314" t="s">
        <v>203</v>
      </c>
      <c r="QCC14" s="314" t="s">
        <v>203</v>
      </c>
      <c r="QCD14" s="314" t="s">
        <v>203</v>
      </c>
      <c r="QCE14" s="314" t="s">
        <v>203</v>
      </c>
      <c r="QCF14" s="314" t="s">
        <v>203</v>
      </c>
      <c r="QCG14" s="314" t="s">
        <v>203</v>
      </c>
      <c r="QCH14" s="314" t="s">
        <v>203</v>
      </c>
      <c r="QCI14" s="314" t="s">
        <v>203</v>
      </c>
      <c r="QCJ14" s="314" t="s">
        <v>203</v>
      </c>
      <c r="QCK14" s="314" t="s">
        <v>203</v>
      </c>
      <c r="QCL14" s="314" t="s">
        <v>203</v>
      </c>
      <c r="QCM14" s="314" t="s">
        <v>203</v>
      </c>
      <c r="QCN14" s="314" t="s">
        <v>203</v>
      </c>
      <c r="QCO14" s="314" t="s">
        <v>203</v>
      </c>
      <c r="QCP14" s="314" t="s">
        <v>203</v>
      </c>
      <c r="QCQ14" s="314" t="s">
        <v>203</v>
      </c>
      <c r="QCR14" s="314" t="s">
        <v>203</v>
      </c>
      <c r="QCS14" s="314" t="s">
        <v>203</v>
      </c>
      <c r="QCT14" s="314" t="s">
        <v>203</v>
      </c>
      <c r="QCU14" s="314" t="s">
        <v>203</v>
      </c>
      <c r="QCV14" s="314" t="s">
        <v>203</v>
      </c>
      <c r="QCW14" s="314" t="s">
        <v>203</v>
      </c>
      <c r="QCX14" s="314" t="s">
        <v>203</v>
      </c>
      <c r="QCY14" s="314" t="s">
        <v>203</v>
      </c>
      <c r="QCZ14" s="314" t="s">
        <v>203</v>
      </c>
      <c r="QDA14" s="314" t="s">
        <v>203</v>
      </c>
      <c r="QDB14" s="314" t="s">
        <v>203</v>
      </c>
      <c r="QDC14" s="314" t="s">
        <v>203</v>
      </c>
      <c r="QDD14" s="314" t="s">
        <v>203</v>
      </c>
      <c r="QDE14" s="314" t="s">
        <v>203</v>
      </c>
      <c r="QDF14" s="314" t="s">
        <v>203</v>
      </c>
      <c r="QDG14" s="314" t="s">
        <v>203</v>
      </c>
      <c r="QDH14" s="314" t="s">
        <v>203</v>
      </c>
      <c r="QDI14" s="314" t="s">
        <v>203</v>
      </c>
      <c r="QDJ14" s="314" t="s">
        <v>203</v>
      </c>
      <c r="QDK14" s="314" t="s">
        <v>203</v>
      </c>
      <c r="QDL14" s="314" t="s">
        <v>203</v>
      </c>
      <c r="QDM14" s="314" t="s">
        <v>203</v>
      </c>
      <c r="QDN14" s="314" t="s">
        <v>203</v>
      </c>
      <c r="QDO14" s="314" t="s">
        <v>203</v>
      </c>
      <c r="QDP14" s="314" t="s">
        <v>203</v>
      </c>
      <c r="QDQ14" s="314" t="s">
        <v>203</v>
      </c>
      <c r="QDR14" s="314" t="s">
        <v>203</v>
      </c>
      <c r="QDS14" s="314" t="s">
        <v>203</v>
      </c>
      <c r="QDT14" s="314" t="s">
        <v>203</v>
      </c>
      <c r="QDU14" s="314" t="s">
        <v>203</v>
      </c>
      <c r="QDV14" s="314" t="s">
        <v>203</v>
      </c>
      <c r="QDW14" s="314" t="s">
        <v>203</v>
      </c>
      <c r="QDX14" s="314" t="s">
        <v>203</v>
      </c>
      <c r="QDY14" s="314" t="s">
        <v>203</v>
      </c>
      <c r="QDZ14" s="314" t="s">
        <v>203</v>
      </c>
      <c r="QEA14" s="314" t="s">
        <v>203</v>
      </c>
      <c r="QEB14" s="314" t="s">
        <v>203</v>
      </c>
      <c r="QEC14" s="314" t="s">
        <v>203</v>
      </c>
      <c r="QED14" s="314" t="s">
        <v>203</v>
      </c>
      <c r="QEE14" s="314" t="s">
        <v>203</v>
      </c>
      <c r="QEF14" s="314" t="s">
        <v>203</v>
      </c>
      <c r="QEG14" s="314" t="s">
        <v>203</v>
      </c>
      <c r="QEH14" s="314" t="s">
        <v>203</v>
      </c>
      <c r="QEI14" s="314" t="s">
        <v>203</v>
      </c>
      <c r="QEJ14" s="314" t="s">
        <v>203</v>
      </c>
      <c r="QEK14" s="314" t="s">
        <v>203</v>
      </c>
      <c r="QEL14" s="314" t="s">
        <v>203</v>
      </c>
      <c r="QEM14" s="314" t="s">
        <v>203</v>
      </c>
      <c r="QEN14" s="314" t="s">
        <v>203</v>
      </c>
      <c r="QEO14" s="314" t="s">
        <v>203</v>
      </c>
      <c r="QEP14" s="314" t="s">
        <v>203</v>
      </c>
      <c r="QEQ14" s="314" t="s">
        <v>203</v>
      </c>
      <c r="QER14" s="314" t="s">
        <v>203</v>
      </c>
      <c r="QES14" s="314" t="s">
        <v>203</v>
      </c>
      <c r="QET14" s="314" t="s">
        <v>203</v>
      </c>
      <c r="QEU14" s="314" t="s">
        <v>203</v>
      </c>
      <c r="QEV14" s="314" t="s">
        <v>203</v>
      </c>
      <c r="QEW14" s="314" t="s">
        <v>203</v>
      </c>
      <c r="QEX14" s="314" t="s">
        <v>203</v>
      </c>
      <c r="QEY14" s="314" t="s">
        <v>203</v>
      </c>
      <c r="QEZ14" s="314" t="s">
        <v>203</v>
      </c>
      <c r="QFA14" s="314" t="s">
        <v>203</v>
      </c>
      <c r="QFB14" s="314" t="s">
        <v>203</v>
      </c>
      <c r="QFC14" s="314" t="s">
        <v>203</v>
      </c>
      <c r="QFD14" s="314" t="s">
        <v>203</v>
      </c>
      <c r="QFE14" s="314" t="s">
        <v>203</v>
      </c>
      <c r="QFF14" s="314" t="s">
        <v>203</v>
      </c>
      <c r="QFG14" s="314" t="s">
        <v>203</v>
      </c>
      <c r="QFH14" s="314" t="s">
        <v>203</v>
      </c>
      <c r="QFI14" s="314" t="s">
        <v>203</v>
      </c>
      <c r="QFJ14" s="314" t="s">
        <v>203</v>
      </c>
      <c r="QFK14" s="314" t="s">
        <v>203</v>
      </c>
      <c r="QFL14" s="314" t="s">
        <v>203</v>
      </c>
      <c r="QFM14" s="314" t="s">
        <v>203</v>
      </c>
      <c r="QFN14" s="314" t="s">
        <v>203</v>
      </c>
      <c r="QFO14" s="314" t="s">
        <v>203</v>
      </c>
      <c r="QFP14" s="314" t="s">
        <v>203</v>
      </c>
      <c r="QFQ14" s="314" t="s">
        <v>203</v>
      </c>
      <c r="QFR14" s="314" t="s">
        <v>203</v>
      </c>
      <c r="QFS14" s="314" t="s">
        <v>203</v>
      </c>
      <c r="QFT14" s="314" t="s">
        <v>203</v>
      </c>
      <c r="QFU14" s="314" t="s">
        <v>203</v>
      </c>
      <c r="QFV14" s="314" t="s">
        <v>203</v>
      </c>
      <c r="QFW14" s="314" t="s">
        <v>203</v>
      </c>
      <c r="QFX14" s="314" t="s">
        <v>203</v>
      </c>
      <c r="QFY14" s="314" t="s">
        <v>203</v>
      </c>
      <c r="QFZ14" s="314" t="s">
        <v>203</v>
      </c>
      <c r="QGA14" s="314" t="s">
        <v>203</v>
      </c>
      <c r="QGB14" s="314" t="s">
        <v>203</v>
      </c>
      <c r="QGC14" s="314" t="s">
        <v>203</v>
      </c>
      <c r="QGD14" s="314" t="s">
        <v>203</v>
      </c>
      <c r="QGE14" s="314" t="s">
        <v>203</v>
      </c>
      <c r="QGF14" s="314" t="s">
        <v>203</v>
      </c>
      <c r="QGG14" s="314" t="s">
        <v>203</v>
      </c>
      <c r="QGH14" s="314" t="s">
        <v>203</v>
      </c>
      <c r="QGI14" s="314" t="s">
        <v>203</v>
      </c>
      <c r="QGJ14" s="314" t="s">
        <v>203</v>
      </c>
      <c r="QGK14" s="314" t="s">
        <v>203</v>
      </c>
      <c r="QGL14" s="314" t="s">
        <v>203</v>
      </c>
      <c r="QGM14" s="314" t="s">
        <v>203</v>
      </c>
      <c r="QGN14" s="314" t="s">
        <v>203</v>
      </c>
      <c r="QGO14" s="314" t="s">
        <v>203</v>
      </c>
      <c r="QGP14" s="314" t="s">
        <v>203</v>
      </c>
      <c r="QGQ14" s="314" t="s">
        <v>203</v>
      </c>
      <c r="QGR14" s="314" t="s">
        <v>203</v>
      </c>
      <c r="QGS14" s="314" t="s">
        <v>203</v>
      </c>
      <c r="QGT14" s="314" t="s">
        <v>203</v>
      </c>
      <c r="QGU14" s="314" t="s">
        <v>203</v>
      </c>
      <c r="QGV14" s="314" t="s">
        <v>203</v>
      </c>
      <c r="QGW14" s="314" t="s">
        <v>203</v>
      </c>
      <c r="QGX14" s="314" t="s">
        <v>203</v>
      </c>
      <c r="QGY14" s="314" t="s">
        <v>203</v>
      </c>
      <c r="QGZ14" s="314" t="s">
        <v>203</v>
      </c>
      <c r="QHA14" s="314" t="s">
        <v>203</v>
      </c>
      <c r="QHB14" s="314" t="s">
        <v>203</v>
      </c>
      <c r="QHC14" s="314" t="s">
        <v>203</v>
      </c>
      <c r="QHD14" s="314" t="s">
        <v>203</v>
      </c>
      <c r="QHE14" s="314" t="s">
        <v>203</v>
      </c>
      <c r="QHF14" s="314" t="s">
        <v>203</v>
      </c>
      <c r="QHG14" s="314" t="s">
        <v>203</v>
      </c>
      <c r="QHH14" s="314" t="s">
        <v>203</v>
      </c>
      <c r="QHI14" s="314" t="s">
        <v>203</v>
      </c>
      <c r="QHJ14" s="314" t="s">
        <v>203</v>
      </c>
      <c r="QHK14" s="314" t="s">
        <v>203</v>
      </c>
      <c r="QHL14" s="314" t="s">
        <v>203</v>
      </c>
      <c r="QHM14" s="314" t="s">
        <v>203</v>
      </c>
      <c r="QHN14" s="314" t="s">
        <v>203</v>
      </c>
      <c r="QHO14" s="314" t="s">
        <v>203</v>
      </c>
      <c r="QHP14" s="314" t="s">
        <v>203</v>
      </c>
      <c r="QHQ14" s="314" t="s">
        <v>203</v>
      </c>
      <c r="QHR14" s="314" t="s">
        <v>203</v>
      </c>
      <c r="QHS14" s="314" t="s">
        <v>203</v>
      </c>
      <c r="QHT14" s="314" t="s">
        <v>203</v>
      </c>
      <c r="QHU14" s="314" t="s">
        <v>203</v>
      </c>
      <c r="QHV14" s="314" t="s">
        <v>203</v>
      </c>
      <c r="QHW14" s="314" t="s">
        <v>203</v>
      </c>
      <c r="QHX14" s="314" t="s">
        <v>203</v>
      </c>
      <c r="QHY14" s="314" t="s">
        <v>203</v>
      </c>
      <c r="QHZ14" s="314" t="s">
        <v>203</v>
      </c>
      <c r="QIA14" s="314" t="s">
        <v>203</v>
      </c>
      <c r="QIB14" s="314" t="s">
        <v>203</v>
      </c>
      <c r="QIC14" s="314" t="s">
        <v>203</v>
      </c>
      <c r="QID14" s="314" t="s">
        <v>203</v>
      </c>
      <c r="QIE14" s="314" t="s">
        <v>203</v>
      </c>
      <c r="QIF14" s="314" t="s">
        <v>203</v>
      </c>
      <c r="QIG14" s="314" t="s">
        <v>203</v>
      </c>
      <c r="QIH14" s="314" t="s">
        <v>203</v>
      </c>
      <c r="QII14" s="314" t="s">
        <v>203</v>
      </c>
      <c r="QIJ14" s="314" t="s">
        <v>203</v>
      </c>
      <c r="QIK14" s="314" t="s">
        <v>203</v>
      </c>
      <c r="QIL14" s="314" t="s">
        <v>203</v>
      </c>
      <c r="QIM14" s="314" t="s">
        <v>203</v>
      </c>
      <c r="QIN14" s="314" t="s">
        <v>203</v>
      </c>
      <c r="QIO14" s="314" t="s">
        <v>203</v>
      </c>
      <c r="QIP14" s="314" t="s">
        <v>203</v>
      </c>
      <c r="QIQ14" s="314" t="s">
        <v>203</v>
      </c>
      <c r="QIR14" s="314" t="s">
        <v>203</v>
      </c>
      <c r="QIS14" s="314" t="s">
        <v>203</v>
      </c>
      <c r="QIT14" s="314" t="s">
        <v>203</v>
      </c>
      <c r="QIU14" s="314" t="s">
        <v>203</v>
      </c>
      <c r="QIV14" s="314" t="s">
        <v>203</v>
      </c>
      <c r="QIW14" s="314" t="s">
        <v>203</v>
      </c>
      <c r="QIX14" s="314" t="s">
        <v>203</v>
      </c>
      <c r="QIY14" s="314" t="s">
        <v>203</v>
      </c>
      <c r="QIZ14" s="314" t="s">
        <v>203</v>
      </c>
      <c r="QJA14" s="314" t="s">
        <v>203</v>
      </c>
      <c r="QJB14" s="314" t="s">
        <v>203</v>
      </c>
      <c r="QJC14" s="314" t="s">
        <v>203</v>
      </c>
      <c r="QJD14" s="314" t="s">
        <v>203</v>
      </c>
      <c r="QJE14" s="314" t="s">
        <v>203</v>
      </c>
      <c r="QJF14" s="314" t="s">
        <v>203</v>
      </c>
      <c r="QJG14" s="314" t="s">
        <v>203</v>
      </c>
      <c r="QJH14" s="314" t="s">
        <v>203</v>
      </c>
      <c r="QJI14" s="314" t="s">
        <v>203</v>
      </c>
      <c r="QJJ14" s="314" t="s">
        <v>203</v>
      </c>
      <c r="QJK14" s="314" t="s">
        <v>203</v>
      </c>
      <c r="QJL14" s="314" t="s">
        <v>203</v>
      </c>
      <c r="QJM14" s="314" t="s">
        <v>203</v>
      </c>
      <c r="QJN14" s="314" t="s">
        <v>203</v>
      </c>
      <c r="QJO14" s="314" t="s">
        <v>203</v>
      </c>
      <c r="QJP14" s="314" t="s">
        <v>203</v>
      </c>
      <c r="QJQ14" s="314" t="s">
        <v>203</v>
      </c>
      <c r="QJR14" s="314" t="s">
        <v>203</v>
      </c>
      <c r="QJS14" s="314" t="s">
        <v>203</v>
      </c>
      <c r="QJT14" s="314" t="s">
        <v>203</v>
      </c>
      <c r="QJU14" s="314" t="s">
        <v>203</v>
      </c>
      <c r="QJV14" s="314" t="s">
        <v>203</v>
      </c>
      <c r="QJW14" s="314" t="s">
        <v>203</v>
      </c>
      <c r="QJX14" s="314" t="s">
        <v>203</v>
      </c>
      <c r="QJY14" s="314" t="s">
        <v>203</v>
      </c>
      <c r="QJZ14" s="314" t="s">
        <v>203</v>
      </c>
      <c r="QKA14" s="314" t="s">
        <v>203</v>
      </c>
      <c r="QKB14" s="314" t="s">
        <v>203</v>
      </c>
      <c r="QKC14" s="314" t="s">
        <v>203</v>
      </c>
      <c r="QKD14" s="314" t="s">
        <v>203</v>
      </c>
      <c r="QKE14" s="314" t="s">
        <v>203</v>
      </c>
      <c r="QKF14" s="314" t="s">
        <v>203</v>
      </c>
      <c r="QKG14" s="314" t="s">
        <v>203</v>
      </c>
      <c r="QKH14" s="314" t="s">
        <v>203</v>
      </c>
      <c r="QKI14" s="314" t="s">
        <v>203</v>
      </c>
      <c r="QKJ14" s="314" t="s">
        <v>203</v>
      </c>
      <c r="QKK14" s="314" t="s">
        <v>203</v>
      </c>
      <c r="QKL14" s="314" t="s">
        <v>203</v>
      </c>
      <c r="QKM14" s="314" t="s">
        <v>203</v>
      </c>
      <c r="QKN14" s="314" t="s">
        <v>203</v>
      </c>
      <c r="QKO14" s="314" t="s">
        <v>203</v>
      </c>
      <c r="QKP14" s="314" t="s">
        <v>203</v>
      </c>
      <c r="QKQ14" s="314" t="s">
        <v>203</v>
      </c>
      <c r="QKR14" s="314" t="s">
        <v>203</v>
      </c>
      <c r="QKS14" s="314" t="s">
        <v>203</v>
      </c>
      <c r="QKT14" s="314" t="s">
        <v>203</v>
      </c>
      <c r="QKU14" s="314" t="s">
        <v>203</v>
      </c>
      <c r="QKV14" s="314" t="s">
        <v>203</v>
      </c>
      <c r="QKW14" s="314" t="s">
        <v>203</v>
      </c>
      <c r="QKX14" s="314" t="s">
        <v>203</v>
      </c>
      <c r="QKY14" s="314" t="s">
        <v>203</v>
      </c>
      <c r="QKZ14" s="314" t="s">
        <v>203</v>
      </c>
      <c r="QLA14" s="314" t="s">
        <v>203</v>
      </c>
      <c r="QLB14" s="314" t="s">
        <v>203</v>
      </c>
      <c r="QLC14" s="314" t="s">
        <v>203</v>
      </c>
      <c r="QLD14" s="314" t="s">
        <v>203</v>
      </c>
      <c r="QLE14" s="314" t="s">
        <v>203</v>
      </c>
      <c r="QLF14" s="314" t="s">
        <v>203</v>
      </c>
      <c r="QLG14" s="314" t="s">
        <v>203</v>
      </c>
      <c r="QLH14" s="314" t="s">
        <v>203</v>
      </c>
      <c r="QLI14" s="314" t="s">
        <v>203</v>
      </c>
      <c r="QLJ14" s="314" t="s">
        <v>203</v>
      </c>
      <c r="QLK14" s="314" t="s">
        <v>203</v>
      </c>
      <c r="QLL14" s="314" t="s">
        <v>203</v>
      </c>
      <c r="QLM14" s="314" t="s">
        <v>203</v>
      </c>
      <c r="QLN14" s="314" t="s">
        <v>203</v>
      </c>
      <c r="QLO14" s="314" t="s">
        <v>203</v>
      </c>
      <c r="QLP14" s="314" t="s">
        <v>203</v>
      </c>
      <c r="QLQ14" s="314" t="s">
        <v>203</v>
      </c>
      <c r="QLR14" s="314" t="s">
        <v>203</v>
      </c>
      <c r="QLS14" s="314" t="s">
        <v>203</v>
      </c>
      <c r="QLT14" s="314" t="s">
        <v>203</v>
      </c>
      <c r="QLU14" s="314" t="s">
        <v>203</v>
      </c>
      <c r="QLV14" s="314" t="s">
        <v>203</v>
      </c>
      <c r="QLW14" s="314" t="s">
        <v>203</v>
      </c>
      <c r="QLX14" s="314" t="s">
        <v>203</v>
      </c>
      <c r="QLY14" s="314" t="s">
        <v>203</v>
      </c>
      <c r="QLZ14" s="314" t="s">
        <v>203</v>
      </c>
      <c r="QMA14" s="314" t="s">
        <v>203</v>
      </c>
      <c r="QMB14" s="314" t="s">
        <v>203</v>
      </c>
      <c r="QMC14" s="314" t="s">
        <v>203</v>
      </c>
      <c r="QMD14" s="314" t="s">
        <v>203</v>
      </c>
      <c r="QME14" s="314" t="s">
        <v>203</v>
      </c>
      <c r="QMF14" s="314" t="s">
        <v>203</v>
      </c>
      <c r="QMG14" s="314" t="s">
        <v>203</v>
      </c>
      <c r="QMH14" s="314" t="s">
        <v>203</v>
      </c>
      <c r="QMI14" s="314" t="s">
        <v>203</v>
      </c>
      <c r="QMJ14" s="314" t="s">
        <v>203</v>
      </c>
      <c r="QMK14" s="314" t="s">
        <v>203</v>
      </c>
      <c r="QML14" s="314" t="s">
        <v>203</v>
      </c>
      <c r="QMM14" s="314" t="s">
        <v>203</v>
      </c>
      <c r="QMN14" s="314" t="s">
        <v>203</v>
      </c>
      <c r="QMO14" s="314" t="s">
        <v>203</v>
      </c>
      <c r="QMP14" s="314" t="s">
        <v>203</v>
      </c>
      <c r="QMQ14" s="314" t="s">
        <v>203</v>
      </c>
      <c r="QMR14" s="314" t="s">
        <v>203</v>
      </c>
      <c r="QMS14" s="314" t="s">
        <v>203</v>
      </c>
      <c r="QMT14" s="314" t="s">
        <v>203</v>
      </c>
      <c r="QMU14" s="314" t="s">
        <v>203</v>
      </c>
      <c r="QMV14" s="314" t="s">
        <v>203</v>
      </c>
      <c r="QMW14" s="314" t="s">
        <v>203</v>
      </c>
      <c r="QMX14" s="314" t="s">
        <v>203</v>
      </c>
      <c r="QMY14" s="314" t="s">
        <v>203</v>
      </c>
      <c r="QMZ14" s="314" t="s">
        <v>203</v>
      </c>
      <c r="QNA14" s="314" t="s">
        <v>203</v>
      </c>
      <c r="QNB14" s="314" t="s">
        <v>203</v>
      </c>
      <c r="QNC14" s="314" t="s">
        <v>203</v>
      </c>
      <c r="QND14" s="314" t="s">
        <v>203</v>
      </c>
      <c r="QNE14" s="314" t="s">
        <v>203</v>
      </c>
      <c r="QNF14" s="314" t="s">
        <v>203</v>
      </c>
      <c r="QNG14" s="314" t="s">
        <v>203</v>
      </c>
      <c r="QNH14" s="314" t="s">
        <v>203</v>
      </c>
      <c r="QNI14" s="314" t="s">
        <v>203</v>
      </c>
      <c r="QNJ14" s="314" t="s">
        <v>203</v>
      </c>
      <c r="QNK14" s="314" t="s">
        <v>203</v>
      </c>
      <c r="QNL14" s="314" t="s">
        <v>203</v>
      </c>
      <c r="QNM14" s="314" t="s">
        <v>203</v>
      </c>
      <c r="QNN14" s="314" t="s">
        <v>203</v>
      </c>
      <c r="QNO14" s="314" t="s">
        <v>203</v>
      </c>
      <c r="QNP14" s="314" t="s">
        <v>203</v>
      </c>
      <c r="QNQ14" s="314" t="s">
        <v>203</v>
      </c>
      <c r="QNR14" s="314" t="s">
        <v>203</v>
      </c>
      <c r="QNS14" s="314" t="s">
        <v>203</v>
      </c>
      <c r="QNT14" s="314" t="s">
        <v>203</v>
      </c>
      <c r="QNU14" s="314" t="s">
        <v>203</v>
      </c>
      <c r="QNV14" s="314" t="s">
        <v>203</v>
      </c>
      <c r="QNW14" s="314" t="s">
        <v>203</v>
      </c>
      <c r="QNX14" s="314" t="s">
        <v>203</v>
      </c>
      <c r="QNY14" s="314" t="s">
        <v>203</v>
      </c>
      <c r="QNZ14" s="314" t="s">
        <v>203</v>
      </c>
      <c r="QOA14" s="314" t="s">
        <v>203</v>
      </c>
      <c r="QOB14" s="314" t="s">
        <v>203</v>
      </c>
      <c r="QOC14" s="314" t="s">
        <v>203</v>
      </c>
      <c r="QOD14" s="314" t="s">
        <v>203</v>
      </c>
      <c r="QOE14" s="314" t="s">
        <v>203</v>
      </c>
      <c r="QOF14" s="314" t="s">
        <v>203</v>
      </c>
      <c r="QOG14" s="314" t="s">
        <v>203</v>
      </c>
      <c r="QOH14" s="314" t="s">
        <v>203</v>
      </c>
      <c r="QOI14" s="314" t="s">
        <v>203</v>
      </c>
      <c r="QOJ14" s="314" t="s">
        <v>203</v>
      </c>
      <c r="QOK14" s="314" t="s">
        <v>203</v>
      </c>
      <c r="QOL14" s="314" t="s">
        <v>203</v>
      </c>
      <c r="QOM14" s="314" t="s">
        <v>203</v>
      </c>
      <c r="QON14" s="314" t="s">
        <v>203</v>
      </c>
      <c r="QOO14" s="314" t="s">
        <v>203</v>
      </c>
      <c r="QOP14" s="314" t="s">
        <v>203</v>
      </c>
      <c r="QOQ14" s="314" t="s">
        <v>203</v>
      </c>
      <c r="QOR14" s="314" t="s">
        <v>203</v>
      </c>
      <c r="QOS14" s="314" t="s">
        <v>203</v>
      </c>
      <c r="QOT14" s="314" t="s">
        <v>203</v>
      </c>
      <c r="QOU14" s="314" t="s">
        <v>203</v>
      </c>
      <c r="QOV14" s="314" t="s">
        <v>203</v>
      </c>
      <c r="QOW14" s="314" t="s">
        <v>203</v>
      </c>
      <c r="QOX14" s="314" t="s">
        <v>203</v>
      </c>
      <c r="QOY14" s="314" t="s">
        <v>203</v>
      </c>
      <c r="QOZ14" s="314" t="s">
        <v>203</v>
      </c>
      <c r="QPA14" s="314" t="s">
        <v>203</v>
      </c>
      <c r="QPB14" s="314" t="s">
        <v>203</v>
      </c>
      <c r="QPC14" s="314" t="s">
        <v>203</v>
      </c>
      <c r="QPD14" s="314" t="s">
        <v>203</v>
      </c>
      <c r="QPE14" s="314" t="s">
        <v>203</v>
      </c>
      <c r="QPF14" s="314" t="s">
        <v>203</v>
      </c>
      <c r="QPG14" s="314" t="s">
        <v>203</v>
      </c>
      <c r="QPH14" s="314" t="s">
        <v>203</v>
      </c>
      <c r="QPI14" s="314" t="s">
        <v>203</v>
      </c>
      <c r="QPJ14" s="314" t="s">
        <v>203</v>
      </c>
      <c r="QPK14" s="314" t="s">
        <v>203</v>
      </c>
      <c r="QPL14" s="314" t="s">
        <v>203</v>
      </c>
      <c r="QPM14" s="314" t="s">
        <v>203</v>
      </c>
      <c r="QPN14" s="314" t="s">
        <v>203</v>
      </c>
      <c r="QPO14" s="314" t="s">
        <v>203</v>
      </c>
      <c r="QPP14" s="314" t="s">
        <v>203</v>
      </c>
      <c r="QPQ14" s="314" t="s">
        <v>203</v>
      </c>
      <c r="QPR14" s="314" t="s">
        <v>203</v>
      </c>
      <c r="QPS14" s="314" t="s">
        <v>203</v>
      </c>
      <c r="QPT14" s="314" t="s">
        <v>203</v>
      </c>
      <c r="QPU14" s="314" t="s">
        <v>203</v>
      </c>
      <c r="QPV14" s="314" t="s">
        <v>203</v>
      </c>
      <c r="QPW14" s="314" t="s">
        <v>203</v>
      </c>
      <c r="QPX14" s="314" t="s">
        <v>203</v>
      </c>
      <c r="QPY14" s="314" t="s">
        <v>203</v>
      </c>
      <c r="QPZ14" s="314" t="s">
        <v>203</v>
      </c>
      <c r="QQA14" s="314" t="s">
        <v>203</v>
      </c>
      <c r="QQB14" s="314" t="s">
        <v>203</v>
      </c>
      <c r="QQC14" s="314" t="s">
        <v>203</v>
      </c>
      <c r="QQD14" s="314" t="s">
        <v>203</v>
      </c>
      <c r="QQE14" s="314" t="s">
        <v>203</v>
      </c>
      <c r="QQF14" s="314" t="s">
        <v>203</v>
      </c>
      <c r="QQG14" s="314" t="s">
        <v>203</v>
      </c>
      <c r="QQH14" s="314" t="s">
        <v>203</v>
      </c>
      <c r="QQI14" s="314" t="s">
        <v>203</v>
      </c>
      <c r="QQJ14" s="314" t="s">
        <v>203</v>
      </c>
      <c r="QQK14" s="314" t="s">
        <v>203</v>
      </c>
      <c r="QQL14" s="314" t="s">
        <v>203</v>
      </c>
      <c r="QQM14" s="314" t="s">
        <v>203</v>
      </c>
      <c r="QQN14" s="314" t="s">
        <v>203</v>
      </c>
      <c r="QQO14" s="314" t="s">
        <v>203</v>
      </c>
      <c r="QQP14" s="314" t="s">
        <v>203</v>
      </c>
      <c r="QQQ14" s="314" t="s">
        <v>203</v>
      </c>
      <c r="QQR14" s="314" t="s">
        <v>203</v>
      </c>
      <c r="QQS14" s="314" t="s">
        <v>203</v>
      </c>
      <c r="QQT14" s="314" t="s">
        <v>203</v>
      </c>
      <c r="QQU14" s="314" t="s">
        <v>203</v>
      </c>
      <c r="QQV14" s="314" t="s">
        <v>203</v>
      </c>
      <c r="QQW14" s="314" t="s">
        <v>203</v>
      </c>
      <c r="QQX14" s="314" t="s">
        <v>203</v>
      </c>
      <c r="QQY14" s="314" t="s">
        <v>203</v>
      </c>
      <c r="QQZ14" s="314" t="s">
        <v>203</v>
      </c>
      <c r="QRA14" s="314" t="s">
        <v>203</v>
      </c>
      <c r="QRB14" s="314" t="s">
        <v>203</v>
      </c>
      <c r="QRC14" s="314" t="s">
        <v>203</v>
      </c>
      <c r="QRD14" s="314" t="s">
        <v>203</v>
      </c>
      <c r="QRE14" s="314" t="s">
        <v>203</v>
      </c>
      <c r="QRF14" s="314" t="s">
        <v>203</v>
      </c>
      <c r="QRG14" s="314" t="s">
        <v>203</v>
      </c>
      <c r="QRH14" s="314" t="s">
        <v>203</v>
      </c>
      <c r="QRI14" s="314" t="s">
        <v>203</v>
      </c>
      <c r="QRJ14" s="314" t="s">
        <v>203</v>
      </c>
      <c r="QRK14" s="314" t="s">
        <v>203</v>
      </c>
      <c r="QRL14" s="314" t="s">
        <v>203</v>
      </c>
      <c r="QRM14" s="314" t="s">
        <v>203</v>
      </c>
      <c r="QRN14" s="314" t="s">
        <v>203</v>
      </c>
      <c r="QRO14" s="314" t="s">
        <v>203</v>
      </c>
      <c r="QRP14" s="314" t="s">
        <v>203</v>
      </c>
      <c r="QRQ14" s="314" t="s">
        <v>203</v>
      </c>
      <c r="QRR14" s="314" t="s">
        <v>203</v>
      </c>
      <c r="QRS14" s="314" t="s">
        <v>203</v>
      </c>
      <c r="QRT14" s="314" t="s">
        <v>203</v>
      </c>
      <c r="QRU14" s="314" t="s">
        <v>203</v>
      </c>
      <c r="QRV14" s="314" t="s">
        <v>203</v>
      </c>
      <c r="QRW14" s="314" t="s">
        <v>203</v>
      </c>
      <c r="QRX14" s="314" t="s">
        <v>203</v>
      </c>
      <c r="QRY14" s="314" t="s">
        <v>203</v>
      </c>
      <c r="QRZ14" s="314" t="s">
        <v>203</v>
      </c>
      <c r="QSA14" s="314" t="s">
        <v>203</v>
      </c>
      <c r="QSB14" s="314" t="s">
        <v>203</v>
      </c>
      <c r="QSC14" s="314" t="s">
        <v>203</v>
      </c>
      <c r="QSD14" s="314" t="s">
        <v>203</v>
      </c>
      <c r="QSE14" s="314" t="s">
        <v>203</v>
      </c>
      <c r="QSF14" s="314" t="s">
        <v>203</v>
      </c>
      <c r="QSG14" s="314" t="s">
        <v>203</v>
      </c>
      <c r="QSH14" s="314" t="s">
        <v>203</v>
      </c>
      <c r="QSI14" s="314" t="s">
        <v>203</v>
      </c>
      <c r="QSJ14" s="314" t="s">
        <v>203</v>
      </c>
      <c r="QSK14" s="314" t="s">
        <v>203</v>
      </c>
      <c r="QSL14" s="314" t="s">
        <v>203</v>
      </c>
      <c r="QSM14" s="314" t="s">
        <v>203</v>
      </c>
      <c r="QSN14" s="314" t="s">
        <v>203</v>
      </c>
      <c r="QSO14" s="314" t="s">
        <v>203</v>
      </c>
      <c r="QSP14" s="314" t="s">
        <v>203</v>
      </c>
      <c r="QSQ14" s="314" t="s">
        <v>203</v>
      </c>
      <c r="QSR14" s="314" t="s">
        <v>203</v>
      </c>
      <c r="QSS14" s="314" t="s">
        <v>203</v>
      </c>
      <c r="QST14" s="314" t="s">
        <v>203</v>
      </c>
      <c r="QSU14" s="314" t="s">
        <v>203</v>
      </c>
      <c r="QSV14" s="314" t="s">
        <v>203</v>
      </c>
      <c r="QSW14" s="314" t="s">
        <v>203</v>
      </c>
      <c r="QSX14" s="314" t="s">
        <v>203</v>
      </c>
      <c r="QSY14" s="314" t="s">
        <v>203</v>
      </c>
      <c r="QSZ14" s="314" t="s">
        <v>203</v>
      </c>
      <c r="QTA14" s="314" t="s">
        <v>203</v>
      </c>
      <c r="QTB14" s="314" t="s">
        <v>203</v>
      </c>
      <c r="QTC14" s="314" t="s">
        <v>203</v>
      </c>
      <c r="QTD14" s="314" t="s">
        <v>203</v>
      </c>
      <c r="QTE14" s="314" t="s">
        <v>203</v>
      </c>
      <c r="QTF14" s="314" t="s">
        <v>203</v>
      </c>
      <c r="QTG14" s="314" t="s">
        <v>203</v>
      </c>
      <c r="QTH14" s="314" t="s">
        <v>203</v>
      </c>
      <c r="QTI14" s="314" t="s">
        <v>203</v>
      </c>
      <c r="QTJ14" s="314" t="s">
        <v>203</v>
      </c>
      <c r="QTK14" s="314" t="s">
        <v>203</v>
      </c>
      <c r="QTL14" s="314" t="s">
        <v>203</v>
      </c>
      <c r="QTM14" s="314" t="s">
        <v>203</v>
      </c>
      <c r="QTN14" s="314" t="s">
        <v>203</v>
      </c>
      <c r="QTO14" s="314" t="s">
        <v>203</v>
      </c>
      <c r="QTP14" s="314" t="s">
        <v>203</v>
      </c>
      <c r="QTQ14" s="314" t="s">
        <v>203</v>
      </c>
      <c r="QTR14" s="314" t="s">
        <v>203</v>
      </c>
      <c r="QTS14" s="314" t="s">
        <v>203</v>
      </c>
      <c r="QTT14" s="314" t="s">
        <v>203</v>
      </c>
      <c r="QTU14" s="314" t="s">
        <v>203</v>
      </c>
      <c r="QTV14" s="314" t="s">
        <v>203</v>
      </c>
      <c r="QTW14" s="314" t="s">
        <v>203</v>
      </c>
      <c r="QTX14" s="314" t="s">
        <v>203</v>
      </c>
      <c r="QTY14" s="314" t="s">
        <v>203</v>
      </c>
      <c r="QTZ14" s="314" t="s">
        <v>203</v>
      </c>
      <c r="QUA14" s="314" t="s">
        <v>203</v>
      </c>
      <c r="QUB14" s="314" t="s">
        <v>203</v>
      </c>
      <c r="QUC14" s="314" t="s">
        <v>203</v>
      </c>
      <c r="QUD14" s="314" t="s">
        <v>203</v>
      </c>
      <c r="QUE14" s="314" t="s">
        <v>203</v>
      </c>
      <c r="QUF14" s="314" t="s">
        <v>203</v>
      </c>
      <c r="QUG14" s="314" t="s">
        <v>203</v>
      </c>
      <c r="QUH14" s="314" t="s">
        <v>203</v>
      </c>
      <c r="QUI14" s="314" t="s">
        <v>203</v>
      </c>
      <c r="QUJ14" s="314" t="s">
        <v>203</v>
      </c>
      <c r="QUK14" s="314" t="s">
        <v>203</v>
      </c>
      <c r="QUL14" s="314" t="s">
        <v>203</v>
      </c>
      <c r="QUM14" s="314" t="s">
        <v>203</v>
      </c>
      <c r="QUN14" s="314" t="s">
        <v>203</v>
      </c>
      <c r="QUO14" s="314" t="s">
        <v>203</v>
      </c>
      <c r="QUP14" s="314" t="s">
        <v>203</v>
      </c>
      <c r="QUQ14" s="314" t="s">
        <v>203</v>
      </c>
      <c r="QUR14" s="314" t="s">
        <v>203</v>
      </c>
      <c r="QUS14" s="314" t="s">
        <v>203</v>
      </c>
      <c r="QUT14" s="314" t="s">
        <v>203</v>
      </c>
      <c r="QUU14" s="314" t="s">
        <v>203</v>
      </c>
      <c r="QUV14" s="314" t="s">
        <v>203</v>
      </c>
      <c r="QUW14" s="314" t="s">
        <v>203</v>
      </c>
      <c r="QUX14" s="314" t="s">
        <v>203</v>
      </c>
      <c r="QUY14" s="314" t="s">
        <v>203</v>
      </c>
      <c r="QUZ14" s="314" t="s">
        <v>203</v>
      </c>
      <c r="QVA14" s="314" t="s">
        <v>203</v>
      </c>
      <c r="QVB14" s="314" t="s">
        <v>203</v>
      </c>
      <c r="QVC14" s="314" t="s">
        <v>203</v>
      </c>
      <c r="QVD14" s="314" t="s">
        <v>203</v>
      </c>
      <c r="QVE14" s="314" t="s">
        <v>203</v>
      </c>
      <c r="QVF14" s="314" t="s">
        <v>203</v>
      </c>
      <c r="QVG14" s="314" t="s">
        <v>203</v>
      </c>
      <c r="QVH14" s="314" t="s">
        <v>203</v>
      </c>
      <c r="QVI14" s="314" t="s">
        <v>203</v>
      </c>
      <c r="QVJ14" s="314" t="s">
        <v>203</v>
      </c>
      <c r="QVK14" s="314" t="s">
        <v>203</v>
      </c>
      <c r="QVL14" s="314" t="s">
        <v>203</v>
      </c>
      <c r="QVM14" s="314" t="s">
        <v>203</v>
      </c>
      <c r="QVN14" s="314" t="s">
        <v>203</v>
      </c>
      <c r="QVO14" s="314" t="s">
        <v>203</v>
      </c>
      <c r="QVP14" s="314" t="s">
        <v>203</v>
      </c>
      <c r="QVQ14" s="314" t="s">
        <v>203</v>
      </c>
      <c r="QVR14" s="314" t="s">
        <v>203</v>
      </c>
      <c r="QVS14" s="314" t="s">
        <v>203</v>
      </c>
      <c r="QVT14" s="314" t="s">
        <v>203</v>
      </c>
      <c r="QVU14" s="314" t="s">
        <v>203</v>
      </c>
      <c r="QVV14" s="314" t="s">
        <v>203</v>
      </c>
      <c r="QVW14" s="314" t="s">
        <v>203</v>
      </c>
      <c r="QVX14" s="314" t="s">
        <v>203</v>
      </c>
      <c r="QVY14" s="314" t="s">
        <v>203</v>
      </c>
      <c r="QVZ14" s="314" t="s">
        <v>203</v>
      </c>
      <c r="QWA14" s="314" t="s">
        <v>203</v>
      </c>
      <c r="QWB14" s="314" t="s">
        <v>203</v>
      </c>
      <c r="QWC14" s="314" t="s">
        <v>203</v>
      </c>
      <c r="QWD14" s="314" t="s">
        <v>203</v>
      </c>
      <c r="QWE14" s="314" t="s">
        <v>203</v>
      </c>
      <c r="QWF14" s="314" t="s">
        <v>203</v>
      </c>
      <c r="QWG14" s="314" t="s">
        <v>203</v>
      </c>
      <c r="QWH14" s="314" t="s">
        <v>203</v>
      </c>
      <c r="QWI14" s="314" t="s">
        <v>203</v>
      </c>
      <c r="QWJ14" s="314" t="s">
        <v>203</v>
      </c>
      <c r="QWK14" s="314" t="s">
        <v>203</v>
      </c>
      <c r="QWL14" s="314" t="s">
        <v>203</v>
      </c>
      <c r="QWM14" s="314" t="s">
        <v>203</v>
      </c>
      <c r="QWN14" s="314" t="s">
        <v>203</v>
      </c>
      <c r="QWO14" s="314" t="s">
        <v>203</v>
      </c>
      <c r="QWP14" s="314" t="s">
        <v>203</v>
      </c>
      <c r="QWQ14" s="314" t="s">
        <v>203</v>
      </c>
      <c r="QWR14" s="314" t="s">
        <v>203</v>
      </c>
      <c r="QWS14" s="314" t="s">
        <v>203</v>
      </c>
      <c r="QWT14" s="314" t="s">
        <v>203</v>
      </c>
      <c r="QWU14" s="314" t="s">
        <v>203</v>
      </c>
      <c r="QWV14" s="314" t="s">
        <v>203</v>
      </c>
      <c r="QWW14" s="314" t="s">
        <v>203</v>
      </c>
      <c r="QWX14" s="314" t="s">
        <v>203</v>
      </c>
      <c r="QWY14" s="314" t="s">
        <v>203</v>
      </c>
      <c r="QWZ14" s="314" t="s">
        <v>203</v>
      </c>
      <c r="QXA14" s="314" t="s">
        <v>203</v>
      </c>
      <c r="QXB14" s="314" t="s">
        <v>203</v>
      </c>
      <c r="QXC14" s="314" t="s">
        <v>203</v>
      </c>
      <c r="QXD14" s="314" t="s">
        <v>203</v>
      </c>
      <c r="QXE14" s="314" t="s">
        <v>203</v>
      </c>
      <c r="QXF14" s="314" t="s">
        <v>203</v>
      </c>
      <c r="QXG14" s="314" t="s">
        <v>203</v>
      </c>
      <c r="QXH14" s="314" t="s">
        <v>203</v>
      </c>
      <c r="QXI14" s="314" t="s">
        <v>203</v>
      </c>
      <c r="QXJ14" s="314" t="s">
        <v>203</v>
      </c>
      <c r="QXK14" s="314" t="s">
        <v>203</v>
      </c>
      <c r="QXL14" s="314" t="s">
        <v>203</v>
      </c>
      <c r="QXM14" s="314" t="s">
        <v>203</v>
      </c>
      <c r="QXN14" s="314" t="s">
        <v>203</v>
      </c>
      <c r="QXO14" s="314" t="s">
        <v>203</v>
      </c>
      <c r="QXP14" s="314" t="s">
        <v>203</v>
      </c>
      <c r="QXQ14" s="314" t="s">
        <v>203</v>
      </c>
      <c r="QXR14" s="314" t="s">
        <v>203</v>
      </c>
      <c r="QXS14" s="314" t="s">
        <v>203</v>
      </c>
      <c r="QXT14" s="314" t="s">
        <v>203</v>
      </c>
      <c r="QXU14" s="314" t="s">
        <v>203</v>
      </c>
      <c r="QXV14" s="314" t="s">
        <v>203</v>
      </c>
      <c r="QXW14" s="314" t="s">
        <v>203</v>
      </c>
      <c r="QXX14" s="314" t="s">
        <v>203</v>
      </c>
      <c r="QXY14" s="314" t="s">
        <v>203</v>
      </c>
      <c r="QXZ14" s="314" t="s">
        <v>203</v>
      </c>
      <c r="QYA14" s="314" t="s">
        <v>203</v>
      </c>
      <c r="QYB14" s="314" t="s">
        <v>203</v>
      </c>
      <c r="QYC14" s="314" t="s">
        <v>203</v>
      </c>
      <c r="QYD14" s="314" t="s">
        <v>203</v>
      </c>
      <c r="QYE14" s="314" t="s">
        <v>203</v>
      </c>
      <c r="QYF14" s="314" t="s">
        <v>203</v>
      </c>
      <c r="QYG14" s="314" t="s">
        <v>203</v>
      </c>
      <c r="QYH14" s="314" t="s">
        <v>203</v>
      </c>
      <c r="QYI14" s="314" t="s">
        <v>203</v>
      </c>
      <c r="QYJ14" s="314" t="s">
        <v>203</v>
      </c>
      <c r="QYK14" s="314" t="s">
        <v>203</v>
      </c>
      <c r="QYL14" s="314" t="s">
        <v>203</v>
      </c>
      <c r="QYM14" s="314" t="s">
        <v>203</v>
      </c>
      <c r="QYN14" s="314" t="s">
        <v>203</v>
      </c>
      <c r="QYO14" s="314" t="s">
        <v>203</v>
      </c>
      <c r="QYP14" s="314" t="s">
        <v>203</v>
      </c>
      <c r="QYQ14" s="314" t="s">
        <v>203</v>
      </c>
      <c r="QYR14" s="314" t="s">
        <v>203</v>
      </c>
      <c r="QYS14" s="314" t="s">
        <v>203</v>
      </c>
      <c r="QYT14" s="314" t="s">
        <v>203</v>
      </c>
      <c r="QYU14" s="314" t="s">
        <v>203</v>
      </c>
      <c r="QYV14" s="314" t="s">
        <v>203</v>
      </c>
      <c r="QYW14" s="314" t="s">
        <v>203</v>
      </c>
      <c r="QYX14" s="314" t="s">
        <v>203</v>
      </c>
      <c r="QYY14" s="314" t="s">
        <v>203</v>
      </c>
      <c r="QYZ14" s="314" t="s">
        <v>203</v>
      </c>
      <c r="QZA14" s="314" t="s">
        <v>203</v>
      </c>
      <c r="QZB14" s="314" t="s">
        <v>203</v>
      </c>
      <c r="QZC14" s="314" t="s">
        <v>203</v>
      </c>
      <c r="QZD14" s="314" t="s">
        <v>203</v>
      </c>
      <c r="QZE14" s="314" t="s">
        <v>203</v>
      </c>
      <c r="QZF14" s="314" t="s">
        <v>203</v>
      </c>
      <c r="QZG14" s="314" t="s">
        <v>203</v>
      </c>
      <c r="QZH14" s="314" t="s">
        <v>203</v>
      </c>
      <c r="QZI14" s="314" t="s">
        <v>203</v>
      </c>
      <c r="QZJ14" s="314" t="s">
        <v>203</v>
      </c>
      <c r="QZK14" s="314" t="s">
        <v>203</v>
      </c>
      <c r="QZL14" s="314" t="s">
        <v>203</v>
      </c>
      <c r="QZM14" s="314" t="s">
        <v>203</v>
      </c>
      <c r="QZN14" s="314" t="s">
        <v>203</v>
      </c>
      <c r="QZO14" s="314" t="s">
        <v>203</v>
      </c>
      <c r="QZP14" s="314" t="s">
        <v>203</v>
      </c>
      <c r="QZQ14" s="314" t="s">
        <v>203</v>
      </c>
      <c r="QZR14" s="314" t="s">
        <v>203</v>
      </c>
      <c r="QZS14" s="314" t="s">
        <v>203</v>
      </c>
      <c r="QZT14" s="314" t="s">
        <v>203</v>
      </c>
      <c r="QZU14" s="314" t="s">
        <v>203</v>
      </c>
      <c r="QZV14" s="314" t="s">
        <v>203</v>
      </c>
      <c r="QZW14" s="314" t="s">
        <v>203</v>
      </c>
      <c r="QZX14" s="314" t="s">
        <v>203</v>
      </c>
      <c r="QZY14" s="314" t="s">
        <v>203</v>
      </c>
      <c r="QZZ14" s="314" t="s">
        <v>203</v>
      </c>
      <c r="RAA14" s="314" t="s">
        <v>203</v>
      </c>
      <c r="RAB14" s="314" t="s">
        <v>203</v>
      </c>
      <c r="RAC14" s="314" t="s">
        <v>203</v>
      </c>
      <c r="RAD14" s="314" t="s">
        <v>203</v>
      </c>
      <c r="RAE14" s="314" t="s">
        <v>203</v>
      </c>
      <c r="RAF14" s="314" t="s">
        <v>203</v>
      </c>
      <c r="RAG14" s="314" t="s">
        <v>203</v>
      </c>
      <c r="RAH14" s="314" t="s">
        <v>203</v>
      </c>
      <c r="RAI14" s="314" t="s">
        <v>203</v>
      </c>
      <c r="RAJ14" s="314" t="s">
        <v>203</v>
      </c>
      <c r="RAK14" s="314" t="s">
        <v>203</v>
      </c>
      <c r="RAL14" s="314" t="s">
        <v>203</v>
      </c>
      <c r="RAM14" s="314" t="s">
        <v>203</v>
      </c>
      <c r="RAN14" s="314" t="s">
        <v>203</v>
      </c>
      <c r="RAO14" s="314" t="s">
        <v>203</v>
      </c>
      <c r="RAP14" s="314" t="s">
        <v>203</v>
      </c>
      <c r="RAQ14" s="314" t="s">
        <v>203</v>
      </c>
      <c r="RAR14" s="314" t="s">
        <v>203</v>
      </c>
      <c r="RAS14" s="314" t="s">
        <v>203</v>
      </c>
      <c r="RAT14" s="314" t="s">
        <v>203</v>
      </c>
      <c r="RAU14" s="314" t="s">
        <v>203</v>
      </c>
      <c r="RAV14" s="314" t="s">
        <v>203</v>
      </c>
      <c r="RAW14" s="314" t="s">
        <v>203</v>
      </c>
      <c r="RAX14" s="314" t="s">
        <v>203</v>
      </c>
      <c r="RAY14" s="314" t="s">
        <v>203</v>
      </c>
      <c r="RAZ14" s="314" t="s">
        <v>203</v>
      </c>
      <c r="RBA14" s="314" t="s">
        <v>203</v>
      </c>
      <c r="RBB14" s="314" t="s">
        <v>203</v>
      </c>
      <c r="RBC14" s="314" t="s">
        <v>203</v>
      </c>
      <c r="RBD14" s="314" t="s">
        <v>203</v>
      </c>
      <c r="RBE14" s="314" t="s">
        <v>203</v>
      </c>
      <c r="RBF14" s="314" t="s">
        <v>203</v>
      </c>
      <c r="RBG14" s="314" t="s">
        <v>203</v>
      </c>
      <c r="RBH14" s="314" t="s">
        <v>203</v>
      </c>
      <c r="RBI14" s="314" t="s">
        <v>203</v>
      </c>
      <c r="RBJ14" s="314" t="s">
        <v>203</v>
      </c>
      <c r="RBK14" s="314" t="s">
        <v>203</v>
      </c>
      <c r="RBL14" s="314" t="s">
        <v>203</v>
      </c>
      <c r="RBM14" s="314" t="s">
        <v>203</v>
      </c>
      <c r="RBN14" s="314" t="s">
        <v>203</v>
      </c>
      <c r="RBO14" s="314" t="s">
        <v>203</v>
      </c>
      <c r="RBP14" s="314" t="s">
        <v>203</v>
      </c>
      <c r="RBQ14" s="314" t="s">
        <v>203</v>
      </c>
      <c r="RBR14" s="314" t="s">
        <v>203</v>
      </c>
      <c r="RBS14" s="314" t="s">
        <v>203</v>
      </c>
      <c r="RBT14" s="314" t="s">
        <v>203</v>
      </c>
      <c r="RBU14" s="314" t="s">
        <v>203</v>
      </c>
      <c r="RBV14" s="314" t="s">
        <v>203</v>
      </c>
      <c r="RBW14" s="314" t="s">
        <v>203</v>
      </c>
      <c r="RBX14" s="314" t="s">
        <v>203</v>
      </c>
      <c r="RBY14" s="314" t="s">
        <v>203</v>
      </c>
      <c r="RBZ14" s="314" t="s">
        <v>203</v>
      </c>
      <c r="RCA14" s="314" t="s">
        <v>203</v>
      </c>
      <c r="RCB14" s="314" t="s">
        <v>203</v>
      </c>
      <c r="RCC14" s="314" t="s">
        <v>203</v>
      </c>
      <c r="RCD14" s="314" t="s">
        <v>203</v>
      </c>
      <c r="RCE14" s="314" t="s">
        <v>203</v>
      </c>
      <c r="RCF14" s="314" t="s">
        <v>203</v>
      </c>
      <c r="RCG14" s="314" t="s">
        <v>203</v>
      </c>
      <c r="RCH14" s="314" t="s">
        <v>203</v>
      </c>
      <c r="RCI14" s="314" t="s">
        <v>203</v>
      </c>
      <c r="RCJ14" s="314" t="s">
        <v>203</v>
      </c>
      <c r="RCK14" s="314" t="s">
        <v>203</v>
      </c>
      <c r="RCL14" s="314" t="s">
        <v>203</v>
      </c>
      <c r="RCM14" s="314" t="s">
        <v>203</v>
      </c>
      <c r="RCN14" s="314" t="s">
        <v>203</v>
      </c>
      <c r="RCO14" s="314" t="s">
        <v>203</v>
      </c>
      <c r="RCP14" s="314" t="s">
        <v>203</v>
      </c>
      <c r="RCQ14" s="314" t="s">
        <v>203</v>
      </c>
      <c r="RCR14" s="314" t="s">
        <v>203</v>
      </c>
      <c r="RCS14" s="314" t="s">
        <v>203</v>
      </c>
      <c r="RCT14" s="314" t="s">
        <v>203</v>
      </c>
      <c r="RCU14" s="314" t="s">
        <v>203</v>
      </c>
      <c r="RCV14" s="314" t="s">
        <v>203</v>
      </c>
      <c r="RCW14" s="314" t="s">
        <v>203</v>
      </c>
      <c r="RCX14" s="314" t="s">
        <v>203</v>
      </c>
      <c r="RCY14" s="314" t="s">
        <v>203</v>
      </c>
      <c r="RCZ14" s="314" t="s">
        <v>203</v>
      </c>
      <c r="RDA14" s="314" t="s">
        <v>203</v>
      </c>
      <c r="RDB14" s="314" t="s">
        <v>203</v>
      </c>
      <c r="RDC14" s="314" t="s">
        <v>203</v>
      </c>
      <c r="RDD14" s="314" t="s">
        <v>203</v>
      </c>
      <c r="RDE14" s="314" t="s">
        <v>203</v>
      </c>
      <c r="RDF14" s="314" t="s">
        <v>203</v>
      </c>
      <c r="RDG14" s="314" t="s">
        <v>203</v>
      </c>
      <c r="RDH14" s="314" t="s">
        <v>203</v>
      </c>
      <c r="RDI14" s="314" t="s">
        <v>203</v>
      </c>
      <c r="RDJ14" s="314" t="s">
        <v>203</v>
      </c>
      <c r="RDK14" s="314" t="s">
        <v>203</v>
      </c>
      <c r="RDL14" s="314" t="s">
        <v>203</v>
      </c>
      <c r="RDM14" s="314" t="s">
        <v>203</v>
      </c>
      <c r="RDN14" s="314" t="s">
        <v>203</v>
      </c>
      <c r="RDO14" s="314" t="s">
        <v>203</v>
      </c>
      <c r="RDP14" s="314" t="s">
        <v>203</v>
      </c>
      <c r="RDQ14" s="314" t="s">
        <v>203</v>
      </c>
      <c r="RDR14" s="314" t="s">
        <v>203</v>
      </c>
      <c r="RDS14" s="314" t="s">
        <v>203</v>
      </c>
      <c r="RDT14" s="314" t="s">
        <v>203</v>
      </c>
      <c r="RDU14" s="314" t="s">
        <v>203</v>
      </c>
      <c r="RDV14" s="314" t="s">
        <v>203</v>
      </c>
      <c r="RDW14" s="314" t="s">
        <v>203</v>
      </c>
      <c r="RDX14" s="314" t="s">
        <v>203</v>
      </c>
      <c r="RDY14" s="314" t="s">
        <v>203</v>
      </c>
      <c r="RDZ14" s="314" t="s">
        <v>203</v>
      </c>
      <c r="REA14" s="314" t="s">
        <v>203</v>
      </c>
      <c r="REB14" s="314" t="s">
        <v>203</v>
      </c>
      <c r="REC14" s="314" t="s">
        <v>203</v>
      </c>
      <c r="RED14" s="314" t="s">
        <v>203</v>
      </c>
      <c r="REE14" s="314" t="s">
        <v>203</v>
      </c>
      <c r="REF14" s="314" t="s">
        <v>203</v>
      </c>
      <c r="REG14" s="314" t="s">
        <v>203</v>
      </c>
      <c r="REH14" s="314" t="s">
        <v>203</v>
      </c>
      <c r="REI14" s="314" t="s">
        <v>203</v>
      </c>
      <c r="REJ14" s="314" t="s">
        <v>203</v>
      </c>
      <c r="REK14" s="314" t="s">
        <v>203</v>
      </c>
      <c r="REL14" s="314" t="s">
        <v>203</v>
      </c>
      <c r="REM14" s="314" t="s">
        <v>203</v>
      </c>
      <c r="REN14" s="314" t="s">
        <v>203</v>
      </c>
      <c r="REO14" s="314" t="s">
        <v>203</v>
      </c>
      <c r="REP14" s="314" t="s">
        <v>203</v>
      </c>
      <c r="REQ14" s="314" t="s">
        <v>203</v>
      </c>
      <c r="RER14" s="314" t="s">
        <v>203</v>
      </c>
      <c r="RES14" s="314" t="s">
        <v>203</v>
      </c>
      <c r="RET14" s="314" t="s">
        <v>203</v>
      </c>
      <c r="REU14" s="314" t="s">
        <v>203</v>
      </c>
      <c r="REV14" s="314" t="s">
        <v>203</v>
      </c>
      <c r="REW14" s="314" t="s">
        <v>203</v>
      </c>
      <c r="REX14" s="314" t="s">
        <v>203</v>
      </c>
      <c r="REY14" s="314" t="s">
        <v>203</v>
      </c>
      <c r="REZ14" s="314" t="s">
        <v>203</v>
      </c>
      <c r="RFA14" s="314" t="s">
        <v>203</v>
      </c>
      <c r="RFB14" s="314" t="s">
        <v>203</v>
      </c>
      <c r="RFC14" s="314" t="s">
        <v>203</v>
      </c>
      <c r="RFD14" s="314" t="s">
        <v>203</v>
      </c>
      <c r="RFE14" s="314" t="s">
        <v>203</v>
      </c>
      <c r="RFF14" s="314" t="s">
        <v>203</v>
      </c>
      <c r="RFG14" s="314" t="s">
        <v>203</v>
      </c>
      <c r="RFH14" s="314" t="s">
        <v>203</v>
      </c>
      <c r="RFI14" s="314" t="s">
        <v>203</v>
      </c>
      <c r="RFJ14" s="314" t="s">
        <v>203</v>
      </c>
      <c r="RFK14" s="314" t="s">
        <v>203</v>
      </c>
      <c r="RFL14" s="314" t="s">
        <v>203</v>
      </c>
      <c r="RFM14" s="314" t="s">
        <v>203</v>
      </c>
      <c r="RFN14" s="314" t="s">
        <v>203</v>
      </c>
      <c r="RFO14" s="314" t="s">
        <v>203</v>
      </c>
      <c r="RFP14" s="314" t="s">
        <v>203</v>
      </c>
      <c r="RFQ14" s="314" t="s">
        <v>203</v>
      </c>
      <c r="RFR14" s="314" t="s">
        <v>203</v>
      </c>
      <c r="RFS14" s="314" t="s">
        <v>203</v>
      </c>
      <c r="RFT14" s="314" t="s">
        <v>203</v>
      </c>
      <c r="RFU14" s="314" t="s">
        <v>203</v>
      </c>
      <c r="RFV14" s="314" t="s">
        <v>203</v>
      </c>
      <c r="RFW14" s="314" t="s">
        <v>203</v>
      </c>
      <c r="RFX14" s="314" t="s">
        <v>203</v>
      </c>
      <c r="RFY14" s="314" t="s">
        <v>203</v>
      </c>
      <c r="RFZ14" s="314" t="s">
        <v>203</v>
      </c>
      <c r="RGA14" s="314" t="s">
        <v>203</v>
      </c>
      <c r="RGB14" s="314" t="s">
        <v>203</v>
      </c>
      <c r="RGC14" s="314" t="s">
        <v>203</v>
      </c>
      <c r="RGD14" s="314" t="s">
        <v>203</v>
      </c>
      <c r="RGE14" s="314" t="s">
        <v>203</v>
      </c>
      <c r="RGF14" s="314" t="s">
        <v>203</v>
      </c>
      <c r="RGG14" s="314" t="s">
        <v>203</v>
      </c>
      <c r="RGH14" s="314" t="s">
        <v>203</v>
      </c>
      <c r="RGI14" s="314" t="s">
        <v>203</v>
      </c>
      <c r="RGJ14" s="314" t="s">
        <v>203</v>
      </c>
      <c r="RGK14" s="314" t="s">
        <v>203</v>
      </c>
      <c r="RGL14" s="314" t="s">
        <v>203</v>
      </c>
      <c r="RGM14" s="314" t="s">
        <v>203</v>
      </c>
      <c r="RGN14" s="314" t="s">
        <v>203</v>
      </c>
      <c r="RGO14" s="314" t="s">
        <v>203</v>
      </c>
      <c r="RGP14" s="314" t="s">
        <v>203</v>
      </c>
      <c r="RGQ14" s="314" t="s">
        <v>203</v>
      </c>
      <c r="RGR14" s="314" t="s">
        <v>203</v>
      </c>
      <c r="RGS14" s="314" t="s">
        <v>203</v>
      </c>
      <c r="RGT14" s="314" t="s">
        <v>203</v>
      </c>
      <c r="RGU14" s="314" t="s">
        <v>203</v>
      </c>
      <c r="RGV14" s="314" t="s">
        <v>203</v>
      </c>
      <c r="RGW14" s="314" t="s">
        <v>203</v>
      </c>
      <c r="RGX14" s="314" t="s">
        <v>203</v>
      </c>
      <c r="RGY14" s="314" t="s">
        <v>203</v>
      </c>
      <c r="RGZ14" s="314" t="s">
        <v>203</v>
      </c>
      <c r="RHA14" s="314" t="s">
        <v>203</v>
      </c>
      <c r="RHB14" s="314" t="s">
        <v>203</v>
      </c>
      <c r="RHC14" s="314" t="s">
        <v>203</v>
      </c>
      <c r="RHD14" s="314" t="s">
        <v>203</v>
      </c>
      <c r="RHE14" s="314" t="s">
        <v>203</v>
      </c>
      <c r="RHF14" s="314" t="s">
        <v>203</v>
      </c>
      <c r="RHG14" s="314" t="s">
        <v>203</v>
      </c>
      <c r="RHH14" s="314" t="s">
        <v>203</v>
      </c>
      <c r="RHI14" s="314" t="s">
        <v>203</v>
      </c>
      <c r="RHJ14" s="314" t="s">
        <v>203</v>
      </c>
      <c r="RHK14" s="314" t="s">
        <v>203</v>
      </c>
      <c r="RHL14" s="314" t="s">
        <v>203</v>
      </c>
      <c r="RHM14" s="314" t="s">
        <v>203</v>
      </c>
      <c r="RHN14" s="314" t="s">
        <v>203</v>
      </c>
      <c r="RHO14" s="314" t="s">
        <v>203</v>
      </c>
      <c r="RHP14" s="314" t="s">
        <v>203</v>
      </c>
      <c r="RHQ14" s="314" t="s">
        <v>203</v>
      </c>
      <c r="RHR14" s="314" t="s">
        <v>203</v>
      </c>
      <c r="RHS14" s="314" t="s">
        <v>203</v>
      </c>
      <c r="RHT14" s="314" t="s">
        <v>203</v>
      </c>
      <c r="RHU14" s="314" t="s">
        <v>203</v>
      </c>
      <c r="RHV14" s="314" t="s">
        <v>203</v>
      </c>
      <c r="RHW14" s="314" t="s">
        <v>203</v>
      </c>
      <c r="RHX14" s="314" t="s">
        <v>203</v>
      </c>
      <c r="RHY14" s="314" t="s">
        <v>203</v>
      </c>
      <c r="RHZ14" s="314" t="s">
        <v>203</v>
      </c>
      <c r="RIA14" s="314" t="s">
        <v>203</v>
      </c>
      <c r="RIB14" s="314" t="s">
        <v>203</v>
      </c>
      <c r="RIC14" s="314" t="s">
        <v>203</v>
      </c>
      <c r="RID14" s="314" t="s">
        <v>203</v>
      </c>
      <c r="RIE14" s="314" t="s">
        <v>203</v>
      </c>
      <c r="RIF14" s="314" t="s">
        <v>203</v>
      </c>
      <c r="RIG14" s="314" t="s">
        <v>203</v>
      </c>
      <c r="RIH14" s="314" t="s">
        <v>203</v>
      </c>
      <c r="RII14" s="314" t="s">
        <v>203</v>
      </c>
      <c r="RIJ14" s="314" t="s">
        <v>203</v>
      </c>
      <c r="RIK14" s="314" t="s">
        <v>203</v>
      </c>
      <c r="RIL14" s="314" t="s">
        <v>203</v>
      </c>
      <c r="RIM14" s="314" t="s">
        <v>203</v>
      </c>
      <c r="RIN14" s="314" t="s">
        <v>203</v>
      </c>
      <c r="RIO14" s="314" t="s">
        <v>203</v>
      </c>
      <c r="RIP14" s="314" t="s">
        <v>203</v>
      </c>
      <c r="RIQ14" s="314" t="s">
        <v>203</v>
      </c>
      <c r="RIR14" s="314" t="s">
        <v>203</v>
      </c>
      <c r="RIS14" s="314" t="s">
        <v>203</v>
      </c>
      <c r="RIT14" s="314" t="s">
        <v>203</v>
      </c>
      <c r="RIU14" s="314" t="s">
        <v>203</v>
      </c>
      <c r="RIV14" s="314" t="s">
        <v>203</v>
      </c>
      <c r="RIW14" s="314" t="s">
        <v>203</v>
      </c>
      <c r="RIX14" s="314" t="s">
        <v>203</v>
      </c>
      <c r="RIY14" s="314" t="s">
        <v>203</v>
      </c>
      <c r="RIZ14" s="314" t="s">
        <v>203</v>
      </c>
      <c r="RJA14" s="314" t="s">
        <v>203</v>
      </c>
      <c r="RJB14" s="314" t="s">
        <v>203</v>
      </c>
      <c r="RJC14" s="314" t="s">
        <v>203</v>
      </c>
      <c r="RJD14" s="314" t="s">
        <v>203</v>
      </c>
      <c r="RJE14" s="314" t="s">
        <v>203</v>
      </c>
      <c r="RJF14" s="314" t="s">
        <v>203</v>
      </c>
      <c r="RJG14" s="314" t="s">
        <v>203</v>
      </c>
      <c r="RJH14" s="314" t="s">
        <v>203</v>
      </c>
      <c r="RJI14" s="314" t="s">
        <v>203</v>
      </c>
      <c r="RJJ14" s="314" t="s">
        <v>203</v>
      </c>
      <c r="RJK14" s="314" t="s">
        <v>203</v>
      </c>
      <c r="RJL14" s="314" t="s">
        <v>203</v>
      </c>
      <c r="RJM14" s="314" t="s">
        <v>203</v>
      </c>
      <c r="RJN14" s="314" t="s">
        <v>203</v>
      </c>
      <c r="RJO14" s="314" t="s">
        <v>203</v>
      </c>
      <c r="RJP14" s="314" t="s">
        <v>203</v>
      </c>
      <c r="RJQ14" s="314" t="s">
        <v>203</v>
      </c>
      <c r="RJR14" s="314" t="s">
        <v>203</v>
      </c>
      <c r="RJS14" s="314" t="s">
        <v>203</v>
      </c>
      <c r="RJT14" s="314" t="s">
        <v>203</v>
      </c>
      <c r="RJU14" s="314" t="s">
        <v>203</v>
      </c>
      <c r="RJV14" s="314" t="s">
        <v>203</v>
      </c>
      <c r="RJW14" s="314" t="s">
        <v>203</v>
      </c>
      <c r="RJX14" s="314" t="s">
        <v>203</v>
      </c>
      <c r="RJY14" s="314" t="s">
        <v>203</v>
      </c>
      <c r="RJZ14" s="314" t="s">
        <v>203</v>
      </c>
      <c r="RKA14" s="314" t="s">
        <v>203</v>
      </c>
      <c r="RKB14" s="314" t="s">
        <v>203</v>
      </c>
      <c r="RKC14" s="314" t="s">
        <v>203</v>
      </c>
      <c r="RKD14" s="314" t="s">
        <v>203</v>
      </c>
      <c r="RKE14" s="314" t="s">
        <v>203</v>
      </c>
      <c r="RKF14" s="314" t="s">
        <v>203</v>
      </c>
      <c r="RKG14" s="314" t="s">
        <v>203</v>
      </c>
      <c r="RKH14" s="314" t="s">
        <v>203</v>
      </c>
      <c r="RKI14" s="314" t="s">
        <v>203</v>
      </c>
      <c r="RKJ14" s="314" t="s">
        <v>203</v>
      </c>
      <c r="RKK14" s="314" t="s">
        <v>203</v>
      </c>
      <c r="RKL14" s="314" t="s">
        <v>203</v>
      </c>
      <c r="RKM14" s="314" t="s">
        <v>203</v>
      </c>
      <c r="RKN14" s="314" t="s">
        <v>203</v>
      </c>
      <c r="RKO14" s="314" t="s">
        <v>203</v>
      </c>
      <c r="RKP14" s="314" t="s">
        <v>203</v>
      </c>
      <c r="RKQ14" s="314" t="s">
        <v>203</v>
      </c>
      <c r="RKR14" s="314" t="s">
        <v>203</v>
      </c>
      <c r="RKS14" s="314" t="s">
        <v>203</v>
      </c>
      <c r="RKT14" s="314" t="s">
        <v>203</v>
      </c>
      <c r="RKU14" s="314" t="s">
        <v>203</v>
      </c>
      <c r="RKV14" s="314" t="s">
        <v>203</v>
      </c>
      <c r="RKW14" s="314" t="s">
        <v>203</v>
      </c>
      <c r="RKX14" s="314" t="s">
        <v>203</v>
      </c>
      <c r="RKY14" s="314" t="s">
        <v>203</v>
      </c>
      <c r="RKZ14" s="314" t="s">
        <v>203</v>
      </c>
      <c r="RLA14" s="314" t="s">
        <v>203</v>
      </c>
      <c r="RLB14" s="314" t="s">
        <v>203</v>
      </c>
      <c r="RLC14" s="314" t="s">
        <v>203</v>
      </c>
      <c r="RLD14" s="314" t="s">
        <v>203</v>
      </c>
      <c r="RLE14" s="314" t="s">
        <v>203</v>
      </c>
      <c r="RLF14" s="314" t="s">
        <v>203</v>
      </c>
      <c r="RLG14" s="314" t="s">
        <v>203</v>
      </c>
      <c r="RLH14" s="314" t="s">
        <v>203</v>
      </c>
      <c r="RLI14" s="314" t="s">
        <v>203</v>
      </c>
      <c r="RLJ14" s="314" t="s">
        <v>203</v>
      </c>
      <c r="RLK14" s="314" t="s">
        <v>203</v>
      </c>
      <c r="RLL14" s="314" t="s">
        <v>203</v>
      </c>
      <c r="RLM14" s="314" t="s">
        <v>203</v>
      </c>
      <c r="RLN14" s="314" t="s">
        <v>203</v>
      </c>
      <c r="RLO14" s="314" t="s">
        <v>203</v>
      </c>
      <c r="RLP14" s="314" t="s">
        <v>203</v>
      </c>
      <c r="RLQ14" s="314" t="s">
        <v>203</v>
      </c>
      <c r="RLR14" s="314" t="s">
        <v>203</v>
      </c>
      <c r="RLS14" s="314" t="s">
        <v>203</v>
      </c>
      <c r="RLT14" s="314" t="s">
        <v>203</v>
      </c>
      <c r="RLU14" s="314" t="s">
        <v>203</v>
      </c>
      <c r="RLV14" s="314" t="s">
        <v>203</v>
      </c>
      <c r="RLW14" s="314" t="s">
        <v>203</v>
      </c>
      <c r="RLX14" s="314" t="s">
        <v>203</v>
      </c>
      <c r="RLY14" s="314" t="s">
        <v>203</v>
      </c>
      <c r="RLZ14" s="314" t="s">
        <v>203</v>
      </c>
      <c r="RMA14" s="314" t="s">
        <v>203</v>
      </c>
      <c r="RMB14" s="314" t="s">
        <v>203</v>
      </c>
      <c r="RMC14" s="314" t="s">
        <v>203</v>
      </c>
      <c r="RMD14" s="314" t="s">
        <v>203</v>
      </c>
      <c r="RME14" s="314" t="s">
        <v>203</v>
      </c>
      <c r="RMF14" s="314" t="s">
        <v>203</v>
      </c>
      <c r="RMG14" s="314" t="s">
        <v>203</v>
      </c>
      <c r="RMH14" s="314" t="s">
        <v>203</v>
      </c>
      <c r="RMI14" s="314" t="s">
        <v>203</v>
      </c>
      <c r="RMJ14" s="314" t="s">
        <v>203</v>
      </c>
      <c r="RMK14" s="314" t="s">
        <v>203</v>
      </c>
      <c r="RML14" s="314" t="s">
        <v>203</v>
      </c>
      <c r="RMM14" s="314" t="s">
        <v>203</v>
      </c>
      <c r="RMN14" s="314" t="s">
        <v>203</v>
      </c>
      <c r="RMO14" s="314" t="s">
        <v>203</v>
      </c>
      <c r="RMP14" s="314" t="s">
        <v>203</v>
      </c>
      <c r="RMQ14" s="314" t="s">
        <v>203</v>
      </c>
      <c r="RMR14" s="314" t="s">
        <v>203</v>
      </c>
      <c r="RMS14" s="314" t="s">
        <v>203</v>
      </c>
      <c r="RMT14" s="314" t="s">
        <v>203</v>
      </c>
      <c r="RMU14" s="314" t="s">
        <v>203</v>
      </c>
      <c r="RMV14" s="314" t="s">
        <v>203</v>
      </c>
      <c r="RMW14" s="314" t="s">
        <v>203</v>
      </c>
      <c r="RMX14" s="314" t="s">
        <v>203</v>
      </c>
      <c r="RMY14" s="314" t="s">
        <v>203</v>
      </c>
      <c r="RMZ14" s="314" t="s">
        <v>203</v>
      </c>
      <c r="RNA14" s="314" t="s">
        <v>203</v>
      </c>
      <c r="RNB14" s="314" t="s">
        <v>203</v>
      </c>
      <c r="RNC14" s="314" t="s">
        <v>203</v>
      </c>
      <c r="RND14" s="314" t="s">
        <v>203</v>
      </c>
      <c r="RNE14" s="314" t="s">
        <v>203</v>
      </c>
      <c r="RNF14" s="314" t="s">
        <v>203</v>
      </c>
      <c r="RNG14" s="314" t="s">
        <v>203</v>
      </c>
      <c r="RNH14" s="314" t="s">
        <v>203</v>
      </c>
      <c r="RNI14" s="314" t="s">
        <v>203</v>
      </c>
      <c r="RNJ14" s="314" t="s">
        <v>203</v>
      </c>
      <c r="RNK14" s="314" t="s">
        <v>203</v>
      </c>
      <c r="RNL14" s="314" t="s">
        <v>203</v>
      </c>
      <c r="RNM14" s="314" t="s">
        <v>203</v>
      </c>
      <c r="RNN14" s="314" t="s">
        <v>203</v>
      </c>
      <c r="RNO14" s="314" t="s">
        <v>203</v>
      </c>
      <c r="RNP14" s="314" t="s">
        <v>203</v>
      </c>
      <c r="RNQ14" s="314" t="s">
        <v>203</v>
      </c>
      <c r="RNR14" s="314" t="s">
        <v>203</v>
      </c>
      <c r="RNS14" s="314" t="s">
        <v>203</v>
      </c>
      <c r="RNT14" s="314" t="s">
        <v>203</v>
      </c>
      <c r="RNU14" s="314" t="s">
        <v>203</v>
      </c>
      <c r="RNV14" s="314" t="s">
        <v>203</v>
      </c>
      <c r="RNW14" s="314" t="s">
        <v>203</v>
      </c>
      <c r="RNX14" s="314" t="s">
        <v>203</v>
      </c>
      <c r="RNY14" s="314" t="s">
        <v>203</v>
      </c>
      <c r="RNZ14" s="314" t="s">
        <v>203</v>
      </c>
      <c r="ROA14" s="314" t="s">
        <v>203</v>
      </c>
      <c r="ROB14" s="314" t="s">
        <v>203</v>
      </c>
      <c r="ROC14" s="314" t="s">
        <v>203</v>
      </c>
      <c r="ROD14" s="314" t="s">
        <v>203</v>
      </c>
      <c r="ROE14" s="314" t="s">
        <v>203</v>
      </c>
      <c r="ROF14" s="314" t="s">
        <v>203</v>
      </c>
      <c r="ROG14" s="314" t="s">
        <v>203</v>
      </c>
      <c r="ROH14" s="314" t="s">
        <v>203</v>
      </c>
      <c r="ROI14" s="314" t="s">
        <v>203</v>
      </c>
      <c r="ROJ14" s="314" t="s">
        <v>203</v>
      </c>
      <c r="ROK14" s="314" t="s">
        <v>203</v>
      </c>
      <c r="ROL14" s="314" t="s">
        <v>203</v>
      </c>
      <c r="ROM14" s="314" t="s">
        <v>203</v>
      </c>
      <c r="RON14" s="314" t="s">
        <v>203</v>
      </c>
      <c r="ROO14" s="314" t="s">
        <v>203</v>
      </c>
      <c r="ROP14" s="314" t="s">
        <v>203</v>
      </c>
      <c r="ROQ14" s="314" t="s">
        <v>203</v>
      </c>
      <c r="ROR14" s="314" t="s">
        <v>203</v>
      </c>
      <c r="ROS14" s="314" t="s">
        <v>203</v>
      </c>
      <c r="ROT14" s="314" t="s">
        <v>203</v>
      </c>
      <c r="ROU14" s="314" t="s">
        <v>203</v>
      </c>
      <c r="ROV14" s="314" t="s">
        <v>203</v>
      </c>
      <c r="ROW14" s="314" t="s">
        <v>203</v>
      </c>
      <c r="ROX14" s="314" t="s">
        <v>203</v>
      </c>
      <c r="ROY14" s="314" t="s">
        <v>203</v>
      </c>
      <c r="ROZ14" s="314" t="s">
        <v>203</v>
      </c>
      <c r="RPA14" s="314" t="s">
        <v>203</v>
      </c>
      <c r="RPB14" s="314" t="s">
        <v>203</v>
      </c>
      <c r="RPC14" s="314" t="s">
        <v>203</v>
      </c>
      <c r="RPD14" s="314" t="s">
        <v>203</v>
      </c>
      <c r="RPE14" s="314" t="s">
        <v>203</v>
      </c>
      <c r="RPF14" s="314" t="s">
        <v>203</v>
      </c>
      <c r="RPG14" s="314" t="s">
        <v>203</v>
      </c>
      <c r="RPH14" s="314" t="s">
        <v>203</v>
      </c>
      <c r="RPI14" s="314" t="s">
        <v>203</v>
      </c>
      <c r="RPJ14" s="314" t="s">
        <v>203</v>
      </c>
      <c r="RPK14" s="314" t="s">
        <v>203</v>
      </c>
      <c r="RPL14" s="314" t="s">
        <v>203</v>
      </c>
      <c r="RPM14" s="314" t="s">
        <v>203</v>
      </c>
      <c r="RPN14" s="314" t="s">
        <v>203</v>
      </c>
      <c r="RPO14" s="314" t="s">
        <v>203</v>
      </c>
      <c r="RPP14" s="314" t="s">
        <v>203</v>
      </c>
      <c r="RPQ14" s="314" t="s">
        <v>203</v>
      </c>
      <c r="RPR14" s="314" t="s">
        <v>203</v>
      </c>
      <c r="RPS14" s="314" t="s">
        <v>203</v>
      </c>
      <c r="RPT14" s="314" t="s">
        <v>203</v>
      </c>
      <c r="RPU14" s="314" t="s">
        <v>203</v>
      </c>
      <c r="RPV14" s="314" t="s">
        <v>203</v>
      </c>
      <c r="RPW14" s="314" t="s">
        <v>203</v>
      </c>
      <c r="RPX14" s="314" t="s">
        <v>203</v>
      </c>
      <c r="RPY14" s="314" t="s">
        <v>203</v>
      </c>
      <c r="RPZ14" s="314" t="s">
        <v>203</v>
      </c>
      <c r="RQA14" s="314" t="s">
        <v>203</v>
      </c>
      <c r="RQB14" s="314" t="s">
        <v>203</v>
      </c>
      <c r="RQC14" s="314" t="s">
        <v>203</v>
      </c>
      <c r="RQD14" s="314" t="s">
        <v>203</v>
      </c>
      <c r="RQE14" s="314" t="s">
        <v>203</v>
      </c>
      <c r="RQF14" s="314" t="s">
        <v>203</v>
      </c>
      <c r="RQG14" s="314" t="s">
        <v>203</v>
      </c>
      <c r="RQH14" s="314" t="s">
        <v>203</v>
      </c>
      <c r="RQI14" s="314" t="s">
        <v>203</v>
      </c>
      <c r="RQJ14" s="314" t="s">
        <v>203</v>
      </c>
      <c r="RQK14" s="314" t="s">
        <v>203</v>
      </c>
      <c r="RQL14" s="314" t="s">
        <v>203</v>
      </c>
      <c r="RQM14" s="314" t="s">
        <v>203</v>
      </c>
      <c r="RQN14" s="314" t="s">
        <v>203</v>
      </c>
      <c r="RQO14" s="314" t="s">
        <v>203</v>
      </c>
      <c r="RQP14" s="314" t="s">
        <v>203</v>
      </c>
      <c r="RQQ14" s="314" t="s">
        <v>203</v>
      </c>
      <c r="RQR14" s="314" t="s">
        <v>203</v>
      </c>
      <c r="RQS14" s="314" t="s">
        <v>203</v>
      </c>
      <c r="RQT14" s="314" t="s">
        <v>203</v>
      </c>
      <c r="RQU14" s="314" t="s">
        <v>203</v>
      </c>
      <c r="RQV14" s="314" t="s">
        <v>203</v>
      </c>
      <c r="RQW14" s="314" t="s">
        <v>203</v>
      </c>
      <c r="RQX14" s="314" t="s">
        <v>203</v>
      </c>
      <c r="RQY14" s="314" t="s">
        <v>203</v>
      </c>
      <c r="RQZ14" s="314" t="s">
        <v>203</v>
      </c>
      <c r="RRA14" s="314" t="s">
        <v>203</v>
      </c>
      <c r="RRB14" s="314" t="s">
        <v>203</v>
      </c>
      <c r="RRC14" s="314" t="s">
        <v>203</v>
      </c>
      <c r="RRD14" s="314" t="s">
        <v>203</v>
      </c>
      <c r="RRE14" s="314" t="s">
        <v>203</v>
      </c>
      <c r="RRF14" s="314" t="s">
        <v>203</v>
      </c>
      <c r="RRG14" s="314" t="s">
        <v>203</v>
      </c>
      <c r="RRH14" s="314" t="s">
        <v>203</v>
      </c>
      <c r="RRI14" s="314" t="s">
        <v>203</v>
      </c>
      <c r="RRJ14" s="314" t="s">
        <v>203</v>
      </c>
      <c r="RRK14" s="314" t="s">
        <v>203</v>
      </c>
      <c r="RRL14" s="314" t="s">
        <v>203</v>
      </c>
      <c r="RRM14" s="314" t="s">
        <v>203</v>
      </c>
      <c r="RRN14" s="314" t="s">
        <v>203</v>
      </c>
      <c r="RRO14" s="314" t="s">
        <v>203</v>
      </c>
      <c r="RRP14" s="314" t="s">
        <v>203</v>
      </c>
      <c r="RRQ14" s="314" t="s">
        <v>203</v>
      </c>
      <c r="RRR14" s="314" t="s">
        <v>203</v>
      </c>
      <c r="RRS14" s="314" t="s">
        <v>203</v>
      </c>
      <c r="RRT14" s="314" t="s">
        <v>203</v>
      </c>
      <c r="RRU14" s="314" t="s">
        <v>203</v>
      </c>
      <c r="RRV14" s="314" t="s">
        <v>203</v>
      </c>
      <c r="RRW14" s="314" t="s">
        <v>203</v>
      </c>
      <c r="RRX14" s="314" t="s">
        <v>203</v>
      </c>
      <c r="RRY14" s="314" t="s">
        <v>203</v>
      </c>
      <c r="RRZ14" s="314" t="s">
        <v>203</v>
      </c>
      <c r="RSA14" s="314" t="s">
        <v>203</v>
      </c>
      <c r="RSB14" s="314" t="s">
        <v>203</v>
      </c>
      <c r="RSC14" s="314" t="s">
        <v>203</v>
      </c>
      <c r="RSD14" s="314" t="s">
        <v>203</v>
      </c>
      <c r="RSE14" s="314" t="s">
        <v>203</v>
      </c>
      <c r="RSF14" s="314" t="s">
        <v>203</v>
      </c>
      <c r="RSG14" s="314" t="s">
        <v>203</v>
      </c>
      <c r="RSH14" s="314" t="s">
        <v>203</v>
      </c>
      <c r="RSI14" s="314" t="s">
        <v>203</v>
      </c>
      <c r="RSJ14" s="314" t="s">
        <v>203</v>
      </c>
      <c r="RSK14" s="314" t="s">
        <v>203</v>
      </c>
      <c r="RSL14" s="314" t="s">
        <v>203</v>
      </c>
      <c r="RSM14" s="314" t="s">
        <v>203</v>
      </c>
      <c r="RSN14" s="314" t="s">
        <v>203</v>
      </c>
      <c r="RSO14" s="314" t="s">
        <v>203</v>
      </c>
      <c r="RSP14" s="314" t="s">
        <v>203</v>
      </c>
      <c r="RSQ14" s="314" t="s">
        <v>203</v>
      </c>
      <c r="RSR14" s="314" t="s">
        <v>203</v>
      </c>
      <c r="RSS14" s="314" t="s">
        <v>203</v>
      </c>
      <c r="RST14" s="314" t="s">
        <v>203</v>
      </c>
      <c r="RSU14" s="314" t="s">
        <v>203</v>
      </c>
      <c r="RSV14" s="314" t="s">
        <v>203</v>
      </c>
      <c r="RSW14" s="314" t="s">
        <v>203</v>
      </c>
      <c r="RSX14" s="314" t="s">
        <v>203</v>
      </c>
      <c r="RSY14" s="314" t="s">
        <v>203</v>
      </c>
      <c r="RSZ14" s="314" t="s">
        <v>203</v>
      </c>
      <c r="RTA14" s="314" t="s">
        <v>203</v>
      </c>
      <c r="RTB14" s="314" t="s">
        <v>203</v>
      </c>
      <c r="RTC14" s="314" t="s">
        <v>203</v>
      </c>
      <c r="RTD14" s="314" t="s">
        <v>203</v>
      </c>
      <c r="RTE14" s="314" t="s">
        <v>203</v>
      </c>
      <c r="RTF14" s="314" t="s">
        <v>203</v>
      </c>
      <c r="RTG14" s="314" t="s">
        <v>203</v>
      </c>
      <c r="RTH14" s="314" t="s">
        <v>203</v>
      </c>
      <c r="RTI14" s="314" t="s">
        <v>203</v>
      </c>
      <c r="RTJ14" s="314" t="s">
        <v>203</v>
      </c>
      <c r="RTK14" s="314" t="s">
        <v>203</v>
      </c>
      <c r="RTL14" s="314" t="s">
        <v>203</v>
      </c>
      <c r="RTM14" s="314" t="s">
        <v>203</v>
      </c>
      <c r="RTN14" s="314" t="s">
        <v>203</v>
      </c>
      <c r="RTO14" s="314" t="s">
        <v>203</v>
      </c>
      <c r="RTP14" s="314" t="s">
        <v>203</v>
      </c>
      <c r="RTQ14" s="314" t="s">
        <v>203</v>
      </c>
      <c r="RTR14" s="314" t="s">
        <v>203</v>
      </c>
      <c r="RTS14" s="314" t="s">
        <v>203</v>
      </c>
      <c r="RTT14" s="314" t="s">
        <v>203</v>
      </c>
      <c r="RTU14" s="314" t="s">
        <v>203</v>
      </c>
      <c r="RTV14" s="314" t="s">
        <v>203</v>
      </c>
      <c r="RTW14" s="314" t="s">
        <v>203</v>
      </c>
      <c r="RTX14" s="314" t="s">
        <v>203</v>
      </c>
      <c r="RTY14" s="314" t="s">
        <v>203</v>
      </c>
      <c r="RTZ14" s="314" t="s">
        <v>203</v>
      </c>
      <c r="RUA14" s="314" t="s">
        <v>203</v>
      </c>
      <c r="RUB14" s="314" t="s">
        <v>203</v>
      </c>
      <c r="RUC14" s="314" t="s">
        <v>203</v>
      </c>
      <c r="RUD14" s="314" t="s">
        <v>203</v>
      </c>
      <c r="RUE14" s="314" t="s">
        <v>203</v>
      </c>
      <c r="RUF14" s="314" t="s">
        <v>203</v>
      </c>
      <c r="RUG14" s="314" t="s">
        <v>203</v>
      </c>
      <c r="RUH14" s="314" t="s">
        <v>203</v>
      </c>
      <c r="RUI14" s="314" t="s">
        <v>203</v>
      </c>
      <c r="RUJ14" s="314" t="s">
        <v>203</v>
      </c>
      <c r="RUK14" s="314" t="s">
        <v>203</v>
      </c>
      <c r="RUL14" s="314" t="s">
        <v>203</v>
      </c>
      <c r="RUM14" s="314" t="s">
        <v>203</v>
      </c>
      <c r="RUN14" s="314" t="s">
        <v>203</v>
      </c>
      <c r="RUO14" s="314" t="s">
        <v>203</v>
      </c>
      <c r="RUP14" s="314" t="s">
        <v>203</v>
      </c>
      <c r="RUQ14" s="314" t="s">
        <v>203</v>
      </c>
      <c r="RUR14" s="314" t="s">
        <v>203</v>
      </c>
      <c r="RUS14" s="314" t="s">
        <v>203</v>
      </c>
      <c r="RUT14" s="314" t="s">
        <v>203</v>
      </c>
      <c r="RUU14" s="314" t="s">
        <v>203</v>
      </c>
      <c r="RUV14" s="314" t="s">
        <v>203</v>
      </c>
      <c r="RUW14" s="314" t="s">
        <v>203</v>
      </c>
      <c r="RUX14" s="314" t="s">
        <v>203</v>
      </c>
      <c r="RUY14" s="314" t="s">
        <v>203</v>
      </c>
      <c r="RUZ14" s="314" t="s">
        <v>203</v>
      </c>
      <c r="RVA14" s="314" t="s">
        <v>203</v>
      </c>
      <c r="RVB14" s="314" t="s">
        <v>203</v>
      </c>
      <c r="RVC14" s="314" t="s">
        <v>203</v>
      </c>
      <c r="RVD14" s="314" t="s">
        <v>203</v>
      </c>
      <c r="RVE14" s="314" t="s">
        <v>203</v>
      </c>
      <c r="RVF14" s="314" t="s">
        <v>203</v>
      </c>
      <c r="RVG14" s="314" t="s">
        <v>203</v>
      </c>
      <c r="RVH14" s="314" t="s">
        <v>203</v>
      </c>
      <c r="RVI14" s="314" t="s">
        <v>203</v>
      </c>
      <c r="RVJ14" s="314" t="s">
        <v>203</v>
      </c>
      <c r="RVK14" s="314" t="s">
        <v>203</v>
      </c>
      <c r="RVL14" s="314" t="s">
        <v>203</v>
      </c>
      <c r="RVM14" s="314" t="s">
        <v>203</v>
      </c>
      <c r="RVN14" s="314" t="s">
        <v>203</v>
      </c>
      <c r="RVO14" s="314" t="s">
        <v>203</v>
      </c>
      <c r="RVP14" s="314" t="s">
        <v>203</v>
      </c>
      <c r="RVQ14" s="314" t="s">
        <v>203</v>
      </c>
      <c r="RVR14" s="314" t="s">
        <v>203</v>
      </c>
      <c r="RVS14" s="314" t="s">
        <v>203</v>
      </c>
      <c r="RVT14" s="314" t="s">
        <v>203</v>
      </c>
      <c r="RVU14" s="314" t="s">
        <v>203</v>
      </c>
      <c r="RVV14" s="314" t="s">
        <v>203</v>
      </c>
      <c r="RVW14" s="314" t="s">
        <v>203</v>
      </c>
      <c r="RVX14" s="314" t="s">
        <v>203</v>
      </c>
      <c r="RVY14" s="314" t="s">
        <v>203</v>
      </c>
      <c r="RVZ14" s="314" t="s">
        <v>203</v>
      </c>
      <c r="RWA14" s="314" t="s">
        <v>203</v>
      </c>
      <c r="RWB14" s="314" t="s">
        <v>203</v>
      </c>
      <c r="RWC14" s="314" t="s">
        <v>203</v>
      </c>
      <c r="RWD14" s="314" t="s">
        <v>203</v>
      </c>
      <c r="RWE14" s="314" t="s">
        <v>203</v>
      </c>
      <c r="RWF14" s="314" t="s">
        <v>203</v>
      </c>
      <c r="RWG14" s="314" t="s">
        <v>203</v>
      </c>
      <c r="RWH14" s="314" t="s">
        <v>203</v>
      </c>
      <c r="RWI14" s="314" t="s">
        <v>203</v>
      </c>
      <c r="RWJ14" s="314" t="s">
        <v>203</v>
      </c>
      <c r="RWK14" s="314" t="s">
        <v>203</v>
      </c>
      <c r="RWL14" s="314" t="s">
        <v>203</v>
      </c>
      <c r="RWM14" s="314" t="s">
        <v>203</v>
      </c>
      <c r="RWN14" s="314" t="s">
        <v>203</v>
      </c>
      <c r="RWO14" s="314" t="s">
        <v>203</v>
      </c>
      <c r="RWP14" s="314" t="s">
        <v>203</v>
      </c>
      <c r="RWQ14" s="314" t="s">
        <v>203</v>
      </c>
      <c r="RWR14" s="314" t="s">
        <v>203</v>
      </c>
      <c r="RWS14" s="314" t="s">
        <v>203</v>
      </c>
      <c r="RWT14" s="314" t="s">
        <v>203</v>
      </c>
      <c r="RWU14" s="314" t="s">
        <v>203</v>
      </c>
      <c r="RWV14" s="314" t="s">
        <v>203</v>
      </c>
      <c r="RWW14" s="314" t="s">
        <v>203</v>
      </c>
      <c r="RWX14" s="314" t="s">
        <v>203</v>
      </c>
      <c r="RWY14" s="314" t="s">
        <v>203</v>
      </c>
      <c r="RWZ14" s="314" t="s">
        <v>203</v>
      </c>
      <c r="RXA14" s="314" t="s">
        <v>203</v>
      </c>
      <c r="RXB14" s="314" t="s">
        <v>203</v>
      </c>
      <c r="RXC14" s="314" t="s">
        <v>203</v>
      </c>
      <c r="RXD14" s="314" t="s">
        <v>203</v>
      </c>
      <c r="RXE14" s="314" t="s">
        <v>203</v>
      </c>
      <c r="RXF14" s="314" t="s">
        <v>203</v>
      </c>
      <c r="RXG14" s="314" t="s">
        <v>203</v>
      </c>
      <c r="RXH14" s="314" t="s">
        <v>203</v>
      </c>
      <c r="RXI14" s="314" t="s">
        <v>203</v>
      </c>
      <c r="RXJ14" s="314" t="s">
        <v>203</v>
      </c>
      <c r="RXK14" s="314" t="s">
        <v>203</v>
      </c>
      <c r="RXL14" s="314" t="s">
        <v>203</v>
      </c>
      <c r="RXM14" s="314" t="s">
        <v>203</v>
      </c>
      <c r="RXN14" s="314" t="s">
        <v>203</v>
      </c>
      <c r="RXO14" s="314" t="s">
        <v>203</v>
      </c>
      <c r="RXP14" s="314" t="s">
        <v>203</v>
      </c>
      <c r="RXQ14" s="314" t="s">
        <v>203</v>
      </c>
      <c r="RXR14" s="314" t="s">
        <v>203</v>
      </c>
      <c r="RXS14" s="314" t="s">
        <v>203</v>
      </c>
      <c r="RXT14" s="314" t="s">
        <v>203</v>
      </c>
      <c r="RXU14" s="314" t="s">
        <v>203</v>
      </c>
      <c r="RXV14" s="314" t="s">
        <v>203</v>
      </c>
      <c r="RXW14" s="314" t="s">
        <v>203</v>
      </c>
      <c r="RXX14" s="314" t="s">
        <v>203</v>
      </c>
      <c r="RXY14" s="314" t="s">
        <v>203</v>
      </c>
      <c r="RXZ14" s="314" t="s">
        <v>203</v>
      </c>
      <c r="RYA14" s="314" t="s">
        <v>203</v>
      </c>
      <c r="RYB14" s="314" t="s">
        <v>203</v>
      </c>
      <c r="RYC14" s="314" t="s">
        <v>203</v>
      </c>
      <c r="RYD14" s="314" t="s">
        <v>203</v>
      </c>
      <c r="RYE14" s="314" t="s">
        <v>203</v>
      </c>
      <c r="RYF14" s="314" t="s">
        <v>203</v>
      </c>
      <c r="RYG14" s="314" t="s">
        <v>203</v>
      </c>
      <c r="RYH14" s="314" t="s">
        <v>203</v>
      </c>
      <c r="RYI14" s="314" t="s">
        <v>203</v>
      </c>
      <c r="RYJ14" s="314" t="s">
        <v>203</v>
      </c>
      <c r="RYK14" s="314" t="s">
        <v>203</v>
      </c>
      <c r="RYL14" s="314" t="s">
        <v>203</v>
      </c>
      <c r="RYM14" s="314" t="s">
        <v>203</v>
      </c>
      <c r="RYN14" s="314" t="s">
        <v>203</v>
      </c>
      <c r="RYO14" s="314" t="s">
        <v>203</v>
      </c>
      <c r="RYP14" s="314" t="s">
        <v>203</v>
      </c>
      <c r="RYQ14" s="314" t="s">
        <v>203</v>
      </c>
      <c r="RYR14" s="314" t="s">
        <v>203</v>
      </c>
      <c r="RYS14" s="314" t="s">
        <v>203</v>
      </c>
      <c r="RYT14" s="314" t="s">
        <v>203</v>
      </c>
      <c r="RYU14" s="314" t="s">
        <v>203</v>
      </c>
      <c r="RYV14" s="314" t="s">
        <v>203</v>
      </c>
      <c r="RYW14" s="314" t="s">
        <v>203</v>
      </c>
      <c r="RYX14" s="314" t="s">
        <v>203</v>
      </c>
      <c r="RYY14" s="314" t="s">
        <v>203</v>
      </c>
      <c r="RYZ14" s="314" t="s">
        <v>203</v>
      </c>
      <c r="RZA14" s="314" t="s">
        <v>203</v>
      </c>
      <c r="RZB14" s="314" t="s">
        <v>203</v>
      </c>
      <c r="RZC14" s="314" t="s">
        <v>203</v>
      </c>
      <c r="RZD14" s="314" t="s">
        <v>203</v>
      </c>
      <c r="RZE14" s="314" t="s">
        <v>203</v>
      </c>
      <c r="RZF14" s="314" t="s">
        <v>203</v>
      </c>
      <c r="RZG14" s="314" t="s">
        <v>203</v>
      </c>
      <c r="RZH14" s="314" t="s">
        <v>203</v>
      </c>
      <c r="RZI14" s="314" t="s">
        <v>203</v>
      </c>
      <c r="RZJ14" s="314" t="s">
        <v>203</v>
      </c>
      <c r="RZK14" s="314" t="s">
        <v>203</v>
      </c>
      <c r="RZL14" s="314" t="s">
        <v>203</v>
      </c>
      <c r="RZM14" s="314" t="s">
        <v>203</v>
      </c>
      <c r="RZN14" s="314" t="s">
        <v>203</v>
      </c>
      <c r="RZO14" s="314" t="s">
        <v>203</v>
      </c>
      <c r="RZP14" s="314" t="s">
        <v>203</v>
      </c>
      <c r="RZQ14" s="314" t="s">
        <v>203</v>
      </c>
      <c r="RZR14" s="314" t="s">
        <v>203</v>
      </c>
      <c r="RZS14" s="314" t="s">
        <v>203</v>
      </c>
      <c r="RZT14" s="314" t="s">
        <v>203</v>
      </c>
      <c r="RZU14" s="314" t="s">
        <v>203</v>
      </c>
      <c r="RZV14" s="314" t="s">
        <v>203</v>
      </c>
      <c r="RZW14" s="314" t="s">
        <v>203</v>
      </c>
      <c r="RZX14" s="314" t="s">
        <v>203</v>
      </c>
      <c r="RZY14" s="314" t="s">
        <v>203</v>
      </c>
      <c r="RZZ14" s="314" t="s">
        <v>203</v>
      </c>
      <c r="SAA14" s="314" t="s">
        <v>203</v>
      </c>
      <c r="SAB14" s="314" t="s">
        <v>203</v>
      </c>
      <c r="SAC14" s="314" t="s">
        <v>203</v>
      </c>
      <c r="SAD14" s="314" t="s">
        <v>203</v>
      </c>
      <c r="SAE14" s="314" t="s">
        <v>203</v>
      </c>
      <c r="SAF14" s="314" t="s">
        <v>203</v>
      </c>
      <c r="SAG14" s="314" t="s">
        <v>203</v>
      </c>
      <c r="SAH14" s="314" t="s">
        <v>203</v>
      </c>
      <c r="SAI14" s="314" t="s">
        <v>203</v>
      </c>
      <c r="SAJ14" s="314" t="s">
        <v>203</v>
      </c>
      <c r="SAK14" s="314" t="s">
        <v>203</v>
      </c>
      <c r="SAL14" s="314" t="s">
        <v>203</v>
      </c>
      <c r="SAM14" s="314" t="s">
        <v>203</v>
      </c>
      <c r="SAN14" s="314" t="s">
        <v>203</v>
      </c>
      <c r="SAO14" s="314" t="s">
        <v>203</v>
      </c>
      <c r="SAP14" s="314" t="s">
        <v>203</v>
      </c>
      <c r="SAQ14" s="314" t="s">
        <v>203</v>
      </c>
      <c r="SAR14" s="314" t="s">
        <v>203</v>
      </c>
      <c r="SAS14" s="314" t="s">
        <v>203</v>
      </c>
      <c r="SAT14" s="314" t="s">
        <v>203</v>
      </c>
      <c r="SAU14" s="314" t="s">
        <v>203</v>
      </c>
      <c r="SAV14" s="314" t="s">
        <v>203</v>
      </c>
      <c r="SAW14" s="314" t="s">
        <v>203</v>
      </c>
      <c r="SAX14" s="314" t="s">
        <v>203</v>
      </c>
      <c r="SAY14" s="314" t="s">
        <v>203</v>
      </c>
      <c r="SAZ14" s="314" t="s">
        <v>203</v>
      </c>
      <c r="SBA14" s="314" t="s">
        <v>203</v>
      </c>
      <c r="SBB14" s="314" t="s">
        <v>203</v>
      </c>
      <c r="SBC14" s="314" t="s">
        <v>203</v>
      </c>
      <c r="SBD14" s="314" t="s">
        <v>203</v>
      </c>
      <c r="SBE14" s="314" t="s">
        <v>203</v>
      </c>
      <c r="SBF14" s="314" t="s">
        <v>203</v>
      </c>
      <c r="SBG14" s="314" t="s">
        <v>203</v>
      </c>
      <c r="SBH14" s="314" t="s">
        <v>203</v>
      </c>
      <c r="SBI14" s="314" t="s">
        <v>203</v>
      </c>
      <c r="SBJ14" s="314" t="s">
        <v>203</v>
      </c>
      <c r="SBK14" s="314" t="s">
        <v>203</v>
      </c>
      <c r="SBL14" s="314" t="s">
        <v>203</v>
      </c>
      <c r="SBM14" s="314" t="s">
        <v>203</v>
      </c>
      <c r="SBN14" s="314" t="s">
        <v>203</v>
      </c>
      <c r="SBO14" s="314" t="s">
        <v>203</v>
      </c>
      <c r="SBP14" s="314" t="s">
        <v>203</v>
      </c>
      <c r="SBQ14" s="314" t="s">
        <v>203</v>
      </c>
      <c r="SBR14" s="314" t="s">
        <v>203</v>
      </c>
      <c r="SBS14" s="314" t="s">
        <v>203</v>
      </c>
      <c r="SBT14" s="314" t="s">
        <v>203</v>
      </c>
      <c r="SBU14" s="314" t="s">
        <v>203</v>
      </c>
      <c r="SBV14" s="314" t="s">
        <v>203</v>
      </c>
      <c r="SBW14" s="314" t="s">
        <v>203</v>
      </c>
      <c r="SBX14" s="314" t="s">
        <v>203</v>
      </c>
      <c r="SBY14" s="314" t="s">
        <v>203</v>
      </c>
      <c r="SBZ14" s="314" t="s">
        <v>203</v>
      </c>
      <c r="SCA14" s="314" t="s">
        <v>203</v>
      </c>
      <c r="SCB14" s="314" t="s">
        <v>203</v>
      </c>
      <c r="SCC14" s="314" t="s">
        <v>203</v>
      </c>
      <c r="SCD14" s="314" t="s">
        <v>203</v>
      </c>
      <c r="SCE14" s="314" t="s">
        <v>203</v>
      </c>
      <c r="SCF14" s="314" t="s">
        <v>203</v>
      </c>
      <c r="SCG14" s="314" t="s">
        <v>203</v>
      </c>
      <c r="SCH14" s="314" t="s">
        <v>203</v>
      </c>
      <c r="SCI14" s="314" t="s">
        <v>203</v>
      </c>
      <c r="SCJ14" s="314" t="s">
        <v>203</v>
      </c>
      <c r="SCK14" s="314" t="s">
        <v>203</v>
      </c>
      <c r="SCL14" s="314" t="s">
        <v>203</v>
      </c>
      <c r="SCM14" s="314" t="s">
        <v>203</v>
      </c>
      <c r="SCN14" s="314" t="s">
        <v>203</v>
      </c>
      <c r="SCO14" s="314" t="s">
        <v>203</v>
      </c>
      <c r="SCP14" s="314" t="s">
        <v>203</v>
      </c>
      <c r="SCQ14" s="314" t="s">
        <v>203</v>
      </c>
      <c r="SCR14" s="314" t="s">
        <v>203</v>
      </c>
      <c r="SCS14" s="314" t="s">
        <v>203</v>
      </c>
      <c r="SCT14" s="314" t="s">
        <v>203</v>
      </c>
      <c r="SCU14" s="314" t="s">
        <v>203</v>
      </c>
      <c r="SCV14" s="314" t="s">
        <v>203</v>
      </c>
      <c r="SCW14" s="314" t="s">
        <v>203</v>
      </c>
      <c r="SCX14" s="314" t="s">
        <v>203</v>
      </c>
      <c r="SCY14" s="314" t="s">
        <v>203</v>
      </c>
      <c r="SCZ14" s="314" t="s">
        <v>203</v>
      </c>
      <c r="SDA14" s="314" t="s">
        <v>203</v>
      </c>
      <c r="SDB14" s="314" t="s">
        <v>203</v>
      </c>
      <c r="SDC14" s="314" t="s">
        <v>203</v>
      </c>
      <c r="SDD14" s="314" t="s">
        <v>203</v>
      </c>
      <c r="SDE14" s="314" t="s">
        <v>203</v>
      </c>
      <c r="SDF14" s="314" t="s">
        <v>203</v>
      </c>
      <c r="SDG14" s="314" t="s">
        <v>203</v>
      </c>
      <c r="SDH14" s="314" t="s">
        <v>203</v>
      </c>
      <c r="SDI14" s="314" t="s">
        <v>203</v>
      </c>
      <c r="SDJ14" s="314" t="s">
        <v>203</v>
      </c>
      <c r="SDK14" s="314" t="s">
        <v>203</v>
      </c>
      <c r="SDL14" s="314" t="s">
        <v>203</v>
      </c>
      <c r="SDM14" s="314" t="s">
        <v>203</v>
      </c>
      <c r="SDN14" s="314" t="s">
        <v>203</v>
      </c>
      <c r="SDO14" s="314" t="s">
        <v>203</v>
      </c>
      <c r="SDP14" s="314" t="s">
        <v>203</v>
      </c>
      <c r="SDQ14" s="314" t="s">
        <v>203</v>
      </c>
      <c r="SDR14" s="314" t="s">
        <v>203</v>
      </c>
      <c r="SDS14" s="314" t="s">
        <v>203</v>
      </c>
      <c r="SDT14" s="314" t="s">
        <v>203</v>
      </c>
      <c r="SDU14" s="314" t="s">
        <v>203</v>
      </c>
      <c r="SDV14" s="314" t="s">
        <v>203</v>
      </c>
      <c r="SDW14" s="314" t="s">
        <v>203</v>
      </c>
      <c r="SDX14" s="314" t="s">
        <v>203</v>
      </c>
      <c r="SDY14" s="314" t="s">
        <v>203</v>
      </c>
      <c r="SDZ14" s="314" t="s">
        <v>203</v>
      </c>
      <c r="SEA14" s="314" t="s">
        <v>203</v>
      </c>
      <c r="SEB14" s="314" t="s">
        <v>203</v>
      </c>
      <c r="SEC14" s="314" t="s">
        <v>203</v>
      </c>
      <c r="SED14" s="314" t="s">
        <v>203</v>
      </c>
      <c r="SEE14" s="314" t="s">
        <v>203</v>
      </c>
      <c r="SEF14" s="314" t="s">
        <v>203</v>
      </c>
      <c r="SEG14" s="314" t="s">
        <v>203</v>
      </c>
      <c r="SEH14" s="314" t="s">
        <v>203</v>
      </c>
      <c r="SEI14" s="314" t="s">
        <v>203</v>
      </c>
      <c r="SEJ14" s="314" t="s">
        <v>203</v>
      </c>
      <c r="SEK14" s="314" t="s">
        <v>203</v>
      </c>
      <c r="SEL14" s="314" t="s">
        <v>203</v>
      </c>
      <c r="SEM14" s="314" t="s">
        <v>203</v>
      </c>
      <c r="SEN14" s="314" t="s">
        <v>203</v>
      </c>
      <c r="SEO14" s="314" t="s">
        <v>203</v>
      </c>
      <c r="SEP14" s="314" t="s">
        <v>203</v>
      </c>
      <c r="SEQ14" s="314" t="s">
        <v>203</v>
      </c>
      <c r="SER14" s="314" t="s">
        <v>203</v>
      </c>
      <c r="SES14" s="314" t="s">
        <v>203</v>
      </c>
      <c r="SET14" s="314" t="s">
        <v>203</v>
      </c>
      <c r="SEU14" s="314" t="s">
        <v>203</v>
      </c>
      <c r="SEV14" s="314" t="s">
        <v>203</v>
      </c>
      <c r="SEW14" s="314" t="s">
        <v>203</v>
      </c>
      <c r="SEX14" s="314" t="s">
        <v>203</v>
      </c>
      <c r="SEY14" s="314" t="s">
        <v>203</v>
      </c>
      <c r="SEZ14" s="314" t="s">
        <v>203</v>
      </c>
      <c r="SFA14" s="314" t="s">
        <v>203</v>
      </c>
      <c r="SFB14" s="314" t="s">
        <v>203</v>
      </c>
      <c r="SFC14" s="314" t="s">
        <v>203</v>
      </c>
      <c r="SFD14" s="314" t="s">
        <v>203</v>
      </c>
      <c r="SFE14" s="314" t="s">
        <v>203</v>
      </c>
      <c r="SFF14" s="314" t="s">
        <v>203</v>
      </c>
      <c r="SFG14" s="314" t="s">
        <v>203</v>
      </c>
      <c r="SFH14" s="314" t="s">
        <v>203</v>
      </c>
      <c r="SFI14" s="314" t="s">
        <v>203</v>
      </c>
      <c r="SFJ14" s="314" t="s">
        <v>203</v>
      </c>
      <c r="SFK14" s="314" t="s">
        <v>203</v>
      </c>
      <c r="SFL14" s="314" t="s">
        <v>203</v>
      </c>
      <c r="SFM14" s="314" t="s">
        <v>203</v>
      </c>
      <c r="SFN14" s="314" t="s">
        <v>203</v>
      </c>
      <c r="SFO14" s="314" t="s">
        <v>203</v>
      </c>
      <c r="SFP14" s="314" t="s">
        <v>203</v>
      </c>
      <c r="SFQ14" s="314" t="s">
        <v>203</v>
      </c>
      <c r="SFR14" s="314" t="s">
        <v>203</v>
      </c>
      <c r="SFS14" s="314" t="s">
        <v>203</v>
      </c>
      <c r="SFT14" s="314" t="s">
        <v>203</v>
      </c>
      <c r="SFU14" s="314" t="s">
        <v>203</v>
      </c>
      <c r="SFV14" s="314" t="s">
        <v>203</v>
      </c>
      <c r="SFW14" s="314" t="s">
        <v>203</v>
      </c>
      <c r="SFX14" s="314" t="s">
        <v>203</v>
      </c>
      <c r="SFY14" s="314" t="s">
        <v>203</v>
      </c>
      <c r="SFZ14" s="314" t="s">
        <v>203</v>
      </c>
      <c r="SGA14" s="314" t="s">
        <v>203</v>
      </c>
      <c r="SGB14" s="314" t="s">
        <v>203</v>
      </c>
      <c r="SGC14" s="314" t="s">
        <v>203</v>
      </c>
      <c r="SGD14" s="314" t="s">
        <v>203</v>
      </c>
      <c r="SGE14" s="314" t="s">
        <v>203</v>
      </c>
      <c r="SGF14" s="314" t="s">
        <v>203</v>
      </c>
      <c r="SGG14" s="314" t="s">
        <v>203</v>
      </c>
      <c r="SGH14" s="314" t="s">
        <v>203</v>
      </c>
      <c r="SGI14" s="314" t="s">
        <v>203</v>
      </c>
      <c r="SGJ14" s="314" t="s">
        <v>203</v>
      </c>
      <c r="SGK14" s="314" t="s">
        <v>203</v>
      </c>
      <c r="SGL14" s="314" t="s">
        <v>203</v>
      </c>
      <c r="SGM14" s="314" t="s">
        <v>203</v>
      </c>
      <c r="SGN14" s="314" t="s">
        <v>203</v>
      </c>
      <c r="SGO14" s="314" t="s">
        <v>203</v>
      </c>
      <c r="SGP14" s="314" t="s">
        <v>203</v>
      </c>
      <c r="SGQ14" s="314" t="s">
        <v>203</v>
      </c>
      <c r="SGR14" s="314" t="s">
        <v>203</v>
      </c>
      <c r="SGS14" s="314" t="s">
        <v>203</v>
      </c>
      <c r="SGT14" s="314" t="s">
        <v>203</v>
      </c>
      <c r="SGU14" s="314" t="s">
        <v>203</v>
      </c>
      <c r="SGV14" s="314" t="s">
        <v>203</v>
      </c>
      <c r="SGW14" s="314" t="s">
        <v>203</v>
      </c>
      <c r="SGX14" s="314" t="s">
        <v>203</v>
      </c>
      <c r="SGY14" s="314" t="s">
        <v>203</v>
      </c>
      <c r="SGZ14" s="314" t="s">
        <v>203</v>
      </c>
      <c r="SHA14" s="314" t="s">
        <v>203</v>
      </c>
      <c r="SHB14" s="314" t="s">
        <v>203</v>
      </c>
      <c r="SHC14" s="314" t="s">
        <v>203</v>
      </c>
      <c r="SHD14" s="314" t="s">
        <v>203</v>
      </c>
      <c r="SHE14" s="314" t="s">
        <v>203</v>
      </c>
      <c r="SHF14" s="314" t="s">
        <v>203</v>
      </c>
      <c r="SHG14" s="314" t="s">
        <v>203</v>
      </c>
      <c r="SHH14" s="314" t="s">
        <v>203</v>
      </c>
      <c r="SHI14" s="314" t="s">
        <v>203</v>
      </c>
      <c r="SHJ14" s="314" t="s">
        <v>203</v>
      </c>
      <c r="SHK14" s="314" t="s">
        <v>203</v>
      </c>
      <c r="SHL14" s="314" t="s">
        <v>203</v>
      </c>
      <c r="SHM14" s="314" t="s">
        <v>203</v>
      </c>
      <c r="SHN14" s="314" t="s">
        <v>203</v>
      </c>
      <c r="SHO14" s="314" t="s">
        <v>203</v>
      </c>
      <c r="SHP14" s="314" t="s">
        <v>203</v>
      </c>
      <c r="SHQ14" s="314" t="s">
        <v>203</v>
      </c>
      <c r="SHR14" s="314" t="s">
        <v>203</v>
      </c>
      <c r="SHS14" s="314" t="s">
        <v>203</v>
      </c>
      <c r="SHT14" s="314" t="s">
        <v>203</v>
      </c>
      <c r="SHU14" s="314" t="s">
        <v>203</v>
      </c>
      <c r="SHV14" s="314" t="s">
        <v>203</v>
      </c>
      <c r="SHW14" s="314" t="s">
        <v>203</v>
      </c>
      <c r="SHX14" s="314" t="s">
        <v>203</v>
      </c>
      <c r="SHY14" s="314" t="s">
        <v>203</v>
      </c>
      <c r="SHZ14" s="314" t="s">
        <v>203</v>
      </c>
      <c r="SIA14" s="314" t="s">
        <v>203</v>
      </c>
      <c r="SIB14" s="314" t="s">
        <v>203</v>
      </c>
      <c r="SIC14" s="314" t="s">
        <v>203</v>
      </c>
      <c r="SID14" s="314" t="s">
        <v>203</v>
      </c>
      <c r="SIE14" s="314" t="s">
        <v>203</v>
      </c>
      <c r="SIF14" s="314" t="s">
        <v>203</v>
      </c>
      <c r="SIG14" s="314" t="s">
        <v>203</v>
      </c>
      <c r="SIH14" s="314" t="s">
        <v>203</v>
      </c>
      <c r="SII14" s="314" t="s">
        <v>203</v>
      </c>
      <c r="SIJ14" s="314" t="s">
        <v>203</v>
      </c>
      <c r="SIK14" s="314" t="s">
        <v>203</v>
      </c>
      <c r="SIL14" s="314" t="s">
        <v>203</v>
      </c>
      <c r="SIM14" s="314" t="s">
        <v>203</v>
      </c>
      <c r="SIN14" s="314" t="s">
        <v>203</v>
      </c>
      <c r="SIO14" s="314" t="s">
        <v>203</v>
      </c>
      <c r="SIP14" s="314" t="s">
        <v>203</v>
      </c>
      <c r="SIQ14" s="314" t="s">
        <v>203</v>
      </c>
      <c r="SIR14" s="314" t="s">
        <v>203</v>
      </c>
      <c r="SIS14" s="314" t="s">
        <v>203</v>
      </c>
      <c r="SIT14" s="314" t="s">
        <v>203</v>
      </c>
      <c r="SIU14" s="314" t="s">
        <v>203</v>
      </c>
      <c r="SIV14" s="314" t="s">
        <v>203</v>
      </c>
      <c r="SIW14" s="314" t="s">
        <v>203</v>
      </c>
      <c r="SIX14" s="314" t="s">
        <v>203</v>
      </c>
      <c r="SIY14" s="314" t="s">
        <v>203</v>
      </c>
      <c r="SIZ14" s="314" t="s">
        <v>203</v>
      </c>
      <c r="SJA14" s="314" t="s">
        <v>203</v>
      </c>
      <c r="SJB14" s="314" t="s">
        <v>203</v>
      </c>
      <c r="SJC14" s="314" t="s">
        <v>203</v>
      </c>
      <c r="SJD14" s="314" t="s">
        <v>203</v>
      </c>
      <c r="SJE14" s="314" t="s">
        <v>203</v>
      </c>
      <c r="SJF14" s="314" t="s">
        <v>203</v>
      </c>
      <c r="SJG14" s="314" t="s">
        <v>203</v>
      </c>
      <c r="SJH14" s="314" t="s">
        <v>203</v>
      </c>
      <c r="SJI14" s="314" t="s">
        <v>203</v>
      </c>
      <c r="SJJ14" s="314" t="s">
        <v>203</v>
      </c>
      <c r="SJK14" s="314" t="s">
        <v>203</v>
      </c>
      <c r="SJL14" s="314" t="s">
        <v>203</v>
      </c>
      <c r="SJM14" s="314" t="s">
        <v>203</v>
      </c>
      <c r="SJN14" s="314" t="s">
        <v>203</v>
      </c>
      <c r="SJO14" s="314" t="s">
        <v>203</v>
      </c>
      <c r="SJP14" s="314" t="s">
        <v>203</v>
      </c>
      <c r="SJQ14" s="314" t="s">
        <v>203</v>
      </c>
      <c r="SJR14" s="314" t="s">
        <v>203</v>
      </c>
      <c r="SJS14" s="314" t="s">
        <v>203</v>
      </c>
      <c r="SJT14" s="314" t="s">
        <v>203</v>
      </c>
      <c r="SJU14" s="314" t="s">
        <v>203</v>
      </c>
      <c r="SJV14" s="314" t="s">
        <v>203</v>
      </c>
      <c r="SJW14" s="314" t="s">
        <v>203</v>
      </c>
      <c r="SJX14" s="314" t="s">
        <v>203</v>
      </c>
      <c r="SJY14" s="314" t="s">
        <v>203</v>
      </c>
      <c r="SJZ14" s="314" t="s">
        <v>203</v>
      </c>
      <c r="SKA14" s="314" t="s">
        <v>203</v>
      </c>
      <c r="SKB14" s="314" t="s">
        <v>203</v>
      </c>
      <c r="SKC14" s="314" t="s">
        <v>203</v>
      </c>
      <c r="SKD14" s="314" t="s">
        <v>203</v>
      </c>
      <c r="SKE14" s="314" t="s">
        <v>203</v>
      </c>
      <c r="SKF14" s="314" t="s">
        <v>203</v>
      </c>
      <c r="SKG14" s="314" t="s">
        <v>203</v>
      </c>
      <c r="SKH14" s="314" t="s">
        <v>203</v>
      </c>
      <c r="SKI14" s="314" t="s">
        <v>203</v>
      </c>
      <c r="SKJ14" s="314" t="s">
        <v>203</v>
      </c>
      <c r="SKK14" s="314" t="s">
        <v>203</v>
      </c>
      <c r="SKL14" s="314" t="s">
        <v>203</v>
      </c>
      <c r="SKM14" s="314" t="s">
        <v>203</v>
      </c>
      <c r="SKN14" s="314" t="s">
        <v>203</v>
      </c>
      <c r="SKO14" s="314" t="s">
        <v>203</v>
      </c>
      <c r="SKP14" s="314" t="s">
        <v>203</v>
      </c>
      <c r="SKQ14" s="314" t="s">
        <v>203</v>
      </c>
      <c r="SKR14" s="314" t="s">
        <v>203</v>
      </c>
      <c r="SKS14" s="314" t="s">
        <v>203</v>
      </c>
      <c r="SKT14" s="314" t="s">
        <v>203</v>
      </c>
      <c r="SKU14" s="314" t="s">
        <v>203</v>
      </c>
      <c r="SKV14" s="314" t="s">
        <v>203</v>
      </c>
      <c r="SKW14" s="314" t="s">
        <v>203</v>
      </c>
      <c r="SKX14" s="314" t="s">
        <v>203</v>
      </c>
      <c r="SKY14" s="314" t="s">
        <v>203</v>
      </c>
      <c r="SKZ14" s="314" t="s">
        <v>203</v>
      </c>
      <c r="SLA14" s="314" t="s">
        <v>203</v>
      </c>
      <c r="SLB14" s="314" t="s">
        <v>203</v>
      </c>
      <c r="SLC14" s="314" t="s">
        <v>203</v>
      </c>
      <c r="SLD14" s="314" t="s">
        <v>203</v>
      </c>
      <c r="SLE14" s="314" t="s">
        <v>203</v>
      </c>
      <c r="SLF14" s="314" t="s">
        <v>203</v>
      </c>
      <c r="SLG14" s="314" t="s">
        <v>203</v>
      </c>
      <c r="SLH14" s="314" t="s">
        <v>203</v>
      </c>
      <c r="SLI14" s="314" t="s">
        <v>203</v>
      </c>
      <c r="SLJ14" s="314" t="s">
        <v>203</v>
      </c>
      <c r="SLK14" s="314" t="s">
        <v>203</v>
      </c>
      <c r="SLL14" s="314" t="s">
        <v>203</v>
      </c>
      <c r="SLM14" s="314" t="s">
        <v>203</v>
      </c>
      <c r="SLN14" s="314" t="s">
        <v>203</v>
      </c>
      <c r="SLO14" s="314" t="s">
        <v>203</v>
      </c>
      <c r="SLP14" s="314" t="s">
        <v>203</v>
      </c>
      <c r="SLQ14" s="314" t="s">
        <v>203</v>
      </c>
      <c r="SLR14" s="314" t="s">
        <v>203</v>
      </c>
      <c r="SLS14" s="314" t="s">
        <v>203</v>
      </c>
      <c r="SLT14" s="314" t="s">
        <v>203</v>
      </c>
      <c r="SLU14" s="314" t="s">
        <v>203</v>
      </c>
      <c r="SLV14" s="314" t="s">
        <v>203</v>
      </c>
      <c r="SLW14" s="314" t="s">
        <v>203</v>
      </c>
      <c r="SLX14" s="314" t="s">
        <v>203</v>
      </c>
      <c r="SLY14" s="314" t="s">
        <v>203</v>
      </c>
      <c r="SLZ14" s="314" t="s">
        <v>203</v>
      </c>
      <c r="SMA14" s="314" t="s">
        <v>203</v>
      </c>
      <c r="SMB14" s="314" t="s">
        <v>203</v>
      </c>
      <c r="SMC14" s="314" t="s">
        <v>203</v>
      </c>
      <c r="SMD14" s="314" t="s">
        <v>203</v>
      </c>
      <c r="SME14" s="314" t="s">
        <v>203</v>
      </c>
      <c r="SMF14" s="314" t="s">
        <v>203</v>
      </c>
      <c r="SMG14" s="314" t="s">
        <v>203</v>
      </c>
      <c r="SMH14" s="314" t="s">
        <v>203</v>
      </c>
      <c r="SMI14" s="314" t="s">
        <v>203</v>
      </c>
      <c r="SMJ14" s="314" t="s">
        <v>203</v>
      </c>
      <c r="SMK14" s="314" t="s">
        <v>203</v>
      </c>
      <c r="SML14" s="314" t="s">
        <v>203</v>
      </c>
      <c r="SMM14" s="314" t="s">
        <v>203</v>
      </c>
      <c r="SMN14" s="314" t="s">
        <v>203</v>
      </c>
      <c r="SMO14" s="314" t="s">
        <v>203</v>
      </c>
      <c r="SMP14" s="314" t="s">
        <v>203</v>
      </c>
      <c r="SMQ14" s="314" t="s">
        <v>203</v>
      </c>
      <c r="SMR14" s="314" t="s">
        <v>203</v>
      </c>
      <c r="SMS14" s="314" t="s">
        <v>203</v>
      </c>
      <c r="SMT14" s="314" t="s">
        <v>203</v>
      </c>
      <c r="SMU14" s="314" t="s">
        <v>203</v>
      </c>
      <c r="SMV14" s="314" t="s">
        <v>203</v>
      </c>
      <c r="SMW14" s="314" t="s">
        <v>203</v>
      </c>
      <c r="SMX14" s="314" t="s">
        <v>203</v>
      </c>
      <c r="SMY14" s="314" t="s">
        <v>203</v>
      </c>
      <c r="SMZ14" s="314" t="s">
        <v>203</v>
      </c>
      <c r="SNA14" s="314" t="s">
        <v>203</v>
      </c>
      <c r="SNB14" s="314" t="s">
        <v>203</v>
      </c>
      <c r="SNC14" s="314" t="s">
        <v>203</v>
      </c>
      <c r="SND14" s="314" t="s">
        <v>203</v>
      </c>
      <c r="SNE14" s="314" t="s">
        <v>203</v>
      </c>
      <c r="SNF14" s="314" t="s">
        <v>203</v>
      </c>
      <c r="SNG14" s="314" t="s">
        <v>203</v>
      </c>
      <c r="SNH14" s="314" t="s">
        <v>203</v>
      </c>
      <c r="SNI14" s="314" t="s">
        <v>203</v>
      </c>
      <c r="SNJ14" s="314" t="s">
        <v>203</v>
      </c>
      <c r="SNK14" s="314" t="s">
        <v>203</v>
      </c>
      <c r="SNL14" s="314" t="s">
        <v>203</v>
      </c>
      <c r="SNM14" s="314" t="s">
        <v>203</v>
      </c>
      <c r="SNN14" s="314" t="s">
        <v>203</v>
      </c>
      <c r="SNO14" s="314" t="s">
        <v>203</v>
      </c>
      <c r="SNP14" s="314" t="s">
        <v>203</v>
      </c>
      <c r="SNQ14" s="314" t="s">
        <v>203</v>
      </c>
      <c r="SNR14" s="314" t="s">
        <v>203</v>
      </c>
      <c r="SNS14" s="314" t="s">
        <v>203</v>
      </c>
      <c r="SNT14" s="314" t="s">
        <v>203</v>
      </c>
      <c r="SNU14" s="314" t="s">
        <v>203</v>
      </c>
      <c r="SNV14" s="314" t="s">
        <v>203</v>
      </c>
      <c r="SNW14" s="314" t="s">
        <v>203</v>
      </c>
      <c r="SNX14" s="314" t="s">
        <v>203</v>
      </c>
      <c r="SNY14" s="314" t="s">
        <v>203</v>
      </c>
      <c r="SNZ14" s="314" t="s">
        <v>203</v>
      </c>
      <c r="SOA14" s="314" t="s">
        <v>203</v>
      </c>
      <c r="SOB14" s="314" t="s">
        <v>203</v>
      </c>
      <c r="SOC14" s="314" t="s">
        <v>203</v>
      </c>
      <c r="SOD14" s="314" t="s">
        <v>203</v>
      </c>
      <c r="SOE14" s="314" t="s">
        <v>203</v>
      </c>
      <c r="SOF14" s="314" t="s">
        <v>203</v>
      </c>
      <c r="SOG14" s="314" t="s">
        <v>203</v>
      </c>
      <c r="SOH14" s="314" t="s">
        <v>203</v>
      </c>
      <c r="SOI14" s="314" t="s">
        <v>203</v>
      </c>
      <c r="SOJ14" s="314" t="s">
        <v>203</v>
      </c>
      <c r="SOK14" s="314" t="s">
        <v>203</v>
      </c>
      <c r="SOL14" s="314" t="s">
        <v>203</v>
      </c>
      <c r="SOM14" s="314" t="s">
        <v>203</v>
      </c>
      <c r="SON14" s="314" t="s">
        <v>203</v>
      </c>
      <c r="SOO14" s="314" t="s">
        <v>203</v>
      </c>
      <c r="SOP14" s="314" t="s">
        <v>203</v>
      </c>
      <c r="SOQ14" s="314" t="s">
        <v>203</v>
      </c>
      <c r="SOR14" s="314" t="s">
        <v>203</v>
      </c>
      <c r="SOS14" s="314" t="s">
        <v>203</v>
      </c>
      <c r="SOT14" s="314" t="s">
        <v>203</v>
      </c>
      <c r="SOU14" s="314" t="s">
        <v>203</v>
      </c>
      <c r="SOV14" s="314" t="s">
        <v>203</v>
      </c>
      <c r="SOW14" s="314" t="s">
        <v>203</v>
      </c>
      <c r="SOX14" s="314" t="s">
        <v>203</v>
      </c>
      <c r="SOY14" s="314" t="s">
        <v>203</v>
      </c>
      <c r="SOZ14" s="314" t="s">
        <v>203</v>
      </c>
      <c r="SPA14" s="314" t="s">
        <v>203</v>
      </c>
      <c r="SPB14" s="314" t="s">
        <v>203</v>
      </c>
      <c r="SPC14" s="314" t="s">
        <v>203</v>
      </c>
      <c r="SPD14" s="314" t="s">
        <v>203</v>
      </c>
      <c r="SPE14" s="314" t="s">
        <v>203</v>
      </c>
      <c r="SPF14" s="314" t="s">
        <v>203</v>
      </c>
      <c r="SPG14" s="314" t="s">
        <v>203</v>
      </c>
      <c r="SPH14" s="314" t="s">
        <v>203</v>
      </c>
      <c r="SPI14" s="314" t="s">
        <v>203</v>
      </c>
      <c r="SPJ14" s="314" t="s">
        <v>203</v>
      </c>
      <c r="SPK14" s="314" t="s">
        <v>203</v>
      </c>
      <c r="SPL14" s="314" t="s">
        <v>203</v>
      </c>
      <c r="SPM14" s="314" t="s">
        <v>203</v>
      </c>
      <c r="SPN14" s="314" t="s">
        <v>203</v>
      </c>
      <c r="SPO14" s="314" t="s">
        <v>203</v>
      </c>
      <c r="SPP14" s="314" t="s">
        <v>203</v>
      </c>
      <c r="SPQ14" s="314" t="s">
        <v>203</v>
      </c>
      <c r="SPR14" s="314" t="s">
        <v>203</v>
      </c>
      <c r="SPS14" s="314" t="s">
        <v>203</v>
      </c>
      <c r="SPT14" s="314" t="s">
        <v>203</v>
      </c>
      <c r="SPU14" s="314" t="s">
        <v>203</v>
      </c>
      <c r="SPV14" s="314" t="s">
        <v>203</v>
      </c>
      <c r="SPW14" s="314" t="s">
        <v>203</v>
      </c>
      <c r="SPX14" s="314" t="s">
        <v>203</v>
      </c>
      <c r="SPY14" s="314" t="s">
        <v>203</v>
      </c>
      <c r="SPZ14" s="314" t="s">
        <v>203</v>
      </c>
      <c r="SQA14" s="314" t="s">
        <v>203</v>
      </c>
      <c r="SQB14" s="314" t="s">
        <v>203</v>
      </c>
      <c r="SQC14" s="314" t="s">
        <v>203</v>
      </c>
      <c r="SQD14" s="314" t="s">
        <v>203</v>
      </c>
      <c r="SQE14" s="314" t="s">
        <v>203</v>
      </c>
      <c r="SQF14" s="314" t="s">
        <v>203</v>
      </c>
      <c r="SQG14" s="314" t="s">
        <v>203</v>
      </c>
      <c r="SQH14" s="314" t="s">
        <v>203</v>
      </c>
      <c r="SQI14" s="314" t="s">
        <v>203</v>
      </c>
      <c r="SQJ14" s="314" t="s">
        <v>203</v>
      </c>
      <c r="SQK14" s="314" t="s">
        <v>203</v>
      </c>
      <c r="SQL14" s="314" t="s">
        <v>203</v>
      </c>
      <c r="SQM14" s="314" t="s">
        <v>203</v>
      </c>
      <c r="SQN14" s="314" t="s">
        <v>203</v>
      </c>
      <c r="SQO14" s="314" t="s">
        <v>203</v>
      </c>
      <c r="SQP14" s="314" t="s">
        <v>203</v>
      </c>
      <c r="SQQ14" s="314" t="s">
        <v>203</v>
      </c>
      <c r="SQR14" s="314" t="s">
        <v>203</v>
      </c>
      <c r="SQS14" s="314" t="s">
        <v>203</v>
      </c>
      <c r="SQT14" s="314" t="s">
        <v>203</v>
      </c>
      <c r="SQU14" s="314" t="s">
        <v>203</v>
      </c>
      <c r="SQV14" s="314" t="s">
        <v>203</v>
      </c>
      <c r="SQW14" s="314" t="s">
        <v>203</v>
      </c>
      <c r="SQX14" s="314" t="s">
        <v>203</v>
      </c>
      <c r="SQY14" s="314" t="s">
        <v>203</v>
      </c>
      <c r="SQZ14" s="314" t="s">
        <v>203</v>
      </c>
      <c r="SRA14" s="314" t="s">
        <v>203</v>
      </c>
      <c r="SRB14" s="314" t="s">
        <v>203</v>
      </c>
      <c r="SRC14" s="314" t="s">
        <v>203</v>
      </c>
      <c r="SRD14" s="314" t="s">
        <v>203</v>
      </c>
      <c r="SRE14" s="314" t="s">
        <v>203</v>
      </c>
      <c r="SRF14" s="314" t="s">
        <v>203</v>
      </c>
      <c r="SRG14" s="314" t="s">
        <v>203</v>
      </c>
      <c r="SRH14" s="314" t="s">
        <v>203</v>
      </c>
      <c r="SRI14" s="314" t="s">
        <v>203</v>
      </c>
      <c r="SRJ14" s="314" t="s">
        <v>203</v>
      </c>
      <c r="SRK14" s="314" t="s">
        <v>203</v>
      </c>
      <c r="SRL14" s="314" t="s">
        <v>203</v>
      </c>
      <c r="SRM14" s="314" t="s">
        <v>203</v>
      </c>
      <c r="SRN14" s="314" t="s">
        <v>203</v>
      </c>
      <c r="SRO14" s="314" t="s">
        <v>203</v>
      </c>
      <c r="SRP14" s="314" t="s">
        <v>203</v>
      </c>
      <c r="SRQ14" s="314" t="s">
        <v>203</v>
      </c>
      <c r="SRR14" s="314" t="s">
        <v>203</v>
      </c>
      <c r="SRS14" s="314" t="s">
        <v>203</v>
      </c>
      <c r="SRT14" s="314" t="s">
        <v>203</v>
      </c>
      <c r="SRU14" s="314" t="s">
        <v>203</v>
      </c>
      <c r="SRV14" s="314" t="s">
        <v>203</v>
      </c>
      <c r="SRW14" s="314" t="s">
        <v>203</v>
      </c>
      <c r="SRX14" s="314" t="s">
        <v>203</v>
      </c>
      <c r="SRY14" s="314" t="s">
        <v>203</v>
      </c>
      <c r="SRZ14" s="314" t="s">
        <v>203</v>
      </c>
      <c r="SSA14" s="314" t="s">
        <v>203</v>
      </c>
      <c r="SSB14" s="314" t="s">
        <v>203</v>
      </c>
      <c r="SSC14" s="314" t="s">
        <v>203</v>
      </c>
      <c r="SSD14" s="314" t="s">
        <v>203</v>
      </c>
      <c r="SSE14" s="314" t="s">
        <v>203</v>
      </c>
      <c r="SSF14" s="314" t="s">
        <v>203</v>
      </c>
      <c r="SSG14" s="314" t="s">
        <v>203</v>
      </c>
      <c r="SSH14" s="314" t="s">
        <v>203</v>
      </c>
      <c r="SSI14" s="314" t="s">
        <v>203</v>
      </c>
      <c r="SSJ14" s="314" t="s">
        <v>203</v>
      </c>
      <c r="SSK14" s="314" t="s">
        <v>203</v>
      </c>
      <c r="SSL14" s="314" t="s">
        <v>203</v>
      </c>
      <c r="SSM14" s="314" t="s">
        <v>203</v>
      </c>
      <c r="SSN14" s="314" t="s">
        <v>203</v>
      </c>
      <c r="SSO14" s="314" t="s">
        <v>203</v>
      </c>
      <c r="SSP14" s="314" t="s">
        <v>203</v>
      </c>
      <c r="SSQ14" s="314" t="s">
        <v>203</v>
      </c>
      <c r="SSR14" s="314" t="s">
        <v>203</v>
      </c>
      <c r="SSS14" s="314" t="s">
        <v>203</v>
      </c>
      <c r="SST14" s="314" t="s">
        <v>203</v>
      </c>
      <c r="SSU14" s="314" t="s">
        <v>203</v>
      </c>
      <c r="SSV14" s="314" t="s">
        <v>203</v>
      </c>
      <c r="SSW14" s="314" t="s">
        <v>203</v>
      </c>
      <c r="SSX14" s="314" t="s">
        <v>203</v>
      </c>
      <c r="SSY14" s="314" t="s">
        <v>203</v>
      </c>
      <c r="SSZ14" s="314" t="s">
        <v>203</v>
      </c>
      <c r="STA14" s="314" t="s">
        <v>203</v>
      </c>
      <c r="STB14" s="314" t="s">
        <v>203</v>
      </c>
      <c r="STC14" s="314" t="s">
        <v>203</v>
      </c>
      <c r="STD14" s="314" t="s">
        <v>203</v>
      </c>
      <c r="STE14" s="314" t="s">
        <v>203</v>
      </c>
      <c r="STF14" s="314" t="s">
        <v>203</v>
      </c>
      <c r="STG14" s="314" t="s">
        <v>203</v>
      </c>
      <c r="STH14" s="314" t="s">
        <v>203</v>
      </c>
      <c r="STI14" s="314" t="s">
        <v>203</v>
      </c>
      <c r="STJ14" s="314" t="s">
        <v>203</v>
      </c>
      <c r="STK14" s="314" t="s">
        <v>203</v>
      </c>
      <c r="STL14" s="314" t="s">
        <v>203</v>
      </c>
      <c r="STM14" s="314" t="s">
        <v>203</v>
      </c>
      <c r="STN14" s="314" t="s">
        <v>203</v>
      </c>
      <c r="STO14" s="314" t="s">
        <v>203</v>
      </c>
      <c r="STP14" s="314" t="s">
        <v>203</v>
      </c>
      <c r="STQ14" s="314" t="s">
        <v>203</v>
      </c>
      <c r="STR14" s="314" t="s">
        <v>203</v>
      </c>
      <c r="STS14" s="314" t="s">
        <v>203</v>
      </c>
      <c r="STT14" s="314" t="s">
        <v>203</v>
      </c>
      <c r="STU14" s="314" t="s">
        <v>203</v>
      </c>
      <c r="STV14" s="314" t="s">
        <v>203</v>
      </c>
      <c r="STW14" s="314" t="s">
        <v>203</v>
      </c>
      <c r="STX14" s="314" t="s">
        <v>203</v>
      </c>
      <c r="STY14" s="314" t="s">
        <v>203</v>
      </c>
      <c r="STZ14" s="314" t="s">
        <v>203</v>
      </c>
      <c r="SUA14" s="314" t="s">
        <v>203</v>
      </c>
      <c r="SUB14" s="314" t="s">
        <v>203</v>
      </c>
      <c r="SUC14" s="314" t="s">
        <v>203</v>
      </c>
      <c r="SUD14" s="314" t="s">
        <v>203</v>
      </c>
      <c r="SUE14" s="314" t="s">
        <v>203</v>
      </c>
      <c r="SUF14" s="314" t="s">
        <v>203</v>
      </c>
      <c r="SUG14" s="314" t="s">
        <v>203</v>
      </c>
      <c r="SUH14" s="314" t="s">
        <v>203</v>
      </c>
      <c r="SUI14" s="314" t="s">
        <v>203</v>
      </c>
      <c r="SUJ14" s="314" t="s">
        <v>203</v>
      </c>
      <c r="SUK14" s="314" t="s">
        <v>203</v>
      </c>
      <c r="SUL14" s="314" t="s">
        <v>203</v>
      </c>
      <c r="SUM14" s="314" t="s">
        <v>203</v>
      </c>
      <c r="SUN14" s="314" t="s">
        <v>203</v>
      </c>
      <c r="SUO14" s="314" t="s">
        <v>203</v>
      </c>
      <c r="SUP14" s="314" t="s">
        <v>203</v>
      </c>
      <c r="SUQ14" s="314" t="s">
        <v>203</v>
      </c>
      <c r="SUR14" s="314" t="s">
        <v>203</v>
      </c>
      <c r="SUS14" s="314" t="s">
        <v>203</v>
      </c>
      <c r="SUT14" s="314" t="s">
        <v>203</v>
      </c>
      <c r="SUU14" s="314" t="s">
        <v>203</v>
      </c>
      <c r="SUV14" s="314" t="s">
        <v>203</v>
      </c>
      <c r="SUW14" s="314" t="s">
        <v>203</v>
      </c>
      <c r="SUX14" s="314" t="s">
        <v>203</v>
      </c>
      <c r="SUY14" s="314" t="s">
        <v>203</v>
      </c>
      <c r="SUZ14" s="314" t="s">
        <v>203</v>
      </c>
      <c r="SVA14" s="314" t="s">
        <v>203</v>
      </c>
      <c r="SVB14" s="314" t="s">
        <v>203</v>
      </c>
      <c r="SVC14" s="314" t="s">
        <v>203</v>
      </c>
      <c r="SVD14" s="314" t="s">
        <v>203</v>
      </c>
      <c r="SVE14" s="314" t="s">
        <v>203</v>
      </c>
      <c r="SVF14" s="314" t="s">
        <v>203</v>
      </c>
      <c r="SVG14" s="314" t="s">
        <v>203</v>
      </c>
      <c r="SVH14" s="314" t="s">
        <v>203</v>
      </c>
      <c r="SVI14" s="314" t="s">
        <v>203</v>
      </c>
      <c r="SVJ14" s="314" t="s">
        <v>203</v>
      </c>
      <c r="SVK14" s="314" t="s">
        <v>203</v>
      </c>
      <c r="SVL14" s="314" t="s">
        <v>203</v>
      </c>
      <c r="SVM14" s="314" t="s">
        <v>203</v>
      </c>
      <c r="SVN14" s="314" t="s">
        <v>203</v>
      </c>
      <c r="SVO14" s="314" t="s">
        <v>203</v>
      </c>
      <c r="SVP14" s="314" t="s">
        <v>203</v>
      </c>
      <c r="SVQ14" s="314" t="s">
        <v>203</v>
      </c>
      <c r="SVR14" s="314" t="s">
        <v>203</v>
      </c>
      <c r="SVS14" s="314" t="s">
        <v>203</v>
      </c>
      <c r="SVT14" s="314" t="s">
        <v>203</v>
      </c>
      <c r="SVU14" s="314" t="s">
        <v>203</v>
      </c>
      <c r="SVV14" s="314" t="s">
        <v>203</v>
      </c>
      <c r="SVW14" s="314" t="s">
        <v>203</v>
      </c>
      <c r="SVX14" s="314" t="s">
        <v>203</v>
      </c>
      <c r="SVY14" s="314" t="s">
        <v>203</v>
      </c>
      <c r="SVZ14" s="314" t="s">
        <v>203</v>
      </c>
      <c r="SWA14" s="314" t="s">
        <v>203</v>
      </c>
      <c r="SWB14" s="314" t="s">
        <v>203</v>
      </c>
      <c r="SWC14" s="314" t="s">
        <v>203</v>
      </c>
      <c r="SWD14" s="314" t="s">
        <v>203</v>
      </c>
      <c r="SWE14" s="314" t="s">
        <v>203</v>
      </c>
      <c r="SWF14" s="314" t="s">
        <v>203</v>
      </c>
      <c r="SWG14" s="314" t="s">
        <v>203</v>
      </c>
      <c r="SWH14" s="314" t="s">
        <v>203</v>
      </c>
      <c r="SWI14" s="314" t="s">
        <v>203</v>
      </c>
      <c r="SWJ14" s="314" t="s">
        <v>203</v>
      </c>
      <c r="SWK14" s="314" t="s">
        <v>203</v>
      </c>
      <c r="SWL14" s="314" t="s">
        <v>203</v>
      </c>
      <c r="SWM14" s="314" t="s">
        <v>203</v>
      </c>
      <c r="SWN14" s="314" t="s">
        <v>203</v>
      </c>
      <c r="SWO14" s="314" t="s">
        <v>203</v>
      </c>
      <c r="SWP14" s="314" t="s">
        <v>203</v>
      </c>
      <c r="SWQ14" s="314" t="s">
        <v>203</v>
      </c>
      <c r="SWR14" s="314" t="s">
        <v>203</v>
      </c>
      <c r="SWS14" s="314" t="s">
        <v>203</v>
      </c>
      <c r="SWT14" s="314" t="s">
        <v>203</v>
      </c>
      <c r="SWU14" s="314" t="s">
        <v>203</v>
      </c>
      <c r="SWV14" s="314" t="s">
        <v>203</v>
      </c>
      <c r="SWW14" s="314" t="s">
        <v>203</v>
      </c>
      <c r="SWX14" s="314" t="s">
        <v>203</v>
      </c>
      <c r="SWY14" s="314" t="s">
        <v>203</v>
      </c>
      <c r="SWZ14" s="314" t="s">
        <v>203</v>
      </c>
      <c r="SXA14" s="314" t="s">
        <v>203</v>
      </c>
      <c r="SXB14" s="314" t="s">
        <v>203</v>
      </c>
      <c r="SXC14" s="314" t="s">
        <v>203</v>
      </c>
      <c r="SXD14" s="314" t="s">
        <v>203</v>
      </c>
      <c r="SXE14" s="314" t="s">
        <v>203</v>
      </c>
      <c r="SXF14" s="314" t="s">
        <v>203</v>
      </c>
      <c r="SXG14" s="314" t="s">
        <v>203</v>
      </c>
      <c r="SXH14" s="314" t="s">
        <v>203</v>
      </c>
      <c r="SXI14" s="314" t="s">
        <v>203</v>
      </c>
      <c r="SXJ14" s="314" t="s">
        <v>203</v>
      </c>
      <c r="SXK14" s="314" t="s">
        <v>203</v>
      </c>
      <c r="SXL14" s="314" t="s">
        <v>203</v>
      </c>
      <c r="SXM14" s="314" t="s">
        <v>203</v>
      </c>
      <c r="SXN14" s="314" t="s">
        <v>203</v>
      </c>
      <c r="SXO14" s="314" t="s">
        <v>203</v>
      </c>
      <c r="SXP14" s="314" t="s">
        <v>203</v>
      </c>
      <c r="SXQ14" s="314" t="s">
        <v>203</v>
      </c>
      <c r="SXR14" s="314" t="s">
        <v>203</v>
      </c>
      <c r="SXS14" s="314" t="s">
        <v>203</v>
      </c>
      <c r="SXT14" s="314" t="s">
        <v>203</v>
      </c>
      <c r="SXU14" s="314" t="s">
        <v>203</v>
      </c>
      <c r="SXV14" s="314" t="s">
        <v>203</v>
      </c>
      <c r="SXW14" s="314" t="s">
        <v>203</v>
      </c>
      <c r="SXX14" s="314" t="s">
        <v>203</v>
      </c>
      <c r="SXY14" s="314" t="s">
        <v>203</v>
      </c>
      <c r="SXZ14" s="314" t="s">
        <v>203</v>
      </c>
      <c r="SYA14" s="314" t="s">
        <v>203</v>
      </c>
      <c r="SYB14" s="314" t="s">
        <v>203</v>
      </c>
      <c r="SYC14" s="314" t="s">
        <v>203</v>
      </c>
      <c r="SYD14" s="314" t="s">
        <v>203</v>
      </c>
      <c r="SYE14" s="314" t="s">
        <v>203</v>
      </c>
      <c r="SYF14" s="314" t="s">
        <v>203</v>
      </c>
      <c r="SYG14" s="314" t="s">
        <v>203</v>
      </c>
      <c r="SYH14" s="314" t="s">
        <v>203</v>
      </c>
      <c r="SYI14" s="314" t="s">
        <v>203</v>
      </c>
      <c r="SYJ14" s="314" t="s">
        <v>203</v>
      </c>
      <c r="SYK14" s="314" t="s">
        <v>203</v>
      </c>
      <c r="SYL14" s="314" t="s">
        <v>203</v>
      </c>
      <c r="SYM14" s="314" t="s">
        <v>203</v>
      </c>
      <c r="SYN14" s="314" t="s">
        <v>203</v>
      </c>
      <c r="SYO14" s="314" t="s">
        <v>203</v>
      </c>
      <c r="SYP14" s="314" t="s">
        <v>203</v>
      </c>
      <c r="SYQ14" s="314" t="s">
        <v>203</v>
      </c>
      <c r="SYR14" s="314" t="s">
        <v>203</v>
      </c>
      <c r="SYS14" s="314" t="s">
        <v>203</v>
      </c>
      <c r="SYT14" s="314" t="s">
        <v>203</v>
      </c>
      <c r="SYU14" s="314" t="s">
        <v>203</v>
      </c>
      <c r="SYV14" s="314" t="s">
        <v>203</v>
      </c>
      <c r="SYW14" s="314" t="s">
        <v>203</v>
      </c>
      <c r="SYX14" s="314" t="s">
        <v>203</v>
      </c>
      <c r="SYY14" s="314" t="s">
        <v>203</v>
      </c>
      <c r="SYZ14" s="314" t="s">
        <v>203</v>
      </c>
      <c r="SZA14" s="314" t="s">
        <v>203</v>
      </c>
      <c r="SZB14" s="314" t="s">
        <v>203</v>
      </c>
      <c r="SZC14" s="314" t="s">
        <v>203</v>
      </c>
      <c r="SZD14" s="314" t="s">
        <v>203</v>
      </c>
      <c r="SZE14" s="314" t="s">
        <v>203</v>
      </c>
      <c r="SZF14" s="314" t="s">
        <v>203</v>
      </c>
      <c r="SZG14" s="314" t="s">
        <v>203</v>
      </c>
      <c r="SZH14" s="314" t="s">
        <v>203</v>
      </c>
      <c r="SZI14" s="314" t="s">
        <v>203</v>
      </c>
      <c r="SZJ14" s="314" t="s">
        <v>203</v>
      </c>
      <c r="SZK14" s="314" t="s">
        <v>203</v>
      </c>
      <c r="SZL14" s="314" t="s">
        <v>203</v>
      </c>
      <c r="SZM14" s="314" t="s">
        <v>203</v>
      </c>
      <c r="SZN14" s="314" t="s">
        <v>203</v>
      </c>
      <c r="SZO14" s="314" t="s">
        <v>203</v>
      </c>
      <c r="SZP14" s="314" t="s">
        <v>203</v>
      </c>
      <c r="SZQ14" s="314" t="s">
        <v>203</v>
      </c>
      <c r="SZR14" s="314" t="s">
        <v>203</v>
      </c>
      <c r="SZS14" s="314" t="s">
        <v>203</v>
      </c>
      <c r="SZT14" s="314" t="s">
        <v>203</v>
      </c>
      <c r="SZU14" s="314" t="s">
        <v>203</v>
      </c>
      <c r="SZV14" s="314" t="s">
        <v>203</v>
      </c>
      <c r="SZW14" s="314" t="s">
        <v>203</v>
      </c>
      <c r="SZX14" s="314" t="s">
        <v>203</v>
      </c>
      <c r="SZY14" s="314" t="s">
        <v>203</v>
      </c>
      <c r="SZZ14" s="314" t="s">
        <v>203</v>
      </c>
      <c r="TAA14" s="314" t="s">
        <v>203</v>
      </c>
      <c r="TAB14" s="314" t="s">
        <v>203</v>
      </c>
      <c r="TAC14" s="314" t="s">
        <v>203</v>
      </c>
      <c r="TAD14" s="314" t="s">
        <v>203</v>
      </c>
      <c r="TAE14" s="314" t="s">
        <v>203</v>
      </c>
      <c r="TAF14" s="314" t="s">
        <v>203</v>
      </c>
      <c r="TAG14" s="314" t="s">
        <v>203</v>
      </c>
      <c r="TAH14" s="314" t="s">
        <v>203</v>
      </c>
      <c r="TAI14" s="314" t="s">
        <v>203</v>
      </c>
      <c r="TAJ14" s="314" t="s">
        <v>203</v>
      </c>
      <c r="TAK14" s="314" t="s">
        <v>203</v>
      </c>
      <c r="TAL14" s="314" t="s">
        <v>203</v>
      </c>
      <c r="TAM14" s="314" t="s">
        <v>203</v>
      </c>
      <c r="TAN14" s="314" t="s">
        <v>203</v>
      </c>
      <c r="TAO14" s="314" t="s">
        <v>203</v>
      </c>
      <c r="TAP14" s="314" t="s">
        <v>203</v>
      </c>
      <c r="TAQ14" s="314" t="s">
        <v>203</v>
      </c>
      <c r="TAR14" s="314" t="s">
        <v>203</v>
      </c>
      <c r="TAS14" s="314" t="s">
        <v>203</v>
      </c>
      <c r="TAT14" s="314" t="s">
        <v>203</v>
      </c>
      <c r="TAU14" s="314" t="s">
        <v>203</v>
      </c>
      <c r="TAV14" s="314" t="s">
        <v>203</v>
      </c>
      <c r="TAW14" s="314" t="s">
        <v>203</v>
      </c>
      <c r="TAX14" s="314" t="s">
        <v>203</v>
      </c>
      <c r="TAY14" s="314" t="s">
        <v>203</v>
      </c>
      <c r="TAZ14" s="314" t="s">
        <v>203</v>
      </c>
      <c r="TBA14" s="314" t="s">
        <v>203</v>
      </c>
      <c r="TBB14" s="314" t="s">
        <v>203</v>
      </c>
      <c r="TBC14" s="314" t="s">
        <v>203</v>
      </c>
      <c r="TBD14" s="314" t="s">
        <v>203</v>
      </c>
      <c r="TBE14" s="314" t="s">
        <v>203</v>
      </c>
      <c r="TBF14" s="314" t="s">
        <v>203</v>
      </c>
      <c r="TBG14" s="314" t="s">
        <v>203</v>
      </c>
      <c r="TBH14" s="314" t="s">
        <v>203</v>
      </c>
      <c r="TBI14" s="314" t="s">
        <v>203</v>
      </c>
      <c r="TBJ14" s="314" t="s">
        <v>203</v>
      </c>
      <c r="TBK14" s="314" t="s">
        <v>203</v>
      </c>
      <c r="TBL14" s="314" t="s">
        <v>203</v>
      </c>
      <c r="TBM14" s="314" t="s">
        <v>203</v>
      </c>
      <c r="TBN14" s="314" t="s">
        <v>203</v>
      </c>
      <c r="TBO14" s="314" t="s">
        <v>203</v>
      </c>
      <c r="TBP14" s="314" t="s">
        <v>203</v>
      </c>
      <c r="TBQ14" s="314" t="s">
        <v>203</v>
      </c>
      <c r="TBR14" s="314" t="s">
        <v>203</v>
      </c>
      <c r="TBS14" s="314" t="s">
        <v>203</v>
      </c>
      <c r="TBT14" s="314" t="s">
        <v>203</v>
      </c>
      <c r="TBU14" s="314" t="s">
        <v>203</v>
      </c>
      <c r="TBV14" s="314" t="s">
        <v>203</v>
      </c>
      <c r="TBW14" s="314" t="s">
        <v>203</v>
      </c>
      <c r="TBX14" s="314" t="s">
        <v>203</v>
      </c>
      <c r="TBY14" s="314" t="s">
        <v>203</v>
      </c>
      <c r="TBZ14" s="314" t="s">
        <v>203</v>
      </c>
      <c r="TCA14" s="314" t="s">
        <v>203</v>
      </c>
      <c r="TCB14" s="314" t="s">
        <v>203</v>
      </c>
      <c r="TCC14" s="314" t="s">
        <v>203</v>
      </c>
      <c r="TCD14" s="314" t="s">
        <v>203</v>
      </c>
      <c r="TCE14" s="314" t="s">
        <v>203</v>
      </c>
      <c r="TCF14" s="314" t="s">
        <v>203</v>
      </c>
      <c r="TCG14" s="314" t="s">
        <v>203</v>
      </c>
      <c r="TCH14" s="314" t="s">
        <v>203</v>
      </c>
      <c r="TCI14" s="314" t="s">
        <v>203</v>
      </c>
      <c r="TCJ14" s="314" t="s">
        <v>203</v>
      </c>
      <c r="TCK14" s="314" t="s">
        <v>203</v>
      </c>
      <c r="TCL14" s="314" t="s">
        <v>203</v>
      </c>
      <c r="TCM14" s="314" t="s">
        <v>203</v>
      </c>
      <c r="TCN14" s="314" t="s">
        <v>203</v>
      </c>
      <c r="TCO14" s="314" t="s">
        <v>203</v>
      </c>
      <c r="TCP14" s="314" t="s">
        <v>203</v>
      </c>
      <c r="TCQ14" s="314" t="s">
        <v>203</v>
      </c>
      <c r="TCR14" s="314" t="s">
        <v>203</v>
      </c>
      <c r="TCS14" s="314" t="s">
        <v>203</v>
      </c>
      <c r="TCT14" s="314" t="s">
        <v>203</v>
      </c>
      <c r="TCU14" s="314" t="s">
        <v>203</v>
      </c>
      <c r="TCV14" s="314" t="s">
        <v>203</v>
      </c>
      <c r="TCW14" s="314" t="s">
        <v>203</v>
      </c>
      <c r="TCX14" s="314" t="s">
        <v>203</v>
      </c>
      <c r="TCY14" s="314" t="s">
        <v>203</v>
      </c>
      <c r="TCZ14" s="314" t="s">
        <v>203</v>
      </c>
      <c r="TDA14" s="314" t="s">
        <v>203</v>
      </c>
      <c r="TDB14" s="314" t="s">
        <v>203</v>
      </c>
      <c r="TDC14" s="314" t="s">
        <v>203</v>
      </c>
      <c r="TDD14" s="314" t="s">
        <v>203</v>
      </c>
      <c r="TDE14" s="314" t="s">
        <v>203</v>
      </c>
      <c r="TDF14" s="314" t="s">
        <v>203</v>
      </c>
      <c r="TDG14" s="314" t="s">
        <v>203</v>
      </c>
      <c r="TDH14" s="314" t="s">
        <v>203</v>
      </c>
      <c r="TDI14" s="314" t="s">
        <v>203</v>
      </c>
      <c r="TDJ14" s="314" t="s">
        <v>203</v>
      </c>
      <c r="TDK14" s="314" t="s">
        <v>203</v>
      </c>
      <c r="TDL14" s="314" t="s">
        <v>203</v>
      </c>
      <c r="TDM14" s="314" t="s">
        <v>203</v>
      </c>
      <c r="TDN14" s="314" t="s">
        <v>203</v>
      </c>
      <c r="TDO14" s="314" t="s">
        <v>203</v>
      </c>
      <c r="TDP14" s="314" t="s">
        <v>203</v>
      </c>
      <c r="TDQ14" s="314" t="s">
        <v>203</v>
      </c>
      <c r="TDR14" s="314" t="s">
        <v>203</v>
      </c>
      <c r="TDS14" s="314" t="s">
        <v>203</v>
      </c>
      <c r="TDT14" s="314" t="s">
        <v>203</v>
      </c>
      <c r="TDU14" s="314" t="s">
        <v>203</v>
      </c>
      <c r="TDV14" s="314" t="s">
        <v>203</v>
      </c>
      <c r="TDW14" s="314" t="s">
        <v>203</v>
      </c>
      <c r="TDX14" s="314" t="s">
        <v>203</v>
      </c>
      <c r="TDY14" s="314" t="s">
        <v>203</v>
      </c>
      <c r="TDZ14" s="314" t="s">
        <v>203</v>
      </c>
      <c r="TEA14" s="314" t="s">
        <v>203</v>
      </c>
      <c r="TEB14" s="314" t="s">
        <v>203</v>
      </c>
      <c r="TEC14" s="314" t="s">
        <v>203</v>
      </c>
      <c r="TED14" s="314" t="s">
        <v>203</v>
      </c>
      <c r="TEE14" s="314" t="s">
        <v>203</v>
      </c>
      <c r="TEF14" s="314" t="s">
        <v>203</v>
      </c>
      <c r="TEG14" s="314" t="s">
        <v>203</v>
      </c>
      <c r="TEH14" s="314" t="s">
        <v>203</v>
      </c>
      <c r="TEI14" s="314" t="s">
        <v>203</v>
      </c>
      <c r="TEJ14" s="314" t="s">
        <v>203</v>
      </c>
      <c r="TEK14" s="314" t="s">
        <v>203</v>
      </c>
      <c r="TEL14" s="314" t="s">
        <v>203</v>
      </c>
      <c r="TEM14" s="314" t="s">
        <v>203</v>
      </c>
      <c r="TEN14" s="314" t="s">
        <v>203</v>
      </c>
      <c r="TEO14" s="314" t="s">
        <v>203</v>
      </c>
      <c r="TEP14" s="314" t="s">
        <v>203</v>
      </c>
      <c r="TEQ14" s="314" t="s">
        <v>203</v>
      </c>
      <c r="TER14" s="314" t="s">
        <v>203</v>
      </c>
      <c r="TES14" s="314" t="s">
        <v>203</v>
      </c>
      <c r="TET14" s="314" t="s">
        <v>203</v>
      </c>
      <c r="TEU14" s="314" t="s">
        <v>203</v>
      </c>
      <c r="TEV14" s="314" t="s">
        <v>203</v>
      </c>
      <c r="TEW14" s="314" t="s">
        <v>203</v>
      </c>
      <c r="TEX14" s="314" t="s">
        <v>203</v>
      </c>
      <c r="TEY14" s="314" t="s">
        <v>203</v>
      </c>
      <c r="TEZ14" s="314" t="s">
        <v>203</v>
      </c>
      <c r="TFA14" s="314" t="s">
        <v>203</v>
      </c>
      <c r="TFB14" s="314" t="s">
        <v>203</v>
      </c>
      <c r="TFC14" s="314" t="s">
        <v>203</v>
      </c>
      <c r="TFD14" s="314" t="s">
        <v>203</v>
      </c>
      <c r="TFE14" s="314" t="s">
        <v>203</v>
      </c>
      <c r="TFF14" s="314" t="s">
        <v>203</v>
      </c>
      <c r="TFG14" s="314" t="s">
        <v>203</v>
      </c>
      <c r="TFH14" s="314" t="s">
        <v>203</v>
      </c>
      <c r="TFI14" s="314" t="s">
        <v>203</v>
      </c>
      <c r="TFJ14" s="314" t="s">
        <v>203</v>
      </c>
      <c r="TFK14" s="314" t="s">
        <v>203</v>
      </c>
      <c r="TFL14" s="314" t="s">
        <v>203</v>
      </c>
      <c r="TFM14" s="314" t="s">
        <v>203</v>
      </c>
      <c r="TFN14" s="314" t="s">
        <v>203</v>
      </c>
      <c r="TFO14" s="314" t="s">
        <v>203</v>
      </c>
      <c r="TFP14" s="314" t="s">
        <v>203</v>
      </c>
      <c r="TFQ14" s="314" t="s">
        <v>203</v>
      </c>
      <c r="TFR14" s="314" t="s">
        <v>203</v>
      </c>
      <c r="TFS14" s="314" t="s">
        <v>203</v>
      </c>
      <c r="TFT14" s="314" t="s">
        <v>203</v>
      </c>
      <c r="TFU14" s="314" t="s">
        <v>203</v>
      </c>
      <c r="TFV14" s="314" t="s">
        <v>203</v>
      </c>
      <c r="TFW14" s="314" t="s">
        <v>203</v>
      </c>
      <c r="TFX14" s="314" t="s">
        <v>203</v>
      </c>
      <c r="TFY14" s="314" t="s">
        <v>203</v>
      </c>
      <c r="TFZ14" s="314" t="s">
        <v>203</v>
      </c>
      <c r="TGA14" s="314" t="s">
        <v>203</v>
      </c>
      <c r="TGB14" s="314" t="s">
        <v>203</v>
      </c>
      <c r="TGC14" s="314" t="s">
        <v>203</v>
      </c>
      <c r="TGD14" s="314" t="s">
        <v>203</v>
      </c>
      <c r="TGE14" s="314" t="s">
        <v>203</v>
      </c>
      <c r="TGF14" s="314" t="s">
        <v>203</v>
      </c>
      <c r="TGG14" s="314" t="s">
        <v>203</v>
      </c>
      <c r="TGH14" s="314" t="s">
        <v>203</v>
      </c>
      <c r="TGI14" s="314" t="s">
        <v>203</v>
      </c>
      <c r="TGJ14" s="314" t="s">
        <v>203</v>
      </c>
      <c r="TGK14" s="314" t="s">
        <v>203</v>
      </c>
      <c r="TGL14" s="314" t="s">
        <v>203</v>
      </c>
      <c r="TGM14" s="314" t="s">
        <v>203</v>
      </c>
      <c r="TGN14" s="314" t="s">
        <v>203</v>
      </c>
      <c r="TGO14" s="314" t="s">
        <v>203</v>
      </c>
      <c r="TGP14" s="314" t="s">
        <v>203</v>
      </c>
      <c r="TGQ14" s="314" t="s">
        <v>203</v>
      </c>
      <c r="TGR14" s="314" t="s">
        <v>203</v>
      </c>
      <c r="TGS14" s="314" t="s">
        <v>203</v>
      </c>
      <c r="TGT14" s="314" t="s">
        <v>203</v>
      </c>
      <c r="TGU14" s="314" t="s">
        <v>203</v>
      </c>
      <c r="TGV14" s="314" t="s">
        <v>203</v>
      </c>
      <c r="TGW14" s="314" t="s">
        <v>203</v>
      </c>
      <c r="TGX14" s="314" t="s">
        <v>203</v>
      </c>
      <c r="TGY14" s="314" t="s">
        <v>203</v>
      </c>
      <c r="TGZ14" s="314" t="s">
        <v>203</v>
      </c>
      <c r="THA14" s="314" t="s">
        <v>203</v>
      </c>
      <c r="THB14" s="314" t="s">
        <v>203</v>
      </c>
      <c r="THC14" s="314" t="s">
        <v>203</v>
      </c>
      <c r="THD14" s="314" t="s">
        <v>203</v>
      </c>
      <c r="THE14" s="314" t="s">
        <v>203</v>
      </c>
      <c r="THF14" s="314" t="s">
        <v>203</v>
      </c>
      <c r="THG14" s="314" t="s">
        <v>203</v>
      </c>
      <c r="THH14" s="314" t="s">
        <v>203</v>
      </c>
      <c r="THI14" s="314" t="s">
        <v>203</v>
      </c>
      <c r="THJ14" s="314" t="s">
        <v>203</v>
      </c>
      <c r="THK14" s="314" t="s">
        <v>203</v>
      </c>
      <c r="THL14" s="314" t="s">
        <v>203</v>
      </c>
      <c r="THM14" s="314" t="s">
        <v>203</v>
      </c>
      <c r="THN14" s="314" t="s">
        <v>203</v>
      </c>
      <c r="THO14" s="314" t="s">
        <v>203</v>
      </c>
      <c r="THP14" s="314" t="s">
        <v>203</v>
      </c>
      <c r="THQ14" s="314" t="s">
        <v>203</v>
      </c>
      <c r="THR14" s="314" t="s">
        <v>203</v>
      </c>
      <c r="THS14" s="314" t="s">
        <v>203</v>
      </c>
      <c r="THT14" s="314" t="s">
        <v>203</v>
      </c>
      <c r="THU14" s="314" t="s">
        <v>203</v>
      </c>
      <c r="THV14" s="314" t="s">
        <v>203</v>
      </c>
      <c r="THW14" s="314" t="s">
        <v>203</v>
      </c>
      <c r="THX14" s="314" t="s">
        <v>203</v>
      </c>
      <c r="THY14" s="314" t="s">
        <v>203</v>
      </c>
      <c r="THZ14" s="314" t="s">
        <v>203</v>
      </c>
      <c r="TIA14" s="314" t="s">
        <v>203</v>
      </c>
      <c r="TIB14" s="314" t="s">
        <v>203</v>
      </c>
      <c r="TIC14" s="314" t="s">
        <v>203</v>
      </c>
      <c r="TID14" s="314" t="s">
        <v>203</v>
      </c>
      <c r="TIE14" s="314" t="s">
        <v>203</v>
      </c>
      <c r="TIF14" s="314" t="s">
        <v>203</v>
      </c>
      <c r="TIG14" s="314" t="s">
        <v>203</v>
      </c>
      <c r="TIH14" s="314" t="s">
        <v>203</v>
      </c>
      <c r="TII14" s="314" t="s">
        <v>203</v>
      </c>
      <c r="TIJ14" s="314" t="s">
        <v>203</v>
      </c>
      <c r="TIK14" s="314" t="s">
        <v>203</v>
      </c>
      <c r="TIL14" s="314" t="s">
        <v>203</v>
      </c>
      <c r="TIM14" s="314" t="s">
        <v>203</v>
      </c>
      <c r="TIN14" s="314" t="s">
        <v>203</v>
      </c>
      <c r="TIO14" s="314" t="s">
        <v>203</v>
      </c>
      <c r="TIP14" s="314" t="s">
        <v>203</v>
      </c>
      <c r="TIQ14" s="314" t="s">
        <v>203</v>
      </c>
      <c r="TIR14" s="314" t="s">
        <v>203</v>
      </c>
      <c r="TIS14" s="314" t="s">
        <v>203</v>
      </c>
      <c r="TIT14" s="314" t="s">
        <v>203</v>
      </c>
      <c r="TIU14" s="314" t="s">
        <v>203</v>
      </c>
      <c r="TIV14" s="314" t="s">
        <v>203</v>
      </c>
      <c r="TIW14" s="314" t="s">
        <v>203</v>
      </c>
      <c r="TIX14" s="314" t="s">
        <v>203</v>
      </c>
      <c r="TIY14" s="314" t="s">
        <v>203</v>
      </c>
      <c r="TIZ14" s="314" t="s">
        <v>203</v>
      </c>
      <c r="TJA14" s="314" t="s">
        <v>203</v>
      </c>
      <c r="TJB14" s="314" t="s">
        <v>203</v>
      </c>
      <c r="TJC14" s="314" t="s">
        <v>203</v>
      </c>
      <c r="TJD14" s="314" t="s">
        <v>203</v>
      </c>
      <c r="TJE14" s="314" t="s">
        <v>203</v>
      </c>
      <c r="TJF14" s="314" t="s">
        <v>203</v>
      </c>
      <c r="TJG14" s="314" t="s">
        <v>203</v>
      </c>
      <c r="TJH14" s="314" t="s">
        <v>203</v>
      </c>
      <c r="TJI14" s="314" t="s">
        <v>203</v>
      </c>
      <c r="TJJ14" s="314" t="s">
        <v>203</v>
      </c>
      <c r="TJK14" s="314" t="s">
        <v>203</v>
      </c>
      <c r="TJL14" s="314" t="s">
        <v>203</v>
      </c>
      <c r="TJM14" s="314" t="s">
        <v>203</v>
      </c>
      <c r="TJN14" s="314" t="s">
        <v>203</v>
      </c>
      <c r="TJO14" s="314" t="s">
        <v>203</v>
      </c>
      <c r="TJP14" s="314" t="s">
        <v>203</v>
      </c>
      <c r="TJQ14" s="314" t="s">
        <v>203</v>
      </c>
      <c r="TJR14" s="314" t="s">
        <v>203</v>
      </c>
      <c r="TJS14" s="314" t="s">
        <v>203</v>
      </c>
      <c r="TJT14" s="314" t="s">
        <v>203</v>
      </c>
      <c r="TJU14" s="314" t="s">
        <v>203</v>
      </c>
      <c r="TJV14" s="314" t="s">
        <v>203</v>
      </c>
      <c r="TJW14" s="314" t="s">
        <v>203</v>
      </c>
      <c r="TJX14" s="314" t="s">
        <v>203</v>
      </c>
      <c r="TJY14" s="314" t="s">
        <v>203</v>
      </c>
      <c r="TJZ14" s="314" t="s">
        <v>203</v>
      </c>
      <c r="TKA14" s="314" t="s">
        <v>203</v>
      </c>
      <c r="TKB14" s="314" t="s">
        <v>203</v>
      </c>
      <c r="TKC14" s="314" t="s">
        <v>203</v>
      </c>
      <c r="TKD14" s="314" t="s">
        <v>203</v>
      </c>
      <c r="TKE14" s="314" t="s">
        <v>203</v>
      </c>
      <c r="TKF14" s="314" t="s">
        <v>203</v>
      </c>
      <c r="TKG14" s="314" t="s">
        <v>203</v>
      </c>
      <c r="TKH14" s="314" t="s">
        <v>203</v>
      </c>
      <c r="TKI14" s="314" t="s">
        <v>203</v>
      </c>
      <c r="TKJ14" s="314" t="s">
        <v>203</v>
      </c>
      <c r="TKK14" s="314" t="s">
        <v>203</v>
      </c>
      <c r="TKL14" s="314" t="s">
        <v>203</v>
      </c>
      <c r="TKM14" s="314" t="s">
        <v>203</v>
      </c>
      <c r="TKN14" s="314" t="s">
        <v>203</v>
      </c>
      <c r="TKO14" s="314" t="s">
        <v>203</v>
      </c>
      <c r="TKP14" s="314" t="s">
        <v>203</v>
      </c>
      <c r="TKQ14" s="314" t="s">
        <v>203</v>
      </c>
      <c r="TKR14" s="314" t="s">
        <v>203</v>
      </c>
      <c r="TKS14" s="314" t="s">
        <v>203</v>
      </c>
      <c r="TKT14" s="314" t="s">
        <v>203</v>
      </c>
      <c r="TKU14" s="314" t="s">
        <v>203</v>
      </c>
      <c r="TKV14" s="314" t="s">
        <v>203</v>
      </c>
      <c r="TKW14" s="314" t="s">
        <v>203</v>
      </c>
      <c r="TKX14" s="314" t="s">
        <v>203</v>
      </c>
      <c r="TKY14" s="314" t="s">
        <v>203</v>
      </c>
      <c r="TKZ14" s="314" t="s">
        <v>203</v>
      </c>
      <c r="TLA14" s="314" t="s">
        <v>203</v>
      </c>
      <c r="TLB14" s="314" t="s">
        <v>203</v>
      </c>
      <c r="TLC14" s="314" t="s">
        <v>203</v>
      </c>
      <c r="TLD14" s="314" t="s">
        <v>203</v>
      </c>
      <c r="TLE14" s="314" t="s">
        <v>203</v>
      </c>
      <c r="TLF14" s="314" t="s">
        <v>203</v>
      </c>
      <c r="TLG14" s="314" t="s">
        <v>203</v>
      </c>
      <c r="TLH14" s="314" t="s">
        <v>203</v>
      </c>
      <c r="TLI14" s="314" t="s">
        <v>203</v>
      </c>
      <c r="TLJ14" s="314" t="s">
        <v>203</v>
      </c>
      <c r="TLK14" s="314" t="s">
        <v>203</v>
      </c>
      <c r="TLL14" s="314" t="s">
        <v>203</v>
      </c>
      <c r="TLM14" s="314" t="s">
        <v>203</v>
      </c>
      <c r="TLN14" s="314" t="s">
        <v>203</v>
      </c>
      <c r="TLO14" s="314" t="s">
        <v>203</v>
      </c>
      <c r="TLP14" s="314" t="s">
        <v>203</v>
      </c>
      <c r="TLQ14" s="314" t="s">
        <v>203</v>
      </c>
      <c r="TLR14" s="314" t="s">
        <v>203</v>
      </c>
      <c r="TLS14" s="314" t="s">
        <v>203</v>
      </c>
      <c r="TLT14" s="314" t="s">
        <v>203</v>
      </c>
      <c r="TLU14" s="314" t="s">
        <v>203</v>
      </c>
      <c r="TLV14" s="314" t="s">
        <v>203</v>
      </c>
      <c r="TLW14" s="314" t="s">
        <v>203</v>
      </c>
      <c r="TLX14" s="314" t="s">
        <v>203</v>
      </c>
      <c r="TLY14" s="314" t="s">
        <v>203</v>
      </c>
      <c r="TLZ14" s="314" t="s">
        <v>203</v>
      </c>
      <c r="TMA14" s="314" t="s">
        <v>203</v>
      </c>
      <c r="TMB14" s="314" t="s">
        <v>203</v>
      </c>
      <c r="TMC14" s="314" t="s">
        <v>203</v>
      </c>
      <c r="TMD14" s="314" t="s">
        <v>203</v>
      </c>
      <c r="TME14" s="314" t="s">
        <v>203</v>
      </c>
      <c r="TMF14" s="314" t="s">
        <v>203</v>
      </c>
      <c r="TMG14" s="314" t="s">
        <v>203</v>
      </c>
      <c r="TMH14" s="314" t="s">
        <v>203</v>
      </c>
      <c r="TMI14" s="314" t="s">
        <v>203</v>
      </c>
      <c r="TMJ14" s="314" t="s">
        <v>203</v>
      </c>
      <c r="TMK14" s="314" t="s">
        <v>203</v>
      </c>
      <c r="TML14" s="314" t="s">
        <v>203</v>
      </c>
      <c r="TMM14" s="314" t="s">
        <v>203</v>
      </c>
      <c r="TMN14" s="314" t="s">
        <v>203</v>
      </c>
      <c r="TMO14" s="314" t="s">
        <v>203</v>
      </c>
      <c r="TMP14" s="314" t="s">
        <v>203</v>
      </c>
      <c r="TMQ14" s="314" t="s">
        <v>203</v>
      </c>
      <c r="TMR14" s="314" t="s">
        <v>203</v>
      </c>
      <c r="TMS14" s="314" t="s">
        <v>203</v>
      </c>
      <c r="TMT14" s="314" t="s">
        <v>203</v>
      </c>
      <c r="TMU14" s="314" t="s">
        <v>203</v>
      </c>
      <c r="TMV14" s="314" t="s">
        <v>203</v>
      </c>
      <c r="TMW14" s="314" t="s">
        <v>203</v>
      </c>
      <c r="TMX14" s="314" t="s">
        <v>203</v>
      </c>
      <c r="TMY14" s="314" t="s">
        <v>203</v>
      </c>
      <c r="TMZ14" s="314" t="s">
        <v>203</v>
      </c>
      <c r="TNA14" s="314" t="s">
        <v>203</v>
      </c>
      <c r="TNB14" s="314" t="s">
        <v>203</v>
      </c>
      <c r="TNC14" s="314" t="s">
        <v>203</v>
      </c>
      <c r="TND14" s="314" t="s">
        <v>203</v>
      </c>
      <c r="TNE14" s="314" t="s">
        <v>203</v>
      </c>
      <c r="TNF14" s="314" t="s">
        <v>203</v>
      </c>
      <c r="TNG14" s="314" t="s">
        <v>203</v>
      </c>
      <c r="TNH14" s="314" t="s">
        <v>203</v>
      </c>
      <c r="TNI14" s="314" t="s">
        <v>203</v>
      </c>
      <c r="TNJ14" s="314" t="s">
        <v>203</v>
      </c>
      <c r="TNK14" s="314" t="s">
        <v>203</v>
      </c>
      <c r="TNL14" s="314" t="s">
        <v>203</v>
      </c>
      <c r="TNM14" s="314" t="s">
        <v>203</v>
      </c>
      <c r="TNN14" s="314" t="s">
        <v>203</v>
      </c>
      <c r="TNO14" s="314" t="s">
        <v>203</v>
      </c>
      <c r="TNP14" s="314" t="s">
        <v>203</v>
      </c>
      <c r="TNQ14" s="314" t="s">
        <v>203</v>
      </c>
      <c r="TNR14" s="314" t="s">
        <v>203</v>
      </c>
      <c r="TNS14" s="314" t="s">
        <v>203</v>
      </c>
      <c r="TNT14" s="314" t="s">
        <v>203</v>
      </c>
      <c r="TNU14" s="314" t="s">
        <v>203</v>
      </c>
      <c r="TNV14" s="314" t="s">
        <v>203</v>
      </c>
      <c r="TNW14" s="314" t="s">
        <v>203</v>
      </c>
      <c r="TNX14" s="314" t="s">
        <v>203</v>
      </c>
      <c r="TNY14" s="314" t="s">
        <v>203</v>
      </c>
      <c r="TNZ14" s="314" t="s">
        <v>203</v>
      </c>
      <c r="TOA14" s="314" t="s">
        <v>203</v>
      </c>
      <c r="TOB14" s="314" t="s">
        <v>203</v>
      </c>
      <c r="TOC14" s="314" t="s">
        <v>203</v>
      </c>
      <c r="TOD14" s="314" t="s">
        <v>203</v>
      </c>
      <c r="TOE14" s="314" t="s">
        <v>203</v>
      </c>
      <c r="TOF14" s="314" t="s">
        <v>203</v>
      </c>
      <c r="TOG14" s="314" t="s">
        <v>203</v>
      </c>
      <c r="TOH14" s="314" t="s">
        <v>203</v>
      </c>
      <c r="TOI14" s="314" t="s">
        <v>203</v>
      </c>
      <c r="TOJ14" s="314" t="s">
        <v>203</v>
      </c>
      <c r="TOK14" s="314" t="s">
        <v>203</v>
      </c>
      <c r="TOL14" s="314" t="s">
        <v>203</v>
      </c>
      <c r="TOM14" s="314" t="s">
        <v>203</v>
      </c>
      <c r="TON14" s="314" t="s">
        <v>203</v>
      </c>
      <c r="TOO14" s="314" t="s">
        <v>203</v>
      </c>
      <c r="TOP14" s="314" t="s">
        <v>203</v>
      </c>
      <c r="TOQ14" s="314" t="s">
        <v>203</v>
      </c>
      <c r="TOR14" s="314" t="s">
        <v>203</v>
      </c>
      <c r="TOS14" s="314" t="s">
        <v>203</v>
      </c>
      <c r="TOT14" s="314" t="s">
        <v>203</v>
      </c>
      <c r="TOU14" s="314" t="s">
        <v>203</v>
      </c>
      <c r="TOV14" s="314" t="s">
        <v>203</v>
      </c>
      <c r="TOW14" s="314" t="s">
        <v>203</v>
      </c>
      <c r="TOX14" s="314" t="s">
        <v>203</v>
      </c>
      <c r="TOY14" s="314" t="s">
        <v>203</v>
      </c>
      <c r="TOZ14" s="314" t="s">
        <v>203</v>
      </c>
      <c r="TPA14" s="314" t="s">
        <v>203</v>
      </c>
      <c r="TPB14" s="314" t="s">
        <v>203</v>
      </c>
      <c r="TPC14" s="314" t="s">
        <v>203</v>
      </c>
      <c r="TPD14" s="314" t="s">
        <v>203</v>
      </c>
      <c r="TPE14" s="314" t="s">
        <v>203</v>
      </c>
      <c r="TPF14" s="314" t="s">
        <v>203</v>
      </c>
      <c r="TPG14" s="314" t="s">
        <v>203</v>
      </c>
      <c r="TPH14" s="314" t="s">
        <v>203</v>
      </c>
      <c r="TPI14" s="314" t="s">
        <v>203</v>
      </c>
      <c r="TPJ14" s="314" t="s">
        <v>203</v>
      </c>
      <c r="TPK14" s="314" t="s">
        <v>203</v>
      </c>
      <c r="TPL14" s="314" t="s">
        <v>203</v>
      </c>
      <c r="TPM14" s="314" t="s">
        <v>203</v>
      </c>
      <c r="TPN14" s="314" t="s">
        <v>203</v>
      </c>
      <c r="TPO14" s="314" t="s">
        <v>203</v>
      </c>
      <c r="TPP14" s="314" t="s">
        <v>203</v>
      </c>
      <c r="TPQ14" s="314" t="s">
        <v>203</v>
      </c>
      <c r="TPR14" s="314" t="s">
        <v>203</v>
      </c>
      <c r="TPS14" s="314" t="s">
        <v>203</v>
      </c>
      <c r="TPT14" s="314" t="s">
        <v>203</v>
      </c>
      <c r="TPU14" s="314" t="s">
        <v>203</v>
      </c>
      <c r="TPV14" s="314" t="s">
        <v>203</v>
      </c>
      <c r="TPW14" s="314" t="s">
        <v>203</v>
      </c>
      <c r="TPX14" s="314" t="s">
        <v>203</v>
      </c>
      <c r="TPY14" s="314" t="s">
        <v>203</v>
      </c>
      <c r="TPZ14" s="314" t="s">
        <v>203</v>
      </c>
      <c r="TQA14" s="314" t="s">
        <v>203</v>
      </c>
      <c r="TQB14" s="314" t="s">
        <v>203</v>
      </c>
      <c r="TQC14" s="314" t="s">
        <v>203</v>
      </c>
      <c r="TQD14" s="314" t="s">
        <v>203</v>
      </c>
      <c r="TQE14" s="314" t="s">
        <v>203</v>
      </c>
      <c r="TQF14" s="314" t="s">
        <v>203</v>
      </c>
      <c r="TQG14" s="314" t="s">
        <v>203</v>
      </c>
      <c r="TQH14" s="314" t="s">
        <v>203</v>
      </c>
      <c r="TQI14" s="314" t="s">
        <v>203</v>
      </c>
      <c r="TQJ14" s="314" t="s">
        <v>203</v>
      </c>
      <c r="TQK14" s="314" t="s">
        <v>203</v>
      </c>
      <c r="TQL14" s="314" t="s">
        <v>203</v>
      </c>
      <c r="TQM14" s="314" t="s">
        <v>203</v>
      </c>
      <c r="TQN14" s="314" t="s">
        <v>203</v>
      </c>
      <c r="TQO14" s="314" t="s">
        <v>203</v>
      </c>
      <c r="TQP14" s="314" t="s">
        <v>203</v>
      </c>
      <c r="TQQ14" s="314" t="s">
        <v>203</v>
      </c>
      <c r="TQR14" s="314" t="s">
        <v>203</v>
      </c>
      <c r="TQS14" s="314" t="s">
        <v>203</v>
      </c>
      <c r="TQT14" s="314" t="s">
        <v>203</v>
      </c>
      <c r="TQU14" s="314" t="s">
        <v>203</v>
      </c>
      <c r="TQV14" s="314" t="s">
        <v>203</v>
      </c>
      <c r="TQW14" s="314" t="s">
        <v>203</v>
      </c>
      <c r="TQX14" s="314" t="s">
        <v>203</v>
      </c>
      <c r="TQY14" s="314" t="s">
        <v>203</v>
      </c>
      <c r="TQZ14" s="314" t="s">
        <v>203</v>
      </c>
      <c r="TRA14" s="314" t="s">
        <v>203</v>
      </c>
      <c r="TRB14" s="314" t="s">
        <v>203</v>
      </c>
      <c r="TRC14" s="314" t="s">
        <v>203</v>
      </c>
      <c r="TRD14" s="314" t="s">
        <v>203</v>
      </c>
      <c r="TRE14" s="314" t="s">
        <v>203</v>
      </c>
      <c r="TRF14" s="314" t="s">
        <v>203</v>
      </c>
      <c r="TRG14" s="314" t="s">
        <v>203</v>
      </c>
      <c r="TRH14" s="314" t="s">
        <v>203</v>
      </c>
      <c r="TRI14" s="314" t="s">
        <v>203</v>
      </c>
      <c r="TRJ14" s="314" t="s">
        <v>203</v>
      </c>
      <c r="TRK14" s="314" t="s">
        <v>203</v>
      </c>
      <c r="TRL14" s="314" t="s">
        <v>203</v>
      </c>
      <c r="TRM14" s="314" t="s">
        <v>203</v>
      </c>
      <c r="TRN14" s="314" t="s">
        <v>203</v>
      </c>
      <c r="TRO14" s="314" t="s">
        <v>203</v>
      </c>
      <c r="TRP14" s="314" t="s">
        <v>203</v>
      </c>
      <c r="TRQ14" s="314" t="s">
        <v>203</v>
      </c>
      <c r="TRR14" s="314" t="s">
        <v>203</v>
      </c>
      <c r="TRS14" s="314" t="s">
        <v>203</v>
      </c>
      <c r="TRT14" s="314" t="s">
        <v>203</v>
      </c>
      <c r="TRU14" s="314" t="s">
        <v>203</v>
      </c>
      <c r="TRV14" s="314" t="s">
        <v>203</v>
      </c>
      <c r="TRW14" s="314" t="s">
        <v>203</v>
      </c>
      <c r="TRX14" s="314" t="s">
        <v>203</v>
      </c>
      <c r="TRY14" s="314" t="s">
        <v>203</v>
      </c>
      <c r="TRZ14" s="314" t="s">
        <v>203</v>
      </c>
      <c r="TSA14" s="314" t="s">
        <v>203</v>
      </c>
      <c r="TSB14" s="314" t="s">
        <v>203</v>
      </c>
      <c r="TSC14" s="314" t="s">
        <v>203</v>
      </c>
      <c r="TSD14" s="314" t="s">
        <v>203</v>
      </c>
      <c r="TSE14" s="314" t="s">
        <v>203</v>
      </c>
      <c r="TSF14" s="314" t="s">
        <v>203</v>
      </c>
      <c r="TSG14" s="314" t="s">
        <v>203</v>
      </c>
      <c r="TSH14" s="314" t="s">
        <v>203</v>
      </c>
      <c r="TSI14" s="314" t="s">
        <v>203</v>
      </c>
      <c r="TSJ14" s="314" t="s">
        <v>203</v>
      </c>
      <c r="TSK14" s="314" t="s">
        <v>203</v>
      </c>
      <c r="TSL14" s="314" t="s">
        <v>203</v>
      </c>
      <c r="TSM14" s="314" t="s">
        <v>203</v>
      </c>
      <c r="TSN14" s="314" t="s">
        <v>203</v>
      </c>
      <c r="TSO14" s="314" t="s">
        <v>203</v>
      </c>
      <c r="TSP14" s="314" t="s">
        <v>203</v>
      </c>
      <c r="TSQ14" s="314" t="s">
        <v>203</v>
      </c>
      <c r="TSR14" s="314" t="s">
        <v>203</v>
      </c>
      <c r="TSS14" s="314" t="s">
        <v>203</v>
      </c>
      <c r="TST14" s="314" t="s">
        <v>203</v>
      </c>
      <c r="TSU14" s="314" t="s">
        <v>203</v>
      </c>
      <c r="TSV14" s="314" t="s">
        <v>203</v>
      </c>
      <c r="TSW14" s="314" t="s">
        <v>203</v>
      </c>
      <c r="TSX14" s="314" t="s">
        <v>203</v>
      </c>
      <c r="TSY14" s="314" t="s">
        <v>203</v>
      </c>
      <c r="TSZ14" s="314" t="s">
        <v>203</v>
      </c>
      <c r="TTA14" s="314" t="s">
        <v>203</v>
      </c>
      <c r="TTB14" s="314" t="s">
        <v>203</v>
      </c>
      <c r="TTC14" s="314" t="s">
        <v>203</v>
      </c>
      <c r="TTD14" s="314" t="s">
        <v>203</v>
      </c>
      <c r="TTE14" s="314" t="s">
        <v>203</v>
      </c>
      <c r="TTF14" s="314" t="s">
        <v>203</v>
      </c>
      <c r="TTG14" s="314" t="s">
        <v>203</v>
      </c>
      <c r="TTH14" s="314" t="s">
        <v>203</v>
      </c>
      <c r="TTI14" s="314" t="s">
        <v>203</v>
      </c>
      <c r="TTJ14" s="314" t="s">
        <v>203</v>
      </c>
      <c r="TTK14" s="314" t="s">
        <v>203</v>
      </c>
      <c r="TTL14" s="314" t="s">
        <v>203</v>
      </c>
      <c r="TTM14" s="314" t="s">
        <v>203</v>
      </c>
      <c r="TTN14" s="314" t="s">
        <v>203</v>
      </c>
      <c r="TTO14" s="314" t="s">
        <v>203</v>
      </c>
      <c r="TTP14" s="314" t="s">
        <v>203</v>
      </c>
      <c r="TTQ14" s="314" t="s">
        <v>203</v>
      </c>
      <c r="TTR14" s="314" t="s">
        <v>203</v>
      </c>
      <c r="TTS14" s="314" t="s">
        <v>203</v>
      </c>
      <c r="TTT14" s="314" t="s">
        <v>203</v>
      </c>
      <c r="TTU14" s="314" t="s">
        <v>203</v>
      </c>
      <c r="TTV14" s="314" t="s">
        <v>203</v>
      </c>
      <c r="TTW14" s="314" t="s">
        <v>203</v>
      </c>
      <c r="TTX14" s="314" t="s">
        <v>203</v>
      </c>
      <c r="TTY14" s="314" t="s">
        <v>203</v>
      </c>
      <c r="TTZ14" s="314" t="s">
        <v>203</v>
      </c>
      <c r="TUA14" s="314" t="s">
        <v>203</v>
      </c>
      <c r="TUB14" s="314" t="s">
        <v>203</v>
      </c>
      <c r="TUC14" s="314" t="s">
        <v>203</v>
      </c>
      <c r="TUD14" s="314" t="s">
        <v>203</v>
      </c>
      <c r="TUE14" s="314" t="s">
        <v>203</v>
      </c>
      <c r="TUF14" s="314" t="s">
        <v>203</v>
      </c>
      <c r="TUG14" s="314" t="s">
        <v>203</v>
      </c>
      <c r="TUH14" s="314" t="s">
        <v>203</v>
      </c>
      <c r="TUI14" s="314" t="s">
        <v>203</v>
      </c>
      <c r="TUJ14" s="314" t="s">
        <v>203</v>
      </c>
      <c r="TUK14" s="314" t="s">
        <v>203</v>
      </c>
      <c r="TUL14" s="314" t="s">
        <v>203</v>
      </c>
      <c r="TUM14" s="314" t="s">
        <v>203</v>
      </c>
      <c r="TUN14" s="314" t="s">
        <v>203</v>
      </c>
      <c r="TUO14" s="314" t="s">
        <v>203</v>
      </c>
      <c r="TUP14" s="314" t="s">
        <v>203</v>
      </c>
      <c r="TUQ14" s="314" t="s">
        <v>203</v>
      </c>
      <c r="TUR14" s="314" t="s">
        <v>203</v>
      </c>
      <c r="TUS14" s="314" t="s">
        <v>203</v>
      </c>
      <c r="TUT14" s="314" t="s">
        <v>203</v>
      </c>
      <c r="TUU14" s="314" t="s">
        <v>203</v>
      </c>
      <c r="TUV14" s="314" t="s">
        <v>203</v>
      </c>
      <c r="TUW14" s="314" t="s">
        <v>203</v>
      </c>
      <c r="TUX14" s="314" t="s">
        <v>203</v>
      </c>
      <c r="TUY14" s="314" t="s">
        <v>203</v>
      </c>
      <c r="TUZ14" s="314" t="s">
        <v>203</v>
      </c>
      <c r="TVA14" s="314" t="s">
        <v>203</v>
      </c>
      <c r="TVB14" s="314" t="s">
        <v>203</v>
      </c>
      <c r="TVC14" s="314" t="s">
        <v>203</v>
      </c>
      <c r="TVD14" s="314" t="s">
        <v>203</v>
      </c>
      <c r="TVE14" s="314" t="s">
        <v>203</v>
      </c>
      <c r="TVF14" s="314" t="s">
        <v>203</v>
      </c>
      <c r="TVG14" s="314" t="s">
        <v>203</v>
      </c>
      <c r="TVH14" s="314" t="s">
        <v>203</v>
      </c>
      <c r="TVI14" s="314" t="s">
        <v>203</v>
      </c>
      <c r="TVJ14" s="314" t="s">
        <v>203</v>
      </c>
      <c r="TVK14" s="314" t="s">
        <v>203</v>
      </c>
      <c r="TVL14" s="314" t="s">
        <v>203</v>
      </c>
      <c r="TVM14" s="314" t="s">
        <v>203</v>
      </c>
      <c r="TVN14" s="314" t="s">
        <v>203</v>
      </c>
      <c r="TVO14" s="314" t="s">
        <v>203</v>
      </c>
      <c r="TVP14" s="314" t="s">
        <v>203</v>
      </c>
      <c r="TVQ14" s="314" t="s">
        <v>203</v>
      </c>
      <c r="TVR14" s="314" t="s">
        <v>203</v>
      </c>
      <c r="TVS14" s="314" t="s">
        <v>203</v>
      </c>
      <c r="TVT14" s="314" t="s">
        <v>203</v>
      </c>
      <c r="TVU14" s="314" t="s">
        <v>203</v>
      </c>
      <c r="TVV14" s="314" t="s">
        <v>203</v>
      </c>
      <c r="TVW14" s="314" t="s">
        <v>203</v>
      </c>
      <c r="TVX14" s="314" t="s">
        <v>203</v>
      </c>
      <c r="TVY14" s="314" t="s">
        <v>203</v>
      </c>
      <c r="TVZ14" s="314" t="s">
        <v>203</v>
      </c>
      <c r="TWA14" s="314" t="s">
        <v>203</v>
      </c>
      <c r="TWB14" s="314" t="s">
        <v>203</v>
      </c>
      <c r="TWC14" s="314" t="s">
        <v>203</v>
      </c>
      <c r="TWD14" s="314" t="s">
        <v>203</v>
      </c>
      <c r="TWE14" s="314" t="s">
        <v>203</v>
      </c>
      <c r="TWF14" s="314" t="s">
        <v>203</v>
      </c>
      <c r="TWG14" s="314" t="s">
        <v>203</v>
      </c>
      <c r="TWH14" s="314" t="s">
        <v>203</v>
      </c>
      <c r="TWI14" s="314" t="s">
        <v>203</v>
      </c>
      <c r="TWJ14" s="314" t="s">
        <v>203</v>
      </c>
      <c r="TWK14" s="314" t="s">
        <v>203</v>
      </c>
      <c r="TWL14" s="314" t="s">
        <v>203</v>
      </c>
      <c r="TWM14" s="314" t="s">
        <v>203</v>
      </c>
      <c r="TWN14" s="314" t="s">
        <v>203</v>
      </c>
      <c r="TWO14" s="314" t="s">
        <v>203</v>
      </c>
      <c r="TWP14" s="314" t="s">
        <v>203</v>
      </c>
      <c r="TWQ14" s="314" t="s">
        <v>203</v>
      </c>
      <c r="TWR14" s="314" t="s">
        <v>203</v>
      </c>
      <c r="TWS14" s="314" t="s">
        <v>203</v>
      </c>
      <c r="TWT14" s="314" t="s">
        <v>203</v>
      </c>
      <c r="TWU14" s="314" t="s">
        <v>203</v>
      </c>
      <c r="TWV14" s="314" t="s">
        <v>203</v>
      </c>
      <c r="TWW14" s="314" t="s">
        <v>203</v>
      </c>
      <c r="TWX14" s="314" t="s">
        <v>203</v>
      </c>
      <c r="TWY14" s="314" t="s">
        <v>203</v>
      </c>
      <c r="TWZ14" s="314" t="s">
        <v>203</v>
      </c>
      <c r="TXA14" s="314" t="s">
        <v>203</v>
      </c>
      <c r="TXB14" s="314" t="s">
        <v>203</v>
      </c>
      <c r="TXC14" s="314" t="s">
        <v>203</v>
      </c>
      <c r="TXD14" s="314" t="s">
        <v>203</v>
      </c>
      <c r="TXE14" s="314" t="s">
        <v>203</v>
      </c>
      <c r="TXF14" s="314" t="s">
        <v>203</v>
      </c>
      <c r="TXG14" s="314" t="s">
        <v>203</v>
      </c>
      <c r="TXH14" s="314" t="s">
        <v>203</v>
      </c>
      <c r="TXI14" s="314" t="s">
        <v>203</v>
      </c>
      <c r="TXJ14" s="314" t="s">
        <v>203</v>
      </c>
      <c r="TXK14" s="314" t="s">
        <v>203</v>
      </c>
      <c r="TXL14" s="314" t="s">
        <v>203</v>
      </c>
      <c r="TXM14" s="314" t="s">
        <v>203</v>
      </c>
      <c r="TXN14" s="314" t="s">
        <v>203</v>
      </c>
      <c r="TXO14" s="314" t="s">
        <v>203</v>
      </c>
      <c r="TXP14" s="314" t="s">
        <v>203</v>
      </c>
      <c r="TXQ14" s="314" t="s">
        <v>203</v>
      </c>
      <c r="TXR14" s="314" t="s">
        <v>203</v>
      </c>
      <c r="TXS14" s="314" t="s">
        <v>203</v>
      </c>
      <c r="TXT14" s="314" t="s">
        <v>203</v>
      </c>
      <c r="TXU14" s="314" t="s">
        <v>203</v>
      </c>
      <c r="TXV14" s="314" t="s">
        <v>203</v>
      </c>
      <c r="TXW14" s="314" t="s">
        <v>203</v>
      </c>
      <c r="TXX14" s="314" t="s">
        <v>203</v>
      </c>
      <c r="TXY14" s="314" t="s">
        <v>203</v>
      </c>
      <c r="TXZ14" s="314" t="s">
        <v>203</v>
      </c>
      <c r="TYA14" s="314" t="s">
        <v>203</v>
      </c>
      <c r="TYB14" s="314" t="s">
        <v>203</v>
      </c>
      <c r="TYC14" s="314" t="s">
        <v>203</v>
      </c>
      <c r="TYD14" s="314" t="s">
        <v>203</v>
      </c>
      <c r="TYE14" s="314" t="s">
        <v>203</v>
      </c>
      <c r="TYF14" s="314" t="s">
        <v>203</v>
      </c>
      <c r="TYG14" s="314" t="s">
        <v>203</v>
      </c>
      <c r="TYH14" s="314" t="s">
        <v>203</v>
      </c>
      <c r="TYI14" s="314" t="s">
        <v>203</v>
      </c>
      <c r="TYJ14" s="314" t="s">
        <v>203</v>
      </c>
      <c r="TYK14" s="314" t="s">
        <v>203</v>
      </c>
      <c r="TYL14" s="314" t="s">
        <v>203</v>
      </c>
      <c r="TYM14" s="314" t="s">
        <v>203</v>
      </c>
      <c r="TYN14" s="314" t="s">
        <v>203</v>
      </c>
      <c r="TYO14" s="314" t="s">
        <v>203</v>
      </c>
      <c r="TYP14" s="314" t="s">
        <v>203</v>
      </c>
      <c r="TYQ14" s="314" t="s">
        <v>203</v>
      </c>
      <c r="TYR14" s="314" t="s">
        <v>203</v>
      </c>
      <c r="TYS14" s="314" t="s">
        <v>203</v>
      </c>
      <c r="TYT14" s="314" t="s">
        <v>203</v>
      </c>
      <c r="TYU14" s="314" t="s">
        <v>203</v>
      </c>
      <c r="TYV14" s="314" t="s">
        <v>203</v>
      </c>
      <c r="TYW14" s="314" t="s">
        <v>203</v>
      </c>
      <c r="TYX14" s="314" t="s">
        <v>203</v>
      </c>
      <c r="TYY14" s="314" t="s">
        <v>203</v>
      </c>
      <c r="TYZ14" s="314" t="s">
        <v>203</v>
      </c>
      <c r="TZA14" s="314" t="s">
        <v>203</v>
      </c>
      <c r="TZB14" s="314" t="s">
        <v>203</v>
      </c>
      <c r="TZC14" s="314" t="s">
        <v>203</v>
      </c>
      <c r="TZD14" s="314" t="s">
        <v>203</v>
      </c>
      <c r="TZE14" s="314" t="s">
        <v>203</v>
      </c>
      <c r="TZF14" s="314" t="s">
        <v>203</v>
      </c>
      <c r="TZG14" s="314" t="s">
        <v>203</v>
      </c>
      <c r="TZH14" s="314" t="s">
        <v>203</v>
      </c>
      <c r="TZI14" s="314" t="s">
        <v>203</v>
      </c>
      <c r="TZJ14" s="314" t="s">
        <v>203</v>
      </c>
      <c r="TZK14" s="314" t="s">
        <v>203</v>
      </c>
      <c r="TZL14" s="314" t="s">
        <v>203</v>
      </c>
      <c r="TZM14" s="314" t="s">
        <v>203</v>
      </c>
      <c r="TZN14" s="314" t="s">
        <v>203</v>
      </c>
      <c r="TZO14" s="314" t="s">
        <v>203</v>
      </c>
      <c r="TZP14" s="314" t="s">
        <v>203</v>
      </c>
      <c r="TZQ14" s="314" t="s">
        <v>203</v>
      </c>
      <c r="TZR14" s="314" t="s">
        <v>203</v>
      </c>
      <c r="TZS14" s="314" t="s">
        <v>203</v>
      </c>
      <c r="TZT14" s="314" t="s">
        <v>203</v>
      </c>
      <c r="TZU14" s="314" t="s">
        <v>203</v>
      </c>
      <c r="TZV14" s="314" t="s">
        <v>203</v>
      </c>
      <c r="TZW14" s="314" t="s">
        <v>203</v>
      </c>
      <c r="TZX14" s="314" t="s">
        <v>203</v>
      </c>
      <c r="TZY14" s="314" t="s">
        <v>203</v>
      </c>
      <c r="TZZ14" s="314" t="s">
        <v>203</v>
      </c>
      <c r="UAA14" s="314" t="s">
        <v>203</v>
      </c>
      <c r="UAB14" s="314" t="s">
        <v>203</v>
      </c>
      <c r="UAC14" s="314" t="s">
        <v>203</v>
      </c>
      <c r="UAD14" s="314" t="s">
        <v>203</v>
      </c>
      <c r="UAE14" s="314" t="s">
        <v>203</v>
      </c>
      <c r="UAF14" s="314" t="s">
        <v>203</v>
      </c>
      <c r="UAG14" s="314" t="s">
        <v>203</v>
      </c>
      <c r="UAH14" s="314" t="s">
        <v>203</v>
      </c>
      <c r="UAI14" s="314" t="s">
        <v>203</v>
      </c>
      <c r="UAJ14" s="314" t="s">
        <v>203</v>
      </c>
      <c r="UAK14" s="314" t="s">
        <v>203</v>
      </c>
      <c r="UAL14" s="314" t="s">
        <v>203</v>
      </c>
      <c r="UAM14" s="314" t="s">
        <v>203</v>
      </c>
      <c r="UAN14" s="314" t="s">
        <v>203</v>
      </c>
      <c r="UAO14" s="314" t="s">
        <v>203</v>
      </c>
      <c r="UAP14" s="314" t="s">
        <v>203</v>
      </c>
      <c r="UAQ14" s="314" t="s">
        <v>203</v>
      </c>
      <c r="UAR14" s="314" t="s">
        <v>203</v>
      </c>
      <c r="UAS14" s="314" t="s">
        <v>203</v>
      </c>
      <c r="UAT14" s="314" t="s">
        <v>203</v>
      </c>
      <c r="UAU14" s="314" t="s">
        <v>203</v>
      </c>
      <c r="UAV14" s="314" t="s">
        <v>203</v>
      </c>
      <c r="UAW14" s="314" t="s">
        <v>203</v>
      </c>
      <c r="UAX14" s="314" t="s">
        <v>203</v>
      </c>
      <c r="UAY14" s="314" t="s">
        <v>203</v>
      </c>
      <c r="UAZ14" s="314" t="s">
        <v>203</v>
      </c>
      <c r="UBA14" s="314" t="s">
        <v>203</v>
      </c>
      <c r="UBB14" s="314" t="s">
        <v>203</v>
      </c>
      <c r="UBC14" s="314" t="s">
        <v>203</v>
      </c>
      <c r="UBD14" s="314" t="s">
        <v>203</v>
      </c>
      <c r="UBE14" s="314" t="s">
        <v>203</v>
      </c>
      <c r="UBF14" s="314" t="s">
        <v>203</v>
      </c>
      <c r="UBG14" s="314" t="s">
        <v>203</v>
      </c>
      <c r="UBH14" s="314" t="s">
        <v>203</v>
      </c>
      <c r="UBI14" s="314" t="s">
        <v>203</v>
      </c>
      <c r="UBJ14" s="314" t="s">
        <v>203</v>
      </c>
      <c r="UBK14" s="314" t="s">
        <v>203</v>
      </c>
      <c r="UBL14" s="314" t="s">
        <v>203</v>
      </c>
      <c r="UBM14" s="314" t="s">
        <v>203</v>
      </c>
      <c r="UBN14" s="314" t="s">
        <v>203</v>
      </c>
      <c r="UBO14" s="314" t="s">
        <v>203</v>
      </c>
      <c r="UBP14" s="314" t="s">
        <v>203</v>
      </c>
      <c r="UBQ14" s="314" t="s">
        <v>203</v>
      </c>
      <c r="UBR14" s="314" t="s">
        <v>203</v>
      </c>
      <c r="UBS14" s="314" t="s">
        <v>203</v>
      </c>
      <c r="UBT14" s="314" t="s">
        <v>203</v>
      </c>
      <c r="UBU14" s="314" t="s">
        <v>203</v>
      </c>
      <c r="UBV14" s="314" t="s">
        <v>203</v>
      </c>
      <c r="UBW14" s="314" t="s">
        <v>203</v>
      </c>
      <c r="UBX14" s="314" t="s">
        <v>203</v>
      </c>
      <c r="UBY14" s="314" t="s">
        <v>203</v>
      </c>
      <c r="UBZ14" s="314" t="s">
        <v>203</v>
      </c>
      <c r="UCA14" s="314" t="s">
        <v>203</v>
      </c>
      <c r="UCB14" s="314" t="s">
        <v>203</v>
      </c>
      <c r="UCC14" s="314" t="s">
        <v>203</v>
      </c>
      <c r="UCD14" s="314" t="s">
        <v>203</v>
      </c>
      <c r="UCE14" s="314" t="s">
        <v>203</v>
      </c>
      <c r="UCF14" s="314" t="s">
        <v>203</v>
      </c>
      <c r="UCG14" s="314" t="s">
        <v>203</v>
      </c>
      <c r="UCH14" s="314" t="s">
        <v>203</v>
      </c>
      <c r="UCI14" s="314" t="s">
        <v>203</v>
      </c>
      <c r="UCJ14" s="314" t="s">
        <v>203</v>
      </c>
      <c r="UCK14" s="314" t="s">
        <v>203</v>
      </c>
      <c r="UCL14" s="314" t="s">
        <v>203</v>
      </c>
      <c r="UCM14" s="314" t="s">
        <v>203</v>
      </c>
      <c r="UCN14" s="314" t="s">
        <v>203</v>
      </c>
      <c r="UCO14" s="314" t="s">
        <v>203</v>
      </c>
      <c r="UCP14" s="314" t="s">
        <v>203</v>
      </c>
      <c r="UCQ14" s="314" t="s">
        <v>203</v>
      </c>
      <c r="UCR14" s="314" t="s">
        <v>203</v>
      </c>
      <c r="UCS14" s="314" t="s">
        <v>203</v>
      </c>
      <c r="UCT14" s="314" t="s">
        <v>203</v>
      </c>
      <c r="UCU14" s="314" t="s">
        <v>203</v>
      </c>
      <c r="UCV14" s="314" t="s">
        <v>203</v>
      </c>
      <c r="UCW14" s="314" t="s">
        <v>203</v>
      </c>
      <c r="UCX14" s="314" t="s">
        <v>203</v>
      </c>
      <c r="UCY14" s="314" t="s">
        <v>203</v>
      </c>
      <c r="UCZ14" s="314" t="s">
        <v>203</v>
      </c>
      <c r="UDA14" s="314" t="s">
        <v>203</v>
      </c>
      <c r="UDB14" s="314" t="s">
        <v>203</v>
      </c>
      <c r="UDC14" s="314" t="s">
        <v>203</v>
      </c>
      <c r="UDD14" s="314" t="s">
        <v>203</v>
      </c>
      <c r="UDE14" s="314" t="s">
        <v>203</v>
      </c>
      <c r="UDF14" s="314" t="s">
        <v>203</v>
      </c>
      <c r="UDG14" s="314" t="s">
        <v>203</v>
      </c>
      <c r="UDH14" s="314" t="s">
        <v>203</v>
      </c>
      <c r="UDI14" s="314" t="s">
        <v>203</v>
      </c>
      <c r="UDJ14" s="314" t="s">
        <v>203</v>
      </c>
      <c r="UDK14" s="314" t="s">
        <v>203</v>
      </c>
      <c r="UDL14" s="314" t="s">
        <v>203</v>
      </c>
      <c r="UDM14" s="314" t="s">
        <v>203</v>
      </c>
      <c r="UDN14" s="314" t="s">
        <v>203</v>
      </c>
      <c r="UDO14" s="314" t="s">
        <v>203</v>
      </c>
      <c r="UDP14" s="314" t="s">
        <v>203</v>
      </c>
      <c r="UDQ14" s="314" t="s">
        <v>203</v>
      </c>
      <c r="UDR14" s="314" t="s">
        <v>203</v>
      </c>
      <c r="UDS14" s="314" t="s">
        <v>203</v>
      </c>
      <c r="UDT14" s="314" t="s">
        <v>203</v>
      </c>
      <c r="UDU14" s="314" t="s">
        <v>203</v>
      </c>
      <c r="UDV14" s="314" t="s">
        <v>203</v>
      </c>
      <c r="UDW14" s="314" t="s">
        <v>203</v>
      </c>
      <c r="UDX14" s="314" t="s">
        <v>203</v>
      </c>
      <c r="UDY14" s="314" t="s">
        <v>203</v>
      </c>
      <c r="UDZ14" s="314" t="s">
        <v>203</v>
      </c>
      <c r="UEA14" s="314" t="s">
        <v>203</v>
      </c>
      <c r="UEB14" s="314" t="s">
        <v>203</v>
      </c>
      <c r="UEC14" s="314" t="s">
        <v>203</v>
      </c>
      <c r="UED14" s="314" t="s">
        <v>203</v>
      </c>
      <c r="UEE14" s="314" t="s">
        <v>203</v>
      </c>
      <c r="UEF14" s="314" t="s">
        <v>203</v>
      </c>
      <c r="UEG14" s="314" t="s">
        <v>203</v>
      </c>
      <c r="UEH14" s="314" t="s">
        <v>203</v>
      </c>
      <c r="UEI14" s="314" t="s">
        <v>203</v>
      </c>
      <c r="UEJ14" s="314" t="s">
        <v>203</v>
      </c>
      <c r="UEK14" s="314" t="s">
        <v>203</v>
      </c>
      <c r="UEL14" s="314" t="s">
        <v>203</v>
      </c>
      <c r="UEM14" s="314" t="s">
        <v>203</v>
      </c>
      <c r="UEN14" s="314" t="s">
        <v>203</v>
      </c>
      <c r="UEO14" s="314" t="s">
        <v>203</v>
      </c>
      <c r="UEP14" s="314" t="s">
        <v>203</v>
      </c>
      <c r="UEQ14" s="314" t="s">
        <v>203</v>
      </c>
      <c r="UER14" s="314" t="s">
        <v>203</v>
      </c>
      <c r="UES14" s="314" t="s">
        <v>203</v>
      </c>
      <c r="UET14" s="314" t="s">
        <v>203</v>
      </c>
      <c r="UEU14" s="314" t="s">
        <v>203</v>
      </c>
      <c r="UEV14" s="314" t="s">
        <v>203</v>
      </c>
      <c r="UEW14" s="314" t="s">
        <v>203</v>
      </c>
      <c r="UEX14" s="314" t="s">
        <v>203</v>
      </c>
      <c r="UEY14" s="314" t="s">
        <v>203</v>
      </c>
      <c r="UEZ14" s="314" t="s">
        <v>203</v>
      </c>
      <c r="UFA14" s="314" t="s">
        <v>203</v>
      </c>
      <c r="UFB14" s="314" t="s">
        <v>203</v>
      </c>
      <c r="UFC14" s="314" t="s">
        <v>203</v>
      </c>
      <c r="UFD14" s="314" t="s">
        <v>203</v>
      </c>
      <c r="UFE14" s="314" t="s">
        <v>203</v>
      </c>
      <c r="UFF14" s="314" t="s">
        <v>203</v>
      </c>
      <c r="UFG14" s="314" t="s">
        <v>203</v>
      </c>
      <c r="UFH14" s="314" t="s">
        <v>203</v>
      </c>
      <c r="UFI14" s="314" t="s">
        <v>203</v>
      </c>
      <c r="UFJ14" s="314" t="s">
        <v>203</v>
      </c>
      <c r="UFK14" s="314" t="s">
        <v>203</v>
      </c>
      <c r="UFL14" s="314" t="s">
        <v>203</v>
      </c>
      <c r="UFM14" s="314" t="s">
        <v>203</v>
      </c>
      <c r="UFN14" s="314" t="s">
        <v>203</v>
      </c>
      <c r="UFO14" s="314" t="s">
        <v>203</v>
      </c>
      <c r="UFP14" s="314" t="s">
        <v>203</v>
      </c>
      <c r="UFQ14" s="314" t="s">
        <v>203</v>
      </c>
      <c r="UFR14" s="314" t="s">
        <v>203</v>
      </c>
      <c r="UFS14" s="314" t="s">
        <v>203</v>
      </c>
      <c r="UFT14" s="314" t="s">
        <v>203</v>
      </c>
      <c r="UFU14" s="314" t="s">
        <v>203</v>
      </c>
      <c r="UFV14" s="314" t="s">
        <v>203</v>
      </c>
      <c r="UFW14" s="314" t="s">
        <v>203</v>
      </c>
      <c r="UFX14" s="314" t="s">
        <v>203</v>
      </c>
      <c r="UFY14" s="314" t="s">
        <v>203</v>
      </c>
      <c r="UFZ14" s="314" t="s">
        <v>203</v>
      </c>
      <c r="UGA14" s="314" t="s">
        <v>203</v>
      </c>
      <c r="UGB14" s="314" t="s">
        <v>203</v>
      </c>
      <c r="UGC14" s="314" t="s">
        <v>203</v>
      </c>
      <c r="UGD14" s="314" t="s">
        <v>203</v>
      </c>
      <c r="UGE14" s="314" t="s">
        <v>203</v>
      </c>
      <c r="UGF14" s="314" t="s">
        <v>203</v>
      </c>
      <c r="UGG14" s="314" t="s">
        <v>203</v>
      </c>
      <c r="UGH14" s="314" t="s">
        <v>203</v>
      </c>
      <c r="UGI14" s="314" t="s">
        <v>203</v>
      </c>
      <c r="UGJ14" s="314" t="s">
        <v>203</v>
      </c>
      <c r="UGK14" s="314" t="s">
        <v>203</v>
      </c>
      <c r="UGL14" s="314" t="s">
        <v>203</v>
      </c>
      <c r="UGM14" s="314" t="s">
        <v>203</v>
      </c>
      <c r="UGN14" s="314" t="s">
        <v>203</v>
      </c>
      <c r="UGO14" s="314" t="s">
        <v>203</v>
      </c>
      <c r="UGP14" s="314" t="s">
        <v>203</v>
      </c>
      <c r="UGQ14" s="314" t="s">
        <v>203</v>
      </c>
      <c r="UGR14" s="314" t="s">
        <v>203</v>
      </c>
      <c r="UGS14" s="314" t="s">
        <v>203</v>
      </c>
      <c r="UGT14" s="314" t="s">
        <v>203</v>
      </c>
      <c r="UGU14" s="314" t="s">
        <v>203</v>
      </c>
      <c r="UGV14" s="314" t="s">
        <v>203</v>
      </c>
      <c r="UGW14" s="314" t="s">
        <v>203</v>
      </c>
      <c r="UGX14" s="314" t="s">
        <v>203</v>
      </c>
      <c r="UGY14" s="314" t="s">
        <v>203</v>
      </c>
      <c r="UGZ14" s="314" t="s">
        <v>203</v>
      </c>
      <c r="UHA14" s="314" t="s">
        <v>203</v>
      </c>
      <c r="UHB14" s="314" t="s">
        <v>203</v>
      </c>
      <c r="UHC14" s="314" t="s">
        <v>203</v>
      </c>
      <c r="UHD14" s="314" t="s">
        <v>203</v>
      </c>
      <c r="UHE14" s="314" t="s">
        <v>203</v>
      </c>
      <c r="UHF14" s="314" t="s">
        <v>203</v>
      </c>
      <c r="UHG14" s="314" t="s">
        <v>203</v>
      </c>
      <c r="UHH14" s="314" t="s">
        <v>203</v>
      </c>
      <c r="UHI14" s="314" t="s">
        <v>203</v>
      </c>
      <c r="UHJ14" s="314" t="s">
        <v>203</v>
      </c>
      <c r="UHK14" s="314" t="s">
        <v>203</v>
      </c>
      <c r="UHL14" s="314" t="s">
        <v>203</v>
      </c>
      <c r="UHM14" s="314" t="s">
        <v>203</v>
      </c>
      <c r="UHN14" s="314" t="s">
        <v>203</v>
      </c>
      <c r="UHO14" s="314" t="s">
        <v>203</v>
      </c>
      <c r="UHP14" s="314" t="s">
        <v>203</v>
      </c>
      <c r="UHQ14" s="314" t="s">
        <v>203</v>
      </c>
      <c r="UHR14" s="314" t="s">
        <v>203</v>
      </c>
      <c r="UHS14" s="314" t="s">
        <v>203</v>
      </c>
      <c r="UHT14" s="314" t="s">
        <v>203</v>
      </c>
      <c r="UHU14" s="314" t="s">
        <v>203</v>
      </c>
      <c r="UHV14" s="314" t="s">
        <v>203</v>
      </c>
      <c r="UHW14" s="314" t="s">
        <v>203</v>
      </c>
      <c r="UHX14" s="314" t="s">
        <v>203</v>
      </c>
      <c r="UHY14" s="314" t="s">
        <v>203</v>
      </c>
      <c r="UHZ14" s="314" t="s">
        <v>203</v>
      </c>
      <c r="UIA14" s="314" t="s">
        <v>203</v>
      </c>
      <c r="UIB14" s="314" t="s">
        <v>203</v>
      </c>
      <c r="UIC14" s="314" t="s">
        <v>203</v>
      </c>
      <c r="UID14" s="314" t="s">
        <v>203</v>
      </c>
      <c r="UIE14" s="314" t="s">
        <v>203</v>
      </c>
      <c r="UIF14" s="314" t="s">
        <v>203</v>
      </c>
      <c r="UIG14" s="314" t="s">
        <v>203</v>
      </c>
      <c r="UIH14" s="314" t="s">
        <v>203</v>
      </c>
      <c r="UII14" s="314" t="s">
        <v>203</v>
      </c>
      <c r="UIJ14" s="314" t="s">
        <v>203</v>
      </c>
      <c r="UIK14" s="314" t="s">
        <v>203</v>
      </c>
      <c r="UIL14" s="314" t="s">
        <v>203</v>
      </c>
      <c r="UIM14" s="314" t="s">
        <v>203</v>
      </c>
      <c r="UIN14" s="314" t="s">
        <v>203</v>
      </c>
      <c r="UIO14" s="314" t="s">
        <v>203</v>
      </c>
      <c r="UIP14" s="314" t="s">
        <v>203</v>
      </c>
      <c r="UIQ14" s="314" t="s">
        <v>203</v>
      </c>
      <c r="UIR14" s="314" t="s">
        <v>203</v>
      </c>
      <c r="UIS14" s="314" t="s">
        <v>203</v>
      </c>
      <c r="UIT14" s="314" t="s">
        <v>203</v>
      </c>
      <c r="UIU14" s="314" t="s">
        <v>203</v>
      </c>
      <c r="UIV14" s="314" t="s">
        <v>203</v>
      </c>
      <c r="UIW14" s="314" t="s">
        <v>203</v>
      </c>
      <c r="UIX14" s="314" t="s">
        <v>203</v>
      </c>
      <c r="UIY14" s="314" t="s">
        <v>203</v>
      </c>
      <c r="UIZ14" s="314" t="s">
        <v>203</v>
      </c>
      <c r="UJA14" s="314" t="s">
        <v>203</v>
      </c>
      <c r="UJB14" s="314" t="s">
        <v>203</v>
      </c>
      <c r="UJC14" s="314" t="s">
        <v>203</v>
      </c>
      <c r="UJD14" s="314" t="s">
        <v>203</v>
      </c>
      <c r="UJE14" s="314" t="s">
        <v>203</v>
      </c>
      <c r="UJF14" s="314" t="s">
        <v>203</v>
      </c>
      <c r="UJG14" s="314" t="s">
        <v>203</v>
      </c>
      <c r="UJH14" s="314" t="s">
        <v>203</v>
      </c>
      <c r="UJI14" s="314" t="s">
        <v>203</v>
      </c>
      <c r="UJJ14" s="314" t="s">
        <v>203</v>
      </c>
      <c r="UJK14" s="314" t="s">
        <v>203</v>
      </c>
      <c r="UJL14" s="314" t="s">
        <v>203</v>
      </c>
      <c r="UJM14" s="314" t="s">
        <v>203</v>
      </c>
      <c r="UJN14" s="314" t="s">
        <v>203</v>
      </c>
      <c r="UJO14" s="314" t="s">
        <v>203</v>
      </c>
      <c r="UJP14" s="314" t="s">
        <v>203</v>
      </c>
      <c r="UJQ14" s="314" t="s">
        <v>203</v>
      </c>
      <c r="UJR14" s="314" t="s">
        <v>203</v>
      </c>
      <c r="UJS14" s="314" t="s">
        <v>203</v>
      </c>
      <c r="UJT14" s="314" t="s">
        <v>203</v>
      </c>
      <c r="UJU14" s="314" t="s">
        <v>203</v>
      </c>
      <c r="UJV14" s="314" t="s">
        <v>203</v>
      </c>
      <c r="UJW14" s="314" t="s">
        <v>203</v>
      </c>
      <c r="UJX14" s="314" t="s">
        <v>203</v>
      </c>
      <c r="UJY14" s="314" t="s">
        <v>203</v>
      </c>
      <c r="UJZ14" s="314" t="s">
        <v>203</v>
      </c>
      <c r="UKA14" s="314" t="s">
        <v>203</v>
      </c>
      <c r="UKB14" s="314" t="s">
        <v>203</v>
      </c>
      <c r="UKC14" s="314" t="s">
        <v>203</v>
      </c>
      <c r="UKD14" s="314" t="s">
        <v>203</v>
      </c>
      <c r="UKE14" s="314" t="s">
        <v>203</v>
      </c>
      <c r="UKF14" s="314" t="s">
        <v>203</v>
      </c>
      <c r="UKG14" s="314" t="s">
        <v>203</v>
      </c>
      <c r="UKH14" s="314" t="s">
        <v>203</v>
      </c>
      <c r="UKI14" s="314" t="s">
        <v>203</v>
      </c>
      <c r="UKJ14" s="314" t="s">
        <v>203</v>
      </c>
      <c r="UKK14" s="314" t="s">
        <v>203</v>
      </c>
      <c r="UKL14" s="314" t="s">
        <v>203</v>
      </c>
      <c r="UKM14" s="314" t="s">
        <v>203</v>
      </c>
      <c r="UKN14" s="314" t="s">
        <v>203</v>
      </c>
      <c r="UKO14" s="314" t="s">
        <v>203</v>
      </c>
      <c r="UKP14" s="314" t="s">
        <v>203</v>
      </c>
      <c r="UKQ14" s="314" t="s">
        <v>203</v>
      </c>
      <c r="UKR14" s="314" t="s">
        <v>203</v>
      </c>
      <c r="UKS14" s="314" t="s">
        <v>203</v>
      </c>
      <c r="UKT14" s="314" t="s">
        <v>203</v>
      </c>
      <c r="UKU14" s="314" t="s">
        <v>203</v>
      </c>
      <c r="UKV14" s="314" t="s">
        <v>203</v>
      </c>
      <c r="UKW14" s="314" t="s">
        <v>203</v>
      </c>
      <c r="UKX14" s="314" t="s">
        <v>203</v>
      </c>
      <c r="UKY14" s="314" t="s">
        <v>203</v>
      </c>
      <c r="UKZ14" s="314" t="s">
        <v>203</v>
      </c>
      <c r="ULA14" s="314" t="s">
        <v>203</v>
      </c>
      <c r="ULB14" s="314" t="s">
        <v>203</v>
      </c>
      <c r="ULC14" s="314" t="s">
        <v>203</v>
      </c>
      <c r="ULD14" s="314" t="s">
        <v>203</v>
      </c>
      <c r="ULE14" s="314" t="s">
        <v>203</v>
      </c>
      <c r="ULF14" s="314" t="s">
        <v>203</v>
      </c>
      <c r="ULG14" s="314" t="s">
        <v>203</v>
      </c>
      <c r="ULH14" s="314" t="s">
        <v>203</v>
      </c>
      <c r="ULI14" s="314" t="s">
        <v>203</v>
      </c>
      <c r="ULJ14" s="314" t="s">
        <v>203</v>
      </c>
      <c r="ULK14" s="314" t="s">
        <v>203</v>
      </c>
      <c r="ULL14" s="314" t="s">
        <v>203</v>
      </c>
      <c r="ULM14" s="314" t="s">
        <v>203</v>
      </c>
      <c r="ULN14" s="314" t="s">
        <v>203</v>
      </c>
      <c r="ULO14" s="314" t="s">
        <v>203</v>
      </c>
      <c r="ULP14" s="314" t="s">
        <v>203</v>
      </c>
      <c r="ULQ14" s="314" t="s">
        <v>203</v>
      </c>
      <c r="ULR14" s="314" t="s">
        <v>203</v>
      </c>
      <c r="ULS14" s="314" t="s">
        <v>203</v>
      </c>
      <c r="ULT14" s="314" t="s">
        <v>203</v>
      </c>
      <c r="ULU14" s="314" t="s">
        <v>203</v>
      </c>
      <c r="ULV14" s="314" t="s">
        <v>203</v>
      </c>
      <c r="ULW14" s="314" t="s">
        <v>203</v>
      </c>
      <c r="ULX14" s="314" t="s">
        <v>203</v>
      </c>
      <c r="ULY14" s="314" t="s">
        <v>203</v>
      </c>
      <c r="ULZ14" s="314" t="s">
        <v>203</v>
      </c>
      <c r="UMA14" s="314" t="s">
        <v>203</v>
      </c>
      <c r="UMB14" s="314" t="s">
        <v>203</v>
      </c>
      <c r="UMC14" s="314" t="s">
        <v>203</v>
      </c>
      <c r="UMD14" s="314" t="s">
        <v>203</v>
      </c>
      <c r="UME14" s="314" t="s">
        <v>203</v>
      </c>
      <c r="UMF14" s="314" t="s">
        <v>203</v>
      </c>
      <c r="UMG14" s="314" t="s">
        <v>203</v>
      </c>
      <c r="UMH14" s="314" t="s">
        <v>203</v>
      </c>
      <c r="UMI14" s="314" t="s">
        <v>203</v>
      </c>
      <c r="UMJ14" s="314" t="s">
        <v>203</v>
      </c>
      <c r="UMK14" s="314" t="s">
        <v>203</v>
      </c>
      <c r="UML14" s="314" t="s">
        <v>203</v>
      </c>
      <c r="UMM14" s="314" t="s">
        <v>203</v>
      </c>
      <c r="UMN14" s="314" t="s">
        <v>203</v>
      </c>
      <c r="UMO14" s="314" t="s">
        <v>203</v>
      </c>
      <c r="UMP14" s="314" t="s">
        <v>203</v>
      </c>
      <c r="UMQ14" s="314" t="s">
        <v>203</v>
      </c>
      <c r="UMR14" s="314" t="s">
        <v>203</v>
      </c>
      <c r="UMS14" s="314" t="s">
        <v>203</v>
      </c>
      <c r="UMT14" s="314" t="s">
        <v>203</v>
      </c>
      <c r="UMU14" s="314" t="s">
        <v>203</v>
      </c>
      <c r="UMV14" s="314" t="s">
        <v>203</v>
      </c>
      <c r="UMW14" s="314" t="s">
        <v>203</v>
      </c>
      <c r="UMX14" s="314" t="s">
        <v>203</v>
      </c>
      <c r="UMY14" s="314" t="s">
        <v>203</v>
      </c>
      <c r="UMZ14" s="314" t="s">
        <v>203</v>
      </c>
      <c r="UNA14" s="314" t="s">
        <v>203</v>
      </c>
      <c r="UNB14" s="314" t="s">
        <v>203</v>
      </c>
      <c r="UNC14" s="314" t="s">
        <v>203</v>
      </c>
      <c r="UND14" s="314" t="s">
        <v>203</v>
      </c>
      <c r="UNE14" s="314" t="s">
        <v>203</v>
      </c>
      <c r="UNF14" s="314" t="s">
        <v>203</v>
      </c>
      <c r="UNG14" s="314" t="s">
        <v>203</v>
      </c>
      <c r="UNH14" s="314" t="s">
        <v>203</v>
      </c>
      <c r="UNI14" s="314" t="s">
        <v>203</v>
      </c>
      <c r="UNJ14" s="314" t="s">
        <v>203</v>
      </c>
      <c r="UNK14" s="314" t="s">
        <v>203</v>
      </c>
      <c r="UNL14" s="314" t="s">
        <v>203</v>
      </c>
      <c r="UNM14" s="314" t="s">
        <v>203</v>
      </c>
      <c r="UNN14" s="314" t="s">
        <v>203</v>
      </c>
      <c r="UNO14" s="314" t="s">
        <v>203</v>
      </c>
      <c r="UNP14" s="314" t="s">
        <v>203</v>
      </c>
      <c r="UNQ14" s="314" t="s">
        <v>203</v>
      </c>
      <c r="UNR14" s="314" t="s">
        <v>203</v>
      </c>
      <c r="UNS14" s="314" t="s">
        <v>203</v>
      </c>
      <c r="UNT14" s="314" t="s">
        <v>203</v>
      </c>
      <c r="UNU14" s="314" t="s">
        <v>203</v>
      </c>
      <c r="UNV14" s="314" t="s">
        <v>203</v>
      </c>
      <c r="UNW14" s="314" t="s">
        <v>203</v>
      </c>
      <c r="UNX14" s="314" t="s">
        <v>203</v>
      </c>
      <c r="UNY14" s="314" t="s">
        <v>203</v>
      </c>
      <c r="UNZ14" s="314" t="s">
        <v>203</v>
      </c>
      <c r="UOA14" s="314" t="s">
        <v>203</v>
      </c>
      <c r="UOB14" s="314" t="s">
        <v>203</v>
      </c>
      <c r="UOC14" s="314" t="s">
        <v>203</v>
      </c>
      <c r="UOD14" s="314" t="s">
        <v>203</v>
      </c>
      <c r="UOE14" s="314" t="s">
        <v>203</v>
      </c>
      <c r="UOF14" s="314" t="s">
        <v>203</v>
      </c>
      <c r="UOG14" s="314" t="s">
        <v>203</v>
      </c>
      <c r="UOH14" s="314" t="s">
        <v>203</v>
      </c>
      <c r="UOI14" s="314" t="s">
        <v>203</v>
      </c>
      <c r="UOJ14" s="314" t="s">
        <v>203</v>
      </c>
      <c r="UOK14" s="314" t="s">
        <v>203</v>
      </c>
      <c r="UOL14" s="314" t="s">
        <v>203</v>
      </c>
      <c r="UOM14" s="314" t="s">
        <v>203</v>
      </c>
      <c r="UON14" s="314" t="s">
        <v>203</v>
      </c>
      <c r="UOO14" s="314" t="s">
        <v>203</v>
      </c>
      <c r="UOP14" s="314" t="s">
        <v>203</v>
      </c>
      <c r="UOQ14" s="314" t="s">
        <v>203</v>
      </c>
      <c r="UOR14" s="314" t="s">
        <v>203</v>
      </c>
      <c r="UOS14" s="314" t="s">
        <v>203</v>
      </c>
      <c r="UOT14" s="314" t="s">
        <v>203</v>
      </c>
      <c r="UOU14" s="314" t="s">
        <v>203</v>
      </c>
      <c r="UOV14" s="314" t="s">
        <v>203</v>
      </c>
      <c r="UOW14" s="314" t="s">
        <v>203</v>
      </c>
      <c r="UOX14" s="314" t="s">
        <v>203</v>
      </c>
      <c r="UOY14" s="314" t="s">
        <v>203</v>
      </c>
      <c r="UOZ14" s="314" t="s">
        <v>203</v>
      </c>
      <c r="UPA14" s="314" t="s">
        <v>203</v>
      </c>
      <c r="UPB14" s="314" t="s">
        <v>203</v>
      </c>
      <c r="UPC14" s="314" t="s">
        <v>203</v>
      </c>
      <c r="UPD14" s="314" t="s">
        <v>203</v>
      </c>
      <c r="UPE14" s="314" t="s">
        <v>203</v>
      </c>
      <c r="UPF14" s="314" t="s">
        <v>203</v>
      </c>
      <c r="UPG14" s="314" t="s">
        <v>203</v>
      </c>
      <c r="UPH14" s="314" t="s">
        <v>203</v>
      </c>
      <c r="UPI14" s="314" t="s">
        <v>203</v>
      </c>
      <c r="UPJ14" s="314" t="s">
        <v>203</v>
      </c>
      <c r="UPK14" s="314" t="s">
        <v>203</v>
      </c>
      <c r="UPL14" s="314" t="s">
        <v>203</v>
      </c>
      <c r="UPM14" s="314" t="s">
        <v>203</v>
      </c>
      <c r="UPN14" s="314" t="s">
        <v>203</v>
      </c>
      <c r="UPO14" s="314" t="s">
        <v>203</v>
      </c>
      <c r="UPP14" s="314" t="s">
        <v>203</v>
      </c>
      <c r="UPQ14" s="314" t="s">
        <v>203</v>
      </c>
      <c r="UPR14" s="314" t="s">
        <v>203</v>
      </c>
      <c r="UPS14" s="314" t="s">
        <v>203</v>
      </c>
      <c r="UPT14" s="314" t="s">
        <v>203</v>
      </c>
      <c r="UPU14" s="314" t="s">
        <v>203</v>
      </c>
      <c r="UPV14" s="314" t="s">
        <v>203</v>
      </c>
      <c r="UPW14" s="314" t="s">
        <v>203</v>
      </c>
      <c r="UPX14" s="314" t="s">
        <v>203</v>
      </c>
      <c r="UPY14" s="314" t="s">
        <v>203</v>
      </c>
      <c r="UPZ14" s="314" t="s">
        <v>203</v>
      </c>
      <c r="UQA14" s="314" t="s">
        <v>203</v>
      </c>
      <c r="UQB14" s="314" t="s">
        <v>203</v>
      </c>
      <c r="UQC14" s="314" t="s">
        <v>203</v>
      </c>
      <c r="UQD14" s="314" t="s">
        <v>203</v>
      </c>
      <c r="UQE14" s="314" t="s">
        <v>203</v>
      </c>
      <c r="UQF14" s="314" t="s">
        <v>203</v>
      </c>
      <c r="UQG14" s="314" t="s">
        <v>203</v>
      </c>
      <c r="UQH14" s="314" t="s">
        <v>203</v>
      </c>
      <c r="UQI14" s="314" t="s">
        <v>203</v>
      </c>
      <c r="UQJ14" s="314" t="s">
        <v>203</v>
      </c>
      <c r="UQK14" s="314" t="s">
        <v>203</v>
      </c>
      <c r="UQL14" s="314" t="s">
        <v>203</v>
      </c>
      <c r="UQM14" s="314" t="s">
        <v>203</v>
      </c>
      <c r="UQN14" s="314" t="s">
        <v>203</v>
      </c>
      <c r="UQO14" s="314" t="s">
        <v>203</v>
      </c>
      <c r="UQP14" s="314" t="s">
        <v>203</v>
      </c>
      <c r="UQQ14" s="314" t="s">
        <v>203</v>
      </c>
      <c r="UQR14" s="314" t="s">
        <v>203</v>
      </c>
      <c r="UQS14" s="314" t="s">
        <v>203</v>
      </c>
      <c r="UQT14" s="314" t="s">
        <v>203</v>
      </c>
      <c r="UQU14" s="314" t="s">
        <v>203</v>
      </c>
      <c r="UQV14" s="314" t="s">
        <v>203</v>
      </c>
      <c r="UQW14" s="314" t="s">
        <v>203</v>
      </c>
      <c r="UQX14" s="314" t="s">
        <v>203</v>
      </c>
      <c r="UQY14" s="314" t="s">
        <v>203</v>
      </c>
      <c r="UQZ14" s="314" t="s">
        <v>203</v>
      </c>
      <c r="URA14" s="314" t="s">
        <v>203</v>
      </c>
      <c r="URB14" s="314" t="s">
        <v>203</v>
      </c>
      <c r="URC14" s="314" t="s">
        <v>203</v>
      </c>
      <c r="URD14" s="314" t="s">
        <v>203</v>
      </c>
      <c r="URE14" s="314" t="s">
        <v>203</v>
      </c>
      <c r="URF14" s="314" t="s">
        <v>203</v>
      </c>
      <c r="URG14" s="314" t="s">
        <v>203</v>
      </c>
      <c r="URH14" s="314" t="s">
        <v>203</v>
      </c>
      <c r="URI14" s="314" t="s">
        <v>203</v>
      </c>
      <c r="URJ14" s="314" t="s">
        <v>203</v>
      </c>
      <c r="URK14" s="314" t="s">
        <v>203</v>
      </c>
      <c r="URL14" s="314" t="s">
        <v>203</v>
      </c>
      <c r="URM14" s="314" t="s">
        <v>203</v>
      </c>
      <c r="URN14" s="314" t="s">
        <v>203</v>
      </c>
      <c r="URO14" s="314" t="s">
        <v>203</v>
      </c>
      <c r="URP14" s="314" t="s">
        <v>203</v>
      </c>
      <c r="URQ14" s="314" t="s">
        <v>203</v>
      </c>
      <c r="URR14" s="314" t="s">
        <v>203</v>
      </c>
      <c r="URS14" s="314" t="s">
        <v>203</v>
      </c>
      <c r="URT14" s="314" t="s">
        <v>203</v>
      </c>
      <c r="URU14" s="314" t="s">
        <v>203</v>
      </c>
      <c r="URV14" s="314" t="s">
        <v>203</v>
      </c>
      <c r="URW14" s="314" t="s">
        <v>203</v>
      </c>
      <c r="URX14" s="314" t="s">
        <v>203</v>
      </c>
      <c r="URY14" s="314" t="s">
        <v>203</v>
      </c>
      <c r="URZ14" s="314" t="s">
        <v>203</v>
      </c>
      <c r="USA14" s="314" t="s">
        <v>203</v>
      </c>
      <c r="USB14" s="314" t="s">
        <v>203</v>
      </c>
      <c r="USC14" s="314" t="s">
        <v>203</v>
      </c>
      <c r="USD14" s="314" t="s">
        <v>203</v>
      </c>
      <c r="USE14" s="314" t="s">
        <v>203</v>
      </c>
      <c r="USF14" s="314" t="s">
        <v>203</v>
      </c>
      <c r="USG14" s="314" t="s">
        <v>203</v>
      </c>
      <c r="USH14" s="314" t="s">
        <v>203</v>
      </c>
      <c r="USI14" s="314" t="s">
        <v>203</v>
      </c>
      <c r="USJ14" s="314" t="s">
        <v>203</v>
      </c>
      <c r="USK14" s="314" t="s">
        <v>203</v>
      </c>
      <c r="USL14" s="314" t="s">
        <v>203</v>
      </c>
      <c r="USM14" s="314" t="s">
        <v>203</v>
      </c>
      <c r="USN14" s="314" t="s">
        <v>203</v>
      </c>
      <c r="USO14" s="314" t="s">
        <v>203</v>
      </c>
      <c r="USP14" s="314" t="s">
        <v>203</v>
      </c>
      <c r="USQ14" s="314" t="s">
        <v>203</v>
      </c>
      <c r="USR14" s="314" t="s">
        <v>203</v>
      </c>
      <c r="USS14" s="314" t="s">
        <v>203</v>
      </c>
      <c r="UST14" s="314" t="s">
        <v>203</v>
      </c>
      <c r="USU14" s="314" t="s">
        <v>203</v>
      </c>
      <c r="USV14" s="314" t="s">
        <v>203</v>
      </c>
      <c r="USW14" s="314" t="s">
        <v>203</v>
      </c>
      <c r="USX14" s="314" t="s">
        <v>203</v>
      </c>
      <c r="USY14" s="314" t="s">
        <v>203</v>
      </c>
      <c r="USZ14" s="314" t="s">
        <v>203</v>
      </c>
      <c r="UTA14" s="314" t="s">
        <v>203</v>
      </c>
      <c r="UTB14" s="314" t="s">
        <v>203</v>
      </c>
      <c r="UTC14" s="314" t="s">
        <v>203</v>
      </c>
      <c r="UTD14" s="314" t="s">
        <v>203</v>
      </c>
      <c r="UTE14" s="314" t="s">
        <v>203</v>
      </c>
      <c r="UTF14" s="314" t="s">
        <v>203</v>
      </c>
      <c r="UTG14" s="314" t="s">
        <v>203</v>
      </c>
      <c r="UTH14" s="314" t="s">
        <v>203</v>
      </c>
      <c r="UTI14" s="314" t="s">
        <v>203</v>
      </c>
      <c r="UTJ14" s="314" t="s">
        <v>203</v>
      </c>
      <c r="UTK14" s="314" t="s">
        <v>203</v>
      </c>
      <c r="UTL14" s="314" t="s">
        <v>203</v>
      </c>
      <c r="UTM14" s="314" t="s">
        <v>203</v>
      </c>
      <c r="UTN14" s="314" t="s">
        <v>203</v>
      </c>
      <c r="UTO14" s="314" t="s">
        <v>203</v>
      </c>
      <c r="UTP14" s="314" t="s">
        <v>203</v>
      </c>
      <c r="UTQ14" s="314" t="s">
        <v>203</v>
      </c>
      <c r="UTR14" s="314" t="s">
        <v>203</v>
      </c>
      <c r="UTS14" s="314" t="s">
        <v>203</v>
      </c>
      <c r="UTT14" s="314" t="s">
        <v>203</v>
      </c>
      <c r="UTU14" s="314" t="s">
        <v>203</v>
      </c>
      <c r="UTV14" s="314" t="s">
        <v>203</v>
      </c>
      <c r="UTW14" s="314" t="s">
        <v>203</v>
      </c>
      <c r="UTX14" s="314" t="s">
        <v>203</v>
      </c>
      <c r="UTY14" s="314" t="s">
        <v>203</v>
      </c>
      <c r="UTZ14" s="314" t="s">
        <v>203</v>
      </c>
      <c r="UUA14" s="314" t="s">
        <v>203</v>
      </c>
      <c r="UUB14" s="314" t="s">
        <v>203</v>
      </c>
      <c r="UUC14" s="314" t="s">
        <v>203</v>
      </c>
      <c r="UUD14" s="314" t="s">
        <v>203</v>
      </c>
      <c r="UUE14" s="314" t="s">
        <v>203</v>
      </c>
      <c r="UUF14" s="314" t="s">
        <v>203</v>
      </c>
      <c r="UUG14" s="314" t="s">
        <v>203</v>
      </c>
      <c r="UUH14" s="314" t="s">
        <v>203</v>
      </c>
      <c r="UUI14" s="314" t="s">
        <v>203</v>
      </c>
      <c r="UUJ14" s="314" t="s">
        <v>203</v>
      </c>
      <c r="UUK14" s="314" t="s">
        <v>203</v>
      </c>
      <c r="UUL14" s="314" t="s">
        <v>203</v>
      </c>
      <c r="UUM14" s="314" t="s">
        <v>203</v>
      </c>
      <c r="UUN14" s="314" t="s">
        <v>203</v>
      </c>
      <c r="UUO14" s="314" t="s">
        <v>203</v>
      </c>
      <c r="UUP14" s="314" t="s">
        <v>203</v>
      </c>
      <c r="UUQ14" s="314" t="s">
        <v>203</v>
      </c>
      <c r="UUR14" s="314" t="s">
        <v>203</v>
      </c>
      <c r="UUS14" s="314" t="s">
        <v>203</v>
      </c>
      <c r="UUT14" s="314" t="s">
        <v>203</v>
      </c>
      <c r="UUU14" s="314" t="s">
        <v>203</v>
      </c>
      <c r="UUV14" s="314" t="s">
        <v>203</v>
      </c>
      <c r="UUW14" s="314" t="s">
        <v>203</v>
      </c>
      <c r="UUX14" s="314" t="s">
        <v>203</v>
      </c>
      <c r="UUY14" s="314" t="s">
        <v>203</v>
      </c>
      <c r="UUZ14" s="314" t="s">
        <v>203</v>
      </c>
      <c r="UVA14" s="314" t="s">
        <v>203</v>
      </c>
      <c r="UVB14" s="314" t="s">
        <v>203</v>
      </c>
      <c r="UVC14" s="314" t="s">
        <v>203</v>
      </c>
      <c r="UVD14" s="314" t="s">
        <v>203</v>
      </c>
      <c r="UVE14" s="314" t="s">
        <v>203</v>
      </c>
      <c r="UVF14" s="314" t="s">
        <v>203</v>
      </c>
      <c r="UVG14" s="314" t="s">
        <v>203</v>
      </c>
      <c r="UVH14" s="314" t="s">
        <v>203</v>
      </c>
      <c r="UVI14" s="314" t="s">
        <v>203</v>
      </c>
      <c r="UVJ14" s="314" t="s">
        <v>203</v>
      </c>
      <c r="UVK14" s="314" t="s">
        <v>203</v>
      </c>
      <c r="UVL14" s="314" t="s">
        <v>203</v>
      </c>
      <c r="UVM14" s="314" t="s">
        <v>203</v>
      </c>
      <c r="UVN14" s="314" t="s">
        <v>203</v>
      </c>
      <c r="UVO14" s="314" t="s">
        <v>203</v>
      </c>
      <c r="UVP14" s="314" t="s">
        <v>203</v>
      </c>
      <c r="UVQ14" s="314" t="s">
        <v>203</v>
      </c>
      <c r="UVR14" s="314" t="s">
        <v>203</v>
      </c>
      <c r="UVS14" s="314" t="s">
        <v>203</v>
      </c>
      <c r="UVT14" s="314" t="s">
        <v>203</v>
      </c>
      <c r="UVU14" s="314" t="s">
        <v>203</v>
      </c>
      <c r="UVV14" s="314" t="s">
        <v>203</v>
      </c>
      <c r="UVW14" s="314" t="s">
        <v>203</v>
      </c>
      <c r="UVX14" s="314" t="s">
        <v>203</v>
      </c>
      <c r="UVY14" s="314" t="s">
        <v>203</v>
      </c>
      <c r="UVZ14" s="314" t="s">
        <v>203</v>
      </c>
      <c r="UWA14" s="314" t="s">
        <v>203</v>
      </c>
      <c r="UWB14" s="314" t="s">
        <v>203</v>
      </c>
      <c r="UWC14" s="314" t="s">
        <v>203</v>
      </c>
      <c r="UWD14" s="314" t="s">
        <v>203</v>
      </c>
      <c r="UWE14" s="314" t="s">
        <v>203</v>
      </c>
      <c r="UWF14" s="314" t="s">
        <v>203</v>
      </c>
      <c r="UWG14" s="314" t="s">
        <v>203</v>
      </c>
      <c r="UWH14" s="314" t="s">
        <v>203</v>
      </c>
      <c r="UWI14" s="314" t="s">
        <v>203</v>
      </c>
      <c r="UWJ14" s="314" t="s">
        <v>203</v>
      </c>
      <c r="UWK14" s="314" t="s">
        <v>203</v>
      </c>
      <c r="UWL14" s="314" t="s">
        <v>203</v>
      </c>
      <c r="UWM14" s="314" t="s">
        <v>203</v>
      </c>
      <c r="UWN14" s="314" t="s">
        <v>203</v>
      </c>
      <c r="UWO14" s="314" t="s">
        <v>203</v>
      </c>
      <c r="UWP14" s="314" t="s">
        <v>203</v>
      </c>
      <c r="UWQ14" s="314" t="s">
        <v>203</v>
      </c>
      <c r="UWR14" s="314" t="s">
        <v>203</v>
      </c>
      <c r="UWS14" s="314" t="s">
        <v>203</v>
      </c>
      <c r="UWT14" s="314" t="s">
        <v>203</v>
      </c>
      <c r="UWU14" s="314" t="s">
        <v>203</v>
      </c>
      <c r="UWV14" s="314" t="s">
        <v>203</v>
      </c>
      <c r="UWW14" s="314" t="s">
        <v>203</v>
      </c>
      <c r="UWX14" s="314" t="s">
        <v>203</v>
      </c>
      <c r="UWY14" s="314" t="s">
        <v>203</v>
      </c>
      <c r="UWZ14" s="314" t="s">
        <v>203</v>
      </c>
      <c r="UXA14" s="314" t="s">
        <v>203</v>
      </c>
      <c r="UXB14" s="314" t="s">
        <v>203</v>
      </c>
      <c r="UXC14" s="314" t="s">
        <v>203</v>
      </c>
      <c r="UXD14" s="314" t="s">
        <v>203</v>
      </c>
      <c r="UXE14" s="314" t="s">
        <v>203</v>
      </c>
      <c r="UXF14" s="314" t="s">
        <v>203</v>
      </c>
      <c r="UXG14" s="314" t="s">
        <v>203</v>
      </c>
      <c r="UXH14" s="314" t="s">
        <v>203</v>
      </c>
      <c r="UXI14" s="314" t="s">
        <v>203</v>
      </c>
      <c r="UXJ14" s="314" t="s">
        <v>203</v>
      </c>
      <c r="UXK14" s="314" t="s">
        <v>203</v>
      </c>
      <c r="UXL14" s="314" t="s">
        <v>203</v>
      </c>
      <c r="UXM14" s="314" t="s">
        <v>203</v>
      </c>
      <c r="UXN14" s="314" t="s">
        <v>203</v>
      </c>
      <c r="UXO14" s="314" t="s">
        <v>203</v>
      </c>
      <c r="UXP14" s="314" t="s">
        <v>203</v>
      </c>
      <c r="UXQ14" s="314" t="s">
        <v>203</v>
      </c>
      <c r="UXR14" s="314" t="s">
        <v>203</v>
      </c>
      <c r="UXS14" s="314" t="s">
        <v>203</v>
      </c>
      <c r="UXT14" s="314" t="s">
        <v>203</v>
      </c>
      <c r="UXU14" s="314" t="s">
        <v>203</v>
      </c>
      <c r="UXV14" s="314" t="s">
        <v>203</v>
      </c>
      <c r="UXW14" s="314" t="s">
        <v>203</v>
      </c>
      <c r="UXX14" s="314" t="s">
        <v>203</v>
      </c>
      <c r="UXY14" s="314" t="s">
        <v>203</v>
      </c>
      <c r="UXZ14" s="314" t="s">
        <v>203</v>
      </c>
      <c r="UYA14" s="314" t="s">
        <v>203</v>
      </c>
      <c r="UYB14" s="314" t="s">
        <v>203</v>
      </c>
      <c r="UYC14" s="314" t="s">
        <v>203</v>
      </c>
      <c r="UYD14" s="314" t="s">
        <v>203</v>
      </c>
      <c r="UYE14" s="314" t="s">
        <v>203</v>
      </c>
      <c r="UYF14" s="314" t="s">
        <v>203</v>
      </c>
      <c r="UYG14" s="314" t="s">
        <v>203</v>
      </c>
      <c r="UYH14" s="314" t="s">
        <v>203</v>
      </c>
      <c r="UYI14" s="314" t="s">
        <v>203</v>
      </c>
      <c r="UYJ14" s="314" t="s">
        <v>203</v>
      </c>
      <c r="UYK14" s="314" t="s">
        <v>203</v>
      </c>
      <c r="UYL14" s="314" t="s">
        <v>203</v>
      </c>
      <c r="UYM14" s="314" t="s">
        <v>203</v>
      </c>
      <c r="UYN14" s="314" t="s">
        <v>203</v>
      </c>
      <c r="UYO14" s="314" t="s">
        <v>203</v>
      </c>
      <c r="UYP14" s="314" t="s">
        <v>203</v>
      </c>
      <c r="UYQ14" s="314" t="s">
        <v>203</v>
      </c>
      <c r="UYR14" s="314" t="s">
        <v>203</v>
      </c>
      <c r="UYS14" s="314" t="s">
        <v>203</v>
      </c>
      <c r="UYT14" s="314" t="s">
        <v>203</v>
      </c>
      <c r="UYU14" s="314" t="s">
        <v>203</v>
      </c>
      <c r="UYV14" s="314" t="s">
        <v>203</v>
      </c>
      <c r="UYW14" s="314" t="s">
        <v>203</v>
      </c>
      <c r="UYX14" s="314" t="s">
        <v>203</v>
      </c>
      <c r="UYY14" s="314" t="s">
        <v>203</v>
      </c>
      <c r="UYZ14" s="314" t="s">
        <v>203</v>
      </c>
      <c r="UZA14" s="314" t="s">
        <v>203</v>
      </c>
      <c r="UZB14" s="314" t="s">
        <v>203</v>
      </c>
      <c r="UZC14" s="314" t="s">
        <v>203</v>
      </c>
      <c r="UZD14" s="314" t="s">
        <v>203</v>
      </c>
      <c r="UZE14" s="314" t="s">
        <v>203</v>
      </c>
      <c r="UZF14" s="314" t="s">
        <v>203</v>
      </c>
      <c r="UZG14" s="314" t="s">
        <v>203</v>
      </c>
      <c r="UZH14" s="314" t="s">
        <v>203</v>
      </c>
      <c r="UZI14" s="314" t="s">
        <v>203</v>
      </c>
      <c r="UZJ14" s="314" t="s">
        <v>203</v>
      </c>
      <c r="UZK14" s="314" t="s">
        <v>203</v>
      </c>
      <c r="UZL14" s="314" t="s">
        <v>203</v>
      </c>
      <c r="UZM14" s="314" t="s">
        <v>203</v>
      </c>
      <c r="UZN14" s="314" t="s">
        <v>203</v>
      </c>
      <c r="UZO14" s="314" t="s">
        <v>203</v>
      </c>
      <c r="UZP14" s="314" t="s">
        <v>203</v>
      </c>
      <c r="UZQ14" s="314" t="s">
        <v>203</v>
      </c>
      <c r="UZR14" s="314" t="s">
        <v>203</v>
      </c>
      <c r="UZS14" s="314" t="s">
        <v>203</v>
      </c>
      <c r="UZT14" s="314" t="s">
        <v>203</v>
      </c>
      <c r="UZU14" s="314" t="s">
        <v>203</v>
      </c>
      <c r="UZV14" s="314" t="s">
        <v>203</v>
      </c>
      <c r="UZW14" s="314" t="s">
        <v>203</v>
      </c>
      <c r="UZX14" s="314" t="s">
        <v>203</v>
      </c>
      <c r="UZY14" s="314" t="s">
        <v>203</v>
      </c>
      <c r="UZZ14" s="314" t="s">
        <v>203</v>
      </c>
      <c r="VAA14" s="314" t="s">
        <v>203</v>
      </c>
      <c r="VAB14" s="314" t="s">
        <v>203</v>
      </c>
      <c r="VAC14" s="314" t="s">
        <v>203</v>
      </c>
      <c r="VAD14" s="314" t="s">
        <v>203</v>
      </c>
      <c r="VAE14" s="314" t="s">
        <v>203</v>
      </c>
      <c r="VAF14" s="314" t="s">
        <v>203</v>
      </c>
      <c r="VAG14" s="314" t="s">
        <v>203</v>
      </c>
      <c r="VAH14" s="314" t="s">
        <v>203</v>
      </c>
      <c r="VAI14" s="314" t="s">
        <v>203</v>
      </c>
      <c r="VAJ14" s="314" t="s">
        <v>203</v>
      </c>
      <c r="VAK14" s="314" t="s">
        <v>203</v>
      </c>
      <c r="VAL14" s="314" t="s">
        <v>203</v>
      </c>
      <c r="VAM14" s="314" t="s">
        <v>203</v>
      </c>
      <c r="VAN14" s="314" t="s">
        <v>203</v>
      </c>
      <c r="VAO14" s="314" t="s">
        <v>203</v>
      </c>
      <c r="VAP14" s="314" t="s">
        <v>203</v>
      </c>
      <c r="VAQ14" s="314" t="s">
        <v>203</v>
      </c>
      <c r="VAR14" s="314" t="s">
        <v>203</v>
      </c>
      <c r="VAS14" s="314" t="s">
        <v>203</v>
      </c>
      <c r="VAT14" s="314" t="s">
        <v>203</v>
      </c>
      <c r="VAU14" s="314" t="s">
        <v>203</v>
      </c>
      <c r="VAV14" s="314" t="s">
        <v>203</v>
      </c>
      <c r="VAW14" s="314" t="s">
        <v>203</v>
      </c>
      <c r="VAX14" s="314" t="s">
        <v>203</v>
      </c>
      <c r="VAY14" s="314" t="s">
        <v>203</v>
      </c>
      <c r="VAZ14" s="314" t="s">
        <v>203</v>
      </c>
      <c r="VBA14" s="314" t="s">
        <v>203</v>
      </c>
      <c r="VBB14" s="314" t="s">
        <v>203</v>
      </c>
      <c r="VBC14" s="314" t="s">
        <v>203</v>
      </c>
      <c r="VBD14" s="314" t="s">
        <v>203</v>
      </c>
      <c r="VBE14" s="314" t="s">
        <v>203</v>
      </c>
      <c r="VBF14" s="314" t="s">
        <v>203</v>
      </c>
      <c r="VBG14" s="314" t="s">
        <v>203</v>
      </c>
      <c r="VBH14" s="314" t="s">
        <v>203</v>
      </c>
      <c r="VBI14" s="314" t="s">
        <v>203</v>
      </c>
      <c r="VBJ14" s="314" t="s">
        <v>203</v>
      </c>
      <c r="VBK14" s="314" t="s">
        <v>203</v>
      </c>
      <c r="VBL14" s="314" t="s">
        <v>203</v>
      </c>
      <c r="VBM14" s="314" t="s">
        <v>203</v>
      </c>
      <c r="VBN14" s="314" t="s">
        <v>203</v>
      </c>
      <c r="VBO14" s="314" t="s">
        <v>203</v>
      </c>
      <c r="VBP14" s="314" t="s">
        <v>203</v>
      </c>
      <c r="VBQ14" s="314" t="s">
        <v>203</v>
      </c>
      <c r="VBR14" s="314" t="s">
        <v>203</v>
      </c>
      <c r="VBS14" s="314" t="s">
        <v>203</v>
      </c>
      <c r="VBT14" s="314" t="s">
        <v>203</v>
      </c>
      <c r="VBU14" s="314" t="s">
        <v>203</v>
      </c>
      <c r="VBV14" s="314" t="s">
        <v>203</v>
      </c>
      <c r="VBW14" s="314" t="s">
        <v>203</v>
      </c>
      <c r="VBX14" s="314" t="s">
        <v>203</v>
      </c>
      <c r="VBY14" s="314" t="s">
        <v>203</v>
      </c>
      <c r="VBZ14" s="314" t="s">
        <v>203</v>
      </c>
      <c r="VCA14" s="314" t="s">
        <v>203</v>
      </c>
      <c r="VCB14" s="314" t="s">
        <v>203</v>
      </c>
      <c r="VCC14" s="314" t="s">
        <v>203</v>
      </c>
      <c r="VCD14" s="314" t="s">
        <v>203</v>
      </c>
      <c r="VCE14" s="314" t="s">
        <v>203</v>
      </c>
      <c r="VCF14" s="314" t="s">
        <v>203</v>
      </c>
      <c r="VCG14" s="314" t="s">
        <v>203</v>
      </c>
      <c r="VCH14" s="314" t="s">
        <v>203</v>
      </c>
      <c r="VCI14" s="314" t="s">
        <v>203</v>
      </c>
      <c r="VCJ14" s="314" t="s">
        <v>203</v>
      </c>
      <c r="VCK14" s="314" t="s">
        <v>203</v>
      </c>
      <c r="VCL14" s="314" t="s">
        <v>203</v>
      </c>
      <c r="VCM14" s="314" t="s">
        <v>203</v>
      </c>
      <c r="VCN14" s="314" t="s">
        <v>203</v>
      </c>
      <c r="VCO14" s="314" t="s">
        <v>203</v>
      </c>
      <c r="VCP14" s="314" t="s">
        <v>203</v>
      </c>
      <c r="VCQ14" s="314" t="s">
        <v>203</v>
      </c>
      <c r="VCR14" s="314" t="s">
        <v>203</v>
      </c>
      <c r="VCS14" s="314" t="s">
        <v>203</v>
      </c>
      <c r="VCT14" s="314" t="s">
        <v>203</v>
      </c>
      <c r="VCU14" s="314" t="s">
        <v>203</v>
      </c>
      <c r="VCV14" s="314" t="s">
        <v>203</v>
      </c>
      <c r="VCW14" s="314" t="s">
        <v>203</v>
      </c>
      <c r="VCX14" s="314" t="s">
        <v>203</v>
      </c>
      <c r="VCY14" s="314" t="s">
        <v>203</v>
      </c>
      <c r="VCZ14" s="314" t="s">
        <v>203</v>
      </c>
      <c r="VDA14" s="314" t="s">
        <v>203</v>
      </c>
      <c r="VDB14" s="314" t="s">
        <v>203</v>
      </c>
      <c r="VDC14" s="314" t="s">
        <v>203</v>
      </c>
      <c r="VDD14" s="314" t="s">
        <v>203</v>
      </c>
      <c r="VDE14" s="314" t="s">
        <v>203</v>
      </c>
      <c r="VDF14" s="314" t="s">
        <v>203</v>
      </c>
      <c r="VDG14" s="314" t="s">
        <v>203</v>
      </c>
      <c r="VDH14" s="314" t="s">
        <v>203</v>
      </c>
      <c r="VDI14" s="314" t="s">
        <v>203</v>
      </c>
      <c r="VDJ14" s="314" t="s">
        <v>203</v>
      </c>
      <c r="VDK14" s="314" t="s">
        <v>203</v>
      </c>
      <c r="VDL14" s="314" t="s">
        <v>203</v>
      </c>
      <c r="VDM14" s="314" t="s">
        <v>203</v>
      </c>
      <c r="VDN14" s="314" t="s">
        <v>203</v>
      </c>
      <c r="VDO14" s="314" t="s">
        <v>203</v>
      </c>
      <c r="VDP14" s="314" t="s">
        <v>203</v>
      </c>
      <c r="VDQ14" s="314" t="s">
        <v>203</v>
      </c>
      <c r="VDR14" s="314" t="s">
        <v>203</v>
      </c>
      <c r="VDS14" s="314" t="s">
        <v>203</v>
      </c>
      <c r="VDT14" s="314" t="s">
        <v>203</v>
      </c>
      <c r="VDU14" s="314" t="s">
        <v>203</v>
      </c>
      <c r="VDV14" s="314" t="s">
        <v>203</v>
      </c>
      <c r="VDW14" s="314" t="s">
        <v>203</v>
      </c>
      <c r="VDX14" s="314" t="s">
        <v>203</v>
      </c>
      <c r="VDY14" s="314" t="s">
        <v>203</v>
      </c>
      <c r="VDZ14" s="314" t="s">
        <v>203</v>
      </c>
      <c r="VEA14" s="314" t="s">
        <v>203</v>
      </c>
      <c r="VEB14" s="314" t="s">
        <v>203</v>
      </c>
      <c r="VEC14" s="314" t="s">
        <v>203</v>
      </c>
      <c r="VED14" s="314" t="s">
        <v>203</v>
      </c>
      <c r="VEE14" s="314" t="s">
        <v>203</v>
      </c>
      <c r="VEF14" s="314" t="s">
        <v>203</v>
      </c>
      <c r="VEG14" s="314" t="s">
        <v>203</v>
      </c>
      <c r="VEH14" s="314" t="s">
        <v>203</v>
      </c>
      <c r="VEI14" s="314" t="s">
        <v>203</v>
      </c>
      <c r="VEJ14" s="314" t="s">
        <v>203</v>
      </c>
      <c r="VEK14" s="314" t="s">
        <v>203</v>
      </c>
      <c r="VEL14" s="314" t="s">
        <v>203</v>
      </c>
      <c r="VEM14" s="314" t="s">
        <v>203</v>
      </c>
      <c r="VEN14" s="314" t="s">
        <v>203</v>
      </c>
      <c r="VEO14" s="314" t="s">
        <v>203</v>
      </c>
      <c r="VEP14" s="314" t="s">
        <v>203</v>
      </c>
      <c r="VEQ14" s="314" t="s">
        <v>203</v>
      </c>
      <c r="VER14" s="314" t="s">
        <v>203</v>
      </c>
      <c r="VES14" s="314" t="s">
        <v>203</v>
      </c>
      <c r="VET14" s="314" t="s">
        <v>203</v>
      </c>
      <c r="VEU14" s="314" t="s">
        <v>203</v>
      </c>
      <c r="VEV14" s="314" t="s">
        <v>203</v>
      </c>
      <c r="VEW14" s="314" t="s">
        <v>203</v>
      </c>
      <c r="VEX14" s="314" t="s">
        <v>203</v>
      </c>
      <c r="VEY14" s="314" t="s">
        <v>203</v>
      </c>
      <c r="VEZ14" s="314" t="s">
        <v>203</v>
      </c>
      <c r="VFA14" s="314" t="s">
        <v>203</v>
      </c>
      <c r="VFB14" s="314" t="s">
        <v>203</v>
      </c>
      <c r="VFC14" s="314" t="s">
        <v>203</v>
      </c>
      <c r="VFD14" s="314" t="s">
        <v>203</v>
      </c>
      <c r="VFE14" s="314" t="s">
        <v>203</v>
      </c>
      <c r="VFF14" s="314" t="s">
        <v>203</v>
      </c>
      <c r="VFG14" s="314" t="s">
        <v>203</v>
      </c>
      <c r="VFH14" s="314" t="s">
        <v>203</v>
      </c>
      <c r="VFI14" s="314" t="s">
        <v>203</v>
      </c>
      <c r="VFJ14" s="314" t="s">
        <v>203</v>
      </c>
      <c r="VFK14" s="314" t="s">
        <v>203</v>
      </c>
      <c r="VFL14" s="314" t="s">
        <v>203</v>
      </c>
      <c r="VFM14" s="314" t="s">
        <v>203</v>
      </c>
      <c r="VFN14" s="314" t="s">
        <v>203</v>
      </c>
      <c r="VFO14" s="314" t="s">
        <v>203</v>
      </c>
      <c r="VFP14" s="314" t="s">
        <v>203</v>
      </c>
      <c r="VFQ14" s="314" t="s">
        <v>203</v>
      </c>
      <c r="VFR14" s="314" t="s">
        <v>203</v>
      </c>
      <c r="VFS14" s="314" t="s">
        <v>203</v>
      </c>
      <c r="VFT14" s="314" t="s">
        <v>203</v>
      </c>
      <c r="VFU14" s="314" t="s">
        <v>203</v>
      </c>
      <c r="VFV14" s="314" t="s">
        <v>203</v>
      </c>
      <c r="VFW14" s="314" t="s">
        <v>203</v>
      </c>
      <c r="VFX14" s="314" t="s">
        <v>203</v>
      </c>
      <c r="VFY14" s="314" t="s">
        <v>203</v>
      </c>
      <c r="VFZ14" s="314" t="s">
        <v>203</v>
      </c>
      <c r="VGA14" s="314" t="s">
        <v>203</v>
      </c>
      <c r="VGB14" s="314" t="s">
        <v>203</v>
      </c>
      <c r="VGC14" s="314" t="s">
        <v>203</v>
      </c>
      <c r="VGD14" s="314" t="s">
        <v>203</v>
      </c>
      <c r="VGE14" s="314" t="s">
        <v>203</v>
      </c>
      <c r="VGF14" s="314" t="s">
        <v>203</v>
      </c>
      <c r="VGG14" s="314" t="s">
        <v>203</v>
      </c>
      <c r="VGH14" s="314" t="s">
        <v>203</v>
      </c>
      <c r="VGI14" s="314" t="s">
        <v>203</v>
      </c>
      <c r="VGJ14" s="314" t="s">
        <v>203</v>
      </c>
      <c r="VGK14" s="314" t="s">
        <v>203</v>
      </c>
      <c r="VGL14" s="314" t="s">
        <v>203</v>
      </c>
      <c r="VGM14" s="314" t="s">
        <v>203</v>
      </c>
      <c r="VGN14" s="314" t="s">
        <v>203</v>
      </c>
      <c r="VGO14" s="314" t="s">
        <v>203</v>
      </c>
      <c r="VGP14" s="314" t="s">
        <v>203</v>
      </c>
      <c r="VGQ14" s="314" t="s">
        <v>203</v>
      </c>
      <c r="VGR14" s="314" t="s">
        <v>203</v>
      </c>
      <c r="VGS14" s="314" t="s">
        <v>203</v>
      </c>
      <c r="VGT14" s="314" t="s">
        <v>203</v>
      </c>
      <c r="VGU14" s="314" t="s">
        <v>203</v>
      </c>
      <c r="VGV14" s="314" t="s">
        <v>203</v>
      </c>
      <c r="VGW14" s="314" t="s">
        <v>203</v>
      </c>
      <c r="VGX14" s="314" t="s">
        <v>203</v>
      </c>
      <c r="VGY14" s="314" t="s">
        <v>203</v>
      </c>
      <c r="VGZ14" s="314" t="s">
        <v>203</v>
      </c>
      <c r="VHA14" s="314" t="s">
        <v>203</v>
      </c>
      <c r="VHB14" s="314" t="s">
        <v>203</v>
      </c>
      <c r="VHC14" s="314" t="s">
        <v>203</v>
      </c>
      <c r="VHD14" s="314" t="s">
        <v>203</v>
      </c>
      <c r="VHE14" s="314" t="s">
        <v>203</v>
      </c>
      <c r="VHF14" s="314" t="s">
        <v>203</v>
      </c>
      <c r="VHG14" s="314" t="s">
        <v>203</v>
      </c>
      <c r="VHH14" s="314" t="s">
        <v>203</v>
      </c>
      <c r="VHI14" s="314" t="s">
        <v>203</v>
      </c>
      <c r="VHJ14" s="314" t="s">
        <v>203</v>
      </c>
      <c r="VHK14" s="314" t="s">
        <v>203</v>
      </c>
      <c r="VHL14" s="314" t="s">
        <v>203</v>
      </c>
      <c r="VHM14" s="314" t="s">
        <v>203</v>
      </c>
      <c r="VHN14" s="314" t="s">
        <v>203</v>
      </c>
      <c r="VHO14" s="314" t="s">
        <v>203</v>
      </c>
      <c r="VHP14" s="314" t="s">
        <v>203</v>
      </c>
      <c r="VHQ14" s="314" t="s">
        <v>203</v>
      </c>
      <c r="VHR14" s="314" t="s">
        <v>203</v>
      </c>
      <c r="VHS14" s="314" t="s">
        <v>203</v>
      </c>
      <c r="VHT14" s="314" t="s">
        <v>203</v>
      </c>
      <c r="VHU14" s="314" t="s">
        <v>203</v>
      </c>
      <c r="VHV14" s="314" t="s">
        <v>203</v>
      </c>
      <c r="VHW14" s="314" t="s">
        <v>203</v>
      </c>
      <c r="VHX14" s="314" t="s">
        <v>203</v>
      </c>
      <c r="VHY14" s="314" t="s">
        <v>203</v>
      </c>
      <c r="VHZ14" s="314" t="s">
        <v>203</v>
      </c>
      <c r="VIA14" s="314" t="s">
        <v>203</v>
      </c>
      <c r="VIB14" s="314" t="s">
        <v>203</v>
      </c>
      <c r="VIC14" s="314" t="s">
        <v>203</v>
      </c>
      <c r="VID14" s="314" t="s">
        <v>203</v>
      </c>
      <c r="VIE14" s="314" t="s">
        <v>203</v>
      </c>
      <c r="VIF14" s="314" t="s">
        <v>203</v>
      </c>
      <c r="VIG14" s="314" t="s">
        <v>203</v>
      </c>
      <c r="VIH14" s="314" t="s">
        <v>203</v>
      </c>
      <c r="VII14" s="314" t="s">
        <v>203</v>
      </c>
      <c r="VIJ14" s="314" t="s">
        <v>203</v>
      </c>
      <c r="VIK14" s="314" t="s">
        <v>203</v>
      </c>
      <c r="VIL14" s="314" t="s">
        <v>203</v>
      </c>
      <c r="VIM14" s="314" t="s">
        <v>203</v>
      </c>
      <c r="VIN14" s="314" t="s">
        <v>203</v>
      </c>
      <c r="VIO14" s="314" t="s">
        <v>203</v>
      </c>
      <c r="VIP14" s="314" t="s">
        <v>203</v>
      </c>
      <c r="VIQ14" s="314" t="s">
        <v>203</v>
      </c>
      <c r="VIR14" s="314" t="s">
        <v>203</v>
      </c>
      <c r="VIS14" s="314" t="s">
        <v>203</v>
      </c>
      <c r="VIT14" s="314" t="s">
        <v>203</v>
      </c>
      <c r="VIU14" s="314" t="s">
        <v>203</v>
      </c>
      <c r="VIV14" s="314" t="s">
        <v>203</v>
      </c>
      <c r="VIW14" s="314" t="s">
        <v>203</v>
      </c>
      <c r="VIX14" s="314" t="s">
        <v>203</v>
      </c>
      <c r="VIY14" s="314" t="s">
        <v>203</v>
      </c>
      <c r="VIZ14" s="314" t="s">
        <v>203</v>
      </c>
      <c r="VJA14" s="314" t="s">
        <v>203</v>
      </c>
      <c r="VJB14" s="314" t="s">
        <v>203</v>
      </c>
      <c r="VJC14" s="314" t="s">
        <v>203</v>
      </c>
      <c r="VJD14" s="314" t="s">
        <v>203</v>
      </c>
      <c r="VJE14" s="314" t="s">
        <v>203</v>
      </c>
      <c r="VJF14" s="314" t="s">
        <v>203</v>
      </c>
      <c r="VJG14" s="314" t="s">
        <v>203</v>
      </c>
      <c r="VJH14" s="314" t="s">
        <v>203</v>
      </c>
      <c r="VJI14" s="314" t="s">
        <v>203</v>
      </c>
      <c r="VJJ14" s="314" t="s">
        <v>203</v>
      </c>
      <c r="VJK14" s="314" t="s">
        <v>203</v>
      </c>
      <c r="VJL14" s="314" t="s">
        <v>203</v>
      </c>
      <c r="VJM14" s="314" t="s">
        <v>203</v>
      </c>
      <c r="VJN14" s="314" t="s">
        <v>203</v>
      </c>
      <c r="VJO14" s="314" t="s">
        <v>203</v>
      </c>
      <c r="VJP14" s="314" t="s">
        <v>203</v>
      </c>
      <c r="VJQ14" s="314" t="s">
        <v>203</v>
      </c>
      <c r="VJR14" s="314" t="s">
        <v>203</v>
      </c>
      <c r="VJS14" s="314" t="s">
        <v>203</v>
      </c>
      <c r="VJT14" s="314" t="s">
        <v>203</v>
      </c>
      <c r="VJU14" s="314" t="s">
        <v>203</v>
      </c>
      <c r="VJV14" s="314" t="s">
        <v>203</v>
      </c>
      <c r="VJW14" s="314" t="s">
        <v>203</v>
      </c>
      <c r="VJX14" s="314" t="s">
        <v>203</v>
      </c>
      <c r="VJY14" s="314" t="s">
        <v>203</v>
      </c>
      <c r="VJZ14" s="314" t="s">
        <v>203</v>
      </c>
      <c r="VKA14" s="314" t="s">
        <v>203</v>
      </c>
      <c r="VKB14" s="314" t="s">
        <v>203</v>
      </c>
      <c r="VKC14" s="314" t="s">
        <v>203</v>
      </c>
      <c r="VKD14" s="314" t="s">
        <v>203</v>
      </c>
      <c r="VKE14" s="314" t="s">
        <v>203</v>
      </c>
      <c r="VKF14" s="314" t="s">
        <v>203</v>
      </c>
      <c r="VKG14" s="314" t="s">
        <v>203</v>
      </c>
      <c r="VKH14" s="314" t="s">
        <v>203</v>
      </c>
      <c r="VKI14" s="314" t="s">
        <v>203</v>
      </c>
      <c r="VKJ14" s="314" t="s">
        <v>203</v>
      </c>
      <c r="VKK14" s="314" t="s">
        <v>203</v>
      </c>
      <c r="VKL14" s="314" t="s">
        <v>203</v>
      </c>
      <c r="VKM14" s="314" t="s">
        <v>203</v>
      </c>
      <c r="VKN14" s="314" t="s">
        <v>203</v>
      </c>
      <c r="VKO14" s="314" t="s">
        <v>203</v>
      </c>
      <c r="VKP14" s="314" t="s">
        <v>203</v>
      </c>
      <c r="VKQ14" s="314" t="s">
        <v>203</v>
      </c>
      <c r="VKR14" s="314" t="s">
        <v>203</v>
      </c>
      <c r="VKS14" s="314" t="s">
        <v>203</v>
      </c>
      <c r="VKT14" s="314" t="s">
        <v>203</v>
      </c>
      <c r="VKU14" s="314" t="s">
        <v>203</v>
      </c>
      <c r="VKV14" s="314" t="s">
        <v>203</v>
      </c>
      <c r="VKW14" s="314" t="s">
        <v>203</v>
      </c>
      <c r="VKX14" s="314" t="s">
        <v>203</v>
      </c>
      <c r="VKY14" s="314" t="s">
        <v>203</v>
      </c>
      <c r="VKZ14" s="314" t="s">
        <v>203</v>
      </c>
      <c r="VLA14" s="314" t="s">
        <v>203</v>
      </c>
      <c r="VLB14" s="314" t="s">
        <v>203</v>
      </c>
      <c r="VLC14" s="314" t="s">
        <v>203</v>
      </c>
      <c r="VLD14" s="314" t="s">
        <v>203</v>
      </c>
      <c r="VLE14" s="314" t="s">
        <v>203</v>
      </c>
      <c r="VLF14" s="314" t="s">
        <v>203</v>
      </c>
      <c r="VLG14" s="314" t="s">
        <v>203</v>
      </c>
      <c r="VLH14" s="314" t="s">
        <v>203</v>
      </c>
      <c r="VLI14" s="314" t="s">
        <v>203</v>
      </c>
      <c r="VLJ14" s="314" t="s">
        <v>203</v>
      </c>
      <c r="VLK14" s="314" t="s">
        <v>203</v>
      </c>
      <c r="VLL14" s="314" t="s">
        <v>203</v>
      </c>
      <c r="VLM14" s="314" t="s">
        <v>203</v>
      </c>
      <c r="VLN14" s="314" t="s">
        <v>203</v>
      </c>
      <c r="VLO14" s="314" t="s">
        <v>203</v>
      </c>
      <c r="VLP14" s="314" t="s">
        <v>203</v>
      </c>
      <c r="VLQ14" s="314" t="s">
        <v>203</v>
      </c>
      <c r="VLR14" s="314" t="s">
        <v>203</v>
      </c>
      <c r="VLS14" s="314" t="s">
        <v>203</v>
      </c>
      <c r="VLT14" s="314" t="s">
        <v>203</v>
      </c>
      <c r="VLU14" s="314" t="s">
        <v>203</v>
      </c>
      <c r="VLV14" s="314" t="s">
        <v>203</v>
      </c>
      <c r="VLW14" s="314" t="s">
        <v>203</v>
      </c>
      <c r="VLX14" s="314" t="s">
        <v>203</v>
      </c>
      <c r="VLY14" s="314" t="s">
        <v>203</v>
      </c>
      <c r="VLZ14" s="314" t="s">
        <v>203</v>
      </c>
      <c r="VMA14" s="314" t="s">
        <v>203</v>
      </c>
      <c r="VMB14" s="314" t="s">
        <v>203</v>
      </c>
      <c r="VMC14" s="314" t="s">
        <v>203</v>
      </c>
      <c r="VMD14" s="314" t="s">
        <v>203</v>
      </c>
      <c r="VME14" s="314" t="s">
        <v>203</v>
      </c>
      <c r="VMF14" s="314" t="s">
        <v>203</v>
      </c>
      <c r="VMG14" s="314" t="s">
        <v>203</v>
      </c>
      <c r="VMH14" s="314" t="s">
        <v>203</v>
      </c>
      <c r="VMI14" s="314" t="s">
        <v>203</v>
      </c>
      <c r="VMJ14" s="314" t="s">
        <v>203</v>
      </c>
      <c r="VMK14" s="314" t="s">
        <v>203</v>
      </c>
      <c r="VML14" s="314" t="s">
        <v>203</v>
      </c>
      <c r="VMM14" s="314" t="s">
        <v>203</v>
      </c>
      <c r="VMN14" s="314" t="s">
        <v>203</v>
      </c>
      <c r="VMO14" s="314" t="s">
        <v>203</v>
      </c>
      <c r="VMP14" s="314" t="s">
        <v>203</v>
      </c>
      <c r="VMQ14" s="314" t="s">
        <v>203</v>
      </c>
      <c r="VMR14" s="314" t="s">
        <v>203</v>
      </c>
      <c r="VMS14" s="314" t="s">
        <v>203</v>
      </c>
      <c r="VMT14" s="314" t="s">
        <v>203</v>
      </c>
      <c r="VMU14" s="314" t="s">
        <v>203</v>
      </c>
      <c r="VMV14" s="314" t="s">
        <v>203</v>
      </c>
      <c r="VMW14" s="314" t="s">
        <v>203</v>
      </c>
      <c r="VMX14" s="314" t="s">
        <v>203</v>
      </c>
      <c r="VMY14" s="314" t="s">
        <v>203</v>
      </c>
      <c r="VMZ14" s="314" t="s">
        <v>203</v>
      </c>
      <c r="VNA14" s="314" t="s">
        <v>203</v>
      </c>
      <c r="VNB14" s="314" t="s">
        <v>203</v>
      </c>
      <c r="VNC14" s="314" t="s">
        <v>203</v>
      </c>
      <c r="VND14" s="314" t="s">
        <v>203</v>
      </c>
      <c r="VNE14" s="314" t="s">
        <v>203</v>
      </c>
      <c r="VNF14" s="314" t="s">
        <v>203</v>
      </c>
      <c r="VNG14" s="314" t="s">
        <v>203</v>
      </c>
      <c r="VNH14" s="314" t="s">
        <v>203</v>
      </c>
      <c r="VNI14" s="314" t="s">
        <v>203</v>
      </c>
      <c r="VNJ14" s="314" t="s">
        <v>203</v>
      </c>
      <c r="VNK14" s="314" t="s">
        <v>203</v>
      </c>
      <c r="VNL14" s="314" t="s">
        <v>203</v>
      </c>
      <c r="VNM14" s="314" t="s">
        <v>203</v>
      </c>
      <c r="VNN14" s="314" t="s">
        <v>203</v>
      </c>
      <c r="VNO14" s="314" t="s">
        <v>203</v>
      </c>
      <c r="VNP14" s="314" t="s">
        <v>203</v>
      </c>
      <c r="VNQ14" s="314" t="s">
        <v>203</v>
      </c>
      <c r="VNR14" s="314" t="s">
        <v>203</v>
      </c>
      <c r="VNS14" s="314" t="s">
        <v>203</v>
      </c>
      <c r="VNT14" s="314" t="s">
        <v>203</v>
      </c>
      <c r="VNU14" s="314" t="s">
        <v>203</v>
      </c>
      <c r="VNV14" s="314" t="s">
        <v>203</v>
      </c>
      <c r="VNW14" s="314" t="s">
        <v>203</v>
      </c>
      <c r="VNX14" s="314" t="s">
        <v>203</v>
      </c>
      <c r="VNY14" s="314" t="s">
        <v>203</v>
      </c>
      <c r="VNZ14" s="314" t="s">
        <v>203</v>
      </c>
      <c r="VOA14" s="314" t="s">
        <v>203</v>
      </c>
      <c r="VOB14" s="314" t="s">
        <v>203</v>
      </c>
      <c r="VOC14" s="314" t="s">
        <v>203</v>
      </c>
      <c r="VOD14" s="314" t="s">
        <v>203</v>
      </c>
      <c r="VOE14" s="314" t="s">
        <v>203</v>
      </c>
      <c r="VOF14" s="314" t="s">
        <v>203</v>
      </c>
      <c r="VOG14" s="314" t="s">
        <v>203</v>
      </c>
      <c r="VOH14" s="314" t="s">
        <v>203</v>
      </c>
      <c r="VOI14" s="314" t="s">
        <v>203</v>
      </c>
      <c r="VOJ14" s="314" t="s">
        <v>203</v>
      </c>
      <c r="VOK14" s="314" t="s">
        <v>203</v>
      </c>
      <c r="VOL14" s="314" t="s">
        <v>203</v>
      </c>
      <c r="VOM14" s="314" t="s">
        <v>203</v>
      </c>
      <c r="VON14" s="314" t="s">
        <v>203</v>
      </c>
      <c r="VOO14" s="314" t="s">
        <v>203</v>
      </c>
      <c r="VOP14" s="314" t="s">
        <v>203</v>
      </c>
      <c r="VOQ14" s="314" t="s">
        <v>203</v>
      </c>
      <c r="VOR14" s="314" t="s">
        <v>203</v>
      </c>
      <c r="VOS14" s="314" t="s">
        <v>203</v>
      </c>
      <c r="VOT14" s="314" t="s">
        <v>203</v>
      </c>
      <c r="VOU14" s="314" t="s">
        <v>203</v>
      </c>
      <c r="VOV14" s="314" t="s">
        <v>203</v>
      </c>
      <c r="VOW14" s="314" t="s">
        <v>203</v>
      </c>
      <c r="VOX14" s="314" t="s">
        <v>203</v>
      </c>
      <c r="VOY14" s="314" t="s">
        <v>203</v>
      </c>
      <c r="VOZ14" s="314" t="s">
        <v>203</v>
      </c>
      <c r="VPA14" s="314" t="s">
        <v>203</v>
      </c>
      <c r="VPB14" s="314" t="s">
        <v>203</v>
      </c>
      <c r="VPC14" s="314" t="s">
        <v>203</v>
      </c>
      <c r="VPD14" s="314" t="s">
        <v>203</v>
      </c>
      <c r="VPE14" s="314" t="s">
        <v>203</v>
      </c>
      <c r="VPF14" s="314" t="s">
        <v>203</v>
      </c>
      <c r="VPG14" s="314" t="s">
        <v>203</v>
      </c>
      <c r="VPH14" s="314" t="s">
        <v>203</v>
      </c>
      <c r="VPI14" s="314" t="s">
        <v>203</v>
      </c>
      <c r="VPJ14" s="314" t="s">
        <v>203</v>
      </c>
      <c r="VPK14" s="314" t="s">
        <v>203</v>
      </c>
      <c r="VPL14" s="314" t="s">
        <v>203</v>
      </c>
      <c r="VPM14" s="314" t="s">
        <v>203</v>
      </c>
      <c r="VPN14" s="314" t="s">
        <v>203</v>
      </c>
      <c r="VPO14" s="314" t="s">
        <v>203</v>
      </c>
      <c r="VPP14" s="314" t="s">
        <v>203</v>
      </c>
      <c r="VPQ14" s="314" t="s">
        <v>203</v>
      </c>
      <c r="VPR14" s="314" t="s">
        <v>203</v>
      </c>
      <c r="VPS14" s="314" t="s">
        <v>203</v>
      </c>
      <c r="VPT14" s="314" t="s">
        <v>203</v>
      </c>
      <c r="VPU14" s="314" t="s">
        <v>203</v>
      </c>
      <c r="VPV14" s="314" t="s">
        <v>203</v>
      </c>
      <c r="VPW14" s="314" t="s">
        <v>203</v>
      </c>
      <c r="VPX14" s="314" t="s">
        <v>203</v>
      </c>
      <c r="VPY14" s="314" t="s">
        <v>203</v>
      </c>
      <c r="VPZ14" s="314" t="s">
        <v>203</v>
      </c>
      <c r="VQA14" s="314" t="s">
        <v>203</v>
      </c>
      <c r="VQB14" s="314" t="s">
        <v>203</v>
      </c>
      <c r="VQC14" s="314" t="s">
        <v>203</v>
      </c>
      <c r="VQD14" s="314" t="s">
        <v>203</v>
      </c>
      <c r="VQE14" s="314" t="s">
        <v>203</v>
      </c>
      <c r="VQF14" s="314" t="s">
        <v>203</v>
      </c>
      <c r="VQG14" s="314" t="s">
        <v>203</v>
      </c>
      <c r="VQH14" s="314" t="s">
        <v>203</v>
      </c>
      <c r="VQI14" s="314" t="s">
        <v>203</v>
      </c>
      <c r="VQJ14" s="314" t="s">
        <v>203</v>
      </c>
      <c r="VQK14" s="314" t="s">
        <v>203</v>
      </c>
      <c r="VQL14" s="314" t="s">
        <v>203</v>
      </c>
      <c r="VQM14" s="314" t="s">
        <v>203</v>
      </c>
      <c r="VQN14" s="314" t="s">
        <v>203</v>
      </c>
      <c r="VQO14" s="314" t="s">
        <v>203</v>
      </c>
      <c r="VQP14" s="314" t="s">
        <v>203</v>
      </c>
      <c r="VQQ14" s="314" t="s">
        <v>203</v>
      </c>
      <c r="VQR14" s="314" t="s">
        <v>203</v>
      </c>
      <c r="VQS14" s="314" t="s">
        <v>203</v>
      </c>
      <c r="VQT14" s="314" t="s">
        <v>203</v>
      </c>
      <c r="VQU14" s="314" t="s">
        <v>203</v>
      </c>
      <c r="VQV14" s="314" t="s">
        <v>203</v>
      </c>
      <c r="VQW14" s="314" t="s">
        <v>203</v>
      </c>
      <c r="VQX14" s="314" t="s">
        <v>203</v>
      </c>
      <c r="VQY14" s="314" t="s">
        <v>203</v>
      </c>
      <c r="VQZ14" s="314" t="s">
        <v>203</v>
      </c>
      <c r="VRA14" s="314" t="s">
        <v>203</v>
      </c>
      <c r="VRB14" s="314" t="s">
        <v>203</v>
      </c>
      <c r="VRC14" s="314" t="s">
        <v>203</v>
      </c>
      <c r="VRD14" s="314" t="s">
        <v>203</v>
      </c>
      <c r="VRE14" s="314" t="s">
        <v>203</v>
      </c>
      <c r="VRF14" s="314" t="s">
        <v>203</v>
      </c>
      <c r="VRG14" s="314" t="s">
        <v>203</v>
      </c>
      <c r="VRH14" s="314" t="s">
        <v>203</v>
      </c>
      <c r="VRI14" s="314" t="s">
        <v>203</v>
      </c>
      <c r="VRJ14" s="314" t="s">
        <v>203</v>
      </c>
      <c r="VRK14" s="314" t="s">
        <v>203</v>
      </c>
      <c r="VRL14" s="314" t="s">
        <v>203</v>
      </c>
      <c r="VRM14" s="314" t="s">
        <v>203</v>
      </c>
      <c r="VRN14" s="314" t="s">
        <v>203</v>
      </c>
      <c r="VRO14" s="314" t="s">
        <v>203</v>
      </c>
      <c r="VRP14" s="314" t="s">
        <v>203</v>
      </c>
      <c r="VRQ14" s="314" t="s">
        <v>203</v>
      </c>
      <c r="VRR14" s="314" t="s">
        <v>203</v>
      </c>
      <c r="VRS14" s="314" t="s">
        <v>203</v>
      </c>
      <c r="VRT14" s="314" t="s">
        <v>203</v>
      </c>
      <c r="VRU14" s="314" t="s">
        <v>203</v>
      </c>
      <c r="VRV14" s="314" t="s">
        <v>203</v>
      </c>
      <c r="VRW14" s="314" t="s">
        <v>203</v>
      </c>
      <c r="VRX14" s="314" t="s">
        <v>203</v>
      </c>
      <c r="VRY14" s="314" t="s">
        <v>203</v>
      </c>
      <c r="VRZ14" s="314" t="s">
        <v>203</v>
      </c>
      <c r="VSA14" s="314" t="s">
        <v>203</v>
      </c>
      <c r="VSB14" s="314" t="s">
        <v>203</v>
      </c>
      <c r="VSC14" s="314" t="s">
        <v>203</v>
      </c>
      <c r="VSD14" s="314" t="s">
        <v>203</v>
      </c>
      <c r="VSE14" s="314" t="s">
        <v>203</v>
      </c>
      <c r="VSF14" s="314" t="s">
        <v>203</v>
      </c>
      <c r="VSG14" s="314" t="s">
        <v>203</v>
      </c>
      <c r="VSH14" s="314" t="s">
        <v>203</v>
      </c>
      <c r="VSI14" s="314" t="s">
        <v>203</v>
      </c>
      <c r="VSJ14" s="314" t="s">
        <v>203</v>
      </c>
      <c r="VSK14" s="314" t="s">
        <v>203</v>
      </c>
      <c r="VSL14" s="314" t="s">
        <v>203</v>
      </c>
      <c r="VSM14" s="314" t="s">
        <v>203</v>
      </c>
      <c r="VSN14" s="314" t="s">
        <v>203</v>
      </c>
      <c r="VSO14" s="314" t="s">
        <v>203</v>
      </c>
      <c r="VSP14" s="314" t="s">
        <v>203</v>
      </c>
      <c r="VSQ14" s="314" t="s">
        <v>203</v>
      </c>
      <c r="VSR14" s="314" t="s">
        <v>203</v>
      </c>
      <c r="VSS14" s="314" t="s">
        <v>203</v>
      </c>
      <c r="VST14" s="314" t="s">
        <v>203</v>
      </c>
      <c r="VSU14" s="314" t="s">
        <v>203</v>
      </c>
      <c r="VSV14" s="314" t="s">
        <v>203</v>
      </c>
      <c r="VSW14" s="314" t="s">
        <v>203</v>
      </c>
      <c r="VSX14" s="314" t="s">
        <v>203</v>
      </c>
      <c r="VSY14" s="314" t="s">
        <v>203</v>
      </c>
      <c r="VSZ14" s="314" t="s">
        <v>203</v>
      </c>
      <c r="VTA14" s="314" t="s">
        <v>203</v>
      </c>
      <c r="VTB14" s="314" t="s">
        <v>203</v>
      </c>
      <c r="VTC14" s="314" t="s">
        <v>203</v>
      </c>
      <c r="VTD14" s="314" t="s">
        <v>203</v>
      </c>
      <c r="VTE14" s="314" t="s">
        <v>203</v>
      </c>
      <c r="VTF14" s="314" t="s">
        <v>203</v>
      </c>
      <c r="VTG14" s="314" t="s">
        <v>203</v>
      </c>
      <c r="VTH14" s="314" t="s">
        <v>203</v>
      </c>
      <c r="VTI14" s="314" t="s">
        <v>203</v>
      </c>
      <c r="VTJ14" s="314" t="s">
        <v>203</v>
      </c>
      <c r="VTK14" s="314" t="s">
        <v>203</v>
      </c>
      <c r="VTL14" s="314" t="s">
        <v>203</v>
      </c>
      <c r="VTM14" s="314" t="s">
        <v>203</v>
      </c>
      <c r="VTN14" s="314" t="s">
        <v>203</v>
      </c>
      <c r="VTO14" s="314" t="s">
        <v>203</v>
      </c>
      <c r="VTP14" s="314" t="s">
        <v>203</v>
      </c>
      <c r="VTQ14" s="314" t="s">
        <v>203</v>
      </c>
      <c r="VTR14" s="314" t="s">
        <v>203</v>
      </c>
      <c r="VTS14" s="314" t="s">
        <v>203</v>
      </c>
      <c r="VTT14" s="314" t="s">
        <v>203</v>
      </c>
      <c r="VTU14" s="314" t="s">
        <v>203</v>
      </c>
      <c r="VTV14" s="314" t="s">
        <v>203</v>
      </c>
      <c r="VTW14" s="314" t="s">
        <v>203</v>
      </c>
      <c r="VTX14" s="314" t="s">
        <v>203</v>
      </c>
      <c r="VTY14" s="314" t="s">
        <v>203</v>
      </c>
      <c r="VTZ14" s="314" t="s">
        <v>203</v>
      </c>
      <c r="VUA14" s="314" t="s">
        <v>203</v>
      </c>
      <c r="VUB14" s="314" t="s">
        <v>203</v>
      </c>
      <c r="VUC14" s="314" t="s">
        <v>203</v>
      </c>
      <c r="VUD14" s="314" t="s">
        <v>203</v>
      </c>
      <c r="VUE14" s="314" t="s">
        <v>203</v>
      </c>
      <c r="VUF14" s="314" t="s">
        <v>203</v>
      </c>
      <c r="VUG14" s="314" t="s">
        <v>203</v>
      </c>
      <c r="VUH14" s="314" t="s">
        <v>203</v>
      </c>
      <c r="VUI14" s="314" t="s">
        <v>203</v>
      </c>
      <c r="VUJ14" s="314" t="s">
        <v>203</v>
      </c>
      <c r="VUK14" s="314" t="s">
        <v>203</v>
      </c>
      <c r="VUL14" s="314" t="s">
        <v>203</v>
      </c>
      <c r="VUM14" s="314" t="s">
        <v>203</v>
      </c>
      <c r="VUN14" s="314" t="s">
        <v>203</v>
      </c>
      <c r="VUO14" s="314" t="s">
        <v>203</v>
      </c>
      <c r="VUP14" s="314" t="s">
        <v>203</v>
      </c>
      <c r="VUQ14" s="314" t="s">
        <v>203</v>
      </c>
      <c r="VUR14" s="314" t="s">
        <v>203</v>
      </c>
      <c r="VUS14" s="314" t="s">
        <v>203</v>
      </c>
      <c r="VUT14" s="314" t="s">
        <v>203</v>
      </c>
      <c r="VUU14" s="314" t="s">
        <v>203</v>
      </c>
      <c r="VUV14" s="314" t="s">
        <v>203</v>
      </c>
      <c r="VUW14" s="314" t="s">
        <v>203</v>
      </c>
      <c r="VUX14" s="314" t="s">
        <v>203</v>
      </c>
      <c r="VUY14" s="314" t="s">
        <v>203</v>
      </c>
      <c r="VUZ14" s="314" t="s">
        <v>203</v>
      </c>
      <c r="VVA14" s="314" t="s">
        <v>203</v>
      </c>
      <c r="VVB14" s="314" t="s">
        <v>203</v>
      </c>
      <c r="VVC14" s="314" t="s">
        <v>203</v>
      </c>
      <c r="VVD14" s="314" t="s">
        <v>203</v>
      </c>
      <c r="VVE14" s="314" t="s">
        <v>203</v>
      </c>
      <c r="VVF14" s="314" t="s">
        <v>203</v>
      </c>
      <c r="VVG14" s="314" t="s">
        <v>203</v>
      </c>
      <c r="VVH14" s="314" t="s">
        <v>203</v>
      </c>
      <c r="VVI14" s="314" t="s">
        <v>203</v>
      </c>
      <c r="VVJ14" s="314" t="s">
        <v>203</v>
      </c>
      <c r="VVK14" s="314" t="s">
        <v>203</v>
      </c>
      <c r="VVL14" s="314" t="s">
        <v>203</v>
      </c>
      <c r="VVM14" s="314" t="s">
        <v>203</v>
      </c>
      <c r="VVN14" s="314" t="s">
        <v>203</v>
      </c>
      <c r="VVO14" s="314" t="s">
        <v>203</v>
      </c>
      <c r="VVP14" s="314" t="s">
        <v>203</v>
      </c>
      <c r="VVQ14" s="314" t="s">
        <v>203</v>
      </c>
      <c r="VVR14" s="314" t="s">
        <v>203</v>
      </c>
      <c r="VVS14" s="314" t="s">
        <v>203</v>
      </c>
      <c r="VVT14" s="314" t="s">
        <v>203</v>
      </c>
      <c r="VVU14" s="314" t="s">
        <v>203</v>
      </c>
      <c r="VVV14" s="314" t="s">
        <v>203</v>
      </c>
      <c r="VVW14" s="314" t="s">
        <v>203</v>
      </c>
      <c r="VVX14" s="314" t="s">
        <v>203</v>
      </c>
      <c r="VVY14" s="314" t="s">
        <v>203</v>
      </c>
      <c r="VVZ14" s="314" t="s">
        <v>203</v>
      </c>
      <c r="VWA14" s="314" t="s">
        <v>203</v>
      </c>
      <c r="VWB14" s="314" t="s">
        <v>203</v>
      </c>
      <c r="VWC14" s="314" t="s">
        <v>203</v>
      </c>
      <c r="VWD14" s="314" t="s">
        <v>203</v>
      </c>
      <c r="VWE14" s="314" t="s">
        <v>203</v>
      </c>
      <c r="VWF14" s="314" t="s">
        <v>203</v>
      </c>
      <c r="VWG14" s="314" t="s">
        <v>203</v>
      </c>
      <c r="VWH14" s="314" t="s">
        <v>203</v>
      </c>
      <c r="VWI14" s="314" t="s">
        <v>203</v>
      </c>
      <c r="VWJ14" s="314" t="s">
        <v>203</v>
      </c>
      <c r="VWK14" s="314" t="s">
        <v>203</v>
      </c>
      <c r="VWL14" s="314" t="s">
        <v>203</v>
      </c>
      <c r="VWM14" s="314" t="s">
        <v>203</v>
      </c>
      <c r="VWN14" s="314" t="s">
        <v>203</v>
      </c>
      <c r="VWO14" s="314" t="s">
        <v>203</v>
      </c>
      <c r="VWP14" s="314" t="s">
        <v>203</v>
      </c>
      <c r="VWQ14" s="314" t="s">
        <v>203</v>
      </c>
      <c r="VWR14" s="314" t="s">
        <v>203</v>
      </c>
      <c r="VWS14" s="314" t="s">
        <v>203</v>
      </c>
      <c r="VWT14" s="314" t="s">
        <v>203</v>
      </c>
      <c r="VWU14" s="314" t="s">
        <v>203</v>
      </c>
      <c r="VWV14" s="314" t="s">
        <v>203</v>
      </c>
      <c r="VWW14" s="314" t="s">
        <v>203</v>
      </c>
      <c r="VWX14" s="314" t="s">
        <v>203</v>
      </c>
      <c r="VWY14" s="314" t="s">
        <v>203</v>
      </c>
      <c r="VWZ14" s="314" t="s">
        <v>203</v>
      </c>
      <c r="VXA14" s="314" t="s">
        <v>203</v>
      </c>
      <c r="VXB14" s="314" t="s">
        <v>203</v>
      </c>
      <c r="VXC14" s="314" t="s">
        <v>203</v>
      </c>
      <c r="VXD14" s="314" t="s">
        <v>203</v>
      </c>
      <c r="VXE14" s="314" t="s">
        <v>203</v>
      </c>
      <c r="VXF14" s="314" t="s">
        <v>203</v>
      </c>
      <c r="VXG14" s="314" t="s">
        <v>203</v>
      </c>
      <c r="VXH14" s="314" t="s">
        <v>203</v>
      </c>
      <c r="VXI14" s="314" t="s">
        <v>203</v>
      </c>
      <c r="VXJ14" s="314" t="s">
        <v>203</v>
      </c>
      <c r="VXK14" s="314" t="s">
        <v>203</v>
      </c>
      <c r="VXL14" s="314" t="s">
        <v>203</v>
      </c>
      <c r="VXM14" s="314" t="s">
        <v>203</v>
      </c>
      <c r="VXN14" s="314" t="s">
        <v>203</v>
      </c>
      <c r="VXO14" s="314" t="s">
        <v>203</v>
      </c>
      <c r="VXP14" s="314" t="s">
        <v>203</v>
      </c>
      <c r="VXQ14" s="314" t="s">
        <v>203</v>
      </c>
      <c r="VXR14" s="314" t="s">
        <v>203</v>
      </c>
      <c r="VXS14" s="314" t="s">
        <v>203</v>
      </c>
      <c r="VXT14" s="314" t="s">
        <v>203</v>
      </c>
      <c r="VXU14" s="314" t="s">
        <v>203</v>
      </c>
      <c r="VXV14" s="314" t="s">
        <v>203</v>
      </c>
      <c r="VXW14" s="314" t="s">
        <v>203</v>
      </c>
      <c r="VXX14" s="314" t="s">
        <v>203</v>
      </c>
      <c r="VXY14" s="314" t="s">
        <v>203</v>
      </c>
      <c r="VXZ14" s="314" t="s">
        <v>203</v>
      </c>
      <c r="VYA14" s="314" t="s">
        <v>203</v>
      </c>
      <c r="VYB14" s="314" t="s">
        <v>203</v>
      </c>
      <c r="VYC14" s="314" t="s">
        <v>203</v>
      </c>
      <c r="VYD14" s="314" t="s">
        <v>203</v>
      </c>
      <c r="VYE14" s="314" t="s">
        <v>203</v>
      </c>
      <c r="VYF14" s="314" t="s">
        <v>203</v>
      </c>
      <c r="VYG14" s="314" t="s">
        <v>203</v>
      </c>
      <c r="VYH14" s="314" t="s">
        <v>203</v>
      </c>
      <c r="VYI14" s="314" t="s">
        <v>203</v>
      </c>
      <c r="VYJ14" s="314" t="s">
        <v>203</v>
      </c>
      <c r="VYK14" s="314" t="s">
        <v>203</v>
      </c>
      <c r="VYL14" s="314" t="s">
        <v>203</v>
      </c>
      <c r="VYM14" s="314" t="s">
        <v>203</v>
      </c>
      <c r="VYN14" s="314" t="s">
        <v>203</v>
      </c>
      <c r="VYO14" s="314" t="s">
        <v>203</v>
      </c>
      <c r="VYP14" s="314" t="s">
        <v>203</v>
      </c>
      <c r="VYQ14" s="314" t="s">
        <v>203</v>
      </c>
      <c r="VYR14" s="314" t="s">
        <v>203</v>
      </c>
      <c r="VYS14" s="314" t="s">
        <v>203</v>
      </c>
      <c r="VYT14" s="314" t="s">
        <v>203</v>
      </c>
      <c r="VYU14" s="314" t="s">
        <v>203</v>
      </c>
      <c r="VYV14" s="314" t="s">
        <v>203</v>
      </c>
      <c r="VYW14" s="314" t="s">
        <v>203</v>
      </c>
      <c r="VYX14" s="314" t="s">
        <v>203</v>
      </c>
      <c r="VYY14" s="314" t="s">
        <v>203</v>
      </c>
      <c r="VYZ14" s="314" t="s">
        <v>203</v>
      </c>
      <c r="VZA14" s="314" t="s">
        <v>203</v>
      </c>
      <c r="VZB14" s="314" t="s">
        <v>203</v>
      </c>
      <c r="VZC14" s="314" t="s">
        <v>203</v>
      </c>
      <c r="VZD14" s="314" t="s">
        <v>203</v>
      </c>
      <c r="VZE14" s="314" t="s">
        <v>203</v>
      </c>
      <c r="VZF14" s="314" t="s">
        <v>203</v>
      </c>
      <c r="VZG14" s="314" t="s">
        <v>203</v>
      </c>
      <c r="VZH14" s="314" t="s">
        <v>203</v>
      </c>
      <c r="VZI14" s="314" t="s">
        <v>203</v>
      </c>
      <c r="VZJ14" s="314" t="s">
        <v>203</v>
      </c>
      <c r="VZK14" s="314" t="s">
        <v>203</v>
      </c>
      <c r="VZL14" s="314" t="s">
        <v>203</v>
      </c>
      <c r="VZM14" s="314" t="s">
        <v>203</v>
      </c>
      <c r="VZN14" s="314" t="s">
        <v>203</v>
      </c>
      <c r="VZO14" s="314" t="s">
        <v>203</v>
      </c>
      <c r="VZP14" s="314" t="s">
        <v>203</v>
      </c>
      <c r="VZQ14" s="314" t="s">
        <v>203</v>
      </c>
      <c r="VZR14" s="314" t="s">
        <v>203</v>
      </c>
      <c r="VZS14" s="314" t="s">
        <v>203</v>
      </c>
      <c r="VZT14" s="314" t="s">
        <v>203</v>
      </c>
      <c r="VZU14" s="314" t="s">
        <v>203</v>
      </c>
      <c r="VZV14" s="314" t="s">
        <v>203</v>
      </c>
      <c r="VZW14" s="314" t="s">
        <v>203</v>
      </c>
      <c r="VZX14" s="314" t="s">
        <v>203</v>
      </c>
      <c r="VZY14" s="314" t="s">
        <v>203</v>
      </c>
      <c r="VZZ14" s="314" t="s">
        <v>203</v>
      </c>
      <c r="WAA14" s="314" t="s">
        <v>203</v>
      </c>
      <c r="WAB14" s="314" t="s">
        <v>203</v>
      </c>
      <c r="WAC14" s="314" t="s">
        <v>203</v>
      </c>
      <c r="WAD14" s="314" t="s">
        <v>203</v>
      </c>
      <c r="WAE14" s="314" t="s">
        <v>203</v>
      </c>
      <c r="WAF14" s="314" t="s">
        <v>203</v>
      </c>
      <c r="WAG14" s="314" t="s">
        <v>203</v>
      </c>
      <c r="WAH14" s="314" t="s">
        <v>203</v>
      </c>
      <c r="WAI14" s="314" t="s">
        <v>203</v>
      </c>
      <c r="WAJ14" s="314" t="s">
        <v>203</v>
      </c>
      <c r="WAK14" s="314" t="s">
        <v>203</v>
      </c>
      <c r="WAL14" s="314" t="s">
        <v>203</v>
      </c>
      <c r="WAM14" s="314" t="s">
        <v>203</v>
      </c>
      <c r="WAN14" s="314" t="s">
        <v>203</v>
      </c>
      <c r="WAO14" s="314" t="s">
        <v>203</v>
      </c>
      <c r="WAP14" s="314" t="s">
        <v>203</v>
      </c>
      <c r="WAQ14" s="314" t="s">
        <v>203</v>
      </c>
      <c r="WAR14" s="314" t="s">
        <v>203</v>
      </c>
      <c r="WAS14" s="314" t="s">
        <v>203</v>
      </c>
      <c r="WAT14" s="314" t="s">
        <v>203</v>
      </c>
      <c r="WAU14" s="314" t="s">
        <v>203</v>
      </c>
      <c r="WAV14" s="314" t="s">
        <v>203</v>
      </c>
      <c r="WAW14" s="314" t="s">
        <v>203</v>
      </c>
      <c r="WAX14" s="314" t="s">
        <v>203</v>
      </c>
      <c r="WAY14" s="314" t="s">
        <v>203</v>
      </c>
      <c r="WAZ14" s="314" t="s">
        <v>203</v>
      </c>
      <c r="WBA14" s="314" t="s">
        <v>203</v>
      </c>
      <c r="WBB14" s="314" t="s">
        <v>203</v>
      </c>
      <c r="WBC14" s="314" t="s">
        <v>203</v>
      </c>
      <c r="WBD14" s="314" t="s">
        <v>203</v>
      </c>
      <c r="WBE14" s="314" t="s">
        <v>203</v>
      </c>
      <c r="WBF14" s="314" t="s">
        <v>203</v>
      </c>
      <c r="WBG14" s="314" t="s">
        <v>203</v>
      </c>
      <c r="WBH14" s="314" t="s">
        <v>203</v>
      </c>
      <c r="WBI14" s="314" t="s">
        <v>203</v>
      </c>
      <c r="WBJ14" s="314" t="s">
        <v>203</v>
      </c>
      <c r="WBK14" s="314" t="s">
        <v>203</v>
      </c>
      <c r="WBL14" s="314" t="s">
        <v>203</v>
      </c>
      <c r="WBM14" s="314" t="s">
        <v>203</v>
      </c>
      <c r="WBN14" s="314" t="s">
        <v>203</v>
      </c>
      <c r="WBO14" s="314" t="s">
        <v>203</v>
      </c>
      <c r="WBP14" s="314" t="s">
        <v>203</v>
      </c>
      <c r="WBQ14" s="314" t="s">
        <v>203</v>
      </c>
      <c r="WBR14" s="314" t="s">
        <v>203</v>
      </c>
      <c r="WBS14" s="314" t="s">
        <v>203</v>
      </c>
      <c r="WBT14" s="314" t="s">
        <v>203</v>
      </c>
      <c r="WBU14" s="314" t="s">
        <v>203</v>
      </c>
      <c r="WBV14" s="314" t="s">
        <v>203</v>
      </c>
      <c r="WBW14" s="314" t="s">
        <v>203</v>
      </c>
      <c r="WBX14" s="314" t="s">
        <v>203</v>
      </c>
      <c r="WBY14" s="314" t="s">
        <v>203</v>
      </c>
      <c r="WBZ14" s="314" t="s">
        <v>203</v>
      </c>
      <c r="WCA14" s="314" t="s">
        <v>203</v>
      </c>
      <c r="WCB14" s="314" t="s">
        <v>203</v>
      </c>
      <c r="WCC14" s="314" t="s">
        <v>203</v>
      </c>
      <c r="WCD14" s="314" t="s">
        <v>203</v>
      </c>
      <c r="WCE14" s="314" t="s">
        <v>203</v>
      </c>
      <c r="WCF14" s="314" t="s">
        <v>203</v>
      </c>
      <c r="WCG14" s="314" t="s">
        <v>203</v>
      </c>
      <c r="WCH14" s="314" t="s">
        <v>203</v>
      </c>
      <c r="WCI14" s="314" t="s">
        <v>203</v>
      </c>
      <c r="WCJ14" s="314" t="s">
        <v>203</v>
      </c>
      <c r="WCK14" s="314" t="s">
        <v>203</v>
      </c>
      <c r="WCL14" s="314" t="s">
        <v>203</v>
      </c>
      <c r="WCM14" s="314" t="s">
        <v>203</v>
      </c>
      <c r="WCN14" s="314" t="s">
        <v>203</v>
      </c>
      <c r="WCO14" s="314" t="s">
        <v>203</v>
      </c>
      <c r="WCP14" s="314" t="s">
        <v>203</v>
      </c>
      <c r="WCQ14" s="314" t="s">
        <v>203</v>
      </c>
      <c r="WCR14" s="314" t="s">
        <v>203</v>
      </c>
      <c r="WCS14" s="314" t="s">
        <v>203</v>
      </c>
      <c r="WCT14" s="314" t="s">
        <v>203</v>
      </c>
      <c r="WCU14" s="314" t="s">
        <v>203</v>
      </c>
      <c r="WCV14" s="314" t="s">
        <v>203</v>
      </c>
      <c r="WCW14" s="314" t="s">
        <v>203</v>
      </c>
      <c r="WCX14" s="314" t="s">
        <v>203</v>
      </c>
      <c r="WCY14" s="314" t="s">
        <v>203</v>
      </c>
      <c r="WCZ14" s="314" t="s">
        <v>203</v>
      </c>
      <c r="WDA14" s="314" t="s">
        <v>203</v>
      </c>
      <c r="WDB14" s="314" t="s">
        <v>203</v>
      </c>
      <c r="WDC14" s="314" t="s">
        <v>203</v>
      </c>
      <c r="WDD14" s="314" t="s">
        <v>203</v>
      </c>
      <c r="WDE14" s="314" t="s">
        <v>203</v>
      </c>
      <c r="WDF14" s="314" t="s">
        <v>203</v>
      </c>
      <c r="WDG14" s="314" t="s">
        <v>203</v>
      </c>
      <c r="WDH14" s="314" t="s">
        <v>203</v>
      </c>
      <c r="WDI14" s="314" t="s">
        <v>203</v>
      </c>
      <c r="WDJ14" s="314" t="s">
        <v>203</v>
      </c>
      <c r="WDK14" s="314" t="s">
        <v>203</v>
      </c>
      <c r="WDL14" s="314" t="s">
        <v>203</v>
      </c>
      <c r="WDM14" s="314" t="s">
        <v>203</v>
      </c>
      <c r="WDN14" s="314" t="s">
        <v>203</v>
      </c>
      <c r="WDO14" s="314" t="s">
        <v>203</v>
      </c>
      <c r="WDP14" s="314" t="s">
        <v>203</v>
      </c>
      <c r="WDQ14" s="314" t="s">
        <v>203</v>
      </c>
      <c r="WDR14" s="314" t="s">
        <v>203</v>
      </c>
      <c r="WDS14" s="314" t="s">
        <v>203</v>
      </c>
      <c r="WDT14" s="314" t="s">
        <v>203</v>
      </c>
      <c r="WDU14" s="314" t="s">
        <v>203</v>
      </c>
      <c r="WDV14" s="314" t="s">
        <v>203</v>
      </c>
      <c r="WDW14" s="314" t="s">
        <v>203</v>
      </c>
      <c r="WDX14" s="314" t="s">
        <v>203</v>
      </c>
      <c r="WDY14" s="314" t="s">
        <v>203</v>
      </c>
      <c r="WDZ14" s="314" t="s">
        <v>203</v>
      </c>
      <c r="WEA14" s="314" t="s">
        <v>203</v>
      </c>
      <c r="WEB14" s="314" t="s">
        <v>203</v>
      </c>
      <c r="WEC14" s="314" t="s">
        <v>203</v>
      </c>
      <c r="WED14" s="314" t="s">
        <v>203</v>
      </c>
      <c r="WEE14" s="314" t="s">
        <v>203</v>
      </c>
      <c r="WEF14" s="314" t="s">
        <v>203</v>
      </c>
      <c r="WEG14" s="314" t="s">
        <v>203</v>
      </c>
      <c r="WEH14" s="314" t="s">
        <v>203</v>
      </c>
      <c r="WEI14" s="314" t="s">
        <v>203</v>
      </c>
      <c r="WEJ14" s="314" t="s">
        <v>203</v>
      </c>
      <c r="WEK14" s="314" t="s">
        <v>203</v>
      </c>
      <c r="WEL14" s="314" t="s">
        <v>203</v>
      </c>
      <c r="WEM14" s="314" t="s">
        <v>203</v>
      </c>
      <c r="WEN14" s="314" t="s">
        <v>203</v>
      </c>
      <c r="WEO14" s="314" t="s">
        <v>203</v>
      </c>
      <c r="WEP14" s="314" t="s">
        <v>203</v>
      </c>
      <c r="WEQ14" s="314" t="s">
        <v>203</v>
      </c>
      <c r="WER14" s="314" t="s">
        <v>203</v>
      </c>
      <c r="WES14" s="314" t="s">
        <v>203</v>
      </c>
      <c r="WET14" s="314" t="s">
        <v>203</v>
      </c>
      <c r="WEU14" s="314" t="s">
        <v>203</v>
      </c>
      <c r="WEV14" s="314" t="s">
        <v>203</v>
      </c>
      <c r="WEW14" s="314" t="s">
        <v>203</v>
      </c>
      <c r="WEX14" s="314" t="s">
        <v>203</v>
      </c>
      <c r="WEY14" s="314" t="s">
        <v>203</v>
      </c>
      <c r="WEZ14" s="314" t="s">
        <v>203</v>
      </c>
      <c r="WFA14" s="314" t="s">
        <v>203</v>
      </c>
      <c r="WFB14" s="314" t="s">
        <v>203</v>
      </c>
      <c r="WFC14" s="314" t="s">
        <v>203</v>
      </c>
      <c r="WFD14" s="314" t="s">
        <v>203</v>
      </c>
      <c r="WFE14" s="314" t="s">
        <v>203</v>
      </c>
      <c r="WFF14" s="314" t="s">
        <v>203</v>
      </c>
      <c r="WFG14" s="314" t="s">
        <v>203</v>
      </c>
      <c r="WFH14" s="314" t="s">
        <v>203</v>
      </c>
      <c r="WFI14" s="314" t="s">
        <v>203</v>
      </c>
      <c r="WFJ14" s="314" t="s">
        <v>203</v>
      </c>
      <c r="WFK14" s="314" t="s">
        <v>203</v>
      </c>
      <c r="WFL14" s="314" t="s">
        <v>203</v>
      </c>
      <c r="WFM14" s="314" t="s">
        <v>203</v>
      </c>
      <c r="WFN14" s="314" t="s">
        <v>203</v>
      </c>
      <c r="WFO14" s="314" t="s">
        <v>203</v>
      </c>
      <c r="WFP14" s="314" t="s">
        <v>203</v>
      </c>
      <c r="WFQ14" s="314" t="s">
        <v>203</v>
      </c>
      <c r="WFR14" s="314" t="s">
        <v>203</v>
      </c>
      <c r="WFS14" s="314" t="s">
        <v>203</v>
      </c>
      <c r="WFT14" s="314" t="s">
        <v>203</v>
      </c>
      <c r="WFU14" s="314" t="s">
        <v>203</v>
      </c>
      <c r="WFV14" s="314" t="s">
        <v>203</v>
      </c>
      <c r="WFW14" s="314" t="s">
        <v>203</v>
      </c>
      <c r="WFX14" s="314" t="s">
        <v>203</v>
      </c>
      <c r="WFY14" s="314" t="s">
        <v>203</v>
      </c>
      <c r="WFZ14" s="314" t="s">
        <v>203</v>
      </c>
      <c r="WGA14" s="314" t="s">
        <v>203</v>
      </c>
      <c r="WGB14" s="314" t="s">
        <v>203</v>
      </c>
      <c r="WGC14" s="314" t="s">
        <v>203</v>
      </c>
      <c r="WGD14" s="314" t="s">
        <v>203</v>
      </c>
      <c r="WGE14" s="314" t="s">
        <v>203</v>
      </c>
      <c r="WGF14" s="314" t="s">
        <v>203</v>
      </c>
      <c r="WGG14" s="314" t="s">
        <v>203</v>
      </c>
      <c r="WGH14" s="314" t="s">
        <v>203</v>
      </c>
      <c r="WGI14" s="314" t="s">
        <v>203</v>
      </c>
      <c r="WGJ14" s="314" t="s">
        <v>203</v>
      </c>
      <c r="WGK14" s="314" t="s">
        <v>203</v>
      </c>
      <c r="WGL14" s="314" t="s">
        <v>203</v>
      </c>
      <c r="WGM14" s="314" t="s">
        <v>203</v>
      </c>
      <c r="WGN14" s="314" t="s">
        <v>203</v>
      </c>
      <c r="WGO14" s="314" t="s">
        <v>203</v>
      </c>
      <c r="WGP14" s="314" t="s">
        <v>203</v>
      </c>
      <c r="WGQ14" s="314" t="s">
        <v>203</v>
      </c>
      <c r="WGR14" s="314" t="s">
        <v>203</v>
      </c>
      <c r="WGS14" s="314" t="s">
        <v>203</v>
      </c>
      <c r="WGT14" s="314" t="s">
        <v>203</v>
      </c>
      <c r="WGU14" s="314" t="s">
        <v>203</v>
      </c>
      <c r="WGV14" s="314" t="s">
        <v>203</v>
      </c>
      <c r="WGW14" s="314" t="s">
        <v>203</v>
      </c>
      <c r="WGX14" s="314" t="s">
        <v>203</v>
      </c>
      <c r="WGY14" s="314" t="s">
        <v>203</v>
      </c>
      <c r="WGZ14" s="314" t="s">
        <v>203</v>
      </c>
      <c r="WHA14" s="314" t="s">
        <v>203</v>
      </c>
      <c r="WHB14" s="314" t="s">
        <v>203</v>
      </c>
      <c r="WHC14" s="314" t="s">
        <v>203</v>
      </c>
      <c r="WHD14" s="314" t="s">
        <v>203</v>
      </c>
      <c r="WHE14" s="314" t="s">
        <v>203</v>
      </c>
      <c r="WHF14" s="314" t="s">
        <v>203</v>
      </c>
      <c r="WHG14" s="314" t="s">
        <v>203</v>
      </c>
      <c r="WHH14" s="314" t="s">
        <v>203</v>
      </c>
      <c r="WHI14" s="314" t="s">
        <v>203</v>
      </c>
      <c r="WHJ14" s="314" t="s">
        <v>203</v>
      </c>
      <c r="WHK14" s="314" t="s">
        <v>203</v>
      </c>
      <c r="WHL14" s="314" t="s">
        <v>203</v>
      </c>
      <c r="WHM14" s="314" t="s">
        <v>203</v>
      </c>
      <c r="WHN14" s="314" t="s">
        <v>203</v>
      </c>
      <c r="WHO14" s="314" t="s">
        <v>203</v>
      </c>
      <c r="WHP14" s="314" t="s">
        <v>203</v>
      </c>
      <c r="WHQ14" s="314" t="s">
        <v>203</v>
      </c>
      <c r="WHR14" s="314" t="s">
        <v>203</v>
      </c>
      <c r="WHS14" s="314" t="s">
        <v>203</v>
      </c>
      <c r="WHT14" s="314" t="s">
        <v>203</v>
      </c>
      <c r="WHU14" s="314" t="s">
        <v>203</v>
      </c>
      <c r="WHV14" s="314" t="s">
        <v>203</v>
      </c>
      <c r="WHW14" s="314" t="s">
        <v>203</v>
      </c>
      <c r="WHX14" s="314" t="s">
        <v>203</v>
      </c>
      <c r="WHY14" s="314" t="s">
        <v>203</v>
      </c>
      <c r="WHZ14" s="314" t="s">
        <v>203</v>
      </c>
      <c r="WIA14" s="314" t="s">
        <v>203</v>
      </c>
      <c r="WIB14" s="314" t="s">
        <v>203</v>
      </c>
      <c r="WIC14" s="314" t="s">
        <v>203</v>
      </c>
      <c r="WID14" s="314" t="s">
        <v>203</v>
      </c>
      <c r="WIE14" s="314" t="s">
        <v>203</v>
      </c>
      <c r="WIF14" s="314" t="s">
        <v>203</v>
      </c>
      <c r="WIG14" s="314" t="s">
        <v>203</v>
      </c>
      <c r="WIH14" s="314" t="s">
        <v>203</v>
      </c>
      <c r="WII14" s="314" t="s">
        <v>203</v>
      </c>
      <c r="WIJ14" s="314" t="s">
        <v>203</v>
      </c>
      <c r="WIK14" s="314" t="s">
        <v>203</v>
      </c>
      <c r="WIL14" s="314" t="s">
        <v>203</v>
      </c>
      <c r="WIM14" s="314" t="s">
        <v>203</v>
      </c>
      <c r="WIN14" s="314" t="s">
        <v>203</v>
      </c>
      <c r="WIO14" s="314" t="s">
        <v>203</v>
      </c>
      <c r="WIP14" s="314" t="s">
        <v>203</v>
      </c>
      <c r="WIQ14" s="314" t="s">
        <v>203</v>
      </c>
      <c r="WIR14" s="314" t="s">
        <v>203</v>
      </c>
      <c r="WIS14" s="314" t="s">
        <v>203</v>
      </c>
      <c r="WIT14" s="314" t="s">
        <v>203</v>
      </c>
      <c r="WIU14" s="314" t="s">
        <v>203</v>
      </c>
      <c r="WIV14" s="314" t="s">
        <v>203</v>
      </c>
      <c r="WIW14" s="314" t="s">
        <v>203</v>
      </c>
      <c r="WIX14" s="314" t="s">
        <v>203</v>
      </c>
      <c r="WIY14" s="314" t="s">
        <v>203</v>
      </c>
      <c r="WIZ14" s="314" t="s">
        <v>203</v>
      </c>
      <c r="WJA14" s="314" t="s">
        <v>203</v>
      </c>
      <c r="WJB14" s="314" t="s">
        <v>203</v>
      </c>
      <c r="WJC14" s="314" t="s">
        <v>203</v>
      </c>
      <c r="WJD14" s="314" t="s">
        <v>203</v>
      </c>
      <c r="WJE14" s="314" t="s">
        <v>203</v>
      </c>
      <c r="WJF14" s="314" t="s">
        <v>203</v>
      </c>
      <c r="WJG14" s="314" t="s">
        <v>203</v>
      </c>
      <c r="WJH14" s="314" t="s">
        <v>203</v>
      </c>
      <c r="WJI14" s="314" t="s">
        <v>203</v>
      </c>
      <c r="WJJ14" s="314" t="s">
        <v>203</v>
      </c>
      <c r="WJK14" s="314" t="s">
        <v>203</v>
      </c>
      <c r="WJL14" s="314" t="s">
        <v>203</v>
      </c>
      <c r="WJM14" s="314" t="s">
        <v>203</v>
      </c>
      <c r="WJN14" s="314" t="s">
        <v>203</v>
      </c>
      <c r="WJO14" s="314" t="s">
        <v>203</v>
      </c>
      <c r="WJP14" s="314" t="s">
        <v>203</v>
      </c>
      <c r="WJQ14" s="314" t="s">
        <v>203</v>
      </c>
      <c r="WJR14" s="314" t="s">
        <v>203</v>
      </c>
      <c r="WJS14" s="314" t="s">
        <v>203</v>
      </c>
      <c r="WJT14" s="314" t="s">
        <v>203</v>
      </c>
      <c r="WJU14" s="314" t="s">
        <v>203</v>
      </c>
      <c r="WJV14" s="314" t="s">
        <v>203</v>
      </c>
      <c r="WJW14" s="314" t="s">
        <v>203</v>
      </c>
      <c r="WJX14" s="314" t="s">
        <v>203</v>
      </c>
      <c r="WJY14" s="314" t="s">
        <v>203</v>
      </c>
      <c r="WJZ14" s="314" t="s">
        <v>203</v>
      </c>
      <c r="WKA14" s="314" t="s">
        <v>203</v>
      </c>
      <c r="WKB14" s="314" t="s">
        <v>203</v>
      </c>
      <c r="WKC14" s="314" t="s">
        <v>203</v>
      </c>
      <c r="WKD14" s="314" t="s">
        <v>203</v>
      </c>
      <c r="WKE14" s="314" t="s">
        <v>203</v>
      </c>
      <c r="WKF14" s="314" t="s">
        <v>203</v>
      </c>
      <c r="WKG14" s="314" t="s">
        <v>203</v>
      </c>
      <c r="WKH14" s="314" t="s">
        <v>203</v>
      </c>
      <c r="WKI14" s="314" t="s">
        <v>203</v>
      </c>
      <c r="WKJ14" s="314" t="s">
        <v>203</v>
      </c>
      <c r="WKK14" s="314" t="s">
        <v>203</v>
      </c>
      <c r="WKL14" s="314" t="s">
        <v>203</v>
      </c>
      <c r="WKM14" s="314" t="s">
        <v>203</v>
      </c>
      <c r="WKN14" s="314" t="s">
        <v>203</v>
      </c>
      <c r="WKO14" s="314" t="s">
        <v>203</v>
      </c>
      <c r="WKP14" s="314" t="s">
        <v>203</v>
      </c>
      <c r="WKQ14" s="314" t="s">
        <v>203</v>
      </c>
      <c r="WKR14" s="314" t="s">
        <v>203</v>
      </c>
      <c r="WKS14" s="314" t="s">
        <v>203</v>
      </c>
      <c r="WKT14" s="314" t="s">
        <v>203</v>
      </c>
      <c r="WKU14" s="314" t="s">
        <v>203</v>
      </c>
      <c r="WKV14" s="314" t="s">
        <v>203</v>
      </c>
      <c r="WKW14" s="314" t="s">
        <v>203</v>
      </c>
      <c r="WKX14" s="314" t="s">
        <v>203</v>
      </c>
      <c r="WKY14" s="314" t="s">
        <v>203</v>
      </c>
      <c r="WKZ14" s="314" t="s">
        <v>203</v>
      </c>
      <c r="WLA14" s="314" t="s">
        <v>203</v>
      </c>
      <c r="WLB14" s="314" t="s">
        <v>203</v>
      </c>
      <c r="WLC14" s="314" t="s">
        <v>203</v>
      </c>
      <c r="WLD14" s="314" t="s">
        <v>203</v>
      </c>
      <c r="WLE14" s="314" t="s">
        <v>203</v>
      </c>
      <c r="WLF14" s="314" t="s">
        <v>203</v>
      </c>
      <c r="WLG14" s="314" t="s">
        <v>203</v>
      </c>
      <c r="WLH14" s="314" t="s">
        <v>203</v>
      </c>
      <c r="WLI14" s="314" t="s">
        <v>203</v>
      </c>
      <c r="WLJ14" s="314" t="s">
        <v>203</v>
      </c>
      <c r="WLK14" s="314" t="s">
        <v>203</v>
      </c>
      <c r="WLL14" s="314" t="s">
        <v>203</v>
      </c>
      <c r="WLM14" s="314" t="s">
        <v>203</v>
      </c>
      <c r="WLN14" s="314" t="s">
        <v>203</v>
      </c>
      <c r="WLO14" s="314" t="s">
        <v>203</v>
      </c>
      <c r="WLP14" s="314" t="s">
        <v>203</v>
      </c>
      <c r="WLQ14" s="314" t="s">
        <v>203</v>
      </c>
      <c r="WLR14" s="314" t="s">
        <v>203</v>
      </c>
      <c r="WLS14" s="314" t="s">
        <v>203</v>
      </c>
      <c r="WLT14" s="314" t="s">
        <v>203</v>
      </c>
      <c r="WLU14" s="314" t="s">
        <v>203</v>
      </c>
      <c r="WLV14" s="314" t="s">
        <v>203</v>
      </c>
      <c r="WLW14" s="314" t="s">
        <v>203</v>
      </c>
      <c r="WLX14" s="314" t="s">
        <v>203</v>
      </c>
      <c r="WLY14" s="314" t="s">
        <v>203</v>
      </c>
      <c r="WLZ14" s="314" t="s">
        <v>203</v>
      </c>
      <c r="WMA14" s="314" t="s">
        <v>203</v>
      </c>
      <c r="WMB14" s="314" t="s">
        <v>203</v>
      </c>
      <c r="WMC14" s="314" t="s">
        <v>203</v>
      </c>
      <c r="WMD14" s="314" t="s">
        <v>203</v>
      </c>
      <c r="WME14" s="314" t="s">
        <v>203</v>
      </c>
      <c r="WMF14" s="314" t="s">
        <v>203</v>
      </c>
      <c r="WMG14" s="314" t="s">
        <v>203</v>
      </c>
      <c r="WMH14" s="314" t="s">
        <v>203</v>
      </c>
      <c r="WMI14" s="314" t="s">
        <v>203</v>
      </c>
      <c r="WMJ14" s="314" t="s">
        <v>203</v>
      </c>
      <c r="WMK14" s="314" t="s">
        <v>203</v>
      </c>
      <c r="WML14" s="314" t="s">
        <v>203</v>
      </c>
      <c r="WMM14" s="314" t="s">
        <v>203</v>
      </c>
      <c r="WMN14" s="314" t="s">
        <v>203</v>
      </c>
      <c r="WMO14" s="314" t="s">
        <v>203</v>
      </c>
      <c r="WMP14" s="314" t="s">
        <v>203</v>
      </c>
      <c r="WMQ14" s="314" t="s">
        <v>203</v>
      </c>
      <c r="WMR14" s="314" t="s">
        <v>203</v>
      </c>
      <c r="WMS14" s="314" t="s">
        <v>203</v>
      </c>
      <c r="WMT14" s="314" t="s">
        <v>203</v>
      </c>
      <c r="WMU14" s="314" t="s">
        <v>203</v>
      </c>
      <c r="WMV14" s="314" t="s">
        <v>203</v>
      </c>
      <c r="WMW14" s="314" t="s">
        <v>203</v>
      </c>
      <c r="WMX14" s="314" t="s">
        <v>203</v>
      </c>
      <c r="WMY14" s="314" t="s">
        <v>203</v>
      </c>
      <c r="WMZ14" s="314" t="s">
        <v>203</v>
      </c>
      <c r="WNA14" s="314" t="s">
        <v>203</v>
      </c>
      <c r="WNB14" s="314" t="s">
        <v>203</v>
      </c>
      <c r="WNC14" s="314" t="s">
        <v>203</v>
      </c>
      <c r="WND14" s="314" t="s">
        <v>203</v>
      </c>
      <c r="WNE14" s="314" t="s">
        <v>203</v>
      </c>
      <c r="WNF14" s="314" t="s">
        <v>203</v>
      </c>
      <c r="WNG14" s="314" t="s">
        <v>203</v>
      </c>
      <c r="WNH14" s="314" t="s">
        <v>203</v>
      </c>
      <c r="WNI14" s="314" t="s">
        <v>203</v>
      </c>
      <c r="WNJ14" s="314" t="s">
        <v>203</v>
      </c>
      <c r="WNK14" s="314" t="s">
        <v>203</v>
      </c>
      <c r="WNL14" s="314" t="s">
        <v>203</v>
      </c>
      <c r="WNM14" s="314" t="s">
        <v>203</v>
      </c>
      <c r="WNN14" s="314" t="s">
        <v>203</v>
      </c>
      <c r="WNO14" s="314" t="s">
        <v>203</v>
      </c>
      <c r="WNP14" s="314" t="s">
        <v>203</v>
      </c>
      <c r="WNQ14" s="314" t="s">
        <v>203</v>
      </c>
      <c r="WNR14" s="314" t="s">
        <v>203</v>
      </c>
      <c r="WNS14" s="314" t="s">
        <v>203</v>
      </c>
      <c r="WNT14" s="314" t="s">
        <v>203</v>
      </c>
      <c r="WNU14" s="314" t="s">
        <v>203</v>
      </c>
      <c r="WNV14" s="314" t="s">
        <v>203</v>
      </c>
      <c r="WNW14" s="314" t="s">
        <v>203</v>
      </c>
      <c r="WNX14" s="314" t="s">
        <v>203</v>
      </c>
      <c r="WNY14" s="314" t="s">
        <v>203</v>
      </c>
      <c r="WNZ14" s="314" t="s">
        <v>203</v>
      </c>
      <c r="WOA14" s="314" t="s">
        <v>203</v>
      </c>
      <c r="WOB14" s="314" t="s">
        <v>203</v>
      </c>
      <c r="WOC14" s="314" t="s">
        <v>203</v>
      </c>
      <c r="WOD14" s="314" t="s">
        <v>203</v>
      </c>
      <c r="WOE14" s="314" t="s">
        <v>203</v>
      </c>
      <c r="WOF14" s="314" t="s">
        <v>203</v>
      </c>
      <c r="WOG14" s="314" t="s">
        <v>203</v>
      </c>
      <c r="WOH14" s="314" t="s">
        <v>203</v>
      </c>
      <c r="WOI14" s="314" t="s">
        <v>203</v>
      </c>
      <c r="WOJ14" s="314" t="s">
        <v>203</v>
      </c>
      <c r="WOK14" s="314" t="s">
        <v>203</v>
      </c>
      <c r="WOL14" s="314" t="s">
        <v>203</v>
      </c>
      <c r="WOM14" s="314" t="s">
        <v>203</v>
      </c>
      <c r="WON14" s="314" t="s">
        <v>203</v>
      </c>
      <c r="WOO14" s="314" t="s">
        <v>203</v>
      </c>
      <c r="WOP14" s="314" t="s">
        <v>203</v>
      </c>
      <c r="WOQ14" s="314" t="s">
        <v>203</v>
      </c>
      <c r="WOR14" s="314" t="s">
        <v>203</v>
      </c>
      <c r="WOS14" s="314" t="s">
        <v>203</v>
      </c>
      <c r="WOT14" s="314" t="s">
        <v>203</v>
      </c>
      <c r="WOU14" s="314" t="s">
        <v>203</v>
      </c>
      <c r="WOV14" s="314" t="s">
        <v>203</v>
      </c>
      <c r="WOW14" s="314" t="s">
        <v>203</v>
      </c>
      <c r="WOX14" s="314" t="s">
        <v>203</v>
      </c>
      <c r="WOY14" s="314" t="s">
        <v>203</v>
      </c>
      <c r="WOZ14" s="314" t="s">
        <v>203</v>
      </c>
      <c r="WPA14" s="314" t="s">
        <v>203</v>
      </c>
      <c r="WPB14" s="314" t="s">
        <v>203</v>
      </c>
      <c r="WPC14" s="314" t="s">
        <v>203</v>
      </c>
      <c r="WPD14" s="314" t="s">
        <v>203</v>
      </c>
      <c r="WPE14" s="314" t="s">
        <v>203</v>
      </c>
      <c r="WPF14" s="314" t="s">
        <v>203</v>
      </c>
      <c r="WPG14" s="314" t="s">
        <v>203</v>
      </c>
      <c r="WPH14" s="314" t="s">
        <v>203</v>
      </c>
      <c r="WPI14" s="314" t="s">
        <v>203</v>
      </c>
      <c r="WPJ14" s="314" t="s">
        <v>203</v>
      </c>
      <c r="WPK14" s="314" t="s">
        <v>203</v>
      </c>
      <c r="WPL14" s="314" t="s">
        <v>203</v>
      </c>
      <c r="WPM14" s="314" t="s">
        <v>203</v>
      </c>
      <c r="WPN14" s="314" t="s">
        <v>203</v>
      </c>
      <c r="WPO14" s="314" t="s">
        <v>203</v>
      </c>
      <c r="WPP14" s="314" t="s">
        <v>203</v>
      </c>
      <c r="WPQ14" s="314" t="s">
        <v>203</v>
      </c>
      <c r="WPR14" s="314" t="s">
        <v>203</v>
      </c>
      <c r="WPS14" s="314" t="s">
        <v>203</v>
      </c>
      <c r="WPT14" s="314" t="s">
        <v>203</v>
      </c>
      <c r="WPU14" s="314" t="s">
        <v>203</v>
      </c>
      <c r="WPV14" s="314" t="s">
        <v>203</v>
      </c>
      <c r="WPW14" s="314" t="s">
        <v>203</v>
      </c>
      <c r="WPX14" s="314" t="s">
        <v>203</v>
      </c>
      <c r="WPY14" s="314" t="s">
        <v>203</v>
      </c>
      <c r="WPZ14" s="314" t="s">
        <v>203</v>
      </c>
      <c r="WQA14" s="314" t="s">
        <v>203</v>
      </c>
      <c r="WQB14" s="314" t="s">
        <v>203</v>
      </c>
      <c r="WQC14" s="314" t="s">
        <v>203</v>
      </c>
      <c r="WQD14" s="314" t="s">
        <v>203</v>
      </c>
      <c r="WQE14" s="314" t="s">
        <v>203</v>
      </c>
      <c r="WQF14" s="314" t="s">
        <v>203</v>
      </c>
      <c r="WQG14" s="314" t="s">
        <v>203</v>
      </c>
      <c r="WQH14" s="314" t="s">
        <v>203</v>
      </c>
      <c r="WQI14" s="314" t="s">
        <v>203</v>
      </c>
      <c r="WQJ14" s="314" t="s">
        <v>203</v>
      </c>
      <c r="WQK14" s="314" t="s">
        <v>203</v>
      </c>
      <c r="WQL14" s="314" t="s">
        <v>203</v>
      </c>
      <c r="WQM14" s="314" t="s">
        <v>203</v>
      </c>
      <c r="WQN14" s="314" t="s">
        <v>203</v>
      </c>
      <c r="WQO14" s="314" t="s">
        <v>203</v>
      </c>
      <c r="WQP14" s="314" t="s">
        <v>203</v>
      </c>
      <c r="WQQ14" s="314" t="s">
        <v>203</v>
      </c>
      <c r="WQR14" s="314" t="s">
        <v>203</v>
      </c>
      <c r="WQS14" s="314" t="s">
        <v>203</v>
      </c>
      <c r="WQT14" s="314" t="s">
        <v>203</v>
      </c>
      <c r="WQU14" s="314" t="s">
        <v>203</v>
      </c>
      <c r="WQV14" s="314" t="s">
        <v>203</v>
      </c>
      <c r="WQW14" s="314" t="s">
        <v>203</v>
      </c>
      <c r="WQX14" s="314" t="s">
        <v>203</v>
      </c>
      <c r="WQY14" s="314" t="s">
        <v>203</v>
      </c>
      <c r="WQZ14" s="314" t="s">
        <v>203</v>
      </c>
      <c r="WRA14" s="314" t="s">
        <v>203</v>
      </c>
      <c r="WRB14" s="314" t="s">
        <v>203</v>
      </c>
      <c r="WRC14" s="314" t="s">
        <v>203</v>
      </c>
      <c r="WRD14" s="314" t="s">
        <v>203</v>
      </c>
      <c r="WRE14" s="314" t="s">
        <v>203</v>
      </c>
      <c r="WRF14" s="314" t="s">
        <v>203</v>
      </c>
      <c r="WRG14" s="314" t="s">
        <v>203</v>
      </c>
      <c r="WRH14" s="314" t="s">
        <v>203</v>
      </c>
      <c r="WRI14" s="314" t="s">
        <v>203</v>
      </c>
      <c r="WRJ14" s="314" t="s">
        <v>203</v>
      </c>
      <c r="WRK14" s="314" t="s">
        <v>203</v>
      </c>
      <c r="WRL14" s="314" t="s">
        <v>203</v>
      </c>
      <c r="WRM14" s="314" t="s">
        <v>203</v>
      </c>
      <c r="WRN14" s="314" t="s">
        <v>203</v>
      </c>
      <c r="WRO14" s="314" t="s">
        <v>203</v>
      </c>
      <c r="WRP14" s="314" t="s">
        <v>203</v>
      </c>
      <c r="WRQ14" s="314" t="s">
        <v>203</v>
      </c>
      <c r="WRR14" s="314" t="s">
        <v>203</v>
      </c>
      <c r="WRS14" s="314" t="s">
        <v>203</v>
      </c>
      <c r="WRT14" s="314" t="s">
        <v>203</v>
      </c>
      <c r="WRU14" s="314" t="s">
        <v>203</v>
      </c>
      <c r="WRV14" s="314" t="s">
        <v>203</v>
      </c>
      <c r="WRW14" s="314" t="s">
        <v>203</v>
      </c>
      <c r="WRX14" s="314" t="s">
        <v>203</v>
      </c>
      <c r="WRY14" s="314" t="s">
        <v>203</v>
      </c>
      <c r="WRZ14" s="314" t="s">
        <v>203</v>
      </c>
      <c r="WSA14" s="314" t="s">
        <v>203</v>
      </c>
      <c r="WSB14" s="314" t="s">
        <v>203</v>
      </c>
      <c r="WSC14" s="314" t="s">
        <v>203</v>
      </c>
      <c r="WSD14" s="314" t="s">
        <v>203</v>
      </c>
      <c r="WSE14" s="314" t="s">
        <v>203</v>
      </c>
      <c r="WSF14" s="314" t="s">
        <v>203</v>
      </c>
      <c r="WSG14" s="314" t="s">
        <v>203</v>
      </c>
      <c r="WSH14" s="314" t="s">
        <v>203</v>
      </c>
      <c r="WSI14" s="314" t="s">
        <v>203</v>
      </c>
      <c r="WSJ14" s="314" t="s">
        <v>203</v>
      </c>
      <c r="WSK14" s="314" t="s">
        <v>203</v>
      </c>
      <c r="WSL14" s="314" t="s">
        <v>203</v>
      </c>
      <c r="WSM14" s="314" t="s">
        <v>203</v>
      </c>
      <c r="WSN14" s="314" t="s">
        <v>203</v>
      </c>
      <c r="WSO14" s="314" t="s">
        <v>203</v>
      </c>
      <c r="WSP14" s="314" t="s">
        <v>203</v>
      </c>
      <c r="WSQ14" s="314" t="s">
        <v>203</v>
      </c>
      <c r="WSR14" s="314" t="s">
        <v>203</v>
      </c>
      <c r="WSS14" s="314" t="s">
        <v>203</v>
      </c>
      <c r="WST14" s="314" t="s">
        <v>203</v>
      </c>
      <c r="WSU14" s="314" t="s">
        <v>203</v>
      </c>
      <c r="WSV14" s="314" t="s">
        <v>203</v>
      </c>
      <c r="WSW14" s="314" t="s">
        <v>203</v>
      </c>
      <c r="WSX14" s="314" t="s">
        <v>203</v>
      </c>
      <c r="WSY14" s="314" t="s">
        <v>203</v>
      </c>
      <c r="WSZ14" s="314" t="s">
        <v>203</v>
      </c>
      <c r="WTA14" s="314" t="s">
        <v>203</v>
      </c>
      <c r="WTB14" s="314" t="s">
        <v>203</v>
      </c>
      <c r="WTC14" s="314" t="s">
        <v>203</v>
      </c>
      <c r="WTD14" s="314" t="s">
        <v>203</v>
      </c>
      <c r="WTE14" s="314" t="s">
        <v>203</v>
      </c>
      <c r="WTF14" s="314" t="s">
        <v>203</v>
      </c>
      <c r="WTG14" s="314" t="s">
        <v>203</v>
      </c>
      <c r="WTH14" s="314" t="s">
        <v>203</v>
      </c>
      <c r="WTI14" s="314" t="s">
        <v>203</v>
      </c>
      <c r="WTJ14" s="314" t="s">
        <v>203</v>
      </c>
      <c r="WTK14" s="314" t="s">
        <v>203</v>
      </c>
      <c r="WTL14" s="314" t="s">
        <v>203</v>
      </c>
      <c r="WTM14" s="314" t="s">
        <v>203</v>
      </c>
      <c r="WTN14" s="314" t="s">
        <v>203</v>
      </c>
      <c r="WTO14" s="314" t="s">
        <v>203</v>
      </c>
      <c r="WTP14" s="314" t="s">
        <v>203</v>
      </c>
      <c r="WTQ14" s="314" t="s">
        <v>203</v>
      </c>
      <c r="WTR14" s="314" t="s">
        <v>203</v>
      </c>
      <c r="WTS14" s="314" t="s">
        <v>203</v>
      </c>
      <c r="WTT14" s="314" t="s">
        <v>203</v>
      </c>
      <c r="WTU14" s="314" t="s">
        <v>203</v>
      </c>
      <c r="WTV14" s="314" t="s">
        <v>203</v>
      </c>
      <c r="WTW14" s="314" t="s">
        <v>203</v>
      </c>
      <c r="WTX14" s="314" t="s">
        <v>203</v>
      </c>
      <c r="WTY14" s="314" t="s">
        <v>203</v>
      </c>
      <c r="WTZ14" s="314" t="s">
        <v>203</v>
      </c>
      <c r="WUA14" s="314" t="s">
        <v>203</v>
      </c>
      <c r="WUB14" s="314" t="s">
        <v>203</v>
      </c>
      <c r="WUC14" s="314" t="s">
        <v>203</v>
      </c>
      <c r="WUD14" s="314" t="s">
        <v>203</v>
      </c>
      <c r="WUE14" s="314" t="s">
        <v>203</v>
      </c>
      <c r="WUF14" s="314" t="s">
        <v>203</v>
      </c>
      <c r="WUG14" s="314" t="s">
        <v>203</v>
      </c>
      <c r="WUH14" s="314" t="s">
        <v>203</v>
      </c>
      <c r="WUI14" s="314" t="s">
        <v>203</v>
      </c>
      <c r="WUJ14" s="314" t="s">
        <v>203</v>
      </c>
      <c r="WUK14" s="314" t="s">
        <v>203</v>
      </c>
      <c r="WUL14" s="314" t="s">
        <v>203</v>
      </c>
      <c r="WUM14" s="314" t="s">
        <v>203</v>
      </c>
      <c r="WUN14" s="314" t="s">
        <v>203</v>
      </c>
      <c r="WUO14" s="314" t="s">
        <v>203</v>
      </c>
      <c r="WUP14" s="314" t="s">
        <v>203</v>
      </c>
      <c r="WUQ14" s="314" t="s">
        <v>203</v>
      </c>
      <c r="WUR14" s="314" t="s">
        <v>203</v>
      </c>
      <c r="WUS14" s="314" t="s">
        <v>203</v>
      </c>
      <c r="WUT14" s="314" t="s">
        <v>203</v>
      </c>
      <c r="WUU14" s="314" t="s">
        <v>203</v>
      </c>
      <c r="WUV14" s="314" t="s">
        <v>203</v>
      </c>
      <c r="WUW14" s="314" t="s">
        <v>203</v>
      </c>
      <c r="WUX14" s="314" t="s">
        <v>203</v>
      </c>
      <c r="WUY14" s="314" t="s">
        <v>203</v>
      </c>
      <c r="WUZ14" s="314" t="s">
        <v>203</v>
      </c>
      <c r="WVA14" s="314" t="s">
        <v>203</v>
      </c>
      <c r="WVB14" s="314" t="s">
        <v>203</v>
      </c>
      <c r="WVC14" s="314" t="s">
        <v>203</v>
      </c>
      <c r="WVD14" s="314" t="s">
        <v>203</v>
      </c>
      <c r="WVE14" s="314" t="s">
        <v>203</v>
      </c>
      <c r="WVF14" s="314" t="s">
        <v>203</v>
      </c>
      <c r="WVG14" s="314" t="s">
        <v>203</v>
      </c>
      <c r="WVH14" s="314" t="s">
        <v>203</v>
      </c>
      <c r="WVI14" s="314" t="s">
        <v>203</v>
      </c>
      <c r="WVJ14" s="314" t="s">
        <v>203</v>
      </c>
      <c r="WVK14" s="314" t="s">
        <v>203</v>
      </c>
      <c r="WVL14" s="314" t="s">
        <v>203</v>
      </c>
      <c r="WVM14" s="314" t="s">
        <v>203</v>
      </c>
      <c r="WVN14" s="314" t="s">
        <v>203</v>
      </c>
      <c r="WVO14" s="314" t="s">
        <v>203</v>
      </c>
      <c r="WVP14" s="314" t="s">
        <v>203</v>
      </c>
      <c r="WVQ14" s="314" t="s">
        <v>203</v>
      </c>
      <c r="WVR14" s="314" t="s">
        <v>203</v>
      </c>
      <c r="WVS14" s="314" t="s">
        <v>203</v>
      </c>
      <c r="WVT14" s="314" t="s">
        <v>203</v>
      </c>
      <c r="WVU14" s="314" t="s">
        <v>203</v>
      </c>
      <c r="WVV14" s="314" t="s">
        <v>203</v>
      </c>
      <c r="WVW14" s="314" t="s">
        <v>203</v>
      </c>
      <c r="WVX14" s="314" t="s">
        <v>203</v>
      </c>
      <c r="WVY14" s="314" t="s">
        <v>203</v>
      </c>
      <c r="WVZ14" s="314" t="s">
        <v>203</v>
      </c>
      <c r="WWA14" s="314" t="s">
        <v>203</v>
      </c>
      <c r="WWB14" s="314" t="s">
        <v>203</v>
      </c>
      <c r="WWC14" s="314" t="s">
        <v>203</v>
      </c>
      <c r="WWD14" s="314" t="s">
        <v>203</v>
      </c>
      <c r="WWE14" s="314" t="s">
        <v>203</v>
      </c>
      <c r="WWF14" s="314" t="s">
        <v>203</v>
      </c>
      <c r="WWG14" s="314" t="s">
        <v>203</v>
      </c>
      <c r="WWH14" s="314" t="s">
        <v>203</v>
      </c>
      <c r="WWI14" s="314" t="s">
        <v>203</v>
      </c>
      <c r="WWJ14" s="314" t="s">
        <v>203</v>
      </c>
      <c r="WWK14" s="314" t="s">
        <v>203</v>
      </c>
      <c r="WWL14" s="314" t="s">
        <v>203</v>
      </c>
      <c r="WWM14" s="314" t="s">
        <v>203</v>
      </c>
      <c r="WWN14" s="314" t="s">
        <v>203</v>
      </c>
      <c r="WWO14" s="314" t="s">
        <v>203</v>
      </c>
      <c r="WWP14" s="314" t="s">
        <v>203</v>
      </c>
      <c r="WWQ14" s="314" t="s">
        <v>203</v>
      </c>
      <c r="WWR14" s="314" t="s">
        <v>203</v>
      </c>
      <c r="WWS14" s="314" t="s">
        <v>203</v>
      </c>
      <c r="WWT14" s="314" t="s">
        <v>203</v>
      </c>
      <c r="WWU14" s="314" t="s">
        <v>203</v>
      </c>
      <c r="WWV14" s="314" t="s">
        <v>203</v>
      </c>
      <c r="WWW14" s="314" t="s">
        <v>203</v>
      </c>
      <c r="WWX14" s="314" t="s">
        <v>203</v>
      </c>
      <c r="WWY14" s="314" t="s">
        <v>203</v>
      </c>
      <c r="WWZ14" s="314" t="s">
        <v>203</v>
      </c>
      <c r="WXA14" s="314" t="s">
        <v>203</v>
      </c>
      <c r="WXB14" s="314" t="s">
        <v>203</v>
      </c>
      <c r="WXC14" s="314" t="s">
        <v>203</v>
      </c>
      <c r="WXD14" s="314" t="s">
        <v>203</v>
      </c>
      <c r="WXE14" s="314" t="s">
        <v>203</v>
      </c>
      <c r="WXF14" s="314" t="s">
        <v>203</v>
      </c>
      <c r="WXG14" s="314" t="s">
        <v>203</v>
      </c>
      <c r="WXH14" s="314" t="s">
        <v>203</v>
      </c>
      <c r="WXI14" s="314" t="s">
        <v>203</v>
      </c>
      <c r="WXJ14" s="314" t="s">
        <v>203</v>
      </c>
      <c r="WXK14" s="314" t="s">
        <v>203</v>
      </c>
      <c r="WXL14" s="314" t="s">
        <v>203</v>
      </c>
      <c r="WXM14" s="314" t="s">
        <v>203</v>
      </c>
      <c r="WXN14" s="314" t="s">
        <v>203</v>
      </c>
      <c r="WXO14" s="314" t="s">
        <v>203</v>
      </c>
      <c r="WXP14" s="314" t="s">
        <v>203</v>
      </c>
      <c r="WXQ14" s="314" t="s">
        <v>203</v>
      </c>
      <c r="WXR14" s="314" t="s">
        <v>203</v>
      </c>
      <c r="WXS14" s="314" t="s">
        <v>203</v>
      </c>
      <c r="WXT14" s="314" t="s">
        <v>203</v>
      </c>
      <c r="WXU14" s="314" t="s">
        <v>203</v>
      </c>
      <c r="WXV14" s="314" t="s">
        <v>203</v>
      </c>
      <c r="WXW14" s="314" t="s">
        <v>203</v>
      </c>
      <c r="WXX14" s="314" t="s">
        <v>203</v>
      </c>
      <c r="WXY14" s="314" t="s">
        <v>203</v>
      </c>
      <c r="WXZ14" s="314" t="s">
        <v>203</v>
      </c>
      <c r="WYA14" s="314" t="s">
        <v>203</v>
      </c>
      <c r="WYB14" s="314" t="s">
        <v>203</v>
      </c>
      <c r="WYC14" s="314" t="s">
        <v>203</v>
      </c>
      <c r="WYD14" s="314" t="s">
        <v>203</v>
      </c>
      <c r="WYE14" s="314" t="s">
        <v>203</v>
      </c>
      <c r="WYF14" s="314" t="s">
        <v>203</v>
      </c>
      <c r="WYG14" s="314" t="s">
        <v>203</v>
      </c>
      <c r="WYH14" s="314" t="s">
        <v>203</v>
      </c>
      <c r="WYI14" s="314" t="s">
        <v>203</v>
      </c>
      <c r="WYJ14" s="314" t="s">
        <v>203</v>
      </c>
      <c r="WYK14" s="314" t="s">
        <v>203</v>
      </c>
      <c r="WYL14" s="314" t="s">
        <v>203</v>
      </c>
      <c r="WYM14" s="314" t="s">
        <v>203</v>
      </c>
      <c r="WYN14" s="314" t="s">
        <v>203</v>
      </c>
      <c r="WYO14" s="314" t="s">
        <v>203</v>
      </c>
      <c r="WYP14" s="314" t="s">
        <v>203</v>
      </c>
      <c r="WYQ14" s="314" t="s">
        <v>203</v>
      </c>
      <c r="WYR14" s="314" t="s">
        <v>203</v>
      </c>
      <c r="WYS14" s="314" t="s">
        <v>203</v>
      </c>
      <c r="WYT14" s="314" t="s">
        <v>203</v>
      </c>
      <c r="WYU14" s="314" t="s">
        <v>203</v>
      </c>
      <c r="WYV14" s="314" t="s">
        <v>203</v>
      </c>
      <c r="WYW14" s="314" t="s">
        <v>203</v>
      </c>
      <c r="WYX14" s="314" t="s">
        <v>203</v>
      </c>
      <c r="WYY14" s="314" t="s">
        <v>203</v>
      </c>
      <c r="WYZ14" s="314" t="s">
        <v>203</v>
      </c>
      <c r="WZA14" s="314" t="s">
        <v>203</v>
      </c>
      <c r="WZB14" s="314" t="s">
        <v>203</v>
      </c>
      <c r="WZC14" s="314" t="s">
        <v>203</v>
      </c>
      <c r="WZD14" s="314" t="s">
        <v>203</v>
      </c>
      <c r="WZE14" s="314" t="s">
        <v>203</v>
      </c>
      <c r="WZF14" s="314" t="s">
        <v>203</v>
      </c>
      <c r="WZG14" s="314" t="s">
        <v>203</v>
      </c>
      <c r="WZH14" s="314" t="s">
        <v>203</v>
      </c>
      <c r="WZI14" s="314" t="s">
        <v>203</v>
      </c>
      <c r="WZJ14" s="314" t="s">
        <v>203</v>
      </c>
      <c r="WZK14" s="314" t="s">
        <v>203</v>
      </c>
      <c r="WZL14" s="314" t="s">
        <v>203</v>
      </c>
      <c r="WZM14" s="314" t="s">
        <v>203</v>
      </c>
      <c r="WZN14" s="314" t="s">
        <v>203</v>
      </c>
      <c r="WZO14" s="314" t="s">
        <v>203</v>
      </c>
      <c r="WZP14" s="314" t="s">
        <v>203</v>
      </c>
      <c r="WZQ14" s="314" t="s">
        <v>203</v>
      </c>
      <c r="WZR14" s="314" t="s">
        <v>203</v>
      </c>
      <c r="WZS14" s="314" t="s">
        <v>203</v>
      </c>
      <c r="WZT14" s="314" t="s">
        <v>203</v>
      </c>
      <c r="WZU14" s="314" t="s">
        <v>203</v>
      </c>
      <c r="WZV14" s="314" t="s">
        <v>203</v>
      </c>
      <c r="WZW14" s="314" t="s">
        <v>203</v>
      </c>
      <c r="WZX14" s="314" t="s">
        <v>203</v>
      </c>
      <c r="WZY14" s="314" t="s">
        <v>203</v>
      </c>
      <c r="WZZ14" s="314" t="s">
        <v>203</v>
      </c>
      <c r="XAA14" s="314" t="s">
        <v>203</v>
      </c>
      <c r="XAB14" s="314" t="s">
        <v>203</v>
      </c>
      <c r="XAC14" s="314" t="s">
        <v>203</v>
      </c>
      <c r="XAD14" s="314" t="s">
        <v>203</v>
      </c>
      <c r="XAE14" s="314" t="s">
        <v>203</v>
      </c>
      <c r="XAF14" s="314" t="s">
        <v>203</v>
      </c>
      <c r="XAG14" s="314" t="s">
        <v>203</v>
      </c>
      <c r="XAH14" s="314" t="s">
        <v>203</v>
      </c>
      <c r="XAI14" s="314" t="s">
        <v>203</v>
      </c>
      <c r="XAJ14" s="314" t="s">
        <v>203</v>
      </c>
      <c r="XAK14" s="314" t="s">
        <v>203</v>
      </c>
      <c r="XAL14" s="314" t="s">
        <v>203</v>
      </c>
      <c r="XAM14" s="314" t="s">
        <v>203</v>
      </c>
      <c r="XAN14" s="314" t="s">
        <v>203</v>
      </c>
      <c r="XAO14" s="314" t="s">
        <v>203</v>
      </c>
      <c r="XAP14" s="314" t="s">
        <v>203</v>
      </c>
      <c r="XAQ14" s="314" t="s">
        <v>203</v>
      </c>
      <c r="XAR14" s="314" t="s">
        <v>203</v>
      </c>
      <c r="XAS14" s="314" t="s">
        <v>203</v>
      </c>
      <c r="XAT14" s="314" t="s">
        <v>203</v>
      </c>
      <c r="XAU14" s="314" t="s">
        <v>203</v>
      </c>
      <c r="XAV14" s="314" t="s">
        <v>203</v>
      </c>
      <c r="XAW14" s="314" t="s">
        <v>203</v>
      </c>
      <c r="XAX14" s="314" t="s">
        <v>203</v>
      </c>
      <c r="XAY14" s="314" t="s">
        <v>203</v>
      </c>
      <c r="XAZ14" s="314" t="s">
        <v>203</v>
      </c>
      <c r="XBA14" s="314" t="s">
        <v>203</v>
      </c>
      <c r="XBB14" s="314" t="s">
        <v>203</v>
      </c>
      <c r="XBC14" s="314" t="s">
        <v>203</v>
      </c>
      <c r="XBD14" s="314" t="s">
        <v>203</v>
      </c>
      <c r="XBE14" s="314" t="s">
        <v>203</v>
      </c>
      <c r="XBF14" s="314" t="s">
        <v>203</v>
      </c>
      <c r="XBG14" s="314" t="s">
        <v>203</v>
      </c>
      <c r="XBH14" s="314" t="s">
        <v>203</v>
      </c>
      <c r="XBI14" s="314" t="s">
        <v>203</v>
      </c>
      <c r="XBJ14" s="314" t="s">
        <v>203</v>
      </c>
      <c r="XBK14" s="314" t="s">
        <v>203</v>
      </c>
      <c r="XBL14" s="314" t="s">
        <v>203</v>
      </c>
      <c r="XBM14" s="314" t="s">
        <v>203</v>
      </c>
      <c r="XBN14" s="314" t="s">
        <v>203</v>
      </c>
      <c r="XBO14" s="314" t="s">
        <v>203</v>
      </c>
      <c r="XBP14" s="314" t="s">
        <v>203</v>
      </c>
      <c r="XBQ14" s="314" t="s">
        <v>203</v>
      </c>
      <c r="XBR14" s="314" t="s">
        <v>203</v>
      </c>
      <c r="XBS14" s="314" t="s">
        <v>203</v>
      </c>
      <c r="XBT14" s="314" t="s">
        <v>203</v>
      </c>
      <c r="XBU14" s="314" t="s">
        <v>203</v>
      </c>
      <c r="XBV14" s="314" t="s">
        <v>203</v>
      </c>
      <c r="XBW14" s="314" t="s">
        <v>203</v>
      </c>
      <c r="XBX14" s="314" t="s">
        <v>203</v>
      </c>
      <c r="XBY14" s="314" t="s">
        <v>203</v>
      </c>
      <c r="XBZ14" s="314" t="s">
        <v>203</v>
      </c>
      <c r="XCA14" s="314" t="s">
        <v>203</v>
      </c>
      <c r="XCB14" s="314" t="s">
        <v>203</v>
      </c>
      <c r="XCC14" s="314" t="s">
        <v>203</v>
      </c>
      <c r="XCD14" s="314" t="s">
        <v>203</v>
      </c>
      <c r="XCE14" s="314" t="s">
        <v>203</v>
      </c>
      <c r="XCF14" s="314" t="s">
        <v>203</v>
      </c>
      <c r="XCG14" s="314" t="s">
        <v>203</v>
      </c>
      <c r="XCH14" s="314" t="s">
        <v>203</v>
      </c>
      <c r="XCI14" s="314" t="s">
        <v>203</v>
      </c>
      <c r="XCJ14" s="314" t="s">
        <v>203</v>
      </c>
      <c r="XCK14" s="314" t="s">
        <v>203</v>
      </c>
      <c r="XCL14" s="314" t="s">
        <v>203</v>
      </c>
      <c r="XCM14" s="314" t="s">
        <v>203</v>
      </c>
      <c r="XCN14" s="314" t="s">
        <v>203</v>
      </c>
      <c r="XCO14" s="314" t="s">
        <v>203</v>
      </c>
      <c r="XCP14" s="314" t="s">
        <v>203</v>
      </c>
      <c r="XCQ14" s="314" t="s">
        <v>203</v>
      </c>
      <c r="XCR14" s="314" t="s">
        <v>203</v>
      </c>
      <c r="XCS14" s="314" t="s">
        <v>203</v>
      </c>
      <c r="XCT14" s="314" t="s">
        <v>203</v>
      </c>
      <c r="XCU14" s="314" t="s">
        <v>203</v>
      </c>
      <c r="XCV14" s="314" t="s">
        <v>203</v>
      </c>
      <c r="XCW14" s="314" t="s">
        <v>203</v>
      </c>
      <c r="XCX14" s="314" t="s">
        <v>203</v>
      </c>
      <c r="XCY14" s="314" t="s">
        <v>203</v>
      </c>
      <c r="XCZ14" s="314" t="s">
        <v>203</v>
      </c>
      <c r="XDA14" s="314" t="s">
        <v>203</v>
      </c>
      <c r="XDB14" s="314" t="s">
        <v>203</v>
      </c>
      <c r="XDC14" s="314" t="s">
        <v>203</v>
      </c>
      <c r="XDD14" s="314" t="s">
        <v>203</v>
      </c>
      <c r="XDE14" s="314" t="s">
        <v>203</v>
      </c>
      <c r="XDF14" s="314" t="s">
        <v>203</v>
      </c>
      <c r="XDG14" s="314" t="s">
        <v>203</v>
      </c>
      <c r="XDH14" s="314" t="s">
        <v>203</v>
      </c>
      <c r="XDI14" s="314" t="s">
        <v>203</v>
      </c>
      <c r="XDJ14" s="314" t="s">
        <v>203</v>
      </c>
      <c r="XDK14" s="314" t="s">
        <v>203</v>
      </c>
      <c r="XDL14" s="314" t="s">
        <v>203</v>
      </c>
      <c r="XDM14" s="314" t="s">
        <v>203</v>
      </c>
      <c r="XDN14" s="314" t="s">
        <v>203</v>
      </c>
      <c r="XDO14" s="314" t="s">
        <v>203</v>
      </c>
      <c r="XDP14" s="314" t="s">
        <v>203</v>
      </c>
      <c r="XDQ14" s="314" t="s">
        <v>203</v>
      </c>
      <c r="XDR14" s="314" t="s">
        <v>203</v>
      </c>
      <c r="XDS14" s="314" t="s">
        <v>203</v>
      </c>
      <c r="XDT14" s="314" t="s">
        <v>203</v>
      </c>
      <c r="XDU14" s="314" t="s">
        <v>203</v>
      </c>
      <c r="XDV14" s="314" t="s">
        <v>203</v>
      </c>
      <c r="XDW14" s="314" t="s">
        <v>203</v>
      </c>
      <c r="XDX14" s="314" t="s">
        <v>203</v>
      </c>
      <c r="XDY14" s="314" t="s">
        <v>203</v>
      </c>
      <c r="XDZ14" s="314" t="s">
        <v>203</v>
      </c>
      <c r="XEA14" s="314" t="s">
        <v>203</v>
      </c>
      <c r="XEB14" s="314" t="s">
        <v>203</v>
      </c>
      <c r="XEC14" s="314" t="s">
        <v>203</v>
      </c>
      <c r="XED14" s="314" t="s">
        <v>203</v>
      </c>
      <c r="XEE14" s="314" t="s">
        <v>203</v>
      </c>
      <c r="XEF14" s="314" t="s">
        <v>203</v>
      </c>
      <c r="XEG14" s="314" t="s">
        <v>203</v>
      </c>
      <c r="XEH14" s="314" t="s">
        <v>203</v>
      </c>
      <c r="XEI14" s="314" t="s">
        <v>203</v>
      </c>
      <c r="XEJ14" s="314" t="s">
        <v>203</v>
      </c>
      <c r="XEK14" s="314" t="s">
        <v>203</v>
      </c>
      <c r="XEL14" s="314" t="s">
        <v>203</v>
      </c>
      <c r="XEM14" s="314" t="s">
        <v>203</v>
      </c>
      <c r="XEN14" s="314" t="s">
        <v>203</v>
      </c>
      <c r="XEO14" s="314" t="s">
        <v>203</v>
      </c>
      <c r="XEP14" s="314" t="s">
        <v>203</v>
      </c>
      <c r="XEQ14" s="314" t="s">
        <v>203</v>
      </c>
      <c r="XER14" s="314" t="s">
        <v>203</v>
      </c>
      <c r="XES14" s="314" t="s">
        <v>203</v>
      </c>
      <c r="XET14" s="314" t="s">
        <v>203</v>
      </c>
      <c r="XEU14" s="314" t="s">
        <v>203</v>
      </c>
      <c r="XEV14" s="314" t="s">
        <v>203</v>
      </c>
      <c r="XEW14" s="314" t="s">
        <v>203</v>
      </c>
      <c r="XEX14" s="314" t="s">
        <v>203</v>
      </c>
      <c r="XEY14" s="314" t="s">
        <v>203</v>
      </c>
      <c r="XEZ14" s="314" t="s">
        <v>203</v>
      </c>
      <c r="XFA14" s="314" t="s">
        <v>203</v>
      </c>
      <c r="XFB14" s="314" t="s">
        <v>203</v>
      </c>
      <c r="XFC14" s="314" t="s">
        <v>203</v>
      </c>
      <c r="XFD14" s="314" t="s">
        <v>203</v>
      </c>
    </row>
    <row r="15" spans="1:16384" s="314" customFormat="1" ht="16.5" customHeight="1" x14ac:dyDescent="0.2">
      <c r="A15" s="606" t="s">
        <v>291</v>
      </c>
      <c r="B15" s="607">
        <v>45902</v>
      </c>
      <c r="C15" s="608"/>
      <c r="D15" s="608"/>
      <c r="E15" s="609"/>
      <c r="F15" s="609"/>
      <c r="G15" s="609"/>
      <c r="H15" s="607" t="s">
        <v>213</v>
      </c>
      <c r="I15" s="609" t="s">
        <v>47</v>
      </c>
      <c r="J15" s="610">
        <v>1518</v>
      </c>
      <c r="K15" s="610"/>
      <c r="L15" s="609"/>
      <c r="M15" s="611"/>
      <c r="N15" s="609"/>
      <c r="O15" s="610"/>
      <c r="P15" s="612"/>
      <c r="Q15" s="609"/>
      <c r="R15" s="610"/>
      <c r="S15" s="528"/>
      <c r="T15" s="528"/>
      <c r="U15" s="528">
        <v>607</v>
      </c>
      <c r="V15" s="674">
        <v>45952</v>
      </c>
      <c r="W15" s="528" t="s">
        <v>93</v>
      </c>
      <c r="X15" s="611"/>
      <c r="Y15" s="611">
        <v>677.22</v>
      </c>
      <c r="Z15" s="613" t="s">
        <v>292</v>
      </c>
      <c r="AA15" s="660"/>
      <c r="AB15" s="323"/>
      <c r="AC15" s="698"/>
      <c r="AD15" s="323" t="s">
        <v>318</v>
      </c>
      <c r="AE15" s="699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  <c r="AY15" s="323"/>
    </row>
    <row r="16" spans="1:16384" hidden="1" x14ac:dyDescent="0.25">
      <c r="A16" s="445" t="s">
        <v>205</v>
      </c>
      <c r="B16" s="546">
        <v>45793</v>
      </c>
      <c r="C16" s="547">
        <v>45612</v>
      </c>
      <c r="D16" s="547"/>
      <c r="E16" s="548"/>
      <c r="F16" s="548"/>
      <c r="G16" s="548"/>
      <c r="H16" s="558" t="s">
        <v>238</v>
      </c>
      <c r="I16" s="558" t="s">
        <v>206</v>
      </c>
      <c r="J16" s="552">
        <f>1758</f>
        <v>1758</v>
      </c>
      <c r="K16" s="552">
        <v>600</v>
      </c>
      <c r="L16" s="548"/>
      <c r="M16" s="556"/>
      <c r="N16" s="548"/>
      <c r="O16" s="556">
        <v>703.2</v>
      </c>
      <c r="P16" s="601"/>
      <c r="Q16" s="548"/>
      <c r="R16" s="556"/>
      <c r="S16" s="557"/>
      <c r="T16" s="557"/>
      <c r="U16" s="557">
        <v>703.2</v>
      </c>
      <c r="V16" s="675"/>
      <c r="W16" s="557"/>
      <c r="X16" s="556"/>
      <c r="Y16" s="556"/>
      <c r="Z16" s="558" t="s">
        <v>209</v>
      </c>
      <c r="AA16" s="289"/>
      <c r="AB16" s="319"/>
      <c r="AC16" s="700"/>
      <c r="AD16" s="319" t="s">
        <v>319</v>
      </c>
      <c r="AE16" s="701"/>
      <c r="AF16" s="319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</row>
    <row r="17" spans="1:31" s="319" customFormat="1" hidden="1" x14ac:dyDescent="0.25">
      <c r="A17" s="446" t="s">
        <v>167</v>
      </c>
      <c r="B17" s="573"/>
      <c r="C17" s="562">
        <v>45980</v>
      </c>
      <c r="D17" s="562"/>
      <c r="E17" s="563"/>
      <c r="F17" s="563"/>
      <c r="G17" s="563"/>
      <c r="H17" s="573" t="s">
        <v>120</v>
      </c>
      <c r="I17" s="573" t="s">
        <v>74</v>
      </c>
      <c r="J17" s="567">
        <v>1733.05</v>
      </c>
      <c r="K17" s="567"/>
      <c r="L17" s="563"/>
      <c r="M17" s="571"/>
      <c r="N17" s="563"/>
      <c r="O17" s="571">
        <v>693.22</v>
      </c>
      <c r="P17" s="602"/>
      <c r="Q17" s="563"/>
      <c r="R17" s="571"/>
      <c r="S17" s="572">
        <v>45</v>
      </c>
      <c r="T17" s="572">
        <v>45</v>
      </c>
      <c r="U17" s="572">
        <f>694-45</f>
        <v>649</v>
      </c>
      <c r="V17" s="676"/>
      <c r="W17" s="572"/>
      <c r="X17" s="571"/>
      <c r="Y17" s="571"/>
      <c r="Z17" s="573">
        <v>14760536698</v>
      </c>
      <c r="AA17" s="289"/>
      <c r="AC17" s="700"/>
      <c r="AE17" s="701"/>
    </row>
    <row r="18" spans="1:31" s="319" customFormat="1" ht="12" customHeight="1" x14ac:dyDescent="0.25">
      <c r="A18" s="446" t="s">
        <v>330</v>
      </c>
      <c r="B18" s="561">
        <v>45937</v>
      </c>
      <c r="C18" s="562"/>
      <c r="D18" s="562"/>
      <c r="E18" s="563"/>
      <c r="F18" s="563"/>
      <c r="G18" s="563"/>
      <c r="H18" s="573" t="s">
        <v>120</v>
      </c>
      <c r="I18" s="573" t="s">
        <v>78</v>
      </c>
      <c r="J18" s="567">
        <v>1733.05</v>
      </c>
      <c r="K18" s="567"/>
      <c r="L18" s="563"/>
      <c r="M18" s="571"/>
      <c r="N18" s="563"/>
      <c r="O18" s="571"/>
      <c r="P18" s="602"/>
      <c r="Q18" s="563"/>
      <c r="R18" s="571"/>
      <c r="S18" s="572"/>
      <c r="T18" s="572"/>
      <c r="U18" s="572">
        <v>694</v>
      </c>
      <c r="V18" s="676"/>
      <c r="W18" s="572"/>
      <c r="X18" s="571"/>
      <c r="Y18" s="571">
        <f>1733.05-103.98-694</f>
        <v>935.06999999999994</v>
      </c>
      <c r="Z18" s="691" t="s">
        <v>331</v>
      </c>
      <c r="AA18" s="289"/>
      <c r="AC18" s="700"/>
      <c r="AE18" s="701"/>
    </row>
    <row r="19" spans="1:31" hidden="1" x14ac:dyDescent="0.25">
      <c r="A19" s="678" t="s">
        <v>207</v>
      </c>
      <c r="B19" s="679">
        <v>45797</v>
      </c>
      <c r="C19" s="680">
        <v>45797</v>
      </c>
      <c r="D19" s="680"/>
      <c r="E19" s="681"/>
      <c r="F19" s="681"/>
      <c r="G19" s="682">
        <v>45943</v>
      </c>
      <c r="H19" s="683" t="s">
        <v>120</v>
      </c>
      <c r="I19" s="683" t="s">
        <v>234</v>
      </c>
      <c r="J19" s="684">
        <f>1733+694</f>
        <v>2427</v>
      </c>
      <c r="K19" s="684"/>
      <c r="L19" s="681"/>
      <c r="M19" s="685"/>
      <c r="N19" s="681"/>
      <c r="O19" s="685">
        <v>654</v>
      </c>
      <c r="P19" s="686"/>
      <c r="Q19" s="681"/>
      <c r="R19" s="685"/>
      <c r="S19" s="687"/>
      <c r="T19" s="690">
        <v>2.2999999999999998</v>
      </c>
      <c r="U19" s="687"/>
      <c r="V19" s="688"/>
      <c r="W19" s="687"/>
      <c r="X19" s="685"/>
      <c r="Y19" s="685"/>
      <c r="Z19" s="683">
        <v>10019082606</v>
      </c>
      <c r="AA19" s="689"/>
      <c r="AC19" s="702"/>
      <c r="AE19" s="703"/>
    </row>
    <row r="20" spans="1:31" ht="15.75" thickBot="1" x14ac:dyDescent="0.3">
      <c r="A20" s="446" t="s">
        <v>288</v>
      </c>
      <c r="B20" s="561"/>
      <c r="C20" s="562">
        <v>45901</v>
      </c>
      <c r="D20" s="562"/>
      <c r="E20" s="563"/>
      <c r="F20" s="563"/>
      <c r="G20" s="563"/>
      <c r="H20" s="573" t="s">
        <v>257</v>
      </c>
      <c r="I20" s="573" t="s">
        <v>206</v>
      </c>
      <c r="J20" s="567">
        <v>1758</v>
      </c>
      <c r="K20" s="567"/>
      <c r="L20" s="563"/>
      <c r="M20" s="571"/>
      <c r="N20" s="563"/>
      <c r="O20" s="571"/>
      <c r="P20" s="602"/>
      <c r="Q20" s="563"/>
      <c r="R20" s="571"/>
      <c r="S20" s="572"/>
      <c r="T20" s="572"/>
      <c r="U20" s="572">
        <v>694</v>
      </c>
      <c r="V20" s="676"/>
      <c r="W20" s="572"/>
      <c r="X20" s="571"/>
      <c r="Y20" s="571">
        <v>879.41</v>
      </c>
      <c r="Z20" s="604" t="s">
        <v>289</v>
      </c>
      <c r="AA20" s="25"/>
      <c r="AC20" s="704"/>
      <c r="AD20" s="705"/>
      <c r="AE20" s="706"/>
    </row>
    <row r="21" spans="1:31" x14ac:dyDescent="0.25">
      <c r="A21" s="447" t="s">
        <v>283</v>
      </c>
      <c r="B21" s="561">
        <v>45885</v>
      </c>
      <c r="C21" s="562">
        <v>45883</v>
      </c>
      <c r="D21" s="562"/>
      <c r="E21" s="563"/>
      <c r="F21" s="563"/>
      <c r="G21" s="563"/>
      <c r="H21" s="573" t="s">
        <v>282</v>
      </c>
      <c r="I21" s="573" t="s">
        <v>78</v>
      </c>
      <c r="J21" s="571">
        <v>1733.05</v>
      </c>
      <c r="K21" s="563"/>
      <c r="L21" s="563"/>
      <c r="M21" s="571"/>
      <c r="N21" s="563"/>
      <c r="O21" s="571"/>
      <c r="P21" s="602">
        <v>45905</v>
      </c>
      <c r="Q21" s="563"/>
      <c r="R21" s="563"/>
      <c r="S21" s="571"/>
      <c r="T21" s="571"/>
      <c r="U21" s="572">
        <v>694</v>
      </c>
      <c r="V21" s="676"/>
      <c r="W21" s="572"/>
      <c r="X21" s="571">
        <v>260</v>
      </c>
      <c r="Y21" s="571">
        <f>1733.05-103.98-694-77.98-260</f>
        <v>597.08999999999992</v>
      </c>
      <c r="Z21" s="573">
        <v>31986345542</v>
      </c>
      <c r="AA21" s="35"/>
    </row>
    <row r="22" spans="1:31" x14ac:dyDescent="0.25">
      <c r="A22" s="447" t="s">
        <v>334</v>
      </c>
      <c r="B22" s="561">
        <v>45948</v>
      </c>
      <c r="C22" s="562"/>
      <c r="D22" s="562"/>
      <c r="E22" s="563"/>
      <c r="F22" s="563"/>
      <c r="G22" s="563"/>
      <c r="H22" s="573" t="s">
        <v>282</v>
      </c>
      <c r="I22" s="573" t="s">
        <v>78</v>
      </c>
      <c r="J22" s="571">
        <v>1733.05</v>
      </c>
      <c r="K22" s="563"/>
      <c r="L22" s="563"/>
      <c r="M22" s="571"/>
      <c r="N22" s="563"/>
      <c r="O22" s="571"/>
      <c r="P22" s="602"/>
      <c r="Q22" s="563"/>
      <c r="R22" s="563"/>
      <c r="S22" s="571"/>
      <c r="T22" s="571"/>
      <c r="U22" s="572"/>
      <c r="V22" s="676"/>
      <c r="W22" s="572"/>
      <c r="X22" s="571"/>
      <c r="Y22" s="571">
        <v>705.93</v>
      </c>
      <c r="Z22" s="573">
        <v>15692200694</v>
      </c>
      <c r="AA22" s="35"/>
    </row>
    <row r="23" spans="1:31" x14ac:dyDescent="0.25">
      <c r="A23" s="603" t="s">
        <v>286</v>
      </c>
      <c r="B23" s="535">
        <v>45897</v>
      </c>
      <c r="C23" s="535">
        <v>45897</v>
      </c>
      <c r="D23" s="536"/>
      <c r="E23" s="537"/>
      <c r="F23" s="537"/>
      <c r="G23" s="537"/>
      <c r="H23" s="321" t="s">
        <v>285</v>
      </c>
      <c r="I23" s="321" t="s">
        <v>74</v>
      </c>
      <c r="J23" s="545">
        <v>1758</v>
      </c>
      <c r="K23" s="537"/>
      <c r="L23" s="537"/>
      <c r="M23" s="545"/>
      <c r="N23" s="537"/>
      <c r="O23" s="545"/>
      <c r="P23" s="600"/>
      <c r="Q23" s="537"/>
      <c r="R23" s="537"/>
      <c r="S23" s="537"/>
      <c r="T23" s="537"/>
      <c r="U23" s="545">
        <v>703.2</v>
      </c>
      <c r="V23" s="692">
        <v>45957</v>
      </c>
      <c r="W23" s="545" t="s">
        <v>93</v>
      </c>
      <c r="X23" s="545">
        <v>280</v>
      </c>
      <c r="Y23" s="545">
        <f>1758-105.48-703-58.6-57.13-58.6-280</f>
        <v>495.18999999999994</v>
      </c>
      <c r="Z23" s="321">
        <v>9987900125</v>
      </c>
      <c r="AA23" s="25"/>
    </row>
    <row r="24" spans="1:31" ht="25.5" customHeight="1" x14ac:dyDescent="0.25">
      <c r="A24" s="603" t="s">
        <v>299</v>
      </c>
      <c r="B24" s="535">
        <v>45913</v>
      </c>
      <c r="C24" s="535"/>
      <c r="D24" s="536"/>
      <c r="E24" s="537"/>
      <c r="F24" s="537"/>
      <c r="G24" s="537"/>
      <c r="H24" s="321" t="s">
        <v>104</v>
      </c>
      <c r="I24" s="321" t="s">
        <v>74</v>
      </c>
      <c r="J24" s="545">
        <v>1758</v>
      </c>
      <c r="K24" s="537"/>
      <c r="L24" s="537"/>
      <c r="M24" s="545"/>
      <c r="N24" s="537"/>
      <c r="O24" s="545"/>
      <c r="P24" s="600"/>
      <c r="Q24" s="537"/>
      <c r="R24" s="537"/>
      <c r="S24" s="537"/>
      <c r="T24" s="537"/>
      <c r="U24" s="545">
        <v>703.2</v>
      </c>
      <c r="V24" s="693" t="s">
        <v>335</v>
      </c>
      <c r="W24" s="545" t="s">
        <v>93</v>
      </c>
      <c r="X24" s="545"/>
      <c r="Y24" s="545">
        <v>405.66</v>
      </c>
      <c r="Z24" s="321" t="s">
        <v>300</v>
      </c>
      <c r="AA24" s="25"/>
    </row>
    <row r="25" spans="1:31" x14ac:dyDescent="0.25">
      <c r="A25" s="603" t="s">
        <v>309</v>
      </c>
      <c r="B25" s="535">
        <v>45923</v>
      </c>
      <c r="C25" s="535"/>
      <c r="D25" s="536"/>
      <c r="E25" s="537"/>
      <c r="F25" s="537"/>
      <c r="G25" s="537"/>
      <c r="H25" s="321" t="s">
        <v>310</v>
      </c>
      <c r="I25" s="321" t="s">
        <v>74</v>
      </c>
      <c r="J25" s="545">
        <v>1758</v>
      </c>
      <c r="K25" s="537"/>
      <c r="L25" s="537"/>
      <c r="M25" s="545"/>
      <c r="N25" s="537"/>
      <c r="O25" s="545"/>
      <c r="P25" s="600"/>
      <c r="Q25" s="537"/>
      <c r="R25" s="537"/>
      <c r="S25" s="537"/>
      <c r="T25" s="537">
        <v>430</v>
      </c>
      <c r="U25" s="545">
        <v>0</v>
      </c>
      <c r="V25" s="692"/>
      <c r="W25" s="545"/>
      <c r="X25" s="545"/>
      <c r="Y25" s="545">
        <v>949.32</v>
      </c>
      <c r="Z25" s="321">
        <v>17857955620</v>
      </c>
      <c r="AA25" s="25"/>
    </row>
    <row r="26" spans="1:31" x14ac:dyDescent="0.25">
      <c r="A26" s="603" t="s">
        <v>323</v>
      </c>
      <c r="B26" s="535">
        <v>45933</v>
      </c>
      <c r="C26" s="535"/>
      <c r="D26" s="536"/>
      <c r="E26" s="537"/>
      <c r="F26" s="537"/>
      <c r="G26" s="537"/>
      <c r="H26" s="321" t="s">
        <v>310</v>
      </c>
      <c r="I26" s="321" t="s">
        <v>74</v>
      </c>
      <c r="J26" s="545">
        <v>1758</v>
      </c>
      <c r="K26" s="537"/>
      <c r="L26" s="537"/>
      <c r="M26" s="545"/>
      <c r="N26" s="537"/>
      <c r="O26" s="545"/>
      <c r="P26" s="600"/>
      <c r="Q26" s="537"/>
      <c r="R26" s="537"/>
      <c r="S26" s="537"/>
      <c r="T26" s="537"/>
      <c r="U26" s="545">
        <v>703.2</v>
      </c>
      <c r="V26" s="692"/>
      <c r="W26" s="545"/>
      <c r="X26" s="545"/>
      <c r="Y26" s="545">
        <v>949.32</v>
      </c>
      <c r="Z26" s="321" t="s">
        <v>324</v>
      </c>
      <c r="AA26" s="25"/>
    </row>
    <row r="27" spans="1:31" x14ac:dyDescent="0.25">
      <c r="A27" s="603" t="s">
        <v>326</v>
      </c>
      <c r="B27" s="535">
        <v>45933</v>
      </c>
      <c r="C27" s="535"/>
      <c r="D27" s="536"/>
      <c r="E27" s="537"/>
      <c r="F27" s="537"/>
      <c r="G27" s="537"/>
      <c r="H27" s="321" t="s">
        <v>332</v>
      </c>
      <c r="I27" s="321" t="s">
        <v>74</v>
      </c>
      <c r="J27" s="545">
        <v>1758</v>
      </c>
      <c r="K27" s="537"/>
      <c r="L27" s="537"/>
      <c r="M27" s="545"/>
      <c r="N27" s="537"/>
      <c r="O27" s="545"/>
      <c r="P27" s="600"/>
      <c r="Q27" s="537"/>
      <c r="R27" s="537"/>
      <c r="S27" s="537"/>
      <c r="T27" s="537"/>
      <c r="U27" s="545">
        <v>703.2</v>
      </c>
      <c r="V27" s="692"/>
      <c r="W27" s="545"/>
      <c r="X27" s="545">
        <v>130</v>
      </c>
      <c r="Y27" s="545">
        <f>1758/31*28-103.98-703.2-130</f>
        <v>650.69096774193554</v>
      </c>
      <c r="Z27" s="321">
        <v>15455857681</v>
      </c>
      <c r="AA27" s="25"/>
      <c r="AC27">
        <f>1247.61*6%</f>
        <v>74.856599999999986</v>
      </c>
    </row>
    <row r="28" spans="1:31" x14ac:dyDescent="0.25">
      <c r="A28" s="603" t="s">
        <v>327</v>
      </c>
      <c r="B28" s="535">
        <v>45939</v>
      </c>
      <c r="C28" s="535"/>
      <c r="D28" s="536"/>
      <c r="E28" s="537"/>
      <c r="F28" s="537"/>
      <c r="G28" s="537"/>
      <c r="H28" s="321" t="s">
        <v>310</v>
      </c>
      <c r="I28" s="321" t="s">
        <v>74</v>
      </c>
      <c r="J28" s="545">
        <v>1758</v>
      </c>
      <c r="K28" s="537"/>
      <c r="L28" s="537"/>
      <c r="M28" s="545"/>
      <c r="N28" s="537"/>
      <c r="O28" s="545"/>
      <c r="P28" s="600"/>
      <c r="Q28" s="537"/>
      <c r="R28" s="537"/>
      <c r="S28" s="537"/>
      <c r="T28" s="537"/>
      <c r="U28" s="545">
        <f>1758/30*11</f>
        <v>644.6</v>
      </c>
      <c r="V28" s="692">
        <v>45958</v>
      </c>
      <c r="W28" s="545" t="s">
        <v>93</v>
      </c>
      <c r="X28" s="545"/>
      <c r="Y28" s="545">
        <f>1758/31*22-74.86-644.6</f>
        <v>528.15290322580665</v>
      </c>
      <c r="Z28" s="321">
        <v>31984685417</v>
      </c>
      <c r="AA28" s="25"/>
    </row>
    <row r="29" spans="1:31" x14ac:dyDescent="0.25">
      <c r="A29" s="603" t="s">
        <v>232</v>
      </c>
      <c r="B29" s="535"/>
      <c r="C29" s="535"/>
      <c r="D29" s="536"/>
      <c r="E29" s="537"/>
      <c r="F29" s="537"/>
      <c r="G29" s="537"/>
      <c r="H29" s="321" t="s">
        <v>339</v>
      </c>
      <c r="I29" s="321" t="s">
        <v>221</v>
      </c>
      <c r="J29" s="545">
        <v>4000</v>
      </c>
      <c r="K29" s="537"/>
      <c r="L29" s="537"/>
      <c r="M29" s="545"/>
      <c r="N29" s="537"/>
      <c r="O29" s="545"/>
      <c r="P29" s="600"/>
      <c r="Q29" s="537"/>
      <c r="R29" s="537"/>
      <c r="S29" s="537"/>
      <c r="T29" s="537"/>
      <c r="U29" s="545"/>
      <c r="V29" s="692"/>
      <c r="W29" s="545"/>
      <c r="X29" s="545"/>
      <c r="Y29" s="545">
        <v>1000</v>
      </c>
      <c r="Z29" s="321"/>
      <c r="AA29" s="25"/>
    </row>
    <row r="30" spans="1:31" x14ac:dyDescent="0.25">
      <c r="A30" s="603" t="s">
        <v>338</v>
      </c>
      <c r="B30" s="535"/>
      <c r="C30" s="535"/>
      <c r="D30" s="536"/>
      <c r="E30" s="537"/>
      <c r="F30" s="537"/>
      <c r="G30" s="537"/>
      <c r="H30" s="321" t="s">
        <v>96</v>
      </c>
      <c r="I30" s="321" t="s">
        <v>222</v>
      </c>
      <c r="J30" s="545">
        <v>2400</v>
      </c>
      <c r="K30" s="537"/>
      <c r="L30" s="537"/>
      <c r="M30" s="545"/>
      <c r="N30" s="537"/>
      <c r="O30" s="545"/>
      <c r="P30" s="600"/>
      <c r="Q30" s="537"/>
      <c r="R30" s="537"/>
      <c r="S30" s="537"/>
      <c r="T30" s="537"/>
      <c r="U30" s="545"/>
      <c r="V30" s="692"/>
      <c r="W30" s="545"/>
      <c r="X30" s="545"/>
      <c r="Y30" s="545">
        <v>2400</v>
      </c>
      <c r="Z30" s="321"/>
      <c r="AA30" s="25"/>
    </row>
    <row r="31" spans="1:31" x14ac:dyDescent="0.25">
      <c r="A31" s="782" t="s">
        <v>275</v>
      </c>
      <c r="B31" s="783"/>
      <c r="C31" s="783"/>
      <c r="D31" s="783"/>
      <c r="E31" s="783"/>
      <c r="F31" s="783"/>
      <c r="G31" s="783"/>
      <c r="H31" s="783"/>
      <c r="I31" s="783"/>
      <c r="J31" s="783"/>
      <c r="K31" s="783"/>
      <c r="L31" s="783"/>
      <c r="M31" s="784"/>
      <c r="N31" s="25"/>
      <c r="O31" s="186">
        <v>13181.6</v>
      </c>
      <c r="P31" s="438"/>
      <c r="Q31" s="25"/>
      <c r="R31" s="381"/>
      <c r="S31" s="381"/>
      <c r="T31" s="381"/>
      <c r="U31" s="380">
        <v>16559</v>
      </c>
      <c r="V31" s="694"/>
      <c r="W31" s="380"/>
      <c r="X31" s="380"/>
      <c r="Y31" s="380">
        <v>22710</v>
      </c>
      <c r="Z31" s="208"/>
      <c r="AA31" s="25"/>
    </row>
    <row r="33" spans="26:27" x14ac:dyDescent="0.25">
      <c r="Z33" s="616"/>
    </row>
    <row r="35" spans="26:27" x14ac:dyDescent="0.25">
      <c r="AA35" s="272"/>
    </row>
  </sheetData>
  <autoFilter ref="H1:H31" xr:uid="{6A25047E-EEC9-4EB5-8E39-790574A310E0}"/>
  <mergeCells count="2">
    <mergeCell ref="A1:Z1"/>
    <mergeCell ref="A31:M31"/>
  </mergeCells>
  <hyperlinks>
    <hyperlink ref="Z20" r:id="rId1" xr:uid="{288BD31F-6880-4C56-A1EA-778B9D345A19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43A2-85FD-40F5-A536-C83258D4833A}">
  <dimension ref="A1:XFA36"/>
  <sheetViews>
    <sheetView topLeftCell="A2" workbookViewId="0">
      <selection activeCell="V17" sqref="V17"/>
    </sheetView>
  </sheetViews>
  <sheetFormatPr defaultRowHeight="15" x14ac:dyDescent="0.25"/>
  <cols>
    <col min="1" max="1" width="23.42578125" customWidth="1"/>
    <col min="2" max="2" width="9.85546875" customWidth="1"/>
    <col min="3" max="3" width="9.85546875" hidden="1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1.5703125" hidden="1" customWidth="1"/>
    <col min="8" max="8" width="21" hidden="1" customWidth="1"/>
    <col min="9" max="9" width="16.140625" customWidth="1"/>
    <col min="10" max="10" width="13.42578125" customWidth="1"/>
    <col min="11" max="11" width="14.5703125" hidden="1" customWidth="1"/>
    <col min="12" max="12" width="9.140625" hidden="1" customWidth="1"/>
    <col min="13" max="13" width="15.7109375" customWidth="1"/>
    <col min="14" max="14" width="9.140625" customWidth="1"/>
    <col min="15" max="15" width="14.42578125" customWidth="1"/>
    <col min="16" max="16" width="13" customWidth="1"/>
    <col min="17" max="17" width="11" customWidth="1"/>
    <col min="18" max="18" width="16.140625" style="27" customWidth="1"/>
    <col min="19" max="19" width="16.5703125" customWidth="1"/>
    <col min="20" max="20" width="3.42578125" customWidth="1"/>
    <col min="21" max="22" width="15" customWidth="1"/>
    <col min="23" max="23" width="40.42578125" bestFit="1" customWidth="1"/>
    <col min="24" max="24" width="6.5703125" customWidth="1"/>
  </cols>
  <sheetData>
    <row r="1" spans="1:16381" ht="24" hidden="1" customHeight="1" x14ac:dyDescent="0.4">
      <c r="A1" s="709" t="s">
        <v>98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</row>
    <row r="2" spans="1:16381" x14ac:dyDescent="0.25">
      <c r="A2" s="439" t="s">
        <v>347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328</v>
      </c>
      <c r="H2" s="439" t="s">
        <v>6</v>
      </c>
      <c r="I2" s="439" t="s">
        <v>7</v>
      </c>
      <c r="J2" s="441" t="s">
        <v>8</v>
      </c>
      <c r="K2" s="441" t="s">
        <v>92</v>
      </c>
      <c r="L2" s="439" t="s">
        <v>10</v>
      </c>
      <c r="M2" s="439" t="s">
        <v>99</v>
      </c>
      <c r="N2" s="439" t="s">
        <v>12</v>
      </c>
      <c r="O2" s="439" t="s">
        <v>13</v>
      </c>
      <c r="P2" s="439" t="s">
        <v>99</v>
      </c>
      <c r="Q2" s="439" t="s">
        <v>20</v>
      </c>
      <c r="R2" s="708" t="s">
        <v>297</v>
      </c>
      <c r="S2" s="439" t="s">
        <v>312</v>
      </c>
      <c r="T2" s="439" t="s">
        <v>313</v>
      </c>
      <c r="U2" s="439" t="s">
        <v>101</v>
      </c>
      <c r="V2" s="439" t="s">
        <v>337</v>
      </c>
      <c r="W2" s="439" t="s">
        <v>22</v>
      </c>
    </row>
    <row r="3" spans="1:16381" x14ac:dyDescent="0.25">
      <c r="A3" s="444" t="s">
        <v>38</v>
      </c>
      <c r="B3" s="448"/>
      <c r="C3" s="448">
        <v>45632</v>
      </c>
      <c r="D3" s="448"/>
      <c r="E3" s="449"/>
      <c r="F3" s="450"/>
      <c r="G3" s="450"/>
      <c r="H3" s="458" t="s">
        <v>35</v>
      </c>
      <c r="I3" s="458" t="s">
        <v>25</v>
      </c>
      <c r="J3" s="460">
        <v>1733.05</v>
      </c>
      <c r="K3" s="449"/>
      <c r="L3" s="449"/>
      <c r="M3" s="463">
        <v>75</v>
      </c>
      <c r="N3" s="449"/>
      <c r="O3" s="449">
        <f>1733.05*40%</f>
        <v>693.22</v>
      </c>
      <c r="P3" s="449"/>
      <c r="Q3" s="449"/>
      <c r="R3" s="449">
        <v>694</v>
      </c>
      <c r="S3" s="661"/>
      <c r="T3" s="449"/>
      <c r="U3" s="449">
        <v>50</v>
      </c>
      <c r="V3" s="449">
        <v>802</v>
      </c>
      <c r="W3" s="458">
        <v>31981052930</v>
      </c>
      <c r="X3" s="25"/>
    </row>
    <row r="4" spans="1:16381" x14ac:dyDescent="0.25">
      <c r="A4" s="444" t="s">
        <v>39</v>
      </c>
      <c r="B4" s="448">
        <v>45293</v>
      </c>
      <c r="C4" s="448">
        <v>45170</v>
      </c>
      <c r="D4" s="448"/>
      <c r="E4" s="449"/>
      <c r="F4" s="458"/>
      <c r="G4" s="458"/>
      <c r="H4" s="458" t="s">
        <v>35</v>
      </c>
      <c r="I4" s="458" t="s">
        <v>25</v>
      </c>
      <c r="J4" s="460">
        <v>1733.05</v>
      </c>
      <c r="K4" s="449"/>
      <c r="L4" s="449"/>
      <c r="M4" s="449"/>
      <c r="N4" s="449"/>
      <c r="O4" s="449">
        <v>693.22</v>
      </c>
      <c r="P4" s="449"/>
      <c r="Q4" s="449"/>
      <c r="R4" s="449">
        <v>694</v>
      </c>
      <c r="S4" s="661"/>
      <c r="T4" s="449"/>
      <c r="U4" s="449"/>
      <c r="V4" s="449">
        <v>935.07</v>
      </c>
      <c r="W4" s="458" t="s">
        <v>40</v>
      </c>
      <c r="X4" s="25"/>
    </row>
    <row r="5" spans="1:16381" x14ac:dyDescent="0.25">
      <c r="A5" s="444" t="s">
        <v>225</v>
      </c>
      <c r="B5" s="450">
        <v>45808</v>
      </c>
      <c r="C5" s="448">
        <v>45826</v>
      </c>
      <c r="D5" s="448"/>
      <c r="E5" s="459"/>
      <c r="F5" s="459"/>
      <c r="G5" s="459"/>
      <c r="H5" s="458" t="s">
        <v>230</v>
      </c>
      <c r="I5" s="458" t="s">
        <v>47</v>
      </c>
      <c r="J5" s="460">
        <v>1733.05</v>
      </c>
      <c r="K5" s="460"/>
      <c r="L5" s="459"/>
      <c r="M5" s="463"/>
      <c r="N5" s="459"/>
      <c r="O5" s="463">
        <v>693.22</v>
      </c>
      <c r="P5" s="463">
        <v>250</v>
      </c>
      <c r="Q5" s="449"/>
      <c r="R5" s="449">
        <v>694</v>
      </c>
      <c r="S5" s="661"/>
      <c r="T5" s="449"/>
      <c r="U5" s="463"/>
      <c r="V5" s="449">
        <v>803</v>
      </c>
      <c r="W5" s="458">
        <v>14983169644</v>
      </c>
      <c r="X5" s="25"/>
    </row>
    <row r="6" spans="1:16381" x14ac:dyDescent="0.25">
      <c r="A6" s="664" t="s">
        <v>322</v>
      </c>
      <c r="B6" s="665">
        <v>45916</v>
      </c>
      <c r="C6" s="665"/>
      <c r="D6" s="665"/>
      <c r="E6" s="666"/>
      <c r="F6" s="667"/>
      <c r="G6" s="667"/>
      <c r="H6" s="668" t="s">
        <v>321</v>
      </c>
      <c r="I6" s="668"/>
      <c r="J6" s="669">
        <v>1758</v>
      </c>
      <c r="K6" s="666"/>
      <c r="L6" s="666"/>
      <c r="M6" s="666"/>
      <c r="N6" s="666"/>
      <c r="O6" s="666"/>
      <c r="P6" s="666"/>
      <c r="Q6" s="666">
        <v>150</v>
      </c>
      <c r="R6" s="666">
        <v>704</v>
      </c>
      <c r="S6" s="672"/>
      <c r="T6" s="666"/>
      <c r="U6" s="666"/>
      <c r="V6" s="666">
        <v>878</v>
      </c>
      <c r="W6" s="668">
        <v>31975693078</v>
      </c>
      <c r="X6" s="25"/>
    </row>
    <row r="7" spans="1:16381" x14ac:dyDescent="0.25">
      <c r="A7" s="464" t="s">
        <v>53</v>
      </c>
      <c r="B7" s="465"/>
      <c r="C7" s="465">
        <v>45527</v>
      </c>
      <c r="D7" s="465"/>
      <c r="E7" s="466"/>
      <c r="F7" s="260"/>
      <c r="G7" s="260"/>
      <c r="H7" s="260" t="s">
        <v>105</v>
      </c>
      <c r="I7" s="260" t="s">
        <v>107</v>
      </c>
      <c r="J7" s="594">
        <v>1548</v>
      </c>
      <c r="K7" s="471"/>
      <c r="L7" s="466"/>
      <c r="M7" s="466"/>
      <c r="N7" s="466"/>
      <c r="O7" s="466">
        <v>693.22</v>
      </c>
      <c r="P7" s="466"/>
      <c r="Q7" s="475"/>
      <c r="R7" s="475">
        <v>627</v>
      </c>
      <c r="S7" s="662"/>
      <c r="T7" s="475"/>
      <c r="U7" s="466"/>
      <c r="V7" s="475">
        <v>813</v>
      </c>
      <c r="W7" s="260">
        <v>31983640606</v>
      </c>
      <c r="X7" s="25"/>
      <c r="Z7">
        <f>1518*6%</f>
        <v>91.08</v>
      </c>
    </row>
    <row r="8" spans="1:16381" s="331" customFormat="1" x14ac:dyDescent="0.25">
      <c r="A8" s="344" t="s">
        <v>89</v>
      </c>
      <c r="B8" s="476">
        <v>45663</v>
      </c>
      <c r="C8" s="476">
        <v>45663</v>
      </c>
      <c r="D8" s="476"/>
      <c r="E8" s="477"/>
      <c r="F8" s="478"/>
      <c r="G8" s="478"/>
      <c r="H8" s="346" t="s">
        <v>96</v>
      </c>
      <c r="I8" s="346" t="s">
        <v>25</v>
      </c>
      <c r="J8" s="499">
        <v>3000</v>
      </c>
      <c r="K8" s="477"/>
      <c r="L8" s="477"/>
      <c r="M8" s="475">
        <v>413.8</v>
      </c>
      <c r="N8" s="477"/>
      <c r="O8" s="475">
        <v>1000</v>
      </c>
      <c r="P8" s="477">
        <v>50</v>
      </c>
      <c r="Q8" s="475">
        <v>70</v>
      </c>
      <c r="R8" s="475">
        <v>930</v>
      </c>
      <c r="S8" s="662"/>
      <c r="T8" s="475"/>
      <c r="U8" s="475"/>
      <c r="V8" s="475">
        <v>1000</v>
      </c>
      <c r="W8" s="485">
        <v>13196831698</v>
      </c>
      <c r="X8" s="361"/>
    </row>
    <row r="9" spans="1:16381" x14ac:dyDescent="0.25">
      <c r="A9" s="486" t="s">
        <v>166</v>
      </c>
      <c r="B9" s="487"/>
      <c r="C9" s="476">
        <v>45628</v>
      </c>
      <c r="D9" s="487"/>
      <c r="E9" s="488"/>
      <c r="F9" s="488"/>
      <c r="G9" s="488"/>
      <c r="H9" s="487" t="s">
        <v>96</v>
      </c>
      <c r="I9" s="488" t="s">
        <v>170</v>
      </c>
      <c r="J9" s="499">
        <v>2550</v>
      </c>
      <c r="K9" s="488"/>
      <c r="L9" s="488"/>
      <c r="M9" s="477">
        <v>60</v>
      </c>
      <c r="N9" s="488"/>
      <c r="O9" s="477">
        <v>400</v>
      </c>
      <c r="P9" s="477">
        <v>60</v>
      </c>
      <c r="Q9" s="475"/>
      <c r="R9" s="475">
        <v>300</v>
      </c>
      <c r="S9" s="662"/>
      <c r="T9" s="475"/>
      <c r="U9" s="477"/>
      <c r="V9" s="498">
        <v>2250</v>
      </c>
      <c r="W9" s="346">
        <v>31991288601</v>
      </c>
      <c r="X9" s="25"/>
    </row>
    <row r="10" spans="1:16381" ht="14.25" customHeight="1" x14ac:dyDescent="0.25">
      <c r="A10" s="501" t="s">
        <v>168</v>
      </c>
      <c r="B10" s="502"/>
      <c r="C10" s="503">
        <v>45723</v>
      </c>
      <c r="D10" s="503"/>
      <c r="E10" s="504"/>
      <c r="F10" s="504"/>
      <c r="G10" s="504"/>
      <c r="H10" s="502" t="s">
        <v>236</v>
      </c>
      <c r="I10" s="502" t="s">
        <v>74</v>
      </c>
      <c r="J10" s="508">
        <v>1758</v>
      </c>
      <c r="K10" s="508"/>
      <c r="L10" s="504"/>
      <c r="M10" s="512"/>
      <c r="N10" s="504"/>
      <c r="O10" s="512">
        <v>704</v>
      </c>
      <c r="P10" s="512"/>
      <c r="Q10" s="513">
        <v>15</v>
      </c>
      <c r="R10" s="513">
        <v>703.2</v>
      </c>
      <c r="S10" s="673"/>
      <c r="T10" s="513"/>
      <c r="U10" s="512"/>
      <c r="V10" s="512">
        <v>837.42</v>
      </c>
      <c r="W10" s="502">
        <v>70278968694</v>
      </c>
      <c r="X10" s="25"/>
    </row>
    <row r="11" spans="1:16381" ht="15.75" thickBot="1" x14ac:dyDescent="0.3">
      <c r="A11" s="443" t="s">
        <v>233</v>
      </c>
      <c r="B11" s="514">
        <v>45818</v>
      </c>
      <c r="C11" s="514">
        <v>45840</v>
      </c>
      <c r="D11" s="503">
        <v>45930</v>
      </c>
      <c r="E11" s="502"/>
      <c r="F11" s="502"/>
      <c r="G11" s="502"/>
      <c r="H11" s="514" t="s">
        <v>104</v>
      </c>
      <c r="I11" s="502" t="s">
        <v>47</v>
      </c>
      <c r="J11" s="508">
        <v>1758</v>
      </c>
      <c r="K11" s="508"/>
      <c r="L11" s="504"/>
      <c r="M11" s="512"/>
      <c r="N11" s="513"/>
      <c r="O11" s="512">
        <v>704</v>
      </c>
      <c r="P11" s="512"/>
      <c r="Q11" s="513"/>
      <c r="R11" s="513">
        <v>703.2</v>
      </c>
      <c r="S11" s="673">
        <v>45987</v>
      </c>
      <c r="T11" s="513" t="s">
        <v>93</v>
      </c>
      <c r="U11" s="512"/>
      <c r="V11" s="512">
        <v>762</v>
      </c>
      <c r="W11" s="502">
        <v>15825441662</v>
      </c>
      <c r="X11" s="25"/>
    </row>
    <row r="12" spans="1:16381" x14ac:dyDescent="0.25">
      <c r="A12" s="518" t="s">
        <v>203</v>
      </c>
      <c r="B12" s="519"/>
      <c r="C12" s="520">
        <v>45743</v>
      </c>
      <c r="D12" s="519"/>
      <c r="E12" s="519"/>
      <c r="F12" s="519"/>
      <c r="G12" s="519"/>
      <c r="H12" s="519" t="s">
        <v>213</v>
      </c>
      <c r="I12" s="519" t="s">
        <v>78</v>
      </c>
      <c r="J12" s="598">
        <v>1518</v>
      </c>
      <c r="K12" s="519">
        <v>200</v>
      </c>
      <c r="L12" s="519"/>
      <c r="M12" s="528"/>
      <c r="N12" s="519"/>
      <c r="O12" s="534">
        <v>607</v>
      </c>
      <c r="P12" s="528"/>
      <c r="Q12" s="528"/>
      <c r="R12" s="528">
        <v>607</v>
      </c>
      <c r="S12" s="674"/>
      <c r="T12" s="528"/>
      <c r="U12" s="528"/>
      <c r="V12" s="528">
        <v>819.92</v>
      </c>
      <c r="W12" s="529">
        <v>31991443051</v>
      </c>
      <c r="X12" s="659"/>
      <c r="Z12" s="695"/>
      <c r="AA12" s="696"/>
      <c r="AB12" s="697"/>
    </row>
    <row r="13" spans="1:16381" s="314" customFormat="1" ht="12.75" x14ac:dyDescent="0.2">
      <c r="A13" s="518" t="s">
        <v>249</v>
      </c>
      <c r="B13" s="520">
        <v>45840</v>
      </c>
      <c r="C13" s="584">
        <v>45839</v>
      </c>
      <c r="D13" s="584"/>
      <c r="E13" s="519"/>
      <c r="F13" s="519"/>
      <c r="G13" s="519"/>
      <c r="H13" s="520" t="s">
        <v>213</v>
      </c>
      <c r="I13" s="519" t="s">
        <v>250</v>
      </c>
      <c r="J13" s="528">
        <v>1518</v>
      </c>
      <c r="K13" s="528"/>
      <c r="L13" s="519"/>
      <c r="M13" s="534"/>
      <c r="N13" s="519">
        <v>100</v>
      </c>
      <c r="O13" s="528">
        <v>607</v>
      </c>
      <c r="P13" s="528"/>
      <c r="Q13" s="528"/>
      <c r="R13" s="528">
        <v>607</v>
      </c>
      <c r="S13" s="674"/>
      <c r="T13" s="528"/>
      <c r="U13" s="534"/>
      <c r="V13" s="534">
        <v>819.92</v>
      </c>
      <c r="W13" s="519">
        <v>31983923994</v>
      </c>
      <c r="X13" s="660"/>
      <c r="Y13" s="323"/>
      <c r="Z13" s="698"/>
      <c r="AA13" s="323" t="s">
        <v>317</v>
      </c>
      <c r="AB13" s="699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  <c r="AQ13" s="323"/>
      <c r="AR13" s="323"/>
      <c r="AS13" s="323"/>
      <c r="AT13" s="323"/>
      <c r="AU13" s="323"/>
      <c r="AV13" s="323"/>
      <c r="BM13" s="314" t="s">
        <v>203</v>
      </c>
      <c r="BN13" s="314" t="s">
        <v>203</v>
      </c>
      <c r="BO13" s="314" t="s">
        <v>203</v>
      </c>
      <c r="BP13" s="314" t="s">
        <v>203</v>
      </c>
      <c r="BQ13" s="314" t="s">
        <v>203</v>
      </c>
      <c r="BR13" s="314" t="s">
        <v>203</v>
      </c>
      <c r="BS13" s="314" t="s">
        <v>203</v>
      </c>
      <c r="BT13" s="314" t="s">
        <v>203</v>
      </c>
      <c r="BU13" s="314" t="s">
        <v>203</v>
      </c>
      <c r="BV13" s="314" t="s">
        <v>203</v>
      </c>
      <c r="BW13" s="314" t="s">
        <v>203</v>
      </c>
      <c r="BX13" s="314" t="s">
        <v>203</v>
      </c>
      <c r="BY13" s="314" t="s">
        <v>203</v>
      </c>
      <c r="BZ13" s="314" t="s">
        <v>203</v>
      </c>
      <c r="CA13" s="314" t="s">
        <v>203</v>
      </c>
      <c r="CB13" s="314" t="s">
        <v>203</v>
      </c>
      <c r="CC13" s="314" t="s">
        <v>203</v>
      </c>
      <c r="CD13" s="314" t="s">
        <v>203</v>
      </c>
      <c r="CE13" s="314" t="s">
        <v>203</v>
      </c>
      <c r="CF13" s="314" t="s">
        <v>203</v>
      </c>
      <c r="CG13" s="314" t="s">
        <v>203</v>
      </c>
      <c r="CH13" s="314" t="s">
        <v>203</v>
      </c>
      <c r="CI13" s="314" t="s">
        <v>203</v>
      </c>
      <c r="CJ13" s="314" t="s">
        <v>203</v>
      </c>
      <c r="CK13" s="314" t="s">
        <v>203</v>
      </c>
      <c r="CL13" s="314" t="s">
        <v>203</v>
      </c>
      <c r="CM13" s="314" t="s">
        <v>203</v>
      </c>
      <c r="CN13" s="314" t="s">
        <v>203</v>
      </c>
      <c r="CO13" s="314" t="s">
        <v>203</v>
      </c>
      <c r="CP13" s="314" t="s">
        <v>203</v>
      </c>
      <c r="CQ13" s="314" t="s">
        <v>203</v>
      </c>
      <c r="CR13" s="314" t="s">
        <v>203</v>
      </c>
      <c r="CS13" s="314" t="s">
        <v>203</v>
      </c>
      <c r="CT13" s="314" t="s">
        <v>203</v>
      </c>
      <c r="CU13" s="314" t="s">
        <v>203</v>
      </c>
      <c r="CV13" s="314" t="s">
        <v>203</v>
      </c>
      <c r="CW13" s="314" t="s">
        <v>203</v>
      </c>
      <c r="CX13" s="314" t="s">
        <v>203</v>
      </c>
      <c r="CY13" s="314" t="s">
        <v>203</v>
      </c>
      <c r="CZ13" s="314" t="s">
        <v>203</v>
      </c>
      <c r="DA13" s="314" t="s">
        <v>203</v>
      </c>
      <c r="DB13" s="314" t="s">
        <v>203</v>
      </c>
      <c r="DC13" s="314" t="s">
        <v>203</v>
      </c>
      <c r="DD13" s="314" t="s">
        <v>203</v>
      </c>
      <c r="DE13" s="314" t="s">
        <v>203</v>
      </c>
      <c r="DF13" s="314" t="s">
        <v>203</v>
      </c>
      <c r="DG13" s="314" t="s">
        <v>203</v>
      </c>
      <c r="DH13" s="314" t="s">
        <v>203</v>
      </c>
      <c r="DI13" s="314" t="s">
        <v>203</v>
      </c>
      <c r="DJ13" s="314" t="s">
        <v>203</v>
      </c>
      <c r="DK13" s="314" t="s">
        <v>203</v>
      </c>
      <c r="DL13" s="314" t="s">
        <v>203</v>
      </c>
      <c r="DM13" s="314" t="s">
        <v>203</v>
      </c>
      <c r="DN13" s="314" t="s">
        <v>203</v>
      </c>
      <c r="DO13" s="314" t="s">
        <v>203</v>
      </c>
      <c r="DP13" s="314" t="s">
        <v>203</v>
      </c>
      <c r="DQ13" s="314" t="s">
        <v>203</v>
      </c>
      <c r="DR13" s="314" t="s">
        <v>203</v>
      </c>
      <c r="DS13" s="314" t="s">
        <v>203</v>
      </c>
      <c r="DT13" s="314" t="s">
        <v>203</v>
      </c>
      <c r="DU13" s="314" t="s">
        <v>203</v>
      </c>
      <c r="DV13" s="314" t="s">
        <v>203</v>
      </c>
      <c r="DW13" s="314" t="s">
        <v>203</v>
      </c>
      <c r="DX13" s="314" t="s">
        <v>203</v>
      </c>
      <c r="DY13" s="314" t="s">
        <v>203</v>
      </c>
      <c r="DZ13" s="314" t="s">
        <v>203</v>
      </c>
      <c r="EA13" s="314" t="s">
        <v>203</v>
      </c>
      <c r="EB13" s="314" t="s">
        <v>203</v>
      </c>
      <c r="EC13" s="314" t="s">
        <v>203</v>
      </c>
      <c r="ED13" s="314" t="s">
        <v>203</v>
      </c>
      <c r="EE13" s="314" t="s">
        <v>203</v>
      </c>
      <c r="EF13" s="314" t="s">
        <v>203</v>
      </c>
      <c r="EG13" s="314" t="s">
        <v>203</v>
      </c>
      <c r="EH13" s="314" t="s">
        <v>203</v>
      </c>
      <c r="EI13" s="314" t="s">
        <v>203</v>
      </c>
      <c r="EJ13" s="314" t="s">
        <v>203</v>
      </c>
      <c r="EK13" s="314" t="s">
        <v>203</v>
      </c>
      <c r="EL13" s="314" t="s">
        <v>203</v>
      </c>
      <c r="EM13" s="314" t="s">
        <v>203</v>
      </c>
      <c r="EN13" s="314" t="s">
        <v>203</v>
      </c>
      <c r="EO13" s="314" t="s">
        <v>203</v>
      </c>
      <c r="EP13" s="314" t="s">
        <v>203</v>
      </c>
      <c r="EQ13" s="314" t="s">
        <v>203</v>
      </c>
      <c r="ER13" s="314" t="s">
        <v>203</v>
      </c>
      <c r="ES13" s="314" t="s">
        <v>203</v>
      </c>
      <c r="ET13" s="314" t="s">
        <v>203</v>
      </c>
      <c r="EU13" s="314" t="s">
        <v>203</v>
      </c>
      <c r="EV13" s="314" t="s">
        <v>203</v>
      </c>
      <c r="EW13" s="314" t="s">
        <v>203</v>
      </c>
      <c r="EX13" s="314" t="s">
        <v>203</v>
      </c>
      <c r="EY13" s="314" t="s">
        <v>203</v>
      </c>
      <c r="EZ13" s="314" t="s">
        <v>203</v>
      </c>
      <c r="FA13" s="314" t="s">
        <v>203</v>
      </c>
      <c r="FB13" s="314" t="s">
        <v>203</v>
      </c>
      <c r="FC13" s="314" t="s">
        <v>203</v>
      </c>
      <c r="FD13" s="314" t="s">
        <v>203</v>
      </c>
      <c r="FE13" s="314" t="s">
        <v>203</v>
      </c>
      <c r="FF13" s="314" t="s">
        <v>203</v>
      </c>
      <c r="FG13" s="314" t="s">
        <v>203</v>
      </c>
      <c r="FH13" s="314" t="s">
        <v>203</v>
      </c>
      <c r="FI13" s="314" t="s">
        <v>203</v>
      </c>
      <c r="FJ13" s="314" t="s">
        <v>203</v>
      </c>
      <c r="FK13" s="314" t="s">
        <v>203</v>
      </c>
      <c r="FL13" s="314" t="s">
        <v>203</v>
      </c>
      <c r="FM13" s="314" t="s">
        <v>203</v>
      </c>
      <c r="FN13" s="314" t="s">
        <v>203</v>
      </c>
      <c r="FO13" s="314" t="s">
        <v>203</v>
      </c>
      <c r="FP13" s="314" t="s">
        <v>203</v>
      </c>
      <c r="FQ13" s="314" t="s">
        <v>203</v>
      </c>
      <c r="FR13" s="314" t="s">
        <v>203</v>
      </c>
      <c r="FS13" s="314" t="s">
        <v>203</v>
      </c>
      <c r="FT13" s="314" t="s">
        <v>203</v>
      </c>
      <c r="FU13" s="314" t="s">
        <v>203</v>
      </c>
      <c r="FV13" s="314" t="s">
        <v>203</v>
      </c>
      <c r="FW13" s="314" t="s">
        <v>203</v>
      </c>
      <c r="FX13" s="314" t="s">
        <v>203</v>
      </c>
      <c r="FY13" s="314" t="s">
        <v>203</v>
      </c>
      <c r="FZ13" s="314" t="s">
        <v>203</v>
      </c>
      <c r="GA13" s="314" t="s">
        <v>203</v>
      </c>
      <c r="GB13" s="314" t="s">
        <v>203</v>
      </c>
      <c r="GC13" s="314" t="s">
        <v>203</v>
      </c>
      <c r="GD13" s="314" t="s">
        <v>203</v>
      </c>
      <c r="GE13" s="314" t="s">
        <v>203</v>
      </c>
      <c r="GF13" s="314" t="s">
        <v>203</v>
      </c>
      <c r="GG13" s="314" t="s">
        <v>203</v>
      </c>
      <c r="GH13" s="314" t="s">
        <v>203</v>
      </c>
      <c r="GI13" s="314" t="s">
        <v>203</v>
      </c>
      <c r="GJ13" s="314" t="s">
        <v>203</v>
      </c>
      <c r="GK13" s="314" t="s">
        <v>203</v>
      </c>
      <c r="GL13" s="314" t="s">
        <v>203</v>
      </c>
      <c r="GM13" s="314" t="s">
        <v>203</v>
      </c>
      <c r="GN13" s="314" t="s">
        <v>203</v>
      </c>
      <c r="GO13" s="314" t="s">
        <v>203</v>
      </c>
      <c r="GP13" s="314" t="s">
        <v>203</v>
      </c>
      <c r="GQ13" s="314" t="s">
        <v>203</v>
      </c>
      <c r="GR13" s="314" t="s">
        <v>203</v>
      </c>
      <c r="GS13" s="314" t="s">
        <v>203</v>
      </c>
      <c r="GT13" s="314" t="s">
        <v>203</v>
      </c>
      <c r="GU13" s="314" t="s">
        <v>203</v>
      </c>
      <c r="GV13" s="314" t="s">
        <v>203</v>
      </c>
      <c r="GW13" s="314" t="s">
        <v>203</v>
      </c>
      <c r="GX13" s="314" t="s">
        <v>203</v>
      </c>
      <c r="GY13" s="314" t="s">
        <v>203</v>
      </c>
      <c r="GZ13" s="314" t="s">
        <v>203</v>
      </c>
      <c r="HA13" s="314" t="s">
        <v>203</v>
      </c>
      <c r="HB13" s="314" t="s">
        <v>203</v>
      </c>
      <c r="HC13" s="314" t="s">
        <v>203</v>
      </c>
      <c r="HD13" s="314" t="s">
        <v>203</v>
      </c>
      <c r="HE13" s="314" t="s">
        <v>203</v>
      </c>
      <c r="HF13" s="314" t="s">
        <v>203</v>
      </c>
      <c r="HG13" s="314" t="s">
        <v>203</v>
      </c>
      <c r="HH13" s="314" t="s">
        <v>203</v>
      </c>
      <c r="HI13" s="314" t="s">
        <v>203</v>
      </c>
      <c r="HJ13" s="314" t="s">
        <v>203</v>
      </c>
      <c r="HK13" s="314" t="s">
        <v>203</v>
      </c>
      <c r="HL13" s="314" t="s">
        <v>203</v>
      </c>
      <c r="HM13" s="314" t="s">
        <v>203</v>
      </c>
      <c r="HN13" s="314" t="s">
        <v>203</v>
      </c>
      <c r="HO13" s="314" t="s">
        <v>203</v>
      </c>
      <c r="HP13" s="314" t="s">
        <v>203</v>
      </c>
      <c r="HQ13" s="314" t="s">
        <v>203</v>
      </c>
      <c r="HR13" s="314" t="s">
        <v>203</v>
      </c>
      <c r="HS13" s="314" t="s">
        <v>203</v>
      </c>
      <c r="HT13" s="314" t="s">
        <v>203</v>
      </c>
      <c r="HU13" s="314" t="s">
        <v>203</v>
      </c>
      <c r="HV13" s="314" t="s">
        <v>203</v>
      </c>
      <c r="HW13" s="314" t="s">
        <v>203</v>
      </c>
      <c r="HX13" s="314" t="s">
        <v>203</v>
      </c>
      <c r="HY13" s="314" t="s">
        <v>203</v>
      </c>
      <c r="HZ13" s="314" t="s">
        <v>203</v>
      </c>
      <c r="IA13" s="314" t="s">
        <v>203</v>
      </c>
      <c r="IB13" s="314" t="s">
        <v>203</v>
      </c>
      <c r="IC13" s="314" t="s">
        <v>203</v>
      </c>
      <c r="ID13" s="314" t="s">
        <v>203</v>
      </c>
      <c r="IE13" s="314" t="s">
        <v>203</v>
      </c>
      <c r="IF13" s="314" t="s">
        <v>203</v>
      </c>
      <c r="IG13" s="314" t="s">
        <v>203</v>
      </c>
      <c r="IH13" s="314" t="s">
        <v>203</v>
      </c>
      <c r="II13" s="314" t="s">
        <v>203</v>
      </c>
      <c r="IJ13" s="314" t="s">
        <v>203</v>
      </c>
      <c r="IK13" s="314" t="s">
        <v>203</v>
      </c>
      <c r="IL13" s="314" t="s">
        <v>203</v>
      </c>
      <c r="IM13" s="314" t="s">
        <v>203</v>
      </c>
      <c r="IN13" s="314" t="s">
        <v>203</v>
      </c>
      <c r="IO13" s="314" t="s">
        <v>203</v>
      </c>
      <c r="IP13" s="314" t="s">
        <v>203</v>
      </c>
      <c r="IQ13" s="314" t="s">
        <v>203</v>
      </c>
      <c r="IR13" s="314" t="s">
        <v>203</v>
      </c>
      <c r="IS13" s="314" t="s">
        <v>203</v>
      </c>
      <c r="IT13" s="314" t="s">
        <v>203</v>
      </c>
      <c r="IU13" s="314" t="s">
        <v>203</v>
      </c>
      <c r="IV13" s="314" t="s">
        <v>203</v>
      </c>
      <c r="IW13" s="314" t="s">
        <v>203</v>
      </c>
      <c r="IX13" s="314" t="s">
        <v>203</v>
      </c>
      <c r="IY13" s="314" t="s">
        <v>203</v>
      </c>
      <c r="IZ13" s="314" t="s">
        <v>203</v>
      </c>
      <c r="JA13" s="314" t="s">
        <v>203</v>
      </c>
      <c r="JB13" s="314" t="s">
        <v>203</v>
      </c>
      <c r="JC13" s="314" t="s">
        <v>203</v>
      </c>
      <c r="JD13" s="314" t="s">
        <v>203</v>
      </c>
      <c r="JE13" s="314" t="s">
        <v>203</v>
      </c>
      <c r="JF13" s="314" t="s">
        <v>203</v>
      </c>
      <c r="JG13" s="314" t="s">
        <v>203</v>
      </c>
      <c r="JH13" s="314" t="s">
        <v>203</v>
      </c>
      <c r="JI13" s="314" t="s">
        <v>203</v>
      </c>
      <c r="JJ13" s="314" t="s">
        <v>203</v>
      </c>
      <c r="JK13" s="314" t="s">
        <v>203</v>
      </c>
      <c r="JL13" s="314" t="s">
        <v>203</v>
      </c>
      <c r="JM13" s="314" t="s">
        <v>203</v>
      </c>
      <c r="JN13" s="314" t="s">
        <v>203</v>
      </c>
      <c r="JO13" s="314" t="s">
        <v>203</v>
      </c>
      <c r="JP13" s="314" t="s">
        <v>203</v>
      </c>
      <c r="JQ13" s="314" t="s">
        <v>203</v>
      </c>
      <c r="JR13" s="314" t="s">
        <v>203</v>
      </c>
      <c r="JS13" s="314" t="s">
        <v>203</v>
      </c>
      <c r="JT13" s="314" t="s">
        <v>203</v>
      </c>
      <c r="JU13" s="314" t="s">
        <v>203</v>
      </c>
      <c r="JV13" s="314" t="s">
        <v>203</v>
      </c>
      <c r="JW13" s="314" t="s">
        <v>203</v>
      </c>
      <c r="JX13" s="314" t="s">
        <v>203</v>
      </c>
      <c r="JY13" s="314" t="s">
        <v>203</v>
      </c>
      <c r="JZ13" s="314" t="s">
        <v>203</v>
      </c>
      <c r="KA13" s="314" t="s">
        <v>203</v>
      </c>
      <c r="KB13" s="314" t="s">
        <v>203</v>
      </c>
      <c r="KC13" s="314" t="s">
        <v>203</v>
      </c>
      <c r="KD13" s="314" t="s">
        <v>203</v>
      </c>
      <c r="KE13" s="314" t="s">
        <v>203</v>
      </c>
      <c r="KF13" s="314" t="s">
        <v>203</v>
      </c>
      <c r="KG13" s="314" t="s">
        <v>203</v>
      </c>
      <c r="KH13" s="314" t="s">
        <v>203</v>
      </c>
      <c r="KI13" s="314" t="s">
        <v>203</v>
      </c>
      <c r="KJ13" s="314" t="s">
        <v>203</v>
      </c>
      <c r="KK13" s="314" t="s">
        <v>203</v>
      </c>
      <c r="KL13" s="314" t="s">
        <v>203</v>
      </c>
      <c r="KM13" s="314" t="s">
        <v>203</v>
      </c>
      <c r="KN13" s="314" t="s">
        <v>203</v>
      </c>
      <c r="KO13" s="314" t="s">
        <v>203</v>
      </c>
      <c r="KP13" s="314" t="s">
        <v>203</v>
      </c>
      <c r="KQ13" s="314" t="s">
        <v>203</v>
      </c>
      <c r="KR13" s="314" t="s">
        <v>203</v>
      </c>
      <c r="KS13" s="314" t="s">
        <v>203</v>
      </c>
      <c r="KT13" s="314" t="s">
        <v>203</v>
      </c>
      <c r="KU13" s="314" t="s">
        <v>203</v>
      </c>
      <c r="KV13" s="314" t="s">
        <v>203</v>
      </c>
      <c r="KW13" s="314" t="s">
        <v>203</v>
      </c>
      <c r="KX13" s="314" t="s">
        <v>203</v>
      </c>
      <c r="KY13" s="314" t="s">
        <v>203</v>
      </c>
      <c r="KZ13" s="314" t="s">
        <v>203</v>
      </c>
      <c r="LA13" s="314" t="s">
        <v>203</v>
      </c>
      <c r="LB13" s="314" t="s">
        <v>203</v>
      </c>
      <c r="LC13" s="314" t="s">
        <v>203</v>
      </c>
      <c r="LD13" s="314" t="s">
        <v>203</v>
      </c>
      <c r="LE13" s="314" t="s">
        <v>203</v>
      </c>
      <c r="LF13" s="314" t="s">
        <v>203</v>
      </c>
      <c r="LG13" s="314" t="s">
        <v>203</v>
      </c>
      <c r="LH13" s="314" t="s">
        <v>203</v>
      </c>
      <c r="LI13" s="314" t="s">
        <v>203</v>
      </c>
      <c r="LJ13" s="314" t="s">
        <v>203</v>
      </c>
      <c r="LK13" s="314" t="s">
        <v>203</v>
      </c>
      <c r="LL13" s="314" t="s">
        <v>203</v>
      </c>
      <c r="LM13" s="314" t="s">
        <v>203</v>
      </c>
      <c r="LN13" s="314" t="s">
        <v>203</v>
      </c>
      <c r="LO13" s="314" t="s">
        <v>203</v>
      </c>
      <c r="LP13" s="314" t="s">
        <v>203</v>
      </c>
      <c r="LQ13" s="314" t="s">
        <v>203</v>
      </c>
      <c r="LR13" s="314" t="s">
        <v>203</v>
      </c>
      <c r="LS13" s="314" t="s">
        <v>203</v>
      </c>
      <c r="LT13" s="314" t="s">
        <v>203</v>
      </c>
      <c r="LU13" s="314" t="s">
        <v>203</v>
      </c>
      <c r="LV13" s="314" t="s">
        <v>203</v>
      </c>
      <c r="LW13" s="314" t="s">
        <v>203</v>
      </c>
      <c r="LX13" s="314" t="s">
        <v>203</v>
      </c>
      <c r="LY13" s="314" t="s">
        <v>203</v>
      </c>
      <c r="LZ13" s="314" t="s">
        <v>203</v>
      </c>
      <c r="MA13" s="314" t="s">
        <v>203</v>
      </c>
      <c r="MB13" s="314" t="s">
        <v>203</v>
      </c>
      <c r="MC13" s="314" t="s">
        <v>203</v>
      </c>
      <c r="MD13" s="314" t="s">
        <v>203</v>
      </c>
      <c r="ME13" s="314" t="s">
        <v>203</v>
      </c>
      <c r="MF13" s="314" t="s">
        <v>203</v>
      </c>
      <c r="MG13" s="314" t="s">
        <v>203</v>
      </c>
      <c r="MH13" s="314" t="s">
        <v>203</v>
      </c>
      <c r="MI13" s="314" t="s">
        <v>203</v>
      </c>
      <c r="MJ13" s="314" t="s">
        <v>203</v>
      </c>
      <c r="MK13" s="314" t="s">
        <v>203</v>
      </c>
      <c r="ML13" s="314" t="s">
        <v>203</v>
      </c>
      <c r="MM13" s="314" t="s">
        <v>203</v>
      </c>
      <c r="MN13" s="314" t="s">
        <v>203</v>
      </c>
      <c r="MO13" s="314" t="s">
        <v>203</v>
      </c>
      <c r="MP13" s="314" t="s">
        <v>203</v>
      </c>
      <c r="MQ13" s="314" t="s">
        <v>203</v>
      </c>
      <c r="MR13" s="314" t="s">
        <v>203</v>
      </c>
      <c r="MS13" s="314" t="s">
        <v>203</v>
      </c>
      <c r="MT13" s="314" t="s">
        <v>203</v>
      </c>
      <c r="MU13" s="314" t="s">
        <v>203</v>
      </c>
      <c r="MV13" s="314" t="s">
        <v>203</v>
      </c>
      <c r="MW13" s="314" t="s">
        <v>203</v>
      </c>
      <c r="MX13" s="314" t="s">
        <v>203</v>
      </c>
      <c r="MY13" s="314" t="s">
        <v>203</v>
      </c>
      <c r="MZ13" s="314" t="s">
        <v>203</v>
      </c>
      <c r="NA13" s="314" t="s">
        <v>203</v>
      </c>
      <c r="NB13" s="314" t="s">
        <v>203</v>
      </c>
      <c r="NC13" s="314" t="s">
        <v>203</v>
      </c>
      <c r="ND13" s="314" t="s">
        <v>203</v>
      </c>
      <c r="NE13" s="314" t="s">
        <v>203</v>
      </c>
      <c r="NF13" s="314" t="s">
        <v>203</v>
      </c>
      <c r="NG13" s="314" t="s">
        <v>203</v>
      </c>
      <c r="NH13" s="314" t="s">
        <v>203</v>
      </c>
      <c r="NI13" s="314" t="s">
        <v>203</v>
      </c>
      <c r="NJ13" s="314" t="s">
        <v>203</v>
      </c>
      <c r="NK13" s="314" t="s">
        <v>203</v>
      </c>
      <c r="NL13" s="314" t="s">
        <v>203</v>
      </c>
      <c r="NM13" s="314" t="s">
        <v>203</v>
      </c>
      <c r="NN13" s="314" t="s">
        <v>203</v>
      </c>
      <c r="NO13" s="314" t="s">
        <v>203</v>
      </c>
      <c r="NP13" s="314" t="s">
        <v>203</v>
      </c>
      <c r="NQ13" s="314" t="s">
        <v>203</v>
      </c>
      <c r="NR13" s="314" t="s">
        <v>203</v>
      </c>
      <c r="NS13" s="314" t="s">
        <v>203</v>
      </c>
      <c r="NT13" s="314" t="s">
        <v>203</v>
      </c>
      <c r="NU13" s="314" t="s">
        <v>203</v>
      </c>
      <c r="NV13" s="314" t="s">
        <v>203</v>
      </c>
      <c r="NW13" s="314" t="s">
        <v>203</v>
      </c>
      <c r="NX13" s="314" t="s">
        <v>203</v>
      </c>
      <c r="NY13" s="314" t="s">
        <v>203</v>
      </c>
      <c r="NZ13" s="314" t="s">
        <v>203</v>
      </c>
      <c r="OA13" s="314" t="s">
        <v>203</v>
      </c>
      <c r="OB13" s="314" t="s">
        <v>203</v>
      </c>
      <c r="OC13" s="314" t="s">
        <v>203</v>
      </c>
      <c r="OD13" s="314" t="s">
        <v>203</v>
      </c>
      <c r="OE13" s="314" t="s">
        <v>203</v>
      </c>
      <c r="OF13" s="314" t="s">
        <v>203</v>
      </c>
      <c r="OG13" s="314" t="s">
        <v>203</v>
      </c>
      <c r="OH13" s="314" t="s">
        <v>203</v>
      </c>
      <c r="OI13" s="314" t="s">
        <v>203</v>
      </c>
      <c r="OJ13" s="314" t="s">
        <v>203</v>
      </c>
      <c r="OK13" s="314" t="s">
        <v>203</v>
      </c>
      <c r="OL13" s="314" t="s">
        <v>203</v>
      </c>
      <c r="OM13" s="314" t="s">
        <v>203</v>
      </c>
      <c r="ON13" s="314" t="s">
        <v>203</v>
      </c>
      <c r="OO13" s="314" t="s">
        <v>203</v>
      </c>
      <c r="OP13" s="314" t="s">
        <v>203</v>
      </c>
      <c r="OQ13" s="314" t="s">
        <v>203</v>
      </c>
      <c r="OR13" s="314" t="s">
        <v>203</v>
      </c>
      <c r="OS13" s="314" t="s">
        <v>203</v>
      </c>
      <c r="OT13" s="314" t="s">
        <v>203</v>
      </c>
      <c r="OU13" s="314" t="s">
        <v>203</v>
      </c>
      <c r="OV13" s="314" t="s">
        <v>203</v>
      </c>
      <c r="OW13" s="314" t="s">
        <v>203</v>
      </c>
      <c r="OX13" s="314" t="s">
        <v>203</v>
      </c>
      <c r="OY13" s="314" t="s">
        <v>203</v>
      </c>
      <c r="OZ13" s="314" t="s">
        <v>203</v>
      </c>
      <c r="PA13" s="314" t="s">
        <v>203</v>
      </c>
      <c r="PB13" s="314" t="s">
        <v>203</v>
      </c>
      <c r="PC13" s="314" t="s">
        <v>203</v>
      </c>
      <c r="PD13" s="314" t="s">
        <v>203</v>
      </c>
      <c r="PE13" s="314" t="s">
        <v>203</v>
      </c>
      <c r="PF13" s="314" t="s">
        <v>203</v>
      </c>
      <c r="PG13" s="314" t="s">
        <v>203</v>
      </c>
      <c r="PH13" s="314" t="s">
        <v>203</v>
      </c>
      <c r="PI13" s="314" t="s">
        <v>203</v>
      </c>
      <c r="PJ13" s="314" t="s">
        <v>203</v>
      </c>
      <c r="PK13" s="314" t="s">
        <v>203</v>
      </c>
      <c r="PL13" s="314" t="s">
        <v>203</v>
      </c>
      <c r="PM13" s="314" t="s">
        <v>203</v>
      </c>
      <c r="PN13" s="314" t="s">
        <v>203</v>
      </c>
      <c r="PO13" s="314" t="s">
        <v>203</v>
      </c>
      <c r="PP13" s="314" t="s">
        <v>203</v>
      </c>
      <c r="PQ13" s="314" t="s">
        <v>203</v>
      </c>
      <c r="PR13" s="314" t="s">
        <v>203</v>
      </c>
      <c r="PS13" s="314" t="s">
        <v>203</v>
      </c>
      <c r="PT13" s="314" t="s">
        <v>203</v>
      </c>
      <c r="PU13" s="314" t="s">
        <v>203</v>
      </c>
      <c r="PV13" s="314" t="s">
        <v>203</v>
      </c>
      <c r="PW13" s="314" t="s">
        <v>203</v>
      </c>
      <c r="PX13" s="314" t="s">
        <v>203</v>
      </c>
      <c r="PY13" s="314" t="s">
        <v>203</v>
      </c>
      <c r="PZ13" s="314" t="s">
        <v>203</v>
      </c>
      <c r="QA13" s="314" t="s">
        <v>203</v>
      </c>
      <c r="QB13" s="314" t="s">
        <v>203</v>
      </c>
      <c r="QC13" s="314" t="s">
        <v>203</v>
      </c>
      <c r="QD13" s="314" t="s">
        <v>203</v>
      </c>
      <c r="QE13" s="314" t="s">
        <v>203</v>
      </c>
      <c r="QF13" s="314" t="s">
        <v>203</v>
      </c>
      <c r="QG13" s="314" t="s">
        <v>203</v>
      </c>
      <c r="QH13" s="314" t="s">
        <v>203</v>
      </c>
      <c r="QI13" s="314" t="s">
        <v>203</v>
      </c>
      <c r="QJ13" s="314" t="s">
        <v>203</v>
      </c>
      <c r="QK13" s="314" t="s">
        <v>203</v>
      </c>
      <c r="QL13" s="314" t="s">
        <v>203</v>
      </c>
      <c r="QM13" s="314" t="s">
        <v>203</v>
      </c>
      <c r="QN13" s="314" t="s">
        <v>203</v>
      </c>
      <c r="QO13" s="314" t="s">
        <v>203</v>
      </c>
      <c r="QP13" s="314" t="s">
        <v>203</v>
      </c>
      <c r="QQ13" s="314" t="s">
        <v>203</v>
      </c>
      <c r="QR13" s="314" t="s">
        <v>203</v>
      </c>
      <c r="QS13" s="314" t="s">
        <v>203</v>
      </c>
      <c r="QT13" s="314" t="s">
        <v>203</v>
      </c>
      <c r="QU13" s="314" t="s">
        <v>203</v>
      </c>
      <c r="QV13" s="314" t="s">
        <v>203</v>
      </c>
      <c r="QW13" s="314" t="s">
        <v>203</v>
      </c>
      <c r="QX13" s="314" t="s">
        <v>203</v>
      </c>
      <c r="QY13" s="314" t="s">
        <v>203</v>
      </c>
      <c r="QZ13" s="314" t="s">
        <v>203</v>
      </c>
      <c r="RA13" s="314" t="s">
        <v>203</v>
      </c>
      <c r="RB13" s="314" t="s">
        <v>203</v>
      </c>
      <c r="RC13" s="314" t="s">
        <v>203</v>
      </c>
      <c r="RD13" s="314" t="s">
        <v>203</v>
      </c>
      <c r="RE13" s="314" t="s">
        <v>203</v>
      </c>
      <c r="RF13" s="314" t="s">
        <v>203</v>
      </c>
      <c r="RG13" s="314" t="s">
        <v>203</v>
      </c>
      <c r="RH13" s="314" t="s">
        <v>203</v>
      </c>
      <c r="RI13" s="314" t="s">
        <v>203</v>
      </c>
      <c r="RJ13" s="314" t="s">
        <v>203</v>
      </c>
      <c r="RK13" s="314" t="s">
        <v>203</v>
      </c>
      <c r="RL13" s="314" t="s">
        <v>203</v>
      </c>
      <c r="RM13" s="314" t="s">
        <v>203</v>
      </c>
      <c r="RN13" s="314" t="s">
        <v>203</v>
      </c>
      <c r="RO13" s="314" t="s">
        <v>203</v>
      </c>
      <c r="RP13" s="314" t="s">
        <v>203</v>
      </c>
      <c r="RQ13" s="314" t="s">
        <v>203</v>
      </c>
      <c r="RR13" s="314" t="s">
        <v>203</v>
      </c>
      <c r="RS13" s="314" t="s">
        <v>203</v>
      </c>
      <c r="RT13" s="314" t="s">
        <v>203</v>
      </c>
      <c r="RU13" s="314" t="s">
        <v>203</v>
      </c>
      <c r="RV13" s="314" t="s">
        <v>203</v>
      </c>
      <c r="RW13" s="314" t="s">
        <v>203</v>
      </c>
      <c r="RX13" s="314" t="s">
        <v>203</v>
      </c>
      <c r="RY13" s="314" t="s">
        <v>203</v>
      </c>
      <c r="RZ13" s="314" t="s">
        <v>203</v>
      </c>
      <c r="SA13" s="314" t="s">
        <v>203</v>
      </c>
      <c r="SB13" s="314" t="s">
        <v>203</v>
      </c>
      <c r="SC13" s="314" t="s">
        <v>203</v>
      </c>
      <c r="SD13" s="314" t="s">
        <v>203</v>
      </c>
      <c r="SE13" s="314" t="s">
        <v>203</v>
      </c>
      <c r="SF13" s="314" t="s">
        <v>203</v>
      </c>
      <c r="SG13" s="314" t="s">
        <v>203</v>
      </c>
      <c r="SH13" s="314" t="s">
        <v>203</v>
      </c>
      <c r="SI13" s="314" t="s">
        <v>203</v>
      </c>
      <c r="SJ13" s="314" t="s">
        <v>203</v>
      </c>
      <c r="SK13" s="314" t="s">
        <v>203</v>
      </c>
      <c r="SL13" s="314" t="s">
        <v>203</v>
      </c>
      <c r="SM13" s="314" t="s">
        <v>203</v>
      </c>
      <c r="SN13" s="314" t="s">
        <v>203</v>
      </c>
      <c r="SO13" s="314" t="s">
        <v>203</v>
      </c>
      <c r="SP13" s="314" t="s">
        <v>203</v>
      </c>
      <c r="SQ13" s="314" t="s">
        <v>203</v>
      </c>
      <c r="SR13" s="314" t="s">
        <v>203</v>
      </c>
      <c r="SS13" s="314" t="s">
        <v>203</v>
      </c>
      <c r="ST13" s="314" t="s">
        <v>203</v>
      </c>
      <c r="SU13" s="314" t="s">
        <v>203</v>
      </c>
      <c r="SV13" s="314" t="s">
        <v>203</v>
      </c>
      <c r="SW13" s="314" t="s">
        <v>203</v>
      </c>
      <c r="SX13" s="314" t="s">
        <v>203</v>
      </c>
      <c r="SY13" s="314" t="s">
        <v>203</v>
      </c>
      <c r="SZ13" s="314" t="s">
        <v>203</v>
      </c>
      <c r="TA13" s="314" t="s">
        <v>203</v>
      </c>
      <c r="TB13" s="314" t="s">
        <v>203</v>
      </c>
      <c r="TC13" s="314" t="s">
        <v>203</v>
      </c>
      <c r="TD13" s="314" t="s">
        <v>203</v>
      </c>
      <c r="TE13" s="314" t="s">
        <v>203</v>
      </c>
      <c r="TF13" s="314" t="s">
        <v>203</v>
      </c>
      <c r="TG13" s="314" t="s">
        <v>203</v>
      </c>
      <c r="TH13" s="314" t="s">
        <v>203</v>
      </c>
      <c r="TI13" s="314" t="s">
        <v>203</v>
      </c>
      <c r="TJ13" s="314" t="s">
        <v>203</v>
      </c>
      <c r="TK13" s="314" t="s">
        <v>203</v>
      </c>
      <c r="TL13" s="314" t="s">
        <v>203</v>
      </c>
      <c r="TM13" s="314" t="s">
        <v>203</v>
      </c>
      <c r="TN13" s="314" t="s">
        <v>203</v>
      </c>
      <c r="TO13" s="314" t="s">
        <v>203</v>
      </c>
      <c r="TP13" s="314" t="s">
        <v>203</v>
      </c>
      <c r="TQ13" s="314" t="s">
        <v>203</v>
      </c>
      <c r="TR13" s="314" t="s">
        <v>203</v>
      </c>
      <c r="TS13" s="314" t="s">
        <v>203</v>
      </c>
      <c r="TT13" s="314" t="s">
        <v>203</v>
      </c>
      <c r="TU13" s="314" t="s">
        <v>203</v>
      </c>
      <c r="TV13" s="314" t="s">
        <v>203</v>
      </c>
      <c r="TW13" s="314" t="s">
        <v>203</v>
      </c>
      <c r="TX13" s="314" t="s">
        <v>203</v>
      </c>
      <c r="TY13" s="314" t="s">
        <v>203</v>
      </c>
      <c r="TZ13" s="314" t="s">
        <v>203</v>
      </c>
      <c r="UA13" s="314" t="s">
        <v>203</v>
      </c>
      <c r="UB13" s="314" t="s">
        <v>203</v>
      </c>
      <c r="UC13" s="314" t="s">
        <v>203</v>
      </c>
      <c r="UD13" s="314" t="s">
        <v>203</v>
      </c>
      <c r="UE13" s="314" t="s">
        <v>203</v>
      </c>
      <c r="UF13" s="314" t="s">
        <v>203</v>
      </c>
      <c r="UG13" s="314" t="s">
        <v>203</v>
      </c>
      <c r="UH13" s="314" t="s">
        <v>203</v>
      </c>
      <c r="UI13" s="314" t="s">
        <v>203</v>
      </c>
      <c r="UJ13" s="314" t="s">
        <v>203</v>
      </c>
      <c r="UK13" s="314" t="s">
        <v>203</v>
      </c>
      <c r="UL13" s="314" t="s">
        <v>203</v>
      </c>
      <c r="UM13" s="314" t="s">
        <v>203</v>
      </c>
      <c r="UN13" s="314" t="s">
        <v>203</v>
      </c>
      <c r="UO13" s="314" t="s">
        <v>203</v>
      </c>
      <c r="UP13" s="314" t="s">
        <v>203</v>
      </c>
      <c r="UQ13" s="314" t="s">
        <v>203</v>
      </c>
      <c r="UR13" s="314" t="s">
        <v>203</v>
      </c>
      <c r="US13" s="314" t="s">
        <v>203</v>
      </c>
      <c r="UT13" s="314" t="s">
        <v>203</v>
      </c>
      <c r="UU13" s="314" t="s">
        <v>203</v>
      </c>
      <c r="UV13" s="314" t="s">
        <v>203</v>
      </c>
      <c r="UW13" s="314" t="s">
        <v>203</v>
      </c>
      <c r="UX13" s="314" t="s">
        <v>203</v>
      </c>
      <c r="UY13" s="314" t="s">
        <v>203</v>
      </c>
      <c r="UZ13" s="314" t="s">
        <v>203</v>
      </c>
      <c r="VA13" s="314" t="s">
        <v>203</v>
      </c>
      <c r="VB13" s="314" t="s">
        <v>203</v>
      </c>
      <c r="VC13" s="314" t="s">
        <v>203</v>
      </c>
      <c r="VD13" s="314" t="s">
        <v>203</v>
      </c>
      <c r="VE13" s="314" t="s">
        <v>203</v>
      </c>
      <c r="VF13" s="314" t="s">
        <v>203</v>
      </c>
      <c r="VG13" s="314" t="s">
        <v>203</v>
      </c>
      <c r="VH13" s="314" t="s">
        <v>203</v>
      </c>
      <c r="VI13" s="314" t="s">
        <v>203</v>
      </c>
      <c r="VJ13" s="314" t="s">
        <v>203</v>
      </c>
      <c r="VK13" s="314" t="s">
        <v>203</v>
      </c>
      <c r="VL13" s="314" t="s">
        <v>203</v>
      </c>
      <c r="VM13" s="314" t="s">
        <v>203</v>
      </c>
      <c r="VN13" s="314" t="s">
        <v>203</v>
      </c>
      <c r="VO13" s="314" t="s">
        <v>203</v>
      </c>
      <c r="VP13" s="314" t="s">
        <v>203</v>
      </c>
      <c r="VQ13" s="314" t="s">
        <v>203</v>
      </c>
      <c r="VR13" s="314" t="s">
        <v>203</v>
      </c>
      <c r="VS13" s="314" t="s">
        <v>203</v>
      </c>
      <c r="VT13" s="314" t="s">
        <v>203</v>
      </c>
      <c r="VU13" s="314" t="s">
        <v>203</v>
      </c>
      <c r="VV13" s="314" t="s">
        <v>203</v>
      </c>
      <c r="VW13" s="314" t="s">
        <v>203</v>
      </c>
      <c r="VX13" s="314" t="s">
        <v>203</v>
      </c>
      <c r="VY13" s="314" t="s">
        <v>203</v>
      </c>
      <c r="VZ13" s="314" t="s">
        <v>203</v>
      </c>
      <c r="WA13" s="314" t="s">
        <v>203</v>
      </c>
      <c r="WB13" s="314" t="s">
        <v>203</v>
      </c>
      <c r="WC13" s="314" t="s">
        <v>203</v>
      </c>
      <c r="WD13" s="314" t="s">
        <v>203</v>
      </c>
      <c r="WE13" s="314" t="s">
        <v>203</v>
      </c>
      <c r="WF13" s="314" t="s">
        <v>203</v>
      </c>
      <c r="WG13" s="314" t="s">
        <v>203</v>
      </c>
      <c r="WH13" s="314" t="s">
        <v>203</v>
      </c>
      <c r="WI13" s="314" t="s">
        <v>203</v>
      </c>
      <c r="WJ13" s="314" t="s">
        <v>203</v>
      </c>
      <c r="WK13" s="314" t="s">
        <v>203</v>
      </c>
      <c r="WL13" s="314" t="s">
        <v>203</v>
      </c>
      <c r="WM13" s="314" t="s">
        <v>203</v>
      </c>
      <c r="WN13" s="314" t="s">
        <v>203</v>
      </c>
      <c r="WO13" s="314" t="s">
        <v>203</v>
      </c>
      <c r="WP13" s="314" t="s">
        <v>203</v>
      </c>
      <c r="WQ13" s="314" t="s">
        <v>203</v>
      </c>
      <c r="WR13" s="314" t="s">
        <v>203</v>
      </c>
      <c r="WS13" s="314" t="s">
        <v>203</v>
      </c>
      <c r="WT13" s="314" t="s">
        <v>203</v>
      </c>
      <c r="WU13" s="314" t="s">
        <v>203</v>
      </c>
      <c r="WV13" s="314" t="s">
        <v>203</v>
      </c>
      <c r="WW13" s="314" t="s">
        <v>203</v>
      </c>
      <c r="WX13" s="314" t="s">
        <v>203</v>
      </c>
      <c r="WY13" s="314" t="s">
        <v>203</v>
      </c>
      <c r="WZ13" s="314" t="s">
        <v>203</v>
      </c>
      <c r="XA13" s="314" t="s">
        <v>203</v>
      </c>
      <c r="XB13" s="314" t="s">
        <v>203</v>
      </c>
      <c r="XC13" s="314" t="s">
        <v>203</v>
      </c>
      <c r="XD13" s="314" t="s">
        <v>203</v>
      </c>
      <c r="XE13" s="314" t="s">
        <v>203</v>
      </c>
      <c r="XF13" s="314" t="s">
        <v>203</v>
      </c>
      <c r="XG13" s="314" t="s">
        <v>203</v>
      </c>
      <c r="XH13" s="314" t="s">
        <v>203</v>
      </c>
      <c r="XI13" s="314" t="s">
        <v>203</v>
      </c>
      <c r="XJ13" s="314" t="s">
        <v>203</v>
      </c>
      <c r="XK13" s="314" t="s">
        <v>203</v>
      </c>
      <c r="XL13" s="314" t="s">
        <v>203</v>
      </c>
      <c r="XM13" s="314" t="s">
        <v>203</v>
      </c>
      <c r="XN13" s="314" t="s">
        <v>203</v>
      </c>
      <c r="XO13" s="314" t="s">
        <v>203</v>
      </c>
      <c r="XP13" s="314" t="s">
        <v>203</v>
      </c>
      <c r="XQ13" s="314" t="s">
        <v>203</v>
      </c>
      <c r="XR13" s="314" t="s">
        <v>203</v>
      </c>
      <c r="XS13" s="314" t="s">
        <v>203</v>
      </c>
      <c r="XT13" s="314" t="s">
        <v>203</v>
      </c>
      <c r="XU13" s="314" t="s">
        <v>203</v>
      </c>
      <c r="XV13" s="314" t="s">
        <v>203</v>
      </c>
      <c r="XW13" s="314" t="s">
        <v>203</v>
      </c>
      <c r="XX13" s="314" t="s">
        <v>203</v>
      </c>
      <c r="XY13" s="314" t="s">
        <v>203</v>
      </c>
      <c r="XZ13" s="314" t="s">
        <v>203</v>
      </c>
      <c r="YA13" s="314" t="s">
        <v>203</v>
      </c>
      <c r="YB13" s="314" t="s">
        <v>203</v>
      </c>
      <c r="YC13" s="314" t="s">
        <v>203</v>
      </c>
      <c r="YD13" s="314" t="s">
        <v>203</v>
      </c>
      <c r="YE13" s="314" t="s">
        <v>203</v>
      </c>
      <c r="YF13" s="314" t="s">
        <v>203</v>
      </c>
      <c r="YG13" s="314" t="s">
        <v>203</v>
      </c>
      <c r="YH13" s="314" t="s">
        <v>203</v>
      </c>
      <c r="YI13" s="314" t="s">
        <v>203</v>
      </c>
      <c r="YJ13" s="314" t="s">
        <v>203</v>
      </c>
      <c r="YK13" s="314" t="s">
        <v>203</v>
      </c>
      <c r="YL13" s="314" t="s">
        <v>203</v>
      </c>
      <c r="YM13" s="314" t="s">
        <v>203</v>
      </c>
      <c r="YN13" s="314" t="s">
        <v>203</v>
      </c>
      <c r="YO13" s="314" t="s">
        <v>203</v>
      </c>
      <c r="YP13" s="314" t="s">
        <v>203</v>
      </c>
      <c r="YQ13" s="314" t="s">
        <v>203</v>
      </c>
      <c r="YR13" s="314" t="s">
        <v>203</v>
      </c>
      <c r="YS13" s="314" t="s">
        <v>203</v>
      </c>
      <c r="YT13" s="314" t="s">
        <v>203</v>
      </c>
      <c r="YU13" s="314" t="s">
        <v>203</v>
      </c>
      <c r="YV13" s="314" t="s">
        <v>203</v>
      </c>
      <c r="YW13" s="314" t="s">
        <v>203</v>
      </c>
      <c r="YX13" s="314" t="s">
        <v>203</v>
      </c>
      <c r="YY13" s="314" t="s">
        <v>203</v>
      </c>
      <c r="YZ13" s="314" t="s">
        <v>203</v>
      </c>
      <c r="ZA13" s="314" t="s">
        <v>203</v>
      </c>
      <c r="ZB13" s="314" t="s">
        <v>203</v>
      </c>
      <c r="ZC13" s="314" t="s">
        <v>203</v>
      </c>
      <c r="ZD13" s="314" t="s">
        <v>203</v>
      </c>
      <c r="ZE13" s="314" t="s">
        <v>203</v>
      </c>
      <c r="ZF13" s="314" t="s">
        <v>203</v>
      </c>
      <c r="ZG13" s="314" t="s">
        <v>203</v>
      </c>
      <c r="ZH13" s="314" t="s">
        <v>203</v>
      </c>
      <c r="ZI13" s="314" t="s">
        <v>203</v>
      </c>
      <c r="ZJ13" s="314" t="s">
        <v>203</v>
      </c>
      <c r="ZK13" s="314" t="s">
        <v>203</v>
      </c>
      <c r="ZL13" s="314" t="s">
        <v>203</v>
      </c>
      <c r="ZM13" s="314" t="s">
        <v>203</v>
      </c>
      <c r="ZN13" s="314" t="s">
        <v>203</v>
      </c>
      <c r="ZO13" s="314" t="s">
        <v>203</v>
      </c>
      <c r="ZP13" s="314" t="s">
        <v>203</v>
      </c>
      <c r="ZQ13" s="314" t="s">
        <v>203</v>
      </c>
      <c r="ZR13" s="314" t="s">
        <v>203</v>
      </c>
      <c r="ZS13" s="314" t="s">
        <v>203</v>
      </c>
      <c r="ZT13" s="314" t="s">
        <v>203</v>
      </c>
      <c r="ZU13" s="314" t="s">
        <v>203</v>
      </c>
      <c r="ZV13" s="314" t="s">
        <v>203</v>
      </c>
      <c r="ZW13" s="314" t="s">
        <v>203</v>
      </c>
      <c r="ZX13" s="314" t="s">
        <v>203</v>
      </c>
      <c r="ZY13" s="314" t="s">
        <v>203</v>
      </c>
      <c r="ZZ13" s="314" t="s">
        <v>203</v>
      </c>
      <c r="AAA13" s="314" t="s">
        <v>203</v>
      </c>
      <c r="AAB13" s="314" t="s">
        <v>203</v>
      </c>
      <c r="AAC13" s="314" t="s">
        <v>203</v>
      </c>
      <c r="AAD13" s="314" t="s">
        <v>203</v>
      </c>
      <c r="AAE13" s="314" t="s">
        <v>203</v>
      </c>
      <c r="AAF13" s="314" t="s">
        <v>203</v>
      </c>
      <c r="AAG13" s="314" t="s">
        <v>203</v>
      </c>
      <c r="AAH13" s="314" t="s">
        <v>203</v>
      </c>
      <c r="AAI13" s="314" t="s">
        <v>203</v>
      </c>
      <c r="AAJ13" s="314" t="s">
        <v>203</v>
      </c>
      <c r="AAK13" s="314" t="s">
        <v>203</v>
      </c>
      <c r="AAL13" s="314" t="s">
        <v>203</v>
      </c>
      <c r="AAM13" s="314" t="s">
        <v>203</v>
      </c>
      <c r="AAN13" s="314" t="s">
        <v>203</v>
      </c>
      <c r="AAO13" s="314" t="s">
        <v>203</v>
      </c>
      <c r="AAP13" s="314" t="s">
        <v>203</v>
      </c>
      <c r="AAQ13" s="314" t="s">
        <v>203</v>
      </c>
      <c r="AAR13" s="314" t="s">
        <v>203</v>
      </c>
      <c r="AAS13" s="314" t="s">
        <v>203</v>
      </c>
      <c r="AAT13" s="314" t="s">
        <v>203</v>
      </c>
      <c r="AAU13" s="314" t="s">
        <v>203</v>
      </c>
      <c r="AAV13" s="314" t="s">
        <v>203</v>
      </c>
      <c r="AAW13" s="314" t="s">
        <v>203</v>
      </c>
      <c r="AAX13" s="314" t="s">
        <v>203</v>
      </c>
      <c r="AAY13" s="314" t="s">
        <v>203</v>
      </c>
      <c r="AAZ13" s="314" t="s">
        <v>203</v>
      </c>
      <c r="ABA13" s="314" t="s">
        <v>203</v>
      </c>
      <c r="ABB13" s="314" t="s">
        <v>203</v>
      </c>
      <c r="ABC13" s="314" t="s">
        <v>203</v>
      </c>
      <c r="ABD13" s="314" t="s">
        <v>203</v>
      </c>
      <c r="ABE13" s="314" t="s">
        <v>203</v>
      </c>
      <c r="ABF13" s="314" t="s">
        <v>203</v>
      </c>
      <c r="ABG13" s="314" t="s">
        <v>203</v>
      </c>
      <c r="ABH13" s="314" t="s">
        <v>203</v>
      </c>
      <c r="ABI13" s="314" t="s">
        <v>203</v>
      </c>
      <c r="ABJ13" s="314" t="s">
        <v>203</v>
      </c>
      <c r="ABK13" s="314" t="s">
        <v>203</v>
      </c>
      <c r="ABL13" s="314" t="s">
        <v>203</v>
      </c>
      <c r="ABM13" s="314" t="s">
        <v>203</v>
      </c>
      <c r="ABN13" s="314" t="s">
        <v>203</v>
      </c>
      <c r="ABO13" s="314" t="s">
        <v>203</v>
      </c>
      <c r="ABP13" s="314" t="s">
        <v>203</v>
      </c>
      <c r="ABQ13" s="314" t="s">
        <v>203</v>
      </c>
      <c r="ABR13" s="314" t="s">
        <v>203</v>
      </c>
      <c r="ABS13" s="314" t="s">
        <v>203</v>
      </c>
      <c r="ABT13" s="314" t="s">
        <v>203</v>
      </c>
      <c r="ABU13" s="314" t="s">
        <v>203</v>
      </c>
      <c r="ABV13" s="314" t="s">
        <v>203</v>
      </c>
      <c r="ABW13" s="314" t="s">
        <v>203</v>
      </c>
      <c r="ABX13" s="314" t="s">
        <v>203</v>
      </c>
      <c r="ABY13" s="314" t="s">
        <v>203</v>
      </c>
      <c r="ABZ13" s="314" t="s">
        <v>203</v>
      </c>
      <c r="ACA13" s="314" t="s">
        <v>203</v>
      </c>
      <c r="ACB13" s="314" t="s">
        <v>203</v>
      </c>
      <c r="ACC13" s="314" t="s">
        <v>203</v>
      </c>
      <c r="ACD13" s="314" t="s">
        <v>203</v>
      </c>
      <c r="ACE13" s="314" t="s">
        <v>203</v>
      </c>
      <c r="ACF13" s="314" t="s">
        <v>203</v>
      </c>
      <c r="ACG13" s="314" t="s">
        <v>203</v>
      </c>
      <c r="ACH13" s="314" t="s">
        <v>203</v>
      </c>
      <c r="ACI13" s="314" t="s">
        <v>203</v>
      </c>
      <c r="ACJ13" s="314" t="s">
        <v>203</v>
      </c>
      <c r="ACK13" s="314" t="s">
        <v>203</v>
      </c>
      <c r="ACL13" s="314" t="s">
        <v>203</v>
      </c>
      <c r="ACM13" s="314" t="s">
        <v>203</v>
      </c>
      <c r="ACN13" s="314" t="s">
        <v>203</v>
      </c>
      <c r="ACO13" s="314" t="s">
        <v>203</v>
      </c>
      <c r="ACP13" s="314" t="s">
        <v>203</v>
      </c>
      <c r="ACQ13" s="314" t="s">
        <v>203</v>
      </c>
      <c r="ACR13" s="314" t="s">
        <v>203</v>
      </c>
      <c r="ACS13" s="314" t="s">
        <v>203</v>
      </c>
      <c r="ACT13" s="314" t="s">
        <v>203</v>
      </c>
      <c r="ACU13" s="314" t="s">
        <v>203</v>
      </c>
      <c r="ACV13" s="314" t="s">
        <v>203</v>
      </c>
      <c r="ACW13" s="314" t="s">
        <v>203</v>
      </c>
      <c r="ACX13" s="314" t="s">
        <v>203</v>
      </c>
      <c r="ACY13" s="314" t="s">
        <v>203</v>
      </c>
      <c r="ACZ13" s="314" t="s">
        <v>203</v>
      </c>
      <c r="ADA13" s="314" t="s">
        <v>203</v>
      </c>
      <c r="ADB13" s="314" t="s">
        <v>203</v>
      </c>
      <c r="ADC13" s="314" t="s">
        <v>203</v>
      </c>
      <c r="ADD13" s="314" t="s">
        <v>203</v>
      </c>
      <c r="ADE13" s="314" t="s">
        <v>203</v>
      </c>
      <c r="ADF13" s="314" t="s">
        <v>203</v>
      </c>
      <c r="ADG13" s="314" t="s">
        <v>203</v>
      </c>
      <c r="ADH13" s="314" t="s">
        <v>203</v>
      </c>
      <c r="ADI13" s="314" t="s">
        <v>203</v>
      </c>
      <c r="ADJ13" s="314" t="s">
        <v>203</v>
      </c>
      <c r="ADK13" s="314" t="s">
        <v>203</v>
      </c>
      <c r="ADL13" s="314" t="s">
        <v>203</v>
      </c>
      <c r="ADM13" s="314" t="s">
        <v>203</v>
      </c>
      <c r="ADN13" s="314" t="s">
        <v>203</v>
      </c>
      <c r="ADO13" s="314" t="s">
        <v>203</v>
      </c>
      <c r="ADP13" s="314" t="s">
        <v>203</v>
      </c>
      <c r="ADQ13" s="314" t="s">
        <v>203</v>
      </c>
      <c r="ADR13" s="314" t="s">
        <v>203</v>
      </c>
      <c r="ADS13" s="314" t="s">
        <v>203</v>
      </c>
      <c r="ADT13" s="314" t="s">
        <v>203</v>
      </c>
      <c r="ADU13" s="314" t="s">
        <v>203</v>
      </c>
      <c r="ADV13" s="314" t="s">
        <v>203</v>
      </c>
      <c r="ADW13" s="314" t="s">
        <v>203</v>
      </c>
      <c r="ADX13" s="314" t="s">
        <v>203</v>
      </c>
      <c r="ADY13" s="314" t="s">
        <v>203</v>
      </c>
      <c r="ADZ13" s="314" t="s">
        <v>203</v>
      </c>
      <c r="AEA13" s="314" t="s">
        <v>203</v>
      </c>
      <c r="AEB13" s="314" t="s">
        <v>203</v>
      </c>
      <c r="AEC13" s="314" t="s">
        <v>203</v>
      </c>
      <c r="AED13" s="314" t="s">
        <v>203</v>
      </c>
      <c r="AEE13" s="314" t="s">
        <v>203</v>
      </c>
      <c r="AEF13" s="314" t="s">
        <v>203</v>
      </c>
      <c r="AEG13" s="314" t="s">
        <v>203</v>
      </c>
      <c r="AEH13" s="314" t="s">
        <v>203</v>
      </c>
      <c r="AEI13" s="314" t="s">
        <v>203</v>
      </c>
      <c r="AEJ13" s="314" t="s">
        <v>203</v>
      </c>
      <c r="AEK13" s="314" t="s">
        <v>203</v>
      </c>
      <c r="AEL13" s="314" t="s">
        <v>203</v>
      </c>
      <c r="AEM13" s="314" t="s">
        <v>203</v>
      </c>
      <c r="AEN13" s="314" t="s">
        <v>203</v>
      </c>
      <c r="AEO13" s="314" t="s">
        <v>203</v>
      </c>
      <c r="AEP13" s="314" t="s">
        <v>203</v>
      </c>
      <c r="AEQ13" s="314" t="s">
        <v>203</v>
      </c>
      <c r="AER13" s="314" t="s">
        <v>203</v>
      </c>
      <c r="AES13" s="314" t="s">
        <v>203</v>
      </c>
      <c r="AET13" s="314" t="s">
        <v>203</v>
      </c>
      <c r="AEU13" s="314" t="s">
        <v>203</v>
      </c>
      <c r="AEV13" s="314" t="s">
        <v>203</v>
      </c>
      <c r="AEW13" s="314" t="s">
        <v>203</v>
      </c>
      <c r="AEX13" s="314" t="s">
        <v>203</v>
      </c>
      <c r="AEY13" s="314" t="s">
        <v>203</v>
      </c>
      <c r="AEZ13" s="314" t="s">
        <v>203</v>
      </c>
      <c r="AFA13" s="314" t="s">
        <v>203</v>
      </c>
      <c r="AFB13" s="314" t="s">
        <v>203</v>
      </c>
      <c r="AFC13" s="314" t="s">
        <v>203</v>
      </c>
      <c r="AFD13" s="314" t="s">
        <v>203</v>
      </c>
      <c r="AFE13" s="314" t="s">
        <v>203</v>
      </c>
      <c r="AFF13" s="314" t="s">
        <v>203</v>
      </c>
      <c r="AFG13" s="314" t="s">
        <v>203</v>
      </c>
      <c r="AFH13" s="314" t="s">
        <v>203</v>
      </c>
      <c r="AFI13" s="314" t="s">
        <v>203</v>
      </c>
      <c r="AFJ13" s="314" t="s">
        <v>203</v>
      </c>
      <c r="AFK13" s="314" t="s">
        <v>203</v>
      </c>
      <c r="AFL13" s="314" t="s">
        <v>203</v>
      </c>
      <c r="AFM13" s="314" t="s">
        <v>203</v>
      </c>
      <c r="AFN13" s="314" t="s">
        <v>203</v>
      </c>
      <c r="AFO13" s="314" t="s">
        <v>203</v>
      </c>
      <c r="AFP13" s="314" t="s">
        <v>203</v>
      </c>
      <c r="AFQ13" s="314" t="s">
        <v>203</v>
      </c>
      <c r="AFR13" s="314" t="s">
        <v>203</v>
      </c>
      <c r="AFS13" s="314" t="s">
        <v>203</v>
      </c>
      <c r="AFT13" s="314" t="s">
        <v>203</v>
      </c>
      <c r="AFU13" s="314" t="s">
        <v>203</v>
      </c>
      <c r="AFV13" s="314" t="s">
        <v>203</v>
      </c>
      <c r="AFW13" s="314" t="s">
        <v>203</v>
      </c>
      <c r="AFX13" s="314" t="s">
        <v>203</v>
      </c>
      <c r="AFY13" s="314" t="s">
        <v>203</v>
      </c>
      <c r="AFZ13" s="314" t="s">
        <v>203</v>
      </c>
      <c r="AGA13" s="314" t="s">
        <v>203</v>
      </c>
      <c r="AGB13" s="314" t="s">
        <v>203</v>
      </c>
      <c r="AGC13" s="314" t="s">
        <v>203</v>
      </c>
      <c r="AGD13" s="314" t="s">
        <v>203</v>
      </c>
      <c r="AGE13" s="314" t="s">
        <v>203</v>
      </c>
      <c r="AGF13" s="314" t="s">
        <v>203</v>
      </c>
      <c r="AGG13" s="314" t="s">
        <v>203</v>
      </c>
      <c r="AGH13" s="314" t="s">
        <v>203</v>
      </c>
      <c r="AGI13" s="314" t="s">
        <v>203</v>
      </c>
      <c r="AGJ13" s="314" t="s">
        <v>203</v>
      </c>
      <c r="AGK13" s="314" t="s">
        <v>203</v>
      </c>
      <c r="AGL13" s="314" t="s">
        <v>203</v>
      </c>
      <c r="AGM13" s="314" t="s">
        <v>203</v>
      </c>
      <c r="AGN13" s="314" t="s">
        <v>203</v>
      </c>
      <c r="AGO13" s="314" t="s">
        <v>203</v>
      </c>
      <c r="AGP13" s="314" t="s">
        <v>203</v>
      </c>
      <c r="AGQ13" s="314" t="s">
        <v>203</v>
      </c>
      <c r="AGR13" s="314" t="s">
        <v>203</v>
      </c>
      <c r="AGS13" s="314" t="s">
        <v>203</v>
      </c>
      <c r="AGT13" s="314" t="s">
        <v>203</v>
      </c>
      <c r="AGU13" s="314" t="s">
        <v>203</v>
      </c>
      <c r="AGV13" s="314" t="s">
        <v>203</v>
      </c>
      <c r="AGW13" s="314" t="s">
        <v>203</v>
      </c>
      <c r="AGX13" s="314" t="s">
        <v>203</v>
      </c>
      <c r="AGY13" s="314" t="s">
        <v>203</v>
      </c>
      <c r="AGZ13" s="314" t="s">
        <v>203</v>
      </c>
      <c r="AHA13" s="314" t="s">
        <v>203</v>
      </c>
      <c r="AHB13" s="314" t="s">
        <v>203</v>
      </c>
      <c r="AHC13" s="314" t="s">
        <v>203</v>
      </c>
      <c r="AHD13" s="314" t="s">
        <v>203</v>
      </c>
      <c r="AHE13" s="314" t="s">
        <v>203</v>
      </c>
      <c r="AHF13" s="314" t="s">
        <v>203</v>
      </c>
      <c r="AHG13" s="314" t="s">
        <v>203</v>
      </c>
      <c r="AHH13" s="314" t="s">
        <v>203</v>
      </c>
      <c r="AHI13" s="314" t="s">
        <v>203</v>
      </c>
      <c r="AHJ13" s="314" t="s">
        <v>203</v>
      </c>
      <c r="AHK13" s="314" t="s">
        <v>203</v>
      </c>
      <c r="AHL13" s="314" t="s">
        <v>203</v>
      </c>
      <c r="AHM13" s="314" t="s">
        <v>203</v>
      </c>
      <c r="AHN13" s="314" t="s">
        <v>203</v>
      </c>
      <c r="AHO13" s="314" t="s">
        <v>203</v>
      </c>
      <c r="AHP13" s="314" t="s">
        <v>203</v>
      </c>
      <c r="AHQ13" s="314" t="s">
        <v>203</v>
      </c>
      <c r="AHR13" s="314" t="s">
        <v>203</v>
      </c>
      <c r="AHS13" s="314" t="s">
        <v>203</v>
      </c>
      <c r="AHT13" s="314" t="s">
        <v>203</v>
      </c>
      <c r="AHU13" s="314" t="s">
        <v>203</v>
      </c>
      <c r="AHV13" s="314" t="s">
        <v>203</v>
      </c>
      <c r="AHW13" s="314" t="s">
        <v>203</v>
      </c>
      <c r="AHX13" s="314" t="s">
        <v>203</v>
      </c>
      <c r="AHY13" s="314" t="s">
        <v>203</v>
      </c>
      <c r="AHZ13" s="314" t="s">
        <v>203</v>
      </c>
      <c r="AIA13" s="314" t="s">
        <v>203</v>
      </c>
      <c r="AIB13" s="314" t="s">
        <v>203</v>
      </c>
      <c r="AIC13" s="314" t="s">
        <v>203</v>
      </c>
      <c r="AID13" s="314" t="s">
        <v>203</v>
      </c>
      <c r="AIE13" s="314" t="s">
        <v>203</v>
      </c>
      <c r="AIF13" s="314" t="s">
        <v>203</v>
      </c>
      <c r="AIG13" s="314" t="s">
        <v>203</v>
      </c>
      <c r="AIH13" s="314" t="s">
        <v>203</v>
      </c>
      <c r="AII13" s="314" t="s">
        <v>203</v>
      </c>
      <c r="AIJ13" s="314" t="s">
        <v>203</v>
      </c>
      <c r="AIK13" s="314" t="s">
        <v>203</v>
      </c>
      <c r="AIL13" s="314" t="s">
        <v>203</v>
      </c>
      <c r="AIM13" s="314" t="s">
        <v>203</v>
      </c>
      <c r="AIN13" s="314" t="s">
        <v>203</v>
      </c>
      <c r="AIO13" s="314" t="s">
        <v>203</v>
      </c>
      <c r="AIP13" s="314" t="s">
        <v>203</v>
      </c>
      <c r="AIQ13" s="314" t="s">
        <v>203</v>
      </c>
      <c r="AIR13" s="314" t="s">
        <v>203</v>
      </c>
      <c r="AIS13" s="314" t="s">
        <v>203</v>
      </c>
      <c r="AIT13" s="314" t="s">
        <v>203</v>
      </c>
      <c r="AIU13" s="314" t="s">
        <v>203</v>
      </c>
      <c r="AIV13" s="314" t="s">
        <v>203</v>
      </c>
      <c r="AIW13" s="314" t="s">
        <v>203</v>
      </c>
      <c r="AIX13" s="314" t="s">
        <v>203</v>
      </c>
      <c r="AIY13" s="314" t="s">
        <v>203</v>
      </c>
      <c r="AIZ13" s="314" t="s">
        <v>203</v>
      </c>
      <c r="AJA13" s="314" t="s">
        <v>203</v>
      </c>
      <c r="AJB13" s="314" t="s">
        <v>203</v>
      </c>
      <c r="AJC13" s="314" t="s">
        <v>203</v>
      </c>
      <c r="AJD13" s="314" t="s">
        <v>203</v>
      </c>
      <c r="AJE13" s="314" t="s">
        <v>203</v>
      </c>
      <c r="AJF13" s="314" t="s">
        <v>203</v>
      </c>
      <c r="AJG13" s="314" t="s">
        <v>203</v>
      </c>
      <c r="AJH13" s="314" t="s">
        <v>203</v>
      </c>
      <c r="AJI13" s="314" t="s">
        <v>203</v>
      </c>
      <c r="AJJ13" s="314" t="s">
        <v>203</v>
      </c>
      <c r="AJK13" s="314" t="s">
        <v>203</v>
      </c>
      <c r="AJL13" s="314" t="s">
        <v>203</v>
      </c>
      <c r="AJM13" s="314" t="s">
        <v>203</v>
      </c>
      <c r="AJN13" s="314" t="s">
        <v>203</v>
      </c>
      <c r="AJO13" s="314" t="s">
        <v>203</v>
      </c>
      <c r="AJP13" s="314" t="s">
        <v>203</v>
      </c>
      <c r="AJQ13" s="314" t="s">
        <v>203</v>
      </c>
      <c r="AJR13" s="314" t="s">
        <v>203</v>
      </c>
      <c r="AJS13" s="314" t="s">
        <v>203</v>
      </c>
      <c r="AJT13" s="314" t="s">
        <v>203</v>
      </c>
      <c r="AJU13" s="314" t="s">
        <v>203</v>
      </c>
      <c r="AJV13" s="314" t="s">
        <v>203</v>
      </c>
      <c r="AJW13" s="314" t="s">
        <v>203</v>
      </c>
      <c r="AJX13" s="314" t="s">
        <v>203</v>
      </c>
      <c r="AJY13" s="314" t="s">
        <v>203</v>
      </c>
      <c r="AJZ13" s="314" t="s">
        <v>203</v>
      </c>
      <c r="AKA13" s="314" t="s">
        <v>203</v>
      </c>
      <c r="AKB13" s="314" t="s">
        <v>203</v>
      </c>
      <c r="AKC13" s="314" t="s">
        <v>203</v>
      </c>
      <c r="AKD13" s="314" t="s">
        <v>203</v>
      </c>
      <c r="AKE13" s="314" t="s">
        <v>203</v>
      </c>
      <c r="AKF13" s="314" t="s">
        <v>203</v>
      </c>
      <c r="AKG13" s="314" t="s">
        <v>203</v>
      </c>
      <c r="AKH13" s="314" t="s">
        <v>203</v>
      </c>
      <c r="AKI13" s="314" t="s">
        <v>203</v>
      </c>
      <c r="AKJ13" s="314" t="s">
        <v>203</v>
      </c>
      <c r="AKK13" s="314" t="s">
        <v>203</v>
      </c>
      <c r="AKL13" s="314" t="s">
        <v>203</v>
      </c>
      <c r="AKM13" s="314" t="s">
        <v>203</v>
      </c>
      <c r="AKN13" s="314" t="s">
        <v>203</v>
      </c>
      <c r="AKO13" s="314" t="s">
        <v>203</v>
      </c>
      <c r="AKP13" s="314" t="s">
        <v>203</v>
      </c>
      <c r="AKQ13" s="314" t="s">
        <v>203</v>
      </c>
      <c r="AKR13" s="314" t="s">
        <v>203</v>
      </c>
      <c r="AKS13" s="314" t="s">
        <v>203</v>
      </c>
      <c r="AKT13" s="314" t="s">
        <v>203</v>
      </c>
      <c r="AKU13" s="314" t="s">
        <v>203</v>
      </c>
      <c r="AKV13" s="314" t="s">
        <v>203</v>
      </c>
      <c r="AKW13" s="314" t="s">
        <v>203</v>
      </c>
      <c r="AKX13" s="314" t="s">
        <v>203</v>
      </c>
      <c r="AKY13" s="314" t="s">
        <v>203</v>
      </c>
      <c r="AKZ13" s="314" t="s">
        <v>203</v>
      </c>
      <c r="ALA13" s="314" t="s">
        <v>203</v>
      </c>
      <c r="ALB13" s="314" t="s">
        <v>203</v>
      </c>
      <c r="ALC13" s="314" t="s">
        <v>203</v>
      </c>
      <c r="ALD13" s="314" t="s">
        <v>203</v>
      </c>
      <c r="ALE13" s="314" t="s">
        <v>203</v>
      </c>
      <c r="ALF13" s="314" t="s">
        <v>203</v>
      </c>
      <c r="ALG13" s="314" t="s">
        <v>203</v>
      </c>
      <c r="ALH13" s="314" t="s">
        <v>203</v>
      </c>
      <c r="ALI13" s="314" t="s">
        <v>203</v>
      </c>
      <c r="ALJ13" s="314" t="s">
        <v>203</v>
      </c>
      <c r="ALK13" s="314" t="s">
        <v>203</v>
      </c>
      <c r="ALL13" s="314" t="s">
        <v>203</v>
      </c>
      <c r="ALM13" s="314" t="s">
        <v>203</v>
      </c>
      <c r="ALN13" s="314" t="s">
        <v>203</v>
      </c>
      <c r="ALO13" s="314" t="s">
        <v>203</v>
      </c>
      <c r="ALP13" s="314" t="s">
        <v>203</v>
      </c>
      <c r="ALQ13" s="314" t="s">
        <v>203</v>
      </c>
      <c r="ALR13" s="314" t="s">
        <v>203</v>
      </c>
      <c r="ALS13" s="314" t="s">
        <v>203</v>
      </c>
      <c r="ALT13" s="314" t="s">
        <v>203</v>
      </c>
      <c r="ALU13" s="314" t="s">
        <v>203</v>
      </c>
      <c r="ALV13" s="314" t="s">
        <v>203</v>
      </c>
      <c r="ALW13" s="314" t="s">
        <v>203</v>
      </c>
      <c r="ALX13" s="314" t="s">
        <v>203</v>
      </c>
      <c r="ALY13" s="314" t="s">
        <v>203</v>
      </c>
      <c r="ALZ13" s="314" t="s">
        <v>203</v>
      </c>
      <c r="AMA13" s="314" t="s">
        <v>203</v>
      </c>
      <c r="AMB13" s="314" t="s">
        <v>203</v>
      </c>
      <c r="AMC13" s="314" t="s">
        <v>203</v>
      </c>
      <c r="AMD13" s="314" t="s">
        <v>203</v>
      </c>
      <c r="AME13" s="314" t="s">
        <v>203</v>
      </c>
      <c r="AMF13" s="314" t="s">
        <v>203</v>
      </c>
      <c r="AMG13" s="314" t="s">
        <v>203</v>
      </c>
      <c r="AMH13" s="314" t="s">
        <v>203</v>
      </c>
      <c r="AMI13" s="314" t="s">
        <v>203</v>
      </c>
      <c r="AMJ13" s="314" t="s">
        <v>203</v>
      </c>
      <c r="AMK13" s="314" t="s">
        <v>203</v>
      </c>
      <c r="AML13" s="314" t="s">
        <v>203</v>
      </c>
      <c r="AMM13" s="314" t="s">
        <v>203</v>
      </c>
      <c r="AMN13" s="314" t="s">
        <v>203</v>
      </c>
      <c r="AMO13" s="314" t="s">
        <v>203</v>
      </c>
      <c r="AMP13" s="314" t="s">
        <v>203</v>
      </c>
      <c r="AMQ13" s="314" t="s">
        <v>203</v>
      </c>
      <c r="AMR13" s="314" t="s">
        <v>203</v>
      </c>
      <c r="AMS13" s="314" t="s">
        <v>203</v>
      </c>
      <c r="AMT13" s="314" t="s">
        <v>203</v>
      </c>
      <c r="AMU13" s="314" t="s">
        <v>203</v>
      </c>
      <c r="AMV13" s="314" t="s">
        <v>203</v>
      </c>
      <c r="AMW13" s="314" t="s">
        <v>203</v>
      </c>
      <c r="AMX13" s="314" t="s">
        <v>203</v>
      </c>
      <c r="AMY13" s="314" t="s">
        <v>203</v>
      </c>
      <c r="AMZ13" s="314" t="s">
        <v>203</v>
      </c>
      <c r="ANA13" s="314" t="s">
        <v>203</v>
      </c>
      <c r="ANB13" s="314" t="s">
        <v>203</v>
      </c>
      <c r="ANC13" s="314" t="s">
        <v>203</v>
      </c>
      <c r="AND13" s="314" t="s">
        <v>203</v>
      </c>
      <c r="ANE13" s="314" t="s">
        <v>203</v>
      </c>
      <c r="ANF13" s="314" t="s">
        <v>203</v>
      </c>
      <c r="ANG13" s="314" t="s">
        <v>203</v>
      </c>
      <c r="ANH13" s="314" t="s">
        <v>203</v>
      </c>
      <c r="ANI13" s="314" t="s">
        <v>203</v>
      </c>
      <c r="ANJ13" s="314" t="s">
        <v>203</v>
      </c>
      <c r="ANK13" s="314" t="s">
        <v>203</v>
      </c>
      <c r="ANL13" s="314" t="s">
        <v>203</v>
      </c>
      <c r="ANM13" s="314" t="s">
        <v>203</v>
      </c>
      <c r="ANN13" s="314" t="s">
        <v>203</v>
      </c>
      <c r="ANO13" s="314" t="s">
        <v>203</v>
      </c>
      <c r="ANP13" s="314" t="s">
        <v>203</v>
      </c>
      <c r="ANQ13" s="314" t="s">
        <v>203</v>
      </c>
      <c r="ANR13" s="314" t="s">
        <v>203</v>
      </c>
      <c r="ANS13" s="314" t="s">
        <v>203</v>
      </c>
      <c r="ANT13" s="314" t="s">
        <v>203</v>
      </c>
      <c r="ANU13" s="314" t="s">
        <v>203</v>
      </c>
      <c r="ANV13" s="314" t="s">
        <v>203</v>
      </c>
      <c r="ANW13" s="314" t="s">
        <v>203</v>
      </c>
      <c r="ANX13" s="314" t="s">
        <v>203</v>
      </c>
      <c r="ANY13" s="314" t="s">
        <v>203</v>
      </c>
      <c r="ANZ13" s="314" t="s">
        <v>203</v>
      </c>
      <c r="AOA13" s="314" t="s">
        <v>203</v>
      </c>
      <c r="AOB13" s="314" t="s">
        <v>203</v>
      </c>
      <c r="AOC13" s="314" t="s">
        <v>203</v>
      </c>
      <c r="AOD13" s="314" t="s">
        <v>203</v>
      </c>
      <c r="AOE13" s="314" t="s">
        <v>203</v>
      </c>
      <c r="AOF13" s="314" t="s">
        <v>203</v>
      </c>
      <c r="AOG13" s="314" t="s">
        <v>203</v>
      </c>
      <c r="AOH13" s="314" t="s">
        <v>203</v>
      </c>
      <c r="AOI13" s="314" t="s">
        <v>203</v>
      </c>
      <c r="AOJ13" s="314" t="s">
        <v>203</v>
      </c>
      <c r="AOK13" s="314" t="s">
        <v>203</v>
      </c>
      <c r="AOL13" s="314" t="s">
        <v>203</v>
      </c>
      <c r="AOM13" s="314" t="s">
        <v>203</v>
      </c>
      <c r="AON13" s="314" t="s">
        <v>203</v>
      </c>
      <c r="AOO13" s="314" t="s">
        <v>203</v>
      </c>
      <c r="AOP13" s="314" t="s">
        <v>203</v>
      </c>
      <c r="AOQ13" s="314" t="s">
        <v>203</v>
      </c>
      <c r="AOR13" s="314" t="s">
        <v>203</v>
      </c>
      <c r="AOS13" s="314" t="s">
        <v>203</v>
      </c>
      <c r="AOT13" s="314" t="s">
        <v>203</v>
      </c>
      <c r="AOU13" s="314" t="s">
        <v>203</v>
      </c>
      <c r="AOV13" s="314" t="s">
        <v>203</v>
      </c>
      <c r="AOW13" s="314" t="s">
        <v>203</v>
      </c>
      <c r="AOX13" s="314" t="s">
        <v>203</v>
      </c>
      <c r="AOY13" s="314" t="s">
        <v>203</v>
      </c>
      <c r="AOZ13" s="314" t="s">
        <v>203</v>
      </c>
      <c r="APA13" s="314" t="s">
        <v>203</v>
      </c>
      <c r="APB13" s="314" t="s">
        <v>203</v>
      </c>
      <c r="APC13" s="314" t="s">
        <v>203</v>
      </c>
      <c r="APD13" s="314" t="s">
        <v>203</v>
      </c>
      <c r="APE13" s="314" t="s">
        <v>203</v>
      </c>
      <c r="APF13" s="314" t="s">
        <v>203</v>
      </c>
      <c r="APG13" s="314" t="s">
        <v>203</v>
      </c>
      <c r="APH13" s="314" t="s">
        <v>203</v>
      </c>
      <c r="API13" s="314" t="s">
        <v>203</v>
      </c>
      <c r="APJ13" s="314" t="s">
        <v>203</v>
      </c>
      <c r="APK13" s="314" t="s">
        <v>203</v>
      </c>
      <c r="APL13" s="314" t="s">
        <v>203</v>
      </c>
      <c r="APM13" s="314" t="s">
        <v>203</v>
      </c>
      <c r="APN13" s="314" t="s">
        <v>203</v>
      </c>
      <c r="APO13" s="314" t="s">
        <v>203</v>
      </c>
      <c r="APP13" s="314" t="s">
        <v>203</v>
      </c>
      <c r="APQ13" s="314" t="s">
        <v>203</v>
      </c>
      <c r="APR13" s="314" t="s">
        <v>203</v>
      </c>
      <c r="APS13" s="314" t="s">
        <v>203</v>
      </c>
      <c r="APT13" s="314" t="s">
        <v>203</v>
      </c>
      <c r="APU13" s="314" t="s">
        <v>203</v>
      </c>
      <c r="APV13" s="314" t="s">
        <v>203</v>
      </c>
      <c r="APW13" s="314" t="s">
        <v>203</v>
      </c>
      <c r="APX13" s="314" t="s">
        <v>203</v>
      </c>
      <c r="APY13" s="314" t="s">
        <v>203</v>
      </c>
      <c r="APZ13" s="314" t="s">
        <v>203</v>
      </c>
      <c r="AQA13" s="314" t="s">
        <v>203</v>
      </c>
      <c r="AQB13" s="314" t="s">
        <v>203</v>
      </c>
      <c r="AQC13" s="314" t="s">
        <v>203</v>
      </c>
      <c r="AQD13" s="314" t="s">
        <v>203</v>
      </c>
      <c r="AQE13" s="314" t="s">
        <v>203</v>
      </c>
      <c r="AQF13" s="314" t="s">
        <v>203</v>
      </c>
      <c r="AQG13" s="314" t="s">
        <v>203</v>
      </c>
      <c r="AQH13" s="314" t="s">
        <v>203</v>
      </c>
      <c r="AQI13" s="314" t="s">
        <v>203</v>
      </c>
      <c r="AQJ13" s="314" t="s">
        <v>203</v>
      </c>
      <c r="AQK13" s="314" t="s">
        <v>203</v>
      </c>
      <c r="AQL13" s="314" t="s">
        <v>203</v>
      </c>
      <c r="AQM13" s="314" t="s">
        <v>203</v>
      </c>
      <c r="AQN13" s="314" t="s">
        <v>203</v>
      </c>
      <c r="AQO13" s="314" t="s">
        <v>203</v>
      </c>
      <c r="AQP13" s="314" t="s">
        <v>203</v>
      </c>
      <c r="AQQ13" s="314" t="s">
        <v>203</v>
      </c>
      <c r="AQR13" s="314" t="s">
        <v>203</v>
      </c>
      <c r="AQS13" s="314" t="s">
        <v>203</v>
      </c>
      <c r="AQT13" s="314" t="s">
        <v>203</v>
      </c>
      <c r="AQU13" s="314" t="s">
        <v>203</v>
      </c>
      <c r="AQV13" s="314" t="s">
        <v>203</v>
      </c>
      <c r="AQW13" s="314" t="s">
        <v>203</v>
      </c>
      <c r="AQX13" s="314" t="s">
        <v>203</v>
      </c>
      <c r="AQY13" s="314" t="s">
        <v>203</v>
      </c>
      <c r="AQZ13" s="314" t="s">
        <v>203</v>
      </c>
      <c r="ARA13" s="314" t="s">
        <v>203</v>
      </c>
      <c r="ARB13" s="314" t="s">
        <v>203</v>
      </c>
      <c r="ARC13" s="314" t="s">
        <v>203</v>
      </c>
      <c r="ARD13" s="314" t="s">
        <v>203</v>
      </c>
      <c r="ARE13" s="314" t="s">
        <v>203</v>
      </c>
      <c r="ARF13" s="314" t="s">
        <v>203</v>
      </c>
      <c r="ARG13" s="314" t="s">
        <v>203</v>
      </c>
      <c r="ARH13" s="314" t="s">
        <v>203</v>
      </c>
      <c r="ARI13" s="314" t="s">
        <v>203</v>
      </c>
      <c r="ARJ13" s="314" t="s">
        <v>203</v>
      </c>
      <c r="ARK13" s="314" t="s">
        <v>203</v>
      </c>
      <c r="ARL13" s="314" t="s">
        <v>203</v>
      </c>
      <c r="ARM13" s="314" t="s">
        <v>203</v>
      </c>
      <c r="ARN13" s="314" t="s">
        <v>203</v>
      </c>
      <c r="ARO13" s="314" t="s">
        <v>203</v>
      </c>
      <c r="ARP13" s="314" t="s">
        <v>203</v>
      </c>
      <c r="ARQ13" s="314" t="s">
        <v>203</v>
      </c>
      <c r="ARR13" s="314" t="s">
        <v>203</v>
      </c>
      <c r="ARS13" s="314" t="s">
        <v>203</v>
      </c>
      <c r="ART13" s="314" t="s">
        <v>203</v>
      </c>
      <c r="ARU13" s="314" t="s">
        <v>203</v>
      </c>
      <c r="ARV13" s="314" t="s">
        <v>203</v>
      </c>
      <c r="ARW13" s="314" t="s">
        <v>203</v>
      </c>
      <c r="ARX13" s="314" t="s">
        <v>203</v>
      </c>
      <c r="ARY13" s="314" t="s">
        <v>203</v>
      </c>
      <c r="ARZ13" s="314" t="s">
        <v>203</v>
      </c>
      <c r="ASA13" s="314" t="s">
        <v>203</v>
      </c>
      <c r="ASB13" s="314" t="s">
        <v>203</v>
      </c>
      <c r="ASC13" s="314" t="s">
        <v>203</v>
      </c>
      <c r="ASD13" s="314" t="s">
        <v>203</v>
      </c>
      <c r="ASE13" s="314" t="s">
        <v>203</v>
      </c>
      <c r="ASF13" s="314" t="s">
        <v>203</v>
      </c>
      <c r="ASG13" s="314" t="s">
        <v>203</v>
      </c>
      <c r="ASH13" s="314" t="s">
        <v>203</v>
      </c>
      <c r="ASI13" s="314" t="s">
        <v>203</v>
      </c>
      <c r="ASJ13" s="314" t="s">
        <v>203</v>
      </c>
      <c r="ASK13" s="314" t="s">
        <v>203</v>
      </c>
      <c r="ASL13" s="314" t="s">
        <v>203</v>
      </c>
      <c r="ASM13" s="314" t="s">
        <v>203</v>
      </c>
      <c r="ASN13" s="314" t="s">
        <v>203</v>
      </c>
      <c r="ASO13" s="314" t="s">
        <v>203</v>
      </c>
      <c r="ASP13" s="314" t="s">
        <v>203</v>
      </c>
      <c r="ASQ13" s="314" t="s">
        <v>203</v>
      </c>
      <c r="ASR13" s="314" t="s">
        <v>203</v>
      </c>
      <c r="ASS13" s="314" t="s">
        <v>203</v>
      </c>
      <c r="AST13" s="314" t="s">
        <v>203</v>
      </c>
      <c r="ASU13" s="314" t="s">
        <v>203</v>
      </c>
      <c r="ASV13" s="314" t="s">
        <v>203</v>
      </c>
      <c r="ASW13" s="314" t="s">
        <v>203</v>
      </c>
      <c r="ASX13" s="314" t="s">
        <v>203</v>
      </c>
      <c r="ASY13" s="314" t="s">
        <v>203</v>
      </c>
      <c r="ASZ13" s="314" t="s">
        <v>203</v>
      </c>
      <c r="ATA13" s="314" t="s">
        <v>203</v>
      </c>
      <c r="ATB13" s="314" t="s">
        <v>203</v>
      </c>
      <c r="ATC13" s="314" t="s">
        <v>203</v>
      </c>
      <c r="ATD13" s="314" t="s">
        <v>203</v>
      </c>
      <c r="ATE13" s="314" t="s">
        <v>203</v>
      </c>
      <c r="ATF13" s="314" t="s">
        <v>203</v>
      </c>
      <c r="ATG13" s="314" t="s">
        <v>203</v>
      </c>
      <c r="ATH13" s="314" t="s">
        <v>203</v>
      </c>
      <c r="ATI13" s="314" t="s">
        <v>203</v>
      </c>
      <c r="ATJ13" s="314" t="s">
        <v>203</v>
      </c>
      <c r="ATK13" s="314" t="s">
        <v>203</v>
      </c>
      <c r="ATL13" s="314" t="s">
        <v>203</v>
      </c>
      <c r="ATM13" s="314" t="s">
        <v>203</v>
      </c>
      <c r="ATN13" s="314" t="s">
        <v>203</v>
      </c>
      <c r="ATO13" s="314" t="s">
        <v>203</v>
      </c>
      <c r="ATP13" s="314" t="s">
        <v>203</v>
      </c>
      <c r="ATQ13" s="314" t="s">
        <v>203</v>
      </c>
      <c r="ATR13" s="314" t="s">
        <v>203</v>
      </c>
      <c r="ATS13" s="314" t="s">
        <v>203</v>
      </c>
      <c r="ATT13" s="314" t="s">
        <v>203</v>
      </c>
      <c r="ATU13" s="314" t="s">
        <v>203</v>
      </c>
      <c r="ATV13" s="314" t="s">
        <v>203</v>
      </c>
      <c r="ATW13" s="314" t="s">
        <v>203</v>
      </c>
      <c r="ATX13" s="314" t="s">
        <v>203</v>
      </c>
      <c r="ATY13" s="314" t="s">
        <v>203</v>
      </c>
      <c r="ATZ13" s="314" t="s">
        <v>203</v>
      </c>
      <c r="AUA13" s="314" t="s">
        <v>203</v>
      </c>
      <c r="AUB13" s="314" t="s">
        <v>203</v>
      </c>
      <c r="AUC13" s="314" t="s">
        <v>203</v>
      </c>
      <c r="AUD13" s="314" t="s">
        <v>203</v>
      </c>
      <c r="AUE13" s="314" t="s">
        <v>203</v>
      </c>
      <c r="AUF13" s="314" t="s">
        <v>203</v>
      </c>
      <c r="AUG13" s="314" t="s">
        <v>203</v>
      </c>
      <c r="AUH13" s="314" t="s">
        <v>203</v>
      </c>
      <c r="AUI13" s="314" t="s">
        <v>203</v>
      </c>
      <c r="AUJ13" s="314" t="s">
        <v>203</v>
      </c>
      <c r="AUK13" s="314" t="s">
        <v>203</v>
      </c>
      <c r="AUL13" s="314" t="s">
        <v>203</v>
      </c>
      <c r="AUM13" s="314" t="s">
        <v>203</v>
      </c>
      <c r="AUN13" s="314" t="s">
        <v>203</v>
      </c>
      <c r="AUO13" s="314" t="s">
        <v>203</v>
      </c>
      <c r="AUP13" s="314" t="s">
        <v>203</v>
      </c>
      <c r="AUQ13" s="314" t="s">
        <v>203</v>
      </c>
      <c r="AUR13" s="314" t="s">
        <v>203</v>
      </c>
      <c r="AUS13" s="314" t="s">
        <v>203</v>
      </c>
      <c r="AUT13" s="314" t="s">
        <v>203</v>
      </c>
      <c r="AUU13" s="314" t="s">
        <v>203</v>
      </c>
      <c r="AUV13" s="314" t="s">
        <v>203</v>
      </c>
      <c r="AUW13" s="314" t="s">
        <v>203</v>
      </c>
      <c r="AUX13" s="314" t="s">
        <v>203</v>
      </c>
      <c r="AUY13" s="314" t="s">
        <v>203</v>
      </c>
      <c r="AUZ13" s="314" t="s">
        <v>203</v>
      </c>
      <c r="AVA13" s="314" t="s">
        <v>203</v>
      </c>
      <c r="AVB13" s="314" t="s">
        <v>203</v>
      </c>
      <c r="AVC13" s="314" t="s">
        <v>203</v>
      </c>
      <c r="AVD13" s="314" t="s">
        <v>203</v>
      </c>
      <c r="AVE13" s="314" t="s">
        <v>203</v>
      </c>
      <c r="AVF13" s="314" t="s">
        <v>203</v>
      </c>
      <c r="AVG13" s="314" t="s">
        <v>203</v>
      </c>
      <c r="AVH13" s="314" t="s">
        <v>203</v>
      </c>
      <c r="AVI13" s="314" t="s">
        <v>203</v>
      </c>
      <c r="AVJ13" s="314" t="s">
        <v>203</v>
      </c>
      <c r="AVK13" s="314" t="s">
        <v>203</v>
      </c>
      <c r="AVL13" s="314" t="s">
        <v>203</v>
      </c>
      <c r="AVM13" s="314" t="s">
        <v>203</v>
      </c>
      <c r="AVN13" s="314" t="s">
        <v>203</v>
      </c>
      <c r="AVO13" s="314" t="s">
        <v>203</v>
      </c>
      <c r="AVP13" s="314" t="s">
        <v>203</v>
      </c>
      <c r="AVQ13" s="314" t="s">
        <v>203</v>
      </c>
      <c r="AVR13" s="314" t="s">
        <v>203</v>
      </c>
      <c r="AVS13" s="314" t="s">
        <v>203</v>
      </c>
      <c r="AVT13" s="314" t="s">
        <v>203</v>
      </c>
      <c r="AVU13" s="314" t="s">
        <v>203</v>
      </c>
      <c r="AVV13" s="314" t="s">
        <v>203</v>
      </c>
      <c r="AVW13" s="314" t="s">
        <v>203</v>
      </c>
      <c r="AVX13" s="314" t="s">
        <v>203</v>
      </c>
      <c r="AVY13" s="314" t="s">
        <v>203</v>
      </c>
      <c r="AVZ13" s="314" t="s">
        <v>203</v>
      </c>
      <c r="AWA13" s="314" t="s">
        <v>203</v>
      </c>
      <c r="AWB13" s="314" t="s">
        <v>203</v>
      </c>
      <c r="AWC13" s="314" t="s">
        <v>203</v>
      </c>
      <c r="AWD13" s="314" t="s">
        <v>203</v>
      </c>
      <c r="AWE13" s="314" t="s">
        <v>203</v>
      </c>
      <c r="AWF13" s="314" t="s">
        <v>203</v>
      </c>
      <c r="AWG13" s="314" t="s">
        <v>203</v>
      </c>
      <c r="AWH13" s="314" t="s">
        <v>203</v>
      </c>
      <c r="AWI13" s="314" t="s">
        <v>203</v>
      </c>
      <c r="AWJ13" s="314" t="s">
        <v>203</v>
      </c>
      <c r="AWK13" s="314" t="s">
        <v>203</v>
      </c>
      <c r="AWL13" s="314" t="s">
        <v>203</v>
      </c>
      <c r="AWM13" s="314" t="s">
        <v>203</v>
      </c>
      <c r="AWN13" s="314" t="s">
        <v>203</v>
      </c>
      <c r="AWO13" s="314" t="s">
        <v>203</v>
      </c>
      <c r="AWP13" s="314" t="s">
        <v>203</v>
      </c>
      <c r="AWQ13" s="314" t="s">
        <v>203</v>
      </c>
      <c r="AWR13" s="314" t="s">
        <v>203</v>
      </c>
      <c r="AWS13" s="314" t="s">
        <v>203</v>
      </c>
      <c r="AWT13" s="314" t="s">
        <v>203</v>
      </c>
      <c r="AWU13" s="314" t="s">
        <v>203</v>
      </c>
      <c r="AWV13" s="314" t="s">
        <v>203</v>
      </c>
      <c r="AWW13" s="314" t="s">
        <v>203</v>
      </c>
      <c r="AWX13" s="314" t="s">
        <v>203</v>
      </c>
      <c r="AWY13" s="314" t="s">
        <v>203</v>
      </c>
      <c r="AWZ13" s="314" t="s">
        <v>203</v>
      </c>
      <c r="AXA13" s="314" t="s">
        <v>203</v>
      </c>
      <c r="AXB13" s="314" t="s">
        <v>203</v>
      </c>
      <c r="AXC13" s="314" t="s">
        <v>203</v>
      </c>
      <c r="AXD13" s="314" t="s">
        <v>203</v>
      </c>
      <c r="AXE13" s="314" t="s">
        <v>203</v>
      </c>
      <c r="AXF13" s="314" t="s">
        <v>203</v>
      </c>
      <c r="AXG13" s="314" t="s">
        <v>203</v>
      </c>
      <c r="AXH13" s="314" t="s">
        <v>203</v>
      </c>
      <c r="AXI13" s="314" t="s">
        <v>203</v>
      </c>
      <c r="AXJ13" s="314" t="s">
        <v>203</v>
      </c>
      <c r="AXK13" s="314" t="s">
        <v>203</v>
      </c>
      <c r="AXL13" s="314" t="s">
        <v>203</v>
      </c>
      <c r="AXM13" s="314" t="s">
        <v>203</v>
      </c>
      <c r="AXN13" s="314" t="s">
        <v>203</v>
      </c>
      <c r="AXO13" s="314" t="s">
        <v>203</v>
      </c>
      <c r="AXP13" s="314" t="s">
        <v>203</v>
      </c>
      <c r="AXQ13" s="314" t="s">
        <v>203</v>
      </c>
      <c r="AXR13" s="314" t="s">
        <v>203</v>
      </c>
      <c r="AXS13" s="314" t="s">
        <v>203</v>
      </c>
      <c r="AXT13" s="314" t="s">
        <v>203</v>
      </c>
      <c r="AXU13" s="314" t="s">
        <v>203</v>
      </c>
      <c r="AXV13" s="314" t="s">
        <v>203</v>
      </c>
      <c r="AXW13" s="314" t="s">
        <v>203</v>
      </c>
      <c r="AXX13" s="314" t="s">
        <v>203</v>
      </c>
      <c r="AXY13" s="314" t="s">
        <v>203</v>
      </c>
      <c r="AXZ13" s="314" t="s">
        <v>203</v>
      </c>
      <c r="AYA13" s="314" t="s">
        <v>203</v>
      </c>
      <c r="AYB13" s="314" t="s">
        <v>203</v>
      </c>
      <c r="AYC13" s="314" t="s">
        <v>203</v>
      </c>
      <c r="AYD13" s="314" t="s">
        <v>203</v>
      </c>
      <c r="AYE13" s="314" t="s">
        <v>203</v>
      </c>
      <c r="AYF13" s="314" t="s">
        <v>203</v>
      </c>
      <c r="AYG13" s="314" t="s">
        <v>203</v>
      </c>
      <c r="AYH13" s="314" t="s">
        <v>203</v>
      </c>
      <c r="AYI13" s="314" t="s">
        <v>203</v>
      </c>
      <c r="AYJ13" s="314" t="s">
        <v>203</v>
      </c>
      <c r="AYK13" s="314" t="s">
        <v>203</v>
      </c>
      <c r="AYL13" s="314" t="s">
        <v>203</v>
      </c>
      <c r="AYM13" s="314" t="s">
        <v>203</v>
      </c>
      <c r="AYN13" s="314" t="s">
        <v>203</v>
      </c>
      <c r="AYO13" s="314" t="s">
        <v>203</v>
      </c>
      <c r="AYP13" s="314" t="s">
        <v>203</v>
      </c>
      <c r="AYQ13" s="314" t="s">
        <v>203</v>
      </c>
      <c r="AYR13" s="314" t="s">
        <v>203</v>
      </c>
      <c r="AYS13" s="314" t="s">
        <v>203</v>
      </c>
      <c r="AYT13" s="314" t="s">
        <v>203</v>
      </c>
      <c r="AYU13" s="314" t="s">
        <v>203</v>
      </c>
      <c r="AYV13" s="314" t="s">
        <v>203</v>
      </c>
      <c r="AYW13" s="314" t="s">
        <v>203</v>
      </c>
      <c r="AYX13" s="314" t="s">
        <v>203</v>
      </c>
      <c r="AYY13" s="314" t="s">
        <v>203</v>
      </c>
      <c r="AYZ13" s="314" t="s">
        <v>203</v>
      </c>
      <c r="AZA13" s="314" t="s">
        <v>203</v>
      </c>
      <c r="AZB13" s="314" t="s">
        <v>203</v>
      </c>
      <c r="AZC13" s="314" t="s">
        <v>203</v>
      </c>
      <c r="AZD13" s="314" t="s">
        <v>203</v>
      </c>
      <c r="AZE13" s="314" t="s">
        <v>203</v>
      </c>
      <c r="AZF13" s="314" t="s">
        <v>203</v>
      </c>
      <c r="AZG13" s="314" t="s">
        <v>203</v>
      </c>
      <c r="AZH13" s="314" t="s">
        <v>203</v>
      </c>
      <c r="AZI13" s="314" t="s">
        <v>203</v>
      </c>
      <c r="AZJ13" s="314" t="s">
        <v>203</v>
      </c>
      <c r="AZK13" s="314" t="s">
        <v>203</v>
      </c>
      <c r="AZL13" s="314" t="s">
        <v>203</v>
      </c>
      <c r="AZM13" s="314" t="s">
        <v>203</v>
      </c>
      <c r="AZN13" s="314" t="s">
        <v>203</v>
      </c>
      <c r="AZO13" s="314" t="s">
        <v>203</v>
      </c>
      <c r="AZP13" s="314" t="s">
        <v>203</v>
      </c>
      <c r="AZQ13" s="314" t="s">
        <v>203</v>
      </c>
      <c r="AZR13" s="314" t="s">
        <v>203</v>
      </c>
      <c r="AZS13" s="314" t="s">
        <v>203</v>
      </c>
      <c r="AZT13" s="314" t="s">
        <v>203</v>
      </c>
      <c r="AZU13" s="314" t="s">
        <v>203</v>
      </c>
      <c r="AZV13" s="314" t="s">
        <v>203</v>
      </c>
      <c r="AZW13" s="314" t="s">
        <v>203</v>
      </c>
      <c r="AZX13" s="314" t="s">
        <v>203</v>
      </c>
      <c r="AZY13" s="314" t="s">
        <v>203</v>
      </c>
      <c r="AZZ13" s="314" t="s">
        <v>203</v>
      </c>
      <c r="BAA13" s="314" t="s">
        <v>203</v>
      </c>
      <c r="BAB13" s="314" t="s">
        <v>203</v>
      </c>
      <c r="BAC13" s="314" t="s">
        <v>203</v>
      </c>
      <c r="BAD13" s="314" t="s">
        <v>203</v>
      </c>
      <c r="BAE13" s="314" t="s">
        <v>203</v>
      </c>
      <c r="BAF13" s="314" t="s">
        <v>203</v>
      </c>
      <c r="BAG13" s="314" t="s">
        <v>203</v>
      </c>
      <c r="BAH13" s="314" t="s">
        <v>203</v>
      </c>
      <c r="BAI13" s="314" t="s">
        <v>203</v>
      </c>
      <c r="BAJ13" s="314" t="s">
        <v>203</v>
      </c>
      <c r="BAK13" s="314" t="s">
        <v>203</v>
      </c>
      <c r="BAL13" s="314" t="s">
        <v>203</v>
      </c>
      <c r="BAM13" s="314" t="s">
        <v>203</v>
      </c>
      <c r="BAN13" s="314" t="s">
        <v>203</v>
      </c>
      <c r="BAO13" s="314" t="s">
        <v>203</v>
      </c>
      <c r="BAP13" s="314" t="s">
        <v>203</v>
      </c>
      <c r="BAQ13" s="314" t="s">
        <v>203</v>
      </c>
      <c r="BAR13" s="314" t="s">
        <v>203</v>
      </c>
      <c r="BAS13" s="314" t="s">
        <v>203</v>
      </c>
      <c r="BAT13" s="314" t="s">
        <v>203</v>
      </c>
      <c r="BAU13" s="314" t="s">
        <v>203</v>
      </c>
      <c r="BAV13" s="314" t="s">
        <v>203</v>
      </c>
      <c r="BAW13" s="314" t="s">
        <v>203</v>
      </c>
      <c r="BAX13" s="314" t="s">
        <v>203</v>
      </c>
      <c r="BAY13" s="314" t="s">
        <v>203</v>
      </c>
      <c r="BAZ13" s="314" t="s">
        <v>203</v>
      </c>
      <c r="BBA13" s="314" t="s">
        <v>203</v>
      </c>
      <c r="BBB13" s="314" t="s">
        <v>203</v>
      </c>
      <c r="BBC13" s="314" t="s">
        <v>203</v>
      </c>
      <c r="BBD13" s="314" t="s">
        <v>203</v>
      </c>
      <c r="BBE13" s="314" t="s">
        <v>203</v>
      </c>
      <c r="BBF13" s="314" t="s">
        <v>203</v>
      </c>
      <c r="BBG13" s="314" t="s">
        <v>203</v>
      </c>
      <c r="BBH13" s="314" t="s">
        <v>203</v>
      </c>
      <c r="BBI13" s="314" t="s">
        <v>203</v>
      </c>
      <c r="BBJ13" s="314" t="s">
        <v>203</v>
      </c>
      <c r="BBK13" s="314" t="s">
        <v>203</v>
      </c>
      <c r="BBL13" s="314" t="s">
        <v>203</v>
      </c>
      <c r="BBM13" s="314" t="s">
        <v>203</v>
      </c>
      <c r="BBN13" s="314" t="s">
        <v>203</v>
      </c>
      <c r="BBO13" s="314" t="s">
        <v>203</v>
      </c>
      <c r="BBP13" s="314" t="s">
        <v>203</v>
      </c>
      <c r="BBQ13" s="314" t="s">
        <v>203</v>
      </c>
      <c r="BBR13" s="314" t="s">
        <v>203</v>
      </c>
      <c r="BBS13" s="314" t="s">
        <v>203</v>
      </c>
      <c r="BBT13" s="314" t="s">
        <v>203</v>
      </c>
      <c r="BBU13" s="314" t="s">
        <v>203</v>
      </c>
      <c r="BBV13" s="314" t="s">
        <v>203</v>
      </c>
      <c r="BBW13" s="314" t="s">
        <v>203</v>
      </c>
      <c r="BBX13" s="314" t="s">
        <v>203</v>
      </c>
      <c r="BBY13" s="314" t="s">
        <v>203</v>
      </c>
      <c r="BBZ13" s="314" t="s">
        <v>203</v>
      </c>
      <c r="BCA13" s="314" t="s">
        <v>203</v>
      </c>
      <c r="BCB13" s="314" t="s">
        <v>203</v>
      </c>
      <c r="BCC13" s="314" t="s">
        <v>203</v>
      </c>
      <c r="BCD13" s="314" t="s">
        <v>203</v>
      </c>
      <c r="BCE13" s="314" t="s">
        <v>203</v>
      </c>
      <c r="BCF13" s="314" t="s">
        <v>203</v>
      </c>
      <c r="BCG13" s="314" t="s">
        <v>203</v>
      </c>
      <c r="BCH13" s="314" t="s">
        <v>203</v>
      </c>
      <c r="BCI13" s="314" t="s">
        <v>203</v>
      </c>
      <c r="BCJ13" s="314" t="s">
        <v>203</v>
      </c>
      <c r="BCK13" s="314" t="s">
        <v>203</v>
      </c>
      <c r="BCL13" s="314" t="s">
        <v>203</v>
      </c>
      <c r="BCM13" s="314" t="s">
        <v>203</v>
      </c>
      <c r="BCN13" s="314" t="s">
        <v>203</v>
      </c>
      <c r="BCO13" s="314" t="s">
        <v>203</v>
      </c>
      <c r="BCP13" s="314" t="s">
        <v>203</v>
      </c>
      <c r="BCQ13" s="314" t="s">
        <v>203</v>
      </c>
      <c r="BCR13" s="314" t="s">
        <v>203</v>
      </c>
      <c r="BCS13" s="314" t="s">
        <v>203</v>
      </c>
      <c r="BCT13" s="314" t="s">
        <v>203</v>
      </c>
      <c r="BCU13" s="314" t="s">
        <v>203</v>
      </c>
      <c r="BCV13" s="314" t="s">
        <v>203</v>
      </c>
      <c r="BCW13" s="314" t="s">
        <v>203</v>
      </c>
      <c r="BCX13" s="314" t="s">
        <v>203</v>
      </c>
      <c r="BCY13" s="314" t="s">
        <v>203</v>
      </c>
      <c r="BCZ13" s="314" t="s">
        <v>203</v>
      </c>
      <c r="BDA13" s="314" t="s">
        <v>203</v>
      </c>
      <c r="BDB13" s="314" t="s">
        <v>203</v>
      </c>
      <c r="BDC13" s="314" t="s">
        <v>203</v>
      </c>
      <c r="BDD13" s="314" t="s">
        <v>203</v>
      </c>
      <c r="BDE13" s="314" t="s">
        <v>203</v>
      </c>
      <c r="BDF13" s="314" t="s">
        <v>203</v>
      </c>
      <c r="BDG13" s="314" t="s">
        <v>203</v>
      </c>
      <c r="BDH13" s="314" t="s">
        <v>203</v>
      </c>
      <c r="BDI13" s="314" t="s">
        <v>203</v>
      </c>
      <c r="BDJ13" s="314" t="s">
        <v>203</v>
      </c>
      <c r="BDK13" s="314" t="s">
        <v>203</v>
      </c>
      <c r="BDL13" s="314" t="s">
        <v>203</v>
      </c>
      <c r="BDM13" s="314" t="s">
        <v>203</v>
      </c>
      <c r="BDN13" s="314" t="s">
        <v>203</v>
      </c>
      <c r="BDO13" s="314" t="s">
        <v>203</v>
      </c>
      <c r="BDP13" s="314" t="s">
        <v>203</v>
      </c>
      <c r="BDQ13" s="314" t="s">
        <v>203</v>
      </c>
      <c r="BDR13" s="314" t="s">
        <v>203</v>
      </c>
      <c r="BDS13" s="314" t="s">
        <v>203</v>
      </c>
      <c r="BDT13" s="314" t="s">
        <v>203</v>
      </c>
      <c r="BDU13" s="314" t="s">
        <v>203</v>
      </c>
      <c r="BDV13" s="314" t="s">
        <v>203</v>
      </c>
      <c r="BDW13" s="314" t="s">
        <v>203</v>
      </c>
      <c r="BDX13" s="314" t="s">
        <v>203</v>
      </c>
      <c r="BDY13" s="314" t="s">
        <v>203</v>
      </c>
      <c r="BDZ13" s="314" t="s">
        <v>203</v>
      </c>
      <c r="BEA13" s="314" t="s">
        <v>203</v>
      </c>
      <c r="BEB13" s="314" t="s">
        <v>203</v>
      </c>
      <c r="BEC13" s="314" t="s">
        <v>203</v>
      </c>
      <c r="BED13" s="314" t="s">
        <v>203</v>
      </c>
      <c r="BEE13" s="314" t="s">
        <v>203</v>
      </c>
      <c r="BEF13" s="314" t="s">
        <v>203</v>
      </c>
      <c r="BEG13" s="314" t="s">
        <v>203</v>
      </c>
      <c r="BEH13" s="314" t="s">
        <v>203</v>
      </c>
      <c r="BEI13" s="314" t="s">
        <v>203</v>
      </c>
      <c r="BEJ13" s="314" t="s">
        <v>203</v>
      </c>
      <c r="BEK13" s="314" t="s">
        <v>203</v>
      </c>
      <c r="BEL13" s="314" t="s">
        <v>203</v>
      </c>
      <c r="BEM13" s="314" t="s">
        <v>203</v>
      </c>
      <c r="BEN13" s="314" t="s">
        <v>203</v>
      </c>
      <c r="BEO13" s="314" t="s">
        <v>203</v>
      </c>
      <c r="BEP13" s="314" t="s">
        <v>203</v>
      </c>
      <c r="BEQ13" s="314" t="s">
        <v>203</v>
      </c>
      <c r="BER13" s="314" t="s">
        <v>203</v>
      </c>
      <c r="BES13" s="314" t="s">
        <v>203</v>
      </c>
      <c r="BET13" s="314" t="s">
        <v>203</v>
      </c>
      <c r="BEU13" s="314" t="s">
        <v>203</v>
      </c>
      <c r="BEV13" s="314" t="s">
        <v>203</v>
      </c>
      <c r="BEW13" s="314" t="s">
        <v>203</v>
      </c>
      <c r="BEX13" s="314" t="s">
        <v>203</v>
      </c>
      <c r="BEY13" s="314" t="s">
        <v>203</v>
      </c>
      <c r="BEZ13" s="314" t="s">
        <v>203</v>
      </c>
      <c r="BFA13" s="314" t="s">
        <v>203</v>
      </c>
      <c r="BFB13" s="314" t="s">
        <v>203</v>
      </c>
      <c r="BFC13" s="314" t="s">
        <v>203</v>
      </c>
      <c r="BFD13" s="314" t="s">
        <v>203</v>
      </c>
      <c r="BFE13" s="314" t="s">
        <v>203</v>
      </c>
      <c r="BFF13" s="314" t="s">
        <v>203</v>
      </c>
      <c r="BFG13" s="314" t="s">
        <v>203</v>
      </c>
      <c r="BFH13" s="314" t="s">
        <v>203</v>
      </c>
      <c r="BFI13" s="314" t="s">
        <v>203</v>
      </c>
      <c r="BFJ13" s="314" t="s">
        <v>203</v>
      </c>
      <c r="BFK13" s="314" t="s">
        <v>203</v>
      </c>
      <c r="BFL13" s="314" t="s">
        <v>203</v>
      </c>
      <c r="BFM13" s="314" t="s">
        <v>203</v>
      </c>
      <c r="BFN13" s="314" t="s">
        <v>203</v>
      </c>
      <c r="BFO13" s="314" t="s">
        <v>203</v>
      </c>
      <c r="BFP13" s="314" t="s">
        <v>203</v>
      </c>
      <c r="BFQ13" s="314" t="s">
        <v>203</v>
      </c>
      <c r="BFR13" s="314" t="s">
        <v>203</v>
      </c>
      <c r="BFS13" s="314" t="s">
        <v>203</v>
      </c>
      <c r="BFT13" s="314" t="s">
        <v>203</v>
      </c>
      <c r="BFU13" s="314" t="s">
        <v>203</v>
      </c>
      <c r="BFV13" s="314" t="s">
        <v>203</v>
      </c>
      <c r="BFW13" s="314" t="s">
        <v>203</v>
      </c>
      <c r="BFX13" s="314" t="s">
        <v>203</v>
      </c>
      <c r="BFY13" s="314" t="s">
        <v>203</v>
      </c>
      <c r="BFZ13" s="314" t="s">
        <v>203</v>
      </c>
      <c r="BGA13" s="314" t="s">
        <v>203</v>
      </c>
      <c r="BGB13" s="314" t="s">
        <v>203</v>
      </c>
      <c r="BGC13" s="314" t="s">
        <v>203</v>
      </c>
      <c r="BGD13" s="314" t="s">
        <v>203</v>
      </c>
      <c r="BGE13" s="314" t="s">
        <v>203</v>
      </c>
      <c r="BGF13" s="314" t="s">
        <v>203</v>
      </c>
      <c r="BGG13" s="314" t="s">
        <v>203</v>
      </c>
      <c r="BGH13" s="314" t="s">
        <v>203</v>
      </c>
      <c r="BGI13" s="314" t="s">
        <v>203</v>
      </c>
      <c r="BGJ13" s="314" t="s">
        <v>203</v>
      </c>
      <c r="BGK13" s="314" t="s">
        <v>203</v>
      </c>
      <c r="BGL13" s="314" t="s">
        <v>203</v>
      </c>
      <c r="BGM13" s="314" t="s">
        <v>203</v>
      </c>
      <c r="BGN13" s="314" t="s">
        <v>203</v>
      </c>
      <c r="BGO13" s="314" t="s">
        <v>203</v>
      </c>
      <c r="BGP13" s="314" t="s">
        <v>203</v>
      </c>
      <c r="BGQ13" s="314" t="s">
        <v>203</v>
      </c>
      <c r="BGR13" s="314" t="s">
        <v>203</v>
      </c>
      <c r="BGS13" s="314" t="s">
        <v>203</v>
      </c>
      <c r="BGT13" s="314" t="s">
        <v>203</v>
      </c>
      <c r="BGU13" s="314" t="s">
        <v>203</v>
      </c>
      <c r="BGV13" s="314" t="s">
        <v>203</v>
      </c>
      <c r="BGW13" s="314" t="s">
        <v>203</v>
      </c>
      <c r="BGX13" s="314" t="s">
        <v>203</v>
      </c>
      <c r="BGY13" s="314" t="s">
        <v>203</v>
      </c>
      <c r="BGZ13" s="314" t="s">
        <v>203</v>
      </c>
      <c r="BHA13" s="314" t="s">
        <v>203</v>
      </c>
      <c r="BHB13" s="314" t="s">
        <v>203</v>
      </c>
      <c r="BHC13" s="314" t="s">
        <v>203</v>
      </c>
      <c r="BHD13" s="314" t="s">
        <v>203</v>
      </c>
      <c r="BHE13" s="314" t="s">
        <v>203</v>
      </c>
      <c r="BHF13" s="314" t="s">
        <v>203</v>
      </c>
      <c r="BHG13" s="314" t="s">
        <v>203</v>
      </c>
      <c r="BHH13" s="314" t="s">
        <v>203</v>
      </c>
      <c r="BHI13" s="314" t="s">
        <v>203</v>
      </c>
      <c r="BHJ13" s="314" t="s">
        <v>203</v>
      </c>
      <c r="BHK13" s="314" t="s">
        <v>203</v>
      </c>
      <c r="BHL13" s="314" t="s">
        <v>203</v>
      </c>
      <c r="BHM13" s="314" t="s">
        <v>203</v>
      </c>
      <c r="BHN13" s="314" t="s">
        <v>203</v>
      </c>
      <c r="BHO13" s="314" t="s">
        <v>203</v>
      </c>
      <c r="BHP13" s="314" t="s">
        <v>203</v>
      </c>
      <c r="BHQ13" s="314" t="s">
        <v>203</v>
      </c>
      <c r="BHR13" s="314" t="s">
        <v>203</v>
      </c>
      <c r="BHS13" s="314" t="s">
        <v>203</v>
      </c>
      <c r="BHT13" s="314" t="s">
        <v>203</v>
      </c>
      <c r="BHU13" s="314" t="s">
        <v>203</v>
      </c>
      <c r="BHV13" s="314" t="s">
        <v>203</v>
      </c>
      <c r="BHW13" s="314" t="s">
        <v>203</v>
      </c>
      <c r="BHX13" s="314" t="s">
        <v>203</v>
      </c>
      <c r="BHY13" s="314" t="s">
        <v>203</v>
      </c>
      <c r="BHZ13" s="314" t="s">
        <v>203</v>
      </c>
      <c r="BIA13" s="314" t="s">
        <v>203</v>
      </c>
      <c r="BIB13" s="314" t="s">
        <v>203</v>
      </c>
      <c r="BIC13" s="314" t="s">
        <v>203</v>
      </c>
      <c r="BID13" s="314" t="s">
        <v>203</v>
      </c>
      <c r="BIE13" s="314" t="s">
        <v>203</v>
      </c>
      <c r="BIF13" s="314" t="s">
        <v>203</v>
      </c>
      <c r="BIG13" s="314" t="s">
        <v>203</v>
      </c>
      <c r="BIH13" s="314" t="s">
        <v>203</v>
      </c>
      <c r="BII13" s="314" t="s">
        <v>203</v>
      </c>
      <c r="BIJ13" s="314" t="s">
        <v>203</v>
      </c>
      <c r="BIK13" s="314" t="s">
        <v>203</v>
      </c>
      <c r="BIL13" s="314" t="s">
        <v>203</v>
      </c>
      <c r="BIM13" s="314" t="s">
        <v>203</v>
      </c>
      <c r="BIN13" s="314" t="s">
        <v>203</v>
      </c>
      <c r="BIO13" s="314" t="s">
        <v>203</v>
      </c>
      <c r="BIP13" s="314" t="s">
        <v>203</v>
      </c>
      <c r="BIQ13" s="314" t="s">
        <v>203</v>
      </c>
      <c r="BIR13" s="314" t="s">
        <v>203</v>
      </c>
      <c r="BIS13" s="314" t="s">
        <v>203</v>
      </c>
      <c r="BIT13" s="314" t="s">
        <v>203</v>
      </c>
      <c r="BIU13" s="314" t="s">
        <v>203</v>
      </c>
      <c r="BIV13" s="314" t="s">
        <v>203</v>
      </c>
      <c r="BIW13" s="314" t="s">
        <v>203</v>
      </c>
      <c r="BIX13" s="314" t="s">
        <v>203</v>
      </c>
      <c r="BIY13" s="314" t="s">
        <v>203</v>
      </c>
      <c r="BIZ13" s="314" t="s">
        <v>203</v>
      </c>
      <c r="BJA13" s="314" t="s">
        <v>203</v>
      </c>
      <c r="BJB13" s="314" t="s">
        <v>203</v>
      </c>
      <c r="BJC13" s="314" t="s">
        <v>203</v>
      </c>
      <c r="BJD13" s="314" t="s">
        <v>203</v>
      </c>
      <c r="BJE13" s="314" t="s">
        <v>203</v>
      </c>
      <c r="BJF13" s="314" t="s">
        <v>203</v>
      </c>
      <c r="BJG13" s="314" t="s">
        <v>203</v>
      </c>
      <c r="BJH13" s="314" t="s">
        <v>203</v>
      </c>
      <c r="BJI13" s="314" t="s">
        <v>203</v>
      </c>
      <c r="BJJ13" s="314" t="s">
        <v>203</v>
      </c>
      <c r="BJK13" s="314" t="s">
        <v>203</v>
      </c>
      <c r="BJL13" s="314" t="s">
        <v>203</v>
      </c>
      <c r="BJM13" s="314" t="s">
        <v>203</v>
      </c>
      <c r="BJN13" s="314" t="s">
        <v>203</v>
      </c>
      <c r="BJO13" s="314" t="s">
        <v>203</v>
      </c>
      <c r="BJP13" s="314" t="s">
        <v>203</v>
      </c>
      <c r="BJQ13" s="314" t="s">
        <v>203</v>
      </c>
      <c r="BJR13" s="314" t="s">
        <v>203</v>
      </c>
      <c r="BJS13" s="314" t="s">
        <v>203</v>
      </c>
      <c r="BJT13" s="314" t="s">
        <v>203</v>
      </c>
      <c r="BJU13" s="314" t="s">
        <v>203</v>
      </c>
      <c r="BJV13" s="314" t="s">
        <v>203</v>
      </c>
      <c r="BJW13" s="314" t="s">
        <v>203</v>
      </c>
      <c r="BJX13" s="314" t="s">
        <v>203</v>
      </c>
      <c r="BJY13" s="314" t="s">
        <v>203</v>
      </c>
      <c r="BJZ13" s="314" t="s">
        <v>203</v>
      </c>
      <c r="BKA13" s="314" t="s">
        <v>203</v>
      </c>
      <c r="BKB13" s="314" t="s">
        <v>203</v>
      </c>
      <c r="BKC13" s="314" t="s">
        <v>203</v>
      </c>
      <c r="BKD13" s="314" t="s">
        <v>203</v>
      </c>
      <c r="BKE13" s="314" t="s">
        <v>203</v>
      </c>
      <c r="BKF13" s="314" t="s">
        <v>203</v>
      </c>
      <c r="BKG13" s="314" t="s">
        <v>203</v>
      </c>
      <c r="BKH13" s="314" t="s">
        <v>203</v>
      </c>
      <c r="BKI13" s="314" t="s">
        <v>203</v>
      </c>
      <c r="BKJ13" s="314" t="s">
        <v>203</v>
      </c>
      <c r="BKK13" s="314" t="s">
        <v>203</v>
      </c>
      <c r="BKL13" s="314" t="s">
        <v>203</v>
      </c>
      <c r="BKM13" s="314" t="s">
        <v>203</v>
      </c>
      <c r="BKN13" s="314" t="s">
        <v>203</v>
      </c>
      <c r="BKO13" s="314" t="s">
        <v>203</v>
      </c>
      <c r="BKP13" s="314" t="s">
        <v>203</v>
      </c>
      <c r="BKQ13" s="314" t="s">
        <v>203</v>
      </c>
      <c r="BKR13" s="314" t="s">
        <v>203</v>
      </c>
      <c r="BKS13" s="314" t="s">
        <v>203</v>
      </c>
      <c r="BKT13" s="314" t="s">
        <v>203</v>
      </c>
      <c r="BKU13" s="314" t="s">
        <v>203</v>
      </c>
      <c r="BKV13" s="314" t="s">
        <v>203</v>
      </c>
      <c r="BKW13" s="314" t="s">
        <v>203</v>
      </c>
      <c r="BKX13" s="314" t="s">
        <v>203</v>
      </c>
      <c r="BKY13" s="314" t="s">
        <v>203</v>
      </c>
      <c r="BKZ13" s="314" t="s">
        <v>203</v>
      </c>
      <c r="BLA13" s="314" t="s">
        <v>203</v>
      </c>
      <c r="BLB13" s="314" t="s">
        <v>203</v>
      </c>
      <c r="BLC13" s="314" t="s">
        <v>203</v>
      </c>
      <c r="BLD13" s="314" t="s">
        <v>203</v>
      </c>
      <c r="BLE13" s="314" t="s">
        <v>203</v>
      </c>
      <c r="BLF13" s="314" t="s">
        <v>203</v>
      </c>
      <c r="BLG13" s="314" t="s">
        <v>203</v>
      </c>
      <c r="BLH13" s="314" t="s">
        <v>203</v>
      </c>
      <c r="BLI13" s="314" t="s">
        <v>203</v>
      </c>
      <c r="BLJ13" s="314" t="s">
        <v>203</v>
      </c>
      <c r="BLK13" s="314" t="s">
        <v>203</v>
      </c>
      <c r="BLL13" s="314" t="s">
        <v>203</v>
      </c>
      <c r="BLM13" s="314" t="s">
        <v>203</v>
      </c>
      <c r="BLN13" s="314" t="s">
        <v>203</v>
      </c>
      <c r="BLO13" s="314" t="s">
        <v>203</v>
      </c>
      <c r="BLP13" s="314" t="s">
        <v>203</v>
      </c>
      <c r="BLQ13" s="314" t="s">
        <v>203</v>
      </c>
      <c r="BLR13" s="314" t="s">
        <v>203</v>
      </c>
      <c r="BLS13" s="314" t="s">
        <v>203</v>
      </c>
      <c r="BLT13" s="314" t="s">
        <v>203</v>
      </c>
      <c r="BLU13" s="314" t="s">
        <v>203</v>
      </c>
      <c r="BLV13" s="314" t="s">
        <v>203</v>
      </c>
      <c r="BLW13" s="314" t="s">
        <v>203</v>
      </c>
      <c r="BLX13" s="314" t="s">
        <v>203</v>
      </c>
      <c r="BLY13" s="314" t="s">
        <v>203</v>
      </c>
      <c r="BLZ13" s="314" t="s">
        <v>203</v>
      </c>
      <c r="BMA13" s="314" t="s">
        <v>203</v>
      </c>
      <c r="BMB13" s="314" t="s">
        <v>203</v>
      </c>
      <c r="BMC13" s="314" t="s">
        <v>203</v>
      </c>
      <c r="BMD13" s="314" t="s">
        <v>203</v>
      </c>
      <c r="BME13" s="314" t="s">
        <v>203</v>
      </c>
      <c r="BMF13" s="314" t="s">
        <v>203</v>
      </c>
      <c r="BMG13" s="314" t="s">
        <v>203</v>
      </c>
      <c r="BMH13" s="314" t="s">
        <v>203</v>
      </c>
      <c r="BMI13" s="314" t="s">
        <v>203</v>
      </c>
      <c r="BMJ13" s="314" t="s">
        <v>203</v>
      </c>
      <c r="BMK13" s="314" t="s">
        <v>203</v>
      </c>
      <c r="BML13" s="314" t="s">
        <v>203</v>
      </c>
      <c r="BMM13" s="314" t="s">
        <v>203</v>
      </c>
      <c r="BMN13" s="314" t="s">
        <v>203</v>
      </c>
      <c r="BMO13" s="314" t="s">
        <v>203</v>
      </c>
      <c r="BMP13" s="314" t="s">
        <v>203</v>
      </c>
      <c r="BMQ13" s="314" t="s">
        <v>203</v>
      </c>
      <c r="BMR13" s="314" t="s">
        <v>203</v>
      </c>
      <c r="BMS13" s="314" t="s">
        <v>203</v>
      </c>
      <c r="BMT13" s="314" t="s">
        <v>203</v>
      </c>
      <c r="BMU13" s="314" t="s">
        <v>203</v>
      </c>
      <c r="BMV13" s="314" t="s">
        <v>203</v>
      </c>
      <c r="BMW13" s="314" t="s">
        <v>203</v>
      </c>
      <c r="BMX13" s="314" t="s">
        <v>203</v>
      </c>
      <c r="BMY13" s="314" t="s">
        <v>203</v>
      </c>
      <c r="BMZ13" s="314" t="s">
        <v>203</v>
      </c>
      <c r="BNA13" s="314" t="s">
        <v>203</v>
      </c>
      <c r="BNB13" s="314" t="s">
        <v>203</v>
      </c>
      <c r="BNC13" s="314" t="s">
        <v>203</v>
      </c>
      <c r="BND13" s="314" t="s">
        <v>203</v>
      </c>
      <c r="BNE13" s="314" t="s">
        <v>203</v>
      </c>
      <c r="BNF13" s="314" t="s">
        <v>203</v>
      </c>
      <c r="BNG13" s="314" t="s">
        <v>203</v>
      </c>
      <c r="BNH13" s="314" t="s">
        <v>203</v>
      </c>
      <c r="BNI13" s="314" t="s">
        <v>203</v>
      </c>
      <c r="BNJ13" s="314" t="s">
        <v>203</v>
      </c>
      <c r="BNK13" s="314" t="s">
        <v>203</v>
      </c>
      <c r="BNL13" s="314" t="s">
        <v>203</v>
      </c>
      <c r="BNM13" s="314" t="s">
        <v>203</v>
      </c>
      <c r="BNN13" s="314" t="s">
        <v>203</v>
      </c>
      <c r="BNO13" s="314" t="s">
        <v>203</v>
      </c>
      <c r="BNP13" s="314" t="s">
        <v>203</v>
      </c>
      <c r="BNQ13" s="314" t="s">
        <v>203</v>
      </c>
      <c r="BNR13" s="314" t="s">
        <v>203</v>
      </c>
      <c r="BNS13" s="314" t="s">
        <v>203</v>
      </c>
      <c r="BNT13" s="314" t="s">
        <v>203</v>
      </c>
      <c r="BNU13" s="314" t="s">
        <v>203</v>
      </c>
      <c r="BNV13" s="314" t="s">
        <v>203</v>
      </c>
      <c r="BNW13" s="314" t="s">
        <v>203</v>
      </c>
      <c r="BNX13" s="314" t="s">
        <v>203</v>
      </c>
      <c r="BNY13" s="314" t="s">
        <v>203</v>
      </c>
      <c r="BNZ13" s="314" t="s">
        <v>203</v>
      </c>
      <c r="BOA13" s="314" t="s">
        <v>203</v>
      </c>
      <c r="BOB13" s="314" t="s">
        <v>203</v>
      </c>
      <c r="BOC13" s="314" t="s">
        <v>203</v>
      </c>
      <c r="BOD13" s="314" t="s">
        <v>203</v>
      </c>
      <c r="BOE13" s="314" t="s">
        <v>203</v>
      </c>
      <c r="BOF13" s="314" t="s">
        <v>203</v>
      </c>
      <c r="BOG13" s="314" t="s">
        <v>203</v>
      </c>
      <c r="BOH13" s="314" t="s">
        <v>203</v>
      </c>
      <c r="BOI13" s="314" t="s">
        <v>203</v>
      </c>
      <c r="BOJ13" s="314" t="s">
        <v>203</v>
      </c>
      <c r="BOK13" s="314" t="s">
        <v>203</v>
      </c>
      <c r="BOL13" s="314" t="s">
        <v>203</v>
      </c>
      <c r="BOM13" s="314" t="s">
        <v>203</v>
      </c>
      <c r="BON13" s="314" t="s">
        <v>203</v>
      </c>
      <c r="BOO13" s="314" t="s">
        <v>203</v>
      </c>
      <c r="BOP13" s="314" t="s">
        <v>203</v>
      </c>
      <c r="BOQ13" s="314" t="s">
        <v>203</v>
      </c>
      <c r="BOR13" s="314" t="s">
        <v>203</v>
      </c>
      <c r="BOS13" s="314" t="s">
        <v>203</v>
      </c>
      <c r="BOT13" s="314" t="s">
        <v>203</v>
      </c>
      <c r="BOU13" s="314" t="s">
        <v>203</v>
      </c>
      <c r="BOV13" s="314" t="s">
        <v>203</v>
      </c>
      <c r="BOW13" s="314" t="s">
        <v>203</v>
      </c>
      <c r="BOX13" s="314" t="s">
        <v>203</v>
      </c>
      <c r="BOY13" s="314" t="s">
        <v>203</v>
      </c>
      <c r="BOZ13" s="314" t="s">
        <v>203</v>
      </c>
      <c r="BPA13" s="314" t="s">
        <v>203</v>
      </c>
      <c r="BPB13" s="314" t="s">
        <v>203</v>
      </c>
      <c r="BPC13" s="314" t="s">
        <v>203</v>
      </c>
      <c r="BPD13" s="314" t="s">
        <v>203</v>
      </c>
      <c r="BPE13" s="314" t="s">
        <v>203</v>
      </c>
      <c r="BPF13" s="314" t="s">
        <v>203</v>
      </c>
      <c r="BPG13" s="314" t="s">
        <v>203</v>
      </c>
      <c r="BPH13" s="314" t="s">
        <v>203</v>
      </c>
      <c r="BPI13" s="314" t="s">
        <v>203</v>
      </c>
      <c r="BPJ13" s="314" t="s">
        <v>203</v>
      </c>
      <c r="BPK13" s="314" t="s">
        <v>203</v>
      </c>
      <c r="BPL13" s="314" t="s">
        <v>203</v>
      </c>
      <c r="BPM13" s="314" t="s">
        <v>203</v>
      </c>
      <c r="BPN13" s="314" t="s">
        <v>203</v>
      </c>
      <c r="BPO13" s="314" t="s">
        <v>203</v>
      </c>
      <c r="BPP13" s="314" t="s">
        <v>203</v>
      </c>
      <c r="BPQ13" s="314" t="s">
        <v>203</v>
      </c>
      <c r="BPR13" s="314" t="s">
        <v>203</v>
      </c>
      <c r="BPS13" s="314" t="s">
        <v>203</v>
      </c>
      <c r="BPT13" s="314" t="s">
        <v>203</v>
      </c>
      <c r="BPU13" s="314" t="s">
        <v>203</v>
      </c>
      <c r="BPV13" s="314" t="s">
        <v>203</v>
      </c>
      <c r="BPW13" s="314" t="s">
        <v>203</v>
      </c>
      <c r="BPX13" s="314" t="s">
        <v>203</v>
      </c>
      <c r="BPY13" s="314" t="s">
        <v>203</v>
      </c>
      <c r="BPZ13" s="314" t="s">
        <v>203</v>
      </c>
      <c r="BQA13" s="314" t="s">
        <v>203</v>
      </c>
      <c r="BQB13" s="314" t="s">
        <v>203</v>
      </c>
      <c r="BQC13" s="314" t="s">
        <v>203</v>
      </c>
      <c r="BQD13" s="314" t="s">
        <v>203</v>
      </c>
      <c r="BQE13" s="314" t="s">
        <v>203</v>
      </c>
      <c r="BQF13" s="314" t="s">
        <v>203</v>
      </c>
      <c r="BQG13" s="314" t="s">
        <v>203</v>
      </c>
      <c r="BQH13" s="314" t="s">
        <v>203</v>
      </c>
      <c r="BQI13" s="314" t="s">
        <v>203</v>
      </c>
      <c r="BQJ13" s="314" t="s">
        <v>203</v>
      </c>
      <c r="BQK13" s="314" t="s">
        <v>203</v>
      </c>
      <c r="BQL13" s="314" t="s">
        <v>203</v>
      </c>
      <c r="BQM13" s="314" t="s">
        <v>203</v>
      </c>
      <c r="BQN13" s="314" t="s">
        <v>203</v>
      </c>
      <c r="BQO13" s="314" t="s">
        <v>203</v>
      </c>
      <c r="BQP13" s="314" t="s">
        <v>203</v>
      </c>
      <c r="BQQ13" s="314" t="s">
        <v>203</v>
      </c>
      <c r="BQR13" s="314" t="s">
        <v>203</v>
      </c>
      <c r="BQS13" s="314" t="s">
        <v>203</v>
      </c>
      <c r="BQT13" s="314" t="s">
        <v>203</v>
      </c>
      <c r="BQU13" s="314" t="s">
        <v>203</v>
      </c>
      <c r="BQV13" s="314" t="s">
        <v>203</v>
      </c>
      <c r="BQW13" s="314" t="s">
        <v>203</v>
      </c>
      <c r="BQX13" s="314" t="s">
        <v>203</v>
      </c>
      <c r="BQY13" s="314" t="s">
        <v>203</v>
      </c>
      <c r="BQZ13" s="314" t="s">
        <v>203</v>
      </c>
      <c r="BRA13" s="314" t="s">
        <v>203</v>
      </c>
      <c r="BRB13" s="314" t="s">
        <v>203</v>
      </c>
      <c r="BRC13" s="314" t="s">
        <v>203</v>
      </c>
      <c r="BRD13" s="314" t="s">
        <v>203</v>
      </c>
      <c r="BRE13" s="314" t="s">
        <v>203</v>
      </c>
      <c r="BRF13" s="314" t="s">
        <v>203</v>
      </c>
      <c r="BRG13" s="314" t="s">
        <v>203</v>
      </c>
      <c r="BRH13" s="314" t="s">
        <v>203</v>
      </c>
      <c r="BRI13" s="314" t="s">
        <v>203</v>
      </c>
      <c r="BRJ13" s="314" t="s">
        <v>203</v>
      </c>
      <c r="BRK13" s="314" t="s">
        <v>203</v>
      </c>
      <c r="BRL13" s="314" t="s">
        <v>203</v>
      </c>
      <c r="BRM13" s="314" t="s">
        <v>203</v>
      </c>
      <c r="BRN13" s="314" t="s">
        <v>203</v>
      </c>
      <c r="BRO13" s="314" t="s">
        <v>203</v>
      </c>
      <c r="BRP13" s="314" t="s">
        <v>203</v>
      </c>
      <c r="BRQ13" s="314" t="s">
        <v>203</v>
      </c>
      <c r="BRR13" s="314" t="s">
        <v>203</v>
      </c>
      <c r="BRS13" s="314" t="s">
        <v>203</v>
      </c>
      <c r="BRT13" s="314" t="s">
        <v>203</v>
      </c>
      <c r="BRU13" s="314" t="s">
        <v>203</v>
      </c>
      <c r="BRV13" s="314" t="s">
        <v>203</v>
      </c>
      <c r="BRW13" s="314" t="s">
        <v>203</v>
      </c>
      <c r="BRX13" s="314" t="s">
        <v>203</v>
      </c>
      <c r="BRY13" s="314" t="s">
        <v>203</v>
      </c>
      <c r="BRZ13" s="314" t="s">
        <v>203</v>
      </c>
      <c r="BSA13" s="314" t="s">
        <v>203</v>
      </c>
      <c r="BSB13" s="314" t="s">
        <v>203</v>
      </c>
      <c r="BSC13" s="314" t="s">
        <v>203</v>
      </c>
      <c r="BSD13" s="314" t="s">
        <v>203</v>
      </c>
      <c r="BSE13" s="314" t="s">
        <v>203</v>
      </c>
      <c r="BSF13" s="314" t="s">
        <v>203</v>
      </c>
      <c r="BSG13" s="314" t="s">
        <v>203</v>
      </c>
      <c r="BSH13" s="314" t="s">
        <v>203</v>
      </c>
      <c r="BSI13" s="314" t="s">
        <v>203</v>
      </c>
      <c r="BSJ13" s="314" t="s">
        <v>203</v>
      </c>
      <c r="BSK13" s="314" t="s">
        <v>203</v>
      </c>
      <c r="BSL13" s="314" t="s">
        <v>203</v>
      </c>
      <c r="BSM13" s="314" t="s">
        <v>203</v>
      </c>
      <c r="BSN13" s="314" t="s">
        <v>203</v>
      </c>
      <c r="BSO13" s="314" t="s">
        <v>203</v>
      </c>
      <c r="BSP13" s="314" t="s">
        <v>203</v>
      </c>
      <c r="BSQ13" s="314" t="s">
        <v>203</v>
      </c>
      <c r="BSR13" s="314" t="s">
        <v>203</v>
      </c>
      <c r="BSS13" s="314" t="s">
        <v>203</v>
      </c>
      <c r="BST13" s="314" t="s">
        <v>203</v>
      </c>
      <c r="BSU13" s="314" t="s">
        <v>203</v>
      </c>
      <c r="BSV13" s="314" t="s">
        <v>203</v>
      </c>
      <c r="BSW13" s="314" t="s">
        <v>203</v>
      </c>
      <c r="BSX13" s="314" t="s">
        <v>203</v>
      </c>
      <c r="BSY13" s="314" t="s">
        <v>203</v>
      </c>
      <c r="BSZ13" s="314" t="s">
        <v>203</v>
      </c>
      <c r="BTA13" s="314" t="s">
        <v>203</v>
      </c>
      <c r="BTB13" s="314" t="s">
        <v>203</v>
      </c>
      <c r="BTC13" s="314" t="s">
        <v>203</v>
      </c>
      <c r="BTD13" s="314" t="s">
        <v>203</v>
      </c>
      <c r="BTE13" s="314" t="s">
        <v>203</v>
      </c>
      <c r="BTF13" s="314" t="s">
        <v>203</v>
      </c>
      <c r="BTG13" s="314" t="s">
        <v>203</v>
      </c>
      <c r="BTH13" s="314" t="s">
        <v>203</v>
      </c>
      <c r="BTI13" s="314" t="s">
        <v>203</v>
      </c>
      <c r="BTJ13" s="314" t="s">
        <v>203</v>
      </c>
      <c r="BTK13" s="314" t="s">
        <v>203</v>
      </c>
      <c r="BTL13" s="314" t="s">
        <v>203</v>
      </c>
      <c r="BTM13" s="314" t="s">
        <v>203</v>
      </c>
      <c r="BTN13" s="314" t="s">
        <v>203</v>
      </c>
      <c r="BTO13" s="314" t="s">
        <v>203</v>
      </c>
      <c r="BTP13" s="314" t="s">
        <v>203</v>
      </c>
      <c r="BTQ13" s="314" t="s">
        <v>203</v>
      </c>
      <c r="BTR13" s="314" t="s">
        <v>203</v>
      </c>
      <c r="BTS13" s="314" t="s">
        <v>203</v>
      </c>
      <c r="BTT13" s="314" t="s">
        <v>203</v>
      </c>
      <c r="BTU13" s="314" t="s">
        <v>203</v>
      </c>
      <c r="BTV13" s="314" t="s">
        <v>203</v>
      </c>
      <c r="BTW13" s="314" t="s">
        <v>203</v>
      </c>
      <c r="BTX13" s="314" t="s">
        <v>203</v>
      </c>
      <c r="BTY13" s="314" t="s">
        <v>203</v>
      </c>
      <c r="BTZ13" s="314" t="s">
        <v>203</v>
      </c>
      <c r="BUA13" s="314" t="s">
        <v>203</v>
      </c>
      <c r="BUB13" s="314" t="s">
        <v>203</v>
      </c>
      <c r="BUC13" s="314" t="s">
        <v>203</v>
      </c>
      <c r="BUD13" s="314" t="s">
        <v>203</v>
      </c>
      <c r="BUE13" s="314" t="s">
        <v>203</v>
      </c>
      <c r="BUF13" s="314" t="s">
        <v>203</v>
      </c>
      <c r="BUG13" s="314" t="s">
        <v>203</v>
      </c>
      <c r="BUH13" s="314" t="s">
        <v>203</v>
      </c>
      <c r="BUI13" s="314" t="s">
        <v>203</v>
      </c>
      <c r="BUJ13" s="314" t="s">
        <v>203</v>
      </c>
      <c r="BUK13" s="314" t="s">
        <v>203</v>
      </c>
      <c r="BUL13" s="314" t="s">
        <v>203</v>
      </c>
      <c r="BUM13" s="314" t="s">
        <v>203</v>
      </c>
      <c r="BUN13" s="314" t="s">
        <v>203</v>
      </c>
      <c r="BUO13" s="314" t="s">
        <v>203</v>
      </c>
      <c r="BUP13" s="314" t="s">
        <v>203</v>
      </c>
      <c r="BUQ13" s="314" t="s">
        <v>203</v>
      </c>
      <c r="BUR13" s="314" t="s">
        <v>203</v>
      </c>
      <c r="BUS13" s="314" t="s">
        <v>203</v>
      </c>
      <c r="BUT13" s="314" t="s">
        <v>203</v>
      </c>
      <c r="BUU13" s="314" t="s">
        <v>203</v>
      </c>
      <c r="BUV13" s="314" t="s">
        <v>203</v>
      </c>
      <c r="BUW13" s="314" t="s">
        <v>203</v>
      </c>
      <c r="BUX13" s="314" t="s">
        <v>203</v>
      </c>
      <c r="BUY13" s="314" t="s">
        <v>203</v>
      </c>
      <c r="BUZ13" s="314" t="s">
        <v>203</v>
      </c>
      <c r="BVA13" s="314" t="s">
        <v>203</v>
      </c>
      <c r="BVB13" s="314" t="s">
        <v>203</v>
      </c>
      <c r="BVC13" s="314" t="s">
        <v>203</v>
      </c>
      <c r="BVD13" s="314" t="s">
        <v>203</v>
      </c>
      <c r="BVE13" s="314" t="s">
        <v>203</v>
      </c>
      <c r="BVF13" s="314" t="s">
        <v>203</v>
      </c>
      <c r="BVG13" s="314" t="s">
        <v>203</v>
      </c>
      <c r="BVH13" s="314" t="s">
        <v>203</v>
      </c>
      <c r="BVI13" s="314" t="s">
        <v>203</v>
      </c>
      <c r="BVJ13" s="314" t="s">
        <v>203</v>
      </c>
      <c r="BVK13" s="314" t="s">
        <v>203</v>
      </c>
      <c r="BVL13" s="314" t="s">
        <v>203</v>
      </c>
      <c r="BVM13" s="314" t="s">
        <v>203</v>
      </c>
      <c r="BVN13" s="314" t="s">
        <v>203</v>
      </c>
      <c r="BVO13" s="314" t="s">
        <v>203</v>
      </c>
      <c r="BVP13" s="314" t="s">
        <v>203</v>
      </c>
      <c r="BVQ13" s="314" t="s">
        <v>203</v>
      </c>
      <c r="BVR13" s="314" t="s">
        <v>203</v>
      </c>
      <c r="BVS13" s="314" t="s">
        <v>203</v>
      </c>
      <c r="BVT13" s="314" t="s">
        <v>203</v>
      </c>
      <c r="BVU13" s="314" t="s">
        <v>203</v>
      </c>
      <c r="BVV13" s="314" t="s">
        <v>203</v>
      </c>
      <c r="BVW13" s="314" t="s">
        <v>203</v>
      </c>
      <c r="BVX13" s="314" t="s">
        <v>203</v>
      </c>
      <c r="BVY13" s="314" t="s">
        <v>203</v>
      </c>
      <c r="BVZ13" s="314" t="s">
        <v>203</v>
      </c>
      <c r="BWA13" s="314" t="s">
        <v>203</v>
      </c>
      <c r="BWB13" s="314" t="s">
        <v>203</v>
      </c>
      <c r="BWC13" s="314" t="s">
        <v>203</v>
      </c>
      <c r="BWD13" s="314" t="s">
        <v>203</v>
      </c>
      <c r="BWE13" s="314" t="s">
        <v>203</v>
      </c>
      <c r="BWF13" s="314" t="s">
        <v>203</v>
      </c>
      <c r="BWG13" s="314" t="s">
        <v>203</v>
      </c>
      <c r="BWH13" s="314" t="s">
        <v>203</v>
      </c>
      <c r="BWI13" s="314" t="s">
        <v>203</v>
      </c>
      <c r="BWJ13" s="314" t="s">
        <v>203</v>
      </c>
      <c r="BWK13" s="314" t="s">
        <v>203</v>
      </c>
      <c r="BWL13" s="314" t="s">
        <v>203</v>
      </c>
      <c r="BWM13" s="314" t="s">
        <v>203</v>
      </c>
      <c r="BWN13" s="314" t="s">
        <v>203</v>
      </c>
      <c r="BWO13" s="314" t="s">
        <v>203</v>
      </c>
      <c r="BWP13" s="314" t="s">
        <v>203</v>
      </c>
      <c r="BWQ13" s="314" t="s">
        <v>203</v>
      </c>
      <c r="BWR13" s="314" t="s">
        <v>203</v>
      </c>
      <c r="BWS13" s="314" t="s">
        <v>203</v>
      </c>
      <c r="BWT13" s="314" t="s">
        <v>203</v>
      </c>
      <c r="BWU13" s="314" t="s">
        <v>203</v>
      </c>
      <c r="BWV13" s="314" t="s">
        <v>203</v>
      </c>
      <c r="BWW13" s="314" t="s">
        <v>203</v>
      </c>
      <c r="BWX13" s="314" t="s">
        <v>203</v>
      </c>
      <c r="BWY13" s="314" t="s">
        <v>203</v>
      </c>
      <c r="BWZ13" s="314" t="s">
        <v>203</v>
      </c>
      <c r="BXA13" s="314" t="s">
        <v>203</v>
      </c>
      <c r="BXB13" s="314" t="s">
        <v>203</v>
      </c>
      <c r="BXC13" s="314" t="s">
        <v>203</v>
      </c>
      <c r="BXD13" s="314" t="s">
        <v>203</v>
      </c>
      <c r="BXE13" s="314" t="s">
        <v>203</v>
      </c>
      <c r="BXF13" s="314" t="s">
        <v>203</v>
      </c>
      <c r="BXG13" s="314" t="s">
        <v>203</v>
      </c>
      <c r="BXH13" s="314" t="s">
        <v>203</v>
      </c>
      <c r="BXI13" s="314" t="s">
        <v>203</v>
      </c>
      <c r="BXJ13" s="314" t="s">
        <v>203</v>
      </c>
      <c r="BXK13" s="314" t="s">
        <v>203</v>
      </c>
      <c r="BXL13" s="314" t="s">
        <v>203</v>
      </c>
      <c r="BXM13" s="314" t="s">
        <v>203</v>
      </c>
      <c r="BXN13" s="314" t="s">
        <v>203</v>
      </c>
      <c r="BXO13" s="314" t="s">
        <v>203</v>
      </c>
      <c r="BXP13" s="314" t="s">
        <v>203</v>
      </c>
      <c r="BXQ13" s="314" t="s">
        <v>203</v>
      </c>
      <c r="BXR13" s="314" t="s">
        <v>203</v>
      </c>
      <c r="BXS13" s="314" t="s">
        <v>203</v>
      </c>
      <c r="BXT13" s="314" t="s">
        <v>203</v>
      </c>
      <c r="BXU13" s="314" t="s">
        <v>203</v>
      </c>
      <c r="BXV13" s="314" t="s">
        <v>203</v>
      </c>
      <c r="BXW13" s="314" t="s">
        <v>203</v>
      </c>
      <c r="BXX13" s="314" t="s">
        <v>203</v>
      </c>
      <c r="BXY13" s="314" t="s">
        <v>203</v>
      </c>
      <c r="BXZ13" s="314" t="s">
        <v>203</v>
      </c>
      <c r="BYA13" s="314" t="s">
        <v>203</v>
      </c>
      <c r="BYB13" s="314" t="s">
        <v>203</v>
      </c>
      <c r="BYC13" s="314" t="s">
        <v>203</v>
      </c>
      <c r="BYD13" s="314" t="s">
        <v>203</v>
      </c>
      <c r="BYE13" s="314" t="s">
        <v>203</v>
      </c>
      <c r="BYF13" s="314" t="s">
        <v>203</v>
      </c>
      <c r="BYG13" s="314" t="s">
        <v>203</v>
      </c>
      <c r="BYH13" s="314" t="s">
        <v>203</v>
      </c>
      <c r="BYI13" s="314" t="s">
        <v>203</v>
      </c>
      <c r="BYJ13" s="314" t="s">
        <v>203</v>
      </c>
      <c r="BYK13" s="314" t="s">
        <v>203</v>
      </c>
      <c r="BYL13" s="314" t="s">
        <v>203</v>
      </c>
      <c r="BYM13" s="314" t="s">
        <v>203</v>
      </c>
      <c r="BYN13" s="314" t="s">
        <v>203</v>
      </c>
      <c r="BYO13" s="314" t="s">
        <v>203</v>
      </c>
      <c r="BYP13" s="314" t="s">
        <v>203</v>
      </c>
      <c r="BYQ13" s="314" t="s">
        <v>203</v>
      </c>
      <c r="BYR13" s="314" t="s">
        <v>203</v>
      </c>
      <c r="BYS13" s="314" t="s">
        <v>203</v>
      </c>
      <c r="BYT13" s="314" t="s">
        <v>203</v>
      </c>
      <c r="BYU13" s="314" t="s">
        <v>203</v>
      </c>
      <c r="BYV13" s="314" t="s">
        <v>203</v>
      </c>
      <c r="BYW13" s="314" t="s">
        <v>203</v>
      </c>
      <c r="BYX13" s="314" t="s">
        <v>203</v>
      </c>
      <c r="BYY13" s="314" t="s">
        <v>203</v>
      </c>
      <c r="BYZ13" s="314" t="s">
        <v>203</v>
      </c>
      <c r="BZA13" s="314" t="s">
        <v>203</v>
      </c>
      <c r="BZB13" s="314" t="s">
        <v>203</v>
      </c>
      <c r="BZC13" s="314" t="s">
        <v>203</v>
      </c>
      <c r="BZD13" s="314" t="s">
        <v>203</v>
      </c>
      <c r="BZE13" s="314" t="s">
        <v>203</v>
      </c>
      <c r="BZF13" s="314" t="s">
        <v>203</v>
      </c>
      <c r="BZG13" s="314" t="s">
        <v>203</v>
      </c>
      <c r="BZH13" s="314" t="s">
        <v>203</v>
      </c>
      <c r="BZI13" s="314" t="s">
        <v>203</v>
      </c>
      <c r="BZJ13" s="314" t="s">
        <v>203</v>
      </c>
      <c r="BZK13" s="314" t="s">
        <v>203</v>
      </c>
      <c r="BZL13" s="314" t="s">
        <v>203</v>
      </c>
      <c r="BZM13" s="314" t="s">
        <v>203</v>
      </c>
      <c r="BZN13" s="314" t="s">
        <v>203</v>
      </c>
      <c r="BZO13" s="314" t="s">
        <v>203</v>
      </c>
      <c r="BZP13" s="314" t="s">
        <v>203</v>
      </c>
      <c r="BZQ13" s="314" t="s">
        <v>203</v>
      </c>
      <c r="BZR13" s="314" t="s">
        <v>203</v>
      </c>
      <c r="BZS13" s="314" t="s">
        <v>203</v>
      </c>
      <c r="BZT13" s="314" t="s">
        <v>203</v>
      </c>
      <c r="BZU13" s="314" t="s">
        <v>203</v>
      </c>
      <c r="BZV13" s="314" t="s">
        <v>203</v>
      </c>
      <c r="BZW13" s="314" t="s">
        <v>203</v>
      </c>
      <c r="BZX13" s="314" t="s">
        <v>203</v>
      </c>
      <c r="BZY13" s="314" t="s">
        <v>203</v>
      </c>
      <c r="BZZ13" s="314" t="s">
        <v>203</v>
      </c>
      <c r="CAA13" s="314" t="s">
        <v>203</v>
      </c>
      <c r="CAB13" s="314" t="s">
        <v>203</v>
      </c>
      <c r="CAC13" s="314" t="s">
        <v>203</v>
      </c>
      <c r="CAD13" s="314" t="s">
        <v>203</v>
      </c>
      <c r="CAE13" s="314" t="s">
        <v>203</v>
      </c>
      <c r="CAF13" s="314" t="s">
        <v>203</v>
      </c>
      <c r="CAG13" s="314" t="s">
        <v>203</v>
      </c>
      <c r="CAH13" s="314" t="s">
        <v>203</v>
      </c>
      <c r="CAI13" s="314" t="s">
        <v>203</v>
      </c>
      <c r="CAJ13" s="314" t="s">
        <v>203</v>
      </c>
      <c r="CAK13" s="314" t="s">
        <v>203</v>
      </c>
      <c r="CAL13" s="314" t="s">
        <v>203</v>
      </c>
      <c r="CAM13" s="314" t="s">
        <v>203</v>
      </c>
      <c r="CAN13" s="314" t="s">
        <v>203</v>
      </c>
      <c r="CAO13" s="314" t="s">
        <v>203</v>
      </c>
      <c r="CAP13" s="314" t="s">
        <v>203</v>
      </c>
      <c r="CAQ13" s="314" t="s">
        <v>203</v>
      </c>
      <c r="CAR13" s="314" t="s">
        <v>203</v>
      </c>
      <c r="CAS13" s="314" t="s">
        <v>203</v>
      </c>
      <c r="CAT13" s="314" t="s">
        <v>203</v>
      </c>
      <c r="CAU13" s="314" t="s">
        <v>203</v>
      </c>
      <c r="CAV13" s="314" t="s">
        <v>203</v>
      </c>
      <c r="CAW13" s="314" t="s">
        <v>203</v>
      </c>
      <c r="CAX13" s="314" t="s">
        <v>203</v>
      </c>
      <c r="CAY13" s="314" t="s">
        <v>203</v>
      </c>
      <c r="CAZ13" s="314" t="s">
        <v>203</v>
      </c>
      <c r="CBA13" s="314" t="s">
        <v>203</v>
      </c>
      <c r="CBB13" s="314" t="s">
        <v>203</v>
      </c>
      <c r="CBC13" s="314" t="s">
        <v>203</v>
      </c>
      <c r="CBD13" s="314" t="s">
        <v>203</v>
      </c>
      <c r="CBE13" s="314" t="s">
        <v>203</v>
      </c>
      <c r="CBF13" s="314" t="s">
        <v>203</v>
      </c>
      <c r="CBG13" s="314" t="s">
        <v>203</v>
      </c>
      <c r="CBH13" s="314" t="s">
        <v>203</v>
      </c>
      <c r="CBI13" s="314" t="s">
        <v>203</v>
      </c>
      <c r="CBJ13" s="314" t="s">
        <v>203</v>
      </c>
      <c r="CBK13" s="314" t="s">
        <v>203</v>
      </c>
      <c r="CBL13" s="314" t="s">
        <v>203</v>
      </c>
      <c r="CBM13" s="314" t="s">
        <v>203</v>
      </c>
      <c r="CBN13" s="314" t="s">
        <v>203</v>
      </c>
      <c r="CBO13" s="314" t="s">
        <v>203</v>
      </c>
      <c r="CBP13" s="314" t="s">
        <v>203</v>
      </c>
      <c r="CBQ13" s="314" t="s">
        <v>203</v>
      </c>
      <c r="CBR13" s="314" t="s">
        <v>203</v>
      </c>
      <c r="CBS13" s="314" t="s">
        <v>203</v>
      </c>
      <c r="CBT13" s="314" t="s">
        <v>203</v>
      </c>
      <c r="CBU13" s="314" t="s">
        <v>203</v>
      </c>
      <c r="CBV13" s="314" t="s">
        <v>203</v>
      </c>
      <c r="CBW13" s="314" t="s">
        <v>203</v>
      </c>
      <c r="CBX13" s="314" t="s">
        <v>203</v>
      </c>
      <c r="CBY13" s="314" t="s">
        <v>203</v>
      </c>
      <c r="CBZ13" s="314" t="s">
        <v>203</v>
      </c>
      <c r="CCA13" s="314" t="s">
        <v>203</v>
      </c>
      <c r="CCB13" s="314" t="s">
        <v>203</v>
      </c>
      <c r="CCC13" s="314" t="s">
        <v>203</v>
      </c>
      <c r="CCD13" s="314" t="s">
        <v>203</v>
      </c>
      <c r="CCE13" s="314" t="s">
        <v>203</v>
      </c>
      <c r="CCF13" s="314" t="s">
        <v>203</v>
      </c>
      <c r="CCG13" s="314" t="s">
        <v>203</v>
      </c>
      <c r="CCH13" s="314" t="s">
        <v>203</v>
      </c>
      <c r="CCI13" s="314" t="s">
        <v>203</v>
      </c>
      <c r="CCJ13" s="314" t="s">
        <v>203</v>
      </c>
      <c r="CCK13" s="314" t="s">
        <v>203</v>
      </c>
      <c r="CCL13" s="314" t="s">
        <v>203</v>
      </c>
      <c r="CCM13" s="314" t="s">
        <v>203</v>
      </c>
      <c r="CCN13" s="314" t="s">
        <v>203</v>
      </c>
      <c r="CCO13" s="314" t="s">
        <v>203</v>
      </c>
      <c r="CCP13" s="314" t="s">
        <v>203</v>
      </c>
      <c r="CCQ13" s="314" t="s">
        <v>203</v>
      </c>
      <c r="CCR13" s="314" t="s">
        <v>203</v>
      </c>
      <c r="CCS13" s="314" t="s">
        <v>203</v>
      </c>
      <c r="CCT13" s="314" t="s">
        <v>203</v>
      </c>
      <c r="CCU13" s="314" t="s">
        <v>203</v>
      </c>
      <c r="CCV13" s="314" t="s">
        <v>203</v>
      </c>
      <c r="CCW13" s="314" t="s">
        <v>203</v>
      </c>
      <c r="CCX13" s="314" t="s">
        <v>203</v>
      </c>
      <c r="CCY13" s="314" t="s">
        <v>203</v>
      </c>
      <c r="CCZ13" s="314" t="s">
        <v>203</v>
      </c>
      <c r="CDA13" s="314" t="s">
        <v>203</v>
      </c>
      <c r="CDB13" s="314" t="s">
        <v>203</v>
      </c>
      <c r="CDC13" s="314" t="s">
        <v>203</v>
      </c>
      <c r="CDD13" s="314" t="s">
        <v>203</v>
      </c>
      <c r="CDE13" s="314" t="s">
        <v>203</v>
      </c>
      <c r="CDF13" s="314" t="s">
        <v>203</v>
      </c>
      <c r="CDG13" s="314" t="s">
        <v>203</v>
      </c>
      <c r="CDH13" s="314" t="s">
        <v>203</v>
      </c>
      <c r="CDI13" s="314" t="s">
        <v>203</v>
      </c>
      <c r="CDJ13" s="314" t="s">
        <v>203</v>
      </c>
      <c r="CDK13" s="314" t="s">
        <v>203</v>
      </c>
      <c r="CDL13" s="314" t="s">
        <v>203</v>
      </c>
      <c r="CDM13" s="314" t="s">
        <v>203</v>
      </c>
      <c r="CDN13" s="314" t="s">
        <v>203</v>
      </c>
      <c r="CDO13" s="314" t="s">
        <v>203</v>
      </c>
      <c r="CDP13" s="314" t="s">
        <v>203</v>
      </c>
      <c r="CDQ13" s="314" t="s">
        <v>203</v>
      </c>
      <c r="CDR13" s="314" t="s">
        <v>203</v>
      </c>
      <c r="CDS13" s="314" t="s">
        <v>203</v>
      </c>
      <c r="CDT13" s="314" t="s">
        <v>203</v>
      </c>
      <c r="CDU13" s="314" t="s">
        <v>203</v>
      </c>
      <c r="CDV13" s="314" t="s">
        <v>203</v>
      </c>
      <c r="CDW13" s="314" t="s">
        <v>203</v>
      </c>
      <c r="CDX13" s="314" t="s">
        <v>203</v>
      </c>
      <c r="CDY13" s="314" t="s">
        <v>203</v>
      </c>
      <c r="CDZ13" s="314" t="s">
        <v>203</v>
      </c>
      <c r="CEA13" s="314" t="s">
        <v>203</v>
      </c>
      <c r="CEB13" s="314" t="s">
        <v>203</v>
      </c>
      <c r="CEC13" s="314" t="s">
        <v>203</v>
      </c>
      <c r="CED13" s="314" t="s">
        <v>203</v>
      </c>
      <c r="CEE13" s="314" t="s">
        <v>203</v>
      </c>
      <c r="CEF13" s="314" t="s">
        <v>203</v>
      </c>
      <c r="CEG13" s="314" t="s">
        <v>203</v>
      </c>
      <c r="CEH13" s="314" t="s">
        <v>203</v>
      </c>
      <c r="CEI13" s="314" t="s">
        <v>203</v>
      </c>
      <c r="CEJ13" s="314" t="s">
        <v>203</v>
      </c>
      <c r="CEK13" s="314" t="s">
        <v>203</v>
      </c>
      <c r="CEL13" s="314" t="s">
        <v>203</v>
      </c>
      <c r="CEM13" s="314" t="s">
        <v>203</v>
      </c>
      <c r="CEN13" s="314" t="s">
        <v>203</v>
      </c>
      <c r="CEO13" s="314" t="s">
        <v>203</v>
      </c>
      <c r="CEP13" s="314" t="s">
        <v>203</v>
      </c>
      <c r="CEQ13" s="314" t="s">
        <v>203</v>
      </c>
      <c r="CER13" s="314" t="s">
        <v>203</v>
      </c>
      <c r="CES13" s="314" t="s">
        <v>203</v>
      </c>
      <c r="CET13" s="314" t="s">
        <v>203</v>
      </c>
      <c r="CEU13" s="314" t="s">
        <v>203</v>
      </c>
      <c r="CEV13" s="314" t="s">
        <v>203</v>
      </c>
      <c r="CEW13" s="314" t="s">
        <v>203</v>
      </c>
      <c r="CEX13" s="314" t="s">
        <v>203</v>
      </c>
      <c r="CEY13" s="314" t="s">
        <v>203</v>
      </c>
      <c r="CEZ13" s="314" t="s">
        <v>203</v>
      </c>
      <c r="CFA13" s="314" t="s">
        <v>203</v>
      </c>
      <c r="CFB13" s="314" t="s">
        <v>203</v>
      </c>
      <c r="CFC13" s="314" t="s">
        <v>203</v>
      </c>
      <c r="CFD13" s="314" t="s">
        <v>203</v>
      </c>
      <c r="CFE13" s="314" t="s">
        <v>203</v>
      </c>
      <c r="CFF13" s="314" t="s">
        <v>203</v>
      </c>
      <c r="CFG13" s="314" t="s">
        <v>203</v>
      </c>
      <c r="CFH13" s="314" t="s">
        <v>203</v>
      </c>
      <c r="CFI13" s="314" t="s">
        <v>203</v>
      </c>
      <c r="CFJ13" s="314" t="s">
        <v>203</v>
      </c>
      <c r="CFK13" s="314" t="s">
        <v>203</v>
      </c>
      <c r="CFL13" s="314" t="s">
        <v>203</v>
      </c>
      <c r="CFM13" s="314" t="s">
        <v>203</v>
      </c>
      <c r="CFN13" s="314" t="s">
        <v>203</v>
      </c>
      <c r="CFO13" s="314" t="s">
        <v>203</v>
      </c>
      <c r="CFP13" s="314" t="s">
        <v>203</v>
      </c>
      <c r="CFQ13" s="314" t="s">
        <v>203</v>
      </c>
      <c r="CFR13" s="314" t="s">
        <v>203</v>
      </c>
      <c r="CFS13" s="314" t="s">
        <v>203</v>
      </c>
      <c r="CFT13" s="314" t="s">
        <v>203</v>
      </c>
      <c r="CFU13" s="314" t="s">
        <v>203</v>
      </c>
      <c r="CFV13" s="314" t="s">
        <v>203</v>
      </c>
      <c r="CFW13" s="314" t="s">
        <v>203</v>
      </c>
      <c r="CFX13" s="314" t="s">
        <v>203</v>
      </c>
      <c r="CFY13" s="314" t="s">
        <v>203</v>
      </c>
      <c r="CFZ13" s="314" t="s">
        <v>203</v>
      </c>
      <c r="CGA13" s="314" t="s">
        <v>203</v>
      </c>
      <c r="CGB13" s="314" t="s">
        <v>203</v>
      </c>
      <c r="CGC13" s="314" t="s">
        <v>203</v>
      </c>
      <c r="CGD13" s="314" t="s">
        <v>203</v>
      </c>
      <c r="CGE13" s="314" t="s">
        <v>203</v>
      </c>
      <c r="CGF13" s="314" t="s">
        <v>203</v>
      </c>
      <c r="CGG13" s="314" t="s">
        <v>203</v>
      </c>
      <c r="CGH13" s="314" t="s">
        <v>203</v>
      </c>
      <c r="CGI13" s="314" t="s">
        <v>203</v>
      </c>
      <c r="CGJ13" s="314" t="s">
        <v>203</v>
      </c>
      <c r="CGK13" s="314" t="s">
        <v>203</v>
      </c>
      <c r="CGL13" s="314" t="s">
        <v>203</v>
      </c>
      <c r="CGM13" s="314" t="s">
        <v>203</v>
      </c>
      <c r="CGN13" s="314" t="s">
        <v>203</v>
      </c>
      <c r="CGO13" s="314" t="s">
        <v>203</v>
      </c>
      <c r="CGP13" s="314" t="s">
        <v>203</v>
      </c>
      <c r="CGQ13" s="314" t="s">
        <v>203</v>
      </c>
      <c r="CGR13" s="314" t="s">
        <v>203</v>
      </c>
      <c r="CGS13" s="314" t="s">
        <v>203</v>
      </c>
      <c r="CGT13" s="314" t="s">
        <v>203</v>
      </c>
      <c r="CGU13" s="314" t="s">
        <v>203</v>
      </c>
      <c r="CGV13" s="314" t="s">
        <v>203</v>
      </c>
      <c r="CGW13" s="314" t="s">
        <v>203</v>
      </c>
      <c r="CGX13" s="314" t="s">
        <v>203</v>
      </c>
      <c r="CGY13" s="314" t="s">
        <v>203</v>
      </c>
      <c r="CGZ13" s="314" t="s">
        <v>203</v>
      </c>
      <c r="CHA13" s="314" t="s">
        <v>203</v>
      </c>
      <c r="CHB13" s="314" t="s">
        <v>203</v>
      </c>
      <c r="CHC13" s="314" t="s">
        <v>203</v>
      </c>
      <c r="CHD13" s="314" t="s">
        <v>203</v>
      </c>
      <c r="CHE13" s="314" t="s">
        <v>203</v>
      </c>
      <c r="CHF13" s="314" t="s">
        <v>203</v>
      </c>
      <c r="CHG13" s="314" t="s">
        <v>203</v>
      </c>
      <c r="CHH13" s="314" t="s">
        <v>203</v>
      </c>
      <c r="CHI13" s="314" t="s">
        <v>203</v>
      </c>
      <c r="CHJ13" s="314" t="s">
        <v>203</v>
      </c>
      <c r="CHK13" s="314" t="s">
        <v>203</v>
      </c>
      <c r="CHL13" s="314" t="s">
        <v>203</v>
      </c>
      <c r="CHM13" s="314" t="s">
        <v>203</v>
      </c>
      <c r="CHN13" s="314" t="s">
        <v>203</v>
      </c>
      <c r="CHO13" s="314" t="s">
        <v>203</v>
      </c>
      <c r="CHP13" s="314" t="s">
        <v>203</v>
      </c>
      <c r="CHQ13" s="314" t="s">
        <v>203</v>
      </c>
      <c r="CHR13" s="314" t="s">
        <v>203</v>
      </c>
      <c r="CHS13" s="314" t="s">
        <v>203</v>
      </c>
      <c r="CHT13" s="314" t="s">
        <v>203</v>
      </c>
      <c r="CHU13" s="314" t="s">
        <v>203</v>
      </c>
      <c r="CHV13" s="314" t="s">
        <v>203</v>
      </c>
      <c r="CHW13" s="314" t="s">
        <v>203</v>
      </c>
      <c r="CHX13" s="314" t="s">
        <v>203</v>
      </c>
      <c r="CHY13" s="314" t="s">
        <v>203</v>
      </c>
      <c r="CHZ13" s="314" t="s">
        <v>203</v>
      </c>
      <c r="CIA13" s="314" t="s">
        <v>203</v>
      </c>
      <c r="CIB13" s="314" t="s">
        <v>203</v>
      </c>
      <c r="CIC13" s="314" t="s">
        <v>203</v>
      </c>
      <c r="CID13" s="314" t="s">
        <v>203</v>
      </c>
      <c r="CIE13" s="314" t="s">
        <v>203</v>
      </c>
      <c r="CIF13" s="314" t="s">
        <v>203</v>
      </c>
      <c r="CIG13" s="314" t="s">
        <v>203</v>
      </c>
      <c r="CIH13" s="314" t="s">
        <v>203</v>
      </c>
      <c r="CII13" s="314" t="s">
        <v>203</v>
      </c>
      <c r="CIJ13" s="314" t="s">
        <v>203</v>
      </c>
      <c r="CIK13" s="314" t="s">
        <v>203</v>
      </c>
      <c r="CIL13" s="314" t="s">
        <v>203</v>
      </c>
      <c r="CIM13" s="314" t="s">
        <v>203</v>
      </c>
      <c r="CIN13" s="314" t="s">
        <v>203</v>
      </c>
      <c r="CIO13" s="314" t="s">
        <v>203</v>
      </c>
      <c r="CIP13" s="314" t="s">
        <v>203</v>
      </c>
      <c r="CIQ13" s="314" t="s">
        <v>203</v>
      </c>
      <c r="CIR13" s="314" t="s">
        <v>203</v>
      </c>
      <c r="CIS13" s="314" t="s">
        <v>203</v>
      </c>
      <c r="CIT13" s="314" t="s">
        <v>203</v>
      </c>
      <c r="CIU13" s="314" t="s">
        <v>203</v>
      </c>
      <c r="CIV13" s="314" t="s">
        <v>203</v>
      </c>
      <c r="CIW13" s="314" t="s">
        <v>203</v>
      </c>
      <c r="CIX13" s="314" t="s">
        <v>203</v>
      </c>
      <c r="CIY13" s="314" t="s">
        <v>203</v>
      </c>
      <c r="CIZ13" s="314" t="s">
        <v>203</v>
      </c>
      <c r="CJA13" s="314" t="s">
        <v>203</v>
      </c>
      <c r="CJB13" s="314" t="s">
        <v>203</v>
      </c>
      <c r="CJC13" s="314" t="s">
        <v>203</v>
      </c>
      <c r="CJD13" s="314" t="s">
        <v>203</v>
      </c>
      <c r="CJE13" s="314" t="s">
        <v>203</v>
      </c>
      <c r="CJF13" s="314" t="s">
        <v>203</v>
      </c>
      <c r="CJG13" s="314" t="s">
        <v>203</v>
      </c>
      <c r="CJH13" s="314" t="s">
        <v>203</v>
      </c>
      <c r="CJI13" s="314" t="s">
        <v>203</v>
      </c>
      <c r="CJJ13" s="314" t="s">
        <v>203</v>
      </c>
      <c r="CJK13" s="314" t="s">
        <v>203</v>
      </c>
      <c r="CJL13" s="314" t="s">
        <v>203</v>
      </c>
      <c r="CJM13" s="314" t="s">
        <v>203</v>
      </c>
      <c r="CJN13" s="314" t="s">
        <v>203</v>
      </c>
      <c r="CJO13" s="314" t="s">
        <v>203</v>
      </c>
      <c r="CJP13" s="314" t="s">
        <v>203</v>
      </c>
      <c r="CJQ13" s="314" t="s">
        <v>203</v>
      </c>
      <c r="CJR13" s="314" t="s">
        <v>203</v>
      </c>
      <c r="CJS13" s="314" t="s">
        <v>203</v>
      </c>
      <c r="CJT13" s="314" t="s">
        <v>203</v>
      </c>
      <c r="CJU13" s="314" t="s">
        <v>203</v>
      </c>
      <c r="CJV13" s="314" t="s">
        <v>203</v>
      </c>
      <c r="CJW13" s="314" t="s">
        <v>203</v>
      </c>
      <c r="CJX13" s="314" t="s">
        <v>203</v>
      </c>
      <c r="CJY13" s="314" t="s">
        <v>203</v>
      </c>
      <c r="CJZ13" s="314" t="s">
        <v>203</v>
      </c>
      <c r="CKA13" s="314" t="s">
        <v>203</v>
      </c>
      <c r="CKB13" s="314" t="s">
        <v>203</v>
      </c>
      <c r="CKC13" s="314" t="s">
        <v>203</v>
      </c>
      <c r="CKD13" s="314" t="s">
        <v>203</v>
      </c>
      <c r="CKE13" s="314" t="s">
        <v>203</v>
      </c>
      <c r="CKF13" s="314" t="s">
        <v>203</v>
      </c>
      <c r="CKG13" s="314" t="s">
        <v>203</v>
      </c>
      <c r="CKH13" s="314" t="s">
        <v>203</v>
      </c>
      <c r="CKI13" s="314" t="s">
        <v>203</v>
      </c>
      <c r="CKJ13" s="314" t="s">
        <v>203</v>
      </c>
      <c r="CKK13" s="314" t="s">
        <v>203</v>
      </c>
      <c r="CKL13" s="314" t="s">
        <v>203</v>
      </c>
      <c r="CKM13" s="314" t="s">
        <v>203</v>
      </c>
      <c r="CKN13" s="314" t="s">
        <v>203</v>
      </c>
      <c r="CKO13" s="314" t="s">
        <v>203</v>
      </c>
      <c r="CKP13" s="314" t="s">
        <v>203</v>
      </c>
      <c r="CKQ13" s="314" t="s">
        <v>203</v>
      </c>
      <c r="CKR13" s="314" t="s">
        <v>203</v>
      </c>
      <c r="CKS13" s="314" t="s">
        <v>203</v>
      </c>
      <c r="CKT13" s="314" t="s">
        <v>203</v>
      </c>
      <c r="CKU13" s="314" t="s">
        <v>203</v>
      </c>
      <c r="CKV13" s="314" t="s">
        <v>203</v>
      </c>
      <c r="CKW13" s="314" t="s">
        <v>203</v>
      </c>
      <c r="CKX13" s="314" t="s">
        <v>203</v>
      </c>
      <c r="CKY13" s="314" t="s">
        <v>203</v>
      </c>
      <c r="CKZ13" s="314" t="s">
        <v>203</v>
      </c>
      <c r="CLA13" s="314" t="s">
        <v>203</v>
      </c>
      <c r="CLB13" s="314" t="s">
        <v>203</v>
      </c>
      <c r="CLC13" s="314" t="s">
        <v>203</v>
      </c>
      <c r="CLD13" s="314" t="s">
        <v>203</v>
      </c>
      <c r="CLE13" s="314" t="s">
        <v>203</v>
      </c>
      <c r="CLF13" s="314" t="s">
        <v>203</v>
      </c>
      <c r="CLG13" s="314" t="s">
        <v>203</v>
      </c>
      <c r="CLH13" s="314" t="s">
        <v>203</v>
      </c>
      <c r="CLI13" s="314" t="s">
        <v>203</v>
      </c>
      <c r="CLJ13" s="314" t="s">
        <v>203</v>
      </c>
      <c r="CLK13" s="314" t="s">
        <v>203</v>
      </c>
      <c r="CLL13" s="314" t="s">
        <v>203</v>
      </c>
      <c r="CLM13" s="314" t="s">
        <v>203</v>
      </c>
      <c r="CLN13" s="314" t="s">
        <v>203</v>
      </c>
      <c r="CLO13" s="314" t="s">
        <v>203</v>
      </c>
      <c r="CLP13" s="314" t="s">
        <v>203</v>
      </c>
      <c r="CLQ13" s="314" t="s">
        <v>203</v>
      </c>
      <c r="CLR13" s="314" t="s">
        <v>203</v>
      </c>
      <c r="CLS13" s="314" t="s">
        <v>203</v>
      </c>
      <c r="CLT13" s="314" t="s">
        <v>203</v>
      </c>
      <c r="CLU13" s="314" t="s">
        <v>203</v>
      </c>
      <c r="CLV13" s="314" t="s">
        <v>203</v>
      </c>
      <c r="CLW13" s="314" t="s">
        <v>203</v>
      </c>
      <c r="CLX13" s="314" t="s">
        <v>203</v>
      </c>
      <c r="CLY13" s="314" t="s">
        <v>203</v>
      </c>
      <c r="CLZ13" s="314" t="s">
        <v>203</v>
      </c>
      <c r="CMA13" s="314" t="s">
        <v>203</v>
      </c>
      <c r="CMB13" s="314" t="s">
        <v>203</v>
      </c>
      <c r="CMC13" s="314" t="s">
        <v>203</v>
      </c>
      <c r="CMD13" s="314" t="s">
        <v>203</v>
      </c>
      <c r="CME13" s="314" t="s">
        <v>203</v>
      </c>
      <c r="CMF13" s="314" t="s">
        <v>203</v>
      </c>
      <c r="CMG13" s="314" t="s">
        <v>203</v>
      </c>
      <c r="CMH13" s="314" t="s">
        <v>203</v>
      </c>
      <c r="CMI13" s="314" t="s">
        <v>203</v>
      </c>
      <c r="CMJ13" s="314" t="s">
        <v>203</v>
      </c>
      <c r="CMK13" s="314" t="s">
        <v>203</v>
      </c>
      <c r="CML13" s="314" t="s">
        <v>203</v>
      </c>
      <c r="CMM13" s="314" t="s">
        <v>203</v>
      </c>
      <c r="CMN13" s="314" t="s">
        <v>203</v>
      </c>
      <c r="CMO13" s="314" t="s">
        <v>203</v>
      </c>
      <c r="CMP13" s="314" t="s">
        <v>203</v>
      </c>
      <c r="CMQ13" s="314" t="s">
        <v>203</v>
      </c>
      <c r="CMR13" s="314" t="s">
        <v>203</v>
      </c>
      <c r="CMS13" s="314" t="s">
        <v>203</v>
      </c>
      <c r="CMT13" s="314" t="s">
        <v>203</v>
      </c>
      <c r="CMU13" s="314" t="s">
        <v>203</v>
      </c>
      <c r="CMV13" s="314" t="s">
        <v>203</v>
      </c>
      <c r="CMW13" s="314" t="s">
        <v>203</v>
      </c>
      <c r="CMX13" s="314" t="s">
        <v>203</v>
      </c>
      <c r="CMY13" s="314" t="s">
        <v>203</v>
      </c>
      <c r="CMZ13" s="314" t="s">
        <v>203</v>
      </c>
      <c r="CNA13" s="314" t="s">
        <v>203</v>
      </c>
      <c r="CNB13" s="314" t="s">
        <v>203</v>
      </c>
      <c r="CNC13" s="314" t="s">
        <v>203</v>
      </c>
      <c r="CND13" s="314" t="s">
        <v>203</v>
      </c>
      <c r="CNE13" s="314" t="s">
        <v>203</v>
      </c>
      <c r="CNF13" s="314" t="s">
        <v>203</v>
      </c>
      <c r="CNG13" s="314" t="s">
        <v>203</v>
      </c>
      <c r="CNH13" s="314" t="s">
        <v>203</v>
      </c>
      <c r="CNI13" s="314" t="s">
        <v>203</v>
      </c>
      <c r="CNJ13" s="314" t="s">
        <v>203</v>
      </c>
      <c r="CNK13" s="314" t="s">
        <v>203</v>
      </c>
      <c r="CNL13" s="314" t="s">
        <v>203</v>
      </c>
      <c r="CNM13" s="314" t="s">
        <v>203</v>
      </c>
      <c r="CNN13" s="314" t="s">
        <v>203</v>
      </c>
      <c r="CNO13" s="314" t="s">
        <v>203</v>
      </c>
      <c r="CNP13" s="314" t="s">
        <v>203</v>
      </c>
      <c r="CNQ13" s="314" t="s">
        <v>203</v>
      </c>
      <c r="CNR13" s="314" t="s">
        <v>203</v>
      </c>
      <c r="CNS13" s="314" t="s">
        <v>203</v>
      </c>
      <c r="CNT13" s="314" t="s">
        <v>203</v>
      </c>
      <c r="CNU13" s="314" t="s">
        <v>203</v>
      </c>
      <c r="CNV13" s="314" t="s">
        <v>203</v>
      </c>
      <c r="CNW13" s="314" t="s">
        <v>203</v>
      </c>
      <c r="CNX13" s="314" t="s">
        <v>203</v>
      </c>
      <c r="CNY13" s="314" t="s">
        <v>203</v>
      </c>
      <c r="CNZ13" s="314" t="s">
        <v>203</v>
      </c>
      <c r="COA13" s="314" t="s">
        <v>203</v>
      </c>
      <c r="COB13" s="314" t="s">
        <v>203</v>
      </c>
      <c r="COC13" s="314" t="s">
        <v>203</v>
      </c>
      <c r="COD13" s="314" t="s">
        <v>203</v>
      </c>
      <c r="COE13" s="314" t="s">
        <v>203</v>
      </c>
      <c r="COF13" s="314" t="s">
        <v>203</v>
      </c>
      <c r="COG13" s="314" t="s">
        <v>203</v>
      </c>
      <c r="COH13" s="314" t="s">
        <v>203</v>
      </c>
      <c r="COI13" s="314" t="s">
        <v>203</v>
      </c>
      <c r="COJ13" s="314" t="s">
        <v>203</v>
      </c>
      <c r="COK13" s="314" t="s">
        <v>203</v>
      </c>
      <c r="COL13" s="314" t="s">
        <v>203</v>
      </c>
      <c r="COM13" s="314" t="s">
        <v>203</v>
      </c>
      <c r="CON13" s="314" t="s">
        <v>203</v>
      </c>
      <c r="COO13" s="314" t="s">
        <v>203</v>
      </c>
      <c r="COP13" s="314" t="s">
        <v>203</v>
      </c>
      <c r="COQ13" s="314" t="s">
        <v>203</v>
      </c>
      <c r="COR13" s="314" t="s">
        <v>203</v>
      </c>
      <c r="COS13" s="314" t="s">
        <v>203</v>
      </c>
      <c r="COT13" s="314" t="s">
        <v>203</v>
      </c>
      <c r="COU13" s="314" t="s">
        <v>203</v>
      </c>
      <c r="COV13" s="314" t="s">
        <v>203</v>
      </c>
      <c r="COW13" s="314" t="s">
        <v>203</v>
      </c>
      <c r="COX13" s="314" t="s">
        <v>203</v>
      </c>
      <c r="COY13" s="314" t="s">
        <v>203</v>
      </c>
      <c r="COZ13" s="314" t="s">
        <v>203</v>
      </c>
      <c r="CPA13" s="314" t="s">
        <v>203</v>
      </c>
      <c r="CPB13" s="314" t="s">
        <v>203</v>
      </c>
      <c r="CPC13" s="314" t="s">
        <v>203</v>
      </c>
      <c r="CPD13" s="314" t="s">
        <v>203</v>
      </c>
      <c r="CPE13" s="314" t="s">
        <v>203</v>
      </c>
      <c r="CPF13" s="314" t="s">
        <v>203</v>
      </c>
      <c r="CPG13" s="314" t="s">
        <v>203</v>
      </c>
      <c r="CPH13" s="314" t="s">
        <v>203</v>
      </c>
      <c r="CPI13" s="314" t="s">
        <v>203</v>
      </c>
      <c r="CPJ13" s="314" t="s">
        <v>203</v>
      </c>
      <c r="CPK13" s="314" t="s">
        <v>203</v>
      </c>
      <c r="CPL13" s="314" t="s">
        <v>203</v>
      </c>
      <c r="CPM13" s="314" t="s">
        <v>203</v>
      </c>
      <c r="CPN13" s="314" t="s">
        <v>203</v>
      </c>
      <c r="CPO13" s="314" t="s">
        <v>203</v>
      </c>
      <c r="CPP13" s="314" t="s">
        <v>203</v>
      </c>
      <c r="CPQ13" s="314" t="s">
        <v>203</v>
      </c>
      <c r="CPR13" s="314" t="s">
        <v>203</v>
      </c>
      <c r="CPS13" s="314" t="s">
        <v>203</v>
      </c>
      <c r="CPT13" s="314" t="s">
        <v>203</v>
      </c>
      <c r="CPU13" s="314" t="s">
        <v>203</v>
      </c>
      <c r="CPV13" s="314" t="s">
        <v>203</v>
      </c>
      <c r="CPW13" s="314" t="s">
        <v>203</v>
      </c>
      <c r="CPX13" s="314" t="s">
        <v>203</v>
      </c>
      <c r="CPY13" s="314" t="s">
        <v>203</v>
      </c>
      <c r="CPZ13" s="314" t="s">
        <v>203</v>
      </c>
      <c r="CQA13" s="314" t="s">
        <v>203</v>
      </c>
      <c r="CQB13" s="314" t="s">
        <v>203</v>
      </c>
      <c r="CQC13" s="314" t="s">
        <v>203</v>
      </c>
      <c r="CQD13" s="314" t="s">
        <v>203</v>
      </c>
      <c r="CQE13" s="314" t="s">
        <v>203</v>
      </c>
      <c r="CQF13" s="314" t="s">
        <v>203</v>
      </c>
      <c r="CQG13" s="314" t="s">
        <v>203</v>
      </c>
      <c r="CQH13" s="314" t="s">
        <v>203</v>
      </c>
      <c r="CQI13" s="314" t="s">
        <v>203</v>
      </c>
      <c r="CQJ13" s="314" t="s">
        <v>203</v>
      </c>
      <c r="CQK13" s="314" t="s">
        <v>203</v>
      </c>
      <c r="CQL13" s="314" t="s">
        <v>203</v>
      </c>
      <c r="CQM13" s="314" t="s">
        <v>203</v>
      </c>
      <c r="CQN13" s="314" t="s">
        <v>203</v>
      </c>
      <c r="CQO13" s="314" t="s">
        <v>203</v>
      </c>
      <c r="CQP13" s="314" t="s">
        <v>203</v>
      </c>
      <c r="CQQ13" s="314" t="s">
        <v>203</v>
      </c>
      <c r="CQR13" s="314" t="s">
        <v>203</v>
      </c>
      <c r="CQS13" s="314" t="s">
        <v>203</v>
      </c>
      <c r="CQT13" s="314" t="s">
        <v>203</v>
      </c>
      <c r="CQU13" s="314" t="s">
        <v>203</v>
      </c>
      <c r="CQV13" s="314" t="s">
        <v>203</v>
      </c>
      <c r="CQW13" s="314" t="s">
        <v>203</v>
      </c>
      <c r="CQX13" s="314" t="s">
        <v>203</v>
      </c>
      <c r="CQY13" s="314" t="s">
        <v>203</v>
      </c>
      <c r="CQZ13" s="314" t="s">
        <v>203</v>
      </c>
      <c r="CRA13" s="314" t="s">
        <v>203</v>
      </c>
      <c r="CRB13" s="314" t="s">
        <v>203</v>
      </c>
      <c r="CRC13" s="314" t="s">
        <v>203</v>
      </c>
      <c r="CRD13" s="314" t="s">
        <v>203</v>
      </c>
      <c r="CRE13" s="314" t="s">
        <v>203</v>
      </c>
      <c r="CRF13" s="314" t="s">
        <v>203</v>
      </c>
      <c r="CRG13" s="314" t="s">
        <v>203</v>
      </c>
      <c r="CRH13" s="314" t="s">
        <v>203</v>
      </c>
      <c r="CRI13" s="314" t="s">
        <v>203</v>
      </c>
      <c r="CRJ13" s="314" t="s">
        <v>203</v>
      </c>
      <c r="CRK13" s="314" t="s">
        <v>203</v>
      </c>
      <c r="CRL13" s="314" t="s">
        <v>203</v>
      </c>
      <c r="CRM13" s="314" t="s">
        <v>203</v>
      </c>
      <c r="CRN13" s="314" t="s">
        <v>203</v>
      </c>
      <c r="CRO13" s="314" t="s">
        <v>203</v>
      </c>
      <c r="CRP13" s="314" t="s">
        <v>203</v>
      </c>
      <c r="CRQ13" s="314" t="s">
        <v>203</v>
      </c>
      <c r="CRR13" s="314" t="s">
        <v>203</v>
      </c>
      <c r="CRS13" s="314" t="s">
        <v>203</v>
      </c>
      <c r="CRT13" s="314" t="s">
        <v>203</v>
      </c>
      <c r="CRU13" s="314" t="s">
        <v>203</v>
      </c>
      <c r="CRV13" s="314" t="s">
        <v>203</v>
      </c>
      <c r="CRW13" s="314" t="s">
        <v>203</v>
      </c>
      <c r="CRX13" s="314" t="s">
        <v>203</v>
      </c>
      <c r="CRY13" s="314" t="s">
        <v>203</v>
      </c>
      <c r="CRZ13" s="314" t="s">
        <v>203</v>
      </c>
      <c r="CSA13" s="314" t="s">
        <v>203</v>
      </c>
      <c r="CSB13" s="314" t="s">
        <v>203</v>
      </c>
      <c r="CSC13" s="314" t="s">
        <v>203</v>
      </c>
      <c r="CSD13" s="314" t="s">
        <v>203</v>
      </c>
      <c r="CSE13" s="314" t="s">
        <v>203</v>
      </c>
      <c r="CSF13" s="314" t="s">
        <v>203</v>
      </c>
      <c r="CSG13" s="314" t="s">
        <v>203</v>
      </c>
      <c r="CSH13" s="314" t="s">
        <v>203</v>
      </c>
      <c r="CSI13" s="314" t="s">
        <v>203</v>
      </c>
      <c r="CSJ13" s="314" t="s">
        <v>203</v>
      </c>
      <c r="CSK13" s="314" t="s">
        <v>203</v>
      </c>
      <c r="CSL13" s="314" t="s">
        <v>203</v>
      </c>
      <c r="CSM13" s="314" t="s">
        <v>203</v>
      </c>
      <c r="CSN13" s="314" t="s">
        <v>203</v>
      </c>
      <c r="CSO13" s="314" t="s">
        <v>203</v>
      </c>
      <c r="CSP13" s="314" t="s">
        <v>203</v>
      </c>
      <c r="CSQ13" s="314" t="s">
        <v>203</v>
      </c>
      <c r="CSR13" s="314" t="s">
        <v>203</v>
      </c>
      <c r="CSS13" s="314" t="s">
        <v>203</v>
      </c>
      <c r="CST13" s="314" t="s">
        <v>203</v>
      </c>
      <c r="CSU13" s="314" t="s">
        <v>203</v>
      </c>
      <c r="CSV13" s="314" t="s">
        <v>203</v>
      </c>
      <c r="CSW13" s="314" t="s">
        <v>203</v>
      </c>
      <c r="CSX13" s="314" t="s">
        <v>203</v>
      </c>
      <c r="CSY13" s="314" t="s">
        <v>203</v>
      </c>
      <c r="CSZ13" s="314" t="s">
        <v>203</v>
      </c>
      <c r="CTA13" s="314" t="s">
        <v>203</v>
      </c>
      <c r="CTB13" s="314" t="s">
        <v>203</v>
      </c>
      <c r="CTC13" s="314" t="s">
        <v>203</v>
      </c>
      <c r="CTD13" s="314" t="s">
        <v>203</v>
      </c>
      <c r="CTE13" s="314" t="s">
        <v>203</v>
      </c>
      <c r="CTF13" s="314" t="s">
        <v>203</v>
      </c>
      <c r="CTG13" s="314" t="s">
        <v>203</v>
      </c>
      <c r="CTH13" s="314" t="s">
        <v>203</v>
      </c>
      <c r="CTI13" s="314" t="s">
        <v>203</v>
      </c>
      <c r="CTJ13" s="314" t="s">
        <v>203</v>
      </c>
      <c r="CTK13" s="314" t="s">
        <v>203</v>
      </c>
      <c r="CTL13" s="314" t="s">
        <v>203</v>
      </c>
      <c r="CTM13" s="314" t="s">
        <v>203</v>
      </c>
      <c r="CTN13" s="314" t="s">
        <v>203</v>
      </c>
      <c r="CTO13" s="314" t="s">
        <v>203</v>
      </c>
      <c r="CTP13" s="314" t="s">
        <v>203</v>
      </c>
      <c r="CTQ13" s="314" t="s">
        <v>203</v>
      </c>
      <c r="CTR13" s="314" t="s">
        <v>203</v>
      </c>
      <c r="CTS13" s="314" t="s">
        <v>203</v>
      </c>
      <c r="CTT13" s="314" t="s">
        <v>203</v>
      </c>
      <c r="CTU13" s="314" t="s">
        <v>203</v>
      </c>
      <c r="CTV13" s="314" t="s">
        <v>203</v>
      </c>
      <c r="CTW13" s="314" t="s">
        <v>203</v>
      </c>
      <c r="CTX13" s="314" t="s">
        <v>203</v>
      </c>
      <c r="CTY13" s="314" t="s">
        <v>203</v>
      </c>
      <c r="CTZ13" s="314" t="s">
        <v>203</v>
      </c>
      <c r="CUA13" s="314" t="s">
        <v>203</v>
      </c>
      <c r="CUB13" s="314" t="s">
        <v>203</v>
      </c>
      <c r="CUC13" s="314" t="s">
        <v>203</v>
      </c>
      <c r="CUD13" s="314" t="s">
        <v>203</v>
      </c>
      <c r="CUE13" s="314" t="s">
        <v>203</v>
      </c>
      <c r="CUF13" s="314" t="s">
        <v>203</v>
      </c>
      <c r="CUG13" s="314" t="s">
        <v>203</v>
      </c>
      <c r="CUH13" s="314" t="s">
        <v>203</v>
      </c>
      <c r="CUI13" s="314" t="s">
        <v>203</v>
      </c>
      <c r="CUJ13" s="314" t="s">
        <v>203</v>
      </c>
      <c r="CUK13" s="314" t="s">
        <v>203</v>
      </c>
      <c r="CUL13" s="314" t="s">
        <v>203</v>
      </c>
      <c r="CUM13" s="314" t="s">
        <v>203</v>
      </c>
      <c r="CUN13" s="314" t="s">
        <v>203</v>
      </c>
      <c r="CUO13" s="314" t="s">
        <v>203</v>
      </c>
      <c r="CUP13" s="314" t="s">
        <v>203</v>
      </c>
      <c r="CUQ13" s="314" t="s">
        <v>203</v>
      </c>
      <c r="CUR13" s="314" t="s">
        <v>203</v>
      </c>
      <c r="CUS13" s="314" t="s">
        <v>203</v>
      </c>
      <c r="CUT13" s="314" t="s">
        <v>203</v>
      </c>
      <c r="CUU13" s="314" t="s">
        <v>203</v>
      </c>
      <c r="CUV13" s="314" t="s">
        <v>203</v>
      </c>
      <c r="CUW13" s="314" t="s">
        <v>203</v>
      </c>
      <c r="CUX13" s="314" t="s">
        <v>203</v>
      </c>
      <c r="CUY13" s="314" t="s">
        <v>203</v>
      </c>
      <c r="CUZ13" s="314" t="s">
        <v>203</v>
      </c>
      <c r="CVA13" s="314" t="s">
        <v>203</v>
      </c>
      <c r="CVB13" s="314" t="s">
        <v>203</v>
      </c>
      <c r="CVC13" s="314" t="s">
        <v>203</v>
      </c>
      <c r="CVD13" s="314" t="s">
        <v>203</v>
      </c>
      <c r="CVE13" s="314" t="s">
        <v>203</v>
      </c>
      <c r="CVF13" s="314" t="s">
        <v>203</v>
      </c>
      <c r="CVG13" s="314" t="s">
        <v>203</v>
      </c>
      <c r="CVH13" s="314" t="s">
        <v>203</v>
      </c>
      <c r="CVI13" s="314" t="s">
        <v>203</v>
      </c>
      <c r="CVJ13" s="314" t="s">
        <v>203</v>
      </c>
      <c r="CVK13" s="314" t="s">
        <v>203</v>
      </c>
      <c r="CVL13" s="314" t="s">
        <v>203</v>
      </c>
      <c r="CVM13" s="314" t="s">
        <v>203</v>
      </c>
      <c r="CVN13" s="314" t="s">
        <v>203</v>
      </c>
      <c r="CVO13" s="314" t="s">
        <v>203</v>
      </c>
      <c r="CVP13" s="314" t="s">
        <v>203</v>
      </c>
      <c r="CVQ13" s="314" t="s">
        <v>203</v>
      </c>
      <c r="CVR13" s="314" t="s">
        <v>203</v>
      </c>
      <c r="CVS13" s="314" t="s">
        <v>203</v>
      </c>
      <c r="CVT13" s="314" t="s">
        <v>203</v>
      </c>
      <c r="CVU13" s="314" t="s">
        <v>203</v>
      </c>
      <c r="CVV13" s="314" t="s">
        <v>203</v>
      </c>
      <c r="CVW13" s="314" t="s">
        <v>203</v>
      </c>
      <c r="CVX13" s="314" t="s">
        <v>203</v>
      </c>
      <c r="CVY13" s="314" t="s">
        <v>203</v>
      </c>
      <c r="CVZ13" s="314" t="s">
        <v>203</v>
      </c>
      <c r="CWA13" s="314" t="s">
        <v>203</v>
      </c>
      <c r="CWB13" s="314" t="s">
        <v>203</v>
      </c>
      <c r="CWC13" s="314" t="s">
        <v>203</v>
      </c>
      <c r="CWD13" s="314" t="s">
        <v>203</v>
      </c>
      <c r="CWE13" s="314" t="s">
        <v>203</v>
      </c>
      <c r="CWF13" s="314" t="s">
        <v>203</v>
      </c>
      <c r="CWG13" s="314" t="s">
        <v>203</v>
      </c>
      <c r="CWH13" s="314" t="s">
        <v>203</v>
      </c>
      <c r="CWI13" s="314" t="s">
        <v>203</v>
      </c>
      <c r="CWJ13" s="314" t="s">
        <v>203</v>
      </c>
      <c r="CWK13" s="314" t="s">
        <v>203</v>
      </c>
      <c r="CWL13" s="314" t="s">
        <v>203</v>
      </c>
      <c r="CWM13" s="314" t="s">
        <v>203</v>
      </c>
      <c r="CWN13" s="314" t="s">
        <v>203</v>
      </c>
      <c r="CWO13" s="314" t="s">
        <v>203</v>
      </c>
      <c r="CWP13" s="314" t="s">
        <v>203</v>
      </c>
      <c r="CWQ13" s="314" t="s">
        <v>203</v>
      </c>
      <c r="CWR13" s="314" t="s">
        <v>203</v>
      </c>
      <c r="CWS13" s="314" t="s">
        <v>203</v>
      </c>
      <c r="CWT13" s="314" t="s">
        <v>203</v>
      </c>
      <c r="CWU13" s="314" t="s">
        <v>203</v>
      </c>
      <c r="CWV13" s="314" t="s">
        <v>203</v>
      </c>
      <c r="CWW13" s="314" t="s">
        <v>203</v>
      </c>
      <c r="CWX13" s="314" t="s">
        <v>203</v>
      </c>
      <c r="CWY13" s="314" t="s">
        <v>203</v>
      </c>
      <c r="CWZ13" s="314" t="s">
        <v>203</v>
      </c>
      <c r="CXA13" s="314" t="s">
        <v>203</v>
      </c>
      <c r="CXB13" s="314" t="s">
        <v>203</v>
      </c>
      <c r="CXC13" s="314" t="s">
        <v>203</v>
      </c>
      <c r="CXD13" s="314" t="s">
        <v>203</v>
      </c>
      <c r="CXE13" s="314" t="s">
        <v>203</v>
      </c>
      <c r="CXF13" s="314" t="s">
        <v>203</v>
      </c>
      <c r="CXG13" s="314" t="s">
        <v>203</v>
      </c>
      <c r="CXH13" s="314" t="s">
        <v>203</v>
      </c>
      <c r="CXI13" s="314" t="s">
        <v>203</v>
      </c>
      <c r="CXJ13" s="314" t="s">
        <v>203</v>
      </c>
      <c r="CXK13" s="314" t="s">
        <v>203</v>
      </c>
      <c r="CXL13" s="314" t="s">
        <v>203</v>
      </c>
      <c r="CXM13" s="314" t="s">
        <v>203</v>
      </c>
      <c r="CXN13" s="314" t="s">
        <v>203</v>
      </c>
      <c r="CXO13" s="314" t="s">
        <v>203</v>
      </c>
      <c r="CXP13" s="314" t="s">
        <v>203</v>
      </c>
      <c r="CXQ13" s="314" t="s">
        <v>203</v>
      </c>
      <c r="CXR13" s="314" t="s">
        <v>203</v>
      </c>
      <c r="CXS13" s="314" t="s">
        <v>203</v>
      </c>
      <c r="CXT13" s="314" t="s">
        <v>203</v>
      </c>
      <c r="CXU13" s="314" t="s">
        <v>203</v>
      </c>
      <c r="CXV13" s="314" t="s">
        <v>203</v>
      </c>
      <c r="CXW13" s="314" t="s">
        <v>203</v>
      </c>
      <c r="CXX13" s="314" t="s">
        <v>203</v>
      </c>
      <c r="CXY13" s="314" t="s">
        <v>203</v>
      </c>
      <c r="CXZ13" s="314" t="s">
        <v>203</v>
      </c>
      <c r="CYA13" s="314" t="s">
        <v>203</v>
      </c>
      <c r="CYB13" s="314" t="s">
        <v>203</v>
      </c>
      <c r="CYC13" s="314" t="s">
        <v>203</v>
      </c>
      <c r="CYD13" s="314" t="s">
        <v>203</v>
      </c>
      <c r="CYE13" s="314" t="s">
        <v>203</v>
      </c>
      <c r="CYF13" s="314" t="s">
        <v>203</v>
      </c>
      <c r="CYG13" s="314" t="s">
        <v>203</v>
      </c>
      <c r="CYH13" s="314" t="s">
        <v>203</v>
      </c>
      <c r="CYI13" s="314" t="s">
        <v>203</v>
      </c>
      <c r="CYJ13" s="314" t="s">
        <v>203</v>
      </c>
      <c r="CYK13" s="314" t="s">
        <v>203</v>
      </c>
      <c r="CYL13" s="314" t="s">
        <v>203</v>
      </c>
      <c r="CYM13" s="314" t="s">
        <v>203</v>
      </c>
      <c r="CYN13" s="314" t="s">
        <v>203</v>
      </c>
      <c r="CYO13" s="314" t="s">
        <v>203</v>
      </c>
      <c r="CYP13" s="314" t="s">
        <v>203</v>
      </c>
      <c r="CYQ13" s="314" t="s">
        <v>203</v>
      </c>
      <c r="CYR13" s="314" t="s">
        <v>203</v>
      </c>
      <c r="CYS13" s="314" t="s">
        <v>203</v>
      </c>
      <c r="CYT13" s="314" t="s">
        <v>203</v>
      </c>
      <c r="CYU13" s="314" t="s">
        <v>203</v>
      </c>
      <c r="CYV13" s="314" t="s">
        <v>203</v>
      </c>
      <c r="CYW13" s="314" t="s">
        <v>203</v>
      </c>
      <c r="CYX13" s="314" t="s">
        <v>203</v>
      </c>
      <c r="CYY13" s="314" t="s">
        <v>203</v>
      </c>
      <c r="CYZ13" s="314" t="s">
        <v>203</v>
      </c>
      <c r="CZA13" s="314" t="s">
        <v>203</v>
      </c>
      <c r="CZB13" s="314" t="s">
        <v>203</v>
      </c>
      <c r="CZC13" s="314" t="s">
        <v>203</v>
      </c>
      <c r="CZD13" s="314" t="s">
        <v>203</v>
      </c>
      <c r="CZE13" s="314" t="s">
        <v>203</v>
      </c>
      <c r="CZF13" s="314" t="s">
        <v>203</v>
      </c>
      <c r="CZG13" s="314" t="s">
        <v>203</v>
      </c>
      <c r="CZH13" s="314" t="s">
        <v>203</v>
      </c>
      <c r="CZI13" s="314" t="s">
        <v>203</v>
      </c>
      <c r="CZJ13" s="314" t="s">
        <v>203</v>
      </c>
      <c r="CZK13" s="314" t="s">
        <v>203</v>
      </c>
      <c r="CZL13" s="314" t="s">
        <v>203</v>
      </c>
      <c r="CZM13" s="314" t="s">
        <v>203</v>
      </c>
      <c r="CZN13" s="314" t="s">
        <v>203</v>
      </c>
      <c r="CZO13" s="314" t="s">
        <v>203</v>
      </c>
      <c r="CZP13" s="314" t="s">
        <v>203</v>
      </c>
      <c r="CZQ13" s="314" t="s">
        <v>203</v>
      </c>
      <c r="CZR13" s="314" t="s">
        <v>203</v>
      </c>
      <c r="CZS13" s="314" t="s">
        <v>203</v>
      </c>
      <c r="CZT13" s="314" t="s">
        <v>203</v>
      </c>
      <c r="CZU13" s="314" t="s">
        <v>203</v>
      </c>
      <c r="CZV13" s="314" t="s">
        <v>203</v>
      </c>
      <c r="CZW13" s="314" t="s">
        <v>203</v>
      </c>
      <c r="CZX13" s="314" t="s">
        <v>203</v>
      </c>
      <c r="CZY13" s="314" t="s">
        <v>203</v>
      </c>
      <c r="CZZ13" s="314" t="s">
        <v>203</v>
      </c>
      <c r="DAA13" s="314" t="s">
        <v>203</v>
      </c>
      <c r="DAB13" s="314" t="s">
        <v>203</v>
      </c>
      <c r="DAC13" s="314" t="s">
        <v>203</v>
      </c>
      <c r="DAD13" s="314" t="s">
        <v>203</v>
      </c>
      <c r="DAE13" s="314" t="s">
        <v>203</v>
      </c>
      <c r="DAF13" s="314" t="s">
        <v>203</v>
      </c>
      <c r="DAG13" s="314" t="s">
        <v>203</v>
      </c>
      <c r="DAH13" s="314" t="s">
        <v>203</v>
      </c>
      <c r="DAI13" s="314" t="s">
        <v>203</v>
      </c>
      <c r="DAJ13" s="314" t="s">
        <v>203</v>
      </c>
      <c r="DAK13" s="314" t="s">
        <v>203</v>
      </c>
      <c r="DAL13" s="314" t="s">
        <v>203</v>
      </c>
      <c r="DAM13" s="314" t="s">
        <v>203</v>
      </c>
      <c r="DAN13" s="314" t="s">
        <v>203</v>
      </c>
      <c r="DAO13" s="314" t="s">
        <v>203</v>
      </c>
      <c r="DAP13" s="314" t="s">
        <v>203</v>
      </c>
      <c r="DAQ13" s="314" t="s">
        <v>203</v>
      </c>
      <c r="DAR13" s="314" t="s">
        <v>203</v>
      </c>
      <c r="DAS13" s="314" t="s">
        <v>203</v>
      </c>
      <c r="DAT13" s="314" t="s">
        <v>203</v>
      </c>
      <c r="DAU13" s="314" t="s">
        <v>203</v>
      </c>
      <c r="DAV13" s="314" t="s">
        <v>203</v>
      </c>
      <c r="DAW13" s="314" t="s">
        <v>203</v>
      </c>
      <c r="DAX13" s="314" t="s">
        <v>203</v>
      </c>
      <c r="DAY13" s="314" t="s">
        <v>203</v>
      </c>
      <c r="DAZ13" s="314" t="s">
        <v>203</v>
      </c>
      <c r="DBA13" s="314" t="s">
        <v>203</v>
      </c>
      <c r="DBB13" s="314" t="s">
        <v>203</v>
      </c>
      <c r="DBC13" s="314" t="s">
        <v>203</v>
      </c>
      <c r="DBD13" s="314" t="s">
        <v>203</v>
      </c>
      <c r="DBE13" s="314" t="s">
        <v>203</v>
      </c>
      <c r="DBF13" s="314" t="s">
        <v>203</v>
      </c>
      <c r="DBG13" s="314" t="s">
        <v>203</v>
      </c>
      <c r="DBH13" s="314" t="s">
        <v>203</v>
      </c>
      <c r="DBI13" s="314" t="s">
        <v>203</v>
      </c>
      <c r="DBJ13" s="314" t="s">
        <v>203</v>
      </c>
      <c r="DBK13" s="314" t="s">
        <v>203</v>
      </c>
      <c r="DBL13" s="314" t="s">
        <v>203</v>
      </c>
      <c r="DBM13" s="314" t="s">
        <v>203</v>
      </c>
      <c r="DBN13" s="314" t="s">
        <v>203</v>
      </c>
      <c r="DBO13" s="314" t="s">
        <v>203</v>
      </c>
      <c r="DBP13" s="314" t="s">
        <v>203</v>
      </c>
      <c r="DBQ13" s="314" t="s">
        <v>203</v>
      </c>
      <c r="DBR13" s="314" t="s">
        <v>203</v>
      </c>
      <c r="DBS13" s="314" t="s">
        <v>203</v>
      </c>
      <c r="DBT13" s="314" t="s">
        <v>203</v>
      </c>
      <c r="DBU13" s="314" t="s">
        <v>203</v>
      </c>
      <c r="DBV13" s="314" t="s">
        <v>203</v>
      </c>
      <c r="DBW13" s="314" t="s">
        <v>203</v>
      </c>
      <c r="DBX13" s="314" t="s">
        <v>203</v>
      </c>
      <c r="DBY13" s="314" t="s">
        <v>203</v>
      </c>
      <c r="DBZ13" s="314" t="s">
        <v>203</v>
      </c>
      <c r="DCA13" s="314" t="s">
        <v>203</v>
      </c>
      <c r="DCB13" s="314" t="s">
        <v>203</v>
      </c>
      <c r="DCC13" s="314" t="s">
        <v>203</v>
      </c>
      <c r="DCD13" s="314" t="s">
        <v>203</v>
      </c>
      <c r="DCE13" s="314" t="s">
        <v>203</v>
      </c>
      <c r="DCF13" s="314" t="s">
        <v>203</v>
      </c>
      <c r="DCG13" s="314" t="s">
        <v>203</v>
      </c>
      <c r="DCH13" s="314" t="s">
        <v>203</v>
      </c>
      <c r="DCI13" s="314" t="s">
        <v>203</v>
      </c>
      <c r="DCJ13" s="314" t="s">
        <v>203</v>
      </c>
      <c r="DCK13" s="314" t="s">
        <v>203</v>
      </c>
      <c r="DCL13" s="314" t="s">
        <v>203</v>
      </c>
      <c r="DCM13" s="314" t="s">
        <v>203</v>
      </c>
      <c r="DCN13" s="314" t="s">
        <v>203</v>
      </c>
      <c r="DCO13" s="314" t="s">
        <v>203</v>
      </c>
      <c r="DCP13" s="314" t="s">
        <v>203</v>
      </c>
      <c r="DCQ13" s="314" t="s">
        <v>203</v>
      </c>
      <c r="DCR13" s="314" t="s">
        <v>203</v>
      </c>
      <c r="DCS13" s="314" t="s">
        <v>203</v>
      </c>
      <c r="DCT13" s="314" t="s">
        <v>203</v>
      </c>
      <c r="DCU13" s="314" t="s">
        <v>203</v>
      </c>
      <c r="DCV13" s="314" t="s">
        <v>203</v>
      </c>
      <c r="DCW13" s="314" t="s">
        <v>203</v>
      </c>
      <c r="DCX13" s="314" t="s">
        <v>203</v>
      </c>
      <c r="DCY13" s="314" t="s">
        <v>203</v>
      </c>
      <c r="DCZ13" s="314" t="s">
        <v>203</v>
      </c>
      <c r="DDA13" s="314" t="s">
        <v>203</v>
      </c>
      <c r="DDB13" s="314" t="s">
        <v>203</v>
      </c>
      <c r="DDC13" s="314" t="s">
        <v>203</v>
      </c>
      <c r="DDD13" s="314" t="s">
        <v>203</v>
      </c>
      <c r="DDE13" s="314" t="s">
        <v>203</v>
      </c>
      <c r="DDF13" s="314" t="s">
        <v>203</v>
      </c>
      <c r="DDG13" s="314" t="s">
        <v>203</v>
      </c>
      <c r="DDH13" s="314" t="s">
        <v>203</v>
      </c>
      <c r="DDI13" s="314" t="s">
        <v>203</v>
      </c>
      <c r="DDJ13" s="314" t="s">
        <v>203</v>
      </c>
      <c r="DDK13" s="314" t="s">
        <v>203</v>
      </c>
      <c r="DDL13" s="314" t="s">
        <v>203</v>
      </c>
      <c r="DDM13" s="314" t="s">
        <v>203</v>
      </c>
      <c r="DDN13" s="314" t="s">
        <v>203</v>
      </c>
      <c r="DDO13" s="314" t="s">
        <v>203</v>
      </c>
      <c r="DDP13" s="314" t="s">
        <v>203</v>
      </c>
      <c r="DDQ13" s="314" t="s">
        <v>203</v>
      </c>
      <c r="DDR13" s="314" t="s">
        <v>203</v>
      </c>
      <c r="DDS13" s="314" t="s">
        <v>203</v>
      </c>
      <c r="DDT13" s="314" t="s">
        <v>203</v>
      </c>
      <c r="DDU13" s="314" t="s">
        <v>203</v>
      </c>
      <c r="DDV13" s="314" t="s">
        <v>203</v>
      </c>
      <c r="DDW13" s="314" t="s">
        <v>203</v>
      </c>
      <c r="DDX13" s="314" t="s">
        <v>203</v>
      </c>
      <c r="DDY13" s="314" t="s">
        <v>203</v>
      </c>
      <c r="DDZ13" s="314" t="s">
        <v>203</v>
      </c>
      <c r="DEA13" s="314" t="s">
        <v>203</v>
      </c>
      <c r="DEB13" s="314" t="s">
        <v>203</v>
      </c>
      <c r="DEC13" s="314" t="s">
        <v>203</v>
      </c>
      <c r="DED13" s="314" t="s">
        <v>203</v>
      </c>
      <c r="DEE13" s="314" t="s">
        <v>203</v>
      </c>
      <c r="DEF13" s="314" t="s">
        <v>203</v>
      </c>
      <c r="DEG13" s="314" t="s">
        <v>203</v>
      </c>
      <c r="DEH13" s="314" t="s">
        <v>203</v>
      </c>
      <c r="DEI13" s="314" t="s">
        <v>203</v>
      </c>
      <c r="DEJ13" s="314" t="s">
        <v>203</v>
      </c>
      <c r="DEK13" s="314" t="s">
        <v>203</v>
      </c>
      <c r="DEL13" s="314" t="s">
        <v>203</v>
      </c>
      <c r="DEM13" s="314" t="s">
        <v>203</v>
      </c>
      <c r="DEN13" s="314" t="s">
        <v>203</v>
      </c>
      <c r="DEO13" s="314" t="s">
        <v>203</v>
      </c>
      <c r="DEP13" s="314" t="s">
        <v>203</v>
      </c>
      <c r="DEQ13" s="314" t="s">
        <v>203</v>
      </c>
      <c r="DER13" s="314" t="s">
        <v>203</v>
      </c>
      <c r="DES13" s="314" t="s">
        <v>203</v>
      </c>
      <c r="DET13" s="314" t="s">
        <v>203</v>
      </c>
      <c r="DEU13" s="314" t="s">
        <v>203</v>
      </c>
      <c r="DEV13" s="314" t="s">
        <v>203</v>
      </c>
      <c r="DEW13" s="314" t="s">
        <v>203</v>
      </c>
      <c r="DEX13" s="314" t="s">
        <v>203</v>
      </c>
      <c r="DEY13" s="314" t="s">
        <v>203</v>
      </c>
      <c r="DEZ13" s="314" t="s">
        <v>203</v>
      </c>
      <c r="DFA13" s="314" t="s">
        <v>203</v>
      </c>
      <c r="DFB13" s="314" t="s">
        <v>203</v>
      </c>
      <c r="DFC13" s="314" t="s">
        <v>203</v>
      </c>
      <c r="DFD13" s="314" t="s">
        <v>203</v>
      </c>
      <c r="DFE13" s="314" t="s">
        <v>203</v>
      </c>
      <c r="DFF13" s="314" t="s">
        <v>203</v>
      </c>
      <c r="DFG13" s="314" t="s">
        <v>203</v>
      </c>
      <c r="DFH13" s="314" t="s">
        <v>203</v>
      </c>
      <c r="DFI13" s="314" t="s">
        <v>203</v>
      </c>
      <c r="DFJ13" s="314" t="s">
        <v>203</v>
      </c>
      <c r="DFK13" s="314" t="s">
        <v>203</v>
      </c>
      <c r="DFL13" s="314" t="s">
        <v>203</v>
      </c>
      <c r="DFM13" s="314" t="s">
        <v>203</v>
      </c>
      <c r="DFN13" s="314" t="s">
        <v>203</v>
      </c>
      <c r="DFO13" s="314" t="s">
        <v>203</v>
      </c>
      <c r="DFP13" s="314" t="s">
        <v>203</v>
      </c>
      <c r="DFQ13" s="314" t="s">
        <v>203</v>
      </c>
      <c r="DFR13" s="314" t="s">
        <v>203</v>
      </c>
      <c r="DFS13" s="314" t="s">
        <v>203</v>
      </c>
      <c r="DFT13" s="314" t="s">
        <v>203</v>
      </c>
      <c r="DFU13" s="314" t="s">
        <v>203</v>
      </c>
      <c r="DFV13" s="314" t="s">
        <v>203</v>
      </c>
      <c r="DFW13" s="314" t="s">
        <v>203</v>
      </c>
      <c r="DFX13" s="314" t="s">
        <v>203</v>
      </c>
      <c r="DFY13" s="314" t="s">
        <v>203</v>
      </c>
      <c r="DFZ13" s="314" t="s">
        <v>203</v>
      </c>
      <c r="DGA13" s="314" t="s">
        <v>203</v>
      </c>
      <c r="DGB13" s="314" t="s">
        <v>203</v>
      </c>
      <c r="DGC13" s="314" t="s">
        <v>203</v>
      </c>
      <c r="DGD13" s="314" t="s">
        <v>203</v>
      </c>
      <c r="DGE13" s="314" t="s">
        <v>203</v>
      </c>
      <c r="DGF13" s="314" t="s">
        <v>203</v>
      </c>
      <c r="DGG13" s="314" t="s">
        <v>203</v>
      </c>
      <c r="DGH13" s="314" t="s">
        <v>203</v>
      </c>
      <c r="DGI13" s="314" t="s">
        <v>203</v>
      </c>
      <c r="DGJ13" s="314" t="s">
        <v>203</v>
      </c>
      <c r="DGK13" s="314" t="s">
        <v>203</v>
      </c>
      <c r="DGL13" s="314" t="s">
        <v>203</v>
      </c>
      <c r="DGM13" s="314" t="s">
        <v>203</v>
      </c>
      <c r="DGN13" s="314" t="s">
        <v>203</v>
      </c>
      <c r="DGO13" s="314" t="s">
        <v>203</v>
      </c>
      <c r="DGP13" s="314" t="s">
        <v>203</v>
      </c>
      <c r="DGQ13" s="314" t="s">
        <v>203</v>
      </c>
      <c r="DGR13" s="314" t="s">
        <v>203</v>
      </c>
      <c r="DGS13" s="314" t="s">
        <v>203</v>
      </c>
      <c r="DGT13" s="314" t="s">
        <v>203</v>
      </c>
      <c r="DGU13" s="314" t="s">
        <v>203</v>
      </c>
      <c r="DGV13" s="314" t="s">
        <v>203</v>
      </c>
      <c r="DGW13" s="314" t="s">
        <v>203</v>
      </c>
      <c r="DGX13" s="314" t="s">
        <v>203</v>
      </c>
      <c r="DGY13" s="314" t="s">
        <v>203</v>
      </c>
      <c r="DGZ13" s="314" t="s">
        <v>203</v>
      </c>
      <c r="DHA13" s="314" t="s">
        <v>203</v>
      </c>
      <c r="DHB13" s="314" t="s">
        <v>203</v>
      </c>
      <c r="DHC13" s="314" t="s">
        <v>203</v>
      </c>
      <c r="DHD13" s="314" t="s">
        <v>203</v>
      </c>
      <c r="DHE13" s="314" t="s">
        <v>203</v>
      </c>
      <c r="DHF13" s="314" t="s">
        <v>203</v>
      </c>
      <c r="DHG13" s="314" t="s">
        <v>203</v>
      </c>
      <c r="DHH13" s="314" t="s">
        <v>203</v>
      </c>
      <c r="DHI13" s="314" t="s">
        <v>203</v>
      </c>
      <c r="DHJ13" s="314" t="s">
        <v>203</v>
      </c>
      <c r="DHK13" s="314" t="s">
        <v>203</v>
      </c>
      <c r="DHL13" s="314" t="s">
        <v>203</v>
      </c>
      <c r="DHM13" s="314" t="s">
        <v>203</v>
      </c>
      <c r="DHN13" s="314" t="s">
        <v>203</v>
      </c>
      <c r="DHO13" s="314" t="s">
        <v>203</v>
      </c>
      <c r="DHP13" s="314" t="s">
        <v>203</v>
      </c>
      <c r="DHQ13" s="314" t="s">
        <v>203</v>
      </c>
      <c r="DHR13" s="314" t="s">
        <v>203</v>
      </c>
      <c r="DHS13" s="314" t="s">
        <v>203</v>
      </c>
      <c r="DHT13" s="314" t="s">
        <v>203</v>
      </c>
      <c r="DHU13" s="314" t="s">
        <v>203</v>
      </c>
      <c r="DHV13" s="314" t="s">
        <v>203</v>
      </c>
      <c r="DHW13" s="314" t="s">
        <v>203</v>
      </c>
      <c r="DHX13" s="314" t="s">
        <v>203</v>
      </c>
      <c r="DHY13" s="314" t="s">
        <v>203</v>
      </c>
      <c r="DHZ13" s="314" t="s">
        <v>203</v>
      </c>
      <c r="DIA13" s="314" t="s">
        <v>203</v>
      </c>
      <c r="DIB13" s="314" t="s">
        <v>203</v>
      </c>
      <c r="DIC13" s="314" t="s">
        <v>203</v>
      </c>
      <c r="DID13" s="314" t="s">
        <v>203</v>
      </c>
      <c r="DIE13" s="314" t="s">
        <v>203</v>
      </c>
      <c r="DIF13" s="314" t="s">
        <v>203</v>
      </c>
      <c r="DIG13" s="314" t="s">
        <v>203</v>
      </c>
      <c r="DIH13" s="314" t="s">
        <v>203</v>
      </c>
      <c r="DII13" s="314" t="s">
        <v>203</v>
      </c>
      <c r="DIJ13" s="314" t="s">
        <v>203</v>
      </c>
      <c r="DIK13" s="314" t="s">
        <v>203</v>
      </c>
      <c r="DIL13" s="314" t="s">
        <v>203</v>
      </c>
      <c r="DIM13" s="314" t="s">
        <v>203</v>
      </c>
      <c r="DIN13" s="314" t="s">
        <v>203</v>
      </c>
      <c r="DIO13" s="314" t="s">
        <v>203</v>
      </c>
      <c r="DIP13" s="314" t="s">
        <v>203</v>
      </c>
      <c r="DIQ13" s="314" t="s">
        <v>203</v>
      </c>
      <c r="DIR13" s="314" t="s">
        <v>203</v>
      </c>
      <c r="DIS13" s="314" t="s">
        <v>203</v>
      </c>
      <c r="DIT13" s="314" t="s">
        <v>203</v>
      </c>
      <c r="DIU13" s="314" t="s">
        <v>203</v>
      </c>
      <c r="DIV13" s="314" t="s">
        <v>203</v>
      </c>
      <c r="DIW13" s="314" t="s">
        <v>203</v>
      </c>
      <c r="DIX13" s="314" t="s">
        <v>203</v>
      </c>
      <c r="DIY13" s="314" t="s">
        <v>203</v>
      </c>
      <c r="DIZ13" s="314" t="s">
        <v>203</v>
      </c>
      <c r="DJA13" s="314" t="s">
        <v>203</v>
      </c>
      <c r="DJB13" s="314" t="s">
        <v>203</v>
      </c>
      <c r="DJC13" s="314" t="s">
        <v>203</v>
      </c>
      <c r="DJD13" s="314" t="s">
        <v>203</v>
      </c>
      <c r="DJE13" s="314" t="s">
        <v>203</v>
      </c>
      <c r="DJF13" s="314" t="s">
        <v>203</v>
      </c>
      <c r="DJG13" s="314" t="s">
        <v>203</v>
      </c>
      <c r="DJH13" s="314" t="s">
        <v>203</v>
      </c>
      <c r="DJI13" s="314" t="s">
        <v>203</v>
      </c>
      <c r="DJJ13" s="314" t="s">
        <v>203</v>
      </c>
      <c r="DJK13" s="314" t="s">
        <v>203</v>
      </c>
      <c r="DJL13" s="314" t="s">
        <v>203</v>
      </c>
      <c r="DJM13" s="314" t="s">
        <v>203</v>
      </c>
      <c r="DJN13" s="314" t="s">
        <v>203</v>
      </c>
      <c r="DJO13" s="314" t="s">
        <v>203</v>
      </c>
      <c r="DJP13" s="314" t="s">
        <v>203</v>
      </c>
      <c r="DJQ13" s="314" t="s">
        <v>203</v>
      </c>
      <c r="DJR13" s="314" t="s">
        <v>203</v>
      </c>
      <c r="DJS13" s="314" t="s">
        <v>203</v>
      </c>
      <c r="DJT13" s="314" t="s">
        <v>203</v>
      </c>
      <c r="DJU13" s="314" t="s">
        <v>203</v>
      </c>
      <c r="DJV13" s="314" t="s">
        <v>203</v>
      </c>
      <c r="DJW13" s="314" t="s">
        <v>203</v>
      </c>
      <c r="DJX13" s="314" t="s">
        <v>203</v>
      </c>
      <c r="DJY13" s="314" t="s">
        <v>203</v>
      </c>
      <c r="DJZ13" s="314" t="s">
        <v>203</v>
      </c>
      <c r="DKA13" s="314" t="s">
        <v>203</v>
      </c>
      <c r="DKB13" s="314" t="s">
        <v>203</v>
      </c>
      <c r="DKC13" s="314" t="s">
        <v>203</v>
      </c>
      <c r="DKD13" s="314" t="s">
        <v>203</v>
      </c>
      <c r="DKE13" s="314" t="s">
        <v>203</v>
      </c>
      <c r="DKF13" s="314" t="s">
        <v>203</v>
      </c>
      <c r="DKG13" s="314" t="s">
        <v>203</v>
      </c>
      <c r="DKH13" s="314" t="s">
        <v>203</v>
      </c>
      <c r="DKI13" s="314" t="s">
        <v>203</v>
      </c>
      <c r="DKJ13" s="314" t="s">
        <v>203</v>
      </c>
      <c r="DKK13" s="314" t="s">
        <v>203</v>
      </c>
      <c r="DKL13" s="314" t="s">
        <v>203</v>
      </c>
      <c r="DKM13" s="314" t="s">
        <v>203</v>
      </c>
      <c r="DKN13" s="314" t="s">
        <v>203</v>
      </c>
      <c r="DKO13" s="314" t="s">
        <v>203</v>
      </c>
      <c r="DKP13" s="314" t="s">
        <v>203</v>
      </c>
      <c r="DKQ13" s="314" t="s">
        <v>203</v>
      </c>
      <c r="DKR13" s="314" t="s">
        <v>203</v>
      </c>
      <c r="DKS13" s="314" t="s">
        <v>203</v>
      </c>
      <c r="DKT13" s="314" t="s">
        <v>203</v>
      </c>
      <c r="DKU13" s="314" t="s">
        <v>203</v>
      </c>
      <c r="DKV13" s="314" t="s">
        <v>203</v>
      </c>
      <c r="DKW13" s="314" t="s">
        <v>203</v>
      </c>
      <c r="DKX13" s="314" t="s">
        <v>203</v>
      </c>
      <c r="DKY13" s="314" t="s">
        <v>203</v>
      </c>
      <c r="DKZ13" s="314" t="s">
        <v>203</v>
      </c>
      <c r="DLA13" s="314" t="s">
        <v>203</v>
      </c>
      <c r="DLB13" s="314" t="s">
        <v>203</v>
      </c>
      <c r="DLC13" s="314" t="s">
        <v>203</v>
      </c>
      <c r="DLD13" s="314" t="s">
        <v>203</v>
      </c>
      <c r="DLE13" s="314" t="s">
        <v>203</v>
      </c>
      <c r="DLF13" s="314" t="s">
        <v>203</v>
      </c>
      <c r="DLG13" s="314" t="s">
        <v>203</v>
      </c>
      <c r="DLH13" s="314" t="s">
        <v>203</v>
      </c>
      <c r="DLI13" s="314" t="s">
        <v>203</v>
      </c>
      <c r="DLJ13" s="314" t="s">
        <v>203</v>
      </c>
      <c r="DLK13" s="314" t="s">
        <v>203</v>
      </c>
      <c r="DLL13" s="314" t="s">
        <v>203</v>
      </c>
      <c r="DLM13" s="314" t="s">
        <v>203</v>
      </c>
      <c r="DLN13" s="314" t="s">
        <v>203</v>
      </c>
      <c r="DLO13" s="314" t="s">
        <v>203</v>
      </c>
      <c r="DLP13" s="314" t="s">
        <v>203</v>
      </c>
      <c r="DLQ13" s="314" t="s">
        <v>203</v>
      </c>
      <c r="DLR13" s="314" t="s">
        <v>203</v>
      </c>
      <c r="DLS13" s="314" t="s">
        <v>203</v>
      </c>
      <c r="DLT13" s="314" t="s">
        <v>203</v>
      </c>
      <c r="DLU13" s="314" t="s">
        <v>203</v>
      </c>
      <c r="DLV13" s="314" t="s">
        <v>203</v>
      </c>
      <c r="DLW13" s="314" t="s">
        <v>203</v>
      </c>
      <c r="DLX13" s="314" t="s">
        <v>203</v>
      </c>
      <c r="DLY13" s="314" t="s">
        <v>203</v>
      </c>
      <c r="DLZ13" s="314" t="s">
        <v>203</v>
      </c>
      <c r="DMA13" s="314" t="s">
        <v>203</v>
      </c>
      <c r="DMB13" s="314" t="s">
        <v>203</v>
      </c>
      <c r="DMC13" s="314" t="s">
        <v>203</v>
      </c>
      <c r="DMD13" s="314" t="s">
        <v>203</v>
      </c>
      <c r="DME13" s="314" t="s">
        <v>203</v>
      </c>
      <c r="DMF13" s="314" t="s">
        <v>203</v>
      </c>
      <c r="DMG13" s="314" t="s">
        <v>203</v>
      </c>
      <c r="DMH13" s="314" t="s">
        <v>203</v>
      </c>
      <c r="DMI13" s="314" t="s">
        <v>203</v>
      </c>
      <c r="DMJ13" s="314" t="s">
        <v>203</v>
      </c>
      <c r="DMK13" s="314" t="s">
        <v>203</v>
      </c>
      <c r="DML13" s="314" t="s">
        <v>203</v>
      </c>
      <c r="DMM13" s="314" t="s">
        <v>203</v>
      </c>
      <c r="DMN13" s="314" t="s">
        <v>203</v>
      </c>
      <c r="DMO13" s="314" t="s">
        <v>203</v>
      </c>
      <c r="DMP13" s="314" t="s">
        <v>203</v>
      </c>
      <c r="DMQ13" s="314" t="s">
        <v>203</v>
      </c>
      <c r="DMR13" s="314" t="s">
        <v>203</v>
      </c>
      <c r="DMS13" s="314" t="s">
        <v>203</v>
      </c>
      <c r="DMT13" s="314" t="s">
        <v>203</v>
      </c>
      <c r="DMU13" s="314" t="s">
        <v>203</v>
      </c>
      <c r="DMV13" s="314" t="s">
        <v>203</v>
      </c>
      <c r="DMW13" s="314" t="s">
        <v>203</v>
      </c>
      <c r="DMX13" s="314" t="s">
        <v>203</v>
      </c>
      <c r="DMY13" s="314" t="s">
        <v>203</v>
      </c>
      <c r="DMZ13" s="314" t="s">
        <v>203</v>
      </c>
      <c r="DNA13" s="314" t="s">
        <v>203</v>
      </c>
      <c r="DNB13" s="314" t="s">
        <v>203</v>
      </c>
      <c r="DNC13" s="314" t="s">
        <v>203</v>
      </c>
      <c r="DND13" s="314" t="s">
        <v>203</v>
      </c>
      <c r="DNE13" s="314" t="s">
        <v>203</v>
      </c>
      <c r="DNF13" s="314" t="s">
        <v>203</v>
      </c>
      <c r="DNG13" s="314" t="s">
        <v>203</v>
      </c>
      <c r="DNH13" s="314" t="s">
        <v>203</v>
      </c>
      <c r="DNI13" s="314" t="s">
        <v>203</v>
      </c>
      <c r="DNJ13" s="314" t="s">
        <v>203</v>
      </c>
      <c r="DNK13" s="314" t="s">
        <v>203</v>
      </c>
      <c r="DNL13" s="314" t="s">
        <v>203</v>
      </c>
      <c r="DNM13" s="314" t="s">
        <v>203</v>
      </c>
      <c r="DNN13" s="314" t="s">
        <v>203</v>
      </c>
      <c r="DNO13" s="314" t="s">
        <v>203</v>
      </c>
      <c r="DNP13" s="314" t="s">
        <v>203</v>
      </c>
      <c r="DNQ13" s="314" t="s">
        <v>203</v>
      </c>
      <c r="DNR13" s="314" t="s">
        <v>203</v>
      </c>
      <c r="DNS13" s="314" t="s">
        <v>203</v>
      </c>
      <c r="DNT13" s="314" t="s">
        <v>203</v>
      </c>
      <c r="DNU13" s="314" t="s">
        <v>203</v>
      </c>
      <c r="DNV13" s="314" t="s">
        <v>203</v>
      </c>
      <c r="DNW13" s="314" t="s">
        <v>203</v>
      </c>
      <c r="DNX13" s="314" t="s">
        <v>203</v>
      </c>
      <c r="DNY13" s="314" t="s">
        <v>203</v>
      </c>
      <c r="DNZ13" s="314" t="s">
        <v>203</v>
      </c>
      <c r="DOA13" s="314" t="s">
        <v>203</v>
      </c>
      <c r="DOB13" s="314" t="s">
        <v>203</v>
      </c>
      <c r="DOC13" s="314" t="s">
        <v>203</v>
      </c>
      <c r="DOD13" s="314" t="s">
        <v>203</v>
      </c>
      <c r="DOE13" s="314" t="s">
        <v>203</v>
      </c>
      <c r="DOF13" s="314" t="s">
        <v>203</v>
      </c>
      <c r="DOG13" s="314" t="s">
        <v>203</v>
      </c>
      <c r="DOH13" s="314" t="s">
        <v>203</v>
      </c>
      <c r="DOI13" s="314" t="s">
        <v>203</v>
      </c>
      <c r="DOJ13" s="314" t="s">
        <v>203</v>
      </c>
      <c r="DOK13" s="314" t="s">
        <v>203</v>
      </c>
      <c r="DOL13" s="314" t="s">
        <v>203</v>
      </c>
      <c r="DOM13" s="314" t="s">
        <v>203</v>
      </c>
      <c r="DON13" s="314" t="s">
        <v>203</v>
      </c>
      <c r="DOO13" s="314" t="s">
        <v>203</v>
      </c>
      <c r="DOP13" s="314" t="s">
        <v>203</v>
      </c>
      <c r="DOQ13" s="314" t="s">
        <v>203</v>
      </c>
      <c r="DOR13" s="314" t="s">
        <v>203</v>
      </c>
      <c r="DOS13" s="314" t="s">
        <v>203</v>
      </c>
      <c r="DOT13" s="314" t="s">
        <v>203</v>
      </c>
      <c r="DOU13" s="314" t="s">
        <v>203</v>
      </c>
      <c r="DOV13" s="314" t="s">
        <v>203</v>
      </c>
      <c r="DOW13" s="314" t="s">
        <v>203</v>
      </c>
      <c r="DOX13" s="314" t="s">
        <v>203</v>
      </c>
      <c r="DOY13" s="314" t="s">
        <v>203</v>
      </c>
      <c r="DOZ13" s="314" t="s">
        <v>203</v>
      </c>
      <c r="DPA13" s="314" t="s">
        <v>203</v>
      </c>
      <c r="DPB13" s="314" t="s">
        <v>203</v>
      </c>
      <c r="DPC13" s="314" t="s">
        <v>203</v>
      </c>
      <c r="DPD13" s="314" t="s">
        <v>203</v>
      </c>
      <c r="DPE13" s="314" t="s">
        <v>203</v>
      </c>
      <c r="DPF13" s="314" t="s">
        <v>203</v>
      </c>
      <c r="DPG13" s="314" t="s">
        <v>203</v>
      </c>
      <c r="DPH13" s="314" t="s">
        <v>203</v>
      </c>
      <c r="DPI13" s="314" t="s">
        <v>203</v>
      </c>
      <c r="DPJ13" s="314" t="s">
        <v>203</v>
      </c>
      <c r="DPK13" s="314" t="s">
        <v>203</v>
      </c>
      <c r="DPL13" s="314" t="s">
        <v>203</v>
      </c>
      <c r="DPM13" s="314" t="s">
        <v>203</v>
      </c>
      <c r="DPN13" s="314" t="s">
        <v>203</v>
      </c>
      <c r="DPO13" s="314" t="s">
        <v>203</v>
      </c>
      <c r="DPP13" s="314" t="s">
        <v>203</v>
      </c>
      <c r="DPQ13" s="314" t="s">
        <v>203</v>
      </c>
      <c r="DPR13" s="314" t="s">
        <v>203</v>
      </c>
      <c r="DPS13" s="314" t="s">
        <v>203</v>
      </c>
      <c r="DPT13" s="314" t="s">
        <v>203</v>
      </c>
      <c r="DPU13" s="314" t="s">
        <v>203</v>
      </c>
      <c r="DPV13" s="314" t="s">
        <v>203</v>
      </c>
      <c r="DPW13" s="314" t="s">
        <v>203</v>
      </c>
      <c r="DPX13" s="314" t="s">
        <v>203</v>
      </c>
      <c r="DPY13" s="314" t="s">
        <v>203</v>
      </c>
      <c r="DPZ13" s="314" t="s">
        <v>203</v>
      </c>
      <c r="DQA13" s="314" t="s">
        <v>203</v>
      </c>
      <c r="DQB13" s="314" t="s">
        <v>203</v>
      </c>
      <c r="DQC13" s="314" t="s">
        <v>203</v>
      </c>
      <c r="DQD13" s="314" t="s">
        <v>203</v>
      </c>
      <c r="DQE13" s="314" t="s">
        <v>203</v>
      </c>
      <c r="DQF13" s="314" t="s">
        <v>203</v>
      </c>
      <c r="DQG13" s="314" t="s">
        <v>203</v>
      </c>
      <c r="DQH13" s="314" t="s">
        <v>203</v>
      </c>
      <c r="DQI13" s="314" t="s">
        <v>203</v>
      </c>
      <c r="DQJ13" s="314" t="s">
        <v>203</v>
      </c>
      <c r="DQK13" s="314" t="s">
        <v>203</v>
      </c>
      <c r="DQL13" s="314" t="s">
        <v>203</v>
      </c>
      <c r="DQM13" s="314" t="s">
        <v>203</v>
      </c>
      <c r="DQN13" s="314" t="s">
        <v>203</v>
      </c>
      <c r="DQO13" s="314" t="s">
        <v>203</v>
      </c>
      <c r="DQP13" s="314" t="s">
        <v>203</v>
      </c>
      <c r="DQQ13" s="314" t="s">
        <v>203</v>
      </c>
      <c r="DQR13" s="314" t="s">
        <v>203</v>
      </c>
      <c r="DQS13" s="314" t="s">
        <v>203</v>
      </c>
      <c r="DQT13" s="314" t="s">
        <v>203</v>
      </c>
      <c r="DQU13" s="314" t="s">
        <v>203</v>
      </c>
      <c r="DQV13" s="314" t="s">
        <v>203</v>
      </c>
      <c r="DQW13" s="314" t="s">
        <v>203</v>
      </c>
      <c r="DQX13" s="314" t="s">
        <v>203</v>
      </c>
      <c r="DQY13" s="314" t="s">
        <v>203</v>
      </c>
      <c r="DQZ13" s="314" t="s">
        <v>203</v>
      </c>
      <c r="DRA13" s="314" t="s">
        <v>203</v>
      </c>
      <c r="DRB13" s="314" t="s">
        <v>203</v>
      </c>
      <c r="DRC13" s="314" t="s">
        <v>203</v>
      </c>
      <c r="DRD13" s="314" t="s">
        <v>203</v>
      </c>
      <c r="DRE13" s="314" t="s">
        <v>203</v>
      </c>
      <c r="DRF13" s="314" t="s">
        <v>203</v>
      </c>
      <c r="DRG13" s="314" t="s">
        <v>203</v>
      </c>
      <c r="DRH13" s="314" t="s">
        <v>203</v>
      </c>
      <c r="DRI13" s="314" t="s">
        <v>203</v>
      </c>
      <c r="DRJ13" s="314" t="s">
        <v>203</v>
      </c>
      <c r="DRK13" s="314" t="s">
        <v>203</v>
      </c>
      <c r="DRL13" s="314" t="s">
        <v>203</v>
      </c>
      <c r="DRM13" s="314" t="s">
        <v>203</v>
      </c>
      <c r="DRN13" s="314" t="s">
        <v>203</v>
      </c>
      <c r="DRO13" s="314" t="s">
        <v>203</v>
      </c>
      <c r="DRP13" s="314" t="s">
        <v>203</v>
      </c>
      <c r="DRQ13" s="314" t="s">
        <v>203</v>
      </c>
      <c r="DRR13" s="314" t="s">
        <v>203</v>
      </c>
      <c r="DRS13" s="314" t="s">
        <v>203</v>
      </c>
      <c r="DRT13" s="314" t="s">
        <v>203</v>
      </c>
      <c r="DRU13" s="314" t="s">
        <v>203</v>
      </c>
      <c r="DRV13" s="314" t="s">
        <v>203</v>
      </c>
      <c r="DRW13" s="314" t="s">
        <v>203</v>
      </c>
      <c r="DRX13" s="314" t="s">
        <v>203</v>
      </c>
      <c r="DRY13" s="314" t="s">
        <v>203</v>
      </c>
      <c r="DRZ13" s="314" t="s">
        <v>203</v>
      </c>
      <c r="DSA13" s="314" t="s">
        <v>203</v>
      </c>
      <c r="DSB13" s="314" t="s">
        <v>203</v>
      </c>
      <c r="DSC13" s="314" t="s">
        <v>203</v>
      </c>
      <c r="DSD13" s="314" t="s">
        <v>203</v>
      </c>
      <c r="DSE13" s="314" t="s">
        <v>203</v>
      </c>
      <c r="DSF13" s="314" t="s">
        <v>203</v>
      </c>
      <c r="DSG13" s="314" t="s">
        <v>203</v>
      </c>
      <c r="DSH13" s="314" t="s">
        <v>203</v>
      </c>
      <c r="DSI13" s="314" t="s">
        <v>203</v>
      </c>
      <c r="DSJ13" s="314" t="s">
        <v>203</v>
      </c>
      <c r="DSK13" s="314" t="s">
        <v>203</v>
      </c>
      <c r="DSL13" s="314" t="s">
        <v>203</v>
      </c>
      <c r="DSM13" s="314" t="s">
        <v>203</v>
      </c>
      <c r="DSN13" s="314" t="s">
        <v>203</v>
      </c>
      <c r="DSO13" s="314" t="s">
        <v>203</v>
      </c>
      <c r="DSP13" s="314" t="s">
        <v>203</v>
      </c>
      <c r="DSQ13" s="314" t="s">
        <v>203</v>
      </c>
      <c r="DSR13" s="314" t="s">
        <v>203</v>
      </c>
      <c r="DSS13" s="314" t="s">
        <v>203</v>
      </c>
      <c r="DST13" s="314" t="s">
        <v>203</v>
      </c>
      <c r="DSU13" s="314" t="s">
        <v>203</v>
      </c>
      <c r="DSV13" s="314" t="s">
        <v>203</v>
      </c>
      <c r="DSW13" s="314" t="s">
        <v>203</v>
      </c>
      <c r="DSX13" s="314" t="s">
        <v>203</v>
      </c>
      <c r="DSY13" s="314" t="s">
        <v>203</v>
      </c>
      <c r="DSZ13" s="314" t="s">
        <v>203</v>
      </c>
      <c r="DTA13" s="314" t="s">
        <v>203</v>
      </c>
      <c r="DTB13" s="314" t="s">
        <v>203</v>
      </c>
      <c r="DTC13" s="314" t="s">
        <v>203</v>
      </c>
      <c r="DTD13" s="314" t="s">
        <v>203</v>
      </c>
      <c r="DTE13" s="314" t="s">
        <v>203</v>
      </c>
      <c r="DTF13" s="314" t="s">
        <v>203</v>
      </c>
      <c r="DTG13" s="314" t="s">
        <v>203</v>
      </c>
      <c r="DTH13" s="314" t="s">
        <v>203</v>
      </c>
      <c r="DTI13" s="314" t="s">
        <v>203</v>
      </c>
      <c r="DTJ13" s="314" t="s">
        <v>203</v>
      </c>
      <c r="DTK13" s="314" t="s">
        <v>203</v>
      </c>
      <c r="DTL13" s="314" t="s">
        <v>203</v>
      </c>
      <c r="DTM13" s="314" t="s">
        <v>203</v>
      </c>
      <c r="DTN13" s="314" t="s">
        <v>203</v>
      </c>
      <c r="DTO13" s="314" t="s">
        <v>203</v>
      </c>
      <c r="DTP13" s="314" t="s">
        <v>203</v>
      </c>
      <c r="DTQ13" s="314" t="s">
        <v>203</v>
      </c>
      <c r="DTR13" s="314" t="s">
        <v>203</v>
      </c>
      <c r="DTS13" s="314" t="s">
        <v>203</v>
      </c>
      <c r="DTT13" s="314" t="s">
        <v>203</v>
      </c>
      <c r="DTU13" s="314" t="s">
        <v>203</v>
      </c>
      <c r="DTV13" s="314" t="s">
        <v>203</v>
      </c>
      <c r="DTW13" s="314" t="s">
        <v>203</v>
      </c>
      <c r="DTX13" s="314" t="s">
        <v>203</v>
      </c>
      <c r="DTY13" s="314" t="s">
        <v>203</v>
      </c>
      <c r="DTZ13" s="314" t="s">
        <v>203</v>
      </c>
      <c r="DUA13" s="314" t="s">
        <v>203</v>
      </c>
      <c r="DUB13" s="314" t="s">
        <v>203</v>
      </c>
      <c r="DUC13" s="314" t="s">
        <v>203</v>
      </c>
      <c r="DUD13" s="314" t="s">
        <v>203</v>
      </c>
      <c r="DUE13" s="314" t="s">
        <v>203</v>
      </c>
      <c r="DUF13" s="314" t="s">
        <v>203</v>
      </c>
      <c r="DUG13" s="314" t="s">
        <v>203</v>
      </c>
      <c r="DUH13" s="314" t="s">
        <v>203</v>
      </c>
      <c r="DUI13" s="314" t="s">
        <v>203</v>
      </c>
      <c r="DUJ13" s="314" t="s">
        <v>203</v>
      </c>
      <c r="DUK13" s="314" t="s">
        <v>203</v>
      </c>
      <c r="DUL13" s="314" t="s">
        <v>203</v>
      </c>
      <c r="DUM13" s="314" t="s">
        <v>203</v>
      </c>
      <c r="DUN13" s="314" t="s">
        <v>203</v>
      </c>
      <c r="DUO13" s="314" t="s">
        <v>203</v>
      </c>
      <c r="DUP13" s="314" t="s">
        <v>203</v>
      </c>
      <c r="DUQ13" s="314" t="s">
        <v>203</v>
      </c>
      <c r="DUR13" s="314" t="s">
        <v>203</v>
      </c>
      <c r="DUS13" s="314" t="s">
        <v>203</v>
      </c>
      <c r="DUT13" s="314" t="s">
        <v>203</v>
      </c>
      <c r="DUU13" s="314" t="s">
        <v>203</v>
      </c>
      <c r="DUV13" s="314" t="s">
        <v>203</v>
      </c>
      <c r="DUW13" s="314" t="s">
        <v>203</v>
      </c>
      <c r="DUX13" s="314" t="s">
        <v>203</v>
      </c>
      <c r="DUY13" s="314" t="s">
        <v>203</v>
      </c>
      <c r="DUZ13" s="314" t="s">
        <v>203</v>
      </c>
      <c r="DVA13" s="314" t="s">
        <v>203</v>
      </c>
      <c r="DVB13" s="314" t="s">
        <v>203</v>
      </c>
      <c r="DVC13" s="314" t="s">
        <v>203</v>
      </c>
      <c r="DVD13" s="314" t="s">
        <v>203</v>
      </c>
      <c r="DVE13" s="314" t="s">
        <v>203</v>
      </c>
      <c r="DVF13" s="314" t="s">
        <v>203</v>
      </c>
      <c r="DVG13" s="314" t="s">
        <v>203</v>
      </c>
      <c r="DVH13" s="314" t="s">
        <v>203</v>
      </c>
      <c r="DVI13" s="314" t="s">
        <v>203</v>
      </c>
      <c r="DVJ13" s="314" t="s">
        <v>203</v>
      </c>
      <c r="DVK13" s="314" t="s">
        <v>203</v>
      </c>
      <c r="DVL13" s="314" t="s">
        <v>203</v>
      </c>
      <c r="DVM13" s="314" t="s">
        <v>203</v>
      </c>
      <c r="DVN13" s="314" t="s">
        <v>203</v>
      </c>
      <c r="DVO13" s="314" t="s">
        <v>203</v>
      </c>
      <c r="DVP13" s="314" t="s">
        <v>203</v>
      </c>
      <c r="DVQ13" s="314" t="s">
        <v>203</v>
      </c>
      <c r="DVR13" s="314" t="s">
        <v>203</v>
      </c>
      <c r="DVS13" s="314" t="s">
        <v>203</v>
      </c>
      <c r="DVT13" s="314" t="s">
        <v>203</v>
      </c>
      <c r="DVU13" s="314" t="s">
        <v>203</v>
      </c>
      <c r="DVV13" s="314" t="s">
        <v>203</v>
      </c>
      <c r="DVW13" s="314" t="s">
        <v>203</v>
      </c>
      <c r="DVX13" s="314" t="s">
        <v>203</v>
      </c>
      <c r="DVY13" s="314" t="s">
        <v>203</v>
      </c>
      <c r="DVZ13" s="314" t="s">
        <v>203</v>
      </c>
      <c r="DWA13" s="314" t="s">
        <v>203</v>
      </c>
      <c r="DWB13" s="314" t="s">
        <v>203</v>
      </c>
      <c r="DWC13" s="314" t="s">
        <v>203</v>
      </c>
      <c r="DWD13" s="314" t="s">
        <v>203</v>
      </c>
      <c r="DWE13" s="314" t="s">
        <v>203</v>
      </c>
      <c r="DWF13" s="314" t="s">
        <v>203</v>
      </c>
      <c r="DWG13" s="314" t="s">
        <v>203</v>
      </c>
      <c r="DWH13" s="314" t="s">
        <v>203</v>
      </c>
      <c r="DWI13" s="314" t="s">
        <v>203</v>
      </c>
      <c r="DWJ13" s="314" t="s">
        <v>203</v>
      </c>
      <c r="DWK13" s="314" t="s">
        <v>203</v>
      </c>
      <c r="DWL13" s="314" t="s">
        <v>203</v>
      </c>
      <c r="DWM13" s="314" t="s">
        <v>203</v>
      </c>
      <c r="DWN13" s="314" t="s">
        <v>203</v>
      </c>
      <c r="DWO13" s="314" t="s">
        <v>203</v>
      </c>
      <c r="DWP13" s="314" t="s">
        <v>203</v>
      </c>
      <c r="DWQ13" s="314" t="s">
        <v>203</v>
      </c>
      <c r="DWR13" s="314" t="s">
        <v>203</v>
      </c>
      <c r="DWS13" s="314" t="s">
        <v>203</v>
      </c>
      <c r="DWT13" s="314" t="s">
        <v>203</v>
      </c>
      <c r="DWU13" s="314" t="s">
        <v>203</v>
      </c>
      <c r="DWV13" s="314" t="s">
        <v>203</v>
      </c>
      <c r="DWW13" s="314" t="s">
        <v>203</v>
      </c>
      <c r="DWX13" s="314" t="s">
        <v>203</v>
      </c>
      <c r="DWY13" s="314" t="s">
        <v>203</v>
      </c>
      <c r="DWZ13" s="314" t="s">
        <v>203</v>
      </c>
      <c r="DXA13" s="314" t="s">
        <v>203</v>
      </c>
      <c r="DXB13" s="314" t="s">
        <v>203</v>
      </c>
      <c r="DXC13" s="314" t="s">
        <v>203</v>
      </c>
      <c r="DXD13" s="314" t="s">
        <v>203</v>
      </c>
      <c r="DXE13" s="314" t="s">
        <v>203</v>
      </c>
      <c r="DXF13" s="314" t="s">
        <v>203</v>
      </c>
      <c r="DXG13" s="314" t="s">
        <v>203</v>
      </c>
      <c r="DXH13" s="314" t="s">
        <v>203</v>
      </c>
      <c r="DXI13" s="314" t="s">
        <v>203</v>
      </c>
      <c r="DXJ13" s="314" t="s">
        <v>203</v>
      </c>
      <c r="DXK13" s="314" t="s">
        <v>203</v>
      </c>
      <c r="DXL13" s="314" t="s">
        <v>203</v>
      </c>
      <c r="DXM13" s="314" t="s">
        <v>203</v>
      </c>
      <c r="DXN13" s="314" t="s">
        <v>203</v>
      </c>
      <c r="DXO13" s="314" t="s">
        <v>203</v>
      </c>
      <c r="DXP13" s="314" t="s">
        <v>203</v>
      </c>
      <c r="DXQ13" s="314" t="s">
        <v>203</v>
      </c>
      <c r="DXR13" s="314" t="s">
        <v>203</v>
      </c>
      <c r="DXS13" s="314" t="s">
        <v>203</v>
      </c>
      <c r="DXT13" s="314" t="s">
        <v>203</v>
      </c>
      <c r="DXU13" s="314" t="s">
        <v>203</v>
      </c>
      <c r="DXV13" s="314" t="s">
        <v>203</v>
      </c>
      <c r="DXW13" s="314" t="s">
        <v>203</v>
      </c>
      <c r="DXX13" s="314" t="s">
        <v>203</v>
      </c>
      <c r="DXY13" s="314" t="s">
        <v>203</v>
      </c>
      <c r="DXZ13" s="314" t="s">
        <v>203</v>
      </c>
      <c r="DYA13" s="314" t="s">
        <v>203</v>
      </c>
      <c r="DYB13" s="314" t="s">
        <v>203</v>
      </c>
      <c r="DYC13" s="314" t="s">
        <v>203</v>
      </c>
      <c r="DYD13" s="314" t="s">
        <v>203</v>
      </c>
      <c r="DYE13" s="314" t="s">
        <v>203</v>
      </c>
      <c r="DYF13" s="314" t="s">
        <v>203</v>
      </c>
      <c r="DYG13" s="314" t="s">
        <v>203</v>
      </c>
      <c r="DYH13" s="314" t="s">
        <v>203</v>
      </c>
      <c r="DYI13" s="314" t="s">
        <v>203</v>
      </c>
      <c r="DYJ13" s="314" t="s">
        <v>203</v>
      </c>
      <c r="DYK13" s="314" t="s">
        <v>203</v>
      </c>
      <c r="DYL13" s="314" t="s">
        <v>203</v>
      </c>
      <c r="DYM13" s="314" t="s">
        <v>203</v>
      </c>
      <c r="DYN13" s="314" t="s">
        <v>203</v>
      </c>
      <c r="DYO13" s="314" t="s">
        <v>203</v>
      </c>
      <c r="DYP13" s="314" t="s">
        <v>203</v>
      </c>
      <c r="DYQ13" s="314" t="s">
        <v>203</v>
      </c>
      <c r="DYR13" s="314" t="s">
        <v>203</v>
      </c>
      <c r="DYS13" s="314" t="s">
        <v>203</v>
      </c>
      <c r="DYT13" s="314" t="s">
        <v>203</v>
      </c>
      <c r="DYU13" s="314" t="s">
        <v>203</v>
      </c>
      <c r="DYV13" s="314" t="s">
        <v>203</v>
      </c>
      <c r="DYW13" s="314" t="s">
        <v>203</v>
      </c>
      <c r="DYX13" s="314" t="s">
        <v>203</v>
      </c>
      <c r="DYY13" s="314" t="s">
        <v>203</v>
      </c>
      <c r="DYZ13" s="314" t="s">
        <v>203</v>
      </c>
      <c r="DZA13" s="314" t="s">
        <v>203</v>
      </c>
      <c r="DZB13" s="314" t="s">
        <v>203</v>
      </c>
      <c r="DZC13" s="314" t="s">
        <v>203</v>
      </c>
      <c r="DZD13" s="314" t="s">
        <v>203</v>
      </c>
      <c r="DZE13" s="314" t="s">
        <v>203</v>
      </c>
      <c r="DZF13" s="314" t="s">
        <v>203</v>
      </c>
      <c r="DZG13" s="314" t="s">
        <v>203</v>
      </c>
      <c r="DZH13" s="314" t="s">
        <v>203</v>
      </c>
      <c r="DZI13" s="314" t="s">
        <v>203</v>
      </c>
      <c r="DZJ13" s="314" t="s">
        <v>203</v>
      </c>
      <c r="DZK13" s="314" t="s">
        <v>203</v>
      </c>
      <c r="DZL13" s="314" t="s">
        <v>203</v>
      </c>
      <c r="DZM13" s="314" t="s">
        <v>203</v>
      </c>
      <c r="DZN13" s="314" t="s">
        <v>203</v>
      </c>
      <c r="DZO13" s="314" t="s">
        <v>203</v>
      </c>
      <c r="DZP13" s="314" t="s">
        <v>203</v>
      </c>
      <c r="DZQ13" s="314" t="s">
        <v>203</v>
      </c>
      <c r="DZR13" s="314" t="s">
        <v>203</v>
      </c>
      <c r="DZS13" s="314" t="s">
        <v>203</v>
      </c>
      <c r="DZT13" s="314" t="s">
        <v>203</v>
      </c>
      <c r="DZU13" s="314" t="s">
        <v>203</v>
      </c>
      <c r="DZV13" s="314" t="s">
        <v>203</v>
      </c>
      <c r="DZW13" s="314" t="s">
        <v>203</v>
      </c>
      <c r="DZX13" s="314" t="s">
        <v>203</v>
      </c>
      <c r="DZY13" s="314" t="s">
        <v>203</v>
      </c>
      <c r="DZZ13" s="314" t="s">
        <v>203</v>
      </c>
      <c r="EAA13" s="314" t="s">
        <v>203</v>
      </c>
      <c r="EAB13" s="314" t="s">
        <v>203</v>
      </c>
      <c r="EAC13" s="314" t="s">
        <v>203</v>
      </c>
      <c r="EAD13" s="314" t="s">
        <v>203</v>
      </c>
      <c r="EAE13" s="314" t="s">
        <v>203</v>
      </c>
      <c r="EAF13" s="314" t="s">
        <v>203</v>
      </c>
      <c r="EAG13" s="314" t="s">
        <v>203</v>
      </c>
      <c r="EAH13" s="314" t="s">
        <v>203</v>
      </c>
      <c r="EAI13" s="314" t="s">
        <v>203</v>
      </c>
      <c r="EAJ13" s="314" t="s">
        <v>203</v>
      </c>
      <c r="EAK13" s="314" t="s">
        <v>203</v>
      </c>
      <c r="EAL13" s="314" t="s">
        <v>203</v>
      </c>
      <c r="EAM13" s="314" t="s">
        <v>203</v>
      </c>
      <c r="EAN13" s="314" t="s">
        <v>203</v>
      </c>
      <c r="EAO13" s="314" t="s">
        <v>203</v>
      </c>
      <c r="EAP13" s="314" t="s">
        <v>203</v>
      </c>
      <c r="EAQ13" s="314" t="s">
        <v>203</v>
      </c>
      <c r="EAR13" s="314" t="s">
        <v>203</v>
      </c>
      <c r="EAS13" s="314" t="s">
        <v>203</v>
      </c>
      <c r="EAT13" s="314" t="s">
        <v>203</v>
      </c>
      <c r="EAU13" s="314" t="s">
        <v>203</v>
      </c>
      <c r="EAV13" s="314" t="s">
        <v>203</v>
      </c>
      <c r="EAW13" s="314" t="s">
        <v>203</v>
      </c>
      <c r="EAX13" s="314" t="s">
        <v>203</v>
      </c>
      <c r="EAY13" s="314" t="s">
        <v>203</v>
      </c>
      <c r="EAZ13" s="314" t="s">
        <v>203</v>
      </c>
      <c r="EBA13" s="314" t="s">
        <v>203</v>
      </c>
      <c r="EBB13" s="314" t="s">
        <v>203</v>
      </c>
      <c r="EBC13" s="314" t="s">
        <v>203</v>
      </c>
      <c r="EBD13" s="314" t="s">
        <v>203</v>
      </c>
      <c r="EBE13" s="314" t="s">
        <v>203</v>
      </c>
      <c r="EBF13" s="314" t="s">
        <v>203</v>
      </c>
      <c r="EBG13" s="314" t="s">
        <v>203</v>
      </c>
      <c r="EBH13" s="314" t="s">
        <v>203</v>
      </c>
      <c r="EBI13" s="314" t="s">
        <v>203</v>
      </c>
      <c r="EBJ13" s="314" t="s">
        <v>203</v>
      </c>
      <c r="EBK13" s="314" t="s">
        <v>203</v>
      </c>
      <c r="EBL13" s="314" t="s">
        <v>203</v>
      </c>
      <c r="EBM13" s="314" t="s">
        <v>203</v>
      </c>
      <c r="EBN13" s="314" t="s">
        <v>203</v>
      </c>
      <c r="EBO13" s="314" t="s">
        <v>203</v>
      </c>
      <c r="EBP13" s="314" t="s">
        <v>203</v>
      </c>
      <c r="EBQ13" s="314" t="s">
        <v>203</v>
      </c>
      <c r="EBR13" s="314" t="s">
        <v>203</v>
      </c>
      <c r="EBS13" s="314" t="s">
        <v>203</v>
      </c>
      <c r="EBT13" s="314" t="s">
        <v>203</v>
      </c>
      <c r="EBU13" s="314" t="s">
        <v>203</v>
      </c>
      <c r="EBV13" s="314" t="s">
        <v>203</v>
      </c>
      <c r="EBW13" s="314" t="s">
        <v>203</v>
      </c>
      <c r="EBX13" s="314" t="s">
        <v>203</v>
      </c>
      <c r="EBY13" s="314" t="s">
        <v>203</v>
      </c>
      <c r="EBZ13" s="314" t="s">
        <v>203</v>
      </c>
      <c r="ECA13" s="314" t="s">
        <v>203</v>
      </c>
      <c r="ECB13" s="314" t="s">
        <v>203</v>
      </c>
      <c r="ECC13" s="314" t="s">
        <v>203</v>
      </c>
      <c r="ECD13" s="314" t="s">
        <v>203</v>
      </c>
      <c r="ECE13" s="314" t="s">
        <v>203</v>
      </c>
      <c r="ECF13" s="314" t="s">
        <v>203</v>
      </c>
      <c r="ECG13" s="314" t="s">
        <v>203</v>
      </c>
      <c r="ECH13" s="314" t="s">
        <v>203</v>
      </c>
      <c r="ECI13" s="314" t="s">
        <v>203</v>
      </c>
      <c r="ECJ13" s="314" t="s">
        <v>203</v>
      </c>
      <c r="ECK13" s="314" t="s">
        <v>203</v>
      </c>
      <c r="ECL13" s="314" t="s">
        <v>203</v>
      </c>
      <c r="ECM13" s="314" t="s">
        <v>203</v>
      </c>
      <c r="ECN13" s="314" t="s">
        <v>203</v>
      </c>
      <c r="ECO13" s="314" t="s">
        <v>203</v>
      </c>
      <c r="ECP13" s="314" t="s">
        <v>203</v>
      </c>
      <c r="ECQ13" s="314" t="s">
        <v>203</v>
      </c>
      <c r="ECR13" s="314" t="s">
        <v>203</v>
      </c>
      <c r="ECS13" s="314" t="s">
        <v>203</v>
      </c>
      <c r="ECT13" s="314" t="s">
        <v>203</v>
      </c>
      <c r="ECU13" s="314" t="s">
        <v>203</v>
      </c>
      <c r="ECV13" s="314" t="s">
        <v>203</v>
      </c>
      <c r="ECW13" s="314" t="s">
        <v>203</v>
      </c>
      <c r="ECX13" s="314" t="s">
        <v>203</v>
      </c>
      <c r="ECY13" s="314" t="s">
        <v>203</v>
      </c>
      <c r="ECZ13" s="314" t="s">
        <v>203</v>
      </c>
      <c r="EDA13" s="314" t="s">
        <v>203</v>
      </c>
      <c r="EDB13" s="314" t="s">
        <v>203</v>
      </c>
      <c r="EDC13" s="314" t="s">
        <v>203</v>
      </c>
      <c r="EDD13" s="314" t="s">
        <v>203</v>
      </c>
      <c r="EDE13" s="314" t="s">
        <v>203</v>
      </c>
      <c r="EDF13" s="314" t="s">
        <v>203</v>
      </c>
      <c r="EDG13" s="314" t="s">
        <v>203</v>
      </c>
      <c r="EDH13" s="314" t="s">
        <v>203</v>
      </c>
      <c r="EDI13" s="314" t="s">
        <v>203</v>
      </c>
      <c r="EDJ13" s="314" t="s">
        <v>203</v>
      </c>
      <c r="EDK13" s="314" t="s">
        <v>203</v>
      </c>
      <c r="EDL13" s="314" t="s">
        <v>203</v>
      </c>
      <c r="EDM13" s="314" t="s">
        <v>203</v>
      </c>
      <c r="EDN13" s="314" t="s">
        <v>203</v>
      </c>
      <c r="EDO13" s="314" t="s">
        <v>203</v>
      </c>
      <c r="EDP13" s="314" t="s">
        <v>203</v>
      </c>
      <c r="EDQ13" s="314" t="s">
        <v>203</v>
      </c>
      <c r="EDR13" s="314" t="s">
        <v>203</v>
      </c>
      <c r="EDS13" s="314" t="s">
        <v>203</v>
      </c>
      <c r="EDT13" s="314" t="s">
        <v>203</v>
      </c>
      <c r="EDU13" s="314" t="s">
        <v>203</v>
      </c>
      <c r="EDV13" s="314" t="s">
        <v>203</v>
      </c>
      <c r="EDW13" s="314" t="s">
        <v>203</v>
      </c>
      <c r="EDX13" s="314" t="s">
        <v>203</v>
      </c>
      <c r="EDY13" s="314" t="s">
        <v>203</v>
      </c>
      <c r="EDZ13" s="314" t="s">
        <v>203</v>
      </c>
      <c r="EEA13" s="314" t="s">
        <v>203</v>
      </c>
      <c r="EEB13" s="314" t="s">
        <v>203</v>
      </c>
      <c r="EEC13" s="314" t="s">
        <v>203</v>
      </c>
      <c r="EED13" s="314" t="s">
        <v>203</v>
      </c>
      <c r="EEE13" s="314" t="s">
        <v>203</v>
      </c>
      <c r="EEF13" s="314" t="s">
        <v>203</v>
      </c>
      <c r="EEG13" s="314" t="s">
        <v>203</v>
      </c>
      <c r="EEH13" s="314" t="s">
        <v>203</v>
      </c>
      <c r="EEI13" s="314" t="s">
        <v>203</v>
      </c>
      <c r="EEJ13" s="314" t="s">
        <v>203</v>
      </c>
      <c r="EEK13" s="314" t="s">
        <v>203</v>
      </c>
      <c r="EEL13" s="314" t="s">
        <v>203</v>
      </c>
      <c r="EEM13" s="314" t="s">
        <v>203</v>
      </c>
      <c r="EEN13" s="314" t="s">
        <v>203</v>
      </c>
      <c r="EEO13" s="314" t="s">
        <v>203</v>
      </c>
      <c r="EEP13" s="314" t="s">
        <v>203</v>
      </c>
      <c r="EEQ13" s="314" t="s">
        <v>203</v>
      </c>
      <c r="EER13" s="314" t="s">
        <v>203</v>
      </c>
      <c r="EES13" s="314" t="s">
        <v>203</v>
      </c>
      <c r="EET13" s="314" t="s">
        <v>203</v>
      </c>
      <c r="EEU13" s="314" t="s">
        <v>203</v>
      </c>
      <c r="EEV13" s="314" t="s">
        <v>203</v>
      </c>
      <c r="EEW13" s="314" t="s">
        <v>203</v>
      </c>
      <c r="EEX13" s="314" t="s">
        <v>203</v>
      </c>
      <c r="EEY13" s="314" t="s">
        <v>203</v>
      </c>
      <c r="EEZ13" s="314" t="s">
        <v>203</v>
      </c>
      <c r="EFA13" s="314" t="s">
        <v>203</v>
      </c>
      <c r="EFB13" s="314" t="s">
        <v>203</v>
      </c>
      <c r="EFC13" s="314" t="s">
        <v>203</v>
      </c>
      <c r="EFD13" s="314" t="s">
        <v>203</v>
      </c>
      <c r="EFE13" s="314" t="s">
        <v>203</v>
      </c>
      <c r="EFF13" s="314" t="s">
        <v>203</v>
      </c>
      <c r="EFG13" s="314" t="s">
        <v>203</v>
      </c>
      <c r="EFH13" s="314" t="s">
        <v>203</v>
      </c>
      <c r="EFI13" s="314" t="s">
        <v>203</v>
      </c>
      <c r="EFJ13" s="314" t="s">
        <v>203</v>
      </c>
      <c r="EFK13" s="314" t="s">
        <v>203</v>
      </c>
      <c r="EFL13" s="314" t="s">
        <v>203</v>
      </c>
      <c r="EFM13" s="314" t="s">
        <v>203</v>
      </c>
      <c r="EFN13" s="314" t="s">
        <v>203</v>
      </c>
      <c r="EFO13" s="314" t="s">
        <v>203</v>
      </c>
      <c r="EFP13" s="314" t="s">
        <v>203</v>
      </c>
      <c r="EFQ13" s="314" t="s">
        <v>203</v>
      </c>
      <c r="EFR13" s="314" t="s">
        <v>203</v>
      </c>
      <c r="EFS13" s="314" t="s">
        <v>203</v>
      </c>
      <c r="EFT13" s="314" t="s">
        <v>203</v>
      </c>
      <c r="EFU13" s="314" t="s">
        <v>203</v>
      </c>
      <c r="EFV13" s="314" t="s">
        <v>203</v>
      </c>
      <c r="EFW13" s="314" t="s">
        <v>203</v>
      </c>
      <c r="EFX13" s="314" t="s">
        <v>203</v>
      </c>
      <c r="EFY13" s="314" t="s">
        <v>203</v>
      </c>
      <c r="EFZ13" s="314" t="s">
        <v>203</v>
      </c>
      <c r="EGA13" s="314" t="s">
        <v>203</v>
      </c>
      <c r="EGB13" s="314" t="s">
        <v>203</v>
      </c>
      <c r="EGC13" s="314" t="s">
        <v>203</v>
      </c>
      <c r="EGD13" s="314" t="s">
        <v>203</v>
      </c>
      <c r="EGE13" s="314" t="s">
        <v>203</v>
      </c>
      <c r="EGF13" s="314" t="s">
        <v>203</v>
      </c>
      <c r="EGG13" s="314" t="s">
        <v>203</v>
      </c>
      <c r="EGH13" s="314" t="s">
        <v>203</v>
      </c>
      <c r="EGI13" s="314" t="s">
        <v>203</v>
      </c>
      <c r="EGJ13" s="314" t="s">
        <v>203</v>
      </c>
      <c r="EGK13" s="314" t="s">
        <v>203</v>
      </c>
      <c r="EGL13" s="314" t="s">
        <v>203</v>
      </c>
      <c r="EGM13" s="314" t="s">
        <v>203</v>
      </c>
      <c r="EGN13" s="314" t="s">
        <v>203</v>
      </c>
      <c r="EGO13" s="314" t="s">
        <v>203</v>
      </c>
      <c r="EGP13" s="314" t="s">
        <v>203</v>
      </c>
      <c r="EGQ13" s="314" t="s">
        <v>203</v>
      </c>
      <c r="EGR13" s="314" t="s">
        <v>203</v>
      </c>
      <c r="EGS13" s="314" t="s">
        <v>203</v>
      </c>
      <c r="EGT13" s="314" t="s">
        <v>203</v>
      </c>
      <c r="EGU13" s="314" t="s">
        <v>203</v>
      </c>
      <c r="EGV13" s="314" t="s">
        <v>203</v>
      </c>
      <c r="EGW13" s="314" t="s">
        <v>203</v>
      </c>
      <c r="EGX13" s="314" t="s">
        <v>203</v>
      </c>
      <c r="EGY13" s="314" t="s">
        <v>203</v>
      </c>
      <c r="EGZ13" s="314" t="s">
        <v>203</v>
      </c>
      <c r="EHA13" s="314" t="s">
        <v>203</v>
      </c>
      <c r="EHB13" s="314" t="s">
        <v>203</v>
      </c>
      <c r="EHC13" s="314" t="s">
        <v>203</v>
      </c>
      <c r="EHD13" s="314" t="s">
        <v>203</v>
      </c>
      <c r="EHE13" s="314" t="s">
        <v>203</v>
      </c>
      <c r="EHF13" s="314" t="s">
        <v>203</v>
      </c>
      <c r="EHG13" s="314" t="s">
        <v>203</v>
      </c>
      <c r="EHH13" s="314" t="s">
        <v>203</v>
      </c>
      <c r="EHI13" s="314" t="s">
        <v>203</v>
      </c>
      <c r="EHJ13" s="314" t="s">
        <v>203</v>
      </c>
      <c r="EHK13" s="314" t="s">
        <v>203</v>
      </c>
      <c r="EHL13" s="314" t="s">
        <v>203</v>
      </c>
      <c r="EHM13" s="314" t="s">
        <v>203</v>
      </c>
      <c r="EHN13" s="314" t="s">
        <v>203</v>
      </c>
      <c r="EHO13" s="314" t="s">
        <v>203</v>
      </c>
      <c r="EHP13" s="314" t="s">
        <v>203</v>
      </c>
      <c r="EHQ13" s="314" t="s">
        <v>203</v>
      </c>
      <c r="EHR13" s="314" t="s">
        <v>203</v>
      </c>
      <c r="EHS13" s="314" t="s">
        <v>203</v>
      </c>
      <c r="EHT13" s="314" t="s">
        <v>203</v>
      </c>
      <c r="EHU13" s="314" t="s">
        <v>203</v>
      </c>
      <c r="EHV13" s="314" t="s">
        <v>203</v>
      </c>
      <c r="EHW13" s="314" t="s">
        <v>203</v>
      </c>
      <c r="EHX13" s="314" t="s">
        <v>203</v>
      </c>
      <c r="EHY13" s="314" t="s">
        <v>203</v>
      </c>
      <c r="EHZ13" s="314" t="s">
        <v>203</v>
      </c>
      <c r="EIA13" s="314" t="s">
        <v>203</v>
      </c>
      <c r="EIB13" s="314" t="s">
        <v>203</v>
      </c>
      <c r="EIC13" s="314" t="s">
        <v>203</v>
      </c>
      <c r="EID13" s="314" t="s">
        <v>203</v>
      </c>
      <c r="EIE13" s="314" t="s">
        <v>203</v>
      </c>
      <c r="EIF13" s="314" t="s">
        <v>203</v>
      </c>
      <c r="EIG13" s="314" t="s">
        <v>203</v>
      </c>
      <c r="EIH13" s="314" t="s">
        <v>203</v>
      </c>
      <c r="EII13" s="314" t="s">
        <v>203</v>
      </c>
      <c r="EIJ13" s="314" t="s">
        <v>203</v>
      </c>
      <c r="EIK13" s="314" t="s">
        <v>203</v>
      </c>
      <c r="EIL13" s="314" t="s">
        <v>203</v>
      </c>
      <c r="EIM13" s="314" t="s">
        <v>203</v>
      </c>
      <c r="EIN13" s="314" t="s">
        <v>203</v>
      </c>
      <c r="EIO13" s="314" t="s">
        <v>203</v>
      </c>
      <c r="EIP13" s="314" t="s">
        <v>203</v>
      </c>
      <c r="EIQ13" s="314" t="s">
        <v>203</v>
      </c>
      <c r="EIR13" s="314" t="s">
        <v>203</v>
      </c>
      <c r="EIS13" s="314" t="s">
        <v>203</v>
      </c>
      <c r="EIT13" s="314" t="s">
        <v>203</v>
      </c>
      <c r="EIU13" s="314" t="s">
        <v>203</v>
      </c>
      <c r="EIV13" s="314" t="s">
        <v>203</v>
      </c>
      <c r="EIW13" s="314" t="s">
        <v>203</v>
      </c>
      <c r="EIX13" s="314" t="s">
        <v>203</v>
      </c>
      <c r="EIY13" s="314" t="s">
        <v>203</v>
      </c>
      <c r="EIZ13" s="314" t="s">
        <v>203</v>
      </c>
      <c r="EJA13" s="314" t="s">
        <v>203</v>
      </c>
      <c r="EJB13" s="314" t="s">
        <v>203</v>
      </c>
      <c r="EJC13" s="314" t="s">
        <v>203</v>
      </c>
      <c r="EJD13" s="314" t="s">
        <v>203</v>
      </c>
      <c r="EJE13" s="314" t="s">
        <v>203</v>
      </c>
      <c r="EJF13" s="314" t="s">
        <v>203</v>
      </c>
      <c r="EJG13" s="314" t="s">
        <v>203</v>
      </c>
      <c r="EJH13" s="314" t="s">
        <v>203</v>
      </c>
      <c r="EJI13" s="314" t="s">
        <v>203</v>
      </c>
      <c r="EJJ13" s="314" t="s">
        <v>203</v>
      </c>
      <c r="EJK13" s="314" t="s">
        <v>203</v>
      </c>
      <c r="EJL13" s="314" t="s">
        <v>203</v>
      </c>
      <c r="EJM13" s="314" t="s">
        <v>203</v>
      </c>
      <c r="EJN13" s="314" t="s">
        <v>203</v>
      </c>
      <c r="EJO13" s="314" t="s">
        <v>203</v>
      </c>
      <c r="EJP13" s="314" t="s">
        <v>203</v>
      </c>
      <c r="EJQ13" s="314" t="s">
        <v>203</v>
      </c>
      <c r="EJR13" s="314" t="s">
        <v>203</v>
      </c>
      <c r="EJS13" s="314" t="s">
        <v>203</v>
      </c>
      <c r="EJT13" s="314" t="s">
        <v>203</v>
      </c>
      <c r="EJU13" s="314" t="s">
        <v>203</v>
      </c>
      <c r="EJV13" s="314" t="s">
        <v>203</v>
      </c>
      <c r="EJW13" s="314" t="s">
        <v>203</v>
      </c>
      <c r="EJX13" s="314" t="s">
        <v>203</v>
      </c>
      <c r="EJY13" s="314" t="s">
        <v>203</v>
      </c>
      <c r="EJZ13" s="314" t="s">
        <v>203</v>
      </c>
      <c r="EKA13" s="314" t="s">
        <v>203</v>
      </c>
      <c r="EKB13" s="314" t="s">
        <v>203</v>
      </c>
      <c r="EKC13" s="314" t="s">
        <v>203</v>
      </c>
      <c r="EKD13" s="314" t="s">
        <v>203</v>
      </c>
      <c r="EKE13" s="314" t="s">
        <v>203</v>
      </c>
      <c r="EKF13" s="314" t="s">
        <v>203</v>
      </c>
      <c r="EKG13" s="314" t="s">
        <v>203</v>
      </c>
      <c r="EKH13" s="314" t="s">
        <v>203</v>
      </c>
      <c r="EKI13" s="314" t="s">
        <v>203</v>
      </c>
      <c r="EKJ13" s="314" t="s">
        <v>203</v>
      </c>
      <c r="EKK13" s="314" t="s">
        <v>203</v>
      </c>
      <c r="EKL13" s="314" t="s">
        <v>203</v>
      </c>
      <c r="EKM13" s="314" t="s">
        <v>203</v>
      </c>
      <c r="EKN13" s="314" t="s">
        <v>203</v>
      </c>
      <c r="EKO13" s="314" t="s">
        <v>203</v>
      </c>
      <c r="EKP13" s="314" t="s">
        <v>203</v>
      </c>
      <c r="EKQ13" s="314" t="s">
        <v>203</v>
      </c>
      <c r="EKR13" s="314" t="s">
        <v>203</v>
      </c>
      <c r="EKS13" s="314" t="s">
        <v>203</v>
      </c>
      <c r="EKT13" s="314" t="s">
        <v>203</v>
      </c>
      <c r="EKU13" s="314" t="s">
        <v>203</v>
      </c>
      <c r="EKV13" s="314" t="s">
        <v>203</v>
      </c>
      <c r="EKW13" s="314" t="s">
        <v>203</v>
      </c>
      <c r="EKX13" s="314" t="s">
        <v>203</v>
      </c>
      <c r="EKY13" s="314" t="s">
        <v>203</v>
      </c>
      <c r="EKZ13" s="314" t="s">
        <v>203</v>
      </c>
      <c r="ELA13" s="314" t="s">
        <v>203</v>
      </c>
      <c r="ELB13" s="314" t="s">
        <v>203</v>
      </c>
      <c r="ELC13" s="314" t="s">
        <v>203</v>
      </c>
      <c r="ELD13" s="314" t="s">
        <v>203</v>
      </c>
      <c r="ELE13" s="314" t="s">
        <v>203</v>
      </c>
      <c r="ELF13" s="314" t="s">
        <v>203</v>
      </c>
      <c r="ELG13" s="314" t="s">
        <v>203</v>
      </c>
      <c r="ELH13" s="314" t="s">
        <v>203</v>
      </c>
      <c r="ELI13" s="314" t="s">
        <v>203</v>
      </c>
      <c r="ELJ13" s="314" t="s">
        <v>203</v>
      </c>
      <c r="ELK13" s="314" t="s">
        <v>203</v>
      </c>
      <c r="ELL13" s="314" t="s">
        <v>203</v>
      </c>
      <c r="ELM13" s="314" t="s">
        <v>203</v>
      </c>
      <c r="ELN13" s="314" t="s">
        <v>203</v>
      </c>
      <c r="ELO13" s="314" t="s">
        <v>203</v>
      </c>
      <c r="ELP13" s="314" t="s">
        <v>203</v>
      </c>
      <c r="ELQ13" s="314" t="s">
        <v>203</v>
      </c>
      <c r="ELR13" s="314" t="s">
        <v>203</v>
      </c>
      <c r="ELS13" s="314" t="s">
        <v>203</v>
      </c>
      <c r="ELT13" s="314" t="s">
        <v>203</v>
      </c>
      <c r="ELU13" s="314" t="s">
        <v>203</v>
      </c>
      <c r="ELV13" s="314" t="s">
        <v>203</v>
      </c>
      <c r="ELW13" s="314" t="s">
        <v>203</v>
      </c>
      <c r="ELX13" s="314" t="s">
        <v>203</v>
      </c>
      <c r="ELY13" s="314" t="s">
        <v>203</v>
      </c>
      <c r="ELZ13" s="314" t="s">
        <v>203</v>
      </c>
      <c r="EMA13" s="314" t="s">
        <v>203</v>
      </c>
      <c r="EMB13" s="314" t="s">
        <v>203</v>
      </c>
      <c r="EMC13" s="314" t="s">
        <v>203</v>
      </c>
      <c r="EMD13" s="314" t="s">
        <v>203</v>
      </c>
      <c r="EME13" s="314" t="s">
        <v>203</v>
      </c>
      <c r="EMF13" s="314" t="s">
        <v>203</v>
      </c>
      <c r="EMG13" s="314" t="s">
        <v>203</v>
      </c>
      <c r="EMH13" s="314" t="s">
        <v>203</v>
      </c>
      <c r="EMI13" s="314" t="s">
        <v>203</v>
      </c>
      <c r="EMJ13" s="314" t="s">
        <v>203</v>
      </c>
      <c r="EMK13" s="314" t="s">
        <v>203</v>
      </c>
      <c r="EML13" s="314" t="s">
        <v>203</v>
      </c>
      <c r="EMM13" s="314" t="s">
        <v>203</v>
      </c>
      <c r="EMN13" s="314" t="s">
        <v>203</v>
      </c>
      <c r="EMO13" s="314" t="s">
        <v>203</v>
      </c>
      <c r="EMP13" s="314" t="s">
        <v>203</v>
      </c>
      <c r="EMQ13" s="314" t="s">
        <v>203</v>
      </c>
      <c r="EMR13" s="314" t="s">
        <v>203</v>
      </c>
      <c r="EMS13" s="314" t="s">
        <v>203</v>
      </c>
      <c r="EMT13" s="314" t="s">
        <v>203</v>
      </c>
      <c r="EMU13" s="314" t="s">
        <v>203</v>
      </c>
      <c r="EMV13" s="314" t="s">
        <v>203</v>
      </c>
      <c r="EMW13" s="314" t="s">
        <v>203</v>
      </c>
      <c r="EMX13" s="314" t="s">
        <v>203</v>
      </c>
      <c r="EMY13" s="314" t="s">
        <v>203</v>
      </c>
      <c r="EMZ13" s="314" t="s">
        <v>203</v>
      </c>
      <c r="ENA13" s="314" t="s">
        <v>203</v>
      </c>
      <c r="ENB13" s="314" t="s">
        <v>203</v>
      </c>
      <c r="ENC13" s="314" t="s">
        <v>203</v>
      </c>
      <c r="END13" s="314" t="s">
        <v>203</v>
      </c>
      <c r="ENE13" s="314" t="s">
        <v>203</v>
      </c>
      <c r="ENF13" s="314" t="s">
        <v>203</v>
      </c>
      <c r="ENG13" s="314" t="s">
        <v>203</v>
      </c>
      <c r="ENH13" s="314" t="s">
        <v>203</v>
      </c>
      <c r="ENI13" s="314" t="s">
        <v>203</v>
      </c>
      <c r="ENJ13" s="314" t="s">
        <v>203</v>
      </c>
      <c r="ENK13" s="314" t="s">
        <v>203</v>
      </c>
      <c r="ENL13" s="314" t="s">
        <v>203</v>
      </c>
      <c r="ENM13" s="314" t="s">
        <v>203</v>
      </c>
      <c r="ENN13" s="314" t="s">
        <v>203</v>
      </c>
      <c r="ENO13" s="314" t="s">
        <v>203</v>
      </c>
      <c r="ENP13" s="314" t="s">
        <v>203</v>
      </c>
      <c r="ENQ13" s="314" t="s">
        <v>203</v>
      </c>
      <c r="ENR13" s="314" t="s">
        <v>203</v>
      </c>
      <c r="ENS13" s="314" t="s">
        <v>203</v>
      </c>
      <c r="ENT13" s="314" t="s">
        <v>203</v>
      </c>
      <c r="ENU13" s="314" t="s">
        <v>203</v>
      </c>
      <c r="ENV13" s="314" t="s">
        <v>203</v>
      </c>
      <c r="ENW13" s="314" t="s">
        <v>203</v>
      </c>
      <c r="ENX13" s="314" t="s">
        <v>203</v>
      </c>
      <c r="ENY13" s="314" t="s">
        <v>203</v>
      </c>
      <c r="ENZ13" s="314" t="s">
        <v>203</v>
      </c>
      <c r="EOA13" s="314" t="s">
        <v>203</v>
      </c>
      <c r="EOB13" s="314" t="s">
        <v>203</v>
      </c>
      <c r="EOC13" s="314" t="s">
        <v>203</v>
      </c>
      <c r="EOD13" s="314" t="s">
        <v>203</v>
      </c>
      <c r="EOE13" s="314" t="s">
        <v>203</v>
      </c>
      <c r="EOF13" s="314" t="s">
        <v>203</v>
      </c>
      <c r="EOG13" s="314" t="s">
        <v>203</v>
      </c>
      <c r="EOH13" s="314" t="s">
        <v>203</v>
      </c>
      <c r="EOI13" s="314" t="s">
        <v>203</v>
      </c>
      <c r="EOJ13" s="314" t="s">
        <v>203</v>
      </c>
      <c r="EOK13" s="314" t="s">
        <v>203</v>
      </c>
      <c r="EOL13" s="314" t="s">
        <v>203</v>
      </c>
      <c r="EOM13" s="314" t="s">
        <v>203</v>
      </c>
      <c r="EON13" s="314" t="s">
        <v>203</v>
      </c>
      <c r="EOO13" s="314" t="s">
        <v>203</v>
      </c>
      <c r="EOP13" s="314" t="s">
        <v>203</v>
      </c>
      <c r="EOQ13" s="314" t="s">
        <v>203</v>
      </c>
      <c r="EOR13" s="314" t="s">
        <v>203</v>
      </c>
      <c r="EOS13" s="314" t="s">
        <v>203</v>
      </c>
      <c r="EOT13" s="314" t="s">
        <v>203</v>
      </c>
      <c r="EOU13" s="314" t="s">
        <v>203</v>
      </c>
      <c r="EOV13" s="314" t="s">
        <v>203</v>
      </c>
      <c r="EOW13" s="314" t="s">
        <v>203</v>
      </c>
      <c r="EOX13" s="314" t="s">
        <v>203</v>
      </c>
      <c r="EOY13" s="314" t="s">
        <v>203</v>
      </c>
      <c r="EOZ13" s="314" t="s">
        <v>203</v>
      </c>
      <c r="EPA13" s="314" t="s">
        <v>203</v>
      </c>
      <c r="EPB13" s="314" t="s">
        <v>203</v>
      </c>
      <c r="EPC13" s="314" t="s">
        <v>203</v>
      </c>
      <c r="EPD13" s="314" t="s">
        <v>203</v>
      </c>
      <c r="EPE13" s="314" t="s">
        <v>203</v>
      </c>
      <c r="EPF13" s="314" t="s">
        <v>203</v>
      </c>
      <c r="EPG13" s="314" t="s">
        <v>203</v>
      </c>
      <c r="EPH13" s="314" t="s">
        <v>203</v>
      </c>
      <c r="EPI13" s="314" t="s">
        <v>203</v>
      </c>
      <c r="EPJ13" s="314" t="s">
        <v>203</v>
      </c>
      <c r="EPK13" s="314" t="s">
        <v>203</v>
      </c>
      <c r="EPL13" s="314" t="s">
        <v>203</v>
      </c>
      <c r="EPM13" s="314" t="s">
        <v>203</v>
      </c>
      <c r="EPN13" s="314" t="s">
        <v>203</v>
      </c>
      <c r="EPO13" s="314" t="s">
        <v>203</v>
      </c>
      <c r="EPP13" s="314" t="s">
        <v>203</v>
      </c>
      <c r="EPQ13" s="314" t="s">
        <v>203</v>
      </c>
      <c r="EPR13" s="314" t="s">
        <v>203</v>
      </c>
      <c r="EPS13" s="314" t="s">
        <v>203</v>
      </c>
      <c r="EPT13" s="314" t="s">
        <v>203</v>
      </c>
      <c r="EPU13" s="314" t="s">
        <v>203</v>
      </c>
      <c r="EPV13" s="314" t="s">
        <v>203</v>
      </c>
      <c r="EPW13" s="314" t="s">
        <v>203</v>
      </c>
      <c r="EPX13" s="314" t="s">
        <v>203</v>
      </c>
      <c r="EPY13" s="314" t="s">
        <v>203</v>
      </c>
      <c r="EPZ13" s="314" t="s">
        <v>203</v>
      </c>
      <c r="EQA13" s="314" t="s">
        <v>203</v>
      </c>
      <c r="EQB13" s="314" t="s">
        <v>203</v>
      </c>
      <c r="EQC13" s="314" t="s">
        <v>203</v>
      </c>
      <c r="EQD13" s="314" t="s">
        <v>203</v>
      </c>
      <c r="EQE13" s="314" t="s">
        <v>203</v>
      </c>
      <c r="EQF13" s="314" t="s">
        <v>203</v>
      </c>
      <c r="EQG13" s="314" t="s">
        <v>203</v>
      </c>
      <c r="EQH13" s="314" t="s">
        <v>203</v>
      </c>
      <c r="EQI13" s="314" t="s">
        <v>203</v>
      </c>
      <c r="EQJ13" s="314" t="s">
        <v>203</v>
      </c>
      <c r="EQK13" s="314" t="s">
        <v>203</v>
      </c>
      <c r="EQL13" s="314" t="s">
        <v>203</v>
      </c>
      <c r="EQM13" s="314" t="s">
        <v>203</v>
      </c>
      <c r="EQN13" s="314" t="s">
        <v>203</v>
      </c>
      <c r="EQO13" s="314" t="s">
        <v>203</v>
      </c>
      <c r="EQP13" s="314" t="s">
        <v>203</v>
      </c>
      <c r="EQQ13" s="314" t="s">
        <v>203</v>
      </c>
      <c r="EQR13" s="314" t="s">
        <v>203</v>
      </c>
      <c r="EQS13" s="314" t="s">
        <v>203</v>
      </c>
      <c r="EQT13" s="314" t="s">
        <v>203</v>
      </c>
      <c r="EQU13" s="314" t="s">
        <v>203</v>
      </c>
      <c r="EQV13" s="314" t="s">
        <v>203</v>
      </c>
      <c r="EQW13" s="314" t="s">
        <v>203</v>
      </c>
      <c r="EQX13" s="314" t="s">
        <v>203</v>
      </c>
      <c r="EQY13" s="314" t="s">
        <v>203</v>
      </c>
      <c r="EQZ13" s="314" t="s">
        <v>203</v>
      </c>
      <c r="ERA13" s="314" t="s">
        <v>203</v>
      </c>
      <c r="ERB13" s="314" t="s">
        <v>203</v>
      </c>
      <c r="ERC13" s="314" t="s">
        <v>203</v>
      </c>
      <c r="ERD13" s="314" t="s">
        <v>203</v>
      </c>
      <c r="ERE13" s="314" t="s">
        <v>203</v>
      </c>
      <c r="ERF13" s="314" t="s">
        <v>203</v>
      </c>
      <c r="ERG13" s="314" t="s">
        <v>203</v>
      </c>
      <c r="ERH13" s="314" t="s">
        <v>203</v>
      </c>
      <c r="ERI13" s="314" t="s">
        <v>203</v>
      </c>
      <c r="ERJ13" s="314" t="s">
        <v>203</v>
      </c>
      <c r="ERK13" s="314" t="s">
        <v>203</v>
      </c>
      <c r="ERL13" s="314" t="s">
        <v>203</v>
      </c>
      <c r="ERM13" s="314" t="s">
        <v>203</v>
      </c>
      <c r="ERN13" s="314" t="s">
        <v>203</v>
      </c>
      <c r="ERO13" s="314" t="s">
        <v>203</v>
      </c>
      <c r="ERP13" s="314" t="s">
        <v>203</v>
      </c>
      <c r="ERQ13" s="314" t="s">
        <v>203</v>
      </c>
      <c r="ERR13" s="314" t="s">
        <v>203</v>
      </c>
      <c r="ERS13" s="314" t="s">
        <v>203</v>
      </c>
      <c r="ERT13" s="314" t="s">
        <v>203</v>
      </c>
      <c r="ERU13" s="314" t="s">
        <v>203</v>
      </c>
      <c r="ERV13" s="314" t="s">
        <v>203</v>
      </c>
      <c r="ERW13" s="314" t="s">
        <v>203</v>
      </c>
      <c r="ERX13" s="314" t="s">
        <v>203</v>
      </c>
      <c r="ERY13" s="314" t="s">
        <v>203</v>
      </c>
      <c r="ERZ13" s="314" t="s">
        <v>203</v>
      </c>
      <c r="ESA13" s="314" t="s">
        <v>203</v>
      </c>
      <c r="ESB13" s="314" t="s">
        <v>203</v>
      </c>
      <c r="ESC13" s="314" t="s">
        <v>203</v>
      </c>
      <c r="ESD13" s="314" t="s">
        <v>203</v>
      </c>
      <c r="ESE13" s="314" t="s">
        <v>203</v>
      </c>
      <c r="ESF13" s="314" t="s">
        <v>203</v>
      </c>
      <c r="ESG13" s="314" t="s">
        <v>203</v>
      </c>
      <c r="ESH13" s="314" t="s">
        <v>203</v>
      </c>
      <c r="ESI13" s="314" t="s">
        <v>203</v>
      </c>
      <c r="ESJ13" s="314" t="s">
        <v>203</v>
      </c>
      <c r="ESK13" s="314" t="s">
        <v>203</v>
      </c>
      <c r="ESL13" s="314" t="s">
        <v>203</v>
      </c>
      <c r="ESM13" s="314" t="s">
        <v>203</v>
      </c>
      <c r="ESN13" s="314" t="s">
        <v>203</v>
      </c>
      <c r="ESO13" s="314" t="s">
        <v>203</v>
      </c>
      <c r="ESP13" s="314" t="s">
        <v>203</v>
      </c>
      <c r="ESQ13" s="314" t="s">
        <v>203</v>
      </c>
      <c r="ESR13" s="314" t="s">
        <v>203</v>
      </c>
      <c r="ESS13" s="314" t="s">
        <v>203</v>
      </c>
      <c r="EST13" s="314" t="s">
        <v>203</v>
      </c>
      <c r="ESU13" s="314" t="s">
        <v>203</v>
      </c>
      <c r="ESV13" s="314" t="s">
        <v>203</v>
      </c>
      <c r="ESW13" s="314" t="s">
        <v>203</v>
      </c>
      <c r="ESX13" s="314" t="s">
        <v>203</v>
      </c>
      <c r="ESY13" s="314" t="s">
        <v>203</v>
      </c>
      <c r="ESZ13" s="314" t="s">
        <v>203</v>
      </c>
      <c r="ETA13" s="314" t="s">
        <v>203</v>
      </c>
      <c r="ETB13" s="314" t="s">
        <v>203</v>
      </c>
      <c r="ETC13" s="314" t="s">
        <v>203</v>
      </c>
      <c r="ETD13" s="314" t="s">
        <v>203</v>
      </c>
      <c r="ETE13" s="314" t="s">
        <v>203</v>
      </c>
      <c r="ETF13" s="314" t="s">
        <v>203</v>
      </c>
      <c r="ETG13" s="314" t="s">
        <v>203</v>
      </c>
      <c r="ETH13" s="314" t="s">
        <v>203</v>
      </c>
      <c r="ETI13" s="314" t="s">
        <v>203</v>
      </c>
      <c r="ETJ13" s="314" t="s">
        <v>203</v>
      </c>
      <c r="ETK13" s="314" t="s">
        <v>203</v>
      </c>
      <c r="ETL13" s="314" t="s">
        <v>203</v>
      </c>
      <c r="ETM13" s="314" t="s">
        <v>203</v>
      </c>
      <c r="ETN13" s="314" t="s">
        <v>203</v>
      </c>
      <c r="ETO13" s="314" t="s">
        <v>203</v>
      </c>
      <c r="ETP13" s="314" t="s">
        <v>203</v>
      </c>
      <c r="ETQ13" s="314" t="s">
        <v>203</v>
      </c>
      <c r="ETR13" s="314" t="s">
        <v>203</v>
      </c>
      <c r="ETS13" s="314" t="s">
        <v>203</v>
      </c>
      <c r="ETT13" s="314" t="s">
        <v>203</v>
      </c>
      <c r="ETU13" s="314" t="s">
        <v>203</v>
      </c>
      <c r="ETV13" s="314" t="s">
        <v>203</v>
      </c>
      <c r="ETW13" s="314" t="s">
        <v>203</v>
      </c>
      <c r="ETX13" s="314" t="s">
        <v>203</v>
      </c>
      <c r="ETY13" s="314" t="s">
        <v>203</v>
      </c>
      <c r="ETZ13" s="314" t="s">
        <v>203</v>
      </c>
      <c r="EUA13" s="314" t="s">
        <v>203</v>
      </c>
      <c r="EUB13" s="314" t="s">
        <v>203</v>
      </c>
      <c r="EUC13" s="314" t="s">
        <v>203</v>
      </c>
      <c r="EUD13" s="314" t="s">
        <v>203</v>
      </c>
      <c r="EUE13" s="314" t="s">
        <v>203</v>
      </c>
      <c r="EUF13" s="314" t="s">
        <v>203</v>
      </c>
      <c r="EUG13" s="314" t="s">
        <v>203</v>
      </c>
      <c r="EUH13" s="314" t="s">
        <v>203</v>
      </c>
      <c r="EUI13" s="314" t="s">
        <v>203</v>
      </c>
      <c r="EUJ13" s="314" t="s">
        <v>203</v>
      </c>
      <c r="EUK13" s="314" t="s">
        <v>203</v>
      </c>
      <c r="EUL13" s="314" t="s">
        <v>203</v>
      </c>
      <c r="EUM13" s="314" t="s">
        <v>203</v>
      </c>
      <c r="EUN13" s="314" t="s">
        <v>203</v>
      </c>
      <c r="EUO13" s="314" t="s">
        <v>203</v>
      </c>
      <c r="EUP13" s="314" t="s">
        <v>203</v>
      </c>
      <c r="EUQ13" s="314" t="s">
        <v>203</v>
      </c>
      <c r="EUR13" s="314" t="s">
        <v>203</v>
      </c>
      <c r="EUS13" s="314" t="s">
        <v>203</v>
      </c>
      <c r="EUT13" s="314" t="s">
        <v>203</v>
      </c>
      <c r="EUU13" s="314" t="s">
        <v>203</v>
      </c>
      <c r="EUV13" s="314" t="s">
        <v>203</v>
      </c>
      <c r="EUW13" s="314" t="s">
        <v>203</v>
      </c>
      <c r="EUX13" s="314" t="s">
        <v>203</v>
      </c>
      <c r="EUY13" s="314" t="s">
        <v>203</v>
      </c>
      <c r="EUZ13" s="314" t="s">
        <v>203</v>
      </c>
      <c r="EVA13" s="314" t="s">
        <v>203</v>
      </c>
      <c r="EVB13" s="314" t="s">
        <v>203</v>
      </c>
      <c r="EVC13" s="314" t="s">
        <v>203</v>
      </c>
      <c r="EVD13" s="314" t="s">
        <v>203</v>
      </c>
      <c r="EVE13" s="314" t="s">
        <v>203</v>
      </c>
      <c r="EVF13" s="314" t="s">
        <v>203</v>
      </c>
      <c r="EVG13" s="314" t="s">
        <v>203</v>
      </c>
      <c r="EVH13" s="314" t="s">
        <v>203</v>
      </c>
      <c r="EVI13" s="314" t="s">
        <v>203</v>
      </c>
      <c r="EVJ13" s="314" t="s">
        <v>203</v>
      </c>
      <c r="EVK13" s="314" t="s">
        <v>203</v>
      </c>
      <c r="EVL13" s="314" t="s">
        <v>203</v>
      </c>
      <c r="EVM13" s="314" t="s">
        <v>203</v>
      </c>
      <c r="EVN13" s="314" t="s">
        <v>203</v>
      </c>
      <c r="EVO13" s="314" t="s">
        <v>203</v>
      </c>
      <c r="EVP13" s="314" t="s">
        <v>203</v>
      </c>
      <c r="EVQ13" s="314" t="s">
        <v>203</v>
      </c>
      <c r="EVR13" s="314" t="s">
        <v>203</v>
      </c>
      <c r="EVS13" s="314" t="s">
        <v>203</v>
      </c>
      <c r="EVT13" s="314" t="s">
        <v>203</v>
      </c>
      <c r="EVU13" s="314" t="s">
        <v>203</v>
      </c>
      <c r="EVV13" s="314" t="s">
        <v>203</v>
      </c>
      <c r="EVW13" s="314" t="s">
        <v>203</v>
      </c>
      <c r="EVX13" s="314" t="s">
        <v>203</v>
      </c>
      <c r="EVY13" s="314" t="s">
        <v>203</v>
      </c>
      <c r="EVZ13" s="314" t="s">
        <v>203</v>
      </c>
      <c r="EWA13" s="314" t="s">
        <v>203</v>
      </c>
      <c r="EWB13" s="314" t="s">
        <v>203</v>
      </c>
      <c r="EWC13" s="314" t="s">
        <v>203</v>
      </c>
      <c r="EWD13" s="314" t="s">
        <v>203</v>
      </c>
      <c r="EWE13" s="314" t="s">
        <v>203</v>
      </c>
      <c r="EWF13" s="314" t="s">
        <v>203</v>
      </c>
      <c r="EWG13" s="314" t="s">
        <v>203</v>
      </c>
      <c r="EWH13" s="314" t="s">
        <v>203</v>
      </c>
      <c r="EWI13" s="314" t="s">
        <v>203</v>
      </c>
      <c r="EWJ13" s="314" t="s">
        <v>203</v>
      </c>
      <c r="EWK13" s="314" t="s">
        <v>203</v>
      </c>
      <c r="EWL13" s="314" t="s">
        <v>203</v>
      </c>
      <c r="EWM13" s="314" t="s">
        <v>203</v>
      </c>
      <c r="EWN13" s="314" t="s">
        <v>203</v>
      </c>
      <c r="EWO13" s="314" t="s">
        <v>203</v>
      </c>
      <c r="EWP13" s="314" t="s">
        <v>203</v>
      </c>
      <c r="EWQ13" s="314" t="s">
        <v>203</v>
      </c>
      <c r="EWR13" s="314" t="s">
        <v>203</v>
      </c>
      <c r="EWS13" s="314" t="s">
        <v>203</v>
      </c>
      <c r="EWT13" s="314" t="s">
        <v>203</v>
      </c>
      <c r="EWU13" s="314" t="s">
        <v>203</v>
      </c>
      <c r="EWV13" s="314" t="s">
        <v>203</v>
      </c>
      <c r="EWW13" s="314" t="s">
        <v>203</v>
      </c>
      <c r="EWX13" s="314" t="s">
        <v>203</v>
      </c>
      <c r="EWY13" s="314" t="s">
        <v>203</v>
      </c>
      <c r="EWZ13" s="314" t="s">
        <v>203</v>
      </c>
      <c r="EXA13" s="314" t="s">
        <v>203</v>
      </c>
      <c r="EXB13" s="314" t="s">
        <v>203</v>
      </c>
      <c r="EXC13" s="314" t="s">
        <v>203</v>
      </c>
      <c r="EXD13" s="314" t="s">
        <v>203</v>
      </c>
      <c r="EXE13" s="314" t="s">
        <v>203</v>
      </c>
      <c r="EXF13" s="314" t="s">
        <v>203</v>
      </c>
      <c r="EXG13" s="314" t="s">
        <v>203</v>
      </c>
      <c r="EXH13" s="314" t="s">
        <v>203</v>
      </c>
      <c r="EXI13" s="314" t="s">
        <v>203</v>
      </c>
      <c r="EXJ13" s="314" t="s">
        <v>203</v>
      </c>
      <c r="EXK13" s="314" t="s">
        <v>203</v>
      </c>
      <c r="EXL13" s="314" t="s">
        <v>203</v>
      </c>
      <c r="EXM13" s="314" t="s">
        <v>203</v>
      </c>
      <c r="EXN13" s="314" t="s">
        <v>203</v>
      </c>
      <c r="EXO13" s="314" t="s">
        <v>203</v>
      </c>
      <c r="EXP13" s="314" t="s">
        <v>203</v>
      </c>
      <c r="EXQ13" s="314" t="s">
        <v>203</v>
      </c>
      <c r="EXR13" s="314" t="s">
        <v>203</v>
      </c>
      <c r="EXS13" s="314" t="s">
        <v>203</v>
      </c>
      <c r="EXT13" s="314" t="s">
        <v>203</v>
      </c>
      <c r="EXU13" s="314" t="s">
        <v>203</v>
      </c>
      <c r="EXV13" s="314" t="s">
        <v>203</v>
      </c>
      <c r="EXW13" s="314" t="s">
        <v>203</v>
      </c>
      <c r="EXX13" s="314" t="s">
        <v>203</v>
      </c>
      <c r="EXY13" s="314" t="s">
        <v>203</v>
      </c>
      <c r="EXZ13" s="314" t="s">
        <v>203</v>
      </c>
      <c r="EYA13" s="314" t="s">
        <v>203</v>
      </c>
      <c r="EYB13" s="314" t="s">
        <v>203</v>
      </c>
      <c r="EYC13" s="314" t="s">
        <v>203</v>
      </c>
      <c r="EYD13" s="314" t="s">
        <v>203</v>
      </c>
      <c r="EYE13" s="314" t="s">
        <v>203</v>
      </c>
      <c r="EYF13" s="314" t="s">
        <v>203</v>
      </c>
      <c r="EYG13" s="314" t="s">
        <v>203</v>
      </c>
      <c r="EYH13" s="314" t="s">
        <v>203</v>
      </c>
      <c r="EYI13" s="314" t="s">
        <v>203</v>
      </c>
      <c r="EYJ13" s="314" t="s">
        <v>203</v>
      </c>
      <c r="EYK13" s="314" t="s">
        <v>203</v>
      </c>
      <c r="EYL13" s="314" t="s">
        <v>203</v>
      </c>
      <c r="EYM13" s="314" t="s">
        <v>203</v>
      </c>
      <c r="EYN13" s="314" t="s">
        <v>203</v>
      </c>
      <c r="EYO13" s="314" t="s">
        <v>203</v>
      </c>
      <c r="EYP13" s="314" t="s">
        <v>203</v>
      </c>
      <c r="EYQ13" s="314" t="s">
        <v>203</v>
      </c>
      <c r="EYR13" s="314" t="s">
        <v>203</v>
      </c>
      <c r="EYS13" s="314" t="s">
        <v>203</v>
      </c>
      <c r="EYT13" s="314" t="s">
        <v>203</v>
      </c>
      <c r="EYU13" s="314" t="s">
        <v>203</v>
      </c>
      <c r="EYV13" s="314" t="s">
        <v>203</v>
      </c>
      <c r="EYW13" s="314" t="s">
        <v>203</v>
      </c>
      <c r="EYX13" s="314" t="s">
        <v>203</v>
      </c>
      <c r="EYY13" s="314" t="s">
        <v>203</v>
      </c>
      <c r="EYZ13" s="314" t="s">
        <v>203</v>
      </c>
      <c r="EZA13" s="314" t="s">
        <v>203</v>
      </c>
      <c r="EZB13" s="314" t="s">
        <v>203</v>
      </c>
      <c r="EZC13" s="314" t="s">
        <v>203</v>
      </c>
      <c r="EZD13" s="314" t="s">
        <v>203</v>
      </c>
      <c r="EZE13" s="314" t="s">
        <v>203</v>
      </c>
      <c r="EZF13" s="314" t="s">
        <v>203</v>
      </c>
      <c r="EZG13" s="314" t="s">
        <v>203</v>
      </c>
      <c r="EZH13" s="314" t="s">
        <v>203</v>
      </c>
      <c r="EZI13" s="314" t="s">
        <v>203</v>
      </c>
      <c r="EZJ13" s="314" t="s">
        <v>203</v>
      </c>
      <c r="EZK13" s="314" t="s">
        <v>203</v>
      </c>
      <c r="EZL13" s="314" t="s">
        <v>203</v>
      </c>
      <c r="EZM13" s="314" t="s">
        <v>203</v>
      </c>
      <c r="EZN13" s="314" t="s">
        <v>203</v>
      </c>
      <c r="EZO13" s="314" t="s">
        <v>203</v>
      </c>
      <c r="EZP13" s="314" t="s">
        <v>203</v>
      </c>
      <c r="EZQ13" s="314" t="s">
        <v>203</v>
      </c>
      <c r="EZR13" s="314" t="s">
        <v>203</v>
      </c>
      <c r="EZS13" s="314" t="s">
        <v>203</v>
      </c>
      <c r="EZT13" s="314" t="s">
        <v>203</v>
      </c>
      <c r="EZU13" s="314" t="s">
        <v>203</v>
      </c>
      <c r="EZV13" s="314" t="s">
        <v>203</v>
      </c>
      <c r="EZW13" s="314" t="s">
        <v>203</v>
      </c>
      <c r="EZX13" s="314" t="s">
        <v>203</v>
      </c>
      <c r="EZY13" s="314" t="s">
        <v>203</v>
      </c>
      <c r="EZZ13" s="314" t="s">
        <v>203</v>
      </c>
      <c r="FAA13" s="314" t="s">
        <v>203</v>
      </c>
      <c r="FAB13" s="314" t="s">
        <v>203</v>
      </c>
      <c r="FAC13" s="314" t="s">
        <v>203</v>
      </c>
      <c r="FAD13" s="314" t="s">
        <v>203</v>
      </c>
      <c r="FAE13" s="314" t="s">
        <v>203</v>
      </c>
      <c r="FAF13" s="314" t="s">
        <v>203</v>
      </c>
      <c r="FAG13" s="314" t="s">
        <v>203</v>
      </c>
      <c r="FAH13" s="314" t="s">
        <v>203</v>
      </c>
      <c r="FAI13" s="314" t="s">
        <v>203</v>
      </c>
      <c r="FAJ13" s="314" t="s">
        <v>203</v>
      </c>
      <c r="FAK13" s="314" t="s">
        <v>203</v>
      </c>
      <c r="FAL13" s="314" t="s">
        <v>203</v>
      </c>
      <c r="FAM13" s="314" t="s">
        <v>203</v>
      </c>
      <c r="FAN13" s="314" t="s">
        <v>203</v>
      </c>
      <c r="FAO13" s="314" t="s">
        <v>203</v>
      </c>
      <c r="FAP13" s="314" t="s">
        <v>203</v>
      </c>
      <c r="FAQ13" s="314" t="s">
        <v>203</v>
      </c>
      <c r="FAR13" s="314" t="s">
        <v>203</v>
      </c>
      <c r="FAS13" s="314" t="s">
        <v>203</v>
      </c>
      <c r="FAT13" s="314" t="s">
        <v>203</v>
      </c>
      <c r="FAU13" s="314" t="s">
        <v>203</v>
      </c>
      <c r="FAV13" s="314" t="s">
        <v>203</v>
      </c>
      <c r="FAW13" s="314" t="s">
        <v>203</v>
      </c>
      <c r="FAX13" s="314" t="s">
        <v>203</v>
      </c>
      <c r="FAY13" s="314" t="s">
        <v>203</v>
      </c>
      <c r="FAZ13" s="314" t="s">
        <v>203</v>
      </c>
      <c r="FBA13" s="314" t="s">
        <v>203</v>
      </c>
      <c r="FBB13" s="314" t="s">
        <v>203</v>
      </c>
      <c r="FBC13" s="314" t="s">
        <v>203</v>
      </c>
      <c r="FBD13" s="314" t="s">
        <v>203</v>
      </c>
      <c r="FBE13" s="314" t="s">
        <v>203</v>
      </c>
      <c r="FBF13" s="314" t="s">
        <v>203</v>
      </c>
      <c r="FBG13" s="314" t="s">
        <v>203</v>
      </c>
      <c r="FBH13" s="314" t="s">
        <v>203</v>
      </c>
      <c r="FBI13" s="314" t="s">
        <v>203</v>
      </c>
      <c r="FBJ13" s="314" t="s">
        <v>203</v>
      </c>
      <c r="FBK13" s="314" t="s">
        <v>203</v>
      </c>
      <c r="FBL13" s="314" t="s">
        <v>203</v>
      </c>
      <c r="FBM13" s="314" t="s">
        <v>203</v>
      </c>
      <c r="FBN13" s="314" t="s">
        <v>203</v>
      </c>
      <c r="FBO13" s="314" t="s">
        <v>203</v>
      </c>
      <c r="FBP13" s="314" t="s">
        <v>203</v>
      </c>
      <c r="FBQ13" s="314" t="s">
        <v>203</v>
      </c>
      <c r="FBR13" s="314" t="s">
        <v>203</v>
      </c>
      <c r="FBS13" s="314" t="s">
        <v>203</v>
      </c>
      <c r="FBT13" s="314" t="s">
        <v>203</v>
      </c>
      <c r="FBU13" s="314" t="s">
        <v>203</v>
      </c>
      <c r="FBV13" s="314" t="s">
        <v>203</v>
      </c>
      <c r="FBW13" s="314" t="s">
        <v>203</v>
      </c>
      <c r="FBX13" s="314" t="s">
        <v>203</v>
      </c>
      <c r="FBY13" s="314" t="s">
        <v>203</v>
      </c>
      <c r="FBZ13" s="314" t="s">
        <v>203</v>
      </c>
      <c r="FCA13" s="314" t="s">
        <v>203</v>
      </c>
      <c r="FCB13" s="314" t="s">
        <v>203</v>
      </c>
      <c r="FCC13" s="314" t="s">
        <v>203</v>
      </c>
      <c r="FCD13" s="314" t="s">
        <v>203</v>
      </c>
      <c r="FCE13" s="314" t="s">
        <v>203</v>
      </c>
      <c r="FCF13" s="314" t="s">
        <v>203</v>
      </c>
      <c r="FCG13" s="314" t="s">
        <v>203</v>
      </c>
      <c r="FCH13" s="314" t="s">
        <v>203</v>
      </c>
      <c r="FCI13" s="314" t="s">
        <v>203</v>
      </c>
      <c r="FCJ13" s="314" t="s">
        <v>203</v>
      </c>
      <c r="FCK13" s="314" t="s">
        <v>203</v>
      </c>
      <c r="FCL13" s="314" t="s">
        <v>203</v>
      </c>
      <c r="FCM13" s="314" t="s">
        <v>203</v>
      </c>
      <c r="FCN13" s="314" t="s">
        <v>203</v>
      </c>
      <c r="FCO13" s="314" t="s">
        <v>203</v>
      </c>
      <c r="FCP13" s="314" t="s">
        <v>203</v>
      </c>
      <c r="FCQ13" s="314" t="s">
        <v>203</v>
      </c>
      <c r="FCR13" s="314" t="s">
        <v>203</v>
      </c>
      <c r="FCS13" s="314" t="s">
        <v>203</v>
      </c>
      <c r="FCT13" s="314" t="s">
        <v>203</v>
      </c>
      <c r="FCU13" s="314" t="s">
        <v>203</v>
      </c>
      <c r="FCV13" s="314" t="s">
        <v>203</v>
      </c>
      <c r="FCW13" s="314" t="s">
        <v>203</v>
      </c>
      <c r="FCX13" s="314" t="s">
        <v>203</v>
      </c>
      <c r="FCY13" s="314" t="s">
        <v>203</v>
      </c>
      <c r="FCZ13" s="314" t="s">
        <v>203</v>
      </c>
      <c r="FDA13" s="314" t="s">
        <v>203</v>
      </c>
      <c r="FDB13" s="314" t="s">
        <v>203</v>
      </c>
      <c r="FDC13" s="314" t="s">
        <v>203</v>
      </c>
      <c r="FDD13" s="314" t="s">
        <v>203</v>
      </c>
      <c r="FDE13" s="314" t="s">
        <v>203</v>
      </c>
      <c r="FDF13" s="314" t="s">
        <v>203</v>
      </c>
      <c r="FDG13" s="314" t="s">
        <v>203</v>
      </c>
      <c r="FDH13" s="314" t="s">
        <v>203</v>
      </c>
      <c r="FDI13" s="314" t="s">
        <v>203</v>
      </c>
      <c r="FDJ13" s="314" t="s">
        <v>203</v>
      </c>
      <c r="FDK13" s="314" t="s">
        <v>203</v>
      </c>
      <c r="FDL13" s="314" t="s">
        <v>203</v>
      </c>
      <c r="FDM13" s="314" t="s">
        <v>203</v>
      </c>
      <c r="FDN13" s="314" t="s">
        <v>203</v>
      </c>
      <c r="FDO13" s="314" t="s">
        <v>203</v>
      </c>
      <c r="FDP13" s="314" t="s">
        <v>203</v>
      </c>
      <c r="FDQ13" s="314" t="s">
        <v>203</v>
      </c>
      <c r="FDR13" s="314" t="s">
        <v>203</v>
      </c>
      <c r="FDS13" s="314" t="s">
        <v>203</v>
      </c>
      <c r="FDT13" s="314" t="s">
        <v>203</v>
      </c>
      <c r="FDU13" s="314" t="s">
        <v>203</v>
      </c>
      <c r="FDV13" s="314" t="s">
        <v>203</v>
      </c>
      <c r="FDW13" s="314" t="s">
        <v>203</v>
      </c>
      <c r="FDX13" s="314" t="s">
        <v>203</v>
      </c>
      <c r="FDY13" s="314" t="s">
        <v>203</v>
      </c>
      <c r="FDZ13" s="314" t="s">
        <v>203</v>
      </c>
      <c r="FEA13" s="314" t="s">
        <v>203</v>
      </c>
      <c r="FEB13" s="314" t="s">
        <v>203</v>
      </c>
      <c r="FEC13" s="314" t="s">
        <v>203</v>
      </c>
      <c r="FED13" s="314" t="s">
        <v>203</v>
      </c>
      <c r="FEE13" s="314" t="s">
        <v>203</v>
      </c>
      <c r="FEF13" s="314" t="s">
        <v>203</v>
      </c>
      <c r="FEG13" s="314" t="s">
        <v>203</v>
      </c>
      <c r="FEH13" s="314" t="s">
        <v>203</v>
      </c>
      <c r="FEI13" s="314" t="s">
        <v>203</v>
      </c>
      <c r="FEJ13" s="314" t="s">
        <v>203</v>
      </c>
      <c r="FEK13" s="314" t="s">
        <v>203</v>
      </c>
      <c r="FEL13" s="314" t="s">
        <v>203</v>
      </c>
      <c r="FEM13" s="314" t="s">
        <v>203</v>
      </c>
      <c r="FEN13" s="314" t="s">
        <v>203</v>
      </c>
      <c r="FEO13" s="314" t="s">
        <v>203</v>
      </c>
      <c r="FEP13" s="314" t="s">
        <v>203</v>
      </c>
      <c r="FEQ13" s="314" t="s">
        <v>203</v>
      </c>
      <c r="FER13" s="314" t="s">
        <v>203</v>
      </c>
      <c r="FES13" s="314" t="s">
        <v>203</v>
      </c>
      <c r="FET13" s="314" t="s">
        <v>203</v>
      </c>
      <c r="FEU13" s="314" t="s">
        <v>203</v>
      </c>
      <c r="FEV13" s="314" t="s">
        <v>203</v>
      </c>
      <c r="FEW13" s="314" t="s">
        <v>203</v>
      </c>
      <c r="FEX13" s="314" t="s">
        <v>203</v>
      </c>
      <c r="FEY13" s="314" t="s">
        <v>203</v>
      </c>
      <c r="FEZ13" s="314" t="s">
        <v>203</v>
      </c>
      <c r="FFA13" s="314" t="s">
        <v>203</v>
      </c>
      <c r="FFB13" s="314" t="s">
        <v>203</v>
      </c>
      <c r="FFC13" s="314" t="s">
        <v>203</v>
      </c>
      <c r="FFD13" s="314" t="s">
        <v>203</v>
      </c>
      <c r="FFE13" s="314" t="s">
        <v>203</v>
      </c>
      <c r="FFF13" s="314" t="s">
        <v>203</v>
      </c>
      <c r="FFG13" s="314" t="s">
        <v>203</v>
      </c>
      <c r="FFH13" s="314" t="s">
        <v>203</v>
      </c>
      <c r="FFI13" s="314" t="s">
        <v>203</v>
      </c>
      <c r="FFJ13" s="314" t="s">
        <v>203</v>
      </c>
      <c r="FFK13" s="314" t="s">
        <v>203</v>
      </c>
      <c r="FFL13" s="314" t="s">
        <v>203</v>
      </c>
      <c r="FFM13" s="314" t="s">
        <v>203</v>
      </c>
      <c r="FFN13" s="314" t="s">
        <v>203</v>
      </c>
      <c r="FFO13" s="314" t="s">
        <v>203</v>
      </c>
      <c r="FFP13" s="314" t="s">
        <v>203</v>
      </c>
      <c r="FFQ13" s="314" t="s">
        <v>203</v>
      </c>
      <c r="FFR13" s="314" t="s">
        <v>203</v>
      </c>
      <c r="FFS13" s="314" t="s">
        <v>203</v>
      </c>
      <c r="FFT13" s="314" t="s">
        <v>203</v>
      </c>
      <c r="FFU13" s="314" t="s">
        <v>203</v>
      </c>
      <c r="FFV13" s="314" t="s">
        <v>203</v>
      </c>
      <c r="FFW13" s="314" t="s">
        <v>203</v>
      </c>
      <c r="FFX13" s="314" t="s">
        <v>203</v>
      </c>
      <c r="FFY13" s="314" t="s">
        <v>203</v>
      </c>
      <c r="FFZ13" s="314" t="s">
        <v>203</v>
      </c>
      <c r="FGA13" s="314" t="s">
        <v>203</v>
      </c>
      <c r="FGB13" s="314" t="s">
        <v>203</v>
      </c>
      <c r="FGC13" s="314" t="s">
        <v>203</v>
      </c>
      <c r="FGD13" s="314" t="s">
        <v>203</v>
      </c>
      <c r="FGE13" s="314" t="s">
        <v>203</v>
      </c>
      <c r="FGF13" s="314" t="s">
        <v>203</v>
      </c>
      <c r="FGG13" s="314" t="s">
        <v>203</v>
      </c>
      <c r="FGH13" s="314" t="s">
        <v>203</v>
      </c>
      <c r="FGI13" s="314" t="s">
        <v>203</v>
      </c>
      <c r="FGJ13" s="314" t="s">
        <v>203</v>
      </c>
      <c r="FGK13" s="314" t="s">
        <v>203</v>
      </c>
      <c r="FGL13" s="314" t="s">
        <v>203</v>
      </c>
      <c r="FGM13" s="314" t="s">
        <v>203</v>
      </c>
      <c r="FGN13" s="314" t="s">
        <v>203</v>
      </c>
      <c r="FGO13" s="314" t="s">
        <v>203</v>
      </c>
      <c r="FGP13" s="314" t="s">
        <v>203</v>
      </c>
      <c r="FGQ13" s="314" t="s">
        <v>203</v>
      </c>
      <c r="FGR13" s="314" t="s">
        <v>203</v>
      </c>
      <c r="FGS13" s="314" t="s">
        <v>203</v>
      </c>
      <c r="FGT13" s="314" t="s">
        <v>203</v>
      </c>
      <c r="FGU13" s="314" t="s">
        <v>203</v>
      </c>
      <c r="FGV13" s="314" t="s">
        <v>203</v>
      </c>
      <c r="FGW13" s="314" t="s">
        <v>203</v>
      </c>
      <c r="FGX13" s="314" t="s">
        <v>203</v>
      </c>
      <c r="FGY13" s="314" t="s">
        <v>203</v>
      </c>
      <c r="FGZ13" s="314" t="s">
        <v>203</v>
      </c>
      <c r="FHA13" s="314" t="s">
        <v>203</v>
      </c>
      <c r="FHB13" s="314" t="s">
        <v>203</v>
      </c>
      <c r="FHC13" s="314" t="s">
        <v>203</v>
      </c>
      <c r="FHD13" s="314" t="s">
        <v>203</v>
      </c>
      <c r="FHE13" s="314" t="s">
        <v>203</v>
      </c>
      <c r="FHF13" s="314" t="s">
        <v>203</v>
      </c>
      <c r="FHG13" s="314" t="s">
        <v>203</v>
      </c>
      <c r="FHH13" s="314" t="s">
        <v>203</v>
      </c>
      <c r="FHI13" s="314" t="s">
        <v>203</v>
      </c>
      <c r="FHJ13" s="314" t="s">
        <v>203</v>
      </c>
      <c r="FHK13" s="314" t="s">
        <v>203</v>
      </c>
      <c r="FHL13" s="314" t="s">
        <v>203</v>
      </c>
      <c r="FHM13" s="314" t="s">
        <v>203</v>
      </c>
      <c r="FHN13" s="314" t="s">
        <v>203</v>
      </c>
      <c r="FHO13" s="314" t="s">
        <v>203</v>
      </c>
      <c r="FHP13" s="314" t="s">
        <v>203</v>
      </c>
      <c r="FHQ13" s="314" t="s">
        <v>203</v>
      </c>
      <c r="FHR13" s="314" t="s">
        <v>203</v>
      </c>
      <c r="FHS13" s="314" t="s">
        <v>203</v>
      </c>
      <c r="FHT13" s="314" t="s">
        <v>203</v>
      </c>
      <c r="FHU13" s="314" t="s">
        <v>203</v>
      </c>
      <c r="FHV13" s="314" t="s">
        <v>203</v>
      </c>
      <c r="FHW13" s="314" t="s">
        <v>203</v>
      </c>
      <c r="FHX13" s="314" t="s">
        <v>203</v>
      </c>
      <c r="FHY13" s="314" t="s">
        <v>203</v>
      </c>
      <c r="FHZ13" s="314" t="s">
        <v>203</v>
      </c>
      <c r="FIA13" s="314" t="s">
        <v>203</v>
      </c>
      <c r="FIB13" s="314" t="s">
        <v>203</v>
      </c>
      <c r="FIC13" s="314" t="s">
        <v>203</v>
      </c>
      <c r="FID13" s="314" t="s">
        <v>203</v>
      </c>
      <c r="FIE13" s="314" t="s">
        <v>203</v>
      </c>
      <c r="FIF13" s="314" t="s">
        <v>203</v>
      </c>
      <c r="FIG13" s="314" t="s">
        <v>203</v>
      </c>
      <c r="FIH13" s="314" t="s">
        <v>203</v>
      </c>
      <c r="FII13" s="314" t="s">
        <v>203</v>
      </c>
      <c r="FIJ13" s="314" t="s">
        <v>203</v>
      </c>
      <c r="FIK13" s="314" t="s">
        <v>203</v>
      </c>
      <c r="FIL13" s="314" t="s">
        <v>203</v>
      </c>
      <c r="FIM13" s="314" t="s">
        <v>203</v>
      </c>
      <c r="FIN13" s="314" t="s">
        <v>203</v>
      </c>
      <c r="FIO13" s="314" t="s">
        <v>203</v>
      </c>
      <c r="FIP13" s="314" t="s">
        <v>203</v>
      </c>
      <c r="FIQ13" s="314" t="s">
        <v>203</v>
      </c>
      <c r="FIR13" s="314" t="s">
        <v>203</v>
      </c>
      <c r="FIS13" s="314" t="s">
        <v>203</v>
      </c>
      <c r="FIT13" s="314" t="s">
        <v>203</v>
      </c>
      <c r="FIU13" s="314" t="s">
        <v>203</v>
      </c>
      <c r="FIV13" s="314" t="s">
        <v>203</v>
      </c>
      <c r="FIW13" s="314" t="s">
        <v>203</v>
      </c>
      <c r="FIX13" s="314" t="s">
        <v>203</v>
      </c>
      <c r="FIY13" s="314" t="s">
        <v>203</v>
      </c>
      <c r="FIZ13" s="314" t="s">
        <v>203</v>
      </c>
      <c r="FJA13" s="314" t="s">
        <v>203</v>
      </c>
      <c r="FJB13" s="314" t="s">
        <v>203</v>
      </c>
      <c r="FJC13" s="314" t="s">
        <v>203</v>
      </c>
      <c r="FJD13" s="314" t="s">
        <v>203</v>
      </c>
      <c r="FJE13" s="314" t="s">
        <v>203</v>
      </c>
      <c r="FJF13" s="314" t="s">
        <v>203</v>
      </c>
      <c r="FJG13" s="314" t="s">
        <v>203</v>
      </c>
      <c r="FJH13" s="314" t="s">
        <v>203</v>
      </c>
      <c r="FJI13" s="314" t="s">
        <v>203</v>
      </c>
      <c r="FJJ13" s="314" t="s">
        <v>203</v>
      </c>
      <c r="FJK13" s="314" t="s">
        <v>203</v>
      </c>
      <c r="FJL13" s="314" t="s">
        <v>203</v>
      </c>
      <c r="FJM13" s="314" t="s">
        <v>203</v>
      </c>
      <c r="FJN13" s="314" t="s">
        <v>203</v>
      </c>
      <c r="FJO13" s="314" t="s">
        <v>203</v>
      </c>
      <c r="FJP13" s="314" t="s">
        <v>203</v>
      </c>
      <c r="FJQ13" s="314" t="s">
        <v>203</v>
      </c>
      <c r="FJR13" s="314" t="s">
        <v>203</v>
      </c>
      <c r="FJS13" s="314" t="s">
        <v>203</v>
      </c>
      <c r="FJT13" s="314" t="s">
        <v>203</v>
      </c>
      <c r="FJU13" s="314" t="s">
        <v>203</v>
      </c>
      <c r="FJV13" s="314" t="s">
        <v>203</v>
      </c>
      <c r="FJW13" s="314" t="s">
        <v>203</v>
      </c>
      <c r="FJX13" s="314" t="s">
        <v>203</v>
      </c>
      <c r="FJY13" s="314" t="s">
        <v>203</v>
      </c>
      <c r="FJZ13" s="314" t="s">
        <v>203</v>
      </c>
      <c r="FKA13" s="314" t="s">
        <v>203</v>
      </c>
      <c r="FKB13" s="314" t="s">
        <v>203</v>
      </c>
      <c r="FKC13" s="314" t="s">
        <v>203</v>
      </c>
      <c r="FKD13" s="314" t="s">
        <v>203</v>
      </c>
      <c r="FKE13" s="314" t="s">
        <v>203</v>
      </c>
      <c r="FKF13" s="314" t="s">
        <v>203</v>
      </c>
      <c r="FKG13" s="314" t="s">
        <v>203</v>
      </c>
      <c r="FKH13" s="314" t="s">
        <v>203</v>
      </c>
      <c r="FKI13" s="314" t="s">
        <v>203</v>
      </c>
      <c r="FKJ13" s="314" t="s">
        <v>203</v>
      </c>
      <c r="FKK13" s="314" t="s">
        <v>203</v>
      </c>
      <c r="FKL13" s="314" t="s">
        <v>203</v>
      </c>
      <c r="FKM13" s="314" t="s">
        <v>203</v>
      </c>
      <c r="FKN13" s="314" t="s">
        <v>203</v>
      </c>
      <c r="FKO13" s="314" t="s">
        <v>203</v>
      </c>
      <c r="FKP13" s="314" t="s">
        <v>203</v>
      </c>
      <c r="FKQ13" s="314" t="s">
        <v>203</v>
      </c>
      <c r="FKR13" s="314" t="s">
        <v>203</v>
      </c>
      <c r="FKS13" s="314" t="s">
        <v>203</v>
      </c>
      <c r="FKT13" s="314" t="s">
        <v>203</v>
      </c>
      <c r="FKU13" s="314" t="s">
        <v>203</v>
      </c>
      <c r="FKV13" s="314" t="s">
        <v>203</v>
      </c>
      <c r="FKW13" s="314" t="s">
        <v>203</v>
      </c>
      <c r="FKX13" s="314" t="s">
        <v>203</v>
      </c>
      <c r="FKY13" s="314" t="s">
        <v>203</v>
      </c>
      <c r="FKZ13" s="314" t="s">
        <v>203</v>
      </c>
      <c r="FLA13" s="314" t="s">
        <v>203</v>
      </c>
      <c r="FLB13" s="314" t="s">
        <v>203</v>
      </c>
      <c r="FLC13" s="314" t="s">
        <v>203</v>
      </c>
      <c r="FLD13" s="314" t="s">
        <v>203</v>
      </c>
      <c r="FLE13" s="314" t="s">
        <v>203</v>
      </c>
      <c r="FLF13" s="314" t="s">
        <v>203</v>
      </c>
      <c r="FLG13" s="314" t="s">
        <v>203</v>
      </c>
      <c r="FLH13" s="314" t="s">
        <v>203</v>
      </c>
      <c r="FLI13" s="314" t="s">
        <v>203</v>
      </c>
      <c r="FLJ13" s="314" t="s">
        <v>203</v>
      </c>
      <c r="FLK13" s="314" t="s">
        <v>203</v>
      </c>
      <c r="FLL13" s="314" t="s">
        <v>203</v>
      </c>
      <c r="FLM13" s="314" t="s">
        <v>203</v>
      </c>
      <c r="FLN13" s="314" t="s">
        <v>203</v>
      </c>
      <c r="FLO13" s="314" t="s">
        <v>203</v>
      </c>
      <c r="FLP13" s="314" t="s">
        <v>203</v>
      </c>
      <c r="FLQ13" s="314" t="s">
        <v>203</v>
      </c>
      <c r="FLR13" s="314" t="s">
        <v>203</v>
      </c>
      <c r="FLS13" s="314" t="s">
        <v>203</v>
      </c>
      <c r="FLT13" s="314" t="s">
        <v>203</v>
      </c>
      <c r="FLU13" s="314" t="s">
        <v>203</v>
      </c>
      <c r="FLV13" s="314" t="s">
        <v>203</v>
      </c>
      <c r="FLW13" s="314" t="s">
        <v>203</v>
      </c>
      <c r="FLX13" s="314" t="s">
        <v>203</v>
      </c>
      <c r="FLY13" s="314" t="s">
        <v>203</v>
      </c>
      <c r="FLZ13" s="314" t="s">
        <v>203</v>
      </c>
      <c r="FMA13" s="314" t="s">
        <v>203</v>
      </c>
      <c r="FMB13" s="314" t="s">
        <v>203</v>
      </c>
      <c r="FMC13" s="314" t="s">
        <v>203</v>
      </c>
      <c r="FMD13" s="314" t="s">
        <v>203</v>
      </c>
      <c r="FME13" s="314" t="s">
        <v>203</v>
      </c>
      <c r="FMF13" s="314" t="s">
        <v>203</v>
      </c>
      <c r="FMG13" s="314" t="s">
        <v>203</v>
      </c>
      <c r="FMH13" s="314" t="s">
        <v>203</v>
      </c>
      <c r="FMI13" s="314" t="s">
        <v>203</v>
      </c>
      <c r="FMJ13" s="314" t="s">
        <v>203</v>
      </c>
      <c r="FMK13" s="314" t="s">
        <v>203</v>
      </c>
      <c r="FML13" s="314" t="s">
        <v>203</v>
      </c>
      <c r="FMM13" s="314" t="s">
        <v>203</v>
      </c>
      <c r="FMN13" s="314" t="s">
        <v>203</v>
      </c>
      <c r="FMO13" s="314" t="s">
        <v>203</v>
      </c>
      <c r="FMP13" s="314" t="s">
        <v>203</v>
      </c>
      <c r="FMQ13" s="314" t="s">
        <v>203</v>
      </c>
      <c r="FMR13" s="314" t="s">
        <v>203</v>
      </c>
      <c r="FMS13" s="314" t="s">
        <v>203</v>
      </c>
      <c r="FMT13" s="314" t="s">
        <v>203</v>
      </c>
      <c r="FMU13" s="314" t="s">
        <v>203</v>
      </c>
      <c r="FMV13" s="314" t="s">
        <v>203</v>
      </c>
      <c r="FMW13" s="314" t="s">
        <v>203</v>
      </c>
      <c r="FMX13" s="314" t="s">
        <v>203</v>
      </c>
      <c r="FMY13" s="314" t="s">
        <v>203</v>
      </c>
      <c r="FMZ13" s="314" t="s">
        <v>203</v>
      </c>
      <c r="FNA13" s="314" t="s">
        <v>203</v>
      </c>
      <c r="FNB13" s="314" t="s">
        <v>203</v>
      </c>
      <c r="FNC13" s="314" t="s">
        <v>203</v>
      </c>
      <c r="FND13" s="314" t="s">
        <v>203</v>
      </c>
      <c r="FNE13" s="314" t="s">
        <v>203</v>
      </c>
      <c r="FNF13" s="314" t="s">
        <v>203</v>
      </c>
      <c r="FNG13" s="314" t="s">
        <v>203</v>
      </c>
      <c r="FNH13" s="314" t="s">
        <v>203</v>
      </c>
      <c r="FNI13" s="314" t="s">
        <v>203</v>
      </c>
      <c r="FNJ13" s="314" t="s">
        <v>203</v>
      </c>
      <c r="FNK13" s="314" t="s">
        <v>203</v>
      </c>
      <c r="FNL13" s="314" t="s">
        <v>203</v>
      </c>
      <c r="FNM13" s="314" t="s">
        <v>203</v>
      </c>
      <c r="FNN13" s="314" t="s">
        <v>203</v>
      </c>
      <c r="FNO13" s="314" t="s">
        <v>203</v>
      </c>
      <c r="FNP13" s="314" t="s">
        <v>203</v>
      </c>
      <c r="FNQ13" s="314" t="s">
        <v>203</v>
      </c>
      <c r="FNR13" s="314" t="s">
        <v>203</v>
      </c>
      <c r="FNS13" s="314" t="s">
        <v>203</v>
      </c>
      <c r="FNT13" s="314" t="s">
        <v>203</v>
      </c>
      <c r="FNU13" s="314" t="s">
        <v>203</v>
      </c>
      <c r="FNV13" s="314" t="s">
        <v>203</v>
      </c>
      <c r="FNW13" s="314" t="s">
        <v>203</v>
      </c>
      <c r="FNX13" s="314" t="s">
        <v>203</v>
      </c>
      <c r="FNY13" s="314" t="s">
        <v>203</v>
      </c>
      <c r="FNZ13" s="314" t="s">
        <v>203</v>
      </c>
      <c r="FOA13" s="314" t="s">
        <v>203</v>
      </c>
      <c r="FOB13" s="314" t="s">
        <v>203</v>
      </c>
      <c r="FOC13" s="314" t="s">
        <v>203</v>
      </c>
      <c r="FOD13" s="314" t="s">
        <v>203</v>
      </c>
      <c r="FOE13" s="314" t="s">
        <v>203</v>
      </c>
      <c r="FOF13" s="314" t="s">
        <v>203</v>
      </c>
      <c r="FOG13" s="314" t="s">
        <v>203</v>
      </c>
      <c r="FOH13" s="314" t="s">
        <v>203</v>
      </c>
      <c r="FOI13" s="314" t="s">
        <v>203</v>
      </c>
      <c r="FOJ13" s="314" t="s">
        <v>203</v>
      </c>
      <c r="FOK13" s="314" t="s">
        <v>203</v>
      </c>
      <c r="FOL13" s="314" t="s">
        <v>203</v>
      </c>
      <c r="FOM13" s="314" t="s">
        <v>203</v>
      </c>
      <c r="FON13" s="314" t="s">
        <v>203</v>
      </c>
      <c r="FOO13" s="314" t="s">
        <v>203</v>
      </c>
      <c r="FOP13" s="314" t="s">
        <v>203</v>
      </c>
      <c r="FOQ13" s="314" t="s">
        <v>203</v>
      </c>
      <c r="FOR13" s="314" t="s">
        <v>203</v>
      </c>
      <c r="FOS13" s="314" t="s">
        <v>203</v>
      </c>
      <c r="FOT13" s="314" t="s">
        <v>203</v>
      </c>
      <c r="FOU13" s="314" t="s">
        <v>203</v>
      </c>
      <c r="FOV13" s="314" t="s">
        <v>203</v>
      </c>
      <c r="FOW13" s="314" t="s">
        <v>203</v>
      </c>
      <c r="FOX13" s="314" t="s">
        <v>203</v>
      </c>
      <c r="FOY13" s="314" t="s">
        <v>203</v>
      </c>
      <c r="FOZ13" s="314" t="s">
        <v>203</v>
      </c>
      <c r="FPA13" s="314" t="s">
        <v>203</v>
      </c>
      <c r="FPB13" s="314" t="s">
        <v>203</v>
      </c>
      <c r="FPC13" s="314" t="s">
        <v>203</v>
      </c>
      <c r="FPD13" s="314" t="s">
        <v>203</v>
      </c>
      <c r="FPE13" s="314" t="s">
        <v>203</v>
      </c>
      <c r="FPF13" s="314" t="s">
        <v>203</v>
      </c>
      <c r="FPG13" s="314" t="s">
        <v>203</v>
      </c>
      <c r="FPH13" s="314" t="s">
        <v>203</v>
      </c>
      <c r="FPI13" s="314" t="s">
        <v>203</v>
      </c>
      <c r="FPJ13" s="314" t="s">
        <v>203</v>
      </c>
      <c r="FPK13" s="314" t="s">
        <v>203</v>
      </c>
      <c r="FPL13" s="314" t="s">
        <v>203</v>
      </c>
      <c r="FPM13" s="314" t="s">
        <v>203</v>
      </c>
      <c r="FPN13" s="314" t="s">
        <v>203</v>
      </c>
      <c r="FPO13" s="314" t="s">
        <v>203</v>
      </c>
      <c r="FPP13" s="314" t="s">
        <v>203</v>
      </c>
      <c r="FPQ13" s="314" t="s">
        <v>203</v>
      </c>
      <c r="FPR13" s="314" t="s">
        <v>203</v>
      </c>
      <c r="FPS13" s="314" t="s">
        <v>203</v>
      </c>
      <c r="FPT13" s="314" t="s">
        <v>203</v>
      </c>
      <c r="FPU13" s="314" t="s">
        <v>203</v>
      </c>
      <c r="FPV13" s="314" t="s">
        <v>203</v>
      </c>
      <c r="FPW13" s="314" t="s">
        <v>203</v>
      </c>
      <c r="FPX13" s="314" t="s">
        <v>203</v>
      </c>
      <c r="FPY13" s="314" t="s">
        <v>203</v>
      </c>
      <c r="FPZ13" s="314" t="s">
        <v>203</v>
      </c>
      <c r="FQA13" s="314" t="s">
        <v>203</v>
      </c>
      <c r="FQB13" s="314" t="s">
        <v>203</v>
      </c>
      <c r="FQC13" s="314" t="s">
        <v>203</v>
      </c>
      <c r="FQD13" s="314" t="s">
        <v>203</v>
      </c>
      <c r="FQE13" s="314" t="s">
        <v>203</v>
      </c>
      <c r="FQF13" s="314" t="s">
        <v>203</v>
      </c>
      <c r="FQG13" s="314" t="s">
        <v>203</v>
      </c>
      <c r="FQH13" s="314" t="s">
        <v>203</v>
      </c>
      <c r="FQI13" s="314" t="s">
        <v>203</v>
      </c>
      <c r="FQJ13" s="314" t="s">
        <v>203</v>
      </c>
      <c r="FQK13" s="314" t="s">
        <v>203</v>
      </c>
      <c r="FQL13" s="314" t="s">
        <v>203</v>
      </c>
      <c r="FQM13" s="314" t="s">
        <v>203</v>
      </c>
      <c r="FQN13" s="314" t="s">
        <v>203</v>
      </c>
      <c r="FQO13" s="314" t="s">
        <v>203</v>
      </c>
      <c r="FQP13" s="314" t="s">
        <v>203</v>
      </c>
      <c r="FQQ13" s="314" t="s">
        <v>203</v>
      </c>
      <c r="FQR13" s="314" t="s">
        <v>203</v>
      </c>
      <c r="FQS13" s="314" t="s">
        <v>203</v>
      </c>
      <c r="FQT13" s="314" t="s">
        <v>203</v>
      </c>
      <c r="FQU13" s="314" t="s">
        <v>203</v>
      </c>
      <c r="FQV13" s="314" t="s">
        <v>203</v>
      </c>
      <c r="FQW13" s="314" t="s">
        <v>203</v>
      </c>
      <c r="FQX13" s="314" t="s">
        <v>203</v>
      </c>
      <c r="FQY13" s="314" t="s">
        <v>203</v>
      </c>
      <c r="FQZ13" s="314" t="s">
        <v>203</v>
      </c>
      <c r="FRA13" s="314" t="s">
        <v>203</v>
      </c>
      <c r="FRB13" s="314" t="s">
        <v>203</v>
      </c>
      <c r="FRC13" s="314" t="s">
        <v>203</v>
      </c>
      <c r="FRD13" s="314" t="s">
        <v>203</v>
      </c>
      <c r="FRE13" s="314" t="s">
        <v>203</v>
      </c>
      <c r="FRF13" s="314" t="s">
        <v>203</v>
      </c>
      <c r="FRG13" s="314" t="s">
        <v>203</v>
      </c>
      <c r="FRH13" s="314" t="s">
        <v>203</v>
      </c>
      <c r="FRI13" s="314" t="s">
        <v>203</v>
      </c>
      <c r="FRJ13" s="314" t="s">
        <v>203</v>
      </c>
      <c r="FRK13" s="314" t="s">
        <v>203</v>
      </c>
      <c r="FRL13" s="314" t="s">
        <v>203</v>
      </c>
      <c r="FRM13" s="314" t="s">
        <v>203</v>
      </c>
      <c r="FRN13" s="314" t="s">
        <v>203</v>
      </c>
      <c r="FRO13" s="314" t="s">
        <v>203</v>
      </c>
      <c r="FRP13" s="314" t="s">
        <v>203</v>
      </c>
      <c r="FRQ13" s="314" t="s">
        <v>203</v>
      </c>
      <c r="FRR13" s="314" t="s">
        <v>203</v>
      </c>
      <c r="FRS13" s="314" t="s">
        <v>203</v>
      </c>
      <c r="FRT13" s="314" t="s">
        <v>203</v>
      </c>
      <c r="FRU13" s="314" t="s">
        <v>203</v>
      </c>
      <c r="FRV13" s="314" t="s">
        <v>203</v>
      </c>
      <c r="FRW13" s="314" t="s">
        <v>203</v>
      </c>
      <c r="FRX13" s="314" t="s">
        <v>203</v>
      </c>
      <c r="FRY13" s="314" t="s">
        <v>203</v>
      </c>
      <c r="FRZ13" s="314" t="s">
        <v>203</v>
      </c>
      <c r="FSA13" s="314" t="s">
        <v>203</v>
      </c>
      <c r="FSB13" s="314" t="s">
        <v>203</v>
      </c>
      <c r="FSC13" s="314" t="s">
        <v>203</v>
      </c>
      <c r="FSD13" s="314" t="s">
        <v>203</v>
      </c>
      <c r="FSE13" s="314" t="s">
        <v>203</v>
      </c>
      <c r="FSF13" s="314" t="s">
        <v>203</v>
      </c>
      <c r="FSG13" s="314" t="s">
        <v>203</v>
      </c>
      <c r="FSH13" s="314" t="s">
        <v>203</v>
      </c>
      <c r="FSI13" s="314" t="s">
        <v>203</v>
      </c>
      <c r="FSJ13" s="314" t="s">
        <v>203</v>
      </c>
      <c r="FSK13" s="314" t="s">
        <v>203</v>
      </c>
      <c r="FSL13" s="314" t="s">
        <v>203</v>
      </c>
      <c r="FSM13" s="314" t="s">
        <v>203</v>
      </c>
      <c r="FSN13" s="314" t="s">
        <v>203</v>
      </c>
      <c r="FSO13" s="314" t="s">
        <v>203</v>
      </c>
      <c r="FSP13" s="314" t="s">
        <v>203</v>
      </c>
      <c r="FSQ13" s="314" t="s">
        <v>203</v>
      </c>
      <c r="FSR13" s="314" t="s">
        <v>203</v>
      </c>
      <c r="FSS13" s="314" t="s">
        <v>203</v>
      </c>
      <c r="FST13" s="314" t="s">
        <v>203</v>
      </c>
      <c r="FSU13" s="314" t="s">
        <v>203</v>
      </c>
      <c r="FSV13" s="314" t="s">
        <v>203</v>
      </c>
      <c r="FSW13" s="314" t="s">
        <v>203</v>
      </c>
      <c r="FSX13" s="314" t="s">
        <v>203</v>
      </c>
      <c r="FSY13" s="314" t="s">
        <v>203</v>
      </c>
      <c r="FSZ13" s="314" t="s">
        <v>203</v>
      </c>
      <c r="FTA13" s="314" t="s">
        <v>203</v>
      </c>
      <c r="FTB13" s="314" t="s">
        <v>203</v>
      </c>
      <c r="FTC13" s="314" t="s">
        <v>203</v>
      </c>
      <c r="FTD13" s="314" t="s">
        <v>203</v>
      </c>
      <c r="FTE13" s="314" t="s">
        <v>203</v>
      </c>
      <c r="FTF13" s="314" t="s">
        <v>203</v>
      </c>
      <c r="FTG13" s="314" t="s">
        <v>203</v>
      </c>
      <c r="FTH13" s="314" t="s">
        <v>203</v>
      </c>
      <c r="FTI13" s="314" t="s">
        <v>203</v>
      </c>
      <c r="FTJ13" s="314" t="s">
        <v>203</v>
      </c>
      <c r="FTK13" s="314" t="s">
        <v>203</v>
      </c>
      <c r="FTL13" s="314" t="s">
        <v>203</v>
      </c>
      <c r="FTM13" s="314" t="s">
        <v>203</v>
      </c>
      <c r="FTN13" s="314" t="s">
        <v>203</v>
      </c>
      <c r="FTO13" s="314" t="s">
        <v>203</v>
      </c>
      <c r="FTP13" s="314" t="s">
        <v>203</v>
      </c>
      <c r="FTQ13" s="314" t="s">
        <v>203</v>
      </c>
      <c r="FTR13" s="314" t="s">
        <v>203</v>
      </c>
      <c r="FTS13" s="314" t="s">
        <v>203</v>
      </c>
      <c r="FTT13" s="314" t="s">
        <v>203</v>
      </c>
      <c r="FTU13" s="314" t="s">
        <v>203</v>
      </c>
      <c r="FTV13" s="314" t="s">
        <v>203</v>
      </c>
      <c r="FTW13" s="314" t="s">
        <v>203</v>
      </c>
      <c r="FTX13" s="314" t="s">
        <v>203</v>
      </c>
      <c r="FTY13" s="314" t="s">
        <v>203</v>
      </c>
      <c r="FTZ13" s="314" t="s">
        <v>203</v>
      </c>
      <c r="FUA13" s="314" t="s">
        <v>203</v>
      </c>
      <c r="FUB13" s="314" t="s">
        <v>203</v>
      </c>
      <c r="FUC13" s="314" t="s">
        <v>203</v>
      </c>
      <c r="FUD13" s="314" t="s">
        <v>203</v>
      </c>
      <c r="FUE13" s="314" t="s">
        <v>203</v>
      </c>
      <c r="FUF13" s="314" t="s">
        <v>203</v>
      </c>
      <c r="FUG13" s="314" t="s">
        <v>203</v>
      </c>
      <c r="FUH13" s="314" t="s">
        <v>203</v>
      </c>
      <c r="FUI13" s="314" t="s">
        <v>203</v>
      </c>
      <c r="FUJ13" s="314" t="s">
        <v>203</v>
      </c>
      <c r="FUK13" s="314" t="s">
        <v>203</v>
      </c>
      <c r="FUL13" s="314" t="s">
        <v>203</v>
      </c>
      <c r="FUM13" s="314" t="s">
        <v>203</v>
      </c>
      <c r="FUN13" s="314" t="s">
        <v>203</v>
      </c>
      <c r="FUO13" s="314" t="s">
        <v>203</v>
      </c>
      <c r="FUP13" s="314" t="s">
        <v>203</v>
      </c>
      <c r="FUQ13" s="314" t="s">
        <v>203</v>
      </c>
      <c r="FUR13" s="314" t="s">
        <v>203</v>
      </c>
      <c r="FUS13" s="314" t="s">
        <v>203</v>
      </c>
      <c r="FUT13" s="314" t="s">
        <v>203</v>
      </c>
      <c r="FUU13" s="314" t="s">
        <v>203</v>
      </c>
      <c r="FUV13" s="314" t="s">
        <v>203</v>
      </c>
      <c r="FUW13" s="314" t="s">
        <v>203</v>
      </c>
      <c r="FUX13" s="314" t="s">
        <v>203</v>
      </c>
      <c r="FUY13" s="314" t="s">
        <v>203</v>
      </c>
      <c r="FUZ13" s="314" t="s">
        <v>203</v>
      </c>
      <c r="FVA13" s="314" t="s">
        <v>203</v>
      </c>
      <c r="FVB13" s="314" t="s">
        <v>203</v>
      </c>
      <c r="FVC13" s="314" t="s">
        <v>203</v>
      </c>
      <c r="FVD13" s="314" t="s">
        <v>203</v>
      </c>
      <c r="FVE13" s="314" t="s">
        <v>203</v>
      </c>
      <c r="FVF13" s="314" t="s">
        <v>203</v>
      </c>
      <c r="FVG13" s="314" t="s">
        <v>203</v>
      </c>
      <c r="FVH13" s="314" t="s">
        <v>203</v>
      </c>
      <c r="FVI13" s="314" t="s">
        <v>203</v>
      </c>
      <c r="FVJ13" s="314" t="s">
        <v>203</v>
      </c>
      <c r="FVK13" s="314" t="s">
        <v>203</v>
      </c>
      <c r="FVL13" s="314" t="s">
        <v>203</v>
      </c>
      <c r="FVM13" s="314" t="s">
        <v>203</v>
      </c>
      <c r="FVN13" s="314" t="s">
        <v>203</v>
      </c>
      <c r="FVO13" s="314" t="s">
        <v>203</v>
      </c>
      <c r="FVP13" s="314" t="s">
        <v>203</v>
      </c>
      <c r="FVQ13" s="314" t="s">
        <v>203</v>
      </c>
      <c r="FVR13" s="314" t="s">
        <v>203</v>
      </c>
      <c r="FVS13" s="314" t="s">
        <v>203</v>
      </c>
      <c r="FVT13" s="314" t="s">
        <v>203</v>
      </c>
      <c r="FVU13" s="314" t="s">
        <v>203</v>
      </c>
      <c r="FVV13" s="314" t="s">
        <v>203</v>
      </c>
      <c r="FVW13" s="314" t="s">
        <v>203</v>
      </c>
      <c r="FVX13" s="314" t="s">
        <v>203</v>
      </c>
      <c r="FVY13" s="314" t="s">
        <v>203</v>
      </c>
      <c r="FVZ13" s="314" t="s">
        <v>203</v>
      </c>
      <c r="FWA13" s="314" t="s">
        <v>203</v>
      </c>
      <c r="FWB13" s="314" t="s">
        <v>203</v>
      </c>
      <c r="FWC13" s="314" t="s">
        <v>203</v>
      </c>
      <c r="FWD13" s="314" t="s">
        <v>203</v>
      </c>
      <c r="FWE13" s="314" t="s">
        <v>203</v>
      </c>
      <c r="FWF13" s="314" t="s">
        <v>203</v>
      </c>
      <c r="FWG13" s="314" t="s">
        <v>203</v>
      </c>
      <c r="FWH13" s="314" t="s">
        <v>203</v>
      </c>
      <c r="FWI13" s="314" t="s">
        <v>203</v>
      </c>
      <c r="FWJ13" s="314" t="s">
        <v>203</v>
      </c>
      <c r="FWK13" s="314" t="s">
        <v>203</v>
      </c>
      <c r="FWL13" s="314" t="s">
        <v>203</v>
      </c>
      <c r="FWM13" s="314" t="s">
        <v>203</v>
      </c>
      <c r="FWN13" s="314" t="s">
        <v>203</v>
      </c>
      <c r="FWO13" s="314" t="s">
        <v>203</v>
      </c>
      <c r="FWP13" s="314" t="s">
        <v>203</v>
      </c>
      <c r="FWQ13" s="314" t="s">
        <v>203</v>
      </c>
      <c r="FWR13" s="314" t="s">
        <v>203</v>
      </c>
      <c r="FWS13" s="314" t="s">
        <v>203</v>
      </c>
      <c r="FWT13" s="314" t="s">
        <v>203</v>
      </c>
      <c r="FWU13" s="314" t="s">
        <v>203</v>
      </c>
      <c r="FWV13" s="314" t="s">
        <v>203</v>
      </c>
      <c r="FWW13" s="314" t="s">
        <v>203</v>
      </c>
      <c r="FWX13" s="314" t="s">
        <v>203</v>
      </c>
      <c r="FWY13" s="314" t="s">
        <v>203</v>
      </c>
      <c r="FWZ13" s="314" t="s">
        <v>203</v>
      </c>
      <c r="FXA13" s="314" t="s">
        <v>203</v>
      </c>
      <c r="FXB13" s="314" t="s">
        <v>203</v>
      </c>
      <c r="FXC13" s="314" t="s">
        <v>203</v>
      </c>
      <c r="FXD13" s="314" t="s">
        <v>203</v>
      </c>
      <c r="FXE13" s="314" t="s">
        <v>203</v>
      </c>
      <c r="FXF13" s="314" t="s">
        <v>203</v>
      </c>
      <c r="FXG13" s="314" t="s">
        <v>203</v>
      </c>
      <c r="FXH13" s="314" t="s">
        <v>203</v>
      </c>
      <c r="FXI13" s="314" t="s">
        <v>203</v>
      </c>
      <c r="FXJ13" s="314" t="s">
        <v>203</v>
      </c>
      <c r="FXK13" s="314" t="s">
        <v>203</v>
      </c>
      <c r="FXL13" s="314" t="s">
        <v>203</v>
      </c>
      <c r="FXM13" s="314" t="s">
        <v>203</v>
      </c>
      <c r="FXN13" s="314" t="s">
        <v>203</v>
      </c>
      <c r="FXO13" s="314" t="s">
        <v>203</v>
      </c>
      <c r="FXP13" s="314" t="s">
        <v>203</v>
      </c>
      <c r="FXQ13" s="314" t="s">
        <v>203</v>
      </c>
      <c r="FXR13" s="314" t="s">
        <v>203</v>
      </c>
      <c r="FXS13" s="314" t="s">
        <v>203</v>
      </c>
      <c r="FXT13" s="314" t="s">
        <v>203</v>
      </c>
      <c r="FXU13" s="314" t="s">
        <v>203</v>
      </c>
      <c r="FXV13" s="314" t="s">
        <v>203</v>
      </c>
      <c r="FXW13" s="314" t="s">
        <v>203</v>
      </c>
      <c r="FXX13" s="314" t="s">
        <v>203</v>
      </c>
      <c r="FXY13" s="314" t="s">
        <v>203</v>
      </c>
      <c r="FXZ13" s="314" t="s">
        <v>203</v>
      </c>
      <c r="FYA13" s="314" t="s">
        <v>203</v>
      </c>
      <c r="FYB13" s="314" t="s">
        <v>203</v>
      </c>
      <c r="FYC13" s="314" t="s">
        <v>203</v>
      </c>
      <c r="FYD13" s="314" t="s">
        <v>203</v>
      </c>
      <c r="FYE13" s="314" t="s">
        <v>203</v>
      </c>
      <c r="FYF13" s="314" t="s">
        <v>203</v>
      </c>
      <c r="FYG13" s="314" t="s">
        <v>203</v>
      </c>
      <c r="FYH13" s="314" t="s">
        <v>203</v>
      </c>
      <c r="FYI13" s="314" t="s">
        <v>203</v>
      </c>
      <c r="FYJ13" s="314" t="s">
        <v>203</v>
      </c>
      <c r="FYK13" s="314" t="s">
        <v>203</v>
      </c>
      <c r="FYL13" s="314" t="s">
        <v>203</v>
      </c>
      <c r="FYM13" s="314" t="s">
        <v>203</v>
      </c>
      <c r="FYN13" s="314" t="s">
        <v>203</v>
      </c>
      <c r="FYO13" s="314" t="s">
        <v>203</v>
      </c>
      <c r="FYP13" s="314" t="s">
        <v>203</v>
      </c>
      <c r="FYQ13" s="314" t="s">
        <v>203</v>
      </c>
      <c r="FYR13" s="314" t="s">
        <v>203</v>
      </c>
      <c r="FYS13" s="314" t="s">
        <v>203</v>
      </c>
      <c r="FYT13" s="314" t="s">
        <v>203</v>
      </c>
      <c r="FYU13" s="314" t="s">
        <v>203</v>
      </c>
      <c r="FYV13" s="314" t="s">
        <v>203</v>
      </c>
      <c r="FYW13" s="314" t="s">
        <v>203</v>
      </c>
      <c r="FYX13" s="314" t="s">
        <v>203</v>
      </c>
      <c r="FYY13" s="314" t="s">
        <v>203</v>
      </c>
      <c r="FYZ13" s="314" t="s">
        <v>203</v>
      </c>
      <c r="FZA13" s="314" t="s">
        <v>203</v>
      </c>
      <c r="FZB13" s="314" t="s">
        <v>203</v>
      </c>
      <c r="FZC13" s="314" t="s">
        <v>203</v>
      </c>
      <c r="FZD13" s="314" t="s">
        <v>203</v>
      </c>
      <c r="FZE13" s="314" t="s">
        <v>203</v>
      </c>
      <c r="FZF13" s="314" t="s">
        <v>203</v>
      </c>
      <c r="FZG13" s="314" t="s">
        <v>203</v>
      </c>
      <c r="FZH13" s="314" t="s">
        <v>203</v>
      </c>
      <c r="FZI13" s="314" t="s">
        <v>203</v>
      </c>
      <c r="FZJ13" s="314" t="s">
        <v>203</v>
      </c>
      <c r="FZK13" s="314" t="s">
        <v>203</v>
      </c>
      <c r="FZL13" s="314" t="s">
        <v>203</v>
      </c>
      <c r="FZM13" s="314" t="s">
        <v>203</v>
      </c>
      <c r="FZN13" s="314" t="s">
        <v>203</v>
      </c>
      <c r="FZO13" s="314" t="s">
        <v>203</v>
      </c>
      <c r="FZP13" s="314" t="s">
        <v>203</v>
      </c>
      <c r="FZQ13" s="314" t="s">
        <v>203</v>
      </c>
      <c r="FZR13" s="314" t="s">
        <v>203</v>
      </c>
      <c r="FZS13" s="314" t="s">
        <v>203</v>
      </c>
      <c r="FZT13" s="314" t="s">
        <v>203</v>
      </c>
      <c r="FZU13" s="314" t="s">
        <v>203</v>
      </c>
      <c r="FZV13" s="314" t="s">
        <v>203</v>
      </c>
      <c r="FZW13" s="314" t="s">
        <v>203</v>
      </c>
      <c r="FZX13" s="314" t="s">
        <v>203</v>
      </c>
      <c r="FZY13" s="314" t="s">
        <v>203</v>
      </c>
      <c r="FZZ13" s="314" t="s">
        <v>203</v>
      </c>
      <c r="GAA13" s="314" t="s">
        <v>203</v>
      </c>
      <c r="GAB13" s="314" t="s">
        <v>203</v>
      </c>
      <c r="GAC13" s="314" t="s">
        <v>203</v>
      </c>
      <c r="GAD13" s="314" t="s">
        <v>203</v>
      </c>
      <c r="GAE13" s="314" t="s">
        <v>203</v>
      </c>
      <c r="GAF13" s="314" t="s">
        <v>203</v>
      </c>
      <c r="GAG13" s="314" t="s">
        <v>203</v>
      </c>
      <c r="GAH13" s="314" t="s">
        <v>203</v>
      </c>
      <c r="GAI13" s="314" t="s">
        <v>203</v>
      </c>
      <c r="GAJ13" s="314" t="s">
        <v>203</v>
      </c>
      <c r="GAK13" s="314" t="s">
        <v>203</v>
      </c>
      <c r="GAL13" s="314" t="s">
        <v>203</v>
      </c>
      <c r="GAM13" s="314" t="s">
        <v>203</v>
      </c>
      <c r="GAN13" s="314" t="s">
        <v>203</v>
      </c>
      <c r="GAO13" s="314" t="s">
        <v>203</v>
      </c>
      <c r="GAP13" s="314" t="s">
        <v>203</v>
      </c>
      <c r="GAQ13" s="314" t="s">
        <v>203</v>
      </c>
      <c r="GAR13" s="314" t="s">
        <v>203</v>
      </c>
      <c r="GAS13" s="314" t="s">
        <v>203</v>
      </c>
      <c r="GAT13" s="314" t="s">
        <v>203</v>
      </c>
      <c r="GAU13" s="314" t="s">
        <v>203</v>
      </c>
      <c r="GAV13" s="314" t="s">
        <v>203</v>
      </c>
      <c r="GAW13" s="314" t="s">
        <v>203</v>
      </c>
      <c r="GAX13" s="314" t="s">
        <v>203</v>
      </c>
      <c r="GAY13" s="314" t="s">
        <v>203</v>
      </c>
      <c r="GAZ13" s="314" t="s">
        <v>203</v>
      </c>
      <c r="GBA13" s="314" t="s">
        <v>203</v>
      </c>
      <c r="GBB13" s="314" t="s">
        <v>203</v>
      </c>
      <c r="GBC13" s="314" t="s">
        <v>203</v>
      </c>
      <c r="GBD13" s="314" t="s">
        <v>203</v>
      </c>
      <c r="GBE13" s="314" t="s">
        <v>203</v>
      </c>
      <c r="GBF13" s="314" t="s">
        <v>203</v>
      </c>
      <c r="GBG13" s="314" t="s">
        <v>203</v>
      </c>
      <c r="GBH13" s="314" t="s">
        <v>203</v>
      </c>
      <c r="GBI13" s="314" t="s">
        <v>203</v>
      </c>
      <c r="GBJ13" s="314" t="s">
        <v>203</v>
      </c>
      <c r="GBK13" s="314" t="s">
        <v>203</v>
      </c>
      <c r="GBL13" s="314" t="s">
        <v>203</v>
      </c>
      <c r="GBM13" s="314" t="s">
        <v>203</v>
      </c>
      <c r="GBN13" s="314" t="s">
        <v>203</v>
      </c>
      <c r="GBO13" s="314" t="s">
        <v>203</v>
      </c>
      <c r="GBP13" s="314" t="s">
        <v>203</v>
      </c>
      <c r="GBQ13" s="314" t="s">
        <v>203</v>
      </c>
      <c r="GBR13" s="314" t="s">
        <v>203</v>
      </c>
      <c r="GBS13" s="314" t="s">
        <v>203</v>
      </c>
      <c r="GBT13" s="314" t="s">
        <v>203</v>
      </c>
      <c r="GBU13" s="314" t="s">
        <v>203</v>
      </c>
      <c r="GBV13" s="314" t="s">
        <v>203</v>
      </c>
      <c r="GBW13" s="314" t="s">
        <v>203</v>
      </c>
      <c r="GBX13" s="314" t="s">
        <v>203</v>
      </c>
      <c r="GBY13" s="314" t="s">
        <v>203</v>
      </c>
      <c r="GBZ13" s="314" t="s">
        <v>203</v>
      </c>
      <c r="GCA13" s="314" t="s">
        <v>203</v>
      </c>
      <c r="GCB13" s="314" t="s">
        <v>203</v>
      </c>
      <c r="GCC13" s="314" t="s">
        <v>203</v>
      </c>
      <c r="GCD13" s="314" t="s">
        <v>203</v>
      </c>
      <c r="GCE13" s="314" t="s">
        <v>203</v>
      </c>
      <c r="GCF13" s="314" t="s">
        <v>203</v>
      </c>
      <c r="GCG13" s="314" t="s">
        <v>203</v>
      </c>
      <c r="GCH13" s="314" t="s">
        <v>203</v>
      </c>
      <c r="GCI13" s="314" t="s">
        <v>203</v>
      </c>
      <c r="GCJ13" s="314" t="s">
        <v>203</v>
      </c>
      <c r="GCK13" s="314" t="s">
        <v>203</v>
      </c>
      <c r="GCL13" s="314" t="s">
        <v>203</v>
      </c>
      <c r="GCM13" s="314" t="s">
        <v>203</v>
      </c>
      <c r="GCN13" s="314" t="s">
        <v>203</v>
      </c>
      <c r="GCO13" s="314" t="s">
        <v>203</v>
      </c>
      <c r="GCP13" s="314" t="s">
        <v>203</v>
      </c>
      <c r="GCQ13" s="314" t="s">
        <v>203</v>
      </c>
      <c r="GCR13" s="314" t="s">
        <v>203</v>
      </c>
      <c r="GCS13" s="314" t="s">
        <v>203</v>
      </c>
      <c r="GCT13" s="314" t="s">
        <v>203</v>
      </c>
      <c r="GCU13" s="314" t="s">
        <v>203</v>
      </c>
      <c r="GCV13" s="314" t="s">
        <v>203</v>
      </c>
      <c r="GCW13" s="314" t="s">
        <v>203</v>
      </c>
      <c r="GCX13" s="314" t="s">
        <v>203</v>
      </c>
      <c r="GCY13" s="314" t="s">
        <v>203</v>
      </c>
      <c r="GCZ13" s="314" t="s">
        <v>203</v>
      </c>
      <c r="GDA13" s="314" t="s">
        <v>203</v>
      </c>
      <c r="GDB13" s="314" t="s">
        <v>203</v>
      </c>
      <c r="GDC13" s="314" t="s">
        <v>203</v>
      </c>
      <c r="GDD13" s="314" t="s">
        <v>203</v>
      </c>
      <c r="GDE13" s="314" t="s">
        <v>203</v>
      </c>
      <c r="GDF13" s="314" t="s">
        <v>203</v>
      </c>
      <c r="GDG13" s="314" t="s">
        <v>203</v>
      </c>
      <c r="GDH13" s="314" t="s">
        <v>203</v>
      </c>
      <c r="GDI13" s="314" t="s">
        <v>203</v>
      </c>
      <c r="GDJ13" s="314" t="s">
        <v>203</v>
      </c>
      <c r="GDK13" s="314" t="s">
        <v>203</v>
      </c>
      <c r="GDL13" s="314" t="s">
        <v>203</v>
      </c>
      <c r="GDM13" s="314" t="s">
        <v>203</v>
      </c>
      <c r="GDN13" s="314" t="s">
        <v>203</v>
      </c>
      <c r="GDO13" s="314" t="s">
        <v>203</v>
      </c>
      <c r="GDP13" s="314" t="s">
        <v>203</v>
      </c>
      <c r="GDQ13" s="314" t="s">
        <v>203</v>
      </c>
      <c r="GDR13" s="314" t="s">
        <v>203</v>
      </c>
      <c r="GDS13" s="314" t="s">
        <v>203</v>
      </c>
      <c r="GDT13" s="314" t="s">
        <v>203</v>
      </c>
      <c r="GDU13" s="314" t="s">
        <v>203</v>
      </c>
      <c r="GDV13" s="314" t="s">
        <v>203</v>
      </c>
      <c r="GDW13" s="314" t="s">
        <v>203</v>
      </c>
      <c r="GDX13" s="314" t="s">
        <v>203</v>
      </c>
      <c r="GDY13" s="314" t="s">
        <v>203</v>
      </c>
      <c r="GDZ13" s="314" t="s">
        <v>203</v>
      </c>
      <c r="GEA13" s="314" t="s">
        <v>203</v>
      </c>
      <c r="GEB13" s="314" t="s">
        <v>203</v>
      </c>
      <c r="GEC13" s="314" t="s">
        <v>203</v>
      </c>
      <c r="GED13" s="314" t="s">
        <v>203</v>
      </c>
      <c r="GEE13" s="314" t="s">
        <v>203</v>
      </c>
      <c r="GEF13" s="314" t="s">
        <v>203</v>
      </c>
      <c r="GEG13" s="314" t="s">
        <v>203</v>
      </c>
      <c r="GEH13" s="314" t="s">
        <v>203</v>
      </c>
      <c r="GEI13" s="314" t="s">
        <v>203</v>
      </c>
      <c r="GEJ13" s="314" t="s">
        <v>203</v>
      </c>
      <c r="GEK13" s="314" t="s">
        <v>203</v>
      </c>
      <c r="GEL13" s="314" t="s">
        <v>203</v>
      </c>
      <c r="GEM13" s="314" t="s">
        <v>203</v>
      </c>
      <c r="GEN13" s="314" t="s">
        <v>203</v>
      </c>
      <c r="GEO13" s="314" t="s">
        <v>203</v>
      </c>
      <c r="GEP13" s="314" t="s">
        <v>203</v>
      </c>
      <c r="GEQ13" s="314" t="s">
        <v>203</v>
      </c>
      <c r="GER13" s="314" t="s">
        <v>203</v>
      </c>
      <c r="GES13" s="314" t="s">
        <v>203</v>
      </c>
      <c r="GET13" s="314" t="s">
        <v>203</v>
      </c>
      <c r="GEU13" s="314" t="s">
        <v>203</v>
      </c>
      <c r="GEV13" s="314" t="s">
        <v>203</v>
      </c>
      <c r="GEW13" s="314" t="s">
        <v>203</v>
      </c>
      <c r="GEX13" s="314" t="s">
        <v>203</v>
      </c>
      <c r="GEY13" s="314" t="s">
        <v>203</v>
      </c>
      <c r="GEZ13" s="314" t="s">
        <v>203</v>
      </c>
      <c r="GFA13" s="314" t="s">
        <v>203</v>
      </c>
      <c r="GFB13" s="314" t="s">
        <v>203</v>
      </c>
      <c r="GFC13" s="314" t="s">
        <v>203</v>
      </c>
      <c r="GFD13" s="314" t="s">
        <v>203</v>
      </c>
      <c r="GFE13" s="314" t="s">
        <v>203</v>
      </c>
      <c r="GFF13" s="314" t="s">
        <v>203</v>
      </c>
      <c r="GFG13" s="314" t="s">
        <v>203</v>
      </c>
      <c r="GFH13" s="314" t="s">
        <v>203</v>
      </c>
      <c r="GFI13" s="314" t="s">
        <v>203</v>
      </c>
      <c r="GFJ13" s="314" t="s">
        <v>203</v>
      </c>
      <c r="GFK13" s="314" t="s">
        <v>203</v>
      </c>
      <c r="GFL13" s="314" t="s">
        <v>203</v>
      </c>
      <c r="GFM13" s="314" t="s">
        <v>203</v>
      </c>
      <c r="GFN13" s="314" t="s">
        <v>203</v>
      </c>
      <c r="GFO13" s="314" t="s">
        <v>203</v>
      </c>
      <c r="GFP13" s="314" t="s">
        <v>203</v>
      </c>
      <c r="GFQ13" s="314" t="s">
        <v>203</v>
      </c>
      <c r="GFR13" s="314" t="s">
        <v>203</v>
      </c>
      <c r="GFS13" s="314" t="s">
        <v>203</v>
      </c>
      <c r="GFT13" s="314" t="s">
        <v>203</v>
      </c>
      <c r="GFU13" s="314" t="s">
        <v>203</v>
      </c>
      <c r="GFV13" s="314" t="s">
        <v>203</v>
      </c>
      <c r="GFW13" s="314" t="s">
        <v>203</v>
      </c>
      <c r="GFX13" s="314" t="s">
        <v>203</v>
      </c>
      <c r="GFY13" s="314" t="s">
        <v>203</v>
      </c>
      <c r="GFZ13" s="314" t="s">
        <v>203</v>
      </c>
      <c r="GGA13" s="314" t="s">
        <v>203</v>
      </c>
      <c r="GGB13" s="314" t="s">
        <v>203</v>
      </c>
      <c r="GGC13" s="314" t="s">
        <v>203</v>
      </c>
      <c r="GGD13" s="314" t="s">
        <v>203</v>
      </c>
      <c r="GGE13" s="314" t="s">
        <v>203</v>
      </c>
      <c r="GGF13" s="314" t="s">
        <v>203</v>
      </c>
      <c r="GGG13" s="314" t="s">
        <v>203</v>
      </c>
      <c r="GGH13" s="314" t="s">
        <v>203</v>
      </c>
      <c r="GGI13" s="314" t="s">
        <v>203</v>
      </c>
      <c r="GGJ13" s="314" t="s">
        <v>203</v>
      </c>
      <c r="GGK13" s="314" t="s">
        <v>203</v>
      </c>
      <c r="GGL13" s="314" t="s">
        <v>203</v>
      </c>
      <c r="GGM13" s="314" t="s">
        <v>203</v>
      </c>
      <c r="GGN13" s="314" t="s">
        <v>203</v>
      </c>
      <c r="GGO13" s="314" t="s">
        <v>203</v>
      </c>
      <c r="GGP13" s="314" t="s">
        <v>203</v>
      </c>
      <c r="GGQ13" s="314" t="s">
        <v>203</v>
      </c>
      <c r="GGR13" s="314" t="s">
        <v>203</v>
      </c>
      <c r="GGS13" s="314" t="s">
        <v>203</v>
      </c>
      <c r="GGT13" s="314" t="s">
        <v>203</v>
      </c>
      <c r="GGU13" s="314" t="s">
        <v>203</v>
      </c>
      <c r="GGV13" s="314" t="s">
        <v>203</v>
      </c>
      <c r="GGW13" s="314" t="s">
        <v>203</v>
      </c>
      <c r="GGX13" s="314" t="s">
        <v>203</v>
      </c>
      <c r="GGY13" s="314" t="s">
        <v>203</v>
      </c>
      <c r="GGZ13" s="314" t="s">
        <v>203</v>
      </c>
      <c r="GHA13" s="314" t="s">
        <v>203</v>
      </c>
      <c r="GHB13" s="314" t="s">
        <v>203</v>
      </c>
      <c r="GHC13" s="314" t="s">
        <v>203</v>
      </c>
      <c r="GHD13" s="314" t="s">
        <v>203</v>
      </c>
      <c r="GHE13" s="314" t="s">
        <v>203</v>
      </c>
      <c r="GHF13" s="314" t="s">
        <v>203</v>
      </c>
      <c r="GHG13" s="314" t="s">
        <v>203</v>
      </c>
      <c r="GHH13" s="314" t="s">
        <v>203</v>
      </c>
      <c r="GHI13" s="314" t="s">
        <v>203</v>
      </c>
      <c r="GHJ13" s="314" t="s">
        <v>203</v>
      </c>
      <c r="GHK13" s="314" t="s">
        <v>203</v>
      </c>
      <c r="GHL13" s="314" t="s">
        <v>203</v>
      </c>
      <c r="GHM13" s="314" t="s">
        <v>203</v>
      </c>
      <c r="GHN13" s="314" t="s">
        <v>203</v>
      </c>
      <c r="GHO13" s="314" t="s">
        <v>203</v>
      </c>
      <c r="GHP13" s="314" t="s">
        <v>203</v>
      </c>
      <c r="GHQ13" s="314" t="s">
        <v>203</v>
      </c>
      <c r="GHR13" s="314" t="s">
        <v>203</v>
      </c>
      <c r="GHS13" s="314" t="s">
        <v>203</v>
      </c>
      <c r="GHT13" s="314" t="s">
        <v>203</v>
      </c>
      <c r="GHU13" s="314" t="s">
        <v>203</v>
      </c>
      <c r="GHV13" s="314" t="s">
        <v>203</v>
      </c>
      <c r="GHW13" s="314" t="s">
        <v>203</v>
      </c>
      <c r="GHX13" s="314" t="s">
        <v>203</v>
      </c>
      <c r="GHY13" s="314" t="s">
        <v>203</v>
      </c>
      <c r="GHZ13" s="314" t="s">
        <v>203</v>
      </c>
      <c r="GIA13" s="314" t="s">
        <v>203</v>
      </c>
      <c r="GIB13" s="314" t="s">
        <v>203</v>
      </c>
      <c r="GIC13" s="314" t="s">
        <v>203</v>
      </c>
      <c r="GID13" s="314" t="s">
        <v>203</v>
      </c>
      <c r="GIE13" s="314" t="s">
        <v>203</v>
      </c>
      <c r="GIF13" s="314" t="s">
        <v>203</v>
      </c>
      <c r="GIG13" s="314" t="s">
        <v>203</v>
      </c>
      <c r="GIH13" s="314" t="s">
        <v>203</v>
      </c>
      <c r="GII13" s="314" t="s">
        <v>203</v>
      </c>
      <c r="GIJ13" s="314" t="s">
        <v>203</v>
      </c>
      <c r="GIK13" s="314" t="s">
        <v>203</v>
      </c>
      <c r="GIL13" s="314" t="s">
        <v>203</v>
      </c>
      <c r="GIM13" s="314" t="s">
        <v>203</v>
      </c>
      <c r="GIN13" s="314" t="s">
        <v>203</v>
      </c>
      <c r="GIO13" s="314" t="s">
        <v>203</v>
      </c>
      <c r="GIP13" s="314" t="s">
        <v>203</v>
      </c>
      <c r="GIQ13" s="314" t="s">
        <v>203</v>
      </c>
      <c r="GIR13" s="314" t="s">
        <v>203</v>
      </c>
      <c r="GIS13" s="314" t="s">
        <v>203</v>
      </c>
      <c r="GIT13" s="314" t="s">
        <v>203</v>
      </c>
      <c r="GIU13" s="314" t="s">
        <v>203</v>
      </c>
      <c r="GIV13" s="314" t="s">
        <v>203</v>
      </c>
      <c r="GIW13" s="314" t="s">
        <v>203</v>
      </c>
      <c r="GIX13" s="314" t="s">
        <v>203</v>
      </c>
      <c r="GIY13" s="314" t="s">
        <v>203</v>
      </c>
      <c r="GIZ13" s="314" t="s">
        <v>203</v>
      </c>
      <c r="GJA13" s="314" t="s">
        <v>203</v>
      </c>
      <c r="GJB13" s="314" t="s">
        <v>203</v>
      </c>
      <c r="GJC13" s="314" t="s">
        <v>203</v>
      </c>
      <c r="GJD13" s="314" t="s">
        <v>203</v>
      </c>
      <c r="GJE13" s="314" t="s">
        <v>203</v>
      </c>
      <c r="GJF13" s="314" t="s">
        <v>203</v>
      </c>
      <c r="GJG13" s="314" t="s">
        <v>203</v>
      </c>
      <c r="GJH13" s="314" t="s">
        <v>203</v>
      </c>
      <c r="GJI13" s="314" t="s">
        <v>203</v>
      </c>
      <c r="GJJ13" s="314" t="s">
        <v>203</v>
      </c>
      <c r="GJK13" s="314" t="s">
        <v>203</v>
      </c>
      <c r="GJL13" s="314" t="s">
        <v>203</v>
      </c>
      <c r="GJM13" s="314" t="s">
        <v>203</v>
      </c>
      <c r="GJN13" s="314" t="s">
        <v>203</v>
      </c>
      <c r="GJO13" s="314" t="s">
        <v>203</v>
      </c>
      <c r="GJP13" s="314" t="s">
        <v>203</v>
      </c>
      <c r="GJQ13" s="314" t="s">
        <v>203</v>
      </c>
      <c r="GJR13" s="314" t="s">
        <v>203</v>
      </c>
      <c r="GJS13" s="314" t="s">
        <v>203</v>
      </c>
      <c r="GJT13" s="314" t="s">
        <v>203</v>
      </c>
      <c r="GJU13" s="314" t="s">
        <v>203</v>
      </c>
      <c r="GJV13" s="314" t="s">
        <v>203</v>
      </c>
      <c r="GJW13" s="314" t="s">
        <v>203</v>
      </c>
      <c r="GJX13" s="314" t="s">
        <v>203</v>
      </c>
      <c r="GJY13" s="314" t="s">
        <v>203</v>
      </c>
      <c r="GJZ13" s="314" t="s">
        <v>203</v>
      </c>
      <c r="GKA13" s="314" t="s">
        <v>203</v>
      </c>
      <c r="GKB13" s="314" t="s">
        <v>203</v>
      </c>
      <c r="GKC13" s="314" t="s">
        <v>203</v>
      </c>
      <c r="GKD13" s="314" t="s">
        <v>203</v>
      </c>
      <c r="GKE13" s="314" t="s">
        <v>203</v>
      </c>
      <c r="GKF13" s="314" t="s">
        <v>203</v>
      </c>
      <c r="GKG13" s="314" t="s">
        <v>203</v>
      </c>
      <c r="GKH13" s="314" t="s">
        <v>203</v>
      </c>
      <c r="GKI13" s="314" t="s">
        <v>203</v>
      </c>
      <c r="GKJ13" s="314" t="s">
        <v>203</v>
      </c>
      <c r="GKK13" s="314" t="s">
        <v>203</v>
      </c>
      <c r="GKL13" s="314" t="s">
        <v>203</v>
      </c>
      <c r="GKM13" s="314" t="s">
        <v>203</v>
      </c>
      <c r="GKN13" s="314" t="s">
        <v>203</v>
      </c>
      <c r="GKO13" s="314" t="s">
        <v>203</v>
      </c>
      <c r="GKP13" s="314" t="s">
        <v>203</v>
      </c>
      <c r="GKQ13" s="314" t="s">
        <v>203</v>
      </c>
      <c r="GKR13" s="314" t="s">
        <v>203</v>
      </c>
      <c r="GKS13" s="314" t="s">
        <v>203</v>
      </c>
      <c r="GKT13" s="314" t="s">
        <v>203</v>
      </c>
      <c r="GKU13" s="314" t="s">
        <v>203</v>
      </c>
      <c r="GKV13" s="314" t="s">
        <v>203</v>
      </c>
      <c r="GKW13" s="314" t="s">
        <v>203</v>
      </c>
      <c r="GKX13" s="314" t="s">
        <v>203</v>
      </c>
      <c r="GKY13" s="314" t="s">
        <v>203</v>
      </c>
      <c r="GKZ13" s="314" t="s">
        <v>203</v>
      </c>
      <c r="GLA13" s="314" t="s">
        <v>203</v>
      </c>
      <c r="GLB13" s="314" t="s">
        <v>203</v>
      </c>
      <c r="GLC13" s="314" t="s">
        <v>203</v>
      </c>
      <c r="GLD13" s="314" t="s">
        <v>203</v>
      </c>
      <c r="GLE13" s="314" t="s">
        <v>203</v>
      </c>
      <c r="GLF13" s="314" t="s">
        <v>203</v>
      </c>
      <c r="GLG13" s="314" t="s">
        <v>203</v>
      </c>
      <c r="GLH13" s="314" t="s">
        <v>203</v>
      </c>
      <c r="GLI13" s="314" t="s">
        <v>203</v>
      </c>
      <c r="GLJ13" s="314" t="s">
        <v>203</v>
      </c>
      <c r="GLK13" s="314" t="s">
        <v>203</v>
      </c>
      <c r="GLL13" s="314" t="s">
        <v>203</v>
      </c>
      <c r="GLM13" s="314" t="s">
        <v>203</v>
      </c>
      <c r="GLN13" s="314" t="s">
        <v>203</v>
      </c>
      <c r="GLO13" s="314" t="s">
        <v>203</v>
      </c>
      <c r="GLP13" s="314" t="s">
        <v>203</v>
      </c>
      <c r="GLQ13" s="314" t="s">
        <v>203</v>
      </c>
      <c r="GLR13" s="314" t="s">
        <v>203</v>
      </c>
      <c r="GLS13" s="314" t="s">
        <v>203</v>
      </c>
      <c r="GLT13" s="314" t="s">
        <v>203</v>
      </c>
      <c r="GLU13" s="314" t="s">
        <v>203</v>
      </c>
      <c r="GLV13" s="314" t="s">
        <v>203</v>
      </c>
      <c r="GLW13" s="314" t="s">
        <v>203</v>
      </c>
      <c r="GLX13" s="314" t="s">
        <v>203</v>
      </c>
      <c r="GLY13" s="314" t="s">
        <v>203</v>
      </c>
      <c r="GLZ13" s="314" t="s">
        <v>203</v>
      </c>
      <c r="GMA13" s="314" t="s">
        <v>203</v>
      </c>
      <c r="GMB13" s="314" t="s">
        <v>203</v>
      </c>
      <c r="GMC13" s="314" t="s">
        <v>203</v>
      </c>
      <c r="GMD13" s="314" t="s">
        <v>203</v>
      </c>
      <c r="GME13" s="314" t="s">
        <v>203</v>
      </c>
      <c r="GMF13" s="314" t="s">
        <v>203</v>
      </c>
      <c r="GMG13" s="314" t="s">
        <v>203</v>
      </c>
      <c r="GMH13" s="314" t="s">
        <v>203</v>
      </c>
      <c r="GMI13" s="314" t="s">
        <v>203</v>
      </c>
      <c r="GMJ13" s="314" t="s">
        <v>203</v>
      </c>
      <c r="GMK13" s="314" t="s">
        <v>203</v>
      </c>
      <c r="GML13" s="314" t="s">
        <v>203</v>
      </c>
      <c r="GMM13" s="314" t="s">
        <v>203</v>
      </c>
      <c r="GMN13" s="314" t="s">
        <v>203</v>
      </c>
      <c r="GMO13" s="314" t="s">
        <v>203</v>
      </c>
      <c r="GMP13" s="314" t="s">
        <v>203</v>
      </c>
      <c r="GMQ13" s="314" t="s">
        <v>203</v>
      </c>
      <c r="GMR13" s="314" t="s">
        <v>203</v>
      </c>
      <c r="GMS13" s="314" t="s">
        <v>203</v>
      </c>
      <c r="GMT13" s="314" t="s">
        <v>203</v>
      </c>
      <c r="GMU13" s="314" t="s">
        <v>203</v>
      </c>
      <c r="GMV13" s="314" t="s">
        <v>203</v>
      </c>
      <c r="GMW13" s="314" t="s">
        <v>203</v>
      </c>
      <c r="GMX13" s="314" t="s">
        <v>203</v>
      </c>
      <c r="GMY13" s="314" t="s">
        <v>203</v>
      </c>
      <c r="GMZ13" s="314" t="s">
        <v>203</v>
      </c>
      <c r="GNA13" s="314" t="s">
        <v>203</v>
      </c>
      <c r="GNB13" s="314" t="s">
        <v>203</v>
      </c>
      <c r="GNC13" s="314" t="s">
        <v>203</v>
      </c>
      <c r="GND13" s="314" t="s">
        <v>203</v>
      </c>
      <c r="GNE13" s="314" t="s">
        <v>203</v>
      </c>
      <c r="GNF13" s="314" t="s">
        <v>203</v>
      </c>
      <c r="GNG13" s="314" t="s">
        <v>203</v>
      </c>
      <c r="GNH13" s="314" t="s">
        <v>203</v>
      </c>
      <c r="GNI13" s="314" t="s">
        <v>203</v>
      </c>
      <c r="GNJ13" s="314" t="s">
        <v>203</v>
      </c>
      <c r="GNK13" s="314" t="s">
        <v>203</v>
      </c>
      <c r="GNL13" s="314" t="s">
        <v>203</v>
      </c>
      <c r="GNM13" s="314" t="s">
        <v>203</v>
      </c>
      <c r="GNN13" s="314" t="s">
        <v>203</v>
      </c>
      <c r="GNO13" s="314" t="s">
        <v>203</v>
      </c>
      <c r="GNP13" s="314" t="s">
        <v>203</v>
      </c>
      <c r="GNQ13" s="314" t="s">
        <v>203</v>
      </c>
      <c r="GNR13" s="314" t="s">
        <v>203</v>
      </c>
      <c r="GNS13" s="314" t="s">
        <v>203</v>
      </c>
      <c r="GNT13" s="314" t="s">
        <v>203</v>
      </c>
      <c r="GNU13" s="314" t="s">
        <v>203</v>
      </c>
      <c r="GNV13" s="314" t="s">
        <v>203</v>
      </c>
      <c r="GNW13" s="314" t="s">
        <v>203</v>
      </c>
      <c r="GNX13" s="314" t="s">
        <v>203</v>
      </c>
      <c r="GNY13" s="314" t="s">
        <v>203</v>
      </c>
      <c r="GNZ13" s="314" t="s">
        <v>203</v>
      </c>
      <c r="GOA13" s="314" t="s">
        <v>203</v>
      </c>
      <c r="GOB13" s="314" t="s">
        <v>203</v>
      </c>
      <c r="GOC13" s="314" t="s">
        <v>203</v>
      </c>
      <c r="GOD13" s="314" t="s">
        <v>203</v>
      </c>
      <c r="GOE13" s="314" t="s">
        <v>203</v>
      </c>
      <c r="GOF13" s="314" t="s">
        <v>203</v>
      </c>
      <c r="GOG13" s="314" t="s">
        <v>203</v>
      </c>
      <c r="GOH13" s="314" t="s">
        <v>203</v>
      </c>
      <c r="GOI13" s="314" t="s">
        <v>203</v>
      </c>
      <c r="GOJ13" s="314" t="s">
        <v>203</v>
      </c>
      <c r="GOK13" s="314" t="s">
        <v>203</v>
      </c>
      <c r="GOL13" s="314" t="s">
        <v>203</v>
      </c>
      <c r="GOM13" s="314" t="s">
        <v>203</v>
      </c>
      <c r="GON13" s="314" t="s">
        <v>203</v>
      </c>
      <c r="GOO13" s="314" t="s">
        <v>203</v>
      </c>
      <c r="GOP13" s="314" t="s">
        <v>203</v>
      </c>
      <c r="GOQ13" s="314" t="s">
        <v>203</v>
      </c>
      <c r="GOR13" s="314" t="s">
        <v>203</v>
      </c>
      <c r="GOS13" s="314" t="s">
        <v>203</v>
      </c>
      <c r="GOT13" s="314" t="s">
        <v>203</v>
      </c>
      <c r="GOU13" s="314" t="s">
        <v>203</v>
      </c>
      <c r="GOV13" s="314" t="s">
        <v>203</v>
      </c>
      <c r="GOW13" s="314" t="s">
        <v>203</v>
      </c>
      <c r="GOX13" s="314" t="s">
        <v>203</v>
      </c>
      <c r="GOY13" s="314" t="s">
        <v>203</v>
      </c>
      <c r="GOZ13" s="314" t="s">
        <v>203</v>
      </c>
      <c r="GPA13" s="314" t="s">
        <v>203</v>
      </c>
      <c r="GPB13" s="314" t="s">
        <v>203</v>
      </c>
      <c r="GPC13" s="314" t="s">
        <v>203</v>
      </c>
      <c r="GPD13" s="314" t="s">
        <v>203</v>
      </c>
      <c r="GPE13" s="314" t="s">
        <v>203</v>
      </c>
      <c r="GPF13" s="314" t="s">
        <v>203</v>
      </c>
      <c r="GPG13" s="314" t="s">
        <v>203</v>
      </c>
      <c r="GPH13" s="314" t="s">
        <v>203</v>
      </c>
      <c r="GPI13" s="314" t="s">
        <v>203</v>
      </c>
      <c r="GPJ13" s="314" t="s">
        <v>203</v>
      </c>
      <c r="GPK13" s="314" t="s">
        <v>203</v>
      </c>
      <c r="GPL13" s="314" t="s">
        <v>203</v>
      </c>
      <c r="GPM13" s="314" t="s">
        <v>203</v>
      </c>
      <c r="GPN13" s="314" t="s">
        <v>203</v>
      </c>
      <c r="GPO13" s="314" t="s">
        <v>203</v>
      </c>
      <c r="GPP13" s="314" t="s">
        <v>203</v>
      </c>
      <c r="GPQ13" s="314" t="s">
        <v>203</v>
      </c>
      <c r="GPR13" s="314" t="s">
        <v>203</v>
      </c>
      <c r="GPS13" s="314" t="s">
        <v>203</v>
      </c>
      <c r="GPT13" s="314" t="s">
        <v>203</v>
      </c>
      <c r="GPU13" s="314" t="s">
        <v>203</v>
      </c>
      <c r="GPV13" s="314" t="s">
        <v>203</v>
      </c>
      <c r="GPW13" s="314" t="s">
        <v>203</v>
      </c>
      <c r="GPX13" s="314" t="s">
        <v>203</v>
      </c>
      <c r="GPY13" s="314" t="s">
        <v>203</v>
      </c>
      <c r="GPZ13" s="314" t="s">
        <v>203</v>
      </c>
      <c r="GQA13" s="314" t="s">
        <v>203</v>
      </c>
      <c r="GQB13" s="314" t="s">
        <v>203</v>
      </c>
      <c r="GQC13" s="314" t="s">
        <v>203</v>
      </c>
      <c r="GQD13" s="314" t="s">
        <v>203</v>
      </c>
      <c r="GQE13" s="314" t="s">
        <v>203</v>
      </c>
      <c r="GQF13" s="314" t="s">
        <v>203</v>
      </c>
      <c r="GQG13" s="314" t="s">
        <v>203</v>
      </c>
      <c r="GQH13" s="314" t="s">
        <v>203</v>
      </c>
      <c r="GQI13" s="314" t="s">
        <v>203</v>
      </c>
      <c r="GQJ13" s="314" t="s">
        <v>203</v>
      </c>
      <c r="GQK13" s="314" t="s">
        <v>203</v>
      </c>
      <c r="GQL13" s="314" t="s">
        <v>203</v>
      </c>
      <c r="GQM13" s="314" t="s">
        <v>203</v>
      </c>
      <c r="GQN13" s="314" t="s">
        <v>203</v>
      </c>
      <c r="GQO13" s="314" t="s">
        <v>203</v>
      </c>
      <c r="GQP13" s="314" t="s">
        <v>203</v>
      </c>
      <c r="GQQ13" s="314" t="s">
        <v>203</v>
      </c>
      <c r="GQR13" s="314" t="s">
        <v>203</v>
      </c>
      <c r="GQS13" s="314" t="s">
        <v>203</v>
      </c>
      <c r="GQT13" s="314" t="s">
        <v>203</v>
      </c>
      <c r="GQU13" s="314" t="s">
        <v>203</v>
      </c>
      <c r="GQV13" s="314" t="s">
        <v>203</v>
      </c>
      <c r="GQW13" s="314" t="s">
        <v>203</v>
      </c>
      <c r="GQX13" s="314" t="s">
        <v>203</v>
      </c>
      <c r="GQY13" s="314" t="s">
        <v>203</v>
      </c>
      <c r="GQZ13" s="314" t="s">
        <v>203</v>
      </c>
      <c r="GRA13" s="314" t="s">
        <v>203</v>
      </c>
      <c r="GRB13" s="314" t="s">
        <v>203</v>
      </c>
      <c r="GRC13" s="314" t="s">
        <v>203</v>
      </c>
      <c r="GRD13" s="314" t="s">
        <v>203</v>
      </c>
      <c r="GRE13" s="314" t="s">
        <v>203</v>
      </c>
      <c r="GRF13" s="314" t="s">
        <v>203</v>
      </c>
      <c r="GRG13" s="314" t="s">
        <v>203</v>
      </c>
      <c r="GRH13" s="314" t="s">
        <v>203</v>
      </c>
      <c r="GRI13" s="314" t="s">
        <v>203</v>
      </c>
      <c r="GRJ13" s="314" t="s">
        <v>203</v>
      </c>
      <c r="GRK13" s="314" t="s">
        <v>203</v>
      </c>
      <c r="GRL13" s="314" t="s">
        <v>203</v>
      </c>
      <c r="GRM13" s="314" t="s">
        <v>203</v>
      </c>
      <c r="GRN13" s="314" t="s">
        <v>203</v>
      </c>
      <c r="GRO13" s="314" t="s">
        <v>203</v>
      </c>
      <c r="GRP13" s="314" t="s">
        <v>203</v>
      </c>
      <c r="GRQ13" s="314" t="s">
        <v>203</v>
      </c>
      <c r="GRR13" s="314" t="s">
        <v>203</v>
      </c>
      <c r="GRS13" s="314" t="s">
        <v>203</v>
      </c>
      <c r="GRT13" s="314" t="s">
        <v>203</v>
      </c>
      <c r="GRU13" s="314" t="s">
        <v>203</v>
      </c>
      <c r="GRV13" s="314" t="s">
        <v>203</v>
      </c>
      <c r="GRW13" s="314" t="s">
        <v>203</v>
      </c>
      <c r="GRX13" s="314" t="s">
        <v>203</v>
      </c>
      <c r="GRY13" s="314" t="s">
        <v>203</v>
      </c>
      <c r="GRZ13" s="314" t="s">
        <v>203</v>
      </c>
      <c r="GSA13" s="314" t="s">
        <v>203</v>
      </c>
      <c r="GSB13" s="314" t="s">
        <v>203</v>
      </c>
      <c r="GSC13" s="314" t="s">
        <v>203</v>
      </c>
      <c r="GSD13" s="314" t="s">
        <v>203</v>
      </c>
      <c r="GSE13" s="314" t="s">
        <v>203</v>
      </c>
      <c r="GSF13" s="314" t="s">
        <v>203</v>
      </c>
      <c r="GSG13" s="314" t="s">
        <v>203</v>
      </c>
      <c r="GSH13" s="314" t="s">
        <v>203</v>
      </c>
      <c r="GSI13" s="314" t="s">
        <v>203</v>
      </c>
      <c r="GSJ13" s="314" t="s">
        <v>203</v>
      </c>
      <c r="GSK13" s="314" t="s">
        <v>203</v>
      </c>
      <c r="GSL13" s="314" t="s">
        <v>203</v>
      </c>
      <c r="GSM13" s="314" t="s">
        <v>203</v>
      </c>
      <c r="GSN13" s="314" t="s">
        <v>203</v>
      </c>
      <c r="GSO13" s="314" t="s">
        <v>203</v>
      </c>
      <c r="GSP13" s="314" t="s">
        <v>203</v>
      </c>
      <c r="GSQ13" s="314" t="s">
        <v>203</v>
      </c>
      <c r="GSR13" s="314" t="s">
        <v>203</v>
      </c>
      <c r="GSS13" s="314" t="s">
        <v>203</v>
      </c>
      <c r="GST13" s="314" t="s">
        <v>203</v>
      </c>
      <c r="GSU13" s="314" t="s">
        <v>203</v>
      </c>
      <c r="GSV13" s="314" t="s">
        <v>203</v>
      </c>
      <c r="GSW13" s="314" t="s">
        <v>203</v>
      </c>
      <c r="GSX13" s="314" t="s">
        <v>203</v>
      </c>
      <c r="GSY13" s="314" t="s">
        <v>203</v>
      </c>
      <c r="GSZ13" s="314" t="s">
        <v>203</v>
      </c>
      <c r="GTA13" s="314" t="s">
        <v>203</v>
      </c>
      <c r="GTB13" s="314" t="s">
        <v>203</v>
      </c>
      <c r="GTC13" s="314" t="s">
        <v>203</v>
      </c>
      <c r="GTD13" s="314" t="s">
        <v>203</v>
      </c>
      <c r="GTE13" s="314" t="s">
        <v>203</v>
      </c>
      <c r="GTF13" s="314" t="s">
        <v>203</v>
      </c>
      <c r="GTG13" s="314" t="s">
        <v>203</v>
      </c>
      <c r="GTH13" s="314" t="s">
        <v>203</v>
      </c>
      <c r="GTI13" s="314" t="s">
        <v>203</v>
      </c>
      <c r="GTJ13" s="314" t="s">
        <v>203</v>
      </c>
      <c r="GTK13" s="314" t="s">
        <v>203</v>
      </c>
      <c r="GTL13" s="314" t="s">
        <v>203</v>
      </c>
      <c r="GTM13" s="314" t="s">
        <v>203</v>
      </c>
      <c r="GTN13" s="314" t="s">
        <v>203</v>
      </c>
      <c r="GTO13" s="314" t="s">
        <v>203</v>
      </c>
      <c r="GTP13" s="314" t="s">
        <v>203</v>
      </c>
      <c r="GTQ13" s="314" t="s">
        <v>203</v>
      </c>
      <c r="GTR13" s="314" t="s">
        <v>203</v>
      </c>
      <c r="GTS13" s="314" t="s">
        <v>203</v>
      </c>
      <c r="GTT13" s="314" t="s">
        <v>203</v>
      </c>
      <c r="GTU13" s="314" t="s">
        <v>203</v>
      </c>
      <c r="GTV13" s="314" t="s">
        <v>203</v>
      </c>
      <c r="GTW13" s="314" t="s">
        <v>203</v>
      </c>
      <c r="GTX13" s="314" t="s">
        <v>203</v>
      </c>
      <c r="GTY13" s="314" t="s">
        <v>203</v>
      </c>
      <c r="GTZ13" s="314" t="s">
        <v>203</v>
      </c>
      <c r="GUA13" s="314" t="s">
        <v>203</v>
      </c>
      <c r="GUB13" s="314" t="s">
        <v>203</v>
      </c>
      <c r="GUC13" s="314" t="s">
        <v>203</v>
      </c>
      <c r="GUD13" s="314" t="s">
        <v>203</v>
      </c>
      <c r="GUE13" s="314" t="s">
        <v>203</v>
      </c>
      <c r="GUF13" s="314" t="s">
        <v>203</v>
      </c>
      <c r="GUG13" s="314" t="s">
        <v>203</v>
      </c>
      <c r="GUH13" s="314" t="s">
        <v>203</v>
      </c>
      <c r="GUI13" s="314" t="s">
        <v>203</v>
      </c>
      <c r="GUJ13" s="314" t="s">
        <v>203</v>
      </c>
      <c r="GUK13" s="314" t="s">
        <v>203</v>
      </c>
      <c r="GUL13" s="314" t="s">
        <v>203</v>
      </c>
      <c r="GUM13" s="314" t="s">
        <v>203</v>
      </c>
      <c r="GUN13" s="314" t="s">
        <v>203</v>
      </c>
      <c r="GUO13" s="314" t="s">
        <v>203</v>
      </c>
      <c r="GUP13" s="314" t="s">
        <v>203</v>
      </c>
      <c r="GUQ13" s="314" t="s">
        <v>203</v>
      </c>
      <c r="GUR13" s="314" t="s">
        <v>203</v>
      </c>
      <c r="GUS13" s="314" t="s">
        <v>203</v>
      </c>
      <c r="GUT13" s="314" t="s">
        <v>203</v>
      </c>
      <c r="GUU13" s="314" t="s">
        <v>203</v>
      </c>
      <c r="GUV13" s="314" t="s">
        <v>203</v>
      </c>
      <c r="GUW13" s="314" t="s">
        <v>203</v>
      </c>
      <c r="GUX13" s="314" t="s">
        <v>203</v>
      </c>
      <c r="GUY13" s="314" t="s">
        <v>203</v>
      </c>
      <c r="GUZ13" s="314" t="s">
        <v>203</v>
      </c>
      <c r="GVA13" s="314" t="s">
        <v>203</v>
      </c>
      <c r="GVB13" s="314" t="s">
        <v>203</v>
      </c>
      <c r="GVC13" s="314" t="s">
        <v>203</v>
      </c>
      <c r="GVD13" s="314" t="s">
        <v>203</v>
      </c>
      <c r="GVE13" s="314" t="s">
        <v>203</v>
      </c>
      <c r="GVF13" s="314" t="s">
        <v>203</v>
      </c>
      <c r="GVG13" s="314" t="s">
        <v>203</v>
      </c>
      <c r="GVH13" s="314" t="s">
        <v>203</v>
      </c>
      <c r="GVI13" s="314" t="s">
        <v>203</v>
      </c>
      <c r="GVJ13" s="314" t="s">
        <v>203</v>
      </c>
      <c r="GVK13" s="314" t="s">
        <v>203</v>
      </c>
      <c r="GVL13" s="314" t="s">
        <v>203</v>
      </c>
      <c r="GVM13" s="314" t="s">
        <v>203</v>
      </c>
      <c r="GVN13" s="314" t="s">
        <v>203</v>
      </c>
      <c r="GVO13" s="314" t="s">
        <v>203</v>
      </c>
      <c r="GVP13" s="314" t="s">
        <v>203</v>
      </c>
      <c r="GVQ13" s="314" t="s">
        <v>203</v>
      </c>
      <c r="GVR13" s="314" t="s">
        <v>203</v>
      </c>
      <c r="GVS13" s="314" t="s">
        <v>203</v>
      </c>
      <c r="GVT13" s="314" t="s">
        <v>203</v>
      </c>
      <c r="GVU13" s="314" t="s">
        <v>203</v>
      </c>
      <c r="GVV13" s="314" t="s">
        <v>203</v>
      </c>
      <c r="GVW13" s="314" t="s">
        <v>203</v>
      </c>
      <c r="GVX13" s="314" t="s">
        <v>203</v>
      </c>
      <c r="GVY13" s="314" t="s">
        <v>203</v>
      </c>
      <c r="GVZ13" s="314" t="s">
        <v>203</v>
      </c>
      <c r="GWA13" s="314" t="s">
        <v>203</v>
      </c>
      <c r="GWB13" s="314" t="s">
        <v>203</v>
      </c>
      <c r="GWC13" s="314" t="s">
        <v>203</v>
      </c>
      <c r="GWD13" s="314" t="s">
        <v>203</v>
      </c>
      <c r="GWE13" s="314" t="s">
        <v>203</v>
      </c>
      <c r="GWF13" s="314" t="s">
        <v>203</v>
      </c>
      <c r="GWG13" s="314" t="s">
        <v>203</v>
      </c>
      <c r="GWH13" s="314" t="s">
        <v>203</v>
      </c>
      <c r="GWI13" s="314" t="s">
        <v>203</v>
      </c>
      <c r="GWJ13" s="314" t="s">
        <v>203</v>
      </c>
      <c r="GWK13" s="314" t="s">
        <v>203</v>
      </c>
      <c r="GWL13" s="314" t="s">
        <v>203</v>
      </c>
      <c r="GWM13" s="314" t="s">
        <v>203</v>
      </c>
      <c r="GWN13" s="314" t="s">
        <v>203</v>
      </c>
      <c r="GWO13" s="314" t="s">
        <v>203</v>
      </c>
      <c r="GWP13" s="314" t="s">
        <v>203</v>
      </c>
      <c r="GWQ13" s="314" t="s">
        <v>203</v>
      </c>
      <c r="GWR13" s="314" t="s">
        <v>203</v>
      </c>
      <c r="GWS13" s="314" t="s">
        <v>203</v>
      </c>
      <c r="GWT13" s="314" t="s">
        <v>203</v>
      </c>
      <c r="GWU13" s="314" t="s">
        <v>203</v>
      </c>
      <c r="GWV13" s="314" t="s">
        <v>203</v>
      </c>
      <c r="GWW13" s="314" t="s">
        <v>203</v>
      </c>
      <c r="GWX13" s="314" t="s">
        <v>203</v>
      </c>
      <c r="GWY13" s="314" t="s">
        <v>203</v>
      </c>
      <c r="GWZ13" s="314" t="s">
        <v>203</v>
      </c>
      <c r="GXA13" s="314" t="s">
        <v>203</v>
      </c>
      <c r="GXB13" s="314" t="s">
        <v>203</v>
      </c>
      <c r="GXC13" s="314" t="s">
        <v>203</v>
      </c>
      <c r="GXD13" s="314" t="s">
        <v>203</v>
      </c>
      <c r="GXE13" s="314" t="s">
        <v>203</v>
      </c>
      <c r="GXF13" s="314" t="s">
        <v>203</v>
      </c>
      <c r="GXG13" s="314" t="s">
        <v>203</v>
      </c>
      <c r="GXH13" s="314" t="s">
        <v>203</v>
      </c>
      <c r="GXI13" s="314" t="s">
        <v>203</v>
      </c>
      <c r="GXJ13" s="314" t="s">
        <v>203</v>
      </c>
      <c r="GXK13" s="314" t="s">
        <v>203</v>
      </c>
      <c r="GXL13" s="314" t="s">
        <v>203</v>
      </c>
      <c r="GXM13" s="314" t="s">
        <v>203</v>
      </c>
      <c r="GXN13" s="314" t="s">
        <v>203</v>
      </c>
      <c r="GXO13" s="314" t="s">
        <v>203</v>
      </c>
      <c r="GXP13" s="314" t="s">
        <v>203</v>
      </c>
      <c r="GXQ13" s="314" t="s">
        <v>203</v>
      </c>
      <c r="GXR13" s="314" t="s">
        <v>203</v>
      </c>
      <c r="GXS13" s="314" t="s">
        <v>203</v>
      </c>
      <c r="GXT13" s="314" t="s">
        <v>203</v>
      </c>
      <c r="GXU13" s="314" t="s">
        <v>203</v>
      </c>
      <c r="GXV13" s="314" t="s">
        <v>203</v>
      </c>
      <c r="GXW13" s="314" t="s">
        <v>203</v>
      </c>
      <c r="GXX13" s="314" t="s">
        <v>203</v>
      </c>
      <c r="GXY13" s="314" t="s">
        <v>203</v>
      </c>
      <c r="GXZ13" s="314" t="s">
        <v>203</v>
      </c>
      <c r="GYA13" s="314" t="s">
        <v>203</v>
      </c>
      <c r="GYB13" s="314" t="s">
        <v>203</v>
      </c>
      <c r="GYC13" s="314" t="s">
        <v>203</v>
      </c>
      <c r="GYD13" s="314" t="s">
        <v>203</v>
      </c>
      <c r="GYE13" s="314" t="s">
        <v>203</v>
      </c>
      <c r="GYF13" s="314" t="s">
        <v>203</v>
      </c>
      <c r="GYG13" s="314" t="s">
        <v>203</v>
      </c>
      <c r="GYH13" s="314" t="s">
        <v>203</v>
      </c>
      <c r="GYI13" s="314" t="s">
        <v>203</v>
      </c>
      <c r="GYJ13" s="314" t="s">
        <v>203</v>
      </c>
      <c r="GYK13" s="314" t="s">
        <v>203</v>
      </c>
      <c r="GYL13" s="314" t="s">
        <v>203</v>
      </c>
      <c r="GYM13" s="314" t="s">
        <v>203</v>
      </c>
      <c r="GYN13" s="314" t="s">
        <v>203</v>
      </c>
      <c r="GYO13" s="314" t="s">
        <v>203</v>
      </c>
      <c r="GYP13" s="314" t="s">
        <v>203</v>
      </c>
      <c r="GYQ13" s="314" t="s">
        <v>203</v>
      </c>
      <c r="GYR13" s="314" t="s">
        <v>203</v>
      </c>
      <c r="GYS13" s="314" t="s">
        <v>203</v>
      </c>
      <c r="GYT13" s="314" t="s">
        <v>203</v>
      </c>
      <c r="GYU13" s="314" t="s">
        <v>203</v>
      </c>
      <c r="GYV13" s="314" t="s">
        <v>203</v>
      </c>
      <c r="GYW13" s="314" t="s">
        <v>203</v>
      </c>
      <c r="GYX13" s="314" t="s">
        <v>203</v>
      </c>
      <c r="GYY13" s="314" t="s">
        <v>203</v>
      </c>
      <c r="GYZ13" s="314" t="s">
        <v>203</v>
      </c>
      <c r="GZA13" s="314" t="s">
        <v>203</v>
      </c>
      <c r="GZB13" s="314" t="s">
        <v>203</v>
      </c>
      <c r="GZC13" s="314" t="s">
        <v>203</v>
      </c>
      <c r="GZD13" s="314" t="s">
        <v>203</v>
      </c>
      <c r="GZE13" s="314" t="s">
        <v>203</v>
      </c>
      <c r="GZF13" s="314" t="s">
        <v>203</v>
      </c>
      <c r="GZG13" s="314" t="s">
        <v>203</v>
      </c>
      <c r="GZH13" s="314" t="s">
        <v>203</v>
      </c>
      <c r="GZI13" s="314" t="s">
        <v>203</v>
      </c>
      <c r="GZJ13" s="314" t="s">
        <v>203</v>
      </c>
      <c r="GZK13" s="314" t="s">
        <v>203</v>
      </c>
      <c r="GZL13" s="314" t="s">
        <v>203</v>
      </c>
      <c r="GZM13" s="314" t="s">
        <v>203</v>
      </c>
      <c r="GZN13" s="314" t="s">
        <v>203</v>
      </c>
      <c r="GZO13" s="314" t="s">
        <v>203</v>
      </c>
      <c r="GZP13" s="314" t="s">
        <v>203</v>
      </c>
      <c r="GZQ13" s="314" t="s">
        <v>203</v>
      </c>
      <c r="GZR13" s="314" t="s">
        <v>203</v>
      </c>
      <c r="GZS13" s="314" t="s">
        <v>203</v>
      </c>
      <c r="GZT13" s="314" t="s">
        <v>203</v>
      </c>
      <c r="GZU13" s="314" t="s">
        <v>203</v>
      </c>
      <c r="GZV13" s="314" t="s">
        <v>203</v>
      </c>
      <c r="GZW13" s="314" t="s">
        <v>203</v>
      </c>
      <c r="GZX13" s="314" t="s">
        <v>203</v>
      </c>
      <c r="GZY13" s="314" t="s">
        <v>203</v>
      </c>
      <c r="GZZ13" s="314" t="s">
        <v>203</v>
      </c>
      <c r="HAA13" s="314" t="s">
        <v>203</v>
      </c>
      <c r="HAB13" s="314" t="s">
        <v>203</v>
      </c>
      <c r="HAC13" s="314" t="s">
        <v>203</v>
      </c>
      <c r="HAD13" s="314" t="s">
        <v>203</v>
      </c>
      <c r="HAE13" s="314" t="s">
        <v>203</v>
      </c>
      <c r="HAF13" s="314" t="s">
        <v>203</v>
      </c>
      <c r="HAG13" s="314" t="s">
        <v>203</v>
      </c>
      <c r="HAH13" s="314" t="s">
        <v>203</v>
      </c>
      <c r="HAI13" s="314" t="s">
        <v>203</v>
      </c>
      <c r="HAJ13" s="314" t="s">
        <v>203</v>
      </c>
      <c r="HAK13" s="314" t="s">
        <v>203</v>
      </c>
      <c r="HAL13" s="314" t="s">
        <v>203</v>
      </c>
      <c r="HAM13" s="314" t="s">
        <v>203</v>
      </c>
      <c r="HAN13" s="314" t="s">
        <v>203</v>
      </c>
      <c r="HAO13" s="314" t="s">
        <v>203</v>
      </c>
      <c r="HAP13" s="314" t="s">
        <v>203</v>
      </c>
      <c r="HAQ13" s="314" t="s">
        <v>203</v>
      </c>
      <c r="HAR13" s="314" t="s">
        <v>203</v>
      </c>
      <c r="HAS13" s="314" t="s">
        <v>203</v>
      </c>
      <c r="HAT13" s="314" t="s">
        <v>203</v>
      </c>
      <c r="HAU13" s="314" t="s">
        <v>203</v>
      </c>
      <c r="HAV13" s="314" t="s">
        <v>203</v>
      </c>
      <c r="HAW13" s="314" t="s">
        <v>203</v>
      </c>
      <c r="HAX13" s="314" t="s">
        <v>203</v>
      </c>
      <c r="HAY13" s="314" t="s">
        <v>203</v>
      </c>
      <c r="HAZ13" s="314" t="s">
        <v>203</v>
      </c>
      <c r="HBA13" s="314" t="s">
        <v>203</v>
      </c>
      <c r="HBB13" s="314" t="s">
        <v>203</v>
      </c>
      <c r="HBC13" s="314" t="s">
        <v>203</v>
      </c>
      <c r="HBD13" s="314" t="s">
        <v>203</v>
      </c>
      <c r="HBE13" s="314" t="s">
        <v>203</v>
      </c>
      <c r="HBF13" s="314" t="s">
        <v>203</v>
      </c>
      <c r="HBG13" s="314" t="s">
        <v>203</v>
      </c>
      <c r="HBH13" s="314" t="s">
        <v>203</v>
      </c>
      <c r="HBI13" s="314" t="s">
        <v>203</v>
      </c>
      <c r="HBJ13" s="314" t="s">
        <v>203</v>
      </c>
      <c r="HBK13" s="314" t="s">
        <v>203</v>
      </c>
      <c r="HBL13" s="314" t="s">
        <v>203</v>
      </c>
      <c r="HBM13" s="314" t="s">
        <v>203</v>
      </c>
      <c r="HBN13" s="314" t="s">
        <v>203</v>
      </c>
      <c r="HBO13" s="314" t="s">
        <v>203</v>
      </c>
      <c r="HBP13" s="314" t="s">
        <v>203</v>
      </c>
      <c r="HBQ13" s="314" t="s">
        <v>203</v>
      </c>
      <c r="HBR13" s="314" t="s">
        <v>203</v>
      </c>
      <c r="HBS13" s="314" t="s">
        <v>203</v>
      </c>
      <c r="HBT13" s="314" t="s">
        <v>203</v>
      </c>
      <c r="HBU13" s="314" t="s">
        <v>203</v>
      </c>
      <c r="HBV13" s="314" t="s">
        <v>203</v>
      </c>
      <c r="HBW13" s="314" t="s">
        <v>203</v>
      </c>
      <c r="HBX13" s="314" t="s">
        <v>203</v>
      </c>
      <c r="HBY13" s="314" t="s">
        <v>203</v>
      </c>
      <c r="HBZ13" s="314" t="s">
        <v>203</v>
      </c>
      <c r="HCA13" s="314" t="s">
        <v>203</v>
      </c>
      <c r="HCB13" s="314" t="s">
        <v>203</v>
      </c>
      <c r="HCC13" s="314" t="s">
        <v>203</v>
      </c>
      <c r="HCD13" s="314" t="s">
        <v>203</v>
      </c>
      <c r="HCE13" s="314" t="s">
        <v>203</v>
      </c>
      <c r="HCF13" s="314" t="s">
        <v>203</v>
      </c>
      <c r="HCG13" s="314" t="s">
        <v>203</v>
      </c>
      <c r="HCH13" s="314" t="s">
        <v>203</v>
      </c>
      <c r="HCI13" s="314" t="s">
        <v>203</v>
      </c>
      <c r="HCJ13" s="314" t="s">
        <v>203</v>
      </c>
      <c r="HCK13" s="314" t="s">
        <v>203</v>
      </c>
      <c r="HCL13" s="314" t="s">
        <v>203</v>
      </c>
      <c r="HCM13" s="314" t="s">
        <v>203</v>
      </c>
      <c r="HCN13" s="314" t="s">
        <v>203</v>
      </c>
      <c r="HCO13" s="314" t="s">
        <v>203</v>
      </c>
      <c r="HCP13" s="314" t="s">
        <v>203</v>
      </c>
      <c r="HCQ13" s="314" t="s">
        <v>203</v>
      </c>
      <c r="HCR13" s="314" t="s">
        <v>203</v>
      </c>
      <c r="HCS13" s="314" t="s">
        <v>203</v>
      </c>
      <c r="HCT13" s="314" t="s">
        <v>203</v>
      </c>
      <c r="HCU13" s="314" t="s">
        <v>203</v>
      </c>
      <c r="HCV13" s="314" t="s">
        <v>203</v>
      </c>
      <c r="HCW13" s="314" t="s">
        <v>203</v>
      </c>
      <c r="HCX13" s="314" t="s">
        <v>203</v>
      </c>
      <c r="HCY13" s="314" t="s">
        <v>203</v>
      </c>
      <c r="HCZ13" s="314" t="s">
        <v>203</v>
      </c>
      <c r="HDA13" s="314" t="s">
        <v>203</v>
      </c>
      <c r="HDB13" s="314" t="s">
        <v>203</v>
      </c>
      <c r="HDC13" s="314" t="s">
        <v>203</v>
      </c>
      <c r="HDD13" s="314" t="s">
        <v>203</v>
      </c>
      <c r="HDE13" s="314" t="s">
        <v>203</v>
      </c>
      <c r="HDF13" s="314" t="s">
        <v>203</v>
      </c>
      <c r="HDG13" s="314" t="s">
        <v>203</v>
      </c>
      <c r="HDH13" s="314" t="s">
        <v>203</v>
      </c>
      <c r="HDI13" s="314" t="s">
        <v>203</v>
      </c>
      <c r="HDJ13" s="314" t="s">
        <v>203</v>
      </c>
      <c r="HDK13" s="314" t="s">
        <v>203</v>
      </c>
      <c r="HDL13" s="314" t="s">
        <v>203</v>
      </c>
      <c r="HDM13" s="314" t="s">
        <v>203</v>
      </c>
      <c r="HDN13" s="314" t="s">
        <v>203</v>
      </c>
      <c r="HDO13" s="314" t="s">
        <v>203</v>
      </c>
      <c r="HDP13" s="314" t="s">
        <v>203</v>
      </c>
      <c r="HDQ13" s="314" t="s">
        <v>203</v>
      </c>
      <c r="HDR13" s="314" t="s">
        <v>203</v>
      </c>
      <c r="HDS13" s="314" t="s">
        <v>203</v>
      </c>
      <c r="HDT13" s="314" t="s">
        <v>203</v>
      </c>
      <c r="HDU13" s="314" t="s">
        <v>203</v>
      </c>
      <c r="HDV13" s="314" t="s">
        <v>203</v>
      </c>
      <c r="HDW13" s="314" t="s">
        <v>203</v>
      </c>
      <c r="HDX13" s="314" t="s">
        <v>203</v>
      </c>
      <c r="HDY13" s="314" t="s">
        <v>203</v>
      </c>
      <c r="HDZ13" s="314" t="s">
        <v>203</v>
      </c>
      <c r="HEA13" s="314" t="s">
        <v>203</v>
      </c>
      <c r="HEB13" s="314" t="s">
        <v>203</v>
      </c>
      <c r="HEC13" s="314" t="s">
        <v>203</v>
      </c>
      <c r="HED13" s="314" t="s">
        <v>203</v>
      </c>
      <c r="HEE13" s="314" t="s">
        <v>203</v>
      </c>
      <c r="HEF13" s="314" t="s">
        <v>203</v>
      </c>
      <c r="HEG13" s="314" t="s">
        <v>203</v>
      </c>
      <c r="HEH13" s="314" t="s">
        <v>203</v>
      </c>
      <c r="HEI13" s="314" t="s">
        <v>203</v>
      </c>
      <c r="HEJ13" s="314" t="s">
        <v>203</v>
      </c>
      <c r="HEK13" s="314" t="s">
        <v>203</v>
      </c>
      <c r="HEL13" s="314" t="s">
        <v>203</v>
      </c>
      <c r="HEM13" s="314" t="s">
        <v>203</v>
      </c>
      <c r="HEN13" s="314" t="s">
        <v>203</v>
      </c>
      <c r="HEO13" s="314" t="s">
        <v>203</v>
      </c>
      <c r="HEP13" s="314" t="s">
        <v>203</v>
      </c>
      <c r="HEQ13" s="314" t="s">
        <v>203</v>
      </c>
      <c r="HER13" s="314" t="s">
        <v>203</v>
      </c>
      <c r="HES13" s="314" t="s">
        <v>203</v>
      </c>
      <c r="HET13" s="314" t="s">
        <v>203</v>
      </c>
      <c r="HEU13" s="314" t="s">
        <v>203</v>
      </c>
      <c r="HEV13" s="314" t="s">
        <v>203</v>
      </c>
      <c r="HEW13" s="314" t="s">
        <v>203</v>
      </c>
      <c r="HEX13" s="314" t="s">
        <v>203</v>
      </c>
      <c r="HEY13" s="314" t="s">
        <v>203</v>
      </c>
      <c r="HEZ13" s="314" t="s">
        <v>203</v>
      </c>
      <c r="HFA13" s="314" t="s">
        <v>203</v>
      </c>
      <c r="HFB13" s="314" t="s">
        <v>203</v>
      </c>
      <c r="HFC13" s="314" t="s">
        <v>203</v>
      </c>
      <c r="HFD13" s="314" t="s">
        <v>203</v>
      </c>
      <c r="HFE13" s="314" t="s">
        <v>203</v>
      </c>
      <c r="HFF13" s="314" t="s">
        <v>203</v>
      </c>
      <c r="HFG13" s="314" t="s">
        <v>203</v>
      </c>
      <c r="HFH13" s="314" t="s">
        <v>203</v>
      </c>
      <c r="HFI13" s="314" t="s">
        <v>203</v>
      </c>
      <c r="HFJ13" s="314" t="s">
        <v>203</v>
      </c>
      <c r="HFK13" s="314" t="s">
        <v>203</v>
      </c>
      <c r="HFL13" s="314" t="s">
        <v>203</v>
      </c>
      <c r="HFM13" s="314" t="s">
        <v>203</v>
      </c>
      <c r="HFN13" s="314" t="s">
        <v>203</v>
      </c>
      <c r="HFO13" s="314" t="s">
        <v>203</v>
      </c>
      <c r="HFP13" s="314" t="s">
        <v>203</v>
      </c>
      <c r="HFQ13" s="314" t="s">
        <v>203</v>
      </c>
      <c r="HFR13" s="314" t="s">
        <v>203</v>
      </c>
      <c r="HFS13" s="314" t="s">
        <v>203</v>
      </c>
      <c r="HFT13" s="314" t="s">
        <v>203</v>
      </c>
      <c r="HFU13" s="314" t="s">
        <v>203</v>
      </c>
      <c r="HFV13" s="314" t="s">
        <v>203</v>
      </c>
      <c r="HFW13" s="314" t="s">
        <v>203</v>
      </c>
      <c r="HFX13" s="314" t="s">
        <v>203</v>
      </c>
      <c r="HFY13" s="314" t="s">
        <v>203</v>
      </c>
      <c r="HFZ13" s="314" t="s">
        <v>203</v>
      </c>
      <c r="HGA13" s="314" t="s">
        <v>203</v>
      </c>
      <c r="HGB13" s="314" t="s">
        <v>203</v>
      </c>
      <c r="HGC13" s="314" t="s">
        <v>203</v>
      </c>
      <c r="HGD13" s="314" t="s">
        <v>203</v>
      </c>
      <c r="HGE13" s="314" t="s">
        <v>203</v>
      </c>
      <c r="HGF13" s="314" t="s">
        <v>203</v>
      </c>
      <c r="HGG13" s="314" t="s">
        <v>203</v>
      </c>
      <c r="HGH13" s="314" t="s">
        <v>203</v>
      </c>
      <c r="HGI13" s="314" t="s">
        <v>203</v>
      </c>
      <c r="HGJ13" s="314" t="s">
        <v>203</v>
      </c>
      <c r="HGK13" s="314" t="s">
        <v>203</v>
      </c>
      <c r="HGL13" s="314" t="s">
        <v>203</v>
      </c>
      <c r="HGM13" s="314" t="s">
        <v>203</v>
      </c>
      <c r="HGN13" s="314" t="s">
        <v>203</v>
      </c>
      <c r="HGO13" s="314" t="s">
        <v>203</v>
      </c>
      <c r="HGP13" s="314" t="s">
        <v>203</v>
      </c>
      <c r="HGQ13" s="314" t="s">
        <v>203</v>
      </c>
      <c r="HGR13" s="314" t="s">
        <v>203</v>
      </c>
      <c r="HGS13" s="314" t="s">
        <v>203</v>
      </c>
      <c r="HGT13" s="314" t="s">
        <v>203</v>
      </c>
      <c r="HGU13" s="314" t="s">
        <v>203</v>
      </c>
      <c r="HGV13" s="314" t="s">
        <v>203</v>
      </c>
      <c r="HGW13" s="314" t="s">
        <v>203</v>
      </c>
      <c r="HGX13" s="314" t="s">
        <v>203</v>
      </c>
      <c r="HGY13" s="314" t="s">
        <v>203</v>
      </c>
      <c r="HGZ13" s="314" t="s">
        <v>203</v>
      </c>
      <c r="HHA13" s="314" t="s">
        <v>203</v>
      </c>
      <c r="HHB13" s="314" t="s">
        <v>203</v>
      </c>
      <c r="HHC13" s="314" t="s">
        <v>203</v>
      </c>
      <c r="HHD13" s="314" t="s">
        <v>203</v>
      </c>
      <c r="HHE13" s="314" t="s">
        <v>203</v>
      </c>
      <c r="HHF13" s="314" t="s">
        <v>203</v>
      </c>
      <c r="HHG13" s="314" t="s">
        <v>203</v>
      </c>
      <c r="HHH13" s="314" t="s">
        <v>203</v>
      </c>
      <c r="HHI13" s="314" t="s">
        <v>203</v>
      </c>
      <c r="HHJ13" s="314" t="s">
        <v>203</v>
      </c>
      <c r="HHK13" s="314" t="s">
        <v>203</v>
      </c>
      <c r="HHL13" s="314" t="s">
        <v>203</v>
      </c>
      <c r="HHM13" s="314" t="s">
        <v>203</v>
      </c>
      <c r="HHN13" s="314" t="s">
        <v>203</v>
      </c>
      <c r="HHO13" s="314" t="s">
        <v>203</v>
      </c>
      <c r="HHP13" s="314" t="s">
        <v>203</v>
      </c>
      <c r="HHQ13" s="314" t="s">
        <v>203</v>
      </c>
      <c r="HHR13" s="314" t="s">
        <v>203</v>
      </c>
      <c r="HHS13" s="314" t="s">
        <v>203</v>
      </c>
      <c r="HHT13" s="314" t="s">
        <v>203</v>
      </c>
      <c r="HHU13" s="314" t="s">
        <v>203</v>
      </c>
      <c r="HHV13" s="314" t="s">
        <v>203</v>
      </c>
      <c r="HHW13" s="314" t="s">
        <v>203</v>
      </c>
      <c r="HHX13" s="314" t="s">
        <v>203</v>
      </c>
      <c r="HHY13" s="314" t="s">
        <v>203</v>
      </c>
      <c r="HHZ13" s="314" t="s">
        <v>203</v>
      </c>
      <c r="HIA13" s="314" t="s">
        <v>203</v>
      </c>
      <c r="HIB13" s="314" t="s">
        <v>203</v>
      </c>
      <c r="HIC13" s="314" t="s">
        <v>203</v>
      </c>
      <c r="HID13" s="314" t="s">
        <v>203</v>
      </c>
      <c r="HIE13" s="314" t="s">
        <v>203</v>
      </c>
      <c r="HIF13" s="314" t="s">
        <v>203</v>
      </c>
      <c r="HIG13" s="314" t="s">
        <v>203</v>
      </c>
      <c r="HIH13" s="314" t="s">
        <v>203</v>
      </c>
      <c r="HII13" s="314" t="s">
        <v>203</v>
      </c>
      <c r="HIJ13" s="314" t="s">
        <v>203</v>
      </c>
      <c r="HIK13" s="314" t="s">
        <v>203</v>
      </c>
      <c r="HIL13" s="314" t="s">
        <v>203</v>
      </c>
      <c r="HIM13" s="314" t="s">
        <v>203</v>
      </c>
      <c r="HIN13" s="314" t="s">
        <v>203</v>
      </c>
      <c r="HIO13" s="314" t="s">
        <v>203</v>
      </c>
      <c r="HIP13" s="314" t="s">
        <v>203</v>
      </c>
      <c r="HIQ13" s="314" t="s">
        <v>203</v>
      </c>
      <c r="HIR13" s="314" t="s">
        <v>203</v>
      </c>
      <c r="HIS13" s="314" t="s">
        <v>203</v>
      </c>
      <c r="HIT13" s="314" t="s">
        <v>203</v>
      </c>
      <c r="HIU13" s="314" t="s">
        <v>203</v>
      </c>
      <c r="HIV13" s="314" t="s">
        <v>203</v>
      </c>
      <c r="HIW13" s="314" t="s">
        <v>203</v>
      </c>
      <c r="HIX13" s="314" t="s">
        <v>203</v>
      </c>
      <c r="HIY13" s="314" t="s">
        <v>203</v>
      </c>
      <c r="HIZ13" s="314" t="s">
        <v>203</v>
      </c>
      <c r="HJA13" s="314" t="s">
        <v>203</v>
      </c>
      <c r="HJB13" s="314" t="s">
        <v>203</v>
      </c>
      <c r="HJC13" s="314" t="s">
        <v>203</v>
      </c>
      <c r="HJD13" s="314" t="s">
        <v>203</v>
      </c>
      <c r="HJE13" s="314" t="s">
        <v>203</v>
      </c>
      <c r="HJF13" s="314" t="s">
        <v>203</v>
      </c>
      <c r="HJG13" s="314" t="s">
        <v>203</v>
      </c>
      <c r="HJH13" s="314" t="s">
        <v>203</v>
      </c>
      <c r="HJI13" s="314" t="s">
        <v>203</v>
      </c>
      <c r="HJJ13" s="314" t="s">
        <v>203</v>
      </c>
      <c r="HJK13" s="314" t="s">
        <v>203</v>
      </c>
      <c r="HJL13" s="314" t="s">
        <v>203</v>
      </c>
      <c r="HJM13" s="314" t="s">
        <v>203</v>
      </c>
      <c r="HJN13" s="314" t="s">
        <v>203</v>
      </c>
      <c r="HJO13" s="314" t="s">
        <v>203</v>
      </c>
      <c r="HJP13" s="314" t="s">
        <v>203</v>
      </c>
      <c r="HJQ13" s="314" t="s">
        <v>203</v>
      </c>
      <c r="HJR13" s="314" t="s">
        <v>203</v>
      </c>
      <c r="HJS13" s="314" t="s">
        <v>203</v>
      </c>
      <c r="HJT13" s="314" t="s">
        <v>203</v>
      </c>
      <c r="HJU13" s="314" t="s">
        <v>203</v>
      </c>
      <c r="HJV13" s="314" t="s">
        <v>203</v>
      </c>
      <c r="HJW13" s="314" t="s">
        <v>203</v>
      </c>
      <c r="HJX13" s="314" t="s">
        <v>203</v>
      </c>
      <c r="HJY13" s="314" t="s">
        <v>203</v>
      </c>
      <c r="HJZ13" s="314" t="s">
        <v>203</v>
      </c>
      <c r="HKA13" s="314" t="s">
        <v>203</v>
      </c>
      <c r="HKB13" s="314" t="s">
        <v>203</v>
      </c>
      <c r="HKC13" s="314" t="s">
        <v>203</v>
      </c>
      <c r="HKD13" s="314" t="s">
        <v>203</v>
      </c>
      <c r="HKE13" s="314" t="s">
        <v>203</v>
      </c>
      <c r="HKF13" s="314" t="s">
        <v>203</v>
      </c>
      <c r="HKG13" s="314" t="s">
        <v>203</v>
      </c>
      <c r="HKH13" s="314" t="s">
        <v>203</v>
      </c>
      <c r="HKI13" s="314" t="s">
        <v>203</v>
      </c>
      <c r="HKJ13" s="314" t="s">
        <v>203</v>
      </c>
      <c r="HKK13" s="314" t="s">
        <v>203</v>
      </c>
      <c r="HKL13" s="314" t="s">
        <v>203</v>
      </c>
      <c r="HKM13" s="314" t="s">
        <v>203</v>
      </c>
      <c r="HKN13" s="314" t="s">
        <v>203</v>
      </c>
      <c r="HKO13" s="314" t="s">
        <v>203</v>
      </c>
      <c r="HKP13" s="314" t="s">
        <v>203</v>
      </c>
      <c r="HKQ13" s="314" t="s">
        <v>203</v>
      </c>
      <c r="HKR13" s="314" t="s">
        <v>203</v>
      </c>
      <c r="HKS13" s="314" t="s">
        <v>203</v>
      </c>
      <c r="HKT13" s="314" t="s">
        <v>203</v>
      </c>
      <c r="HKU13" s="314" t="s">
        <v>203</v>
      </c>
      <c r="HKV13" s="314" t="s">
        <v>203</v>
      </c>
      <c r="HKW13" s="314" t="s">
        <v>203</v>
      </c>
      <c r="HKX13" s="314" t="s">
        <v>203</v>
      </c>
      <c r="HKY13" s="314" t="s">
        <v>203</v>
      </c>
      <c r="HKZ13" s="314" t="s">
        <v>203</v>
      </c>
      <c r="HLA13" s="314" t="s">
        <v>203</v>
      </c>
      <c r="HLB13" s="314" t="s">
        <v>203</v>
      </c>
      <c r="HLC13" s="314" t="s">
        <v>203</v>
      </c>
      <c r="HLD13" s="314" t="s">
        <v>203</v>
      </c>
      <c r="HLE13" s="314" t="s">
        <v>203</v>
      </c>
      <c r="HLF13" s="314" t="s">
        <v>203</v>
      </c>
      <c r="HLG13" s="314" t="s">
        <v>203</v>
      </c>
      <c r="HLH13" s="314" t="s">
        <v>203</v>
      </c>
      <c r="HLI13" s="314" t="s">
        <v>203</v>
      </c>
      <c r="HLJ13" s="314" t="s">
        <v>203</v>
      </c>
      <c r="HLK13" s="314" t="s">
        <v>203</v>
      </c>
      <c r="HLL13" s="314" t="s">
        <v>203</v>
      </c>
      <c r="HLM13" s="314" t="s">
        <v>203</v>
      </c>
      <c r="HLN13" s="314" t="s">
        <v>203</v>
      </c>
      <c r="HLO13" s="314" t="s">
        <v>203</v>
      </c>
      <c r="HLP13" s="314" t="s">
        <v>203</v>
      </c>
      <c r="HLQ13" s="314" t="s">
        <v>203</v>
      </c>
      <c r="HLR13" s="314" t="s">
        <v>203</v>
      </c>
      <c r="HLS13" s="314" t="s">
        <v>203</v>
      </c>
      <c r="HLT13" s="314" t="s">
        <v>203</v>
      </c>
      <c r="HLU13" s="314" t="s">
        <v>203</v>
      </c>
      <c r="HLV13" s="314" t="s">
        <v>203</v>
      </c>
      <c r="HLW13" s="314" t="s">
        <v>203</v>
      </c>
      <c r="HLX13" s="314" t="s">
        <v>203</v>
      </c>
      <c r="HLY13" s="314" t="s">
        <v>203</v>
      </c>
      <c r="HLZ13" s="314" t="s">
        <v>203</v>
      </c>
      <c r="HMA13" s="314" t="s">
        <v>203</v>
      </c>
      <c r="HMB13" s="314" t="s">
        <v>203</v>
      </c>
      <c r="HMC13" s="314" t="s">
        <v>203</v>
      </c>
      <c r="HMD13" s="314" t="s">
        <v>203</v>
      </c>
      <c r="HME13" s="314" t="s">
        <v>203</v>
      </c>
      <c r="HMF13" s="314" t="s">
        <v>203</v>
      </c>
      <c r="HMG13" s="314" t="s">
        <v>203</v>
      </c>
      <c r="HMH13" s="314" t="s">
        <v>203</v>
      </c>
      <c r="HMI13" s="314" t="s">
        <v>203</v>
      </c>
      <c r="HMJ13" s="314" t="s">
        <v>203</v>
      </c>
      <c r="HMK13" s="314" t="s">
        <v>203</v>
      </c>
      <c r="HML13" s="314" t="s">
        <v>203</v>
      </c>
      <c r="HMM13" s="314" t="s">
        <v>203</v>
      </c>
      <c r="HMN13" s="314" t="s">
        <v>203</v>
      </c>
      <c r="HMO13" s="314" t="s">
        <v>203</v>
      </c>
      <c r="HMP13" s="314" t="s">
        <v>203</v>
      </c>
      <c r="HMQ13" s="314" t="s">
        <v>203</v>
      </c>
      <c r="HMR13" s="314" t="s">
        <v>203</v>
      </c>
      <c r="HMS13" s="314" t="s">
        <v>203</v>
      </c>
      <c r="HMT13" s="314" t="s">
        <v>203</v>
      </c>
      <c r="HMU13" s="314" t="s">
        <v>203</v>
      </c>
      <c r="HMV13" s="314" t="s">
        <v>203</v>
      </c>
      <c r="HMW13" s="314" t="s">
        <v>203</v>
      </c>
      <c r="HMX13" s="314" t="s">
        <v>203</v>
      </c>
      <c r="HMY13" s="314" t="s">
        <v>203</v>
      </c>
      <c r="HMZ13" s="314" t="s">
        <v>203</v>
      </c>
      <c r="HNA13" s="314" t="s">
        <v>203</v>
      </c>
      <c r="HNB13" s="314" t="s">
        <v>203</v>
      </c>
      <c r="HNC13" s="314" t="s">
        <v>203</v>
      </c>
      <c r="HND13" s="314" t="s">
        <v>203</v>
      </c>
      <c r="HNE13" s="314" t="s">
        <v>203</v>
      </c>
      <c r="HNF13" s="314" t="s">
        <v>203</v>
      </c>
      <c r="HNG13" s="314" t="s">
        <v>203</v>
      </c>
      <c r="HNH13" s="314" t="s">
        <v>203</v>
      </c>
      <c r="HNI13" s="314" t="s">
        <v>203</v>
      </c>
      <c r="HNJ13" s="314" t="s">
        <v>203</v>
      </c>
      <c r="HNK13" s="314" t="s">
        <v>203</v>
      </c>
      <c r="HNL13" s="314" t="s">
        <v>203</v>
      </c>
      <c r="HNM13" s="314" t="s">
        <v>203</v>
      </c>
      <c r="HNN13" s="314" t="s">
        <v>203</v>
      </c>
      <c r="HNO13" s="314" t="s">
        <v>203</v>
      </c>
      <c r="HNP13" s="314" t="s">
        <v>203</v>
      </c>
      <c r="HNQ13" s="314" t="s">
        <v>203</v>
      </c>
      <c r="HNR13" s="314" t="s">
        <v>203</v>
      </c>
      <c r="HNS13" s="314" t="s">
        <v>203</v>
      </c>
      <c r="HNT13" s="314" t="s">
        <v>203</v>
      </c>
      <c r="HNU13" s="314" t="s">
        <v>203</v>
      </c>
      <c r="HNV13" s="314" t="s">
        <v>203</v>
      </c>
      <c r="HNW13" s="314" t="s">
        <v>203</v>
      </c>
      <c r="HNX13" s="314" t="s">
        <v>203</v>
      </c>
      <c r="HNY13" s="314" t="s">
        <v>203</v>
      </c>
      <c r="HNZ13" s="314" t="s">
        <v>203</v>
      </c>
      <c r="HOA13" s="314" t="s">
        <v>203</v>
      </c>
      <c r="HOB13" s="314" t="s">
        <v>203</v>
      </c>
      <c r="HOC13" s="314" t="s">
        <v>203</v>
      </c>
      <c r="HOD13" s="314" t="s">
        <v>203</v>
      </c>
      <c r="HOE13" s="314" t="s">
        <v>203</v>
      </c>
      <c r="HOF13" s="314" t="s">
        <v>203</v>
      </c>
      <c r="HOG13" s="314" t="s">
        <v>203</v>
      </c>
      <c r="HOH13" s="314" t="s">
        <v>203</v>
      </c>
      <c r="HOI13" s="314" t="s">
        <v>203</v>
      </c>
      <c r="HOJ13" s="314" t="s">
        <v>203</v>
      </c>
      <c r="HOK13" s="314" t="s">
        <v>203</v>
      </c>
      <c r="HOL13" s="314" t="s">
        <v>203</v>
      </c>
      <c r="HOM13" s="314" t="s">
        <v>203</v>
      </c>
      <c r="HON13" s="314" t="s">
        <v>203</v>
      </c>
      <c r="HOO13" s="314" t="s">
        <v>203</v>
      </c>
      <c r="HOP13" s="314" t="s">
        <v>203</v>
      </c>
      <c r="HOQ13" s="314" t="s">
        <v>203</v>
      </c>
      <c r="HOR13" s="314" t="s">
        <v>203</v>
      </c>
      <c r="HOS13" s="314" t="s">
        <v>203</v>
      </c>
      <c r="HOT13" s="314" t="s">
        <v>203</v>
      </c>
      <c r="HOU13" s="314" t="s">
        <v>203</v>
      </c>
      <c r="HOV13" s="314" t="s">
        <v>203</v>
      </c>
      <c r="HOW13" s="314" t="s">
        <v>203</v>
      </c>
      <c r="HOX13" s="314" t="s">
        <v>203</v>
      </c>
      <c r="HOY13" s="314" t="s">
        <v>203</v>
      </c>
      <c r="HOZ13" s="314" t="s">
        <v>203</v>
      </c>
      <c r="HPA13" s="314" t="s">
        <v>203</v>
      </c>
      <c r="HPB13" s="314" t="s">
        <v>203</v>
      </c>
      <c r="HPC13" s="314" t="s">
        <v>203</v>
      </c>
      <c r="HPD13" s="314" t="s">
        <v>203</v>
      </c>
      <c r="HPE13" s="314" t="s">
        <v>203</v>
      </c>
      <c r="HPF13" s="314" t="s">
        <v>203</v>
      </c>
      <c r="HPG13" s="314" t="s">
        <v>203</v>
      </c>
      <c r="HPH13" s="314" t="s">
        <v>203</v>
      </c>
      <c r="HPI13" s="314" t="s">
        <v>203</v>
      </c>
      <c r="HPJ13" s="314" t="s">
        <v>203</v>
      </c>
      <c r="HPK13" s="314" t="s">
        <v>203</v>
      </c>
      <c r="HPL13" s="314" t="s">
        <v>203</v>
      </c>
      <c r="HPM13" s="314" t="s">
        <v>203</v>
      </c>
      <c r="HPN13" s="314" t="s">
        <v>203</v>
      </c>
      <c r="HPO13" s="314" t="s">
        <v>203</v>
      </c>
      <c r="HPP13" s="314" t="s">
        <v>203</v>
      </c>
      <c r="HPQ13" s="314" t="s">
        <v>203</v>
      </c>
      <c r="HPR13" s="314" t="s">
        <v>203</v>
      </c>
      <c r="HPS13" s="314" t="s">
        <v>203</v>
      </c>
      <c r="HPT13" s="314" t="s">
        <v>203</v>
      </c>
      <c r="HPU13" s="314" t="s">
        <v>203</v>
      </c>
      <c r="HPV13" s="314" t="s">
        <v>203</v>
      </c>
      <c r="HPW13" s="314" t="s">
        <v>203</v>
      </c>
      <c r="HPX13" s="314" t="s">
        <v>203</v>
      </c>
      <c r="HPY13" s="314" t="s">
        <v>203</v>
      </c>
      <c r="HPZ13" s="314" t="s">
        <v>203</v>
      </c>
      <c r="HQA13" s="314" t="s">
        <v>203</v>
      </c>
      <c r="HQB13" s="314" t="s">
        <v>203</v>
      </c>
      <c r="HQC13" s="314" t="s">
        <v>203</v>
      </c>
      <c r="HQD13" s="314" t="s">
        <v>203</v>
      </c>
      <c r="HQE13" s="314" t="s">
        <v>203</v>
      </c>
      <c r="HQF13" s="314" t="s">
        <v>203</v>
      </c>
      <c r="HQG13" s="314" t="s">
        <v>203</v>
      </c>
      <c r="HQH13" s="314" t="s">
        <v>203</v>
      </c>
      <c r="HQI13" s="314" t="s">
        <v>203</v>
      </c>
      <c r="HQJ13" s="314" t="s">
        <v>203</v>
      </c>
      <c r="HQK13" s="314" t="s">
        <v>203</v>
      </c>
      <c r="HQL13" s="314" t="s">
        <v>203</v>
      </c>
      <c r="HQM13" s="314" t="s">
        <v>203</v>
      </c>
      <c r="HQN13" s="314" t="s">
        <v>203</v>
      </c>
      <c r="HQO13" s="314" t="s">
        <v>203</v>
      </c>
      <c r="HQP13" s="314" t="s">
        <v>203</v>
      </c>
      <c r="HQQ13" s="314" t="s">
        <v>203</v>
      </c>
      <c r="HQR13" s="314" t="s">
        <v>203</v>
      </c>
      <c r="HQS13" s="314" t="s">
        <v>203</v>
      </c>
      <c r="HQT13" s="314" t="s">
        <v>203</v>
      </c>
      <c r="HQU13" s="314" t="s">
        <v>203</v>
      </c>
      <c r="HQV13" s="314" t="s">
        <v>203</v>
      </c>
      <c r="HQW13" s="314" t="s">
        <v>203</v>
      </c>
      <c r="HQX13" s="314" t="s">
        <v>203</v>
      </c>
      <c r="HQY13" s="314" t="s">
        <v>203</v>
      </c>
      <c r="HQZ13" s="314" t="s">
        <v>203</v>
      </c>
      <c r="HRA13" s="314" t="s">
        <v>203</v>
      </c>
      <c r="HRB13" s="314" t="s">
        <v>203</v>
      </c>
      <c r="HRC13" s="314" t="s">
        <v>203</v>
      </c>
      <c r="HRD13" s="314" t="s">
        <v>203</v>
      </c>
      <c r="HRE13" s="314" t="s">
        <v>203</v>
      </c>
      <c r="HRF13" s="314" t="s">
        <v>203</v>
      </c>
      <c r="HRG13" s="314" t="s">
        <v>203</v>
      </c>
      <c r="HRH13" s="314" t="s">
        <v>203</v>
      </c>
      <c r="HRI13" s="314" t="s">
        <v>203</v>
      </c>
      <c r="HRJ13" s="314" t="s">
        <v>203</v>
      </c>
      <c r="HRK13" s="314" t="s">
        <v>203</v>
      </c>
      <c r="HRL13" s="314" t="s">
        <v>203</v>
      </c>
      <c r="HRM13" s="314" t="s">
        <v>203</v>
      </c>
      <c r="HRN13" s="314" t="s">
        <v>203</v>
      </c>
      <c r="HRO13" s="314" t="s">
        <v>203</v>
      </c>
      <c r="HRP13" s="314" t="s">
        <v>203</v>
      </c>
      <c r="HRQ13" s="314" t="s">
        <v>203</v>
      </c>
      <c r="HRR13" s="314" t="s">
        <v>203</v>
      </c>
      <c r="HRS13" s="314" t="s">
        <v>203</v>
      </c>
      <c r="HRT13" s="314" t="s">
        <v>203</v>
      </c>
      <c r="HRU13" s="314" t="s">
        <v>203</v>
      </c>
      <c r="HRV13" s="314" t="s">
        <v>203</v>
      </c>
      <c r="HRW13" s="314" t="s">
        <v>203</v>
      </c>
      <c r="HRX13" s="314" t="s">
        <v>203</v>
      </c>
      <c r="HRY13" s="314" t="s">
        <v>203</v>
      </c>
      <c r="HRZ13" s="314" t="s">
        <v>203</v>
      </c>
      <c r="HSA13" s="314" t="s">
        <v>203</v>
      </c>
      <c r="HSB13" s="314" t="s">
        <v>203</v>
      </c>
      <c r="HSC13" s="314" t="s">
        <v>203</v>
      </c>
      <c r="HSD13" s="314" t="s">
        <v>203</v>
      </c>
      <c r="HSE13" s="314" t="s">
        <v>203</v>
      </c>
      <c r="HSF13" s="314" t="s">
        <v>203</v>
      </c>
      <c r="HSG13" s="314" t="s">
        <v>203</v>
      </c>
      <c r="HSH13" s="314" t="s">
        <v>203</v>
      </c>
      <c r="HSI13" s="314" t="s">
        <v>203</v>
      </c>
      <c r="HSJ13" s="314" t="s">
        <v>203</v>
      </c>
      <c r="HSK13" s="314" t="s">
        <v>203</v>
      </c>
      <c r="HSL13" s="314" t="s">
        <v>203</v>
      </c>
      <c r="HSM13" s="314" t="s">
        <v>203</v>
      </c>
      <c r="HSN13" s="314" t="s">
        <v>203</v>
      </c>
      <c r="HSO13" s="314" t="s">
        <v>203</v>
      </c>
      <c r="HSP13" s="314" t="s">
        <v>203</v>
      </c>
      <c r="HSQ13" s="314" t="s">
        <v>203</v>
      </c>
      <c r="HSR13" s="314" t="s">
        <v>203</v>
      </c>
      <c r="HSS13" s="314" t="s">
        <v>203</v>
      </c>
      <c r="HST13" s="314" t="s">
        <v>203</v>
      </c>
      <c r="HSU13" s="314" t="s">
        <v>203</v>
      </c>
      <c r="HSV13" s="314" t="s">
        <v>203</v>
      </c>
      <c r="HSW13" s="314" t="s">
        <v>203</v>
      </c>
      <c r="HSX13" s="314" t="s">
        <v>203</v>
      </c>
      <c r="HSY13" s="314" t="s">
        <v>203</v>
      </c>
      <c r="HSZ13" s="314" t="s">
        <v>203</v>
      </c>
      <c r="HTA13" s="314" t="s">
        <v>203</v>
      </c>
      <c r="HTB13" s="314" t="s">
        <v>203</v>
      </c>
      <c r="HTC13" s="314" t="s">
        <v>203</v>
      </c>
      <c r="HTD13" s="314" t="s">
        <v>203</v>
      </c>
      <c r="HTE13" s="314" t="s">
        <v>203</v>
      </c>
      <c r="HTF13" s="314" t="s">
        <v>203</v>
      </c>
      <c r="HTG13" s="314" t="s">
        <v>203</v>
      </c>
      <c r="HTH13" s="314" t="s">
        <v>203</v>
      </c>
      <c r="HTI13" s="314" t="s">
        <v>203</v>
      </c>
      <c r="HTJ13" s="314" t="s">
        <v>203</v>
      </c>
      <c r="HTK13" s="314" t="s">
        <v>203</v>
      </c>
      <c r="HTL13" s="314" t="s">
        <v>203</v>
      </c>
      <c r="HTM13" s="314" t="s">
        <v>203</v>
      </c>
      <c r="HTN13" s="314" t="s">
        <v>203</v>
      </c>
      <c r="HTO13" s="314" t="s">
        <v>203</v>
      </c>
      <c r="HTP13" s="314" t="s">
        <v>203</v>
      </c>
      <c r="HTQ13" s="314" t="s">
        <v>203</v>
      </c>
      <c r="HTR13" s="314" t="s">
        <v>203</v>
      </c>
      <c r="HTS13" s="314" t="s">
        <v>203</v>
      </c>
      <c r="HTT13" s="314" t="s">
        <v>203</v>
      </c>
      <c r="HTU13" s="314" t="s">
        <v>203</v>
      </c>
      <c r="HTV13" s="314" t="s">
        <v>203</v>
      </c>
      <c r="HTW13" s="314" t="s">
        <v>203</v>
      </c>
      <c r="HTX13" s="314" t="s">
        <v>203</v>
      </c>
      <c r="HTY13" s="314" t="s">
        <v>203</v>
      </c>
      <c r="HTZ13" s="314" t="s">
        <v>203</v>
      </c>
      <c r="HUA13" s="314" t="s">
        <v>203</v>
      </c>
      <c r="HUB13" s="314" t="s">
        <v>203</v>
      </c>
      <c r="HUC13" s="314" t="s">
        <v>203</v>
      </c>
      <c r="HUD13" s="314" t="s">
        <v>203</v>
      </c>
      <c r="HUE13" s="314" t="s">
        <v>203</v>
      </c>
      <c r="HUF13" s="314" t="s">
        <v>203</v>
      </c>
      <c r="HUG13" s="314" t="s">
        <v>203</v>
      </c>
      <c r="HUH13" s="314" t="s">
        <v>203</v>
      </c>
      <c r="HUI13" s="314" t="s">
        <v>203</v>
      </c>
      <c r="HUJ13" s="314" t="s">
        <v>203</v>
      </c>
      <c r="HUK13" s="314" t="s">
        <v>203</v>
      </c>
      <c r="HUL13" s="314" t="s">
        <v>203</v>
      </c>
      <c r="HUM13" s="314" t="s">
        <v>203</v>
      </c>
      <c r="HUN13" s="314" t="s">
        <v>203</v>
      </c>
      <c r="HUO13" s="314" t="s">
        <v>203</v>
      </c>
      <c r="HUP13" s="314" t="s">
        <v>203</v>
      </c>
      <c r="HUQ13" s="314" t="s">
        <v>203</v>
      </c>
      <c r="HUR13" s="314" t="s">
        <v>203</v>
      </c>
      <c r="HUS13" s="314" t="s">
        <v>203</v>
      </c>
      <c r="HUT13" s="314" t="s">
        <v>203</v>
      </c>
      <c r="HUU13" s="314" t="s">
        <v>203</v>
      </c>
      <c r="HUV13" s="314" t="s">
        <v>203</v>
      </c>
      <c r="HUW13" s="314" t="s">
        <v>203</v>
      </c>
      <c r="HUX13" s="314" t="s">
        <v>203</v>
      </c>
      <c r="HUY13" s="314" t="s">
        <v>203</v>
      </c>
      <c r="HUZ13" s="314" t="s">
        <v>203</v>
      </c>
      <c r="HVA13" s="314" t="s">
        <v>203</v>
      </c>
      <c r="HVB13" s="314" t="s">
        <v>203</v>
      </c>
      <c r="HVC13" s="314" t="s">
        <v>203</v>
      </c>
      <c r="HVD13" s="314" t="s">
        <v>203</v>
      </c>
      <c r="HVE13" s="314" t="s">
        <v>203</v>
      </c>
      <c r="HVF13" s="314" t="s">
        <v>203</v>
      </c>
      <c r="HVG13" s="314" t="s">
        <v>203</v>
      </c>
      <c r="HVH13" s="314" t="s">
        <v>203</v>
      </c>
      <c r="HVI13" s="314" t="s">
        <v>203</v>
      </c>
      <c r="HVJ13" s="314" t="s">
        <v>203</v>
      </c>
      <c r="HVK13" s="314" t="s">
        <v>203</v>
      </c>
      <c r="HVL13" s="314" t="s">
        <v>203</v>
      </c>
      <c r="HVM13" s="314" t="s">
        <v>203</v>
      </c>
      <c r="HVN13" s="314" t="s">
        <v>203</v>
      </c>
      <c r="HVO13" s="314" t="s">
        <v>203</v>
      </c>
      <c r="HVP13" s="314" t="s">
        <v>203</v>
      </c>
      <c r="HVQ13" s="314" t="s">
        <v>203</v>
      </c>
      <c r="HVR13" s="314" t="s">
        <v>203</v>
      </c>
      <c r="HVS13" s="314" t="s">
        <v>203</v>
      </c>
      <c r="HVT13" s="314" t="s">
        <v>203</v>
      </c>
      <c r="HVU13" s="314" t="s">
        <v>203</v>
      </c>
      <c r="HVV13" s="314" t="s">
        <v>203</v>
      </c>
      <c r="HVW13" s="314" t="s">
        <v>203</v>
      </c>
      <c r="HVX13" s="314" t="s">
        <v>203</v>
      </c>
      <c r="HVY13" s="314" t="s">
        <v>203</v>
      </c>
      <c r="HVZ13" s="314" t="s">
        <v>203</v>
      </c>
      <c r="HWA13" s="314" t="s">
        <v>203</v>
      </c>
      <c r="HWB13" s="314" t="s">
        <v>203</v>
      </c>
      <c r="HWC13" s="314" t="s">
        <v>203</v>
      </c>
      <c r="HWD13" s="314" t="s">
        <v>203</v>
      </c>
      <c r="HWE13" s="314" t="s">
        <v>203</v>
      </c>
      <c r="HWF13" s="314" t="s">
        <v>203</v>
      </c>
      <c r="HWG13" s="314" t="s">
        <v>203</v>
      </c>
      <c r="HWH13" s="314" t="s">
        <v>203</v>
      </c>
      <c r="HWI13" s="314" t="s">
        <v>203</v>
      </c>
      <c r="HWJ13" s="314" t="s">
        <v>203</v>
      </c>
      <c r="HWK13" s="314" t="s">
        <v>203</v>
      </c>
      <c r="HWL13" s="314" t="s">
        <v>203</v>
      </c>
      <c r="HWM13" s="314" t="s">
        <v>203</v>
      </c>
      <c r="HWN13" s="314" t="s">
        <v>203</v>
      </c>
      <c r="HWO13" s="314" t="s">
        <v>203</v>
      </c>
      <c r="HWP13" s="314" t="s">
        <v>203</v>
      </c>
      <c r="HWQ13" s="314" t="s">
        <v>203</v>
      </c>
      <c r="HWR13" s="314" t="s">
        <v>203</v>
      </c>
      <c r="HWS13" s="314" t="s">
        <v>203</v>
      </c>
      <c r="HWT13" s="314" t="s">
        <v>203</v>
      </c>
      <c r="HWU13" s="314" t="s">
        <v>203</v>
      </c>
      <c r="HWV13" s="314" t="s">
        <v>203</v>
      </c>
      <c r="HWW13" s="314" t="s">
        <v>203</v>
      </c>
      <c r="HWX13" s="314" t="s">
        <v>203</v>
      </c>
      <c r="HWY13" s="314" t="s">
        <v>203</v>
      </c>
      <c r="HWZ13" s="314" t="s">
        <v>203</v>
      </c>
      <c r="HXA13" s="314" t="s">
        <v>203</v>
      </c>
      <c r="HXB13" s="314" t="s">
        <v>203</v>
      </c>
      <c r="HXC13" s="314" t="s">
        <v>203</v>
      </c>
      <c r="HXD13" s="314" t="s">
        <v>203</v>
      </c>
      <c r="HXE13" s="314" t="s">
        <v>203</v>
      </c>
      <c r="HXF13" s="314" t="s">
        <v>203</v>
      </c>
      <c r="HXG13" s="314" t="s">
        <v>203</v>
      </c>
      <c r="HXH13" s="314" t="s">
        <v>203</v>
      </c>
      <c r="HXI13" s="314" t="s">
        <v>203</v>
      </c>
      <c r="HXJ13" s="314" t="s">
        <v>203</v>
      </c>
      <c r="HXK13" s="314" t="s">
        <v>203</v>
      </c>
      <c r="HXL13" s="314" t="s">
        <v>203</v>
      </c>
      <c r="HXM13" s="314" t="s">
        <v>203</v>
      </c>
      <c r="HXN13" s="314" t="s">
        <v>203</v>
      </c>
      <c r="HXO13" s="314" t="s">
        <v>203</v>
      </c>
      <c r="HXP13" s="314" t="s">
        <v>203</v>
      </c>
      <c r="HXQ13" s="314" t="s">
        <v>203</v>
      </c>
      <c r="HXR13" s="314" t="s">
        <v>203</v>
      </c>
      <c r="HXS13" s="314" t="s">
        <v>203</v>
      </c>
      <c r="HXT13" s="314" t="s">
        <v>203</v>
      </c>
      <c r="HXU13" s="314" t="s">
        <v>203</v>
      </c>
      <c r="HXV13" s="314" t="s">
        <v>203</v>
      </c>
      <c r="HXW13" s="314" t="s">
        <v>203</v>
      </c>
      <c r="HXX13" s="314" t="s">
        <v>203</v>
      </c>
      <c r="HXY13" s="314" t="s">
        <v>203</v>
      </c>
      <c r="HXZ13" s="314" t="s">
        <v>203</v>
      </c>
      <c r="HYA13" s="314" t="s">
        <v>203</v>
      </c>
      <c r="HYB13" s="314" t="s">
        <v>203</v>
      </c>
      <c r="HYC13" s="314" t="s">
        <v>203</v>
      </c>
      <c r="HYD13" s="314" t="s">
        <v>203</v>
      </c>
      <c r="HYE13" s="314" t="s">
        <v>203</v>
      </c>
      <c r="HYF13" s="314" t="s">
        <v>203</v>
      </c>
      <c r="HYG13" s="314" t="s">
        <v>203</v>
      </c>
      <c r="HYH13" s="314" t="s">
        <v>203</v>
      </c>
      <c r="HYI13" s="314" t="s">
        <v>203</v>
      </c>
      <c r="HYJ13" s="314" t="s">
        <v>203</v>
      </c>
      <c r="HYK13" s="314" t="s">
        <v>203</v>
      </c>
      <c r="HYL13" s="314" t="s">
        <v>203</v>
      </c>
      <c r="HYM13" s="314" t="s">
        <v>203</v>
      </c>
      <c r="HYN13" s="314" t="s">
        <v>203</v>
      </c>
      <c r="HYO13" s="314" t="s">
        <v>203</v>
      </c>
      <c r="HYP13" s="314" t="s">
        <v>203</v>
      </c>
      <c r="HYQ13" s="314" t="s">
        <v>203</v>
      </c>
      <c r="HYR13" s="314" t="s">
        <v>203</v>
      </c>
      <c r="HYS13" s="314" t="s">
        <v>203</v>
      </c>
      <c r="HYT13" s="314" t="s">
        <v>203</v>
      </c>
      <c r="HYU13" s="314" t="s">
        <v>203</v>
      </c>
      <c r="HYV13" s="314" t="s">
        <v>203</v>
      </c>
      <c r="HYW13" s="314" t="s">
        <v>203</v>
      </c>
      <c r="HYX13" s="314" t="s">
        <v>203</v>
      </c>
      <c r="HYY13" s="314" t="s">
        <v>203</v>
      </c>
      <c r="HYZ13" s="314" t="s">
        <v>203</v>
      </c>
      <c r="HZA13" s="314" t="s">
        <v>203</v>
      </c>
      <c r="HZB13" s="314" t="s">
        <v>203</v>
      </c>
      <c r="HZC13" s="314" t="s">
        <v>203</v>
      </c>
      <c r="HZD13" s="314" t="s">
        <v>203</v>
      </c>
      <c r="HZE13" s="314" t="s">
        <v>203</v>
      </c>
      <c r="HZF13" s="314" t="s">
        <v>203</v>
      </c>
      <c r="HZG13" s="314" t="s">
        <v>203</v>
      </c>
      <c r="HZH13" s="314" t="s">
        <v>203</v>
      </c>
      <c r="HZI13" s="314" t="s">
        <v>203</v>
      </c>
      <c r="HZJ13" s="314" t="s">
        <v>203</v>
      </c>
      <c r="HZK13" s="314" t="s">
        <v>203</v>
      </c>
      <c r="HZL13" s="314" t="s">
        <v>203</v>
      </c>
      <c r="HZM13" s="314" t="s">
        <v>203</v>
      </c>
      <c r="HZN13" s="314" t="s">
        <v>203</v>
      </c>
      <c r="HZO13" s="314" t="s">
        <v>203</v>
      </c>
      <c r="HZP13" s="314" t="s">
        <v>203</v>
      </c>
      <c r="HZQ13" s="314" t="s">
        <v>203</v>
      </c>
      <c r="HZR13" s="314" t="s">
        <v>203</v>
      </c>
      <c r="HZS13" s="314" t="s">
        <v>203</v>
      </c>
      <c r="HZT13" s="314" t="s">
        <v>203</v>
      </c>
      <c r="HZU13" s="314" t="s">
        <v>203</v>
      </c>
      <c r="HZV13" s="314" t="s">
        <v>203</v>
      </c>
      <c r="HZW13" s="314" t="s">
        <v>203</v>
      </c>
      <c r="HZX13" s="314" t="s">
        <v>203</v>
      </c>
      <c r="HZY13" s="314" t="s">
        <v>203</v>
      </c>
      <c r="HZZ13" s="314" t="s">
        <v>203</v>
      </c>
      <c r="IAA13" s="314" t="s">
        <v>203</v>
      </c>
      <c r="IAB13" s="314" t="s">
        <v>203</v>
      </c>
      <c r="IAC13" s="314" t="s">
        <v>203</v>
      </c>
      <c r="IAD13" s="314" t="s">
        <v>203</v>
      </c>
      <c r="IAE13" s="314" t="s">
        <v>203</v>
      </c>
      <c r="IAF13" s="314" t="s">
        <v>203</v>
      </c>
      <c r="IAG13" s="314" t="s">
        <v>203</v>
      </c>
      <c r="IAH13" s="314" t="s">
        <v>203</v>
      </c>
      <c r="IAI13" s="314" t="s">
        <v>203</v>
      </c>
      <c r="IAJ13" s="314" t="s">
        <v>203</v>
      </c>
      <c r="IAK13" s="314" t="s">
        <v>203</v>
      </c>
      <c r="IAL13" s="314" t="s">
        <v>203</v>
      </c>
      <c r="IAM13" s="314" t="s">
        <v>203</v>
      </c>
      <c r="IAN13" s="314" t="s">
        <v>203</v>
      </c>
      <c r="IAO13" s="314" t="s">
        <v>203</v>
      </c>
      <c r="IAP13" s="314" t="s">
        <v>203</v>
      </c>
      <c r="IAQ13" s="314" t="s">
        <v>203</v>
      </c>
      <c r="IAR13" s="314" t="s">
        <v>203</v>
      </c>
      <c r="IAS13" s="314" t="s">
        <v>203</v>
      </c>
      <c r="IAT13" s="314" t="s">
        <v>203</v>
      </c>
      <c r="IAU13" s="314" t="s">
        <v>203</v>
      </c>
      <c r="IAV13" s="314" t="s">
        <v>203</v>
      </c>
      <c r="IAW13" s="314" t="s">
        <v>203</v>
      </c>
      <c r="IAX13" s="314" t="s">
        <v>203</v>
      </c>
      <c r="IAY13" s="314" t="s">
        <v>203</v>
      </c>
      <c r="IAZ13" s="314" t="s">
        <v>203</v>
      </c>
      <c r="IBA13" s="314" t="s">
        <v>203</v>
      </c>
      <c r="IBB13" s="314" t="s">
        <v>203</v>
      </c>
      <c r="IBC13" s="314" t="s">
        <v>203</v>
      </c>
      <c r="IBD13" s="314" t="s">
        <v>203</v>
      </c>
      <c r="IBE13" s="314" t="s">
        <v>203</v>
      </c>
      <c r="IBF13" s="314" t="s">
        <v>203</v>
      </c>
      <c r="IBG13" s="314" t="s">
        <v>203</v>
      </c>
      <c r="IBH13" s="314" t="s">
        <v>203</v>
      </c>
      <c r="IBI13" s="314" t="s">
        <v>203</v>
      </c>
      <c r="IBJ13" s="314" t="s">
        <v>203</v>
      </c>
      <c r="IBK13" s="314" t="s">
        <v>203</v>
      </c>
      <c r="IBL13" s="314" t="s">
        <v>203</v>
      </c>
      <c r="IBM13" s="314" t="s">
        <v>203</v>
      </c>
      <c r="IBN13" s="314" t="s">
        <v>203</v>
      </c>
      <c r="IBO13" s="314" t="s">
        <v>203</v>
      </c>
      <c r="IBP13" s="314" t="s">
        <v>203</v>
      </c>
      <c r="IBQ13" s="314" t="s">
        <v>203</v>
      </c>
      <c r="IBR13" s="314" t="s">
        <v>203</v>
      </c>
      <c r="IBS13" s="314" t="s">
        <v>203</v>
      </c>
      <c r="IBT13" s="314" t="s">
        <v>203</v>
      </c>
      <c r="IBU13" s="314" t="s">
        <v>203</v>
      </c>
      <c r="IBV13" s="314" t="s">
        <v>203</v>
      </c>
      <c r="IBW13" s="314" t="s">
        <v>203</v>
      </c>
      <c r="IBX13" s="314" t="s">
        <v>203</v>
      </c>
      <c r="IBY13" s="314" t="s">
        <v>203</v>
      </c>
      <c r="IBZ13" s="314" t="s">
        <v>203</v>
      </c>
      <c r="ICA13" s="314" t="s">
        <v>203</v>
      </c>
      <c r="ICB13" s="314" t="s">
        <v>203</v>
      </c>
      <c r="ICC13" s="314" t="s">
        <v>203</v>
      </c>
      <c r="ICD13" s="314" t="s">
        <v>203</v>
      </c>
      <c r="ICE13" s="314" t="s">
        <v>203</v>
      </c>
      <c r="ICF13" s="314" t="s">
        <v>203</v>
      </c>
      <c r="ICG13" s="314" t="s">
        <v>203</v>
      </c>
      <c r="ICH13" s="314" t="s">
        <v>203</v>
      </c>
      <c r="ICI13" s="314" t="s">
        <v>203</v>
      </c>
      <c r="ICJ13" s="314" t="s">
        <v>203</v>
      </c>
      <c r="ICK13" s="314" t="s">
        <v>203</v>
      </c>
      <c r="ICL13" s="314" t="s">
        <v>203</v>
      </c>
      <c r="ICM13" s="314" t="s">
        <v>203</v>
      </c>
      <c r="ICN13" s="314" t="s">
        <v>203</v>
      </c>
      <c r="ICO13" s="314" t="s">
        <v>203</v>
      </c>
      <c r="ICP13" s="314" t="s">
        <v>203</v>
      </c>
      <c r="ICQ13" s="314" t="s">
        <v>203</v>
      </c>
      <c r="ICR13" s="314" t="s">
        <v>203</v>
      </c>
      <c r="ICS13" s="314" t="s">
        <v>203</v>
      </c>
      <c r="ICT13" s="314" t="s">
        <v>203</v>
      </c>
      <c r="ICU13" s="314" t="s">
        <v>203</v>
      </c>
      <c r="ICV13" s="314" t="s">
        <v>203</v>
      </c>
      <c r="ICW13" s="314" t="s">
        <v>203</v>
      </c>
      <c r="ICX13" s="314" t="s">
        <v>203</v>
      </c>
      <c r="ICY13" s="314" t="s">
        <v>203</v>
      </c>
      <c r="ICZ13" s="314" t="s">
        <v>203</v>
      </c>
      <c r="IDA13" s="314" t="s">
        <v>203</v>
      </c>
      <c r="IDB13" s="314" t="s">
        <v>203</v>
      </c>
      <c r="IDC13" s="314" t="s">
        <v>203</v>
      </c>
      <c r="IDD13" s="314" t="s">
        <v>203</v>
      </c>
      <c r="IDE13" s="314" t="s">
        <v>203</v>
      </c>
      <c r="IDF13" s="314" t="s">
        <v>203</v>
      </c>
      <c r="IDG13" s="314" t="s">
        <v>203</v>
      </c>
      <c r="IDH13" s="314" t="s">
        <v>203</v>
      </c>
      <c r="IDI13" s="314" t="s">
        <v>203</v>
      </c>
      <c r="IDJ13" s="314" t="s">
        <v>203</v>
      </c>
      <c r="IDK13" s="314" t="s">
        <v>203</v>
      </c>
      <c r="IDL13" s="314" t="s">
        <v>203</v>
      </c>
      <c r="IDM13" s="314" t="s">
        <v>203</v>
      </c>
      <c r="IDN13" s="314" t="s">
        <v>203</v>
      </c>
      <c r="IDO13" s="314" t="s">
        <v>203</v>
      </c>
      <c r="IDP13" s="314" t="s">
        <v>203</v>
      </c>
      <c r="IDQ13" s="314" t="s">
        <v>203</v>
      </c>
      <c r="IDR13" s="314" t="s">
        <v>203</v>
      </c>
      <c r="IDS13" s="314" t="s">
        <v>203</v>
      </c>
      <c r="IDT13" s="314" t="s">
        <v>203</v>
      </c>
      <c r="IDU13" s="314" t="s">
        <v>203</v>
      </c>
      <c r="IDV13" s="314" t="s">
        <v>203</v>
      </c>
      <c r="IDW13" s="314" t="s">
        <v>203</v>
      </c>
      <c r="IDX13" s="314" t="s">
        <v>203</v>
      </c>
      <c r="IDY13" s="314" t="s">
        <v>203</v>
      </c>
      <c r="IDZ13" s="314" t="s">
        <v>203</v>
      </c>
      <c r="IEA13" s="314" t="s">
        <v>203</v>
      </c>
      <c r="IEB13" s="314" t="s">
        <v>203</v>
      </c>
      <c r="IEC13" s="314" t="s">
        <v>203</v>
      </c>
      <c r="IED13" s="314" t="s">
        <v>203</v>
      </c>
      <c r="IEE13" s="314" t="s">
        <v>203</v>
      </c>
      <c r="IEF13" s="314" t="s">
        <v>203</v>
      </c>
      <c r="IEG13" s="314" t="s">
        <v>203</v>
      </c>
      <c r="IEH13" s="314" t="s">
        <v>203</v>
      </c>
      <c r="IEI13" s="314" t="s">
        <v>203</v>
      </c>
      <c r="IEJ13" s="314" t="s">
        <v>203</v>
      </c>
      <c r="IEK13" s="314" t="s">
        <v>203</v>
      </c>
      <c r="IEL13" s="314" t="s">
        <v>203</v>
      </c>
      <c r="IEM13" s="314" t="s">
        <v>203</v>
      </c>
      <c r="IEN13" s="314" t="s">
        <v>203</v>
      </c>
      <c r="IEO13" s="314" t="s">
        <v>203</v>
      </c>
      <c r="IEP13" s="314" t="s">
        <v>203</v>
      </c>
      <c r="IEQ13" s="314" t="s">
        <v>203</v>
      </c>
      <c r="IER13" s="314" t="s">
        <v>203</v>
      </c>
      <c r="IES13" s="314" t="s">
        <v>203</v>
      </c>
      <c r="IET13" s="314" t="s">
        <v>203</v>
      </c>
      <c r="IEU13" s="314" t="s">
        <v>203</v>
      </c>
      <c r="IEV13" s="314" t="s">
        <v>203</v>
      </c>
      <c r="IEW13" s="314" t="s">
        <v>203</v>
      </c>
      <c r="IEX13" s="314" t="s">
        <v>203</v>
      </c>
      <c r="IEY13" s="314" t="s">
        <v>203</v>
      </c>
      <c r="IEZ13" s="314" t="s">
        <v>203</v>
      </c>
      <c r="IFA13" s="314" t="s">
        <v>203</v>
      </c>
      <c r="IFB13" s="314" t="s">
        <v>203</v>
      </c>
      <c r="IFC13" s="314" t="s">
        <v>203</v>
      </c>
      <c r="IFD13" s="314" t="s">
        <v>203</v>
      </c>
      <c r="IFE13" s="314" t="s">
        <v>203</v>
      </c>
      <c r="IFF13" s="314" t="s">
        <v>203</v>
      </c>
      <c r="IFG13" s="314" t="s">
        <v>203</v>
      </c>
      <c r="IFH13" s="314" t="s">
        <v>203</v>
      </c>
      <c r="IFI13" s="314" t="s">
        <v>203</v>
      </c>
      <c r="IFJ13" s="314" t="s">
        <v>203</v>
      </c>
      <c r="IFK13" s="314" t="s">
        <v>203</v>
      </c>
      <c r="IFL13" s="314" t="s">
        <v>203</v>
      </c>
      <c r="IFM13" s="314" t="s">
        <v>203</v>
      </c>
      <c r="IFN13" s="314" t="s">
        <v>203</v>
      </c>
      <c r="IFO13" s="314" t="s">
        <v>203</v>
      </c>
      <c r="IFP13" s="314" t="s">
        <v>203</v>
      </c>
      <c r="IFQ13" s="314" t="s">
        <v>203</v>
      </c>
      <c r="IFR13" s="314" t="s">
        <v>203</v>
      </c>
      <c r="IFS13" s="314" t="s">
        <v>203</v>
      </c>
      <c r="IFT13" s="314" t="s">
        <v>203</v>
      </c>
      <c r="IFU13" s="314" t="s">
        <v>203</v>
      </c>
      <c r="IFV13" s="314" t="s">
        <v>203</v>
      </c>
      <c r="IFW13" s="314" t="s">
        <v>203</v>
      </c>
      <c r="IFX13" s="314" t="s">
        <v>203</v>
      </c>
      <c r="IFY13" s="314" t="s">
        <v>203</v>
      </c>
      <c r="IFZ13" s="314" t="s">
        <v>203</v>
      </c>
      <c r="IGA13" s="314" t="s">
        <v>203</v>
      </c>
      <c r="IGB13" s="314" t="s">
        <v>203</v>
      </c>
      <c r="IGC13" s="314" t="s">
        <v>203</v>
      </c>
      <c r="IGD13" s="314" t="s">
        <v>203</v>
      </c>
      <c r="IGE13" s="314" t="s">
        <v>203</v>
      </c>
      <c r="IGF13" s="314" t="s">
        <v>203</v>
      </c>
      <c r="IGG13" s="314" t="s">
        <v>203</v>
      </c>
      <c r="IGH13" s="314" t="s">
        <v>203</v>
      </c>
      <c r="IGI13" s="314" t="s">
        <v>203</v>
      </c>
      <c r="IGJ13" s="314" t="s">
        <v>203</v>
      </c>
      <c r="IGK13" s="314" t="s">
        <v>203</v>
      </c>
      <c r="IGL13" s="314" t="s">
        <v>203</v>
      </c>
      <c r="IGM13" s="314" t="s">
        <v>203</v>
      </c>
      <c r="IGN13" s="314" t="s">
        <v>203</v>
      </c>
      <c r="IGO13" s="314" t="s">
        <v>203</v>
      </c>
      <c r="IGP13" s="314" t="s">
        <v>203</v>
      </c>
      <c r="IGQ13" s="314" t="s">
        <v>203</v>
      </c>
      <c r="IGR13" s="314" t="s">
        <v>203</v>
      </c>
      <c r="IGS13" s="314" t="s">
        <v>203</v>
      </c>
      <c r="IGT13" s="314" t="s">
        <v>203</v>
      </c>
      <c r="IGU13" s="314" t="s">
        <v>203</v>
      </c>
      <c r="IGV13" s="314" t="s">
        <v>203</v>
      </c>
      <c r="IGW13" s="314" t="s">
        <v>203</v>
      </c>
      <c r="IGX13" s="314" t="s">
        <v>203</v>
      </c>
      <c r="IGY13" s="314" t="s">
        <v>203</v>
      </c>
      <c r="IGZ13" s="314" t="s">
        <v>203</v>
      </c>
      <c r="IHA13" s="314" t="s">
        <v>203</v>
      </c>
      <c r="IHB13" s="314" t="s">
        <v>203</v>
      </c>
      <c r="IHC13" s="314" t="s">
        <v>203</v>
      </c>
      <c r="IHD13" s="314" t="s">
        <v>203</v>
      </c>
      <c r="IHE13" s="314" t="s">
        <v>203</v>
      </c>
      <c r="IHF13" s="314" t="s">
        <v>203</v>
      </c>
      <c r="IHG13" s="314" t="s">
        <v>203</v>
      </c>
      <c r="IHH13" s="314" t="s">
        <v>203</v>
      </c>
      <c r="IHI13" s="314" t="s">
        <v>203</v>
      </c>
      <c r="IHJ13" s="314" t="s">
        <v>203</v>
      </c>
      <c r="IHK13" s="314" t="s">
        <v>203</v>
      </c>
      <c r="IHL13" s="314" t="s">
        <v>203</v>
      </c>
      <c r="IHM13" s="314" t="s">
        <v>203</v>
      </c>
      <c r="IHN13" s="314" t="s">
        <v>203</v>
      </c>
      <c r="IHO13" s="314" t="s">
        <v>203</v>
      </c>
      <c r="IHP13" s="314" t="s">
        <v>203</v>
      </c>
      <c r="IHQ13" s="314" t="s">
        <v>203</v>
      </c>
      <c r="IHR13" s="314" t="s">
        <v>203</v>
      </c>
      <c r="IHS13" s="314" t="s">
        <v>203</v>
      </c>
      <c r="IHT13" s="314" t="s">
        <v>203</v>
      </c>
      <c r="IHU13" s="314" t="s">
        <v>203</v>
      </c>
      <c r="IHV13" s="314" t="s">
        <v>203</v>
      </c>
      <c r="IHW13" s="314" t="s">
        <v>203</v>
      </c>
      <c r="IHX13" s="314" t="s">
        <v>203</v>
      </c>
      <c r="IHY13" s="314" t="s">
        <v>203</v>
      </c>
      <c r="IHZ13" s="314" t="s">
        <v>203</v>
      </c>
      <c r="IIA13" s="314" t="s">
        <v>203</v>
      </c>
      <c r="IIB13" s="314" t="s">
        <v>203</v>
      </c>
      <c r="IIC13" s="314" t="s">
        <v>203</v>
      </c>
      <c r="IID13" s="314" t="s">
        <v>203</v>
      </c>
      <c r="IIE13" s="314" t="s">
        <v>203</v>
      </c>
      <c r="IIF13" s="314" t="s">
        <v>203</v>
      </c>
      <c r="IIG13" s="314" t="s">
        <v>203</v>
      </c>
      <c r="IIH13" s="314" t="s">
        <v>203</v>
      </c>
      <c r="III13" s="314" t="s">
        <v>203</v>
      </c>
      <c r="IIJ13" s="314" t="s">
        <v>203</v>
      </c>
      <c r="IIK13" s="314" t="s">
        <v>203</v>
      </c>
      <c r="IIL13" s="314" t="s">
        <v>203</v>
      </c>
      <c r="IIM13" s="314" t="s">
        <v>203</v>
      </c>
      <c r="IIN13" s="314" t="s">
        <v>203</v>
      </c>
      <c r="IIO13" s="314" t="s">
        <v>203</v>
      </c>
      <c r="IIP13" s="314" t="s">
        <v>203</v>
      </c>
      <c r="IIQ13" s="314" t="s">
        <v>203</v>
      </c>
      <c r="IIR13" s="314" t="s">
        <v>203</v>
      </c>
      <c r="IIS13" s="314" t="s">
        <v>203</v>
      </c>
      <c r="IIT13" s="314" t="s">
        <v>203</v>
      </c>
      <c r="IIU13" s="314" t="s">
        <v>203</v>
      </c>
      <c r="IIV13" s="314" t="s">
        <v>203</v>
      </c>
      <c r="IIW13" s="314" t="s">
        <v>203</v>
      </c>
      <c r="IIX13" s="314" t="s">
        <v>203</v>
      </c>
      <c r="IIY13" s="314" t="s">
        <v>203</v>
      </c>
      <c r="IIZ13" s="314" t="s">
        <v>203</v>
      </c>
      <c r="IJA13" s="314" t="s">
        <v>203</v>
      </c>
      <c r="IJB13" s="314" t="s">
        <v>203</v>
      </c>
      <c r="IJC13" s="314" t="s">
        <v>203</v>
      </c>
      <c r="IJD13" s="314" t="s">
        <v>203</v>
      </c>
      <c r="IJE13" s="314" t="s">
        <v>203</v>
      </c>
      <c r="IJF13" s="314" t="s">
        <v>203</v>
      </c>
      <c r="IJG13" s="314" t="s">
        <v>203</v>
      </c>
      <c r="IJH13" s="314" t="s">
        <v>203</v>
      </c>
      <c r="IJI13" s="314" t="s">
        <v>203</v>
      </c>
      <c r="IJJ13" s="314" t="s">
        <v>203</v>
      </c>
      <c r="IJK13" s="314" t="s">
        <v>203</v>
      </c>
      <c r="IJL13" s="314" t="s">
        <v>203</v>
      </c>
      <c r="IJM13" s="314" t="s">
        <v>203</v>
      </c>
      <c r="IJN13" s="314" t="s">
        <v>203</v>
      </c>
      <c r="IJO13" s="314" t="s">
        <v>203</v>
      </c>
      <c r="IJP13" s="314" t="s">
        <v>203</v>
      </c>
      <c r="IJQ13" s="314" t="s">
        <v>203</v>
      </c>
      <c r="IJR13" s="314" t="s">
        <v>203</v>
      </c>
      <c r="IJS13" s="314" t="s">
        <v>203</v>
      </c>
      <c r="IJT13" s="314" t="s">
        <v>203</v>
      </c>
      <c r="IJU13" s="314" t="s">
        <v>203</v>
      </c>
      <c r="IJV13" s="314" t="s">
        <v>203</v>
      </c>
      <c r="IJW13" s="314" t="s">
        <v>203</v>
      </c>
      <c r="IJX13" s="314" t="s">
        <v>203</v>
      </c>
      <c r="IJY13" s="314" t="s">
        <v>203</v>
      </c>
      <c r="IJZ13" s="314" t="s">
        <v>203</v>
      </c>
      <c r="IKA13" s="314" t="s">
        <v>203</v>
      </c>
      <c r="IKB13" s="314" t="s">
        <v>203</v>
      </c>
      <c r="IKC13" s="314" t="s">
        <v>203</v>
      </c>
      <c r="IKD13" s="314" t="s">
        <v>203</v>
      </c>
      <c r="IKE13" s="314" t="s">
        <v>203</v>
      </c>
      <c r="IKF13" s="314" t="s">
        <v>203</v>
      </c>
      <c r="IKG13" s="314" t="s">
        <v>203</v>
      </c>
      <c r="IKH13" s="314" t="s">
        <v>203</v>
      </c>
      <c r="IKI13" s="314" t="s">
        <v>203</v>
      </c>
      <c r="IKJ13" s="314" t="s">
        <v>203</v>
      </c>
      <c r="IKK13" s="314" t="s">
        <v>203</v>
      </c>
      <c r="IKL13" s="314" t="s">
        <v>203</v>
      </c>
      <c r="IKM13" s="314" t="s">
        <v>203</v>
      </c>
      <c r="IKN13" s="314" t="s">
        <v>203</v>
      </c>
      <c r="IKO13" s="314" t="s">
        <v>203</v>
      </c>
      <c r="IKP13" s="314" t="s">
        <v>203</v>
      </c>
      <c r="IKQ13" s="314" t="s">
        <v>203</v>
      </c>
      <c r="IKR13" s="314" t="s">
        <v>203</v>
      </c>
      <c r="IKS13" s="314" t="s">
        <v>203</v>
      </c>
      <c r="IKT13" s="314" t="s">
        <v>203</v>
      </c>
      <c r="IKU13" s="314" t="s">
        <v>203</v>
      </c>
      <c r="IKV13" s="314" t="s">
        <v>203</v>
      </c>
      <c r="IKW13" s="314" t="s">
        <v>203</v>
      </c>
      <c r="IKX13" s="314" t="s">
        <v>203</v>
      </c>
      <c r="IKY13" s="314" t="s">
        <v>203</v>
      </c>
      <c r="IKZ13" s="314" t="s">
        <v>203</v>
      </c>
      <c r="ILA13" s="314" t="s">
        <v>203</v>
      </c>
      <c r="ILB13" s="314" t="s">
        <v>203</v>
      </c>
      <c r="ILC13" s="314" t="s">
        <v>203</v>
      </c>
      <c r="ILD13" s="314" t="s">
        <v>203</v>
      </c>
      <c r="ILE13" s="314" t="s">
        <v>203</v>
      </c>
      <c r="ILF13" s="314" t="s">
        <v>203</v>
      </c>
      <c r="ILG13" s="314" t="s">
        <v>203</v>
      </c>
      <c r="ILH13" s="314" t="s">
        <v>203</v>
      </c>
      <c r="ILI13" s="314" t="s">
        <v>203</v>
      </c>
      <c r="ILJ13" s="314" t="s">
        <v>203</v>
      </c>
      <c r="ILK13" s="314" t="s">
        <v>203</v>
      </c>
      <c r="ILL13" s="314" t="s">
        <v>203</v>
      </c>
      <c r="ILM13" s="314" t="s">
        <v>203</v>
      </c>
      <c r="ILN13" s="314" t="s">
        <v>203</v>
      </c>
      <c r="ILO13" s="314" t="s">
        <v>203</v>
      </c>
      <c r="ILP13" s="314" t="s">
        <v>203</v>
      </c>
      <c r="ILQ13" s="314" t="s">
        <v>203</v>
      </c>
      <c r="ILR13" s="314" t="s">
        <v>203</v>
      </c>
      <c r="ILS13" s="314" t="s">
        <v>203</v>
      </c>
      <c r="ILT13" s="314" t="s">
        <v>203</v>
      </c>
      <c r="ILU13" s="314" t="s">
        <v>203</v>
      </c>
      <c r="ILV13" s="314" t="s">
        <v>203</v>
      </c>
      <c r="ILW13" s="314" t="s">
        <v>203</v>
      </c>
      <c r="ILX13" s="314" t="s">
        <v>203</v>
      </c>
      <c r="ILY13" s="314" t="s">
        <v>203</v>
      </c>
      <c r="ILZ13" s="314" t="s">
        <v>203</v>
      </c>
      <c r="IMA13" s="314" t="s">
        <v>203</v>
      </c>
      <c r="IMB13" s="314" t="s">
        <v>203</v>
      </c>
      <c r="IMC13" s="314" t="s">
        <v>203</v>
      </c>
      <c r="IMD13" s="314" t="s">
        <v>203</v>
      </c>
      <c r="IME13" s="314" t="s">
        <v>203</v>
      </c>
      <c r="IMF13" s="314" t="s">
        <v>203</v>
      </c>
      <c r="IMG13" s="314" t="s">
        <v>203</v>
      </c>
      <c r="IMH13" s="314" t="s">
        <v>203</v>
      </c>
      <c r="IMI13" s="314" t="s">
        <v>203</v>
      </c>
      <c r="IMJ13" s="314" t="s">
        <v>203</v>
      </c>
      <c r="IMK13" s="314" t="s">
        <v>203</v>
      </c>
      <c r="IML13" s="314" t="s">
        <v>203</v>
      </c>
      <c r="IMM13" s="314" t="s">
        <v>203</v>
      </c>
      <c r="IMN13" s="314" t="s">
        <v>203</v>
      </c>
      <c r="IMO13" s="314" t="s">
        <v>203</v>
      </c>
      <c r="IMP13" s="314" t="s">
        <v>203</v>
      </c>
      <c r="IMQ13" s="314" t="s">
        <v>203</v>
      </c>
      <c r="IMR13" s="314" t="s">
        <v>203</v>
      </c>
      <c r="IMS13" s="314" t="s">
        <v>203</v>
      </c>
      <c r="IMT13" s="314" t="s">
        <v>203</v>
      </c>
      <c r="IMU13" s="314" t="s">
        <v>203</v>
      </c>
      <c r="IMV13" s="314" t="s">
        <v>203</v>
      </c>
      <c r="IMW13" s="314" t="s">
        <v>203</v>
      </c>
      <c r="IMX13" s="314" t="s">
        <v>203</v>
      </c>
      <c r="IMY13" s="314" t="s">
        <v>203</v>
      </c>
      <c r="IMZ13" s="314" t="s">
        <v>203</v>
      </c>
      <c r="INA13" s="314" t="s">
        <v>203</v>
      </c>
      <c r="INB13" s="314" t="s">
        <v>203</v>
      </c>
      <c r="INC13" s="314" t="s">
        <v>203</v>
      </c>
      <c r="IND13" s="314" t="s">
        <v>203</v>
      </c>
      <c r="INE13" s="314" t="s">
        <v>203</v>
      </c>
      <c r="INF13" s="314" t="s">
        <v>203</v>
      </c>
      <c r="ING13" s="314" t="s">
        <v>203</v>
      </c>
      <c r="INH13" s="314" t="s">
        <v>203</v>
      </c>
      <c r="INI13" s="314" t="s">
        <v>203</v>
      </c>
      <c r="INJ13" s="314" t="s">
        <v>203</v>
      </c>
      <c r="INK13" s="314" t="s">
        <v>203</v>
      </c>
      <c r="INL13" s="314" t="s">
        <v>203</v>
      </c>
      <c r="INM13" s="314" t="s">
        <v>203</v>
      </c>
      <c r="INN13" s="314" t="s">
        <v>203</v>
      </c>
      <c r="INO13" s="314" t="s">
        <v>203</v>
      </c>
      <c r="INP13" s="314" t="s">
        <v>203</v>
      </c>
      <c r="INQ13" s="314" t="s">
        <v>203</v>
      </c>
      <c r="INR13" s="314" t="s">
        <v>203</v>
      </c>
      <c r="INS13" s="314" t="s">
        <v>203</v>
      </c>
      <c r="INT13" s="314" t="s">
        <v>203</v>
      </c>
      <c r="INU13" s="314" t="s">
        <v>203</v>
      </c>
      <c r="INV13" s="314" t="s">
        <v>203</v>
      </c>
      <c r="INW13" s="314" t="s">
        <v>203</v>
      </c>
      <c r="INX13" s="314" t="s">
        <v>203</v>
      </c>
      <c r="INY13" s="314" t="s">
        <v>203</v>
      </c>
      <c r="INZ13" s="314" t="s">
        <v>203</v>
      </c>
      <c r="IOA13" s="314" t="s">
        <v>203</v>
      </c>
      <c r="IOB13" s="314" t="s">
        <v>203</v>
      </c>
      <c r="IOC13" s="314" t="s">
        <v>203</v>
      </c>
      <c r="IOD13" s="314" t="s">
        <v>203</v>
      </c>
      <c r="IOE13" s="314" t="s">
        <v>203</v>
      </c>
      <c r="IOF13" s="314" t="s">
        <v>203</v>
      </c>
      <c r="IOG13" s="314" t="s">
        <v>203</v>
      </c>
      <c r="IOH13" s="314" t="s">
        <v>203</v>
      </c>
      <c r="IOI13" s="314" t="s">
        <v>203</v>
      </c>
      <c r="IOJ13" s="314" t="s">
        <v>203</v>
      </c>
      <c r="IOK13" s="314" t="s">
        <v>203</v>
      </c>
      <c r="IOL13" s="314" t="s">
        <v>203</v>
      </c>
      <c r="IOM13" s="314" t="s">
        <v>203</v>
      </c>
      <c r="ION13" s="314" t="s">
        <v>203</v>
      </c>
      <c r="IOO13" s="314" t="s">
        <v>203</v>
      </c>
      <c r="IOP13" s="314" t="s">
        <v>203</v>
      </c>
      <c r="IOQ13" s="314" t="s">
        <v>203</v>
      </c>
      <c r="IOR13" s="314" t="s">
        <v>203</v>
      </c>
      <c r="IOS13" s="314" t="s">
        <v>203</v>
      </c>
      <c r="IOT13" s="314" t="s">
        <v>203</v>
      </c>
      <c r="IOU13" s="314" t="s">
        <v>203</v>
      </c>
      <c r="IOV13" s="314" t="s">
        <v>203</v>
      </c>
      <c r="IOW13" s="314" t="s">
        <v>203</v>
      </c>
      <c r="IOX13" s="314" t="s">
        <v>203</v>
      </c>
      <c r="IOY13" s="314" t="s">
        <v>203</v>
      </c>
      <c r="IOZ13" s="314" t="s">
        <v>203</v>
      </c>
      <c r="IPA13" s="314" t="s">
        <v>203</v>
      </c>
      <c r="IPB13" s="314" t="s">
        <v>203</v>
      </c>
      <c r="IPC13" s="314" t="s">
        <v>203</v>
      </c>
      <c r="IPD13" s="314" t="s">
        <v>203</v>
      </c>
      <c r="IPE13" s="314" t="s">
        <v>203</v>
      </c>
      <c r="IPF13" s="314" t="s">
        <v>203</v>
      </c>
      <c r="IPG13" s="314" t="s">
        <v>203</v>
      </c>
      <c r="IPH13" s="314" t="s">
        <v>203</v>
      </c>
      <c r="IPI13" s="314" t="s">
        <v>203</v>
      </c>
      <c r="IPJ13" s="314" t="s">
        <v>203</v>
      </c>
      <c r="IPK13" s="314" t="s">
        <v>203</v>
      </c>
      <c r="IPL13" s="314" t="s">
        <v>203</v>
      </c>
      <c r="IPM13" s="314" t="s">
        <v>203</v>
      </c>
      <c r="IPN13" s="314" t="s">
        <v>203</v>
      </c>
      <c r="IPO13" s="314" t="s">
        <v>203</v>
      </c>
      <c r="IPP13" s="314" t="s">
        <v>203</v>
      </c>
      <c r="IPQ13" s="314" t="s">
        <v>203</v>
      </c>
      <c r="IPR13" s="314" t="s">
        <v>203</v>
      </c>
      <c r="IPS13" s="314" t="s">
        <v>203</v>
      </c>
      <c r="IPT13" s="314" t="s">
        <v>203</v>
      </c>
      <c r="IPU13" s="314" t="s">
        <v>203</v>
      </c>
      <c r="IPV13" s="314" t="s">
        <v>203</v>
      </c>
      <c r="IPW13" s="314" t="s">
        <v>203</v>
      </c>
      <c r="IPX13" s="314" t="s">
        <v>203</v>
      </c>
      <c r="IPY13" s="314" t="s">
        <v>203</v>
      </c>
      <c r="IPZ13" s="314" t="s">
        <v>203</v>
      </c>
      <c r="IQA13" s="314" t="s">
        <v>203</v>
      </c>
      <c r="IQB13" s="314" t="s">
        <v>203</v>
      </c>
      <c r="IQC13" s="314" t="s">
        <v>203</v>
      </c>
      <c r="IQD13" s="314" t="s">
        <v>203</v>
      </c>
      <c r="IQE13" s="314" t="s">
        <v>203</v>
      </c>
      <c r="IQF13" s="314" t="s">
        <v>203</v>
      </c>
      <c r="IQG13" s="314" t="s">
        <v>203</v>
      </c>
      <c r="IQH13" s="314" t="s">
        <v>203</v>
      </c>
      <c r="IQI13" s="314" t="s">
        <v>203</v>
      </c>
      <c r="IQJ13" s="314" t="s">
        <v>203</v>
      </c>
      <c r="IQK13" s="314" t="s">
        <v>203</v>
      </c>
      <c r="IQL13" s="314" t="s">
        <v>203</v>
      </c>
      <c r="IQM13" s="314" t="s">
        <v>203</v>
      </c>
      <c r="IQN13" s="314" t="s">
        <v>203</v>
      </c>
      <c r="IQO13" s="314" t="s">
        <v>203</v>
      </c>
      <c r="IQP13" s="314" t="s">
        <v>203</v>
      </c>
      <c r="IQQ13" s="314" t="s">
        <v>203</v>
      </c>
      <c r="IQR13" s="314" t="s">
        <v>203</v>
      </c>
      <c r="IQS13" s="314" t="s">
        <v>203</v>
      </c>
      <c r="IQT13" s="314" t="s">
        <v>203</v>
      </c>
      <c r="IQU13" s="314" t="s">
        <v>203</v>
      </c>
      <c r="IQV13" s="314" t="s">
        <v>203</v>
      </c>
      <c r="IQW13" s="314" t="s">
        <v>203</v>
      </c>
      <c r="IQX13" s="314" t="s">
        <v>203</v>
      </c>
      <c r="IQY13" s="314" t="s">
        <v>203</v>
      </c>
      <c r="IQZ13" s="314" t="s">
        <v>203</v>
      </c>
      <c r="IRA13" s="314" t="s">
        <v>203</v>
      </c>
      <c r="IRB13" s="314" t="s">
        <v>203</v>
      </c>
      <c r="IRC13" s="314" t="s">
        <v>203</v>
      </c>
      <c r="IRD13" s="314" t="s">
        <v>203</v>
      </c>
      <c r="IRE13" s="314" t="s">
        <v>203</v>
      </c>
      <c r="IRF13" s="314" t="s">
        <v>203</v>
      </c>
      <c r="IRG13" s="314" t="s">
        <v>203</v>
      </c>
      <c r="IRH13" s="314" t="s">
        <v>203</v>
      </c>
      <c r="IRI13" s="314" t="s">
        <v>203</v>
      </c>
      <c r="IRJ13" s="314" t="s">
        <v>203</v>
      </c>
      <c r="IRK13" s="314" t="s">
        <v>203</v>
      </c>
      <c r="IRL13" s="314" t="s">
        <v>203</v>
      </c>
      <c r="IRM13" s="314" t="s">
        <v>203</v>
      </c>
      <c r="IRN13" s="314" t="s">
        <v>203</v>
      </c>
      <c r="IRO13" s="314" t="s">
        <v>203</v>
      </c>
      <c r="IRP13" s="314" t="s">
        <v>203</v>
      </c>
      <c r="IRQ13" s="314" t="s">
        <v>203</v>
      </c>
      <c r="IRR13" s="314" t="s">
        <v>203</v>
      </c>
      <c r="IRS13" s="314" t="s">
        <v>203</v>
      </c>
      <c r="IRT13" s="314" t="s">
        <v>203</v>
      </c>
      <c r="IRU13" s="314" t="s">
        <v>203</v>
      </c>
      <c r="IRV13" s="314" t="s">
        <v>203</v>
      </c>
      <c r="IRW13" s="314" t="s">
        <v>203</v>
      </c>
      <c r="IRX13" s="314" t="s">
        <v>203</v>
      </c>
      <c r="IRY13" s="314" t="s">
        <v>203</v>
      </c>
      <c r="IRZ13" s="314" t="s">
        <v>203</v>
      </c>
      <c r="ISA13" s="314" t="s">
        <v>203</v>
      </c>
      <c r="ISB13" s="314" t="s">
        <v>203</v>
      </c>
      <c r="ISC13" s="314" t="s">
        <v>203</v>
      </c>
      <c r="ISD13" s="314" t="s">
        <v>203</v>
      </c>
      <c r="ISE13" s="314" t="s">
        <v>203</v>
      </c>
      <c r="ISF13" s="314" t="s">
        <v>203</v>
      </c>
      <c r="ISG13" s="314" t="s">
        <v>203</v>
      </c>
      <c r="ISH13" s="314" t="s">
        <v>203</v>
      </c>
      <c r="ISI13" s="314" t="s">
        <v>203</v>
      </c>
      <c r="ISJ13" s="314" t="s">
        <v>203</v>
      </c>
      <c r="ISK13" s="314" t="s">
        <v>203</v>
      </c>
      <c r="ISL13" s="314" t="s">
        <v>203</v>
      </c>
      <c r="ISM13" s="314" t="s">
        <v>203</v>
      </c>
      <c r="ISN13" s="314" t="s">
        <v>203</v>
      </c>
      <c r="ISO13" s="314" t="s">
        <v>203</v>
      </c>
      <c r="ISP13" s="314" t="s">
        <v>203</v>
      </c>
      <c r="ISQ13" s="314" t="s">
        <v>203</v>
      </c>
      <c r="ISR13" s="314" t="s">
        <v>203</v>
      </c>
      <c r="ISS13" s="314" t="s">
        <v>203</v>
      </c>
      <c r="IST13" s="314" t="s">
        <v>203</v>
      </c>
      <c r="ISU13" s="314" t="s">
        <v>203</v>
      </c>
      <c r="ISV13" s="314" t="s">
        <v>203</v>
      </c>
      <c r="ISW13" s="314" t="s">
        <v>203</v>
      </c>
      <c r="ISX13" s="314" t="s">
        <v>203</v>
      </c>
      <c r="ISY13" s="314" t="s">
        <v>203</v>
      </c>
      <c r="ISZ13" s="314" t="s">
        <v>203</v>
      </c>
      <c r="ITA13" s="314" t="s">
        <v>203</v>
      </c>
      <c r="ITB13" s="314" t="s">
        <v>203</v>
      </c>
      <c r="ITC13" s="314" t="s">
        <v>203</v>
      </c>
      <c r="ITD13" s="314" t="s">
        <v>203</v>
      </c>
      <c r="ITE13" s="314" t="s">
        <v>203</v>
      </c>
      <c r="ITF13" s="314" t="s">
        <v>203</v>
      </c>
      <c r="ITG13" s="314" t="s">
        <v>203</v>
      </c>
      <c r="ITH13" s="314" t="s">
        <v>203</v>
      </c>
      <c r="ITI13" s="314" t="s">
        <v>203</v>
      </c>
      <c r="ITJ13" s="314" t="s">
        <v>203</v>
      </c>
      <c r="ITK13" s="314" t="s">
        <v>203</v>
      </c>
      <c r="ITL13" s="314" t="s">
        <v>203</v>
      </c>
      <c r="ITM13" s="314" t="s">
        <v>203</v>
      </c>
      <c r="ITN13" s="314" t="s">
        <v>203</v>
      </c>
      <c r="ITO13" s="314" t="s">
        <v>203</v>
      </c>
      <c r="ITP13" s="314" t="s">
        <v>203</v>
      </c>
      <c r="ITQ13" s="314" t="s">
        <v>203</v>
      </c>
      <c r="ITR13" s="314" t="s">
        <v>203</v>
      </c>
      <c r="ITS13" s="314" t="s">
        <v>203</v>
      </c>
      <c r="ITT13" s="314" t="s">
        <v>203</v>
      </c>
      <c r="ITU13" s="314" t="s">
        <v>203</v>
      </c>
      <c r="ITV13" s="314" t="s">
        <v>203</v>
      </c>
      <c r="ITW13" s="314" t="s">
        <v>203</v>
      </c>
      <c r="ITX13" s="314" t="s">
        <v>203</v>
      </c>
      <c r="ITY13" s="314" t="s">
        <v>203</v>
      </c>
      <c r="ITZ13" s="314" t="s">
        <v>203</v>
      </c>
      <c r="IUA13" s="314" t="s">
        <v>203</v>
      </c>
      <c r="IUB13" s="314" t="s">
        <v>203</v>
      </c>
      <c r="IUC13" s="314" t="s">
        <v>203</v>
      </c>
      <c r="IUD13" s="314" t="s">
        <v>203</v>
      </c>
      <c r="IUE13" s="314" t="s">
        <v>203</v>
      </c>
      <c r="IUF13" s="314" t="s">
        <v>203</v>
      </c>
      <c r="IUG13" s="314" t="s">
        <v>203</v>
      </c>
      <c r="IUH13" s="314" t="s">
        <v>203</v>
      </c>
      <c r="IUI13" s="314" t="s">
        <v>203</v>
      </c>
      <c r="IUJ13" s="314" t="s">
        <v>203</v>
      </c>
      <c r="IUK13" s="314" t="s">
        <v>203</v>
      </c>
      <c r="IUL13" s="314" t="s">
        <v>203</v>
      </c>
      <c r="IUM13" s="314" t="s">
        <v>203</v>
      </c>
      <c r="IUN13" s="314" t="s">
        <v>203</v>
      </c>
      <c r="IUO13" s="314" t="s">
        <v>203</v>
      </c>
      <c r="IUP13" s="314" t="s">
        <v>203</v>
      </c>
      <c r="IUQ13" s="314" t="s">
        <v>203</v>
      </c>
      <c r="IUR13" s="314" t="s">
        <v>203</v>
      </c>
      <c r="IUS13" s="314" t="s">
        <v>203</v>
      </c>
      <c r="IUT13" s="314" t="s">
        <v>203</v>
      </c>
      <c r="IUU13" s="314" t="s">
        <v>203</v>
      </c>
      <c r="IUV13" s="314" t="s">
        <v>203</v>
      </c>
      <c r="IUW13" s="314" t="s">
        <v>203</v>
      </c>
      <c r="IUX13" s="314" t="s">
        <v>203</v>
      </c>
      <c r="IUY13" s="314" t="s">
        <v>203</v>
      </c>
      <c r="IUZ13" s="314" t="s">
        <v>203</v>
      </c>
      <c r="IVA13" s="314" t="s">
        <v>203</v>
      </c>
      <c r="IVB13" s="314" t="s">
        <v>203</v>
      </c>
      <c r="IVC13" s="314" t="s">
        <v>203</v>
      </c>
      <c r="IVD13" s="314" t="s">
        <v>203</v>
      </c>
      <c r="IVE13" s="314" t="s">
        <v>203</v>
      </c>
      <c r="IVF13" s="314" t="s">
        <v>203</v>
      </c>
      <c r="IVG13" s="314" t="s">
        <v>203</v>
      </c>
      <c r="IVH13" s="314" t="s">
        <v>203</v>
      </c>
      <c r="IVI13" s="314" t="s">
        <v>203</v>
      </c>
      <c r="IVJ13" s="314" t="s">
        <v>203</v>
      </c>
      <c r="IVK13" s="314" t="s">
        <v>203</v>
      </c>
      <c r="IVL13" s="314" t="s">
        <v>203</v>
      </c>
      <c r="IVM13" s="314" t="s">
        <v>203</v>
      </c>
      <c r="IVN13" s="314" t="s">
        <v>203</v>
      </c>
      <c r="IVO13" s="314" t="s">
        <v>203</v>
      </c>
      <c r="IVP13" s="314" t="s">
        <v>203</v>
      </c>
      <c r="IVQ13" s="314" t="s">
        <v>203</v>
      </c>
      <c r="IVR13" s="314" t="s">
        <v>203</v>
      </c>
      <c r="IVS13" s="314" t="s">
        <v>203</v>
      </c>
      <c r="IVT13" s="314" t="s">
        <v>203</v>
      </c>
      <c r="IVU13" s="314" t="s">
        <v>203</v>
      </c>
      <c r="IVV13" s="314" t="s">
        <v>203</v>
      </c>
      <c r="IVW13" s="314" t="s">
        <v>203</v>
      </c>
      <c r="IVX13" s="314" t="s">
        <v>203</v>
      </c>
      <c r="IVY13" s="314" t="s">
        <v>203</v>
      </c>
      <c r="IVZ13" s="314" t="s">
        <v>203</v>
      </c>
      <c r="IWA13" s="314" t="s">
        <v>203</v>
      </c>
      <c r="IWB13" s="314" t="s">
        <v>203</v>
      </c>
      <c r="IWC13" s="314" t="s">
        <v>203</v>
      </c>
      <c r="IWD13" s="314" t="s">
        <v>203</v>
      </c>
      <c r="IWE13" s="314" t="s">
        <v>203</v>
      </c>
      <c r="IWF13" s="314" t="s">
        <v>203</v>
      </c>
      <c r="IWG13" s="314" t="s">
        <v>203</v>
      </c>
      <c r="IWH13" s="314" t="s">
        <v>203</v>
      </c>
      <c r="IWI13" s="314" t="s">
        <v>203</v>
      </c>
      <c r="IWJ13" s="314" t="s">
        <v>203</v>
      </c>
      <c r="IWK13" s="314" t="s">
        <v>203</v>
      </c>
      <c r="IWL13" s="314" t="s">
        <v>203</v>
      </c>
      <c r="IWM13" s="314" t="s">
        <v>203</v>
      </c>
      <c r="IWN13" s="314" t="s">
        <v>203</v>
      </c>
      <c r="IWO13" s="314" t="s">
        <v>203</v>
      </c>
      <c r="IWP13" s="314" t="s">
        <v>203</v>
      </c>
      <c r="IWQ13" s="314" t="s">
        <v>203</v>
      </c>
      <c r="IWR13" s="314" t="s">
        <v>203</v>
      </c>
      <c r="IWS13" s="314" t="s">
        <v>203</v>
      </c>
      <c r="IWT13" s="314" t="s">
        <v>203</v>
      </c>
      <c r="IWU13" s="314" t="s">
        <v>203</v>
      </c>
      <c r="IWV13" s="314" t="s">
        <v>203</v>
      </c>
      <c r="IWW13" s="314" t="s">
        <v>203</v>
      </c>
      <c r="IWX13" s="314" t="s">
        <v>203</v>
      </c>
      <c r="IWY13" s="314" t="s">
        <v>203</v>
      </c>
      <c r="IWZ13" s="314" t="s">
        <v>203</v>
      </c>
      <c r="IXA13" s="314" t="s">
        <v>203</v>
      </c>
      <c r="IXB13" s="314" t="s">
        <v>203</v>
      </c>
      <c r="IXC13" s="314" t="s">
        <v>203</v>
      </c>
      <c r="IXD13" s="314" t="s">
        <v>203</v>
      </c>
      <c r="IXE13" s="314" t="s">
        <v>203</v>
      </c>
      <c r="IXF13" s="314" t="s">
        <v>203</v>
      </c>
      <c r="IXG13" s="314" t="s">
        <v>203</v>
      </c>
      <c r="IXH13" s="314" t="s">
        <v>203</v>
      </c>
      <c r="IXI13" s="314" t="s">
        <v>203</v>
      </c>
      <c r="IXJ13" s="314" t="s">
        <v>203</v>
      </c>
      <c r="IXK13" s="314" t="s">
        <v>203</v>
      </c>
      <c r="IXL13" s="314" t="s">
        <v>203</v>
      </c>
      <c r="IXM13" s="314" t="s">
        <v>203</v>
      </c>
      <c r="IXN13" s="314" t="s">
        <v>203</v>
      </c>
      <c r="IXO13" s="314" t="s">
        <v>203</v>
      </c>
      <c r="IXP13" s="314" t="s">
        <v>203</v>
      </c>
      <c r="IXQ13" s="314" t="s">
        <v>203</v>
      </c>
      <c r="IXR13" s="314" t="s">
        <v>203</v>
      </c>
      <c r="IXS13" s="314" t="s">
        <v>203</v>
      </c>
      <c r="IXT13" s="314" t="s">
        <v>203</v>
      </c>
      <c r="IXU13" s="314" t="s">
        <v>203</v>
      </c>
      <c r="IXV13" s="314" t="s">
        <v>203</v>
      </c>
      <c r="IXW13" s="314" t="s">
        <v>203</v>
      </c>
      <c r="IXX13" s="314" t="s">
        <v>203</v>
      </c>
      <c r="IXY13" s="314" t="s">
        <v>203</v>
      </c>
      <c r="IXZ13" s="314" t="s">
        <v>203</v>
      </c>
      <c r="IYA13" s="314" t="s">
        <v>203</v>
      </c>
      <c r="IYB13" s="314" t="s">
        <v>203</v>
      </c>
      <c r="IYC13" s="314" t="s">
        <v>203</v>
      </c>
      <c r="IYD13" s="314" t="s">
        <v>203</v>
      </c>
      <c r="IYE13" s="314" t="s">
        <v>203</v>
      </c>
      <c r="IYF13" s="314" t="s">
        <v>203</v>
      </c>
      <c r="IYG13" s="314" t="s">
        <v>203</v>
      </c>
      <c r="IYH13" s="314" t="s">
        <v>203</v>
      </c>
      <c r="IYI13" s="314" t="s">
        <v>203</v>
      </c>
      <c r="IYJ13" s="314" t="s">
        <v>203</v>
      </c>
      <c r="IYK13" s="314" t="s">
        <v>203</v>
      </c>
      <c r="IYL13" s="314" t="s">
        <v>203</v>
      </c>
      <c r="IYM13" s="314" t="s">
        <v>203</v>
      </c>
      <c r="IYN13" s="314" t="s">
        <v>203</v>
      </c>
      <c r="IYO13" s="314" t="s">
        <v>203</v>
      </c>
      <c r="IYP13" s="314" t="s">
        <v>203</v>
      </c>
      <c r="IYQ13" s="314" t="s">
        <v>203</v>
      </c>
      <c r="IYR13" s="314" t="s">
        <v>203</v>
      </c>
      <c r="IYS13" s="314" t="s">
        <v>203</v>
      </c>
      <c r="IYT13" s="314" t="s">
        <v>203</v>
      </c>
      <c r="IYU13" s="314" t="s">
        <v>203</v>
      </c>
      <c r="IYV13" s="314" t="s">
        <v>203</v>
      </c>
      <c r="IYW13" s="314" t="s">
        <v>203</v>
      </c>
      <c r="IYX13" s="314" t="s">
        <v>203</v>
      </c>
      <c r="IYY13" s="314" t="s">
        <v>203</v>
      </c>
      <c r="IYZ13" s="314" t="s">
        <v>203</v>
      </c>
      <c r="IZA13" s="314" t="s">
        <v>203</v>
      </c>
      <c r="IZB13" s="314" t="s">
        <v>203</v>
      </c>
      <c r="IZC13" s="314" t="s">
        <v>203</v>
      </c>
      <c r="IZD13" s="314" t="s">
        <v>203</v>
      </c>
      <c r="IZE13" s="314" t="s">
        <v>203</v>
      </c>
      <c r="IZF13" s="314" t="s">
        <v>203</v>
      </c>
      <c r="IZG13" s="314" t="s">
        <v>203</v>
      </c>
      <c r="IZH13" s="314" t="s">
        <v>203</v>
      </c>
      <c r="IZI13" s="314" t="s">
        <v>203</v>
      </c>
      <c r="IZJ13" s="314" t="s">
        <v>203</v>
      </c>
      <c r="IZK13" s="314" t="s">
        <v>203</v>
      </c>
      <c r="IZL13" s="314" t="s">
        <v>203</v>
      </c>
      <c r="IZM13" s="314" t="s">
        <v>203</v>
      </c>
      <c r="IZN13" s="314" t="s">
        <v>203</v>
      </c>
      <c r="IZO13" s="314" t="s">
        <v>203</v>
      </c>
      <c r="IZP13" s="314" t="s">
        <v>203</v>
      </c>
      <c r="IZQ13" s="314" t="s">
        <v>203</v>
      </c>
      <c r="IZR13" s="314" t="s">
        <v>203</v>
      </c>
      <c r="IZS13" s="314" t="s">
        <v>203</v>
      </c>
      <c r="IZT13" s="314" t="s">
        <v>203</v>
      </c>
      <c r="IZU13" s="314" t="s">
        <v>203</v>
      </c>
      <c r="IZV13" s="314" t="s">
        <v>203</v>
      </c>
      <c r="IZW13" s="314" t="s">
        <v>203</v>
      </c>
      <c r="IZX13" s="314" t="s">
        <v>203</v>
      </c>
      <c r="IZY13" s="314" t="s">
        <v>203</v>
      </c>
      <c r="IZZ13" s="314" t="s">
        <v>203</v>
      </c>
      <c r="JAA13" s="314" t="s">
        <v>203</v>
      </c>
      <c r="JAB13" s="314" t="s">
        <v>203</v>
      </c>
      <c r="JAC13" s="314" t="s">
        <v>203</v>
      </c>
      <c r="JAD13" s="314" t="s">
        <v>203</v>
      </c>
      <c r="JAE13" s="314" t="s">
        <v>203</v>
      </c>
      <c r="JAF13" s="314" t="s">
        <v>203</v>
      </c>
      <c r="JAG13" s="314" t="s">
        <v>203</v>
      </c>
      <c r="JAH13" s="314" t="s">
        <v>203</v>
      </c>
      <c r="JAI13" s="314" t="s">
        <v>203</v>
      </c>
      <c r="JAJ13" s="314" t="s">
        <v>203</v>
      </c>
      <c r="JAK13" s="314" t="s">
        <v>203</v>
      </c>
      <c r="JAL13" s="314" t="s">
        <v>203</v>
      </c>
      <c r="JAM13" s="314" t="s">
        <v>203</v>
      </c>
      <c r="JAN13" s="314" t="s">
        <v>203</v>
      </c>
      <c r="JAO13" s="314" t="s">
        <v>203</v>
      </c>
      <c r="JAP13" s="314" t="s">
        <v>203</v>
      </c>
      <c r="JAQ13" s="314" t="s">
        <v>203</v>
      </c>
      <c r="JAR13" s="314" t="s">
        <v>203</v>
      </c>
      <c r="JAS13" s="314" t="s">
        <v>203</v>
      </c>
      <c r="JAT13" s="314" t="s">
        <v>203</v>
      </c>
      <c r="JAU13" s="314" t="s">
        <v>203</v>
      </c>
      <c r="JAV13" s="314" t="s">
        <v>203</v>
      </c>
      <c r="JAW13" s="314" t="s">
        <v>203</v>
      </c>
      <c r="JAX13" s="314" t="s">
        <v>203</v>
      </c>
      <c r="JAY13" s="314" t="s">
        <v>203</v>
      </c>
      <c r="JAZ13" s="314" t="s">
        <v>203</v>
      </c>
      <c r="JBA13" s="314" t="s">
        <v>203</v>
      </c>
      <c r="JBB13" s="314" t="s">
        <v>203</v>
      </c>
      <c r="JBC13" s="314" t="s">
        <v>203</v>
      </c>
      <c r="JBD13" s="314" t="s">
        <v>203</v>
      </c>
      <c r="JBE13" s="314" t="s">
        <v>203</v>
      </c>
      <c r="JBF13" s="314" t="s">
        <v>203</v>
      </c>
      <c r="JBG13" s="314" t="s">
        <v>203</v>
      </c>
      <c r="JBH13" s="314" t="s">
        <v>203</v>
      </c>
      <c r="JBI13" s="314" t="s">
        <v>203</v>
      </c>
      <c r="JBJ13" s="314" t="s">
        <v>203</v>
      </c>
      <c r="JBK13" s="314" t="s">
        <v>203</v>
      </c>
      <c r="JBL13" s="314" t="s">
        <v>203</v>
      </c>
      <c r="JBM13" s="314" t="s">
        <v>203</v>
      </c>
      <c r="JBN13" s="314" t="s">
        <v>203</v>
      </c>
      <c r="JBO13" s="314" t="s">
        <v>203</v>
      </c>
      <c r="JBP13" s="314" t="s">
        <v>203</v>
      </c>
      <c r="JBQ13" s="314" t="s">
        <v>203</v>
      </c>
      <c r="JBR13" s="314" t="s">
        <v>203</v>
      </c>
      <c r="JBS13" s="314" t="s">
        <v>203</v>
      </c>
      <c r="JBT13" s="314" t="s">
        <v>203</v>
      </c>
      <c r="JBU13" s="314" t="s">
        <v>203</v>
      </c>
      <c r="JBV13" s="314" t="s">
        <v>203</v>
      </c>
      <c r="JBW13" s="314" t="s">
        <v>203</v>
      </c>
      <c r="JBX13" s="314" t="s">
        <v>203</v>
      </c>
      <c r="JBY13" s="314" t="s">
        <v>203</v>
      </c>
      <c r="JBZ13" s="314" t="s">
        <v>203</v>
      </c>
      <c r="JCA13" s="314" t="s">
        <v>203</v>
      </c>
      <c r="JCB13" s="314" t="s">
        <v>203</v>
      </c>
      <c r="JCC13" s="314" t="s">
        <v>203</v>
      </c>
      <c r="JCD13" s="314" t="s">
        <v>203</v>
      </c>
      <c r="JCE13" s="314" t="s">
        <v>203</v>
      </c>
      <c r="JCF13" s="314" t="s">
        <v>203</v>
      </c>
      <c r="JCG13" s="314" t="s">
        <v>203</v>
      </c>
      <c r="JCH13" s="314" t="s">
        <v>203</v>
      </c>
      <c r="JCI13" s="314" t="s">
        <v>203</v>
      </c>
      <c r="JCJ13" s="314" t="s">
        <v>203</v>
      </c>
      <c r="JCK13" s="314" t="s">
        <v>203</v>
      </c>
      <c r="JCL13" s="314" t="s">
        <v>203</v>
      </c>
      <c r="JCM13" s="314" t="s">
        <v>203</v>
      </c>
      <c r="JCN13" s="314" t="s">
        <v>203</v>
      </c>
      <c r="JCO13" s="314" t="s">
        <v>203</v>
      </c>
      <c r="JCP13" s="314" t="s">
        <v>203</v>
      </c>
      <c r="JCQ13" s="314" t="s">
        <v>203</v>
      </c>
      <c r="JCR13" s="314" t="s">
        <v>203</v>
      </c>
      <c r="JCS13" s="314" t="s">
        <v>203</v>
      </c>
      <c r="JCT13" s="314" t="s">
        <v>203</v>
      </c>
      <c r="JCU13" s="314" t="s">
        <v>203</v>
      </c>
      <c r="JCV13" s="314" t="s">
        <v>203</v>
      </c>
      <c r="JCW13" s="314" t="s">
        <v>203</v>
      </c>
      <c r="JCX13" s="314" t="s">
        <v>203</v>
      </c>
      <c r="JCY13" s="314" t="s">
        <v>203</v>
      </c>
      <c r="JCZ13" s="314" t="s">
        <v>203</v>
      </c>
      <c r="JDA13" s="314" t="s">
        <v>203</v>
      </c>
      <c r="JDB13" s="314" t="s">
        <v>203</v>
      </c>
      <c r="JDC13" s="314" t="s">
        <v>203</v>
      </c>
      <c r="JDD13" s="314" t="s">
        <v>203</v>
      </c>
      <c r="JDE13" s="314" t="s">
        <v>203</v>
      </c>
      <c r="JDF13" s="314" t="s">
        <v>203</v>
      </c>
      <c r="JDG13" s="314" t="s">
        <v>203</v>
      </c>
      <c r="JDH13" s="314" t="s">
        <v>203</v>
      </c>
      <c r="JDI13" s="314" t="s">
        <v>203</v>
      </c>
      <c r="JDJ13" s="314" t="s">
        <v>203</v>
      </c>
      <c r="JDK13" s="314" t="s">
        <v>203</v>
      </c>
      <c r="JDL13" s="314" t="s">
        <v>203</v>
      </c>
      <c r="JDM13" s="314" t="s">
        <v>203</v>
      </c>
      <c r="JDN13" s="314" t="s">
        <v>203</v>
      </c>
      <c r="JDO13" s="314" t="s">
        <v>203</v>
      </c>
      <c r="JDP13" s="314" t="s">
        <v>203</v>
      </c>
      <c r="JDQ13" s="314" t="s">
        <v>203</v>
      </c>
      <c r="JDR13" s="314" t="s">
        <v>203</v>
      </c>
      <c r="JDS13" s="314" t="s">
        <v>203</v>
      </c>
      <c r="JDT13" s="314" t="s">
        <v>203</v>
      </c>
      <c r="JDU13" s="314" t="s">
        <v>203</v>
      </c>
      <c r="JDV13" s="314" t="s">
        <v>203</v>
      </c>
      <c r="JDW13" s="314" t="s">
        <v>203</v>
      </c>
      <c r="JDX13" s="314" t="s">
        <v>203</v>
      </c>
      <c r="JDY13" s="314" t="s">
        <v>203</v>
      </c>
      <c r="JDZ13" s="314" t="s">
        <v>203</v>
      </c>
      <c r="JEA13" s="314" t="s">
        <v>203</v>
      </c>
      <c r="JEB13" s="314" t="s">
        <v>203</v>
      </c>
      <c r="JEC13" s="314" t="s">
        <v>203</v>
      </c>
      <c r="JED13" s="314" t="s">
        <v>203</v>
      </c>
      <c r="JEE13" s="314" t="s">
        <v>203</v>
      </c>
      <c r="JEF13" s="314" t="s">
        <v>203</v>
      </c>
      <c r="JEG13" s="314" t="s">
        <v>203</v>
      </c>
      <c r="JEH13" s="314" t="s">
        <v>203</v>
      </c>
      <c r="JEI13" s="314" t="s">
        <v>203</v>
      </c>
      <c r="JEJ13" s="314" t="s">
        <v>203</v>
      </c>
      <c r="JEK13" s="314" t="s">
        <v>203</v>
      </c>
      <c r="JEL13" s="314" t="s">
        <v>203</v>
      </c>
      <c r="JEM13" s="314" t="s">
        <v>203</v>
      </c>
      <c r="JEN13" s="314" t="s">
        <v>203</v>
      </c>
      <c r="JEO13" s="314" t="s">
        <v>203</v>
      </c>
      <c r="JEP13" s="314" t="s">
        <v>203</v>
      </c>
      <c r="JEQ13" s="314" t="s">
        <v>203</v>
      </c>
      <c r="JER13" s="314" t="s">
        <v>203</v>
      </c>
      <c r="JES13" s="314" t="s">
        <v>203</v>
      </c>
      <c r="JET13" s="314" t="s">
        <v>203</v>
      </c>
      <c r="JEU13" s="314" t="s">
        <v>203</v>
      </c>
      <c r="JEV13" s="314" t="s">
        <v>203</v>
      </c>
      <c r="JEW13" s="314" t="s">
        <v>203</v>
      </c>
      <c r="JEX13" s="314" t="s">
        <v>203</v>
      </c>
      <c r="JEY13" s="314" t="s">
        <v>203</v>
      </c>
      <c r="JEZ13" s="314" t="s">
        <v>203</v>
      </c>
      <c r="JFA13" s="314" t="s">
        <v>203</v>
      </c>
      <c r="JFB13" s="314" t="s">
        <v>203</v>
      </c>
      <c r="JFC13" s="314" t="s">
        <v>203</v>
      </c>
      <c r="JFD13" s="314" t="s">
        <v>203</v>
      </c>
      <c r="JFE13" s="314" t="s">
        <v>203</v>
      </c>
      <c r="JFF13" s="314" t="s">
        <v>203</v>
      </c>
      <c r="JFG13" s="314" t="s">
        <v>203</v>
      </c>
      <c r="JFH13" s="314" t="s">
        <v>203</v>
      </c>
      <c r="JFI13" s="314" t="s">
        <v>203</v>
      </c>
      <c r="JFJ13" s="314" t="s">
        <v>203</v>
      </c>
      <c r="JFK13" s="314" t="s">
        <v>203</v>
      </c>
      <c r="JFL13" s="314" t="s">
        <v>203</v>
      </c>
      <c r="JFM13" s="314" t="s">
        <v>203</v>
      </c>
      <c r="JFN13" s="314" t="s">
        <v>203</v>
      </c>
      <c r="JFO13" s="314" t="s">
        <v>203</v>
      </c>
      <c r="JFP13" s="314" t="s">
        <v>203</v>
      </c>
      <c r="JFQ13" s="314" t="s">
        <v>203</v>
      </c>
      <c r="JFR13" s="314" t="s">
        <v>203</v>
      </c>
      <c r="JFS13" s="314" t="s">
        <v>203</v>
      </c>
      <c r="JFT13" s="314" t="s">
        <v>203</v>
      </c>
      <c r="JFU13" s="314" t="s">
        <v>203</v>
      </c>
      <c r="JFV13" s="314" t="s">
        <v>203</v>
      </c>
      <c r="JFW13" s="314" t="s">
        <v>203</v>
      </c>
      <c r="JFX13" s="314" t="s">
        <v>203</v>
      </c>
      <c r="JFY13" s="314" t="s">
        <v>203</v>
      </c>
      <c r="JFZ13" s="314" t="s">
        <v>203</v>
      </c>
      <c r="JGA13" s="314" t="s">
        <v>203</v>
      </c>
      <c r="JGB13" s="314" t="s">
        <v>203</v>
      </c>
      <c r="JGC13" s="314" t="s">
        <v>203</v>
      </c>
      <c r="JGD13" s="314" t="s">
        <v>203</v>
      </c>
      <c r="JGE13" s="314" t="s">
        <v>203</v>
      </c>
      <c r="JGF13" s="314" t="s">
        <v>203</v>
      </c>
      <c r="JGG13" s="314" t="s">
        <v>203</v>
      </c>
      <c r="JGH13" s="314" t="s">
        <v>203</v>
      </c>
      <c r="JGI13" s="314" t="s">
        <v>203</v>
      </c>
      <c r="JGJ13" s="314" t="s">
        <v>203</v>
      </c>
      <c r="JGK13" s="314" t="s">
        <v>203</v>
      </c>
      <c r="JGL13" s="314" t="s">
        <v>203</v>
      </c>
      <c r="JGM13" s="314" t="s">
        <v>203</v>
      </c>
      <c r="JGN13" s="314" t="s">
        <v>203</v>
      </c>
      <c r="JGO13" s="314" t="s">
        <v>203</v>
      </c>
      <c r="JGP13" s="314" t="s">
        <v>203</v>
      </c>
      <c r="JGQ13" s="314" t="s">
        <v>203</v>
      </c>
      <c r="JGR13" s="314" t="s">
        <v>203</v>
      </c>
      <c r="JGS13" s="314" t="s">
        <v>203</v>
      </c>
      <c r="JGT13" s="314" t="s">
        <v>203</v>
      </c>
      <c r="JGU13" s="314" t="s">
        <v>203</v>
      </c>
      <c r="JGV13" s="314" t="s">
        <v>203</v>
      </c>
      <c r="JGW13" s="314" t="s">
        <v>203</v>
      </c>
      <c r="JGX13" s="314" t="s">
        <v>203</v>
      </c>
      <c r="JGY13" s="314" t="s">
        <v>203</v>
      </c>
      <c r="JGZ13" s="314" t="s">
        <v>203</v>
      </c>
      <c r="JHA13" s="314" t="s">
        <v>203</v>
      </c>
      <c r="JHB13" s="314" t="s">
        <v>203</v>
      </c>
      <c r="JHC13" s="314" t="s">
        <v>203</v>
      </c>
      <c r="JHD13" s="314" t="s">
        <v>203</v>
      </c>
      <c r="JHE13" s="314" t="s">
        <v>203</v>
      </c>
      <c r="JHF13" s="314" t="s">
        <v>203</v>
      </c>
      <c r="JHG13" s="314" t="s">
        <v>203</v>
      </c>
      <c r="JHH13" s="314" t="s">
        <v>203</v>
      </c>
      <c r="JHI13" s="314" t="s">
        <v>203</v>
      </c>
      <c r="JHJ13" s="314" t="s">
        <v>203</v>
      </c>
      <c r="JHK13" s="314" t="s">
        <v>203</v>
      </c>
      <c r="JHL13" s="314" t="s">
        <v>203</v>
      </c>
      <c r="JHM13" s="314" t="s">
        <v>203</v>
      </c>
      <c r="JHN13" s="314" t="s">
        <v>203</v>
      </c>
      <c r="JHO13" s="314" t="s">
        <v>203</v>
      </c>
      <c r="JHP13" s="314" t="s">
        <v>203</v>
      </c>
      <c r="JHQ13" s="314" t="s">
        <v>203</v>
      </c>
      <c r="JHR13" s="314" t="s">
        <v>203</v>
      </c>
      <c r="JHS13" s="314" t="s">
        <v>203</v>
      </c>
      <c r="JHT13" s="314" t="s">
        <v>203</v>
      </c>
      <c r="JHU13" s="314" t="s">
        <v>203</v>
      </c>
      <c r="JHV13" s="314" t="s">
        <v>203</v>
      </c>
      <c r="JHW13" s="314" t="s">
        <v>203</v>
      </c>
      <c r="JHX13" s="314" t="s">
        <v>203</v>
      </c>
      <c r="JHY13" s="314" t="s">
        <v>203</v>
      </c>
      <c r="JHZ13" s="314" t="s">
        <v>203</v>
      </c>
      <c r="JIA13" s="314" t="s">
        <v>203</v>
      </c>
      <c r="JIB13" s="314" t="s">
        <v>203</v>
      </c>
      <c r="JIC13" s="314" t="s">
        <v>203</v>
      </c>
      <c r="JID13" s="314" t="s">
        <v>203</v>
      </c>
      <c r="JIE13" s="314" t="s">
        <v>203</v>
      </c>
      <c r="JIF13" s="314" t="s">
        <v>203</v>
      </c>
      <c r="JIG13" s="314" t="s">
        <v>203</v>
      </c>
      <c r="JIH13" s="314" t="s">
        <v>203</v>
      </c>
      <c r="JII13" s="314" t="s">
        <v>203</v>
      </c>
      <c r="JIJ13" s="314" t="s">
        <v>203</v>
      </c>
      <c r="JIK13" s="314" t="s">
        <v>203</v>
      </c>
      <c r="JIL13" s="314" t="s">
        <v>203</v>
      </c>
      <c r="JIM13" s="314" t="s">
        <v>203</v>
      </c>
      <c r="JIN13" s="314" t="s">
        <v>203</v>
      </c>
      <c r="JIO13" s="314" t="s">
        <v>203</v>
      </c>
      <c r="JIP13" s="314" t="s">
        <v>203</v>
      </c>
      <c r="JIQ13" s="314" t="s">
        <v>203</v>
      </c>
      <c r="JIR13" s="314" t="s">
        <v>203</v>
      </c>
      <c r="JIS13" s="314" t="s">
        <v>203</v>
      </c>
      <c r="JIT13" s="314" t="s">
        <v>203</v>
      </c>
      <c r="JIU13" s="314" t="s">
        <v>203</v>
      </c>
      <c r="JIV13" s="314" t="s">
        <v>203</v>
      </c>
      <c r="JIW13" s="314" t="s">
        <v>203</v>
      </c>
      <c r="JIX13" s="314" t="s">
        <v>203</v>
      </c>
      <c r="JIY13" s="314" t="s">
        <v>203</v>
      </c>
      <c r="JIZ13" s="314" t="s">
        <v>203</v>
      </c>
      <c r="JJA13" s="314" t="s">
        <v>203</v>
      </c>
      <c r="JJB13" s="314" t="s">
        <v>203</v>
      </c>
      <c r="JJC13" s="314" t="s">
        <v>203</v>
      </c>
      <c r="JJD13" s="314" t="s">
        <v>203</v>
      </c>
      <c r="JJE13" s="314" t="s">
        <v>203</v>
      </c>
      <c r="JJF13" s="314" t="s">
        <v>203</v>
      </c>
      <c r="JJG13" s="314" t="s">
        <v>203</v>
      </c>
      <c r="JJH13" s="314" t="s">
        <v>203</v>
      </c>
      <c r="JJI13" s="314" t="s">
        <v>203</v>
      </c>
      <c r="JJJ13" s="314" t="s">
        <v>203</v>
      </c>
      <c r="JJK13" s="314" t="s">
        <v>203</v>
      </c>
      <c r="JJL13" s="314" t="s">
        <v>203</v>
      </c>
      <c r="JJM13" s="314" t="s">
        <v>203</v>
      </c>
      <c r="JJN13" s="314" t="s">
        <v>203</v>
      </c>
      <c r="JJO13" s="314" t="s">
        <v>203</v>
      </c>
      <c r="JJP13" s="314" t="s">
        <v>203</v>
      </c>
      <c r="JJQ13" s="314" t="s">
        <v>203</v>
      </c>
      <c r="JJR13" s="314" t="s">
        <v>203</v>
      </c>
      <c r="JJS13" s="314" t="s">
        <v>203</v>
      </c>
      <c r="JJT13" s="314" t="s">
        <v>203</v>
      </c>
      <c r="JJU13" s="314" t="s">
        <v>203</v>
      </c>
      <c r="JJV13" s="314" t="s">
        <v>203</v>
      </c>
      <c r="JJW13" s="314" t="s">
        <v>203</v>
      </c>
      <c r="JJX13" s="314" t="s">
        <v>203</v>
      </c>
      <c r="JJY13" s="314" t="s">
        <v>203</v>
      </c>
      <c r="JJZ13" s="314" t="s">
        <v>203</v>
      </c>
      <c r="JKA13" s="314" t="s">
        <v>203</v>
      </c>
      <c r="JKB13" s="314" t="s">
        <v>203</v>
      </c>
      <c r="JKC13" s="314" t="s">
        <v>203</v>
      </c>
      <c r="JKD13" s="314" t="s">
        <v>203</v>
      </c>
      <c r="JKE13" s="314" t="s">
        <v>203</v>
      </c>
      <c r="JKF13" s="314" t="s">
        <v>203</v>
      </c>
      <c r="JKG13" s="314" t="s">
        <v>203</v>
      </c>
      <c r="JKH13" s="314" t="s">
        <v>203</v>
      </c>
      <c r="JKI13" s="314" t="s">
        <v>203</v>
      </c>
      <c r="JKJ13" s="314" t="s">
        <v>203</v>
      </c>
      <c r="JKK13" s="314" t="s">
        <v>203</v>
      </c>
      <c r="JKL13" s="314" t="s">
        <v>203</v>
      </c>
      <c r="JKM13" s="314" t="s">
        <v>203</v>
      </c>
      <c r="JKN13" s="314" t="s">
        <v>203</v>
      </c>
      <c r="JKO13" s="314" t="s">
        <v>203</v>
      </c>
      <c r="JKP13" s="314" t="s">
        <v>203</v>
      </c>
      <c r="JKQ13" s="314" t="s">
        <v>203</v>
      </c>
      <c r="JKR13" s="314" t="s">
        <v>203</v>
      </c>
      <c r="JKS13" s="314" t="s">
        <v>203</v>
      </c>
      <c r="JKT13" s="314" t="s">
        <v>203</v>
      </c>
      <c r="JKU13" s="314" t="s">
        <v>203</v>
      </c>
      <c r="JKV13" s="314" t="s">
        <v>203</v>
      </c>
      <c r="JKW13" s="314" t="s">
        <v>203</v>
      </c>
      <c r="JKX13" s="314" t="s">
        <v>203</v>
      </c>
      <c r="JKY13" s="314" t="s">
        <v>203</v>
      </c>
      <c r="JKZ13" s="314" t="s">
        <v>203</v>
      </c>
      <c r="JLA13" s="314" t="s">
        <v>203</v>
      </c>
      <c r="JLB13" s="314" t="s">
        <v>203</v>
      </c>
      <c r="JLC13" s="314" t="s">
        <v>203</v>
      </c>
      <c r="JLD13" s="314" t="s">
        <v>203</v>
      </c>
      <c r="JLE13" s="314" t="s">
        <v>203</v>
      </c>
      <c r="JLF13" s="314" t="s">
        <v>203</v>
      </c>
      <c r="JLG13" s="314" t="s">
        <v>203</v>
      </c>
      <c r="JLH13" s="314" t="s">
        <v>203</v>
      </c>
      <c r="JLI13" s="314" t="s">
        <v>203</v>
      </c>
      <c r="JLJ13" s="314" t="s">
        <v>203</v>
      </c>
      <c r="JLK13" s="314" t="s">
        <v>203</v>
      </c>
      <c r="JLL13" s="314" t="s">
        <v>203</v>
      </c>
      <c r="JLM13" s="314" t="s">
        <v>203</v>
      </c>
      <c r="JLN13" s="314" t="s">
        <v>203</v>
      </c>
      <c r="JLO13" s="314" t="s">
        <v>203</v>
      </c>
      <c r="JLP13" s="314" t="s">
        <v>203</v>
      </c>
      <c r="JLQ13" s="314" t="s">
        <v>203</v>
      </c>
      <c r="JLR13" s="314" t="s">
        <v>203</v>
      </c>
      <c r="JLS13" s="314" t="s">
        <v>203</v>
      </c>
      <c r="JLT13" s="314" t="s">
        <v>203</v>
      </c>
      <c r="JLU13" s="314" t="s">
        <v>203</v>
      </c>
      <c r="JLV13" s="314" t="s">
        <v>203</v>
      </c>
      <c r="JLW13" s="314" t="s">
        <v>203</v>
      </c>
      <c r="JLX13" s="314" t="s">
        <v>203</v>
      </c>
      <c r="JLY13" s="314" t="s">
        <v>203</v>
      </c>
      <c r="JLZ13" s="314" t="s">
        <v>203</v>
      </c>
      <c r="JMA13" s="314" t="s">
        <v>203</v>
      </c>
      <c r="JMB13" s="314" t="s">
        <v>203</v>
      </c>
      <c r="JMC13" s="314" t="s">
        <v>203</v>
      </c>
      <c r="JMD13" s="314" t="s">
        <v>203</v>
      </c>
      <c r="JME13" s="314" t="s">
        <v>203</v>
      </c>
      <c r="JMF13" s="314" t="s">
        <v>203</v>
      </c>
      <c r="JMG13" s="314" t="s">
        <v>203</v>
      </c>
      <c r="JMH13" s="314" t="s">
        <v>203</v>
      </c>
      <c r="JMI13" s="314" t="s">
        <v>203</v>
      </c>
      <c r="JMJ13" s="314" t="s">
        <v>203</v>
      </c>
      <c r="JMK13" s="314" t="s">
        <v>203</v>
      </c>
      <c r="JML13" s="314" t="s">
        <v>203</v>
      </c>
      <c r="JMM13" s="314" t="s">
        <v>203</v>
      </c>
      <c r="JMN13" s="314" t="s">
        <v>203</v>
      </c>
      <c r="JMO13" s="314" t="s">
        <v>203</v>
      </c>
      <c r="JMP13" s="314" t="s">
        <v>203</v>
      </c>
      <c r="JMQ13" s="314" t="s">
        <v>203</v>
      </c>
      <c r="JMR13" s="314" t="s">
        <v>203</v>
      </c>
      <c r="JMS13" s="314" t="s">
        <v>203</v>
      </c>
      <c r="JMT13" s="314" t="s">
        <v>203</v>
      </c>
      <c r="JMU13" s="314" t="s">
        <v>203</v>
      </c>
      <c r="JMV13" s="314" t="s">
        <v>203</v>
      </c>
      <c r="JMW13" s="314" t="s">
        <v>203</v>
      </c>
      <c r="JMX13" s="314" t="s">
        <v>203</v>
      </c>
      <c r="JMY13" s="314" t="s">
        <v>203</v>
      </c>
      <c r="JMZ13" s="314" t="s">
        <v>203</v>
      </c>
      <c r="JNA13" s="314" t="s">
        <v>203</v>
      </c>
      <c r="JNB13" s="314" t="s">
        <v>203</v>
      </c>
      <c r="JNC13" s="314" t="s">
        <v>203</v>
      </c>
      <c r="JND13" s="314" t="s">
        <v>203</v>
      </c>
      <c r="JNE13" s="314" t="s">
        <v>203</v>
      </c>
      <c r="JNF13" s="314" t="s">
        <v>203</v>
      </c>
      <c r="JNG13" s="314" t="s">
        <v>203</v>
      </c>
      <c r="JNH13" s="314" t="s">
        <v>203</v>
      </c>
      <c r="JNI13" s="314" t="s">
        <v>203</v>
      </c>
      <c r="JNJ13" s="314" t="s">
        <v>203</v>
      </c>
      <c r="JNK13" s="314" t="s">
        <v>203</v>
      </c>
      <c r="JNL13" s="314" t="s">
        <v>203</v>
      </c>
      <c r="JNM13" s="314" t="s">
        <v>203</v>
      </c>
      <c r="JNN13" s="314" t="s">
        <v>203</v>
      </c>
      <c r="JNO13" s="314" t="s">
        <v>203</v>
      </c>
      <c r="JNP13" s="314" t="s">
        <v>203</v>
      </c>
      <c r="JNQ13" s="314" t="s">
        <v>203</v>
      </c>
      <c r="JNR13" s="314" t="s">
        <v>203</v>
      </c>
      <c r="JNS13" s="314" t="s">
        <v>203</v>
      </c>
      <c r="JNT13" s="314" t="s">
        <v>203</v>
      </c>
      <c r="JNU13" s="314" t="s">
        <v>203</v>
      </c>
      <c r="JNV13" s="314" t="s">
        <v>203</v>
      </c>
      <c r="JNW13" s="314" t="s">
        <v>203</v>
      </c>
      <c r="JNX13" s="314" t="s">
        <v>203</v>
      </c>
      <c r="JNY13" s="314" t="s">
        <v>203</v>
      </c>
      <c r="JNZ13" s="314" t="s">
        <v>203</v>
      </c>
      <c r="JOA13" s="314" t="s">
        <v>203</v>
      </c>
      <c r="JOB13" s="314" t="s">
        <v>203</v>
      </c>
      <c r="JOC13" s="314" t="s">
        <v>203</v>
      </c>
      <c r="JOD13" s="314" t="s">
        <v>203</v>
      </c>
      <c r="JOE13" s="314" t="s">
        <v>203</v>
      </c>
      <c r="JOF13" s="314" t="s">
        <v>203</v>
      </c>
      <c r="JOG13" s="314" t="s">
        <v>203</v>
      </c>
      <c r="JOH13" s="314" t="s">
        <v>203</v>
      </c>
      <c r="JOI13" s="314" t="s">
        <v>203</v>
      </c>
      <c r="JOJ13" s="314" t="s">
        <v>203</v>
      </c>
      <c r="JOK13" s="314" t="s">
        <v>203</v>
      </c>
      <c r="JOL13" s="314" t="s">
        <v>203</v>
      </c>
      <c r="JOM13" s="314" t="s">
        <v>203</v>
      </c>
      <c r="JON13" s="314" t="s">
        <v>203</v>
      </c>
      <c r="JOO13" s="314" t="s">
        <v>203</v>
      </c>
      <c r="JOP13" s="314" t="s">
        <v>203</v>
      </c>
      <c r="JOQ13" s="314" t="s">
        <v>203</v>
      </c>
      <c r="JOR13" s="314" t="s">
        <v>203</v>
      </c>
      <c r="JOS13" s="314" t="s">
        <v>203</v>
      </c>
      <c r="JOT13" s="314" t="s">
        <v>203</v>
      </c>
      <c r="JOU13" s="314" t="s">
        <v>203</v>
      </c>
      <c r="JOV13" s="314" t="s">
        <v>203</v>
      </c>
      <c r="JOW13" s="314" t="s">
        <v>203</v>
      </c>
      <c r="JOX13" s="314" t="s">
        <v>203</v>
      </c>
      <c r="JOY13" s="314" t="s">
        <v>203</v>
      </c>
      <c r="JOZ13" s="314" t="s">
        <v>203</v>
      </c>
      <c r="JPA13" s="314" t="s">
        <v>203</v>
      </c>
      <c r="JPB13" s="314" t="s">
        <v>203</v>
      </c>
      <c r="JPC13" s="314" t="s">
        <v>203</v>
      </c>
      <c r="JPD13" s="314" t="s">
        <v>203</v>
      </c>
      <c r="JPE13" s="314" t="s">
        <v>203</v>
      </c>
      <c r="JPF13" s="314" t="s">
        <v>203</v>
      </c>
      <c r="JPG13" s="314" t="s">
        <v>203</v>
      </c>
      <c r="JPH13" s="314" t="s">
        <v>203</v>
      </c>
      <c r="JPI13" s="314" t="s">
        <v>203</v>
      </c>
      <c r="JPJ13" s="314" t="s">
        <v>203</v>
      </c>
      <c r="JPK13" s="314" t="s">
        <v>203</v>
      </c>
      <c r="JPL13" s="314" t="s">
        <v>203</v>
      </c>
      <c r="JPM13" s="314" t="s">
        <v>203</v>
      </c>
      <c r="JPN13" s="314" t="s">
        <v>203</v>
      </c>
      <c r="JPO13" s="314" t="s">
        <v>203</v>
      </c>
      <c r="JPP13" s="314" t="s">
        <v>203</v>
      </c>
      <c r="JPQ13" s="314" t="s">
        <v>203</v>
      </c>
      <c r="JPR13" s="314" t="s">
        <v>203</v>
      </c>
      <c r="JPS13" s="314" t="s">
        <v>203</v>
      </c>
      <c r="JPT13" s="314" t="s">
        <v>203</v>
      </c>
      <c r="JPU13" s="314" t="s">
        <v>203</v>
      </c>
      <c r="JPV13" s="314" t="s">
        <v>203</v>
      </c>
      <c r="JPW13" s="314" t="s">
        <v>203</v>
      </c>
      <c r="JPX13" s="314" t="s">
        <v>203</v>
      </c>
      <c r="JPY13" s="314" t="s">
        <v>203</v>
      </c>
      <c r="JPZ13" s="314" t="s">
        <v>203</v>
      </c>
      <c r="JQA13" s="314" t="s">
        <v>203</v>
      </c>
      <c r="JQB13" s="314" t="s">
        <v>203</v>
      </c>
      <c r="JQC13" s="314" t="s">
        <v>203</v>
      </c>
      <c r="JQD13" s="314" t="s">
        <v>203</v>
      </c>
      <c r="JQE13" s="314" t="s">
        <v>203</v>
      </c>
      <c r="JQF13" s="314" t="s">
        <v>203</v>
      </c>
      <c r="JQG13" s="314" t="s">
        <v>203</v>
      </c>
      <c r="JQH13" s="314" t="s">
        <v>203</v>
      </c>
      <c r="JQI13" s="314" t="s">
        <v>203</v>
      </c>
      <c r="JQJ13" s="314" t="s">
        <v>203</v>
      </c>
      <c r="JQK13" s="314" t="s">
        <v>203</v>
      </c>
      <c r="JQL13" s="314" t="s">
        <v>203</v>
      </c>
      <c r="JQM13" s="314" t="s">
        <v>203</v>
      </c>
      <c r="JQN13" s="314" t="s">
        <v>203</v>
      </c>
      <c r="JQO13" s="314" t="s">
        <v>203</v>
      </c>
      <c r="JQP13" s="314" t="s">
        <v>203</v>
      </c>
      <c r="JQQ13" s="314" t="s">
        <v>203</v>
      </c>
      <c r="JQR13" s="314" t="s">
        <v>203</v>
      </c>
      <c r="JQS13" s="314" t="s">
        <v>203</v>
      </c>
      <c r="JQT13" s="314" t="s">
        <v>203</v>
      </c>
      <c r="JQU13" s="314" t="s">
        <v>203</v>
      </c>
      <c r="JQV13" s="314" t="s">
        <v>203</v>
      </c>
      <c r="JQW13" s="314" t="s">
        <v>203</v>
      </c>
      <c r="JQX13" s="314" t="s">
        <v>203</v>
      </c>
      <c r="JQY13" s="314" t="s">
        <v>203</v>
      </c>
      <c r="JQZ13" s="314" t="s">
        <v>203</v>
      </c>
      <c r="JRA13" s="314" t="s">
        <v>203</v>
      </c>
      <c r="JRB13" s="314" t="s">
        <v>203</v>
      </c>
      <c r="JRC13" s="314" t="s">
        <v>203</v>
      </c>
      <c r="JRD13" s="314" t="s">
        <v>203</v>
      </c>
      <c r="JRE13" s="314" t="s">
        <v>203</v>
      </c>
      <c r="JRF13" s="314" t="s">
        <v>203</v>
      </c>
      <c r="JRG13" s="314" t="s">
        <v>203</v>
      </c>
      <c r="JRH13" s="314" t="s">
        <v>203</v>
      </c>
      <c r="JRI13" s="314" t="s">
        <v>203</v>
      </c>
      <c r="JRJ13" s="314" t="s">
        <v>203</v>
      </c>
      <c r="JRK13" s="314" t="s">
        <v>203</v>
      </c>
      <c r="JRL13" s="314" t="s">
        <v>203</v>
      </c>
      <c r="JRM13" s="314" t="s">
        <v>203</v>
      </c>
      <c r="JRN13" s="314" t="s">
        <v>203</v>
      </c>
      <c r="JRO13" s="314" t="s">
        <v>203</v>
      </c>
      <c r="JRP13" s="314" t="s">
        <v>203</v>
      </c>
      <c r="JRQ13" s="314" t="s">
        <v>203</v>
      </c>
      <c r="JRR13" s="314" t="s">
        <v>203</v>
      </c>
      <c r="JRS13" s="314" t="s">
        <v>203</v>
      </c>
      <c r="JRT13" s="314" t="s">
        <v>203</v>
      </c>
      <c r="JRU13" s="314" t="s">
        <v>203</v>
      </c>
      <c r="JRV13" s="314" t="s">
        <v>203</v>
      </c>
      <c r="JRW13" s="314" t="s">
        <v>203</v>
      </c>
      <c r="JRX13" s="314" t="s">
        <v>203</v>
      </c>
      <c r="JRY13" s="314" t="s">
        <v>203</v>
      </c>
      <c r="JRZ13" s="314" t="s">
        <v>203</v>
      </c>
      <c r="JSA13" s="314" t="s">
        <v>203</v>
      </c>
      <c r="JSB13" s="314" t="s">
        <v>203</v>
      </c>
      <c r="JSC13" s="314" t="s">
        <v>203</v>
      </c>
      <c r="JSD13" s="314" t="s">
        <v>203</v>
      </c>
      <c r="JSE13" s="314" t="s">
        <v>203</v>
      </c>
      <c r="JSF13" s="314" t="s">
        <v>203</v>
      </c>
      <c r="JSG13" s="314" t="s">
        <v>203</v>
      </c>
      <c r="JSH13" s="314" t="s">
        <v>203</v>
      </c>
      <c r="JSI13" s="314" t="s">
        <v>203</v>
      </c>
      <c r="JSJ13" s="314" t="s">
        <v>203</v>
      </c>
      <c r="JSK13" s="314" t="s">
        <v>203</v>
      </c>
      <c r="JSL13" s="314" t="s">
        <v>203</v>
      </c>
      <c r="JSM13" s="314" t="s">
        <v>203</v>
      </c>
      <c r="JSN13" s="314" t="s">
        <v>203</v>
      </c>
      <c r="JSO13" s="314" t="s">
        <v>203</v>
      </c>
      <c r="JSP13" s="314" t="s">
        <v>203</v>
      </c>
      <c r="JSQ13" s="314" t="s">
        <v>203</v>
      </c>
      <c r="JSR13" s="314" t="s">
        <v>203</v>
      </c>
      <c r="JSS13" s="314" t="s">
        <v>203</v>
      </c>
      <c r="JST13" s="314" t="s">
        <v>203</v>
      </c>
      <c r="JSU13" s="314" t="s">
        <v>203</v>
      </c>
      <c r="JSV13" s="314" t="s">
        <v>203</v>
      </c>
      <c r="JSW13" s="314" t="s">
        <v>203</v>
      </c>
      <c r="JSX13" s="314" t="s">
        <v>203</v>
      </c>
      <c r="JSY13" s="314" t="s">
        <v>203</v>
      </c>
      <c r="JSZ13" s="314" t="s">
        <v>203</v>
      </c>
      <c r="JTA13" s="314" t="s">
        <v>203</v>
      </c>
      <c r="JTB13" s="314" t="s">
        <v>203</v>
      </c>
      <c r="JTC13" s="314" t="s">
        <v>203</v>
      </c>
      <c r="JTD13" s="314" t="s">
        <v>203</v>
      </c>
      <c r="JTE13" s="314" t="s">
        <v>203</v>
      </c>
      <c r="JTF13" s="314" t="s">
        <v>203</v>
      </c>
      <c r="JTG13" s="314" t="s">
        <v>203</v>
      </c>
      <c r="JTH13" s="314" t="s">
        <v>203</v>
      </c>
      <c r="JTI13" s="314" t="s">
        <v>203</v>
      </c>
      <c r="JTJ13" s="314" t="s">
        <v>203</v>
      </c>
      <c r="JTK13" s="314" t="s">
        <v>203</v>
      </c>
      <c r="JTL13" s="314" t="s">
        <v>203</v>
      </c>
      <c r="JTM13" s="314" t="s">
        <v>203</v>
      </c>
      <c r="JTN13" s="314" t="s">
        <v>203</v>
      </c>
      <c r="JTO13" s="314" t="s">
        <v>203</v>
      </c>
      <c r="JTP13" s="314" t="s">
        <v>203</v>
      </c>
      <c r="JTQ13" s="314" t="s">
        <v>203</v>
      </c>
      <c r="JTR13" s="314" t="s">
        <v>203</v>
      </c>
      <c r="JTS13" s="314" t="s">
        <v>203</v>
      </c>
      <c r="JTT13" s="314" t="s">
        <v>203</v>
      </c>
      <c r="JTU13" s="314" t="s">
        <v>203</v>
      </c>
      <c r="JTV13" s="314" t="s">
        <v>203</v>
      </c>
      <c r="JTW13" s="314" t="s">
        <v>203</v>
      </c>
      <c r="JTX13" s="314" t="s">
        <v>203</v>
      </c>
      <c r="JTY13" s="314" t="s">
        <v>203</v>
      </c>
      <c r="JTZ13" s="314" t="s">
        <v>203</v>
      </c>
      <c r="JUA13" s="314" t="s">
        <v>203</v>
      </c>
      <c r="JUB13" s="314" t="s">
        <v>203</v>
      </c>
      <c r="JUC13" s="314" t="s">
        <v>203</v>
      </c>
      <c r="JUD13" s="314" t="s">
        <v>203</v>
      </c>
      <c r="JUE13" s="314" t="s">
        <v>203</v>
      </c>
      <c r="JUF13" s="314" t="s">
        <v>203</v>
      </c>
      <c r="JUG13" s="314" t="s">
        <v>203</v>
      </c>
      <c r="JUH13" s="314" t="s">
        <v>203</v>
      </c>
      <c r="JUI13" s="314" t="s">
        <v>203</v>
      </c>
      <c r="JUJ13" s="314" t="s">
        <v>203</v>
      </c>
      <c r="JUK13" s="314" t="s">
        <v>203</v>
      </c>
      <c r="JUL13" s="314" t="s">
        <v>203</v>
      </c>
      <c r="JUM13" s="314" t="s">
        <v>203</v>
      </c>
      <c r="JUN13" s="314" t="s">
        <v>203</v>
      </c>
      <c r="JUO13" s="314" t="s">
        <v>203</v>
      </c>
      <c r="JUP13" s="314" t="s">
        <v>203</v>
      </c>
      <c r="JUQ13" s="314" t="s">
        <v>203</v>
      </c>
      <c r="JUR13" s="314" t="s">
        <v>203</v>
      </c>
      <c r="JUS13" s="314" t="s">
        <v>203</v>
      </c>
      <c r="JUT13" s="314" t="s">
        <v>203</v>
      </c>
      <c r="JUU13" s="314" t="s">
        <v>203</v>
      </c>
      <c r="JUV13" s="314" t="s">
        <v>203</v>
      </c>
      <c r="JUW13" s="314" t="s">
        <v>203</v>
      </c>
      <c r="JUX13" s="314" t="s">
        <v>203</v>
      </c>
      <c r="JUY13" s="314" t="s">
        <v>203</v>
      </c>
      <c r="JUZ13" s="314" t="s">
        <v>203</v>
      </c>
      <c r="JVA13" s="314" t="s">
        <v>203</v>
      </c>
      <c r="JVB13" s="314" t="s">
        <v>203</v>
      </c>
      <c r="JVC13" s="314" t="s">
        <v>203</v>
      </c>
      <c r="JVD13" s="314" t="s">
        <v>203</v>
      </c>
      <c r="JVE13" s="314" t="s">
        <v>203</v>
      </c>
      <c r="JVF13" s="314" t="s">
        <v>203</v>
      </c>
      <c r="JVG13" s="314" t="s">
        <v>203</v>
      </c>
      <c r="JVH13" s="314" t="s">
        <v>203</v>
      </c>
      <c r="JVI13" s="314" t="s">
        <v>203</v>
      </c>
      <c r="JVJ13" s="314" t="s">
        <v>203</v>
      </c>
      <c r="JVK13" s="314" t="s">
        <v>203</v>
      </c>
      <c r="JVL13" s="314" t="s">
        <v>203</v>
      </c>
      <c r="JVM13" s="314" t="s">
        <v>203</v>
      </c>
      <c r="JVN13" s="314" t="s">
        <v>203</v>
      </c>
      <c r="JVO13" s="314" t="s">
        <v>203</v>
      </c>
      <c r="JVP13" s="314" t="s">
        <v>203</v>
      </c>
      <c r="JVQ13" s="314" t="s">
        <v>203</v>
      </c>
      <c r="JVR13" s="314" t="s">
        <v>203</v>
      </c>
      <c r="JVS13" s="314" t="s">
        <v>203</v>
      </c>
      <c r="JVT13" s="314" t="s">
        <v>203</v>
      </c>
      <c r="JVU13" s="314" t="s">
        <v>203</v>
      </c>
      <c r="JVV13" s="314" t="s">
        <v>203</v>
      </c>
      <c r="JVW13" s="314" t="s">
        <v>203</v>
      </c>
      <c r="JVX13" s="314" t="s">
        <v>203</v>
      </c>
      <c r="JVY13" s="314" t="s">
        <v>203</v>
      </c>
      <c r="JVZ13" s="314" t="s">
        <v>203</v>
      </c>
      <c r="JWA13" s="314" t="s">
        <v>203</v>
      </c>
      <c r="JWB13" s="314" t="s">
        <v>203</v>
      </c>
      <c r="JWC13" s="314" t="s">
        <v>203</v>
      </c>
      <c r="JWD13" s="314" t="s">
        <v>203</v>
      </c>
      <c r="JWE13" s="314" t="s">
        <v>203</v>
      </c>
      <c r="JWF13" s="314" t="s">
        <v>203</v>
      </c>
      <c r="JWG13" s="314" t="s">
        <v>203</v>
      </c>
      <c r="JWH13" s="314" t="s">
        <v>203</v>
      </c>
      <c r="JWI13" s="314" t="s">
        <v>203</v>
      </c>
      <c r="JWJ13" s="314" t="s">
        <v>203</v>
      </c>
      <c r="JWK13" s="314" t="s">
        <v>203</v>
      </c>
      <c r="JWL13" s="314" t="s">
        <v>203</v>
      </c>
      <c r="JWM13" s="314" t="s">
        <v>203</v>
      </c>
      <c r="JWN13" s="314" t="s">
        <v>203</v>
      </c>
      <c r="JWO13" s="314" t="s">
        <v>203</v>
      </c>
      <c r="JWP13" s="314" t="s">
        <v>203</v>
      </c>
      <c r="JWQ13" s="314" t="s">
        <v>203</v>
      </c>
      <c r="JWR13" s="314" t="s">
        <v>203</v>
      </c>
      <c r="JWS13" s="314" t="s">
        <v>203</v>
      </c>
      <c r="JWT13" s="314" t="s">
        <v>203</v>
      </c>
      <c r="JWU13" s="314" t="s">
        <v>203</v>
      </c>
      <c r="JWV13" s="314" t="s">
        <v>203</v>
      </c>
      <c r="JWW13" s="314" t="s">
        <v>203</v>
      </c>
      <c r="JWX13" s="314" t="s">
        <v>203</v>
      </c>
      <c r="JWY13" s="314" t="s">
        <v>203</v>
      </c>
      <c r="JWZ13" s="314" t="s">
        <v>203</v>
      </c>
      <c r="JXA13" s="314" t="s">
        <v>203</v>
      </c>
      <c r="JXB13" s="314" t="s">
        <v>203</v>
      </c>
      <c r="JXC13" s="314" t="s">
        <v>203</v>
      </c>
      <c r="JXD13" s="314" t="s">
        <v>203</v>
      </c>
      <c r="JXE13" s="314" t="s">
        <v>203</v>
      </c>
      <c r="JXF13" s="314" t="s">
        <v>203</v>
      </c>
      <c r="JXG13" s="314" t="s">
        <v>203</v>
      </c>
      <c r="JXH13" s="314" t="s">
        <v>203</v>
      </c>
      <c r="JXI13" s="314" t="s">
        <v>203</v>
      </c>
      <c r="JXJ13" s="314" t="s">
        <v>203</v>
      </c>
      <c r="JXK13" s="314" t="s">
        <v>203</v>
      </c>
      <c r="JXL13" s="314" t="s">
        <v>203</v>
      </c>
      <c r="JXM13" s="314" t="s">
        <v>203</v>
      </c>
      <c r="JXN13" s="314" t="s">
        <v>203</v>
      </c>
      <c r="JXO13" s="314" t="s">
        <v>203</v>
      </c>
      <c r="JXP13" s="314" t="s">
        <v>203</v>
      </c>
      <c r="JXQ13" s="314" t="s">
        <v>203</v>
      </c>
      <c r="JXR13" s="314" t="s">
        <v>203</v>
      </c>
      <c r="JXS13" s="314" t="s">
        <v>203</v>
      </c>
      <c r="JXT13" s="314" t="s">
        <v>203</v>
      </c>
      <c r="JXU13" s="314" t="s">
        <v>203</v>
      </c>
      <c r="JXV13" s="314" t="s">
        <v>203</v>
      </c>
      <c r="JXW13" s="314" t="s">
        <v>203</v>
      </c>
      <c r="JXX13" s="314" t="s">
        <v>203</v>
      </c>
      <c r="JXY13" s="314" t="s">
        <v>203</v>
      </c>
      <c r="JXZ13" s="314" t="s">
        <v>203</v>
      </c>
      <c r="JYA13" s="314" t="s">
        <v>203</v>
      </c>
      <c r="JYB13" s="314" t="s">
        <v>203</v>
      </c>
      <c r="JYC13" s="314" t="s">
        <v>203</v>
      </c>
      <c r="JYD13" s="314" t="s">
        <v>203</v>
      </c>
      <c r="JYE13" s="314" t="s">
        <v>203</v>
      </c>
      <c r="JYF13" s="314" t="s">
        <v>203</v>
      </c>
      <c r="JYG13" s="314" t="s">
        <v>203</v>
      </c>
      <c r="JYH13" s="314" t="s">
        <v>203</v>
      </c>
      <c r="JYI13" s="314" t="s">
        <v>203</v>
      </c>
      <c r="JYJ13" s="314" t="s">
        <v>203</v>
      </c>
      <c r="JYK13" s="314" t="s">
        <v>203</v>
      </c>
      <c r="JYL13" s="314" t="s">
        <v>203</v>
      </c>
      <c r="JYM13" s="314" t="s">
        <v>203</v>
      </c>
      <c r="JYN13" s="314" t="s">
        <v>203</v>
      </c>
      <c r="JYO13" s="314" t="s">
        <v>203</v>
      </c>
      <c r="JYP13" s="314" t="s">
        <v>203</v>
      </c>
      <c r="JYQ13" s="314" t="s">
        <v>203</v>
      </c>
      <c r="JYR13" s="314" t="s">
        <v>203</v>
      </c>
      <c r="JYS13" s="314" t="s">
        <v>203</v>
      </c>
      <c r="JYT13" s="314" t="s">
        <v>203</v>
      </c>
      <c r="JYU13" s="314" t="s">
        <v>203</v>
      </c>
      <c r="JYV13" s="314" t="s">
        <v>203</v>
      </c>
      <c r="JYW13" s="314" t="s">
        <v>203</v>
      </c>
      <c r="JYX13" s="314" t="s">
        <v>203</v>
      </c>
      <c r="JYY13" s="314" t="s">
        <v>203</v>
      </c>
      <c r="JYZ13" s="314" t="s">
        <v>203</v>
      </c>
      <c r="JZA13" s="314" t="s">
        <v>203</v>
      </c>
      <c r="JZB13" s="314" t="s">
        <v>203</v>
      </c>
      <c r="JZC13" s="314" t="s">
        <v>203</v>
      </c>
      <c r="JZD13" s="314" t="s">
        <v>203</v>
      </c>
      <c r="JZE13" s="314" t="s">
        <v>203</v>
      </c>
      <c r="JZF13" s="314" t="s">
        <v>203</v>
      </c>
      <c r="JZG13" s="314" t="s">
        <v>203</v>
      </c>
      <c r="JZH13" s="314" t="s">
        <v>203</v>
      </c>
      <c r="JZI13" s="314" t="s">
        <v>203</v>
      </c>
      <c r="JZJ13" s="314" t="s">
        <v>203</v>
      </c>
      <c r="JZK13" s="314" t="s">
        <v>203</v>
      </c>
      <c r="JZL13" s="314" t="s">
        <v>203</v>
      </c>
      <c r="JZM13" s="314" t="s">
        <v>203</v>
      </c>
      <c r="JZN13" s="314" t="s">
        <v>203</v>
      </c>
      <c r="JZO13" s="314" t="s">
        <v>203</v>
      </c>
      <c r="JZP13" s="314" t="s">
        <v>203</v>
      </c>
      <c r="JZQ13" s="314" t="s">
        <v>203</v>
      </c>
      <c r="JZR13" s="314" t="s">
        <v>203</v>
      </c>
      <c r="JZS13" s="314" t="s">
        <v>203</v>
      </c>
      <c r="JZT13" s="314" t="s">
        <v>203</v>
      </c>
      <c r="JZU13" s="314" t="s">
        <v>203</v>
      </c>
      <c r="JZV13" s="314" t="s">
        <v>203</v>
      </c>
      <c r="JZW13" s="314" t="s">
        <v>203</v>
      </c>
      <c r="JZX13" s="314" t="s">
        <v>203</v>
      </c>
      <c r="JZY13" s="314" t="s">
        <v>203</v>
      </c>
      <c r="JZZ13" s="314" t="s">
        <v>203</v>
      </c>
      <c r="KAA13" s="314" t="s">
        <v>203</v>
      </c>
      <c r="KAB13" s="314" t="s">
        <v>203</v>
      </c>
      <c r="KAC13" s="314" t="s">
        <v>203</v>
      </c>
      <c r="KAD13" s="314" t="s">
        <v>203</v>
      </c>
      <c r="KAE13" s="314" t="s">
        <v>203</v>
      </c>
      <c r="KAF13" s="314" t="s">
        <v>203</v>
      </c>
      <c r="KAG13" s="314" t="s">
        <v>203</v>
      </c>
      <c r="KAH13" s="314" t="s">
        <v>203</v>
      </c>
      <c r="KAI13" s="314" t="s">
        <v>203</v>
      </c>
      <c r="KAJ13" s="314" t="s">
        <v>203</v>
      </c>
      <c r="KAK13" s="314" t="s">
        <v>203</v>
      </c>
      <c r="KAL13" s="314" t="s">
        <v>203</v>
      </c>
      <c r="KAM13" s="314" t="s">
        <v>203</v>
      </c>
      <c r="KAN13" s="314" t="s">
        <v>203</v>
      </c>
      <c r="KAO13" s="314" t="s">
        <v>203</v>
      </c>
      <c r="KAP13" s="314" t="s">
        <v>203</v>
      </c>
      <c r="KAQ13" s="314" t="s">
        <v>203</v>
      </c>
      <c r="KAR13" s="314" t="s">
        <v>203</v>
      </c>
      <c r="KAS13" s="314" t="s">
        <v>203</v>
      </c>
      <c r="KAT13" s="314" t="s">
        <v>203</v>
      </c>
      <c r="KAU13" s="314" t="s">
        <v>203</v>
      </c>
      <c r="KAV13" s="314" t="s">
        <v>203</v>
      </c>
      <c r="KAW13" s="314" t="s">
        <v>203</v>
      </c>
      <c r="KAX13" s="314" t="s">
        <v>203</v>
      </c>
      <c r="KAY13" s="314" t="s">
        <v>203</v>
      </c>
      <c r="KAZ13" s="314" t="s">
        <v>203</v>
      </c>
      <c r="KBA13" s="314" t="s">
        <v>203</v>
      </c>
      <c r="KBB13" s="314" t="s">
        <v>203</v>
      </c>
      <c r="KBC13" s="314" t="s">
        <v>203</v>
      </c>
      <c r="KBD13" s="314" t="s">
        <v>203</v>
      </c>
      <c r="KBE13" s="314" t="s">
        <v>203</v>
      </c>
      <c r="KBF13" s="314" t="s">
        <v>203</v>
      </c>
      <c r="KBG13" s="314" t="s">
        <v>203</v>
      </c>
      <c r="KBH13" s="314" t="s">
        <v>203</v>
      </c>
      <c r="KBI13" s="314" t="s">
        <v>203</v>
      </c>
      <c r="KBJ13" s="314" t="s">
        <v>203</v>
      </c>
      <c r="KBK13" s="314" t="s">
        <v>203</v>
      </c>
      <c r="KBL13" s="314" t="s">
        <v>203</v>
      </c>
      <c r="KBM13" s="314" t="s">
        <v>203</v>
      </c>
      <c r="KBN13" s="314" t="s">
        <v>203</v>
      </c>
      <c r="KBO13" s="314" t="s">
        <v>203</v>
      </c>
      <c r="KBP13" s="314" t="s">
        <v>203</v>
      </c>
      <c r="KBQ13" s="314" t="s">
        <v>203</v>
      </c>
      <c r="KBR13" s="314" t="s">
        <v>203</v>
      </c>
      <c r="KBS13" s="314" t="s">
        <v>203</v>
      </c>
      <c r="KBT13" s="314" t="s">
        <v>203</v>
      </c>
      <c r="KBU13" s="314" t="s">
        <v>203</v>
      </c>
      <c r="KBV13" s="314" t="s">
        <v>203</v>
      </c>
      <c r="KBW13" s="314" t="s">
        <v>203</v>
      </c>
      <c r="KBX13" s="314" t="s">
        <v>203</v>
      </c>
      <c r="KBY13" s="314" t="s">
        <v>203</v>
      </c>
      <c r="KBZ13" s="314" t="s">
        <v>203</v>
      </c>
      <c r="KCA13" s="314" t="s">
        <v>203</v>
      </c>
      <c r="KCB13" s="314" t="s">
        <v>203</v>
      </c>
      <c r="KCC13" s="314" t="s">
        <v>203</v>
      </c>
      <c r="KCD13" s="314" t="s">
        <v>203</v>
      </c>
      <c r="KCE13" s="314" t="s">
        <v>203</v>
      </c>
      <c r="KCF13" s="314" t="s">
        <v>203</v>
      </c>
      <c r="KCG13" s="314" t="s">
        <v>203</v>
      </c>
      <c r="KCH13" s="314" t="s">
        <v>203</v>
      </c>
      <c r="KCI13" s="314" t="s">
        <v>203</v>
      </c>
      <c r="KCJ13" s="314" t="s">
        <v>203</v>
      </c>
      <c r="KCK13" s="314" t="s">
        <v>203</v>
      </c>
      <c r="KCL13" s="314" t="s">
        <v>203</v>
      </c>
      <c r="KCM13" s="314" t="s">
        <v>203</v>
      </c>
      <c r="KCN13" s="314" t="s">
        <v>203</v>
      </c>
      <c r="KCO13" s="314" t="s">
        <v>203</v>
      </c>
      <c r="KCP13" s="314" t="s">
        <v>203</v>
      </c>
      <c r="KCQ13" s="314" t="s">
        <v>203</v>
      </c>
      <c r="KCR13" s="314" t="s">
        <v>203</v>
      </c>
      <c r="KCS13" s="314" t="s">
        <v>203</v>
      </c>
      <c r="KCT13" s="314" t="s">
        <v>203</v>
      </c>
      <c r="KCU13" s="314" t="s">
        <v>203</v>
      </c>
      <c r="KCV13" s="314" t="s">
        <v>203</v>
      </c>
      <c r="KCW13" s="314" t="s">
        <v>203</v>
      </c>
      <c r="KCX13" s="314" t="s">
        <v>203</v>
      </c>
      <c r="KCY13" s="314" t="s">
        <v>203</v>
      </c>
      <c r="KCZ13" s="314" t="s">
        <v>203</v>
      </c>
      <c r="KDA13" s="314" t="s">
        <v>203</v>
      </c>
      <c r="KDB13" s="314" t="s">
        <v>203</v>
      </c>
      <c r="KDC13" s="314" t="s">
        <v>203</v>
      </c>
      <c r="KDD13" s="314" t="s">
        <v>203</v>
      </c>
      <c r="KDE13" s="314" t="s">
        <v>203</v>
      </c>
      <c r="KDF13" s="314" t="s">
        <v>203</v>
      </c>
      <c r="KDG13" s="314" t="s">
        <v>203</v>
      </c>
      <c r="KDH13" s="314" t="s">
        <v>203</v>
      </c>
      <c r="KDI13" s="314" t="s">
        <v>203</v>
      </c>
      <c r="KDJ13" s="314" t="s">
        <v>203</v>
      </c>
      <c r="KDK13" s="314" t="s">
        <v>203</v>
      </c>
      <c r="KDL13" s="314" t="s">
        <v>203</v>
      </c>
      <c r="KDM13" s="314" t="s">
        <v>203</v>
      </c>
      <c r="KDN13" s="314" t="s">
        <v>203</v>
      </c>
      <c r="KDO13" s="314" t="s">
        <v>203</v>
      </c>
      <c r="KDP13" s="314" t="s">
        <v>203</v>
      </c>
      <c r="KDQ13" s="314" t="s">
        <v>203</v>
      </c>
      <c r="KDR13" s="314" t="s">
        <v>203</v>
      </c>
      <c r="KDS13" s="314" t="s">
        <v>203</v>
      </c>
      <c r="KDT13" s="314" t="s">
        <v>203</v>
      </c>
      <c r="KDU13" s="314" t="s">
        <v>203</v>
      </c>
      <c r="KDV13" s="314" t="s">
        <v>203</v>
      </c>
      <c r="KDW13" s="314" t="s">
        <v>203</v>
      </c>
      <c r="KDX13" s="314" t="s">
        <v>203</v>
      </c>
      <c r="KDY13" s="314" t="s">
        <v>203</v>
      </c>
      <c r="KDZ13" s="314" t="s">
        <v>203</v>
      </c>
      <c r="KEA13" s="314" t="s">
        <v>203</v>
      </c>
      <c r="KEB13" s="314" t="s">
        <v>203</v>
      </c>
      <c r="KEC13" s="314" t="s">
        <v>203</v>
      </c>
      <c r="KED13" s="314" t="s">
        <v>203</v>
      </c>
      <c r="KEE13" s="314" t="s">
        <v>203</v>
      </c>
      <c r="KEF13" s="314" t="s">
        <v>203</v>
      </c>
      <c r="KEG13" s="314" t="s">
        <v>203</v>
      </c>
      <c r="KEH13" s="314" t="s">
        <v>203</v>
      </c>
      <c r="KEI13" s="314" t="s">
        <v>203</v>
      </c>
      <c r="KEJ13" s="314" t="s">
        <v>203</v>
      </c>
      <c r="KEK13" s="314" t="s">
        <v>203</v>
      </c>
      <c r="KEL13" s="314" t="s">
        <v>203</v>
      </c>
      <c r="KEM13" s="314" t="s">
        <v>203</v>
      </c>
      <c r="KEN13" s="314" t="s">
        <v>203</v>
      </c>
      <c r="KEO13" s="314" t="s">
        <v>203</v>
      </c>
      <c r="KEP13" s="314" t="s">
        <v>203</v>
      </c>
      <c r="KEQ13" s="314" t="s">
        <v>203</v>
      </c>
      <c r="KER13" s="314" t="s">
        <v>203</v>
      </c>
      <c r="KES13" s="314" t="s">
        <v>203</v>
      </c>
      <c r="KET13" s="314" t="s">
        <v>203</v>
      </c>
      <c r="KEU13" s="314" t="s">
        <v>203</v>
      </c>
      <c r="KEV13" s="314" t="s">
        <v>203</v>
      </c>
      <c r="KEW13" s="314" t="s">
        <v>203</v>
      </c>
      <c r="KEX13" s="314" t="s">
        <v>203</v>
      </c>
      <c r="KEY13" s="314" t="s">
        <v>203</v>
      </c>
      <c r="KEZ13" s="314" t="s">
        <v>203</v>
      </c>
      <c r="KFA13" s="314" t="s">
        <v>203</v>
      </c>
      <c r="KFB13" s="314" t="s">
        <v>203</v>
      </c>
      <c r="KFC13" s="314" t="s">
        <v>203</v>
      </c>
      <c r="KFD13" s="314" t="s">
        <v>203</v>
      </c>
      <c r="KFE13" s="314" t="s">
        <v>203</v>
      </c>
      <c r="KFF13" s="314" t="s">
        <v>203</v>
      </c>
      <c r="KFG13" s="314" t="s">
        <v>203</v>
      </c>
      <c r="KFH13" s="314" t="s">
        <v>203</v>
      </c>
      <c r="KFI13" s="314" t="s">
        <v>203</v>
      </c>
      <c r="KFJ13" s="314" t="s">
        <v>203</v>
      </c>
      <c r="KFK13" s="314" t="s">
        <v>203</v>
      </c>
      <c r="KFL13" s="314" t="s">
        <v>203</v>
      </c>
      <c r="KFM13" s="314" t="s">
        <v>203</v>
      </c>
      <c r="KFN13" s="314" t="s">
        <v>203</v>
      </c>
      <c r="KFO13" s="314" t="s">
        <v>203</v>
      </c>
      <c r="KFP13" s="314" t="s">
        <v>203</v>
      </c>
      <c r="KFQ13" s="314" t="s">
        <v>203</v>
      </c>
      <c r="KFR13" s="314" t="s">
        <v>203</v>
      </c>
      <c r="KFS13" s="314" t="s">
        <v>203</v>
      </c>
      <c r="KFT13" s="314" t="s">
        <v>203</v>
      </c>
      <c r="KFU13" s="314" t="s">
        <v>203</v>
      </c>
      <c r="KFV13" s="314" t="s">
        <v>203</v>
      </c>
      <c r="KFW13" s="314" t="s">
        <v>203</v>
      </c>
      <c r="KFX13" s="314" t="s">
        <v>203</v>
      </c>
      <c r="KFY13" s="314" t="s">
        <v>203</v>
      </c>
      <c r="KFZ13" s="314" t="s">
        <v>203</v>
      </c>
      <c r="KGA13" s="314" t="s">
        <v>203</v>
      </c>
      <c r="KGB13" s="314" t="s">
        <v>203</v>
      </c>
      <c r="KGC13" s="314" t="s">
        <v>203</v>
      </c>
      <c r="KGD13" s="314" t="s">
        <v>203</v>
      </c>
      <c r="KGE13" s="314" t="s">
        <v>203</v>
      </c>
      <c r="KGF13" s="314" t="s">
        <v>203</v>
      </c>
      <c r="KGG13" s="314" t="s">
        <v>203</v>
      </c>
      <c r="KGH13" s="314" t="s">
        <v>203</v>
      </c>
      <c r="KGI13" s="314" t="s">
        <v>203</v>
      </c>
      <c r="KGJ13" s="314" t="s">
        <v>203</v>
      </c>
      <c r="KGK13" s="314" t="s">
        <v>203</v>
      </c>
      <c r="KGL13" s="314" t="s">
        <v>203</v>
      </c>
      <c r="KGM13" s="314" t="s">
        <v>203</v>
      </c>
      <c r="KGN13" s="314" t="s">
        <v>203</v>
      </c>
      <c r="KGO13" s="314" t="s">
        <v>203</v>
      </c>
      <c r="KGP13" s="314" t="s">
        <v>203</v>
      </c>
      <c r="KGQ13" s="314" t="s">
        <v>203</v>
      </c>
      <c r="KGR13" s="314" t="s">
        <v>203</v>
      </c>
      <c r="KGS13" s="314" t="s">
        <v>203</v>
      </c>
      <c r="KGT13" s="314" t="s">
        <v>203</v>
      </c>
      <c r="KGU13" s="314" t="s">
        <v>203</v>
      </c>
      <c r="KGV13" s="314" t="s">
        <v>203</v>
      </c>
      <c r="KGW13" s="314" t="s">
        <v>203</v>
      </c>
      <c r="KGX13" s="314" t="s">
        <v>203</v>
      </c>
      <c r="KGY13" s="314" t="s">
        <v>203</v>
      </c>
      <c r="KGZ13" s="314" t="s">
        <v>203</v>
      </c>
      <c r="KHA13" s="314" t="s">
        <v>203</v>
      </c>
      <c r="KHB13" s="314" t="s">
        <v>203</v>
      </c>
      <c r="KHC13" s="314" t="s">
        <v>203</v>
      </c>
      <c r="KHD13" s="314" t="s">
        <v>203</v>
      </c>
      <c r="KHE13" s="314" t="s">
        <v>203</v>
      </c>
      <c r="KHF13" s="314" t="s">
        <v>203</v>
      </c>
      <c r="KHG13" s="314" t="s">
        <v>203</v>
      </c>
      <c r="KHH13" s="314" t="s">
        <v>203</v>
      </c>
      <c r="KHI13" s="314" t="s">
        <v>203</v>
      </c>
      <c r="KHJ13" s="314" t="s">
        <v>203</v>
      </c>
      <c r="KHK13" s="314" t="s">
        <v>203</v>
      </c>
      <c r="KHL13" s="314" t="s">
        <v>203</v>
      </c>
      <c r="KHM13" s="314" t="s">
        <v>203</v>
      </c>
      <c r="KHN13" s="314" t="s">
        <v>203</v>
      </c>
      <c r="KHO13" s="314" t="s">
        <v>203</v>
      </c>
      <c r="KHP13" s="314" t="s">
        <v>203</v>
      </c>
      <c r="KHQ13" s="314" t="s">
        <v>203</v>
      </c>
      <c r="KHR13" s="314" t="s">
        <v>203</v>
      </c>
      <c r="KHS13" s="314" t="s">
        <v>203</v>
      </c>
      <c r="KHT13" s="314" t="s">
        <v>203</v>
      </c>
      <c r="KHU13" s="314" t="s">
        <v>203</v>
      </c>
      <c r="KHV13" s="314" t="s">
        <v>203</v>
      </c>
      <c r="KHW13" s="314" t="s">
        <v>203</v>
      </c>
      <c r="KHX13" s="314" t="s">
        <v>203</v>
      </c>
      <c r="KHY13" s="314" t="s">
        <v>203</v>
      </c>
      <c r="KHZ13" s="314" t="s">
        <v>203</v>
      </c>
      <c r="KIA13" s="314" t="s">
        <v>203</v>
      </c>
      <c r="KIB13" s="314" t="s">
        <v>203</v>
      </c>
      <c r="KIC13" s="314" t="s">
        <v>203</v>
      </c>
      <c r="KID13" s="314" t="s">
        <v>203</v>
      </c>
      <c r="KIE13" s="314" t="s">
        <v>203</v>
      </c>
      <c r="KIF13" s="314" t="s">
        <v>203</v>
      </c>
      <c r="KIG13" s="314" t="s">
        <v>203</v>
      </c>
      <c r="KIH13" s="314" t="s">
        <v>203</v>
      </c>
      <c r="KII13" s="314" t="s">
        <v>203</v>
      </c>
      <c r="KIJ13" s="314" t="s">
        <v>203</v>
      </c>
      <c r="KIK13" s="314" t="s">
        <v>203</v>
      </c>
      <c r="KIL13" s="314" t="s">
        <v>203</v>
      </c>
      <c r="KIM13" s="314" t="s">
        <v>203</v>
      </c>
      <c r="KIN13" s="314" t="s">
        <v>203</v>
      </c>
      <c r="KIO13" s="314" t="s">
        <v>203</v>
      </c>
      <c r="KIP13" s="314" t="s">
        <v>203</v>
      </c>
      <c r="KIQ13" s="314" t="s">
        <v>203</v>
      </c>
      <c r="KIR13" s="314" t="s">
        <v>203</v>
      </c>
      <c r="KIS13" s="314" t="s">
        <v>203</v>
      </c>
      <c r="KIT13" s="314" t="s">
        <v>203</v>
      </c>
      <c r="KIU13" s="314" t="s">
        <v>203</v>
      </c>
      <c r="KIV13" s="314" t="s">
        <v>203</v>
      </c>
      <c r="KIW13" s="314" t="s">
        <v>203</v>
      </c>
      <c r="KIX13" s="314" t="s">
        <v>203</v>
      </c>
      <c r="KIY13" s="314" t="s">
        <v>203</v>
      </c>
      <c r="KIZ13" s="314" t="s">
        <v>203</v>
      </c>
      <c r="KJA13" s="314" t="s">
        <v>203</v>
      </c>
      <c r="KJB13" s="314" t="s">
        <v>203</v>
      </c>
      <c r="KJC13" s="314" t="s">
        <v>203</v>
      </c>
      <c r="KJD13" s="314" t="s">
        <v>203</v>
      </c>
      <c r="KJE13" s="314" t="s">
        <v>203</v>
      </c>
      <c r="KJF13" s="314" t="s">
        <v>203</v>
      </c>
      <c r="KJG13" s="314" t="s">
        <v>203</v>
      </c>
      <c r="KJH13" s="314" t="s">
        <v>203</v>
      </c>
      <c r="KJI13" s="314" t="s">
        <v>203</v>
      </c>
      <c r="KJJ13" s="314" t="s">
        <v>203</v>
      </c>
      <c r="KJK13" s="314" t="s">
        <v>203</v>
      </c>
      <c r="KJL13" s="314" t="s">
        <v>203</v>
      </c>
      <c r="KJM13" s="314" t="s">
        <v>203</v>
      </c>
      <c r="KJN13" s="314" t="s">
        <v>203</v>
      </c>
      <c r="KJO13" s="314" t="s">
        <v>203</v>
      </c>
      <c r="KJP13" s="314" t="s">
        <v>203</v>
      </c>
      <c r="KJQ13" s="314" t="s">
        <v>203</v>
      </c>
      <c r="KJR13" s="314" t="s">
        <v>203</v>
      </c>
      <c r="KJS13" s="314" t="s">
        <v>203</v>
      </c>
      <c r="KJT13" s="314" t="s">
        <v>203</v>
      </c>
      <c r="KJU13" s="314" t="s">
        <v>203</v>
      </c>
      <c r="KJV13" s="314" t="s">
        <v>203</v>
      </c>
      <c r="KJW13" s="314" t="s">
        <v>203</v>
      </c>
      <c r="KJX13" s="314" t="s">
        <v>203</v>
      </c>
      <c r="KJY13" s="314" t="s">
        <v>203</v>
      </c>
      <c r="KJZ13" s="314" t="s">
        <v>203</v>
      </c>
      <c r="KKA13" s="314" t="s">
        <v>203</v>
      </c>
      <c r="KKB13" s="314" t="s">
        <v>203</v>
      </c>
      <c r="KKC13" s="314" t="s">
        <v>203</v>
      </c>
      <c r="KKD13" s="314" t="s">
        <v>203</v>
      </c>
      <c r="KKE13" s="314" t="s">
        <v>203</v>
      </c>
      <c r="KKF13" s="314" t="s">
        <v>203</v>
      </c>
      <c r="KKG13" s="314" t="s">
        <v>203</v>
      </c>
      <c r="KKH13" s="314" t="s">
        <v>203</v>
      </c>
      <c r="KKI13" s="314" t="s">
        <v>203</v>
      </c>
      <c r="KKJ13" s="314" t="s">
        <v>203</v>
      </c>
      <c r="KKK13" s="314" t="s">
        <v>203</v>
      </c>
      <c r="KKL13" s="314" t="s">
        <v>203</v>
      </c>
      <c r="KKM13" s="314" t="s">
        <v>203</v>
      </c>
      <c r="KKN13" s="314" t="s">
        <v>203</v>
      </c>
      <c r="KKO13" s="314" t="s">
        <v>203</v>
      </c>
      <c r="KKP13" s="314" t="s">
        <v>203</v>
      </c>
      <c r="KKQ13" s="314" t="s">
        <v>203</v>
      </c>
      <c r="KKR13" s="314" t="s">
        <v>203</v>
      </c>
      <c r="KKS13" s="314" t="s">
        <v>203</v>
      </c>
      <c r="KKT13" s="314" t="s">
        <v>203</v>
      </c>
      <c r="KKU13" s="314" t="s">
        <v>203</v>
      </c>
      <c r="KKV13" s="314" t="s">
        <v>203</v>
      </c>
      <c r="KKW13" s="314" t="s">
        <v>203</v>
      </c>
      <c r="KKX13" s="314" t="s">
        <v>203</v>
      </c>
      <c r="KKY13" s="314" t="s">
        <v>203</v>
      </c>
      <c r="KKZ13" s="314" t="s">
        <v>203</v>
      </c>
      <c r="KLA13" s="314" t="s">
        <v>203</v>
      </c>
      <c r="KLB13" s="314" t="s">
        <v>203</v>
      </c>
      <c r="KLC13" s="314" t="s">
        <v>203</v>
      </c>
      <c r="KLD13" s="314" t="s">
        <v>203</v>
      </c>
      <c r="KLE13" s="314" t="s">
        <v>203</v>
      </c>
      <c r="KLF13" s="314" t="s">
        <v>203</v>
      </c>
      <c r="KLG13" s="314" t="s">
        <v>203</v>
      </c>
      <c r="KLH13" s="314" t="s">
        <v>203</v>
      </c>
      <c r="KLI13" s="314" t="s">
        <v>203</v>
      </c>
      <c r="KLJ13" s="314" t="s">
        <v>203</v>
      </c>
      <c r="KLK13" s="314" t="s">
        <v>203</v>
      </c>
      <c r="KLL13" s="314" t="s">
        <v>203</v>
      </c>
      <c r="KLM13" s="314" t="s">
        <v>203</v>
      </c>
      <c r="KLN13" s="314" t="s">
        <v>203</v>
      </c>
      <c r="KLO13" s="314" t="s">
        <v>203</v>
      </c>
      <c r="KLP13" s="314" t="s">
        <v>203</v>
      </c>
      <c r="KLQ13" s="314" t="s">
        <v>203</v>
      </c>
      <c r="KLR13" s="314" t="s">
        <v>203</v>
      </c>
      <c r="KLS13" s="314" t="s">
        <v>203</v>
      </c>
      <c r="KLT13" s="314" t="s">
        <v>203</v>
      </c>
      <c r="KLU13" s="314" t="s">
        <v>203</v>
      </c>
      <c r="KLV13" s="314" t="s">
        <v>203</v>
      </c>
      <c r="KLW13" s="314" t="s">
        <v>203</v>
      </c>
      <c r="KLX13" s="314" t="s">
        <v>203</v>
      </c>
      <c r="KLY13" s="314" t="s">
        <v>203</v>
      </c>
      <c r="KLZ13" s="314" t="s">
        <v>203</v>
      </c>
      <c r="KMA13" s="314" t="s">
        <v>203</v>
      </c>
      <c r="KMB13" s="314" t="s">
        <v>203</v>
      </c>
      <c r="KMC13" s="314" t="s">
        <v>203</v>
      </c>
      <c r="KMD13" s="314" t="s">
        <v>203</v>
      </c>
      <c r="KME13" s="314" t="s">
        <v>203</v>
      </c>
      <c r="KMF13" s="314" t="s">
        <v>203</v>
      </c>
      <c r="KMG13" s="314" t="s">
        <v>203</v>
      </c>
      <c r="KMH13" s="314" t="s">
        <v>203</v>
      </c>
      <c r="KMI13" s="314" t="s">
        <v>203</v>
      </c>
      <c r="KMJ13" s="314" t="s">
        <v>203</v>
      </c>
      <c r="KMK13" s="314" t="s">
        <v>203</v>
      </c>
      <c r="KML13" s="314" t="s">
        <v>203</v>
      </c>
      <c r="KMM13" s="314" t="s">
        <v>203</v>
      </c>
      <c r="KMN13" s="314" t="s">
        <v>203</v>
      </c>
      <c r="KMO13" s="314" t="s">
        <v>203</v>
      </c>
      <c r="KMP13" s="314" t="s">
        <v>203</v>
      </c>
      <c r="KMQ13" s="314" t="s">
        <v>203</v>
      </c>
      <c r="KMR13" s="314" t="s">
        <v>203</v>
      </c>
      <c r="KMS13" s="314" t="s">
        <v>203</v>
      </c>
      <c r="KMT13" s="314" t="s">
        <v>203</v>
      </c>
      <c r="KMU13" s="314" t="s">
        <v>203</v>
      </c>
      <c r="KMV13" s="314" t="s">
        <v>203</v>
      </c>
      <c r="KMW13" s="314" t="s">
        <v>203</v>
      </c>
      <c r="KMX13" s="314" t="s">
        <v>203</v>
      </c>
      <c r="KMY13" s="314" t="s">
        <v>203</v>
      </c>
      <c r="KMZ13" s="314" t="s">
        <v>203</v>
      </c>
      <c r="KNA13" s="314" t="s">
        <v>203</v>
      </c>
      <c r="KNB13" s="314" t="s">
        <v>203</v>
      </c>
      <c r="KNC13" s="314" t="s">
        <v>203</v>
      </c>
      <c r="KND13" s="314" t="s">
        <v>203</v>
      </c>
      <c r="KNE13" s="314" t="s">
        <v>203</v>
      </c>
      <c r="KNF13" s="314" t="s">
        <v>203</v>
      </c>
      <c r="KNG13" s="314" t="s">
        <v>203</v>
      </c>
      <c r="KNH13" s="314" t="s">
        <v>203</v>
      </c>
      <c r="KNI13" s="314" t="s">
        <v>203</v>
      </c>
      <c r="KNJ13" s="314" t="s">
        <v>203</v>
      </c>
      <c r="KNK13" s="314" t="s">
        <v>203</v>
      </c>
      <c r="KNL13" s="314" t="s">
        <v>203</v>
      </c>
      <c r="KNM13" s="314" t="s">
        <v>203</v>
      </c>
      <c r="KNN13" s="314" t="s">
        <v>203</v>
      </c>
      <c r="KNO13" s="314" t="s">
        <v>203</v>
      </c>
      <c r="KNP13" s="314" t="s">
        <v>203</v>
      </c>
      <c r="KNQ13" s="314" t="s">
        <v>203</v>
      </c>
      <c r="KNR13" s="314" t="s">
        <v>203</v>
      </c>
      <c r="KNS13" s="314" t="s">
        <v>203</v>
      </c>
      <c r="KNT13" s="314" t="s">
        <v>203</v>
      </c>
      <c r="KNU13" s="314" t="s">
        <v>203</v>
      </c>
      <c r="KNV13" s="314" t="s">
        <v>203</v>
      </c>
      <c r="KNW13" s="314" t="s">
        <v>203</v>
      </c>
      <c r="KNX13" s="314" t="s">
        <v>203</v>
      </c>
      <c r="KNY13" s="314" t="s">
        <v>203</v>
      </c>
      <c r="KNZ13" s="314" t="s">
        <v>203</v>
      </c>
      <c r="KOA13" s="314" t="s">
        <v>203</v>
      </c>
      <c r="KOB13" s="314" t="s">
        <v>203</v>
      </c>
      <c r="KOC13" s="314" t="s">
        <v>203</v>
      </c>
      <c r="KOD13" s="314" t="s">
        <v>203</v>
      </c>
      <c r="KOE13" s="314" t="s">
        <v>203</v>
      </c>
      <c r="KOF13" s="314" t="s">
        <v>203</v>
      </c>
      <c r="KOG13" s="314" t="s">
        <v>203</v>
      </c>
      <c r="KOH13" s="314" t="s">
        <v>203</v>
      </c>
      <c r="KOI13" s="314" t="s">
        <v>203</v>
      </c>
      <c r="KOJ13" s="314" t="s">
        <v>203</v>
      </c>
      <c r="KOK13" s="314" t="s">
        <v>203</v>
      </c>
      <c r="KOL13" s="314" t="s">
        <v>203</v>
      </c>
      <c r="KOM13" s="314" t="s">
        <v>203</v>
      </c>
      <c r="KON13" s="314" t="s">
        <v>203</v>
      </c>
      <c r="KOO13" s="314" t="s">
        <v>203</v>
      </c>
      <c r="KOP13" s="314" t="s">
        <v>203</v>
      </c>
      <c r="KOQ13" s="314" t="s">
        <v>203</v>
      </c>
      <c r="KOR13" s="314" t="s">
        <v>203</v>
      </c>
      <c r="KOS13" s="314" t="s">
        <v>203</v>
      </c>
      <c r="KOT13" s="314" t="s">
        <v>203</v>
      </c>
      <c r="KOU13" s="314" t="s">
        <v>203</v>
      </c>
      <c r="KOV13" s="314" t="s">
        <v>203</v>
      </c>
      <c r="KOW13" s="314" t="s">
        <v>203</v>
      </c>
      <c r="KOX13" s="314" t="s">
        <v>203</v>
      </c>
      <c r="KOY13" s="314" t="s">
        <v>203</v>
      </c>
      <c r="KOZ13" s="314" t="s">
        <v>203</v>
      </c>
      <c r="KPA13" s="314" t="s">
        <v>203</v>
      </c>
      <c r="KPB13" s="314" t="s">
        <v>203</v>
      </c>
      <c r="KPC13" s="314" t="s">
        <v>203</v>
      </c>
      <c r="KPD13" s="314" t="s">
        <v>203</v>
      </c>
      <c r="KPE13" s="314" t="s">
        <v>203</v>
      </c>
      <c r="KPF13" s="314" t="s">
        <v>203</v>
      </c>
      <c r="KPG13" s="314" t="s">
        <v>203</v>
      </c>
      <c r="KPH13" s="314" t="s">
        <v>203</v>
      </c>
      <c r="KPI13" s="314" t="s">
        <v>203</v>
      </c>
      <c r="KPJ13" s="314" t="s">
        <v>203</v>
      </c>
      <c r="KPK13" s="314" t="s">
        <v>203</v>
      </c>
      <c r="KPL13" s="314" t="s">
        <v>203</v>
      </c>
      <c r="KPM13" s="314" t="s">
        <v>203</v>
      </c>
      <c r="KPN13" s="314" t="s">
        <v>203</v>
      </c>
      <c r="KPO13" s="314" t="s">
        <v>203</v>
      </c>
      <c r="KPP13" s="314" t="s">
        <v>203</v>
      </c>
      <c r="KPQ13" s="314" t="s">
        <v>203</v>
      </c>
      <c r="KPR13" s="314" t="s">
        <v>203</v>
      </c>
      <c r="KPS13" s="314" t="s">
        <v>203</v>
      </c>
      <c r="KPT13" s="314" t="s">
        <v>203</v>
      </c>
      <c r="KPU13" s="314" t="s">
        <v>203</v>
      </c>
      <c r="KPV13" s="314" t="s">
        <v>203</v>
      </c>
      <c r="KPW13" s="314" t="s">
        <v>203</v>
      </c>
      <c r="KPX13" s="314" t="s">
        <v>203</v>
      </c>
      <c r="KPY13" s="314" t="s">
        <v>203</v>
      </c>
      <c r="KPZ13" s="314" t="s">
        <v>203</v>
      </c>
      <c r="KQA13" s="314" t="s">
        <v>203</v>
      </c>
      <c r="KQB13" s="314" t="s">
        <v>203</v>
      </c>
      <c r="KQC13" s="314" t="s">
        <v>203</v>
      </c>
      <c r="KQD13" s="314" t="s">
        <v>203</v>
      </c>
      <c r="KQE13" s="314" t="s">
        <v>203</v>
      </c>
      <c r="KQF13" s="314" t="s">
        <v>203</v>
      </c>
      <c r="KQG13" s="314" t="s">
        <v>203</v>
      </c>
      <c r="KQH13" s="314" t="s">
        <v>203</v>
      </c>
      <c r="KQI13" s="314" t="s">
        <v>203</v>
      </c>
      <c r="KQJ13" s="314" t="s">
        <v>203</v>
      </c>
      <c r="KQK13" s="314" t="s">
        <v>203</v>
      </c>
      <c r="KQL13" s="314" t="s">
        <v>203</v>
      </c>
      <c r="KQM13" s="314" t="s">
        <v>203</v>
      </c>
      <c r="KQN13" s="314" t="s">
        <v>203</v>
      </c>
      <c r="KQO13" s="314" t="s">
        <v>203</v>
      </c>
      <c r="KQP13" s="314" t="s">
        <v>203</v>
      </c>
      <c r="KQQ13" s="314" t="s">
        <v>203</v>
      </c>
      <c r="KQR13" s="314" t="s">
        <v>203</v>
      </c>
      <c r="KQS13" s="314" t="s">
        <v>203</v>
      </c>
      <c r="KQT13" s="314" t="s">
        <v>203</v>
      </c>
      <c r="KQU13" s="314" t="s">
        <v>203</v>
      </c>
      <c r="KQV13" s="314" t="s">
        <v>203</v>
      </c>
      <c r="KQW13" s="314" t="s">
        <v>203</v>
      </c>
      <c r="KQX13" s="314" t="s">
        <v>203</v>
      </c>
      <c r="KQY13" s="314" t="s">
        <v>203</v>
      </c>
      <c r="KQZ13" s="314" t="s">
        <v>203</v>
      </c>
      <c r="KRA13" s="314" t="s">
        <v>203</v>
      </c>
      <c r="KRB13" s="314" t="s">
        <v>203</v>
      </c>
      <c r="KRC13" s="314" t="s">
        <v>203</v>
      </c>
      <c r="KRD13" s="314" t="s">
        <v>203</v>
      </c>
      <c r="KRE13" s="314" t="s">
        <v>203</v>
      </c>
      <c r="KRF13" s="314" t="s">
        <v>203</v>
      </c>
      <c r="KRG13" s="314" t="s">
        <v>203</v>
      </c>
      <c r="KRH13" s="314" t="s">
        <v>203</v>
      </c>
      <c r="KRI13" s="314" t="s">
        <v>203</v>
      </c>
      <c r="KRJ13" s="314" t="s">
        <v>203</v>
      </c>
      <c r="KRK13" s="314" t="s">
        <v>203</v>
      </c>
      <c r="KRL13" s="314" t="s">
        <v>203</v>
      </c>
      <c r="KRM13" s="314" t="s">
        <v>203</v>
      </c>
      <c r="KRN13" s="314" t="s">
        <v>203</v>
      </c>
      <c r="KRO13" s="314" t="s">
        <v>203</v>
      </c>
      <c r="KRP13" s="314" t="s">
        <v>203</v>
      </c>
      <c r="KRQ13" s="314" t="s">
        <v>203</v>
      </c>
      <c r="KRR13" s="314" t="s">
        <v>203</v>
      </c>
      <c r="KRS13" s="314" t="s">
        <v>203</v>
      </c>
      <c r="KRT13" s="314" t="s">
        <v>203</v>
      </c>
      <c r="KRU13" s="314" t="s">
        <v>203</v>
      </c>
      <c r="KRV13" s="314" t="s">
        <v>203</v>
      </c>
      <c r="KRW13" s="314" t="s">
        <v>203</v>
      </c>
      <c r="KRX13" s="314" t="s">
        <v>203</v>
      </c>
      <c r="KRY13" s="314" t="s">
        <v>203</v>
      </c>
      <c r="KRZ13" s="314" t="s">
        <v>203</v>
      </c>
      <c r="KSA13" s="314" t="s">
        <v>203</v>
      </c>
      <c r="KSB13" s="314" t="s">
        <v>203</v>
      </c>
      <c r="KSC13" s="314" t="s">
        <v>203</v>
      </c>
      <c r="KSD13" s="314" t="s">
        <v>203</v>
      </c>
      <c r="KSE13" s="314" t="s">
        <v>203</v>
      </c>
      <c r="KSF13" s="314" t="s">
        <v>203</v>
      </c>
      <c r="KSG13" s="314" t="s">
        <v>203</v>
      </c>
      <c r="KSH13" s="314" t="s">
        <v>203</v>
      </c>
      <c r="KSI13" s="314" t="s">
        <v>203</v>
      </c>
      <c r="KSJ13" s="314" t="s">
        <v>203</v>
      </c>
      <c r="KSK13" s="314" t="s">
        <v>203</v>
      </c>
      <c r="KSL13" s="314" t="s">
        <v>203</v>
      </c>
      <c r="KSM13" s="314" t="s">
        <v>203</v>
      </c>
      <c r="KSN13" s="314" t="s">
        <v>203</v>
      </c>
      <c r="KSO13" s="314" t="s">
        <v>203</v>
      </c>
      <c r="KSP13" s="314" t="s">
        <v>203</v>
      </c>
      <c r="KSQ13" s="314" t="s">
        <v>203</v>
      </c>
      <c r="KSR13" s="314" t="s">
        <v>203</v>
      </c>
      <c r="KSS13" s="314" t="s">
        <v>203</v>
      </c>
      <c r="KST13" s="314" t="s">
        <v>203</v>
      </c>
      <c r="KSU13" s="314" t="s">
        <v>203</v>
      </c>
      <c r="KSV13" s="314" t="s">
        <v>203</v>
      </c>
      <c r="KSW13" s="314" t="s">
        <v>203</v>
      </c>
      <c r="KSX13" s="314" t="s">
        <v>203</v>
      </c>
      <c r="KSY13" s="314" t="s">
        <v>203</v>
      </c>
      <c r="KSZ13" s="314" t="s">
        <v>203</v>
      </c>
      <c r="KTA13" s="314" t="s">
        <v>203</v>
      </c>
      <c r="KTB13" s="314" t="s">
        <v>203</v>
      </c>
      <c r="KTC13" s="314" t="s">
        <v>203</v>
      </c>
      <c r="KTD13" s="314" t="s">
        <v>203</v>
      </c>
      <c r="KTE13" s="314" t="s">
        <v>203</v>
      </c>
      <c r="KTF13" s="314" t="s">
        <v>203</v>
      </c>
      <c r="KTG13" s="314" t="s">
        <v>203</v>
      </c>
      <c r="KTH13" s="314" t="s">
        <v>203</v>
      </c>
      <c r="KTI13" s="314" t="s">
        <v>203</v>
      </c>
      <c r="KTJ13" s="314" t="s">
        <v>203</v>
      </c>
      <c r="KTK13" s="314" t="s">
        <v>203</v>
      </c>
      <c r="KTL13" s="314" t="s">
        <v>203</v>
      </c>
      <c r="KTM13" s="314" t="s">
        <v>203</v>
      </c>
      <c r="KTN13" s="314" t="s">
        <v>203</v>
      </c>
      <c r="KTO13" s="314" t="s">
        <v>203</v>
      </c>
      <c r="KTP13" s="314" t="s">
        <v>203</v>
      </c>
      <c r="KTQ13" s="314" t="s">
        <v>203</v>
      </c>
      <c r="KTR13" s="314" t="s">
        <v>203</v>
      </c>
      <c r="KTS13" s="314" t="s">
        <v>203</v>
      </c>
      <c r="KTT13" s="314" t="s">
        <v>203</v>
      </c>
      <c r="KTU13" s="314" t="s">
        <v>203</v>
      </c>
      <c r="KTV13" s="314" t="s">
        <v>203</v>
      </c>
      <c r="KTW13" s="314" t="s">
        <v>203</v>
      </c>
      <c r="KTX13" s="314" t="s">
        <v>203</v>
      </c>
      <c r="KTY13" s="314" t="s">
        <v>203</v>
      </c>
      <c r="KTZ13" s="314" t="s">
        <v>203</v>
      </c>
      <c r="KUA13" s="314" t="s">
        <v>203</v>
      </c>
      <c r="KUB13" s="314" t="s">
        <v>203</v>
      </c>
      <c r="KUC13" s="314" t="s">
        <v>203</v>
      </c>
      <c r="KUD13" s="314" t="s">
        <v>203</v>
      </c>
      <c r="KUE13" s="314" t="s">
        <v>203</v>
      </c>
      <c r="KUF13" s="314" t="s">
        <v>203</v>
      </c>
      <c r="KUG13" s="314" t="s">
        <v>203</v>
      </c>
      <c r="KUH13" s="314" t="s">
        <v>203</v>
      </c>
      <c r="KUI13" s="314" t="s">
        <v>203</v>
      </c>
      <c r="KUJ13" s="314" t="s">
        <v>203</v>
      </c>
      <c r="KUK13" s="314" t="s">
        <v>203</v>
      </c>
      <c r="KUL13" s="314" t="s">
        <v>203</v>
      </c>
      <c r="KUM13" s="314" t="s">
        <v>203</v>
      </c>
      <c r="KUN13" s="314" t="s">
        <v>203</v>
      </c>
      <c r="KUO13" s="314" t="s">
        <v>203</v>
      </c>
      <c r="KUP13" s="314" t="s">
        <v>203</v>
      </c>
      <c r="KUQ13" s="314" t="s">
        <v>203</v>
      </c>
      <c r="KUR13" s="314" t="s">
        <v>203</v>
      </c>
      <c r="KUS13" s="314" t="s">
        <v>203</v>
      </c>
      <c r="KUT13" s="314" t="s">
        <v>203</v>
      </c>
      <c r="KUU13" s="314" t="s">
        <v>203</v>
      </c>
      <c r="KUV13" s="314" t="s">
        <v>203</v>
      </c>
      <c r="KUW13" s="314" t="s">
        <v>203</v>
      </c>
      <c r="KUX13" s="314" t="s">
        <v>203</v>
      </c>
      <c r="KUY13" s="314" t="s">
        <v>203</v>
      </c>
      <c r="KUZ13" s="314" t="s">
        <v>203</v>
      </c>
      <c r="KVA13" s="314" t="s">
        <v>203</v>
      </c>
      <c r="KVB13" s="314" t="s">
        <v>203</v>
      </c>
      <c r="KVC13" s="314" t="s">
        <v>203</v>
      </c>
      <c r="KVD13" s="314" t="s">
        <v>203</v>
      </c>
      <c r="KVE13" s="314" t="s">
        <v>203</v>
      </c>
      <c r="KVF13" s="314" t="s">
        <v>203</v>
      </c>
      <c r="KVG13" s="314" t="s">
        <v>203</v>
      </c>
      <c r="KVH13" s="314" t="s">
        <v>203</v>
      </c>
      <c r="KVI13" s="314" t="s">
        <v>203</v>
      </c>
      <c r="KVJ13" s="314" t="s">
        <v>203</v>
      </c>
      <c r="KVK13" s="314" t="s">
        <v>203</v>
      </c>
      <c r="KVL13" s="314" t="s">
        <v>203</v>
      </c>
      <c r="KVM13" s="314" t="s">
        <v>203</v>
      </c>
      <c r="KVN13" s="314" t="s">
        <v>203</v>
      </c>
      <c r="KVO13" s="314" t="s">
        <v>203</v>
      </c>
      <c r="KVP13" s="314" t="s">
        <v>203</v>
      </c>
      <c r="KVQ13" s="314" t="s">
        <v>203</v>
      </c>
      <c r="KVR13" s="314" t="s">
        <v>203</v>
      </c>
      <c r="KVS13" s="314" t="s">
        <v>203</v>
      </c>
      <c r="KVT13" s="314" t="s">
        <v>203</v>
      </c>
      <c r="KVU13" s="314" t="s">
        <v>203</v>
      </c>
      <c r="KVV13" s="314" t="s">
        <v>203</v>
      </c>
      <c r="KVW13" s="314" t="s">
        <v>203</v>
      </c>
      <c r="KVX13" s="314" t="s">
        <v>203</v>
      </c>
      <c r="KVY13" s="314" t="s">
        <v>203</v>
      </c>
      <c r="KVZ13" s="314" t="s">
        <v>203</v>
      </c>
      <c r="KWA13" s="314" t="s">
        <v>203</v>
      </c>
      <c r="KWB13" s="314" t="s">
        <v>203</v>
      </c>
      <c r="KWC13" s="314" t="s">
        <v>203</v>
      </c>
      <c r="KWD13" s="314" t="s">
        <v>203</v>
      </c>
      <c r="KWE13" s="314" t="s">
        <v>203</v>
      </c>
      <c r="KWF13" s="314" t="s">
        <v>203</v>
      </c>
      <c r="KWG13" s="314" t="s">
        <v>203</v>
      </c>
      <c r="KWH13" s="314" t="s">
        <v>203</v>
      </c>
      <c r="KWI13" s="314" t="s">
        <v>203</v>
      </c>
      <c r="KWJ13" s="314" t="s">
        <v>203</v>
      </c>
      <c r="KWK13" s="314" t="s">
        <v>203</v>
      </c>
      <c r="KWL13" s="314" t="s">
        <v>203</v>
      </c>
      <c r="KWM13" s="314" t="s">
        <v>203</v>
      </c>
      <c r="KWN13" s="314" t="s">
        <v>203</v>
      </c>
      <c r="KWO13" s="314" t="s">
        <v>203</v>
      </c>
      <c r="KWP13" s="314" t="s">
        <v>203</v>
      </c>
      <c r="KWQ13" s="314" t="s">
        <v>203</v>
      </c>
      <c r="KWR13" s="314" t="s">
        <v>203</v>
      </c>
      <c r="KWS13" s="314" t="s">
        <v>203</v>
      </c>
      <c r="KWT13" s="314" t="s">
        <v>203</v>
      </c>
      <c r="KWU13" s="314" t="s">
        <v>203</v>
      </c>
      <c r="KWV13" s="314" t="s">
        <v>203</v>
      </c>
      <c r="KWW13" s="314" t="s">
        <v>203</v>
      </c>
      <c r="KWX13" s="314" t="s">
        <v>203</v>
      </c>
      <c r="KWY13" s="314" t="s">
        <v>203</v>
      </c>
      <c r="KWZ13" s="314" t="s">
        <v>203</v>
      </c>
      <c r="KXA13" s="314" t="s">
        <v>203</v>
      </c>
      <c r="KXB13" s="314" t="s">
        <v>203</v>
      </c>
      <c r="KXC13" s="314" t="s">
        <v>203</v>
      </c>
      <c r="KXD13" s="314" t="s">
        <v>203</v>
      </c>
      <c r="KXE13" s="314" t="s">
        <v>203</v>
      </c>
      <c r="KXF13" s="314" t="s">
        <v>203</v>
      </c>
      <c r="KXG13" s="314" t="s">
        <v>203</v>
      </c>
      <c r="KXH13" s="314" t="s">
        <v>203</v>
      </c>
      <c r="KXI13" s="314" t="s">
        <v>203</v>
      </c>
      <c r="KXJ13" s="314" t="s">
        <v>203</v>
      </c>
      <c r="KXK13" s="314" t="s">
        <v>203</v>
      </c>
      <c r="KXL13" s="314" t="s">
        <v>203</v>
      </c>
      <c r="KXM13" s="314" t="s">
        <v>203</v>
      </c>
      <c r="KXN13" s="314" t="s">
        <v>203</v>
      </c>
      <c r="KXO13" s="314" t="s">
        <v>203</v>
      </c>
      <c r="KXP13" s="314" t="s">
        <v>203</v>
      </c>
      <c r="KXQ13" s="314" t="s">
        <v>203</v>
      </c>
      <c r="KXR13" s="314" t="s">
        <v>203</v>
      </c>
      <c r="KXS13" s="314" t="s">
        <v>203</v>
      </c>
      <c r="KXT13" s="314" t="s">
        <v>203</v>
      </c>
      <c r="KXU13" s="314" t="s">
        <v>203</v>
      </c>
      <c r="KXV13" s="314" t="s">
        <v>203</v>
      </c>
      <c r="KXW13" s="314" t="s">
        <v>203</v>
      </c>
      <c r="KXX13" s="314" t="s">
        <v>203</v>
      </c>
      <c r="KXY13" s="314" t="s">
        <v>203</v>
      </c>
      <c r="KXZ13" s="314" t="s">
        <v>203</v>
      </c>
      <c r="KYA13" s="314" t="s">
        <v>203</v>
      </c>
      <c r="KYB13" s="314" t="s">
        <v>203</v>
      </c>
      <c r="KYC13" s="314" t="s">
        <v>203</v>
      </c>
      <c r="KYD13" s="314" t="s">
        <v>203</v>
      </c>
      <c r="KYE13" s="314" t="s">
        <v>203</v>
      </c>
      <c r="KYF13" s="314" t="s">
        <v>203</v>
      </c>
      <c r="KYG13" s="314" t="s">
        <v>203</v>
      </c>
      <c r="KYH13" s="314" t="s">
        <v>203</v>
      </c>
      <c r="KYI13" s="314" t="s">
        <v>203</v>
      </c>
      <c r="KYJ13" s="314" t="s">
        <v>203</v>
      </c>
      <c r="KYK13" s="314" t="s">
        <v>203</v>
      </c>
      <c r="KYL13" s="314" t="s">
        <v>203</v>
      </c>
      <c r="KYM13" s="314" t="s">
        <v>203</v>
      </c>
      <c r="KYN13" s="314" t="s">
        <v>203</v>
      </c>
      <c r="KYO13" s="314" t="s">
        <v>203</v>
      </c>
      <c r="KYP13" s="314" t="s">
        <v>203</v>
      </c>
      <c r="KYQ13" s="314" t="s">
        <v>203</v>
      </c>
      <c r="KYR13" s="314" t="s">
        <v>203</v>
      </c>
      <c r="KYS13" s="314" t="s">
        <v>203</v>
      </c>
      <c r="KYT13" s="314" t="s">
        <v>203</v>
      </c>
      <c r="KYU13" s="314" t="s">
        <v>203</v>
      </c>
      <c r="KYV13" s="314" t="s">
        <v>203</v>
      </c>
      <c r="KYW13" s="314" t="s">
        <v>203</v>
      </c>
      <c r="KYX13" s="314" t="s">
        <v>203</v>
      </c>
      <c r="KYY13" s="314" t="s">
        <v>203</v>
      </c>
      <c r="KYZ13" s="314" t="s">
        <v>203</v>
      </c>
      <c r="KZA13" s="314" t="s">
        <v>203</v>
      </c>
      <c r="KZB13" s="314" t="s">
        <v>203</v>
      </c>
      <c r="KZC13" s="314" t="s">
        <v>203</v>
      </c>
      <c r="KZD13" s="314" t="s">
        <v>203</v>
      </c>
      <c r="KZE13" s="314" t="s">
        <v>203</v>
      </c>
      <c r="KZF13" s="314" t="s">
        <v>203</v>
      </c>
      <c r="KZG13" s="314" t="s">
        <v>203</v>
      </c>
      <c r="KZH13" s="314" t="s">
        <v>203</v>
      </c>
      <c r="KZI13" s="314" t="s">
        <v>203</v>
      </c>
      <c r="KZJ13" s="314" t="s">
        <v>203</v>
      </c>
      <c r="KZK13" s="314" t="s">
        <v>203</v>
      </c>
      <c r="KZL13" s="314" t="s">
        <v>203</v>
      </c>
      <c r="KZM13" s="314" t="s">
        <v>203</v>
      </c>
      <c r="KZN13" s="314" t="s">
        <v>203</v>
      </c>
      <c r="KZO13" s="314" t="s">
        <v>203</v>
      </c>
      <c r="KZP13" s="314" t="s">
        <v>203</v>
      </c>
      <c r="KZQ13" s="314" t="s">
        <v>203</v>
      </c>
      <c r="KZR13" s="314" t="s">
        <v>203</v>
      </c>
      <c r="KZS13" s="314" t="s">
        <v>203</v>
      </c>
      <c r="KZT13" s="314" t="s">
        <v>203</v>
      </c>
      <c r="KZU13" s="314" t="s">
        <v>203</v>
      </c>
      <c r="KZV13" s="314" t="s">
        <v>203</v>
      </c>
      <c r="KZW13" s="314" t="s">
        <v>203</v>
      </c>
      <c r="KZX13" s="314" t="s">
        <v>203</v>
      </c>
      <c r="KZY13" s="314" t="s">
        <v>203</v>
      </c>
      <c r="KZZ13" s="314" t="s">
        <v>203</v>
      </c>
      <c r="LAA13" s="314" t="s">
        <v>203</v>
      </c>
      <c r="LAB13" s="314" t="s">
        <v>203</v>
      </c>
      <c r="LAC13" s="314" t="s">
        <v>203</v>
      </c>
      <c r="LAD13" s="314" t="s">
        <v>203</v>
      </c>
      <c r="LAE13" s="314" t="s">
        <v>203</v>
      </c>
      <c r="LAF13" s="314" t="s">
        <v>203</v>
      </c>
      <c r="LAG13" s="314" t="s">
        <v>203</v>
      </c>
      <c r="LAH13" s="314" t="s">
        <v>203</v>
      </c>
      <c r="LAI13" s="314" t="s">
        <v>203</v>
      </c>
      <c r="LAJ13" s="314" t="s">
        <v>203</v>
      </c>
      <c r="LAK13" s="314" t="s">
        <v>203</v>
      </c>
      <c r="LAL13" s="314" t="s">
        <v>203</v>
      </c>
      <c r="LAM13" s="314" t="s">
        <v>203</v>
      </c>
      <c r="LAN13" s="314" t="s">
        <v>203</v>
      </c>
      <c r="LAO13" s="314" t="s">
        <v>203</v>
      </c>
      <c r="LAP13" s="314" t="s">
        <v>203</v>
      </c>
      <c r="LAQ13" s="314" t="s">
        <v>203</v>
      </c>
      <c r="LAR13" s="314" t="s">
        <v>203</v>
      </c>
      <c r="LAS13" s="314" t="s">
        <v>203</v>
      </c>
      <c r="LAT13" s="314" t="s">
        <v>203</v>
      </c>
      <c r="LAU13" s="314" t="s">
        <v>203</v>
      </c>
      <c r="LAV13" s="314" t="s">
        <v>203</v>
      </c>
      <c r="LAW13" s="314" t="s">
        <v>203</v>
      </c>
      <c r="LAX13" s="314" t="s">
        <v>203</v>
      </c>
      <c r="LAY13" s="314" t="s">
        <v>203</v>
      </c>
      <c r="LAZ13" s="314" t="s">
        <v>203</v>
      </c>
      <c r="LBA13" s="314" t="s">
        <v>203</v>
      </c>
      <c r="LBB13" s="314" t="s">
        <v>203</v>
      </c>
      <c r="LBC13" s="314" t="s">
        <v>203</v>
      </c>
      <c r="LBD13" s="314" t="s">
        <v>203</v>
      </c>
      <c r="LBE13" s="314" t="s">
        <v>203</v>
      </c>
      <c r="LBF13" s="314" t="s">
        <v>203</v>
      </c>
      <c r="LBG13" s="314" t="s">
        <v>203</v>
      </c>
      <c r="LBH13" s="314" t="s">
        <v>203</v>
      </c>
      <c r="LBI13" s="314" t="s">
        <v>203</v>
      </c>
      <c r="LBJ13" s="314" t="s">
        <v>203</v>
      </c>
      <c r="LBK13" s="314" t="s">
        <v>203</v>
      </c>
      <c r="LBL13" s="314" t="s">
        <v>203</v>
      </c>
      <c r="LBM13" s="314" t="s">
        <v>203</v>
      </c>
      <c r="LBN13" s="314" t="s">
        <v>203</v>
      </c>
      <c r="LBO13" s="314" t="s">
        <v>203</v>
      </c>
      <c r="LBP13" s="314" t="s">
        <v>203</v>
      </c>
      <c r="LBQ13" s="314" t="s">
        <v>203</v>
      </c>
      <c r="LBR13" s="314" t="s">
        <v>203</v>
      </c>
      <c r="LBS13" s="314" t="s">
        <v>203</v>
      </c>
      <c r="LBT13" s="314" t="s">
        <v>203</v>
      </c>
      <c r="LBU13" s="314" t="s">
        <v>203</v>
      </c>
      <c r="LBV13" s="314" t="s">
        <v>203</v>
      </c>
      <c r="LBW13" s="314" t="s">
        <v>203</v>
      </c>
      <c r="LBX13" s="314" t="s">
        <v>203</v>
      </c>
      <c r="LBY13" s="314" t="s">
        <v>203</v>
      </c>
      <c r="LBZ13" s="314" t="s">
        <v>203</v>
      </c>
      <c r="LCA13" s="314" t="s">
        <v>203</v>
      </c>
      <c r="LCB13" s="314" t="s">
        <v>203</v>
      </c>
      <c r="LCC13" s="314" t="s">
        <v>203</v>
      </c>
      <c r="LCD13" s="314" t="s">
        <v>203</v>
      </c>
      <c r="LCE13" s="314" t="s">
        <v>203</v>
      </c>
      <c r="LCF13" s="314" t="s">
        <v>203</v>
      </c>
      <c r="LCG13" s="314" t="s">
        <v>203</v>
      </c>
      <c r="LCH13" s="314" t="s">
        <v>203</v>
      </c>
      <c r="LCI13" s="314" t="s">
        <v>203</v>
      </c>
      <c r="LCJ13" s="314" t="s">
        <v>203</v>
      </c>
      <c r="LCK13" s="314" t="s">
        <v>203</v>
      </c>
      <c r="LCL13" s="314" t="s">
        <v>203</v>
      </c>
      <c r="LCM13" s="314" t="s">
        <v>203</v>
      </c>
      <c r="LCN13" s="314" t="s">
        <v>203</v>
      </c>
      <c r="LCO13" s="314" t="s">
        <v>203</v>
      </c>
      <c r="LCP13" s="314" t="s">
        <v>203</v>
      </c>
      <c r="LCQ13" s="314" t="s">
        <v>203</v>
      </c>
      <c r="LCR13" s="314" t="s">
        <v>203</v>
      </c>
      <c r="LCS13" s="314" t="s">
        <v>203</v>
      </c>
      <c r="LCT13" s="314" t="s">
        <v>203</v>
      </c>
      <c r="LCU13" s="314" t="s">
        <v>203</v>
      </c>
      <c r="LCV13" s="314" t="s">
        <v>203</v>
      </c>
      <c r="LCW13" s="314" t="s">
        <v>203</v>
      </c>
      <c r="LCX13" s="314" t="s">
        <v>203</v>
      </c>
      <c r="LCY13" s="314" t="s">
        <v>203</v>
      </c>
      <c r="LCZ13" s="314" t="s">
        <v>203</v>
      </c>
      <c r="LDA13" s="314" t="s">
        <v>203</v>
      </c>
      <c r="LDB13" s="314" t="s">
        <v>203</v>
      </c>
      <c r="LDC13" s="314" t="s">
        <v>203</v>
      </c>
      <c r="LDD13" s="314" t="s">
        <v>203</v>
      </c>
      <c r="LDE13" s="314" t="s">
        <v>203</v>
      </c>
      <c r="LDF13" s="314" t="s">
        <v>203</v>
      </c>
      <c r="LDG13" s="314" t="s">
        <v>203</v>
      </c>
      <c r="LDH13" s="314" t="s">
        <v>203</v>
      </c>
      <c r="LDI13" s="314" t="s">
        <v>203</v>
      </c>
      <c r="LDJ13" s="314" t="s">
        <v>203</v>
      </c>
      <c r="LDK13" s="314" t="s">
        <v>203</v>
      </c>
      <c r="LDL13" s="314" t="s">
        <v>203</v>
      </c>
      <c r="LDM13" s="314" t="s">
        <v>203</v>
      </c>
      <c r="LDN13" s="314" t="s">
        <v>203</v>
      </c>
      <c r="LDO13" s="314" t="s">
        <v>203</v>
      </c>
      <c r="LDP13" s="314" t="s">
        <v>203</v>
      </c>
      <c r="LDQ13" s="314" t="s">
        <v>203</v>
      </c>
      <c r="LDR13" s="314" t="s">
        <v>203</v>
      </c>
      <c r="LDS13" s="314" t="s">
        <v>203</v>
      </c>
      <c r="LDT13" s="314" t="s">
        <v>203</v>
      </c>
      <c r="LDU13" s="314" t="s">
        <v>203</v>
      </c>
      <c r="LDV13" s="314" t="s">
        <v>203</v>
      </c>
      <c r="LDW13" s="314" t="s">
        <v>203</v>
      </c>
      <c r="LDX13" s="314" t="s">
        <v>203</v>
      </c>
      <c r="LDY13" s="314" t="s">
        <v>203</v>
      </c>
      <c r="LDZ13" s="314" t="s">
        <v>203</v>
      </c>
      <c r="LEA13" s="314" t="s">
        <v>203</v>
      </c>
      <c r="LEB13" s="314" t="s">
        <v>203</v>
      </c>
      <c r="LEC13" s="314" t="s">
        <v>203</v>
      </c>
      <c r="LED13" s="314" t="s">
        <v>203</v>
      </c>
      <c r="LEE13" s="314" t="s">
        <v>203</v>
      </c>
      <c r="LEF13" s="314" t="s">
        <v>203</v>
      </c>
      <c r="LEG13" s="314" t="s">
        <v>203</v>
      </c>
      <c r="LEH13" s="314" t="s">
        <v>203</v>
      </c>
      <c r="LEI13" s="314" t="s">
        <v>203</v>
      </c>
      <c r="LEJ13" s="314" t="s">
        <v>203</v>
      </c>
      <c r="LEK13" s="314" t="s">
        <v>203</v>
      </c>
      <c r="LEL13" s="314" t="s">
        <v>203</v>
      </c>
      <c r="LEM13" s="314" t="s">
        <v>203</v>
      </c>
      <c r="LEN13" s="314" t="s">
        <v>203</v>
      </c>
      <c r="LEO13" s="314" t="s">
        <v>203</v>
      </c>
      <c r="LEP13" s="314" t="s">
        <v>203</v>
      </c>
      <c r="LEQ13" s="314" t="s">
        <v>203</v>
      </c>
      <c r="LER13" s="314" t="s">
        <v>203</v>
      </c>
      <c r="LES13" s="314" t="s">
        <v>203</v>
      </c>
      <c r="LET13" s="314" t="s">
        <v>203</v>
      </c>
      <c r="LEU13" s="314" t="s">
        <v>203</v>
      </c>
      <c r="LEV13" s="314" t="s">
        <v>203</v>
      </c>
      <c r="LEW13" s="314" t="s">
        <v>203</v>
      </c>
      <c r="LEX13" s="314" t="s">
        <v>203</v>
      </c>
      <c r="LEY13" s="314" t="s">
        <v>203</v>
      </c>
      <c r="LEZ13" s="314" t="s">
        <v>203</v>
      </c>
      <c r="LFA13" s="314" t="s">
        <v>203</v>
      </c>
      <c r="LFB13" s="314" t="s">
        <v>203</v>
      </c>
      <c r="LFC13" s="314" t="s">
        <v>203</v>
      </c>
      <c r="LFD13" s="314" t="s">
        <v>203</v>
      </c>
      <c r="LFE13" s="314" t="s">
        <v>203</v>
      </c>
      <c r="LFF13" s="314" t="s">
        <v>203</v>
      </c>
      <c r="LFG13" s="314" t="s">
        <v>203</v>
      </c>
      <c r="LFH13" s="314" t="s">
        <v>203</v>
      </c>
      <c r="LFI13" s="314" t="s">
        <v>203</v>
      </c>
      <c r="LFJ13" s="314" t="s">
        <v>203</v>
      </c>
      <c r="LFK13" s="314" t="s">
        <v>203</v>
      </c>
      <c r="LFL13" s="314" t="s">
        <v>203</v>
      </c>
      <c r="LFM13" s="314" t="s">
        <v>203</v>
      </c>
      <c r="LFN13" s="314" t="s">
        <v>203</v>
      </c>
      <c r="LFO13" s="314" t="s">
        <v>203</v>
      </c>
      <c r="LFP13" s="314" t="s">
        <v>203</v>
      </c>
      <c r="LFQ13" s="314" t="s">
        <v>203</v>
      </c>
      <c r="LFR13" s="314" t="s">
        <v>203</v>
      </c>
      <c r="LFS13" s="314" t="s">
        <v>203</v>
      </c>
      <c r="LFT13" s="314" t="s">
        <v>203</v>
      </c>
      <c r="LFU13" s="314" t="s">
        <v>203</v>
      </c>
      <c r="LFV13" s="314" t="s">
        <v>203</v>
      </c>
      <c r="LFW13" s="314" t="s">
        <v>203</v>
      </c>
      <c r="LFX13" s="314" t="s">
        <v>203</v>
      </c>
      <c r="LFY13" s="314" t="s">
        <v>203</v>
      </c>
      <c r="LFZ13" s="314" t="s">
        <v>203</v>
      </c>
      <c r="LGA13" s="314" t="s">
        <v>203</v>
      </c>
      <c r="LGB13" s="314" t="s">
        <v>203</v>
      </c>
      <c r="LGC13" s="314" t="s">
        <v>203</v>
      </c>
      <c r="LGD13" s="314" t="s">
        <v>203</v>
      </c>
      <c r="LGE13" s="314" t="s">
        <v>203</v>
      </c>
      <c r="LGF13" s="314" t="s">
        <v>203</v>
      </c>
      <c r="LGG13" s="314" t="s">
        <v>203</v>
      </c>
      <c r="LGH13" s="314" t="s">
        <v>203</v>
      </c>
      <c r="LGI13" s="314" t="s">
        <v>203</v>
      </c>
      <c r="LGJ13" s="314" t="s">
        <v>203</v>
      </c>
      <c r="LGK13" s="314" t="s">
        <v>203</v>
      </c>
      <c r="LGL13" s="314" t="s">
        <v>203</v>
      </c>
      <c r="LGM13" s="314" t="s">
        <v>203</v>
      </c>
      <c r="LGN13" s="314" t="s">
        <v>203</v>
      </c>
      <c r="LGO13" s="314" t="s">
        <v>203</v>
      </c>
      <c r="LGP13" s="314" t="s">
        <v>203</v>
      </c>
      <c r="LGQ13" s="314" t="s">
        <v>203</v>
      </c>
      <c r="LGR13" s="314" t="s">
        <v>203</v>
      </c>
      <c r="LGS13" s="314" t="s">
        <v>203</v>
      </c>
      <c r="LGT13" s="314" t="s">
        <v>203</v>
      </c>
      <c r="LGU13" s="314" t="s">
        <v>203</v>
      </c>
      <c r="LGV13" s="314" t="s">
        <v>203</v>
      </c>
      <c r="LGW13" s="314" t="s">
        <v>203</v>
      </c>
      <c r="LGX13" s="314" t="s">
        <v>203</v>
      </c>
      <c r="LGY13" s="314" t="s">
        <v>203</v>
      </c>
      <c r="LGZ13" s="314" t="s">
        <v>203</v>
      </c>
      <c r="LHA13" s="314" t="s">
        <v>203</v>
      </c>
      <c r="LHB13" s="314" t="s">
        <v>203</v>
      </c>
      <c r="LHC13" s="314" t="s">
        <v>203</v>
      </c>
      <c r="LHD13" s="314" t="s">
        <v>203</v>
      </c>
      <c r="LHE13" s="314" t="s">
        <v>203</v>
      </c>
      <c r="LHF13" s="314" t="s">
        <v>203</v>
      </c>
      <c r="LHG13" s="314" t="s">
        <v>203</v>
      </c>
      <c r="LHH13" s="314" t="s">
        <v>203</v>
      </c>
      <c r="LHI13" s="314" t="s">
        <v>203</v>
      </c>
      <c r="LHJ13" s="314" t="s">
        <v>203</v>
      </c>
      <c r="LHK13" s="314" t="s">
        <v>203</v>
      </c>
      <c r="LHL13" s="314" t="s">
        <v>203</v>
      </c>
      <c r="LHM13" s="314" t="s">
        <v>203</v>
      </c>
      <c r="LHN13" s="314" t="s">
        <v>203</v>
      </c>
      <c r="LHO13" s="314" t="s">
        <v>203</v>
      </c>
      <c r="LHP13" s="314" t="s">
        <v>203</v>
      </c>
      <c r="LHQ13" s="314" t="s">
        <v>203</v>
      </c>
      <c r="LHR13" s="314" t="s">
        <v>203</v>
      </c>
      <c r="LHS13" s="314" t="s">
        <v>203</v>
      </c>
      <c r="LHT13" s="314" t="s">
        <v>203</v>
      </c>
      <c r="LHU13" s="314" t="s">
        <v>203</v>
      </c>
      <c r="LHV13" s="314" t="s">
        <v>203</v>
      </c>
      <c r="LHW13" s="314" t="s">
        <v>203</v>
      </c>
      <c r="LHX13" s="314" t="s">
        <v>203</v>
      </c>
      <c r="LHY13" s="314" t="s">
        <v>203</v>
      </c>
      <c r="LHZ13" s="314" t="s">
        <v>203</v>
      </c>
      <c r="LIA13" s="314" t="s">
        <v>203</v>
      </c>
      <c r="LIB13" s="314" t="s">
        <v>203</v>
      </c>
      <c r="LIC13" s="314" t="s">
        <v>203</v>
      </c>
      <c r="LID13" s="314" t="s">
        <v>203</v>
      </c>
      <c r="LIE13" s="314" t="s">
        <v>203</v>
      </c>
      <c r="LIF13" s="314" t="s">
        <v>203</v>
      </c>
      <c r="LIG13" s="314" t="s">
        <v>203</v>
      </c>
      <c r="LIH13" s="314" t="s">
        <v>203</v>
      </c>
      <c r="LII13" s="314" t="s">
        <v>203</v>
      </c>
      <c r="LIJ13" s="314" t="s">
        <v>203</v>
      </c>
      <c r="LIK13" s="314" t="s">
        <v>203</v>
      </c>
      <c r="LIL13" s="314" t="s">
        <v>203</v>
      </c>
      <c r="LIM13" s="314" t="s">
        <v>203</v>
      </c>
      <c r="LIN13" s="314" t="s">
        <v>203</v>
      </c>
      <c r="LIO13" s="314" t="s">
        <v>203</v>
      </c>
      <c r="LIP13" s="314" t="s">
        <v>203</v>
      </c>
      <c r="LIQ13" s="314" t="s">
        <v>203</v>
      </c>
      <c r="LIR13" s="314" t="s">
        <v>203</v>
      </c>
      <c r="LIS13" s="314" t="s">
        <v>203</v>
      </c>
      <c r="LIT13" s="314" t="s">
        <v>203</v>
      </c>
      <c r="LIU13" s="314" t="s">
        <v>203</v>
      </c>
      <c r="LIV13" s="314" t="s">
        <v>203</v>
      </c>
      <c r="LIW13" s="314" t="s">
        <v>203</v>
      </c>
      <c r="LIX13" s="314" t="s">
        <v>203</v>
      </c>
      <c r="LIY13" s="314" t="s">
        <v>203</v>
      </c>
      <c r="LIZ13" s="314" t="s">
        <v>203</v>
      </c>
      <c r="LJA13" s="314" t="s">
        <v>203</v>
      </c>
      <c r="LJB13" s="314" t="s">
        <v>203</v>
      </c>
      <c r="LJC13" s="314" t="s">
        <v>203</v>
      </c>
      <c r="LJD13" s="314" t="s">
        <v>203</v>
      </c>
      <c r="LJE13" s="314" t="s">
        <v>203</v>
      </c>
      <c r="LJF13" s="314" t="s">
        <v>203</v>
      </c>
      <c r="LJG13" s="314" t="s">
        <v>203</v>
      </c>
      <c r="LJH13" s="314" t="s">
        <v>203</v>
      </c>
      <c r="LJI13" s="314" t="s">
        <v>203</v>
      </c>
      <c r="LJJ13" s="314" t="s">
        <v>203</v>
      </c>
      <c r="LJK13" s="314" t="s">
        <v>203</v>
      </c>
      <c r="LJL13" s="314" t="s">
        <v>203</v>
      </c>
      <c r="LJM13" s="314" t="s">
        <v>203</v>
      </c>
      <c r="LJN13" s="314" t="s">
        <v>203</v>
      </c>
      <c r="LJO13" s="314" t="s">
        <v>203</v>
      </c>
      <c r="LJP13" s="314" t="s">
        <v>203</v>
      </c>
      <c r="LJQ13" s="314" t="s">
        <v>203</v>
      </c>
      <c r="LJR13" s="314" t="s">
        <v>203</v>
      </c>
      <c r="LJS13" s="314" t="s">
        <v>203</v>
      </c>
      <c r="LJT13" s="314" t="s">
        <v>203</v>
      </c>
      <c r="LJU13" s="314" t="s">
        <v>203</v>
      </c>
      <c r="LJV13" s="314" t="s">
        <v>203</v>
      </c>
      <c r="LJW13" s="314" t="s">
        <v>203</v>
      </c>
      <c r="LJX13" s="314" t="s">
        <v>203</v>
      </c>
      <c r="LJY13" s="314" t="s">
        <v>203</v>
      </c>
      <c r="LJZ13" s="314" t="s">
        <v>203</v>
      </c>
      <c r="LKA13" s="314" t="s">
        <v>203</v>
      </c>
      <c r="LKB13" s="314" t="s">
        <v>203</v>
      </c>
      <c r="LKC13" s="314" t="s">
        <v>203</v>
      </c>
      <c r="LKD13" s="314" t="s">
        <v>203</v>
      </c>
      <c r="LKE13" s="314" t="s">
        <v>203</v>
      </c>
      <c r="LKF13" s="314" t="s">
        <v>203</v>
      </c>
      <c r="LKG13" s="314" t="s">
        <v>203</v>
      </c>
      <c r="LKH13" s="314" t="s">
        <v>203</v>
      </c>
      <c r="LKI13" s="314" t="s">
        <v>203</v>
      </c>
      <c r="LKJ13" s="314" t="s">
        <v>203</v>
      </c>
      <c r="LKK13" s="314" t="s">
        <v>203</v>
      </c>
      <c r="LKL13" s="314" t="s">
        <v>203</v>
      </c>
      <c r="LKM13" s="314" t="s">
        <v>203</v>
      </c>
      <c r="LKN13" s="314" t="s">
        <v>203</v>
      </c>
      <c r="LKO13" s="314" t="s">
        <v>203</v>
      </c>
      <c r="LKP13" s="314" t="s">
        <v>203</v>
      </c>
      <c r="LKQ13" s="314" t="s">
        <v>203</v>
      </c>
      <c r="LKR13" s="314" t="s">
        <v>203</v>
      </c>
      <c r="LKS13" s="314" t="s">
        <v>203</v>
      </c>
      <c r="LKT13" s="314" t="s">
        <v>203</v>
      </c>
      <c r="LKU13" s="314" t="s">
        <v>203</v>
      </c>
      <c r="LKV13" s="314" t="s">
        <v>203</v>
      </c>
      <c r="LKW13" s="314" t="s">
        <v>203</v>
      </c>
      <c r="LKX13" s="314" t="s">
        <v>203</v>
      </c>
      <c r="LKY13" s="314" t="s">
        <v>203</v>
      </c>
      <c r="LKZ13" s="314" t="s">
        <v>203</v>
      </c>
      <c r="LLA13" s="314" t="s">
        <v>203</v>
      </c>
      <c r="LLB13" s="314" t="s">
        <v>203</v>
      </c>
      <c r="LLC13" s="314" t="s">
        <v>203</v>
      </c>
      <c r="LLD13" s="314" t="s">
        <v>203</v>
      </c>
      <c r="LLE13" s="314" t="s">
        <v>203</v>
      </c>
      <c r="LLF13" s="314" t="s">
        <v>203</v>
      </c>
      <c r="LLG13" s="314" t="s">
        <v>203</v>
      </c>
      <c r="LLH13" s="314" t="s">
        <v>203</v>
      </c>
      <c r="LLI13" s="314" t="s">
        <v>203</v>
      </c>
      <c r="LLJ13" s="314" t="s">
        <v>203</v>
      </c>
      <c r="LLK13" s="314" t="s">
        <v>203</v>
      </c>
      <c r="LLL13" s="314" t="s">
        <v>203</v>
      </c>
      <c r="LLM13" s="314" t="s">
        <v>203</v>
      </c>
      <c r="LLN13" s="314" t="s">
        <v>203</v>
      </c>
      <c r="LLO13" s="314" t="s">
        <v>203</v>
      </c>
      <c r="LLP13" s="314" t="s">
        <v>203</v>
      </c>
      <c r="LLQ13" s="314" t="s">
        <v>203</v>
      </c>
      <c r="LLR13" s="314" t="s">
        <v>203</v>
      </c>
      <c r="LLS13" s="314" t="s">
        <v>203</v>
      </c>
      <c r="LLT13" s="314" t="s">
        <v>203</v>
      </c>
      <c r="LLU13" s="314" t="s">
        <v>203</v>
      </c>
      <c r="LLV13" s="314" t="s">
        <v>203</v>
      </c>
      <c r="LLW13" s="314" t="s">
        <v>203</v>
      </c>
      <c r="LLX13" s="314" t="s">
        <v>203</v>
      </c>
      <c r="LLY13" s="314" t="s">
        <v>203</v>
      </c>
      <c r="LLZ13" s="314" t="s">
        <v>203</v>
      </c>
      <c r="LMA13" s="314" t="s">
        <v>203</v>
      </c>
      <c r="LMB13" s="314" t="s">
        <v>203</v>
      </c>
      <c r="LMC13" s="314" t="s">
        <v>203</v>
      </c>
      <c r="LMD13" s="314" t="s">
        <v>203</v>
      </c>
      <c r="LME13" s="314" t="s">
        <v>203</v>
      </c>
      <c r="LMF13" s="314" t="s">
        <v>203</v>
      </c>
      <c r="LMG13" s="314" t="s">
        <v>203</v>
      </c>
      <c r="LMH13" s="314" t="s">
        <v>203</v>
      </c>
      <c r="LMI13" s="314" t="s">
        <v>203</v>
      </c>
      <c r="LMJ13" s="314" t="s">
        <v>203</v>
      </c>
      <c r="LMK13" s="314" t="s">
        <v>203</v>
      </c>
      <c r="LML13" s="314" t="s">
        <v>203</v>
      </c>
      <c r="LMM13" s="314" t="s">
        <v>203</v>
      </c>
      <c r="LMN13" s="314" t="s">
        <v>203</v>
      </c>
      <c r="LMO13" s="314" t="s">
        <v>203</v>
      </c>
      <c r="LMP13" s="314" t="s">
        <v>203</v>
      </c>
      <c r="LMQ13" s="314" t="s">
        <v>203</v>
      </c>
      <c r="LMR13" s="314" t="s">
        <v>203</v>
      </c>
      <c r="LMS13" s="314" t="s">
        <v>203</v>
      </c>
      <c r="LMT13" s="314" t="s">
        <v>203</v>
      </c>
      <c r="LMU13" s="314" t="s">
        <v>203</v>
      </c>
      <c r="LMV13" s="314" t="s">
        <v>203</v>
      </c>
      <c r="LMW13" s="314" t="s">
        <v>203</v>
      </c>
      <c r="LMX13" s="314" t="s">
        <v>203</v>
      </c>
      <c r="LMY13" s="314" t="s">
        <v>203</v>
      </c>
      <c r="LMZ13" s="314" t="s">
        <v>203</v>
      </c>
      <c r="LNA13" s="314" t="s">
        <v>203</v>
      </c>
      <c r="LNB13" s="314" t="s">
        <v>203</v>
      </c>
      <c r="LNC13" s="314" t="s">
        <v>203</v>
      </c>
      <c r="LND13" s="314" t="s">
        <v>203</v>
      </c>
      <c r="LNE13" s="314" t="s">
        <v>203</v>
      </c>
      <c r="LNF13" s="314" t="s">
        <v>203</v>
      </c>
      <c r="LNG13" s="314" t="s">
        <v>203</v>
      </c>
      <c r="LNH13" s="314" t="s">
        <v>203</v>
      </c>
      <c r="LNI13" s="314" t="s">
        <v>203</v>
      </c>
      <c r="LNJ13" s="314" t="s">
        <v>203</v>
      </c>
      <c r="LNK13" s="314" t="s">
        <v>203</v>
      </c>
      <c r="LNL13" s="314" t="s">
        <v>203</v>
      </c>
      <c r="LNM13" s="314" t="s">
        <v>203</v>
      </c>
      <c r="LNN13" s="314" t="s">
        <v>203</v>
      </c>
      <c r="LNO13" s="314" t="s">
        <v>203</v>
      </c>
      <c r="LNP13" s="314" t="s">
        <v>203</v>
      </c>
      <c r="LNQ13" s="314" t="s">
        <v>203</v>
      </c>
      <c r="LNR13" s="314" t="s">
        <v>203</v>
      </c>
      <c r="LNS13" s="314" t="s">
        <v>203</v>
      </c>
      <c r="LNT13" s="314" t="s">
        <v>203</v>
      </c>
      <c r="LNU13" s="314" t="s">
        <v>203</v>
      </c>
      <c r="LNV13" s="314" t="s">
        <v>203</v>
      </c>
      <c r="LNW13" s="314" t="s">
        <v>203</v>
      </c>
      <c r="LNX13" s="314" t="s">
        <v>203</v>
      </c>
      <c r="LNY13" s="314" t="s">
        <v>203</v>
      </c>
      <c r="LNZ13" s="314" t="s">
        <v>203</v>
      </c>
      <c r="LOA13" s="314" t="s">
        <v>203</v>
      </c>
      <c r="LOB13" s="314" t="s">
        <v>203</v>
      </c>
      <c r="LOC13" s="314" t="s">
        <v>203</v>
      </c>
      <c r="LOD13" s="314" t="s">
        <v>203</v>
      </c>
      <c r="LOE13" s="314" t="s">
        <v>203</v>
      </c>
      <c r="LOF13" s="314" t="s">
        <v>203</v>
      </c>
      <c r="LOG13" s="314" t="s">
        <v>203</v>
      </c>
      <c r="LOH13" s="314" t="s">
        <v>203</v>
      </c>
      <c r="LOI13" s="314" t="s">
        <v>203</v>
      </c>
      <c r="LOJ13" s="314" t="s">
        <v>203</v>
      </c>
      <c r="LOK13" s="314" t="s">
        <v>203</v>
      </c>
      <c r="LOL13" s="314" t="s">
        <v>203</v>
      </c>
      <c r="LOM13" s="314" t="s">
        <v>203</v>
      </c>
      <c r="LON13" s="314" t="s">
        <v>203</v>
      </c>
      <c r="LOO13" s="314" t="s">
        <v>203</v>
      </c>
      <c r="LOP13" s="314" t="s">
        <v>203</v>
      </c>
      <c r="LOQ13" s="314" t="s">
        <v>203</v>
      </c>
      <c r="LOR13" s="314" t="s">
        <v>203</v>
      </c>
      <c r="LOS13" s="314" t="s">
        <v>203</v>
      </c>
      <c r="LOT13" s="314" t="s">
        <v>203</v>
      </c>
      <c r="LOU13" s="314" t="s">
        <v>203</v>
      </c>
      <c r="LOV13" s="314" t="s">
        <v>203</v>
      </c>
      <c r="LOW13" s="314" t="s">
        <v>203</v>
      </c>
      <c r="LOX13" s="314" t="s">
        <v>203</v>
      </c>
      <c r="LOY13" s="314" t="s">
        <v>203</v>
      </c>
      <c r="LOZ13" s="314" t="s">
        <v>203</v>
      </c>
      <c r="LPA13" s="314" t="s">
        <v>203</v>
      </c>
      <c r="LPB13" s="314" t="s">
        <v>203</v>
      </c>
      <c r="LPC13" s="314" t="s">
        <v>203</v>
      </c>
      <c r="LPD13" s="314" t="s">
        <v>203</v>
      </c>
      <c r="LPE13" s="314" t="s">
        <v>203</v>
      </c>
      <c r="LPF13" s="314" t="s">
        <v>203</v>
      </c>
      <c r="LPG13" s="314" t="s">
        <v>203</v>
      </c>
      <c r="LPH13" s="314" t="s">
        <v>203</v>
      </c>
      <c r="LPI13" s="314" t="s">
        <v>203</v>
      </c>
      <c r="LPJ13" s="314" t="s">
        <v>203</v>
      </c>
      <c r="LPK13" s="314" t="s">
        <v>203</v>
      </c>
      <c r="LPL13" s="314" t="s">
        <v>203</v>
      </c>
      <c r="LPM13" s="314" t="s">
        <v>203</v>
      </c>
      <c r="LPN13" s="314" t="s">
        <v>203</v>
      </c>
      <c r="LPO13" s="314" t="s">
        <v>203</v>
      </c>
      <c r="LPP13" s="314" t="s">
        <v>203</v>
      </c>
      <c r="LPQ13" s="314" t="s">
        <v>203</v>
      </c>
      <c r="LPR13" s="314" t="s">
        <v>203</v>
      </c>
      <c r="LPS13" s="314" t="s">
        <v>203</v>
      </c>
      <c r="LPT13" s="314" t="s">
        <v>203</v>
      </c>
      <c r="LPU13" s="314" t="s">
        <v>203</v>
      </c>
      <c r="LPV13" s="314" t="s">
        <v>203</v>
      </c>
      <c r="LPW13" s="314" t="s">
        <v>203</v>
      </c>
      <c r="LPX13" s="314" t="s">
        <v>203</v>
      </c>
      <c r="LPY13" s="314" t="s">
        <v>203</v>
      </c>
      <c r="LPZ13" s="314" t="s">
        <v>203</v>
      </c>
      <c r="LQA13" s="314" t="s">
        <v>203</v>
      </c>
      <c r="LQB13" s="314" t="s">
        <v>203</v>
      </c>
      <c r="LQC13" s="314" t="s">
        <v>203</v>
      </c>
      <c r="LQD13" s="314" t="s">
        <v>203</v>
      </c>
      <c r="LQE13" s="314" t="s">
        <v>203</v>
      </c>
      <c r="LQF13" s="314" t="s">
        <v>203</v>
      </c>
      <c r="LQG13" s="314" t="s">
        <v>203</v>
      </c>
      <c r="LQH13" s="314" t="s">
        <v>203</v>
      </c>
      <c r="LQI13" s="314" t="s">
        <v>203</v>
      </c>
      <c r="LQJ13" s="314" t="s">
        <v>203</v>
      </c>
      <c r="LQK13" s="314" t="s">
        <v>203</v>
      </c>
      <c r="LQL13" s="314" t="s">
        <v>203</v>
      </c>
      <c r="LQM13" s="314" t="s">
        <v>203</v>
      </c>
      <c r="LQN13" s="314" t="s">
        <v>203</v>
      </c>
      <c r="LQO13" s="314" t="s">
        <v>203</v>
      </c>
      <c r="LQP13" s="314" t="s">
        <v>203</v>
      </c>
      <c r="LQQ13" s="314" t="s">
        <v>203</v>
      </c>
      <c r="LQR13" s="314" t="s">
        <v>203</v>
      </c>
      <c r="LQS13" s="314" t="s">
        <v>203</v>
      </c>
      <c r="LQT13" s="314" t="s">
        <v>203</v>
      </c>
      <c r="LQU13" s="314" t="s">
        <v>203</v>
      </c>
      <c r="LQV13" s="314" t="s">
        <v>203</v>
      </c>
      <c r="LQW13" s="314" t="s">
        <v>203</v>
      </c>
      <c r="LQX13" s="314" t="s">
        <v>203</v>
      </c>
      <c r="LQY13" s="314" t="s">
        <v>203</v>
      </c>
      <c r="LQZ13" s="314" t="s">
        <v>203</v>
      </c>
      <c r="LRA13" s="314" t="s">
        <v>203</v>
      </c>
      <c r="LRB13" s="314" t="s">
        <v>203</v>
      </c>
      <c r="LRC13" s="314" t="s">
        <v>203</v>
      </c>
      <c r="LRD13" s="314" t="s">
        <v>203</v>
      </c>
      <c r="LRE13" s="314" t="s">
        <v>203</v>
      </c>
      <c r="LRF13" s="314" t="s">
        <v>203</v>
      </c>
      <c r="LRG13" s="314" t="s">
        <v>203</v>
      </c>
      <c r="LRH13" s="314" t="s">
        <v>203</v>
      </c>
      <c r="LRI13" s="314" t="s">
        <v>203</v>
      </c>
      <c r="LRJ13" s="314" t="s">
        <v>203</v>
      </c>
      <c r="LRK13" s="314" t="s">
        <v>203</v>
      </c>
      <c r="LRL13" s="314" t="s">
        <v>203</v>
      </c>
      <c r="LRM13" s="314" t="s">
        <v>203</v>
      </c>
      <c r="LRN13" s="314" t="s">
        <v>203</v>
      </c>
      <c r="LRO13" s="314" t="s">
        <v>203</v>
      </c>
      <c r="LRP13" s="314" t="s">
        <v>203</v>
      </c>
      <c r="LRQ13" s="314" t="s">
        <v>203</v>
      </c>
      <c r="LRR13" s="314" t="s">
        <v>203</v>
      </c>
      <c r="LRS13" s="314" t="s">
        <v>203</v>
      </c>
      <c r="LRT13" s="314" t="s">
        <v>203</v>
      </c>
      <c r="LRU13" s="314" t="s">
        <v>203</v>
      </c>
      <c r="LRV13" s="314" t="s">
        <v>203</v>
      </c>
      <c r="LRW13" s="314" t="s">
        <v>203</v>
      </c>
      <c r="LRX13" s="314" t="s">
        <v>203</v>
      </c>
      <c r="LRY13" s="314" t="s">
        <v>203</v>
      </c>
      <c r="LRZ13" s="314" t="s">
        <v>203</v>
      </c>
      <c r="LSA13" s="314" t="s">
        <v>203</v>
      </c>
      <c r="LSB13" s="314" t="s">
        <v>203</v>
      </c>
      <c r="LSC13" s="314" t="s">
        <v>203</v>
      </c>
      <c r="LSD13" s="314" t="s">
        <v>203</v>
      </c>
      <c r="LSE13" s="314" t="s">
        <v>203</v>
      </c>
      <c r="LSF13" s="314" t="s">
        <v>203</v>
      </c>
      <c r="LSG13" s="314" t="s">
        <v>203</v>
      </c>
      <c r="LSH13" s="314" t="s">
        <v>203</v>
      </c>
      <c r="LSI13" s="314" t="s">
        <v>203</v>
      </c>
      <c r="LSJ13" s="314" t="s">
        <v>203</v>
      </c>
      <c r="LSK13" s="314" t="s">
        <v>203</v>
      </c>
      <c r="LSL13" s="314" t="s">
        <v>203</v>
      </c>
      <c r="LSM13" s="314" t="s">
        <v>203</v>
      </c>
      <c r="LSN13" s="314" t="s">
        <v>203</v>
      </c>
      <c r="LSO13" s="314" t="s">
        <v>203</v>
      </c>
      <c r="LSP13" s="314" t="s">
        <v>203</v>
      </c>
      <c r="LSQ13" s="314" t="s">
        <v>203</v>
      </c>
      <c r="LSR13" s="314" t="s">
        <v>203</v>
      </c>
      <c r="LSS13" s="314" t="s">
        <v>203</v>
      </c>
      <c r="LST13" s="314" t="s">
        <v>203</v>
      </c>
      <c r="LSU13" s="314" t="s">
        <v>203</v>
      </c>
      <c r="LSV13" s="314" t="s">
        <v>203</v>
      </c>
      <c r="LSW13" s="314" t="s">
        <v>203</v>
      </c>
      <c r="LSX13" s="314" t="s">
        <v>203</v>
      </c>
      <c r="LSY13" s="314" t="s">
        <v>203</v>
      </c>
      <c r="LSZ13" s="314" t="s">
        <v>203</v>
      </c>
      <c r="LTA13" s="314" t="s">
        <v>203</v>
      </c>
      <c r="LTB13" s="314" t="s">
        <v>203</v>
      </c>
      <c r="LTC13" s="314" t="s">
        <v>203</v>
      </c>
      <c r="LTD13" s="314" t="s">
        <v>203</v>
      </c>
      <c r="LTE13" s="314" t="s">
        <v>203</v>
      </c>
      <c r="LTF13" s="314" t="s">
        <v>203</v>
      </c>
      <c r="LTG13" s="314" t="s">
        <v>203</v>
      </c>
      <c r="LTH13" s="314" t="s">
        <v>203</v>
      </c>
      <c r="LTI13" s="314" t="s">
        <v>203</v>
      </c>
      <c r="LTJ13" s="314" t="s">
        <v>203</v>
      </c>
      <c r="LTK13" s="314" t="s">
        <v>203</v>
      </c>
      <c r="LTL13" s="314" t="s">
        <v>203</v>
      </c>
      <c r="LTM13" s="314" t="s">
        <v>203</v>
      </c>
      <c r="LTN13" s="314" t="s">
        <v>203</v>
      </c>
      <c r="LTO13" s="314" t="s">
        <v>203</v>
      </c>
      <c r="LTP13" s="314" t="s">
        <v>203</v>
      </c>
      <c r="LTQ13" s="314" t="s">
        <v>203</v>
      </c>
      <c r="LTR13" s="314" t="s">
        <v>203</v>
      </c>
      <c r="LTS13" s="314" t="s">
        <v>203</v>
      </c>
      <c r="LTT13" s="314" t="s">
        <v>203</v>
      </c>
      <c r="LTU13" s="314" t="s">
        <v>203</v>
      </c>
      <c r="LTV13" s="314" t="s">
        <v>203</v>
      </c>
      <c r="LTW13" s="314" t="s">
        <v>203</v>
      </c>
      <c r="LTX13" s="314" t="s">
        <v>203</v>
      </c>
      <c r="LTY13" s="314" t="s">
        <v>203</v>
      </c>
      <c r="LTZ13" s="314" t="s">
        <v>203</v>
      </c>
      <c r="LUA13" s="314" t="s">
        <v>203</v>
      </c>
      <c r="LUB13" s="314" t="s">
        <v>203</v>
      </c>
      <c r="LUC13" s="314" t="s">
        <v>203</v>
      </c>
      <c r="LUD13" s="314" t="s">
        <v>203</v>
      </c>
      <c r="LUE13" s="314" t="s">
        <v>203</v>
      </c>
      <c r="LUF13" s="314" t="s">
        <v>203</v>
      </c>
      <c r="LUG13" s="314" t="s">
        <v>203</v>
      </c>
      <c r="LUH13" s="314" t="s">
        <v>203</v>
      </c>
      <c r="LUI13" s="314" t="s">
        <v>203</v>
      </c>
      <c r="LUJ13" s="314" t="s">
        <v>203</v>
      </c>
      <c r="LUK13" s="314" t="s">
        <v>203</v>
      </c>
      <c r="LUL13" s="314" t="s">
        <v>203</v>
      </c>
      <c r="LUM13" s="314" t="s">
        <v>203</v>
      </c>
      <c r="LUN13" s="314" t="s">
        <v>203</v>
      </c>
      <c r="LUO13" s="314" t="s">
        <v>203</v>
      </c>
      <c r="LUP13" s="314" t="s">
        <v>203</v>
      </c>
      <c r="LUQ13" s="314" t="s">
        <v>203</v>
      </c>
      <c r="LUR13" s="314" t="s">
        <v>203</v>
      </c>
      <c r="LUS13" s="314" t="s">
        <v>203</v>
      </c>
      <c r="LUT13" s="314" t="s">
        <v>203</v>
      </c>
      <c r="LUU13" s="314" t="s">
        <v>203</v>
      </c>
      <c r="LUV13" s="314" t="s">
        <v>203</v>
      </c>
      <c r="LUW13" s="314" t="s">
        <v>203</v>
      </c>
      <c r="LUX13" s="314" t="s">
        <v>203</v>
      </c>
      <c r="LUY13" s="314" t="s">
        <v>203</v>
      </c>
      <c r="LUZ13" s="314" t="s">
        <v>203</v>
      </c>
      <c r="LVA13" s="314" t="s">
        <v>203</v>
      </c>
      <c r="LVB13" s="314" t="s">
        <v>203</v>
      </c>
      <c r="LVC13" s="314" t="s">
        <v>203</v>
      </c>
      <c r="LVD13" s="314" t="s">
        <v>203</v>
      </c>
      <c r="LVE13" s="314" t="s">
        <v>203</v>
      </c>
      <c r="LVF13" s="314" t="s">
        <v>203</v>
      </c>
      <c r="LVG13" s="314" t="s">
        <v>203</v>
      </c>
      <c r="LVH13" s="314" t="s">
        <v>203</v>
      </c>
      <c r="LVI13" s="314" t="s">
        <v>203</v>
      </c>
      <c r="LVJ13" s="314" t="s">
        <v>203</v>
      </c>
      <c r="LVK13" s="314" t="s">
        <v>203</v>
      </c>
      <c r="LVL13" s="314" t="s">
        <v>203</v>
      </c>
      <c r="LVM13" s="314" t="s">
        <v>203</v>
      </c>
      <c r="LVN13" s="314" t="s">
        <v>203</v>
      </c>
      <c r="LVO13" s="314" t="s">
        <v>203</v>
      </c>
      <c r="LVP13" s="314" t="s">
        <v>203</v>
      </c>
      <c r="LVQ13" s="314" t="s">
        <v>203</v>
      </c>
      <c r="LVR13" s="314" t="s">
        <v>203</v>
      </c>
      <c r="LVS13" s="314" t="s">
        <v>203</v>
      </c>
      <c r="LVT13" s="314" t="s">
        <v>203</v>
      </c>
      <c r="LVU13" s="314" t="s">
        <v>203</v>
      </c>
      <c r="LVV13" s="314" t="s">
        <v>203</v>
      </c>
      <c r="LVW13" s="314" t="s">
        <v>203</v>
      </c>
      <c r="LVX13" s="314" t="s">
        <v>203</v>
      </c>
      <c r="LVY13" s="314" t="s">
        <v>203</v>
      </c>
      <c r="LVZ13" s="314" t="s">
        <v>203</v>
      </c>
      <c r="LWA13" s="314" t="s">
        <v>203</v>
      </c>
      <c r="LWB13" s="314" t="s">
        <v>203</v>
      </c>
      <c r="LWC13" s="314" t="s">
        <v>203</v>
      </c>
      <c r="LWD13" s="314" t="s">
        <v>203</v>
      </c>
      <c r="LWE13" s="314" t="s">
        <v>203</v>
      </c>
      <c r="LWF13" s="314" t="s">
        <v>203</v>
      </c>
      <c r="LWG13" s="314" t="s">
        <v>203</v>
      </c>
      <c r="LWH13" s="314" t="s">
        <v>203</v>
      </c>
      <c r="LWI13" s="314" t="s">
        <v>203</v>
      </c>
      <c r="LWJ13" s="314" t="s">
        <v>203</v>
      </c>
      <c r="LWK13" s="314" t="s">
        <v>203</v>
      </c>
      <c r="LWL13" s="314" t="s">
        <v>203</v>
      </c>
      <c r="LWM13" s="314" t="s">
        <v>203</v>
      </c>
      <c r="LWN13" s="314" t="s">
        <v>203</v>
      </c>
      <c r="LWO13" s="314" t="s">
        <v>203</v>
      </c>
      <c r="LWP13" s="314" t="s">
        <v>203</v>
      </c>
      <c r="LWQ13" s="314" t="s">
        <v>203</v>
      </c>
      <c r="LWR13" s="314" t="s">
        <v>203</v>
      </c>
      <c r="LWS13" s="314" t="s">
        <v>203</v>
      </c>
      <c r="LWT13" s="314" t="s">
        <v>203</v>
      </c>
      <c r="LWU13" s="314" t="s">
        <v>203</v>
      </c>
      <c r="LWV13" s="314" t="s">
        <v>203</v>
      </c>
      <c r="LWW13" s="314" t="s">
        <v>203</v>
      </c>
      <c r="LWX13" s="314" t="s">
        <v>203</v>
      </c>
      <c r="LWY13" s="314" t="s">
        <v>203</v>
      </c>
      <c r="LWZ13" s="314" t="s">
        <v>203</v>
      </c>
      <c r="LXA13" s="314" t="s">
        <v>203</v>
      </c>
      <c r="LXB13" s="314" t="s">
        <v>203</v>
      </c>
      <c r="LXC13" s="314" t="s">
        <v>203</v>
      </c>
      <c r="LXD13" s="314" t="s">
        <v>203</v>
      </c>
      <c r="LXE13" s="314" t="s">
        <v>203</v>
      </c>
      <c r="LXF13" s="314" t="s">
        <v>203</v>
      </c>
      <c r="LXG13" s="314" t="s">
        <v>203</v>
      </c>
      <c r="LXH13" s="314" t="s">
        <v>203</v>
      </c>
      <c r="LXI13" s="314" t="s">
        <v>203</v>
      </c>
      <c r="LXJ13" s="314" t="s">
        <v>203</v>
      </c>
      <c r="LXK13" s="314" t="s">
        <v>203</v>
      </c>
      <c r="LXL13" s="314" t="s">
        <v>203</v>
      </c>
      <c r="LXM13" s="314" t="s">
        <v>203</v>
      </c>
      <c r="LXN13" s="314" t="s">
        <v>203</v>
      </c>
      <c r="LXO13" s="314" t="s">
        <v>203</v>
      </c>
      <c r="LXP13" s="314" t="s">
        <v>203</v>
      </c>
      <c r="LXQ13" s="314" t="s">
        <v>203</v>
      </c>
      <c r="LXR13" s="314" t="s">
        <v>203</v>
      </c>
      <c r="LXS13" s="314" t="s">
        <v>203</v>
      </c>
      <c r="LXT13" s="314" t="s">
        <v>203</v>
      </c>
      <c r="LXU13" s="314" t="s">
        <v>203</v>
      </c>
      <c r="LXV13" s="314" t="s">
        <v>203</v>
      </c>
      <c r="LXW13" s="314" t="s">
        <v>203</v>
      </c>
      <c r="LXX13" s="314" t="s">
        <v>203</v>
      </c>
      <c r="LXY13" s="314" t="s">
        <v>203</v>
      </c>
      <c r="LXZ13" s="314" t="s">
        <v>203</v>
      </c>
      <c r="LYA13" s="314" t="s">
        <v>203</v>
      </c>
      <c r="LYB13" s="314" t="s">
        <v>203</v>
      </c>
      <c r="LYC13" s="314" t="s">
        <v>203</v>
      </c>
      <c r="LYD13" s="314" t="s">
        <v>203</v>
      </c>
      <c r="LYE13" s="314" t="s">
        <v>203</v>
      </c>
      <c r="LYF13" s="314" t="s">
        <v>203</v>
      </c>
      <c r="LYG13" s="314" t="s">
        <v>203</v>
      </c>
      <c r="LYH13" s="314" t="s">
        <v>203</v>
      </c>
      <c r="LYI13" s="314" t="s">
        <v>203</v>
      </c>
      <c r="LYJ13" s="314" t="s">
        <v>203</v>
      </c>
      <c r="LYK13" s="314" t="s">
        <v>203</v>
      </c>
      <c r="LYL13" s="314" t="s">
        <v>203</v>
      </c>
      <c r="LYM13" s="314" t="s">
        <v>203</v>
      </c>
      <c r="LYN13" s="314" t="s">
        <v>203</v>
      </c>
      <c r="LYO13" s="314" t="s">
        <v>203</v>
      </c>
      <c r="LYP13" s="314" t="s">
        <v>203</v>
      </c>
      <c r="LYQ13" s="314" t="s">
        <v>203</v>
      </c>
      <c r="LYR13" s="314" t="s">
        <v>203</v>
      </c>
      <c r="LYS13" s="314" t="s">
        <v>203</v>
      </c>
      <c r="LYT13" s="314" t="s">
        <v>203</v>
      </c>
      <c r="LYU13" s="314" t="s">
        <v>203</v>
      </c>
      <c r="LYV13" s="314" t="s">
        <v>203</v>
      </c>
      <c r="LYW13" s="314" t="s">
        <v>203</v>
      </c>
      <c r="LYX13" s="314" t="s">
        <v>203</v>
      </c>
      <c r="LYY13" s="314" t="s">
        <v>203</v>
      </c>
      <c r="LYZ13" s="314" t="s">
        <v>203</v>
      </c>
      <c r="LZA13" s="314" t="s">
        <v>203</v>
      </c>
      <c r="LZB13" s="314" t="s">
        <v>203</v>
      </c>
      <c r="LZC13" s="314" t="s">
        <v>203</v>
      </c>
      <c r="LZD13" s="314" t="s">
        <v>203</v>
      </c>
      <c r="LZE13" s="314" t="s">
        <v>203</v>
      </c>
      <c r="LZF13" s="314" t="s">
        <v>203</v>
      </c>
      <c r="LZG13" s="314" t="s">
        <v>203</v>
      </c>
      <c r="LZH13" s="314" t="s">
        <v>203</v>
      </c>
      <c r="LZI13" s="314" t="s">
        <v>203</v>
      </c>
      <c r="LZJ13" s="314" t="s">
        <v>203</v>
      </c>
      <c r="LZK13" s="314" t="s">
        <v>203</v>
      </c>
      <c r="LZL13" s="314" t="s">
        <v>203</v>
      </c>
      <c r="LZM13" s="314" t="s">
        <v>203</v>
      </c>
      <c r="LZN13" s="314" t="s">
        <v>203</v>
      </c>
      <c r="LZO13" s="314" t="s">
        <v>203</v>
      </c>
      <c r="LZP13" s="314" t="s">
        <v>203</v>
      </c>
      <c r="LZQ13" s="314" t="s">
        <v>203</v>
      </c>
      <c r="LZR13" s="314" t="s">
        <v>203</v>
      </c>
      <c r="LZS13" s="314" t="s">
        <v>203</v>
      </c>
      <c r="LZT13" s="314" t="s">
        <v>203</v>
      </c>
      <c r="LZU13" s="314" t="s">
        <v>203</v>
      </c>
      <c r="LZV13" s="314" t="s">
        <v>203</v>
      </c>
      <c r="LZW13" s="314" t="s">
        <v>203</v>
      </c>
      <c r="LZX13" s="314" t="s">
        <v>203</v>
      </c>
      <c r="LZY13" s="314" t="s">
        <v>203</v>
      </c>
      <c r="LZZ13" s="314" t="s">
        <v>203</v>
      </c>
      <c r="MAA13" s="314" t="s">
        <v>203</v>
      </c>
      <c r="MAB13" s="314" t="s">
        <v>203</v>
      </c>
      <c r="MAC13" s="314" t="s">
        <v>203</v>
      </c>
      <c r="MAD13" s="314" t="s">
        <v>203</v>
      </c>
      <c r="MAE13" s="314" t="s">
        <v>203</v>
      </c>
      <c r="MAF13" s="314" t="s">
        <v>203</v>
      </c>
      <c r="MAG13" s="314" t="s">
        <v>203</v>
      </c>
      <c r="MAH13" s="314" t="s">
        <v>203</v>
      </c>
      <c r="MAI13" s="314" t="s">
        <v>203</v>
      </c>
      <c r="MAJ13" s="314" t="s">
        <v>203</v>
      </c>
      <c r="MAK13" s="314" t="s">
        <v>203</v>
      </c>
      <c r="MAL13" s="314" t="s">
        <v>203</v>
      </c>
      <c r="MAM13" s="314" t="s">
        <v>203</v>
      </c>
      <c r="MAN13" s="314" t="s">
        <v>203</v>
      </c>
      <c r="MAO13" s="314" t="s">
        <v>203</v>
      </c>
      <c r="MAP13" s="314" t="s">
        <v>203</v>
      </c>
      <c r="MAQ13" s="314" t="s">
        <v>203</v>
      </c>
      <c r="MAR13" s="314" t="s">
        <v>203</v>
      </c>
      <c r="MAS13" s="314" t="s">
        <v>203</v>
      </c>
      <c r="MAT13" s="314" t="s">
        <v>203</v>
      </c>
      <c r="MAU13" s="314" t="s">
        <v>203</v>
      </c>
      <c r="MAV13" s="314" t="s">
        <v>203</v>
      </c>
      <c r="MAW13" s="314" t="s">
        <v>203</v>
      </c>
      <c r="MAX13" s="314" t="s">
        <v>203</v>
      </c>
      <c r="MAY13" s="314" t="s">
        <v>203</v>
      </c>
      <c r="MAZ13" s="314" t="s">
        <v>203</v>
      </c>
      <c r="MBA13" s="314" t="s">
        <v>203</v>
      </c>
      <c r="MBB13" s="314" t="s">
        <v>203</v>
      </c>
      <c r="MBC13" s="314" t="s">
        <v>203</v>
      </c>
      <c r="MBD13" s="314" t="s">
        <v>203</v>
      </c>
      <c r="MBE13" s="314" t="s">
        <v>203</v>
      </c>
      <c r="MBF13" s="314" t="s">
        <v>203</v>
      </c>
      <c r="MBG13" s="314" t="s">
        <v>203</v>
      </c>
      <c r="MBH13" s="314" t="s">
        <v>203</v>
      </c>
      <c r="MBI13" s="314" t="s">
        <v>203</v>
      </c>
      <c r="MBJ13" s="314" t="s">
        <v>203</v>
      </c>
      <c r="MBK13" s="314" t="s">
        <v>203</v>
      </c>
      <c r="MBL13" s="314" t="s">
        <v>203</v>
      </c>
      <c r="MBM13" s="314" t="s">
        <v>203</v>
      </c>
      <c r="MBN13" s="314" t="s">
        <v>203</v>
      </c>
      <c r="MBO13" s="314" t="s">
        <v>203</v>
      </c>
      <c r="MBP13" s="314" t="s">
        <v>203</v>
      </c>
      <c r="MBQ13" s="314" t="s">
        <v>203</v>
      </c>
      <c r="MBR13" s="314" t="s">
        <v>203</v>
      </c>
      <c r="MBS13" s="314" t="s">
        <v>203</v>
      </c>
      <c r="MBT13" s="314" t="s">
        <v>203</v>
      </c>
      <c r="MBU13" s="314" t="s">
        <v>203</v>
      </c>
      <c r="MBV13" s="314" t="s">
        <v>203</v>
      </c>
      <c r="MBW13" s="314" t="s">
        <v>203</v>
      </c>
      <c r="MBX13" s="314" t="s">
        <v>203</v>
      </c>
      <c r="MBY13" s="314" t="s">
        <v>203</v>
      </c>
      <c r="MBZ13" s="314" t="s">
        <v>203</v>
      </c>
      <c r="MCA13" s="314" t="s">
        <v>203</v>
      </c>
      <c r="MCB13" s="314" t="s">
        <v>203</v>
      </c>
      <c r="MCC13" s="314" t="s">
        <v>203</v>
      </c>
      <c r="MCD13" s="314" t="s">
        <v>203</v>
      </c>
      <c r="MCE13" s="314" t="s">
        <v>203</v>
      </c>
      <c r="MCF13" s="314" t="s">
        <v>203</v>
      </c>
      <c r="MCG13" s="314" t="s">
        <v>203</v>
      </c>
      <c r="MCH13" s="314" t="s">
        <v>203</v>
      </c>
      <c r="MCI13" s="314" t="s">
        <v>203</v>
      </c>
      <c r="MCJ13" s="314" t="s">
        <v>203</v>
      </c>
      <c r="MCK13" s="314" t="s">
        <v>203</v>
      </c>
      <c r="MCL13" s="314" t="s">
        <v>203</v>
      </c>
      <c r="MCM13" s="314" t="s">
        <v>203</v>
      </c>
      <c r="MCN13" s="314" t="s">
        <v>203</v>
      </c>
      <c r="MCO13" s="314" t="s">
        <v>203</v>
      </c>
      <c r="MCP13" s="314" t="s">
        <v>203</v>
      </c>
      <c r="MCQ13" s="314" t="s">
        <v>203</v>
      </c>
      <c r="MCR13" s="314" t="s">
        <v>203</v>
      </c>
      <c r="MCS13" s="314" t="s">
        <v>203</v>
      </c>
      <c r="MCT13" s="314" t="s">
        <v>203</v>
      </c>
      <c r="MCU13" s="314" t="s">
        <v>203</v>
      </c>
      <c r="MCV13" s="314" t="s">
        <v>203</v>
      </c>
      <c r="MCW13" s="314" t="s">
        <v>203</v>
      </c>
      <c r="MCX13" s="314" t="s">
        <v>203</v>
      </c>
      <c r="MCY13" s="314" t="s">
        <v>203</v>
      </c>
      <c r="MCZ13" s="314" t="s">
        <v>203</v>
      </c>
      <c r="MDA13" s="314" t="s">
        <v>203</v>
      </c>
      <c r="MDB13" s="314" t="s">
        <v>203</v>
      </c>
      <c r="MDC13" s="314" t="s">
        <v>203</v>
      </c>
      <c r="MDD13" s="314" t="s">
        <v>203</v>
      </c>
      <c r="MDE13" s="314" t="s">
        <v>203</v>
      </c>
      <c r="MDF13" s="314" t="s">
        <v>203</v>
      </c>
      <c r="MDG13" s="314" t="s">
        <v>203</v>
      </c>
      <c r="MDH13" s="314" t="s">
        <v>203</v>
      </c>
      <c r="MDI13" s="314" t="s">
        <v>203</v>
      </c>
      <c r="MDJ13" s="314" t="s">
        <v>203</v>
      </c>
      <c r="MDK13" s="314" t="s">
        <v>203</v>
      </c>
      <c r="MDL13" s="314" t="s">
        <v>203</v>
      </c>
      <c r="MDM13" s="314" t="s">
        <v>203</v>
      </c>
      <c r="MDN13" s="314" t="s">
        <v>203</v>
      </c>
      <c r="MDO13" s="314" t="s">
        <v>203</v>
      </c>
      <c r="MDP13" s="314" t="s">
        <v>203</v>
      </c>
      <c r="MDQ13" s="314" t="s">
        <v>203</v>
      </c>
      <c r="MDR13" s="314" t="s">
        <v>203</v>
      </c>
      <c r="MDS13" s="314" t="s">
        <v>203</v>
      </c>
      <c r="MDT13" s="314" t="s">
        <v>203</v>
      </c>
      <c r="MDU13" s="314" t="s">
        <v>203</v>
      </c>
      <c r="MDV13" s="314" t="s">
        <v>203</v>
      </c>
      <c r="MDW13" s="314" t="s">
        <v>203</v>
      </c>
      <c r="MDX13" s="314" t="s">
        <v>203</v>
      </c>
      <c r="MDY13" s="314" t="s">
        <v>203</v>
      </c>
      <c r="MDZ13" s="314" t="s">
        <v>203</v>
      </c>
      <c r="MEA13" s="314" t="s">
        <v>203</v>
      </c>
      <c r="MEB13" s="314" t="s">
        <v>203</v>
      </c>
      <c r="MEC13" s="314" t="s">
        <v>203</v>
      </c>
      <c r="MED13" s="314" t="s">
        <v>203</v>
      </c>
      <c r="MEE13" s="314" t="s">
        <v>203</v>
      </c>
      <c r="MEF13" s="314" t="s">
        <v>203</v>
      </c>
      <c r="MEG13" s="314" t="s">
        <v>203</v>
      </c>
      <c r="MEH13" s="314" t="s">
        <v>203</v>
      </c>
      <c r="MEI13" s="314" t="s">
        <v>203</v>
      </c>
      <c r="MEJ13" s="314" t="s">
        <v>203</v>
      </c>
      <c r="MEK13" s="314" t="s">
        <v>203</v>
      </c>
      <c r="MEL13" s="314" t="s">
        <v>203</v>
      </c>
      <c r="MEM13" s="314" t="s">
        <v>203</v>
      </c>
      <c r="MEN13" s="314" t="s">
        <v>203</v>
      </c>
      <c r="MEO13" s="314" t="s">
        <v>203</v>
      </c>
      <c r="MEP13" s="314" t="s">
        <v>203</v>
      </c>
      <c r="MEQ13" s="314" t="s">
        <v>203</v>
      </c>
      <c r="MER13" s="314" t="s">
        <v>203</v>
      </c>
      <c r="MES13" s="314" t="s">
        <v>203</v>
      </c>
      <c r="MET13" s="314" t="s">
        <v>203</v>
      </c>
      <c r="MEU13" s="314" t="s">
        <v>203</v>
      </c>
      <c r="MEV13" s="314" t="s">
        <v>203</v>
      </c>
      <c r="MEW13" s="314" t="s">
        <v>203</v>
      </c>
      <c r="MEX13" s="314" t="s">
        <v>203</v>
      </c>
      <c r="MEY13" s="314" t="s">
        <v>203</v>
      </c>
      <c r="MEZ13" s="314" t="s">
        <v>203</v>
      </c>
      <c r="MFA13" s="314" t="s">
        <v>203</v>
      </c>
      <c r="MFB13" s="314" t="s">
        <v>203</v>
      </c>
      <c r="MFC13" s="314" t="s">
        <v>203</v>
      </c>
      <c r="MFD13" s="314" t="s">
        <v>203</v>
      </c>
      <c r="MFE13" s="314" t="s">
        <v>203</v>
      </c>
      <c r="MFF13" s="314" t="s">
        <v>203</v>
      </c>
      <c r="MFG13" s="314" t="s">
        <v>203</v>
      </c>
      <c r="MFH13" s="314" t="s">
        <v>203</v>
      </c>
      <c r="MFI13" s="314" t="s">
        <v>203</v>
      </c>
      <c r="MFJ13" s="314" t="s">
        <v>203</v>
      </c>
      <c r="MFK13" s="314" t="s">
        <v>203</v>
      </c>
      <c r="MFL13" s="314" t="s">
        <v>203</v>
      </c>
      <c r="MFM13" s="314" t="s">
        <v>203</v>
      </c>
      <c r="MFN13" s="314" t="s">
        <v>203</v>
      </c>
      <c r="MFO13" s="314" t="s">
        <v>203</v>
      </c>
      <c r="MFP13" s="314" t="s">
        <v>203</v>
      </c>
      <c r="MFQ13" s="314" t="s">
        <v>203</v>
      </c>
      <c r="MFR13" s="314" t="s">
        <v>203</v>
      </c>
      <c r="MFS13" s="314" t="s">
        <v>203</v>
      </c>
      <c r="MFT13" s="314" t="s">
        <v>203</v>
      </c>
      <c r="MFU13" s="314" t="s">
        <v>203</v>
      </c>
      <c r="MFV13" s="314" t="s">
        <v>203</v>
      </c>
      <c r="MFW13" s="314" t="s">
        <v>203</v>
      </c>
      <c r="MFX13" s="314" t="s">
        <v>203</v>
      </c>
      <c r="MFY13" s="314" t="s">
        <v>203</v>
      </c>
      <c r="MFZ13" s="314" t="s">
        <v>203</v>
      </c>
      <c r="MGA13" s="314" t="s">
        <v>203</v>
      </c>
      <c r="MGB13" s="314" t="s">
        <v>203</v>
      </c>
      <c r="MGC13" s="314" t="s">
        <v>203</v>
      </c>
      <c r="MGD13" s="314" t="s">
        <v>203</v>
      </c>
      <c r="MGE13" s="314" t="s">
        <v>203</v>
      </c>
      <c r="MGF13" s="314" t="s">
        <v>203</v>
      </c>
      <c r="MGG13" s="314" t="s">
        <v>203</v>
      </c>
      <c r="MGH13" s="314" t="s">
        <v>203</v>
      </c>
      <c r="MGI13" s="314" t="s">
        <v>203</v>
      </c>
      <c r="MGJ13" s="314" t="s">
        <v>203</v>
      </c>
      <c r="MGK13" s="314" t="s">
        <v>203</v>
      </c>
      <c r="MGL13" s="314" t="s">
        <v>203</v>
      </c>
      <c r="MGM13" s="314" t="s">
        <v>203</v>
      </c>
      <c r="MGN13" s="314" t="s">
        <v>203</v>
      </c>
      <c r="MGO13" s="314" t="s">
        <v>203</v>
      </c>
      <c r="MGP13" s="314" t="s">
        <v>203</v>
      </c>
      <c r="MGQ13" s="314" t="s">
        <v>203</v>
      </c>
      <c r="MGR13" s="314" t="s">
        <v>203</v>
      </c>
      <c r="MGS13" s="314" t="s">
        <v>203</v>
      </c>
      <c r="MGT13" s="314" t="s">
        <v>203</v>
      </c>
      <c r="MGU13" s="314" t="s">
        <v>203</v>
      </c>
      <c r="MGV13" s="314" t="s">
        <v>203</v>
      </c>
      <c r="MGW13" s="314" t="s">
        <v>203</v>
      </c>
      <c r="MGX13" s="314" t="s">
        <v>203</v>
      </c>
      <c r="MGY13" s="314" t="s">
        <v>203</v>
      </c>
      <c r="MGZ13" s="314" t="s">
        <v>203</v>
      </c>
      <c r="MHA13" s="314" t="s">
        <v>203</v>
      </c>
      <c r="MHB13" s="314" t="s">
        <v>203</v>
      </c>
      <c r="MHC13" s="314" t="s">
        <v>203</v>
      </c>
      <c r="MHD13" s="314" t="s">
        <v>203</v>
      </c>
      <c r="MHE13" s="314" t="s">
        <v>203</v>
      </c>
      <c r="MHF13" s="314" t="s">
        <v>203</v>
      </c>
      <c r="MHG13" s="314" t="s">
        <v>203</v>
      </c>
      <c r="MHH13" s="314" t="s">
        <v>203</v>
      </c>
      <c r="MHI13" s="314" t="s">
        <v>203</v>
      </c>
      <c r="MHJ13" s="314" t="s">
        <v>203</v>
      </c>
      <c r="MHK13" s="314" t="s">
        <v>203</v>
      </c>
      <c r="MHL13" s="314" t="s">
        <v>203</v>
      </c>
      <c r="MHM13" s="314" t="s">
        <v>203</v>
      </c>
      <c r="MHN13" s="314" t="s">
        <v>203</v>
      </c>
      <c r="MHO13" s="314" t="s">
        <v>203</v>
      </c>
      <c r="MHP13" s="314" t="s">
        <v>203</v>
      </c>
      <c r="MHQ13" s="314" t="s">
        <v>203</v>
      </c>
      <c r="MHR13" s="314" t="s">
        <v>203</v>
      </c>
      <c r="MHS13" s="314" t="s">
        <v>203</v>
      </c>
      <c r="MHT13" s="314" t="s">
        <v>203</v>
      </c>
      <c r="MHU13" s="314" t="s">
        <v>203</v>
      </c>
      <c r="MHV13" s="314" t="s">
        <v>203</v>
      </c>
      <c r="MHW13" s="314" t="s">
        <v>203</v>
      </c>
      <c r="MHX13" s="314" t="s">
        <v>203</v>
      </c>
      <c r="MHY13" s="314" t="s">
        <v>203</v>
      </c>
      <c r="MHZ13" s="314" t="s">
        <v>203</v>
      </c>
      <c r="MIA13" s="314" t="s">
        <v>203</v>
      </c>
      <c r="MIB13" s="314" t="s">
        <v>203</v>
      </c>
      <c r="MIC13" s="314" t="s">
        <v>203</v>
      </c>
      <c r="MID13" s="314" t="s">
        <v>203</v>
      </c>
      <c r="MIE13" s="314" t="s">
        <v>203</v>
      </c>
      <c r="MIF13" s="314" t="s">
        <v>203</v>
      </c>
      <c r="MIG13" s="314" t="s">
        <v>203</v>
      </c>
      <c r="MIH13" s="314" t="s">
        <v>203</v>
      </c>
      <c r="MII13" s="314" t="s">
        <v>203</v>
      </c>
      <c r="MIJ13" s="314" t="s">
        <v>203</v>
      </c>
      <c r="MIK13" s="314" t="s">
        <v>203</v>
      </c>
      <c r="MIL13" s="314" t="s">
        <v>203</v>
      </c>
      <c r="MIM13" s="314" t="s">
        <v>203</v>
      </c>
      <c r="MIN13" s="314" t="s">
        <v>203</v>
      </c>
      <c r="MIO13" s="314" t="s">
        <v>203</v>
      </c>
      <c r="MIP13" s="314" t="s">
        <v>203</v>
      </c>
      <c r="MIQ13" s="314" t="s">
        <v>203</v>
      </c>
      <c r="MIR13" s="314" t="s">
        <v>203</v>
      </c>
      <c r="MIS13" s="314" t="s">
        <v>203</v>
      </c>
      <c r="MIT13" s="314" t="s">
        <v>203</v>
      </c>
      <c r="MIU13" s="314" t="s">
        <v>203</v>
      </c>
      <c r="MIV13" s="314" t="s">
        <v>203</v>
      </c>
      <c r="MIW13" s="314" t="s">
        <v>203</v>
      </c>
      <c r="MIX13" s="314" t="s">
        <v>203</v>
      </c>
      <c r="MIY13" s="314" t="s">
        <v>203</v>
      </c>
      <c r="MIZ13" s="314" t="s">
        <v>203</v>
      </c>
      <c r="MJA13" s="314" t="s">
        <v>203</v>
      </c>
      <c r="MJB13" s="314" t="s">
        <v>203</v>
      </c>
      <c r="MJC13" s="314" t="s">
        <v>203</v>
      </c>
      <c r="MJD13" s="314" t="s">
        <v>203</v>
      </c>
      <c r="MJE13" s="314" t="s">
        <v>203</v>
      </c>
      <c r="MJF13" s="314" t="s">
        <v>203</v>
      </c>
      <c r="MJG13" s="314" t="s">
        <v>203</v>
      </c>
      <c r="MJH13" s="314" t="s">
        <v>203</v>
      </c>
      <c r="MJI13" s="314" t="s">
        <v>203</v>
      </c>
      <c r="MJJ13" s="314" t="s">
        <v>203</v>
      </c>
      <c r="MJK13" s="314" t="s">
        <v>203</v>
      </c>
      <c r="MJL13" s="314" t="s">
        <v>203</v>
      </c>
      <c r="MJM13" s="314" t="s">
        <v>203</v>
      </c>
      <c r="MJN13" s="314" t="s">
        <v>203</v>
      </c>
      <c r="MJO13" s="314" t="s">
        <v>203</v>
      </c>
      <c r="MJP13" s="314" t="s">
        <v>203</v>
      </c>
      <c r="MJQ13" s="314" t="s">
        <v>203</v>
      </c>
      <c r="MJR13" s="314" t="s">
        <v>203</v>
      </c>
      <c r="MJS13" s="314" t="s">
        <v>203</v>
      </c>
      <c r="MJT13" s="314" t="s">
        <v>203</v>
      </c>
      <c r="MJU13" s="314" t="s">
        <v>203</v>
      </c>
      <c r="MJV13" s="314" t="s">
        <v>203</v>
      </c>
      <c r="MJW13" s="314" t="s">
        <v>203</v>
      </c>
      <c r="MJX13" s="314" t="s">
        <v>203</v>
      </c>
      <c r="MJY13" s="314" t="s">
        <v>203</v>
      </c>
      <c r="MJZ13" s="314" t="s">
        <v>203</v>
      </c>
      <c r="MKA13" s="314" t="s">
        <v>203</v>
      </c>
      <c r="MKB13" s="314" t="s">
        <v>203</v>
      </c>
      <c r="MKC13" s="314" t="s">
        <v>203</v>
      </c>
      <c r="MKD13" s="314" t="s">
        <v>203</v>
      </c>
      <c r="MKE13" s="314" t="s">
        <v>203</v>
      </c>
      <c r="MKF13" s="314" t="s">
        <v>203</v>
      </c>
      <c r="MKG13" s="314" t="s">
        <v>203</v>
      </c>
      <c r="MKH13" s="314" t="s">
        <v>203</v>
      </c>
      <c r="MKI13" s="314" t="s">
        <v>203</v>
      </c>
      <c r="MKJ13" s="314" t="s">
        <v>203</v>
      </c>
      <c r="MKK13" s="314" t="s">
        <v>203</v>
      </c>
      <c r="MKL13" s="314" t="s">
        <v>203</v>
      </c>
      <c r="MKM13" s="314" t="s">
        <v>203</v>
      </c>
      <c r="MKN13" s="314" t="s">
        <v>203</v>
      </c>
      <c r="MKO13" s="314" t="s">
        <v>203</v>
      </c>
      <c r="MKP13" s="314" t="s">
        <v>203</v>
      </c>
      <c r="MKQ13" s="314" t="s">
        <v>203</v>
      </c>
      <c r="MKR13" s="314" t="s">
        <v>203</v>
      </c>
      <c r="MKS13" s="314" t="s">
        <v>203</v>
      </c>
      <c r="MKT13" s="314" t="s">
        <v>203</v>
      </c>
      <c r="MKU13" s="314" t="s">
        <v>203</v>
      </c>
      <c r="MKV13" s="314" t="s">
        <v>203</v>
      </c>
      <c r="MKW13" s="314" t="s">
        <v>203</v>
      </c>
      <c r="MKX13" s="314" t="s">
        <v>203</v>
      </c>
      <c r="MKY13" s="314" t="s">
        <v>203</v>
      </c>
      <c r="MKZ13" s="314" t="s">
        <v>203</v>
      </c>
      <c r="MLA13" s="314" t="s">
        <v>203</v>
      </c>
      <c r="MLB13" s="314" t="s">
        <v>203</v>
      </c>
      <c r="MLC13" s="314" t="s">
        <v>203</v>
      </c>
      <c r="MLD13" s="314" t="s">
        <v>203</v>
      </c>
      <c r="MLE13" s="314" t="s">
        <v>203</v>
      </c>
      <c r="MLF13" s="314" t="s">
        <v>203</v>
      </c>
      <c r="MLG13" s="314" t="s">
        <v>203</v>
      </c>
      <c r="MLH13" s="314" t="s">
        <v>203</v>
      </c>
      <c r="MLI13" s="314" t="s">
        <v>203</v>
      </c>
      <c r="MLJ13" s="314" t="s">
        <v>203</v>
      </c>
      <c r="MLK13" s="314" t="s">
        <v>203</v>
      </c>
      <c r="MLL13" s="314" t="s">
        <v>203</v>
      </c>
      <c r="MLM13" s="314" t="s">
        <v>203</v>
      </c>
      <c r="MLN13" s="314" t="s">
        <v>203</v>
      </c>
      <c r="MLO13" s="314" t="s">
        <v>203</v>
      </c>
      <c r="MLP13" s="314" t="s">
        <v>203</v>
      </c>
      <c r="MLQ13" s="314" t="s">
        <v>203</v>
      </c>
      <c r="MLR13" s="314" t="s">
        <v>203</v>
      </c>
      <c r="MLS13" s="314" t="s">
        <v>203</v>
      </c>
      <c r="MLT13" s="314" t="s">
        <v>203</v>
      </c>
      <c r="MLU13" s="314" t="s">
        <v>203</v>
      </c>
      <c r="MLV13" s="314" t="s">
        <v>203</v>
      </c>
      <c r="MLW13" s="314" t="s">
        <v>203</v>
      </c>
      <c r="MLX13" s="314" t="s">
        <v>203</v>
      </c>
      <c r="MLY13" s="314" t="s">
        <v>203</v>
      </c>
      <c r="MLZ13" s="314" t="s">
        <v>203</v>
      </c>
      <c r="MMA13" s="314" t="s">
        <v>203</v>
      </c>
      <c r="MMB13" s="314" t="s">
        <v>203</v>
      </c>
      <c r="MMC13" s="314" t="s">
        <v>203</v>
      </c>
      <c r="MMD13" s="314" t="s">
        <v>203</v>
      </c>
      <c r="MME13" s="314" t="s">
        <v>203</v>
      </c>
      <c r="MMF13" s="314" t="s">
        <v>203</v>
      </c>
      <c r="MMG13" s="314" t="s">
        <v>203</v>
      </c>
      <c r="MMH13" s="314" t="s">
        <v>203</v>
      </c>
      <c r="MMI13" s="314" t="s">
        <v>203</v>
      </c>
      <c r="MMJ13" s="314" t="s">
        <v>203</v>
      </c>
      <c r="MMK13" s="314" t="s">
        <v>203</v>
      </c>
      <c r="MML13" s="314" t="s">
        <v>203</v>
      </c>
      <c r="MMM13" s="314" t="s">
        <v>203</v>
      </c>
      <c r="MMN13" s="314" t="s">
        <v>203</v>
      </c>
      <c r="MMO13" s="314" t="s">
        <v>203</v>
      </c>
      <c r="MMP13" s="314" t="s">
        <v>203</v>
      </c>
      <c r="MMQ13" s="314" t="s">
        <v>203</v>
      </c>
      <c r="MMR13" s="314" t="s">
        <v>203</v>
      </c>
      <c r="MMS13" s="314" t="s">
        <v>203</v>
      </c>
      <c r="MMT13" s="314" t="s">
        <v>203</v>
      </c>
      <c r="MMU13" s="314" t="s">
        <v>203</v>
      </c>
      <c r="MMV13" s="314" t="s">
        <v>203</v>
      </c>
      <c r="MMW13" s="314" t="s">
        <v>203</v>
      </c>
      <c r="MMX13" s="314" t="s">
        <v>203</v>
      </c>
      <c r="MMY13" s="314" t="s">
        <v>203</v>
      </c>
      <c r="MMZ13" s="314" t="s">
        <v>203</v>
      </c>
      <c r="MNA13" s="314" t="s">
        <v>203</v>
      </c>
      <c r="MNB13" s="314" t="s">
        <v>203</v>
      </c>
      <c r="MNC13" s="314" t="s">
        <v>203</v>
      </c>
      <c r="MND13" s="314" t="s">
        <v>203</v>
      </c>
      <c r="MNE13" s="314" t="s">
        <v>203</v>
      </c>
      <c r="MNF13" s="314" t="s">
        <v>203</v>
      </c>
      <c r="MNG13" s="314" t="s">
        <v>203</v>
      </c>
      <c r="MNH13" s="314" t="s">
        <v>203</v>
      </c>
      <c r="MNI13" s="314" t="s">
        <v>203</v>
      </c>
      <c r="MNJ13" s="314" t="s">
        <v>203</v>
      </c>
      <c r="MNK13" s="314" t="s">
        <v>203</v>
      </c>
      <c r="MNL13" s="314" t="s">
        <v>203</v>
      </c>
      <c r="MNM13" s="314" t="s">
        <v>203</v>
      </c>
      <c r="MNN13" s="314" t="s">
        <v>203</v>
      </c>
      <c r="MNO13" s="314" t="s">
        <v>203</v>
      </c>
      <c r="MNP13" s="314" t="s">
        <v>203</v>
      </c>
      <c r="MNQ13" s="314" t="s">
        <v>203</v>
      </c>
      <c r="MNR13" s="314" t="s">
        <v>203</v>
      </c>
      <c r="MNS13" s="314" t="s">
        <v>203</v>
      </c>
      <c r="MNT13" s="314" t="s">
        <v>203</v>
      </c>
      <c r="MNU13" s="314" t="s">
        <v>203</v>
      </c>
      <c r="MNV13" s="314" t="s">
        <v>203</v>
      </c>
      <c r="MNW13" s="314" t="s">
        <v>203</v>
      </c>
      <c r="MNX13" s="314" t="s">
        <v>203</v>
      </c>
      <c r="MNY13" s="314" t="s">
        <v>203</v>
      </c>
      <c r="MNZ13" s="314" t="s">
        <v>203</v>
      </c>
      <c r="MOA13" s="314" t="s">
        <v>203</v>
      </c>
      <c r="MOB13" s="314" t="s">
        <v>203</v>
      </c>
      <c r="MOC13" s="314" t="s">
        <v>203</v>
      </c>
      <c r="MOD13" s="314" t="s">
        <v>203</v>
      </c>
      <c r="MOE13" s="314" t="s">
        <v>203</v>
      </c>
      <c r="MOF13" s="314" t="s">
        <v>203</v>
      </c>
      <c r="MOG13" s="314" t="s">
        <v>203</v>
      </c>
      <c r="MOH13" s="314" t="s">
        <v>203</v>
      </c>
      <c r="MOI13" s="314" t="s">
        <v>203</v>
      </c>
      <c r="MOJ13" s="314" t="s">
        <v>203</v>
      </c>
      <c r="MOK13" s="314" t="s">
        <v>203</v>
      </c>
      <c r="MOL13" s="314" t="s">
        <v>203</v>
      </c>
      <c r="MOM13" s="314" t="s">
        <v>203</v>
      </c>
      <c r="MON13" s="314" t="s">
        <v>203</v>
      </c>
      <c r="MOO13" s="314" t="s">
        <v>203</v>
      </c>
      <c r="MOP13" s="314" t="s">
        <v>203</v>
      </c>
      <c r="MOQ13" s="314" t="s">
        <v>203</v>
      </c>
      <c r="MOR13" s="314" t="s">
        <v>203</v>
      </c>
      <c r="MOS13" s="314" t="s">
        <v>203</v>
      </c>
      <c r="MOT13" s="314" t="s">
        <v>203</v>
      </c>
      <c r="MOU13" s="314" t="s">
        <v>203</v>
      </c>
      <c r="MOV13" s="314" t="s">
        <v>203</v>
      </c>
      <c r="MOW13" s="314" t="s">
        <v>203</v>
      </c>
      <c r="MOX13" s="314" t="s">
        <v>203</v>
      </c>
      <c r="MOY13" s="314" t="s">
        <v>203</v>
      </c>
      <c r="MOZ13" s="314" t="s">
        <v>203</v>
      </c>
      <c r="MPA13" s="314" t="s">
        <v>203</v>
      </c>
      <c r="MPB13" s="314" t="s">
        <v>203</v>
      </c>
      <c r="MPC13" s="314" t="s">
        <v>203</v>
      </c>
      <c r="MPD13" s="314" t="s">
        <v>203</v>
      </c>
      <c r="MPE13" s="314" t="s">
        <v>203</v>
      </c>
      <c r="MPF13" s="314" t="s">
        <v>203</v>
      </c>
      <c r="MPG13" s="314" t="s">
        <v>203</v>
      </c>
      <c r="MPH13" s="314" t="s">
        <v>203</v>
      </c>
      <c r="MPI13" s="314" t="s">
        <v>203</v>
      </c>
      <c r="MPJ13" s="314" t="s">
        <v>203</v>
      </c>
      <c r="MPK13" s="314" t="s">
        <v>203</v>
      </c>
      <c r="MPL13" s="314" t="s">
        <v>203</v>
      </c>
      <c r="MPM13" s="314" t="s">
        <v>203</v>
      </c>
      <c r="MPN13" s="314" t="s">
        <v>203</v>
      </c>
      <c r="MPO13" s="314" t="s">
        <v>203</v>
      </c>
      <c r="MPP13" s="314" t="s">
        <v>203</v>
      </c>
      <c r="MPQ13" s="314" t="s">
        <v>203</v>
      </c>
      <c r="MPR13" s="314" t="s">
        <v>203</v>
      </c>
      <c r="MPS13" s="314" t="s">
        <v>203</v>
      </c>
      <c r="MPT13" s="314" t="s">
        <v>203</v>
      </c>
      <c r="MPU13" s="314" t="s">
        <v>203</v>
      </c>
      <c r="MPV13" s="314" t="s">
        <v>203</v>
      </c>
      <c r="MPW13" s="314" t="s">
        <v>203</v>
      </c>
      <c r="MPX13" s="314" t="s">
        <v>203</v>
      </c>
      <c r="MPY13" s="314" t="s">
        <v>203</v>
      </c>
      <c r="MPZ13" s="314" t="s">
        <v>203</v>
      </c>
      <c r="MQA13" s="314" t="s">
        <v>203</v>
      </c>
      <c r="MQB13" s="314" t="s">
        <v>203</v>
      </c>
      <c r="MQC13" s="314" t="s">
        <v>203</v>
      </c>
      <c r="MQD13" s="314" t="s">
        <v>203</v>
      </c>
      <c r="MQE13" s="314" t="s">
        <v>203</v>
      </c>
      <c r="MQF13" s="314" t="s">
        <v>203</v>
      </c>
      <c r="MQG13" s="314" t="s">
        <v>203</v>
      </c>
      <c r="MQH13" s="314" t="s">
        <v>203</v>
      </c>
      <c r="MQI13" s="314" t="s">
        <v>203</v>
      </c>
      <c r="MQJ13" s="314" t="s">
        <v>203</v>
      </c>
      <c r="MQK13" s="314" t="s">
        <v>203</v>
      </c>
      <c r="MQL13" s="314" t="s">
        <v>203</v>
      </c>
      <c r="MQM13" s="314" t="s">
        <v>203</v>
      </c>
      <c r="MQN13" s="314" t="s">
        <v>203</v>
      </c>
      <c r="MQO13" s="314" t="s">
        <v>203</v>
      </c>
      <c r="MQP13" s="314" t="s">
        <v>203</v>
      </c>
      <c r="MQQ13" s="314" t="s">
        <v>203</v>
      </c>
      <c r="MQR13" s="314" t="s">
        <v>203</v>
      </c>
      <c r="MQS13" s="314" t="s">
        <v>203</v>
      </c>
      <c r="MQT13" s="314" t="s">
        <v>203</v>
      </c>
      <c r="MQU13" s="314" t="s">
        <v>203</v>
      </c>
      <c r="MQV13" s="314" t="s">
        <v>203</v>
      </c>
      <c r="MQW13" s="314" t="s">
        <v>203</v>
      </c>
      <c r="MQX13" s="314" t="s">
        <v>203</v>
      </c>
      <c r="MQY13" s="314" t="s">
        <v>203</v>
      </c>
      <c r="MQZ13" s="314" t="s">
        <v>203</v>
      </c>
      <c r="MRA13" s="314" t="s">
        <v>203</v>
      </c>
      <c r="MRB13" s="314" t="s">
        <v>203</v>
      </c>
      <c r="MRC13" s="314" t="s">
        <v>203</v>
      </c>
      <c r="MRD13" s="314" t="s">
        <v>203</v>
      </c>
      <c r="MRE13" s="314" t="s">
        <v>203</v>
      </c>
      <c r="MRF13" s="314" t="s">
        <v>203</v>
      </c>
      <c r="MRG13" s="314" t="s">
        <v>203</v>
      </c>
      <c r="MRH13" s="314" t="s">
        <v>203</v>
      </c>
      <c r="MRI13" s="314" t="s">
        <v>203</v>
      </c>
      <c r="MRJ13" s="314" t="s">
        <v>203</v>
      </c>
      <c r="MRK13" s="314" t="s">
        <v>203</v>
      </c>
      <c r="MRL13" s="314" t="s">
        <v>203</v>
      </c>
      <c r="MRM13" s="314" t="s">
        <v>203</v>
      </c>
      <c r="MRN13" s="314" t="s">
        <v>203</v>
      </c>
      <c r="MRO13" s="314" t="s">
        <v>203</v>
      </c>
      <c r="MRP13" s="314" t="s">
        <v>203</v>
      </c>
      <c r="MRQ13" s="314" t="s">
        <v>203</v>
      </c>
      <c r="MRR13" s="314" t="s">
        <v>203</v>
      </c>
      <c r="MRS13" s="314" t="s">
        <v>203</v>
      </c>
      <c r="MRT13" s="314" t="s">
        <v>203</v>
      </c>
      <c r="MRU13" s="314" t="s">
        <v>203</v>
      </c>
      <c r="MRV13" s="314" t="s">
        <v>203</v>
      </c>
      <c r="MRW13" s="314" t="s">
        <v>203</v>
      </c>
      <c r="MRX13" s="314" t="s">
        <v>203</v>
      </c>
      <c r="MRY13" s="314" t="s">
        <v>203</v>
      </c>
      <c r="MRZ13" s="314" t="s">
        <v>203</v>
      </c>
      <c r="MSA13" s="314" t="s">
        <v>203</v>
      </c>
      <c r="MSB13" s="314" t="s">
        <v>203</v>
      </c>
      <c r="MSC13" s="314" t="s">
        <v>203</v>
      </c>
      <c r="MSD13" s="314" t="s">
        <v>203</v>
      </c>
      <c r="MSE13" s="314" t="s">
        <v>203</v>
      </c>
      <c r="MSF13" s="314" t="s">
        <v>203</v>
      </c>
      <c r="MSG13" s="314" t="s">
        <v>203</v>
      </c>
      <c r="MSH13" s="314" t="s">
        <v>203</v>
      </c>
      <c r="MSI13" s="314" t="s">
        <v>203</v>
      </c>
      <c r="MSJ13" s="314" t="s">
        <v>203</v>
      </c>
      <c r="MSK13" s="314" t="s">
        <v>203</v>
      </c>
      <c r="MSL13" s="314" t="s">
        <v>203</v>
      </c>
      <c r="MSM13" s="314" t="s">
        <v>203</v>
      </c>
      <c r="MSN13" s="314" t="s">
        <v>203</v>
      </c>
      <c r="MSO13" s="314" t="s">
        <v>203</v>
      </c>
      <c r="MSP13" s="314" t="s">
        <v>203</v>
      </c>
      <c r="MSQ13" s="314" t="s">
        <v>203</v>
      </c>
      <c r="MSR13" s="314" t="s">
        <v>203</v>
      </c>
      <c r="MSS13" s="314" t="s">
        <v>203</v>
      </c>
      <c r="MST13" s="314" t="s">
        <v>203</v>
      </c>
      <c r="MSU13" s="314" t="s">
        <v>203</v>
      </c>
      <c r="MSV13" s="314" t="s">
        <v>203</v>
      </c>
      <c r="MSW13" s="314" t="s">
        <v>203</v>
      </c>
      <c r="MSX13" s="314" t="s">
        <v>203</v>
      </c>
      <c r="MSY13" s="314" t="s">
        <v>203</v>
      </c>
      <c r="MSZ13" s="314" t="s">
        <v>203</v>
      </c>
      <c r="MTA13" s="314" t="s">
        <v>203</v>
      </c>
      <c r="MTB13" s="314" t="s">
        <v>203</v>
      </c>
      <c r="MTC13" s="314" t="s">
        <v>203</v>
      </c>
      <c r="MTD13" s="314" t="s">
        <v>203</v>
      </c>
      <c r="MTE13" s="314" t="s">
        <v>203</v>
      </c>
      <c r="MTF13" s="314" t="s">
        <v>203</v>
      </c>
      <c r="MTG13" s="314" t="s">
        <v>203</v>
      </c>
      <c r="MTH13" s="314" t="s">
        <v>203</v>
      </c>
      <c r="MTI13" s="314" t="s">
        <v>203</v>
      </c>
      <c r="MTJ13" s="314" t="s">
        <v>203</v>
      </c>
      <c r="MTK13" s="314" t="s">
        <v>203</v>
      </c>
      <c r="MTL13" s="314" t="s">
        <v>203</v>
      </c>
      <c r="MTM13" s="314" t="s">
        <v>203</v>
      </c>
      <c r="MTN13" s="314" t="s">
        <v>203</v>
      </c>
      <c r="MTO13" s="314" t="s">
        <v>203</v>
      </c>
      <c r="MTP13" s="314" t="s">
        <v>203</v>
      </c>
      <c r="MTQ13" s="314" t="s">
        <v>203</v>
      </c>
      <c r="MTR13" s="314" t="s">
        <v>203</v>
      </c>
      <c r="MTS13" s="314" t="s">
        <v>203</v>
      </c>
      <c r="MTT13" s="314" t="s">
        <v>203</v>
      </c>
      <c r="MTU13" s="314" t="s">
        <v>203</v>
      </c>
      <c r="MTV13" s="314" t="s">
        <v>203</v>
      </c>
      <c r="MTW13" s="314" t="s">
        <v>203</v>
      </c>
      <c r="MTX13" s="314" t="s">
        <v>203</v>
      </c>
      <c r="MTY13" s="314" t="s">
        <v>203</v>
      </c>
      <c r="MTZ13" s="314" t="s">
        <v>203</v>
      </c>
      <c r="MUA13" s="314" t="s">
        <v>203</v>
      </c>
      <c r="MUB13" s="314" t="s">
        <v>203</v>
      </c>
      <c r="MUC13" s="314" t="s">
        <v>203</v>
      </c>
      <c r="MUD13" s="314" t="s">
        <v>203</v>
      </c>
      <c r="MUE13" s="314" t="s">
        <v>203</v>
      </c>
      <c r="MUF13" s="314" t="s">
        <v>203</v>
      </c>
      <c r="MUG13" s="314" t="s">
        <v>203</v>
      </c>
      <c r="MUH13" s="314" t="s">
        <v>203</v>
      </c>
      <c r="MUI13" s="314" t="s">
        <v>203</v>
      </c>
      <c r="MUJ13" s="314" t="s">
        <v>203</v>
      </c>
      <c r="MUK13" s="314" t="s">
        <v>203</v>
      </c>
      <c r="MUL13" s="314" t="s">
        <v>203</v>
      </c>
      <c r="MUM13" s="314" t="s">
        <v>203</v>
      </c>
      <c r="MUN13" s="314" t="s">
        <v>203</v>
      </c>
      <c r="MUO13" s="314" t="s">
        <v>203</v>
      </c>
      <c r="MUP13" s="314" t="s">
        <v>203</v>
      </c>
      <c r="MUQ13" s="314" t="s">
        <v>203</v>
      </c>
      <c r="MUR13" s="314" t="s">
        <v>203</v>
      </c>
      <c r="MUS13" s="314" t="s">
        <v>203</v>
      </c>
      <c r="MUT13" s="314" t="s">
        <v>203</v>
      </c>
      <c r="MUU13" s="314" t="s">
        <v>203</v>
      </c>
      <c r="MUV13" s="314" t="s">
        <v>203</v>
      </c>
      <c r="MUW13" s="314" t="s">
        <v>203</v>
      </c>
      <c r="MUX13" s="314" t="s">
        <v>203</v>
      </c>
      <c r="MUY13" s="314" t="s">
        <v>203</v>
      </c>
      <c r="MUZ13" s="314" t="s">
        <v>203</v>
      </c>
      <c r="MVA13" s="314" t="s">
        <v>203</v>
      </c>
      <c r="MVB13" s="314" t="s">
        <v>203</v>
      </c>
      <c r="MVC13" s="314" t="s">
        <v>203</v>
      </c>
      <c r="MVD13" s="314" t="s">
        <v>203</v>
      </c>
      <c r="MVE13" s="314" t="s">
        <v>203</v>
      </c>
      <c r="MVF13" s="314" t="s">
        <v>203</v>
      </c>
      <c r="MVG13" s="314" t="s">
        <v>203</v>
      </c>
      <c r="MVH13" s="314" t="s">
        <v>203</v>
      </c>
      <c r="MVI13" s="314" t="s">
        <v>203</v>
      </c>
      <c r="MVJ13" s="314" t="s">
        <v>203</v>
      </c>
      <c r="MVK13" s="314" t="s">
        <v>203</v>
      </c>
      <c r="MVL13" s="314" t="s">
        <v>203</v>
      </c>
      <c r="MVM13" s="314" t="s">
        <v>203</v>
      </c>
      <c r="MVN13" s="314" t="s">
        <v>203</v>
      </c>
      <c r="MVO13" s="314" t="s">
        <v>203</v>
      </c>
      <c r="MVP13" s="314" t="s">
        <v>203</v>
      </c>
      <c r="MVQ13" s="314" t="s">
        <v>203</v>
      </c>
      <c r="MVR13" s="314" t="s">
        <v>203</v>
      </c>
      <c r="MVS13" s="314" t="s">
        <v>203</v>
      </c>
      <c r="MVT13" s="314" t="s">
        <v>203</v>
      </c>
      <c r="MVU13" s="314" t="s">
        <v>203</v>
      </c>
      <c r="MVV13" s="314" t="s">
        <v>203</v>
      </c>
      <c r="MVW13" s="314" t="s">
        <v>203</v>
      </c>
      <c r="MVX13" s="314" t="s">
        <v>203</v>
      </c>
      <c r="MVY13" s="314" t="s">
        <v>203</v>
      </c>
      <c r="MVZ13" s="314" t="s">
        <v>203</v>
      </c>
      <c r="MWA13" s="314" t="s">
        <v>203</v>
      </c>
      <c r="MWB13" s="314" t="s">
        <v>203</v>
      </c>
      <c r="MWC13" s="314" t="s">
        <v>203</v>
      </c>
      <c r="MWD13" s="314" t="s">
        <v>203</v>
      </c>
      <c r="MWE13" s="314" t="s">
        <v>203</v>
      </c>
      <c r="MWF13" s="314" t="s">
        <v>203</v>
      </c>
      <c r="MWG13" s="314" t="s">
        <v>203</v>
      </c>
      <c r="MWH13" s="314" t="s">
        <v>203</v>
      </c>
      <c r="MWI13" s="314" t="s">
        <v>203</v>
      </c>
      <c r="MWJ13" s="314" t="s">
        <v>203</v>
      </c>
      <c r="MWK13" s="314" t="s">
        <v>203</v>
      </c>
      <c r="MWL13" s="314" t="s">
        <v>203</v>
      </c>
      <c r="MWM13" s="314" t="s">
        <v>203</v>
      </c>
      <c r="MWN13" s="314" t="s">
        <v>203</v>
      </c>
      <c r="MWO13" s="314" t="s">
        <v>203</v>
      </c>
      <c r="MWP13" s="314" t="s">
        <v>203</v>
      </c>
      <c r="MWQ13" s="314" t="s">
        <v>203</v>
      </c>
      <c r="MWR13" s="314" t="s">
        <v>203</v>
      </c>
      <c r="MWS13" s="314" t="s">
        <v>203</v>
      </c>
      <c r="MWT13" s="314" t="s">
        <v>203</v>
      </c>
      <c r="MWU13" s="314" t="s">
        <v>203</v>
      </c>
      <c r="MWV13" s="314" t="s">
        <v>203</v>
      </c>
      <c r="MWW13" s="314" t="s">
        <v>203</v>
      </c>
      <c r="MWX13" s="314" t="s">
        <v>203</v>
      </c>
      <c r="MWY13" s="314" t="s">
        <v>203</v>
      </c>
      <c r="MWZ13" s="314" t="s">
        <v>203</v>
      </c>
      <c r="MXA13" s="314" t="s">
        <v>203</v>
      </c>
      <c r="MXB13" s="314" t="s">
        <v>203</v>
      </c>
      <c r="MXC13" s="314" t="s">
        <v>203</v>
      </c>
      <c r="MXD13" s="314" t="s">
        <v>203</v>
      </c>
      <c r="MXE13" s="314" t="s">
        <v>203</v>
      </c>
      <c r="MXF13" s="314" t="s">
        <v>203</v>
      </c>
      <c r="MXG13" s="314" t="s">
        <v>203</v>
      </c>
      <c r="MXH13" s="314" t="s">
        <v>203</v>
      </c>
      <c r="MXI13" s="314" t="s">
        <v>203</v>
      </c>
      <c r="MXJ13" s="314" t="s">
        <v>203</v>
      </c>
      <c r="MXK13" s="314" t="s">
        <v>203</v>
      </c>
      <c r="MXL13" s="314" t="s">
        <v>203</v>
      </c>
      <c r="MXM13" s="314" t="s">
        <v>203</v>
      </c>
      <c r="MXN13" s="314" t="s">
        <v>203</v>
      </c>
      <c r="MXO13" s="314" t="s">
        <v>203</v>
      </c>
      <c r="MXP13" s="314" t="s">
        <v>203</v>
      </c>
      <c r="MXQ13" s="314" t="s">
        <v>203</v>
      </c>
      <c r="MXR13" s="314" t="s">
        <v>203</v>
      </c>
      <c r="MXS13" s="314" t="s">
        <v>203</v>
      </c>
      <c r="MXT13" s="314" t="s">
        <v>203</v>
      </c>
      <c r="MXU13" s="314" t="s">
        <v>203</v>
      </c>
      <c r="MXV13" s="314" t="s">
        <v>203</v>
      </c>
      <c r="MXW13" s="314" t="s">
        <v>203</v>
      </c>
      <c r="MXX13" s="314" t="s">
        <v>203</v>
      </c>
      <c r="MXY13" s="314" t="s">
        <v>203</v>
      </c>
      <c r="MXZ13" s="314" t="s">
        <v>203</v>
      </c>
      <c r="MYA13" s="314" t="s">
        <v>203</v>
      </c>
      <c r="MYB13" s="314" t="s">
        <v>203</v>
      </c>
      <c r="MYC13" s="314" t="s">
        <v>203</v>
      </c>
      <c r="MYD13" s="314" t="s">
        <v>203</v>
      </c>
      <c r="MYE13" s="314" t="s">
        <v>203</v>
      </c>
      <c r="MYF13" s="314" t="s">
        <v>203</v>
      </c>
      <c r="MYG13" s="314" t="s">
        <v>203</v>
      </c>
      <c r="MYH13" s="314" t="s">
        <v>203</v>
      </c>
      <c r="MYI13" s="314" t="s">
        <v>203</v>
      </c>
      <c r="MYJ13" s="314" t="s">
        <v>203</v>
      </c>
      <c r="MYK13" s="314" t="s">
        <v>203</v>
      </c>
      <c r="MYL13" s="314" t="s">
        <v>203</v>
      </c>
      <c r="MYM13" s="314" t="s">
        <v>203</v>
      </c>
      <c r="MYN13" s="314" t="s">
        <v>203</v>
      </c>
      <c r="MYO13" s="314" t="s">
        <v>203</v>
      </c>
      <c r="MYP13" s="314" t="s">
        <v>203</v>
      </c>
      <c r="MYQ13" s="314" t="s">
        <v>203</v>
      </c>
      <c r="MYR13" s="314" t="s">
        <v>203</v>
      </c>
      <c r="MYS13" s="314" t="s">
        <v>203</v>
      </c>
      <c r="MYT13" s="314" t="s">
        <v>203</v>
      </c>
      <c r="MYU13" s="314" t="s">
        <v>203</v>
      </c>
      <c r="MYV13" s="314" t="s">
        <v>203</v>
      </c>
      <c r="MYW13" s="314" t="s">
        <v>203</v>
      </c>
      <c r="MYX13" s="314" t="s">
        <v>203</v>
      </c>
      <c r="MYY13" s="314" t="s">
        <v>203</v>
      </c>
      <c r="MYZ13" s="314" t="s">
        <v>203</v>
      </c>
      <c r="MZA13" s="314" t="s">
        <v>203</v>
      </c>
      <c r="MZB13" s="314" t="s">
        <v>203</v>
      </c>
      <c r="MZC13" s="314" t="s">
        <v>203</v>
      </c>
      <c r="MZD13" s="314" t="s">
        <v>203</v>
      </c>
      <c r="MZE13" s="314" t="s">
        <v>203</v>
      </c>
      <c r="MZF13" s="314" t="s">
        <v>203</v>
      </c>
      <c r="MZG13" s="314" t="s">
        <v>203</v>
      </c>
      <c r="MZH13" s="314" t="s">
        <v>203</v>
      </c>
      <c r="MZI13" s="314" t="s">
        <v>203</v>
      </c>
      <c r="MZJ13" s="314" t="s">
        <v>203</v>
      </c>
      <c r="MZK13" s="314" t="s">
        <v>203</v>
      </c>
      <c r="MZL13" s="314" t="s">
        <v>203</v>
      </c>
      <c r="MZM13" s="314" t="s">
        <v>203</v>
      </c>
      <c r="MZN13" s="314" t="s">
        <v>203</v>
      </c>
      <c r="MZO13" s="314" t="s">
        <v>203</v>
      </c>
      <c r="MZP13" s="314" t="s">
        <v>203</v>
      </c>
      <c r="MZQ13" s="314" t="s">
        <v>203</v>
      </c>
      <c r="MZR13" s="314" t="s">
        <v>203</v>
      </c>
      <c r="MZS13" s="314" t="s">
        <v>203</v>
      </c>
      <c r="MZT13" s="314" t="s">
        <v>203</v>
      </c>
      <c r="MZU13" s="314" t="s">
        <v>203</v>
      </c>
      <c r="MZV13" s="314" t="s">
        <v>203</v>
      </c>
      <c r="MZW13" s="314" t="s">
        <v>203</v>
      </c>
      <c r="MZX13" s="314" t="s">
        <v>203</v>
      </c>
      <c r="MZY13" s="314" t="s">
        <v>203</v>
      </c>
      <c r="MZZ13" s="314" t="s">
        <v>203</v>
      </c>
      <c r="NAA13" s="314" t="s">
        <v>203</v>
      </c>
      <c r="NAB13" s="314" t="s">
        <v>203</v>
      </c>
      <c r="NAC13" s="314" t="s">
        <v>203</v>
      </c>
      <c r="NAD13" s="314" t="s">
        <v>203</v>
      </c>
      <c r="NAE13" s="314" t="s">
        <v>203</v>
      </c>
      <c r="NAF13" s="314" t="s">
        <v>203</v>
      </c>
      <c r="NAG13" s="314" t="s">
        <v>203</v>
      </c>
      <c r="NAH13" s="314" t="s">
        <v>203</v>
      </c>
      <c r="NAI13" s="314" t="s">
        <v>203</v>
      </c>
      <c r="NAJ13" s="314" t="s">
        <v>203</v>
      </c>
      <c r="NAK13" s="314" t="s">
        <v>203</v>
      </c>
      <c r="NAL13" s="314" t="s">
        <v>203</v>
      </c>
      <c r="NAM13" s="314" t="s">
        <v>203</v>
      </c>
      <c r="NAN13" s="314" t="s">
        <v>203</v>
      </c>
      <c r="NAO13" s="314" t="s">
        <v>203</v>
      </c>
      <c r="NAP13" s="314" t="s">
        <v>203</v>
      </c>
      <c r="NAQ13" s="314" t="s">
        <v>203</v>
      </c>
      <c r="NAR13" s="314" t="s">
        <v>203</v>
      </c>
      <c r="NAS13" s="314" t="s">
        <v>203</v>
      </c>
      <c r="NAT13" s="314" t="s">
        <v>203</v>
      </c>
      <c r="NAU13" s="314" t="s">
        <v>203</v>
      </c>
      <c r="NAV13" s="314" t="s">
        <v>203</v>
      </c>
      <c r="NAW13" s="314" t="s">
        <v>203</v>
      </c>
      <c r="NAX13" s="314" t="s">
        <v>203</v>
      </c>
      <c r="NAY13" s="314" t="s">
        <v>203</v>
      </c>
      <c r="NAZ13" s="314" t="s">
        <v>203</v>
      </c>
      <c r="NBA13" s="314" t="s">
        <v>203</v>
      </c>
      <c r="NBB13" s="314" t="s">
        <v>203</v>
      </c>
      <c r="NBC13" s="314" t="s">
        <v>203</v>
      </c>
      <c r="NBD13" s="314" t="s">
        <v>203</v>
      </c>
      <c r="NBE13" s="314" t="s">
        <v>203</v>
      </c>
      <c r="NBF13" s="314" t="s">
        <v>203</v>
      </c>
      <c r="NBG13" s="314" t="s">
        <v>203</v>
      </c>
      <c r="NBH13" s="314" t="s">
        <v>203</v>
      </c>
      <c r="NBI13" s="314" t="s">
        <v>203</v>
      </c>
      <c r="NBJ13" s="314" t="s">
        <v>203</v>
      </c>
      <c r="NBK13" s="314" t="s">
        <v>203</v>
      </c>
      <c r="NBL13" s="314" t="s">
        <v>203</v>
      </c>
      <c r="NBM13" s="314" t="s">
        <v>203</v>
      </c>
      <c r="NBN13" s="314" t="s">
        <v>203</v>
      </c>
      <c r="NBO13" s="314" t="s">
        <v>203</v>
      </c>
      <c r="NBP13" s="314" t="s">
        <v>203</v>
      </c>
      <c r="NBQ13" s="314" t="s">
        <v>203</v>
      </c>
      <c r="NBR13" s="314" t="s">
        <v>203</v>
      </c>
      <c r="NBS13" s="314" t="s">
        <v>203</v>
      </c>
      <c r="NBT13" s="314" t="s">
        <v>203</v>
      </c>
      <c r="NBU13" s="314" t="s">
        <v>203</v>
      </c>
      <c r="NBV13" s="314" t="s">
        <v>203</v>
      </c>
      <c r="NBW13" s="314" t="s">
        <v>203</v>
      </c>
      <c r="NBX13" s="314" t="s">
        <v>203</v>
      </c>
      <c r="NBY13" s="314" t="s">
        <v>203</v>
      </c>
      <c r="NBZ13" s="314" t="s">
        <v>203</v>
      </c>
      <c r="NCA13" s="314" t="s">
        <v>203</v>
      </c>
      <c r="NCB13" s="314" t="s">
        <v>203</v>
      </c>
      <c r="NCC13" s="314" t="s">
        <v>203</v>
      </c>
      <c r="NCD13" s="314" t="s">
        <v>203</v>
      </c>
      <c r="NCE13" s="314" t="s">
        <v>203</v>
      </c>
      <c r="NCF13" s="314" t="s">
        <v>203</v>
      </c>
      <c r="NCG13" s="314" t="s">
        <v>203</v>
      </c>
      <c r="NCH13" s="314" t="s">
        <v>203</v>
      </c>
      <c r="NCI13" s="314" t="s">
        <v>203</v>
      </c>
      <c r="NCJ13" s="314" t="s">
        <v>203</v>
      </c>
      <c r="NCK13" s="314" t="s">
        <v>203</v>
      </c>
      <c r="NCL13" s="314" t="s">
        <v>203</v>
      </c>
      <c r="NCM13" s="314" t="s">
        <v>203</v>
      </c>
      <c r="NCN13" s="314" t="s">
        <v>203</v>
      </c>
      <c r="NCO13" s="314" t="s">
        <v>203</v>
      </c>
      <c r="NCP13" s="314" t="s">
        <v>203</v>
      </c>
      <c r="NCQ13" s="314" t="s">
        <v>203</v>
      </c>
      <c r="NCR13" s="314" t="s">
        <v>203</v>
      </c>
      <c r="NCS13" s="314" t="s">
        <v>203</v>
      </c>
      <c r="NCT13" s="314" t="s">
        <v>203</v>
      </c>
      <c r="NCU13" s="314" t="s">
        <v>203</v>
      </c>
      <c r="NCV13" s="314" t="s">
        <v>203</v>
      </c>
      <c r="NCW13" s="314" t="s">
        <v>203</v>
      </c>
      <c r="NCX13" s="314" t="s">
        <v>203</v>
      </c>
      <c r="NCY13" s="314" t="s">
        <v>203</v>
      </c>
      <c r="NCZ13" s="314" t="s">
        <v>203</v>
      </c>
      <c r="NDA13" s="314" t="s">
        <v>203</v>
      </c>
      <c r="NDB13" s="314" t="s">
        <v>203</v>
      </c>
      <c r="NDC13" s="314" t="s">
        <v>203</v>
      </c>
      <c r="NDD13" s="314" t="s">
        <v>203</v>
      </c>
      <c r="NDE13" s="314" t="s">
        <v>203</v>
      </c>
      <c r="NDF13" s="314" t="s">
        <v>203</v>
      </c>
      <c r="NDG13" s="314" t="s">
        <v>203</v>
      </c>
      <c r="NDH13" s="314" t="s">
        <v>203</v>
      </c>
      <c r="NDI13" s="314" t="s">
        <v>203</v>
      </c>
      <c r="NDJ13" s="314" t="s">
        <v>203</v>
      </c>
      <c r="NDK13" s="314" t="s">
        <v>203</v>
      </c>
      <c r="NDL13" s="314" t="s">
        <v>203</v>
      </c>
      <c r="NDM13" s="314" t="s">
        <v>203</v>
      </c>
      <c r="NDN13" s="314" t="s">
        <v>203</v>
      </c>
      <c r="NDO13" s="314" t="s">
        <v>203</v>
      </c>
      <c r="NDP13" s="314" t="s">
        <v>203</v>
      </c>
      <c r="NDQ13" s="314" t="s">
        <v>203</v>
      </c>
      <c r="NDR13" s="314" t="s">
        <v>203</v>
      </c>
      <c r="NDS13" s="314" t="s">
        <v>203</v>
      </c>
      <c r="NDT13" s="314" t="s">
        <v>203</v>
      </c>
      <c r="NDU13" s="314" t="s">
        <v>203</v>
      </c>
      <c r="NDV13" s="314" t="s">
        <v>203</v>
      </c>
      <c r="NDW13" s="314" t="s">
        <v>203</v>
      </c>
      <c r="NDX13" s="314" t="s">
        <v>203</v>
      </c>
      <c r="NDY13" s="314" t="s">
        <v>203</v>
      </c>
      <c r="NDZ13" s="314" t="s">
        <v>203</v>
      </c>
      <c r="NEA13" s="314" t="s">
        <v>203</v>
      </c>
      <c r="NEB13" s="314" t="s">
        <v>203</v>
      </c>
      <c r="NEC13" s="314" t="s">
        <v>203</v>
      </c>
      <c r="NED13" s="314" t="s">
        <v>203</v>
      </c>
      <c r="NEE13" s="314" t="s">
        <v>203</v>
      </c>
      <c r="NEF13" s="314" t="s">
        <v>203</v>
      </c>
      <c r="NEG13" s="314" t="s">
        <v>203</v>
      </c>
      <c r="NEH13" s="314" t="s">
        <v>203</v>
      </c>
      <c r="NEI13" s="314" t="s">
        <v>203</v>
      </c>
      <c r="NEJ13" s="314" t="s">
        <v>203</v>
      </c>
      <c r="NEK13" s="314" t="s">
        <v>203</v>
      </c>
      <c r="NEL13" s="314" t="s">
        <v>203</v>
      </c>
      <c r="NEM13" s="314" t="s">
        <v>203</v>
      </c>
      <c r="NEN13" s="314" t="s">
        <v>203</v>
      </c>
      <c r="NEO13" s="314" t="s">
        <v>203</v>
      </c>
      <c r="NEP13" s="314" t="s">
        <v>203</v>
      </c>
      <c r="NEQ13" s="314" t="s">
        <v>203</v>
      </c>
      <c r="NER13" s="314" t="s">
        <v>203</v>
      </c>
      <c r="NES13" s="314" t="s">
        <v>203</v>
      </c>
      <c r="NET13" s="314" t="s">
        <v>203</v>
      </c>
      <c r="NEU13" s="314" t="s">
        <v>203</v>
      </c>
      <c r="NEV13" s="314" t="s">
        <v>203</v>
      </c>
      <c r="NEW13" s="314" t="s">
        <v>203</v>
      </c>
      <c r="NEX13" s="314" t="s">
        <v>203</v>
      </c>
      <c r="NEY13" s="314" t="s">
        <v>203</v>
      </c>
      <c r="NEZ13" s="314" t="s">
        <v>203</v>
      </c>
      <c r="NFA13" s="314" t="s">
        <v>203</v>
      </c>
      <c r="NFB13" s="314" t="s">
        <v>203</v>
      </c>
      <c r="NFC13" s="314" t="s">
        <v>203</v>
      </c>
      <c r="NFD13" s="314" t="s">
        <v>203</v>
      </c>
      <c r="NFE13" s="314" t="s">
        <v>203</v>
      </c>
      <c r="NFF13" s="314" t="s">
        <v>203</v>
      </c>
      <c r="NFG13" s="314" t="s">
        <v>203</v>
      </c>
      <c r="NFH13" s="314" t="s">
        <v>203</v>
      </c>
      <c r="NFI13" s="314" t="s">
        <v>203</v>
      </c>
      <c r="NFJ13" s="314" t="s">
        <v>203</v>
      </c>
      <c r="NFK13" s="314" t="s">
        <v>203</v>
      </c>
      <c r="NFL13" s="314" t="s">
        <v>203</v>
      </c>
      <c r="NFM13" s="314" t="s">
        <v>203</v>
      </c>
      <c r="NFN13" s="314" t="s">
        <v>203</v>
      </c>
      <c r="NFO13" s="314" t="s">
        <v>203</v>
      </c>
      <c r="NFP13" s="314" t="s">
        <v>203</v>
      </c>
      <c r="NFQ13" s="314" t="s">
        <v>203</v>
      </c>
      <c r="NFR13" s="314" t="s">
        <v>203</v>
      </c>
      <c r="NFS13" s="314" t="s">
        <v>203</v>
      </c>
      <c r="NFT13" s="314" t="s">
        <v>203</v>
      </c>
      <c r="NFU13" s="314" t="s">
        <v>203</v>
      </c>
      <c r="NFV13" s="314" t="s">
        <v>203</v>
      </c>
      <c r="NFW13" s="314" t="s">
        <v>203</v>
      </c>
      <c r="NFX13" s="314" t="s">
        <v>203</v>
      </c>
      <c r="NFY13" s="314" t="s">
        <v>203</v>
      </c>
      <c r="NFZ13" s="314" t="s">
        <v>203</v>
      </c>
      <c r="NGA13" s="314" t="s">
        <v>203</v>
      </c>
      <c r="NGB13" s="314" t="s">
        <v>203</v>
      </c>
      <c r="NGC13" s="314" t="s">
        <v>203</v>
      </c>
      <c r="NGD13" s="314" t="s">
        <v>203</v>
      </c>
      <c r="NGE13" s="314" t="s">
        <v>203</v>
      </c>
      <c r="NGF13" s="314" t="s">
        <v>203</v>
      </c>
      <c r="NGG13" s="314" t="s">
        <v>203</v>
      </c>
      <c r="NGH13" s="314" t="s">
        <v>203</v>
      </c>
      <c r="NGI13" s="314" t="s">
        <v>203</v>
      </c>
      <c r="NGJ13" s="314" t="s">
        <v>203</v>
      </c>
      <c r="NGK13" s="314" t="s">
        <v>203</v>
      </c>
      <c r="NGL13" s="314" t="s">
        <v>203</v>
      </c>
      <c r="NGM13" s="314" t="s">
        <v>203</v>
      </c>
      <c r="NGN13" s="314" t="s">
        <v>203</v>
      </c>
      <c r="NGO13" s="314" t="s">
        <v>203</v>
      </c>
      <c r="NGP13" s="314" t="s">
        <v>203</v>
      </c>
      <c r="NGQ13" s="314" t="s">
        <v>203</v>
      </c>
      <c r="NGR13" s="314" t="s">
        <v>203</v>
      </c>
      <c r="NGS13" s="314" t="s">
        <v>203</v>
      </c>
      <c r="NGT13" s="314" t="s">
        <v>203</v>
      </c>
      <c r="NGU13" s="314" t="s">
        <v>203</v>
      </c>
      <c r="NGV13" s="314" t="s">
        <v>203</v>
      </c>
      <c r="NGW13" s="314" t="s">
        <v>203</v>
      </c>
      <c r="NGX13" s="314" t="s">
        <v>203</v>
      </c>
      <c r="NGY13" s="314" t="s">
        <v>203</v>
      </c>
      <c r="NGZ13" s="314" t="s">
        <v>203</v>
      </c>
      <c r="NHA13" s="314" t="s">
        <v>203</v>
      </c>
      <c r="NHB13" s="314" t="s">
        <v>203</v>
      </c>
      <c r="NHC13" s="314" t="s">
        <v>203</v>
      </c>
      <c r="NHD13" s="314" t="s">
        <v>203</v>
      </c>
      <c r="NHE13" s="314" t="s">
        <v>203</v>
      </c>
      <c r="NHF13" s="314" t="s">
        <v>203</v>
      </c>
      <c r="NHG13" s="314" t="s">
        <v>203</v>
      </c>
      <c r="NHH13" s="314" t="s">
        <v>203</v>
      </c>
      <c r="NHI13" s="314" t="s">
        <v>203</v>
      </c>
      <c r="NHJ13" s="314" t="s">
        <v>203</v>
      </c>
      <c r="NHK13" s="314" t="s">
        <v>203</v>
      </c>
      <c r="NHL13" s="314" t="s">
        <v>203</v>
      </c>
      <c r="NHM13" s="314" t="s">
        <v>203</v>
      </c>
      <c r="NHN13" s="314" t="s">
        <v>203</v>
      </c>
      <c r="NHO13" s="314" t="s">
        <v>203</v>
      </c>
      <c r="NHP13" s="314" t="s">
        <v>203</v>
      </c>
      <c r="NHQ13" s="314" t="s">
        <v>203</v>
      </c>
      <c r="NHR13" s="314" t="s">
        <v>203</v>
      </c>
      <c r="NHS13" s="314" t="s">
        <v>203</v>
      </c>
      <c r="NHT13" s="314" t="s">
        <v>203</v>
      </c>
      <c r="NHU13" s="314" t="s">
        <v>203</v>
      </c>
      <c r="NHV13" s="314" t="s">
        <v>203</v>
      </c>
      <c r="NHW13" s="314" t="s">
        <v>203</v>
      </c>
      <c r="NHX13" s="314" t="s">
        <v>203</v>
      </c>
      <c r="NHY13" s="314" t="s">
        <v>203</v>
      </c>
      <c r="NHZ13" s="314" t="s">
        <v>203</v>
      </c>
      <c r="NIA13" s="314" t="s">
        <v>203</v>
      </c>
      <c r="NIB13" s="314" t="s">
        <v>203</v>
      </c>
      <c r="NIC13" s="314" t="s">
        <v>203</v>
      </c>
      <c r="NID13" s="314" t="s">
        <v>203</v>
      </c>
      <c r="NIE13" s="314" t="s">
        <v>203</v>
      </c>
      <c r="NIF13" s="314" t="s">
        <v>203</v>
      </c>
      <c r="NIG13" s="314" t="s">
        <v>203</v>
      </c>
      <c r="NIH13" s="314" t="s">
        <v>203</v>
      </c>
      <c r="NII13" s="314" t="s">
        <v>203</v>
      </c>
      <c r="NIJ13" s="314" t="s">
        <v>203</v>
      </c>
      <c r="NIK13" s="314" t="s">
        <v>203</v>
      </c>
      <c r="NIL13" s="314" t="s">
        <v>203</v>
      </c>
      <c r="NIM13" s="314" t="s">
        <v>203</v>
      </c>
      <c r="NIN13" s="314" t="s">
        <v>203</v>
      </c>
      <c r="NIO13" s="314" t="s">
        <v>203</v>
      </c>
      <c r="NIP13" s="314" t="s">
        <v>203</v>
      </c>
      <c r="NIQ13" s="314" t="s">
        <v>203</v>
      </c>
      <c r="NIR13" s="314" t="s">
        <v>203</v>
      </c>
      <c r="NIS13" s="314" t="s">
        <v>203</v>
      </c>
      <c r="NIT13" s="314" t="s">
        <v>203</v>
      </c>
      <c r="NIU13" s="314" t="s">
        <v>203</v>
      </c>
      <c r="NIV13" s="314" t="s">
        <v>203</v>
      </c>
      <c r="NIW13" s="314" t="s">
        <v>203</v>
      </c>
      <c r="NIX13" s="314" t="s">
        <v>203</v>
      </c>
      <c r="NIY13" s="314" t="s">
        <v>203</v>
      </c>
      <c r="NIZ13" s="314" t="s">
        <v>203</v>
      </c>
      <c r="NJA13" s="314" t="s">
        <v>203</v>
      </c>
      <c r="NJB13" s="314" t="s">
        <v>203</v>
      </c>
      <c r="NJC13" s="314" t="s">
        <v>203</v>
      </c>
      <c r="NJD13" s="314" t="s">
        <v>203</v>
      </c>
      <c r="NJE13" s="314" t="s">
        <v>203</v>
      </c>
      <c r="NJF13" s="314" t="s">
        <v>203</v>
      </c>
      <c r="NJG13" s="314" t="s">
        <v>203</v>
      </c>
      <c r="NJH13" s="314" t="s">
        <v>203</v>
      </c>
      <c r="NJI13" s="314" t="s">
        <v>203</v>
      </c>
      <c r="NJJ13" s="314" t="s">
        <v>203</v>
      </c>
      <c r="NJK13" s="314" t="s">
        <v>203</v>
      </c>
      <c r="NJL13" s="314" t="s">
        <v>203</v>
      </c>
      <c r="NJM13" s="314" t="s">
        <v>203</v>
      </c>
      <c r="NJN13" s="314" t="s">
        <v>203</v>
      </c>
      <c r="NJO13" s="314" t="s">
        <v>203</v>
      </c>
      <c r="NJP13" s="314" t="s">
        <v>203</v>
      </c>
      <c r="NJQ13" s="314" t="s">
        <v>203</v>
      </c>
      <c r="NJR13" s="314" t="s">
        <v>203</v>
      </c>
      <c r="NJS13" s="314" t="s">
        <v>203</v>
      </c>
      <c r="NJT13" s="314" t="s">
        <v>203</v>
      </c>
      <c r="NJU13" s="314" t="s">
        <v>203</v>
      </c>
      <c r="NJV13" s="314" t="s">
        <v>203</v>
      </c>
      <c r="NJW13" s="314" t="s">
        <v>203</v>
      </c>
      <c r="NJX13" s="314" t="s">
        <v>203</v>
      </c>
      <c r="NJY13" s="314" t="s">
        <v>203</v>
      </c>
      <c r="NJZ13" s="314" t="s">
        <v>203</v>
      </c>
      <c r="NKA13" s="314" t="s">
        <v>203</v>
      </c>
      <c r="NKB13" s="314" t="s">
        <v>203</v>
      </c>
      <c r="NKC13" s="314" t="s">
        <v>203</v>
      </c>
      <c r="NKD13" s="314" t="s">
        <v>203</v>
      </c>
      <c r="NKE13" s="314" t="s">
        <v>203</v>
      </c>
      <c r="NKF13" s="314" t="s">
        <v>203</v>
      </c>
      <c r="NKG13" s="314" t="s">
        <v>203</v>
      </c>
      <c r="NKH13" s="314" t="s">
        <v>203</v>
      </c>
      <c r="NKI13" s="314" t="s">
        <v>203</v>
      </c>
      <c r="NKJ13" s="314" t="s">
        <v>203</v>
      </c>
      <c r="NKK13" s="314" t="s">
        <v>203</v>
      </c>
      <c r="NKL13" s="314" t="s">
        <v>203</v>
      </c>
      <c r="NKM13" s="314" t="s">
        <v>203</v>
      </c>
      <c r="NKN13" s="314" t="s">
        <v>203</v>
      </c>
      <c r="NKO13" s="314" t="s">
        <v>203</v>
      </c>
      <c r="NKP13" s="314" t="s">
        <v>203</v>
      </c>
      <c r="NKQ13" s="314" t="s">
        <v>203</v>
      </c>
      <c r="NKR13" s="314" t="s">
        <v>203</v>
      </c>
      <c r="NKS13" s="314" t="s">
        <v>203</v>
      </c>
      <c r="NKT13" s="314" t="s">
        <v>203</v>
      </c>
      <c r="NKU13" s="314" t="s">
        <v>203</v>
      </c>
      <c r="NKV13" s="314" t="s">
        <v>203</v>
      </c>
      <c r="NKW13" s="314" t="s">
        <v>203</v>
      </c>
      <c r="NKX13" s="314" t="s">
        <v>203</v>
      </c>
      <c r="NKY13" s="314" t="s">
        <v>203</v>
      </c>
      <c r="NKZ13" s="314" t="s">
        <v>203</v>
      </c>
      <c r="NLA13" s="314" t="s">
        <v>203</v>
      </c>
      <c r="NLB13" s="314" t="s">
        <v>203</v>
      </c>
      <c r="NLC13" s="314" t="s">
        <v>203</v>
      </c>
      <c r="NLD13" s="314" t="s">
        <v>203</v>
      </c>
      <c r="NLE13" s="314" t="s">
        <v>203</v>
      </c>
      <c r="NLF13" s="314" t="s">
        <v>203</v>
      </c>
      <c r="NLG13" s="314" t="s">
        <v>203</v>
      </c>
      <c r="NLH13" s="314" t="s">
        <v>203</v>
      </c>
      <c r="NLI13" s="314" t="s">
        <v>203</v>
      </c>
      <c r="NLJ13" s="314" t="s">
        <v>203</v>
      </c>
      <c r="NLK13" s="314" t="s">
        <v>203</v>
      </c>
      <c r="NLL13" s="314" t="s">
        <v>203</v>
      </c>
      <c r="NLM13" s="314" t="s">
        <v>203</v>
      </c>
      <c r="NLN13" s="314" t="s">
        <v>203</v>
      </c>
      <c r="NLO13" s="314" t="s">
        <v>203</v>
      </c>
      <c r="NLP13" s="314" t="s">
        <v>203</v>
      </c>
      <c r="NLQ13" s="314" t="s">
        <v>203</v>
      </c>
      <c r="NLR13" s="314" t="s">
        <v>203</v>
      </c>
      <c r="NLS13" s="314" t="s">
        <v>203</v>
      </c>
      <c r="NLT13" s="314" t="s">
        <v>203</v>
      </c>
      <c r="NLU13" s="314" t="s">
        <v>203</v>
      </c>
      <c r="NLV13" s="314" t="s">
        <v>203</v>
      </c>
      <c r="NLW13" s="314" t="s">
        <v>203</v>
      </c>
      <c r="NLX13" s="314" t="s">
        <v>203</v>
      </c>
      <c r="NLY13" s="314" t="s">
        <v>203</v>
      </c>
      <c r="NLZ13" s="314" t="s">
        <v>203</v>
      </c>
      <c r="NMA13" s="314" t="s">
        <v>203</v>
      </c>
      <c r="NMB13" s="314" t="s">
        <v>203</v>
      </c>
      <c r="NMC13" s="314" t="s">
        <v>203</v>
      </c>
      <c r="NMD13" s="314" t="s">
        <v>203</v>
      </c>
      <c r="NME13" s="314" t="s">
        <v>203</v>
      </c>
      <c r="NMF13" s="314" t="s">
        <v>203</v>
      </c>
      <c r="NMG13" s="314" t="s">
        <v>203</v>
      </c>
      <c r="NMH13" s="314" t="s">
        <v>203</v>
      </c>
      <c r="NMI13" s="314" t="s">
        <v>203</v>
      </c>
      <c r="NMJ13" s="314" t="s">
        <v>203</v>
      </c>
      <c r="NMK13" s="314" t="s">
        <v>203</v>
      </c>
      <c r="NML13" s="314" t="s">
        <v>203</v>
      </c>
      <c r="NMM13" s="314" t="s">
        <v>203</v>
      </c>
      <c r="NMN13" s="314" t="s">
        <v>203</v>
      </c>
      <c r="NMO13" s="314" t="s">
        <v>203</v>
      </c>
      <c r="NMP13" s="314" t="s">
        <v>203</v>
      </c>
      <c r="NMQ13" s="314" t="s">
        <v>203</v>
      </c>
      <c r="NMR13" s="314" t="s">
        <v>203</v>
      </c>
      <c r="NMS13" s="314" t="s">
        <v>203</v>
      </c>
      <c r="NMT13" s="314" t="s">
        <v>203</v>
      </c>
      <c r="NMU13" s="314" t="s">
        <v>203</v>
      </c>
      <c r="NMV13" s="314" t="s">
        <v>203</v>
      </c>
      <c r="NMW13" s="314" t="s">
        <v>203</v>
      </c>
      <c r="NMX13" s="314" t="s">
        <v>203</v>
      </c>
      <c r="NMY13" s="314" t="s">
        <v>203</v>
      </c>
      <c r="NMZ13" s="314" t="s">
        <v>203</v>
      </c>
      <c r="NNA13" s="314" t="s">
        <v>203</v>
      </c>
      <c r="NNB13" s="314" t="s">
        <v>203</v>
      </c>
      <c r="NNC13" s="314" t="s">
        <v>203</v>
      </c>
      <c r="NND13" s="314" t="s">
        <v>203</v>
      </c>
      <c r="NNE13" s="314" t="s">
        <v>203</v>
      </c>
      <c r="NNF13" s="314" t="s">
        <v>203</v>
      </c>
      <c r="NNG13" s="314" t="s">
        <v>203</v>
      </c>
      <c r="NNH13" s="314" t="s">
        <v>203</v>
      </c>
      <c r="NNI13" s="314" t="s">
        <v>203</v>
      </c>
      <c r="NNJ13" s="314" t="s">
        <v>203</v>
      </c>
      <c r="NNK13" s="314" t="s">
        <v>203</v>
      </c>
      <c r="NNL13" s="314" t="s">
        <v>203</v>
      </c>
      <c r="NNM13" s="314" t="s">
        <v>203</v>
      </c>
      <c r="NNN13" s="314" t="s">
        <v>203</v>
      </c>
      <c r="NNO13" s="314" t="s">
        <v>203</v>
      </c>
      <c r="NNP13" s="314" t="s">
        <v>203</v>
      </c>
      <c r="NNQ13" s="314" t="s">
        <v>203</v>
      </c>
      <c r="NNR13" s="314" t="s">
        <v>203</v>
      </c>
      <c r="NNS13" s="314" t="s">
        <v>203</v>
      </c>
      <c r="NNT13" s="314" t="s">
        <v>203</v>
      </c>
      <c r="NNU13" s="314" t="s">
        <v>203</v>
      </c>
      <c r="NNV13" s="314" t="s">
        <v>203</v>
      </c>
      <c r="NNW13" s="314" t="s">
        <v>203</v>
      </c>
      <c r="NNX13" s="314" t="s">
        <v>203</v>
      </c>
      <c r="NNY13" s="314" t="s">
        <v>203</v>
      </c>
      <c r="NNZ13" s="314" t="s">
        <v>203</v>
      </c>
      <c r="NOA13" s="314" t="s">
        <v>203</v>
      </c>
      <c r="NOB13" s="314" t="s">
        <v>203</v>
      </c>
      <c r="NOC13" s="314" t="s">
        <v>203</v>
      </c>
      <c r="NOD13" s="314" t="s">
        <v>203</v>
      </c>
      <c r="NOE13" s="314" t="s">
        <v>203</v>
      </c>
      <c r="NOF13" s="314" t="s">
        <v>203</v>
      </c>
      <c r="NOG13" s="314" t="s">
        <v>203</v>
      </c>
      <c r="NOH13" s="314" t="s">
        <v>203</v>
      </c>
      <c r="NOI13" s="314" t="s">
        <v>203</v>
      </c>
      <c r="NOJ13" s="314" t="s">
        <v>203</v>
      </c>
      <c r="NOK13" s="314" t="s">
        <v>203</v>
      </c>
      <c r="NOL13" s="314" t="s">
        <v>203</v>
      </c>
      <c r="NOM13" s="314" t="s">
        <v>203</v>
      </c>
      <c r="NON13" s="314" t="s">
        <v>203</v>
      </c>
      <c r="NOO13" s="314" t="s">
        <v>203</v>
      </c>
      <c r="NOP13" s="314" t="s">
        <v>203</v>
      </c>
      <c r="NOQ13" s="314" t="s">
        <v>203</v>
      </c>
      <c r="NOR13" s="314" t="s">
        <v>203</v>
      </c>
      <c r="NOS13" s="314" t="s">
        <v>203</v>
      </c>
      <c r="NOT13" s="314" t="s">
        <v>203</v>
      </c>
      <c r="NOU13" s="314" t="s">
        <v>203</v>
      </c>
      <c r="NOV13" s="314" t="s">
        <v>203</v>
      </c>
      <c r="NOW13" s="314" t="s">
        <v>203</v>
      </c>
      <c r="NOX13" s="314" t="s">
        <v>203</v>
      </c>
      <c r="NOY13" s="314" t="s">
        <v>203</v>
      </c>
      <c r="NOZ13" s="314" t="s">
        <v>203</v>
      </c>
      <c r="NPA13" s="314" t="s">
        <v>203</v>
      </c>
      <c r="NPB13" s="314" t="s">
        <v>203</v>
      </c>
      <c r="NPC13" s="314" t="s">
        <v>203</v>
      </c>
      <c r="NPD13" s="314" t="s">
        <v>203</v>
      </c>
      <c r="NPE13" s="314" t="s">
        <v>203</v>
      </c>
      <c r="NPF13" s="314" t="s">
        <v>203</v>
      </c>
      <c r="NPG13" s="314" t="s">
        <v>203</v>
      </c>
      <c r="NPH13" s="314" t="s">
        <v>203</v>
      </c>
      <c r="NPI13" s="314" t="s">
        <v>203</v>
      </c>
      <c r="NPJ13" s="314" t="s">
        <v>203</v>
      </c>
      <c r="NPK13" s="314" t="s">
        <v>203</v>
      </c>
      <c r="NPL13" s="314" t="s">
        <v>203</v>
      </c>
      <c r="NPM13" s="314" t="s">
        <v>203</v>
      </c>
      <c r="NPN13" s="314" t="s">
        <v>203</v>
      </c>
      <c r="NPO13" s="314" t="s">
        <v>203</v>
      </c>
      <c r="NPP13" s="314" t="s">
        <v>203</v>
      </c>
      <c r="NPQ13" s="314" t="s">
        <v>203</v>
      </c>
      <c r="NPR13" s="314" t="s">
        <v>203</v>
      </c>
      <c r="NPS13" s="314" t="s">
        <v>203</v>
      </c>
      <c r="NPT13" s="314" t="s">
        <v>203</v>
      </c>
      <c r="NPU13" s="314" t="s">
        <v>203</v>
      </c>
      <c r="NPV13" s="314" t="s">
        <v>203</v>
      </c>
      <c r="NPW13" s="314" t="s">
        <v>203</v>
      </c>
      <c r="NPX13" s="314" t="s">
        <v>203</v>
      </c>
      <c r="NPY13" s="314" t="s">
        <v>203</v>
      </c>
      <c r="NPZ13" s="314" t="s">
        <v>203</v>
      </c>
      <c r="NQA13" s="314" t="s">
        <v>203</v>
      </c>
      <c r="NQB13" s="314" t="s">
        <v>203</v>
      </c>
      <c r="NQC13" s="314" t="s">
        <v>203</v>
      </c>
      <c r="NQD13" s="314" t="s">
        <v>203</v>
      </c>
      <c r="NQE13" s="314" t="s">
        <v>203</v>
      </c>
      <c r="NQF13" s="314" t="s">
        <v>203</v>
      </c>
      <c r="NQG13" s="314" t="s">
        <v>203</v>
      </c>
      <c r="NQH13" s="314" t="s">
        <v>203</v>
      </c>
      <c r="NQI13" s="314" t="s">
        <v>203</v>
      </c>
      <c r="NQJ13" s="314" t="s">
        <v>203</v>
      </c>
      <c r="NQK13" s="314" t="s">
        <v>203</v>
      </c>
      <c r="NQL13" s="314" t="s">
        <v>203</v>
      </c>
      <c r="NQM13" s="314" t="s">
        <v>203</v>
      </c>
      <c r="NQN13" s="314" t="s">
        <v>203</v>
      </c>
      <c r="NQO13" s="314" t="s">
        <v>203</v>
      </c>
      <c r="NQP13" s="314" t="s">
        <v>203</v>
      </c>
      <c r="NQQ13" s="314" t="s">
        <v>203</v>
      </c>
      <c r="NQR13" s="314" t="s">
        <v>203</v>
      </c>
      <c r="NQS13" s="314" t="s">
        <v>203</v>
      </c>
      <c r="NQT13" s="314" t="s">
        <v>203</v>
      </c>
      <c r="NQU13" s="314" t="s">
        <v>203</v>
      </c>
      <c r="NQV13" s="314" t="s">
        <v>203</v>
      </c>
      <c r="NQW13" s="314" t="s">
        <v>203</v>
      </c>
      <c r="NQX13" s="314" t="s">
        <v>203</v>
      </c>
      <c r="NQY13" s="314" t="s">
        <v>203</v>
      </c>
      <c r="NQZ13" s="314" t="s">
        <v>203</v>
      </c>
      <c r="NRA13" s="314" t="s">
        <v>203</v>
      </c>
      <c r="NRB13" s="314" t="s">
        <v>203</v>
      </c>
      <c r="NRC13" s="314" t="s">
        <v>203</v>
      </c>
      <c r="NRD13" s="314" t="s">
        <v>203</v>
      </c>
      <c r="NRE13" s="314" t="s">
        <v>203</v>
      </c>
      <c r="NRF13" s="314" t="s">
        <v>203</v>
      </c>
      <c r="NRG13" s="314" t="s">
        <v>203</v>
      </c>
      <c r="NRH13" s="314" t="s">
        <v>203</v>
      </c>
      <c r="NRI13" s="314" t="s">
        <v>203</v>
      </c>
      <c r="NRJ13" s="314" t="s">
        <v>203</v>
      </c>
      <c r="NRK13" s="314" t="s">
        <v>203</v>
      </c>
      <c r="NRL13" s="314" t="s">
        <v>203</v>
      </c>
      <c r="NRM13" s="314" t="s">
        <v>203</v>
      </c>
      <c r="NRN13" s="314" t="s">
        <v>203</v>
      </c>
      <c r="NRO13" s="314" t="s">
        <v>203</v>
      </c>
      <c r="NRP13" s="314" t="s">
        <v>203</v>
      </c>
      <c r="NRQ13" s="314" t="s">
        <v>203</v>
      </c>
      <c r="NRR13" s="314" t="s">
        <v>203</v>
      </c>
      <c r="NRS13" s="314" t="s">
        <v>203</v>
      </c>
      <c r="NRT13" s="314" t="s">
        <v>203</v>
      </c>
      <c r="NRU13" s="314" t="s">
        <v>203</v>
      </c>
      <c r="NRV13" s="314" t="s">
        <v>203</v>
      </c>
      <c r="NRW13" s="314" t="s">
        <v>203</v>
      </c>
      <c r="NRX13" s="314" t="s">
        <v>203</v>
      </c>
      <c r="NRY13" s="314" t="s">
        <v>203</v>
      </c>
      <c r="NRZ13" s="314" t="s">
        <v>203</v>
      </c>
      <c r="NSA13" s="314" t="s">
        <v>203</v>
      </c>
      <c r="NSB13" s="314" t="s">
        <v>203</v>
      </c>
      <c r="NSC13" s="314" t="s">
        <v>203</v>
      </c>
      <c r="NSD13" s="314" t="s">
        <v>203</v>
      </c>
      <c r="NSE13" s="314" t="s">
        <v>203</v>
      </c>
      <c r="NSF13" s="314" t="s">
        <v>203</v>
      </c>
      <c r="NSG13" s="314" t="s">
        <v>203</v>
      </c>
      <c r="NSH13" s="314" t="s">
        <v>203</v>
      </c>
      <c r="NSI13" s="314" t="s">
        <v>203</v>
      </c>
      <c r="NSJ13" s="314" t="s">
        <v>203</v>
      </c>
      <c r="NSK13" s="314" t="s">
        <v>203</v>
      </c>
      <c r="NSL13" s="314" t="s">
        <v>203</v>
      </c>
      <c r="NSM13" s="314" t="s">
        <v>203</v>
      </c>
      <c r="NSN13" s="314" t="s">
        <v>203</v>
      </c>
      <c r="NSO13" s="314" t="s">
        <v>203</v>
      </c>
      <c r="NSP13" s="314" t="s">
        <v>203</v>
      </c>
      <c r="NSQ13" s="314" t="s">
        <v>203</v>
      </c>
      <c r="NSR13" s="314" t="s">
        <v>203</v>
      </c>
      <c r="NSS13" s="314" t="s">
        <v>203</v>
      </c>
      <c r="NST13" s="314" t="s">
        <v>203</v>
      </c>
      <c r="NSU13" s="314" t="s">
        <v>203</v>
      </c>
      <c r="NSV13" s="314" t="s">
        <v>203</v>
      </c>
      <c r="NSW13" s="314" t="s">
        <v>203</v>
      </c>
      <c r="NSX13" s="314" t="s">
        <v>203</v>
      </c>
      <c r="NSY13" s="314" t="s">
        <v>203</v>
      </c>
      <c r="NSZ13" s="314" t="s">
        <v>203</v>
      </c>
      <c r="NTA13" s="314" t="s">
        <v>203</v>
      </c>
      <c r="NTB13" s="314" t="s">
        <v>203</v>
      </c>
      <c r="NTC13" s="314" t="s">
        <v>203</v>
      </c>
      <c r="NTD13" s="314" t="s">
        <v>203</v>
      </c>
      <c r="NTE13" s="314" t="s">
        <v>203</v>
      </c>
      <c r="NTF13" s="314" t="s">
        <v>203</v>
      </c>
      <c r="NTG13" s="314" t="s">
        <v>203</v>
      </c>
      <c r="NTH13" s="314" t="s">
        <v>203</v>
      </c>
      <c r="NTI13" s="314" t="s">
        <v>203</v>
      </c>
      <c r="NTJ13" s="314" t="s">
        <v>203</v>
      </c>
      <c r="NTK13" s="314" t="s">
        <v>203</v>
      </c>
      <c r="NTL13" s="314" t="s">
        <v>203</v>
      </c>
      <c r="NTM13" s="314" t="s">
        <v>203</v>
      </c>
      <c r="NTN13" s="314" t="s">
        <v>203</v>
      </c>
      <c r="NTO13" s="314" t="s">
        <v>203</v>
      </c>
      <c r="NTP13" s="314" t="s">
        <v>203</v>
      </c>
      <c r="NTQ13" s="314" t="s">
        <v>203</v>
      </c>
      <c r="NTR13" s="314" t="s">
        <v>203</v>
      </c>
      <c r="NTS13" s="314" t="s">
        <v>203</v>
      </c>
      <c r="NTT13" s="314" t="s">
        <v>203</v>
      </c>
      <c r="NTU13" s="314" t="s">
        <v>203</v>
      </c>
      <c r="NTV13" s="314" t="s">
        <v>203</v>
      </c>
      <c r="NTW13" s="314" t="s">
        <v>203</v>
      </c>
      <c r="NTX13" s="314" t="s">
        <v>203</v>
      </c>
      <c r="NTY13" s="314" t="s">
        <v>203</v>
      </c>
      <c r="NTZ13" s="314" t="s">
        <v>203</v>
      </c>
      <c r="NUA13" s="314" t="s">
        <v>203</v>
      </c>
      <c r="NUB13" s="314" t="s">
        <v>203</v>
      </c>
      <c r="NUC13" s="314" t="s">
        <v>203</v>
      </c>
      <c r="NUD13" s="314" t="s">
        <v>203</v>
      </c>
      <c r="NUE13" s="314" t="s">
        <v>203</v>
      </c>
      <c r="NUF13" s="314" t="s">
        <v>203</v>
      </c>
      <c r="NUG13" s="314" t="s">
        <v>203</v>
      </c>
      <c r="NUH13" s="314" t="s">
        <v>203</v>
      </c>
      <c r="NUI13" s="314" t="s">
        <v>203</v>
      </c>
      <c r="NUJ13" s="314" t="s">
        <v>203</v>
      </c>
      <c r="NUK13" s="314" t="s">
        <v>203</v>
      </c>
      <c r="NUL13" s="314" t="s">
        <v>203</v>
      </c>
      <c r="NUM13" s="314" t="s">
        <v>203</v>
      </c>
      <c r="NUN13" s="314" t="s">
        <v>203</v>
      </c>
      <c r="NUO13" s="314" t="s">
        <v>203</v>
      </c>
      <c r="NUP13" s="314" t="s">
        <v>203</v>
      </c>
      <c r="NUQ13" s="314" t="s">
        <v>203</v>
      </c>
      <c r="NUR13" s="314" t="s">
        <v>203</v>
      </c>
      <c r="NUS13" s="314" t="s">
        <v>203</v>
      </c>
      <c r="NUT13" s="314" t="s">
        <v>203</v>
      </c>
      <c r="NUU13" s="314" t="s">
        <v>203</v>
      </c>
      <c r="NUV13" s="314" t="s">
        <v>203</v>
      </c>
      <c r="NUW13" s="314" t="s">
        <v>203</v>
      </c>
      <c r="NUX13" s="314" t="s">
        <v>203</v>
      </c>
      <c r="NUY13" s="314" t="s">
        <v>203</v>
      </c>
      <c r="NUZ13" s="314" t="s">
        <v>203</v>
      </c>
      <c r="NVA13" s="314" t="s">
        <v>203</v>
      </c>
      <c r="NVB13" s="314" t="s">
        <v>203</v>
      </c>
      <c r="NVC13" s="314" t="s">
        <v>203</v>
      </c>
      <c r="NVD13" s="314" t="s">
        <v>203</v>
      </c>
      <c r="NVE13" s="314" t="s">
        <v>203</v>
      </c>
      <c r="NVF13" s="314" t="s">
        <v>203</v>
      </c>
      <c r="NVG13" s="314" t="s">
        <v>203</v>
      </c>
      <c r="NVH13" s="314" t="s">
        <v>203</v>
      </c>
      <c r="NVI13" s="314" t="s">
        <v>203</v>
      </c>
      <c r="NVJ13" s="314" t="s">
        <v>203</v>
      </c>
      <c r="NVK13" s="314" t="s">
        <v>203</v>
      </c>
      <c r="NVL13" s="314" t="s">
        <v>203</v>
      </c>
      <c r="NVM13" s="314" t="s">
        <v>203</v>
      </c>
      <c r="NVN13" s="314" t="s">
        <v>203</v>
      </c>
      <c r="NVO13" s="314" t="s">
        <v>203</v>
      </c>
      <c r="NVP13" s="314" t="s">
        <v>203</v>
      </c>
      <c r="NVQ13" s="314" t="s">
        <v>203</v>
      </c>
      <c r="NVR13" s="314" t="s">
        <v>203</v>
      </c>
      <c r="NVS13" s="314" t="s">
        <v>203</v>
      </c>
      <c r="NVT13" s="314" t="s">
        <v>203</v>
      </c>
      <c r="NVU13" s="314" t="s">
        <v>203</v>
      </c>
      <c r="NVV13" s="314" t="s">
        <v>203</v>
      </c>
      <c r="NVW13" s="314" t="s">
        <v>203</v>
      </c>
      <c r="NVX13" s="314" t="s">
        <v>203</v>
      </c>
      <c r="NVY13" s="314" t="s">
        <v>203</v>
      </c>
      <c r="NVZ13" s="314" t="s">
        <v>203</v>
      </c>
      <c r="NWA13" s="314" t="s">
        <v>203</v>
      </c>
      <c r="NWB13" s="314" t="s">
        <v>203</v>
      </c>
      <c r="NWC13" s="314" t="s">
        <v>203</v>
      </c>
      <c r="NWD13" s="314" t="s">
        <v>203</v>
      </c>
      <c r="NWE13" s="314" t="s">
        <v>203</v>
      </c>
      <c r="NWF13" s="314" t="s">
        <v>203</v>
      </c>
      <c r="NWG13" s="314" t="s">
        <v>203</v>
      </c>
      <c r="NWH13" s="314" t="s">
        <v>203</v>
      </c>
      <c r="NWI13" s="314" t="s">
        <v>203</v>
      </c>
      <c r="NWJ13" s="314" t="s">
        <v>203</v>
      </c>
      <c r="NWK13" s="314" t="s">
        <v>203</v>
      </c>
      <c r="NWL13" s="314" t="s">
        <v>203</v>
      </c>
      <c r="NWM13" s="314" t="s">
        <v>203</v>
      </c>
      <c r="NWN13" s="314" t="s">
        <v>203</v>
      </c>
      <c r="NWO13" s="314" t="s">
        <v>203</v>
      </c>
      <c r="NWP13" s="314" t="s">
        <v>203</v>
      </c>
      <c r="NWQ13" s="314" t="s">
        <v>203</v>
      </c>
      <c r="NWR13" s="314" t="s">
        <v>203</v>
      </c>
      <c r="NWS13" s="314" t="s">
        <v>203</v>
      </c>
      <c r="NWT13" s="314" t="s">
        <v>203</v>
      </c>
      <c r="NWU13" s="314" t="s">
        <v>203</v>
      </c>
      <c r="NWV13" s="314" t="s">
        <v>203</v>
      </c>
      <c r="NWW13" s="314" t="s">
        <v>203</v>
      </c>
      <c r="NWX13" s="314" t="s">
        <v>203</v>
      </c>
      <c r="NWY13" s="314" t="s">
        <v>203</v>
      </c>
      <c r="NWZ13" s="314" t="s">
        <v>203</v>
      </c>
      <c r="NXA13" s="314" t="s">
        <v>203</v>
      </c>
      <c r="NXB13" s="314" t="s">
        <v>203</v>
      </c>
      <c r="NXC13" s="314" t="s">
        <v>203</v>
      </c>
      <c r="NXD13" s="314" t="s">
        <v>203</v>
      </c>
      <c r="NXE13" s="314" t="s">
        <v>203</v>
      </c>
      <c r="NXF13" s="314" t="s">
        <v>203</v>
      </c>
      <c r="NXG13" s="314" t="s">
        <v>203</v>
      </c>
      <c r="NXH13" s="314" t="s">
        <v>203</v>
      </c>
      <c r="NXI13" s="314" t="s">
        <v>203</v>
      </c>
      <c r="NXJ13" s="314" t="s">
        <v>203</v>
      </c>
      <c r="NXK13" s="314" t="s">
        <v>203</v>
      </c>
      <c r="NXL13" s="314" t="s">
        <v>203</v>
      </c>
      <c r="NXM13" s="314" t="s">
        <v>203</v>
      </c>
      <c r="NXN13" s="314" t="s">
        <v>203</v>
      </c>
      <c r="NXO13" s="314" t="s">
        <v>203</v>
      </c>
      <c r="NXP13" s="314" t="s">
        <v>203</v>
      </c>
      <c r="NXQ13" s="314" t="s">
        <v>203</v>
      </c>
      <c r="NXR13" s="314" t="s">
        <v>203</v>
      </c>
      <c r="NXS13" s="314" t="s">
        <v>203</v>
      </c>
      <c r="NXT13" s="314" t="s">
        <v>203</v>
      </c>
      <c r="NXU13" s="314" t="s">
        <v>203</v>
      </c>
      <c r="NXV13" s="314" t="s">
        <v>203</v>
      </c>
      <c r="NXW13" s="314" t="s">
        <v>203</v>
      </c>
      <c r="NXX13" s="314" t="s">
        <v>203</v>
      </c>
      <c r="NXY13" s="314" t="s">
        <v>203</v>
      </c>
      <c r="NXZ13" s="314" t="s">
        <v>203</v>
      </c>
      <c r="NYA13" s="314" t="s">
        <v>203</v>
      </c>
      <c r="NYB13" s="314" t="s">
        <v>203</v>
      </c>
      <c r="NYC13" s="314" t="s">
        <v>203</v>
      </c>
      <c r="NYD13" s="314" t="s">
        <v>203</v>
      </c>
      <c r="NYE13" s="314" t="s">
        <v>203</v>
      </c>
      <c r="NYF13" s="314" t="s">
        <v>203</v>
      </c>
      <c r="NYG13" s="314" t="s">
        <v>203</v>
      </c>
      <c r="NYH13" s="314" t="s">
        <v>203</v>
      </c>
      <c r="NYI13" s="314" t="s">
        <v>203</v>
      </c>
      <c r="NYJ13" s="314" t="s">
        <v>203</v>
      </c>
      <c r="NYK13" s="314" t="s">
        <v>203</v>
      </c>
      <c r="NYL13" s="314" t="s">
        <v>203</v>
      </c>
      <c r="NYM13" s="314" t="s">
        <v>203</v>
      </c>
      <c r="NYN13" s="314" t="s">
        <v>203</v>
      </c>
      <c r="NYO13" s="314" t="s">
        <v>203</v>
      </c>
      <c r="NYP13" s="314" t="s">
        <v>203</v>
      </c>
      <c r="NYQ13" s="314" t="s">
        <v>203</v>
      </c>
      <c r="NYR13" s="314" t="s">
        <v>203</v>
      </c>
      <c r="NYS13" s="314" t="s">
        <v>203</v>
      </c>
      <c r="NYT13" s="314" t="s">
        <v>203</v>
      </c>
      <c r="NYU13" s="314" t="s">
        <v>203</v>
      </c>
      <c r="NYV13" s="314" t="s">
        <v>203</v>
      </c>
      <c r="NYW13" s="314" t="s">
        <v>203</v>
      </c>
      <c r="NYX13" s="314" t="s">
        <v>203</v>
      </c>
      <c r="NYY13" s="314" t="s">
        <v>203</v>
      </c>
      <c r="NYZ13" s="314" t="s">
        <v>203</v>
      </c>
      <c r="NZA13" s="314" t="s">
        <v>203</v>
      </c>
      <c r="NZB13" s="314" t="s">
        <v>203</v>
      </c>
      <c r="NZC13" s="314" t="s">
        <v>203</v>
      </c>
      <c r="NZD13" s="314" t="s">
        <v>203</v>
      </c>
      <c r="NZE13" s="314" t="s">
        <v>203</v>
      </c>
      <c r="NZF13" s="314" t="s">
        <v>203</v>
      </c>
      <c r="NZG13" s="314" t="s">
        <v>203</v>
      </c>
      <c r="NZH13" s="314" t="s">
        <v>203</v>
      </c>
      <c r="NZI13" s="314" t="s">
        <v>203</v>
      </c>
      <c r="NZJ13" s="314" t="s">
        <v>203</v>
      </c>
      <c r="NZK13" s="314" t="s">
        <v>203</v>
      </c>
      <c r="NZL13" s="314" t="s">
        <v>203</v>
      </c>
      <c r="NZM13" s="314" t="s">
        <v>203</v>
      </c>
      <c r="NZN13" s="314" t="s">
        <v>203</v>
      </c>
      <c r="NZO13" s="314" t="s">
        <v>203</v>
      </c>
      <c r="NZP13" s="314" t="s">
        <v>203</v>
      </c>
      <c r="NZQ13" s="314" t="s">
        <v>203</v>
      </c>
      <c r="NZR13" s="314" t="s">
        <v>203</v>
      </c>
      <c r="NZS13" s="314" t="s">
        <v>203</v>
      </c>
      <c r="NZT13" s="314" t="s">
        <v>203</v>
      </c>
      <c r="NZU13" s="314" t="s">
        <v>203</v>
      </c>
      <c r="NZV13" s="314" t="s">
        <v>203</v>
      </c>
      <c r="NZW13" s="314" t="s">
        <v>203</v>
      </c>
      <c r="NZX13" s="314" t="s">
        <v>203</v>
      </c>
      <c r="NZY13" s="314" t="s">
        <v>203</v>
      </c>
      <c r="NZZ13" s="314" t="s">
        <v>203</v>
      </c>
      <c r="OAA13" s="314" t="s">
        <v>203</v>
      </c>
      <c r="OAB13" s="314" t="s">
        <v>203</v>
      </c>
      <c r="OAC13" s="314" t="s">
        <v>203</v>
      </c>
      <c r="OAD13" s="314" t="s">
        <v>203</v>
      </c>
      <c r="OAE13" s="314" t="s">
        <v>203</v>
      </c>
      <c r="OAF13" s="314" t="s">
        <v>203</v>
      </c>
      <c r="OAG13" s="314" t="s">
        <v>203</v>
      </c>
      <c r="OAH13" s="314" t="s">
        <v>203</v>
      </c>
      <c r="OAI13" s="314" t="s">
        <v>203</v>
      </c>
      <c r="OAJ13" s="314" t="s">
        <v>203</v>
      </c>
      <c r="OAK13" s="314" t="s">
        <v>203</v>
      </c>
      <c r="OAL13" s="314" t="s">
        <v>203</v>
      </c>
      <c r="OAM13" s="314" t="s">
        <v>203</v>
      </c>
      <c r="OAN13" s="314" t="s">
        <v>203</v>
      </c>
      <c r="OAO13" s="314" t="s">
        <v>203</v>
      </c>
      <c r="OAP13" s="314" t="s">
        <v>203</v>
      </c>
      <c r="OAQ13" s="314" t="s">
        <v>203</v>
      </c>
      <c r="OAR13" s="314" t="s">
        <v>203</v>
      </c>
      <c r="OAS13" s="314" t="s">
        <v>203</v>
      </c>
      <c r="OAT13" s="314" t="s">
        <v>203</v>
      </c>
      <c r="OAU13" s="314" t="s">
        <v>203</v>
      </c>
      <c r="OAV13" s="314" t="s">
        <v>203</v>
      </c>
      <c r="OAW13" s="314" t="s">
        <v>203</v>
      </c>
      <c r="OAX13" s="314" t="s">
        <v>203</v>
      </c>
      <c r="OAY13" s="314" t="s">
        <v>203</v>
      </c>
      <c r="OAZ13" s="314" t="s">
        <v>203</v>
      </c>
      <c r="OBA13" s="314" t="s">
        <v>203</v>
      </c>
      <c r="OBB13" s="314" t="s">
        <v>203</v>
      </c>
      <c r="OBC13" s="314" t="s">
        <v>203</v>
      </c>
      <c r="OBD13" s="314" t="s">
        <v>203</v>
      </c>
      <c r="OBE13" s="314" t="s">
        <v>203</v>
      </c>
      <c r="OBF13" s="314" t="s">
        <v>203</v>
      </c>
      <c r="OBG13" s="314" t="s">
        <v>203</v>
      </c>
      <c r="OBH13" s="314" t="s">
        <v>203</v>
      </c>
      <c r="OBI13" s="314" t="s">
        <v>203</v>
      </c>
      <c r="OBJ13" s="314" t="s">
        <v>203</v>
      </c>
      <c r="OBK13" s="314" t="s">
        <v>203</v>
      </c>
      <c r="OBL13" s="314" t="s">
        <v>203</v>
      </c>
      <c r="OBM13" s="314" t="s">
        <v>203</v>
      </c>
      <c r="OBN13" s="314" t="s">
        <v>203</v>
      </c>
      <c r="OBO13" s="314" t="s">
        <v>203</v>
      </c>
      <c r="OBP13" s="314" t="s">
        <v>203</v>
      </c>
      <c r="OBQ13" s="314" t="s">
        <v>203</v>
      </c>
      <c r="OBR13" s="314" t="s">
        <v>203</v>
      </c>
      <c r="OBS13" s="314" t="s">
        <v>203</v>
      </c>
      <c r="OBT13" s="314" t="s">
        <v>203</v>
      </c>
      <c r="OBU13" s="314" t="s">
        <v>203</v>
      </c>
      <c r="OBV13" s="314" t="s">
        <v>203</v>
      </c>
      <c r="OBW13" s="314" t="s">
        <v>203</v>
      </c>
      <c r="OBX13" s="314" t="s">
        <v>203</v>
      </c>
      <c r="OBY13" s="314" t="s">
        <v>203</v>
      </c>
      <c r="OBZ13" s="314" t="s">
        <v>203</v>
      </c>
      <c r="OCA13" s="314" t="s">
        <v>203</v>
      </c>
      <c r="OCB13" s="314" t="s">
        <v>203</v>
      </c>
      <c r="OCC13" s="314" t="s">
        <v>203</v>
      </c>
      <c r="OCD13" s="314" t="s">
        <v>203</v>
      </c>
      <c r="OCE13" s="314" t="s">
        <v>203</v>
      </c>
      <c r="OCF13" s="314" t="s">
        <v>203</v>
      </c>
      <c r="OCG13" s="314" t="s">
        <v>203</v>
      </c>
      <c r="OCH13" s="314" t="s">
        <v>203</v>
      </c>
      <c r="OCI13" s="314" t="s">
        <v>203</v>
      </c>
      <c r="OCJ13" s="314" t="s">
        <v>203</v>
      </c>
      <c r="OCK13" s="314" t="s">
        <v>203</v>
      </c>
      <c r="OCL13" s="314" t="s">
        <v>203</v>
      </c>
      <c r="OCM13" s="314" t="s">
        <v>203</v>
      </c>
      <c r="OCN13" s="314" t="s">
        <v>203</v>
      </c>
      <c r="OCO13" s="314" t="s">
        <v>203</v>
      </c>
      <c r="OCP13" s="314" t="s">
        <v>203</v>
      </c>
      <c r="OCQ13" s="314" t="s">
        <v>203</v>
      </c>
      <c r="OCR13" s="314" t="s">
        <v>203</v>
      </c>
      <c r="OCS13" s="314" t="s">
        <v>203</v>
      </c>
      <c r="OCT13" s="314" t="s">
        <v>203</v>
      </c>
      <c r="OCU13" s="314" t="s">
        <v>203</v>
      </c>
      <c r="OCV13" s="314" t="s">
        <v>203</v>
      </c>
      <c r="OCW13" s="314" t="s">
        <v>203</v>
      </c>
      <c r="OCX13" s="314" t="s">
        <v>203</v>
      </c>
      <c r="OCY13" s="314" t="s">
        <v>203</v>
      </c>
      <c r="OCZ13" s="314" t="s">
        <v>203</v>
      </c>
      <c r="ODA13" s="314" t="s">
        <v>203</v>
      </c>
      <c r="ODB13" s="314" t="s">
        <v>203</v>
      </c>
      <c r="ODC13" s="314" t="s">
        <v>203</v>
      </c>
      <c r="ODD13" s="314" t="s">
        <v>203</v>
      </c>
      <c r="ODE13" s="314" t="s">
        <v>203</v>
      </c>
      <c r="ODF13" s="314" t="s">
        <v>203</v>
      </c>
      <c r="ODG13" s="314" t="s">
        <v>203</v>
      </c>
      <c r="ODH13" s="314" t="s">
        <v>203</v>
      </c>
      <c r="ODI13" s="314" t="s">
        <v>203</v>
      </c>
      <c r="ODJ13" s="314" t="s">
        <v>203</v>
      </c>
      <c r="ODK13" s="314" t="s">
        <v>203</v>
      </c>
      <c r="ODL13" s="314" t="s">
        <v>203</v>
      </c>
      <c r="ODM13" s="314" t="s">
        <v>203</v>
      </c>
      <c r="ODN13" s="314" t="s">
        <v>203</v>
      </c>
      <c r="ODO13" s="314" t="s">
        <v>203</v>
      </c>
      <c r="ODP13" s="314" t="s">
        <v>203</v>
      </c>
      <c r="ODQ13" s="314" t="s">
        <v>203</v>
      </c>
      <c r="ODR13" s="314" t="s">
        <v>203</v>
      </c>
      <c r="ODS13" s="314" t="s">
        <v>203</v>
      </c>
      <c r="ODT13" s="314" t="s">
        <v>203</v>
      </c>
      <c r="ODU13" s="314" t="s">
        <v>203</v>
      </c>
      <c r="ODV13" s="314" t="s">
        <v>203</v>
      </c>
      <c r="ODW13" s="314" t="s">
        <v>203</v>
      </c>
      <c r="ODX13" s="314" t="s">
        <v>203</v>
      </c>
      <c r="ODY13" s="314" t="s">
        <v>203</v>
      </c>
      <c r="ODZ13" s="314" t="s">
        <v>203</v>
      </c>
      <c r="OEA13" s="314" t="s">
        <v>203</v>
      </c>
      <c r="OEB13" s="314" t="s">
        <v>203</v>
      </c>
      <c r="OEC13" s="314" t="s">
        <v>203</v>
      </c>
      <c r="OED13" s="314" t="s">
        <v>203</v>
      </c>
      <c r="OEE13" s="314" t="s">
        <v>203</v>
      </c>
      <c r="OEF13" s="314" t="s">
        <v>203</v>
      </c>
      <c r="OEG13" s="314" t="s">
        <v>203</v>
      </c>
      <c r="OEH13" s="314" t="s">
        <v>203</v>
      </c>
      <c r="OEI13" s="314" t="s">
        <v>203</v>
      </c>
      <c r="OEJ13" s="314" t="s">
        <v>203</v>
      </c>
      <c r="OEK13" s="314" t="s">
        <v>203</v>
      </c>
      <c r="OEL13" s="314" t="s">
        <v>203</v>
      </c>
      <c r="OEM13" s="314" t="s">
        <v>203</v>
      </c>
      <c r="OEN13" s="314" t="s">
        <v>203</v>
      </c>
      <c r="OEO13" s="314" t="s">
        <v>203</v>
      </c>
      <c r="OEP13" s="314" t="s">
        <v>203</v>
      </c>
      <c r="OEQ13" s="314" t="s">
        <v>203</v>
      </c>
      <c r="OER13" s="314" t="s">
        <v>203</v>
      </c>
      <c r="OES13" s="314" t="s">
        <v>203</v>
      </c>
      <c r="OET13" s="314" t="s">
        <v>203</v>
      </c>
      <c r="OEU13" s="314" t="s">
        <v>203</v>
      </c>
      <c r="OEV13" s="314" t="s">
        <v>203</v>
      </c>
      <c r="OEW13" s="314" t="s">
        <v>203</v>
      </c>
      <c r="OEX13" s="314" t="s">
        <v>203</v>
      </c>
      <c r="OEY13" s="314" t="s">
        <v>203</v>
      </c>
      <c r="OEZ13" s="314" t="s">
        <v>203</v>
      </c>
      <c r="OFA13" s="314" t="s">
        <v>203</v>
      </c>
      <c r="OFB13" s="314" t="s">
        <v>203</v>
      </c>
      <c r="OFC13" s="314" t="s">
        <v>203</v>
      </c>
      <c r="OFD13" s="314" t="s">
        <v>203</v>
      </c>
      <c r="OFE13" s="314" t="s">
        <v>203</v>
      </c>
      <c r="OFF13" s="314" t="s">
        <v>203</v>
      </c>
      <c r="OFG13" s="314" t="s">
        <v>203</v>
      </c>
      <c r="OFH13" s="314" t="s">
        <v>203</v>
      </c>
      <c r="OFI13" s="314" t="s">
        <v>203</v>
      </c>
      <c r="OFJ13" s="314" t="s">
        <v>203</v>
      </c>
      <c r="OFK13" s="314" t="s">
        <v>203</v>
      </c>
      <c r="OFL13" s="314" t="s">
        <v>203</v>
      </c>
      <c r="OFM13" s="314" t="s">
        <v>203</v>
      </c>
      <c r="OFN13" s="314" t="s">
        <v>203</v>
      </c>
      <c r="OFO13" s="314" t="s">
        <v>203</v>
      </c>
      <c r="OFP13" s="314" t="s">
        <v>203</v>
      </c>
      <c r="OFQ13" s="314" t="s">
        <v>203</v>
      </c>
      <c r="OFR13" s="314" t="s">
        <v>203</v>
      </c>
      <c r="OFS13" s="314" t="s">
        <v>203</v>
      </c>
      <c r="OFT13" s="314" t="s">
        <v>203</v>
      </c>
      <c r="OFU13" s="314" t="s">
        <v>203</v>
      </c>
      <c r="OFV13" s="314" t="s">
        <v>203</v>
      </c>
      <c r="OFW13" s="314" t="s">
        <v>203</v>
      </c>
      <c r="OFX13" s="314" t="s">
        <v>203</v>
      </c>
      <c r="OFY13" s="314" t="s">
        <v>203</v>
      </c>
      <c r="OFZ13" s="314" t="s">
        <v>203</v>
      </c>
      <c r="OGA13" s="314" t="s">
        <v>203</v>
      </c>
      <c r="OGB13" s="314" t="s">
        <v>203</v>
      </c>
      <c r="OGC13" s="314" t="s">
        <v>203</v>
      </c>
      <c r="OGD13" s="314" t="s">
        <v>203</v>
      </c>
      <c r="OGE13" s="314" t="s">
        <v>203</v>
      </c>
      <c r="OGF13" s="314" t="s">
        <v>203</v>
      </c>
      <c r="OGG13" s="314" t="s">
        <v>203</v>
      </c>
      <c r="OGH13" s="314" t="s">
        <v>203</v>
      </c>
      <c r="OGI13" s="314" t="s">
        <v>203</v>
      </c>
      <c r="OGJ13" s="314" t="s">
        <v>203</v>
      </c>
      <c r="OGK13" s="314" t="s">
        <v>203</v>
      </c>
      <c r="OGL13" s="314" t="s">
        <v>203</v>
      </c>
      <c r="OGM13" s="314" t="s">
        <v>203</v>
      </c>
      <c r="OGN13" s="314" t="s">
        <v>203</v>
      </c>
      <c r="OGO13" s="314" t="s">
        <v>203</v>
      </c>
      <c r="OGP13" s="314" t="s">
        <v>203</v>
      </c>
      <c r="OGQ13" s="314" t="s">
        <v>203</v>
      </c>
      <c r="OGR13" s="314" t="s">
        <v>203</v>
      </c>
      <c r="OGS13" s="314" t="s">
        <v>203</v>
      </c>
      <c r="OGT13" s="314" t="s">
        <v>203</v>
      </c>
      <c r="OGU13" s="314" t="s">
        <v>203</v>
      </c>
      <c r="OGV13" s="314" t="s">
        <v>203</v>
      </c>
      <c r="OGW13" s="314" t="s">
        <v>203</v>
      </c>
      <c r="OGX13" s="314" t="s">
        <v>203</v>
      </c>
      <c r="OGY13" s="314" t="s">
        <v>203</v>
      </c>
      <c r="OGZ13" s="314" t="s">
        <v>203</v>
      </c>
      <c r="OHA13" s="314" t="s">
        <v>203</v>
      </c>
      <c r="OHB13" s="314" t="s">
        <v>203</v>
      </c>
      <c r="OHC13" s="314" t="s">
        <v>203</v>
      </c>
      <c r="OHD13" s="314" t="s">
        <v>203</v>
      </c>
      <c r="OHE13" s="314" t="s">
        <v>203</v>
      </c>
      <c r="OHF13" s="314" t="s">
        <v>203</v>
      </c>
      <c r="OHG13" s="314" t="s">
        <v>203</v>
      </c>
      <c r="OHH13" s="314" t="s">
        <v>203</v>
      </c>
      <c r="OHI13" s="314" t="s">
        <v>203</v>
      </c>
      <c r="OHJ13" s="314" t="s">
        <v>203</v>
      </c>
      <c r="OHK13" s="314" t="s">
        <v>203</v>
      </c>
      <c r="OHL13" s="314" t="s">
        <v>203</v>
      </c>
      <c r="OHM13" s="314" t="s">
        <v>203</v>
      </c>
      <c r="OHN13" s="314" t="s">
        <v>203</v>
      </c>
      <c r="OHO13" s="314" t="s">
        <v>203</v>
      </c>
      <c r="OHP13" s="314" t="s">
        <v>203</v>
      </c>
      <c r="OHQ13" s="314" t="s">
        <v>203</v>
      </c>
      <c r="OHR13" s="314" t="s">
        <v>203</v>
      </c>
      <c r="OHS13" s="314" t="s">
        <v>203</v>
      </c>
      <c r="OHT13" s="314" t="s">
        <v>203</v>
      </c>
      <c r="OHU13" s="314" t="s">
        <v>203</v>
      </c>
      <c r="OHV13" s="314" t="s">
        <v>203</v>
      </c>
      <c r="OHW13" s="314" t="s">
        <v>203</v>
      </c>
      <c r="OHX13" s="314" t="s">
        <v>203</v>
      </c>
      <c r="OHY13" s="314" t="s">
        <v>203</v>
      </c>
      <c r="OHZ13" s="314" t="s">
        <v>203</v>
      </c>
      <c r="OIA13" s="314" t="s">
        <v>203</v>
      </c>
      <c r="OIB13" s="314" t="s">
        <v>203</v>
      </c>
      <c r="OIC13" s="314" t="s">
        <v>203</v>
      </c>
      <c r="OID13" s="314" t="s">
        <v>203</v>
      </c>
      <c r="OIE13" s="314" t="s">
        <v>203</v>
      </c>
      <c r="OIF13" s="314" t="s">
        <v>203</v>
      </c>
      <c r="OIG13" s="314" t="s">
        <v>203</v>
      </c>
      <c r="OIH13" s="314" t="s">
        <v>203</v>
      </c>
      <c r="OII13" s="314" t="s">
        <v>203</v>
      </c>
      <c r="OIJ13" s="314" t="s">
        <v>203</v>
      </c>
      <c r="OIK13" s="314" t="s">
        <v>203</v>
      </c>
      <c r="OIL13" s="314" t="s">
        <v>203</v>
      </c>
      <c r="OIM13" s="314" t="s">
        <v>203</v>
      </c>
      <c r="OIN13" s="314" t="s">
        <v>203</v>
      </c>
      <c r="OIO13" s="314" t="s">
        <v>203</v>
      </c>
      <c r="OIP13" s="314" t="s">
        <v>203</v>
      </c>
      <c r="OIQ13" s="314" t="s">
        <v>203</v>
      </c>
      <c r="OIR13" s="314" t="s">
        <v>203</v>
      </c>
      <c r="OIS13" s="314" t="s">
        <v>203</v>
      </c>
      <c r="OIT13" s="314" t="s">
        <v>203</v>
      </c>
      <c r="OIU13" s="314" t="s">
        <v>203</v>
      </c>
      <c r="OIV13" s="314" t="s">
        <v>203</v>
      </c>
      <c r="OIW13" s="314" t="s">
        <v>203</v>
      </c>
      <c r="OIX13" s="314" t="s">
        <v>203</v>
      </c>
      <c r="OIY13" s="314" t="s">
        <v>203</v>
      </c>
      <c r="OIZ13" s="314" t="s">
        <v>203</v>
      </c>
      <c r="OJA13" s="314" t="s">
        <v>203</v>
      </c>
      <c r="OJB13" s="314" t="s">
        <v>203</v>
      </c>
      <c r="OJC13" s="314" t="s">
        <v>203</v>
      </c>
      <c r="OJD13" s="314" t="s">
        <v>203</v>
      </c>
      <c r="OJE13" s="314" t="s">
        <v>203</v>
      </c>
      <c r="OJF13" s="314" t="s">
        <v>203</v>
      </c>
      <c r="OJG13" s="314" t="s">
        <v>203</v>
      </c>
      <c r="OJH13" s="314" t="s">
        <v>203</v>
      </c>
      <c r="OJI13" s="314" t="s">
        <v>203</v>
      </c>
      <c r="OJJ13" s="314" t="s">
        <v>203</v>
      </c>
      <c r="OJK13" s="314" t="s">
        <v>203</v>
      </c>
      <c r="OJL13" s="314" t="s">
        <v>203</v>
      </c>
      <c r="OJM13" s="314" t="s">
        <v>203</v>
      </c>
      <c r="OJN13" s="314" t="s">
        <v>203</v>
      </c>
      <c r="OJO13" s="314" t="s">
        <v>203</v>
      </c>
      <c r="OJP13" s="314" t="s">
        <v>203</v>
      </c>
      <c r="OJQ13" s="314" t="s">
        <v>203</v>
      </c>
      <c r="OJR13" s="314" t="s">
        <v>203</v>
      </c>
      <c r="OJS13" s="314" t="s">
        <v>203</v>
      </c>
      <c r="OJT13" s="314" t="s">
        <v>203</v>
      </c>
      <c r="OJU13" s="314" t="s">
        <v>203</v>
      </c>
      <c r="OJV13" s="314" t="s">
        <v>203</v>
      </c>
      <c r="OJW13" s="314" t="s">
        <v>203</v>
      </c>
      <c r="OJX13" s="314" t="s">
        <v>203</v>
      </c>
      <c r="OJY13" s="314" t="s">
        <v>203</v>
      </c>
      <c r="OJZ13" s="314" t="s">
        <v>203</v>
      </c>
      <c r="OKA13" s="314" t="s">
        <v>203</v>
      </c>
      <c r="OKB13" s="314" t="s">
        <v>203</v>
      </c>
      <c r="OKC13" s="314" t="s">
        <v>203</v>
      </c>
      <c r="OKD13" s="314" t="s">
        <v>203</v>
      </c>
      <c r="OKE13" s="314" t="s">
        <v>203</v>
      </c>
      <c r="OKF13" s="314" t="s">
        <v>203</v>
      </c>
      <c r="OKG13" s="314" t="s">
        <v>203</v>
      </c>
      <c r="OKH13" s="314" t="s">
        <v>203</v>
      </c>
      <c r="OKI13" s="314" t="s">
        <v>203</v>
      </c>
      <c r="OKJ13" s="314" t="s">
        <v>203</v>
      </c>
      <c r="OKK13" s="314" t="s">
        <v>203</v>
      </c>
      <c r="OKL13" s="314" t="s">
        <v>203</v>
      </c>
      <c r="OKM13" s="314" t="s">
        <v>203</v>
      </c>
      <c r="OKN13" s="314" t="s">
        <v>203</v>
      </c>
      <c r="OKO13" s="314" t="s">
        <v>203</v>
      </c>
      <c r="OKP13" s="314" t="s">
        <v>203</v>
      </c>
      <c r="OKQ13" s="314" t="s">
        <v>203</v>
      </c>
      <c r="OKR13" s="314" t="s">
        <v>203</v>
      </c>
      <c r="OKS13" s="314" t="s">
        <v>203</v>
      </c>
      <c r="OKT13" s="314" t="s">
        <v>203</v>
      </c>
      <c r="OKU13" s="314" t="s">
        <v>203</v>
      </c>
      <c r="OKV13" s="314" t="s">
        <v>203</v>
      </c>
      <c r="OKW13" s="314" t="s">
        <v>203</v>
      </c>
      <c r="OKX13" s="314" t="s">
        <v>203</v>
      </c>
      <c r="OKY13" s="314" t="s">
        <v>203</v>
      </c>
      <c r="OKZ13" s="314" t="s">
        <v>203</v>
      </c>
      <c r="OLA13" s="314" t="s">
        <v>203</v>
      </c>
      <c r="OLB13" s="314" t="s">
        <v>203</v>
      </c>
      <c r="OLC13" s="314" t="s">
        <v>203</v>
      </c>
      <c r="OLD13" s="314" t="s">
        <v>203</v>
      </c>
      <c r="OLE13" s="314" t="s">
        <v>203</v>
      </c>
      <c r="OLF13" s="314" t="s">
        <v>203</v>
      </c>
      <c r="OLG13" s="314" t="s">
        <v>203</v>
      </c>
      <c r="OLH13" s="314" t="s">
        <v>203</v>
      </c>
      <c r="OLI13" s="314" t="s">
        <v>203</v>
      </c>
      <c r="OLJ13" s="314" t="s">
        <v>203</v>
      </c>
      <c r="OLK13" s="314" t="s">
        <v>203</v>
      </c>
      <c r="OLL13" s="314" t="s">
        <v>203</v>
      </c>
      <c r="OLM13" s="314" t="s">
        <v>203</v>
      </c>
      <c r="OLN13" s="314" t="s">
        <v>203</v>
      </c>
      <c r="OLO13" s="314" t="s">
        <v>203</v>
      </c>
      <c r="OLP13" s="314" t="s">
        <v>203</v>
      </c>
      <c r="OLQ13" s="314" t="s">
        <v>203</v>
      </c>
      <c r="OLR13" s="314" t="s">
        <v>203</v>
      </c>
      <c r="OLS13" s="314" t="s">
        <v>203</v>
      </c>
      <c r="OLT13" s="314" t="s">
        <v>203</v>
      </c>
      <c r="OLU13" s="314" t="s">
        <v>203</v>
      </c>
      <c r="OLV13" s="314" t="s">
        <v>203</v>
      </c>
      <c r="OLW13" s="314" t="s">
        <v>203</v>
      </c>
      <c r="OLX13" s="314" t="s">
        <v>203</v>
      </c>
      <c r="OLY13" s="314" t="s">
        <v>203</v>
      </c>
      <c r="OLZ13" s="314" t="s">
        <v>203</v>
      </c>
      <c r="OMA13" s="314" t="s">
        <v>203</v>
      </c>
      <c r="OMB13" s="314" t="s">
        <v>203</v>
      </c>
      <c r="OMC13" s="314" t="s">
        <v>203</v>
      </c>
      <c r="OMD13" s="314" t="s">
        <v>203</v>
      </c>
      <c r="OME13" s="314" t="s">
        <v>203</v>
      </c>
      <c r="OMF13" s="314" t="s">
        <v>203</v>
      </c>
      <c r="OMG13" s="314" t="s">
        <v>203</v>
      </c>
      <c r="OMH13" s="314" t="s">
        <v>203</v>
      </c>
      <c r="OMI13" s="314" t="s">
        <v>203</v>
      </c>
      <c r="OMJ13" s="314" t="s">
        <v>203</v>
      </c>
      <c r="OMK13" s="314" t="s">
        <v>203</v>
      </c>
      <c r="OML13" s="314" t="s">
        <v>203</v>
      </c>
      <c r="OMM13" s="314" t="s">
        <v>203</v>
      </c>
      <c r="OMN13" s="314" t="s">
        <v>203</v>
      </c>
      <c r="OMO13" s="314" t="s">
        <v>203</v>
      </c>
      <c r="OMP13" s="314" t="s">
        <v>203</v>
      </c>
      <c r="OMQ13" s="314" t="s">
        <v>203</v>
      </c>
      <c r="OMR13" s="314" t="s">
        <v>203</v>
      </c>
      <c r="OMS13" s="314" t="s">
        <v>203</v>
      </c>
      <c r="OMT13" s="314" t="s">
        <v>203</v>
      </c>
      <c r="OMU13" s="314" t="s">
        <v>203</v>
      </c>
      <c r="OMV13" s="314" t="s">
        <v>203</v>
      </c>
      <c r="OMW13" s="314" t="s">
        <v>203</v>
      </c>
      <c r="OMX13" s="314" t="s">
        <v>203</v>
      </c>
      <c r="OMY13" s="314" t="s">
        <v>203</v>
      </c>
      <c r="OMZ13" s="314" t="s">
        <v>203</v>
      </c>
      <c r="ONA13" s="314" t="s">
        <v>203</v>
      </c>
      <c r="ONB13" s="314" t="s">
        <v>203</v>
      </c>
      <c r="ONC13" s="314" t="s">
        <v>203</v>
      </c>
      <c r="OND13" s="314" t="s">
        <v>203</v>
      </c>
      <c r="ONE13" s="314" t="s">
        <v>203</v>
      </c>
      <c r="ONF13" s="314" t="s">
        <v>203</v>
      </c>
      <c r="ONG13" s="314" t="s">
        <v>203</v>
      </c>
      <c r="ONH13" s="314" t="s">
        <v>203</v>
      </c>
      <c r="ONI13" s="314" t="s">
        <v>203</v>
      </c>
      <c r="ONJ13" s="314" t="s">
        <v>203</v>
      </c>
      <c r="ONK13" s="314" t="s">
        <v>203</v>
      </c>
      <c r="ONL13" s="314" t="s">
        <v>203</v>
      </c>
      <c r="ONM13" s="314" t="s">
        <v>203</v>
      </c>
      <c r="ONN13" s="314" t="s">
        <v>203</v>
      </c>
      <c r="ONO13" s="314" t="s">
        <v>203</v>
      </c>
      <c r="ONP13" s="314" t="s">
        <v>203</v>
      </c>
      <c r="ONQ13" s="314" t="s">
        <v>203</v>
      </c>
      <c r="ONR13" s="314" t="s">
        <v>203</v>
      </c>
      <c r="ONS13" s="314" t="s">
        <v>203</v>
      </c>
      <c r="ONT13" s="314" t="s">
        <v>203</v>
      </c>
      <c r="ONU13" s="314" t="s">
        <v>203</v>
      </c>
      <c r="ONV13" s="314" t="s">
        <v>203</v>
      </c>
      <c r="ONW13" s="314" t="s">
        <v>203</v>
      </c>
      <c r="ONX13" s="314" t="s">
        <v>203</v>
      </c>
      <c r="ONY13" s="314" t="s">
        <v>203</v>
      </c>
      <c r="ONZ13" s="314" t="s">
        <v>203</v>
      </c>
      <c r="OOA13" s="314" t="s">
        <v>203</v>
      </c>
      <c r="OOB13" s="314" t="s">
        <v>203</v>
      </c>
      <c r="OOC13" s="314" t="s">
        <v>203</v>
      </c>
      <c r="OOD13" s="314" t="s">
        <v>203</v>
      </c>
      <c r="OOE13" s="314" t="s">
        <v>203</v>
      </c>
      <c r="OOF13" s="314" t="s">
        <v>203</v>
      </c>
      <c r="OOG13" s="314" t="s">
        <v>203</v>
      </c>
      <c r="OOH13" s="314" t="s">
        <v>203</v>
      </c>
      <c r="OOI13" s="314" t="s">
        <v>203</v>
      </c>
      <c r="OOJ13" s="314" t="s">
        <v>203</v>
      </c>
      <c r="OOK13" s="314" t="s">
        <v>203</v>
      </c>
      <c r="OOL13" s="314" t="s">
        <v>203</v>
      </c>
      <c r="OOM13" s="314" t="s">
        <v>203</v>
      </c>
      <c r="OON13" s="314" t="s">
        <v>203</v>
      </c>
      <c r="OOO13" s="314" t="s">
        <v>203</v>
      </c>
      <c r="OOP13" s="314" t="s">
        <v>203</v>
      </c>
      <c r="OOQ13" s="314" t="s">
        <v>203</v>
      </c>
      <c r="OOR13" s="314" t="s">
        <v>203</v>
      </c>
      <c r="OOS13" s="314" t="s">
        <v>203</v>
      </c>
      <c r="OOT13" s="314" t="s">
        <v>203</v>
      </c>
      <c r="OOU13" s="314" t="s">
        <v>203</v>
      </c>
      <c r="OOV13" s="314" t="s">
        <v>203</v>
      </c>
      <c r="OOW13" s="314" t="s">
        <v>203</v>
      </c>
      <c r="OOX13" s="314" t="s">
        <v>203</v>
      </c>
      <c r="OOY13" s="314" t="s">
        <v>203</v>
      </c>
      <c r="OOZ13" s="314" t="s">
        <v>203</v>
      </c>
      <c r="OPA13" s="314" t="s">
        <v>203</v>
      </c>
      <c r="OPB13" s="314" t="s">
        <v>203</v>
      </c>
      <c r="OPC13" s="314" t="s">
        <v>203</v>
      </c>
      <c r="OPD13" s="314" t="s">
        <v>203</v>
      </c>
      <c r="OPE13" s="314" t="s">
        <v>203</v>
      </c>
      <c r="OPF13" s="314" t="s">
        <v>203</v>
      </c>
      <c r="OPG13" s="314" t="s">
        <v>203</v>
      </c>
      <c r="OPH13" s="314" t="s">
        <v>203</v>
      </c>
      <c r="OPI13" s="314" t="s">
        <v>203</v>
      </c>
      <c r="OPJ13" s="314" t="s">
        <v>203</v>
      </c>
      <c r="OPK13" s="314" t="s">
        <v>203</v>
      </c>
      <c r="OPL13" s="314" t="s">
        <v>203</v>
      </c>
      <c r="OPM13" s="314" t="s">
        <v>203</v>
      </c>
      <c r="OPN13" s="314" t="s">
        <v>203</v>
      </c>
      <c r="OPO13" s="314" t="s">
        <v>203</v>
      </c>
      <c r="OPP13" s="314" t="s">
        <v>203</v>
      </c>
      <c r="OPQ13" s="314" t="s">
        <v>203</v>
      </c>
      <c r="OPR13" s="314" t="s">
        <v>203</v>
      </c>
      <c r="OPS13" s="314" t="s">
        <v>203</v>
      </c>
      <c r="OPT13" s="314" t="s">
        <v>203</v>
      </c>
      <c r="OPU13" s="314" t="s">
        <v>203</v>
      </c>
      <c r="OPV13" s="314" t="s">
        <v>203</v>
      </c>
      <c r="OPW13" s="314" t="s">
        <v>203</v>
      </c>
      <c r="OPX13" s="314" t="s">
        <v>203</v>
      </c>
      <c r="OPY13" s="314" t="s">
        <v>203</v>
      </c>
      <c r="OPZ13" s="314" t="s">
        <v>203</v>
      </c>
      <c r="OQA13" s="314" t="s">
        <v>203</v>
      </c>
      <c r="OQB13" s="314" t="s">
        <v>203</v>
      </c>
      <c r="OQC13" s="314" t="s">
        <v>203</v>
      </c>
      <c r="OQD13" s="314" t="s">
        <v>203</v>
      </c>
      <c r="OQE13" s="314" t="s">
        <v>203</v>
      </c>
      <c r="OQF13" s="314" t="s">
        <v>203</v>
      </c>
      <c r="OQG13" s="314" t="s">
        <v>203</v>
      </c>
      <c r="OQH13" s="314" t="s">
        <v>203</v>
      </c>
      <c r="OQI13" s="314" t="s">
        <v>203</v>
      </c>
      <c r="OQJ13" s="314" t="s">
        <v>203</v>
      </c>
      <c r="OQK13" s="314" t="s">
        <v>203</v>
      </c>
      <c r="OQL13" s="314" t="s">
        <v>203</v>
      </c>
      <c r="OQM13" s="314" t="s">
        <v>203</v>
      </c>
      <c r="OQN13" s="314" t="s">
        <v>203</v>
      </c>
      <c r="OQO13" s="314" t="s">
        <v>203</v>
      </c>
      <c r="OQP13" s="314" t="s">
        <v>203</v>
      </c>
      <c r="OQQ13" s="314" t="s">
        <v>203</v>
      </c>
      <c r="OQR13" s="314" t="s">
        <v>203</v>
      </c>
      <c r="OQS13" s="314" t="s">
        <v>203</v>
      </c>
      <c r="OQT13" s="314" t="s">
        <v>203</v>
      </c>
      <c r="OQU13" s="314" t="s">
        <v>203</v>
      </c>
      <c r="OQV13" s="314" t="s">
        <v>203</v>
      </c>
      <c r="OQW13" s="314" t="s">
        <v>203</v>
      </c>
      <c r="OQX13" s="314" t="s">
        <v>203</v>
      </c>
      <c r="OQY13" s="314" t="s">
        <v>203</v>
      </c>
      <c r="OQZ13" s="314" t="s">
        <v>203</v>
      </c>
      <c r="ORA13" s="314" t="s">
        <v>203</v>
      </c>
      <c r="ORB13" s="314" t="s">
        <v>203</v>
      </c>
      <c r="ORC13" s="314" t="s">
        <v>203</v>
      </c>
      <c r="ORD13" s="314" t="s">
        <v>203</v>
      </c>
      <c r="ORE13" s="314" t="s">
        <v>203</v>
      </c>
      <c r="ORF13" s="314" t="s">
        <v>203</v>
      </c>
      <c r="ORG13" s="314" t="s">
        <v>203</v>
      </c>
      <c r="ORH13" s="314" t="s">
        <v>203</v>
      </c>
      <c r="ORI13" s="314" t="s">
        <v>203</v>
      </c>
      <c r="ORJ13" s="314" t="s">
        <v>203</v>
      </c>
      <c r="ORK13" s="314" t="s">
        <v>203</v>
      </c>
      <c r="ORL13" s="314" t="s">
        <v>203</v>
      </c>
      <c r="ORM13" s="314" t="s">
        <v>203</v>
      </c>
      <c r="ORN13" s="314" t="s">
        <v>203</v>
      </c>
      <c r="ORO13" s="314" t="s">
        <v>203</v>
      </c>
      <c r="ORP13" s="314" t="s">
        <v>203</v>
      </c>
      <c r="ORQ13" s="314" t="s">
        <v>203</v>
      </c>
      <c r="ORR13" s="314" t="s">
        <v>203</v>
      </c>
      <c r="ORS13" s="314" t="s">
        <v>203</v>
      </c>
      <c r="ORT13" s="314" t="s">
        <v>203</v>
      </c>
      <c r="ORU13" s="314" t="s">
        <v>203</v>
      </c>
      <c r="ORV13" s="314" t="s">
        <v>203</v>
      </c>
      <c r="ORW13" s="314" t="s">
        <v>203</v>
      </c>
      <c r="ORX13" s="314" t="s">
        <v>203</v>
      </c>
      <c r="ORY13" s="314" t="s">
        <v>203</v>
      </c>
      <c r="ORZ13" s="314" t="s">
        <v>203</v>
      </c>
      <c r="OSA13" s="314" t="s">
        <v>203</v>
      </c>
      <c r="OSB13" s="314" t="s">
        <v>203</v>
      </c>
      <c r="OSC13" s="314" t="s">
        <v>203</v>
      </c>
      <c r="OSD13" s="314" t="s">
        <v>203</v>
      </c>
      <c r="OSE13" s="314" t="s">
        <v>203</v>
      </c>
      <c r="OSF13" s="314" t="s">
        <v>203</v>
      </c>
      <c r="OSG13" s="314" t="s">
        <v>203</v>
      </c>
      <c r="OSH13" s="314" t="s">
        <v>203</v>
      </c>
      <c r="OSI13" s="314" t="s">
        <v>203</v>
      </c>
      <c r="OSJ13" s="314" t="s">
        <v>203</v>
      </c>
      <c r="OSK13" s="314" t="s">
        <v>203</v>
      </c>
      <c r="OSL13" s="314" t="s">
        <v>203</v>
      </c>
      <c r="OSM13" s="314" t="s">
        <v>203</v>
      </c>
      <c r="OSN13" s="314" t="s">
        <v>203</v>
      </c>
      <c r="OSO13" s="314" t="s">
        <v>203</v>
      </c>
      <c r="OSP13" s="314" t="s">
        <v>203</v>
      </c>
      <c r="OSQ13" s="314" t="s">
        <v>203</v>
      </c>
      <c r="OSR13" s="314" t="s">
        <v>203</v>
      </c>
      <c r="OSS13" s="314" t="s">
        <v>203</v>
      </c>
      <c r="OST13" s="314" t="s">
        <v>203</v>
      </c>
      <c r="OSU13" s="314" t="s">
        <v>203</v>
      </c>
      <c r="OSV13" s="314" t="s">
        <v>203</v>
      </c>
      <c r="OSW13" s="314" t="s">
        <v>203</v>
      </c>
      <c r="OSX13" s="314" t="s">
        <v>203</v>
      </c>
      <c r="OSY13" s="314" t="s">
        <v>203</v>
      </c>
      <c r="OSZ13" s="314" t="s">
        <v>203</v>
      </c>
      <c r="OTA13" s="314" t="s">
        <v>203</v>
      </c>
      <c r="OTB13" s="314" t="s">
        <v>203</v>
      </c>
      <c r="OTC13" s="314" t="s">
        <v>203</v>
      </c>
      <c r="OTD13" s="314" t="s">
        <v>203</v>
      </c>
      <c r="OTE13" s="314" t="s">
        <v>203</v>
      </c>
      <c r="OTF13" s="314" t="s">
        <v>203</v>
      </c>
      <c r="OTG13" s="314" t="s">
        <v>203</v>
      </c>
      <c r="OTH13" s="314" t="s">
        <v>203</v>
      </c>
      <c r="OTI13" s="314" t="s">
        <v>203</v>
      </c>
      <c r="OTJ13" s="314" t="s">
        <v>203</v>
      </c>
      <c r="OTK13" s="314" t="s">
        <v>203</v>
      </c>
      <c r="OTL13" s="314" t="s">
        <v>203</v>
      </c>
      <c r="OTM13" s="314" t="s">
        <v>203</v>
      </c>
      <c r="OTN13" s="314" t="s">
        <v>203</v>
      </c>
      <c r="OTO13" s="314" t="s">
        <v>203</v>
      </c>
      <c r="OTP13" s="314" t="s">
        <v>203</v>
      </c>
      <c r="OTQ13" s="314" t="s">
        <v>203</v>
      </c>
      <c r="OTR13" s="314" t="s">
        <v>203</v>
      </c>
      <c r="OTS13" s="314" t="s">
        <v>203</v>
      </c>
      <c r="OTT13" s="314" t="s">
        <v>203</v>
      </c>
      <c r="OTU13" s="314" t="s">
        <v>203</v>
      </c>
      <c r="OTV13" s="314" t="s">
        <v>203</v>
      </c>
      <c r="OTW13" s="314" t="s">
        <v>203</v>
      </c>
      <c r="OTX13" s="314" t="s">
        <v>203</v>
      </c>
      <c r="OTY13" s="314" t="s">
        <v>203</v>
      </c>
      <c r="OTZ13" s="314" t="s">
        <v>203</v>
      </c>
      <c r="OUA13" s="314" t="s">
        <v>203</v>
      </c>
      <c r="OUB13" s="314" t="s">
        <v>203</v>
      </c>
      <c r="OUC13" s="314" t="s">
        <v>203</v>
      </c>
      <c r="OUD13" s="314" t="s">
        <v>203</v>
      </c>
      <c r="OUE13" s="314" t="s">
        <v>203</v>
      </c>
      <c r="OUF13" s="314" t="s">
        <v>203</v>
      </c>
      <c r="OUG13" s="314" t="s">
        <v>203</v>
      </c>
      <c r="OUH13" s="314" t="s">
        <v>203</v>
      </c>
      <c r="OUI13" s="314" t="s">
        <v>203</v>
      </c>
      <c r="OUJ13" s="314" t="s">
        <v>203</v>
      </c>
      <c r="OUK13" s="314" t="s">
        <v>203</v>
      </c>
      <c r="OUL13" s="314" t="s">
        <v>203</v>
      </c>
      <c r="OUM13" s="314" t="s">
        <v>203</v>
      </c>
      <c r="OUN13" s="314" t="s">
        <v>203</v>
      </c>
      <c r="OUO13" s="314" t="s">
        <v>203</v>
      </c>
      <c r="OUP13" s="314" t="s">
        <v>203</v>
      </c>
      <c r="OUQ13" s="314" t="s">
        <v>203</v>
      </c>
      <c r="OUR13" s="314" t="s">
        <v>203</v>
      </c>
      <c r="OUS13" s="314" t="s">
        <v>203</v>
      </c>
      <c r="OUT13" s="314" t="s">
        <v>203</v>
      </c>
      <c r="OUU13" s="314" t="s">
        <v>203</v>
      </c>
      <c r="OUV13" s="314" t="s">
        <v>203</v>
      </c>
      <c r="OUW13" s="314" t="s">
        <v>203</v>
      </c>
      <c r="OUX13" s="314" t="s">
        <v>203</v>
      </c>
      <c r="OUY13" s="314" t="s">
        <v>203</v>
      </c>
      <c r="OUZ13" s="314" t="s">
        <v>203</v>
      </c>
      <c r="OVA13" s="314" t="s">
        <v>203</v>
      </c>
      <c r="OVB13" s="314" t="s">
        <v>203</v>
      </c>
      <c r="OVC13" s="314" t="s">
        <v>203</v>
      </c>
      <c r="OVD13" s="314" t="s">
        <v>203</v>
      </c>
      <c r="OVE13" s="314" t="s">
        <v>203</v>
      </c>
      <c r="OVF13" s="314" t="s">
        <v>203</v>
      </c>
      <c r="OVG13" s="314" t="s">
        <v>203</v>
      </c>
      <c r="OVH13" s="314" t="s">
        <v>203</v>
      </c>
      <c r="OVI13" s="314" t="s">
        <v>203</v>
      </c>
      <c r="OVJ13" s="314" t="s">
        <v>203</v>
      </c>
      <c r="OVK13" s="314" t="s">
        <v>203</v>
      </c>
      <c r="OVL13" s="314" t="s">
        <v>203</v>
      </c>
      <c r="OVM13" s="314" t="s">
        <v>203</v>
      </c>
      <c r="OVN13" s="314" t="s">
        <v>203</v>
      </c>
      <c r="OVO13" s="314" t="s">
        <v>203</v>
      </c>
      <c r="OVP13" s="314" t="s">
        <v>203</v>
      </c>
      <c r="OVQ13" s="314" t="s">
        <v>203</v>
      </c>
      <c r="OVR13" s="314" t="s">
        <v>203</v>
      </c>
      <c r="OVS13" s="314" t="s">
        <v>203</v>
      </c>
      <c r="OVT13" s="314" t="s">
        <v>203</v>
      </c>
      <c r="OVU13" s="314" t="s">
        <v>203</v>
      </c>
      <c r="OVV13" s="314" t="s">
        <v>203</v>
      </c>
      <c r="OVW13" s="314" t="s">
        <v>203</v>
      </c>
      <c r="OVX13" s="314" t="s">
        <v>203</v>
      </c>
      <c r="OVY13" s="314" t="s">
        <v>203</v>
      </c>
      <c r="OVZ13" s="314" t="s">
        <v>203</v>
      </c>
      <c r="OWA13" s="314" t="s">
        <v>203</v>
      </c>
      <c r="OWB13" s="314" t="s">
        <v>203</v>
      </c>
      <c r="OWC13" s="314" t="s">
        <v>203</v>
      </c>
      <c r="OWD13" s="314" t="s">
        <v>203</v>
      </c>
      <c r="OWE13" s="314" t="s">
        <v>203</v>
      </c>
      <c r="OWF13" s="314" t="s">
        <v>203</v>
      </c>
      <c r="OWG13" s="314" t="s">
        <v>203</v>
      </c>
      <c r="OWH13" s="314" t="s">
        <v>203</v>
      </c>
      <c r="OWI13" s="314" t="s">
        <v>203</v>
      </c>
      <c r="OWJ13" s="314" t="s">
        <v>203</v>
      </c>
      <c r="OWK13" s="314" t="s">
        <v>203</v>
      </c>
      <c r="OWL13" s="314" t="s">
        <v>203</v>
      </c>
      <c r="OWM13" s="314" t="s">
        <v>203</v>
      </c>
      <c r="OWN13" s="314" t="s">
        <v>203</v>
      </c>
      <c r="OWO13" s="314" t="s">
        <v>203</v>
      </c>
      <c r="OWP13" s="314" t="s">
        <v>203</v>
      </c>
      <c r="OWQ13" s="314" t="s">
        <v>203</v>
      </c>
      <c r="OWR13" s="314" t="s">
        <v>203</v>
      </c>
      <c r="OWS13" s="314" t="s">
        <v>203</v>
      </c>
      <c r="OWT13" s="314" t="s">
        <v>203</v>
      </c>
      <c r="OWU13" s="314" t="s">
        <v>203</v>
      </c>
      <c r="OWV13" s="314" t="s">
        <v>203</v>
      </c>
      <c r="OWW13" s="314" t="s">
        <v>203</v>
      </c>
      <c r="OWX13" s="314" t="s">
        <v>203</v>
      </c>
      <c r="OWY13" s="314" t="s">
        <v>203</v>
      </c>
      <c r="OWZ13" s="314" t="s">
        <v>203</v>
      </c>
      <c r="OXA13" s="314" t="s">
        <v>203</v>
      </c>
      <c r="OXB13" s="314" t="s">
        <v>203</v>
      </c>
      <c r="OXC13" s="314" t="s">
        <v>203</v>
      </c>
      <c r="OXD13" s="314" t="s">
        <v>203</v>
      </c>
      <c r="OXE13" s="314" t="s">
        <v>203</v>
      </c>
      <c r="OXF13" s="314" t="s">
        <v>203</v>
      </c>
      <c r="OXG13" s="314" t="s">
        <v>203</v>
      </c>
      <c r="OXH13" s="314" t="s">
        <v>203</v>
      </c>
      <c r="OXI13" s="314" t="s">
        <v>203</v>
      </c>
      <c r="OXJ13" s="314" t="s">
        <v>203</v>
      </c>
      <c r="OXK13" s="314" t="s">
        <v>203</v>
      </c>
      <c r="OXL13" s="314" t="s">
        <v>203</v>
      </c>
      <c r="OXM13" s="314" t="s">
        <v>203</v>
      </c>
      <c r="OXN13" s="314" t="s">
        <v>203</v>
      </c>
      <c r="OXO13" s="314" t="s">
        <v>203</v>
      </c>
      <c r="OXP13" s="314" t="s">
        <v>203</v>
      </c>
      <c r="OXQ13" s="314" t="s">
        <v>203</v>
      </c>
      <c r="OXR13" s="314" t="s">
        <v>203</v>
      </c>
      <c r="OXS13" s="314" t="s">
        <v>203</v>
      </c>
      <c r="OXT13" s="314" t="s">
        <v>203</v>
      </c>
      <c r="OXU13" s="314" t="s">
        <v>203</v>
      </c>
      <c r="OXV13" s="314" t="s">
        <v>203</v>
      </c>
      <c r="OXW13" s="314" t="s">
        <v>203</v>
      </c>
      <c r="OXX13" s="314" t="s">
        <v>203</v>
      </c>
      <c r="OXY13" s="314" t="s">
        <v>203</v>
      </c>
      <c r="OXZ13" s="314" t="s">
        <v>203</v>
      </c>
      <c r="OYA13" s="314" t="s">
        <v>203</v>
      </c>
      <c r="OYB13" s="314" t="s">
        <v>203</v>
      </c>
      <c r="OYC13" s="314" t="s">
        <v>203</v>
      </c>
      <c r="OYD13" s="314" t="s">
        <v>203</v>
      </c>
      <c r="OYE13" s="314" t="s">
        <v>203</v>
      </c>
      <c r="OYF13" s="314" t="s">
        <v>203</v>
      </c>
      <c r="OYG13" s="314" t="s">
        <v>203</v>
      </c>
      <c r="OYH13" s="314" t="s">
        <v>203</v>
      </c>
      <c r="OYI13" s="314" t="s">
        <v>203</v>
      </c>
      <c r="OYJ13" s="314" t="s">
        <v>203</v>
      </c>
      <c r="OYK13" s="314" t="s">
        <v>203</v>
      </c>
      <c r="OYL13" s="314" t="s">
        <v>203</v>
      </c>
      <c r="OYM13" s="314" t="s">
        <v>203</v>
      </c>
      <c r="OYN13" s="314" t="s">
        <v>203</v>
      </c>
      <c r="OYO13" s="314" t="s">
        <v>203</v>
      </c>
      <c r="OYP13" s="314" t="s">
        <v>203</v>
      </c>
      <c r="OYQ13" s="314" t="s">
        <v>203</v>
      </c>
      <c r="OYR13" s="314" t="s">
        <v>203</v>
      </c>
      <c r="OYS13" s="314" t="s">
        <v>203</v>
      </c>
      <c r="OYT13" s="314" t="s">
        <v>203</v>
      </c>
      <c r="OYU13" s="314" t="s">
        <v>203</v>
      </c>
      <c r="OYV13" s="314" t="s">
        <v>203</v>
      </c>
      <c r="OYW13" s="314" t="s">
        <v>203</v>
      </c>
      <c r="OYX13" s="314" t="s">
        <v>203</v>
      </c>
      <c r="OYY13" s="314" t="s">
        <v>203</v>
      </c>
      <c r="OYZ13" s="314" t="s">
        <v>203</v>
      </c>
      <c r="OZA13" s="314" t="s">
        <v>203</v>
      </c>
      <c r="OZB13" s="314" t="s">
        <v>203</v>
      </c>
      <c r="OZC13" s="314" t="s">
        <v>203</v>
      </c>
      <c r="OZD13" s="314" t="s">
        <v>203</v>
      </c>
      <c r="OZE13" s="314" t="s">
        <v>203</v>
      </c>
      <c r="OZF13" s="314" t="s">
        <v>203</v>
      </c>
      <c r="OZG13" s="314" t="s">
        <v>203</v>
      </c>
      <c r="OZH13" s="314" t="s">
        <v>203</v>
      </c>
      <c r="OZI13" s="314" t="s">
        <v>203</v>
      </c>
      <c r="OZJ13" s="314" t="s">
        <v>203</v>
      </c>
      <c r="OZK13" s="314" t="s">
        <v>203</v>
      </c>
      <c r="OZL13" s="314" t="s">
        <v>203</v>
      </c>
      <c r="OZM13" s="314" t="s">
        <v>203</v>
      </c>
      <c r="OZN13" s="314" t="s">
        <v>203</v>
      </c>
      <c r="OZO13" s="314" t="s">
        <v>203</v>
      </c>
      <c r="OZP13" s="314" t="s">
        <v>203</v>
      </c>
      <c r="OZQ13" s="314" t="s">
        <v>203</v>
      </c>
      <c r="OZR13" s="314" t="s">
        <v>203</v>
      </c>
      <c r="OZS13" s="314" t="s">
        <v>203</v>
      </c>
      <c r="OZT13" s="314" t="s">
        <v>203</v>
      </c>
      <c r="OZU13" s="314" t="s">
        <v>203</v>
      </c>
      <c r="OZV13" s="314" t="s">
        <v>203</v>
      </c>
      <c r="OZW13" s="314" t="s">
        <v>203</v>
      </c>
      <c r="OZX13" s="314" t="s">
        <v>203</v>
      </c>
      <c r="OZY13" s="314" t="s">
        <v>203</v>
      </c>
      <c r="OZZ13" s="314" t="s">
        <v>203</v>
      </c>
      <c r="PAA13" s="314" t="s">
        <v>203</v>
      </c>
      <c r="PAB13" s="314" t="s">
        <v>203</v>
      </c>
      <c r="PAC13" s="314" t="s">
        <v>203</v>
      </c>
      <c r="PAD13" s="314" t="s">
        <v>203</v>
      </c>
      <c r="PAE13" s="314" t="s">
        <v>203</v>
      </c>
      <c r="PAF13" s="314" t="s">
        <v>203</v>
      </c>
      <c r="PAG13" s="314" t="s">
        <v>203</v>
      </c>
      <c r="PAH13" s="314" t="s">
        <v>203</v>
      </c>
      <c r="PAI13" s="314" t="s">
        <v>203</v>
      </c>
      <c r="PAJ13" s="314" t="s">
        <v>203</v>
      </c>
      <c r="PAK13" s="314" t="s">
        <v>203</v>
      </c>
      <c r="PAL13" s="314" t="s">
        <v>203</v>
      </c>
      <c r="PAM13" s="314" t="s">
        <v>203</v>
      </c>
      <c r="PAN13" s="314" t="s">
        <v>203</v>
      </c>
      <c r="PAO13" s="314" t="s">
        <v>203</v>
      </c>
      <c r="PAP13" s="314" t="s">
        <v>203</v>
      </c>
      <c r="PAQ13" s="314" t="s">
        <v>203</v>
      </c>
      <c r="PAR13" s="314" t="s">
        <v>203</v>
      </c>
      <c r="PAS13" s="314" t="s">
        <v>203</v>
      </c>
      <c r="PAT13" s="314" t="s">
        <v>203</v>
      </c>
      <c r="PAU13" s="314" t="s">
        <v>203</v>
      </c>
      <c r="PAV13" s="314" t="s">
        <v>203</v>
      </c>
      <c r="PAW13" s="314" t="s">
        <v>203</v>
      </c>
      <c r="PAX13" s="314" t="s">
        <v>203</v>
      </c>
      <c r="PAY13" s="314" t="s">
        <v>203</v>
      </c>
      <c r="PAZ13" s="314" t="s">
        <v>203</v>
      </c>
      <c r="PBA13" s="314" t="s">
        <v>203</v>
      </c>
      <c r="PBB13" s="314" t="s">
        <v>203</v>
      </c>
      <c r="PBC13" s="314" t="s">
        <v>203</v>
      </c>
      <c r="PBD13" s="314" t="s">
        <v>203</v>
      </c>
      <c r="PBE13" s="314" t="s">
        <v>203</v>
      </c>
      <c r="PBF13" s="314" t="s">
        <v>203</v>
      </c>
      <c r="PBG13" s="314" t="s">
        <v>203</v>
      </c>
      <c r="PBH13" s="314" t="s">
        <v>203</v>
      </c>
      <c r="PBI13" s="314" t="s">
        <v>203</v>
      </c>
      <c r="PBJ13" s="314" t="s">
        <v>203</v>
      </c>
      <c r="PBK13" s="314" t="s">
        <v>203</v>
      </c>
      <c r="PBL13" s="314" t="s">
        <v>203</v>
      </c>
      <c r="PBM13" s="314" t="s">
        <v>203</v>
      </c>
      <c r="PBN13" s="314" t="s">
        <v>203</v>
      </c>
      <c r="PBO13" s="314" t="s">
        <v>203</v>
      </c>
      <c r="PBP13" s="314" t="s">
        <v>203</v>
      </c>
      <c r="PBQ13" s="314" t="s">
        <v>203</v>
      </c>
      <c r="PBR13" s="314" t="s">
        <v>203</v>
      </c>
      <c r="PBS13" s="314" t="s">
        <v>203</v>
      </c>
      <c r="PBT13" s="314" t="s">
        <v>203</v>
      </c>
      <c r="PBU13" s="314" t="s">
        <v>203</v>
      </c>
      <c r="PBV13" s="314" t="s">
        <v>203</v>
      </c>
      <c r="PBW13" s="314" t="s">
        <v>203</v>
      </c>
      <c r="PBX13" s="314" t="s">
        <v>203</v>
      </c>
      <c r="PBY13" s="314" t="s">
        <v>203</v>
      </c>
      <c r="PBZ13" s="314" t="s">
        <v>203</v>
      </c>
      <c r="PCA13" s="314" t="s">
        <v>203</v>
      </c>
      <c r="PCB13" s="314" t="s">
        <v>203</v>
      </c>
      <c r="PCC13" s="314" t="s">
        <v>203</v>
      </c>
      <c r="PCD13" s="314" t="s">
        <v>203</v>
      </c>
      <c r="PCE13" s="314" t="s">
        <v>203</v>
      </c>
      <c r="PCF13" s="314" t="s">
        <v>203</v>
      </c>
      <c r="PCG13" s="314" t="s">
        <v>203</v>
      </c>
      <c r="PCH13" s="314" t="s">
        <v>203</v>
      </c>
      <c r="PCI13" s="314" t="s">
        <v>203</v>
      </c>
      <c r="PCJ13" s="314" t="s">
        <v>203</v>
      </c>
      <c r="PCK13" s="314" t="s">
        <v>203</v>
      </c>
      <c r="PCL13" s="314" t="s">
        <v>203</v>
      </c>
      <c r="PCM13" s="314" t="s">
        <v>203</v>
      </c>
      <c r="PCN13" s="314" t="s">
        <v>203</v>
      </c>
      <c r="PCO13" s="314" t="s">
        <v>203</v>
      </c>
      <c r="PCP13" s="314" t="s">
        <v>203</v>
      </c>
      <c r="PCQ13" s="314" t="s">
        <v>203</v>
      </c>
      <c r="PCR13" s="314" t="s">
        <v>203</v>
      </c>
      <c r="PCS13" s="314" t="s">
        <v>203</v>
      </c>
      <c r="PCT13" s="314" t="s">
        <v>203</v>
      </c>
      <c r="PCU13" s="314" t="s">
        <v>203</v>
      </c>
      <c r="PCV13" s="314" t="s">
        <v>203</v>
      </c>
      <c r="PCW13" s="314" t="s">
        <v>203</v>
      </c>
      <c r="PCX13" s="314" t="s">
        <v>203</v>
      </c>
      <c r="PCY13" s="314" t="s">
        <v>203</v>
      </c>
      <c r="PCZ13" s="314" t="s">
        <v>203</v>
      </c>
      <c r="PDA13" s="314" t="s">
        <v>203</v>
      </c>
      <c r="PDB13" s="314" t="s">
        <v>203</v>
      </c>
      <c r="PDC13" s="314" t="s">
        <v>203</v>
      </c>
      <c r="PDD13" s="314" t="s">
        <v>203</v>
      </c>
      <c r="PDE13" s="314" t="s">
        <v>203</v>
      </c>
      <c r="PDF13" s="314" t="s">
        <v>203</v>
      </c>
      <c r="PDG13" s="314" t="s">
        <v>203</v>
      </c>
      <c r="PDH13" s="314" t="s">
        <v>203</v>
      </c>
      <c r="PDI13" s="314" t="s">
        <v>203</v>
      </c>
      <c r="PDJ13" s="314" t="s">
        <v>203</v>
      </c>
      <c r="PDK13" s="314" t="s">
        <v>203</v>
      </c>
      <c r="PDL13" s="314" t="s">
        <v>203</v>
      </c>
      <c r="PDM13" s="314" t="s">
        <v>203</v>
      </c>
      <c r="PDN13" s="314" t="s">
        <v>203</v>
      </c>
      <c r="PDO13" s="314" t="s">
        <v>203</v>
      </c>
      <c r="PDP13" s="314" t="s">
        <v>203</v>
      </c>
      <c r="PDQ13" s="314" t="s">
        <v>203</v>
      </c>
      <c r="PDR13" s="314" t="s">
        <v>203</v>
      </c>
      <c r="PDS13" s="314" t="s">
        <v>203</v>
      </c>
      <c r="PDT13" s="314" t="s">
        <v>203</v>
      </c>
      <c r="PDU13" s="314" t="s">
        <v>203</v>
      </c>
      <c r="PDV13" s="314" t="s">
        <v>203</v>
      </c>
      <c r="PDW13" s="314" t="s">
        <v>203</v>
      </c>
      <c r="PDX13" s="314" t="s">
        <v>203</v>
      </c>
      <c r="PDY13" s="314" t="s">
        <v>203</v>
      </c>
      <c r="PDZ13" s="314" t="s">
        <v>203</v>
      </c>
      <c r="PEA13" s="314" t="s">
        <v>203</v>
      </c>
      <c r="PEB13" s="314" t="s">
        <v>203</v>
      </c>
      <c r="PEC13" s="314" t="s">
        <v>203</v>
      </c>
      <c r="PED13" s="314" t="s">
        <v>203</v>
      </c>
      <c r="PEE13" s="314" t="s">
        <v>203</v>
      </c>
      <c r="PEF13" s="314" t="s">
        <v>203</v>
      </c>
      <c r="PEG13" s="314" t="s">
        <v>203</v>
      </c>
      <c r="PEH13" s="314" t="s">
        <v>203</v>
      </c>
      <c r="PEI13" s="314" t="s">
        <v>203</v>
      </c>
      <c r="PEJ13" s="314" t="s">
        <v>203</v>
      </c>
      <c r="PEK13" s="314" t="s">
        <v>203</v>
      </c>
      <c r="PEL13" s="314" t="s">
        <v>203</v>
      </c>
      <c r="PEM13" s="314" t="s">
        <v>203</v>
      </c>
      <c r="PEN13" s="314" t="s">
        <v>203</v>
      </c>
      <c r="PEO13" s="314" t="s">
        <v>203</v>
      </c>
      <c r="PEP13" s="314" t="s">
        <v>203</v>
      </c>
      <c r="PEQ13" s="314" t="s">
        <v>203</v>
      </c>
      <c r="PER13" s="314" t="s">
        <v>203</v>
      </c>
      <c r="PES13" s="314" t="s">
        <v>203</v>
      </c>
      <c r="PET13" s="314" t="s">
        <v>203</v>
      </c>
      <c r="PEU13" s="314" t="s">
        <v>203</v>
      </c>
      <c r="PEV13" s="314" t="s">
        <v>203</v>
      </c>
      <c r="PEW13" s="314" t="s">
        <v>203</v>
      </c>
      <c r="PEX13" s="314" t="s">
        <v>203</v>
      </c>
      <c r="PEY13" s="314" t="s">
        <v>203</v>
      </c>
      <c r="PEZ13" s="314" t="s">
        <v>203</v>
      </c>
      <c r="PFA13" s="314" t="s">
        <v>203</v>
      </c>
      <c r="PFB13" s="314" t="s">
        <v>203</v>
      </c>
      <c r="PFC13" s="314" t="s">
        <v>203</v>
      </c>
      <c r="PFD13" s="314" t="s">
        <v>203</v>
      </c>
      <c r="PFE13" s="314" t="s">
        <v>203</v>
      </c>
      <c r="PFF13" s="314" t="s">
        <v>203</v>
      </c>
      <c r="PFG13" s="314" t="s">
        <v>203</v>
      </c>
      <c r="PFH13" s="314" t="s">
        <v>203</v>
      </c>
      <c r="PFI13" s="314" t="s">
        <v>203</v>
      </c>
      <c r="PFJ13" s="314" t="s">
        <v>203</v>
      </c>
      <c r="PFK13" s="314" t="s">
        <v>203</v>
      </c>
      <c r="PFL13" s="314" t="s">
        <v>203</v>
      </c>
      <c r="PFM13" s="314" t="s">
        <v>203</v>
      </c>
      <c r="PFN13" s="314" t="s">
        <v>203</v>
      </c>
      <c r="PFO13" s="314" t="s">
        <v>203</v>
      </c>
      <c r="PFP13" s="314" t="s">
        <v>203</v>
      </c>
      <c r="PFQ13" s="314" t="s">
        <v>203</v>
      </c>
      <c r="PFR13" s="314" t="s">
        <v>203</v>
      </c>
      <c r="PFS13" s="314" t="s">
        <v>203</v>
      </c>
      <c r="PFT13" s="314" t="s">
        <v>203</v>
      </c>
      <c r="PFU13" s="314" t="s">
        <v>203</v>
      </c>
      <c r="PFV13" s="314" t="s">
        <v>203</v>
      </c>
      <c r="PFW13" s="314" t="s">
        <v>203</v>
      </c>
      <c r="PFX13" s="314" t="s">
        <v>203</v>
      </c>
      <c r="PFY13" s="314" t="s">
        <v>203</v>
      </c>
      <c r="PFZ13" s="314" t="s">
        <v>203</v>
      </c>
      <c r="PGA13" s="314" t="s">
        <v>203</v>
      </c>
      <c r="PGB13" s="314" t="s">
        <v>203</v>
      </c>
      <c r="PGC13" s="314" t="s">
        <v>203</v>
      </c>
      <c r="PGD13" s="314" t="s">
        <v>203</v>
      </c>
      <c r="PGE13" s="314" t="s">
        <v>203</v>
      </c>
      <c r="PGF13" s="314" t="s">
        <v>203</v>
      </c>
      <c r="PGG13" s="314" t="s">
        <v>203</v>
      </c>
      <c r="PGH13" s="314" t="s">
        <v>203</v>
      </c>
      <c r="PGI13" s="314" t="s">
        <v>203</v>
      </c>
      <c r="PGJ13" s="314" t="s">
        <v>203</v>
      </c>
      <c r="PGK13" s="314" t="s">
        <v>203</v>
      </c>
      <c r="PGL13" s="314" t="s">
        <v>203</v>
      </c>
      <c r="PGM13" s="314" t="s">
        <v>203</v>
      </c>
      <c r="PGN13" s="314" t="s">
        <v>203</v>
      </c>
      <c r="PGO13" s="314" t="s">
        <v>203</v>
      </c>
      <c r="PGP13" s="314" t="s">
        <v>203</v>
      </c>
      <c r="PGQ13" s="314" t="s">
        <v>203</v>
      </c>
      <c r="PGR13" s="314" t="s">
        <v>203</v>
      </c>
      <c r="PGS13" s="314" t="s">
        <v>203</v>
      </c>
      <c r="PGT13" s="314" t="s">
        <v>203</v>
      </c>
      <c r="PGU13" s="314" t="s">
        <v>203</v>
      </c>
      <c r="PGV13" s="314" t="s">
        <v>203</v>
      </c>
      <c r="PGW13" s="314" t="s">
        <v>203</v>
      </c>
      <c r="PGX13" s="314" t="s">
        <v>203</v>
      </c>
      <c r="PGY13" s="314" t="s">
        <v>203</v>
      </c>
      <c r="PGZ13" s="314" t="s">
        <v>203</v>
      </c>
      <c r="PHA13" s="314" t="s">
        <v>203</v>
      </c>
      <c r="PHB13" s="314" t="s">
        <v>203</v>
      </c>
      <c r="PHC13" s="314" t="s">
        <v>203</v>
      </c>
      <c r="PHD13" s="314" t="s">
        <v>203</v>
      </c>
      <c r="PHE13" s="314" t="s">
        <v>203</v>
      </c>
      <c r="PHF13" s="314" t="s">
        <v>203</v>
      </c>
      <c r="PHG13" s="314" t="s">
        <v>203</v>
      </c>
      <c r="PHH13" s="314" t="s">
        <v>203</v>
      </c>
      <c r="PHI13" s="314" t="s">
        <v>203</v>
      </c>
      <c r="PHJ13" s="314" t="s">
        <v>203</v>
      </c>
      <c r="PHK13" s="314" t="s">
        <v>203</v>
      </c>
      <c r="PHL13" s="314" t="s">
        <v>203</v>
      </c>
      <c r="PHM13" s="314" t="s">
        <v>203</v>
      </c>
      <c r="PHN13" s="314" t="s">
        <v>203</v>
      </c>
      <c r="PHO13" s="314" t="s">
        <v>203</v>
      </c>
      <c r="PHP13" s="314" t="s">
        <v>203</v>
      </c>
      <c r="PHQ13" s="314" t="s">
        <v>203</v>
      </c>
      <c r="PHR13" s="314" t="s">
        <v>203</v>
      </c>
      <c r="PHS13" s="314" t="s">
        <v>203</v>
      </c>
      <c r="PHT13" s="314" t="s">
        <v>203</v>
      </c>
      <c r="PHU13" s="314" t="s">
        <v>203</v>
      </c>
      <c r="PHV13" s="314" t="s">
        <v>203</v>
      </c>
      <c r="PHW13" s="314" t="s">
        <v>203</v>
      </c>
      <c r="PHX13" s="314" t="s">
        <v>203</v>
      </c>
      <c r="PHY13" s="314" t="s">
        <v>203</v>
      </c>
      <c r="PHZ13" s="314" t="s">
        <v>203</v>
      </c>
      <c r="PIA13" s="314" t="s">
        <v>203</v>
      </c>
      <c r="PIB13" s="314" t="s">
        <v>203</v>
      </c>
      <c r="PIC13" s="314" t="s">
        <v>203</v>
      </c>
      <c r="PID13" s="314" t="s">
        <v>203</v>
      </c>
      <c r="PIE13" s="314" t="s">
        <v>203</v>
      </c>
      <c r="PIF13" s="314" t="s">
        <v>203</v>
      </c>
      <c r="PIG13" s="314" t="s">
        <v>203</v>
      </c>
      <c r="PIH13" s="314" t="s">
        <v>203</v>
      </c>
      <c r="PII13" s="314" t="s">
        <v>203</v>
      </c>
      <c r="PIJ13" s="314" t="s">
        <v>203</v>
      </c>
      <c r="PIK13" s="314" t="s">
        <v>203</v>
      </c>
      <c r="PIL13" s="314" t="s">
        <v>203</v>
      </c>
      <c r="PIM13" s="314" t="s">
        <v>203</v>
      </c>
      <c r="PIN13" s="314" t="s">
        <v>203</v>
      </c>
      <c r="PIO13" s="314" t="s">
        <v>203</v>
      </c>
      <c r="PIP13" s="314" t="s">
        <v>203</v>
      </c>
      <c r="PIQ13" s="314" t="s">
        <v>203</v>
      </c>
      <c r="PIR13" s="314" t="s">
        <v>203</v>
      </c>
      <c r="PIS13" s="314" t="s">
        <v>203</v>
      </c>
      <c r="PIT13" s="314" t="s">
        <v>203</v>
      </c>
      <c r="PIU13" s="314" t="s">
        <v>203</v>
      </c>
      <c r="PIV13" s="314" t="s">
        <v>203</v>
      </c>
      <c r="PIW13" s="314" t="s">
        <v>203</v>
      </c>
      <c r="PIX13" s="314" t="s">
        <v>203</v>
      </c>
      <c r="PIY13" s="314" t="s">
        <v>203</v>
      </c>
      <c r="PIZ13" s="314" t="s">
        <v>203</v>
      </c>
      <c r="PJA13" s="314" t="s">
        <v>203</v>
      </c>
      <c r="PJB13" s="314" t="s">
        <v>203</v>
      </c>
      <c r="PJC13" s="314" t="s">
        <v>203</v>
      </c>
      <c r="PJD13" s="314" t="s">
        <v>203</v>
      </c>
      <c r="PJE13" s="314" t="s">
        <v>203</v>
      </c>
      <c r="PJF13" s="314" t="s">
        <v>203</v>
      </c>
      <c r="PJG13" s="314" t="s">
        <v>203</v>
      </c>
      <c r="PJH13" s="314" t="s">
        <v>203</v>
      </c>
      <c r="PJI13" s="314" t="s">
        <v>203</v>
      </c>
      <c r="PJJ13" s="314" t="s">
        <v>203</v>
      </c>
      <c r="PJK13" s="314" t="s">
        <v>203</v>
      </c>
      <c r="PJL13" s="314" t="s">
        <v>203</v>
      </c>
      <c r="PJM13" s="314" t="s">
        <v>203</v>
      </c>
      <c r="PJN13" s="314" t="s">
        <v>203</v>
      </c>
      <c r="PJO13" s="314" t="s">
        <v>203</v>
      </c>
      <c r="PJP13" s="314" t="s">
        <v>203</v>
      </c>
      <c r="PJQ13" s="314" t="s">
        <v>203</v>
      </c>
      <c r="PJR13" s="314" t="s">
        <v>203</v>
      </c>
      <c r="PJS13" s="314" t="s">
        <v>203</v>
      </c>
      <c r="PJT13" s="314" t="s">
        <v>203</v>
      </c>
      <c r="PJU13" s="314" t="s">
        <v>203</v>
      </c>
      <c r="PJV13" s="314" t="s">
        <v>203</v>
      </c>
      <c r="PJW13" s="314" t="s">
        <v>203</v>
      </c>
      <c r="PJX13" s="314" t="s">
        <v>203</v>
      </c>
      <c r="PJY13" s="314" t="s">
        <v>203</v>
      </c>
      <c r="PJZ13" s="314" t="s">
        <v>203</v>
      </c>
      <c r="PKA13" s="314" t="s">
        <v>203</v>
      </c>
      <c r="PKB13" s="314" t="s">
        <v>203</v>
      </c>
      <c r="PKC13" s="314" t="s">
        <v>203</v>
      </c>
      <c r="PKD13" s="314" t="s">
        <v>203</v>
      </c>
      <c r="PKE13" s="314" t="s">
        <v>203</v>
      </c>
      <c r="PKF13" s="314" t="s">
        <v>203</v>
      </c>
      <c r="PKG13" s="314" t="s">
        <v>203</v>
      </c>
      <c r="PKH13" s="314" t="s">
        <v>203</v>
      </c>
      <c r="PKI13" s="314" t="s">
        <v>203</v>
      </c>
      <c r="PKJ13" s="314" t="s">
        <v>203</v>
      </c>
      <c r="PKK13" s="314" t="s">
        <v>203</v>
      </c>
      <c r="PKL13" s="314" t="s">
        <v>203</v>
      </c>
      <c r="PKM13" s="314" t="s">
        <v>203</v>
      </c>
      <c r="PKN13" s="314" t="s">
        <v>203</v>
      </c>
      <c r="PKO13" s="314" t="s">
        <v>203</v>
      </c>
      <c r="PKP13" s="314" t="s">
        <v>203</v>
      </c>
      <c r="PKQ13" s="314" t="s">
        <v>203</v>
      </c>
      <c r="PKR13" s="314" t="s">
        <v>203</v>
      </c>
      <c r="PKS13" s="314" t="s">
        <v>203</v>
      </c>
      <c r="PKT13" s="314" t="s">
        <v>203</v>
      </c>
      <c r="PKU13" s="314" t="s">
        <v>203</v>
      </c>
      <c r="PKV13" s="314" t="s">
        <v>203</v>
      </c>
      <c r="PKW13" s="314" t="s">
        <v>203</v>
      </c>
      <c r="PKX13" s="314" t="s">
        <v>203</v>
      </c>
      <c r="PKY13" s="314" t="s">
        <v>203</v>
      </c>
      <c r="PKZ13" s="314" t="s">
        <v>203</v>
      </c>
      <c r="PLA13" s="314" t="s">
        <v>203</v>
      </c>
      <c r="PLB13" s="314" t="s">
        <v>203</v>
      </c>
      <c r="PLC13" s="314" t="s">
        <v>203</v>
      </c>
      <c r="PLD13" s="314" t="s">
        <v>203</v>
      </c>
      <c r="PLE13" s="314" t="s">
        <v>203</v>
      </c>
      <c r="PLF13" s="314" t="s">
        <v>203</v>
      </c>
      <c r="PLG13" s="314" t="s">
        <v>203</v>
      </c>
      <c r="PLH13" s="314" t="s">
        <v>203</v>
      </c>
      <c r="PLI13" s="314" t="s">
        <v>203</v>
      </c>
      <c r="PLJ13" s="314" t="s">
        <v>203</v>
      </c>
      <c r="PLK13" s="314" t="s">
        <v>203</v>
      </c>
      <c r="PLL13" s="314" t="s">
        <v>203</v>
      </c>
      <c r="PLM13" s="314" t="s">
        <v>203</v>
      </c>
      <c r="PLN13" s="314" t="s">
        <v>203</v>
      </c>
      <c r="PLO13" s="314" t="s">
        <v>203</v>
      </c>
      <c r="PLP13" s="314" t="s">
        <v>203</v>
      </c>
      <c r="PLQ13" s="314" t="s">
        <v>203</v>
      </c>
      <c r="PLR13" s="314" t="s">
        <v>203</v>
      </c>
      <c r="PLS13" s="314" t="s">
        <v>203</v>
      </c>
      <c r="PLT13" s="314" t="s">
        <v>203</v>
      </c>
      <c r="PLU13" s="314" t="s">
        <v>203</v>
      </c>
      <c r="PLV13" s="314" t="s">
        <v>203</v>
      </c>
      <c r="PLW13" s="314" t="s">
        <v>203</v>
      </c>
      <c r="PLX13" s="314" t="s">
        <v>203</v>
      </c>
      <c r="PLY13" s="314" t="s">
        <v>203</v>
      </c>
      <c r="PLZ13" s="314" t="s">
        <v>203</v>
      </c>
      <c r="PMA13" s="314" t="s">
        <v>203</v>
      </c>
      <c r="PMB13" s="314" t="s">
        <v>203</v>
      </c>
      <c r="PMC13" s="314" t="s">
        <v>203</v>
      </c>
      <c r="PMD13" s="314" t="s">
        <v>203</v>
      </c>
      <c r="PME13" s="314" t="s">
        <v>203</v>
      </c>
      <c r="PMF13" s="314" t="s">
        <v>203</v>
      </c>
      <c r="PMG13" s="314" t="s">
        <v>203</v>
      </c>
      <c r="PMH13" s="314" t="s">
        <v>203</v>
      </c>
      <c r="PMI13" s="314" t="s">
        <v>203</v>
      </c>
      <c r="PMJ13" s="314" t="s">
        <v>203</v>
      </c>
      <c r="PMK13" s="314" t="s">
        <v>203</v>
      </c>
      <c r="PML13" s="314" t="s">
        <v>203</v>
      </c>
      <c r="PMM13" s="314" t="s">
        <v>203</v>
      </c>
      <c r="PMN13" s="314" t="s">
        <v>203</v>
      </c>
      <c r="PMO13" s="314" t="s">
        <v>203</v>
      </c>
      <c r="PMP13" s="314" t="s">
        <v>203</v>
      </c>
      <c r="PMQ13" s="314" t="s">
        <v>203</v>
      </c>
      <c r="PMR13" s="314" t="s">
        <v>203</v>
      </c>
      <c r="PMS13" s="314" t="s">
        <v>203</v>
      </c>
      <c r="PMT13" s="314" t="s">
        <v>203</v>
      </c>
      <c r="PMU13" s="314" t="s">
        <v>203</v>
      </c>
      <c r="PMV13" s="314" t="s">
        <v>203</v>
      </c>
      <c r="PMW13" s="314" t="s">
        <v>203</v>
      </c>
      <c r="PMX13" s="314" t="s">
        <v>203</v>
      </c>
      <c r="PMY13" s="314" t="s">
        <v>203</v>
      </c>
      <c r="PMZ13" s="314" t="s">
        <v>203</v>
      </c>
      <c r="PNA13" s="314" t="s">
        <v>203</v>
      </c>
      <c r="PNB13" s="314" t="s">
        <v>203</v>
      </c>
      <c r="PNC13" s="314" t="s">
        <v>203</v>
      </c>
      <c r="PND13" s="314" t="s">
        <v>203</v>
      </c>
      <c r="PNE13" s="314" t="s">
        <v>203</v>
      </c>
      <c r="PNF13" s="314" t="s">
        <v>203</v>
      </c>
      <c r="PNG13" s="314" t="s">
        <v>203</v>
      </c>
      <c r="PNH13" s="314" t="s">
        <v>203</v>
      </c>
      <c r="PNI13" s="314" t="s">
        <v>203</v>
      </c>
      <c r="PNJ13" s="314" t="s">
        <v>203</v>
      </c>
      <c r="PNK13" s="314" t="s">
        <v>203</v>
      </c>
      <c r="PNL13" s="314" t="s">
        <v>203</v>
      </c>
      <c r="PNM13" s="314" t="s">
        <v>203</v>
      </c>
      <c r="PNN13" s="314" t="s">
        <v>203</v>
      </c>
      <c r="PNO13" s="314" t="s">
        <v>203</v>
      </c>
      <c r="PNP13" s="314" t="s">
        <v>203</v>
      </c>
      <c r="PNQ13" s="314" t="s">
        <v>203</v>
      </c>
      <c r="PNR13" s="314" t="s">
        <v>203</v>
      </c>
      <c r="PNS13" s="314" t="s">
        <v>203</v>
      </c>
      <c r="PNT13" s="314" t="s">
        <v>203</v>
      </c>
      <c r="PNU13" s="314" t="s">
        <v>203</v>
      </c>
      <c r="PNV13" s="314" t="s">
        <v>203</v>
      </c>
      <c r="PNW13" s="314" t="s">
        <v>203</v>
      </c>
      <c r="PNX13" s="314" t="s">
        <v>203</v>
      </c>
      <c r="PNY13" s="314" t="s">
        <v>203</v>
      </c>
      <c r="PNZ13" s="314" t="s">
        <v>203</v>
      </c>
      <c r="POA13" s="314" t="s">
        <v>203</v>
      </c>
      <c r="POB13" s="314" t="s">
        <v>203</v>
      </c>
      <c r="POC13" s="314" t="s">
        <v>203</v>
      </c>
      <c r="POD13" s="314" t="s">
        <v>203</v>
      </c>
      <c r="POE13" s="314" t="s">
        <v>203</v>
      </c>
      <c r="POF13" s="314" t="s">
        <v>203</v>
      </c>
      <c r="POG13" s="314" t="s">
        <v>203</v>
      </c>
      <c r="POH13" s="314" t="s">
        <v>203</v>
      </c>
      <c r="POI13" s="314" t="s">
        <v>203</v>
      </c>
      <c r="POJ13" s="314" t="s">
        <v>203</v>
      </c>
      <c r="POK13" s="314" t="s">
        <v>203</v>
      </c>
      <c r="POL13" s="314" t="s">
        <v>203</v>
      </c>
      <c r="POM13" s="314" t="s">
        <v>203</v>
      </c>
      <c r="PON13" s="314" t="s">
        <v>203</v>
      </c>
      <c r="POO13" s="314" t="s">
        <v>203</v>
      </c>
      <c r="POP13" s="314" t="s">
        <v>203</v>
      </c>
      <c r="POQ13" s="314" t="s">
        <v>203</v>
      </c>
      <c r="POR13" s="314" t="s">
        <v>203</v>
      </c>
      <c r="POS13" s="314" t="s">
        <v>203</v>
      </c>
      <c r="POT13" s="314" t="s">
        <v>203</v>
      </c>
      <c r="POU13" s="314" t="s">
        <v>203</v>
      </c>
      <c r="POV13" s="314" t="s">
        <v>203</v>
      </c>
      <c r="POW13" s="314" t="s">
        <v>203</v>
      </c>
      <c r="POX13" s="314" t="s">
        <v>203</v>
      </c>
      <c r="POY13" s="314" t="s">
        <v>203</v>
      </c>
      <c r="POZ13" s="314" t="s">
        <v>203</v>
      </c>
      <c r="PPA13" s="314" t="s">
        <v>203</v>
      </c>
      <c r="PPB13" s="314" t="s">
        <v>203</v>
      </c>
      <c r="PPC13" s="314" t="s">
        <v>203</v>
      </c>
      <c r="PPD13" s="314" t="s">
        <v>203</v>
      </c>
      <c r="PPE13" s="314" t="s">
        <v>203</v>
      </c>
      <c r="PPF13" s="314" t="s">
        <v>203</v>
      </c>
      <c r="PPG13" s="314" t="s">
        <v>203</v>
      </c>
      <c r="PPH13" s="314" t="s">
        <v>203</v>
      </c>
      <c r="PPI13" s="314" t="s">
        <v>203</v>
      </c>
      <c r="PPJ13" s="314" t="s">
        <v>203</v>
      </c>
      <c r="PPK13" s="314" t="s">
        <v>203</v>
      </c>
      <c r="PPL13" s="314" t="s">
        <v>203</v>
      </c>
      <c r="PPM13" s="314" t="s">
        <v>203</v>
      </c>
      <c r="PPN13" s="314" t="s">
        <v>203</v>
      </c>
      <c r="PPO13" s="314" t="s">
        <v>203</v>
      </c>
      <c r="PPP13" s="314" t="s">
        <v>203</v>
      </c>
      <c r="PPQ13" s="314" t="s">
        <v>203</v>
      </c>
      <c r="PPR13" s="314" t="s">
        <v>203</v>
      </c>
      <c r="PPS13" s="314" t="s">
        <v>203</v>
      </c>
      <c r="PPT13" s="314" t="s">
        <v>203</v>
      </c>
      <c r="PPU13" s="314" t="s">
        <v>203</v>
      </c>
      <c r="PPV13" s="314" t="s">
        <v>203</v>
      </c>
      <c r="PPW13" s="314" t="s">
        <v>203</v>
      </c>
      <c r="PPX13" s="314" t="s">
        <v>203</v>
      </c>
      <c r="PPY13" s="314" t="s">
        <v>203</v>
      </c>
      <c r="PPZ13" s="314" t="s">
        <v>203</v>
      </c>
      <c r="PQA13" s="314" t="s">
        <v>203</v>
      </c>
      <c r="PQB13" s="314" t="s">
        <v>203</v>
      </c>
      <c r="PQC13" s="314" t="s">
        <v>203</v>
      </c>
      <c r="PQD13" s="314" t="s">
        <v>203</v>
      </c>
      <c r="PQE13" s="314" t="s">
        <v>203</v>
      </c>
      <c r="PQF13" s="314" t="s">
        <v>203</v>
      </c>
      <c r="PQG13" s="314" t="s">
        <v>203</v>
      </c>
      <c r="PQH13" s="314" t="s">
        <v>203</v>
      </c>
      <c r="PQI13" s="314" t="s">
        <v>203</v>
      </c>
      <c r="PQJ13" s="314" t="s">
        <v>203</v>
      </c>
      <c r="PQK13" s="314" t="s">
        <v>203</v>
      </c>
      <c r="PQL13" s="314" t="s">
        <v>203</v>
      </c>
      <c r="PQM13" s="314" t="s">
        <v>203</v>
      </c>
      <c r="PQN13" s="314" t="s">
        <v>203</v>
      </c>
      <c r="PQO13" s="314" t="s">
        <v>203</v>
      </c>
      <c r="PQP13" s="314" t="s">
        <v>203</v>
      </c>
      <c r="PQQ13" s="314" t="s">
        <v>203</v>
      </c>
      <c r="PQR13" s="314" t="s">
        <v>203</v>
      </c>
      <c r="PQS13" s="314" t="s">
        <v>203</v>
      </c>
      <c r="PQT13" s="314" t="s">
        <v>203</v>
      </c>
      <c r="PQU13" s="314" t="s">
        <v>203</v>
      </c>
      <c r="PQV13" s="314" t="s">
        <v>203</v>
      </c>
      <c r="PQW13" s="314" t="s">
        <v>203</v>
      </c>
      <c r="PQX13" s="314" t="s">
        <v>203</v>
      </c>
      <c r="PQY13" s="314" t="s">
        <v>203</v>
      </c>
      <c r="PQZ13" s="314" t="s">
        <v>203</v>
      </c>
      <c r="PRA13" s="314" t="s">
        <v>203</v>
      </c>
      <c r="PRB13" s="314" t="s">
        <v>203</v>
      </c>
      <c r="PRC13" s="314" t="s">
        <v>203</v>
      </c>
      <c r="PRD13" s="314" t="s">
        <v>203</v>
      </c>
      <c r="PRE13" s="314" t="s">
        <v>203</v>
      </c>
      <c r="PRF13" s="314" t="s">
        <v>203</v>
      </c>
      <c r="PRG13" s="314" t="s">
        <v>203</v>
      </c>
      <c r="PRH13" s="314" t="s">
        <v>203</v>
      </c>
      <c r="PRI13" s="314" t="s">
        <v>203</v>
      </c>
      <c r="PRJ13" s="314" t="s">
        <v>203</v>
      </c>
      <c r="PRK13" s="314" t="s">
        <v>203</v>
      </c>
      <c r="PRL13" s="314" t="s">
        <v>203</v>
      </c>
      <c r="PRM13" s="314" t="s">
        <v>203</v>
      </c>
      <c r="PRN13" s="314" t="s">
        <v>203</v>
      </c>
      <c r="PRO13" s="314" t="s">
        <v>203</v>
      </c>
      <c r="PRP13" s="314" t="s">
        <v>203</v>
      </c>
      <c r="PRQ13" s="314" t="s">
        <v>203</v>
      </c>
      <c r="PRR13" s="314" t="s">
        <v>203</v>
      </c>
      <c r="PRS13" s="314" t="s">
        <v>203</v>
      </c>
      <c r="PRT13" s="314" t="s">
        <v>203</v>
      </c>
      <c r="PRU13" s="314" t="s">
        <v>203</v>
      </c>
      <c r="PRV13" s="314" t="s">
        <v>203</v>
      </c>
      <c r="PRW13" s="314" t="s">
        <v>203</v>
      </c>
      <c r="PRX13" s="314" t="s">
        <v>203</v>
      </c>
      <c r="PRY13" s="314" t="s">
        <v>203</v>
      </c>
      <c r="PRZ13" s="314" t="s">
        <v>203</v>
      </c>
      <c r="PSA13" s="314" t="s">
        <v>203</v>
      </c>
      <c r="PSB13" s="314" t="s">
        <v>203</v>
      </c>
      <c r="PSC13" s="314" t="s">
        <v>203</v>
      </c>
      <c r="PSD13" s="314" t="s">
        <v>203</v>
      </c>
      <c r="PSE13" s="314" t="s">
        <v>203</v>
      </c>
      <c r="PSF13" s="314" t="s">
        <v>203</v>
      </c>
      <c r="PSG13" s="314" t="s">
        <v>203</v>
      </c>
      <c r="PSH13" s="314" t="s">
        <v>203</v>
      </c>
      <c r="PSI13" s="314" t="s">
        <v>203</v>
      </c>
      <c r="PSJ13" s="314" t="s">
        <v>203</v>
      </c>
      <c r="PSK13" s="314" t="s">
        <v>203</v>
      </c>
      <c r="PSL13" s="314" t="s">
        <v>203</v>
      </c>
      <c r="PSM13" s="314" t="s">
        <v>203</v>
      </c>
      <c r="PSN13" s="314" t="s">
        <v>203</v>
      </c>
      <c r="PSO13" s="314" t="s">
        <v>203</v>
      </c>
      <c r="PSP13" s="314" t="s">
        <v>203</v>
      </c>
      <c r="PSQ13" s="314" t="s">
        <v>203</v>
      </c>
      <c r="PSR13" s="314" t="s">
        <v>203</v>
      </c>
      <c r="PSS13" s="314" t="s">
        <v>203</v>
      </c>
      <c r="PST13" s="314" t="s">
        <v>203</v>
      </c>
      <c r="PSU13" s="314" t="s">
        <v>203</v>
      </c>
      <c r="PSV13" s="314" t="s">
        <v>203</v>
      </c>
      <c r="PSW13" s="314" t="s">
        <v>203</v>
      </c>
      <c r="PSX13" s="314" t="s">
        <v>203</v>
      </c>
      <c r="PSY13" s="314" t="s">
        <v>203</v>
      </c>
      <c r="PSZ13" s="314" t="s">
        <v>203</v>
      </c>
      <c r="PTA13" s="314" t="s">
        <v>203</v>
      </c>
      <c r="PTB13" s="314" t="s">
        <v>203</v>
      </c>
      <c r="PTC13" s="314" t="s">
        <v>203</v>
      </c>
      <c r="PTD13" s="314" t="s">
        <v>203</v>
      </c>
      <c r="PTE13" s="314" t="s">
        <v>203</v>
      </c>
      <c r="PTF13" s="314" t="s">
        <v>203</v>
      </c>
      <c r="PTG13" s="314" t="s">
        <v>203</v>
      </c>
      <c r="PTH13" s="314" t="s">
        <v>203</v>
      </c>
      <c r="PTI13" s="314" t="s">
        <v>203</v>
      </c>
      <c r="PTJ13" s="314" t="s">
        <v>203</v>
      </c>
      <c r="PTK13" s="314" t="s">
        <v>203</v>
      </c>
      <c r="PTL13" s="314" t="s">
        <v>203</v>
      </c>
      <c r="PTM13" s="314" t="s">
        <v>203</v>
      </c>
      <c r="PTN13" s="314" t="s">
        <v>203</v>
      </c>
      <c r="PTO13" s="314" t="s">
        <v>203</v>
      </c>
      <c r="PTP13" s="314" t="s">
        <v>203</v>
      </c>
      <c r="PTQ13" s="314" t="s">
        <v>203</v>
      </c>
      <c r="PTR13" s="314" t="s">
        <v>203</v>
      </c>
      <c r="PTS13" s="314" t="s">
        <v>203</v>
      </c>
      <c r="PTT13" s="314" t="s">
        <v>203</v>
      </c>
      <c r="PTU13" s="314" t="s">
        <v>203</v>
      </c>
      <c r="PTV13" s="314" t="s">
        <v>203</v>
      </c>
      <c r="PTW13" s="314" t="s">
        <v>203</v>
      </c>
      <c r="PTX13" s="314" t="s">
        <v>203</v>
      </c>
      <c r="PTY13" s="314" t="s">
        <v>203</v>
      </c>
      <c r="PTZ13" s="314" t="s">
        <v>203</v>
      </c>
      <c r="PUA13" s="314" t="s">
        <v>203</v>
      </c>
      <c r="PUB13" s="314" t="s">
        <v>203</v>
      </c>
      <c r="PUC13" s="314" t="s">
        <v>203</v>
      </c>
      <c r="PUD13" s="314" t="s">
        <v>203</v>
      </c>
      <c r="PUE13" s="314" t="s">
        <v>203</v>
      </c>
      <c r="PUF13" s="314" t="s">
        <v>203</v>
      </c>
      <c r="PUG13" s="314" t="s">
        <v>203</v>
      </c>
      <c r="PUH13" s="314" t="s">
        <v>203</v>
      </c>
      <c r="PUI13" s="314" t="s">
        <v>203</v>
      </c>
      <c r="PUJ13" s="314" t="s">
        <v>203</v>
      </c>
      <c r="PUK13" s="314" t="s">
        <v>203</v>
      </c>
      <c r="PUL13" s="314" t="s">
        <v>203</v>
      </c>
      <c r="PUM13" s="314" t="s">
        <v>203</v>
      </c>
      <c r="PUN13" s="314" t="s">
        <v>203</v>
      </c>
      <c r="PUO13" s="314" t="s">
        <v>203</v>
      </c>
      <c r="PUP13" s="314" t="s">
        <v>203</v>
      </c>
      <c r="PUQ13" s="314" t="s">
        <v>203</v>
      </c>
      <c r="PUR13" s="314" t="s">
        <v>203</v>
      </c>
      <c r="PUS13" s="314" t="s">
        <v>203</v>
      </c>
      <c r="PUT13" s="314" t="s">
        <v>203</v>
      </c>
      <c r="PUU13" s="314" t="s">
        <v>203</v>
      </c>
      <c r="PUV13" s="314" t="s">
        <v>203</v>
      </c>
      <c r="PUW13" s="314" t="s">
        <v>203</v>
      </c>
      <c r="PUX13" s="314" t="s">
        <v>203</v>
      </c>
      <c r="PUY13" s="314" t="s">
        <v>203</v>
      </c>
      <c r="PUZ13" s="314" t="s">
        <v>203</v>
      </c>
      <c r="PVA13" s="314" t="s">
        <v>203</v>
      </c>
      <c r="PVB13" s="314" t="s">
        <v>203</v>
      </c>
      <c r="PVC13" s="314" t="s">
        <v>203</v>
      </c>
      <c r="PVD13" s="314" t="s">
        <v>203</v>
      </c>
      <c r="PVE13" s="314" t="s">
        <v>203</v>
      </c>
      <c r="PVF13" s="314" t="s">
        <v>203</v>
      </c>
      <c r="PVG13" s="314" t="s">
        <v>203</v>
      </c>
      <c r="PVH13" s="314" t="s">
        <v>203</v>
      </c>
      <c r="PVI13" s="314" t="s">
        <v>203</v>
      </c>
      <c r="PVJ13" s="314" t="s">
        <v>203</v>
      </c>
      <c r="PVK13" s="314" t="s">
        <v>203</v>
      </c>
      <c r="PVL13" s="314" t="s">
        <v>203</v>
      </c>
      <c r="PVM13" s="314" t="s">
        <v>203</v>
      </c>
      <c r="PVN13" s="314" t="s">
        <v>203</v>
      </c>
      <c r="PVO13" s="314" t="s">
        <v>203</v>
      </c>
      <c r="PVP13" s="314" t="s">
        <v>203</v>
      </c>
      <c r="PVQ13" s="314" t="s">
        <v>203</v>
      </c>
      <c r="PVR13" s="314" t="s">
        <v>203</v>
      </c>
      <c r="PVS13" s="314" t="s">
        <v>203</v>
      </c>
      <c r="PVT13" s="314" t="s">
        <v>203</v>
      </c>
      <c r="PVU13" s="314" t="s">
        <v>203</v>
      </c>
      <c r="PVV13" s="314" t="s">
        <v>203</v>
      </c>
      <c r="PVW13" s="314" t="s">
        <v>203</v>
      </c>
      <c r="PVX13" s="314" t="s">
        <v>203</v>
      </c>
      <c r="PVY13" s="314" t="s">
        <v>203</v>
      </c>
      <c r="PVZ13" s="314" t="s">
        <v>203</v>
      </c>
      <c r="PWA13" s="314" t="s">
        <v>203</v>
      </c>
      <c r="PWB13" s="314" t="s">
        <v>203</v>
      </c>
      <c r="PWC13" s="314" t="s">
        <v>203</v>
      </c>
      <c r="PWD13" s="314" t="s">
        <v>203</v>
      </c>
      <c r="PWE13" s="314" t="s">
        <v>203</v>
      </c>
      <c r="PWF13" s="314" t="s">
        <v>203</v>
      </c>
      <c r="PWG13" s="314" t="s">
        <v>203</v>
      </c>
      <c r="PWH13" s="314" t="s">
        <v>203</v>
      </c>
      <c r="PWI13" s="314" t="s">
        <v>203</v>
      </c>
      <c r="PWJ13" s="314" t="s">
        <v>203</v>
      </c>
      <c r="PWK13" s="314" t="s">
        <v>203</v>
      </c>
      <c r="PWL13" s="314" t="s">
        <v>203</v>
      </c>
      <c r="PWM13" s="314" t="s">
        <v>203</v>
      </c>
      <c r="PWN13" s="314" t="s">
        <v>203</v>
      </c>
      <c r="PWO13" s="314" t="s">
        <v>203</v>
      </c>
      <c r="PWP13" s="314" t="s">
        <v>203</v>
      </c>
      <c r="PWQ13" s="314" t="s">
        <v>203</v>
      </c>
      <c r="PWR13" s="314" t="s">
        <v>203</v>
      </c>
      <c r="PWS13" s="314" t="s">
        <v>203</v>
      </c>
      <c r="PWT13" s="314" t="s">
        <v>203</v>
      </c>
      <c r="PWU13" s="314" t="s">
        <v>203</v>
      </c>
      <c r="PWV13" s="314" t="s">
        <v>203</v>
      </c>
      <c r="PWW13" s="314" t="s">
        <v>203</v>
      </c>
      <c r="PWX13" s="314" t="s">
        <v>203</v>
      </c>
      <c r="PWY13" s="314" t="s">
        <v>203</v>
      </c>
      <c r="PWZ13" s="314" t="s">
        <v>203</v>
      </c>
      <c r="PXA13" s="314" t="s">
        <v>203</v>
      </c>
      <c r="PXB13" s="314" t="s">
        <v>203</v>
      </c>
      <c r="PXC13" s="314" t="s">
        <v>203</v>
      </c>
      <c r="PXD13" s="314" t="s">
        <v>203</v>
      </c>
      <c r="PXE13" s="314" t="s">
        <v>203</v>
      </c>
      <c r="PXF13" s="314" t="s">
        <v>203</v>
      </c>
      <c r="PXG13" s="314" t="s">
        <v>203</v>
      </c>
      <c r="PXH13" s="314" t="s">
        <v>203</v>
      </c>
      <c r="PXI13" s="314" t="s">
        <v>203</v>
      </c>
      <c r="PXJ13" s="314" t="s">
        <v>203</v>
      </c>
      <c r="PXK13" s="314" t="s">
        <v>203</v>
      </c>
      <c r="PXL13" s="314" t="s">
        <v>203</v>
      </c>
      <c r="PXM13" s="314" t="s">
        <v>203</v>
      </c>
      <c r="PXN13" s="314" t="s">
        <v>203</v>
      </c>
      <c r="PXO13" s="314" t="s">
        <v>203</v>
      </c>
      <c r="PXP13" s="314" t="s">
        <v>203</v>
      </c>
      <c r="PXQ13" s="314" t="s">
        <v>203</v>
      </c>
      <c r="PXR13" s="314" t="s">
        <v>203</v>
      </c>
      <c r="PXS13" s="314" t="s">
        <v>203</v>
      </c>
      <c r="PXT13" s="314" t="s">
        <v>203</v>
      </c>
      <c r="PXU13" s="314" t="s">
        <v>203</v>
      </c>
      <c r="PXV13" s="314" t="s">
        <v>203</v>
      </c>
      <c r="PXW13" s="314" t="s">
        <v>203</v>
      </c>
      <c r="PXX13" s="314" t="s">
        <v>203</v>
      </c>
      <c r="PXY13" s="314" t="s">
        <v>203</v>
      </c>
      <c r="PXZ13" s="314" t="s">
        <v>203</v>
      </c>
      <c r="PYA13" s="314" t="s">
        <v>203</v>
      </c>
      <c r="PYB13" s="314" t="s">
        <v>203</v>
      </c>
      <c r="PYC13" s="314" t="s">
        <v>203</v>
      </c>
      <c r="PYD13" s="314" t="s">
        <v>203</v>
      </c>
      <c r="PYE13" s="314" t="s">
        <v>203</v>
      </c>
      <c r="PYF13" s="314" t="s">
        <v>203</v>
      </c>
      <c r="PYG13" s="314" t="s">
        <v>203</v>
      </c>
      <c r="PYH13" s="314" t="s">
        <v>203</v>
      </c>
      <c r="PYI13" s="314" t="s">
        <v>203</v>
      </c>
      <c r="PYJ13" s="314" t="s">
        <v>203</v>
      </c>
      <c r="PYK13" s="314" t="s">
        <v>203</v>
      </c>
      <c r="PYL13" s="314" t="s">
        <v>203</v>
      </c>
      <c r="PYM13" s="314" t="s">
        <v>203</v>
      </c>
      <c r="PYN13" s="314" t="s">
        <v>203</v>
      </c>
      <c r="PYO13" s="314" t="s">
        <v>203</v>
      </c>
      <c r="PYP13" s="314" t="s">
        <v>203</v>
      </c>
      <c r="PYQ13" s="314" t="s">
        <v>203</v>
      </c>
      <c r="PYR13" s="314" t="s">
        <v>203</v>
      </c>
      <c r="PYS13" s="314" t="s">
        <v>203</v>
      </c>
      <c r="PYT13" s="314" t="s">
        <v>203</v>
      </c>
      <c r="PYU13" s="314" t="s">
        <v>203</v>
      </c>
      <c r="PYV13" s="314" t="s">
        <v>203</v>
      </c>
      <c r="PYW13" s="314" t="s">
        <v>203</v>
      </c>
      <c r="PYX13" s="314" t="s">
        <v>203</v>
      </c>
      <c r="PYY13" s="314" t="s">
        <v>203</v>
      </c>
      <c r="PYZ13" s="314" t="s">
        <v>203</v>
      </c>
      <c r="PZA13" s="314" t="s">
        <v>203</v>
      </c>
      <c r="PZB13" s="314" t="s">
        <v>203</v>
      </c>
      <c r="PZC13" s="314" t="s">
        <v>203</v>
      </c>
      <c r="PZD13" s="314" t="s">
        <v>203</v>
      </c>
      <c r="PZE13" s="314" t="s">
        <v>203</v>
      </c>
      <c r="PZF13" s="314" t="s">
        <v>203</v>
      </c>
      <c r="PZG13" s="314" t="s">
        <v>203</v>
      </c>
      <c r="PZH13" s="314" t="s">
        <v>203</v>
      </c>
      <c r="PZI13" s="314" t="s">
        <v>203</v>
      </c>
      <c r="PZJ13" s="314" t="s">
        <v>203</v>
      </c>
      <c r="PZK13" s="314" t="s">
        <v>203</v>
      </c>
      <c r="PZL13" s="314" t="s">
        <v>203</v>
      </c>
      <c r="PZM13" s="314" t="s">
        <v>203</v>
      </c>
      <c r="PZN13" s="314" t="s">
        <v>203</v>
      </c>
      <c r="PZO13" s="314" t="s">
        <v>203</v>
      </c>
      <c r="PZP13" s="314" t="s">
        <v>203</v>
      </c>
      <c r="PZQ13" s="314" t="s">
        <v>203</v>
      </c>
      <c r="PZR13" s="314" t="s">
        <v>203</v>
      </c>
      <c r="PZS13" s="314" t="s">
        <v>203</v>
      </c>
      <c r="PZT13" s="314" t="s">
        <v>203</v>
      </c>
      <c r="PZU13" s="314" t="s">
        <v>203</v>
      </c>
      <c r="PZV13" s="314" t="s">
        <v>203</v>
      </c>
      <c r="PZW13" s="314" t="s">
        <v>203</v>
      </c>
      <c r="PZX13" s="314" t="s">
        <v>203</v>
      </c>
      <c r="PZY13" s="314" t="s">
        <v>203</v>
      </c>
      <c r="PZZ13" s="314" t="s">
        <v>203</v>
      </c>
      <c r="QAA13" s="314" t="s">
        <v>203</v>
      </c>
      <c r="QAB13" s="314" t="s">
        <v>203</v>
      </c>
      <c r="QAC13" s="314" t="s">
        <v>203</v>
      </c>
      <c r="QAD13" s="314" t="s">
        <v>203</v>
      </c>
      <c r="QAE13" s="314" t="s">
        <v>203</v>
      </c>
      <c r="QAF13" s="314" t="s">
        <v>203</v>
      </c>
      <c r="QAG13" s="314" t="s">
        <v>203</v>
      </c>
      <c r="QAH13" s="314" t="s">
        <v>203</v>
      </c>
      <c r="QAI13" s="314" t="s">
        <v>203</v>
      </c>
      <c r="QAJ13" s="314" t="s">
        <v>203</v>
      </c>
      <c r="QAK13" s="314" t="s">
        <v>203</v>
      </c>
      <c r="QAL13" s="314" t="s">
        <v>203</v>
      </c>
      <c r="QAM13" s="314" t="s">
        <v>203</v>
      </c>
      <c r="QAN13" s="314" t="s">
        <v>203</v>
      </c>
      <c r="QAO13" s="314" t="s">
        <v>203</v>
      </c>
      <c r="QAP13" s="314" t="s">
        <v>203</v>
      </c>
      <c r="QAQ13" s="314" t="s">
        <v>203</v>
      </c>
      <c r="QAR13" s="314" t="s">
        <v>203</v>
      </c>
      <c r="QAS13" s="314" t="s">
        <v>203</v>
      </c>
      <c r="QAT13" s="314" t="s">
        <v>203</v>
      </c>
      <c r="QAU13" s="314" t="s">
        <v>203</v>
      </c>
      <c r="QAV13" s="314" t="s">
        <v>203</v>
      </c>
      <c r="QAW13" s="314" t="s">
        <v>203</v>
      </c>
      <c r="QAX13" s="314" t="s">
        <v>203</v>
      </c>
      <c r="QAY13" s="314" t="s">
        <v>203</v>
      </c>
      <c r="QAZ13" s="314" t="s">
        <v>203</v>
      </c>
      <c r="QBA13" s="314" t="s">
        <v>203</v>
      </c>
      <c r="QBB13" s="314" t="s">
        <v>203</v>
      </c>
      <c r="QBC13" s="314" t="s">
        <v>203</v>
      </c>
      <c r="QBD13" s="314" t="s">
        <v>203</v>
      </c>
      <c r="QBE13" s="314" t="s">
        <v>203</v>
      </c>
      <c r="QBF13" s="314" t="s">
        <v>203</v>
      </c>
      <c r="QBG13" s="314" t="s">
        <v>203</v>
      </c>
      <c r="QBH13" s="314" t="s">
        <v>203</v>
      </c>
      <c r="QBI13" s="314" t="s">
        <v>203</v>
      </c>
      <c r="QBJ13" s="314" t="s">
        <v>203</v>
      </c>
      <c r="QBK13" s="314" t="s">
        <v>203</v>
      </c>
      <c r="QBL13" s="314" t="s">
        <v>203</v>
      </c>
      <c r="QBM13" s="314" t="s">
        <v>203</v>
      </c>
      <c r="QBN13" s="314" t="s">
        <v>203</v>
      </c>
      <c r="QBO13" s="314" t="s">
        <v>203</v>
      </c>
      <c r="QBP13" s="314" t="s">
        <v>203</v>
      </c>
      <c r="QBQ13" s="314" t="s">
        <v>203</v>
      </c>
      <c r="QBR13" s="314" t="s">
        <v>203</v>
      </c>
      <c r="QBS13" s="314" t="s">
        <v>203</v>
      </c>
      <c r="QBT13" s="314" t="s">
        <v>203</v>
      </c>
      <c r="QBU13" s="314" t="s">
        <v>203</v>
      </c>
      <c r="QBV13" s="314" t="s">
        <v>203</v>
      </c>
      <c r="QBW13" s="314" t="s">
        <v>203</v>
      </c>
      <c r="QBX13" s="314" t="s">
        <v>203</v>
      </c>
      <c r="QBY13" s="314" t="s">
        <v>203</v>
      </c>
      <c r="QBZ13" s="314" t="s">
        <v>203</v>
      </c>
      <c r="QCA13" s="314" t="s">
        <v>203</v>
      </c>
      <c r="QCB13" s="314" t="s">
        <v>203</v>
      </c>
      <c r="QCC13" s="314" t="s">
        <v>203</v>
      </c>
      <c r="QCD13" s="314" t="s">
        <v>203</v>
      </c>
      <c r="QCE13" s="314" t="s">
        <v>203</v>
      </c>
      <c r="QCF13" s="314" t="s">
        <v>203</v>
      </c>
      <c r="QCG13" s="314" t="s">
        <v>203</v>
      </c>
      <c r="QCH13" s="314" t="s">
        <v>203</v>
      </c>
      <c r="QCI13" s="314" t="s">
        <v>203</v>
      </c>
      <c r="QCJ13" s="314" t="s">
        <v>203</v>
      </c>
      <c r="QCK13" s="314" t="s">
        <v>203</v>
      </c>
      <c r="QCL13" s="314" t="s">
        <v>203</v>
      </c>
      <c r="QCM13" s="314" t="s">
        <v>203</v>
      </c>
      <c r="QCN13" s="314" t="s">
        <v>203</v>
      </c>
      <c r="QCO13" s="314" t="s">
        <v>203</v>
      </c>
      <c r="QCP13" s="314" t="s">
        <v>203</v>
      </c>
      <c r="QCQ13" s="314" t="s">
        <v>203</v>
      </c>
      <c r="QCR13" s="314" t="s">
        <v>203</v>
      </c>
      <c r="QCS13" s="314" t="s">
        <v>203</v>
      </c>
      <c r="QCT13" s="314" t="s">
        <v>203</v>
      </c>
      <c r="QCU13" s="314" t="s">
        <v>203</v>
      </c>
      <c r="QCV13" s="314" t="s">
        <v>203</v>
      </c>
      <c r="QCW13" s="314" t="s">
        <v>203</v>
      </c>
      <c r="QCX13" s="314" t="s">
        <v>203</v>
      </c>
      <c r="QCY13" s="314" t="s">
        <v>203</v>
      </c>
      <c r="QCZ13" s="314" t="s">
        <v>203</v>
      </c>
      <c r="QDA13" s="314" t="s">
        <v>203</v>
      </c>
      <c r="QDB13" s="314" t="s">
        <v>203</v>
      </c>
      <c r="QDC13" s="314" t="s">
        <v>203</v>
      </c>
      <c r="QDD13" s="314" t="s">
        <v>203</v>
      </c>
      <c r="QDE13" s="314" t="s">
        <v>203</v>
      </c>
      <c r="QDF13" s="314" t="s">
        <v>203</v>
      </c>
      <c r="QDG13" s="314" t="s">
        <v>203</v>
      </c>
      <c r="QDH13" s="314" t="s">
        <v>203</v>
      </c>
      <c r="QDI13" s="314" t="s">
        <v>203</v>
      </c>
      <c r="QDJ13" s="314" t="s">
        <v>203</v>
      </c>
      <c r="QDK13" s="314" t="s">
        <v>203</v>
      </c>
      <c r="QDL13" s="314" t="s">
        <v>203</v>
      </c>
      <c r="QDM13" s="314" t="s">
        <v>203</v>
      </c>
      <c r="QDN13" s="314" t="s">
        <v>203</v>
      </c>
      <c r="QDO13" s="314" t="s">
        <v>203</v>
      </c>
      <c r="QDP13" s="314" t="s">
        <v>203</v>
      </c>
      <c r="QDQ13" s="314" t="s">
        <v>203</v>
      </c>
      <c r="QDR13" s="314" t="s">
        <v>203</v>
      </c>
      <c r="QDS13" s="314" t="s">
        <v>203</v>
      </c>
      <c r="QDT13" s="314" t="s">
        <v>203</v>
      </c>
      <c r="QDU13" s="314" t="s">
        <v>203</v>
      </c>
      <c r="QDV13" s="314" t="s">
        <v>203</v>
      </c>
      <c r="QDW13" s="314" t="s">
        <v>203</v>
      </c>
      <c r="QDX13" s="314" t="s">
        <v>203</v>
      </c>
      <c r="QDY13" s="314" t="s">
        <v>203</v>
      </c>
      <c r="QDZ13" s="314" t="s">
        <v>203</v>
      </c>
      <c r="QEA13" s="314" t="s">
        <v>203</v>
      </c>
      <c r="QEB13" s="314" t="s">
        <v>203</v>
      </c>
      <c r="QEC13" s="314" t="s">
        <v>203</v>
      </c>
      <c r="QED13" s="314" t="s">
        <v>203</v>
      </c>
      <c r="QEE13" s="314" t="s">
        <v>203</v>
      </c>
      <c r="QEF13" s="314" t="s">
        <v>203</v>
      </c>
      <c r="QEG13" s="314" t="s">
        <v>203</v>
      </c>
      <c r="QEH13" s="314" t="s">
        <v>203</v>
      </c>
      <c r="QEI13" s="314" t="s">
        <v>203</v>
      </c>
      <c r="QEJ13" s="314" t="s">
        <v>203</v>
      </c>
      <c r="QEK13" s="314" t="s">
        <v>203</v>
      </c>
      <c r="QEL13" s="314" t="s">
        <v>203</v>
      </c>
      <c r="QEM13" s="314" t="s">
        <v>203</v>
      </c>
      <c r="QEN13" s="314" t="s">
        <v>203</v>
      </c>
      <c r="QEO13" s="314" t="s">
        <v>203</v>
      </c>
      <c r="QEP13" s="314" t="s">
        <v>203</v>
      </c>
      <c r="QEQ13" s="314" t="s">
        <v>203</v>
      </c>
      <c r="QER13" s="314" t="s">
        <v>203</v>
      </c>
      <c r="QES13" s="314" t="s">
        <v>203</v>
      </c>
      <c r="QET13" s="314" t="s">
        <v>203</v>
      </c>
      <c r="QEU13" s="314" t="s">
        <v>203</v>
      </c>
      <c r="QEV13" s="314" t="s">
        <v>203</v>
      </c>
      <c r="QEW13" s="314" t="s">
        <v>203</v>
      </c>
      <c r="QEX13" s="314" t="s">
        <v>203</v>
      </c>
      <c r="QEY13" s="314" t="s">
        <v>203</v>
      </c>
      <c r="QEZ13" s="314" t="s">
        <v>203</v>
      </c>
      <c r="QFA13" s="314" t="s">
        <v>203</v>
      </c>
      <c r="QFB13" s="314" t="s">
        <v>203</v>
      </c>
      <c r="QFC13" s="314" t="s">
        <v>203</v>
      </c>
      <c r="QFD13" s="314" t="s">
        <v>203</v>
      </c>
      <c r="QFE13" s="314" t="s">
        <v>203</v>
      </c>
      <c r="QFF13" s="314" t="s">
        <v>203</v>
      </c>
      <c r="QFG13" s="314" t="s">
        <v>203</v>
      </c>
      <c r="QFH13" s="314" t="s">
        <v>203</v>
      </c>
      <c r="QFI13" s="314" t="s">
        <v>203</v>
      </c>
      <c r="QFJ13" s="314" t="s">
        <v>203</v>
      </c>
      <c r="QFK13" s="314" t="s">
        <v>203</v>
      </c>
      <c r="QFL13" s="314" t="s">
        <v>203</v>
      </c>
      <c r="QFM13" s="314" t="s">
        <v>203</v>
      </c>
      <c r="QFN13" s="314" t="s">
        <v>203</v>
      </c>
      <c r="QFO13" s="314" t="s">
        <v>203</v>
      </c>
      <c r="QFP13" s="314" t="s">
        <v>203</v>
      </c>
      <c r="QFQ13" s="314" t="s">
        <v>203</v>
      </c>
      <c r="QFR13" s="314" t="s">
        <v>203</v>
      </c>
      <c r="QFS13" s="314" t="s">
        <v>203</v>
      </c>
      <c r="QFT13" s="314" t="s">
        <v>203</v>
      </c>
      <c r="QFU13" s="314" t="s">
        <v>203</v>
      </c>
      <c r="QFV13" s="314" t="s">
        <v>203</v>
      </c>
      <c r="QFW13" s="314" t="s">
        <v>203</v>
      </c>
      <c r="QFX13" s="314" t="s">
        <v>203</v>
      </c>
      <c r="QFY13" s="314" t="s">
        <v>203</v>
      </c>
      <c r="QFZ13" s="314" t="s">
        <v>203</v>
      </c>
      <c r="QGA13" s="314" t="s">
        <v>203</v>
      </c>
      <c r="QGB13" s="314" t="s">
        <v>203</v>
      </c>
      <c r="QGC13" s="314" t="s">
        <v>203</v>
      </c>
      <c r="QGD13" s="314" t="s">
        <v>203</v>
      </c>
      <c r="QGE13" s="314" t="s">
        <v>203</v>
      </c>
      <c r="QGF13" s="314" t="s">
        <v>203</v>
      </c>
      <c r="QGG13" s="314" t="s">
        <v>203</v>
      </c>
      <c r="QGH13" s="314" t="s">
        <v>203</v>
      </c>
      <c r="QGI13" s="314" t="s">
        <v>203</v>
      </c>
      <c r="QGJ13" s="314" t="s">
        <v>203</v>
      </c>
      <c r="QGK13" s="314" t="s">
        <v>203</v>
      </c>
      <c r="QGL13" s="314" t="s">
        <v>203</v>
      </c>
      <c r="QGM13" s="314" t="s">
        <v>203</v>
      </c>
      <c r="QGN13" s="314" t="s">
        <v>203</v>
      </c>
      <c r="QGO13" s="314" t="s">
        <v>203</v>
      </c>
      <c r="QGP13" s="314" t="s">
        <v>203</v>
      </c>
      <c r="QGQ13" s="314" t="s">
        <v>203</v>
      </c>
      <c r="QGR13" s="314" t="s">
        <v>203</v>
      </c>
      <c r="QGS13" s="314" t="s">
        <v>203</v>
      </c>
      <c r="QGT13" s="314" t="s">
        <v>203</v>
      </c>
      <c r="QGU13" s="314" t="s">
        <v>203</v>
      </c>
      <c r="QGV13" s="314" t="s">
        <v>203</v>
      </c>
      <c r="QGW13" s="314" t="s">
        <v>203</v>
      </c>
      <c r="QGX13" s="314" t="s">
        <v>203</v>
      </c>
      <c r="QGY13" s="314" t="s">
        <v>203</v>
      </c>
      <c r="QGZ13" s="314" t="s">
        <v>203</v>
      </c>
      <c r="QHA13" s="314" t="s">
        <v>203</v>
      </c>
      <c r="QHB13" s="314" t="s">
        <v>203</v>
      </c>
      <c r="QHC13" s="314" t="s">
        <v>203</v>
      </c>
      <c r="QHD13" s="314" t="s">
        <v>203</v>
      </c>
      <c r="QHE13" s="314" t="s">
        <v>203</v>
      </c>
      <c r="QHF13" s="314" t="s">
        <v>203</v>
      </c>
      <c r="QHG13" s="314" t="s">
        <v>203</v>
      </c>
      <c r="QHH13" s="314" t="s">
        <v>203</v>
      </c>
      <c r="QHI13" s="314" t="s">
        <v>203</v>
      </c>
      <c r="QHJ13" s="314" t="s">
        <v>203</v>
      </c>
      <c r="QHK13" s="314" t="s">
        <v>203</v>
      </c>
      <c r="QHL13" s="314" t="s">
        <v>203</v>
      </c>
      <c r="QHM13" s="314" t="s">
        <v>203</v>
      </c>
      <c r="QHN13" s="314" t="s">
        <v>203</v>
      </c>
      <c r="QHO13" s="314" t="s">
        <v>203</v>
      </c>
      <c r="QHP13" s="314" t="s">
        <v>203</v>
      </c>
      <c r="QHQ13" s="314" t="s">
        <v>203</v>
      </c>
      <c r="QHR13" s="314" t="s">
        <v>203</v>
      </c>
      <c r="QHS13" s="314" t="s">
        <v>203</v>
      </c>
      <c r="QHT13" s="314" t="s">
        <v>203</v>
      </c>
      <c r="QHU13" s="314" t="s">
        <v>203</v>
      </c>
      <c r="QHV13" s="314" t="s">
        <v>203</v>
      </c>
      <c r="QHW13" s="314" t="s">
        <v>203</v>
      </c>
      <c r="QHX13" s="314" t="s">
        <v>203</v>
      </c>
      <c r="QHY13" s="314" t="s">
        <v>203</v>
      </c>
      <c r="QHZ13" s="314" t="s">
        <v>203</v>
      </c>
      <c r="QIA13" s="314" t="s">
        <v>203</v>
      </c>
      <c r="QIB13" s="314" t="s">
        <v>203</v>
      </c>
      <c r="QIC13" s="314" t="s">
        <v>203</v>
      </c>
      <c r="QID13" s="314" t="s">
        <v>203</v>
      </c>
      <c r="QIE13" s="314" t="s">
        <v>203</v>
      </c>
      <c r="QIF13" s="314" t="s">
        <v>203</v>
      </c>
      <c r="QIG13" s="314" t="s">
        <v>203</v>
      </c>
      <c r="QIH13" s="314" t="s">
        <v>203</v>
      </c>
      <c r="QII13" s="314" t="s">
        <v>203</v>
      </c>
      <c r="QIJ13" s="314" t="s">
        <v>203</v>
      </c>
      <c r="QIK13" s="314" t="s">
        <v>203</v>
      </c>
      <c r="QIL13" s="314" t="s">
        <v>203</v>
      </c>
      <c r="QIM13" s="314" t="s">
        <v>203</v>
      </c>
      <c r="QIN13" s="314" t="s">
        <v>203</v>
      </c>
      <c r="QIO13" s="314" t="s">
        <v>203</v>
      </c>
      <c r="QIP13" s="314" t="s">
        <v>203</v>
      </c>
      <c r="QIQ13" s="314" t="s">
        <v>203</v>
      </c>
      <c r="QIR13" s="314" t="s">
        <v>203</v>
      </c>
      <c r="QIS13" s="314" t="s">
        <v>203</v>
      </c>
      <c r="QIT13" s="314" t="s">
        <v>203</v>
      </c>
      <c r="QIU13" s="314" t="s">
        <v>203</v>
      </c>
      <c r="QIV13" s="314" t="s">
        <v>203</v>
      </c>
      <c r="QIW13" s="314" t="s">
        <v>203</v>
      </c>
      <c r="QIX13" s="314" t="s">
        <v>203</v>
      </c>
      <c r="QIY13" s="314" t="s">
        <v>203</v>
      </c>
      <c r="QIZ13" s="314" t="s">
        <v>203</v>
      </c>
      <c r="QJA13" s="314" t="s">
        <v>203</v>
      </c>
      <c r="QJB13" s="314" t="s">
        <v>203</v>
      </c>
      <c r="QJC13" s="314" t="s">
        <v>203</v>
      </c>
      <c r="QJD13" s="314" t="s">
        <v>203</v>
      </c>
      <c r="QJE13" s="314" t="s">
        <v>203</v>
      </c>
      <c r="QJF13" s="314" t="s">
        <v>203</v>
      </c>
      <c r="QJG13" s="314" t="s">
        <v>203</v>
      </c>
      <c r="QJH13" s="314" t="s">
        <v>203</v>
      </c>
      <c r="QJI13" s="314" t="s">
        <v>203</v>
      </c>
      <c r="QJJ13" s="314" t="s">
        <v>203</v>
      </c>
      <c r="QJK13" s="314" t="s">
        <v>203</v>
      </c>
      <c r="QJL13" s="314" t="s">
        <v>203</v>
      </c>
      <c r="QJM13" s="314" t="s">
        <v>203</v>
      </c>
      <c r="QJN13" s="314" t="s">
        <v>203</v>
      </c>
      <c r="QJO13" s="314" t="s">
        <v>203</v>
      </c>
      <c r="QJP13" s="314" t="s">
        <v>203</v>
      </c>
      <c r="QJQ13" s="314" t="s">
        <v>203</v>
      </c>
      <c r="QJR13" s="314" t="s">
        <v>203</v>
      </c>
      <c r="QJS13" s="314" t="s">
        <v>203</v>
      </c>
      <c r="QJT13" s="314" t="s">
        <v>203</v>
      </c>
      <c r="QJU13" s="314" t="s">
        <v>203</v>
      </c>
      <c r="QJV13" s="314" t="s">
        <v>203</v>
      </c>
      <c r="QJW13" s="314" t="s">
        <v>203</v>
      </c>
      <c r="QJX13" s="314" t="s">
        <v>203</v>
      </c>
      <c r="QJY13" s="314" t="s">
        <v>203</v>
      </c>
      <c r="QJZ13" s="314" t="s">
        <v>203</v>
      </c>
      <c r="QKA13" s="314" t="s">
        <v>203</v>
      </c>
      <c r="QKB13" s="314" t="s">
        <v>203</v>
      </c>
      <c r="QKC13" s="314" t="s">
        <v>203</v>
      </c>
      <c r="QKD13" s="314" t="s">
        <v>203</v>
      </c>
      <c r="QKE13" s="314" t="s">
        <v>203</v>
      </c>
      <c r="QKF13" s="314" t="s">
        <v>203</v>
      </c>
      <c r="QKG13" s="314" t="s">
        <v>203</v>
      </c>
      <c r="QKH13" s="314" t="s">
        <v>203</v>
      </c>
      <c r="QKI13" s="314" t="s">
        <v>203</v>
      </c>
      <c r="QKJ13" s="314" t="s">
        <v>203</v>
      </c>
      <c r="QKK13" s="314" t="s">
        <v>203</v>
      </c>
      <c r="QKL13" s="314" t="s">
        <v>203</v>
      </c>
      <c r="QKM13" s="314" t="s">
        <v>203</v>
      </c>
      <c r="QKN13" s="314" t="s">
        <v>203</v>
      </c>
      <c r="QKO13" s="314" t="s">
        <v>203</v>
      </c>
      <c r="QKP13" s="314" t="s">
        <v>203</v>
      </c>
      <c r="QKQ13" s="314" t="s">
        <v>203</v>
      </c>
      <c r="QKR13" s="314" t="s">
        <v>203</v>
      </c>
      <c r="QKS13" s="314" t="s">
        <v>203</v>
      </c>
      <c r="QKT13" s="314" t="s">
        <v>203</v>
      </c>
      <c r="QKU13" s="314" t="s">
        <v>203</v>
      </c>
      <c r="QKV13" s="314" t="s">
        <v>203</v>
      </c>
      <c r="QKW13" s="314" t="s">
        <v>203</v>
      </c>
      <c r="QKX13" s="314" t="s">
        <v>203</v>
      </c>
      <c r="QKY13" s="314" t="s">
        <v>203</v>
      </c>
      <c r="QKZ13" s="314" t="s">
        <v>203</v>
      </c>
      <c r="QLA13" s="314" t="s">
        <v>203</v>
      </c>
      <c r="QLB13" s="314" t="s">
        <v>203</v>
      </c>
      <c r="QLC13" s="314" t="s">
        <v>203</v>
      </c>
      <c r="QLD13" s="314" t="s">
        <v>203</v>
      </c>
      <c r="QLE13" s="314" t="s">
        <v>203</v>
      </c>
      <c r="QLF13" s="314" t="s">
        <v>203</v>
      </c>
      <c r="QLG13" s="314" t="s">
        <v>203</v>
      </c>
      <c r="QLH13" s="314" t="s">
        <v>203</v>
      </c>
      <c r="QLI13" s="314" t="s">
        <v>203</v>
      </c>
      <c r="QLJ13" s="314" t="s">
        <v>203</v>
      </c>
      <c r="QLK13" s="314" t="s">
        <v>203</v>
      </c>
      <c r="QLL13" s="314" t="s">
        <v>203</v>
      </c>
      <c r="QLM13" s="314" t="s">
        <v>203</v>
      </c>
      <c r="QLN13" s="314" t="s">
        <v>203</v>
      </c>
      <c r="QLO13" s="314" t="s">
        <v>203</v>
      </c>
      <c r="QLP13" s="314" t="s">
        <v>203</v>
      </c>
      <c r="QLQ13" s="314" t="s">
        <v>203</v>
      </c>
      <c r="QLR13" s="314" t="s">
        <v>203</v>
      </c>
      <c r="QLS13" s="314" t="s">
        <v>203</v>
      </c>
      <c r="QLT13" s="314" t="s">
        <v>203</v>
      </c>
      <c r="QLU13" s="314" t="s">
        <v>203</v>
      </c>
      <c r="QLV13" s="314" t="s">
        <v>203</v>
      </c>
      <c r="QLW13" s="314" t="s">
        <v>203</v>
      </c>
      <c r="QLX13" s="314" t="s">
        <v>203</v>
      </c>
      <c r="QLY13" s="314" t="s">
        <v>203</v>
      </c>
      <c r="QLZ13" s="314" t="s">
        <v>203</v>
      </c>
      <c r="QMA13" s="314" t="s">
        <v>203</v>
      </c>
      <c r="QMB13" s="314" t="s">
        <v>203</v>
      </c>
      <c r="QMC13" s="314" t="s">
        <v>203</v>
      </c>
      <c r="QMD13" s="314" t="s">
        <v>203</v>
      </c>
      <c r="QME13" s="314" t="s">
        <v>203</v>
      </c>
      <c r="QMF13" s="314" t="s">
        <v>203</v>
      </c>
      <c r="QMG13" s="314" t="s">
        <v>203</v>
      </c>
      <c r="QMH13" s="314" t="s">
        <v>203</v>
      </c>
      <c r="QMI13" s="314" t="s">
        <v>203</v>
      </c>
      <c r="QMJ13" s="314" t="s">
        <v>203</v>
      </c>
      <c r="QMK13" s="314" t="s">
        <v>203</v>
      </c>
      <c r="QML13" s="314" t="s">
        <v>203</v>
      </c>
      <c r="QMM13" s="314" t="s">
        <v>203</v>
      </c>
      <c r="QMN13" s="314" t="s">
        <v>203</v>
      </c>
      <c r="QMO13" s="314" t="s">
        <v>203</v>
      </c>
      <c r="QMP13" s="314" t="s">
        <v>203</v>
      </c>
      <c r="QMQ13" s="314" t="s">
        <v>203</v>
      </c>
      <c r="QMR13" s="314" t="s">
        <v>203</v>
      </c>
      <c r="QMS13" s="314" t="s">
        <v>203</v>
      </c>
      <c r="QMT13" s="314" t="s">
        <v>203</v>
      </c>
      <c r="QMU13" s="314" t="s">
        <v>203</v>
      </c>
      <c r="QMV13" s="314" t="s">
        <v>203</v>
      </c>
      <c r="QMW13" s="314" t="s">
        <v>203</v>
      </c>
      <c r="QMX13" s="314" t="s">
        <v>203</v>
      </c>
      <c r="QMY13" s="314" t="s">
        <v>203</v>
      </c>
      <c r="QMZ13" s="314" t="s">
        <v>203</v>
      </c>
      <c r="QNA13" s="314" t="s">
        <v>203</v>
      </c>
      <c r="QNB13" s="314" t="s">
        <v>203</v>
      </c>
      <c r="QNC13" s="314" t="s">
        <v>203</v>
      </c>
      <c r="QND13" s="314" t="s">
        <v>203</v>
      </c>
      <c r="QNE13" s="314" t="s">
        <v>203</v>
      </c>
      <c r="QNF13" s="314" t="s">
        <v>203</v>
      </c>
      <c r="QNG13" s="314" t="s">
        <v>203</v>
      </c>
      <c r="QNH13" s="314" t="s">
        <v>203</v>
      </c>
      <c r="QNI13" s="314" t="s">
        <v>203</v>
      </c>
      <c r="QNJ13" s="314" t="s">
        <v>203</v>
      </c>
      <c r="QNK13" s="314" t="s">
        <v>203</v>
      </c>
      <c r="QNL13" s="314" t="s">
        <v>203</v>
      </c>
      <c r="QNM13" s="314" t="s">
        <v>203</v>
      </c>
      <c r="QNN13" s="314" t="s">
        <v>203</v>
      </c>
      <c r="QNO13" s="314" t="s">
        <v>203</v>
      </c>
      <c r="QNP13" s="314" t="s">
        <v>203</v>
      </c>
      <c r="QNQ13" s="314" t="s">
        <v>203</v>
      </c>
      <c r="QNR13" s="314" t="s">
        <v>203</v>
      </c>
      <c r="QNS13" s="314" t="s">
        <v>203</v>
      </c>
      <c r="QNT13" s="314" t="s">
        <v>203</v>
      </c>
      <c r="QNU13" s="314" t="s">
        <v>203</v>
      </c>
      <c r="QNV13" s="314" t="s">
        <v>203</v>
      </c>
      <c r="QNW13" s="314" t="s">
        <v>203</v>
      </c>
      <c r="QNX13" s="314" t="s">
        <v>203</v>
      </c>
      <c r="QNY13" s="314" t="s">
        <v>203</v>
      </c>
      <c r="QNZ13" s="314" t="s">
        <v>203</v>
      </c>
      <c r="QOA13" s="314" t="s">
        <v>203</v>
      </c>
      <c r="QOB13" s="314" t="s">
        <v>203</v>
      </c>
      <c r="QOC13" s="314" t="s">
        <v>203</v>
      </c>
      <c r="QOD13" s="314" t="s">
        <v>203</v>
      </c>
      <c r="QOE13" s="314" t="s">
        <v>203</v>
      </c>
      <c r="QOF13" s="314" t="s">
        <v>203</v>
      </c>
      <c r="QOG13" s="314" t="s">
        <v>203</v>
      </c>
      <c r="QOH13" s="314" t="s">
        <v>203</v>
      </c>
      <c r="QOI13" s="314" t="s">
        <v>203</v>
      </c>
      <c r="QOJ13" s="314" t="s">
        <v>203</v>
      </c>
      <c r="QOK13" s="314" t="s">
        <v>203</v>
      </c>
      <c r="QOL13" s="314" t="s">
        <v>203</v>
      </c>
      <c r="QOM13" s="314" t="s">
        <v>203</v>
      </c>
      <c r="QON13" s="314" t="s">
        <v>203</v>
      </c>
      <c r="QOO13" s="314" t="s">
        <v>203</v>
      </c>
      <c r="QOP13" s="314" t="s">
        <v>203</v>
      </c>
      <c r="QOQ13" s="314" t="s">
        <v>203</v>
      </c>
      <c r="QOR13" s="314" t="s">
        <v>203</v>
      </c>
      <c r="QOS13" s="314" t="s">
        <v>203</v>
      </c>
      <c r="QOT13" s="314" t="s">
        <v>203</v>
      </c>
      <c r="QOU13" s="314" t="s">
        <v>203</v>
      </c>
      <c r="QOV13" s="314" t="s">
        <v>203</v>
      </c>
      <c r="QOW13" s="314" t="s">
        <v>203</v>
      </c>
      <c r="QOX13" s="314" t="s">
        <v>203</v>
      </c>
      <c r="QOY13" s="314" t="s">
        <v>203</v>
      </c>
      <c r="QOZ13" s="314" t="s">
        <v>203</v>
      </c>
      <c r="QPA13" s="314" t="s">
        <v>203</v>
      </c>
      <c r="QPB13" s="314" t="s">
        <v>203</v>
      </c>
      <c r="QPC13" s="314" t="s">
        <v>203</v>
      </c>
      <c r="QPD13" s="314" t="s">
        <v>203</v>
      </c>
      <c r="QPE13" s="314" t="s">
        <v>203</v>
      </c>
      <c r="QPF13" s="314" t="s">
        <v>203</v>
      </c>
      <c r="QPG13" s="314" t="s">
        <v>203</v>
      </c>
      <c r="QPH13" s="314" t="s">
        <v>203</v>
      </c>
      <c r="QPI13" s="314" t="s">
        <v>203</v>
      </c>
      <c r="QPJ13" s="314" t="s">
        <v>203</v>
      </c>
      <c r="QPK13" s="314" t="s">
        <v>203</v>
      </c>
      <c r="QPL13" s="314" t="s">
        <v>203</v>
      </c>
      <c r="QPM13" s="314" t="s">
        <v>203</v>
      </c>
      <c r="QPN13" s="314" t="s">
        <v>203</v>
      </c>
      <c r="QPO13" s="314" t="s">
        <v>203</v>
      </c>
      <c r="QPP13" s="314" t="s">
        <v>203</v>
      </c>
      <c r="QPQ13" s="314" t="s">
        <v>203</v>
      </c>
      <c r="QPR13" s="314" t="s">
        <v>203</v>
      </c>
      <c r="QPS13" s="314" t="s">
        <v>203</v>
      </c>
      <c r="QPT13" s="314" t="s">
        <v>203</v>
      </c>
      <c r="QPU13" s="314" t="s">
        <v>203</v>
      </c>
      <c r="QPV13" s="314" t="s">
        <v>203</v>
      </c>
      <c r="QPW13" s="314" t="s">
        <v>203</v>
      </c>
      <c r="QPX13" s="314" t="s">
        <v>203</v>
      </c>
      <c r="QPY13" s="314" t="s">
        <v>203</v>
      </c>
      <c r="QPZ13" s="314" t="s">
        <v>203</v>
      </c>
      <c r="QQA13" s="314" t="s">
        <v>203</v>
      </c>
      <c r="QQB13" s="314" t="s">
        <v>203</v>
      </c>
      <c r="QQC13" s="314" t="s">
        <v>203</v>
      </c>
      <c r="QQD13" s="314" t="s">
        <v>203</v>
      </c>
      <c r="QQE13" s="314" t="s">
        <v>203</v>
      </c>
      <c r="QQF13" s="314" t="s">
        <v>203</v>
      </c>
      <c r="QQG13" s="314" t="s">
        <v>203</v>
      </c>
      <c r="QQH13" s="314" t="s">
        <v>203</v>
      </c>
      <c r="QQI13" s="314" t="s">
        <v>203</v>
      </c>
      <c r="QQJ13" s="314" t="s">
        <v>203</v>
      </c>
      <c r="QQK13" s="314" t="s">
        <v>203</v>
      </c>
      <c r="QQL13" s="314" t="s">
        <v>203</v>
      </c>
      <c r="QQM13" s="314" t="s">
        <v>203</v>
      </c>
      <c r="QQN13" s="314" t="s">
        <v>203</v>
      </c>
      <c r="QQO13" s="314" t="s">
        <v>203</v>
      </c>
      <c r="QQP13" s="314" t="s">
        <v>203</v>
      </c>
      <c r="QQQ13" s="314" t="s">
        <v>203</v>
      </c>
      <c r="QQR13" s="314" t="s">
        <v>203</v>
      </c>
      <c r="QQS13" s="314" t="s">
        <v>203</v>
      </c>
      <c r="QQT13" s="314" t="s">
        <v>203</v>
      </c>
      <c r="QQU13" s="314" t="s">
        <v>203</v>
      </c>
      <c r="QQV13" s="314" t="s">
        <v>203</v>
      </c>
      <c r="QQW13" s="314" t="s">
        <v>203</v>
      </c>
      <c r="QQX13" s="314" t="s">
        <v>203</v>
      </c>
      <c r="QQY13" s="314" t="s">
        <v>203</v>
      </c>
      <c r="QQZ13" s="314" t="s">
        <v>203</v>
      </c>
      <c r="QRA13" s="314" t="s">
        <v>203</v>
      </c>
      <c r="QRB13" s="314" t="s">
        <v>203</v>
      </c>
      <c r="QRC13" s="314" t="s">
        <v>203</v>
      </c>
      <c r="QRD13" s="314" t="s">
        <v>203</v>
      </c>
      <c r="QRE13" s="314" t="s">
        <v>203</v>
      </c>
      <c r="QRF13" s="314" t="s">
        <v>203</v>
      </c>
      <c r="QRG13" s="314" t="s">
        <v>203</v>
      </c>
      <c r="QRH13" s="314" t="s">
        <v>203</v>
      </c>
      <c r="QRI13" s="314" t="s">
        <v>203</v>
      </c>
      <c r="QRJ13" s="314" t="s">
        <v>203</v>
      </c>
      <c r="QRK13" s="314" t="s">
        <v>203</v>
      </c>
      <c r="QRL13" s="314" t="s">
        <v>203</v>
      </c>
      <c r="QRM13" s="314" t="s">
        <v>203</v>
      </c>
      <c r="QRN13" s="314" t="s">
        <v>203</v>
      </c>
      <c r="QRO13" s="314" t="s">
        <v>203</v>
      </c>
      <c r="QRP13" s="314" t="s">
        <v>203</v>
      </c>
      <c r="QRQ13" s="314" t="s">
        <v>203</v>
      </c>
      <c r="QRR13" s="314" t="s">
        <v>203</v>
      </c>
      <c r="QRS13" s="314" t="s">
        <v>203</v>
      </c>
      <c r="QRT13" s="314" t="s">
        <v>203</v>
      </c>
      <c r="QRU13" s="314" t="s">
        <v>203</v>
      </c>
      <c r="QRV13" s="314" t="s">
        <v>203</v>
      </c>
      <c r="QRW13" s="314" t="s">
        <v>203</v>
      </c>
      <c r="QRX13" s="314" t="s">
        <v>203</v>
      </c>
      <c r="QRY13" s="314" t="s">
        <v>203</v>
      </c>
      <c r="QRZ13" s="314" t="s">
        <v>203</v>
      </c>
      <c r="QSA13" s="314" t="s">
        <v>203</v>
      </c>
      <c r="QSB13" s="314" t="s">
        <v>203</v>
      </c>
      <c r="QSC13" s="314" t="s">
        <v>203</v>
      </c>
      <c r="QSD13" s="314" t="s">
        <v>203</v>
      </c>
      <c r="QSE13" s="314" t="s">
        <v>203</v>
      </c>
      <c r="QSF13" s="314" t="s">
        <v>203</v>
      </c>
      <c r="QSG13" s="314" t="s">
        <v>203</v>
      </c>
      <c r="QSH13" s="314" t="s">
        <v>203</v>
      </c>
      <c r="QSI13" s="314" t="s">
        <v>203</v>
      </c>
      <c r="QSJ13" s="314" t="s">
        <v>203</v>
      </c>
      <c r="QSK13" s="314" t="s">
        <v>203</v>
      </c>
      <c r="QSL13" s="314" t="s">
        <v>203</v>
      </c>
      <c r="QSM13" s="314" t="s">
        <v>203</v>
      </c>
      <c r="QSN13" s="314" t="s">
        <v>203</v>
      </c>
      <c r="QSO13" s="314" t="s">
        <v>203</v>
      </c>
      <c r="QSP13" s="314" t="s">
        <v>203</v>
      </c>
      <c r="QSQ13" s="314" t="s">
        <v>203</v>
      </c>
      <c r="QSR13" s="314" t="s">
        <v>203</v>
      </c>
      <c r="QSS13" s="314" t="s">
        <v>203</v>
      </c>
      <c r="QST13" s="314" t="s">
        <v>203</v>
      </c>
      <c r="QSU13" s="314" t="s">
        <v>203</v>
      </c>
      <c r="QSV13" s="314" t="s">
        <v>203</v>
      </c>
      <c r="QSW13" s="314" t="s">
        <v>203</v>
      </c>
      <c r="QSX13" s="314" t="s">
        <v>203</v>
      </c>
      <c r="QSY13" s="314" t="s">
        <v>203</v>
      </c>
      <c r="QSZ13" s="314" t="s">
        <v>203</v>
      </c>
      <c r="QTA13" s="314" t="s">
        <v>203</v>
      </c>
      <c r="QTB13" s="314" t="s">
        <v>203</v>
      </c>
      <c r="QTC13" s="314" t="s">
        <v>203</v>
      </c>
      <c r="QTD13" s="314" t="s">
        <v>203</v>
      </c>
      <c r="QTE13" s="314" t="s">
        <v>203</v>
      </c>
      <c r="QTF13" s="314" t="s">
        <v>203</v>
      </c>
      <c r="QTG13" s="314" t="s">
        <v>203</v>
      </c>
      <c r="QTH13" s="314" t="s">
        <v>203</v>
      </c>
      <c r="QTI13" s="314" t="s">
        <v>203</v>
      </c>
      <c r="QTJ13" s="314" t="s">
        <v>203</v>
      </c>
      <c r="QTK13" s="314" t="s">
        <v>203</v>
      </c>
      <c r="QTL13" s="314" t="s">
        <v>203</v>
      </c>
      <c r="QTM13" s="314" t="s">
        <v>203</v>
      </c>
      <c r="QTN13" s="314" t="s">
        <v>203</v>
      </c>
      <c r="QTO13" s="314" t="s">
        <v>203</v>
      </c>
      <c r="QTP13" s="314" t="s">
        <v>203</v>
      </c>
      <c r="QTQ13" s="314" t="s">
        <v>203</v>
      </c>
      <c r="QTR13" s="314" t="s">
        <v>203</v>
      </c>
      <c r="QTS13" s="314" t="s">
        <v>203</v>
      </c>
      <c r="QTT13" s="314" t="s">
        <v>203</v>
      </c>
      <c r="QTU13" s="314" t="s">
        <v>203</v>
      </c>
      <c r="QTV13" s="314" t="s">
        <v>203</v>
      </c>
      <c r="QTW13" s="314" t="s">
        <v>203</v>
      </c>
      <c r="QTX13" s="314" t="s">
        <v>203</v>
      </c>
      <c r="QTY13" s="314" t="s">
        <v>203</v>
      </c>
      <c r="QTZ13" s="314" t="s">
        <v>203</v>
      </c>
      <c r="QUA13" s="314" t="s">
        <v>203</v>
      </c>
      <c r="QUB13" s="314" t="s">
        <v>203</v>
      </c>
      <c r="QUC13" s="314" t="s">
        <v>203</v>
      </c>
      <c r="QUD13" s="314" t="s">
        <v>203</v>
      </c>
      <c r="QUE13" s="314" t="s">
        <v>203</v>
      </c>
      <c r="QUF13" s="314" t="s">
        <v>203</v>
      </c>
      <c r="QUG13" s="314" t="s">
        <v>203</v>
      </c>
      <c r="QUH13" s="314" t="s">
        <v>203</v>
      </c>
      <c r="QUI13" s="314" t="s">
        <v>203</v>
      </c>
      <c r="QUJ13" s="314" t="s">
        <v>203</v>
      </c>
      <c r="QUK13" s="314" t="s">
        <v>203</v>
      </c>
      <c r="QUL13" s="314" t="s">
        <v>203</v>
      </c>
      <c r="QUM13" s="314" t="s">
        <v>203</v>
      </c>
      <c r="QUN13" s="314" t="s">
        <v>203</v>
      </c>
      <c r="QUO13" s="314" t="s">
        <v>203</v>
      </c>
      <c r="QUP13" s="314" t="s">
        <v>203</v>
      </c>
      <c r="QUQ13" s="314" t="s">
        <v>203</v>
      </c>
      <c r="QUR13" s="314" t="s">
        <v>203</v>
      </c>
      <c r="QUS13" s="314" t="s">
        <v>203</v>
      </c>
      <c r="QUT13" s="314" t="s">
        <v>203</v>
      </c>
      <c r="QUU13" s="314" t="s">
        <v>203</v>
      </c>
      <c r="QUV13" s="314" t="s">
        <v>203</v>
      </c>
      <c r="QUW13" s="314" t="s">
        <v>203</v>
      </c>
      <c r="QUX13" s="314" t="s">
        <v>203</v>
      </c>
      <c r="QUY13" s="314" t="s">
        <v>203</v>
      </c>
      <c r="QUZ13" s="314" t="s">
        <v>203</v>
      </c>
      <c r="QVA13" s="314" t="s">
        <v>203</v>
      </c>
      <c r="QVB13" s="314" t="s">
        <v>203</v>
      </c>
      <c r="QVC13" s="314" t="s">
        <v>203</v>
      </c>
      <c r="QVD13" s="314" t="s">
        <v>203</v>
      </c>
      <c r="QVE13" s="314" t="s">
        <v>203</v>
      </c>
      <c r="QVF13" s="314" t="s">
        <v>203</v>
      </c>
      <c r="QVG13" s="314" t="s">
        <v>203</v>
      </c>
      <c r="QVH13" s="314" t="s">
        <v>203</v>
      </c>
      <c r="QVI13" s="314" t="s">
        <v>203</v>
      </c>
      <c r="QVJ13" s="314" t="s">
        <v>203</v>
      </c>
      <c r="QVK13" s="314" t="s">
        <v>203</v>
      </c>
      <c r="QVL13" s="314" t="s">
        <v>203</v>
      </c>
      <c r="QVM13" s="314" t="s">
        <v>203</v>
      </c>
      <c r="QVN13" s="314" t="s">
        <v>203</v>
      </c>
      <c r="QVO13" s="314" t="s">
        <v>203</v>
      </c>
      <c r="QVP13" s="314" t="s">
        <v>203</v>
      </c>
      <c r="QVQ13" s="314" t="s">
        <v>203</v>
      </c>
      <c r="QVR13" s="314" t="s">
        <v>203</v>
      </c>
      <c r="QVS13" s="314" t="s">
        <v>203</v>
      </c>
      <c r="QVT13" s="314" t="s">
        <v>203</v>
      </c>
      <c r="QVU13" s="314" t="s">
        <v>203</v>
      </c>
      <c r="QVV13" s="314" t="s">
        <v>203</v>
      </c>
      <c r="QVW13" s="314" t="s">
        <v>203</v>
      </c>
      <c r="QVX13" s="314" t="s">
        <v>203</v>
      </c>
      <c r="QVY13" s="314" t="s">
        <v>203</v>
      </c>
      <c r="QVZ13" s="314" t="s">
        <v>203</v>
      </c>
      <c r="QWA13" s="314" t="s">
        <v>203</v>
      </c>
      <c r="QWB13" s="314" t="s">
        <v>203</v>
      </c>
      <c r="QWC13" s="314" t="s">
        <v>203</v>
      </c>
      <c r="QWD13" s="314" t="s">
        <v>203</v>
      </c>
      <c r="QWE13" s="314" t="s">
        <v>203</v>
      </c>
      <c r="QWF13" s="314" t="s">
        <v>203</v>
      </c>
      <c r="QWG13" s="314" t="s">
        <v>203</v>
      </c>
      <c r="QWH13" s="314" t="s">
        <v>203</v>
      </c>
      <c r="QWI13" s="314" t="s">
        <v>203</v>
      </c>
      <c r="QWJ13" s="314" t="s">
        <v>203</v>
      </c>
      <c r="QWK13" s="314" t="s">
        <v>203</v>
      </c>
      <c r="QWL13" s="314" t="s">
        <v>203</v>
      </c>
      <c r="QWM13" s="314" t="s">
        <v>203</v>
      </c>
      <c r="QWN13" s="314" t="s">
        <v>203</v>
      </c>
      <c r="QWO13" s="314" t="s">
        <v>203</v>
      </c>
      <c r="QWP13" s="314" t="s">
        <v>203</v>
      </c>
      <c r="QWQ13" s="314" t="s">
        <v>203</v>
      </c>
      <c r="QWR13" s="314" t="s">
        <v>203</v>
      </c>
      <c r="QWS13" s="314" t="s">
        <v>203</v>
      </c>
      <c r="QWT13" s="314" t="s">
        <v>203</v>
      </c>
      <c r="QWU13" s="314" t="s">
        <v>203</v>
      </c>
      <c r="QWV13" s="314" t="s">
        <v>203</v>
      </c>
      <c r="QWW13" s="314" t="s">
        <v>203</v>
      </c>
      <c r="QWX13" s="314" t="s">
        <v>203</v>
      </c>
      <c r="QWY13" s="314" t="s">
        <v>203</v>
      </c>
      <c r="QWZ13" s="314" t="s">
        <v>203</v>
      </c>
      <c r="QXA13" s="314" t="s">
        <v>203</v>
      </c>
      <c r="QXB13" s="314" t="s">
        <v>203</v>
      </c>
      <c r="QXC13" s="314" t="s">
        <v>203</v>
      </c>
      <c r="QXD13" s="314" t="s">
        <v>203</v>
      </c>
      <c r="QXE13" s="314" t="s">
        <v>203</v>
      </c>
      <c r="QXF13" s="314" t="s">
        <v>203</v>
      </c>
      <c r="QXG13" s="314" t="s">
        <v>203</v>
      </c>
      <c r="QXH13" s="314" t="s">
        <v>203</v>
      </c>
      <c r="QXI13" s="314" t="s">
        <v>203</v>
      </c>
      <c r="QXJ13" s="314" t="s">
        <v>203</v>
      </c>
      <c r="QXK13" s="314" t="s">
        <v>203</v>
      </c>
      <c r="QXL13" s="314" t="s">
        <v>203</v>
      </c>
      <c r="QXM13" s="314" t="s">
        <v>203</v>
      </c>
      <c r="QXN13" s="314" t="s">
        <v>203</v>
      </c>
      <c r="QXO13" s="314" t="s">
        <v>203</v>
      </c>
      <c r="QXP13" s="314" t="s">
        <v>203</v>
      </c>
      <c r="QXQ13" s="314" t="s">
        <v>203</v>
      </c>
      <c r="QXR13" s="314" t="s">
        <v>203</v>
      </c>
      <c r="QXS13" s="314" t="s">
        <v>203</v>
      </c>
      <c r="QXT13" s="314" t="s">
        <v>203</v>
      </c>
      <c r="QXU13" s="314" t="s">
        <v>203</v>
      </c>
      <c r="QXV13" s="314" t="s">
        <v>203</v>
      </c>
      <c r="QXW13" s="314" t="s">
        <v>203</v>
      </c>
      <c r="QXX13" s="314" t="s">
        <v>203</v>
      </c>
      <c r="QXY13" s="314" t="s">
        <v>203</v>
      </c>
      <c r="QXZ13" s="314" t="s">
        <v>203</v>
      </c>
      <c r="QYA13" s="314" t="s">
        <v>203</v>
      </c>
      <c r="QYB13" s="314" t="s">
        <v>203</v>
      </c>
      <c r="QYC13" s="314" t="s">
        <v>203</v>
      </c>
      <c r="QYD13" s="314" t="s">
        <v>203</v>
      </c>
      <c r="QYE13" s="314" t="s">
        <v>203</v>
      </c>
      <c r="QYF13" s="314" t="s">
        <v>203</v>
      </c>
      <c r="QYG13" s="314" t="s">
        <v>203</v>
      </c>
      <c r="QYH13" s="314" t="s">
        <v>203</v>
      </c>
      <c r="QYI13" s="314" t="s">
        <v>203</v>
      </c>
      <c r="QYJ13" s="314" t="s">
        <v>203</v>
      </c>
      <c r="QYK13" s="314" t="s">
        <v>203</v>
      </c>
      <c r="QYL13" s="314" t="s">
        <v>203</v>
      </c>
      <c r="QYM13" s="314" t="s">
        <v>203</v>
      </c>
      <c r="QYN13" s="314" t="s">
        <v>203</v>
      </c>
      <c r="QYO13" s="314" t="s">
        <v>203</v>
      </c>
      <c r="QYP13" s="314" t="s">
        <v>203</v>
      </c>
      <c r="QYQ13" s="314" t="s">
        <v>203</v>
      </c>
      <c r="QYR13" s="314" t="s">
        <v>203</v>
      </c>
      <c r="QYS13" s="314" t="s">
        <v>203</v>
      </c>
      <c r="QYT13" s="314" t="s">
        <v>203</v>
      </c>
      <c r="QYU13" s="314" t="s">
        <v>203</v>
      </c>
      <c r="QYV13" s="314" t="s">
        <v>203</v>
      </c>
      <c r="QYW13" s="314" t="s">
        <v>203</v>
      </c>
      <c r="QYX13" s="314" t="s">
        <v>203</v>
      </c>
      <c r="QYY13" s="314" t="s">
        <v>203</v>
      </c>
      <c r="QYZ13" s="314" t="s">
        <v>203</v>
      </c>
      <c r="QZA13" s="314" t="s">
        <v>203</v>
      </c>
      <c r="QZB13" s="314" t="s">
        <v>203</v>
      </c>
      <c r="QZC13" s="314" t="s">
        <v>203</v>
      </c>
      <c r="QZD13" s="314" t="s">
        <v>203</v>
      </c>
      <c r="QZE13" s="314" t="s">
        <v>203</v>
      </c>
      <c r="QZF13" s="314" t="s">
        <v>203</v>
      </c>
      <c r="QZG13" s="314" t="s">
        <v>203</v>
      </c>
      <c r="QZH13" s="314" t="s">
        <v>203</v>
      </c>
      <c r="QZI13" s="314" t="s">
        <v>203</v>
      </c>
      <c r="QZJ13" s="314" t="s">
        <v>203</v>
      </c>
      <c r="QZK13" s="314" t="s">
        <v>203</v>
      </c>
      <c r="QZL13" s="314" t="s">
        <v>203</v>
      </c>
      <c r="QZM13" s="314" t="s">
        <v>203</v>
      </c>
      <c r="QZN13" s="314" t="s">
        <v>203</v>
      </c>
      <c r="QZO13" s="314" t="s">
        <v>203</v>
      </c>
      <c r="QZP13" s="314" t="s">
        <v>203</v>
      </c>
      <c r="QZQ13" s="314" t="s">
        <v>203</v>
      </c>
      <c r="QZR13" s="314" t="s">
        <v>203</v>
      </c>
      <c r="QZS13" s="314" t="s">
        <v>203</v>
      </c>
      <c r="QZT13" s="314" t="s">
        <v>203</v>
      </c>
      <c r="QZU13" s="314" t="s">
        <v>203</v>
      </c>
      <c r="QZV13" s="314" t="s">
        <v>203</v>
      </c>
      <c r="QZW13" s="314" t="s">
        <v>203</v>
      </c>
      <c r="QZX13" s="314" t="s">
        <v>203</v>
      </c>
      <c r="QZY13" s="314" t="s">
        <v>203</v>
      </c>
      <c r="QZZ13" s="314" t="s">
        <v>203</v>
      </c>
      <c r="RAA13" s="314" t="s">
        <v>203</v>
      </c>
      <c r="RAB13" s="314" t="s">
        <v>203</v>
      </c>
      <c r="RAC13" s="314" t="s">
        <v>203</v>
      </c>
      <c r="RAD13" s="314" t="s">
        <v>203</v>
      </c>
      <c r="RAE13" s="314" t="s">
        <v>203</v>
      </c>
      <c r="RAF13" s="314" t="s">
        <v>203</v>
      </c>
      <c r="RAG13" s="314" t="s">
        <v>203</v>
      </c>
      <c r="RAH13" s="314" t="s">
        <v>203</v>
      </c>
      <c r="RAI13" s="314" t="s">
        <v>203</v>
      </c>
      <c r="RAJ13" s="314" t="s">
        <v>203</v>
      </c>
      <c r="RAK13" s="314" t="s">
        <v>203</v>
      </c>
      <c r="RAL13" s="314" t="s">
        <v>203</v>
      </c>
      <c r="RAM13" s="314" t="s">
        <v>203</v>
      </c>
      <c r="RAN13" s="314" t="s">
        <v>203</v>
      </c>
      <c r="RAO13" s="314" t="s">
        <v>203</v>
      </c>
      <c r="RAP13" s="314" t="s">
        <v>203</v>
      </c>
      <c r="RAQ13" s="314" t="s">
        <v>203</v>
      </c>
      <c r="RAR13" s="314" t="s">
        <v>203</v>
      </c>
      <c r="RAS13" s="314" t="s">
        <v>203</v>
      </c>
      <c r="RAT13" s="314" t="s">
        <v>203</v>
      </c>
      <c r="RAU13" s="314" t="s">
        <v>203</v>
      </c>
      <c r="RAV13" s="314" t="s">
        <v>203</v>
      </c>
      <c r="RAW13" s="314" t="s">
        <v>203</v>
      </c>
      <c r="RAX13" s="314" t="s">
        <v>203</v>
      </c>
      <c r="RAY13" s="314" t="s">
        <v>203</v>
      </c>
      <c r="RAZ13" s="314" t="s">
        <v>203</v>
      </c>
      <c r="RBA13" s="314" t="s">
        <v>203</v>
      </c>
      <c r="RBB13" s="314" t="s">
        <v>203</v>
      </c>
      <c r="RBC13" s="314" t="s">
        <v>203</v>
      </c>
      <c r="RBD13" s="314" t="s">
        <v>203</v>
      </c>
      <c r="RBE13" s="314" t="s">
        <v>203</v>
      </c>
      <c r="RBF13" s="314" t="s">
        <v>203</v>
      </c>
      <c r="RBG13" s="314" t="s">
        <v>203</v>
      </c>
      <c r="RBH13" s="314" t="s">
        <v>203</v>
      </c>
      <c r="RBI13" s="314" t="s">
        <v>203</v>
      </c>
      <c r="RBJ13" s="314" t="s">
        <v>203</v>
      </c>
      <c r="RBK13" s="314" t="s">
        <v>203</v>
      </c>
      <c r="RBL13" s="314" t="s">
        <v>203</v>
      </c>
      <c r="RBM13" s="314" t="s">
        <v>203</v>
      </c>
      <c r="RBN13" s="314" t="s">
        <v>203</v>
      </c>
      <c r="RBO13" s="314" t="s">
        <v>203</v>
      </c>
      <c r="RBP13" s="314" t="s">
        <v>203</v>
      </c>
      <c r="RBQ13" s="314" t="s">
        <v>203</v>
      </c>
      <c r="RBR13" s="314" t="s">
        <v>203</v>
      </c>
      <c r="RBS13" s="314" t="s">
        <v>203</v>
      </c>
      <c r="RBT13" s="314" t="s">
        <v>203</v>
      </c>
      <c r="RBU13" s="314" t="s">
        <v>203</v>
      </c>
      <c r="RBV13" s="314" t="s">
        <v>203</v>
      </c>
      <c r="RBW13" s="314" t="s">
        <v>203</v>
      </c>
      <c r="RBX13" s="314" t="s">
        <v>203</v>
      </c>
      <c r="RBY13" s="314" t="s">
        <v>203</v>
      </c>
      <c r="RBZ13" s="314" t="s">
        <v>203</v>
      </c>
      <c r="RCA13" s="314" t="s">
        <v>203</v>
      </c>
      <c r="RCB13" s="314" t="s">
        <v>203</v>
      </c>
      <c r="RCC13" s="314" t="s">
        <v>203</v>
      </c>
      <c r="RCD13" s="314" t="s">
        <v>203</v>
      </c>
      <c r="RCE13" s="314" t="s">
        <v>203</v>
      </c>
      <c r="RCF13" s="314" t="s">
        <v>203</v>
      </c>
      <c r="RCG13" s="314" t="s">
        <v>203</v>
      </c>
      <c r="RCH13" s="314" t="s">
        <v>203</v>
      </c>
      <c r="RCI13" s="314" t="s">
        <v>203</v>
      </c>
      <c r="RCJ13" s="314" t="s">
        <v>203</v>
      </c>
      <c r="RCK13" s="314" t="s">
        <v>203</v>
      </c>
      <c r="RCL13" s="314" t="s">
        <v>203</v>
      </c>
      <c r="RCM13" s="314" t="s">
        <v>203</v>
      </c>
      <c r="RCN13" s="314" t="s">
        <v>203</v>
      </c>
      <c r="RCO13" s="314" t="s">
        <v>203</v>
      </c>
      <c r="RCP13" s="314" t="s">
        <v>203</v>
      </c>
      <c r="RCQ13" s="314" t="s">
        <v>203</v>
      </c>
      <c r="RCR13" s="314" t="s">
        <v>203</v>
      </c>
      <c r="RCS13" s="314" t="s">
        <v>203</v>
      </c>
      <c r="RCT13" s="314" t="s">
        <v>203</v>
      </c>
      <c r="RCU13" s="314" t="s">
        <v>203</v>
      </c>
      <c r="RCV13" s="314" t="s">
        <v>203</v>
      </c>
      <c r="RCW13" s="314" t="s">
        <v>203</v>
      </c>
      <c r="RCX13" s="314" t="s">
        <v>203</v>
      </c>
      <c r="RCY13" s="314" t="s">
        <v>203</v>
      </c>
      <c r="RCZ13" s="314" t="s">
        <v>203</v>
      </c>
      <c r="RDA13" s="314" t="s">
        <v>203</v>
      </c>
      <c r="RDB13" s="314" t="s">
        <v>203</v>
      </c>
      <c r="RDC13" s="314" t="s">
        <v>203</v>
      </c>
      <c r="RDD13" s="314" t="s">
        <v>203</v>
      </c>
      <c r="RDE13" s="314" t="s">
        <v>203</v>
      </c>
      <c r="RDF13" s="314" t="s">
        <v>203</v>
      </c>
      <c r="RDG13" s="314" t="s">
        <v>203</v>
      </c>
      <c r="RDH13" s="314" t="s">
        <v>203</v>
      </c>
      <c r="RDI13" s="314" t="s">
        <v>203</v>
      </c>
      <c r="RDJ13" s="314" t="s">
        <v>203</v>
      </c>
      <c r="RDK13" s="314" t="s">
        <v>203</v>
      </c>
      <c r="RDL13" s="314" t="s">
        <v>203</v>
      </c>
      <c r="RDM13" s="314" t="s">
        <v>203</v>
      </c>
      <c r="RDN13" s="314" t="s">
        <v>203</v>
      </c>
      <c r="RDO13" s="314" t="s">
        <v>203</v>
      </c>
      <c r="RDP13" s="314" t="s">
        <v>203</v>
      </c>
      <c r="RDQ13" s="314" t="s">
        <v>203</v>
      </c>
      <c r="RDR13" s="314" t="s">
        <v>203</v>
      </c>
      <c r="RDS13" s="314" t="s">
        <v>203</v>
      </c>
      <c r="RDT13" s="314" t="s">
        <v>203</v>
      </c>
      <c r="RDU13" s="314" t="s">
        <v>203</v>
      </c>
      <c r="RDV13" s="314" t="s">
        <v>203</v>
      </c>
      <c r="RDW13" s="314" t="s">
        <v>203</v>
      </c>
      <c r="RDX13" s="314" t="s">
        <v>203</v>
      </c>
      <c r="RDY13" s="314" t="s">
        <v>203</v>
      </c>
      <c r="RDZ13" s="314" t="s">
        <v>203</v>
      </c>
      <c r="REA13" s="314" t="s">
        <v>203</v>
      </c>
      <c r="REB13" s="314" t="s">
        <v>203</v>
      </c>
      <c r="REC13" s="314" t="s">
        <v>203</v>
      </c>
      <c r="RED13" s="314" t="s">
        <v>203</v>
      </c>
      <c r="REE13" s="314" t="s">
        <v>203</v>
      </c>
      <c r="REF13" s="314" t="s">
        <v>203</v>
      </c>
      <c r="REG13" s="314" t="s">
        <v>203</v>
      </c>
      <c r="REH13" s="314" t="s">
        <v>203</v>
      </c>
      <c r="REI13" s="314" t="s">
        <v>203</v>
      </c>
      <c r="REJ13" s="314" t="s">
        <v>203</v>
      </c>
      <c r="REK13" s="314" t="s">
        <v>203</v>
      </c>
      <c r="REL13" s="314" t="s">
        <v>203</v>
      </c>
      <c r="REM13" s="314" t="s">
        <v>203</v>
      </c>
      <c r="REN13" s="314" t="s">
        <v>203</v>
      </c>
      <c r="REO13" s="314" t="s">
        <v>203</v>
      </c>
      <c r="REP13" s="314" t="s">
        <v>203</v>
      </c>
      <c r="REQ13" s="314" t="s">
        <v>203</v>
      </c>
      <c r="RER13" s="314" t="s">
        <v>203</v>
      </c>
      <c r="RES13" s="314" t="s">
        <v>203</v>
      </c>
      <c r="RET13" s="314" t="s">
        <v>203</v>
      </c>
      <c r="REU13" s="314" t="s">
        <v>203</v>
      </c>
      <c r="REV13" s="314" t="s">
        <v>203</v>
      </c>
      <c r="REW13" s="314" t="s">
        <v>203</v>
      </c>
      <c r="REX13" s="314" t="s">
        <v>203</v>
      </c>
      <c r="REY13" s="314" t="s">
        <v>203</v>
      </c>
      <c r="REZ13" s="314" t="s">
        <v>203</v>
      </c>
      <c r="RFA13" s="314" t="s">
        <v>203</v>
      </c>
      <c r="RFB13" s="314" t="s">
        <v>203</v>
      </c>
      <c r="RFC13" s="314" t="s">
        <v>203</v>
      </c>
      <c r="RFD13" s="314" t="s">
        <v>203</v>
      </c>
      <c r="RFE13" s="314" t="s">
        <v>203</v>
      </c>
      <c r="RFF13" s="314" t="s">
        <v>203</v>
      </c>
      <c r="RFG13" s="314" t="s">
        <v>203</v>
      </c>
      <c r="RFH13" s="314" t="s">
        <v>203</v>
      </c>
      <c r="RFI13" s="314" t="s">
        <v>203</v>
      </c>
      <c r="RFJ13" s="314" t="s">
        <v>203</v>
      </c>
      <c r="RFK13" s="314" t="s">
        <v>203</v>
      </c>
      <c r="RFL13" s="314" t="s">
        <v>203</v>
      </c>
      <c r="RFM13" s="314" t="s">
        <v>203</v>
      </c>
      <c r="RFN13" s="314" t="s">
        <v>203</v>
      </c>
      <c r="RFO13" s="314" t="s">
        <v>203</v>
      </c>
      <c r="RFP13" s="314" t="s">
        <v>203</v>
      </c>
      <c r="RFQ13" s="314" t="s">
        <v>203</v>
      </c>
      <c r="RFR13" s="314" t="s">
        <v>203</v>
      </c>
      <c r="RFS13" s="314" t="s">
        <v>203</v>
      </c>
      <c r="RFT13" s="314" t="s">
        <v>203</v>
      </c>
      <c r="RFU13" s="314" t="s">
        <v>203</v>
      </c>
      <c r="RFV13" s="314" t="s">
        <v>203</v>
      </c>
      <c r="RFW13" s="314" t="s">
        <v>203</v>
      </c>
      <c r="RFX13" s="314" t="s">
        <v>203</v>
      </c>
      <c r="RFY13" s="314" t="s">
        <v>203</v>
      </c>
      <c r="RFZ13" s="314" t="s">
        <v>203</v>
      </c>
      <c r="RGA13" s="314" t="s">
        <v>203</v>
      </c>
      <c r="RGB13" s="314" t="s">
        <v>203</v>
      </c>
      <c r="RGC13" s="314" t="s">
        <v>203</v>
      </c>
      <c r="RGD13" s="314" t="s">
        <v>203</v>
      </c>
      <c r="RGE13" s="314" t="s">
        <v>203</v>
      </c>
      <c r="RGF13" s="314" t="s">
        <v>203</v>
      </c>
      <c r="RGG13" s="314" t="s">
        <v>203</v>
      </c>
      <c r="RGH13" s="314" t="s">
        <v>203</v>
      </c>
      <c r="RGI13" s="314" t="s">
        <v>203</v>
      </c>
      <c r="RGJ13" s="314" t="s">
        <v>203</v>
      </c>
      <c r="RGK13" s="314" t="s">
        <v>203</v>
      </c>
      <c r="RGL13" s="314" t="s">
        <v>203</v>
      </c>
      <c r="RGM13" s="314" t="s">
        <v>203</v>
      </c>
      <c r="RGN13" s="314" t="s">
        <v>203</v>
      </c>
      <c r="RGO13" s="314" t="s">
        <v>203</v>
      </c>
      <c r="RGP13" s="314" t="s">
        <v>203</v>
      </c>
      <c r="RGQ13" s="314" t="s">
        <v>203</v>
      </c>
      <c r="RGR13" s="314" t="s">
        <v>203</v>
      </c>
      <c r="RGS13" s="314" t="s">
        <v>203</v>
      </c>
      <c r="RGT13" s="314" t="s">
        <v>203</v>
      </c>
      <c r="RGU13" s="314" t="s">
        <v>203</v>
      </c>
      <c r="RGV13" s="314" t="s">
        <v>203</v>
      </c>
      <c r="RGW13" s="314" t="s">
        <v>203</v>
      </c>
      <c r="RGX13" s="314" t="s">
        <v>203</v>
      </c>
      <c r="RGY13" s="314" t="s">
        <v>203</v>
      </c>
      <c r="RGZ13" s="314" t="s">
        <v>203</v>
      </c>
      <c r="RHA13" s="314" t="s">
        <v>203</v>
      </c>
      <c r="RHB13" s="314" t="s">
        <v>203</v>
      </c>
      <c r="RHC13" s="314" t="s">
        <v>203</v>
      </c>
      <c r="RHD13" s="314" t="s">
        <v>203</v>
      </c>
      <c r="RHE13" s="314" t="s">
        <v>203</v>
      </c>
      <c r="RHF13" s="314" t="s">
        <v>203</v>
      </c>
      <c r="RHG13" s="314" t="s">
        <v>203</v>
      </c>
      <c r="RHH13" s="314" t="s">
        <v>203</v>
      </c>
      <c r="RHI13" s="314" t="s">
        <v>203</v>
      </c>
      <c r="RHJ13" s="314" t="s">
        <v>203</v>
      </c>
      <c r="RHK13" s="314" t="s">
        <v>203</v>
      </c>
      <c r="RHL13" s="314" t="s">
        <v>203</v>
      </c>
      <c r="RHM13" s="314" t="s">
        <v>203</v>
      </c>
      <c r="RHN13" s="314" t="s">
        <v>203</v>
      </c>
      <c r="RHO13" s="314" t="s">
        <v>203</v>
      </c>
      <c r="RHP13" s="314" t="s">
        <v>203</v>
      </c>
      <c r="RHQ13" s="314" t="s">
        <v>203</v>
      </c>
      <c r="RHR13" s="314" t="s">
        <v>203</v>
      </c>
      <c r="RHS13" s="314" t="s">
        <v>203</v>
      </c>
      <c r="RHT13" s="314" t="s">
        <v>203</v>
      </c>
      <c r="RHU13" s="314" t="s">
        <v>203</v>
      </c>
      <c r="RHV13" s="314" t="s">
        <v>203</v>
      </c>
      <c r="RHW13" s="314" t="s">
        <v>203</v>
      </c>
      <c r="RHX13" s="314" t="s">
        <v>203</v>
      </c>
      <c r="RHY13" s="314" t="s">
        <v>203</v>
      </c>
      <c r="RHZ13" s="314" t="s">
        <v>203</v>
      </c>
      <c r="RIA13" s="314" t="s">
        <v>203</v>
      </c>
      <c r="RIB13" s="314" t="s">
        <v>203</v>
      </c>
      <c r="RIC13" s="314" t="s">
        <v>203</v>
      </c>
      <c r="RID13" s="314" t="s">
        <v>203</v>
      </c>
      <c r="RIE13" s="314" t="s">
        <v>203</v>
      </c>
      <c r="RIF13" s="314" t="s">
        <v>203</v>
      </c>
      <c r="RIG13" s="314" t="s">
        <v>203</v>
      </c>
      <c r="RIH13" s="314" t="s">
        <v>203</v>
      </c>
      <c r="RII13" s="314" t="s">
        <v>203</v>
      </c>
      <c r="RIJ13" s="314" t="s">
        <v>203</v>
      </c>
      <c r="RIK13" s="314" t="s">
        <v>203</v>
      </c>
      <c r="RIL13" s="314" t="s">
        <v>203</v>
      </c>
      <c r="RIM13" s="314" t="s">
        <v>203</v>
      </c>
      <c r="RIN13" s="314" t="s">
        <v>203</v>
      </c>
      <c r="RIO13" s="314" t="s">
        <v>203</v>
      </c>
      <c r="RIP13" s="314" t="s">
        <v>203</v>
      </c>
      <c r="RIQ13" s="314" t="s">
        <v>203</v>
      </c>
      <c r="RIR13" s="314" t="s">
        <v>203</v>
      </c>
      <c r="RIS13" s="314" t="s">
        <v>203</v>
      </c>
      <c r="RIT13" s="314" t="s">
        <v>203</v>
      </c>
      <c r="RIU13" s="314" t="s">
        <v>203</v>
      </c>
      <c r="RIV13" s="314" t="s">
        <v>203</v>
      </c>
      <c r="RIW13" s="314" t="s">
        <v>203</v>
      </c>
      <c r="RIX13" s="314" t="s">
        <v>203</v>
      </c>
      <c r="RIY13" s="314" t="s">
        <v>203</v>
      </c>
      <c r="RIZ13" s="314" t="s">
        <v>203</v>
      </c>
      <c r="RJA13" s="314" t="s">
        <v>203</v>
      </c>
      <c r="RJB13" s="314" t="s">
        <v>203</v>
      </c>
      <c r="RJC13" s="314" t="s">
        <v>203</v>
      </c>
      <c r="RJD13" s="314" t="s">
        <v>203</v>
      </c>
      <c r="RJE13" s="314" t="s">
        <v>203</v>
      </c>
      <c r="RJF13" s="314" t="s">
        <v>203</v>
      </c>
      <c r="RJG13" s="314" t="s">
        <v>203</v>
      </c>
      <c r="RJH13" s="314" t="s">
        <v>203</v>
      </c>
      <c r="RJI13" s="314" t="s">
        <v>203</v>
      </c>
      <c r="RJJ13" s="314" t="s">
        <v>203</v>
      </c>
      <c r="RJK13" s="314" t="s">
        <v>203</v>
      </c>
      <c r="RJL13" s="314" t="s">
        <v>203</v>
      </c>
      <c r="RJM13" s="314" t="s">
        <v>203</v>
      </c>
      <c r="RJN13" s="314" t="s">
        <v>203</v>
      </c>
      <c r="RJO13" s="314" t="s">
        <v>203</v>
      </c>
      <c r="RJP13" s="314" t="s">
        <v>203</v>
      </c>
      <c r="RJQ13" s="314" t="s">
        <v>203</v>
      </c>
      <c r="RJR13" s="314" t="s">
        <v>203</v>
      </c>
      <c r="RJS13" s="314" t="s">
        <v>203</v>
      </c>
      <c r="RJT13" s="314" t="s">
        <v>203</v>
      </c>
      <c r="RJU13" s="314" t="s">
        <v>203</v>
      </c>
      <c r="RJV13" s="314" t="s">
        <v>203</v>
      </c>
      <c r="RJW13" s="314" t="s">
        <v>203</v>
      </c>
      <c r="RJX13" s="314" t="s">
        <v>203</v>
      </c>
      <c r="RJY13" s="314" t="s">
        <v>203</v>
      </c>
      <c r="RJZ13" s="314" t="s">
        <v>203</v>
      </c>
      <c r="RKA13" s="314" t="s">
        <v>203</v>
      </c>
      <c r="RKB13" s="314" t="s">
        <v>203</v>
      </c>
      <c r="RKC13" s="314" t="s">
        <v>203</v>
      </c>
      <c r="RKD13" s="314" t="s">
        <v>203</v>
      </c>
      <c r="RKE13" s="314" t="s">
        <v>203</v>
      </c>
      <c r="RKF13" s="314" t="s">
        <v>203</v>
      </c>
      <c r="RKG13" s="314" t="s">
        <v>203</v>
      </c>
      <c r="RKH13" s="314" t="s">
        <v>203</v>
      </c>
      <c r="RKI13" s="314" t="s">
        <v>203</v>
      </c>
      <c r="RKJ13" s="314" t="s">
        <v>203</v>
      </c>
      <c r="RKK13" s="314" t="s">
        <v>203</v>
      </c>
      <c r="RKL13" s="314" t="s">
        <v>203</v>
      </c>
      <c r="RKM13" s="314" t="s">
        <v>203</v>
      </c>
      <c r="RKN13" s="314" t="s">
        <v>203</v>
      </c>
      <c r="RKO13" s="314" t="s">
        <v>203</v>
      </c>
      <c r="RKP13" s="314" t="s">
        <v>203</v>
      </c>
      <c r="RKQ13" s="314" t="s">
        <v>203</v>
      </c>
      <c r="RKR13" s="314" t="s">
        <v>203</v>
      </c>
      <c r="RKS13" s="314" t="s">
        <v>203</v>
      </c>
      <c r="RKT13" s="314" t="s">
        <v>203</v>
      </c>
      <c r="RKU13" s="314" t="s">
        <v>203</v>
      </c>
      <c r="RKV13" s="314" t="s">
        <v>203</v>
      </c>
      <c r="RKW13" s="314" t="s">
        <v>203</v>
      </c>
      <c r="RKX13" s="314" t="s">
        <v>203</v>
      </c>
      <c r="RKY13" s="314" t="s">
        <v>203</v>
      </c>
      <c r="RKZ13" s="314" t="s">
        <v>203</v>
      </c>
      <c r="RLA13" s="314" t="s">
        <v>203</v>
      </c>
      <c r="RLB13" s="314" t="s">
        <v>203</v>
      </c>
      <c r="RLC13" s="314" t="s">
        <v>203</v>
      </c>
      <c r="RLD13" s="314" t="s">
        <v>203</v>
      </c>
      <c r="RLE13" s="314" t="s">
        <v>203</v>
      </c>
      <c r="RLF13" s="314" t="s">
        <v>203</v>
      </c>
      <c r="RLG13" s="314" t="s">
        <v>203</v>
      </c>
      <c r="RLH13" s="314" t="s">
        <v>203</v>
      </c>
      <c r="RLI13" s="314" t="s">
        <v>203</v>
      </c>
      <c r="RLJ13" s="314" t="s">
        <v>203</v>
      </c>
      <c r="RLK13" s="314" t="s">
        <v>203</v>
      </c>
      <c r="RLL13" s="314" t="s">
        <v>203</v>
      </c>
      <c r="RLM13" s="314" t="s">
        <v>203</v>
      </c>
      <c r="RLN13" s="314" t="s">
        <v>203</v>
      </c>
      <c r="RLO13" s="314" t="s">
        <v>203</v>
      </c>
      <c r="RLP13" s="314" t="s">
        <v>203</v>
      </c>
      <c r="RLQ13" s="314" t="s">
        <v>203</v>
      </c>
      <c r="RLR13" s="314" t="s">
        <v>203</v>
      </c>
      <c r="RLS13" s="314" t="s">
        <v>203</v>
      </c>
      <c r="RLT13" s="314" t="s">
        <v>203</v>
      </c>
      <c r="RLU13" s="314" t="s">
        <v>203</v>
      </c>
      <c r="RLV13" s="314" t="s">
        <v>203</v>
      </c>
      <c r="RLW13" s="314" t="s">
        <v>203</v>
      </c>
      <c r="RLX13" s="314" t="s">
        <v>203</v>
      </c>
      <c r="RLY13" s="314" t="s">
        <v>203</v>
      </c>
      <c r="RLZ13" s="314" t="s">
        <v>203</v>
      </c>
      <c r="RMA13" s="314" t="s">
        <v>203</v>
      </c>
      <c r="RMB13" s="314" t="s">
        <v>203</v>
      </c>
      <c r="RMC13" s="314" t="s">
        <v>203</v>
      </c>
      <c r="RMD13" s="314" t="s">
        <v>203</v>
      </c>
      <c r="RME13" s="314" t="s">
        <v>203</v>
      </c>
      <c r="RMF13" s="314" t="s">
        <v>203</v>
      </c>
      <c r="RMG13" s="314" t="s">
        <v>203</v>
      </c>
      <c r="RMH13" s="314" t="s">
        <v>203</v>
      </c>
      <c r="RMI13" s="314" t="s">
        <v>203</v>
      </c>
      <c r="RMJ13" s="314" t="s">
        <v>203</v>
      </c>
      <c r="RMK13" s="314" t="s">
        <v>203</v>
      </c>
      <c r="RML13" s="314" t="s">
        <v>203</v>
      </c>
      <c r="RMM13" s="314" t="s">
        <v>203</v>
      </c>
      <c r="RMN13" s="314" t="s">
        <v>203</v>
      </c>
      <c r="RMO13" s="314" t="s">
        <v>203</v>
      </c>
      <c r="RMP13" s="314" t="s">
        <v>203</v>
      </c>
      <c r="RMQ13" s="314" t="s">
        <v>203</v>
      </c>
      <c r="RMR13" s="314" t="s">
        <v>203</v>
      </c>
      <c r="RMS13" s="314" t="s">
        <v>203</v>
      </c>
      <c r="RMT13" s="314" t="s">
        <v>203</v>
      </c>
      <c r="RMU13" s="314" t="s">
        <v>203</v>
      </c>
      <c r="RMV13" s="314" t="s">
        <v>203</v>
      </c>
      <c r="RMW13" s="314" t="s">
        <v>203</v>
      </c>
      <c r="RMX13" s="314" t="s">
        <v>203</v>
      </c>
      <c r="RMY13" s="314" t="s">
        <v>203</v>
      </c>
      <c r="RMZ13" s="314" t="s">
        <v>203</v>
      </c>
      <c r="RNA13" s="314" t="s">
        <v>203</v>
      </c>
      <c r="RNB13" s="314" t="s">
        <v>203</v>
      </c>
      <c r="RNC13" s="314" t="s">
        <v>203</v>
      </c>
      <c r="RND13" s="314" t="s">
        <v>203</v>
      </c>
      <c r="RNE13" s="314" t="s">
        <v>203</v>
      </c>
      <c r="RNF13" s="314" t="s">
        <v>203</v>
      </c>
      <c r="RNG13" s="314" t="s">
        <v>203</v>
      </c>
      <c r="RNH13" s="314" t="s">
        <v>203</v>
      </c>
      <c r="RNI13" s="314" t="s">
        <v>203</v>
      </c>
      <c r="RNJ13" s="314" t="s">
        <v>203</v>
      </c>
      <c r="RNK13" s="314" t="s">
        <v>203</v>
      </c>
      <c r="RNL13" s="314" t="s">
        <v>203</v>
      </c>
      <c r="RNM13" s="314" t="s">
        <v>203</v>
      </c>
      <c r="RNN13" s="314" t="s">
        <v>203</v>
      </c>
      <c r="RNO13" s="314" t="s">
        <v>203</v>
      </c>
      <c r="RNP13" s="314" t="s">
        <v>203</v>
      </c>
      <c r="RNQ13" s="314" t="s">
        <v>203</v>
      </c>
      <c r="RNR13" s="314" t="s">
        <v>203</v>
      </c>
      <c r="RNS13" s="314" t="s">
        <v>203</v>
      </c>
      <c r="RNT13" s="314" t="s">
        <v>203</v>
      </c>
      <c r="RNU13" s="314" t="s">
        <v>203</v>
      </c>
      <c r="RNV13" s="314" t="s">
        <v>203</v>
      </c>
      <c r="RNW13" s="314" t="s">
        <v>203</v>
      </c>
      <c r="RNX13" s="314" t="s">
        <v>203</v>
      </c>
      <c r="RNY13" s="314" t="s">
        <v>203</v>
      </c>
      <c r="RNZ13" s="314" t="s">
        <v>203</v>
      </c>
      <c r="ROA13" s="314" t="s">
        <v>203</v>
      </c>
      <c r="ROB13" s="314" t="s">
        <v>203</v>
      </c>
      <c r="ROC13" s="314" t="s">
        <v>203</v>
      </c>
      <c r="ROD13" s="314" t="s">
        <v>203</v>
      </c>
      <c r="ROE13" s="314" t="s">
        <v>203</v>
      </c>
      <c r="ROF13" s="314" t="s">
        <v>203</v>
      </c>
      <c r="ROG13" s="314" t="s">
        <v>203</v>
      </c>
      <c r="ROH13" s="314" t="s">
        <v>203</v>
      </c>
      <c r="ROI13" s="314" t="s">
        <v>203</v>
      </c>
      <c r="ROJ13" s="314" t="s">
        <v>203</v>
      </c>
      <c r="ROK13" s="314" t="s">
        <v>203</v>
      </c>
      <c r="ROL13" s="314" t="s">
        <v>203</v>
      </c>
      <c r="ROM13" s="314" t="s">
        <v>203</v>
      </c>
      <c r="RON13" s="314" t="s">
        <v>203</v>
      </c>
      <c r="ROO13" s="314" t="s">
        <v>203</v>
      </c>
      <c r="ROP13" s="314" t="s">
        <v>203</v>
      </c>
      <c r="ROQ13" s="314" t="s">
        <v>203</v>
      </c>
      <c r="ROR13" s="314" t="s">
        <v>203</v>
      </c>
      <c r="ROS13" s="314" t="s">
        <v>203</v>
      </c>
      <c r="ROT13" s="314" t="s">
        <v>203</v>
      </c>
      <c r="ROU13" s="314" t="s">
        <v>203</v>
      </c>
      <c r="ROV13" s="314" t="s">
        <v>203</v>
      </c>
      <c r="ROW13" s="314" t="s">
        <v>203</v>
      </c>
      <c r="ROX13" s="314" t="s">
        <v>203</v>
      </c>
      <c r="ROY13" s="314" t="s">
        <v>203</v>
      </c>
      <c r="ROZ13" s="314" t="s">
        <v>203</v>
      </c>
      <c r="RPA13" s="314" t="s">
        <v>203</v>
      </c>
      <c r="RPB13" s="314" t="s">
        <v>203</v>
      </c>
      <c r="RPC13" s="314" t="s">
        <v>203</v>
      </c>
      <c r="RPD13" s="314" t="s">
        <v>203</v>
      </c>
      <c r="RPE13" s="314" t="s">
        <v>203</v>
      </c>
      <c r="RPF13" s="314" t="s">
        <v>203</v>
      </c>
      <c r="RPG13" s="314" t="s">
        <v>203</v>
      </c>
      <c r="RPH13" s="314" t="s">
        <v>203</v>
      </c>
      <c r="RPI13" s="314" t="s">
        <v>203</v>
      </c>
      <c r="RPJ13" s="314" t="s">
        <v>203</v>
      </c>
      <c r="RPK13" s="314" t="s">
        <v>203</v>
      </c>
      <c r="RPL13" s="314" t="s">
        <v>203</v>
      </c>
      <c r="RPM13" s="314" t="s">
        <v>203</v>
      </c>
      <c r="RPN13" s="314" t="s">
        <v>203</v>
      </c>
      <c r="RPO13" s="314" t="s">
        <v>203</v>
      </c>
      <c r="RPP13" s="314" t="s">
        <v>203</v>
      </c>
      <c r="RPQ13" s="314" t="s">
        <v>203</v>
      </c>
      <c r="RPR13" s="314" t="s">
        <v>203</v>
      </c>
      <c r="RPS13" s="314" t="s">
        <v>203</v>
      </c>
      <c r="RPT13" s="314" t="s">
        <v>203</v>
      </c>
      <c r="RPU13" s="314" t="s">
        <v>203</v>
      </c>
      <c r="RPV13" s="314" t="s">
        <v>203</v>
      </c>
      <c r="RPW13" s="314" t="s">
        <v>203</v>
      </c>
      <c r="RPX13" s="314" t="s">
        <v>203</v>
      </c>
      <c r="RPY13" s="314" t="s">
        <v>203</v>
      </c>
      <c r="RPZ13" s="314" t="s">
        <v>203</v>
      </c>
      <c r="RQA13" s="314" t="s">
        <v>203</v>
      </c>
      <c r="RQB13" s="314" t="s">
        <v>203</v>
      </c>
      <c r="RQC13" s="314" t="s">
        <v>203</v>
      </c>
      <c r="RQD13" s="314" t="s">
        <v>203</v>
      </c>
      <c r="RQE13" s="314" t="s">
        <v>203</v>
      </c>
      <c r="RQF13" s="314" t="s">
        <v>203</v>
      </c>
      <c r="RQG13" s="314" t="s">
        <v>203</v>
      </c>
      <c r="RQH13" s="314" t="s">
        <v>203</v>
      </c>
      <c r="RQI13" s="314" t="s">
        <v>203</v>
      </c>
      <c r="RQJ13" s="314" t="s">
        <v>203</v>
      </c>
      <c r="RQK13" s="314" t="s">
        <v>203</v>
      </c>
      <c r="RQL13" s="314" t="s">
        <v>203</v>
      </c>
      <c r="RQM13" s="314" t="s">
        <v>203</v>
      </c>
      <c r="RQN13" s="314" t="s">
        <v>203</v>
      </c>
      <c r="RQO13" s="314" t="s">
        <v>203</v>
      </c>
      <c r="RQP13" s="314" t="s">
        <v>203</v>
      </c>
      <c r="RQQ13" s="314" t="s">
        <v>203</v>
      </c>
      <c r="RQR13" s="314" t="s">
        <v>203</v>
      </c>
      <c r="RQS13" s="314" t="s">
        <v>203</v>
      </c>
      <c r="RQT13" s="314" t="s">
        <v>203</v>
      </c>
      <c r="RQU13" s="314" t="s">
        <v>203</v>
      </c>
      <c r="RQV13" s="314" t="s">
        <v>203</v>
      </c>
      <c r="RQW13" s="314" t="s">
        <v>203</v>
      </c>
      <c r="RQX13" s="314" t="s">
        <v>203</v>
      </c>
      <c r="RQY13" s="314" t="s">
        <v>203</v>
      </c>
      <c r="RQZ13" s="314" t="s">
        <v>203</v>
      </c>
      <c r="RRA13" s="314" t="s">
        <v>203</v>
      </c>
      <c r="RRB13" s="314" t="s">
        <v>203</v>
      </c>
      <c r="RRC13" s="314" t="s">
        <v>203</v>
      </c>
      <c r="RRD13" s="314" t="s">
        <v>203</v>
      </c>
      <c r="RRE13" s="314" t="s">
        <v>203</v>
      </c>
      <c r="RRF13" s="314" t="s">
        <v>203</v>
      </c>
      <c r="RRG13" s="314" t="s">
        <v>203</v>
      </c>
      <c r="RRH13" s="314" t="s">
        <v>203</v>
      </c>
      <c r="RRI13" s="314" t="s">
        <v>203</v>
      </c>
      <c r="RRJ13" s="314" t="s">
        <v>203</v>
      </c>
      <c r="RRK13" s="314" t="s">
        <v>203</v>
      </c>
      <c r="RRL13" s="314" t="s">
        <v>203</v>
      </c>
      <c r="RRM13" s="314" t="s">
        <v>203</v>
      </c>
      <c r="RRN13" s="314" t="s">
        <v>203</v>
      </c>
      <c r="RRO13" s="314" t="s">
        <v>203</v>
      </c>
      <c r="RRP13" s="314" t="s">
        <v>203</v>
      </c>
      <c r="RRQ13" s="314" t="s">
        <v>203</v>
      </c>
      <c r="RRR13" s="314" t="s">
        <v>203</v>
      </c>
      <c r="RRS13" s="314" t="s">
        <v>203</v>
      </c>
      <c r="RRT13" s="314" t="s">
        <v>203</v>
      </c>
      <c r="RRU13" s="314" t="s">
        <v>203</v>
      </c>
      <c r="RRV13" s="314" t="s">
        <v>203</v>
      </c>
      <c r="RRW13" s="314" t="s">
        <v>203</v>
      </c>
      <c r="RRX13" s="314" t="s">
        <v>203</v>
      </c>
      <c r="RRY13" s="314" t="s">
        <v>203</v>
      </c>
      <c r="RRZ13" s="314" t="s">
        <v>203</v>
      </c>
      <c r="RSA13" s="314" t="s">
        <v>203</v>
      </c>
      <c r="RSB13" s="314" t="s">
        <v>203</v>
      </c>
      <c r="RSC13" s="314" t="s">
        <v>203</v>
      </c>
      <c r="RSD13" s="314" t="s">
        <v>203</v>
      </c>
      <c r="RSE13" s="314" t="s">
        <v>203</v>
      </c>
      <c r="RSF13" s="314" t="s">
        <v>203</v>
      </c>
      <c r="RSG13" s="314" t="s">
        <v>203</v>
      </c>
      <c r="RSH13" s="314" t="s">
        <v>203</v>
      </c>
      <c r="RSI13" s="314" t="s">
        <v>203</v>
      </c>
      <c r="RSJ13" s="314" t="s">
        <v>203</v>
      </c>
      <c r="RSK13" s="314" t="s">
        <v>203</v>
      </c>
      <c r="RSL13" s="314" t="s">
        <v>203</v>
      </c>
      <c r="RSM13" s="314" t="s">
        <v>203</v>
      </c>
      <c r="RSN13" s="314" t="s">
        <v>203</v>
      </c>
      <c r="RSO13" s="314" t="s">
        <v>203</v>
      </c>
      <c r="RSP13" s="314" t="s">
        <v>203</v>
      </c>
      <c r="RSQ13" s="314" t="s">
        <v>203</v>
      </c>
      <c r="RSR13" s="314" t="s">
        <v>203</v>
      </c>
      <c r="RSS13" s="314" t="s">
        <v>203</v>
      </c>
      <c r="RST13" s="314" t="s">
        <v>203</v>
      </c>
      <c r="RSU13" s="314" t="s">
        <v>203</v>
      </c>
      <c r="RSV13" s="314" t="s">
        <v>203</v>
      </c>
      <c r="RSW13" s="314" t="s">
        <v>203</v>
      </c>
      <c r="RSX13" s="314" t="s">
        <v>203</v>
      </c>
      <c r="RSY13" s="314" t="s">
        <v>203</v>
      </c>
      <c r="RSZ13" s="314" t="s">
        <v>203</v>
      </c>
      <c r="RTA13" s="314" t="s">
        <v>203</v>
      </c>
      <c r="RTB13" s="314" t="s">
        <v>203</v>
      </c>
      <c r="RTC13" s="314" t="s">
        <v>203</v>
      </c>
      <c r="RTD13" s="314" t="s">
        <v>203</v>
      </c>
      <c r="RTE13" s="314" t="s">
        <v>203</v>
      </c>
      <c r="RTF13" s="314" t="s">
        <v>203</v>
      </c>
      <c r="RTG13" s="314" t="s">
        <v>203</v>
      </c>
      <c r="RTH13" s="314" t="s">
        <v>203</v>
      </c>
      <c r="RTI13" s="314" t="s">
        <v>203</v>
      </c>
      <c r="RTJ13" s="314" t="s">
        <v>203</v>
      </c>
      <c r="RTK13" s="314" t="s">
        <v>203</v>
      </c>
      <c r="RTL13" s="314" t="s">
        <v>203</v>
      </c>
      <c r="RTM13" s="314" t="s">
        <v>203</v>
      </c>
      <c r="RTN13" s="314" t="s">
        <v>203</v>
      </c>
      <c r="RTO13" s="314" t="s">
        <v>203</v>
      </c>
      <c r="RTP13" s="314" t="s">
        <v>203</v>
      </c>
      <c r="RTQ13" s="314" t="s">
        <v>203</v>
      </c>
      <c r="RTR13" s="314" t="s">
        <v>203</v>
      </c>
      <c r="RTS13" s="314" t="s">
        <v>203</v>
      </c>
      <c r="RTT13" s="314" t="s">
        <v>203</v>
      </c>
      <c r="RTU13" s="314" t="s">
        <v>203</v>
      </c>
      <c r="RTV13" s="314" t="s">
        <v>203</v>
      </c>
      <c r="RTW13" s="314" t="s">
        <v>203</v>
      </c>
      <c r="RTX13" s="314" t="s">
        <v>203</v>
      </c>
      <c r="RTY13" s="314" t="s">
        <v>203</v>
      </c>
      <c r="RTZ13" s="314" t="s">
        <v>203</v>
      </c>
      <c r="RUA13" s="314" t="s">
        <v>203</v>
      </c>
      <c r="RUB13" s="314" t="s">
        <v>203</v>
      </c>
      <c r="RUC13" s="314" t="s">
        <v>203</v>
      </c>
      <c r="RUD13" s="314" t="s">
        <v>203</v>
      </c>
      <c r="RUE13" s="314" t="s">
        <v>203</v>
      </c>
      <c r="RUF13" s="314" t="s">
        <v>203</v>
      </c>
      <c r="RUG13" s="314" t="s">
        <v>203</v>
      </c>
      <c r="RUH13" s="314" t="s">
        <v>203</v>
      </c>
      <c r="RUI13" s="314" t="s">
        <v>203</v>
      </c>
      <c r="RUJ13" s="314" t="s">
        <v>203</v>
      </c>
      <c r="RUK13" s="314" t="s">
        <v>203</v>
      </c>
      <c r="RUL13" s="314" t="s">
        <v>203</v>
      </c>
      <c r="RUM13" s="314" t="s">
        <v>203</v>
      </c>
      <c r="RUN13" s="314" t="s">
        <v>203</v>
      </c>
      <c r="RUO13" s="314" t="s">
        <v>203</v>
      </c>
      <c r="RUP13" s="314" t="s">
        <v>203</v>
      </c>
      <c r="RUQ13" s="314" t="s">
        <v>203</v>
      </c>
      <c r="RUR13" s="314" t="s">
        <v>203</v>
      </c>
      <c r="RUS13" s="314" t="s">
        <v>203</v>
      </c>
      <c r="RUT13" s="314" t="s">
        <v>203</v>
      </c>
      <c r="RUU13" s="314" t="s">
        <v>203</v>
      </c>
      <c r="RUV13" s="314" t="s">
        <v>203</v>
      </c>
      <c r="RUW13" s="314" t="s">
        <v>203</v>
      </c>
      <c r="RUX13" s="314" t="s">
        <v>203</v>
      </c>
      <c r="RUY13" s="314" t="s">
        <v>203</v>
      </c>
      <c r="RUZ13" s="314" t="s">
        <v>203</v>
      </c>
      <c r="RVA13" s="314" t="s">
        <v>203</v>
      </c>
      <c r="RVB13" s="314" t="s">
        <v>203</v>
      </c>
      <c r="RVC13" s="314" t="s">
        <v>203</v>
      </c>
      <c r="RVD13" s="314" t="s">
        <v>203</v>
      </c>
      <c r="RVE13" s="314" t="s">
        <v>203</v>
      </c>
      <c r="RVF13" s="314" t="s">
        <v>203</v>
      </c>
      <c r="RVG13" s="314" t="s">
        <v>203</v>
      </c>
      <c r="RVH13" s="314" t="s">
        <v>203</v>
      </c>
      <c r="RVI13" s="314" t="s">
        <v>203</v>
      </c>
      <c r="RVJ13" s="314" t="s">
        <v>203</v>
      </c>
      <c r="RVK13" s="314" t="s">
        <v>203</v>
      </c>
      <c r="RVL13" s="314" t="s">
        <v>203</v>
      </c>
      <c r="RVM13" s="314" t="s">
        <v>203</v>
      </c>
      <c r="RVN13" s="314" t="s">
        <v>203</v>
      </c>
      <c r="RVO13" s="314" t="s">
        <v>203</v>
      </c>
      <c r="RVP13" s="314" t="s">
        <v>203</v>
      </c>
      <c r="RVQ13" s="314" t="s">
        <v>203</v>
      </c>
      <c r="RVR13" s="314" t="s">
        <v>203</v>
      </c>
      <c r="RVS13" s="314" t="s">
        <v>203</v>
      </c>
      <c r="RVT13" s="314" t="s">
        <v>203</v>
      </c>
      <c r="RVU13" s="314" t="s">
        <v>203</v>
      </c>
      <c r="RVV13" s="314" t="s">
        <v>203</v>
      </c>
      <c r="RVW13" s="314" t="s">
        <v>203</v>
      </c>
      <c r="RVX13" s="314" t="s">
        <v>203</v>
      </c>
      <c r="RVY13" s="314" t="s">
        <v>203</v>
      </c>
      <c r="RVZ13" s="314" t="s">
        <v>203</v>
      </c>
      <c r="RWA13" s="314" t="s">
        <v>203</v>
      </c>
      <c r="RWB13" s="314" t="s">
        <v>203</v>
      </c>
      <c r="RWC13" s="314" t="s">
        <v>203</v>
      </c>
      <c r="RWD13" s="314" t="s">
        <v>203</v>
      </c>
      <c r="RWE13" s="314" t="s">
        <v>203</v>
      </c>
      <c r="RWF13" s="314" t="s">
        <v>203</v>
      </c>
      <c r="RWG13" s="314" t="s">
        <v>203</v>
      </c>
      <c r="RWH13" s="314" t="s">
        <v>203</v>
      </c>
      <c r="RWI13" s="314" t="s">
        <v>203</v>
      </c>
      <c r="RWJ13" s="314" t="s">
        <v>203</v>
      </c>
      <c r="RWK13" s="314" t="s">
        <v>203</v>
      </c>
      <c r="RWL13" s="314" t="s">
        <v>203</v>
      </c>
      <c r="RWM13" s="314" t="s">
        <v>203</v>
      </c>
      <c r="RWN13" s="314" t="s">
        <v>203</v>
      </c>
      <c r="RWO13" s="314" t="s">
        <v>203</v>
      </c>
      <c r="RWP13" s="314" t="s">
        <v>203</v>
      </c>
      <c r="RWQ13" s="314" t="s">
        <v>203</v>
      </c>
      <c r="RWR13" s="314" t="s">
        <v>203</v>
      </c>
      <c r="RWS13" s="314" t="s">
        <v>203</v>
      </c>
      <c r="RWT13" s="314" t="s">
        <v>203</v>
      </c>
      <c r="RWU13" s="314" t="s">
        <v>203</v>
      </c>
      <c r="RWV13" s="314" t="s">
        <v>203</v>
      </c>
      <c r="RWW13" s="314" t="s">
        <v>203</v>
      </c>
      <c r="RWX13" s="314" t="s">
        <v>203</v>
      </c>
      <c r="RWY13" s="314" t="s">
        <v>203</v>
      </c>
      <c r="RWZ13" s="314" t="s">
        <v>203</v>
      </c>
      <c r="RXA13" s="314" t="s">
        <v>203</v>
      </c>
      <c r="RXB13" s="314" t="s">
        <v>203</v>
      </c>
      <c r="RXC13" s="314" t="s">
        <v>203</v>
      </c>
      <c r="RXD13" s="314" t="s">
        <v>203</v>
      </c>
      <c r="RXE13" s="314" t="s">
        <v>203</v>
      </c>
      <c r="RXF13" s="314" t="s">
        <v>203</v>
      </c>
      <c r="RXG13" s="314" t="s">
        <v>203</v>
      </c>
      <c r="RXH13" s="314" t="s">
        <v>203</v>
      </c>
      <c r="RXI13" s="314" t="s">
        <v>203</v>
      </c>
      <c r="RXJ13" s="314" t="s">
        <v>203</v>
      </c>
      <c r="RXK13" s="314" t="s">
        <v>203</v>
      </c>
      <c r="RXL13" s="314" t="s">
        <v>203</v>
      </c>
      <c r="RXM13" s="314" t="s">
        <v>203</v>
      </c>
      <c r="RXN13" s="314" t="s">
        <v>203</v>
      </c>
      <c r="RXO13" s="314" t="s">
        <v>203</v>
      </c>
      <c r="RXP13" s="314" t="s">
        <v>203</v>
      </c>
      <c r="RXQ13" s="314" t="s">
        <v>203</v>
      </c>
      <c r="RXR13" s="314" t="s">
        <v>203</v>
      </c>
      <c r="RXS13" s="314" t="s">
        <v>203</v>
      </c>
      <c r="RXT13" s="314" t="s">
        <v>203</v>
      </c>
      <c r="RXU13" s="314" t="s">
        <v>203</v>
      </c>
      <c r="RXV13" s="314" t="s">
        <v>203</v>
      </c>
      <c r="RXW13" s="314" t="s">
        <v>203</v>
      </c>
      <c r="RXX13" s="314" t="s">
        <v>203</v>
      </c>
      <c r="RXY13" s="314" t="s">
        <v>203</v>
      </c>
      <c r="RXZ13" s="314" t="s">
        <v>203</v>
      </c>
      <c r="RYA13" s="314" t="s">
        <v>203</v>
      </c>
      <c r="RYB13" s="314" t="s">
        <v>203</v>
      </c>
      <c r="RYC13" s="314" t="s">
        <v>203</v>
      </c>
      <c r="RYD13" s="314" t="s">
        <v>203</v>
      </c>
      <c r="RYE13" s="314" t="s">
        <v>203</v>
      </c>
      <c r="RYF13" s="314" t="s">
        <v>203</v>
      </c>
      <c r="RYG13" s="314" t="s">
        <v>203</v>
      </c>
      <c r="RYH13" s="314" t="s">
        <v>203</v>
      </c>
      <c r="RYI13" s="314" t="s">
        <v>203</v>
      </c>
      <c r="RYJ13" s="314" t="s">
        <v>203</v>
      </c>
      <c r="RYK13" s="314" t="s">
        <v>203</v>
      </c>
      <c r="RYL13" s="314" t="s">
        <v>203</v>
      </c>
      <c r="RYM13" s="314" t="s">
        <v>203</v>
      </c>
      <c r="RYN13" s="314" t="s">
        <v>203</v>
      </c>
      <c r="RYO13" s="314" t="s">
        <v>203</v>
      </c>
      <c r="RYP13" s="314" t="s">
        <v>203</v>
      </c>
      <c r="RYQ13" s="314" t="s">
        <v>203</v>
      </c>
      <c r="RYR13" s="314" t="s">
        <v>203</v>
      </c>
      <c r="RYS13" s="314" t="s">
        <v>203</v>
      </c>
      <c r="RYT13" s="314" t="s">
        <v>203</v>
      </c>
      <c r="RYU13" s="314" t="s">
        <v>203</v>
      </c>
      <c r="RYV13" s="314" t="s">
        <v>203</v>
      </c>
      <c r="RYW13" s="314" t="s">
        <v>203</v>
      </c>
      <c r="RYX13" s="314" t="s">
        <v>203</v>
      </c>
      <c r="RYY13" s="314" t="s">
        <v>203</v>
      </c>
      <c r="RYZ13" s="314" t="s">
        <v>203</v>
      </c>
      <c r="RZA13" s="314" t="s">
        <v>203</v>
      </c>
      <c r="RZB13" s="314" t="s">
        <v>203</v>
      </c>
      <c r="RZC13" s="314" t="s">
        <v>203</v>
      </c>
      <c r="RZD13" s="314" t="s">
        <v>203</v>
      </c>
      <c r="RZE13" s="314" t="s">
        <v>203</v>
      </c>
      <c r="RZF13" s="314" t="s">
        <v>203</v>
      </c>
      <c r="RZG13" s="314" t="s">
        <v>203</v>
      </c>
      <c r="RZH13" s="314" t="s">
        <v>203</v>
      </c>
      <c r="RZI13" s="314" t="s">
        <v>203</v>
      </c>
      <c r="RZJ13" s="314" t="s">
        <v>203</v>
      </c>
      <c r="RZK13" s="314" t="s">
        <v>203</v>
      </c>
      <c r="RZL13" s="314" t="s">
        <v>203</v>
      </c>
      <c r="RZM13" s="314" t="s">
        <v>203</v>
      </c>
      <c r="RZN13" s="314" t="s">
        <v>203</v>
      </c>
      <c r="RZO13" s="314" t="s">
        <v>203</v>
      </c>
      <c r="RZP13" s="314" t="s">
        <v>203</v>
      </c>
      <c r="RZQ13" s="314" t="s">
        <v>203</v>
      </c>
      <c r="RZR13" s="314" t="s">
        <v>203</v>
      </c>
      <c r="RZS13" s="314" t="s">
        <v>203</v>
      </c>
      <c r="RZT13" s="314" t="s">
        <v>203</v>
      </c>
      <c r="RZU13" s="314" t="s">
        <v>203</v>
      </c>
      <c r="RZV13" s="314" t="s">
        <v>203</v>
      </c>
      <c r="RZW13" s="314" t="s">
        <v>203</v>
      </c>
      <c r="RZX13" s="314" t="s">
        <v>203</v>
      </c>
      <c r="RZY13" s="314" t="s">
        <v>203</v>
      </c>
      <c r="RZZ13" s="314" t="s">
        <v>203</v>
      </c>
      <c r="SAA13" s="314" t="s">
        <v>203</v>
      </c>
      <c r="SAB13" s="314" t="s">
        <v>203</v>
      </c>
      <c r="SAC13" s="314" t="s">
        <v>203</v>
      </c>
      <c r="SAD13" s="314" t="s">
        <v>203</v>
      </c>
      <c r="SAE13" s="314" t="s">
        <v>203</v>
      </c>
      <c r="SAF13" s="314" t="s">
        <v>203</v>
      </c>
      <c r="SAG13" s="314" t="s">
        <v>203</v>
      </c>
      <c r="SAH13" s="314" t="s">
        <v>203</v>
      </c>
      <c r="SAI13" s="314" t="s">
        <v>203</v>
      </c>
      <c r="SAJ13" s="314" t="s">
        <v>203</v>
      </c>
      <c r="SAK13" s="314" t="s">
        <v>203</v>
      </c>
      <c r="SAL13" s="314" t="s">
        <v>203</v>
      </c>
      <c r="SAM13" s="314" t="s">
        <v>203</v>
      </c>
      <c r="SAN13" s="314" t="s">
        <v>203</v>
      </c>
      <c r="SAO13" s="314" t="s">
        <v>203</v>
      </c>
      <c r="SAP13" s="314" t="s">
        <v>203</v>
      </c>
      <c r="SAQ13" s="314" t="s">
        <v>203</v>
      </c>
      <c r="SAR13" s="314" t="s">
        <v>203</v>
      </c>
      <c r="SAS13" s="314" t="s">
        <v>203</v>
      </c>
      <c r="SAT13" s="314" t="s">
        <v>203</v>
      </c>
      <c r="SAU13" s="314" t="s">
        <v>203</v>
      </c>
      <c r="SAV13" s="314" t="s">
        <v>203</v>
      </c>
      <c r="SAW13" s="314" t="s">
        <v>203</v>
      </c>
      <c r="SAX13" s="314" t="s">
        <v>203</v>
      </c>
      <c r="SAY13" s="314" t="s">
        <v>203</v>
      </c>
      <c r="SAZ13" s="314" t="s">
        <v>203</v>
      </c>
      <c r="SBA13" s="314" t="s">
        <v>203</v>
      </c>
      <c r="SBB13" s="314" t="s">
        <v>203</v>
      </c>
      <c r="SBC13" s="314" t="s">
        <v>203</v>
      </c>
      <c r="SBD13" s="314" t="s">
        <v>203</v>
      </c>
      <c r="SBE13" s="314" t="s">
        <v>203</v>
      </c>
      <c r="SBF13" s="314" t="s">
        <v>203</v>
      </c>
      <c r="SBG13" s="314" t="s">
        <v>203</v>
      </c>
      <c r="SBH13" s="314" t="s">
        <v>203</v>
      </c>
      <c r="SBI13" s="314" t="s">
        <v>203</v>
      </c>
      <c r="SBJ13" s="314" t="s">
        <v>203</v>
      </c>
      <c r="SBK13" s="314" t="s">
        <v>203</v>
      </c>
      <c r="SBL13" s="314" t="s">
        <v>203</v>
      </c>
      <c r="SBM13" s="314" t="s">
        <v>203</v>
      </c>
      <c r="SBN13" s="314" t="s">
        <v>203</v>
      </c>
      <c r="SBO13" s="314" t="s">
        <v>203</v>
      </c>
      <c r="SBP13" s="314" t="s">
        <v>203</v>
      </c>
      <c r="SBQ13" s="314" t="s">
        <v>203</v>
      </c>
      <c r="SBR13" s="314" t="s">
        <v>203</v>
      </c>
      <c r="SBS13" s="314" t="s">
        <v>203</v>
      </c>
      <c r="SBT13" s="314" t="s">
        <v>203</v>
      </c>
      <c r="SBU13" s="314" t="s">
        <v>203</v>
      </c>
      <c r="SBV13" s="314" t="s">
        <v>203</v>
      </c>
      <c r="SBW13" s="314" t="s">
        <v>203</v>
      </c>
      <c r="SBX13" s="314" t="s">
        <v>203</v>
      </c>
      <c r="SBY13" s="314" t="s">
        <v>203</v>
      </c>
      <c r="SBZ13" s="314" t="s">
        <v>203</v>
      </c>
      <c r="SCA13" s="314" t="s">
        <v>203</v>
      </c>
      <c r="SCB13" s="314" t="s">
        <v>203</v>
      </c>
      <c r="SCC13" s="314" t="s">
        <v>203</v>
      </c>
      <c r="SCD13" s="314" t="s">
        <v>203</v>
      </c>
      <c r="SCE13" s="314" t="s">
        <v>203</v>
      </c>
      <c r="SCF13" s="314" t="s">
        <v>203</v>
      </c>
      <c r="SCG13" s="314" t="s">
        <v>203</v>
      </c>
      <c r="SCH13" s="314" t="s">
        <v>203</v>
      </c>
      <c r="SCI13" s="314" t="s">
        <v>203</v>
      </c>
      <c r="SCJ13" s="314" t="s">
        <v>203</v>
      </c>
      <c r="SCK13" s="314" t="s">
        <v>203</v>
      </c>
      <c r="SCL13" s="314" t="s">
        <v>203</v>
      </c>
      <c r="SCM13" s="314" t="s">
        <v>203</v>
      </c>
      <c r="SCN13" s="314" t="s">
        <v>203</v>
      </c>
      <c r="SCO13" s="314" t="s">
        <v>203</v>
      </c>
      <c r="SCP13" s="314" t="s">
        <v>203</v>
      </c>
      <c r="SCQ13" s="314" t="s">
        <v>203</v>
      </c>
      <c r="SCR13" s="314" t="s">
        <v>203</v>
      </c>
      <c r="SCS13" s="314" t="s">
        <v>203</v>
      </c>
      <c r="SCT13" s="314" t="s">
        <v>203</v>
      </c>
      <c r="SCU13" s="314" t="s">
        <v>203</v>
      </c>
      <c r="SCV13" s="314" t="s">
        <v>203</v>
      </c>
      <c r="SCW13" s="314" t="s">
        <v>203</v>
      </c>
      <c r="SCX13" s="314" t="s">
        <v>203</v>
      </c>
      <c r="SCY13" s="314" t="s">
        <v>203</v>
      </c>
      <c r="SCZ13" s="314" t="s">
        <v>203</v>
      </c>
      <c r="SDA13" s="314" t="s">
        <v>203</v>
      </c>
      <c r="SDB13" s="314" t="s">
        <v>203</v>
      </c>
      <c r="SDC13" s="314" t="s">
        <v>203</v>
      </c>
      <c r="SDD13" s="314" t="s">
        <v>203</v>
      </c>
      <c r="SDE13" s="314" t="s">
        <v>203</v>
      </c>
      <c r="SDF13" s="314" t="s">
        <v>203</v>
      </c>
      <c r="SDG13" s="314" t="s">
        <v>203</v>
      </c>
      <c r="SDH13" s="314" t="s">
        <v>203</v>
      </c>
      <c r="SDI13" s="314" t="s">
        <v>203</v>
      </c>
      <c r="SDJ13" s="314" t="s">
        <v>203</v>
      </c>
      <c r="SDK13" s="314" t="s">
        <v>203</v>
      </c>
      <c r="SDL13" s="314" t="s">
        <v>203</v>
      </c>
      <c r="SDM13" s="314" t="s">
        <v>203</v>
      </c>
      <c r="SDN13" s="314" t="s">
        <v>203</v>
      </c>
      <c r="SDO13" s="314" t="s">
        <v>203</v>
      </c>
      <c r="SDP13" s="314" t="s">
        <v>203</v>
      </c>
      <c r="SDQ13" s="314" t="s">
        <v>203</v>
      </c>
      <c r="SDR13" s="314" t="s">
        <v>203</v>
      </c>
      <c r="SDS13" s="314" t="s">
        <v>203</v>
      </c>
      <c r="SDT13" s="314" t="s">
        <v>203</v>
      </c>
      <c r="SDU13" s="314" t="s">
        <v>203</v>
      </c>
      <c r="SDV13" s="314" t="s">
        <v>203</v>
      </c>
      <c r="SDW13" s="314" t="s">
        <v>203</v>
      </c>
      <c r="SDX13" s="314" t="s">
        <v>203</v>
      </c>
      <c r="SDY13" s="314" t="s">
        <v>203</v>
      </c>
      <c r="SDZ13" s="314" t="s">
        <v>203</v>
      </c>
      <c r="SEA13" s="314" t="s">
        <v>203</v>
      </c>
      <c r="SEB13" s="314" t="s">
        <v>203</v>
      </c>
      <c r="SEC13" s="314" t="s">
        <v>203</v>
      </c>
      <c r="SED13" s="314" t="s">
        <v>203</v>
      </c>
      <c r="SEE13" s="314" t="s">
        <v>203</v>
      </c>
      <c r="SEF13" s="314" t="s">
        <v>203</v>
      </c>
      <c r="SEG13" s="314" t="s">
        <v>203</v>
      </c>
      <c r="SEH13" s="314" t="s">
        <v>203</v>
      </c>
      <c r="SEI13" s="314" t="s">
        <v>203</v>
      </c>
      <c r="SEJ13" s="314" t="s">
        <v>203</v>
      </c>
      <c r="SEK13" s="314" t="s">
        <v>203</v>
      </c>
      <c r="SEL13" s="314" t="s">
        <v>203</v>
      </c>
      <c r="SEM13" s="314" t="s">
        <v>203</v>
      </c>
      <c r="SEN13" s="314" t="s">
        <v>203</v>
      </c>
      <c r="SEO13" s="314" t="s">
        <v>203</v>
      </c>
      <c r="SEP13" s="314" t="s">
        <v>203</v>
      </c>
      <c r="SEQ13" s="314" t="s">
        <v>203</v>
      </c>
      <c r="SER13" s="314" t="s">
        <v>203</v>
      </c>
      <c r="SES13" s="314" t="s">
        <v>203</v>
      </c>
      <c r="SET13" s="314" t="s">
        <v>203</v>
      </c>
      <c r="SEU13" s="314" t="s">
        <v>203</v>
      </c>
      <c r="SEV13" s="314" t="s">
        <v>203</v>
      </c>
      <c r="SEW13" s="314" t="s">
        <v>203</v>
      </c>
      <c r="SEX13" s="314" t="s">
        <v>203</v>
      </c>
      <c r="SEY13" s="314" t="s">
        <v>203</v>
      </c>
      <c r="SEZ13" s="314" t="s">
        <v>203</v>
      </c>
      <c r="SFA13" s="314" t="s">
        <v>203</v>
      </c>
      <c r="SFB13" s="314" t="s">
        <v>203</v>
      </c>
      <c r="SFC13" s="314" t="s">
        <v>203</v>
      </c>
      <c r="SFD13" s="314" t="s">
        <v>203</v>
      </c>
      <c r="SFE13" s="314" t="s">
        <v>203</v>
      </c>
      <c r="SFF13" s="314" t="s">
        <v>203</v>
      </c>
      <c r="SFG13" s="314" t="s">
        <v>203</v>
      </c>
      <c r="SFH13" s="314" t="s">
        <v>203</v>
      </c>
      <c r="SFI13" s="314" t="s">
        <v>203</v>
      </c>
      <c r="SFJ13" s="314" t="s">
        <v>203</v>
      </c>
      <c r="SFK13" s="314" t="s">
        <v>203</v>
      </c>
      <c r="SFL13" s="314" t="s">
        <v>203</v>
      </c>
      <c r="SFM13" s="314" t="s">
        <v>203</v>
      </c>
      <c r="SFN13" s="314" t="s">
        <v>203</v>
      </c>
      <c r="SFO13" s="314" t="s">
        <v>203</v>
      </c>
      <c r="SFP13" s="314" t="s">
        <v>203</v>
      </c>
      <c r="SFQ13" s="314" t="s">
        <v>203</v>
      </c>
      <c r="SFR13" s="314" t="s">
        <v>203</v>
      </c>
      <c r="SFS13" s="314" t="s">
        <v>203</v>
      </c>
      <c r="SFT13" s="314" t="s">
        <v>203</v>
      </c>
      <c r="SFU13" s="314" t="s">
        <v>203</v>
      </c>
      <c r="SFV13" s="314" t="s">
        <v>203</v>
      </c>
      <c r="SFW13" s="314" t="s">
        <v>203</v>
      </c>
      <c r="SFX13" s="314" t="s">
        <v>203</v>
      </c>
      <c r="SFY13" s="314" t="s">
        <v>203</v>
      </c>
      <c r="SFZ13" s="314" t="s">
        <v>203</v>
      </c>
      <c r="SGA13" s="314" t="s">
        <v>203</v>
      </c>
      <c r="SGB13" s="314" t="s">
        <v>203</v>
      </c>
      <c r="SGC13" s="314" t="s">
        <v>203</v>
      </c>
      <c r="SGD13" s="314" t="s">
        <v>203</v>
      </c>
      <c r="SGE13" s="314" t="s">
        <v>203</v>
      </c>
      <c r="SGF13" s="314" t="s">
        <v>203</v>
      </c>
      <c r="SGG13" s="314" t="s">
        <v>203</v>
      </c>
      <c r="SGH13" s="314" t="s">
        <v>203</v>
      </c>
      <c r="SGI13" s="314" t="s">
        <v>203</v>
      </c>
      <c r="SGJ13" s="314" t="s">
        <v>203</v>
      </c>
      <c r="SGK13" s="314" t="s">
        <v>203</v>
      </c>
      <c r="SGL13" s="314" t="s">
        <v>203</v>
      </c>
      <c r="SGM13" s="314" t="s">
        <v>203</v>
      </c>
      <c r="SGN13" s="314" t="s">
        <v>203</v>
      </c>
      <c r="SGO13" s="314" t="s">
        <v>203</v>
      </c>
      <c r="SGP13" s="314" t="s">
        <v>203</v>
      </c>
      <c r="SGQ13" s="314" t="s">
        <v>203</v>
      </c>
      <c r="SGR13" s="314" t="s">
        <v>203</v>
      </c>
      <c r="SGS13" s="314" t="s">
        <v>203</v>
      </c>
      <c r="SGT13" s="314" t="s">
        <v>203</v>
      </c>
      <c r="SGU13" s="314" t="s">
        <v>203</v>
      </c>
      <c r="SGV13" s="314" t="s">
        <v>203</v>
      </c>
      <c r="SGW13" s="314" t="s">
        <v>203</v>
      </c>
      <c r="SGX13" s="314" t="s">
        <v>203</v>
      </c>
      <c r="SGY13" s="314" t="s">
        <v>203</v>
      </c>
      <c r="SGZ13" s="314" t="s">
        <v>203</v>
      </c>
      <c r="SHA13" s="314" t="s">
        <v>203</v>
      </c>
      <c r="SHB13" s="314" t="s">
        <v>203</v>
      </c>
      <c r="SHC13" s="314" t="s">
        <v>203</v>
      </c>
      <c r="SHD13" s="314" t="s">
        <v>203</v>
      </c>
      <c r="SHE13" s="314" t="s">
        <v>203</v>
      </c>
      <c r="SHF13" s="314" t="s">
        <v>203</v>
      </c>
      <c r="SHG13" s="314" t="s">
        <v>203</v>
      </c>
      <c r="SHH13" s="314" t="s">
        <v>203</v>
      </c>
      <c r="SHI13" s="314" t="s">
        <v>203</v>
      </c>
      <c r="SHJ13" s="314" t="s">
        <v>203</v>
      </c>
      <c r="SHK13" s="314" t="s">
        <v>203</v>
      </c>
      <c r="SHL13" s="314" t="s">
        <v>203</v>
      </c>
      <c r="SHM13" s="314" t="s">
        <v>203</v>
      </c>
      <c r="SHN13" s="314" t="s">
        <v>203</v>
      </c>
      <c r="SHO13" s="314" t="s">
        <v>203</v>
      </c>
      <c r="SHP13" s="314" t="s">
        <v>203</v>
      </c>
      <c r="SHQ13" s="314" t="s">
        <v>203</v>
      </c>
      <c r="SHR13" s="314" t="s">
        <v>203</v>
      </c>
      <c r="SHS13" s="314" t="s">
        <v>203</v>
      </c>
      <c r="SHT13" s="314" t="s">
        <v>203</v>
      </c>
      <c r="SHU13" s="314" t="s">
        <v>203</v>
      </c>
      <c r="SHV13" s="314" t="s">
        <v>203</v>
      </c>
      <c r="SHW13" s="314" t="s">
        <v>203</v>
      </c>
      <c r="SHX13" s="314" t="s">
        <v>203</v>
      </c>
      <c r="SHY13" s="314" t="s">
        <v>203</v>
      </c>
      <c r="SHZ13" s="314" t="s">
        <v>203</v>
      </c>
      <c r="SIA13" s="314" t="s">
        <v>203</v>
      </c>
      <c r="SIB13" s="314" t="s">
        <v>203</v>
      </c>
      <c r="SIC13" s="314" t="s">
        <v>203</v>
      </c>
      <c r="SID13" s="314" t="s">
        <v>203</v>
      </c>
      <c r="SIE13" s="314" t="s">
        <v>203</v>
      </c>
      <c r="SIF13" s="314" t="s">
        <v>203</v>
      </c>
      <c r="SIG13" s="314" t="s">
        <v>203</v>
      </c>
      <c r="SIH13" s="314" t="s">
        <v>203</v>
      </c>
      <c r="SII13" s="314" t="s">
        <v>203</v>
      </c>
      <c r="SIJ13" s="314" t="s">
        <v>203</v>
      </c>
      <c r="SIK13" s="314" t="s">
        <v>203</v>
      </c>
      <c r="SIL13" s="314" t="s">
        <v>203</v>
      </c>
      <c r="SIM13" s="314" t="s">
        <v>203</v>
      </c>
      <c r="SIN13" s="314" t="s">
        <v>203</v>
      </c>
      <c r="SIO13" s="314" t="s">
        <v>203</v>
      </c>
      <c r="SIP13" s="314" t="s">
        <v>203</v>
      </c>
      <c r="SIQ13" s="314" t="s">
        <v>203</v>
      </c>
      <c r="SIR13" s="314" t="s">
        <v>203</v>
      </c>
      <c r="SIS13" s="314" t="s">
        <v>203</v>
      </c>
      <c r="SIT13" s="314" t="s">
        <v>203</v>
      </c>
      <c r="SIU13" s="314" t="s">
        <v>203</v>
      </c>
      <c r="SIV13" s="314" t="s">
        <v>203</v>
      </c>
      <c r="SIW13" s="314" t="s">
        <v>203</v>
      </c>
      <c r="SIX13" s="314" t="s">
        <v>203</v>
      </c>
      <c r="SIY13" s="314" t="s">
        <v>203</v>
      </c>
      <c r="SIZ13" s="314" t="s">
        <v>203</v>
      </c>
      <c r="SJA13" s="314" t="s">
        <v>203</v>
      </c>
      <c r="SJB13" s="314" t="s">
        <v>203</v>
      </c>
      <c r="SJC13" s="314" t="s">
        <v>203</v>
      </c>
      <c r="SJD13" s="314" t="s">
        <v>203</v>
      </c>
      <c r="SJE13" s="314" t="s">
        <v>203</v>
      </c>
      <c r="SJF13" s="314" t="s">
        <v>203</v>
      </c>
      <c r="SJG13" s="314" t="s">
        <v>203</v>
      </c>
      <c r="SJH13" s="314" t="s">
        <v>203</v>
      </c>
      <c r="SJI13" s="314" t="s">
        <v>203</v>
      </c>
      <c r="SJJ13" s="314" t="s">
        <v>203</v>
      </c>
      <c r="SJK13" s="314" t="s">
        <v>203</v>
      </c>
      <c r="SJL13" s="314" t="s">
        <v>203</v>
      </c>
      <c r="SJM13" s="314" t="s">
        <v>203</v>
      </c>
      <c r="SJN13" s="314" t="s">
        <v>203</v>
      </c>
      <c r="SJO13" s="314" t="s">
        <v>203</v>
      </c>
      <c r="SJP13" s="314" t="s">
        <v>203</v>
      </c>
      <c r="SJQ13" s="314" t="s">
        <v>203</v>
      </c>
      <c r="SJR13" s="314" t="s">
        <v>203</v>
      </c>
      <c r="SJS13" s="314" t="s">
        <v>203</v>
      </c>
      <c r="SJT13" s="314" t="s">
        <v>203</v>
      </c>
      <c r="SJU13" s="314" t="s">
        <v>203</v>
      </c>
      <c r="SJV13" s="314" t="s">
        <v>203</v>
      </c>
      <c r="SJW13" s="314" t="s">
        <v>203</v>
      </c>
      <c r="SJX13" s="314" t="s">
        <v>203</v>
      </c>
      <c r="SJY13" s="314" t="s">
        <v>203</v>
      </c>
      <c r="SJZ13" s="314" t="s">
        <v>203</v>
      </c>
      <c r="SKA13" s="314" t="s">
        <v>203</v>
      </c>
      <c r="SKB13" s="314" t="s">
        <v>203</v>
      </c>
      <c r="SKC13" s="314" t="s">
        <v>203</v>
      </c>
      <c r="SKD13" s="314" t="s">
        <v>203</v>
      </c>
      <c r="SKE13" s="314" t="s">
        <v>203</v>
      </c>
      <c r="SKF13" s="314" t="s">
        <v>203</v>
      </c>
      <c r="SKG13" s="314" t="s">
        <v>203</v>
      </c>
      <c r="SKH13" s="314" t="s">
        <v>203</v>
      </c>
      <c r="SKI13" s="314" t="s">
        <v>203</v>
      </c>
      <c r="SKJ13" s="314" t="s">
        <v>203</v>
      </c>
      <c r="SKK13" s="314" t="s">
        <v>203</v>
      </c>
      <c r="SKL13" s="314" t="s">
        <v>203</v>
      </c>
      <c r="SKM13" s="314" t="s">
        <v>203</v>
      </c>
      <c r="SKN13" s="314" t="s">
        <v>203</v>
      </c>
      <c r="SKO13" s="314" t="s">
        <v>203</v>
      </c>
      <c r="SKP13" s="314" t="s">
        <v>203</v>
      </c>
      <c r="SKQ13" s="314" t="s">
        <v>203</v>
      </c>
      <c r="SKR13" s="314" t="s">
        <v>203</v>
      </c>
      <c r="SKS13" s="314" t="s">
        <v>203</v>
      </c>
      <c r="SKT13" s="314" t="s">
        <v>203</v>
      </c>
      <c r="SKU13" s="314" t="s">
        <v>203</v>
      </c>
      <c r="SKV13" s="314" t="s">
        <v>203</v>
      </c>
      <c r="SKW13" s="314" t="s">
        <v>203</v>
      </c>
      <c r="SKX13" s="314" t="s">
        <v>203</v>
      </c>
      <c r="SKY13" s="314" t="s">
        <v>203</v>
      </c>
      <c r="SKZ13" s="314" t="s">
        <v>203</v>
      </c>
      <c r="SLA13" s="314" t="s">
        <v>203</v>
      </c>
      <c r="SLB13" s="314" t="s">
        <v>203</v>
      </c>
      <c r="SLC13" s="314" t="s">
        <v>203</v>
      </c>
      <c r="SLD13" s="314" t="s">
        <v>203</v>
      </c>
      <c r="SLE13" s="314" t="s">
        <v>203</v>
      </c>
      <c r="SLF13" s="314" t="s">
        <v>203</v>
      </c>
      <c r="SLG13" s="314" t="s">
        <v>203</v>
      </c>
      <c r="SLH13" s="314" t="s">
        <v>203</v>
      </c>
      <c r="SLI13" s="314" t="s">
        <v>203</v>
      </c>
      <c r="SLJ13" s="314" t="s">
        <v>203</v>
      </c>
      <c r="SLK13" s="314" t="s">
        <v>203</v>
      </c>
      <c r="SLL13" s="314" t="s">
        <v>203</v>
      </c>
      <c r="SLM13" s="314" t="s">
        <v>203</v>
      </c>
      <c r="SLN13" s="314" t="s">
        <v>203</v>
      </c>
      <c r="SLO13" s="314" t="s">
        <v>203</v>
      </c>
      <c r="SLP13" s="314" t="s">
        <v>203</v>
      </c>
      <c r="SLQ13" s="314" t="s">
        <v>203</v>
      </c>
      <c r="SLR13" s="314" t="s">
        <v>203</v>
      </c>
      <c r="SLS13" s="314" t="s">
        <v>203</v>
      </c>
      <c r="SLT13" s="314" t="s">
        <v>203</v>
      </c>
      <c r="SLU13" s="314" t="s">
        <v>203</v>
      </c>
      <c r="SLV13" s="314" t="s">
        <v>203</v>
      </c>
      <c r="SLW13" s="314" t="s">
        <v>203</v>
      </c>
      <c r="SLX13" s="314" t="s">
        <v>203</v>
      </c>
      <c r="SLY13" s="314" t="s">
        <v>203</v>
      </c>
      <c r="SLZ13" s="314" t="s">
        <v>203</v>
      </c>
      <c r="SMA13" s="314" t="s">
        <v>203</v>
      </c>
      <c r="SMB13" s="314" t="s">
        <v>203</v>
      </c>
      <c r="SMC13" s="314" t="s">
        <v>203</v>
      </c>
      <c r="SMD13" s="314" t="s">
        <v>203</v>
      </c>
      <c r="SME13" s="314" t="s">
        <v>203</v>
      </c>
      <c r="SMF13" s="314" t="s">
        <v>203</v>
      </c>
      <c r="SMG13" s="314" t="s">
        <v>203</v>
      </c>
      <c r="SMH13" s="314" t="s">
        <v>203</v>
      </c>
      <c r="SMI13" s="314" t="s">
        <v>203</v>
      </c>
      <c r="SMJ13" s="314" t="s">
        <v>203</v>
      </c>
      <c r="SMK13" s="314" t="s">
        <v>203</v>
      </c>
      <c r="SML13" s="314" t="s">
        <v>203</v>
      </c>
      <c r="SMM13" s="314" t="s">
        <v>203</v>
      </c>
      <c r="SMN13" s="314" t="s">
        <v>203</v>
      </c>
      <c r="SMO13" s="314" t="s">
        <v>203</v>
      </c>
      <c r="SMP13" s="314" t="s">
        <v>203</v>
      </c>
      <c r="SMQ13" s="314" t="s">
        <v>203</v>
      </c>
      <c r="SMR13" s="314" t="s">
        <v>203</v>
      </c>
      <c r="SMS13" s="314" t="s">
        <v>203</v>
      </c>
      <c r="SMT13" s="314" t="s">
        <v>203</v>
      </c>
      <c r="SMU13" s="314" t="s">
        <v>203</v>
      </c>
      <c r="SMV13" s="314" t="s">
        <v>203</v>
      </c>
      <c r="SMW13" s="314" t="s">
        <v>203</v>
      </c>
      <c r="SMX13" s="314" t="s">
        <v>203</v>
      </c>
      <c r="SMY13" s="314" t="s">
        <v>203</v>
      </c>
      <c r="SMZ13" s="314" t="s">
        <v>203</v>
      </c>
      <c r="SNA13" s="314" t="s">
        <v>203</v>
      </c>
      <c r="SNB13" s="314" t="s">
        <v>203</v>
      </c>
      <c r="SNC13" s="314" t="s">
        <v>203</v>
      </c>
      <c r="SND13" s="314" t="s">
        <v>203</v>
      </c>
      <c r="SNE13" s="314" t="s">
        <v>203</v>
      </c>
      <c r="SNF13" s="314" t="s">
        <v>203</v>
      </c>
      <c r="SNG13" s="314" t="s">
        <v>203</v>
      </c>
      <c r="SNH13" s="314" t="s">
        <v>203</v>
      </c>
      <c r="SNI13" s="314" t="s">
        <v>203</v>
      </c>
      <c r="SNJ13" s="314" t="s">
        <v>203</v>
      </c>
      <c r="SNK13" s="314" t="s">
        <v>203</v>
      </c>
      <c r="SNL13" s="314" t="s">
        <v>203</v>
      </c>
      <c r="SNM13" s="314" t="s">
        <v>203</v>
      </c>
      <c r="SNN13" s="314" t="s">
        <v>203</v>
      </c>
      <c r="SNO13" s="314" t="s">
        <v>203</v>
      </c>
      <c r="SNP13" s="314" t="s">
        <v>203</v>
      </c>
      <c r="SNQ13" s="314" t="s">
        <v>203</v>
      </c>
      <c r="SNR13" s="314" t="s">
        <v>203</v>
      </c>
      <c r="SNS13" s="314" t="s">
        <v>203</v>
      </c>
      <c r="SNT13" s="314" t="s">
        <v>203</v>
      </c>
      <c r="SNU13" s="314" t="s">
        <v>203</v>
      </c>
      <c r="SNV13" s="314" t="s">
        <v>203</v>
      </c>
      <c r="SNW13" s="314" t="s">
        <v>203</v>
      </c>
      <c r="SNX13" s="314" t="s">
        <v>203</v>
      </c>
      <c r="SNY13" s="314" t="s">
        <v>203</v>
      </c>
      <c r="SNZ13" s="314" t="s">
        <v>203</v>
      </c>
      <c r="SOA13" s="314" t="s">
        <v>203</v>
      </c>
      <c r="SOB13" s="314" t="s">
        <v>203</v>
      </c>
      <c r="SOC13" s="314" t="s">
        <v>203</v>
      </c>
      <c r="SOD13" s="314" t="s">
        <v>203</v>
      </c>
      <c r="SOE13" s="314" t="s">
        <v>203</v>
      </c>
      <c r="SOF13" s="314" t="s">
        <v>203</v>
      </c>
      <c r="SOG13" s="314" t="s">
        <v>203</v>
      </c>
      <c r="SOH13" s="314" t="s">
        <v>203</v>
      </c>
      <c r="SOI13" s="314" t="s">
        <v>203</v>
      </c>
      <c r="SOJ13" s="314" t="s">
        <v>203</v>
      </c>
      <c r="SOK13" s="314" t="s">
        <v>203</v>
      </c>
      <c r="SOL13" s="314" t="s">
        <v>203</v>
      </c>
      <c r="SOM13" s="314" t="s">
        <v>203</v>
      </c>
      <c r="SON13" s="314" t="s">
        <v>203</v>
      </c>
      <c r="SOO13" s="314" t="s">
        <v>203</v>
      </c>
      <c r="SOP13" s="314" t="s">
        <v>203</v>
      </c>
      <c r="SOQ13" s="314" t="s">
        <v>203</v>
      </c>
      <c r="SOR13" s="314" t="s">
        <v>203</v>
      </c>
      <c r="SOS13" s="314" t="s">
        <v>203</v>
      </c>
      <c r="SOT13" s="314" t="s">
        <v>203</v>
      </c>
      <c r="SOU13" s="314" t="s">
        <v>203</v>
      </c>
      <c r="SOV13" s="314" t="s">
        <v>203</v>
      </c>
      <c r="SOW13" s="314" t="s">
        <v>203</v>
      </c>
      <c r="SOX13" s="314" t="s">
        <v>203</v>
      </c>
      <c r="SOY13" s="314" t="s">
        <v>203</v>
      </c>
      <c r="SOZ13" s="314" t="s">
        <v>203</v>
      </c>
      <c r="SPA13" s="314" t="s">
        <v>203</v>
      </c>
      <c r="SPB13" s="314" t="s">
        <v>203</v>
      </c>
      <c r="SPC13" s="314" t="s">
        <v>203</v>
      </c>
      <c r="SPD13" s="314" t="s">
        <v>203</v>
      </c>
      <c r="SPE13" s="314" t="s">
        <v>203</v>
      </c>
      <c r="SPF13" s="314" t="s">
        <v>203</v>
      </c>
      <c r="SPG13" s="314" t="s">
        <v>203</v>
      </c>
      <c r="SPH13" s="314" t="s">
        <v>203</v>
      </c>
      <c r="SPI13" s="314" t="s">
        <v>203</v>
      </c>
      <c r="SPJ13" s="314" t="s">
        <v>203</v>
      </c>
      <c r="SPK13" s="314" t="s">
        <v>203</v>
      </c>
      <c r="SPL13" s="314" t="s">
        <v>203</v>
      </c>
      <c r="SPM13" s="314" t="s">
        <v>203</v>
      </c>
      <c r="SPN13" s="314" t="s">
        <v>203</v>
      </c>
      <c r="SPO13" s="314" t="s">
        <v>203</v>
      </c>
      <c r="SPP13" s="314" t="s">
        <v>203</v>
      </c>
      <c r="SPQ13" s="314" t="s">
        <v>203</v>
      </c>
      <c r="SPR13" s="314" t="s">
        <v>203</v>
      </c>
      <c r="SPS13" s="314" t="s">
        <v>203</v>
      </c>
      <c r="SPT13" s="314" t="s">
        <v>203</v>
      </c>
      <c r="SPU13" s="314" t="s">
        <v>203</v>
      </c>
      <c r="SPV13" s="314" t="s">
        <v>203</v>
      </c>
      <c r="SPW13" s="314" t="s">
        <v>203</v>
      </c>
      <c r="SPX13" s="314" t="s">
        <v>203</v>
      </c>
      <c r="SPY13" s="314" t="s">
        <v>203</v>
      </c>
      <c r="SPZ13" s="314" t="s">
        <v>203</v>
      </c>
      <c r="SQA13" s="314" t="s">
        <v>203</v>
      </c>
      <c r="SQB13" s="314" t="s">
        <v>203</v>
      </c>
      <c r="SQC13" s="314" t="s">
        <v>203</v>
      </c>
      <c r="SQD13" s="314" t="s">
        <v>203</v>
      </c>
      <c r="SQE13" s="314" t="s">
        <v>203</v>
      </c>
      <c r="SQF13" s="314" t="s">
        <v>203</v>
      </c>
      <c r="SQG13" s="314" t="s">
        <v>203</v>
      </c>
      <c r="SQH13" s="314" t="s">
        <v>203</v>
      </c>
      <c r="SQI13" s="314" t="s">
        <v>203</v>
      </c>
      <c r="SQJ13" s="314" t="s">
        <v>203</v>
      </c>
      <c r="SQK13" s="314" t="s">
        <v>203</v>
      </c>
      <c r="SQL13" s="314" t="s">
        <v>203</v>
      </c>
      <c r="SQM13" s="314" t="s">
        <v>203</v>
      </c>
      <c r="SQN13" s="314" t="s">
        <v>203</v>
      </c>
      <c r="SQO13" s="314" t="s">
        <v>203</v>
      </c>
      <c r="SQP13" s="314" t="s">
        <v>203</v>
      </c>
      <c r="SQQ13" s="314" t="s">
        <v>203</v>
      </c>
      <c r="SQR13" s="314" t="s">
        <v>203</v>
      </c>
      <c r="SQS13" s="314" t="s">
        <v>203</v>
      </c>
      <c r="SQT13" s="314" t="s">
        <v>203</v>
      </c>
      <c r="SQU13" s="314" t="s">
        <v>203</v>
      </c>
      <c r="SQV13" s="314" t="s">
        <v>203</v>
      </c>
      <c r="SQW13" s="314" t="s">
        <v>203</v>
      </c>
      <c r="SQX13" s="314" t="s">
        <v>203</v>
      </c>
      <c r="SQY13" s="314" t="s">
        <v>203</v>
      </c>
      <c r="SQZ13" s="314" t="s">
        <v>203</v>
      </c>
      <c r="SRA13" s="314" t="s">
        <v>203</v>
      </c>
      <c r="SRB13" s="314" t="s">
        <v>203</v>
      </c>
      <c r="SRC13" s="314" t="s">
        <v>203</v>
      </c>
      <c r="SRD13" s="314" t="s">
        <v>203</v>
      </c>
      <c r="SRE13" s="314" t="s">
        <v>203</v>
      </c>
      <c r="SRF13" s="314" t="s">
        <v>203</v>
      </c>
      <c r="SRG13" s="314" t="s">
        <v>203</v>
      </c>
      <c r="SRH13" s="314" t="s">
        <v>203</v>
      </c>
      <c r="SRI13" s="314" t="s">
        <v>203</v>
      </c>
      <c r="SRJ13" s="314" t="s">
        <v>203</v>
      </c>
      <c r="SRK13" s="314" t="s">
        <v>203</v>
      </c>
      <c r="SRL13" s="314" t="s">
        <v>203</v>
      </c>
      <c r="SRM13" s="314" t="s">
        <v>203</v>
      </c>
      <c r="SRN13" s="314" t="s">
        <v>203</v>
      </c>
      <c r="SRO13" s="314" t="s">
        <v>203</v>
      </c>
      <c r="SRP13" s="314" t="s">
        <v>203</v>
      </c>
      <c r="SRQ13" s="314" t="s">
        <v>203</v>
      </c>
      <c r="SRR13" s="314" t="s">
        <v>203</v>
      </c>
      <c r="SRS13" s="314" t="s">
        <v>203</v>
      </c>
      <c r="SRT13" s="314" t="s">
        <v>203</v>
      </c>
      <c r="SRU13" s="314" t="s">
        <v>203</v>
      </c>
      <c r="SRV13" s="314" t="s">
        <v>203</v>
      </c>
      <c r="SRW13" s="314" t="s">
        <v>203</v>
      </c>
      <c r="SRX13" s="314" t="s">
        <v>203</v>
      </c>
      <c r="SRY13" s="314" t="s">
        <v>203</v>
      </c>
      <c r="SRZ13" s="314" t="s">
        <v>203</v>
      </c>
      <c r="SSA13" s="314" t="s">
        <v>203</v>
      </c>
      <c r="SSB13" s="314" t="s">
        <v>203</v>
      </c>
      <c r="SSC13" s="314" t="s">
        <v>203</v>
      </c>
      <c r="SSD13" s="314" t="s">
        <v>203</v>
      </c>
      <c r="SSE13" s="314" t="s">
        <v>203</v>
      </c>
      <c r="SSF13" s="314" t="s">
        <v>203</v>
      </c>
      <c r="SSG13" s="314" t="s">
        <v>203</v>
      </c>
      <c r="SSH13" s="314" t="s">
        <v>203</v>
      </c>
      <c r="SSI13" s="314" t="s">
        <v>203</v>
      </c>
      <c r="SSJ13" s="314" t="s">
        <v>203</v>
      </c>
      <c r="SSK13" s="314" t="s">
        <v>203</v>
      </c>
      <c r="SSL13" s="314" t="s">
        <v>203</v>
      </c>
      <c r="SSM13" s="314" t="s">
        <v>203</v>
      </c>
      <c r="SSN13" s="314" t="s">
        <v>203</v>
      </c>
      <c r="SSO13" s="314" t="s">
        <v>203</v>
      </c>
      <c r="SSP13" s="314" t="s">
        <v>203</v>
      </c>
      <c r="SSQ13" s="314" t="s">
        <v>203</v>
      </c>
      <c r="SSR13" s="314" t="s">
        <v>203</v>
      </c>
      <c r="SSS13" s="314" t="s">
        <v>203</v>
      </c>
      <c r="SST13" s="314" t="s">
        <v>203</v>
      </c>
      <c r="SSU13" s="314" t="s">
        <v>203</v>
      </c>
      <c r="SSV13" s="314" t="s">
        <v>203</v>
      </c>
      <c r="SSW13" s="314" t="s">
        <v>203</v>
      </c>
      <c r="SSX13" s="314" t="s">
        <v>203</v>
      </c>
      <c r="SSY13" s="314" t="s">
        <v>203</v>
      </c>
      <c r="SSZ13" s="314" t="s">
        <v>203</v>
      </c>
      <c r="STA13" s="314" t="s">
        <v>203</v>
      </c>
      <c r="STB13" s="314" t="s">
        <v>203</v>
      </c>
      <c r="STC13" s="314" t="s">
        <v>203</v>
      </c>
      <c r="STD13" s="314" t="s">
        <v>203</v>
      </c>
      <c r="STE13" s="314" t="s">
        <v>203</v>
      </c>
      <c r="STF13" s="314" t="s">
        <v>203</v>
      </c>
      <c r="STG13" s="314" t="s">
        <v>203</v>
      </c>
      <c r="STH13" s="314" t="s">
        <v>203</v>
      </c>
      <c r="STI13" s="314" t="s">
        <v>203</v>
      </c>
      <c r="STJ13" s="314" t="s">
        <v>203</v>
      </c>
      <c r="STK13" s="314" t="s">
        <v>203</v>
      </c>
      <c r="STL13" s="314" t="s">
        <v>203</v>
      </c>
      <c r="STM13" s="314" t="s">
        <v>203</v>
      </c>
      <c r="STN13" s="314" t="s">
        <v>203</v>
      </c>
      <c r="STO13" s="314" t="s">
        <v>203</v>
      </c>
      <c r="STP13" s="314" t="s">
        <v>203</v>
      </c>
      <c r="STQ13" s="314" t="s">
        <v>203</v>
      </c>
      <c r="STR13" s="314" t="s">
        <v>203</v>
      </c>
      <c r="STS13" s="314" t="s">
        <v>203</v>
      </c>
      <c r="STT13" s="314" t="s">
        <v>203</v>
      </c>
      <c r="STU13" s="314" t="s">
        <v>203</v>
      </c>
      <c r="STV13" s="314" t="s">
        <v>203</v>
      </c>
      <c r="STW13" s="314" t="s">
        <v>203</v>
      </c>
      <c r="STX13" s="314" t="s">
        <v>203</v>
      </c>
      <c r="STY13" s="314" t="s">
        <v>203</v>
      </c>
      <c r="STZ13" s="314" t="s">
        <v>203</v>
      </c>
      <c r="SUA13" s="314" t="s">
        <v>203</v>
      </c>
      <c r="SUB13" s="314" t="s">
        <v>203</v>
      </c>
      <c r="SUC13" s="314" t="s">
        <v>203</v>
      </c>
      <c r="SUD13" s="314" t="s">
        <v>203</v>
      </c>
      <c r="SUE13" s="314" t="s">
        <v>203</v>
      </c>
      <c r="SUF13" s="314" t="s">
        <v>203</v>
      </c>
      <c r="SUG13" s="314" t="s">
        <v>203</v>
      </c>
      <c r="SUH13" s="314" t="s">
        <v>203</v>
      </c>
      <c r="SUI13" s="314" t="s">
        <v>203</v>
      </c>
      <c r="SUJ13" s="314" t="s">
        <v>203</v>
      </c>
      <c r="SUK13" s="314" t="s">
        <v>203</v>
      </c>
      <c r="SUL13" s="314" t="s">
        <v>203</v>
      </c>
      <c r="SUM13" s="314" t="s">
        <v>203</v>
      </c>
      <c r="SUN13" s="314" t="s">
        <v>203</v>
      </c>
      <c r="SUO13" s="314" t="s">
        <v>203</v>
      </c>
      <c r="SUP13" s="314" t="s">
        <v>203</v>
      </c>
      <c r="SUQ13" s="314" t="s">
        <v>203</v>
      </c>
      <c r="SUR13" s="314" t="s">
        <v>203</v>
      </c>
      <c r="SUS13" s="314" t="s">
        <v>203</v>
      </c>
      <c r="SUT13" s="314" t="s">
        <v>203</v>
      </c>
      <c r="SUU13" s="314" t="s">
        <v>203</v>
      </c>
      <c r="SUV13" s="314" t="s">
        <v>203</v>
      </c>
      <c r="SUW13" s="314" t="s">
        <v>203</v>
      </c>
      <c r="SUX13" s="314" t="s">
        <v>203</v>
      </c>
      <c r="SUY13" s="314" t="s">
        <v>203</v>
      </c>
      <c r="SUZ13" s="314" t="s">
        <v>203</v>
      </c>
      <c r="SVA13" s="314" t="s">
        <v>203</v>
      </c>
      <c r="SVB13" s="314" t="s">
        <v>203</v>
      </c>
      <c r="SVC13" s="314" t="s">
        <v>203</v>
      </c>
      <c r="SVD13" s="314" t="s">
        <v>203</v>
      </c>
      <c r="SVE13" s="314" t="s">
        <v>203</v>
      </c>
      <c r="SVF13" s="314" t="s">
        <v>203</v>
      </c>
      <c r="SVG13" s="314" t="s">
        <v>203</v>
      </c>
      <c r="SVH13" s="314" t="s">
        <v>203</v>
      </c>
      <c r="SVI13" s="314" t="s">
        <v>203</v>
      </c>
      <c r="SVJ13" s="314" t="s">
        <v>203</v>
      </c>
      <c r="SVK13" s="314" t="s">
        <v>203</v>
      </c>
      <c r="SVL13" s="314" t="s">
        <v>203</v>
      </c>
      <c r="SVM13" s="314" t="s">
        <v>203</v>
      </c>
      <c r="SVN13" s="314" t="s">
        <v>203</v>
      </c>
      <c r="SVO13" s="314" t="s">
        <v>203</v>
      </c>
      <c r="SVP13" s="314" t="s">
        <v>203</v>
      </c>
      <c r="SVQ13" s="314" t="s">
        <v>203</v>
      </c>
      <c r="SVR13" s="314" t="s">
        <v>203</v>
      </c>
      <c r="SVS13" s="314" t="s">
        <v>203</v>
      </c>
      <c r="SVT13" s="314" t="s">
        <v>203</v>
      </c>
      <c r="SVU13" s="314" t="s">
        <v>203</v>
      </c>
      <c r="SVV13" s="314" t="s">
        <v>203</v>
      </c>
      <c r="SVW13" s="314" t="s">
        <v>203</v>
      </c>
      <c r="SVX13" s="314" t="s">
        <v>203</v>
      </c>
      <c r="SVY13" s="314" t="s">
        <v>203</v>
      </c>
      <c r="SVZ13" s="314" t="s">
        <v>203</v>
      </c>
      <c r="SWA13" s="314" t="s">
        <v>203</v>
      </c>
      <c r="SWB13" s="314" t="s">
        <v>203</v>
      </c>
      <c r="SWC13" s="314" t="s">
        <v>203</v>
      </c>
      <c r="SWD13" s="314" t="s">
        <v>203</v>
      </c>
      <c r="SWE13" s="314" t="s">
        <v>203</v>
      </c>
      <c r="SWF13" s="314" t="s">
        <v>203</v>
      </c>
      <c r="SWG13" s="314" t="s">
        <v>203</v>
      </c>
      <c r="SWH13" s="314" t="s">
        <v>203</v>
      </c>
      <c r="SWI13" s="314" t="s">
        <v>203</v>
      </c>
      <c r="SWJ13" s="314" t="s">
        <v>203</v>
      </c>
      <c r="SWK13" s="314" t="s">
        <v>203</v>
      </c>
      <c r="SWL13" s="314" t="s">
        <v>203</v>
      </c>
      <c r="SWM13" s="314" t="s">
        <v>203</v>
      </c>
      <c r="SWN13" s="314" t="s">
        <v>203</v>
      </c>
      <c r="SWO13" s="314" t="s">
        <v>203</v>
      </c>
      <c r="SWP13" s="314" t="s">
        <v>203</v>
      </c>
      <c r="SWQ13" s="314" t="s">
        <v>203</v>
      </c>
      <c r="SWR13" s="314" t="s">
        <v>203</v>
      </c>
      <c r="SWS13" s="314" t="s">
        <v>203</v>
      </c>
      <c r="SWT13" s="314" t="s">
        <v>203</v>
      </c>
      <c r="SWU13" s="314" t="s">
        <v>203</v>
      </c>
      <c r="SWV13" s="314" t="s">
        <v>203</v>
      </c>
      <c r="SWW13" s="314" t="s">
        <v>203</v>
      </c>
      <c r="SWX13" s="314" t="s">
        <v>203</v>
      </c>
      <c r="SWY13" s="314" t="s">
        <v>203</v>
      </c>
      <c r="SWZ13" s="314" t="s">
        <v>203</v>
      </c>
      <c r="SXA13" s="314" t="s">
        <v>203</v>
      </c>
      <c r="SXB13" s="314" t="s">
        <v>203</v>
      </c>
      <c r="SXC13" s="314" t="s">
        <v>203</v>
      </c>
      <c r="SXD13" s="314" t="s">
        <v>203</v>
      </c>
      <c r="SXE13" s="314" t="s">
        <v>203</v>
      </c>
      <c r="SXF13" s="314" t="s">
        <v>203</v>
      </c>
      <c r="SXG13" s="314" t="s">
        <v>203</v>
      </c>
      <c r="SXH13" s="314" t="s">
        <v>203</v>
      </c>
      <c r="SXI13" s="314" t="s">
        <v>203</v>
      </c>
      <c r="SXJ13" s="314" t="s">
        <v>203</v>
      </c>
      <c r="SXK13" s="314" t="s">
        <v>203</v>
      </c>
      <c r="SXL13" s="314" t="s">
        <v>203</v>
      </c>
      <c r="SXM13" s="314" t="s">
        <v>203</v>
      </c>
      <c r="SXN13" s="314" t="s">
        <v>203</v>
      </c>
      <c r="SXO13" s="314" t="s">
        <v>203</v>
      </c>
      <c r="SXP13" s="314" t="s">
        <v>203</v>
      </c>
      <c r="SXQ13" s="314" t="s">
        <v>203</v>
      </c>
      <c r="SXR13" s="314" t="s">
        <v>203</v>
      </c>
      <c r="SXS13" s="314" t="s">
        <v>203</v>
      </c>
      <c r="SXT13" s="314" t="s">
        <v>203</v>
      </c>
      <c r="SXU13" s="314" t="s">
        <v>203</v>
      </c>
      <c r="SXV13" s="314" t="s">
        <v>203</v>
      </c>
      <c r="SXW13" s="314" t="s">
        <v>203</v>
      </c>
      <c r="SXX13" s="314" t="s">
        <v>203</v>
      </c>
      <c r="SXY13" s="314" t="s">
        <v>203</v>
      </c>
      <c r="SXZ13" s="314" t="s">
        <v>203</v>
      </c>
      <c r="SYA13" s="314" t="s">
        <v>203</v>
      </c>
      <c r="SYB13" s="314" t="s">
        <v>203</v>
      </c>
      <c r="SYC13" s="314" t="s">
        <v>203</v>
      </c>
      <c r="SYD13" s="314" t="s">
        <v>203</v>
      </c>
      <c r="SYE13" s="314" t="s">
        <v>203</v>
      </c>
      <c r="SYF13" s="314" t="s">
        <v>203</v>
      </c>
      <c r="SYG13" s="314" t="s">
        <v>203</v>
      </c>
      <c r="SYH13" s="314" t="s">
        <v>203</v>
      </c>
      <c r="SYI13" s="314" t="s">
        <v>203</v>
      </c>
      <c r="SYJ13" s="314" t="s">
        <v>203</v>
      </c>
      <c r="SYK13" s="314" t="s">
        <v>203</v>
      </c>
      <c r="SYL13" s="314" t="s">
        <v>203</v>
      </c>
      <c r="SYM13" s="314" t="s">
        <v>203</v>
      </c>
      <c r="SYN13" s="314" t="s">
        <v>203</v>
      </c>
      <c r="SYO13" s="314" t="s">
        <v>203</v>
      </c>
      <c r="SYP13" s="314" t="s">
        <v>203</v>
      </c>
      <c r="SYQ13" s="314" t="s">
        <v>203</v>
      </c>
      <c r="SYR13" s="314" t="s">
        <v>203</v>
      </c>
      <c r="SYS13" s="314" t="s">
        <v>203</v>
      </c>
      <c r="SYT13" s="314" t="s">
        <v>203</v>
      </c>
      <c r="SYU13" s="314" t="s">
        <v>203</v>
      </c>
      <c r="SYV13" s="314" t="s">
        <v>203</v>
      </c>
      <c r="SYW13" s="314" t="s">
        <v>203</v>
      </c>
      <c r="SYX13" s="314" t="s">
        <v>203</v>
      </c>
      <c r="SYY13" s="314" t="s">
        <v>203</v>
      </c>
      <c r="SYZ13" s="314" t="s">
        <v>203</v>
      </c>
      <c r="SZA13" s="314" t="s">
        <v>203</v>
      </c>
      <c r="SZB13" s="314" t="s">
        <v>203</v>
      </c>
      <c r="SZC13" s="314" t="s">
        <v>203</v>
      </c>
      <c r="SZD13" s="314" t="s">
        <v>203</v>
      </c>
      <c r="SZE13" s="314" t="s">
        <v>203</v>
      </c>
      <c r="SZF13" s="314" t="s">
        <v>203</v>
      </c>
      <c r="SZG13" s="314" t="s">
        <v>203</v>
      </c>
      <c r="SZH13" s="314" t="s">
        <v>203</v>
      </c>
      <c r="SZI13" s="314" t="s">
        <v>203</v>
      </c>
      <c r="SZJ13" s="314" t="s">
        <v>203</v>
      </c>
      <c r="SZK13" s="314" t="s">
        <v>203</v>
      </c>
      <c r="SZL13" s="314" t="s">
        <v>203</v>
      </c>
      <c r="SZM13" s="314" t="s">
        <v>203</v>
      </c>
      <c r="SZN13" s="314" t="s">
        <v>203</v>
      </c>
      <c r="SZO13" s="314" t="s">
        <v>203</v>
      </c>
      <c r="SZP13" s="314" t="s">
        <v>203</v>
      </c>
      <c r="SZQ13" s="314" t="s">
        <v>203</v>
      </c>
      <c r="SZR13" s="314" t="s">
        <v>203</v>
      </c>
      <c r="SZS13" s="314" t="s">
        <v>203</v>
      </c>
      <c r="SZT13" s="314" t="s">
        <v>203</v>
      </c>
      <c r="SZU13" s="314" t="s">
        <v>203</v>
      </c>
      <c r="SZV13" s="314" t="s">
        <v>203</v>
      </c>
      <c r="SZW13" s="314" t="s">
        <v>203</v>
      </c>
      <c r="SZX13" s="314" t="s">
        <v>203</v>
      </c>
      <c r="SZY13" s="314" t="s">
        <v>203</v>
      </c>
      <c r="SZZ13" s="314" t="s">
        <v>203</v>
      </c>
      <c r="TAA13" s="314" t="s">
        <v>203</v>
      </c>
      <c r="TAB13" s="314" t="s">
        <v>203</v>
      </c>
      <c r="TAC13" s="314" t="s">
        <v>203</v>
      </c>
      <c r="TAD13" s="314" t="s">
        <v>203</v>
      </c>
      <c r="TAE13" s="314" t="s">
        <v>203</v>
      </c>
      <c r="TAF13" s="314" t="s">
        <v>203</v>
      </c>
      <c r="TAG13" s="314" t="s">
        <v>203</v>
      </c>
      <c r="TAH13" s="314" t="s">
        <v>203</v>
      </c>
      <c r="TAI13" s="314" t="s">
        <v>203</v>
      </c>
      <c r="TAJ13" s="314" t="s">
        <v>203</v>
      </c>
      <c r="TAK13" s="314" t="s">
        <v>203</v>
      </c>
      <c r="TAL13" s="314" t="s">
        <v>203</v>
      </c>
      <c r="TAM13" s="314" t="s">
        <v>203</v>
      </c>
      <c r="TAN13" s="314" t="s">
        <v>203</v>
      </c>
      <c r="TAO13" s="314" t="s">
        <v>203</v>
      </c>
      <c r="TAP13" s="314" t="s">
        <v>203</v>
      </c>
      <c r="TAQ13" s="314" t="s">
        <v>203</v>
      </c>
      <c r="TAR13" s="314" t="s">
        <v>203</v>
      </c>
      <c r="TAS13" s="314" t="s">
        <v>203</v>
      </c>
      <c r="TAT13" s="314" t="s">
        <v>203</v>
      </c>
      <c r="TAU13" s="314" t="s">
        <v>203</v>
      </c>
      <c r="TAV13" s="314" t="s">
        <v>203</v>
      </c>
      <c r="TAW13" s="314" t="s">
        <v>203</v>
      </c>
      <c r="TAX13" s="314" t="s">
        <v>203</v>
      </c>
      <c r="TAY13" s="314" t="s">
        <v>203</v>
      </c>
      <c r="TAZ13" s="314" t="s">
        <v>203</v>
      </c>
      <c r="TBA13" s="314" t="s">
        <v>203</v>
      </c>
      <c r="TBB13" s="314" t="s">
        <v>203</v>
      </c>
      <c r="TBC13" s="314" t="s">
        <v>203</v>
      </c>
      <c r="TBD13" s="314" t="s">
        <v>203</v>
      </c>
      <c r="TBE13" s="314" t="s">
        <v>203</v>
      </c>
      <c r="TBF13" s="314" t="s">
        <v>203</v>
      </c>
      <c r="TBG13" s="314" t="s">
        <v>203</v>
      </c>
      <c r="TBH13" s="314" t="s">
        <v>203</v>
      </c>
      <c r="TBI13" s="314" t="s">
        <v>203</v>
      </c>
      <c r="TBJ13" s="314" t="s">
        <v>203</v>
      </c>
      <c r="TBK13" s="314" t="s">
        <v>203</v>
      </c>
      <c r="TBL13" s="314" t="s">
        <v>203</v>
      </c>
      <c r="TBM13" s="314" t="s">
        <v>203</v>
      </c>
      <c r="TBN13" s="314" t="s">
        <v>203</v>
      </c>
      <c r="TBO13" s="314" t="s">
        <v>203</v>
      </c>
      <c r="TBP13" s="314" t="s">
        <v>203</v>
      </c>
      <c r="TBQ13" s="314" t="s">
        <v>203</v>
      </c>
      <c r="TBR13" s="314" t="s">
        <v>203</v>
      </c>
      <c r="TBS13" s="314" t="s">
        <v>203</v>
      </c>
      <c r="TBT13" s="314" t="s">
        <v>203</v>
      </c>
      <c r="TBU13" s="314" t="s">
        <v>203</v>
      </c>
      <c r="TBV13" s="314" t="s">
        <v>203</v>
      </c>
      <c r="TBW13" s="314" t="s">
        <v>203</v>
      </c>
      <c r="TBX13" s="314" t="s">
        <v>203</v>
      </c>
      <c r="TBY13" s="314" t="s">
        <v>203</v>
      </c>
      <c r="TBZ13" s="314" t="s">
        <v>203</v>
      </c>
      <c r="TCA13" s="314" t="s">
        <v>203</v>
      </c>
      <c r="TCB13" s="314" t="s">
        <v>203</v>
      </c>
      <c r="TCC13" s="314" t="s">
        <v>203</v>
      </c>
      <c r="TCD13" s="314" t="s">
        <v>203</v>
      </c>
      <c r="TCE13" s="314" t="s">
        <v>203</v>
      </c>
      <c r="TCF13" s="314" t="s">
        <v>203</v>
      </c>
      <c r="TCG13" s="314" t="s">
        <v>203</v>
      </c>
      <c r="TCH13" s="314" t="s">
        <v>203</v>
      </c>
      <c r="TCI13" s="314" t="s">
        <v>203</v>
      </c>
      <c r="TCJ13" s="314" t="s">
        <v>203</v>
      </c>
      <c r="TCK13" s="314" t="s">
        <v>203</v>
      </c>
      <c r="TCL13" s="314" t="s">
        <v>203</v>
      </c>
      <c r="TCM13" s="314" t="s">
        <v>203</v>
      </c>
      <c r="TCN13" s="314" t="s">
        <v>203</v>
      </c>
      <c r="TCO13" s="314" t="s">
        <v>203</v>
      </c>
      <c r="TCP13" s="314" t="s">
        <v>203</v>
      </c>
      <c r="TCQ13" s="314" t="s">
        <v>203</v>
      </c>
      <c r="TCR13" s="314" t="s">
        <v>203</v>
      </c>
      <c r="TCS13" s="314" t="s">
        <v>203</v>
      </c>
      <c r="TCT13" s="314" t="s">
        <v>203</v>
      </c>
      <c r="TCU13" s="314" t="s">
        <v>203</v>
      </c>
      <c r="TCV13" s="314" t="s">
        <v>203</v>
      </c>
      <c r="TCW13" s="314" t="s">
        <v>203</v>
      </c>
      <c r="TCX13" s="314" t="s">
        <v>203</v>
      </c>
      <c r="TCY13" s="314" t="s">
        <v>203</v>
      </c>
      <c r="TCZ13" s="314" t="s">
        <v>203</v>
      </c>
      <c r="TDA13" s="314" t="s">
        <v>203</v>
      </c>
      <c r="TDB13" s="314" t="s">
        <v>203</v>
      </c>
      <c r="TDC13" s="314" t="s">
        <v>203</v>
      </c>
      <c r="TDD13" s="314" t="s">
        <v>203</v>
      </c>
      <c r="TDE13" s="314" t="s">
        <v>203</v>
      </c>
      <c r="TDF13" s="314" t="s">
        <v>203</v>
      </c>
      <c r="TDG13" s="314" t="s">
        <v>203</v>
      </c>
      <c r="TDH13" s="314" t="s">
        <v>203</v>
      </c>
      <c r="TDI13" s="314" t="s">
        <v>203</v>
      </c>
      <c r="TDJ13" s="314" t="s">
        <v>203</v>
      </c>
      <c r="TDK13" s="314" t="s">
        <v>203</v>
      </c>
      <c r="TDL13" s="314" t="s">
        <v>203</v>
      </c>
      <c r="TDM13" s="314" t="s">
        <v>203</v>
      </c>
      <c r="TDN13" s="314" t="s">
        <v>203</v>
      </c>
      <c r="TDO13" s="314" t="s">
        <v>203</v>
      </c>
      <c r="TDP13" s="314" t="s">
        <v>203</v>
      </c>
      <c r="TDQ13" s="314" t="s">
        <v>203</v>
      </c>
      <c r="TDR13" s="314" t="s">
        <v>203</v>
      </c>
      <c r="TDS13" s="314" t="s">
        <v>203</v>
      </c>
      <c r="TDT13" s="314" t="s">
        <v>203</v>
      </c>
      <c r="TDU13" s="314" t="s">
        <v>203</v>
      </c>
      <c r="TDV13" s="314" t="s">
        <v>203</v>
      </c>
      <c r="TDW13" s="314" t="s">
        <v>203</v>
      </c>
      <c r="TDX13" s="314" t="s">
        <v>203</v>
      </c>
      <c r="TDY13" s="314" t="s">
        <v>203</v>
      </c>
      <c r="TDZ13" s="314" t="s">
        <v>203</v>
      </c>
      <c r="TEA13" s="314" t="s">
        <v>203</v>
      </c>
      <c r="TEB13" s="314" t="s">
        <v>203</v>
      </c>
      <c r="TEC13" s="314" t="s">
        <v>203</v>
      </c>
      <c r="TED13" s="314" t="s">
        <v>203</v>
      </c>
      <c r="TEE13" s="314" t="s">
        <v>203</v>
      </c>
      <c r="TEF13" s="314" t="s">
        <v>203</v>
      </c>
      <c r="TEG13" s="314" t="s">
        <v>203</v>
      </c>
      <c r="TEH13" s="314" t="s">
        <v>203</v>
      </c>
      <c r="TEI13" s="314" t="s">
        <v>203</v>
      </c>
      <c r="TEJ13" s="314" t="s">
        <v>203</v>
      </c>
      <c r="TEK13" s="314" t="s">
        <v>203</v>
      </c>
      <c r="TEL13" s="314" t="s">
        <v>203</v>
      </c>
      <c r="TEM13" s="314" t="s">
        <v>203</v>
      </c>
      <c r="TEN13" s="314" t="s">
        <v>203</v>
      </c>
      <c r="TEO13" s="314" t="s">
        <v>203</v>
      </c>
      <c r="TEP13" s="314" t="s">
        <v>203</v>
      </c>
      <c r="TEQ13" s="314" t="s">
        <v>203</v>
      </c>
      <c r="TER13" s="314" t="s">
        <v>203</v>
      </c>
      <c r="TES13" s="314" t="s">
        <v>203</v>
      </c>
      <c r="TET13" s="314" t="s">
        <v>203</v>
      </c>
      <c r="TEU13" s="314" t="s">
        <v>203</v>
      </c>
      <c r="TEV13" s="314" t="s">
        <v>203</v>
      </c>
      <c r="TEW13" s="314" t="s">
        <v>203</v>
      </c>
      <c r="TEX13" s="314" t="s">
        <v>203</v>
      </c>
      <c r="TEY13" s="314" t="s">
        <v>203</v>
      </c>
      <c r="TEZ13" s="314" t="s">
        <v>203</v>
      </c>
      <c r="TFA13" s="314" t="s">
        <v>203</v>
      </c>
      <c r="TFB13" s="314" t="s">
        <v>203</v>
      </c>
      <c r="TFC13" s="314" t="s">
        <v>203</v>
      </c>
      <c r="TFD13" s="314" t="s">
        <v>203</v>
      </c>
      <c r="TFE13" s="314" t="s">
        <v>203</v>
      </c>
      <c r="TFF13" s="314" t="s">
        <v>203</v>
      </c>
      <c r="TFG13" s="314" t="s">
        <v>203</v>
      </c>
      <c r="TFH13" s="314" t="s">
        <v>203</v>
      </c>
      <c r="TFI13" s="314" t="s">
        <v>203</v>
      </c>
      <c r="TFJ13" s="314" t="s">
        <v>203</v>
      </c>
      <c r="TFK13" s="314" t="s">
        <v>203</v>
      </c>
      <c r="TFL13" s="314" t="s">
        <v>203</v>
      </c>
      <c r="TFM13" s="314" t="s">
        <v>203</v>
      </c>
      <c r="TFN13" s="314" t="s">
        <v>203</v>
      </c>
      <c r="TFO13" s="314" t="s">
        <v>203</v>
      </c>
      <c r="TFP13" s="314" t="s">
        <v>203</v>
      </c>
      <c r="TFQ13" s="314" t="s">
        <v>203</v>
      </c>
      <c r="TFR13" s="314" t="s">
        <v>203</v>
      </c>
      <c r="TFS13" s="314" t="s">
        <v>203</v>
      </c>
      <c r="TFT13" s="314" t="s">
        <v>203</v>
      </c>
      <c r="TFU13" s="314" t="s">
        <v>203</v>
      </c>
      <c r="TFV13" s="314" t="s">
        <v>203</v>
      </c>
      <c r="TFW13" s="314" t="s">
        <v>203</v>
      </c>
      <c r="TFX13" s="314" t="s">
        <v>203</v>
      </c>
      <c r="TFY13" s="314" t="s">
        <v>203</v>
      </c>
      <c r="TFZ13" s="314" t="s">
        <v>203</v>
      </c>
      <c r="TGA13" s="314" t="s">
        <v>203</v>
      </c>
      <c r="TGB13" s="314" t="s">
        <v>203</v>
      </c>
      <c r="TGC13" s="314" t="s">
        <v>203</v>
      </c>
      <c r="TGD13" s="314" t="s">
        <v>203</v>
      </c>
      <c r="TGE13" s="314" t="s">
        <v>203</v>
      </c>
      <c r="TGF13" s="314" t="s">
        <v>203</v>
      </c>
      <c r="TGG13" s="314" t="s">
        <v>203</v>
      </c>
      <c r="TGH13" s="314" t="s">
        <v>203</v>
      </c>
      <c r="TGI13" s="314" t="s">
        <v>203</v>
      </c>
      <c r="TGJ13" s="314" t="s">
        <v>203</v>
      </c>
      <c r="TGK13" s="314" t="s">
        <v>203</v>
      </c>
      <c r="TGL13" s="314" t="s">
        <v>203</v>
      </c>
      <c r="TGM13" s="314" t="s">
        <v>203</v>
      </c>
      <c r="TGN13" s="314" t="s">
        <v>203</v>
      </c>
      <c r="TGO13" s="314" t="s">
        <v>203</v>
      </c>
      <c r="TGP13" s="314" t="s">
        <v>203</v>
      </c>
      <c r="TGQ13" s="314" t="s">
        <v>203</v>
      </c>
      <c r="TGR13" s="314" t="s">
        <v>203</v>
      </c>
      <c r="TGS13" s="314" t="s">
        <v>203</v>
      </c>
      <c r="TGT13" s="314" t="s">
        <v>203</v>
      </c>
      <c r="TGU13" s="314" t="s">
        <v>203</v>
      </c>
      <c r="TGV13" s="314" t="s">
        <v>203</v>
      </c>
      <c r="TGW13" s="314" t="s">
        <v>203</v>
      </c>
      <c r="TGX13" s="314" t="s">
        <v>203</v>
      </c>
      <c r="TGY13" s="314" t="s">
        <v>203</v>
      </c>
      <c r="TGZ13" s="314" t="s">
        <v>203</v>
      </c>
      <c r="THA13" s="314" t="s">
        <v>203</v>
      </c>
      <c r="THB13" s="314" t="s">
        <v>203</v>
      </c>
      <c r="THC13" s="314" t="s">
        <v>203</v>
      </c>
      <c r="THD13" s="314" t="s">
        <v>203</v>
      </c>
      <c r="THE13" s="314" t="s">
        <v>203</v>
      </c>
      <c r="THF13" s="314" t="s">
        <v>203</v>
      </c>
      <c r="THG13" s="314" t="s">
        <v>203</v>
      </c>
      <c r="THH13" s="314" t="s">
        <v>203</v>
      </c>
      <c r="THI13" s="314" t="s">
        <v>203</v>
      </c>
      <c r="THJ13" s="314" t="s">
        <v>203</v>
      </c>
      <c r="THK13" s="314" t="s">
        <v>203</v>
      </c>
      <c r="THL13" s="314" t="s">
        <v>203</v>
      </c>
      <c r="THM13" s="314" t="s">
        <v>203</v>
      </c>
      <c r="THN13" s="314" t="s">
        <v>203</v>
      </c>
      <c r="THO13" s="314" t="s">
        <v>203</v>
      </c>
      <c r="THP13" s="314" t="s">
        <v>203</v>
      </c>
      <c r="THQ13" s="314" t="s">
        <v>203</v>
      </c>
      <c r="THR13" s="314" t="s">
        <v>203</v>
      </c>
      <c r="THS13" s="314" t="s">
        <v>203</v>
      </c>
      <c r="THT13" s="314" t="s">
        <v>203</v>
      </c>
      <c r="THU13" s="314" t="s">
        <v>203</v>
      </c>
      <c r="THV13" s="314" t="s">
        <v>203</v>
      </c>
      <c r="THW13" s="314" t="s">
        <v>203</v>
      </c>
      <c r="THX13" s="314" t="s">
        <v>203</v>
      </c>
      <c r="THY13" s="314" t="s">
        <v>203</v>
      </c>
      <c r="THZ13" s="314" t="s">
        <v>203</v>
      </c>
      <c r="TIA13" s="314" t="s">
        <v>203</v>
      </c>
      <c r="TIB13" s="314" t="s">
        <v>203</v>
      </c>
      <c r="TIC13" s="314" t="s">
        <v>203</v>
      </c>
      <c r="TID13" s="314" t="s">
        <v>203</v>
      </c>
      <c r="TIE13" s="314" t="s">
        <v>203</v>
      </c>
      <c r="TIF13" s="314" t="s">
        <v>203</v>
      </c>
      <c r="TIG13" s="314" t="s">
        <v>203</v>
      </c>
      <c r="TIH13" s="314" t="s">
        <v>203</v>
      </c>
      <c r="TII13" s="314" t="s">
        <v>203</v>
      </c>
      <c r="TIJ13" s="314" t="s">
        <v>203</v>
      </c>
      <c r="TIK13" s="314" t="s">
        <v>203</v>
      </c>
      <c r="TIL13" s="314" t="s">
        <v>203</v>
      </c>
      <c r="TIM13" s="314" t="s">
        <v>203</v>
      </c>
      <c r="TIN13" s="314" t="s">
        <v>203</v>
      </c>
      <c r="TIO13" s="314" t="s">
        <v>203</v>
      </c>
      <c r="TIP13" s="314" t="s">
        <v>203</v>
      </c>
      <c r="TIQ13" s="314" t="s">
        <v>203</v>
      </c>
      <c r="TIR13" s="314" t="s">
        <v>203</v>
      </c>
      <c r="TIS13" s="314" t="s">
        <v>203</v>
      </c>
      <c r="TIT13" s="314" t="s">
        <v>203</v>
      </c>
      <c r="TIU13" s="314" t="s">
        <v>203</v>
      </c>
      <c r="TIV13" s="314" t="s">
        <v>203</v>
      </c>
      <c r="TIW13" s="314" t="s">
        <v>203</v>
      </c>
      <c r="TIX13" s="314" t="s">
        <v>203</v>
      </c>
      <c r="TIY13" s="314" t="s">
        <v>203</v>
      </c>
      <c r="TIZ13" s="314" t="s">
        <v>203</v>
      </c>
      <c r="TJA13" s="314" t="s">
        <v>203</v>
      </c>
      <c r="TJB13" s="314" t="s">
        <v>203</v>
      </c>
      <c r="TJC13" s="314" t="s">
        <v>203</v>
      </c>
      <c r="TJD13" s="314" t="s">
        <v>203</v>
      </c>
      <c r="TJE13" s="314" t="s">
        <v>203</v>
      </c>
      <c r="TJF13" s="314" t="s">
        <v>203</v>
      </c>
      <c r="TJG13" s="314" t="s">
        <v>203</v>
      </c>
      <c r="TJH13" s="314" t="s">
        <v>203</v>
      </c>
      <c r="TJI13" s="314" t="s">
        <v>203</v>
      </c>
      <c r="TJJ13" s="314" t="s">
        <v>203</v>
      </c>
      <c r="TJK13" s="314" t="s">
        <v>203</v>
      </c>
      <c r="TJL13" s="314" t="s">
        <v>203</v>
      </c>
      <c r="TJM13" s="314" t="s">
        <v>203</v>
      </c>
      <c r="TJN13" s="314" t="s">
        <v>203</v>
      </c>
      <c r="TJO13" s="314" t="s">
        <v>203</v>
      </c>
      <c r="TJP13" s="314" t="s">
        <v>203</v>
      </c>
      <c r="TJQ13" s="314" t="s">
        <v>203</v>
      </c>
      <c r="TJR13" s="314" t="s">
        <v>203</v>
      </c>
      <c r="TJS13" s="314" t="s">
        <v>203</v>
      </c>
      <c r="TJT13" s="314" t="s">
        <v>203</v>
      </c>
      <c r="TJU13" s="314" t="s">
        <v>203</v>
      </c>
      <c r="TJV13" s="314" t="s">
        <v>203</v>
      </c>
      <c r="TJW13" s="314" t="s">
        <v>203</v>
      </c>
      <c r="TJX13" s="314" t="s">
        <v>203</v>
      </c>
      <c r="TJY13" s="314" t="s">
        <v>203</v>
      </c>
      <c r="TJZ13" s="314" t="s">
        <v>203</v>
      </c>
      <c r="TKA13" s="314" t="s">
        <v>203</v>
      </c>
      <c r="TKB13" s="314" t="s">
        <v>203</v>
      </c>
      <c r="TKC13" s="314" t="s">
        <v>203</v>
      </c>
      <c r="TKD13" s="314" t="s">
        <v>203</v>
      </c>
      <c r="TKE13" s="314" t="s">
        <v>203</v>
      </c>
      <c r="TKF13" s="314" t="s">
        <v>203</v>
      </c>
      <c r="TKG13" s="314" t="s">
        <v>203</v>
      </c>
      <c r="TKH13" s="314" t="s">
        <v>203</v>
      </c>
      <c r="TKI13" s="314" t="s">
        <v>203</v>
      </c>
      <c r="TKJ13" s="314" t="s">
        <v>203</v>
      </c>
      <c r="TKK13" s="314" t="s">
        <v>203</v>
      </c>
      <c r="TKL13" s="314" t="s">
        <v>203</v>
      </c>
      <c r="TKM13" s="314" t="s">
        <v>203</v>
      </c>
      <c r="TKN13" s="314" t="s">
        <v>203</v>
      </c>
      <c r="TKO13" s="314" t="s">
        <v>203</v>
      </c>
      <c r="TKP13" s="314" t="s">
        <v>203</v>
      </c>
      <c r="TKQ13" s="314" t="s">
        <v>203</v>
      </c>
      <c r="TKR13" s="314" t="s">
        <v>203</v>
      </c>
      <c r="TKS13" s="314" t="s">
        <v>203</v>
      </c>
      <c r="TKT13" s="314" t="s">
        <v>203</v>
      </c>
      <c r="TKU13" s="314" t="s">
        <v>203</v>
      </c>
      <c r="TKV13" s="314" t="s">
        <v>203</v>
      </c>
      <c r="TKW13" s="314" t="s">
        <v>203</v>
      </c>
      <c r="TKX13" s="314" t="s">
        <v>203</v>
      </c>
      <c r="TKY13" s="314" t="s">
        <v>203</v>
      </c>
      <c r="TKZ13" s="314" t="s">
        <v>203</v>
      </c>
      <c r="TLA13" s="314" t="s">
        <v>203</v>
      </c>
      <c r="TLB13" s="314" t="s">
        <v>203</v>
      </c>
      <c r="TLC13" s="314" t="s">
        <v>203</v>
      </c>
      <c r="TLD13" s="314" t="s">
        <v>203</v>
      </c>
      <c r="TLE13" s="314" t="s">
        <v>203</v>
      </c>
      <c r="TLF13" s="314" t="s">
        <v>203</v>
      </c>
      <c r="TLG13" s="314" t="s">
        <v>203</v>
      </c>
      <c r="TLH13" s="314" t="s">
        <v>203</v>
      </c>
      <c r="TLI13" s="314" t="s">
        <v>203</v>
      </c>
      <c r="TLJ13" s="314" t="s">
        <v>203</v>
      </c>
      <c r="TLK13" s="314" t="s">
        <v>203</v>
      </c>
      <c r="TLL13" s="314" t="s">
        <v>203</v>
      </c>
      <c r="TLM13" s="314" t="s">
        <v>203</v>
      </c>
      <c r="TLN13" s="314" t="s">
        <v>203</v>
      </c>
      <c r="TLO13" s="314" t="s">
        <v>203</v>
      </c>
      <c r="TLP13" s="314" t="s">
        <v>203</v>
      </c>
      <c r="TLQ13" s="314" t="s">
        <v>203</v>
      </c>
      <c r="TLR13" s="314" t="s">
        <v>203</v>
      </c>
      <c r="TLS13" s="314" t="s">
        <v>203</v>
      </c>
      <c r="TLT13" s="314" t="s">
        <v>203</v>
      </c>
      <c r="TLU13" s="314" t="s">
        <v>203</v>
      </c>
      <c r="TLV13" s="314" t="s">
        <v>203</v>
      </c>
      <c r="TLW13" s="314" t="s">
        <v>203</v>
      </c>
      <c r="TLX13" s="314" t="s">
        <v>203</v>
      </c>
      <c r="TLY13" s="314" t="s">
        <v>203</v>
      </c>
      <c r="TLZ13" s="314" t="s">
        <v>203</v>
      </c>
      <c r="TMA13" s="314" t="s">
        <v>203</v>
      </c>
      <c r="TMB13" s="314" t="s">
        <v>203</v>
      </c>
      <c r="TMC13" s="314" t="s">
        <v>203</v>
      </c>
      <c r="TMD13" s="314" t="s">
        <v>203</v>
      </c>
      <c r="TME13" s="314" t="s">
        <v>203</v>
      </c>
      <c r="TMF13" s="314" t="s">
        <v>203</v>
      </c>
      <c r="TMG13" s="314" t="s">
        <v>203</v>
      </c>
      <c r="TMH13" s="314" t="s">
        <v>203</v>
      </c>
      <c r="TMI13" s="314" t="s">
        <v>203</v>
      </c>
      <c r="TMJ13" s="314" t="s">
        <v>203</v>
      </c>
      <c r="TMK13" s="314" t="s">
        <v>203</v>
      </c>
      <c r="TML13" s="314" t="s">
        <v>203</v>
      </c>
      <c r="TMM13" s="314" t="s">
        <v>203</v>
      </c>
      <c r="TMN13" s="314" t="s">
        <v>203</v>
      </c>
      <c r="TMO13" s="314" t="s">
        <v>203</v>
      </c>
      <c r="TMP13" s="314" t="s">
        <v>203</v>
      </c>
      <c r="TMQ13" s="314" t="s">
        <v>203</v>
      </c>
      <c r="TMR13" s="314" t="s">
        <v>203</v>
      </c>
      <c r="TMS13" s="314" t="s">
        <v>203</v>
      </c>
      <c r="TMT13" s="314" t="s">
        <v>203</v>
      </c>
      <c r="TMU13" s="314" t="s">
        <v>203</v>
      </c>
      <c r="TMV13" s="314" t="s">
        <v>203</v>
      </c>
      <c r="TMW13" s="314" t="s">
        <v>203</v>
      </c>
      <c r="TMX13" s="314" t="s">
        <v>203</v>
      </c>
      <c r="TMY13" s="314" t="s">
        <v>203</v>
      </c>
      <c r="TMZ13" s="314" t="s">
        <v>203</v>
      </c>
      <c r="TNA13" s="314" t="s">
        <v>203</v>
      </c>
      <c r="TNB13" s="314" t="s">
        <v>203</v>
      </c>
      <c r="TNC13" s="314" t="s">
        <v>203</v>
      </c>
      <c r="TND13" s="314" t="s">
        <v>203</v>
      </c>
      <c r="TNE13" s="314" t="s">
        <v>203</v>
      </c>
      <c r="TNF13" s="314" t="s">
        <v>203</v>
      </c>
      <c r="TNG13" s="314" t="s">
        <v>203</v>
      </c>
      <c r="TNH13" s="314" t="s">
        <v>203</v>
      </c>
      <c r="TNI13" s="314" t="s">
        <v>203</v>
      </c>
      <c r="TNJ13" s="314" t="s">
        <v>203</v>
      </c>
      <c r="TNK13" s="314" t="s">
        <v>203</v>
      </c>
      <c r="TNL13" s="314" t="s">
        <v>203</v>
      </c>
      <c r="TNM13" s="314" t="s">
        <v>203</v>
      </c>
      <c r="TNN13" s="314" t="s">
        <v>203</v>
      </c>
      <c r="TNO13" s="314" t="s">
        <v>203</v>
      </c>
      <c r="TNP13" s="314" t="s">
        <v>203</v>
      </c>
      <c r="TNQ13" s="314" t="s">
        <v>203</v>
      </c>
      <c r="TNR13" s="314" t="s">
        <v>203</v>
      </c>
      <c r="TNS13" s="314" t="s">
        <v>203</v>
      </c>
      <c r="TNT13" s="314" t="s">
        <v>203</v>
      </c>
      <c r="TNU13" s="314" t="s">
        <v>203</v>
      </c>
      <c r="TNV13" s="314" t="s">
        <v>203</v>
      </c>
      <c r="TNW13" s="314" t="s">
        <v>203</v>
      </c>
      <c r="TNX13" s="314" t="s">
        <v>203</v>
      </c>
      <c r="TNY13" s="314" t="s">
        <v>203</v>
      </c>
      <c r="TNZ13" s="314" t="s">
        <v>203</v>
      </c>
      <c r="TOA13" s="314" t="s">
        <v>203</v>
      </c>
      <c r="TOB13" s="314" t="s">
        <v>203</v>
      </c>
      <c r="TOC13" s="314" t="s">
        <v>203</v>
      </c>
      <c r="TOD13" s="314" t="s">
        <v>203</v>
      </c>
      <c r="TOE13" s="314" t="s">
        <v>203</v>
      </c>
      <c r="TOF13" s="314" t="s">
        <v>203</v>
      </c>
      <c r="TOG13" s="314" t="s">
        <v>203</v>
      </c>
      <c r="TOH13" s="314" t="s">
        <v>203</v>
      </c>
      <c r="TOI13" s="314" t="s">
        <v>203</v>
      </c>
      <c r="TOJ13" s="314" t="s">
        <v>203</v>
      </c>
      <c r="TOK13" s="314" t="s">
        <v>203</v>
      </c>
      <c r="TOL13" s="314" t="s">
        <v>203</v>
      </c>
      <c r="TOM13" s="314" t="s">
        <v>203</v>
      </c>
      <c r="TON13" s="314" t="s">
        <v>203</v>
      </c>
      <c r="TOO13" s="314" t="s">
        <v>203</v>
      </c>
      <c r="TOP13" s="314" t="s">
        <v>203</v>
      </c>
      <c r="TOQ13" s="314" t="s">
        <v>203</v>
      </c>
      <c r="TOR13" s="314" t="s">
        <v>203</v>
      </c>
      <c r="TOS13" s="314" t="s">
        <v>203</v>
      </c>
      <c r="TOT13" s="314" t="s">
        <v>203</v>
      </c>
      <c r="TOU13" s="314" t="s">
        <v>203</v>
      </c>
      <c r="TOV13" s="314" t="s">
        <v>203</v>
      </c>
      <c r="TOW13" s="314" t="s">
        <v>203</v>
      </c>
      <c r="TOX13" s="314" t="s">
        <v>203</v>
      </c>
      <c r="TOY13" s="314" t="s">
        <v>203</v>
      </c>
      <c r="TOZ13" s="314" t="s">
        <v>203</v>
      </c>
      <c r="TPA13" s="314" t="s">
        <v>203</v>
      </c>
      <c r="TPB13" s="314" t="s">
        <v>203</v>
      </c>
      <c r="TPC13" s="314" t="s">
        <v>203</v>
      </c>
      <c r="TPD13" s="314" t="s">
        <v>203</v>
      </c>
      <c r="TPE13" s="314" t="s">
        <v>203</v>
      </c>
      <c r="TPF13" s="314" t="s">
        <v>203</v>
      </c>
      <c r="TPG13" s="314" t="s">
        <v>203</v>
      </c>
      <c r="TPH13" s="314" t="s">
        <v>203</v>
      </c>
      <c r="TPI13" s="314" t="s">
        <v>203</v>
      </c>
      <c r="TPJ13" s="314" t="s">
        <v>203</v>
      </c>
      <c r="TPK13" s="314" t="s">
        <v>203</v>
      </c>
      <c r="TPL13" s="314" t="s">
        <v>203</v>
      </c>
      <c r="TPM13" s="314" t="s">
        <v>203</v>
      </c>
      <c r="TPN13" s="314" t="s">
        <v>203</v>
      </c>
      <c r="TPO13" s="314" t="s">
        <v>203</v>
      </c>
      <c r="TPP13" s="314" t="s">
        <v>203</v>
      </c>
      <c r="TPQ13" s="314" t="s">
        <v>203</v>
      </c>
      <c r="TPR13" s="314" t="s">
        <v>203</v>
      </c>
      <c r="TPS13" s="314" t="s">
        <v>203</v>
      </c>
      <c r="TPT13" s="314" t="s">
        <v>203</v>
      </c>
      <c r="TPU13" s="314" t="s">
        <v>203</v>
      </c>
      <c r="TPV13" s="314" t="s">
        <v>203</v>
      </c>
      <c r="TPW13" s="314" t="s">
        <v>203</v>
      </c>
      <c r="TPX13" s="314" t="s">
        <v>203</v>
      </c>
      <c r="TPY13" s="314" t="s">
        <v>203</v>
      </c>
      <c r="TPZ13" s="314" t="s">
        <v>203</v>
      </c>
      <c r="TQA13" s="314" t="s">
        <v>203</v>
      </c>
      <c r="TQB13" s="314" t="s">
        <v>203</v>
      </c>
      <c r="TQC13" s="314" t="s">
        <v>203</v>
      </c>
      <c r="TQD13" s="314" t="s">
        <v>203</v>
      </c>
      <c r="TQE13" s="314" t="s">
        <v>203</v>
      </c>
      <c r="TQF13" s="314" t="s">
        <v>203</v>
      </c>
      <c r="TQG13" s="314" t="s">
        <v>203</v>
      </c>
      <c r="TQH13" s="314" t="s">
        <v>203</v>
      </c>
      <c r="TQI13" s="314" t="s">
        <v>203</v>
      </c>
      <c r="TQJ13" s="314" t="s">
        <v>203</v>
      </c>
      <c r="TQK13" s="314" t="s">
        <v>203</v>
      </c>
      <c r="TQL13" s="314" t="s">
        <v>203</v>
      </c>
      <c r="TQM13" s="314" t="s">
        <v>203</v>
      </c>
      <c r="TQN13" s="314" t="s">
        <v>203</v>
      </c>
      <c r="TQO13" s="314" t="s">
        <v>203</v>
      </c>
      <c r="TQP13" s="314" t="s">
        <v>203</v>
      </c>
      <c r="TQQ13" s="314" t="s">
        <v>203</v>
      </c>
      <c r="TQR13" s="314" t="s">
        <v>203</v>
      </c>
      <c r="TQS13" s="314" t="s">
        <v>203</v>
      </c>
      <c r="TQT13" s="314" t="s">
        <v>203</v>
      </c>
      <c r="TQU13" s="314" t="s">
        <v>203</v>
      </c>
      <c r="TQV13" s="314" t="s">
        <v>203</v>
      </c>
      <c r="TQW13" s="314" t="s">
        <v>203</v>
      </c>
      <c r="TQX13" s="314" t="s">
        <v>203</v>
      </c>
      <c r="TQY13" s="314" t="s">
        <v>203</v>
      </c>
      <c r="TQZ13" s="314" t="s">
        <v>203</v>
      </c>
      <c r="TRA13" s="314" t="s">
        <v>203</v>
      </c>
      <c r="TRB13" s="314" t="s">
        <v>203</v>
      </c>
      <c r="TRC13" s="314" t="s">
        <v>203</v>
      </c>
      <c r="TRD13" s="314" t="s">
        <v>203</v>
      </c>
      <c r="TRE13" s="314" t="s">
        <v>203</v>
      </c>
      <c r="TRF13" s="314" t="s">
        <v>203</v>
      </c>
      <c r="TRG13" s="314" t="s">
        <v>203</v>
      </c>
      <c r="TRH13" s="314" t="s">
        <v>203</v>
      </c>
      <c r="TRI13" s="314" t="s">
        <v>203</v>
      </c>
      <c r="TRJ13" s="314" t="s">
        <v>203</v>
      </c>
      <c r="TRK13" s="314" t="s">
        <v>203</v>
      </c>
      <c r="TRL13" s="314" t="s">
        <v>203</v>
      </c>
      <c r="TRM13" s="314" t="s">
        <v>203</v>
      </c>
      <c r="TRN13" s="314" t="s">
        <v>203</v>
      </c>
      <c r="TRO13" s="314" t="s">
        <v>203</v>
      </c>
      <c r="TRP13" s="314" t="s">
        <v>203</v>
      </c>
      <c r="TRQ13" s="314" t="s">
        <v>203</v>
      </c>
      <c r="TRR13" s="314" t="s">
        <v>203</v>
      </c>
      <c r="TRS13" s="314" t="s">
        <v>203</v>
      </c>
      <c r="TRT13" s="314" t="s">
        <v>203</v>
      </c>
      <c r="TRU13" s="314" t="s">
        <v>203</v>
      </c>
      <c r="TRV13" s="314" t="s">
        <v>203</v>
      </c>
      <c r="TRW13" s="314" t="s">
        <v>203</v>
      </c>
      <c r="TRX13" s="314" t="s">
        <v>203</v>
      </c>
      <c r="TRY13" s="314" t="s">
        <v>203</v>
      </c>
      <c r="TRZ13" s="314" t="s">
        <v>203</v>
      </c>
      <c r="TSA13" s="314" t="s">
        <v>203</v>
      </c>
      <c r="TSB13" s="314" t="s">
        <v>203</v>
      </c>
      <c r="TSC13" s="314" t="s">
        <v>203</v>
      </c>
      <c r="TSD13" s="314" t="s">
        <v>203</v>
      </c>
      <c r="TSE13" s="314" t="s">
        <v>203</v>
      </c>
      <c r="TSF13" s="314" t="s">
        <v>203</v>
      </c>
      <c r="TSG13" s="314" t="s">
        <v>203</v>
      </c>
      <c r="TSH13" s="314" t="s">
        <v>203</v>
      </c>
      <c r="TSI13" s="314" t="s">
        <v>203</v>
      </c>
      <c r="TSJ13" s="314" t="s">
        <v>203</v>
      </c>
      <c r="TSK13" s="314" t="s">
        <v>203</v>
      </c>
      <c r="TSL13" s="314" t="s">
        <v>203</v>
      </c>
      <c r="TSM13" s="314" t="s">
        <v>203</v>
      </c>
      <c r="TSN13" s="314" t="s">
        <v>203</v>
      </c>
      <c r="TSO13" s="314" t="s">
        <v>203</v>
      </c>
      <c r="TSP13" s="314" t="s">
        <v>203</v>
      </c>
      <c r="TSQ13" s="314" t="s">
        <v>203</v>
      </c>
      <c r="TSR13" s="314" t="s">
        <v>203</v>
      </c>
      <c r="TSS13" s="314" t="s">
        <v>203</v>
      </c>
      <c r="TST13" s="314" t="s">
        <v>203</v>
      </c>
      <c r="TSU13" s="314" t="s">
        <v>203</v>
      </c>
      <c r="TSV13" s="314" t="s">
        <v>203</v>
      </c>
      <c r="TSW13" s="314" t="s">
        <v>203</v>
      </c>
      <c r="TSX13" s="314" t="s">
        <v>203</v>
      </c>
      <c r="TSY13" s="314" t="s">
        <v>203</v>
      </c>
      <c r="TSZ13" s="314" t="s">
        <v>203</v>
      </c>
      <c r="TTA13" s="314" t="s">
        <v>203</v>
      </c>
      <c r="TTB13" s="314" t="s">
        <v>203</v>
      </c>
      <c r="TTC13" s="314" t="s">
        <v>203</v>
      </c>
      <c r="TTD13" s="314" t="s">
        <v>203</v>
      </c>
      <c r="TTE13" s="314" t="s">
        <v>203</v>
      </c>
      <c r="TTF13" s="314" t="s">
        <v>203</v>
      </c>
      <c r="TTG13" s="314" t="s">
        <v>203</v>
      </c>
      <c r="TTH13" s="314" t="s">
        <v>203</v>
      </c>
      <c r="TTI13" s="314" t="s">
        <v>203</v>
      </c>
      <c r="TTJ13" s="314" t="s">
        <v>203</v>
      </c>
      <c r="TTK13" s="314" t="s">
        <v>203</v>
      </c>
      <c r="TTL13" s="314" t="s">
        <v>203</v>
      </c>
      <c r="TTM13" s="314" t="s">
        <v>203</v>
      </c>
      <c r="TTN13" s="314" t="s">
        <v>203</v>
      </c>
      <c r="TTO13" s="314" t="s">
        <v>203</v>
      </c>
      <c r="TTP13" s="314" t="s">
        <v>203</v>
      </c>
      <c r="TTQ13" s="314" t="s">
        <v>203</v>
      </c>
      <c r="TTR13" s="314" t="s">
        <v>203</v>
      </c>
      <c r="TTS13" s="314" t="s">
        <v>203</v>
      </c>
      <c r="TTT13" s="314" t="s">
        <v>203</v>
      </c>
      <c r="TTU13" s="314" t="s">
        <v>203</v>
      </c>
      <c r="TTV13" s="314" t="s">
        <v>203</v>
      </c>
      <c r="TTW13" s="314" t="s">
        <v>203</v>
      </c>
      <c r="TTX13" s="314" t="s">
        <v>203</v>
      </c>
      <c r="TTY13" s="314" t="s">
        <v>203</v>
      </c>
      <c r="TTZ13" s="314" t="s">
        <v>203</v>
      </c>
      <c r="TUA13" s="314" t="s">
        <v>203</v>
      </c>
      <c r="TUB13" s="314" t="s">
        <v>203</v>
      </c>
      <c r="TUC13" s="314" t="s">
        <v>203</v>
      </c>
      <c r="TUD13" s="314" t="s">
        <v>203</v>
      </c>
      <c r="TUE13" s="314" t="s">
        <v>203</v>
      </c>
      <c r="TUF13" s="314" t="s">
        <v>203</v>
      </c>
      <c r="TUG13" s="314" t="s">
        <v>203</v>
      </c>
      <c r="TUH13" s="314" t="s">
        <v>203</v>
      </c>
      <c r="TUI13" s="314" t="s">
        <v>203</v>
      </c>
      <c r="TUJ13" s="314" t="s">
        <v>203</v>
      </c>
      <c r="TUK13" s="314" t="s">
        <v>203</v>
      </c>
      <c r="TUL13" s="314" t="s">
        <v>203</v>
      </c>
      <c r="TUM13" s="314" t="s">
        <v>203</v>
      </c>
      <c r="TUN13" s="314" t="s">
        <v>203</v>
      </c>
      <c r="TUO13" s="314" t="s">
        <v>203</v>
      </c>
      <c r="TUP13" s="314" t="s">
        <v>203</v>
      </c>
      <c r="TUQ13" s="314" t="s">
        <v>203</v>
      </c>
      <c r="TUR13" s="314" t="s">
        <v>203</v>
      </c>
      <c r="TUS13" s="314" t="s">
        <v>203</v>
      </c>
      <c r="TUT13" s="314" t="s">
        <v>203</v>
      </c>
      <c r="TUU13" s="314" t="s">
        <v>203</v>
      </c>
      <c r="TUV13" s="314" t="s">
        <v>203</v>
      </c>
      <c r="TUW13" s="314" t="s">
        <v>203</v>
      </c>
      <c r="TUX13" s="314" t="s">
        <v>203</v>
      </c>
      <c r="TUY13" s="314" t="s">
        <v>203</v>
      </c>
      <c r="TUZ13" s="314" t="s">
        <v>203</v>
      </c>
      <c r="TVA13" s="314" t="s">
        <v>203</v>
      </c>
      <c r="TVB13" s="314" t="s">
        <v>203</v>
      </c>
      <c r="TVC13" s="314" t="s">
        <v>203</v>
      </c>
      <c r="TVD13" s="314" t="s">
        <v>203</v>
      </c>
      <c r="TVE13" s="314" t="s">
        <v>203</v>
      </c>
      <c r="TVF13" s="314" t="s">
        <v>203</v>
      </c>
      <c r="TVG13" s="314" t="s">
        <v>203</v>
      </c>
      <c r="TVH13" s="314" t="s">
        <v>203</v>
      </c>
      <c r="TVI13" s="314" t="s">
        <v>203</v>
      </c>
      <c r="TVJ13" s="314" t="s">
        <v>203</v>
      </c>
      <c r="TVK13" s="314" t="s">
        <v>203</v>
      </c>
      <c r="TVL13" s="314" t="s">
        <v>203</v>
      </c>
      <c r="TVM13" s="314" t="s">
        <v>203</v>
      </c>
      <c r="TVN13" s="314" t="s">
        <v>203</v>
      </c>
      <c r="TVO13" s="314" t="s">
        <v>203</v>
      </c>
      <c r="TVP13" s="314" t="s">
        <v>203</v>
      </c>
      <c r="TVQ13" s="314" t="s">
        <v>203</v>
      </c>
      <c r="TVR13" s="314" t="s">
        <v>203</v>
      </c>
      <c r="TVS13" s="314" t="s">
        <v>203</v>
      </c>
      <c r="TVT13" s="314" t="s">
        <v>203</v>
      </c>
      <c r="TVU13" s="314" t="s">
        <v>203</v>
      </c>
      <c r="TVV13" s="314" t="s">
        <v>203</v>
      </c>
      <c r="TVW13" s="314" t="s">
        <v>203</v>
      </c>
      <c r="TVX13" s="314" t="s">
        <v>203</v>
      </c>
      <c r="TVY13" s="314" t="s">
        <v>203</v>
      </c>
      <c r="TVZ13" s="314" t="s">
        <v>203</v>
      </c>
      <c r="TWA13" s="314" t="s">
        <v>203</v>
      </c>
      <c r="TWB13" s="314" t="s">
        <v>203</v>
      </c>
      <c r="TWC13" s="314" t="s">
        <v>203</v>
      </c>
      <c r="TWD13" s="314" t="s">
        <v>203</v>
      </c>
      <c r="TWE13" s="314" t="s">
        <v>203</v>
      </c>
      <c r="TWF13" s="314" t="s">
        <v>203</v>
      </c>
      <c r="TWG13" s="314" t="s">
        <v>203</v>
      </c>
      <c r="TWH13" s="314" t="s">
        <v>203</v>
      </c>
      <c r="TWI13" s="314" t="s">
        <v>203</v>
      </c>
      <c r="TWJ13" s="314" t="s">
        <v>203</v>
      </c>
      <c r="TWK13" s="314" t="s">
        <v>203</v>
      </c>
      <c r="TWL13" s="314" t="s">
        <v>203</v>
      </c>
      <c r="TWM13" s="314" t="s">
        <v>203</v>
      </c>
      <c r="TWN13" s="314" t="s">
        <v>203</v>
      </c>
      <c r="TWO13" s="314" t="s">
        <v>203</v>
      </c>
      <c r="TWP13" s="314" t="s">
        <v>203</v>
      </c>
      <c r="TWQ13" s="314" t="s">
        <v>203</v>
      </c>
      <c r="TWR13" s="314" t="s">
        <v>203</v>
      </c>
      <c r="TWS13" s="314" t="s">
        <v>203</v>
      </c>
      <c r="TWT13" s="314" t="s">
        <v>203</v>
      </c>
      <c r="TWU13" s="314" t="s">
        <v>203</v>
      </c>
      <c r="TWV13" s="314" t="s">
        <v>203</v>
      </c>
      <c r="TWW13" s="314" t="s">
        <v>203</v>
      </c>
      <c r="TWX13" s="314" t="s">
        <v>203</v>
      </c>
      <c r="TWY13" s="314" t="s">
        <v>203</v>
      </c>
      <c r="TWZ13" s="314" t="s">
        <v>203</v>
      </c>
      <c r="TXA13" s="314" t="s">
        <v>203</v>
      </c>
      <c r="TXB13" s="314" t="s">
        <v>203</v>
      </c>
      <c r="TXC13" s="314" t="s">
        <v>203</v>
      </c>
      <c r="TXD13" s="314" t="s">
        <v>203</v>
      </c>
      <c r="TXE13" s="314" t="s">
        <v>203</v>
      </c>
      <c r="TXF13" s="314" t="s">
        <v>203</v>
      </c>
      <c r="TXG13" s="314" t="s">
        <v>203</v>
      </c>
      <c r="TXH13" s="314" t="s">
        <v>203</v>
      </c>
      <c r="TXI13" s="314" t="s">
        <v>203</v>
      </c>
      <c r="TXJ13" s="314" t="s">
        <v>203</v>
      </c>
      <c r="TXK13" s="314" t="s">
        <v>203</v>
      </c>
      <c r="TXL13" s="314" t="s">
        <v>203</v>
      </c>
      <c r="TXM13" s="314" t="s">
        <v>203</v>
      </c>
      <c r="TXN13" s="314" t="s">
        <v>203</v>
      </c>
      <c r="TXO13" s="314" t="s">
        <v>203</v>
      </c>
      <c r="TXP13" s="314" t="s">
        <v>203</v>
      </c>
      <c r="TXQ13" s="314" t="s">
        <v>203</v>
      </c>
      <c r="TXR13" s="314" t="s">
        <v>203</v>
      </c>
      <c r="TXS13" s="314" t="s">
        <v>203</v>
      </c>
      <c r="TXT13" s="314" t="s">
        <v>203</v>
      </c>
      <c r="TXU13" s="314" t="s">
        <v>203</v>
      </c>
      <c r="TXV13" s="314" t="s">
        <v>203</v>
      </c>
      <c r="TXW13" s="314" t="s">
        <v>203</v>
      </c>
      <c r="TXX13" s="314" t="s">
        <v>203</v>
      </c>
      <c r="TXY13" s="314" t="s">
        <v>203</v>
      </c>
      <c r="TXZ13" s="314" t="s">
        <v>203</v>
      </c>
      <c r="TYA13" s="314" t="s">
        <v>203</v>
      </c>
      <c r="TYB13" s="314" t="s">
        <v>203</v>
      </c>
      <c r="TYC13" s="314" t="s">
        <v>203</v>
      </c>
      <c r="TYD13" s="314" t="s">
        <v>203</v>
      </c>
      <c r="TYE13" s="314" t="s">
        <v>203</v>
      </c>
      <c r="TYF13" s="314" t="s">
        <v>203</v>
      </c>
      <c r="TYG13" s="314" t="s">
        <v>203</v>
      </c>
      <c r="TYH13" s="314" t="s">
        <v>203</v>
      </c>
      <c r="TYI13" s="314" t="s">
        <v>203</v>
      </c>
      <c r="TYJ13" s="314" t="s">
        <v>203</v>
      </c>
      <c r="TYK13" s="314" t="s">
        <v>203</v>
      </c>
      <c r="TYL13" s="314" t="s">
        <v>203</v>
      </c>
      <c r="TYM13" s="314" t="s">
        <v>203</v>
      </c>
      <c r="TYN13" s="314" t="s">
        <v>203</v>
      </c>
      <c r="TYO13" s="314" t="s">
        <v>203</v>
      </c>
      <c r="TYP13" s="314" t="s">
        <v>203</v>
      </c>
      <c r="TYQ13" s="314" t="s">
        <v>203</v>
      </c>
      <c r="TYR13" s="314" t="s">
        <v>203</v>
      </c>
      <c r="TYS13" s="314" t="s">
        <v>203</v>
      </c>
      <c r="TYT13" s="314" t="s">
        <v>203</v>
      </c>
      <c r="TYU13" s="314" t="s">
        <v>203</v>
      </c>
      <c r="TYV13" s="314" t="s">
        <v>203</v>
      </c>
      <c r="TYW13" s="314" t="s">
        <v>203</v>
      </c>
      <c r="TYX13" s="314" t="s">
        <v>203</v>
      </c>
      <c r="TYY13" s="314" t="s">
        <v>203</v>
      </c>
      <c r="TYZ13" s="314" t="s">
        <v>203</v>
      </c>
      <c r="TZA13" s="314" t="s">
        <v>203</v>
      </c>
      <c r="TZB13" s="314" t="s">
        <v>203</v>
      </c>
      <c r="TZC13" s="314" t="s">
        <v>203</v>
      </c>
      <c r="TZD13" s="314" t="s">
        <v>203</v>
      </c>
      <c r="TZE13" s="314" t="s">
        <v>203</v>
      </c>
      <c r="TZF13" s="314" t="s">
        <v>203</v>
      </c>
      <c r="TZG13" s="314" t="s">
        <v>203</v>
      </c>
      <c r="TZH13" s="314" t="s">
        <v>203</v>
      </c>
      <c r="TZI13" s="314" t="s">
        <v>203</v>
      </c>
      <c r="TZJ13" s="314" t="s">
        <v>203</v>
      </c>
      <c r="TZK13" s="314" t="s">
        <v>203</v>
      </c>
      <c r="TZL13" s="314" t="s">
        <v>203</v>
      </c>
      <c r="TZM13" s="314" t="s">
        <v>203</v>
      </c>
      <c r="TZN13" s="314" t="s">
        <v>203</v>
      </c>
      <c r="TZO13" s="314" t="s">
        <v>203</v>
      </c>
      <c r="TZP13" s="314" t="s">
        <v>203</v>
      </c>
      <c r="TZQ13" s="314" t="s">
        <v>203</v>
      </c>
      <c r="TZR13" s="314" t="s">
        <v>203</v>
      </c>
      <c r="TZS13" s="314" t="s">
        <v>203</v>
      </c>
      <c r="TZT13" s="314" t="s">
        <v>203</v>
      </c>
      <c r="TZU13" s="314" t="s">
        <v>203</v>
      </c>
      <c r="TZV13" s="314" t="s">
        <v>203</v>
      </c>
      <c r="TZW13" s="314" t="s">
        <v>203</v>
      </c>
      <c r="TZX13" s="314" t="s">
        <v>203</v>
      </c>
      <c r="TZY13" s="314" t="s">
        <v>203</v>
      </c>
      <c r="TZZ13" s="314" t="s">
        <v>203</v>
      </c>
      <c r="UAA13" s="314" t="s">
        <v>203</v>
      </c>
      <c r="UAB13" s="314" t="s">
        <v>203</v>
      </c>
      <c r="UAC13" s="314" t="s">
        <v>203</v>
      </c>
      <c r="UAD13" s="314" t="s">
        <v>203</v>
      </c>
      <c r="UAE13" s="314" t="s">
        <v>203</v>
      </c>
      <c r="UAF13" s="314" t="s">
        <v>203</v>
      </c>
      <c r="UAG13" s="314" t="s">
        <v>203</v>
      </c>
      <c r="UAH13" s="314" t="s">
        <v>203</v>
      </c>
      <c r="UAI13" s="314" t="s">
        <v>203</v>
      </c>
      <c r="UAJ13" s="314" t="s">
        <v>203</v>
      </c>
      <c r="UAK13" s="314" t="s">
        <v>203</v>
      </c>
      <c r="UAL13" s="314" t="s">
        <v>203</v>
      </c>
      <c r="UAM13" s="314" t="s">
        <v>203</v>
      </c>
      <c r="UAN13" s="314" t="s">
        <v>203</v>
      </c>
      <c r="UAO13" s="314" t="s">
        <v>203</v>
      </c>
      <c r="UAP13" s="314" t="s">
        <v>203</v>
      </c>
      <c r="UAQ13" s="314" t="s">
        <v>203</v>
      </c>
      <c r="UAR13" s="314" t="s">
        <v>203</v>
      </c>
      <c r="UAS13" s="314" t="s">
        <v>203</v>
      </c>
      <c r="UAT13" s="314" t="s">
        <v>203</v>
      </c>
      <c r="UAU13" s="314" t="s">
        <v>203</v>
      </c>
      <c r="UAV13" s="314" t="s">
        <v>203</v>
      </c>
      <c r="UAW13" s="314" t="s">
        <v>203</v>
      </c>
      <c r="UAX13" s="314" t="s">
        <v>203</v>
      </c>
      <c r="UAY13" s="314" t="s">
        <v>203</v>
      </c>
      <c r="UAZ13" s="314" t="s">
        <v>203</v>
      </c>
      <c r="UBA13" s="314" t="s">
        <v>203</v>
      </c>
      <c r="UBB13" s="314" t="s">
        <v>203</v>
      </c>
      <c r="UBC13" s="314" t="s">
        <v>203</v>
      </c>
      <c r="UBD13" s="314" t="s">
        <v>203</v>
      </c>
      <c r="UBE13" s="314" t="s">
        <v>203</v>
      </c>
      <c r="UBF13" s="314" t="s">
        <v>203</v>
      </c>
      <c r="UBG13" s="314" t="s">
        <v>203</v>
      </c>
      <c r="UBH13" s="314" t="s">
        <v>203</v>
      </c>
      <c r="UBI13" s="314" t="s">
        <v>203</v>
      </c>
      <c r="UBJ13" s="314" t="s">
        <v>203</v>
      </c>
      <c r="UBK13" s="314" t="s">
        <v>203</v>
      </c>
      <c r="UBL13" s="314" t="s">
        <v>203</v>
      </c>
      <c r="UBM13" s="314" t="s">
        <v>203</v>
      </c>
      <c r="UBN13" s="314" t="s">
        <v>203</v>
      </c>
      <c r="UBO13" s="314" t="s">
        <v>203</v>
      </c>
      <c r="UBP13" s="314" t="s">
        <v>203</v>
      </c>
      <c r="UBQ13" s="314" t="s">
        <v>203</v>
      </c>
      <c r="UBR13" s="314" t="s">
        <v>203</v>
      </c>
      <c r="UBS13" s="314" t="s">
        <v>203</v>
      </c>
      <c r="UBT13" s="314" t="s">
        <v>203</v>
      </c>
      <c r="UBU13" s="314" t="s">
        <v>203</v>
      </c>
      <c r="UBV13" s="314" t="s">
        <v>203</v>
      </c>
      <c r="UBW13" s="314" t="s">
        <v>203</v>
      </c>
      <c r="UBX13" s="314" t="s">
        <v>203</v>
      </c>
      <c r="UBY13" s="314" t="s">
        <v>203</v>
      </c>
      <c r="UBZ13" s="314" t="s">
        <v>203</v>
      </c>
      <c r="UCA13" s="314" t="s">
        <v>203</v>
      </c>
      <c r="UCB13" s="314" t="s">
        <v>203</v>
      </c>
      <c r="UCC13" s="314" t="s">
        <v>203</v>
      </c>
      <c r="UCD13" s="314" t="s">
        <v>203</v>
      </c>
      <c r="UCE13" s="314" t="s">
        <v>203</v>
      </c>
      <c r="UCF13" s="314" t="s">
        <v>203</v>
      </c>
      <c r="UCG13" s="314" t="s">
        <v>203</v>
      </c>
      <c r="UCH13" s="314" t="s">
        <v>203</v>
      </c>
      <c r="UCI13" s="314" t="s">
        <v>203</v>
      </c>
      <c r="UCJ13" s="314" t="s">
        <v>203</v>
      </c>
      <c r="UCK13" s="314" t="s">
        <v>203</v>
      </c>
      <c r="UCL13" s="314" t="s">
        <v>203</v>
      </c>
      <c r="UCM13" s="314" t="s">
        <v>203</v>
      </c>
      <c r="UCN13" s="314" t="s">
        <v>203</v>
      </c>
      <c r="UCO13" s="314" t="s">
        <v>203</v>
      </c>
      <c r="UCP13" s="314" t="s">
        <v>203</v>
      </c>
      <c r="UCQ13" s="314" t="s">
        <v>203</v>
      </c>
      <c r="UCR13" s="314" t="s">
        <v>203</v>
      </c>
      <c r="UCS13" s="314" t="s">
        <v>203</v>
      </c>
      <c r="UCT13" s="314" t="s">
        <v>203</v>
      </c>
      <c r="UCU13" s="314" t="s">
        <v>203</v>
      </c>
      <c r="UCV13" s="314" t="s">
        <v>203</v>
      </c>
      <c r="UCW13" s="314" t="s">
        <v>203</v>
      </c>
      <c r="UCX13" s="314" t="s">
        <v>203</v>
      </c>
      <c r="UCY13" s="314" t="s">
        <v>203</v>
      </c>
      <c r="UCZ13" s="314" t="s">
        <v>203</v>
      </c>
      <c r="UDA13" s="314" t="s">
        <v>203</v>
      </c>
      <c r="UDB13" s="314" t="s">
        <v>203</v>
      </c>
      <c r="UDC13" s="314" t="s">
        <v>203</v>
      </c>
      <c r="UDD13" s="314" t="s">
        <v>203</v>
      </c>
      <c r="UDE13" s="314" t="s">
        <v>203</v>
      </c>
      <c r="UDF13" s="314" t="s">
        <v>203</v>
      </c>
      <c r="UDG13" s="314" t="s">
        <v>203</v>
      </c>
      <c r="UDH13" s="314" t="s">
        <v>203</v>
      </c>
      <c r="UDI13" s="314" t="s">
        <v>203</v>
      </c>
      <c r="UDJ13" s="314" t="s">
        <v>203</v>
      </c>
      <c r="UDK13" s="314" t="s">
        <v>203</v>
      </c>
      <c r="UDL13" s="314" t="s">
        <v>203</v>
      </c>
      <c r="UDM13" s="314" t="s">
        <v>203</v>
      </c>
      <c r="UDN13" s="314" t="s">
        <v>203</v>
      </c>
      <c r="UDO13" s="314" t="s">
        <v>203</v>
      </c>
      <c r="UDP13" s="314" t="s">
        <v>203</v>
      </c>
      <c r="UDQ13" s="314" t="s">
        <v>203</v>
      </c>
      <c r="UDR13" s="314" t="s">
        <v>203</v>
      </c>
      <c r="UDS13" s="314" t="s">
        <v>203</v>
      </c>
      <c r="UDT13" s="314" t="s">
        <v>203</v>
      </c>
      <c r="UDU13" s="314" t="s">
        <v>203</v>
      </c>
      <c r="UDV13" s="314" t="s">
        <v>203</v>
      </c>
      <c r="UDW13" s="314" t="s">
        <v>203</v>
      </c>
      <c r="UDX13" s="314" t="s">
        <v>203</v>
      </c>
      <c r="UDY13" s="314" t="s">
        <v>203</v>
      </c>
      <c r="UDZ13" s="314" t="s">
        <v>203</v>
      </c>
      <c r="UEA13" s="314" t="s">
        <v>203</v>
      </c>
      <c r="UEB13" s="314" t="s">
        <v>203</v>
      </c>
      <c r="UEC13" s="314" t="s">
        <v>203</v>
      </c>
      <c r="UED13" s="314" t="s">
        <v>203</v>
      </c>
      <c r="UEE13" s="314" t="s">
        <v>203</v>
      </c>
      <c r="UEF13" s="314" t="s">
        <v>203</v>
      </c>
      <c r="UEG13" s="314" t="s">
        <v>203</v>
      </c>
      <c r="UEH13" s="314" t="s">
        <v>203</v>
      </c>
      <c r="UEI13" s="314" t="s">
        <v>203</v>
      </c>
      <c r="UEJ13" s="314" t="s">
        <v>203</v>
      </c>
      <c r="UEK13" s="314" t="s">
        <v>203</v>
      </c>
      <c r="UEL13" s="314" t="s">
        <v>203</v>
      </c>
      <c r="UEM13" s="314" t="s">
        <v>203</v>
      </c>
      <c r="UEN13" s="314" t="s">
        <v>203</v>
      </c>
      <c r="UEO13" s="314" t="s">
        <v>203</v>
      </c>
      <c r="UEP13" s="314" t="s">
        <v>203</v>
      </c>
      <c r="UEQ13" s="314" t="s">
        <v>203</v>
      </c>
      <c r="UER13" s="314" t="s">
        <v>203</v>
      </c>
      <c r="UES13" s="314" t="s">
        <v>203</v>
      </c>
      <c r="UET13" s="314" t="s">
        <v>203</v>
      </c>
      <c r="UEU13" s="314" t="s">
        <v>203</v>
      </c>
      <c r="UEV13" s="314" t="s">
        <v>203</v>
      </c>
      <c r="UEW13" s="314" t="s">
        <v>203</v>
      </c>
      <c r="UEX13" s="314" t="s">
        <v>203</v>
      </c>
      <c r="UEY13" s="314" t="s">
        <v>203</v>
      </c>
      <c r="UEZ13" s="314" t="s">
        <v>203</v>
      </c>
      <c r="UFA13" s="314" t="s">
        <v>203</v>
      </c>
      <c r="UFB13" s="314" t="s">
        <v>203</v>
      </c>
      <c r="UFC13" s="314" t="s">
        <v>203</v>
      </c>
      <c r="UFD13" s="314" t="s">
        <v>203</v>
      </c>
      <c r="UFE13" s="314" t="s">
        <v>203</v>
      </c>
      <c r="UFF13" s="314" t="s">
        <v>203</v>
      </c>
      <c r="UFG13" s="314" t="s">
        <v>203</v>
      </c>
      <c r="UFH13" s="314" t="s">
        <v>203</v>
      </c>
      <c r="UFI13" s="314" t="s">
        <v>203</v>
      </c>
      <c r="UFJ13" s="314" t="s">
        <v>203</v>
      </c>
      <c r="UFK13" s="314" t="s">
        <v>203</v>
      </c>
      <c r="UFL13" s="314" t="s">
        <v>203</v>
      </c>
      <c r="UFM13" s="314" t="s">
        <v>203</v>
      </c>
      <c r="UFN13" s="314" t="s">
        <v>203</v>
      </c>
      <c r="UFO13" s="314" t="s">
        <v>203</v>
      </c>
      <c r="UFP13" s="314" t="s">
        <v>203</v>
      </c>
      <c r="UFQ13" s="314" t="s">
        <v>203</v>
      </c>
      <c r="UFR13" s="314" t="s">
        <v>203</v>
      </c>
      <c r="UFS13" s="314" t="s">
        <v>203</v>
      </c>
      <c r="UFT13" s="314" t="s">
        <v>203</v>
      </c>
      <c r="UFU13" s="314" t="s">
        <v>203</v>
      </c>
      <c r="UFV13" s="314" t="s">
        <v>203</v>
      </c>
      <c r="UFW13" s="314" t="s">
        <v>203</v>
      </c>
      <c r="UFX13" s="314" t="s">
        <v>203</v>
      </c>
      <c r="UFY13" s="314" t="s">
        <v>203</v>
      </c>
      <c r="UFZ13" s="314" t="s">
        <v>203</v>
      </c>
      <c r="UGA13" s="314" t="s">
        <v>203</v>
      </c>
      <c r="UGB13" s="314" t="s">
        <v>203</v>
      </c>
      <c r="UGC13" s="314" t="s">
        <v>203</v>
      </c>
      <c r="UGD13" s="314" t="s">
        <v>203</v>
      </c>
      <c r="UGE13" s="314" t="s">
        <v>203</v>
      </c>
      <c r="UGF13" s="314" t="s">
        <v>203</v>
      </c>
      <c r="UGG13" s="314" t="s">
        <v>203</v>
      </c>
      <c r="UGH13" s="314" t="s">
        <v>203</v>
      </c>
      <c r="UGI13" s="314" t="s">
        <v>203</v>
      </c>
      <c r="UGJ13" s="314" t="s">
        <v>203</v>
      </c>
      <c r="UGK13" s="314" t="s">
        <v>203</v>
      </c>
      <c r="UGL13" s="314" t="s">
        <v>203</v>
      </c>
      <c r="UGM13" s="314" t="s">
        <v>203</v>
      </c>
      <c r="UGN13" s="314" t="s">
        <v>203</v>
      </c>
      <c r="UGO13" s="314" t="s">
        <v>203</v>
      </c>
      <c r="UGP13" s="314" t="s">
        <v>203</v>
      </c>
      <c r="UGQ13" s="314" t="s">
        <v>203</v>
      </c>
      <c r="UGR13" s="314" t="s">
        <v>203</v>
      </c>
      <c r="UGS13" s="314" t="s">
        <v>203</v>
      </c>
      <c r="UGT13" s="314" t="s">
        <v>203</v>
      </c>
      <c r="UGU13" s="314" t="s">
        <v>203</v>
      </c>
      <c r="UGV13" s="314" t="s">
        <v>203</v>
      </c>
      <c r="UGW13" s="314" t="s">
        <v>203</v>
      </c>
      <c r="UGX13" s="314" t="s">
        <v>203</v>
      </c>
      <c r="UGY13" s="314" t="s">
        <v>203</v>
      </c>
      <c r="UGZ13" s="314" t="s">
        <v>203</v>
      </c>
      <c r="UHA13" s="314" t="s">
        <v>203</v>
      </c>
      <c r="UHB13" s="314" t="s">
        <v>203</v>
      </c>
      <c r="UHC13" s="314" t="s">
        <v>203</v>
      </c>
      <c r="UHD13" s="314" t="s">
        <v>203</v>
      </c>
      <c r="UHE13" s="314" t="s">
        <v>203</v>
      </c>
      <c r="UHF13" s="314" t="s">
        <v>203</v>
      </c>
      <c r="UHG13" s="314" t="s">
        <v>203</v>
      </c>
      <c r="UHH13" s="314" t="s">
        <v>203</v>
      </c>
      <c r="UHI13" s="314" t="s">
        <v>203</v>
      </c>
      <c r="UHJ13" s="314" t="s">
        <v>203</v>
      </c>
      <c r="UHK13" s="314" t="s">
        <v>203</v>
      </c>
      <c r="UHL13" s="314" t="s">
        <v>203</v>
      </c>
      <c r="UHM13" s="314" t="s">
        <v>203</v>
      </c>
      <c r="UHN13" s="314" t="s">
        <v>203</v>
      </c>
      <c r="UHO13" s="314" t="s">
        <v>203</v>
      </c>
      <c r="UHP13" s="314" t="s">
        <v>203</v>
      </c>
      <c r="UHQ13" s="314" t="s">
        <v>203</v>
      </c>
      <c r="UHR13" s="314" t="s">
        <v>203</v>
      </c>
      <c r="UHS13" s="314" t="s">
        <v>203</v>
      </c>
      <c r="UHT13" s="314" t="s">
        <v>203</v>
      </c>
      <c r="UHU13" s="314" t="s">
        <v>203</v>
      </c>
      <c r="UHV13" s="314" t="s">
        <v>203</v>
      </c>
      <c r="UHW13" s="314" t="s">
        <v>203</v>
      </c>
      <c r="UHX13" s="314" t="s">
        <v>203</v>
      </c>
      <c r="UHY13" s="314" t="s">
        <v>203</v>
      </c>
      <c r="UHZ13" s="314" t="s">
        <v>203</v>
      </c>
      <c r="UIA13" s="314" t="s">
        <v>203</v>
      </c>
      <c r="UIB13" s="314" t="s">
        <v>203</v>
      </c>
      <c r="UIC13" s="314" t="s">
        <v>203</v>
      </c>
      <c r="UID13" s="314" t="s">
        <v>203</v>
      </c>
      <c r="UIE13" s="314" t="s">
        <v>203</v>
      </c>
      <c r="UIF13" s="314" t="s">
        <v>203</v>
      </c>
      <c r="UIG13" s="314" t="s">
        <v>203</v>
      </c>
      <c r="UIH13" s="314" t="s">
        <v>203</v>
      </c>
      <c r="UII13" s="314" t="s">
        <v>203</v>
      </c>
      <c r="UIJ13" s="314" t="s">
        <v>203</v>
      </c>
      <c r="UIK13" s="314" t="s">
        <v>203</v>
      </c>
      <c r="UIL13" s="314" t="s">
        <v>203</v>
      </c>
      <c r="UIM13" s="314" t="s">
        <v>203</v>
      </c>
      <c r="UIN13" s="314" t="s">
        <v>203</v>
      </c>
      <c r="UIO13" s="314" t="s">
        <v>203</v>
      </c>
      <c r="UIP13" s="314" t="s">
        <v>203</v>
      </c>
      <c r="UIQ13" s="314" t="s">
        <v>203</v>
      </c>
      <c r="UIR13" s="314" t="s">
        <v>203</v>
      </c>
      <c r="UIS13" s="314" t="s">
        <v>203</v>
      </c>
      <c r="UIT13" s="314" t="s">
        <v>203</v>
      </c>
      <c r="UIU13" s="314" t="s">
        <v>203</v>
      </c>
      <c r="UIV13" s="314" t="s">
        <v>203</v>
      </c>
      <c r="UIW13" s="314" t="s">
        <v>203</v>
      </c>
      <c r="UIX13" s="314" t="s">
        <v>203</v>
      </c>
      <c r="UIY13" s="314" t="s">
        <v>203</v>
      </c>
      <c r="UIZ13" s="314" t="s">
        <v>203</v>
      </c>
      <c r="UJA13" s="314" t="s">
        <v>203</v>
      </c>
      <c r="UJB13" s="314" t="s">
        <v>203</v>
      </c>
      <c r="UJC13" s="314" t="s">
        <v>203</v>
      </c>
      <c r="UJD13" s="314" t="s">
        <v>203</v>
      </c>
      <c r="UJE13" s="314" t="s">
        <v>203</v>
      </c>
      <c r="UJF13" s="314" t="s">
        <v>203</v>
      </c>
      <c r="UJG13" s="314" t="s">
        <v>203</v>
      </c>
      <c r="UJH13" s="314" t="s">
        <v>203</v>
      </c>
      <c r="UJI13" s="314" t="s">
        <v>203</v>
      </c>
      <c r="UJJ13" s="314" t="s">
        <v>203</v>
      </c>
      <c r="UJK13" s="314" t="s">
        <v>203</v>
      </c>
      <c r="UJL13" s="314" t="s">
        <v>203</v>
      </c>
      <c r="UJM13" s="314" t="s">
        <v>203</v>
      </c>
      <c r="UJN13" s="314" t="s">
        <v>203</v>
      </c>
      <c r="UJO13" s="314" t="s">
        <v>203</v>
      </c>
      <c r="UJP13" s="314" t="s">
        <v>203</v>
      </c>
      <c r="UJQ13" s="314" t="s">
        <v>203</v>
      </c>
      <c r="UJR13" s="314" t="s">
        <v>203</v>
      </c>
      <c r="UJS13" s="314" t="s">
        <v>203</v>
      </c>
      <c r="UJT13" s="314" t="s">
        <v>203</v>
      </c>
      <c r="UJU13" s="314" t="s">
        <v>203</v>
      </c>
      <c r="UJV13" s="314" t="s">
        <v>203</v>
      </c>
      <c r="UJW13" s="314" t="s">
        <v>203</v>
      </c>
      <c r="UJX13" s="314" t="s">
        <v>203</v>
      </c>
      <c r="UJY13" s="314" t="s">
        <v>203</v>
      </c>
      <c r="UJZ13" s="314" t="s">
        <v>203</v>
      </c>
      <c r="UKA13" s="314" t="s">
        <v>203</v>
      </c>
      <c r="UKB13" s="314" t="s">
        <v>203</v>
      </c>
      <c r="UKC13" s="314" t="s">
        <v>203</v>
      </c>
      <c r="UKD13" s="314" t="s">
        <v>203</v>
      </c>
      <c r="UKE13" s="314" t="s">
        <v>203</v>
      </c>
      <c r="UKF13" s="314" t="s">
        <v>203</v>
      </c>
      <c r="UKG13" s="314" t="s">
        <v>203</v>
      </c>
      <c r="UKH13" s="314" t="s">
        <v>203</v>
      </c>
      <c r="UKI13" s="314" t="s">
        <v>203</v>
      </c>
      <c r="UKJ13" s="314" t="s">
        <v>203</v>
      </c>
      <c r="UKK13" s="314" t="s">
        <v>203</v>
      </c>
      <c r="UKL13" s="314" t="s">
        <v>203</v>
      </c>
      <c r="UKM13" s="314" t="s">
        <v>203</v>
      </c>
      <c r="UKN13" s="314" t="s">
        <v>203</v>
      </c>
      <c r="UKO13" s="314" t="s">
        <v>203</v>
      </c>
      <c r="UKP13" s="314" t="s">
        <v>203</v>
      </c>
      <c r="UKQ13" s="314" t="s">
        <v>203</v>
      </c>
      <c r="UKR13" s="314" t="s">
        <v>203</v>
      </c>
      <c r="UKS13" s="314" t="s">
        <v>203</v>
      </c>
      <c r="UKT13" s="314" t="s">
        <v>203</v>
      </c>
      <c r="UKU13" s="314" t="s">
        <v>203</v>
      </c>
      <c r="UKV13" s="314" t="s">
        <v>203</v>
      </c>
      <c r="UKW13" s="314" t="s">
        <v>203</v>
      </c>
      <c r="UKX13" s="314" t="s">
        <v>203</v>
      </c>
      <c r="UKY13" s="314" t="s">
        <v>203</v>
      </c>
      <c r="UKZ13" s="314" t="s">
        <v>203</v>
      </c>
      <c r="ULA13" s="314" t="s">
        <v>203</v>
      </c>
      <c r="ULB13" s="314" t="s">
        <v>203</v>
      </c>
      <c r="ULC13" s="314" t="s">
        <v>203</v>
      </c>
      <c r="ULD13" s="314" t="s">
        <v>203</v>
      </c>
      <c r="ULE13" s="314" t="s">
        <v>203</v>
      </c>
      <c r="ULF13" s="314" t="s">
        <v>203</v>
      </c>
      <c r="ULG13" s="314" t="s">
        <v>203</v>
      </c>
      <c r="ULH13" s="314" t="s">
        <v>203</v>
      </c>
      <c r="ULI13" s="314" t="s">
        <v>203</v>
      </c>
      <c r="ULJ13" s="314" t="s">
        <v>203</v>
      </c>
      <c r="ULK13" s="314" t="s">
        <v>203</v>
      </c>
      <c r="ULL13" s="314" t="s">
        <v>203</v>
      </c>
      <c r="ULM13" s="314" t="s">
        <v>203</v>
      </c>
      <c r="ULN13" s="314" t="s">
        <v>203</v>
      </c>
      <c r="ULO13" s="314" t="s">
        <v>203</v>
      </c>
      <c r="ULP13" s="314" t="s">
        <v>203</v>
      </c>
      <c r="ULQ13" s="314" t="s">
        <v>203</v>
      </c>
      <c r="ULR13" s="314" t="s">
        <v>203</v>
      </c>
      <c r="ULS13" s="314" t="s">
        <v>203</v>
      </c>
      <c r="ULT13" s="314" t="s">
        <v>203</v>
      </c>
      <c r="ULU13" s="314" t="s">
        <v>203</v>
      </c>
      <c r="ULV13" s="314" t="s">
        <v>203</v>
      </c>
      <c r="ULW13" s="314" t="s">
        <v>203</v>
      </c>
      <c r="ULX13" s="314" t="s">
        <v>203</v>
      </c>
      <c r="ULY13" s="314" t="s">
        <v>203</v>
      </c>
      <c r="ULZ13" s="314" t="s">
        <v>203</v>
      </c>
      <c r="UMA13" s="314" t="s">
        <v>203</v>
      </c>
      <c r="UMB13" s="314" t="s">
        <v>203</v>
      </c>
      <c r="UMC13" s="314" t="s">
        <v>203</v>
      </c>
      <c r="UMD13" s="314" t="s">
        <v>203</v>
      </c>
      <c r="UME13" s="314" t="s">
        <v>203</v>
      </c>
      <c r="UMF13" s="314" t="s">
        <v>203</v>
      </c>
      <c r="UMG13" s="314" t="s">
        <v>203</v>
      </c>
      <c r="UMH13" s="314" t="s">
        <v>203</v>
      </c>
      <c r="UMI13" s="314" t="s">
        <v>203</v>
      </c>
      <c r="UMJ13" s="314" t="s">
        <v>203</v>
      </c>
      <c r="UMK13" s="314" t="s">
        <v>203</v>
      </c>
      <c r="UML13" s="314" t="s">
        <v>203</v>
      </c>
      <c r="UMM13" s="314" t="s">
        <v>203</v>
      </c>
      <c r="UMN13" s="314" t="s">
        <v>203</v>
      </c>
      <c r="UMO13" s="314" t="s">
        <v>203</v>
      </c>
      <c r="UMP13" s="314" t="s">
        <v>203</v>
      </c>
      <c r="UMQ13" s="314" t="s">
        <v>203</v>
      </c>
      <c r="UMR13" s="314" t="s">
        <v>203</v>
      </c>
      <c r="UMS13" s="314" t="s">
        <v>203</v>
      </c>
      <c r="UMT13" s="314" t="s">
        <v>203</v>
      </c>
      <c r="UMU13" s="314" t="s">
        <v>203</v>
      </c>
      <c r="UMV13" s="314" t="s">
        <v>203</v>
      </c>
      <c r="UMW13" s="314" t="s">
        <v>203</v>
      </c>
      <c r="UMX13" s="314" t="s">
        <v>203</v>
      </c>
      <c r="UMY13" s="314" t="s">
        <v>203</v>
      </c>
      <c r="UMZ13" s="314" t="s">
        <v>203</v>
      </c>
      <c r="UNA13" s="314" t="s">
        <v>203</v>
      </c>
      <c r="UNB13" s="314" t="s">
        <v>203</v>
      </c>
      <c r="UNC13" s="314" t="s">
        <v>203</v>
      </c>
      <c r="UND13" s="314" t="s">
        <v>203</v>
      </c>
      <c r="UNE13" s="314" t="s">
        <v>203</v>
      </c>
      <c r="UNF13" s="314" t="s">
        <v>203</v>
      </c>
      <c r="UNG13" s="314" t="s">
        <v>203</v>
      </c>
      <c r="UNH13" s="314" t="s">
        <v>203</v>
      </c>
      <c r="UNI13" s="314" t="s">
        <v>203</v>
      </c>
      <c r="UNJ13" s="314" t="s">
        <v>203</v>
      </c>
      <c r="UNK13" s="314" t="s">
        <v>203</v>
      </c>
      <c r="UNL13" s="314" t="s">
        <v>203</v>
      </c>
      <c r="UNM13" s="314" t="s">
        <v>203</v>
      </c>
      <c r="UNN13" s="314" t="s">
        <v>203</v>
      </c>
      <c r="UNO13" s="314" t="s">
        <v>203</v>
      </c>
      <c r="UNP13" s="314" t="s">
        <v>203</v>
      </c>
      <c r="UNQ13" s="314" t="s">
        <v>203</v>
      </c>
      <c r="UNR13" s="314" t="s">
        <v>203</v>
      </c>
      <c r="UNS13" s="314" t="s">
        <v>203</v>
      </c>
      <c r="UNT13" s="314" t="s">
        <v>203</v>
      </c>
      <c r="UNU13" s="314" t="s">
        <v>203</v>
      </c>
      <c r="UNV13" s="314" t="s">
        <v>203</v>
      </c>
      <c r="UNW13" s="314" t="s">
        <v>203</v>
      </c>
      <c r="UNX13" s="314" t="s">
        <v>203</v>
      </c>
      <c r="UNY13" s="314" t="s">
        <v>203</v>
      </c>
      <c r="UNZ13" s="314" t="s">
        <v>203</v>
      </c>
      <c r="UOA13" s="314" t="s">
        <v>203</v>
      </c>
      <c r="UOB13" s="314" t="s">
        <v>203</v>
      </c>
      <c r="UOC13" s="314" t="s">
        <v>203</v>
      </c>
      <c r="UOD13" s="314" t="s">
        <v>203</v>
      </c>
      <c r="UOE13" s="314" t="s">
        <v>203</v>
      </c>
      <c r="UOF13" s="314" t="s">
        <v>203</v>
      </c>
      <c r="UOG13" s="314" t="s">
        <v>203</v>
      </c>
      <c r="UOH13" s="314" t="s">
        <v>203</v>
      </c>
      <c r="UOI13" s="314" t="s">
        <v>203</v>
      </c>
      <c r="UOJ13" s="314" t="s">
        <v>203</v>
      </c>
      <c r="UOK13" s="314" t="s">
        <v>203</v>
      </c>
      <c r="UOL13" s="314" t="s">
        <v>203</v>
      </c>
      <c r="UOM13" s="314" t="s">
        <v>203</v>
      </c>
      <c r="UON13" s="314" t="s">
        <v>203</v>
      </c>
      <c r="UOO13" s="314" t="s">
        <v>203</v>
      </c>
      <c r="UOP13" s="314" t="s">
        <v>203</v>
      </c>
      <c r="UOQ13" s="314" t="s">
        <v>203</v>
      </c>
      <c r="UOR13" s="314" t="s">
        <v>203</v>
      </c>
      <c r="UOS13" s="314" t="s">
        <v>203</v>
      </c>
      <c r="UOT13" s="314" t="s">
        <v>203</v>
      </c>
      <c r="UOU13" s="314" t="s">
        <v>203</v>
      </c>
      <c r="UOV13" s="314" t="s">
        <v>203</v>
      </c>
      <c r="UOW13" s="314" t="s">
        <v>203</v>
      </c>
      <c r="UOX13" s="314" t="s">
        <v>203</v>
      </c>
      <c r="UOY13" s="314" t="s">
        <v>203</v>
      </c>
      <c r="UOZ13" s="314" t="s">
        <v>203</v>
      </c>
      <c r="UPA13" s="314" t="s">
        <v>203</v>
      </c>
      <c r="UPB13" s="314" t="s">
        <v>203</v>
      </c>
      <c r="UPC13" s="314" t="s">
        <v>203</v>
      </c>
      <c r="UPD13" s="314" t="s">
        <v>203</v>
      </c>
      <c r="UPE13" s="314" t="s">
        <v>203</v>
      </c>
      <c r="UPF13" s="314" t="s">
        <v>203</v>
      </c>
      <c r="UPG13" s="314" t="s">
        <v>203</v>
      </c>
      <c r="UPH13" s="314" t="s">
        <v>203</v>
      </c>
      <c r="UPI13" s="314" t="s">
        <v>203</v>
      </c>
      <c r="UPJ13" s="314" t="s">
        <v>203</v>
      </c>
      <c r="UPK13" s="314" t="s">
        <v>203</v>
      </c>
      <c r="UPL13" s="314" t="s">
        <v>203</v>
      </c>
      <c r="UPM13" s="314" t="s">
        <v>203</v>
      </c>
      <c r="UPN13" s="314" t="s">
        <v>203</v>
      </c>
      <c r="UPO13" s="314" t="s">
        <v>203</v>
      </c>
      <c r="UPP13" s="314" t="s">
        <v>203</v>
      </c>
      <c r="UPQ13" s="314" t="s">
        <v>203</v>
      </c>
      <c r="UPR13" s="314" t="s">
        <v>203</v>
      </c>
      <c r="UPS13" s="314" t="s">
        <v>203</v>
      </c>
      <c r="UPT13" s="314" t="s">
        <v>203</v>
      </c>
      <c r="UPU13" s="314" t="s">
        <v>203</v>
      </c>
      <c r="UPV13" s="314" t="s">
        <v>203</v>
      </c>
      <c r="UPW13" s="314" t="s">
        <v>203</v>
      </c>
      <c r="UPX13" s="314" t="s">
        <v>203</v>
      </c>
      <c r="UPY13" s="314" t="s">
        <v>203</v>
      </c>
      <c r="UPZ13" s="314" t="s">
        <v>203</v>
      </c>
      <c r="UQA13" s="314" t="s">
        <v>203</v>
      </c>
      <c r="UQB13" s="314" t="s">
        <v>203</v>
      </c>
      <c r="UQC13" s="314" t="s">
        <v>203</v>
      </c>
      <c r="UQD13" s="314" t="s">
        <v>203</v>
      </c>
      <c r="UQE13" s="314" t="s">
        <v>203</v>
      </c>
      <c r="UQF13" s="314" t="s">
        <v>203</v>
      </c>
      <c r="UQG13" s="314" t="s">
        <v>203</v>
      </c>
      <c r="UQH13" s="314" t="s">
        <v>203</v>
      </c>
      <c r="UQI13" s="314" t="s">
        <v>203</v>
      </c>
      <c r="UQJ13" s="314" t="s">
        <v>203</v>
      </c>
      <c r="UQK13" s="314" t="s">
        <v>203</v>
      </c>
      <c r="UQL13" s="314" t="s">
        <v>203</v>
      </c>
      <c r="UQM13" s="314" t="s">
        <v>203</v>
      </c>
      <c r="UQN13" s="314" t="s">
        <v>203</v>
      </c>
      <c r="UQO13" s="314" t="s">
        <v>203</v>
      </c>
      <c r="UQP13" s="314" t="s">
        <v>203</v>
      </c>
      <c r="UQQ13" s="314" t="s">
        <v>203</v>
      </c>
      <c r="UQR13" s="314" t="s">
        <v>203</v>
      </c>
      <c r="UQS13" s="314" t="s">
        <v>203</v>
      </c>
      <c r="UQT13" s="314" t="s">
        <v>203</v>
      </c>
      <c r="UQU13" s="314" t="s">
        <v>203</v>
      </c>
      <c r="UQV13" s="314" t="s">
        <v>203</v>
      </c>
      <c r="UQW13" s="314" t="s">
        <v>203</v>
      </c>
      <c r="UQX13" s="314" t="s">
        <v>203</v>
      </c>
      <c r="UQY13" s="314" t="s">
        <v>203</v>
      </c>
      <c r="UQZ13" s="314" t="s">
        <v>203</v>
      </c>
      <c r="URA13" s="314" t="s">
        <v>203</v>
      </c>
      <c r="URB13" s="314" t="s">
        <v>203</v>
      </c>
      <c r="URC13" s="314" t="s">
        <v>203</v>
      </c>
      <c r="URD13" s="314" t="s">
        <v>203</v>
      </c>
      <c r="URE13" s="314" t="s">
        <v>203</v>
      </c>
      <c r="URF13" s="314" t="s">
        <v>203</v>
      </c>
      <c r="URG13" s="314" t="s">
        <v>203</v>
      </c>
      <c r="URH13" s="314" t="s">
        <v>203</v>
      </c>
      <c r="URI13" s="314" t="s">
        <v>203</v>
      </c>
      <c r="URJ13" s="314" t="s">
        <v>203</v>
      </c>
      <c r="URK13" s="314" t="s">
        <v>203</v>
      </c>
      <c r="URL13" s="314" t="s">
        <v>203</v>
      </c>
      <c r="URM13" s="314" t="s">
        <v>203</v>
      </c>
      <c r="URN13" s="314" t="s">
        <v>203</v>
      </c>
      <c r="URO13" s="314" t="s">
        <v>203</v>
      </c>
      <c r="URP13" s="314" t="s">
        <v>203</v>
      </c>
      <c r="URQ13" s="314" t="s">
        <v>203</v>
      </c>
      <c r="URR13" s="314" t="s">
        <v>203</v>
      </c>
      <c r="URS13" s="314" t="s">
        <v>203</v>
      </c>
      <c r="URT13" s="314" t="s">
        <v>203</v>
      </c>
      <c r="URU13" s="314" t="s">
        <v>203</v>
      </c>
      <c r="URV13" s="314" t="s">
        <v>203</v>
      </c>
      <c r="URW13" s="314" t="s">
        <v>203</v>
      </c>
      <c r="URX13" s="314" t="s">
        <v>203</v>
      </c>
      <c r="URY13" s="314" t="s">
        <v>203</v>
      </c>
      <c r="URZ13" s="314" t="s">
        <v>203</v>
      </c>
      <c r="USA13" s="314" t="s">
        <v>203</v>
      </c>
      <c r="USB13" s="314" t="s">
        <v>203</v>
      </c>
      <c r="USC13" s="314" t="s">
        <v>203</v>
      </c>
      <c r="USD13" s="314" t="s">
        <v>203</v>
      </c>
      <c r="USE13" s="314" t="s">
        <v>203</v>
      </c>
      <c r="USF13" s="314" t="s">
        <v>203</v>
      </c>
      <c r="USG13" s="314" t="s">
        <v>203</v>
      </c>
      <c r="USH13" s="314" t="s">
        <v>203</v>
      </c>
      <c r="USI13" s="314" t="s">
        <v>203</v>
      </c>
      <c r="USJ13" s="314" t="s">
        <v>203</v>
      </c>
      <c r="USK13" s="314" t="s">
        <v>203</v>
      </c>
      <c r="USL13" s="314" t="s">
        <v>203</v>
      </c>
      <c r="USM13" s="314" t="s">
        <v>203</v>
      </c>
      <c r="USN13" s="314" t="s">
        <v>203</v>
      </c>
      <c r="USO13" s="314" t="s">
        <v>203</v>
      </c>
      <c r="USP13" s="314" t="s">
        <v>203</v>
      </c>
      <c r="USQ13" s="314" t="s">
        <v>203</v>
      </c>
      <c r="USR13" s="314" t="s">
        <v>203</v>
      </c>
      <c r="USS13" s="314" t="s">
        <v>203</v>
      </c>
      <c r="UST13" s="314" t="s">
        <v>203</v>
      </c>
      <c r="USU13" s="314" t="s">
        <v>203</v>
      </c>
      <c r="USV13" s="314" t="s">
        <v>203</v>
      </c>
      <c r="USW13" s="314" t="s">
        <v>203</v>
      </c>
      <c r="USX13" s="314" t="s">
        <v>203</v>
      </c>
      <c r="USY13" s="314" t="s">
        <v>203</v>
      </c>
      <c r="USZ13" s="314" t="s">
        <v>203</v>
      </c>
      <c r="UTA13" s="314" t="s">
        <v>203</v>
      </c>
      <c r="UTB13" s="314" t="s">
        <v>203</v>
      </c>
      <c r="UTC13" s="314" t="s">
        <v>203</v>
      </c>
      <c r="UTD13" s="314" t="s">
        <v>203</v>
      </c>
      <c r="UTE13" s="314" t="s">
        <v>203</v>
      </c>
      <c r="UTF13" s="314" t="s">
        <v>203</v>
      </c>
      <c r="UTG13" s="314" t="s">
        <v>203</v>
      </c>
      <c r="UTH13" s="314" t="s">
        <v>203</v>
      </c>
      <c r="UTI13" s="314" t="s">
        <v>203</v>
      </c>
      <c r="UTJ13" s="314" t="s">
        <v>203</v>
      </c>
      <c r="UTK13" s="314" t="s">
        <v>203</v>
      </c>
      <c r="UTL13" s="314" t="s">
        <v>203</v>
      </c>
      <c r="UTM13" s="314" t="s">
        <v>203</v>
      </c>
      <c r="UTN13" s="314" t="s">
        <v>203</v>
      </c>
      <c r="UTO13" s="314" t="s">
        <v>203</v>
      </c>
      <c r="UTP13" s="314" t="s">
        <v>203</v>
      </c>
      <c r="UTQ13" s="314" t="s">
        <v>203</v>
      </c>
      <c r="UTR13" s="314" t="s">
        <v>203</v>
      </c>
      <c r="UTS13" s="314" t="s">
        <v>203</v>
      </c>
      <c r="UTT13" s="314" t="s">
        <v>203</v>
      </c>
      <c r="UTU13" s="314" t="s">
        <v>203</v>
      </c>
      <c r="UTV13" s="314" t="s">
        <v>203</v>
      </c>
      <c r="UTW13" s="314" t="s">
        <v>203</v>
      </c>
      <c r="UTX13" s="314" t="s">
        <v>203</v>
      </c>
      <c r="UTY13" s="314" t="s">
        <v>203</v>
      </c>
      <c r="UTZ13" s="314" t="s">
        <v>203</v>
      </c>
      <c r="UUA13" s="314" t="s">
        <v>203</v>
      </c>
      <c r="UUB13" s="314" t="s">
        <v>203</v>
      </c>
      <c r="UUC13" s="314" t="s">
        <v>203</v>
      </c>
      <c r="UUD13" s="314" t="s">
        <v>203</v>
      </c>
      <c r="UUE13" s="314" t="s">
        <v>203</v>
      </c>
      <c r="UUF13" s="314" t="s">
        <v>203</v>
      </c>
      <c r="UUG13" s="314" t="s">
        <v>203</v>
      </c>
      <c r="UUH13" s="314" t="s">
        <v>203</v>
      </c>
      <c r="UUI13" s="314" t="s">
        <v>203</v>
      </c>
      <c r="UUJ13" s="314" t="s">
        <v>203</v>
      </c>
      <c r="UUK13" s="314" t="s">
        <v>203</v>
      </c>
      <c r="UUL13" s="314" t="s">
        <v>203</v>
      </c>
      <c r="UUM13" s="314" t="s">
        <v>203</v>
      </c>
      <c r="UUN13" s="314" t="s">
        <v>203</v>
      </c>
      <c r="UUO13" s="314" t="s">
        <v>203</v>
      </c>
      <c r="UUP13" s="314" t="s">
        <v>203</v>
      </c>
      <c r="UUQ13" s="314" t="s">
        <v>203</v>
      </c>
      <c r="UUR13" s="314" t="s">
        <v>203</v>
      </c>
      <c r="UUS13" s="314" t="s">
        <v>203</v>
      </c>
      <c r="UUT13" s="314" t="s">
        <v>203</v>
      </c>
      <c r="UUU13" s="314" t="s">
        <v>203</v>
      </c>
      <c r="UUV13" s="314" t="s">
        <v>203</v>
      </c>
      <c r="UUW13" s="314" t="s">
        <v>203</v>
      </c>
      <c r="UUX13" s="314" t="s">
        <v>203</v>
      </c>
      <c r="UUY13" s="314" t="s">
        <v>203</v>
      </c>
      <c r="UUZ13" s="314" t="s">
        <v>203</v>
      </c>
      <c r="UVA13" s="314" t="s">
        <v>203</v>
      </c>
      <c r="UVB13" s="314" t="s">
        <v>203</v>
      </c>
      <c r="UVC13" s="314" t="s">
        <v>203</v>
      </c>
      <c r="UVD13" s="314" t="s">
        <v>203</v>
      </c>
      <c r="UVE13" s="314" t="s">
        <v>203</v>
      </c>
      <c r="UVF13" s="314" t="s">
        <v>203</v>
      </c>
      <c r="UVG13" s="314" t="s">
        <v>203</v>
      </c>
      <c r="UVH13" s="314" t="s">
        <v>203</v>
      </c>
      <c r="UVI13" s="314" t="s">
        <v>203</v>
      </c>
      <c r="UVJ13" s="314" t="s">
        <v>203</v>
      </c>
      <c r="UVK13" s="314" t="s">
        <v>203</v>
      </c>
      <c r="UVL13" s="314" t="s">
        <v>203</v>
      </c>
      <c r="UVM13" s="314" t="s">
        <v>203</v>
      </c>
      <c r="UVN13" s="314" t="s">
        <v>203</v>
      </c>
      <c r="UVO13" s="314" t="s">
        <v>203</v>
      </c>
      <c r="UVP13" s="314" t="s">
        <v>203</v>
      </c>
      <c r="UVQ13" s="314" t="s">
        <v>203</v>
      </c>
      <c r="UVR13" s="314" t="s">
        <v>203</v>
      </c>
      <c r="UVS13" s="314" t="s">
        <v>203</v>
      </c>
      <c r="UVT13" s="314" t="s">
        <v>203</v>
      </c>
      <c r="UVU13" s="314" t="s">
        <v>203</v>
      </c>
      <c r="UVV13" s="314" t="s">
        <v>203</v>
      </c>
      <c r="UVW13" s="314" t="s">
        <v>203</v>
      </c>
      <c r="UVX13" s="314" t="s">
        <v>203</v>
      </c>
      <c r="UVY13" s="314" t="s">
        <v>203</v>
      </c>
      <c r="UVZ13" s="314" t="s">
        <v>203</v>
      </c>
      <c r="UWA13" s="314" t="s">
        <v>203</v>
      </c>
      <c r="UWB13" s="314" t="s">
        <v>203</v>
      </c>
      <c r="UWC13" s="314" t="s">
        <v>203</v>
      </c>
      <c r="UWD13" s="314" t="s">
        <v>203</v>
      </c>
      <c r="UWE13" s="314" t="s">
        <v>203</v>
      </c>
      <c r="UWF13" s="314" t="s">
        <v>203</v>
      </c>
      <c r="UWG13" s="314" t="s">
        <v>203</v>
      </c>
      <c r="UWH13" s="314" t="s">
        <v>203</v>
      </c>
      <c r="UWI13" s="314" t="s">
        <v>203</v>
      </c>
      <c r="UWJ13" s="314" t="s">
        <v>203</v>
      </c>
      <c r="UWK13" s="314" t="s">
        <v>203</v>
      </c>
      <c r="UWL13" s="314" t="s">
        <v>203</v>
      </c>
      <c r="UWM13" s="314" t="s">
        <v>203</v>
      </c>
      <c r="UWN13" s="314" t="s">
        <v>203</v>
      </c>
      <c r="UWO13" s="314" t="s">
        <v>203</v>
      </c>
      <c r="UWP13" s="314" t="s">
        <v>203</v>
      </c>
      <c r="UWQ13" s="314" t="s">
        <v>203</v>
      </c>
      <c r="UWR13" s="314" t="s">
        <v>203</v>
      </c>
      <c r="UWS13" s="314" t="s">
        <v>203</v>
      </c>
      <c r="UWT13" s="314" t="s">
        <v>203</v>
      </c>
      <c r="UWU13" s="314" t="s">
        <v>203</v>
      </c>
      <c r="UWV13" s="314" t="s">
        <v>203</v>
      </c>
      <c r="UWW13" s="314" t="s">
        <v>203</v>
      </c>
      <c r="UWX13" s="314" t="s">
        <v>203</v>
      </c>
      <c r="UWY13" s="314" t="s">
        <v>203</v>
      </c>
      <c r="UWZ13" s="314" t="s">
        <v>203</v>
      </c>
      <c r="UXA13" s="314" t="s">
        <v>203</v>
      </c>
      <c r="UXB13" s="314" t="s">
        <v>203</v>
      </c>
      <c r="UXC13" s="314" t="s">
        <v>203</v>
      </c>
      <c r="UXD13" s="314" t="s">
        <v>203</v>
      </c>
      <c r="UXE13" s="314" t="s">
        <v>203</v>
      </c>
      <c r="UXF13" s="314" t="s">
        <v>203</v>
      </c>
      <c r="UXG13" s="314" t="s">
        <v>203</v>
      </c>
      <c r="UXH13" s="314" t="s">
        <v>203</v>
      </c>
      <c r="UXI13" s="314" t="s">
        <v>203</v>
      </c>
      <c r="UXJ13" s="314" t="s">
        <v>203</v>
      </c>
      <c r="UXK13" s="314" t="s">
        <v>203</v>
      </c>
      <c r="UXL13" s="314" t="s">
        <v>203</v>
      </c>
      <c r="UXM13" s="314" t="s">
        <v>203</v>
      </c>
      <c r="UXN13" s="314" t="s">
        <v>203</v>
      </c>
      <c r="UXO13" s="314" t="s">
        <v>203</v>
      </c>
      <c r="UXP13" s="314" t="s">
        <v>203</v>
      </c>
      <c r="UXQ13" s="314" t="s">
        <v>203</v>
      </c>
      <c r="UXR13" s="314" t="s">
        <v>203</v>
      </c>
      <c r="UXS13" s="314" t="s">
        <v>203</v>
      </c>
      <c r="UXT13" s="314" t="s">
        <v>203</v>
      </c>
      <c r="UXU13" s="314" t="s">
        <v>203</v>
      </c>
      <c r="UXV13" s="314" t="s">
        <v>203</v>
      </c>
      <c r="UXW13" s="314" t="s">
        <v>203</v>
      </c>
      <c r="UXX13" s="314" t="s">
        <v>203</v>
      </c>
      <c r="UXY13" s="314" t="s">
        <v>203</v>
      </c>
      <c r="UXZ13" s="314" t="s">
        <v>203</v>
      </c>
      <c r="UYA13" s="314" t="s">
        <v>203</v>
      </c>
      <c r="UYB13" s="314" t="s">
        <v>203</v>
      </c>
      <c r="UYC13" s="314" t="s">
        <v>203</v>
      </c>
      <c r="UYD13" s="314" t="s">
        <v>203</v>
      </c>
      <c r="UYE13" s="314" t="s">
        <v>203</v>
      </c>
      <c r="UYF13" s="314" t="s">
        <v>203</v>
      </c>
      <c r="UYG13" s="314" t="s">
        <v>203</v>
      </c>
      <c r="UYH13" s="314" t="s">
        <v>203</v>
      </c>
      <c r="UYI13" s="314" t="s">
        <v>203</v>
      </c>
      <c r="UYJ13" s="314" t="s">
        <v>203</v>
      </c>
      <c r="UYK13" s="314" t="s">
        <v>203</v>
      </c>
      <c r="UYL13" s="314" t="s">
        <v>203</v>
      </c>
      <c r="UYM13" s="314" t="s">
        <v>203</v>
      </c>
      <c r="UYN13" s="314" t="s">
        <v>203</v>
      </c>
      <c r="UYO13" s="314" t="s">
        <v>203</v>
      </c>
      <c r="UYP13" s="314" t="s">
        <v>203</v>
      </c>
      <c r="UYQ13" s="314" t="s">
        <v>203</v>
      </c>
      <c r="UYR13" s="314" t="s">
        <v>203</v>
      </c>
      <c r="UYS13" s="314" t="s">
        <v>203</v>
      </c>
      <c r="UYT13" s="314" t="s">
        <v>203</v>
      </c>
      <c r="UYU13" s="314" t="s">
        <v>203</v>
      </c>
      <c r="UYV13" s="314" t="s">
        <v>203</v>
      </c>
      <c r="UYW13" s="314" t="s">
        <v>203</v>
      </c>
      <c r="UYX13" s="314" t="s">
        <v>203</v>
      </c>
      <c r="UYY13" s="314" t="s">
        <v>203</v>
      </c>
      <c r="UYZ13" s="314" t="s">
        <v>203</v>
      </c>
      <c r="UZA13" s="314" t="s">
        <v>203</v>
      </c>
      <c r="UZB13" s="314" t="s">
        <v>203</v>
      </c>
      <c r="UZC13" s="314" t="s">
        <v>203</v>
      </c>
      <c r="UZD13" s="314" t="s">
        <v>203</v>
      </c>
      <c r="UZE13" s="314" t="s">
        <v>203</v>
      </c>
      <c r="UZF13" s="314" t="s">
        <v>203</v>
      </c>
      <c r="UZG13" s="314" t="s">
        <v>203</v>
      </c>
      <c r="UZH13" s="314" t="s">
        <v>203</v>
      </c>
      <c r="UZI13" s="314" t="s">
        <v>203</v>
      </c>
      <c r="UZJ13" s="314" t="s">
        <v>203</v>
      </c>
      <c r="UZK13" s="314" t="s">
        <v>203</v>
      </c>
      <c r="UZL13" s="314" t="s">
        <v>203</v>
      </c>
      <c r="UZM13" s="314" t="s">
        <v>203</v>
      </c>
      <c r="UZN13" s="314" t="s">
        <v>203</v>
      </c>
      <c r="UZO13" s="314" t="s">
        <v>203</v>
      </c>
      <c r="UZP13" s="314" t="s">
        <v>203</v>
      </c>
      <c r="UZQ13" s="314" t="s">
        <v>203</v>
      </c>
      <c r="UZR13" s="314" t="s">
        <v>203</v>
      </c>
      <c r="UZS13" s="314" t="s">
        <v>203</v>
      </c>
      <c r="UZT13" s="314" t="s">
        <v>203</v>
      </c>
      <c r="UZU13" s="314" t="s">
        <v>203</v>
      </c>
      <c r="UZV13" s="314" t="s">
        <v>203</v>
      </c>
      <c r="UZW13" s="314" t="s">
        <v>203</v>
      </c>
      <c r="UZX13" s="314" t="s">
        <v>203</v>
      </c>
      <c r="UZY13" s="314" t="s">
        <v>203</v>
      </c>
      <c r="UZZ13" s="314" t="s">
        <v>203</v>
      </c>
      <c r="VAA13" s="314" t="s">
        <v>203</v>
      </c>
      <c r="VAB13" s="314" t="s">
        <v>203</v>
      </c>
      <c r="VAC13" s="314" t="s">
        <v>203</v>
      </c>
      <c r="VAD13" s="314" t="s">
        <v>203</v>
      </c>
      <c r="VAE13" s="314" t="s">
        <v>203</v>
      </c>
      <c r="VAF13" s="314" t="s">
        <v>203</v>
      </c>
      <c r="VAG13" s="314" t="s">
        <v>203</v>
      </c>
      <c r="VAH13" s="314" t="s">
        <v>203</v>
      </c>
      <c r="VAI13" s="314" t="s">
        <v>203</v>
      </c>
      <c r="VAJ13" s="314" t="s">
        <v>203</v>
      </c>
      <c r="VAK13" s="314" t="s">
        <v>203</v>
      </c>
      <c r="VAL13" s="314" t="s">
        <v>203</v>
      </c>
      <c r="VAM13" s="314" t="s">
        <v>203</v>
      </c>
      <c r="VAN13" s="314" t="s">
        <v>203</v>
      </c>
      <c r="VAO13" s="314" t="s">
        <v>203</v>
      </c>
      <c r="VAP13" s="314" t="s">
        <v>203</v>
      </c>
      <c r="VAQ13" s="314" t="s">
        <v>203</v>
      </c>
      <c r="VAR13" s="314" t="s">
        <v>203</v>
      </c>
      <c r="VAS13" s="314" t="s">
        <v>203</v>
      </c>
      <c r="VAT13" s="314" t="s">
        <v>203</v>
      </c>
      <c r="VAU13" s="314" t="s">
        <v>203</v>
      </c>
      <c r="VAV13" s="314" t="s">
        <v>203</v>
      </c>
      <c r="VAW13" s="314" t="s">
        <v>203</v>
      </c>
      <c r="VAX13" s="314" t="s">
        <v>203</v>
      </c>
      <c r="VAY13" s="314" t="s">
        <v>203</v>
      </c>
      <c r="VAZ13" s="314" t="s">
        <v>203</v>
      </c>
      <c r="VBA13" s="314" t="s">
        <v>203</v>
      </c>
      <c r="VBB13" s="314" t="s">
        <v>203</v>
      </c>
      <c r="VBC13" s="314" t="s">
        <v>203</v>
      </c>
      <c r="VBD13" s="314" t="s">
        <v>203</v>
      </c>
      <c r="VBE13" s="314" t="s">
        <v>203</v>
      </c>
      <c r="VBF13" s="314" t="s">
        <v>203</v>
      </c>
      <c r="VBG13" s="314" t="s">
        <v>203</v>
      </c>
      <c r="VBH13" s="314" t="s">
        <v>203</v>
      </c>
      <c r="VBI13" s="314" t="s">
        <v>203</v>
      </c>
      <c r="VBJ13" s="314" t="s">
        <v>203</v>
      </c>
      <c r="VBK13" s="314" t="s">
        <v>203</v>
      </c>
      <c r="VBL13" s="314" t="s">
        <v>203</v>
      </c>
      <c r="VBM13" s="314" t="s">
        <v>203</v>
      </c>
      <c r="VBN13" s="314" t="s">
        <v>203</v>
      </c>
      <c r="VBO13" s="314" t="s">
        <v>203</v>
      </c>
      <c r="VBP13" s="314" t="s">
        <v>203</v>
      </c>
      <c r="VBQ13" s="314" t="s">
        <v>203</v>
      </c>
      <c r="VBR13" s="314" t="s">
        <v>203</v>
      </c>
      <c r="VBS13" s="314" t="s">
        <v>203</v>
      </c>
      <c r="VBT13" s="314" t="s">
        <v>203</v>
      </c>
      <c r="VBU13" s="314" t="s">
        <v>203</v>
      </c>
      <c r="VBV13" s="314" t="s">
        <v>203</v>
      </c>
      <c r="VBW13" s="314" t="s">
        <v>203</v>
      </c>
      <c r="VBX13" s="314" t="s">
        <v>203</v>
      </c>
      <c r="VBY13" s="314" t="s">
        <v>203</v>
      </c>
      <c r="VBZ13" s="314" t="s">
        <v>203</v>
      </c>
      <c r="VCA13" s="314" t="s">
        <v>203</v>
      </c>
      <c r="VCB13" s="314" t="s">
        <v>203</v>
      </c>
      <c r="VCC13" s="314" t="s">
        <v>203</v>
      </c>
      <c r="VCD13" s="314" t="s">
        <v>203</v>
      </c>
      <c r="VCE13" s="314" t="s">
        <v>203</v>
      </c>
      <c r="VCF13" s="314" t="s">
        <v>203</v>
      </c>
      <c r="VCG13" s="314" t="s">
        <v>203</v>
      </c>
      <c r="VCH13" s="314" t="s">
        <v>203</v>
      </c>
      <c r="VCI13" s="314" t="s">
        <v>203</v>
      </c>
      <c r="VCJ13" s="314" t="s">
        <v>203</v>
      </c>
      <c r="VCK13" s="314" t="s">
        <v>203</v>
      </c>
      <c r="VCL13" s="314" t="s">
        <v>203</v>
      </c>
      <c r="VCM13" s="314" t="s">
        <v>203</v>
      </c>
      <c r="VCN13" s="314" t="s">
        <v>203</v>
      </c>
      <c r="VCO13" s="314" t="s">
        <v>203</v>
      </c>
      <c r="VCP13" s="314" t="s">
        <v>203</v>
      </c>
      <c r="VCQ13" s="314" t="s">
        <v>203</v>
      </c>
      <c r="VCR13" s="314" t="s">
        <v>203</v>
      </c>
      <c r="VCS13" s="314" t="s">
        <v>203</v>
      </c>
      <c r="VCT13" s="314" t="s">
        <v>203</v>
      </c>
      <c r="VCU13" s="314" t="s">
        <v>203</v>
      </c>
      <c r="VCV13" s="314" t="s">
        <v>203</v>
      </c>
      <c r="VCW13" s="314" t="s">
        <v>203</v>
      </c>
      <c r="VCX13" s="314" t="s">
        <v>203</v>
      </c>
      <c r="VCY13" s="314" t="s">
        <v>203</v>
      </c>
      <c r="VCZ13" s="314" t="s">
        <v>203</v>
      </c>
      <c r="VDA13" s="314" t="s">
        <v>203</v>
      </c>
      <c r="VDB13" s="314" t="s">
        <v>203</v>
      </c>
      <c r="VDC13" s="314" t="s">
        <v>203</v>
      </c>
      <c r="VDD13" s="314" t="s">
        <v>203</v>
      </c>
      <c r="VDE13" s="314" t="s">
        <v>203</v>
      </c>
      <c r="VDF13" s="314" t="s">
        <v>203</v>
      </c>
      <c r="VDG13" s="314" t="s">
        <v>203</v>
      </c>
      <c r="VDH13" s="314" t="s">
        <v>203</v>
      </c>
      <c r="VDI13" s="314" t="s">
        <v>203</v>
      </c>
      <c r="VDJ13" s="314" t="s">
        <v>203</v>
      </c>
      <c r="VDK13" s="314" t="s">
        <v>203</v>
      </c>
      <c r="VDL13" s="314" t="s">
        <v>203</v>
      </c>
      <c r="VDM13" s="314" t="s">
        <v>203</v>
      </c>
      <c r="VDN13" s="314" t="s">
        <v>203</v>
      </c>
      <c r="VDO13" s="314" t="s">
        <v>203</v>
      </c>
      <c r="VDP13" s="314" t="s">
        <v>203</v>
      </c>
      <c r="VDQ13" s="314" t="s">
        <v>203</v>
      </c>
      <c r="VDR13" s="314" t="s">
        <v>203</v>
      </c>
      <c r="VDS13" s="314" t="s">
        <v>203</v>
      </c>
      <c r="VDT13" s="314" t="s">
        <v>203</v>
      </c>
      <c r="VDU13" s="314" t="s">
        <v>203</v>
      </c>
      <c r="VDV13" s="314" t="s">
        <v>203</v>
      </c>
      <c r="VDW13" s="314" t="s">
        <v>203</v>
      </c>
      <c r="VDX13" s="314" t="s">
        <v>203</v>
      </c>
      <c r="VDY13" s="314" t="s">
        <v>203</v>
      </c>
      <c r="VDZ13" s="314" t="s">
        <v>203</v>
      </c>
      <c r="VEA13" s="314" t="s">
        <v>203</v>
      </c>
      <c r="VEB13" s="314" t="s">
        <v>203</v>
      </c>
      <c r="VEC13" s="314" t="s">
        <v>203</v>
      </c>
      <c r="VED13" s="314" t="s">
        <v>203</v>
      </c>
      <c r="VEE13" s="314" t="s">
        <v>203</v>
      </c>
      <c r="VEF13" s="314" t="s">
        <v>203</v>
      </c>
      <c r="VEG13" s="314" t="s">
        <v>203</v>
      </c>
      <c r="VEH13" s="314" t="s">
        <v>203</v>
      </c>
      <c r="VEI13" s="314" t="s">
        <v>203</v>
      </c>
      <c r="VEJ13" s="314" t="s">
        <v>203</v>
      </c>
      <c r="VEK13" s="314" t="s">
        <v>203</v>
      </c>
      <c r="VEL13" s="314" t="s">
        <v>203</v>
      </c>
      <c r="VEM13" s="314" t="s">
        <v>203</v>
      </c>
      <c r="VEN13" s="314" t="s">
        <v>203</v>
      </c>
      <c r="VEO13" s="314" t="s">
        <v>203</v>
      </c>
      <c r="VEP13" s="314" t="s">
        <v>203</v>
      </c>
      <c r="VEQ13" s="314" t="s">
        <v>203</v>
      </c>
      <c r="VER13" s="314" t="s">
        <v>203</v>
      </c>
      <c r="VES13" s="314" t="s">
        <v>203</v>
      </c>
      <c r="VET13" s="314" t="s">
        <v>203</v>
      </c>
      <c r="VEU13" s="314" t="s">
        <v>203</v>
      </c>
      <c r="VEV13" s="314" t="s">
        <v>203</v>
      </c>
      <c r="VEW13" s="314" t="s">
        <v>203</v>
      </c>
      <c r="VEX13" s="314" t="s">
        <v>203</v>
      </c>
      <c r="VEY13" s="314" t="s">
        <v>203</v>
      </c>
      <c r="VEZ13" s="314" t="s">
        <v>203</v>
      </c>
      <c r="VFA13" s="314" t="s">
        <v>203</v>
      </c>
      <c r="VFB13" s="314" t="s">
        <v>203</v>
      </c>
      <c r="VFC13" s="314" t="s">
        <v>203</v>
      </c>
      <c r="VFD13" s="314" t="s">
        <v>203</v>
      </c>
      <c r="VFE13" s="314" t="s">
        <v>203</v>
      </c>
      <c r="VFF13" s="314" t="s">
        <v>203</v>
      </c>
      <c r="VFG13" s="314" t="s">
        <v>203</v>
      </c>
      <c r="VFH13" s="314" t="s">
        <v>203</v>
      </c>
      <c r="VFI13" s="314" t="s">
        <v>203</v>
      </c>
      <c r="VFJ13" s="314" t="s">
        <v>203</v>
      </c>
      <c r="VFK13" s="314" t="s">
        <v>203</v>
      </c>
      <c r="VFL13" s="314" t="s">
        <v>203</v>
      </c>
      <c r="VFM13" s="314" t="s">
        <v>203</v>
      </c>
      <c r="VFN13" s="314" t="s">
        <v>203</v>
      </c>
      <c r="VFO13" s="314" t="s">
        <v>203</v>
      </c>
      <c r="VFP13" s="314" t="s">
        <v>203</v>
      </c>
      <c r="VFQ13" s="314" t="s">
        <v>203</v>
      </c>
      <c r="VFR13" s="314" t="s">
        <v>203</v>
      </c>
      <c r="VFS13" s="314" t="s">
        <v>203</v>
      </c>
      <c r="VFT13" s="314" t="s">
        <v>203</v>
      </c>
      <c r="VFU13" s="314" t="s">
        <v>203</v>
      </c>
      <c r="VFV13" s="314" t="s">
        <v>203</v>
      </c>
      <c r="VFW13" s="314" t="s">
        <v>203</v>
      </c>
      <c r="VFX13" s="314" t="s">
        <v>203</v>
      </c>
      <c r="VFY13" s="314" t="s">
        <v>203</v>
      </c>
      <c r="VFZ13" s="314" t="s">
        <v>203</v>
      </c>
      <c r="VGA13" s="314" t="s">
        <v>203</v>
      </c>
      <c r="VGB13" s="314" t="s">
        <v>203</v>
      </c>
      <c r="VGC13" s="314" t="s">
        <v>203</v>
      </c>
      <c r="VGD13" s="314" t="s">
        <v>203</v>
      </c>
      <c r="VGE13" s="314" t="s">
        <v>203</v>
      </c>
      <c r="VGF13" s="314" t="s">
        <v>203</v>
      </c>
      <c r="VGG13" s="314" t="s">
        <v>203</v>
      </c>
      <c r="VGH13" s="314" t="s">
        <v>203</v>
      </c>
      <c r="VGI13" s="314" t="s">
        <v>203</v>
      </c>
      <c r="VGJ13" s="314" t="s">
        <v>203</v>
      </c>
      <c r="VGK13" s="314" t="s">
        <v>203</v>
      </c>
      <c r="VGL13" s="314" t="s">
        <v>203</v>
      </c>
      <c r="VGM13" s="314" t="s">
        <v>203</v>
      </c>
      <c r="VGN13" s="314" t="s">
        <v>203</v>
      </c>
      <c r="VGO13" s="314" t="s">
        <v>203</v>
      </c>
      <c r="VGP13" s="314" t="s">
        <v>203</v>
      </c>
      <c r="VGQ13" s="314" t="s">
        <v>203</v>
      </c>
      <c r="VGR13" s="314" t="s">
        <v>203</v>
      </c>
      <c r="VGS13" s="314" t="s">
        <v>203</v>
      </c>
      <c r="VGT13" s="314" t="s">
        <v>203</v>
      </c>
      <c r="VGU13" s="314" t="s">
        <v>203</v>
      </c>
      <c r="VGV13" s="314" t="s">
        <v>203</v>
      </c>
      <c r="VGW13" s="314" t="s">
        <v>203</v>
      </c>
      <c r="VGX13" s="314" t="s">
        <v>203</v>
      </c>
      <c r="VGY13" s="314" t="s">
        <v>203</v>
      </c>
      <c r="VGZ13" s="314" t="s">
        <v>203</v>
      </c>
      <c r="VHA13" s="314" t="s">
        <v>203</v>
      </c>
      <c r="VHB13" s="314" t="s">
        <v>203</v>
      </c>
      <c r="VHC13" s="314" t="s">
        <v>203</v>
      </c>
      <c r="VHD13" s="314" t="s">
        <v>203</v>
      </c>
      <c r="VHE13" s="314" t="s">
        <v>203</v>
      </c>
      <c r="VHF13" s="314" t="s">
        <v>203</v>
      </c>
      <c r="VHG13" s="314" t="s">
        <v>203</v>
      </c>
      <c r="VHH13" s="314" t="s">
        <v>203</v>
      </c>
      <c r="VHI13" s="314" t="s">
        <v>203</v>
      </c>
      <c r="VHJ13" s="314" t="s">
        <v>203</v>
      </c>
      <c r="VHK13" s="314" t="s">
        <v>203</v>
      </c>
      <c r="VHL13" s="314" t="s">
        <v>203</v>
      </c>
      <c r="VHM13" s="314" t="s">
        <v>203</v>
      </c>
      <c r="VHN13" s="314" t="s">
        <v>203</v>
      </c>
      <c r="VHO13" s="314" t="s">
        <v>203</v>
      </c>
      <c r="VHP13" s="314" t="s">
        <v>203</v>
      </c>
      <c r="VHQ13" s="314" t="s">
        <v>203</v>
      </c>
      <c r="VHR13" s="314" t="s">
        <v>203</v>
      </c>
      <c r="VHS13" s="314" t="s">
        <v>203</v>
      </c>
      <c r="VHT13" s="314" t="s">
        <v>203</v>
      </c>
      <c r="VHU13" s="314" t="s">
        <v>203</v>
      </c>
      <c r="VHV13" s="314" t="s">
        <v>203</v>
      </c>
      <c r="VHW13" s="314" t="s">
        <v>203</v>
      </c>
      <c r="VHX13" s="314" t="s">
        <v>203</v>
      </c>
      <c r="VHY13" s="314" t="s">
        <v>203</v>
      </c>
      <c r="VHZ13" s="314" t="s">
        <v>203</v>
      </c>
      <c r="VIA13" s="314" t="s">
        <v>203</v>
      </c>
      <c r="VIB13" s="314" t="s">
        <v>203</v>
      </c>
      <c r="VIC13" s="314" t="s">
        <v>203</v>
      </c>
      <c r="VID13" s="314" t="s">
        <v>203</v>
      </c>
      <c r="VIE13" s="314" t="s">
        <v>203</v>
      </c>
      <c r="VIF13" s="314" t="s">
        <v>203</v>
      </c>
      <c r="VIG13" s="314" t="s">
        <v>203</v>
      </c>
      <c r="VIH13" s="314" t="s">
        <v>203</v>
      </c>
      <c r="VII13" s="314" t="s">
        <v>203</v>
      </c>
      <c r="VIJ13" s="314" t="s">
        <v>203</v>
      </c>
      <c r="VIK13" s="314" t="s">
        <v>203</v>
      </c>
      <c r="VIL13" s="314" t="s">
        <v>203</v>
      </c>
      <c r="VIM13" s="314" t="s">
        <v>203</v>
      </c>
      <c r="VIN13" s="314" t="s">
        <v>203</v>
      </c>
      <c r="VIO13" s="314" t="s">
        <v>203</v>
      </c>
      <c r="VIP13" s="314" t="s">
        <v>203</v>
      </c>
      <c r="VIQ13" s="314" t="s">
        <v>203</v>
      </c>
      <c r="VIR13" s="314" t="s">
        <v>203</v>
      </c>
      <c r="VIS13" s="314" t="s">
        <v>203</v>
      </c>
      <c r="VIT13" s="314" t="s">
        <v>203</v>
      </c>
      <c r="VIU13" s="314" t="s">
        <v>203</v>
      </c>
      <c r="VIV13" s="314" t="s">
        <v>203</v>
      </c>
      <c r="VIW13" s="314" t="s">
        <v>203</v>
      </c>
      <c r="VIX13" s="314" t="s">
        <v>203</v>
      </c>
      <c r="VIY13" s="314" t="s">
        <v>203</v>
      </c>
      <c r="VIZ13" s="314" t="s">
        <v>203</v>
      </c>
      <c r="VJA13" s="314" t="s">
        <v>203</v>
      </c>
      <c r="VJB13" s="314" t="s">
        <v>203</v>
      </c>
      <c r="VJC13" s="314" t="s">
        <v>203</v>
      </c>
      <c r="VJD13" s="314" t="s">
        <v>203</v>
      </c>
      <c r="VJE13" s="314" t="s">
        <v>203</v>
      </c>
      <c r="VJF13" s="314" t="s">
        <v>203</v>
      </c>
      <c r="VJG13" s="314" t="s">
        <v>203</v>
      </c>
      <c r="VJH13" s="314" t="s">
        <v>203</v>
      </c>
      <c r="VJI13" s="314" t="s">
        <v>203</v>
      </c>
      <c r="VJJ13" s="314" t="s">
        <v>203</v>
      </c>
      <c r="VJK13" s="314" t="s">
        <v>203</v>
      </c>
      <c r="VJL13" s="314" t="s">
        <v>203</v>
      </c>
      <c r="VJM13" s="314" t="s">
        <v>203</v>
      </c>
      <c r="VJN13" s="314" t="s">
        <v>203</v>
      </c>
      <c r="VJO13" s="314" t="s">
        <v>203</v>
      </c>
      <c r="VJP13" s="314" t="s">
        <v>203</v>
      </c>
      <c r="VJQ13" s="314" t="s">
        <v>203</v>
      </c>
      <c r="VJR13" s="314" t="s">
        <v>203</v>
      </c>
      <c r="VJS13" s="314" t="s">
        <v>203</v>
      </c>
      <c r="VJT13" s="314" t="s">
        <v>203</v>
      </c>
      <c r="VJU13" s="314" t="s">
        <v>203</v>
      </c>
      <c r="VJV13" s="314" t="s">
        <v>203</v>
      </c>
      <c r="VJW13" s="314" t="s">
        <v>203</v>
      </c>
      <c r="VJX13" s="314" t="s">
        <v>203</v>
      </c>
      <c r="VJY13" s="314" t="s">
        <v>203</v>
      </c>
      <c r="VJZ13" s="314" t="s">
        <v>203</v>
      </c>
      <c r="VKA13" s="314" t="s">
        <v>203</v>
      </c>
      <c r="VKB13" s="314" t="s">
        <v>203</v>
      </c>
      <c r="VKC13" s="314" t="s">
        <v>203</v>
      </c>
      <c r="VKD13" s="314" t="s">
        <v>203</v>
      </c>
      <c r="VKE13" s="314" t="s">
        <v>203</v>
      </c>
      <c r="VKF13" s="314" t="s">
        <v>203</v>
      </c>
      <c r="VKG13" s="314" t="s">
        <v>203</v>
      </c>
      <c r="VKH13" s="314" t="s">
        <v>203</v>
      </c>
      <c r="VKI13" s="314" t="s">
        <v>203</v>
      </c>
      <c r="VKJ13" s="314" t="s">
        <v>203</v>
      </c>
      <c r="VKK13" s="314" t="s">
        <v>203</v>
      </c>
      <c r="VKL13" s="314" t="s">
        <v>203</v>
      </c>
      <c r="VKM13" s="314" t="s">
        <v>203</v>
      </c>
      <c r="VKN13" s="314" t="s">
        <v>203</v>
      </c>
      <c r="VKO13" s="314" t="s">
        <v>203</v>
      </c>
      <c r="VKP13" s="314" t="s">
        <v>203</v>
      </c>
      <c r="VKQ13" s="314" t="s">
        <v>203</v>
      </c>
      <c r="VKR13" s="314" t="s">
        <v>203</v>
      </c>
      <c r="VKS13" s="314" t="s">
        <v>203</v>
      </c>
      <c r="VKT13" s="314" t="s">
        <v>203</v>
      </c>
      <c r="VKU13" s="314" t="s">
        <v>203</v>
      </c>
      <c r="VKV13" s="314" t="s">
        <v>203</v>
      </c>
      <c r="VKW13" s="314" t="s">
        <v>203</v>
      </c>
      <c r="VKX13" s="314" t="s">
        <v>203</v>
      </c>
      <c r="VKY13" s="314" t="s">
        <v>203</v>
      </c>
      <c r="VKZ13" s="314" t="s">
        <v>203</v>
      </c>
      <c r="VLA13" s="314" t="s">
        <v>203</v>
      </c>
      <c r="VLB13" s="314" t="s">
        <v>203</v>
      </c>
      <c r="VLC13" s="314" t="s">
        <v>203</v>
      </c>
      <c r="VLD13" s="314" t="s">
        <v>203</v>
      </c>
      <c r="VLE13" s="314" t="s">
        <v>203</v>
      </c>
      <c r="VLF13" s="314" t="s">
        <v>203</v>
      </c>
      <c r="VLG13" s="314" t="s">
        <v>203</v>
      </c>
      <c r="VLH13" s="314" t="s">
        <v>203</v>
      </c>
      <c r="VLI13" s="314" t="s">
        <v>203</v>
      </c>
      <c r="VLJ13" s="314" t="s">
        <v>203</v>
      </c>
      <c r="VLK13" s="314" t="s">
        <v>203</v>
      </c>
      <c r="VLL13" s="314" t="s">
        <v>203</v>
      </c>
      <c r="VLM13" s="314" t="s">
        <v>203</v>
      </c>
      <c r="VLN13" s="314" t="s">
        <v>203</v>
      </c>
      <c r="VLO13" s="314" t="s">
        <v>203</v>
      </c>
      <c r="VLP13" s="314" t="s">
        <v>203</v>
      </c>
      <c r="VLQ13" s="314" t="s">
        <v>203</v>
      </c>
      <c r="VLR13" s="314" t="s">
        <v>203</v>
      </c>
      <c r="VLS13" s="314" t="s">
        <v>203</v>
      </c>
      <c r="VLT13" s="314" t="s">
        <v>203</v>
      </c>
      <c r="VLU13" s="314" t="s">
        <v>203</v>
      </c>
      <c r="VLV13" s="314" t="s">
        <v>203</v>
      </c>
      <c r="VLW13" s="314" t="s">
        <v>203</v>
      </c>
      <c r="VLX13" s="314" t="s">
        <v>203</v>
      </c>
      <c r="VLY13" s="314" t="s">
        <v>203</v>
      </c>
      <c r="VLZ13" s="314" t="s">
        <v>203</v>
      </c>
      <c r="VMA13" s="314" t="s">
        <v>203</v>
      </c>
      <c r="VMB13" s="314" t="s">
        <v>203</v>
      </c>
      <c r="VMC13" s="314" t="s">
        <v>203</v>
      </c>
      <c r="VMD13" s="314" t="s">
        <v>203</v>
      </c>
      <c r="VME13" s="314" t="s">
        <v>203</v>
      </c>
      <c r="VMF13" s="314" t="s">
        <v>203</v>
      </c>
      <c r="VMG13" s="314" t="s">
        <v>203</v>
      </c>
      <c r="VMH13" s="314" t="s">
        <v>203</v>
      </c>
      <c r="VMI13" s="314" t="s">
        <v>203</v>
      </c>
      <c r="VMJ13" s="314" t="s">
        <v>203</v>
      </c>
      <c r="VMK13" s="314" t="s">
        <v>203</v>
      </c>
      <c r="VML13" s="314" t="s">
        <v>203</v>
      </c>
      <c r="VMM13" s="314" t="s">
        <v>203</v>
      </c>
      <c r="VMN13" s="314" t="s">
        <v>203</v>
      </c>
      <c r="VMO13" s="314" t="s">
        <v>203</v>
      </c>
      <c r="VMP13" s="314" t="s">
        <v>203</v>
      </c>
      <c r="VMQ13" s="314" t="s">
        <v>203</v>
      </c>
      <c r="VMR13" s="314" t="s">
        <v>203</v>
      </c>
      <c r="VMS13" s="314" t="s">
        <v>203</v>
      </c>
      <c r="VMT13" s="314" t="s">
        <v>203</v>
      </c>
      <c r="VMU13" s="314" t="s">
        <v>203</v>
      </c>
      <c r="VMV13" s="314" t="s">
        <v>203</v>
      </c>
      <c r="VMW13" s="314" t="s">
        <v>203</v>
      </c>
      <c r="VMX13" s="314" t="s">
        <v>203</v>
      </c>
      <c r="VMY13" s="314" t="s">
        <v>203</v>
      </c>
      <c r="VMZ13" s="314" t="s">
        <v>203</v>
      </c>
      <c r="VNA13" s="314" t="s">
        <v>203</v>
      </c>
      <c r="VNB13" s="314" t="s">
        <v>203</v>
      </c>
      <c r="VNC13" s="314" t="s">
        <v>203</v>
      </c>
      <c r="VND13" s="314" t="s">
        <v>203</v>
      </c>
      <c r="VNE13" s="314" t="s">
        <v>203</v>
      </c>
      <c r="VNF13" s="314" t="s">
        <v>203</v>
      </c>
      <c r="VNG13" s="314" t="s">
        <v>203</v>
      </c>
      <c r="VNH13" s="314" t="s">
        <v>203</v>
      </c>
      <c r="VNI13" s="314" t="s">
        <v>203</v>
      </c>
      <c r="VNJ13" s="314" t="s">
        <v>203</v>
      </c>
      <c r="VNK13" s="314" t="s">
        <v>203</v>
      </c>
      <c r="VNL13" s="314" t="s">
        <v>203</v>
      </c>
      <c r="VNM13" s="314" t="s">
        <v>203</v>
      </c>
      <c r="VNN13" s="314" t="s">
        <v>203</v>
      </c>
      <c r="VNO13" s="314" t="s">
        <v>203</v>
      </c>
      <c r="VNP13" s="314" t="s">
        <v>203</v>
      </c>
      <c r="VNQ13" s="314" t="s">
        <v>203</v>
      </c>
      <c r="VNR13" s="314" t="s">
        <v>203</v>
      </c>
      <c r="VNS13" s="314" t="s">
        <v>203</v>
      </c>
      <c r="VNT13" s="314" t="s">
        <v>203</v>
      </c>
      <c r="VNU13" s="314" t="s">
        <v>203</v>
      </c>
      <c r="VNV13" s="314" t="s">
        <v>203</v>
      </c>
      <c r="VNW13" s="314" t="s">
        <v>203</v>
      </c>
      <c r="VNX13" s="314" t="s">
        <v>203</v>
      </c>
      <c r="VNY13" s="314" t="s">
        <v>203</v>
      </c>
      <c r="VNZ13" s="314" t="s">
        <v>203</v>
      </c>
      <c r="VOA13" s="314" t="s">
        <v>203</v>
      </c>
      <c r="VOB13" s="314" t="s">
        <v>203</v>
      </c>
      <c r="VOC13" s="314" t="s">
        <v>203</v>
      </c>
      <c r="VOD13" s="314" t="s">
        <v>203</v>
      </c>
      <c r="VOE13" s="314" t="s">
        <v>203</v>
      </c>
      <c r="VOF13" s="314" t="s">
        <v>203</v>
      </c>
      <c r="VOG13" s="314" t="s">
        <v>203</v>
      </c>
      <c r="VOH13" s="314" t="s">
        <v>203</v>
      </c>
      <c r="VOI13" s="314" t="s">
        <v>203</v>
      </c>
      <c r="VOJ13" s="314" t="s">
        <v>203</v>
      </c>
      <c r="VOK13" s="314" t="s">
        <v>203</v>
      </c>
      <c r="VOL13" s="314" t="s">
        <v>203</v>
      </c>
      <c r="VOM13" s="314" t="s">
        <v>203</v>
      </c>
      <c r="VON13" s="314" t="s">
        <v>203</v>
      </c>
      <c r="VOO13" s="314" t="s">
        <v>203</v>
      </c>
      <c r="VOP13" s="314" t="s">
        <v>203</v>
      </c>
      <c r="VOQ13" s="314" t="s">
        <v>203</v>
      </c>
      <c r="VOR13" s="314" t="s">
        <v>203</v>
      </c>
      <c r="VOS13" s="314" t="s">
        <v>203</v>
      </c>
      <c r="VOT13" s="314" t="s">
        <v>203</v>
      </c>
      <c r="VOU13" s="314" t="s">
        <v>203</v>
      </c>
      <c r="VOV13" s="314" t="s">
        <v>203</v>
      </c>
      <c r="VOW13" s="314" t="s">
        <v>203</v>
      </c>
      <c r="VOX13" s="314" t="s">
        <v>203</v>
      </c>
      <c r="VOY13" s="314" t="s">
        <v>203</v>
      </c>
      <c r="VOZ13" s="314" t="s">
        <v>203</v>
      </c>
      <c r="VPA13" s="314" t="s">
        <v>203</v>
      </c>
      <c r="VPB13" s="314" t="s">
        <v>203</v>
      </c>
      <c r="VPC13" s="314" t="s">
        <v>203</v>
      </c>
      <c r="VPD13" s="314" t="s">
        <v>203</v>
      </c>
      <c r="VPE13" s="314" t="s">
        <v>203</v>
      </c>
      <c r="VPF13" s="314" t="s">
        <v>203</v>
      </c>
      <c r="VPG13" s="314" t="s">
        <v>203</v>
      </c>
      <c r="VPH13" s="314" t="s">
        <v>203</v>
      </c>
      <c r="VPI13" s="314" t="s">
        <v>203</v>
      </c>
      <c r="VPJ13" s="314" t="s">
        <v>203</v>
      </c>
      <c r="VPK13" s="314" t="s">
        <v>203</v>
      </c>
      <c r="VPL13" s="314" t="s">
        <v>203</v>
      </c>
      <c r="VPM13" s="314" t="s">
        <v>203</v>
      </c>
      <c r="VPN13" s="314" t="s">
        <v>203</v>
      </c>
      <c r="VPO13" s="314" t="s">
        <v>203</v>
      </c>
      <c r="VPP13" s="314" t="s">
        <v>203</v>
      </c>
      <c r="VPQ13" s="314" t="s">
        <v>203</v>
      </c>
      <c r="VPR13" s="314" t="s">
        <v>203</v>
      </c>
      <c r="VPS13" s="314" t="s">
        <v>203</v>
      </c>
      <c r="VPT13" s="314" t="s">
        <v>203</v>
      </c>
      <c r="VPU13" s="314" t="s">
        <v>203</v>
      </c>
      <c r="VPV13" s="314" t="s">
        <v>203</v>
      </c>
      <c r="VPW13" s="314" t="s">
        <v>203</v>
      </c>
      <c r="VPX13" s="314" t="s">
        <v>203</v>
      </c>
      <c r="VPY13" s="314" t="s">
        <v>203</v>
      </c>
      <c r="VPZ13" s="314" t="s">
        <v>203</v>
      </c>
      <c r="VQA13" s="314" t="s">
        <v>203</v>
      </c>
      <c r="VQB13" s="314" t="s">
        <v>203</v>
      </c>
      <c r="VQC13" s="314" t="s">
        <v>203</v>
      </c>
      <c r="VQD13" s="314" t="s">
        <v>203</v>
      </c>
      <c r="VQE13" s="314" t="s">
        <v>203</v>
      </c>
      <c r="VQF13" s="314" t="s">
        <v>203</v>
      </c>
      <c r="VQG13" s="314" t="s">
        <v>203</v>
      </c>
      <c r="VQH13" s="314" t="s">
        <v>203</v>
      </c>
      <c r="VQI13" s="314" t="s">
        <v>203</v>
      </c>
      <c r="VQJ13" s="314" t="s">
        <v>203</v>
      </c>
      <c r="VQK13" s="314" t="s">
        <v>203</v>
      </c>
      <c r="VQL13" s="314" t="s">
        <v>203</v>
      </c>
      <c r="VQM13" s="314" t="s">
        <v>203</v>
      </c>
      <c r="VQN13" s="314" t="s">
        <v>203</v>
      </c>
      <c r="VQO13" s="314" t="s">
        <v>203</v>
      </c>
      <c r="VQP13" s="314" t="s">
        <v>203</v>
      </c>
      <c r="VQQ13" s="314" t="s">
        <v>203</v>
      </c>
      <c r="VQR13" s="314" t="s">
        <v>203</v>
      </c>
      <c r="VQS13" s="314" t="s">
        <v>203</v>
      </c>
      <c r="VQT13" s="314" t="s">
        <v>203</v>
      </c>
      <c r="VQU13" s="314" t="s">
        <v>203</v>
      </c>
      <c r="VQV13" s="314" t="s">
        <v>203</v>
      </c>
      <c r="VQW13" s="314" t="s">
        <v>203</v>
      </c>
      <c r="VQX13" s="314" t="s">
        <v>203</v>
      </c>
      <c r="VQY13" s="314" t="s">
        <v>203</v>
      </c>
      <c r="VQZ13" s="314" t="s">
        <v>203</v>
      </c>
      <c r="VRA13" s="314" t="s">
        <v>203</v>
      </c>
      <c r="VRB13" s="314" t="s">
        <v>203</v>
      </c>
      <c r="VRC13" s="314" t="s">
        <v>203</v>
      </c>
      <c r="VRD13" s="314" t="s">
        <v>203</v>
      </c>
      <c r="VRE13" s="314" t="s">
        <v>203</v>
      </c>
      <c r="VRF13" s="314" t="s">
        <v>203</v>
      </c>
      <c r="VRG13" s="314" t="s">
        <v>203</v>
      </c>
      <c r="VRH13" s="314" t="s">
        <v>203</v>
      </c>
      <c r="VRI13" s="314" t="s">
        <v>203</v>
      </c>
      <c r="VRJ13" s="314" t="s">
        <v>203</v>
      </c>
      <c r="VRK13" s="314" t="s">
        <v>203</v>
      </c>
      <c r="VRL13" s="314" t="s">
        <v>203</v>
      </c>
      <c r="VRM13" s="314" t="s">
        <v>203</v>
      </c>
      <c r="VRN13" s="314" t="s">
        <v>203</v>
      </c>
      <c r="VRO13" s="314" t="s">
        <v>203</v>
      </c>
      <c r="VRP13" s="314" t="s">
        <v>203</v>
      </c>
      <c r="VRQ13" s="314" t="s">
        <v>203</v>
      </c>
      <c r="VRR13" s="314" t="s">
        <v>203</v>
      </c>
      <c r="VRS13" s="314" t="s">
        <v>203</v>
      </c>
      <c r="VRT13" s="314" t="s">
        <v>203</v>
      </c>
      <c r="VRU13" s="314" t="s">
        <v>203</v>
      </c>
      <c r="VRV13" s="314" t="s">
        <v>203</v>
      </c>
      <c r="VRW13" s="314" t="s">
        <v>203</v>
      </c>
      <c r="VRX13" s="314" t="s">
        <v>203</v>
      </c>
      <c r="VRY13" s="314" t="s">
        <v>203</v>
      </c>
      <c r="VRZ13" s="314" t="s">
        <v>203</v>
      </c>
      <c r="VSA13" s="314" t="s">
        <v>203</v>
      </c>
      <c r="VSB13" s="314" t="s">
        <v>203</v>
      </c>
      <c r="VSC13" s="314" t="s">
        <v>203</v>
      </c>
      <c r="VSD13" s="314" t="s">
        <v>203</v>
      </c>
      <c r="VSE13" s="314" t="s">
        <v>203</v>
      </c>
      <c r="VSF13" s="314" t="s">
        <v>203</v>
      </c>
      <c r="VSG13" s="314" t="s">
        <v>203</v>
      </c>
      <c r="VSH13" s="314" t="s">
        <v>203</v>
      </c>
      <c r="VSI13" s="314" t="s">
        <v>203</v>
      </c>
      <c r="VSJ13" s="314" t="s">
        <v>203</v>
      </c>
      <c r="VSK13" s="314" t="s">
        <v>203</v>
      </c>
      <c r="VSL13" s="314" t="s">
        <v>203</v>
      </c>
      <c r="VSM13" s="314" t="s">
        <v>203</v>
      </c>
      <c r="VSN13" s="314" t="s">
        <v>203</v>
      </c>
      <c r="VSO13" s="314" t="s">
        <v>203</v>
      </c>
      <c r="VSP13" s="314" t="s">
        <v>203</v>
      </c>
      <c r="VSQ13" s="314" t="s">
        <v>203</v>
      </c>
      <c r="VSR13" s="314" t="s">
        <v>203</v>
      </c>
      <c r="VSS13" s="314" t="s">
        <v>203</v>
      </c>
      <c r="VST13" s="314" t="s">
        <v>203</v>
      </c>
      <c r="VSU13" s="314" t="s">
        <v>203</v>
      </c>
      <c r="VSV13" s="314" t="s">
        <v>203</v>
      </c>
      <c r="VSW13" s="314" t="s">
        <v>203</v>
      </c>
      <c r="VSX13" s="314" t="s">
        <v>203</v>
      </c>
      <c r="VSY13" s="314" t="s">
        <v>203</v>
      </c>
      <c r="VSZ13" s="314" t="s">
        <v>203</v>
      </c>
      <c r="VTA13" s="314" t="s">
        <v>203</v>
      </c>
      <c r="VTB13" s="314" t="s">
        <v>203</v>
      </c>
      <c r="VTC13" s="314" t="s">
        <v>203</v>
      </c>
      <c r="VTD13" s="314" t="s">
        <v>203</v>
      </c>
      <c r="VTE13" s="314" t="s">
        <v>203</v>
      </c>
      <c r="VTF13" s="314" t="s">
        <v>203</v>
      </c>
      <c r="VTG13" s="314" t="s">
        <v>203</v>
      </c>
      <c r="VTH13" s="314" t="s">
        <v>203</v>
      </c>
      <c r="VTI13" s="314" t="s">
        <v>203</v>
      </c>
      <c r="VTJ13" s="314" t="s">
        <v>203</v>
      </c>
      <c r="VTK13" s="314" t="s">
        <v>203</v>
      </c>
      <c r="VTL13" s="314" t="s">
        <v>203</v>
      </c>
      <c r="VTM13" s="314" t="s">
        <v>203</v>
      </c>
      <c r="VTN13" s="314" t="s">
        <v>203</v>
      </c>
      <c r="VTO13" s="314" t="s">
        <v>203</v>
      </c>
      <c r="VTP13" s="314" t="s">
        <v>203</v>
      </c>
      <c r="VTQ13" s="314" t="s">
        <v>203</v>
      </c>
      <c r="VTR13" s="314" t="s">
        <v>203</v>
      </c>
      <c r="VTS13" s="314" t="s">
        <v>203</v>
      </c>
      <c r="VTT13" s="314" t="s">
        <v>203</v>
      </c>
      <c r="VTU13" s="314" t="s">
        <v>203</v>
      </c>
      <c r="VTV13" s="314" t="s">
        <v>203</v>
      </c>
      <c r="VTW13" s="314" t="s">
        <v>203</v>
      </c>
      <c r="VTX13" s="314" t="s">
        <v>203</v>
      </c>
      <c r="VTY13" s="314" t="s">
        <v>203</v>
      </c>
      <c r="VTZ13" s="314" t="s">
        <v>203</v>
      </c>
      <c r="VUA13" s="314" t="s">
        <v>203</v>
      </c>
      <c r="VUB13" s="314" t="s">
        <v>203</v>
      </c>
      <c r="VUC13" s="314" t="s">
        <v>203</v>
      </c>
      <c r="VUD13" s="314" t="s">
        <v>203</v>
      </c>
      <c r="VUE13" s="314" t="s">
        <v>203</v>
      </c>
      <c r="VUF13" s="314" t="s">
        <v>203</v>
      </c>
      <c r="VUG13" s="314" t="s">
        <v>203</v>
      </c>
      <c r="VUH13" s="314" t="s">
        <v>203</v>
      </c>
      <c r="VUI13" s="314" t="s">
        <v>203</v>
      </c>
      <c r="VUJ13" s="314" t="s">
        <v>203</v>
      </c>
      <c r="VUK13" s="314" t="s">
        <v>203</v>
      </c>
      <c r="VUL13" s="314" t="s">
        <v>203</v>
      </c>
      <c r="VUM13" s="314" t="s">
        <v>203</v>
      </c>
      <c r="VUN13" s="314" t="s">
        <v>203</v>
      </c>
      <c r="VUO13" s="314" t="s">
        <v>203</v>
      </c>
      <c r="VUP13" s="314" t="s">
        <v>203</v>
      </c>
      <c r="VUQ13" s="314" t="s">
        <v>203</v>
      </c>
      <c r="VUR13" s="314" t="s">
        <v>203</v>
      </c>
      <c r="VUS13" s="314" t="s">
        <v>203</v>
      </c>
      <c r="VUT13" s="314" t="s">
        <v>203</v>
      </c>
      <c r="VUU13" s="314" t="s">
        <v>203</v>
      </c>
      <c r="VUV13" s="314" t="s">
        <v>203</v>
      </c>
      <c r="VUW13" s="314" t="s">
        <v>203</v>
      </c>
      <c r="VUX13" s="314" t="s">
        <v>203</v>
      </c>
      <c r="VUY13" s="314" t="s">
        <v>203</v>
      </c>
      <c r="VUZ13" s="314" t="s">
        <v>203</v>
      </c>
      <c r="VVA13" s="314" t="s">
        <v>203</v>
      </c>
      <c r="VVB13" s="314" t="s">
        <v>203</v>
      </c>
      <c r="VVC13" s="314" t="s">
        <v>203</v>
      </c>
      <c r="VVD13" s="314" t="s">
        <v>203</v>
      </c>
      <c r="VVE13" s="314" t="s">
        <v>203</v>
      </c>
      <c r="VVF13" s="314" t="s">
        <v>203</v>
      </c>
      <c r="VVG13" s="314" t="s">
        <v>203</v>
      </c>
      <c r="VVH13" s="314" t="s">
        <v>203</v>
      </c>
      <c r="VVI13" s="314" t="s">
        <v>203</v>
      </c>
      <c r="VVJ13" s="314" t="s">
        <v>203</v>
      </c>
      <c r="VVK13" s="314" t="s">
        <v>203</v>
      </c>
      <c r="VVL13" s="314" t="s">
        <v>203</v>
      </c>
      <c r="VVM13" s="314" t="s">
        <v>203</v>
      </c>
      <c r="VVN13" s="314" t="s">
        <v>203</v>
      </c>
      <c r="VVO13" s="314" t="s">
        <v>203</v>
      </c>
      <c r="VVP13" s="314" t="s">
        <v>203</v>
      </c>
      <c r="VVQ13" s="314" t="s">
        <v>203</v>
      </c>
      <c r="VVR13" s="314" t="s">
        <v>203</v>
      </c>
      <c r="VVS13" s="314" t="s">
        <v>203</v>
      </c>
      <c r="VVT13" s="314" t="s">
        <v>203</v>
      </c>
      <c r="VVU13" s="314" t="s">
        <v>203</v>
      </c>
      <c r="VVV13" s="314" t="s">
        <v>203</v>
      </c>
      <c r="VVW13" s="314" t="s">
        <v>203</v>
      </c>
      <c r="VVX13" s="314" t="s">
        <v>203</v>
      </c>
      <c r="VVY13" s="314" t="s">
        <v>203</v>
      </c>
      <c r="VVZ13" s="314" t="s">
        <v>203</v>
      </c>
      <c r="VWA13" s="314" t="s">
        <v>203</v>
      </c>
      <c r="VWB13" s="314" t="s">
        <v>203</v>
      </c>
      <c r="VWC13" s="314" t="s">
        <v>203</v>
      </c>
      <c r="VWD13" s="314" t="s">
        <v>203</v>
      </c>
      <c r="VWE13" s="314" t="s">
        <v>203</v>
      </c>
      <c r="VWF13" s="314" t="s">
        <v>203</v>
      </c>
      <c r="VWG13" s="314" t="s">
        <v>203</v>
      </c>
      <c r="VWH13" s="314" t="s">
        <v>203</v>
      </c>
      <c r="VWI13" s="314" t="s">
        <v>203</v>
      </c>
      <c r="VWJ13" s="314" t="s">
        <v>203</v>
      </c>
      <c r="VWK13" s="314" t="s">
        <v>203</v>
      </c>
      <c r="VWL13" s="314" t="s">
        <v>203</v>
      </c>
      <c r="VWM13" s="314" t="s">
        <v>203</v>
      </c>
      <c r="VWN13" s="314" t="s">
        <v>203</v>
      </c>
      <c r="VWO13" s="314" t="s">
        <v>203</v>
      </c>
      <c r="VWP13" s="314" t="s">
        <v>203</v>
      </c>
      <c r="VWQ13" s="314" t="s">
        <v>203</v>
      </c>
      <c r="VWR13" s="314" t="s">
        <v>203</v>
      </c>
      <c r="VWS13" s="314" t="s">
        <v>203</v>
      </c>
      <c r="VWT13" s="314" t="s">
        <v>203</v>
      </c>
      <c r="VWU13" s="314" t="s">
        <v>203</v>
      </c>
      <c r="VWV13" s="314" t="s">
        <v>203</v>
      </c>
      <c r="VWW13" s="314" t="s">
        <v>203</v>
      </c>
      <c r="VWX13" s="314" t="s">
        <v>203</v>
      </c>
      <c r="VWY13" s="314" t="s">
        <v>203</v>
      </c>
      <c r="VWZ13" s="314" t="s">
        <v>203</v>
      </c>
      <c r="VXA13" s="314" t="s">
        <v>203</v>
      </c>
      <c r="VXB13" s="314" t="s">
        <v>203</v>
      </c>
      <c r="VXC13" s="314" t="s">
        <v>203</v>
      </c>
      <c r="VXD13" s="314" t="s">
        <v>203</v>
      </c>
      <c r="VXE13" s="314" t="s">
        <v>203</v>
      </c>
      <c r="VXF13" s="314" t="s">
        <v>203</v>
      </c>
      <c r="VXG13" s="314" t="s">
        <v>203</v>
      </c>
      <c r="VXH13" s="314" t="s">
        <v>203</v>
      </c>
      <c r="VXI13" s="314" t="s">
        <v>203</v>
      </c>
      <c r="VXJ13" s="314" t="s">
        <v>203</v>
      </c>
      <c r="VXK13" s="314" t="s">
        <v>203</v>
      </c>
      <c r="VXL13" s="314" t="s">
        <v>203</v>
      </c>
      <c r="VXM13" s="314" t="s">
        <v>203</v>
      </c>
      <c r="VXN13" s="314" t="s">
        <v>203</v>
      </c>
      <c r="VXO13" s="314" t="s">
        <v>203</v>
      </c>
      <c r="VXP13" s="314" t="s">
        <v>203</v>
      </c>
      <c r="VXQ13" s="314" t="s">
        <v>203</v>
      </c>
      <c r="VXR13" s="314" t="s">
        <v>203</v>
      </c>
      <c r="VXS13" s="314" t="s">
        <v>203</v>
      </c>
      <c r="VXT13" s="314" t="s">
        <v>203</v>
      </c>
      <c r="VXU13" s="314" t="s">
        <v>203</v>
      </c>
      <c r="VXV13" s="314" t="s">
        <v>203</v>
      </c>
      <c r="VXW13" s="314" t="s">
        <v>203</v>
      </c>
      <c r="VXX13" s="314" t="s">
        <v>203</v>
      </c>
      <c r="VXY13" s="314" t="s">
        <v>203</v>
      </c>
      <c r="VXZ13" s="314" t="s">
        <v>203</v>
      </c>
      <c r="VYA13" s="314" t="s">
        <v>203</v>
      </c>
      <c r="VYB13" s="314" t="s">
        <v>203</v>
      </c>
      <c r="VYC13" s="314" t="s">
        <v>203</v>
      </c>
      <c r="VYD13" s="314" t="s">
        <v>203</v>
      </c>
      <c r="VYE13" s="314" t="s">
        <v>203</v>
      </c>
      <c r="VYF13" s="314" t="s">
        <v>203</v>
      </c>
      <c r="VYG13" s="314" t="s">
        <v>203</v>
      </c>
      <c r="VYH13" s="314" t="s">
        <v>203</v>
      </c>
      <c r="VYI13" s="314" t="s">
        <v>203</v>
      </c>
      <c r="VYJ13" s="314" t="s">
        <v>203</v>
      </c>
      <c r="VYK13" s="314" t="s">
        <v>203</v>
      </c>
      <c r="VYL13" s="314" t="s">
        <v>203</v>
      </c>
      <c r="VYM13" s="314" t="s">
        <v>203</v>
      </c>
      <c r="VYN13" s="314" t="s">
        <v>203</v>
      </c>
      <c r="VYO13" s="314" t="s">
        <v>203</v>
      </c>
      <c r="VYP13" s="314" t="s">
        <v>203</v>
      </c>
      <c r="VYQ13" s="314" t="s">
        <v>203</v>
      </c>
      <c r="VYR13" s="314" t="s">
        <v>203</v>
      </c>
      <c r="VYS13" s="314" t="s">
        <v>203</v>
      </c>
      <c r="VYT13" s="314" t="s">
        <v>203</v>
      </c>
      <c r="VYU13" s="314" t="s">
        <v>203</v>
      </c>
      <c r="VYV13" s="314" t="s">
        <v>203</v>
      </c>
      <c r="VYW13" s="314" t="s">
        <v>203</v>
      </c>
      <c r="VYX13" s="314" t="s">
        <v>203</v>
      </c>
      <c r="VYY13" s="314" t="s">
        <v>203</v>
      </c>
      <c r="VYZ13" s="314" t="s">
        <v>203</v>
      </c>
      <c r="VZA13" s="314" t="s">
        <v>203</v>
      </c>
      <c r="VZB13" s="314" t="s">
        <v>203</v>
      </c>
      <c r="VZC13" s="314" t="s">
        <v>203</v>
      </c>
      <c r="VZD13" s="314" t="s">
        <v>203</v>
      </c>
      <c r="VZE13" s="314" t="s">
        <v>203</v>
      </c>
      <c r="VZF13" s="314" t="s">
        <v>203</v>
      </c>
      <c r="VZG13" s="314" t="s">
        <v>203</v>
      </c>
      <c r="VZH13" s="314" t="s">
        <v>203</v>
      </c>
      <c r="VZI13" s="314" t="s">
        <v>203</v>
      </c>
      <c r="VZJ13" s="314" t="s">
        <v>203</v>
      </c>
      <c r="VZK13" s="314" t="s">
        <v>203</v>
      </c>
      <c r="VZL13" s="314" t="s">
        <v>203</v>
      </c>
      <c r="VZM13" s="314" t="s">
        <v>203</v>
      </c>
      <c r="VZN13" s="314" t="s">
        <v>203</v>
      </c>
      <c r="VZO13" s="314" t="s">
        <v>203</v>
      </c>
      <c r="VZP13" s="314" t="s">
        <v>203</v>
      </c>
      <c r="VZQ13" s="314" t="s">
        <v>203</v>
      </c>
      <c r="VZR13" s="314" t="s">
        <v>203</v>
      </c>
      <c r="VZS13" s="314" t="s">
        <v>203</v>
      </c>
      <c r="VZT13" s="314" t="s">
        <v>203</v>
      </c>
      <c r="VZU13" s="314" t="s">
        <v>203</v>
      </c>
      <c r="VZV13" s="314" t="s">
        <v>203</v>
      </c>
      <c r="VZW13" s="314" t="s">
        <v>203</v>
      </c>
      <c r="VZX13" s="314" t="s">
        <v>203</v>
      </c>
      <c r="VZY13" s="314" t="s">
        <v>203</v>
      </c>
      <c r="VZZ13" s="314" t="s">
        <v>203</v>
      </c>
      <c r="WAA13" s="314" t="s">
        <v>203</v>
      </c>
      <c r="WAB13" s="314" t="s">
        <v>203</v>
      </c>
      <c r="WAC13" s="314" t="s">
        <v>203</v>
      </c>
      <c r="WAD13" s="314" t="s">
        <v>203</v>
      </c>
      <c r="WAE13" s="314" t="s">
        <v>203</v>
      </c>
      <c r="WAF13" s="314" t="s">
        <v>203</v>
      </c>
      <c r="WAG13" s="314" t="s">
        <v>203</v>
      </c>
      <c r="WAH13" s="314" t="s">
        <v>203</v>
      </c>
      <c r="WAI13" s="314" t="s">
        <v>203</v>
      </c>
      <c r="WAJ13" s="314" t="s">
        <v>203</v>
      </c>
      <c r="WAK13" s="314" t="s">
        <v>203</v>
      </c>
      <c r="WAL13" s="314" t="s">
        <v>203</v>
      </c>
      <c r="WAM13" s="314" t="s">
        <v>203</v>
      </c>
      <c r="WAN13" s="314" t="s">
        <v>203</v>
      </c>
      <c r="WAO13" s="314" t="s">
        <v>203</v>
      </c>
      <c r="WAP13" s="314" t="s">
        <v>203</v>
      </c>
      <c r="WAQ13" s="314" t="s">
        <v>203</v>
      </c>
      <c r="WAR13" s="314" t="s">
        <v>203</v>
      </c>
      <c r="WAS13" s="314" t="s">
        <v>203</v>
      </c>
      <c r="WAT13" s="314" t="s">
        <v>203</v>
      </c>
      <c r="WAU13" s="314" t="s">
        <v>203</v>
      </c>
      <c r="WAV13" s="314" t="s">
        <v>203</v>
      </c>
      <c r="WAW13" s="314" t="s">
        <v>203</v>
      </c>
      <c r="WAX13" s="314" t="s">
        <v>203</v>
      </c>
      <c r="WAY13" s="314" t="s">
        <v>203</v>
      </c>
      <c r="WAZ13" s="314" t="s">
        <v>203</v>
      </c>
      <c r="WBA13" s="314" t="s">
        <v>203</v>
      </c>
      <c r="WBB13" s="314" t="s">
        <v>203</v>
      </c>
      <c r="WBC13" s="314" t="s">
        <v>203</v>
      </c>
      <c r="WBD13" s="314" t="s">
        <v>203</v>
      </c>
      <c r="WBE13" s="314" t="s">
        <v>203</v>
      </c>
      <c r="WBF13" s="314" t="s">
        <v>203</v>
      </c>
      <c r="WBG13" s="314" t="s">
        <v>203</v>
      </c>
      <c r="WBH13" s="314" t="s">
        <v>203</v>
      </c>
      <c r="WBI13" s="314" t="s">
        <v>203</v>
      </c>
      <c r="WBJ13" s="314" t="s">
        <v>203</v>
      </c>
      <c r="WBK13" s="314" t="s">
        <v>203</v>
      </c>
      <c r="WBL13" s="314" t="s">
        <v>203</v>
      </c>
      <c r="WBM13" s="314" t="s">
        <v>203</v>
      </c>
      <c r="WBN13" s="314" t="s">
        <v>203</v>
      </c>
      <c r="WBO13" s="314" t="s">
        <v>203</v>
      </c>
      <c r="WBP13" s="314" t="s">
        <v>203</v>
      </c>
      <c r="WBQ13" s="314" t="s">
        <v>203</v>
      </c>
      <c r="WBR13" s="314" t="s">
        <v>203</v>
      </c>
      <c r="WBS13" s="314" t="s">
        <v>203</v>
      </c>
      <c r="WBT13" s="314" t="s">
        <v>203</v>
      </c>
      <c r="WBU13" s="314" t="s">
        <v>203</v>
      </c>
      <c r="WBV13" s="314" t="s">
        <v>203</v>
      </c>
      <c r="WBW13" s="314" t="s">
        <v>203</v>
      </c>
      <c r="WBX13" s="314" t="s">
        <v>203</v>
      </c>
      <c r="WBY13" s="314" t="s">
        <v>203</v>
      </c>
      <c r="WBZ13" s="314" t="s">
        <v>203</v>
      </c>
      <c r="WCA13" s="314" t="s">
        <v>203</v>
      </c>
      <c r="WCB13" s="314" t="s">
        <v>203</v>
      </c>
      <c r="WCC13" s="314" t="s">
        <v>203</v>
      </c>
      <c r="WCD13" s="314" t="s">
        <v>203</v>
      </c>
      <c r="WCE13" s="314" t="s">
        <v>203</v>
      </c>
      <c r="WCF13" s="314" t="s">
        <v>203</v>
      </c>
      <c r="WCG13" s="314" t="s">
        <v>203</v>
      </c>
      <c r="WCH13" s="314" t="s">
        <v>203</v>
      </c>
      <c r="WCI13" s="314" t="s">
        <v>203</v>
      </c>
      <c r="WCJ13" s="314" t="s">
        <v>203</v>
      </c>
      <c r="WCK13" s="314" t="s">
        <v>203</v>
      </c>
      <c r="WCL13" s="314" t="s">
        <v>203</v>
      </c>
      <c r="WCM13" s="314" t="s">
        <v>203</v>
      </c>
      <c r="WCN13" s="314" t="s">
        <v>203</v>
      </c>
      <c r="WCO13" s="314" t="s">
        <v>203</v>
      </c>
      <c r="WCP13" s="314" t="s">
        <v>203</v>
      </c>
      <c r="WCQ13" s="314" t="s">
        <v>203</v>
      </c>
      <c r="WCR13" s="314" t="s">
        <v>203</v>
      </c>
      <c r="WCS13" s="314" t="s">
        <v>203</v>
      </c>
      <c r="WCT13" s="314" t="s">
        <v>203</v>
      </c>
      <c r="WCU13" s="314" t="s">
        <v>203</v>
      </c>
      <c r="WCV13" s="314" t="s">
        <v>203</v>
      </c>
      <c r="WCW13" s="314" t="s">
        <v>203</v>
      </c>
      <c r="WCX13" s="314" t="s">
        <v>203</v>
      </c>
      <c r="WCY13" s="314" t="s">
        <v>203</v>
      </c>
      <c r="WCZ13" s="314" t="s">
        <v>203</v>
      </c>
      <c r="WDA13" s="314" t="s">
        <v>203</v>
      </c>
      <c r="WDB13" s="314" t="s">
        <v>203</v>
      </c>
      <c r="WDC13" s="314" t="s">
        <v>203</v>
      </c>
      <c r="WDD13" s="314" t="s">
        <v>203</v>
      </c>
      <c r="WDE13" s="314" t="s">
        <v>203</v>
      </c>
      <c r="WDF13" s="314" t="s">
        <v>203</v>
      </c>
      <c r="WDG13" s="314" t="s">
        <v>203</v>
      </c>
      <c r="WDH13" s="314" t="s">
        <v>203</v>
      </c>
      <c r="WDI13" s="314" t="s">
        <v>203</v>
      </c>
      <c r="WDJ13" s="314" t="s">
        <v>203</v>
      </c>
      <c r="WDK13" s="314" t="s">
        <v>203</v>
      </c>
      <c r="WDL13" s="314" t="s">
        <v>203</v>
      </c>
      <c r="WDM13" s="314" t="s">
        <v>203</v>
      </c>
      <c r="WDN13" s="314" t="s">
        <v>203</v>
      </c>
      <c r="WDO13" s="314" t="s">
        <v>203</v>
      </c>
      <c r="WDP13" s="314" t="s">
        <v>203</v>
      </c>
      <c r="WDQ13" s="314" t="s">
        <v>203</v>
      </c>
      <c r="WDR13" s="314" t="s">
        <v>203</v>
      </c>
      <c r="WDS13" s="314" t="s">
        <v>203</v>
      </c>
      <c r="WDT13" s="314" t="s">
        <v>203</v>
      </c>
      <c r="WDU13" s="314" t="s">
        <v>203</v>
      </c>
      <c r="WDV13" s="314" t="s">
        <v>203</v>
      </c>
      <c r="WDW13" s="314" t="s">
        <v>203</v>
      </c>
      <c r="WDX13" s="314" t="s">
        <v>203</v>
      </c>
      <c r="WDY13" s="314" t="s">
        <v>203</v>
      </c>
      <c r="WDZ13" s="314" t="s">
        <v>203</v>
      </c>
      <c r="WEA13" s="314" t="s">
        <v>203</v>
      </c>
      <c r="WEB13" s="314" t="s">
        <v>203</v>
      </c>
      <c r="WEC13" s="314" t="s">
        <v>203</v>
      </c>
      <c r="WED13" s="314" t="s">
        <v>203</v>
      </c>
      <c r="WEE13" s="314" t="s">
        <v>203</v>
      </c>
      <c r="WEF13" s="314" t="s">
        <v>203</v>
      </c>
      <c r="WEG13" s="314" t="s">
        <v>203</v>
      </c>
      <c r="WEH13" s="314" t="s">
        <v>203</v>
      </c>
      <c r="WEI13" s="314" t="s">
        <v>203</v>
      </c>
      <c r="WEJ13" s="314" t="s">
        <v>203</v>
      </c>
      <c r="WEK13" s="314" t="s">
        <v>203</v>
      </c>
      <c r="WEL13" s="314" t="s">
        <v>203</v>
      </c>
      <c r="WEM13" s="314" t="s">
        <v>203</v>
      </c>
      <c r="WEN13" s="314" t="s">
        <v>203</v>
      </c>
      <c r="WEO13" s="314" t="s">
        <v>203</v>
      </c>
      <c r="WEP13" s="314" t="s">
        <v>203</v>
      </c>
      <c r="WEQ13" s="314" t="s">
        <v>203</v>
      </c>
      <c r="WER13" s="314" t="s">
        <v>203</v>
      </c>
      <c r="WES13" s="314" t="s">
        <v>203</v>
      </c>
      <c r="WET13" s="314" t="s">
        <v>203</v>
      </c>
      <c r="WEU13" s="314" t="s">
        <v>203</v>
      </c>
      <c r="WEV13" s="314" t="s">
        <v>203</v>
      </c>
      <c r="WEW13" s="314" t="s">
        <v>203</v>
      </c>
      <c r="WEX13" s="314" t="s">
        <v>203</v>
      </c>
      <c r="WEY13" s="314" t="s">
        <v>203</v>
      </c>
      <c r="WEZ13" s="314" t="s">
        <v>203</v>
      </c>
      <c r="WFA13" s="314" t="s">
        <v>203</v>
      </c>
      <c r="WFB13" s="314" t="s">
        <v>203</v>
      </c>
      <c r="WFC13" s="314" t="s">
        <v>203</v>
      </c>
      <c r="WFD13" s="314" t="s">
        <v>203</v>
      </c>
      <c r="WFE13" s="314" t="s">
        <v>203</v>
      </c>
      <c r="WFF13" s="314" t="s">
        <v>203</v>
      </c>
      <c r="WFG13" s="314" t="s">
        <v>203</v>
      </c>
      <c r="WFH13" s="314" t="s">
        <v>203</v>
      </c>
      <c r="WFI13" s="314" t="s">
        <v>203</v>
      </c>
      <c r="WFJ13" s="314" t="s">
        <v>203</v>
      </c>
      <c r="WFK13" s="314" t="s">
        <v>203</v>
      </c>
      <c r="WFL13" s="314" t="s">
        <v>203</v>
      </c>
      <c r="WFM13" s="314" t="s">
        <v>203</v>
      </c>
      <c r="WFN13" s="314" t="s">
        <v>203</v>
      </c>
      <c r="WFO13" s="314" t="s">
        <v>203</v>
      </c>
      <c r="WFP13" s="314" t="s">
        <v>203</v>
      </c>
      <c r="WFQ13" s="314" t="s">
        <v>203</v>
      </c>
      <c r="WFR13" s="314" t="s">
        <v>203</v>
      </c>
      <c r="WFS13" s="314" t="s">
        <v>203</v>
      </c>
      <c r="WFT13" s="314" t="s">
        <v>203</v>
      </c>
      <c r="WFU13" s="314" t="s">
        <v>203</v>
      </c>
      <c r="WFV13" s="314" t="s">
        <v>203</v>
      </c>
      <c r="WFW13" s="314" t="s">
        <v>203</v>
      </c>
      <c r="WFX13" s="314" t="s">
        <v>203</v>
      </c>
      <c r="WFY13" s="314" t="s">
        <v>203</v>
      </c>
      <c r="WFZ13" s="314" t="s">
        <v>203</v>
      </c>
      <c r="WGA13" s="314" t="s">
        <v>203</v>
      </c>
      <c r="WGB13" s="314" t="s">
        <v>203</v>
      </c>
      <c r="WGC13" s="314" t="s">
        <v>203</v>
      </c>
      <c r="WGD13" s="314" t="s">
        <v>203</v>
      </c>
      <c r="WGE13" s="314" t="s">
        <v>203</v>
      </c>
      <c r="WGF13" s="314" t="s">
        <v>203</v>
      </c>
      <c r="WGG13" s="314" t="s">
        <v>203</v>
      </c>
      <c r="WGH13" s="314" t="s">
        <v>203</v>
      </c>
      <c r="WGI13" s="314" t="s">
        <v>203</v>
      </c>
      <c r="WGJ13" s="314" t="s">
        <v>203</v>
      </c>
      <c r="WGK13" s="314" t="s">
        <v>203</v>
      </c>
      <c r="WGL13" s="314" t="s">
        <v>203</v>
      </c>
      <c r="WGM13" s="314" t="s">
        <v>203</v>
      </c>
      <c r="WGN13" s="314" t="s">
        <v>203</v>
      </c>
      <c r="WGO13" s="314" t="s">
        <v>203</v>
      </c>
      <c r="WGP13" s="314" t="s">
        <v>203</v>
      </c>
      <c r="WGQ13" s="314" t="s">
        <v>203</v>
      </c>
      <c r="WGR13" s="314" t="s">
        <v>203</v>
      </c>
      <c r="WGS13" s="314" t="s">
        <v>203</v>
      </c>
      <c r="WGT13" s="314" t="s">
        <v>203</v>
      </c>
      <c r="WGU13" s="314" t="s">
        <v>203</v>
      </c>
      <c r="WGV13" s="314" t="s">
        <v>203</v>
      </c>
      <c r="WGW13" s="314" t="s">
        <v>203</v>
      </c>
      <c r="WGX13" s="314" t="s">
        <v>203</v>
      </c>
      <c r="WGY13" s="314" t="s">
        <v>203</v>
      </c>
      <c r="WGZ13" s="314" t="s">
        <v>203</v>
      </c>
      <c r="WHA13" s="314" t="s">
        <v>203</v>
      </c>
      <c r="WHB13" s="314" t="s">
        <v>203</v>
      </c>
      <c r="WHC13" s="314" t="s">
        <v>203</v>
      </c>
      <c r="WHD13" s="314" t="s">
        <v>203</v>
      </c>
      <c r="WHE13" s="314" t="s">
        <v>203</v>
      </c>
      <c r="WHF13" s="314" t="s">
        <v>203</v>
      </c>
      <c r="WHG13" s="314" t="s">
        <v>203</v>
      </c>
      <c r="WHH13" s="314" t="s">
        <v>203</v>
      </c>
      <c r="WHI13" s="314" t="s">
        <v>203</v>
      </c>
      <c r="WHJ13" s="314" t="s">
        <v>203</v>
      </c>
      <c r="WHK13" s="314" t="s">
        <v>203</v>
      </c>
      <c r="WHL13" s="314" t="s">
        <v>203</v>
      </c>
      <c r="WHM13" s="314" t="s">
        <v>203</v>
      </c>
      <c r="WHN13" s="314" t="s">
        <v>203</v>
      </c>
      <c r="WHO13" s="314" t="s">
        <v>203</v>
      </c>
      <c r="WHP13" s="314" t="s">
        <v>203</v>
      </c>
      <c r="WHQ13" s="314" t="s">
        <v>203</v>
      </c>
      <c r="WHR13" s="314" t="s">
        <v>203</v>
      </c>
      <c r="WHS13" s="314" t="s">
        <v>203</v>
      </c>
      <c r="WHT13" s="314" t="s">
        <v>203</v>
      </c>
      <c r="WHU13" s="314" t="s">
        <v>203</v>
      </c>
      <c r="WHV13" s="314" t="s">
        <v>203</v>
      </c>
      <c r="WHW13" s="314" t="s">
        <v>203</v>
      </c>
      <c r="WHX13" s="314" t="s">
        <v>203</v>
      </c>
      <c r="WHY13" s="314" t="s">
        <v>203</v>
      </c>
      <c r="WHZ13" s="314" t="s">
        <v>203</v>
      </c>
      <c r="WIA13" s="314" t="s">
        <v>203</v>
      </c>
      <c r="WIB13" s="314" t="s">
        <v>203</v>
      </c>
      <c r="WIC13" s="314" t="s">
        <v>203</v>
      </c>
      <c r="WID13" s="314" t="s">
        <v>203</v>
      </c>
      <c r="WIE13" s="314" t="s">
        <v>203</v>
      </c>
      <c r="WIF13" s="314" t="s">
        <v>203</v>
      </c>
      <c r="WIG13" s="314" t="s">
        <v>203</v>
      </c>
      <c r="WIH13" s="314" t="s">
        <v>203</v>
      </c>
      <c r="WII13" s="314" t="s">
        <v>203</v>
      </c>
      <c r="WIJ13" s="314" t="s">
        <v>203</v>
      </c>
      <c r="WIK13" s="314" t="s">
        <v>203</v>
      </c>
      <c r="WIL13" s="314" t="s">
        <v>203</v>
      </c>
      <c r="WIM13" s="314" t="s">
        <v>203</v>
      </c>
      <c r="WIN13" s="314" t="s">
        <v>203</v>
      </c>
      <c r="WIO13" s="314" t="s">
        <v>203</v>
      </c>
      <c r="WIP13" s="314" t="s">
        <v>203</v>
      </c>
      <c r="WIQ13" s="314" t="s">
        <v>203</v>
      </c>
      <c r="WIR13" s="314" t="s">
        <v>203</v>
      </c>
      <c r="WIS13" s="314" t="s">
        <v>203</v>
      </c>
      <c r="WIT13" s="314" t="s">
        <v>203</v>
      </c>
      <c r="WIU13" s="314" t="s">
        <v>203</v>
      </c>
      <c r="WIV13" s="314" t="s">
        <v>203</v>
      </c>
      <c r="WIW13" s="314" t="s">
        <v>203</v>
      </c>
      <c r="WIX13" s="314" t="s">
        <v>203</v>
      </c>
      <c r="WIY13" s="314" t="s">
        <v>203</v>
      </c>
      <c r="WIZ13" s="314" t="s">
        <v>203</v>
      </c>
      <c r="WJA13" s="314" t="s">
        <v>203</v>
      </c>
      <c r="WJB13" s="314" t="s">
        <v>203</v>
      </c>
      <c r="WJC13" s="314" t="s">
        <v>203</v>
      </c>
      <c r="WJD13" s="314" t="s">
        <v>203</v>
      </c>
      <c r="WJE13" s="314" t="s">
        <v>203</v>
      </c>
      <c r="WJF13" s="314" t="s">
        <v>203</v>
      </c>
      <c r="WJG13" s="314" t="s">
        <v>203</v>
      </c>
      <c r="WJH13" s="314" t="s">
        <v>203</v>
      </c>
      <c r="WJI13" s="314" t="s">
        <v>203</v>
      </c>
      <c r="WJJ13" s="314" t="s">
        <v>203</v>
      </c>
      <c r="WJK13" s="314" t="s">
        <v>203</v>
      </c>
      <c r="WJL13" s="314" t="s">
        <v>203</v>
      </c>
      <c r="WJM13" s="314" t="s">
        <v>203</v>
      </c>
      <c r="WJN13" s="314" t="s">
        <v>203</v>
      </c>
      <c r="WJO13" s="314" t="s">
        <v>203</v>
      </c>
      <c r="WJP13" s="314" t="s">
        <v>203</v>
      </c>
      <c r="WJQ13" s="314" t="s">
        <v>203</v>
      </c>
      <c r="WJR13" s="314" t="s">
        <v>203</v>
      </c>
      <c r="WJS13" s="314" t="s">
        <v>203</v>
      </c>
      <c r="WJT13" s="314" t="s">
        <v>203</v>
      </c>
      <c r="WJU13" s="314" t="s">
        <v>203</v>
      </c>
      <c r="WJV13" s="314" t="s">
        <v>203</v>
      </c>
      <c r="WJW13" s="314" t="s">
        <v>203</v>
      </c>
      <c r="WJX13" s="314" t="s">
        <v>203</v>
      </c>
      <c r="WJY13" s="314" t="s">
        <v>203</v>
      </c>
      <c r="WJZ13" s="314" t="s">
        <v>203</v>
      </c>
      <c r="WKA13" s="314" t="s">
        <v>203</v>
      </c>
      <c r="WKB13" s="314" t="s">
        <v>203</v>
      </c>
      <c r="WKC13" s="314" t="s">
        <v>203</v>
      </c>
      <c r="WKD13" s="314" t="s">
        <v>203</v>
      </c>
      <c r="WKE13" s="314" t="s">
        <v>203</v>
      </c>
      <c r="WKF13" s="314" t="s">
        <v>203</v>
      </c>
      <c r="WKG13" s="314" t="s">
        <v>203</v>
      </c>
      <c r="WKH13" s="314" t="s">
        <v>203</v>
      </c>
      <c r="WKI13" s="314" t="s">
        <v>203</v>
      </c>
      <c r="WKJ13" s="314" t="s">
        <v>203</v>
      </c>
      <c r="WKK13" s="314" t="s">
        <v>203</v>
      </c>
      <c r="WKL13" s="314" t="s">
        <v>203</v>
      </c>
      <c r="WKM13" s="314" t="s">
        <v>203</v>
      </c>
      <c r="WKN13" s="314" t="s">
        <v>203</v>
      </c>
      <c r="WKO13" s="314" t="s">
        <v>203</v>
      </c>
      <c r="WKP13" s="314" t="s">
        <v>203</v>
      </c>
      <c r="WKQ13" s="314" t="s">
        <v>203</v>
      </c>
      <c r="WKR13" s="314" t="s">
        <v>203</v>
      </c>
      <c r="WKS13" s="314" t="s">
        <v>203</v>
      </c>
      <c r="WKT13" s="314" t="s">
        <v>203</v>
      </c>
      <c r="WKU13" s="314" t="s">
        <v>203</v>
      </c>
      <c r="WKV13" s="314" t="s">
        <v>203</v>
      </c>
      <c r="WKW13" s="314" t="s">
        <v>203</v>
      </c>
      <c r="WKX13" s="314" t="s">
        <v>203</v>
      </c>
      <c r="WKY13" s="314" t="s">
        <v>203</v>
      </c>
      <c r="WKZ13" s="314" t="s">
        <v>203</v>
      </c>
      <c r="WLA13" s="314" t="s">
        <v>203</v>
      </c>
      <c r="WLB13" s="314" t="s">
        <v>203</v>
      </c>
      <c r="WLC13" s="314" t="s">
        <v>203</v>
      </c>
      <c r="WLD13" s="314" t="s">
        <v>203</v>
      </c>
      <c r="WLE13" s="314" t="s">
        <v>203</v>
      </c>
      <c r="WLF13" s="314" t="s">
        <v>203</v>
      </c>
      <c r="WLG13" s="314" t="s">
        <v>203</v>
      </c>
      <c r="WLH13" s="314" t="s">
        <v>203</v>
      </c>
      <c r="WLI13" s="314" t="s">
        <v>203</v>
      </c>
      <c r="WLJ13" s="314" t="s">
        <v>203</v>
      </c>
      <c r="WLK13" s="314" t="s">
        <v>203</v>
      </c>
      <c r="WLL13" s="314" t="s">
        <v>203</v>
      </c>
      <c r="WLM13" s="314" t="s">
        <v>203</v>
      </c>
      <c r="WLN13" s="314" t="s">
        <v>203</v>
      </c>
      <c r="WLO13" s="314" t="s">
        <v>203</v>
      </c>
      <c r="WLP13" s="314" t="s">
        <v>203</v>
      </c>
      <c r="WLQ13" s="314" t="s">
        <v>203</v>
      </c>
      <c r="WLR13" s="314" t="s">
        <v>203</v>
      </c>
      <c r="WLS13" s="314" t="s">
        <v>203</v>
      </c>
      <c r="WLT13" s="314" t="s">
        <v>203</v>
      </c>
      <c r="WLU13" s="314" t="s">
        <v>203</v>
      </c>
      <c r="WLV13" s="314" t="s">
        <v>203</v>
      </c>
      <c r="WLW13" s="314" t="s">
        <v>203</v>
      </c>
      <c r="WLX13" s="314" t="s">
        <v>203</v>
      </c>
      <c r="WLY13" s="314" t="s">
        <v>203</v>
      </c>
      <c r="WLZ13" s="314" t="s">
        <v>203</v>
      </c>
      <c r="WMA13" s="314" t="s">
        <v>203</v>
      </c>
      <c r="WMB13" s="314" t="s">
        <v>203</v>
      </c>
      <c r="WMC13" s="314" t="s">
        <v>203</v>
      </c>
      <c r="WMD13" s="314" t="s">
        <v>203</v>
      </c>
      <c r="WME13" s="314" t="s">
        <v>203</v>
      </c>
      <c r="WMF13" s="314" t="s">
        <v>203</v>
      </c>
      <c r="WMG13" s="314" t="s">
        <v>203</v>
      </c>
      <c r="WMH13" s="314" t="s">
        <v>203</v>
      </c>
      <c r="WMI13" s="314" t="s">
        <v>203</v>
      </c>
      <c r="WMJ13" s="314" t="s">
        <v>203</v>
      </c>
      <c r="WMK13" s="314" t="s">
        <v>203</v>
      </c>
      <c r="WML13" s="314" t="s">
        <v>203</v>
      </c>
      <c r="WMM13" s="314" t="s">
        <v>203</v>
      </c>
      <c r="WMN13" s="314" t="s">
        <v>203</v>
      </c>
      <c r="WMO13" s="314" t="s">
        <v>203</v>
      </c>
      <c r="WMP13" s="314" t="s">
        <v>203</v>
      </c>
      <c r="WMQ13" s="314" t="s">
        <v>203</v>
      </c>
      <c r="WMR13" s="314" t="s">
        <v>203</v>
      </c>
      <c r="WMS13" s="314" t="s">
        <v>203</v>
      </c>
      <c r="WMT13" s="314" t="s">
        <v>203</v>
      </c>
      <c r="WMU13" s="314" t="s">
        <v>203</v>
      </c>
      <c r="WMV13" s="314" t="s">
        <v>203</v>
      </c>
      <c r="WMW13" s="314" t="s">
        <v>203</v>
      </c>
      <c r="WMX13" s="314" t="s">
        <v>203</v>
      </c>
      <c r="WMY13" s="314" t="s">
        <v>203</v>
      </c>
      <c r="WMZ13" s="314" t="s">
        <v>203</v>
      </c>
      <c r="WNA13" s="314" t="s">
        <v>203</v>
      </c>
      <c r="WNB13" s="314" t="s">
        <v>203</v>
      </c>
      <c r="WNC13" s="314" t="s">
        <v>203</v>
      </c>
      <c r="WND13" s="314" t="s">
        <v>203</v>
      </c>
      <c r="WNE13" s="314" t="s">
        <v>203</v>
      </c>
      <c r="WNF13" s="314" t="s">
        <v>203</v>
      </c>
      <c r="WNG13" s="314" t="s">
        <v>203</v>
      </c>
      <c r="WNH13" s="314" t="s">
        <v>203</v>
      </c>
      <c r="WNI13" s="314" t="s">
        <v>203</v>
      </c>
      <c r="WNJ13" s="314" t="s">
        <v>203</v>
      </c>
      <c r="WNK13" s="314" t="s">
        <v>203</v>
      </c>
      <c r="WNL13" s="314" t="s">
        <v>203</v>
      </c>
      <c r="WNM13" s="314" t="s">
        <v>203</v>
      </c>
      <c r="WNN13" s="314" t="s">
        <v>203</v>
      </c>
      <c r="WNO13" s="314" t="s">
        <v>203</v>
      </c>
      <c r="WNP13" s="314" t="s">
        <v>203</v>
      </c>
      <c r="WNQ13" s="314" t="s">
        <v>203</v>
      </c>
      <c r="WNR13" s="314" t="s">
        <v>203</v>
      </c>
      <c r="WNS13" s="314" t="s">
        <v>203</v>
      </c>
      <c r="WNT13" s="314" t="s">
        <v>203</v>
      </c>
      <c r="WNU13" s="314" t="s">
        <v>203</v>
      </c>
      <c r="WNV13" s="314" t="s">
        <v>203</v>
      </c>
      <c r="WNW13" s="314" t="s">
        <v>203</v>
      </c>
      <c r="WNX13" s="314" t="s">
        <v>203</v>
      </c>
      <c r="WNY13" s="314" t="s">
        <v>203</v>
      </c>
      <c r="WNZ13" s="314" t="s">
        <v>203</v>
      </c>
      <c r="WOA13" s="314" t="s">
        <v>203</v>
      </c>
      <c r="WOB13" s="314" t="s">
        <v>203</v>
      </c>
      <c r="WOC13" s="314" t="s">
        <v>203</v>
      </c>
      <c r="WOD13" s="314" t="s">
        <v>203</v>
      </c>
      <c r="WOE13" s="314" t="s">
        <v>203</v>
      </c>
      <c r="WOF13" s="314" t="s">
        <v>203</v>
      </c>
      <c r="WOG13" s="314" t="s">
        <v>203</v>
      </c>
      <c r="WOH13" s="314" t="s">
        <v>203</v>
      </c>
      <c r="WOI13" s="314" t="s">
        <v>203</v>
      </c>
      <c r="WOJ13" s="314" t="s">
        <v>203</v>
      </c>
      <c r="WOK13" s="314" t="s">
        <v>203</v>
      </c>
      <c r="WOL13" s="314" t="s">
        <v>203</v>
      </c>
      <c r="WOM13" s="314" t="s">
        <v>203</v>
      </c>
      <c r="WON13" s="314" t="s">
        <v>203</v>
      </c>
      <c r="WOO13" s="314" t="s">
        <v>203</v>
      </c>
      <c r="WOP13" s="314" t="s">
        <v>203</v>
      </c>
      <c r="WOQ13" s="314" t="s">
        <v>203</v>
      </c>
      <c r="WOR13" s="314" t="s">
        <v>203</v>
      </c>
      <c r="WOS13" s="314" t="s">
        <v>203</v>
      </c>
      <c r="WOT13" s="314" t="s">
        <v>203</v>
      </c>
      <c r="WOU13" s="314" t="s">
        <v>203</v>
      </c>
      <c r="WOV13" s="314" t="s">
        <v>203</v>
      </c>
      <c r="WOW13" s="314" t="s">
        <v>203</v>
      </c>
      <c r="WOX13" s="314" t="s">
        <v>203</v>
      </c>
      <c r="WOY13" s="314" t="s">
        <v>203</v>
      </c>
      <c r="WOZ13" s="314" t="s">
        <v>203</v>
      </c>
      <c r="WPA13" s="314" t="s">
        <v>203</v>
      </c>
      <c r="WPB13" s="314" t="s">
        <v>203</v>
      </c>
      <c r="WPC13" s="314" t="s">
        <v>203</v>
      </c>
      <c r="WPD13" s="314" t="s">
        <v>203</v>
      </c>
      <c r="WPE13" s="314" t="s">
        <v>203</v>
      </c>
      <c r="WPF13" s="314" t="s">
        <v>203</v>
      </c>
      <c r="WPG13" s="314" t="s">
        <v>203</v>
      </c>
      <c r="WPH13" s="314" t="s">
        <v>203</v>
      </c>
      <c r="WPI13" s="314" t="s">
        <v>203</v>
      </c>
      <c r="WPJ13" s="314" t="s">
        <v>203</v>
      </c>
      <c r="WPK13" s="314" t="s">
        <v>203</v>
      </c>
      <c r="WPL13" s="314" t="s">
        <v>203</v>
      </c>
      <c r="WPM13" s="314" t="s">
        <v>203</v>
      </c>
      <c r="WPN13" s="314" t="s">
        <v>203</v>
      </c>
      <c r="WPO13" s="314" t="s">
        <v>203</v>
      </c>
      <c r="WPP13" s="314" t="s">
        <v>203</v>
      </c>
      <c r="WPQ13" s="314" t="s">
        <v>203</v>
      </c>
      <c r="WPR13" s="314" t="s">
        <v>203</v>
      </c>
      <c r="WPS13" s="314" t="s">
        <v>203</v>
      </c>
      <c r="WPT13" s="314" t="s">
        <v>203</v>
      </c>
      <c r="WPU13" s="314" t="s">
        <v>203</v>
      </c>
      <c r="WPV13" s="314" t="s">
        <v>203</v>
      </c>
      <c r="WPW13" s="314" t="s">
        <v>203</v>
      </c>
      <c r="WPX13" s="314" t="s">
        <v>203</v>
      </c>
      <c r="WPY13" s="314" t="s">
        <v>203</v>
      </c>
      <c r="WPZ13" s="314" t="s">
        <v>203</v>
      </c>
      <c r="WQA13" s="314" t="s">
        <v>203</v>
      </c>
      <c r="WQB13" s="314" t="s">
        <v>203</v>
      </c>
      <c r="WQC13" s="314" t="s">
        <v>203</v>
      </c>
      <c r="WQD13" s="314" t="s">
        <v>203</v>
      </c>
      <c r="WQE13" s="314" t="s">
        <v>203</v>
      </c>
      <c r="WQF13" s="314" t="s">
        <v>203</v>
      </c>
      <c r="WQG13" s="314" t="s">
        <v>203</v>
      </c>
      <c r="WQH13" s="314" t="s">
        <v>203</v>
      </c>
      <c r="WQI13" s="314" t="s">
        <v>203</v>
      </c>
      <c r="WQJ13" s="314" t="s">
        <v>203</v>
      </c>
      <c r="WQK13" s="314" t="s">
        <v>203</v>
      </c>
      <c r="WQL13" s="314" t="s">
        <v>203</v>
      </c>
      <c r="WQM13" s="314" t="s">
        <v>203</v>
      </c>
      <c r="WQN13" s="314" t="s">
        <v>203</v>
      </c>
      <c r="WQO13" s="314" t="s">
        <v>203</v>
      </c>
      <c r="WQP13" s="314" t="s">
        <v>203</v>
      </c>
      <c r="WQQ13" s="314" t="s">
        <v>203</v>
      </c>
      <c r="WQR13" s="314" t="s">
        <v>203</v>
      </c>
      <c r="WQS13" s="314" t="s">
        <v>203</v>
      </c>
      <c r="WQT13" s="314" t="s">
        <v>203</v>
      </c>
      <c r="WQU13" s="314" t="s">
        <v>203</v>
      </c>
      <c r="WQV13" s="314" t="s">
        <v>203</v>
      </c>
      <c r="WQW13" s="314" t="s">
        <v>203</v>
      </c>
      <c r="WQX13" s="314" t="s">
        <v>203</v>
      </c>
      <c r="WQY13" s="314" t="s">
        <v>203</v>
      </c>
      <c r="WQZ13" s="314" t="s">
        <v>203</v>
      </c>
      <c r="WRA13" s="314" t="s">
        <v>203</v>
      </c>
      <c r="WRB13" s="314" t="s">
        <v>203</v>
      </c>
      <c r="WRC13" s="314" t="s">
        <v>203</v>
      </c>
      <c r="WRD13" s="314" t="s">
        <v>203</v>
      </c>
      <c r="WRE13" s="314" t="s">
        <v>203</v>
      </c>
      <c r="WRF13" s="314" t="s">
        <v>203</v>
      </c>
      <c r="WRG13" s="314" t="s">
        <v>203</v>
      </c>
      <c r="WRH13" s="314" t="s">
        <v>203</v>
      </c>
      <c r="WRI13" s="314" t="s">
        <v>203</v>
      </c>
      <c r="WRJ13" s="314" t="s">
        <v>203</v>
      </c>
      <c r="WRK13" s="314" t="s">
        <v>203</v>
      </c>
      <c r="WRL13" s="314" t="s">
        <v>203</v>
      </c>
      <c r="WRM13" s="314" t="s">
        <v>203</v>
      </c>
      <c r="WRN13" s="314" t="s">
        <v>203</v>
      </c>
      <c r="WRO13" s="314" t="s">
        <v>203</v>
      </c>
      <c r="WRP13" s="314" t="s">
        <v>203</v>
      </c>
      <c r="WRQ13" s="314" t="s">
        <v>203</v>
      </c>
      <c r="WRR13" s="314" t="s">
        <v>203</v>
      </c>
      <c r="WRS13" s="314" t="s">
        <v>203</v>
      </c>
      <c r="WRT13" s="314" t="s">
        <v>203</v>
      </c>
      <c r="WRU13" s="314" t="s">
        <v>203</v>
      </c>
      <c r="WRV13" s="314" t="s">
        <v>203</v>
      </c>
      <c r="WRW13" s="314" t="s">
        <v>203</v>
      </c>
      <c r="WRX13" s="314" t="s">
        <v>203</v>
      </c>
      <c r="WRY13" s="314" t="s">
        <v>203</v>
      </c>
      <c r="WRZ13" s="314" t="s">
        <v>203</v>
      </c>
      <c r="WSA13" s="314" t="s">
        <v>203</v>
      </c>
      <c r="WSB13" s="314" t="s">
        <v>203</v>
      </c>
      <c r="WSC13" s="314" t="s">
        <v>203</v>
      </c>
      <c r="WSD13" s="314" t="s">
        <v>203</v>
      </c>
      <c r="WSE13" s="314" t="s">
        <v>203</v>
      </c>
      <c r="WSF13" s="314" t="s">
        <v>203</v>
      </c>
      <c r="WSG13" s="314" t="s">
        <v>203</v>
      </c>
      <c r="WSH13" s="314" t="s">
        <v>203</v>
      </c>
      <c r="WSI13" s="314" t="s">
        <v>203</v>
      </c>
      <c r="WSJ13" s="314" t="s">
        <v>203</v>
      </c>
      <c r="WSK13" s="314" t="s">
        <v>203</v>
      </c>
      <c r="WSL13" s="314" t="s">
        <v>203</v>
      </c>
      <c r="WSM13" s="314" t="s">
        <v>203</v>
      </c>
      <c r="WSN13" s="314" t="s">
        <v>203</v>
      </c>
      <c r="WSO13" s="314" t="s">
        <v>203</v>
      </c>
      <c r="WSP13" s="314" t="s">
        <v>203</v>
      </c>
      <c r="WSQ13" s="314" t="s">
        <v>203</v>
      </c>
      <c r="WSR13" s="314" t="s">
        <v>203</v>
      </c>
      <c r="WSS13" s="314" t="s">
        <v>203</v>
      </c>
      <c r="WST13" s="314" t="s">
        <v>203</v>
      </c>
      <c r="WSU13" s="314" t="s">
        <v>203</v>
      </c>
      <c r="WSV13" s="314" t="s">
        <v>203</v>
      </c>
      <c r="WSW13" s="314" t="s">
        <v>203</v>
      </c>
      <c r="WSX13" s="314" t="s">
        <v>203</v>
      </c>
      <c r="WSY13" s="314" t="s">
        <v>203</v>
      </c>
      <c r="WSZ13" s="314" t="s">
        <v>203</v>
      </c>
      <c r="WTA13" s="314" t="s">
        <v>203</v>
      </c>
      <c r="WTB13" s="314" t="s">
        <v>203</v>
      </c>
      <c r="WTC13" s="314" t="s">
        <v>203</v>
      </c>
      <c r="WTD13" s="314" t="s">
        <v>203</v>
      </c>
      <c r="WTE13" s="314" t="s">
        <v>203</v>
      </c>
      <c r="WTF13" s="314" t="s">
        <v>203</v>
      </c>
      <c r="WTG13" s="314" t="s">
        <v>203</v>
      </c>
      <c r="WTH13" s="314" t="s">
        <v>203</v>
      </c>
      <c r="WTI13" s="314" t="s">
        <v>203</v>
      </c>
      <c r="WTJ13" s="314" t="s">
        <v>203</v>
      </c>
      <c r="WTK13" s="314" t="s">
        <v>203</v>
      </c>
      <c r="WTL13" s="314" t="s">
        <v>203</v>
      </c>
      <c r="WTM13" s="314" t="s">
        <v>203</v>
      </c>
      <c r="WTN13" s="314" t="s">
        <v>203</v>
      </c>
      <c r="WTO13" s="314" t="s">
        <v>203</v>
      </c>
      <c r="WTP13" s="314" t="s">
        <v>203</v>
      </c>
      <c r="WTQ13" s="314" t="s">
        <v>203</v>
      </c>
      <c r="WTR13" s="314" t="s">
        <v>203</v>
      </c>
      <c r="WTS13" s="314" t="s">
        <v>203</v>
      </c>
      <c r="WTT13" s="314" t="s">
        <v>203</v>
      </c>
      <c r="WTU13" s="314" t="s">
        <v>203</v>
      </c>
      <c r="WTV13" s="314" t="s">
        <v>203</v>
      </c>
      <c r="WTW13" s="314" t="s">
        <v>203</v>
      </c>
      <c r="WTX13" s="314" t="s">
        <v>203</v>
      </c>
      <c r="WTY13" s="314" t="s">
        <v>203</v>
      </c>
      <c r="WTZ13" s="314" t="s">
        <v>203</v>
      </c>
      <c r="WUA13" s="314" t="s">
        <v>203</v>
      </c>
      <c r="WUB13" s="314" t="s">
        <v>203</v>
      </c>
      <c r="WUC13" s="314" t="s">
        <v>203</v>
      </c>
      <c r="WUD13" s="314" t="s">
        <v>203</v>
      </c>
      <c r="WUE13" s="314" t="s">
        <v>203</v>
      </c>
      <c r="WUF13" s="314" t="s">
        <v>203</v>
      </c>
      <c r="WUG13" s="314" t="s">
        <v>203</v>
      </c>
      <c r="WUH13" s="314" t="s">
        <v>203</v>
      </c>
      <c r="WUI13" s="314" t="s">
        <v>203</v>
      </c>
      <c r="WUJ13" s="314" t="s">
        <v>203</v>
      </c>
      <c r="WUK13" s="314" t="s">
        <v>203</v>
      </c>
      <c r="WUL13" s="314" t="s">
        <v>203</v>
      </c>
      <c r="WUM13" s="314" t="s">
        <v>203</v>
      </c>
      <c r="WUN13" s="314" t="s">
        <v>203</v>
      </c>
      <c r="WUO13" s="314" t="s">
        <v>203</v>
      </c>
      <c r="WUP13" s="314" t="s">
        <v>203</v>
      </c>
      <c r="WUQ13" s="314" t="s">
        <v>203</v>
      </c>
      <c r="WUR13" s="314" t="s">
        <v>203</v>
      </c>
      <c r="WUS13" s="314" t="s">
        <v>203</v>
      </c>
      <c r="WUT13" s="314" t="s">
        <v>203</v>
      </c>
      <c r="WUU13" s="314" t="s">
        <v>203</v>
      </c>
      <c r="WUV13" s="314" t="s">
        <v>203</v>
      </c>
      <c r="WUW13" s="314" t="s">
        <v>203</v>
      </c>
      <c r="WUX13" s="314" t="s">
        <v>203</v>
      </c>
      <c r="WUY13" s="314" t="s">
        <v>203</v>
      </c>
      <c r="WUZ13" s="314" t="s">
        <v>203</v>
      </c>
      <c r="WVA13" s="314" t="s">
        <v>203</v>
      </c>
      <c r="WVB13" s="314" t="s">
        <v>203</v>
      </c>
      <c r="WVC13" s="314" t="s">
        <v>203</v>
      </c>
      <c r="WVD13" s="314" t="s">
        <v>203</v>
      </c>
      <c r="WVE13" s="314" t="s">
        <v>203</v>
      </c>
      <c r="WVF13" s="314" t="s">
        <v>203</v>
      </c>
      <c r="WVG13" s="314" t="s">
        <v>203</v>
      </c>
      <c r="WVH13" s="314" t="s">
        <v>203</v>
      </c>
      <c r="WVI13" s="314" t="s">
        <v>203</v>
      </c>
      <c r="WVJ13" s="314" t="s">
        <v>203</v>
      </c>
      <c r="WVK13" s="314" t="s">
        <v>203</v>
      </c>
      <c r="WVL13" s="314" t="s">
        <v>203</v>
      </c>
      <c r="WVM13" s="314" t="s">
        <v>203</v>
      </c>
      <c r="WVN13" s="314" t="s">
        <v>203</v>
      </c>
      <c r="WVO13" s="314" t="s">
        <v>203</v>
      </c>
      <c r="WVP13" s="314" t="s">
        <v>203</v>
      </c>
      <c r="WVQ13" s="314" t="s">
        <v>203</v>
      </c>
      <c r="WVR13" s="314" t="s">
        <v>203</v>
      </c>
      <c r="WVS13" s="314" t="s">
        <v>203</v>
      </c>
      <c r="WVT13" s="314" t="s">
        <v>203</v>
      </c>
      <c r="WVU13" s="314" t="s">
        <v>203</v>
      </c>
      <c r="WVV13" s="314" t="s">
        <v>203</v>
      </c>
      <c r="WVW13" s="314" t="s">
        <v>203</v>
      </c>
      <c r="WVX13" s="314" t="s">
        <v>203</v>
      </c>
      <c r="WVY13" s="314" t="s">
        <v>203</v>
      </c>
      <c r="WVZ13" s="314" t="s">
        <v>203</v>
      </c>
      <c r="WWA13" s="314" t="s">
        <v>203</v>
      </c>
      <c r="WWB13" s="314" t="s">
        <v>203</v>
      </c>
      <c r="WWC13" s="314" t="s">
        <v>203</v>
      </c>
      <c r="WWD13" s="314" t="s">
        <v>203</v>
      </c>
      <c r="WWE13" s="314" t="s">
        <v>203</v>
      </c>
      <c r="WWF13" s="314" t="s">
        <v>203</v>
      </c>
      <c r="WWG13" s="314" t="s">
        <v>203</v>
      </c>
      <c r="WWH13" s="314" t="s">
        <v>203</v>
      </c>
      <c r="WWI13" s="314" t="s">
        <v>203</v>
      </c>
      <c r="WWJ13" s="314" t="s">
        <v>203</v>
      </c>
      <c r="WWK13" s="314" t="s">
        <v>203</v>
      </c>
      <c r="WWL13" s="314" t="s">
        <v>203</v>
      </c>
      <c r="WWM13" s="314" t="s">
        <v>203</v>
      </c>
      <c r="WWN13" s="314" t="s">
        <v>203</v>
      </c>
      <c r="WWO13" s="314" t="s">
        <v>203</v>
      </c>
      <c r="WWP13" s="314" t="s">
        <v>203</v>
      </c>
      <c r="WWQ13" s="314" t="s">
        <v>203</v>
      </c>
      <c r="WWR13" s="314" t="s">
        <v>203</v>
      </c>
      <c r="WWS13" s="314" t="s">
        <v>203</v>
      </c>
      <c r="WWT13" s="314" t="s">
        <v>203</v>
      </c>
      <c r="WWU13" s="314" t="s">
        <v>203</v>
      </c>
      <c r="WWV13" s="314" t="s">
        <v>203</v>
      </c>
      <c r="WWW13" s="314" t="s">
        <v>203</v>
      </c>
      <c r="WWX13" s="314" t="s">
        <v>203</v>
      </c>
      <c r="WWY13" s="314" t="s">
        <v>203</v>
      </c>
      <c r="WWZ13" s="314" t="s">
        <v>203</v>
      </c>
      <c r="WXA13" s="314" t="s">
        <v>203</v>
      </c>
      <c r="WXB13" s="314" t="s">
        <v>203</v>
      </c>
      <c r="WXC13" s="314" t="s">
        <v>203</v>
      </c>
      <c r="WXD13" s="314" t="s">
        <v>203</v>
      </c>
      <c r="WXE13" s="314" t="s">
        <v>203</v>
      </c>
      <c r="WXF13" s="314" t="s">
        <v>203</v>
      </c>
      <c r="WXG13" s="314" t="s">
        <v>203</v>
      </c>
      <c r="WXH13" s="314" t="s">
        <v>203</v>
      </c>
      <c r="WXI13" s="314" t="s">
        <v>203</v>
      </c>
      <c r="WXJ13" s="314" t="s">
        <v>203</v>
      </c>
      <c r="WXK13" s="314" t="s">
        <v>203</v>
      </c>
      <c r="WXL13" s="314" t="s">
        <v>203</v>
      </c>
      <c r="WXM13" s="314" t="s">
        <v>203</v>
      </c>
      <c r="WXN13" s="314" t="s">
        <v>203</v>
      </c>
      <c r="WXO13" s="314" t="s">
        <v>203</v>
      </c>
      <c r="WXP13" s="314" t="s">
        <v>203</v>
      </c>
      <c r="WXQ13" s="314" t="s">
        <v>203</v>
      </c>
      <c r="WXR13" s="314" t="s">
        <v>203</v>
      </c>
      <c r="WXS13" s="314" t="s">
        <v>203</v>
      </c>
      <c r="WXT13" s="314" t="s">
        <v>203</v>
      </c>
      <c r="WXU13" s="314" t="s">
        <v>203</v>
      </c>
      <c r="WXV13" s="314" t="s">
        <v>203</v>
      </c>
      <c r="WXW13" s="314" t="s">
        <v>203</v>
      </c>
      <c r="WXX13" s="314" t="s">
        <v>203</v>
      </c>
      <c r="WXY13" s="314" t="s">
        <v>203</v>
      </c>
      <c r="WXZ13" s="314" t="s">
        <v>203</v>
      </c>
      <c r="WYA13" s="314" t="s">
        <v>203</v>
      </c>
      <c r="WYB13" s="314" t="s">
        <v>203</v>
      </c>
      <c r="WYC13" s="314" t="s">
        <v>203</v>
      </c>
      <c r="WYD13" s="314" t="s">
        <v>203</v>
      </c>
      <c r="WYE13" s="314" t="s">
        <v>203</v>
      </c>
      <c r="WYF13" s="314" t="s">
        <v>203</v>
      </c>
      <c r="WYG13" s="314" t="s">
        <v>203</v>
      </c>
      <c r="WYH13" s="314" t="s">
        <v>203</v>
      </c>
      <c r="WYI13" s="314" t="s">
        <v>203</v>
      </c>
      <c r="WYJ13" s="314" t="s">
        <v>203</v>
      </c>
      <c r="WYK13" s="314" t="s">
        <v>203</v>
      </c>
      <c r="WYL13" s="314" t="s">
        <v>203</v>
      </c>
      <c r="WYM13" s="314" t="s">
        <v>203</v>
      </c>
      <c r="WYN13" s="314" t="s">
        <v>203</v>
      </c>
      <c r="WYO13" s="314" t="s">
        <v>203</v>
      </c>
      <c r="WYP13" s="314" t="s">
        <v>203</v>
      </c>
      <c r="WYQ13" s="314" t="s">
        <v>203</v>
      </c>
      <c r="WYR13" s="314" t="s">
        <v>203</v>
      </c>
      <c r="WYS13" s="314" t="s">
        <v>203</v>
      </c>
      <c r="WYT13" s="314" t="s">
        <v>203</v>
      </c>
      <c r="WYU13" s="314" t="s">
        <v>203</v>
      </c>
      <c r="WYV13" s="314" t="s">
        <v>203</v>
      </c>
      <c r="WYW13" s="314" t="s">
        <v>203</v>
      </c>
      <c r="WYX13" s="314" t="s">
        <v>203</v>
      </c>
      <c r="WYY13" s="314" t="s">
        <v>203</v>
      </c>
      <c r="WYZ13" s="314" t="s">
        <v>203</v>
      </c>
      <c r="WZA13" s="314" t="s">
        <v>203</v>
      </c>
      <c r="WZB13" s="314" t="s">
        <v>203</v>
      </c>
      <c r="WZC13" s="314" t="s">
        <v>203</v>
      </c>
      <c r="WZD13" s="314" t="s">
        <v>203</v>
      </c>
      <c r="WZE13" s="314" t="s">
        <v>203</v>
      </c>
      <c r="WZF13" s="314" t="s">
        <v>203</v>
      </c>
      <c r="WZG13" s="314" t="s">
        <v>203</v>
      </c>
      <c r="WZH13" s="314" t="s">
        <v>203</v>
      </c>
      <c r="WZI13" s="314" t="s">
        <v>203</v>
      </c>
      <c r="WZJ13" s="314" t="s">
        <v>203</v>
      </c>
      <c r="WZK13" s="314" t="s">
        <v>203</v>
      </c>
      <c r="WZL13" s="314" t="s">
        <v>203</v>
      </c>
      <c r="WZM13" s="314" t="s">
        <v>203</v>
      </c>
      <c r="WZN13" s="314" t="s">
        <v>203</v>
      </c>
      <c r="WZO13" s="314" t="s">
        <v>203</v>
      </c>
      <c r="WZP13" s="314" t="s">
        <v>203</v>
      </c>
      <c r="WZQ13" s="314" t="s">
        <v>203</v>
      </c>
      <c r="WZR13" s="314" t="s">
        <v>203</v>
      </c>
      <c r="WZS13" s="314" t="s">
        <v>203</v>
      </c>
      <c r="WZT13" s="314" t="s">
        <v>203</v>
      </c>
      <c r="WZU13" s="314" t="s">
        <v>203</v>
      </c>
      <c r="WZV13" s="314" t="s">
        <v>203</v>
      </c>
      <c r="WZW13" s="314" t="s">
        <v>203</v>
      </c>
      <c r="WZX13" s="314" t="s">
        <v>203</v>
      </c>
      <c r="WZY13" s="314" t="s">
        <v>203</v>
      </c>
      <c r="WZZ13" s="314" t="s">
        <v>203</v>
      </c>
      <c r="XAA13" s="314" t="s">
        <v>203</v>
      </c>
      <c r="XAB13" s="314" t="s">
        <v>203</v>
      </c>
      <c r="XAC13" s="314" t="s">
        <v>203</v>
      </c>
      <c r="XAD13" s="314" t="s">
        <v>203</v>
      </c>
      <c r="XAE13" s="314" t="s">
        <v>203</v>
      </c>
      <c r="XAF13" s="314" t="s">
        <v>203</v>
      </c>
      <c r="XAG13" s="314" t="s">
        <v>203</v>
      </c>
      <c r="XAH13" s="314" t="s">
        <v>203</v>
      </c>
      <c r="XAI13" s="314" t="s">
        <v>203</v>
      </c>
      <c r="XAJ13" s="314" t="s">
        <v>203</v>
      </c>
      <c r="XAK13" s="314" t="s">
        <v>203</v>
      </c>
      <c r="XAL13" s="314" t="s">
        <v>203</v>
      </c>
      <c r="XAM13" s="314" t="s">
        <v>203</v>
      </c>
      <c r="XAN13" s="314" t="s">
        <v>203</v>
      </c>
      <c r="XAO13" s="314" t="s">
        <v>203</v>
      </c>
      <c r="XAP13" s="314" t="s">
        <v>203</v>
      </c>
      <c r="XAQ13" s="314" t="s">
        <v>203</v>
      </c>
      <c r="XAR13" s="314" t="s">
        <v>203</v>
      </c>
      <c r="XAS13" s="314" t="s">
        <v>203</v>
      </c>
      <c r="XAT13" s="314" t="s">
        <v>203</v>
      </c>
      <c r="XAU13" s="314" t="s">
        <v>203</v>
      </c>
      <c r="XAV13" s="314" t="s">
        <v>203</v>
      </c>
      <c r="XAW13" s="314" t="s">
        <v>203</v>
      </c>
      <c r="XAX13" s="314" t="s">
        <v>203</v>
      </c>
      <c r="XAY13" s="314" t="s">
        <v>203</v>
      </c>
      <c r="XAZ13" s="314" t="s">
        <v>203</v>
      </c>
      <c r="XBA13" s="314" t="s">
        <v>203</v>
      </c>
      <c r="XBB13" s="314" t="s">
        <v>203</v>
      </c>
      <c r="XBC13" s="314" t="s">
        <v>203</v>
      </c>
      <c r="XBD13" s="314" t="s">
        <v>203</v>
      </c>
      <c r="XBE13" s="314" t="s">
        <v>203</v>
      </c>
      <c r="XBF13" s="314" t="s">
        <v>203</v>
      </c>
      <c r="XBG13" s="314" t="s">
        <v>203</v>
      </c>
      <c r="XBH13" s="314" t="s">
        <v>203</v>
      </c>
      <c r="XBI13" s="314" t="s">
        <v>203</v>
      </c>
      <c r="XBJ13" s="314" t="s">
        <v>203</v>
      </c>
      <c r="XBK13" s="314" t="s">
        <v>203</v>
      </c>
      <c r="XBL13" s="314" t="s">
        <v>203</v>
      </c>
      <c r="XBM13" s="314" t="s">
        <v>203</v>
      </c>
      <c r="XBN13" s="314" t="s">
        <v>203</v>
      </c>
      <c r="XBO13" s="314" t="s">
        <v>203</v>
      </c>
      <c r="XBP13" s="314" t="s">
        <v>203</v>
      </c>
      <c r="XBQ13" s="314" t="s">
        <v>203</v>
      </c>
      <c r="XBR13" s="314" t="s">
        <v>203</v>
      </c>
      <c r="XBS13" s="314" t="s">
        <v>203</v>
      </c>
      <c r="XBT13" s="314" t="s">
        <v>203</v>
      </c>
      <c r="XBU13" s="314" t="s">
        <v>203</v>
      </c>
      <c r="XBV13" s="314" t="s">
        <v>203</v>
      </c>
      <c r="XBW13" s="314" t="s">
        <v>203</v>
      </c>
      <c r="XBX13" s="314" t="s">
        <v>203</v>
      </c>
      <c r="XBY13" s="314" t="s">
        <v>203</v>
      </c>
      <c r="XBZ13" s="314" t="s">
        <v>203</v>
      </c>
      <c r="XCA13" s="314" t="s">
        <v>203</v>
      </c>
      <c r="XCB13" s="314" t="s">
        <v>203</v>
      </c>
      <c r="XCC13" s="314" t="s">
        <v>203</v>
      </c>
      <c r="XCD13" s="314" t="s">
        <v>203</v>
      </c>
      <c r="XCE13" s="314" t="s">
        <v>203</v>
      </c>
      <c r="XCF13" s="314" t="s">
        <v>203</v>
      </c>
      <c r="XCG13" s="314" t="s">
        <v>203</v>
      </c>
      <c r="XCH13" s="314" t="s">
        <v>203</v>
      </c>
      <c r="XCI13" s="314" t="s">
        <v>203</v>
      </c>
      <c r="XCJ13" s="314" t="s">
        <v>203</v>
      </c>
      <c r="XCK13" s="314" t="s">
        <v>203</v>
      </c>
      <c r="XCL13" s="314" t="s">
        <v>203</v>
      </c>
      <c r="XCM13" s="314" t="s">
        <v>203</v>
      </c>
      <c r="XCN13" s="314" t="s">
        <v>203</v>
      </c>
      <c r="XCO13" s="314" t="s">
        <v>203</v>
      </c>
      <c r="XCP13" s="314" t="s">
        <v>203</v>
      </c>
      <c r="XCQ13" s="314" t="s">
        <v>203</v>
      </c>
      <c r="XCR13" s="314" t="s">
        <v>203</v>
      </c>
      <c r="XCS13" s="314" t="s">
        <v>203</v>
      </c>
      <c r="XCT13" s="314" t="s">
        <v>203</v>
      </c>
      <c r="XCU13" s="314" t="s">
        <v>203</v>
      </c>
      <c r="XCV13" s="314" t="s">
        <v>203</v>
      </c>
      <c r="XCW13" s="314" t="s">
        <v>203</v>
      </c>
      <c r="XCX13" s="314" t="s">
        <v>203</v>
      </c>
      <c r="XCY13" s="314" t="s">
        <v>203</v>
      </c>
      <c r="XCZ13" s="314" t="s">
        <v>203</v>
      </c>
      <c r="XDA13" s="314" t="s">
        <v>203</v>
      </c>
      <c r="XDB13" s="314" t="s">
        <v>203</v>
      </c>
      <c r="XDC13" s="314" t="s">
        <v>203</v>
      </c>
      <c r="XDD13" s="314" t="s">
        <v>203</v>
      </c>
      <c r="XDE13" s="314" t="s">
        <v>203</v>
      </c>
      <c r="XDF13" s="314" t="s">
        <v>203</v>
      </c>
      <c r="XDG13" s="314" t="s">
        <v>203</v>
      </c>
      <c r="XDH13" s="314" t="s">
        <v>203</v>
      </c>
      <c r="XDI13" s="314" t="s">
        <v>203</v>
      </c>
      <c r="XDJ13" s="314" t="s">
        <v>203</v>
      </c>
      <c r="XDK13" s="314" t="s">
        <v>203</v>
      </c>
      <c r="XDL13" s="314" t="s">
        <v>203</v>
      </c>
      <c r="XDM13" s="314" t="s">
        <v>203</v>
      </c>
      <c r="XDN13" s="314" t="s">
        <v>203</v>
      </c>
      <c r="XDO13" s="314" t="s">
        <v>203</v>
      </c>
      <c r="XDP13" s="314" t="s">
        <v>203</v>
      </c>
      <c r="XDQ13" s="314" t="s">
        <v>203</v>
      </c>
      <c r="XDR13" s="314" t="s">
        <v>203</v>
      </c>
      <c r="XDS13" s="314" t="s">
        <v>203</v>
      </c>
      <c r="XDT13" s="314" t="s">
        <v>203</v>
      </c>
      <c r="XDU13" s="314" t="s">
        <v>203</v>
      </c>
      <c r="XDV13" s="314" t="s">
        <v>203</v>
      </c>
      <c r="XDW13" s="314" t="s">
        <v>203</v>
      </c>
      <c r="XDX13" s="314" t="s">
        <v>203</v>
      </c>
      <c r="XDY13" s="314" t="s">
        <v>203</v>
      </c>
      <c r="XDZ13" s="314" t="s">
        <v>203</v>
      </c>
      <c r="XEA13" s="314" t="s">
        <v>203</v>
      </c>
      <c r="XEB13" s="314" t="s">
        <v>203</v>
      </c>
      <c r="XEC13" s="314" t="s">
        <v>203</v>
      </c>
      <c r="XED13" s="314" t="s">
        <v>203</v>
      </c>
      <c r="XEE13" s="314" t="s">
        <v>203</v>
      </c>
      <c r="XEF13" s="314" t="s">
        <v>203</v>
      </c>
      <c r="XEG13" s="314" t="s">
        <v>203</v>
      </c>
      <c r="XEH13" s="314" t="s">
        <v>203</v>
      </c>
      <c r="XEI13" s="314" t="s">
        <v>203</v>
      </c>
      <c r="XEJ13" s="314" t="s">
        <v>203</v>
      </c>
      <c r="XEK13" s="314" t="s">
        <v>203</v>
      </c>
      <c r="XEL13" s="314" t="s">
        <v>203</v>
      </c>
      <c r="XEM13" s="314" t="s">
        <v>203</v>
      </c>
      <c r="XEN13" s="314" t="s">
        <v>203</v>
      </c>
      <c r="XEO13" s="314" t="s">
        <v>203</v>
      </c>
      <c r="XEP13" s="314" t="s">
        <v>203</v>
      </c>
      <c r="XEQ13" s="314" t="s">
        <v>203</v>
      </c>
      <c r="XER13" s="314" t="s">
        <v>203</v>
      </c>
      <c r="XES13" s="314" t="s">
        <v>203</v>
      </c>
      <c r="XET13" s="314" t="s">
        <v>203</v>
      </c>
      <c r="XEU13" s="314" t="s">
        <v>203</v>
      </c>
      <c r="XEV13" s="314" t="s">
        <v>203</v>
      </c>
      <c r="XEW13" s="314" t="s">
        <v>203</v>
      </c>
      <c r="XEX13" s="314" t="s">
        <v>203</v>
      </c>
      <c r="XEY13" s="314" t="s">
        <v>203</v>
      </c>
      <c r="XEZ13" s="314" t="s">
        <v>203</v>
      </c>
      <c r="XFA13" s="314" t="s">
        <v>203</v>
      </c>
    </row>
    <row r="14" spans="1:16381" s="314" customFormat="1" ht="16.5" customHeight="1" x14ac:dyDescent="0.2">
      <c r="A14" s="606" t="s">
        <v>345</v>
      </c>
      <c r="B14" s="607">
        <v>45902</v>
      </c>
      <c r="C14" s="608"/>
      <c r="D14" s="608"/>
      <c r="E14" s="609"/>
      <c r="F14" s="609"/>
      <c r="G14" s="609"/>
      <c r="H14" s="607" t="s">
        <v>213</v>
      </c>
      <c r="I14" s="609" t="s">
        <v>47</v>
      </c>
      <c r="J14" s="610">
        <v>1518</v>
      </c>
      <c r="K14" s="610"/>
      <c r="L14" s="609"/>
      <c r="M14" s="611"/>
      <c r="N14" s="609"/>
      <c r="O14" s="610"/>
      <c r="P14" s="610"/>
      <c r="Q14" s="528"/>
      <c r="R14" s="528">
        <v>607</v>
      </c>
      <c r="S14" s="674"/>
      <c r="T14" s="528"/>
      <c r="U14" s="611"/>
      <c r="V14" s="611">
        <v>819.92</v>
      </c>
      <c r="W14" s="613" t="s">
        <v>346</v>
      </c>
      <c r="X14" s="660"/>
      <c r="Y14" s="323"/>
      <c r="Z14" s="698"/>
      <c r="AA14" s="323" t="s">
        <v>318</v>
      </c>
      <c r="AB14" s="699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</row>
    <row r="15" spans="1:16381" ht="15" hidden="1" customHeight="1" x14ac:dyDescent="0.25">
      <c r="A15" s="445" t="s">
        <v>205</v>
      </c>
      <c r="B15" s="546">
        <v>45793</v>
      </c>
      <c r="C15" s="547">
        <v>45612</v>
      </c>
      <c r="D15" s="547"/>
      <c r="E15" s="548"/>
      <c r="F15" s="548"/>
      <c r="G15" s="548"/>
      <c r="H15" s="558" t="s">
        <v>238</v>
      </c>
      <c r="I15" s="558" t="s">
        <v>206</v>
      </c>
      <c r="J15" s="552">
        <f>1758</f>
        <v>1758</v>
      </c>
      <c r="K15" s="552">
        <v>600</v>
      </c>
      <c r="L15" s="548"/>
      <c r="M15" s="556"/>
      <c r="N15" s="548"/>
      <c r="O15" s="556">
        <v>703.2</v>
      </c>
      <c r="P15" s="556"/>
      <c r="Q15" s="557"/>
      <c r="R15" s="557"/>
      <c r="S15" s="675"/>
      <c r="T15" s="557"/>
      <c r="U15" s="556"/>
      <c r="V15" s="556"/>
      <c r="W15" s="558" t="s">
        <v>209</v>
      </c>
      <c r="X15" s="289"/>
      <c r="Y15" s="319"/>
      <c r="Z15" s="700"/>
      <c r="AA15" s="319" t="s">
        <v>319</v>
      </c>
      <c r="AB15" s="701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</row>
    <row r="16" spans="1:16381" s="319" customFormat="1" ht="15" hidden="1" customHeight="1" x14ac:dyDescent="0.25">
      <c r="A16" s="446" t="s">
        <v>167</v>
      </c>
      <c r="B16" s="573"/>
      <c r="C16" s="562">
        <v>45980</v>
      </c>
      <c r="D16" s="562"/>
      <c r="E16" s="563"/>
      <c r="F16" s="563"/>
      <c r="G16" s="563"/>
      <c r="H16" s="573" t="s">
        <v>120</v>
      </c>
      <c r="I16" s="573" t="s">
        <v>74</v>
      </c>
      <c r="J16" s="567">
        <v>1733.05</v>
      </c>
      <c r="K16" s="567"/>
      <c r="L16" s="563"/>
      <c r="M16" s="571"/>
      <c r="N16" s="563"/>
      <c r="O16" s="571">
        <v>693.22</v>
      </c>
      <c r="P16" s="571"/>
      <c r="Q16" s="572"/>
      <c r="R16" s="572"/>
      <c r="S16" s="676"/>
      <c r="T16" s="572"/>
      <c r="U16" s="571"/>
      <c r="V16" s="571"/>
      <c r="W16" s="573">
        <v>14760536698</v>
      </c>
      <c r="X16" s="289"/>
      <c r="Z16" s="700"/>
      <c r="AB16" s="701"/>
    </row>
    <row r="17" spans="1:28" s="319" customFormat="1" x14ac:dyDescent="0.25">
      <c r="A17" s="446" t="s">
        <v>342</v>
      </c>
      <c r="B17" s="561">
        <v>45967</v>
      </c>
      <c r="C17" s="562"/>
      <c r="D17" s="562"/>
      <c r="E17" s="563"/>
      <c r="F17" s="563"/>
      <c r="G17" s="563"/>
      <c r="H17" s="573" t="s">
        <v>120</v>
      </c>
      <c r="I17" s="573" t="s">
        <v>78</v>
      </c>
      <c r="J17" s="567">
        <v>1733.05</v>
      </c>
      <c r="K17" s="567"/>
      <c r="L17" s="563"/>
      <c r="M17" s="571"/>
      <c r="N17" s="563"/>
      <c r="O17" s="571"/>
      <c r="P17" s="571"/>
      <c r="Q17" s="572"/>
      <c r="R17" s="572">
        <v>694</v>
      </c>
      <c r="S17" s="676"/>
      <c r="T17" s="572"/>
      <c r="U17" s="571"/>
      <c r="V17" s="571">
        <v>609.25</v>
      </c>
      <c r="W17" s="573">
        <v>31997214917</v>
      </c>
      <c r="X17" s="289"/>
      <c r="Z17" s="700"/>
      <c r="AB17" s="701"/>
    </row>
    <row r="18" spans="1:28" s="319" customFormat="1" x14ac:dyDescent="0.25">
      <c r="A18" s="718" t="s">
        <v>354</v>
      </c>
      <c r="B18" s="561">
        <v>45979</v>
      </c>
      <c r="C18" s="562"/>
      <c r="D18" s="562"/>
      <c r="E18" s="563"/>
      <c r="F18" s="563"/>
      <c r="G18" s="563"/>
      <c r="H18" s="573"/>
      <c r="I18" s="573"/>
      <c r="J18" s="567"/>
      <c r="K18" s="567"/>
      <c r="L18" s="563"/>
      <c r="M18" s="571"/>
      <c r="N18" s="563"/>
      <c r="O18" s="571"/>
      <c r="P18" s="571"/>
      <c r="Q18" s="572"/>
      <c r="R18" s="572"/>
      <c r="S18" s="676"/>
      <c r="T18" s="572"/>
      <c r="U18" s="571"/>
      <c r="V18" s="571">
        <v>651.62</v>
      </c>
      <c r="W18" s="573">
        <v>13957522650</v>
      </c>
      <c r="X18" s="289"/>
      <c r="Z18" s="700"/>
      <c r="AB18" s="701"/>
    </row>
    <row r="19" spans="1:28" s="319" customFormat="1" ht="12" customHeight="1" x14ac:dyDescent="0.25">
      <c r="A19" s="446" t="s">
        <v>330</v>
      </c>
      <c r="B19" s="561">
        <v>45937</v>
      </c>
      <c r="C19" s="562"/>
      <c r="D19" s="562"/>
      <c r="E19" s="563"/>
      <c r="F19" s="563"/>
      <c r="G19" s="563"/>
      <c r="H19" s="573" t="s">
        <v>120</v>
      </c>
      <c r="I19" s="573" t="s">
        <v>78</v>
      </c>
      <c r="J19" s="567">
        <v>1733.05</v>
      </c>
      <c r="K19" s="567"/>
      <c r="L19" s="563"/>
      <c r="M19" s="571"/>
      <c r="N19" s="563"/>
      <c r="O19" s="571"/>
      <c r="P19" s="571"/>
      <c r="Q19" s="572"/>
      <c r="R19" s="572">
        <v>694</v>
      </c>
      <c r="S19" s="676"/>
      <c r="T19" s="572"/>
      <c r="U19" s="571"/>
      <c r="V19" s="571">
        <v>935.07</v>
      </c>
      <c r="W19" s="691">
        <v>14177020605</v>
      </c>
      <c r="X19" s="289"/>
      <c r="Z19" s="700"/>
      <c r="AB19" s="701"/>
    </row>
    <row r="20" spans="1:28" ht="15" hidden="1" customHeight="1" x14ac:dyDescent="0.25">
      <c r="A20" s="678" t="s">
        <v>207</v>
      </c>
      <c r="B20" s="679">
        <v>45797</v>
      </c>
      <c r="C20" s="680">
        <v>45797</v>
      </c>
      <c r="D20" s="680"/>
      <c r="E20" s="681"/>
      <c r="F20" s="681"/>
      <c r="G20" s="682">
        <v>45943</v>
      </c>
      <c r="H20" s="683" t="s">
        <v>120</v>
      </c>
      <c r="I20" s="683" t="s">
        <v>234</v>
      </c>
      <c r="J20" s="684">
        <f>1733+694</f>
        <v>2427</v>
      </c>
      <c r="K20" s="684"/>
      <c r="L20" s="681"/>
      <c r="M20" s="685"/>
      <c r="N20" s="681"/>
      <c r="O20" s="685">
        <v>654</v>
      </c>
      <c r="P20" s="685"/>
      <c r="Q20" s="690"/>
      <c r="R20" s="687"/>
      <c r="S20" s="688"/>
      <c r="T20" s="687"/>
      <c r="U20" s="685"/>
      <c r="V20" s="685"/>
      <c r="W20" s="683">
        <v>10019082606</v>
      </c>
      <c r="X20" s="689"/>
      <c r="Z20" s="702"/>
      <c r="AB20" s="703"/>
    </row>
    <row r="21" spans="1:28" ht="15.75" thickBot="1" x14ac:dyDescent="0.3">
      <c r="A21" s="446" t="s">
        <v>288</v>
      </c>
      <c r="B21" s="561"/>
      <c r="C21" s="562">
        <v>45901</v>
      </c>
      <c r="D21" s="562"/>
      <c r="E21" s="563"/>
      <c r="F21" s="563"/>
      <c r="G21" s="563"/>
      <c r="H21" s="573" t="s">
        <v>257</v>
      </c>
      <c r="I21" s="573" t="s">
        <v>206</v>
      </c>
      <c r="J21" s="567">
        <v>1758</v>
      </c>
      <c r="K21" s="567"/>
      <c r="L21" s="563"/>
      <c r="M21" s="571"/>
      <c r="N21" s="563"/>
      <c r="O21" s="571"/>
      <c r="P21" s="571"/>
      <c r="Q21" s="572">
        <v>135</v>
      </c>
      <c r="R21" s="572">
        <v>703</v>
      </c>
      <c r="S21" s="676"/>
      <c r="T21" s="572"/>
      <c r="U21" s="571"/>
      <c r="V21" s="571">
        <v>879.41</v>
      </c>
      <c r="W21" s="604" t="s">
        <v>289</v>
      </c>
      <c r="X21" s="25"/>
      <c r="Z21" s="704"/>
      <c r="AA21" s="705"/>
      <c r="AB21" s="706"/>
    </row>
    <row r="22" spans="1:28" x14ac:dyDescent="0.25">
      <c r="A22" s="447" t="s">
        <v>283</v>
      </c>
      <c r="B22" s="561">
        <v>45885</v>
      </c>
      <c r="C22" s="562">
        <v>45883</v>
      </c>
      <c r="D22" s="562"/>
      <c r="E22" s="563"/>
      <c r="F22" s="563"/>
      <c r="G22" s="563"/>
      <c r="H22" s="573" t="s">
        <v>282</v>
      </c>
      <c r="I22" s="573" t="s">
        <v>78</v>
      </c>
      <c r="J22" s="571">
        <v>1733.05</v>
      </c>
      <c r="K22" s="563"/>
      <c r="L22" s="563"/>
      <c r="M22" s="571"/>
      <c r="N22" s="563"/>
      <c r="O22" s="571"/>
      <c r="P22" s="563"/>
      <c r="Q22" s="571">
        <v>260</v>
      </c>
      <c r="R22" s="572">
        <v>433.22</v>
      </c>
      <c r="S22" s="676"/>
      <c r="T22" s="572"/>
      <c r="U22" s="571"/>
      <c r="V22" s="571">
        <v>802</v>
      </c>
      <c r="W22" s="573">
        <v>31986345542</v>
      </c>
      <c r="X22" s="35"/>
    </row>
    <row r="23" spans="1:28" x14ac:dyDescent="0.25">
      <c r="A23" s="603" t="s">
        <v>286</v>
      </c>
      <c r="B23" s="535">
        <v>45897</v>
      </c>
      <c r="C23" s="535">
        <v>45897</v>
      </c>
      <c r="D23" s="536"/>
      <c r="E23" s="537"/>
      <c r="F23" s="537"/>
      <c r="G23" s="537"/>
      <c r="H23" s="321" t="s">
        <v>285</v>
      </c>
      <c r="I23" s="321" t="s">
        <v>74</v>
      </c>
      <c r="J23" s="545">
        <v>1758</v>
      </c>
      <c r="K23" s="537"/>
      <c r="L23" s="537"/>
      <c r="M23" s="545"/>
      <c r="N23" s="537"/>
      <c r="O23" s="545"/>
      <c r="P23" s="537"/>
      <c r="Q23" s="537">
        <v>100</v>
      </c>
      <c r="R23" s="545">
        <v>603</v>
      </c>
      <c r="S23" s="692"/>
      <c r="T23" s="545"/>
      <c r="U23" s="545"/>
      <c r="V23" s="545">
        <v>949.52</v>
      </c>
      <c r="W23" s="321">
        <v>31987900125</v>
      </c>
      <c r="X23" s="25"/>
    </row>
    <row r="24" spans="1:28" ht="24.75" x14ac:dyDescent="0.25">
      <c r="A24" s="603" t="s">
        <v>309</v>
      </c>
      <c r="B24" s="535">
        <v>45923</v>
      </c>
      <c r="C24" s="535"/>
      <c r="D24" s="536"/>
      <c r="E24" s="537"/>
      <c r="F24" s="537"/>
      <c r="G24" s="537"/>
      <c r="H24" s="321" t="s">
        <v>310</v>
      </c>
      <c r="I24" s="321" t="s">
        <v>74</v>
      </c>
      <c r="J24" s="545">
        <v>1758</v>
      </c>
      <c r="K24" s="537"/>
      <c r="L24" s="537"/>
      <c r="M24" s="545"/>
      <c r="N24" s="537"/>
      <c r="O24" s="545"/>
      <c r="P24" s="537"/>
      <c r="Q24" s="537"/>
      <c r="R24" s="545">
        <v>703</v>
      </c>
      <c r="S24" s="692"/>
      <c r="T24" s="545"/>
      <c r="U24" s="545"/>
      <c r="V24" s="545">
        <v>949.52</v>
      </c>
      <c r="W24" s="321">
        <v>17857955620</v>
      </c>
      <c r="X24" s="25"/>
    </row>
    <row r="25" spans="1:28" x14ac:dyDescent="0.25">
      <c r="A25" s="603" t="s">
        <v>323</v>
      </c>
      <c r="B25" s="535">
        <v>45933</v>
      </c>
      <c r="C25" s="535"/>
      <c r="D25" s="536"/>
      <c r="E25" s="537"/>
      <c r="F25" s="537"/>
      <c r="G25" s="537"/>
      <c r="H25" s="321" t="s">
        <v>310</v>
      </c>
      <c r="I25" s="321" t="s">
        <v>74</v>
      </c>
      <c r="J25" s="545">
        <v>1758</v>
      </c>
      <c r="K25" s="537"/>
      <c r="L25" s="537"/>
      <c r="M25" s="545"/>
      <c r="N25" s="537"/>
      <c r="O25" s="545"/>
      <c r="P25" s="537"/>
      <c r="Q25" s="537"/>
      <c r="R25" s="545">
        <v>703</v>
      </c>
      <c r="S25" s="692"/>
      <c r="T25" s="545"/>
      <c r="U25" s="545"/>
      <c r="V25" s="545">
        <v>949.52</v>
      </c>
      <c r="W25" s="321" t="s">
        <v>324</v>
      </c>
      <c r="X25" s="25"/>
    </row>
    <row r="26" spans="1:28" x14ac:dyDescent="0.25">
      <c r="A26" s="603" t="s">
        <v>352</v>
      </c>
      <c r="B26" s="535">
        <v>45982</v>
      </c>
      <c r="C26" s="535"/>
      <c r="D26" s="536"/>
      <c r="E26" s="537"/>
      <c r="F26" s="537"/>
      <c r="G26" s="537"/>
      <c r="H26" s="321"/>
      <c r="I26" s="321"/>
      <c r="J26" s="545">
        <v>1758</v>
      </c>
      <c r="K26" s="537"/>
      <c r="L26" s="537"/>
      <c r="M26" s="545"/>
      <c r="N26" s="537"/>
      <c r="O26" s="545"/>
      <c r="P26" s="537"/>
      <c r="Q26" s="537"/>
      <c r="R26" s="545"/>
      <c r="S26" s="692"/>
      <c r="T26" s="545"/>
      <c r="U26" s="545"/>
      <c r="V26" s="545">
        <v>495.76</v>
      </c>
      <c r="W26" s="321" t="s">
        <v>353</v>
      </c>
      <c r="X26" s="25"/>
      <c r="Z26">
        <f>1247.61*6%</f>
        <v>74.856599999999986</v>
      </c>
    </row>
    <row r="27" spans="1:28" ht="24.75" x14ac:dyDescent="0.25">
      <c r="A27" s="603" t="s">
        <v>327</v>
      </c>
      <c r="B27" s="535">
        <v>45939</v>
      </c>
      <c r="C27" s="535"/>
      <c r="D27" s="536"/>
      <c r="E27" s="537"/>
      <c r="F27" s="537"/>
      <c r="G27" s="537"/>
      <c r="H27" s="321" t="s">
        <v>310</v>
      </c>
      <c r="I27" s="321" t="s">
        <v>74</v>
      </c>
      <c r="J27" s="545">
        <v>1758</v>
      </c>
      <c r="K27" s="537"/>
      <c r="L27" s="321" t="s">
        <v>351</v>
      </c>
      <c r="M27" s="592"/>
      <c r="N27" s="321"/>
      <c r="O27" s="592"/>
      <c r="P27" s="537"/>
      <c r="Q27" s="537"/>
      <c r="R27" s="545">
        <v>703</v>
      </c>
      <c r="S27" s="692">
        <v>45974</v>
      </c>
      <c r="T27" s="545" t="s">
        <v>93</v>
      </c>
      <c r="U27" s="545"/>
      <c r="V27" s="545">
        <v>832.52</v>
      </c>
      <c r="W27" s="321">
        <v>31984685417</v>
      </c>
      <c r="X27" s="25"/>
    </row>
    <row r="28" spans="1:28" x14ac:dyDescent="0.25">
      <c r="A28" s="603" t="s">
        <v>232</v>
      </c>
      <c r="B28" s="535"/>
      <c r="C28" s="535"/>
      <c r="D28" s="536"/>
      <c r="E28" s="537"/>
      <c r="F28" s="537"/>
      <c r="G28" s="537"/>
      <c r="H28" s="321" t="s">
        <v>339</v>
      </c>
      <c r="I28" s="321" t="s">
        <v>221</v>
      </c>
      <c r="J28" s="545">
        <v>4000</v>
      </c>
      <c r="K28" s="537"/>
      <c r="L28" s="537"/>
      <c r="M28" s="545"/>
      <c r="N28" s="537"/>
      <c r="O28" s="545"/>
      <c r="P28" s="537"/>
      <c r="Q28" s="537"/>
      <c r="R28" s="545"/>
      <c r="S28" s="692"/>
      <c r="T28" s="545"/>
      <c r="U28" s="545"/>
      <c r="V28" s="545"/>
      <c r="W28" s="321"/>
      <c r="X28" s="25"/>
    </row>
    <row r="29" spans="1:28" x14ac:dyDescent="0.25">
      <c r="A29" s="603" t="s">
        <v>338</v>
      </c>
      <c r="B29" s="535"/>
      <c r="C29" s="535"/>
      <c r="D29" s="536"/>
      <c r="E29" s="537"/>
      <c r="F29" s="537"/>
      <c r="G29" s="537"/>
      <c r="H29" s="321" t="s">
        <v>96</v>
      </c>
      <c r="I29" s="321" t="s">
        <v>222</v>
      </c>
      <c r="J29" s="545">
        <v>2400</v>
      </c>
      <c r="K29" s="537"/>
      <c r="L29" s="537"/>
      <c r="M29" s="545"/>
      <c r="N29" s="537"/>
      <c r="O29" s="545"/>
      <c r="P29" s="537"/>
      <c r="Q29" s="537"/>
      <c r="R29" s="545"/>
      <c r="S29" s="692"/>
      <c r="T29" s="545"/>
      <c r="U29" s="545"/>
      <c r="V29" s="545">
        <v>2400</v>
      </c>
      <c r="W29" s="321"/>
      <c r="X29" s="25"/>
    </row>
    <row r="30" spans="1:28" x14ac:dyDescent="0.25">
      <c r="A30" s="603" t="s">
        <v>355</v>
      </c>
      <c r="B30" s="535"/>
      <c r="C30" s="535"/>
      <c r="D30" s="536"/>
      <c r="E30" s="537"/>
      <c r="F30" s="537"/>
      <c r="G30" s="537"/>
      <c r="H30" s="321" t="s">
        <v>356</v>
      </c>
      <c r="I30" s="321" t="s">
        <v>74</v>
      </c>
      <c r="J30" s="545">
        <v>1733.05</v>
      </c>
      <c r="K30" s="537"/>
      <c r="L30" s="537"/>
      <c r="M30" s="545"/>
      <c r="N30" s="537"/>
      <c r="O30" s="545"/>
      <c r="P30" s="537"/>
      <c r="Q30" s="537"/>
      <c r="R30" s="545"/>
      <c r="S30" s="692"/>
      <c r="T30" s="545"/>
      <c r="U30" s="545">
        <v>60</v>
      </c>
      <c r="V30" s="545"/>
      <c r="W30" s="321"/>
      <c r="X30" s="25"/>
    </row>
    <row r="31" spans="1:28" x14ac:dyDescent="0.25">
      <c r="A31" s="603" t="s">
        <v>341</v>
      </c>
      <c r="B31" s="535">
        <v>45964</v>
      </c>
      <c r="C31" s="535"/>
      <c r="D31" s="536"/>
      <c r="E31" s="537"/>
      <c r="F31" s="537"/>
      <c r="G31" s="537"/>
      <c r="H31" s="321" t="s">
        <v>96</v>
      </c>
      <c r="I31" s="321" t="s">
        <v>340</v>
      </c>
      <c r="J31" s="545">
        <v>2000</v>
      </c>
      <c r="K31" s="537"/>
      <c r="L31" s="537"/>
      <c r="M31" s="545"/>
      <c r="N31" s="537"/>
      <c r="O31" s="545"/>
      <c r="P31" s="537"/>
      <c r="Q31" s="537"/>
      <c r="R31" s="545">
        <f>2000*40%</f>
        <v>800</v>
      </c>
      <c r="S31" s="692"/>
      <c r="T31" s="545"/>
      <c r="U31" s="545"/>
      <c r="V31" s="545">
        <v>892</v>
      </c>
      <c r="W31" s="321">
        <v>31982100467</v>
      </c>
      <c r="X31" s="25"/>
    </row>
    <row r="32" spans="1:28" x14ac:dyDescent="0.25">
      <c r="A32" s="710" t="s">
        <v>275</v>
      </c>
      <c r="B32" s="711"/>
      <c r="C32" s="711"/>
      <c r="D32" s="711"/>
      <c r="E32" s="711"/>
      <c r="F32" s="711"/>
      <c r="G32" s="711"/>
      <c r="H32" s="711"/>
      <c r="I32" s="711"/>
      <c r="J32" s="711"/>
      <c r="K32" s="711"/>
      <c r="L32" s="711"/>
      <c r="M32" s="712"/>
      <c r="N32" s="25"/>
      <c r="O32" s="186">
        <v>13181.6</v>
      </c>
      <c r="P32" s="381"/>
      <c r="Q32" s="381"/>
      <c r="R32" s="380">
        <v>15993.21</v>
      </c>
      <c r="S32" s="694"/>
      <c r="T32" s="380"/>
      <c r="U32" s="380"/>
      <c r="V32" s="380">
        <v>22886.44</v>
      </c>
      <c r="W32" s="208"/>
      <c r="X32" s="25"/>
    </row>
    <row r="33" spans="22:24" x14ac:dyDescent="0.25">
      <c r="V33" s="27"/>
    </row>
    <row r="34" spans="22:24" x14ac:dyDescent="0.25">
      <c r="W34" s="616"/>
    </row>
    <row r="36" spans="22:24" x14ac:dyDescent="0.25">
      <c r="X36" s="272"/>
    </row>
  </sheetData>
  <autoFilter ref="H1:H32" xr:uid="{6A25047E-EEC9-4EB5-8E39-790574A310E0}"/>
  <conditionalFormatting sqref="R10:R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{5C77B5F5-7B6C-488C-997C-F7EDF57FA2DA}</x14:id>
        </ext>
      </extLst>
    </cfRule>
  </conditionalFormatting>
  <hyperlinks>
    <hyperlink ref="W21" r:id="rId1" xr:uid="{7ED38975-CD1B-4C3D-9355-DACB3EE9747F}"/>
  </hyperlinks>
  <pageMargins left="0.511811024" right="0.511811024" top="0.78740157499999996" bottom="0.78740157499999996" header="0.31496062000000002" footer="0.31496062000000002"/>
  <pageSetup paperSize="9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77B5F5-7B6C-488C-997C-F7EDF57FA2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R10:R11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0524-985F-4358-AB93-F2503F1A2C50}">
  <dimension ref="A1:XFA39"/>
  <sheetViews>
    <sheetView topLeftCell="A2" workbookViewId="0">
      <selection activeCell="V40" sqref="V40"/>
    </sheetView>
  </sheetViews>
  <sheetFormatPr defaultRowHeight="15" x14ac:dyDescent="0.25"/>
  <cols>
    <col min="1" max="1" width="23.42578125" customWidth="1"/>
    <col min="2" max="2" width="9.85546875" customWidth="1"/>
    <col min="3" max="3" width="9.85546875" hidden="1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1.5703125" hidden="1" customWidth="1"/>
    <col min="8" max="8" width="21" hidden="1" customWidth="1"/>
    <col min="9" max="9" width="16.140625" hidden="1" customWidth="1"/>
    <col min="10" max="10" width="13.42578125" customWidth="1"/>
    <col min="11" max="11" width="14.5703125" hidden="1" customWidth="1"/>
    <col min="12" max="12" width="9.140625" hidden="1" customWidth="1"/>
    <col min="13" max="13" width="15.7109375" hidden="1" customWidth="1"/>
    <col min="14" max="14" width="9.140625" hidden="1" customWidth="1"/>
    <col min="15" max="15" width="14.42578125" hidden="1" customWidth="1"/>
    <col min="16" max="16" width="13" hidden="1" customWidth="1"/>
    <col min="17" max="17" width="11" hidden="1" customWidth="1"/>
    <col min="18" max="18" width="16.140625" style="27" hidden="1" customWidth="1"/>
    <col min="19" max="19" width="18.85546875" hidden="1" customWidth="1"/>
    <col min="20" max="20" width="3.42578125" customWidth="1"/>
    <col min="21" max="22" width="15" customWidth="1"/>
    <col min="23" max="23" width="40.42578125" bestFit="1" customWidth="1"/>
    <col min="24" max="24" width="6.5703125" customWidth="1"/>
  </cols>
  <sheetData>
    <row r="1" spans="1:16381" ht="24" hidden="1" customHeight="1" x14ac:dyDescent="0.4">
      <c r="A1" s="709" t="s">
        <v>98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</row>
    <row r="2" spans="1:16381" x14ac:dyDescent="0.25">
      <c r="A2" s="439" t="s">
        <v>347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328</v>
      </c>
      <c r="H2" s="439" t="s">
        <v>6</v>
      </c>
      <c r="I2" s="439" t="s">
        <v>7</v>
      </c>
      <c r="J2" s="441" t="s">
        <v>8</v>
      </c>
      <c r="K2" s="441" t="s">
        <v>92</v>
      </c>
      <c r="L2" s="439" t="s">
        <v>10</v>
      </c>
      <c r="M2" s="439" t="s">
        <v>99</v>
      </c>
      <c r="N2" s="439" t="s">
        <v>12</v>
      </c>
      <c r="O2" s="439" t="s">
        <v>13</v>
      </c>
      <c r="P2" s="439" t="s">
        <v>99</v>
      </c>
      <c r="Q2" s="439" t="s">
        <v>20</v>
      </c>
      <c r="R2" s="708" t="s">
        <v>297</v>
      </c>
      <c r="S2" s="439" t="s">
        <v>312</v>
      </c>
      <c r="T2" s="439" t="s">
        <v>313</v>
      </c>
      <c r="U2" s="439" t="s">
        <v>101</v>
      </c>
      <c r="V2" s="439" t="s">
        <v>337</v>
      </c>
      <c r="W2" s="439" t="s">
        <v>22</v>
      </c>
    </row>
    <row r="3" spans="1:16381" x14ac:dyDescent="0.25">
      <c r="A3" s="444" t="s">
        <v>38</v>
      </c>
      <c r="B3" s="448"/>
      <c r="C3" s="448">
        <v>45632</v>
      </c>
      <c r="D3" s="448"/>
      <c r="E3" s="449"/>
      <c r="F3" s="450"/>
      <c r="G3" s="450"/>
      <c r="H3" s="458" t="s">
        <v>35</v>
      </c>
      <c r="I3" s="458" t="s">
        <v>25</v>
      </c>
      <c r="J3" s="460">
        <v>1733.05</v>
      </c>
      <c r="K3" s="449"/>
      <c r="L3" s="449"/>
      <c r="M3" s="463">
        <v>75</v>
      </c>
      <c r="N3" s="449"/>
      <c r="O3" s="449">
        <f>1733.05*40%</f>
        <v>693.22</v>
      </c>
      <c r="P3" s="449"/>
      <c r="Q3" s="449"/>
      <c r="R3" s="449">
        <v>694</v>
      </c>
      <c r="S3" s="661"/>
      <c r="T3" s="449"/>
      <c r="U3" s="449">
        <v>50</v>
      </c>
      <c r="V3" s="449">
        <v>752</v>
      </c>
      <c r="W3" s="458">
        <v>31981052930</v>
      </c>
      <c r="X3" s="25"/>
    </row>
    <row r="4" spans="1:16381" x14ac:dyDescent="0.25">
      <c r="A4" s="444" t="s">
        <v>39</v>
      </c>
      <c r="B4" s="448">
        <v>45293</v>
      </c>
      <c r="C4" s="448">
        <v>45170</v>
      </c>
      <c r="D4" s="448"/>
      <c r="E4" s="449"/>
      <c r="F4" s="458"/>
      <c r="G4" s="458"/>
      <c r="H4" s="458" t="s">
        <v>35</v>
      </c>
      <c r="I4" s="458" t="s">
        <v>25</v>
      </c>
      <c r="J4" s="460">
        <v>1733.05</v>
      </c>
      <c r="K4" s="449"/>
      <c r="L4" s="449"/>
      <c r="M4" s="449"/>
      <c r="N4" s="449"/>
      <c r="O4" s="449">
        <v>693.22</v>
      </c>
      <c r="P4" s="449"/>
      <c r="Q4" s="449"/>
      <c r="R4" s="449">
        <v>694</v>
      </c>
      <c r="S4" s="661"/>
      <c r="T4" s="449"/>
      <c r="U4" s="449"/>
      <c r="V4" s="449">
        <v>935.07</v>
      </c>
      <c r="W4" s="458" t="s">
        <v>40</v>
      </c>
      <c r="X4" s="25"/>
    </row>
    <row r="5" spans="1:16381" x14ac:dyDescent="0.25">
      <c r="A5" s="444" t="s">
        <v>225</v>
      </c>
      <c r="B5" s="450">
        <v>45808</v>
      </c>
      <c r="C5" s="448">
        <v>45826</v>
      </c>
      <c r="D5" s="448"/>
      <c r="E5" s="459"/>
      <c r="F5" s="459"/>
      <c r="G5" s="459"/>
      <c r="H5" s="458" t="s">
        <v>230</v>
      </c>
      <c r="I5" s="458" t="s">
        <v>47</v>
      </c>
      <c r="J5" s="460">
        <v>1733.05</v>
      </c>
      <c r="K5" s="460"/>
      <c r="L5" s="459"/>
      <c r="M5" s="463"/>
      <c r="N5" s="459"/>
      <c r="O5" s="463">
        <v>693.22</v>
      </c>
      <c r="P5" s="463">
        <v>250</v>
      </c>
      <c r="Q5" s="449">
        <v>50</v>
      </c>
      <c r="R5" s="449">
        <v>694</v>
      </c>
      <c r="S5" s="661"/>
      <c r="T5" s="449"/>
      <c r="U5" s="463"/>
      <c r="V5" s="449">
        <v>802</v>
      </c>
      <c r="W5" s="458">
        <v>14983169644</v>
      </c>
      <c r="X5" s="25"/>
    </row>
    <row r="6" spans="1:16381" x14ac:dyDescent="0.25">
      <c r="A6" s="664" t="s">
        <v>322</v>
      </c>
      <c r="B6" s="665">
        <v>45916</v>
      </c>
      <c r="C6" s="665"/>
      <c r="D6" s="665"/>
      <c r="E6" s="666"/>
      <c r="F6" s="667"/>
      <c r="G6" s="667"/>
      <c r="H6" s="668" t="s">
        <v>321</v>
      </c>
      <c r="I6" s="668"/>
      <c r="J6" s="669">
        <v>1758</v>
      </c>
      <c r="K6" s="666"/>
      <c r="L6" s="666"/>
      <c r="M6" s="666"/>
      <c r="N6" s="666"/>
      <c r="O6" s="666"/>
      <c r="P6" s="666"/>
      <c r="Q6" s="666"/>
      <c r="R6" s="666">
        <v>704</v>
      </c>
      <c r="S6" s="672"/>
      <c r="T6" s="666"/>
      <c r="U6" s="666">
        <v>65</v>
      </c>
      <c r="V6" s="666">
        <f>944-65</f>
        <v>879</v>
      </c>
      <c r="W6" s="668">
        <v>31975693078</v>
      </c>
      <c r="X6" s="25"/>
    </row>
    <row r="7" spans="1:16381" x14ac:dyDescent="0.25">
      <c r="A7" s="464" t="s">
        <v>53</v>
      </c>
      <c r="B7" s="465"/>
      <c r="C7" s="465">
        <v>45527</v>
      </c>
      <c r="D7" s="465"/>
      <c r="E7" s="466"/>
      <c r="F7" s="260"/>
      <c r="G7" s="260"/>
      <c r="H7" s="260" t="s">
        <v>105</v>
      </c>
      <c r="I7" s="260" t="s">
        <v>107</v>
      </c>
      <c r="J7" s="594">
        <v>1548</v>
      </c>
      <c r="K7" s="471"/>
      <c r="L7" s="466"/>
      <c r="M7" s="466"/>
      <c r="N7" s="466"/>
      <c r="O7" s="466">
        <v>693.22</v>
      </c>
      <c r="P7" s="466"/>
      <c r="Q7" s="475"/>
      <c r="R7" s="475">
        <v>627</v>
      </c>
      <c r="S7" s="662"/>
      <c r="T7" s="475"/>
      <c r="U7" s="466"/>
      <c r="V7" s="475">
        <v>794</v>
      </c>
      <c r="W7" s="260">
        <v>31983640606</v>
      </c>
      <c r="X7" s="25"/>
      <c r="Z7">
        <f>1518*6%</f>
        <v>91.08</v>
      </c>
    </row>
    <row r="8" spans="1:16381" s="331" customFormat="1" x14ac:dyDescent="0.25">
      <c r="A8" s="344" t="s">
        <v>89</v>
      </c>
      <c r="B8" s="476">
        <v>45663</v>
      </c>
      <c r="C8" s="476">
        <v>45663</v>
      </c>
      <c r="D8" s="476"/>
      <c r="E8" s="477"/>
      <c r="F8" s="478"/>
      <c r="G8" s="478"/>
      <c r="H8" s="346" t="s">
        <v>96</v>
      </c>
      <c r="I8" s="346" t="s">
        <v>25</v>
      </c>
      <c r="J8" s="499">
        <v>3000</v>
      </c>
      <c r="K8" s="477"/>
      <c r="L8" s="477"/>
      <c r="M8" s="475">
        <v>413.8</v>
      </c>
      <c r="N8" s="477"/>
      <c r="O8" s="475">
        <v>1000</v>
      </c>
      <c r="P8" s="477">
        <v>50</v>
      </c>
      <c r="Q8" s="475">
        <v>20</v>
      </c>
      <c r="R8" s="475">
        <f>1000-20</f>
        <v>980</v>
      </c>
      <c r="S8" s="662"/>
      <c r="T8" s="475"/>
      <c r="U8" s="475"/>
      <c r="V8" s="475">
        <v>1600</v>
      </c>
      <c r="W8" s="485">
        <v>13196831698</v>
      </c>
      <c r="X8" s="361"/>
    </row>
    <row r="9" spans="1:16381" x14ac:dyDescent="0.25">
      <c r="A9" s="486" t="s">
        <v>166</v>
      </c>
      <c r="B9" s="487"/>
      <c r="C9" s="476">
        <v>45628</v>
      </c>
      <c r="D9" s="487"/>
      <c r="E9" s="488"/>
      <c r="F9" s="488"/>
      <c r="G9" s="488"/>
      <c r="H9" s="487" t="s">
        <v>96</v>
      </c>
      <c r="I9" s="488" t="s">
        <v>170</v>
      </c>
      <c r="J9" s="499">
        <v>2500</v>
      </c>
      <c r="K9" s="488"/>
      <c r="L9" s="488"/>
      <c r="M9" s="477">
        <v>60</v>
      </c>
      <c r="N9" s="488"/>
      <c r="O9" s="477">
        <v>400</v>
      </c>
      <c r="P9" s="477">
        <v>60</v>
      </c>
      <c r="Q9" s="475"/>
      <c r="R9" s="475">
        <v>300</v>
      </c>
      <c r="S9" s="662"/>
      <c r="T9" s="475"/>
      <c r="U9" s="477"/>
      <c r="V9" s="498">
        <v>2200</v>
      </c>
      <c r="W9" s="346">
        <v>31991288601</v>
      </c>
      <c r="X9" s="25"/>
    </row>
    <row r="10" spans="1:16381" ht="14.25" customHeight="1" thickBot="1" x14ac:dyDescent="0.3">
      <c r="A10" s="501" t="s">
        <v>168</v>
      </c>
      <c r="B10" s="502"/>
      <c r="C10" s="503">
        <v>45723</v>
      </c>
      <c r="D10" s="503"/>
      <c r="E10" s="504"/>
      <c r="F10" s="504"/>
      <c r="G10" s="504"/>
      <c r="H10" s="502" t="s">
        <v>236</v>
      </c>
      <c r="I10" s="502" t="s">
        <v>74</v>
      </c>
      <c r="J10" s="508">
        <v>1758</v>
      </c>
      <c r="K10" s="508"/>
      <c r="L10" s="504"/>
      <c r="M10" s="512"/>
      <c r="N10" s="504"/>
      <c r="O10" s="512">
        <v>704</v>
      </c>
      <c r="P10" s="512"/>
      <c r="Q10" s="513"/>
      <c r="R10" s="513">
        <v>703.2</v>
      </c>
      <c r="S10" s="673" t="s">
        <v>359</v>
      </c>
      <c r="T10" s="513" t="s">
        <v>93</v>
      </c>
      <c r="U10" s="512"/>
      <c r="V10" s="512">
        <f>1758/30*7</f>
        <v>410.2</v>
      </c>
      <c r="W10" s="502">
        <v>70278968694</v>
      </c>
      <c r="X10" s="25"/>
    </row>
    <row r="11" spans="1:16381" x14ac:dyDescent="0.25">
      <c r="A11" s="518" t="s">
        <v>203</v>
      </c>
      <c r="B11" s="519"/>
      <c r="C11" s="520">
        <v>45743</v>
      </c>
      <c r="D11" s="519"/>
      <c r="E11" s="519"/>
      <c r="F11" s="519"/>
      <c r="G11" s="519"/>
      <c r="H11" s="519" t="s">
        <v>213</v>
      </c>
      <c r="I11" s="519" t="s">
        <v>78</v>
      </c>
      <c r="J11" s="598">
        <v>1518</v>
      </c>
      <c r="K11" s="519">
        <v>200</v>
      </c>
      <c r="L11" s="519"/>
      <c r="M11" s="528"/>
      <c r="N11" s="519"/>
      <c r="O11" s="534">
        <v>607</v>
      </c>
      <c r="P11" s="528"/>
      <c r="Q11" s="528"/>
      <c r="R11" s="528">
        <v>607</v>
      </c>
      <c r="S11" s="674"/>
      <c r="T11" s="528"/>
      <c r="U11" s="528"/>
      <c r="V11" s="528">
        <v>819.92</v>
      </c>
      <c r="W11" s="529">
        <v>31991443051</v>
      </c>
      <c r="X11" s="659"/>
      <c r="Z11" s="695"/>
      <c r="AA11" s="696"/>
      <c r="AB11" s="697"/>
    </row>
    <row r="12" spans="1:16381" s="314" customFormat="1" ht="12.75" x14ac:dyDescent="0.2">
      <c r="A12" s="518" t="s">
        <v>249</v>
      </c>
      <c r="B12" s="520">
        <v>45840</v>
      </c>
      <c r="C12" s="584">
        <v>45839</v>
      </c>
      <c r="D12" s="584"/>
      <c r="E12" s="519"/>
      <c r="F12" s="519"/>
      <c r="G12" s="519"/>
      <c r="H12" s="520" t="s">
        <v>213</v>
      </c>
      <c r="I12" s="519" t="s">
        <v>250</v>
      </c>
      <c r="J12" s="528">
        <v>1518</v>
      </c>
      <c r="K12" s="528"/>
      <c r="L12" s="519"/>
      <c r="M12" s="534"/>
      <c r="N12" s="519">
        <v>100</v>
      </c>
      <c r="O12" s="528">
        <v>607</v>
      </c>
      <c r="P12" s="528"/>
      <c r="Q12" s="528"/>
      <c r="R12" s="528">
        <v>607</v>
      </c>
      <c r="S12" s="674"/>
      <c r="T12" s="528"/>
      <c r="U12" s="534"/>
      <c r="V12" s="534">
        <v>819.92</v>
      </c>
      <c r="W12" s="519">
        <v>31983923994</v>
      </c>
      <c r="X12" s="660"/>
      <c r="Y12" s="323"/>
      <c r="Z12" s="698"/>
      <c r="AA12" s="323" t="s">
        <v>317</v>
      </c>
      <c r="AB12" s="699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3"/>
      <c r="AU12" s="323"/>
      <c r="AV12" s="323"/>
      <c r="BM12" s="314" t="s">
        <v>203</v>
      </c>
      <c r="BN12" s="314" t="s">
        <v>203</v>
      </c>
      <c r="BO12" s="314" t="s">
        <v>203</v>
      </c>
      <c r="BP12" s="314" t="s">
        <v>203</v>
      </c>
      <c r="BQ12" s="314" t="s">
        <v>203</v>
      </c>
      <c r="BR12" s="314" t="s">
        <v>203</v>
      </c>
      <c r="BS12" s="314" t="s">
        <v>203</v>
      </c>
      <c r="BT12" s="314" t="s">
        <v>203</v>
      </c>
      <c r="BU12" s="314" t="s">
        <v>203</v>
      </c>
      <c r="BV12" s="314" t="s">
        <v>203</v>
      </c>
      <c r="BW12" s="314" t="s">
        <v>203</v>
      </c>
      <c r="BX12" s="314" t="s">
        <v>203</v>
      </c>
      <c r="BY12" s="314" t="s">
        <v>203</v>
      </c>
      <c r="BZ12" s="314" t="s">
        <v>203</v>
      </c>
      <c r="CA12" s="314" t="s">
        <v>203</v>
      </c>
      <c r="CB12" s="314" t="s">
        <v>203</v>
      </c>
      <c r="CC12" s="314" t="s">
        <v>203</v>
      </c>
      <c r="CD12" s="314" t="s">
        <v>203</v>
      </c>
      <c r="CE12" s="314" t="s">
        <v>203</v>
      </c>
      <c r="CF12" s="314" t="s">
        <v>203</v>
      </c>
      <c r="CG12" s="314" t="s">
        <v>203</v>
      </c>
      <c r="CH12" s="314" t="s">
        <v>203</v>
      </c>
      <c r="CI12" s="314" t="s">
        <v>203</v>
      </c>
      <c r="CJ12" s="314" t="s">
        <v>203</v>
      </c>
      <c r="CK12" s="314" t="s">
        <v>203</v>
      </c>
      <c r="CL12" s="314" t="s">
        <v>203</v>
      </c>
      <c r="CM12" s="314" t="s">
        <v>203</v>
      </c>
      <c r="CN12" s="314" t="s">
        <v>203</v>
      </c>
      <c r="CO12" s="314" t="s">
        <v>203</v>
      </c>
      <c r="CP12" s="314" t="s">
        <v>203</v>
      </c>
      <c r="CQ12" s="314" t="s">
        <v>203</v>
      </c>
      <c r="CR12" s="314" t="s">
        <v>203</v>
      </c>
      <c r="CS12" s="314" t="s">
        <v>203</v>
      </c>
      <c r="CT12" s="314" t="s">
        <v>203</v>
      </c>
      <c r="CU12" s="314" t="s">
        <v>203</v>
      </c>
      <c r="CV12" s="314" t="s">
        <v>203</v>
      </c>
      <c r="CW12" s="314" t="s">
        <v>203</v>
      </c>
      <c r="CX12" s="314" t="s">
        <v>203</v>
      </c>
      <c r="CY12" s="314" t="s">
        <v>203</v>
      </c>
      <c r="CZ12" s="314" t="s">
        <v>203</v>
      </c>
      <c r="DA12" s="314" t="s">
        <v>203</v>
      </c>
      <c r="DB12" s="314" t="s">
        <v>203</v>
      </c>
      <c r="DC12" s="314" t="s">
        <v>203</v>
      </c>
      <c r="DD12" s="314" t="s">
        <v>203</v>
      </c>
      <c r="DE12" s="314" t="s">
        <v>203</v>
      </c>
      <c r="DF12" s="314" t="s">
        <v>203</v>
      </c>
      <c r="DG12" s="314" t="s">
        <v>203</v>
      </c>
      <c r="DH12" s="314" t="s">
        <v>203</v>
      </c>
      <c r="DI12" s="314" t="s">
        <v>203</v>
      </c>
      <c r="DJ12" s="314" t="s">
        <v>203</v>
      </c>
      <c r="DK12" s="314" t="s">
        <v>203</v>
      </c>
      <c r="DL12" s="314" t="s">
        <v>203</v>
      </c>
      <c r="DM12" s="314" t="s">
        <v>203</v>
      </c>
      <c r="DN12" s="314" t="s">
        <v>203</v>
      </c>
      <c r="DO12" s="314" t="s">
        <v>203</v>
      </c>
      <c r="DP12" s="314" t="s">
        <v>203</v>
      </c>
      <c r="DQ12" s="314" t="s">
        <v>203</v>
      </c>
      <c r="DR12" s="314" t="s">
        <v>203</v>
      </c>
      <c r="DS12" s="314" t="s">
        <v>203</v>
      </c>
      <c r="DT12" s="314" t="s">
        <v>203</v>
      </c>
      <c r="DU12" s="314" t="s">
        <v>203</v>
      </c>
      <c r="DV12" s="314" t="s">
        <v>203</v>
      </c>
      <c r="DW12" s="314" t="s">
        <v>203</v>
      </c>
      <c r="DX12" s="314" t="s">
        <v>203</v>
      </c>
      <c r="DY12" s="314" t="s">
        <v>203</v>
      </c>
      <c r="DZ12" s="314" t="s">
        <v>203</v>
      </c>
      <c r="EA12" s="314" t="s">
        <v>203</v>
      </c>
      <c r="EB12" s="314" t="s">
        <v>203</v>
      </c>
      <c r="EC12" s="314" t="s">
        <v>203</v>
      </c>
      <c r="ED12" s="314" t="s">
        <v>203</v>
      </c>
      <c r="EE12" s="314" t="s">
        <v>203</v>
      </c>
      <c r="EF12" s="314" t="s">
        <v>203</v>
      </c>
      <c r="EG12" s="314" t="s">
        <v>203</v>
      </c>
      <c r="EH12" s="314" t="s">
        <v>203</v>
      </c>
      <c r="EI12" s="314" t="s">
        <v>203</v>
      </c>
      <c r="EJ12" s="314" t="s">
        <v>203</v>
      </c>
      <c r="EK12" s="314" t="s">
        <v>203</v>
      </c>
      <c r="EL12" s="314" t="s">
        <v>203</v>
      </c>
      <c r="EM12" s="314" t="s">
        <v>203</v>
      </c>
      <c r="EN12" s="314" t="s">
        <v>203</v>
      </c>
      <c r="EO12" s="314" t="s">
        <v>203</v>
      </c>
      <c r="EP12" s="314" t="s">
        <v>203</v>
      </c>
      <c r="EQ12" s="314" t="s">
        <v>203</v>
      </c>
      <c r="ER12" s="314" t="s">
        <v>203</v>
      </c>
      <c r="ES12" s="314" t="s">
        <v>203</v>
      </c>
      <c r="ET12" s="314" t="s">
        <v>203</v>
      </c>
      <c r="EU12" s="314" t="s">
        <v>203</v>
      </c>
      <c r="EV12" s="314" t="s">
        <v>203</v>
      </c>
      <c r="EW12" s="314" t="s">
        <v>203</v>
      </c>
      <c r="EX12" s="314" t="s">
        <v>203</v>
      </c>
      <c r="EY12" s="314" t="s">
        <v>203</v>
      </c>
      <c r="EZ12" s="314" t="s">
        <v>203</v>
      </c>
      <c r="FA12" s="314" t="s">
        <v>203</v>
      </c>
      <c r="FB12" s="314" t="s">
        <v>203</v>
      </c>
      <c r="FC12" s="314" t="s">
        <v>203</v>
      </c>
      <c r="FD12" s="314" t="s">
        <v>203</v>
      </c>
      <c r="FE12" s="314" t="s">
        <v>203</v>
      </c>
      <c r="FF12" s="314" t="s">
        <v>203</v>
      </c>
      <c r="FG12" s="314" t="s">
        <v>203</v>
      </c>
      <c r="FH12" s="314" t="s">
        <v>203</v>
      </c>
      <c r="FI12" s="314" t="s">
        <v>203</v>
      </c>
      <c r="FJ12" s="314" t="s">
        <v>203</v>
      </c>
      <c r="FK12" s="314" t="s">
        <v>203</v>
      </c>
      <c r="FL12" s="314" t="s">
        <v>203</v>
      </c>
      <c r="FM12" s="314" t="s">
        <v>203</v>
      </c>
      <c r="FN12" s="314" t="s">
        <v>203</v>
      </c>
      <c r="FO12" s="314" t="s">
        <v>203</v>
      </c>
      <c r="FP12" s="314" t="s">
        <v>203</v>
      </c>
      <c r="FQ12" s="314" t="s">
        <v>203</v>
      </c>
      <c r="FR12" s="314" t="s">
        <v>203</v>
      </c>
      <c r="FS12" s="314" t="s">
        <v>203</v>
      </c>
      <c r="FT12" s="314" t="s">
        <v>203</v>
      </c>
      <c r="FU12" s="314" t="s">
        <v>203</v>
      </c>
      <c r="FV12" s="314" t="s">
        <v>203</v>
      </c>
      <c r="FW12" s="314" t="s">
        <v>203</v>
      </c>
      <c r="FX12" s="314" t="s">
        <v>203</v>
      </c>
      <c r="FY12" s="314" t="s">
        <v>203</v>
      </c>
      <c r="FZ12" s="314" t="s">
        <v>203</v>
      </c>
      <c r="GA12" s="314" t="s">
        <v>203</v>
      </c>
      <c r="GB12" s="314" t="s">
        <v>203</v>
      </c>
      <c r="GC12" s="314" t="s">
        <v>203</v>
      </c>
      <c r="GD12" s="314" t="s">
        <v>203</v>
      </c>
      <c r="GE12" s="314" t="s">
        <v>203</v>
      </c>
      <c r="GF12" s="314" t="s">
        <v>203</v>
      </c>
      <c r="GG12" s="314" t="s">
        <v>203</v>
      </c>
      <c r="GH12" s="314" t="s">
        <v>203</v>
      </c>
      <c r="GI12" s="314" t="s">
        <v>203</v>
      </c>
      <c r="GJ12" s="314" t="s">
        <v>203</v>
      </c>
      <c r="GK12" s="314" t="s">
        <v>203</v>
      </c>
      <c r="GL12" s="314" t="s">
        <v>203</v>
      </c>
      <c r="GM12" s="314" t="s">
        <v>203</v>
      </c>
      <c r="GN12" s="314" t="s">
        <v>203</v>
      </c>
      <c r="GO12" s="314" t="s">
        <v>203</v>
      </c>
      <c r="GP12" s="314" t="s">
        <v>203</v>
      </c>
      <c r="GQ12" s="314" t="s">
        <v>203</v>
      </c>
      <c r="GR12" s="314" t="s">
        <v>203</v>
      </c>
      <c r="GS12" s="314" t="s">
        <v>203</v>
      </c>
      <c r="GT12" s="314" t="s">
        <v>203</v>
      </c>
      <c r="GU12" s="314" t="s">
        <v>203</v>
      </c>
      <c r="GV12" s="314" t="s">
        <v>203</v>
      </c>
      <c r="GW12" s="314" t="s">
        <v>203</v>
      </c>
      <c r="GX12" s="314" t="s">
        <v>203</v>
      </c>
      <c r="GY12" s="314" t="s">
        <v>203</v>
      </c>
      <c r="GZ12" s="314" t="s">
        <v>203</v>
      </c>
      <c r="HA12" s="314" t="s">
        <v>203</v>
      </c>
      <c r="HB12" s="314" t="s">
        <v>203</v>
      </c>
      <c r="HC12" s="314" t="s">
        <v>203</v>
      </c>
      <c r="HD12" s="314" t="s">
        <v>203</v>
      </c>
      <c r="HE12" s="314" t="s">
        <v>203</v>
      </c>
      <c r="HF12" s="314" t="s">
        <v>203</v>
      </c>
      <c r="HG12" s="314" t="s">
        <v>203</v>
      </c>
      <c r="HH12" s="314" t="s">
        <v>203</v>
      </c>
      <c r="HI12" s="314" t="s">
        <v>203</v>
      </c>
      <c r="HJ12" s="314" t="s">
        <v>203</v>
      </c>
      <c r="HK12" s="314" t="s">
        <v>203</v>
      </c>
      <c r="HL12" s="314" t="s">
        <v>203</v>
      </c>
      <c r="HM12" s="314" t="s">
        <v>203</v>
      </c>
      <c r="HN12" s="314" t="s">
        <v>203</v>
      </c>
      <c r="HO12" s="314" t="s">
        <v>203</v>
      </c>
      <c r="HP12" s="314" t="s">
        <v>203</v>
      </c>
      <c r="HQ12" s="314" t="s">
        <v>203</v>
      </c>
      <c r="HR12" s="314" t="s">
        <v>203</v>
      </c>
      <c r="HS12" s="314" t="s">
        <v>203</v>
      </c>
      <c r="HT12" s="314" t="s">
        <v>203</v>
      </c>
      <c r="HU12" s="314" t="s">
        <v>203</v>
      </c>
      <c r="HV12" s="314" t="s">
        <v>203</v>
      </c>
      <c r="HW12" s="314" t="s">
        <v>203</v>
      </c>
      <c r="HX12" s="314" t="s">
        <v>203</v>
      </c>
      <c r="HY12" s="314" t="s">
        <v>203</v>
      </c>
      <c r="HZ12" s="314" t="s">
        <v>203</v>
      </c>
      <c r="IA12" s="314" t="s">
        <v>203</v>
      </c>
      <c r="IB12" s="314" t="s">
        <v>203</v>
      </c>
      <c r="IC12" s="314" t="s">
        <v>203</v>
      </c>
      <c r="ID12" s="314" t="s">
        <v>203</v>
      </c>
      <c r="IE12" s="314" t="s">
        <v>203</v>
      </c>
      <c r="IF12" s="314" t="s">
        <v>203</v>
      </c>
      <c r="IG12" s="314" t="s">
        <v>203</v>
      </c>
      <c r="IH12" s="314" t="s">
        <v>203</v>
      </c>
      <c r="II12" s="314" t="s">
        <v>203</v>
      </c>
      <c r="IJ12" s="314" t="s">
        <v>203</v>
      </c>
      <c r="IK12" s="314" t="s">
        <v>203</v>
      </c>
      <c r="IL12" s="314" t="s">
        <v>203</v>
      </c>
      <c r="IM12" s="314" t="s">
        <v>203</v>
      </c>
      <c r="IN12" s="314" t="s">
        <v>203</v>
      </c>
      <c r="IO12" s="314" t="s">
        <v>203</v>
      </c>
      <c r="IP12" s="314" t="s">
        <v>203</v>
      </c>
      <c r="IQ12" s="314" t="s">
        <v>203</v>
      </c>
      <c r="IR12" s="314" t="s">
        <v>203</v>
      </c>
      <c r="IS12" s="314" t="s">
        <v>203</v>
      </c>
      <c r="IT12" s="314" t="s">
        <v>203</v>
      </c>
      <c r="IU12" s="314" t="s">
        <v>203</v>
      </c>
      <c r="IV12" s="314" t="s">
        <v>203</v>
      </c>
      <c r="IW12" s="314" t="s">
        <v>203</v>
      </c>
      <c r="IX12" s="314" t="s">
        <v>203</v>
      </c>
      <c r="IY12" s="314" t="s">
        <v>203</v>
      </c>
      <c r="IZ12" s="314" t="s">
        <v>203</v>
      </c>
      <c r="JA12" s="314" t="s">
        <v>203</v>
      </c>
      <c r="JB12" s="314" t="s">
        <v>203</v>
      </c>
      <c r="JC12" s="314" t="s">
        <v>203</v>
      </c>
      <c r="JD12" s="314" t="s">
        <v>203</v>
      </c>
      <c r="JE12" s="314" t="s">
        <v>203</v>
      </c>
      <c r="JF12" s="314" t="s">
        <v>203</v>
      </c>
      <c r="JG12" s="314" t="s">
        <v>203</v>
      </c>
      <c r="JH12" s="314" t="s">
        <v>203</v>
      </c>
      <c r="JI12" s="314" t="s">
        <v>203</v>
      </c>
      <c r="JJ12" s="314" t="s">
        <v>203</v>
      </c>
      <c r="JK12" s="314" t="s">
        <v>203</v>
      </c>
      <c r="JL12" s="314" t="s">
        <v>203</v>
      </c>
      <c r="JM12" s="314" t="s">
        <v>203</v>
      </c>
      <c r="JN12" s="314" t="s">
        <v>203</v>
      </c>
      <c r="JO12" s="314" t="s">
        <v>203</v>
      </c>
      <c r="JP12" s="314" t="s">
        <v>203</v>
      </c>
      <c r="JQ12" s="314" t="s">
        <v>203</v>
      </c>
      <c r="JR12" s="314" t="s">
        <v>203</v>
      </c>
      <c r="JS12" s="314" t="s">
        <v>203</v>
      </c>
      <c r="JT12" s="314" t="s">
        <v>203</v>
      </c>
      <c r="JU12" s="314" t="s">
        <v>203</v>
      </c>
      <c r="JV12" s="314" t="s">
        <v>203</v>
      </c>
      <c r="JW12" s="314" t="s">
        <v>203</v>
      </c>
      <c r="JX12" s="314" t="s">
        <v>203</v>
      </c>
      <c r="JY12" s="314" t="s">
        <v>203</v>
      </c>
      <c r="JZ12" s="314" t="s">
        <v>203</v>
      </c>
      <c r="KA12" s="314" t="s">
        <v>203</v>
      </c>
      <c r="KB12" s="314" t="s">
        <v>203</v>
      </c>
      <c r="KC12" s="314" t="s">
        <v>203</v>
      </c>
      <c r="KD12" s="314" t="s">
        <v>203</v>
      </c>
      <c r="KE12" s="314" t="s">
        <v>203</v>
      </c>
      <c r="KF12" s="314" t="s">
        <v>203</v>
      </c>
      <c r="KG12" s="314" t="s">
        <v>203</v>
      </c>
      <c r="KH12" s="314" t="s">
        <v>203</v>
      </c>
      <c r="KI12" s="314" t="s">
        <v>203</v>
      </c>
      <c r="KJ12" s="314" t="s">
        <v>203</v>
      </c>
      <c r="KK12" s="314" t="s">
        <v>203</v>
      </c>
      <c r="KL12" s="314" t="s">
        <v>203</v>
      </c>
      <c r="KM12" s="314" t="s">
        <v>203</v>
      </c>
      <c r="KN12" s="314" t="s">
        <v>203</v>
      </c>
      <c r="KO12" s="314" t="s">
        <v>203</v>
      </c>
      <c r="KP12" s="314" t="s">
        <v>203</v>
      </c>
      <c r="KQ12" s="314" t="s">
        <v>203</v>
      </c>
      <c r="KR12" s="314" t="s">
        <v>203</v>
      </c>
      <c r="KS12" s="314" t="s">
        <v>203</v>
      </c>
      <c r="KT12" s="314" t="s">
        <v>203</v>
      </c>
      <c r="KU12" s="314" t="s">
        <v>203</v>
      </c>
      <c r="KV12" s="314" t="s">
        <v>203</v>
      </c>
      <c r="KW12" s="314" t="s">
        <v>203</v>
      </c>
      <c r="KX12" s="314" t="s">
        <v>203</v>
      </c>
      <c r="KY12" s="314" t="s">
        <v>203</v>
      </c>
      <c r="KZ12" s="314" t="s">
        <v>203</v>
      </c>
      <c r="LA12" s="314" t="s">
        <v>203</v>
      </c>
      <c r="LB12" s="314" t="s">
        <v>203</v>
      </c>
      <c r="LC12" s="314" t="s">
        <v>203</v>
      </c>
      <c r="LD12" s="314" t="s">
        <v>203</v>
      </c>
      <c r="LE12" s="314" t="s">
        <v>203</v>
      </c>
      <c r="LF12" s="314" t="s">
        <v>203</v>
      </c>
      <c r="LG12" s="314" t="s">
        <v>203</v>
      </c>
      <c r="LH12" s="314" t="s">
        <v>203</v>
      </c>
      <c r="LI12" s="314" t="s">
        <v>203</v>
      </c>
      <c r="LJ12" s="314" t="s">
        <v>203</v>
      </c>
      <c r="LK12" s="314" t="s">
        <v>203</v>
      </c>
      <c r="LL12" s="314" t="s">
        <v>203</v>
      </c>
      <c r="LM12" s="314" t="s">
        <v>203</v>
      </c>
      <c r="LN12" s="314" t="s">
        <v>203</v>
      </c>
      <c r="LO12" s="314" t="s">
        <v>203</v>
      </c>
      <c r="LP12" s="314" t="s">
        <v>203</v>
      </c>
      <c r="LQ12" s="314" t="s">
        <v>203</v>
      </c>
      <c r="LR12" s="314" t="s">
        <v>203</v>
      </c>
      <c r="LS12" s="314" t="s">
        <v>203</v>
      </c>
      <c r="LT12" s="314" t="s">
        <v>203</v>
      </c>
      <c r="LU12" s="314" t="s">
        <v>203</v>
      </c>
      <c r="LV12" s="314" t="s">
        <v>203</v>
      </c>
      <c r="LW12" s="314" t="s">
        <v>203</v>
      </c>
      <c r="LX12" s="314" t="s">
        <v>203</v>
      </c>
      <c r="LY12" s="314" t="s">
        <v>203</v>
      </c>
      <c r="LZ12" s="314" t="s">
        <v>203</v>
      </c>
      <c r="MA12" s="314" t="s">
        <v>203</v>
      </c>
      <c r="MB12" s="314" t="s">
        <v>203</v>
      </c>
      <c r="MC12" s="314" t="s">
        <v>203</v>
      </c>
      <c r="MD12" s="314" t="s">
        <v>203</v>
      </c>
      <c r="ME12" s="314" t="s">
        <v>203</v>
      </c>
      <c r="MF12" s="314" t="s">
        <v>203</v>
      </c>
      <c r="MG12" s="314" t="s">
        <v>203</v>
      </c>
      <c r="MH12" s="314" t="s">
        <v>203</v>
      </c>
      <c r="MI12" s="314" t="s">
        <v>203</v>
      </c>
      <c r="MJ12" s="314" t="s">
        <v>203</v>
      </c>
      <c r="MK12" s="314" t="s">
        <v>203</v>
      </c>
      <c r="ML12" s="314" t="s">
        <v>203</v>
      </c>
      <c r="MM12" s="314" t="s">
        <v>203</v>
      </c>
      <c r="MN12" s="314" t="s">
        <v>203</v>
      </c>
      <c r="MO12" s="314" t="s">
        <v>203</v>
      </c>
      <c r="MP12" s="314" t="s">
        <v>203</v>
      </c>
      <c r="MQ12" s="314" t="s">
        <v>203</v>
      </c>
      <c r="MR12" s="314" t="s">
        <v>203</v>
      </c>
      <c r="MS12" s="314" t="s">
        <v>203</v>
      </c>
      <c r="MT12" s="314" t="s">
        <v>203</v>
      </c>
      <c r="MU12" s="314" t="s">
        <v>203</v>
      </c>
      <c r="MV12" s="314" t="s">
        <v>203</v>
      </c>
      <c r="MW12" s="314" t="s">
        <v>203</v>
      </c>
      <c r="MX12" s="314" t="s">
        <v>203</v>
      </c>
      <c r="MY12" s="314" t="s">
        <v>203</v>
      </c>
      <c r="MZ12" s="314" t="s">
        <v>203</v>
      </c>
      <c r="NA12" s="314" t="s">
        <v>203</v>
      </c>
      <c r="NB12" s="314" t="s">
        <v>203</v>
      </c>
      <c r="NC12" s="314" t="s">
        <v>203</v>
      </c>
      <c r="ND12" s="314" t="s">
        <v>203</v>
      </c>
      <c r="NE12" s="314" t="s">
        <v>203</v>
      </c>
      <c r="NF12" s="314" t="s">
        <v>203</v>
      </c>
      <c r="NG12" s="314" t="s">
        <v>203</v>
      </c>
      <c r="NH12" s="314" t="s">
        <v>203</v>
      </c>
      <c r="NI12" s="314" t="s">
        <v>203</v>
      </c>
      <c r="NJ12" s="314" t="s">
        <v>203</v>
      </c>
      <c r="NK12" s="314" t="s">
        <v>203</v>
      </c>
      <c r="NL12" s="314" t="s">
        <v>203</v>
      </c>
      <c r="NM12" s="314" t="s">
        <v>203</v>
      </c>
      <c r="NN12" s="314" t="s">
        <v>203</v>
      </c>
      <c r="NO12" s="314" t="s">
        <v>203</v>
      </c>
      <c r="NP12" s="314" t="s">
        <v>203</v>
      </c>
      <c r="NQ12" s="314" t="s">
        <v>203</v>
      </c>
      <c r="NR12" s="314" t="s">
        <v>203</v>
      </c>
      <c r="NS12" s="314" t="s">
        <v>203</v>
      </c>
      <c r="NT12" s="314" t="s">
        <v>203</v>
      </c>
      <c r="NU12" s="314" t="s">
        <v>203</v>
      </c>
      <c r="NV12" s="314" t="s">
        <v>203</v>
      </c>
      <c r="NW12" s="314" t="s">
        <v>203</v>
      </c>
      <c r="NX12" s="314" t="s">
        <v>203</v>
      </c>
      <c r="NY12" s="314" t="s">
        <v>203</v>
      </c>
      <c r="NZ12" s="314" t="s">
        <v>203</v>
      </c>
      <c r="OA12" s="314" t="s">
        <v>203</v>
      </c>
      <c r="OB12" s="314" t="s">
        <v>203</v>
      </c>
      <c r="OC12" s="314" t="s">
        <v>203</v>
      </c>
      <c r="OD12" s="314" t="s">
        <v>203</v>
      </c>
      <c r="OE12" s="314" t="s">
        <v>203</v>
      </c>
      <c r="OF12" s="314" t="s">
        <v>203</v>
      </c>
      <c r="OG12" s="314" t="s">
        <v>203</v>
      </c>
      <c r="OH12" s="314" t="s">
        <v>203</v>
      </c>
      <c r="OI12" s="314" t="s">
        <v>203</v>
      </c>
      <c r="OJ12" s="314" t="s">
        <v>203</v>
      </c>
      <c r="OK12" s="314" t="s">
        <v>203</v>
      </c>
      <c r="OL12" s="314" t="s">
        <v>203</v>
      </c>
      <c r="OM12" s="314" t="s">
        <v>203</v>
      </c>
      <c r="ON12" s="314" t="s">
        <v>203</v>
      </c>
      <c r="OO12" s="314" t="s">
        <v>203</v>
      </c>
      <c r="OP12" s="314" t="s">
        <v>203</v>
      </c>
      <c r="OQ12" s="314" t="s">
        <v>203</v>
      </c>
      <c r="OR12" s="314" t="s">
        <v>203</v>
      </c>
      <c r="OS12" s="314" t="s">
        <v>203</v>
      </c>
      <c r="OT12" s="314" t="s">
        <v>203</v>
      </c>
      <c r="OU12" s="314" t="s">
        <v>203</v>
      </c>
      <c r="OV12" s="314" t="s">
        <v>203</v>
      </c>
      <c r="OW12" s="314" t="s">
        <v>203</v>
      </c>
      <c r="OX12" s="314" t="s">
        <v>203</v>
      </c>
      <c r="OY12" s="314" t="s">
        <v>203</v>
      </c>
      <c r="OZ12" s="314" t="s">
        <v>203</v>
      </c>
      <c r="PA12" s="314" t="s">
        <v>203</v>
      </c>
      <c r="PB12" s="314" t="s">
        <v>203</v>
      </c>
      <c r="PC12" s="314" t="s">
        <v>203</v>
      </c>
      <c r="PD12" s="314" t="s">
        <v>203</v>
      </c>
      <c r="PE12" s="314" t="s">
        <v>203</v>
      </c>
      <c r="PF12" s="314" t="s">
        <v>203</v>
      </c>
      <c r="PG12" s="314" t="s">
        <v>203</v>
      </c>
      <c r="PH12" s="314" t="s">
        <v>203</v>
      </c>
      <c r="PI12" s="314" t="s">
        <v>203</v>
      </c>
      <c r="PJ12" s="314" t="s">
        <v>203</v>
      </c>
      <c r="PK12" s="314" t="s">
        <v>203</v>
      </c>
      <c r="PL12" s="314" t="s">
        <v>203</v>
      </c>
      <c r="PM12" s="314" t="s">
        <v>203</v>
      </c>
      <c r="PN12" s="314" t="s">
        <v>203</v>
      </c>
      <c r="PO12" s="314" t="s">
        <v>203</v>
      </c>
      <c r="PP12" s="314" t="s">
        <v>203</v>
      </c>
      <c r="PQ12" s="314" t="s">
        <v>203</v>
      </c>
      <c r="PR12" s="314" t="s">
        <v>203</v>
      </c>
      <c r="PS12" s="314" t="s">
        <v>203</v>
      </c>
      <c r="PT12" s="314" t="s">
        <v>203</v>
      </c>
      <c r="PU12" s="314" t="s">
        <v>203</v>
      </c>
      <c r="PV12" s="314" t="s">
        <v>203</v>
      </c>
      <c r="PW12" s="314" t="s">
        <v>203</v>
      </c>
      <c r="PX12" s="314" t="s">
        <v>203</v>
      </c>
      <c r="PY12" s="314" t="s">
        <v>203</v>
      </c>
      <c r="PZ12" s="314" t="s">
        <v>203</v>
      </c>
      <c r="QA12" s="314" t="s">
        <v>203</v>
      </c>
      <c r="QB12" s="314" t="s">
        <v>203</v>
      </c>
      <c r="QC12" s="314" t="s">
        <v>203</v>
      </c>
      <c r="QD12" s="314" t="s">
        <v>203</v>
      </c>
      <c r="QE12" s="314" t="s">
        <v>203</v>
      </c>
      <c r="QF12" s="314" t="s">
        <v>203</v>
      </c>
      <c r="QG12" s="314" t="s">
        <v>203</v>
      </c>
      <c r="QH12" s="314" t="s">
        <v>203</v>
      </c>
      <c r="QI12" s="314" t="s">
        <v>203</v>
      </c>
      <c r="QJ12" s="314" t="s">
        <v>203</v>
      </c>
      <c r="QK12" s="314" t="s">
        <v>203</v>
      </c>
      <c r="QL12" s="314" t="s">
        <v>203</v>
      </c>
      <c r="QM12" s="314" t="s">
        <v>203</v>
      </c>
      <c r="QN12" s="314" t="s">
        <v>203</v>
      </c>
      <c r="QO12" s="314" t="s">
        <v>203</v>
      </c>
      <c r="QP12" s="314" t="s">
        <v>203</v>
      </c>
      <c r="QQ12" s="314" t="s">
        <v>203</v>
      </c>
      <c r="QR12" s="314" t="s">
        <v>203</v>
      </c>
      <c r="QS12" s="314" t="s">
        <v>203</v>
      </c>
      <c r="QT12" s="314" t="s">
        <v>203</v>
      </c>
      <c r="QU12" s="314" t="s">
        <v>203</v>
      </c>
      <c r="QV12" s="314" t="s">
        <v>203</v>
      </c>
      <c r="QW12" s="314" t="s">
        <v>203</v>
      </c>
      <c r="QX12" s="314" t="s">
        <v>203</v>
      </c>
      <c r="QY12" s="314" t="s">
        <v>203</v>
      </c>
      <c r="QZ12" s="314" t="s">
        <v>203</v>
      </c>
      <c r="RA12" s="314" t="s">
        <v>203</v>
      </c>
      <c r="RB12" s="314" t="s">
        <v>203</v>
      </c>
      <c r="RC12" s="314" t="s">
        <v>203</v>
      </c>
      <c r="RD12" s="314" t="s">
        <v>203</v>
      </c>
      <c r="RE12" s="314" t="s">
        <v>203</v>
      </c>
      <c r="RF12" s="314" t="s">
        <v>203</v>
      </c>
      <c r="RG12" s="314" t="s">
        <v>203</v>
      </c>
      <c r="RH12" s="314" t="s">
        <v>203</v>
      </c>
      <c r="RI12" s="314" t="s">
        <v>203</v>
      </c>
      <c r="RJ12" s="314" t="s">
        <v>203</v>
      </c>
      <c r="RK12" s="314" t="s">
        <v>203</v>
      </c>
      <c r="RL12" s="314" t="s">
        <v>203</v>
      </c>
      <c r="RM12" s="314" t="s">
        <v>203</v>
      </c>
      <c r="RN12" s="314" t="s">
        <v>203</v>
      </c>
      <c r="RO12" s="314" t="s">
        <v>203</v>
      </c>
      <c r="RP12" s="314" t="s">
        <v>203</v>
      </c>
      <c r="RQ12" s="314" t="s">
        <v>203</v>
      </c>
      <c r="RR12" s="314" t="s">
        <v>203</v>
      </c>
      <c r="RS12" s="314" t="s">
        <v>203</v>
      </c>
      <c r="RT12" s="314" t="s">
        <v>203</v>
      </c>
      <c r="RU12" s="314" t="s">
        <v>203</v>
      </c>
      <c r="RV12" s="314" t="s">
        <v>203</v>
      </c>
      <c r="RW12" s="314" t="s">
        <v>203</v>
      </c>
      <c r="RX12" s="314" t="s">
        <v>203</v>
      </c>
      <c r="RY12" s="314" t="s">
        <v>203</v>
      </c>
      <c r="RZ12" s="314" t="s">
        <v>203</v>
      </c>
      <c r="SA12" s="314" t="s">
        <v>203</v>
      </c>
      <c r="SB12" s="314" t="s">
        <v>203</v>
      </c>
      <c r="SC12" s="314" t="s">
        <v>203</v>
      </c>
      <c r="SD12" s="314" t="s">
        <v>203</v>
      </c>
      <c r="SE12" s="314" t="s">
        <v>203</v>
      </c>
      <c r="SF12" s="314" t="s">
        <v>203</v>
      </c>
      <c r="SG12" s="314" t="s">
        <v>203</v>
      </c>
      <c r="SH12" s="314" t="s">
        <v>203</v>
      </c>
      <c r="SI12" s="314" t="s">
        <v>203</v>
      </c>
      <c r="SJ12" s="314" t="s">
        <v>203</v>
      </c>
      <c r="SK12" s="314" t="s">
        <v>203</v>
      </c>
      <c r="SL12" s="314" t="s">
        <v>203</v>
      </c>
      <c r="SM12" s="314" t="s">
        <v>203</v>
      </c>
      <c r="SN12" s="314" t="s">
        <v>203</v>
      </c>
      <c r="SO12" s="314" t="s">
        <v>203</v>
      </c>
      <c r="SP12" s="314" t="s">
        <v>203</v>
      </c>
      <c r="SQ12" s="314" t="s">
        <v>203</v>
      </c>
      <c r="SR12" s="314" t="s">
        <v>203</v>
      </c>
      <c r="SS12" s="314" t="s">
        <v>203</v>
      </c>
      <c r="ST12" s="314" t="s">
        <v>203</v>
      </c>
      <c r="SU12" s="314" t="s">
        <v>203</v>
      </c>
      <c r="SV12" s="314" t="s">
        <v>203</v>
      </c>
      <c r="SW12" s="314" t="s">
        <v>203</v>
      </c>
      <c r="SX12" s="314" t="s">
        <v>203</v>
      </c>
      <c r="SY12" s="314" t="s">
        <v>203</v>
      </c>
      <c r="SZ12" s="314" t="s">
        <v>203</v>
      </c>
      <c r="TA12" s="314" t="s">
        <v>203</v>
      </c>
      <c r="TB12" s="314" t="s">
        <v>203</v>
      </c>
      <c r="TC12" s="314" t="s">
        <v>203</v>
      </c>
      <c r="TD12" s="314" t="s">
        <v>203</v>
      </c>
      <c r="TE12" s="314" t="s">
        <v>203</v>
      </c>
      <c r="TF12" s="314" t="s">
        <v>203</v>
      </c>
      <c r="TG12" s="314" t="s">
        <v>203</v>
      </c>
      <c r="TH12" s="314" t="s">
        <v>203</v>
      </c>
      <c r="TI12" s="314" t="s">
        <v>203</v>
      </c>
      <c r="TJ12" s="314" t="s">
        <v>203</v>
      </c>
      <c r="TK12" s="314" t="s">
        <v>203</v>
      </c>
      <c r="TL12" s="314" t="s">
        <v>203</v>
      </c>
      <c r="TM12" s="314" t="s">
        <v>203</v>
      </c>
      <c r="TN12" s="314" t="s">
        <v>203</v>
      </c>
      <c r="TO12" s="314" t="s">
        <v>203</v>
      </c>
      <c r="TP12" s="314" t="s">
        <v>203</v>
      </c>
      <c r="TQ12" s="314" t="s">
        <v>203</v>
      </c>
      <c r="TR12" s="314" t="s">
        <v>203</v>
      </c>
      <c r="TS12" s="314" t="s">
        <v>203</v>
      </c>
      <c r="TT12" s="314" t="s">
        <v>203</v>
      </c>
      <c r="TU12" s="314" t="s">
        <v>203</v>
      </c>
      <c r="TV12" s="314" t="s">
        <v>203</v>
      </c>
      <c r="TW12" s="314" t="s">
        <v>203</v>
      </c>
      <c r="TX12" s="314" t="s">
        <v>203</v>
      </c>
      <c r="TY12" s="314" t="s">
        <v>203</v>
      </c>
      <c r="TZ12" s="314" t="s">
        <v>203</v>
      </c>
      <c r="UA12" s="314" t="s">
        <v>203</v>
      </c>
      <c r="UB12" s="314" t="s">
        <v>203</v>
      </c>
      <c r="UC12" s="314" t="s">
        <v>203</v>
      </c>
      <c r="UD12" s="314" t="s">
        <v>203</v>
      </c>
      <c r="UE12" s="314" t="s">
        <v>203</v>
      </c>
      <c r="UF12" s="314" t="s">
        <v>203</v>
      </c>
      <c r="UG12" s="314" t="s">
        <v>203</v>
      </c>
      <c r="UH12" s="314" t="s">
        <v>203</v>
      </c>
      <c r="UI12" s="314" t="s">
        <v>203</v>
      </c>
      <c r="UJ12" s="314" t="s">
        <v>203</v>
      </c>
      <c r="UK12" s="314" t="s">
        <v>203</v>
      </c>
      <c r="UL12" s="314" t="s">
        <v>203</v>
      </c>
      <c r="UM12" s="314" t="s">
        <v>203</v>
      </c>
      <c r="UN12" s="314" t="s">
        <v>203</v>
      </c>
      <c r="UO12" s="314" t="s">
        <v>203</v>
      </c>
      <c r="UP12" s="314" t="s">
        <v>203</v>
      </c>
      <c r="UQ12" s="314" t="s">
        <v>203</v>
      </c>
      <c r="UR12" s="314" t="s">
        <v>203</v>
      </c>
      <c r="US12" s="314" t="s">
        <v>203</v>
      </c>
      <c r="UT12" s="314" t="s">
        <v>203</v>
      </c>
      <c r="UU12" s="314" t="s">
        <v>203</v>
      </c>
      <c r="UV12" s="314" t="s">
        <v>203</v>
      </c>
      <c r="UW12" s="314" t="s">
        <v>203</v>
      </c>
      <c r="UX12" s="314" t="s">
        <v>203</v>
      </c>
      <c r="UY12" s="314" t="s">
        <v>203</v>
      </c>
      <c r="UZ12" s="314" t="s">
        <v>203</v>
      </c>
      <c r="VA12" s="314" t="s">
        <v>203</v>
      </c>
      <c r="VB12" s="314" t="s">
        <v>203</v>
      </c>
      <c r="VC12" s="314" t="s">
        <v>203</v>
      </c>
      <c r="VD12" s="314" t="s">
        <v>203</v>
      </c>
      <c r="VE12" s="314" t="s">
        <v>203</v>
      </c>
      <c r="VF12" s="314" t="s">
        <v>203</v>
      </c>
      <c r="VG12" s="314" t="s">
        <v>203</v>
      </c>
      <c r="VH12" s="314" t="s">
        <v>203</v>
      </c>
      <c r="VI12" s="314" t="s">
        <v>203</v>
      </c>
      <c r="VJ12" s="314" t="s">
        <v>203</v>
      </c>
      <c r="VK12" s="314" t="s">
        <v>203</v>
      </c>
      <c r="VL12" s="314" t="s">
        <v>203</v>
      </c>
      <c r="VM12" s="314" t="s">
        <v>203</v>
      </c>
      <c r="VN12" s="314" t="s">
        <v>203</v>
      </c>
      <c r="VO12" s="314" t="s">
        <v>203</v>
      </c>
      <c r="VP12" s="314" t="s">
        <v>203</v>
      </c>
      <c r="VQ12" s="314" t="s">
        <v>203</v>
      </c>
      <c r="VR12" s="314" t="s">
        <v>203</v>
      </c>
      <c r="VS12" s="314" t="s">
        <v>203</v>
      </c>
      <c r="VT12" s="314" t="s">
        <v>203</v>
      </c>
      <c r="VU12" s="314" t="s">
        <v>203</v>
      </c>
      <c r="VV12" s="314" t="s">
        <v>203</v>
      </c>
      <c r="VW12" s="314" t="s">
        <v>203</v>
      </c>
      <c r="VX12" s="314" t="s">
        <v>203</v>
      </c>
      <c r="VY12" s="314" t="s">
        <v>203</v>
      </c>
      <c r="VZ12" s="314" t="s">
        <v>203</v>
      </c>
      <c r="WA12" s="314" t="s">
        <v>203</v>
      </c>
      <c r="WB12" s="314" t="s">
        <v>203</v>
      </c>
      <c r="WC12" s="314" t="s">
        <v>203</v>
      </c>
      <c r="WD12" s="314" t="s">
        <v>203</v>
      </c>
      <c r="WE12" s="314" t="s">
        <v>203</v>
      </c>
      <c r="WF12" s="314" t="s">
        <v>203</v>
      </c>
      <c r="WG12" s="314" t="s">
        <v>203</v>
      </c>
      <c r="WH12" s="314" t="s">
        <v>203</v>
      </c>
      <c r="WI12" s="314" t="s">
        <v>203</v>
      </c>
      <c r="WJ12" s="314" t="s">
        <v>203</v>
      </c>
      <c r="WK12" s="314" t="s">
        <v>203</v>
      </c>
      <c r="WL12" s="314" t="s">
        <v>203</v>
      </c>
      <c r="WM12" s="314" t="s">
        <v>203</v>
      </c>
      <c r="WN12" s="314" t="s">
        <v>203</v>
      </c>
      <c r="WO12" s="314" t="s">
        <v>203</v>
      </c>
      <c r="WP12" s="314" t="s">
        <v>203</v>
      </c>
      <c r="WQ12" s="314" t="s">
        <v>203</v>
      </c>
      <c r="WR12" s="314" t="s">
        <v>203</v>
      </c>
      <c r="WS12" s="314" t="s">
        <v>203</v>
      </c>
      <c r="WT12" s="314" t="s">
        <v>203</v>
      </c>
      <c r="WU12" s="314" t="s">
        <v>203</v>
      </c>
      <c r="WV12" s="314" t="s">
        <v>203</v>
      </c>
      <c r="WW12" s="314" t="s">
        <v>203</v>
      </c>
      <c r="WX12" s="314" t="s">
        <v>203</v>
      </c>
      <c r="WY12" s="314" t="s">
        <v>203</v>
      </c>
      <c r="WZ12" s="314" t="s">
        <v>203</v>
      </c>
      <c r="XA12" s="314" t="s">
        <v>203</v>
      </c>
      <c r="XB12" s="314" t="s">
        <v>203</v>
      </c>
      <c r="XC12" s="314" t="s">
        <v>203</v>
      </c>
      <c r="XD12" s="314" t="s">
        <v>203</v>
      </c>
      <c r="XE12" s="314" t="s">
        <v>203</v>
      </c>
      <c r="XF12" s="314" t="s">
        <v>203</v>
      </c>
      <c r="XG12" s="314" t="s">
        <v>203</v>
      </c>
      <c r="XH12" s="314" t="s">
        <v>203</v>
      </c>
      <c r="XI12" s="314" t="s">
        <v>203</v>
      </c>
      <c r="XJ12" s="314" t="s">
        <v>203</v>
      </c>
      <c r="XK12" s="314" t="s">
        <v>203</v>
      </c>
      <c r="XL12" s="314" t="s">
        <v>203</v>
      </c>
      <c r="XM12" s="314" t="s">
        <v>203</v>
      </c>
      <c r="XN12" s="314" t="s">
        <v>203</v>
      </c>
      <c r="XO12" s="314" t="s">
        <v>203</v>
      </c>
      <c r="XP12" s="314" t="s">
        <v>203</v>
      </c>
      <c r="XQ12" s="314" t="s">
        <v>203</v>
      </c>
      <c r="XR12" s="314" t="s">
        <v>203</v>
      </c>
      <c r="XS12" s="314" t="s">
        <v>203</v>
      </c>
      <c r="XT12" s="314" t="s">
        <v>203</v>
      </c>
      <c r="XU12" s="314" t="s">
        <v>203</v>
      </c>
      <c r="XV12" s="314" t="s">
        <v>203</v>
      </c>
      <c r="XW12" s="314" t="s">
        <v>203</v>
      </c>
      <c r="XX12" s="314" t="s">
        <v>203</v>
      </c>
      <c r="XY12" s="314" t="s">
        <v>203</v>
      </c>
      <c r="XZ12" s="314" t="s">
        <v>203</v>
      </c>
      <c r="YA12" s="314" t="s">
        <v>203</v>
      </c>
      <c r="YB12" s="314" t="s">
        <v>203</v>
      </c>
      <c r="YC12" s="314" t="s">
        <v>203</v>
      </c>
      <c r="YD12" s="314" t="s">
        <v>203</v>
      </c>
      <c r="YE12" s="314" t="s">
        <v>203</v>
      </c>
      <c r="YF12" s="314" t="s">
        <v>203</v>
      </c>
      <c r="YG12" s="314" t="s">
        <v>203</v>
      </c>
      <c r="YH12" s="314" t="s">
        <v>203</v>
      </c>
      <c r="YI12" s="314" t="s">
        <v>203</v>
      </c>
      <c r="YJ12" s="314" t="s">
        <v>203</v>
      </c>
      <c r="YK12" s="314" t="s">
        <v>203</v>
      </c>
      <c r="YL12" s="314" t="s">
        <v>203</v>
      </c>
      <c r="YM12" s="314" t="s">
        <v>203</v>
      </c>
      <c r="YN12" s="314" t="s">
        <v>203</v>
      </c>
      <c r="YO12" s="314" t="s">
        <v>203</v>
      </c>
      <c r="YP12" s="314" t="s">
        <v>203</v>
      </c>
      <c r="YQ12" s="314" t="s">
        <v>203</v>
      </c>
      <c r="YR12" s="314" t="s">
        <v>203</v>
      </c>
      <c r="YS12" s="314" t="s">
        <v>203</v>
      </c>
      <c r="YT12" s="314" t="s">
        <v>203</v>
      </c>
      <c r="YU12" s="314" t="s">
        <v>203</v>
      </c>
      <c r="YV12" s="314" t="s">
        <v>203</v>
      </c>
      <c r="YW12" s="314" t="s">
        <v>203</v>
      </c>
      <c r="YX12" s="314" t="s">
        <v>203</v>
      </c>
      <c r="YY12" s="314" t="s">
        <v>203</v>
      </c>
      <c r="YZ12" s="314" t="s">
        <v>203</v>
      </c>
      <c r="ZA12" s="314" t="s">
        <v>203</v>
      </c>
      <c r="ZB12" s="314" t="s">
        <v>203</v>
      </c>
      <c r="ZC12" s="314" t="s">
        <v>203</v>
      </c>
      <c r="ZD12" s="314" t="s">
        <v>203</v>
      </c>
      <c r="ZE12" s="314" t="s">
        <v>203</v>
      </c>
      <c r="ZF12" s="314" t="s">
        <v>203</v>
      </c>
      <c r="ZG12" s="314" t="s">
        <v>203</v>
      </c>
      <c r="ZH12" s="314" t="s">
        <v>203</v>
      </c>
      <c r="ZI12" s="314" t="s">
        <v>203</v>
      </c>
      <c r="ZJ12" s="314" t="s">
        <v>203</v>
      </c>
      <c r="ZK12" s="314" t="s">
        <v>203</v>
      </c>
      <c r="ZL12" s="314" t="s">
        <v>203</v>
      </c>
      <c r="ZM12" s="314" t="s">
        <v>203</v>
      </c>
      <c r="ZN12" s="314" t="s">
        <v>203</v>
      </c>
      <c r="ZO12" s="314" t="s">
        <v>203</v>
      </c>
      <c r="ZP12" s="314" t="s">
        <v>203</v>
      </c>
      <c r="ZQ12" s="314" t="s">
        <v>203</v>
      </c>
      <c r="ZR12" s="314" t="s">
        <v>203</v>
      </c>
      <c r="ZS12" s="314" t="s">
        <v>203</v>
      </c>
      <c r="ZT12" s="314" t="s">
        <v>203</v>
      </c>
      <c r="ZU12" s="314" t="s">
        <v>203</v>
      </c>
      <c r="ZV12" s="314" t="s">
        <v>203</v>
      </c>
      <c r="ZW12" s="314" t="s">
        <v>203</v>
      </c>
      <c r="ZX12" s="314" t="s">
        <v>203</v>
      </c>
      <c r="ZY12" s="314" t="s">
        <v>203</v>
      </c>
      <c r="ZZ12" s="314" t="s">
        <v>203</v>
      </c>
      <c r="AAA12" s="314" t="s">
        <v>203</v>
      </c>
      <c r="AAB12" s="314" t="s">
        <v>203</v>
      </c>
      <c r="AAC12" s="314" t="s">
        <v>203</v>
      </c>
      <c r="AAD12" s="314" t="s">
        <v>203</v>
      </c>
      <c r="AAE12" s="314" t="s">
        <v>203</v>
      </c>
      <c r="AAF12" s="314" t="s">
        <v>203</v>
      </c>
      <c r="AAG12" s="314" t="s">
        <v>203</v>
      </c>
      <c r="AAH12" s="314" t="s">
        <v>203</v>
      </c>
      <c r="AAI12" s="314" t="s">
        <v>203</v>
      </c>
      <c r="AAJ12" s="314" t="s">
        <v>203</v>
      </c>
      <c r="AAK12" s="314" t="s">
        <v>203</v>
      </c>
      <c r="AAL12" s="314" t="s">
        <v>203</v>
      </c>
      <c r="AAM12" s="314" t="s">
        <v>203</v>
      </c>
      <c r="AAN12" s="314" t="s">
        <v>203</v>
      </c>
      <c r="AAO12" s="314" t="s">
        <v>203</v>
      </c>
      <c r="AAP12" s="314" t="s">
        <v>203</v>
      </c>
      <c r="AAQ12" s="314" t="s">
        <v>203</v>
      </c>
      <c r="AAR12" s="314" t="s">
        <v>203</v>
      </c>
      <c r="AAS12" s="314" t="s">
        <v>203</v>
      </c>
      <c r="AAT12" s="314" t="s">
        <v>203</v>
      </c>
      <c r="AAU12" s="314" t="s">
        <v>203</v>
      </c>
      <c r="AAV12" s="314" t="s">
        <v>203</v>
      </c>
      <c r="AAW12" s="314" t="s">
        <v>203</v>
      </c>
      <c r="AAX12" s="314" t="s">
        <v>203</v>
      </c>
      <c r="AAY12" s="314" t="s">
        <v>203</v>
      </c>
      <c r="AAZ12" s="314" t="s">
        <v>203</v>
      </c>
      <c r="ABA12" s="314" t="s">
        <v>203</v>
      </c>
      <c r="ABB12" s="314" t="s">
        <v>203</v>
      </c>
      <c r="ABC12" s="314" t="s">
        <v>203</v>
      </c>
      <c r="ABD12" s="314" t="s">
        <v>203</v>
      </c>
      <c r="ABE12" s="314" t="s">
        <v>203</v>
      </c>
      <c r="ABF12" s="314" t="s">
        <v>203</v>
      </c>
      <c r="ABG12" s="314" t="s">
        <v>203</v>
      </c>
      <c r="ABH12" s="314" t="s">
        <v>203</v>
      </c>
      <c r="ABI12" s="314" t="s">
        <v>203</v>
      </c>
      <c r="ABJ12" s="314" t="s">
        <v>203</v>
      </c>
      <c r="ABK12" s="314" t="s">
        <v>203</v>
      </c>
      <c r="ABL12" s="314" t="s">
        <v>203</v>
      </c>
      <c r="ABM12" s="314" t="s">
        <v>203</v>
      </c>
      <c r="ABN12" s="314" t="s">
        <v>203</v>
      </c>
      <c r="ABO12" s="314" t="s">
        <v>203</v>
      </c>
      <c r="ABP12" s="314" t="s">
        <v>203</v>
      </c>
      <c r="ABQ12" s="314" t="s">
        <v>203</v>
      </c>
      <c r="ABR12" s="314" t="s">
        <v>203</v>
      </c>
      <c r="ABS12" s="314" t="s">
        <v>203</v>
      </c>
      <c r="ABT12" s="314" t="s">
        <v>203</v>
      </c>
      <c r="ABU12" s="314" t="s">
        <v>203</v>
      </c>
      <c r="ABV12" s="314" t="s">
        <v>203</v>
      </c>
      <c r="ABW12" s="314" t="s">
        <v>203</v>
      </c>
      <c r="ABX12" s="314" t="s">
        <v>203</v>
      </c>
      <c r="ABY12" s="314" t="s">
        <v>203</v>
      </c>
      <c r="ABZ12" s="314" t="s">
        <v>203</v>
      </c>
      <c r="ACA12" s="314" t="s">
        <v>203</v>
      </c>
      <c r="ACB12" s="314" t="s">
        <v>203</v>
      </c>
      <c r="ACC12" s="314" t="s">
        <v>203</v>
      </c>
      <c r="ACD12" s="314" t="s">
        <v>203</v>
      </c>
      <c r="ACE12" s="314" t="s">
        <v>203</v>
      </c>
      <c r="ACF12" s="314" t="s">
        <v>203</v>
      </c>
      <c r="ACG12" s="314" t="s">
        <v>203</v>
      </c>
      <c r="ACH12" s="314" t="s">
        <v>203</v>
      </c>
      <c r="ACI12" s="314" t="s">
        <v>203</v>
      </c>
      <c r="ACJ12" s="314" t="s">
        <v>203</v>
      </c>
      <c r="ACK12" s="314" t="s">
        <v>203</v>
      </c>
      <c r="ACL12" s="314" t="s">
        <v>203</v>
      </c>
      <c r="ACM12" s="314" t="s">
        <v>203</v>
      </c>
      <c r="ACN12" s="314" t="s">
        <v>203</v>
      </c>
      <c r="ACO12" s="314" t="s">
        <v>203</v>
      </c>
      <c r="ACP12" s="314" t="s">
        <v>203</v>
      </c>
      <c r="ACQ12" s="314" t="s">
        <v>203</v>
      </c>
      <c r="ACR12" s="314" t="s">
        <v>203</v>
      </c>
      <c r="ACS12" s="314" t="s">
        <v>203</v>
      </c>
      <c r="ACT12" s="314" t="s">
        <v>203</v>
      </c>
      <c r="ACU12" s="314" t="s">
        <v>203</v>
      </c>
      <c r="ACV12" s="314" t="s">
        <v>203</v>
      </c>
      <c r="ACW12" s="314" t="s">
        <v>203</v>
      </c>
      <c r="ACX12" s="314" t="s">
        <v>203</v>
      </c>
      <c r="ACY12" s="314" t="s">
        <v>203</v>
      </c>
      <c r="ACZ12" s="314" t="s">
        <v>203</v>
      </c>
      <c r="ADA12" s="314" t="s">
        <v>203</v>
      </c>
      <c r="ADB12" s="314" t="s">
        <v>203</v>
      </c>
      <c r="ADC12" s="314" t="s">
        <v>203</v>
      </c>
      <c r="ADD12" s="314" t="s">
        <v>203</v>
      </c>
      <c r="ADE12" s="314" t="s">
        <v>203</v>
      </c>
      <c r="ADF12" s="314" t="s">
        <v>203</v>
      </c>
      <c r="ADG12" s="314" t="s">
        <v>203</v>
      </c>
      <c r="ADH12" s="314" t="s">
        <v>203</v>
      </c>
      <c r="ADI12" s="314" t="s">
        <v>203</v>
      </c>
      <c r="ADJ12" s="314" t="s">
        <v>203</v>
      </c>
      <c r="ADK12" s="314" t="s">
        <v>203</v>
      </c>
      <c r="ADL12" s="314" t="s">
        <v>203</v>
      </c>
      <c r="ADM12" s="314" t="s">
        <v>203</v>
      </c>
      <c r="ADN12" s="314" t="s">
        <v>203</v>
      </c>
      <c r="ADO12" s="314" t="s">
        <v>203</v>
      </c>
      <c r="ADP12" s="314" t="s">
        <v>203</v>
      </c>
      <c r="ADQ12" s="314" t="s">
        <v>203</v>
      </c>
      <c r="ADR12" s="314" t="s">
        <v>203</v>
      </c>
      <c r="ADS12" s="314" t="s">
        <v>203</v>
      </c>
      <c r="ADT12" s="314" t="s">
        <v>203</v>
      </c>
      <c r="ADU12" s="314" t="s">
        <v>203</v>
      </c>
      <c r="ADV12" s="314" t="s">
        <v>203</v>
      </c>
      <c r="ADW12" s="314" t="s">
        <v>203</v>
      </c>
      <c r="ADX12" s="314" t="s">
        <v>203</v>
      </c>
      <c r="ADY12" s="314" t="s">
        <v>203</v>
      </c>
      <c r="ADZ12" s="314" t="s">
        <v>203</v>
      </c>
      <c r="AEA12" s="314" t="s">
        <v>203</v>
      </c>
      <c r="AEB12" s="314" t="s">
        <v>203</v>
      </c>
      <c r="AEC12" s="314" t="s">
        <v>203</v>
      </c>
      <c r="AED12" s="314" t="s">
        <v>203</v>
      </c>
      <c r="AEE12" s="314" t="s">
        <v>203</v>
      </c>
      <c r="AEF12" s="314" t="s">
        <v>203</v>
      </c>
      <c r="AEG12" s="314" t="s">
        <v>203</v>
      </c>
      <c r="AEH12" s="314" t="s">
        <v>203</v>
      </c>
      <c r="AEI12" s="314" t="s">
        <v>203</v>
      </c>
      <c r="AEJ12" s="314" t="s">
        <v>203</v>
      </c>
      <c r="AEK12" s="314" t="s">
        <v>203</v>
      </c>
      <c r="AEL12" s="314" t="s">
        <v>203</v>
      </c>
      <c r="AEM12" s="314" t="s">
        <v>203</v>
      </c>
      <c r="AEN12" s="314" t="s">
        <v>203</v>
      </c>
      <c r="AEO12" s="314" t="s">
        <v>203</v>
      </c>
      <c r="AEP12" s="314" t="s">
        <v>203</v>
      </c>
      <c r="AEQ12" s="314" t="s">
        <v>203</v>
      </c>
      <c r="AER12" s="314" t="s">
        <v>203</v>
      </c>
      <c r="AES12" s="314" t="s">
        <v>203</v>
      </c>
      <c r="AET12" s="314" t="s">
        <v>203</v>
      </c>
      <c r="AEU12" s="314" t="s">
        <v>203</v>
      </c>
      <c r="AEV12" s="314" t="s">
        <v>203</v>
      </c>
      <c r="AEW12" s="314" t="s">
        <v>203</v>
      </c>
      <c r="AEX12" s="314" t="s">
        <v>203</v>
      </c>
      <c r="AEY12" s="314" t="s">
        <v>203</v>
      </c>
      <c r="AEZ12" s="314" t="s">
        <v>203</v>
      </c>
      <c r="AFA12" s="314" t="s">
        <v>203</v>
      </c>
      <c r="AFB12" s="314" t="s">
        <v>203</v>
      </c>
      <c r="AFC12" s="314" t="s">
        <v>203</v>
      </c>
      <c r="AFD12" s="314" t="s">
        <v>203</v>
      </c>
      <c r="AFE12" s="314" t="s">
        <v>203</v>
      </c>
      <c r="AFF12" s="314" t="s">
        <v>203</v>
      </c>
      <c r="AFG12" s="314" t="s">
        <v>203</v>
      </c>
      <c r="AFH12" s="314" t="s">
        <v>203</v>
      </c>
      <c r="AFI12" s="314" t="s">
        <v>203</v>
      </c>
      <c r="AFJ12" s="314" t="s">
        <v>203</v>
      </c>
      <c r="AFK12" s="314" t="s">
        <v>203</v>
      </c>
      <c r="AFL12" s="314" t="s">
        <v>203</v>
      </c>
      <c r="AFM12" s="314" t="s">
        <v>203</v>
      </c>
      <c r="AFN12" s="314" t="s">
        <v>203</v>
      </c>
      <c r="AFO12" s="314" t="s">
        <v>203</v>
      </c>
      <c r="AFP12" s="314" t="s">
        <v>203</v>
      </c>
      <c r="AFQ12" s="314" t="s">
        <v>203</v>
      </c>
      <c r="AFR12" s="314" t="s">
        <v>203</v>
      </c>
      <c r="AFS12" s="314" t="s">
        <v>203</v>
      </c>
      <c r="AFT12" s="314" t="s">
        <v>203</v>
      </c>
      <c r="AFU12" s="314" t="s">
        <v>203</v>
      </c>
      <c r="AFV12" s="314" t="s">
        <v>203</v>
      </c>
      <c r="AFW12" s="314" t="s">
        <v>203</v>
      </c>
      <c r="AFX12" s="314" t="s">
        <v>203</v>
      </c>
      <c r="AFY12" s="314" t="s">
        <v>203</v>
      </c>
      <c r="AFZ12" s="314" t="s">
        <v>203</v>
      </c>
      <c r="AGA12" s="314" t="s">
        <v>203</v>
      </c>
      <c r="AGB12" s="314" t="s">
        <v>203</v>
      </c>
      <c r="AGC12" s="314" t="s">
        <v>203</v>
      </c>
      <c r="AGD12" s="314" t="s">
        <v>203</v>
      </c>
      <c r="AGE12" s="314" t="s">
        <v>203</v>
      </c>
      <c r="AGF12" s="314" t="s">
        <v>203</v>
      </c>
      <c r="AGG12" s="314" t="s">
        <v>203</v>
      </c>
      <c r="AGH12" s="314" t="s">
        <v>203</v>
      </c>
      <c r="AGI12" s="314" t="s">
        <v>203</v>
      </c>
      <c r="AGJ12" s="314" t="s">
        <v>203</v>
      </c>
      <c r="AGK12" s="314" t="s">
        <v>203</v>
      </c>
      <c r="AGL12" s="314" t="s">
        <v>203</v>
      </c>
      <c r="AGM12" s="314" t="s">
        <v>203</v>
      </c>
      <c r="AGN12" s="314" t="s">
        <v>203</v>
      </c>
      <c r="AGO12" s="314" t="s">
        <v>203</v>
      </c>
      <c r="AGP12" s="314" t="s">
        <v>203</v>
      </c>
      <c r="AGQ12" s="314" t="s">
        <v>203</v>
      </c>
      <c r="AGR12" s="314" t="s">
        <v>203</v>
      </c>
      <c r="AGS12" s="314" t="s">
        <v>203</v>
      </c>
      <c r="AGT12" s="314" t="s">
        <v>203</v>
      </c>
      <c r="AGU12" s="314" t="s">
        <v>203</v>
      </c>
      <c r="AGV12" s="314" t="s">
        <v>203</v>
      </c>
      <c r="AGW12" s="314" t="s">
        <v>203</v>
      </c>
      <c r="AGX12" s="314" t="s">
        <v>203</v>
      </c>
      <c r="AGY12" s="314" t="s">
        <v>203</v>
      </c>
      <c r="AGZ12" s="314" t="s">
        <v>203</v>
      </c>
      <c r="AHA12" s="314" t="s">
        <v>203</v>
      </c>
      <c r="AHB12" s="314" t="s">
        <v>203</v>
      </c>
      <c r="AHC12" s="314" t="s">
        <v>203</v>
      </c>
      <c r="AHD12" s="314" t="s">
        <v>203</v>
      </c>
      <c r="AHE12" s="314" t="s">
        <v>203</v>
      </c>
      <c r="AHF12" s="314" t="s">
        <v>203</v>
      </c>
      <c r="AHG12" s="314" t="s">
        <v>203</v>
      </c>
      <c r="AHH12" s="314" t="s">
        <v>203</v>
      </c>
      <c r="AHI12" s="314" t="s">
        <v>203</v>
      </c>
      <c r="AHJ12" s="314" t="s">
        <v>203</v>
      </c>
      <c r="AHK12" s="314" t="s">
        <v>203</v>
      </c>
      <c r="AHL12" s="314" t="s">
        <v>203</v>
      </c>
      <c r="AHM12" s="314" t="s">
        <v>203</v>
      </c>
      <c r="AHN12" s="314" t="s">
        <v>203</v>
      </c>
      <c r="AHO12" s="314" t="s">
        <v>203</v>
      </c>
      <c r="AHP12" s="314" t="s">
        <v>203</v>
      </c>
      <c r="AHQ12" s="314" t="s">
        <v>203</v>
      </c>
      <c r="AHR12" s="314" t="s">
        <v>203</v>
      </c>
      <c r="AHS12" s="314" t="s">
        <v>203</v>
      </c>
      <c r="AHT12" s="314" t="s">
        <v>203</v>
      </c>
      <c r="AHU12" s="314" t="s">
        <v>203</v>
      </c>
      <c r="AHV12" s="314" t="s">
        <v>203</v>
      </c>
      <c r="AHW12" s="314" t="s">
        <v>203</v>
      </c>
      <c r="AHX12" s="314" t="s">
        <v>203</v>
      </c>
      <c r="AHY12" s="314" t="s">
        <v>203</v>
      </c>
      <c r="AHZ12" s="314" t="s">
        <v>203</v>
      </c>
      <c r="AIA12" s="314" t="s">
        <v>203</v>
      </c>
      <c r="AIB12" s="314" t="s">
        <v>203</v>
      </c>
      <c r="AIC12" s="314" t="s">
        <v>203</v>
      </c>
      <c r="AID12" s="314" t="s">
        <v>203</v>
      </c>
      <c r="AIE12" s="314" t="s">
        <v>203</v>
      </c>
      <c r="AIF12" s="314" t="s">
        <v>203</v>
      </c>
      <c r="AIG12" s="314" t="s">
        <v>203</v>
      </c>
      <c r="AIH12" s="314" t="s">
        <v>203</v>
      </c>
      <c r="AII12" s="314" t="s">
        <v>203</v>
      </c>
      <c r="AIJ12" s="314" t="s">
        <v>203</v>
      </c>
      <c r="AIK12" s="314" t="s">
        <v>203</v>
      </c>
      <c r="AIL12" s="314" t="s">
        <v>203</v>
      </c>
      <c r="AIM12" s="314" t="s">
        <v>203</v>
      </c>
      <c r="AIN12" s="314" t="s">
        <v>203</v>
      </c>
      <c r="AIO12" s="314" t="s">
        <v>203</v>
      </c>
      <c r="AIP12" s="314" t="s">
        <v>203</v>
      </c>
      <c r="AIQ12" s="314" t="s">
        <v>203</v>
      </c>
      <c r="AIR12" s="314" t="s">
        <v>203</v>
      </c>
      <c r="AIS12" s="314" t="s">
        <v>203</v>
      </c>
      <c r="AIT12" s="314" t="s">
        <v>203</v>
      </c>
      <c r="AIU12" s="314" t="s">
        <v>203</v>
      </c>
      <c r="AIV12" s="314" t="s">
        <v>203</v>
      </c>
      <c r="AIW12" s="314" t="s">
        <v>203</v>
      </c>
      <c r="AIX12" s="314" t="s">
        <v>203</v>
      </c>
      <c r="AIY12" s="314" t="s">
        <v>203</v>
      </c>
      <c r="AIZ12" s="314" t="s">
        <v>203</v>
      </c>
      <c r="AJA12" s="314" t="s">
        <v>203</v>
      </c>
      <c r="AJB12" s="314" t="s">
        <v>203</v>
      </c>
      <c r="AJC12" s="314" t="s">
        <v>203</v>
      </c>
      <c r="AJD12" s="314" t="s">
        <v>203</v>
      </c>
      <c r="AJE12" s="314" t="s">
        <v>203</v>
      </c>
      <c r="AJF12" s="314" t="s">
        <v>203</v>
      </c>
      <c r="AJG12" s="314" t="s">
        <v>203</v>
      </c>
      <c r="AJH12" s="314" t="s">
        <v>203</v>
      </c>
      <c r="AJI12" s="314" t="s">
        <v>203</v>
      </c>
      <c r="AJJ12" s="314" t="s">
        <v>203</v>
      </c>
      <c r="AJK12" s="314" t="s">
        <v>203</v>
      </c>
      <c r="AJL12" s="314" t="s">
        <v>203</v>
      </c>
      <c r="AJM12" s="314" t="s">
        <v>203</v>
      </c>
      <c r="AJN12" s="314" t="s">
        <v>203</v>
      </c>
      <c r="AJO12" s="314" t="s">
        <v>203</v>
      </c>
      <c r="AJP12" s="314" t="s">
        <v>203</v>
      </c>
      <c r="AJQ12" s="314" t="s">
        <v>203</v>
      </c>
      <c r="AJR12" s="314" t="s">
        <v>203</v>
      </c>
      <c r="AJS12" s="314" t="s">
        <v>203</v>
      </c>
      <c r="AJT12" s="314" t="s">
        <v>203</v>
      </c>
      <c r="AJU12" s="314" t="s">
        <v>203</v>
      </c>
      <c r="AJV12" s="314" t="s">
        <v>203</v>
      </c>
      <c r="AJW12" s="314" t="s">
        <v>203</v>
      </c>
      <c r="AJX12" s="314" t="s">
        <v>203</v>
      </c>
      <c r="AJY12" s="314" t="s">
        <v>203</v>
      </c>
      <c r="AJZ12" s="314" t="s">
        <v>203</v>
      </c>
      <c r="AKA12" s="314" t="s">
        <v>203</v>
      </c>
      <c r="AKB12" s="314" t="s">
        <v>203</v>
      </c>
      <c r="AKC12" s="314" t="s">
        <v>203</v>
      </c>
      <c r="AKD12" s="314" t="s">
        <v>203</v>
      </c>
      <c r="AKE12" s="314" t="s">
        <v>203</v>
      </c>
      <c r="AKF12" s="314" t="s">
        <v>203</v>
      </c>
      <c r="AKG12" s="314" t="s">
        <v>203</v>
      </c>
      <c r="AKH12" s="314" t="s">
        <v>203</v>
      </c>
      <c r="AKI12" s="314" t="s">
        <v>203</v>
      </c>
      <c r="AKJ12" s="314" t="s">
        <v>203</v>
      </c>
      <c r="AKK12" s="314" t="s">
        <v>203</v>
      </c>
      <c r="AKL12" s="314" t="s">
        <v>203</v>
      </c>
      <c r="AKM12" s="314" t="s">
        <v>203</v>
      </c>
      <c r="AKN12" s="314" t="s">
        <v>203</v>
      </c>
      <c r="AKO12" s="314" t="s">
        <v>203</v>
      </c>
      <c r="AKP12" s="314" t="s">
        <v>203</v>
      </c>
      <c r="AKQ12" s="314" t="s">
        <v>203</v>
      </c>
      <c r="AKR12" s="314" t="s">
        <v>203</v>
      </c>
      <c r="AKS12" s="314" t="s">
        <v>203</v>
      </c>
      <c r="AKT12" s="314" t="s">
        <v>203</v>
      </c>
      <c r="AKU12" s="314" t="s">
        <v>203</v>
      </c>
      <c r="AKV12" s="314" t="s">
        <v>203</v>
      </c>
      <c r="AKW12" s="314" t="s">
        <v>203</v>
      </c>
      <c r="AKX12" s="314" t="s">
        <v>203</v>
      </c>
      <c r="AKY12" s="314" t="s">
        <v>203</v>
      </c>
      <c r="AKZ12" s="314" t="s">
        <v>203</v>
      </c>
      <c r="ALA12" s="314" t="s">
        <v>203</v>
      </c>
      <c r="ALB12" s="314" t="s">
        <v>203</v>
      </c>
      <c r="ALC12" s="314" t="s">
        <v>203</v>
      </c>
      <c r="ALD12" s="314" t="s">
        <v>203</v>
      </c>
      <c r="ALE12" s="314" t="s">
        <v>203</v>
      </c>
      <c r="ALF12" s="314" t="s">
        <v>203</v>
      </c>
      <c r="ALG12" s="314" t="s">
        <v>203</v>
      </c>
      <c r="ALH12" s="314" t="s">
        <v>203</v>
      </c>
      <c r="ALI12" s="314" t="s">
        <v>203</v>
      </c>
      <c r="ALJ12" s="314" t="s">
        <v>203</v>
      </c>
      <c r="ALK12" s="314" t="s">
        <v>203</v>
      </c>
      <c r="ALL12" s="314" t="s">
        <v>203</v>
      </c>
      <c r="ALM12" s="314" t="s">
        <v>203</v>
      </c>
      <c r="ALN12" s="314" t="s">
        <v>203</v>
      </c>
      <c r="ALO12" s="314" t="s">
        <v>203</v>
      </c>
      <c r="ALP12" s="314" t="s">
        <v>203</v>
      </c>
      <c r="ALQ12" s="314" t="s">
        <v>203</v>
      </c>
      <c r="ALR12" s="314" t="s">
        <v>203</v>
      </c>
      <c r="ALS12" s="314" t="s">
        <v>203</v>
      </c>
      <c r="ALT12" s="314" t="s">
        <v>203</v>
      </c>
      <c r="ALU12" s="314" t="s">
        <v>203</v>
      </c>
      <c r="ALV12" s="314" t="s">
        <v>203</v>
      </c>
      <c r="ALW12" s="314" t="s">
        <v>203</v>
      </c>
      <c r="ALX12" s="314" t="s">
        <v>203</v>
      </c>
      <c r="ALY12" s="314" t="s">
        <v>203</v>
      </c>
      <c r="ALZ12" s="314" t="s">
        <v>203</v>
      </c>
      <c r="AMA12" s="314" t="s">
        <v>203</v>
      </c>
      <c r="AMB12" s="314" t="s">
        <v>203</v>
      </c>
      <c r="AMC12" s="314" t="s">
        <v>203</v>
      </c>
      <c r="AMD12" s="314" t="s">
        <v>203</v>
      </c>
      <c r="AME12" s="314" t="s">
        <v>203</v>
      </c>
      <c r="AMF12" s="314" t="s">
        <v>203</v>
      </c>
      <c r="AMG12" s="314" t="s">
        <v>203</v>
      </c>
      <c r="AMH12" s="314" t="s">
        <v>203</v>
      </c>
      <c r="AMI12" s="314" t="s">
        <v>203</v>
      </c>
      <c r="AMJ12" s="314" t="s">
        <v>203</v>
      </c>
      <c r="AMK12" s="314" t="s">
        <v>203</v>
      </c>
      <c r="AML12" s="314" t="s">
        <v>203</v>
      </c>
      <c r="AMM12" s="314" t="s">
        <v>203</v>
      </c>
      <c r="AMN12" s="314" t="s">
        <v>203</v>
      </c>
      <c r="AMO12" s="314" t="s">
        <v>203</v>
      </c>
      <c r="AMP12" s="314" t="s">
        <v>203</v>
      </c>
      <c r="AMQ12" s="314" t="s">
        <v>203</v>
      </c>
      <c r="AMR12" s="314" t="s">
        <v>203</v>
      </c>
      <c r="AMS12" s="314" t="s">
        <v>203</v>
      </c>
      <c r="AMT12" s="314" t="s">
        <v>203</v>
      </c>
      <c r="AMU12" s="314" t="s">
        <v>203</v>
      </c>
      <c r="AMV12" s="314" t="s">
        <v>203</v>
      </c>
      <c r="AMW12" s="314" t="s">
        <v>203</v>
      </c>
      <c r="AMX12" s="314" t="s">
        <v>203</v>
      </c>
      <c r="AMY12" s="314" t="s">
        <v>203</v>
      </c>
      <c r="AMZ12" s="314" t="s">
        <v>203</v>
      </c>
      <c r="ANA12" s="314" t="s">
        <v>203</v>
      </c>
      <c r="ANB12" s="314" t="s">
        <v>203</v>
      </c>
      <c r="ANC12" s="314" t="s">
        <v>203</v>
      </c>
      <c r="AND12" s="314" t="s">
        <v>203</v>
      </c>
      <c r="ANE12" s="314" t="s">
        <v>203</v>
      </c>
      <c r="ANF12" s="314" t="s">
        <v>203</v>
      </c>
      <c r="ANG12" s="314" t="s">
        <v>203</v>
      </c>
      <c r="ANH12" s="314" t="s">
        <v>203</v>
      </c>
      <c r="ANI12" s="314" t="s">
        <v>203</v>
      </c>
      <c r="ANJ12" s="314" t="s">
        <v>203</v>
      </c>
      <c r="ANK12" s="314" t="s">
        <v>203</v>
      </c>
      <c r="ANL12" s="314" t="s">
        <v>203</v>
      </c>
      <c r="ANM12" s="314" t="s">
        <v>203</v>
      </c>
      <c r="ANN12" s="314" t="s">
        <v>203</v>
      </c>
      <c r="ANO12" s="314" t="s">
        <v>203</v>
      </c>
      <c r="ANP12" s="314" t="s">
        <v>203</v>
      </c>
      <c r="ANQ12" s="314" t="s">
        <v>203</v>
      </c>
      <c r="ANR12" s="314" t="s">
        <v>203</v>
      </c>
      <c r="ANS12" s="314" t="s">
        <v>203</v>
      </c>
      <c r="ANT12" s="314" t="s">
        <v>203</v>
      </c>
      <c r="ANU12" s="314" t="s">
        <v>203</v>
      </c>
      <c r="ANV12" s="314" t="s">
        <v>203</v>
      </c>
      <c r="ANW12" s="314" t="s">
        <v>203</v>
      </c>
      <c r="ANX12" s="314" t="s">
        <v>203</v>
      </c>
      <c r="ANY12" s="314" t="s">
        <v>203</v>
      </c>
      <c r="ANZ12" s="314" t="s">
        <v>203</v>
      </c>
      <c r="AOA12" s="314" t="s">
        <v>203</v>
      </c>
      <c r="AOB12" s="314" t="s">
        <v>203</v>
      </c>
      <c r="AOC12" s="314" t="s">
        <v>203</v>
      </c>
      <c r="AOD12" s="314" t="s">
        <v>203</v>
      </c>
      <c r="AOE12" s="314" t="s">
        <v>203</v>
      </c>
      <c r="AOF12" s="314" t="s">
        <v>203</v>
      </c>
      <c r="AOG12" s="314" t="s">
        <v>203</v>
      </c>
      <c r="AOH12" s="314" t="s">
        <v>203</v>
      </c>
      <c r="AOI12" s="314" t="s">
        <v>203</v>
      </c>
      <c r="AOJ12" s="314" t="s">
        <v>203</v>
      </c>
      <c r="AOK12" s="314" t="s">
        <v>203</v>
      </c>
      <c r="AOL12" s="314" t="s">
        <v>203</v>
      </c>
      <c r="AOM12" s="314" t="s">
        <v>203</v>
      </c>
      <c r="AON12" s="314" t="s">
        <v>203</v>
      </c>
      <c r="AOO12" s="314" t="s">
        <v>203</v>
      </c>
      <c r="AOP12" s="314" t="s">
        <v>203</v>
      </c>
      <c r="AOQ12" s="314" t="s">
        <v>203</v>
      </c>
      <c r="AOR12" s="314" t="s">
        <v>203</v>
      </c>
      <c r="AOS12" s="314" t="s">
        <v>203</v>
      </c>
      <c r="AOT12" s="314" t="s">
        <v>203</v>
      </c>
      <c r="AOU12" s="314" t="s">
        <v>203</v>
      </c>
      <c r="AOV12" s="314" t="s">
        <v>203</v>
      </c>
      <c r="AOW12" s="314" t="s">
        <v>203</v>
      </c>
      <c r="AOX12" s="314" t="s">
        <v>203</v>
      </c>
      <c r="AOY12" s="314" t="s">
        <v>203</v>
      </c>
      <c r="AOZ12" s="314" t="s">
        <v>203</v>
      </c>
      <c r="APA12" s="314" t="s">
        <v>203</v>
      </c>
      <c r="APB12" s="314" t="s">
        <v>203</v>
      </c>
      <c r="APC12" s="314" t="s">
        <v>203</v>
      </c>
      <c r="APD12" s="314" t="s">
        <v>203</v>
      </c>
      <c r="APE12" s="314" t="s">
        <v>203</v>
      </c>
      <c r="APF12" s="314" t="s">
        <v>203</v>
      </c>
      <c r="APG12" s="314" t="s">
        <v>203</v>
      </c>
      <c r="APH12" s="314" t="s">
        <v>203</v>
      </c>
      <c r="API12" s="314" t="s">
        <v>203</v>
      </c>
      <c r="APJ12" s="314" t="s">
        <v>203</v>
      </c>
      <c r="APK12" s="314" t="s">
        <v>203</v>
      </c>
      <c r="APL12" s="314" t="s">
        <v>203</v>
      </c>
      <c r="APM12" s="314" t="s">
        <v>203</v>
      </c>
      <c r="APN12" s="314" t="s">
        <v>203</v>
      </c>
      <c r="APO12" s="314" t="s">
        <v>203</v>
      </c>
      <c r="APP12" s="314" t="s">
        <v>203</v>
      </c>
      <c r="APQ12" s="314" t="s">
        <v>203</v>
      </c>
      <c r="APR12" s="314" t="s">
        <v>203</v>
      </c>
      <c r="APS12" s="314" t="s">
        <v>203</v>
      </c>
      <c r="APT12" s="314" t="s">
        <v>203</v>
      </c>
      <c r="APU12" s="314" t="s">
        <v>203</v>
      </c>
      <c r="APV12" s="314" t="s">
        <v>203</v>
      </c>
      <c r="APW12" s="314" t="s">
        <v>203</v>
      </c>
      <c r="APX12" s="314" t="s">
        <v>203</v>
      </c>
      <c r="APY12" s="314" t="s">
        <v>203</v>
      </c>
      <c r="APZ12" s="314" t="s">
        <v>203</v>
      </c>
      <c r="AQA12" s="314" t="s">
        <v>203</v>
      </c>
      <c r="AQB12" s="314" t="s">
        <v>203</v>
      </c>
      <c r="AQC12" s="314" t="s">
        <v>203</v>
      </c>
      <c r="AQD12" s="314" t="s">
        <v>203</v>
      </c>
      <c r="AQE12" s="314" t="s">
        <v>203</v>
      </c>
      <c r="AQF12" s="314" t="s">
        <v>203</v>
      </c>
      <c r="AQG12" s="314" t="s">
        <v>203</v>
      </c>
      <c r="AQH12" s="314" t="s">
        <v>203</v>
      </c>
      <c r="AQI12" s="314" t="s">
        <v>203</v>
      </c>
      <c r="AQJ12" s="314" t="s">
        <v>203</v>
      </c>
      <c r="AQK12" s="314" t="s">
        <v>203</v>
      </c>
      <c r="AQL12" s="314" t="s">
        <v>203</v>
      </c>
      <c r="AQM12" s="314" t="s">
        <v>203</v>
      </c>
      <c r="AQN12" s="314" t="s">
        <v>203</v>
      </c>
      <c r="AQO12" s="314" t="s">
        <v>203</v>
      </c>
      <c r="AQP12" s="314" t="s">
        <v>203</v>
      </c>
      <c r="AQQ12" s="314" t="s">
        <v>203</v>
      </c>
      <c r="AQR12" s="314" t="s">
        <v>203</v>
      </c>
      <c r="AQS12" s="314" t="s">
        <v>203</v>
      </c>
      <c r="AQT12" s="314" t="s">
        <v>203</v>
      </c>
      <c r="AQU12" s="314" t="s">
        <v>203</v>
      </c>
      <c r="AQV12" s="314" t="s">
        <v>203</v>
      </c>
      <c r="AQW12" s="314" t="s">
        <v>203</v>
      </c>
      <c r="AQX12" s="314" t="s">
        <v>203</v>
      </c>
      <c r="AQY12" s="314" t="s">
        <v>203</v>
      </c>
      <c r="AQZ12" s="314" t="s">
        <v>203</v>
      </c>
      <c r="ARA12" s="314" t="s">
        <v>203</v>
      </c>
      <c r="ARB12" s="314" t="s">
        <v>203</v>
      </c>
      <c r="ARC12" s="314" t="s">
        <v>203</v>
      </c>
      <c r="ARD12" s="314" t="s">
        <v>203</v>
      </c>
      <c r="ARE12" s="314" t="s">
        <v>203</v>
      </c>
      <c r="ARF12" s="314" t="s">
        <v>203</v>
      </c>
      <c r="ARG12" s="314" t="s">
        <v>203</v>
      </c>
      <c r="ARH12" s="314" t="s">
        <v>203</v>
      </c>
      <c r="ARI12" s="314" t="s">
        <v>203</v>
      </c>
      <c r="ARJ12" s="314" t="s">
        <v>203</v>
      </c>
      <c r="ARK12" s="314" t="s">
        <v>203</v>
      </c>
      <c r="ARL12" s="314" t="s">
        <v>203</v>
      </c>
      <c r="ARM12" s="314" t="s">
        <v>203</v>
      </c>
      <c r="ARN12" s="314" t="s">
        <v>203</v>
      </c>
      <c r="ARO12" s="314" t="s">
        <v>203</v>
      </c>
      <c r="ARP12" s="314" t="s">
        <v>203</v>
      </c>
      <c r="ARQ12" s="314" t="s">
        <v>203</v>
      </c>
      <c r="ARR12" s="314" t="s">
        <v>203</v>
      </c>
      <c r="ARS12" s="314" t="s">
        <v>203</v>
      </c>
      <c r="ART12" s="314" t="s">
        <v>203</v>
      </c>
      <c r="ARU12" s="314" t="s">
        <v>203</v>
      </c>
      <c r="ARV12" s="314" t="s">
        <v>203</v>
      </c>
      <c r="ARW12" s="314" t="s">
        <v>203</v>
      </c>
      <c r="ARX12" s="314" t="s">
        <v>203</v>
      </c>
      <c r="ARY12" s="314" t="s">
        <v>203</v>
      </c>
      <c r="ARZ12" s="314" t="s">
        <v>203</v>
      </c>
      <c r="ASA12" s="314" t="s">
        <v>203</v>
      </c>
      <c r="ASB12" s="314" t="s">
        <v>203</v>
      </c>
      <c r="ASC12" s="314" t="s">
        <v>203</v>
      </c>
      <c r="ASD12" s="314" t="s">
        <v>203</v>
      </c>
      <c r="ASE12" s="314" t="s">
        <v>203</v>
      </c>
      <c r="ASF12" s="314" t="s">
        <v>203</v>
      </c>
      <c r="ASG12" s="314" t="s">
        <v>203</v>
      </c>
      <c r="ASH12" s="314" t="s">
        <v>203</v>
      </c>
      <c r="ASI12" s="314" t="s">
        <v>203</v>
      </c>
      <c r="ASJ12" s="314" t="s">
        <v>203</v>
      </c>
      <c r="ASK12" s="314" t="s">
        <v>203</v>
      </c>
      <c r="ASL12" s="314" t="s">
        <v>203</v>
      </c>
      <c r="ASM12" s="314" t="s">
        <v>203</v>
      </c>
      <c r="ASN12" s="314" t="s">
        <v>203</v>
      </c>
      <c r="ASO12" s="314" t="s">
        <v>203</v>
      </c>
      <c r="ASP12" s="314" t="s">
        <v>203</v>
      </c>
      <c r="ASQ12" s="314" t="s">
        <v>203</v>
      </c>
      <c r="ASR12" s="314" t="s">
        <v>203</v>
      </c>
      <c r="ASS12" s="314" t="s">
        <v>203</v>
      </c>
      <c r="AST12" s="314" t="s">
        <v>203</v>
      </c>
      <c r="ASU12" s="314" t="s">
        <v>203</v>
      </c>
      <c r="ASV12" s="314" t="s">
        <v>203</v>
      </c>
      <c r="ASW12" s="314" t="s">
        <v>203</v>
      </c>
      <c r="ASX12" s="314" t="s">
        <v>203</v>
      </c>
      <c r="ASY12" s="314" t="s">
        <v>203</v>
      </c>
      <c r="ASZ12" s="314" t="s">
        <v>203</v>
      </c>
      <c r="ATA12" s="314" t="s">
        <v>203</v>
      </c>
      <c r="ATB12" s="314" t="s">
        <v>203</v>
      </c>
      <c r="ATC12" s="314" t="s">
        <v>203</v>
      </c>
      <c r="ATD12" s="314" t="s">
        <v>203</v>
      </c>
      <c r="ATE12" s="314" t="s">
        <v>203</v>
      </c>
      <c r="ATF12" s="314" t="s">
        <v>203</v>
      </c>
      <c r="ATG12" s="314" t="s">
        <v>203</v>
      </c>
      <c r="ATH12" s="314" t="s">
        <v>203</v>
      </c>
      <c r="ATI12" s="314" t="s">
        <v>203</v>
      </c>
      <c r="ATJ12" s="314" t="s">
        <v>203</v>
      </c>
      <c r="ATK12" s="314" t="s">
        <v>203</v>
      </c>
      <c r="ATL12" s="314" t="s">
        <v>203</v>
      </c>
      <c r="ATM12" s="314" t="s">
        <v>203</v>
      </c>
      <c r="ATN12" s="314" t="s">
        <v>203</v>
      </c>
      <c r="ATO12" s="314" t="s">
        <v>203</v>
      </c>
      <c r="ATP12" s="314" t="s">
        <v>203</v>
      </c>
      <c r="ATQ12" s="314" t="s">
        <v>203</v>
      </c>
      <c r="ATR12" s="314" t="s">
        <v>203</v>
      </c>
      <c r="ATS12" s="314" t="s">
        <v>203</v>
      </c>
      <c r="ATT12" s="314" t="s">
        <v>203</v>
      </c>
      <c r="ATU12" s="314" t="s">
        <v>203</v>
      </c>
      <c r="ATV12" s="314" t="s">
        <v>203</v>
      </c>
      <c r="ATW12" s="314" t="s">
        <v>203</v>
      </c>
      <c r="ATX12" s="314" t="s">
        <v>203</v>
      </c>
      <c r="ATY12" s="314" t="s">
        <v>203</v>
      </c>
      <c r="ATZ12" s="314" t="s">
        <v>203</v>
      </c>
      <c r="AUA12" s="314" t="s">
        <v>203</v>
      </c>
      <c r="AUB12" s="314" t="s">
        <v>203</v>
      </c>
      <c r="AUC12" s="314" t="s">
        <v>203</v>
      </c>
      <c r="AUD12" s="314" t="s">
        <v>203</v>
      </c>
      <c r="AUE12" s="314" t="s">
        <v>203</v>
      </c>
      <c r="AUF12" s="314" t="s">
        <v>203</v>
      </c>
      <c r="AUG12" s="314" t="s">
        <v>203</v>
      </c>
      <c r="AUH12" s="314" t="s">
        <v>203</v>
      </c>
      <c r="AUI12" s="314" t="s">
        <v>203</v>
      </c>
      <c r="AUJ12" s="314" t="s">
        <v>203</v>
      </c>
      <c r="AUK12" s="314" t="s">
        <v>203</v>
      </c>
      <c r="AUL12" s="314" t="s">
        <v>203</v>
      </c>
      <c r="AUM12" s="314" t="s">
        <v>203</v>
      </c>
      <c r="AUN12" s="314" t="s">
        <v>203</v>
      </c>
      <c r="AUO12" s="314" t="s">
        <v>203</v>
      </c>
      <c r="AUP12" s="314" t="s">
        <v>203</v>
      </c>
      <c r="AUQ12" s="314" t="s">
        <v>203</v>
      </c>
      <c r="AUR12" s="314" t="s">
        <v>203</v>
      </c>
      <c r="AUS12" s="314" t="s">
        <v>203</v>
      </c>
      <c r="AUT12" s="314" t="s">
        <v>203</v>
      </c>
      <c r="AUU12" s="314" t="s">
        <v>203</v>
      </c>
      <c r="AUV12" s="314" t="s">
        <v>203</v>
      </c>
      <c r="AUW12" s="314" t="s">
        <v>203</v>
      </c>
      <c r="AUX12" s="314" t="s">
        <v>203</v>
      </c>
      <c r="AUY12" s="314" t="s">
        <v>203</v>
      </c>
      <c r="AUZ12" s="314" t="s">
        <v>203</v>
      </c>
      <c r="AVA12" s="314" t="s">
        <v>203</v>
      </c>
      <c r="AVB12" s="314" t="s">
        <v>203</v>
      </c>
      <c r="AVC12" s="314" t="s">
        <v>203</v>
      </c>
      <c r="AVD12" s="314" t="s">
        <v>203</v>
      </c>
      <c r="AVE12" s="314" t="s">
        <v>203</v>
      </c>
      <c r="AVF12" s="314" t="s">
        <v>203</v>
      </c>
      <c r="AVG12" s="314" t="s">
        <v>203</v>
      </c>
      <c r="AVH12" s="314" t="s">
        <v>203</v>
      </c>
      <c r="AVI12" s="314" t="s">
        <v>203</v>
      </c>
      <c r="AVJ12" s="314" t="s">
        <v>203</v>
      </c>
      <c r="AVK12" s="314" t="s">
        <v>203</v>
      </c>
      <c r="AVL12" s="314" t="s">
        <v>203</v>
      </c>
      <c r="AVM12" s="314" t="s">
        <v>203</v>
      </c>
      <c r="AVN12" s="314" t="s">
        <v>203</v>
      </c>
      <c r="AVO12" s="314" t="s">
        <v>203</v>
      </c>
      <c r="AVP12" s="314" t="s">
        <v>203</v>
      </c>
      <c r="AVQ12" s="314" t="s">
        <v>203</v>
      </c>
      <c r="AVR12" s="314" t="s">
        <v>203</v>
      </c>
      <c r="AVS12" s="314" t="s">
        <v>203</v>
      </c>
      <c r="AVT12" s="314" t="s">
        <v>203</v>
      </c>
      <c r="AVU12" s="314" t="s">
        <v>203</v>
      </c>
      <c r="AVV12" s="314" t="s">
        <v>203</v>
      </c>
      <c r="AVW12" s="314" t="s">
        <v>203</v>
      </c>
      <c r="AVX12" s="314" t="s">
        <v>203</v>
      </c>
      <c r="AVY12" s="314" t="s">
        <v>203</v>
      </c>
      <c r="AVZ12" s="314" t="s">
        <v>203</v>
      </c>
      <c r="AWA12" s="314" t="s">
        <v>203</v>
      </c>
      <c r="AWB12" s="314" t="s">
        <v>203</v>
      </c>
      <c r="AWC12" s="314" t="s">
        <v>203</v>
      </c>
      <c r="AWD12" s="314" t="s">
        <v>203</v>
      </c>
      <c r="AWE12" s="314" t="s">
        <v>203</v>
      </c>
      <c r="AWF12" s="314" t="s">
        <v>203</v>
      </c>
      <c r="AWG12" s="314" t="s">
        <v>203</v>
      </c>
      <c r="AWH12" s="314" t="s">
        <v>203</v>
      </c>
      <c r="AWI12" s="314" t="s">
        <v>203</v>
      </c>
      <c r="AWJ12" s="314" t="s">
        <v>203</v>
      </c>
      <c r="AWK12" s="314" t="s">
        <v>203</v>
      </c>
      <c r="AWL12" s="314" t="s">
        <v>203</v>
      </c>
      <c r="AWM12" s="314" t="s">
        <v>203</v>
      </c>
      <c r="AWN12" s="314" t="s">
        <v>203</v>
      </c>
      <c r="AWO12" s="314" t="s">
        <v>203</v>
      </c>
      <c r="AWP12" s="314" t="s">
        <v>203</v>
      </c>
      <c r="AWQ12" s="314" t="s">
        <v>203</v>
      </c>
      <c r="AWR12" s="314" t="s">
        <v>203</v>
      </c>
      <c r="AWS12" s="314" t="s">
        <v>203</v>
      </c>
      <c r="AWT12" s="314" t="s">
        <v>203</v>
      </c>
      <c r="AWU12" s="314" t="s">
        <v>203</v>
      </c>
      <c r="AWV12" s="314" t="s">
        <v>203</v>
      </c>
      <c r="AWW12" s="314" t="s">
        <v>203</v>
      </c>
      <c r="AWX12" s="314" t="s">
        <v>203</v>
      </c>
      <c r="AWY12" s="314" t="s">
        <v>203</v>
      </c>
      <c r="AWZ12" s="314" t="s">
        <v>203</v>
      </c>
      <c r="AXA12" s="314" t="s">
        <v>203</v>
      </c>
      <c r="AXB12" s="314" t="s">
        <v>203</v>
      </c>
      <c r="AXC12" s="314" t="s">
        <v>203</v>
      </c>
      <c r="AXD12" s="314" t="s">
        <v>203</v>
      </c>
      <c r="AXE12" s="314" t="s">
        <v>203</v>
      </c>
      <c r="AXF12" s="314" t="s">
        <v>203</v>
      </c>
      <c r="AXG12" s="314" t="s">
        <v>203</v>
      </c>
      <c r="AXH12" s="314" t="s">
        <v>203</v>
      </c>
      <c r="AXI12" s="314" t="s">
        <v>203</v>
      </c>
      <c r="AXJ12" s="314" t="s">
        <v>203</v>
      </c>
      <c r="AXK12" s="314" t="s">
        <v>203</v>
      </c>
      <c r="AXL12" s="314" t="s">
        <v>203</v>
      </c>
      <c r="AXM12" s="314" t="s">
        <v>203</v>
      </c>
      <c r="AXN12" s="314" t="s">
        <v>203</v>
      </c>
      <c r="AXO12" s="314" t="s">
        <v>203</v>
      </c>
      <c r="AXP12" s="314" t="s">
        <v>203</v>
      </c>
      <c r="AXQ12" s="314" t="s">
        <v>203</v>
      </c>
      <c r="AXR12" s="314" t="s">
        <v>203</v>
      </c>
      <c r="AXS12" s="314" t="s">
        <v>203</v>
      </c>
      <c r="AXT12" s="314" t="s">
        <v>203</v>
      </c>
      <c r="AXU12" s="314" t="s">
        <v>203</v>
      </c>
      <c r="AXV12" s="314" t="s">
        <v>203</v>
      </c>
      <c r="AXW12" s="314" t="s">
        <v>203</v>
      </c>
      <c r="AXX12" s="314" t="s">
        <v>203</v>
      </c>
      <c r="AXY12" s="314" t="s">
        <v>203</v>
      </c>
      <c r="AXZ12" s="314" t="s">
        <v>203</v>
      </c>
      <c r="AYA12" s="314" t="s">
        <v>203</v>
      </c>
      <c r="AYB12" s="314" t="s">
        <v>203</v>
      </c>
      <c r="AYC12" s="314" t="s">
        <v>203</v>
      </c>
      <c r="AYD12" s="314" t="s">
        <v>203</v>
      </c>
      <c r="AYE12" s="314" t="s">
        <v>203</v>
      </c>
      <c r="AYF12" s="314" t="s">
        <v>203</v>
      </c>
      <c r="AYG12" s="314" t="s">
        <v>203</v>
      </c>
      <c r="AYH12" s="314" t="s">
        <v>203</v>
      </c>
      <c r="AYI12" s="314" t="s">
        <v>203</v>
      </c>
      <c r="AYJ12" s="314" t="s">
        <v>203</v>
      </c>
      <c r="AYK12" s="314" t="s">
        <v>203</v>
      </c>
      <c r="AYL12" s="314" t="s">
        <v>203</v>
      </c>
      <c r="AYM12" s="314" t="s">
        <v>203</v>
      </c>
      <c r="AYN12" s="314" t="s">
        <v>203</v>
      </c>
      <c r="AYO12" s="314" t="s">
        <v>203</v>
      </c>
      <c r="AYP12" s="314" t="s">
        <v>203</v>
      </c>
      <c r="AYQ12" s="314" t="s">
        <v>203</v>
      </c>
      <c r="AYR12" s="314" t="s">
        <v>203</v>
      </c>
      <c r="AYS12" s="314" t="s">
        <v>203</v>
      </c>
      <c r="AYT12" s="314" t="s">
        <v>203</v>
      </c>
      <c r="AYU12" s="314" t="s">
        <v>203</v>
      </c>
      <c r="AYV12" s="314" t="s">
        <v>203</v>
      </c>
      <c r="AYW12" s="314" t="s">
        <v>203</v>
      </c>
      <c r="AYX12" s="314" t="s">
        <v>203</v>
      </c>
      <c r="AYY12" s="314" t="s">
        <v>203</v>
      </c>
      <c r="AYZ12" s="314" t="s">
        <v>203</v>
      </c>
      <c r="AZA12" s="314" t="s">
        <v>203</v>
      </c>
      <c r="AZB12" s="314" t="s">
        <v>203</v>
      </c>
      <c r="AZC12" s="314" t="s">
        <v>203</v>
      </c>
      <c r="AZD12" s="314" t="s">
        <v>203</v>
      </c>
      <c r="AZE12" s="314" t="s">
        <v>203</v>
      </c>
      <c r="AZF12" s="314" t="s">
        <v>203</v>
      </c>
      <c r="AZG12" s="314" t="s">
        <v>203</v>
      </c>
      <c r="AZH12" s="314" t="s">
        <v>203</v>
      </c>
      <c r="AZI12" s="314" t="s">
        <v>203</v>
      </c>
      <c r="AZJ12" s="314" t="s">
        <v>203</v>
      </c>
      <c r="AZK12" s="314" t="s">
        <v>203</v>
      </c>
      <c r="AZL12" s="314" t="s">
        <v>203</v>
      </c>
      <c r="AZM12" s="314" t="s">
        <v>203</v>
      </c>
      <c r="AZN12" s="314" t="s">
        <v>203</v>
      </c>
      <c r="AZO12" s="314" t="s">
        <v>203</v>
      </c>
      <c r="AZP12" s="314" t="s">
        <v>203</v>
      </c>
      <c r="AZQ12" s="314" t="s">
        <v>203</v>
      </c>
      <c r="AZR12" s="314" t="s">
        <v>203</v>
      </c>
      <c r="AZS12" s="314" t="s">
        <v>203</v>
      </c>
      <c r="AZT12" s="314" t="s">
        <v>203</v>
      </c>
      <c r="AZU12" s="314" t="s">
        <v>203</v>
      </c>
      <c r="AZV12" s="314" t="s">
        <v>203</v>
      </c>
      <c r="AZW12" s="314" t="s">
        <v>203</v>
      </c>
      <c r="AZX12" s="314" t="s">
        <v>203</v>
      </c>
      <c r="AZY12" s="314" t="s">
        <v>203</v>
      </c>
      <c r="AZZ12" s="314" t="s">
        <v>203</v>
      </c>
      <c r="BAA12" s="314" t="s">
        <v>203</v>
      </c>
      <c r="BAB12" s="314" t="s">
        <v>203</v>
      </c>
      <c r="BAC12" s="314" t="s">
        <v>203</v>
      </c>
      <c r="BAD12" s="314" t="s">
        <v>203</v>
      </c>
      <c r="BAE12" s="314" t="s">
        <v>203</v>
      </c>
      <c r="BAF12" s="314" t="s">
        <v>203</v>
      </c>
      <c r="BAG12" s="314" t="s">
        <v>203</v>
      </c>
      <c r="BAH12" s="314" t="s">
        <v>203</v>
      </c>
      <c r="BAI12" s="314" t="s">
        <v>203</v>
      </c>
      <c r="BAJ12" s="314" t="s">
        <v>203</v>
      </c>
      <c r="BAK12" s="314" t="s">
        <v>203</v>
      </c>
      <c r="BAL12" s="314" t="s">
        <v>203</v>
      </c>
      <c r="BAM12" s="314" t="s">
        <v>203</v>
      </c>
      <c r="BAN12" s="314" t="s">
        <v>203</v>
      </c>
      <c r="BAO12" s="314" t="s">
        <v>203</v>
      </c>
      <c r="BAP12" s="314" t="s">
        <v>203</v>
      </c>
      <c r="BAQ12" s="314" t="s">
        <v>203</v>
      </c>
      <c r="BAR12" s="314" t="s">
        <v>203</v>
      </c>
      <c r="BAS12" s="314" t="s">
        <v>203</v>
      </c>
      <c r="BAT12" s="314" t="s">
        <v>203</v>
      </c>
      <c r="BAU12" s="314" t="s">
        <v>203</v>
      </c>
      <c r="BAV12" s="314" t="s">
        <v>203</v>
      </c>
      <c r="BAW12" s="314" t="s">
        <v>203</v>
      </c>
      <c r="BAX12" s="314" t="s">
        <v>203</v>
      </c>
      <c r="BAY12" s="314" t="s">
        <v>203</v>
      </c>
      <c r="BAZ12" s="314" t="s">
        <v>203</v>
      </c>
      <c r="BBA12" s="314" t="s">
        <v>203</v>
      </c>
      <c r="BBB12" s="314" t="s">
        <v>203</v>
      </c>
      <c r="BBC12" s="314" t="s">
        <v>203</v>
      </c>
      <c r="BBD12" s="314" t="s">
        <v>203</v>
      </c>
      <c r="BBE12" s="314" t="s">
        <v>203</v>
      </c>
      <c r="BBF12" s="314" t="s">
        <v>203</v>
      </c>
      <c r="BBG12" s="314" t="s">
        <v>203</v>
      </c>
      <c r="BBH12" s="314" t="s">
        <v>203</v>
      </c>
      <c r="BBI12" s="314" t="s">
        <v>203</v>
      </c>
      <c r="BBJ12" s="314" t="s">
        <v>203</v>
      </c>
      <c r="BBK12" s="314" t="s">
        <v>203</v>
      </c>
      <c r="BBL12" s="314" t="s">
        <v>203</v>
      </c>
      <c r="BBM12" s="314" t="s">
        <v>203</v>
      </c>
      <c r="BBN12" s="314" t="s">
        <v>203</v>
      </c>
      <c r="BBO12" s="314" t="s">
        <v>203</v>
      </c>
      <c r="BBP12" s="314" t="s">
        <v>203</v>
      </c>
      <c r="BBQ12" s="314" t="s">
        <v>203</v>
      </c>
      <c r="BBR12" s="314" t="s">
        <v>203</v>
      </c>
      <c r="BBS12" s="314" t="s">
        <v>203</v>
      </c>
      <c r="BBT12" s="314" t="s">
        <v>203</v>
      </c>
      <c r="BBU12" s="314" t="s">
        <v>203</v>
      </c>
      <c r="BBV12" s="314" t="s">
        <v>203</v>
      </c>
      <c r="BBW12" s="314" t="s">
        <v>203</v>
      </c>
      <c r="BBX12" s="314" t="s">
        <v>203</v>
      </c>
      <c r="BBY12" s="314" t="s">
        <v>203</v>
      </c>
      <c r="BBZ12" s="314" t="s">
        <v>203</v>
      </c>
      <c r="BCA12" s="314" t="s">
        <v>203</v>
      </c>
      <c r="BCB12" s="314" t="s">
        <v>203</v>
      </c>
      <c r="BCC12" s="314" t="s">
        <v>203</v>
      </c>
      <c r="BCD12" s="314" t="s">
        <v>203</v>
      </c>
      <c r="BCE12" s="314" t="s">
        <v>203</v>
      </c>
      <c r="BCF12" s="314" t="s">
        <v>203</v>
      </c>
      <c r="BCG12" s="314" t="s">
        <v>203</v>
      </c>
      <c r="BCH12" s="314" t="s">
        <v>203</v>
      </c>
      <c r="BCI12" s="314" t="s">
        <v>203</v>
      </c>
      <c r="BCJ12" s="314" t="s">
        <v>203</v>
      </c>
      <c r="BCK12" s="314" t="s">
        <v>203</v>
      </c>
      <c r="BCL12" s="314" t="s">
        <v>203</v>
      </c>
      <c r="BCM12" s="314" t="s">
        <v>203</v>
      </c>
      <c r="BCN12" s="314" t="s">
        <v>203</v>
      </c>
      <c r="BCO12" s="314" t="s">
        <v>203</v>
      </c>
      <c r="BCP12" s="314" t="s">
        <v>203</v>
      </c>
      <c r="BCQ12" s="314" t="s">
        <v>203</v>
      </c>
      <c r="BCR12" s="314" t="s">
        <v>203</v>
      </c>
      <c r="BCS12" s="314" t="s">
        <v>203</v>
      </c>
      <c r="BCT12" s="314" t="s">
        <v>203</v>
      </c>
      <c r="BCU12" s="314" t="s">
        <v>203</v>
      </c>
      <c r="BCV12" s="314" t="s">
        <v>203</v>
      </c>
      <c r="BCW12" s="314" t="s">
        <v>203</v>
      </c>
      <c r="BCX12" s="314" t="s">
        <v>203</v>
      </c>
      <c r="BCY12" s="314" t="s">
        <v>203</v>
      </c>
      <c r="BCZ12" s="314" t="s">
        <v>203</v>
      </c>
      <c r="BDA12" s="314" t="s">
        <v>203</v>
      </c>
      <c r="BDB12" s="314" t="s">
        <v>203</v>
      </c>
      <c r="BDC12" s="314" t="s">
        <v>203</v>
      </c>
      <c r="BDD12" s="314" t="s">
        <v>203</v>
      </c>
      <c r="BDE12" s="314" t="s">
        <v>203</v>
      </c>
      <c r="BDF12" s="314" t="s">
        <v>203</v>
      </c>
      <c r="BDG12" s="314" t="s">
        <v>203</v>
      </c>
      <c r="BDH12" s="314" t="s">
        <v>203</v>
      </c>
      <c r="BDI12" s="314" t="s">
        <v>203</v>
      </c>
      <c r="BDJ12" s="314" t="s">
        <v>203</v>
      </c>
      <c r="BDK12" s="314" t="s">
        <v>203</v>
      </c>
      <c r="BDL12" s="314" t="s">
        <v>203</v>
      </c>
      <c r="BDM12" s="314" t="s">
        <v>203</v>
      </c>
      <c r="BDN12" s="314" t="s">
        <v>203</v>
      </c>
      <c r="BDO12" s="314" t="s">
        <v>203</v>
      </c>
      <c r="BDP12" s="314" t="s">
        <v>203</v>
      </c>
      <c r="BDQ12" s="314" t="s">
        <v>203</v>
      </c>
      <c r="BDR12" s="314" t="s">
        <v>203</v>
      </c>
      <c r="BDS12" s="314" t="s">
        <v>203</v>
      </c>
      <c r="BDT12" s="314" t="s">
        <v>203</v>
      </c>
      <c r="BDU12" s="314" t="s">
        <v>203</v>
      </c>
      <c r="BDV12" s="314" t="s">
        <v>203</v>
      </c>
      <c r="BDW12" s="314" t="s">
        <v>203</v>
      </c>
      <c r="BDX12" s="314" t="s">
        <v>203</v>
      </c>
      <c r="BDY12" s="314" t="s">
        <v>203</v>
      </c>
      <c r="BDZ12" s="314" t="s">
        <v>203</v>
      </c>
      <c r="BEA12" s="314" t="s">
        <v>203</v>
      </c>
      <c r="BEB12" s="314" t="s">
        <v>203</v>
      </c>
      <c r="BEC12" s="314" t="s">
        <v>203</v>
      </c>
      <c r="BED12" s="314" t="s">
        <v>203</v>
      </c>
      <c r="BEE12" s="314" t="s">
        <v>203</v>
      </c>
      <c r="BEF12" s="314" t="s">
        <v>203</v>
      </c>
      <c r="BEG12" s="314" t="s">
        <v>203</v>
      </c>
      <c r="BEH12" s="314" t="s">
        <v>203</v>
      </c>
      <c r="BEI12" s="314" t="s">
        <v>203</v>
      </c>
      <c r="BEJ12" s="314" t="s">
        <v>203</v>
      </c>
      <c r="BEK12" s="314" t="s">
        <v>203</v>
      </c>
      <c r="BEL12" s="314" t="s">
        <v>203</v>
      </c>
      <c r="BEM12" s="314" t="s">
        <v>203</v>
      </c>
      <c r="BEN12" s="314" t="s">
        <v>203</v>
      </c>
      <c r="BEO12" s="314" t="s">
        <v>203</v>
      </c>
      <c r="BEP12" s="314" t="s">
        <v>203</v>
      </c>
      <c r="BEQ12" s="314" t="s">
        <v>203</v>
      </c>
      <c r="BER12" s="314" t="s">
        <v>203</v>
      </c>
      <c r="BES12" s="314" t="s">
        <v>203</v>
      </c>
      <c r="BET12" s="314" t="s">
        <v>203</v>
      </c>
      <c r="BEU12" s="314" t="s">
        <v>203</v>
      </c>
      <c r="BEV12" s="314" t="s">
        <v>203</v>
      </c>
      <c r="BEW12" s="314" t="s">
        <v>203</v>
      </c>
      <c r="BEX12" s="314" t="s">
        <v>203</v>
      </c>
      <c r="BEY12" s="314" t="s">
        <v>203</v>
      </c>
      <c r="BEZ12" s="314" t="s">
        <v>203</v>
      </c>
      <c r="BFA12" s="314" t="s">
        <v>203</v>
      </c>
      <c r="BFB12" s="314" t="s">
        <v>203</v>
      </c>
      <c r="BFC12" s="314" t="s">
        <v>203</v>
      </c>
      <c r="BFD12" s="314" t="s">
        <v>203</v>
      </c>
      <c r="BFE12" s="314" t="s">
        <v>203</v>
      </c>
      <c r="BFF12" s="314" t="s">
        <v>203</v>
      </c>
      <c r="BFG12" s="314" t="s">
        <v>203</v>
      </c>
      <c r="BFH12" s="314" t="s">
        <v>203</v>
      </c>
      <c r="BFI12" s="314" t="s">
        <v>203</v>
      </c>
      <c r="BFJ12" s="314" t="s">
        <v>203</v>
      </c>
      <c r="BFK12" s="314" t="s">
        <v>203</v>
      </c>
      <c r="BFL12" s="314" t="s">
        <v>203</v>
      </c>
      <c r="BFM12" s="314" t="s">
        <v>203</v>
      </c>
      <c r="BFN12" s="314" t="s">
        <v>203</v>
      </c>
      <c r="BFO12" s="314" t="s">
        <v>203</v>
      </c>
      <c r="BFP12" s="314" t="s">
        <v>203</v>
      </c>
      <c r="BFQ12" s="314" t="s">
        <v>203</v>
      </c>
      <c r="BFR12" s="314" t="s">
        <v>203</v>
      </c>
      <c r="BFS12" s="314" t="s">
        <v>203</v>
      </c>
      <c r="BFT12" s="314" t="s">
        <v>203</v>
      </c>
      <c r="BFU12" s="314" t="s">
        <v>203</v>
      </c>
      <c r="BFV12" s="314" t="s">
        <v>203</v>
      </c>
      <c r="BFW12" s="314" t="s">
        <v>203</v>
      </c>
      <c r="BFX12" s="314" t="s">
        <v>203</v>
      </c>
      <c r="BFY12" s="314" t="s">
        <v>203</v>
      </c>
      <c r="BFZ12" s="314" t="s">
        <v>203</v>
      </c>
      <c r="BGA12" s="314" t="s">
        <v>203</v>
      </c>
      <c r="BGB12" s="314" t="s">
        <v>203</v>
      </c>
      <c r="BGC12" s="314" t="s">
        <v>203</v>
      </c>
      <c r="BGD12" s="314" t="s">
        <v>203</v>
      </c>
      <c r="BGE12" s="314" t="s">
        <v>203</v>
      </c>
      <c r="BGF12" s="314" t="s">
        <v>203</v>
      </c>
      <c r="BGG12" s="314" t="s">
        <v>203</v>
      </c>
      <c r="BGH12" s="314" t="s">
        <v>203</v>
      </c>
      <c r="BGI12" s="314" t="s">
        <v>203</v>
      </c>
      <c r="BGJ12" s="314" t="s">
        <v>203</v>
      </c>
      <c r="BGK12" s="314" t="s">
        <v>203</v>
      </c>
      <c r="BGL12" s="314" t="s">
        <v>203</v>
      </c>
      <c r="BGM12" s="314" t="s">
        <v>203</v>
      </c>
      <c r="BGN12" s="314" t="s">
        <v>203</v>
      </c>
      <c r="BGO12" s="314" t="s">
        <v>203</v>
      </c>
      <c r="BGP12" s="314" t="s">
        <v>203</v>
      </c>
      <c r="BGQ12" s="314" t="s">
        <v>203</v>
      </c>
      <c r="BGR12" s="314" t="s">
        <v>203</v>
      </c>
      <c r="BGS12" s="314" t="s">
        <v>203</v>
      </c>
      <c r="BGT12" s="314" t="s">
        <v>203</v>
      </c>
      <c r="BGU12" s="314" t="s">
        <v>203</v>
      </c>
      <c r="BGV12" s="314" t="s">
        <v>203</v>
      </c>
      <c r="BGW12" s="314" t="s">
        <v>203</v>
      </c>
      <c r="BGX12" s="314" t="s">
        <v>203</v>
      </c>
      <c r="BGY12" s="314" t="s">
        <v>203</v>
      </c>
      <c r="BGZ12" s="314" t="s">
        <v>203</v>
      </c>
      <c r="BHA12" s="314" t="s">
        <v>203</v>
      </c>
      <c r="BHB12" s="314" t="s">
        <v>203</v>
      </c>
      <c r="BHC12" s="314" t="s">
        <v>203</v>
      </c>
      <c r="BHD12" s="314" t="s">
        <v>203</v>
      </c>
      <c r="BHE12" s="314" t="s">
        <v>203</v>
      </c>
      <c r="BHF12" s="314" t="s">
        <v>203</v>
      </c>
      <c r="BHG12" s="314" t="s">
        <v>203</v>
      </c>
      <c r="BHH12" s="314" t="s">
        <v>203</v>
      </c>
      <c r="BHI12" s="314" t="s">
        <v>203</v>
      </c>
      <c r="BHJ12" s="314" t="s">
        <v>203</v>
      </c>
      <c r="BHK12" s="314" t="s">
        <v>203</v>
      </c>
      <c r="BHL12" s="314" t="s">
        <v>203</v>
      </c>
      <c r="BHM12" s="314" t="s">
        <v>203</v>
      </c>
      <c r="BHN12" s="314" t="s">
        <v>203</v>
      </c>
      <c r="BHO12" s="314" t="s">
        <v>203</v>
      </c>
      <c r="BHP12" s="314" t="s">
        <v>203</v>
      </c>
      <c r="BHQ12" s="314" t="s">
        <v>203</v>
      </c>
      <c r="BHR12" s="314" t="s">
        <v>203</v>
      </c>
      <c r="BHS12" s="314" t="s">
        <v>203</v>
      </c>
      <c r="BHT12" s="314" t="s">
        <v>203</v>
      </c>
      <c r="BHU12" s="314" t="s">
        <v>203</v>
      </c>
      <c r="BHV12" s="314" t="s">
        <v>203</v>
      </c>
      <c r="BHW12" s="314" t="s">
        <v>203</v>
      </c>
      <c r="BHX12" s="314" t="s">
        <v>203</v>
      </c>
      <c r="BHY12" s="314" t="s">
        <v>203</v>
      </c>
      <c r="BHZ12" s="314" t="s">
        <v>203</v>
      </c>
      <c r="BIA12" s="314" t="s">
        <v>203</v>
      </c>
      <c r="BIB12" s="314" t="s">
        <v>203</v>
      </c>
      <c r="BIC12" s="314" t="s">
        <v>203</v>
      </c>
      <c r="BID12" s="314" t="s">
        <v>203</v>
      </c>
      <c r="BIE12" s="314" t="s">
        <v>203</v>
      </c>
      <c r="BIF12" s="314" t="s">
        <v>203</v>
      </c>
      <c r="BIG12" s="314" t="s">
        <v>203</v>
      </c>
      <c r="BIH12" s="314" t="s">
        <v>203</v>
      </c>
      <c r="BII12" s="314" t="s">
        <v>203</v>
      </c>
      <c r="BIJ12" s="314" t="s">
        <v>203</v>
      </c>
      <c r="BIK12" s="314" t="s">
        <v>203</v>
      </c>
      <c r="BIL12" s="314" t="s">
        <v>203</v>
      </c>
      <c r="BIM12" s="314" t="s">
        <v>203</v>
      </c>
      <c r="BIN12" s="314" t="s">
        <v>203</v>
      </c>
      <c r="BIO12" s="314" t="s">
        <v>203</v>
      </c>
      <c r="BIP12" s="314" t="s">
        <v>203</v>
      </c>
      <c r="BIQ12" s="314" t="s">
        <v>203</v>
      </c>
      <c r="BIR12" s="314" t="s">
        <v>203</v>
      </c>
      <c r="BIS12" s="314" t="s">
        <v>203</v>
      </c>
      <c r="BIT12" s="314" t="s">
        <v>203</v>
      </c>
      <c r="BIU12" s="314" t="s">
        <v>203</v>
      </c>
      <c r="BIV12" s="314" t="s">
        <v>203</v>
      </c>
      <c r="BIW12" s="314" t="s">
        <v>203</v>
      </c>
      <c r="BIX12" s="314" t="s">
        <v>203</v>
      </c>
      <c r="BIY12" s="314" t="s">
        <v>203</v>
      </c>
      <c r="BIZ12" s="314" t="s">
        <v>203</v>
      </c>
      <c r="BJA12" s="314" t="s">
        <v>203</v>
      </c>
      <c r="BJB12" s="314" t="s">
        <v>203</v>
      </c>
      <c r="BJC12" s="314" t="s">
        <v>203</v>
      </c>
      <c r="BJD12" s="314" t="s">
        <v>203</v>
      </c>
      <c r="BJE12" s="314" t="s">
        <v>203</v>
      </c>
      <c r="BJF12" s="314" t="s">
        <v>203</v>
      </c>
      <c r="BJG12" s="314" t="s">
        <v>203</v>
      </c>
      <c r="BJH12" s="314" t="s">
        <v>203</v>
      </c>
      <c r="BJI12" s="314" t="s">
        <v>203</v>
      </c>
      <c r="BJJ12" s="314" t="s">
        <v>203</v>
      </c>
      <c r="BJK12" s="314" t="s">
        <v>203</v>
      </c>
      <c r="BJL12" s="314" t="s">
        <v>203</v>
      </c>
      <c r="BJM12" s="314" t="s">
        <v>203</v>
      </c>
      <c r="BJN12" s="314" t="s">
        <v>203</v>
      </c>
      <c r="BJO12" s="314" t="s">
        <v>203</v>
      </c>
      <c r="BJP12" s="314" t="s">
        <v>203</v>
      </c>
      <c r="BJQ12" s="314" t="s">
        <v>203</v>
      </c>
      <c r="BJR12" s="314" t="s">
        <v>203</v>
      </c>
      <c r="BJS12" s="314" t="s">
        <v>203</v>
      </c>
      <c r="BJT12" s="314" t="s">
        <v>203</v>
      </c>
      <c r="BJU12" s="314" t="s">
        <v>203</v>
      </c>
      <c r="BJV12" s="314" t="s">
        <v>203</v>
      </c>
      <c r="BJW12" s="314" t="s">
        <v>203</v>
      </c>
      <c r="BJX12" s="314" t="s">
        <v>203</v>
      </c>
      <c r="BJY12" s="314" t="s">
        <v>203</v>
      </c>
      <c r="BJZ12" s="314" t="s">
        <v>203</v>
      </c>
      <c r="BKA12" s="314" t="s">
        <v>203</v>
      </c>
      <c r="BKB12" s="314" t="s">
        <v>203</v>
      </c>
      <c r="BKC12" s="314" t="s">
        <v>203</v>
      </c>
      <c r="BKD12" s="314" t="s">
        <v>203</v>
      </c>
      <c r="BKE12" s="314" t="s">
        <v>203</v>
      </c>
      <c r="BKF12" s="314" t="s">
        <v>203</v>
      </c>
      <c r="BKG12" s="314" t="s">
        <v>203</v>
      </c>
      <c r="BKH12" s="314" t="s">
        <v>203</v>
      </c>
      <c r="BKI12" s="314" t="s">
        <v>203</v>
      </c>
      <c r="BKJ12" s="314" t="s">
        <v>203</v>
      </c>
      <c r="BKK12" s="314" t="s">
        <v>203</v>
      </c>
      <c r="BKL12" s="314" t="s">
        <v>203</v>
      </c>
      <c r="BKM12" s="314" t="s">
        <v>203</v>
      </c>
      <c r="BKN12" s="314" t="s">
        <v>203</v>
      </c>
      <c r="BKO12" s="314" t="s">
        <v>203</v>
      </c>
      <c r="BKP12" s="314" t="s">
        <v>203</v>
      </c>
      <c r="BKQ12" s="314" t="s">
        <v>203</v>
      </c>
      <c r="BKR12" s="314" t="s">
        <v>203</v>
      </c>
      <c r="BKS12" s="314" t="s">
        <v>203</v>
      </c>
      <c r="BKT12" s="314" t="s">
        <v>203</v>
      </c>
      <c r="BKU12" s="314" t="s">
        <v>203</v>
      </c>
      <c r="BKV12" s="314" t="s">
        <v>203</v>
      </c>
      <c r="BKW12" s="314" t="s">
        <v>203</v>
      </c>
      <c r="BKX12" s="314" t="s">
        <v>203</v>
      </c>
      <c r="BKY12" s="314" t="s">
        <v>203</v>
      </c>
      <c r="BKZ12" s="314" t="s">
        <v>203</v>
      </c>
      <c r="BLA12" s="314" t="s">
        <v>203</v>
      </c>
      <c r="BLB12" s="314" t="s">
        <v>203</v>
      </c>
      <c r="BLC12" s="314" t="s">
        <v>203</v>
      </c>
      <c r="BLD12" s="314" t="s">
        <v>203</v>
      </c>
      <c r="BLE12" s="314" t="s">
        <v>203</v>
      </c>
      <c r="BLF12" s="314" t="s">
        <v>203</v>
      </c>
      <c r="BLG12" s="314" t="s">
        <v>203</v>
      </c>
      <c r="BLH12" s="314" t="s">
        <v>203</v>
      </c>
      <c r="BLI12" s="314" t="s">
        <v>203</v>
      </c>
      <c r="BLJ12" s="314" t="s">
        <v>203</v>
      </c>
      <c r="BLK12" s="314" t="s">
        <v>203</v>
      </c>
      <c r="BLL12" s="314" t="s">
        <v>203</v>
      </c>
      <c r="BLM12" s="314" t="s">
        <v>203</v>
      </c>
      <c r="BLN12" s="314" t="s">
        <v>203</v>
      </c>
      <c r="BLO12" s="314" t="s">
        <v>203</v>
      </c>
      <c r="BLP12" s="314" t="s">
        <v>203</v>
      </c>
      <c r="BLQ12" s="314" t="s">
        <v>203</v>
      </c>
      <c r="BLR12" s="314" t="s">
        <v>203</v>
      </c>
      <c r="BLS12" s="314" t="s">
        <v>203</v>
      </c>
      <c r="BLT12" s="314" t="s">
        <v>203</v>
      </c>
      <c r="BLU12" s="314" t="s">
        <v>203</v>
      </c>
      <c r="BLV12" s="314" t="s">
        <v>203</v>
      </c>
      <c r="BLW12" s="314" t="s">
        <v>203</v>
      </c>
      <c r="BLX12" s="314" t="s">
        <v>203</v>
      </c>
      <c r="BLY12" s="314" t="s">
        <v>203</v>
      </c>
      <c r="BLZ12" s="314" t="s">
        <v>203</v>
      </c>
      <c r="BMA12" s="314" t="s">
        <v>203</v>
      </c>
      <c r="BMB12" s="314" t="s">
        <v>203</v>
      </c>
      <c r="BMC12" s="314" t="s">
        <v>203</v>
      </c>
      <c r="BMD12" s="314" t="s">
        <v>203</v>
      </c>
      <c r="BME12" s="314" t="s">
        <v>203</v>
      </c>
      <c r="BMF12" s="314" t="s">
        <v>203</v>
      </c>
      <c r="BMG12" s="314" t="s">
        <v>203</v>
      </c>
      <c r="BMH12" s="314" t="s">
        <v>203</v>
      </c>
      <c r="BMI12" s="314" t="s">
        <v>203</v>
      </c>
      <c r="BMJ12" s="314" t="s">
        <v>203</v>
      </c>
      <c r="BMK12" s="314" t="s">
        <v>203</v>
      </c>
      <c r="BML12" s="314" t="s">
        <v>203</v>
      </c>
      <c r="BMM12" s="314" t="s">
        <v>203</v>
      </c>
      <c r="BMN12" s="314" t="s">
        <v>203</v>
      </c>
      <c r="BMO12" s="314" t="s">
        <v>203</v>
      </c>
      <c r="BMP12" s="314" t="s">
        <v>203</v>
      </c>
      <c r="BMQ12" s="314" t="s">
        <v>203</v>
      </c>
      <c r="BMR12" s="314" t="s">
        <v>203</v>
      </c>
      <c r="BMS12" s="314" t="s">
        <v>203</v>
      </c>
      <c r="BMT12" s="314" t="s">
        <v>203</v>
      </c>
      <c r="BMU12" s="314" t="s">
        <v>203</v>
      </c>
      <c r="BMV12" s="314" t="s">
        <v>203</v>
      </c>
      <c r="BMW12" s="314" t="s">
        <v>203</v>
      </c>
      <c r="BMX12" s="314" t="s">
        <v>203</v>
      </c>
      <c r="BMY12" s="314" t="s">
        <v>203</v>
      </c>
      <c r="BMZ12" s="314" t="s">
        <v>203</v>
      </c>
      <c r="BNA12" s="314" t="s">
        <v>203</v>
      </c>
      <c r="BNB12" s="314" t="s">
        <v>203</v>
      </c>
      <c r="BNC12" s="314" t="s">
        <v>203</v>
      </c>
      <c r="BND12" s="314" t="s">
        <v>203</v>
      </c>
      <c r="BNE12" s="314" t="s">
        <v>203</v>
      </c>
      <c r="BNF12" s="314" t="s">
        <v>203</v>
      </c>
      <c r="BNG12" s="314" t="s">
        <v>203</v>
      </c>
      <c r="BNH12" s="314" t="s">
        <v>203</v>
      </c>
      <c r="BNI12" s="314" t="s">
        <v>203</v>
      </c>
      <c r="BNJ12" s="314" t="s">
        <v>203</v>
      </c>
      <c r="BNK12" s="314" t="s">
        <v>203</v>
      </c>
      <c r="BNL12" s="314" t="s">
        <v>203</v>
      </c>
      <c r="BNM12" s="314" t="s">
        <v>203</v>
      </c>
      <c r="BNN12" s="314" t="s">
        <v>203</v>
      </c>
      <c r="BNO12" s="314" t="s">
        <v>203</v>
      </c>
      <c r="BNP12" s="314" t="s">
        <v>203</v>
      </c>
      <c r="BNQ12" s="314" t="s">
        <v>203</v>
      </c>
      <c r="BNR12" s="314" t="s">
        <v>203</v>
      </c>
      <c r="BNS12" s="314" t="s">
        <v>203</v>
      </c>
      <c r="BNT12" s="314" t="s">
        <v>203</v>
      </c>
      <c r="BNU12" s="314" t="s">
        <v>203</v>
      </c>
      <c r="BNV12" s="314" t="s">
        <v>203</v>
      </c>
      <c r="BNW12" s="314" t="s">
        <v>203</v>
      </c>
      <c r="BNX12" s="314" t="s">
        <v>203</v>
      </c>
      <c r="BNY12" s="314" t="s">
        <v>203</v>
      </c>
      <c r="BNZ12" s="314" t="s">
        <v>203</v>
      </c>
      <c r="BOA12" s="314" t="s">
        <v>203</v>
      </c>
      <c r="BOB12" s="314" t="s">
        <v>203</v>
      </c>
      <c r="BOC12" s="314" t="s">
        <v>203</v>
      </c>
      <c r="BOD12" s="314" t="s">
        <v>203</v>
      </c>
      <c r="BOE12" s="314" t="s">
        <v>203</v>
      </c>
      <c r="BOF12" s="314" t="s">
        <v>203</v>
      </c>
      <c r="BOG12" s="314" t="s">
        <v>203</v>
      </c>
      <c r="BOH12" s="314" t="s">
        <v>203</v>
      </c>
      <c r="BOI12" s="314" t="s">
        <v>203</v>
      </c>
      <c r="BOJ12" s="314" t="s">
        <v>203</v>
      </c>
      <c r="BOK12" s="314" t="s">
        <v>203</v>
      </c>
      <c r="BOL12" s="314" t="s">
        <v>203</v>
      </c>
      <c r="BOM12" s="314" t="s">
        <v>203</v>
      </c>
      <c r="BON12" s="314" t="s">
        <v>203</v>
      </c>
      <c r="BOO12" s="314" t="s">
        <v>203</v>
      </c>
      <c r="BOP12" s="314" t="s">
        <v>203</v>
      </c>
      <c r="BOQ12" s="314" t="s">
        <v>203</v>
      </c>
      <c r="BOR12" s="314" t="s">
        <v>203</v>
      </c>
      <c r="BOS12" s="314" t="s">
        <v>203</v>
      </c>
      <c r="BOT12" s="314" t="s">
        <v>203</v>
      </c>
      <c r="BOU12" s="314" t="s">
        <v>203</v>
      </c>
      <c r="BOV12" s="314" t="s">
        <v>203</v>
      </c>
      <c r="BOW12" s="314" t="s">
        <v>203</v>
      </c>
      <c r="BOX12" s="314" t="s">
        <v>203</v>
      </c>
      <c r="BOY12" s="314" t="s">
        <v>203</v>
      </c>
      <c r="BOZ12" s="314" t="s">
        <v>203</v>
      </c>
      <c r="BPA12" s="314" t="s">
        <v>203</v>
      </c>
      <c r="BPB12" s="314" t="s">
        <v>203</v>
      </c>
      <c r="BPC12" s="314" t="s">
        <v>203</v>
      </c>
      <c r="BPD12" s="314" t="s">
        <v>203</v>
      </c>
      <c r="BPE12" s="314" t="s">
        <v>203</v>
      </c>
      <c r="BPF12" s="314" t="s">
        <v>203</v>
      </c>
      <c r="BPG12" s="314" t="s">
        <v>203</v>
      </c>
      <c r="BPH12" s="314" t="s">
        <v>203</v>
      </c>
      <c r="BPI12" s="314" t="s">
        <v>203</v>
      </c>
      <c r="BPJ12" s="314" t="s">
        <v>203</v>
      </c>
      <c r="BPK12" s="314" t="s">
        <v>203</v>
      </c>
      <c r="BPL12" s="314" t="s">
        <v>203</v>
      </c>
      <c r="BPM12" s="314" t="s">
        <v>203</v>
      </c>
      <c r="BPN12" s="314" t="s">
        <v>203</v>
      </c>
      <c r="BPO12" s="314" t="s">
        <v>203</v>
      </c>
      <c r="BPP12" s="314" t="s">
        <v>203</v>
      </c>
      <c r="BPQ12" s="314" t="s">
        <v>203</v>
      </c>
      <c r="BPR12" s="314" t="s">
        <v>203</v>
      </c>
      <c r="BPS12" s="314" t="s">
        <v>203</v>
      </c>
      <c r="BPT12" s="314" t="s">
        <v>203</v>
      </c>
      <c r="BPU12" s="314" t="s">
        <v>203</v>
      </c>
      <c r="BPV12" s="314" t="s">
        <v>203</v>
      </c>
      <c r="BPW12" s="314" t="s">
        <v>203</v>
      </c>
      <c r="BPX12" s="314" t="s">
        <v>203</v>
      </c>
      <c r="BPY12" s="314" t="s">
        <v>203</v>
      </c>
      <c r="BPZ12" s="314" t="s">
        <v>203</v>
      </c>
      <c r="BQA12" s="314" t="s">
        <v>203</v>
      </c>
      <c r="BQB12" s="314" t="s">
        <v>203</v>
      </c>
      <c r="BQC12" s="314" t="s">
        <v>203</v>
      </c>
      <c r="BQD12" s="314" t="s">
        <v>203</v>
      </c>
      <c r="BQE12" s="314" t="s">
        <v>203</v>
      </c>
      <c r="BQF12" s="314" t="s">
        <v>203</v>
      </c>
      <c r="BQG12" s="314" t="s">
        <v>203</v>
      </c>
      <c r="BQH12" s="314" t="s">
        <v>203</v>
      </c>
      <c r="BQI12" s="314" t="s">
        <v>203</v>
      </c>
      <c r="BQJ12" s="314" t="s">
        <v>203</v>
      </c>
      <c r="BQK12" s="314" t="s">
        <v>203</v>
      </c>
      <c r="BQL12" s="314" t="s">
        <v>203</v>
      </c>
      <c r="BQM12" s="314" t="s">
        <v>203</v>
      </c>
      <c r="BQN12" s="314" t="s">
        <v>203</v>
      </c>
      <c r="BQO12" s="314" t="s">
        <v>203</v>
      </c>
      <c r="BQP12" s="314" t="s">
        <v>203</v>
      </c>
      <c r="BQQ12" s="314" t="s">
        <v>203</v>
      </c>
      <c r="BQR12" s="314" t="s">
        <v>203</v>
      </c>
      <c r="BQS12" s="314" t="s">
        <v>203</v>
      </c>
      <c r="BQT12" s="314" t="s">
        <v>203</v>
      </c>
      <c r="BQU12" s="314" t="s">
        <v>203</v>
      </c>
      <c r="BQV12" s="314" t="s">
        <v>203</v>
      </c>
      <c r="BQW12" s="314" t="s">
        <v>203</v>
      </c>
      <c r="BQX12" s="314" t="s">
        <v>203</v>
      </c>
      <c r="BQY12" s="314" t="s">
        <v>203</v>
      </c>
      <c r="BQZ12" s="314" t="s">
        <v>203</v>
      </c>
      <c r="BRA12" s="314" t="s">
        <v>203</v>
      </c>
      <c r="BRB12" s="314" t="s">
        <v>203</v>
      </c>
      <c r="BRC12" s="314" t="s">
        <v>203</v>
      </c>
      <c r="BRD12" s="314" t="s">
        <v>203</v>
      </c>
      <c r="BRE12" s="314" t="s">
        <v>203</v>
      </c>
      <c r="BRF12" s="314" t="s">
        <v>203</v>
      </c>
      <c r="BRG12" s="314" t="s">
        <v>203</v>
      </c>
      <c r="BRH12" s="314" t="s">
        <v>203</v>
      </c>
      <c r="BRI12" s="314" t="s">
        <v>203</v>
      </c>
      <c r="BRJ12" s="314" t="s">
        <v>203</v>
      </c>
      <c r="BRK12" s="314" t="s">
        <v>203</v>
      </c>
      <c r="BRL12" s="314" t="s">
        <v>203</v>
      </c>
      <c r="BRM12" s="314" t="s">
        <v>203</v>
      </c>
      <c r="BRN12" s="314" t="s">
        <v>203</v>
      </c>
      <c r="BRO12" s="314" t="s">
        <v>203</v>
      </c>
      <c r="BRP12" s="314" t="s">
        <v>203</v>
      </c>
      <c r="BRQ12" s="314" t="s">
        <v>203</v>
      </c>
      <c r="BRR12" s="314" t="s">
        <v>203</v>
      </c>
      <c r="BRS12" s="314" t="s">
        <v>203</v>
      </c>
      <c r="BRT12" s="314" t="s">
        <v>203</v>
      </c>
      <c r="BRU12" s="314" t="s">
        <v>203</v>
      </c>
      <c r="BRV12" s="314" t="s">
        <v>203</v>
      </c>
      <c r="BRW12" s="314" t="s">
        <v>203</v>
      </c>
      <c r="BRX12" s="314" t="s">
        <v>203</v>
      </c>
      <c r="BRY12" s="314" t="s">
        <v>203</v>
      </c>
      <c r="BRZ12" s="314" t="s">
        <v>203</v>
      </c>
      <c r="BSA12" s="314" t="s">
        <v>203</v>
      </c>
      <c r="BSB12" s="314" t="s">
        <v>203</v>
      </c>
      <c r="BSC12" s="314" t="s">
        <v>203</v>
      </c>
      <c r="BSD12" s="314" t="s">
        <v>203</v>
      </c>
      <c r="BSE12" s="314" t="s">
        <v>203</v>
      </c>
      <c r="BSF12" s="314" t="s">
        <v>203</v>
      </c>
      <c r="BSG12" s="314" t="s">
        <v>203</v>
      </c>
      <c r="BSH12" s="314" t="s">
        <v>203</v>
      </c>
      <c r="BSI12" s="314" t="s">
        <v>203</v>
      </c>
      <c r="BSJ12" s="314" t="s">
        <v>203</v>
      </c>
      <c r="BSK12" s="314" t="s">
        <v>203</v>
      </c>
      <c r="BSL12" s="314" t="s">
        <v>203</v>
      </c>
      <c r="BSM12" s="314" t="s">
        <v>203</v>
      </c>
      <c r="BSN12" s="314" t="s">
        <v>203</v>
      </c>
      <c r="BSO12" s="314" t="s">
        <v>203</v>
      </c>
      <c r="BSP12" s="314" t="s">
        <v>203</v>
      </c>
      <c r="BSQ12" s="314" t="s">
        <v>203</v>
      </c>
      <c r="BSR12" s="314" t="s">
        <v>203</v>
      </c>
      <c r="BSS12" s="314" t="s">
        <v>203</v>
      </c>
      <c r="BST12" s="314" t="s">
        <v>203</v>
      </c>
      <c r="BSU12" s="314" t="s">
        <v>203</v>
      </c>
      <c r="BSV12" s="314" t="s">
        <v>203</v>
      </c>
      <c r="BSW12" s="314" t="s">
        <v>203</v>
      </c>
      <c r="BSX12" s="314" t="s">
        <v>203</v>
      </c>
      <c r="BSY12" s="314" t="s">
        <v>203</v>
      </c>
      <c r="BSZ12" s="314" t="s">
        <v>203</v>
      </c>
      <c r="BTA12" s="314" t="s">
        <v>203</v>
      </c>
      <c r="BTB12" s="314" t="s">
        <v>203</v>
      </c>
      <c r="BTC12" s="314" t="s">
        <v>203</v>
      </c>
      <c r="BTD12" s="314" t="s">
        <v>203</v>
      </c>
      <c r="BTE12" s="314" t="s">
        <v>203</v>
      </c>
      <c r="BTF12" s="314" t="s">
        <v>203</v>
      </c>
      <c r="BTG12" s="314" t="s">
        <v>203</v>
      </c>
      <c r="BTH12" s="314" t="s">
        <v>203</v>
      </c>
      <c r="BTI12" s="314" t="s">
        <v>203</v>
      </c>
      <c r="BTJ12" s="314" t="s">
        <v>203</v>
      </c>
      <c r="BTK12" s="314" t="s">
        <v>203</v>
      </c>
      <c r="BTL12" s="314" t="s">
        <v>203</v>
      </c>
      <c r="BTM12" s="314" t="s">
        <v>203</v>
      </c>
      <c r="BTN12" s="314" t="s">
        <v>203</v>
      </c>
      <c r="BTO12" s="314" t="s">
        <v>203</v>
      </c>
      <c r="BTP12" s="314" t="s">
        <v>203</v>
      </c>
      <c r="BTQ12" s="314" t="s">
        <v>203</v>
      </c>
      <c r="BTR12" s="314" t="s">
        <v>203</v>
      </c>
      <c r="BTS12" s="314" t="s">
        <v>203</v>
      </c>
      <c r="BTT12" s="314" t="s">
        <v>203</v>
      </c>
      <c r="BTU12" s="314" t="s">
        <v>203</v>
      </c>
      <c r="BTV12" s="314" t="s">
        <v>203</v>
      </c>
      <c r="BTW12" s="314" t="s">
        <v>203</v>
      </c>
      <c r="BTX12" s="314" t="s">
        <v>203</v>
      </c>
      <c r="BTY12" s="314" t="s">
        <v>203</v>
      </c>
      <c r="BTZ12" s="314" t="s">
        <v>203</v>
      </c>
      <c r="BUA12" s="314" t="s">
        <v>203</v>
      </c>
      <c r="BUB12" s="314" t="s">
        <v>203</v>
      </c>
      <c r="BUC12" s="314" t="s">
        <v>203</v>
      </c>
      <c r="BUD12" s="314" t="s">
        <v>203</v>
      </c>
      <c r="BUE12" s="314" t="s">
        <v>203</v>
      </c>
      <c r="BUF12" s="314" t="s">
        <v>203</v>
      </c>
      <c r="BUG12" s="314" t="s">
        <v>203</v>
      </c>
      <c r="BUH12" s="314" t="s">
        <v>203</v>
      </c>
      <c r="BUI12" s="314" t="s">
        <v>203</v>
      </c>
      <c r="BUJ12" s="314" t="s">
        <v>203</v>
      </c>
      <c r="BUK12" s="314" t="s">
        <v>203</v>
      </c>
      <c r="BUL12" s="314" t="s">
        <v>203</v>
      </c>
      <c r="BUM12" s="314" t="s">
        <v>203</v>
      </c>
      <c r="BUN12" s="314" t="s">
        <v>203</v>
      </c>
      <c r="BUO12" s="314" t="s">
        <v>203</v>
      </c>
      <c r="BUP12" s="314" t="s">
        <v>203</v>
      </c>
      <c r="BUQ12" s="314" t="s">
        <v>203</v>
      </c>
      <c r="BUR12" s="314" t="s">
        <v>203</v>
      </c>
      <c r="BUS12" s="314" t="s">
        <v>203</v>
      </c>
      <c r="BUT12" s="314" t="s">
        <v>203</v>
      </c>
      <c r="BUU12" s="314" t="s">
        <v>203</v>
      </c>
      <c r="BUV12" s="314" t="s">
        <v>203</v>
      </c>
      <c r="BUW12" s="314" t="s">
        <v>203</v>
      </c>
      <c r="BUX12" s="314" t="s">
        <v>203</v>
      </c>
      <c r="BUY12" s="314" t="s">
        <v>203</v>
      </c>
      <c r="BUZ12" s="314" t="s">
        <v>203</v>
      </c>
      <c r="BVA12" s="314" t="s">
        <v>203</v>
      </c>
      <c r="BVB12" s="314" t="s">
        <v>203</v>
      </c>
      <c r="BVC12" s="314" t="s">
        <v>203</v>
      </c>
      <c r="BVD12" s="314" t="s">
        <v>203</v>
      </c>
      <c r="BVE12" s="314" t="s">
        <v>203</v>
      </c>
      <c r="BVF12" s="314" t="s">
        <v>203</v>
      </c>
      <c r="BVG12" s="314" t="s">
        <v>203</v>
      </c>
      <c r="BVH12" s="314" t="s">
        <v>203</v>
      </c>
      <c r="BVI12" s="314" t="s">
        <v>203</v>
      </c>
      <c r="BVJ12" s="314" t="s">
        <v>203</v>
      </c>
      <c r="BVK12" s="314" t="s">
        <v>203</v>
      </c>
      <c r="BVL12" s="314" t="s">
        <v>203</v>
      </c>
      <c r="BVM12" s="314" t="s">
        <v>203</v>
      </c>
      <c r="BVN12" s="314" t="s">
        <v>203</v>
      </c>
      <c r="BVO12" s="314" t="s">
        <v>203</v>
      </c>
      <c r="BVP12" s="314" t="s">
        <v>203</v>
      </c>
      <c r="BVQ12" s="314" t="s">
        <v>203</v>
      </c>
      <c r="BVR12" s="314" t="s">
        <v>203</v>
      </c>
      <c r="BVS12" s="314" t="s">
        <v>203</v>
      </c>
      <c r="BVT12" s="314" t="s">
        <v>203</v>
      </c>
      <c r="BVU12" s="314" t="s">
        <v>203</v>
      </c>
      <c r="BVV12" s="314" t="s">
        <v>203</v>
      </c>
      <c r="BVW12" s="314" t="s">
        <v>203</v>
      </c>
      <c r="BVX12" s="314" t="s">
        <v>203</v>
      </c>
      <c r="BVY12" s="314" t="s">
        <v>203</v>
      </c>
      <c r="BVZ12" s="314" t="s">
        <v>203</v>
      </c>
      <c r="BWA12" s="314" t="s">
        <v>203</v>
      </c>
      <c r="BWB12" s="314" t="s">
        <v>203</v>
      </c>
      <c r="BWC12" s="314" t="s">
        <v>203</v>
      </c>
      <c r="BWD12" s="314" t="s">
        <v>203</v>
      </c>
      <c r="BWE12" s="314" t="s">
        <v>203</v>
      </c>
      <c r="BWF12" s="314" t="s">
        <v>203</v>
      </c>
      <c r="BWG12" s="314" t="s">
        <v>203</v>
      </c>
      <c r="BWH12" s="314" t="s">
        <v>203</v>
      </c>
      <c r="BWI12" s="314" t="s">
        <v>203</v>
      </c>
      <c r="BWJ12" s="314" t="s">
        <v>203</v>
      </c>
      <c r="BWK12" s="314" t="s">
        <v>203</v>
      </c>
      <c r="BWL12" s="314" t="s">
        <v>203</v>
      </c>
      <c r="BWM12" s="314" t="s">
        <v>203</v>
      </c>
      <c r="BWN12" s="314" t="s">
        <v>203</v>
      </c>
      <c r="BWO12" s="314" t="s">
        <v>203</v>
      </c>
      <c r="BWP12" s="314" t="s">
        <v>203</v>
      </c>
      <c r="BWQ12" s="314" t="s">
        <v>203</v>
      </c>
      <c r="BWR12" s="314" t="s">
        <v>203</v>
      </c>
      <c r="BWS12" s="314" t="s">
        <v>203</v>
      </c>
      <c r="BWT12" s="314" t="s">
        <v>203</v>
      </c>
      <c r="BWU12" s="314" t="s">
        <v>203</v>
      </c>
      <c r="BWV12" s="314" t="s">
        <v>203</v>
      </c>
      <c r="BWW12" s="314" t="s">
        <v>203</v>
      </c>
      <c r="BWX12" s="314" t="s">
        <v>203</v>
      </c>
      <c r="BWY12" s="314" t="s">
        <v>203</v>
      </c>
      <c r="BWZ12" s="314" t="s">
        <v>203</v>
      </c>
      <c r="BXA12" s="314" t="s">
        <v>203</v>
      </c>
      <c r="BXB12" s="314" t="s">
        <v>203</v>
      </c>
      <c r="BXC12" s="314" t="s">
        <v>203</v>
      </c>
      <c r="BXD12" s="314" t="s">
        <v>203</v>
      </c>
      <c r="BXE12" s="314" t="s">
        <v>203</v>
      </c>
      <c r="BXF12" s="314" t="s">
        <v>203</v>
      </c>
      <c r="BXG12" s="314" t="s">
        <v>203</v>
      </c>
      <c r="BXH12" s="314" t="s">
        <v>203</v>
      </c>
      <c r="BXI12" s="314" t="s">
        <v>203</v>
      </c>
      <c r="BXJ12" s="314" t="s">
        <v>203</v>
      </c>
      <c r="BXK12" s="314" t="s">
        <v>203</v>
      </c>
      <c r="BXL12" s="314" t="s">
        <v>203</v>
      </c>
      <c r="BXM12" s="314" t="s">
        <v>203</v>
      </c>
      <c r="BXN12" s="314" t="s">
        <v>203</v>
      </c>
      <c r="BXO12" s="314" t="s">
        <v>203</v>
      </c>
      <c r="BXP12" s="314" t="s">
        <v>203</v>
      </c>
      <c r="BXQ12" s="314" t="s">
        <v>203</v>
      </c>
      <c r="BXR12" s="314" t="s">
        <v>203</v>
      </c>
      <c r="BXS12" s="314" t="s">
        <v>203</v>
      </c>
      <c r="BXT12" s="314" t="s">
        <v>203</v>
      </c>
      <c r="BXU12" s="314" t="s">
        <v>203</v>
      </c>
      <c r="BXV12" s="314" t="s">
        <v>203</v>
      </c>
      <c r="BXW12" s="314" t="s">
        <v>203</v>
      </c>
      <c r="BXX12" s="314" t="s">
        <v>203</v>
      </c>
      <c r="BXY12" s="314" t="s">
        <v>203</v>
      </c>
      <c r="BXZ12" s="314" t="s">
        <v>203</v>
      </c>
      <c r="BYA12" s="314" t="s">
        <v>203</v>
      </c>
      <c r="BYB12" s="314" t="s">
        <v>203</v>
      </c>
      <c r="BYC12" s="314" t="s">
        <v>203</v>
      </c>
      <c r="BYD12" s="314" t="s">
        <v>203</v>
      </c>
      <c r="BYE12" s="314" t="s">
        <v>203</v>
      </c>
      <c r="BYF12" s="314" t="s">
        <v>203</v>
      </c>
      <c r="BYG12" s="314" t="s">
        <v>203</v>
      </c>
      <c r="BYH12" s="314" t="s">
        <v>203</v>
      </c>
      <c r="BYI12" s="314" t="s">
        <v>203</v>
      </c>
      <c r="BYJ12" s="314" t="s">
        <v>203</v>
      </c>
      <c r="BYK12" s="314" t="s">
        <v>203</v>
      </c>
      <c r="BYL12" s="314" t="s">
        <v>203</v>
      </c>
      <c r="BYM12" s="314" t="s">
        <v>203</v>
      </c>
      <c r="BYN12" s="314" t="s">
        <v>203</v>
      </c>
      <c r="BYO12" s="314" t="s">
        <v>203</v>
      </c>
      <c r="BYP12" s="314" t="s">
        <v>203</v>
      </c>
      <c r="BYQ12" s="314" t="s">
        <v>203</v>
      </c>
      <c r="BYR12" s="314" t="s">
        <v>203</v>
      </c>
      <c r="BYS12" s="314" t="s">
        <v>203</v>
      </c>
      <c r="BYT12" s="314" t="s">
        <v>203</v>
      </c>
      <c r="BYU12" s="314" t="s">
        <v>203</v>
      </c>
      <c r="BYV12" s="314" t="s">
        <v>203</v>
      </c>
      <c r="BYW12" s="314" t="s">
        <v>203</v>
      </c>
      <c r="BYX12" s="314" t="s">
        <v>203</v>
      </c>
      <c r="BYY12" s="314" t="s">
        <v>203</v>
      </c>
      <c r="BYZ12" s="314" t="s">
        <v>203</v>
      </c>
      <c r="BZA12" s="314" t="s">
        <v>203</v>
      </c>
      <c r="BZB12" s="314" t="s">
        <v>203</v>
      </c>
      <c r="BZC12" s="314" t="s">
        <v>203</v>
      </c>
      <c r="BZD12" s="314" t="s">
        <v>203</v>
      </c>
      <c r="BZE12" s="314" t="s">
        <v>203</v>
      </c>
      <c r="BZF12" s="314" t="s">
        <v>203</v>
      </c>
      <c r="BZG12" s="314" t="s">
        <v>203</v>
      </c>
      <c r="BZH12" s="314" t="s">
        <v>203</v>
      </c>
      <c r="BZI12" s="314" t="s">
        <v>203</v>
      </c>
      <c r="BZJ12" s="314" t="s">
        <v>203</v>
      </c>
      <c r="BZK12" s="314" t="s">
        <v>203</v>
      </c>
      <c r="BZL12" s="314" t="s">
        <v>203</v>
      </c>
      <c r="BZM12" s="314" t="s">
        <v>203</v>
      </c>
      <c r="BZN12" s="314" t="s">
        <v>203</v>
      </c>
      <c r="BZO12" s="314" t="s">
        <v>203</v>
      </c>
      <c r="BZP12" s="314" t="s">
        <v>203</v>
      </c>
      <c r="BZQ12" s="314" t="s">
        <v>203</v>
      </c>
      <c r="BZR12" s="314" t="s">
        <v>203</v>
      </c>
      <c r="BZS12" s="314" t="s">
        <v>203</v>
      </c>
      <c r="BZT12" s="314" t="s">
        <v>203</v>
      </c>
      <c r="BZU12" s="314" t="s">
        <v>203</v>
      </c>
      <c r="BZV12" s="314" t="s">
        <v>203</v>
      </c>
      <c r="BZW12" s="314" t="s">
        <v>203</v>
      </c>
      <c r="BZX12" s="314" t="s">
        <v>203</v>
      </c>
      <c r="BZY12" s="314" t="s">
        <v>203</v>
      </c>
      <c r="BZZ12" s="314" t="s">
        <v>203</v>
      </c>
      <c r="CAA12" s="314" t="s">
        <v>203</v>
      </c>
      <c r="CAB12" s="314" t="s">
        <v>203</v>
      </c>
      <c r="CAC12" s="314" t="s">
        <v>203</v>
      </c>
      <c r="CAD12" s="314" t="s">
        <v>203</v>
      </c>
      <c r="CAE12" s="314" t="s">
        <v>203</v>
      </c>
      <c r="CAF12" s="314" t="s">
        <v>203</v>
      </c>
      <c r="CAG12" s="314" t="s">
        <v>203</v>
      </c>
      <c r="CAH12" s="314" t="s">
        <v>203</v>
      </c>
      <c r="CAI12" s="314" t="s">
        <v>203</v>
      </c>
      <c r="CAJ12" s="314" t="s">
        <v>203</v>
      </c>
      <c r="CAK12" s="314" t="s">
        <v>203</v>
      </c>
      <c r="CAL12" s="314" t="s">
        <v>203</v>
      </c>
      <c r="CAM12" s="314" t="s">
        <v>203</v>
      </c>
      <c r="CAN12" s="314" t="s">
        <v>203</v>
      </c>
      <c r="CAO12" s="314" t="s">
        <v>203</v>
      </c>
      <c r="CAP12" s="314" t="s">
        <v>203</v>
      </c>
      <c r="CAQ12" s="314" t="s">
        <v>203</v>
      </c>
      <c r="CAR12" s="314" t="s">
        <v>203</v>
      </c>
      <c r="CAS12" s="314" t="s">
        <v>203</v>
      </c>
      <c r="CAT12" s="314" t="s">
        <v>203</v>
      </c>
      <c r="CAU12" s="314" t="s">
        <v>203</v>
      </c>
      <c r="CAV12" s="314" t="s">
        <v>203</v>
      </c>
      <c r="CAW12" s="314" t="s">
        <v>203</v>
      </c>
      <c r="CAX12" s="314" t="s">
        <v>203</v>
      </c>
      <c r="CAY12" s="314" t="s">
        <v>203</v>
      </c>
      <c r="CAZ12" s="314" t="s">
        <v>203</v>
      </c>
      <c r="CBA12" s="314" t="s">
        <v>203</v>
      </c>
      <c r="CBB12" s="314" t="s">
        <v>203</v>
      </c>
      <c r="CBC12" s="314" t="s">
        <v>203</v>
      </c>
      <c r="CBD12" s="314" t="s">
        <v>203</v>
      </c>
      <c r="CBE12" s="314" t="s">
        <v>203</v>
      </c>
      <c r="CBF12" s="314" t="s">
        <v>203</v>
      </c>
      <c r="CBG12" s="314" t="s">
        <v>203</v>
      </c>
      <c r="CBH12" s="314" t="s">
        <v>203</v>
      </c>
      <c r="CBI12" s="314" t="s">
        <v>203</v>
      </c>
      <c r="CBJ12" s="314" t="s">
        <v>203</v>
      </c>
      <c r="CBK12" s="314" t="s">
        <v>203</v>
      </c>
      <c r="CBL12" s="314" t="s">
        <v>203</v>
      </c>
      <c r="CBM12" s="314" t="s">
        <v>203</v>
      </c>
      <c r="CBN12" s="314" t="s">
        <v>203</v>
      </c>
      <c r="CBO12" s="314" t="s">
        <v>203</v>
      </c>
      <c r="CBP12" s="314" t="s">
        <v>203</v>
      </c>
      <c r="CBQ12" s="314" t="s">
        <v>203</v>
      </c>
      <c r="CBR12" s="314" t="s">
        <v>203</v>
      </c>
      <c r="CBS12" s="314" t="s">
        <v>203</v>
      </c>
      <c r="CBT12" s="314" t="s">
        <v>203</v>
      </c>
      <c r="CBU12" s="314" t="s">
        <v>203</v>
      </c>
      <c r="CBV12" s="314" t="s">
        <v>203</v>
      </c>
      <c r="CBW12" s="314" t="s">
        <v>203</v>
      </c>
      <c r="CBX12" s="314" t="s">
        <v>203</v>
      </c>
      <c r="CBY12" s="314" t="s">
        <v>203</v>
      </c>
      <c r="CBZ12" s="314" t="s">
        <v>203</v>
      </c>
      <c r="CCA12" s="314" t="s">
        <v>203</v>
      </c>
      <c r="CCB12" s="314" t="s">
        <v>203</v>
      </c>
      <c r="CCC12" s="314" t="s">
        <v>203</v>
      </c>
      <c r="CCD12" s="314" t="s">
        <v>203</v>
      </c>
      <c r="CCE12" s="314" t="s">
        <v>203</v>
      </c>
      <c r="CCF12" s="314" t="s">
        <v>203</v>
      </c>
      <c r="CCG12" s="314" t="s">
        <v>203</v>
      </c>
      <c r="CCH12" s="314" t="s">
        <v>203</v>
      </c>
      <c r="CCI12" s="314" t="s">
        <v>203</v>
      </c>
      <c r="CCJ12" s="314" t="s">
        <v>203</v>
      </c>
      <c r="CCK12" s="314" t="s">
        <v>203</v>
      </c>
      <c r="CCL12" s="314" t="s">
        <v>203</v>
      </c>
      <c r="CCM12" s="314" t="s">
        <v>203</v>
      </c>
      <c r="CCN12" s="314" t="s">
        <v>203</v>
      </c>
      <c r="CCO12" s="314" t="s">
        <v>203</v>
      </c>
      <c r="CCP12" s="314" t="s">
        <v>203</v>
      </c>
      <c r="CCQ12" s="314" t="s">
        <v>203</v>
      </c>
      <c r="CCR12" s="314" t="s">
        <v>203</v>
      </c>
      <c r="CCS12" s="314" t="s">
        <v>203</v>
      </c>
      <c r="CCT12" s="314" t="s">
        <v>203</v>
      </c>
      <c r="CCU12" s="314" t="s">
        <v>203</v>
      </c>
      <c r="CCV12" s="314" t="s">
        <v>203</v>
      </c>
      <c r="CCW12" s="314" t="s">
        <v>203</v>
      </c>
      <c r="CCX12" s="314" t="s">
        <v>203</v>
      </c>
      <c r="CCY12" s="314" t="s">
        <v>203</v>
      </c>
      <c r="CCZ12" s="314" t="s">
        <v>203</v>
      </c>
      <c r="CDA12" s="314" t="s">
        <v>203</v>
      </c>
      <c r="CDB12" s="314" t="s">
        <v>203</v>
      </c>
      <c r="CDC12" s="314" t="s">
        <v>203</v>
      </c>
      <c r="CDD12" s="314" t="s">
        <v>203</v>
      </c>
      <c r="CDE12" s="314" t="s">
        <v>203</v>
      </c>
      <c r="CDF12" s="314" t="s">
        <v>203</v>
      </c>
      <c r="CDG12" s="314" t="s">
        <v>203</v>
      </c>
      <c r="CDH12" s="314" t="s">
        <v>203</v>
      </c>
      <c r="CDI12" s="314" t="s">
        <v>203</v>
      </c>
      <c r="CDJ12" s="314" t="s">
        <v>203</v>
      </c>
      <c r="CDK12" s="314" t="s">
        <v>203</v>
      </c>
      <c r="CDL12" s="314" t="s">
        <v>203</v>
      </c>
      <c r="CDM12" s="314" t="s">
        <v>203</v>
      </c>
      <c r="CDN12" s="314" t="s">
        <v>203</v>
      </c>
      <c r="CDO12" s="314" t="s">
        <v>203</v>
      </c>
      <c r="CDP12" s="314" t="s">
        <v>203</v>
      </c>
      <c r="CDQ12" s="314" t="s">
        <v>203</v>
      </c>
      <c r="CDR12" s="314" t="s">
        <v>203</v>
      </c>
      <c r="CDS12" s="314" t="s">
        <v>203</v>
      </c>
      <c r="CDT12" s="314" t="s">
        <v>203</v>
      </c>
      <c r="CDU12" s="314" t="s">
        <v>203</v>
      </c>
      <c r="CDV12" s="314" t="s">
        <v>203</v>
      </c>
      <c r="CDW12" s="314" t="s">
        <v>203</v>
      </c>
      <c r="CDX12" s="314" t="s">
        <v>203</v>
      </c>
      <c r="CDY12" s="314" t="s">
        <v>203</v>
      </c>
      <c r="CDZ12" s="314" t="s">
        <v>203</v>
      </c>
      <c r="CEA12" s="314" t="s">
        <v>203</v>
      </c>
      <c r="CEB12" s="314" t="s">
        <v>203</v>
      </c>
      <c r="CEC12" s="314" t="s">
        <v>203</v>
      </c>
      <c r="CED12" s="314" t="s">
        <v>203</v>
      </c>
      <c r="CEE12" s="314" t="s">
        <v>203</v>
      </c>
      <c r="CEF12" s="314" t="s">
        <v>203</v>
      </c>
      <c r="CEG12" s="314" t="s">
        <v>203</v>
      </c>
      <c r="CEH12" s="314" t="s">
        <v>203</v>
      </c>
      <c r="CEI12" s="314" t="s">
        <v>203</v>
      </c>
      <c r="CEJ12" s="314" t="s">
        <v>203</v>
      </c>
      <c r="CEK12" s="314" t="s">
        <v>203</v>
      </c>
      <c r="CEL12" s="314" t="s">
        <v>203</v>
      </c>
      <c r="CEM12" s="314" t="s">
        <v>203</v>
      </c>
      <c r="CEN12" s="314" t="s">
        <v>203</v>
      </c>
      <c r="CEO12" s="314" t="s">
        <v>203</v>
      </c>
      <c r="CEP12" s="314" t="s">
        <v>203</v>
      </c>
      <c r="CEQ12" s="314" t="s">
        <v>203</v>
      </c>
      <c r="CER12" s="314" t="s">
        <v>203</v>
      </c>
      <c r="CES12" s="314" t="s">
        <v>203</v>
      </c>
      <c r="CET12" s="314" t="s">
        <v>203</v>
      </c>
      <c r="CEU12" s="314" t="s">
        <v>203</v>
      </c>
      <c r="CEV12" s="314" t="s">
        <v>203</v>
      </c>
      <c r="CEW12" s="314" t="s">
        <v>203</v>
      </c>
      <c r="CEX12" s="314" t="s">
        <v>203</v>
      </c>
      <c r="CEY12" s="314" t="s">
        <v>203</v>
      </c>
      <c r="CEZ12" s="314" t="s">
        <v>203</v>
      </c>
      <c r="CFA12" s="314" t="s">
        <v>203</v>
      </c>
      <c r="CFB12" s="314" t="s">
        <v>203</v>
      </c>
      <c r="CFC12" s="314" t="s">
        <v>203</v>
      </c>
      <c r="CFD12" s="314" t="s">
        <v>203</v>
      </c>
      <c r="CFE12" s="314" t="s">
        <v>203</v>
      </c>
      <c r="CFF12" s="314" t="s">
        <v>203</v>
      </c>
      <c r="CFG12" s="314" t="s">
        <v>203</v>
      </c>
      <c r="CFH12" s="314" t="s">
        <v>203</v>
      </c>
      <c r="CFI12" s="314" t="s">
        <v>203</v>
      </c>
      <c r="CFJ12" s="314" t="s">
        <v>203</v>
      </c>
      <c r="CFK12" s="314" t="s">
        <v>203</v>
      </c>
      <c r="CFL12" s="314" t="s">
        <v>203</v>
      </c>
      <c r="CFM12" s="314" t="s">
        <v>203</v>
      </c>
      <c r="CFN12" s="314" t="s">
        <v>203</v>
      </c>
      <c r="CFO12" s="314" t="s">
        <v>203</v>
      </c>
      <c r="CFP12" s="314" t="s">
        <v>203</v>
      </c>
      <c r="CFQ12" s="314" t="s">
        <v>203</v>
      </c>
      <c r="CFR12" s="314" t="s">
        <v>203</v>
      </c>
      <c r="CFS12" s="314" t="s">
        <v>203</v>
      </c>
      <c r="CFT12" s="314" t="s">
        <v>203</v>
      </c>
      <c r="CFU12" s="314" t="s">
        <v>203</v>
      </c>
      <c r="CFV12" s="314" t="s">
        <v>203</v>
      </c>
      <c r="CFW12" s="314" t="s">
        <v>203</v>
      </c>
      <c r="CFX12" s="314" t="s">
        <v>203</v>
      </c>
      <c r="CFY12" s="314" t="s">
        <v>203</v>
      </c>
      <c r="CFZ12" s="314" t="s">
        <v>203</v>
      </c>
      <c r="CGA12" s="314" t="s">
        <v>203</v>
      </c>
      <c r="CGB12" s="314" t="s">
        <v>203</v>
      </c>
      <c r="CGC12" s="314" t="s">
        <v>203</v>
      </c>
      <c r="CGD12" s="314" t="s">
        <v>203</v>
      </c>
      <c r="CGE12" s="314" t="s">
        <v>203</v>
      </c>
      <c r="CGF12" s="314" t="s">
        <v>203</v>
      </c>
      <c r="CGG12" s="314" t="s">
        <v>203</v>
      </c>
      <c r="CGH12" s="314" t="s">
        <v>203</v>
      </c>
      <c r="CGI12" s="314" t="s">
        <v>203</v>
      </c>
      <c r="CGJ12" s="314" t="s">
        <v>203</v>
      </c>
      <c r="CGK12" s="314" t="s">
        <v>203</v>
      </c>
      <c r="CGL12" s="314" t="s">
        <v>203</v>
      </c>
      <c r="CGM12" s="314" t="s">
        <v>203</v>
      </c>
      <c r="CGN12" s="314" t="s">
        <v>203</v>
      </c>
      <c r="CGO12" s="314" t="s">
        <v>203</v>
      </c>
      <c r="CGP12" s="314" t="s">
        <v>203</v>
      </c>
      <c r="CGQ12" s="314" t="s">
        <v>203</v>
      </c>
      <c r="CGR12" s="314" t="s">
        <v>203</v>
      </c>
      <c r="CGS12" s="314" t="s">
        <v>203</v>
      </c>
      <c r="CGT12" s="314" t="s">
        <v>203</v>
      </c>
      <c r="CGU12" s="314" t="s">
        <v>203</v>
      </c>
      <c r="CGV12" s="314" t="s">
        <v>203</v>
      </c>
      <c r="CGW12" s="314" t="s">
        <v>203</v>
      </c>
      <c r="CGX12" s="314" t="s">
        <v>203</v>
      </c>
      <c r="CGY12" s="314" t="s">
        <v>203</v>
      </c>
      <c r="CGZ12" s="314" t="s">
        <v>203</v>
      </c>
      <c r="CHA12" s="314" t="s">
        <v>203</v>
      </c>
      <c r="CHB12" s="314" t="s">
        <v>203</v>
      </c>
      <c r="CHC12" s="314" t="s">
        <v>203</v>
      </c>
      <c r="CHD12" s="314" t="s">
        <v>203</v>
      </c>
      <c r="CHE12" s="314" t="s">
        <v>203</v>
      </c>
      <c r="CHF12" s="314" t="s">
        <v>203</v>
      </c>
      <c r="CHG12" s="314" t="s">
        <v>203</v>
      </c>
      <c r="CHH12" s="314" t="s">
        <v>203</v>
      </c>
      <c r="CHI12" s="314" t="s">
        <v>203</v>
      </c>
      <c r="CHJ12" s="314" t="s">
        <v>203</v>
      </c>
      <c r="CHK12" s="314" t="s">
        <v>203</v>
      </c>
      <c r="CHL12" s="314" t="s">
        <v>203</v>
      </c>
      <c r="CHM12" s="314" t="s">
        <v>203</v>
      </c>
      <c r="CHN12" s="314" t="s">
        <v>203</v>
      </c>
      <c r="CHO12" s="314" t="s">
        <v>203</v>
      </c>
      <c r="CHP12" s="314" t="s">
        <v>203</v>
      </c>
      <c r="CHQ12" s="314" t="s">
        <v>203</v>
      </c>
      <c r="CHR12" s="314" t="s">
        <v>203</v>
      </c>
      <c r="CHS12" s="314" t="s">
        <v>203</v>
      </c>
      <c r="CHT12" s="314" t="s">
        <v>203</v>
      </c>
      <c r="CHU12" s="314" t="s">
        <v>203</v>
      </c>
      <c r="CHV12" s="314" t="s">
        <v>203</v>
      </c>
      <c r="CHW12" s="314" t="s">
        <v>203</v>
      </c>
      <c r="CHX12" s="314" t="s">
        <v>203</v>
      </c>
      <c r="CHY12" s="314" t="s">
        <v>203</v>
      </c>
      <c r="CHZ12" s="314" t="s">
        <v>203</v>
      </c>
      <c r="CIA12" s="314" t="s">
        <v>203</v>
      </c>
      <c r="CIB12" s="314" t="s">
        <v>203</v>
      </c>
      <c r="CIC12" s="314" t="s">
        <v>203</v>
      </c>
      <c r="CID12" s="314" t="s">
        <v>203</v>
      </c>
      <c r="CIE12" s="314" t="s">
        <v>203</v>
      </c>
      <c r="CIF12" s="314" t="s">
        <v>203</v>
      </c>
      <c r="CIG12" s="314" t="s">
        <v>203</v>
      </c>
      <c r="CIH12" s="314" t="s">
        <v>203</v>
      </c>
      <c r="CII12" s="314" t="s">
        <v>203</v>
      </c>
      <c r="CIJ12" s="314" t="s">
        <v>203</v>
      </c>
      <c r="CIK12" s="314" t="s">
        <v>203</v>
      </c>
      <c r="CIL12" s="314" t="s">
        <v>203</v>
      </c>
      <c r="CIM12" s="314" t="s">
        <v>203</v>
      </c>
      <c r="CIN12" s="314" t="s">
        <v>203</v>
      </c>
      <c r="CIO12" s="314" t="s">
        <v>203</v>
      </c>
      <c r="CIP12" s="314" t="s">
        <v>203</v>
      </c>
      <c r="CIQ12" s="314" t="s">
        <v>203</v>
      </c>
      <c r="CIR12" s="314" t="s">
        <v>203</v>
      </c>
      <c r="CIS12" s="314" t="s">
        <v>203</v>
      </c>
      <c r="CIT12" s="314" t="s">
        <v>203</v>
      </c>
      <c r="CIU12" s="314" t="s">
        <v>203</v>
      </c>
      <c r="CIV12" s="314" t="s">
        <v>203</v>
      </c>
      <c r="CIW12" s="314" t="s">
        <v>203</v>
      </c>
      <c r="CIX12" s="314" t="s">
        <v>203</v>
      </c>
      <c r="CIY12" s="314" t="s">
        <v>203</v>
      </c>
      <c r="CIZ12" s="314" t="s">
        <v>203</v>
      </c>
      <c r="CJA12" s="314" t="s">
        <v>203</v>
      </c>
      <c r="CJB12" s="314" t="s">
        <v>203</v>
      </c>
      <c r="CJC12" s="314" t="s">
        <v>203</v>
      </c>
      <c r="CJD12" s="314" t="s">
        <v>203</v>
      </c>
      <c r="CJE12" s="314" t="s">
        <v>203</v>
      </c>
      <c r="CJF12" s="314" t="s">
        <v>203</v>
      </c>
      <c r="CJG12" s="314" t="s">
        <v>203</v>
      </c>
      <c r="CJH12" s="314" t="s">
        <v>203</v>
      </c>
      <c r="CJI12" s="314" t="s">
        <v>203</v>
      </c>
      <c r="CJJ12" s="314" t="s">
        <v>203</v>
      </c>
      <c r="CJK12" s="314" t="s">
        <v>203</v>
      </c>
      <c r="CJL12" s="314" t="s">
        <v>203</v>
      </c>
      <c r="CJM12" s="314" t="s">
        <v>203</v>
      </c>
      <c r="CJN12" s="314" t="s">
        <v>203</v>
      </c>
      <c r="CJO12" s="314" t="s">
        <v>203</v>
      </c>
      <c r="CJP12" s="314" t="s">
        <v>203</v>
      </c>
      <c r="CJQ12" s="314" t="s">
        <v>203</v>
      </c>
      <c r="CJR12" s="314" t="s">
        <v>203</v>
      </c>
      <c r="CJS12" s="314" t="s">
        <v>203</v>
      </c>
      <c r="CJT12" s="314" t="s">
        <v>203</v>
      </c>
      <c r="CJU12" s="314" t="s">
        <v>203</v>
      </c>
      <c r="CJV12" s="314" t="s">
        <v>203</v>
      </c>
      <c r="CJW12" s="314" t="s">
        <v>203</v>
      </c>
      <c r="CJX12" s="314" t="s">
        <v>203</v>
      </c>
      <c r="CJY12" s="314" t="s">
        <v>203</v>
      </c>
      <c r="CJZ12" s="314" t="s">
        <v>203</v>
      </c>
      <c r="CKA12" s="314" t="s">
        <v>203</v>
      </c>
      <c r="CKB12" s="314" t="s">
        <v>203</v>
      </c>
      <c r="CKC12" s="314" t="s">
        <v>203</v>
      </c>
      <c r="CKD12" s="314" t="s">
        <v>203</v>
      </c>
      <c r="CKE12" s="314" t="s">
        <v>203</v>
      </c>
      <c r="CKF12" s="314" t="s">
        <v>203</v>
      </c>
      <c r="CKG12" s="314" t="s">
        <v>203</v>
      </c>
      <c r="CKH12" s="314" t="s">
        <v>203</v>
      </c>
      <c r="CKI12" s="314" t="s">
        <v>203</v>
      </c>
      <c r="CKJ12" s="314" t="s">
        <v>203</v>
      </c>
      <c r="CKK12" s="314" t="s">
        <v>203</v>
      </c>
      <c r="CKL12" s="314" t="s">
        <v>203</v>
      </c>
      <c r="CKM12" s="314" t="s">
        <v>203</v>
      </c>
      <c r="CKN12" s="314" t="s">
        <v>203</v>
      </c>
      <c r="CKO12" s="314" t="s">
        <v>203</v>
      </c>
      <c r="CKP12" s="314" t="s">
        <v>203</v>
      </c>
      <c r="CKQ12" s="314" t="s">
        <v>203</v>
      </c>
      <c r="CKR12" s="314" t="s">
        <v>203</v>
      </c>
      <c r="CKS12" s="314" t="s">
        <v>203</v>
      </c>
      <c r="CKT12" s="314" t="s">
        <v>203</v>
      </c>
      <c r="CKU12" s="314" t="s">
        <v>203</v>
      </c>
      <c r="CKV12" s="314" t="s">
        <v>203</v>
      </c>
      <c r="CKW12" s="314" t="s">
        <v>203</v>
      </c>
      <c r="CKX12" s="314" t="s">
        <v>203</v>
      </c>
      <c r="CKY12" s="314" t="s">
        <v>203</v>
      </c>
      <c r="CKZ12" s="314" t="s">
        <v>203</v>
      </c>
      <c r="CLA12" s="314" t="s">
        <v>203</v>
      </c>
      <c r="CLB12" s="314" t="s">
        <v>203</v>
      </c>
      <c r="CLC12" s="314" t="s">
        <v>203</v>
      </c>
      <c r="CLD12" s="314" t="s">
        <v>203</v>
      </c>
      <c r="CLE12" s="314" t="s">
        <v>203</v>
      </c>
      <c r="CLF12" s="314" t="s">
        <v>203</v>
      </c>
      <c r="CLG12" s="314" t="s">
        <v>203</v>
      </c>
      <c r="CLH12" s="314" t="s">
        <v>203</v>
      </c>
      <c r="CLI12" s="314" t="s">
        <v>203</v>
      </c>
      <c r="CLJ12" s="314" t="s">
        <v>203</v>
      </c>
      <c r="CLK12" s="314" t="s">
        <v>203</v>
      </c>
      <c r="CLL12" s="314" t="s">
        <v>203</v>
      </c>
      <c r="CLM12" s="314" t="s">
        <v>203</v>
      </c>
      <c r="CLN12" s="314" t="s">
        <v>203</v>
      </c>
      <c r="CLO12" s="314" t="s">
        <v>203</v>
      </c>
      <c r="CLP12" s="314" t="s">
        <v>203</v>
      </c>
      <c r="CLQ12" s="314" t="s">
        <v>203</v>
      </c>
      <c r="CLR12" s="314" t="s">
        <v>203</v>
      </c>
      <c r="CLS12" s="314" t="s">
        <v>203</v>
      </c>
      <c r="CLT12" s="314" t="s">
        <v>203</v>
      </c>
      <c r="CLU12" s="314" t="s">
        <v>203</v>
      </c>
      <c r="CLV12" s="314" t="s">
        <v>203</v>
      </c>
      <c r="CLW12" s="314" t="s">
        <v>203</v>
      </c>
      <c r="CLX12" s="314" t="s">
        <v>203</v>
      </c>
      <c r="CLY12" s="314" t="s">
        <v>203</v>
      </c>
      <c r="CLZ12" s="314" t="s">
        <v>203</v>
      </c>
      <c r="CMA12" s="314" t="s">
        <v>203</v>
      </c>
      <c r="CMB12" s="314" t="s">
        <v>203</v>
      </c>
      <c r="CMC12" s="314" t="s">
        <v>203</v>
      </c>
      <c r="CMD12" s="314" t="s">
        <v>203</v>
      </c>
      <c r="CME12" s="314" t="s">
        <v>203</v>
      </c>
      <c r="CMF12" s="314" t="s">
        <v>203</v>
      </c>
      <c r="CMG12" s="314" t="s">
        <v>203</v>
      </c>
      <c r="CMH12" s="314" t="s">
        <v>203</v>
      </c>
      <c r="CMI12" s="314" t="s">
        <v>203</v>
      </c>
      <c r="CMJ12" s="314" t="s">
        <v>203</v>
      </c>
      <c r="CMK12" s="314" t="s">
        <v>203</v>
      </c>
      <c r="CML12" s="314" t="s">
        <v>203</v>
      </c>
      <c r="CMM12" s="314" t="s">
        <v>203</v>
      </c>
      <c r="CMN12" s="314" t="s">
        <v>203</v>
      </c>
      <c r="CMO12" s="314" t="s">
        <v>203</v>
      </c>
      <c r="CMP12" s="314" t="s">
        <v>203</v>
      </c>
      <c r="CMQ12" s="314" t="s">
        <v>203</v>
      </c>
      <c r="CMR12" s="314" t="s">
        <v>203</v>
      </c>
      <c r="CMS12" s="314" t="s">
        <v>203</v>
      </c>
      <c r="CMT12" s="314" t="s">
        <v>203</v>
      </c>
      <c r="CMU12" s="314" t="s">
        <v>203</v>
      </c>
      <c r="CMV12" s="314" t="s">
        <v>203</v>
      </c>
      <c r="CMW12" s="314" t="s">
        <v>203</v>
      </c>
      <c r="CMX12" s="314" t="s">
        <v>203</v>
      </c>
      <c r="CMY12" s="314" t="s">
        <v>203</v>
      </c>
      <c r="CMZ12" s="314" t="s">
        <v>203</v>
      </c>
      <c r="CNA12" s="314" t="s">
        <v>203</v>
      </c>
      <c r="CNB12" s="314" t="s">
        <v>203</v>
      </c>
      <c r="CNC12" s="314" t="s">
        <v>203</v>
      </c>
      <c r="CND12" s="314" t="s">
        <v>203</v>
      </c>
      <c r="CNE12" s="314" t="s">
        <v>203</v>
      </c>
      <c r="CNF12" s="314" t="s">
        <v>203</v>
      </c>
      <c r="CNG12" s="314" t="s">
        <v>203</v>
      </c>
      <c r="CNH12" s="314" t="s">
        <v>203</v>
      </c>
      <c r="CNI12" s="314" t="s">
        <v>203</v>
      </c>
      <c r="CNJ12" s="314" t="s">
        <v>203</v>
      </c>
      <c r="CNK12" s="314" t="s">
        <v>203</v>
      </c>
      <c r="CNL12" s="314" t="s">
        <v>203</v>
      </c>
      <c r="CNM12" s="314" t="s">
        <v>203</v>
      </c>
      <c r="CNN12" s="314" t="s">
        <v>203</v>
      </c>
      <c r="CNO12" s="314" t="s">
        <v>203</v>
      </c>
      <c r="CNP12" s="314" t="s">
        <v>203</v>
      </c>
      <c r="CNQ12" s="314" t="s">
        <v>203</v>
      </c>
      <c r="CNR12" s="314" t="s">
        <v>203</v>
      </c>
      <c r="CNS12" s="314" t="s">
        <v>203</v>
      </c>
      <c r="CNT12" s="314" t="s">
        <v>203</v>
      </c>
      <c r="CNU12" s="314" t="s">
        <v>203</v>
      </c>
      <c r="CNV12" s="314" t="s">
        <v>203</v>
      </c>
      <c r="CNW12" s="314" t="s">
        <v>203</v>
      </c>
      <c r="CNX12" s="314" t="s">
        <v>203</v>
      </c>
      <c r="CNY12" s="314" t="s">
        <v>203</v>
      </c>
      <c r="CNZ12" s="314" t="s">
        <v>203</v>
      </c>
      <c r="COA12" s="314" t="s">
        <v>203</v>
      </c>
      <c r="COB12" s="314" t="s">
        <v>203</v>
      </c>
      <c r="COC12" s="314" t="s">
        <v>203</v>
      </c>
      <c r="COD12" s="314" t="s">
        <v>203</v>
      </c>
      <c r="COE12" s="314" t="s">
        <v>203</v>
      </c>
      <c r="COF12" s="314" t="s">
        <v>203</v>
      </c>
      <c r="COG12" s="314" t="s">
        <v>203</v>
      </c>
      <c r="COH12" s="314" t="s">
        <v>203</v>
      </c>
      <c r="COI12" s="314" t="s">
        <v>203</v>
      </c>
      <c r="COJ12" s="314" t="s">
        <v>203</v>
      </c>
      <c r="COK12" s="314" t="s">
        <v>203</v>
      </c>
      <c r="COL12" s="314" t="s">
        <v>203</v>
      </c>
      <c r="COM12" s="314" t="s">
        <v>203</v>
      </c>
      <c r="CON12" s="314" t="s">
        <v>203</v>
      </c>
      <c r="COO12" s="314" t="s">
        <v>203</v>
      </c>
      <c r="COP12" s="314" t="s">
        <v>203</v>
      </c>
      <c r="COQ12" s="314" t="s">
        <v>203</v>
      </c>
      <c r="COR12" s="314" t="s">
        <v>203</v>
      </c>
      <c r="COS12" s="314" t="s">
        <v>203</v>
      </c>
      <c r="COT12" s="314" t="s">
        <v>203</v>
      </c>
      <c r="COU12" s="314" t="s">
        <v>203</v>
      </c>
      <c r="COV12" s="314" t="s">
        <v>203</v>
      </c>
      <c r="COW12" s="314" t="s">
        <v>203</v>
      </c>
      <c r="COX12" s="314" t="s">
        <v>203</v>
      </c>
      <c r="COY12" s="314" t="s">
        <v>203</v>
      </c>
      <c r="COZ12" s="314" t="s">
        <v>203</v>
      </c>
      <c r="CPA12" s="314" t="s">
        <v>203</v>
      </c>
      <c r="CPB12" s="314" t="s">
        <v>203</v>
      </c>
      <c r="CPC12" s="314" t="s">
        <v>203</v>
      </c>
      <c r="CPD12" s="314" t="s">
        <v>203</v>
      </c>
      <c r="CPE12" s="314" t="s">
        <v>203</v>
      </c>
      <c r="CPF12" s="314" t="s">
        <v>203</v>
      </c>
      <c r="CPG12" s="314" t="s">
        <v>203</v>
      </c>
      <c r="CPH12" s="314" t="s">
        <v>203</v>
      </c>
      <c r="CPI12" s="314" t="s">
        <v>203</v>
      </c>
      <c r="CPJ12" s="314" t="s">
        <v>203</v>
      </c>
      <c r="CPK12" s="314" t="s">
        <v>203</v>
      </c>
      <c r="CPL12" s="314" t="s">
        <v>203</v>
      </c>
      <c r="CPM12" s="314" t="s">
        <v>203</v>
      </c>
      <c r="CPN12" s="314" t="s">
        <v>203</v>
      </c>
      <c r="CPO12" s="314" t="s">
        <v>203</v>
      </c>
      <c r="CPP12" s="314" t="s">
        <v>203</v>
      </c>
      <c r="CPQ12" s="314" t="s">
        <v>203</v>
      </c>
      <c r="CPR12" s="314" t="s">
        <v>203</v>
      </c>
      <c r="CPS12" s="314" t="s">
        <v>203</v>
      </c>
      <c r="CPT12" s="314" t="s">
        <v>203</v>
      </c>
      <c r="CPU12" s="314" t="s">
        <v>203</v>
      </c>
      <c r="CPV12" s="314" t="s">
        <v>203</v>
      </c>
      <c r="CPW12" s="314" t="s">
        <v>203</v>
      </c>
      <c r="CPX12" s="314" t="s">
        <v>203</v>
      </c>
      <c r="CPY12" s="314" t="s">
        <v>203</v>
      </c>
      <c r="CPZ12" s="314" t="s">
        <v>203</v>
      </c>
      <c r="CQA12" s="314" t="s">
        <v>203</v>
      </c>
      <c r="CQB12" s="314" t="s">
        <v>203</v>
      </c>
      <c r="CQC12" s="314" t="s">
        <v>203</v>
      </c>
      <c r="CQD12" s="314" t="s">
        <v>203</v>
      </c>
      <c r="CQE12" s="314" t="s">
        <v>203</v>
      </c>
      <c r="CQF12" s="314" t="s">
        <v>203</v>
      </c>
      <c r="CQG12" s="314" t="s">
        <v>203</v>
      </c>
      <c r="CQH12" s="314" t="s">
        <v>203</v>
      </c>
      <c r="CQI12" s="314" t="s">
        <v>203</v>
      </c>
      <c r="CQJ12" s="314" t="s">
        <v>203</v>
      </c>
      <c r="CQK12" s="314" t="s">
        <v>203</v>
      </c>
      <c r="CQL12" s="314" t="s">
        <v>203</v>
      </c>
      <c r="CQM12" s="314" t="s">
        <v>203</v>
      </c>
      <c r="CQN12" s="314" t="s">
        <v>203</v>
      </c>
      <c r="CQO12" s="314" t="s">
        <v>203</v>
      </c>
      <c r="CQP12" s="314" t="s">
        <v>203</v>
      </c>
      <c r="CQQ12" s="314" t="s">
        <v>203</v>
      </c>
      <c r="CQR12" s="314" t="s">
        <v>203</v>
      </c>
      <c r="CQS12" s="314" t="s">
        <v>203</v>
      </c>
      <c r="CQT12" s="314" t="s">
        <v>203</v>
      </c>
      <c r="CQU12" s="314" t="s">
        <v>203</v>
      </c>
      <c r="CQV12" s="314" t="s">
        <v>203</v>
      </c>
      <c r="CQW12" s="314" t="s">
        <v>203</v>
      </c>
      <c r="CQX12" s="314" t="s">
        <v>203</v>
      </c>
      <c r="CQY12" s="314" t="s">
        <v>203</v>
      </c>
      <c r="CQZ12" s="314" t="s">
        <v>203</v>
      </c>
      <c r="CRA12" s="314" t="s">
        <v>203</v>
      </c>
      <c r="CRB12" s="314" t="s">
        <v>203</v>
      </c>
      <c r="CRC12" s="314" t="s">
        <v>203</v>
      </c>
      <c r="CRD12" s="314" t="s">
        <v>203</v>
      </c>
      <c r="CRE12" s="314" t="s">
        <v>203</v>
      </c>
      <c r="CRF12" s="314" t="s">
        <v>203</v>
      </c>
      <c r="CRG12" s="314" t="s">
        <v>203</v>
      </c>
      <c r="CRH12" s="314" t="s">
        <v>203</v>
      </c>
      <c r="CRI12" s="314" t="s">
        <v>203</v>
      </c>
      <c r="CRJ12" s="314" t="s">
        <v>203</v>
      </c>
      <c r="CRK12" s="314" t="s">
        <v>203</v>
      </c>
      <c r="CRL12" s="314" t="s">
        <v>203</v>
      </c>
      <c r="CRM12" s="314" t="s">
        <v>203</v>
      </c>
      <c r="CRN12" s="314" t="s">
        <v>203</v>
      </c>
      <c r="CRO12" s="314" t="s">
        <v>203</v>
      </c>
      <c r="CRP12" s="314" t="s">
        <v>203</v>
      </c>
      <c r="CRQ12" s="314" t="s">
        <v>203</v>
      </c>
      <c r="CRR12" s="314" t="s">
        <v>203</v>
      </c>
      <c r="CRS12" s="314" t="s">
        <v>203</v>
      </c>
      <c r="CRT12" s="314" t="s">
        <v>203</v>
      </c>
      <c r="CRU12" s="314" t="s">
        <v>203</v>
      </c>
      <c r="CRV12" s="314" t="s">
        <v>203</v>
      </c>
      <c r="CRW12" s="314" t="s">
        <v>203</v>
      </c>
      <c r="CRX12" s="314" t="s">
        <v>203</v>
      </c>
      <c r="CRY12" s="314" t="s">
        <v>203</v>
      </c>
      <c r="CRZ12" s="314" t="s">
        <v>203</v>
      </c>
      <c r="CSA12" s="314" t="s">
        <v>203</v>
      </c>
      <c r="CSB12" s="314" t="s">
        <v>203</v>
      </c>
      <c r="CSC12" s="314" t="s">
        <v>203</v>
      </c>
      <c r="CSD12" s="314" t="s">
        <v>203</v>
      </c>
      <c r="CSE12" s="314" t="s">
        <v>203</v>
      </c>
      <c r="CSF12" s="314" t="s">
        <v>203</v>
      </c>
      <c r="CSG12" s="314" t="s">
        <v>203</v>
      </c>
      <c r="CSH12" s="314" t="s">
        <v>203</v>
      </c>
      <c r="CSI12" s="314" t="s">
        <v>203</v>
      </c>
      <c r="CSJ12" s="314" t="s">
        <v>203</v>
      </c>
      <c r="CSK12" s="314" t="s">
        <v>203</v>
      </c>
      <c r="CSL12" s="314" t="s">
        <v>203</v>
      </c>
      <c r="CSM12" s="314" t="s">
        <v>203</v>
      </c>
      <c r="CSN12" s="314" t="s">
        <v>203</v>
      </c>
      <c r="CSO12" s="314" t="s">
        <v>203</v>
      </c>
      <c r="CSP12" s="314" t="s">
        <v>203</v>
      </c>
      <c r="CSQ12" s="314" t="s">
        <v>203</v>
      </c>
      <c r="CSR12" s="314" t="s">
        <v>203</v>
      </c>
      <c r="CSS12" s="314" t="s">
        <v>203</v>
      </c>
      <c r="CST12" s="314" t="s">
        <v>203</v>
      </c>
      <c r="CSU12" s="314" t="s">
        <v>203</v>
      </c>
      <c r="CSV12" s="314" t="s">
        <v>203</v>
      </c>
      <c r="CSW12" s="314" t="s">
        <v>203</v>
      </c>
      <c r="CSX12" s="314" t="s">
        <v>203</v>
      </c>
      <c r="CSY12" s="314" t="s">
        <v>203</v>
      </c>
      <c r="CSZ12" s="314" t="s">
        <v>203</v>
      </c>
      <c r="CTA12" s="314" t="s">
        <v>203</v>
      </c>
      <c r="CTB12" s="314" t="s">
        <v>203</v>
      </c>
      <c r="CTC12" s="314" t="s">
        <v>203</v>
      </c>
      <c r="CTD12" s="314" t="s">
        <v>203</v>
      </c>
      <c r="CTE12" s="314" t="s">
        <v>203</v>
      </c>
      <c r="CTF12" s="314" t="s">
        <v>203</v>
      </c>
      <c r="CTG12" s="314" t="s">
        <v>203</v>
      </c>
      <c r="CTH12" s="314" t="s">
        <v>203</v>
      </c>
      <c r="CTI12" s="314" t="s">
        <v>203</v>
      </c>
      <c r="CTJ12" s="314" t="s">
        <v>203</v>
      </c>
      <c r="CTK12" s="314" t="s">
        <v>203</v>
      </c>
      <c r="CTL12" s="314" t="s">
        <v>203</v>
      </c>
      <c r="CTM12" s="314" t="s">
        <v>203</v>
      </c>
      <c r="CTN12" s="314" t="s">
        <v>203</v>
      </c>
      <c r="CTO12" s="314" t="s">
        <v>203</v>
      </c>
      <c r="CTP12" s="314" t="s">
        <v>203</v>
      </c>
      <c r="CTQ12" s="314" t="s">
        <v>203</v>
      </c>
      <c r="CTR12" s="314" t="s">
        <v>203</v>
      </c>
      <c r="CTS12" s="314" t="s">
        <v>203</v>
      </c>
      <c r="CTT12" s="314" t="s">
        <v>203</v>
      </c>
      <c r="CTU12" s="314" t="s">
        <v>203</v>
      </c>
      <c r="CTV12" s="314" t="s">
        <v>203</v>
      </c>
      <c r="CTW12" s="314" t="s">
        <v>203</v>
      </c>
      <c r="CTX12" s="314" t="s">
        <v>203</v>
      </c>
      <c r="CTY12" s="314" t="s">
        <v>203</v>
      </c>
      <c r="CTZ12" s="314" t="s">
        <v>203</v>
      </c>
      <c r="CUA12" s="314" t="s">
        <v>203</v>
      </c>
      <c r="CUB12" s="314" t="s">
        <v>203</v>
      </c>
      <c r="CUC12" s="314" t="s">
        <v>203</v>
      </c>
      <c r="CUD12" s="314" t="s">
        <v>203</v>
      </c>
      <c r="CUE12" s="314" t="s">
        <v>203</v>
      </c>
      <c r="CUF12" s="314" t="s">
        <v>203</v>
      </c>
      <c r="CUG12" s="314" t="s">
        <v>203</v>
      </c>
      <c r="CUH12" s="314" t="s">
        <v>203</v>
      </c>
      <c r="CUI12" s="314" t="s">
        <v>203</v>
      </c>
      <c r="CUJ12" s="314" t="s">
        <v>203</v>
      </c>
      <c r="CUK12" s="314" t="s">
        <v>203</v>
      </c>
      <c r="CUL12" s="314" t="s">
        <v>203</v>
      </c>
      <c r="CUM12" s="314" t="s">
        <v>203</v>
      </c>
      <c r="CUN12" s="314" t="s">
        <v>203</v>
      </c>
      <c r="CUO12" s="314" t="s">
        <v>203</v>
      </c>
      <c r="CUP12" s="314" t="s">
        <v>203</v>
      </c>
      <c r="CUQ12" s="314" t="s">
        <v>203</v>
      </c>
      <c r="CUR12" s="314" t="s">
        <v>203</v>
      </c>
      <c r="CUS12" s="314" t="s">
        <v>203</v>
      </c>
      <c r="CUT12" s="314" t="s">
        <v>203</v>
      </c>
      <c r="CUU12" s="314" t="s">
        <v>203</v>
      </c>
      <c r="CUV12" s="314" t="s">
        <v>203</v>
      </c>
      <c r="CUW12" s="314" t="s">
        <v>203</v>
      </c>
      <c r="CUX12" s="314" t="s">
        <v>203</v>
      </c>
      <c r="CUY12" s="314" t="s">
        <v>203</v>
      </c>
      <c r="CUZ12" s="314" t="s">
        <v>203</v>
      </c>
      <c r="CVA12" s="314" t="s">
        <v>203</v>
      </c>
      <c r="CVB12" s="314" t="s">
        <v>203</v>
      </c>
      <c r="CVC12" s="314" t="s">
        <v>203</v>
      </c>
      <c r="CVD12" s="314" t="s">
        <v>203</v>
      </c>
      <c r="CVE12" s="314" t="s">
        <v>203</v>
      </c>
      <c r="CVF12" s="314" t="s">
        <v>203</v>
      </c>
      <c r="CVG12" s="314" t="s">
        <v>203</v>
      </c>
      <c r="CVH12" s="314" t="s">
        <v>203</v>
      </c>
      <c r="CVI12" s="314" t="s">
        <v>203</v>
      </c>
      <c r="CVJ12" s="314" t="s">
        <v>203</v>
      </c>
      <c r="CVK12" s="314" t="s">
        <v>203</v>
      </c>
      <c r="CVL12" s="314" t="s">
        <v>203</v>
      </c>
      <c r="CVM12" s="314" t="s">
        <v>203</v>
      </c>
      <c r="CVN12" s="314" t="s">
        <v>203</v>
      </c>
      <c r="CVO12" s="314" t="s">
        <v>203</v>
      </c>
      <c r="CVP12" s="314" t="s">
        <v>203</v>
      </c>
      <c r="CVQ12" s="314" t="s">
        <v>203</v>
      </c>
      <c r="CVR12" s="314" t="s">
        <v>203</v>
      </c>
      <c r="CVS12" s="314" t="s">
        <v>203</v>
      </c>
      <c r="CVT12" s="314" t="s">
        <v>203</v>
      </c>
      <c r="CVU12" s="314" t="s">
        <v>203</v>
      </c>
      <c r="CVV12" s="314" t="s">
        <v>203</v>
      </c>
      <c r="CVW12" s="314" t="s">
        <v>203</v>
      </c>
      <c r="CVX12" s="314" t="s">
        <v>203</v>
      </c>
      <c r="CVY12" s="314" t="s">
        <v>203</v>
      </c>
      <c r="CVZ12" s="314" t="s">
        <v>203</v>
      </c>
      <c r="CWA12" s="314" t="s">
        <v>203</v>
      </c>
      <c r="CWB12" s="314" t="s">
        <v>203</v>
      </c>
      <c r="CWC12" s="314" t="s">
        <v>203</v>
      </c>
      <c r="CWD12" s="314" t="s">
        <v>203</v>
      </c>
      <c r="CWE12" s="314" t="s">
        <v>203</v>
      </c>
      <c r="CWF12" s="314" t="s">
        <v>203</v>
      </c>
      <c r="CWG12" s="314" t="s">
        <v>203</v>
      </c>
      <c r="CWH12" s="314" t="s">
        <v>203</v>
      </c>
      <c r="CWI12" s="314" t="s">
        <v>203</v>
      </c>
      <c r="CWJ12" s="314" t="s">
        <v>203</v>
      </c>
      <c r="CWK12" s="314" t="s">
        <v>203</v>
      </c>
      <c r="CWL12" s="314" t="s">
        <v>203</v>
      </c>
      <c r="CWM12" s="314" t="s">
        <v>203</v>
      </c>
      <c r="CWN12" s="314" t="s">
        <v>203</v>
      </c>
      <c r="CWO12" s="314" t="s">
        <v>203</v>
      </c>
      <c r="CWP12" s="314" t="s">
        <v>203</v>
      </c>
      <c r="CWQ12" s="314" t="s">
        <v>203</v>
      </c>
      <c r="CWR12" s="314" t="s">
        <v>203</v>
      </c>
      <c r="CWS12" s="314" t="s">
        <v>203</v>
      </c>
      <c r="CWT12" s="314" t="s">
        <v>203</v>
      </c>
      <c r="CWU12" s="314" t="s">
        <v>203</v>
      </c>
      <c r="CWV12" s="314" t="s">
        <v>203</v>
      </c>
      <c r="CWW12" s="314" t="s">
        <v>203</v>
      </c>
      <c r="CWX12" s="314" t="s">
        <v>203</v>
      </c>
      <c r="CWY12" s="314" t="s">
        <v>203</v>
      </c>
      <c r="CWZ12" s="314" t="s">
        <v>203</v>
      </c>
      <c r="CXA12" s="314" t="s">
        <v>203</v>
      </c>
      <c r="CXB12" s="314" t="s">
        <v>203</v>
      </c>
      <c r="CXC12" s="314" t="s">
        <v>203</v>
      </c>
      <c r="CXD12" s="314" t="s">
        <v>203</v>
      </c>
      <c r="CXE12" s="314" t="s">
        <v>203</v>
      </c>
      <c r="CXF12" s="314" t="s">
        <v>203</v>
      </c>
      <c r="CXG12" s="314" t="s">
        <v>203</v>
      </c>
      <c r="CXH12" s="314" t="s">
        <v>203</v>
      </c>
      <c r="CXI12" s="314" t="s">
        <v>203</v>
      </c>
      <c r="CXJ12" s="314" t="s">
        <v>203</v>
      </c>
      <c r="CXK12" s="314" t="s">
        <v>203</v>
      </c>
      <c r="CXL12" s="314" t="s">
        <v>203</v>
      </c>
      <c r="CXM12" s="314" t="s">
        <v>203</v>
      </c>
      <c r="CXN12" s="314" t="s">
        <v>203</v>
      </c>
      <c r="CXO12" s="314" t="s">
        <v>203</v>
      </c>
      <c r="CXP12" s="314" t="s">
        <v>203</v>
      </c>
      <c r="CXQ12" s="314" t="s">
        <v>203</v>
      </c>
      <c r="CXR12" s="314" t="s">
        <v>203</v>
      </c>
      <c r="CXS12" s="314" t="s">
        <v>203</v>
      </c>
      <c r="CXT12" s="314" t="s">
        <v>203</v>
      </c>
      <c r="CXU12" s="314" t="s">
        <v>203</v>
      </c>
      <c r="CXV12" s="314" t="s">
        <v>203</v>
      </c>
      <c r="CXW12" s="314" t="s">
        <v>203</v>
      </c>
      <c r="CXX12" s="314" t="s">
        <v>203</v>
      </c>
      <c r="CXY12" s="314" t="s">
        <v>203</v>
      </c>
      <c r="CXZ12" s="314" t="s">
        <v>203</v>
      </c>
      <c r="CYA12" s="314" t="s">
        <v>203</v>
      </c>
      <c r="CYB12" s="314" t="s">
        <v>203</v>
      </c>
      <c r="CYC12" s="314" t="s">
        <v>203</v>
      </c>
      <c r="CYD12" s="314" t="s">
        <v>203</v>
      </c>
      <c r="CYE12" s="314" t="s">
        <v>203</v>
      </c>
      <c r="CYF12" s="314" t="s">
        <v>203</v>
      </c>
      <c r="CYG12" s="314" t="s">
        <v>203</v>
      </c>
      <c r="CYH12" s="314" t="s">
        <v>203</v>
      </c>
      <c r="CYI12" s="314" t="s">
        <v>203</v>
      </c>
      <c r="CYJ12" s="314" t="s">
        <v>203</v>
      </c>
      <c r="CYK12" s="314" t="s">
        <v>203</v>
      </c>
      <c r="CYL12" s="314" t="s">
        <v>203</v>
      </c>
      <c r="CYM12" s="314" t="s">
        <v>203</v>
      </c>
      <c r="CYN12" s="314" t="s">
        <v>203</v>
      </c>
      <c r="CYO12" s="314" t="s">
        <v>203</v>
      </c>
      <c r="CYP12" s="314" t="s">
        <v>203</v>
      </c>
      <c r="CYQ12" s="314" t="s">
        <v>203</v>
      </c>
      <c r="CYR12" s="314" t="s">
        <v>203</v>
      </c>
      <c r="CYS12" s="314" t="s">
        <v>203</v>
      </c>
      <c r="CYT12" s="314" t="s">
        <v>203</v>
      </c>
      <c r="CYU12" s="314" t="s">
        <v>203</v>
      </c>
      <c r="CYV12" s="314" t="s">
        <v>203</v>
      </c>
      <c r="CYW12" s="314" t="s">
        <v>203</v>
      </c>
      <c r="CYX12" s="314" t="s">
        <v>203</v>
      </c>
      <c r="CYY12" s="314" t="s">
        <v>203</v>
      </c>
      <c r="CYZ12" s="314" t="s">
        <v>203</v>
      </c>
      <c r="CZA12" s="314" t="s">
        <v>203</v>
      </c>
      <c r="CZB12" s="314" t="s">
        <v>203</v>
      </c>
      <c r="CZC12" s="314" t="s">
        <v>203</v>
      </c>
      <c r="CZD12" s="314" t="s">
        <v>203</v>
      </c>
      <c r="CZE12" s="314" t="s">
        <v>203</v>
      </c>
      <c r="CZF12" s="314" t="s">
        <v>203</v>
      </c>
      <c r="CZG12" s="314" t="s">
        <v>203</v>
      </c>
      <c r="CZH12" s="314" t="s">
        <v>203</v>
      </c>
      <c r="CZI12" s="314" t="s">
        <v>203</v>
      </c>
      <c r="CZJ12" s="314" t="s">
        <v>203</v>
      </c>
      <c r="CZK12" s="314" t="s">
        <v>203</v>
      </c>
      <c r="CZL12" s="314" t="s">
        <v>203</v>
      </c>
      <c r="CZM12" s="314" t="s">
        <v>203</v>
      </c>
      <c r="CZN12" s="314" t="s">
        <v>203</v>
      </c>
      <c r="CZO12" s="314" t="s">
        <v>203</v>
      </c>
      <c r="CZP12" s="314" t="s">
        <v>203</v>
      </c>
      <c r="CZQ12" s="314" t="s">
        <v>203</v>
      </c>
      <c r="CZR12" s="314" t="s">
        <v>203</v>
      </c>
      <c r="CZS12" s="314" t="s">
        <v>203</v>
      </c>
      <c r="CZT12" s="314" t="s">
        <v>203</v>
      </c>
      <c r="CZU12" s="314" t="s">
        <v>203</v>
      </c>
      <c r="CZV12" s="314" t="s">
        <v>203</v>
      </c>
      <c r="CZW12" s="314" t="s">
        <v>203</v>
      </c>
      <c r="CZX12" s="314" t="s">
        <v>203</v>
      </c>
      <c r="CZY12" s="314" t="s">
        <v>203</v>
      </c>
      <c r="CZZ12" s="314" t="s">
        <v>203</v>
      </c>
      <c r="DAA12" s="314" t="s">
        <v>203</v>
      </c>
      <c r="DAB12" s="314" t="s">
        <v>203</v>
      </c>
      <c r="DAC12" s="314" t="s">
        <v>203</v>
      </c>
      <c r="DAD12" s="314" t="s">
        <v>203</v>
      </c>
      <c r="DAE12" s="314" t="s">
        <v>203</v>
      </c>
      <c r="DAF12" s="314" t="s">
        <v>203</v>
      </c>
      <c r="DAG12" s="314" t="s">
        <v>203</v>
      </c>
      <c r="DAH12" s="314" t="s">
        <v>203</v>
      </c>
      <c r="DAI12" s="314" t="s">
        <v>203</v>
      </c>
      <c r="DAJ12" s="314" t="s">
        <v>203</v>
      </c>
      <c r="DAK12" s="314" t="s">
        <v>203</v>
      </c>
      <c r="DAL12" s="314" t="s">
        <v>203</v>
      </c>
      <c r="DAM12" s="314" t="s">
        <v>203</v>
      </c>
      <c r="DAN12" s="314" t="s">
        <v>203</v>
      </c>
      <c r="DAO12" s="314" t="s">
        <v>203</v>
      </c>
      <c r="DAP12" s="314" t="s">
        <v>203</v>
      </c>
      <c r="DAQ12" s="314" t="s">
        <v>203</v>
      </c>
      <c r="DAR12" s="314" t="s">
        <v>203</v>
      </c>
      <c r="DAS12" s="314" t="s">
        <v>203</v>
      </c>
      <c r="DAT12" s="314" t="s">
        <v>203</v>
      </c>
      <c r="DAU12" s="314" t="s">
        <v>203</v>
      </c>
      <c r="DAV12" s="314" t="s">
        <v>203</v>
      </c>
      <c r="DAW12" s="314" t="s">
        <v>203</v>
      </c>
      <c r="DAX12" s="314" t="s">
        <v>203</v>
      </c>
      <c r="DAY12" s="314" t="s">
        <v>203</v>
      </c>
      <c r="DAZ12" s="314" t="s">
        <v>203</v>
      </c>
      <c r="DBA12" s="314" t="s">
        <v>203</v>
      </c>
      <c r="DBB12" s="314" t="s">
        <v>203</v>
      </c>
      <c r="DBC12" s="314" t="s">
        <v>203</v>
      </c>
      <c r="DBD12" s="314" t="s">
        <v>203</v>
      </c>
      <c r="DBE12" s="314" t="s">
        <v>203</v>
      </c>
      <c r="DBF12" s="314" t="s">
        <v>203</v>
      </c>
      <c r="DBG12" s="314" t="s">
        <v>203</v>
      </c>
      <c r="DBH12" s="314" t="s">
        <v>203</v>
      </c>
      <c r="DBI12" s="314" t="s">
        <v>203</v>
      </c>
      <c r="DBJ12" s="314" t="s">
        <v>203</v>
      </c>
      <c r="DBK12" s="314" t="s">
        <v>203</v>
      </c>
      <c r="DBL12" s="314" t="s">
        <v>203</v>
      </c>
      <c r="DBM12" s="314" t="s">
        <v>203</v>
      </c>
      <c r="DBN12" s="314" t="s">
        <v>203</v>
      </c>
      <c r="DBO12" s="314" t="s">
        <v>203</v>
      </c>
      <c r="DBP12" s="314" t="s">
        <v>203</v>
      </c>
      <c r="DBQ12" s="314" t="s">
        <v>203</v>
      </c>
      <c r="DBR12" s="314" t="s">
        <v>203</v>
      </c>
      <c r="DBS12" s="314" t="s">
        <v>203</v>
      </c>
      <c r="DBT12" s="314" t="s">
        <v>203</v>
      </c>
      <c r="DBU12" s="314" t="s">
        <v>203</v>
      </c>
      <c r="DBV12" s="314" t="s">
        <v>203</v>
      </c>
      <c r="DBW12" s="314" t="s">
        <v>203</v>
      </c>
      <c r="DBX12" s="314" t="s">
        <v>203</v>
      </c>
      <c r="DBY12" s="314" t="s">
        <v>203</v>
      </c>
      <c r="DBZ12" s="314" t="s">
        <v>203</v>
      </c>
      <c r="DCA12" s="314" t="s">
        <v>203</v>
      </c>
      <c r="DCB12" s="314" t="s">
        <v>203</v>
      </c>
      <c r="DCC12" s="314" t="s">
        <v>203</v>
      </c>
      <c r="DCD12" s="314" t="s">
        <v>203</v>
      </c>
      <c r="DCE12" s="314" t="s">
        <v>203</v>
      </c>
      <c r="DCF12" s="314" t="s">
        <v>203</v>
      </c>
      <c r="DCG12" s="314" t="s">
        <v>203</v>
      </c>
      <c r="DCH12" s="314" t="s">
        <v>203</v>
      </c>
      <c r="DCI12" s="314" t="s">
        <v>203</v>
      </c>
      <c r="DCJ12" s="314" t="s">
        <v>203</v>
      </c>
      <c r="DCK12" s="314" t="s">
        <v>203</v>
      </c>
      <c r="DCL12" s="314" t="s">
        <v>203</v>
      </c>
      <c r="DCM12" s="314" t="s">
        <v>203</v>
      </c>
      <c r="DCN12" s="314" t="s">
        <v>203</v>
      </c>
      <c r="DCO12" s="314" t="s">
        <v>203</v>
      </c>
      <c r="DCP12" s="314" t="s">
        <v>203</v>
      </c>
      <c r="DCQ12" s="314" t="s">
        <v>203</v>
      </c>
      <c r="DCR12" s="314" t="s">
        <v>203</v>
      </c>
      <c r="DCS12" s="314" t="s">
        <v>203</v>
      </c>
      <c r="DCT12" s="314" t="s">
        <v>203</v>
      </c>
      <c r="DCU12" s="314" t="s">
        <v>203</v>
      </c>
      <c r="DCV12" s="314" t="s">
        <v>203</v>
      </c>
      <c r="DCW12" s="314" t="s">
        <v>203</v>
      </c>
      <c r="DCX12" s="314" t="s">
        <v>203</v>
      </c>
      <c r="DCY12" s="314" t="s">
        <v>203</v>
      </c>
      <c r="DCZ12" s="314" t="s">
        <v>203</v>
      </c>
      <c r="DDA12" s="314" t="s">
        <v>203</v>
      </c>
      <c r="DDB12" s="314" t="s">
        <v>203</v>
      </c>
      <c r="DDC12" s="314" t="s">
        <v>203</v>
      </c>
      <c r="DDD12" s="314" t="s">
        <v>203</v>
      </c>
      <c r="DDE12" s="314" t="s">
        <v>203</v>
      </c>
      <c r="DDF12" s="314" t="s">
        <v>203</v>
      </c>
      <c r="DDG12" s="314" t="s">
        <v>203</v>
      </c>
      <c r="DDH12" s="314" t="s">
        <v>203</v>
      </c>
      <c r="DDI12" s="314" t="s">
        <v>203</v>
      </c>
      <c r="DDJ12" s="314" t="s">
        <v>203</v>
      </c>
      <c r="DDK12" s="314" t="s">
        <v>203</v>
      </c>
      <c r="DDL12" s="314" t="s">
        <v>203</v>
      </c>
      <c r="DDM12" s="314" t="s">
        <v>203</v>
      </c>
      <c r="DDN12" s="314" t="s">
        <v>203</v>
      </c>
      <c r="DDO12" s="314" t="s">
        <v>203</v>
      </c>
      <c r="DDP12" s="314" t="s">
        <v>203</v>
      </c>
      <c r="DDQ12" s="314" t="s">
        <v>203</v>
      </c>
      <c r="DDR12" s="314" t="s">
        <v>203</v>
      </c>
      <c r="DDS12" s="314" t="s">
        <v>203</v>
      </c>
      <c r="DDT12" s="314" t="s">
        <v>203</v>
      </c>
      <c r="DDU12" s="314" t="s">
        <v>203</v>
      </c>
      <c r="DDV12" s="314" t="s">
        <v>203</v>
      </c>
      <c r="DDW12" s="314" t="s">
        <v>203</v>
      </c>
      <c r="DDX12" s="314" t="s">
        <v>203</v>
      </c>
      <c r="DDY12" s="314" t="s">
        <v>203</v>
      </c>
      <c r="DDZ12" s="314" t="s">
        <v>203</v>
      </c>
      <c r="DEA12" s="314" t="s">
        <v>203</v>
      </c>
      <c r="DEB12" s="314" t="s">
        <v>203</v>
      </c>
      <c r="DEC12" s="314" t="s">
        <v>203</v>
      </c>
      <c r="DED12" s="314" t="s">
        <v>203</v>
      </c>
      <c r="DEE12" s="314" t="s">
        <v>203</v>
      </c>
      <c r="DEF12" s="314" t="s">
        <v>203</v>
      </c>
      <c r="DEG12" s="314" t="s">
        <v>203</v>
      </c>
      <c r="DEH12" s="314" t="s">
        <v>203</v>
      </c>
      <c r="DEI12" s="314" t="s">
        <v>203</v>
      </c>
      <c r="DEJ12" s="314" t="s">
        <v>203</v>
      </c>
      <c r="DEK12" s="314" t="s">
        <v>203</v>
      </c>
      <c r="DEL12" s="314" t="s">
        <v>203</v>
      </c>
      <c r="DEM12" s="314" t="s">
        <v>203</v>
      </c>
      <c r="DEN12" s="314" t="s">
        <v>203</v>
      </c>
      <c r="DEO12" s="314" t="s">
        <v>203</v>
      </c>
      <c r="DEP12" s="314" t="s">
        <v>203</v>
      </c>
      <c r="DEQ12" s="314" t="s">
        <v>203</v>
      </c>
      <c r="DER12" s="314" t="s">
        <v>203</v>
      </c>
      <c r="DES12" s="314" t="s">
        <v>203</v>
      </c>
      <c r="DET12" s="314" t="s">
        <v>203</v>
      </c>
      <c r="DEU12" s="314" t="s">
        <v>203</v>
      </c>
      <c r="DEV12" s="314" t="s">
        <v>203</v>
      </c>
      <c r="DEW12" s="314" t="s">
        <v>203</v>
      </c>
      <c r="DEX12" s="314" t="s">
        <v>203</v>
      </c>
      <c r="DEY12" s="314" t="s">
        <v>203</v>
      </c>
      <c r="DEZ12" s="314" t="s">
        <v>203</v>
      </c>
      <c r="DFA12" s="314" t="s">
        <v>203</v>
      </c>
      <c r="DFB12" s="314" t="s">
        <v>203</v>
      </c>
      <c r="DFC12" s="314" t="s">
        <v>203</v>
      </c>
      <c r="DFD12" s="314" t="s">
        <v>203</v>
      </c>
      <c r="DFE12" s="314" t="s">
        <v>203</v>
      </c>
      <c r="DFF12" s="314" t="s">
        <v>203</v>
      </c>
      <c r="DFG12" s="314" t="s">
        <v>203</v>
      </c>
      <c r="DFH12" s="314" t="s">
        <v>203</v>
      </c>
      <c r="DFI12" s="314" t="s">
        <v>203</v>
      </c>
      <c r="DFJ12" s="314" t="s">
        <v>203</v>
      </c>
      <c r="DFK12" s="314" t="s">
        <v>203</v>
      </c>
      <c r="DFL12" s="314" t="s">
        <v>203</v>
      </c>
      <c r="DFM12" s="314" t="s">
        <v>203</v>
      </c>
      <c r="DFN12" s="314" t="s">
        <v>203</v>
      </c>
      <c r="DFO12" s="314" t="s">
        <v>203</v>
      </c>
      <c r="DFP12" s="314" t="s">
        <v>203</v>
      </c>
      <c r="DFQ12" s="314" t="s">
        <v>203</v>
      </c>
      <c r="DFR12" s="314" t="s">
        <v>203</v>
      </c>
      <c r="DFS12" s="314" t="s">
        <v>203</v>
      </c>
      <c r="DFT12" s="314" t="s">
        <v>203</v>
      </c>
      <c r="DFU12" s="314" t="s">
        <v>203</v>
      </c>
      <c r="DFV12" s="314" t="s">
        <v>203</v>
      </c>
      <c r="DFW12" s="314" t="s">
        <v>203</v>
      </c>
      <c r="DFX12" s="314" t="s">
        <v>203</v>
      </c>
      <c r="DFY12" s="314" t="s">
        <v>203</v>
      </c>
      <c r="DFZ12" s="314" t="s">
        <v>203</v>
      </c>
      <c r="DGA12" s="314" t="s">
        <v>203</v>
      </c>
      <c r="DGB12" s="314" t="s">
        <v>203</v>
      </c>
      <c r="DGC12" s="314" t="s">
        <v>203</v>
      </c>
      <c r="DGD12" s="314" t="s">
        <v>203</v>
      </c>
      <c r="DGE12" s="314" t="s">
        <v>203</v>
      </c>
      <c r="DGF12" s="314" t="s">
        <v>203</v>
      </c>
      <c r="DGG12" s="314" t="s">
        <v>203</v>
      </c>
      <c r="DGH12" s="314" t="s">
        <v>203</v>
      </c>
      <c r="DGI12" s="314" t="s">
        <v>203</v>
      </c>
      <c r="DGJ12" s="314" t="s">
        <v>203</v>
      </c>
      <c r="DGK12" s="314" t="s">
        <v>203</v>
      </c>
      <c r="DGL12" s="314" t="s">
        <v>203</v>
      </c>
      <c r="DGM12" s="314" t="s">
        <v>203</v>
      </c>
      <c r="DGN12" s="314" t="s">
        <v>203</v>
      </c>
      <c r="DGO12" s="314" t="s">
        <v>203</v>
      </c>
      <c r="DGP12" s="314" t="s">
        <v>203</v>
      </c>
      <c r="DGQ12" s="314" t="s">
        <v>203</v>
      </c>
      <c r="DGR12" s="314" t="s">
        <v>203</v>
      </c>
      <c r="DGS12" s="314" t="s">
        <v>203</v>
      </c>
      <c r="DGT12" s="314" t="s">
        <v>203</v>
      </c>
      <c r="DGU12" s="314" t="s">
        <v>203</v>
      </c>
      <c r="DGV12" s="314" t="s">
        <v>203</v>
      </c>
      <c r="DGW12" s="314" t="s">
        <v>203</v>
      </c>
      <c r="DGX12" s="314" t="s">
        <v>203</v>
      </c>
      <c r="DGY12" s="314" t="s">
        <v>203</v>
      </c>
      <c r="DGZ12" s="314" t="s">
        <v>203</v>
      </c>
      <c r="DHA12" s="314" t="s">
        <v>203</v>
      </c>
      <c r="DHB12" s="314" t="s">
        <v>203</v>
      </c>
      <c r="DHC12" s="314" t="s">
        <v>203</v>
      </c>
      <c r="DHD12" s="314" t="s">
        <v>203</v>
      </c>
      <c r="DHE12" s="314" t="s">
        <v>203</v>
      </c>
      <c r="DHF12" s="314" t="s">
        <v>203</v>
      </c>
      <c r="DHG12" s="314" t="s">
        <v>203</v>
      </c>
      <c r="DHH12" s="314" t="s">
        <v>203</v>
      </c>
      <c r="DHI12" s="314" t="s">
        <v>203</v>
      </c>
      <c r="DHJ12" s="314" t="s">
        <v>203</v>
      </c>
      <c r="DHK12" s="314" t="s">
        <v>203</v>
      </c>
      <c r="DHL12" s="314" t="s">
        <v>203</v>
      </c>
      <c r="DHM12" s="314" t="s">
        <v>203</v>
      </c>
      <c r="DHN12" s="314" t="s">
        <v>203</v>
      </c>
      <c r="DHO12" s="314" t="s">
        <v>203</v>
      </c>
      <c r="DHP12" s="314" t="s">
        <v>203</v>
      </c>
      <c r="DHQ12" s="314" t="s">
        <v>203</v>
      </c>
      <c r="DHR12" s="314" t="s">
        <v>203</v>
      </c>
      <c r="DHS12" s="314" t="s">
        <v>203</v>
      </c>
      <c r="DHT12" s="314" t="s">
        <v>203</v>
      </c>
      <c r="DHU12" s="314" t="s">
        <v>203</v>
      </c>
      <c r="DHV12" s="314" t="s">
        <v>203</v>
      </c>
      <c r="DHW12" s="314" t="s">
        <v>203</v>
      </c>
      <c r="DHX12" s="314" t="s">
        <v>203</v>
      </c>
      <c r="DHY12" s="314" t="s">
        <v>203</v>
      </c>
      <c r="DHZ12" s="314" t="s">
        <v>203</v>
      </c>
      <c r="DIA12" s="314" t="s">
        <v>203</v>
      </c>
      <c r="DIB12" s="314" t="s">
        <v>203</v>
      </c>
      <c r="DIC12" s="314" t="s">
        <v>203</v>
      </c>
      <c r="DID12" s="314" t="s">
        <v>203</v>
      </c>
      <c r="DIE12" s="314" t="s">
        <v>203</v>
      </c>
      <c r="DIF12" s="314" t="s">
        <v>203</v>
      </c>
      <c r="DIG12" s="314" t="s">
        <v>203</v>
      </c>
      <c r="DIH12" s="314" t="s">
        <v>203</v>
      </c>
      <c r="DII12" s="314" t="s">
        <v>203</v>
      </c>
      <c r="DIJ12" s="314" t="s">
        <v>203</v>
      </c>
      <c r="DIK12" s="314" t="s">
        <v>203</v>
      </c>
      <c r="DIL12" s="314" t="s">
        <v>203</v>
      </c>
      <c r="DIM12" s="314" t="s">
        <v>203</v>
      </c>
      <c r="DIN12" s="314" t="s">
        <v>203</v>
      </c>
      <c r="DIO12" s="314" t="s">
        <v>203</v>
      </c>
      <c r="DIP12" s="314" t="s">
        <v>203</v>
      </c>
      <c r="DIQ12" s="314" t="s">
        <v>203</v>
      </c>
      <c r="DIR12" s="314" t="s">
        <v>203</v>
      </c>
      <c r="DIS12" s="314" t="s">
        <v>203</v>
      </c>
      <c r="DIT12" s="314" t="s">
        <v>203</v>
      </c>
      <c r="DIU12" s="314" t="s">
        <v>203</v>
      </c>
      <c r="DIV12" s="314" t="s">
        <v>203</v>
      </c>
      <c r="DIW12" s="314" t="s">
        <v>203</v>
      </c>
      <c r="DIX12" s="314" t="s">
        <v>203</v>
      </c>
      <c r="DIY12" s="314" t="s">
        <v>203</v>
      </c>
      <c r="DIZ12" s="314" t="s">
        <v>203</v>
      </c>
      <c r="DJA12" s="314" t="s">
        <v>203</v>
      </c>
      <c r="DJB12" s="314" t="s">
        <v>203</v>
      </c>
      <c r="DJC12" s="314" t="s">
        <v>203</v>
      </c>
      <c r="DJD12" s="314" t="s">
        <v>203</v>
      </c>
      <c r="DJE12" s="314" t="s">
        <v>203</v>
      </c>
      <c r="DJF12" s="314" t="s">
        <v>203</v>
      </c>
      <c r="DJG12" s="314" t="s">
        <v>203</v>
      </c>
      <c r="DJH12" s="314" t="s">
        <v>203</v>
      </c>
      <c r="DJI12" s="314" t="s">
        <v>203</v>
      </c>
      <c r="DJJ12" s="314" t="s">
        <v>203</v>
      </c>
      <c r="DJK12" s="314" t="s">
        <v>203</v>
      </c>
      <c r="DJL12" s="314" t="s">
        <v>203</v>
      </c>
      <c r="DJM12" s="314" t="s">
        <v>203</v>
      </c>
      <c r="DJN12" s="314" t="s">
        <v>203</v>
      </c>
      <c r="DJO12" s="314" t="s">
        <v>203</v>
      </c>
      <c r="DJP12" s="314" t="s">
        <v>203</v>
      </c>
      <c r="DJQ12" s="314" t="s">
        <v>203</v>
      </c>
      <c r="DJR12" s="314" t="s">
        <v>203</v>
      </c>
      <c r="DJS12" s="314" t="s">
        <v>203</v>
      </c>
      <c r="DJT12" s="314" t="s">
        <v>203</v>
      </c>
      <c r="DJU12" s="314" t="s">
        <v>203</v>
      </c>
      <c r="DJV12" s="314" t="s">
        <v>203</v>
      </c>
      <c r="DJW12" s="314" t="s">
        <v>203</v>
      </c>
      <c r="DJX12" s="314" t="s">
        <v>203</v>
      </c>
      <c r="DJY12" s="314" t="s">
        <v>203</v>
      </c>
      <c r="DJZ12" s="314" t="s">
        <v>203</v>
      </c>
      <c r="DKA12" s="314" t="s">
        <v>203</v>
      </c>
      <c r="DKB12" s="314" t="s">
        <v>203</v>
      </c>
      <c r="DKC12" s="314" t="s">
        <v>203</v>
      </c>
      <c r="DKD12" s="314" t="s">
        <v>203</v>
      </c>
      <c r="DKE12" s="314" t="s">
        <v>203</v>
      </c>
      <c r="DKF12" s="314" t="s">
        <v>203</v>
      </c>
      <c r="DKG12" s="314" t="s">
        <v>203</v>
      </c>
      <c r="DKH12" s="314" t="s">
        <v>203</v>
      </c>
      <c r="DKI12" s="314" t="s">
        <v>203</v>
      </c>
      <c r="DKJ12" s="314" t="s">
        <v>203</v>
      </c>
      <c r="DKK12" s="314" t="s">
        <v>203</v>
      </c>
      <c r="DKL12" s="314" t="s">
        <v>203</v>
      </c>
      <c r="DKM12" s="314" t="s">
        <v>203</v>
      </c>
      <c r="DKN12" s="314" t="s">
        <v>203</v>
      </c>
      <c r="DKO12" s="314" t="s">
        <v>203</v>
      </c>
      <c r="DKP12" s="314" t="s">
        <v>203</v>
      </c>
      <c r="DKQ12" s="314" t="s">
        <v>203</v>
      </c>
      <c r="DKR12" s="314" t="s">
        <v>203</v>
      </c>
      <c r="DKS12" s="314" t="s">
        <v>203</v>
      </c>
      <c r="DKT12" s="314" t="s">
        <v>203</v>
      </c>
      <c r="DKU12" s="314" t="s">
        <v>203</v>
      </c>
      <c r="DKV12" s="314" t="s">
        <v>203</v>
      </c>
      <c r="DKW12" s="314" t="s">
        <v>203</v>
      </c>
      <c r="DKX12" s="314" t="s">
        <v>203</v>
      </c>
      <c r="DKY12" s="314" t="s">
        <v>203</v>
      </c>
      <c r="DKZ12" s="314" t="s">
        <v>203</v>
      </c>
      <c r="DLA12" s="314" t="s">
        <v>203</v>
      </c>
      <c r="DLB12" s="314" t="s">
        <v>203</v>
      </c>
      <c r="DLC12" s="314" t="s">
        <v>203</v>
      </c>
      <c r="DLD12" s="314" t="s">
        <v>203</v>
      </c>
      <c r="DLE12" s="314" t="s">
        <v>203</v>
      </c>
      <c r="DLF12" s="314" t="s">
        <v>203</v>
      </c>
      <c r="DLG12" s="314" t="s">
        <v>203</v>
      </c>
      <c r="DLH12" s="314" t="s">
        <v>203</v>
      </c>
      <c r="DLI12" s="314" t="s">
        <v>203</v>
      </c>
      <c r="DLJ12" s="314" t="s">
        <v>203</v>
      </c>
      <c r="DLK12" s="314" t="s">
        <v>203</v>
      </c>
      <c r="DLL12" s="314" t="s">
        <v>203</v>
      </c>
      <c r="DLM12" s="314" t="s">
        <v>203</v>
      </c>
      <c r="DLN12" s="314" t="s">
        <v>203</v>
      </c>
      <c r="DLO12" s="314" t="s">
        <v>203</v>
      </c>
      <c r="DLP12" s="314" t="s">
        <v>203</v>
      </c>
      <c r="DLQ12" s="314" t="s">
        <v>203</v>
      </c>
      <c r="DLR12" s="314" t="s">
        <v>203</v>
      </c>
      <c r="DLS12" s="314" t="s">
        <v>203</v>
      </c>
      <c r="DLT12" s="314" t="s">
        <v>203</v>
      </c>
      <c r="DLU12" s="314" t="s">
        <v>203</v>
      </c>
      <c r="DLV12" s="314" t="s">
        <v>203</v>
      </c>
      <c r="DLW12" s="314" t="s">
        <v>203</v>
      </c>
      <c r="DLX12" s="314" t="s">
        <v>203</v>
      </c>
      <c r="DLY12" s="314" t="s">
        <v>203</v>
      </c>
      <c r="DLZ12" s="314" t="s">
        <v>203</v>
      </c>
      <c r="DMA12" s="314" t="s">
        <v>203</v>
      </c>
      <c r="DMB12" s="314" t="s">
        <v>203</v>
      </c>
      <c r="DMC12" s="314" t="s">
        <v>203</v>
      </c>
      <c r="DMD12" s="314" t="s">
        <v>203</v>
      </c>
      <c r="DME12" s="314" t="s">
        <v>203</v>
      </c>
      <c r="DMF12" s="314" t="s">
        <v>203</v>
      </c>
      <c r="DMG12" s="314" t="s">
        <v>203</v>
      </c>
      <c r="DMH12" s="314" t="s">
        <v>203</v>
      </c>
      <c r="DMI12" s="314" t="s">
        <v>203</v>
      </c>
      <c r="DMJ12" s="314" t="s">
        <v>203</v>
      </c>
      <c r="DMK12" s="314" t="s">
        <v>203</v>
      </c>
      <c r="DML12" s="314" t="s">
        <v>203</v>
      </c>
      <c r="DMM12" s="314" t="s">
        <v>203</v>
      </c>
      <c r="DMN12" s="314" t="s">
        <v>203</v>
      </c>
      <c r="DMO12" s="314" t="s">
        <v>203</v>
      </c>
      <c r="DMP12" s="314" t="s">
        <v>203</v>
      </c>
      <c r="DMQ12" s="314" t="s">
        <v>203</v>
      </c>
      <c r="DMR12" s="314" t="s">
        <v>203</v>
      </c>
      <c r="DMS12" s="314" t="s">
        <v>203</v>
      </c>
      <c r="DMT12" s="314" t="s">
        <v>203</v>
      </c>
      <c r="DMU12" s="314" t="s">
        <v>203</v>
      </c>
      <c r="DMV12" s="314" t="s">
        <v>203</v>
      </c>
      <c r="DMW12" s="314" t="s">
        <v>203</v>
      </c>
      <c r="DMX12" s="314" t="s">
        <v>203</v>
      </c>
      <c r="DMY12" s="314" t="s">
        <v>203</v>
      </c>
      <c r="DMZ12" s="314" t="s">
        <v>203</v>
      </c>
      <c r="DNA12" s="314" t="s">
        <v>203</v>
      </c>
      <c r="DNB12" s="314" t="s">
        <v>203</v>
      </c>
      <c r="DNC12" s="314" t="s">
        <v>203</v>
      </c>
      <c r="DND12" s="314" t="s">
        <v>203</v>
      </c>
      <c r="DNE12" s="314" t="s">
        <v>203</v>
      </c>
      <c r="DNF12" s="314" t="s">
        <v>203</v>
      </c>
      <c r="DNG12" s="314" t="s">
        <v>203</v>
      </c>
      <c r="DNH12" s="314" t="s">
        <v>203</v>
      </c>
      <c r="DNI12" s="314" t="s">
        <v>203</v>
      </c>
      <c r="DNJ12" s="314" t="s">
        <v>203</v>
      </c>
      <c r="DNK12" s="314" t="s">
        <v>203</v>
      </c>
      <c r="DNL12" s="314" t="s">
        <v>203</v>
      </c>
      <c r="DNM12" s="314" t="s">
        <v>203</v>
      </c>
      <c r="DNN12" s="314" t="s">
        <v>203</v>
      </c>
      <c r="DNO12" s="314" t="s">
        <v>203</v>
      </c>
      <c r="DNP12" s="314" t="s">
        <v>203</v>
      </c>
      <c r="DNQ12" s="314" t="s">
        <v>203</v>
      </c>
      <c r="DNR12" s="314" t="s">
        <v>203</v>
      </c>
      <c r="DNS12" s="314" t="s">
        <v>203</v>
      </c>
      <c r="DNT12" s="314" t="s">
        <v>203</v>
      </c>
      <c r="DNU12" s="314" t="s">
        <v>203</v>
      </c>
      <c r="DNV12" s="314" t="s">
        <v>203</v>
      </c>
      <c r="DNW12" s="314" t="s">
        <v>203</v>
      </c>
      <c r="DNX12" s="314" t="s">
        <v>203</v>
      </c>
      <c r="DNY12" s="314" t="s">
        <v>203</v>
      </c>
      <c r="DNZ12" s="314" t="s">
        <v>203</v>
      </c>
      <c r="DOA12" s="314" t="s">
        <v>203</v>
      </c>
      <c r="DOB12" s="314" t="s">
        <v>203</v>
      </c>
      <c r="DOC12" s="314" t="s">
        <v>203</v>
      </c>
      <c r="DOD12" s="314" t="s">
        <v>203</v>
      </c>
      <c r="DOE12" s="314" t="s">
        <v>203</v>
      </c>
      <c r="DOF12" s="314" t="s">
        <v>203</v>
      </c>
      <c r="DOG12" s="314" t="s">
        <v>203</v>
      </c>
      <c r="DOH12" s="314" t="s">
        <v>203</v>
      </c>
      <c r="DOI12" s="314" t="s">
        <v>203</v>
      </c>
      <c r="DOJ12" s="314" t="s">
        <v>203</v>
      </c>
      <c r="DOK12" s="314" t="s">
        <v>203</v>
      </c>
      <c r="DOL12" s="314" t="s">
        <v>203</v>
      </c>
      <c r="DOM12" s="314" t="s">
        <v>203</v>
      </c>
      <c r="DON12" s="314" t="s">
        <v>203</v>
      </c>
      <c r="DOO12" s="314" t="s">
        <v>203</v>
      </c>
      <c r="DOP12" s="314" t="s">
        <v>203</v>
      </c>
      <c r="DOQ12" s="314" t="s">
        <v>203</v>
      </c>
      <c r="DOR12" s="314" t="s">
        <v>203</v>
      </c>
      <c r="DOS12" s="314" t="s">
        <v>203</v>
      </c>
      <c r="DOT12" s="314" t="s">
        <v>203</v>
      </c>
      <c r="DOU12" s="314" t="s">
        <v>203</v>
      </c>
      <c r="DOV12" s="314" t="s">
        <v>203</v>
      </c>
      <c r="DOW12" s="314" t="s">
        <v>203</v>
      </c>
      <c r="DOX12" s="314" t="s">
        <v>203</v>
      </c>
      <c r="DOY12" s="314" t="s">
        <v>203</v>
      </c>
      <c r="DOZ12" s="314" t="s">
        <v>203</v>
      </c>
      <c r="DPA12" s="314" t="s">
        <v>203</v>
      </c>
      <c r="DPB12" s="314" t="s">
        <v>203</v>
      </c>
      <c r="DPC12" s="314" t="s">
        <v>203</v>
      </c>
      <c r="DPD12" s="314" t="s">
        <v>203</v>
      </c>
      <c r="DPE12" s="314" t="s">
        <v>203</v>
      </c>
      <c r="DPF12" s="314" t="s">
        <v>203</v>
      </c>
      <c r="DPG12" s="314" t="s">
        <v>203</v>
      </c>
      <c r="DPH12" s="314" t="s">
        <v>203</v>
      </c>
      <c r="DPI12" s="314" t="s">
        <v>203</v>
      </c>
      <c r="DPJ12" s="314" t="s">
        <v>203</v>
      </c>
      <c r="DPK12" s="314" t="s">
        <v>203</v>
      </c>
      <c r="DPL12" s="314" t="s">
        <v>203</v>
      </c>
      <c r="DPM12" s="314" t="s">
        <v>203</v>
      </c>
      <c r="DPN12" s="314" t="s">
        <v>203</v>
      </c>
      <c r="DPO12" s="314" t="s">
        <v>203</v>
      </c>
      <c r="DPP12" s="314" t="s">
        <v>203</v>
      </c>
      <c r="DPQ12" s="314" t="s">
        <v>203</v>
      </c>
      <c r="DPR12" s="314" t="s">
        <v>203</v>
      </c>
      <c r="DPS12" s="314" t="s">
        <v>203</v>
      </c>
      <c r="DPT12" s="314" t="s">
        <v>203</v>
      </c>
      <c r="DPU12" s="314" t="s">
        <v>203</v>
      </c>
      <c r="DPV12" s="314" t="s">
        <v>203</v>
      </c>
      <c r="DPW12" s="314" t="s">
        <v>203</v>
      </c>
      <c r="DPX12" s="314" t="s">
        <v>203</v>
      </c>
      <c r="DPY12" s="314" t="s">
        <v>203</v>
      </c>
      <c r="DPZ12" s="314" t="s">
        <v>203</v>
      </c>
      <c r="DQA12" s="314" t="s">
        <v>203</v>
      </c>
      <c r="DQB12" s="314" t="s">
        <v>203</v>
      </c>
      <c r="DQC12" s="314" t="s">
        <v>203</v>
      </c>
      <c r="DQD12" s="314" t="s">
        <v>203</v>
      </c>
      <c r="DQE12" s="314" t="s">
        <v>203</v>
      </c>
      <c r="DQF12" s="314" t="s">
        <v>203</v>
      </c>
      <c r="DQG12" s="314" t="s">
        <v>203</v>
      </c>
      <c r="DQH12" s="314" t="s">
        <v>203</v>
      </c>
      <c r="DQI12" s="314" t="s">
        <v>203</v>
      </c>
      <c r="DQJ12" s="314" t="s">
        <v>203</v>
      </c>
      <c r="DQK12" s="314" t="s">
        <v>203</v>
      </c>
      <c r="DQL12" s="314" t="s">
        <v>203</v>
      </c>
      <c r="DQM12" s="314" t="s">
        <v>203</v>
      </c>
      <c r="DQN12" s="314" t="s">
        <v>203</v>
      </c>
      <c r="DQO12" s="314" t="s">
        <v>203</v>
      </c>
      <c r="DQP12" s="314" t="s">
        <v>203</v>
      </c>
      <c r="DQQ12" s="314" t="s">
        <v>203</v>
      </c>
      <c r="DQR12" s="314" t="s">
        <v>203</v>
      </c>
      <c r="DQS12" s="314" t="s">
        <v>203</v>
      </c>
      <c r="DQT12" s="314" t="s">
        <v>203</v>
      </c>
      <c r="DQU12" s="314" t="s">
        <v>203</v>
      </c>
      <c r="DQV12" s="314" t="s">
        <v>203</v>
      </c>
      <c r="DQW12" s="314" t="s">
        <v>203</v>
      </c>
      <c r="DQX12" s="314" t="s">
        <v>203</v>
      </c>
      <c r="DQY12" s="314" t="s">
        <v>203</v>
      </c>
      <c r="DQZ12" s="314" t="s">
        <v>203</v>
      </c>
      <c r="DRA12" s="314" t="s">
        <v>203</v>
      </c>
      <c r="DRB12" s="314" t="s">
        <v>203</v>
      </c>
      <c r="DRC12" s="314" t="s">
        <v>203</v>
      </c>
      <c r="DRD12" s="314" t="s">
        <v>203</v>
      </c>
      <c r="DRE12" s="314" t="s">
        <v>203</v>
      </c>
      <c r="DRF12" s="314" t="s">
        <v>203</v>
      </c>
      <c r="DRG12" s="314" t="s">
        <v>203</v>
      </c>
      <c r="DRH12" s="314" t="s">
        <v>203</v>
      </c>
      <c r="DRI12" s="314" t="s">
        <v>203</v>
      </c>
      <c r="DRJ12" s="314" t="s">
        <v>203</v>
      </c>
      <c r="DRK12" s="314" t="s">
        <v>203</v>
      </c>
      <c r="DRL12" s="314" t="s">
        <v>203</v>
      </c>
      <c r="DRM12" s="314" t="s">
        <v>203</v>
      </c>
      <c r="DRN12" s="314" t="s">
        <v>203</v>
      </c>
      <c r="DRO12" s="314" t="s">
        <v>203</v>
      </c>
      <c r="DRP12" s="314" t="s">
        <v>203</v>
      </c>
      <c r="DRQ12" s="314" t="s">
        <v>203</v>
      </c>
      <c r="DRR12" s="314" t="s">
        <v>203</v>
      </c>
      <c r="DRS12" s="314" t="s">
        <v>203</v>
      </c>
      <c r="DRT12" s="314" t="s">
        <v>203</v>
      </c>
      <c r="DRU12" s="314" t="s">
        <v>203</v>
      </c>
      <c r="DRV12" s="314" t="s">
        <v>203</v>
      </c>
      <c r="DRW12" s="314" t="s">
        <v>203</v>
      </c>
      <c r="DRX12" s="314" t="s">
        <v>203</v>
      </c>
      <c r="DRY12" s="314" t="s">
        <v>203</v>
      </c>
      <c r="DRZ12" s="314" t="s">
        <v>203</v>
      </c>
      <c r="DSA12" s="314" t="s">
        <v>203</v>
      </c>
      <c r="DSB12" s="314" t="s">
        <v>203</v>
      </c>
      <c r="DSC12" s="314" t="s">
        <v>203</v>
      </c>
      <c r="DSD12" s="314" t="s">
        <v>203</v>
      </c>
      <c r="DSE12" s="314" t="s">
        <v>203</v>
      </c>
      <c r="DSF12" s="314" t="s">
        <v>203</v>
      </c>
      <c r="DSG12" s="314" t="s">
        <v>203</v>
      </c>
      <c r="DSH12" s="314" t="s">
        <v>203</v>
      </c>
      <c r="DSI12" s="314" t="s">
        <v>203</v>
      </c>
      <c r="DSJ12" s="314" t="s">
        <v>203</v>
      </c>
      <c r="DSK12" s="314" t="s">
        <v>203</v>
      </c>
      <c r="DSL12" s="314" t="s">
        <v>203</v>
      </c>
      <c r="DSM12" s="314" t="s">
        <v>203</v>
      </c>
      <c r="DSN12" s="314" t="s">
        <v>203</v>
      </c>
      <c r="DSO12" s="314" t="s">
        <v>203</v>
      </c>
      <c r="DSP12" s="314" t="s">
        <v>203</v>
      </c>
      <c r="DSQ12" s="314" t="s">
        <v>203</v>
      </c>
      <c r="DSR12" s="314" t="s">
        <v>203</v>
      </c>
      <c r="DSS12" s="314" t="s">
        <v>203</v>
      </c>
      <c r="DST12" s="314" t="s">
        <v>203</v>
      </c>
      <c r="DSU12" s="314" t="s">
        <v>203</v>
      </c>
      <c r="DSV12" s="314" t="s">
        <v>203</v>
      </c>
      <c r="DSW12" s="314" t="s">
        <v>203</v>
      </c>
      <c r="DSX12" s="314" t="s">
        <v>203</v>
      </c>
      <c r="DSY12" s="314" t="s">
        <v>203</v>
      </c>
      <c r="DSZ12" s="314" t="s">
        <v>203</v>
      </c>
      <c r="DTA12" s="314" t="s">
        <v>203</v>
      </c>
      <c r="DTB12" s="314" t="s">
        <v>203</v>
      </c>
      <c r="DTC12" s="314" t="s">
        <v>203</v>
      </c>
      <c r="DTD12" s="314" t="s">
        <v>203</v>
      </c>
      <c r="DTE12" s="314" t="s">
        <v>203</v>
      </c>
      <c r="DTF12" s="314" t="s">
        <v>203</v>
      </c>
      <c r="DTG12" s="314" t="s">
        <v>203</v>
      </c>
      <c r="DTH12" s="314" t="s">
        <v>203</v>
      </c>
      <c r="DTI12" s="314" t="s">
        <v>203</v>
      </c>
      <c r="DTJ12" s="314" t="s">
        <v>203</v>
      </c>
      <c r="DTK12" s="314" t="s">
        <v>203</v>
      </c>
      <c r="DTL12" s="314" t="s">
        <v>203</v>
      </c>
      <c r="DTM12" s="314" t="s">
        <v>203</v>
      </c>
      <c r="DTN12" s="314" t="s">
        <v>203</v>
      </c>
      <c r="DTO12" s="314" t="s">
        <v>203</v>
      </c>
      <c r="DTP12" s="314" t="s">
        <v>203</v>
      </c>
      <c r="DTQ12" s="314" t="s">
        <v>203</v>
      </c>
      <c r="DTR12" s="314" t="s">
        <v>203</v>
      </c>
      <c r="DTS12" s="314" t="s">
        <v>203</v>
      </c>
      <c r="DTT12" s="314" t="s">
        <v>203</v>
      </c>
      <c r="DTU12" s="314" t="s">
        <v>203</v>
      </c>
      <c r="DTV12" s="314" t="s">
        <v>203</v>
      </c>
      <c r="DTW12" s="314" t="s">
        <v>203</v>
      </c>
      <c r="DTX12" s="314" t="s">
        <v>203</v>
      </c>
      <c r="DTY12" s="314" t="s">
        <v>203</v>
      </c>
      <c r="DTZ12" s="314" t="s">
        <v>203</v>
      </c>
      <c r="DUA12" s="314" t="s">
        <v>203</v>
      </c>
      <c r="DUB12" s="314" t="s">
        <v>203</v>
      </c>
      <c r="DUC12" s="314" t="s">
        <v>203</v>
      </c>
      <c r="DUD12" s="314" t="s">
        <v>203</v>
      </c>
      <c r="DUE12" s="314" t="s">
        <v>203</v>
      </c>
      <c r="DUF12" s="314" t="s">
        <v>203</v>
      </c>
      <c r="DUG12" s="314" t="s">
        <v>203</v>
      </c>
      <c r="DUH12" s="314" t="s">
        <v>203</v>
      </c>
      <c r="DUI12" s="314" t="s">
        <v>203</v>
      </c>
      <c r="DUJ12" s="314" t="s">
        <v>203</v>
      </c>
      <c r="DUK12" s="314" t="s">
        <v>203</v>
      </c>
      <c r="DUL12" s="314" t="s">
        <v>203</v>
      </c>
      <c r="DUM12" s="314" t="s">
        <v>203</v>
      </c>
      <c r="DUN12" s="314" t="s">
        <v>203</v>
      </c>
      <c r="DUO12" s="314" t="s">
        <v>203</v>
      </c>
      <c r="DUP12" s="314" t="s">
        <v>203</v>
      </c>
      <c r="DUQ12" s="314" t="s">
        <v>203</v>
      </c>
      <c r="DUR12" s="314" t="s">
        <v>203</v>
      </c>
      <c r="DUS12" s="314" t="s">
        <v>203</v>
      </c>
      <c r="DUT12" s="314" t="s">
        <v>203</v>
      </c>
      <c r="DUU12" s="314" t="s">
        <v>203</v>
      </c>
      <c r="DUV12" s="314" t="s">
        <v>203</v>
      </c>
      <c r="DUW12" s="314" t="s">
        <v>203</v>
      </c>
      <c r="DUX12" s="314" t="s">
        <v>203</v>
      </c>
      <c r="DUY12" s="314" t="s">
        <v>203</v>
      </c>
      <c r="DUZ12" s="314" t="s">
        <v>203</v>
      </c>
      <c r="DVA12" s="314" t="s">
        <v>203</v>
      </c>
      <c r="DVB12" s="314" t="s">
        <v>203</v>
      </c>
      <c r="DVC12" s="314" t="s">
        <v>203</v>
      </c>
      <c r="DVD12" s="314" t="s">
        <v>203</v>
      </c>
      <c r="DVE12" s="314" t="s">
        <v>203</v>
      </c>
      <c r="DVF12" s="314" t="s">
        <v>203</v>
      </c>
      <c r="DVG12" s="314" t="s">
        <v>203</v>
      </c>
      <c r="DVH12" s="314" t="s">
        <v>203</v>
      </c>
      <c r="DVI12" s="314" t="s">
        <v>203</v>
      </c>
      <c r="DVJ12" s="314" t="s">
        <v>203</v>
      </c>
      <c r="DVK12" s="314" t="s">
        <v>203</v>
      </c>
      <c r="DVL12" s="314" t="s">
        <v>203</v>
      </c>
      <c r="DVM12" s="314" t="s">
        <v>203</v>
      </c>
      <c r="DVN12" s="314" t="s">
        <v>203</v>
      </c>
      <c r="DVO12" s="314" t="s">
        <v>203</v>
      </c>
      <c r="DVP12" s="314" t="s">
        <v>203</v>
      </c>
      <c r="DVQ12" s="314" t="s">
        <v>203</v>
      </c>
      <c r="DVR12" s="314" t="s">
        <v>203</v>
      </c>
      <c r="DVS12" s="314" t="s">
        <v>203</v>
      </c>
      <c r="DVT12" s="314" t="s">
        <v>203</v>
      </c>
      <c r="DVU12" s="314" t="s">
        <v>203</v>
      </c>
      <c r="DVV12" s="314" t="s">
        <v>203</v>
      </c>
      <c r="DVW12" s="314" t="s">
        <v>203</v>
      </c>
      <c r="DVX12" s="314" t="s">
        <v>203</v>
      </c>
      <c r="DVY12" s="314" t="s">
        <v>203</v>
      </c>
      <c r="DVZ12" s="314" t="s">
        <v>203</v>
      </c>
      <c r="DWA12" s="314" t="s">
        <v>203</v>
      </c>
      <c r="DWB12" s="314" t="s">
        <v>203</v>
      </c>
      <c r="DWC12" s="314" t="s">
        <v>203</v>
      </c>
      <c r="DWD12" s="314" t="s">
        <v>203</v>
      </c>
      <c r="DWE12" s="314" t="s">
        <v>203</v>
      </c>
      <c r="DWF12" s="314" t="s">
        <v>203</v>
      </c>
      <c r="DWG12" s="314" t="s">
        <v>203</v>
      </c>
      <c r="DWH12" s="314" t="s">
        <v>203</v>
      </c>
      <c r="DWI12" s="314" t="s">
        <v>203</v>
      </c>
      <c r="DWJ12" s="314" t="s">
        <v>203</v>
      </c>
      <c r="DWK12" s="314" t="s">
        <v>203</v>
      </c>
      <c r="DWL12" s="314" t="s">
        <v>203</v>
      </c>
      <c r="DWM12" s="314" t="s">
        <v>203</v>
      </c>
      <c r="DWN12" s="314" t="s">
        <v>203</v>
      </c>
      <c r="DWO12" s="314" t="s">
        <v>203</v>
      </c>
      <c r="DWP12" s="314" t="s">
        <v>203</v>
      </c>
      <c r="DWQ12" s="314" t="s">
        <v>203</v>
      </c>
      <c r="DWR12" s="314" t="s">
        <v>203</v>
      </c>
      <c r="DWS12" s="314" t="s">
        <v>203</v>
      </c>
      <c r="DWT12" s="314" t="s">
        <v>203</v>
      </c>
      <c r="DWU12" s="314" t="s">
        <v>203</v>
      </c>
      <c r="DWV12" s="314" t="s">
        <v>203</v>
      </c>
      <c r="DWW12" s="314" t="s">
        <v>203</v>
      </c>
      <c r="DWX12" s="314" t="s">
        <v>203</v>
      </c>
      <c r="DWY12" s="314" t="s">
        <v>203</v>
      </c>
      <c r="DWZ12" s="314" t="s">
        <v>203</v>
      </c>
      <c r="DXA12" s="314" t="s">
        <v>203</v>
      </c>
      <c r="DXB12" s="314" t="s">
        <v>203</v>
      </c>
      <c r="DXC12" s="314" t="s">
        <v>203</v>
      </c>
      <c r="DXD12" s="314" t="s">
        <v>203</v>
      </c>
      <c r="DXE12" s="314" t="s">
        <v>203</v>
      </c>
      <c r="DXF12" s="314" t="s">
        <v>203</v>
      </c>
      <c r="DXG12" s="314" t="s">
        <v>203</v>
      </c>
      <c r="DXH12" s="314" t="s">
        <v>203</v>
      </c>
      <c r="DXI12" s="314" t="s">
        <v>203</v>
      </c>
      <c r="DXJ12" s="314" t="s">
        <v>203</v>
      </c>
      <c r="DXK12" s="314" t="s">
        <v>203</v>
      </c>
      <c r="DXL12" s="314" t="s">
        <v>203</v>
      </c>
      <c r="DXM12" s="314" t="s">
        <v>203</v>
      </c>
      <c r="DXN12" s="314" t="s">
        <v>203</v>
      </c>
      <c r="DXO12" s="314" t="s">
        <v>203</v>
      </c>
      <c r="DXP12" s="314" t="s">
        <v>203</v>
      </c>
      <c r="DXQ12" s="314" t="s">
        <v>203</v>
      </c>
      <c r="DXR12" s="314" t="s">
        <v>203</v>
      </c>
      <c r="DXS12" s="314" t="s">
        <v>203</v>
      </c>
      <c r="DXT12" s="314" t="s">
        <v>203</v>
      </c>
      <c r="DXU12" s="314" t="s">
        <v>203</v>
      </c>
      <c r="DXV12" s="314" t="s">
        <v>203</v>
      </c>
      <c r="DXW12" s="314" t="s">
        <v>203</v>
      </c>
      <c r="DXX12" s="314" t="s">
        <v>203</v>
      </c>
      <c r="DXY12" s="314" t="s">
        <v>203</v>
      </c>
      <c r="DXZ12" s="314" t="s">
        <v>203</v>
      </c>
      <c r="DYA12" s="314" t="s">
        <v>203</v>
      </c>
      <c r="DYB12" s="314" t="s">
        <v>203</v>
      </c>
      <c r="DYC12" s="314" t="s">
        <v>203</v>
      </c>
      <c r="DYD12" s="314" t="s">
        <v>203</v>
      </c>
      <c r="DYE12" s="314" t="s">
        <v>203</v>
      </c>
      <c r="DYF12" s="314" t="s">
        <v>203</v>
      </c>
      <c r="DYG12" s="314" t="s">
        <v>203</v>
      </c>
      <c r="DYH12" s="314" t="s">
        <v>203</v>
      </c>
      <c r="DYI12" s="314" t="s">
        <v>203</v>
      </c>
      <c r="DYJ12" s="314" t="s">
        <v>203</v>
      </c>
      <c r="DYK12" s="314" t="s">
        <v>203</v>
      </c>
      <c r="DYL12" s="314" t="s">
        <v>203</v>
      </c>
      <c r="DYM12" s="314" t="s">
        <v>203</v>
      </c>
      <c r="DYN12" s="314" t="s">
        <v>203</v>
      </c>
      <c r="DYO12" s="314" t="s">
        <v>203</v>
      </c>
      <c r="DYP12" s="314" t="s">
        <v>203</v>
      </c>
      <c r="DYQ12" s="314" t="s">
        <v>203</v>
      </c>
      <c r="DYR12" s="314" t="s">
        <v>203</v>
      </c>
      <c r="DYS12" s="314" t="s">
        <v>203</v>
      </c>
      <c r="DYT12" s="314" t="s">
        <v>203</v>
      </c>
      <c r="DYU12" s="314" t="s">
        <v>203</v>
      </c>
      <c r="DYV12" s="314" t="s">
        <v>203</v>
      </c>
      <c r="DYW12" s="314" t="s">
        <v>203</v>
      </c>
      <c r="DYX12" s="314" t="s">
        <v>203</v>
      </c>
      <c r="DYY12" s="314" t="s">
        <v>203</v>
      </c>
      <c r="DYZ12" s="314" t="s">
        <v>203</v>
      </c>
      <c r="DZA12" s="314" t="s">
        <v>203</v>
      </c>
      <c r="DZB12" s="314" t="s">
        <v>203</v>
      </c>
      <c r="DZC12" s="314" t="s">
        <v>203</v>
      </c>
      <c r="DZD12" s="314" t="s">
        <v>203</v>
      </c>
      <c r="DZE12" s="314" t="s">
        <v>203</v>
      </c>
      <c r="DZF12" s="314" t="s">
        <v>203</v>
      </c>
      <c r="DZG12" s="314" t="s">
        <v>203</v>
      </c>
      <c r="DZH12" s="314" t="s">
        <v>203</v>
      </c>
      <c r="DZI12" s="314" t="s">
        <v>203</v>
      </c>
      <c r="DZJ12" s="314" t="s">
        <v>203</v>
      </c>
      <c r="DZK12" s="314" t="s">
        <v>203</v>
      </c>
      <c r="DZL12" s="314" t="s">
        <v>203</v>
      </c>
      <c r="DZM12" s="314" t="s">
        <v>203</v>
      </c>
      <c r="DZN12" s="314" t="s">
        <v>203</v>
      </c>
      <c r="DZO12" s="314" t="s">
        <v>203</v>
      </c>
      <c r="DZP12" s="314" t="s">
        <v>203</v>
      </c>
      <c r="DZQ12" s="314" t="s">
        <v>203</v>
      </c>
      <c r="DZR12" s="314" t="s">
        <v>203</v>
      </c>
      <c r="DZS12" s="314" t="s">
        <v>203</v>
      </c>
      <c r="DZT12" s="314" t="s">
        <v>203</v>
      </c>
      <c r="DZU12" s="314" t="s">
        <v>203</v>
      </c>
      <c r="DZV12" s="314" t="s">
        <v>203</v>
      </c>
      <c r="DZW12" s="314" t="s">
        <v>203</v>
      </c>
      <c r="DZX12" s="314" t="s">
        <v>203</v>
      </c>
      <c r="DZY12" s="314" t="s">
        <v>203</v>
      </c>
      <c r="DZZ12" s="314" t="s">
        <v>203</v>
      </c>
      <c r="EAA12" s="314" t="s">
        <v>203</v>
      </c>
      <c r="EAB12" s="314" t="s">
        <v>203</v>
      </c>
      <c r="EAC12" s="314" t="s">
        <v>203</v>
      </c>
      <c r="EAD12" s="314" t="s">
        <v>203</v>
      </c>
      <c r="EAE12" s="314" t="s">
        <v>203</v>
      </c>
      <c r="EAF12" s="314" t="s">
        <v>203</v>
      </c>
      <c r="EAG12" s="314" t="s">
        <v>203</v>
      </c>
      <c r="EAH12" s="314" t="s">
        <v>203</v>
      </c>
      <c r="EAI12" s="314" t="s">
        <v>203</v>
      </c>
      <c r="EAJ12" s="314" t="s">
        <v>203</v>
      </c>
      <c r="EAK12" s="314" t="s">
        <v>203</v>
      </c>
      <c r="EAL12" s="314" t="s">
        <v>203</v>
      </c>
      <c r="EAM12" s="314" t="s">
        <v>203</v>
      </c>
      <c r="EAN12" s="314" t="s">
        <v>203</v>
      </c>
      <c r="EAO12" s="314" t="s">
        <v>203</v>
      </c>
      <c r="EAP12" s="314" t="s">
        <v>203</v>
      </c>
      <c r="EAQ12" s="314" t="s">
        <v>203</v>
      </c>
      <c r="EAR12" s="314" t="s">
        <v>203</v>
      </c>
      <c r="EAS12" s="314" t="s">
        <v>203</v>
      </c>
      <c r="EAT12" s="314" t="s">
        <v>203</v>
      </c>
      <c r="EAU12" s="314" t="s">
        <v>203</v>
      </c>
      <c r="EAV12" s="314" t="s">
        <v>203</v>
      </c>
      <c r="EAW12" s="314" t="s">
        <v>203</v>
      </c>
      <c r="EAX12" s="314" t="s">
        <v>203</v>
      </c>
      <c r="EAY12" s="314" t="s">
        <v>203</v>
      </c>
      <c r="EAZ12" s="314" t="s">
        <v>203</v>
      </c>
      <c r="EBA12" s="314" t="s">
        <v>203</v>
      </c>
      <c r="EBB12" s="314" t="s">
        <v>203</v>
      </c>
      <c r="EBC12" s="314" t="s">
        <v>203</v>
      </c>
      <c r="EBD12" s="314" t="s">
        <v>203</v>
      </c>
      <c r="EBE12" s="314" t="s">
        <v>203</v>
      </c>
      <c r="EBF12" s="314" t="s">
        <v>203</v>
      </c>
      <c r="EBG12" s="314" t="s">
        <v>203</v>
      </c>
      <c r="EBH12" s="314" t="s">
        <v>203</v>
      </c>
      <c r="EBI12" s="314" t="s">
        <v>203</v>
      </c>
      <c r="EBJ12" s="314" t="s">
        <v>203</v>
      </c>
      <c r="EBK12" s="314" t="s">
        <v>203</v>
      </c>
      <c r="EBL12" s="314" t="s">
        <v>203</v>
      </c>
      <c r="EBM12" s="314" t="s">
        <v>203</v>
      </c>
      <c r="EBN12" s="314" t="s">
        <v>203</v>
      </c>
      <c r="EBO12" s="314" t="s">
        <v>203</v>
      </c>
      <c r="EBP12" s="314" t="s">
        <v>203</v>
      </c>
      <c r="EBQ12" s="314" t="s">
        <v>203</v>
      </c>
      <c r="EBR12" s="314" t="s">
        <v>203</v>
      </c>
      <c r="EBS12" s="314" t="s">
        <v>203</v>
      </c>
      <c r="EBT12" s="314" t="s">
        <v>203</v>
      </c>
      <c r="EBU12" s="314" t="s">
        <v>203</v>
      </c>
      <c r="EBV12" s="314" t="s">
        <v>203</v>
      </c>
      <c r="EBW12" s="314" t="s">
        <v>203</v>
      </c>
      <c r="EBX12" s="314" t="s">
        <v>203</v>
      </c>
      <c r="EBY12" s="314" t="s">
        <v>203</v>
      </c>
      <c r="EBZ12" s="314" t="s">
        <v>203</v>
      </c>
      <c r="ECA12" s="314" t="s">
        <v>203</v>
      </c>
      <c r="ECB12" s="314" t="s">
        <v>203</v>
      </c>
      <c r="ECC12" s="314" t="s">
        <v>203</v>
      </c>
      <c r="ECD12" s="314" t="s">
        <v>203</v>
      </c>
      <c r="ECE12" s="314" t="s">
        <v>203</v>
      </c>
      <c r="ECF12" s="314" t="s">
        <v>203</v>
      </c>
      <c r="ECG12" s="314" t="s">
        <v>203</v>
      </c>
      <c r="ECH12" s="314" t="s">
        <v>203</v>
      </c>
      <c r="ECI12" s="314" t="s">
        <v>203</v>
      </c>
      <c r="ECJ12" s="314" t="s">
        <v>203</v>
      </c>
      <c r="ECK12" s="314" t="s">
        <v>203</v>
      </c>
      <c r="ECL12" s="314" t="s">
        <v>203</v>
      </c>
      <c r="ECM12" s="314" t="s">
        <v>203</v>
      </c>
      <c r="ECN12" s="314" t="s">
        <v>203</v>
      </c>
      <c r="ECO12" s="314" t="s">
        <v>203</v>
      </c>
      <c r="ECP12" s="314" t="s">
        <v>203</v>
      </c>
      <c r="ECQ12" s="314" t="s">
        <v>203</v>
      </c>
      <c r="ECR12" s="314" t="s">
        <v>203</v>
      </c>
      <c r="ECS12" s="314" t="s">
        <v>203</v>
      </c>
      <c r="ECT12" s="314" t="s">
        <v>203</v>
      </c>
      <c r="ECU12" s="314" t="s">
        <v>203</v>
      </c>
      <c r="ECV12" s="314" t="s">
        <v>203</v>
      </c>
      <c r="ECW12" s="314" t="s">
        <v>203</v>
      </c>
      <c r="ECX12" s="314" t="s">
        <v>203</v>
      </c>
      <c r="ECY12" s="314" t="s">
        <v>203</v>
      </c>
      <c r="ECZ12" s="314" t="s">
        <v>203</v>
      </c>
      <c r="EDA12" s="314" t="s">
        <v>203</v>
      </c>
      <c r="EDB12" s="314" t="s">
        <v>203</v>
      </c>
      <c r="EDC12" s="314" t="s">
        <v>203</v>
      </c>
      <c r="EDD12" s="314" t="s">
        <v>203</v>
      </c>
      <c r="EDE12" s="314" t="s">
        <v>203</v>
      </c>
      <c r="EDF12" s="314" t="s">
        <v>203</v>
      </c>
      <c r="EDG12" s="314" t="s">
        <v>203</v>
      </c>
      <c r="EDH12" s="314" t="s">
        <v>203</v>
      </c>
      <c r="EDI12" s="314" t="s">
        <v>203</v>
      </c>
      <c r="EDJ12" s="314" t="s">
        <v>203</v>
      </c>
      <c r="EDK12" s="314" t="s">
        <v>203</v>
      </c>
      <c r="EDL12" s="314" t="s">
        <v>203</v>
      </c>
      <c r="EDM12" s="314" t="s">
        <v>203</v>
      </c>
      <c r="EDN12" s="314" t="s">
        <v>203</v>
      </c>
      <c r="EDO12" s="314" t="s">
        <v>203</v>
      </c>
      <c r="EDP12" s="314" t="s">
        <v>203</v>
      </c>
      <c r="EDQ12" s="314" t="s">
        <v>203</v>
      </c>
      <c r="EDR12" s="314" t="s">
        <v>203</v>
      </c>
      <c r="EDS12" s="314" t="s">
        <v>203</v>
      </c>
      <c r="EDT12" s="314" t="s">
        <v>203</v>
      </c>
      <c r="EDU12" s="314" t="s">
        <v>203</v>
      </c>
      <c r="EDV12" s="314" t="s">
        <v>203</v>
      </c>
      <c r="EDW12" s="314" t="s">
        <v>203</v>
      </c>
      <c r="EDX12" s="314" t="s">
        <v>203</v>
      </c>
      <c r="EDY12" s="314" t="s">
        <v>203</v>
      </c>
      <c r="EDZ12" s="314" t="s">
        <v>203</v>
      </c>
      <c r="EEA12" s="314" t="s">
        <v>203</v>
      </c>
      <c r="EEB12" s="314" t="s">
        <v>203</v>
      </c>
      <c r="EEC12" s="314" t="s">
        <v>203</v>
      </c>
      <c r="EED12" s="314" t="s">
        <v>203</v>
      </c>
      <c r="EEE12" s="314" t="s">
        <v>203</v>
      </c>
      <c r="EEF12" s="314" t="s">
        <v>203</v>
      </c>
      <c r="EEG12" s="314" t="s">
        <v>203</v>
      </c>
      <c r="EEH12" s="314" t="s">
        <v>203</v>
      </c>
      <c r="EEI12" s="314" t="s">
        <v>203</v>
      </c>
      <c r="EEJ12" s="314" t="s">
        <v>203</v>
      </c>
      <c r="EEK12" s="314" t="s">
        <v>203</v>
      </c>
      <c r="EEL12" s="314" t="s">
        <v>203</v>
      </c>
      <c r="EEM12" s="314" t="s">
        <v>203</v>
      </c>
      <c r="EEN12" s="314" t="s">
        <v>203</v>
      </c>
      <c r="EEO12" s="314" t="s">
        <v>203</v>
      </c>
      <c r="EEP12" s="314" t="s">
        <v>203</v>
      </c>
      <c r="EEQ12" s="314" t="s">
        <v>203</v>
      </c>
      <c r="EER12" s="314" t="s">
        <v>203</v>
      </c>
      <c r="EES12" s="314" t="s">
        <v>203</v>
      </c>
      <c r="EET12" s="314" t="s">
        <v>203</v>
      </c>
      <c r="EEU12" s="314" t="s">
        <v>203</v>
      </c>
      <c r="EEV12" s="314" t="s">
        <v>203</v>
      </c>
      <c r="EEW12" s="314" t="s">
        <v>203</v>
      </c>
      <c r="EEX12" s="314" t="s">
        <v>203</v>
      </c>
      <c r="EEY12" s="314" t="s">
        <v>203</v>
      </c>
      <c r="EEZ12" s="314" t="s">
        <v>203</v>
      </c>
      <c r="EFA12" s="314" t="s">
        <v>203</v>
      </c>
      <c r="EFB12" s="314" t="s">
        <v>203</v>
      </c>
      <c r="EFC12" s="314" t="s">
        <v>203</v>
      </c>
      <c r="EFD12" s="314" t="s">
        <v>203</v>
      </c>
      <c r="EFE12" s="314" t="s">
        <v>203</v>
      </c>
      <c r="EFF12" s="314" t="s">
        <v>203</v>
      </c>
      <c r="EFG12" s="314" t="s">
        <v>203</v>
      </c>
      <c r="EFH12" s="314" t="s">
        <v>203</v>
      </c>
      <c r="EFI12" s="314" t="s">
        <v>203</v>
      </c>
      <c r="EFJ12" s="314" t="s">
        <v>203</v>
      </c>
      <c r="EFK12" s="314" t="s">
        <v>203</v>
      </c>
      <c r="EFL12" s="314" t="s">
        <v>203</v>
      </c>
      <c r="EFM12" s="314" t="s">
        <v>203</v>
      </c>
      <c r="EFN12" s="314" t="s">
        <v>203</v>
      </c>
      <c r="EFO12" s="314" t="s">
        <v>203</v>
      </c>
      <c r="EFP12" s="314" t="s">
        <v>203</v>
      </c>
      <c r="EFQ12" s="314" t="s">
        <v>203</v>
      </c>
      <c r="EFR12" s="314" t="s">
        <v>203</v>
      </c>
      <c r="EFS12" s="314" t="s">
        <v>203</v>
      </c>
      <c r="EFT12" s="314" t="s">
        <v>203</v>
      </c>
      <c r="EFU12" s="314" t="s">
        <v>203</v>
      </c>
      <c r="EFV12" s="314" t="s">
        <v>203</v>
      </c>
      <c r="EFW12" s="314" t="s">
        <v>203</v>
      </c>
      <c r="EFX12" s="314" t="s">
        <v>203</v>
      </c>
      <c r="EFY12" s="314" t="s">
        <v>203</v>
      </c>
      <c r="EFZ12" s="314" t="s">
        <v>203</v>
      </c>
      <c r="EGA12" s="314" t="s">
        <v>203</v>
      </c>
      <c r="EGB12" s="314" t="s">
        <v>203</v>
      </c>
      <c r="EGC12" s="314" t="s">
        <v>203</v>
      </c>
      <c r="EGD12" s="314" t="s">
        <v>203</v>
      </c>
      <c r="EGE12" s="314" t="s">
        <v>203</v>
      </c>
      <c r="EGF12" s="314" t="s">
        <v>203</v>
      </c>
      <c r="EGG12" s="314" t="s">
        <v>203</v>
      </c>
      <c r="EGH12" s="314" t="s">
        <v>203</v>
      </c>
      <c r="EGI12" s="314" t="s">
        <v>203</v>
      </c>
      <c r="EGJ12" s="314" t="s">
        <v>203</v>
      </c>
      <c r="EGK12" s="314" t="s">
        <v>203</v>
      </c>
      <c r="EGL12" s="314" t="s">
        <v>203</v>
      </c>
      <c r="EGM12" s="314" t="s">
        <v>203</v>
      </c>
      <c r="EGN12" s="314" t="s">
        <v>203</v>
      </c>
      <c r="EGO12" s="314" t="s">
        <v>203</v>
      </c>
      <c r="EGP12" s="314" t="s">
        <v>203</v>
      </c>
      <c r="EGQ12" s="314" t="s">
        <v>203</v>
      </c>
      <c r="EGR12" s="314" t="s">
        <v>203</v>
      </c>
      <c r="EGS12" s="314" t="s">
        <v>203</v>
      </c>
      <c r="EGT12" s="314" t="s">
        <v>203</v>
      </c>
      <c r="EGU12" s="314" t="s">
        <v>203</v>
      </c>
      <c r="EGV12" s="314" t="s">
        <v>203</v>
      </c>
      <c r="EGW12" s="314" t="s">
        <v>203</v>
      </c>
      <c r="EGX12" s="314" t="s">
        <v>203</v>
      </c>
      <c r="EGY12" s="314" t="s">
        <v>203</v>
      </c>
      <c r="EGZ12" s="314" t="s">
        <v>203</v>
      </c>
      <c r="EHA12" s="314" t="s">
        <v>203</v>
      </c>
      <c r="EHB12" s="314" t="s">
        <v>203</v>
      </c>
      <c r="EHC12" s="314" t="s">
        <v>203</v>
      </c>
      <c r="EHD12" s="314" t="s">
        <v>203</v>
      </c>
      <c r="EHE12" s="314" t="s">
        <v>203</v>
      </c>
      <c r="EHF12" s="314" t="s">
        <v>203</v>
      </c>
      <c r="EHG12" s="314" t="s">
        <v>203</v>
      </c>
      <c r="EHH12" s="314" t="s">
        <v>203</v>
      </c>
      <c r="EHI12" s="314" t="s">
        <v>203</v>
      </c>
      <c r="EHJ12" s="314" t="s">
        <v>203</v>
      </c>
      <c r="EHK12" s="314" t="s">
        <v>203</v>
      </c>
      <c r="EHL12" s="314" t="s">
        <v>203</v>
      </c>
      <c r="EHM12" s="314" t="s">
        <v>203</v>
      </c>
      <c r="EHN12" s="314" t="s">
        <v>203</v>
      </c>
      <c r="EHO12" s="314" t="s">
        <v>203</v>
      </c>
      <c r="EHP12" s="314" t="s">
        <v>203</v>
      </c>
      <c r="EHQ12" s="314" t="s">
        <v>203</v>
      </c>
      <c r="EHR12" s="314" t="s">
        <v>203</v>
      </c>
      <c r="EHS12" s="314" t="s">
        <v>203</v>
      </c>
      <c r="EHT12" s="314" t="s">
        <v>203</v>
      </c>
      <c r="EHU12" s="314" t="s">
        <v>203</v>
      </c>
      <c r="EHV12" s="314" t="s">
        <v>203</v>
      </c>
      <c r="EHW12" s="314" t="s">
        <v>203</v>
      </c>
      <c r="EHX12" s="314" t="s">
        <v>203</v>
      </c>
      <c r="EHY12" s="314" t="s">
        <v>203</v>
      </c>
      <c r="EHZ12" s="314" t="s">
        <v>203</v>
      </c>
      <c r="EIA12" s="314" t="s">
        <v>203</v>
      </c>
      <c r="EIB12" s="314" t="s">
        <v>203</v>
      </c>
      <c r="EIC12" s="314" t="s">
        <v>203</v>
      </c>
      <c r="EID12" s="314" t="s">
        <v>203</v>
      </c>
      <c r="EIE12" s="314" t="s">
        <v>203</v>
      </c>
      <c r="EIF12" s="314" t="s">
        <v>203</v>
      </c>
      <c r="EIG12" s="314" t="s">
        <v>203</v>
      </c>
      <c r="EIH12" s="314" t="s">
        <v>203</v>
      </c>
      <c r="EII12" s="314" t="s">
        <v>203</v>
      </c>
      <c r="EIJ12" s="314" t="s">
        <v>203</v>
      </c>
      <c r="EIK12" s="314" t="s">
        <v>203</v>
      </c>
      <c r="EIL12" s="314" t="s">
        <v>203</v>
      </c>
      <c r="EIM12" s="314" t="s">
        <v>203</v>
      </c>
      <c r="EIN12" s="314" t="s">
        <v>203</v>
      </c>
      <c r="EIO12" s="314" t="s">
        <v>203</v>
      </c>
      <c r="EIP12" s="314" t="s">
        <v>203</v>
      </c>
      <c r="EIQ12" s="314" t="s">
        <v>203</v>
      </c>
      <c r="EIR12" s="314" t="s">
        <v>203</v>
      </c>
      <c r="EIS12" s="314" t="s">
        <v>203</v>
      </c>
      <c r="EIT12" s="314" t="s">
        <v>203</v>
      </c>
      <c r="EIU12" s="314" t="s">
        <v>203</v>
      </c>
      <c r="EIV12" s="314" t="s">
        <v>203</v>
      </c>
      <c r="EIW12" s="314" t="s">
        <v>203</v>
      </c>
      <c r="EIX12" s="314" t="s">
        <v>203</v>
      </c>
      <c r="EIY12" s="314" t="s">
        <v>203</v>
      </c>
      <c r="EIZ12" s="314" t="s">
        <v>203</v>
      </c>
      <c r="EJA12" s="314" t="s">
        <v>203</v>
      </c>
      <c r="EJB12" s="314" t="s">
        <v>203</v>
      </c>
      <c r="EJC12" s="314" t="s">
        <v>203</v>
      </c>
      <c r="EJD12" s="314" t="s">
        <v>203</v>
      </c>
      <c r="EJE12" s="314" t="s">
        <v>203</v>
      </c>
      <c r="EJF12" s="314" t="s">
        <v>203</v>
      </c>
      <c r="EJG12" s="314" t="s">
        <v>203</v>
      </c>
      <c r="EJH12" s="314" t="s">
        <v>203</v>
      </c>
      <c r="EJI12" s="314" t="s">
        <v>203</v>
      </c>
      <c r="EJJ12" s="314" t="s">
        <v>203</v>
      </c>
      <c r="EJK12" s="314" t="s">
        <v>203</v>
      </c>
      <c r="EJL12" s="314" t="s">
        <v>203</v>
      </c>
      <c r="EJM12" s="314" t="s">
        <v>203</v>
      </c>
      <c r="EJN12" s="314" t="s">
        <v>203</v>
      </c>
      <c r="EJO12" s="314" t="s">
        <v>203</v>
      </c>
      <c r="EJP12" s="314" t="s">
        <v>203</v>
      </c>
      <c r="EJQ12" s="314" t="s">
        <v>203</v>
      </c>
      <c r="EJR12" s="314" t="s">
        <v>203</v>
      </c>
      <c r="EJS12" s="314" t="s">
        <v>203</v>
      </c>
      <c r="EJT12" s="314" t="s">
        <v>203</v>
      </c>
      <c r="EJU12" s="314" t="s">
        <v>203</v>
      </c>
      <c r="EJV12" s="314" t="s">
        <v>203</v>
      </c>
      <c r="EJW12" s="314" t="s">
        <v>203</v>
      </c>
      <c r="EJX12" s="314" t="s">
        <v>203</v>
      </c>
      <c r="EJY12" s="314" t="s">
        <v>203</v>
      </c>
      <c r="EJZ12" s="314" t="s">
        <v>203</v>
      </c>
      <c r="EKA12" s="314" t="s">
        <v>203</v>
      </c>
      <c r="EKB12" s="314" t="s">
        <v>203</v>
      </c>
      <c r="EKC12" s="314" t="s">
        <v>203</v>
      </c>
      <c r="EKD12" s="314" t="s">
        <v>203</v>
      </c>
      <c r="EKE12" s="314" t="s">
        <v>203</v>
      </c>
      <c r="EKF12" s="314" t="s">
        <v>203</v>
      </c>
      <c r="EKG12" s="314" t="s">
        <v>203</v>
      </c>
      <c r="EKH12" s="314" t="s">
        <v>203</v>
      </c>
      <c r="EKI12" s="314" t="s">
        <v>203</v>
      </c>
      <c r="EKJ12" s="314" t="s">
        <v>203</v>
      </c>
      <c r="EKK12" s="314" t="s">
        <v>203</v>
      </c>
      <c r="EKL12" s="314" t="s">
        <v>203</v>
      </c>
      <c r="EKM12" s="314" t="s">
        <v>203</v>
      </c>
      <c r="EKN12" s="314" t="s">
        <v>203</v>
      </c>
      <c r="EKO12" s="314" t="s">
        <v>203</v>
      </c>
      <c r="EKP12" s="314" t="s">
        <v>203</v>
      </c>
      <c r="EKQ12" s="314" t="s">
        <v>203</v>
      </c>
      <c r="EKR12" s="314" t="s">
        <v>203</v>
      </c>
      <c r="EKS12" s="314" t="s">
        <v>203</v>
      </c>
      <c r="EKT12" s="314" t="s">
        <v>203</v>
      </c>
      <c r="EKU12" s="314" t="s">
        <v>203</v>
      </c>
      <c r="EKV12" s="314" t="s">
        <v>203</v>
      </c>
      <c r="EKW12" s="314" t="s">
        <v>203</v>
      </c>
      <c r="EKX12" s="314" t="s">
        <v>203</v>
      </c>
      <c r="EKY12" s="314" t="s">
        <v>203</v>
      </c>
      <c r="EKZ12" s="314" t="s">
        <v>203</v>
      </c>
      <c r="ELA12" s="314" t="s">
        <v>203</v>
      </c>
      <c r="ELB12" s="314" t="s">
        <v>203</v>
      </c>
      <c r="ELC12" s="314" t="s">
        <v>203</v>
      </c>
      <c r="ELD12" s="314" t="s">
        <v>203</v>
      </c>
      <c r="ELE12" s="314" t="s">
        <v>203</v>
      </c>
      <c r="ELF12" s="314" t="s">
        <v>203</v>
      </c>
      <c r="ELG12" s="314" t="s">
        <v>203</v>
      </c>
      <c r="ELH12" s="314" t="s">
        <v>203</v>
      </c>
      <c r="ELI12" s="314" t="s">
        <v>203</v>
      </c>
      <c r="ELJ12" s="314" t="s">
        <v>203</v>
      </c>
      <c r="ELK12" s="314" t="s">
        <v>203</v>
      </c>
      <c r="ELL12" s="314" t="s">
        <v>203</v>
      </c>
      <c r="ELM12" s="314" t="s">
        <v>203</v>
      </c>
      <c r="ELN12" s="314" t="s">
        <v>203</v>
      </c>
      <c r="ELO12" s="314" t="s">
        <v>203</v>
      </c>
      <c r="ELP12" s="314" t="s">
        <v>203</v>
      </c>
      <c r="ELQ12" s="314" t="s">
        <v>203</v>
      </c>
      <c r="ELR12" s="314" t="s">
        <v>203</v>
      </c>
      <c r="ELS12" s="314" t="s">
        <v>203</v>
      </c>
      <c r="ELT12" s="314" t="s">
        <v>203</v>
      </c>
      <c r="ELU12" s="314" t="s">
        <v>203</v>
      </c>
      <c r="ELV12" s="314" t="s">
        <v>203</v>
      </c>
      <c r="ELW12" s="314" t="s">
        <v>203</v>
      </c>
      <c r="ELX12" s="314" t="s">
        <v>203</v>
      </c>
      <c r="ELY12" s="314" t="s">
        <v>203</v>
      </c>
      <c r="ELZ12" s="314" t="s">
        <v>203</v>
      </c>
      <c r="EMA12" s="314" t="s">
        <v>203</v>
      </c>
      <c r="EMB12" s="314" t="s">
        <v>203</v>
      </c>
      <c r="EMC12" s="314" t="s">
        <v>203</v>
      </c>
      <c r="EMD12" s="314" t="s">
        <v>203</v>
      </c>
      <c r="EME12" s="314" t="s">
        <v>203</v>
      </c>
      <c r="EMF12" s="314" t="s">
        <v>203</v>
      </c>
      <c r="EMG12" s="314" t="s">
        <v>203</v>
      </c>
      <c r="EMH12" s="314" t="s">
        <v>203</v>
      </c>
      <c r="EMI12" s="314" t="s">
        <v>203</v>
      </c>
      <c r="EMJ12" s="314" t="s">
        <v>203</v>
      </c>
      <c r="EMK12" s="314" t="s">
        <v>203</v>
      </c>
      <c r="EML12" s="314" t="s">
        <v>203</v>
      </c>
      <c r="EMM12" s="314" t="s">
        <v>203</v>
      </c>
      <c r="EMN12" s="314" t="s">
        <v>203</v>
      </c>
      <c r="EMO12" s="314" t="s">
        <v>203</v>
      </c>
      <c r="EMP12" s="314" t="s">
        <v>203</v>
      </c>
      <c r="EMQ12" s="314" t="s">
        <v>203</v>
      </c>
      <c r="EMR12" s="314" t="s">
        <v>203</v>
      </c>
      <c r="EMS12" s="314" t="s">
        <v>203</v>
      </c>
      <c r="EMT12" s="314" t="s">
        <v>203</v>
      </c>
      <c r="EMU12" s="314" t="s">
        <v>203</v>
      </c>
      <c r="EMV12" s="314" t="s">
        <v>203</v>
      </c>
      <c r="EMW12" s="314" t="s">
        <v>203</v>
      </c>
      <c r="EMX12" s="314" t="s">
        <v>203</v>
      </c>
      <c r="EMY12" s="314" t="s">
        <v>203</v>
      </c>
      <c r="EMZ12" s="314" t="s">
        <v>203</v>
      </c>
      <c r="ENA12" s="314" t="s">
        <v>203</v>
      </c>
      <c r="ENB12" s="314" t="s">
        <v>203</v>
      </c>
      <c r="ENC12" s="314" t="s">
        <v>203</v>
      </c>
      <c r="END12" s="314" t="s">
        <v>203</v>
      </c>
      <c r="ENE12" s="314" t="s">
        <v>203</v>
      </c>
      <c r="ENF12" s="314" t="s">
        <v>203</v>
      </c>
      <c r="ENG12" s="314" t="s">
        <v>203</v>
      </c>
      <c r="ENH12" s="314" t="s">
        <v>203</v>
      </c>
      <c r="ENI12" s="314" t="s">
        <v>203</v>
      </c>
      <c r="ENJ12" s="314" t="s">
        <v>203</v>
      </c>
      <c r="ENK12" s="314" t="s">
        <v>203</v>
      </c>
      <c r="ENL12" s="314" t="s">
        <v>203</v>
      </c>
      <c r="ENM12" s="314" t="s">
        <v>203</v>
      </c>
      <c r="ENN12" s="314" t="s">
        <v>203</v>
      </c>
      <c r="ENO12" s="314" t="s">
        <v>203</v>
      </c>
      <c r="ENP12" s="314" t="s">
        <v>203</v>
      </c>
      <c r="ENQ12" s="314" t="s">
        <v>203</v>
      </c>
      <c r="ENR12" s="314" t="s">
        <v>203</v>
      </c>
      <c r="ENS12" s="314" t="s">
        <v>203</v>
      </c>
      <c r="ENT12" s="314" t="s">
        <v>203</v>
      </c>
      <c r="ENU12" s="314" t="s">
        <v>203</v>
      </c>
      <c r="ENV12" s="314" t="s">
        <v>203</v>
      </c>
      <c r="ENW12" s="314" t="s">
        <v>203</v>
      </c>
      <c r="ENX12" s="314" t="s">
        <v>203</v>
      </c>
      <c r="ENY12" s="314" t="s">
        <v>203</v>
      </c>
      <c r="ENZ12" s="314" t="s">
        <v>203</v>
      </c>
      <c r="EOA12" s="314" t="s">
        <v>203</v>
      </c>
      <c r="EOB12" s="314" t="s">
        <v>203</v>
      </c>
      <c r="EOC12" s="314" t="s">
        <v>203</v>
      </c>
      <c r="EOD12" s="314" t="s">
        <v>203</v>
      </c>
      <c r="EOE12" s="314" t="s">
        <v>203</v>
      </c>
      <c r="EOF12" s="314" t="s">
        <v>203</v>
      </c>
      <c r="EOG12" s="314" t="s">
        <v>203</v>
      </c>
      <c r="EOH12" s="314" t="s">
        <v>203</v>
      </c>
      <c r="EOI12" s="314" t="s">
        <v>203</v>
      </c>
      <c r="EOJ12" s="314" t="s">
        <v>203</v>
      </c>
      <c r="EOK12" s="314" t="s">
        <v>203</v>
      </c>
      <c r="EOL12" s="314" t="s">
        <v>203</v>
      </c>
      <c r="EOM12" s="314" t="s">
        <v>203</v>
      </c>
      <c r="EON12" s="314" t="s">
        <v>203</v>
      </c>
      <c r="EOO12" s="314" t="s">
        <v>203</v>
      </c>
      <c r="EOP12" s="314" t="s">
        <v>203</v>
      </c>
      <c r="EOQ12" s="314" t="s">
        <v>203</v>
      </c>
      <c r="EOR12" s="314" t="s">
        <v>203</v>
      </c>
      <c r="EOS12" s="314" t="s">
        <v>203</v>
      </c>
      <c r="EOT12" s="314" t="s">
        <v>203</v>
      </c>
      <c r="EOU12" s="314" t="s">
        <v>203</v>
      </c>
      <c r="EOV12" s="314" t="s">
        <v>203</v>
      </c>
      <c r="EOW12" s="314" t="s">
        <v>203</v>
      </c>
      <c r="EOX12" s="314" t="s">
        <v>203</v>
      </c>
      <c r="EOY12" s="314" t="s">
        <v>203</v>
      </c>
      <c r="EOZ12" s="314" t="s">
        <v>203</v>
      </c>
      <c r="EPA12" s="314" t="s">
        <v>203</v>
      </c>
      <c r="EPB12" s="314" t="s">
        <v>203</v>
      </c>
      <c r="EPC12" s="314" t="s">
        <v>203</v>
      </c>
      <c r="EPD12" s="314" t="s">
        <v>203</v>
      </c>
      <c r="EPE12" s="314" t="s">
        <v>203</v>
      </c>
      <c r="EPF12" s="314" t="s">
        <v>203</v>
      </c>
      <c r="EPG12" s="314" t="s">
        <v>203</v>
      </c>
      <c r="EPH12" s="314" t="s">
        <v>203</v>
      </c>
      <c r="EPI12" s="314" t="s">
        <v>203</v>
      </c>
      <c r="EPJ12" s="314" t="s">
        <v>203</v>
      </c>
      <c r="EPK12" s="314" t="s">
        <v>203</v>
      </c>
      <c r="EPL12" s="314" t="s">
        <v>203</v>
      </c>
      <c r="EPM12" s="314" t="s">
        <v>203</v>
      </c>
      <c r="EPN12" s="314" t="s">
        <v>203</v>
      </c>
      <c r="EPO12" s="314" t="s">
        <v>203</v>
      </c>
      <c r="EPP12" s="314" t="s">
        <v>203</v>
      </c>
      <c r="EPQ12" s="314" t="s">
        <v>203</v>
      </c>
      <c r="EPR12" s="314" t="s">
        <v>203</v>
      </c>
      <c r="EPS12" s="314" t="s">
        <v>203</v>
      </c>
      <c r="EPT12" s="314" t="s">
        <v>203</v>
      </c>
      <c r="EPU12" s="314" t="s">
        <v>203</v>
      </c>
      <c r="EPV12" s="314" t="s">
        <v>203</v>
      </c>
      <c r="EPW12" s="314" t="s">
        <v>203</v>
      </c>
      <c r="EPX12" s="314" t="s">
        <v>203</v>
      </c>
      <c r="EPY12" s="314" t="s">
        <v>203</v>
      </c>
      <c r="EPZ12" s="314" t="s">
        <v>203</v>
      </c>
      <c r="EQA12" s="314" t="s">
        <v>203</v>
      </c>
      <c r="EQB12" s="314" t="s">
        <v>203</v>
      </c>
      <c r="EQC12" s="314" t="s">
        <v>203</v>
      </c>
      <c r="EQD12" s="314" t="s">
        <v>203</v>
      </c>
      <c r="EQE12" s="314" t="s">
        <v>203</v>
      </c>
      <c r="EQF12" s="314" t="s">
        <v>203</v>
      </c>
      <c r="EQG12" s="314" t="s">
        <v>203</v>
      </c>
      <c r="EQH12" s="314" t="s">
        <v>203</v>
      </c>
      <c r="EQI12" s="314" t="s">
        <v>203</v>
      </c>
      <c r="EQJ12" s="314" t="s">
        <v>203</v>
      </c>
      <c r="EQK12" s="314" t="s">
        <v>203</v>
      </c>
      <c r="EQL12" s="314" t="s">
        <v>203</v>
      </c>
      <c r="EQM12" s="314" t="s">
        <v>203</v>
      </c>
      <c r="EQN12" s="314" t="s">
        <v>203</v>
      </c>
      <c r="EQO12" s="314" t="s">
        <v>203</v>
      </c>
      <c r="EQP12" s="314" t="s">
        <v>203</v>
      </c>
      <c r="EQQ12" s="314" t="s">
        <v>203</v>
      </c>
      <c r="EQR12" s="314" t="s">
        <v>203</v>
      </c>
      <c r="EQS12" s="314" t="s">
        <v>203</v>
      </c>
      <c r="EQT12" s="314" t="s">
        <v>203</v>
      </c>
      <c r="EQU12" s="314" t="s">
        <v>203</v>
      </c>
      <c r="EQV12" s="314" t="s">
        <v>203</v>
      </c>
      <c r="EQW12" s="314" t="s">
        <v>203</v>
      </c>
      <c r="EQX12" s="314" t="s">
        <v>203</v>
      </c>
      <c r="EQY12" s="314" t="s">
        <v>203</v>
      </c>
      <c r="EQZ12" s="314" t="s">
        <v>203</v>
      </c>
      <c r="ERA12" s="314" t="s">
        <v>203</v>
      </c>
      <c r="ERB12" s="314" t="s">
        <v>203</v>
      </c>
      <c r="ERC12" s="314" t="s">
        <v>203</v>
      </c>
      <c r="ERD12" s="314" t="s">
        <v>203</v>
      </c>
      <c r="ERE12" s="314" t="s">
        <v>203</v>
      </c>
      <c r="ERF12" s="314" t="s">
        <v>203</v>
      </c>
      <c r="ERG12" s="314" t="s">
        <v>203</v>
      </c>
      <c r="ERH12" s="314" t="s">
        <v>203</v>
      </c>
      <c r="ERI12" s="314" t="s">
        <v>203</v>
      </c>
      <c r="ERJ12" s="314" t="s">
        <v>203</v>
      </c>
      <c r="ERK12" s="314" t="s">
        <v>203</v>
      </c>
      <c r="ERL12" s="314" t="s">
        <v>203</v>
      </c>
      <c r="ERM12" s="314" t="s">
        <v>203</v>
      </c>
      <c r="ERN12" s="314" t="s">
        <v>203</v>
      </c>
      <c r="ERO12" s="314" t="s">
        <v>203</v>
      </c>
      <c r="ERP12" s="314" t="s">
        <v>203</v>
      </c>
      <c r="ERQ12" s="314" t="s">
        <v>203</v>
      </c>
      <c r="ERR12" s="314" t="s">
        <v>203</v>
      </c>
      <c r="ERS12" s="314" t="s">
        <v>203</v>
      </c>
      <c r="ERT12" s="314" t="s">
        <v>203</v>
      </c>
      <c r="ERU12" s="314" t="s">
        <v>203</v>
      </c>
      <c r="ERV12" s="314" t="s">
        <v>203</v>
      </c>
      <c r="ERW12" s="314" t="s">
        <v>203</v>
      </c>
      <c r="ERX12" s="314" t="s">
        <v>203</v>
      </c>
      <c r="ERY12" s="314" t="s">
        <v>203</v>
      </c>
      <c r="ERZ12" s="314" t="s">
        <v>203</v>
      </c>
      <c r="ESA12" s="314" t="s">
        <v>203</v>
      </c>
      <c r="ESB12" s="314" t="s">
        <v>203</v>
      </c>
      <c r="ESC12" s="314" t="s">
        <v>203</v>
      </c>
      <c r="ESD12" s="314" t="s">
        <v>203</v>
      </c>
      <c r="ESE12" s="314" t="s">
        <v>203</v>
      </c>
      <c r="ESF12" s="314" t="s">
        <v>203</v>
      </c>
      <c r="ESG12" s="314" t="s">
        <v>203</v>
      </c>
      <c r="ESH12" s="314" t="s">
        <v>203</v>
      </c>
      <c r="ESI12" s="314" t="s">
        <v>203</v>
      </c>
      <c r="ESJ12" s="314" t="s">
        <v>203</v>
      </c>
      <c r="ESK12" s="314" t="s">
        <v>203</v>
      </c>
      <c r="ESL12" s="314" t="s">
        <v>203</v>
      </c>
      <c r="ESM12" s="314" t="s">
        <v>203</v>
      </c>
      <c r="ESN12" s="314" t="s">
        <v>203</v>
      </c>
      <c r="ESO12" s="314" t="s">
        <v>203</v>
      </c>
      <c r="ESP12" s="314" t="s">
        <v>203</v>
      </c>
      <c r="ESQ12" s="314" t="s">
        <v>203</v>
      </c>
      <c r="ESR12" s="314" t="s">
        <v>203</v>
      </c>
      <c r="ESS12" s="314" t="s">
        <v>203</v>
      </c>
      <c r="EST12" s="314" t="s">
        <v>203</v>
      </c>
      <c r="ESU12" s="314" t="s">
        <v>203</v>
      </c>
      <c r="ESV12" s="314" t="s">
        <v>203</v>
      </c>
      <c r="ESW12" s="314" t="s">
        <v>203</v>
      </c>
      <c r="ESX12" s="314" t="s">
        <v>203</v>
      </c>
      <c r="ESY12" s="314" t="s">
        <v>203</v>
      </c>
      <c r="ESZ12" s="314" t="s">
        <v>203</v>
      </c>
      <c r="ETA12" s="314" t="s">
        <v>203</v>
      </c>
      <c r="ETB12" s="314" t="s">
        <v>203</v>
      </c>
      <c r="ETC12" s="314" t="s">
        <v>203</v>
      </c>
      <c r="ETD12" s="314" t="s">
        <v>203</v>
      </c>
      <c r="ETE12" s="314" t="s">
        <v>203</v>
      </c>
      <c r="ETF12" s="314" t="s">
        <v>203</v>
      </c>
      <c r="ETG12" s="314" t="s">
        <v>203</v>
      </c>
      <c r="ETH12" s="314" t="s">
        <v>203</v>
      </c>
      <c r="ETI12" s="314" t="s">
        <v>203</v>
      </c>
      <c r="ETJ12" s="314" t="s">
        <v>203</v>
      </c>
      <c r="ETK12" s="314" t="s">
        <v>203</v>
      </c>
      <c r="ETL12" s="314" t="s">
        <v>203</v>
      </c>
      <c r="ETM12" s="314" t="s">
        <v>203</v>
      </c>
      <c r="ETN12" s="314" t="s">
        <v>203</v>
      </c>
      <c r="ETO12" s="314" t="s">
        <v>203</v>
      </c>
      <c r="ETP12" s="314" t="s">
        <v>203</v>
      </c>
      <c r="ETQ12" s="314" t="s">
        <v>203</v>
      </c>
      <c r="ETR12" s="314" t="s">
        <v>203</v>
      </c>
      <c r="ETS12" s="314" t="s">
        <v>203</v>
      </c>
      <c r="ETT12" s="314" t="s">
        <v>203</v>
      </c>
      <c r="ETU12" s="314" t="s">
        <v>203</v>
      </c>
      <c r="ETV12" s="314" t="s">
        <v>203</v>
      </c>
      <c r="ETW12" s="314" t="s">
        <v>203</v>
      </c>
      <c r="ETX12" s="314" t="s">
        <v>203</v>
      </c>
      <c r="ETY12" s="314" t="s">
        <v>203</v>
      </c>
      <c r="ETZ12" s="314" t="s">
        <v>203</v>
      </c>
      <c r="EUA12" s="314" t="s">
        <v>203</v>
      </c>
      <c r="EUB12" s="314" t="s">
        <v>203</v>
      </c>
      <c r="EUC12" s="314" t="s">
        <v>203</v>
      </c>
      <c r="EUD12" s="314" t="s">
        <v>203</v>
      </c>
      <c r="EUE12" s="314" t="s">
        <v>203</v>
      </c>
      <c r="EUF12" s="314" t="s">
        <v>203</v>
      </c>
      <c r="EUG12" s="314" t="s">
        <v>203</v>
      </c>
      <c r="EUH12" s="314" t="s">
        <v>203</v>
      </c>
      <c r="EUI12" s="314" t="s">
        <v>203</v>
      </c>
      <c r="EUJ12" s="314" t="s">
        <v>203</v>
      </c>
      <c r="EUK12" s="314" t="s">
        <v>203</v>
      </c>
      <c r="EUL12" s="314" t="s">
        <v>203</v>
      </c>
      <c r="EUM12" s="314" t="s">
        <v>203</v>
      </c>
      <c r="EUN12" s="314" t="s">
        <v>203</v>
      </c>
      <c r="EUO12" s="314" t="s">
        <v>203</v>
      </c>
      <c r="EUP12" s="314" t="s">
        <v>203</v>
      </c>
      <c r="EUQ12" s="314" t="s">
        <v>203</v>
      </c>
      <c r="EUR12" s="314" t="s">
        <v>203</v>
      </c>
      <c r="EUS12" s="314" t="s">
        <v>203</v>
      </c>
      <c r="EUT12" s="314" t="s">
        <v>203</v>
      </c>
      <c r="EUU12" s="314" t="s">
        <v>203</v>
      </c>
      <c r="EUV12" s="314" t="s">
        <v>203</v>
      </c>
      <c r="EUW12" s="314" t="s">
        <v>203</v>
      </c>
      <c r="EUX12" s="314" t="s">
        <v>203</v>
      </c>
      <c r="EUY12" s="314" t="s">
        <v>203</v>
      </c>
      <c r="EUZ12" s="314" t="s">
        <v>203</v>
      </c>
      <c r="EVA12" s="314" t="s">
        <v>203</v>
      </c>
      <c r="EVB12" s="314" t="s">
        <v>203</v>
      </c>
      <c r="EVC12" s="314" t="s">
        <v>203</v>
      </c>
      <c r="EVD12" s="314" t="s">
        <v>203</v>
      </c>
      <c r="EVE12" s="314" t="s">
        <v>203</v>
      </c>
      <c r="EVF12" s="314" t="s">
        <v>203</v>
      </c>
      <c r="EVG12" s="314" t="s">
        <v>203</v>
      </c>
      <c r="EVH12" s="314" t="s">
        <v>203</v>
      </c>
      <c r="EVI12" s="314" t="s">
        <v>203</v>
      </c>
      <c r="EVJ12" s="314" t="s">
        <v>203</v>
      </c>
      <c r="EVK12" s="314" t="s">
        <v>203</v>
      </c>
      <c r="EVL12" s="314" t="s">
        <v>203</v>
      </c>
      <c r="EVM12" s="314" t="s">
        <v>203</v>
      </c>
      <c r="EVN12" s="314" t="s">
        <v>203</v>
      </c>
      <c r="EVO12" s="314" t="s">
        <v>203</v>
      </c>
      <c r="EVP12" s="314" t="s">
        <v>203</v>
      </c>
      <c r="EVQ12" s="314" t="s">
        <v>203</v>
      </c>
      <c r="EVR12" s="314" t="s">
        <v>203</v>
      </c>
      <c r="EVS12" s="314" t="s">
        <v>203</v>
      </c>
      <c r="EVT12" s="314" t="s">
        <v>203</v>
      </c>
      <c r="EVU12" s="314" t="s">
        <v>203</v>
      </c>
      <c r="EVV12" s="314" t="s">
        <v>203</v>
      </c>
      <c r="EVW12" s="314" t="s">
        <v>203</v>
      </c>
      <c r="EVX12" s="314" t="s">
        <v>203</v>
      </c>
      <c r="EVY12" s="314" t="s">
        <v>203</v>
      </c>
      <c r="EVZ12" s="314" t="s">
        <v>203</v>
      </c>
      <c r="EWA12" s="314" t="s">
        <v>203</v>
      </c>
      <c r="EWB12" s="314" t="s">
        <v>203</v>
      </c>
      <c r="EWC12" s="314" t="s">
        <v>203</v>
      </c>
      <c r="EWD12" s="314" t="s">
        <v>203</v>
      </c>
      <c r="EWE12" s="314" t="s">
        <v>203</v>
      </c>
      <c r="EWF12" s="314" t="s">
        <v>203</v>
      </c>
      <c r="EWG12" s="314" t="s">
        <v>203</v>
      </c>
      <c r="EWH12" s="314" t="s">
        <v>203</v>
      </c>
      <c r="EWI12" s="314" t="s">
        <v>203</v>
      </c>
      <c r="EWJ12" s="314" t="s">
        <v>203</v>
      </c>
      <c r="EWK12" s="314" t="s">
        <v>203</v>
      </c>
      <c r="EWL12" s="314" t="s">
        <v>203</v>
      </c>
      <c r="EWM12" s="314" t="s">
        <v>203</v>
      </c>
      <c r="EWN12" s="314" t="s">
        <v>203</v>
      </c>
      <c r="EWO12" s="314" t="s">
        <v>203</v>
      </c>
      <c r="EWP12" s="314" t="s">
        <v>203</v>
      </c>
      <c r="EWQ12" s="314" t="s">
        <v>203</v>
      </c>
      <c r="EWR12" s="314" t="s">
        <v>203</v>
      </c>
      <c r="EWS12" s="314" t="s">
        <v>203</v>
      </c>
      <c r="EWT12" s="314" t="s">
        <v>203</v>
      </c>
      <c r="EWU12" s="314" t="s">
        <v>203</v>
      </c>
      <c r="EWV12" s="314" t="s">
        <v>203</v>
      </c>
      <c r="EWW12" s="314" t="s">
        <v>203</v>
      </c>
      <c r="EWX12" s="314" t="s">
        <v>203</v>
      </c>
      <c r="EWY12" s="314" t="s">
        <v>203</v>
      </c>
      <c r="EWZ12" s="314" t="s">
        <v>203</v>
      </c>
      <c r="EXA12" s="314" t="s">
        <v>203</v>
      </c>
      <c r="EXB12" s="314" t="s">
        <v>203</v>
      </c>
      <c r="EXC12" s="314" t="s">
        <v>203</v>
      </c>
      <c r="EXD12" s="314" t="s">
        <v>203</v>
      </c>
      <c r="EXE12" s="314" t="s">
        <v>203</v>
      </c>
      <c r="EXF12" s="314" t="s">
        <v>203</v>
      </c>
      <c r="EXG12" s="314" t="s">
        <v>203</v>
      </c>
      <c r="EXH12" s="314" t="s">
        <v>203</v>
      </c>
      <c r="EXI12" s="314" t="s">
        <v>203</v>
      </c>
      <c r="EXJ12" s="314" t="s">
        <v>203</v>
      </c>
      <c r="EXK12" s="314" t="s">
        <v>203</v>
      </c>
      <c r="EXL12" s="314" t="s">
        <v>203</v>
      </c>
      <c r="EXM12" s="314" t="s">
        <v>203</v>
      </c>
      <c r="EXN12" s="314" t="s">
        <v>203</v>
      </c>
      <c r="EXO12" s="314" t="s">
        <v>203</v>
      </c>
      <c r="EXP12" s="314" t="s">
        <v>203</v>
      </c>
      <c r="EXQ12" s="314" t="s">
        <v>203</v>
      </c>
      <c r="EXR12" s="314" t="s">
        <v>203</v>
      </c>
      <c r="EXS12" s="314" t="s">
        <v>203</v>
      </c>
      <c r="EXT12" s="314" t="s">
        <v>203</v>
      </c>
      <c r="EXU12" s="314" t="s">
        <v>203</v>
      </c>
      <c r="EXV12" s="314" t="s">
        <v>203</v>
      </c>
      <c r="EXW12" s="314" t="s">
        <v>203</v>
      </c>
      <c r="EXX12" s="314" t="s">
        <v>203</v>
      </c>
      <c r="EXY12" s="314" t="s">
        <v>203</v>
      </c>
      <c r="EXZ12" s="314" t="s">
        <v>203</v>
      </c>
      <c r="EYA12" s="314" t="s">
        <v>203</v>
      </c>
      <c r="EYB12" s="314" t="s">
        <v>203</v>
      </c>
      <c r="EYC12" s="314" t="s">
        <v>203</v>
      </c>
      <c r="EYD12" s="314" t="s">
        <v>203</v>
      </c>
      <c r="EYE12" s="314" t="s">
        <v>203</v>
      </c>
      <c r="EYF12" s="314" t="s">
        <v>203</v>
      </c>
      <c r="EYG12" s="314" t="s">
        <v>203</v>
      </c>
      <c r="EYH12" s="314" t="s">
        <v>203</v>
      </c>
      <c r="EYI12" s="314" t="s">
        <v>203</v>
      </c>
      <c r="EYJ12" s="314" t="s">
        <v>203</v>
      </c>
      <c r="EYK12" s="314" t="s">
        <v>203</v>
      </c>
      <c r="EYL12" s="314" t="s">
        <v>203</v>
      </c>
      <c r="EYM12" s="314" t="s">
        <v>203</v>
      </c>
      <c r="EYN12" s="314" t="s">
        <v>203</v>
      </c>
      <c r="EYO12" s="314" t="s">
        <v>203</v>
      </c>
      <c r="EYP12" s="314" t="s">
        <v>203</v>
      </c>
      <c r="EYQ12" s="314" t="s">
        <v>203</v>
      </c>
      <c r="EYR12" s="314" t="s">
        <v>203</v>
      </c>
      <c r="EYS12" s="314" t="s">
        <v>203</v>
      </c>
      <c r="EYT12" s="314" t="s">
        <v>203</v>
      </c>
      <c r="EYU12" s="314" t="s">
        <v>203</v>
      </c>
      <c r="EYV12" s="314" t="s">
        <v>203</v>
      </c>
      <c r="EYW12" s="314" t="s">
        <v>203</v>
      </c>
      <c r="EYX12" s="314" t="s">
        <v>203</v>
      </c>
      <c r="EYY12" s="314" t="s">
        <v>203</v>
      </c>
      <c r="EYZ12" s="314" t="s">
        <v>203</v>
      </c>
      <c r="EZA12" s="314" t="s">
        <v>203</v>
      </c>
      <c r="EZB12" s="314" t="s">
        <v>203</v>
      </c>
      <c r="EZC12" s="314" t="s">
        <v>203</v>
      </c>
      <c r="EZD12" s="314" t="s">
        <v>203</v>
      </c>
      <c r="EZE12" s="314" t="s">
        <v>203</v>
      </c>
      <c r="EZF12" s="314" t="s">
        <v>203</v>
      </c>
      <c r="EZG12" s="314" t="s">
        <v>203</v>
      </c>
      <c r="EZH12" s="314" t="s">
        <v>203</v>
      </c>
      <c r="EZI12" s="314" t="s">
        <v>203</v>
      </c>
      <c r="EZJ12" s="314" t="s">
        <v>203</v>
      </c>
      <c r="EZK12" s="314" t="s">
        <v>203</v>
      </c>
      <c r="EZL12" s="314" t="s">
        <v>203</v>
      </c>
      <c r="EZM12" s="314" t="s">
        <v>203</v>
      </c>
      <c r="EZN12" s="314" t="s">
        <v>203</v>
      </c>
      <c r="EZO12" s="314" t="s">
        <v>203</v>
      </c>
      <c r="EZP12" s="314" t="s">
        <v>203</v>
      </c>
      <c r="EZQ12" s="314" t="s">
        <v>203</v>
      </c>
      <c r="EZR12" s="314" t="s">
        <v>203</v>
      </c>
      <c r="EZS12" s="314" t="s">
        <v>203</v>
      </c>
      <c r="EZT12" s="314" t="s">
        <v>203</v>
      </c>
      <c r="EZU12" s="314" t="s">
        <v>203</v>
      </c>
      <c r="EZV12" s="314" t="s">
        <v>203</v>
      </c>
      <c r="EZW12" s="314" t="s">
        <v>203</v>
      </c>
      <c r="EZX12" s="314" t="s">
        <v>203</v>
      </c>
      <c r="EZY12" s="314" t="s">
        <v>203</v>
      </c>
      <c r="EZZ12" s="314" t="s">
        <v>203</v>
      </c>
      <c r="FAA12" s="314" t="s">
        <v>203</v>
      </c>
      <c r="FAB12" s="314" t="s">
        <v>203</v>
      </c>
      <c r="FAC12" s="314" t="s">
        <v>203</v>
      </c>
      <c r="FAD12" s="314" t="s">
        <v>203</v>
      </c>
      <c r="FAE12" s="314" t="s">
        <v>203</v>
      </c>
      <c r="FAF12" s="314" t="s">
        <v>203</v>
      </c>
      <c r="FAG12" s="314" t="s">
        <v>203</v>
      </c>
      <c r="FAH12" s="314" t="s">
        <v>203</v>
      </c>
      <c r="FAI12" s="314" t="s">
        <v>203</v>
      </c>
      <c r="FAJ12" s="314" t="s">
        <v>203</v>
      </c>
      <c r="FAK12" s="314" t="s">
        <v>203</v>
      </c>
      <c r="FAL12" s="314" t="s">
        <v>203</v>
      </c>
      <c r="FAM12" s="314" t="s">
        <v>203</v>
      </c>
      <c r="FAN12" s="314" t="s">
        <v>203</v>
      </c>
      <c r="FAO12" s="314" t="s">
        <v>203</v>
      </c>
      <c r="FAP12" s="314" t="s">
        <v>203</v>
      </c>
      <c r="FAQ12" s="314" t="s">
        <v>203</v>
      </c>
      <c r="FAR12" s="314" t="s">
        <v>203</v>
      </c>
      <c r="FAS12" s="314" t="s">
        <v>203</v>
      </c>
      <c r="FAT12" s="314" t="s">
        <v>203</v>
      </c>
      <c r="FAU12" s="314" t="s">
        <v>203</v>
      </c>
      <c r="FAV12" s="314" t="s">
        <v>203</v>
      </c>
      <c r="FAW12" s="314" t="s">
        <v>203</v>
      </c>
      <c r="FAX12" s="314" t="s">
        <v>203</v>
      </c>
      <c r="FAY12" s="314" t="s">
        <v>203</v>
      </c>
      <c r="FAZ12" s="314" t="s">
        <v>203</v>
      </c>
      <c r="FBA12" s="314" t="s">
        <v>203</v>
      </c>
      <c r="FBB12" s="314" t="s">
        <v>203</v>
      </c>
      <c r="FBC12" s="314" t="s">
        <v>203</v>
      </c>
      <c r="FBD12" s="314" t="s">
        <v>203</v>
      </c>
      <c r="FBE12" s="314" t="s">
        <v>203</v>
      </c>
      <c r="FBF12" s="314" t="s">
        <v>203</v>
      </c>
      <c r="FBG12" s="314" t="s">
        <v>203</v>
      </c>
      <c r="FBH12" s="314" t="s">
        <v>203</v>
      </c>
      <c r="FBI12" s="314" t="s">
        <v>203</v>
      </c>
      <c r="FBJ12" s="314" t="s">
        <v>203</v>
      </c>
      <c r="FBK12" s="314" t="s">
        <v>203</v>
      </c>
      <c r="FBL12" s="314" t="s">
        <v>203</v>
      </c>
      <c r="FBM12" s="314" t="s">
        <v>203</v>
      </c>
      <c r="FBN12" s="314" t="s">
        <v>203</v>
      </c>
      <c r="FBO12" s="314" t="s">
        <v>203</v>
      </c>
      <c r="FBP12" s="314" t="s">
        <v>203</v>
      </c>
      <c r="FBQ12" s="314" t="s">
        <v>203</v>
      </c>
      <c r="FBR12" s="314" t="s">
        <v>203</v>
      </c>
      <c r="FBS12" s="314" t="s">
        <v>203</v>
      </c>
      <c r="FBT12" s="314" t="s">
        <v>203</v>
      </c>
      <c r="FBU12" s="314" t="s">
        <v>203</v>
      </c>
      <c r="FBV12" s="314" t="s">
        <v>203</v>
      </c>
      <c r="FBW12" s="314" t="s">
        <v>203</v>
      </c>
      <c r="FBX12" s="314" t="s">
        <v>203</v>
      </c>
      <c r="FBY12" s="314" t="s">
        <v>203</v>
      </c>
      <c r="FBZ12" s="314" t="s">
        <v>203</v>
      </c>
      <c r="FCA12" s="314" t="s">
        <v>203</v>
      </c>
      <c r="FCB12" s="314" t="s">
        <v>203</v>
      </c>
      <c r="FCC12" s="314" t="s">
        <v>203</v>
      </c>
      <c r="FCD12" s="314" t="s">
        <v>203</v>
      </c>
      <c r="FCE12" s="314" t="s">
        <v>203</v>
      </c>
      <c r="FCF12" s="314" t="s">
        <v>203</v>
      </c>
      <c r="FCG12" s="314" t="s">
        <v>203</v>
      </c>
      <c r="FCH12" s="314" t="s">
        <v>203</v>
      </c>
      <c r="FCI12" s="314" t="s">
        <v>203</v>
      </c>
      <c r="FCJ12" s="314" t="s">
        <v>203</v>
      </c>
      <c r="FCK12" s="314" t="s">
        <v>203</v>
      </c>
      <c r="FCL12" s="314" t="s">
        <v>203</v>
      </c>
      <c r="FCM12" s="314" t="s">
        <v>203</v>
      </c>
      <c r="FCN12" s="314" t="s">
        <v>203</v>
      </c>
      <c r="FCO12" s="314" t="s">
        <v>203</v>
      </c>
      <c r="FCP12" s="314" t="s">
        <v>203</v>
      </c>
      <c r="FCQ12" s="314" t="s">
        <v>203</v>
      </c>
      <c r="FCR12" s="314" t="s">
        <v>203</v>
      </c>
      <c r="FCS12" s="314" t="s">
        <v>203</v>
      </c>
      <c r="FCT12" s="314" t="s">
        <v>203</v>
      </c>
      <c r="FCU12" s="314" t="s">
        <v>203</v>
      </c>
      <c r="FCV12" s="314" t="s">
        <v>203</v>
      </c>
      <c r="FCW12" s="314" t="s">
        <v>203</v>
      </c>
      <c r="FCX12" s="314" t="s">
        <v>203</v>
      </c>
      <c r="FCY12" s="314" t="s">
        <v>203</v>
      </c>
      <c r="FCZ12" s="314" t="s">
        <v>203</v>
      </c>
      <c r="FDA12" s="314" t="s">
        <v>203</v>
      </c>
      <c r="FDB12" s="314" t="s">
        <v>203</v>
      </c>
      <c r="FDC12" s="314" t="s">
        <v>203</v>
      </c>
      <c r="FDD12" s="314" t="s">
        <v>203</v>
      </c>
      <c r="FDE12" s="314" t="s">
        <v>203</v>
      </c>
      <c r="FDF12" s="314" t="s">
        <v>203</v>
      </c>
      <c r="FDG12" s="314" t="s">
        <v>203</v>
      </c>
      <c r="FDH12" s="314" t="s">
        <v>203</v>
      </c>
      <c r="FDI12" s="314" t="s">
        <v>203</v>
      </c>
      <c r="FDJ12" s="314" t="s">
        <v>203</v>
      </c>
      <c r="FDK12" s="314" t="s">
        <v>203</v>
      </c>
      <c r="FDL12" s="314" t="s">
        <v>203</v>
      </c>
      <c r="FDM12" s="314" t="s">
        <v>203</v>
      </c>
      <c r="FDN12" s="314" t="s">
        <v>203</v>
      </c>
      <c r="FDO12" s="314" t="s">
        <v>203</v>
      </c>
      <c r="FDP12" s="314" t="s">
        <v>203</v>
      </c>
      <c r="FDQ12" s="314" t="s">
        <v>203</v>
      </c>
      <c r="FDR12" s="314" t="s">
        <v>203</v>
      </c>
      <c r="FDS12" s="314" t="s">
        <v>203</v>
      </c>
      <c r="FDT12" s="314" t="s">
        <v>203</v>
      </c>
      <c r="FDU12" s="314" t="s">
        <v>203</v>
      </c>
      <c r="FDV12" s="314" t="s">
        <v>203</v>
      </c>
      <c r="FDW12" s="314" t="s">
        <v>203</v>
      </c>
      <c r="FDX12" s="314" t="s">
        <v>203</v>
      </c>
      <c r="FDY12" s="314" t="s">
        <v>203</v>
      </c>
      <c r="FDZ12" s="314" t="s">
        <v>203</v>
      </c>
      <c r="FEA12" s="314" t="s">
        <v>203</v>
      </c>
      <c r="FEB12" s="314" t="s">
        <v>203</v>
      </c>
      <c r="FEC12" s="314" t="s">
        <v>203</v>
      </c>
      <c r="FED12" s="314" t="s">
        <v>203</v>
      </c>
      <c r="FEE12" s="314" t="s">
        <v>203</v>
      </c>
      <c r="FEF12" s="314" t="s">
        <v>203</v>
      </c>
      <c r="FEG12" s="314" t="s">
        <v>203</v>
      </c>
      <c r="FEH12" s="314" t="s">
        <v>203</v>
      </c>
      <c r="FEI12" s="314" t="s">
        <v>203</v>
      </c>
      <c r="FEJ12" s="314" t="s">
        <v>203</v>
      </c>
      <c r="FEK12" s="314" t="s">
        <v>203</v>
      </c>
      <c r="FEL12" s="314" t="s">
        <v>203</v>
      </c>
      <c r="FEM12" s="314" t="s">
        <v>203</v>
      </c>
      <c r="FEN12" s="314" t="s">
        <v>203</v>
      </c>
      <c r="FEO12" s="314" t="s">
        <v>203</v>
      </c>
      <c r="FEP12" s="314" t="s">
        <v>203</v>
      </c>
      <c r="FEQ12" s="314" t="s">
        <v>203</v>
      </c>
      <c r="FER12" s="314" t="s">
        <v>203</v>
      </c>
      <c r="FES12" s="314" t="s">
        <v>203</v>
      </c>
      <c r="FET12" s="314" t="s">
        <v>203</v>
      </c>
      <c r="FEU12" s="314" t="s">
        <v>203</v>
      </c>
      <c r="FEV12" s="314" t="s">
        <v>203</v>
      </c>
      <c r="FEW12" s="314" t="s">
        <v>203</v>
      </c>
      <c r="FEX12" s="314" t="s">
        <v>203</v>
      </c>
      <c r="FEY12" s="314" t="s">
        <v>203</v>
      </c>
      <c r="FEZ12" s="314" t="s">
        <v>203</v>
      </c>
      <c r="FFA12" s="314" t="s">
        <v>203</v>
      </c>
      <c r="FFB12" s="314" t="s">
        <v>203</v>
      </c>
      <c r="FFC12" s="314" t="s">
        <v>203</v>
      </c>
      <c r="FFD12" s="314" t="s">
        <v>203</v>
      </c>
      <c r="FFE12" s="314" t="s">
        <v>203</v>
      </c>
      <c r="FFF12" s="314" t="s">
        <v>203</v>
      </c>
      <c r="FFG12" s="314" t="s">
        <v>203</v>
      </c>
      <c r="FFH12" s="314" t="s">
        <v>203</v>
      </c>
      <c r="FFI12" s="314" t="s">
        <v>203</v>
      </c>
      <c r="FFJ12" s="314" t="s">
        <v>203</v>
      </c>
      <c r="FFK12" s="314" t="s">
        <v>203</v>
      </c>
      <c r="FFL12" s="314" t="s">
        <v>203</v>
      </c>
      <c r="FFM12" s="314" t="s">
        <v>203</v>
      </c>
      <c r="FFN12" s="314" t="s">
        <v>203</v>
      </c>
      <c r="FFO12" s="314" t="s">
        <v>203</v>
      </c>
      <c r="FFP12" s="314" t="s">
        <v>203</v>
      </c>
      <c r="FFQ12" s="314" t="s">
        <v>203</v>
      </c>
      <c r="FFR12" s="314" t="s">
        <v>203</v>
      </c>
      <c r="FFS12" s="314" t="s">
        <v>203</v>
      </c>
      <c r="FFT12" s="314" t="s">
        <v>203</v>
      </c>
      <c r="FFU12" s="314" t="s">
        <v>203</v>
      </c>
      <c r="FFV12" s="314" t="s">
        <v>203</v>
      </c>
      <c r="FFW12" s="314" t="s">
        <v>203</v>
      </c>
      <c r="FFX12" s="314" t="s">
        <v>203</v>
      </c>
      <c r="FFY12" s="314" t="s">
        <v>203</v>
      </c>
      <c r="FFZ12" s="314" t="s">
        <v>203</v>
      </c>
      <c r="FGA12" s="314" t="s">
        <v>203</v>
      </c>
      <c r="FGB12" s="314" t="s">
        <v>203</v>
      </c>
      <c r="FGC12" s="314" t="s">
        <v>203</v>
      </c>
      <c r="FGD12" s="314" t="s">
        <v>203</v>
      </c>
      <c r="FGE12" s="314" t="s">
        <v>203</v>
      </c>
      <c r="FGF12" s="314" t="s">
        <v>203</v>
      </c>
      <c r="FGG12" s="314" t="s">
        <v>203</v>
      </c>
      <c r="FGH12" s="314" t="s">
        <v>203</v>
      </c>
      <c r="FGI12" s="314" t="s">
        <v>203</v>
      </c>
      <c r="FGJ12" s="314" t="s">
        <v>203</v>
      </c>
      <c r="FGK12" s="314" t="s">
        <v>203</v>
      </c>
      <c r="FGL12" s="314" t="s">
        <v>203</v>
      </c>
      <c r="FGM12" s="314" t="s">
        <v>203</v>
      </c>
      <c r="FGN12" s="314" t="s">
        <v>203</v>
      </c>
      <c r="FGO12" s="314" t="s">
        <v>203</v>
      </c>
      <c r="FGP12" s="314" t="s">
        <v>203</v>
      </c>
      <c r="FGQ12" s="314" t="s">
        <v>203</v>
      </c>
      <c r="FGR12" s="314" t="s">
        <v>203</v>
      </c>
      <c r="FGS12" s="314" t="s">
        <v>203</v>
      </c>
      <c r="FGT12" s="314" t="s">
        <v>203</v>
      </c>
      <c r="FGU12" s="314" t="s">
        <v>203</v>
      </c>
      <c r="FGV12" s="314" t="s">
        <v>203</v>
      </c>
      <c r="FGW12" s="314" t="s">
        <v>203</v>
      </c>
      <c r="FGX12" s="314" t="s">
        <v>203</v>
      </c>
      <c r="FGY12" s="314" t="s">
        <v>203</v>
      </c>
      <c r="FGZ12" s="314" t="s">
        <v>203</v>
      </c>
      <c r="FHA12" s="314" t="s">
        <v>203</v>
      </c>
      <c r="FHB12" s="314" t="s">
        <v>203</v>
      </c>
      <c r="FHC12" s="314" t="s">
        <v>203</v>
      </c>
      <c r="FHD12" s="314" t="s">
        <v>203</v>
      </c>
      <c r="FHE12" s="314" t="s">
        <v>203</v>
      </c>
      <c r="FHF12" s="314" t="s">
        <v>203</v>
      </c>
      <c r="FHG12" s="314" t="s">
        <v>203</v>
      </c>
      <c r="FHH12" s="314" t="s">
        <v>203</v>
      </c>
      <c r="FHI12" s="314" t="s">
        <v>203</v>
      </c>
      <c r="FHJ12" s="314" t="s">
        <v>203</v>
      </c>
      <c r="FHK12" s="314" t="s">
        <v>203</v>
      </c>
      <c r="FHL12" s="314" t="s">
        <v>203</v>
      </c>
      <c r="FHM12" s="314" t="s">
        <v>203</v>
      </c>
      <c r="FHN12" s="314" t="s">
        <v>203</v>
      </c>
      <c r="FHO12" s="314" t="s">
        <v>203</v>
      </c>
      <c r="FHP12" s="314" t="s">
        <v>203</v>
      </c>
      <c r="FHQ12" s="314" t="s">
        <v>203</v>
      </c>
      <c r="FHR12" s="314" t="s">
        <v>203</v>
      </c>
      <c r="FHS12" s="314" t="s">
        <v>203</v>
      </c>
      <c r="FHT12" s="314" t="s">
        <v>203</v>
      </c>
      <c r="FHU12" s="314" t="s">
        <v>203</v>
      </c>
      <c r="FHV12" s="314" t="s">
        <v>203</v>
      </c>
      <c r="FHW12" s="314" t="s">
        <v>203</v>
      </c>
      <c r="FHX12" s="314" t="s">
        <v>203</v>
      </c>
      <c r="FHY12" s="314" t="s">
        <v>203</v>
      </c>
      <c r="FHZ12" s="314" t="s">
        <v>203</v>
      </c>
      <c r="FIA12" s="314" t="s">
        <v>203</v>
      </c>
      <c r="FIB12" s="314" t="s">
        <v>203</v>
      </c>
      <c r="FIC12" s="314" t="s">
        <v>203</v>
      </c>
      <c r="FID12" s="314" t="s">
        <v>203</v>
      </c>
      <c r="FIE12" s="314" t="s">
        <v>203</v>
      </c>
      <c r="FIF12" s="314" t="s">
        <v>203</v>
      </c>
      <c r="FIG12" s="314" t="s">
        <v>203</v>
      </c>
      <c r="FIH12" s="314" t="s">
        <v>203</v>
      </c>
      <c r="FII12" s="314" t="s">
        <v>203</v>
      </c>
      <c r="FIJ12" s="314" t="s">
        <v>203</v>
      </c>
      <c r="FIK12" s="314" t="s">
        <v>203</v>
      </c>
      <c r="FIL12" s="314" t="s">
        <v>203</v>
      </c>
      <c r="FIM12" s="314" t="s">
        <v>203</v>
      </c>
      <c r="FIN12" s="314" t="s">
        <v>203</v>
      </c>
      <c r="FIO12" s="314" t="s">
        <v>203</v>
      </c>
      <c r="FIP12" s="314" t="s">
        <v>203</v>
      </c>
      <c r="FIQ12" s="314" t="s">
        <v>203</v>
      </c>
      <c r="FIR12" s="314" t="s">
        <v>203</v>
      </c>
      <c r="FIS12" s="314" t="s">
        <v>203</v>
      </c>
      <c r="FIT12" s="314" t="s">
        <v>203</v>
      </c>
      <c r="FIU12" s="314" t="s">
        <v>203</v>
      </c>
      <c r="FIV12" s="314" t="s">
        <v>203</v>
      </c>
      <c r="FIW12" s="314" t="s">
        <v>203</v>
      </c>
      <c r="FIX12" s="314" t="s">
        <v>203</v>
      </c>
      <c r="FIY12" s="314" t="s">
        <v>203</v>
      </c>
      <c r="FIZ12" s="314" t="s">
        <v>203</v>
      </c>
      <c r="FJA12" s="314" t="s">
        <v>203</v>
      </c>
      <c r="FJB12" s="314" t="s">
        <v>203</v>
      </c>
      <c r="FJC12" s="314" t="s">
        <v>203</v>
      </c>
      <c r="FJD12" s="314" t="s">
        <v>203</v>
      </c>
      <c r="FJE12" s="314" t="s">
        <v>203</v>
      </c>
      <c r="FJF12" s="314" t="s">
        <v>203</v>
      </c>
      <c r="FJG12" s="314" t="s">
        <v>203</v>
      </c>
      <c r="FJH12" s="314" t="s">
        <v>203</v>
      </c>
      <c r="FJI12" s="314" t="s">
        <v>203</v>
      </c>
      <c r="FJJ12" s="314" t="s">
        <v>203</v>
      </c>
      <c r="FJK12" s="314" t="s">
        <v>203</v>
      </c>
      <c r="FJL12" s="314" t="s">
        <v>203</v>
      </c>
      <c r="FJM12" s="314" t="s">
        <v>203</v>
      </c>
      <c r="FJN12" s="314" t="s">
        <v>203</v>
      </c>
      <c r="FJO12" s="314" t="s">
        <v>203</v>
      </c>
      <c r="FJP12" s="314" t="s">
        <v>203</v>
      </c>
      <c r="FJQ12" s="314" t="s">
        <v>203</v>
      </c>
      <c r="FJR12" s="314" t="s">
        <v>203</v>
      </c>
      <c r="FJS12" s="314" t="s">
        <v>203</v>
      </c>
      <c r="FJT12" s="314" t="s">
        <v>203</v>
      </c>
      <c r="FJU12" s="314" t="s">
        <v>203</v>
      </c>
      <c r="FJV12" s="314" t="s">
        <v>203</v>
      </c>
      <c r="FJW12" s="314" t="s">
        <v>203</v>
      </c>
      <c r="FJX12" s="314" t="s">
        <v>203</v>
      </c>
      <c r="FJY12" s="314" t="s">
        <v>203</v>
      </c>
      <c r="FJZ12" s="314" t="s">
        <v>203</v>
      </c>
      <c r="FKA12" s="314" t="s">
        <v>203</v>
      </c>
      <c r="FKB12" s="314" t="s">
        <v>203</v>
      </c>
      <c r="FKC12" s="314" t="s">
        <v>203</v>
      </c>
      <c r="FKD12" s="314" t="s">
        <v>203</v>
      </c>
      <c r="FKE12" s="314" t="s">
        <v>203</v>
      </c>
      <c r="FKF12" s="314" t="s">
        <v>203</v>
      </c>
      <c r="FKG12" s="314" t="s">
        <v>203</v>
      </c>
      <c r="FKH12" s="314" t="s">
        <v>203</v>
      </c>
      <c r="FKI12" s="314" t="s">
        <v>203</v>
      </c>
      <c r="FKJ12" s="314" t="s">
        <v>203</v>
      </c>
      <c r="FKK12" s="314" t="s">
        <v>203</v>
      </c>
      <c r="FKL12" s="314" t="s">
        <v>203</v>
      </c>
      <c r="FKM12" s="314" t="s">
        <v>203</v>
      </c>
      <c r="FKN12" s="314" t="s">
        <v>203</v>
      </c>
      <c r="FKO12" s="314" t="s">
        <v>203</v>
      </c>
      <c r="FKP12" s="314" t="s">
        <v>203</v>
      </c>
      <c r="FKQ12" s="314" t="s">
        <v>203</v>
      </c>
      <c r="FKR12" s="314" t="s">
        <v>203</v>
      </c>
      <c r="FKS12" s="314" t="s">
        <v>203</v>
      </c>
      <c r="FKT12" s="314" t="s">
        <v>203</v>
      </c>
      <c r="FKU12" s="314" t="s">
        <v>203</v>
      </c>
      <c r="FKV12" s="314" t="s">
        <v>203</v>
      </c>
      <c r="FKW12" s="314" t="s">
        <v>203</v>
      </c>
      <c r="FKX12" s="314" t="s">
        <v>203</v>
      </c>
      <c r="FKY12" s="314" t="s">
        <v>203</v>
      </c>
      <c r="FKZ12" s="314" t="s">
        <v>203</v>
      </c>
      <c r="FLA12" s="314" t="s">
        <v>203</v>
      </c>
      <c r="FLB12" s="314" t="s">
        <v>203</v>
      </c>
      <c r="FLC12" s="314" t="s">
        <v>203</v>
      </c>
      <c r="FLD12" s="314" t="s">
        <v>203</v>
      </c>
      <c r="FLE12" s="314" t="s">
        <v>203</v>
      </c>
      <c r="FLF12" s="314" t="s">
        <v>203</v>
      </c>
      <c r="FLG12" s="314" t="s">
        <v>203</v>
      </c>
      <c r="FLH12" s="314" t="s">
        <v>203</v>
      </c>
      <c r="FLI12" s="314" t="s">
        <v>203</v>
      </c>
      <c r="FLJ12" s="314" t="s">
        <v>203</v>
      </c>
      <c r="FLK12" s="314" t="s">
        <v>203</v>
      </c>
      <c r="FLL12" s="314" t="s">
        <v>203</v>
      </c>
      <c r="FLM12" s="314" t="s">
        <v>203</v>
      </c>
      <c r="FLN12" s="314" t="s">
        <v>203</v>
      </c>
      <c r="FLO12" s="314" t="s">
        <v>203</v>
      </c>
      <c r="FLP12" s="314" t="s">
        <v>203</v>
      </c>
      <c r="FLQ12" s="314" t="s">
        <v>203</v>
      </c>
      <c r="FLR12" s="314" t="s">
        <v>203</v>
      </c>
      <c r="FLS12" s="314" t="s">
        <v>203</v>
      </c>
      <c r="FLT12" s="314" t="s">
        <v>203</v>
      </c>
      <c r="FLU12" s="314" t="s">
        <v>203</v>
      </c>
      <c r="FLV12" s="314" t="s">
        <v>203</v>
      </c>
      <c r="FLW12" s="314" t="s">
        <v>203</v>
      </c>
      <c r="FLX12" s="314" t="s">
        <v>203</v>
      </c>
      <c r="FLY12" s="314" t="s">
        <v>203</v>
      </c>
      <c r="FLZ12" s="314" t="s">
        <v>203</v>
      </c>
      <c r="FMA12" s="314" t="s">
        <v>203</v>
      </c>
      <c r="FMB12" s="314" t="s">
        <v>203</v>
      </c>
      <c r="FMC12" s="314" t="s">
        <v>203</v>
      </c>
      <c r="FMD12" s="314" t="s">
        <v>203</v>
      </c>
      <c r="FME12" s="314" t="s">
        <v>203</v>
      </c>
      <c r="FMF12" s="314" t="s">
        <v>203</v>
      </c>
      <c r="FMG12" s="314" t="s">
        <v>203</v>
      </c>
      <c r="FMH12" s="314" t="s">
        <v>203</v>
      </c>
      <c r="FMI12" s="314" t="s">
        <v>203</v>
      </c>
      <c r="FMJ12" s="314" t="s">
        <v>203</v>
      </c>
      <c r="FMK12" s="314" t="s">
        <v>203</v>
      </c>
      <c r="FML12" s="314" t="s">
        <v>203</v>
      </c>
      <c r="FMM12" s="314" t="s">
        <v>203</v>
      </c>
      <c r="FMN12" s="314" t="s">
        <v>203</v>
      </c>
      <c r="FMO12" s="314" t="s">
        <v>203</v>
      </c>
      <c r="FMP12" s="314" t="s">
        <v>203</v>
      </c>
      <c r="FMQ12" s="314" t="s">
        <v>203</v>
      </c>
      <c r="FMR12" s="314" t="s">
        <v>203</v>
      </c>
      <c r="FMS12" s="314" t="s">
        <v>203</v>
      </c>
      <c r="FMT12" s="314" t="s">
        <v>203</v>
      </c>
      <c r="FMU12" s="314" t="s">
        <v>203</v>
      </c>
      <c r="FMV12" s="314" t="s">
        <v>203</v>
      </c>
      <c r="FMW12" s="314" t="s">
        <v>203</v>
      </c>
      <c r="FMX12" s="314" t="s">
        <v>203</v>
      </c>
      <c r="FMY12" s="314" t="s">
        <v>203</v>
      </c>
      <c r="FMZ12" s="314" t="s">
        <v>203</v>
      </c>
      <c r="FNA12" s="314" t="s">
        <v>203</v>
      </c>
      <c r="FNB12" s="314" t="s">
        <v>203</v>
      </c>
      <c r="FNC12" s="314" t="s">
        <v>203</v>
      </c>
      <c r="FND12" s="314" t="s">
        <v>203</v>
      </c>
      <c r="FNE12" s="314" t="s">
        <v>203</v>
      </c>
      <c r="FNF12" s="314" t="s">
        <v>203</v>
      </c>
      <c r="FNG12" s="314" t="s">
        <v>203</v>
      </c>
      <c r="FNH12" s="314" t="s">
        <v>203</v>
      </c>
      <c r="FNI12" s="314" t="s">
        <v>203</v>
      </c>
      <c r="FNJ12" s="314" t="s">
        <v>203</v>
      </c>
      <c r="FNK12" s="314" t="s">
        <v>203</v>
      </c>
      <c r="FNL12" s="314" t="s">
        <v>203</v>
      </c>
      <c r="FNM12" s="314" t="s">
        <v>203</v>
      </c>
      <c r="FNN12" s="314" t="s">
        <v>203</v>
      </c>
      <c r="FNO12" s="314" t="s">
        <v>203</v>
      </c>
      <c r="FNP12" s="314" t="s">
        <v>203</v>
      </c>
      <c r="FNQ12" s="314" t="s">
        <v>203</v>
      </c>
      <c r="FNR12" s="314" t="s">
        <v>203</v>
      </c>
      <c r="FNS12" s="314" t="s">
        <v>203</v>
      </c>
      <c r="FNT12" s="314" t="s">
        <v>203</v>
      </c>
      <c r="FNU12" s="314" t="s">
        <v>203</v>
      </c>
      <c r="FNV12" s="314" t="s">
        <v>203</v>
      </c>
      <c r="FNW12" s="314" t="s">
        <v>203</v>
      </c>
      <c r="FNX12" s="314" t="s">
        <v>203</v>
      </c>
      <c r="FNY12" s="314" t="s">
        <v>203</v>
      </c>
      <c r="FNZ12" s="314" t="s">
        <v>203</v>
      </c>
      <c r="FOA12" s="314" t="s">
        <v>203</v>
      </c>
      <c r="FOB12" s="314" t="s">
        <v>203</v>
      </c>
      <c r="FOC12" s="314" t="s">
        <v>203</v>
      </c>
      <c r="FOD12" s="314" t="s">
        <v>203</v>
      </c>
      <c r="FOE12" s="314" t="s">
        <v>203</v>
      </c>
      <c r="FOF12" s="314" t="s">
        <v>203</v>
      </c>
      <c r="FOG12" s="314" t="s">
        <v>203</v>
      </c>
      <c r="FOH12" s="314" t="s">
        <v>203</v>
      </c>
      <c r="FOI12" s="314" t="s">
        <v>203</v>
      </c>
      <c r="FOJ12" s="314" t="s">
        <v>203</v>
      </c>
      <c r="FOK12" s="314" t="s">
        <v>203</v>
      </c>
      <c r="FOL12" s="314" t="s">
        <v>203</v>
      </c>
      <c r="FOM12" s="314" t="s">
        <v>203</v>
      </c>
      <c r="FON12" s="314" t="s">
        <v>203</v>
      </c>
      <c r="FOO12" s="314" t="s">
        <v>203</v>
      </c>
      <c r="FOP12" s="314" t="s">
        <v>203</v>
      </c>
      <c r="FOQ12" s="314" t="s">
        <v>203</v>
      </c>
      <c r="FOR12" s="314" t="s">
        <v>203</v>
      </c>
      <c r="FOS12" s="314" t="s">
        <v>203</v>
      </c>
      <c r="FOT12" s="314" t="s">
        <v>203</v>
      </c>
      <c r="FOU12" s="314" t="s">
        <v>203</v>
      </c>
      <c r="FOV12" s="314" t="s">
        <v>203</v>
      </c>
      <c r="FOW12" s="314" t="s">
        <v>203</v>
      </c>
      <c r="FOX12" s="314" t="s">
        <v>203</v>
      </c>
      <c r="FOY12" s="314" t="s">
        <v>203</v>
      </c>
      <c r="FOZ12" s="314" t="s">
        <v>203</v>
      </c>
      <c r="FPA12" s="314" t="s">
        <v>203</v>
      </c>
      <c r="FPB12" s="314" t="s">
        <v>203</v>
      </c>
      <c r="FPC12" s="314" t="s">
        <v>203</v>
      </c>
      <c r="FPD12" s="314" t="s">
        <v>203</v>
      </c>
      <c r="FPE12" s="314" t="s">
        <v>203</v>
      </c>
      <c r="FPF12" s="314" t="s">
        <v>203</v>
      </c>
      <c r="FPG12" s="314" t="s">
        <v>203</v>
      </c>
      <c r="FPH12" s="314" t="s">
        <v>203</v>
      </c>
      <c r="FPI12" s="314" t="s">
        <v>203</v>
      </c>
      <c r="FPJ12" s="314" t="s">
        <v>203</v>
      </c>
      <c r="FPK12" s="314" t="s">
        <v>203</v>
      </c>
      <c r="FPL12" s="314" t="s">
        <v>203</v>
      </c>
      <c r="FPM12" s="314" t="s">
        <v>203</v>
      </c>
      <c r="FPN12" s="314" t="s">
        <v>203</v>
      </c>
      <c r="FPO12" s="314" t="s">
        <v>203</v>
      </c>
      <c r="FPP12" s="314" t="s">
        <v>203</v>
      </c>
      <c r="FPQ12" s="314" t="s">
        <v>203</v>
      </c>
      <c r="FPR12" s="314" t="s">
        <v>203</v>
      </c>
      <c r="FPS12" s="314" t="s">
        <v>203</v>
      </c>
      <c r="FPT12" s="314" t="s">
        <v>203</v>
      </c>
      <c r="FPU12" s="314" t="s">
        <v>203</v>
      </c>
      <c r="FPV12" s="314" t="s">
        <v>203</v>
      </c>
      <c r="FPW12" s="314" t="s">
        <v>203</v>
      </c>
      <c r="FPX12" s="314" t="s">
        <v>203</v>
      </c>
      <c r="FPY12" s="314" t="s">
        <v>203</v>
      </c>
      <c r="FPZ12" s="314" t="s">
        <v>203</v>
      </c>
      <c r="FQA12" s="314" t="s">
        <v>203</v>
      </c>
      <c r="FQB12" s="314" t="s">
        <v>203</v>
      </c>
      <c r="FQC12" s="314" t="s">
        <v>203</v>
      </c>
      <c r="FQD12" s="314" t="s">
        <v>203</v>
      </c>
      <c r="FQE12" s="314" t="s">
        <v>203</v>
      </c>
      <c r="FQF12" s="314" t="s">
        <v>203</v>
      </c>
      <c r="FQG12" s="314" t="s">
        <v>203</v>
      </c>
      <c r="FQH12" s="314" t="s">
        <v>203</v>
      </c>
      <c r="FQI12" s="314" t="s">
        <v>203</v>
      </c>
      <c r="FQJ12" s="314" t="s">
        <v>203</v>
      </c>
      <c r="FQK12" s="314" t="s">
        <v>203</v>
      </c>
      <c r="FQL12" s="314" t="s">
        <v>203</v>
      </c>
      <c r="FQM12" s="314" t="s">
        <v>203</v>
      </c>
      <c r="FQN12" s="314" t="s">
        <v>203</v>
      </c>
      <c r="FQO12" s="314" t="s">
        <v>203</v>
      </c>
      <c r="FQP12" s="314" t="s">
        <v>203</v>
      </c>
      <c r="FQQ12" s="314" t="s">
        <v>203</v>
      </c>
      <c r="FQR12" s="314" t="s">
        <v>203</v>
      </c>
      <c r="FQS12" s="314" t="s">
        <v>203</v>
      </c>
      <c r="FQT12" s="314" t="s">
        <v>203</v>
      </c>
      <c r="FQU12" s="314" t="s">
        <v>203</v>
      </c>
      <c r="FQV12" s="314" t="s">
        <v>203</v>
      </c>
      <c r="FQW12" s="314" t="s">
        <v>203</v>
      </c>
      <c r="FQX12" s="314" t="s">
        <v>203</v>
      </c>
      <c r="FQY12" s="314" t="s">
        <v>203</v>
      </c>
      <c r="FQZ12" s="314" t="s">
        <v>203</v>
      </c>
      <c r="FRA12" s="314" t="s">
        <v>203</v>
      </c>
      <c r="FRB12" s="314" t="s">
        <v>203</v>
      </c>
      <c r="FRC12" s="314" t="s">
        <v>203</v>
      </c>
      <c r="FRD12" s="314" t="s">
        <v>203</v>
      </c>
      <c r="FRE12" s="314" t="s">
        <v>203</v>
      </c>
      <c r="FRF12" s="314" t="s">
        <v>203</v>
      </c>
      <c r="FRG12" s="314" t="s">
        <v>203</v>
      </c>
      <c r="FRH12" s="314" t="s">
        <v>203</v>
      </c>
      <c r="FRI12" s="314" t="s">
        <v>203</v>
      </c>
      <c r="FRJ12" s="314" t="s">
        <v>203</v>
      </c>
      <c r="FRK12" s="314" t="s">
        <v>203</v>
      </c>
      <c r="FRL12" s="314" t="s">
        <v>203</v>
      </c>
      <c r="FRM12" s="314" t="s">
        <v>203</v>
      </c>
      <c r="FRN12" s="314" t="s">
        <v>203</v>
      </c>
      <c r="FRO12" s="314" t="s">
        <v>203</v>
      </c>
      <c r="FRP12" s="314" t="s">
        <v>203</v>
      </c>
      <c r="FRQ12" s="314" t="s">
        <v>203</v>
      </c>
      <c r="FRR12" s="314" t="s">
        <v>203</v>
      </c>
      <c r="FRS12" s="314" t="s">
        <v>203</v>
      </c>
      <c r="FRT12" s="314" t="s">
        <v>203</v>
      </c>
      <c r="FRU12" s="314" t="s">
        <v>203</v>
      </c>
      <c r="FRV12" s="314" t="s">
        <v>203</v>
      </c>
      <c r="FRW12" s="314" t="s">
        <v>203</v>
      </c>
      <c r="FRX12" s="314" t="s">
        <v>203</v>
      </c>
      <c r="FRY12" s="314" t="s">
        <v>203</v>
      </c>
      <c r="FRZ12" s="314" t="s">
        <v>203</v>
      </c>
      <c r="FSA12" s="314" t="s">
        <v>203</v>
      </c>
      <c r="FSB12" s="314" t="s">
        <v>203</v>
      </c>
      <c r="FSC12" s="314" t="s">
        <v>203</v>
      </c>
      <c r="FSD12" s="314" t="s">
        <v>203</v>
      </c>
      <c r="FSE12" s="314" t="s">
        <v>203</v>
      </c>
      <c r="FSF12" s="314" t="s">
        <v>203</v>
      </c>
      <c r="FSG12" s="314" t="s">
        <v>203</v>
      </c>
      <c r="FSH12" s="314" t="s">
        <v>203</v>
      </c>
      <c r="FSI12" s="314" t="s">
        <v>203</v>
      </c>
      <c r="FSJ12" s="314" t="s">
        <v>203</v>
      </c>
      <c r="FSK12" s="314" t="s">
        <v>203</v>
      </c>
      <c r="FSL12" s="314" t="s">
        <v>203</v>
      </c>
      <c r="FSM12" s="314" t="s">
        <v>203</v>
      </c>
      <c r="FSN12" s="314" t="s">
        <v>203</v>
      </c>
      <c r="FSO12" s="314" t="s">
        <v>203</v>
      </c>
      <c r="FSP12" s="314" t="s">
        <v>203</v>
      </c>
      <c r="FSQ12" s="314" t="s">
        <v>203</v>
      </c>
      <c r="FSR12" s="314" t="s">
        <v>203</v>
      </c>
      <c r="FSS12" s="314" t="s">
        <v>203</v>
      </c>
      <c r="FST12" s="314" t="s">
        <v>203</v>
      </c>
      <c r="FSU12" s="314" t="s">
        <v>203</v>
      </c>
      <c r="FSV12" s="314" t="s">
        <v>203</v>
      </c>
      <c r="FSW12" s="314" t="s">
        <v>203</v>
      </c>
      <c r="FSX12" s="314" t="s">
        <v>203</v>
      </c>
      <c r="FSY12" s="314" t="s">
        <v>203</v>
      </c>
      <c r="FSZ12" s="314" t="s">
        <v>203</v>
      </c>
      <c r="FTA12" s="314" t="s">
        <v>203</v>
      </c>
      <c r="FTB12" s="314" t="s">
        <v>203</v>
      </c>
      <c r="FTC12" s="314" t="s">
        <v>203</v>
      </c>
      <c r="FTD12" s="314" t="s">
        <v>203</v>
      </c>
      <c r="FTE12" s="314" t="s">
        <v>203</v>
      </c>
      <c r="FTF12" s="314" t="s">
        <v>203</v>
      </c>
      <c r="FTG12" s="314" t="s">
        <v>203</v>
      </c>
      <c r="FTH12" s="314" t="s">
        <v>203</v>
      </c>
      <c r="FTI12" s="314" t="s">
        <v>203</v>
      </c>
      <c r="FTJ12" s="314" t="s">
        <v>203</v>
      </c>
      <c r="FTK12" s="314" t="s">
        <v>203</v>
      </c>
      <c r="FTL12" s="314" t="s">
        <v>203</v>
      </c>
      <c r="FTM12" s="314" t="s">
        <v>203</v>
      </c>
      <c r="FTN12" s="314" t="s">
        <v>203</v>
      </c>
      <c r="FTO12" s="314" t="s">
        <v>203</v>
      </c>
      <c r="FTP12" s="314" t="s">
        <v>203</v>
      </c>
      <c r="FTQ12" s="314" t="s">
        <v>203</v>
      </c>
      <c r="FTR12" s="314" t="s">
        <v>203</v>
      </c>
      <c r="FTS12" s="314" t="s">
        <v>203</v>
      </c>
      <c r="FTT12" s="314" t="s">
        <v>203</v>
      </c>
      <c r="FTU12" s="314" t="s">
        <v>203</v>
      </c>
      <c r="FTV12" s="314" t="s">
        <v>203</v>
      </c>
      <c r="FTW12" s="314" t="s">
        <v>203</v>
      </c>
      <c r="FTX12" s="314" t="s">
        <v>203</v>
      </c>
      <c r="FTY12" s="314" t="s">
        <v>203</v>
      </c>
      <c r="FTZ12" s="314" t="s">
        <v>203</v>
      </c>
      <c r="FUA12" s="314" t="s">
        <v>203</v>
      </c>
      <c r="FUB12" s="314" t="s">
        <v>203</v>
      </c>
      <c r="FUC12" s="314" t="s">
        <v>203</v>
      </c>
      <c r="FUD12" s="314" t="s">
        <v>203</v>
      </c>
      <c r="FUE12" s="314" t="s">
        <v>203</v>
      </c>
      <c r="FUF12" s="314" t="s">
        <v>203</v>
      </c>
      <c r="FUG12" s="314" t="s">
        <v>203</v>
      </c>
      <c r="FUH12" s="314" t="s">
        <v>203</v>
      </c>
      <c r="FUI12" s="314" t="s">
        <v>203</v>
      </c>
      <c r="FUJ12" s="314" t="s">
        <v>203</v>
      </c>
      <c r="FUK12" s="314" t="s">
        <v>203</v>
      </c>
      <c r="FUL12" s="314" t="s">
        <v>203</v>
      </c>
      <c r="FUM12" s="314" t="s">
        <v>203</v>
      </c>
      <c r="FUN12" s="314" t="s">
        <v>203</v>
      </c>
      <c r="FUO12" s="314" t="s">
        <v>203</v>
      </c>
      <c r="FUP12" s="314" t="s">
        <v>203</v>
      </c>
      <c r="FUQ12" s="314" t="s">
        <v>203</v>
      </c>
      <c r="FUR12" s="314" t="s">
        <v>203</v>
      </c>
      <c r="FUS12" s="314" t="s">
        <v>203</v>
      </c>
      <c r="FUT12" s="314" t="s">
        <v>203</v>
      </c>
      <c r="FUU12" s="314" t="s">
        <v>203</v>
      </c>
      <c r="FUV12" s="314" t="s">
        <v>203</v>
      </c>
      <c r="FUW12" s="314" t="s">
        <v>203</v>
      </c>
      <c r="FUX12" s="314" t="s">
        <v>203</v>
      </c>
      <c r="FUY12" s="314" t="s">
        <v>203</v>
      </c>
      <c r="FUZ12" s="314" t="s">
        <v>203</v>
      </c>
      <c r="FVA12" s="314" t="s">
        <v>203</v>
      </c>
      <c r="FVB12" s="314" t="s">
        <v>203</v>
      </c>
      <c r="FVC12" s="314" t="s">
        <v>203</v>
      </c>
      <c r="FVD12" s="314" t="s">
        <v>203</v>
      </c>
      <c r="FVE12" s="314" t="s">
        <v>203</v>
      </c>
      <c r="FVF12" s="314" t="s">
        <v>203</v>
      </c>
      <c r="FVG12" s="314" t="s">
        <v>203</v>
      </c>
      <c r="FVH12" s="314" t="s">
        <v>203</v>
      </c>
      <c r="FVI12" s="314" t="s">
        <v>203</v>
      </c>
      <c r="FVJ12" s="314" t="s">
        <v>203</v>
      </c>
      <c r="FVK12" s="314" t="s">
        <v>203</v>
      </c>
      <c r="FVL12" s="314" t="s">
        <v>203</v>
      </c>
      <c r="FVM12" s="314" t="s">
        <v>203</v>
      </c>
      <c r="FVN12" s="314" t="s">
        <v>203</v>
      </c>
      <c r="FVO12" s="314" t="s">
        <v>203</v>
      </c>
      <c r="FVP12" s="314" t="s">
        <v>203</v>
      </c>
      <c r="FVQ12" s="314" t="s">
        <v>203</v>
      </c>
      <c r="FVR12" s="314" t="s">
        <v>203</v>
      </c>
      <c r="FVS12" s="314" t="s">
        <v>203</v>
      </c>
      <c r="FVT12" s="314" t="s">
        <v>203</v>
      </c>
      <c r="FVU12" s="314" t="s">
        <v>203</v>
      </c>
      <c r="FVV12" s="314" t="s">
        <v>203</v>
      </c>
      <c r="FVW12" s="314" t="s">
        <v>203</v>
      </c>
      <c r="FVX12" s="314" t="s">
        <v>203</v>
      </c>
      <c r="FVY12" s="314" t="s">
        <v>203</v>
      </c>
      <c r="FVZ12" s="314" t="s">
        <v>203</v>
      </c>
      <c r="FWA12" s="314" t="s">
        <v>203</v>
      </c>
      <c r="FWB12" s="314" t="s">
        <v>203</v>
      </c>
      <c r="FWC12" s="314" t="s">
        <v>203</v>
      </c>
      <c r="FWD12" s="314" t="s">
        <v>203</v>
      </c>
      <c r="FWE12" s="314" t="s">
        <v>203</v>
      </c>
      <c r="FWF12" s="314" t="s">
        <v>203</v>
      </c>
      <c r="FWG12" s="314" t="s">
        <v>203</v>
      </c>
      <c r="FWH12" s="314" t="s">
        <v>203</v>
      </c>
      <c r="FWI12" s="314" t="s">
        <v>203</v>
      </c>
      <c r="FWJ12" s="314" t="s">
        <v>203</v>
      </c>
      <c r="FWK12" s="314" t="s">
        <v>203</v>
      </c>
      <c r="FWL12" s="314" t="s">
        <v>203</v>
      </c>
      <c r="FWM12" s="314" t="s">
        <v>203</v>
      </c>
      <c r="FWN12" s="314" t="s">
        <v>203</v>
      </c>
      <c r="FWO12" s="314" t="s">
        <v>203</v>
      </c>
      <c r="FWP12" s="314" t="s">
        <v>203</v>
      </c>
      <c r="FWQ12" s="314" t="s">
        <v>203</v>
      </c>
      <c r="FWR12" s="314" t="s">
        <v>203</v>
      </c>
      <c r="FWS12" s="314" t="s">
        <v>203</v>
      </c>
      <c r="FWT12" s="314" t="s">
        <v>203</v>
      </c>
      <c r="FWU12" s="314" t="s">
        <v>203</v>
      </c>
      <c r="FWV12" s="314" t="s">
        <v>203</v>
      </c>
      <c r="FWW12" s="314" t="s">
        <v>203</v>
      </c>
      <c r="FWX12" s="314" t="s">
        <v>203</v>
      </c>
      <c r="FWY12" s="314" t="s">
        <v>203</v>
      </c>
      <c r="FWZ12" s="314" t="s">
        <v>203</v>
      </c>
      <c r="FXA12" s="314" t="s">
        <v>203</v>
      </c>
      <c r="FXB12" s="314" t="s">
        <v>203</v>
      </c>
      <c r="FXC12" s="314" t="s">
        <v>203</v>
      </c>
      <c r="FXD12" s="314" t="s">
        <v>203</v>
      </c>
      <c r="FXE12" s="314" t="s">
        <v>203</v>
      </c>
      <c r="FXF12" s="314" t="s">
        <v>203</v>
      </c>
      <c r="FXG12" s="314" t="s">
        <v>203</v>
      </c>
      <c r="FXH12" s="314" t="s">
        <v>203</v>
      </c>
      <c r="FXI12" s="314" t="s">
        <v>203</v>
      </c>
      <c r="FXJ12" s="314" t="s">
        <v>203</v>
      </c>
      <c r="FXK12" s="314" t="s">
        <v>203</v>
      </c>
      <c r="FXL12" s="314" t="s">
        <v>203</v>
      </c>
      <c r="FXM12" s="314" t="s">
        <v>203</v>
      </c>
      <c r="FXN12" s="314" t="s">
        <v>203</v>
      </c>
      <c r="FXO12" s="314" t="s">
        <v>203</v>
      </c>
      <c r="FXP12" s="314" t="s">
        <v>203</v>
      </c>
      <c r="FXQ12" s="314" t="s">
        <v>203</v>
      </c>
      <c r="FXR12" s="314" t="s">
        <v>203</v>
      </c>
      <c r="FXS12" s="314" t="s">
        <v>203</v>
      </c>
      <c r="FXT12" s="314" t="s">
        <v>203</v>
      </c>
      <c r="FXU12" s="314" t="s">
        <v>203</v>
      </c>
      <c r="FXV12" s="314" t="s">
        <v>203</v>
      </c>
      <c r="FXW12" s="314" t="s">
        <v>203</v>
      </c>
      <c r="FXX12" s="314" t="s">
        <v>203</v>
      </c>
      <c r="FXY12" s="314" t="s">
        <v>203</v>
      </c>
      <c r="FXZ12" s="314" t="s">
        <v>203</v>
      </c>
      <c r="FYA12" s="314" t="s">
        <v>203</v>
      </c>
      <c r="FYB12" s="314" t="s">
        <v>203</v>
      </c>
      <c r="FYC12" s="314" t="s">
        <v>203</v>
      </c>
      <c r="FYD12" s="314" t="s">
        <v>203</v>
      </c>
      <c r="FYE12" s="314" t="s">
        <v>203</v>
      </c>
      <c r="FYF12" s="314" t="s">
        <v>203</v>
      </c>
      <c r="FYG12" s="314" t="s">
        <v>203</v>
      </c>
      <c r="FYH12" s="314" t="s">
        <v>203</v>
      </c>
      <c r="FYI12" s="314" t="s">
        <v>203</v>
      </c>
      <c r="FYJ12" s="314" t="s">
        <v>203</v>
      </c>
      <c r="FYK12" s="314" t="s">
        <v>203</v>
      </c>
      <c r="FYL12" s="314" t="s">
        <v>203</v>
      </c>
      <c r="FYM12" s="314" t="s">
        <v>203</v>
      </c>
      <c r="FYN12" s="314" t="s">
        <v>203</v>
      </c>
      <c r="FYO12" s="314" t="s">
        <v>203</v>
      </c>
      <c r="FYP12" s="314" t="s">
        <v>203</v>
      </c>
      <c r="FYQ12" s="314" t="s">
        <v>203</v>
      </c>
      <c r="FYR12" s="314" t="s">
        <v>203</v>
      </c>
      <c r="FYS12" s="314" t="s">
        <v>203</v>
      </c>
      <c r="FYT12" s="314" t="s">
        <v>203</v>
      </c>
      <c r="FYU12" s="314" t="s">
        <v>203</v>
      </c>
      <c r="FYV12" s="314" t="s">
        <v>203</v>
      </c>
      <c r="FYW12" s="314" t="s">
        <v>203</v>
      </c>
      <c r="FYX12" s="314" t="s">
        <v>203</v>
      </c>
      <c r="FYY12" s="314" t="s">
        <v>203</v>
      </c>
      <c r="FYZ12" s="314" t="s">
        <v>203</v>
      </c>
      <c r="FZA12" s="314" t="s">
        <v>203</v>
      </c>
      <c r="FZB12" s="314" t="s">
        <v>203</v>
      </c>
      <c r="FZC12" s="314" t="s">
        <v>203</v>
      </c>
      <c r="FZD12" s="314" t="s">
        <v>203</v>
      </c>
      <c r="FZE12" s="314" t="s">
        <v>203</v>
      </c>
      <c r="FZF12" s="314" t="s">
        <v>203</v>
      </c>
      <c r="FZG12" s="314" t="s">
        <v>203</v>
      </c>
      <c r="FZH12" s="314" t="s">
        <v>203</v>
      </c>
      <c r="FZI12" s="314" t="s">
        <v>203</v>
      </c>
      <c r="FZJ12" s="314" t="s">
        <v>203</v>
      </c>
      <c r="FZK12" s="314" t="s">
        <v>203</v>
      </c>
      <c r="FZL12" s="314" t="s">
        <v>203</v>
      </c>
      <c r="FZM12" s="314" t="s">
        <v>203</v>
      </c>
      <c r="FZN12" s="314" t="s">
        <v>203</v>
      </c>
      <c r="FZO12" s="314" t="s">
        <v>203</v>
      </c>
      <c r="FZP12" s="314" t="s">
        <v>203</v>
      </c>
      <c r="FZQ12" s="314" t="s">
        <v>203</v>
      </c>
      <c r="FZR12" s="314" t="s">
        <v>203</v>
      </c>
      <c r="FZS12" s="314" t="s">
        <v>203</v>
      </c>
      <c r="FZT12" s="314" t="s">
        <v>203</v>
      </c>
      <c r="FZU12" s="314" t="s">
        <v>203</v>
      </c>
      <c r="FZV12" s="314" t="s">
        <v>203</v>
      </c>
      <c r="FZW12" s="314" t="s">
        <v>203</v>
      </c>
      <c r="FZX12" s="314" t="s">
        <v>203</v>
      </c>
      <c r="FZY12" s="314" t="s">
        <v>203</v>
      </c>
      <c r="FZZ12" s="314" t="s">
        <v>203</v>
      </c>
      <c r="GAA12" s="314" t="s">
        <v>203</v>
      </c>
      <c r="GAB12" s="314" t="s">
        <v>203</v>
      </c>
      <c r="GAC12" s="314" t="s">
        <v>203</v>
      </c>
      <c r="GAD12" s="314" t="s">
        <v>203</v>
      </c>
      <c r="GAE12" s="314" t="s">
        <v>203</v>
      </c>
      <c r="GAF12" s="314" t="s">
        <v>203</v>
      </c>
      <c r="GAG12" s="314" t="s">
        <v>203</v>
      </c>
      <c r="GAH12" s="314" t="s">
        <v>203</v>
      </c>
      <c r="GAI12" s="314" t="s">
        <v>203</v>
      </c>
      <c r="GAJ12" s="314" t="s">
        <v>203</v>
      </c>
      <c r="GAK12" s="314" t="s">
        <v>203</v>
      </c>
      <c r="GAL12" s="314" t="s">
        <v>203</v>
      </c>
      <c r="GAM12" s="314" t="s">
        <v>203</v>
      </c>
      <c r="GAN12" s="314" t="s">
        <v>203</v>
      </c>
      <c r="GAO12" s="314" t="s">
        <v>203</v>
      </c>
      <c r="GAP12" s="314" t="s">
        <v>203</v>
      </c>
      <c r="GAQ12" s="314" t="s">
        <v>203</v>
      </c>
      <c r="GAR12" s="314" t="s">
        <v>203</v>
      </c>
      <c r="GAS12" s="314" t="s">
        <v>203</v>
      </c>
      <c r="GAT12" s="314" t="s">
        <v>203</v>
      </c>
      <c r="GAU12" s="314" t="s">
        <v>203</v>
      </c>
      <c r="GAV12" s="314" t="s">
        <v>203</v>
      </c>
      <c r="GAW12" s="314" t="s">
        <v>203</v>
      </c>
      <c r="GAX12" s="314" t="s">
        <v>203</v>
      </c>
      <c r="GAY12" s="314" t="s">
        <v>203</v>
      </c>
      <c r="GAZ12" s="314" t="s">
        <v>203</v>
      </c>
      <c r="GBA12" s="314" t="s">
        <v>203</v>
      </c>
      <c r="GBB12" s="314" t="s">
        <v>203</v>
      </c>
      <c r="GBC12" s="314" t="s">
        <v>203</v>
      </c>
      <c r="GBD12" s="314" t="s">
        <v>203</v>
      </c>
      <c r="GBE12" s="314" t="s">
        <v>203</v>
      </c>
      <c r="GBF12" s="314" t="s">
        <v>203</v>
      </c>
      <c r="GBG12" s="314" t="s">
        <v>203</v>
      </c>
      <c r="GBH12" s="314" t="s">
        <v>203</v>
      </c>
      <c r="GBI12" s="314" t="s">
        <v>203</v>
      </c>
      <c r="GBJ12" s="314" t="s">
        <v>203</v>
      </c>
      <c r="GBK12" s="314" t="s">
        <v>203</v>
      </c>
      <c r="GBL12" s="314" t="s">
        <v>203</v>
      </c>
      <c r="GBM12" s="314" t="s">
        <v>203</v>
      </c>
      <c r="GBN12" s="314" t="s">
        <v>203</v>
      </c>
      <c r="GBO12" s="314" t="s">
        <v>203</v>
      </c>
      <c r="GBP12" s="314" t="s">
        <v>203</v>
      </c>
      <c r="GBQ12" s="314" t="s">
        <v>203</v>
      </c>
      <c r="GBR12" s="314" t="s">
        <v>203</v>
      </c>
      <c r="GBS12" s="314" t="s">
        <v>203</v>
      </c>
      <c r="GBT12" s="314" t="s">
        <v>203</v>
      </c>
      <c r="GBU12" s="314" t="s">
        <v>203</v>
      </c>
      <c r="GBV12" s="314" t="s">
        <v>203</v>
      </c>
      <c r="GBW12" s="314" t="s">
        <v>203</v>
      </c>
      <c r="GBX12" s="314" t="s">
        <v>203</v>
      </c>
      <c r="GBY12" s="314" t="s">
        <v>203</v>
      </c>
      <c r="GBZ12" s="314" t="s">
        <v>203</v>
      </c>
      <c r="GCA12" s="314" t="s">
        <v>203</v>
      </c>
      <c r="GCB12" s="314" t="s">
        <v>203</v>
      </c>
      <c r="GCC12" s="314" t="s">
        <v>203</v>
      </c>
      <c r="GCD12" s="314" t="s">
        <v>203</v>
      </c>
      <c r="GCE12" s="314" t="s">
        <v>203</v>
      </c>
      <c r="GCF12" s="314" t="s">
        <v>203</v>
      </c>
      <c r="GCG12" s="314" t="s">
        <v>203</v>
      </c>
      <c r="GCH12" s="314" t="s">
        <v>203</v>
      </c>
      <c r="GCI12" s="314" t="s">
        <v>203</v>
      </c>
      <c r="GCJ12" s="314" t="s">
        <v>203</v>
      </c>
      <c r="GCK12" s="314" t="s">
        <v>203</v>
      </c>
      <c r="GCL12" s="314" t="s">
        <v>203</v>
      </c>
      <c r="GCM12" s="314" t="s">
        <v>203</v>
      </c>
      <c r="GCN12" s="314" t="s">
        <v>203</v>
      </c>
      <c r="GCO12" s="314" t="s">
        <v>203</v>
      </c>
      <c r="GCP12" s="314" t="s">
        <v>203</v>
      </c>
      <c r="GCQ12" s="314" t="s">
        <v>203</v>
      </c>
      <c r="GCR12" s="314" t="s">
        <v>203</v>
      </c>
      <c r="GCS12" s="314" t="s">
        <v>203</v>
      </c>
      <c r="GCT12" s="314" t="s">
        <v>203</v>
      </c>
      <c r="GCU12" s="314" t="s">
        <v>203</v>
      </c>
      <c r="GCV12" s="314" t="s">
        <v>203</v>
      </c>
      <c r="GCW12" s="314" t="s">
        <v>203</v>
      </c>
      <c r="GCX12" s="314" t="s">
        <v>203</v>
      </c>
      <c r="GCY12" s="314" t="s">
        <v>203</v>
      </c>
      <c r="GCZ12" s="314" t="s">
        <v>203</v>
      </c>
      <c r="GDA12" s="314" t="s">
        <v>203</v>
      </c>
      <c r="GDB12" s="314" t="s">
        <v>203</v>
      </c>
      <c r="GDC12" s="314" t="s">
        <v>203</v>
      </c>
      <c r="GDD12" s="314" t="s">
        <v>203</v>
      </c>
      <c r="GDE12" s="314" t="s">
        <v>203</v>
      </c>
      <c r="GDF12" s="314" t="s">
        <v>203</v>
      </c>
      <c r="GDG12" s="314" t="s">
        <v>203</v>
      </c>
      <c r="GDH12" s="314" t="s">
        <v>203</v>
      </c>
      <c r="GDI12" s="314" t="s">
        <v>203</v>
      </c>
      <c r="GDJ12" s="314" t="s">
        <v>203</v>
      </c>
      <c r="GDK12" s="314" t="s">
        <v>203</v>
      </c>
      <c r="GDL12" s="314" t="s">
        <v>203</v>
      </c>
      <c r="GDM12" s="314" t="s">
        <v>203</v>
      </c>
      <c r="GDN12" s="314" t="s">
        <v>203</v>
      </c>
      <c r="GDO12" s="314" t="s">
        <v>203</v>
      </c>
      <c r="GDP12" s="314" t="s">
        <v>203</v>
      </c>
      <c r="GDQ12" s="314" t="s">
        <v>203</v>
      </c>
      <c r="GDR12" s="314" t="s">
        <v>203</v>
      </c>
      <c r="GDS12" s="314" t="s">
        <v>203</v>
      </c>
      <c r="GDT12" s="314" t="s">
        <v>203</v>
      </c>
      <c r="GDU12" s="314" t="s">
        <v>203</v>
      </c>
      <c r="GDV12" s="314" t="s">
        <v>203</v>
      </c>
      <c r="GDW12" s="314" t="s">
        <v>203</v>
      </c>
      <c r="GDX12" s="314" t="s">
        <v>203</v>
      </c>
      <c r="GDY12" s="314" t="s">
        <v>203</v>
      </c>
      <c r="GDZ12" s="314" t="s">
        <v>203</v>
      </c>
      <c r="GEA12" s="314" t="s">
        <v>203</v>
      </c>
      <c r="GEB12" s="314" t="s">
        <v>203</v>
      </c>
      <c r="GEC12" s="314" t="s">
        <v>203</v>
      </c>
      <c r="GED12" s="314" t="s">
        <v>203</v>
      </c>
      <c r="GEE12" s="314" t="s">
        <v>203</v>
      </c>
      <c r="GEF12" s="314" t="s">
        <v>203</v>
      </c>
      <c r="GEG12" s="314" t="s">
        <v>203</v>
      </c>
      <c r="GEH12" s="314" t="s">
        <v>203</v>
      </c>
      <c r="GEI12" s="314" t="s">
        <v>203</v>
      </c>
      <c r="GEJ12" s="314" t="s">
        <v>203</v>
      </c>
      <c r="GEK12" s="314" t="s">
        <v>203</v>
      </c>
      <c r="GEL12" s="314" t="s">
        <v>203</v>
      </c>
      <c r="GEM12" s="314" t="s">
        <v>203</v>
      </c>
      <c r="GEN12" s="314" t="s">
        <v>203</v>
      </c>
      <c r="GEO12" s="314" t="s">
        <v>203</v>
      </c>
      <c r="GEP12" s="314" t="s">
        <v>203</v>
      </c>
      <c r="GEQ12" s="314" t="s">
        <v>203</v>
      </c>
      <c r="GER12" s="314" t="s">
        <v>203</v>
      </c>
      <c r="GES12" s="314" t="s">
        <v>203</v>
      </c>
      <c r="GET12" s="314" t="s">
        <v>203</v>
      </c>
      <c r="GEU12" s="314" t="s">
        <v>203</v>
      </c>
      <c r="GEV12" s="314" t="s">
        <v>203</v>
      </c>
      <c r="GEW12" s="314" t="s">
        <v>203</v>
      </c>
      <c r="GEX12" s="314" t="s">
        <v>203</v>
      </c>
      <c r="GEY12" s="314" t="s">
        <v>203</v>
      </c>
      <c r="GEZ12" s="314" t="s">
        <v>203</v>
      </c>
      <c r="GFA12" s="314" t="s">
        <v>203</v>
      </c>
      <c r="GFB12" s="314" t="s">
        <v>203</v>
      </c>
      <c r="GFC12" s="314" t="s">
        <v>203</v>
      </c>
      <c r="GFD12" s="314" t="s">
        <v>203</v>
      </c>
      <c r="GFE12" s="314" t="s">
        <v>203</v>
      </c>
      <c r="GFF12" s="314" t="s">
        <v>203</v>
      </c>
      <c r="GFG12" s="314" t="s">
        <v>203</v>
      </c>
      <c r="GFH12" s="314" t="s">
        <v>203</v>
      </c>
      <c r="GFI12" s="314" t="s">
        <v>203</v>
      </c>
      <c r="GFJ12" s="314" t="s">
        <v>203</v>
      </c>
      <c r="GFK12" s="314" t="s">
        <v>203</v>
      </c>
      <c r="GFL12" s="314" t="s">
        <v>203</v>
      </c>
      <c r="GFM12" s="314" t="s">
        <v>203</v>
      </c>
      <c r="GFN12" s="314" t="s">
        <v>203</v>
      </c>
      <c r="GFO12" s="314" t="s">
        <v>203</v>
      </c>
      <c r="GFP12" s="314" t="s">
        <v>203</v>
      </c>
      <c r="GFQ12" s="314" t="s">
        <v>203</v>
      </c>
      <c r="GFR12" s="314" t="s">
        <v>203</v>
      </c>
      <c r="GFS12" s="314" t="s">
        <v>203</v>
      </c>
      <c r="GFT12" s="314" t="s">
        <v>203</v>
      </c>
      <c r="GFU12" s="314" t="s">
        <v>203</v>
      </c>
      <c r="GFV12" s="314" t="s">
        <v>203</v>
      </c>
      <c r="GFW12" s="314" t="s">
        <v>203</v>
      </c>
      <c r="GFX12" s="314" t="s">
        <v>203</v>
      </c>
      <c r="GFY12" s="314" t="s">
        <v>203</v>
      </c>
      <c r="GFZ12" s="314" t="s">
        <v>203</v>
      </c>
      <c r="GGA12" s="314" t="s">
        <v>203</v>
      </c>
      <c r="GGB12" s="314" t="s">
        <v>203</v>
      </c>
      <c r="GGC12" s="314" t="s">
        <v>203</v>
      </c>
      <c r="GGD12" s="314" t="s">
        <v>203</v>
      </c>
      <c r="GGE12" s="314" t="s">
        <v>203</v>
      </c>
      <c r="GGF12" s="314" t="s">
        <v>203</v>
      </c>
      <c r="GGG12" s="314" t="s">
        <v>203</v>
      </c>
      <c r="GGH12" s="314" t="s">
        <v>203</v>
      </c>
      <c r="GGI12" s="314" t="s">
        <v>203</v>
      </c>
      <c r="GGJ12" s="314" t="s">
        <v>203</v>
      </c>
      <c r="GGK12" s="314" t="s">
        <v>203</v>
      </c>
      <c r="GGL12" s="314" t="s">
        <v>203</v>
      </c>
      <c r="GGM12" s="314" t="s">
        <v>203</v>
      </c>
      <c r="GGN12" s="314" t="s">
        <v>203</v>
      </c>
      <c r="GGO12" s="314" t="s">
        <v>203</v>
      </c>
      <c r="GGP12" s="314" t="s">
        <v>203</v>
      </c>
      <c r="GGQ12" s="314" t="s">
        <v>203</v>
      </c>
      <c r="GGR12" s="314" t="s">
        <v>203</v>
      </c>
      <c r="GGS12" s="314" t="s">
        <v>203</v>
      </c>
      <c r="GGT12" s="314" t="s">
        <v>203</v>
      </c>
      <c r="GGU12" s="314" t="s">
        <v>203</v>
      </c>
      <c r="GGV12" s="314" t="s">
        <v>203</v>
      </c>
      <c r="GGW12" s="314" t="s">
        <v>203</v>
      </c>
      <c r="GGX12" s="314" t="s">
        <v>203</v>
      </c>
      <c r="GGY12" s="314" t="s">
        <v>203</v>
      </c>
      <c r="GGZ12" s="314" t="s">
        <v>203</v>
      </c>
      <c r="GHA12" s="314" t="s">
        <v>203</v>
      </c>
      <c r="GHB12" s="314" t="s">
        <v>203</v>
      </c>
      <c r="GHC12" s="314" t="s">
        <v>203</v>
      </c>
      <c r="GHD12" s="314" t="s">
        <v>203</v>
      </c>
      <c r="GHE12" s="314" t="s">
        <v>203</v>
      </c>
      <c r="GHF12" s="314" t="s">
        <v>203</v>
      </c>
      <c r="GHG12" s="314" t="s">
        <v>203</v>
      </c>
      <c r="GHH12" s="314" t="s">
        <v>203</v>
      </c>
      <c r="GHI12" s="314" t="s">
        <v>203</v>
      </c>
      <c r="GHJ12" s="314" t="s">
        <v>203</v>
      </c>
      <c r="GHK12" s="314" t="s">
        <v>203</v>
      </c>
      <c r="GHL12" s="314" t="s">
        <v>203</v>
      </c>
      <c r="GHM12" s="314" t="s">
        <v>203</v>
      </c>
      <c r="GHN12" s="314" t="s">
        <v>203</v>
      </c>
      <c r="GHO12" s="314" t="s">
        <v>203</v>
      </c>
      <c r="GHP12" s="314" t="s">
        <v>203</v>
      </c>
      <c r="GHQ12" s="314" t="s">
        <v>203</v>
      </c>
      <c r="GHR12" s="314" t="s">
        <v>203</v>
      </c>
      <c r="GHS12" s="314" t="s">
        <v>203</v>
      </c>
      <c r="GHT12" s="314" t="s">
        <v>203</v>
      </c>
      <c r="GHU12" s="314" t="s">
        <v>203</v>
      </c>
      <c r="GHV12" s="314" t="s">
        <v>203</v>
      </c>
      <c r="GHW12" s="314" t="s">
        <v>203</v>
      </c>
      <c r="GHX12" s="314" t="s">
        <v>203</v>
      </c>
      <c r="GHY12" s="314" t="s">
        <v>203</v>
      </c>
      <c r="GHZ12" s="314" t="s">
        <v>203</v>
      </c>
      <c r="GIA12" s="314" t="s">
        <v>203</v>
      </c>
      <c r="GIB12" s="314" t="s">
        <v>203</v>
      </c>
      <c r="GIC12" s="314" t="s">
        <v>203</v>
      </c>
      <c r="GID12" s="314" t="s">
        <v>203</v>
      </c>
      <c r="GIE12" s="314" t="s">
        <v>203</v>
      </c>
      <c r="GIF12" s="314" t="s">
        <v>203</v>
      </c>
      <c r="GIG12" s="314" t="s">
        <v>203</v>
      </c>
      <c r="GIH12" s="314" t="s">
        <v>203</v>
      </c>
      <c r="GII12" s="314" t="s">
        <v>203</v>
      </c>
      <c r="GIJ12" s="314" t="s">
        <v>203</v>
      </c>
      <c r="GIK12" s="314" t="s">
        <v>203</v>
      </c>
      <c r="GIL12" s="314" t="s">
        <v>203</v>
      </c>
      <c r="GIM12" s="314" t="s">
        <v>203</v>
      </c>
      <c r="GIN12" s="314" t="s">
        <v>203</v>
      </c>
      <c r="GIO12" s="314" t="s">
        <v>203</v>
      </c>
      <c r="GIP12" s="314" t="s">
        <v>203</v>
      </c>
      <c r="GIQ12" s="314" t="s">
        <v>203</v>
      </c>
      <c r="GIR12" s="314" t="s">
        <v>203</v>
      </c>
      <c r="GIS12" s="314" t="s">
        <v>203</v>
      </c>
      <c r="GIT12" s="314" t="s">
        <v>203</v>
      </c>
      <c r="GIU12" s="314" t="s">
        <v>203</v>
      </c>
      <c r="GIV12" s="314" t="s">
        <v>203</v>
      </c>
      <c r="GIW12" s="314" t="s">
        <v>203</v>
      </c>
      <c r="GIX12" s="314" t="s">
        <v>203</v>
      </c>
      <c r="GIY12" s="314" t="s">
        <v>203</v>
      </c>
      <c r="GIZ12" s="314" t="s">
        <v>203</v>
      </c>
      <c r="GJA12" s="314" t="s">
        <v>203</v>
      </c>
      <c r="GJB12" s="314" t="s">
        <v>203</v>
      </c>
      <c r="GJC12" s="314" t="s">
        <v>203</v>
      </c>
      <c r="GJD12" s="314" t="s">
        <v>203</v>
      </c>
      <c r="GJE12" s="314" t="s">
        <v>203</v>
      </c>
      <c r="GJF12" s="314" t="s">
        <v>203</v>
      </c>
      <c r="GJG12" s="314" t="s">
        <v>203</v>
      </c>
      <c r="GJH12" s="314" t="s">
        <v>203</v>
      </c>
      <c r="GJI12" s="314" t="s">
        <v>203</v>
      </c>
      <c r="GJJ12" s="314" t="s">
        <v>203</v>
      </c>
      <c r="GJK12" s="314" t="s">
        <v>203</v>
      </c>
      <c r="GJL12" s="314" t="s">
        <v>203</v>
      </c>
      <c r="GJM12" s="314" t="s">
        <v>203</v>
      </c>
      <c r="GJN12" s="314" t="s">
        <v>203</v>
      </c>
      <c r="GJO12" s="314" t="s">
        <v>203</v>
      </c>
      <c r="GJP12" s="314" t="s">
        <v>203</v>
      </c>
      <c r="GJQ12" s="314" t="s">
        <v>203</v>
      </c>
      <c r="GJR12" s="314" t="s">
        <v>203</v>
      </c>
      <c r="GJS12" s="314" t="s">
        <v>203</v>
      </c>
      <c r="GJT12" s="314" t="s">
        <v>203</v>
      </c>
      <c r="GJU12" s="314" t="s">
        <v>203</v>
      </c>
      <c r="GJV12" s="314" t="s">
        <v>203</v>
      </c>
      <c r="GJW12" s="314" t="s">
        <v>203</v>
      </c>
      <c r="GJX12" s="314" t="s">
        <v>203</v>
      </c>
      <c r="GJY12" s="314" t="s">
        <v>203</v>
      </c>
      <c r="GJZ12" s="314" t="s">
        <v>203</v>
      </c>
      <c r="GKA12" s="314" t="s">
        <v>203</v>
      </c>
      <c r="GKB12" s="314" t="s">
        <v>203</v>
      </c>
      <c r="GKC12" s="314" t="s">
        <v>203</v>
      </c>
      <c r="GKD12" s="314" t="s">
        <v>203</v>
      </c>
      <c r="GKE12" s="314" t="s">
        <v>203</v>
      </c>
      <c r="GKF12" s="314" t="s">
        <v>203</v>
      </c>
      <c r="GKG12" s="314" t="s">
        <v>203</v>
      </c>
      <c r="GKH12" s="314" t="s">
        <v>203</v>
      </c>
      <c r="GKI12" s="314" t="s">
        <v>203</v>
      </c>
      <c r="GKJ12" s="314" t="s">
        <v>203</v>
      </c>
      <c r="GKK12" s="314" t="s">
        <v>203</v>
      </c>
      <c r="GKL12" s="314" t="s">
        <v>203</v>
      </c>
      <c r="GKM12" s="314" t="s">
        <v>203</v>
      </c>
      <c r="GKN12" s="314" t="s">
        <v>203</v>
      </c>
      <c r="GKO12" s="314" t="s">
        <v>203</v>
      </c>
      <c r="GKP12" s="314" t="s">
        <v>203</v>
      </c>
      <c r="GKQ12" s="314" t="s">
        <v>203</v>
      </c>
      <c r="GKR12" s="314" t="s">
        <v>203</v>
      </c>
      <c r="GKS12" s="314" t="s">
        <v>203</v>
      </c>
      <c r="GKT12" s="314" t="s">
        <v>203</v>
      </c>
      <c r="GKU12" s="314" t="s">
        <v>203</v>
      </c>
      <c r="GKV12" s="314" t="s">
        <v>203</v>
      </c>
      <c r="GKW12" s="314" t="s">
        <v>203</v>
      </c>
      <c r="GKX12" s="314" t="s">
        <v>203</v>
      </c>
      <c r="GKY12" s="314" t="s">
        <v>203</v>
      </c>
      <c r="GKZ12" s="314" t="s">
        <v>203</v>
      </c>
      <c r="GLA12" s="314" t="s">
        <v>203</v>
      </c>
      <c r="GLB12" s="314" t="s">
        <v>203</v>
      </c>
      <c r="GLC12" s="314" t="s">
        <v>203</v>
      </c>
      <c r="GLD12" s="314" t="s">
        <v>203</v>
      </c>
      <c r="GLE12" s="314" t="s">
        <v>203</v>
      </c>
      <c r="GLF12" s="314" t="s">
        <v>203</v>
      </c>
      <c r="GLG12" s="314" t="s">
        <v>203</v>
      </c>
      <c r="GLH12" s="314" t="s">
        <v>203</v>
      </c>
      <c r="GLI12" s="314" t="s">
        <v>203</v>
      </c>
      <c r="GLJ12" s="314" t="s">
        <v>203</v>
      </c>
      <c r="GLK12" s="314" t="s">
        <v>203</v>
      </c>
      <c r="GLL12" s="314" t="s">
        <v>203</v>
      </c>
      <c r="GLM12" s="314" t="s">
        <v>203</v>
      </c>
      <c r="GLN12" s="314" t="s">
        <v>203</v>
      </c>
      <c r="GLO12" s="314" t="s">
        <v>203</v>
      </c>
      <c r="GLP12" s="314" t="s">
        <v>203</v>
      </c>
      <c r="GLQ12" s="314" t="s">
        <v>203</v>
      </c>
      <c r="GLR12" s="314" t="s">
        <v>203</v>
      </c>
      <c r="GLS12" s="314" t="s">
        <v>203</v>
      </c>
      <c r="GLT12" s="314" t="s">
        <v>203</v>
      </c>
      <c r="GLU12" s="314" t="s">
        <v>203</v>
      </c>
      <c r="GLV12" s="314" t="s">
        <v>203</v>
      </c>
      <c r="GLW12" s="314" t="s">
        <v>203</v>
      </c>
      <c r="GLX12" s="314" t="s">
        <v>203</v>
      </c>
      <c r="GLY12" s="314" t="s">
        <v>203</v>
      </c>
      <c r="GLZ12" s="314" t="s">
        <v>203</v>
      </c>
      <c r="GMA12" s="314" t="s">
        <v>203</v>
      </c>
      <c r="GMB12" s="314" t="s">
        <v>203</v>
      </c>
      <c r="GMC12" s="314" t="s">
        <v>203</v>
      </c>
      <c r="GMD12" s="314" t="s">
        <v>203</v>
      </c>
      <c r="GME12" s="314" t="s">
        <v>203</v>
      </c>
      <c r="GMF12" s="314" t="s">
        <v>203</v>
      </c>
      <c r="GMG12" s="314" t="s">
        <v>203</v>
      </c>
      <c r="GMH12" s="314" t="s">
        <v>203</v>
      </c>
      <c r="GMI12" s="314" t="s">
        <v>203</v>
      </c>
      <c r="GMJ12" s="314" t="s">
        <v>203</v>
      </c>
      <c r="GMK12" s="314" t="s">
        <v>203</v>
      </c>
      <c r="GML12" s="314" t="s">
        <v>203</v>
      </c>
      <c r="GMM12" s="314" t="s">
        <v>203</v>
      </c>
      <c r="GMN12" s="314" t="s">
        <v>203</v>
      </c>
      <c r="GMO12" s="314" t="s">
        <v>203</v>
      </c>
      <c r="GMP12" s="314" t="s">
        <v>203</v>
      </c>
      <c r="GMQ12" s="314" t="s">
        <v>203</v>
      </c>
      <c r="GMR12" s="314" t="s">
        <v>203</v>
      </c>
      <c r="GMS12" s="314" t="s">
        <v>203</v>
      </c>
      <c r="GMT12" s="314" t="s">
        <v>203</v>
      </c>
      <c r="GMU12" s="314" t="s">
        <v>203</v>
      </c>
      <c r="GMV12" s="314" t="s">
        <v>203</v>
      </c>
      <c r="GMW12" s="314" t="s">
        <v>203</v>
      </c>
      <c r="GMX12" s="314" t="s">
        <v>203</v>
      </c>
      <c r="GMY12" s="314" t="s">
        <v>203</v>
      </c>
      <c r="GMZ12" s="314" t="s">
        <v>203</v>
      </c>
      <c r="GNA12" s="314" t="s">
        <v>203</v>
      </c>
      <c r="GNB12" s="314" t="s">
        <v>203</v>
      </c>
      <c r="GNC12" s="314" t="s">
        <v>203</v>
      </c>
      <c r="GND12" s="314" t="s">
        <v>203</v>
      </c>
      <c r="GNE12" s="314" t="s">
        <v>203</v>
      </c>
      <c r="GNF12" s="314" t="s">
        <v>203</v>
      </c>
      <c r="GNG12" s="314" t="s">
        <v>203</v>
      </c>
      <c r="GNH12" s="314" t="s">
        <v>203</v>
      </c>
      <c r="GNI12" s="314" t="s">
        <v>203</v>
      </c>
      <c r="GNJ12" s="314" t="s">
        <v>203</v>
      </c>
      <c r="GNK12" s="314" t="s">
        <v>203</v>
      </c>
      <c r="GNL12" s="314" t="s">
        <v>203</v>
      </c>
      <c r="GNM12" s="314" t="s">
        <v>203</v>
      </c>
      <c r="GNN12" s="314" t="s">
        <v>203</v>
      </c>
      <c r="GNO12" s="314" t="s">
        <v>203</v>
      </c>
      <c r="GNP12" s="314" t="s">
        <v>203</v>
      </c>
      <c r="GNQ12" s="314" t="s">
        <v>203</v>
      </c>
      <c r="GNR12" s="314" t="s">
        <v>203</v>
      </c>
      <c r="GNS12" s="314" t="s">
        <v>203</v>
      </c>
      <c r="GNT12" s="314" t="s">
        <v>203</v>
      </c>
      <c r="GNU12" s="314" t="s">
        <v>203</v>
      </c>
      <c r="GNV12" s="314" t="s">
        <v>203</v>
      </c>
      <c r="GNW12" s="314" t="s">
        <v>203</v>
      </c>
      <c r="GNX12" s="314" t="s">
        <v>203</v>
      </c>
      <c r="GNY12" s="314" t="s">
        <v>203</v>
      </c>
      <c r="GNZ12" s="314" t="s">
        <v>203</v>
      </c>
      <c r="GOA12" s="314" t="s">
        <v>203</v>
      </c>
      <c r="GOB12" s="314" t="s">
        <v>203</v>
      </c>
      <c r="GOC12" s="314" t="s">
        <v>203</v>
      </c>
      <c r="GOD12" s="314" t="s">
        <v>203</v>
      </c>
      <c r="GOE12" s="314" t="s">
        <v>203</v>
      </c>
      <c r="GOF12" s="314" t="s">
        <v>203</v>
      </c>
      <c r="GOG12" s="314" t="s">
        <v>203</v>
      </c>
      <c r="GOH12" s="314" t="s">
        <v>203</v>
      </c>
      <c r="GOI12" s="314" t="s">
        <v>203</v>
      </c>
      <c r="GOJ12" s="314" t="s">
        <v>203</v>
      </c>
      <c r="GOK12" s="314" t="s">
        <v>203</v>
      </c>
      <c r="GOL12" s="314" t="s">
        <v>203</v>
      </c>
      <c r="GOM12" s="314" t="s">
        <v>203</v>
      </c>
      <c r="GON12" s="314" t="s">
        <v>203</v>
      </c>
      <c r="GOO12" s="314" t="s">
        <v>203</v>
      </c>
      <c r="GOP12" s="314" t="s">
        <v>203</v>
      </c>
      <c r="GOQ12" s="314" t="s">
        <v>203</v>
      </c>
      <c r="GOR12" s="314" t="s">
        <v>203</v>
      </c>
      <c r="GOS12" s="314" t="s">
        <v>203</v>
      </c>
      <c r="GOT12" s="314" t="s">
        <v>203</v>
      </c>
      <c r="GOU12" s="314" t="s">
        <v>203</v>
      </c>
      <c r="GOV12" s="314" t="s">
        <v>203</v>
      </c>
      <c r="GOW12" s="314" t="s">
        <v>203</v>
      </c>
      <c r="GOX12" s="314" t="s">
        <v>203</v>
      </c>
      <c r="GOY12" s="314" t="s">
        <v>203</v>
      </c>
      <c r="GOZ12" s="314" t="s">
        <v>203</v>
      </c>
      <c r="GPA12" s="314" t="s">
        <v>203</v>
      </c>
      <c r="GPB12" s="314" t="s">
        <v>203</v>
      </c>
      <c r="GPC12" s="314" t="s">
        <v>203</v>
      </c>
      <c r="GPD12" s="314" t="s">
        <v>203</v>
      </c>
      <c r="GPE12" s="314" t="s">
        <v>203</v>
      </c>
      <c r="GPF12" s="314" t="s">
        <v>203</v>
      </c>
      <c r="GPG12" s="314" t="s">
        <v>203</v>
      </c>
      <c r="GPH12" s="314" t="s">
        <v>203</v>
      </c>
      <c r="GPI12" s="314" t="s">
        <v>203</v>
      </c>
      <c r="GPJ12" s="314" t="s">
        <v>203</v>
      </c>
      <c r="GPK12" s="314" t="s">
        <v>203</v>
      </c>
      <c r="GPL12" s="314" t="s">
        <v>203</v>
      </c>
      <c r="GPM12" s="314" t="s">
        <v>203</v>
      </c>
      <c r="GPN12" s="314" t="s">
        <v>203</v>
      </c>
      <c r="GPO12" s="314" t="s">
        <v>203</v>
      </c>
      <c r="GPP12" s="314" t="s">
        <v>203</v>
      </c>
      <c r="GPQ12" s="314" t="s">
        <v>203</v>
      </c>
      <c r="GPR12" s="314" t="s">
        <v>203</v>
      </c>
      <c r="GPS12" s="314" t="s">
        <v>203</v>
      </c>
      <c r="GPT12" s="314" t="s">
        <v>203</v>
      </c>
      <c r="GPU12" s="314" t="s">
        <v>203</v>
      </c>
      <c r="GPV12" s="314" t="s">
        <v>203</v>
      </c>
      <c r="GPW12" s="314" t="s">
        <v>203</v>
      </c>
      <c r="GPX12" s="314" t="s">
        <v>203</v>
      </c>
      <c r="GPY12" s="314" t="s">
        <v>203</v>
      </c>
      <c r="GPZ12" s="314" t="s">
        <v>203</v>
      </c>
      <c r="GQA12" s="314" t="s">
        <v>203</v>
      </c>
      <c r="GQB12" s="314" t="s">
        <v>203</v>
      </c>
      <c r="GQC12" s="314" t="s">
        <v>203</v>
      </c>
      <c r="GQD12" s="314" t="s">
        <v>203</v>
      </c>
      <c r="GQE12" s="314" t="s">
        <v>203</v>
      </c>
      <c r="GQF12" s="314" t="s">
        <v>203</v>
      </c>
      <c r="GQG12" s="314" t="s">
        <v>203</v>
      </c>
      <c r="GQH12" s="314" t="s">
        <v>203</v>
      </c>
      <c r="GQI12" s="314" t="s">
        <v>203</v>
      </c>
      <c r="GQJ12" s="314" t="s">
        <v>203</v>
      </c>
      <c r="GQK12" s="314" t="s">
        <v>203</v>
      </c>
      <c r="GQL12" s="314" t="s">
        <v>203</v>
      </c>
      <c r="GQM12" s="314" t="s">
        <v>203</v>
      </c>
      <c r="GQN12" s="314" t="s">
        <v>203</v>
      </c>
      <c r="GQO12" s="314" t="s">
        <v>203</v>
      </c>
      <c r="GQP12" s="314" t="s">
        <v>203</v>
      </c>
      <c r="GQQ12" s="314" t="s">
        <v>203</v>
      </c>
      <c r="GQR12" s="314" t="s">
        <v>203</v>
      </c>
      <c r="GQS12" s="314" t="s">
        <v>203</v>
      </c>
      <c r="GQT12" s="314" t="s">
        <v>203</v>
      </c>
      <c r="GQU12" s="314" t="s">
        <v>203</v>
      </c>
      <c r="GQV12" s="314" t="s">
        <v>203</v>
      </c>
      <c r="GQW12" s="314" t="s">
        <v>203</v>
      </c>
      <c r="GQX12" s="314" t="s">
        <v>203</v>
      </c>
      <c r="GQY12" s="314" t="s">
        <v>203</v>
      </c>
      <c r="GQZ12" s="314" t="s">
        <v>203</v>
      </c>
      <c r="GRA12" s="314" t="s">
        <v>203</v>
      </c>
      <c r="GRB12" s="314" t="s">
        <v>203</v>
      </c>
      <c r="GRC12" s="314" t="s">
        <v>203</v>
      </c>
      <c r="GRD12" s="314" t="s">
        <v>203</v>
      </c>
      <c r="GRE12" s="314" t="s">
        <v>203</v>
      </c>
      <c r="GRF12" s="314" t="s">
        <v>203</v>
      </c>
      <c r="GRG12" s="314" t="s">
        <v>203</v>
      </c>
      <c r="GRH12" s="314" t="s">
        <v>203</v>
      </c>
      <c r="GRI12" s="314" t="s">
        <v>203</v>
      </c>
      <c r="GRJ12" s="314" t="s">
        <v>203</v>
      </c>
      <c r="GRK12" s="314" t="s">
        <v>203</v>
      </c>
      <c r="GRL12" s="314" t="s">
        <v>203</v>
      </c>
      <c r="GRM12" s="314" t="s">
        <v>203</v>
      </c>
      <c r="GRN12" s="314" t="s">
        <v>203</v>
      </c>
      <c r="GRO12" s="314" t="s">
        <v>203</v>
      </c>
      <c r="GRP12" s="314" t="s">
        <v>203</v>
      </c>
      <c r="GRQ12" s="314" t="s">
        <v>203</v>
      </c>
      <c r="GRR12" s="314" t="s">
        <v>203</v>
      </c>
      <c r="GRS12" s="314" t="s">
        <v>203</v>
      </c>
      <c r="GRT12" s="314" t="s">
        <v>203</v>
      </c>
      <c r="GRU12" s="314" t="s">
        <v>203</v>
      </c>
      <c r="GRV12" s="314" t="s">
        <v>203</v>
      </c>
      <c r="GRW12" s="314" t="s">
        <v>203</v>
      </c>
      <c r="GRX12" s="314" t="s">
        <v>203</v>
      </c>
      <c r="GRY12" s="314" t="s">
        <v>203</v>
      </c>
      <c r="GRZ12" s="314" t="s">
        <v>203</v>
      </c>
      <c r="GSA12" s="314" t="s">
        <v>203</v>
      </c>
      <c r="GSB12" s="314" t="s">
        <v>203</v>
      </c>
      <c r="GSC12" s="314" t="s">
        <v>203</v>
      </c>
      <c r="GSD12" s="314" t="s">
        <v>203</v>
      </c>
      <c r="GSE12" s="314" t="s">
        <v>203</v>
      </c>
      <c r="GSF12" s="314" t="s">
        <v>203</v>
      </c>
      <c r="GSG12" s="314" t="s">
        <v>203</v>
      </c>
      <c r="GSH12" s="314" t="s">
        <v>203</v>
      </c>
      <c r="GSI12" s="314" t="s">
        <v>203</v>
      </c>
      <c r="GSJ12" s="314" t="s">
        <v>203</v>
      </c>
      <c r="GSK12" s="314" t="s">
        <v>203</v>
      </c>
      <c r="GSL12" s="314" t="s">
        <v>203</v>
      </c>
      <c r="GSM12" s="314" t="s">
        <v>203</v>
      </c>
      <c r="GSN12" s="314" t="s">
        <v>203</v>
      </c>
      <c r="GSO12" s="314" t="s">
        <v>203</v>
      </c>
      <c r="GSP12" s="314" t="s">
        <v>203</v>
      </c>
      <c r="GSQ12" s="314" t="s">
        <v>203</v>
      </c>
      <c r="GSR12" s="314" t="s">
        <v>203</v>
      </c>
      <c r="GSS12" s="314" t="s">
        <v>203</v>
      </c>
      <c r="GST12" s="314" t="s">
        <v>203</v>
      </c>
      <c r="GSU12" s="314" t="s">
        <v>203</v>
      </c>
      <c r="GSV12" s="314" t="s">
        <v>203</v>
      </c>
      <c r="GSW12" s="314" t="s">
        <v>203</v>
      </c>
      <c r="GSX12" s="314" t="s">
        <v>203</v>
      </c>
      <c r="GSY12" s="314" t="s">
        <v>203</v>
      </c>
      <c r="GSZ12" s="314" t="s">
        <v>203</v>
      </c>
      <c r="GTA12" s="314" t="s">
        <v>203</v>
      </c>
      <c r="GTB12" s="314" t="s">
        <v>203</v>
      </c>
      <c r="GTC12" s="314" t="s">
        <v>203</v>
      </c>
      <c r="GTD12" s="314" t="s">
        <v>203</v>
      </c>
      <c r="GTE12" s="314" t="s">
        <v>203</v>
      </c>
      <c r="GTF12" s="314" t="s">
        <v>203</v>
      </c>
      <c r="GTG12" s="314" t="s">
        <v>203</v>
      </c>
      <c r="GTH12" s="314" t="s">
        <v>203</v>
      </c>
      <c r="GTI12" s="314" t="s">
        <v>203</v>
      </c>
      <c r="GTJ12" s="314" t="s">
        <v>203</v>
      </c>
      <c r="GTK12" s="314" t="s">
        <v>203</v>
      </c>
      <c r="GTL12" s="314" t="s">
        <v>203</v>
      </c>
      <c r="GTM12" s="314" t="s">
        <v>203</v>
      </c>
      <c r="GTN12" s="314" t="s">
        <v>203</v>
      </c>
      <c r="GTO12" s="314" t="s">
        <v>203</v>
      </c>
      <c r="GTP12" s="314" t="s">
        <v>203</v>
      </c>
      <c r="GTQ12" s="314" t="s">
        <v>203</v>
      </c>
      <c r="GTR12" s="314" t="s">
        <v>203</v>
      </c>
      <c r="GTS12" s="314" t="s">
        <v>203</v>
      </c>
      <c r="GTT12" s="314" t="s">
        <v>203</v>
      </c>
      <c r="GTU12" s="314" t="s">
        <v>203</v>
      </c>
      <c r="GTV12" s="314" t="s">
        <v>203</v>
      </c>
      <c r="GTW12" s="314" t="s">
        <v>203</v>
      </c>
      <c r="GTX12" s="314" t="s">
        <v>203</v>
      </c>
      <c r="GTY12" s="314" t="s">
        <v>203</v>
      </c>
      <c r="GTZ12" s="314" t="s">
        <v>203</v>
      </c>
      <c r="GUA12" s="314" t="s">
        <v>203</v>
      </c>
      <c r="GUB12" s="314" t="s">
        <v>203</v>
      </c>
      <c r="GUC12" s="314" t="s">
        <v>203</v>
      </c>
      <c r="GUD12" s="314" t="s">
        <v>203</v>
      </c>
      <c r="GUE12" s="314" t="s">
        <v>203</v>
      </c>
      <c r="GUF12" s="314" t="s">
        <v>203</v>
      </c>
      <c r="GUG12" s="314" t="s">
        <v>203</v>
      </c>
      <c r="GUH12" s="314" t="s">
        <v>203</v>
      </c>
      <c r="GUI12" s="314" t="s">
        <v>203</v>
      </c>
      <c r="GUJ12" s="314" t="s">
        <v>203</v>
      </c>
      <c r="GUK12" s="314" t="s">
        <v>203</v>
      </c>
      <c r="GUL12" s="314" t="s">
        <v>203</v>
      </c>
      <c r="GUM12" s="314" t="s">
        <v>203</v>
      </c>
      <c r="GUN12" s="314" t="s">
        <v>203</v>
      </c>
      <c r="GUO12" s="314" t="s">
        <v>203</v>
      </c>
      <c r="GUP12" s="314" t="s">
        <v>203</v>
      </c>
      <c r="GUQ12" s="314" t="s">
        <v>203</v>
      </c>
      <c r="GUR12" s="314" t="s">
        <v>203</v>
      </c>
      <c r="GUS12" s="314" t="s">
        <v>203</v>
      </c>
      <c r="GUT12" s="314" t="s">
        <v>203</v>
      </c>
      <c r="GUU12" s="314" t="s">
        <v>203</v>
      </c>
      <c r="GUV12" s="314" t="s">
        <v>203</v>
      </c>
      <c r="GUW12" s="314" t="s">
        <v>203</v>
      </c>
      <c r="GUX12" s="314" t="s">
        <v>203</v>
      </c>
      <c r="GUY12" s="314" t="s">
        <v>203</v>
      </c>
      <c r="GUZ12" s="314" t="s">
        <v>203</v>
      </c>
      <c r="GVA12" s="314" t="s">
        <v>203</v>
      </c>
      <c r="GVB12" s="314" t="s">
        <v>203</v>
      </c>
      <c r="GVC12" s="314" t="s">
        <v>203</v>
      </c>
      <c r="GVD12" s="314" t="s">
        <v>203</v>
      </c>
      <c r="GVE12" s="314" t="s">
        <v>203</v>
      </c>
      <c r="GVF12" s="314" t="s">
        <v>203</v>
      </c>
      <c r="GVG12" s="314" t="s">
        <v>203</v>
      </c>
      <c r="GVH12" s="314" t="s">
        <v>203</v>
      </c>
      <c r="GVI12" s="314" t="s">
        <v>203</v>
      </c>
      <c r="GVJ12" s="314" t="s">
        <v>203</v>
      </c>
      <c r="GVK12" s="314" t="s">
        <v>203</v>
      </c>
      <c r="GVL12" s="314" t="s">
        <v>203</v>
      </c>
      <c r="GVM12" s="314" t="s">
        <v>203</v>
      </c>
      <c r="GVN12" s="314" t="s">
        <v>203</v>
      </c>
      <c r="GVO12" s="314" t="s">
        <v>203</v>
      </c>
      <c r="GVP12" s="314" t="s">
        <v>203</v>
      </c>
      <c r="GVQ12" s="314" t="s">
        <v>203</v>
      </c>
      <c r="GVR12" s="314" t="s">
        <v>203</v>
      </c>
      <c r="GVS12" s="314" t="s">
        <v>203</v>
      </c>
      <c r="GVT12" s="314" t="s">
        <v>203</v>
      </c>
      <c r="GVU12" s="314" t="s">
        <v>203</v>
      </c>
      <c r="GVV12" s="314" t="s">
        <v>203</v>
      </c>
      <c r="GVW12" s="314" t="s">
        <v>203</v>
      </c>
      <c r="GVX12" s="314" t="s">
        <v>203</v>
      </c>
      <c r="GVY12" s="314" t="s">
        <v>203</v>
      </c>
      <c r="GVZ12" s="314" t="s">
        <v>203</v>
      </c>
      <c r="GWA12" s="314" t="s">
        <v>203</v>
      </c>
      <c r="GWB12" s="314" t="s">
        <v>203</v>
      </c>
      <c r="GWC12" s="314" t="s">
        <v>203</v>
      </c>
      <c r="GWD12" s="314" t="s">
        <v>203</v>
      </c>
      <c r="GWE12" s="314" t="s">
        <v>203</v>
      </c>
      <c r="GWF12" s="314" t="s">
        <v>203</v>
      </c>
      <c r="GWG12" s="314" t="s">
        <v>203</v>
      </c>
      <c r="GWH12" s="314" t="s">
        <v>203</v>
      </c>
      <c r="GWI12" s="314" t="s">
        <v>203</v>
      </c>
      <c r="GWJ12" s="314" t="s">
        <v>203</v>
      </c>
      <c r="GWK12" s="314" t="s">
        <v>203</v>
      </c>
      <c r="GWL12" s="314" t="s">
        <v>203</v>
      </c>
      <c r="GWM12" s="314" t="s">
        <v>203</v>
      </c>
      <c r="GWN12" s="314" t="s">
        <v>203</v>
      </c>
      <c r="GWO12" s="314" t="s">
        <v>203</v>
      </c>
      <c r="GWP12" s="314" t="s">
        <v>203</v>
      </c>
      <c r="GWQ12" s="314" t="s">
        <v>203</v>
      </c>
      <c r="GWR12" s="314" t="s">
        <v>203</v>
      </c>
      <c r="GWS12" s="314" t="s">
        <v>203</v>
      </c>
      <c r="GWT12" s="314" t="s">
        <v>203</v>
      </c>
      <c r="GWU12" s="314" t="s">
        <v>203</v>
      </c>
      <c r="GWV12" s="314" t="s">
        <v>203</v>
      </c>
      <c r="GWW12" s="314" t="s">
        <v>203</v>
      </c>
      <c r="GWX12" s="314" t="s">
        <v>203</v>
      </c>
      <c r="GWY12" s="314" t="s">
        <v>203</v>
      </c>
      <c r="GWZ12" s="314" t="s">
        <v>203</v>
      </c>
      <c r="GXA12" s="314" t="s">
        <v>203</v>
      </c>
      <c r="GXB12" s="314" t="s">
        <v>203</v>
      </c>
      <c r="GXC12" s="314" t="s">
        <v>203</v>
      </c>
      <c r="GXD12" s="314" t="s">
        <v>203</v>
      </c>
      <c r="GXE12" s="314" t="s">
        <v>203</v>
      </c>
      <c r="GXF12" s="314" t="s">
        <v>203</v>
      </c>
      <c r="GXG12" s="314" t="s">
        <v>203</v>
      </c>
      <c r="GXH12" s="314" t="s">
        <v>203</v>
      </c>
      <c r="GXI12" s="314" t="s">
        <v>203</v>
      </c>
      <c r="GXJ12" s="314" t="s">
        <v>203</v>
      </c>
      <c r="GXK12" s="314" t="s">
        <v>203</v>
      </c>
      <c r="GXL12" s="314" t="s">
        <v>203</v>
      </c>
      <c r="GXM12" s="314" t="s">
        <v>203</v>
      </c>
      <c r="GXN12" s="314" t="s">
        <v>203</v>
      </c>
      <c r="GXO12" s="314" t="s">
        <v>203</v>
      </c>
      <c r="GXP12" s="314" t="s">
        <v>203</v>
      </c>
      <c r="GXQ12" s="314" t="s">
        <v>203</v>
      </c>
      <c r="GXR12" s="314" t="s">
        <v>203</v>
      </c>
      <c r="GXS12" s="314" t="s">
        <v>203</v>
      </c>
      <c r="GXT12" s="314" t="s">
        <v>203</v>
      </c>
      <c r="GXU12" s="314" t="s">
        <v>203</v>
      </c>
      <c r="GXV12" s="314" t="s">
        <v>203</v>
      </c>
      <c r="GXW12" s="314" t="s">
        <v>203</v>
      </c>
      <c r="GXX12" s="314" t="s">
        <v>203</v>
      </c>
      <c r="GXY12" s="314" t="s">
        <v>203</v>
      </c>
      <c r="GXZ12" s="314" t="s">
        <v>203</v>
      </c>
      <c r="GYA12" s="314" t="s">
        <v>203</v>
      </c>
      <c r="GYB12" s="314" t="s">
        <v>203</v>
      </c>
      <c r="GYC12" s="314" t="s">
        <v>203</v>
      </c>
      <c r="GYD12" s="314" t="s">
        <v>203</v>
      </c>
      <c r="GYE12" s="314" t="s">
        <v>203</v>
      </c>
      <c r="GYF12" s="314" t="s">
        <v>203</v>
      </c>
      <c r="GYG12" s="314" t="s">
        <v>203</v>
      </c>
      <c r="GYH12" s="314" t="s">
        <v>203</v>
      </c>
      <c r="GYI12" s="314" t="s">
        <v>203</v>
      </c>
      <c r="GYJ12" s="314" t="s">
        <v>203</v>
      </c>
      <c r="GYK12" s="314" t="s">
        <v>203</v>
      </c>
      <c r="GYL12" s="314" t="s">
        <v>203</v>
      </c>
      <c r="GYM12" s="314" t="s">
        <v>203</v>
      </c>
      <c r="GYN12" s="314" t="s">
        <v>203</v>
      </c>
      <c r="GYO12" s="314" t="s">
        <v>203</v>
      </c>
      <c r="GYP12" s="314" t="s">
        <v>203</v>
      </c>
      <c r="GYQ12" s="314" t="s">
        <v>203</v>
      </c>
      <c r="GYR12" s="314" t="s">
        <v>203</v>
      </c>
      <c r="GYS12" s="314" t="s">
        <v>203</v>
      </c>
      <c r="GYT12" s="314" t="s">
        <v>203</v>
      </c>
      <c r="GYU12" s="314" t="s">
        <v>203</v>
      </c>
      <c r="GYV12" s="314" t="s">
        <v>203</v>
      </c>
      <c r="GYW12" s="314" t="s">
        <v>203</v>
      </c>
      <c r="GYX12" s="314" t="s">
        <v>203</v>
      </c>
      <c r="GYY12" s="314" t="s">
        <v>203</v>
      </c>
      <c r="GYZ12" s="314" t="s">
        <v>203</v>
      </c>
      <c r="GZA12" s="314" t="s">
        <v>203</v>
      </c>
      <c r="GZB12" s="314" t="s">
        <v>203</v>
      </c>
      <c r="GZC12" s="314" t="s">
        <v>203</v>
      </c>
      <c r="GZD12" s="314" t="s">
        <v>203</v>
      </c>
      <c r="GZE12" s="314" t="s">
        <v>203</v>
      </c>
      <c r="GZF12" s="314" t="s">
        <v>203</v>
      </c>
      <c r="GZG12" s="314" t="s">
        <v>203</v>
      </c>
      <c r="GZH12" s="314" t="s">
        <v>203</v>
      </c>
      <c r="GZI12" s="314" t="s">
        <v>203</v>
      </c>
      <c r="GZJ12" s="314" t="s">
        <v>203</v>
      </c>
      <c r="GZK12" s="314" t="s">
        <v>203</v>
      </c>
      <c r="GZL12" s="314" t="s">
        <v>203</v>
      </c>
      <c r="GZM12" s="314" t="s">
        <v>203</v>
      </c>
      <c r="GZN12" s="314" t="s">
        <v>203</v>
      </c>
      <c r="GZO12" s="314" t="s">
        <v>203</v>
      </c>
      <c r="GZP12" s="314" t="s">
        <v>203</v>
      </c>
      <c r="GZQ12" s="314" t="s">
        <v>203</v>
      </c>
      <c r="GZR12" s="314" t="s">
        <v>203</v>
      </c>
      <c r="GZS12" s="314" t="s">
        <v>203</v>
      </c>
      <c r="GZT12" s="314" t="s">
        <v>203</v>
      </c>
      <c r="GZU12" s="314" t="s">
        <v>203</v>
      </c>
      <c r="GZV12" s="314" t="s">
        <v>203</v>
      </c>
      <c r="GZW12" s="314" t="s">
        <v>203</v>
      </c>
      <c r="GZX12" s="314" t="s">
        <v>203</v>
      </c>
      <c r="GZY12" s="314" t="s">
        <v>203</v>
      </c>
      <c r="GZZ12" s="314" t="s">
        <v>203</v>
      </c>
      <c r="HAA12" s="314" t="s">
        <v>203</v>
      </c>
      <c r="HAB12" s="314" t="s">
        <v>203</v>
      </c>
      <c r="HAC12" s="314" t="s">
        <v>203</v>
      </c>
      <c r="HAD12" s="314" t="s">
        <v>203</v>
      </c>
      <c r="HAE12" s="314" t="s">
        <v>203</v>
      </c>
      <c r="HAF12" s="314" t="s">
        <v>203</v>
      </c>
      <c r="HAG12" s="314" t="s">
        <v>203</v>
      </c>
      <c r="HAH12" s="314" t="s">
        <v>203</v>
      </c>
      <c r="HAI12" s="314" t="s">
        <v>203</v>
      </c>
      <c r="HAJ12" s="314" t="s">
        <v>203</v>
      </c>
      <c r="HAK12" s="314" t="s">
        <v>203</v>
      </c>
      <c r="HAL12" s="314" t="s">
        <v>203</v>
      </c>
      <c r="HAM12" s="314" t="s">
        <v>203</v>
      </c>
      <c r="HAN12" s="314" t="s">
        <v>203</v>
      </c>
      <c r="HAO12" s="314" t="s">
        <v>203</v>
      </c>
      <c r="HAP12" s="314" t="s">
        <v>203</v>
      </c>
      <c r="HAQ12" s="314" t="s">
        <v>203</v>
      </c>
      <c r="HAR12" s="314" t="s">
        <v>203</v>
      </c>
      <c r="HAS12" s="314" t="s">
        <v>203</v>
      </c>
      <c r="HAT12" s="314" t="s">
        <v>203</v>
      </c>
      <c r="HAU12" s="314" t="s">
        <v>203</v>
      </c>
      <c r="HAV12" s="314" t="s">
        <v>203</v>
      </c>
      <c r="HAW12" s="314" t="s">
        <v>203</v>
      </c>
      <c r="HAX12" s="314" t="s">
        <v>203</v>
      </c>
      <c r="HAY12" s="314" t="s">
        <v>203</v>
      </c>
      <c r="HAZ12" s="314" t="s">
        <v>203</v>
      </c>
      <c r="HBA12" s="314" t="s">
        <v>203</v>
      </c>
      <c r="HBB12" s="314" t="s">
        <v>203</v>
      </c>
      <c r="HBC12" s="314" t="s">
        <v>203</v>
      </c>
      <c r="HBD12" s="314" t="s">
        <v>203</v>
      </c>
      <c r="HBE12" s="314" t="s">
        <v>203</v>
      </c>
      <c r="HBF12" s="314" t="s">
        <v>203</v>
      </c>
      <c r="HBG12" s="314" t="s">
        <v>203</v>
      </c>
      <c r="HBH12" s="314" t="s">
        <v>203</v>
      </c>
      <c r="HBI12" s="314" t="s">
        <v>203</v>
      </c>
      <c r="HBJ12" s="314" t="s">
        <v>203</v>
      </c>
      <c r="HBK12" s="314" t="s">
        <v>203</v>
      </c>
      <c r="HBL12" s="314" t="s">
        <v>203</v>
      </c>
      <c r="HBM12" s="314" t="s">
        <v>203</v>
      </c>
      <c r="HBN12" s="314" t="s">
        <v>203</v>
      </c>
      <c r="HBO12" s="314" t="s">
        <v>203</v>
      </c>
      <c r="HBP12" s="314" t="s">
        <v>203</v>
      </c>
      <c r="HBQ12" s="314" t="s">
        <v>203</v>
      </c>
      <c r="HBR12" s="314" t="s">
        <v>203</v>
      </c>
      <c r="HBS12" s="314" t="s">
        <v>203</v>
      </c>
      <c r="HBT12" s="314" t="s">
        <v>203</v>
      </c>
      <c r="HBU12" s="314" t="s">
        <v>203</v>
      </c>
      <c r="HBV12" s="314" t="s">
        <v>203</v>
      </c>
      <c r="HBW12" s="314" t="s">
        <v>203</v>
      </c>
      <c r="HBX12" s="314" t="s">
        <v>203</v>
      </c>
      <c r="HBY12" s="314" t="s">
        <v>203</v>
      </c>
      <c r="HBZ12" s="314" t="s">
        <v>203</v>
      </c>
      <c r="HCA12" s="314" t="s">
        <v>203</v>
      </c>
      <c r="HCB12" s="314" t="s">
        <v>203</v>
      </c>
      <c r="HCC12" s="314" t="s">
        <v>203</v>
      </c>
      <c r="HCD12" s="314" t="s">
        <v>203</v>
      </c>
      <c r="HCE12" s="314" t="s">
        <v>203</v>
      </c>
      <c r="HCF12" s="314" t="s">
        <v>203</v>
      </c>
      <c r="HCG12" s="314" t="s">
        <v>203</v>
      </c>
      <c r="HCH12" s="314" t="s">
        <v>203</v>
      </c>
      <c r="HCI12" s="314" t="s">
        <v>203</v>
      </c>
      <c r="HCJ12" s="314" t="s">
        <v>203</v>
      </c>
      <c r="HCK12" s="314" t="s">
        <v>203</v>
      </c>
      <c r="HCL12" s="314" t="s">
        <v>203</v>
      </c>
      <c r="HCM12" s="314" t="s">
        <v>203</v>
      </c>
      <c r="HCN12" s="314" t="s">
        <v>203</v>
      </c>
      <c r="HCO12" s="314" t="s">
        <v>203</v>
      </c>
      <c r="HCP12" s="314" t="s">
        <v>203</v>
      </c>
      <c r="HCQ12" s="314" t="s">
        <v>203</v>
      </c>
      <c r="HCR12" s="314" t="s">
        <v>203</v>
      </c>
      <c r="HCS12" s="314" t="s">
        <v>203</v>
      </c>
      <c r="HCT12" s="314" t="s">
        <v>203</v>
      </c>
      <c r="HCU12" s="314" t="s">
        <v>203</v>
      </c>
      <c r="HCV12" s="314" t="s">
        <v>203</v>
      </c>
      <c r="HCW12" s="314" t="s">
        <v>203</v>
      </c>
      <c r="HCX12" s="314" t="s">
        <v>203</v>
      </c>
      <c r="HCY12" s="314" t="s">
        <v>203</v>
      </c>
      <c r="HCZ12" s="314" t="s">
        <v>203</v>
      </c>
      <c r="HDA12" s="314" t="s">
        <v>203</v>
      </c>
      <c r="HDB12" s="314" t="s">
        <v>203</v>
      </c>
      <c r="HDC12" s="314" t="s">
        <v>203</v>
      </c>
      <c r="HDD12" s="314" t="s">
        <v>203</v>
      </c>
      <c r="HDE12" s="314" t="s">
        <v>203</v>
      </c>
      <c r="HDF12" s="314" t="s">
        <v>203</v>
      </c>
      <c r="HDG12" s="314" t="s">
        <v>203</v>
      </c>
      <c r="HDH12" s="314" t="s">
        <v>203</v>
      </c>
      <c r="HDI12" s="314" t="s">
        <v>203</v>
      </c>
      <c r="HDJ12" s="314" t="s">
        <v>203</v>
      </c>
      <c r="HDK12" s="314" t="s">
        <v>203</v>
      </c>
      <c r="HDL12" s="314" t="s">
        <v>203</v>
      </c>
      <c r="HDM12" s="314" t="s">
        <v>203</v>
      </c>
      <c r="HDN12" s="314" t="s">
        <v>203</v>
      </c>
      <c r="HDO12" s="314" t="s">
        <v>203</v>
      </c>
      <c r="HDP12" s="314" t="s">
        <v>203</v>
      </c>
      <c r="HDQ12" s="314" t="s">
        <v>203</v>
      </c>
      <c r="HDR12" s="314" t="s">
        <v>203</v>
      </c>
      <c r="HDS12" s="314" t="s">
        <v>203</v>
      </c>
      <c r="HDT12" s="314" t="s">
        <v>203</v>
      </c>
      <c r="HDU12" s="314" t="s">
        <v>203</v>
      </c>
      <c r="HDV12" s="314" t="s">
        <v>203</v>
      </c>
      <c r="HDW12" s="314" t="s">
        <v>203</v>
      </c>
      <c r="HDX12" s="314" t="s">
        <v>203</v>
      </c>
      <c r="HDY12" s="314" t="s">
        <v>203</v>
      </c>
      <c r="HDZ12" s="314" t="s">
        <v>203</v>
      </c>
      <c r="HEA12" s="314" t="s">
        <v>203</v>
      </c>
      <c r="HEB12" s="314" t="s">
        <v>203</v>
      </c>
      <c r="HEC12" s="314" t="s">
        <v>203</v>
      </c>
      <c r="HED12" s="314" t="s">
        <v>203</v>
      </c>
      <c r="HEE12" s="314" t="s">
        <v>203</v>
      </c>
      <c r="HEF12" s="314" t="s">
        <v>203</v>
      </c>
      <c r="HEG12" s="314" t="s">
        <v>203</v>
      </c>
      <c r="HEH12" s="314" t="s">
        <v>203</v>
      </c>
      <c r="HEI12" s="314" t="s">
        <v>203</v>
      </c>
      <c r="HEJ12" s="314" t="s">
        <v>203</v>
      </c>
      <c r="HEK12" s="314" t="s">
        <v>203</v>
      </c>
      <c r="HEL12" s="314" t="s">
        <v>203</v>
      </c>
      <c r="HEM12" s="314" t="s">
        <v>203</v>
      </c>
      <c r="HEN12" s="314" t="s">
        <v>203</v>
      </c>
      <c r="HEO12" s="314" t="s">
        <v>203</v>
      </c>
      <c r="HEP12" s="314" t="s">
        <v>203</v>
      </c>
      <c r="HEQ12" s="314" t="s">
        <v>203</v>
      </c>
      <c r="HER12" s="314" t="s">
        <v>203</v>
      </c>
      <c r="HES12" s="314" t="s">
        <v>203</v>
      </c>
      <c r="HET12" s="314" t="s">
        <v>203</v>
      </c>
      <c r="HEU12" s="314" t="s">
        <v>203</v>
      </c>
      <c r="HEV12" s="314" t="s">
        <v>203</v>
      </c>
      <c r="HEW12" s="314" t="s">
        <v>203</v>
      </c>
      <c r="HEX12" s="314" t="s">
        <v>203</v>
      </c>
      <c r="HEY12" s="314" t="s">
        <v>203</v>
      </c>
      <c r="HEZ12" s="314" t="s">
        <v>203</v>
      </c>
      <c r="HFA12" s="314" t="s">
        <v>203</v>
      </c>
      <c r="HFB12" s="314" t="s">
        <v>203</v>
      </c>
      <c r="HFC12" s="314" t="s">
        <v>203</v>
      </c>
      <c r="HFD12" s="314" t="s">
        <v>203</v>
      </c>
      <c r="HFE12" s="314" t="s">
        <v>203</v>
      </c>
      <c r="HFF12" s="314" t="s">
        <v>203</v>
      </c>
      <c r="HFG12" s="314" t="s">
        <v>203</v>
      </c>
      <c r="HFH12" s="314" t="s">
        <v>203</v>
      </c>
      <c r="HFI12" s="314" t="s">
        <v>203</v>
      </c>
      <c r="HFJ12" s="314" t="s">
        <v>203</v>
      </c>
      <c r="HFK12" s="314" t="s">
        <v>203</v>
      </c>
      <c r="HFL12" s="314" t="s">
        <v>203</v>
      </c>
      <c r="HFM12" s="314" t="s">
        <v>203</v>
      </c>
      <c r="HFN12" s="314" t="s">
        <v>203</v>
      </c>
      <c r="HFO12" s="314" t="s">
        <v>203</v>
      </c>
      <c r="HFP12" s="314" t="s">
        <v>203</v>
      </c>
      <c r="HFQ12" s="314" t="s">
        <v>203</v>
      </c>
      <c r="HFR12" s="314" t="s">
        <v>203</v>
      </c>
      <c r="HFS12" s="314" t="s">
        <v>203</v>
      </c>
      <c r="HFT12" s="314" t="s">
        <v>203</v>
      </c>
      <c r="HFU12" s="314" t="s">
        <v>203</v>
      </c>
      <c r="HFV12" s="314" t="s">
        <v>203</v>
      </c>
      <c r="HFW12" s="314" t="s">
        <v>203</v>
      </c>
      <c r="HFX12" s="314" t="s">
        <v>203</v>
      </c>
      <c r="HFY12" s="314" t="s">
        <v>203</v>
      </c>
      <c r="HFZ12" s="314" t="s">
        <v>203</v>
      </c>
      <c r="HGA12" s="314" t="s">
        <v>203</v>
      </c>
      <c r="HGB12" s="314" t="s">
        <v>203</v>
      </c>
      <c r="HGC12" s="314" t="s">
        <v>203</v>
      </c>
      <c r="HGD12" s="314" t="s">
        <v>203</v>
      </c>
      <c r="HGE12" s="314" t="s">
        <v>203</v>
      </c>
      <c r="HGF12" s="314" t="s">
        <v>203</v>
      </c>
      <c r="HGG12" s="314" t="s">
        <v>203</v>
      </c>
      <c r="HGH12" s="314" t="s">
        <v>203</v>
      </c>
      <c r="HGI12" s="314" t="s">
        <v>203</v>
      </c>
      <c r="HGJ12" s="314" t="s">
        <v>203</v>
      </c>
      <c r="HGK12" s="314" t="s">
        <v>203</v>
      </c>
      <c r="HGL12" s="314" t="s">
        <v>203</v>
      </c>
      <c r="HGM12" s="314" t="s">
        <v>203</v>
      </c>
      <c r="HGN12" s="314" t="s">
        <v>203</v>
      </c>
      <c r="HGO12" s="314" t="s">
        <v>203</v>
      </c>
      <c r="HGP12" s="314" t="s">
        <v>203</v>
      </c>
      <c r="HGQ12" s="314" t="s">
        <v>203</v>
      </c>
      <c r="HGR12" s="314" t="s">
        <v>203</v>
      </c>
      <c r="HGS12" s="314" t="s">
        <v>203</v>
      </c>
      <c r="HGT12" s="314" t="s">
        <v>203</v>
      </c>
      <c r="HGU12" s="314" t="s">
        <v>203</v>
      </c>
      <c r="HGV12" s="314" t="s">
        <v>203</v>
      </c>
      <c r="HGW12" s="314" t="s">
        <v>203</v>
      </c>
      <c r="HGX12" s="314" t="s">
        <v>203</v>
      </c>
      <c r="HGY12" s="314" t="s">
        <v>203</v>
      </c>
      <c r="HGZ12" s="314" t="s">
        <v>203</v>
      </c>
      <c r="HHA12" s="314" t="s">
        <v>203</v>
      </c>
      <c r="HHB12" s="314" t="s">
        <v>203</v>
      </c>
      <c r="HHC12" s="314" t="s">
        <v>203</v>
      </c>
      <c r="HHD12" s="314" t="s">
        <v>203</v>
      </c>
      <c r="HHE12" s="314" t="s">
        <v>203</v>
      </c>
      <c r="HHF12" s="314" t="s">
        <v>203</v>
      </c>
      <c r="HHG12" s="314" t="s">
        <v>203</v>
      </c>
      <c r="HHH12" s="314" t="s">
        <v>203</v>
      </c>
      <c r="HHI12" s="314" t="s">
        <v>203</v>
      </c>
      <c r="HHJ12" s="314" t="s">
        <v>203</v>
      </c>
      <c r="HHK12" s="314" t="s">
        <v>203</v>
      </c>
      <c r="HHL12" s="314" t="s">
        <v>203</v>
      </c>
      <c r="HHM12" s="314" t="s">
        <v>203</v>
      </c>
      <c r="HHN12" s="314" t="s">
        <v>203</v>
      </c>
      <c r="HHO12" s="314" t="s">
        <v>203</v>
      </c>
      <c r="HHP12" s="314" t="s">
        <v>203</v>
      </c>
      <c r="HHQ12" s="314" t="s">
        <v>203</v>
      </c>
      <c r="HHR12" s="314" t="s">
        <v>203</v>
      </c>
      <c r="HHS12" s="314" t="s">
        <v>203</v>
      </c>
      <c r="HHT12" s="314" t="s">
        <v>203</v>
      </c>
      <c r="HHU12" s="314" t="s">
        <v>203</v>
      </c>
      <c r="HHV12" s="314" t="s">
        <v>203</v>
      </c>
      <c r="HHW12" s="314" t="s">
        <v>203</v>
      </c>
      <c r="HHX12" s="314" t="s">
        <v>203</v>
      </c>
      <c r="HHY12" s="314" t="s">
        <v>203</v>
      </c>
      <c r="HHZ12" s="314" t="s">
        <v>203</v>
      </c>
      <c r="HIA12" s="314" t="s">
        <v>203</v>
      </c>
      <c r="HIB12" s="314" t="s">
        <v>203</v>
      </c>
      <c r="HIC12" s="314" t="s">
        <v>203</v>
      </c>
      <c r="HID12" s="314" t="s">
        <v>203</v>
      </c>
      <c r="HIE12" s="314" t="s">
        <v>203</v>
      </c>
      <c r="HIF12" s="314" t="s">
        <v>203</v>
      </c>
      <c r="HIG12" s="314" t="s">
        <v>203</v>
      </c>
      <c r="HIH12" s="314" t="s">
        <v>203</v>
      </c>
      <c r="HII12" s="314" t="s">
        <v>203</v>
      </c>
      <c r="HIJ12" s="314" t="s">
        <v>203</v>
      </c>
      <c r="HIK12" s="314" t="s">
        <v>203</v>
      </c>
      <c r="HIL12" s="314" t="s">
        <v>203</v>
      </c>
      <c r="HIM12" s="314" t="s">
        <v>203</v>
      </c>
      <c r="HIN12" s="314" t="s">
        <v>203</v>
      </c>
      <c r="HIO12" s="314" t="s">
        <v>203</v>
      </c>
      <c r="HIP12" s="314" t="s">
        <v>203</v>
      </c>
      <c r="HIQ12" s="314" t="s">
        <v>203</v>
      </c>
      <c r="HIR12" s="314" t="s">
        <v>203</v>
      </c>
      <c r="HIS12" s="314" t="s">
        <v>203</v>
      </c>
      <c r="HIT12" s="314" t="s">
        <v>203</v>
      </c>
      <c r="HIU12" s="314" t="s">
        <v>203</v>
      </c>
      <c r="HIV12" s="314" t="s">
        <v>203</v>
      </c>
      <c r="HIW12" s="314" t="s">
        <v>203</v>
      </c>
      <c r="HIX12" s="314" t="s">
        <v>203</v>
      </c>
      <c r="HIY12" s="314" t="s">
        <v>203</v>
      </c>
      <c r="HIZ12" s="314" t="s">
        <v>203</v>
      </c>
      <c r="HJA12" s="314" t="s">
        <v>203</v>
      </c>
      <c r="HJB12" s="314" t="s">
        <v>203</v>
      </c>
      <c r="HJC12" s="314" t="s">
        <v>203</v>
      </c>
      <c r="HJD12" s="314" t="s">
        <v>203</v>
      </c>
      <c r="HJE12" s="314" t="s">
        <v>203</v>
      </c>
      <c r="HJF12" s="314" t="s">
        <v>203</v>
      </c>
      <c r="HJG12" s="314" t="s">
        <v>203</v>
      </c>
      <c r="HJH12" s="314" t="s">
        <v>203</v>
      </c>
      <c r="HJI12" s="314" t="s">
        <v>203</v>
      </c>
      <c r="HJJ12" s="314" t="s">
        <v>203</v>
      </c>
      <c r="HJK12" s="314" t="s">
        <v>203</v>
      </c>
      <c r="HJL12" s="314" t="s">
        <v>203</v>
      </c>
      <c r="HJM12" s="314" t="s">
        <v>203</v>
      </c>
      <c r="HJN12" s="314" t="s">
        <v>203</v>
      </c>
      <c r="HJO12" s="314" t="s">
        <v>203</v>
      </c>
      <c r="HJP12" s="314" t="s">
        <v>203</v>
      </c>
      <c r="HJQ12" s="314" t="s">
        <v>203</v>
      </c>
      <c r="HJR12" s="314" t="s">
        <v>203</v>
      </c>
      <c r="HJS12" s="314" t="s">
        <v>203</v>
      </c>
      <c r="HJT12" s="314" t="s">
        <v>203</v>
      </c>
      <c r="HJU12" s="314" t="s">
        <v>203</v>
      </c>
      <c r="HJV12" s="314" t="s">
        <v>203</v>
      </c>
      <c r="HJW12" s="314" t="s">
        <v>203</v>
      </c>
      <c r="HJX12" s="314" t="s">
        <v>203</v>
      </c>
      <c r="HJY12" s="314" t="s">
        <v>203</v>
      </c>
      <c r="HJZ12" s="314" t="s">
        <v>203</v>
      </c>
      <c r="HKA12" s="314" t="s">
        <v>203</v>
      </c>
      <c r="HKB12" s="314" t="s">
        <v>203</v>
      </c>
      <c r="HKC12" s="314" t="s">
        <v>203</v>
      </c>
      <c r="HKD12" s="314" t="s">
        <v>203</v>
      </c>
      <c r="HKE12" s="314" t="s">
        <v>203</v>
      </c>
      <c r="HKF12" s="314" t="s">
        <v>203</v>
      </c>
      <c r="HKG12" s="314" t="s">
        <v>203</v>
      </c>
      <c r="HKH12" s="314" t="s">
        <v>203</v>
      </c>
      <c r="HKI12" s="314" t="s">
        <v>203</v>
      </c>
      <c r="HKJ12" s="314" t="s">
        <v>203</v>
      </c>
      <c r="HKK12" s="314" t="s">
        <v>203</v>
      </c>
      <c r="HKL12" s="314" t="s">
        <v>203</v>
      </c>
      <c r="HKM12" s="314" t="s">
        <v>203</v>
      </c>
      <c r="HKN12" s="314" t="s">
        <v>203</v>
      </c>
      <c r="HKO12" s="314" t="s">
        <v>203</v>
      </c>
      <c r="HKP12" s="314" t="s">
        <v>203</v>
      </c>
      <c r="HKQ12" s="314" t="s">
        <v>203</v>
      </c>
      <c r="HKR12" s="314" t="s">
        <v>203</v>
      </c>
      <c r="HKS12" s="314" t="s">
        <v>203</v>
      </c>
      <c r="HKT12" s="314" t="s">
        <v>203</v>
      </c>
      <c r="HKU12" s="314" t="s">
        <v>203</v>
      </c>
      <c r="HKV12" s="314" t="s">
        <v>203</v>
      </c>
      <c r="HKW12" s="314" t="s">
        <v>203</v>
      </c>
      <c r="HKX12" s="314" t="s">
        <v>203</v>
      </c>
      <c r="HKY12" s="314" t="s">
        <v>203</v>
      </c>
      <c r="HKZ12" s="314" t="s">
        <v>203</v>
      </c>
      <c r="HLA12" s="314" t="s">
        <v>203</v>
      </c>
      <c r="HLB12" s="314" t="s">
        <v>203</v>
      </c>
      <c r="HLC12" s="314" t="s">
        <v>203</v>
      </c>
      <c r="HLD12" s="314" t="s">
        <v>203</v>
      </c>
      <c r="HLE12" s="314" t="s">
        <v>203</v>
      </c>
      <c r="HLF12" s="314" t="s">
        <v>203</v>
      </c>
      <c r="HLG12" s="314" t="s">
        <v>203</v>
      </c>
      <c r="HLH12" s="314" t="s">
        <v>203</v>
      </c>
      <c r="HLI12" s="314" t="s">
        <v>203</v>
      </c>
      <c r="HLJ12" s="314" t="s">
        <v>203</v>
      </c>
      <c r="HLK12" s="314" t="s">
        <v>203</v>
      </c>
      <c r="HLL12" s="314" t="s">
        <v>203</v>
      </c>
      <c r="HLM12" s="314" t="s">
        <v>203</v>
      </c>
      <c r="HLN12" s="314" t="s">
        <v>203</v>
      </c>
      <c r="HLO12" s="314" t="s">
        <v>203</v>
      </c>
      <c r="HLP12" s="314" t="s">
        <v>203</v>
      </c>
      <c r="HLQ12" s="314" t="s">
        <v>203</v>
      </c>
      <c r="HLR12" s="314" t="s">
        <v>203</v>
      </c>
      <c r="HLS12" s="314" t="s">
        <v>203</v>
      </c>
      <c r="HLT12" s="314" t="s">
        <v>203</v>
      </c>
      <c r="HLU12" s="314" t="s">
        <v>203</v>
      </c>
      <c r="HLV12" s="314" t="s">
        <v>203</v>
      </c>
      <c r="HLW12" s="314" t="s">
        <v>203</v>
      </c>
      <c r="HLX12" s="314" t="s">
        <v>203</v>
      </c>
      <c r="HLY12" s="314" t="s">
        <v>203</v>
      </c>
      <c r="HLZ12" s="314" t="s">
        <v>203</v>
      </c>
      <c r="HMA12" s="314" t="s">
        <v>203</v>
      </c>
      <c r="HMB12" s="314" t="s">
        <v>203</v>
      </c>
      <c r="HMC12" s="314" t="s">
        <v>203</v>
      </c>
      <c r="HMD12" s="314" t="s">
        <v>203</v>
      </c>
      <c r="HME12" s="314" t="s">
        <v>203</v>
      </c>
      <c r="HMF12" s="314" t="s">
        <v>203</v>
      </c>
      <c r="HMG12" s="314" t="s">
        <v>203</v>
      </c>
      <c r="HMH12" s="314" t="s">
        <v>203</v>
      </c>
      <c r="HMI12" s="314" t="s">
        <v>203</v>
      </c>
      <c r="HMJ12" s="314" t="s">
        <v>203</v>
      </c>
      <c r="HMK12" s="314" t="s">
        <v>203</v>
      </c>
      <c r="HML12" s="314" t="s">
        <v>203</v>
      </c>
      <c r="HMM12" s="314" t="s">
        <v>203</v>
      </c>
      <c r="HMN12" s="314" t="s">
        <v>203</v>
      </c>
      <c r="HMO12" s="314" t="s">
        <v>203</v>
      </c>
      <c r="HMP12" s="314" t="s">
        <v>203</v>
      </c>
      <c r="HMQ12" s="314" t="s">
        <v>203</v>
      </c>
      <c r="HMR12" s="314" t="s">
        <v>203</v>
      </c>
      <c r="HMS12" s="314" t="s">
        <v>203</v>
      </c>
      <c r="HMT12" s="314" t="s">
        <v>203</v>
      </c>
      <c r="HMU12" s="314" t="s">
        <v>203</v>
      </c>
      <c r="HMV12" s="314" t="s">
        <v>203</v>
      </c>
      <c r="HMW12" s="314" t="s">
        <v>203</v>
      </c>
      <c r="HMX12" s="314" t="s">
        <v>203</v>
      </c>
      <c r="HMY12" s="314" t="s">
        <v>203</v>
      </c>
      <c r="HMZ12" s="314" t="s">
        <v>203</v>
      </c>
      <c r="HNA12" s="314" t="s">
        <v>203</v>
      </c>
      <c r="HNB12" s="314" t="s">
        <v>203</v>
      </c>
      <c r="HNC12" s="314" t="s">
        <v>203</v>
      </c>
      <c r="HND12" s="314" t="s">
        <v>203</v>
      </c>
      <c r="HNE12" s="314" t="s">
        <v>203</v>
      </c>
      <c r="HNF12" s="314" t="s">
        <v>203</v>
      </c>
      <c r="HNG12" s="314" t="s">
        <v>203</v>
      </c>
      <c r="HNH12" s="314" t="s">
        <v>203</v>
      </c>
      <c r="HNI12" s="314" t="s">
        <v>203</v>
      </c>
      <c r="HNJ12" s="314" t="s">
        <v>203</v>
      </c>
      <c r="HNK12" s="314" t="s">
        <v>203</v>
      </c>
      <c r="HNL12" s="314" t="s">
        <v>203</v>
      </c>
      <c r="HNM12" s="314" t="s">
        <v>203</v>
      </c>
      <c r="HNN12" s="314" t="s">
        <v>203</v>
      </c>
      <c r="HNO12" s="314" t="s">
        <v>203</v>
      </c>
      <c r="HNP12" s="314" t="s">
        <v>203</v>
      </c>
      <c r="HNQ12" s="314" t="s">
        <v>203</v>
      </c>
      <c r="HNR12" s="314" t="s">
        <v>203</v>
      </c>
      <c r="HNS12" s="314" t="s">
        <v>203</v>
      </c>
      <c r="HNT12" s="314" t="s">
        <v>203</v>
      </c>
      <c r="HNU12" s="314" t="s">
        <v>203</v>
      </c>
      <c r="HNV12" s="314" t="s">
        <v>203</v>
      </c>
      <c r="HNW12" s="314" t="s">
        <v>203</v>
      </c>
      <c r="HNX12" s="314" t="s">
        <v>203</v>
      </c>
      <c r="HNY12" s="314" t="s">
        <v>203</v>
      </c>
      <c r="HNZ12" s="314" t="s">
        <v>203</v>
      </c>
      <c r="HOA12" s="314" t="s">
        <v>203</v>
      </c>
      <c r="HOB12" s="314" t="s">
        <v>203</v>
      </c>
      <c r="HOC12" s="314" t="s">
        <v>203</v>
      </c>
      <c r="HOD12" s="314" t="s">
        <v>203</v>
      </c>
      <c r="HOE12" s="314" t="s">
        <v>203</v>
      </c>
      <c r="HOF12" s="314" t="s">
        <v>203</v>
      </c>
      <c r="HOG12" s="314" t="s">
        <v>203</v>
      </c>
      <c r="HOH12" s="314" t="s">
        <v>203</v>
      </c>
      <c r="HOI12" s="314" t="s">
        <v>203</v>
      </c>
      <c r="HOJ12" s="314" t="s">
        <v>203</v>
      </c>
      <c r="HOK12" s="314" t="s">
        <v>203</v>
      </c>
      <c r="HOL12" s="314" t="s">
        <v>203</v>
      </c>
      <c r="HOM12" s="314" t="s">
        <v>203</v>
      </c>
      <c r="HON12" s="314" t="s">
        <v>203</v>
      </c>
      <c r="HOO12" s="314" t="s">
        <v>203</v>
      </c>
      <c r="HOP12" s="314" t="s">
        <v>203</v>
      </c>
      <c r="HOQ12" s="314" t="s">
        <v>203</v>
      </c>
      <c r="HOR12" s="314" t="s">
        <v>203</v>
      </c>
      <c r="HOS12" s="314" t="s">
        <v>203</v>
      </c>
      <c r="HOT12" s="314" t="s">
        <v>203</v>
      </c>
      <c r="HOU12" s="314" t="s">
        <v>203</v>
      </c>
      <c r="HOV12" s="314" t="s">
        <v>203</v>
      </c>
      <c r="HOW12" s="314" t="s">
        <v>203</v>
      </c>
      <c r="HOX12" s="314" t="s">
        <v>203</v>
      </c>
      <c r="HOY12" s="314" t="s">
        <v>203</v>
      </c>
      <c r="HOZ12" s="314" t="s">
        <v>203</v>
      </c>
      <c r="HPA12" s="314" t="s">
        <v>203</v>
      </c>
      <c r="HPB12" s="314" t="s">
        <v>203</v>
      </c>
      <c r="HPC12" s="314" t="s">
        <v>203</v>
      </c>
      <c r="HPD12" s="314" t="s">
        <v>203</v>
      </c>
      <c r="HPE12" s="314" t="s">
        <v>203</v>
      </c>
      <c r="HPF12" s="314" t="s">
        <v>203</v>
      </c>
      <c r="HPG12" s="314" t="s">
        <v>203</v>
      </c>
      <c r="HPH12" s="314" t="s">
        <v>203</v>
      </c>
      <c r="HPI12" s="314" t="s">
        <v>203</v>
      </c>
      <c r="HPJ12" s="314" t="s">
        <v>203</v>
      </c>
      <c r="HPK12" s="314" t="s">
        <v>203</v>
      </c>
      <c r="HPL12" s="314" t="s">
        <v>203</v>
      </c>
      <c r="HPM12" s="314" t="s">
        <v>203</v>
      </c>
      <c r="HPN12" s="314" t="s">
        <v>203</v>
      </c>
      <c r="HPO12" s="314" t="s">
        <v>203</v>
      </c>
      <c r="HPP12" s="314" t="s">
        <v>203</v>
      </c>
      <c r="HPQ12" s="314" t="s">
        <v>203</v>
      </c>
      <c r="HPR12" s="314" t="s">
        <v>203</v>
      </c>
      <c r="HPS12" s="314" t="s">
        <v>203</v>
      </c>
      <c r="HPT12" s="314" t="s">
        <v>203</v>
      </c>
      <c r="HPU12" s="314" t="s">
        <v>203</v>
      </c>
      <c r="HPV12" s="314" t="s">
        <v>203</v>
      </c>
      <c r="HPW12" s="314" t="s">
        <v>203</v>
      </c>
      <c r="HPX12" s="314" t="s">
        <v>203</v>
      </c>
      <c r="HPY12" s="314" t="s">
        <v>203</v>
      </c>
      <c r="HPZ12" s="314" t="s">
        <v>203</v>
      </c>
      <c r="HQA12" s="314" t="s">
        <v>203</v>
      </c>
      <c r="HQB12" s="314" t="s">
        <v>203</v>
      </c>
      <c r="HQC12" s="314" t="s">
        <v>203</v>
      </c>
      <c r="HQD12" s="314" t="s">
        <v>203</v>
      </c>
      <c r="HQE12" s="314" t="s">
        <v>203</v>
      </c>
      <c r="HQF12" s="314" t="s">
        <v>203</v>
      </c>
      <c r="HQG12" s="314" t="s">
        <v>203</v>
      </c>
      <c r="HQH12" s="314" t="s">
        <v>203</v>
      </c>
      <c r="HQI12" s="314" t="s">
        <v>203</v>
      </c>
      <c r="HQJ12" s="314" t="s">
        <v>203</v>
      </c>
      <c r="HQK12" s="314" t="s">
        <v>203</v>
      </c>
      <c r="HQL12" s="314" t="s">
        <v>203</v>
      </c>
      <c r="HQM12" s="314" t="s">
        <v>203</v>
      </c>
      <c r="HQN12" s="314" t="s">
        <v>203</v>
      </c>
      <c r="HQO12" s="314" t="s">
        <v>203</v>
      </c>
      <c r="HQP12" s="314" t="s">
        <v>203</v>
      </c>
      <c r="HQQ12" s="314" t="s">
        <v>203</v>
      </c>
      <c r="HQR12" s="314" t="s">
        <v>203</v>
      </c>
      <c r="HQS12" s="314" t="s">
        <v>203</v>
      </c>
      <c r="HQT12" s="314" t="s">
        <v>203</v>
      </c>
      <c r="HQU12" s="314" t="s">
        <v>203</v>
      </c>
      <c r="HQV12" s="314" t="s">
        <v>203</v>
      </c>
      <c r="HQW12" s="314" t="s">
        <v>203</v>
      </c>
      <c r="HQX12" s="314" t="s">
        <v>203</v>
      </c>
      <c r="HQY12" s="314" t="s">
        <v>203</v>
      </c>
      <c r="HQZ12" s="314" t="s">
        <v>203</v>
      </c>
      <c r="HRA12" s="314" t="s">
        <v>203</v>
      </c>
      <c r="HRB12" s="314" t="s">
        <v>203</v>
      </c>
      <c r="HRC12" s="314" t="s">
        <v>203</v>
      </c>
      <c r="HRD12" s="314" t="s">
        <v>203</v>
      </c>
      <c r="HRE12" s="314" t="s">
        <v>203</v>
      </c>
      <c r="HRF12" s="314" t="s">
        <v>203</v>
      </c>
      <c r="HRG12" s="314" t="s">
        <v>203</v>
      </c>
      <c r="HRH12" s="314" t="s">
        <v>203</v>
      </c>
      <c r="HRI12" s="314" t="s">
        <v>203</v>
      </c>
      <c r="HRJ12" s="314" t="s">
        <v>203</v>
      </c>
      <c r="HRK12" s="314" t="s">
        <v>203</v>
      </c>
      <c r="HRL12" s="314" t="s">
        <v>203</v>
      </c>
      <c r="HRM12" s="314" t="s">
        <v>203</v>
      </c>
      <c r="HRN12" s="314" t="s">
        <v>203</v>
      </c>
      <c r="HRO12" s="314" t="s">
        <v>203</v>
      </c>
      <c r="HRP12" s="314" t="s">
        <v>203</v>
      </c>
      <c r="HRQ12" s="314" t="s">
        <v>203</v>
      </c>
      <c r="HRR12" s="314" t="s">
        <v>203</v>
      </c>
      <c r="HRS12" s="314" t="s">
        <v>203</v>
      </c>
      <c r="HRT12" s="314" t="s">
        <v>203</v>
      </c>
      <c r="HRU12" s="314" t="s">
        <v>203</v>
      </c>
      <c r="HRV12" s="314" t="s">
        <v>203</v>
      </c>
      <c r="HRW12" s="314" t="s">
        <v>203</v>
      </c>
      <c r="HRX12" s="314" t="s">
        <v>203</v>
      </c>
      <c r="HRY12" s="314" t="s">
        <v>203</v>
      </c>
      <c r="HRZ12" s="314" t="s">
        <v>203</v>
      </c>
      <c r="HSA12" s="314" t="s">
        <v>203</v>
      </c>
      <c r="HSB12" s="314" t="s">
        <v>203</v>
      </c>
      <c r="HSC12" s="314" t="s">
        <v>203</v>
      </c>
      <c r="HSD12" s="314" t="s">
        <v>203</v>
      </c>
      <c r="HSE12" s="314" t="s">
        <v>203</v>
      </c>
      <c r="HSF12" s="314" t="s">
        <v>203</v>
      </c>
      <c r="HSG12" s="314" t="s">
        <v>203</v>
      </c>
      <c r="HSH12" s="314" t="s">
        <v>203</v>
      </c>
      <c r="HSI12" s="314" t="s">
        <v>203</v>
      </c>
      <c r="HSJ12" s="314" t="s">
        <v>203</v>
      </c>
      <c r="HSK12" s="314" t="s">
        <v>203</v>
      </c>
      <c r="HSL12" s="314" t="s">
        <v>203</v>
      </c>
      <c r="HSM12" s="314" t="s">
        <v>203</v>
      </c>
      <c r="HSN12" s="314" t="s">
        <v>203</v>
      </c>
      <c r="HSO12" s="314" t="s">
        <v>203</v>
      </c>
      <c r="HSP12" s="314" t="s">
        <v>203</v>
      </c>
      <c r="HSQ12" s="314" t="s">
        <v>203</v>
      </c>
      <c r="HSR12" s="314" t="s">
        <v>203</v>
      </c>
      <c r="HSS12" s="314" t="s">
        <v>203</v>
      </c>
      <c r="HST12" s="314" t="s">
        <v>203</v>
      </c>
      <c r="HSU12" s="314" t="s">
        <v>203</v>
      </c>
      <c r="HSV12" s="314" t="s">
        <v>203</v>
      </c>
      <c r="HSW12" s="314" t="s">
        <v>203</v>
      </c>
      <c r="HSX12" s="314" t="s">
        <v>203</v>
      </c>
      <c r="HSY12" s="314" t="s">
        <v>203</v>
      </c>
      <c r="HSZ12" s="314" t="s">
        <v>203</v>
      </c>
      <c r="HTA12" s="314" t="s">
        <v>203</v>
      </c>
      <c r="HTB12" s="314" t="s">
        <v>203</v>
      </c>
      <c r="HTC12" s="314" t="s">
        <v>203</v>
      </c>
      <c r="HTD12" s="314" t="s">
        <v>203</v>
      </c>
      <c r="HTE12" s="314" t="s">
        <v>203</v>
      </c>
      <c r="HTF12" s="314" t="s">
        <v>203</v>
      </c>
      <c r="HTG12" s="314" t="s">
        <v>203</v>
      </c>
      <c r="HTH12" s="314" t="s">
        <v>203</v>
      </c>
      <c r="HTI12" s="314" t="s">
        <v>203</v>
      </c>
      <c r="HTJ12" s="314" t="s">
        <v>203</v>
      </c>
      <c r="HTK12" s="314" t="s">
        <v>203</v>
      </c>
      <c r="HTL12" s="314" t="s">
        <v>203</v>
      </c>
      <c r="HTM12" s="314" t="s">
        <v>203</v>
      </c>
      <c r="HTN12" s="314" t="s">
        <v>203</v>
      </c>
      <c r="HTO12" s="314" t="s">
        <v>203</v>
      </c>
      <c r="HTP12" s="314" t="s">
        <v>203</v>
      </c>
      <c r="HTQ12" s="314" t="s">
        <v>203</v>
      </c>
      <c r="HTR12" s="314" t="s">
        <v>203</v>
      </c>
      <c r="HTS12" s="314" t="s">
        <v>203</v>
      </c>
      <c r="HTT12" s="314" t="s">
        <v>203</v>
      </c>
      <c r="HTU12" s="314" t="s">
        <v>203</v>
      </c>
      <c r="HTV12" s="314" t="s">
        <v>203</v>
      </c>
      <c r="HTW12" s="314" t="s">
        <v>203</v>
      </c>
      <c r="HTX12" s="314" t="s">
        <v>203</v>
      </c>
      <c r="HTY12" s="314" t="s">
        <v>203</v>
      </c>
      <c r="HTZ12" s="314" t="s">
        <v>203</v>
      </c>
      <c r="HUA12" s="314" t="s">
        <v>203</v>
      </c>
      <c r="HUB12" s="314" t="s">
        <v>203</v>
      </c>
      <c r="HUC12" s="314" t="s">
        <v>203</v>
      </c>
      <c r="HUD12" s="314" t="s">
        <v>203</v>
      </c>
      <c r="HUE12" s="314" t="s">
        <v>203</v>
      </c>
      <c r="HUF12" s="314" t="s">
        <v>203</v>
      </c>
      <c r="HUG12" s="314" t="s">
        <v>203</v>
      </c>
      <c r="HUH12" s="314" t="s">
        <v>203</v>
      </c>
      <c r="HUI12" s="314" t="s">
        <v>203</v>
      </c>
      <c r="HUJ12" s="314" t="s">
        <v>203</v>
      </c>
      <c r="HUK12" s="314" t="s">
        <v>203</v>
      </c>
      <c r="HUL12" s="314" t="s">
        <v>203</v>
      </c>
      <c r="HUM12" s="314" t="s">
        <v>203</v>
      </c>
      <c r="HUN12" s="314" t="s">
        <v>203</v>
      </c>
      <c r="HUO12" s="314" t="s">
        <v>203</v>
      </c>
      <c r="HUP12" s="314" t="s">
        <v>203</v>
      </c>
      <c r="HUQ12" s="314" t="s">
        <v>203</v>
      </c>
      <c r="HUR12" s="314" t="s">
        <v>203</v>
      </c>
      <c r="HUS12" s="314" t="s">
        <v>203</v>
      </c>
      <c r="HUT12" s="314" t="s">
        <v>203</v>
      </c>
      <c r="HUU12" s="314" t="s">
        <v>203</v>
      </c>
      <c r="HUV12" s="314" t="s">
        <v>203</v>
      </c>
      <c r="HUW12" s="314" t="s">
        <v>203</v>
      </c>
      <c r="HUX12" s="314" t="s">
        <v>203</v>
      </c>
      <c r="HUY12" s="314" t="s">
        <v>203</v>
      </c>
      <c r="HUZ12" s="314" t="s">
        <v>203</v>
      </c>
      <c r="HVA12" s="314" t="s">
        <v>203</v>
      </c>
      <c r="HVB12" s="314" t="s">
        <v>203</v>
      </c>
      <c r="HVC12" s="314" t="s">
        <v>203</v>
      </c>
      <c r="HVD12" s="314" t="s">
        <v>203</v>
      </c>
      <c r="HVE12" s="314" t="s">
        <v>203</v>
      </c>
      <c r="HVF12" s="314" t="s">
        <v>203</v>
      </c>
      <c r="HVG12" s="314" t="s">
        <v>203</v>
      </c>
      <c r="HVH12" s="314" t="s">
        <v>203</v>
      </c>
      <c r="HVI12" s="314" t="s">
        <v>203</v>
      </c>
      <c r="HVJ12" s="314" t="s">
        <v>203</v>
      </c>
      <c r="HVK12" s="314" t="s">
        <v>203</v>
      </c>
      <c r="HVL12" s="314" t="s">
        <v>203</v>
      </c>
      <c r="HVM12" s="314" t="s">
        <v>203</v>
      </c>
      <c r="HVN12" s="314" t="s">
        <v>203</v>
      </c>
      <c r="HVO12" s="314" t="s">
        <v>203</v>
      </c>
      <c r="HVP12" s="314" t="s">
        <v>203</v>
      </c>
      <c r="HVQ12" s="314" t="s">
        <v>203</v>
      </c>
      <c r="HVR12" s="314" t="s">
        <v>203</v>
      </c>
      <c r="HVS12" s="314" t="s">
        <v>203</v>
      </c>
      <c r="HVT12" s="314" t="s">
        <v>203</v>
      </c>
      <c r="HVU12" s="314" t="s">
        <v>203</v>
      </c>
      <c r="HVV12" s="314" t="s">
        <v>203</v>
      </c>
      <c r="HVW12" s="314" t="s">
        <v>203</v>
      </c>
      <c r="HVX12" s="314" t="s">
        <v>203</v>
      </c>
      <c r="HVY12" s="314" t="s">
        <v>203</v>
      </c>
      <c r="HVZ12" s="314" t="s">
        <v>203</v>
      </c>
      <c r="HWA12" s="314" t="s">
        <v>203</v>
      </c>
      <c r="HWB12" s="314" t="s">
        <v>203</v>
      </c>
      <c r="HWC12" s="314" t="s">
        <v>203</v>
      </c>
      <c r="HWD12" s="314" t="s">
        <v>203</v>
      </c>
      <c r="HWE12" s="314" t="s">
        <v>203</v>
      </c>
      <c r="HWF12" s="314" t="s">
        <v>203</v>
      </c>
      <c r="HWG12" s="314" t="s">
        <v>203</v>
      </c>
      <c r="HWH12" s="314" t="s">
        <v>203</v>
      </c>
      <c r="HWI12" s="314" t="s">
        <v>203</v>
      </c>
      <c r="HWJ12" s="314" t="s">
        <v>203</v>
      </c>
      <c r="HWK12" s="314" t="s">
        <v>203</v>
      </c>
      <c r="HWL12" s="314" t="s">
        <v>203</v>
      </c>
      <c r="HWM12" s="314" t="s">
        <v>203</v>
      </c>
      <c r="HWN12" s="314" t="s">
        <v>203</v>
      </c>
      <c r="HWO12" s="314" t="s">
        <v>203</v>
      </c>
      <c r="HWP12" s="314" t="s">
        <v>203</v>
      </c>
      <c r="HWQ12" s="314" t="s">
        <v>203</v>
      </c>
      <c r="HWR12" s="314" t="s">
        <v>203</v>
      </c>
      <c r="HWS12" s="314" t="s">
        <v>203</v>
      </c>
      <c r="HWT12" s="314" t="s">
        <v>203</v>
      </c>
      <c r="HWU12" s="314" t="s">
        <v>203</v>
      </c>
      <c r="HWV12" s="314" t="s">
        <v>203</v>
      </c>
      <c r="HWW12" s="314" t="s">
        <v>203</v>
      </c>
      <c r="HWX12" s="314" t="s">
        <v>203</v>
      </c>
      <c r="HWY12" s="314" t="s">
        <v>203</v>
      </c>
      <c r="HWZ12" s="314" t="s">
        <v>203</v>
      </c>
      <c r="HXA12" s="314" t="s">
        <v>203</v>
      </c>
      <c r="HXB12" s="314" t="s">
        <v>203</v>
      </c>
      <c r="HXC12" s="314" t="s">
        <v>203</v>
      </c>
      <c r="HXD12" s="314" t="s">
        <v>203</v>
      </c>
      <c r="HXE12" s="314" t="s">
        <v>203</v>
      </c>
      <c r="HXF12" s="314" t="s">
        <v>203</v>
      </c>
      <c r="HXG12" s="314" t="s">
        <v>203</v>
      </c>
      <c r="HXH12" s="314" t="s">
        <v>203</v>
      </c>
      <c r="HXI12" s="314" t="s">
        <v>203</v>
      </c>
      <c r="HXJ12" s="314" t="s">
        <v>203</v>
      </c>
      <c r="HXK12" s="314" t="s">
        <v>203</v>
      </c>
      <c r="HXL12" s="314" t="s">
        <v>203</v>
      </c>
      <c r="HXM12" s="314" t="s">
        <v>203</v>
      </c>
      <c r="HXN12" s="314" t="s">
        <v>203</v>
      </c>
      <c r="HXO12" s="314" t="s">
        <v>203</v>
      </c>
      <c r="HXP12" s="314" t="s">
        <v>203</v>
      </c>
      <c r="HXQ12" s="314" t="s">
        <v>203</v>
      </c>
      <c r="HXR12" s="314" t="s">
        <v>203</v>
      </c>
      <c r="HXS12" s="314" t="s">
        <v>203</v>
      </c>
      <c r="HXT12" s="314" t="s">
        <v>203</v>
      </c>
      <c r="HXU12" s="314" t="s">
        <v>203</v>
      </c>
      <c r="HXV12" s="314" t="s">
        <v>203</v>
      </c>
      <c r="HXW12" s="314" t="s">
        <v>203</v>
      </c>
      <c r="HXX12" s="314" t="s">
        <v>203</v>
      </c>
      <c r="HXY12" s="314" t="s">
        <v>203</v>
      </c>
      <c r="HXZ12" s="314" t="s">
        <v>203</v>
      </c>
      <c r="HYA12" s="314" t="s">
        <v>203</v>
      </c>
      <c r="HYB12" s="314" t="s">
        <v>203</v>
      </c>
      <c r="HYC12" s="314" t="s">
        <v>203</v>
      </c>
      <c r="HYD12" s="314" t="s">
        <v>203</v>
      </c>
      <c r="HYE12" s="314" t="s">
        <v>203</v>
      </c>
      <c r="HYF12" s="314" t="s">
        <v>203</v>
      </c>
      <c r="HYG12" s="314" t="s">
        <v>203</v>
      </c>
      <c r="HYH12" s="314" t="s">
        <v>203</v>
      </c>
      <c r="HYI12" s="314" t="s">
        <v>203</v>
      </c>
      <c r="HYJ12" s="314" t="s">
        <v>203</v>
      </c>
      <c r="HYK12" s="314" t="s">
        <v>203</v>
      </c>
      <c r="HYL12" s="314" t="s">
        <v>203</v>
      </c>
      <c r="HYM12" s="314" t="s">
        <v>203</v>
      </c>
      <c r="HYN12" s="314" t="s">
        <v>203</v>
      </c>
      <c r="HYO12" s="314" t="s">
        <v>203</v>
      </c>
      <c r="HYP12" s="314" t="s">
        <v>203</v>
      </c>
      <c r="HYQ12" s="314" t="s">
        <v>203</v>
      </c>
      <c r="HYR12" s="314" t="s">
        <v>203</v>
      </c>
      <c r="HYS12" s="314" t="s">
        <v>203</v>
      </c>
      <c r="HYT12" s="314" t="s">
        <v>203</v>
      </c>
      <c r="HYU12" s="314" t="s">
        <v>203</v>
      </c>
      <c r="HYV12" s="314" t="s">
        <v>203</v>
      </c>
      <c r="HYW12" s="314" t="s">
        <v>203</v>
      </c>
      <c r="HYX12" s="314" t="s">
        <v>203</v>
      </c>
      <c r="HYY12" s="314" t="s">
        <v>203</v>
      </c>
      <c r="HYZ12" s="314" t="s">
        <v>203</v>
      </c>
      <c r="HZA12" s="314" t="s">
        <v>203</v>
      </c>
      <c r="HZB12" s="314" t="s">
        <v>203</v>
      </c>
      <c r="HZC12" s="314" t="s">
        <v>203</v>
      </c>
      <c r="HZD12" s="314" t="s">
        <v>203</v>
      </c>
      <c r="HZE12" s="314" t="s">
        <v>203</v>
      </c>
      <c r="HZF12" s="314" t="s">
        <v>203</v>
      </c>
      <c r="HZG12" s="314" t="s">
        <v>203</v>
      </c>
      <c r="HZH12" s="314" t="s">
        <v>203</v>
      </c>
      <c r="HZI12" s="314" t="s">
        <v>203</v>
      </c>
      <c r="HZJ12" s="314" t="s">
        <v>203</v>
      </c>
      <c r="HZK12" s="314" t="s">
        <v>203</v>
      </c>
      <c r="HZL12" s="314" t="s">
        <v>203</v>
      </c>
      <c r="HZM12" s="314" t="s">
        <v>203</v>
      </c>
      <c r="HZN12" s="314" t="s">
        <v>203</v>
      </c>
      <c r="HZO12" s="314" t="s">
        <v>203</v>
      </c>
      <c r="HZP12" s="314" t="s">
        <v>203</v>
      </c>
      <c r="HZQ12" s="314" t="s">
        <v>203</v>
      </c>
      <c r="HZR12" s="314" t="s">
        <v>203</v>
      </c>
      <c r="HZS12" s="314" t="s">
        <v>203</v>
      </c>
      <c r="HZT12" s="314" t="s">
        <v>203</v>
      </c>
      <c r="HZU12" s="314" t="s">
        <v>203</v>
      </c>
      <c r="HZV12" s="314" t="s">
        <v>203</v>
      </c>
      <c r="HZW12" s="314" t="s">
        <v>203</v>
      </c>
      <c r="HZX12" s="314" t="s">
        <v>203</v>
      </c>
      <c r="HZY12" s="314" t="s">
        <v>203</v>
      </c>
      <c r="HZZ12" s="314" t="s">
        <v>203</v>
      </c>
      <c r="IAA12" s="314" t="s">
        <v>203</v>
      </c>
      <c r="IAB12" s="314" t="s">
        <v>203</v>
      </c>
      <c r="IAC12" s="314" t="s">
        <v>203</v>
      </c>
      <c r="IAD12" s="314" t="s">
        <v>203</v>
      </c>
      <c r="IAE12" s="314" t="s">
        <v>203</v>
      </c>
      <c r="IAF12" s="314" t="s">
        <v>203</v>
      </c>
      <c r="IAG12" s="314" t="s">
        <v>203</v>
      </c>
      <c r="IAH12" s="314" t="s">
        <v>203</v>
      </c>
      <c r="IAI12" s="314" t="s">
        <v>203</v>
      </c>
      <c r="IAJ12" s="314" t="s">
        <v>203</v>
      </c>
      <c r="IAK12" s="314" t="s">
        <v>203</v>
      </c>
      <c r="IAL12" s="314" t="s">
        <v>203</v>
      </c>
      <c r="IAM12" s="314" t="s">
        <v>203</v>
      </c>
      <c r="IAN12" s="314" t="s">
        <v>203</v>
      </c>
      <c r="IAO12" s="314" t="s">
        <v>203</v>
      </c>
      <c r="IAP12" s="314" t="s">
        <v>203</v>
      </c>
      <c r="IAQ12" s="314" t="s">
        <v>203</v>
      </c>
      <c r="IAR12" s="314" t="s">
        <v>203</v>
      </c>
      <c r="IAS12" s="314" t="s">
        <v>203</v>
      </c>
      <c r="IAT12" s="314" t="s">
        <v>203</v>
      </c>
      <c r="IAU12" s="314" t="s">
        <v>203</v>
      </c>
      <c r="IAV12" s="314" t="s">
        <v>203</v>
      </c>
      <c r="IAW12" s="314" t="s">
        <v>203</v>
      </c>
      <c r="IAX12" s="314" t="s">
        <v>203</v>
      </c>
      <c r="IAY12" s="314" t="s">
        <v>203</v>
      </c>
      <c r="IAZ12" s="314" t="s">
        <v>203</v>
      </c>
      <c r="IBA12" s="314" t="s">
        <v>203</v>
      </c>
      <c r="IBB12" s="314" t="s">
        <v>203</v>
      </c>
      <c r="IBC12" s="314" t="s">
        <v>203</v>
      </c>
      <c r="IBD12" s="314" t="s">
        <v>203</v>
      </c>
      <c r="IBE12" s="314" t="s">
        <v>203</v>
      </c>
      <c r="IBF12" s="314" t="s">
        <v>203</v>
      </c>
      <c r="IBG12" s="314" t="s">
        <v>203</v>
      </c>
      <c r="IBH12" s="314" t="s">
        <v>203</v>
      </c>
      <c r="IBI12" s="314" t="s">
        <v>203</v>
      </c>
      <c r="IBJ12" s="314" t="s">
        <v>203</v>
      </c>
      <c r="IBK12" s="314" t="s">
        <v>203</v>
      </c>
      <c r="IBL12" s="314" t="s">
        <v>203</v>
      </c>
      <c r="IBM12" s="314" t="s">
        <v>203</v>
      </c>
      <c r="IBN12" s="314" t="s">
        <v>203</v>
      </c>
      <c r="IBO12" s="314" t="s">
        <v>203</v>
      </c>
      <c r="IBP12" s="314" t="s">
        <v>203</v>
      </c>
      <c r="IBQ12" s="314" t="s">
        <v>203</v>
      </c>
      <c r="IBR12" s="314" t="s">
        <v>203</v>
      </c>
      <c r="IBS12" s="314" t="s">
        <v>203</v>
      </c>
      <c r="IBT12" s="314" t="s">
        <v>203</v>
      </c>
      <c r="IBU12" s="314" t="s">
        <v>203</v>
      </c>
      <c r="IBV12" s="314" t="s">
        <v>203</v>
      </c>
      <c r="IBW12" s="314" t="s">
        <v>203</v>
      </c>
      <c r="IBX12" s="314" t="s">
        <v>203</v>
      </c>
      <c r="IBY12" s="314" t="s">
        <v>203</v>
      </c>
      <c r="IBZ12" s="314" t="s">
        <v>203</v>
      </c>
      <c r="ICA12" s="314" t="s">
        <v>203</v>
      </c>
      <c r="ICB12" s="314" t="s">
        <v>203</v>
      </c>
      <c r="ICC12" s="314" t="s">
        <v>203</v>
      </c>
      <c r="ICD12" s="314" t="s">
        <v>203</v>
      </c>
      <c r="ICE12" s="314" t="s">
        <v>203</v>
      </c>
      <c r="ICF12" s="314" t="s">
        <v>203</v>
      </c>
      <c r="ICG12" s="314" t="s">
        <v>203</v>
      </c>
      <c r="ICH12" s="314" t="s">
        <v>203</v>
      </c>
      <c r="ICI12" s="314" t="s">
        <v>203</v>
      </c>
      <c r="ICJ12" s="314" t="s">
        <v>203</v>
      </c>
      <c r="ICK12" s="314" t="s">
        <v>203</v>
      </c>
      <c r="ICL12" s="314" t="s">
        <v>203</v>
      </c>
      <c r="ICM12" s="314" t="s">
        <v>203</v>
      </c>
      <c r="ICN12" s="314" t="s">
        <v>203</v>
      </c>
      <c r="ICO12" s="314" t="s">
        <v>203</v>
      </c>
      <c r="ICP12" s="314" t="s">
        <v>203</v>
      </c>
      <c r="ICQ12" s="314" t="s">
        <v>203</v>
      </c>
      <c r="ICR12" s="314" t="s">
        <v>203</v>
      </c>
      <c r="ICS12" s="314" t="s">
        <v>203</v>
      </c>
      <c r="ICT12" s="314" t="s">
        <v>203</v>
      </c>
      <c r="ICU12" s="314" t="s">
        <v>203</v>
      </c>
      <c r="ICV12" s="314" t="s">
        <v>203</v>
      </c>
      <c r="ICW12" s="314" t="s">
        <v>203</v>
      </c>
      <c r="ICX12" s="314" t="s">
        <v>203</v>
      </c>
      <c r="ICY12" s="314" t="s">
        <v>203</v>
      </c>
      <c r="ICZ12" s="314" t="s">
        <v>203</v>
      </c>
      <c r="IDA12" s="314" t="s">
        <v>203</v>
      </c>
      <c r="IDB12" s="314" t="s">
        <v>203</v>
      </c>
      <c r="IDC12" s="314" t="s">
        <v>203</v>
      </c>
      <c r="IDD12" s="314" t="s">
        <v>203</v>
      </c>
      <c r="IDE12" s="314" t="s">
        <v>203</v>
      </c>
      <c r="IDF12" s="314" t="s">
        <v>203</v>
      </c>
      <c r="IDG12" s="314" t="s">
        <v>203</v>
      </c>
      <c r="IDH12" s="314" t="s">
        <v>203</v>
      </c>
      <c r="IDI12" s="314" t="s">
        <v>203</v>
      </c>
      <c r="IDJ12" s="314" t="s">
        <v>203</v>
      </c>
      <c r="IDK12" s="314" t="s">
        <v>203</v>
      </c>
      <c r="IDL12" s="314" t="s">
        <v>203</v>
      </c>
      <c r="IDM12" s="314" t="s">
        <v>203</v>
      </c>
      <c r="IDN12" s="314" t="s">
        <v>203</v>
      </c>
      <c r="IDO12" s="314" t="s">
        <v>203</v>
      </c>
      <c r="IDP12" s="314" t="s">
        <v>203</v>
      </c>
      <c r="IDQ12" s="314" t="s">
        <v>203</v>
      </c>
      <c r="IDR12" s="314" t="s">
        <v>203</v>
      </c>
      <c r="IDS12" s="314" t="s">
        <v>203</v>
      </c>
      <c r="IDT12" s="314" t="s">
        <v>203</v>
      </c>
      <c r="IDU12" s="314" t="s">
        <v>203</v>
      </c>
      <c r="IDV12" s="314" t="s">
        <v>203</v>
      </c>
      <c r="IDW12" s="314" t="s">
        <v>203</v>
      </c>
      <c r="IDX12" s="314" t="s">
        <v>203</v>
      </c>
      <c r="IDY12" s="314" t="s">
        <v>203</v>
      </c>
      <c r="IDZ12" s="314" t="s">
        <v>203</v>
      </c>
      <c r="IEA12" s="314" t="s">
        <v>203</v>
      </c>
      <c r="IEB12" s="314" t="s">
        <v>203</v>
      </c>
      <c r="IEC12" s="314" t="s">
        <v>203</v>
      </c>
      <c r="IED12" s="314" t="s">
        <v>203</v>
      </c>
      <c r="IEE12" s="314" t="s">
        <v>203</v>
      </c>
      <c r="IEF12" s="314" t="s">
        <v>203</v>
      </c>
      <c r="IEG12" s="314" t="s">
        <v>203</v>
      </c>
      <c r="IEH12" s="314" t="s">
        <v>203</v>
      </c>
      <c r="IEI12" s="314" t="s">
        <v>203</v>
      </c>
      <c r="IEJ12" s="314" t="s">
        <v>203</v>
      </c>
      <c r="IEK12" s="314" t="s">
        <v>203</v>
      </c>
      <c r="IEL12" s="314" t="s">
        <v>203</v>
      </c>
      <c r="IEM12" s="314" t="s">
        <v>203</v>
      </c>
      <c r="IEN12" s="314" t="s">
        <v>203</v>
      </c>
      <c r="IEO12" s="314" t="s">
        <v>203</v>
      </c>
      <c r="IEP12" s="314" t="s">
        <v>203</v>
      </c>
      <c r="IEQ12" s="314" t="s">
        <v>203</v>
      </c>
      <c r="IER12" s="314" t="s">
        <v>203</v>
      </c>
      <c r="IES12" s="314" t="s">
        <v>203</v>
      </c>
      <c r="IET12" s="314" t="s">
        <v>203</v>
      </c>
      <c r="IEU12" s="314" t="s">
        <v>203</v>
      </c>
      <c r="IEV12" s="314" t="s">
        <v>203</v>
      </c>
      <c r="IEW12" s="314" t="s">
        <v>203</v>
      </c>
      <c r="IEX12" s="314" t="s">
        <v>203</v>
      </c>
      <c r="IEY12" s="314" t="s">
        <v>203</v>
      </c>
      <c r="IEZ12" s="314" t="s">
        <v>203</v>
      </c>
      <c r="IFA12" s="314" t="s">
        <v>203</v>
      </c>
      <c r="IFB12" s="314" t="s">
        <v>203</v>
      </c>
      <c r="IFC12" s="314" t="s">
        <v>203</v>
      </c>
      <c r="IFD12" s="314" t="s">
        <v>203</v>
      </c>
      <c r="IFE12" s="314" t="s">
        <v>203</v>
      </c>
      <c r="IFF12" s="314" t="s">
        <v>203</v>
      </c>
      <c r="IFG12" s="314" t="s">
        <v>203</v>
      </c>
      <c r="IFH12" s="314" t="s">
        <v>203</v>
      </c>
      <c r="IFI12" s="314" t="s">
        <v>203</v>
      </c>
      <c r="IFJ12" s="314" t="s">
        <v>203</v>
      </c>
      <c r="IFK12" s="314" t="s">
        <v>203</v>
      </c>
      <c r="IFL12" s="314" t="s">
        <v>203</v>
      </c>
      <c r="IFM12" s="314" t="s">
        <v>203</v>
      </c>
      <c r="IFN12" s="314" t="s">
        <v>203</v>
      </c>
      <c r="IFO12" s="314" t="s">
        <v>203</v>
      </c>
      <c r="IFP12" s="314" t="s">
        <v>203</v>
      </c>
      <c r="IFQ12" s="314" t="s">
        <v>203</v>
      </c>
      <c r="IFR12" s="314" t="s">
        <v>203</v>
      </c>
      <c r="IFS12" s="314" t="s">
        <v>203</v>
      </c>
      <c r="IFT12" s="314" t="s">
        <v>203</v>
      </c>
      <c r="IFU12" s="314" t="s">
        <v>203</v>
      </c>
      <c r="IFV12" s="314" t="s">
        <v>203</v>
      </c>
      <c r="IFW12" s="314" t="s">
        <v>203</v>
      </c>
      <c r="IFX12" s="314" t="s">
        <v>203</v>
      </c>
      <c r="IFY12" s="314" t="s">
        <v>203</v>
      </c>
      <c r="IFZ12" s="314" t="s">
        <v>203</v>
      </c>
      <c r="IGA12" s="314" t="s">
        <v>203</v>
      </c>
      <c r="IGB12" s="314" t="s">
        <v>203</v>
      </c>
      <c r="IGC12" s="314" t="s">
        <v>203</v>
      </c>
      <c r="IGD12" s="314" t="s">
        <v>203</v>
      </c>
      <c r="IGE12" s="314" t="s">
        <v>203</v>
      </c>
      <c r="IGF12" s="314" t="s">
        <v>203</v>
      </c>
      <c r="IGG12" s="314" t="s">
        <v>203</v>
      </c>
      <c r="IGH12" s="314" t="s">
        <v>203</v>
      </c>
      <c r="IGI12" s="314" t="s">
        <v>203</v>
      </c>
      <c r="IGJ12" s="314" t="s">
        <v>203</v>
      </c>
      <c r="IGK12" s="314" t="s">
        <v>203</v>
      </c>
      <c r="IGL12" s="314" t="s">
        <v>203</v>
      </c>
      <c r="IGM12" s="314" t="s">
        <v>203</v>
      </c>
      <c r="IGN12" s="314" t="s">
        <v>203</v>
      </c>
      <c r="IGO12" s="314" t="s">
        <v>203</v>
      </c>
      <c r="IGP12" s="314" t="s">
        <v>203</v>
      </c>
      <c r="IGQ12" s="314" t="s">
        <v>203</v>
      </c>
      <c r="IGR12" s="314" t="s">
        <v>203</v>
      </c>
      <c r="IGS12" s="314" t="s">
        <v>203</v>
      </c>
      <c r="IGT12" s="314" t="s">
        <v>203</v>
      </c>
      <c r="IGU12" s="314" t="s">
        <v>203</v>
      </c>
      <c r="IGV12" s="314" t="s">
        <v>203</v>
      </c>
      <c r="IGW12" s="314" t="s">
        <v>203</v>
      </c>
      <c r="IGX12" s="314" t="s">
        <v>203</v>
      </c>
      <c r="IGY12" s="314" t="s">
        <v>203</v>
      </c>
      <c r="IGZ12" s="314" t="s">
        <v>203</v>
      </c>
      <c r="IHA12" s="314" t="s">
        <v>203</v>
      </c>
      <c r="IHB12" s="314" t="s">
        <v>203</v>
      </c>
      <c r="IHC12" s="314" t="s">
        <v>203</v>
      </c>
      <c r="IHD12" s="314" t="s">
        <v>203</v>
      </c>
      <c r="IHE12" s="314" t="s">
        <v>203</v>
      </c>
      <c r="IHF12" s="314" t="s">
        <v>203</v>
      </c>
      <c r="IHG12" s="314" t="s">
        <v>203</v>
      </c>
      <c r="IHH12" s="314" t="s">
        <v>203</v>
      </c>
      <c r="IHI12" s="314" t="s">
        <v>203</v>
      </c>
      <c r="IHJ12" s="314" t="s">
        <v>203</v>
      </c>
      <c r="IHK12" s="314" t="s">
        <v>203</v>
      </c>
      <c r="IHL12" s="314" t="s">
        <v>203</v>
      </c>
      <c r="IHM12" s="314" t="s">
        <v>203</v>
      </c>
      <c r="IHN12" s="314" t="s">
        <v>203</v>
      </c>
      <c r="IHO12" s="314" t="s">
        <v>203</v>
      </c>
      <c r="IHP12" s="314" t="s">
        <v>203</v>
      </c>
      <c r="IHQ12" s="314" t="s">
        <v>203</v>
      </c>
      <c r="IHR12" s="314" t="s">
        <v>203</v>
      </c>
      <c r="IHS12" s="314" t="s">
        <v>203</v>
      </c>
      <c r="IHT12" s="314" t="s">
        <v>203</v>
      </c>
      <c r="IHU12" s="314" t="s">
        <v>203</v>
      </c>
      <c r="IHV12" s="314" t="s">
        <v>203</v>
      </c>
      <c r="IHW12" s="314" t="s">
        <v>203</v>
      </c>
      <c r="IHX12" s="314" t="s">
        <v>203</v>
      </c>
      <c r="IHY12" s="314" t="s">
        <v>203</v>
      </c>
      <c r="IHZ12" s="314" t="s">
        <v>203</v>
      </c>
      <c r="IIA12" s="314" t="s">
        <v>203</v>
      </c>
      <c r="IIB12" s="314" t="s">
        <v>203</v>
      </c>
      <c r="IIC12" s="314" t="s">
        <v>203</v>
      </c>
      <c r="IID12" s="314" t="s">
        <v>203</v>
      </c>
      <c r="IIE12" s="314" t="s">
        <v>203</v>
      </c>
      <c r="IIF12" s="314" t="s">
        <v>203</v>
      </c>
      <c r="IIG12" s="314" t="s">
        <v>203</v>
      </c>
      <c r="IIH12" s="314" t="s">
        <v>203</v>
      </c>
      <c r="III12" s="314" t="s">
        <v>203</v>
      </c>
      <c r="IIJ12" s="314" t="s">
        <v>203</v>
      </c>
      <c r="IIK12" s="314" t="s">
        <v>203</v>
      </c>
      <c r="IIL12" s="314" t="s">
        <v>203</v>
      </c>
      <c r="IIM12" s="314" t="s">
        <v>203</v>
      </c>
      <c r="IIN12" s="314" t="s">
        <v>203</v>
      </c>
      <c r="IIO12" s="314" t="s">
        <v>203</v>
      </c>
      <c r="IIP12" s="314" t="s">
        <v>203</v>
      </c>
      <c r="IIQ12" s="314" t="s">
        <v>203</v>
      </c>
      <c r="IIR12" s="314" t="s">
        <v>203</v>
      </c>
      <c r="IIS12" s="314" t="s">
        <v>203</v>
      </c>
      <c r="IIT12" s="314" t="s">
        <v>203</v>
      </c>
      <c r="IIU12" s="314" t="s">
        <v>203</v>
      </c>
      <c r="IIV12" s="314" t="s">
        <v>203</v>
      </c>
      <c r="IIW12" s="314" t="s">
        <v>203</v>
      </c>
      <c r="IIX12" s="314" t="s">
        <v>203</v>
      </c>
      <c r="IIY12" s="314" t="s">
        <v>203</v>
      </c>
      <c r="IIZ12" s="314" t="s">
        <v>203</v>
      </c>
      <c r="IJA12" s="314" t="s">
        <v>203</v>
      </c>
      <c r="IJB12" s="314" t="s">
        <v>203</v>
      </c>
      <c r="IJC12" s="314" t="s">
        <v>203</v>
      </c>
      <c r="IJD12" s="314" t="s">
        <v>203</v>
      </c>
      <c r="IJE12" s="314" t="s">
        <v>203</v>
      </c>
      <c r="IJF12" s="314" t="s">
        <v>203</v>
      </c>
      <c r="IJG12" s="314" t="s">
        <v>203</v>
      </c>
      <c r="IJH12" s="314" t="s">
        <v>203</v>
      </c>
      <c r="IJI12" s="314" t="s">
        <v>203</v>
      </c>
      <c r="IJJ12" s="314" t="s">
        <v>203</v>
      </c>
      <c r="IJK12" s="314" t="s">
        <v>203</v>
      </c>
      <c r="IJL12" s="314" t="s">
        <v>203</v>
      </c>
      <c r="IJM12" s="314" t="s">
        <v>203</v>
      </c>
      <c r="IJN12" s="314" t="s">
        <v>203</v>
      </c>
      <c r="IJO12" s="314" t="s">
        <v>203</v>
      </c>
      <c r="IJP12" s="314" t="s">
        <v>203</v>
      </c>
      <c r="IJQ12" s="314" t="s">
        <v>203</v>
      </c>
      <c r="IJR12" s="314" t="s">
        <v>203</v>
      </c>
      <c r="IJS12" s="314" t="s">
        <v>203</v>
      </c>
      <c r="IJT12" s="314" t="s">
        <v>203</v>
      </c>
      <c r="IJU12" s="314" t="s">
        <v>203</v>
      </c>
      <c r="IJV12" s="314" t="s">
        <v>203</v>
      </c>
      <c r="IJW12" s="314" t="s">
        <v>203</v>
      </c>
      <c r="IJX12" s="314" t="s">
        <v>203</v>
      </c>
      <c r="IJY12" s="314" t="s">
        <v>203</v>
      </c>
      <c r="IJZ12" s="314" t="s">
        <v>203</v>
      </c>
      <c r="IKA12" s="314" t="s">
        <v>203</v>
      </c>
      <c r="IKB12" s="314" t="s">
        <v>203</v>
      </c>
      <c r="IKC12" s="314" t="s">
        <v>203</v>
      </c>
      <c r="IKD12" s="314" t="s">
        <v>203</v>
      </c>
      <c r="IKE12" s="314" t="s">
        <v>203</v>
      </c>
      <c r="IKF12" s="314" t="s">
        <v>203</v>
      </c>
      <c r="IKG12" s="314" t="s">
        <v>203</v>
      </c>
      <c r="IKH12" s="314" t="s">
        <v>203</v>
      </c>
      <c r="IKI12" s="314" t="s">
        <v>203</v>
      </c>
      <c r="IKJ12" s="314" t="s">
        <v>203</v>
      </c>
      <c r="IKK12" s="314" t="s">
        <v>203</v>
      </c>
      <c r="IKL12" s="314" t="s">
        <v>203</v>
      </c>
      <c r="IKM12" s="314" t="s">
        <v>203</v>
      </c>
      <c r="IKN12" s="314" t="s">
        <v>203</v>
      </c>
      <c r="IKO12" s="314" t="s">
        <v>203</v>
      </c>
      <c r="IKP12" s="314" t="s">
        <v>203</v>
      </c>
      <c r="IKQ12" s="314" t="s">
        <v>203</v>
      </c>
      <c r="IKR12" s="314" t="s">
        <v>203</v>
      </c>
      <c r="IKS12" s="314" t="s">
        <v>203</v>
      </c>
      <c r="IKT12" s="314" t="s">
        <v>203</v>
      </c>
      <c r="IKU12" s="314" t="s">
        <v>203</v>
      </c>
      <c r="IKV12" s="314" t="s">
        <v>203</v>
      </c>
      <c r="IKW12" s="314" t="s">
        <v>203</v>
      </c>
      <c r="IKX12" s="314" t="s">
        <v>203</v>
      </c>
      <c r="IKY12" s="314" t="s">
        <v>203</v>
      </c>
      <c r="IKZ12" s="314" t="s">
        <v>203</v>
      </c>
      <c r="ILA12" s="314" t="s">
        <v>203</v>
      </c>
      <c r="ILB12" s="314" t="s">
        <v>203</v>
      </c>
      <c r="ILC12" s="314" t="s">
        <v>203</v>
      </c>
      <c r="ILD12" s="314" t="s">
        <v>203</v>
      </c>
      <c r="ILE12" s="314" t="s">
        <v>203</v>
      </c>
      <c r="ILF12" s="314" t="s">
        <v>203</v>
      </c>
      <c r="ILG12" s="314" t="s">
        <v>203</v>
      </c>
      <c r="ILH12" s="314" t="s">
        <v>203</v>
      </c>
      <c r="ILI12" s="314" t="s">
        <v>203</v>
      </c>
      <c r="ILJ12" s="314" t="s">
        <v>203</v>
      </c>
      <c r="ILK12" s="314" t="s">
        <v>203</v>
      </c>
      <c r="ILL12" s="314" t="s">
        <v>203</v>
      </c>
      <c r="ILM12" s="314" t="s">
        <v>203</v>
      </c>
      <c r="ILN12" s="314" t="s">
        <v>203</v>
      </c>
      <c r="ILO12" s="314" t="s">
        <v>203</v>
      </c>
      <c r="ILP12" s="314" t="s">
        <v>203</v>
      </c>
      <c r="ILQ12" s="314" t="s">
        <v>203</v>
      </c>
      <c r="ILR12" s="314" t="s">
        <v>203</v>
      </c>
      <c r="ILS12" s="314" t="s">
        <v>203</v>
      </c>
      <c r="ILT12" s="314" t="s">
        <v>203</v>
      </c>
      <c r="ILU12" s="314" t="s">
        <v>203</v>
      </c>
      <c r="ILV12" s="314" t="s">
        <v>203</v>
      </c>
      <c r="ILW12" s="314" t="s">
        <v>203</v>
      </c>
      <c r="ILX12" s="314" t="s">
        <v>203</v>
      </c>
      <c r="ILY12" s="314" t="s">
        <v>203</v>
      </c>
      <c r="ILZ12" s="314" t="s">
        <v>203</v>
      </c>
      <c r="IMA12" s="314" t="s">
        <v>203</v>
      </c>
      <c r="IMB12" s="314" t="s">
        <v>203</v>
      </c>
      <c r="IMC12" s="314" t="s">
        <v>203</v>
      </c>
      <c r="IMD12" s="314" t="s">
        <v>203</v>
      </c>
      <c r="IME12" s="314" t="s">
        <v>203</v>
      </c>
      <c r="IMF12" s="314" t="s">
        <v>203</v>
      </c>
      <c r="IMG12" s="314" t="s">
        <v>203</v>
      </c>
      <c r="IMH12" s="314" t="s">
        <v>203</v>
      </c>
      <c r="IMI12" s="314" t="s">
        <v>203</v>
      </c>
      <c r="IMJ12" s="314" t="s">
        <v>203</v>
      </c>
      <c r="IMK12" s="314" t="s">
        <v>203</v>
      </c>
      <c r="IML12" s="314" t="s">
        <v>203</v>
      </c>
      <c r="IMM12" s="314" t="s">
        <v>203</v>
      </c>
      <c r="IMN12" s="314" t="s">
        <v>203</v>
      </c>
      <c r="IMO12" s="314" t="s">
        <v>203</v>
      </c>
      <c r="IMP12" s="314" t="s">
        <v>203</v>
      </c>
      <c r="IMQ12" s="314" t="s">
        <v>203</v>
      </c>
      <c r="IMR12" s="314" t="s">
        <v>203</v>
      </c>
      <c r="IMS12" s="314" t="s">
        <v>203</v>
      </c>
      <c r="IMT12" s="314" t="s">
        <v>203</v>
      </c>
      <c r="IMU12" s="314" t="s">
        <v>203</v>
      </c>
      <c r="IMV12" s="314" t="s">
        <v>203</v>
      </c>
      <c r="IMW12" s="314" t="s">
        <v>203</v>
      </c>
      <c r="IMX12" s="314" t="s">
        <v>203</v>
      </c>
      <c r="IMY12" s="314" t="s">
        <v>203</v>
      </c>
      <c r="IMZ12" s="314" t="s">
        <v>203</v>
      </c>
      <c r="INA12" s="314" t="s">
        <v>203</v>
      </c>
      <c r="INB12" s="314" t="s">
        <v>203</v>
      </c>
      <c r="INC12" s="314" t="s">
        <v>203</v>
      </c>
      <c r="IND12" s="314" t="s">
        <v>203</v>
      </c>
      <c r="INE12" s="314" t="s">
        <v>203</v>
      </c>
      <c r="INF12" s="314" t="s">
        <v>203</v>
      </c>
      <c r="ING12" s="314" t="s">
        <v>203</v>
      </c>
      <c r="INH12" s="314" t="s">
        <v>203</v>
      </c>
      <c r="INI12" s="314" t="s">
        <v>203</v>
      </c>
      <c r="INJ12" s="314" t="s">
        <v>203</v>
      </c>
      <c r="INK12" s="314" t="s">
        <v>203</v>
      </c>
      <c r="INL12" s="314" t="s">
        <v>203</v>
      </c>
      <c r="INM12" s="314" t="s">
        <v>203</v>
      </c>
      <c r="INN12" s="314" t="s">
        <v>203</v>
      </c>
      <c r="INO12" s="314" t="s">
        <v>203</v>
      </c>
      <c r="INP12" s="314" t="s">
        <v>203</v>
      </c>
      <c r="INQ12" s="314" t="s">
        <v>203</v>
      </c>
      <c r="INR12" s="314" t="s">
        <v>203</v>
      </c>
      <c r="INS12" s="314" t="s">
        <v>203</v>
      </c>
      <c r="INT12" s="314" t="s">
        <v>203</v>
      </c>
      <c r="INU12" s="314" t="s">
        <v>203</v>
      </c>
      <c r="INV12" s="314" t="s">
        <v>203</v>
      </c>
      <c r="INW12" s="314" t="s">
        <v>203</v>
      </c>
      <c r="INX12" s="314" t="s">
        <v>203</v>
      </c>
      <c r="INY12" s="314" t="s">
        <v>203</v>
      </c>
      <c r="INZ12" s="314" t="s">
        <v>203</v>
      </c>
      <c r="IOA12" s="314" t="s">
        <v>203</v>
      </c>
      <c r="IOB12" s="314" t="s">
        <v>203</v>
      </c>
      <c r="IOC12" s="314" t="s">
        <v>203</v>
      </c>
      <c r="IOD12" s="314" t="s">
        <v>203</v>
      </c>
      <c r="IOE12" s="314" t="s">
        <v>203</v>
      </c>
      <c r="IOF12" s="314" t="s">
        <v>203</v>
      </c>
      <c r="IOG12" s="314" t="s">
        <v>203</v>
      </c>
      <c r="IOH12" s="314" t="s">
        <v>203</v>
      </c>
      <c r="IOI12" s="314" t="s">
        <v>203</v>
      </c>
      <c r="IOJ12" s="314" t="s">
        <v>203</v>
      </c>
      <c r="IOK12" s="314" t="s">
        <v>203</v>
      </c>
      <c r="IOL12" s="314" t="s">
        <v>203</v>
      </c>
      <c r="IOM12" s="314" t="s">
        <v>203</v>
      </c>
      <c r="ION12" s="314" t="s">
        <v>203</v>
      </c>
      <c r="IOO12" s="314" t="s">
        <v>203</v>
      </c>
      <c r="IOP12" s="314" t="s">
        <v>203</v>
      </c>
      <c r="IOQ12" s="314" t="s">
        <v>203</v>
      </c>
      <c r="IOR12" s="314" t="s">
        <v>203</v>
      </c>
      <c r="IOS12" s="314" t="s">
        <v>203</v>
      </c>
      <c r="IOT12" s="314" t="s">
        <v>203</v>
      </c>
      <c r="IOU12" s="314" t="s">
        <v>203</v>
      </c>
      <c r="IOV12" s="314" t="s">
        <v>203</v>
      </c>
      <c r="IOW12" s="314" t="s">
        <v>203</v>
      </c>
      <c r="IOX12" s="314" t="s">
        <v>203</v>
      </c>
      <c r="IOY12" s="314" t="s">
        <v>203</v>
      </c>
      <c r="IOZ12" s="314" t="s">
        <v>203</v>
      </c>
      <c r="IPA12" s="314" t="s">
        <v>203</v>
      </c>
      <c r="IPB12" s="314" t="s">
        <v>203</v>
      </c>
      <c r="IPC12" s="314" t="s">
        <v>203</v>
      </c>
      <c r="IPD12" s="314" t="s">
        <v>203</v>
      </c>
      <c r="IPE12" s="314" t="s">
        <v>203</v>
      </c>
      <c r="IPF12" s="314" t="s">
        <v>203</v>
      </c>
      <c r="IPG12" s="314" t="s">
        <v>203</v>
      </c>
      <c r="IPH12" s="314" t="s">
        <v>203</v>
      </c>
      <c r="IPI12" s="314" t="s">
        <v>203</v>
      </c>
      <c r="IPJ12" s="314" t="s">
        <v>203</v>
      </c>
      <c r="IPK12" s="314" t="s">
        <v>203</v>
      </c>
      <c r="IPL12" s="314" t="s">
        <v>203</v>
      </c>
      <c r="IPM12" s="314" t="s">
        <v>203</v>
      </c>
      <c r="IPN12" s="314" t="s">
        <v>203</v>
      </c>
      <c r="IPO12" s="314" t="s">
        <v>203</v>
      </c>
      <c r="IPP12" s="314" t="s">
        <v>203</v>
      </c>
      <c r="IPQ12" s="314" t="s">
        <v>203</v>
      </c>
      <c r="IPR12" s="314" t="s">
        <v>203</v>
      </c>
      <c r="IPS12" s="314" t="s">
        <v>203</v>
      </c>
      <c r="IPT12" s="314" t="s">
        <v>203</v>
      </c>
      <c r="IPU12" s="314" t="s">
        <v>203</v>
      </c>
      <c r="IPV12" s="314" t="s">
        <v>203</v>
      </c>
      <c r="IPW12" s="314" t="s">
        <v>203</v>
      </c>
      <c r="IPX12" s="314" t="s">
        <v>203</v>
      </c>
      <c r="IPY12" s="314" t="s">
        <v>203</v>
      </c>
      <c r="IPZ12" s="314" t="s">
        <v>203</v>
      </c>
      <c r="IQA12" s="314" t="s">
        <v>203</v>
      </c>
      <c r="IQB12" s="314" t="s">
        <v>203</v>
      </c>
      <c r="IQC12" s="314" t="s">
        <v>203</v>
      </c>
      <c r="IQD12" s="314" t="s">
        <v>203</v>
      </c>
      <c r="IQE12" s="314" t="s">
        <v>203</v>
      </c>
      <c r="IQF12" s="314" t="s">
        <v>203</v>
      </c>
      <c r="IQG12" s="314" t="s">
        <v>203</v>
      </c>
      <c r="IQH12" s="314" t="s">
        <v>203</v>
      </c>
      <c r="IQI12" s="314" t="s">
        <v>203</v>
      </c>
      <c r="IQJ12" s="314" t="s">
        <v>203</v>
      </c>
      <c r="IQK12" s="314" t="s">
        <v>203</v>
      </c>
      <c r="IQL12" s="314" t="s">
        <v>203</v>
      </c>
      <c r="IQM12" s="314" t="s">
        <v>203</v>
      </c>
      <c r="IQN12" s="314" t="s">
        <v>203</v>
      </c>
      <c r="IQO12" s="314" t="s">
        <v>203</v>
      </c>
      <c r="IQP12" s="314" t="s">
        <v>203</v>
      </c>
      <c r="IQQ12" s="314" t="s">
        <v>203</v>
      </c>
      <c r="IQR12" s="314" t="s">
        <v>203</v>
      </c>
      <c r="IQS12" s="314" t="s">
        <v>203</v>
      </c>
      <c r="IQT12" s="314" t="s">
        <v>203</v>
      </c>
      <c r="IQU12" s="314" t="s">
        <v>203</v>
      </c>
      <c r="IQV12" s="314" t="s">
        <v>203</v>
      </c>
      <c r="IQW12" s="314" t="s">
        <v>203</v>
      </c>
      <c r="IQX12" s="314" t="s">
        <v>203</v>
      </c>
      <c r="IQY12" s="314" t="s">
        <v>203</v>
      </c>
      <c r="IQZ12" s="314" t="s">
        <v>203</v>
      </c>
      <c r="IRA12" s="314" t="s">
        <v>203</v>
      </c>
      <c r="IRB12" s="314" t="s">
        <v>203</v>
      </c>
      <c r="IRC12" s="314" t="s">
        <v>203</v>
      </c>
      <c r="IRD12" s="314" t="s">
        <v>203</v>
      </c>
      <c r="IRE12" s="314" t="s">
        <v>203</v>
      </c>
      <c r="IRF12" s="314" t="s">
        <v>203</v>
      </c>
      <c r="IRG12" s="314" t="s">
        <v>203</v>
      </c>
      <c r="IRH12" s="314" t="s">
        <v>203</v>
      </c>
      <c r="IRI12" s="314" t="s">
        <v>203</v>
      </c>
      <c r="IRJ12" s="314" t="s">
        <v>203</v>
      </c>
      <c r="IRK12" s="314" t="s">
        <v>203</v>
      </c>
      <c r="IRL12" s="314" t="s">
        <v>203</v>
      </c>
      <c r="IRM12" s="314" t="s">
        <v>203</v>
      </c>
      <c r="IRN12" s="314" t="s">
        <v>203</v>
      </c>
      <c r="IRO12" s="314" t="s">
        <v>203</v>
      </c>
      <c r="IRP12" s="314" t="s">
        <v>203</v>
      </c>
      <c r="IRQ12" s="314" t="s">
        <v>203</v>
      </c>
      <c r="IRR12" s="314" t="s">
        <v>203</v>
      </c>
      <c r="IRS12" s="314" t="s">
        <v>203</v>
      </c>
      <c r="IRT12" s="314" t="s">
        <v>203</v>
      </c>
      <c r="IRU12" s="314" t="s">
        <v>203</v>
      </c>
      <c r="IRV12" s="314" t="s">
        <v>203</v>
      </c>
      <c r="IRW12" s="314" t="s">
        <v>203</v>
      </c>
      <c r="IRX12" s="314" t="s">
        <v>203</v>
      </c>
      <c r="IRY12" s="314" t="s">
        <v>203</v>
      </c>
      <c r="IRZ12" s="314" t="s">
        <v>203</v>
      </c>
      <c r="ISA12" s="314" t="s">
        <v>203</v>
      </c>
      <c r="ISB12" s="314" t="s">
        <v>203</v>
      </c>
      <c r="ISC12" s="314" t="s">
        <v>203</v>
      </c>
      <c r="ISD12" s="314" t="s">
        <v>203</v>
      </c>
      <c r="ISE12" s="314" t="s">
        <v>203</v>
      </c>
      <c r="ISF12" s="314" t="s">
        <v>203</v>
      </c>
      <c r="ISG12" s="314" t="s">
        <v>203</v>
      </c>
      <c r="ISH12" s="314" t="s">
        <v>203</v>
      </c>
      <c r="ISI12" s="314" t="s">
        <v>203</v>
      </c>
      <c r="ISJ12" s="314" t="s">
        <v>203</v>
      </c>
      <c r="ISK12" s="314" t="s">
        <v>203</v>
      </c>
      <c r="ISL12" s="314" t="s">
        <v>203</v>
      </c>
      <c r="ISM12" s="314" t="s">
        <v>203</v>
      </c>
      <c r="ISN12" s="314" t="s">
        <v>203</v>
      </c>
      <c r="ISO12" s="314" t="s">
        <v>203</v>
      </c>
      <c r="ISP12" s="314" t="s">
        <v>203</v>
      </c>
      <c r="ISQ12" s="314" t="s">
        <v>203</v>
      </c>
      <c r="ISR12" s="314" t="s">
        <v>203</v>
      </c>
      <c r="ISS12" s="314" t="s">
        <v>203</v>
      </c>
      <c r="IST12" s="314" t="s">
        <v>203</v>
      </c>
      <c r="ISU12" s="314" t="s">
        <v>203</v>
      </c>
      <c r="ISV12" s="314" t="s">
        <v>203</v>
      </c>
      <c r="ISW12" s="314" t="s">
        <v>203</v>
      </c>
      <c r="ISX12" s="314" t="s">
        <v>203</v>
      </c>
      <c r="ISY12" s="314" t="s">
        <v>203</v>
      </c>
      <c r="ISZ12" s="314" t="s">
        <v>203</v>
      </c>
      <c r="ITA12" s="314" t="s">
        <v>203</v>
      </c>
      <c r="ITB12" s="314" t="s">
        <v>203</v>
      </c>
      <c r="ITC12" s="314" t="s">
        <v>203</v>
      </c>
      <c r="ITD12" s="314" t="s">
        <v>203</v>
      </c>
      <c r="ITE12" s="314" t="s">
        <v>203</v>
      </c>
      <c r="ITF12" s="314" t="s">
        <v>203</v>
      </c>
      <c r="ITG12" s="314" t="s">
        <v>203</v>
      </c>
      <c r="ITH12" s="314" t="s">
        <v>203</v>
      </c>
      <c r="ITI12" s="314" t="s">
        <v>203</v>
      </c>
      <c r="ITJ12" s="314" t="s">
        <v>203</v>
      </c>
      <c r="ITK12" s="314" t="s">
        <v>203</v>
      </c>
      <c r="ITL12" s="314" t="s">
        <v>203</v>
      </c>
      <c r="ITM12" s="314" t="s">
        <v>203</v>
      </c>
      <c r="ITN12" s="314" t="s">
        <v>203</v>
      </c>
      <c r="ITO12" s="314" t="s">
        <v>203</v>
      </c>
      <c r="ITP12" s="314" t="s">
        <v>203</v>
      </c>
      <c r="ITQ12" s="314" t="s">
        <v>203</v>
      </c>
      <c r="ITR12" s="314" t="s">
        <v>203</v>
      </c>
      <c r="ITS12" s="314" t="s">
        <v>203</v>
      </c>
      <c r="ITT12" s="314" t="s">
        <v>203</v>
      </c>
      <c r="ITU12" s="314" t="s">
        <v>203</v>
      </c>
      <c r="ITV12" s="314" t="s">
        <v>203</v>
      </c>
      <c r="ITW12" s="314" t="s">
        <v>203</v>
      </c>
      <c r="ITX12" s="314" t="s">
        <v>203</v>
      </c>
      <c r="ITY12" s="314" t="s">
        <v>203</v>
      </c>
      <c r="ITZ12" s="314" t="s">
        <v>203</v>
      </c>
      <c r="IUA12" s="314" t="s">
        <v>203</v>
      </c>
      <c r="IUB12" s="314" t="s">
        <v>203</v>
      </c>
      <c r="IUC12" s="314" t="s">
        <v>203</v>
      </c>
      <c r="IUD12" s="314" t="s">
        <v>203</v>
      </c>
      <c r="IUE12" s="314" t="s">
        <v>203</v>
      </c>
      <c r="IUF12" s="314" t="s">
        <v>203</v>
      </c>
      <c r="IUG12" s="314" t="s">
        <v>203</v>
      </c>
      <c r="IUH12" s="314" t="s">
        <v>203</v>
      </c>
      <c r="IUI12" s="314" t="s">
        <v>203</v>
      </c>
      <c r="IUJ12" s="314" t="s">
        <v>203</v>
      </c>
      <c r="IUK12" s="314" t="s">
        <v>203</v>
      </c>
      <c r="IUL12" s="314" t="s">
        <v>203</v>
      </c>
      <c r="IUM12" s="314" t="s">
        <v>203</v>
      </c>
      <c r="IUN12" s="314" t="s">
        <v>203</v>
      </c>
      <c r="IUO12" s="314" t="s">
        <v>203</v>
      </c>
      <c r="IUP12" s="314" t="s">
        <v>203</v>
      </c>
      <c r="IUQ12" s="314" t="s">
        <v>203</v>
      </c>
      <c r="IUR12" s="314" t="s">
        <v>203</v>
      </c>
      <c r="IUS12" s="314" t="s">
        <v>203</v>
      </c>
      <c r="IUT12" s="314" t="s">
        <v>203</v>
      </c>
      <c r="IUU12" s="314" t="s">
        <v>203</v>
      </c>
      <c r="IUV12" s="314" t="s">
        <v>203</v>
      </c>
      <c r="IUW12" s="314" t="s">
        <v>203</v>
      </c>
      <c r="IUX12" s="314" t="s">
        <v>203</v>
      </c>
      <c r="IUY12" s="314" t="s">
        <v>203</v>
      </c>
      <c r="IUZ12" s="314" t="s">
        <v>203</v>
      </c>
      <c r="IVA12" s="314" t="s">
        <v>203</v>
      </c>
      <c r="IVB12" s="314" t="s">
        <v>203</v>
      </c>
      <c r="IVC12" s="314" t="s">
        <v>203</v>
      </c>
      <c r="IVD12" s="314" t="s">
        <v>203</v>
      </c>
      <c r="IVE12" s="314" t="s">
        <v>203</v>
      </c>
      <c r="IVF12" s="314" t="s">
        <v>203</v>
      </c>
      <c r="IVG12" s="314" t="s">
        <v>203</v>
      </c>
      <c r="IVH12" s="314" t="s">
        <v>203</v>
      </c>
      <c r="IVI12" s="314" t="s">
        <v>203</v>
      </c>
      <c r="IVJ12" s="314" t="s">
        <v>203</v>
      </c>
      <c r="IVK12" s="314" t="s">
        <v>203</v>
      </c>
      <c r="IVL12" s="314" t="s">
        <v>203</v>
      </c>
      <c r="IVM12" s="314" t="s">
        <v>203</v>
      </c>
      <c r="IVN12" s="314" t="s">
        <v>203</v>
      </c>
      <c r="IVO12" s="314" t="s">
        <v>203</v>
      </c>
      <c r="IVP12" s="314" t="s">
        <v>203</v>
      </c>
      <c r="IVQ12" s="314" t="s">
        <v>203</v>
      </c>
      <c r="IVR12" s="314" t="s">
        <v>203</v>
      </c>
      <c r="IVS12" s="314" t="s">
        <v>203</v>
      </c>
      <c r="IVT12" s="314" t="s">
        <v>203</v>
      </c>
      <c r="IVU12" s="314" t="s">
        <v>203</v>
      </c>
      <c r="IVV12" s="314" t="s">
        <v>203</v>
      </c>
      <c r="IVW12" s="314" t="s">
        <v>203</v>
      </c>
      <c r="IVX12" s="314" t="s">
        <v>203</v>
      </c>
      <c r="IVY12" s="314" t="s">
        <v>203</v>
      </c>
      <c r="IVZ12" s="314" t="s">
        <v>203</v>
      </c>
      <c r="IWA12" s="314" t="s">
        <v>203</v>
      </c>
      <c r="IWB12" s="314" t="s">
        <v>203</v>
      </c>
      <c r="IWC12" s="314" t="s">
        <v>203</v>
      </c>
      <c r="IWD12" s="314" t="s">
        <v>203</v>
      </c>
      <c r="IWE12" s="314" t="s">
        <v>203</v>
      </c>
      <c r="IWF12" s="314" t="s">
        <v>203</v>
      </c>
      <c r="IWG12" s="314" t="s">
        <v>203</v>
      </c>
      <c r="IWH12" s="314" t="s">
        <v>203</v>
      </c>
      <c r="IWI12" s="314" t="s">
        <v>203</v>
      </c>
      <c r="IWJ12" s="314" t="s">
        <v>203</v>
      </c>
      <c r="IWK12" s="314" t="s">
        <v>203</v>
      </c>
      <c r="IWL12" s="314" t="s">
        <v>203</v>
      </c>
      <c r="IWM12" s="314" t="s">
        <v>203</v>
      </c>
      <c r="IWN12" s="314" t="s">
        <v>203</v>
      </c>
      <c r="IWO12" s="314" t="s">
        <v>203</v>
      </c>
      <c r="IWP12" s="314" t="s">
        <v>203</v>
      </c>
      <c r="IWQ12" s="314" t="s">
        <v>203</v>
      </c>
      <c r="IWR12" s="314" t="s">
        <v>203</v>
      </c>
      <c r="IWS12" s="314" t="s">
        <v>203</v>
      </c>
      <c r="IWT12" s="314" t="s">
        <v>203</v>
      </c>
      <c r="IWU12" s="314" t="s">
        <v>203</v>
      </c>
      <c r="IWV12" s="314" t="s">
        <v>203</v>
      </c>
      <c r="IWW12" s="314" t="s">
        <v>203</v>
      </c>
      <c r="IWX12" s="314" t="s">
        <v>203</v>
      </c>
      <c r="IWY12" s="314" t="s">
        <v>203</v>
      </c>
      <c r="IWZ12" s="314" t="s">
        <v>203</v>
      </c>
      <c r="IXA12" s="314" t="s">
        <v>203</v>
      </c>
      <c r="IXB12" s="314" t="s">
        <v>203</v>
      </c>
      <c r="IXC12" s="314" t="s">
        <v>203</v>
      </c>
      <c r="IXD12" s="314" t="s">
        <v>203</v>
      </c>
      <c r="IXE12" s="314" t="s">
        <v>203</v>
      </c>
      <c r="IXF12" s="314" t="s">
        <v>203</v>
      </c>
      <c r="IXG12" s="314" t="s">
        <v>203</v>
      </c>
      <c r="IXH12" s="314" t="s">
        <v>203</v>
      </c>
      <c r="IXI12" s="314" t="s">
        <v>203</v>
      </c>
      <c r="IXJ12" s="314" t="s">
        <v>203</v>
      </c>
      <c r="IXK12" s="314" t="s">
        <v>203</v>
      </c>
      <c r="IXL12" s="314" t="s">
        <v>203</v>
      </c>
      <c r="IXM12" s="314" t="s">
        <v>203</v>
      </c>
      <c r="IXN12" s="314" t="s">
        <v>203</v>
      </c>
      <c r="IXO12" s="314" t="s">
        <v>203</v>
      </c>
      <c r="IXP12" s="314" t="s">
        <v>203</v>
      </c>
      <c r="IXQ12" s="314" t="s">
        <v>203</v>
      </c>
      <c r="IXR12" s="314" t="s">
        <v>203</v>
      </c>
      <c r="IXS12" s="314" t="s">
        <v>203</v>
      </c>
      <c r="IXT12" s="314" t="s">
        <v>203</v>
      </c>
      <c r="IXU12" s="314" t="s">
        <v>203</v>
      </c>
      <c r="IXV12" s="314" t="s">
        <v>203</v>
      </c>
      <c r="IXW12" s="314" t="s">
        <v>203</v>
      </c>
      <c r="IXX12" s="314" t="s">
        <v>203</v>
      </c>
      <c r="IXY12" s="314" t="s">
        <v>203</v>
      </c>
      <c r="IXZ12" s="314" t="s">
        <v>203</v>
      </c>
      <c r="IYA12" s="314" t="s">
        <v>203</v>
      </c>
      <c r="IYB12" s="314" t="s">
        <v>203</v>
      </c>
      <c r="IYC12" s="314" t="s">
        <v>203</v>
      </c>
      <c r="IYD12" s="314" t="s">
        <v>203</v>
      </c>
      <c r="IYE12" s="314" t="s">
        <v>203</v>
      </c>
      <c r="IYF12" s="314" t="s">
        <v>203</v>
      </c>
      <c r="IYG12" s="314" t="s">
        <v>203</v>
      </c>
      <c r="IYH12" s="314" t="s">
        <v>203</v>
      </c>
      <c r="IYI12" s="314" t="s">
        <v>203</v>
      </c>
      <c r="IYJ12" s="314" t="s">
        <v>203</v>
      </c>
      <c r="IYK12" s="314" t="s">
        <v>203</v>
      </c>
      <c r="IYL12" s="314" t="s">
        <v>203</v>
      </c>
      <c r="IYM12" s="314" t="s">
        <v>203</v>
      </c>
      <c r="IYN12" s="314" t="s">
        <v>203</v>
      </c>
      <c r="IYO12" s="314" t="s">
        <v>203</v>
      </c>
      <c r="IYP12" s="314" t="s">
        <v>203</v>
      </c>
      <c r="IYQ12" s="314" t="s">
        <v>203</v>
      </c>
      <c r="IYR12" s="314" t="s">
        <v>203</v>
      </c>
      <c r="IYS12" s="314" t="s">
        <v>203</v>
      </c>
      <c r="IYT12" s="314" t="s">
        <v>203</v>
      </c>
      <c r="IYU12" s="314" t="s">
        <v>203</v>
      </c>
      <c r="IYV12" s="314" t="s">
        <v>203</v>
      </c>
      <c r="IYW12" s="314" t="s">
        <v>203</v>
      </c>
      <c r="IYX12" s="314" t="s">
        <v>203</v>
      </c>
      <c r="IYY12" s="314" t="s">
        <v>203</v>
      </c>
      <c r="IYZ12" s="314" t="s">
        <v>203</v>
      </c>
      <c r="IZA12" s="314" t="s">
        <v>203</v>
      </c>
      <c r="IZB12" s="314" t="s">
        <v>203</v>
      </c>
      <c r="IZC12" s="314" t="s">
        <v>203</v>
      </c>
      <c r="IZD12" s="314" t="s">
        <v>203</v>
      </c>
      <c r="IZE12" s="314" t="s">
        <v>203</v>
      </c>
      <c r="IZF12" s="314" t="s">
        <v>203</v>
      </c>
      <c r="IZG12" s="314" t="s">
        <v>203</v>
      </c>
      <c r="IZH12" s="314" t="s">
        <v>203</v>
      </c>
      <c r="IZI12" s="314" t="s">
        <v>203</v>
      </c>
      <c r="IZJ12" s="314" t="s">
        <v>203</v>
      </c>
      <c r="IZK12" s="314" t="s">
        <v>203</v>
      </c>
      <c r="IZL12" s="314" t="s">
        <v>203</v>
      </c>
      <c r="IZM12" s="314" t="s">
        <v>203</v>
      </c>
      <c r="IZN12" s="314" t="s">
        <v>203</v>
      </c>
      <c r="IZO12" s="314" t="s">
        <v>203</v>
      </c>
      <c r="IZP12" s="314" t="s">
        <v>203</v>
      </c>
      <c r="IZQ12" s="314" t="s">
        <v>203</v>
      </c>
      <c r="IZR12" s="314" t="s">
        <v>203</v>
      </c>
      <c r="IZS12" s="314" t="s">
        <v>203</v>
      </c>
      <c r="IZT12" s="314" t="s">
        <v>203</v>
      </c>
      <c r="IZU12" s="314" t="s">
        <v>203</v>
      </c>
      <c r="IZV12" s="314" t="s">
        <v>203</v>
      </c>
      <c r="IZW12" s="314" t="s">
        <v>203</v>
      </c>
      <c r="IZX12" s="314" t="s">
        <v>203</v>
      </c>
      <c r="IZY12" s="314" t="s">
        <v>203</v>
      </c>
      <c r="IZZ12" s="314" t="s">
        <v>203</v>
      </c>
      <c r="JAA12" s="314" t="s">
        <v>203</v>
      </c>
      <c r="JAB12" s="314" t="s">
        <v>203</v>
      </c>
      <c r="JAC12" s="314" t="s">
        <v>203</v>
      </c>
      <c r="JAD12" s="314" t="s">
        <v>203</v>
      </c>
      <c r="JAE12" s="314" t="s">
        <v>203</v>
      </c>
      <c r="JAF12" s="314" t="s">
        <v>203</v>
      </c>
      <c r="JAG12" s="314" t="s">
        <v>203</v>
      </c>
      <c r="JAH12" s="314" t="s">
        <v>203</v>
      </c>
      <c r="JAI12" s="314" t="s">
        <v>203</v>
      </c>
      <c r="JAJ12" s="314" t="s">
        <v>203</v>
      </c>
      <c r="JAK12" s="314" t="s">
        <v>203</v>
      </c>
      <c r="JAL12" s="314" t="s">
        <v>203</v>
      </c>
      <c r="JAM12" s="314" t="s">
        <v>203</v>
      </c>
      <c r="JAN12" s="314" t="s">
        <v>203</v>
      </c>
      <c r="JAO12" s="314" t="s">
        <v>203</v>
      </c>
      <c r="JAP12" s="314" t="s">
        <v>203</v>
      </c>
      <c r="JAQ12" s="314" t="s">
        <v>203</v>
      </c>
      <c r="JAR12" s="314" t="s">
        <v>203</v>
      </c>
      <c r="JAS12" s="314" t="s">
        <v>203</v>
      </c>
      <c r="JAT12" s="314" t="s">
        <v>203</v>
      </c>
      <c r="JAU12" s="314" t="s">
        <v>203</v>
      </c>
      <c r="JAV12" s="314" t="s">
        <v>203</v>
      </c>
      <c r="JAW12" s="314" t="s">
        <v>203</v>
      </c>
      <c r="JAX12" s="314" t="s">
        <v>203</v>
      </c>
      <c r="JAY12" s="314" t="s">
        <v>203</v>
      </c>
      <c r="JAZ12" s="314" t="s">
        <v>203</v>
      </c>
      <c r="JBA12" s="314" t="s">
        <v>203</v>
      </c>
      <c r="JBB12" s="314" t="s">
        <v>203</v>
      </c>
      <c r="JBC12" s="314" t="s">
        <v>203</v>
      </c>
      <c r="JBD12" s="314" t="s">
        <v>203</v>
      </c>
      <c r="JBE12" s="314" t="s">
        <v>203</v>
      </c>
      <c r="JBF12" s="314" t="s">
        <v>203</v>
      </c>
      <c r="JBG12" s="314" t="s">
        <v>203</v>
      </c>
      <c r="JBH12" s="314" t="s">
        <v>203</v>
      </c>
      <c r="JBI12" s="314" t="s">
        <v>203</v>
      </c>
      <c r="JBJ12" s="314" t="s">
        <v>203</v>
      </c>
      <c r="JBK12" s="314" t="s">
        <v>203</v>
      </c>
      <c r="JBL12" s="314" t="s">
        <v>203</v>
      </c>
      <c r="JBM12" s="314" t="s">
        <v>203</v>
      </c>
      <c r="JBN12" s="314" t="s">
        <v>203</v>
      </c>
      <c r="JBO12" s="314" t="s">
        <v>203</v>
      </c>
      <c r="JBP12" s="314" t="s">
        <v>203</v>
      </c>
      <c r="JBQ12" s="314" t="s">
        <v>203</v>
      </c>
      <c r="JBR12" s="314" t="s">
        <v>203</v>
      </c>
      <c r="JBS12" s="314" t="s">
        <v>203</v>
      </c>
      <c r="JBT12" s="314" t="s">
        <v>203</v>
      </c>
      <c r="JBU12" s="314" t="s">
        <v>203</v>
      </c>
      <c r="JBV12" s="314" t="s">
        <v>203</v>
      </c>
      <c r="JBW12" s="314" t="s">
        <v>203</v>
      </c>
      <c r="JBX12" s="314" t="s">
        <v>203</v>
      </c>
      <c r="JBY12" s="314" t="s">
        <v>203</v>
      </c>
      <c r="JBZ12" s="314" t="s">
        <v>203</v>
      </c>
      <c r="JCA12" s="314" t="s">
        <v>203</v>
      </c>
      <c r="JCB12" s="314" t="s">
        <v>203</v>
      </c>
      <c r="JCC12" s="314" t="s">
        <v>203</v>
      </c>
      <c r="JCD12" s="314" t="s">
        <v>203</v>
      </c>
      <c r="JCE12" s="314" t="s">
        <v>203</v>
      </c>
      <c r="JCF12" s="314" t="s">
        <v>203</v>
      </c>
      <c r="JCG12" s="314" t="s">
        <v>203</v>
      </c>
      <c r="JCH12" s="314" t="s">
        <v>203</v>
      </c>
      <c r="JCI12" s="314" t="s">
        <v>203</v>
      </c>
      <c r="JCJ12" s="314" t="s">
        <v>203</v>
      </c>
      <c r="JCK12" s="314" t="s">
        <v>203</v>
      </c>
      <c r="JCL12" s="314" t="s">
        <v>203</v>
      </c>
      <c r="JCM12" s="314" t="s">
        <v>203</v>
      </c>
      <c r="JCN12" s="314" t="s">
        <v>203</v>
      </c>
      <c r="JCO12" s="314" t="s">
        <v>203</v>
      </c>
      <c r="JCP12" s="314" t="s">
        <v>203</v>
      </c>
      <c r="JCQ12" s="314" t="s">
        <v>203</v>
      </c>
      <c r="JCR12" s="314" t="s">
        <v>203</v>
      </c>
      <c r="JCS12" s="314" t="s">
        <v>203</v>
      </c>
      <c r="JCT12" s="314" t="s">
        <v>203</v>
      </c>
      <c r="JCU12" s="314" t="s">
        <v>203</v>
      </c>
      <c r="JCV12" s="314" t="s">
        <v>203</v>
      </c>
      <c r="JCW12" s="314" t="s">
        <v>203</v>
      </c>
      <c r="JCX12" s="314" t="s">
        <v>203</v>
      </c>
      <c r="JCY12" s="314" t="s">
        <v>203</v>
      </c>
      <c r="JCZ12" s="314" t="s">
        <v>203</v>
      </c>
      <c r="JDA12" s="314" t="s">
        <v>203</v>
      </c>
      <c r="JDB12" s="314" t="s">
        <v>203</v>
      </c>
      <c r="JDC12" s="314" t="s">
        <v>203</v>
      </c>
      <c r="JDD12" s="314" t="s">
        <v>203</v>
      </c>
      <c r="JDE12" s="314" t="s">
        <v>203</v>
      </c>
      <c r="JDF12" s="314" t="s">
        <v>203</v>
      </c>
      <c r="JDG12" s="314" t="s">
        <v>203</v>
      </c>
      <c r="JDH12" s="314" t="s">
        <v>203</v>
      </c>
      <c r="JDI12" s="314" t="s">
        <v>203</v>
      </c>
      <c r="JDJ12" s="314" t="s">
        <v>203</v>
      </c>
      <c r="JDK12" s="314" t="s">
        <v>203</v>
      </c>
      <c r="JDL12" s="314" t="s">
        <v>203</v>
      </c>
      <c r="JDM12" s="314" t="s">
        <v>203</v>
      </c>
      <c r="JDN12" s="314" t="s">
        <v>203</v>
      </c>
      <c r="JDO12" s="314" t="s">
        <v>203</v>
      </c>
      <c r="JDP12" s="314" t="s">
        <v>203</v>
      </c>
      <c r="JDQ12" s="314" t="s">
        <v>203</v>
      </c>
      <c r="JDR12" s="314" t="s">
        <v>203</v>
      </c>
      <c r="JDS12" s="314" t="s">
        <v>203</v>
      </c>
      <c r="JDT12" s="314" t="s">
        <v>203</v>
      </c>
      <c r="JDU12" s="314" t="s">
        <v>203</v>
      </c>
      <c r="JDV12" s="314" t="s">
        <v>203</v>
      </c>
      <c r="JDW12" s="314" t="s">
        <v>203</v>
      </c>
      <c r="JDX12" s="314" t="s">
        <v>203</v>
      </c>
      <c r="JDY12" s="314" t="s">
        <v>203</v>
      </c>
      <c r="JDZ12" s="314" t="s">
        <v>203</v>
      </c>
      <c r="JEA12" s="314" t="s">
        <v>203</v>
      </c>
      <c r="JEB12" s="314" t="s">
        <v>203</v>
      </c>
      <c r="JEC12" s="314" t="s">
        <v>203</v>
      </c>
      <c r="JED12" s="314" t="s">
        <v>203</v>
      </c>
      <c r="JEE12" s="314" t="s">
        <v>203</v>
      </c>
      <c r="JEF12" s="314" t="s">
        <v>203</v>
      </c>
      <c r="JEG12" s="314" t="s">
        <v>203</v>
      </c>
      <c r="JEH12" s="314" t="s">
        <v>203</v>
      </c>
      <c r="JEI12" s="314" t="s">
        <v>203</v>
      </c>
      <c r="JEJ12" s="314" t="s">
        <v>203</v>
      </c>
      <c r="JEK12" s="314" t="s">
        <v>203</v>
      </c>
      <c r="JEL12" s="314" t="s">
        <v>203</v>
      </c>
      <c r="JEM12" s="314" t="s">
        <v>203</v>
      </c>
      <c r="JEN12" s="314" t="s">
        <v>203</v>
      </c>
      <c r="JEO12" s="314" t="s">
        <v>203</v>
      </c>
      <c r="JEP12" s="314" t="s">
        <v>203</v>
      </c>
      <c r="JEQ12" s="314" t="s">
        <v>203</v>
      </c>
      <c r="JER12" s="314" t="s">
        <v>203</v>
      </c>
      <c r="JES12" s="314" t="s">
        <v>203</v>
      </c>
      <c r="JET12" s="314" t="s">
        <v>203</v>
      </c>
      <c r="JEU12" s="314" t="s">
        <v>203</v>
      </c>
      <c r="JEV12" s="314" t="s">
        <v>203</v>
      </c>
      <c r="JEW12" s="314" t="s">
        <v>203</v>
      </c>
      <c r="JEX12" s="314" t="s">
        <v>203</v>
      </c>
      <c r="JEY12" s="314" t="s">
        <v>203</v>
      </c>
      <c r="JEZ12" s="314" t="s">
        <v>203</v>
      </c>
      <c r="JFA12" s="314" t="s">
        <v>203</v>
      </c>
      <c r="JFB12" s="314" t="s">
        <v>203</v>
      </c>
      <c r="JFC12" s="314" t="s">
        <v>203</v>
      </c>
      <c r="JFD12" s="314" t="s">
        <v>203</v>
      </c>
      <c r="JFE12" s="314" t="s">
        <v>203</v>
      </c>
      <c r="JFF12" s="314" t="s">
        <v>203</v>
      </c>
      <c r="JFG12" s="314" t="s">
        <v>203</v>
      </c>
      <c r="JFH12" s="314" t="s">
        <v>203</v>
      </c>
      <c r="JFI12" s="314" t="s">
        <v>203</v>
      </c>
      <c r="JFJ12" s="314" t="s">
        <v>203</v>
      </c>
      <c r="JFK12" s="314" t="s">
        <v>203</v>
      </c>
      <c r="JFL12" s="314" t="s">
        <v>203</v>
      </c>
      <c r="JFM12" s="314" t="s">
        <v>203</v>
      </c>
      <c r="JFN12" s="314" t="s">
        <v>203</v>
      </c>
      <c r="JFO12" s="314" t="s">
        <v>203</v>
      </c>
      <c r="JFP12" s="314" t="s">
        <v>203</v>
      </c>
      <c r="JFQ12" s="314" t="s">
        <v>203</v>
      </c>
      <c r="JFR12" s="314" t="s">
        <v>203</v>
      </c>
      <c r="JFS12" s="314" t="s">
        <v>203</v>
      </c>
      <c r="JFT12" s="314" t="s">
        <v>203</v>
      </c>
      <c r="JFU12" s="314" t="s">
        <v>203</v>
      </c>
      <c r="JFV12" s="314" t="s">
        <v>203</v>
      </c>
      <c r="JFW12" s="314" t="s">
        <v>203</v>
      </c>
      <c r="JFX12" s="314" t="s">
        <v>203</v>
      </c>
      <c r="JFY12" s="314" t="s">
        <v>203</v>
      </c>
      <c r="JFZ12" s="314" t="s">
        <v>203</v>
      </c>
      <c r="JGA12" s="314" t="s">
        <v>203</v>
      </c>
      <c r="JGB12" s="314" t="s">
        <v>203</v>
      </c>
      <c r="JGC12" s="314" t="s">
        <v>203</v>
      </c>
      <c r="JGD12" s="314" t="s">
        <v>203</v>
      </c>
      <c r="JGE12" s="314" t="s">
        <v>203</v>
      </c>
      <c r="JGF12" s="314" t="s">
        <v>203</v>
      </c>
      <c r="JGG12" s="314" t="s">
        <v>203</v>
      </c>
      <c r="JGH12" s="314" t="s">
        <v>203</v>
      </c>
      <c r="JGI12" s="314" t="s">
        <v>203</v>
      </c>
      <c r="JGJ12" s="314" t="s">
        <v>203</v>
      </c>
      <c r="JGK12" s="314" t="s">
        <v>203</v>
      </c>
      <c r="JGL12" s="314" t="s">
        <v>203</v>
      </c>
      <c r="JGM12" s="314" t="s">
        <v>203</v>
      </c>
      <c r="JGN12" s="314" t="s">
        <v>203</v>
      </c>
      <c r="JGO12" s="314" t="s">
        <v>203</v>
      </c>
      <c r="JGP12" s="314" t="s">
        <v>203</v>
      </c>
      <c r="JGQ12" s="314" t="s">
        <v>203</v>
      </c>
      <c r="JGR12" s="314" t="s">
        <v>203</v>
      </c>
      <c r="JGS12" s="314" t="s">
        <v>203</v>
      </c>
      <c r="JGT12" s="314" t="s">
        <v>203</v>
      </c>
      <c r="JGU12" s="314" t="s">
        <v>203</v>
      </c>
      <c r="JGV12" s="314" t="s">
        <v>203</v>
      </c>
      <c r="JGW12" s="314" t="s">
        <v>203</v>
      </c>
      <c r="JGX12" s="314" t="s">
        <v>203</v>
      </c>
      <c r="JGY12" s="314" t="s">
        <v>203</v>
      </c>
      <c r="JGZ12" s="314" t="s">
        <v>203</v>
      </c>
      <c r="JHA12" s="314" t="s">
        <v>203</v>
      </c>
      <c r="JHB12" s="314" t="s">
        <v>203</v>
      </c>
      <c r="JHC12" s="314" t="s">
        <v>203</v>
      </c>
      <c r="JHD12" s="314" t="s">
        <v>203</v>
      </c>
      <c r="JHE12" s="314" t="s">
        <v>203</v>
      </c>
      <c r="JHF12" s="314" t="s">
        <v>203</v>
      </c>
      <c r="JHG12" s="314" t="s">
        <v>203</v>
      </c>
      <c r="JHH12" s="314" t="s">
        <v>203</v>
      </c>
      <c r="JHI12" s="314" t="s">
        <v>203</v>
      </c>
      <c r="JHJ12" s="314" t="s">
        <v>203</v>
      </c>
      <c r="JHK12" s="314" t="s">
        <v>203</v>
      </c>
      <c r="JHL12" s="314" t="s">
        <v>203</v>
      </c>
      <c r="JHM12" s="314" t="s">
        <v>203</v>
      </c>
      <c r="JHN12" s="314" t="s">
        <v>203</v>
      </c>
      <c r="JHO12" s="314" t="s">
        <v>203</v>
      </c>
      <c r="JHP12" s="314" t="s">
        <v>203</v>
      </c>
      <c r="JHQ12" s="314" t="s">
        <v>203</v>
      </c>
      <c r="JHR12" s="314" t="s">
        <v>203</v>
      </c>
      <c r="JHS12" s="314" t="s">
        <v>203</v>
      </c>
      <c r="JHT12" s="314" t="s">
        <v>203</v>
      </c>
      <c r="JHU12" s="314" t="s">
        <v>203</v>
      </c>
      <c r="JHV12" s="314" t="s">
        <v>203</v>
      </c>
      <c r="JHW12" s="314" t="s">
        <v>203</v>
      </c>
      <c r="JHX12" s="314" t="s">
        <v>203</v>
      </c>
      <c r="JHY12" s="314" t="s">
        <v>203</v>
      </c>
      <c r="JHZ12" s="314" t="s">
        <v>203</v>
      </c>
      <c r="JIA12" s="314" t="s">
        <v>203</v>
      </c>
      <c r="JIB12" s="314" t="s">
        <v>203</v>
      </c>
      <c r="JIC12" s="314" t="s">
        <v>203</v>
      </c>
      <c r="JID12" s="314" t="s">
        <v>203</v>
      </c>
      <c r="JIE12" s="314" t="s">
        <v>203</v>
      </c>
      <c r="JIF12" s="314" t="s">
        <v>203</v>
      </c>
      <c r="JIG12" s="314" t="s">
        <v>203</v>
      </c>
      <c r="JIH12" s="314" t="s">
        <v>203</v>
      </c>
      <c r="JII12" s="314" t="s">
        <v>203</v>
      </c>
      <c r="JIJ12" s="314" t="s">
        <v>203</v>
      </c>
      <c r="JIK12" s="314" t="s">
        <v>203</v>
      </c>
      <c r="JIL12" s="314" t="s">
        <v>203</v>
      </c>
      <c r="JIM12" s="314" t="s">
        <v>203</v>
      </c>
      <c r="JIN12" s="314" t="s">
        <v>203</v>
      </c>
      <c r="JIO12" s="314" t="s">
        <v>203</v>
      </c>
      <c r="JIP12" s="314" t="s">
        <v>203</v>
      </c>
      <c r="JIQ12" s="314" t="s">
        <v>203</v>
      </c>
      <c r="JIR12" s="314" t="s">
        <v>203</v>
      </c>
      <c r="JIS12" s="314" t="s">
        <v>203</v>
      </c>
      <c r="JIT12" s="314" t="s">
        <v>203</v>
      </c>
      <c r="JIU12" s="314" t="s">
        <v>203</v>
      </c>
      <c r="JIV12" s="314" t="s">
        <v>203</v>
      </c>
      <c r="JIW12" s="314" t="s">
        <v>203</v>
      </c>
      <c r="JIX12" s="314" t="s">
        <v>203</v>
      </c>
      <c r="JIY12" s="314" t="s">
        <v>203</v>
      </c>
      <c r="JIZ12" s="314" t="s">
        <v>203</v>
      </c>
      <c r="JJA12" s="314" t="s">
        <v>203</v>
      </c>
      <c r="JJB12" s="314" t="s">
        <v>203</v>
      </c>
      <c r="JJC12" s="314" t="s">
        <v>203</v>
      </c>
      <c r="JJD12" s="314" t="s">
        <v>203</v>
      </c>
      <c r="JJE12" s="314" t="s">
        <v>203</v>
      </c>
      <c r="JJF12" s="314" t="s">
        <v>203</v>
      </c>
      <c r="JJG12" s="314" t="s">
        <v>203</v>
      </c>
      <c r="JJH12" s="314" t="s">
        <v>203</v>
      </c>
      <c r="JJI12" s="314" t="s">
        <v>203</v>
      </c>
      <c r="JJJ12" s="314" t="s">
        <v>203</v>
      </c>
      <c r="JJK12" s="314" t="s">
        <v>203</v>
      </c>
      <c r="JJL12" s="314" t="s">
        <v>203</v>
      </c>
      <c r="JJM12" s="314" t="s">
        <v>203</v>
      </c>
      <c r="JJN12" s="314" t="s">
        <v>203</v>
      </c>
      <c r="JJO12" s="314" t="s">
        <v>203</v>
      </c>
      <c r="JJP12" s="314" t="s">
        <v>203</v>
      </c>
      <c r="JJQ12" s="314" t="s">
        <v>203</v>
      </c>
      <c r="JJR12" s="314" t="s">
        <v>203</v>
      </c>
      <c r="JJS12" s="314" t="s">
        <v>203</v>
      </c>
      <c r="JJT12" s="314" t="s">
        <v>203</v>
      </c>
      <c r="JJU12" s="314" t="s">
        <v>203</v>
      </c>
      <c r="JJV12" s="314" t="s">
        <v>203</v>
      </c>
      <c r="JJW12" s="314" t="s">
        <v>203</v>
      </c>
      <c r="JJX12" s="314" t="s">
        <v>203</v>
      </c>
      <c r="JJY12" s="314" t="s">
        <v>203</v>
      </c>
      <c r="JJZ12" s="314" t="s">
        <v>203</v>
      </c>
      <c r="JKA12" s="314" t="s">
        <v>203</v>
      </c>
      <c r="JKB12" s="314" t="s">
        <v>203</v>
      </c>
      <c r="JKC12" s="314" t="s">
        <v>203</v>
      </c>
      <c r="JKD12" s="314" t="s">
        <v>203</v>
      </c>
      <c r="JKE12" s="314" t="s">
        <v>203</v>
      </c>
      <c r="JKF12" s="314" t="s">
        <v>203</v>
      </c>
      <c r="JKG12" s="314" t="s">
        <v>203</v>
      </c>
      <c r="JKH12" s="314" t="s">
        <v>203</v>
      </c>
      <c r="JKI12" s="314" t="s">
        <v>203</v>
      </c>
      <c r="JKJ12" s="314" t="s">
        <v>203</v>
      </c>
      <c r="JKK12" s="314" t="s">
        <v>203</v>
      </c>
      <c r="JKL12" s="314" t="s">
        <v>203</v>
      </c>
      <c r="JKM12" s="314" t="s">
        <v>203</v>
      </c>
      <c r="JKN12" s="314" t="s">
        <v>203</v>
      </c>
      <c r="JKO12" s="314" t="s">
        <v>203</v>
      </c>
      <c r="JKP12" s="314" t="s">
        <v>203</v>
      </c>
      <c r="JKQ12" s="314" t="s">
        <v>203</v>
      </c>
      <c r="JKR12" s="314" t="s">
        <v>203</v>
      </c>
      <c r="JKS12" s="314" t="s">
        <v>203</v>
      </c>
      <c r="JKT12" s="314" t="s">
        <v>203</v>
      </c>
      <c r="JKU12" s="314" t="s">
        <v>203</v>
      </c>
      <c r="JKV12" s="314" t="s">
        <v>203</v>
      </c>
      <c r="JKW12" s="314" t="s">
        <v>203</v>
      </c>
      <c r="JKX12" s="314" t="s">
        <v>203</v>
      </c>
      <c r="JKY12" s="314" t="s">
        <v>203</v>
      </c>
      <c r="JKZ12" s="314" t="s">
        <v>203</v>
      </c>
      <c r="JLA12" s="314" t="s">
        <v>203</v>
      </c>
      <c r="JLB12" s="314" t="s">
        <v>203</v>
      </c>
      <c r="JLC12" s="314" t="s">
        <v>203</v>
      </c>
      <c r="JLD12" s="314" t="s">
        <v>203</v>
      </c>
      <c r="JLE12" s="314" t="s">
        <v>203</v>
      </c>
      <c r="JLF12" s="314" t="s">
        <v>203</v>
      </c>
      <c r="JLG12" s="314" t="s">
        <v>203</v>
      </c>
      <c r="JLH12" s="314" t="s">
        <v>203</v>
      </c>
      <c r="JLI12" s="314" t="s">
        <v>203</v>
      </c>
      <c r="JLJ12" s="314" t="s">
        <v>203</v>
      </c>
      <c r="JLK12" s="314" t="s">
        <v>203</v>
      </c>
      <c r="JLL12" s="314" t="s">
        <v>203</v>
      </c>
      <c r="JLM12" s="314" t="s">
        <v>203</v>
      </c>
      <c r="JLN12" s="314" t="s">
        <v>203</v>
      </c>
      <c r="JLO12" s="314" t="s">
        <v>203</v>
      </c>
      <c r="JLP12" s="314" t="s">
        <v>203</v>
      </c>
      <c r="JLQ12" s="314" t="s">
        <v>203</v>
      </c>
      <c r="JLR12" s="314" t="s">
        <v>203</v>
      </c>
      <c r="JLS12" s="314" t="s">
        <v>203</v>
      </c>
      <c r="JLT12" s="314" t="s">
        <v>203</v>
      </c>
      <c r="JLU12" s="314" t="s">
        <v>203</v>
      </c>
      <c r="JLV12" s="314" t="s">
        <v>203</v>
      </c>
      <c r="JLW12" s="314" t="s">
        <v>203</v>
      </c>
      <c r="JLX12" s="314" t="s">
        <v>203</v>
      </c>
      <c r="JLY12" s="314" t="s">
        <v>203</v>
      </c>
      <c r="JLZ12" s="314" t="s">
        <v>203</v>
      </c>
      <c r="JMA12" s="314" t="s">
        <v>203</v>
      </c>
      <c r="JMB12" s="314" t="s">
        <v>203</v>
      </c>
      <c r="JMC12" s="314" t="s">
        <v>203</v>
      </c>
      <c r="JMD12" s="314" t="s">
        <v>203</v>
      </c>
      <c r="JME12" s="314" t="s">
        <v>203</v>
      </c>
      <c r="JMF12" s="314" t="s">
        <v>203</v>
      </c>
      <c r="JMG12" s="314" t="s">
        <v>203</v>
      </c>
      <c r="JMH12" s="314" t="s">
        <v>203</v>
      </c>
      <c r="JMI12" s="314" t="s">
        <v>203</v>
      </c>
      <c r="JMJ12" s="314" t="s">
        <v>203</v>
      </c>
      <c r="JMK12" s="314" t="s">
        <v>203</v>
      </c>
      <c r="JML12" s="314" t="s">
        <v>203</v>
      </c>
      <c r="JMM12" s="314" t="s">
        <v>203</v>
      </c>
      <c r="JMN12" s="314" t="s">
        <v>203</v>
      </c>
      <c r="JMO12" s="314" t="s">
        <v>203</v>
      </c>
      <c r="JMP12" s="314" t="s">
        <v>203</v>
      </c>
      <c r="JMQ12" s="314" t="s">
        <v>203</v>
      </c>
      <c r="JMR12" s="314" t="s">
        <v>203</v>
      </c>
      <c r="JMS12" s="314" t="s">
        <v>203</v>
      </c>
      <c r="JMT12" s="314" t="s">
        <v>203</v>
      </c>
      <c r="JMU12" s="314" t="s">
        <v>203</v>
      </c>
      <c r="JMV12" s="314" t="s">
        <v>203</v>
      </c>
      <c r="JMW12" s="314" t="s">
        <v>203</v>
      </c>
      <c r="JMX12" s="314" t="s">
        <v>203</v>
      </c>
      <c r="JMY12" s="314" t="s">
        <v>203</v>
      </c>
      <c r="JMZ12" s="314" t="s">
        <v>203</v>
      </c>
      <c r="JNA12" s="314" t="s">
        <v>203</v>
      </c>
      <c r="JNB12" s="314" t="s">
        <v>203</v>
      </c>
      <c r="JNC12" s="314" t="s">
        <v>203</v>
      </c>
      <c r="JND12" s="314" t="s">
        <v>203</v>
      </c>
      <c r="JNE12" s="314" t="s">
        <v>203</v>
      </c>
      <c r="JNF12" s="314" t="s">
        <v>203</v>
      </c>
      <c r="JNG12" s="314" t="s">
        <v>203</v>
      </c>
      <c r="JNH12" s="314" t="s">
        <v>203</v>
      </c>
      <c r="JNI12" s="314" t="s">
        <v>203</v>
      </c>
      <c r="JNJ12" s="314" t="s">
        <v>203</v>
      </c>
      <c r="JNK12" s="314" t="s">
        <v>203</v>
      </c>
      <c r="JNL12" s="314" t="s">
        <v>203</v>
      </c>
      <c r="JNM12" s="314" t="s">
        <v>203</v>
      </c>
      <c r="JNN12" s="314" t="s">
        <v>203</v>
      </c>
      <c r="JNO12" s="314" t="s">
        <v>203</v>
      </c>
      <c r="JNP12" s="314" t="s">
        <v>203</v>
      </c>
      <c r="JNQ12" s="314" t="s">
        <v>203</v>
      </c>
      <c r="JNR12" s="314" t="s">
        <v>203</v>
      </c>
      <c r="JNS12" s="314" t="s">
        <v>203</v>
      </c>
      <c r="JNT12" s="314" t="s">
        <v>203</v>
      </c>
      <c r="JNU12" s="314" t="s">
        <v>203</v>
      </c>
      <c r="JNV12" s="314" t="s">
        <v>203</v>
      </c>
      <c r="JNW12" s="314" t="s">
        <v>203</v>
      </c>
      <c r="JNX12" s="314" t="s">
        <v>203</v>
      </c>
      <c r="JNY12" s="314" t="s">
        <v>203</v>
      </c>
      <c r="JNZ12" s="314" t="s">
        <v>203</v>
      </c>
      <c r="JOA12" s="314" t="s">
        <v>203</v>
      </c>
      <c r="JOB12" s="314" t="s">
        <v>203</v>
      </c>
      <c r="JOC12" s="314" t="s">
        <v>203</v>
      </c>
      <c r="JOD12" s="314" t="s">
        <v>203</v>
      </c>
      <c r="JOE12" s="314" t="s">
        <v>203</v>
      </c>
      <c r="JOF12" s="314" t="s">
        <v>203</v>
      </c>
      <c r="JOG12" s="314" t="s">
        <v>203</v>
      </c>
      <c r="JOH12" s="314" t="s">
        <v>203</v>
      </c>
      <c r="JOI12" s="314" t="s">
        <v>203</v>
      </c>
      <c r="JOJ12" s="314" t="s">
        <v>203</v>
      </c>
      <c r="JOK12" s="314" t="s">
        <v>203</v>
      </c>
      <c r="JOL12" s="314" t="s">
        <v>203</v>
      </c>
      <c r="JOM12" s="314" t="s">
        <v>203</v>
      </c>
      <c r="JON12" s="314" t="s">
        <v>203</v>
      </c>
      <c r="JOO12" s="314" t="s">
        <v>203</v>
      </c>
      <c r="JOP12" s="314" t="s">
        <v>203</v>
      </c>
      <c r="JOQ12" s="314" t="s">
        <v>203</v>
      </c>
      <c r="JOR12" s="314" t="s">
        <v>203</v>
      </c>
      <c r="JOS12" s="314" t="s">
        <v>203</v>
      </c>
      <c r="JOT12" s="314" t="s">
        <v>203</v>
      </c>
      <c r="JOU12" s="314" t="s">
        <v>203</v>
      </c>
      <c r="JOV12" s="314" t="s">
        <v>203</v>
      </c>
      <c r="JOW12" s="314" t="s">
        <v>203</v>
      </c>
      <c r="JOX12" s="314" t="s">
        <v>203</v>
      </c>
      <c r="JOY12" s="314" t="s">
        <v>203</v>
      </c>
      <c r="JOZ12" s="314" t="s">
        <v>203</v>
      </c>
      <c r="JPA12" s="314" t="s">
        <v>203</v>
      </c>
      <c r="JPB12" s="314" t="s">
        <v>203</v>
      </c>
      <c r="JPC12" s="314" t="s">
        <v>203</v>
      </c>
      <c r="JPD12" s="314" t="s">
        <v>203</v>
      </c>
      <c r="JPE12" s="314" t="s">
        <v>203</v>
      </c>
      <c r="JPF12" s="314" t="s">
        <v>203</v>
      </c>
      <c r="JPG12" s="314" t="s">
        <v>203</v>
      </c>
      <c r="JPH12" s="314" t="s">
        <v>203</v>
      </c>
      <c r="JPI12" s="314" t="s">
        <v>203</v>
      </c>
      <c r="JPJ12" s="314" t="s">
        <v>203</v>
      </c>
      <c r="JPK12" s="314" t="s">
        <v>203</v>
      </c>
      <c r="JPL12" s="314" t="s">
        <v>203</v>
      </c>
      <c r="JPM12" s="314" t="s">
        <v>203</v>
      </c>
      <c r="JPN12" s="314" t="s">
        <v>203</v>
      </c>
      <c r="JPO12" s="314" t="s">
        <v>203</v>
      </c>
      <c r="JPP12" s="314" t="s">
        <v>203</v>
      </c>
      <c r="JPQ12" s="314" t="s">
        <v>203</v>
      </c>
      <c r="JPR12" s="314" t="s">
        <v>203</v>
      </c>
      <c r="JPS12" s="314" t="s">
        <v>203</v>
      </c>
      <c r="JPT12" s="314" t="s">
        <v>203</v>
      </c>
      <c r="JPU12" s="314" t="s">
        <v>203</v>
      </c>
      <c r="JPV12" s="314" t="s">
        <v>203</v>
      </c>
      <c r="JPW12" s="314" t="s">
        <v>203</v>
      </c>
      <c r="JPX12" s="314" t="s">
        <v>203</v>
      </c>
      <c r="JPY12" s="314" t="s">
        <v>203</v>
      </c>
      <c r="JPZ12" s="314" t="s">
        <v>203</v>
      </c>
      <c r="JQA12" s="314" t="s">
        <v>203</v>
      </c>
      <c r="JQB12" s="314" t="s">
        <v>203</v>
      </c>
      <c r="JQC12" s="314" t="s">
        <v>203</v>
      </c>
      <c r="JQD12" s="314" t="s">
        <v>203</v>
      </c>
      <c r="JQE12" s="314" t="s">
        <v>203</v>
      </c>
      <c r="JQF12" s="314" t="s">
        <v>203</v>
      </c>
      <c r="JQG12" s="314" t="s">
        <v>203</v>
      </c>
      <c r="JQH12" s="314" t="s">
        <v>203</v>
      </c>
      <c r="JQI12" s="314" t="s">
        <v>203</v>
      </c>
      <c r="JQJ12" s="314" t="s">
        <v>203</v>
      </c>
      <c r="JQK12" s="314" t="s">
        <v>203</v>
      </c>
      <c r="JQL12" s="314" t="s">
        <v>203</v>
      </c>
      <c r="JQM12" s="314" t="s">
        <v>203</v>
      </c>
      <c r="JQN12" s="314" t="s">
        <v>203</v>
      </c>
      <c r="JQO12" s="314" t="s">
        <v>203</v>
      </c>
      <c r="JQP12" s="314" t="s">
        <v>203</v>
      </c>
      <c r="JQQ12" s="314" t="s">
        <v>203</v>
      </c>
      <c r="JQR12" s="314" t="s">
        <v>203</v>
      </c>
      <c r="JQS12" s="314" t="s">
        <v>203</v>
      </c>
      <c r="JQT12" s="314" t="s">
        <v>203</v>
      </c>
      <c r="JQU12" s="314" t="s">
        <v>203</v>
      </c>
      <c r="JQV12" s="314" t="s">
        <v>203</v>
      </c>
      <c r="JQW12" s="314" t="s">
        <v>203</v>
      </c>
      <c r="JQX12" s="314" t="s">
        <v>203</v>
      </c>
      <c r="JQY12" s="314" t="s">
        <v>203</v>
      </c>
      <c r="JQZ12" s="314" t="s">
        <v>203</v>
      </c>
      <c r="JRA12" s="314" t="s">
        <v>203</v>
      </c>
      <c r="JRB12" s="314" t="s">
        <v>203</v>
      </c>
      <c r="JRC12" s="314" t="s">
        <v>203</v>
      </c>
      <c r="JRD12" s="314" t="s">
        <v>203</v>
      </c>
      <c r="JRE12" s="314" t="s">
        <v>203</v>
      </c>
      <c r="JRF12" s="314" t="s">
        <v>203</v>
      </c>
      <c r="JRG12" s="314" t="s">
        <v>203</v>
      </c>
      <c r="JRH12" s="314" t="s">
        <v>203</v>
      </c>
      <c r="JRI12" s="314" t="s">
        <v>203</v>
      </c>
      <c r="JRJ12" s="314" t="s">
        <v>203</v>
      </c>
      <c r="JRK12" s="314" t="s">
        <v>203</v>
      </c>
      <c r="JRL12" s="314" t="s">
        <v>203</v>
      </c>
      <c r="JRM12" s="314" t="s">
        <v>203</v>
      </c>
      <c r="JRN12" s="314" t="s">
        <v>203</v>
      </c>
      <c r="JRO12" s="314" t="s">
        <v>203</v>
      </c>
      <c r="JRP12" s="314" t="s">
        <v>203</v>
      </c>
      <c r="JRQ12" s="314" t="s">
        <v>203</v>
      </c>
      <c r="JRR12" s="314" t="s">
        <v>203</v>
      </c>
      <c r="JRS12" s="314" t="s">
        <v>203</v>
      </c>
      <c r="JRT12" s="314" t="s">
        <v>203</v>
      </c>
      <c r="JRU12" s="314" t="s">
        <v>203</v>
      </c>
      <c r="JRV12" s="314" t="s">
        <v>203</v>
      </c>
      <c r="JRW12" s="314" t="s">
        <v>203</v>
      </c>
      <c r="JRX12" s="314" t="s">
        <v>203</v>
      </c>
      <c r="JRY12" s="314" t="s">
        <v>203</v>
      </c>
      <c r="JRZ12" s="314" t="s">
        <v>203</v>
      </c>
      <c r="JSA12" s="314" t="s">
        <v>203</v>
      </c>
      <c r="JSB12" s="314" t="s">
        <v>203</v>
      </c>
      <c r="JSC12" s="314" t="s">
        <v>203</v>
      </c>
      <c r="JSD12" s="314" t="s">
        <v>203</v>
      </c>
      <c r="JSE12" s="314" t="s">
        <v>203</v>
      </c>
      <c r="JSF12" s="314" t="s">
        <v>203</v>
      </c>
      <c r="JSG12" s="314" t="s">
        <v>203</v>
      </c>
      <c r="JSH12" s="314" t="s">
        <v>203</v>
      </c>
      <c r="JSI12" s="314" t="s">
        <v>203</v>
      </c>
      <c r="JSJ12" s="314" t="s">
        <v>203</v>
      </c>
      <c r="JSK12" s="314" t="s">
        <v>203</v>
      </c>
      <c r="JSL12" s="314" t="s">
        <v>203</v>
      </c>
      <c r="JSM12" s="314" t="s">
        <v>203</v>
      </c>
      <c r="JSN12" s="314" t="s">
        <v>203</v>
      </c>
      <c r="JSO12" s="314" t="s">
        <v>203</v>
      </c>
      <c r="JSP12" s="314" t="s">
        <v>203</v>
      </c>
      <c r="JSQ12" s="314" t="s">
        <v>203</v>
      </c>
      <c r="JSR12" s="314" t="s">
        <v>203</v>
      </c>
      <c r="JSS12" s="314" t="s">
        <v>203</v>
      </c>
      <c r="JST12" s="314" t="s">
        <v>203</v>
      </c>
      <c r="JSU12" s="314" t="s">
        <v>203</v>
      </c>
      <c r="JSV12" s="314" t="s">
        <v>203</v>
      </c>
      <c r="JSW12" s="314" t="s">
        <v>203</v>
      </c>
      <c r="JSX12" s="314" t="s">
        <v>203</v>
      </c>
      <c r="JSY12" s="314" t="s">
        <v>203</v>
      </c>
      <c r="JSZ12" s="314" t="s">
        <v>203</v>
      </c>
      <c r="JTA12" s="314" t="s">
        <v>203</v>
      </c>
      <c r="JTB12" s="314" t="s">
        <v>203</v>
      </c>
      <c r="JTC12" s="314" t="s">
        <v>203</v>
      </c>
      <c r="JTD12" s="314" t="s">
        <v>203</v>
      </c>
      <c r="JTE12" s="314" t="s">
        <v>203</v>
      </c>
      <c r="JTF12" s="314" t="s">
        <v>203</v>
      </c>
      <c r="JTG12" s="314" t="s">
        <v>203</v>
      </c>
      <c r="JTH12" s="314" t="s">
        <v>203</v>
      </c>
      <c r="JTI12" s="314" t="s">
        <v>203</v>
      </c>
      <c r="JTJ12" s="314" t="s">
        <v>203</v>
      </c>
      <c r="JTK12" s="314" t="s">
        <v>203</v>
      </c>
      <c r="JTL12" s="314" t="s">
        <v>203</v>
      </c>
      <c r="JTM12" s="314" t="s">
        <v>203</v>
      </c>
      <c r="JTN12" s="314" t="s">
        <v>203</v>
      </c>
      <c r="JTO12" s="314" t="s">
        <v>203</v>
      </c>
      <c r="JTP12" s="314" t="s">
        <v>203</v>
      </c>
      <c r="JTQ12" s="314" t="s">
        <v>203</v>
      </c>
      <c r="JTR12" s="314" t="s">
        <v>203</v>
      </c>
      <c r="JTS12" s="314" t="s">
        <v>203</v>
      </c>
      <c r="JTT12" s="314" t="s">
        <v>203</v>
      </c>
      <c r="JTU12" s="314" t="s">
        <v>203</v>
      </c>
      <c r="JTV12" s="314" t="s">
        <v>203</v>
      </c>
      <c r="JTW12" s="314" t="s">
        <v>203</v>
      </c>
      <c r="JTX12" s="314" t="s">
        <v>203</v>
      </c>
      <c r="JTY12" s="314" t="s">
        <v>203</v>
      </c>
      <c r="JTZ12" s="314" t="s">
        <v>203</v>
      </c>
      <c r="JUA12" s="314" t="s">
        <v>203</v>
      </c>
      <c r="JUB12" s="314" t="s">
        <v>203</v>
      </c>
      <c r="JUC12" s="314" t="s">
        <v>203</v>
      </c>
      <c r="JUD12" s="314" t="s">
        <v>203</v>
      </c>
      <c r="JUE12" s="314" t="s">
        <v>203</v>
      </c>
      <c r="JUF12" s="314" t="s">
        <v>203</v>
      </c>
      <c r="JUG12" s="314" t="s">
        <v>203</v>
      </c>
      <c r="JUH12" s="314" t="s">
        <v>203</v>
      </c>
      <c r="JUI12" s="314" t="s">
        <v>203</v>
      </c>
      <c r="JUJ12" s="314" t="s">
        <v>203</v>
      </c>
      <c r="JUK12" s="314" t="s">
        <v>203</v>
      </c>
      <c r="JUL12" s="314" t="s">
        <v>203</v>
      </c>
      <c r="JUM12" s="314" t="s">
        <v>203</v>
      </c>
      <c r="JUN12" s="314" t="s">
        <v>203</v>
      </c>
      <c r="JUO12" s="314" t="s">
        <v>203</v>
      </c>
      <c r="JUP12" s="314" t="s">
        <v>203</v>
      </c>
      <c r="JUQ12" s="314" t="s">
        <v>203</v>
      </c>
      <c r="JUR12" s="314" t="s">
        <v>203</v>
      </c>
      <c r="JUS12" s="314" t="s">
        <v>203</v>
      </c>
      <c r="JUT12" s="314" t="s">
        <v>203</v>
      </c>
      <c r="JUU12" s="314" t="s">
        <v>203</v>
      </c>
      <c r="JUV12" s="314" t="s">
        <v>203</v>
      </c>
      <c r="JUW12" s="314" t="s">
        <v>203</v>
      </c>
      <c r="JUX12" s="314" t="s">
        <v>203</v>
      </c>
      <c r="JUY12" s="314" t="s">
        <v>203</v>
      </c>
      <c r="JUZ12" s="314" t="s">
        <v>203</v>
      </c>
      <c r="JVA12" s="314" t="s">
        <v>203</v>
      </c>
      <c r="JVB12" s="314" t="s">
        <v>203</v>
      </c>
      <c r="JVC12" s="314" t="s">
        <v>203</v>
      </c>
      <c r="JVD12" s="314" t="s">
        <v>203</v>
      </c>
      <c r="JVE12" s="314" t="s">
        <v>203</v>
      </c>
      <c r="JVF12" s="314" t="s">
        <v>203</v>
      </c>
      <c r="JVG12" s="314" t="s">
        <v>203</v>
      </c>
      <c r="JVH12" s="314" t="s">
        <v>203</v>
      </c>
      <c r="JVI12" s="314" t="s">
        <v>203</v>
      </c>
      <c r="JVJ12" s="314" t="s">
        <v>203</v>
      </c>
      <c r="JVK12" s="314" t="s">
        <v>203</v>
      </c>
      <c r="JVL12" s="314" t="s">
        <v>203</v>
      </c>
      <c r="JVM12" s="314" t="s">
        <v>203</v>
      </c>
      <c r="JVN12" s="314" t="s">
        <v>203</v>
      </c>
      <c r="JVO12" s="314" t="s">
        <v>203</v>
      </c>
      <c r="JVP12" s="314" t="s">
        <v>203</v>
      </c>
      <c r="JVQ12" s="314" t="s">
        <v>203</v>
      </c>
      <c r="JVR12" s="314" t="s">
        <v>203</v>
      </c>
      <c r="JVS12" s="314" t="s">
        <v>203</v>
      </c>
      <c r="JVT12" s="314" t="s">
        <v>203</v>
      </c>
      <c r="JVU12" s="314" t="s">
        <v>203</v>
      </c>
      <c r="JVV12" s="314" t="s">
        <v>203</v>
      </c>
      <c r="JVW12" s="314" t="s">
        <v>203</v>
      </c>
      <c r="JVX12" s="314" t="s">
        <v>203</v>
      </c>
      <c r="JVY12" s="314" t="s">
        <v>203</v>
      </c>
      <c r="JVZ12" s="314" t="s">
        <v>203</v>
      </c>
      <c r="JWA12" s="314" t="s">
        <v>203</v>
      </c>
      <c r="JWB12" s="314" t="s">
        <v>203</v>
      </c>
      <c r="JWC12" s="314" t="s">
        <v>203</v>
      </c>
      <c r="JWD12" s="314" t="s">
        <v>203</v>
      </c>
      <c r="JWE12" s="314" t="s">
        <v>203</v>
      </c>
      <c r="JWF12" s="314" t="s">
        <v>203</v>
      </c>
      <c r="JWG12" s="314" t="s">
        <v>203</v>
      </c>
      <c r="JWH12" s="314" t="s">
        <v>203</v>
      </c>
      <c r="JWI12" s="314" t="s">
        <v>203</v>
      </c>
      <c r="JWJ12" s="314" t="s">
        <v>203</v>
      </c>
      <c r="JWK12" s="314" t="s">
        <v>203</v>
      </c>
      <c r="JWL12" s="314" t="s">
        <v>203</v>
      </c>
      <c r="JWM12" s="314" t="s">
        <v>203</v>
      </c>
      <c r="JWN12" s="314" t="s">
        <v>203</v>
      </c>
      <c r="JWO12" s="314" t="s">
        <v>203</v>
      </c>
      <c r="JWP12" s="314" t="s">
        <v>203</v>
      </c>
      <c r="JWQ12" s="314" t="s">
        <v>203</v>
      </c>
      <c r="JWR12" s="314" t="s">
        <v>203</v>
      </c>
      <c r="JWS12" s="314" t="s">
        <v>203</v>
      </c>
      <c r="JWT12" s="314" t="s">
        <v>203</v>
      </c>
      <c r="JWU12" s="314" t="s">
        <v>203</v>
      </c>
      <c r="JWV12" s="314" t="s">
        <v>203</v>
      </c>
      <c r="JWW12" s="314" t="s">
        <v>203</v>
      </c>
      <c r="JWX12" s="314" t="s">
        <v>203</v>
      </c>
      <c r="JWY12" s="314" t="s">
        <v>203</v>
      </c>
      <c r="JWZ12" s="314" t="s">
        <v>203</v>
      </c>
      <c r="JXA12" s="314" t="s">
        <v>203</v>
      </c>
      <c r="JXB12" s="314" t="s">
        <v>203</v>
      </c>
      <c r="JXC12" s="314" t="s">
        <v>203</v>
      </c>
      <c r="JXD12" s="314" t="s">
        <v>203</v>
      </c>
      <c r="JXE12" s="314" t="s">
        <v>203</v>
      </c>
      <c r="JXF12" s="314" t="s">
        <v>203</v>
      </c>
      <c r="JXG12" s="314" t="s">
        <v>203</v>
      </c>
      <c r="JXH12" s="314" t="s">
        <v>203</v>
      </c>
      <c r="JXI12" s="314" t="s">
        <v>203</v>
      </c>
      <c r="JXJ12" s="314" t="s">
        <v>203</v>
      </c>
      <c r="JXK12" s="314" t="s">
        <v>203</v>
      </c>
      <c r="JXL12" s="314" t="s">
        <v>203</v>
      </c>
      <c r="JXM12" s="314" t="s">
        <v>203</v>
      </c>
      <c r="JXN12" s="314" t="s">
        <v>203</v>
      </c>
      <c r="JXO12" s="314" t="s">
        <v>203</v>
      </c>
      <c r="JXP12" s="314" t="s">
        <v>203</v>
      </c>
      <c r="JXQ12" s="314" t="s">
        <v>203</v>
      </c>
      <c r="JXR12" s="314" t="s">
        <v>203</v>
      </c>
      <c r="JXS12" s="314" t="s">
        <v>203</v>
      </c>
      <c r="JXT12" s="314" t="s">
        <v>203</v>
      </c>
      <c r="JXU12" s="314" t="s">
        <v>203</v>
      </c>
      <c r="JXV12" s="314" t="s">
        <v>203</v>
      </c>
      <c r="JXW12" s="314" t="s">
        <v>203</v>
      </c>
      <c r="JXX12" s="314" t="s">
        <v>203</v>
      </c>
      <c r="JXY12" s="314" t="s">
        <v>203</v>
      </c>
      <c r="JXZ12" s="314" t="s">
        <v>203</v>
      </c>
      <c r="JYA12" s="314" t="s">
        <v>203</v>
      </c>
      <c r="JYB12" s="314" t="s">
        <v>203</v>
      </c>
      <c r="JYC12" s="314" t="s">
        <v>203</v>
      </c>
      <c r="JYD12" s="314" t="s">
        <v>203</v>
      </c>
      <c r="JYE12" s="314" t="s">
        <v>203</v>
      </c>
      <c r="JYF12" s="314" t="s">
        <v>203</v>
      </c>
      <c r="JYG12" s="314" t="s">
        <v>203</v>
      </c>
      <c r="JYH12" s="314" t="s">
        <v>203</v>
      </c>
      <c r="JYI12" s="314" t="s">
        <v>203</v>
      </c>
      <c r="JYJ12" s="314" t="s">
        <v>203</v>
      </c>
      <c r="JYK12" s="314" t="s">
        <v>203</v>
      </c>
      <c r="JYL12" s="314" t="s">
        <v>203</v>
      </c>
      <c r="JYM12" s="314" t="s">
        <v>203</v>
      </c>
      <c r="JYN12" s="314" t="s">
        <v>203</v>
      </c>
      <c r="JYO12" s="314" t="s">
        <v>203</v>
      </c>
      <c r="JYP12" s="314" t="s">
        <v>203</v>
      </c>
      <c r="JYQ12" s="314" t="s">
        <v>203</v>
      </c>
      <c r="JYR12" s="314" t="s">
        <v>203</v>
      </c>
      <c r="JYS12" s="314" t="s">
        <v>203</v>
      </c>
      <c r="JYT12" s="314" t="s">
        <v>203</v>
      </c>
      <c r="JYU12" s="314" t="s">
        <v>203</v>
      </c>
      <c r="JYV12" s="314" t="s">
        <v>203</v>
      </c>
      <c r="JYW12" s="314" t="s">
        <v>203</v>
      </c>
      <c r="JYX12" s="314" t="s">
        <v>203</v>
      </c>
      <c r="JYY12" s="314" t="s">
        <v>203</v>
      </c>
      <c r="JYZ12" s="314" t="s">
        <v>203</v>
      </c>
      <c r="JZA12" s="314" t="s">
        <v>203</v>
      </c>
      <c r="JZB12" s="314" t="s">
        <v>203</v>
      </c>
      <c r="JZC12" s="314" t="s">
        <v>203</v>
      </c>
      <c r="JZD12" s="314" t="s">
        <v>203</v>
      </c>
      <c r="JZE12" s="314" t="s">
        <v>203</v>
      </c>
      <c r="JZF12" s="314" t="s">
        <v>203</v>
      </c>
      <c r="JZG12" s="314" t="s">
        <v>203</v>
      </c>
      <c r="JZH12" s="314" t="s">
        <v>203</v>
      </c>
      <c r="JZI12" s="314" t="s">
        <v>203</v>
      </c>
      <c r="JZJ12" s="314" t="s">
        <v>203</v>
      </c>
      <c r="JZK12" s="314" t="s">
        <v>203</v>
      </c>
      <c r="JZL12" s="314" t="s">
        <v>203</v>
      </c>
      <c r="JZM12" s="314" t="s">
        <v>203</v>
      </c>
      <c r="JZN12" s="314" t="s">
        <v>203</v>
      </c>
      <c r="JZO12" s="314" t="s">
        <v>203</v>
      </c>
      <c r="JZP12" s="314" t="s">
        <v>203</v>
      </c>
      <c r="JZQ12" s="314" t="s">
        <v>203</v>
      </c>
      <c r="JZR12" s="314" t="s">
        <v>203</v>
      </c>
      <c r="JZS12" s="314" t="s">
        <v>203</v>
      </c>
      <c r="JZT12" s="314" t="s">
        <v>203</v>
      </c>
      <c r="JZU12" s="314" t="s">
        <v>203</v>
      </c>
      <c r="JZV12" s="314" t="s">
        <v>203</v>
      </c>
      <c r="JZW12" s="314" t="s">
        <v>203</v>
      </c>
      <c r="JZX12" s="314" t="s">
        <v>203</v>
      </c>
      <c r="JZY12" s="314" t="s">
        <v>203</v>
      </c>
      <c r="JZZ12" s="314" t="s">
        <v>203</v>
      </c>
      <c r="KAA12" s="314" t="s">
        <v>203</v>
      </c>
      <c r="KAB12" s="314" t="s">
        <v>203</v>
      </c>
      <c r="KAC12" s="314" t="s">
        <v>203</v>
      </c>
      <c r="KAD12" s="314" t="s">
        <v>203</v>
      </c>
      <c r="KAE12" s="314" t="s">
        <v>203</v>
      </c>
      <c r="KAF12" s="314" t="s">
        <v>203</v>
      </c>
      <c r="KAG12" s="314" t="s">
        <v>203</v>
      </c>
      <c r="KAH12" s="314" t="s">
        <v>203</v>
      </c>
      <c r="KAI12" s="314" t="s">
        <v>203</v>
      </c>
      <c r="KAJ12" s="314" t="s">
        <v>203</v>
      </c>
      <c r="KAK12" s="314" t="s">
        <v>203</v>
      </c>
      <c r="KAL12" s="314" t="s">
        <v>203</v>
      </c>
      <c r="KAM12" s="314" t="s">
        <v>203</v>
      </c>
      <c r="KAN12" s="314" t="s">
        <v>203</v>
      </c>
      <c r="KAO12" s="314" t="s">
        <v>203</v>
      </c>
      <c r="KAP12" s="314" t="s">
        <v>203</v>
      </c>
      <c r="KAQ12" s="314" t="s">
        <v>203</v>
      </c>
      <c r="KAR12" s="314" t="s">
        <v>203</v>
      </c>
      <c r="KAS12" s="314" t="s">
        <v>203</v>
      </c>
      <c r="KAT12" s="314" t="s">
        <v>203</v>
      </c>
      <c r="KAU12" s="314" t="s">
        <v>203</v>
      </c>
      <c r="KAV12" s="314" t="s">
        <v>203</v>
      </c>
      <c r="KAW12" s="314" t="s">
        <v>203</v>
      </c>
      <c r="KAX12" s="314" t="s">
        <v>203</v>
      </c>
      <c r="KAY12" s="314" t="s">
        <v>203</v>
      </c>
      <c r="KAZ12" s="314" t="s">
        <v>203</v>
      </c>
      <c r="KBA12" s="314" t="s">
        <v>203</v>
      </c>
      <c r="KBB12" s="314" t="s">
        <v>203</v>
      </c>
      <c r="KBC12" s="314" t="s">
        <v>203</v>
      </c>
      <c r="KBD12" s="314" t="s">
        <v>203</v>
      </c>
      <c r="KBE12" s="314" t="s">
        <v>203</v>
      </c>
      <c r="KBF12" s="314" t="s">
        <v>203</v>
      </c>
      <c r="KBG12" s="314" t="s">
        <v>203</v>
      </c>
      <c r="KBH12" s="314" t="s">
        <v>203</v>
      </c>
      <c r="KBI12" s="314" t="s">
        <v>203</v>
      </c>
      <c r="KBJ12" s="314" t="s">
        <v>203</v>
      </c>
      <c r="KBK12" s="314" t="s">
        <v>203</v>
      </c>
      <c r="KBL12" s="314" t="s">
        <v>203</v>
      </c>
      <c r="KBM12" s="314" t="s">
        <v>203</v>
      </c>
      <c r="KBN12" s="314" t="s">
        <v>203</v>
      </c>
      <c r="KBO12" s="314" t="s">
        <v>203</v>
      </c>
      <c r="KBP12" s="314" t="s">
        <v>203</v>
      </c>
      <c r="KBQ12" s="314" t="s">
        <v>203</v>
      </c>
      <c r="KBR12" s="314" t="s">
        <v>203</v>
      </c>
      <c r="KBS12" s="314" t="s">
        <v>203</v>
      </c>
      <c r="KBT12" s="314" t="s">
        <v>203</v>
      </c>
      <c r="KBU12" s="314" t="s">
        <v>203</v>
      </c>
      <c r="KBV12" s="314" t="s">
        <v>203</v>
      </c>
      <c r="KBW12" s="314" t="s">
        <v>203</v>
      </c>
      <c r="KBX12" s="314" t="s">
        <v>203</v>
      </c>
      <c r="KBY12" s="314" t="s">
        <v>203</v>
      </c>
      <c r="KBZ12" s="314" t="s">
        <v>203</v>
      </c>
      <c r="KCA12" s="314" t="s">
        <v>203</v>
      </c>
      <c r="KCB12" s="314" t="s">
        <v>203</v>
      </c>
      <c r="KCC12" s="314" t="s">
        <v>203</v>
      </c>
      <c r="KCD12" s="314" t="s">
        <v>203</v>
      </c>
      <c r="KCE12" s="314" t="s">
        <v>203</v>
      </c>
      <c r="KCF12" s="314" t="s">
        <v>203</v>
      </c>
      <c r="KCG12" s="314" t="s">
        <v>203</v>
      </c>
      <c r="KCH12" s="314" t="s">
        <v>203</v>
      </c>
      <c r="KCI12" s="314" t="s">
        <v>203</v>
      </c>
      <c r="KCJ12" s="314" t="s">
        <v>203</v>
      </c>
      <c r="KCK12" s="314" t="s">
        <v>203</v>
      </c>
      <c r="KCL12" s="314" t="s">
        <v>203</v>
      </c>
      <c r="KCM12" s="314" t="s">
        <v>203</v>
      </c>
      <c r="KCN12" s="314" t="s">
        <v>203</v>
      </c>
      <c r="KCO12" s="314" t="s">
        <v>203</v>
      </c>
      <c r="KCP12" s="314" t="s">
        <v>203</v>
      </c>
      <c r="KCQ12" s="314" t="s">
        <v>203</v>
      </c>
      <c r="KCR12" s="314" t="s">
        <v>203</v>
      </c>
      <c r="KCS12" s="314" t="s">
        <v>203</v>
      </c>
      <c r="KCT12" s="314" t="s">
        <v>203</v>
      </c>
      <c r="KCU12" s="314" t="s">
        <v>203</v>
      </c>
      <c r="KCV12" s="314" t="s">
        <v>203</v>
      </c>
      <c r="KCW12" s="314" t="s">
        <v>203</v>
      </c>
      <c r="KCX12" s="314" t="s">
        <v>203</v>
      </c>
      <c r="KCY12" s="314" t="s">
        <v>203</v>
      </c>
      <c r="KCZ12" s="314" t="s">
        <v>203</v>
      </c>
      <c r="KDA12" s="314" t="s">
        <v>203</v>
      </c>
      <c r="KDB12" s="314" t="s">
        <v>203</v>
      </c>
      <c r="KDC12" s="314" t="s">
        <v>203</v>
      </c>
      <c r="KDD12" s="314" t="s">
        <v>203</v>
      </c>
      <c r="KDE12" s="314" t="s">
        <v>203</v>
      </c>
      <c r="KDF12" s="314" t="s">
        <v>203</v>
      </c>
      <c r="KDG12" s="314" t="s">
        <v>203</v>
      </c>
      <c r="KDH12" s="314" t="s">
        <v>203</v>
      </c>
      <c r="KDI12" s="314" t="s">
        <v>203</v>
      </c>
      <c r="KDJ12" s="314" t="s">
        <v>203</v>
      </c>
      <c r="KDK12" s="314" t="s">
        <v>203</v>
      </c>
      <c r="KDL12" s="314" t="s">
        <v>203</v>
      </c>
      <c r="KDM12" s="314" t="s">
        <v>203</v>
      </c>
      <c r="KDN12" s="314" t="s">
        <v>203</v>
      </c>
      <c r="KDO12" s="314" t="s">
        <v>203</v>
      </c>
      <c r="KDP12" s="314" t="s">
        <v>203</v>
      </c>
      <c r="KDQ12" s="314" t="s">
        <v>203</v>
      </c>
      <c r="KDR12" s="314" t="s">
        <v>203</v>
      </c>
      <c r="KDS12" s="314" t="s">
        <v>203</v>
      </c>
      <c r="KDT12" s="314" t="s">
        <v>203</v>
      </c>
      <c r="KDU12" s="314" t="s">
        <v>203</v>
      </c>
      <c r="KDV12" s="314" t="s">
        <v>203</v>
      </c>
      <c r="KDW12" s="314" t="s">
        <v>203</v>
      </c>
      <c r="KDX12" s="314" t="s">
        <v>203</v>
      </c>
      <c r="KDY12" s="314" t="s">
        <v>203</v>
      </c>
      <c r="KDZ12" s="314" t="s">
        <v>203</v>
      </c>
      <c r="KEA12" s="314" t="s">
        <v>203</v>
      </c>
      <c r="KEB12" s="314" t="s">
        <v>203</v>
      </c>
      <c r="KEC12" s="314" t="s">
        <v>203</v>
      </c>
      <c r="KED12" s="314" t="s">
        <v>203</v>
      </c>
      <c r="KEE12" s="314" t="s">
        <v>203</v>
      </c>
      <c r="KEF12" s="314" t="s">
        <v>203</v>
      </c>
      <c r="KEG12" s="314" t="s">
        <v>203</v>
      </c>
      <c r="KEH12" s="314" t="s">
        <v>203</v>
      </c>
      <c r="KEI12" s="314" t="s">
        <v>203</v>
      </c>
      <c r="KEJ12" s="314" t="s">
        <v>203</v>
      </c>
      <c r="KEK12" s="314" t="s">
        <v>203</v>
      </c>
      <c r="KEL12" s="314" t="s">
        <v>203</v>
      </c>
      <c r="KEM12" s="314" t="s">
        <v>203</v>
      </c>
      <c r="KEN12" s="314" t="s">
        <v>203</v>
      </c>
      <c r="KEO12" s="314" t="s">
        <v>203</v>
      </c>
      <c r="KEP12" s="314" t="s">
        <v>203</v>
      </c>
      <c r="KEQ12" s="314" t="s">
        <v>203</v>
      </c>
      <c r="KER12" s="314" t="s">
        <v>203</v>
      </c>
      <c r="KES12" s="314" t="s">
        <v>203</v>
      </c>
      <c r="KET12" s="314" t="s">
        <v>203</v>
      </c>
      <c r="KEU12" s="314" t="s">
        <v>203</v>
      </c>
      <c r="KEV12" s="314" t="s">
        <v>203</v>
      </c>
      <c r="KEW12" s="314" t="s">
        <v>203</v>
      </c>
      <c r="KEX12" s="314" t="s">
        <v>203</v>
      </c>
      <c r="KEY12" s="314" t="s">
        <v>203</v>
      </c>
      <c r="KEZ12" s="314" t="s">
        <v>203</v>
      </c>
      <c r="KFA12" s="314" t="s">
        <v>203</v>
      </c>
      <c r="KFB12" s="314" t="s">
        <v>203</v>
      </c>
      <c r="KFC12" s="314" t="s">
        <v>203</v>
      </c>
      <c r="KFD12" s="314" t="s">
        <v>203</v>
      </c>
      <c r="KFE12" s="314" t="s">
        <v>203</v>
      </c>
      <c r="KFF12" s="314" t="s">
        <v>203</v>
      </c>
      <c r="KFG12" s="314" t="s">
        <v>203</v>
      </c>
      <c r="KFH12" s="314" t="s">
        <v>203</v>
      </c>
      <c r="KFI12" s="314" t="s">
        <v>203</v>
      </c>
      <c r="KFJ12" s="314" t="s">
        <v>203</v>
      </c>
      <c r="KFK12" s="314" t="s">
        <v>203</v>
      </c>
      <c r="KFL12" s="314" t="s">
        <v>203</v>
      </c>
      <c r="KFM12" s="314" t="s">
        <v>203</v>
      </c>
      <c r="KFN12" s="314" t="s">
        <v>203</v>
      </c>
      <c r="KFO12" s="314" t="s">
        <v>203</v>
      </c>
      <c r="KFP12" s="314" t="s">
        <v>203</v>
      </c>
      <c r="KFQ12" s="314" t="s">
        <v>203</v>
      </c>
      <c r="KFR12" s="314" t="s">
        <v>203</v>
      </c>
      <c r="KFS12" s="314" t="s">
        <v>203</v>
      </c>
      <c r="KFT12" s="314" t="s">
        <v>203</v>
      </c>
      <c r="KFU12" s="314" t="s">
        <v>203</v>
      </c>
      <c r="KFV12" s="314" t="s">
        <v>203</v>
      </c>
      <c r="KFW12" s="314" t="s">
        <v>203</v>
      </c>
      <c r="KFX12" s="314" t="s">
        <v>203</v>
      </c>
      <c r="KFY12" s="314" t="s">
        <v>203</v>
      </c>
      <c r="KFZ12" s="314" t="s">
        <v>203</v>
      </c>
      <c r="KGA12" s="314" t="s">
        <v>203</v>
      </c>
      <c r="KGB12" s="314" t="s">
        <v>203</v>
      </c>
      <c r="KGC12" s="314" t="s">
        <v>203</v>
      </c>
      <c r="KGD12" s="314" t="s">
        <v>203</v>
      </c>
      <c r="KGE12" s="314" t="s">
        <v>203</v>
      </c>
      <c r="KGF12" s="314" t="s">
        <v>203</v>
      </c>
      <c r="KGG12" s="314" t="s">
        <v>203</v>
      </c>
      <c r="KGH12" s="314" t="s">
        <v>203</v>
      </c>
      <c r="KGI12" s="314" t="s">
        <v>203</v>
      </c>
      <c r="KGJ12" s="314" t="s">
        <v>203</v>
      </c>
      <c r="KGK12" s="314" t="s">
        <v>203</v>
      </c>
      <c r="KGL12" s="314" t="s">
        <v>203</v>
      </c>
      <c r="KGM12" s="314" t="s">
        <v>203</v>
      </c>
      <c r="KGN12" s="314" t="s">
        <v>203</v>
      </c>
      <c r="KGO12" s="314" t="s">
        <v>203</v>
      </c>
      <c r="KGP12" s="314" t="s">
        <v>203</v>
      </c>
      <c r="KGQ12" s="314" t="s">
        <v>203</v>
      </c>
      <c r="KGR12" s="314" t="s">
        <v>203</v>
      </c>
      <c r="KGS12" s="314" t="s">
        <v>203</v>
      </c>
      <c r="KGT12" s="314" t="s">
        <v>203</v>
      </c>
      <c r="KGU12" s="314" t="s">
        <v>203</v>
      </c>
      <c r="KGV12" s="314" t="s">
        <v>203</v>
      </c>
      <c r="KGW12" s="314" t="s">
        <v>203</v>
      </c>
      <c r="KGX12" s="314" t="s">
        <v>203</v>
      </c>
      <c r="KGY12" s="314" t="s">
        <v>203</v>
      </c>
      <c r="KGZ12" s="314" t="s">
        <v>203</v>
      </c>
      <c r="KHA12" s="314" t="s">
        <v>203</v>
      </c>
      <c r="KHB12" s="314" t="s">
        <v>203</v>
      </c>
      <c r="KHC12" s="314" t="s">
        <v>203</v>
      </c>
      <c r="KHD12" s="314" t="s">
        <v>203</v>
      </c>
      <c r="KHE12" s="314" t="s">
        <v>203</v>
      </c>
      <c r="KHF12" s="314" t="s">
        <v>203</v>
      </c>
      <c r="KHG12" s="314" t="s">
        <v>203</v>
      </c>
      <c r="KHH12" s="314" t="s">
        <v>203</v>
      </c>
      <c r="KHI12" s="314" t="s">
        <v>203</v>
      </c>
      <c r="KHJ12" s="314" t="s">
        <v>203</v>
      </c>
      <c r="KHK12" s="314" t="s">
        <v>203</v>
      </c>
      <c r="KHL12" s="314" t="s">
        <v>203</v>
      </c>
      <c r="KHM12" s="314" t="s">
        <v>203</v>
      </c>
      <c r="KHN12" s="314" t="s">
        <v>203</v>
      </c>
      <c r="KHO12" s="314" t="s">
        <v>203</v>
      </c>
      <c r="KHP12" s="314" t="s">
        <v>203</v>
      </c>
      <c r="KHQ12" s="314" t="s">
        <v>203</v>
      </c>
      <c r="KHR12" s="314" t="s">
        <v>203</v>
      </c>
      <c r="KHS12" s="314" t="s">
        <v>203</v>
      </c>
      <c r="KHT12" s="314" t="s">
        <v>203</v>
      </c>
      <c r="KHU12" s="314" t="s">
        <v>203</v>
      </c>
      <c r="KHV12" s="314" t="s">
        <v>203</v>
      </c>
      <c r="KHW12" s="314" t="s">
        <v>203</v>
      </c>
      <c r="KHX12" s="314" t="s">
        <v>203</v>
      </c>
      <c r="KHY12" s="314" t="s">
        <v>203</v>
      </c>
      <c r="KHZ12" s="314" t="s">
        <v>203</v>
      </c>
      <c r="KIA12" s="314" t="s">
        <v>203</v>
      </c>
      <c r="KIB12" s="314" t="s">
        <v>203</v>
      </c>
      <c r="KIC12" s="314" t="s">
        <v>203</v>
      </c>
      <c r="KID12" s="314" t="s">
        <v>203</v>
      </c>
      <c r="KIE12" s="314" t="s">
        <v>203</v>
      </c>
      <c r="KIF12" s="314" t="s">
        <v>203</v>
      </c>
      <c r="KIG12" s="314" t="s">
        <v>203</v>
      </c>
      <c r="KIH12" s="314" t="s">
        <v>203</v>
      </c>
      <c r="KII12" s="314" t="s">
        <v>203</v>
      </c>
      <c r="KIJ12" s="314" t="s">
        <v>203</v>
      </c>
      <c r="KIK12" s="314" t="s">
        <v>203</v>
      </c>
      <c r="KIL12" s="314" t="s">
        <v>203</v>
      </c>
      <c r="KIM12" s="314" t="s">
        <v>203</v>
      </c>
      <c r="KIN12" s="314" t="s">
        <v>203</v>
      </c>
      <c r="KIO12" s="314" t="s">
        <v>203</v>
      </c>
      <c r="KIP12" s="314" t="s">
        <v>203</v>
      </c>
      <c r="KIQ12" s="314" t="s">
        <v>203</v>
      </c>
      <c r="KIR12" s="314" t="s">
        <v>203</v>
      </c>
      <c r="KIS12" s="314" t="s">
        <v>203</v>
      </c>
      <c r="KIT12" s="314" t="s">
        <v>203</v>
      </c>
      <c r="KIU12" s="314" t="s">
        <v>203</v>
      </c>
      <c r="KIV12" s="314" t="s">
        <v>203</v>
      </c>
      <c r="KIW12" s="314" t="s">
        <v>203</v>
      </c>
      <c r="KIX12" s="314" t="s">
        <v>203</v>
      </c>
      <c r="KIY12" s="314" t="s">
        <v>203</v>
      </c>
      <c r="KIZ12" s="314" t="s">
        <v>203</v>
      </c>
      <c r="KJA12" s="314" t="s">
        <v>203</v>
      </c>
      <c r="KJB12" s="314" t="s">
        <v>203</v>
      </c>
      <c r="KJC12" s="314" t="s">
        <v>203</v>
      </c>
      <c r="KJD12" s="314" t="s">
        <v>203</v>
      </c>
      <c r="KJE12" s="314" t="s">
        <v>203</v>
      </c>
      <c r="KJF12" s="314" t="s">
        <v>203</v>
      </c>
      <c r="KJG12" s="314" t="s">
        <v>203</v>
      </c>
      <c r="KJH12" s="314" t="s">
        <v>203</v>
      </c>
      <c r="KJI12" s="314" t="s">
        <v>203</v>
      </c>
      <c r="KJJ12" s="314" t="s">
        <v>203</v>
      </c>
      <c r="KJK12" s="314" t="s">
        <v>203</v>
      </c>
      <c r="KJL12" s="314" t="s">
        <v>203</v>
      </c>
      <c r="KJM12" s="314" t="s">
        <v>203</v>
      </c>
      <c r="KJN12" s="314" t="s">
        <v>203</v>
      </c>
      <c r="KJO12" s="314" t="s">
        <v>203</v>
      </c>
      <c r="KJP12" s="314" t="s">
        <v>203</v>
      </c>
      <c r="KJQ12" s="314" t="s">
        <v>203</v>
      </c>
      <c r="KJR12" s="314" t="s">
        <v>203</v>
      </c>
      <c r="KJS12" s="314" t="s">
        <v>203</v>
      </c>
      <c r="KJT12" s="314" t="s">
        <v>203</v>
      </c>
      <c r="KJU12" s="314" t="s">
        <v>203</v>
      </c>
      <c r="KJV12" s="314" t="s">
        <v>203</v>
      </c>
      <c r="KJW12" s="314" t="s">
        <v>203</v>
      </c>
      <c r="KJX12" s="314" t="s">
        <v>203</v>
      </c>
      <c r="KJY12" s="314" t="s">
        <v>203</v>
      </c>
      <c r="KJZ12" s="314" t="s">
        <v>203</v>
      </c>
      <c r="KKA12" s="314" t="s">
        <v>203</v>
      </c>
      <c r="KKB12" s="314" t="s">
        <v>203</v>
      </c>
      <c r="KKC12" s="314" t="s">
        <v>203</v>
      </c>
      <c r="KKD12" s="314" t="s">
        <v>203</v>
      </c>
      <c r="KKE12" s="314" t="s">
        <v>203</v>
      </c>
      <c r="KKF12" s="314" t="s">
        <v>203</v>
      </c>
      <c r="KKG12" s="314" t="s">
        <v>203</v>
      </c>
      <c r="KKH12" s="314" t="s">
        <v>203</v>
      </c>
      <c r="KKI12" s="314" t="s">
        <v>203</v>
      </c>
      <c r="KKJ12" s="314" t="s">
        <v>203</v>
      </c>
      <c r="KKK12" s="314" t="s">
        <v>203</v>
      </c>
      <c r="KKL12" s="314" t="s">
        <v>203</v>
      </c>
      <c r="KKM12" s="314" t="s">
        <v>203</v>
      </c>
      <c r="KKN12" s="314" t="s">
        <v>203</v>
      </c>
      <c r="KKO12" s="314" t="s">
        <v>203</v>
      </c>
      <c r="KKP12" s="314" t="s">
        <v>203</v>
      </c>
      <c r="KKQ12" s="314" t="s">
        <v>203</v>
      </c>
      <c r="KKR12" s="314" t="s">
        <v>203</v>
      </c>
      <c r="KKS12" s="314" t="s">
        <v>203</v>
      </c>
      <c r="KKT12" s="314" t="s">
        <v>203</v>
      </c>
      <c r="KKU12" s="314" t="s">
        <v>203</v>
      </c>
      <c r="KKV12" s="314" t="s">
        <v>203</v>
      </c>
      <c r="KKW12" s="314" t="s">
        <v>203</v>
      </c>
      <c r="KKX12" s="314" t="s">
        <v>203</v>
      </c>
      <c r="KKY12" s="314" t="s">
        <v>203</v>
      </c>
      <c r="KKZ12" s="314" t="s">
        <v>203</v>
      </c>
      <c r="KLA12" s="314" t="s">
        <v>203</v>
      </c>
      <c r="KLB12" s="314" t="s">
        <v>203</v>
      </c>
      <c r="KLC12" s="314" t="s">
        <v>203</v>
      </c>
      <c r="KLD12" s="314" t="s">
        <v>203</v>
      </c>
      <c r="KLE12" s="314" t="s">
        <v>203</v>
      </c>
      <c r="KLF12" s="314" t="s">
        <v>203</v>
      </c>
      <c r="KLG12" s="314" t="s">
        <v>203</v>
      </c>
      <c r="KLH12" s="314" t="s">
        <v>203</v>
      </c>
      <c r="KLI12" s="314" t="s">
        <v>203</v>
      </c>
      <c r="KLJ12" s="314" t="s">
        <v>203</v>
      </c>
      <c r="KLK12" s="314" t="s">
        <v>203</v>
      </c>
      <c r="KLL12" s="314" t="s">
        <v>203</v>
      </c>
      <c r="KLM12" s="314" t="s">
        <v>203</v>
      </c>
      <c r="KLN12" s="314" t="s">
        <v>203</v>
      </c>
      <c r="KLO12" s="314" t="s">
        <v>203</v>
      </c>
      <c r="KLP12" s="314" t="s">
        <v>203</v>
      </c>
      <c r="KLQ12" s="314" t="s">
        <v>203</v>
      </c>
      <c r="KLR12" s="314" t="s">
        <v>203</v>
      </c>
      <c r="KLS12" s="314" t="s">
        <v>203</v>
      </c>
      <c r="KLT12" s="314" t="s">
        <v>203</v>
      </c>
      <c r="KLU12" s="314" t="s">
        <v>203</v>
      </c>
      <c r="KLV12" s="314" t="s">
        <v>203</v>
      </c>
      <c r="KLW12" s="314" t="s">
        <v>203</v>
      </c>
      <c r="KLX12" s="314" t="s">
        <v>203</v>
      </c>
      <c r="KLY12" s="314" t="s">
        <v>203</v>
      </c>
      <c r="KLZ12" s="314" t="s">
        <v>203</v>
      </c>
      <c r="KMA12" s="314" t="s">
        <v>203</v>
      </c>
      <c r="KMB12" s="314" t="s">
        <v>203</v>
      </c>
      <c r="KMC12" s="314" t="s">
        <v>203</v>
      </c>
      <c r="KMD12" s="314" t="s">
        <v>203</v>
      </c>
      <c r="KME12" s="314" t="s">
        <v>203</v>
      </c>
      <c r="KMF12" s="314" t="s">
        <v>203</v>
      </c>
      <c r="KMG12" s="314" t="s">
        <v>203</v>
      </c>
      <c r="KMH12" s="314" t="s">
        <v>203</v>
      </c>
      <c r="KMI12" s="314" t="s">
        <v>203</v>
      </c>
      <c r="KMJ12" s="314" t="s">
        <v>203</v>
      </c>
      <c r="KMK12" s="314" t="s">
        <v>203</v>
      </c>
      <c r="KML12" s="314" t="s">
        <v>203</v>
      </c>
      <c r="KMM12" s="314" t="s">
        <v>203</v>
      </c>
      <c r="KMN12" s="314" t="s">
        <v>203</v>
      </c>
      <c r="KMO12" s="314" t="s">
        <v>203</v>
      </c>
      <c r="KMP12" s="314" t="s">
        <v>203</v>
      </c>
      <c r="KMQ12" s="314" t="s">
        <v>203</v>
      </c>
      <c r="KMR12" s="314" t="s">
        <v>203</v>
      </c>
      <c r="KMS12" s="314" t="s">
        <v>203</v>
      </c>
      <c r="KMT12" s="314" t="s">
        <v>203</v>
      </c>
      <c r="KMU12" s="314" t="s">
        <v>203</v>
      </c>
      <c r="KMV12" s="314" t="s">
        <v>203</v>
      </c>
      <c r="KMW12" s="314" t="s">
        <v>203</v>
      </c>
      <c r="KMX12" s="314" t="s">
        <v>203</v>
      </c>
      <c r="KMY12" s="314" t="s">
        <v>203</v>
      </c>
      <c r="KMZ12" s="314" t="s">
        <v>203</v>
      </c>
      <c r="KNA12" s="314" t="s">
        <v>203</v>
      </c>
      <c r="KNB12" s="314" t="s">
        <v>203</v>
      </c>
      <c r="KNC12" s="314" t="s">
        <v>203</v>
      </c>
      <c r="KND12" s="314" t="s">
        <v>203</v>
      </c>
      <c r="KNE12" s="314" t="s">
        <v>203</v>
      </c>
      <c r="KNF12" s="314" t="s">
        <v>203</v>
      </c>
      <c r="KNG12" s="314" t="s">
        <v>203</v>
      </c>
      <c r="KNH12" s="314" t="s">
        <v>203</v>
      </c>
      <c r="KNI12" s="314" t="s">
        <v>203</v>
      </c>
      <c r="KNJ12" s="314" t="s">
        <v>203</v>
      </c>
      <c r="KNK12" s="314" t="s">
        <v>203</v>
      </c>
      <c r="KNL12" s="314" t="s">
        <v>203</v>
      </c>
      <c r="KNM12" s="314" t="s">
        <v>203</v>
      </c>
      <c r="KNN12" s="314" t="s">
        <v>203</v>
      </c>
      <c r="KNO12" s="314" t="s">
        <v>203</v>
      </c>
      <c r="KNP12" s="314" t="s">
        <v>203</v>
      </c>
      <c r="KNQ12" s="314" t="s">
        <v>203</v>
      </c>
      <c r="KNR12" s="314" t="s">
        <v>203</v>
      </c>
      <c r="KNS12" s="314" t="s">
        <v>203</v>
      </c>
      <c r="KNT12" s="314" t="s">
        <v>203</v>
      </c>
      <c r="KNU12" s="314" t="s">
        <v>203</v>
      </c>
      <c r="KNV12" s="314" t="s">
        <v>203</v>
      </c>
      <c r="KNW12" s="314" t="s">
        <v>203</v>
      </c>
      <c r="KNX12" s="314" t="s">
        <v>203</v>
      </c>
      <c r="KNY12" s="314" t="s">
        <v>203</v>
      </c>
      <c r="KNZ12" s="314" t="s">
        <v>203</v>
      </c>
      <c r="KOA12" s="314" t="s">
        <v>203</v>
      </c>
      <c r="KOB12" s="314" t="s">
        <v>203</v>
      </c>
      <c r="KOC12" s="314" t="s">
        <v>203</v>
      </c>
      <c r="KOD12" s="314" t="s">
        <v>203</v>
      </c>
      <c r="KOE12" s="314" t="s">
        <v>203</v>
      </c>
      <c r="KOF12" s="314" t="s">
        <v>203</v>
      </c>
      <c r="KOG12" s="314" t="s">
        <v>203</v>
      </c>
      <c r="KOH12" s="314" t="s">
        <v>203</v>
      </c>
      <c r="KOI12" s="314" t="s">
        <v>203</v>
      </c>
      <c r="KOJ12" s="314" t="s">
        <v>203</v>
      </c>
      <c r="KOK12" s="314" t="s">
        <v>203</v>
      </c>
      <c r="KOL12" s="314" t="s">
        <v>203</v>
      </c>
      <c r="KOM12" s="314" t="s">
        <v>203</v>
      </c>
      <c r="KON12" s="314" t="s">
        <v>203</v>
      </c>
      <c r="KOO12" s="314" t="s">
        <v>203</v>
      </c>
      <c r="KOP12" s="314" t="s">
        <v>203</v>
      </c>
      <c r="KOQ12" s="314" t="s">
        <v>203</v>
      </c>
      <c r="KOR12" s="314" t="s">
        <v>203</v>
      </c>
      <c r="KOS12" s="314" t="s">
        <v>203</v>
      </c>
      <c r="KOT12" s="314" t="s">
        <v>203</v>
      </c>
      <c r="KOU12" s="314" t="s">
        <v>203</v>
      </c>
      <c r="KOV12" s="314" t="s">
        <v>203</v>
      </c>
      <c r="KOW12" s="314" t="s">
        <v>203</v>
      </c>
      <c r="KOX12" s="314" t="s">
        <v>203</v>
      </c>
      <c r="KOY12" s="314" t="s">
        <v>203</v>
      </c>
      <c r="KOZ12" s="314" t="s">
        <v>203</v>
      </c>
      <c r="KPA12" s="314" t="s">
        <v>203</v>
      </c>
      <c r="KPB12" s="314" t="s">
        <v>203</v>
      </c>
      <c r="KPC12" s="314" t="s">
        <v>203</v>
      </c>
      <c r="KPD12" s="314" t="s">
        <v>203</v>
      </c>
      <c r="KPE12" s="314" t="s">
        <v>203</v>
      </c>
      <c r="KPF12" s="314" t="s">
        <v>203</v>
      </c>
      <c r="KPG12" s="314" t="s">
        <v>203</v>
      </c>
      <c r="KPH12" s="314" t="s">
        <v>203</v>
      </c>
      <c r="KPI12" s="314" t="s">
        <v>203</v>
      </c>
      <c r="KPJ12" s="314" t="s">
        <v>203</v>
      </c>
      <c r="KPK12" s="314" t="s">
        <v>203</v>
      </c>
      <c r="KPL12" s="314" t="s">
        <v>203</v>
      </c>
      <c r="KPM12" s="314" t="s">
        <v>203</v>
      </c>
      <c r="KPN12" s="314" t="s">
        <v>203</v>
      </c>
      <c r="KPO12" s="314" t="s">
        <v>203</v>
      </c>
      <c r="KPP12" s="314" t="s">
        <v>203</v>
      </c>
      <c r="KPQ12" s="314" t="s">
        <v>203</v>
      </c>
      <c r="KPR12" s="314" t="s">
        <v>203</v>
      </c>
      <c r="KPS12" s="314" t="s">
        <v>203</v>
      </c>
      <c r="KPT12" s="314" t="s">
        <v>203</v>
      </c>
      <c r="KPU12" s="314" t="s">
        <v>203</v>
      </c>
      <c r="KPV12" s="314" t="s">
        <v>203</v>
      </c>
      <c r="KPW12" s="314" t="s">
        <v>203</v>
      </c>
      <c r="KPX12" s="314" t="s">
        <v>203</v>
      </c>
      <c r="KPY12" s="314" t="s">
        <v>203</v>
      </c>
      <c r="KPZ12" s="314" t="s">
        <v>203</v>
      </c>
      <c r="KQA12" s="314" t="s">
        <v>203</v>
      </c>
      <c r="KQB12" s="314" t="s">
        <v>203</v>
      </c>
      <c r="KQC12" s="314" t="s">
        <v>203</v>
      </c>
      <c r="KQD12" s="314" t="s">
        <v>203</v>
      </c>
      <c r="KQE12" s="314" t="s">
        <v>203</v>
      </c>
      <c r="KQF12" s="314" t="s">
        <v>203</v>
      </c>
      <c r="KQG12" s="314" t="s">
        <v>203</v>
      </c>
      <c r="KQH12" s="314" t="s">
        <v>203</v>
      </c>
      <c r="KQI12" s="314" t="s">
        <v>203</v>
      </c>
      <c r="KQJ12" s="314" t="s">
        <v>203</v>
      </c>
      <c r="KQK12" s="314" t="s">
        <v>203</v>
      </c>
      <c r="KQL12" s="314" t="s">
        <v>203</v>
      </c>
      <c r="KQM12" s="314" t="s">
        <v>203</v>
      </c>
      <c r="KQN12" s="314" t="s">
        <v>203</v>
      </c>
      <c r="KQO12" s="314" t="s">
        <v>203</v>
      </c>
      <c r="KQP12" s="314" t="s">
        <v>203</v>
      </c>
      <c r="KQQ12" s="314" t="s">
        <v>203</v>
      </c>
      <c r="KQR12" s="314" t="s">
        <v>203</v>
      </c>
      <c r="KQS12" s="314" t="s">
        <v>203</v>
      </c>
      <c r="KQT12" s="314" t="s">
        <v>203</v>
      </c>
      <c r="KQU12" s="314" t="s">
        <v>203</v>
      </c>
      <c r="KQV12" s="314" t="s">
        <v>203</v>
      </c>
      <c r="KQW12" s="314" t="s">
        <v>203</v>
      </c>
      <c r="KQX12" s="314" t="s">
        <v>203</v>
      </c>
      <c r="KQY12" s="314" t="s">
        <v>203</v>
      </c>
      <c r="KQZ12" s="314" t="s">
        <v>203</v>
      </c>
      <c r="KRA12" s="314" t="s">
        <v>203</v>
      </c>
      <c r="KRB12" s="314" t="s">
        <v>203</v>
      </c>
      <c r="KRC12" s="314" t="s">
        <v>203</v>
      </c>
      <c r="KRD12" s="314" t="s">
        <v>203</v>
      </c>
      <c r="KRE12" s="314" t="s">
        <v>203</v>
      </c>
      <c r="KRF12" s="314" t="s">
        <v>203</v>
      </c>
      <c r="KRG12" s="314" t="s">
        <v>203</v>
      </c>
      <c r="KRH12" s="314" t="s">
        <v>203</v>
      </c>
      <c r="KRI12" s="314" t="s">
        <v>203</v>
      </c>
      <c r="KRJ12" s="314" t="s">
        <v>203</v>
      </c>
      <c r="KRK12" s="314" t="s">
        <v>203</v>
      </c>
      <c r="KRL12" s="314" t="s">
        <v>203</v>
      </c>
      <c r="KRM12" s="314" t="s">
        <v>203</v>
      </c>
      <c r="KRN12" s="314" t="s">
        <v>203</v>
      </c>
      <c r="KRO12" s="314" t="s">
        <v>203</v>
      </c>
      <c r="KRP12" s="314" t="s">
        <v>203</v>
      </c>
      <c r="KRQ12" s="314" t="s">
        <v>203</v>
      </c>
      <c r="KRR12" s="314" t="s">
        <v>203</v>
      </c>
      <c r="KRS12" s="314" t="s">
        <v>203</v>
      </c>
      <c r="KRT12" s="314" t="s">
        <v>203</v>
      </c>
      <c r="KRU12" s="314" t="s">
        <v>203</v>
      </c>
      <c r="KRV12" s="314" t="s">
        <v>203</v>
      </c>
      <c r="KRW12" s="314" t="s">
        <v>203</v>
      </c>
      <c r="KRX12" s="314" t="s">
        <v>203</v>
      </c>
      <c r="KRY12" s="314" t="s">
        <v>203</v>
      </c>
      <c r="KRZ12" s="314" t="s">
        <v>203</v>
      </c>
      <c r="KSA12" s="314" t="s">
        <v>203</v>
      </c>
      <c r="KSB12" s="314" t="s">
        <v>203</v>
      </c>
      <c r="KSC12" s="314" t="s">
        <v>203</v>
      </c>
      <c r="KSD12" s="314" t="s">
        <v>203</v>
      </c>
      <c r="KSE12" s="314" t="s">
        <v>203</v>
      </c>
      <c r="KSF12" s="314" t="s">
        <v>203</v>
      </c>
      <c r="KSG12" s="314" t="s">
        <v>203</v>
      </c>
      <c r="KSH12" s="314" t="s">
        <v>203</v>
      </c>
      <c r="KSI12" s="314" t="s">
        <v>203</v>
      </c>
      <c r="KSJ12" s="314" t="s">
        <v>203</v>
      </c>
      <c r="KSK12" s="314" t="s">
        <v>203</v>
      </c>
      <c r="KSL12" s="314" t="s">
        <v>203</v>
      </c>
      <c r="KSM12" s="314" t="s">
        <v>203</v>
      </c>
      <c r="KSN12" s="314" t="s">
        <v>203</v>
      </c>
      <c r="KSO12" s="314" t="s">
        <v>203</v>
      </c>
      <c r="KSP12" s="314" t="s">
        <v>203</v>
      </c>
      <c r="KSQ12" s="314" t="s">
        <v>203</v>
      </c>
      <c r="KSR12" s="314" t="s">
        <v>203</v>
      </c>
      <c r="KSS12" s="314" t="s">
        <v>203</v>
      </c>
      <c r="KST12" s="314" t="s">
        <v>203</v>
      </c>
      <c r="KSU12" s="314" t="s">
        <v>203</v>
      </c>
      <c r="KSV12" s="314" t="s">
        <v>203</v>
      </c>
      <c r="KSW12" s="314" t="s">
        <v>203</v>
      </c>
      <c r="KSX12" s="314" t="s">
        <v>203</v>
      </c>
      <c r="KSY12" s="314" t="s">
        <v>203</v>
      </c>
      <c r="KSZ12" s="314" t="s">
        <v>203</v>
      </c>
      <c r="KTA12" s="314" t="s">
        <v>203</v>
      </c>
      <c r="KTB12" s="314" t="s">
        <v>203</v>
      </c>
      <c r="KTC12" s="314" t="s">
        <v>203</v>
      </c>
      <c r="KTD12" s="314" t="s">
        <v>203</v>
      </c>
      <c r="KTE12" s="314" t="s">
        <v>203</v>
      </c>
      <c r="KTF12" s="314" t="s">
        <v>203</v>
      </c>
      <c r="KTG12" s="314" t="s">
        <v>203</v>
      </c>
      <c r="KTH12" s="314" t="s">
        <v>203</v>
      </c>
      <c r="KTI12" s="314" t="s">
        <v>203</v>
      </c>
      <c r="KTJ12" s="314" t="s">
        <v>203</v>
      </c>
      <c r="KTK12" s="314" t="s">
        <v>203</v>
      </c>
      <c r="KTL12" s="314" t="s">
        <v>203</v>
      </c>
      <c r="KTM12" s="314" t="s">
        <v>203</v>
      </c>
      <c r="KTN12" s="314" t="s">
        <v>203</v>
      </c>
      <c r="KTO12" s="314" t="s">
        <v>203</v>
      </c>
      <c r="KTP12" s="314" t="s">
        <v>203</v>
      </c>
      <c r="KTQ12" s="314" t="s">
        <v>203</v>
      </c>
      <c r="KTR12" s="314" t="s">
        <v>203</v>
      </c>
      <c r="KTS12" s="314" t="s">
        <v>203</v>
      </c>
      <c r="KTT12" s="314" t="s">
        <v>203</v>
      </c>
      <c r="KTU12" s="314" t="s">
        <v>203</v>
      </c>
      <c r="KTV12" s="314" t="s">
        <v>203</v>
      </c>
      <c r="KTW12" s="314" t="s">
        <v>203</v>
      </c>
      <c r="KTX12" s="314" t="s">
        <v>203</v>
      </c>
      <c r="KTY12" s="314" t="s">
        <v>203</v>
      </c>
      <c r="KTZ12" s="314" t="s">
        <v>203</v>
      </c>
      <c r="KUA12" s="314" t="s">
        <v>203</v>
      </c>
      <c r="KUB12" s="314" t="s">
        <v>203</v>
      </c>
      <c r="KUC12" s="314" t="s">
        <v>203</v>
      </c>
      <c r="KUD12" s="314" t="s">
        <v>203</v>
      </c>
      <c r="KUE12" s="314" t="s">
        <v>203</v>
      </c>
      <c r="KUF12" s="314" t="s">
        <v>203</v>
      </c>
      <c r="KUG12" s="314" t="s">
        <v>203</v>
      </c>
      <c r="KUH12" s="314" t="s">
        <v>203</v>
      </c>
      <c r="KUI12" s="314" t="s">
        <v>203</v>
      </c>
      <c r="KUJ12" s="314" t="s">
        <v>203</v>
      </c>
      <c r="KUK12" s="314" t="s">
        <v>203</v>
      </c>
      <c r="KUL12" s="314" t="s">
        <v>203</v>
      </c>
      <c r="KUM12" s="314" t="s">
        <v>203</v>
      </c>
      <c r="KUN12" s="314" t="s">
        <v>203</v>
      </c>
      <c r="KUO12" s="314" t="s">
        <v>203</v>
      </c>
      <c r="KUP12" s="314" t="s">
        <v>203</v>
      </c>
      <c r="KUQ12" s="314" t="s">
        <v>203</v>
      </c>
      <c r="KUR12" s="314" t="s">
        <v>203</v>
      </c>
      <c r="KUS12" s="314" t="s">
        <v>203</v>
      </c>
      <c r="KUT12" s="314" t="s">
        <v>203</v>
      </c>
      <c r="KUU12" s="314" t="s">
        <v>203</v>
      </c>
      <c r="KUV12" s="314" t="s">
        <v>203</v>
      </c>
      <c r="KUW12" s="314" t="s">
        <v>203</v>
      </c>
      <c r="KUX12" s="314" t="s">
        <v>203</v>
      </c>
      <c r="KUY12" s="314" t="s">
        <v>203</v>
      </c>
      <c r="KUZ12" s="314" t="s">
        <v>203</v>
      </c>
      <c r="KVA12" s="314" t="s">
        <v>203</v>
      </c>
      <c r="KVB12" s="314" t="s">
        <v>203</v>
      </c>
      <c r="KVC12" s="314" t="s">
        <v>203</v>
      </c>
      <c r="KVD12" s="314" t="s">
        <v>203</v>
      </c>
      <c r="KVE12" s="314" t="s">
        <v>203</v>
      </c>
      <c r="KVF12" s="314" t="s">
        <v>203</v>
      </c>
      <c r="KVG12" s="314" t="s">
        <v>203</v>
      </c>
      <c r="KVH12" s="314" t="s">
        <v>203</v>
      </c>
      <c r="KVI12" s="314" t="s">
        <v>203</v>
      </c>
      <c r="KVJ12" s="314" t="s">
        <v>203</v>
      </c>
      <c r="KVK12" s="314" t="s">
        <v>203</v>
      </c>
      <c r="KVL12" s="314" t="s">
        <v>203</v>
      </c>
      <c r="KVM12" s="314" t="s">
        <v>203</v>
      </c>
      <c r="KVN12" s="314" t="s">
        <v>203</v>
      </c>
      <c r="KVO12" s="314" t="s">
        <v>203</v>
      </c>
      <c r="KVP12" s="314" t="s">
        <v>203</v>
      </c>
      <c r="KVQ12" s="314" t="s">
        <v>203</v>
      </c>
      <c r="KVR12" s="314" t="s">
        <v>203</v>
      </c>
      <c r="KVS12" s="314" t="s">
        <v>203</v>
      </c>
      <c r="KVT12" s="314" t="s">
        <v>203</v>
      </c>
      <c r="KVU12" s="314" t="s">
        <v>203</v>
      </c>
      <c r="KVV12" s="314" t="s">
        <v>203</v>
      </c>
      <c r="KVW12" s="314" t="s">
        <v>203</v>
      </c>
      <c r="KVX12" s="314" t="s">
        <v>203</v>
      </c>
      <c r="KVY12" s="314" t="s">
        <v>203</v>
      </c>
      <c r="KVZ12" s="314" t="s">
        <v>203</v>
      </c>
      <c r="KWA12" s="314" t="s">
        <v>203</v>
      </c>
      <c r="KWB12" s="314" t="s">
        <v>203</v>
      </c>
      <c r="KWC12" s="314" t="s">
        <v>203</v>
      </c>
      <c r="KWD12" s="314" t="s">
        <v>203</v>
      </c>
      <c r="KWE12" s="314" t="s">
        <v>203</v>
      </c>
      <c r="KWF12" s="314" t="s">
        <v>203</v>
      </c>
      <c r="KWG12" s="314" t="s">
        <v>203</v>
      </c>
      <c r="KWH12" s="314" t="s">
        <v>203</v>
      </c>
      <c r="KWI12" s="314" t="s">
        <v>203</v>
      </c>
      <c r="KWJ12" s="314" t="s">
        <v>203</v>
      </c>
      <c r="KWK12" s="314" t="s">
        <v>203</v>
      </c>
      <c r="KWL12" s="314" t="s">
        <v>203</v>
      </c>
      <c r="KWM12" s="314" t="s">
        <v>203</v>
      </c>
      <c r="KWN12" s="314" t="s">
        <v>203</v>
      </c>
      <c r="KWO12" s="314" t="s">
        <v>203</v>
      </c>
      <c r="KWP12" s="314" t="s">
        <v>203</v>
      </c>
      <c r="KWQ12" s="314" t="s">
        <v>203</v>
      </c>
      <c r="KWR12" s="314" t="s">
        <v>203</v>
      </c>
      <c r="KWS12" s="314" t="s">
        <v>203</v>
      </c>
      <c r="KWT12" s="314" t="s">
        <v>203</v>
      </c>
      <c r="KWU12" s="314" t="s">
        <v>203</v>
      </c>
      <c r="KWV12" s="314" t="s">
        <v>203</v>
      </c>
      <c r="KWW12" s="314" t="s">
        <v>203</v>
      </c>
      <c r="KWX12" s="314" t="s">
        <v>203</v>
      </c>
      <c r="KWY12" s="314" t="s">
        <v>203</v>
      </c>
      <c r="KWZ12" s="314" t="s">
        <v>203</v>
      </c>
      <c r="KXA12" s="314" t="s">
        <v>203</v>
      </c>
      <c r="KXB12" s="314" t="s">
        <v>203</v>
      </c>
      <c r="KXC12" s="314" t="s">
        <v>203</v>
      </c>
      <c r="KXD12" s="314" t="s">
        <v>203</v>
      </c>
      <c r="KXE12" s="314" t="s">
        <v>203</v>
      </c>
      <c r="KXF12" s="314" t="s">
        <v>203</v>
      </c>
      <c r="KXG12" s="314" t="s">
        <v>203</v>
      </c>
      <c r="KXH12" s="314" t="s">
        <v>203</v>
      </c>
      <c r="KXI12" s="314" t="s">
        <v>203</v>
      </c>
      <c r="KXJ12" s="314" t="s">
        <v>203</v>
      </c>
      <c r="KXK12" s="314" t="s">
        <v>203</v>
      </c>
      <c r="KXL12" s="314" t="s">
        <v>203</v>
      </c>
      <c r="KXM12" s="314" t="s">
        <v>203</v>
      </c>
      <c r="KXN12" s="314" t="s">
        <v>203</v>
      </c>
      <c r="KXO12" s="314" t="s">
        <v>203</v>
      </c>
      <c r="KXP12" s="314" t="s">
        <v>203</v>
      </c>
      <c r="KXQ12" s="314" t="s">
        <v>203</v>
      </c>
      <c r="KXR12" s="314" t="s">
        <v>203</v>
      </c>
      <c r="KXS12" s="314" t="s">
        <v>203</v>
      </c>
      <c r="KXT12" s="314" t="s">
        <v>203</v>
      </c>
      <c r="KXU12" s="314" t="s">
        <v>203</v>
      </c>
      <c r="KXV12" s="314" t="s">
        <v>203</v>
      </c>
      <c r="KXW12" s="314" t="s">
        <v>203</v>
      </c>
      <c r="KXX12" s="314" t="s">
        <v>203</v>
      </c>
      <c r="KXY12" s="314" t="s">
        <v>203</v>
      </c>
      <c r="KXZ12" s="314" t="s">
        <v>203</v>
      </c>
      <c r="KYA12" s="314" t="s">
        <v>203</v>
      </c>
      <c r="KYB12" s="314" t="s">
        <v>203</v>
      </c>
      <c r="KYC12" s="314" t="s">
        <v>203</v>
      </c>
      <c r="KYD12" s="314" t="s">
        <v>203</v>
      </c>
      <c r="KYE12" s="314" t="s">
        <v>203</v>
      </c>
      <c r="KYF12" s="314" t="s">
        <v>203</v>
      </c>
      <c r="KYG12" s="314" t="s">
        <v>203</v>
      </c>
      <c r="KYH12" s="314" t="s">
        <v>203</v>
      </c>
      <c r="KYI12" s="314" t="s">
        <v>203</v>
      </c>
      <c r="KYJ12" s="314" t="s">
        <v>203</v>
      </c>
      <c r="KYK12" s="314" t="s">
        <v>203</v>
      </c>
      <c r="KYL12" s="314" t="s">
        <v>203</v>
      </c>
      <c r="KYM12" s="314" t="s">
        <v>203</v>
      </c>
      <c r="KYN12" s="314" t="s">
        <v>203</v>
      </c>
      <c r="KYO12" s="314" t="s">
        <v>203</v>
      </c>
      <c r="KYP12" s="314" t="s">
        <v>203</v>
      </c>
      <c r="KYQ12" s="314" t="s">
        <v>203</v>
      </c>
      <c r="KYR12" s="314" t="s">
        <v>203</v>
      </c>
      <c r="KYS12" s="314" t="s">
        <v>203</v>
      </c>
      <c r="KYT12" s="314" t="s">
        <v>203</v>
      </c>
      <c r="KYU12" s="314" t="s">
        <v>203</v>
      </c>
      <c r="KYV12" s="314" t="s">
        <v>203</v>
      </c>
      <c r="KYW12" s="314" t="s">
        <v>203</v>
      </c>
      <c r="KYX12" s="314" t="s">
        <v>203</v>
      </c>
      <c r="KYY12" s="314" t="s">
        <v>203</v>
      </c>
      <c r="KYZ12" s="314" t="s">
        <v>203</v>
      </c>
      <c r="KZA12" s="314" t="s">
        <v>203</v>
      </c>
      <c r="KZB12" s="314" t="s">
        <v>203</v>
      </c>
      <c r="KZC12" s="314" t="s">
        <v>203</v>
      </c>
      <c r="KZD12" s="314" t="s">
        <v>203</v>
      </c>
      <c r="KZE12" s="314" t="s">
        <v>203</v>
      </c>
      <c r="KZF12" s="314" t="s">
        <v>203</v>
      </c>
      <c r="KZG12" s="314" t="s">
        <v>203</v>
      </c>
      <c r="KZH12" s="314" t="s">
        <v>203</v>
      </c>
      <c r="KZI12" s="314" t="s">
        <v>203</v>
      </c>
      <c r="KZJ12" s="314" t="s">
        <v>203</v>
      </c>
      <c r="KZK12" s="314" t="s">
        <v>203</v>
      </c>
      <c r="KZL12" s="314" t="s">
        <v>203</v>
      </c>
      <c r="KZM12" s="314" t="s">
        <v>203</v>
      </c>
      <c r="KZN12" s="314" t="s">
        <v>203</v>
      </c>
      <c r="KZO12" s="314" t="s">
        <v>203</v>
      </c>
      <c r="KZP12" s="314" t="s">
        <v>203</v>
      </c>
      <c r="KZQ12" s="314" t="s">
        <v>203</v>
      </c>
      <c r="KZR12" s="314" t="s">
        <v>203</v>
      </c>
      <c r="KZS12" s="314" t="s">
        <v>203</v>
      </c>
      <c r="KZT12" s="314" t="s">
        <v>203</v>
      </c>
      <c r="KZU12" s="314" t="s">
        <v>203</v>
      </c>
      <c r="KZV12" s="314" t="s">
        <v>203</v>
      </c>
      <c r="KZW12" s="314" t="s">
        <v>203</v>
      </c>
      <c r="KZX12" s="314" t="s">
        <v>203</v>
      </c>
      <c r="KZY12" s="314" t="s">
        <v>203</v>
      </c>
      <c r="KZZ12" s="314" t="s">
        <v>203</v>
      </c>
      <c r="LAA12" s="314" t="s">
        <v>203</v>
      </c>
      <c r="LAB12" s="314" t="s">
        <v>203</v>
      </c>
      <c r="LAC12" s="314" t="s">
        <v>203</v>
      </c>
      <c r="LAD12" s="314" t="s">
        <v>203</v>
      </c>
      <c r="LAE12" s="314" t="s">
        <v>203</v>
      </c>
      <c r="LAF12" s="314" t="s">
        <v>203</v>
      </c>
      <c r="LAG12" s="314" t="s">
        <v>203</v>
      </c>
      <c r="LAH12" s="314" t="s">
        <v>203</v>
      </c>
      <c r="LAI12" s="314" t="s">
        <v>203</v>
      </c>
      <c r="LAJ12" s="314" t="s">
        <v>203</v>
      </c>
      <c r="LAK12" s="314" t="s">
        <v>203</v>
      </c>
      <c r="LAL12" s="314" t="s">
        <v>203</v>
      </c>
      <c r="LAM12" s="314" t="s">
        <v>203</v>
      </c>
      <c r="LAN12" s="314" t="s">
        <v>203</v>
      </c>
      <c r="LAO12" s="314" t="s">
        <v>203</v>
      </c>
      <c r="LAP12" s="314" t="s">
        <v>203</v>
      </c>
      <c r="LAQ12" s="314" t="s">
        <v>203</v>
      </c>
      <c r="LAR12" s="314" t="s">
        <v>203</v>
      </c>
      <c r="LAS12" s="314" t="s">
        <v>203</v>
      </c>
      <c r="LAT12" s="314" t="s">
        <v>203</v>
      </c>
      <c r="LAU12" s="314" t="s">
        <v>203</v>
      </c>
      <c r="LAV12" s="314" t="s">
        <v>203</v>
      </c>
      <c r="LAW12" s="314" t="s">
        <v>203</v>
      </c>
      <c r="LAX12" s="314" t="s">
        <v>203</v>
      </c>
      <c r="LAY12" s="314" t="s">
        <v>203</v>
      </c>
      <c r="LAZ12" s="314" t="s">
        <v>203</v>
      </c>
      <c r="LBA12" s="314" t="s">
        <v>203</v>
      </c>
      <c r="LBB12" s="314" t="s">
        <v>203</v>
      </c>
      <c r="LBC12" s="314" t="s">
        <v>203</v>
      </c>
      <c r="LBD12" s="314" t="s">
        <v>203</v>
      </c>
      <c r="LBE12" s="314" t="s">
        <v>203</v>
      </c>
      <c r="LBF12" s="314" t="s">
        <v>203</v>
      </c>
      <c r="LBG12" s="314" t="s">
        <v>203</v>
      </c>
      <c r="LBH12" s="314" t="s">
        <v>203</v>
      </c>
      <c r="LBI12" s="314" t="s">
        <v>203</v>
      </c>
      <c r="LBJ12" s="314" t="s">
        <v>203</v>
      </c>
      <c r="LBK12" s="314" t="s">
        <v>203</v>
      </c>
      <c r="LBL12" s="314" t="s">
        <v>203</v>
      </c>
      <c r="LBM12" s="314" t="s">
        <v>203</v>
      </c>
      <c r="LBN12" s="314" t="s">
        <v>203</v>
      </c>
      <c r="LBO12" s="314" t="s">
        <v>203</v>
      </c>
      <c r="LBP12" s="314" t="s">
        <v>203</v>
      </c>
      <c r="LBQ12" s="314" t="s">
        <v>203</v>
      </c>
      <c r="LBR12" s="314" t="s">
        <v>203</v>
      </c>
      <c r="LBS12" s="314" t="s">
        <v>203</v>
      </c>
      <c r="LBT12" s="314" t="s">
        <v>203</v>
      </c>
      <c r="LBU12" s="314" t="s">
        <v>203</v>
      </c>
      <c r="LBV12" s="314" t="s">
        <v>203</v>
      </c>
      <c r="LBW12" s="314" t="s">
        <v>203</v>
      </c>
      <c r="LBX12" s="314" t="s">
        <v>203</v>
      </c>
      <c r="LBY12" s="314" t="s">
        <v>203</v>
      </c>
      <c r="LBZ12" s="314" t="s">
        <v>203</v>
      </c>
      <c r="LCA12" s="314" t="s">
        <v>203</v>
      </c>
      <c r="LCB12" s="314" t="s">
        <v>203</v>
      </c>
      <c r="LCC12" s="314" t="s">
        <v>203</v>
      </c>
      <c r="LCD12" s="314" t="s">
        <v>203</v>
      </c>
      <c r="LCE12" s="314" t="s">
        <v>203</v>
      </c>
      <c r="LCF12" s="314" t="s">
        <v>203</v>
      </c>
      <c r="LCG12" s="314" t="s">
        <v>203</v>
      </c>
      <c r="LCH12" s="314" t="s">
        <v>203</v>
      </c>
      <c r="LCI12" s="314" t="s">
        <v>203</v>
      </c>
      <c r="LCJ12" s="314" t="s">
        <v>203</v>
      </c>
      <c r="LCK12" s="314" t="s">
        <v>203</v>
      </c>
      <c r="LCL12" s="314" t="s">
        <v>203</v>
      </c>
      <c r="LCM12" s="314" t="s">
        <v>203</v>
      </c>
      <c r="LCN12" s="314" t="s">
        <v>203</v>
      </c>
      <c r="LCO12" s="314" t="s">
        <v>203</v>
      </c>
      <c r="LCP12" s="314" t="s">
        <v>203</v>
      </c>
      <c r="LCQ12" s="314" t="s">
        <v>203</v>
      </c>
      <c r="LCR12" s="314" t="s">
        <v>203</v>
      </c>
      <c r="LCS12" s="314" t="s">
        <v>203</v>
      </c>
      <c r="LCT12" s="314" t="s">
        <v>203</v>
      </c>
      <c r="LCU12" s="314" t="s">
        <v>203</v>
      </c>
      <c r="LCV12" s="314" t="s">
        <v>203</v>
      </c>
      <c r="LCW12" s="314" t="s">
        <v>203</v>
      </c>
      <c r="LCX12" s="314" t="s">
        <v>203</v>
      </c>
      <c r="LCY12" s="314" t="s">
        <v>203</v>
      </c>
      <c r="LCZ12" s="314" t="s">
        <v>203</v>
      </c>
      <c r="LDA12" s="314" t="s">
        <v>203</v>
      </c>
      <c r="LDB12" s="314" t="s">
        <v>203</v>
      </c>
      <c r="LDC12" s="314" t="s">
        <v>203</v>
      </c>
      <c r="LDD12" s="314" t="s">
        <v>203</v>
      </c>
      <c r="LDE12" s="314" t="s">
        <v>203</v>
      </c>
      <c r="LDF12" s="314" t="s">
        <v>203</v>
      </c>
      <c r="LDG12" s="314" t="s">
        <v>203</v>
      </c>
      <c r="LDH12" s="314" t="s">
        <v>203</v>
      </c>
      <c r="LDI12" s="314" t="s">
        <v>203</v>
      </c>
      <c r="LDJ12" s="314" t="s">
        <v>203</v>
      </c>
      <c r="LDK12" s="314" t="s">
        <v>203</v>
      </c>
      <c r="LDL12" s="314" t="s">
        <v>203</v>
      </c>
      <c r="LDM12" s="314" t="s">
        <v>203</v>
      </c>
      <c r="LDN12" s="314" t="s">
        <v>203</v>
      </c>
      <c r="LDO12" s="314" t="s">
        <v>203</v>
      </c>
      <c r="LDP12" s="314" t="s">
        <v>203</v>
      </c>
      <c r="LDQ12" s="314" t="s">
        <v>203</v>
      </c>
      <c r="LDR12" s="314" t="s">
        <v>203</v>
      </c>
      <c r="LDS12" s="314" t="s">
        <v>203</v>
      </c>
      <c r="LDT12" s="314" t="s">
        <v>203</v>
      </c>
      <c r="LDU12" s="314" t="s">
        <v>203</v>
      </c>
      <c r="LDV12" s="314" t="s">
        <v>203</v>
      </c>
      <c r="LDW12" s="314" t="s">
        <v>203</v>
      </c>
      <c r="LDX12" s="314" t="s">
        <v>203</v>
      </c>
      <c r="LDY12" s="314" t="s">
        <v>203</v>
      </c>
      <c r="LDZ12" s="314" t="s">
        <v>203</v>
      </c>
      <c r="LEA12" s="314" t="s">
        <v>203</v>
      </c>
      <c r="LEB12" s="314" t="s">
        <v>203</v>
      </c>
      <c r="LEC12" s="314" t="s">
        <v>203</v>
      </c>
      <c r="LED12" s="314" t="s">
        <v>203</v>
      </c>
      <c r="LEE12" s="314" t="s">
        <v>203</v>
      </c>
      <c r="LEF12" s="314" t="s">
        <v>203</v>
      </c>
      <c r="LEG12" s="314" t="s">
        <v>203</v>
      </c>
      <c r="LEH12" s="314" t="s">
        <v>203</v>
      </c>
      <c r="LEI12" s="314" t="s">
        <v>203</v>
      </c>
      <c r="LEJ12" s="314" t="s">
        <v>203</v>
      </c>
      <c r="LEK12" s="314" t="s">
        <v>203</v>
      </c>
      <c r="LEL12" s="314" t="s">
        <v>203</v>
      </c>
      <c r="LEM12" s="314" t="s">
        <v>203</v>
      </c>
      <c r="LEN12" s="314" t="s">
        <v>203</v>
      </c>
      <c r="LEO12" s="314" t="s">
        <v>203</v>
      </c>
      <c r="LEP12" s="314" t="s">
        <v>203</v>
      </c>
      <c r="LEQ12" s="314" t="s">
        <v>203</v>
      </c>
      <c r="LER12" s="314" t="s">
        <v>203</v>
      </c>
      <c r="LES12" s="314" t="s">
        <v>203</v>
      </c>
      <c r="LET12" s="314" t="s">
        <v>203</v>
      </c>
      <c r="LEU12" s="314" t="s">
        <v>203</v>
      </c>
      <c r="LEV12" s="314" t="s">
        <v>203</v>
      </c>
      <c r="LEW12" s="314" t="s">
        <v>203</v>
      </c>
      <c r="LEX12" s="314" t="s">
        <v>203</v>
      </c>
      <c r="LEY12" s="314" t="s">
        <v>203</v>
      </c>
      <c r="LEZ12" s="314" t="s">
        <v>203</v>
      </c>
      <c r="LFA12" s="314" t="s">
        <v>203</v>
      </c>
      <c r="LFB12" s="314" t="s">
        <v>203</v>
      </c>
      <c r="LFC12" s="314" t="s">
        <v>203</v>
      </c>
      <c r="LFD12" s="314" t="s">
        <v>203</v>
      </c>
      <c r="LFE12" s="314" t="s">
        <v>203</v>
      </c>
      <c r="LFF12" s="314" t="s">
        <v>203</v>
      </c>
      <c r="LFG12" s="314" t="s">
        <v>203</v>
      </c>
      <c r="LFH12" s="314" t="s">
        <v>203</v>
      </c>
      <c r="LFI12" s="314" t="s">
        <v>203</v>
      </c>
      <c r="LFJ12" s="314" t="s">
        <v>203</v>
      </c>
      <c r="LFK12" s="314" t="s">
        <v>203</v>
      </c>
      <c r="LFL12" s="314" t="s">
        <v>203</v>
      </c>
      <c r="LFM12" s="314" t="s">
        <v>203</v>
      </c>
      <c r="LFN12" s="314" t="s">
        <v>203</v>
      </c>
      <c r="LFO12" s="314" t="s">
        <v>203</v>
      </c>
      <c r="LFP12" s="314" t="s">
        <v>203</v>
      </c>
      <c r="LFQ12" s="314" t="s">
        <v>203</v>
      </c>
      <c r="LFR12" s="314" t="s">
        <v>203</v>
      </c>
      <c r="LFS12" s="314" t="s">
        <v>203</v>
      </c>
      <c r="LFT12" s="314" t="s">
        <v>203</v>
      </c>
      <c r="LFU12" s="314" t="s">
        <v>203</v>
      </c>
      <c r="LFV12" s="314" t="s">
        <v>203</v>
      </c>
      <c r="LFW12" s="314" t="s">
        <v>203</v>
      </c>
      <c r="LFX12" s="314" t="s">
        <v>203</v>
      </c>
      <c r="LFY12" s="314" t="s">
        <v>203</v>
      </c>
      <c r="LFZ12" s="314" t="s">
        <v>203</v>
      </c>
      <c r="LGA12" s="314" t="s">
        <v>203</v>
      </c>
      <c r="LGB12" s="314" t="s">
        <v>203</v>
      </c>
      <c r="LGC12" s="314" t="s">
        <v>203</v>
      </c>
      <c r="LGD12" s="314" t="s">
        <v>203</v>
      </c>
      <c r="LGE12" s="314" t="s">
        <v>203</v>
      </c>
      <c r="LGF12" s="314" t="s">
        <v>203</v>
      </c>
      <c r="LGG12" s="314" t="s">
        <v>203</v>
      </c>
      <c r="LGH12" s="314" t="s">
        <v>203</v>
      </c>
      <c r="LGI12" s="314" t="s">
        <v>203</v>
      </c>
      <c r="LGJ12" s="314" t="s">
        <v>203</v>
      </c>
      <c r="LGK12" s="314" t="s">
        <v>203</v>
      </c>
      <c r="LGL12" s="314" t="s">
        <v>203</v>
      </c>
      <c r="LGM12" s="314" t="s">
        <v>203</v>
      </c>
      <c r="LGN12" s="314" t="s">
        <v>203</v>
      </c>
      <c r="LGO12" s="314" t="s">
        <v>203</v>
      </c>
      <c r="LGP12" s="314" t="s">
        <v>203</v>
      </c>
      <c r="LGQ12" s="314" t="s">
        <v>203</v>
      </c>
      <c r="LGR12" s="314" t="s">
        <v>203</v>
      </c>
      <c r="LGS12" s="314" t="s">
        <v>203</v>
      </c>
      <c r="LGT12" s="314" t="s">
        <v>203</v>
      </c>
      <c r="LGU12" s="314" t="s">
        <v>203</v>
      </c>
      <c r="LGV12" s="314" t="s">
        <v>203</v>
      </c>
      <c r="LGW12" s="314" t="s">
        <v>203</v>
      </c>
      <c r="LGX12" s="314" t="s">
        <v>203</v>
      </c>
      <c r="LGY12" s="314" t="s">
        <v>203</v>
      </c>
      <c r="LGZ12" s="314" t="s">
        <v>203</v>
      </c>
      <c r="LHA12" s="314" t="s">
        <v>203</v>
      </c>
      <c r="LHB12" s="314" t="s">
        <v>203</v>
      </c>
      <c r="LHC12" s="314" t="s">
        <v>203</v>
      </c>
      <c r="LHD12" s="314" t="s">
        <v>203</v>
      </c>
      <c r="LHE12" s="314" t="s">
        <v>203</v>
      </c>
      <c r="LHF12" s="314" t="s">
        <v>203</v>
      </c>
      <c r="LHG12" s="314" t="s">
        <v>203</v>
      </c>
      <c r="LHH12" s="314" t="s">
        <v>203</v>
      </c>
      <c r="LHI12" s="314" t="s">
        <v>203</v>
      </c>
      <c r="LHJ12" s="314" t="s">
        <v>203</v>
      </c>
      <c r="LHK12" s="314" t="s">
        <v>203</v>
      </c>
      <c r="LHL12" s="314" t="s">
        <v>203</v>
      </c>
      <c r="LHM12" s="314" t="s">
        <v>203</v>
      </c>
      <c r="LHN12" s="314" t="s">
        <v>203</v>
      </c>
      <c r="LHO12" s="314" t="s">
        <v>203</v>
      </c>
      <c r="LHP12" s="314" t="s">
        <v>203</v>
      </c>
      <c r="LHQ12" s="314" t="s">
        <v>203</v>
      </c>
      <c r="LHR12" s="314" t="s">
        <v>203</v>
      </c>
      <c r="LHS12" s="314" t="s">
        <v>203</v>
      </c>
      <c r="LHT12" s="314" t="s">
        <v>203</v>
      </c>
      <c r="LHU12" s="314" t="s">
        <v>203</v>
      </c>
      <c r="LHV12" s="314" t="s">
        <v>203</v>
      </c>
      <c r="LHW12" s="314" t="s">
        <v>203</v>
      </c>
      <c r="LHX12" s="314" t="s">
        <v>203</v>
      </c>
      <c r="LHY12" s="314" t="s">
        <v>203</v>
      </c>
      <c r="LHZ12" s="314" t="s">
        <v>203</v>
      </c>
      <c r="LIA12" s="314" t="s">
        <v>203</v>
      </c>
      <c r="LIB12" s="314" t="s">
        <v>203</v>
      </c>
      <c r="LIC12" s="314" t="s">
        <v>203</v>
      </c>
      <c r="LID12" s="314" t="s">
        <v>203</v>
      </c>
      <c r="LIE12" s="314" t="s">
        <v>203</v>
      </c>
      <c r="LIF12" s="314" t="s">
        <v>203</v>
      </c>
      <c r="LIG12" s="314" t="s">
        <v>203</v>
      </c>
      <c r="LIH12" s="314" t="s">
        <v>203</v>
      </c>
      <c r="LII12" s="314" t="s">
        <v>203</v>
      </c>
      <c r="LIJ12" s="314" t="s">
        <v>203</v>
      </c>
      <c r="LIK12" s="314" t="s">
        <v>203</v>
      </c>
      <c r="LIL12" s="314" t="s">
        <v>203</v>
      </c>
      <c r="LIM12" s="314" t="s">
        <v>203</v>
      </c>
      <c r="LIN12" s="314" t="s">
        <v>203</v>
      </c>
      <c r="LIO12" s="314" t="s">
        <v>203</v>
      </c>
      <c r="LIP12" s="314" t="s">
        <v>203</v>
      </c>
      <c r="LIQ12" s="314" t="s">
        <v>203</v>
      </c>
      <c r="LIR12" s="314" t="s">
        <v>203</v>
      </c>
      <c r="LIS12" s="314" t="s">
        <v>203</v>
      </c>
      <c r="LIT12" s="314" t="s">
        <v>203</v>
      </c>
      <c r="LIU12" s="314" t="s">
        <v>203</v>
      </c>
      <c r="LIV12" s="314" t="s">
        <v>203</v>
      </c>
      <c r="LIW12" s="314" t="s">
        <v>203</v>
      </c>
      <c r="LIX12" s="314" t="s">
        <v>203</v>
      </c>
      <c r="LIY12" s="314" t="s">
        <v>203</v>
      </c>
      <c r="LIZ12" s="314" t="s">
        <v>203</v>
      </c>
      <c r="LJA12" s="314" t="s">
        <v>203</v>
      </c>
      <c r="LJB12" s="314" t="s">
        <v>203</v>
      </c>
      <c r="LJC12" s="314" t="s">
        <v>203</v>
      </c>
      <c r="LJD12" s="314" t="s">
        <v>203</v>
      </c>
      <c r="LJE12" s="314" t="s">
        <v>203</v>
      </c>
      <c r="LJF12" s="314" t="s">
        <v>203</v>
      </c>
      <c r="LJG12" s="314" t="s">
        <v>203</v>
      </c>
      <c r="LJH12" s="314" t="s">
        <v>203</v>
      </c>
      <c r="LJI12" s="314" t="s">
        <v>203</v>
      </c>
      <c r="LJJ12" s="314" t="s">
        <v>203</v>
      </c>
      <c r="LJK12" s="314" t="s">
        <v>203</v>
      </c>
      <c r="LJL12" s="314" t="s">
        <v>203</v>
      </c>
      <c r="LJM12" s="314" t="s">
        <v>203</v>
      </c>
      <c r="LJN12" s="314" t="s">
        <v>203</v>
      </c>
      <c r="LJO12" s="314" t="s">
        <v>203</v>
      </c>
      <c r="LJP12" s="314" t="s">
        <v>203</v>
      </c>
      <c r="LJQ12" s="314" t="s">
        <v>203</v>
      </c>
      <c r="LJR12" s="314" t="s">
        <v>203</v>
      </c>
      <c r="LJS12" s="314" t="s">
        <v>203</v>
      </c>
      <c r="LJT12" s="314" t="s">
        <v>203</v>
      </c>
      <c r="LJU12" s="314" t="s">
        <v>203</v>
      </c>
      <c r="LJV12" s="314" t="s">
        <v>203</v>
      </c>
      <c r="LJW12" s="314" t="s">
        <v>203</v>
      </c>
      <c r="LJX12" s="314" t="s">
        <v>203</v>
      </c>
      <c r="LJY12" s="314" t="s">
        <v>203</v>
      </c>
      <c r="LJZ12" s="314" t="s">
        <v>203</v>
      </c>
      <c r="LKA12" s="314" t="s">
        <v>203</v>
      </c>
      <c r="LKB12" s="314" t="s">
        <v>203</v>
      </c>
      <c r="LKC12" s="314" t="s">
        <v>203</v>
      </c>
      <c r="LKD12" s="314" t="s">
        <v>203</v>
      </c>
      <c r="LKE12" s="314" t="s">
        <v>203</v>
      </c>
      <c r="LKF12" s="314" t="s">
        <v>203</v>
      </c>
      <c r="LKG12" s="314" t="s">
        <v>203</v>
      </c>
      <c r="LKH12" s="314" t="s">
        <v>203</v>
      </c>
      <c r="LKI12" s="314" t="s">
        <v>203</v>
      </c>
      <c r="LKJ12" s="314" t="s">
        <v>203</v>
      </c>
      <c r="LKK12" s="314" t="s">
        <v>203</v>
      </c>
      <c r="LKL12" s="314" t="s">
        <v>203</v>
      </c>
      <c r="LKM12" s="314" t="s">
        <v>203</v>
      </c>
      <c r="LKN12" s="314" t="s">
        <v>203</v>
      </c>
      <c r="LKO12" s="314" t="s">
        <v>203</v>
      </c>
      <c r="LKP12" s="314" t="s">
        <v>203</v>
      </c>
      <c r="LKQ12" s="314" t="s">
        <v>203</v>
      </c>
      <c r="LKR12" s="314" t="s">
        <v>203</v>
      </c>
      <c r="LKS12" s="314" t="s">
        <v>203</v>
      </c>
      <c r="LKT12" s="314" t="s">
        <v>203</v>
      </c>
      <c r="LKU12" s="314" t="s">
        <v>203</v>
      </c>
      <c r="LKV12" s="314" t="s">
        <v>203</v>
      </c>
      <c r="LKW12" s="314" t="s">
        <v>203</v>
      </c>
      <c r="LKX12" s="314" t="s">
        <v>203</v>
      </c>
      <c r="LKY12" s="314" t="s">
        <v>203</v>
      </c>
      <c r="LKZ12" s="314" t="s">
        <v>203</v>
      </c>
      <c r="LLA12" s="314" t="s">
        <v>203</v>
      </c>
      <c r="LLB12" s="314" t="s">
        <v>203</v>
      </c>
      <c r="LLC12" s="314" t="s">
        <v>203</v>
      </c>
      <c r="LLD12" s="314" t="s">
        <v>203</v>
      </c>
      <c r="LLE12" s="314" t="s">
        <v>203</v>
      </c>
      <c r="LLF12" s="314" t="s">
        <v>203</v>
      </c>
      <c r="LLG12" s="314" t="s">
        <v>203</v>
      </c>
      <c r="LLH12" s="314" t="s">
        <v>203</v>
      </c>
      <c r="LLI12" s="314" t="s">
        <v>203</v>
      </c>
      <c r="LLJ12" s="314" t="s">
        <v>203</v>
      </c>
      <c r="LLK12" s="314" t="s">
        <v>203</v>
      </c>
      <c r="LLL12" s="314" t="s">
        <v>203</v>
      </c>
      <c r="LLM12" s="314" t="s">
        <v>203</v>
      </c>
      <c r="LLN12" s="314" t="s">
        <v>203</v>
      </c>
      <c r="LLO12" s="314" t="s">
        <v>203</v>
      </c>
      <c r="LLP12" s="314" t="s">
        <v>203</v>
      </c>
      <c r="LLQ12" s="314" t="s">
        <v>203</v>
      </c>
      <c r="LLR12" s="314" t="s">
        <v>203</v>
      </c>
      <c r="LLS12" s="314" t="s">
        <v>203</v>
      </c>
      <c r="LLT12" s="314" t="s">
        <v>203</v>
      </c>
      <c r="LLU12" s="314" t="s">
        <v>203</v>
      </c>
      <c r="LLV12" s="314" t="s">
        <v>203</v>
      </c>
      <c r="LLW12" s="314" t="s">
        <v>203</v>
      </c>
      <c r="LLX12" s="314" t="s">
        <v>203</v>
      </c>
      <c r="LLY12" s="314" t="s">
        <v>203</v>
      </c>
      <c r="LLZ12" s="314" t="s">
        <v>203</v>
      </c>
      <c r="LMA12" s="314" t="s">
        <v>203</v>
      </c>
      <c r="LMB12" s="314" t="s">
        <v>203</v>
      </c>
      <c r="LMC12" s="314" t="s">
        <v>203</v>
      </c>
      <c r="LMD12" s="314" t="s">
        <v>203</v>
      </c>
      <c r="LME12" s="314" t="s">
        <v>203</v>
      </c>
      <c r="LMF12" s="314" t="s">
        <v>203</v>
      </c>
      <c r="LMG12" s="314" t="s">
        <v>203</v>
      </c>
      <c r="LMH12" s="314" t="s">
        <v>203</v>
      </c>
      <c r="LMI12" s="314" t="s">
        <v>203</v>
      </c>
      <c r="LMJ12" s="314" t="s">
        <v>203</v>
      </c>
      <c r="LMK12" s="314" t="s">
        <v>203</v>
      </c>
      <c r="LML12" s="314" t="s">
        <v>203</v>
      </c>
      <c r="LMM12" s="314" t="s">
        <v>203</v>
      </c>
      <c r="LMN12" s="314" t="s">
        <v>203</v>
      </c>
      <c r="LMO12" s="314" t="s">
        <v>203</v>
      </c>
      <c r="LMP12" s="314" t="s">
        <v>203</v>
      </c>
      <c r="LMQ12" s="314" t="s">
        <v>203</v>
      </c>
      <c r="LMR12" s="314" t="s">
        <v>203</v>
      </c>
      <c r="LMS12" s="314" t="s">
        <v>203</v>
      </c>
      <c r="LMT12" s="314" t="s">
        <v>203</v>
      </c>
      <c r="LMU12" s="314" t="s">
        <v>203</v>
      </c>
      <c r="LMV12" s="314" t="s">
        <v>203</v>
      </c>
      <c r="LMW12" s="314" t="s">
        <v>203</v>
      </c>
      <c r="LMX12" s="314" t="s">
        <v>203</v>
      </c>
      <c r="LMY12" s="314" t="s">
        <v>203</v>
      </c>
      <c r="LMZ12" s="314" t="s">
        <v>203</v>
      </c>
      <c r="LNA12" s="314" t="s">
        <v>203</v>
      </c>
      <c r="LNB12" s="314" t="s">
        <v>203</v>
      </c>
      <c r="LNC12" s="314" t="s">
        <v>203</v>
      </c>
      <c r="LND12" s="314" t="s">
        <v>203</v>
      </c>
      <c r="LNE12" s="314" t="s">
        <v>203</v>
      </c>
      <c r="LNF12" s="314" t="s">
        <v>203</v>
      </c>
      <c r="LNG12" s="314" t="s">
        <v>203</v>
      </c>
      <c r="LNH12" s="314" t="s">
        <v>203</v>
      </c>
      <c r="LNI12" s="314" t="s">
        <v>203</v>
      </c>
      <c r="LNJ12" s="314" t="s">
        <v>203</v>
      </c>
      <c r="LNK12" s="314" t="s">
        <v>203</v>
      </c>
      <c r="LNL12" s="314" t="s">
        <v>203</v>
      </c>
      <c r="LNM12" s="314" t="s">
        <v>203</v>
      </c>
      <c r="LNN12" s="314" t="s">
        <v>203</v>
      </c>
      <c r="LNO12" s="314" t="s">
        <v>203</v>
      </c>
      <c r="LNP12" s="314" t="s">
        <v>203</v>
      </c>
      <c r="LNQ12" s="314" t="s">
        <v>203</v>
      </c>
      <c r="LNR12" s="314" t="s">
        <v>203</v>
      </c>
      <c r="LNS12" s="314" t="s">
        <v>203</v>
      </c>
      <c r="LNT12" s="314" t="s">
        <v>203</v>
      </c>
      <c r="LNU12" s="314" t="s">
        <v>203</v>
      </c>
      <c r="LNV12" s="314" t="s">
        <v>203</v>
      </c>
      <c r="LNW12" s="314" t="s">
        <v>203</v>
      </c>
      <c r="LNX12" s="314" t="s">
        <v>203</v>
      </c>
      <c r="LNY12" s="314" t="s">
        <v>203</v>
      </c>
      <c r="LNZ12" s="314" t="s">
        <v>203</v>
      </c>
      <c r="LOA12" s="314" t="s">
        <v>203</v>
      </c>
      <c r="LOB12" s="314" t="s">
        <v>203</v>
      </c>
      <c r="LOC12" s="314" t="s">
        <v>203</v>
      </c>
      <c r="LOD12" s="314" t="s">
        <v>203</v>
      </c>
      <c r="LOE12" s="314" t="s">
        <v>203</v>
      </c>
      <c r="LOF12" s="314" t="s">
        <v>203</v>
      </c>
      <c r="LOG12" s="314" t="s">
        <v>203</v>
      </c>
      <c r="LOH12" s="314" t="s">
        <v>203</v>
      </c>
      <c r="LOI12" s="314" t="s">
        <v>203</v>
      </c>
      <c r="LOJ12" s="314" t="s">
        <v>203</v>
      </c>
      <c r="LOK12" s="314" t="s">
        <v>203</v>
      </c>
      <c r="LOL12" s="314" t="s">
        <v>203</v>
      </c>
      <c r="LOM12" s="314" t="s">
        <v>203</v>
      </c>
      <c r="LON12" s="314" t="s">
        <v>203</v>
      </c>
      <c r="LOO12" s="314" t="s">
        <v>203</v>
      </c>
      <c r="LOP12" s="314" t="s">
        <v>203</v>
      </c>
      <c r="LOQ12" s="314" t="s">
        <v>203</v>
      </c>
      <c r="LOR12" s="314" t="s">
        <v>203</v>
      </c>
      <c r="LOS12" s="314" t="s">
        <v>203</v>
      </c>
      <c r="LOT12" s="314" t="s">
        <v>203</v>
      </c>
      <c r="LOU12" s="314" t="s">
        <v>203</v>
      </c>
      <c r="LOV12" s="314" t="s">
        <v>203</v>
      </c>
      <c r="LOW12" s="314" t="s">
        <v>203</v>
      </c>
      <c r="LOX12" s="314" t="s">
        <v>203</v>
      </c>
      <c r="LOY12" s="314" t="s">
        <v>203</v>
      </c>
      <c r="LOZ12" s="314" t="s">
        <v>203</v>
      </c>
      <c r="LPA12" s="314" t="s">
        <v>203</v>
      </c>
      <c r="LPB12" s="314" t="s">
        <v>203</v>
      </c>
      <c r="LPC12" s="314" t="s">
        <v>203</v>
      </c>
      <c r="LPD12" s="314" t="s">
        <v>203</v>
      </c>
      <c r="LPE12" s="314" t="s">
        <v>203</v>
      </c>
      <c r="LPF12" s="314" t="s">
        <v>203</v>
      </c>
      <c r="LPG12" s="314" t="s">
        <v>203</v>
      </c>
      <c r="LPH12" s="314" t="s">
        <v>203</v>
      </c>
      <c r="LPI12" s="314" t="s">
        <v>203</v>
      </c>
      <c r="LPJ12" s="314" t="s">
        <v>203</v>
      </c>
      <c r="LPK12" s="314" t="s">
        <v>203</v>
      </c>
      <c r="LPL12" s="314" t="s">
        <v>203</v>
      </c>
      <c r="LPM12" s="314" t="s">
        <v>203</v>
      </c>
      <c r="LPN12" s="314" t="s">
        <v>203</v>
      </c>
      <c r="LPO12" s="314" t="s">
        <v>203</v>
      </c>
      <c r="LPP12" s="314" t="s">
        <v>203</v>
      </c>
      <c r="LPQ12" s="314" t="s">
        <v>203</v>
      </c>
      <c r="LPR12" s="314" t="s">
        <v>203</v>
      </c>
      <c r="LPS12" s="314" t="s">
        <v>203</v>
      </c>
      <c r="LPT12" s="314" t="s">
        <v>203</v>
      </c>
      <c r="LPU12" s="314" t="s">
        <v>203</v>
      </c>
      <c r="LPV12" s="314" t="s">
        <v>203</v>
      </c>
      <c r="LPW12" s="314" t="s">
        <v>203</v>
      </c>
      <c r="LPX12" s="314" t="s">
        <v>203</v>
      </c>
      <c r="LPY12" s="314" t="s">
        <v>203</v>
      </c>
      <c r="LPZ12" s="314" t="s">
        <v>203</v>
      </c>
      <c r="LQA12" s="314" t="s">
        <v>203</v>
      </c>
      <c r="LQB12" s="314" t="s">
        <v>203</v>
      </c>
      <c r="LQC12" s="314" t="s">
        <v>203</v>
      </c>
      <c r="LQD12" s="314" t="s">
        <v>203</v>
      </c>
      <c r="LQE12" s="314" t="s">
        <v>203</v>
      </c>
      <c r="LQF12" s="314" t="s">
        <v>203</v>
      </c>
      <c r="LQG12" s="314" t="s">
        <v>203</v>
      </c>
      <c r="LQH12" s="314" t="s">
        <v>203</v>
      </c>
      <c r="LQI12" s="314" t="s">
        <v>203</v>
      </c>
      <c r="LQJ12" s="314" t="s">
        <v>203</v>
      </c>
      <c r="LQK12" s="314" t="s">
        <v>203</v>
      </c>
      <c r="LQL12" s="314" t="s">
        <v>203</v>
      </c>
      <c r="LQM12" s="314" t="s">
        <v>203</v>
      </c>
      <c r="LQN12" s="314" t="s">
        <v>203</v>
      </c>
      <c r="LQO12" s="314" t="s">
        <v>203</v>
      </c>
      <c r="LQP12" s="314" t="s">
        <v>203</v>
      </c>
      <c r="LQQ12" s="314" t="s">
        <v>203</v>
      </c>
      <c r="LQR12" s="314" t="s">
        <v>203</v>
      </c>
      <c r="LQS12" s="314" t="s">
        <v>203</v>
      </c>
      <c r="LQT12" s="314" t="s">
        <v>203</v>
      </c>
      <c r="LQU12" s="314" t="s">
        <v>203</v>
      </c>
      <c r="LQV12" s="314" t="s">
        <v>203</v>
      </c>
      <c r="LQW12" s="314" t="s">
        <v>203</v>
      </c>
      <c r="LQX12" s="314" t="s">
        <v>203</v>
      </c>
      <c r="LQY12" s="314" t="s">
        <v>203</v>
      </c>
      <c r="LQZ12" s="314" t="s">
        <v>203</v>
      </c>
      <c r="LRA12" s="314" t="s">
        <v>203</v>
      </c>
      <c r="LRB12" s="314" t="s">
        <v>203</v>
      </c>
      <c r="LRC12" s="314" t="s">
        <v>203</v>
      </c>
      <c r="LRD12" s="314" t="s">
        <v>203</v>
      </c>
      <c r="LRE12" s="314" t="s">
        <v>203</v>
      </c>
      <c r="LRF12" s="314" t="s">
        <v>203</v>
      </c>
      <c r="LRG12" s="314" t="s">
        <v>203</v>
      </c>
      <c r="LRH12" s="314" t="s">
        <v>203</v>
      </c>
      <c r="LRI12" s="314" t="s">
        <v>203</v>
      </c>
      <c r="LRJ12" s="314" t="s">
        <v>203</v>
      </c>
      <c r="LRK12" s="314" t="s">
        <v>203</v>
      </c>
      <c r="LRL12" s="314" t="s">
        <v>203</v>
      </c>
      <c r="LRM12" s="314" t="s">
        <v>203</v>
      </c>
      <c r="LRN12" s="314" t="s">
        <v>203</v>
      </c>
      <c r="LRO12" s="314" t="s">
        <v>203</v>
      </c>
      <c r="LRP12" s="314" t="s">
        <v>203</v>
      </c>
      <c r="LRQ12" s="314" t="s">
        <v>203</v>
      </c>
      <c r="LRR12" s="314" t="s">
        <v>203</v>
      </c>
      <c r="LRS12" s="314" t="s">
        <v>203</v>
      </c>
      <c r="LRT12" s="314" t="s">
        <v>203</v>
      </c>
      <c r="LRU12" s="314" t="s">
        <v>203</v>
      </c>
      <c r="LRV12" s="314" t="s">
        <v>203</v>
      </c>
      <c r="LRW12" s="314" t="s">
        <v>203</v>
      </c>
      <c r="LRX12" s="314" t="s">
        <v>203</v>
      </c>
      <c r="LRY12" s="314" t="s">
        <v>203</v>
      </c>
      <c r="LRZ12" s="314" t="s">
        <v>203</v>
      </c>
      <c r="LSA12" s="314" t="s">
        <v>203</v>
      </c>
      <c r="LSB12" s="314" t="s">
        <v>203</v>
      </c>
      <c r="LSC12" s="314" t="s">
        <v>203</v>
      </c>
      <c r="LSD12" s="314" t="s">
        <v>203</v>
      </c>
      <c r="LSE12" s="314" t="s">
        <v>203</v>
      </c>
      <c r="LSF12" s="314" t="s">
        <v>203</v>
      </c>
      <c r="LSG12" s="314" t="s">
        <v>203</v>
      </c>
      <c r="LSH12" s="314" t="s">
        <v>203</v>
      </c>
      <c r="LSI12" s="314" t="s">
        <v>203</v>
      </c>
      <c r="LSJ12" s="314" t="s">
        <v>203</v>
      </c>
      <c r="LSK12" s="314" t="s">
        <v>203</v>
      </c>
      <c r="LSL12" s="314" t="s">
        <v>203</v>
      </c>
      <c r="LSM12" s="314" t="s">
        <v>203</v>
      </c>
      <c r="LSN12" s="314" t="s">
        <v>203</v>
      </c>
      <c r="LSO12" s="314" t="s">
        <v>203</v>
      </c>
      <c r="LSP12" s="314" t="s">
        <v>203</v>
      </c>
      <c r="LSQ12" s="314" t="s">
        <v>203</v>
      </c>
      <c r="LSR12" s="314" t="s">
        <v>203</v>
      </c>
      <c r="LSS12" s="314" t="s">
        <v>203</v>
      </c>
      <c r="LST12" s="314" t="s">
        <v>203</v>
      </c>
      <c r="LSU12" s="314" t="s">
        <v>203</v>
      </c>
      <c r="LSV12" s="314" t="s">
        <v>203</v>
      </c>
      <c r="LSW12" s="314" t="s">
        <v>203</v>
      </c>
      <c r="LSX12" s="314" t="s">
        <v>203</v>
      </c>
      <c r="LSY12" s="314" t="s">
        <v>203</v>
      </c>
      <c r="LSZ12" s="314" t="s">
        <v>203</v>
      </c>
      <c r="LTA12" s="314" t="s">
        <v>203</v>
      </c>
      <c r="LTB12" s="314" t="s">
        <v>203</v>
      </c>
      <c r="LTC12" s="314" t="s">
        <v>203</v>
      </c>
      <c r="LTD12" s="314" t="s">
        <v>203</v>
      </c>
      <c r="LTE12" s="314" t="s">
        <v>203</v>
      </c>
      <c r="LTF12" s="314" t="s">
        <v>203</v>
      </c>
      <c r="LTG12" s="314" t="s">
        <v>203</v>
      </c>
      <c r="LTH12" s="314" t="s">
        <v>203</v>
      </c>
      <c r="LTI12" s="314" t="s">
        <v>203</v>
      </c>
      <c r="LTJ12" s="314" t="s">
        <v>203</v>
      </c>
      <c r="LTK12" s="314" t="s">
        <v>203</v>
      </c>
      <c r="LTL12" s="314" t="s">
        <v>203</v>
      </c>
      <c r="LTM12" s="314" t="s">
        <v>203</v>
      </c>
      <c r="LTN12" s="314" t="s">
        <v>203</v>
      </c>
      <c r="LTO12" s="314" t="s">
        <v>203</v>
      </c>
      <c r="LTP12" s="314" t="s">
        <v>203</v>
      </c>
      <c r="LTQ12" s="314" t="s">
        <v>203</v>
      </c>
      <c r="LTR12" s="314" t="s">
        <v>203</v>
      </c>
      <c r="LTS12" s="314" t="s">
        <v>203</v>
      </c>
      <c r="LTT12" s="314" t="s">
        <v>203</v>
      </c>
      <c r="LTU12" s="314" t="s">
        <v>203</v>
      </c>
      <c r="LTV12" s="314" t="s">
        <v>203</v>
      </c>
      <c r="LTW12" s="314" t="s">
        <v>203</v>
      </c>
      <c r="LTX12" s="314" t="s">
        <v>203</v>
      </c>
      <c r="LTY12" s="314" t="s">
        <v>203</v>
      </c>
      <c r="LTZ12" s="314" t="s">
        <v>203</v>
      </c>
      <c r="LUA12" s="314" t="s">
        <v>203</v>
      </c>
      <c r="LUB12" s="314" t="s">
        <v>203</v>
      </c>
      <c r="LUC12" s="314" t="s">
        <v>203</v>
      </c>
      <c r="LUD12" s="314" t="s">
        <v>203</v>
      </c>
      <c r="LUE12" s="314" t="s">
        <v>203</v>
      </c>
      <c r="LUF12" s="314" t="s">
        <v>203</v>
      </c>
      <c r="LUG12" s="314" t="s">
        <v>203</v>
      </c>
      <c r="LUH12" s="314" t="s">
        <v>203</v>
      </c>
      <c r="LUI12" s="314" t="s">
        <v>203</v>
      </c>
      <c r="LUJ12" s="314" t="s">
        <v>203</v>
      </c>
      <c r="LUK12" s="314" t="s">
        <v>203</v>
      </c>
      <c r="LUL12" s="314" t="s">
        <v>203</v>
      </c>
      <c r="LUM12" s="314" t="s">
        <v>203</v>
      </c>
      <c r="LUN12" s="314" t="s">
        <v>203</v>
      </c>
      <c r="LUO12" s="314" t="s">
        <v>203</v>
      </c>
      <c r="LUP12" s="314" t="s">
        <v>203</v>
      </c>
      <c r="LUQ12" s="314" t="s">
        <v>203</v>
      </c>
      <c r="LUR12" s="314" t="s">
        <v>203</v>
      </c>
      <c r="LUS12" s="314" t="s">
        <v>203</v>
      </c>
      <c r="LUT12" s="314" t="s">
        <v>203</v>
      </c>
      <c r="LUU12" s="314" t="s">
        <v>203</v>
      </c>
      <c r="LUV12" s="314" t="s">
        <v>203</v>
      </c>
      <c r="LUW12" s="314" t="s">
        <v>203</v>
      </c>
      <c r="LUX12" s="314" t="s">
        <v>203</v>
      </c>
      <c r="LUY12" s="314" t="s">
        <v>203</v>
      </c>
      <c r="LUZ12" s="314" t="s">
        <v>203</v>
      </c>
      <c r="LVA12" s="314" t="s">
        <v>203</v>
      </c>
      <c r="LVB12" s="314" t="s">
        <v>203</v>
      </c>
      <c r="LVC12" s="314" t="s">
        <v>203</v>
      </c>
      <c r="LVD12" s="314" t="s">
        <v>203</v>
      </c>
      <c r="LVE12" s="314" t="s">
        <v>203</v>
      </c>
      <c r="LVF12" s="314" t="s">
        <v>203</v>
      </c>
      <c r="LVG12" s="314" t="s">
        <v>203</v>
      </c>
      <c r="LVH12" s="314" t="s">
        <v>203</v>
      </c>
      <c r="LVI12" s="314" t="s">
        <v>203</v>
      </c>
      <c r="LVJ12" s="314" t="s">
        <v>203</v>
      </c>
      <c r="LVK12" s="314" t="s">
        <v>203</v>
      </c>
      <c r="LVL12" s="314" t="s">
        <v>203</v>
      </c>
      <c r="LVM12" s="314" t="s">
        <v>203</v>
      </c>
      <c r="LVN12" s="314" t="s">
        <v>203</v>
      </c>
      <c r="LVO12" s="314" t="s">
        <v>203</v>
      </c>
      <c r="LVP12" s="314" t="s">
        <v>203</v>
      </c>
      <c r="LVQ12" s="314" t="s">
        <v>203</v>
      </c>
      <c r="LVR12" s="314" t="s">
        <v>203</v>
      </c>
      <c r="LVS12" s="314" t="s">
        <v>203</v>
      </c>
      <c r="LVT12" s="314" t="s">
        <v>203</v>
      </c>
      <c r="LVU12" s="314" t="s">
        <v>203</v>
      </c>
      <c r="LVV12" s="314" t="s">
        <v>203</v>
      </c>
      <c r="LVW12" s="314" t="s">
        <v>203</v>
      </c>
      <c r="LVX12" s="314" t="s">
        <v>203</v>
      </c>
      <c r="LVY12" s="314" t="s">
        <v>203</v>
      </c>
      <c r="LVZ12" s="314" t="s">
        <v>203</v>
      </c>
      <c r="LWA12" s="314" t="s">
        <v>203</v>
      </c>
      <c r="LWB12" s="314" t="s">
        <v>203</v>
      </c>
      <c r="LWC12" s="314" t="s">
        <v>203</v>
      </c>
      <c r="LWD12" s="314" t="s">
        <v>203</v>
      </c>
      <c r="LWE12" s="314" t="s">
        <v>203</v>
      </c>
      <c r="LWF12" s="314" t="s">
        <v>203</v>
      </c>
      <c r="LWG12" s="314" t="s">
        <v>203</v>
      </c>
      <c r="LWH12" s="314" t="s">
        <v>203</v>
      </c>
      <c r="LWI12" s="314" t="s">
        <v>203</v>
      </c>
      <c r="LWJ12" s="314" t="s">
        <v>203</v>
      </c>
      <c r="LWK12" s="314" t="s">
        <v>203</v>
      </c>
      <c r="LWL12" s="314" t="s">
        <v>203</v>
      </c>
      <c r="LWM12" s="314" t="s">
        <v>203</v>
      </c>
      <c r="LWN12" s="314" t="s">
        <v>203</v>
      </c>
      <c r="LWO12" s="314" t="s">
        <v>203</v>
      </c>
      <c r="LWP12" s="314" t="s">
        <v>203</v>
      </c>
      <c r="LWQ12" s="314" t="s">
        <v>203</v>
      </c>
      <c r="LWR12" s="314" t="s">
        <v>203</v>
      </c>
      <c r="LWS12" s="314" t="s">
        <v>203</v>
      </c>
      <c r="LWT12" s="314" t="s">
        <v>203</v>
      </c>
      <c r="LWU12" s="314" t="s">
        <v>203</v>
      </c>
      <c r="LWV12" s="314" t="s">
        <v>203</v>
      </c>
      <c r="LWW12" s="314" t="s">
        <v>203</v>
      </c>
      <c r="LWX12" s="314" t="s">
        <v>203</v>
      </c>
      <c r="LWY12" s="314" t="s">
        <v>203</v>
      </c>
      <c r="LWZ12" s="314" t="s">
        <v>203</v>
      </c>
      <c r="LXA12" s="314" t="s">
        <v>203</v>
      </c>
      <c r="LXB12" s="314" t="s">
        <v>203</v>
      </c>
      <c r="LXC12" s="314" t="s">
        <v>203</v>
      </c>
      <c r="LXD12" s="314" t="s">
        <v>203</v>
      </c>
      <c r="LXE12" s="314" t="s">
        <v>203</v>
      </c>
      <c r="LXF12" s="314" t="s">
        <v>203</v>
      </c>
      <c r="LXG12" s="314" t="s">
        <v>203</v>
      </c>
      <c r="LXH12" s="314" t="s">
        <v>203</v>
      </c>
      <c r="LXI12" s="314" t="s">
        <v>203</v>
      </c>
      <c r="LXJ12" s="314" t="s">
        <v>203</v>
      </c>
      <c r="LXK12" s="314" t="s">
        <v>203</v>
      </c>
      <c r="LXL12" s="314" t="s">
        <v>203</v>
      </c>
      <c r="LXM12" s="314" t="s">
        <v>203</v>
      </c>
      <c r="LXN12" s="314" t="s">
        <v>203</v>
      </c>
      <c r="LXO12" s="314" t="s">
        <v>203</v>
      </c>
      <c r="LXP12" s="314" t="s">
        <v>203</v>
      </c>
      <c r="LXQ12" s="314" t="s">
        <v>203</v>
      </c>
      <c r="LXR12" s="314" t="s">
        <v>203</v>
      </c>
      <c r="LXS12" s="314" t="s">
        <v>203</v>
      </c>
      <c r="LXT12" s="314" t="s">
        <v>203</v>
      </c>
      <c r="LXU12" s="314" t="s">
        <v>203</v>
      </c>
      <c r="LXV12" s="314" t="s">
        <v>203</v>
      </c>
      <c r="LXW12" s="314" t="s">
        <v>203</v>
      </c>
      <c r="LXX12" s="314" t="s">
        <v>203</v>
      </c>
      <c r="LXY12" s="314" t="s">
        <v>203</v>
      </c>
      <c r="LXZ12" s="314" t="s">
        <v>203</v>
      </c>
      <c r="LYA12" s="314" t="s">
        <v>203</v>
      </c>
      <c r="LYB12" s="314" t="s">
        <v>203</v>
      </c>
      <c r="LYC12" s="314" t="s">
        <v>203</v>
      </c>
      <c r="LYD12" s="314" t="s">
        <v>203</v>
      </c>
      <c r="LYE12" s="314" t="s">
        <v>203</v>
      </c>
      <c r="LYF12" s="314" t="s">
        <v>203</v>
      </c>
      <c r="LYG12" s="314" t="s">
        <v>203</v>
      </c>
      <c r="LYH12" s="314" t="s">
        <v>203</v>
      </c>
      <c r="LYI12" s="314" t="s">
        <v>203</v>
      </c>
      <c r="LYJ12" s="314" t="s">
        <v>203</v>
      </c>
      <c r="LYK12" s="314" t="s">
        <v>203</v>
      </c>
      <c r="LYL12" s="314" t="s">
        <v>203</v>
      </c>
      <c r="LYM12" s="314" t="s">
        <v>203</v>
      </c>
      <c r="LYN12" s="314" t="s">
        <v>203</v>
      </c>
      <c r="LYO12" s="314" t="s">
        <v>203</v>
      </c>
      <c r="LYP12" s="314" t="s">
        <v>203</v>
      </c>
      <c r="LYQ12" s="314" t="s">
        <v>203</v>
      </c>
      <c r="LYR12" s="314" t="s">
        <v>203</v>
      </c>
      <c r="LYS12" s="314" t="s">
        <v>203</v>
      </c>
      <c r="LYT12" s="314" t="s">
        <v>203</v>
      </c>
      <c r="LYU12" s="314" t="s">
        <v>203</v>
      </c>
      <c r="LYV12" s="314" t="s">
        <v>203</v>
      </c>
      <c r="LYW12" s="314" t="s">
        <v>203</v>
      </c>
      <c r="LYX12" s="314" t="s">
        <v>203</v>
      </c>
      <c r="LYY12" s="314" t="s">
        <v>203</v>
      </c>
      <c r="LYZ12" s="314" t="s">
        <v>203</v>
      </c>
      <c r="LZA12" s="314" t="s">
        <v>203</v>
      </c>
      <c r="LZB12" s="314" t="s">
        <v>203</v>
      </c>
      <c r="LZC12" s="314" t="s">
        <v>203</v>
      </c>
      <c r="LZD12" s="314" t="s">
        <v>203</v>
      </c>
      <c r="LZE12" s="314" t="s">
        <v>203</v>
      </c>
      <c r="LZF12" s="314" t="s">
        <v>203</v>
      </c>
      <c r="LZG12" s="314" t="s">
        <v>203</v>
      </c>
      <c r="LZH12" s="314" t="s">
        <v>203</v>
      </c>
      <c r="LZI12" s="314" t="s">
        <v>203</v>
      </c>
      <c r="LZJ12" s="314" t="s">
        <v>203</v>
      </c>
      <c r="LZK12" s="314" t="s">
        <v>203</v>
      </c>
      <c r="LZL12" s="314" t="s">
        <v>203</v>
      </c>
      <c r="LZM12" s="314" t="s">
        <v>203</v>
      </c>
      <c r="LZN12" s="314" t="s">
        <v>203</v>
      </c>
      <c r="LZO12" s="314" t="s">
        <v>203</v>
      </c>
      <c r="LZP12" s="314" t="s">
        <v>203</v>
      </c>
      <c r="LZQ12" s="314" t="s">
        <v>203</v>
      </c>
      <c r="LZR12" s="314" t="s">
        <v>203</v>
      </c>
      <c r="LZS12" s="314" t="s">
        <v>203</v>
      </c>
      <c r="LZT12" s="314" t="s">
        <v>203</v>
      </c>
      <c r="LZU12" s="314" t="s">
        <v>203</v>
      </c>
      <c r="LZV12" s="314" t="s">
        <v>203</v>
      </c>
      <c r="LZW12" s="314" t="s">
        <v>203</v>
      </c>
      <c r="LZX12" s="314" t="s">
        <v>203</v>
      </c>
      <c r="LZY12" s="314" t="s">
        <v>203</v>
      </c>
      <c r="LZZ12" s="314" t="s">
        <v>203</v>
      </c>
      <c r="MAA12" s="314" t="s">
        <v>203</v>
      </c>
      <c r="MAB12" s="314" t="s">
        <v>203</v>
      </c>
      <c r="MAC12" s="314" t="s">
        <v>203</v>
      </c>
      <c r="MAD12" s="314" t="s">
        <v>203</v>
      </c>
      <c r="MAE12" s="314" t="s">
        <v>203</v>
      </c>
      <c r="MAF12" s="314" t="s">
        <v>203</v>
      </c>
      <c r="MAG12" s="314" t="s">
        <v>203</v>
      </c>
      <c r="MAH12" s="314" t="s">
        <v>203</v>
      </c>
      <c r="MAI12" s="314" t="s">
        <v>203</v>
      </c>
      <c r="MAJ12" s="314" t="s">
        <v>203</v>
      </c>
      <c r="MAK12" s="314" t="s">
        <v>203</v>
      </c>
      <c r="MAL12" s="314" t="s">
        <v>203</v>
      </c>
      <c r="MAM12" s="314" t="s">
        <v>203</v>
      </c>
      <c r="MAN12" s="314" t="s">
        <v>203</v>
      </c>
      <c r="MAO12" s="314" t="s">
        <v>203</v>
      </c>
      <c r="MAP12" s="314" t="s">
        <v>203</v>
      </c>
      <c r="MAQ12" s="314" t="s">
        <v>203</v>
      </c>
      <c r="MAR12" s="314" t="s">
        <v>203</v>
      </c>
      <c r="MAS12" s="314" t="s">
        <v>203</v>
      </c>
      <c r="MAT12" s="314" t="s">
        <v>203</v>
      </c>
      <c r="MAU12" s="314" t="s">
        <v>203</v>
      </c>
      <c r="MAV12" s="314" t="s">
        <v>203</v>
      </c>
      <c r="MAW12" s="314" t="s">
        <v>203</v>
      </c>
      <c r="MAX12" s="314" t="s">
        <v>203</v>
      </c>
      <c r="MAY12" s="314" t="s">
        <v>203</v>
      </c>
      <c r="MAZ12" s="314" t="s">
        <v>203</v>
      </c>
      <c r="MBA12" s="314" t="s">
        <v>203</v>
      </c>
      <c r="MBB12" s="314" t="s">
        <v>203</v>
      </c>
      <c r="MBC12" s="314" t="s">
        <v>203</v>
      </c>
      <c r="MBD12" s="314" t="s">
        <v>203</v>
      </c>
      <c r="MBE12" s="314" t="s">
        <v>203</v>
      </c>
      <c r="MBF12" s="314" t="s">
        <v>203</v>
      </c>
      <c r="MBG12" s="314" t="s">
        <v>203</v>
      </c>
      <c r="MBH12" s="314" t="s">
        <v>203</v>
      </c>
      <c r="MBI12" s="314" t="s">
        <v>203</v>
      </c>
      <c r="MBJ12" s="314" t="s">
        <v>203</v>
      </c>
      <c r="MBK12" s="314" t="s">
        <v>203</v>
      </c>
      <c r="MBL12" s="314" t="s">
        <v>203</v>
      </c>
      <c r="MBM12" s="314" t="s">
        <v>203</v>
      </c>
      <c r="MBN12" s="314" t="s">
        <v>203</v>
      </c>
      <c r="MBO12" s="314" t="s">
        <v>203</v>
      </c>
      <c r="MBP12" s="314" t="s">
        <v>203</v>
      </c>
      <c r="MBQ12" s="314" t="s">
        <v>203</v>
      </c>
      <c r="MBR12" s="314" t="s">
        <v>203</v>
      </c>
      <c r="MBS12" s="314" t="s">
        <v>203</v>
      </c>
      <c r="MBT12" s="314" t="s">
        <v>203</v>
      </c>
      <c r="MBU12" s="314" t="s">
        <v>203</v>
      </c>
      <c r="MBV12" s="314" t="s">
        <v>203</v>
      </c>
      <c r="MBW12" s="314" t="s">
        <v>203</v>
      </c>
      <c r="MBX12" s="314" t="s">
        <v>203</v>
      </c>
      <c r="MBY12" s="314" t="s">
        <v>203</v>
      </c>
      <c r="MBZ12" s="314" t="s">
        <v>203</v>
      </c>
      <c r="MCA12" s="314" t="s">
        <v>203</v>
      </c>
      <c r="MCB12" s="314" t="s">
        <v>203</v>
      </c>
      <c r="MCC12" s="314" t="s">
        <v>203</v>
      </c>
      <c r="MCD12" s="314" t="s">
        <v>203</v>
      </c>
      <c r="MCE12" s="314" t="s">
        <v>203</v>
      </c>
      <c r="MCF12" s="314" t="s">
        <v>203</v>
      </c>
      <c r="MCG12" s="314" t="s">
        <v>203</v>
      </c>
      <c r="MCH12" s="314" t="s">
        <v>203</v>
      </c>
      <c r="MCI12" s="314" t="s">
        <v>203</v>
      </c>
      <c r="MCJ12" s="314" t="s">
        <v>203</v>
      </c>
      <c r="MCK12" s="314" t="s">
        <v>203</v>
      </c>
      <c r="MCL12" s="314" t="s">
        <v>203</v>
      </c>
      <c r="MCM12" s="314" t="s">
        <v>203</v>
      </c>
      <c r="MCN12" s="314" t="s">
        <v>203</v>
      </c>
      <c r="MCO12" s="314" t="s">
        <v>203</v>
      </c>
      <c r="MCP12" s="314" t="s">
        <v>203</v>
      </c>
      <c r="MCQ12" s="314" t="s">
        <v>203</v>
      </c>
      <c r="MCR12" s="314" t="s">
        <v>203</v>
      </c>
      <c r="MCS12" s="314" t="s">
        <v>203</v>
      </c>
      <c r="MCT12" s="314" t="s">
        <v>203</v>
      </c>
      <c r="MCU12" s="314" t="s">
        <v>203</v>
      </c>
      <c r="MCV12" s="314" t="s">
        <v>203</v>
      </c>
      <c r="MCW12" s="314" t="s">
        <v>203</v>
      </c>
      <c r="MCX12" s="314" t="s">
        <v>203</v>
      </c>
      <c r="MCY12" s="314" t="s">
        <v>203</v>
      </c>
      <c r="MCZ12" s="314" t="s">
        <v>203</v>
      </c>
      <c r="MDA12" s="314" t="s">
        <v>203</v>
      </c>
      <c r="MDB12" s="314" t="s">
        <v>203</v>
      </c>
      <c r="MDC12" s="314" t="s">
        <v>203</v>
      </c>
      <c r="MDD12" s="314" t="s">
        <v>203</v>
      </c>
      <c r="MDE12" s="314" t="s">
        <v>203</v>
      </c>
      <c r="MDF12" s="314" t="s">
        <v>203</v>
      </c>
      <c r="MDG12" s="314" t="s">
        <v>203</v>
      </c>
      <c r="MDH12" s="314" t="s">
        <v>203</v>
      </c>
      <c r="MDI12" s="314" t="s">
        <v>203</v>
      </c>
      <c r="MDJ12" s="314" t="s">
        <v>203</v>
      </c>
      <c r="MDK12" s="314" t="s">
        <v>203</v>
      </c>
      <c r="MDL12" s="314" t="s">
        <v>203</v>
      </c>
      <c r="MDM12" s="314" t="s">
        <v>203</v>
      </c>
      <c r="MDN12" s="314" t="s">
        <v>203</v>
      </c>
      <c r="MDO12" s="314" t="s">
        <v>203</v>
      </c>
      <c r="MDP12" s="314" t="s">
        <v>203</v>
      </c>
      <c r="MDQ12" s="314" t="s">
        <v>203</v>
      </c>
      <c r="MDR12" s="314" t="s">
        <v>203</v>
      </c>
      <c r="MDS12" s="314" t="s">
        <v>203</v>
      </c>
      <c r="MDT12" s="314" t="s">
        <v>203</v>
      </c>
      <c r="MDU12" s="314" t="s">
        <v>203</v>
      </c>
      <c r="MDV12" s="314" t="s">
        <v>203</v>
      </c>
      <c r="MDW12" s="314" t="s">
        <v>203</v>
      </c>
      <c r="MDX12" s="314" t="s">
        <v>203</v>
      </c>
      <c r="MDY12" s="314" t="s">
        <v>203</v>
      </c>
      <c r="MDZ12" s="314" t="s">
        <v>203</v>
      </c>
      <c r="MEA12" s="314" t="s">
        <v>203</v>
      </c>
      <c r="MEB12" s="314" t="s">
        <v>203</v>
      </c>
      <c r="MEC12" s="314" t="s">
        <v>203</v>
      </c>
      <c r="MED12" s="314" t="s">
        <v>203</v>
      </c>
      <c r="MEE12" s="314" t="s">
        <v>203</v>
      </c>
      <c r="MEF12" s="314" t="s">
        <v>203</v>
      </c>
      <c r="MEG12" s="314" t="s">
        <v>203</v>
      </c>
      <c r="MEH12" s="314" t="s">
        <v>203</v>
      </c>
      <c r="MEI12" s="314" t="s">
        <v>203</v>
      </c>
      <c r="MEJ12" s="314" t="s">
        <v>203</v>
      </c>
      <c r="MEK12" s="314" t="s">
        <v>203</v>
      </c>
      <c r="MEL12" s="314" t="s">
        <v>203</v>
      </c>
      <c r="MEM12" s="314" t="s">
        <v>203</v>
      </c>
      <c r="MEN12" s="314" t="s">
        <v>203</v>
      </c>
      <c r="MEO12" s="314" t="s">
        <v>203</v>
      </c>
      <c r="MEP12" s="314" t="s">
        <v>203</v>
      </c>
      <c r="MEQ12" s="314" t="s">
        <v>203</v>
      </c>
      <c r="MER12" s="314" t="s">
        <v>203</v>
      </c>
      <c r="MES12" s="314" t="s">
        <v>203</v>
      </c>
      <c r="MET12" s="314" t="s">
        <v>203</v>
      </c>
      <c r="MEU12" s="314" t="s">
        <v>203</v>
      </c>
      <c r="MEV12" s="314" t="s">
        <v>203</v>
      </c>
      <c r="MEW12" s="314" t="s">
        <v>203</v>
      </c>
      <c r="MEX12" s="314" t="s">
        <v>203</v>
      </c>
      <c r="MEY12" s="314" t="s">
        <v>203</v>
      </c>
      <c r="MEZ12" s="314" t="s">
        <v>203</v>
      </c>
      <c r="MFA12" s="314" t="s">
        <v>203</v>
      </c>
      <c r="MFB12" s="314" t="s">
        <v>203</v>
      </c>
      <c r="MFC12" s="314" t="s">
        <v>203</v>
      </c>
      <c r="MFD12" s="314" t="s">
        <v>203</v>
      </c>
      <c r="MFE12" s="314" t="s">
        <v>203</v>
      </c>
      <c r="MFF12" s="314" t="s">
        <v>203</v>
      </c>
      <c r="MFG12" s="314" t="s">
        <v>203</v>
      </c>
      <c r="MFH12" s="314" t="s">
        <v>203</v>
      </c>
      <c r="MFI12" s="314" t="s">
        <v>203</v>
      </c>
      <c r="MFJ12" s="314" t="s">
        <v>203</v>
      </c>
      <c r="MFK12" s="314" t="s">
        <v>203</v>
      </c>
      <c r="MFL12" s="314" t="s">
        <v>203</v>
      </c>
      <c r="MFM12" s="314" t="s">
        <v>203</v>
      </c>
      <c r="MFN12" s="314" t="s">
        <v>203</v>
      </c>
      <c r="MFO12" s="314" t="s">
        <v>203</v>
      </c>
      <c r="MFP12" s="314" t="s">
        <v>203</v>
      </c>
      <c r="MFQ12" s="314" t="s">
        <v>203</v>
      </c>
      <c r="MFR12" s="314" t="s">
        <v>203</v>
      </c>
      <c r="MFS12" s="314" t="s">
        <v>203</v>
      </c>
      <c r="MFT12" s="314" t="s">
        <v>203</v>
      </c>
      <c r="MFU12" s="314" t="s">
        <v>203</v>
      </c>
      <c r="MFV12" s="314" t="s">
        <v>203</v>
      </c>
      <c r="MFW12" s="314" t="s">
        <v>203</v>
      </c>
      <c r="MFX12" s="314" t="s">
        <v>203</v>
      </c>
      <c r="MFY12" s="314" t="s">
        <v>203</v>
      </c>
      <c r="MFZ12" s="314" t="s">
        <v>203</v>
      </c>
      <c r="MGA12" s="314" t="s">
        <v>203</v>
      </c>
      <c r="MGB12" s="314" t="s">
        <v>203</v>
      </c>
      <c r="MGC12" s="314" t="s">
        <v>203</v>
      </c>
      <c r="MGD12" s="314" t="s">
        <v>203</v>
      </c>
      <c r="MGE12" s="314" t="s">
        <v>203</v>
      </c>
      <c r="MGF12" s="314" t="s">
        <v>203</v>
      </c>
      <c r="MGG12" s="314" t="s">
        <v>203</v>
      </c>
      <c r="MGH12" s="314" t="s">
        <v>203</v>
      </c>
      <c r="MGI12" s="314" t="s">
        <v>203</v>
      </c>
      <c r="MGJ12" s="314" t="s">
        <v>203</v>
      </c>
      <c r="MGK12" s="314" t="s">
        <v>203</v>
      </c>
      <c r="MGL12" s="314" t="s">
        <v>203</v>
      </c>
      <c r="MGM12" s="314" t="s">
        <v>203</v>
      </c>
      <c r="MGN12" s="314" t="s">
        <v>203</v>
      </c>
      <c r="MGO12" s="314" t="s">
        <v>203</v>
      </c>
      <c r="MGP12" s="314" t="s">
        <v>203</v>
      </c>
      <c r="MGQ12" s="314" t="s">
        <v>203</v>
      </c>
      <c r="MGR12" s="314" t="s">
        <v>203</v>
      </c>
      <c r="MGS12" s="314" t="s">
        <v>203</v>
      </c>
      <c r="MGT12" s="314" t="s">
        <v>203</v>
      </c>
      <c r="MGU12" s="314" t="s">
        <v>203</v>
      </c>
      <c r="MGV12" s="314" t="s">
        <v>203</v>
      </c>
      <c r="MGW12" s="314" t="s">
        <v>203</v>
      </c>
      <c r="MGX12" s="314" t="s">
        <v>203</v>
      </c>
      <c r="MGY12" s="314" t="s">
        <v>203</v>
      </c>
      <c r="MGZ12" s="314" t="s">
        <v>203</v>
      </c>
      <c r="MHA12" s="314" t="s">
        <v>203</v>
      </c>
      <c r="MHB12" s="314" t="s">
        <v>203</v>
      </c>
      <c r="MHC12" s="314" t="s">
        <v>203</v>
      </c>
      <c r="MHD12" s="314" t="s">
        <v>203</v>
      </c>
      <c r="MHE12" s="314" t="s">
        <v>203</v>
      </c>
      <c r="MHF12" s="314" t="s">
        <v>203</v>
      </c>
      <c r="MHG12" s="314" t="s">
        <v>203</v>
      </c>
      <c r="MHH12" s="314" t="s">
        <v>203</v>
      </c>
      <c r="MHI12" s="314" t="s">
        <v>203</v>
      </c>
      <c r="MHJ12" s="314" t="s">
        <v>203</v>
      </c>
      <c r="MHK12" s="314" t="s">
        <v>203</v>
      </c>
      <c r="MHL12" s="314" t="s">
        <v>203</v>
      </c>
      <c r="MHM12" s="314" t="s">
        <v>203</v>
      </c>
      <c r="MHN12" s="314" t="s">
        <v>203</v>
      </c>
      <c r="MHO12" s="314" t="s">
        <v>203</v>
      </c>
      <c r="MHP12" s="314" t="s">
        <v>203</v>
      </c>
      <c r="MHQ12" s="314" t="s">
        <v>203</v>
      </c>
      <c r="MHR12" s="314" t="s">
        <v>203</v>
      </c>
      <c r="MHS12" s="314" t="s">
        <v>203</v>
      </c>
      <c r="MHT12" s="314" t="s">
        <v>203</v>
      </c>
      <c r="MHU12" s="314" t="s">
        <v>203</v>
      </c>
      <c r="MHV12" s="314" t="s">
        <v>203</v>
      </c>
      <c r="MHW12" s="314" t="s">
        <v>203</v>
      </c>
      <c r="MHX12" s="314" t="s">
        <v>203</v>
      </c>
      <c r="MHY12" s="314" t="s">
        <v>203</v>
      </c>
      <c r="MHZ12" s="314" t="s">
        <v>203</v>
      </c>
      <c r="MIA12" s="314" t="s">
        <v>203</v>
      </c>
      <c r="MIB12" s="314" t="s">
        <v>203</v>
      </c>
      <c r="MIC12" s="314" t="s">
        <v>203</v>
      </c>
      <c r="MID12" s="314" t="s">
        <v>203</v>
      </c>
      <c r="MIE12" s="314" t="s">
        <v>203</v>
      </c>
      <c r="MIF12" s="314" t="s">
        <v>203</v>
      </c>
      <c r="MIG12" s="314" t="s">
        <v>203</v>
      </c>
      <c r="MIH12" s="314" t="s">
        <v>203</v>
      </c>
      <c r="MII12" s="314" t="s">
        <v>203</v>
      </c>
      <c r="MIJ12" s="314" t="s">
        <v>203</v>
      </c>
      <c r="MIK12" s="314" t="s">
        <v>203</v>
      </c>
      <c r="MIL12" s="314" t="s">
        <v>203</v>
      </c>
      <c r="MIM12" s="314" t="s">
        <v>203</v>
      </c>
      <c r="MIN12" s="314" t="s">
        <v>203</v>
      </c>
      <c r="MIO12" s="314" t="s">
        <v>203</v>
      </c>
      <c r="MIP12" s="314" t="s">
        <v>203</v>
      </c>
      <c r="MIQ12" s="314" t="s">
        <v>203</v>
      </c>
      <c r="MIR12" s="314" t="s">
        <v>203</v>
      </c>
      <c r="MIS12" s="314" t="s">
        <v>203</v>
      </c>
      <c r="MIT12" s="314" t="s">
        <v>203</v>
      </c>
      <c r="MIU12" s="314" t="s">
        <v>203</v>
      </c>
      <c r="MIV12" s="314" t="s">
        <v>203</v>
      </c>
      <c r="MIW12" s="314" t="s">
        <v>203</v>
      </c>
      <c r="MIX12" s="314" t="s">
        <v>203</v>
      </c>
      <c r="MIY12" s="314" t="s">
        <v>203</v>
      </c>
      <c r="MIZ12" s="314" t="s">
        <v>203</v>
      </c>
      <c r="MJA12" s="314" t="s">
        <v>203</v>
      </c>
      <c r="MJB12" s="314" t="s">
        <v>203</v>
      </c>
      <c r="MJC12" s="314" t="s">
        <v>203</v>
      </c>
      <c r="MJD12" s="314" t="s">
        <v>203</v>
      </c>
      <c r="MJE12" s="314" t="s">
        <v>203</v>
      </c>
      <c r="MJF12" s="314" t="s">
        <v>203</v>
      </c>
      <c r="MJG12" s="314" t="s">
        <v>203</v>
      </c>
      <c r="MJH12" s="314" t="s">
        <v>203</v>
      </c>
      <c r="MJI12" s="314" t="s">
        <v>203</v>
      </c>
      <c r="MJJ12" s="314" t="s">
        <v>203</v>
      </c>
      <c r="MJK12" s="314" t="s">
        <v>203</v>
      </c>
      <c r="MJL12" s="314" t="s">
        <v>203</v>
      </c>
      <c r="MJM12" s="314" t="s">
        <v>203</v>
      </c>
      <c r="MJN12" s="314" t="s">
        <v>203</v>
      </c>
      <c r="MJO12" s="314" t="s">
        <v>203</v>
      </c>
      <c r="MJP12" s="314" t="s">
        <v>203</v>
      </c>
      <c r="MJQ12" s="314" t="s">
        <v>203</v>
      </c>
      <c r="MJR12" s="314" t="s">
        <v>203</v>
      </c>
      <c r="MJS12" s="314" t="s">
        <v>203</v>
      </c>
      <c r="MJT12" s="314" t="s">
        <v>203</v>
      </c>
      <c r="MJU12" s="314" t="s">
        <v>203</v>
      </c>
      <c r="MJV12" s="314" t="s">
        <v>203</v>
      </c>
      <c r="MJW12" s="314" t="s">
        <v>203</v>
      </c>
      <c r="MJX12" s="314" t="s">
        <v>203</v>
      </c>
      <c r="MJY12" s="314" t="s">
        <v>203</v>
      </c>
      <c r="MJZ12" s="314" t="s">
        <v>203</v>
      </c>
      <c r="MKA12" s="314" t="s">
        <v>203</v>
      </c>
      <c r="MKB12" s="314" t="s">
        <v>203</v>
      </c>
      <c r="MKC12" s="314" t="s">
        <v>203</v>
      </c>
      <c r="MKD12" s="314" t="s">
        <v>203</v>
      </c>
      <c r="MKE12" s="314" t="s">
        <v>203</v>
      </c>
      <c r="MKF12" s="314" t="s">
        <v>203</v>
      </c>
      <c r="MKG12" s="314" t="s">
        <v>203</v>
      </c>
      <c r="MKH12" s="314" t="s">
        <v>203</v>
      </c>
      <c r="MKI12" s="314" t="s">
        <v>203</v>
      </c>
      <c r="MKJ12" s="314" t="s">
        <v>203</v>
      </c>
      <c r="MKK12" s="314" t="s">
        <v>203</v>
      </c>
      <c r="MKL12" s="314" t="s">
        <v>203</v>
      </c>
      <c r="MKM12" s="314" t="s">
        <v>203</v>
      </c>
      <c r="MKN12" s="314" t="s">
        <v>203</v>
      </c>
      <c r="MKO12" s="314" t="s">
        <v>203</v>
      </c>
      <c r="MKP12" s="314" t="s">
        <v>203</v>
      </c>
      <c r="MKQ12" s="314" t="s">
        <v>203</v>
      </c>
      <c r="MKR12" s="314" t="s">
        <v>203</v>
      </c>
      <c r="MKS12" s="314" t="s">
        <v>203</v>
      </c>
      <c r="MKT12" s="314" t="s">
        <v>203</v>
      </c>
      <c r="MKU12" s="314" t="s">
        <v>203</v>
      </c>
      <c r="MKV12" s="314" t="s">
        <v>203</v>
      </c>
      <c r="MKW12" s="314" t="s">
        <v>203</v>
      </c>
      <c r="MKX12" s="314" t="s">
        <v>203</v>
      </c>
      <c r="MKY12" s="314" t="s">
        <v>203</v>
      </c>
      <c r="MKZ12" s="314" t="s">
        <v>203</v>
      </c>
      <c r="MLA12" s="314" t="s">
        <v>203</v>
      </c>
      <c r="MLB12" s="314" t="s">
        <v>203</v>
      </c>
      <c r="MLC12" s="314" t="s">
        <v>203</v>
      </c>
      <c r="MLD12" s="314" t="s">
        <v>203</v>
      </c>
      <c r="MLE12" s="314" t="s">
        <v>203</v>
      </c>
      <c r="MLF12" s="314" t="s">
        <v>203</v>
      </c>
      <c r="MLG12" s="314" t="s">
        <v>203</v>
      </c>
      <c r="MLH12" s="314" t="s">
        <v>203</v>
      </c>
      <c r="MLI12" s="314" t="s">
        <v>203</v>
      </c>
      <c r="MLJ12" s="314" t="s">
        <v>203</v>
      </c>
      <c r="MLK12" s="314" t="s">
        <v>203</v>
      </c>
      <c r="MLL12" s="314" t="s">
        <v>203</v>
      </c>
      <c r="MLM12" s="314" t="s">
        <v>203</v>
      </c>
      <c r="MLN12" s="314" t="s">
        <v>203</v>
      </c>
      <c r="MLO12" s="314" t="s">
        <v>203</v>
      </c>
      <c r="MLP12" s="314" t="s">
        <v>203</v>
      </c>
      <c r="MLQ12" s="314" t="s">
        <v>203</v>
      </c>
      <c r="MLR12" s="314" t="s">
        <v>203</v>
      </c>
      <c r="MLS12" s="314" t="s">
        <v>203</v>
      </c>
      <c r="MLT12" s="314" t="s">
        <v>203</v>
      </c>
      <c r="MLU12" s="314" t="s">
        <v>203</v>
      </c>
      <c r="MLV12" s="314" t="s">
        <v>203</v>
      </c>
      <c r="MLW12" s="314" t="s">
        <v>203</v>
      </c>
      <c r="MLX12" s="314" t="s">
        <v>203</v>
      </c>
      <c r="MLY12" s="314" t="s">
        <v>203</v>
      </c>
      <c r="MLZ12" s="314" t="s">
        <v>203</v>
      </c>
      <c r="MMA12" s="314" t="s">
        <v>203</v>
      </c>
      <c r="MMB12" s="314" t="s">
        <v>203</v>
      </c>
      <c r="MMC12" s="314" t="s">
        <v>203</v>
      </c>
      <c r="MMD12" s="314" t="s">
        <v>203</v>
      </c>
      <c r="MME12" s="314" t="s">
        <v>203</v>
      </c>
      <c r="MMF12" s="314" t="s">
        <v>203</v>
      </c>
      <c r="MMG12" s="314" t="s">
        <v>203</v>
      </c>
      <c r="MMH12" s="314" t="s">
        <v>203</v>
      </c>
      <c r="MMI12" s="314" t="s">
        <v>203</v>
      </c>
      <c r="MMJ12" s="314" t="s">
        <v>203</v>
      </c>
      <c r="MMK12" s="314" t="s">
        <v>203</v>
      </c>
      <c r="MML12" s="314" t="s">
        <v>203</v>
      </c>
      <c r="MMM12" s="314" t="s">
        <v>203</v>
      </c>
      <c r="MMN12" s="314" t="s">
        <v>203</v>
      </c>
      <c r="MMO12" s="314" t="s">
        <v>203</v>
      </c>
      <c r="MMP12" s="314" t="s">
        <v>203</v>
      </c>
      <c r="MMQ12" s="314" t="s">
        <v>203</v>
      </c>
      <c r="MMR12" s="314" t="s">
        <v>203</v>
      </c>
      <c r="MMS12" s="314" t="s">
        <v>203</v>
      </c>
      <c r="MMT12" s="314" t="s">
        <v>203</v>
      </c>
      <c r="MMU12" s="314" t="s">
        <v>203</v>
      </c>
      <c r="MMV12" s="314" t="s">
        <v>203</v>
      </c>
      <c r="MMW12" s="314" t="s">
        <v>203</v>
      </c>
      <c r="MMX12" s="314" t="s">
        <v>203</v>
      </c>
      <c r="MMY12" s="314" t="s">
        <v>203</v>
      </c>
      <c r="MMZ12" s="314" t="s">
        <v>203</v>
      </c>
      <c r="MNA12" s="314" t="s">
        <v>203</v>
      </c>
      <c r="MNB12" s="314" t="s">
        <v>203</v>
      </c>
      <c r="MNC12" s="314" t="s">
        <v>203</v>
      </c>
      <c r="MND12" s="314" t="s">
        <v>203</v>
      </c>
      <c r="MNE12" s="314" t="s">
        <v>203</v>
      </c>
      <c r="MNF12" s="314" t="s">
        <v>203</v>
      </c>
      <c r="MNG12" s="314" t="s">
        <v>203</v>
      </c>
      <c r="MNH12" s="314" t="s">
        <v>203</v>
      </c>
      <c r="MNI12" s="314" t="s">
        <v>203</v>
      </c>
      <c r="MNJ12" s="314" t="s">
        <v>203</v>
      </c>
      <c r="MNK12" s="314" t="s">
        <v>203</v>
      </c>
      <c r="MNL12" s="314" t="s">
        <v>203</v>
      </c>
      <c r="MNM12" s="314" t="s">
        <v>203</v>
      </c>
      <c r="MNN12" s="314" t="s">
        <v>203</v>
      </c>
      <c r="MNO12" s="314" t="s">
        <v>203</v>
      </c>
      <c r="MNP12" s="314" t="s">
        <v>203</v>
      </c>
      <c r="MNQ12" s="314" t="s">
        <v>203</v>
      </c>
      <c r="MNR12" s="314" t="s">
        <v>203</v>
      </c>
      <c r="MNS12" s="314" t="s">
        <v>203</v>
      </c>
      <c r="MNT12" s="314" t="s">
        <v>203</v>
      </c>
      <c r="MNU12" s="314" t="s">
        <v>203</v>
      </c>
      <c r="MNV12" s="314" t="s">
        <v>203</v>
      </c>
      <c r="MNW12" s="314" t="s">
        <v>203</v>
      </c>
      <c r="MNX12" s="314" t="s">
        <v>203</v>
      </c>
      <c r="MNY12" s="314" t="s">
        <v>203</v>
      </c>
      <c r="MNZ12" s="314" t="s">
        <v>203</v>
      </c>
      <c r="MOA12" s="314" t="s">
        <v>203</v>
      </c>
      <c r="MOB12" s="314" t="s">
        <v>203</v>
      </c>
      <c r="MOC12" s="314" t="s">
        <v>203</v>
      </c>
      <c r="MOD12" s="314" t="s">
        <v>203</v>
      </c>
      <c r="MOE12" s="314" t="s">
        <v>203</v>
      </c>
      <c r="MOF12" s="314" t="s">
        <v>203</v>
      </c>
      <c r="MOG12" s="314" t="s">
        <v>203</v>
      </c>
      <c r="MOH12" s="314" t="s">
        <v>203</v>
      </c>
      <c r="MOI12" s="314" t="s">
        <v>203</v>
      </c>
      <c r="MOJ12" s="314" t="s">
        <v>203</v>
      </c>
      <c r="MOK12" s="314" t="s">
        <v>203</v>
      </c>
      <c r="MOL12" s="314" t="s">
        <v>203</v>
      </c>
      <c r="MOM12" s="314" t="s">
        <v>203</v>
      </c>
      <c r="MON12" s="314" t="s">
        <v>203</v>
      </c>
      <c r="MOO12" s="314" t="s">
        <v>203</v>
      </c>
      <c r="MOP12" s="314" t="s">
        <v>203</v>
      </c>
      <c r="MOQ12" s="314" t="s">
        <v>203</v>
      </c>
      <c r="MOR12" s="314" t="s">
        <v>203</v>
      </c>
      <c r="MOS12" s="314" t="s">
        <v>203</v>
      </c>
      <c r="MOT12" s="314" t="s">
        <v>203</v>
      </c>
      <c r="MOU12" s="314" t="s">
        <v>203</v>
      </c>
      <c r="MOV12" s="314" t="s">
        <v>203</v>
      </c>
      <c r="MOW12" s="314" t="s">
        <v>203</v>
      </c>
      <c r="MOX12" s="314" t="s">
        <v>203</v>
      </c>
      <c r="MOY12" s="314" t="s">
        <v>203</v>
      </c>
      <c r="MOZ12" s="314" t="s">
        <v>203</v>
      </c>
      <c r="MPA12" s="314" t="s">
        <v>203</v>
      </c>
      <c r="MPB12" s="314" t="s">
        <v>203</v>
      </c>
      <c r="MPC12" s="314" t="s">
        <v>203</v>
      </c>
      <c r="MPD12" s="314" t="s">
        <v>203</v>
      </c>
      <c r="MPE12" s="314" t="s">
        <v>203</v>
      </c>
      <c r="MPF12" s="314" t="s">
        <v>203</v>
      </c>
      <c r="MPG12" s="314" t="s">
        <v>203</v>
      </c>
      <c r="MPH12" s="314" t="s">
        <v>203</v>
      </c>
      <c r="MPI12" s="314" t="s">
        <v>203</v>
      </c>
      <c r="MPJ12" s="314" t="s">
        <v>203</v>
      </c>
      <c r="MPK12" s="314" t="s">
        <v>203</v>
      </c>
      <c r="MPL12" s="314" t="s">
        <v>203</v>
      </c>
      <c r="MPM12" s="314" t="s">
        <v>203</v>
      </c>
      <c r="MPN12" s="314" t="s">
        <v>203</v>
      </c>
      <c r="MPO12" s="314" t="s">
        <v>203</v>
      </c>
      <c r="MPP12" s="314" t="s">
        <v>203</v>
      </c>
      <c r="MPQ12" s="314" t="s">
        <v>203</v>
      </c>
      <c r="MPR12" s="314" t="s">
        <v>203</v>
      </c>
      <c r="MPS12" s="314" t="s">
        <v>203</v>
      </c>
      <c r="MPT12" s="314" t="s">
        <v>203</v>
      </c>
      <c r="MPU12" s="314" t="s">
        <v>203</v>
      </c>
      <c r="MPV12" s="314" t="s">
        <v>203</v>
      </c>
      <c r="MPW12" s="314" t="s">
        <v>203</v>
      </c>
      <c r="MPX12" s="314" t="s">
        <v>203</v>
      </c>
      <c r="MPY12" s="314" t="s">
        <v>203</v>
      </c>
      <c r="MPZ12" s="314" t="s">
        <v>203</v>
      </c>
      <c r="MQA12" s="314" t="s">
        <v>203</v>
      </c>
      <c r="MQB12" s="314" t="s">
        <v>203</v>
      </c>
      <c r="MQC12" s="314" t="s">
        <v>203</v>
      </c>
      <c r="MQD12" s="314" t="s">
        <v>203</v>
      </c>
      <c r="MQE12" s="314" t="s">
        <v>203</v>
      </c>
      <c r="MQF12" s="314" t="s">
        <v>203</v>
      </c>
      <c r="MQG12" s="314" t="s">
        <v>203</v>
      </c>
      <c r="MQH12" s="314" t="s">
        <v>203</v>
      </c>
      <c r="MQI12" s="314" t="s">
        <v>203</v>
      </c>
      <c r="MQJ12" s="314" t="s">
        <v>203</v>
      </c>
      <c r="MQK12" s="314" t="s">
        <v>203</v>
      </c>
      <c r="MQL12" s="314" t="s">
        <v>203</v>
      </c>
      <c r="MQM12" s="314" t="s">
        <v>203</v>
      </c>
      <c r="MQN12" s="314" t="s">
        <v>203</v>
      </c>
      <c r="MQO12" s="314" t="s">
        <v>203</v>
      </c>
      <c r="MQP12" s="314" t="s">
        <v>203</v>
      </c>
      <c r="MQQ12" s="314" t="s">
        <v>203</v>
      </c>
      <c r="MQR12" s="314" t="s">
        <v>203</v>
      </c>
      <c r="MQS12" s="314" t="s">
        <v>203</v>
      </c>
      <c r="MQT12" s="314" t="s">
        <v>203</v>
      </c>
      <c r="MQU12" s="314" t="s">
        <v>203</v>
      </c>
      <c r="MQV12" s="314" t="s">
        <v>203</v>
      </c>
      <c r="MQW12" s="314" t="s">
        <v>203</v>
      </c>
      <c r="MQX12" s="314" t="s">
        <v>203</v>
      </c>
      <c r="MQY12" s="314" t="s">
        <v>203</v>
      </c>
      <c r="MQZ12" s="314" t="s">
        <v>203</v>
      </c>
      <c r="MRA12" s="314" t="s">
        <v>203</v>
      </c>
      <c r="MRB12" s="314" t="s">
        <v>203</v>
      </c>
      <c r="MRC12" s="314" t="s">
        <v>203</v>
      </c>
      <c r="MRD12" s="314" t="s">
        <v>203</v>
      </c>
      <c r="MRE12" s="314" t="s">
        <v>203</v>
      </c>
      <c r="MRF12" s="314" t="s">
        <v>203</v>
      </c>
      <c r="MRG12" s="314" t="s">
        <v>203</v>
      </c>
      <c r="MRH12" s="314" t="s">
        <v>203</v>
      </c>
      <c r="MRI12" s="314" t="s">
        <v>203</v>
      </c>
      <c r="MRJ12" s="314" t="s">
        <v>203</v>
      </c>
      <c r="MRK12" s="314" t="s">
        <v>203</v>
      </c>
      <c r="MRL12" s="314" t="s">
        <v>203</v>
      </c>
      <c r="MRM12" s="314" t="s">
        <v>203</v>
      </c>
      <c r="MRN12" s="314" t="s">
        <v>203</v>
      </c>
      <c r="MRO12" s="314" t="s">
        <v>203</v>
      </c>
      <c r="MRP12" s="314" t="s">
        <v>203</v>
      </c>
      <c r="MRQ12" s="314" t="s">
        <v>203</v>
      </c>
      <c r="MRR12" s="314" t="s">
        <v>203</v>
      </c>
      <c r="MRS12" s="314" t="s">
        <v>203</v>
      </c>
      <c r="MRT12" s="314" t="s">
        <v>203</v>
      </c>
      <c r="MRU12" s="314" t="s">
        <v>203</v>
      </c>
      <c r="MRV12" s="314" t="s">
        <v>203</v>
      </c>
      <c r="MRW12" s="314" t="s">
        <v>203</v>
      </c>
      <c r="MRX12" s="314" t="s">
        <v>203</v>
      </c>
      <c r="MRY12" s="314" t="s">
        <v>203</v>
      </c>
      <c r="MRZ12" s="314" t="s">
        <v>203</v>
      </c>
      <c r="MSA12" s="314" t="s">
        <v>203</v>
      </c>
      <c r="MSB12" s="314" t="s">
        <v>203</v>
      </c>
      <c r="MSC12" s="314" t="s">
        <v>203</v>
      </c>
      <c r="MSD12" s="314" t="s">
        <v>203</v>
      </c>
      <c r="MSE12" s="314" t="s">
        <v>203</v>
      </c>
      <c r="MSF12" s="314" t="s">
        <v>203</v>
      </c>
      <c r="MSG12" s="314" t="s">
        <v>203</v>
      </c>
      <c r="MSH12" s="314" t="s">
        <v>203</v>
      </c>
      <c r="MSI12" s="314" t="s">
        <v>203</v>
      </c>
      <c r="MSJ12" s="314" t="s">
        <v>203</v>
      </c>
      <c r="MSK12" s="314" t="s">
        <v>203</v>
      </c>
      <c r="MSL12" s="314" t="s">
        <v>203</v>
      </c>
      <c r="MSM12" s="314" t="s">
        <v>203</v>
      </c>
      <c r="MSN12" s="314" t="s">
        <v>203</v>
      </c>
      <c r="MSO12" s="314" t="s">
        <v>203</v>
      </c>
      <c r="MSP12" s="314" t="s">
        <v>203</v>
      </c>
      <c r="MSQ12" s="314" t="s">
        <v>203</v>
      </c>
      <c r="MSR12" s="314" t="s">
        <v>203</v>
      </c>
      <c r="MSS12" s="314" t="s">
        <v>203</v>
      </c>
      <c r="MST12" s="314" t="s">
        <v>203</v>
      </c>
      <c r="MSU12" s="314" t="s">
        <v>203</v>
      </c>
      <c r="MSV12" s="314" t="s">
        <v>203</v>
      </c>
      <c r="MSW12" s="314" t="s">
        <v>203</v>
      </c>
      <c r="MSX12" s="314" t="s">
        <v>203</v>
      </c>
      <c r="MSY12" s="314" t="s">
        <v>203</v>
      </c>
      <c r="MSZ12" s="314" t="s">
        <v>203</v>
      </c>
      <c r="MTA12" s="314" t="s">
        <v>203</v>
      </c>
      <c r="MTB12" s="314" t="s">
        <v>203</v>
      </c>
      <c r="MTC12" s="314" t="s">
        <v>203</v>
      </c>
      <c r="MTD12" s="314" t="s">
        <v>203</v>
      </c>
      <c r="MTE12" s="314" t="s">
        <v>203</v>
      </c>
      <c r="MTF12" s="314" t="s">
        <v>203</v>
      </c>
      <c r="MTG12" s="314" t="s">
        <v>203</v>
      </c>
      <c r="MTH12" s="314" t="s">
        <v>203</v>
      </c>
      <c r="MTI12" s="314" t="s">
        <v>203</v>
      </c>
      <c r="MTJ12" s="314" t="s">
        <v>203</v>
      </c>
      <c r="MTK12" s="314" t="s">
        <v>203</v>
      </c>
      <c r="MTL12" s="314" t="s">
        <v>203</v>
      </c>
      <c r="MTM12" s="314" t="s">
        <v>203</v>
      </c>
      <c r="MTN12" s="314" t="s">
        <v>203</v>
      </c>
      <c r="MTO12" s="314" t="s">
        <v>203</v>
      </c>
      <c r="MTP12" s="314" t="s">
        <v>203</v>
      </c>
      <c r="MTQ12" s="314" t="s">
        <v>203</v>
      </c>
      <c r="MTR12" s="314" t="s">
        <v>203</v>
      </c>
      <c r="MTS12" s="314" t="s">
        <v>203</v>
      </c>
      <c r="MTT12" s="314" t="s">
        <v>203</v>
      </c>
      <c r="MTU12" s="314" t="s">
        <v>203</v>
      </c>
      <c r="MTV12" s="314" t="s">
        <v>203</v>
      </c>
      <c r="MTW12" s="314" t="s">
        <v>203</v>
      </c>
      <c r="MTX12" s="314" t="s">
        <v>203</v>
      </c>
      <c r="MTY12" s="314" t="s">
        <v>203</v>
      </c>
      <c r="MTZ12" s="314" t="s">
        <v>203</v>
      </c>
      <c r="MUA12" s="314" t="s">
        <v>203</v>
      </c>
      <c r="MUB12" s="314" t="s">
        <v>203</v>
      </c>
      <c r="MUC12" s="314" t="s">
        <v>203</v>
      </c>
      <c r="MUD12" s="314" t="s">
        <v>203</v>
      </c>
      <c r="MUE12" s="314" t="s">
        <v>203</v>
      </c>
      <c r="MUF12" s="314" t="s">
        <v>203</v>
      </c>
      <c r="MUG12" s="314" t="s">
        <v>203</v>
      </c>
      <c r="MUH12" s="314" t="s">
        <v>203</v>
      </c>
      <c r="MUI12" s="314" t="s">
        <v>203</v>
      </c>
      <c r="MUJ12" s="314" t="s">
        <v>203</v>
      </c>
      <c r="MUK12" s="314" t="s">
        <v>203</v>
      </c>
      <c r="MUL12" s="314" t="s">
        <v>203</v>
      </c>
      <c r="MUM12" s="314" t="s">
        <v>203</v>
      </c>
      <c r="MUN12" s="314" t="s">
        <v>203</v>
      </c>
      <c r="MUO12" s="314" t="s">
        <v>203</v>
      </c>
      <c r="MUP12" s="314" t="s">
        <v>203</v>
      </c>
      <c r="MUQ12" s="314" t="s">
        <v>203</v>
      </c>
      <c r="MUR12" s="314" t="s">
        <v>203</v>
      </c>
      <c r="MUS12" s="314" t="s">
        <v>203</v>
      </c>
      <c r="MUT12" s="314" t="s">
        <v>203</v>
      </c>
      <c r="MUU12" s="314" t="s">
        <v>203</v>
      </c>
      <c r="MUV12" s="314" t="s">
        <v>203</v>
      </c>
      <c r="MUW12" s="314" t="s">
        <v>203</v>
      </c>
      <c r="MUX12" s="314" t="s">
        <v>203</v>
      </c>
      <c r="MUY12" s="314" t="s">
        <v>203</v>
      </c>
      <c r="MUZ12" s="314" t="s">
        <v>203</v>
      </c>
      <c r="MVA12" s="314" t="s">
        <v>203</v>
      </c>
      <c r="MVB12" s="314" t="s">
        <v>203</v>
      </c>
      <c r="MVC12" s="314" t="s">
        <v>203</v>
      </c>
      <c r="MVD12" s="314" t="s">
        <v>203</v>
      </c>
      <c r="MVE12" s="314" t="s">
        <v>203</v>
      </c>
      <c r="MVF12" s="314" t="s">
        <v>203</v>
      </c>
      <c r="MVG12" s="314" t="s">
        <v>203</v>
      </c>
      <c r="MVH12" s="314" t="s">
        <v>203</v>
      </c>
      <c r="MVI12" s="314" t="s">
        <v>203</v>
      </c>
      <c r="MVJ12" s="314" t="s">
        <v>203</v>
      </c>
      <c r="MVK12" s="314" t="s">
        <v>203</v>
      </c>
      <c r="MVL12" s="314" t="s">
        <v>203</v>
      </c>
      <c r="MVM12" s="314" t="s">
        <v>203</v>
      </c>
      <c r="MVN12" s="314" t="s">
        <v>203</v>
      </c>
      <c r="MVO12" s="314" t="s">
        <v>203</v>
      </c>
      <c r="MVP12" s="314" t="s">
        <v>203</v>
      </c>
      <c r="MVQ12" s="314" t="s">
        <v>203</v>
      </c>
      <c r="MVR12" s="314" t="s">
        <v>203</v>
      </c>
      <c r="MVS12" s="314" t="s">
        <v>203</v>
      </c>
      <c r="MVT12" s="314" t="s">
        <v>203</v>
      </c>
      <c r="MVU12" s="314" t="s">
        <v>203</v>
      </c>
      <c r="MVV12" s="314" t="s">
        <v>203</v>
      </c>
      <c r="MVW12" s="314" t="s">
        <v>203</v>
      </c>
      <c r="MVX12" s="314" t="s">
        <v>203</v>
      </c>
      <c r="MVY12" s="314" t="s">
        <v>203</v>
      </c>
      <c r="MVZ12" s="314" t="s">
        <v>203</v>
      </c>
      <c r="MWA12" s="314" t="s">
        <v>203</v>
      </c>
      <c r="MWB12" s="314" t="s">
        <v>203</v>
      </c>
      <c r="MWC12" s="314" t="s">
        <v>203</v>
      </c>
      <c r="MWD12" s="314" t="s">
        <v>203</v>
      </c>
      <c r="MWE12" s="314" t="s">
        <v>203</v>
      </c>
      <c r="MWF12" s="314" t="s">
        <v>203</v>
      </c>
      <c r="MWG12" s="314" t="s">
        <v>203</v>
      </c>
      <c r="MWH12" s="314" t="s">
        <v>203</v>
      </c>
      <c r="MWI12" s="314" t="s">
        <v>203</v>
      </c>
      <c r="MWJ12" s="314" t="s">
        <v>203</v>
      </c>
      <c r="MWK12" s="314" t="s">
        <v>203</v>
      </c>
      <c r="MWL12" s="314" t="s">
        <v>203</v>
      </c>
      <c r="MWM12" s="314" t="s">
        <v>203</v>
      </c>
      <c r="MWN12" s="314" t="s">
        <v>203</v>
      </c>
      <c r="MWO12" s="314" t="s">
        <v>203</v>
      </c>
      <c r="MWP12" s="314" t="s">
        <v>203</v>
      </c>
      <c r="MWQ12" s="314" t="s">
        <v>203</v>
      </c>
      <c r="MWR12" s="314" t="s">
        <v>203</v>
      </c>
      <c r="MWS12" s="314" t="s">
        <v>203</v>
      </c>
      <c r="MWT12" s="314" t="s">
        <v>203</v>
      </c>
      <c r="MWU12" s="314" t="s">
        <v>203</v>
      </c>
      <c r="MWV12" s="314" t="s">
        <v>203</v>
      </c>
      <c r="MWW12" s="314" t="s">
        <v>203</v>
      </c>
      <c r="MWX12" s="314" t="s">
        <v>203</v>
      </c>
      <c r="MWY12" s="314" t="s">
        <v>203</v>
      </c>
      <c r="MWZ12" s="314" t="s">
        <v>203</v>
      </c>
      <c r="MXA12" s="314" t="s">
        <v>203</v>
      </c>
      <c r="MXB12" s="314" t="s">
        <v>203</v>
      </c>
      <c r="MXC12" s="314" t="s">
        <v>203</v>
      </c>
      <c r="MXD12" s="314" t="s">
        <v>203</v>
      </c>
      <c r="MXE12" s="314" t="s">
        <v>203</v>
      </c>
      <c r="MXF12" s="314" t="s">
        <v>203</v>
      </c>
      <c r="MXG12" s="314" t="s">
        <v>203</v>
      </c>
      <c r="MXH12" s="314" t="s">
        <v>203</v>
      </c>
      <c r="MXI12" s="314" t="s">
        <v>203</v>
      </c>
      <c r="MXJ12" s="314" t="s">
        <v>203</v>
      </c>
      <c r="MXK12" s="314" t="s">
        <v>203</v>
      </c>
      <c r="MXL12" s="314" t="s">
        <v>203</v>
      </c>
      <c r="MXM12" s="314" t="s">
        <v>203</v>
      </c>
      <c r="MXN12" s="314" t="s">
        <v>203</v>
      </c>
      <c r="MXO12" s="314" t="s">
        <v>203</v>
      </c>
      <c r="MXP12" s="314" t="s">
        <v>203</v>
      </c>
      <c r="MXQ12" s="314" t="s">
        <v>203</v>
      </c>
      <c r="MXR12" s="314" t="s">
        <v>203</v>
      </c>
      <c r="MXS12" s="314" t="s">
        <v>203</v>
      </c>
      <c r="MXT12" s="314" t="s">
        <v>203</v>
      </c>
      <c r="MXU12" s="314" t="s">
        <v>203</v>
      </c>
      <c r="MXV12" s="314" t="s">
        <v>203</v>
      </c>
      <c r="MXW12" s="314" t="s">
        <v>203</v>
      </c>
      <c r="MXX12" s="314" t="s">
        <v>203</v>
      </c>
      <c r="MXY12" s="314" t="s">
        <v>203</v>
      </c>
      <c r="MXZ12" s="314" t="s">
        <v>203</v>
      </c>
      <c r="MYA12" s="314" t="s">
        <v>203</v>
      </c>
      <c r="MYB12" s="314" t="s">
        <v>203</v>
      </c>
      <c r="MYC12" s="314" t="s">
        <v>203</v>
      </c>
      <c r="MYD12" s="314" t="s">
        <v>203</v>
      </c>
      <c r="MYE12" s="314" t="s">
        <v>203</v>
      </c>
      <c r="MYF12" s="314" t="s">
        <v>203</v>
      </c>
      <c r="MYG12" s="314" t="s">
        <v>203</v>
      </c>
      <c r="MYH12" s="314" t="s">
        <v>203</v>
      </c>
      <c r="MYI12" s="314" t="s">
        <v>203</v>
      </c>
      <c r="MYJ12" s="314" t="s">
        <v>203</v>
      </c>
      <c r="MYK12" s="314" t="s">
        <v>203</v>
      </c>
      <c r="MYL12" s="314" t="s">
        <v>203</v>
      </c>
      <c r="MYM12" s="314" t="s">
        <v>203</v>
      </c>
      <c r="MYN12" s="314" t="s">
        <v>203</v>
      </c>
      <c r="MYO12" s="314" t="s">
        <v>203</v>
      </c>
      <c r="MYP12" s="314" t="s">
        <v>203</v>
      </c>
      <c r="MYQ12" s="314" t="s">
        <v>203</v>
      </c>
      <c r="MYR12" s="314" t="s">
        <v>203</v>
      </c>
      <c r="MYS12" s="314" t="s">
        <v>203</v>
      </c>
      <c r="MYT12" s="314" t="s">
        <v>203</v>
      </c>
      <c r="MYU12" s="314" t="s">
        <v>203</v>
      </c>
      <c r="MYV12" s="314" t="s">
        <v>203</v>
      </c>
      <c r="MYW12" s="314" t="s">
        <v>203</v>
      </c>
      <c r="MYX12" s="314" t="s">
        <v>203</v>
      </c>
      <c r="MYY12" s="314" t="s">
        <v>203</v>
      </c>
      <c r="MYZ12" s="314" t="s">
        <v>203</v>
      </c>
      <c r="MZA12" s="314" t="s">
        <v>203</v>
      </c>
      <c r="MZB12" s="314" t="s">
        <v>203</v>
      </c>
      <c r="MZC12" s="314" t="s">
        <v>203</v>
      </c>
      <c r="MZD12" s="314" t="s">
        <v>203</v>
      </c>
      <c r="MZE12" s="314" t="s">
        <v>203</v>
      </c>
      <c r="MZF12" s="314" t="s">
        <v>203</v>
      </c>
      <c r="MZG12" s="314" t="s">
        <v>203</v>
      </c>
      <c r="MZH12" s="314" t="s">
        <v>203</v>
      </c>
      <c r="MZI12" s="314" t="s">
        <v>203</v>
      </c>
      <c r="MZJ12" s="314" t="s">
        <v>203</v>
      </c>
      <c r="MZK12" s="314" t="s">
        <v>203</v>
      </c>
      <c r="MZL12" s="314" t="s">
        <v>203</v>
      </c>
      <c r="MZM12" s="314" t="s">
        <v>203</v>
      </c>
      <c r="MZN12" s="314" t="s">
        <v>203</v>
      </c>
      <c r="MZO12" s="314" t="s">
        <v>203</v>
      </c>
      <c r="MZP12" s="314" t="s">
        <v>203</v>
      </c>
      <c r="MZQ12" s="314" t="s">
        <v>203</v>
      </c>
      <c r="MZR12" s="314" t="s">
        <v>203</v>
      </c>
      <c r="MZS12" s="314" t="s">
        <v>203</v>
      </c>
      <c r="MZT12" s="314" t="s">
        <v>203</v>
      </c>
      <c r="MZU12" s="314" t="s">
        <v>203</v>
      </c>
      <c r="MZV12" s="314" t="s">
        <v>203</v>
      </c>
      <c r="MZW12" s="314" t="s">
        <v>203</v>
      </c>
      <c r="MZX12" s="314" t="s">
        <v>203</v>
      </c>
      <c r="MZY12" s="314" t="s">
        <v>203</v>
      </c>
      <c r="MZZ12" s="314" t="s">
        <v>203</v>
      </c>
      <c r="NAA12" s="314" t="s">
        <v>203</v>
      </c>
      <c r="NAB12" s="314" t="s">
        <v>203</v>
      </c>
      <c r="NAC12" s="314" t="s">
        <v>203</v>
      </c>
      <c r="NAD12" s="314" t="s">
        <v>203</v>
      </c>
      <c r="NAE12" s="314" t="s">
        <v>203</v>
      </c>
      <c r="NAF12" s="314" t="s">
        <v>203</v>
      </c>
      <c r="NAG12" s="314" t="s">
        <v>203</v>
      </c>
      <c r="NAH12" s="314" t="s">
        <v>203</v>
      </c>
      <c r="NAI12" s="314" t="s">
        <v>203</v>
      </c>
      <c r="NAJ12" s="314" t="s">
        <v>203</v>
      </c>
      <c r="NAK12" s="314" t="s">
        <v>203</v>
      </c>
      <c r="NAL12" s="314" t="s">
        <v>203</v>
      </c>
      <c r="NAM12" s="314" t="s">
        <v>203</v>
      </c>
      <c r="NAN12" s="314" t="s">
        <v>203</v>
      </c>
      <c r="NAO12" s="314" t="s">
        <v>203</v>
      </c>
      <c r="NAP12" s="314" t="s">
        <v>203</v>
      </c>
      <c r="NAQ12" s="314" t="s">
        <v>203</v>
      </c>
      <c r="NAR12" s="314" t="s">
        <v>203</v>
      </c>
      <c r="NAS12" s="314" t="s">
        <v>203</v>
      </c>
      <c r="NAT12" s="314" t="s">
        <v>203</v>
      </c>
      <c r="NAU12" s="314" t="s">
        <v>203</v>
      </c>
      <c r="NAV12" s="314" t="s">
        <v>203</v>
      </c>
      <c r="NAW12" s="314" t="s">
        <v>203</v>
      </c>
      <c r="NAX12" s="314" t="s">
        <v>203</v>
      </c>
      <c r="NAY12" s="314" t="s">
        <v>203</v>
      </c>
      <c r="NAZ12" s="314" t="s">
        <v>203</v>
      </c>
      <c r="NBA12" s="314" t="s">
        <v>203</v>
      </c>
      <c r="NBB12" s="314" t="s">
        <v>203</v>
      </c>
      <c r="NBC12" s="314" t="s">
        <v>203</v>
      </c>
      <c r="NBD12" s="314" t="s">
        <v>203</v>
      </c>
      <c r="NBE12" s="314" t="s">
        <v>203</v>
      </c>
      <c r="NBF12" s="314" t="s">
        <v>203</v>
      </c>
      <c r="NBG12" s="314" t="s">
        <v>203</v>
      </c>
      <c r="NBH12" s="314" t="s">
        <v>203</v>
      </c>
      <c r="NBI12" s="314" t="s">
        <v>203</v>
      </c>
      <c r="NBJ12" s="314" t="s">
        <v>203</v>
      </c>
      <c r="NBK12" s="314" t="s">
        <v>203</v>
      </c>
      <c r="NBL12" s="314" t="s">
        <v>203</v>
      </c>
      <c r="NBM12" s="314" t="s">
        <v>203</v>
      </c>
      <c r="NBN12" s="314" t="s">
        <v>203</v>
      </c>
      <c r="NBO12" s="314" t="s">
        <v>203</v>
      </c>
      <c r="NBP12" s="314" t="s">
        <v>203</v>
      </c>
      <c r="NBQ12" s="314" t="s">
        <v>203</v>
      </c>
      <c r="NBR12" s="314" t="s">
        <v>203</v>
      </c>
      <c r="NBS12" s="314" t="s">
        <v>203</v>
      </c>
      <c r="NBT12" s="314" t="s">
        <v>203</v>
      </c>
      <c r="NBU12" s="314" t="s">
        <v>203</v>
      </c>
      <c r="NBV12" s="314" t="s">
        <v>203</v>
      </c>
      <c r="NBW12" s="314" t="s">
        <v>203</v>
      </c>
      <c r="NBX12" s="314" t="s">
        <v>203</v>
      </c>
      <c r="NBY12" s="314" t="s">
        <v>203</v>
      </c>
      <c r="NBZ12" s="314" t="s">
        <v>203</v>
      </c>
      <c r="NCA12" s="314" t="s">
        <v>203</v>
      </c>
      <c r="NCB12" s="314" t="s">
        <v>203</v>
      </c>
      <c r="NCC12" s="314" t="s">
        <v>203</v>
      </c>
      <c r="NCD12" s="314" t="s">
        <v>203</v>
      </c>
      <c r="NCE12" s="314" t="s">
        <v>203</v>
      </c>
      <c r="NCF12" s="314" t="s">
        <v>203</v>
      </c>
      <c r="NCG12" s="314" t="s">
        <v>203</v>
      </c>
      <c r="NCH12" s="314" t="s">
        <v>203</v>
      </c>
      <c r="NCI12" s="314" t="s">
        <v>203</v>
      </c>
      <c r="NCJ12" s="314" t="s">
        <v>203</v>
      </c>
      <c r="NCK12" s="314" t="s">
        <v>203</v>
      </c>
      <c r="NCL12" s="314" t="s">
        <v>203</v>
      </c>
      <c r="NCM12" s="314" t="s">
        <v>203</v>
      </c>
      <c r="NCN12" s="314" t="s">
        <v>203</v>
      </c>
      <c r="NCO12" s="314" t="s">
        <v>203</v>
      </c>
      <c r="NCP12" s="314" t="s">
        <v>203</v>
      </c>
      <c r="NCQ12" s="314" t="s">
        <v>203</v>
      </c>
      <c r="NCR12" s="314" t="s">
        <v>203</v>
      </c>
      <c r="NCS12" s="314" t="s">
        <v>203</v>
      </c>
      <c r="NCT12" s="314" t="s">
        <v>203</v>
      </c>
      <c r="NCU12" s="314" t="s">
        <v>203</v>
      </c>
      <c r="NCV12" s="314" t="s">
        <v>203</v>
      </c>
      <c r="NCW12" s="314" t="s">
        <v>203</v>
      </c>
      <c r="NCX12" s="314" t="s">
        <v>203</v>
      </c>
      <c r="NCY12" s="314" t="s">
        <v>203</v>
      </c>
      <c r="NCZ12" s="314" t="s">
        <v>203</v>
      </c>
      <c r="NDA12" s="314" t="s">
        <v>203</v>
      </c>
      <c r="NDB12" s="314" t="s">
        <v>203</v>
      </c>
      <c r="NDC12" s="314" t="s">
        <v>203</v>
      </c>
      <c r="NDD12" s="314" t="s">
        <v>203</v>
      </c>
      <c r="NDE12" s="314" t="s">
        <v>203</v>
      </c>
      <c r="NDF12" s="314" t="s">
        <v>203</v>
      </c>
      <c r="NDG12" s="314" t="s">
        <v>203</v>
      </c>
      <c r="NDH12" s="314" t="s">
        <v>203</v>
      </c>
      <c r="NDI12" s="314" t="s">
        <v>203</v>
      </c>
      <c r="NDJ12" s="314" t="s">
        <v>203</v>
      </c>
      <c r="NDK12" s="314" t="s">
        <v>203</v>
      </c>
      <c r="NDL12" s="314" t="s">
        <v>203</v>
      </c>
      <c r="NDM12" s="314" t="s">
        <v>203</v>
      </c>
      <c r="NDN12" s="314" t="s">
        <v>203</v>
      </c>
      <c r="NDO12" s="314" t="s">
        <v>203</v>
      </c>
      <c r="NDP12" s="314" t="s">
        <v>203</v>
      </c>
      <c r="NDQ12" s="314" t="s">
        <v>203</v>
      </c>
      <c r="NDR12" s="314" t="s">
        <v>203</v>
      </c>
      <c r="NDS12" s="314" t="s">
        <v>203</v>
      </c>
      <c r="NDT12" s="314" t="s">
        <v>203</v>
      </c>
      <c r="NDU12" s="314" t="s">
        <v>203</v>
      </c>
      <c r="NDV12" s="314" t="s">
        <v>203</v>
      </c>
      <c r="NDW12" s="314" t="s">
        <v>203</v>
      </c>
      <c r="NDX12" s="314" t="s">
        <v>203</v>
      </c>
      <c r="NDY12" s="314" t="s">
        <v>203</v>
      </c>
      <c r="NDZ12" s="314" t="s">
        <v>203</v>
      </c>
      <c r="NEA12" s="314" t="s">
        <v>203</v>
      </c>
      <c r="NEB12" s="314" t="s">
        <v>203</v>
      </c>
      <c r="NEC12" s="314" t="s">
        <v>203</v>
      </c>
      <c r="NED12" s="314" t="s">
        <v>203</v>
      </c>
      <c r="NEE12" s="314" t="s">
        <v>203</v>
      </c>
      <c r="NEF12" s="314" t="s">
        <v>203</v>
      </c>
      <c r="NEG12" s="314" t="s">
        <v>203</v>
      </c>
      <c r="NEH12" s="314" t="s">
        <v>203</v>
      </c>
      <c r="NEI12" s="314" t="s">
        <v>203</v>
      </c>
      <c r="NEJ12" s="314" t="s">
        <v>203</v>
      </c>
      <c r="NEK12" s="314" t="s">
        <v>203</v>
      </c>
      <c r="NEL12" s="314" t="s">
        <v>203</v>
      </c>
      <c r="NEM12" s="314" t="s">
        <v>203</v>
      </c>
      <c r="NEN12" s="314" t="s">
        <v>203</v>
      </c>
      <c r="NEO12" s="314" t="s">
        <v>203</v>
      </c>
      <c r="NEP12" s="314" t="s">
        <v>203</v>
      </c>
      <c r="NEQ12" s="314" t="s">
        <v>203</v>
      </c>
      <c r="NER12" s="314" t="s">
        <v>203</v>
      </c>
      <c r="NES12" s="314" t="s">
        <v>203</v>
      </c>
      <c r="NET12" s="314" t="s">
        <v>203</v>
      </c>
      <c r="NEU12" s="314" t="s">
        <v>203</v>
      </c>
      <c r="NEV12" s="314" t="s">
        <v>203</v>
      </c>
      <c r="NEW12" s="314" t="s">
        <v>203</v>
      </c>
      <c r="NEX12" s="314" t="s">
        <v>203</v>
      </c>
      <c r="NEY12" s="314" t="s">
        <v>203</v>
      </c>
      <c r="NEZ12" s="314" t="s">
        <v>203</v>
      </c>
      <c r="NFA12" s="314" t="s">
        <v>203</v>
      </c>
      <c r="NFB12" s="314" t="s">
        <v>203</v>
      </c>
      <c r="NFC12" s="314" t="s">
        <v>203</v>
      </c>
      <c r="NFD12" s="314" t="s">
        <v>203</v>
      </c>
      <c r="NFE12" s="314" t="s">
        <v>203</v>
      </c>
      <c r="NFF12" s="314" t="s">
        <v>203</v>
      </c>
      <c r="NFG12" s="314" t="s">
        <v>203</v>
      </c>
      <c r="NFH12" s="314" t="s">
        <v>203</v>
      </c>
      <c r="NFI12" s="314" t="s">
        <v>203</v>
      </c>
      <c r="NFJ12" s="314" t="s">
        <v>203</v>
      </c>
      <c r="NFK12" s="314" t="s">
        <v>203</v>
      </c>
      <c r="NFL12" s="314" t="s">
        <v>203</v>
      </c>
      <c r="NFM12" s="314" t="s">
        <v>203</v>
      </c>
      <c r="NFN12" s="314" t="s">
        <v>203</v>
      </c>
      <c r="NFO12" s="314" t="s">
        <v>203</v>
      </c>
      <c r="NFP12" s="314" t="s">
        <v>203</v>
      </c>
      <c r="NFQ12" s="314" t="s">
        <v>203</v>
      </c>
      <c r="NFR12" s="314" t="s">
        <v>203</v>
      </c>
      <c r="NFS12" s="314" t="s">
        <v>203</v>
      </c>
      <c r="NFT12" s="314" t="s">
        <v>203</v>
      </c>
      <c r="NFU12" s="314" t="s">
        <v>203</v>
      </c>
      <c r="NFV12" s="314" t="s">
        <v>203</v>
      </c>
      <c r="NFW12" s="314" t="s">
        <v>203</v>
      </c>
      <c r="NFX12" s="314" t="s">
        <v>203</v>
      </c>
      <c r="NFY12" s="314" t="s">
        <v>203</v>
      </c>
      <c r="NFZ12" s="314" t="s">
        <v>203</v>
      </c>
      <c r="NGA12" s="314" t="s">
        <v>203</v>
      </c>
      <c r="NGB12" s="314" t="s">
        <v>203</v>
      </c>
      <c r="NGC12" s="314" t="s">
        <v>203</v>
      </c>
      <c r="NGD12" s="314" t="s">
        <v>203</v>
      </c>
      <c r="NGE12" s="314" t="s">
        <v>203</v>
      </c>
      <c r="NGF12" s="314" t="s">
        <v>203</v>
      </c>
      <c r="NGG12" s="314" t="s">
        <v>203</v>
      </c>
      <c r="NGH12" s="314" t="s">
        <v>203</v>
      </c>
      <c r="NGI12" s="314" t="s">
        <v>203</v>
      </c>
      <c r="NGJ12" s="314" t="s">
        <v>203</v>
      </c>
      <c r="NGK12" s="314" t="s">
        <v>203</v>
      </c>
      <c r="NGL12" s="314" t="s">
        <v>203</v>
      </c>
      <c r="NGM12" s="314" t="s">
        <v>203</v>
      </c>
      <c r="NGN12" s="314" t="s">
        <v>203</v>
      </c>
      <c r="NGO12" s="314" t="s">
        <v>203</v>
      </c>
      <c r="NGP12" s="314" t="s">
        <v>203</v>
      </c>
      <c r="NGQ12" s="314" t="s">
        <v>203</v>
      </c>
      <c r="NGR12" s="314" t="s">
        <v>203</v>
      </c>
      <c r="NGS12" s="314" t="s">
        <v>203</v>
      </c>
      <c r="NGT12" s="314" t="s">
        <v>203</v>
      </c>
      <c r="NGU12" s="314" t="s">
        <v>203</v>
      </c>
      <c r="NGV12" s="314" t="s">
        <v>203</v>
      </c>
      <c r="NGW12" s="314" t="s">
        <v>203</v>
      </c>
      <c r="NGX12" s="314" t="s">
        <v>203</v>
      </c>
      <c r="NGY12" s="314" t="s">
        <v>203</v>
      </c>
      <c r="NGZ12" s="314" t="s">
        <v>203</v>
      </c>
      <c r="NHA12" s="314" t="s">
        <v>203</v>
      </c>
      <c r="NHB12" s="314" t="s">
        <v>203</v>
      </c>
      <c r="NHC12" s="314" t="s">
        <v>203</v>
      </c>
      <c r="NHD12" s="314" t="s">
        <v>203</v>
      </c>
      <c r="NHE12" s="314" t="s">
        <v>203</v>
      </c>
      <c r="NHF12" s="314" t="s">
        <v>203</v>
      </c>
      <c r="NHG12" s="314" t="s">
        <v>203</v>
      </c>
      <c r="NHH12" s="314" t="s">
        <v>203</v>
      </c>
      <c r="NHI12" s="314" t="s">
        <v>203</v>
      </c>
      <c r="NHJ12" s="314" t="s">
        <v>203</v>
      </c>
      <c r="NHK12" s="314" t="s">
        <v>203</v>
      </c>
      <c r="NHL12" s="314" t="s">
        <v>203</v>
      </c>
      <c r="NHM12" s="314" t="s">
        <v>203</v>
      </c>
      <c r="NHN12" s="314" t="s">
        <v>203</v>
      </c>
      <c r="NHO12" s="314" t="s">
        <v>203</v>
      </c>
      <c r="NHP12" s="314" t="s">
        <v>203</v>
      </c>
      <c r="NHQ12" s="314" t="s">
        <v>203</v>
      </c>
      <c r="NHR12" s="314" t="s">
        <v>203</v>
      </c>
      <c r="NHS12" s="314" t="s">
        <v>203</v>
      </c>
      <c r="NHT12" s="314" t="s">
        <v>203</v>
      </c>
      <c r="NHU12" s="314" t="s">
        <v>203</v>
      </c>
      <c r="NHV12" s="314" t="s">
        <v>203</v>
      </c>
      <c r="NHW12" s="314" t="s">
        <v>203</v>
      </c>
      <c r="NHX12" s="314" t="s">
        <v>203</v>
      </c>
      <c r="NHY12" s="314" t="s">
        <v>203</v>
      </c>
      <c r="NHZ12" s="314" t="s">
        <v>203</v>
      </c>
      <c r="NIA12" s="314" t="s">
        <v>203</v>
      </c>
      <c r="NIB12" s="314" t="s">
        <v>203</v>
      </c>
      <c r="NIC12" s="314" t="s">
        <v>203</v>
      </c>
      <c r="NID12" s="314" t="s">
        <v>203</v>
      </c>
      <c r="NIE12" s="314" t="s">
        <v>203</v>
      </c>
      <c r="NIF12" s="314" t="s">
        <v>203</v>
      </c>
      <c r="NIG12" s="314" t="s">
        <v>203</v>
      </c>
      <c r="NIH12" s="314" t="s">
        <v>203</v>
      </c>
      <c r="NII12" s="314" t="s">
        <v>203</v>
      </c>
      <c r="NIJ12" s="314" t="s">
        <v>203</v>
      </c>
      <c r="NIK12" s="314" t="s">
        <v>203</v>
      </c>
      <c r="NIL12" s="314" t="s">
        <v>203</v>
      </c>
      <c r="NIM12" s="314" t="s">
        <v>203</v>
      </c>
      <c r="NIN12" s="314" t="s">
        <v>203</v>
      </c>
      <c r="NIO12" s="314" t="s">
        <v>203</v>
      </c>
      <c r="NIP12" s="314" t="s">
        <v>203</v>
      </c>
      <c r="NIQ12" s="314" t="s">
        <v>203</v>
      </c>
      <c r="NIR12" s="314" t="s">
        <v>203</v>
      </c>
      <c r="NIS12" s="314" t="s">
        <v>203</v>
      </c>
      <c r="NIT12" s="314" t="s">
        <v>203</v>
      </c>
      <c r="NIU12" s="314" t="s">
        <v>203</v>
      </c>
      <c r="NIV12" s="314" t="s">
        <v>203</v>
      </c>
      <c r="NIW12" s="314" t="s">
        <v>203</v>
      </c>
      <c r="NIX12" s="314" t="s">
        <v>203</v>
      </c>
      <c r="NIY12" s="314" t="s">
        <v>203</v>
      </c>
      <c r="NIZ12" s="314" t="s">
        <v>203</v>
      </c>
      <c r="NJA12" s="314" t="s">
        <v>203</v>
      </c>
      <c r="NJB12" s="314" t="s">
        <v>203</v>
      </c>
      <c r="NJC12" s="314" t="s">
        <v>203</v>
      </c>
      <c r="NJD12" s="314" t="s">
        <v>203</v>
      </c>
      <c r="NJE12" s="314" t="s">
        <v>203</v>
      </c>
      <c r="NJF12" s="314" t="s">
        <v>203</v>
      </c>
      <c r="NJG12" s="314" t="s">
        <v>203</v>
      </c>
      <c r="NJH12" s="314" t="s">
        <v>203</v>
      </c>
      <c r="NJI12" s="314" t="s">
        <v>203</v>
      </c>
      <c r="NJJ12" s="314" t="s">
        <v>203</v>
      </c>
      <c r="NJK12" s="314" t="s">
        <v>203</v>
      </c>
      <c r="NJL12" s="314" t="s">
        <v>203</v>
      </c>
      <c r="NJM12" s="314" t="s">
        <v>203</v>
      </c>
      <c r="NJN12" s="314" t="s">
        <v>203</v>
      </c>
      <c r="NJO12" s="314" t="s">
        <v>203</v>
      </c>
      <c r="NJP12" s="314" t="s">
        <v>203</v>
      </c>
      <c r="NJQ12" s="314" t="s">
        <v>203</v>
      </c>
      <c r="NJR12" s="314" t="s">
        <v>203</v>
      </c>
      <c r="NJS12" s="314" t="s">
        <v>203</v>
      </c>
      <c r="NJT12" s="314" t="s">
        <v>203</v>
      </c>
      <c r="NJU12" s="314" t="s">
        <v>203</v>
      </c>
      <c r="NJV12" s="314" t="s">
        <v>203</v>
      </c>
      <c r="NJW12" s="314" t="s">
        <v>203</v>
      </c>
      <c r="NJX12" s="314" t="s">
        <v>203</v>
      </c>
      <c r="NJY12" s="314" t="s">
        <v>203</v>
      </c>
      <c r="NJZ12" s="314" t="s">
        <v>203</v>
      </c>
      <c r="NKA12" s="314" t="s">
        <v>203</v>
      </c>
      <c r="NKB12" s="314" t="s">
        <v>203</v>
      </c>
      <c r="NKC12" s="314" t="s">
        <v>203</v>
      </c>
      <c r="NKD12" s="314" t="s">
        <v>203</v>
      </c>
      <c r="NKE12" s="314" t="s">
        <v>203</v>
      </c>
      <c r="NKF12" s="314" t="s">
        <v>203</v>
      </c>
      <c r="NKG12" s="314" t="s">
        <v>203</v>
      </c>
      <c r="NKH12" s="314" t="s">
        <v>203</v>
      </c>
      <c r="NKI12" s="314" t="s">
        <v>203</v>
      </c>
      <c r="NKJ12" s="314" t="s">
        <v>203</v>
      </c>
      <c r="NKK12" s="314" t="s">
        <v>203</v>
      </c>
      <c r="NKL12" s="314" t="s">
        <v>203</v>
      </c>
      <c r="NKM12" s="314" t="s">
        <v>203</v>
      </c>
      <c r="NKN12" s="314" t="s">
        <v>203</v>
      </c>
      <c r="NKO12" s="314" t="s">
        <v>203</v>
      </c>
      <c r="NKP12" s="314" t="s">
        <v>203</v>
      </c>
      <c r="NKQ12" s="314" t="s">
        <v>203</v>
      </c>
      <c r="NKR12" s="314" t="s">
        <v>203</v>
      </c>
      <c r="NKS12" s="314" t="s">
        <v>203</v>
      </c>
      <c r="NKT12" s="314" t="s">
        <v>203</v>
      </c>
      <c r="NKU12" s="314" t="s">
        <v>203</v>
      </c>
      <c r="NKV12" s="314" t="s">
        <v>203</v>
      </c>
      <c r="NKW12" s="314" t="s">
        <v>203</v>
      </c>
      <c r="NKX12" s="314" t="s">
        <v>203</v>
      </c>
      <c r="NKY12" s="314" t="s">
        <v>203</v>
      </c>
      <c r="NKZ12" s="314" t="s">
        <v>203</v>
      </c>
      <c r="NLA12" s="314" t="s">
        <v>203</v>
      </c>
      <c r="NLB12" s="314" t="s">
        <v>203</v>
      </c>
      <c r="NLC12" s="314" t="s">
        <v>203</v>
      </c>
      <c r="NLD12" s="314" t="s">
        <v>203</v>
      </c>
      <c r="NLE12" s="314" t="s">
        <v>203</v>
      </c>
      <c r="NLF12" s="314" t="s">
        <v>203</v>
      </c>
      <c r="NLG12" s="314" t="s">
        <v>203</v>
      </c>
      <c r="NLH12" s="314" t="s">
        <v>203</v>
      </c>
      <c r="NLI12" s="314" t="s">
        <v>203</v>
      </c>
      <c r="NLJ12" s="314" t="s">
        <v>203</v>
      </c>
      <c r="NLK12" s="314" t="s">
        <v>203</v>
      </c>
      <c r="NLL12" s="314" t="s">
        <v>203</v>
      </c>
      <c r="NLM12" s="314" t="s">
        <v>203</v>
      </c>
      <c r="NLN12" s="314" t="s">
        <v>203</v>
      </c>
      <c r="NLO12" s="314" t="s">
        <v>203</v>
      </c>
      <c r="NLP12" s="314" t="s">
        <v>203</v>
      </c>
      <c r="NLQ12" s="314" t="s">
        <v>203</v>
      </c>
      <c r="NLR12" s="314" t="s">
        <v>203</v>
      </c>
      <c r="NLS12" s="314" t="s">
        <v>203</v>
      </c>
      <c r="NLT12" s="314" t="s">
        <v>203</v>
      </c>
      <c r="NLU12" s="314" t="s">
        <v>203</v>
      </c>
      <c r="NLV12" s="314" t="s">
        <v>203</v>
      </c>
      <c r="NLW12" s="314" t="s">
        <v>203</v>
      </c>
      <c r="NLX12" s="314" t="s">
        <v>203</v>
      </c>
      <c r="NLY12" s="314" t="s">
        <v>203</v>
      </c>
      <c r="NLZ12" s="314" t="s">
        <v>203</v>
      </c>
      <c r="NMA12" s="314" t="s">
        <v>203</v>
      </c>
      <c r="NMB12" s="314" t="s">
        <v>203</v>
      </c>
      <c r="NMC12" s="314" t="s">
        <v>203</v>
      </c>
      <c r="NMD12" s="314" t="s">
        <v>203</v>
      </c>
      <c r="NME12" s="314" t="s">
        <v>203</v>
      </c>
      <c r="NMF12" s="314" t="s">
        <v>203</v>
      </c>
      <c r="NMG12" s="314" t="s">
        <v>203</v>
      </c>
      <c r="NMH12" s="314" t="s">
        <v>203</v>
      </c>
      <c r="NMI12" s="314" t="s">
        <v>203</v>
      </c>
      <c r="NMJ12" s="314" t="s">
        <v>203</v>
      </c>
      <c r="NMK12" s="314" t="s">
        <v>203</v>
      </c>
      <c r="NML12" s="314" t="s">
        <v>203</v>
      </c>
      <c r="NMM12" s="314" t="s">
        <v>203</v>
      </c>
      <c r="NMN12" s="314" t="s">
        <v>203</v>
      </c>
      <c r="NMO12" s="314" t="s">
        <v>203</v>
      </c>
      <c r="NMP12" s="314" t="s">
        <v>203</v>
      </c>
      <c r="NMQ12" s="314" t="s">
        <v>203</v>
      </c>
      <c r="NMR12" s="314" t="s">
        <v>203</v>
      </c>
      <c r="NMS12" s="314" t="s">
        <v>203</v>
      </c>
      <c r="NMT12" s="314" t="s">
        <v>203</v>
      </c>
      <c r="NMU12" s="314" t="s">
        <v>203</v>
      </c>
      <c r="NMV12" s="314" t="s">
        <v>203</v>
      </c>
      <c r="NMW12" s="314" t="s">
        <v>203</v>
      </c>
      <c r="NMX12" s="314" t="s">
        <v>203</v>
      </c>
      <c r="NMY12" s="314" t="s">
        <v>203</v>
      </c>
      <c r="NMZ12" s="314" t="s">
        <v>203</v>
      </c>
      <c r="NNA12" s="314" t="s">
        <v>203</v>
      </c>
      <c r="NNB12" s="314" t="s">
        <v>203</v>
      </c>
      <c r="NNC12" s="314" t="s">
        <v>203</v>
      </c>
      <c r="NND12" s="314" t="s">
        <v>203</v>
      </c>
      <c r="NNE12" s="314" t="s">
        <v>203</v>
      </c>
      <c r="NNF12" s="314" t="s">
        <v>203</v>
      </c>
      <c r="NNG12" s="314" t="s">
        <v>203</v>
      </c>
      <c r="NNH12" s="314" t="s">
        <v>203</v>
      </c>
      <c r="NNI12" s="314" t="s">
        <v>203</v>
      </c>
      <c r="NNJ12" s="314" t="s">
        <v>203</v>
      </c>
      <c r="NNK12" s="314" t="s">
        <v>203</v>
      </c>
      <c r="NNL12" s="314" t="s">
        <v>203</v>
      </c>
      <c r="NNM12" s="314" t="s">
        <v>203</v>
      </c>
      <c r="NNN12" s="314" t="s">
        <v>203</v>
      </c>
      <c r="NNO12" s="314" t="s">
        <v>203</v>
      </c>
      <c r="NNP12" s="314" t="s">
        <v>203</v>
      </c>
      <c r="NNQ12" s="314" t="s">
        <v>203</v>
      </c>
      <c r="NNR12" s="314" t="s">
        <v>203</v>
      </c>
      <c r="NNS12" s="314" t="s">
        <v>203</v>
      </c>
      <c r="NNT12" s="314" t="s">
        <v>203</v>
      </c>
      <c r="NNU12" s="314" t="s">
        <v>203</v>
      </c>
      <c r="NNV12" s="314" t="s">
        <v>203</v>
      </c>
      <c r="NNW12" s="314" t="s">
        <v>203</v>
      </c>
      <c r="NNX12" s="314" t="s">
        <v>203</v>
      </c>
      <c r="NNY12" s="314" t="s">
        <v>203</v>
      </c>
      <c r="NNZ12" s="314" t="s">
        <v>203</v>
      </c>
      <c r="NOA12" s="314" t="s">
        <v>203</v>
      </c>
      <c r="NOB12" s="314" t="s">
        <v>203</v>
      </c>
      <c r="NOC12" s="314" t="s">
        <v>203</v>
      </c>
      <c r="NOD12" s="314" t="s">
        <v>203</v>
      </c>
      <c r="NOE12" s="314" t="s">
        <v>203</v>
      </c>
      <c r="NOF12" s="314" t="s">
        <v>203</v>
      </c>
      <c r="NOG12" s="314" t="s">
        <v>203</v>
      </c>
      <c r="NOH12" s="314" t="s">
        <v>203</v>
      </c>
      <c r="NOI12" s="314" t="s">
        <v>203</v>
      </c>
      <c r="NOJ12" s="314" t="s">
        <v>203</v>
      </c>
      <c r="NOK12" s="314" t="s">
        <v>203</v>
      </c>
      <c r="NOL12" s="314" t="s">
        <v>203</v>
      </c>
      <c r="NOM12" s="314" t="s">
        <v>203</v>
      </c>
      <c r="NON12" s="314" t="s">
        <v>203</v>
      </c>
      <c r="NOO12" s="314" t="s">
        <v>203</v>
      </c>
      <c r="NOP12" s="314" t="s">
        <v>203</v>
      </c>
      <c r="NOQ12" s="314" t="s">
        <v>203</v>
      </c>
      <c r="NOR12" s="314" t="s">
        <v>203</v>
      </c>
      <c r="NOS12" s="314" t="s">
        <v>203</v>
      </c>
      <c r="NOT12" s="314" t="s">
        <v>203</v>
      </c>
      <c r="NOU12" s="314" t="s">
        <v>203</v>
      </c>
      <c r="NOV12" s="314" t="s">
        <v>203</v>
      </c>
      <c r="NOW12" s="314" t="s">
        <v>203</v>
      </c>
      <c r="NOX12" s="314" t="s">
        <v>203</v>
      </c>
      <c r="NOY12" s="314" t="s">
        <v>203</v>
      </c>
      <c r="NOZ12" s="314" t="s">
        <v>203</v>
      </c>
      <c r="NPA12" s="314" t="s">
        <v>203</v>
      </c>
      <c r="NPB12" s="314" t="s">
        <v>203</v>
      </c>
      <c r="NPC12" s="314" t="s">
        <v>203</v>
      </c>
      <c r="NPD12" s="314" t="s">
        <v>203</v>
      </c>
      <c r="NPE12" s="314" t="s">
        <v>203</v>
      </c>
      <c r="NPF12" s="314" t="s">
        <v>203</v>
      </c>
      <c r="NPG12" s="314" t="s">
        <v>203</v>
      </c>
      <c r="NPH12" s="314" t="s">
        <v>203</v>
      </c>
      <c r="NPI12" s="314" t="s">
        <v>203</v>
      </c>
      <c r="NPJ12" s="314" t="s">
        <v>203</v>
      </c>
      <c r="NPK12" s="314" t="s">
        <v>203</v>
      </c>
      <c r="NPL12" s="314" t="s">
        <v>203</v>
      </c>
      <c r="NPM12" s="314" t="s">
        <v>203</v>
      </c>
      <c r="NPN12" s="314" t="s">
        <v>203</v>
      </c>
      <c r="NPO12" s="314" t="s">
        <v>203</v>
      </c>
      <c r="NPP12" s="314" t="s">
        <v>203</v>
      </c>
      <c r="NPQ12" s="314" t="s">
        <v>203</v>
      </c>
      <c r="NPR12" s="314" t="s">
        <v>203</v>
      </c>
      <c r="NPS12" s="314" t="s">
        <v>203</v>
      </c>
      <c r="NPT12" s="314" t="s">
        <v>203</v>
      </c>
      <c r="NPU12" s="314" t="s">
        <v>203</v>
      </c>
      <c r="NPV12" s="314" t="s">
        <v>203</v>
      </c>
      <c r="NPW12" s="314" t="s">
        <v>203</v>
      </c>
      <c r="NPX12" s="314" t="s">
        <v>203</v>
      </c>
      <c r="NPY12" s="314" t="s">
        <v>203</v>
      </c>
      <c r="NPZ12" s="314" t="s">
        <v>203</v>
      </c>
      <c r="NQA12" s="314" t="s">
        <v>203</v>
      </c>
      <c r="NQB12" s="314" t="s">
        <v>203</v>
      </c>
      <c r="NQC12" s="314" t="s">
        <v>203</v>
      </c>
      <c r="NQD12" s="314" t="s">
        <v>203</v>
      </c>
      <c r="NQE12" s="314" t="s">
        <v>203</v>
      </c>
      <c r="NQF12" s="314" t="s">
        <v>203</v>
      </c>
      <c r="NQG12" s="314" t="s">
        <v>203</v>
      </c>
      <c r="NQH12" s="314" t="s">
        <v>203</v>
      </c>
      <c r="NQI12" s="314" t="s">
        <v>203</v>
      </c>
      <c r="NQJ12" s="314" t="s">
        <v>203</v>
      </c>
      <c r="NQK12" s="314" t="s">
        <v>203</v>
      </c>
      <c r="NQL12" s="314" t="s">
        <v>203</v>
      </c>
      <c r="NQM12" s="314" t="s">
        <v>203</v>
      </c>
      <c r="NQN12" s="314" t="s">
        <v>203</v>
      </c>
      <c r="NQO12" s="314" t="s">
        <v>203</v>
      </c>
      <c r="NQP12" s="314" t="s">
        <v>203</v>
      </c>
      <c r="NQQ12" s="314" t="s">
        <v>203</v>
      </c>
      <c r="NQR12" s="314" t="s">
        <v>203</v>
      </c>
      <c r="NQS12" s="314" t="s">
        <v>203</v>
      </c>
      <c r="NQT12" s="314" t="s">
        <v>203</v>
      </c>
      <c r="NQU12" s="314" t="s">
        <v>203</v>
      </c>
      <c r="NQV12" s="314" t="s">
        <v>203</v>
      </c>
      <c r="NQW12" s="314" t="s">
        <v>203</v>
      </c>
      <c r="NQX12" s="314" t="s">
        <v>203</v>
      </c>
      <c r="NQY12" s="314" t="s">
        <v>203</v>
      </c>
      <c r="NQZ12" s="314" t="s">
        <v>203</v>
      </c>
      <c r="NRA12" s="314" t="s">
        <v>203</v>
      </c>
      <c r="NRB12" s="314" t="s">
        <v>203</v>
      </c>
      <c r="NRC12" s="314" t="s">
        <v>203</v>
      </c>
      <c r="NRD12" s="314" t="s">
        <v>203</v>
      </c>
      <c r="NRE12" s="314" t="s">
        <v>203</v>
      </c>
      <c r="NRF12" s="314" t="s">
        <v>203</v>
      </c>
      <c r="NRG12" s="314" t="s">
        <v>203</v>
      </c>
      <c r="NRH12" s="314" t="s">
        <v>203</v>
      </c>
      <c r="NRI12" s="314" t="s">
        <v>203</v>
      </c>
      <c r="NRJ12" s="314" t="s">
        <v>203</v>
      </c>
      <c r="NRK12" s="314" t="s">
        <v>203</v>
      </c>
      <c r="NRL12" s="314" t="s">
        <v>203</v>
      </c>
      <c r="NRM12" s="314" t="s">
        <v>203</v>
      </c>
      <c r="NRN12" s="314" t="s">
        <v>203</v>
      </c>
      <c r="NRO12" s="314" t="s">
        <v>203</v>
      </c>
      <c r="NRP12" s="314" t="s">
        <v>203</v>
      </c>
      <c r="NRQ12" s="314" t="s">
        <v>203</v>
      </c>
      <c r="NRR12" s="314" t="s">
        <v>203</v>
      </c>
      <c r="NRS12" s="314" t="s">
        <v>203</v>
      </c>
      <c r="NRT12" s="314" t="s">
        <v>203</v>
      </c>
      <c r="NRU12" s="314" t="s">
        <v>203</v>
      </c>
      <c r="NRV12" s="314" t="s">
        <v>203</v>
      </c>
      <c r="NRW12" s="314" t="s">
        <v>203</v>
      </c>
      <c r="NRX12" s="314" t="s">
        <v>203</v>
      </c>
      <c r="NRY12" s="314" t="s">
        <v>203</v>
      </c>
      <c r="NRZ12" s="314" t="s">
        <v>203</v>
      </c>
      <c r="NSA12" s="314" t="s">
        <v>203</v>
      </c>
      <c r="NSB12" s="314" t="s">
        <v>203</v>
      </c>
      <c r="NSC12" s="314" t="s">
        <v>203</v>
      </c>
      <c r="NSD12" s="314" t="s">
        <v>203</v>
      </c>
      <c r="NSE12" s="314" t="s">
        <v>203</v>
      </c>
      <c r="NSF12" s="314" t="s">
        <v>203</v>
      </c>
      <c r="NSG12" s="314" t="s">
        <v>203</v>
      </c>
      <c r="NSH12" s="314" t="s">
        <v>203</v>
      </c>
      <c r="NSI12" s="314" t="s">
        <v>203</v>
      </c>
      <c r="NSJ12" s="314" t="s">
        <v>203</v>
      </c>
      <c r="NSK12" s="314" t="s">
        <v>203</v>
      </c>
      <c r="NSL12" s="314" t="s">
        <v>203</v>
      </c>
      <c r="NSM12" s="314" t="s">
        <v>203</v>
      </c>
      <c r="NSN12" s="314" t="s">
        <v>203</v>
      </c>
      <c r="NSO12" s="314" t="s">
        <v>203</v>
      </c>
      <c r="NSP12" s="314" t="s">
        <v>203</v>
      </c>
      <c r="NSQ12" s="314" t="s">
        <v>203</v>
      </c>
      <c r="NSR12" s="314" t="s">
        <v>203</v>
      </c>
      <c r="NSS12" s="314" t="s">
        <v>203</v>
      </c>
      <c r="NST12" s="314" t="s">
        <v>203</v>
      </c>
      <c r="NSU12" s="314" t="s">
        <v>203</v>
      </c>
      <c r="NSV12" s="314" t="s">
        <v>203</v>
      </c>
      <c r="NSW12" s="314" t="s">
        <v>203</v>
      </c>
      <c r="NSX12" s="314" t="s">
        <v>203</v>
      </c>
      <c r="NSY12" s="314" t="s">
        <v>203</v>
      </c>
      <c r="NSZ12" s="314" t="s">
        <v>203</v>
      </c>
      <c r="NTA12" s="314" t="s">
        <v>203</v>
      </c>
      <c r="NTB12" s="314" t="s">
        <v>203</v>
      </c>
      <c r="NTC12" s="314" t="s">
        <v>203</v>
      </c>
      <c r="NTD12" s="314" t="s">
        <v>203</v>
      </c>
      <c r="NTE12" s="314" t="s">
        <v>203</v>
      </c>
      <c r="NTF12" s="314" t="s">
        <v>203</v>
      </c>
      <c r="NTG12" s="314" t="s">
        <v>203</v>
      </c>
      <c r="NTH12" s="314" t="s">
        <v>203</v>
      </c>
      <c r="NTI12" s="314" t="s">
        <v>203</v>
      </c>
      <c r="NTJ12" s="314" t="s">
        <v>203</v>
      </c>
      <c r="NTK12" s="314" t="s">
        <v>203</v>
      </c>
      <c r="NTL12" s="314" t="s">
        <v>203</v>
      </c>
      <c r="NTM12" s="314" t="s">
        <v>203</v>
      </c>
      <c r="NTN12" s="314" t="s">
        <v>203</v>
      </c>
      <c r="NTO12" s="314" t="s">
        <v>203</v>
      </c>
      <c r="NTP12" s="314" t="s">
        <v>203</v>
      </c>
      <c r="NTQ12" s="314" t="s">
        <v>203</v>
      </c>
      <c r="NTR12" s="314" t="s">
        <v>203</v>
      </c>
      <c r="NTS12" s="314" t="s">
        <v>203</v>
      </c>
      <c r="NTT12" s="314" t="s">
        <v>203</v>
      </c>
      <c r="NTU12" s="314" t="s">
        <v>203</v>
      </c>
      <c r="NTV12" s="314" t="s">
        <v>203</v>
      </c>
      <c r="NTW12" s="314" t="s">
        <v>203</v>
      </c>
      <c r="NTX12" s="314" t="s">
        <v>203</v>
      </c>
      <c r="NTY12" s="314" t="s">
        <v>203</v>
      </c>
      <c r="NTZ12" s="314" t="s">
        <v>203</v>
      </c>
      <c r="NUA12" s="314" t="s">
        <v>203</v>
      </c>
      <c r="NUB12" s="314" t="s">
        <v>203</v>
      </c>
      <c r="NUC12" s="314" t="s">
        <v>203</v>
      </c>
      <c r="NUD12" s="314" t="s">
        <v>203</v>
      </c>
      <c r="NUE12" s="314" t="s">
        <v>203</v>
      </c>
      <c r="NUF12" s="314" t="s">
        <v>203</v>
      </c>
      <c r="NUG12" s="314" t="s">
        <v>203</v>
      </c>
      <c r="NUH12" s="314" t="s">
        <v>203</v>
      </c>
      <c r="NUI12" s="314" t="s">
        <v>203</v>
      </c>
      <c r="NUJ12" s="314" t="s">
        <v>203</v>
      </c>
      <c r="NUK12" s="314" t="s">
        <v>203</v>
      </c>
      <c r="NUL12" s="314" t="s">
        <v>203</v>
      </c>
      <c r="NUM12" s="314" t="s">
        <v>203</v>
      </c>
      <c r="NUN12" s="314" t="s">
        <v>203</v>
      </c>
      <c r="NUO12" s="314" t="s">
        <v>203</v>
      </c>
      <c r="NUP12" s="314" t="s">
        <v>203</v>
      </c>
      <c r="NUQ12" s="314" t="s">
        <v>203</v>
      </c>
      <c r="NUR12" s="314" t="s">
        <v>203</v>
      </c>
      <c r="NUS12" s="314" t="s">
        <v>203</v>
      </c>
      <c r="NUT12" s="314" t="s">
        <v>203</v>
      </c>
      <c r="NUU12" s="314" t="s">
        <v>203</v>
      </c>
      <c r="NUV12" s="314" t="s">
        <v>203</v>
      </c>
      <c r="NUW12" s="314" t="s">
        <v>203</v>
      </c>
      <c r="NUX12" s="314" t="s">
        <v>203</v>
      </c>
      <c r="NUY12" s="314" t="s">
        <v>203</v>
      </c>
      <c r="NUZ12" s="314" t="s">
        <v>203</v>
      </c>
      <c r="NVA12" s="314" t="s">
        <v>203</v>
      </c>
      <c r="NVB12" s="314" t="s">
        <v>203</v>
      </c>
      <c r="NVC12" s="314" t="s">
        <v>203</v>
      </c>
      <c r="NVD12" s="314" t="s">
        <v>203</v>
      </c>
      <c r="NVE12" s="314" t="s">
        <v>203</v>
      </c>
      <c r="NVF12" s="314" t="s">
        <v>203</v>
      </c>
      <c r="NVG12" s="314" t="s">
        <v>203</v>
      </c>
      <c r="NVH12" s="314" t="s">
        <v>203</v>
      </c>
      <c r="NVI12" s="314" t="s">
        <v>203</v>
      </c>
      <c r="NVJ12" s="314" t="s">
        <v>203</v>
      </c>
      <c r="NVK12" s="314" t="s">
        <v>203</v>
      </c>
      <c r="NVL12" s="314" t="s">
        <v>203</v>
      </c>
      <c r="NVM12" s="314" t="s">
        <v>203</v>
      </c>
      <c r="NVN12" s="314" t="s">
        <v>203</v>
      </c>
      <c r="NVO12" s="314" t="s">
        <v>203</v>
      </c>
      <c r="NVP12" s="314" t="s">
        <v>203</v>
      </c>
      <c r="NVQ12" s="314" t="s">
        <v>203</v>
      </c>
      <c r="NVR12" s="314" t="s">
        <v>203</v>
      </c>
      <c r="NVS12" s="314" t="s">
        <v>203</v>
      </c>
      <c r="NVT12" s="314" t="s">
        <v>203</v>
      </c>
      <c r="NVU12" s="314" t="s">
        <v>203</v>
      </c>
      <c r="NVV12" s="314" t="s">
        <v>203</v>
      </c>
      <c r="NVW12" s="314" t="s">
        <v>203</v>
      </c>
      <c r="NVX12" s="314" t="s">
        <v>203</v>
      </c>
      <c r="NVY12" s="314" t="s">
        <v>203</v>
      </c>
      <c r="NVZ12" s="314" t="s">
        <v>203</v>
      </c>
      <c r="NWA12" s="314" t="s">
        <v>203</v>
      </c>
      <c r="NWB12" s="314" t="s">
        <v>203</v>
      </c>
      <c r="NWC12" s="314" t="s">
        <v>203</v>
      </c>
      <c r="NWD12" s="314" t="s">
        <v>203</v>
      </c>
      <c r="NWE12" s="314" t="s">
        <v>203</v>
      </c>
      <c r="NWF12" s="314" t="s">
        <v>203</v>
      </c>
      <c r="NWG12" s="314" t="s">
        <v>203</v>
      </c>
      <c r="NWH12" s="314" t="s">
        <v>203</v>
      </c>
      <c r="NWI12" s="314" t="s">
        <v>203</v>
      </c>
      <c r="NWJ12" s="314" t="s">
        <v>203</v>
      </c>
      <c r="NWK12" s="314" t="s">
        <v>203</v>
      </c>
      <c r="NWL12" s="314" t="s">
        <v>203</v>
      </c>
      <c r="NWM12" s="314" t="s">
        <v>203</v>
      </c>
      <c r="NWN12" s="314" t="s">
        <v>203</v>
      </c>
      <c r="NWO12" s="314" t="s">
        <v>203</v>
      </c>
      <c r="NWP12" s="314" t="s">
        <v>203</v>
      </c>
      <c r="NWQ12" s="314" t="s">
        <v>203</v>
      </c>
      <c r="NWR12" s="314" t="s">
        <v>203</v>
      </c>
      <c r="NWS12" s="314" t="s">
        <v>203</v>
      </c>
      <c r="NWT12" s="314" t="s">
        <v>203</v>
      </c>
      <c r="NWU12" s="314" t="s">
        <v>203</v>
      </c>
      <c r="NWV12" s="314" t="s">
        <v>203</v>
      </c>
      <c r="NWW12" s="314" t="s">
        <v>203</v>
      </c>
      <c r="NWX12" s="314" t="s">
        <v>203</v>
      </c>
      <c r="NWY12" s="314" t="s">
        <v>203</v>
      </c>
      <c r="NWZ12" s="314" t="s">
        <v>203</v>
      </c>
      <c r="NXA12" s="314" t="s">
        <v>203</v>
      </c>
      <c r="NXB12" s="314" t="s">
        <v>203</v>
      </c>
      <c r="NXC12" s="314" t="s">
        <v>203</v>
      </c>
      <c r="NXD12" s="314" t="s">
        <v>203</v>
      </c>
      <c r="NXE12" s="314" t="s">
        <v>203</v>
      </c>
      <c r="NXF12" s="314" t="s">
        <v>203</v>
      </c>
      <c r="NXG12" s="314" t="s">
        <v>203</v>
      </c>
      <c r="NXH12" s="314" t="s">
        <v>203</v>
      </c>
      <c r="NXI12" s="314" t="s">
        <v>203</v>
      </c>
      <c r="NXJ12" s="314" t="s">
        <v>203</v>
      </c>
      <c r="NXK12" s="314" t="s">
        <v>203</v>
      </c>
      <c r="NXL12" s="314" t="s">
        <v>203</v>
      </c>
      <c r="NXM12" s="314" t="s">
        <v>203</v>
      </c>
      <c r="NXN12" s="314" t="s">
        <v>203</v>
      </c>
      <c r="NXO12" s="314" t="s">
        <v>203</v>
      </c>
      <c r="NXP12" s="314" t="s">
        <v>203</v>
      </c>
      <c r="NXQ12" s="314" t="s">
        <v>203</v>
      </c>
      <c r="NXR12" s="314" t="s">
        <v>203</v>
      </c>
      <c r="NXS12" s="314" t="s">
        <v>203</v>
      </c>
      <c r="NXT12" s="314" t="s">
        <v>203</v>
      </c>
      <c r="NXU12" s="314" t="s">
        <v>203</v>
      </c>
      <c r="NXV12" s="314" t="s">
        <v>203</v>
      </c>
      <c r="NXW12" s="314" t="s">
        <v>203</v>
      </c>
      <c r="NXX12" s="314" t="s">
        <v>203</v>
      </c>
      <c r="NXY12" s="314" t="s">
        <v>203</v>
      </c>
      <c r="NXZ12" s="314" t="s">
        <v>203</v>
      </c>
      <c r="NYA12" s="314" t="s">
        <v>203</v>
      </c>
      <c r="NYB12" s="314" t="s">
        <v>203</v>
      </c>
      <c r="NYC12" s="314" t="s">
        <v>203</v>
      </c>
      <c r="NYD12" s="314" t="s">
        <v>203</v>
      </c>
      <c r="NYE12" s="314" t="s">
        <v>203</v>
      </c>
      <c r="NYF12" s="314" t="s">
        <v>203</v>
      </c>
      <c r="NYG12" s="314" t="s">
        <v>203</v>
      </c>
      <c r="NYH12" s="314" t="s">
        <v>203</v>
      </c>
      <c r="NYI12" s="314" t="s">
        <v>203</v>
      </c>
      <c r="NYJ12" s="314" t="s">
        <v>203</v>
      </c>
      <c r="NYK12" s="314" t="s">
        <v>203</v>
      </c>
      <c r="NYL12" s="314" t="s">
        <v>203</v>
      </c>
      <c r="NYM12" s="314" t="s">
        <v>203</v>
      </c>
      <c r="NYN12" s="314" t="s">
        <v>203</v>
      </c>
      <c r="NYO12" s="314" t="s">
        <v>203</v>
      </c>
      <c r="NYP12" s="314" t="s">
        <v>203</v>
      </c>
      <c r="NYQ12" s="314" t="s">
        <v>203</v>
      </c>
      <c r="NYR12" s="314" t="s">
        <v>203</v>
      </c>
      <c r="NYS12" s="314" t="s">
        <v>203</v>
      </c>
      <c r="NYT12" s="314" t="s">
        <v>203</v>
      </c>
      <c r="NYU12" s="314" t="s">
        <v>203</v>
      </c>
      <c r="NYV12" s="314" t="s">
        <v>203</v>
      </c>
      <c r="NYW12" s="314" t="s">
        <v>203</v>
      </c>
      <c r="NYX12" s="314" t="s">
        <v>203</v>
      </c>
      <c r="NYY12" s="314" t="s">
        <v>203</v>
      </c>
      <c r="NYZ12" s="314" t="s">
        <v>203</v>
      </c>
      <c r="NZA12" s="314" t="s">
        <v>203</v>
      </c>
      <c r="NZB12" s="314" t="s">
        <v>203</v>
      </c>
      <c r="NZC12" s="314" t="s">
        <v>203</v>
      </c>
      <c r="NZD12" s="314" t="s">
        <v>203</v>
      </c>
      <c r="NZE12" s="314" t="s">
        <v>203</v>
      </c>
      <c r="NZF12" s="314" t="s">
        <v>203</v>
      </c>
      <c r="NZG12" s="314" t="s">
        <v>203</v>
      </c>
      <c r="NZH12" s="314" t="s">
        <v>203</v>
      </c>
      <c r="NZI12" s="314" t="s">
        <v>203</v>
      </c>
      <c r="NZJ12" s="314" t="s">
        <v>203</v>
      </c>
      <c r="NZK12" s="314" t="s">
        <v>203</v>
      </c>
      <c r="NZL12" s="314" t="s">
        <v>203</v>
      </c>
      <c r="NZM12" s="314" t="s">
        <v>203</v>
      </c>
      <c r="NZN12" s="314" t="s">
        <v>203</v>
      </c>
      <c r="NZO12" s="314" t="s">
        <v>203</v>
      </c>
      <c r="NZP12" s="314" t="s">
        <v>203</v>
      </c>
      <c r="NZQ12" s="314" t="s">
        <v>203</v>
      </c>
      <c r="NZR12" s="314" t="s">
        <v>203</v>
      </c>
      <c r="NZS12" s="314" t="s">
        <v>203</v>
      </c>
      <c r="NZT12" s="314" t="s">
        <v>203</v>
      </c>
      <c r="NZU12" s="314" t="s">
        <v>203</v>
      </c>
      <c r="NZV12" s="314" t="s">
        <v>203</v>
      </c>
      <c r="NZW12" s="314" t="s">
        <v>203</v>
      </c>
      <c r="NZX12" s="314" t="s">
        <v>203</v>
      </c>
      <c r="NZY12" s="314" t="s">
        <v>203</v>
      </c>
      <c r="NZZ12" s="314" t="s">
        <v>203</v>
      </c>
      <c r="OAA12" s="314" t="s">
        <v>203</v>
      </c>
      <c r="OAB12" s="314" t="s">
        <v>203</v>
      </c>
      <c r="OAC12" s="314" t="s">
        <v>203</v>
      </c>
      <c r="OAD12" s="314" t="s">
        <v>203</v>
      </c>
      <c r="OAE12" s="314" t="s">
        <v>203</v>
      </c>
      <c r="OAF12" s="314" t="s">
        <v>203</v>
      </c>
      <c r="OAG12" s="314" t="s">
        <v>203</v>
      </c>
      <c r="OAH12" s="314" t="s">
        <v>203</v>
      </c>
      <c r="OAI12" s="314" t="s">
        <v>203</v>
      </c>
      <c r="OAJ12" s="314" t="s">
        <v>203</v>
      </c>
      <c r="OAK12" s="314" t="s">
        <v>203</v>
      </c>
      <c r="OAL12" s="314" t="s">
        <v>203</v>
      </c>
      <c r="OAM12" s="314" t="s">
        <v>203</v>
      </c>
      <c r="OAN12" s="314" t="s">
        <v>203</v>
      </c>
      <c r="OAO12" s="314" t="s">
        <v>203</v>
      </c>
      <c r="OAP12" s="314" t="s">
        <v>203</v>
      </c>
      <c r="OAQ12" s="314" t="s">
        <v>203</v>
      </c>
      <c r="OAR12" s="314" t="s">
        <v>203</v>
      </c>
      <c r="OAS12" s="314" t="s">
        <v>203</v>
      </c>
      <c r="OAT12" s="314" t="s">
        <v>203</v>
      </c>
      <c r="OAU12" s="314" t="s">
        <v>203</v>
      </c>
      <c r="OAV12" s="314" t="s">
        <v>203</v>
      </c>
      <c r="OAW12" s="314" t="s">
        <v>203</v>
      </c>
      <c r="OAX12" s="314" t="s">
        <v>203</v>
      </c>
      <c r="OAY12" s="314" t="s">
        <v>203</v>
      </c>
      <c r="OAZ12" s="314" t="s">
        <v>203</v>
      </c>
      <c r="OBA12" s="314" t="s">
        <v>203</v>
      </c>
      <c r="OBB12" s="314" t="s">
        <v>203</v>
      </c>
      <c r="OBC12" s="314" t="s">
        <v>203</v>
      </c>
      <c r="OBD12" s="314" t="s">
        <v>203</v>
      </c>
      <c r="OBE12" s="314" t="s">
        <v>203</v>
      </c>
      <c r="OBF12" s="314" t="s">
        <v>203</v>
      </c>
      <c r="OBG12" s="314" t="s">
        <v>203</v>
      </c>
      <c r="OBH12" s="314" t="s">
        <v>203</v>
      </c>
      <c r="OBI12" s="314" t="s">
        <v>203</v>
      </c>
      <c r="OBJ12" s="314" t="s">
        <v>203</v>
      </c>
      <c r="OBK12" s="314" t="s">
        <v>203</v>
      </c>
      <c r="OBL12" s="314" t="s">
        <v>203</v>
      </c>
      <c r="OBM12" s="314" t="s">
        <v>203</v>
      </c>
      <c r="OBN12" s="314" t="s">
        <v>203</v>
      </c>
      <c r="OBO12" s="314" t="s">
        <v>203</v>
      </c>
      <c r="OBP12" s="314" t="s">
        <v>203</v>
      </c>
      <c r="OBQ12" s="314" t="s">
        <v>203</v>
      </c>
      <c r="OBR12" s="314" t="s">
        <v>203</v>
      </c>
      <c r="OBS12" s="314" t="s">
        <v>203</v>
      </c>
      <c r="OBT12" s="314" t="s">
        <v>203</v>
      </c>
      <c r="OBU12" s="314" t="s">
        <v>203</v>
      </c>
      <c r="OBV12" s="314" t="s">
        <v>203</v>
      </c>
      <c r="OBW12" s="314" t="s">
        <v>203</v>
      </c>
      <c r="OBX12" s="314" t="s">
        <v>203</v>
      </c>
      <c r="OBY12" s="314" t="s">
        <v>203</v>
      </c>
      <c r="OBZ12" s="314" t="s">
        <v>203</v>
      </c>
      <c r="OCA12" s="314" t="s">
        <v>203</v>
      </c>
      <c r="OCB12" s="314" t="s">
        <v>203</v>
      </c>
      <c r="OCC12" s="314" t="s">
        <v>203</v>
      </c>
      <c r="OCD12" s="314" t="s">
        <v>203</v>
      </c>
      <c r="OCE12" s="314" t="s">
        <v>203</v>
      </c>
      <c r="OCF12" s="314" t="s">
        <v>203</v>
      </c>
      <c r="OCG12" s="314" t="s">
        <v>203</v>
      </c>
      <c r="OCH12" s="314" t="s">
        <v>203</v>
      </c>
      <c r="OCI12" s="314" t="s">
        <v>203</v>
      </c>
      <c r="OCJ12" s="314" t="s">
        <v>203</v>
      </c>
      <c r="OCK12" s="314" t="s">
        <v>203</v>
      </c>
      <c r="OCL12" s="314" t="s">
        <v>203</v>
      </c>
      <c r="OCM12" s="314" t="s">
        <v>203</v>
      </c>
      <c r="OCN12" s="314" t="s">
        <v>203</v>
      </c>
      <c r="OCO12" s="314" t="s">
        <v>203</v>
      </c>
      <c r="OCP12" s="314" t="s">
        <v>203</v>
      </c>
      <c r="OCQ12" s="314" t="s">
        <v>203</v>
      </c>
      <c r="OCR12" s="314" t="s">
        <v>203</v>
      </c>
      <c r="OCS12" s="314" t="s">
        <v>203</v>
      </c>
      <c r="OCT12" s="314" t="s">
        <v>203</v>
      </c>
      <c r="OCU12" s="314" t="s">
        <v>203</v>
      </c>
      <c r="OCV12" s="314" t="s">
        <v>203</v>
      </c>
      <c r="OCW12" s="314" t="s">
        <v>203</v>
      </c>
      <c r="OCX12" s="314" t="s">
        <v>203</v>
      </c>
      <c r="OCY12" s="314" t="s">
        <v>203</v>
      </c>
      <c r="OCZ12" s="314" t="s">
        <v>203</v>
      </c>
      <c r="ODA12" s="314" t="s">
        <v>203</v>
      </c>
      <c r="ODB12" s="314" t="s">
        <v>203</v>
      </c>
      <c r="ODC12" s="314" t="s">
        <v>203</v>
      </c>
      <c r="ODD12" s="314" t="s">
        <v>203</v>
      </c>
      <c r="ODE12" s="314" t="s">
        <v>203</v>
      </c>
      <c r="ODF12" s="314" t="s">
        <v>203</v>
      </c>
      <c r="ODG12" s="314" t="s">
        <v>203</v>
      </c>
      <c r="ODH12" s="314" t="s">
        <v>203</v>
      </c>
      <c r="ODI12" s="314" t="s">
        <v>203</v>
      </c>
      <c r="ODJ12" s="314" t="s">
        <v>203</v>
      </c>
      <c r="ODK12" s="314" t="s">
        <v>203</v>
      </c>
      <c r="ODL12" s="314" t="s">
        <v>203</v>
      </c>
      <c r="ODM12" s="314" t="s">
        <v>203</v>
      </c>
      <c r="ODN12" s="314" t="s">
        <v>203</v>
      </c>
      <c r="ODO12" s="314" t="s">
        <v>203</v>
      </c>
      <c r="ODP12" s="314" t="s">
        <v>203</v>
      </c>
      <c r="ODQ12" s="314" t="s">
        <v>203</v>
      </c>
      <c r="ODR12" s="314" t="s">
        <v>203</v>
      </c>
      <c r="ODS12" s="314" t="s">
        <v>203</v>
      </c>
      <c r="ODT12" s="314" t="s">
        <v>203</v>
      </c>
      <c r="ODU12" s="314" t="s">
        <v>203</v>
      </c>
      <c r="ODV12" s="314" t="s">
        <v>203</v>
      </c>
      <c r="ODW12" s="314" t="s">
        <v>203</v>
      </c>
      <c r="ODX12" s="314" t="s">
        <v>203</v>
      </c>
      <c r="ODY12" s="314" t="s">
        <v>203</v>
      </c>
      <c r="ODZ12" s="314" t="s">
        <v>203</v>
      </c>
      <c r="OEA12" s="314" t="s">
        <v>203</v>
      </c>
      <c r="OEB12" s="314" t="s">
        <v>203</v>
      </c>
      <c r="OEC12" s="314" t="s">
        <v>203</v>
      </c>
      <c r="OED12" s="314" t="s">
        <v>203</v>
      </c>
      <c r="OEE12" s="314" t="s">
        <v>203</v>
      </c>
      <c r="OEF12" s="314" t="s">
        <v>203</v>
      </c>
      <c r="OEG12" s="314" t="s">
        <v>203</v>
      </c>
      <c r="OEH12" s="314" t="s">
        <v>203</v>
      </c>
      <c r="OEI12" s="314" t="s">
        <v>203</v>
      </c>
      <c r="OEJ12" s="314" t="s">
        <v>203</v>
      </c>
      <c r="OEK12" s="314" t="s">
        <v>203</v>
      </c>
      <c r="OEL12" s="314" t="s">
        <v>203</v>
      </c>
      <c r="OEM12" s="314" t="s">
        <v>203</v>
      </c>
      <c r="OEN12" s="314" t="s">
        <v>203</v>
      </c>
      <c r="OEO12" s="314" t="s">
        <v>203</v>
      </c>
      <c r="OEP12" s="314" t="s">
        <v>203</v>
      </c>
      <c r="OEQ12" s="314" t="s">
        <v>203</v>
      </c>
      <c r="OER12" s="314" t="s">
        <v>203</v>
      </c>
      <c r="OES12" s="314" t="s">
        <v>203</v>
      </c>
      <c r="OET12" s="314" t="s">
        <v>203</v>
      </c>
      <c r="OEU12" s="314" t="s">
        <v>203</v>
      </c>
      <c r="OEV12" s="314" t="s">
        <v>203</v>
      </c>
      <c r="OEW12" s="314" t="s">
        <v>203</v>
      </c>
      <c r="OEX12" s="314" t="s">
        <v>203</v>
      </c>
      <c r="OEY12" s="314" t="s">
        <v>203</v>
      </c>
      <c r="OEZ12" s="314" t="s">
        <v>203</v>
      </c>
      <c r="OFA12" s="314" t="s">
        <v>203</v>
      </c>
      <c r="OFB12" s="314" t="s">
        <v>203</v>
      </c>
      <c r="OFC12" s="314" t="s">
        <v>203</v>
      </c>
      <c r="OFD12" s="314" t="s">
        <v>203</v>
      </c>
      <c r="OFE12" s="314" t="s">
        <v>203</v>
      </c>
      <c r="OFF12" s="314" t="s">
        <v>203</v>
      </c>
      <c r="OFG12" s="314" t="s">
        <v>203</v>
      </c>
      <c r="OFH12" s="314" t="s">
        <v>203</v>
      </c>
      <c r="OFI12" s="314" t="s">
        <v>203</v>
      </c>
      <c r="OFJ12" s="314" t="s">
        <v>203</v>
      </c>
      <c r="OFK12" s="314" t="s">
        <v>203</v>
      </c>
      <c r="OFL12" s="314" t="s">
        <v>203</v>
      </c>
      <c r="OFM12" s="314" t="s">
        <v>203</v>
      </c>
      <c r="OFN12" s="314" t="s">
        <v>203</v>
      </c>
      <c r="OFO12" s="314" t="s">
        <v>203</v>
      </c>
      <c r="OFP12" s="314" t="s">
        <v>203</v>
      </c>
      <c r="OFQ12" s="314" t="s">
        <v>203</v>
      </c>
      <c r="OFR12" s="314" t="s">
        <v>203</v>
      </c>
      <c r="OFS12" s="314" t="s">
        <v>203</v>
      </c>
      <c r="OFT12" s="314" t="s">
        <v>203</v>
      </c>
      <c r="OFU12" s="314" t="s">
        <v>203</v>
      </c>
      <c r="OFV12" s="314" t="s">
        <v>203</v>
      </c>
      <c r="OFW12" s="314" t="s">
        <v>203</v>
      </c>
      <c r="OFX12" s="314" t="s">
        <v>203</v>
      </c>
      <c r="OFY12" s="314" t="s">
        <v>203</v>
      </c>
      <c r="OFZ12" s="314" t="s">
        <v>203</v>
      </c>
      <c r="OGA12" s="314" t="s">
        <v>203</v>
      </c>
      <c r="OGB12" s="314" t="s">
        <v>203</v>
      </c>
      <c r="OGC12" s="314" t="s">
        <v>203</v>
      </c>
      <c r="OGD12" s="314" t="s">
        <v>203</v>
      </c>
      <c r="OGE12" s="314" t="s">
        <v>203</v>
      </c>
      <c r="OGF12" s="314" t="s">
        <v>203</v>
      </c>
      <c r="OGG12" s="314" t="s">
        <v>203</v>
      </c>
      <c r="OGH12" s="314" t="s">
        <v>203</v>
      </c>
      <c r="OGI12" s="314" t="s">
        <v>203</v>
      </c>
      <c r="OGJ12" s="314" t="s">
        <v>203</v>
      </c>
      <c r="OGK12" s="314" t="s">
        <v>203</v>
      </c>
      <c r="OGL12" s="314" t="s">
        <v>203</v>
      </c>
      <c r="OGM12" s="314" t="s">
        <v>203</v>
      </c>
      <c r="OGN12" s="314" t="s">
        <v>203</v>
      </c>
      <c r="OGO12" s="314" t="s">
        <v>203</v>
      </c>
      <c r="OGP12" s="314" t="s">
        <v>203</v>
      </c>
      <c r="OGQ12" s="314" t="s">
        <v>203</v>
      </c>
      <c r="OGR12" s="314" t="s">
        <v>203</v>
      </c>
      <c r="OGS12" s="314" t="s">
        <v>203</v>
      </c>
      <c r="OGT12" s="314" t="s">
        <v>203</v>
      </c>
      <c r="OGU12" s="314" t="s">
        <v>203</v>
      </c>
      <c r="OGV12" s="314" t="s">
        <v>203</v>
      </c>
      <c r="OGW12" s="314" t="s">
        <v>203</v>
      </c>
      <c r="OGX12" s="314" t="s">
        <v>203</v>
      </c>
      <c r="OGY12" s="314" t="s">
        <v>203</v>
      </c>
      <c r="OGZ12" s="314" t="s">
        <v>203</v>
      </c>
      <c r="OHA12" s="314" t="s">
        <v>203</v>
      </c>
      <c r="OHB12" s="314" t="s">
        <v>203</v>
      </c>
      <c r="OHC12" s="314" t="s">
        <v>203</v>
      </c>
      <c r="OHD12" s="314" t="s">
        <v>203</v>
      </c>
      <c r="OHE12" s="314" t="s">
        <v>203</v>
      </c>
      <c r="OHF12" s="314" t="s">
        <v>203</v>
      </c>
      <c r="OHG12" s="314" t="s">
        <v>203</v>
      </c>
      <c r="OHH12" s="314" t="s">
        <v>203</v>
      </c>
      <c r="OHI12" s="314" t="s">
        <v>203</v>
      </c>
      <c r="OHJ12" s="314" t="s">
        <v>203</v>
      </c>
      <c r="OHK12" s="314" t="s">
        <v>203</v>
      </c>
      <c r="OHL12" s="314" t="s">
        <v>203</v>
      </c>
      <c r="OHM12" s="314" t="s">
        <v>203</v>
      </c>
      <c r="OHN12" s="314" t="s">
        <v>203</v>
      </c>
      <c r="OHO12" s="314" t="s">
        <v>203</v>
      </c>
      <c r="OHP12" s="314" t="s">
        <v>203</v>
      </c>
      <c r="OHQ12" s="314" t="s">
        <v>203</v>
      </c>
      <c r="OHR12" s="314" t="s">
        <v>203</v>
      </c>
      <c r="OHS12" s="314" t="s">
        <v>203</v>
      </c>
      <c r="OHT12" s="314" t="s">
        <v>203</v>
      </c>
      <c r="OHU12" s="314" t="s">
        <v>203</v>
      </c>
      <c r="OHV12" s="314" t="s">
        <v>203</v>
      </c>
      <c r="OHW12" s="314" t="s">
        <v>203</v>
      </c>
      <c r="OHX12" s="314" t="s">
        <v>203</v>
      </c>
      <c r="OHY12" s="314" t="s">
        <v>203</v>
      </c>
      <c r="OHZ12" s="314" t="s">
        <v>203</v>
      </c>
      <c r="OIA12" s="314" t="s">
        <v>203</v>
      </c>
      <c r="OIB12" s="314" t="s">
        <v>203</v>
      </c>
      <c r="OIC12" s="314" t="s">
        <v>203</v>
      </c>
      <c r="OID12" s="314" t="s">
        <v>203</v>
      </c>
      <c r="OIE12" s="314" t="s">
        <v>203</v>
      </c>
      <c r="OIF12" s="314" t="s">
        <v>203</v>
      </c>
      <c r="OIG12" s="314" t="s">
        <v>203</v>
      </c>
      <c r="OIH12" s="314" t="s">
        <v>203</v>
      </c>
      <c r="OII12" s="314" t="s">
        <v>203</v>
      </c>
      <c r="OIJ12" s="314" t="s">
        <v>203</v>
      </c>
      <c r="OIK12" s="314" t="s">
        <v>203</v>
      </c>
      <c r="OIL12" s="314" t="s">
        <v>203</v>
      </c>
      <c r="OIM12" s="314" t="s">
        <v>203</v>
      </c>
      <c r="OIN12" s="314" t="s">
        <v>203</v>
      </c>
      <c r="OIO12" s="314" t="s">
        <v>203</v>
      </c>
      <c r="OIP12" s="314" t="s">
        <v>203</v>
      </c>
      <c r="OIQ12" s="314" t="s">
        <v>203</v>
      </c>
      <c r="OIR12" s="314" t="s">
        <v>203</v>
      </c>
      <c r="OIS12" s="314" t="s">
        <v>203</v>
      </c>
      <c r="OIT12" s="314" t="s">
        <v>203</v>
      </c>
      <c r="OIU12" s="314" t="s">
        <v>203</v>
      </c>
      <c r="OIV12" s="314" t="s">
        <v>203</v>
      </c>
      <c r="OIW12" s="314" t="s">
        <v>203</v>
      </c>
      <c r="OIX12" s="314" t="s">
        <v>203</v>
      </c>
      <c r="OIY12" s="314" t="s">
        <v>203</v>
      </c>
      <c r="OIZ12" s="314" t="s">
        <v>203</v>
      </c>
      <c r="OJA12" s="314" t="s">
        <v>203</v>
      </c>
      <c r="OJB12" s="314" t="s">
        <v>203</v>
      </c>
      <c r="OJC12" s="314" t="s">
        <v>203</v>
      </c>
      <c r="OJD12" s="314" t="s">
        <v>203</v>
      </c>
      <c r="OJE12" s="314" t="s">
        <v>203</v>
      </c>
      <c r="OJF12" s="314" t="s">
        <v>203</v>
      </c>
      <c r="OJG12" s="314" t="s">
        <v>203</v>
      </c>
      <c r="OJH12" s="314" t="s">
        <v>203</v>
      </c>
      <c r="OJI12" s="314" t="s">
        <v>203</v>
      </c>
      <c r="OJJ12" s="314" t="s">
        <v>203</v>
      </c>
      <c r="OJK12" s="314" t="s">
        <v>203</v>
      </c>
      <c r="OJL12" s="314" t="s">
        <v>203</v>
      </c>
      <c r="OJM12" s="314" t="s">
        <v>203</v>
      </c>
      <c r="OJN12" s="314" t="s">
        <v>203</v>
      </c>
      <c r="OJO12" s="314" t="s">
        <v>203</v>
      </c>
      <c r="OJP12" s="314" t="s">
        <v>203</v>
      </c>
      <c r="OJQ12" s="314" t="s">
        <v>203</v>
      </c>
      <c r="OJR12" s="314" t="s">
        <v>203</v>
      </c>
      <c r="OJS12" s="314" t="s">
        <v>203</v>
      </c>
      <c r="OJT12" s="314" t="s">
        <v>203</v>
      </c>
      <c r="OJU12" s="314" t="s">
        <v>203</v>
      </c>
      <c r="OJV12" s="314" t="s">
        <v>203</v>
      </c>
      <c r="OJW12" s="314" t="s">
        <v>203</v>
      </c>
      <c r="OJX12" s="314" t="s">
        <v>203</v>
      </c>
      <c r="OJY12" s="314" t="s">
        <v>203</v>
      </c>
      <c r="OJZ12" s="314" t="s">
        <v>203</v>
      </c>
      <c r="OKA12" s="314" t="s">
        <v>203</v>
      </c>
      <c r="OKB12" s="314" t="s">
        <v>203</v>
      </c>
      <c r="OKC12" s="314" t="s">
        <v>203</v>
      </c>
      <c r="OKD12" s="314" t="s">
        <v>203</v>
      </c>
      <c r="OKE12" s="314" t="s">
        <v>203</v>
      </c>
      <c r="OKF12" s="314" t="s">
        <v>203</v>
      </c>
      <c r="OKG12" s="314" t="s">
        <v>203</v>
      </c>
      <c r="OKH12" s="314" t="s">
        <v>203</v>
      </c>
      <c r="OKI12" s="314" t="s">
        <v>203</v>
      </c>
      <c r="OKJ12" s="314" t="s">
        <v>203</v>
      </c>
      <c r="OKK12" s="314" t="s">
        <v>203</v>
      </c>
      <c r="OKL12" s="314" t="s">
        <v>203</v>
      </c>
      <c r="OKM12" s="314" t="s">
        <v>203</v>
      </c>
      <c r="OKN12" s="314" t="s">
        <v>203</v>
      </c>
      <c r="OKO12" s="314" t="s">
        <v>203</v>
      </c>
      <c r="OKP12" s="314" t="s">
        <v>203</v>
      </c>
      <c r="OKQ12" s="314" t="s">
        <v>203</v>
      </c>
      <c r="OKR12" s="314" t="s">
        <v>203</v>
      </c>
      <c r="OKS12" s="314" t="s">
        <v>203</v>
      </c>
      <c r="OKT12" s="314" t="s">
        <v>203</v>
      </c>
      <c r="OKU12" s="314" t="s">
        <v>203</v>
      </c>
      <c r="OKV12" s="314" t="s">
        <v>203</v>
      </c>
      <c r="OKW12" s="314" t="s">
        <v>203</v>
      </c>
      <c r="OKX12" s="314" t="s">
        <v>203</v>
      </c>
      <c r="OKY12" s="314" t="s">
        <v>203</v>
      </c>
      <c r="OKZ12" s="314" t="s">
        <v>203</v>
      </c>
      <c r="OLA12" s="314" t="s">
        <v>203</v>
      </c>
      <c r="OLB12" s="314" t="s">
        <v>203</v>
      </c>
      <c r="OLC12" s="314" t="s">
        <v>203</v>
      </c>
      <c r="OLD12" s="314" t="s">
        <v>203</v>
      </c>
      <c r="OLE12" s="314" t="s">
        <v>203</v>
      </c>
      <c r="OLF12" s="314" t="s">
        <v>203</v>
      </c>
      <c r="OLG12" s="314" t="s">
        <v>203</v>
      </c>
      <c r="OLH12" s="314" t="s">
        <v>203</v>
      </c>
      <c r="OLI12" s="314" t="s">
        <v>203</v>
      </c>
      <c r="OLJ12" s="314" t="s">
        <v>203</v>
      </c>
      <c r="OLK12" s="314" t="s">
        <v>203</v>
      </c>
      <c r="OLL12" s="314" t="s">
        <v>203</v>
      </c>
      <c r="OLM12" s="314" t="s">
        <v>203</v>
      </c>
      <c r="OLN12" s="314" t="s">
        <v>203</v>
      </c>
      <c r="OLO12" s="314" t="s">
        <v>203</v>
      </c>
      <c r="OLP12" s="314" t="s">
        <v>203</v>
      </c>
      <c r="OLQ12" s="314" t="s">
        <v>203</v>
      </c>
      <c r="OLR12" s="314" t="s">
        <v>203</v>
      </c>
      <c r="OLS12" s="314" t="s">
        <v>203</v>
      </c>
      <c r="OLT12" s="314" t="s">
        <v>203</v>
      </c>
      <c r="OLU12" s="314" t="s">
        <v>203</v>
      </c>
      <c r="OLV12" s="314" t="s">
        <v>203</v>
      </c>
      <c r="OLW12" s="314" t="s">
        <v>203</v>
      </c>
      <c r="OLX12" s="314" t="s">
        <v>203</v>
      </c>
      <c r="OLY12" s="314" t="s">
        <v>203</v>
      </c>
      <c r="OLZ12" s="314" t="s">
        <v>203</v>
      </c>
      <c r="OMA12" s="314" t="s">
        <v>203</v>
      </c>
      <c r="OMB12" s="314" t="s">
        <v>203</v>
      </c>
      <c r="OMC12" s="314" t="s">
        <v>203</v>
      </c>
      <c r="OMD12" s="314" t="s">
        <v>203</v>
      </c>
      <c r="OME12" s="314" t="s">
        <v>203</v>
      </c>
      <c r="OMF12" s="314" t="s">
        <v>203</v>
      </c>
      <c r="OMG12" s="314" t="s">
        <v>203</v>
      </c>
      <c r="OMH12" s="314" t="s">
        <v>203</v>
      </c>
      <c r="OMI12" s="314" t="s">
        <v>203</v>
      </c>
      <c r="OMJ12" s="314" t="s">
        <v>203</v>
      </c>
      <c r="OMK12" s="314" t="s">
        <v>203</v>
      </c>
      <c r="OML12" s="314" t="s">
        <v>203</v>
      </c>
      <c r="OMM12" s="314" t="s">
        <v>203</v>
      </c>
      <c r="OMN12" s="314" t="s">
        <v>203</v>
      </c>
      <c r="OMO12" s="314" t="s">
        <v>203</v>
      </c>
      <c r="OMP12" s="314" t="s">
        <v>203</v>
      </c>
      <c r="OMQ12" s="314" t="s">
        <v>203</v>
      </c>
      <c r="OMR12" s="314" t="s">
        <v>203</v>
      </c>
      <c r="OMS12" s="314" t="s">
        <v>203</v>
      </c>
      <c r="OMT12" s="314" t="s">
        <v>203</v>
      </c>
      <c r="OMU12" s="314" t="s">
        <v>203</v>
      </c>
      <c r="OMV12" s="314" t="s">
        <v>203</v>
      </c>
      <c r="OMW12" s="314" t="s">
        <v>203</v>
      </c>
      <c r="OMX12" s="314" t="s">
        <v>203</v>
      </c>
      <c r="OMY12" s="314" t="s">
        <v>203</v>
      </c>
      <c r="OMZ12" s="314" t="s">
        <v>203</v>
      </c>
      <c r="ONA12" s="314" t="s">
        <v>203</v>
      </c>
      <c r="ONB12" s="314" t="s">
        <v>203</v>
      </c>
      <c r="ONC12" s="314" t="s">
        <v>203</v>
      </c>
      <c r="OND12" s="314" t="s">
        <v>203</v>
      </c>
      <c r="ONE12" s="314" t="s">
        <v>203</v>
      </c>
      <c r="ONF12" s="314" t="s">
        <v>203</v>
      </c>
      <c r="ONG12" s="314" t="s">
        <v>203</v>
      </c>
      <c r="ONH12" s="314" t="s">
        <v>203</v>
      </c>
      <c r="ONI12" s="314" t="s">
        <v>203</v>
      </c>
      <c r="ONJ12" s="314" t="s">
        <v>203</v>
      </c>
      <c r="ONK12" s="314" t="s">
        <v>203</v>
      </c>
      <c r="ONL12" s="314" t="s">
        <v>203</v>
      </c>
      <c r="ONM12" s="314" t="s">
        <v>203</v>
      </c>
      <c r="ONN12" s="314" t="s">
        <v>203</v>
      </c>
      <c r="ONO12" s="314" t="s">
        <v>203</v>
      </c>
      <c r="ONP12" s="314" t="s">
        <v>203</v>
      </c>
      <c r="ONQ12" s="314" t="s">
        <v>203</v>
      </c>
      <c r="ONR12" s="314" t="s">
        <v>203</v>
      </c>
      <c r="ONS12" s="314" t="s">
        <v>203</v>
      </c>
      <c r="ONT12" s="314" t="s">
        <v>203</v>
      </c>
      <c r="ONU12" s="314" t="s">
        <v>203</v>
      </c>
      <c r="ONV12" s="314" t="s">
        <v>203</v>
      </c>
      <c r="ONW12" s="314" t="s">
        <v>203</v>
      </c>
      <c r="ONX12" s="314" t="s">
        <v>203</v>
      </c>
      <c r="ONY12" s="314" t="s">
        <v>203</v>
      </c>
      <c r="ONZ12" s="314" t="s">
        <v>203</v>
      </c>
      <c r="OOA12" s="314" t="s">
        <v>203</v>
      </c>
      <c r="OOB12" s="314" t="s">
        <v>203</v>
      </c>
      <c r="OOC12" s="314" t="s">
        <v>203</v>
      </c>
      <c r="OOD12" s="314" t="s">
        <v>203</v>
      </c>
      <c r="OOE12" s="314" t="s">
        <v>203</v>
      </c>
      <c r="OOF12" s="314" t="s">
        <v>203</v>
      </c>
      <c r="OOG12" s="314" t="s">
        <v>203</v>
      </c>
      <c r="OOH12" s="314" t="s">
        <v>203</v>
      </c>
      <c r="OOI12" s="314" t="s">
        <v>203</v>
      </c>
      <c r="OOJ12" s="314" t="s">
        <v>203</v>
      </c>
      <c r="OOK12" s="314" t="s">
        <v>203</v>
      </c>
      <c r="OOL12" s="314" t="s">
        <v>203</v>
      </c>
      <c r="OOM12" s="314" t="s">
        <v>203</v>
      </c>
      <c r="OON12" s="314" t="s">
        <v>203</v>
      </c>
      <c r="OOO12" s="314" t="s">
        <v>203</v>
      </c>
      <c r="OOP12" s="314" t="s">
        <v>203</v>
      </c>
      <c r="OOQ12" s="314" t="s">
        <v>203</v>
      </c>
      <c r="OOR12" s="314" t="s">
        <v>203</v>
      </c>
      <c r="OOS12" s="314" t="s">
        <v>203</v>
      </c>
      <c r="OOT12" s="314" t="s">
        <v>203</v>
      </c>
      <c r="OOU12" s="314" t="s">
        <v>203</v>
      </c>
      <c r="OOV12" s="314" t="s">
        <v>203</v>
      </c>
      <c r="OOW12" s="314" t="s">
        <v>203</v>
      </c>
      <c r="OOX12" s="314" t="s">
        <v>203</v>
      </c>
      <c r="OOY12" s="314" t="s">
        <v>203</v>
      </c>
      <c r="OOZ12" s="314" t="s">
        <v>203</v>
      </c>
      <c r="OPA12" s="314" t="s">
        <v>203</v>
      </c>
      <c r="OPB12" s="314" t="s">
        <v>203</v>
      </c>
      <c r="OPC12" s="314" t="s">
        <v>203</v>
      </c>
      <c r="OPD12" s="314" t="s">
        <v>203</v>
      </c>
      <c r="OPE12" s="314" t="s">
        <v>203</v>
      </c>
      <c r="OPF12" s="314" t="s">
        <v>203</v>
      </c>
      <c r="OPG12" s="314" t="s">
        <v>203</v>
      </c>
      <c r="OPH12" s="314" t="s">
        <v>203</v>
      </c>
      <c r="OPI12" s="314" t="s">
        <v>203</v>
      </c>
      <c r="OPJ12" s="314" t="s">
        <v>203</v>
      </c>
      <c r="OPK12" s="314" t="s">
        <v>203</v>
      </c>
      <c r="OPL12" s="314" t="s">
        <v>203</v>
      </c>
      <c r="OPM12" s="314" t="s">
        <v>203</v>
      </c>
      <c r="OPN12" s="314" t="s">
        <v>203</v>
      </c>
      <c r="OPO12" s="314" t="s">
        <v>203</v>
      </c>
      <c r="OPP12" s="314" t="s">
        <v>203</v>
      </c>
      <c r="OPQ12" s="314" t="s">
        <v>203</v>
      </c>
      <c r="OPR12" s="314" t="s">
        <v>203</v>
      </c>
      <c r="OPS12" s="314" t="s">
        <v>203</v>
      </c>
      <c r="OPT12" s="314" t="s">
        <v>203</v>
      </c>
      <c r="OPU12" s="314" t="s">
        <v>203</v>
      </c>
      <c r="OPV12" s="314" t="s">
        <v>203</v>
      </c>
      <c r="OPW12" s="314" t="s">
        <v>203</v>
      </c>
      <c r="OPX12" s="314" t="s">
        <v>203</v>
      </c>
      <c r="OPY12" s="314" t="s">
        <v>203</v>
      </c>
      <c r="OPZ12" s="314" t="s">
        <v>203</v>
      </c>
      <c r="OQA12" s="314" t="s">
        <v>203</v>
      </c>
      <c r="OQB12" s="314" t="s">
        <v>203</v>
      </c>
      <c r="OQC12" s="314" t="s">
        <v>203</v>
      </c>
      <c r="OQD12" s="314" t="s">
        <v>203</v>
      </c>
      <c r="OQE12" s="314" t="s">
        <v>203</v>
      </c>
      <c r="OQF12" s="314" t="s">
        <v>203</v>
      </c>
      <c r="OQG12" s="314" t="s">
        <v>203</v>
      </c>
      <c r="OQH12" s="314" t="s">
        <v>203</v>
      </c>
      <c r="OQI12" s="314" t="s">
        <v>203</v>
      </c>
      <c r="OQJ12" s="314" t="s">
        <v>203</v>
      </c>
      <c r="OQK12" s="314" t="s">
        <v>203</v>
      </c>
      <c r="OQL12" s="314" t="s">
        <v>203</v>
      </c>
      <c r="OQM12" s="314" t="s">
        <v>203</v>
      </c>
      <c r="OQN12" s="314" t="s">
        <v>203</v>
      </c>
      <c r="OQO12" s="314" t="s">
        <v>203</v>
      </c>
      <c r="OQP12" s="314" t="s">
        <v>203</v>
      </c>
      <c r="OQQ12" s="314" t="s">
        <v>203</v>
      </c>
      <c r="OQR12" s="314" t="s">
        <v>203</v>
      </c>
      <c r="OQS12" s="314" t="s">
        <v>203</v>
      </c>
      <c r="OQT12" s="314" t="s">
        <v>203</v>
      </c>
      <c r="OQU12" s="314" t="s">
        <v>203</v>
      </c>
      <c r="OQV12" s="314" t="s">
        <v>203</v>
      </c>
      <c r="OQW12" s="314" t="s">
        <v>203</v>
      </c>
      <c r="OQX12" s="314" t="s">
        <v>203</v>
      </c>
      <c r="OQY12" s="314" t="s">
        <v>203</v>
      </c>
      <c r="OQZ12" s="314" t="s">
        <v>203</v>
      </c>
      <c r="ORA12" s="314" t="s">
        <v>203</v>
      </c>
      <c r="ORB12" s="314" t="s">
        <v>203</v>
      </c>
      <c r="ORC12" s="314" t="s">
        <v>203</v>
      </c>
      <c r="ORD12" s="314" t="s">
        <v>203</v>
      </c>
      <c r="ORE12" s="314" t="s">
        <v>203</v>
      </c>
      <c r="ORF12" s="314" t="s">
        <v>203</v>
      </c>
      <c r="ORG12" s="314" t="s">
        <v>203</v>
      </c>
      <c r="ORH12" s="314" t="s">
        <v>203</v>
      </c>
      <c r="ORI12" s="314" t="s">
        <v>203</v>
      </c>
      <c r="ORJ12" s="314" t="s">
        <v>203</v>
      </c>
      <c r="ORK12" s="314" t="s">
        <v>203</v>
      </c>
      <c r="ORL12" s="314" t="s">
        <v>203</v>
      </c>
      <c r="ORM12" s="314" t="s">
        <v>203</v>
      </c>
      <c r="ORN12" s="314" t="s">
        <v>203</v>
      </c>
      <c r="ORO12" s="314" t="s">
        <v>203</v>
      </c>
      <c r="ORP12" s="314" t="s">
        <v>203</v>
      </c>
      <c r="ORQ12" s="314" t="s">
        <v>203</v>
      </c>
      <c r="ORR12" s="314" t="s">
        <v>203</v>
      </c>
      <c r="ORS12" s="314" t="s">
        <v>203</v>
      </c>
      <c r="ORT12" s="314" t="s">
        <v>203</v>
      </c>
      <c r="ORU12" s="314" t="s">
        <v>203</v>
      </c>
      <c r="ORV12" s="314" t="s">
        <v>203</v>
      </c>
      <c r="ORW12" s="314" t="s">
        <v>203</v>
      </c>
      <c r="ORX12" s="314" t="s">
        <v>203</v>
      </c>
      <c r="ORY12" s="314" t="s">
        <v>203</v>
      </c>
      <c r="ORZ12" s="314" t="s">
        <v>203</v>
      </c>
      <c r="OSA12" s="314" t="s">
        <v>203</v>
      </c>
      <c r="OSB12" s="314" t="s">
        <v>203</v>
      </c>
      <c r="OSC12" s="314" t="s">
        <v>203</v>
      </c>
      <c r="OSD12" s="314" t="s">
        <v>203</v>
      </c>
      <c r="OSE12" s="314" t="s">
        <v>203</v>
      </c>
      <c r="OSF12" s="314" t="s">
        <v>203</v>
      </c>
      <c r="OSG12" s="314" t="s">
        <v>203</v>
      </c>
      <c r="OSH12" s="314" t="s">
        <v>203</v>
      </c>
      <c r="OSI12" s="314" t="s">
        <v>203</v>
      </c>
      <c r="OSJ12" s="314" t="s">
        <v>203</v>
      </c>
      <c r="OSK12" s="314" t="s">
        <v>203</v>
      </c>
      <c r="OSL12" s="314" t="s">
        <v>203</v>
      </c>
      <c r="OSM12" s="314" t="s">
        <v>203</v>
      </c>
      <c r="OSN12" s="314" t="s">
        <v>203</v>
      </c>
      <c r="OSO12" s="314" t="s">
        <v>203</v>
      </c>
      <c r="OSP12" s="314" t="s">
        <v>203</v>
      </c>
      <c r="OSQ12" s="314" t="s">
        <v>203</v>
      </c>
      <c r="OSR12" s="314" t="s">
        <v>203</v>
      </c>
      <c r="OSS12" s="314" t="s">
        <v>203</v>
      </c>
      <c r="OST12" s="314" t="s">
        <v>203</v>
      </c>
      <c r="OSU12" s="314" t="s">
        <v>203</v>
      </c>
      <c r="OSV12" s="314" t="s">
        <v>203</v>
      </c>
      <c r="OSW12" s="314" t="s">
        <v>203</v>
      </c>
      <c r="OSX12" s="314" t="s">
        <v>203</v>
      </c>
      <c r="OSY12" s="314" t="s">
        <v>203</v>
      </c>
      <c r="OSZ12" s="314" t="s">
        <v>203</v>
      </c>
      <c r="OTA12" s="314" t="s">
        <v>203</v>
      </c>
      <c r="OTB12" s="314" t="s">
        <v>203</v>
      </c>
      <c r="OTC12" s="314" t="s">
        <v>203</v>
      </c>
      <c r="OTD12" s="314" t="s">
        <v>203</v>
      </c>
      <c r="OTE12" s="314" t="s">
        <v>203</v>
      </c>
      <c r="OTF12" s="314" t="s">
        <v>203</v>
      </c>
      <c r="OTG12" s="314" t="s">
        <v>203</v>
      </c>
      <c r="OTH12" s="314" t="s">
        <v>203</v>
      </c>
      <c r="OTI12" s="314" t="s">
        <v>203</v>
      </c>
      <c r="OTJ12" s="314" t="s">
        <v>203</v>
      </c>
      <c r="OTK12" s="314" t="s">
        <v>203</v>
      </c>
      <c r="OTL12" s="314" t="s">
        <v>203</v>
      </c>
      <c r="OTM12" s="314" t="s">
        <v>203</v>
      </c>
      <c r="OTN12" s="314" t="s">
        <v>203</v>
      </c>
      <c r="OTO12" s="314" t="s">
        <v>203</v>
      </c>
      <c r="OTP12" s="314" t="s">
        <v>203</v>
      </c>
      <c r="OTQ12" s="314" t="s">
        <v>203</v>
      </c>
      <c r="OTR12" s="314" t="s">
        <v>203</v>
      </c>
      <c r="OTS12" s="314" t="s">
        <v>203</v>
      </c>
      <c r="OTT12" s="314" t="s">
        <v>203</v>
      </c>
      <c r="OTU12" s="314" t="s">
        <v>203</v>
      </c>
      <c r="OTV12" s="314" t="s">
        <v>203</v>
      </c>
      <c r="OTW12" s="314" t="s">
        <v>203</v>
      </c>
      <c r="OTX12" s="314" t="s">
        <v>203</v>
      </c>
      <c r="OTY12" s="314" t="s">
        <v>203</v>
      </c>
      <c r="OTZ12" s="314" t="s">
        <v>203</v>
      </c>
      <c r="OUA12" s="314" t="s">
        <v>203</v>
      </c>
      <c r="OUB12" s="314" t="s">
        <v>203</v>
      </c>
      <c r="OUC12" s="314" t="s">
        <v>203</v>
      </c>
      <c r="OUD12" s="314" t="s">
        <v>203</v>
      </c>
      <c r="OUE12" s="314" t="s">
        <v>203</v>
      </c>
      <c r="OUF12" s="314" t="s">
        <v>203</v>
      </c>
      <c r="OUG12" s="314" t="s">
        <v>203</v>
      </c>
      <c r="OUH12" s="314" t="s">
        <v>203</v>
      </c>
      <c r="OUI12" s="314" t="s">
        <v>203</v>
      </c>
      <c r="OUJ12" s="314" t="s">
        <v>203</v>
      </c>
      <c r="OUK12" s="314" t="s">
        <v>203</v>
      </c>
      <c r="OUL12" s="314" t="s">
        <v>203</v>
      </c>
      <c r="OUM12" s="314" t="s">
        <v>203</v>
      </c>
      <c r="OUN12" s="314" t="s">
        <v>203</v>
      </c>
      <c r="OUO12" s="314" t="s">
        <v>203</v>
      </c>
      <c r="OUP12" s="314" t="s">
        <v>203</v>
      </c>
      <c r="OUQ12" s="314" t="s">
        <v>203</v>
      </c>
      <c r="OUR12" s="314" t="s">
        <v>203</v>
      </c>
      <c r="OUS12" s="314" t="s">
        <v>203</v>
      </c>
      <c r="OUT12" s="314" t="s">
        <v>203</v>
      </c>
      <c r="OUU12" s="314" t="s">
        <v>203</v>
      </c>
      <c r="OUV12" s="314" t="s">
        <v>203</v>
      </c>
      <c r="OUW12" s="314" t="s">
        <v>203</v>
      </c>
      <c r="OUX12" s="314" t="s">
        <v>203</v>
      </c>
      <c r="OUY12" s="314" t="s">
        <v>203</v>
      </c>
      <c r="OUZ12" s="314" t="s">
        <v>203</v>
      </c>
      <c r="OVA12" s="314" t="s">
        <v>203</v>
      </c>
      <c r="OVB12" s="314" t="s">
        <v>203</v>
      </c>
      <c r="OVC12" s="314" t="s">
        <v>203</v>
      </c>
      <c r="OVD12" s="314" t="s">
        <v>203</v>
      </c>
      <c r="OVE12" s="314" t="s">
        <v>203</v>
      </c>
      <c r="OVF12" s="314" t="s">
        <v>203</v>
      </c>
      <c r="OVG12" s="314" t="s">
        <v>203</v>
      </c>
      <c r="OVH12" s="314" t="s">
        <v>203</v>
      </c>
      <c r="OVI12" s="314" t="s">
        <v>203</v>
      </c>
      <c r="OVJ12" s="314" t="s">
        <v>203</v>
      </c>
      <c r="OVK12" s="314" t="s">
        <v>203</v>
      </c>
      <c r="OVL12" s="314" t="s">
        <v>203</v>
      </c>
      <c r="OVM12" s="314" t="s">
        <v>203</v>
      </c>
      <c r="OVN12" s="314" t="s">
        <v>203</v>
      </c>
      <c r="OVO12" s="314" t="s">
        <v>203</v>
      </c>
      <c r="OVP12" s="314" t="s">
        <v>203</v>
      </c>
      <c r="OVQ12" s="314" t="s">
        <v>203</v>
      </c>
      <c r="OVR12" s="314" t="s">
        <v>203</v>
      </c>
      <c r="OVS12" s="314" t="s">
        <v>203</v>
      </c>
      <c r="OVT12" s="314" t="s">
        <v>203</v>
      </c>
      <c r="OVU12" s="314" t="s">
        <v>203</v>
      </c>
      <c r="OVV12" s="314" t="s">
        <v>203</v>
      </c>
      <c r="OVW12" s="314" t="s">
        <v>203</v>
      </c>
      <c r="OVX12" s="314" t="s">
        <v>203</v>
      </c>
      <c r="OVY12" s="314" t="s">
        <v>203</v>
      </c>
      <c r="OVZ12" s="314" t="s">
        <v>203</v>
      </c>
      <c r="OWA12" s="314" t="s">
        <v>203</v>
      </c>
      <c r="OWB12" s="314" t="s">
        <v>203</v>
      </c>
      <c r="OWC12" s="314" t="s">
        <v>203</v>
      </c>
      <c r="OWD12" s="314" t="s">
        <v>203</v>
      </c>
      <c r="OWE12" s="314" t="s">
        <v>203</v>
      </c>
      <c r="OWF12" s="314" t="s">
        <v>203</v>
      </c>
      <c r="OWG12" s="314" t="s">
        <v>203</v>
      </c>
      <c r="OWH12" s="314" t="s">
        <v>203</v>
      </c>
      <c r="OWI12" s="314" t="s">
        <v>203</v>
      </c>
      <c r="OWJ12" s="314" t="s">
        <v>203</v>
      </c>
      <c r="OWK12" s="314" t="s">
        <v>203</v>
      </c>
      <c r="OWL12" s="314" t="s">
        <v>203</v>
      </c>
      <c r="OWM12" s="314" t="s">
        <v>203</v>
      </c>
      <c r="OWN12" s="314" t="s">
        <v>203</v>
      </c>
      <c r="OWO12" s="314" t="s">
        <v>203</v>
      </c>
      <c r="OWP12" s="314" t="s">
        <v>203</v>
      </c>
      <c r="OWQ12" s="314" t="s">
        <v>203</v>
      </c>
      <c r="OWR12" s="314" t="s">
        <v>203</v>
      </c>
      <c r="OWS12" s="314" t="s">
        <v>203</v>
      </c>
      <c r="OWT12" s="314" t="s">
        <v>203</v>
      </c>
      <c r="OWU12" s="314" t="s">
        <v>203</v>
      </c>
      <c r="OWV12" s="314" t="s">
        <v>203</v>
      </c>
      <c r="OWW12" s="314" t="s">
        <v>203</v>
      </c>
      <c r="OWX12" s="314" t="s">
        <v>203</v>
      </c>
      <c r="OWY12" s="314" t="s">
        <v>203</v>
      </c>
      <c r="OWZ12" s="314" t="s">
        <v>203</v>
      </c>
      <c r="OXA12" s="314" t="s">
        <v>203</v>
      </c>
      <c r="OXB12" s="314" t="s">
        <v>203</v>
      </c>
      <c r="OXC12" s="314" t="s">
        <v>203</v>
      </c>
      <c r="OXD12" s="314" t="s">
        <v>203</v>
      </c>
      <c r="OXE12" s="314" t="s">
        <v>203</v>
      </c>
      <c r="OXF12" s="314" t="s">
        <v>203</v>
      </c>
      <c r="OXG12" s="314" t="s">
        <v>203</v>
      </c>
      <c r="OXH12" s="314" t="s">
        <v>203</v>
      </c>
      <c r="OXI12" s="314" t="s">
        <v>203</v>
      </c>
      <c r="OXJ12" s="314" t="s">
        <v>203</v>
      </c>
      <c r="OXK12" s="314" t="s">
        <v>203</v>
      </c>
      <c r="OXL12" s="314" t="s">
        <v>203</v>
      </c>
      <c r="OXM12" s="314" t="s">
        <v>203</v>
      </c>
      <c r="OXN12" s="314" t="s">
        <v>203</v>
      </c>
      <c r="OXO12" s="314" t="s">
        <v>203</v>
      </c>
      <c r="OXP12" s="314" t="s">
        <v>203</v>
      </c>
      <c r="OXQ12" s="314" t="s">
        <v>203</v>
      </c>
      <c r="OXR12" s="314" t="s">
        <v>203</v>
      </c>
      <c r="OXS12" s="314" t="s">
        <v>203</v>
      </c>
      <c r="OXT12" s="314" t="s">
        <v>203</v>
      </c>
      <c r="OXU12" s="314" t="s">
        <v>203</v>
      </c>
      <c r="OXV12" s="314" t="s">
        <v>203</v>
      </c>
      <c r="OXW12" s="314" t="s">
        <v>203</v>
      </c>
      <c r="OXX12" s="314" t="s">
        <v>203</v>
      </c>
      <c r="OXY12" s="314" t="s">
        <v>203</v>
      </c>
      <c r="OXZ12" s="314" t="s">
        <v>203</v>
      </c>
      <c r="OYA12" s="314" t="s">
        <v>203</v>
      </c>
      <c r="OYB12" s="314" t="s">
        <v>203</v>
      </c>
      <c r="OYC12" s="314" t="s">
        <v>203</v>
      </c>
      <c r="OYD12" s="314" t="s">
        <v>203</v>
      </c>
      <c r="OYE12" s="314" t="s">
        <v>203</v>
      </c>
      <c r="OYF12" s="314" t="s">
        <v>203</v>
      </c>
      <c r="OYG12" s="314" t="s">
        <v>203</v>
      </c>
      <c r="OYH12" s="314" t="s">
        <v>203</v>
      </c>
      <c r="OYI12" s="314" t="s">
        <v>203</v>
      </c>
      <c r="OYJ12" s="314" t="s">
        <v>203</v>
      </c>
      <c r="OYK12" s="314" t="s">
        <v>203</v>
      </c>
      <c r="OYL12" s="314" t="s">
        <v>203</v>
      </c>
      <c r="OYM12" s="314" t="s">
        <v>203</v>
      </c>
      <c r="OYN12" s="314" t="s">
        <v>203</v>
      </c>
      <c r="OYO12" s="314" t="s">
        <v>203</v>
      </c>
      <c r="OYP12" s="314" t="s">
        <v>203</v>
      </c>
      <c r="OYQ12" s="314" t="s">
        <v>203</v>
      </c>
      <c r="OYR12" s="314" t="s">
        <v>203</v>
      </c>
      <c r="OYS12" s="314" t="s">
        <v>203</v>
      </c>
      <c r="OYT12" s="314" t="s">
        <v>203</v>
      </c>
      <c r="OYU12" s="314" t="s">
        <v>203</v>
      </c>
      <c r="OYV12" s="314" t="s">
        <v>203</v>
      </c>
      <c r="OYW12" s="314" t="s">
        <v>203</v>
      </c>
      <c r="OYX12" s="314" t="s">
        <v>203</v>
      </c>
      <c r="OYY12" s="314" t="s">
        <v>203</v>
      </c>
      <c r="OYZ12" s="314" t="s">
        <v>203</v>
      </c>
      <c r="OZA12" s="314" t="s">
        <v>203</v>
      </c>
      <c r="OZB12" s="314" t="s">
        <v>203</v>
      </c>
      <c r="OZC12" s="314" t="s">
        <v>203</v>
      </c>
      <c r="OZD12" s="314" t="s">
        <v>203</v>
      </c>
      <c r="OZE12" s="314" t="s">
        <v>203</v>
      </c>
      <c r="OZF12" s="314" t="s">
        <v>203</v>
      </c>
      <c r="OZG12" s="314" t="s">
        <v>203</v>
      </c>
      <c r="OZH12" s="314" t="s">
        <v>203</v>
      </c>
      <c r="OZI12" s="314" t="s">
        <v>203</v>
      </c>
      <c r="OZJ12" s="314" t="s">
        <v>203</v>
      </c>
      <c r="OZK12" s="314" t="s">
        <v>203</v>
      </c>
      <c r="OZL12" s="314" t="s">
        <v>203</v>
      </c>
      <c r="OZM12" s="314" t="s">
        <v>203</v>
      </c>
      <c r="OZN12" s="314" t="s">
        <v>203</v>
      </c>
      <c r="OZO12" s="314" t="s">
        <v>203</v>
      </c>
      <c r="OZP12" s="314" t="s">
        <v>203</v>
      </c>
      <c r="OZQ12" s="314" t="s">
        <v>203</v>
      </c>
      <c r="OZR12" s="314" t="s">
        <v>203</v>
      </c>
      <c r="OZS12" s="314" t="s">
        <v>203</v>
      </c>
      <c r="OZT12" s="314" t="s">
        <v>203</v>
      </c>
      <c r="OZU12" s="314" t="s">
        <v>203</v>
      </c>
      <c r="OZV12" s="314" t="s">
        <v>203</v>
      </c>
      <c r="OZW12" s="314" t="s">
        <v>203</v>
      </c>
      <c r="OZX12" s="314" t="s">
        <v>203</v>
      </c>
      <c r="OZY12" s="314" t="s">
        <v>203</v>
      </c>
      <c r="OZZ12" s="314" t="s">
        <v>203</v>
      </c>
      <c r="PAA12" s="314" t="s">
        <v>203</v>
      </c>
      <c r="PAB12" s="314" t="s">
        <v>203</v>
      </c>
      <c r="PAC12" s="314" t="s">
        <v>203</v>
      </c>
      <c r="PAD12" s="314" t="s">
        <v>203</v>
      </c>
      <c r="PAE12" s="314" t="s">
        <v>203</v>
      </c>
      <c r="PAF12" s="314" t="s">
        <v>203</v>
      </c>
      <c r="PAG12" s="314" t="s">
        <v>203</v>
      </c>
      <c r="PAH12" s="314" t="s">
        <v>203</v>
      </c>
      <c r="PAI12" s="314" t="s">
        <v>203</v>
      </c>
      <c r="PAJ12" s="314" t="s">
        <v>203</v>
      </c>
      <c r="PAK12" s="314" t="s">
        <v>203</v>
      </c>
      <c r="PAL12" s="314" t="s">
        <v>203</v>
      </c>
      <c r="PAM12" s="314" t="s">
        <v>203</v>
      </c>
      <c r="PAN12" s="314" t="s">
        <v>203</v>
      </c>
      <c r="PAO12" s="314" t="s">
        <v>203</v>
      </c>
      <c r="PAP12" s="314" t="s">
        <v>203</v>
      </c>
      <c r="PAQ12" s="314" t="s">
        <v>203</v>
      </c>
      <c r="PAR12" s="314" t="s">
        <v>203</v>
      </c>
      <c r="PAS12" s="314" t="s">
        <v>203</v>
      </c>
      <c r="PAT12" s="314" t="s">
        <v>203</v>
      </c>
      <c r="PAU12" s="314" t="s">
        <v>203</v>
      </c>
      <c r="PAV12" s="314" t="s">
        <v>203</v>
      </c>
      <c r="PAW12" s="314" t="s">
        <v>203</v>
      </c>
      <c r="PAX12" s="314" t="s">
        <v>203</v>
      </c>
      <c r="PAY12" s="314" t="s">
        <v>203</v>
      </c>
      <c r="PAZ12" s="314" t="s">
        <v>203</v>
      </c>
      <c r="PBA12" s="314" t="s">
        <v>203</v>
      </c>
      <c r="PBB12" s="314" t="s">
        <v>203</v>
      </c>
      <c r="PBC12" s="314" t="s">
        <v>203</v>
      </c>
      <c r="PBD12" s="314" t="s">
        <v>203</v>
      </c>
      <c r="PBE12" s="314" t="s">
        <v>203</v>
      </c>
      <c r="PBF12" s="314" t="s">
        <v>203</v>
      </c>
      <c r="PBG12" s="314" t="s">
        <v>203</v>
      </c>
      <c r="PBH12" s="314" t="s">
        <v>203</v>
      </c>
      <c r="PBI12" s="314" t="s">
        <v>203</v>
      </c>
      <c r="PBJ12" s="314" t="s">
        <v>203</v>
      </c>
      <c r="PBK12" s="314" t="s">
        <v>203</v>
      </c>
      <c r="PBL12" s="314" t="s">
        <v>203</v>
      </c>
      <c r="PBM12" s="314" t="s">
        <v>203</v>
      </c>
      <c r="PBN12" s="314" t="s">
        <v>203</v>
      </c>
      <c r="PBO12" s="314" t="s">
        <v>203</v>
      </c>
      <c r="PBP12" s="314" t="s">
        <v>203</v>
      </c>
      <c r="PBQ12" s="314" t="s">
        <v>203</v>
      </c>
      <c r="PBR12" s="314" t="s">
        <v>203</v>
      </c>
      <c r="PBS12" s="314" t="s">
        <v>203</v>
      </c>
      <c r="PBT12" s="314" t="s">
        <v>203</v>
      </c>
      <c r="PBU12" s="314" t="s">
        <v>203</v>
      </c>
      <c r="PBV12" s="314" t="s">
        <v>203</v>
      </c>
      <c r="PBW12" s="314" t="s">
        <v>203</v>
      </c>
      <c r="PBX12" s="314" t="s">
        <v>203</v>
      </c>
      <c r="PBY12" s="314" t="s">
        <v>203</v>
      </c>
      <c r="PBZ12" s="314" t="s">
        <v>203</v>
      </c>
      <c r="PCA12" s="314" t="s">
        <v>203</v>
      </c>
      <c r="PCB12" s="314" t="s">
        <v>203</v>
      </c>
      <c r="PCC12" s="314" t="s">
        <v>203</v>
      </c>
      <c r="PCD12" s="314" t="s">
        <v>203</v>
      </c>
      <c r="PCE12" s="314" t="s">
        <v>203</v>
      </c>
      <c r="PCF12" s="314" t="s">
        <v>203</v>
      </c>
      <c r="PCG12" s="314" t="s">
        <v>203</v>
      </c>
      <c r="PCH12" s="314" t="s">
        <v>203</v>
      </c>
      <c r="PCI12" s="314" t="s">
        <v>203</v>
      </c>
      <c r="PCJ12" s="314" t="s">
        <v>203</v>
      </c>
      <c r="PCK12" s="314" t="s">
        <v>203</v>
      </c>
      <c r="PCL12" s="314" t="s">
        <v>203</v>
      </c>
      <c r="PCM12" s="314" t="s">
        <v>203</v>
      </c>
      <c r="PCN12" s="314" t="s">
        <v>203</v>
      </c>
      <c r="PCO12" s="314" t="s">
        <v>203</v>
      </c>
      <c r="PCP12" s="314" t="s">
        <v>203</v>
      </c>
      <c r="PCQ12" s="314" t="s">
        <v>203</v>
      </c>
      <c r="PCR12" s="314" t="s">
        <v>203</v>
      </c>
      <c r="PCS12" s="314" t="s">
        <v>203</v>
      </c>
      <c r="PCT12" s="314" t="s">
        <v>203</v>
      </c>
      <c r="PCU12" s="314" t="s">
        <v>203</v>
      </c>
      <c r="PCV12" s="314" t="s">
        <v>203</v>
      </c>
      <c r="PCW12" s="314" t="s">
        <v>203</v>
      </c>
      <c r="PCX12" s="314" t="s">
        <v>203</v>
      </c>
      <c r="PCY12" s="314" t="s">
        <v>203</v>
      </c>
      <c r="PCZ12" s="314" t="s">
        <v>203</v>
      </c>
      <c r="PDA12" s="314" t="s">
        <v>203</v>
      </c>
      <c r="PDB12" s="314" t="s">
        <v>203</v>
      </c>
      <c r="PDC12" s="314" t="s">
        <v>203</v>
      </c>
      <c r="PDD12" s="314" t="s">
        <v>203</v>
      </c>
      <c r="PDE12" s="314" t="s">
        <v>203</v>
      </c>
      <c r="PDF12" s="314" t="s">
        <v>203</v>
      </c>
      <c r="PDG12" s="314" t="s">
        <v>203</v>
      </c>
      <c r="PDH12" s="314" t="s">
        <v>203</v>
      </c>
      <c r="PDI12" s="314" t="s">
        <v>203</v>
      </c>
      <c r="PDJ12" s="314" t="s">
        <v>203</v>
      </c>
      <c r="PDK12" s="314" t="s">
        <v>203</v>
      </c>
      <c r="PDL12" s="314" t="s">
        <v>203</v>
      </c>
      <c r="PDM12" s="314" t="s">
        <v>203</v>
      </c>
      <c r="PDN12" s="314" t="s">
        <v>203</v>
      </c>
      <c r="PDO12" s="314" t="s">
        <v>203</v>
      </c>
      <c r="PDP12" s="314" t="s">
        <v>203</v>
      </c>
      <c r="PDQ12" s="314" t="s">
        <v>203</v>
      </c>
      <c r="PDR12" s="314" t="s">
        <v>203</v>
      </c>
      <c r="PDS12" s="314" t="s">
        <v>203</v>
      </c>
      <c r="PDT12" s="314" t="s">
        <v>203</v>
      </c>
      <c r="PDU12" s="314" t="s">
        <v>203</v>
      </c>
      <c r="PDV12" s="314" t="s">
        <v>203</v>
      </c>
      <c r="PDW12" s="314" t="s">
        <v>203</v>
      </c>
      <c r="PDX12" s="314" t="s">
        <v>203</v>
      </c>
      <c r="PDY12" s="314" t="s">
        <v>203</v>
      </c>
      <c r="PDZ12" s="314" t="s">
        <v>203</v>
      </c>
      <c r="PEA12" s="314" t="s">
        <v>203</v>
      </c>
      <c r="PEB12" s="314" t="s">
        <v>203</v>
      </c>
      <c r="PEC12" s="314" t="s">
        <v>203</v>
      </c>
      <c r="PED12" s="314" t="s">
        <v>203</v>
      </c>
      <c r="PEE12" s="314" t="s">
        <v>203</v>
      </c>
      <c r="PEF12" s="314" t="s">
        <v>203</v>
      </c>
      <c r="PEG12" s="314" t="s">
        <v>203</v>
      </c>
      <c r="PEH12" s="314" t="s">
        <v>203</v>
      </c>
      <c r="PEI12" s="314" t="s">
        <v>203</v>
      </c>
      <c r="PEJ12" s="314" t="s">
        <v>203</v>
      </c>
      <c r="PEK12" s="314" t="s">
        <v>203</v>
      </c>
      <c r="PEL12" s="314" t="s">
        <v>203</v>
      </c>
      <c r="PEM12" s="314" t="s">
        <v>203</v>
      </c>
      <c r="PEN12" s="314" t="s">
        <v>203</v>
      </c>
      <c r="PEO12" s="314" t="s">
        <v>203</v>
      </c>
      <c r="PEP12" s="314" t="s">
        <v>203</v>
      </c>
      <c r="PEQ12" s="314" t="s">
        <v>203</v>
      </c>
      <c r="PER12" s="314" t="s">
        <v>203</v>
      </c>
      <c r="PES12" s="314" t="s">
        <v>203</v>
      </c>
      <c r="PET12" s="314" t="s">
        <v>203</v>
      </c>
      <c r="PEU12" s="314" t="s">
        <v>203</v>
      </c>
      <c r="PEV12" s="314" t="s">
        <v>203</v>
      </c>
      <c r="PEW12" s="314" t="s">
        <v>203</v>
      </c>
      <c r="PEX12" s="314" t="s">
        <v>203</v>
      </c>
      <c r="PEY12" s="314" t="s">
        <v>203</v>
      </c>
      <c r="PEZ12" s="314" t="s">
        <v>203</v>
      </c>
      <c r="PFA12" s="314" t="s">
        <v>203</v>
      </c>
      <c r="PFB12" s="314" t="s">
        <v>203</v>
      </c>
      <c r="PFC12" s="314" t="s">
        <v>203</v>
      </c>
      <c r="PFD12" s="314" t="s">
        <v>203</v>
      </c>
      <c r="PFE12" s="314" t="s">
        <v>203</v>
      </c>
      <c r="PFF12" s="314" t="s">
        <v>203</v>
      </c>
      <c r="PFG12" s="314" t="s">
        <v>203</v>
      </c>
      <c r="PFH12" s="314" t="s">
        <v>203</v>
      </c>
      <c r="PFI12" s="314" t="s">
        <v>203</v>
      </c>
      <c r="PFJ12" s="314" t="s">
        <v>203</v>
      </c>
      <c r="PFK12" s="314" t="s">
        <v>203</v>
      </c>
      <c r="PFL12" s="314" t="s">
        <v>203</v>
      </c>
      <c r="PFM12" s="314" t="s">
        <v>203</v>
      </c>
      <c r="PFN12" s="314" t="s">
        <v>203</v>
      </c>
      <c r="PFO12" s="314" t="s">
        <v>203</v>
      </c>
      <c r="PFP12" s="314" t="s">
        <v>203</v>
      </c>
      <c r="PFQ12" s="314" t="s">
        <v>203</v>
      </c>
      <c r="PFR12" s="314" t="s">
        <v>203</v>
      </c>
      <c r="PFS12" s="314" t="s">
        <v>203</v>
      </c>
      <c r="PFT12" s="314" t="s">
        <v>203</v>
      </c>
      <c r="PFU12" s="314" t="s">
        <v>203</v>
      </c>
      <c r="PFV12" s="314" t="s">
        <v>203</v>
      </c>
      <c r="PFW12" s="314" t="s">
        <v>203</v>
      </c>
      <c r="PFX12" s="314" t="s">
        <v>203</v>
      </c>
      <c r="PFY12" s="314" t="s">
        <v>203</v>
      </c>
      <c r="PFZ12" s="314" t="s">
        <v>203</v>
      </c>
      <c r="PGA12" s="314" t="s">
        <v>203</v>
      </c>
      <c r="PGB12" s="314" t="s">
        <v>203</v>
      </c>
      <c r="PGC12" s="314" t="s">
        <v>203</v>
      </c>
      <c r="PGD12" s="314" t="s">
        <v>203</v>
      </c>
      <c r="PGE12" s="314" t="s">
        <v>203</v>
      </c>
      <c r="PGF12" s="314" t="s">
        <v>203</v>
      </c>
      <c r="PGG12" s="314" t="s">
        <v>203</v>
      </c>
      <c r="PGH12" s="314" t="s">
        <v>203</v>
      </c>
      <c r="PGI12" s="314" t="s">
        <v>203</v>
      </c>
      <c r="PGJ12" s="314" t="s">
        <v>203</v>
      </c>
      <c r="PGK12" s="314" t="s">
        <v>203</v>
      </c>
      <c r="PGL12" s="314" t="s">
        <v>203</v>
      </c>
      <c r="PGM12" s="314" t="s">
        <v>203</v>
      </c>
      <c r="PGN12" s="314" t="s">
        <v>203</v>
      </c>
      <c r="PGO12" s="314" t="s">
        <v>203</v>
      </c>
      <c r="PGP12" s="314" t="s">
        <v>203</v>
      </c>
      <c r="PGQ12" s="314" t="s">
        <v>203</v>
      </c>
      <c r="PGR12" s="314" t="s">
        <v>203</v>
      </c>
      <c r="PGS12" s="314" t="s">
        <v>203</v>
      </c>
      <c r="PGT12" s="314" t="s">
        <v>203</v>
      </c>
      <c r="PGU12" s="314" t="s">
        <v>203</v>
      </c>
      <c r="PGV12" s="314" t="s">
        <v>203</v>
      </c>
      <c r="PGW12" s="314" t="s">
        <v>203</v>
      </c>
      <c r="PGX12" s="314" t="s">
        <v>203</v>
      </c>
      <c r="PGY12" s="314" t="s">
        <v>203</v>
      </c>
      <c r="PGZ12" s="314" t="s">
        <v>203</v>
      </c>
      <c r="PHA12" s="314" t="s">
        <v>203</v>
      </c>
      <c r="PHB12" s="314" t="s">
        <v>203</v>
      </c>
      <c r="PHC12" s="314" t="s">
        <v>203</v>
      </c>
      <c r="PHD12" s="314" t="s">
        <v>203</v>
      </c>
      <c r="PHE12" s="314" t="s">
        <v>203</v>
      </c>
      <c r="PHF12" s="314" t="s">
        <v>203</v>
      </c>
      <c r="PHG12" s="314" t="s">
        <v>203</v>
      </c>
      <c r="PHH12" s="314" t="s">
        <v>203</v>
      </c>
      <c r="PHI12" s="314" t="s">
        <v>203</v>
      </c>
      <c r="PHJ12" s="314" t="s">
        <v>203</v>
      </c>
      <c r="PHK12" s="314" t="s">
        <v>203</v>
      </c>
      <c r="PHL12" s="314" t="s">
        <v>203</v>
      </c>
      <c r="PHM12" s="314" t="s">
        <v>203</v>
      </c>
      <c r="PHN12" s="314" t="s">
        <v>203</v>
      </c>
      <c r="PHO12" s="314" t="s">
        <v>203</v>
      </c>
      <c r="PHP12" s="314" t="s">
        <v>203</v>
      </c>
      <c r="PHQ12" s="314" t="s">
        <v>203</v>
      </c>
      <c r="PHR12" s="314" t="s">
        <v>203</v>
      </c>
      <c r="PHS12" s="314" t="s">
        <v>203</v>
      </c>
      <c r="PHT12" s="314" t="s">
        <v>203</v>
      </c>
      <c r="PHU12" s="314" t="s">
        <v>203</v>
      </c>
      <c r="PHV12" s="314" t="s">
        <v>203</v>
      </c>
      <c r="PHW12" s="314" t="s">
        <v>203</v>
      </c>
      <c r="PHX12" s="314" t="s">
        <v>203</v>
      </c>
      <c r="PHY12" s="314" t="s">
        <v>203</v>
      </c>
      <c r="PHZ12" s="314" t="s">
        <v>203</v>
      </c>
      <c r="PIA12" s="314" t="s">
        <v>203</v>
      </c>
      <c r="PIB12" s="314" t="s">
        <v>203</v>
      </c>
      <c r="PIC12" s="314" t="s">
        <v>203</v>
      </c>
      <c r="PID12" s="314" t="s">
        <v>203</v>
      </c>
      <c r="PIE12" s="314" t="s">
        <v>203</v>
      </c>
      <c r="PIF12" s="314" t="s">
        <v>203</v>
      </c>
      <c r="PIG12" s="314" t="s">
        <v>203</v>
      </c>
      <c r="PIH12" s="314" t="s">
        <v>203</v>
      </c>
      <c r="PII12" s="314" t="s">
        <v>203</v>
      </c>
      <c r="PIJ12" s="314" t="s">
        <v>203</v>
      </c>
      <c r="PIK12" s="314" t="s">
        <v>203</v>
      </c>
      <c r="PIL12" s="314" t="s">
        <v>203</v>
      </c>
      <c r="PIM12" s="314" t="s">
        <v>203</v>
      </c>
      <c r="PIN12" s="314" t="s">
        <v>203</v>
      </c>
      <c r="PIO12" s="314" t="s">
        <v>203</v>
      </c>
      <c r="PIP12" s="314" t="s">
        <v>203</v>
      </c>
      <c r="PIQ12" s="314" t="s">
        <v>203</v>
      </c>
      <c r="PIR12" s="314" t="s">
        <v>203</v>
      </c>
      <c r="PIS12" s="314" t="s">
        <v>203</v>
      </c>
      <c r="PIT12" s="314" t="s">
        <v>203</v>
      </c>
      <c r="PIU12" s="314" t="s">
        <v>203</v>
      </c>
      <c r="PIV12" s="314" t="s">
        <v>203</v>
      </c>
      <c r="PIW12" s="314" t="s">
        <v>203</v>
      </c>
      <c r="PIX12" s="314" t="s">
        <v>203</v>
      </c>
      <c r="PIY12" s="314" t="s">
        <v>203</v>
      </c>
      <c r="PIZ12" s="314" t="s">
        <v>203</v>
      </c>
      <c r="PJA12" s="314" t="s">
        <v>203</v>
      </c>
      <c r="PJB12" s="314" t="s">
        <v>203</v>
      </c>
      <c r="PJC12" s="314" t="s">
        <v>203</v>
      </c>
      <c r="PJD12" s="314" t="s">
        <v>203</v>
      </c>
      <c r="PJE12" s="314" t="s">
        <v>203</v>
      </c>
      <c r="PJF12" s="314" t="s">
        <v>203</v>
      </c>
      <c r="PJG12" s="314" t="s">
        <v>203</v>
      </c>
      <c r="PJH12" s="314" t="s">
        <v>203</v>
      </c>
      <c r="PJI12" s="314" t="s">
        <v>203</v>
      </c>
      <c r="PJJ12" s="314" t="s">
        <v>203</v>
      </c>
      <c r="PJK12" s="314" t="s">
        <v>203</v>
      </c>
      <c r="PJL12" s="314" t="s">
        <v>203</v>
      </c>
      <c r="PJM12" s="314" t="s">
        <v>203</v>
      </c>
      <c r="PJN12" s="314" t="s">
        <v>203</v>
      </c>
      <c r="PJO12" s="314" t="s">
        <v>203</v>
      </c>
      <c r="PJP12" s="314" t="s">
        <v>203</v>
      </c>
      <c r="PJQ12" s="314" t="s">
        <v>203</v>
      </c>
      <c r="PJR12" s="314" t="s">
        <v>203</v>
      </c>
      <c r="PJS12" s="314" t="s">
        <v>203</v>
      </c>
      <c r="PJT12" s="314" t="s">
        <v>203</v>
      </c>
      <c r="PJU12" s="314" t="s">
        <v>203</v>
      </c>
      <c r="PJV12" s="314" t="s">
        <v>203</v>
      </c>
      <c r="PJW12" s="314" t="s">
        <v>203</v>
      </c>
      <c r="PJX12" s="314" t="s">
        <v>203</v>
      </c>
      <c r="PJY12" s="314" t="s">
        <v>203</v>
      </c>
      <c r="PJZ12" s="314" t="s">
        <v>203</v>
      </c>
      <c r="PKA12" s="314" t="s">
        <v>203</v>
      </c>
      <c r="PKB12" s="314" t="s">
        <v>203</v>
      </c>
      <c r="PKC12" s="314" t="s">
        <v>203</v>
      </c>
      <c r="PKD12" s="314" t="s">
        <v>203</v>
      </c>
      <c r="PKE12" s="314" t="s">
        <v>203</v>
      </c>
      <c r="PKF12" s="314" t="s">
        <v>203</v>
      </c>
      <c r="PKG12" s="314" t="s">
        <v>203</v>
      </c>
      <c r="PKH12" s="314" t="s">
        <v>203</v>
      </c>
      <c r="PKI12" s="314" t="s">
        <v>203</v>
      </c>
      <c r="PKJ12" s="314" t="s">
        <v>203</v>
      </c>
      <c r="PKK12" s="314" t="s">
        <v>203</v>
      </c>
      <c r="PKL12" s="314" t="s">
        <v>203</v>
      </c>
      <c r="PKM12" s="314" t="s">
        <v>203</v>
      </c>
      <c r="PKN12" s="314" t="s">
        <v>203</v>
      </c>
      <c r="PKO12" s="314" t="s">
        <v>203</v>
      </c>
      <c r="PKP12" s="314" t="s">
        <v>203</v>
      </c>
      <c r="PKQ12" s="314" t="s">
        <v>203</v>
      </c>
      <c r="PKR12" s="314" t="s">
        <v>203</v>
      </c>
      <c r="PKS12" s="314" t="s">
        <v>203</v>
      </c>
      <c r="PKT12" s="314" t="s">
        <v>203</v>
      </c>
      <c r="PKU12" s="314" t="s">
        <v>203</v>
      </c>
      <c r="PKV12" s="314" t="s">
        <v>203</v>
      </c>
      <c r="PKW12" s="314" t="s">
        <v>203</v>
      </c>
      <c r="PKX12" s="314" t="s">
        <v>203</v>
      </c>
      <c r="PKY12" s="314" t="s">
        <v>203</v>
      </c>
      <c r="PKZ12" s="314" t="s">
        <v>203</v>
      </c>
      <c r="PLA12" s="314" t="s">
        <v>203</v>
      </c>
      <c r="PLB12" s="314" t="s">
        <v>203</v>
      </c>
      <c r="PLC12" s="314" t="s">
        <v>203</v>
      </c>
      <c r="PLD12" s="314" t="s">
        <v>203</v>
      </c>
      <c r="PLE12" s="314" t="s">
        <v>203</v>
      </c>
      <c r="PLF12" s="314" t="s">
        <v>203</v>
      </c>
      <c r="PLG12" s="314" t="s">
        <v>203</v>
      </c>
      <c r="PLH12" s="314" t="s">
        <v>203</v>
      </c>
      <c r="PLI12" s="314" t="s">
        <v>203</v>
      </c>
      <c r="PLJ12" s="314" t="s">
        <v>203</v>
      </c>
      <c r="PLK12" s="314" t="s">
        <v>203</v>
      </c>
      <c r="PLL12" s="314" t="s">
        <v>203</v>
      </c>
      <c r="PLM12" s="314" t="s">
        <v>203</v>
      </c>
      <c r="PLN12" s="314" t="s">
        <v>203</v>
      </c>
      <c r="PLO12" s="314" t="s">
        <v>203</v>
      </c>
      <c r="PLP12" s="314" t="s">
        <v>203</v>
      </c>
      <c r="PLQ12" s="314" t="s">
        <v>203</v>
      </c>
      <c r="PLR12" s="314" t="s">
        <v>203</v>
      </c>
      <c r="PLS12" s="314" t="s">
        <v>203</v>
      </c>
      <c r="PLT12" s="314" t="s">
        <v>203</v>
      </c>
      <c r="PLU12" s="314" t="s">
        <v>203</v>
      </c>
      <c r="PLV12" s="314" t="s">
        <v>203</v>
      </c>
      <c r="PLW12" s="314" t="s">
        <v>203</v>
      </c>
      <c r="PLX12" s="314" t="s">
        <v>203</v>
      </c>
      <c r="PLY12" s="314" t="s">
        <v>203</v>
      </c>
      <c r="PLZ12" s="314" t="s">
        <v>203</v>
      </c>
      <c r="PMA12" s="314" t="s">
        <v>203</v>
      </c>
      <c r="PMB12" s="314" t="s">
        <v>203</v>
      </c>
      <c r="PMC12" s="314" t="s">
        <v>203</v>
      </c>
      <c r="PMD12" s="314" t="s">
        <v>203</v>
      </c>
      <c r="PME12" s="314" t="s">
        <v>203</v>
      </c>
      <c r="PMF12" s="314" t="s">
        <v>203</v>
      </c>
      <c r="PMG12" s="314" t="s">
        <v>203</v>
      </c>
      <c r="PMH12" s="314" t="s">
        <v>203</v>
      </c>
      <c r="PMI12" s="314" t="s">
        <v>203</v>
      </c>
      <c r="PMJ12" s="314" t="s">
        <v>203</v>
      </c>
      <c r="PMK12" s="314" t="s">
        <v>203</v>
      </c>
      <c r="PML12" s="314" t="s">
        <v>203</v>
      </c>
      <c r="PMM12" s="314" t="s">
        <v>203</v>
      </c>
      <c r="PMN12" s="314" t="s">
        <v>203</v>
      </c>
      <c r="PMO12" s="314" t="s">
        <v>203</v>
      </c>
      <c r="PMP12" s="314" t="s">
        <v>203</v>
      </c>
      <c r="PMQ12" s="314" t="s">
        <v>203</v>
      </c>
      <c r="PMR12" s="314" t="s">
        <v>203</v>
      </c>
      <c r="PMS12" s="314" t="s">
        <v>203</v>
      </c>
      <c r="PMT12" s="314" t="s">
        <v>203</v>
      </c>
      <c r="PMU12" s="314" t="s">
        <v>203</v>
      </c>
      <c r="PMV12" s="314" t="s">
        <v>203</v>
      </c>
      <c r="PMW12" s="314" t="s">
        <v>203</v>
      </c>
      <c r="PMX12" s="314" t="s">
        <v>203</v>
      </c>
      <c r="PMY12" s="314" t="s">
        <v>203</v>
      </c>
      <c r="PMZ12" s="314" t="s">
        <v>203</v>
      </c>
      <c r="PNA12" s="314" t="s">
        <v>203</v>
      </c>
      <c r="PNB12" s="314" t="s">
        <v>203</v>
      </c>
      <c r="PNC12" s="314" t="s">
        <v>203</v>
      </c>
      <c r="PND12" s="314" t="s">
        <v>203</v>
      </c>
      <c r="PNE12" s="314" t="s">
        <v>203</v>
      </c>
      <c r="PNF12" s="314" t="s">
        <v>203</v>
      </c>
      <c r="PNG12" s="314" t="s">
        <v>203</v>
      </c>
      <c r="PNH12" s="314" t="s">
        <v>203</v>
      </c>
      <c r="PNI12" s="314" t="s">
        <v>203</v>
      </c>
      <c r="PNJ12" s="314" t="s">
        <v>203</v>
      </c>
      <c r="PNK12" s="314" t="s">
        <v>203</v>
      </c>
      <c r="PNL12" s="314" t="s">
        <v>203</v>
      </c>
      <c r="PNM12" s="314" t="s">
        <v>203</v>
      </c>
      <c r="PNN12" s="314" t="s">
        <v>203</v>
      </c>
      <c r="PNO12" s="314" t="s">
        <v>203</v>
      </c>
      <c r="PNP12" s="314" t="s">
        <v>203</v>
      </c>
      <c r="PNQ12" s="314" t="s">
        <v>203</v>
      </c>
      <c r="PNR12" s="314" t="s">
        <v>203</v>
      </c>
      <c r="PNS12" s="314" t="s">
        <v>203</v>
      </c>
      <c r="PNT12" s="314" t="s">
        <v>203</v>
      </c>
      <c r="PNU12" s="314" t="s">
        <v>203</v>
      </c>
      <c r="PNV12" s="314" t="s">
        <v>203</v>
      </c>
      <c r="PNW12" s="314" t="s">
        <v>203</v>
      </c>
      <c r="PNX12" s="314" t="s">
        <v>203</v>
      </c>
      <c r="PNY12" s="314" t="s">
        <v>203</v>
      </c>
      <c r="PNZ12" s="314" t="s">
        <v>203</v>
      </c>
      <c r="POA12" s="314" t="s">
        <v>203</v>
      </c>
      <c r="POB12" s="314" t="s">
        <v>203</v>
      </c>
      <c r="POC12" s="314" t="s">
        <v>203</v>
      </c>
      <c r="POD12" s="314" t="s">
        <v>203</v>
      </c>
      <c r="POE12" s="314" t="s">
        <v>203</v>
      </c>
      <c r="POF12" s="314" t="s">
        <v>203</v>
      </c>
      <c r="POG12" s="314" t="s">
        <v>203</v>
      </c>
      <c r="POH12" s="314" t="s">
        <v>203</v>
      </c>
      <c r="POI12" s="314" t="s">
        <v>203</v>
      </c>
      <c r="POJ12" s="314" t="s">
        <v>203</v>
      </c>
      <c r="POK12" s="314" t="s">
        <v>203</v>
      </c>
      <c r="POL12" s="314" t="s">
        <v>203</v>
      </c>
      <c r="POM12" s="314" t="s">
        <v>203</v>
      </c>
      <c r="PON12" s="314" t="s">
        <v>203</v>
      </c>
      <c r="POO12" s="314" t="s">
        <v>203</v>
      </c>
      <c r="POP12" s="314" t="s">
        <v>203</v>
      </c>
      <c r="POQ12" s="314" t="s">
        <v>203</v>
      </c>
      <c r="POR12" s="314" t="s">
        <v>203</v>
      </c>
      <c r="POS12" s="314" t="s">
        <v>203</v>
      </c>
      <c r="POT12" s="314" t="s">
        <v>203</v>
      </c>
      <c r="POU12" s="314" t="s">
        <v>203</v>
      </c>
      <c r="POV12" s="314" t="s">
        <v>203</v>
      </c>
      <c r="POW12" s="314" t="s">
        <v>203</v>
      </c>
      <c r="POX12" s="314" t="s">
        <v>203</v>
      </c>
      <c r="POY12" s="314" t="s">
        <v>203</v>
      </c>
      <c r="POZ12" s="314" t="s">
        <v>203</v>
      </c>
      <c r="PPA12" s="314" t="s">
        <v>203</v>
      </c>
      <c r="PPB12" s="314" t="s">
        <v>203</v>
      </c>
      <c r="PPC12" s="314" t="s">
        <v>203</v>
      </c>
      <c r="PPD12" s="314" t="s">
        <v>203</v>
      </c>
      <c r="PPE12" s="314" t="s">
        <v>203</v>
      </c>
      <c r="PPF12" s="314" t="s">
        <v>203</v>
      </c>
      <c r="PPG12" s="314" t="s">
        <v>203</v>
      </c>
      <c r="PPH12" s="314" t="s">
        <v>203</v>
      </c>
      <c r="PPI12" s="314" t="s">
        <v>203</v>
      </c>
      <c r="PPJ12" s="314" t="s">
        <v>203</v>
      </c>
      <c r="PPK12" s="314" t="s">
        <v>203</v>
      </c>
      <c r="PPL12" s="314" t="s">
        <v>203</v>
      </c>
      <c r="PPM12" s="314" t="s">
        <v>203</v>
      </c>
      <c r="PPN12" s="314" t="s">
        <v>203</v>
      </c>
      <c r="PPO12" s="314" t="s">
        <v>203</v>
      </c>
      <c r="PPP12" s="314" t="s">
        <v>203</v>
      </c>
      <c r="PPQ12" s="314" t="s">
        <v>203</v>
      </c>
      <c r="PPR12" s="314" t="s">
        <v>203</v>
      </c>
      <c r="PPS12" s="314" t="s">
        <v>203</v>
      </c>
      <c r="PPT12" s="314" t="s">
        <v>203</v>
      </c>
      <c r="PPU12" s="314" t="s">
        <v>203</v>
      </c>
      <c r="PPV12" s="314" t="s">
        <v>203</v>
      </c>
      <c r="PPW12" s="314" t="s">
        <v>203</v>
      </c>
      <c r="PPX12" s="314" t="s">
        <v>203</v>
      </c>
      <c r="PPY12" s="314" t="s">
        <v>203</v>
      </c>
      <c r="PPZ12" s="314" t="s">
        <v>203</v>
      </c>
      <c r="PQA12" s="314" t="s">
        <v>203</v>
      </c>
      <c r="PQB12" s="314" t="s">
        <v>203</v>
      </c>
      <c r="PQC12" s="314" t="s">
        <v>203</v>
      </c>
      <c r="PQD12" s="314" t="s">
        <v>203</v>
      </c>
      <c r="PQE12" s="314" t="s">
        <v>203</v>
      </c>
      <c r="PQF12" s="314" t="s">
        <v>203</v>
      </c>
      <c r="PQG12" s="314" t="s">
        <v>203</v>
      </c>
      <c r="PQH12" s="314" t="s">
        <v>203</v>
      </c>
      <c r="PQI12" s="314" t="s">
        <v>203</v>
      </c>
      <c r="PQJ12" s="314" t="s">
        <v>203</v>
      </c>
      <c r="PQK12" s="314" t="s">
        <v>203</v>
      </c>
      <c r="PQL12" s="314" t="s">
        <v>203</v>
      </c>
      <c r="PQM12" s="314" t="s">
        <v>203</v>
      </c>
      <c r="PQN12" s="314" t="s">
        <v>203</v>
      </c>
      <c r="PQO12" s="314" t="s">
        <v>203</v>
      </c>
      <c r="PQP12" s="314" t="s">
        <v>203</v>
      </c>
      <c r="PQQ12" s="314" t="s">
        <v>203</v>
      </c>
      <c r="PQR12" s="314" t="s">
        <v>203</v>
      </c>
      <c r="PQS12" s="314" t="s">
        <v>203</v>
      </c>
      <c r="PQT12" s="314" t="s">
        <v>203</v>
      </c>
      <c r="PQU12" s="314" t="s">
        <v>203</v>
      </c>
      <c r="PQV12" s="314" t="s">
        <v>203</v>
      </c>
      <c r="PQW12" s="314" t="s">
        <v>203</v>
      </c>
      <c r="PQX12" s="314" t="s">
        <v>203</v>
      </c>
      <c r="PQY12" s="314" t="s">
        <v>203</v>
      </c>
      <c r="PQZ12" s="314" t="s">
        <v>203</v>
      </c>
      <c r="PRA12" s="314" t="s">
        <v>203</v>
      </c>
      <c r="PRB12" s="314" t="s">
        <v>203</v>
      </c>
      <c r="PRC12" s="314" t="s">
        <v>203</v>
      </c>
      <c r="PRD12" s="314" t="s">
        <v>203</v>
      </c>
      <c r="PRE12" s="314" t="s">
        <v>203</v>
      </c>
      <c r="PRF12" s="314" t="s">
        <v>203</v>
      </c>
      <c r="PRG12" s="314" t="s">
        <v>203</v>
      </c>
      <c r="PRH12" s="314" t="s">
        <v>203</v>
      </c>
      <c r="PRI12" s="314" t="s">
        <v>203</v>
      </c>
      <c r="PRJ12" s="314" t="s">
        <v>203</v>
      </c>
      <c r="PRK12" s="314" t="s">
        <v>203</v>
      </c>
      <c r="PRL12" s="314" t="s">
        <v>203</v>
      </c>
      <c r="PRM12" s="314" t="s">
        <v>203</v>
      </c>
      <c r="PRN12" s="314" t="s">
        <v>203</v>
      </c>
      <c r="PRO12" s="314" t="s">
        <v>203</v>
      </c>
      <c r="PRP12" s="314" t="s">
        <v>203</v>
      </c>
      <c r="PRQ12" s="314" t="s">
        <v>203</v>
      </c>
      <c r="PRR12" s="314" t="s">
        <v>203</v>
      </c>
      <c r="PRS12" s="314" t="s">
        <v>203</v>
      </c>
      <c r="PRT12" s="314" t="s">
        <v>203</v>
      </c>
      <c r="PRU12" s="314" t="s">
        <v>203</v>
      </c>
      <c r="PRV12" s="314" t="s">
        <v>203</v>
      </c>
      <c r="PRW12" s="314" t="s">
        <v>203</v>
      </c>
      <c r="PRX12" s="314" t="s">
        <v>203</v>
      </c>
      <c r="PRY12" s="314" t="s">
        <v>203</v>
      </c>
      <c r="PRZ12" s="314" t="s">
        <v>203</v>
      </c>
      <c r="PSA12" s="314" t="s">
        <v>203</v>
      </c>
      <c r="PSB12" s="314" t="s">
        <v>203</v>
      </c>
      <c r="PSC12" s="314" t="s">
        <v>203</v>
      </c>
      <c r="PSD12" s="314" t="s">
        <v>203</v>
      </c>
      <c r="PSE12" s="314" t="s">
        <v>203</v>
      </c>
      <c r="PSF12" s="314" t="s">
        <v>203</v>
      </c>
      <c r="PSG12" s="314" t="s">
        <v>203</v>
      </c>
      <c r="PSH12" s="314" t="s">
        <v>203</v>
      </c>
      <c r="PSI12" s="314" t="s">
        <v>203</v>
      </c>
      <c r="PSJ12" s="314" t="s">
        <v>203</v>
      </c>
      <c r="PSK12" s="314" t="s">
        <v>203</v>
      </c>
      <c r="PSL12" s="314" t="s">
        <v>203</v>
      </c>
      <c r="PSM12" s="314" t="s">
        <v>203</v>
      </c>
      <c r="PSN12" s="314" t="s">
        <v>203</v>
      </c>
      <c r="PSO12" s="314" t="s">
        <v>203</v>
      </c>
      <c r="PSP12" s="314" t="s">
        <v>203</v>
      </c>
      <c r="PSQ12" s="314" t="s">
        <v>203</v>
      </c>
      <c r="PSR12" s="314" t="s">
        <v>203</v>
      </c>
      <c r="PSS12" s="314" t="s">
        <v>203</v>
      </c>
      <c r="PST12" s="314" t="s">
        <v>203</v>
      </c>
      <c r="PSU12" s="314" t="s">
        <v>203</v>
      </c>
      <c r="PSV12" s="314" t="s">
        <v>203</v>
      </c>
      <c r="PSW12" s="314" t="s">
        <v>203</v>
      </c>
      <c r="PSX12" s="314" t="s">
        <v>203</v>
      </c>
      <c r="PSY12" s="314" t="s">
        <v>203</v>
      </c>
      <c r="PSZ12" s="314" t="s">
        <v>203</v>
      </c>
      <c r="PTA12" s="314" t="s">
        <v>203</v>
      </c>
      <c r="PTB12" s="314" t="s">
        <v>203</v>
      </c>
      <c r="PTC12" s="314" t="s">
        <v>203</v>
      </c>
      <c r="PTD12" s="314" t="s">
        <v>203</v>
      </c>
      <c r="PTE12" s="314" t="s">
        <v>203</v>
      </c>
      <c r="PTF12" s="314" t="s">
        <v>203</v>
      </c>
      <c r="PTG12" s="314" t="s">
        <v>203</v>
      </c>
      <c r="PTH12" s="314" t="s">
        <v>203</v>
      </c>
      <c r="PTI12" s="314" t="s">
        <v>203</v>
      </c>
      <c r="PTJ12" s="314" t="s">
        <v>203</v>
      </c>
      <c r="PTK12" s="314" t="s">
        <v>203</v>
      </c>
      <c r="PTL12" s="314" t="s">
        <v>203</v>
      </c>
      <c r="PTM12" s="314" t="s">
        <v>203</v>
      </c>
      <c r="PTN12" s="314" t="s">
        <v>203</v>
      </c>
      <c r="PTO12" s="314" t="s">
        <v>203</v>
      </c>
      <c r="PTP12" s="314" t="s">
        <v>203</v>
      </c>
      <c r="PTQ12" s="314" t="s">
        <v>203</v>
      </c>
      <c r="PTR12" s="314" t="s">
        <v>203</v>
      </c>
      <c r="PTS12" s="314" t="s">
        <v>203</v>
      </c>
      <c r="PTT12" s="314" t="s">
        <v>203</v>
      </c>
      <c r="PTU12" s="314" t="s">
        <v>203</v>
      </c>
      <c r="PTV12" s="314" t="s">
        <v>203</v>
      </c>
      <c r="PTW12" s="314" t="s">
        <v>203</v>
      </c>
      <c r="PTX12" s="314" t="s">
        <v>203</v>
      </c>
      <c r="PTY12" s="314" t="s">
        <v>203</v>
      </c>
      <c r="PTZ12" s="314" t="s">
        <v>203</v>
      </c>
      <c r="PUA12" s="314" t="s">
        <v>203</v>
      </c>
      <c r="PUB12" s="314" t="s">
        <v>203</v>
      </c>
      <c r="PUC12" s="314" t="s">
        <v>203</v>
      </c>
      <c r="PUD12" s="314" t="s">
        <v>203</v>
      </c>
      <c r="PUE12" s="314" t="s">
        <v>203</v>
      </c>
      <c r="PUF12" s="314" t="s">
        <v>203</v>
      </c>
      <c r="PUG12" s="314" t="s">
        <v>203</v>
      </c>
      <c r="PUH12" s="314" t="s">
        <v>203</v>
      </c>
      <c r="PUI12" s="314" t="s">
        <v>203</v>
      </c>
      <c r="PUJ12" s="314" t="s">
        <v>203</v>
      </c>
      <c r="PUK12" s="314" t="s">
        <v>203</v>
      </c>
      <c r="PUL12" s="314" t="s">
        <v>203</v>
      </c>
      <c r="PUM12" s="314" t="s">
        <v>203</v>
      </c>
      <c r="PUN12" s="314" t="s">
        <v>203</v>
      </c>
      <c r="PUO12" s="314" t="s">
        <v>203</v>
      </c>
      <c r="PUP12" s="314" t="s">
        <v>203</v>
      </c>
      <c r="PUQ12" s="314" t="s">
        <v>203</v>
      </c>
      <c r="PUR12" s="314" t="s">
        <v>203</v>
      </c>
      <c r="PUS12" s="314" t="s">
        <v>203</v>
      </c>
      <c r="PUT12" s="314" t="s">
        <v>203</v>
      </c>
      <c r="PUU12" s="314" t="s">
        <v>203</v>
      </c>
      <c r="PUV12" s="314" t="s">
        <v>203</v>
      </c>
      <c r="PUW12" s="314" t="s">
        <v>203</v>
      </c>
      <c r="PUX12" s="314" t="s">
        <v>203</v>
      </c>
      <c r="PUY12" s="314" t="s">
        <v>203</v>
      </c>
      <c r="PUZ12" s="314" t="s">
        <v>203</v>
      </c>
      <c r="PVA12" s="314" t="s">
        <v>203</v>
      </c>
      <c r="PVB12" s="314" t="s">
        <v>203</v>
      </c>
      <c r="PVC12" s="314" t="s">
        <v>203</v>
      </c>
      <c r="PVD12" s="314" t="s">
        <v>203</v>
      </c>
      <c r="PVE12" s="314" t="s">
        <v>203</v>
      </c>
      <c r="PVF12" s="314" t="s">
        <v>203</v>
      </c>
      <c r="PVG12" s="314" t="s">
        <v>203</v>
      </c>
      <c r="PVH12" s="314" t="s">
        <v>203</v>
      </c>
      <c r="PVI12" s="314" t="s">
        <v>203</v>
      </c>
      <c r="PVJ12" s="314" t="s">
        <v>203</v>
      </c>
      <c r="PVK12" s="314" t="s">
        <v>203</v>
      </c>
      <c r="PVL12" s="314" t="s">
        <v>203</v>
      </c>
      <c r="PVM12" s="314" t="s">
        <v>203</v>
      </c>
      <c r="PVN12" s="314" t="s">
        <v>203</v>
      </c>
      <c r="PVO12" s="314" t="s">
        <v>203</v>
      </c>
      <c r="PVP12" s="314" t="s">
        <v>203</v>
      </c>
      <c r="PVQ12" s="314" t="s">
        <v>203</v>
      </c>
      <c r="PVR12" s="314" t="s">
        <v>203</v>
      </c>
      <c r="PVS12" s="314" t="s">
        <v>203</v>
      </c>
      <c r="PVT12" s="314" t="s">
        <v>203</v>
      </c>
      <c r="PVU12" s="314" t="s">
        <v>203</v>
      </c>
      <c r="PVV12" s="314" t="s">
        <v>203</v>
      </c>
      <c r="PVW12" s="314" t="s">
        <v>203</v>
      </c>
      <c r="PVX12" s="314" t="s">
        <v>203</v>
      </c>
      <c r="PVY12" s="314" t="s">
        <v>203</v>
      </c>
      <c r="PVZ12" s="314" t="s">
        <v>203</v>
      </c>
      <c r="PWA12" s="314" t="s">
        <v>203</v>
      </c>
      <c r="PWB12" s="314" t="s">
        <v>203</v>
      </c>
      <c r="PWC12" s="314" t="s">
        <v>203</v>
      </c>
      <c r="PWD12" s="314" t="s">
        <v>203</v>
      </c>
      <c r="PWE12" s="314" t="s">
        <v>203</v>
      </c>
      <c r="PWF12" s="314" t="s">
        <v>203</v>
      </c>
      <c r="PWG12" s="314" t="s">
        <v>203</v>
      </c>
      <c r="PWH12" s="314" t="s">
        <v>203</v>
      </c>
      <c r="PWI12" s="314" t="s">
        <v>203</v>
      </c>
      <c r="PWJ12" s="314" t="s">
        <v>203</v>
      </c>
      <c r="PWK12" s="314" t="s">
        <v>203</v>
      </c>
      <c r="PWL12" s="314" t="s">
        <v>203</v>
      </c>
      <c r="PWM12" s="314" t="s">
        <v>203</v>
      </c>
      <c r="PWN12" s="314" t="s">
        <v>203</v>
      </c>
      <c r="PWO12" s="314" t="s">
        <v>203</v>
      </c>
      <c r="PWP12" s="314" t="s">
        <v>203</v>
      </c>
      <c r="PWQ12" s="314" t="s">
        <v>203</v>
      </c>
      <c r="PWR12" s="314" t="s">
        <v>203</v>
      </c>
      <c r="PWS12" s="314" t="s">
        <v>203</v>
      </c>
      <c r="PWT12" s="314" t="s">
        <v>203</v>
      </c>
      <c r="PWU12" s="314" t="s">
        <v>203</v>
      </c>
      <c r="PWV12" s="314" t="s">
        <v>203</v>
      </c>
      <c r="PWW12" s="314" t="s">
        <v>203</v>
      </c>
      <c r="PWX12" s="314" t="s">
        <v>203</v>
      </c>
      <c r="PWY12" s="314" t="s">
        <v>203</v>
      </c>
      <c r="PWZ12" s="314" t="s">
        <v>203</v>
      </c>
      <c r="PXA12" s="314" t="s">
        <v>203</v>
      </c>
      <c r="PXB12" s="314" t="s">
        <v>203</v>
      </c>
      <c r="PXC12" s="314" t="s">
        <v>203</v>
      </c>
      <c r="PXD12" s="314" t="s">
        <v>203</v>
      </c>
      <c r="PXE12" s="314" t="s">
        <v>203</v>
      </c>
      <c r="PXF12" s="314" t="s">
        <v>203</v>
      </c>
      <c r="PXG12" s="314" t="s">
        <v>203</v>
      </c>
      <c r="PXH12" s="314" t="s">
        <v>203</v>
      </c>
      <c r="PXI12" s="314" t="s">
        <v>203</v>
      </c>
      <c r="PXJ12" s="314" t="s">
        <v>203</v>
      </c>
      <c r="PXK12" s="314" t="s">
        <v>203</v>
      </c>
      <c r="PXL12" s="314" t="s">
        <v>203</v>
      </c>
      <c r="PXM12" s="314" t="s">
        <v>203</v>
      </c>
      <c r="PXN12" s="314" t="s">
        <v>203</v>
      </c>
      <c r="PXO12" s="314" t="s">
        <v>203</v>
      </c>
      <c r="PXP12" s="314" t="s">
        <v>203</v>
      </c>
      <c r="PXQ12" s="314" t="s">
        <v>203</v>
      </c>
      <c r="PXR12" s="314" t="s">
        <v>203</v>
      </c>
      <c r="PXS12" s="314" t="s">
        <v>203</v>
      </c>
      <c r="PXT12" s="314" t="s">
        <v>203</v>
      </c>
      <c r="PXU12" s="314" t="s">
        <v>203</v>
      </c>
      <c r="PXV12" s="314" t="s">
        <v>203</v>
      </c>
      <c r="PXW12" s="314" t="s">
        <v>203</v>
      </c>
      <c r="PXX12" s="314" t="s">
        <v>203</v>
      </c>
      <c r="PXY12" s="314" t="s">
        <v>203</v>
      </c>
      <c r="PXZ12" s="314" t="s">
        <v>203</v>
      </c>
      <c r="PYA12" s="314" t="s">
        <v>203</v>
      </c>
      <c r="PYB12" s="314" t="s">
        <v>203</v>
      </c>
      <c r="PYC12" s="314" t="s">
        <v>203</v>
      </c>
      <c r="PYD12" s="314" t="s">
        <v>203</v>
      </c>
      <c r="PYE12" s="314" t="s">
        <v>203</v>
      </c>
      <c r="PYF12" s="314" t="s">
        <v>203</v>
      </c>
      <c r="PYG12" s="314" t="s">
        <v>203</v>
      </c>
      <c r="PYH12" s="314" t="s">
        <v>203</v>
      </c>
      <c r="PYI12" s="314" t="s">
        <v>203</v>
      </c>
      <c r="PYJ12" s="314" t="s">
        <v>203</v>
      </c>
      <c r="PYK12" s="314" t="s">
        <v>203</v>
      </c>
      <c r="PYL12" s="314" t="s">
        <v>203</v>
      </c>
      <c r="PYM12" s="314" t="s">
        <v>203</v>
      </c>
      <c r="PYN12" s="314" t="s">
        <v>203</v>
      </c>
      <c r="PYO12" s="314" t="s">
        <v>203</v>
      </c>
      <c r="PYP12" s="314" t="s">
        <v>203</v>
      </c>
      <c r="PYQ12" s="314" t="s">
        <v>203</v>
      </c>
      <c r="PYR12" s="314" t="s">
        <v>203</v>
      </c>
      <c r="PYS12" s="314" t="s">
        <v>203</v>
      </c>
      <c r="PYT12" s="314" t="s">
        <v>203</v>
      </c>
      <c r="PYU12" s="314" t="s">
        <v>203</v>
      </c>
      <c r="PYV12" s="314" t="s">
        <v>203</v>
      </c>
      <c r="PYW12" s="314" t="s">
        <v>203</v>
      </c>
      <c r="PYX12" s="314" t="s">
        <v>203</v>
      </c>
      <c r="PYY12" s="314" t="s">
        <v>203</v>
      </c>
      <c r="PYZ12" s="314" t="s">
        <v>203</v>
      </c>
      <c r="PZA12" s="314" t="s">
        <v>203</v>
      </c>
      <c r="PZB12" s="314" t="s">
        <v>203</v>
      </c>
      <c r="PZC12" s="314" t="s">
        <v>203</v>
      </c>
      <c r="PZD12" s="314" t="s">
        <v>203</v>
      </c>
      <c r="PZE12" s="314" t="s">
        <v>203</v>
      </c>
      <c r="PZF12" s="314" t="s">
        <v>203</v>
      </c>
      <c r="PZG12" s="314" t="s">
        <v>203</v>
      </c>
      <c r="PZH12" s="314" t="s">
        <v>203</v>
      </c>
      <c r="PZI12" s="314" t="s">
        <v>203</v>
      </c>
      <c r="PZJ12" s="314" t="s">
        <v>203</v>
      </c>
      <c r="PZK12" s="314" t="s">
        <v>203</v>
      </c>
      <c r="PZL12" s="314" t="s">
        <v>203</v>
      </c>
      <c r="PZM12" s="314" t="s">
        <v>203</v>
      </c>
      <c r="PZN12" s="314" t="s">
        <v>203</v>
      </c>
      <c r="PZO12" s="314" t="s">
        <v>203</v>
      </c>
      <c r="PZP12" s="314" t="s">
        <v>203</v>
      </c>
      <c r="PZQ12" s="314" t="s">
        <v>203</v>
      </c>
      <c r="PZR12" s="314" t="s">
        <v>203</v>
      </c>
      <c r="PZS12" s="314" t="s">
        <v>203</v>
      </c>
      <c r="PZT12" s="314" t="s">
        <v>203</v>
      </c>
      <c r="PZU12" s="314" t="s">
        <v>203</v>
      </c>
      <c r="PZV12" s="314" t="s">
        <v>203</v>
      </c>
      <c r="PZW12" s="314" t="s">
        <v>203</v>
      </c>
      <c r="PZX12" s="314" t="s">
        <v>203</v>
      </c>
      <c r="PZY12" s="314" t="s">
        <v>203</v>
      </c>
      <c r="PZZ12" s="314" t="s">
        <v>203</v>
      </c>
      <c r="QAA12" s="314" t="s">
        <v>203</v>
      </c>
      <c r="QAB12" s="314" t="s">
        <v>203</v>
      </c>
      <c r="QAC12" s="314" t="s">
        <v>203</v>
      </c>
      <c r="QAD12" s="314" t="s">
        <v>203</v>
      </c>
      <c r="QAE12" s="314" t="s">
        <v>203</v>
      </c>
      <c r="QAF12" s="314" t="s">
        <v>203</v>
      </c>
      <c r="QAG12" s="314" t="s">
        <v>203</v>
      </c>
      <c r="QAH12" s="314" t="s">
        <v>203</v>
      </c>
      <c r="QAI12" s="314" t="s">
        <v>203</v>
      </c>
      <c r="QAJ12" s="314" t="s">
        <v>203</v>
      </c>
      <c r="QAK12" s="314" t="s">
        <v>203</v>
      </c>
      <c r="QAL12" s="314" t="s">
        <v>203</v>
      </c>
      <c r="QAM12" s="314" t="s">
        <v>203</v>
      </c>
      <c r="QAN12" s="314" t="s">
        <v>203</v>
      </c>
      <c r="QAO12" s="314" t="s">
        <v>203</v>
      </c>
      <c r="QAP12" s="314" t="s">
        <v>203</v>
      </c>
      <c r="QAQ12" s="314" t="s">
        <v>203</v>
      </c>
      <c r="QAR12" s="314" t="s">
        <v>203</v>
      </c>
      <c r="QAS12" s="314" t="s">
        <v>203</v>
      </c>
      <c r="QAT12" s="314" t="s">
        <v>203</v>
      </c>
      <c r="QAU12" s="314" t="s">
        <v>203</v>
      </c>
      <c r="QAV12" s="314" t="s">
        <v>203</v>
      </c>
      <c r="QAW12" s="314" t="s">
        <v>203</v>
      </c>
      <c r="QAX12" s="314" t="s">
        <v>203</v>
      </c>
      <c r="QAY12" s="314" t="s">
        <v>203</v>
      </c>
      <c r="QAZ12" s="314" t="s">
        <v>203</v>
      </c>
      <c r="QBA12" s="314" t="s">
        <v>203</v>
      </c>
      <c r="QBB12" s="314" t="s">
        <v>203</v>
      </c>
      <c r="QBC12" s="314" t="s">
        <v>203</v>
      </c>
      <c r="QBD12" s="314" t="s">
        <v>203</v>
      </c>
      <c r="QBE12" s="314" t="s">
        <v>203</v>
      </c>
      <c r="QBF12" s="314" t="s">
        <v>203</v>
      </c>
      <c r="QBG12" s="314" t="s">
        <v>203</v>
      </c>
      <c r="QBH12" s="314" t="s">
        <v>203</v>
      </c>
      <c r="QBI12" s="314" t="s">
        <v>203</v>
      </c>
      <c r="QBJ12" s="314" t="s">
        <v>203</v>
      </c>
      <c r="QBK12" s="314" t="s">
        <v>203</v>
      </c>
      <c r="QBL12" s="314" t="s">
        <v>203</v>
      </c>
      <c r="QBM12" s="314" t="s">
        <v>203</v>
      </c>
      <c r="QBN12" s="314" t="s">
        <v>203</v>
      </c>
      <c r="QBO12" s="314" t="s">
        <v>203</v>
      </c>
      <c r="QBP12" s="314" t="s">
        <v>203</v>
      </c>
      <c r="QBQ12" s="314" t="s">
        <v>203</v>
      </c>
      <c r="QBR12" s="314" t="s">
        <v>203</v>
      </c>
      <c r="QBS12" s="314" t="s">
        <v>203</v>
      </c>
      <c r="QBT12" s="314" t="s">
        <v>203</v>
      </c>
      <c r="QBU12" s="314" t="s">
        <v>203</v>
      </c>
      <c r="QBV12" s="314" t="s">
        <v>203</v>
      </c>
      <c r="QBW12" s="314" t="s">
        <v>203</v>
      </c>
      <c r="QBX12" s="314" t="s">
        <v>203</v>
      </c>
      <c r="QBY12" s="314" t="s">
        <v>203</v>
      </c>
      <c r="QBZ12" s="314" t="s">
        <v>203</v>
      </c>
      <c r="QCA12" s="314" t="s">
        <v>203</v>
      </c>
      <c r="QCB12" s="314" t="s">
        <v>203</v>
      </c>
      <c r="QCC12" s="314" t="s">
        <v>203</v>
      </c>
      <c r="QCD12" s="314" t="s">
        <v>203</v>
      </c>
      <c r="QCE12" s="314" t="s">
        <v>203</v>
      </c>
      <c r="QCF12" s="314" t="s">
        <v>203</v>
      </c>
      <c r="QCG12" s="314" t="s">
        <v>203</v>
      </c>
      <c r="QCH12" s="314" t="s">
        <v>203</v>
      </c>
      <c r="QCI12" s="314" t="s">
        <v>203</v>
      </c>
      <c r="QCJ12" s="314" t="s">
        <v>203</v>
      </c>
      <c r="QCK12" s="314" t="s">
        <v>203</v>
      </c>
      <c r="QCL12" s="314" t="s">
        <v>203</v>
      </c>
      <c r="QCM12" s="314" t="s">
        <v>203</v>
      </c>
      <c r="QCN12" s="314" t="s">
        <v>203</v>
      </c>
      <c r="QCO12" s="314" t="s">
        <v>203</v>
      </c>
      <c r="QCP12" s="314" t="s">
        <v>203</v>
      </c>
      <c r="QCQ12" s="314" t="s">
        <v>203</v>
      </c>
      <c r="QCR12" s="314" t="s">
        <v>203</v>
      </c>
      <c r="QCS12" s="314" t="s">
        <v>203</v>
      </c>
      <c r="QCT12" s="314" t="s">
        <v>203</v>
      </c>
      <c r="QCU12" s="314" t="s">
        <v>203</v>
      </c>
      <c r="QCV12" s="314" t="s">
        <v>203</v>
      </c>
      <c r="QCW12" s="314" t="s">
        <v>203</v>
      </c>
      <c r="QCX12" s="314" t="s">
        <v>203</v>
      </c>
      <c r="QCY12" s="314" t="s">
        <v>203</v>
      </c>
      <c r="QCZ12" s="314" t="s">
        <v>203</v>
      </c>
      <c r="QDA12" s="314" t="s">
        <v>203</v>
      </c>
      <c r="QDB12" s="314" t="s">
        <v>203</v>
      </c>
      <c r="QDC12" s="314" t="s">
        <v>203</v>
      </c>
      <c r="QDD12" s="314" t="s">
        <v>203</v>
      </c>
      <c r="QDE12" s="314" t="s">
        <v>203</v>
      </c>
      <c r="QDF12" s="314" t="s">
        <v>203</v>
      </c>
      <c r="QDG12" s="314" t="s">
        <v>203</v>
      </c>
      <c r="QDH12" s="314" t="s">
        <v>203</v>
      </c>
      <c r="QDI12" s="314" t="s">
        <v>203</v>
      </c>
      <c r="QDJ12" s="314" t="s">
        <v>203</v>
      </c>
      <c r="QDK12" s="314" t="s">
        <v>203</v>
      </c>
      <c r="QDL12" s="314" t="s">
        <v>203</v>
      </c>
      <c r="QDM12" s="314" t="s">
        <v>203</v>
      </c>
      <c r="QDN12" s="314" t="s">
        <v>203</v>
      </c>
      <c r="QDO12" s="314" t="s">
        <v>203</v>
      </c>
      <c r="QDP12" s="314" t="s">
        <v>203</v>
      </c>
      <c r="QDQ12" s="314" t="s">
        <v>203</v>
      </c>
      <c r="QDR12" s="314" t="s">
        <v>203</v>
      </c>
      <c r="QDS12" s="314" t="s">
        <v>203</v>
      </c>
      <c r="QDT12" s="314" t="s">
        <v>203</v>
      </c>
      <c r="QDU12" s="314" t="s">
        <v>203</v>
      </c>
      <c r="QDV12" s="314" t="s">
        <v>203</v>
      </c>
      <c r="QDW12" s="314" t="s">
        <v>203</v>
      </c>
      <c r="QDX12" s="314" t="s">
        <v>203</v>
      </c>
      <c r="QDY12" s="314" t="s">
        <v>203</v>
      </c>
      <c r="QDZ12" s="314" t="s">
        <v>203</v>
      </c>
      <c r="QEA12" s="314" t="s">
        <v>203</v>
      </c>
      <c r="QEB12" s="314" t="s">
        <v>203</v>
      </c>
      <c r="QEC12" s="314" t="s">
        <v>203</v>
      </c>
      <c r="QED12" s="314" t="s">
        <v>203</v>
      </c>
      <c r="QEE12" s="314" t="s">
        <v>203</v>
      </c>
      <c r="QEF12" s="314" t="s">
        <v>203</v>
      </c>
      <c r="QEG12" s="314" t="s">
        <v>203</v>
      </c>
      <c r="QEH12" s="314" t="s">
        <v>203</v>
      </c>
      <c r="QEI12" s="314" t="s">
        <v>203</v>
      </c>
      <c r="QEJ12" s="314" t="s">
        <v>203</v>
      </c>
      <c r="QEK12" s="314" t="s">
        <v>203</v>
      </c>
      <c r="QEL12" s="314" t="s">
        <v>203</v>
      </c>
      <c r="QEM12" s="314" t="s">
        <v>203</v>
      </c>
      <c r="QEN12" s="314" t="s">
        <v>203</v>
      </c>
      <c r="QEO12" s="314" t="s">
        <v>203</v>
      </c>
      <c r="QEP12" s="314" t="s">
        <v>203</v>
      </c>
      <c r="QEQ12" s="314" t="s">
        <v>203</v>
      </c>
      <c r="QER12" s="314" t="s">
        <v>203</v>
      </c>
      <c r="QES12" s="314" t="s">
        <v>203</v>
      </c>
      <c r="QET12" s="314" t="s">
        <v>203</v>
      </c>
      <c r="QEU12" s="314" t="s">
        <v>203</v>
      </c>
      <c r="QEV12" s="314" t="s">
        <v>203</v>
      </c>
      <c r="QEW12" s="314" t="s">
        <v>203</v>
      </c>
      <c r="QEX12" s="314" t="s">
        <v>203</v>
      </c>
      <c r="QEY12" s="314" t="s">
        <v>203</v>
      </c>
      <c r="QEZ12" s="314" t="s">
        <v>203</v>
      </c>
      <c r="QFA12" s="314" t="s">
        <v>203</v>
      </c>
      <c r="QFB12" s="314" t="s">
        <v>203</v>
      </c>
      <c r="QFC12" s="314" t="s">
        <v>203</v>
      </c>
      <c r="QFD12" s="314" t="s">
        <v>203</v>
      </c>
      <c r="QFE12" s="314" t="s">
        <v>203</v>
      </c>
      <c r="QFF12" s="314" t="s">
        <v>203</v>
      </c>
      <c r="QFG12" s="314" t="s">
        <v>203</v>
      </c>
      <c r="QFH12" s="314" t="s">
        <v>203</v>
      </c>
      <c r="QFI12" s="314" t="s">
        <v>203</v>
      </c>
      <c r="QFJ12" s="314" t="s">
        <v>203</v>
      </c>
      <c r="QFK12" s="314" t="s">
        <v>203</v>
      </c>
      <c r="QFL12" s="314" t="s">
        <v>203</v>
      </c>
      <c r="QFM12" s="314" t="s">
        <v>203</v>
      </c>
      <c r="QFN12" s="314" t="s">
        <v>203</v>
      </c>
      <c r="QFO12" s="314" t="s">
        <v>203</v>
      </c>
      <c r="QFP12" s="314" t="s">
        <v>203</v>
      </c>
      <c r="QFQ12" s="314" t="s">
        <v>203</v>
      </c>
      <c r="QFR12" s="314" t="s">
        <v>203</v>
      </c>
      <c r="QFS12" s="314" t="s">
        <v>203</v>
      </c>
      <c r="QFT12" s="314" t="s">
        <v>203</v>
      </c>
      <c r="QFU12" s="314" t="s">
        <v>203</v>
      </c>
      <c r="QFV12" s="314" t="s">
        <v>203</v>
      </c>
      <c r="QFW12" s="314" t="s">
        <v>203</v>
      </c>
      <c r="QFX12" s="314" t="s">
        <v>203</v>
      </c>
      <c r="QFY12" s="314" t="s">
        <v>203</v>
      </c>
      <c r="QFZ12" s="314" t="s">
        <v>203</v>
      </c>
      <c r="QGA12" s="314" t="s">
        <v>203</v>
      </c>
      <c r="QGB12" s="314" t="s">
        <v>203</v>
      </c>
      <c r="QGC12" s="314" t="s">
        <v>203</v>
      </c>
      <c r="QGD12" s="314" t="s">
        <v>203</v>
      </c>
      <c r="QGE12" s="314" t="s">
        <v>203</v>
      </c>
      <c r="QGF12" s="314" t="s">
        <v>203</v>
      </c>
      <c r="QGG12" s="314" t="s">
        <v>203</v>
      </c>
      <c r="QGH12" s="314" t="s">
        <v>203</v>
      </c>
      <c r="QGI12" s="314" t="s">
        <v>203</v>
      </c>
      <c r="QGJ12" s="314" t="s">
        <v>203</v>
      </c>
      <c r="QGK12" s="314" t="s">
        <v>203</v>
      </c>
      <c r="QGL12" s="314" t="s">
        <v>203</v>
      </c>
      <c r="QGM12" s="314" t="s">
        <v>203</v>
      </c>
      <c r="QGN12" s="314" t="s">
        <v>203</v>
      </c>
      <c r="QGO12" s="314" t="s">
        <v>203</v>
      </c>
      <c r="QGP12" s="314" t="s">
        <v>203</v>
      </c>
      <c r="QGQ12" s="314" t="s">
        <v>203</v>
      </c>
      <c r="QGR12" s="314" t="s">
        <v>203</v>
      </c>
      <c r="QGS12" s="314" t="s">
        <v>203</v>
      </c>
      <c r="QGT12" s="314" t="s">
        <v>203</v>
      </c>
      <c r="QGU12" s="314" t="s">
        <v>203</v>
      </c>
      <c r="QGV12" s="314" t="s">
        <v>203</v>
      </c>
      <c r="QGW12" s="314" t="s">
        <v>203</v>
      </c>
      <c r="QGX12" s="314" t="s">
        <v>203</v>
      </c>
      <c r="QGY12" s="314" t="s">
        <v>203</v>
      </c>
      <c r="QGZ12" s="314" t="s">
        <v>203</v>
      </c>
      <c r="QHA12" s="314" t="s">
        <v>203</v>
      </c>
      <c r="QHB12" s="314" t="s">
        <v>203</v>
      </c>
      <c r="QHC12" s="314" t="s">
        <v>203</v>
      </c>
      <c r="QHD12" s="314" t="s">
        <v>203</v>
      </c>
      <c r="QHE12" s="314" t="s">
        <v>203</v>
      </c>
      <c r="QHF12" s="314" t="s">
        <v>203</v>
      </c>
      <c r="QHG12" s="314" t="s">
        <v>203</v>
      </c>
      <c r="QHH12" s="314" t="s">
        <v>203</v>
      </c>
      <c r="QHI12" s="314" t="s">
        <v>203</v>
      </c>
      <c r="QHJ12" s="314" t="s">
        <v>203</v>
      </c>
      <c r="QHK12" s="314" t="s">
        <v>203</v>
      </c>
      <c r="QHL12" s="314" t="s">
        <v>203</v>
      </c>
      <c r="QHM12" s="314" t="s">
        <v>203</v>
      </c>
      <c r="QHN12" s="314" t="s">
        <v>203</v>
      </c>
      <c r="QHO12" s="314" t="s">
        <v>203</v>
      </c>
      <c r="QHP12" s="314" t="s">
        <v>203</v>
      </c>
      <c r="QHQ12" s="314" t="s">
        <v>203</v>
      </c>
      <c r="QHR12" s="314" t="s">
        <v>203</v>
      </c>
      <c r="QHS12" s="314" t="s">
        <v>203</v>
      </c>
      <c r="QHT12" s="314" t="s">
        <v>203</v>
      </c>
      <c r="QHU12" s="314" t="s">
        <v>203</v>
      </c>
      <c r="QHV12" s="314" t="s">
        <v>203</v>
      </c>
      <c r="QHW12" s="314" t="s">
        <v>203</v>
      </c>
      <c r="QHX12" s="314" t="s">
        <v>203</v>
      </c>
      <c r="QHY12" s="314" t="s">
        <v>203</v>
      </c>
      <c r="QHZ12" s="314" t="s">
        <v>203</v>
      </c>
      <c r="QIA12" s="314" t="s">
        <v>203</v>
      </c>
      <c r="QIB12" s="314" t="s">
        <v>203</v>
      </c>
      <c r="QIC12" s="314" t="s">
        <v>203</v>
      </c>
      <c r="QID12" s="314" t="s">
        <v>203</v>
      </c>
      <c r="QIE12" s="314" t="s">
        <v>203</v>
      </c>
      <c r="QIF12" s="314" t="s">
        <v>203</v>
      </c>
      <c r="QIG12" s="314" t="s">
        <v>203</v>
      </c>
      <c r="QIH12" s="314" t="s">
        <v>203</v>
      </c>
      <c r="QII12" s="314" t="s">
        <v>203</v>
      </c>
      <c r="QIJ12" s="314" t="s">
        <v>203</v>
      </c>
      <c r="QIK12" s="314" t="s">
        <v>203</v>
      </c>
      <c r="QIL12" s="314" t="s">
        <v>203</v>
      </c>
      <c r="QIM12" s="314" t="s">
        <v>203</v>
      </c>
      <c r="QIN12" s="314" t="s">
        <v>203</v>
      </c>
      <c r="QIO12" s="314" t="s">
        <v>203</v>
      </c>
      <c r="QIP12" s="314" t="s">
        <v>203</v>
      </c>
      <c r="QIQ12" s="314" t="s">
        <v>203</v>
      </c>
      <c r="QIR12" s="314" t="s">
        <v>203</v>
      </c>
      <c r="QIS12" s="314" t="s">
        <v>203</v>
      </c>
      <c r="QIT12" s="314" t="s">
        <v>203</v>
      </c>
      <c r="QIU12" s="314" t="s">
        <v>203</v>
      </c>
      <c r="QIV12" s="314" t="s">
        <v>203</v>
      </c>
      <c r="QIW12" s="314" t="s">
        <v>203</v>
      </c>
      <c r="QIX12" s="314" t="s">
        <v>203</v>
      </c>
      <c r="QIY12" s="314" t="s">
        <v>203</v>
      </c>
      <c r="QIZ12" s="314" t="s">
        <v>203</v>
      </c>
      <c r="QJA12" s="314" t="s">
        <v>203</v>
      </c>
      <c r="QJB12" s="314" t="s">
        <v>203</v>
      </c>
      <c r="QJC12" s="314" t="s">
        <v>203</v>
      </c>
      <c r="QJD12" s="314" t="s">
        <v>203</v>
      </c>
      <c r="QJE12" s="314" t="s">
        <v>203</v>
      </c>
      <c r="QJF12" s="314" t="s">
        <v>203</v>
      </c>
      <c r="QJG12" s="314" t="s">
        <v>203</v>
      </c>
      <c r="QJH12" s="314" t="s">
        <v>203</v>
      </c>
      <c r="QJI12" s="314" t="s">
        <v>203</v>
      </c>
      <c r="QJJ12" s="314" t="s">
        <v>203</v>
      </c>
      <c r="QJK12" s="314" t="s">
        <v>203</v>
      </c>
      <c r="QJL12" s="314" t="s">
        <v>203</v>
      </c>
      <c r="QJM12" s="314" t="s">
        <v>203</v>
      </c>
      <c r="QJN12" s="314" t="s">
        <v>203</v>
      </c>
      <c r="QJO12" s="314" t="s">
        <v>203</v>
      </c>
      <c r="QJP12" s="314" t="s">
        <v>203</v>
      </c>
      <c r="QJQ12" s="314" t="s">
        <v>203</v>
      </c>
      <c r="QJR12" s="314" t="s">
        <v>203</v>
      </c>
      <c r="QJS12" s="314" t="s">
        <v>203</v>
      </c>
      <c r="QJT12" s="314" t="s">
        <v>203</v>
      </c>
      <c r="QJU12" s="314" t="s">
        <v>203</v>
      </c>
      <c r="QJV12" s="314" t="s">
        <v>203</v>
      </c>
      <c r="QJW12" s="314" t="s">
        <v>203</v>
      </c>
      <c r="QJX12" s="314" t="s">
        <v>203</v>
      </c>
      <c r="QJY12" s="314" t="s">
        <v>203</v>
      </c>
      <c r="QJZ12" s="314" t="s">
        <v>203</v>
      </c>
      <c r="QKA12" s="314" t="s">
        <v>203</v>
      </c>
      <c r="QKB12" s="314" t="s">
        <v>203</v>
      </c>
      <c r="QKC12" s="314" t="s">
        <v>203</v>
      </c>
      <c r="QKD12" s="314" t="s">
        <v>203</v>
      </c>
      <c r="QKE12" s="314" t="s">
        <v>203</v>
      </c>
      <c r="QKF12" s="314" t="s">
        <v>203</v>
      </c>
      <c r="QKG12" s="314" t="s">
        <v>203</v>
      </c>
      <c r="QKH12" s="314" t="s">
        <v>203</v>
      </c>
      <c r="QKI12" s="314" t="s">
        <v>203</v>
      </c>
      <c r="QKJ12" s="314" t="s">
        <v>203</v>
      </c>
      <c r="QKK12" s="314" t="s">
        <v>203</v>
      </c>
      <c r="QKL12" s="314" t="s">
        <v>203</v>
      </c>
      <c r="QKM12" s="314" t="s">
        <v>203</v>
      </c>
      <c r="QKN12" s="314" t="s">
        <v>203</v>
      </c>
      <c r="QKO12" s="314" t="s">
        <v>203</v>
      </c>
      <c r="QKP12" s="314" t="s">
        <v>203</v>
      </c>
      <c r="QKQ12" s="314" t="s">
        <v>203</v>
      </c>
      <c r="QKR12" s="314" t="s">
        <v>203</v>
      </c>
      <c r="QKS12" s="314" t="s">
        <v>203</v>
      </c>
      <c r="QKT12" s="314" t="s">
        <v>203</v>
      </c>
      <c r="QKU12" s="314" t="s">
        <v>203</v>
      </c>
      <c r="QKV12" s="314" t="s">
        <v>203</v>
      </c>
      <c r="QKW12" s="314" t="s">
        <v>203</v>
      </c>
      <c r="QKX12" s="314" t="s">
        <v>203</v>
      </c>
      <c r="QKY12" s="314" t="s">
        <v>203</v>
      </c>
      <c r="QKZ12" s="314" t="s">
        <v>203</v>
      </c>
      <c r="QLA12" s="314" t="s">
        <v>203</v>
      </c>
      <c r="QLB12" s="314" t="s">
        <v>203</v>
      </c>
      <c r="QLC12" s="314" t="s">
        <v>203</v>
      </c>
      <c r="QLD12" s="314" t="s">
        <v>203</v>
      </c>
      <c r="QLE12" s="314" t="s">
        <v>203</v>
      </c>
      <c r="QLF12" s="314" t="s">
        <v>203</v>
      </c>
      <c r="QLG12" s="314" t="s">
        <v>203</v>
      </c>
      <c r="QLH12" s="314" t="s">
        <v>203</v>
      </c>
      <c r="QLI12" s="314" t="s">
        <v>203</v>
      </c>
      <c r="QLJ12" s="314" t="s">
        <v>203</v>
      </c>
      <c r="QLK12" s="314" t="s">
        <v>203</v>
      </c>
      <c r="QLL12" s="314" t="s">
        <v>203</v>
      </c>
      <c r="QLM12" s="314" t="s">
        <v>203</v>
      </c>
      <c r="QLN12" s="314" t="s">
        <v>203</v>
      </c>
      <c r="QLO12" s="314" t="s">
        <v>203</v>
      </c>
      <c r="QLP12" s="314" t="s">
        <v>203</v>
      </c>
      <c r="QLQ12" s="314" t="s">
        <v>203</v>
      </c>
      <c r="QLR12" s="314" t="s">
        <v>203</v>
      </c>
      <c r="QLS12" s="314" t="s">
        <v>203</v>
      </c>
      <c r="QLT12" s="314" t="s">
        <v>203</v>
      </c>
      <c r="QLU12" s="314" t="s">
        <v>203</v>
      </c>
      <c r="QLV12" s="314" t="s">
        <v>203</v>
      </c>
      <c r="QLW12" s="314" t="s">
        <v>203</v>
      </c>
      <c r="QLX12" s="314" t="s">
        <v>203</v>
      </c>
      <c r="QLY12" s="314" t="s">
        <v>203</v>
      </c>
      <c r="QLZ12" s="314" t="s">
        <v>203</v>
      </c>
      <c r="QMA12" s="314" t="s">
        <v>203</v>
      </c>
      <c r="QMB12" s="314" t="s">
        <v>203</v>
      </c>
      <c r="QMC12" s="314" t="s">
        <v>203</v>
      </c>
      <c r="QMD12" s="314" t="s">
        <v>203</v>
      </c>
      <c r="QME12" s="314" t="s">
        <v>203</v>
      </c>
      <c r="QMF12" s="314" t="s">
        <v>203</v>
      </c>
      <c r="QMG12" s="314" t="s">
        <v>203</v>
      </c>
      <c r="QMH12" s="314" t="s">
        <v>203</v>
      </c>
      <c r="QMI12" s="314" t="s">
        <v>203</v>
      </c>
      <c r="QMJ12" s="314" t="s">
        <v>203</v>
      </c>
      <c r="QMK12" s="314" t="s">
        <v>203</v>
      </c>
      <c r="QML12" s="314" t="s">
        <v>203</v>
      </c>
      <c r="QMM12" s="314" t="s">
        <v>203</v>
      </c>
      <c r="QMN12" s="314" t="s">
        <v>203</v>
      </c>
      <c r="QMO12" s="314" t="s">
        <v>203</v>
      </c>
      <c r="QMP12" s="314" t="s">
        <v>203</v>
      </c>
      <c r="QMQ12" s="314" t="s">
        <v>203</v>
      </c>
      <c r="QMR12" s="314" t="s">
        <v>203</v>
      </c>
      <c r="QMS12" s="314" t="s">
        <v>203</v>
      </c>
      <c r="QMT12" s="314" t="s">
        <v>203</v>
      </c>
      <c r="QMU12" s="314" t="s">
        <v>203</v>
      </c>
      <c r="QMV12" s="314" t="s">
        <v>203</v>
      </c>
      <c r="QMW12" s="314" t="s">
        <v>203</v>
      </c>
      <c r="QMX12" s="314" t="s">
        <v>203</v>
      </c>
      <c r="QMY12" s="314" t="s">
        <v>203</v>
      </c>
      <c r="QMZ12" s="314" t="s">
        <v>203</v>
      </c>
      <c r="QNA12" s="314" t="s">
        <v>203</v>
      </c>
      <c r="QNB12" s="314" t="s">
        <v>203</v>
      </c>
      <c r="QNC12" s="314" t="s">
        <v>203</v>
      </c>
      <c r="QND12" s="314" t="s">
        <v>203</v>
      </c>
      <c r="QNE12" s="314" t="s">
        <v>203</v>
      </c>
      <c r="QNF12" s="314" t="s">
        <v>203</v>
      </c>
      <c r="QNG12" s="314" t="s">
        <v>203</v>
      </c>
      <c r="QNH12" s="314" t="s">
        <v>203</v>
      </c>
      <c r="QNI12" s="314" t="s">
        <v>203</v>
      </c>
      <c r="QNJ12" s="314" t="s">
        <v>203</v>
      </c>
      <c r="QNK12" s="314" t="s">
        <v>203</v>
      </c>
      <c r="QNL12" s="314" t="s">
        <v>203</v>
      </c>
      <c r="QNM12" s="314" t="s">
        <v>203</v>
      </c>
      <c r="QNN12" s="314" t="s">
        <v>203</v>
      </c>
      <c r="QNO12" s="314" t="s">
        <v>203</v>
      </c>
      <c r="QNP12" s="314" t="s">
        <v>203</v>
      </c>
      <c r="QNQ12" s="314" t="s">
        <v>203</v>
      </c>
      <c r="QNR12" s="314" t="s">
        <v>203</v>
      </c>
      <c r="QNS12" s="314" t="s">
        <v>203</v>
      </c>
      <c r="QNT12" s="314" t="s">
        <v>203</v>
      </c>
      <c r="QNU12" s="314" t="s">
        <v>203</v>
      </c>
      <c r="QNV12" s="314" t="s">
        <v>203</v>
      </c>
      <c r="QNW12" s="314" t="s">
        <v>203</v>
      </c>
      <c r="QNX12" s="314" t="s">
        <v>203</v>
      </c>
      <c r="QNY12" s="314" t="s">
        <v>203</v>
      </c>
      <c r="QNZ12" s="314" t="s">
        <v>203</v>
      </c>
      <c r="QOA12" s="314" t="s">
        <v>203</v>
      </c>
      <c r="QOB12" s="314" t="s">
        <v>203</v>
      </c>
      <c r="QOC12" s="314" t="s">
        <v>203</v>
      </c>
      <c r="QOD12" s="314" t="s">
        <v>203</v>
      </c>
      <c r="QOE12" s="314" t="s">
        <v>203</v>
      </c>
      <c r="QOF12" s="314" t="s">
        <v>203</v>
      </c>
      <c r="QOG12" s="314" t="s">
        <v>203</v>
      </c>
      <c r="QOH12" s="314" t="s">
        <v>203</v>
      </c>
      <c r="QOI12" s="314" t="s">
        <v>203</v>
      </c>
      <c r="QOJ12" s="314" t="s">
        <v>203</v>
      </c>
      <c r="QOK12" s="314" t="s">
        <v>203</v>
      </c>
      <c r="QOL12" s="314" t="s">
        <v>203</v>
      </c>
      <c r="QOM12" s="314" t="s">
        <v>203</v>
      </c>
      <c r="QON12" s="314" t="s">
        <v>203</v>
      </c>
      <c r="QOO12" s="314" t="s">
        <v>203</v>
      </c>
      <c r="QOP12" s="314" t="s">
        <v>203</v>
      </c>
      <c r="QOQ12" s="314" t="s">
        <v>203</v>
      </c>
      <c r="QOR12" s="314" t="s">
        <v>203</v>
      </c>
      <c r="QOS12" s="314" t="s">
        <v>203</v>
      </c>
      <c r="QOT12" s="314" t="s">
        <v>203</v>
      </c>
      <c r="QOU12" s="314" t="s">
        <v>203</v>
      </c>
      <c r="QOV12" s="314" t="s">
        <v>203</v>
      </c>
      <c r="QOW12" s="314" t="s">
        <v>203</v>
      </c>
      <c r="QOX12" s="314" t="s">
        <v>203</v>
      </c>
      <c r="QOY12" s="314" t="s">
        <v>203</v>
      </c>
      <c r="QOZ12" s="314" t="s">
        <v>203</v>
      </c>
      <c r="QPA12" s="314" t="s">
        <v>203</v>
      </c>
      <c r="QPB12" s="314" t="s">
        <v>203</v>
      </c>
      <c r="QPC12" s="314" t="s">
        <v>203</v>
      </c>
      <c r="QPD12" s="314" t="s">
        <v>203</v>
      </c>
      <c r="QPE12" s="314" t="s">
        <v>203</v>
      </c>
      <c r="QPF12" s="314" t="s">
        <v>203</v>
      </c>
      <c r="QPG12" s="314" t="s">
        <v>203</v>
      </c>
      <c r="QPH12" s="314" t="s">
        <v>203</v>
      </c>
      <c r="QPI12" s="314" t="s">
        <v>203</v>
      </c>
      <c r="QPJ12" s="314" t="s">
        <v>203</v>
      </c>
      <c r="QPK12" s="314" t="s">
        <v>203</v>
      </c>
      <c r="QPL12" s="314" t="s">
        <v>203</v>
      </c>
      <c r="QPM12" s="314" t="s">
        <v>203</v>
      </c>
      <c r="QPN12" s="314" t="s">
        <v>203</v>
      </c>
      <c r="QPO12" s="314" t="s">
        <v>203</v>
      </c>
      <c r="QPP12" s="314" t="s">
        <v>203</v>
      </c>
      <c r="QPQ12" s="314" t="s">
        <v>203</v>
      </c>
      <c r="QPR12" s="314" t="s">
        <v>203</v>
      </c>
      <c r="QPS12" s="314" t="s">
        <v>203</v>
      </c>
      <c r="QPT12" s="314" t="s">
        <v>203</v>
      </c>
      <c r="QPU12" s="314" t="s">
        <v>203</v>
      </c>
      <c r="QPV12" s="314" t="s">
        <v>203</v>
      </c>
      <c r="QPW12" s="314" t="s">
        <v>203</v>
      </c>
      <c r="QPX12" s="314" t="s">
        <v>203</v>
      </c>
      <c r="QPY12" s="314" t="s">
        <v>203</v>
      </c>
      <c r="QPZ12" s="314" t="s">
        <v>203</v>
      </c>
      <c r="QQA12" s="314" t="s">
        <v>203</v>
      </c>
      <c r="QQB12" s="314" t="s">
        <v>203</v>
      </c>
      <c r="QQC12" s="314" t="s">
        <v>203</v>
      </c>
      <c r="QQD12" s="314" t="s">
        <v>203</v>
      </c>
      <c r="QQE12" s="314" t="s">
        <v>203</v>
      </c>
      <c r="QQF12" s="314" t="s">
        <v>203</v>
      </c>
      <c r="QQG12" s="314" t="s">
        <v>203</v>
      </c>
      <c r="QQH12" s="314" t="s">
        <v>203</v>
      </c>
      <c r="QQI12" s="314" t="s">
        <v>203</v>
      </c>
      <c r="QQJ12" s="314" t="s">
        <v>203</v>
      </c>
      <c r="QQK12" s="314" t="s">
        <v>203</v>
      </c>
      <c r="QQL12" s="314" t="s">
        <v>203</v>
      </c>
      <c r="QQM12" s="314" t="s">
        <v>203</v>
      </c>
      <c r="QQN12" s="314" t="s">
        <v>203</v>
      </c>
      <c r="QQO12" s="314" t="s">
        <v>203</v>
      </c>
      <c r="QQP12" s="314" t="s">
        <v>203</v>
      </c>
      <c r="QQQ12" s="314" t="s">
        <v>203</v>
      </c>
      <c r="QQR12" s="314" t="s">
        <v>203</v>
      </c>
      <c r="QQS12" s="314" t="s">
        <v>203</v>
      </c>
      <c r="QQT12" s="314" t="s">
        <v>203</v>
      </c>
      <c r="QQU12" s="314" t="s">
        <v>203</v>
      </c>
      <c r="QQV12" s="314" t="s">
        <v>203</v>
      </c>
      <c r="QQW12" s="314" t="s">
        <v>203</v>
      </c>
      <c r="QQX12" s="314" t="s">
        <v>203</v>
      </c>
      <c r="QQY12" s="314" t="s">
        <v>203</v>
      </c>
      <c r="QQZ12" s="314" t="s">
        <v>203</v>
      </c>
      <c r="QRA12" s="314" t="s">
        <v>203</v>
      </c>
      <c r="QRB12" s="314" t="s">
        <v>203</v>
      </c>
      <c r="QRC12" s="314" t="s">
        <v>203</v>
      </c>
      <c r="QRD12" s="314" t="s">
        <v>203</v>
      </c>
      <c r="QRE12" s="314" t="s">
        <v>203</v>
      </c>
      <c r="QRF12" s="314" t="s">
        <v>203</v>
      </c>
      <c r="QRG12" s="314" t="s">
        <v>203</v>
      </c>
      <c r="QRH12" s="314" t="s">
        <v>203</v>
      </c>
      <c r="QRI12" s="314" t="s">
        <v>203</v>
      </c>
      <c r="QRJ12" s="314" t="s">
        <v>203</v>
      </c>
      <c r="QRK12" s="314" t="s">
        <v>203</v>
      </c>
      <c r="QRL12" s="314" t="s">
        <v>203</v>
      </c>
      <c r="QRM12" s="314" t="s">
        <v>203</v>
      </c>
      <c r="QRN12" s="314" t="s">
        <v>203</v>
      </c>
      <c r="QRO12" s="314" t="s">
        <v>203</v>
      </c>
      <c r="QRP12" s="314" t="s">
        <v>203</v>
      </c>
      <c r="QRQ12" s="314" t="s">
        <v>203</v>
      </c>
      <c r="QRR12" s="314" t="s">
        <v>203</v>
      </c>
      <c r="QRS12" s="314" t="s">
        <v>203</v>
      </c>
      <c r="QRT12" s="314" t="s">
        <v>203</v>
      </c>
      <c r="QRU12" s="314" t="s">
        <v>203</v>
      </c>
      <c r="QRV12" s="314" t="s">
        <v>203</v>
      </c>
      <c r="QRW12" s="314" t="s">
        <v>203</v>
      </c>
      <c r="QRX12" s="314" t="s">
        <v>203</v>
      </c>
      <c r="QRY12" s="314" t="s">
        <v>203</v>
      </c>
      <c r="QRZ12" s="314" t="s">
        <v>203</v>
      </c>
      <c r="QSA12" s="314" t="s">
        <v>203</v>
      </c>
      <c r="QSB12" s="314" t="s">
        <v>203</v>
      </c>
      <c r="QSC12" s="314" t="s">
        <v>203</v>
      </c>
      <c r="QSD12" s="314" t="s">
        <v>203</v>
      </c>
      <c r="QSE12" s="314" t="s">
        <v>203</v>
      </c>
      <c r="QSF12" s="314" t="s">
        <v>203</v>
      </c>
      <c r="QSG12" s="314" t="s">
        <v>203</v>
      </c>
      <c r="QSH12" s="314" t="s">
        <v>203</v>
      </c>
      <c r="QSI12" s="314" t="s">
        <v>203</v>
      </c>
      <c r="QSJ12" s="314" t="s">
        <v>203</v>
      </c>
      <c r="QSK12" s="314" t="s">
        <v>203</v>
      </c>
      <c r="QSL12" s="314" t="s">
        <v>203</v>
      </c>
      <c r="QSM12" s="314" t="s">
        <v>203</v>
      </c>
      <c r="QSN12" s="314" t="s">
        <v>203</v>
      </c>
      <c r="QSO12" s="314" t="s">
        <v>203</v>
      </c>
      <c r="QSP12" s="314" t="s">
        <v>203</v>
      </c>
      <c r="QSQ12" s="314" t="s">
        <v>203</v>
      </c>
      <c r="QSR12" s="314" t="s">
        <v>203</v>
      </c>
      <c r="QSS12" s="314" t="s">
        <v>203</v>
      </c>
      <c r="QST12" s="314" t="s">
        <v>203</v>
      </c>
      <c r="QSU12" s="314" t="s">
        <v>203</v>
      </c>
      <c r="QSV12" s="314" t="s">
        <v>203</v>
      </c>
      <c r="QSW12" s="314" t="s">
        <v>203</v>
      </c>
      <c r="QSX12" s="314" t="s">
        <v>203</v>
      </c>
      <c r="QSY12" s="314" t="s">
        <v>203</v>
      </c>
      <c r="QSZ12" s="314" t="s">
        <v>203</v>
      </c>
      <c r="QTA12" s="314" t="s">
        <v>203</v>
      </c>
      <c r="QTB12" s="314" t="s">
        <v>203</v>
      </c>
      <c r="QTC12" s="314" t="s">
        <v>203</v>
      </c>
      <c r="QTD12" s="314" t="s">
        <v>203</v>
      </c>
      <c r="QTE12" s="314" t="s">
        <v>203</v>
      </c>
      <c r="QTF12" s="314" t="s">
        <v>203</v>
      </c>
      <c r="QTG12" s="314" t="s">
        <v>203</v>
      </c>
      <c r="QTH12" s="314" t="s">
        <v>203</v>
      </c>
      <c r="QTI12" s="314" t="s">
        <v>203</v>
      </c>
      <c r="QTJ12" s="314" t="s">
        <v>203</v>
      </c>
      <c r="QTK12" s="314" t="s">
        <v>203</v>
      </c>
      <c r="QTL12" s="314" t="s">
        <v>203</v>
      </c>
      <c r="QTM12" s="314" t="s">
        <v>203</v>
      </c>
      <c r="QTN12" s="314" t="s">
        <v>203</v>
      </c>
      <c r="QTO12" s="314" t="s">
        <v>203</v>
      </c>
      <c r="QTP12" s="314" t="s">
        <v>203</v>
      </c>
      <c r="QTQ12" s="314" t="s">
        <v>203</v>
      </c>
      <c r="QTR12" s="314" t="s">
        <v>203</v>
      </c>
      <c r="QTS12" s="314" t="s">
        <v>203</v>
      </c>
      <c r="QTT12" s="314" t="s">
        <v>203</v>
      </c>
      <c r="QTU12" s="314" t="s">
        <v>203</v>
      </c>
      <c r="QTV12" s="314" t="s">
        <v>203</v>
      </c>
      <c r="QTW12" s="314" t="s">
        <v>203</v>
      </c>
      <c r="QTX12" s="314" t="s">
        <v>203</v>
      </c>
      <c r="QTY12" s="314" t="s">
        <v>203</v>
      </c>
      <c r="QTZ12" s="314" t="s">
        <v>203</v>
      </c>
      <c r="QUA12" s="314" t="s">
        <v>203</v>
      </c>
      <c r="QUB12" s="314" t="s">
        <v>203</v>
      </c>
      <c r="QUC12" s="314" t="s">
        <v>203</v>
      </c>
      <c r="QUD12" s="314" t="s">
        <v>203</v>
      </c>
      <c r="QUE12" s="314" t="s">
        <v>203</v>
      </c>
      <c r="QUF12" s="314" t="s">
        <v>203</v>
      </c>
      <c r="QUG12" s="314" t="s">
        <v>203</v>
      </c>
      <c r="QUH12" s="314" t="s">
        <v>203</v>
      </c>
      <c r="QUI12" s="314" t="s">
        <v>203</v>
      </c>
      <c r="QUJ12" s="314" t="s">
        <v>203</v>
      </c>
      <c r="QUK12" s="314" t="s">
        <v>203</v>
      </c>
      <c r="QUL12" s="314" t="s">
        <v>203</v>
      </c>
      <c r="QUM12" s="314" t="s">
        <v>203</v>
      </c>
      <c r="QUN12" s="314" t="s">
        <v>203</v>
      </c>
      <c r="QUO12" s="314" t="s">
        <v>203</v>
      </c>
      <c r="QUP12" s="314" t="s">
        <v>203</v>
      </c>
      <c r="QUQ12" s="314" t="s">
        <v>203</v>
      </c>
      <c r="QUR12" s="314" t="s">
        <v>203</v>
      </c>
      <c r="QUS12" s="314" t="s">
        <v>203</v>
      </c>
      <c r="QUT12" s="314" t="s">
        <v>203</v>
      </c>
      <c r="QUU12" s="314" t="s">
        <v>203</v>
      </c>
      <c r="QUV12" s="314" t="s">
        <v>203</v>
      </c>
      <c r="QUW12" s="314" t="s">
        <v>203</v>
      </c>
      <c r="QUX12" s="314" t="s">
        <v>203</v>
      </c>
      <c r="QUY12" s="314" t="s">
        <v>203</v>
      </c>
      <c r="QUZ12" s="314" t="s">
        <v>203</v>
      </c>
      <c r="QVA12" s="314" t="s">
        <v>203</v>
      </c>
      <c r="QVB12" s="314" t="s">
        <v>203</v>
      </c>
      <c r="QVC12" s="314" t="s">
        <v>203</v>
      </c>
      <c r="QVD12" s="314" t="s">
        <v>203</v>
      </c>
      <c r="QVE12" s="314" t="s">
        <v>203</v>
      </c>
      <c r="QVF12" s="314" t="s">
        <v>203</v>
      </c>
      <c r="QVG12" s="314" t="s">
        <v>203</v>
      </c>
      <c r="QVH12" s="314" t="s">
        <v>203</v>
      </c>
      <c r="QVI12" s="314" t="s">
        <v>203</v>
      </c>
      <c r="QVJ12" s="314" t="s">
        <v>203</v>
      </c>
      <c r="QVK12" s="314" t="s">
        <v>203</v>
      </c>
      <c r="QVL12" s="314" t="s">
        <v>203</v>
      </c>
      <c r="QVM12" s="314" t="s">
        <v>203</v>
      </c>
      <c r="QVN12" s="314" t="s">
        <v>203</v>
      </c>
      <c r="QVO12" s="314" t="s">
        <v>203</v>
      </c>
      <c r="QVP12" s="314" t="s">
        <v>203</v>
      </c>
      <c r="QVQ12" s="314" t="s">
        <v>203</v>
      </c>
      <c r="QVR12" s="314" t="s">
        <v>203</v>
      </c>
      <c r="QVS12" s="314" t="s">
        <v>203</v>
      </c>
      <c r="QVT12" s="314" t="s">
        <v>203</v>
      </c>
      <c r="QVU12" s="314" t="s">
        <v>203</v>
      </c>
      <c r="QVV12" s="314" t="s">
        <v>203</v>
      </c>
      <c r="QVW12" s="314" t="s">
        <v>203</v>
      </c>
      <c r="QVX12" s="314" t="s">
        <v>203</v>
      </c>
      <c r="QVY12" s="314" t="s">
        <v>203</v>
      </c>
      <c r="QVZ12" s="314" t="s">
        <v>203</v>
      </c>
      <c r="QWA12" s="314" t="s">
        <v>203</v>
      </c>
      <c r="QWB12" s="314" t="s">
        <v>203</v>
      </c>
      <c r="QWC12" s="314" t="s">
        <v>203</v>
      </c>
      <c r="QWD12" s="314" t="s">
        <v>203</v>
      </c>
      <c r="QWE12" s="314" t="s">
        <v>203</v>
      </c>
      <c r="QWF12" s="314" t="s">
        <v>203</v>
      </c>
      <c r="QWG12" s="314" t="s">
        <v>203</v>
      </c>
      <c r="QWH12" s="314" t="s">
        <v>203</v>
      </c>
      <c r="QWI12" s="314" t="s">
        <v>203</v>
      </c>
      <c r="QWJ12" s="314" t="s">
        <v>203</v>
      </c>
      <c r="QWK12" s="314" t="s">
        <v>203</v>
      </c>
      <c r="QWL12" s="314" t="s">
        <v>203</v>
      </c>
      <c r="QWM12" s="314" t="s">
        <v>203</v>
      </c>
      <c r="QWN12" s="314" t="s">
        <v>203</v>
      </c>
      <c r="QWO12" s="314" t="s">
        <v>203</v>
      </c>
      <c r="QWP12" s="314" t="s">
        <v>203</v>
      </c>
      <c r="QWQ12" s="314" t="s">
        <v>203</v>
      </c>
      <c r="QWR12" s="314" t="s">
        <v>203</v>
      </c>
      <c r="QWS12" s="314" t="s">
        <v>203</v>
      </c>
      <c r="QWT12" s="314" t="s">
        <v>203</v>
      </c>
      <c r="QWU12" s="314" t="s">
        <v>203</v>
      </c>
      <c r="QWV12" s="314" t="s">
        <v>203</v>
      </c>
      <c r="QWW12" s="314" t="s">
        <v>203</v>
      </c>
      <c r="QWX12" s="314" t="s">
        <v>203</v>
      </c>
      <c r="QWY12" s="314" t="s">
        <v>203</v>
      </c>
      <c r="QWZ12" s="314" t="s">
        <v>203</v>
      </c>
      <c r="QXA12" s="314" t="s">
        <v>203</v>
      </c>
      <c r="QXB12" s="314" t="s">
        <v>203</v>
      </c>
      <c r="QXC12" s="314" t="s">
        <v>203</v>
      </c>
      <c r="QXD12" s="314" t="s">
        <v>203</v>
      </c>
      <c r="QXE12" s="314" t="s">
        <v>203</v>
      </c>
      <c r="QXF12" s="314" t="s">
        <v>203</v>
      </c>
      <c r="QXG12" s="314" t="s">
        <v>203</v>
      </c>
      <c r="QXH12" s="314" t="s">
        <v>203</v>
      </c>
      <c r="QXI12" s="314" t="s">
        <v>203</v>
      </c>
      <c r="QXJ12" s="314" t="s">
        <v>203</v>
      </c>
      <c r="QXK12" s="314" t="s">
        <v>203</v>
      </c>
      <c r="QXL12" s="314" t="s">
        <v>203</v>
      </c>
      <c r="QXM12" s="314" t="s">
        <v>203</v>
      </c>
      <c r="QXN12" s="314" t="s">
        <v>203</v>
      </c>
      <c r="QXO12" s="314" t="s">
        <v>203</v>
      </c>
      <c r="QXP12" s="314" t="s">
        <v>203</v>
      </c>
      <c r="QXQ12" s="314" t="s">
        <v>203</v>
      </c>
      <c r="QXR12" s="314" t="s">
        <v>203</v>
      </c>
      <c r="QXS12" s="314" t="s">
        <v>203</v>
      </c>
      <c r="QXT12" s="314" t="s">
        <v>203</v>
      </c>
      <c r="QXU12" s="314" t="s">
        <v>203</v>
      </c>
      <c r="QXV12" s="314" t="s">
        <v>203</v>
      </c>
      <c r="QXW12" s="314" t="s">
        <v>203</v>
      </c>
      <c r="QXX12" s="314" t="s">
        <v>203</v>
      </c>
      <c r="QXY12" s="314" t="s">
        <v>203</v>
      </c>
      <c r="QXZ12" s="314" t="s">
        <v>203</v>
      </c>
      <c r="QYA12" s="314" t="s">
        <v>203</v>
      </c>
      <c r="QYB12" s="314" t="s">
        <v>203</v>
      </c>
      <c r="QYC12" s="314" t="s">
        <v>203</v>
      </c>
      <c r="QYD12" s="314" t="s">
        <v>203</v>
      </c>
      <c r="QYE12" s="314" t="s">
        <v>203</v>
      </c>
      <c r="QYF12" s="314" t="s">
        <v>203</v>
      </c>
      <c r="QYG12" s="314" t="s">
        <v>203</v>
      </c>
      <c r="QYH12" s="314" t="s">
        <v>203</v>
      </c>
      <c r="QYI12" s="314" t="s">
        <v>203</v>
      </c>
      <c r="QYJ12" s="314" t="s">
        <v>203</v>
      </c>
      <c r="QYK12" s="314" t="s">
        <v>203</v>
      </c>
      <c r="QYL12" s="314" t="s">
        <v>203</v>
      </c>
      <c r="QYM12" s="314" t="s">
        <v>203</v>
      </c>
      <c r="QYN12" s="314" t="s">
        <v>203</v>
      </c>
      <c r="QYO12" s="314" t="s">
        <v>203</v>
      </c>
      <c r="QYP12" s="314" t="s">
        <v>203</v>
      </c>
      <c r="QYQ12" s="314" t="s">
        <v>203</v>
      </c>
      <c r="QYR12" s="314" t="s">
        <v>203</v>
      </c>
      <c r="QYS12" s="314" t="s">
        <v>203</v>
      </c>
      <c r="QYT12" s="314" t="s">
        <v>203</v>
      </c>
      <c r="QYU12" s="314" t="s">
        <v>203</v>
      </c>
      <c r="QYV12" s="314" t="s">
        <v>203</v>
      </c>
      <c r="QYW12" s="314" t="s">
        <v>203</v>
      </c>
      <c r="QYX12" s="314" t="s">
        <v>203</v>
      </c>
      <c r="QYY12" s="314" t="s">
        <v>203</v>
      </c>
      <c r="QYZ12" s="314" t="s">
        <v>203</v>
      </c>
      <c r="QZA12" s="314" t="s">
        <v>203</v>
      </c>
      <c r="QZB12" s="314" t="s">
        <v>203</v>
      </c>
      <c r="QZC12" s="314" t="s">
        <v>203</v>
      </c>
      <c r="QZD12" s="314" t="s">
        <v>203</v>
      </c>
      <c r="QZE12" s="314" t="s">
        <v>203</v>
      </c>
      <c r="QZF12" s="314" t="s">
        <v>203</v>
      </c>
      <c r="QZG12" s="314" t="s">
        <v>203</v>
      </c>
      <c r="QZH12" s="314" t="s">
        <v>203</v>
      </c>
      <c r="QZI12" s="314" t="s">
        <v>203</v>
      </c>
      <c r="QZJ12" s="314" t="s">
        <v>203</v>
      </c>
      <c r="QZK12" s="314" t="s">
        <v>203</v>
      </c>
      <c r="QZL12" s="314" t="s">
        <v>203</v>
      </c>
      <c r="QZM12" s="314" t="s">
        <v>203</v>
      </c>
      <c r="QZN12" s="314" t="s">
        <v>203</v>
      </c>
      <c r="QZO12" s="314" t="s">
        <v>203</v>
      </c>
      <c r="QZP12" s="314" t="s">
        <v>203</v>
      </c>
      <c r="QZQ12" s="314" t="s">
        <v>203</v>
      </c>
      <c r="QZR12" s="314" t="s">
        <v>203</v>
      </c>
      <c r="QZS12" s="314" t="s">
        <v>203</v>
      </c>
      <c r="QZT12" s="314" t="s">
        <v>203</v>
      </c>
      <c r="QZU12" s="314" t="s">
        <v>203</v>
      </c>
      <c r="QZV12" s="314" t="s">
        <v>203</v>
      </c>
      <c r="QZW12" s="314" t="s">
        <v>203</v>
      </c>
      <c r="QZX12" s="314" t="s">
        <v>203</v>
      </c>
      <c r="QZY12" s="314" t="s">
        <v>203</v>
      </c>
      <c r="QZZ12" s="314" t="s">
        <v>203</v>
      </c>
      <c r="RAA12" s="314" t="s">
        <v>203</v>
      </c>
      <c r="RAB12" s="314" t="s">
        <v>203</v>
      </c>
      <c r="RAC12" s="314" t="s">
        <v>203</v>
      </c>
      <c r="RAD12" s="314" t="s">
        <v>203</v>
      </c>
      <c r="RAE12" s="314" t="s">
        <v>203</v>
      </c>
      <c r="RAF12" s="314" t="s">
        <v>203</v>
      </c>
      <c r="RAG12" s="314" t="s">
        <v>203</v>
      </c>
      <c r="RAH12" s="314" t="s">
        <v>203</v>
      </c>
      <c r="RAI12" s="314" t="s">
        <v>203</v>
      </c>
      <c r="RAJ12" s="314" t="s">
        <v>203</v>
      </c>
      <c r="RAK12" s="314" t="s">
        <v>203</v>
      </c>
      <c r="RAL12" s="314" t="s">
        <v>203</v>
      </c>
      <c r="RAM12" s="314" t="s">
        <v>203</v>
      </c>
      <c r="RAN12" s="314" t="s">
        <v>203</v>
      </c>
      <c r="RAO12" s="314" t="s">
        <v>203</v>
      </c>
      <c r="RAP12" s="314" t="s">
        <v>203</v>
      </c>
      <c r="RAQ12" s="314" t="s">
        <v>203</v>
      </c>
      <c r="RAR12" s="314" t="s">
        <v>203</v>
      </c>
      <c r="RAS12" s="314" t="s">
        <v>203</v>
      </c>
      <c r="RAT12" s="314" t="s">
        <v>203</v>
      </c>
      <c r="RAU12" s="314" t="s">
        <v>203</v>
      </c>
      <c r="RAV12" s="314" t="s">
        <v>203</v>
      </c>
      <c r="RAW12" s="314" t="s">
        <v>203</v>
      </c>
      <c r="RAX12" s="314" t="s">
        <v>203</v>
      </c>
      <c r="RAY12" s="314" t="s">
        <v>203</v>
      </c>
      <c r="RAZ12" s="314" t="s">
        <v>203</v>
      </c>
      <c r="RBA12" s="314" t="s">
        <v>203</v>
      </c>
      <c r="RBB12" s="314" t="s">
        <v>203</v>
      </c>
      <c r="RBC12" s="314" t="s">
        <v>203</v>
      </c>
      <c r="RBD12" s="314" t="s">
        <v>203</v>
      </c>
      <c r="RBE12" s="314" t="s">
        <v>203</v>
      </c>
      <c r="RBF12" s="314" t="s">
        <v>203</v>
      </c>
      <c r="RBG12" s="314" t="s">
        <v>203</v>
      </c>
      <c r="RBH12" s="314" t="s">
        <v>203</v>
      </c>
      <c r="RBI12" s="314" t="s">
        <v>203</v>
      </c>
      <c r="RBJ12" s="314" t="s">
        <v>203</v>
      </c>
      <c r="RBK12" s="314" t="s">
        <v>203</v>
      </c>
      <c r="RBL12" s="314" t="s">
        <v>203</v>
      </c>
      <c r="RBM12" s="314" t="s">
        <v>203</v>
      </c>
      <c r="RBN12" s="314" t="s">
        <v>203</v>
      </c>
      <c r="RBO12" s="314" t="s">
        <v>203</v>
      </c>
      <c r="RBP12" s="314" t="s">
        <v>203</v>
      </c>
      <c r="RBQ12" s="314" t="s">
        <v>203</v>
      </c>
      <c r="RBR12" s="314" t="s">
        <v>203</v>
      </c>
      <c r="RBS12" s="314" t="s">
        <v>203</v>
      </c>
      <c r="RBT12" s="314" t="s">
        <v>203</v>
      </c>
      <c r="RBU12" s="314" t="s">
        <v>203</v>
      </c>
      <c r="RBV12" s="314" t="s">
        <v>203</v>
      </c>
      <c r="RBW12" s="314" t="s">
        <v>203</v>
      </c>
      <c r="RBX12" s="314" t="s">
        <v>203</v>
      </c>
      <c r="RBY12" s="314" t="s">
        <v>203</v>
      </c>
      <c r="RBZ12" s="314" t="s">
        <v>203</v>
      </c>
      <c r="RCA12" s="314" t="s">
        <v>203</v>
      </c>
      <c r="RCB12" s="314" t="s">
        <v>203</v>
      </c>
      <c r="RCC12" s="314" t="s">
        <v>203</v>
      </c>
      <c r="RCD12" s="314" t="s">
        <v>203</v>
      </c>
      <c r="RCE12" s="314" t="s">
        <v>203</v>
      </c>
      <c r="RCF12" s="314" t="s">
        <v>203</v>
      </c>
      <c r="RCG12" s="314" t="s">
        <v>203</v>
      </c>
      <c r="RCH12" s="314" t="s">
        <v>203</v>
      </c>
      <c r="RCI12" s="314" t="s">
        <v>203</v>
      </c>
      <c r="RCJ12" s="314" t="s">
        <v>203</v>
      </c>
      <c r="RCK12" s="314" t="s">
        <v>203</v>
      </c>
      <c r="RCL12" s="314" t="s">
        <v>203</v>
      </c>
      <c r="RCM12" s="314" t="s">
        <v>203</v>
      </c>
      <c r="RCN12" s="314" t="s">
        <v>203</v>
      </c>
      <c r="RCO12" s="314" t="s">
        <v>203</v>
      </c>
      <c r="RCP12" s="314" t="s">
        <v>203</v>
      </c>
      <c r="RCQ12" s="314" t="s">
        <v>203</v>
      </c>
      <c r="RCR12" s="314" t="s">
        <v>203</v>
      </c>
      <c r="RCS12" s="314" t="s">
        <v>203</v>
      </c>
      <c r="RCT12" s="314" t="s">
        <v>203</v>
      </c>
      <c r="RCU12" s="314" t="s">
        <v>203</v>
      </c>
      <c r="RCV12" s="314" t="s">
        <v>203</v>
      </c>
      <c r="RCW12" s="314" t="s">
        <v>203</v>
      </c>
      <c r="RCX12" s="314" t="s">
        <v>203</v>
      </c>
      <c r="RCY12" s="314" t="s">
        <v>203</v>
      </c>
      <c r="RCZ12" s="314" t="s">
        <v>203</v>
      </c>
      <c r="RDA12" s="314" t="s">
        <v>203</v>
      </c>
      <c r="RDB12" s="314" t="s">
        <v>203</v>
      </c>
      <c r="RDC12" s="314" t="s">
        <v>203</v>
      </c>
      <c r="RDD12" s="314" t="s">
        <v>203</v>
      </c>
      <c r="RDE12" s="314" t="s">
        <v>203</v>
      </c>
      <c r="RDF12" s="314" t="s">
        <v>203</v>
      </c>
      <c r="RDG12" s="314" t="s">
        <v>203</v>
      </c>
      <c r="RDH12" s="314" t="s">
        <v>203</v>
      </c>
      <c r="RDI12" s="314" t="s">
        <v>203</v>
      </c>
      <c r="RDJ12" s="314" t="s">
        <v>203</v>
      </c>
      <c r="RDK12" s="314" t="s">
        <v>203</v>
      </c>
      <c r="RDL12" s="314" t="s">
        <v>203</v>
      </c>
      <c r="RDM12" s="314" t="s">
        <v>203</v>
      </c>
      <c r="RDN12" s="314" t="s">
        <v>203</v>
      </c>
      <c r="RDO12" s="314" t="s">
        <v>203</v>
      </c>
      <c r="RDP12" s="314" t="s">
        <v>203</v>
      </c>
      <c r="RDQ12" s="314" t="s">
        <v>203</v>
      </c>
      <c r="RDR12" s="314" t="s">
        <v>203</v>
      </c>
      <c r="RDS12" s="314" t="s">
        <v>203</v>
      </c>
      <c r="RDT12" s="314" t="s">
        <v>203</v>
      </c>
      <c r="RDU12" s="314" t="s">
        <v>203</v>
      </c>
      <c r="RDV12" s="314" t="s">
        <v>203</v>
      </c>
      <c r="RDW12" s="314" t="s">
        <v>203</v>
      </c>
      <c r="RDX12" s="314" t="s">
        <v>203</v>
      </c>
      <c r="RDY12" s="314" t="s">
        <v>203</v>
      </c>
      <c r="RDZ12" s="314" t="s">
        <v>203</v>
      </c>
      <c r="REA12" s="314" t="s">
        <v>203</v>
      </c>
      <c r="REB12" s="314" t="s">
        <v>203</v>
      </c>
      <c r="REC12" s="314" t="s">
        <v>203</v>
      </c>
      <c r="RED12" s="314" t="s">
        <v>203</v>
      </c>
      <c r="REE12" s="314" t="s">
        <v>203</v>
      </c>
      <c r="REF12" s="314" t="s">
        <v>203</v>
      </c>
      <c r="REG12" s="314" t="s">
        <v>203</v>
      </c>
      <c r="REH12" s="314" t="s">
        <v>203</v>
      </c>
      <c r="REI12" s="314" t="s">
        <v>203</v>
      </c>
      <c r="REJ12" s="314" t="s">
        <v>203</v>
      </c>
      <c r="REK12" s="314" t="s">
        <v>203</v>
      </c>
      <c r="REL12" s="314" t="s">
        <v>203</v>
      </c>
      <c r="REM12" s="314" t="s">
        <v>203</v>
      </c>
      <c r="REN12" s="314" t="s">
        <v>203</v>
      </c>
      <c r="REO12" s="314" t="s">
        <v>203</v>
      </c>
      <c r="REP12" s="314" t="s">
        <v>203</v>
      </c>
      <c r="REQ12" s="314" t="s">
        <v>203</v>
      </c>
      <c r="RER12" s="314" t="s">
        <v>203</v>
      </c>
      <c r="RES12" s="314" t="s">
        <v>203</v>
      </c>
      <c r="RET12" s="314" t="s">
        <v>203</v>
      </c>
      <c r="REU12" s="314" t="s">
        <v>203</v>
      </c>
      <c r="REV12" s="314" t="s">
        <v>203</v>
      </c>
      <c r="REW12" s="314" t="s">
        <v>203</v>
      </c>
      <c r="REX12" s="314" t="s">
        <v>203</v>
      </c>
      <c r="REY12" s="314" t="s">
        <v>203</v>
      </c>
      <c r="REZ12" s="314" t="s">
        <v>203</v>
      </c>
      <c r="RFA12" s="314" t="s">
        <v>203</v>
      </c>
      <c r="RFB12" s="314" t="s">
        <v>203</v>
      </c>
      <c r="RFC12" s="314" t="s">
        <v>203</v>
      </c>
      <c r="RFD12" s="314" t="s">
        <v>203</v>
      </c>
      <c r="RFE12" s="314" t="s">
        <v>203</v>
      </c>
      <c r="RFF12" s="314" t="s">
        <v>203</v>
      </c>
      <c r="RFG12" s="314" t="s">
        <v>203</v>
      </c>
      <c r="RFH12" s="314" t="s">
        <v>203</v>
      </c>
      <c r="RFI12" s="314" t="s">
        <v>203</v>
      </c>
      <c r="RFJ12" s="314" t="s">
        <v>203</v>
      </c>
      <c r="RFK12" s="314" t="s">
        <v>203</v>
      </c>
      <c r="RFL12" s="314" t="s">
        <v>203</v>
      </c>
      <c r="RFM12" s="314" t="s">
        <v>203</v>
      </c>
      <c r="RFN12" s="314" t="s">
        <v>203</v>
      </c>
      <c r="RFO12" s="314" t="s">
        <v>203</v>
      </c>
      <c r="RFP12" s="314" t="s">
        <v>203</v>
      </c>
      <c r="RFQ12" s="314" t="s">
        <v>203</v>
      </c>
      <c r="RFR12" s="314" t="s">
        <v>203</v>
      </c>
      <c r="RFS12" s="314" t="s">
        <v>203</v>
      </c>
      <c r="RFT12" s="314" t="s">
        <v>203</v>
      </c>
      <c r="RFU12" s="314" t="s">
        <v>203</v>
      </c>
      <c r="RFV12" s="314" t="s">
        <v>203</v>
      </c>
      <c r="RFW12" s="314" t="s">
        <v>203</v>
      </c>
      <c r="RFX12" s="314" t="s">
        <v>203</v>
      </c>
      <c r="RFY12" s="314" t="s">
        <v>203</v>
      </c>
      <c r="RFZ12" s="314" t="s">
        <v>203</v>
      </c>
      <c r="RGA12" s="314" t="s">
        <v>203</v>
      </c>
      <c r="RGB12" s="314" t="s">
        <v>203</v>
      </c>
      <c r="RGC12" s="314" t="s">
        <v>203</v>
      </c>
      <c r="RGD12" s="314" t="s">
        <v>203</v>
      </c>
      <c r="RGE12" s="314" t="s">
        <v>203</v>
      </c>
      <c r="RGF12" s="314" t="s">
        <v>203</v>
      </c>
      <c r="RGG12" s="314" t="s">
        <v>203</v>
      </c>
      <c r="RGH12" s="314" t="s">
        <v>203</v>
      </c>
      <c r="RGI12" s="314" t="s">
        <v>203</v>
      </c>
      <c r="RGJ12" s="314" t="s">
        <v>203</v>
      </c>
      <c r="RGK12" s="314" t="s">
        <v>203</v>
      </c>
      <c r="RGL12" s="314" t="s">
        <v>203</v>
      </c>
      <c r="RGM12" s="314" t="s">
        <v>203</v>
      </c>
      <c r="RGN12" s="314" t="s">
        <v>203</v>
      </c>
      <c r="RGO12" s="314" t="s">
        <v>203</v>
      </c>
      <c r="RGP12" s="314" t="s">
        <v>203</v>
      </c>
      <c r="RGQ12" s="314" t="s">
        <v>203</v>
      </c>
      <c r="RGR12" s="314" t="s">
        <v>203</v>
      </c>
      <c r="RGS12" s="314" t="s">
        <v>203</v>
      </c>
      <c r="RGT12" s="314" t="s">
        <v>203</v>
      </c>
      <c r="RGU12" s="314" t="s">
        <v>203</v>
      </c>
      <c r="RGV12" s="314" t="s">
        <v>203</v>
      </c>
      <c r="RGW12" s="314" t="s">
        <v>203</v>
      </c>
      <c r="RGX12" s="314" t="s">
        <v>203</v>
      </c>
      <c r="RGY12" s="314" t="s">
        <v>203</v>
      </c>
      <c r="RGZ12" s="314" t="s">
        <v>203</v>
      </c>
      <c r="RHA12" s="314" t="s">
        <v>203</v>
      </c>
      <c r="RHB12" s="314" t="s">
        <v>203</v>
      </c>
      <c r="RHC12" s="314" t="s">
        <v>203</v>
      </c>
      <c r="RHD12" s="314" t="s">
        <v>203</v>
      </c>
      <c r="RHE12" s="314" t="s">
        <v>203</v>
      </c>
      <c r="RHF12" s="314" t="s">
        <v>203</v>
      </c>
      <c r="RHG12" s="314" t="s">
        <v>203</v>
      </c>
      <c r="RHH12" s="314" t="s">
        <v>203</v>
      </c>
      <c r="RHI12" s="314" t="s">
        <v>203</v>
      </c>
      <c r="RHJ12" s="314" t="s">
        <v>203</v>
      </c>
      <c r="RHK12" s="314" t="s">
        <v>203</v>
      </c>
      <c r="RHL12" s="314" t="s">
        <v>203</v>
      </c>
      <c r="RHM12" s="314" t="s">
        <v>203</v>
      </c>
      <c r="RHN12" s="314" t="s">
        <v>203</v>
      </c>
      <c r="RHO12" s="314" t="s">
        <v>203</v>
      </c>
      <c r="RHP12" s="314" t="s">
        <v>203</v>
      </c>
      <c r="RHQ12" s="314" t="s">
        <v>203</v>
      </c>
      <c r="RHR12" s="314" t="s">
        <v>203</v>
      </c>
      <c r="RHS12" s="314" t="s">
        <v>203</v>
      </c>
      <c r="RHT12" s="314" t="s">
        <v>203</v>
      </c>
      <c r="RHU12" s="314" t="s">
        <v>203</v>
      </c>
      <c r="RHV12" s="314" t="s">
        <v>203</v>
      </c>
      <c r="RHW12" s="314" t="s">
        <v>203</v>
      </c>
      <c r="RHX12" s="314" t="s">
        <v>203</v>
      </c>
      <c r="RHY12" s="314" t="s">
        <v>203</v>
      </c>
      <c r="RHZ12" s="314" t="s">
        <v>203</v>
      </c>
      <c r="RIA12" s="314" t="s">
        <v>203</v>
      </c>
      <c r="RIB12" s="314" t="s">
        <v>203</v>
      </c>
      <c r="RIC12" s="314" t="s">
        <v>203</v>
      </c>
      <c r="RID12" s="314" t="s">
        <v>203</v>
      </c>
      <c r="RIE12" s="314" t="s">
        <v>203</v>
      </c>
      <c r="RIF12" s="314" t="s">
        <v>203</v>
      </c>
      <c r="RIG12" s="314" t="s">
        <v>203</v>
      </c>
      <c r="RIH12" s="314" t="s">
        <v>203</v>
      </c>
      <c r="RII12" s="314" t="s">
        <v>203</v>
      </c>
      <c r="RIJ12" s="314" t="s">
        <v>203</v>
      </c>
      <c r="RIK12" s="314" t="s">
        <v>203</v>
      </c>
      <c r="RIL12" s="314" t="s">
        <v>203</v>
      </c>
      <c r="RIM12" s="314" t="s">
        <v>203</v>
      </c>
      <c r="RIN12" s="314" t="s">
        <v>203</v>
      </c>
      <c r="RIO12" s="314" t="s">
        <v>203</v>
      </c>
      <c r="RIP12" s="314" t="s">
        <v>203</v>
      </c>
      <c r="RIQ12" s="314" t="s">
        <v>203</v>
      </c>
      <c r="RIR12" s="314" t="s">
        <v>203</v>
      </c>
      <c r="RIS12" s="314" t="s">
        <v>203</v>
      </c>
      <c r="RIT12" s="314" t="s">
        <v>203</v>
      </c>
      <c r="RIU12" s="314" t="s">
        <v>203</v>
      </c>
      <c r="RIV12" s="314" t="s">
        <v>203</v>
      </c>
      <c r="RIW12" s="314" t="s">
        <v>203</v>
      </c>
      <c r="RIX12" s="314" t="s">
        <v>203</v>
      </c>
      <c r="RIY12" s="314" t="s">
        <v>203</v>
      </c>
      <c r="RIZ12" s="314" t="s">
        <v>203</v>
      </c>
      <c r="RJA12" s="314" t="s">
        <v>203</v>
      </c>
      <c r="RJB12" s="314" t="s">
        <v>203</v>
      </c>
      <c r="RJC12" s="314" t="s">
        <v>203</v>
      </c>
      <c r="RJD12" s="314" t="s">
        <v>203</v>
      </c>
      <c r="RJE12" s="314" t="s">
        <v>203</v>
      </c>
      <c r="RJF12" s="314" t="s">
        <v>203</v>
      </c>
      <c r="RJG12" s="314" t="s">
        <v>203</v>
      </c>
      <c r="RJH12" s="314" t="s">
        <v>203</v>
      </c>
      <c r="RJI12" s="314" t="s">
        <v>203</v>
      </c>
      <c r="RJJ12" s="314" t="s">
        <v>203</v>
      </c>
      <c r="RJK12" s="314" t="s">
        <v>203</v>
      </c>
      <c r="RJL12" s="314" t="s">
        <v>203</v>
      </c>
      <c r="RJM12" s="314" t="s">
        <v>203</v>
      </c>
      <c r="RJN12" s="314" t="s">
        <v>203</v>
      </c>
      <c r="RJO12" s="314" t="s">
        <v>203</v>
      </c>
      <c r="RJP12" s="314" t="s">
        <v>203</v>
      </c>
      <c r="RJQ12" s="314" t="s">
        <v>203</v>
      </c>
      <c r="RJR12" s="314" t="s">
        <v>203</v>
      </c>
      <c r="RJS12" s="314" t="s">
        <v>203</v>
      </c>
      <c r="RJT12" s="314" t="s">
        <v>203</v>
      </c>
      <c r="RJU12" s="314" t="s">
        <v>203</v>
      </c>
      <c r="RJV12" s="314" t="s">
        <v>203</v>
      </c>
      <c r="RJW12" s="314" t="s">
        <v>203</v>
      </c>
      <c r="RJX12" s="314" t="s">
        <v>203</v>
      </c>
      <c r="RJY12" s="314" t="s">
        <v>203</v>
      </c>
      <c r="RJZ12" s="314" t="s">
        <v>203</v>
      </c>
      <c r="RKA12" s="314" t="s">
        <v>203</v>
      </c>
      <c r="RKB12" s="314" t="s">
        <v>203</v>
      </c>
      <c r="RKC12" s="314" t="s">
        <v>203</v>
      </c>
      <c r="RKD12" s="314" t="s">
        <v>203</v>
      </c>
      <c r="RKE12" s="314" t="s">
        <v>203</v>
      </c>
      <c r="RKF12" s="314" t="s">
        <v>203</v>
      </c>
      <c r="RKG12" s="314" t="s">
        <v>203</v>
      </c>
      <c r="RKH12" s="314" t="s">
        <v>203</v>
      </c>
      <c r="RKI12" s="314" t="s">
        <v>203</v>
      </c>
      <c r="RKJ12" s="314" t="s">
        <v>203</v>
      </c>
      <c r="RKK12" s="314" t="s">
        <v>203</v>
      </c>
      <c r="RKL12" s="314" t="s">
        <v>203</v>
      </c>
      <c r="RKM12" s="314" t="s">
        <v>203</v>
      </c>
      <c r="RKN12" s="314" t="s">
        <v>203</v>
      </c>
      <c r="RKO12" s="314" t="s">
        <v>203</v>
      </c>
      <c r="RKP12" s="314" t="s">
        <v>203</v>
      </c>
      <c r="RKQ12" s="314" t="s">
        <v>203</v>
      </c>
      <c r="RKR12" s="314" t="s">
        <v>203</v>
      </c>
      <c r="RKS12" s="314" t="s">
        <v>203</v>
      </c>
      <c r="RKT12" s="314" t="s">
        <v>203</v>
      </c>
      <c r="RKU12" s="314" t="s">
        <v>203</v>
      </c>
      <c r="RKV12" s="314" t="s">
        <v>203</v>
      </c>
      <c r="RKW12" s="314" t="s">
        <v>203</v>
      </c>
      <c r="RKX12" s="314" t="s">
        <v>203</v>
      </c>
      <c r="RKY12" s="314" t="s">
        <v>203</v>
      </c>
      <c r="RKZ12" s="314" t="s">
        <v>203</v>
      </c>
      <c r="RLA12" s="314" t="s">
        <v>203</v>
      </c>
      <c r="RLB12" s="314" t="s">
        <v>203</v>
      </c>
      <c r="RLC12" s="314" t="s">
        <v>203</v>
      </c>
      <c r="RLD12" s="314" t="s">
        <v>203</v>
      </c>
      <c r="RLE12" s="314" t="s">
        <v>203</v>
      </c>
      <c r="RLF12" s="314" t="s">
        <v>203</v>
      </c>
      <c r="RLG12" s="314" t="s">
        <v>203</v>
      </c>
      <c r="RLH12" s="314" t="s">
        <v>203</v>
      </c>
      <c r="RLI12" s="314" t="s">
        <v>203</v>
      </c>
      <c r="RLJ12" s="314" t="s">
        <v>203</v>
      </c>
      <c r="RLK12" s="314" t="s">
        <v>203</v>
      </c>
      <c r="RLL12" s="314" t="s">
        <v>203</v>
      </c>
      <c r="RLM12" s="314" t="s">
        <v>203</v>
      </c>
      <c r="RLN12" s="314" t="s">
        <v>203</v>
      </c>
      <c r="RLO12" s="314" t="s">
        <v>203</v>
      </c>
      <c r="RLP12" s="314" t="s">
        <v>203</v>
      </c>
      <c r="RLQ12" s="314" t="s">
        <v>203</v>
      </c>
      <c r="RLR12" s="314" t="s">
        <v>203</v>
      </c>
      <c r="RLS12" s="314" t="s">
        <v>203</v>
      </c>
      <c r="RLT12" s="314" t="s">
        <v>203</v>
      </c>
      <c r="RLU12" s="314" t="s">
        <v>203</v>
      </c>
      <c r="RLV12" s="314" t="s">
        <v>203</v>
      </c>
      <c r="RLW12" s="314" t="s">
        <v>203</v>
      </c>
      <c r="RLX12" s="314" t="s">
        <v>203</v>
      </c>
      <c r="RLY12" s="314" t="s">
        <v>203</v>
      </c>
      <c r="RLZ12" s="314" t="s">
        <v>203</v>
      </c>
      <c r="RMA12" s="314" t="s">
        <v>203</v>
      </c>
      <c r="RMB12" s="314" t="s">
        <v>203</v>
      </c>
      <c r="RMC12" s="314" t="s">
        <v>203</v>
      </c>
      <c r="RMD12" s="314" t="s">
        <v>203</v>
      </c>
      <c r="RME12" s="314" t="s">
        <v>203</v>
      </c>
      <c r="RMF12" s="314" t="s">
        <v>203</v>
      </c>
      <c r="RMG12" s="314" t="s">
        <v>203</v>
      </c>
      <c r="RMH12" s="314" t="s">
        <v>203</v>
      </c>
      <c r="RMI12" s="314" t="s">
        <v>203</v>
      </c>
      <c r="RMJ12" s="314" t="s">
        <v>203</v>
      </c>
      <c r="RMK12" s="314" t="s">
        <v>203</v>
      </c>
      <c r="RML12" s="314" t="s">
        <v>203</v>
      </c>
      <c r="RMM12" s="314" t="s">
        <v>203</v>
      </c>
      <c r="RMN12" s="314" t="s">
        <v>203</v>
      </c>
      <c r="RMO12" s="314" t="s">
        <v>203</v>
      </c>
      <c r="RMP12" s="314" t="s">
        <v>203</v>
      </c>
      <c r="RMQ12" s="314" t="s">
        <v>203</v>
      </c>
      <c r="RMR12" s="314" t="s">
        <v>203</v>
      </c>
      <c r="RMS12" s="314" t="s">
        <v>203</v>
      </c>
      <c r="RMT12" s="314" t="s">
        <v>203</v>
      </c>
      <c r="RMU12" s="314" t="s">
        <v>203</v>
      </c>
      <c r="RMV12" s="314" t="s">
        <v>203</v>
      </c>
      <c r="RMW12" s="314" t="s">
        <v>203</v>
      </c>
      <c r="RMX12" s="314" t="s">
        <v>203</v>
      </c>
      <c r="RMY12" s="314" t="s">
        <v>203</v>
      </c>
      <c r="RMZ12" s="314" t="s">
        <v>203</v>
      </c>
      <c r="RNA12" s="314" t="s">
        <v>203</v>
      </c>
      <c r="RNB12" s="314" t="s">
        <v>203</v>
      </c>
      <c r="RNC12" s="314" t="s">
        <v>203</v>
      </c>
      <c r="RND12" s="314" t="s">
        <v>203</v>
      </c>
      <c r="RNE12" s="314" t="s">
        <v>203</v>
      </c>
      <c r="RNF12" s="314" t="s">
        <v>203</v>
      </c>
      <c r="RNG12" s="314" t="s">
        <v>203</v>
      </c>
      <c r="RNH12" s="314" t="s">
        <v>203</v>
      </c>
      <c r="RNI12" s="314" t="s">
        <v>203</v>
      </c>
      <c r="RNJ12" s="314" t="s">
        <v>203</v>
      </c>
      <c r="RNK12" s="314" t="s">
        <v>203</v>
      </c>
      <c r="RNL12" s="314" t="s">
        <v>203</v>
      </c>
      <c r="RNM12" s="314" t="s">
        <v>203</v>
      </c>
      <c r="RNN12" s="314" t="s">
        <v>203</v>
      </c>
      <c r="RNO12" s="314" t="s">
        <v>203</v>
      </c>
      <c r="RNP12" s="314" t="s">
        <v>203</v>
      </c>
      <c r="RNQ12" s="314" t="s">
        <v>203</v>
      </c>
      <c r="RNR12" s="314" t="s">
        <v>203</v>
      </c>
      <c r="RNS12" s="314" t="s">
        <v>203</v>
      </c>
      <c r="RNT12" s="314" t="s">
        <v>203</v>
      </c>
      <c r="RNU12" s="314" t="s">
        <v>203</v>
      </c>
      <c r="RNV12" s="314" t="s">
        <v>203</v>
      </c>
      <c r="RNW12" s="314" t="s">
        <v>203</v>
      </c>
      <c r="RNX12" s="314" t="s">
        <v>203</v>
      </c>
      <c r="RNY12" s="314" t="s">
        <v>203</v>
      </c>
      <c r="RNZ12" s="314" t="s">
        <v>203</v>
      </c>
      <c r="ROA12" s="314" t="s">
        <v>203</v>
      </c>
      <c r="ROB12" s="314" t="s">
        <v>203</v>
      </c>
      <c r="ROC12" s="314" t="s">
        <v>203</v>
      </c>
      <c r="ROD12" s="314" t="s">
        <v>203</v>
      </c>
      <c r="ROE12" s="314" t="s">
        <v>203</v>
      </c>
      <c r="ROF12" s="314" t="s">
        <v>203</v>
      </c>
      <c r="ROG12" s="314" t="s">
        <v>203</v>
      </c>
      <c r="ROH12" s="314" t="s">
        <v>203</v>
      </c>
      <c r="ROI12" s="314" t="s">
        <v>203</v>
      </c>
      <c r="ROJ12" s="314" t="s">
        <v>203</v>
      </c>
      <c r="ROK12" s="314" t="s">
        <v>203</v>
      </c>
      <c r="ROL12" s="314" t="s">
        <v>203</v>
      </c>
      <c r="ROM12" s="314" t="s">
        <v>203</v>
      </c>
      <c r="RON12" s="314" t="s">
        <v>203</v>
      </c>
      <c r="ROO12" s="314" t="s">
        <v>203</v>
      </c>
      <c r="ROP12" s="314" t="s">
        <v>203</v>
      </c>
      <c r="ROQ12" s="314" t="s">
        <v>203</v>
      </c>
      <c r="ROR12" s="314" t="s">
        <v>203</v>
      </c>
      <c r="ROS12" s="314" t="s">
        <v>203</v>
      </c>
      <c r="ROT12" s="314" t="s">
        <v>203</v>
      </c>
      <c r="ROU12" s="314" t="s">
        <v>203</v>
      </c>
      <c r="ROV12" s="314" t="s">
        <v>203</v>
      </c>
      <c r="ROW12" s="314" t="s">
        <v>203</v>
      </c>
      <c r="ROX12" s="314" t="s">
        <v>203</v>
      </c>
      <c r="ROY12" s="314" t="s">
        <v>203</v>
      </c>
      <c r="ROZ12" s="314" t="s">
        <v>203</v>
      </c>
      <c r="RPA12" s="314" t="s">
        <v>203</v>
      </c>
      <c r="RPB12" s="314" t="s">
        <v>203</v>
      </c>
      <c r="RPC12" s="314" t="s">
        <v>203</v>
      </c>
      <c r="RPD12" s="314" t="s">
        <v>203</v>
      </c>
      <c r="RPE12" s="314" t="s">
        <v>203</v>
      </c>
      <c r="RPF12" s="314" t="s">
        <v>203</v>
      </c>
      <c r="RPG12" s="314" t="s">
        <v>203</v>
      </c>
      <c r="RPH12" s="314" t="s">
        <v>203</v>
      </c>
      <c r="RPI12" s="314" t="s">
        <v>203</v>
      </c>
      <c r="RPJ12" s="314" t="s">
        <v>203</v>
      </c>
      <c r="RPK12" s="314" t="s">
        <v>203</v>
      </c>
      <c r="RPL12" s="314" t="s">
        <v>203</v>
      </c>
      <c r="RPM12" s="314" t="s">
        <v>203</v>
      </c>
      <c r="RPN12" s="314" t="s">
        <v>203</v>
      </c>
      <c r="RPO12" s="314" t="s">
        <v>203</v>
      </c>
      <c r="RPP12" s="314" t="s">
        <v>203</v>
      </c>
      <c r="RPQ12" s="314" t="s">
        <v>203</v>
      </c>
      <c r="RPR12" s="314" t="s">
        <v>203</v>
      </c>
      <c r="RPS12" s="314" t="s">
        <v>203</v>
      </c>
      <c r="RPT12" s="314" t="s">
        <v>203</v>
      </c>
      <c r="RPU12" s="314" t="s">
        <v>203</v>
      </c>
      <c r="RPV12" s="314" t="s">
        <v>203</v>
      </c>
      <c r="RPW12" s="314" t="s">
        <v>203</v>
      </c>
      <c r="RPX12" s="314" t="s">
        <v>203</v>
      </c>
      <c r="RPY12" s="314" t="s">
        <v>203</v>
      </c>
      <c r="RPZ12" s="314" t="s">
        <v>203</v>
      </c>
      <c r="RQA12" s="314" t="s">
        <v>203</v>
      </c>
      <c r="RQB12" s="314" t="s">
        <v>203</v>
      </c>
      <c r="RQC12" s="314" t="s">
        <v>203</v>
      </c>
      <c r="RQD12" s="314" t="s">
        <v>203</v>
      </c>
      <c r="RQE12" s="314" t="s">
        <v>203</v>
      </c>
      <c r="RQF12" s="314" t="s">
        <v>203</v>
      </c>
      <c r="RQG12" s="314" t="s">
        <v>203</v>
      </c>
      <c r="RQH12" s="314" t="s">
        <v>203</v>
      </c>
      <c r="RQI12" s="314" t="s">
        <v>203</v>
      </c>
      <c r="RQJ12" s="314" t="s">
        <v>203</v>
      </c>
      <c r="RQK12" s="314" t="s">
        <v>203</v>
      </c>
      <c r="RQL12" s="314" t="s">
        <v>203</v>
      </c>
      <c r="RQM12" s="314" t="s">
        <v>203</v>
      </c>
      <c r="RQN12" s="314" t="s">
        <v>203</v>
      </c>
      <c r="RQO12" s="314" t="s">
        <v>203</v>
      </c>
      <c r="RQP12" s="314" t="s">
        <v>203</v>
      </c>
      <c r="RQQ12" s="314" t="s">
        <v>203</v>
      </c>
      <c r="RQR12" s="314" t="s">
        <v>203</v>
      </c>
      <c r="RQS12" s="314" t="s">
        <v>203</v>
      </c>
      <c r="RQT12" s="314" t="s">
        <v>203</v>
      </c>
      <c r="RQU12" s="314" t="s">
        <v>203</v>
      </c>
      <c r="RQV12" s="314" t="s">
        <v>203</v>
      </c>
      <c r="RQW12" s="314" t="s">
        <v>203</v>
      </c>
      <c r="RQX12" s="314" t="s">
        <v>203</v>
      </c>
      <c r="RQY12" s="314" t="s">
        <v>203</v>
      </c>
      <c r="RQZ12" s="314" t="s">
        <v>203</v>
      </c>
      <c r="RRA12" s="314" t="s">
        <v>203</v>
      </c>
      <c r="RRB12" s="314" t="s">
        <v>203</v>
      </c>
      <c r="RRC12" s="314" t="s">
        <v>203</v>
      </c>
      <c r="RRD12" s="314" t="s">
        <v>203</v>
      </c>
      <c r="RRE12" s="314" t="s">
        <v>203</v>
      </c>
      <c r="RRF12" s="314" t="s">
        <v>203</v>
      </c>
      <c r="RRG12" s="314" t="s">
        <v>203</v>
      </c>
      <c r="RRH12" s="314" t="s">
        <v>203</v>
      </c>
      <c r="RRI12" s="314" t="s">
        <v>203</v>
      </c>
      <c r="RRJ12" s="314" t="s">
        <v>203</v>
      </c>
      <c r="RRK12" s="314" t="s">
        <v>203</v>
      </c>
      <c r="RRL12" s="314" t="s">
        <v>203</v>
      </c>
      <c r="RRM12" s="314" t="s">
        <v>203</v>
      </c>
      <c r="RRN12" s="314" t="s">
        <v>203</v>
      </c>
      <c r="RRO12" s="314" t="s">
        <v>203</v>
      </c>
      <c r="RRP12" s="314" t="s">
        <v>203</v>
      </c>
      <c r="RRQ12" s="314" t="s">
        <v>203</v>
      </c>
      <c r="RRR12" s="314" t="s">
        <v>203</v>
      </c>
      <c r="RRS12" s="314" t="s">
        <v>203</v>
      </c>
      <c r="RRT12" s="314" t="s">
        <v>203</v>
      </c>
      <c r="RRU12" s="314" t="s">
        <v>203</v>
      </c>
      <c r="RRV12" s="314" t="s">
        <v>203</v>
      </c>
      <c r="RRW12" s="314" t="s">
        <v>203</v>
      </c>
      <c r="RRX12" s="314" t="s">
        <v>203</v>
      </c>
      <c r="RRY12" s="314" t="s">
        <v>203</v>
      </c>
      <c r="RRZ12" s="314" t="s">
        <v>203</v>
      </c>
      <c r="RSA12" s="314" t="s">
        <v>203</v>
      </c>
      <c r="RSB12" s="314" t="s">
        <v>203</v>
      </c>
      <c r="RSC12" s="314" t="s">
        <v>203</v>
      </c>
      <c r="RSD12" s="314" t="s">
        <v>203</v>
      </c>
      <c r="RSE12" s="314" t="s">
        <v>203</v>
      </c>
      <c r="RSF12" s="314" t="s">
        <v>203</v>
      </c>
      <c r="RSG12" s="314" t="s">
        <v>203</v>
      </c>
      <c r="RSH12" s="314" t="s">
        <v>203</v>
      </c>
      <c r="RSI12" s="314" t="s">
        <v>203</v>
      </c>
      <c r="RSJ12" s="314" t="s">
        <v>203</v>
      </c>
      <c r="RSK12" s="314" t="s">
        <v>203</v>
      </c>
      <c r="RSL12" s="314" t="s">
        <v>203</v>
      </c>
      <c r="RSM12" s="314" t="s">
        <v>203</v>
      </c>
      <c r="RSN12" s="314" t="s">
        <v>203</v>
      </c>
      <c r="RSO12" s="314" t="s">
        <v>203</v>
      </c>
      <c r="RSP12" s="314" t="s">
        <v>203</v>
      </c>
      <c r="RSQ12" s="314" t="s">
        <v>203</v>
      </c>
      <c r="RSR12" s="314" t="s">
        <v>203</v>
      </c>
      <c r="RSS12" s="314" t="s">
        <v>203</v>
      </c>
      <c r="RST12" s="314" t="s">
        <v>203</v>
      </c>
      <c r="RSU12" s="314" t="s">
        <v>203</v>
      </c>
      <c r="RSV12" s="314" t="s">
        <v>203</v>
      </c>
      <c r="RSW12" s="314" t="s">
        <v>203</v>
      </c>
      <c r="RSX12" s="314" t="s">
        <v>203</v>
      </c>
      <c r="RSY12" s="314" t="s">
        <v>203</v>
      </c>
      <c r="RSZ12" s="314" t="s">
        <v>203</v>
      </c>
      <c r="RTA12" s="314" t="s">
        <v>203</v>
      </c>
      <c r="RTB12" s="314" t="s">
        <v>203</v>
      </c>
      <c r="RTC12" s="314" t="s">
        <v>203</v>
      </c>
      <c r="RTD12" s="314" t="s">
        <v>203</v>
      </c>
      <c r="RTE12" s="314" t="s">
        <v>203</v>
      </c>
      <c r="RTF12" s="314" t="s">
        <v>203</v>
      </c>
      <c r="RTG12" s="314" t="s">
        <v>203</v>
      </c>
      <c r="RTH12" s="314" t="s">
        <v>203</v>
      </c>
      <c r="RTI12" s="314" t="s">
        <v>203</v>
      </c>
      <c r="RTJ12" s="314" t="s">
        <v>203</v>
      </c>
      <c r="RTK12" s="314" t="s">
        <v>203</v>
      </c>
      <c r="RTL12" s="314" t="s">
        <v>203</v>
      </c>
      <c r="RTM12" s="314" t="s">
        <v>203</v>
      </c>
      <c r="RTN12" s="314" t="s">
        <v>203</v>
      </c>
      <c r="RTO12" s="314" t="s">
        <v>203</v>
      </c>
      <c r="RTP12" s="314" t="s">
        <v>203</v>
      </c>
      <c r="RTQ12" s="314" t="s">
        <v>203</v>
      </c>
      <c r="RTR12" s="314" t="s">
        <v>203</v>
      </c>
      <c r="RTS12" s="314" t="s">
        <v>203</v>
      </c>
      <c r="RTT12" s="314" t="s">
        <v>203</v>
      </c>
      <c r="RTU12" s="314" t="s">
        <v>203</v>
      </c>
      <c r="RTV12" s="314" t="s">
        <v>203</v>
      </c>
      <c r="RTW12" s="314" t="s">
        <v>203</v>
      </c>
      <c r="RTX12" s="314" t="s">
        <v>203</v>
      </c>
      <c r="RTY12" s="314" t="s">
        <v>203</v>
      </c>
      <c r="RTZ12" s="314" t="s">
        <v>203</v>
      </c>
      <c r="RUA12" s="314" t="s">
        <v>203</v>
      </c>
      <c r="RUB12" s="314" t="s">
        <v>203</v>
      </c>
      <c r="RUC12" s="314" t="s">
        <v>203</v>
      </c>
      <c r="RUD12" s="314" t="s">
        <v>203</v>
      </c>
      <c r="RUE12" s="314" t="s">
        <v>203</v>
      </c>
      <c r="RUF12" s="314" t="s">
        <v>203</v>
      </c>
      <c r="RUG12" s="314" t="s">
        <v>203</v>
      </c>
      <c r="RUH12" s="314" t="s">
        <v>203</v>
      </c>
      <c r="RUI12" s="314" t="s">
        <v>203</v>
      </c>
      <c r="RUJ12" s="314" t="s">
        <v>203</v>
      </c>
      <c r="RUK12" s="314" t="s">
        <v>203</v>
      </c>
      <c r="RUL12" s="314" t="s">
        <v>203</v>
      </c>
      <c r="RUM12" s="314" t="s">
        <v>203</v>
      </c>
      <c r="RUN12" s="314" t="s">
        <v>203</v>
      </c>
      <c r="RUO12" s="314" t="s">
        <v>203</v>
      </c>
      <c r="RUP12" s="314" t="s">
        <v>203</v>
      </c>
      <c r="RUQ12" s="314" t="s">
        <v>203</v>
      </c>
      <c r="RUR12" s="314" t="s">
        <v>203</v>
      </c>
      <c r="RUS12" s="314" t="s">
        <v>203</v>
      </c>
      <c r="RUT12" s="314" t="s">
        <v>203</v>
      </c>
      <c r="RUU12" s="314" t="s">
        <v>203</v>
      </c>
      <c r="RUV12" s="314" t="s">
        <v>203</v>
      </c>
      <c r="RUW12" s="314" t="s">
        <v>203</v>
      </c>
      <c r="RUX12" s="314" t="s">
        <v>203</v>
      </c>
      <c r="RUY12" s="314" t="s">
        <v>203</v>
      </c>
      <c r="RUZ12" s="314" t="s">
        <v>203</v>
      </c>
      <c r="RVA12" s="314" t="s">
        <v>203</v>
      </c>
      <c r="RVB12" s="314" t="s">
        <v>203</v>
      </c>
      <c r="RVC12" s="314" t="s">
        <v>203</v>
      </c>
      <c r="RVD12" s="314" t="s">
        <v>203</v>
      </c>
      <c r="RVE12" s="314" t="s">
        <v>203</v>
      </c>
      <c r="RVF12" s="314" t="s">
        <v>203</v>
      </c>
      <c r="RVG12" s="314" t="s">
        <v>203</v>
      </c>
      <c r="RVH12" s="314" t="s">
        <v>203</v>
      </c>
      <c r="RVI12" s="314" t="s">
        <v>203</v>
      </c>
      <c r="RVJ12" s="314" t="s">
        <v>203</v>
      </c>
      <c r="RVK12" s="314" t="s">
        <v>203</v>
      </c>
      <c r="RVL12" s="314" t="s">
        <v>203</v>
      </c>
      <c r="RVM12" s="314" t="s">
        <v>203</v>
      </c>
      <c r="RVN12" s="314" t="s">
        <v>203</v>
      </c>
      <c r="RVO12" s="314" t="s">
        <v>203</v>
      </c>
      <c r="RVP12" s="314" t="s">
        <v>203</v>
      </c>
      <c r="RVQ12" s="314" t="s">
        <v>203</v>
      </c>
      <c r="RVR12" s="314" t="s">
        <v>203</v>
      </c>
      <c r="RVS12" s="314" t="s">
        <v>203</v>
      </c>
      <c r="RVT12" s="314" t="s">
        <v>203</v>
      </c>
      <c r="RVU12" s="314" t="s">
        <v>203</v>
      </c>
      <c r="RVV12" s="314" t="s">
        <v>203</v>
      </c>
      <c r="RVW12" s="314" t="s">
        <v>203</v>
      </c>
      <c r="RVX12" s="314" t="s">
        <v>203</v>
      </c>
      <c r="RVY12" s="314" t="s">
        <v>203</v>
      </c>
      <c r="RVZ12" s="314" t="s">
        <v>203</v>
      </c>
      <c r="RWA12" s="314" t="s">
        <v>203</v>
      </c>
      <c r="RWB12" s="314" t="s">
        <v>203</v>
      </c>
      <c r="RWC12" s="314" t="s">
        <v>203</v>
      </c>
      <c r="RWD12" s="314" t="s">
        <v>203</v>
      </c>
      <c r="RWE12" s="314" t="s">
        <v>203</v>
      </c>
      <c r="RWF12" s="314" t="s">
        <v>203</v>
      </c>
      <c r="RWG12" s="314" t="s">
        <v>203</v>
      </c>
      <c r="RWH12" s="314" t="s">
        <v>203</v>
      </c>
      <c r="RWI12" s="314" t="s">
        <v>203</v>
      </c>
      <c r="RWJ12" s="314" t="s">
        <v>203</v>
      </c>
      <c r="RWK12" s="314" t="s">
        <v>203</v>
      </c>
      <c r="RWL12" s="314" t="s">
        <v>203</v>
      </c>
      <c r="RWM12" s="314" t="s">
        <v>203</v>
      </c>
      <c r="RWN12" s="314" t="s">
        <v>203</v>
      </c>
      <c r="RWO12" s="314" t="s">
        <v>203</v>
      </c>
      <c r="RWP12" s="314" t="s">
        <v>203</v>
      </c>
      <c r="RWQ12" s="314" t="s">
        <v>203</v>
      </c>
      <c r="RWR12" s="314" t="s">
        <v>203</v>
      </c>
      <c r="RWS12" s="314" t="s">
        <v>203</v>
      </c>
      <c r="RWT12" s="314" t="s">
        <v>203</v>
      </c>
      <c r="RWU12" s="314" t="s">
        <v>203</v>
      </c>
      <c r="RWV12" s="314" t="s">
        <v>203</v>
      </c>
      <c r="RWW12" s="314" t="s">
        <v>203</v>
      </c>
      <c r="RWX12" s="314" t="s">
        <v>203</v>
      </c>
      <c r="RWY12" s="314" t="s">
        <v>203</v>
      </c>
      <c r="RWZ12" s="314" t="s">
        <v>203</v>
      </c>
      <c r="RXA12" s="314" t="s">
        <v>203</v>
      </c>
      <c r="RXB12" s="314" t="s">
        <v>203</v>
      </c>
      <c r="RXC12" s="314" t="s">
        <v>203</v>
      </c>
      <c r="RXD12" s="314" t="s">
        <v>203</v>
      </c>
      <c r="RXE12" s="314" t="s">
        <v>203</v>
      </c>
      <c r="RXF12" s="314" t="s">
        <v>203</v>
      </c>
      <c r="RXG12" s="314" t="s">
        <v>203</v>
      </c>
      <c r="RXH12" s="314" t="s">
        <v>203</v>
      </c>
      <c r="RXI12" s="314" t="s">
        <v>203</v>
      </c>
      <c r="RXJ12" s="314" t="s">
        <v>203</v>
      </c>
      <c r="RXK12" s="314" t="s">
        <v>203</v>
      </c>
      <c r="RXL12" s="314" t="s">
        <v>203</v>
      </c>
      <c r="RXM12" s="314" t="s">
        <v>203</v>
      </c>
      <c r="RXN12" s="314" t="s">
        <v>203</v>
      </c>
      <c r="RXO12" s="314" t="s">
        <v>203</v>
      </c>
      <c r="RXP12" s="314" t="s">
        <v>203</v>
      </c>
      <c r="RXQ12" s="314" t="s">
        <v>203</v>
      </c>
      <c r="RXR12" s="314" t="s">
        <v>203</v>
      </c>
      <c r="RXS12" s="314" t="s">
        <v>203</v>
      </c>
      <c r="RXT12" s="314" t="s">
        <v>203</v>
      </c>
      <c r="RXU12" s="314" t="s">
        <v>203</v>
      </c>
      <c r="RXV12" s="314" t="s">
        <v>203</v>
      </c>
      <c r="RXW12" s="314" t="s">
        <v>203</v>
      </c>
      <c r="RXX12" s="314" t="s">
        <v>203</v>
      </c>
      <c r="RXY12" s="314" t="s">
        <v>203</v>
      </c>
      <c r="RXZ12" s="314" t="s">
        <v>203</v>
      </c>
      <c r="RYA12" s="314" t="s">
        <v>203</v>
      </c>
      <c r="RYB12" s="314" t="s">
        <v>203</v>
      </c>
      <c r="RYC12" s="314" t="s">
        <v>203</v>
      </c>
      <c r="RYD12" s="314" t="s">
        <v>203</v>
      </c>
      <c r="RYE12" s="314" t="s">
        <v>203</v>
      </c>
      <c r="RYF12" s="314" t="s">
        <v>203</v>
      </c>
      <c r="RYG12" s="314" t="s">
        <v>203</v>
      </c>
      <c r="RYH12" s="314" t="s">
        <v>203</v>
      </c>
      <c r="RYI12" s="314" t="s">
        <v>203</v>
      </c>
      <c r="RYJ12" s="314" t="s">
        <v>203</v>
      </c>
      <c r="RYK12" s="314" t="s">
        <v>203</v>
      </c>
      <c r="RYL12" s="314" t="s">
        <v>203</v>
      </c>
      <c r="RYM12" s="314" t="s">
        <v>203</v>
      </c>
      <c r="RYN12" s="314" t="s">
        <v>203</v>
      </c>
      <c r="RYO12" s="314" t="s">
        <v>203</v>
      </c>
      <c r="RYP12" s="314" t="s">
        <v>203</v>
      </c>
      <c r="RYQ12" s="314" t="s">
        <v>203</v>
      </c>
      <c r="RYR12" s="314" t="s">
        <v>203</v>
      </c>
      <c r="RYS12" s="314" t="s">
        <v>203</v>
      </c>
      <c r="RYT12" s="314" t="s">
        <v>203</v>
      </c>
      <c r="RYU12" s="314" t="s">
        <v>203</v>
      </c>
      <c r="RYV12" s="314" t="s">
        <v>203</v>
      </c>
      <c r="RYW12" s="314" t="s">
        <v>203</v>
      </c>
      <c r="RYX12" s="314" t="s">
        <v>203</v>
      </c>
      <c r="RYY12" s="314" t="s">
        <v>203</v>
      </c>
      <c r="RYZ12" s="314" t="s">
        <v>203</v>
      </c>
      <c r="RZA12" s="314" t="s">
        <v>203</v>
      </c>
      <c r="RZB12" s="314" t="s">
        <v>203</v>
      </c>
      <c r="RZC12" s="314" t="s">
        <v>203</v>
      </c>
      <c r="RZD12" s="314" t="s">
        <v>203</v>
      </c>
      <c r="RZE12" s="314" t="s">
        <v>203</v>
      </c>
      <c r="RZF12" s="314" t="s">
        <v>203</v>
      </c>
      <c r="RZG12" s="314" t="s">
        <v>203</v>
      </c>
      <c r="RZH12" s="314" t="s">
        <v>203</v>
      </c>
      <c r="RZI12" s="314" t="s">
        <v>203</v>
      </c>
      <c r="RZJ12" s="314" t="s">
        <v>203</v>
      </c>
      <c r="RZK12" s="314" t="s">
        <v>203</v>
      </c>
      <c r="RZL12" s="314" t="s">
        <v>203</v>
      </c>
      <c r="RZM12" s="314" t="s">
        <v>203</v>
      </c>
      <c r="RZN12" s="314" t="s">
        <v>203</v>
      </c>
      <c r="RZO12" s="314" t="s">
        <v>203</v>
      </c>
      <c r="RZP12" s="314" t="s">
        <v>203</v>
      </c>
      <c r="RZQ12" s="314" t="s">
        <v>203</v>
      </c>
      <c r="RZR12" s="314" t="s">
        <v>203</v>
      </c>
      <c r="RZS12" s="314" t="s">
        <v>203</v>
      </c>
      <c r="RZT12" s="314" t="s">
        <v>203</v>
      </c>
      <c r="RZU12" s="314" t="s">
        <v>203</v>
      </c>
      <c r="RZV12" s="314" t="s">
        <v>203</v>
      </c>
      <c r="RZW12" s="314" t="s">
        <v>203</v>
      </c>
      <c r="RZX12" s="314" t="s">
        <v>203</v>
      </c>
      <c r="RZY12" s="314" t="s">
        <v>203</v>
      </c>
      <c r="RZZ12" s="314" t="s">
        <v>203</v>
      </c>
      <c r="SAA12" s="314" t="s">
        <v>203</v>
      </c>
      <c r="SAB12" s="314" t="s">
        <v>203</v>
      </c>
      <c r="SAC12" s="314" t="s">
        <v>203</v>
      </c>
      <c r="SAD12" s="314" t="s">
        <v>203</v>
      </c>
      <c r="SAE12" s="314" t="s">
        <v>203</v>
      </c>
      <c r="SAF12" s="314" t="s">
        <v>203</v>
      </c>
      <c r="SAG12" s="314" t="s">
        <v>203</v>
      </c>
      <c r="SAH12" s="314" t="s">
        <v>203</v>
      </c>
      <c r="SAI12" s="314" t="s">
        <v>203</v>
      </c>
      <c r="SAJ12" s="314" t="s">
        <v>203</v>
      </c>
      <c r="SAK12" s="314" t="s">
        <v>203</v>
      </c>
      <c r="SAL12" s="314" t="s">
        <v>203</v>
      </c>
      <c r="SAM12" s="314" t="s">
        <v>203</v>
      </c>
      <c r="SAN12" s="314" t="s">
        <v>203</v>
      </c>
      <c r="SAO12" s="314" t="s">
        <v>203</v>
      </c>
      <c r="SAP12" s="314" t="s">
        <v>203</v>
      </c>
      <c r="SAQ12" s="314" t="s">
        <v>203</v>
      </c>
      <c r="SAR12" s="314" t="s">
        <v>203</v>
      </c>
      <c r="SAS12" s="314" t="s">
        <v>203</v>
      </c>
      <c r="SAT12" s="314" t="s">
        <v>203</v>
      </c>
      <c r="SAU12" s="314" t="s">
        <v>203</v>
      </c>
      <c r="SAV12" s="314" t="s">
        <v>203</v>
      </c>
      <c r="SAW12" s="314" t="s">
        <v>203</v>
      </c>
      <c r="SAX12" s="314" t="s">
        <v>203</v>
      </c>
      <c r="SAY12" s="314" t="s">
        <v>203</v>
      </c>
      <c r="SAZ12" s="314" t="s">
        <v>203</v>
      </c>
      <c r="SBA12" s="314" t="s">
        <v>203</v>
      </c>
      <c r="SBB12" s="314" t="s">
        <v>203</v>
      </c>
      <c r="SBC12" s="314" t="s">
        <v>203</v>
      </c>
      <c r="SBD12" s="314" t="s">
        <v>203</v>
      </c>
      <c r="SBE12" s="314" t="s">
        <v>203</v>
      </c>
      <c r="SBF12" s="314" t="s">
        <v>203</v>
      </c>
      <c r="SBG12" s="314" t="s">
        <v>203</v>
      </c>
      <c r="SBH12" s="314" t="s">
        <v>203</v>
      </c>
      <c r="SBI12" s="314" t="s">
        <v>203</v>
      </c>
      <c r="SBJ12" s="314" t="s">
        <v>203</v>
      </c>
      <c r="SBK12" s="314" t="s">
        <v>203</v>
      </c>
      <c r="SBL12" s="314" t="s">
        <v>203</v>
      </c>
      <c r="SBM12" s="314" t="s">
        <v>203</v>
      </c>
      <c r="SBN12" s="314" t="s">
        <v>203</v>
      </c>
      <c r="SBO12" s="314" t="s">
        <v>203</v>
      </c>
      <c r="SBP12" s="314" t="s">
        <v>203</v>
      </c>
      <c r="SBQ12" s="314" t="s">
        <v>203</v>
      </c>
      <c r="SBR12" s="314" t="s">
        <v>203</v>
      </c>
      <c r="SBS12" s="314" t="s">
        <v>203</v>
      </c>
      <c r="SBT12" s="314" t="s">
        <v>203</v>
      </c>
      <c r="SBU12" s="314" t="s">
        <v>203</v>
      </c>
      <c r="SBV12" s="314" t="s">
        <v>203</v>
      </c>
      <c r="SBW12" s="314" t="s">
        <v>203</v>
      </c>
      <c r="SBX12" s="314" t="s">
        <v>203</v>
      </c>
      <c r="SBY12" s="314" t="s">
        <v>203</v>
      </c>
      <c r="SBZ12" s="314" t="s">
        <v>203</v>
      </c>
      <c r="SCA12" s="314" t="s">
        <v>203</v>
      </c>
      <c r="SCB12" s="314" t="s">
        <v>203</v>
      </c>
      <c r="SCC12" s="314" t="s">
        <v>203</v>
      </c>
      <c r="SCD12" s="314" t="s">
        <v>203</v>
      </c>
      <c r="SCE12" s="314" t="s">
        <v>203</v>
      </c>
      <c r="SCF12" s="314" t="s">
        <v>203</v>
      </c>
      <c r="SCG12" s="314" t="s">
        <v>203</v>
      </c>
      <c r="SCH12" s="314" t="s">
        <v>203</v>
      </c>
      <c r="SCI12" s="314" t="s">
        <v>203</v>
      </c>
      <c r="SCJ12" s="314" t="s">
        <v>203</v>
      </c>
      <c r="SCK12" s="314" t="s">
        <v>203</v>
      </c>
      <c r="SCL12" s="314" t="s">
        <v>203</v>
      </c>
      <c r="SCM12" s="314" t="s">
        <v>203</v>
      </c>
      <c r="SCN12" s="314" t="s">
        <v>203</v>
      </c>
      <c r="SCO12" s="314" t="s">
        <v>203</v>
      </c>
      <c r="SCP12" s="314" t="s">
        <v>203</v>
      </c>
      <c r="SCQ12" s="314" t="s">
        <v>203</v>
      </c>
      <c r="SCR12" s="314" t="s">
        <v>203</v>
      </c>
      <c r="SCS12" s="314" t="s">
        <v>203</v>
      </c>
      <c r="SCT12" s="314" t="s">
        <v>203</v>
      </c>
      <c r="SCU12" s="314" t="s">
        <v>203</v>
      </c>
      <c r="SCV12" s="314" t="s">
        <v>203</v>
      </c>
      <c r="SCW12" s="314" t="s">
        <v>203</v>
      </c>
      <c r="SCX12" s="314" t="s">
        <v>203</v>
      </c>
      <c r="SCY12" s="314" t="s">
        <v>203</v>
      </c>
      <c r="SCZ12" s="314" t="s">
        <v>203</v>
      </c>
      <c r="SDA12" s="314" t="s">
        <v>203</v>
      </c>
      <c r="SDB12" s="314" t="s">
        <v>203</v>
      </c>
      <c r="SDC12" s="314" t="s">
        <v>203</v>
      </c>
      <c r="SDD12" s="314" t="s">
        <v>203</v>
      </c>
      <c r="SDE12" s="314" t="s">
        <v>203</v>
      </c>
      <c r="SDF12" s="314" t="s">
        <v>203</v>
      </c>
      <c r="SDG12" s="314" t="s">
        <v>203</v>
      </c>
      <c r="SDH12" s="314" t="s">
        <v>203</v>
      </c>
      <c r="SDI12" s="314" t="s">
        <v>203</v>
      </c>
      <c r="SDJ12" s="314" t="s">
        <v>203</v>
      </c>
      <c r="SDK12" s="314" t="s">
        <v>203</v>
      </c>
      <c r="SDL12" s="314" t="s">
        <v>203</v>
      </c>
      <c r="SDM12" s="314" t="s">
        <v>203</v>
      </c>
      <c r="SDN12" s="314" t="s">
        <v>203</v>
      </c>
      <c r="SDO12" s="314" t="s">
        <v>203</v>
      </c>
      <c r="SDP12" s="314" t="s">
        <v>203</v>
      </c>
      <c r="SDQ12" s="314" t="s">
        <v>203</v>
      </c>
      <c r="SDR12" s="314" t="s">
        <v>203</v>
      </c>
      <c r="SDS12" s="314" t="s">
        <v>203</v>
      </c>
      <c r="SDT12" s="314" t="s">
        <v>203</v>
      </c>
      <c r="SDU12" s="314" t="s">
        <v>203</v>
      </c>
      <c r="SDV12" s="314" t="s">
        <v>203</v>
      </c>
      <c r="SDW12" s="314" t="s">
        <v>203</v>
      </c>
      <c r="SDX12" s="314" t="s">
        <v>203</v>
      </c>
      <c r="SDY12" s="314" t="s">
        <v>203</v>
      </c>
      <c r="SDZ12" s="314" t="s">
        <v>203</v>
      </c>
      <c r="SEA12" s="314" t="s">
        <v>203</v>
      </c>
      <c r="SEB12" s="314" t="s">
        <v>203</v>
      </c>
      <c r="SEC12" s="314" t="s">
        <v>203</v>
      </c>
      <c r="SED12" s="314" t="s">
        <v>203</v>
      </c>
      <c r="SEE12" s="314" t="s">
        <v>203</v>
      </c>
      <c r="SEF12" s="314" t="s">
        <v>203</v>
      </c>
      <c r="SEG12" s="314" t="s">
        <v>203</v>
      </c>
      <c r="SEH12" s="314" t="s">
        <v>203</v>
      </c>
      <c r="SEI12" s="314" t="s">
        <v>203</v>
      </c>
      <c r="SEJ12" s="314" t="s">
        <v>203</v>
      </c>
      <c r="SEK12" s="314" t="s">
        <v>203</v>
      </c>
      <c r="SEL12" s="314" t="s">
        <v>203</v>
      </c>
      <c r="SEM12" s="314" t="s">
        <v>203</v>
      </c>
      <c r="SEN12" s="314" t="s">
        <v>203</v>
      </c>
      <c r="SEO12" s="314" t="s">
        <v>203</v>
      </c>
      <c r="SEP12" s="314" t="s">
        <v>203</v>
      </c>
      <c r="SEQ12" s="314" t="s">
        <v>203</v>
      </c>
      <c r="SER12" s="314" t="s">
        <v>203</v>
      </c>
      <c r="SES12" s="314" t="s">
        <v>203</v>
      </c>
      <c r="SET12" s="314" t="s">
        <v>203</v>
      </c>
      <c r="SEU12" s="314" t="s">
        <v>203</v>
      </c>
      <c r="SEV12" s="314" t="s">
        <v>203</v>
      </c>
      <c r="SEW12" s="314" t="s">
        <v>203</v>
      </c>
      <c r="SEX12" s="314" t="s">
        <v>203</v>
      </c>
      <c r="SEY12" s="314" t="s">
        <v>203</v>
      </c>
      <c r="SEZ12" s="314" t="s">
        <v>203</v>
      </c>
      <c r="SFA12" s="314" t="s">
        <v>203</v>
      </c>
      <c r="SFB12" s="314" t="s">
        <v>203</v>
      </c>
      <c r="SFC12" s="314" t="s">
        <v>203</v>
      </c>
      <c r="SFD12" s="314" t="s">
        <v>203</v>
      </c>
      <c r="SFE12" s="314" t="s">
        <v>203</v>
      </c>
      <c r="SFF12" s="314" t="s">
        <v>203</v>
      </c>
      <c r="SFG12" s="314" t="s">
        <v>203</v>
      </c>
      <c r="SFH12" s="314" t="s">
        <v>203</v>
      </c>
      <c r="SFI12" s="314" t="s">
        <v>203</v>
      </c>
      <c r="SFJ12" s="314" t="s">
        <v>203</v>
      </c>
      <c r="SFK12" s="314" t="s">
        <v>203</v>
      </c>
      <c r="SFL12" s="314" t="s">
        <v>203</v>
      </c>
      <c r="SFM12" s="314" t="s">
        <v>203</v>
      </c>
      <c r="SFN12" s="314" t="s">
        <v>203</v>
      </c>
      <c r="SFO12" s="314" t="s">
        <v>203</v>
      </c>
      <c r="SFP12" s="314" t="s">
        <v>203</v>
      </c>
      <c r="SFQ12" s="314" t="s">
        <v>203</v>
      </c>
      <c r="SFR12" s="314" t="s">
        <v>203</v>
      </c>
      <c r="SFS12" s="314" t="s">
        <v>203</v>
      </c>
      <c r="SFT12" s="314" t="s">
        <v>203</v>
      </c>
      <c r="SFU12" s="314" t="s">
        <v>203</v>
      </c>
      <c r="SFV12" s="314" t="s">
        <v>203</v>
      </c>
      <c r="SFW12" s="314" t="s">
        <v>203</v>
      </c>
      <c r="SFX12" s="314" t="s">
        <v>203</v>
      </c>
      <c r="SFY12" s="314" t="s">
        <v>203</v>
      </c>
      <c r="SFZ12" s="314" t="s">
        <v>203</v>
      </c>
      <c r="SGA12" s="314" t="s">
        <v>203</v>
      </c>
      <c r="SGB12" s="314" t="s">
        <v>203</v>
      </c>
      <c r="SGC12" s="314" t="s">
        <v>203</v>
      </c>
      <c r="SGD12" s="314" t="s">
        <v>203</v>
      </c>
      <c r="SGE12" s="314" t="s">
        <v>203</v>
      </c>
      <c r="SGF12" s="314" t="s">
        <v>203</v>
      </c>
      <c r="SGG12" s="314" t="s">
        <v>203</v>
      </c>
      <c r="SGH12" s="314" t="s">
        <v>203</v>
      </c>
      <c r="SGI12" s="314" t="s">
        <v>203</v>
      </c>
      <c r="SGJ12" s="314" t="s">
        <v>203</v>
      </c>
      <c r="SGK12" s="314" t="s">
        <v>203</v>
      </c>
      <c r="SGL12" s="314" t="s">
        <v>203</v>
      </c>
      <c r="SGM12" s="314" t="s">
        <v>203</v>
      </c>
      <c r="SGN12" s="314" t="s">
        <v>203</v>
      </c>
      <c r="SGO12" s="314" t="s">
        <v>203</v>
      </c>
      <c r="SGP12" s="314" t="s">
        <v>203</v>
      </c>
      <c r="SGQ12" s="314" t="s">
        <v>203</v>
      </c>
      <c r="SGR12" s="314" t="s">
        <v>203</v>
      </c>
      <c r="SGS12" s="314" t="s">
        <v>203</v>
      </c>
      <c r="SGT12" s="314" t="s">
        <v>203</v>
      </c>
      <c r="SGU12" s="314" t="s">
        <v>203</v>
      </c>
      <c r="SGV12" s="314" t="s">
        <v>203</v>
      </c>
      <c r="SGW12" s="314" t="s">
        <v>203</v>
      </c>
      <c r="SGX12" s="314" t="s">
        <v>203</v>
      </c>
      <c r="SGY12" s="314" t="s">
        <v>203</v>
      </c>
      <c r="SGZ12" s="314" t="s">
        <v>203</v>
      </c>
      <c r="SHA12" s="314" t="s">
        <v>203</v>
      </c>
      <c r="SHB12" s="314" t="s">
        <v>203</v>
      </c>
      <c r="SHC12" s="314" t="s">
        <v>203</v>
      </c>
      <c r="SHD12" s="314" t="s">
        <v>203</v>
      </c>
      <c r="SHE12" s="314" t="s">
        <v>203</v>
      </c>
      <c r="SHF12" s="314" t="s">
        <v>203</v>
      </c>
      <c r="SHG12" s="314" t="s">
        <v>203</v>
      </c>
      <c r="SHH12" s="314" t="s">
        <v>203</v>
      </c>
      <c r="SHI12" s="314" t="s">
        <v>203</v>
      </c>
      <c r="SHJ12" s="314" t="s">
        <v>203</v>
      </c>
      <c r="SHK12" s="314" t="s">
        <v>203</v>
      </c>
      <c r="SHL12" s="314" t="s">
        <v>203</v>
      </c>
      <c r="SHM12" s="314" t="s">
        <v>203</v>
      </c>
      <c r="SHN12" s="314" t="s">
        <v>203</v>
      </c>
      <c r="SHO12" s="314" t="s">
        <v>203</v>
      </c>
      <c r="SHP12" s="314" t="s">
        <v>203</v>
      </c>
      <c r="SHQ12" s="314" t="s">
        <v>203</v>
      </c>
      <c r="SHR12" s="314" t="s">
        <v>203</v>
      </c>
      <c r="SHS12" s="314" t="s">
        <v>203</v>
      </c>
      <c r="SHT12" s="314" t="s">
        <v>203</v>
      </c>
      <c r="SHU12" s="314" t="s">
        <v>203</v>
      </c>
      <c r="SHV12" s="314" t="s">
        <v>203</v>
      </c>
      <c r="SHW12" s="314" t="s">
        <v>203</v>
      </c>
      <c r="SHX12" s="314" t="s">
        <v>203</v>
      </c>
      <c r="SHY12" s="314" t="s">
        <v>203</v>
      </c>
      <c r="SHZ12" s="314" t="s">
        <v>203</v>
      </c>
      <c r="SIA12" s="314" t="s">
        <v>203</v>
      </c>
      <c r="SIB12" s="314" t="s">
        <v>203</v>
      </c>
      <c r="SIC12" s="314" t="s">
        <v>203</v>
      </c>
      <c r="SID12" s="314" t="s">
        <v>203</v>
      </c>
      <c r="SIE12" s="314" t="s">
        <v>203</v>
      </c>
      <c r="SIF12" s="314" t="s">
        <v>203</v>
      </c>
      <c r="SIG12" s="314" t="s">
        <v>203</v>
      </c>
      <c r="SIH12" s="314" t="s">
        <v>203</v>
      </c>
      <c r="SII12" s="314" t="s">
        <v>203</v>
      </c>
      <c r="SIJ12" s="314" t="s">
        <v>203</v>
      </c>
      <c r="SIK12" s="314" t="s">
        <v>203</v>
      </c>
      <c r="SIL12" s="314" t="s">
        <v>203</v>
      </c>
      <c r="SIM12" s="314" t="s">
        <v>203</v>
      </c>
      <c r="SIN12" s="314" t="s">
        <v>203</v>
      </c>
      <c r="SIO12" s="314" t="s">
        <v>203</v>
      </c>
      <c r="SIP12" s="314" t="s">
        <v>203</v>
      </c>
      <c r="SIQ12" s="314" t="s">
        <v>203</v>
      </c>
      <c r="SIR12" s="314" t="s">
        <v>203</v>
      </c>
      <c r="SIS12" s="314" t="s">
        <v>203</v>
      </c>
      <c r="SIT12" s="314" t="s">
        <v>203</v>
      </c>
      <c r="SIU12" s="314" t="s">
        <v>203</v>
      </c>
      <c r="SIV12" s="314" t="s">
        <v>203</v>
      </c>
      <c r="SIW12" s="314" t="s">
        <v>203</v>
      </c>
      <c r="SIX12" s="314" t="s">
        <v>203</v>
      </c>
      <c r="SIY12" s="314" t="s">
        <v>203</v>
      </c>
      <c r="SIZ12" s="314" t="s">
        <v>203</v>
      </c>
      <c r="SJA12" s="314" t="s">
        <v>203</v>
      </c>
      <c r="SJB12" s="314" t="s">
        <v>203</v>
      </c>
      <c r="SJC12" s="314" t="s">
        <v>203</v>
      </c>
      <c r="SJD12" s="314" t="s">
        <v>203</v>
      </c>
      <c r="SJE12" s="314" t="s">
        <v>203</v>
      </c>
      <c r="SJF12" s="314" t="s">
        <v>203</v>
      </c>
      <c r="SJG12" s="314" t="s">
        <v>203</v>
      </c>
      <c r="SJH12" s="314" t="s">
        <v>203</v>
      </c>
      <c r="SJI12" s="314" t="s">
        <v>203</v>
      </c>
      <c r="SJJ12" s="314" t="s">
        <v>203</v>
      </c>
      <c r="SJK12" s="314" t="s">
        <v>203</v>
      </c>
      <c r="SJL12" s="314" t="s">
        <v>203</v>
      </c>
      <c r="SJM12" s="314" t="s">
        <v>203</v>
      </c>
      <c r="SJN12" s="314" t="s">
        <v>203</v>
      </c>
      <c r="SJO12" s="314" t="s">
        <v>203</v>
      </c>
      <c r="SJP12" s="314" t="s">
        <v>203</v>
      </c>
      <c r="SJQ12" s="314" t="s">
        <v>203</v>
      </c>
      <c r="SJR12" s="314" t="s">
        <v>203</v>
      </c>
      <c r="SJS12" s="314" t="s">
        <v>203</v>
      </c>
      <c r="SJT12" s="314" t="s">
        <v>203</v>
      </c>
      <c r="SJU12" s="314" t="s">
        <v>203</v>
      </c>
      <c r="SJV12" s="314" t="s">
        <v>203</v>
      </c>
      <c r="SJW12" s="314" t="s">
        <v>203</v>
      </c>
      <c r="SJX12" s="314" t="s">
        <v>203</v>
      </c>
      <c r="SJY12" s="314" t="s">
        <v>203</v>
      </c>
      <c r="SJZ12" s="314" t="s">
        <v>203</v>
      </c>
      <c r="SKA12" s="314" t="s">
        <v>203</v>
      </c>
      <c r="SKB12" s="314" t="s">
        <v>203</v>
      </c>
      <c r="SKC12" s="314" t="s">
        <v>203</v>
      </c>
      <c r="SKD12" s="314" t="s">
        <v>203</v>
      </c>
      <c r="SKE12" s="314" t="s">
        <v>203</v>
      </c>
      <c r="SKF12" s="314" t="s">
        <v>203</v>
      </c>
      <c r="SKG12" s="314" t="s">
        <v>203</v>
      </c>
      <c r="SKH12" s="314" t="s">
        <v>203</v>
      </c>
      <c r="SKI12" s="314" t="s">
        <v>203</v>
      </c>
      <c r="SKJ12" s="314" t="s">
        <v>203</v>
      </c>
      <c r="SKK12" s="314" t="s">
        <v>203</v>
      </c>
      <c r="SKL12" s="314" t="s">
        <v>203</v>
      </c>
      <c r="SKM12" s="314" t="s">
        <v>203</v>
      </c>
      <c r="SKN12" s="314" t="s">
        <v>203</v>
      </c>
      <c r="SKO12" s="314" t="s">
        <v>203</v>
      </c>
      <c r="SKP12" s="314" t="s">
        <v>203</v>
      </c>
      <c r="SKQ12" s="314" t="s">
        <v>203</v>
      </c>
      <c r="SKR12" s="314" t="s">
        <v>203</v>
      </c>
      <c r="SKS12" s="314" t="s">
        <v>203</v>
      </c>
      <c r="SKT12" s="314" t="s">
        <v>203</v>
      </c>
      <c r="SKU12" s="314" t="s">
        <v>203</v>
      </c>
      <c r="SKV12" s="314" t="s">
        <v>203</v>
      </c>
      <c r="SKW12" s="314" t="s">
        <v>203</v>
      </c>
      <c r="SKX12" s="314" t="s">
        <v>203</v>
      </c>
      <c r="SKY12" s="314" t="s">
        <v>203</v>
      </c>
      <c r="SKZ12" s="314" t="s">
        <v>203</v>
      </c>
      <c r="SLA12" s="314" t="s">
        <v>203</v>
      </c>
      <c r="SLB12" s="314" t="s">
        <v>203</v>
      </c>
      <c r="SLC12" s="314" t="s">
        <v>203</v>
      </c>
      <c r="SLD12" s="314" t="s">
        <v>203</v>
      </c>
      <c r="SLE12" s="314" t="s">
        <v>203</v>
      </c>
      <c r="SLF12" s="314" t="s">
        <v>203</v>
      </c>
      <c r="SLG12" s="314" t="s">
        <v>203</v>
      </c>
      <c r="SLH12" s="314" t="s">
        <v>203</v>
      </c>
      <c r="SLI12" s="314" t="s">
        <v>203</v>
      </c>
      <c r="SLJ12" s="314" t="s">
        <v>203</v>
      </c>
      <c r="SLK12" s="314" t="s">
        <v>203</v>
      </c>
      <c r="SLL12" s="314" t="s">
        <v>203</v>
      </c>
      <c r="SLM12" s="314" t="s">
        <v>203</v>
      </c>
      <c r="SLN12" s="314" t="s">
        <v>203</v>
      </c>
      <c r="SLO12" s="314" t="s">
        <v>203</v>
      </c>
      <c r="SLP12" s="314" t="s">
        <v>203</v>
      </c>
      <c r="SLQ12" s="314" t="s">
        <v>203</v>
      </c>
      <c r="SLR12" s="314" t="s">
        <v>203</v>
      </c>
      <c r="SLS12" s="314" t="s">
        <v>203</v>
      </c>
      <c r="SLT12" s="314" t="s">
        <v>203</v>
      </c>
      <c r="SLU12" s="314" t="s">
        <v>203</v>
      </c>
      <c r="SLV12" s="314" t="s">
        <v>203</v>
      </c>
      <c r="SLW12" s="314" t="s">
        <v>203</v>
      </c>
      <c r="SLX12" s="314" t="s">
        <v>203</v>
      </c>
      <c r="SLY12" s="314" t="s">
        <v>203</v>
      </c>
      <c r="SLZ12" s="314" t="s">
        <v>203</v>
      </c>
      <c r="SMA12" s="314" t="s">
        <v>203</v>
      </c>
      <c r="SMB12" s="314" t="s">
        <v>203</v>
      </c>
      <c r="SMC12" s="314" t="s">
        <v>203</v>
      </c>
      <c r="SMD12" s="314" t="s">
        <v>203</v>
      </c>
      <c r="SME12" s="314" t="s">
        <v>203</v>
      </c>
      <c r="SMF12" s="314" t="s">
        <v>203</v>
      </c>
      <c r="SMG12" s="314" t="s">
        <v>203</v>
      </c>
      <c r="SMH12" s="314" t="s">
        <v>203</v>
      </c>
      <c r="SMI12" s="314" t="s">
        <v>203</v>
      </c>
      <c r="SMJ12" s="314" t="s">
        <v>203</v>
      </c>
      <c r="SMK12" s="314" t="s">
        <v>203</v>
      </c>
      <c r="SML12" s="314" t="s">
        <v>203</v>
      </c>
      <c r="SMM12" s="314" t="s">
        <v>203</v>
      </c>
      <c r="SMN12" s="314" t="s">
        <v>203</v>
      </c>
      <c r="SMO12" s="314" t="s">
        <v>203</v>
      </c>
      <c r="SMP12" s="314" t="s">
        <v>203</v>
      </c>
      <c r="SMQ12" s="314" t="s">
        <v>203</v>
      </c>
      <c r="SMR12" s="314" t="s">
        <v>203</v>
      </c>
      <c r="SMS12" s="314" t="s">
        <v>203</v>
      </c>
      <c r="SMT12" s="314" t="s">
        <v>203</v>
      </c>
      <c r="SMU12" s="314" t="s">
        <v>203</v>
      </c>
      <c r="SMV12" s="314" t="s">
        <v>203</v>
      </c>
      <c r="SMW12" s="314" t="s">
        <v>203</v>
      </c>
      <c r="SMX12" s="314" t="s">
        <v>203</v>
      </c>
      <c r="SMY12" s="314" t="s">
        <v>203</v>
      </c>
      <c r="SMZ12" s="314" t="s">
        <v>203</v>
      </c>
      <c r="SNA12" s="314" t="s">
        <v>203</v>
      </c>
      <c r="SNB12" s="314" t="s">
        <v>203</v>
      </c>
      <c r="SNC12" s="314" t="s">
        <v>203</v>
      </c>
      <c r="SND12" s="314" t="s">
        <v>203</v>
      </c>
      <c r="SNE12" s="314" t="s">
        <v>203</v>
      </c>
      <c r="SNF12" s="314" t="s">
        <v>203</v>
      </c>
      <c r="SNG12" s="314" t="s">
        <v>203</v>
      </c>
      <c r="SNH12" s="314" t="s">
        <v>203</v>
      </c>
      <c r="SNI12" s="314" t="s">
        <v>203</v>
      </c>
      <c r="SNJ12" s="314" t="s">
        <v>203</v>
      </c>
      <c r="SNK12" s="314" t="s">
        <v>203</v>
      </c>
      <c r="SNL12" s="314" t="s">
        <v>203</v>
      </c>
      <c r="SNM12" s="314" t="s">
        <v>203</v>
      </c>
      <c r="SNN12" s="314" t="s">
        <v>203</v>
      </c>
      <c r="SNO12" s="314" t="s">
        <v>203</v>
      </c>
      <c r="SNP12" s="314" t="s">
        <v>203</v>
      </c>
      <c r="SNQ12" s="314" t="s">
        <v>203</v>
      </c>
      <c r="SNR12" s="314" t="s">
        <v>203</v>
      </c>
      <c r="SNS12" s="314" t="s">
        <v>203</v>
      </c>
      <c r="SNT12" s="314" t="s">
        <v>203</v>
      </c>
      <c r="SNU12" s="314" t="s">
        <v>203</v>
      </c>
      <c r="SNV12" s="314" t="s">
        <v>203</v>
      </c>
      <c r="SNW12" s="314" t="s">
        <v>203</v>
      </c>
      <c r="SNX12" s="314" t="s">
        <v>203</v>
      </c>
      <c r="SNY12" s="314" t="s">
        <v>203</v>
      </c>
      <c r="SNZ12" s="314" t="s">
        <v>203</v>
      </c>
      <c r="SOA12" s="314" t="s">
        <v>203</v>
      </c>
      <c r="SOB12" s="314" t="s">
        <v>203</v>
      </c>
      <c r="SOC12" s="314" t="s">
        <v>203</v>
      </c>
      <c r="SOD12" s="314" t="s">
        <v>203</v>
      </c>
      <c r="SOE12" s="314" t="s">
        <v>203</v>
      </c>
      <c r="SOF12" s="314" t="s">
        <v>203</v>
      </c>
      <c r="SOG12" s="314" t="s">
        <v>203</v>
      </c>
      <c r="SOH12" s="314" t="s">
        <v>203</v>
      </c>
      <c r="SOI12" s="314" t="s">
        <v>203</v>
      </c>
      <c r="SOJ12" s="314" t="s">
        <v>203</v>
      </c>
      <c r="SOK12" s="314" t="s">
        <v>203</v>
      </c>
      <c r="SOL12" s="314" t="s">
        <v>203</v>
      </c>
      <c r="SOM12" s="314" t="s">
        <v>203</v>
      </c>
      <c r="SON12" s="314" t="s">
        <v>203</v>
      </c>
      <c r="SOO12" s="314" t="s">
        <v>203</v>
      </c>
      <c r="SOP12" s="314" t="s">
        <v>203</v>
      </c>
      <c r="SOQ12" s="314" t="s">
        <v>203</v>
      </c>
      <c r="SOR12" s="314" t="s">
        <v>203</v>
      </c>
      <c r="SOS12" s="314" t="s">
        <v>203</v>
      </c>
      <c r="SOT12" s="314" t="s">
        <v>203</v>
      </c>
      <c r="SOU12" s="314" t="s">
        <v>203</v>
      </c>
      <c r="SOV12" s="314" t="s">
        <v>203</v>
      </c>
      <c r="SOW12" s="314" t="s">
        <v>203</v>
      </c>
      <c r="SOX12" s="314" t="s">
        <v>203</v>
      </c>
      <c r="SOY12" s="314" t="s">
        <v>203</v>
      </c>
      <c r="SOZ12" s="314" t="s">
        <v>203</v>
      </c>
      <c r="SPA12" s="314" t="s">
        <v>203</v>
      </c>
      <c r="SPB12" s="314" t="s">
        <v>203</v>
      </c>
      <c r="SPC12" s="314" t="s">
        <v>203</v>
      </c>
      <c r="SPD12" s="314" t="s">
        <v>203</v>
      </c>
      <c r="SPE12" s="314" t="s">
        <v>203</v>
      </c>
      <c r="SPF12" s="314" t="s">
        <v>203</v>
      </c>
      <c r="SPG12" s="314" t="s">
        <v>203</v>
      </c>
      <c r="SPH12" s="314" t="s">
        <v>203</v>
      </c>
      <c r="SPI12" s="314" t="s">
        <v>203</v>
      </c>
      <c r="SPJ12" s="314" t="s">
        <v>203</v>
      </c>
      <c r="SPK12" s="314" t="s">
        <v>203</v>
      </c>
      <c r="SPL12" s="314" t="s">
        <v>203</v>
      </c>
      <c r="SPM12" s="314" t="s">
        <v>203</v>
      </c>
      <c r="SPN12" s="314" t="s">
        <v>203</v>
      </c>
      <c r="SPO12" s="314" t="s">
        <v>203</v>
      </c>
      <c r="SPP12" s="314" t="s">
        <v>203</v>
      </c>
      <c r="SPQ12" s="314" t="s">
        <v>203</v>
      </c>
      <c r="SPR12" s="314" t="s">
        <v>203</v>
      </c>
      <c r="SPS12" s="314" t="s">
        <v>203</v>
      </c>
      <c r="SPT12" s="314" t="s">
        <v>203</v>
      </c>
      <c r="SPU12" s="314" t="s">
        <v>203</v>
      </c>
      <c r="SPV12" s="314" t="s">
        <v>203</v>
      </c>
      <c r="SPW12" s="314" t="s">
        <v>203</v>
      </c>
      <c r="SPX12" s="314" t="s">
        <v>203</v>
      </c>
      <c r="SPY12" s="314" t="s">
        <v>203</v>
      </c>
      <c r="SPZ12" s="314" t="s">
        <v>203</v>
      </c>
      <c r="SQA12" s="314" t="s">
        <v>203</v>
      </c>
      <c r="SQB12" s="314" t="s">
        <v>203</v>
      </c>
      <c r="SQC12" s="314" t="s">
        <v>203</v>
      </c>
      <c r="SQD12" s="314" t="s">
        <v>203</v>
      </c>
      <c r="SQE12" s="314" t="s">
        <v>203</v>
      </c>
      <c r="SQF12" s="314" t="s">
        <v>203</v>
      </c>
      <c r="SQG12" s="314" t="s">
        <v>203</v>
      </c>
      <c r="SQH12" s="314" t="s">
        <v>203</v>
      </c>
      <c r="SQI12" s="314" t="s">
        <v>203</v>
      </c>
      <c r="SQJ12" s="314" t="s">
        <v>203</v>
      </c>
      <c r="SQK12" s="314" t="s">
        <v>203</v>
      </c>
      <c r="SQL12" s="314" t="s">
        <v>203</v>
      </c>
      <c r="SQM12" s="314" t="s">
        <v>203</v>
      </c>
      <c r="SQN12" s="314" t="s">
        <v>203</v>
      </c>
      <c r="SQO12" s="314" t="s">
        <v>203</v>
      </c>
      <c r="SQP12" s="314" t="s">
        <v>203</v>
      </c>
      <c r="SQQ12" s="314" t="s">
        <v>203</v>
      </c>
      <c r="SQR12" s="314" t="s">
        <v>203</v>
      </c>
      <c r="SQS12" s="314" t="s">
        <v>203</v>
      </c>
      <c r="SQT12" s="314" t="s">
        <v>203</v>
      </c>
      <c r="SQU12" s="314" t="s">
        <v>203</v>
      </c>
      <c r="SQV12" s="314" t="s">
        <v>203</v>
      </c>
      <c r="SQW12" s="314" t="s">
        <v>203</v>
      </c>
      <c r="SQX12" s="314" t="s">
        <v>203</v>
      </c>
      <c r="SQY12" s="314" t="s">
        <v>203</v>
      </c>
      <c r="SQZ12" s="314" t="s">
        <v>203</v>
      </c>
      <c r="SRA12" s="314" t="s">
        <v>203</v>
      </c>
      <c r="SRB12" s="314" t="s">
        <v>203</v>
      </c>
      <c r="SRC12" s="314" t="s">
        <v>203</v>
      </c>
      <c r="SRD12" s="314" t="s">
        <v>203</v>
      </c>
      <c r="SRE12" s="314" t="s">
        <v>203</v>
      </c>
      <c r="SRF12" s="314" t="s">
        <v>203</v>
      </c>
      <c r="SRG12" s="314" t="s">
        <v>203</v>
      </c>
      <c r="SRH12" s="314" t="s">
        <v>203</v>
      </c>
      <c r="SRI12" s="314" t="s">
        <v>203</v>
      </c>
      <c r="SRJ12" s="314" t="s">
        <v>203</v>
      </c>
      <c r="SRK12" s="314" t="s">
        <v>203</v>
      </c>
      <c r="SRL12" s="314" t="s">
        <v>203</v>
      </c>
      <c r="SRM12" s="314" t="s">
        <v>203</v>
      </c>
      <c r="SRN12" s="314" t="s">
        <v>203</v>
      </c>
      <c r="SRO12" s="314" t="s">
        <v>203</v>
      </c>
      <c r="SRP12" s="314" t="s">
        <v>203</v>
      </c>
      <c r="SRQ12" s="314" t="s">
        <v>203</v>
      </c>
      <c r="SRR12" s="314" t="s">
        <v>203</v>
      </c>
      <c r="SRS12" s="314" t="s">
        <v>203</v>
      </c>
      <c r="SRT12" s="314" t="s">
        <v>203</v>
      </c>
      <c r="SRU12" s="314" t="s">
        <v>203</v>
      </c>
      <c r="SRV12" s="314" t="s">
        <v>203</v>
      </c>
      <c r="SRW12" s="314" t="s">
        <v>203</v>
      </c>
      <c r="SRX12" s="314" t="s">
        <v>203</v>
      </c>
      <c r="SRY12" s="314" t="s">
        <v>203</v>
      </c>
      <c r="SRZ12" s="314" t="s">
        <v>203</v>
      </c>
      <c r="SSA12" s="314" t="s">
        <v>203</v>
      </c>
      <c r="SSB12" s="314" t="s">
        <v>203</v>
      </c>
      <c r="SSC12" s="314" t="s">
        <v>203</v>
      </c>
      <c r="SSD12" s="314" t="s">
        <v>203</v>
      </c>
      <c r="SSE12" s="314" t="s">
        <v>203</v>
      </c>
      <c r="SSF12" s="314" t="s">
        <v>203</v>
      </c>
      <c r="SSG12" s="314" t="s">
        <v>203</v>
      </c>
      <c r="SSH12" s="314" t="s">
        <v>203</v>
      </c>
      <c r="SSI12" s="314" t="s">
        <v>203</v>
      </c>
      <c r="SSJ12" s="314" t="s">
        <v>203</v>
      </c>
      <c r="SSK12" s="314" t="s">
        <v>203</v>
      </c>
      <c r="SSL12" s="314" t="s">
        <v>203</v>
      </c>
      <c r="SSM12" s="314" t="s">
        <v>203</v>
      </c>
      <c r="SSN12" s="314" t="s">
        <v>203</v>
      </c>
      <c r="SSO12" s="314" t="s">
        <v>203</v>
      </c>
      <c r="SSP12" s="314" t="s">
        <v>203</v>
      </c>
      <c r="SSQ12" s="314" t="s">
        <v>203</v>
      </c>
      <c r="SSR12" s="314" t="s">
        <v>203</v>
      </c>
      <c r="SSS12" s="314" t="s">
        <v>203</v>
      </c>
      <c r="SST12" s="314" t="s">
        <v>203</v>
      </c>
      <c r="SSU12" s="314" t="s">
        <v>203</v>
      </c>
      <c r="SSV12" s="314" t="s">
        <v>203</v>
      </c>
      <c r="SSW12" s="314" t="s">
        <v>203</v>
      </c>
      <c r="SSX12" s="314" t="s">
        <v>203</v>
      </c>
      <c r="SSY12" s="314" t="s">
        <v>203</v>
      </c>
      <c r="SSZ12" s="314" t="s">
        <v>203</v>
      </c>
      <c r="STA12" s="314" t="s">
        <v>203</v>
      </c>
      <c r="STB12" s="314" t="s">
        <v>203</v>
      </c>
      <c r="STC12" s="314" t="s">
        <v>203</v>
      </c>
      <c r="STD12" s="314" t="s">
        <v>203</v>
      </c>
      <c r="STE12" s="314" t="s">
        <v>203</v>
      </c>
      <c r="STF12" s="314" t="s">
        <v>203</v>
      </c>
      <c r="STG12" s="314" t="s">
        <v>203</v>
      </c>
      <c r="STH12" s="314" t="s">
        <v>203</v>
      </c>
      <c r="STI12" s="314" t="s">
        <v>203</v>
      </c>
      <c r="STJ12" s="314" t="s">
        <v>203</v>
      </c>
      <c r="STK12" s="314" t="s">
        <v>203</v>
      </c>
      <c r="STL12" s="314" t="s">
        <v>203</v>
      </c>
      <c r="STM12" s="314" t="s">
        <v>203</v>
      </c>
      <c r="STN12" s="314" t="s">
        <v>203</v>
      </c>
      <c r="STO12" s="314" t="s">
        <v>203</v>
      </c>
      <c r="STP12" s="314" t="s">
        <v>203</v>
      </c>
      <c r="STQ12" s="314" t="s">
        <v>203</v>
      </c>
      <c r="STR12" s="314" t="s">
        <v>203</v>
      </c>
      <c r="STS12" s="314" t="s">
        <v>203</v>
      </c>
      <c r="STT12" s="314" t="s">
        <v>203</v>
      </c>
      <c r="STU12" s="314" t="s">
        <v>203</v>
      </c>
      <c r="STV12" s="314" t="s">
        <v>203</v>
      </c>
      <c r="STW12" s="314" t="s">
        <v>203</v>
      </c>
      <c r="STX12" s="314" t="s">
        <v>203</v>
      </c>
      <c r="STY12" s="314" t="s">
        <v>203</v>
      </c>
      <c r="STZ12" s="314" t="s">
        <v>203</v>
      </c>
      <c r="SUA12" s="314" t="s">
        <v>203</v>
      </c>
      <c r="SUB12" s="314" t="s">
        <v>203</v>
      </c>
      <c r="SUC12" s="314" t="s">
        <v>203</v>
      </c>
      <c r="SUD12" s="314" t="s">
        <v>203</v>
      </c>
      <c r="SUE12" s="314" t="s">
        <v>203</v>
      </c>
      <c r="SUF12" s="314" t="s">
        <v>203</v>
      </c>
      <c r="SUG12" s="314" t="s">
        <v>203</v>
      </c>
      <c r="SUH12" s="314" t="s">
        <v>203</v>
      </c>
      <c r="SUI12" s="314" t="s">
        <v>203</v>
      </c>
      <c r="SUJ12" s="314" t="s">
        <v>203</v>
      </c>
      <c r="SUK12" s="314" t="s">
        <v>203</v>
      </c>
      <c r="SUL12" s="314" t="s">
        <v>203</v>
      </c>
      <c r="SUM12" s="314" t="s">
        <v>203</v>
      </c>
      <c r="SUN12" s="314" t="s">
        <v>203</v>
      </c>
      <c r="SUO12" s="314" t="s">
        <v>203</v>
      </c>
      <c r="SUP12" s="314" t="s">
        <v>203</v>
      </c>
      <c r="SUQ12" s="314" t="s">
        <v>203</v>
      </c>
      <c r="SUR12" s="314" t="s">
        <v>203</v>
      </c>
      <c r="SUS12" s="314" t="s">
        <v>203</v>
      </c>
      <c r="SUT12" s="314" t="s">
        <v>203</v>
      </c>
      <c r="SUU12" s="314" t="s">
        <v>203</v>
      </c>
      <c r="SUV12" s="314" t="s">
        <v>203</v>
      </c>
      <c r="SUW12" s="314" t="s">
        <v>203</v>
      </c>
      <c r="SUX12" s="314" t="s">
        <v>203</v>
      </c>
      <c r="SUY12" s="314" t="s">
        <v>203</v>
      </c>
      <c r="SUZ12" s="314" t="s">
        <v>203</v>
      </c>
      <c r="SVA12" s="314" t="s">
        <v>203</v>
      </c>
      <c r="SVB12" s="314" t="s">
        <v>203</v>
      </c>
      <c r="SVC12" s="314" t="s">
        <v>203</v>
      </c>
      <c r="SVD12" s="314" t="s">
        <v>203</v>
      </c>
      <c r="SVE12" s="314" t="s">
        <v>203</v>
      </c>
      <c r="SVF12" s="314" t="s">
        <v>203</v>
      </c>
      <c r="SVG12" s="314" t="s">
        <v>203</v>
      </c>
      <c r="SVH12" s="314" t="s">
        <v>203</v>
      </c>
      <c r="SVI12" s="314" t="s">
        <v>203</v>
      </c>
      <c r="SVJ12" s="314" t="s">
        <v>203</v>
      </c>
      <c r="SVK12" s="314" t="s">
        <v>203</v>
      </c>
      <c r="SVL12" s="314" t="s">
        <v>203</v>
      </c>
      <c r="SVM12" s="314" t="s">
        <v>203</v>
      </c>
      <c r="SVN12" s="314" t="s">
        <v>203</v>
      </c>
      <c r="SVO12" s="314" t="s">
        <v>203</v>
      </c>
      <c r="SVP12" s="314" t="s">
        <v>203</v>
      </c>
      <c r="SVQ12" s="314" t="s">
        <v>203</v>
      </c>
      <c r="SVR12" s="314" t="s">
        <v>203</v>
      </c>
      <c r="SVS12" s="314" t="s">
        <v>203</v>
      </c>
      <c r="SVT12" s="314" t="s">
        <v>203</v>
      </c>
      <c r="SVU12" s="314" t="s">
        <v>203</v>
      </c>
      <c r="SVV12" s="314" t="s">
        <v>203</v>
      </c>
      <c r="SVW12" s="314" t="s">
        <v>203</v>
      </c>
      <c r="SVX12" s="314" t="s">
        <v>203</v>
      </c>
      <c r="SVY12" s="314" t="s">
        <v>203</v>
      </c>
      <c r="SVZ12" s="314" t="s">
        <v>203</v>
      </c>
      <c r="SWA12" s="314" t="s">
        <v>203</v>
      </c>
      <c r="SWB12" s="314" t="s">
        <v>203</v>
      </c>
      <c r="SWC12" s="314" t="s">
        <v>203</v>
      </c>
      <c r="SWD12" s="314" t="s">
        <v>203</v>
      </c>
      <c r="SWE12" s="314" t="s">
        <v>203</v>
      </c>
      <c r="SWF12" s="314" t="s">
        <v>203</v>
      </c>
      <c r="SWG12" s="314" t="s">
        <v>203</v>
      </c>
      <c r="SWH12" s="314" t="s">
        <v>203</v>
      </c>
      <c r="SWI12" s="314" t="s">
        <v>203</v>
      </c>
      <c r="SWJ12" s="314" t="s">
        <v>203</v>
      </c>
      <c r="SWK12" s="314" t="s">
        <v>203</v>
      </c>
      <c r="SWL12" s="314" t="s">
        <v>203</v>
      </c>
      <c r="SWM12" s="314" t="s">
        <v>203</v>
      </c>
      <c r="SWN12" s="314" t="s">
        <v>203</v>
      </c>
      <c r="SWO12" s="314" t="s">
        <v>203</v>
      </c>
      <c r="SWP12" s="314" t="s">
        <v>203</v>
      </c>
      <c r="SWQ12" s="314" t="s">
        <v>203</v>
      </c>
      <c r="SWR12" s="314" t="s">
        <v>203</v>
      </c>
      <c r="SWS12" s="314" t="s">
        <v>203</v>
      </c>
      <c r="SWT12" s="314" t="s">
        <v>203</v>
      </c>
      <c r="SWU12" s="314" t="s">
        <v>203</v>
      </c>
      <c r="SWV12" s="314" t="s">
        <v>203</v>
      </c>
      <c r="SWW12" s="314" t="s">
        <v>203</v>
      </c>
      <c r="SWX12" s="314" t="s">
        <v>203</v>
      </c>
      <c r="SWY12" s="314" t="s">
        <v>203</v>
      </c>
      <c r="SWZ12" s="314" t="s">
        <v>203</v>
      </c>
      <c r="SXA12" s="314" t="s">
        <v>203</v>
      </c>
      <c r="SXB12" s="314" t="s">
        <v>203</v>
      </c>
      <c r="SXC12" s="314" t="s">
        <v>203</v>
      </c>
      <c r="SXD12" s="314" t="s">
        <v>203</v>
      </c>
      <c r="SXE12" s="314" t="s">
        <v>203</v>
      </c>
      <c r="SXF12" s="314" t="s">
        <v>203</v>
      </c>
      <c r="SXG12" s="314" t="s">
        <v>203</v>
      </c>
      <c r="SXH12" s="314" t="s">
        <v>203</v>
      </c>
      <c r="SXI12" s="314" t="s">
        <v>203</v>
      </c>
      <c r="SXJ12" s="314" t="s">
        <v>203</v>
      </c>
      <c r="SXK12" s="314" t="s">
        <v>203</v>
      </c>
      <c r="SXL12" s="314" t="s">
        <v>203</v>
      </c>
      <c r="SXM12" s="314" t="s">
        <v>203</v>
      </c>
      <c r="SXN12" s="314" t="s">
        <v>203</v>
      </c>
      <c r="SXO12" s="314" t="s">
        <v>203</v>
      </c>
      <c r="SXP12" s="314" t="s">
        <v>203</v>
      </c>
      <c r="SXQ12" s="314" t="s">
        <v>203</v>
      </c>
      <c r="SXR12" s="314" t="s">
        <v>203</v>
      </c>
      <c r="SXS12" s="314" t="s">
        <v>203</v>
      </c>
      <c r="SXT12" s="314" t="s">
        <v>203</v>
      </c>
      <c r="SXU12" s="314" t="s">
        <v>203</v>
      </c>
      <c r="SXV12" s="314" t="s">
        <v>203</v>
      </c>
      <c r="SXW12" s="314" t="s">
        <v>203</v>
      </c>
      <c r="SXX12" s="314" t="s">
        <v>203</v>
      </c>
      <c r="SXY12" s="314" t="s">
        <v>203</v>
      </c>
      <c r="SXZ12" s="314" t="s">
        <v>203</v>
      </c>
      <c r="SYA12" s="314" t="s">
        <v>203</v>
      </c>
      <c r="SYB12" s="314" t="s">
        <v>203</v>
      </c>
      <c r="SYC12" s="314" t="s">
        <v>203</v>
      </c>
      <c r="SYD12" s="314" t="s">
        <v>203</v>
      </c>
      <c r="SYE12" s="314" t="s">
        <v>203</v>
      </c>
      <c r="SYF12" s="314" t="s">
        <v>203</v>
      </c>
      <c r="SYG12" s="314" t="s">
        <v>203</v>
      </c>
      <c r="SYH12" s="314" t="s">
        <v>203</v>
      </c>
      <c r="SYI12" s="314" t="s">
        <v>203</v>
      </c>
      <c r="SYJ12" s="314" t="s">
        <v>203</v>
      </c>
      <c r="SYK12" s="314" t="s">
        <v>203</v>
      </c>
      <c r="SYL12" s="314" t="s">
        <v>203</v>
      </c>
      <c r="SYM12" s="314" t="s">
        <v>203</v>
      </c>
      <c r="SYN12" s="314" t="s">
        <v>203</v>
      </c>
      <c r="SYO12" s="314" t="s">
        <v>203</v>
      </c>
      <c r="SYP12" s="314" t="s">
        <v>203</v>
      </c>
      <c r="SYQ12" s="314" t="s">
        <v>203</v>
      </c>
      <c r="SYR12" s="314" t="s">
        <v>203</v>
      </c>
      <c r="SYS12" s="314" t="s">
        <v>203</v>
      </c>
      <c r="SYT12" s="314" t="s">
        <v>203</v>
      </c>
      <c r="SYU12" s="314" t="s">
        <v>203</v>
      </c>
      <c r="SYV12" s="314" t="s">
        <v>203</v>
      </c>
      <c r="SYW12" s="314" t="s">
        <v>203</v>
      </c>
      <c r="SYX12" s="314" t="s">
        <v>203</v>
      </c>
      <c r="SYY12" s="314" t="s">
        <v>203</v>
      </c>
      <c r="SYZ12" s="314" t="s">
        <v>203</v>
      </c>
      <c r="SZA12" s="314" t="s">
        <v>203</v>
      </c>
      <c r="SZB12" s="314" t="s">
        <v>203</v>
      </c>
      <c r="SZC12" s="314" t="s">
        <v>203</v>
      </c>
      <c r="SZD12" s="314" t="s">
        <v>203</v>
      </c>
      <c r="SZE12" s="314" t="s">
        <v>203</v>
      </c>
      <c r="SZF12" s="314" t="s">
        <v>203</v>
      </c>
      <c r="SZG12" s="314" t="s">
        <v>203</v>
      </c>
      <c r="SZH12" s="314" t="s">
        <v>203</v>
      </c>
      <c r="SZI12" s="314" t="s">
        <v>203</v>
      </c>
      <c r="SZJ12" s="314" t="s">
        <v>203</v>
      </c>
      <c r="SZK12" s="314" t="s">
        <v>203</v>
      </c>
      <c r="SZL12" s="314" t="s">
        <v>203</v>
      </c>
      <c r="SZM12" s="314" t="s">
        <v>203</v>
      </c>
      <c r="SZN12" s="314" t="s">
        <v>203</v>
      </c>
      <c r="SZO12" s="314" t="s">
        <v>203</v>
      </c>
      <c r="SZP12" s="314" t="s">
        <v>203</v>
      </c>
      <c r="SZQ12" s="314" t="s">
        <v>203</v>
      </c>
      <c r="SZR12" s="314" t="s">
        <v>203</v>
      </c>
      <c r="SZS12" s="314" t="s">
        <v>203</v>
      </c>
      <c r="SZT12" s="314" t="s">
        <v>203</v>
      </c>
      <c r="SZU12" s="314" t="s">
        <v>203</v>
      </c>
      <c r="SZV12" s="314" t="s">
        <v>203</v>
      </c>
      <c r="SZW12" s="314" t="s">
        <v>203</v>
      </c>
      <c r="SZX12" s="314" t="s">
        <v>203</v>
      </c>
      <c r="SZY12" s="314" t="s">
        <v>203</v>
      </c>
      <c r="SZZ12" s="314" t="s">
        <v>203</v>
      </c>
      <c r="TAA12" s="314" t="s">
        <v>203</v>
      </c>
      <c r="TAB12" s="314" t="s">
        <v>203</v>
      </c>
      <c r="TAC12" s="314" t="s">
        <v>203</v>
      </c>
      <c r="TAD12" s="314" t="s">
        <v>203</v>
      </c>
      <c r="TAE12" s="314" t="s">
        <v>203</v>
      </c>
      <c r="TAF12" s="314" t="s">
        <v>203</v>
      </c>
      <c r="TAG12" s="314" t="s">
        <v>203</v>
      </c>
      <c r="TAH12" s="314" t="s">
        <v>203</v>
      </c>
      <c r="TAI12" s="314" t="s">
        <v>203</v>
      </c>
      <c r="TAJ12" s="314" t="s">
        <v>203</v>
      </c>
      <c r="TAK12" s="314" t="s">
        <v>203</v>
      </c>
      <c r="TAL12" s="314" t="s">
        <v>203</v>
      </c>
      <c r="TAM12" s="314" t="s">
        <v>203</v>
      </c>
      <c r="TAN12" s="314" t="s">
        <v>203</v>
      </c>
      <c r="TAO12" s="314" t="s">
        <v>203</v>
      </c>
      <c r="TAP12" s="314" t="s">
        <v>203</v>
      </c>
      <c r="TAQ12" s="314" t="s">
        <v>203</v>
      </c>
      <c r="TAR12" s="314" t="s">
        <v>203</v>
      </c>
      <c r="TAS12" s="314" t="s">
        <v>203</v>
      </c>
      <c r="TAT12" s="314" t="s">
        <v>203</v>
      </c>
      <c r="TAU12" s="314" t="s">
        <v>203</v>
      </c>
      <c r="TAV12" s="314" t="s">
        <v>203</v>
      </c>
      <c r="TAW12" s="314" t="s">
        <v>203</v>
      </c>
      <c r="TAX12" s="314" t="s">
        <v>203</v>
      </c>
      <c r="TAY12" s="314" t="s">
        <v>203</v>
      </c>
      <c r="TAZ12" s="314" t="s">
        <v>203</v>
      </c>
      <c r="TBA12" s="314" t="s">
        <v>203</v>
      </c>
      <c r="TBB12" s="314" t="s">
        <v>203</v>
      </c>
      <c r="TBC12" s="314" t="s">
        <v>203</v>
      </c>
      <c r="TBD12" s="314" t="s">
        <v>203</v>
      </c>
      <c r="TBE12" s="314" t="s">
        <v>203</v>
      </c>
      <c r="TBF12" s="314" t="s">
        <v>203</v>
      </c>
      <c r="TBG12" s="314" t="s">
        <v>203</v>
      </c>
      <c r="TBH12" s="314" t="s">
        <v>203</v>
      </c>
      <c r="TBI12" s="314" t="s">
        <v>203</v>
      </c>
      <c r="TBJ12" s="314" t="s">
        <v>203</v>
      </c>
      <c r="TBK12" s="314" t="s">
        <v>203</v>
      </c>
      <c r="TBL12" s="314" t="s">
        <v>203</v>
      </c>
      <c r="TBM12" s="314" t="s">
        <v>203</v>
      </c>
      <c r="TBN12" s="314" t="s">
        <v>203</v>
      </c>
      <c r="TBO12" s="314" t="s">
        <v>203</v>
      </c>
      <c r="TBP12" s="314" t="s">
        <v>203</v>
      </c>
      <c r="TBQ12" s="314" t="s">
        <v>203</v>
      </c>
      <c r="TBR12" s="314" t="s">
        <v>203</v>
      </c>
      <c r="TBS12" s="314" t="s">
        <v>203</v>
      </c>
      <c r="TBT12" s="314" t="s">
        <v>203</v>
      </c>
      <c r="TBU12" s="314" t="s">
        <v>203</v>
      </c>
      <c r="TBV12" s="314" t="s">
        <v>203</v>
      </c>
      <c r="TBW12" s="314" t="s">
        <v>203</v>
      </c>
      <c r="TBX12" s="314" t="s">
        <v>203</v>
      </c>
      <c r="TBY12" s="314" t="s">
        <v>203</v>
      </c>
      <c r="TBZ12" s="314" t="s">
        <v>203</v>
      </c>
      <c r="TCA12" s="314" t="s">
        <v>203</v>
      </c>
      <c r="TCB12" s="314" t="s">
        <v>203</v>
      </c>
      <c r="TCC12" s="314" t="s">
        <v>203</v>
      </c>
      <c r="TCD12" s="314" t="s">
        <v>203</v>
      </c>
      <c r="TCE12" s="314" t="s">
        <v>203</v>
      </c>
      <c r="TCF12" s="314" t="s">
        <v>203</v>
      </c>
      <c r="TCG12" s="314" t="s">
        <v>203</v>
      </c>
      <c r="TCH12" s="314" t="s">
        <v>203</v>
      </c>
      <c r="TCI12" s="314" t="s">
        <v>203</v>
      </c>
      <c r="TCJ12" s="314" t="s">
        <v>203</v>
      </c>
      <c r="TCK12" s="314" t="s">
        <v>203</v>
      </c>
      <c r="TCL12" s="314" t="s">
        <v>203</v>
      </c>
      <c r="TCM12" s="314" t="s">
        <v>203</v>
      </c>
      <c r="TCN12" s="314" t="s">
        <v>203</v>
      </c>
      <c r="TCO12" s="314" t="s">
        <v>203</v>
      </c>
      <c r="TCP12" s="314" t="s">
        <v>203</v>
      </c>
      <c r="TCQ12" s="314" t="s">
        <v>203</v>
      </c>
      <c r="TCR12" s="314" t="s">
        <v>203</v>
      </c>
      <c r="TCS12" s="314" t="s">
        <v>203</v>
      </c>
      <c r="TCT12" s="314" t="s">
        <v>203</v>
      </c>
      <c r="TCU12" s="314" t="s">
        <v>203</v>
      </c>
      <c r="TCV12" s="314" t="s">
        <v>203</v>
      </c>
      <c r="TCW12" s="314" t="s">
        <v>203</v>
      </c>
      <c r="TCX12" s="314" t="s">
        <v>203</v>
      </c>
      <c r="TCY12" s="314" t="s">
        <v>203</v>
      </c>
      <c r="TCZ12" s="314" t="s">
        <v>203</v>
      </c>
      <c r="TDA12" s="314" t="s">
        <v>203</v>
      </c>
      <c r="TDB12" s="314" t="s">
        <v>203</v>
      </c>
      <c r="TDC12" s="314" t="s">
        <v>203</v>
      </c>
      <c r="TDD12" s="314" t="s">
        <v>203</v>
      </c>
      <c r="TDE12" s="314" t="s">
        <v>203</v>
      </c>
      <c r="TDF12" s="314" t="s">
        <v>203</v>
      </c>
      <c r="TDG12" s="314" t="s">
        <v>203</v>
      </c>
      <c r="TDH12" s="314" t="s">
        <v>203</v>
      </c>
      <c r="TDI12" s="314" t="s">
        <v>203</v>
      </c>
      <c r="TDJ12" s="314" t="s">
        <v>203</v>
      </c>
      <c r="TDK12" s="314" t="s">
        <v>203</v>
      </c>
      <c r="TDL12" s="314" t="s">
        <v>203</v>
      </c>
      <c r="TDM12" s="314" t="s">
        <v>203</v>
      </c>
      <c r="TDN12" s="314" t="s">
        <v>203</v>
      </c>
      <c r="TDO12" s="314" t="s">
        <v>203</v>
      </c>
      <c r="TDP12" s="314" t="s">
        <v>203</v>
      </c>
      <c r="TDQ12" s="314" t="s">
        <v>203</v>
      </c>
      <c r="TDR12" s="314" t="s">
        <v>203</v>
      </c>
      <c r="TDS12" s="314" t="s">
        <v>203</v>
      </c>
      <c r="TDT12" s="314" t="s">
        <v>203</v>
      </c>
      <c r="TDU12" s="314" t="s">
        <v>203</v>
      </c>
      <c r="TDV12" s="314" t="s">
        <v>203</v>
      </c>
      <c r="TDW12" s="314" t="s">
        <v>203</v>
      </c>
      <c r="TDX12" s="314" t="s">
        <v>203</v>
      </c>
      <c r="TDY12" s="314" t="s">
        <v>203</v>
      </c>
      <c r="TDZ12" s="314" t="s">
        <v>203</v>
      </c>
      <c r="TEA12" s="314" t="s">
        <v>203</v>
      </c>
      <c r="TEB12" s="314" t="s">
        <v>203</v>
      </c>
      <c r="TEC12" s="314" t="s">
        <v>203</v>
      </c>
      <c r="TED12" s="314" t="s">
        <v>203</v>
      </c>
      <c r="TEE12" s="314" t="s">
        <v>203</v>
      </c>
      <c r="TEF12" s="314" t="s">
        <v>203</v>
      </c>
      <c r="TEG12" s="314" t="s">
        <v>203</v>
      </c>
      <c r="TEH12" s="314" t="s">
        <v>203</v>
      </c>
      <c r="TEI12" s="314" t="s">
        <v>203</v>
      </c>
      <c r="TEJ12" s="314" t="s">
        <v>203</v>
      </c>
      <c r="TEK12" s="314" t="s">
        <v>203</v>
      </c>
      <c r="TEL12" s="314" t="s">
        <v>203</v>
      </c>
      <c r="TEM12" s="314" t="s">
        <v>203</v>
      </c>
      <c r="TEN12" s="314" t="s">
        <v>203</v>
      </c>
      <c r="TEO12" s="314" t="s">
        <v>203</v>
      </c>
      <c r="TEP12" s="314" t="s">
        <v>203</v>
      </c>
      <c r="TEQ12" s="314" t="s">
        <v>203</v>
      </c>
      <c r="TER12" s="314" t="s">
        <v>203</v>
      </c>
      <c r="TES12" s="314" t="s">
        <v>203</v>
      </c>
      <c r="TET12" s="314" t="s">
        <v>203</v>
      </c>
      <c r="TEU12" s="314" t="s">
        <v>203</v>
      </c>
      <c r="TEV12" s="314" t="s">
        <v>203</v>
      </c>
      <c r="TEW12" s="314" t="s">
        <v>203</v>
      </c>
      <c r="TEX12" s="314" t="s">
        <v>203</v>
      </c>
      <c r="TEY12" s="314" t="s">
        <v>203</v>
      </c>
      <c r="TEZ12" s="314" t="s">
        <v>203</v>
      </c>
      <c r="TFA12" s="314" t="s">
        <v>203</v>
      </c>
      <c r="TFB12" s="314" t="s">
        <v>203</v>
      </c>
      <c r="TFC12" s="314" t="s">
        <v>203</v>
      </c>
      <c r="TFD12" s="314" t="s">
        <v>203</v>
      </c>
      <c r="TFE12" s="314" t="s">
        <v>203</v>
      </c>
      <c r="TFF12" s="314" t="s">
        <v>203</v>
      </c>
      <c r="TFG12" s="314" t="s">
        <v>203</v>
      </c>
      <c r="TFH12" s="314" t="s">
        <v>203</v>
      </c>
      <c r="TFI12" s="314" t="s">
        <v>203</v>
      </c>
      <c r="TFJ12" s="314" t="s">
        <v>203</v>
      </c>
      <c r="TFK12" s="314" t="s">
        <v>203</v>
      </c>
      <c r="TFL12" s="314" t="s">
        <v>203</v>
      </c>
      <c r="TFM12" s="314" t="s">
        <v>203</v>
      </c>
      <c r="TFN12" s="314" t="s">
        <v>203</v>
      </c>
      <c r="TFO12" s="314" t="s">
        <v>203</v>
      </c>
      <c r="TFP12" s="314" t="s">
        <v>203</v>
      </c>
      <c r="TFQ12" s="314" t="s">
        <v>203</v>
      </c>
      <c r="TFR12" s="314" t="s">
        <v>203</v>
      </c>
      <c r="TFS12" s="314" t="s">
        <v>203</v>
      </c>
      <c r="TFT12" s="314" t="s">
        <v>203</v>
      </c>
      <c r="TFU12" s="314" t="s">
        <v>203</v>
      </c>
      <c r="TFV12" s="314" t="s">
        <v>203</v>
      </c>
      <c r="TFW12" s="314" t="s">
        <v>203</v>
      </c>
      <c r="TFX12" s="314" t="s">
        <v>203</v>
      </c>
      <c r="TFY12" s="314" t="s">
        <v>203</v>
      </c>
      <c r="TFZ12" s="314" t="s">
        <v>203</v>
      </c>
      <c r="TGA12" s="314" t="s">
        <v>203</v>
      </c>
      <c r="TGB12" s="314" t="s">
        <v>203</v>
      </c>
      <c r="TGC12" s="314" t="s">
        <v>203</v>
      </c>
      <c r="TGD12" s="314" t="s">
        <v>203</v>
      </c>
      <c r="TGE12" s="314" t="s">
        <v>203</v>
      </c>
      <c r="TGF12" s="314" t="s">
        <v>203</v>
      </c>
      <c r="TGG12" s="314" t="s">
        <v>203</v>
      </c>
      <c r="TGH12" s="314" t="s">
        <v>203</v>
      </c>
      <c r="TGI12" s="314" t="s">
        <v>203</v>
      </c>
      <c r="TGJ12" s="314" t="s">
        <v>203</v>
      </c>
      <c r="TGK12" s="314" t="s">
        <v>203</v>
      </c>
      <c r="TGL12" s="314" t="s">
        <v>203</v>
      </c>
      <c r="TGM12" s="314" t="s">
        <v>203</v>
      </c>
      <c r="TGN12" s="314" t="s">
        <v>203</v>
      </c>
      <c r="TGO12" s="314" t="s">
        <v>203</v>
      </c>
      <c r="TGP12" s="314" t="s">
        <v>203</v>
      </c>
      <c r="TGQ12" s="314" t="s">
        <v>203</v>
      </c>
      <c r="TGR12" s="314" t="s">
        <v>203</v>
      </c>
      <c r="TGS12" s="314" t="s">
        <v>203</v>
      </c>
      <c r="TGT12" s="314" t="s">
        <v>203</v>
      </c>
      <c r="TGU12" s="314" t="s">
        <v>203</v>
      </c>
      <c r="TGV12" s="314" t="s">
        <v>203</v>
      </c>
      <c r="TGW12" s="314" t="s">
        <v>203</v>
      </c>
      <c r="TGX12" s="314" t="s">
        <v>203</v>
      </c>
      <c r="TGY12" s="314" t="s">
        <v>203</v>
      </c>
      <c r="TGZ12" s="314" t="s">
        <v>203</v>
      </c>
      <c r="THA12" s="314" t="s">
        <v>203</v>
      </c>
      <c r="THB12" s="314" t="s">
        <v>203</v>
      </c>
      <c r="THC12" s="314" t="s">
        <v>203</v>
      </c>
      <c r="THD12" s="314" t="s">
        <v>203</v>
      </c>
      <c r="THE12" s="314" t="s">
        <v>203</v>
      </c>
      <c r="THF12" s="314" t="s">
        <v>203</v>
      </c>
      <c r="THG12" s="314" t="s">
        <v>203</v>
      </c>
      <c r="THH12" s="314" t="s">
        <v>203</v>
      </c>
      <c r="THI12" s="314" t="s">
        <v>203</v>
      </c>
      <c r="THJ12" s="314" t="s">
        <v>203</v>
      </c>
      <c r="THK12" s="314" t="s">
        <v>203</v>
      </c>
      <c r="THL12" s="314" t="s">
        <v>203</v>
      </c>
      <c r="THM12" s="314" t="s">
        <v>203</v>
      </c>
      <c r="THN12" s="314" t="s">
        <v>203</v>
      </c>
      <c r="THO12" s="314" t="s">
        <v>203</v>
      </c>
      <c r="THP12" s="314" t="s">
        <v>203</v>
      </c>
      <c r="THQ12" s="314" t="s">
        <v>203</v>
      </c>
      <c r="THR12" s="314" t="s">
        <v>203</v>
      </c>
      <c r="THS12" s="314" t="s">
        <v>203</v>
      </c>
      <c r="THT12" s="314" t="s">
        <v>203</v>
      </c>
      <c r="THU12" s="314" t="s">
        <v>203</v>
      </c>
      <c r="THV12" s="314" t="s">
        <v>203</v>
      </c>
      <c r="THW12" s="314" t="s">
        <v>203</v>
      </c>
      <c r="THX12" s="314" t="s">
        <v>203</v>
      </c>
      <c r="THY12" s="314" t="s">
        <v>203</v>
      </c>
      <c r="THZ12" s="314" t="s">
        <v>203</v>
      </c>
      <c r="TIA12" s="314" t="s">
        <v>203</v>
      </c>
      <c r="TIB12" s="314" t="s">
        <v>203</v>
      </c>
      <c r="TIC12" s="314" t="s">
        <v>203</v>
      </c>
      <c r="TID12" s="314" t="s">
        <v>203</v>
      </c>
      <c r="TIE12" s="314" t="s">
        <v>203</v>
      </c>
      <c r="TIF12" s="314" t="s">
        <v>203</v>
      </c>
      <c r="TIG12" s="314" t="s">
        <v>203</v>
      </c>
      <c r="TIH12" s="314" t="s">
        <v>203</v>
      </c>
      <c r="TII12" s="314" t="s">
        <v>203</v>
      </c>
      <c r="TIJ12" s="314" t="s">
        <v>203</v>
      </c>
      <c r="TIK12" s="314" t="s">
        <v>203</v>
      </c>
      <c r="TIL12" s="314" t="s">
        <v>203</v>
      </c>
      <c r="TIM12" s="314" t="s">
        <v>203</v>
      </c>
      <c r="TIN12" s="314" t="s">
        <v>203</v>
      </c>
      <c r="TIO12" s="314" t="s">
        <v>203</v>
      </c>
      <c r="TIP12" s="314" t="s">
        <v>203</v>
      </c>
      <c r="TIQ12" s="314" t="s">
        <v>203</v>
      </c>
      <c r="TIR12" s="314" t="s">
        <v>203</v>
      </c>
      <c r="TIS12" s="314" t="s">
        <v>203</v>
      </c>
      <c r="TIT12" s="314" t="s">
        <v>203</v>
      </c>
      <c r="TIU12" s="314" t="s">
        <v>203</v>
      </c>
      <c r="TIV12" s="314" t="s">
        <v>203</v>
      </c>
      <c r="TIW12" s="314" t="s">
        <v>203</v>
      </c>
      <c r="TIX12" s="314" t="s">
        <v>203</v>
      </c>
      <c r="TIY12" s="314" t="s">
        <v>203</v>
      </c>
      <c r="TIZ12" s="314" t="s">
        <v>203</v>
      </c>
      <c r="TJA12" s="314" t="s">
        <v>203</v>
      </c>
      <c r="TJB12" s="314" t="s">
        <v>203</v>
      </c>
      <c r="TJC12" s="314" t="s">
        <v>203</v>
      </c>
      <c r="TJD12" s="314" t="s">
        <v>203</v>
      </c>
      <c r="TJE12" s="314" t="s">
        <v>203</v>
      </c>
      <c r="TJF12" s="314" t="s">
        <v>203</v>
      </c>
      <c r="TJG12" s="314" t="s">
        <v>203</v>
      </c>
      <c r="TJH12" s="314" t="s">
        <v>203</v>
      </c>
      <c r="TJI12" s="314" t="s">
        <v>203</v>
      </c>
      <c r="TJJ12" s="314" t="s">
        <v>203</v>
      </c>
      <c r="TJK12" s="314" t="s">
        <v>203</v>
      </c>
      <c r="TJL12" s="314" t="s">
        <v>203</v>
      </c>
      <c r="TJM12" s="314" t="s">
        <v>203</v>
      </c>
      <c r="TJN12" s="314" t="s">
        <v>203</v>
      </c>
      <c r="TJO12" s="314" t="s">
        <v>203</v>
      </c>
      <c r="TJP12" s="314" t="s">
        <v>203</v>
      </c>
      <c r="TJQ12" s="314" t="s">
        <v>203</v>
      </c>
      <c r="TJR12" s="314" t="s">
        <v>203</v>
      </c>
      <c r="TJS12" s="314" t="s">
        <v>203</v>
      </c>
      <c r="TJT12" s="314" t="s">
        <v>203</v>
      </c>
      <c r="TJU12" s="314" t="s">
        <v>203</v>
      </c>
      <c r="TJV12" s="314" t="s">
        <v>203</v>
      </c>
      <c r="TJW12" s="314" t="s">
        <v>203</v>
      </c>
      <c r="TJX12" s="314" t="s">
        <v>203</v>
      </c>
      <c r="TJY12" s="314" t="s">
        <v>203</v>
      </c>
      <c r="TJZ12" s="314" t="s">
        <v>203</v>
      </c>
      <c r="TKA12" s="314" t="s">
        <v>203</v>
      </c>
      <c r="TKB12" s="314" t="s">
        <v>203</v>
      </c>
      <c r="TKC12" s="314" t="s">
        <v>203</v>
      </c>
      <c r="TKD12" s="314" t="s">
        <v>203</v>
      </c>
      <c r="TKE12" s="314" t="s">
        <v>203</v>
      </c>
      <c r="TKF12" s="314" t="s">
        <v>203</v>
      </c>
      <c r="TKG12" s="314" t="s">
        <v>203</v>
      </c>
      <c r="TKH12" s="314" t="s">
        <v>203</v>
      </c>
      <c r="TKI12" s="314" t="s">
        <v>203</v>
      </c>
      <c r="TKJ12" s="314" t="s">
        <v>203</v>
      </c>
      <c r="TKK12" s="314" t="s">
        <v>203</v>
      </c>
      <c r="TKL12" s="314" t="s">
        <v>203</v>
      </c>
      <c r="TKM12" s="314" t="s">
        <v>203</v>
      </c>
      <c r="TKN12" s="314" t="s">
        <v>203</v>
      </c>
      <c r="TKO12" s="314" t="s">
        <v>203</v>
      </c>
      <c r="TKP12" s="314" t="s">
        <v>203</v>
      </c>
      <c r="TKQ12" s="314" t="s">
        <v>203</v>
      </c>
      <c r="TKR12" s="314" t="s">
        <v>203</v>
      </c>
      <c r="TKS12" s="314" t="s">
        <v>203</v>
      </c>
      <c r="TKT12" s="314" t="s">
        <v>203</v>
      </c>
      <c r="TKU12" s="314" t="s">
        <v>203</v>
      </c>
      <c r="TKV12" s="314" t="s">
        <v>203</v>
      </c>
      <c r="TKW12" s="314" t="s">
        <v>203</v>
      </c>
      <c r="TKX12" s="314" t="s">
        <v>203</v>
      </c>
      <c r="TKY12" s="314" t="s">
        <v>203</v>
      </c>
      <c r="TKZ12" s="314" t="s">
        <v>203</v>
      </c>
      <c r="TLA12" s="314" t="s">
        <v>203</v>
      </c>
      <c r="TLB12" s="314" t="s">
        <v>203</v>
      </c>
      <c r="TLC12" s="314" t="s">
        <v>203</v>
      </c>
      <c r="TLD12" s="314" t="s">
        <v>203</v>
      </c>
      <c r="TLE12" s="314" t="s">
        <v>203</v>
      </c>
      <c r="TLF12" s="314" t="s">
        <v>203</v>
      </c>
      <c r="TLG12" s="314" t="s">
        <v>203</v>
      </c>
      <c r="TLH12" s="314" t="s">
        <v>203</v>
      </c>
      <c r="TLI12" s="314" t="s">
        <v>203</v>
      </c>
      <c r="TLJ12" s="314" t="s">
        <v>203</v>
      </c>
      <c r="TLK12" s="314" t="s">
        <v>203</v>
      </c>
      <c r="TLL12" s="314" t="s">
        <v>203</v>
      </c>
      <c r="TLM12" s="314" t="s">
        <v>203</v>
      </c>
      <c r="TLN12" s="314" t="s">
        <v>203</v>
      </c>
      <c r="TLO12" s="314" t="s">
        <v>203</v>
      </c>
      <c r="TLP12" s="314" t="s">
        <v>203</v>
      </c>
      <c r="TLQ12" s="314" t="s">
        <v>203</v>
      </c>
      <c r="TLR12" s="314" t="s">
        <v>203</v>
      </c>
      <c r="TLS12" s="314" t="s">
        <v>203</v>
      </c>
      <c r="TLT12" s="314" t="s">
        <v>203</v>
      </c>
      <c r="TLU12" s="314" t="s">
        <v>203</v>
      </c>
      <c r="TLV12" s="314" t="s">
        <v>203</v>
      </c>
      <c r="TLW12" s="314" t="s">
        <v>203</v>
      </c>
      <c r="TLX12" s="314" t="s">
        <v>203</v>
      </c>
      <c r="TLY12" s="314" t="s">
        <v>203</v>
      </c>
      <c r="TLZ12" s="314" t="s">
        <v>203</v>
      </c>
      <c r="TMA12" s="314" t="s">
        <v>203</v>
      </c>
      <c r="TMB12" s="314" t="s">
        <v>203</v>
      </c>
      <c r="TMC12" s="314" t="s">
        <v>203</v>
      </c>
      <c r="TMD12" s="314" t="s">
        <v>203</v>
      </c>
      <c r="TME12" s="314" t="s">
        <v>203</v>
      </c>
      <c r="TMF12" s="314" t="s">
        <v>203</v>
      </c>
      <c r="TMG12" s="314" t="s">
        <v>203</v>
      </c>
      <c r="TMH12" s="314" t="s">
        <v>203</v>
      </c>
      <c r="TMI12" s="314" t="s">
        <v>203</v>
      </c>
      <c r="TMJ12" s="314" t="s">
        <v>203</v>
      </c>
      <c r="TMK12" s="314" t="s">
        <v>203</v>
      </c>
      <c r="TML12" s="314" t="s">
        <v>203</v>
      </c>
      <c r="TMM12" s="314" t="s">
        <v>203</v>
      </c>
      <c r="TMN12" s="314" t="s">
        <v>203</v>
      </c>
      <c r="TMO12" s="314" t="s">
        <v>203</v>
      </c>
      <c r="TMP12" s="314" t="s">
        <v>203</v>
      </c>
      <c r="TMQ12" s="314" t="s">
        <v>203</v>
      </c>
      <c r="TMR12" s="314" t="s">
        <v>203</v>
      </c>
      <c r="TMS12" s="314" t="s">
        <v>203</v>
      </c>
      <c r="TMT12" s="314" t="s">
        <v>203</v>
      </c>
      <c r="TMU12" s="314" t="s">
        <v>203</v>
      </c>
      <c r="TMV12" s="314" t="s">
        <v>203</v>
      </c>
      <c r="TMW12" s="314" t="s">
        <v>203</v>
      </c>
      <c r="TMX12" s="314" t="s">
        <v>203</v>
      </c>
      <c r="TMY12" s="314" t="s">
        <v>203</v>
      </c>
      <c r="TMZ12" s="314" t="s">
        <v>203</v>
      </c>
      <c r="TNA12" s="314" t="s">
        <v>203</v>
      </c>
      <c r="TNB12" s="314" t="s">
        <v>203</v>
      </c>
      <c r="TNC12" s="314" t="s">
        <v>203</v>
      </c>
      <c r="TND12" s="314" t="s">
        <v>203</v>
      </c>
      <c r="TNE12" s="314" t="s">
        <v>203</v>
      </c>
      <c r="TNF12" s="314" t="s">
        <v>203</v>
      </c>
      <c r="TNG12" s="314" t="s">
        <v>203</v>
      </c>
      <c r="TNH12" s="314" t="s">
        <v>203</v>
      </c>
      <c r="TNI12" s="314" t="s">
        <v>203</v>
      </c>
      <c r="TNJ12" s="314" t="s">
        <v>203</v>
      </c>
      <c r="TNK12" s="314" t="s">
        <v>203</v>
      </c>
      <c r="TNL12" s="314" t="s">
        <v>203</v>
      </c>
      <c r="TNM12" s="314" t="s">
        <v>203</v>
      </c>
      <c r="TNN12" s="314" t="s">
        <v>203</v>
      </c>
      <c r="TNO12" s="314" t="s">
        <v>203</v>
      </c>
      <c r="TNP12" s="314" t="s">
        <v>203</v>
      </c>
      <c r="TNQ12" s="314" t="s">
        <v>203</v>
      </c>
      <c r="TNR12" s="314" t="s">
        <v>203</v>
      </c>
      <c r="TNS12" s="314" t="s">
        <v>203</v>
      </c>
      <c r="TNT12" s="314" t="s">
        <v>203</v>
      </c>
      <c r="TNU12" s="314" t="s">
        <v>203</v>
      </c>
      <c r="TNV12" s="314" t="s">
        <v>203</v>
      </c>
      <c r="TNW12" s="314" t="s">
        <v>203</v>
      </c>
      <c r="TNX12" s="314" t="s">
        <v>203</v>
      </c>
      <c r="TNY12" s="314" t="s">
        <v>203</v>
      </c>
      <c r="TNZ12" s="314" t="s">
        <v>203</v>
      </c>
      <c r="TOA12" s="314" t="s">
        <v>203</v>
      </c>
      <c r="TOB12" s="314" t="s">
        <v>203</v>
      </c>
      <c r="TOC12" s="314" t="s">
        <v>203</v>
      </c>
      <c r="TOD12" s="314" t="s">
        <v>203</v>
      </c>
      <c r="TOE12" s="314" t="s">
        <v>203</v>
      </c>
      <c r="TOF12" s="314" t="s">
        <v>203</v>
      </c>
      <c r="TOG12" s="314" t="s">
        <v>203</v>
      </c>
      <c r="TOH12" s="314" t="s">
        <v>203</v>
      </c>
      <c r="TOI12" s="314" t="s">
        <v>203</v>
      </c>
      <c r="TOJ12" s="314" t="s">
        <v>203</v>
      </c>
      <c r="TOK12" s="314" t="s">
        <v>203</v>
      </c>
      <c r="TOL12" s="314" t="s">
        <v>203</v>
      </c>
      <c r="TOM12" s="314" t="s">
        <v>203</v>
      </c>
      <c r="TON12" s="314" t="s">
        <v>203</v>
      </c>
      <c r="TOO12" s="314" t="s">
        <v>203</v>
      </c>
      <c r="TOP12" s="314" t="s">
        <v>203</v>
      </c>
      <c r="TOQ12" s="314" t="s">
        <v>203</v>
      </c>
      <c r="TOR12" s="314" t="s">
        <v>203</v>
      </c>
      <c r="TOS12" s="314" t="s">
        <v>203</v>
      </c>
      <c r="TOT12" s="314" t="s">
        <v>203</v>
      </c>
      <c r="TOU12" s="314" t="s">
        <v>203</v>
      </c>
      <c r="TOV12" s="314" t="s">
        <v>203</v>
      </c>
      <c r="TOW12" s="314" t="s">
        <v>203</v>
      </c>
      <c r="TOX12" s="314" t="s">
        <v>203</v>
      </c>
      <c r="TOY12" s="314" t="s">
        <v>203</v>
      </c>
      <c r="TOZ12" s="314" t="s">
        <v>203</v>
      </c>
      <c r="TPA12" s="314" t="s">
        <v>203</v>
      </c>
      <c r="TPB12" s="314" t="s">
        <v>203</v>
      </c>
      <c r="TPC12" s="314" t="s">
        <v>203</v>
      </c>
      <c r="TPD12" s="314" t="s">
        <v>203</v>
      </c>
      <c r="TPE12" s="314" t="s">
        <v>203</v>
      </c>
      <c r="TPF12" s="314" t="s">
        <v>203</v>
      </c>
      <c r="TPG12" s="314" t="s">
        <v>203</v>
      </c>
      <c r="TPH12" s="314" t="s">
        <v>203</v>
      </c>
      <c r="TPI12" s="314" t="s">
        <v>203</v>
      </c>
      <c r="TPJ12" s="314" t="s">
        <v>203</v>
      </c>
      <c r="TPK12" s="314" t="s">
        <v>203</v>
      </c>
      <c r="TPL12" s="314" t="s">
        <v>203</v>
      </c>
      <c r="TPM12" s="314" t="s">
        <v>203</v>
      </c>
      <c r="TPN12" s="314" t="s">
        <v>203</v>
      </c>
      <c r="TPO12" s="314" t="s">
        <v>203</v>
      </c>
      <c r="TPP12" s="314" t="s">
        <v>203</v>
      </c>
      <c r="TPQ12" s="314" t="s">
        <v>203</v>
      </c>
      <c r="TPR12" s="314" t="s">
        <v>203</v>
      </c>
      <c r="TPS12" s="314" t="s">
        <v>203</v>
      </c>
      <c r="TPT12" s="314" t="s">
        <v>203</v>
      </c>
      <c r="TPU12" s="314" t="s">
        <v>203</v>
      </c>
      <c r="TPV12" s="314" t="s">
        <v>203</v>
      </c>
      <c r="TPW12" s="314" t="s">
        <v>203</v>
      </c>
      <c r="TPX12" s="314" t="s">
        <v>203</v>
      </c>
      <c r="TPY12" s="314" t="s">
        <v>203</v>
      </c>
      <c r="TPZ12" s="314" t="s">
        <v>203</v>
      </c>
      <c r="TQA12" s="314" t="s">
        <v>203</v>
      </c>
      <c r="TQB12" s="314" t="s">
        <v>203</v>
      </c>
      <c r="TQC12" s="314" t="s">
        <v>203</v>
      </c>
      <c r="TQD12" s="314" t="s">
        <v>203</v>
      </c>
      <c r="TQE12" s="314" t="s">
        <v>203</v>
      </c>
      <c r="TQF12" s="314" t="s">
        <v>203</v>
      </c>
      <c r="TQG12" s="314" t="s">
        <v>203</v>
      </c>
      <c r="TQH12" s="314" t="s">
        <v>203</v>
      </c>
      <c r="TQI12" s="314" t="s">
        <v>203</v>
      </c>
      <c r="TQJ12" s="314" t="s">
        <v>203</v>
      </c>
      <c r="TQK12" s="314" t="s">
        <v>203</v>
      </c>
      <c r="TQL12" s="314" t="s">
        <v>203</v>
      </c>
      <c r="TQM12" s="314" t="s">
        <v>203</v>
      </c>
      <c r="TQN12" s="314" t="s">
        <v>203</v>
      </c>
      <c r="TQO12" s="314" t="s">
        <v>203</v>
      </c>
      <c r="TQP12" s="314" t="s">
        <v>203</v>
      </c>
      <c r="TQQ12" s="314" t="s">
        <v>203</v>
      </c>
      <c r="TQR12" s="314" t="s">
        <v>203</v>
      </c>
      <c r="TQS12" s="314" t="s">
        <v>203</v>
      </c>
      <c r="TQT12" s="314" t="s">
        <v>203</v>
      </c>
      <c r="TQU12" s="314" t="s">
        <v>203</v>
      </c>
      <c r="TQV12" s="314" t="s">
        <v>203</v>
      </c>
      <c r="TQW12" s="314" t="s">
        <v>203</v>
      </c>
      <c r="TQX12" s="314" t="s">
        <v>203</v>
      </c>
      <c r="TQY12" s="314" t="s">
        <v>203</v>
      </c>
      <c r="TQZ12" s="314" t="s">
        <v>203</v>
      </c>
      <c r="TRA12" s="314" t="s">
        <v>203</v>
      </c>
      <c r="TRB12" s="314" t="s">
        <v>203</v>
      </c>
      <c r="TRC12" s="314" t="s">
        <v>203</v>
      </c>
      <c r="TRD12" s="314" t="s">
        <v>203</v>
      </c>
      <c r="TRE12" s="314" t="s">
        <v>203</v>
      </c>
      <c r="TRF12" s="314" t="s">
        <v>203</v>
      </c>
      <c r="TRG12" s="314" t="s">
        <v>203</v>
      </c>
      <c r="TRH12" s="314" t="s">
        <v>203</v>
      </c>
      <c r="TRI12" s="314" t="s">
        <v>203</v>
      </c>
      <c r="TRJ12" s="314" t="s">
        <v>203</v>
      </c>
      <c r="TRK12" s="314" t="s">
        <v>203</v>
      </c>
      <c r="TRL12" s="314" t="s">
        <v>203</v>
      </c>
      <c r="TRM12" s="314" t="s">
        <v>203</v>
      </c>
      <c r="TRN12" s="314" t="s">
        <v>203</v>
      </c>
      <c r="TRO12" s="314" t="s">
        <v>203</v>
      </c>
      <c r="TRP12" s="314" t="s">
        <v>203</v>
      </c>
      <c r="TRQ12" s="314" t="s">
        <v>203</v>
      </c>
      <c r="TRR12" s="314" t="s">
        <v>203</v>
      </c>
      <c r="TRS12" s="314" t="s">
        <v>203</v>
      </c>
      <c r="TRT12" s="314" t="s">
        <v>203</v>
      </c>
      <c r="TRU12" s="314" t="s">
        <v>203</v>
      </c>
      <c r="TRV12" s="314" t="s">
        <v>203</v>
      </c>
      <c r="TRW12" s="314" t="s">
        <v>203</v>
      </c>
      <c r="TRX12" s="314" t="s">
        <v>203</v>
      </c>
      <c r="TRY12" s="314" t="s">
        <v>203</v>
      </c>
      <c r="TRZ12" s="314" t="s">
        <v>203</v>
      </c>
      <c r="TSA12" s="314" t="s">
        <v>203</v>
      </c>
      <c r="TSB12" s="314" t="s">
        <v>203</v>
      </c>
      <c r="TSC12" s="314" t="s">
        <v>203</v>
      </c>
      <c r="TSD12" s="314" t="s">
        <v>203</v>
      </c>
      <c r="TSE12" s="314" t="s">
        <v>203</v>
      </c>
      <c r="TSF12" s="314" t="s">
        <v>203</v>
      </c>
      <c r="TSG12" s="314" t="s">
        <v>203</v>
      </c>
      <c r="TSH12" s="314" t="s">
        <v>203</v>
      </c>
      <c r="TSI12" s="314" t="s">
        <v>203</v>
      </c>
      <c r="TSJ12" s="314" t="s">
        <v>203</v>
      </c>
      <c r="TSK12" s="314" t="s">
        <v>203</v>
      </c>
      <c r="TSL12" s="314" t="s">
        <v>203</v>
      </c>
      <c r="TSM12" s="314" t="s">
        <v>203</v>
      </c>
      <c r="TSN12" s="314" t="s">
        <v>203</v>
      </c>
      <c r="TSO12" s="314" t="s">
        <v>203</v>
      </c>
      <c r="TSP12" s="314" t="s">
        <v>203</v>
      </c>
      <c r="TSQ12" s="314" t="s">
        <v>203</v>
      </c>
      <c r="TSR12" s="314" t="s">
        <v>203</v>
      </c>
      <c r="TSS12" s="314" t="s">
        <v>203</v>
      </c>
      <c r="TST12" s="314" t="s">
        <v>203</v>
      </c>
      <c r="TSU12" s="314" t="s">
        <v>203</v>
      </c>
      <c r="TSV12" s="314" t="s">
        <v>203</v>
      </c>
      <c r="TSW12" s="314" t="s">
        <v>203</v>
      </c>
      <c r="TSX12" s="314" t="s">
        <v>203</v>
      </c>
      <c r="TSY12" s="314" t="s">
        <v>203</v>
      </c>
      <c r="TSZ12" s="314" t="s">
        <v>203</v>
      </c>
      <c r="TTA12" s="314" t="s">
        <v>203</v>
      </c>
      <c r="TTB12" s="314" t="s">
        <v>203</v>
      </c>
      <c r="TTC12" s="314" t="s">
        <v>203</v>
      </c>
      <c r="TTD12" s="314" t="s">
        <v>203</v>
      </c>
      <c r="TTE12" s="314" t="s">
        <v>203</v>
      </c>
      <c r="TTF12" s="314" t="s">
        <v>203</v>
      </c>
      <c r="TTG12" s="314" t="s">
        <v>203</v>
      </c>
      <c r="TTH12" s="314" t="s">
        <v>203</v>
      </c>
      <c r="TTI12" s="314" t="s">
        <v>203</v>
      </c>
      <c r="TTJ12" s="314" t="s">
        <v>203</v>
      </c>
      <c r="TTK12" s="314" t="s">
        <v>203</v>
      </c>
      <c r="TTL12" s="314" t="s">
        <v>203</v>
      </c>
      <c r="TTM12" s="314" t="s">
        <v>203</v>
      </c>
      <c r="TTN12" s="314" t="s">
        <v>203</v>
      </c>
      <c r="TTO12" s="314" t="s">
        <v>203</v>
      </c>
      <c r="TTP12" s="314" t="s">
        <v>203</v>
      </c>
      <c r="TTQ12" s="314" t="s">
        <v>203</v>
      </c>
      <c r="TTR12" s="314" t="s">
        <v>203</v>
      </c>
      <c r="TTS12" s="314" t="s">
        <v>203</v>
      </c>
      <c r="TTT12" s="314" t="s">
        <v>203</v>
      </c>
      <c r="TTU12" s="314" t="s">
        <v>203</v>
      </c>
      <c r="TTV12" s="314" t="s">
        <v>203</v>
      </c>
      <c r="TTW12" s="314" t="s">
        <v>203</v>
      </c>
      <c r="TTX12" s="314" t="s">
        <v>203</v>
      </c>
      <c r="TTY12" s="314" t="s">
        <v>203</v>
      </c>
      <c r="TTZ12" s="314" t="s">
        <v>203</v>
      </c>
      <c r="TUA12" s="314" t="s">
        <v>203</v>
      </c>
      <c r="TUB12" s="314" t="s">
        <v>203</v>
      </c>
      <c r="TUC12" s="314" t="s">
        <v>203</v>
      </c>
      <c r="TUD12" s="314" t="s">
        <v>203</v>
      </c>
      <c r="TUE12" s="314" t="s">
        <v>203</v>
      </c>
      <c r="TUF12" s="314" t="s">
        <v>203</v>
      </c>
      <c r="TUG12" s="314" t="s">
        <v>203</v>
      </c>
      <c r="TUH12" s="314" t="s">
        <v>203</v>
      </c>
      <c r="TUI12" s="314" t="s">
        <v>203</v>
      </c>
      <c r="TUJ12" s="314" t="s">
        <v>203</v>
      </c>
      <c r="TUK12" s="314" t="s">
        <v>203</v>
      </c>
      <c r="TUL12" s="314" t="s">
        <v>203</v>
      </c>
      <c r="TUM12" s="314" t="s">
        <v>203</v>
      </c>
      <c r="TUN12" s="314" t="s">
        <v>203</v>
      </c>
      <c r="TUO12" s="314" t="s">
        <v>203</v>
      </c>
      <c r="TUP12" s="314" t="s">
        <v>203</v>
      </c>
      <c r="TUQ12" s="314" t="s">
        <v>203</v>
      </c>
      <c r="TUR12" s="314" t="s">
        <v>203</v>
      </c>
      <c r="TUS12" s="314" t="s">
        <v>203</v>
      </c>
      <c r="TUT12" s="314" t="s">
        <v>203</v>
      </c>
      <c r="TUU12" s="314" t="s">
        <v>203</v>
      </c>
      <c r="TUV12" s="314" t="s">
        <v>203</v>
      </c>
      <c r="TUW12" s="314" t="s">
        <v>203</v>
      </c>
      <c r="TUX12" s="314" t="s">
        <v>203</v>
      </c>
      <c r="TUY12" s="314" t="s">
        <v>203</v>
      </c>
      <c r="TUZ12" s="314" t="s">
        <v>203</v>
      </c>
      <c r="TVA12" s="314" t="s">
        <v>203</v>
      </c>
      <c r="TVB12" s="314" t="s">
        <v>203</v>
      </c>
      <c r="TVC12" s="314" t="s">
        <v>203</v>
      </c>
      <c r="TVD12" s="314" t="s">
        <v>203</v>
      </c>
      <c r="TVE12" s="314" t="s">
        <v>203</v>
      </c>
      <c r="TVF12" s="314" t="s">
        <v>203</v>
      </c>
      <c r="TVG12" s="314" t="s">
        <v>203</v>
      </c>
      <c r="TVH12" s="314" t="s">
        <v>203</v>
      </c>
      <c r="TVI12" s="314" t="s">
        <v>203</v>
      </c>
      <c r="TVJ12" s="314" t="s">
        <v>203</v>
      </c>
      <c r="TVK12" s="314" t="s">
        <v>203</v>
      </c>
      <c r="TVL12" s="314" t="s">
        <v>203</v>
      </c>
      <c r="TVM12" s="314" t="s">
        <v>203</v>
      </c>
      <c r="TVN12" s="314" t="s">
        <v>203</v>
      </c>
      <c r="TVO12" s="314" t="s">
        <v>203</v>
      </c>
      <c r="TVP12" s="314" t="s">
        <v>203</v>
      </c>
      <c r="TVQ12" s="314" t="s">
        <v>203</v>
      </c>
      <c r="TVR12" s="314" t="s">
        <v>203</v>
      </c>
      <c r="TVS12" s="314" t="s">
        <v>203</v>
      </c>
      <c r="TVT12" s="314" t="s">
        <v>203</v>
      </c>
      <c r="TVU12" s="314" t="s">
        <v>203</v>
      </c>
      <c r="TVV12" s="314" t="s">
        <v>203</v>
      </c>
      <c r="TVW12" s="314" t="s">
        <v>203</v>
      </c>
      <c r="TVX12" s="314" t="s">
        <v>203</v>
      </c>
      <c r="TVY12" s="314" t="s">
        <v>203</v>
      </c>
      <c r="TVZ12" s="314" t="s">
        <v>203</v>
      </c>
      <c r="TWA12" s="314" t="s">
        <v>203</v>
      </c>
      <c r="TWB12" s="314" t="s">
        <v>203</v>
      </c>
      <c r="TWC12" s="314" t="s">
        <v>203</v>
      </c>
      <c r="TWD12" s="314" t="s">
        <v>203</v>
      </c>
      <c r="TWE12" s="314" t="s">
        <v>203</v>
      </c>
      <c r="TWF12" s="314" t="s">
        <v>203</v>
      </c>
      <c r="TWG12" s="314" t="s">
        <v>203</v>
      </c>
      <c r="TWH12" s="314" t="s">
        <v>203</v>
      </c>
      <c r="TWI12" s="314" t="s">
        <v>203</v>
      </c>
      <c r="TWJ12" s="314" t="s">
        <v>203</v>
      </c>
      <c r="TWK12" s="314" t="s">
        <v>203</v>
      </c>
      <c r="TWL12" s="314" t="s">
        <v>203</v>
      </c>
      <c r="TWM12" s="314" t="s">
        <v>203</v>
      </c>
      <c r="TWN12" s="314" t="s">
        <v>203</v>
      </c>
      <c r="TWO12" s="314" t="s">
        <v>203</v>
      </c>
      <c r="TWP12" s="314" t="s">
        <v>203</v>
      </c>
      <c r="TWQ12" s="314" t="s">
        <v>203</v>
      </c>
      <c r="TWR12" s="314" t="s">
        <v>203</v>
      </c>
      <c r="TWS12" s="314" t="s">
        <v>203</v>
      </c>
      <c r="TWT12" s="314" t="s">
        <v>203</v>
      </c>
      <c r="TWU12" s="314" t="s">
        <v>203</v>
      </c>
      <c r="TWV12" s="314" t="s">
        <v>203</v>
      </c>
      <c r="TWW12" s="314" t="s">
        <v>203</v>
      </c>
      <c r="TWX12" s="314" t="s">
        <v>203</v>
      </c>
      <c r="TWY12" s="314" t="s">
        <v>203</v>
      </c>
      <c r="TWZ12" s="314" t="s">
        <v>203</v>
      </c>
      <c r="TXA12" s="314" t="s">
        <v>203</v>
      </c>
      <c r="TXB12" s="314" t="s">
        <v>203</v>
      </c>
      <c r="TXC12" s="314" t="s">
        <v>203</v>
      </c>
      <c r="TXD12" s="314" t="s">
        <v>203</v>
      </c>
      <c r="TXE12" s="314" t="s">
        <v>203</v>
      </c>
      <c r="TXF12" s="314" t="s">
        <v>203</v>
      </c>
      <c r="TXG12" s="314" t="s">
        <v>203</v>
      </c>
      <c r="TXH12" s="314" t="s">
        <v>203</v>
      </c>
      <c r="TXI12" s="314" t="s">
        <v>203</v>
      </c>
      <c r="TXJ12" s="314" t="s">
        <v>203</v>
      </c>
      <c r="TXK12" s="314" t="s">
        <v>203</v>
      </c>
      <c r="TXL12" s="314" t="s">
        <v>203</v>
      </c>
      <c r="TXM12" s="314" t="s">
        <v>203</v>
      </c>
      <c r="TXN12" s="314" t="s">
        <v>203</v>
      </c>
      <c r="TXO12" s="314" t="s">
        <v>203</v>
      </c>
      <c r="TXP12" s="314" t="s">
        <v>203</v>
      </c>
      <c r="TXQ12" s="314" t="s">
        <v>203</v>
      </c>
      <c r="TXR12" s="314" t="s">
        <v>203</v>
      </c>
      <c r="TXS12" s="314" t="s">
        <v>203</v>
      </c>
      <c r="TXT12" s="314" t="s">
        <v>203</v>
      </c>
      <c r="TXU12" s="314" t="s">
        <v>203</v>
      </c>
      <c r="TXV12" s="314" t="s">
        <v>203</v>
      </c>
      <c r="TXW12" s="314" t="s">
        <v>203</v>
      </c>
      <c r="TXX12" s="314" t="s">
        <v>203</v>
      </c>
      <c r="TXY12" s="314" t="s">
        <v>203</v>
      </c>
      <c r="TXZ12" s="314" t="s">
        <v>203</v>
      </c>
      <c r="TYA12" s="314" t="s">
        <v>203</v>
      </c>
      <c r="TYB12" s="314" t="s">
        <v>203</v>
      </c>
      <c r="TYC12" s="314" t="s">
        <v>203</v>
      </c>
      <c r="TYD12" s="314" t="s">
        <v>203</v>
      </c>
      <c r="TYE12" s="314" t="s">
        <v>203</v>
      </c>
      <c r="TYF12" s="314" t="s">
        <v>203</v>
      </c>
      <c r="TYG12" s="314" t="s">
        <v>203</v>
      </c>
      <c r="TYH12" s="314" t="s">
        <v>203</v>
      </c>
      <c r="TYI12" s="314" t="s">
        <v>203</v>
      </c>
      <c r="TYJ12" s="314" t="s">
        <v>203</v>
      </c>
      <c r="TYK12" s="314" t="s">
        <v>203</v>
      </c>
      <c r="TYL12" s="314" t="s">
        <v>203</v>
      </c>
      <c r="TYM12" s="314" t="s">
        <v>203</v>
      </c>
      <c r="TYN12" s="314" t="s">
        <v>203</v>
      </c>
      <c r="TYO12" s="314" t="s">
        <v>203</v>
      </c>
      <c r="TYP12" s="314" t="s">
        <v>203</v>
      </c>
      <c r="TYQ12" s="314" t="s">
        <v>203</v>
      </c>
      <c r="TYR12" s="314" t="s">
        <v>203</v>
      </c>
      <c r="TYS12" s="314" t="s">
        <v>203</v>
      </c>
      <c r="TYT12" s="314" t="s">
        <v>203</v>
      </c>
      <c r="TYU12" s="314" t="s">
        <v>203</v>
      </c>
      <c r="TYV12" s="314" t="s">
        <v>203</v>
      </c>
      <c r="TYW12" s="314" t="s">
        <v>203</v>
      </c>
      <c r="TYX12" s="314" t="s">
        <v>203</v>
      </c>
      <c r="TYY12" s="314" t="s">
        <v>203</v>
      </c>
      <c r="TYZ12" s="314" t="s">
        <v>203</v>
      </c>
      <c r="TZA12" s="314" t="s">
        <v>203</v>
      </c>
      <c r="TZB12" s="314" t="s">
        <v>203</v>
      </c>
      <c r="TZC12" s="314" t="s">
        <v>203</v>
      </c>
      <c r="TZD12" s="314" t="s">
        <v>203</v>
      </c>
      <c r="TZE12" s="314" t="s">
        <v>203</v>
      </c>
      <c r="TZF12" s="314" t="s">
        <v>203</v>
      </c>
      <c r="TZG12" s="314" t="s">
        <v>203</v>
      </c>
      <c r="TZH12" s="314" t="s">
        <v>203</v>
      </c>
      <c r="TZI12" s="314" t="s">
        <v>203</v>
      </c>
      <c r="TZJ12" s="314" t="s">
        <v>203</v>
      </c>
      <c r="TZK12" s="314" t="s">
        <v>203</v>
      </c>
      <c r="TZL12" s="314" t="s">
        <v>203</v>
      </c>
      <c r="TZM12" s="314" t="s">
        <v>203</v>
      </c>
      <c r="TZN12" s="314" t="s">
        <v>203</v>
      </c>
      <c r="TZO12" s="314" t="s">
        <v>203</v>
      </c>
      <c r="TZP12" s="314" t="s">
        <v>203</v>
      </c>
      <c r="TZQ12" s="314" t="s">
        <v>203</v>
      </c>
      <c r="TZR12" s="314" t="s">
        <v>203</v>
      </c>
      <c r="TZS12" s="314" t="s">
        <v>203</v>
      </c>
      <c r="TZT12" s="314" t="s">
        <v>203</v>
      </c>
      <c r="TZU12" s="314" t="s">
        <v>203</v>
      </c>
      <c r="TZV12" s="314" t="s">
        <v>203</v>
      </c>
      <c r="TZW12" s="314" t="s">
        <v>203</v>
      </c>
      <c r="TZX12" s="314" t="s">
        <v>203</v>
      </c>
      <c r="TZY12" s="314" t="s">
        <v>203</v>
      </c>
      <c r="TZZ12" s="314" t="s">
        <v>203</v>
      </c>
      <c r="UAA12" s="314" t="s">
        <v>203</v>
      </c>
      <c r="UAB12" s="314" t="s">
        <v>203</v>
      </c>
      <c r="UAC12" s="314" t="s">
        <v>203</v>
      </c>
      <c r="UAD12" s="314" t="s">
        <v>203</v>
      </c>
      <c r="UAE12" s="314" t="s">
        <v>203</v>
      </c>
      <c r="UAF12" s="314" t="s">
        <v>203</v>
      </c>
      <c r="UAG12" s="314" t="s">
        <v>203</v>
      </c>
      <c r="UAH12" s="314" t="s">
        <v>203</v>
      </c>
      <c r="UAI12" s="314" t="s">
        <v>203</v>
      </c>
      <c r="UAJ12" s="314" t="s">
        <v>203</v>
      </c>
      <c r="UAK12" s="314" t="s">
        <v>203</v>
      </c>
      <c r="UAL12" s="314" t="s">
        <v>203</v>
      </c>
      <c r="UAM12" s="314" t="s">
        <v>203</v>
      </c>
      <c r="UAN12" s="314" t="s">
        <v>203</v>
      </c>
      <c r="UAO12" s="314" t="s">
        <v>203</v>
      </c>
      <c r="UAP12" s="314" t="s">
        <v>203</v>
      </c>
      <c r="UAQ12" s="314" t="s">
        <v>203</v>
      </c>
      <c r="UAR12" s="314" t="s">
        <v>203</v>
      </c>
      <c r="UAS12" s="314" t="s">
        <v>203</v>
      </c>
      <c r="UAT12" s="314" t="s">
        <v>203</v>
      </c>
      <c r="UAU12" s="314" t="s">
        <v>203</v>
      </c>
      <c r="UAV12" s="314" t="s">
        <v>203</v>
      </c>
      <c r="UAW12" s="314" t="s">
        <v>203</v>
      </c>
      <c r="UAX12" s="314" t="s">
        <v>203</v>
      </c>
      <c r="UAY12" s="314" t="s">
        <v>203</v>
      </c>
      <c r="UAZ12" s="314" t="s">
        <v>203</v>
      </c>
      <c r="UBA12" s="314" t="s">
        <v>203</v>
      </c>
      <c r="UBB12" s="314" t="s">
        <v>203</v>
      </c>
      <c r="UBC12" s="314" t="s">
        <v>203</v>
      </c>
      <c r="UBD12" s="314" t="s">
        <v>203</v>
      </c>
      <c r="UBE12" s="314" t="s">
        <v>203</v>
      </c>
      <c r="UBF12" s="314" t="s">
        <v>203</v>
      </c>
      <c r="UBG12" s="314" t="s">
        <v>203</v>
      </c>
      <c r="UBH12" s="314" t="s">
        <v>203</v>
      </c>
      <c r="UBI12" s="314" t="s">
        <v>203</v>
      </c>
      <c r="UBJ12" s="314" t="s">
        <v>203</v>
      </c>
      <c r="UBK12" s="314" t="s">
        <v>203</v>
      </c>
      <c r="UBL12" s="314" t="s">
        <v>203</v>
      </c>
      <c r="UBM12" s="314" t="s">
        <v>203</v>
      </c>
      <c r="UBN12" s="314" t="s">
        <v>203</v>
      </c>
      <c r="UBO12" s="314" t="s">
        <v>203</v>
      </c>
      <c r="UBP12" s="314" t="s">
        <v>203</v>
      </c>
      <c r="UBQ12" s="314" t="s">
        <v>203</v>
      </c>
      <c r="UBR12" s="314" t="s">
        <v>203</v>
      </c>
      <c r="UBS12" s="314" t="s">
        <v>203</v>
      </c>
      <c r="UBT12" s="314" t="s">
        <v>203</v>
      </c>
      <c r="UBU12" s="314" t="s">
        <v>203</v>
      </c>
      <c r="UBV12" s="314" t="s">
        <v>203</v>
      </c>
      <c r="UBW12" s="314" t="s">
        <v>203</v>
      </c>
      <c r="UBX12" s="314" t="s">
        <v>203</v>
      </c>
      <c r="UBY12" s="314" t="s">
        <v>203</v>
      </c>
      <c r="UBZ12" s="314" t="s">
        <v>203</v>
      </c>
      <c r="UCA12" s="314" t="s">
        <v>203</v>
      </c>
      <c r="UCB12" s="314" t="s">
        <v>203</v>
      </c>
      <c r="UCC12" s="314" t="s">
        <v>203</v>
      </c>
      <c r="UCD12" s="314" t="s">
        <v>203</v>
      </c>
      <c r="UCE12" s="314" t="s">
        <v>203</v>
      </c>
      <c r="UCF12" s="314" t="s">
        <v>203</v>
      </c>
      <c r="UCG12" s="314" t="s">
        <v>203</v>
      </c>
      <c r="UCH12" s="314" t="s">
        <v>203</v>
      </c>
      <c r="UCI12" s="314" t="s">
        <v>203</v>
      </c>
      <c r="UCJ12" s="314" t="s">
        <v>203</v>
      </c>
      <c r="UCK12" s="314" t="s">
        <v>203</v>
      </c>
      <c r="UCL12" s="314" t="s">
        <v>203</v>
      </c>
      <c r="UCM12" s="314" t="s">
        <v>203</v>
      </c>
      <c r="UCN12" s="314" t="s">
        <v>203</v>
      </c>
      <c r="UCO12" s="314" t="s">
        <v>203</v>
      </c>
      <c r="UCP12" s="314" t="s">
        <v>203</v>
      </c>
      <c r="UCQ12" s="314" t="s">
        <v>203</v>
      </c>
      <c r="UCR12" s="314" t="s">
        <v>203</v>
      </c>
      <c r="UCS12" s="314" t="s">
        <v>203</v>
      </c>
      <c r="UCT12" s="314" t="s">
        <v>203</v>
      </c>
      <c r="UCU12" s="314" t="s">
        <v>203</v>
      </c>
      <c r="UCV12" s="314" t="s">
        <v>203</v>
      </c>
      <c r="UCW12" s="314" t="s">
        <v>203</v>
      </c>
      <c r="UCX12" s="314" t="s">
        <v>203</v>
      </c>
      <c r="UCY12" s="314" t="s">
        <v>203</v>
      </c>
      <c r="UCZ12" s="314" t="s">
        <v>203</v>
      </c>
      <c r="UDA12" s="314" t="s">
        <v>203</v>
      </c>
      <c r="UDB12" s="314" t="s">
        <v>203</v>
      </c>
      <c r="UDC12" s="314" t="s">
        <v>203</v>
      </c>
      <c r="UDD12" s="314" t="s">
        <v>203</v>
      </c>
      <c r="UDE12" s="314" t="s">
        <v>203</v>
      </c>
      <c r="UDF12" s="314" t="s">
        <v>203</v>
      </c>
      <c r="UDG12" s="314" t="s">
        <v>203</v>
      </c>
      <c r="UDH12" s="314" t="s">
        <v>203</v>
      </c>
      <c r="UDI12" s="314" t="s">
        <v>203</v>
      </c>
      <c r="UDJ12" s="314" t="s">
        <v>203</v>
      </c>
      <c r="UDK12" s="314" t="s">
        <v>203</v>
      </c>
      <c r="UDL12" s="314" t="s">
        <v>203</v>
      </c>
      <c r="UDM12" s="314" t="s">
        <v>203</v>
      </c>
      <c r="UDN12" s="314" t="s">
        <v>203</v>
      </c>
      <c r="UDO12" s="314" t="s">
        <v>203</v>
      </c>
      <c r="UDP12" s="314" t="s">
        <v>203</v>
      </c>
      <c r="UDQ12" s="314" t="s">
        <v>203</v>
      </c>
      <c r="UDR12" s="314" t="s">
        <v>203</v>
      </c>
      <c r="UDS12" s="314" t="s">
        <v>203</v>
      </c>
      <c r="UDT12" s="314" t="s">
        <v>203</v>
      </c>
      <c r="UDU12" s="314" t="s">
        <v>203</v>
      </c>
      <c r="UDV12" s="314" t="s">
        <v>203</v>
      </c>
      <c r="UDW12" s="314" t="s">
        <v>203</v>
      </c>
      <c r="UDX12" s="314" t="s">
        <v>203</v>
      </c>
      <c r="UDY12" s="314" t="s">
        <v>203</v>
      </c>
      <c r="UDZ12" s="314" t="s">
        <v>203</v>
      </c>
      <c r="UEA12" s="314" t="s">
        <v>203</v>
      </c>
      <c r="UEB12" s="314" t="s">
        <v>203</v>
      </c>
      <c r="UEC12" s="314" t="s">
        <v>203</v>
      </c>
      <c r="UED12" s="314" t="s">
        <v>203</v>
      </c>
      <c r="UEE12" s="314" t="s">
        <v>203</v>
      </c>
      <c r="UEF12" s="314" t="s">
        <v>203</v>
      </c>
      <c r="UEG12" s="314" t="s">
        <v>203</v>
      </c>
      <c r="UEH12" s="314" t="s">
        <v>203</v>
      </c>
      <c r="UEI12" s="314" t="s">
        <v>203</v>
      </c>
      <c r="UEJ12" s="314" t="s">
        <v>203</v>
      </c>
      <c r="UEK12" s="314" t="s">
        <v>203</v>
      </c>
      <c r="UEL12" s="314" t="s">
        <v>203</v>
      </c>
      <c r="UEM12" s="314" t="s">
        <v>203</v>
      </c>
      <c r="UEN12" s="314" t="s">
        <v>203</v>
      </c>
      <c r="UEO12" s="314" t="s">
        <v>203</v>
      </c>
      <c r="UEP12" s="314" t="s">
        <v>203</v>
      </c>
      <c r="UEQ12" s="314" t="s">
        <v>203</v>
      </c>
      <c r="UER12" s="314" t="s">
        <v>203</v>
      </c>
      <c r="UES12" s="314" t="s">
        <v>203</v>
      </c>
      <c r="UET12" s="314" t="s">
        <v>203</v>
      </c>
      <c r="UEU12" s="314" t="s">
        <v>203</v>
      </c>
      <c r="UEV12" s="314" t="s">
        <v>203</v>
      </c>
      <c r="UEW12" s="314" t="s">
        <v>203</v>
      </c>
      <c r="UEX12" s="314" t="s">
        <v>203</v>
      </c>
      <c r="UEY12" s="314" t="s">
        <v>203</v>
      </c>
      <c r="UEZ12" s="314" t="s">
        <v>203</v>
      </c>
      <c r="UFA12" s="314" t="s">
        <v>203</v>
      </c>
      <c r="UFB12" s="314" t="s">
        <v>203</v>
      </c>
      <c r="UFC12" s="314" t="s">
        <v>203</v>
      </c>
      <c r="UFD12" s="314" t="s">
        <v>203</v>
      </c>
      <c r="UFE12" s="314" t="s">
        <v>203</v>
      </c>
      <c r="UFF12" s="314" t="s">
        <v>203</v>
      </c>
      <c r="UFG12" s="314" t="s">
        <v>203</v>
      </c>
      <c r="UFH12" s="314" t="s">
        <v>203</v>
      </c>
      <c r="UFI12" s="314" t="s">
        <v>203</v>
      </c>
      <c r="UFJ12" s="314" t="s">
        <v>203</v>
      </c>
      <c r="UFK12" s="314" t="s">
        <v>203</v>
      </c>
      <c r="UFL12" s="314" t="s">
        <v>203</v>
      </c>
      <c r="UFM12" s="314" t="s">
        <v>203</v>
      </c>
      <c r="UFN12" s="314" t="s">
        <v>203</v>
      </c>
      <c r="UFO12" s="314" t="s">
        <v>203</v>
      </c>
      <c r="UFP12" s="314" t="s">
        <v>203</v>
      </c>
      <c r="UFQ12" s="314" t="s">
        <v>203</v>
      </c>
      <c r="UFR12" s="314" t="s">
        <v>203</v>
      </c>
      <c r="UFS12" s="314" t="s">
        <v>203</v>
      </c>
      <c r="UFT12" s="314" t="s">
        <v>203</v>
      </c>
      <c r="UFU12" s="314" t="s">
        <v>203</v>
      </c>
      <c r="UFV12" s="314" t="s">
        <v>203</v>
      </c>
      <c r="UFW12" s="314" t="s">
        <v>203</v>
      </c>
      <c r="UFX12" s="314" t="s">
        <v>203</v>
      </c>
      <c r="UFY12" s="314" t="s">
        <v>203</v>
      </c>
      <c r="UFZ12" s="314" t="s">
        <v>203</v>
      </c>
      <c r="UGA12" s="314" t="s">
        <v>203</v>
      </c>
      <c r="UGB12" s="314" t="s">
        <v>203</v>
      </c>
      <c r="UGC12" s="314" t="s">
        <v>203</v>
      </c>
      <c r="UGD12" s="314" t="s">
        <v>203</v>
      </c>
      <c r="UGE12" s="314" t="s">
        <v>203</v>
      </c>
      <c r="UGF12" s="314" t="s">
        <v>203</v>
      </c>
      <c r="UGG12" s="314" t="s">
        <v>203</v>
      </c>
      <c r="UGH12" s="314" t="s">
        <v>203</v>
      </c>
      <c r="UGI12" s="314" t="s">
        <v>203</v>
      </c>
      <c r="UGJ12" s="314" t="s">
        <v>203</v>
      </c>
      <c r="UGK12" s="314" t="s">
        <v>203</v>
      </c>
      <c r="UGL12" s="314" t="s">
        <v>203</v>
      </c>
      <c r="UGM12" s="314" t="s">
        <v>203</v>
      </c>
      <c r="UGN12" s="314" t="s">
        <v>203</v>
      </c>
      <c r="UGO12" s="314" t="s">
        <v>203</v>
      </c>
      <c r="UGP12" s="314" t="s">
        <v>203</v>
      </c>
      <c r="UGQ12" s="314" t="s">
        <v>203</v>
      </c>
      <c r="UGR12" s="314" t="s">
        <v>203</v>
      </c>
      <c r="UGS12" s="314" t="s">
        <v>203</v>
      </c>
      <c r="UGT12" s="314" t="s">
        <v>203</v>
      </c>
      <c r="UGU12" s="314" t="s">
        <v>203</v>
      </c>
      <c r="UGV12" s="314" t="s">
        <v>203</v>
      </c>
      <c r="UGW12" s="314" t="s">
        <v>203</v>
      </c>
      <c r="UGX12" s="314" t="s">
        <v>203</v>
      </c>
      <c r="UGY12" s="314" t="s">
        <v>203</v>
      </c>
      <c r="UGZ12" s="314" t="s">
        <v>203</v>
      </c>
      <c r="UHA12" s="314" t="s">
        <v>203</v>
      </c>
      <c r="UHB12" s="314" t="s">
        <v>203</v>
      </c>
      <c r="UHC12" s="314" t="s">
        <v>203</v>
      </c>
      <c r="UHD12" s="314" t="s">
        <v>203</v>
      </c>
      <c r="UHE12" s="314" t="s">
        <v>203</v>
      </c>
      <c r="UHF12" s="314" t="s">
        <v>203</v>
      </c>
      <c r="UHG12" s="314" t="s">
        <v>203</v>
      </c>
      <c r="UHH12" s="314" t="s">
        <v>203</v>
      </c>
      <c r="UHI12" s="314" t="s">
        <v>203</v>
      </c>
      <c r="UHJ12" s="314" t="s">
        <v>203</v>
      </c>
      <c r="UHK12" s="314" t="s">
        <v>203</v>
      </c>
      <c r="UHL12" s="314" t="s">
        <v>203</v>
      </c>
      <c r="UHM12" s="314" t="s">
        <v>203</v>
      </c>
      <c r="UHN12" s="314" t="s">
        <v>203</v>
      </c>
      <c r="UHO12" s="314" t="s">
        <v>203</v>
      </c>
      <c r="UHP12" s="314" t="s">
        <v>203</v>
      </c>
      <c r="UHQ12" s="314" t="s">
        <v>203</v>
      </c>
      <c r="UHR12" s="314" t="s">
        <v>203</v>
      </c>
      <c r="UHS12" s="314" t="s">
        <v>203</v>
      </c>
      <c r="UHT12" s="314" t="s">
        <v>203</v>
      </c>
      <c r="UHU12" s="314" t="s">
        <v>203</v>
      </c>
      <c r="UHV12" s="314" t="s">
        <v>203</v>
      </c>
      <c r="UHW12" s="314" t="s">
        <v>203</v>
      </c>
      <c r="UHX12" s="314" t="s">
        <v>203</v>
      </c>
      <c r="UHY12" s="314" t="s">
        <v>203</v>
      </c>
      <c r="UHZ12" s="314" t="s">
        <v>203</v>
      </c>
      <c r="UIA12" s="314" t="s">
        <v>203</v>
      </c>
      <c r="UIB12" s="314" t="s">
        <v>203</v>
      </c>
      <c r="UIC12" s="314" t="s">
        <v>203</v>
      </c>
      <c r="UID12" s="314" t="s">
        <v>203</v>
      </c>
      <c r="UIE12" s="314" t="s">
        <v>203</v>
      </c>
      <c r="UIF12" s="314" t="s">
        <v>203</v>
      </c>
      <c r="UIG12" s="314" t="s">
        <v>203</v>
      </c>
      <c r="UIH12" s="314" t="s">
        <v>203</v>
      </c>
      <c r="UII12" s="314" t="s">
        <v>203</v>
      </c>
      <c r="UIJ12" s="314" t="s">
        <v>203</v>
      </c>
      <c r="UIK12" s="314" t="s">
        <v>203</v>
      </c>
      <c r="UIL12" s="314" t="s">
        <v>203</v>
      </c>
      <c r="UIM12" s="314" t="s">
        <v>203</v>
      </c>
      <c r="UIN12" s="314" t="s">
        <v>203</v>
      </c>
      <c r="UIO12" s="314" t="s">
        <v>203</v>
      </c>
      <c r="UIP12" s="314" t="s">
        <v>203</v>
      </c>
      <c r="UIQ12" s="314" t="s">
        <v>203</v>
      </c>
      <c r="UIR12" s="314" t="s">
        <v>203</v>
      </c>
      <c r="UIS12" s="314" t="s">
        <v>203</v>
      </c>
      <c r="UIT12" s="314" t="s">
        <v>203</v>
      </c>
      <c r="UIU12" s="314" t="s">
        <v>203</v>
      </c>
      <c r="UIV12" s="314" t="s">
        <v>203</v>
      </c>
      <c r="UIW12" s="314" t="s">
        <v>203</v>
      </c>
      <c r="UIX12" s="314" t="s">
        <v>203</v>
      </c>
      <c r="UIY12" s="314" t="s">
        <v>203</v>
      </c>
      <c r="UIZ12" s="314" t="s">
        <v>203</v>
      </c>
      <c r="UJA12" s="314" t="s">
        <v>203</v>
      </c>
      <c r="UJB12" s="314" t="s">
        <v>203</v>
      </c>
      <c r="UJC12" s="314" t="s">
        <v>203</v>
      </c>
      <c r="UJD12" s="314" t="s">
        <v>203</v>
      </c>
      <c r="UJE12" s="314" t="s">
        <v>203</v>
      </c>
      <c r="UJF12" s="314" t="s">
        <v>203</v>
      </c>
      <c r="UJG12" s="314" t="s">
        <v>203</v>
      </c>
      <c r="UJH12" s="314" t="s">
        <v>203</v>
      </c>
      <c r="UJI12" s="314" t="s">
        <v>203</v>
      </c>
      <c r="UJJ12" s="314" t="s">
        <v>203</v>
      </c>
      <c r="UJK12" s="314" t="s">
        <v>203</v>
      </c>
      <c r="UJL12" s="314" t="s">
        <v>203</v>
      </c>
      <c r="UJM12" s="314" t="s">
        <v>203</v>
      </c>
      <c r="UJN12" s="314" t="s">
        <v>203</v>
      </c>
      <c r="UJO12" s="314" t="s">
        <v>203</v>
      </c>
      <c r="UJP12" s="314" t="s">
        <v>203</v>
      </c>
      <c r="UJQ12" s="314" t="s">
        <v>203</v>
      </c>
      <c r="UJR12" s="314" t="s">
        <v>203</v>
      </c>
      <c r="UJS12" s="314" t="s">
        <v>203</v>
      </c>
      <c r="UJT12" s="314" t="s">
        <v>203</v>
      </c>
      <c r="UJU12" s="314" t="s">
        <v>203</v>
      </c>
      <c r="UJV12" s="314" t="s">
        <v>203</v>
      </c>
      <c r="UJW12" s="314" t="s">
        <v>203</v>
      </c>
      <c r="UJX12" s="314" t="s">
        <v>203</v>
      </c>
      <c r="UJY12" s="314" t="s">
        <v>203</v>
      </c>
      <c r="UJZ12" s="314" t="s">
        <v>203</v>
      </c>
      <c r="UKA12" s="314" t="s">
        <v>203</v>
      </c>
      <c r="UKB12" s="314" t="s">
        <v>203</v>
      </c>
      <c r="UKC12" s="314" t="s">
        <v>203</v>
      </c>
      <c r="UKD12" s="314" t="s">
        <v>203</v>
      </c>
      <c r="UKE12" s="314" t="s">
        <v>203</v>
      </c>
      <c r="UKF12" s="314" t="s">
        <v>203</v>
      </c>
      <c r="UKG12" s="314" t="s">
        <v>203</v>
      </c>
      <c r="UKH12" s="314" t="s">
        <v>203</v>
      </c>
      <c r="UKI12" s="314" t="s">
        <v>203</v>
      </c>
      <c r="UKJ12" s="314" t="s">
        <v>203</v>
      </c>
      <c r="UKK12" s="314" t="s">
        <v>203</v>
      </c>
      <c r="UKL12" s="314" t="s">
        <v>203</v>
      </c>
      <c r="UKM12" s="314" t="s">
        <v>203</v>
      </c>
      <c r="UKN12" s="314" t="s">
        <v>203</v>
      </c>
      <c r="UKO12" s="314" t="s">
        <v>203</v>
      </c>
      <c r="UKP12" s="314" t="s">
        <v>203</v>
      </c>
      <c r="UKQ12" s="314" t="s">
        <v>203</v>
      </c>
      <c r="UKR12" s="314" t="s">
        <v>203</v>
      </c>
      <c r="UKS12" s="314" t="s">
        <v>203</v>
      </c>
      <c r="UKT12" s="314" t="s">
        <v>203</v>
      </c>
      <c r="UKU12" s="314" t="s">
        <v>203</v>
      </c>
      <c r="UKV12" s="314" t="s">
        <v>203</v>
      </c>
      <c r="UKW12" s="314" t="s">
        <v>203</v>
      </c>
      <c r="UKX12" s="314" t="s">
        <v>203</v>
      </c>
      <c r="UKY12" s="314" t="s">
        <v>203</v>
      </c>
      <c r="UKZ12" s="314" t="s">
        <v>203</v>
      </c>
      <c r="ULA12" s="314" t="s">
        <v>203</v>
      </c>
      <c r="ULB12" s="314" t="s">
        <v>203</v>
      </c>
      <c r="ULC12" s="314" t="s">
        <v>203</v>
      </c>
      <c r="ULD12" s="314" t="s">
        <v>203</v>
      </c>
      <c r="ULE12" s="314" t="s">
        <v>203</v>
      </c>
      <c r="ULF12" s="314" t="s">
        <v>203</v>
      </c>
      <c r="ULG12" s="314" t="s">
        <v>203</v>
      </c>
      <c r="ULH12" s="314" t="s">
        <v>203</v>
      </c>
      <c r="ULI12" s="314" t="s">
        <v>203</v>
      </c>
      <c r="ULJ12" s="314" t="s">
        <v>203</v>
      </c>
      <c r="ULK12" s="314" t="s">
        <v>203</v>
      </c>
      <c r="ULL12" s="314" t="s">
        <v>203</v>
      </c>
      <c r="ULM12" s="314" t="s">
        <v>203</v>
      </c>
      <c r="ULN12" s="314" t="s">
        <v>203</v>
      </c>
      <c r="ULO12" s="314" t="s">
        <v>203</v>
      </c>
      <c r="ULP12" s="314" t="s">
        <v>203</v>
      </c>
      <c r="ULQ12" s="314" t="s">
        <v>203</v>
      </c>
      <c r="ULR12" s="314" t="s">
        <v>203</v>
      </c>
      <c r="ULS12" s="314" t="s">
        <v>203</v>
      </c>
      <c r="ULT12" s="314" t="s">
        <v>203</v>
      </c>
      <c r="ULU12" s="314" t="s">
        <v>203</v>
      </c>
      <c r="ULV12" s="314" t="s">
        <v>203</v>
      </c>
      <c r="ULW12" s="314" t="s">
        <v>203</v>
      </c>
      <c r="ULX12" s="314" t="s">
        <v>203</v>
      </c>
      <c r="ULY12" s="314" t="s">
        <v>203</v>
      </c>
      <c r="ULZ12" s="314" t="s">
        <v>203</v>
      </c>
      <c r="UMA12" s="314" t="s">
        <v>203</v>
      </c>
      <c r="UMB12" s="314" t="s">
        <v>203</v>
      </c>
      <c r="UMC12" s="314" t="s">
        <v>203</v>
      </c>
      <c r="UMD12" s="314" t="s">
        <v>203</v>
      </c>
      <c r="UME12" s="314" t="s">
        <v>203</v>
      </c>
      <c r="UMF12" s="314" t="s">
        <v>203</v>
      </c>
      <c r="UMG12" s="314" t="s">
        <v>203</v>
      </c>
      <c r="UMH12" s="314" t="s">
        <v>203</v>
      </c>
      <c r="UMI12" s="314" t="s">
        <v>203</v>
      </c>
      <c r="UMJ12" s="314" t="s">
        <v>203</v>
      </c>
      <c r="UMK12" s="314" t="s">
        <v>203</v>
      </c>
      <c r="UML12" s="314" t="s">
        <v>203</v>
      </c>
      <c r="UMM12" s="314" t="s">
        <v>203</v>
      </c>
      <c r="UMN12" s="314" t="s">
        <v>203</v>
      </c>
      <c r="UMO12" s="314" t="s">
        <v>203</v>
      </c>
      <c r="UMP12" s="314" t="s">
        <v>203</v>
      </c>
      <c r="UMQ12" s="314" t="s">
        <v>203</v>
      </c>
      <c r="UMR12" s="314" t="s">
        <v>203</v>
      </c>
      <c r="UMS12" s="314" t="s">
        <v>203</v>
      </c>
      <c r="UMT12" s="314" t="s">
        <v>203</v>
      </c>
      <c r="UMU12" s="314" t="s">
        <v>203</v>
      </c>
      <c r="UMV12" s="314" t="s">
        <v>203</v>
      </c>
      <c r="UMW12" s="314" t="s">
        <v>203</v>
      </c>
      <c r="UMX12" s="314" t="s">
        <v>203</v>
      </c>
      <c r="UMY12" s="314" t="s">
        <v>203</v>
      </c>
      <c r="UMZ12" s="314" t="s">
        <v>203</v>
      </c>
      <c r="UNA12" s="314" t="s">
        <v>203</v>
      </c>
      <c r="UNB12" s="314" t="s">
        <v>203</v>
      </c>
      <c r="UNC12" s="314" t="s">
        <v>203</v>
      </c>
      <c r="UND12" s="314" t="s">
        <v>203</v>
      </c>
      <c r="UNE12" s="314" t="s">
        <v>203</v>
      </c>
      <c r="UNF12" s="314" t="s">
        <v>203</v>
      </c>
      <c r="UNG12" s="314" t="s">
        <v>203</v>
      </c>
      <c r="UNH12" s="314" t="s">
        <v>203</v>
      </c>
      <c r="UNI12" s="314" t="s">
        <v>203</v>
      </c>
      <c r="UNJ12" s="314" t="s">
        <v>203</v>
      </c>
      <c r="UNK12" s="314" t="s">
        <v>203</v>
      </c>
      <c r="UNL12" s="314" t="s">
        <v>203</v>
      </c>
      <c r="UNM12" s="314" t="s">
        <v>203</v>
      </c>
      <c r="UNN12" s="314" t="s">
        <v>203</v>
      </c>
      <c r="UNO12" s="314" t="s">
        <v>203</v>
      </c>
      <c r="UNP12" s="314" t="s">
        <v>203</v>
      </c>
      <c r="UNQ12" s="314" t="s">
        <v>203</v>
      </c>
      <c r="UNR12" s="314" t="s">
        <v>203</v>
      </c>
      <c r="UNS12" s="314" t="s">
        <v>203</v>
      </c>
      <c r="UNT12" s="314" t="s">
        <v>203</v>
      </c>
      <c r="UNU12" s="314" t="s">
        <v>203</v>
      </c>
      <c r="UNV12" s="314" t="s">
        <v>203</v>
      </c>
      <c r="UNW12" s="314" t="s">
        <v>203</v>
      </c>
      <c r="UNX12" s="314" t="s">
        <v>203</v>
      </c>
      <c r="UNY12" s="314" t="s">
        <v>203</v>
      </c>
      <c r="UNZ12" s="314" t="s">
        <v>203</v>
      </c>
      <c r="UOA12" s="314" t="s">
        <v>203</v>
      </c>
      <c r="UOB12" s="314" t="s">
        <v>203</v>
      </c>
      <c r="UOC12" s="314" t="s">
        <v>203</v>
      </c>
      <c r="UOD12" s="314" t="s">
        <v>203</v>
      </c>
      <c r="UOE12" s="314" t="s">
        <v>203</v>
      </c>
      <c r="UOF12" s="314" t="s">
        <v>203</v>
      </c>
      <c r="UOG12" s="314" t="s">
        <v>203</v>
      </c>
      <c r="UOH12" s="314" t="s">
        <v>203</v>
      </c>
      <c r="UOI12" s="314" t="s">
        <v>203</v>
      </c>
      <c r="UOJ12" s="314" t="s">
        <v>203</v>
      </c>
      <c r="UOK12" s="314" t="s">
        <v>203</v>
      </c>
      <c r="UOL12" s="314" t="s">
        <v>203</v>
      </c>
      <c r="UOM12" s="314" t="s">
        <v>203</v>
      </c>
      <c r="UON12" s="314" t="s">
        <v>203</v>
      </c>
      <c r="UOO12" s="314" t="s">
        <v>203</v>
      </c>
      <c r="UOP12" s="314" t="s">
        <v>203</v>
      </c>
      <c r="UOQ12" s="314" t="s">
        <v>203</v>
      </c>
      <c r="UOR12" s="314" t="s">
        <v>203</v>
      </c>
      <c r="UOS12" s="314" t="s">
        <v>203</v>
      </c>
      <c r="UOT12" s="314" t="s">
        <v>203</v>
      </c>
      <c r="UOU12" s="314" t="s">
        <v>203</v>
      </c>
      <c r="UOV12" s="314" t="s">
        <v>203</v>
      </c>
      <c r="UOW12" s="314" t="s">
        <v>203</v>
      </c>
      <c r="UOX12" s="314" t="s">
        <v>203</v>
      </c>
      <c r="UOY12" s="314" t="s">
        <v>203</v>
      </c>
      <c r="UOZ12" s="314" t="s">
        <v>203</v>
      </c>
      <c r="UPA12" s="314" t="s">
        <v>203</v>
      </c>
      <c r="UPB12" s="314" t="s">
        <v>203</v>
      </c>
      <c r="UPC12" s="314" t="s">
        <v>203</v>
      </c>
      <c r="UPD12" s="314" t="s">
        <v>203</v>
      </c>
      <c r="UPE12" s="314" t="s">
        <v>203</v>
      </c>
      <c r="UPF12" s="314" t="s">
        <v>203</v>
      </c>
      <c r="UPG12" s="314" t="s">
        <v>203</v>
      </c>
      <c r="UPH12" s="314" t="s">
        <v>203</v>
      </c>
      <c r="UPI12" s="314" t="s">
        <v>203</v>
      </c>
      <c r="UPJ12" s="314" t="s">
        <v>203</v>
      </c>
      <c r="UPK12" s="314" t="s">
        <v>203</v>
      </c>
      <c r="UPL12" s="314" t="s">
        <v>203</v>
      </c>
      <c r="UPM12" s="314" t="s">
        <v>203</v>
      </c>
      <c r="UPN12" s="314" t="s">
        <v>203</v>
      </c>
      <c r="UPO12" s="314" t="s">
        <v>203</v>
      </c>
      <c r="UPP12" s="314" t="s">
        <v>203</v>
      </c>
      <c r="UPQ12" s="314" t="s">
        <v>203</v>
      </c>
      <c r="UPR12" s="314" t="s">
        <v>203</v>
      </c>
      <c r="UPS12" s="314" t="s">
        <v>203</v>
      </c>
      <c r="UPT12" s="314" t="s">
        <v>203</v>
      </c>
      <c r="UPU12" s="314" t="s">
        <v>203</v>
      </c>
      <c r="UPV12" s="314" t="s">
        <v>203</v>
      </c>
      <c r="UPW12" s="314" t="s">
        <v>203</v>
      </c>
      <c r="UPX12" s="314" t="s">
        <v>203</v>
      </c>
      <c r="UPY12" s="314" t="s">
        <v>203</v>
      </c>
      <c r="UPZ12" s="314" t="s">
        <v>203</v>
      </c>
      <c r="UQA12" s="314" t="s">
        <v>203</v>
      </c>
      <c r="UQB12" s="314" t="s">
        <v>203</v>
      </c>
      <c r="UQC12" s="314" t="s">
        <v>203</v>
      </c>
      <c r="UQD12" s="314" t="s">
        <v>203</v>
      </c>
      <c r="UQE12" s="314" t="s">
        <v>203</v>
      </c>
      <c r="UQF12" s="314" t="s">
        <v>203</v>
      </c>
      <c r="UQG12" s="314" t="s">
        <v>203</v>
      </c>
      <c r="UQH12" s="314" t="s">
        <v>203</v>
      </c>
      <c r="UQI12" s="314" t="s">
        <v>203</v>
      </c>
      <c r="UQJ12" s="314" t="s">
        <v>203</v>
      </c>
      <c r="UQK12" s="314" t="s">
        <v>203</v>
      </c>
      <c r="UQL12" s="314" t="s">
        <v>203</v>
      </c>
      <c r="UQM12" s="314" t="s">
        <v>203</v>
      </c>
      <c r="UQN12" s="314" t="s">
        <v>203</v>
      </c>
      <c r="UQO12" s="314" t="s">
        <v>203</v>
      </c>
      <c r="UQP12" s="314" t="s">
        <v>203</v>
      </c>
      <c r="UQQ12" s="314" t="s">
        <v>203</v>
      </c>
      <c r="UQR12" s="314" t="s">
        <v>203</v>
      </c>
      <c r="UQS12" s="314" t="s">
        <v>203</v>
      </c>
      <c r="UQT12" s="314" t="s">
        <v>203</v>
      </c>
      <c r="UQU12" s="314" t="s">
        <v>203</v>
      </c>
      <c r="UQV12" s="314" t="s">
        <v>203</v>
      </c>
      <c r="UQW12" s="314" t="s">
        <v>203</v>
      </c>
      <c r="UQX12" s="314" t="s">
        <v>203</v>
      </c>
      <c r="UQY12" s="314" t="s">
        <v>203</v>
      </c>
      <c r="UQZ12" s="314" t="s">
        <v>203</v>
      </c>
      <c r="URA12" s="314" t="s">
        <v>203</v>
      </c>
      <c r="URB12" s="314" t="s">
        <v>203</v>
      </c>
      <c r="URC12" s="314" t="s">
        <v>203</v>
      </c>
      <c r="URD12" s="314" t="s">
        <v>203</v>
      </c>
      <c r="URE12" s="314" t="s">
        <v>203</v>
      </c>
      <c r="URF12" s="314" t="s">
        <v>203</v>
      </c>
      <c r="URG12" s="314" t="s">
        <v>203</v>
      </c>
      <c r="URH12" s="314" t="s">
        <v>203</v>
      </c>
      <c r="URI12" s="314" t="s">
        <v>203</v>
      </c>
      <c r="URJ12" s="314" t="s">
        <v>203</v>
      </c>
      <c r="URK12" s="314" t="s">
        <v>203</v>
      </c>
      <c r="URL12" s="314" t="s">
        <v>203</v>
      </c>
      <c r="URM12" s="314" t="s">
        <v>203</v>
      </c>
      <c r="URN12" s="314" t="s">
        <v>203</v>
      </c>
      <c r="URO12" s="314" t="s">
        <v>203</v>
      </c>
      <c r="URP12" s="314" t="s">
        <v>203</v>
      </c>
      <c r="URQ12" s="314" t="s">
        <v>203</v>
      </c>
      <c r="URR12" s="314" t="s">
        <v>203</v>
      </c>
      <c r="URS12" s="314" t="s">
        <v>203</v>
      </c>
      <c r="URT12" s="314" t="s">
        <v>203</v>
      </c>
      <c r="URU12" s="314" t="s">
        <v>203</v>
      </c>
      <c r="URV12" s="314" t="s">
        <v>203</v>
      </c>
      <c r="URW12" s="314" t="s">
        <v>203</v>
      </c>
      <c r="URX12" s="314" t="s">
        <v>203</v>
      </c>
      <c r="URY12" s="314" t="s">
        <v>203</v>
      </c>
      <c r="URZ12" s="314" t="s">
        <v>203</v>
      </c>
      <c r="USA12" s="314" t="s">
        <v>203</v>
      </c>
      <c r="USB12" s="314" t="s">
        <v>203</v>
      </c>
      <c r="USC12" s="314" t="s">
        <v>203</v>
      </c>
      <c r="USD12" s="314" t="s">
        <v>203</v>
      </c>
      <c r="USE12" s="314" t="s">
        <v>203</v>
      </c>
      <c r="USF12" s="314" t="s">
        <v>203</v>
      </c>
      <c r="USG12" s="314" t="s">
        <v>203</v>
      </c>
      <c r="USH12" s="314" t="s">
        <v>203</v>
      </c>
      <c r="USI12" s="314" t="s">
        <v>203</v>
      </c>
      <c r="USJ12" s="314" t="s">
        <v>203</v>
      </c>
      <c r="USK12" s="314" t="s">
        <v>203</v>
      </c>
      <c r="USL12" s="314" t="s">
        <v>203</v>
      </c>
      <c r="USM12" s="314" t="s">
        <v>203</v>
      </c>
      <c r="USN12" s="314" t="s">
        <v>203</v>
      </c>
      <c r="USO12" s="314" t="s">
        <v>203</v>
      </c>
      <c r="USP12" s="314" t="s">
        <v>203</v>
      </c>
      <c r="USQ12" s="314" t="s">
        <v>203</v>
      </c>
      <c r="USR12" s="314" t="s">
        <v>203</v>
      </c>
      <c r="USS12" s="314" t="s">
        <v>203</v>
      </c>
      <c r="UST12" s="314" t="s">
        <v>203</v>
      </c>
      <c r="USU12" s="314" t="s">
        <v>203</v>
      </c>
      <c r="USV12" s="314" t="s">
        <v>203</v>
      </c>
      <c r="USW12" s="314" t="s">
        <v>203</v>
      </c>
      <c r="USX12" s="314" t="s">
        <v>203</v>
      </c>
      <c r="USY12" s="314" t="s">
        <v>203</v>
      </c>
      <c r="USZ12" s="314" t="s">
        <v>203</v>
      </c>
      <c r="UTA12" s="314" t="s">
        <v>203</v>
      </c>
      <c r="UTB12" s="314" t="s">
        <v>203</v>
      </c>
      <c r="UTC12" s="314" t="s">
        <v>203</v>
      </c>
      <c r="UTD12" s="314" t="s">
        <v>203</v>
      </c>
      <c r="UTE12" s="314" t="s">
        <v>203</v>
      </c>
      <c r="UTF12" s="314" t="s">
        <v>203</v>
      </c>
      <c r="UTG12" s="314" t="s">
        <v>203</v>
      </c>
      <c r="UTH12" s="314" t="s">
        <v>203</v>
      </c>
      <c r="UTI12" s="314" t="s">
        <v>203</v>
      </c>
      <c r="UTJ12" s="314" t="s">
        <v>203</v>
      </c>
      <c r="UTK12" s="314" t="s">
        <v>203</v>
      </c>
      <c r="UTL12" s="314" t="s">
        <v>203</v>
      </c>
      <c r="UTM12" s="314" t="s">
        <v>203</v>
      </c>
      <c r="UTN12" s="314" t="s">
        <v>203</v>
      </c>
      <c r="UTO12" s="314" t="s">
        <v>203</v>
      </c>
      <c r="UTP12" s="314" t="s">
        <v>203</v>
      </c>
      <c r="UTQ12" s="314" t="s">
        <v>203</v>
      </c>
      <c r="UTR12" s="314" t="s">
        <v>203</v>
      </c>
      <c r="UTS12" s="314" t="s">
        <v>203</v>
      </c>
      <c r="UTT12" s="314" t="s">
        <v>203</v>
      </c>
      <c r="UTU12" s="314" t="s">
        <v>203</v>
      </c>
      <c r="UTV12" s="314" t="s">
        <v>203</v>
      </c>
      <c r="UTW12" s="314" t="s">
        <v>203</v>
      </c>
      <c r="UTX12" s="314" t="s">
        <v>203</v>
      </c>
      <c r="UTY12" s="314" t="s">
        <v>203</v>
      </c>
      <c r="UTZ12" s="314" t="s">
        <v>203</v>
      </c>
      <c r="UUA12" s="314" t="s">
        <v>203</v>
      </c>
      <c r="UUB12" s="314" t="s">
        <v>203</v>
      </c>
      <c r="UUC12" s="314" t="s">
        <v>203</v>
      </c>
      <c r="UUD12" s="314" t="s">
        <v>203</v>
      </c>
      <c r="UUE12" s="314" t="s">
        <v>203</v>
      </c>
      <c r="UUF12" s="314" t="s">
        <v>203</v>
      </c>
      <c r="UUG12" s="314" t="s">
        <v>203</v>
      </c>
      <c r="UUH12" s="314" t="s">
        <v>203</v>
      </c>
      <c r="UUI12" s="314" t="s">
        <v>203</v>
      </c>
      <c r="UUJ12" s="314" t="s">
        <v>203</v>
      </c>
      <c r="UUK12" s="314" t="s">
        <v>203</v>
      </c>
      <c r="UUL12" s="314" t="s">
        <v>203</v>
      </c>
      <c r="UUM12" s="314" t="s">
        <v>203</v>
      </c>
      <c r="UUN12" s="314" t="s">
        <v>203</v>
      </c>
      <c r="UUO12" s="314" t="s">
        <v>203</v>
      </c>
      <c r="UUP12" s="314" t="s">
        <v>203</v>
      </c>
      <c r="UUQ12" s="314" t="s">
        <v>203</v>
      </c>
      <c r="UUR12" s="314" t="s">
        <v>203</v>
      </c>
      <c r="UUS12" s="314" t="s">
        <v>203</v>
      </c>
      <c r="UUT12" s="314" t="s">
        <v>203</v>
      </c>
      <c r="UUU12" s="314" t="s">
        <v>203</v>
      </c>
      <c r="UUV12" s="314" t="s">
        <v>203</v>
      </c>
      <c r="UUW12" s="314" t="s">
        <v>203</v>
      </c>
      <c r="UUX12" s="314" t="s">
        <v>203</v>
      </c>
      <c r="UUY12" s="314" t="s">
        <v>203</v>
      </c>
      <c r="UUZ12" s="314" t="s">
        <v>203</v>
      </c>
      <c r="UVA12" s="314" t="s">
        <v>203</v>
      </c>
      <c r="UVB12" s="314" t="s">
        <v>203</v>
      </c>
      <c r="UVC12" s="314" t="s">
        <v>203</v>
      </c>
      <c r="UVD12" s="314" t="s">
        <v>203</v>
      </c>
      <c r="UVE12" s="314" t="s">
        <v>203</v>
      </c>
      <c r="UVF12" s="314" t="s">
        <v>203</v>
      </c>
      <c r="UVG12" s="314" t="s">
        <v>203</v>
      </c>
      <c r="UVH12" s="314" t="s">
        <v>203</v>
      </c>
      <c r="UVI12" s="314" t="s">
        <v>203</v>
      </c>
      <c r="UVJ12" s="314" t="s">
        <v>203</v>
      </c>
      <c r="UVK12" s="314" t="s">
        <v>203</v>
      </c>
      <c r="UVL12" s="314" t="s">
        <v>203</v>
      </c>
      <c r="UVM12" s="314" t="s">
        <v>203</v>
      </c>
      <c r="UVN12" s="314" t="s">
        <v>203</v>
      </c>
      <c r="UVO12" s="314" t="s">
        <v>203</v>
      </c>
      <c r="UVP12" s="314" t="s">
        <v>203</v>
      </c>
      <c r="UVQ12" s="314" t="s">
        <v>203</v>
      </c>
      <c r="UVR12" s="314" t="s">
        <v>203</v>
      </c>
      <c r="UVS12" s="314" t="s">
        <v>203</v>
      </c>
      <c r="UVT12" s="314" t="s">
        <v>203</v>
      </c>
      <c r="UVU12" s="314" t="s">
        <v>203</v>
      </c>
      <c r="UVV12" s="314" t="s">
        <v>203</v>
      </c>
      <c r="UVW12" s="314" t="s">
        <v>203</v>
      </c>
      <c r="UVX12" s="314" t="s">
        <v>203</v>
      </c>
      <c r="UVY12" s="314" t="s">
        <v>203</v>
      </c>
      <c r="UVZ12" s="314" t="s">
        <v>203</v>
      </c>
      <c r="UWA12" s="314" t="s">
        <v>203</v>
      </c>
      <c r="UWB12" s="314" t="s">
        <v>203</v>
      </c>
      <c r="UWC12" s="314" t="s">
        <v>203</v>
      </c>
      <c r="UWD12" s="314" t="s">
        <v>203</v>
      </c>
      <c r="UWE12" s="314" t="s">
        <v>203</v>
      </c>
      <c r="UWF12" s="314" t="s">
        <v>203</v>
      </c>
      <c r="UWG12" s="314" t="s">
        <v>203</v>
      </c>
      <c r="UWH12" s="314" t="s">
        <v>203</v>
      </c>
      <c r="UWI12" s="314" t="s">
        <v>203</v>
      </c>
      <c r="UWJ12" s="314" t="s">
        <v>203</v>
      </c>
      <c r="UWK12" s="314" t="s">
        <v>203</v>
      </c>
      <c r="UWL12" s="314" t="s">
        <v>203</v>
      </c>
      <c r="UWM12" s="314" t="s">
        <v>203</v>
      </c>
      <c r="UWN12" s="314" t="s">
        <v>203</v>
      </c>
      <c r="UWO12" s="314" t="s">
        <v>203</v>
      </c>
      <c r="UWP12" s="314" t="s">
        <v>203</v>
      </c>
      <c r="UWQ12" s="314" t="s">
        <v>203</v>
      </c>
      <c r="UWR12" s="314" t="s">
        <v>203</v>
      </c>
      <c r="UWS12" s="314" t="s">
        <v>203</v>
      </c>
      <c r="UWT12" s="314" t="s">
        <v>203</v>
      </c>
      <c r="UWU12" s="314" t="s">
        <v>203</v>
      </c>
      <c r="UWV12" s="314" t="s">
        <v>203</v>
      </c>
      <c r="UWW12" s="314" t="s">
        <v>203</v>
      </c>
      <c r="UWX12" s="314" t="s">
        <v>203</v>
      </c>
      <c r="UWY12" s="314" t="s">
        <v>203</v>
      </c>
      <c r="UWZ12" s="314" t="s">
        <v>203</v>
      </c>
      <c r="UXA12" s="314" t="s">
        <v>203</v>
      </c>
      <c r="UXB12" s="314" t="s">
        <v>203</v>
      </c>
      <c r="UXC12" s="314" t="s">
        <v>203</v>
      </c>
      <c r="UXD12" s="314" t="s">
        <v>203</v>
      </c>
      <c r="UXE12" s="314" t="s">
        <v>203</v>
      </c>
      <c r="UXF12" s="314" t="s">
        <v>203</v>
      </c>
      <c r="UXG12" s="314" t="s">
        <v>203</v>
      </c>
      <c r="UXH12" s="314" t="s">
        <v>203</v>
      </c>
      <c r="UXI12" s="314" t="s">
        <v>203</v>
      </c>
      <c r="UXJ12" s="314" t="s">
        <v>203</v>
      </c>
      <c r="UXK12" s="314" t="s">
        <v>203</v>
      </c>
      <c r="UXL12" s="314" t="s">
        <v>203</v>
      </c>
      <c r="UXM12" s="314" t="s">
        <v>203</v>
      </c>
      <c r="UXN12" s="314" t="s">
        <v>203</v>
      </c>
      <c r="UXO12" s="314" t="s">
        <v>203</v>
      </c>
      <c r="UXP12" s="314" t="s">
        <v>203</v>
      </c>
      <c r="UXQ12" s="314" t="s">
        <v>203</v>
      </c>
      <c r="UXR12" s="314" t="s">
        <v>203</v>
      </c>
      <c r="UXS12" s="314" t="s">
        <v>203</v>
      </c>
      <c r="UXT12" s="314" t="s">
        <v>203</v>
      </c>
      <c r="UXU12" s="314" t="s">
        <v>203</v>
      </c>
      <c r="UXV12" s="314" t="s">
        <v>203</v>
      </c>
      <c r="UXW12" s="314" t="s">
        <v>203</v>
      </c>
      <c r="UXX12" s="314" t="s">
        <v>203</v>
      </c>
      <c r="UXY12" s="314" t="s">
        <v>203</v>
      </c>
      <c r="UXZ12" s="314" t="s">
        <v>203</v>
      </c>
      <c r="UYA12" s="314" t="s">
        <v>203</v>
      </c>
      <c r="UYB12" s="314" t="s">
        <v>203</v>
      </c>
      <c r="UYC12" s="314" t="s">
        <v>203</v>
      </c>
      <c r="UYD12" s="314" t="s">
        <v>203</v>
      </c>
      <c r="UYE12" s="314" t="s">
        <v>203</v>
      </c>
      <c r="UYF12" s="314" t="s">
        <v>203</v>
      </c>
      <c r="UYG12" s="314" t="s">
        <v>203</v>
      </c>
      <c r="UYH12" s="314" t="s">
        <v>203</v>
      </c>
      <c r="UYI12" s="314" t="s">
        <v>203</v>
      </c>
      <c r="UYJ12" s="314" t="s">
        <v>203</v>
      </c>
      <c r="UYK12" s="314" t="s">
        <v>203</v>
      </c>
      <c r="UYL12" s="314" t="s">
        <v>203</v>
      </c>
      <c r="UYM12" s="314" t="s">
        <v>203</v>
      </c>
      <c r="UYN12" s="314" t="s">
        <v>203</v>
      </c>
      <c r="UYO12" s="314" t="s">
        <v>203</v>
      </c>
      <c r="UYP12" s="314" t="s">
        <v>203</v>
      </c>
      <c r="UYQ12" s="314" t="s">
        <v>203</v>
      </c>
      <c r="UYR12" s="314" t="s">
        <v>203</v>
      </c>
      <c r="UYS12" s="314" t="s">
        <v>203</v>
      </c>
      <c r="UYT12" s="314" t="s">
        <v>203</v>
      </c>
      <c r="UYU12" s="314" t="s">
        <v>203</v>
      </c>
      <c r="UYV12" s="314" t="s">
        <v>203</v>
      </c>
      <c r="UYW12" s="314" t="s">
        <v>203</v>
      </c>
      <c r="UYX12" s="314" t="s">
        <v>203</v>
      </c>
      <c r="UYY12" s="314" t="s">
        <v>203</v>
      </c>
      <c r="UYZ12" s="314" t="s">
        <v>203</v>
      </c>
      <c r="UZA12" s="314" t="s">
        <v>203</v>
      </c>
      <c r="UZB12" s="314" t="s">
        <v>203</v>
      </c>
      <c r="UZC12" s="314" t="s">
        <v>203</v>
      </c>
      <c r="UZD12" s="314" t="s">
        <v>203</v>
      </c>
      <c r="UZE12" s="314" t="s">
        <v>203</v>
      </c>
      <c r="UZF12" s="314" t="s">
        <v>203</v>
      </c>
      <c r="UZG12" s="314" t="s">
        <v>203</v>
      </c>
      <c r="UZH12" s="314" t="s">
        <v>203</v>
      </c>
      <c r="UZI12" s="314" t="s">
        <v>203</v>
      </c>
      <c r="UZJ12" s="314" t="s">
        <v>203</v>
      </c>
      <c r="UZK12" s="314" t="s">
        <v>203</v>
      </c>
      <c r="UZL12" s="314" t="s">
        <v>203</v>
      </c>
      <c r="UZM12" s="314" t="s">
        <v>203</v>
      </c>
      <c r="UZN12" s="314" t="s">
        <v>203</v>
      </c>
      <c r="UZO12" s="314" t="s">
        <v>203</v>
      </c>
      <c r="UZP12" s="314" t="s">
        <v>203</v>
      </c>
      <c r="UZQ12" s="314" t="s">
        <v>203</v>
      </c>
      <c r="UZR12" s="314" t="s">
        <v>203</v>
      </c>
      <c r="UZS12" s="314" t="s">
        <v>203</v>
      </c>
      <c r="UZT12" s="314" t="s">
        <v>203</v>
      </c>
      <c r="UZU12" s="314" t="s">
        <v>203</v>
      </c>
      <c r="UZV12" s="314" t="s">
        <v>203</v>
      </c>
      <c r="UZW12" s="314" t="s">
        <v>203</v>
      </c>
      <c r="UZX12" s="314" t="s">
        <v>203</v>
      </c>
      <c r="UZY12" s="314" t="s">
        <v>203</v>
      </c>
      <c r="UZZ12" s="314" t="s">
        <v>203</v>
      </c>
      <c r="VAA12" s="314" t="s">
        <v>203</v>
      </c>
      <c r="VAB12" s="314" t="s">
        <v>203</v>
      </c>
      <c r="VAC12" s="314" t="s">
        <v>203</v>
      </c>
      <c r="VAD12" s="314" t="s">
        <v>203</v>
      </c>
      <c r="VAE12" s="314" t="s">
        <v>203</v>
      </c>
      <c r="VAF12" s="314" t="s">
        <v>203</v>
      </c>
      <c r="VAG12" s="314" t="s">
        <v>203</v>
      </c>
      <c r="VAH12" s="314" t="s">
        <v>203</v>
      </c>
      <c r="VAI12" s="314" t="s">
        <v>203</v>
      </c>
      <c r="VAJ12" s="314" t="s">
        <v>203</v>
      </c>
      <c r="VAK12" s="314" t="s">
        <v>203</v>
      </c>
      <c r="VAL12" s="314" t="s">
        <v>203</v>
      </c>
      <c r="VAM12" s="314" t="s">
        <v>203</v>
      </c>
      <c r="VAN12" s="314" t="s">
        <v>203</v>
      </c>
      <c r="VAO12" s="314" t="s">
        <v>203</v>
      </c>
      <c r="VAP12" s="314" t="s">
        <v>203</v>
      </c>
      <c r="VAQ12" s="314" t="s">
        <v>203</v>
      </c>
      <c r="VAR12" s="314" t="s">
        <v>203</v>
      </c>
      <c r="VAS12" s="314" t="s">
        <v>203</v>
      </c>
      <c r="VAT12" s="314" t="s">
        <v>203</v>
      </c>
      <c r="VAU12" s="314" t="s">
        <v>203</v>
      </c>
      <c r="VAV12" s="314" t="s">
        <v>203</v>
      </c>
      <c r="VAW12" s="314" t="s">
        <v>203</v>
      </c>
      <c r="VAX12" s="314" t="s">
        <v>203</v>
      </c>
      <c r="VAY12" s="314" t="s">
        <v>203</v>
      </c>
      <c r="VAZ12" s="314" t="s">
        <v>203</v>
      </c>
      <c r="VBA12" s="314" t="s">
        <v>203</v>
      </c>
      <c r="VBB12" s="314" t="s">
        <v>203</v>
      </c>
      <c r="VBC12" s="314" t="s">
        <v>203</v>
      </c>
      <c r="VBD12" s="314" t="s">
        <v>203</v>
      </c>
      <c r="VBE12" s="314" t="s">
        <v>203</v>
      </c>
      <c r="VBF12" s="314" t="s">
        <v>203</v>
      </c>
      <c r="VBG12" s="314" t="s">
        <v>203</v>
      </c>
      <c r="VBH12" s="314" t="s">
        <v>203</v>
      </c>
      <c r="VBI12" s="314" t="s">
        <v>203</v>
      </c>
      <c r="VBJ12" s="314" t="s">
        <v>203</v>
      </c>
      <c r="VBK12" s="314" t="s">
        <v>203</v>
      </c>
      <c r="VBL12" s="314" t="s">
        <v>203</v>
      </c>
      <c r="VBM12" s="314" t="s">
        <v>203</v>
      </c>
      <c r="VBN12" s="314" t="s">
        <v>203</v>
      </c>
      <c r="VBO12" s="314" t="s">
        <v>203</v>
      </c>
      <c r="VBP12" s="314" t="s">
        <v>203</v>
      </c>
      <c r="VBQ12" s="314" t="s">
        <v>203</v>
      </c>
      <c r="VBR12" s="314" t="s">
        <v>203</v>
      </c>
      <c r="VBS12" s="314" t="s">
        <v>203</v>
      </c>
      <c r="VBT12" s="314" t="s">
        <v>203</v>
      </c>
      <c r="VBU12" s="314" t="s">
        <v>203</v>
      </c>
      <c r="VBV12" s="314" t="s">
        <v>203</v>
      </c>
      <c r="VBW12" s="314" t="s">
        <v>203</v>
      </c>
      <c r="VBX12" s="314" t="s">
        <v>203</v>
      </c>
      <c r="VBY12" s="314" t="s">
        <v>203</v>
      </c>
      <c r="VBZ12" s="314" t="s">
        <v>203</v>
      </c>
      <c r="VCA12" s="314" t="s">
        <v>203</v>
      </c>
      <c r="VCB12" s="314" t="s">
        <v>203</v>
      </c>
      <c r="VCC12" s="314" t="s">
        <v>203</v>
      </c>
      <c r="VCD12" s="314" t="s">
        <v>203</v>
      </c>
      <c r="VCE12" s="314" t="s">
        <v>203</v>
      </c>
      <c r="VCF12" s="314" t="s">
        <v>203</v>
      </c>
      <c r="VCG12" s="314" t="s">
        <v>203</v>
      </c>
      <c r="VCH12" s="314" t="s">
        <v>203</v>
      </c>
      <c r="VCI12" s="314" t="s">
        <v>203</v>
      </c>
      <c r="VCJ12" s="314" t="s">
        <v>203</v>
      </c>
      <c r="VCK12" s="314" t="s">
        <v>203</v>
      </c>
      <c r="VCL12" s="314" t="s">
        <v>203</v>
      </c>
      <c r="VCM12" s="314" t="s">
        <v>203</v>
      </c>
      <c r="VCN12" s="314" t="s">
        <v>203</v>
      </c>
      <c r="VCO12" s="314" t="s">
        <v>203</v>
      </c>
      <c r="VCP12" s="314" t="s">
        <v>203</v>
      </c>
      <c r="VCQ12" s="314" t="s">
        <v>203</v>
      </c>
      <c r="VCR12" s="314" t="s">
        <v>203</v>
      </c>
      <c r="VCS12" s="314" t="s">
        <v>203</v>
      </c>
      <c r="VCT12" s="314" t="s">
        <v>203</v>
      </c>
      <c r="VCU12" s="314" t="s">
        <v>203</v>
      </c>
      <c r="VCV12" s="314" t="s">
        <v>203</v>
      </c>
      <c r="VCW12" s="314" t="s">
        <v>203</v>
      </c>
      <c r="VCX12" s="314" t="s">
        <v>203</v>
      </c>
      <c r="VCY12" s="314" t="s">
        <v>203</v>
      </c>
      <c r="VCZ12" s="314" t="s">
        <v>203</v>
      </c>
      <c r="VDA12" s="314" t="s">
        <v>203</v>
      </c>
      <c r="VDB12" s="314" t="s">
        <v>203</v>
      </c>
      <c r="VDC12" s="314" t="s">
        <v>203</v>
      </c>
      <c r="VDD12" s="314" t="s">
        <v>203</v>
      </c>
      <c r="VDE12" s="314" t="s">
        <v>203</v>
      </c>
      <c r="VDF12" s="314" t="s">
        <v>203</v>
      </c>
      <c r="VDG12" s="314" t="s">
        <v>203</v>
      </c>
      <c r="VDH12" s="314" t="s">
        <v>203</v>
      </c>
      <c r="VDI12" s="314" t="s">
        <v>203</v>
      </c>
      <c r="VDJ12" s="314" t="s">
        <v>203</v>
      </c>
      <c r="VDK12" s="314" t="s">
        <v>203</v>
      </c>
      <c r="VDL12" s="314" t="s">
        <v>203</v>
      </c>
      <c r="VDM12" s="314" t="s">
        <v>203</v>
      </c>
      <c r="VDN12" s="314" t="s">
        <v>203</v>
      </c>
      <c r="VDO12" s="314" t="s">
        <v>203</v>
      </c>
      <c r="VDP12" s="314" t="s">
        <v>203</v>
      </c>
      <c r="VDQ12" s="314" t="s">
        <v>203</v>
      </c>
      <c r="VDR12" s="314" t="s">
        <v>203</v>
      </c>
      <c r="VDS12" s="314" t="s">
        <v>203</v>
      </c>
      <c r="VDT12" s="314" t="s">
        <v>203</v>
      </c>
      <c r="VDU12" s="314" t="s">
        <v>203</v>
      </c>
      <c r="VDV12" s="314" t="s">
        <v>203</v>
      </c>
      <c r="VDW12" s="314" t="s">
        <v>203</v>
      </c>
      <c r="VDX12" s="314" t="s">
        <v>203</v>
      </c>
      <c r="VDY12" s="314" t="s">
        <v>203</v>
      </c>
      <c r="VDZ12" s="314" t="s">
        <v>203</v>
      </c>
      <c r="VEA12" s="314" t="s">
        <v>203</v>
      </c>
      <c r="VEB12" s="314" t="s">
        <v>203</v>
      </c>
      <c r="VEC12" s="314" t="s">
        <v>203</v>
      </c>
      <c r="VED12" s="314" t="s">
        <v>203</v>
      </c>
      <c r="VEE12" s="314" t="s">
        <v>203</v>
      </c>
      <c r="VEF12" s="314" t="s">
        <v>203</v>
      </c>
      <c r="VEG12" s="314" t="s">
        <v>203</v>
      </c>
      <c r="VEH12" s="314" t="s">
        <v>203</v>
      </c>
      <c r="VEI12" s="314" t="s">
        <v>203</v>
      </c>
      <c r="VEJ12" s="314" t="s">
        <v>203</v>
      </c>
      <c r="VEK12" s="314" t="s">
        <v>203</v>
      </c>
      <c r="VEL12" s="314" t="s">
        <v>203</v>
      </c>
      <c r="VEM12" s="314" t="s">
        <v>203</v>
      </c>
      <c r="VEN12" s="314" t="s">
        <v>203</v>
      </c>
      <c r="VEO12" s="314" t="s">
        <v>203</v>
      </c>
      <c r="VEP12" s="314" t="s">
        <v>203</v>
      </c>
      <c r="VEQ12" s="314" t="s">
        <v>203</v>
      </c>
      <c r="VER12" s="314" t="s">
        <v>203</v>
      </c>
      <c r="VES12" s="314" t="s">
        <v>203</v>
      </c>
      <c r="VET12" s="314" t="s">
        <v>203</v>
      </c>
      <c r="VEU12" s="314" t="s">
        <v>203</v>
      </c>
      <c r="VEV12" s="314" t="s">
        <v>203</v>
      </c>
      <c r="VEW12" s="314" t="s">
        <v>203</v>
      </c>
      <c r="VEX12" s="314" t="s">
        <v>203</v>
      </c>
      <c r="VEY12" s="314" t="s">
        <v>203</v>
      </c>
      <c r="VEZ12" s="314" t="s">
        <v>203</v>
      </c>
      <c r="VFA12" s="314" t="s">
        <v>203</v>
      </c>
      <c r="VFB12" s="314" t="s">
        <v>203</v>
      </c>
      <c r="VFC12" s="314" t="s">
        <v>203</v>
      </c>
      <c r="VFD12" s="314" t="s">
        <v>203</v>
      </c>
      <c r="VFE12" s="314" t="s">
        <v>203</v>
      </c>
      <c r="VFF12" s="314" t="s">
        <v>203</v>
      </c>
      <c r="VFG12" s="314" t="s">
        <v>203</v>
      </c>
      <c r="VFH12" s="314" t="s">
        <v>203</v>
      </c>
      <c r="VFI12" s="314" t="s">
        <v>203</v>
      </c>
      <c r="VFJ12" s="314" t="s">
        <v>203</v>
      </c>
      <c r="VFK12" s="314" t="s">
        <v>203</v>
      </c>
      <c r="VFL12" s="314" t="s">
        <v>203</v>
      </c>
      <c r="VFM12" s="314" t="s">
        <v>203</v>
      </c>
      <c r="VFN12" s="314" t="s">
        <v>203</v>
      </c>
      <c r="VFO12" s="314" t="s">
        <v>203</v>
      </c>
      <c r="VFP12" s="314" t="s">
        <v>203</v>
      </c>
      <c r="VFQ12" s="314" t="s">
        <v>203</v>
      </c>
      <c r="VFR12" s="314" t="s">
        <v>203</v>
      </c>
      <c r="VFS12" s="314" t="s">
        <v>203</v>
      </c>
      <c r="VFT12" s="314" t="s">
        <v>203</v>
      </c>
      <c r="VFU12" s="314" t="s">
        <v>203</v>
      </c>
      <c r="VFV12" s="314" t="s">
        <v>203</v>
      </c>
      <c r="VFW12" s="314" t="s">
        <v>203</v>
      </c>
      <c r="VFX12" s="314" t="s">
        <v>203</v>
      </c>
      <c r="VFY12" s="314" t="s">
        <v>203</v>
      </c>
      <c r="VFZ12" s="314" t="s">
        <v>203</v>
      </c>
      <c r="VGA12" s="314" t="s">
        <v>203</v>
      </c>
      <c r="VGB12" s="314" t="s">
        <v>203</v>
      </c>
      <c r="VGC12" s="314" t="s">
        <v>203</v>
      </c>
      <c r="VGD12" s="314" t="s">
        <v>203</v>
      </c>
      <c r="VGE12" s="314" t="s">
        <v>203</v>
      </c>
      <c r="VGF12" s="314" t="s">
        <v>203</v>
      </c>
      <c r="VGG12" s="314" t="s">
        <v>203</v>
      </c>
      <c r="VGH12" s="314" t="s">
        <v>203</v>
      </c>
      <c r="VGI12" s="314" t="s">
        <v>203</v>
      </c>
      <c r="VGJ12" s="314" t="s">
        <v>203</v>
      </c>
      <c r="VGK12" s="314" t="s">
        <v>203</v>
      </c>
      <c r="VGL12" s="314" t="s">
        <v>203</v>
      </c>
      <c r="VGM12" s="314" t="s">
        <v>203</v>
      </c>
      <c r="VGN12" s="314" t="s">
        <v>203</v>
      </c>
      <c r="VGO12" s="314" t="s">
        <v>203</v>
      </c>
      <c r="VGP12" s="314" t="s">
        <v>203</v>
      </c>
      <c r="VGQ12" s="314" t="s">
        <v>203</v>
      </c>
      <c r="VGR12" s="314" t="s">
        <v>203</v>
      </c>
      <c r="VGS12" s="314" t="s">
        <v>203</v>
      </c>
      <c r="VGT12" s="314" t="s">
        <v>203</v>
      </c>
      <c r="VGU12" s="314" t="s">
        <v>203</v>
      </c>
      <c r="VGV12" s="314" t="s">
        <v>203</v>
      </c>
      <c r="VGW12" s="314" t="s">
        <v>203</v>
      </c>
      <c r="VGX12" s="314" t="s">
        <v>203</v>
      </c>
      <c r="VGY12" s="314" t="s">
        <v>203</v>
      </c>
      <c r="VGZ12" s="314" t="s">
        <v>203</v>
      </c>
      <c r="VHA12" s="314" t="s">
        <v>203</v>
      </c>
      <c r="VHB12" s="314" t="s">
        <v>203</v>
      </c>
      <c r="VHC12" s="314" t="s">
        <v>203</v>
      </c>
      <c r="VHD12" s="314" t="s">
        <v>203</v>
      </c>
      <c r="VHE12" s="314" t="s">
        <v>203</v>
      </c>
      <c r="VHF12" s="314" t="s">
        <v>203</v>
      </c>
      <c r="VHG12" s="314" t="s">
        <v>203</v>
      </c>
      <c r="VHH12" s="314" t="s">
        <v>203</v>
      </c>
      <c r="VHI12" s="314" t="s">
        <v>203</v>
      </c>
      <c r="VHJ12" s="314" t="s">
        <v>203</v>
      </c>
      <c r="VHK12" s="314" t="s">
        <v>203</v>
      </c>
      <c r="VHL12" s="314" t="s">
        <v>203</v>
      </c>
      <c r="VHM12" s="314" t="s">
        <v>203</v>
      </c>
      <c r="VHN12" s="314" t="s">
        <v>203</v>
      </c>
      <c r="VHO12" s="314" t="s">
        <v>203</v>
      </c>
      <c r="VHP12" s="314" t="s">
        <v>203</v>
      </c>
      <c r="VHQ12" s="314" t="s">
        <v>203</v>
      </c>
      <c r="VHR12" s="314" t="s">
        <v>203</v>
      </c>
      <c r="VHS12" s="314" t="s">
        <v>203</v>
      </c>
      <c r="VHT12" s="314" t="s">
        <v>203</v>
      </c>
      <c r="VHU12" s="314" t="s">
        <v>203</v>
      </c>
      <c r="VHV12" s="314" t="s">
        <v>203</v>
      </c>
      <c r="VHW12" s="314" t="s">
        <v>203</v>
      </c>
      <c r="VHX12" s="314" t="s">
        <v>203</v>
      </c>
      <c r="VHY12" s="314" t="s">
        <v>203</v>
      </c>
      <c r="VHZ12" s="314" t="s">
        <v>203</v>
      </c>
      <c r="VIA12" s="314" t="s">
        <v>203</v>
      </c>
      <c r="VIB12" s="314" t="s">
        <v>203</v>
      </c>
      <c r="VIC12" s="314" t="s">
        <v>203</v>
      </c>
      <c r="VID12" s="314" t="s">
        <v>203</v>
      </c>
      <c r="VIE12" s="314" t="s">
        <v>203</v>
      </c>
      <c r="VIF12" s="314" t="s">
        <v>203</v>
      </c>
      <c r="VIG12" s="314" t="s">
        <v>203</v>
      </c>
      <c r="VIH12" s="314" t="s">
        <v>203</v>
      </c>
      <c r="VII12" s="314" t="s">
        <v>203</v>
      </c>
      <c r="VIJ12" s="314" t="s">
        <v>203</v>
      </c>
      <c r="VIK12" s="314" t="s">
        <v>203</v>
      </c>
      <c r="VIL12" s="314" t="s">
        <v>203</v>
      </c>
      <c r="VIM12" s="314" t="s">
        <v>203</v>
      </c>
      <c r="VIN12" s="314" t="s">
        <v>203</v>
      </c>
      <c r="VIO12" s="314" t="s">
        <v>203</v>
      </c>
      <c r="VIP12" s="314" t="s">
        <v>203</v>
      </c>
      <c r="VIQ12" s="314" t="s">
        <v>203</v>
      </c>
      <c r="VIR12" s="314" t="s">
        <v>203</v>
      </c>
      <c r="VIS12" s="314" t="s">
        <v>203</v>
      </c>
      <c r="VIT12" s="314" t="s">
        <v>203</v>
      </c>
      <c r="VIU12" s="314" t="s">
        <v>203</v>
      </c>
      <c r="VIV12" s="314" t="s">
        <v>203</v>
      </c>
      <c r="VIW12" s="314" t="s">
        <v>203</v>
      </c>
      <c r="VIX12" s="314" t="s">
        <v>203</v>
      </c>
      <c r="VIY12" s="314" t="s">
        <v>203</v>
      </c>
      <c r="VIZ12" s="314" t="s">
        <v>203</v>
      </c>
      <c r="VJA12" s="314" t="s">
        <v>203</v>
      </c>
      <c r="VJB12" s="314" t="s">
        <v>203</v>
      </c>
      <c r="VJC12" s="314" t="s">
        <v>203</v>
      </c>
      <c r="VJD12" s="314" t="s">
        <v>203</v>
      </c>
      <c r="VJE12" s="314" t="s">
        <v>203</v>
      </c>
      <c r="VJF12" s="314" t="s">
        <v>203</v>
      </c>
      <c r="VJG12" s="314" t="s">
        <v>203</v>
      </c>
      <c r="VJH12" s="314" t="s">
        <v>203</v>
      </c>
      <c r="VJI12" s="314" t="s">
        <v>203</v>
      </c>
      <c r="VJJ12" s="314" t="s">
        <v>203</v>
      </c>
      <c r="VJK12" s="314" t="s">
        <v>203</v>
      </c>
      <c r="VJL12" s="314" t="s">
        <v>203</v>
      </c>
      <c r="VJM12" s="314" t="s">
        <v>203</v>
      </c>
      <c r="VJN12" s="314" t="s">
        <v>203</v>
      </c>
      <c r="VJO12" s="314" t="s">
        <v>203</v>
      </c>
      <c r="VJP12" s="314" t="s">
        <v>203</v>
      </c>
      <c r="VJQ12" s="314" t="s">
        <v>203</v>
      </c>
      <c r="VJR12" s="314" t="s">
        <v>203</v>
      </c>
      <c r="VJS12" s="314" t="s">
        <v>203</v>
      </c>
      <c r="VJT12" s="314" t="s">
        <v>203</v>
      </c>
      <c r="VJU12" s="314" t="s">
        <v>203</v>
      </c>
      <c r="VJV12" s="314" t="s">
        <v>203</v>
      </c>
      <c r="VJW12" s="314" t="s">
        <v>203</v>
      </c>
      <c r="VJX12" s="314" t="s">
        <v>203</v>
      </c>
      <c r="VJY12" s="314" t="s">
        <v>203</v>
      </c>
      <c r="VJZ12" s="314" t="s">
        <v>203</v>
      </c>
      <c r="VKA12" s="314" t="s">
        <v>203</v>
      </c>
      <c r="VKB12" s="314" t="s">
        <v>203</v>
      </c>
      <c r="VKC12" s="314" t="s">
        <v>203</v>
      </c>
      <c r="VKD12" s="314" t="s">
        <v>203</v>
      </c>
      <c r="VKE12" s="314" t="s">
        <v>203</v>
      </c>
      <c r="VKF12" s="314" t="s">
        <v>203</v>
      </c>
      <c r="VKG12" s="314" t="s">
        <v>203</v>
      </c>
      <c r="VKH12" s="314" t="s">
        <v>203</v>
      </c>
      <c r="VKI12" s="314" t="s">
        <v>203</v>
      </c>
      <c r="VKJ12" s="314" t="s">
        <v>203</v>
      </c>
      <c r="VKK12" s="314" t="s">
        <v>203</v>
      </c>
      <c r="VKL12" s="314" t="s">
        <v>203</v>
      </c>
      <c r="VKM12" s="314" t="s">
        <v>203</v>
      </c>
      <c r="VKN12" s="314" t="s">
        <v>203</v>
      </c>
      <c r="VKO12" s="314" t="s">
        <v>203</v>
      </c>
      <c r="VKP12" s="314" t="s">
        <v>203</v>
      </c>
      <c r="VKQ12" s="314" t="s">
        <v>203</v>
      </c>
      <c r="VKR12" s="314" t="s">
        <v>203</v>
      </c>
      <c r="VKS12" s="314" t="s">
        <v>203</v>
      </c>
      <c r="VKT12" s="314" t="s">
        <v>203</v>
      </c>
      <c r="VKU12" s="314" t="s">
        <v>203</v>
      </c>
      <c r="VKV12" s="314" t="s">
        <v>203</v>
      </c>
      <c r="VKW12" s="314" t="s">
        <v>203</v>
      </c>
      <c r="VKX12" s="314" t="s">
        <v>203</v>
      </c>
      <c r="VKY12" s="314" t="s">
        <v>203</v>
      </c>
      <c r="VKZ12" s="314" t="s">
        <v>203</v>
      </c>
      <c r="VLA12" s="314" t="s">
        <v>203</v>
      </c>
      <c r="VLB12" s="314" t="s">
        <v>203</v>
      </c>
      <c r="VLC12" s="314" t="s">
        <v>203</v>
      </c>
      <c r="VLD12" s="314" t="s">
        <v>203</v>
      </c>
      <c r="VLE12" s="314" t="s">
        <v>203</v>
      </c>
      <c r="VLF12" s="314" t="s">
        <v>203</v>
      </c>
      <c r="VLG12" s="314" t="s">
        <v>203</v>
      </c>
      <c r="VLH12" s="314" t="s">
        <v>203</v>
      </c>
      <c r="VLI12" s="314" t="s">
        <v>203</v>
      </c>
      <c r="VLJ12" s="314" t="s">
        <v>203</v>
      </c>
      <c r="VLK12" s="314" t="s">
        <v>203</v>
      </c>
      <c r="VLL12" s="314" t="s">
        <v>203</v>
      </c>
      <c r="VLM12" s="314" t="s">
        <v>203</v>
      </c>
      <c r="VLN12" s="314" t="s">
        <v>203</v>
      </c>
      <c r="VLO12" s="314" t="s">
        <v>203</v>
      </c>
      <c r="VLP12" s="314" t="s">
        <v>203</v>
      </c>
      <c r="VLQ12" s="314" t="s">
        <v>203</v>
      </c>
      <c r="VLR12" s="314" t="s">
        <v>203</v>
      </c>
      <c r="VLS12" s="314" t="s">
        <v>203</v>
      </c>
      <c r="VLT12" s="314" t="s">
        <v>203</v>
      </c>
      <c r="VLU12" s="314" t="s">
        <v>203</v>
      </c>
      <c r="VLV12" s="314" t="s">
        <v>203</v>
      </c>
      <c r="VLW12" s="314" t="s">
        <v>203</v>
      </c>
      <c r="VLX12" s="314" t="s">
        <v>203</v>
      </c>
      <c r="VLY12" s="314" t="s">
        <v>203</v>
      </c>
      <c r="VLZ12" s="314" t="s">
        <v>203</v>
      </c>
      <c r="VMA12" s="314" t="s">
        <v>203</v>
      </c>
      <c r="VMB12" s="314" t="s">
        <v>203</v>
      </c>
      <c r="VMC12" s="314" t="s">
        <v>203</v>
      </c>
      <c r="VMD12" s="314" t="s">
        <v>203</v>
      </c>
      <c r="VME12" s="314" t="s">
        <v>203</v>
      </c>
      <c r="VMF12" s="314" t="s">
        <v>203</v>
      </c>
      <c r="VMG12" s="314" t="s">
        <v>203</v>
      </c>
      <c r="VMH12" s="314" t="s">
        <v>203</v>
      </c>
      <c r="VMI12" s="314" t="s">
        <v>203</v>
      </c>
      <c r="VMJ12" s="314" t="s">
        <v>203</v>
      </c>
      <c r="VMK12" s="314" t="s">
        <v>203</v>
      </c>
      <c r="VML12" s="314" t="s">
        <v>203</v>
      </c>
      <c r="VMM12" s="314" t="s">
        <v>203</v>
      </c>
      <c r="VMN12" s="314" t="s">
        <v>203</v>
      </c>
      <c r="VMO12" s="314" t="s">
        <v>203</v>
      </c>
      <c r="VMP12" s="314" t="s">
        <v>203</v>
      </c>
      <c r="VMQ12" s="314" t="s">
        <v>203</v>
      </c>
      <c r="VMR12" s="314" t="s">
        <v>203</v>
      </c>
      <c r="VMS12" s="314" t="s">
        <v>203</v>
      </c>
      <c r="VMT12" s="314" t="s">
        <v>203</v>
      </c>
      <c r="VMU12" s="314" t="s">
        <v>203</v>
      </c>
      <c r="VMV12" s="314" t="s">
        <v>203</v>
      </c>
      <c r="VMW12" s="314" t="s">
        <v>203</v>
      </c>
      <c r="VMX12" s="314" t="s">
        <v>203</v>
      </c>
      <c r="VMY12" s="314" t="s">
        <v>203</v>
      </c>
      <c r="VMZ12" s="314" t="s">
        <v>203</v>
      </c>
      <c r="VNA12" s="314" t="s">
        <v>203</v>
      </c>
      <c r="VNB12" s="314" t="s">
        <v>203</v>
      </c>
      <c r="VNC12" s="314" t="s">
        <v>203</v>
      </c>
      <c r="VND12" s="314" t="s">
        <v>203</v>
      </c>
      <c r="VNE12" s="314" t="s">
        <v>203</v>
      </c>
      <c r="VNF12" s="314" t="s">
        <v>203</v>
      </c>
      <c r="VNG12" s="314" t="s">
        <v>203</v>
      </c>
      <c r="VNH12" s="314" t="s">
        <v>203</v>
      </c>
      <c r="VNI12" s="314" t="s">
        <v>203</v>
      </c>
      <c r="VNJ12" s="314" t="s">
        <v>203</v>
      </c>
      <c r="VNK12" s="314" t="s">
        <v>203</v>
      </c>
      <c r="VNL12" s="314" t="s">
        <v>203</v>
      </c>
      <c r="VNM12" s="314" t="s">
        <v>203</v>
      </c>
      <c r="VNN12" s="314" t="s">
        <v>203</v>
      </c>
      <c r="VNO12" s="314" t="s">
        <v>203</v>
      </c>
      <c r="VNP12" s="314" t="s">
        <v>203</v>
      </c>
      <c r="VNQ12" s="314" t="s">
        <v>203</v>
      </c>
      <c r="VNR12" s="314" t="s">
        <v>203</v>
      </c>
      <c r="VNS12" s="314" t="s">
        <v>203</v>
      </c>
      <c r="VNT12" s="314" t="s">
        <v>203</v>
      </c>
      <c r="VNU12" s="314" t="s">
        <v>203</v>
      </c>
      <c r="VNV12" s="314" t="s">
        <v>203</v>
      </c>
      <c r="VNW12" s="314" t="s">
        <v>203</v>
      </c>
      <c r="VNX12" s="314" t="s">
        <v>203</v>
      </c>
      <c r="VNY12" s="314" t="s">
        <v>203</v>
      </c>
      <c r="VNZ12" s="314" t="s">
        <v>203</v>
      </c>
      <c r="VOA12" s="314" t="s">
        <v>203</v>
      </c>
      <c r="VOB12" s="314" t="s">
        <v>203</v>
      </c>
      <c r="VOC12" s="314" t="s">
        <v>203</v>
      </c>
      <c r="VOD12" s="314" t="s">
        <v>203</v>
      </c>
      <c r="VOE12" s="314" t="s">
        <v>203</v>
      </c>
      <c r="VOF12" s="314" t="s">
        <v>203</v>
      </c>
      <c r="VOG12" s="314" t="s">
        <v>203</v>
      </c>
      <c r="VOH12" s="314" t="s">
        <v>203</v>
      </c>
      <c r="VOI12" s="314" t="s">
        <v>203</v>
      </c>
      <c r="VOJ12" s="314" t="s">
        <v>203</v>
      </c>
      <c r="VOK12" s="314" t="s">
        <v>203</v>
      </c>
      <c r="VOL12" s="314" t="s">
        <v>203</v>
      </c>
      <c r="VOM12" s="314" t="s">
        <v>203</v>
      </c>
      <c r="VON12" s="314" t="s">
        <v>203</v>
      </c>
      <c r="VOO12" s="314" t="s">
        <v>203</v>
      </c>
      <c r="VOP12" s="314" t="s">
        <v>203</v>
      </c>
      <c r="VOQ12" s="314" t="s">
        <v>203</v>
      </c>
      <c r="VOR12" s="314" t="s">
        <v>203</v>
      </c>
      <c r="VOS12" s="314" t="s">
        <v>203</v>
      </c>
      <c r="VOT12" s="314" t="s">
        <v>203</v>
      </c>
      <c r="VOU12" s="314" t="s">
        <v>203</v>
      </c>
      <c r="VOV12" s="314" t="s">
        <v>203</v>
      </c>
      <c r="VOW12" s="314" t="s">
        <v>203</v>
      </c>
      <c r="VOX12" s="314" t="s">
        <v>203</v>
      </c>
      <c r="VOY12" s="314" t="s">
        <v>203</v>
      </c>
      <c r="VOZ12" s="314" t="s">
        <v>203</v>
      </c>
      <c r="VPA12" s="314" t="s">
        <v>203</v>
      </c>
      <c r="VPB12" s="314" t="s">
        <v>203</v>
      </c>
      <c r="VPC12" s="314" t="s">
        <v>203</v>
      </c>
      <c r="VPD12" s="314" t="s">
        <v>203</v>
      </c>
      <c r="VPE12" s="314" t="s">
        <v>203</v>
      </c>
      <c r="VPF12" s="314" t="s">
        <v>203</v>
      </c>
      <c r="VPG12" s="314" t="s">
        <v>203</v>
      </c>
      <c r="VPH12" s="314" t="s">
        <v>203</v>
      </c>
      <c r="VPI12" s="314" t="s">
        <v>203</v>
      </c>
      <c r="VPJ12" s="314" t="s">
        <v>203</v>
      </c>
      <c r="VPK12" s="314" t="s">
        <v>203</v>
      </c>
      <c r="VPL12" s="314" t="s">
        <v>203</v>
      </c>
      <c r="VPM12" s="314" t="s">
        <v>203</v>
      </c>
      <c r="VPN12" s="314" t="s">
        <v>203</v>
      </c>
      <c r="VPO12" s="314" t="s">
        <v>203</v>
      </c>
      <c r="VPP12" s="314" t="s">
        <v>203</v>
      </c>
      <c r="VPQ12" s="314" t="s">
        <v>203</v>
      </c>
      <c r="VPR12" s="314" t="s">
        <v>203</v>
      </c>
      <c r="VPS12" s="314" t="s">
        <v>203</v>
      </c>
      <c r="VPT12" s="314" t="s">
        <v>203</v>
      </c>
      <c r="VPU12" s="314" t="s">
        <v>203</v>
      </c>
      <c r="VPV12" s="314" t="s">
        <v>203</v>
      </c>
      <c r="VPW12" s="314" t="s">
        <v>203</v>
      </c>
      <c r="VPX12" s="314" t="s">
        <v>203</v>
      </c>
      <c r="VPY12" s="314" t="s">
        <v>203</v>
      </c>
      <c r="VPZ12" s="314" t="s">
        <v>203</v>
      </c>
      <c r="VQA12" s="314" t="s">
        <v>203</v>
      </c>
      <c r="VQB12" s="314" t="s">
        <v>203</v>
      </c>
      <c r="VQC12" s="314" t="s">
        <v>203</v>
      </c>
      <c r="VQD12" s="314" t="s">
        <v>203</v>
      </c>
      <c r="VQE12" s="314" t="s">
        <v>203</v>
      </c>
      <c r="VQF12" s="314" t="s">
        <v>203</v>
      </c>
      <c r="VQG12" s="314" t="s">
        <v>203</v>
      </c>
      <c r="VQH12" s="314" t="s">
        <v>203</v>
      </c>
      <c r="VQI12" s="314" t="s">
        <v>203</v>
      </c>
      <c r="VQJ12" s="314" t="s">
        <v>203</v>
      </c>
      <c r="VQK12" s="314" t="s">
        <v>203</v>
      </c>
      <c r="VQL12" s="314" t="s">
        <v>203</v>
      </c>
      <c r="VQM12" s="314" t="s">
        <v>203</v>
      </c>
      <c r="VQN12" s="314" t="s">
        <v>203</v>
      </c>
      <c r="VQO12" s="314" t="s">
        <v>203</v>
      </c>
      <c r="VQP12" s="314" t="s">
        <v>203</v>
      </c>
      <c r="VQQ12" s="314" t="s">
        <v>203</v>
      </c>
      <c r="VQR12" s="314" t="s">
        <v>203</v>
      </c>
      <c r="VQS12" s="314" t="s">
        <v>203</v>
      </c>
      <c r="VQT12" s="314" t="s">
        <v>203</v>
      </c>
      <c r="VQU12" s="314" t="s">
        <v>203</v>
      </c>
      <c r="VQV12" s="314" t="s">
        <v>203</v>
      </c>
      <c r="VQW12" s="314" t="s">
        <v>203</v>
      </c>
      <c r="VQX12" s="314" t="s">
        <v>203</v>
      </c>
      <c r="VQY12" s="314" t="s">
        <v>203</v>
      </c>
      <c r="VQZ12" s="314" t="s">
        <v>203</v>
      </c>
      <c r="VRA12" s="314" t="s">
        <v>203</v>
      </c>
      <c r="VRB12" s="314" t="s">
        <v>203</v>
      </c>
      <c r="VRC12" s="314" t="s">
        <v>203</v>
      </c>
      <c r="VRD12" s="314" t="s">
        <v>203</v>
      </c>
      <c r="VRE12" s="314" t="s">
        <v>203</v>
      </c>
      <c r="VRF12" s="314" t="s">
        <v>203</v>
      </c>
      <c r="VRG12" s="314" t="s">
        <v>203</v>
      </c>
      <c r="VRH12" s="314" t="s">
        <v>203</v>
      </c>
      <c r="VRI12" s="314" t="s">
        <v>203</v>
      </c>
      <c r="VRJ12" s="314" t="s">
        <v>203</v>
      </c>
      <c r="VRK12" s="314" t="s">
        <v>203</v>
      </c>
      <c r="VRL12" s="314" t="s">
        <v>203</v>
      </c>
      <c r="VRM12" s="314" t="s">
        <v>203</v>
      </c>
      <c r="VRN12" s="314" t="s">
        <v>203</v>
      </c>
      <c r="VRO12" s="314" t="s">
        <v>203</v>
      </c>
      <c r="VRP12" s="314" t="s">
        <v>203</v>
      </c>
      <c r="VRQ12" s="314" t="s">
        <v>203</v>
      </c>
      <c r="VRR12" s="314" t="s">
        <v>203</v>
      </c>
      <c r="VRS12" s="314" t="s">
        <v>203</v>
      </c>
      <c r="VRT12" s="314" t="s">
        <v>203</v>
      </c>
      <c r="VRU12" s="314" t="s">
        <v>203</v>
      </c>
      <c r="VRV12" s="314" t="s">
        <v>203</v>
      </c>
      <c r="VRW12" s="314" t="s">
        <v>203</v>
      </c>
      <c r="VRX12" s="314" t="s">
        <v>203</v>
      </c>
      <c r="VRY12" s="314" t="s">
        <v>203</v>
      </c>
      <c r="VRZ12" s="314" t="s">
        <v>203</v>
      </c>
      <c r="VSA12" s="314" t="s">
        <v>203</v>
      </c>
      <c r="VSB12" s="314" t="s">
        <v>203</v>
      </c>
      <c r="VSC12" s="314" t="s">
        <v>203</v>
      </c>
      <c r="VSD12" s="314" t="s">
        <v>203</v>
      </c>
      <c r="VSE12" s="314" t="s">
        <v>203</v>
      </c>
      <c r="VSF12" s="314" t="s">
        <v>203</v>
      </c>
      <c r="VSG12" s="314" t="s">
        <v>203</v>
      </c>
      <c r="VSH12" s="314" t="s">
        <v>203</v>
      </c>
      <c r="VSI12" s="314" t="s">
        <v>203</v>
      </c>
      <c r="VSJ12" s="314" t="s">
        <v>203</v>
      </c>
      <c r="VSK12" s="314" t="s">
        <v>203</v>
      </c>
      <c r="VSL12" s="314" t="s">
        <v>203</v>
      </c>
      <c r="VSM12" s="314" t="s">
        <v>203</v>
      </c>
      <c r="VSN12" s="314" t="s">
        <v>203</v>
      </c>
      <c r="VSO12" s="314" t="s">
        <v>203</v>
      </c>
      <c r="VSP12" s="314" t="s">
        <v>203</v>
      </c>
      <c r="VSQ12" s="314" t="s">
        <v>203</v>
      </c>
      <c r="VSR12" s="314" t="s">
        <v>203</v>
      </c>
      <c r="VSS12" s="314" t="s">
        <v>203</v>
      </c>
      <c r="VST12" s="314" t="s">
        <v>203</v>
      </c>
      <c r="VSU12" s="314" t="s">
        <v>203</v>
      </c>
      <c r="VSV12" s="314" t="s">
        <v>203</v>
      </c>
      <c r="VSW12" s="314" t="s">
        <v>203</v>
      </c>
      <c r="VSX12" s="314" t="s">
        <v>203</v>
      </c>
      <c r="VSY12" s="314" t="s">
        <v>203</v>
      </c>
      <c r="VSZ12" s="314" t="s">
        <v>203</v>
      </c>
      <c r="VTA12" s="314" t="s">
        <v>203</v>
      </c>
      <c r="VTB12" s="314" t="s">
        <v>203</v>
      </c>
      <c r="VTC12" s="314" t="s">
        <v>203</v>
      </c>
      <c r="VTD12" s="314" t="s">
        <v>203</v>
      </c>
      <c r="VTE12" s="314" t="s">
        <v>203</v>
      </c>
      <c r="VTF12" s="314" t="s">
        <v>203</v>
      </c>
      <c r="VTG12" s="314" t="s">
        <v>203</v>
      </c>
      <c r="VTH12" s="314" t="s">
        <v>203</v>
      </c>
      <c r="VTI12" s="314" t="s">
        <v>203</v>
      </c>
      <c r="VTJ12" s="314" t="s">
        <v>203</v>
      </c>
      <c r="VTK12" s="314" t="s">
        <v>203</v>
      </c>
      <c r="VTL12" s="314" t="s">
        <v>203</v>
      </c>
      <c r="VTM12" s="314" t="s">
        <v>203</v>
      </c>
      <c r="VTN12" s="314" t="s">
        <v>203</v>
      </c>
      <c r="VTO12" s="314" t="s">
        <v>203</v>
      </c>
      <c r="VTP12" s="314" t="s">
        <v>203</v>
      </c>
      <c r="VTQ12" s="314" t="s">
        <v>203</v>
      </c>
      <c r="VTR12" s="314" t="s">
        <v>203</v>
      </c>
      <c r="VTS12" s="314" t="s">
        <v>203</v>
      </c>
      <c r="VTT12" s="314" t="s">
        <v>203</v>
      </c>
      <c r="VTU12" s="314" t="s">
        <v>203</v>
      </c>
      <c r="VTV12" s="314" t="s">
        <v>203</v>
      </c>
      <c r="VTW12" s="314" t="s">
        <v>203</v>
      </c>
      <c r="VTX12" s="314" t="s">
        <v>203</v>
      </c>
      <c r="VTY12" s="314" t="s">
        <v>203</v>
      </c>
      <c r="VTZ12" s="314" t="s">
        <v>203</v>
      </c>
      <c r="VUA12" s="314" t="s">
        <v>203</v>
      </c>
      <c r="VUB12" s="314" t="s">
        <v>203</v>
      </c>
      <c r="VUC12" s="314" t="s">
        <v>203</v>
      </c>
      <c r="VUD12" s="314" t="s">
        <v>203</v>
      </c>
      <c r="VUE12" s="314" t="s">
        <v>203</v>
      </c>
      <c r="VUF12" s="314" t="s">
        <v>203</v>
      </c>
      <c r="VUG12" s="314" t="s">
        <v>203</v>
      </c>
      <c r="VUH12" s="314" t="s">
        <v>203</v>
      </c>
      <c r="VUI12" s="314" t="s">
        <v>203</v>
      </c>
      <c r="VUJ12" s="314" t="s">
        <v>203</v>
      </c>
      <c r="VUK12" s="314" t="s">
        <v>203</v>
      </c>
      <c r="VUL12" s="314" t="s">
        <v>203</v>
      </c>
      <c r="VUM12" s="314" t="s">
        <v>203</v>
      </c>
      <c r="VUN12" s="314" t="s">
        <v>203</v>
      </c>
      <c r="VUO12" s="314" t="s">
        <v>203</v>
      </c>
      <c r="VUP12" s="314" t="s">
        <v>203</v>
      </c>
      <c r="VUQ12" s="314" t="s">
        <v>203</v>
      </c>
      <c r="VUR12" s="314" t="s">
        <v>203</v>
      </c>
      <c r="VUS12" s="314" t="s">
        <v>203</v>
      </c>
      <c r="VUT12" s="314" t="s">
        <v>203</v>
      </c>
      <c r="VUU12" s="314" t="s">
        <v>203</v>
      </c>
      <c r="VUV12" s="314" t="s">
        <v>203</v>
      </c>
      <c r="VUW12" s="314" t="s">
        <v>203</v>
      </c>
      <c r="VUX12" s="314" t="s">
        <v>203</v>
      </c>
      <c r="VUY12" s="314" t="s">
        <v>203</v>
      </c>
      <c r="VUZ12" s="314" t="s">
        <v>203</v>
      </c>
      <c r="VVA12" s="314" t="s">
        <v>203</v>
      </c>
      <c r="VVB12" s="314" t="s">
        <v>203</v>
      </c>
      <c r="VVC12" s="314" t="s">
        <v>203</v>
      </c>
      <c r="VVD12" s="314" t="s">
        <v>203</v>
      </c>
      <c r="VVE12" s="314" t="s">
        <v>203</v>
      </c>
      <c r="VVF12" s="314" t="s">
        <v>203</v>
      </c>
      <c r="VVG12" s="314" t="s">
        <v>203</v>
      </c>
      <c r="VVH12" s="314" t="s">
        <v>203</v>
      </c>
      <c r="VVI12" s="314" t="s">
        <v>203</v>
      </c>
      <c r="VVJ12" s="314" t="s">
        <v>203</v>
      </c>
      <c r="VVK12" s="314" t="s">
        <v>203</v>
      </c>
      <c r="VVL12" s="314" t="s">
        <v>203</v>
      </c>
      <c r="VVM12" s="314" t="s">
        <v>203</v>
      </c>
      <c r="VVN12" s="314" t="s">
        <v>203</v>
      </c>
      <c r="VVO12" s="314" t="s">
        <v>203</v>
      </c>
      <c r="VVP12" s="314" t="s">
        <v>203</v>
      </c>
      <c r="VVQ12" s="314" t="s">
        <v>203</v>
      </c>
      <c r="VVR12" s="314" t="s">
        <v>203</v>
      </c>
      <c r="VVS12" s="314" t="s">
        <v>203</v>
      </c>
      <c r="VVT12" s="314" t="s">
        <v>203</v>
      </c>
      <c r="VVU12" s="314" t="s">
        <v>203</v>
      </c>
      <c r="VVV12" s="314" t="s">
        <v>203</v>
      </c>
      <c r="VVW12" s="314" t="s">
        <v>203</v>
      </c>
      <c r="VVX12" s="314" t="s">
        <v>203</v>
      </c>
      <c r="VVY12" s="314" t="s">
        <v>203</v>
      </c>
      <c r="VVZ12" s="314" t="s">
        <v>203</v>
      </c>
      <c r="VWA12" s="314" t="s">
        <v>203</v>
      </c>
      <c r="VWB12" s="314" t="s">
        <v>203</v>
      </c>
      <c r="VWC12" s="314" t="s">
        <v>203</v>
      </c>
      <c r="VWD12" s="314" t="s">
        <v>203</v>
      </c>
      <c r="VWE12" s="314" t="s">
        <v>203</v>
      </c>
      <c r="VWF12" s="314" t="s">
        <v>203</v>
      </c>
      <c r="VWG12" s="314" t="s">
        <v>203</v>
      </c>
      <c r="VWH12" s="314" t="s">
        <v>203</v>
      </c>
      <c r="VWI12" s="314" t="s">
        <v>203</v>
      </c>
      <c r="VWJ12" s="314" t="s">
        <v>203</v>
      </c>
      <c r="VWK12" s="314" t="s">
        <v>203</v>
      </c>
      <c r="VWL12" s="314" t="s">
        <v>203</v>
      </c>
      <c r="VWM12" s="314" t="s">
        <v>203</v>
      </c>
      <c r="VWN12" s="314" t="s">
        <v>203</v>
      </c>
      <c r="VWO12" s="314" t="s">
        <v>203</v>
      </c>
      <c r="VWP12" s="314" t="s">
        <v>203</v>
      </c>
      <c r="VWQ12" s="314" t="s">
        <v>203</v>
      </c>
      <c r="VWR12" s="314" t="s">
        <v>203</v>
      </c>
      <c r="VWS12" s="314" t="s">
        <v>203</v>
      </c>
      <c r="VWT12" s="314" t="s">
        <v>203</v>
      </c>
      <c r="VWU12" s="314" t="s">
        <v>203</v>
      </c>
      <c r="VWV12" s="314" t="s">
        <v>203</v>
      </c>
      <c r="VWW12" s="314" t="s">
        <v>203</v>
      </c>
      <c r="VWX12" s="314" t="s">
        <v>203</v>
      </c>
      <c r="VWY12" s="314" t="s">
        <v>203</v>
      </c>
      <c r="VWZ12" s="314" t="s">
        <v>203</v>
      </c>
      <c r="VXA12" s="314" t="s">
        <v>203</v>
      </c>
      <c r="VXB12" s="314" t="s">
        <v>203</v>
      </c>
      <c r="VXC12" s="314" t="s">
        <v>203</v>
      </c>
      <c r="VXD12" s="314" t="s">
        <v>203</v>
      </c>
      <c r="VXE12" s="314" t="s">
        <v>203</v>
      </c>
      <c r="VXF12" s="314" t="s">
        <v>203</v>
      </c>
      <c r="VXG12" s="314" t="s">
        <v>203</v>
      </c>
      <c r="VXH12" s="314" t="s">
        <v>203</v>
      </c>
      <c r="VXI12" s="314" t="s">
        <v>203</v>
      </c>
      <c r="VXJ12" s="314" t="s">
        <v>203</v>
      </c>
      <c r="VXK12" s="314" t="s">
        <v>203</v>
      </c>
      <c r="VXL12" s="314" t="s">
        <v>203</v>
      </c>
      <c r="VXM12" s="314" t="s">
        <v>203</v>
      </c>
      <c r="VXN12" s="314" t="s">
        <v>203</v>
      </c>
      <c r="VXO12" s="314" t="s">
        <v>203</v>
      </c>
      <c r="VXP12" s="314" t="s">
        <v>203</v>
      </c>
      <c r="VXQ12" s="314" t="s">
        <v>203</v>
      </c>
      <c r="VXR12" s="314" t="s">
        <v>203</v>
      </c>
      <c r="VXS12" s="314" t="s">
        <v>203</v>
      </c>
      <c r="VXT12" s="314" t="s">
        <v>203</v>
      </c>
      <c r="VXU12" s="314" t="s">
        <v>203</v>
      </c>
      <c r="VXV12" s="314" t="s">
        <v>203</v>
      </c>
      <c r="VXW12" s="314" t="s">
        <v>203</v>
      </c>
      <c r="VXX12" s="314" t="s">
        <v>203</v>
      </c>
      <c r="VXY12" s="314" t="s">
        <v>203</v>
      </c>
      <c r="VXZ12" s="314" t="s">
        <v>203</v>
      </c>
      <c r="VYA12" s="314" t="s">
        <v>203</v>
      </c>
      <c r="VYB12" s="314" t="s">
        <v>203</v>
      </c>
      <c r="VYC12" s="314" t="s">
        <v>203</v>
      </c>
      <c r="VYD12" s="314" t="s">
        <v>203</v>
      </c>
      <c r="VYE12" s="314" t="s">
        <v>203</v>
      </c>
      <c r="VYF12" s="314" t="s">
        <v>203</v>
      </c>
      <c r="VYG12" s="314" t="s">
        <v>203</v>
      </c>
      <c r="VYH12" s="314" t="s">
        <v>203</v>
      </c>
      <c r="VYI12" s="314" t="s">
        <v>203</v>
      </c>
      <c r="VYJ12" s="314" t="s">
        <v>203</v>
      </c>
      <c r="VYK12" s="314" t="s">
        <v>203</v>
      </c>
      <c r="VYL12" s="314" t="s">
        <v>203</v>
      </c>
      <c r="VYM12" s="314" t="s">
        <v>203</v>
      </c>
      <c r="VYN12" s="314" t="s">
        <v>203</v>
      </c>
      <c r="VYO12" s="314" t="s">
        <v>203</v>
      </c>
      <c r="VYP12" s="314" t="s">
        <v>203</v>
      </c>
      <c r="VYQ12" s="314" t="s">
        <v>203</v>
      </c>
      <c r="VYR12" s="314" t="s">
        <v>203</v>
      </c>
      <c r="VYS12" s="314" t="s">
        <v>203</v>
      </c>
      <c r="VYT12" s="314" t="s">
        <v>203</v>
      </c>
      <c r="VYU12" s="314" t="s">
        <v>203</v>
      </c>
      <c r="VYV12" s="314" t="s">
        <v>203</v>
      </c>
      <c r="VYW12" s="314" t="s">
        <v>203</v>
      </c>
      <c r="VYX12" s="314" t="s">
        <v>203</v>
      </c>
      <c r="VYY12" s="314" t="s">
        <v>203</v>
      </c>
      <c r="VYZ12" s="314" t="s">
        <v>203</v>
      </c>
      <c r="VZA12" s="314" t="s">
        <v>203</v>
      </c>
      <c r="VZB12" s="314" t="s">
        <v>203</v>
      </c>
      <c r="VZC12" s="314" t="s">
        <v>203</v>
      </c>
      <c r="VZD12" s="314" t="s">
        <v>203</v>
      </c>
      <c r="VZE12" s="314" t="s">
        <v>203</v>
      </c>
      <c r="VZF12" s="314" t="s">
        <v>203</v>
      </c>
      <c r="VZG12" s="314" t="s">
        <v>203</v>
      </c>
      <c r="VZH12" s="314" t="s">
        <v>203</v>
      </c>
      <c r="VZI12" s="314" t="s">
        <v>203</v>
      </c>
      <c r="VZJ12" s="314" t="s">
        <v>203</v>
      </c>
      <c r="VZK12" s="314" t="s">
        <v>203</v>
      </c>
      <c r="VZL12" s="314" t="s">
        <v>203</v>
      </c>
      <c r="VZM12" s="314" t="s">
        <v>203</v>
      </c>
      <c r="VZN12" s="314" t="s">
        <v>203</v>
      </c>
      <c r="VZO12" s="314" t="s">
        <v>203</v>
      </c>
      <c r="VZP12" s="314" t="s">
        <v>203</v>
      </c>
      <c r="VZQ12" s="314" t="s">
        <v>203</v>
      </c>
      <c r="VZR12" s="314" t="s">
        <v>203</v>
      </c>
      <c r="VZS12" s="314" t="s">
        <v>203</v>
      </c>
      <c r="VZT12" s="314" t="s">
        <v>203</v>
      </c>
      <c r="VZU12" s="314" t="s">
        <v>203</v>
      </c>
      <c r="VZV12" s="314" t="s">
        <v>203</v>
      </c>
      <c r="VZW12" s="314" t="s">
        <v>203</v>
      </c>
      <c r="VZX12" s="314" t="s">
        <v>203</v>
      </c>
      <c r="VZY12" s="314" t="s">
        <v>203</v>
      </c>
      <c r="VZZ12" s="314" t="s">
        <v>203</v>
      </c>
      <c r="WAA12" s="314" t="s">
        <v>203</v>
      </c>
      <c r="WAB12" s="314" t="s">
        <v>203</v>
      </c>
      <c r="WAC12" s="314" t="s">
        <v>203</v>
      </c>
      <c r="WAD12" s="314" t="s">
        <v>203</v>
      </c>
      <c r="WAE12" s="314" t="s">
        <v>203</v>
      </c>
      <c r="WAF12" s="314" t="s">
        <v>203</v>
      </c>
      <c r="WAG12" s="314" t="s">
        <v>203</v>
      </c>
      <c r="WAH12" s="314" t="s">
        <v>203</v>
      </c>
      <c r="WAI12" s="314" t="s">
        <v>203</v>
      </c>
      <c r="WAJ12" s="314" t="s">
        <v>203</v>
      </c>
      <c r="WAK12" s="314" t="s">
        <v>203</v>
      </c>
      <c r="WAL12" s="314" t="s">
        <v>203</v>
      </c>
      <c r="WAM12" s="314" t="s">
        <v>203</v>
      </c>
      <c r="WAN12" s="314" t="s">
        <v>203</v>
      </c>
      <c r="WAO12" s="314" t="s">
        <v>203</v>
      </c>
      <c r="WAP12" s="314" t="s">
        <v>203</v>
      </c>
      <c r="WAQ12" s="314" t="s">
        <v>203</v>
      </c>
      <c r="WAR12" s="314" t="s">
        <v>203</v>
      </c>
      <c r="WAS12" s="314" t="s">
        <v>203</v>
      </c>
      <c r="WAT12" s="314" t="s">
        <v>203</v>
      </c>
      <c r="WAU12" s="314" t="s">
        <v>203</v>
      </c>
      <c r="WAV12" s="314" t="s">
        <v>203</v>
      </c>
      <c r="WAW12" s="314" t="s">
        <v>203</v>
      </c>
      <c r="WAX12" s="314" t="s">
        <v>203</v>
      </c>
      <c r="WAY12" s="314" t="s">
        <v>203</v>
      </c>
      <c r="WAZ12" s="314" t="s">
        <v>203</v>
      </c>
      <c r="WBA12" s="314" t="s">
        <v>203</v>
      </c>
      <c r="WBB12" s="314" t="s">
        <v>203</v>
      </c>
      <c r="WBC12" s="314" t="s">
        <v>203</v>
      </c>
      <c r="WBD12" s="314" t="s">
        <v>203</v>
      </c>
      <c r="WBE12" s="314" t="s">
        <v>203</v>
      </c>
      <c r="WBF12" s="314" t="s">
        <v>203</v>
      </c>
      <c r="WBG12" s="314" t="s">
        <v>203</v>
      </c>
      <c r="WBH12" s="314" t="s">
        <v>203</v>
      </c>
      <c r="WBI12" s="314" t="s">
        <v>203</v>
      </c>
      <c r="WBJ12" s="314" t="s">
        <v>203</v>
      </c>
      <c r="WBK12" s="314" t="s">
        <v>203</v>
      </c>
      <c r="WBL12" s="314" t="s">
        <v>203</v>
      </c>
      <c r="WBM12" s="314" t="s">
        <v>203</v>
      </c>
      <c r="WBN12" s="314" t="s">
        <v>203</v>
      </c>
      <c r="WBO12" s="314" t="s">
        <v>203</v>
      </c>
      <c r="WBP12" s="314" t="s">
        <v>203</v>
      </c>
      <c r="WBQ12" s="314" t="s">
        <v>203</v>
      </c>
      <c r="WBR12" s="314" t="s">
        <v>203</v>
      </c>
      <c r="WBS12" s="314" t="s">
        <v>203</v>
      </c>
      <c r="WBT12" s="314" t="s">
        <v>203</v>
      </c>
      <c r="WBU12" s="314" t="s">
        <v>203</v>
      </c>
      <c r="WBV12" s="314" t="s">
        <v>203</v>
      </c>
      <c r="WBW12" s="314" t="s">
        <v>203</v>
      </c>
      <c r="WBX12" s="314" t="s">
        <v>203</v>
      </c>
      <c r="WBY12" s="314" t="s">
        <v>203</v>
      </c>
      <c r="WBZ12" s="314" t="s">
        <v>203</v>
      </c>
      <c r="WCA12" s="314" t="s">
        <v>203</v>
      </c>
      <c r="WCB12" s="314" t="s">
        <v>203</v>
      </c>
      <c r="WCC12" s="314" t="s">
        <v>203</v>
      </c>
      <c r="WCD12" s="314" t="s">
        <v>203</v>
      </c>
      <c r="WCE12" s="314" t="s">
        <v>203</v>
      </c>
      <c r="WCF12" s="314" t="s">
        <v>203</v>
      </c>
      <c r="WCG12" s="314" t="s">
        <v>203</v>
      </c>
      <c r="WCH12" s="314" t="s">
        <v>203</v>
      </c>
      <c r="WCI12" s="314" t="s">
        <v>203</v>
      </c>
      <c r="WCJ12" s="314" t="s">
        <v>203</v>
      </c>
      <c r="WCK12" s="314" t="s">
        <v>203</v>
      </c>
      <c r="WCL12" s="314" t="s">
        <v>203</v>
      </c>
      <c r="WCM12" s="314" t="s">
        <v>203</v>
      </c>
      <c r="WCN12" s="314" t="s">
        <v>203</v>
      </c>
      <c r="WCO12" s="314" t="s">
        <v>203</v>
      </c>
      <c r="WCP12" s="314" t="s">
        <v>203</v>
      </c>
      <c r="WCQ12" s="314" t="s">
        <v>203</v>
      </c>
      <c r="WCR12" s="314" t="s">
        <v>203</v>
      </c>
      <c r="WCS12" s="314" t="s">
        <v>203</v>
      </c>
      <c r="WCT12" s="314" t="s">
        <v>203</v>
      </c>
      <c r="WCU12" s="314" t="s">
        <v>203</v>
      </c>
      <c r="WCV12" s="314" t="s">
        <v>203</v>
      </c>
      <c r="WCW12" s="314" t="s">
        <v>203</v>
      </c>
      <c r="WCX12" s="314" t="s">
        <v>203</v>
      </c>
      <c r="WCY12" s="314" t="s">
        <v>203</v>
      </c>
      <c r="WCZ12" s="314" t="s">
        <v>203</v>
      </c>
      <c r="WDA12" s="314" t="s">
        <v>203</v>
      </c>
      <c r="WDB12" s="314" t="s">
        <v>203</v>
      </c>
      <c r="WDC12" s="314" t="s">
        <v>203</v>
      </c>
      <c r="WDD12" s="314" t="s">
        <v>203</v>
      </c>
      <c r="WDE12" s="314" t="s">
        <v>203</v>
      </c>
      <c r="WDF12" s="314" t="s">
        <v>203</v>
      </c>
      <c r="WDG12" s="314" t="s">
        <v>203</v>
      </c>
      <c r="WDH12" s="314" t="s">
        <v>203</v>
      </c>
      <c r="WDI12" s="314" t="s">
        <v>203</v>
      </c>
      <c r="WDJ12" s="314" t="s">
        <v>203</v>
      </c>
      <c r="WDK12" s="314" t="s">
        <v>203</v>
      </c>
      <c r="WDL12" s="314" t="s">
        <v>203</v>
      </c>
      <c r="WDM12" s="314" t="s">
        <v>203</v>
      </c>
      <c r="WDN12" s="314" t="s">
        <v>203</v>
      </c>
      <c r="WDO12" s="314" t="s">
        <v>203</v>
      </c>
      <c r="WDP12" s="314" t="s">
        <v>203</v>
      </c>
      <c r="WDQ12" s="314" t="s">
        <v>203</v>
      </c>
      <c r="WDR12" s="314" t="s">
        <v>203</v>
      </c>
      <c r="WDS12" s="314" t="s">
        <v>203</v>
      </c>
      <c r="WDT12" s="314" t="s">
        <v>203</v>
      </c>
      <c r="WDU12" s="314" t="s">
        <v>203</v>
      </c>
      <c r="WDV12" s="314" t="s">
        <v>203</v>
      </c>
      <c r="WDW12" s="314" t="s">
        <v>203</v>
      </c>
      <c r="WDX12" s="314" t="s">
        <v>203</v>
      </c>
      <c r="WDY12" s="314" t="s">
        <v>203</v>
      </c>
      <c r="WDZ12" s="314" t="s">
        <v>203</v>
      </c>
      <c r="WEA12" s="314" t="s">
        <v>203</v>
      </c>
      <c r="WEB12" s="314" t="s">
        <v>203</v>
      </c>
      <c r="WEC12" s="314" t="s">
        <v>203</v>
      </c>
      <c r="WED12" s="314" t="s">
        <v>203</v>
      </c>
      <c r="WEE12" s="314" t="s">
        <v>203</v>
      </c>
      <c r="WEF12" s="314" t="s">
        <v>203</v>
      </c>
      <c r="WEG12" s="314" t="s">
        <v>203</v>
      </c>
      <c r="WEH12" s="314" t="s">
        <v>203</v>
      </c>
      <c r="WEI12" s="314" t="s">
        <v>203</v>
      </c>
      <c r="WEJ12" s="314" t="s">
        <v>203</v>
      </c>
      <c r="WEK12" s="314" t="s">
        <v>203</v>
      </c>
      <c r="WEL12" s="314" t="s">
        <v>203</v>
      </c>
      <c r="WEM12" s="314" t="s">
        <v>203</v>
      </c>
      <c r="WEN12" s="314" t="s">
        <v>203</v>
      </c>
      <c r="WEO12" s="314" t="s">
        <v>203</v>
      </c>
      <c r="WEP12" s="314" t="s">
        <v>203</v>
      </c>
      <c r="WEQ12" s="314" t="s">
        <v>203</v>
      </c>
      <c r="WER12" s="314" t="s">
        <v>203</v>
      </c>
      <c r="WES12" s="314" t="s">
        <v>203</v>
      </c>
      <c r="WET12" s="314" t="s">
        <v>203</v>
      </c>
      <c r="WEU12" s="314" t="s">
        <v>203</v>
      </c>
      <c r="WEV12" s="314" t="s">
        <v>203</v>
      </c>
      <c r="WEW12" s="314" t="s">
        <v>203</v>
      </c>
      <c r="WEX12" s="314" t="s">
        <v>203</v>
      </c>
      <c r="WEY12" s="314" t="s">
        <v>203</v>
      </c>
      <c r="WEZ12" s="314" t="s">
        <v>203</v>
      </c>
      <c r="WFA12" s="314" t="s">
        <v>203</v>
      </c>
      <c r="WFB12" s="314" t="s">
        <v>203</v>
      </c>
      <c r="WFC12" s="314" t="s">
        <v>203</v>
      </c>
      <c r="WFD12" s="314" t="s">
        <v>203</v>
      </c>
      <c r="WFE12" s="314" t="s">
        <v>203</v>
      </c>
      <c r="WFF12" s="314" t="s">
        <v>203</v>
      </c>
      <c r="WFG12" s="314" t="s">
        <v>203</v>
      </c>
      <c r="WFH12" s="314" t="s">
        <v>203</v>
      </c>
      <c r="WFI12" s="314" t="s">
        <v>203</v>
      </c>
      <c r="WFJ12" s="314" t="s">
        <v>203</v>
      </c>
      <c r="WFK12" s="314" t="s">
        <v>203</v>
      </c>
      <c r="WFL12" s="314" t="s">
        <v>203</v>
      </c>
      <c r="WFM12" s="314" t="s">
        <v>203</v>
      </c>
      <c r="WFN12" s="314" t="s">
        <v>203</v>
      </c>
      <c r="WFO12" s="314" t="s">
        <v>203</v>
      </c>
      <c r="WFP12" s="314" t="s">
        <v>203</v>
      </c>
      <c r="WFQ12" s="314" t="s">
        <v>203</v>
      </c>
      <c r="WFR12" s="314" t="s">
        <v>203</v>
      </c>
      <c r="WFS12" s="314" t="s">
        <v>203</v>
      </c>
      <c r="WFT12" s="314" t="s">
        <v>203</v>
      </c>
      <c r="WFU12" s="314" t="s">
        <v>203</v>
      </c>
      <c r="WFV12" s="314" t="s">
        <v>203</v>
      </c>
      <c r="WFW12" s="314" t="s">
        <v>203</v>
      </c>
      <c r="WFX12" s="314" t="s">
        <v>203</v>
      </c>
      <c r="WFY12" s="314" t="s">
        <v>203</v>
      </c>
      <c r="WFZ12" s="314" t="s">
        <v>203</v>
      </c>
      <c r="WGA12" s="314" t="s">
        <v>203</v>
      </c>
      <c r="WGB12" s="314" t="s">
        <v>203</v>
      </c>
      <c r="WGC12" s="314" t="s">
        <v>203</v>
      </c>
      <c r="WGD12" s="314" t="s">
        <v>203</v>
      </c>
      <c r="WGE12" s="314" t="s">
        <v>203</v>
      </c>
      <c r="WGF12" s="314" t="s">
        <v>203</v>
      </c>
      <c r="WGG12" s="314" t="s">
        <v>203</v>
      </c>
      <c r="WGH12" s="314" t="s">
        <v>203</v>
      </c>
      <c r="WGI12" s="314" t="s">
        <v>203</v>
      </c>
      <c r="WGJ12" s="314" t="s">
        <v>203</v>
      </c>
      <c r="WGK12" s="314" t="s">
        <v>203</v>
      </c>
      <c r="WGL12" s="314" t="s">
        <v>203</v>
      </c>
      <c r="WGM12" s="314" t="s">
        <v>203</v>
      </c>
      <c r="WGN12" s="314" t="s">
        <v>203</v>
      </c>
      <c r="WGO12" s="314" t="s">
        <v>203</v>
      </c>
      <c r="WGP12" s="314" t="s">
        <v>203</v>
      </c>
      <c r="WGQ12" s="314" t="s">
        <v>203</v>
      </c>
      <c r="WGR12" s="314" t="s">
        <v>203</v>
      </c>
      <c r="WGS12" s="314" t="s">
        <v>203</v>
      </c>
      <c r="WGT12" s="314" t="s">
        <v>203</v>
      </c>
      <c r="WGU12" s="314" t="s">
        <v>203</v>
      </c>
      <c r="WGV12" s="314" t="s">
        <v>203</v>
      </c>
      <c r="WGW12" s="314" t="s">
        <v>203</v>
      </c>
      <c r="WGX12" s="314" t="s">
        <v>203</v>
      </c>
      <c r="WGY12" s="314" t="s">
        <v>203</v>
      </c>
      <c r="WGZ12" s="314" t="s">
        <v>203</v>
      </c>
      <c r="WHA12" s="314" t="s">
        <v>203</v>
      </c>
      <c r="WHB12" s="314" t="s">
        <v>203</v>
      </c>
      <c r="WHC12" s="314" t="s">
        <v>203</v>
      </c>
      <c r="WHD12" s="314" t="s">
        <v>203</v>
      </c>
      <c r="WHE12" s="314" t="s">
        <v>203</v>
      </c>
      <c r="WHF12" s="314" t="s">
        <v>203</v>
      </c>
      <c r="WHG12" s="314" t="s">
        <v>203</v>
      </c>
      <c r="WHH12" s="314" t="s">
        <v>203</v>
      </c>
      <c r="WHI12" s="314" t="s">
        <v>203</v>
      </c>
      <c r="WHJ12" s="314" t="s">
        <v>203</v>
      </c>
      <c r="WHK12" s="314" t="s">
        <v>203</v>
      </c>
      <c r="WHL12" s="314" t="s">
        <v>203</v>
      </c>
      <c r="WHM12" s="314" t="s">
        <v>203</v>
      </c>
      <c r="WHN12" s="314" t="s">
        <v>203</v>
      </c>
      <c r="WHO12" s="314" t="s">
        <v>203</v>
      </c>
      <c r="WHP12" s="314" t="s">
        <v>203</v>
      </c>
      <c r="WHQ12" s="314" t="s">
        <v>203</v>
      </c>
      <c r="WHR12" s="314" t="s">
        <v>203</v>
      </c>
      <c r="WHS12" s="314" t="s">
        <v>203</v>
      </c>
      <c r="WHT12" s="314" t="s">
        <v>203</v>
      </c>
      <c r="WHU12" s="314" t="s">
        <v>203</v>
      </c>
      <c r="WHV12" s="314" t="s">
        <v>203</v>
      </c>
      <c r="WHW12" s="314" t="s">
        <v>203</v>
      </c>
      <c r="WHX12" s="314" t="s">
        <v>203</v>
      </c>
      <c r="WHY12" s="314" t="s">
        <v>203</v>
      </c>
      <c r="WHZ12" s="314" t="s">
        <v>203</v>
      </c>
      <c r="WIA12" s="314" t="s">
        <v>203</v>
      </c>
      <c r="WIB12" s="314" t="s">
        <v>203</v>
      </c>
      <c r="WIC12" s="314" t="s">
        <v>203</v>
      </c>
      <c r="WID12" s="314" t="s">
        <v>203</v>
      </c>
      <c r="WIE12" s="314" t="s">
        <v>203</v>
      </c>
      <c r="WIF12" s="314" t="s">
        <v>203</v>
      </c>
      <c r="WIG12" s="314" t="s">
        <v>203</v>
      </c>
      <c r="WIH12" s="314" t="s">
        <v>203</v>
      </c>
      <c r="WII12" s="314" t="s">
        <v>203</v>
      </c>
      <c r="WIJ12" s="314" t="s">
        <v>203</v>
      </c>
      <c r="WIK12" s="314" t="s">
        <v>203</v>
      </c>
      <c r="WIL12" s="314" t="s">
        <v>203</v>
      </c>
      <c r="WIM12" s="314" t="s">
        <v>203</v>
      </c>
      <c r="WIN12" s="314" t="s">
        <v>203</v>
      </c>
      <c r="WIO12" s="314" t="s">
        <v>203</v>
      </c>
      <c r="WIP12" s="314" t="s">
        <v>203</v>
      </c>
      <c r="WIQ12" s="314" t="s">
        <v>203</v>
      </c>
      <c r="WIR12" s="314" t="s">
        <v>203</v>
      </c>
      <c r="WIS12" s="314" t="s">
        <v>203</v>
      </c>
      <c r="WIT12" s="314" t="s">
        <v>203</v>
      </c>
      <c r="WIU12" s="314" t="s">
        <v>203</v>
      </c>
      <c r="WIV12" s="314" t="s">
        <v>203</v>
      </c>
      <c r="WIW12" s="314" t="s">
        <v>203</v>
      </c>
      <c r="WIX12" s="314" t="s">
        <v>203</v>
      </c>
      <c r="WIY12" s="314" t="s">
        <v>203</v>
      </c>
      <c r="WIZ12" s="314" t="s">
        <v>203</v>
      </c>
      <c r="WJA12" s="314" t="s">
        <v>203</v>
      </c>
      <c r="WJB12" s="314" t="s">
        <v>203</v>
      </c>
      <c r="WJC12" s="314" t="s">
        <v>203</v>
      </c>
      <c r="WJD12" s="314" t="s">
        <v>203</v>
      </c>
      <c r="WJE12" s="314" t="s">
        <v>203</v>
      </c>
      <c r="WJF12" s="314" t="s">
        <v>203</v>
      </c>
      <c r="WJG12" s="314" t="s">
        <v>203</v>
      </c>
      <c r="WJH12" s="314" t="s">
        <v>203</v>
      </c>
      <c r="WJI12" s="314" t="s">
        <v>203</v>
      </c>
      <c r="WJJ12" s="314" t="s">
        <v>203</v>
      </c>
      <c r="WJK12" s="314" t="s">
        <v>203</v>
      </c>
      <c r="WJL12" s="314" t="s">
        <v>203</v>
      </c>
      <c r="WJM12" s="314" t="s">
        <v>203</v>
      </c>
      <c r="WJN12" s="314" t="s">
        <v>203</v>
      </c>
      <c r="WJO12" s="314" t="s">
        <v>203</v>
      </c>
      <c r="WJP12" s="314" t="s">
        <v>203</v>
      </c>
      <c r="WJQ12" s="314" t="s">
        <v>203</v>
      </c>
      <c r="WJR12" s="314" t="s">
        <v>203</v>
      </c>
      <c r="WJS12" s="314" t="s">
        <v>203</v>
      </c>
      <c r="WJT12" s="314" t="s">
        <v>203</v>
      </c>
      <c r="WJU12" s="314" t="s">
        <v>203</v>
      </c>
      <c r="WJV12" s="314" t="s">
        <v>203</v>
      </c>
      <c r="WJW12" s="314" t="s">
        <v>203</v>
      </c>
      <c r="WJX12" s="314" t="s">
        <v>203</v>
      </c>
      <c r="WJY12" s="314" t="s">
        <v>203</v>
      </c>
      <c r="WJZ12" s="314" t="s">
        <v>203</v>
      </c>
      <c r="WKA12" s="314" t="s">
        <v>203</v>
      </c>
      <c r="WKB12" s="314" t="s">
        <v>203</v>
      </c>
      <c r="WKC12" s="314" t="s">
        <v>203</v>
      </c>
      <c r="WKD12" s="314" t="s">
        <v>203</v>
      </c>
      <c r="WKE12" s="314" t="s">
        <v>203</v>
      </c>
      <c r="WKF12" s="314" t="s">
        <v>203</v>
      </c>
      <c r="WKG12" s="314" t="s">
        <v>203</v>
      </c>
      <c r="WKH12" s="314" t="s">
        <v>203</v>
      </c>
      <c r="WKI12" s="314" t="s">
        <v>203</v>
      </c>
      <c r="WKJ12" s="314" t="s">
        <v>203</v>
      </c>
      <c r="WKK12" s="314" t="s">
        <v>203</v>
      </c>
      <c r="WKL12" s="314" t="s">
        <v>203</v>
      </c>
      <c r="WKM12" s="314" t="s">
        <v>203</v>
      </c>
      <c r="WKN12" s="314" t="s">
        <v>203</v>
      </c>
      <c r="WKO12" s="314" t="s">
        <v>203</v>
      </c>
      <c r="WKP12" s="314" t="s">
        <v>203</v>
      </c>
      <c r="WKQ12" s="314" t="s">
        <v>203</v>
      </c>
      <c r="WKR12" s="314" t="s">
        <v>203</v>
      </c>
      <c r="WKS12" s="314" t="s">
        <v>203</v>
      </c>
      <c r="WKT12" s="314" t="s">
        <v>203</v>
      </c>
      <c r="WKU12" s="314" t="s">
        <v>203</v>
      </c>
      <c r="WKV12" s="314" t="s">
        <v>203</v>
      </c>
      <c r="WKW12" s="314" t="s">
        <v>203</v>
      </c>
      <c r="WKX12" s="314" t="s">
        <v>203</v>
      </c>
      <c r="WKY12" s="314" t="s">
        <v>203</v>
      </c>
      <c r="WKZ12" s="314" t="s">
        <v>203</v>
      </c>
      <c r="WLA12" s="314" t="s">
        <v>203</v>
      </c>
      <c r="WLB12" s="314" t="s">
        <v>203</v>
      </c>
      <c r="WLC12" s="314" t="s">
        <v>203</v>
      </c>
      <c r="WLD12" s="314" t="s">
        <v>203</v>
      </c>
      <c r="WLE12" s="314" t="s">
        <v>203</v>
      </c>
      <c r="WLF12" s="314" t="s">
        <v>203</v>
      </c>
      <c r="WLG12" s="314" t="s">
        <v>203</v>
      </c>
      <c r="WLH12" s="314" t="s">
        <v>203</v>
      </c>
      <c r="WLI12" s="314" t="s">
        <v>203</v>
      </c>
      <c r="WLJ12" s="314" t="s">
        <v>203</v>
      </c>
      <c r="WLK12" s="314" t="s">
        <v>203</v>
      </c>
      <c r="WLL12" s="314" t="s">
        <v>203</v>
      </c>
      <c r="WLM12" s="314" t="s">
        <v>203</v>
      </c>
      <c r="WLN12" s="314" t="s">
        <v>203</v>
      </c>
      <c r="WLO12" s="314" t="s">
        <v>203</v>
      </c>
      <c r="WLP12" s="314" t="s">
        <v>203</v>
      </c>
      <c r="WLQ12" s="314" t="s">
        <v>203</v>
      </c>
      <c r="WLR12" s="314" t="s">
        <v>203</v>
      </c>
      <c r="WLS12" s="314" t="s">
        <v>203</v>
      </c>
      <c r="WLT12" s="314" t="s">
        <v>203</v>
      </c>
      <c r="WLU12" s="314" t="s">
        <v>203</v>
      </c>
      <c r="WLV12" s="314" t="s">
        <v>203</v>
      </c>
      <c r="WLW12" s="314" t="s">
        <v>203</v>
      </c>
      <c r="WLX12" s="314" t="s">
        <v>203</v>
      </c>
      <c r="WLY12" s="314" t="s">
        <v>203</v>
      </c>
      <c r="WLZ12" s="314" t="s">
        <v>203</v>
      </c>
      <c r="WMA12" s="314" t="s">
        <v>203</v>
      </c>
      <c r="WMB12" s="314" t="s">
        <v>203</v>
      </c>
      <c r="WMC12" s="314" t="s">
        <v>203</v>
      </c>
      <c r="WMD12" s="314" t="s">
        <v>203</v>
      </c>
      <c r="WME12" s="314" t="s">
        <v>203</v>
      </c>
      <c r="WMF12" s="314" t="s">
        <v>203</v>
      </c>
      <c r="WMG12" s="314" t="s">
        <v>203</v>
      </c>
      <c r="WMH12" s="314" t="s">
        <v>203</v>
      </c>
      <c r="WMI12" s="314" t="s">
        <v>203</v>
      </c>
      <c r="WMJ12" s="314" t="s">
        <v>203</v>
      </c>
      <c r="WMK12" s="314" t="s">
        <v>203</v>
      </c>
      <c r="WML12" s="314" t="s">
        <v>203</v>
      </c>
      <c r="WMM12" s="314" t="s">
        <v>203</v>
      </c>
      <c r="WMN12" s="314" t="s">
        <v>203</v>
      </c>
      <c r="WMO12" s="314" t="s">
        <v>203</v>
      </c>
      <c r="WMP12" s="314" t="s">
        <v>203</v>
      </c>
      <c r="WMQ12" s="314" t="s">
        <v>203</v>
      </c>
      <c r="WMR12" s="314" t="s">
        <v>203</v>
      </c>
      <c r="WMS12" s="314" t="s">
        <v>203</v>
      </c>
      <c r="WMT12" s="314" t="s">
        <v>203</v>
      </c>
      <c r="WMU12" s="314" t="s">
        <v>203</v>
      </c>
      <c r="WMV12" s="314" t="s">
        <v>203</v>
      </c>
      <c r="WMW12" s="314" t="s">
        <v>203</v>
      </c>
      <c r="WMX12" s="314" t="s">
        <v>203</v>
      </c>
      <c r="WMY12" s="314" t="s">
        <v>203</v>
      </c>
      <c r="WMZ12" s="314" t="s">
        <v>203</v>
      </c>
      <c r="WNA12" s="314" t="s">
        <v>203</v>
      </c>
      <c r="WNB12" s="314" t="s">
        <v>203</v>
      </c>
      <c r="WNC12" s="314" t="s">
        <v>203</v>
      </c>
      <c r="WND12" s="314" t="s">
        <v>203</v>
      </c>
      <c r="WNE12" s="314" t="s">
        <v>203</v>
      </c>
      <c r="WNF12" s="314" t="s">
        <v>203</v>
      </c>
      <c r="WNG12" s="314" t="s">
        <v>203</v>
      </c>
      <c r="WNH12" s="314" t="s">
        <v>203</v>
      </c>
      <c r="WNI12" s="314" t="s">
        <v>203</v>
      </c>
      <c r="WNJ12" s="314" t="s">
        <v>203</v>
      </c>
      <c r="WNK12" s="314" t="s">
        <v>203</v>
      </c>
      <c r="WNL12" s="314" t="s">
        <v>203</v>
      </c>
      <c r="WNM12" s="314" t="s">
        <v>203</v>
      </c>
      <c r="WNN12" s="314" t="s">
        <v>203</v>
      </c>
      <c r="WNO12" s="314" t="s">
        <v>203</v>
      </c>
      <c r="WNP12" s="314" t="s">
        <v>203</v>
      </c>
      <c r="WNQ12" s="314" t="s">
        <v>203</v>
      </c>
      <c r="WNR12" s="314" t="s">
        <v>203</v>
      </c>
      <c r="WNS12" s="314" t="s">
        <v>203</v>
      </c>
      <c r="WNT12" s="314" t="s">
        <v>203</v>
      </c>
      <c r="WNU12" s="314" t="s">
        <v>203</v>
      </c>
      <c r="WNV12" s="314" t="s">
        <v>203</v>
      </c>
      <c r="WNW12" s="314" t="s">
        <v>203</v>
      </c>
      <c r="WNX12" s="314" t="s">
        <v>203</v>
      </c>
      <c r="WNY12" s="314" t="s">
        <v>203</v>
      </c>
      <c r="WNZ12" s="314" t="s">
        <v>203</v>
      </c>
      <c r="WOA12" s="314" t="s">
        <v>203</v>
      </c>
      <c r="WOB12" s="314" t="s">
        <v>203</v>
      </c>
      <c r="WOC12" s="314" t="s">
        <v>203</v>
      </c>
      <c r="WOD12" s="314" t="s">
        <v>203</v>
      </c>
      <c r="WOE12" s="314" t="s">
        <v>203</v>
      </c>
      <c r="WOF12" s="314" t="s">
        <v>203</v>
      </c>
      <c r="WOG12" s="314" t="s">
        <v>203</v>
      </c>
      <c r="WOH12" s="314" t="s">
        <v>203</v>
      </c>
      <c r="WOI12" s="314" t="s">
        <v>203</v>
      </c>
      <c r="WOJ12" s="314" t="s">
        <v>203</v>
      </c>
      <c r="WOK12" s="314" t="s">
        <v>203</v>
      </c>
      <c r="WOL12" s="314" t="s">
        <v>203</v>
      </c>
      <c r="WOM12" s="314" t="s">
        <v>203</v>
      </c>
      <c r="WON12" s="314" t="s">
        <v>203</v>
      </c>
      <c r="WOO12" s="314" t="s">
        <v>203</v>
      </c>
      <c r="WOP12" s="314" t="s">
        <v>203</v>
      </c>
      <c r="WOQ12" s="314" t="s">
        <v>203</v>
      </c>
      <c r="WOR12" s="314" t="s">
        <v>203</v>
      </c>
      <c r="WOS12" s="314" t="s">
        <v>203</v>
      </c>
      <c r="WOT12" s="314" t="s">
        <v>203</v>
      </c>
      <c r="WOU12" s="314" t="s">
        <v>203</v>
      </c>
      <c r="WOV12" s="314" t="s">
        <v>203</v>
      </c>
      <c r="WOW12" s="314" t="s">
        <v>203</v>
      </c>
      <c r="WOX12" s="314" t="s">
        <v>203</v>
      </c>
      <c r="WOY12" s="314" t="s">
        <v>203</v>
      </c>
      <c r="WOZ12" s="314" t="s">
        <v>203</v>
      </c>
      <c r="WPA12" s="314" t="s">
        <v>203</v>
      </c>
      <c r="WPB12" s="314" t="s">
        <v>203</v>
      </c>
      <c r="WPC12" s="314" t="s">
        <v>203</v>
      </c>
      <c r="WPD12" s="314" t="s">
        <v>203</v>
      </c>
      <c r="WPE12" s="314" t="s">
        <v>203</v>
      </c>
      <c r="WPF12" s="314" t="s">
        <v>203</v>
      </c>
      <c r="WPG12" s="314" t="s">
        <v>203</v>
      </c>
      <c r="WPH12" s="314" t="s">
        <v>203</v>
      </c>
      <c r="WPI12" s="314" t="s">
        <v>203</v>
      </c>
      <c r="WPJ12" s="314" t="s">
        <v>203</v>
      </c>
      <c r="WPK12" s="314" t="s">
        <v>203</v>
      </c>
      <c r="WPL12" s="314" t="s">
        <v>203</v>
      </c>
      <c r="WPM12" s="314" t="s">
        <v>203</v>
      </c>
      <c r="WPN12" s="314" t="s">
        <v>203</v>
      </c>
      <c r="WPO12" s="314" t="s">
        <v>203</v>
      </c>
      <c r="WPP12" s="314" t="s">
        <v>203</v>
      </c>
      <c r="WPQ12" s="314" t="s">
        <v>203</v>
      </c>
      <c r="WPR12" s="314" t="s">
        <v>203</v>
      </c>
      <c r="WPS12" s="314" t="s">
        <v>203</v>
      </c>
      <c r="WPT12" s="314" t="s">
        <v>203</v>
      </c>
      <c r="WPU12" s="314" t="s">
        <v>203</v>
      </c>
      <c r="WPV12" s="314" t="s">
        <v>203</v>
      </c>
      <c r="WPW12" s="314" t="s">
        <v>203</v>
      </c>
      <c r="WPX12" s="314" t="s">
        <v>203</v>
      </c>
      <c r="WPY12" s="314" t="s">
        <v>203</v>
      </c>
      <c r="WPZ12" s="314" t="s">
        <v>203</v>
      </c>
      <c r="WQA12" s="314" t="s">
        <v>203</v>
      </c>
      <c r="WQB12" s="314" t="s">
        <v>203</v>
      </c>
      <c r="WQC12" s="314" t="s">
        <v>203</v>
      </c>
      <c r="WQD12" s="314" t="s">
        <v>203</v>
      </c>
      <c r="WQE12" s="314" t="s">
        <v>203</v>
      </c>
      <c r="WQF12" s="314" t="s">
        <v>203</v>
      </c>
      <c r="WQG12" s="314" t="s">
        <v>203</v>
      </c>
      <c r="WQH12" s="314" t="s">
        <v>203</v>
      </c>
      <c r="WQI12" s="314" t="s">
        <v>203</v>
      </c>
      <c r="WQJ12" s="314" t="s">
        <v>203</v>
      </c>
      <c r="WQK12" s="314" t="s">
        <v>203</v>
      </c>
      <c r="WQL12" s="314" t="s">
        <v>203</v>
      </c>
      <c r="WQM12" s="314" t="s">
        <v>203</v>
      </c>
      <c r="WQN12" s="314" t="s">
        <v>203</v>
      </c>
      <c r="WQO12" s="314" t="s">
        <v>203</v>
      </c>
      <c r="WQP12" s="314" t="s">
        <v>203</v>
      </c>
      <c r="WQQ12" s="314" t="s">
        <v>203</v>
      </c>
      <c r="WQR12" s="314" t="s">
        <v>203</v>
      </c>
      <c r="WQS12" s="314" t="s">
        <v>203</v>
      </c>
      <c r="WQT12" s="314" t="s">
        <v>203</v>
      </c>
      <c r="WQU12" s="314" t="s">
        <v>203</v>
      </c>
      <c r="WQV12" s="314" t="s">
        <v>203</v>
      </c>
      <c r="WQW12" s="314" t="s">
        <v>203</v>
      </c>
      <c r="WQX12" s="314" t="s">
        <v>203</v>
      </c>
      <c r="WQY12" s="314" t="s">
        <v>203</v>
      </c>
      <c r="WQZ12" s="314" t="s">
        <v>203</v>
      </c>
      <c r="WRA12" s="314" t="s">
        <v>203</v>
      </c>
      <c r="WRB12" s="314" t="s">
        <v>203</v>
      </c>
      <c r="WRC12" s="314" t="s">
        <v>203</v>
      </c>
      <c r="WRD12" s="314" t="s">
        <v>203</v>
      </c>
      <c r="WRE12" s="314" t="s">
        <v>203</v>
      </c>
      <c r="WRF12" s="314" t="s">
        <v>203</v>
      </c>
      <c r="WRG12" s="314" t="s">
        <v>203</v>
      </c>
      <c r="WRH12" s="314" t="s">
        <v>203</v>
      </c>
      <c r="WRI12" s="314" t="s">
        <v>203</v>
      </c>
      <c r="WRJ12" s="314" t="s">
        <v>203</v>
      </c>
      <c r="WRK12" s="314" t="s">
        <v>203</v>
      </c>
      <c r="WRL12" s="314" t="s">
        <v>203</v>
      </c>
      <c r="WRM12" s="314" t="s">
        <v>203</v>
      </c>
      <c r="WRN12" s="314" t="s">
        <v>203</v>
      </c>
      <c r="WRO12" s="314" t="s">
        <v>203</v>
      </c>
      <c r="WRP12" s="314" t="s">
        <v>203</v>
      </c>
      <c r="WRQ12" s="314" t="s">
        <v>203</v>
      </c>
      <c r="WRR12" s="314" t="s">
        <v>203</v>
      </c>
      <c r="WRS12" s="314" t="s">
        <v>203</v>
      </c>
      <c r="WRT12" s="314" t="s">
        <v>203</v>
      </c>
      <c r="WRU12" s="314" t="s">
        <v>203</v>
      </c>
      <c r="WRV12" s="314" t="s">
        <v>203</v>
      </c>
      <c r="WRW12" s="314" t="s">
        <v>203</v>
      </c>
      <c r="WRX12" s="314" t="s">
        <v>203</v>
      </c>
      <c r="WRY12" s="314" t="s">
        <v>203</v>
      </c>
      <c r="WRZ12" s="314" t="s">
        <v>203</v>
      </c>
      <c r="WSA12" s="314" t="s">
        <v>203</v>
      </c>
      <c r="WSB12" s="314" t="s">
        <v>203</v>
      </c>
      <c r="WSC12" s="314" t="s">
        <v>203</v>
      </c>
      <c r="WSD12" s="314" t="s">
        <v>203</v>
      </c>
      <c r="WSE12" s="314" t="s">
        <v>203</v>
      </c>
      <c r="WSF12" s="314" t="s">
        <v>203</v>
      </c>
      <c r="WSG12" s="314" t="s">
        <v>203</v>
      </c>
      <c r="WSH12" s="314" t="s">
        <v>203</v>
      </c>
      <c r="WSI12" s="314" t="s">
        <v>203</v>
      </c>
      <c r="WSJ12" s="314" t="s">
        <v>203</v>
      </c>
      <c r="WSK12" s="314" t="s">
        <v>203</v>
      </c>
      <c r="WSL12" s="314" t="s">
        <v>203</v>
      </c>
      <c r="WSM12" s="314" t="s">
        <v>203</v>
      </c>
      <c r="WSN12" s="314" t="s">
        <v>203</v>
      </c>
      <c r="WSO12" s="314" t="s">
        <v>203</v>
      </c>
      <c r="WSP12" s="314" t="s">
        <v>203</v>
      </c>
      <c r="WSQ12" s="314" t="s">
        <v>203</v>
      </c>
      <c r="WSR12" s="314" t="s">
        <v>203</v>
      </c>
      <c r="WSS12" s="314" t="s">
        <v>203</v>
      </c>
      <c r="WST12" s="314" t="s">
        <v>203</v>
      </c>
      <c r="WSU12" s="314" t="s">
        <v>203</v>
      </c>
      <c r="WSV12" s="314" t="s">
        <v>203</v>
      </c>
      <c r="WSW12" s="314" t="s">
        <v>203</v>
      </c>
      <c r="WSX12" s="314" t="s">
        <v>203</v>
      </c>
      <c r="WSY12" s="314" t="s">
        <v>203</v>
      </c>
      <c r="WSZ12" s="314" t="s">
        <v>203</v>
      </c>
      <c r="WTA12" s="314" t="s">
        <v>203</v>
      </c>
      <c r="WTB12" s="314" t="s">
        <v>203</v>
      </c>
      <c r="WTC12" s="314" t="s">
        <v>203</v>
      </c>
      <c r="WTD12" s="314" t="s">
        <v>203</v>
      </c>
      <c r="WTE12" s="314" t="s">
        <v>203</v>
      </c>
      <c r="WTF12" s="314" t="s">
        <v>203</v>
      </c>
      <c r="WTG12" s="314" t="s">
        <v>203</v>
      </c>
      <c r="WTH12" s="314" t="s">
        <v>203</v>
      </c>
      <c r="WTI12" s="314" t="s">
        <v>203</v>
      </c>
      <c r="WTJ12" s="314" t="s">
        <v>203</v>
      </c>
      <c r="WTK12" s="314" t="s">
        <v>203</v>
      </c>
      <c r="WTL12" s="314" t="s">
        <v>203</v>
      </c>
      <c r="WTM12" s="314" t="s">
        <v>203</v>
      </c>
      <c r="WTN12" s="314" t="s">
        <v>203</v>
      </c>
      <c r="WTO12" s="314" t="s">
        <v>203</v>
      </c>
      <c r="WTP12" s="314" t="s">
        <v>203</v>
      </c>
      <c r="WTQ12" s="314" t="s">
        <v>203</v>
      </c>
      <c r="WTR12" s="314" t="s">
        <v>203</v>
      </c>
      <c r="WTS12" s="314" t="s">
        <v>203</v>
      </c>
      <c r="WTT12" s="314" t="s">
        <v>203</v>
      </c>
      <c r="WTU12" s="314" t="s">
        <v>203</v>
      </c>
      <c r="WTV12" s="314" t="s">
        <v>203</v>
      </c>
      <c r="WTW12" s="314" t="s">
        <v>203</v>
      </c>
      <c r="WTX12" s="314" t="s">
        <v>203</v>
      </c>
      <c r="WTY12" s="314" t="s">
        <v>203</v>
      </c>
      <c r="WTZ12" s="314" t="s">
        <v>203</v>
      </c>
      <c r="WUA12" s="314" t="s">
        <v>203</v>
      </c>
      <c r="WUB12" s="314" t="s">
        <v>203</v>
      </c>
      <c r="WUC12" s="314" t="s">
        <v>203</v>
      </c>
      <c r="WUD12" s="314" t="s">
        <v>203</v>
      </c>
      <c r="WUE12" s="314" t="s">
        <v>203</v>
      </c>
      <c r="WUF12" s="314" t="s">
        <v>203</v>
      </c>
      <c r="WUG12" s="314" t="s">
        <v>203</v>
      </c>
      <c r="WUH12" s="314" t="s">
        <v>203</v>
      </c>
      <c r="WUI12" s="314" t="s">
        <v>203</v>
      </c>
      <c r="WUJ12" s="314" t="s">
        <v>203</v>
      </c>
      <c r="WUK12" s="314" t="s">
        <v>203</v>
      </c>
      <c r="WUL12" s="314" t="s">
        <v>203</v>
      </c>
      <c r="WUM12" s="314" t="s">
        <v>203</v>
      </c>
      <c r="WUN12" s="314" t="s">
        <v>203</v>
      </c>
      <c r="WUO12" s="314" t="s">
        <v>203</v>
      </c>
      <c r="WUP12" s="314" t="s">
        <v>203</v>
      </c>
      <c r="WUQ12" s="314" t="s">
        <v>203</v>
      </c>
      <c r="WUR12" s="314" t="s">
        <v>203</v>
      </c>
      <c r="WUS12" s="314" t="s">
        <v>203</v>
      </c>
      <c r="WUT12" s="314" t="s">
        <v>203</v>
      </c>
      <c r="WUU12" s="314" t="s">
        <v>203</v>
      </c>
      <c r="WUV12" s="314" t="s">
        <v>203</v>
      </c>
      <c r="WUW12" s="314" t="s">
        <v>203</v>
      </c>
      <c r="WUX12" s="314" t="s">
        <v>203</v>
      </c>
      <c r="WUY12" s="314" t="s">
        <v>203</v>
      </c>
      <c r="WUZ12" s="314" t="s">
        <v>203</v>
      </c>
      <c r="WVA12" s="314" t="s">
        <v>203</v>
      </c>
      <c r="WVB12" s="314" t="s">
        <v>203</v>
      </c>
      <c r="WVC12" s="314" t="s">
        <v>203</v>
      </c>
      <c r="WVD12" s="314" t="s">
        <v>203</v>
      </c>
      <c r="WVE12" s="314" t="s">
        <v>203</v>
      </c>
      <c r="WVF12" s="314" t="s">
        <v>203</v>
      </c>
      <c r="WVG12" s="314" t="s">
        <v>203</v>
      </c>
      <c r="WVH12" s="314" t="s">
        <v>203</v>
      </c>
      <c r="WVI12" s="314" t="s">
        <v>203</v>
      </c>
      <c r="WVJ12" s="314" t="s">
        <v>203</v>
      </c>
      <c r="WVK12" s="314" t="s">
        <v>203</v>
      </c>
      <c r="WVL12" s="314" t="s">
        <v>203</v>
      </c>
      <c r="WVM12" s="314" t="s">
        <v>203</v>
      </c>
      <c r="WVN12" s="314" t="s">
        <v>203</v>
      </c>
      <c r="WVO12" s="314" t="s">
        <v>203</v>
      </c>
      <c r="WVP12" s="314" t="s">
        <v>203</v>
      </c>
      <c r="WVQ12" s="314" t="s">
        <v>203</v>
      </c>
      <c r="WVR12" s="314" t="s">
        <v>203</v>
      </c>
      <c r="WVS12" s="314" t="s">
        <v>203</v>
      </c>
      <c r="WVT12" s="314" t="s">
        <v>203</v>
      </c>
      <c r="WVU12" s="314" t="s">
        <v>203</v>
      </c>
      <c r="WVV12" s="314" t="s">
        <v>203</v>
      </c>
      <c r="WVW12" s="314" t="s">
        <v>203</v>
      </c>
      <c r="WVX12" s="314" t="s">
        <v>203</v>
      </c>
      <c r="WVY12" s="314" t="s">
        <v>203</v>
      </c>
      <c r="WVZ12" s="314" t="s">
        <v>203</v>
      </c>
      <c r="WWA12" s="314" t="s">
        <v>203</v>
      </c>
      <c r="WWB12" s="314" t="s">
        <v>203</v>
      </c>
      <c r="WWC12" s="314" t="s">
        <v>203</v>
      </c>
      <c r="WWD12" s="314" t="s">
        <v>203</v>
      </c>
      <c r="WWE12" s="314" t="s">
        <v>203</v>
      </c>
      <c r="WWF12" s="314" t="s">
        <v>203</v>
      </c>
      <c r="WWG12" s="314" t="s">
        <v>203</v>
      </c>
      <c r="WWH12" s="314" t="s">
        <v>203</v>
      </c>
      <c r="WWI12" s="314" t="s">
        <v>203</v>
      </c>
      <c r="WWJ12" s="314" t="s">
        <v>203</v>
      </c>
      <c r="WWK12" s="314" t="s">
        <v>203</v>
      </c>
      <c r="WWL12" s="314" t="s">
        <v>203</v>
      </c>
      <c r="WWM12" s="314" t="s">
        <v>203</v>
      </c>
      <c r="WWN12" s="314" t="s">
        <v>203</v>
      </c>
      <c r="WWO12" s="314" t="s">
        <v>203</v>
      </c>
      <c r="WWP12" s="314" t="s">
        <v>203</v>
      </c>
      <c r="WWQ12" s="314" t="s">
        <v>203</v>
      </c>
      <c r="WWR12" s="314" t="s">
        <v>203</v>
      </c>
      <c r="WWS12" s="314" t="s">
        <v>203</v>
      </c>
      <c r="WWT12" s="314" t="s">
        <v>203</v>
      </c>
      <c r="WWU12" s="314" t="s">
        <v>203</v>
      </c>
      <c r="WWV12" s="314" t="s">
        <v>203</v>
      </c>
      <c r="WWW12" s="314" t="s">
        <v>203</v>
      </c>
      <c r="WWX12" s="314" t="s">
        <v>203</v>
      </c>
      <c r="WWY12" s="314" t="s">
        <v>203</v>
      </c>
      <c r="WWZ12" s="314" t="s">
        <v>203</v>
      </c>
      <c r="WXA12" s="314" t="s">
        <v>203</v>
      </c>
      <c r="WXB12" s="314" t="s">
        <v>203</v>
      </c>
      <c r="WXC12" s="314" t="s">
        <v>203</v>
      </c>
      <c r="WXD12" s="314" t="s">
        <v>203</v>
      </c>
      <c r="WXE12" s="314" t="s">
        <v>203</v>
      </c>
      <c r="WXF12" s="314" t="s">
        <v>203</v>
      </c>
      <c r="WXG12" s="314" t="s">
        <v>203</v>
      </c>
      <c r="WXH12" s="314" t="s">
        <v>203</v>
      </c>
      <c r="WXI12" s="314" t="s">
        <v>203</v>
      </c>
      <c r="WXJ12" s="314" t="s">
        <v>203</v>
      </c>
      <c r="WXK12" s="314" t="s">
        <v>203</v>
      </c>
      <c r="WXL12" s="314" t="s">
        <v>203</v>
      </c>
      <c r="WXM12" s="314" t="s">
        <v>203</v>
      </c>
      <c r="WXN12" s="314" t="s">
        <v>203</v>
      </c>
      <c r="WXO12" s="314" t="s">
        <v>203</v>
      </c>
      <c r="WXP12" s="314" t="s">
        <v>203</v>
      </c>
      <c r="WXQ12" s="314" t="s">
        <v>203</v>
      </c>
      <c r="WXR12" s="314" t="s">
        <v>203</v>
      </c>
      <c r="WXS12" s="314" t="s">
        <v>203</v>
      </c>
      <c r="WXT12" s="314" t="s">
        <v>203</v>
      </c>
      <c r="WXU12" s="314" t="s">
        <v>203</v>
      </c>
      <c r="WXV12" s="314" t="s">
        <v>203</v>
      </c>
      <c r="WXW12" s="314" t="s">
        <v>203</v>
      </c>
      <c r="WXX12" s="314" t="s">
        <v>203</v>
      </c>
      <c r="WXY12" s="314" t="s">
        <v>203</v>
      </c>
      <c r="WXZ12" s="314" t="s">
        <v>203</v>
      </c>
      <c r="WYA12" s="314" t="s">
        <v>203</v>
      </c>
      <c r="WYB12" s="314" t="s">
        <v>203</v>
      </c>
      <c r="WYC12" s="314" t="s">
        <v>203</v>
      </c>
      <c r="WYD12" s="314" t="s">
        <v>203</v>
      </c>
      <c r="WYE12" s="314" t="s">
        <v>203</v>
      </c>
      <c r="WYF12" s="314" t="s">
        <v>203</v>
      </c>
      <c r="WYG12" s="314" t="s">
        <v>203</v>
      </c>
      <c r="WYH12" s="314" t="s">
        <v>203</v>
      </c>
      <c r="WYI12" s="314" t="s">
        <v>203</v>
      </c>
      <c r="WYJ12" s="314" t="s">
        <v>203</v>
      </c>
      <c r="WYK12" s="314" t="s">
        <v>203</v>
      </c>
      <c r="WYL12" s="314" t="s">
        <v>203</v>
      </c>
      <c r="WYM12" s="314" t="s">
        <v>203</v>
      </c>
      <c r="WYN12" s="314" t="s">
        <v>203</v>
      </c>
      <c r="WYO12" s="314" t="s">
        <v>203</v>
      </c>
      <c r="WYP12" s="314" t="s">
        <v>203</v>
      </c>
      <c r="WYQ12" s="314" t="s">
        <v>203</v>
      </c>
      <c r="WYR12" s="314" t="s">
        <v>203</v>
      </c>
      <c r="WYS12" s="314" t="s">
        <v>203</v>
      </c>
      <c r="WYT12" s="314" t="s">
        <v>203</v>
      </c>
      <c r="WYU12" s="314" t="s">
        <v>203</v>
      </c>
      <c r="WYV12" s="314" t="s">
        <v>203</v>
      </c>
      <c r="WYW12" s="314" t="s">
        <v>203</v>
      </c>
      <c r="WYX12" s="314" t="s">
        <v>203</v>
      </c>
      <c r="WYY12" s="314" t="s">
        <v>203</v>
      </c>
      <c r="WYZ12" s="314" t="s">
        <v>203</v>
      </c>
      <c r="WZA12" s="314" t="s">
        <v>203</v>
      </c>
      <c r="WZB12" s="314" t="s">
        <v>203</v>
      </c>
      <c r="WZC12" s="314" t="s">
        <v>203</v>
      </c>
      <c r="WZD12" s="314" t="s">
        <v>203</v>
      </c>
      <c r="WZE12" s="314" t="s">
        <v>203</v>
      </c>
      <c r="WZF12" s="314" t="s">
        <v>203</v>
      </c>
      <c r="WZG12" s="314" t="s">
        <v>203</v>
      </c>
      <c r="WZH12" s="314" t="s">
        <v>203</v>
      </c>
      <c r="WZI12" s="314" t="s">
        <v>203</v>
      </c>
      <c r="WZJ12" s="314" t="s">
        <v>203</v>
      </c>
      <c r="WZK12" s="314" t="s">
        <v>203</v>
      </c>
      <c r="WZL12" s="314" t="s">
        <v>203</v>
      </c>
      <c r="WZM12" s="314" t="s">
        <v>203</v>
      </c>
      <c r="WZN12" s="314" t="s">
        <v>203</v>
      </c>
      <c r="WZO12" s="314" t="s">
        <v>203</v>
      </c>
      <c r="WZP12" s="314" t="s">
        <v>203</v>
      </c>
      <c r="WZQ12" s="314" t="s">
        <v>203</v>
      </c>
      <c r="WZR12" s="314" t="s">
        <v>203</v>
      </c>
      <c r="WZS12" s="314" t="s">
        <v>203</v>
      </c>
      <c r="WZT12" s="314" t="s">
        <v>203</v>
      </c>
      <c r="WZU12" s="314" t="s">
        <v>203</v>
      </c>
      <c r="WZV12" s="314" t="s">
        <v>203</v>
      </c>
      <c r="WZW12" s="314" t="s">
        <v>203</v>
      </c>
      <c r="WZX12" s="314" t="s">
        <v>203</v>
      </c>
      <c r="WZY12" s="314" t="s">
        <v>203</v>
      </c>
      <c r="WZZ12" s="314" t="s">
        <v>203</v>
      </c>
      <c r="XAA12" s="314" t="s">
        <v>203</v>
      </c>
      <c r="XAB12" s="314" t="s">
        <v>203</v>
      </c>
      <c r="XAC12" s="314" t="s">
        <v>203</v>
      </c>
      <c r="XAD12" s="314" t="s">
        <v>203</v>
      </c>
      <c r="XAE12" s="314" t="s">
        <v>203</v>
      </c>
      <c r="XAF12" s="314" t="s">
        <v>203</v>
      </c>
      <c r="XAG12" s="314" t="s">
        <v>203</v>
      </c>
      <c r="XAH12" s="314" t="s">
        <v>203</v>
      </c>
      <c r="XAI12" s="314" t="s">
        <v>203</v>
      </c>
      <c r="XAJ12" s="314" t="s">
        <v>203</v>
      </c>
      <c r="XAK12" s="314" t="s">
        <v>203</v>
      </c>
      <c r="XAL12" s="314" t="s">
        <v>203</v>
      </c>
      <c r="XAM12" s="314" t="s">
        <v>203</v>
      </c>
      <c r="XAN12" s="314" t="s">
        <v>203</v>
      </c>
      <c r="XAO12" s="314" t="s">
        <v>203</v>
      </c>
      <c r="XAP12" s="314" t="s">
        <v>203</v>
      </c>
      <c r="XAQ12" s="314" t="s">
        <v>203</v>
      </c>
      <c r="XAR12" s="314" t="s">
        <v>203</v>
      </c>
      <c r="XAS12" s="314" t="s">
        <v>203</v>
      </c>
      <c r="XAT12" s="314" t="s">
        <v>203</v>
      </c>
      <c r="XAU12" s="314" t="s">
        <v>203</v>
      </c>
      <c r="XAV12" s="314" t="s">
        <v>203</v>
      </c>
      <c r="XAW12" s="314" t="s">
        <v>203</v>
      </c>
      <c r="XAX12" s="314" t="s">
        <v>203</v>
      </c>
      <c r="XAY12" s="314" t="s">
        <v>203</v>
      </c>
      <c r="XAZ12" s="314" t="s">
        <v>203</v>
      </c>
      <c r="XBA12" s="314" t="s">
        <v>203</v>
      </c>
      <c r="XBB12" s="314" t="s">
        <v>203</v>
      </c>
      <c r="XBC12" s="314" t="s">
        <v>203</v>
      </c>
      <c r="XBD12" s="314" t="s">
        <v>203</v>
      </c>
      <c r="XBE12" s="314" t="s">
        <v>203</v>
      </c>
      <c r="XBF12" s="314" t="s">
        <v>203</v>
      </c>
      <c r="XBG12" s="314" t="s">
        <v>203</v>
      </c>
      <c r="XBH12" s="314" t="s">
        <v>203</v>
      </c>
      <c r="XBI12" s="314" t="s">
        <v>203</v>
      </c>
      <c r="XBJ12" s="314" t="s">
        <v>203</v>
      </c>
      <c r="XBK12" s="314" t="s">
        <v>203</v>
      </c>
      <c r="XBL12" s="314" t="s">
        <v>203</v>
      </c>
      <c r="XBM12" s="314" t="s">
        <v>203</v>
      </c>
      <c r="XBN12" s="314" t="s">
        <v>203</v>
      </c>
      <c r="XBO12" s="314" t="s">
        <v>203</v>
      </c>
      <c r="XBP12" s="314" t="s">
        <v>203</v>
      </c>
      <c r="XBQ12" s="314" t="s">
        <v>203</v>
      </c>
      <c r="XBR12" s="314" t="s">
        <v>203</v>
      </c>
      <c r="XBS12" s="314" t="s">
        <v>203</v>
      </c>
      <c r="XBT12" s="314" t="s">
        <v>203</v>
      </c>
      <c r="XBU12" s="314" t="s">
        <v>203</v>
      </c>
      <c r="XBV12" s="314" t="s">
        <v>203</v>
      </c>
      <c r="XBW12" s="314" t="s">
        <v>203</v>
      </c>
      <c r="XBX12" s="314" t="s">
        <v>203</v>
      </c>
      <c r="XBY12" s="314" t="s">
        <v>203</v>
      </c>
      <c r="XBZ12" s="314" t="s">
        <v>203</v>
      </c>
      <c r="XCA12" s="314" t="s">
        <v>203</v>
      </c>
      <c r="XCB12" s="314" t="s">
        <v>203</v>
      </c>
      <c r="XCC12" s="314" t="s">
        <v>203</v>
      </c>
      <c r="XCD12" s="314" t="s">
        <v>203</v>
      </c>
      <c r="XCE12" s="314" t="s">
        <v>203</v>
      </c>
      <c r="XCF12" s="314" t="s">
        <v>203</v>
      </c>
      <c r="XCG12" s="314" t="s">
        <v>203</v>
      </c>
      <c r="XCH12" s="314" t="s">
        <v>203</v>
      </c>
      <c r="XCI12" s="314" t="s">
        <v>203</v>
      </c>
      <c r="XCJ12" s="314" t="s">
        <v>203</v>
      </c>
      <c r="XCK12" s="314" t="s">
        <v>203</v>
      </c>
      <c r="XCL12" s="314" t="s">
        <v>203</v>
      </c>
      <c r="XCM12" s="314" t="s">
        <v>203</v>
      </c>
      <c r="XCN12" s="314" t="s">
        <v>203</v>
      </c>
      <c r="XCO12" s="314" t="s">
        <v>203</v>
      </c>
      <c r="XCP12" s="314" t="s">
        <v>203</v>
      </c>
      <c r="XCQ12" s="314" t="s">
        <v>203</v>
      </c>
      <c r="XCR12" s="314" t="s">
        <v>203</v>
      </c>
      <c r="XCS12" s="314" t="s">
        <v>203</v>
      </c>
      <c r="XCT12" s="314" t="s">
        <v>203</v>
      </c>
      <c r="XCU12" s="314" t="s">
        <v>203</v>
      </c>
      <c r="XCV12" s="314" t="s">
        <v>203</v>
      </c>
      <c r="XCW12" s="314" t="s">
        <v>203</v>
      </c>
      <c r="XCX12" s="314" t="s">
        <v>203</v>
      </c>
      <c r="XCY12" s="314" t="s">
        <v>203</v>
      </c>
      <c r="XCZ12" s="314" t="s">
        <v>203</v>
      </c>
      <c r="XDA12" s="314" t="s">
        <v>203</v>
      </c>
      <c r="XDB12" s="314" t="s">
        <v>203</v>
      </c>
      <c r="XDC12" s="314" t="s">
        <v>203</v>
      </c>
      <c r="XDD12" s="314" t="s">
        <v>203</v>
      </c>
      <c r="XDE12" s="314" t="s">
        <v>203</v>
      </c>
      <c r="XDF12" s="314" t="s">
        <v>203</v>
      </c>
      <c r="XDG12" s="314" t="s">
        <v>203</v>
      </c>
      <c r="XDH12" s="314" t="s">
        <v>203</v>
      </c>
      <c r="XDI12" s="314" t="s">
        <v>203</v>
      </c>
      <c r="XDJ12" s="314" t="s">
        <v>203</v>
      </c>
      <c r="XDK12" s="314" t="s">
        <v>203</v>
      </c>
      <c r="XDL12" s="314" t="s">
        <v>203</v>
      </c>
      <c r="XDM12" s="314" t="s">
        <v>203</v>
      </c>
      <c r="XDN12" s="314" t="s">
        <v>203</v>
      </c>
      <c r="XDO12" s="314" t="s">
        <v>203</v>
      </c>
      <c r="XDP12" s="314" t="s">
        <v>203</v>
      </c>
      <c r="XDQ12" s="314" t="s">
        <v>203</v>
      </c>
      <c r="XDR12" s="314" t="s">
        <v>203</v>
      </c>
      <c r="XDS12" s="314" t="s">
        <v>203</v>
      </c>
      <c r="XDT12" s="314" t="s">
        <v>203</v>
      </c>
      <c r="XDU12" s="314" t="s">
        <v>203</v>
      </c>
      <c r="XDV12" s="314" t="s">
        <v>203</v>
      </c>
      <c r="XDW12" s="314" t="s">
        <v>203</v>
      </c>
      <c r="XDX12" s="314" t="s">
        <v>203</v>
      </c>
      <c r="XDY12" s="314" t="s">
        <v>203</v>
      </c>
      <c r="XDZ12" s="314" t="s">
        <v>203</v>
      </c>
      <c r="XEA12" s="314" t="s">
        <v>203</v>
      </c>
      <c r="XEB12" s="314" t="s">
        <v>203</v>
      </c>
      <c r="XEC12" s="314" t="s">
        <v>203</v>
      </c>
      <c r="XED12" s="314" t="s">
        <v>203</v>
      </c>
      <c r="XEE12" s="314" t="s">
        <v>203</v>
      </c>
      <c r="XEF12" s="314" t="s">
        <v>203</v>
      </c>
      <c r="XEG12" s="314" t="s">
        <v>203</v>
      </c>
      <c r="XEH12" s="314" t="s">
        <v>203</v>
      </c>
      <c r="XEI12" s="314" t="s">
        <v>203</v>
      </c>
      <c r="XEJ12" s="314" t="s">
        <v>203</v>
      </c>
      <c r="XEK12" s="314" t="s">
        <v>203</v>
      </c>
      <c r="XEL12" s="314" t="s">
        <v>203</v>
      </c>
      <c r="XEM12" s="314" t="s">
        <v>203</v>
      </c>
      <c r="XEN12" s="314" t="s">
        <v>203</v>
      </c>
      <c r="XEO12" s="314" t="s">
        <v>203</v>
      </c>
      <c r="XEP12" s="314" t="s">
        <v>203</v>
      </c>
      <c r="XEQ12" s="314" t="s">
        <v>203</v>
      </c>
      <c r="XER12" s="314" t="s">
        <v>203</v>
      </c>
      <c r="XES12" s="314" t="s">
        <v>203</v>
      </c>
      <c r="XET12" s="314" t="s">
        <v>203</v>
      </c>
      <c r="XEU12" s="314" t="s">
        <v>203</v>
      </c>
      <c r="XEV12" s="314" t="s">
        <v>203</v>
      </c>
      <c r="XEW12" s="314" t="s">
        <v>203</v>
      </c>
      <c r="XEX12" s="314" t="s">
        <v>203</v>
      </c>
      <c r="XEY12" s="314" t="s">
        <v>203</v>
      </c>
      <c r="XEZ12" s="314" t="s">
        <v>203</v>
      </c>
      <c r="XFA12" s="314" t="s">
        <v>203</v>
      </c>
    </row>
    <row r="13" spans="1:16381" s="314" customFormat="1" ht="16.5" customHeight="1" x14ac:dyDescent="0.2">
      <c r="A13" s="606" t="s">
        <v>345</v>
      </c>
      <c r="B13" s="607">
        <v>45902</v>
      </c>
      <c r="C13" s="608"/>
      <c r="D13" s="608"/>
      <c r="E13" s="609"/>
      <c r="F13" s="609"/>
      <c r="G13" s="609"/>
      <c r="H13" s="607" t="s">
        <v>213</v>
      </c>
      <c r="I13" s="609" t="s">
        <v>47</v>
      </c>
      <c r="J13" s="610">
        <v>1518</v>
      </c>
      <c r="K13" s="610"/>
      <c r="L13" s="609"/>
      <c r="M13" s="611"/>
      <c r="N13" s="609"/>
      <c r="O13" s="610"/>
      <c r="P13" s="610"/>
      <c r="Q13" s="528"/>
      <c r="R13" s="528">
        <v>607</v>
      </c>
      <c r="S13" s="674"/>
      <c r="T13" s="528"/>
      <c r="U13" s="611"/>
      <c r="V13" s="611">
        <v>819.92</v>
      </c>
      <c r="W13" s="613" t="s">
        <v>346</v>
      </c>
      <c r="X13" s="660"/>
      <c r="Y13" s="323"/>
      <c r="Z13" s="698"/>
      <c r="AA13" s="323" t="s">
        <v>318</v>
      </c>
      <c r="AB13" s="699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  <c r="AQ13" s="323"/>
      <c r="AR13" s="323"/>
      <c r="AS13" s="323"/>
      <c r="AT13" s="323"/>
      <c r="AU13" s="323"/>
      <c r="AV13" s="323"/>
    </row>
    <row r="14" spans="1:16381" s="319" customFormat="1" x14ac:dyDescent="0.25">
      <c r="A14" s="446" t="s">
        <v>357</v>
      </c>
      <c r="B14" s="561">
        <v>45999</v>
      </c>
      <c r="C14" s="562"/>
      <c r="D14" s="562"/>
      <c r="E14" s="563"/>
      <c r="F14" s="563"/>
      <c r="G14" s="563"/>
      <c r="H14" s="573" t="s">
        <v>120</v>
      </c>
      <c r="I14" s="573" t="s">
        <v>78</v>
      </c>
      <c r="J14" s="567">
        <v>1758</v>
      </c>
      <c r="K14" s="567"/>
      <c r="L14" s="563"/>
      <c r="M14" s="571"/>
      <c r="N14" s="563"/>
      <c r="O14" s="571"/>
      <c r="P14" s="571"/>
      <c r="Q14" s="572"/>
      <c r="R14" s="572"/>
      <c r="S14" s="676">
        <v>46008</v>
      </c>
      <c r="T14" s="572" t="s">
        <v>93</v>
      </c>
      <c r="U14" s="571"/>
      <c r="V14" s="571">
        <v>508.66</v>
      </c>
      <c r="W14" s="573">
        <v>31997214917</v>
      </c>
      <c r="X14" s="289"/>
      <c r="Z14" s="700"/>
      <c r="AB14" s="701"/>
    </row>
    <row r="15" spans="1:16381" s="319" customFormat="1" x14ac:dyDescent="0.25">
      <c r="A15" s="718" t="s">
        <v>354</v>
      </c>
      <c r="B15" s="561">
        <v>45979</v>
      </c>
      <c r="C15" s="562"/>
      <c r="D15" s="562"/>
      <c r="E15" s="563"/>
      <c r="F15" s="563"/>
      <c r="G15" s="563"/>
      <c r="H15" s="573"/>
      <c r="I15" s="573"/>
      <c r="J15" s="567">
        <v>1733.05</v>
      </c>
      <c r="K15" s="567"/>
      <c r="L15" s="563"/>
      <c r="M15" s="571"/>
      <c r="N15" s="563"/>
      <c r="O15" s="571"/>
      <c r="P15" s="571"/>
      <c r="Q15" s="572"/>
      <c r="R15" s="572">
        <v>694</v>
      </c>
      <c r="S15" s="676"/>
      <c r="T15" s="572"/>
      <c r="U15" s="571"/>
      <c r="V15" s="571">
        <v>935.07</v>
      </c>
      <c r="W15" s="573">
        <v>13957522650</v>
      </c>
      <c r="X15" s="289"/>
      <c r="Z15" s="700"/>
      <c r="AB15" s="701"/>
    </row>
    <row r="16" spans="1:16381" s="319" customFormat="1" ht="12" customHeight="1" x14ac:dyDescent="0.25">
      <c r="A16" s="446" t="s">
        <v>330</v>
      </c>
      <c r="B16" s="561">
        <v>45937</v>
      </c>
      <c r="C16" s="562"/>
      <c r="D16" s="562"/>
      <c r="E16" s="563"/>
      <c r="F16" s="563"/>
      <c r="G16" s="563"/>
      <c r="H16" s="573" t="s">
        <v>120</v>
      </c>
      <c r="I16" s="573" t="s">
        <v>78</v>
      </c>
      <c r="J16" s="567">
        <v>1733.05</v>
      </c>
      <c r="K16" s="567"/>
      <c r="L16" s="563"/>
      <c r="M16" s="571"/>
      <c r="N16" s="563"/>
      <c r="O16" s="571"/>
      <c r="P16" s="571"/>
      <c r="Q16" s="572"/>
      <c r="R16" s="572">
        <v>694</v>
      </c>
      <c r="S16" s="676"/>
      <c r="T16" s="572"/>
      <c r="U16" s="571"/>
      <c r="V16" s="571">
        <f>1733.05-103.98-693</f>
        <v>936.06999999999994</v>
      </c>
      <c r="W16" s="691">
        <v>14177020605</v>
      </c>
      <c r="X16" s="289"/>
      <c r="Z16" s="700"/>
      <c r="AB16" s="701"/>
    </row>
    <row r="17" spans="1:28" ht="15.75" thickBot="1" x14ac:dyDescent="0.3">
      <c r="A17" s="446" t="s">
        <v>288</v>
      </c>
      <c r="B17" s="561"/>
      <c r="C17" s="562">
        <v>45901</v>
      </c>
      <c r="D17" s="562"/>
      <c r="E17" s="563"/>
      <c r="F17" s="563"/>
      <c r="G17" s="563"/>
      <c r="H17" s="573" t="s">
        <v>257</v>
      </c>
      <c r="I17" s="573" t="s">
        <v>206</v>
      </c>
      <c r="J17" s="567">
        <v>1758</v>
      </c>
      <c r="K17" s="567"/>
      <c r="L17" s="563"/>
      <c r="M17" s="571"/>
      <c r="N17" s="563"/>
      <c r="O17" s="571"/>
      <c r="P17" s="571"/>
      <c r="Q17" s="572"/>
      <c r="R17" s="572">
        <v>703</v>
      </c>
      <c r="S17" s="676"/>
      <c r="T17" s="572"/>
      <c r="U17" s="571"/>
      <c r="V17" s="571">
        <v>814</v>
      </c>
      <c r="W17" s="604" t="s">
        <v>289</v>
      </c>
      <c r="X17" s="25"/>
      <c r="Z17" s="704"/>
      <c r="AA17" s="705"/>
      <c r="AB17" s="706"/>
    </row>
    <row r="18" spans="1:28" x14ac:dyDescent="0.25">
      <c r="A18" s="447" t="s">
        <v>283</v>
      </c>
      <c r="B18" s="561">
        <v>45885</v>
      </c>
      <c r="C18" s="562">
        <v>45883</v>
      </c>
      <c r="D18" s="562"/>
      <c r="E18" s="563"/>
      <c r="F18" s="563"/>
      <c r="G18" s="563"/>
      <c r="H18" s="573" t="s">
        <v>282</v>
      </c>
      <c r="I18" s="573" t="s">
        <v>78</v>
      </c>
      <c r="J18" s="571">
        <v>1733.05</v>
      </c>
      <c r="K18" s="563"/>
      <c r="L18" s="563"/>
      <c r="M18" s="571"/>
      <c r="N18" s="563"/>
      <c r="O18" s="571"/>
      <c r="P18" s="563"/>
      <c r="Q18" s="571"/>
      <c r="R18" s="572">
        <v>694</v>
      </c>
      <c r="S18" s="676"/>
      <c r="T18" s="572"/>
      <c r="U18" s="571">
        <v>100</v>
      </c>
      <c r="V18" s="571">
        <f>802-100</f>
        <v>702</v>
      </c>
      <c r="W18" s="573">
        <v>31986345542</v>
      </c>
      <c r="X18" s="35"/>
    </row>
    <row r="19" spans="1:28" x14ac:dyDescent="0.25">
      <c r="A19" s="603" t="s">
        <v>286</v>
      </c>
      <c r="B19" s="535">
        <v>45897</v>
      </c>
      <c r="C19" s="535">
        <v>45897</v>
      </c>
      <c r="D19" s="536"/>
      <c r="E19" s="537"/>
      <c r="F19" s="537"/>
      <c r="G19" s="537"/>
      <c r="H19" s="321" t="s">
        <v>285</v>
      </c>
      <c r="I19" s="321" t="s">
        <v>74</v>
      </c>
      <c r="J19" s="545">
        <v>1758</v>
      </c>
      <c r="K19" s="537"/>
      <c r="L19" s="537"/>
      <c r="M19" s="545"/>
      <c r="N19" s="537"/>
      <c r="O19" s="545"/>
      <c r="P19" s="537"/>
      <c r="Q19" s="537"/>
      <c r="R19" s="545">
        <v>703</v>
      </c>
      <c r="S19" s="692"/>
      <c r="T19" s="545"/>
      <c r="U19" s="545"/>
      <c r="V19" s="545">
        <f>694+120</f>
        <v>814</v>
      </c>
      <c r="W19" s="321">
        <v>31987900125</v>
      </c>
      <c r="X19" s="25"/>
    </row>
    <row r="20" spans="1:28" ht="24.75" x14ac:dyDescent="0.25">
      <c r="A20" s="603" t="s">
        <v>309</v>
      </c>
      <c r="B20" s="535">
        <v>45923</v>
      </c>
      <c r="C20" s="535"/>
      <c r="D20" s="536"/>
      <c r="E20" s="537"/>
      <c r="F20" s="537"/>
      <c r="G20" s="537"/>
      <c r="H20" s="321" t="s">
        <v>310</v>
      </c>
      <c r="I20" s="321" t="s">
        <v>74</v>
      </c>
      <c r="J20" s="545">
        <v>1758</v>
      </c>
      <c r="K20" s="537"/>
      <c r="L20" s="537"/>
      <c r="M20" s="545"/>
      <c r="N20" s="537"/>
      <c r="O20" s="545"/>
      <c r="P20" s="537"/>
      <c r="Q20" s="537"/>
      <c r="R20" s="545">
        <v>703</v>
      </c>
      <c r="S20" s="692"/>
      <c r="T20" s="592"/>
      <c r="U20" s="545"/>
      <c r="V20" s="545">
        <v>804</v>
      </c>
      <c r="W20" s="321">
        <v>17857955620</v>
      </c>
      <c r="X20" s="25"/>
    </row>
    <row r="21" spans="1:28" x14ac:dyDescent="0.25">
      <c r="A21" s="603" t="s">
        <v>323</v>
      </c>
      <c r="B21" s="535">
        <v>45933</v>
      </c>
      <c r="C21" s="535"/>
      <c r="D21" s="536"/>
      <c r="E21" s="537"/>
      <c r="F21" s="537"/>
      <c r="G21" s="537"/>
      <c r="H21" s="321" t="s">
        <v>310</v>
      </c>
      <c r="I21" s="321" t="s">
        <v>74</v>
      </c>
      <c r="J21" s="545">
        <v>1758</v>
      </c>
      <c r="K21" s="537"/>
      <c r="L21" s="537"/>
      <c r="M21" s="545"/>
      <c r="N21" s="537"/>
      <c r="O21" s="545"/>
      <c r="P21" s="537"/>
      <c r="Q21" s="537"/>
      <c r="R21" s="545">
        <v>703</v>
      </c>
      <c r="S21" s="692"/>
      <c r="T21" s="545"/>
      <c r="U21" s="545"/>
      <c r="V21" s="545">
        <f>1758/30*7</f>
        <v>410.2</v>
      </c>
      <c r="W21" s="321" t="s">
        <v>324</v>
      </c>
      <c r="X21" s="25"/>
    </row>
    <row r="22" spans="1:28" x14ac:dyDescent="0.25">
      <c r="A22" s="603" t="s">
        <v>360</v>
      </c>
      <c r="B22" s="535"/>
      <c r="C22" s="535"/>
      <c r="D22" s="536"/>
      <c r="E22" s="537"/>
      <c r="F22" s="537"/>
      <c r="G22" s="537"/>
      <c r="H22" s="321"/>
      <c r="I22" s="321"/>
      <c r="J22" s="545">
        <v>2000</v>
      </c>
      <c r="K22" s="537"/>
      <c r="L22" s="537"/>
      <c r="M22" s="545"/>
      <c r="N22" s="537"/>
      <c r="O22" s="545"/>
      <c r="P22" s="537"/>
      <c r="Q22" s="537"/>
      <c r="R22" s="545"/>
      <c r="S22" s="692"/>
      <c r="T22" s="545"/>
      <c r="U22" s="545"/>
      <c r="V22" s="545">
        <f>2000-800-120</f>
        <v>1080</v>
      </c>
      <c r="W22" s="321">
        <v>31982100467</v>
      </c>
      <c r="X22" s="25"/>
    </row>
    <row r="23" spans="1:28" x14ac:dyDescent="0.25">
      <c r="A23" s="603" t="s">
        <v>362</v>
      </c>
      <c r="B23" s="535"/>
      <c r="C23" s="535"/>
      <c r="D23" s="536"/>
      <c r="E23" s="537"/>
      <c r="F23" s="537"/>
      <c r="G23" s="537"/>
      <c r="H23" s="321"/>
      <c r="I23" s="321"/>
      <c r="J23" s="545">
        <v>2550</v>
      </c>
      <c r="K23" s="537"/>
      <c r="L23" s="537"/>
      <c r="M23" s="545"/>
      <c r="N23" s="537"/>
      <c r="O23" s="545"/>
      <c r="P23" s="537"/>
      <c r="Q23" s="537"/>
      <c r="R23" s="545"/>
      <c r="S23" s="692"/>
      <c r="T23" s="545"/>
      <c r="U23" s="545"/>
      <c r="V23" s="545">
        <v>2550</v>
      </c>
      <c r="W23" s="321">
        <v>31997699488</v>
      </c>
      <c r="X23" s="25"/>
    </row>
    <row r="24" spans="1:28" hidden="1" x14ac:dyDescent="0.25">
      <c r="A24" s="603"/>
      <c r="B24" s="535"/>
      <c r="C24" s="535"/>
      <c r="D24" s="536"/>
      <c r="E24" s="537"/>
      <c r="F24" s="537"/>
      <c r="G24" s="537"/>
      <c r="H24" s="321"/>
      <c r="I24" s="321"/>
      <c r="J24" s="545"/>
      <c r="K24" s="537"/>
      <c r="L24" s="537"/>
      <c r="M24" s="545"/>
      <c r="N24" s="537"/>
      <c r="O24" s="545"/>
      <c r="P24" s="537"/>
      <c r="Q24" s="537"/>
      <c r="R24" s="545"/>
      <c r="S24" s="692"/>
      <c r="T24" s="545"/>
      <c r="U24" s="545"/>
      <c r="V24" s="545"/>
      <c r="W24" s="321"/>
      <c r="X24" s="25"/>
    </row>
    <row r="25" spans="1:28" hidden="1" x14ac:dyDescent="0.25">
      <c r="A25" s="603"/>
      <c r="B25" s="535"/>
      <c r="C25" s="535"/>
      <c r="D25" s="536"/>
      <c r="E25" s="537"/>
      <c r="F25" s="537"/>
      <c r="G25" s="537"/>
      <c r="H25" s="321"/>
      <c r="I25" s="321"/>
      <c r="J25" s="545"/>
      <c r="K25" s="537"/>
      <c r="L25" s="537"/>
      <c r="M25" s="545"/>
      <c r="N25" s="537"/>
      <c r="O25" s="545"/>
      <c r="P25" s="537"/>
      <c r="Q25" s="537"/>
      <c r="R25" s="545"/>
      <c r="S25" s="692"/>
      <c r="T25" s="545"/>
      <c r="U25" s="545"/>
      <c r="V25" s="545"/>
      <c r="W25" s="321"/>
      <c r="X25" s="25"/>
    </row>
    <row r="26" spans="1:28" hidden="1" x14ac:dyDescent="0.25">
      <c r="A26" s="603"/>
      <c r="B26" s="535"/>
      <c r="C26" s="535"/>
      <c r="D26" s="536"/>
      <c r="E26" s="537"/>
      <c r="F26" s="537"/>
      <c r="G26" s="537"/>
      <c r="H26" s="321"/>
      <c r="I26" s="321"/>
      <c r="J26" s="545"/>
      <c r="K26" s="537"/>
      <c r="L26" s="537"/>
      <c r="M26" s="545"/>
      <c r="N26" s="537"/>
      <c r="O26" s="545"/>
      <c r="P26" s="537"/>
      <c r="Q26" s="537"/>
      <c r="R26" s="545"/>
      <c r="S26" s="692"/>
      <c r="T26" s="545"/>
      <c r="U26" s="545"/>
      <c r="V26" s="545"/>
      <c r="W26" s="321"/>
      <c r="X26" s="25"/>
    </row>
    <row r="27" spans="1:28" hidden="1" x14ac:dyDescent="0.25">
      <c r="A27" s="603"/>
      <c r="B27" s="535"/>
      <c r="C27" s="535"/>
      <c r="D27" s="536"/>
      <c r="E27" s="537"/>
      <c r="F27" s="537"/>
      <c r="G27" s="537"/>
      <c r="H27" s="321"/>
      <c r="I27" s="321"/>
      <c r="J27" s="545"/>
      <c r="K27" s="537"/>
      <c r="L27" s="537"/>
      <c r="M27" s="545"/>
      <c r="N27" s="537"/>
      <c r="O27" s="545"/>
      <c r="P27" s="537"/>
      <c r="Q27" s="537"/>
      <c r="R27" s="545"/>
      <c r="S27" s="692"/>
      <c r="T27" s="545"/>
      <c r="U27" s="545"/>
      <c r="V27" s="545"/>
      <c r="W27" s="321"/>
      <c r="X27" s="25"/>
    </row>
    <row r="28" spans="1:28" hidden="1" x14ac:dyDescent="0.25">
      <c r="A28" s="603"/>
      <c r="B28" s="535"/>
      <c r="C28" s="535"/>
      <c r="D28" s="536"/>
      <c r="E28" s="537"/>
      <c r="F28" s="537"/>
      <c r="G28" s="537"/>
      <c r="H28" s="321"/>
      <c r="I28" s="321"/>
      <c r="J28" s="545"/>
      <c r="K28" s="537"/>
      <c r="L28" s="537"/>
      <c r="M28" s="545"/>
      <c r="N28" s="537"/>
      <c r="O28" s="545"/>
      <c r="P28" s="537"/>
      <c r="Q28" s="537"/>
      <c r="R28" s="545"/>
      <c r="S28" s="692"/>
      <c r="T28" s="545"/>
      <c r="U28" s="545"/>
      <c r="V28" s="545"/>
      <c r="W28" s="321"/>
      <c r="X28" s="25"/>
    </row>
    <row r="29" spans="1:28" x14ac:dyDescent="0.25">
      <c r="A29" s="603" t="s">
        <v>352</v>
      </c>
      <c r="B29" s="535">
        <v>45982</v>
      </c>
      <c r="C29" s="535"/>
      <c r="D29" s="536"/>
      <c r="E29" s="537"/>
      <c r="F29" s="537"/>
      <c r="G29" s="537"/>
      <c r="H29" s="321"/>
      <c r="I29" s="321"/>
      <c r="J29" s="545">
        <v>1758</v>
      </c>
      <c r="K29" s="537"/>
      <c r="L29" s="537"/>
      <c r="M29" s="545"/>
      <c r="N29" s="537"/>
      <c r="O29" s="545"/>
      <c r="P29" s="537"/>
      <c r="Q29" s="537">
        <v>20</v>
      </c>
      <c r="R29" s="545">
        <f>703-20</f>
        <v>683</v>
      </c>
      <c r="S29" s="692"/>
      <c r="T29" s="545"/>
      <c r="U29" s="545"/>
      <c r="V29" s="545">
        <f>1758-108-703-87.9</f>
        <v>859.1</v>
      </c>
      <c r="W29" s="321" t="s">
        <v>353</v>
      </c>
      <c r="X29" s="25"/>
      <c r="Z29">
        <f>1247.61*6%</f>
        <v>74.856599999999986</v>
      </c>
    </row>
    <row r="30" spans="1:28" ht="24.75" hidden="1" x14ac:dyDescent="0.25">
      <c r="A30" s="603" t="s">
        <v>327</v>
      </c>
      <c r="B30" s="535">
        <v>45939</v>
      </c>
      <c r="C30" s="535"/>
      <c r="D30" s="536"/>
      <c r="E30" s="537"/>
      <c r="F30" s="537"/>
      <c r="G30" s="537"/>
      <c r="H30" s="321" t="s">
        <v>310</v>
      </c>
      <c r="I30" s="321" t="s">
        <v>74</v>
      </c>
      <c r="J30" s="545">
        <v>1758</v>
      </c>
      <c r="K30" s="537"/>
      <c r="L30" s="321" t="s">
        <v>351</v>
      </c>
      <c r="M30" s="592"/>
      <c r="N30" s="321"/>
      <c r="O30" s="592"/>
      <c r="P30" s="537"/>
      <c r="Q30" s="537">
        <v>25</v>
      </c>
      <c r="R30" s="545">
        <f>703-25</f>
        <v>678</v>
      </c>
      <c r="S30" s="692" t="s">
        <v>358</v>
      </c>
      <c r="T30" s="592" t="s">
        <v>93</v>
      </c>
      <c r="U30" s="545"/>
      <c r="V30" s="545"/>
      <c r="W30" s="321">
        <v>31984685417</v>
      </c>
      <c r="X30" s="25"/>
    </row>
    <row r="31" spans="1:28" hidden="1" x14ac:dyDescent="0.25">
      <c r="A31" s="603" t="s">
        <v>232</v>
      </c>
      <c r="B31" s="535"/>
      <c r="C31" s="535"/>
      <c r="D31" s="536"/>
      <c r="E31" s="537"/>
      <c r="F31" s="537"/>
      <c r="G31" s="537"/>
      <c r="H31" s="321" t="s">
        <v>339</v>
      </c>
      <c r="I31" s="321" t="s">
        <v>221</v>
      </c>
      <c r="J31" s="545">
        <v>4000</v>
      </c>
      <c r="K31" s="537"/>
      <c r="L31" s="537"/>
      <c r="M31" s="545"/>
      <c r="N31" s="537"/>
      <c r="O31" s="545"/>
      <c r="P31" s="537"/>
      <c r="Q31" s="537"/>
      <c r="R31" s="545"/>
      <c r="S31" s="692"/>
      <c r="T31" s="545"/>
      <c r="U31" s="545"/>
      <c r="V31" s="545"/>
      <c r="W31" s="321"/>
      <c r="X31" s="25"/>
    </row>
    <row r="32" spans="1:28" hidden="1" x14ac:dyDescent="0.25">
      <c r="A32" s="603" t="s">
        <v>338</v>
      </c>
      <c r="B32" s="535"/>
      <c r="C32" s="535"/>
      <c r="D32" s="536"/>
      <c r="E32" s="537"/>
      <c r="F32" s="537"/>
      <c r="G32" s="537"/>
      <c r="H32" s="321" t="s">
        <v>96</v>
      </c>
      <c r="I32" s="321" t="s">
        <v>222</v>
      </c>
      <c r="J32" s="545">
        <v>2400</v>
      </c>
      <c r="K32" s="537"/>
      <c r="L32" s="537"/>
      <c r="M32" s="545"/>
      <c r="N32" s="537"/>
      <c r="O32" s="545"/>
      <c r="P32" s="537"/>
      <c r="Q32" s="537"/>
      <c r="R32" s="545"/>
      <c r="S32" s="692"/>
      <c r="T32" s="545"/>
      <c r="U32" s="545"/>
      <c r="V32" s="545">
        <v>2400</v>
      </c>
      <c r="W32" s="321"/>
      <c r="X32" s="25"/>
    </row>
    <row r="33" spans="1:24" hidden="1" x14ac:dyDescent="0.25">
      <c r="A33" s="603" t="s">
        <v>355</v>
      </c>
      <c r="B33" s="535"/>
      <c r="C33" s="535"/>
      <c r="D33" s="536"/>
      <c r="E33" s="537"/>
      <c r="F33" s="537"/>
      <c r="G33" s="537"/>
      <c r="H33" s="321" t="s">
        <v>356</v>
      </c>
      <c r="I33" s="321" t="s">
        <v>74</v>
      </c>
      <c r="J33" s="545">
        <v>1733.05</v>
      </c>
      <c r="K33" s="537"/>
      <c r="L33" s="537"/>
      <c r="M33" s="545"/>
      <c r="N33" s="537"/>
      <c r="O33" s="545"/>
      <c r="P33" s="537"/>
      <c r="Q33" s="537"/>
      <c r="R33" s="545"/>
      <c r="S33" s="692"/>
      <c r="T33" s="545"/>
      <c r="U33" s="545"/>
      <c r="V33" s="545"/>
      <c r="W33" s="321"/>
      <c r="X33" s="25"/>
    </row>
    <row r="34" spans="1:24" hidden="1" x14ac:dyDescent="0.25">
      <c r="A34" s="603" t="s">
        <v>341</v>
      </c>
      <c r="B34" s="535">
        <v>45964</v>
      </c>
      <c r="C34" s="535"/>
      <c r="D34" s="536"/>
      <c r="E34" s="537"/>
      <c r="F34" s="537"/>
      <c r="G34" s="537"/>
      <c r="H34" s="321" t="s">
        <v>96</v>
      </c>
      <c r="I34" s="321" t="s">
        <v>340</v>
      </c>
      <c r="J34" s="545">
        <v>2000</v>
      </c>
      <c r="K34" s="537"/>
      <c r="L34" s="537"/>
      <c r="M34" s="545"/>
      <c r="N34" s="537"/>
      <c r="O34" s="545"/>
      <c r="P34" s="537"/>
      <c r="Q34" s="537"/>
      <c r="R34" s="545">
        <f>2000*40%</f>
        <v>800</v>
      </c>
      <c r="S34" s="692"/>
      <c r="T34" s="545"/>
      <c r="U34" s="545"/>
      <c r="V34" s="545">
        <v>1080</v>
      </c>
      <c r="W34" s="321">
        <v>31982100467</v>
      </c>
      <c r="X34" s="25"/>
    </row>
    <row r="35" spans="1:24" x14ac:dyDescent="0.25">
      <c r="A35" s="710" t="s">
        <v>275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2"/>
      <c r="N35" s="25"/>
      <c r="O35" s="186">
        <v>13181.6</v>
      </c>
      <c r="P35" s="381"/>
      <c r="Q35" s="381"/>
      <c r="R35" s="380">
        <v>14609.62</v>
      </c>
      <c r="S35" s="694"/>
      <c r="T35" s="380"/>
      <c r="U35" s="380"/>
      <c r="V35" s="380">
        <v>21245.13</v>
      </c>
      <c r="W35" s="208"/>
      <c r="X35" s="25"/>
    </row>
    <row r="36" spans="1:24" x14ac:dyDescent="0.25">
      <c r="V36" s="27"/>
    </row>
    <row r="37" spans="1:24" x14ac:dyDescent="0.25">
      <c r="W37" s="616"/>
    </row>
    <row r="39" spans="1:24" x14ac:dyDescent="0.25">
      <c r="X39" s="272"/>
    </row>
  </sheetData>
  <autoFilter ref="H1:H35" xr:uid="{6A25047E-EEC9-4EB5-8E39-790574A310E0}"/>
  <conditionalFormatting sqref="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{1D724A5F-8249-4F2D-AF23-AECAE679CC1C}</x14:id>
        </ext>
      </extLst>
    </cfRule>
  </conditionalFormatting>
  <hyperlinks>
    <hyperlink ref="W17" r:id="rId1" xr:uid="{1B41DE76-8430-4797-8E51-FFDBC6FC5047}"/>
  </hyperlinks>
  <pageMargins left="0.511811024" right="0.511811024" top="0.78740157499999996" bottom="0.78740157499999996" header="0.31496062000000002" footer="0.31496062000000002"/>
  <pageSetup paperSize="9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724A5F-8249-4F2D-AF23-AECAE679CC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5907-8822-4D92-B6C0-CC3E46F9BC45}">
  <dimension ref="A1:XEY30"/>
  <sheetViews>
    <sheetView topLeftCell="A2" workbookViewId="0">
      <selection activeCell="O7" sqref="O7"/>
    </sheetView>
  </sheetViews>
  <sheetFormatPr defaultRowHeight="15" x14ac:dyDescent="0.25"/>
  <cols>
    <col min="1" max="1" width="25.140625" customWidth="1"/>
    <col min="2" max="3" width="9.85546875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1.5703125" hidden="1" customWidth="1"/>
    <col min="8" max="8" width="21" hidden="1" customWidth="1"/>
    <col min="9" max="9" width="16.140625" hidden="1" customWidth="1"/>
    <col min="10" max="10" width="13.42578125" customWidth="1"/>
    <col min="11" max="11" width="11" customWidth="1"/>
    <col min="12" max="12" width="9.140625" customWidth="1"/>
    <col min="13" max="13" width="12.28515625" customWidth="1"/>
    <col min="14" max="14" width="9.140625" customWidth="1"/>
    <col min="15" max="15" width="16.140625" style="27" customWidth="1"/>
    <col min="16" max="16" width="13.5703125" style="27" customWidth="1"/>
    <col min="17" max="17" width="16.140625" customWidth="1"/>
    <col min="18" max="18" width="3.42578125" style="707" customWidth="1"/>
    <col min="19" max="19" width="11.42578125" customWidth="1"/>
    <col min="20" max="20" width="15" customWidth="1"/>
    <col min="21" max="21" width="40.42578125" bestFit="1" customWidth="1"/>
    <col min="22" max="22" width="6.5703125" customWidth="1"/>
  </cols>
  <sheetData>
    <row r="1" spans="1:16379" ht="24" hidden="1" customHeight="1" x14ac:dyDescent="0.4">
      <c r="A1" s="709" t="s">
        <v>98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30"/>
      <c r="S1" s="709"/>
      <c r="T1" s="709"/>
      <c r="U1" s="709"/>
    </row>
    <row r="2" spans="1:16379" ht="24.75" x14ac:dyDescent="0.25">
      <c r="A2" s="198" t="s">
        <v>347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328</v>
      </c>
      <c r="H2" s="439" t="s">
        <v>6</v>
      </c>
      <c r="I2" s="439" t="s">
        <v>7</v>
      </c>
      <c r="J2" s="441" t="s">
        <v>8</v>
      </c>
      <c r="K2" s="441" t="s">
        <v>370</v>
      </c>
      <c r="L2" s="439" t="s">
        <v>10</v>
      </c>
      <c r="M2" s="442" t="s">
        <v>99</v>
      </c>
      <c r="N2" s="439" t="s">
        <v>12</v>
      </c>
      <c r="O2" s="708" t="s">
        <v>297</v>
      </c>
      <c r="P2" s="708" t="s">
        <v>365</v>
      </c>
      <c r="Q2" s="439" t="s">
        <v>312</v>
      </c>
      <c r="R2" s="439" t="s">
        <v>313</v>
      </c>
      <c r="S2" s="439" t="s">
        <v>101</v>
      </c>
      <c r="T2" s="439" t="s">
        <v>337</v>
      </c>
      <c r="U2" s="439" t="s">
        <v>22</v>
      </c>
    </row>
    <row r="3" spans="1:16379" x14ac:dyDescent="0.25">
      <c r="A3" s="766" t="s">
        <v>38</v>
      </c>
      <c r="B3" s="448"/>
      <c r="C3" s="448">
        <v>45632</v>
      </c>
      <c r="D3" s="448"/>
      <c r="E3" s="449"/>
      <c r="F3" s="450"/>
      <c r="G3" s="450"/>
      <c r="H3" s="458" t="s">
        <v>35</v>
      </c>
      <c r="I3" s="458" t="s">
        <v>25</v>
      </c>
      <c r="J3" s="460">
        <v>1733.05</v>
      </c>
      <c r="K3" s="449"/>
      <c r="L3" s="449"/>
      <c r="M3" s="463"/>
      <c r="N3" s="449"/>
      <c r="O3" s="449">
        <v>694</v>
      </c>
      <c r="P3" s="761"/>
      <c r="Q3" s="761"/>
      <c r="R3" s="449"/>
      <c r="S3" s="449"/>
      <c r="T3" s="449">
        <v>804</v>
      </c>
      <c r="U3" s="458">
        <v>31981052930</v>
      </c>
      <c r="V3" s="25"/>
    </row>
    <row r="4" spans="1:16379" x14ac:dyDescent="0.25">
      <c r="A4" s="766" t="s">
        <v>39</v>
      </c>
      <c r="B4" s="448">
        <v>45293</v>
      </c>
      <c r="C4" s="448">
        <v>45170</v>
      </c>
      <c r="D4" s="448"/>
      <c r="E4" s="449"/>
      <c r="F4" s="458"/>
      <c r="G4" s="458"/>
      <c r="H4" s="458" t="s">
        <v>35</v>
      </c>
      <c r="I4" s="458" t="s">
        <v>25</v>
      </c>
      <c r="J4" s="460">
        <v>1733.05</v>
      </c>
      <c r="K4" s="449">
        <v>200</v>
      </c>
      <c r="L4" s="449"/>
      <c r="M4" s="449"/>
      <c r="N4" s="449"/>
      <c r="O4" s="449">
        <v>694</v>
      </c>
      <c r="P4" s="761"/>
      <c r="Q4" s="761"/>
      <c r="R4" s="449"/>
      <c r="S4" s="449"/>
      <c r="T4" s="449">
        <v>935</v>
      </c>
      <c r="U4" s="458" t="s">
        <v>40</v>
      </c>
      <c r="V4" s="25"/>
    </row>
    <row r="5" spans="1:16379" ht="24.75" x14ac:dyDescent="0.25">
      <c r="A5" s="766" t="s">
        <v>225</v>
      </c>
      <c r="B5" s="450">
        <v>45808</v>
      </c>
      <c r="C5" s="448">
        <v>45826</v>
      </c>
      <c r="D5" s="448"/>
      <c r="E5" s="459"/>
      <c r="F5" s="459"/>
      <c r="G5" s="459"/>
      <c r="H5" s="458" t="s">
        <v>230</v>
      </c>
      <c r="I5" s="458" t="s">
        <v>47</v>
      </c>
      <c r="J5" s="460">
        <v>1733.05</v>
      </c>
      <c r="K5" s="460"/>
      <c r="L5" s="459"/>
      <c r="M5" s="463"/>
      <c r="N5" s="459"/>
      <c r="O5" s="449">
        <v>694</v>
      </c>
      <c r="P5" s="761"/>
      <c r="Q5" s="761"/>
      <c r="R5" s="449"/>
      <c r="S5" s="463"/>
      <c r="T5" s="449">
        <v>804</v>
      </c>
      <c r="U5" s="458">
        <v>14983169644</v>
      </c>
      <c r="V5" s="25"/>
    </row>
    <row r="6" spans="1:16379" x14ac:dyDescent="0.25">
      <c r="A6" s="767" t="s">
        <v>363</v>
      </c>
      <c r="B6" s="665">
        <v>46036</v>
      </c>
      <c r="C6" s="665"/>
      <c r="D6" s="665"/>
      <c r="E6" s="666"/>
      <c r="F6" s="667"/>
      <c r="G6" s="667"/>
      <c r="H6" s="668" t="s">
        <v>321</v>
      </c>
      <c r="I6" s="668"/>
      <c r="J6" s="669">
        <v>1758</v>
      </c>
      <c r="K6" s="666"/>
      <c r="L6" s="666"/>
      <c r="M6" s="666"/>
      <c r="N6" s="666"/>
      <c r="O6" s="666">
        <f>1758*40%</f>
        <v>703.2</v>
      </c>
      <c r="P6" s="762"/>
      <c r="Q6" s="762"/>
      <c r="R6" s="666"/>
      <c r="S6" s="666">
        <v>37</v>
      </c>
      <c r="T6" s="666">
        <f>1758/30*15-52.74-37</f>
        <v>789.26</v>
      </c>
      <c r="U6" s="668">
        <v>31975693078</v>
      </c>
      <c r="V6" s="25"/>
    </row>
    <row r="7" spans="1:16379" x14ac:dyDescent="0.25">
      <c r="A7" s="768" t="s">
        <v>53</v>
      </c>
      <c r="B7" s="465"/>
      <c r="C7" s="465">
        <v>45527</v>
      </c>
      <c r="D7" s="465"/>
      <c r="E7" s="466"/>
      <c r="F7" s="260"/>
      <c r="G7" s="260"/>
      <c r="H7" s="260" t="s">
        <v>105</v>
      </c>
      <c r="I7" s="260" t="s">
        <v>107</v>
      </c>
      <c r="J7" s="594">
        <v>1621</v>
      </c>
      <c r="K7" s="471"/>
      <c r="L7" s="466"/>
      <c r="M7" s="466"/>
      <c r="N7" s="466"/>
      <c r="O7" s="475">
        <v>649</v>
      </c>
      <c r="P7" s="764"/>
      <c r="Q7" s="763" t="s">
        <v>377</v>
      </c>
      <c r="R7" s="475"/>
      <c r="S7" s="466"/>
      <c r="T7" s="475">
        <v>319</v>
      </c>
      <c r="U7" s="260">
        <v>31983640606</v>
      </c>
      <c r="V7" s="25"/>
    </row>
    <row r="8" spans="1:16379" s="331" customFormat="1" x14ac:dyDescent="0.25">
      <c r="A8" s="769" t="s">
        <v>89</v>
      </c>
      <c r="B8" s="476">
        <v>45663</v>
      </c>
      <c r="C8" s="476">
        <v>45663</v>
      </c>
      <c r="D8" s="476"/>
      <c r="E8" s="477"/>
      <c r="F8" s="478"/>
      <c r="G8" s="478"/>
      <c r="H8" s="346" t="s">
        <v>96</v>
      </c>
      <c r="I8" s="346" t="s">
        <v>25</v>
      </c>
      <c r="J8" s="499">
        <v>3000</v>
      </c>
      <c r="K8" s="477"/>
      <c r="L8" s="477"/>
      <c r="M8" s="475"/>
      <c r="N8" s="477"/>
      <c r="O8" s="475">
        <f>900-300</f>
        <v>600</v>
      </c>
      <c r="P8" s="764"/>
      <c r="Q8" s="764"/>
      <c r="R8" s="475"/>
      <c r="S8" s="475"/>
      <c r="T8" s="475">
        <f>1895-200-1500</f>
        <v>195</v>
      </c>
      <c r="U8" s="485">
        <v>13196831698</v>
      </c>
      <c r="V8" s="361"/>
    </row>
    <row r="9" spans="1:16379" ht="15.75" thickBot="1" x14ac:dyDescent="0.3">
      <c r="A9" s="770" t="s">
        <v>166</v>
      </c>
      <c r="B9" s="476">
        <v>45623</v>
      </c>
      <c r="C9" s="476"/>
      <c r="D9" s="487"/>
      <c r="E9" s="488"/>
      <c r="F9" s="488"/>
      <c r="G9" s="488"/>
      <c r="H9" s="487" t="s">
        <v>96</v>
      </c>
      <c r="I9" s="488" t="s">
        <v>170</v>
      </c>
      <c r="J9" s="499">
        <v>2500</v>
      </c>
      <c r="K9" s="477"/>
      <c r="L9" s="488"/>
      <c r="M9" s="477">
        <v>84</v>
      </c>
      <c r="N9" s="488"/>
      <c r="O9" s="475">
        <f>300-84</f>
        <v>216</v>
      </c>
      <c r="P9" s="764"/>
      <c r="Q9" s="764"/>
      <c r="R9" s="475"/>
      <c r="S9" s="477"/>
      <c r="T9" s="498">
        <v>2200</v>
      </c>
      <c r="U9" s="346">
        <v>31991288601</v>
      </c>
      <c r="V9" s="25"/>
    </row>
    <row r="10" spans="1:16379" x14ac:dyDescent="0.25">
      <c r="A10" s="771" t="s">
        <v>203</v>
      </c>
      <c r="B10" s="519"/>
      <c r="C10" s="520">
        <v>45743</v>
      </c>
      <c r="D10" s="519"/>
      <c r="E10" s="519"/>
      <c r="F10" s="519"/>
      <c r="G10" s="519"/>
      <c r="H10" s="519" t="s">
        <v>213</v>
      </c>
      <c r="I10" s="519" t="s">
        <v>78</v>
      </c>
      <c r="J10" s="598">
        <v>1518</v>
      </c>
      <c r="K10" s="528">
        <v>200</v>
      </c>
      <c r="L10" s="519"/>
      <c r="M10" s="528"/>
      <c r="N10" s="519"/>
      <c r="O10" s="528">
        <v>607</v>
      </c>
      <c r="P10" s="765"/>
      <c r="Q10" s="765"/>
      <c r="R10" s="528"/>
      <c r="S10" s="528"/>
      <c r="T10" s="528">
        <v>820</v>
      </c>
      <c r="U10" s="529">
        <v>31991443051</v>
      </c>
      <c r="V10" s="659"/>
      <c r="X10" s="695"/>
      <c r="Y10" s="696"/>
      <c r="Z10" s="697"/>
    </row>
    <row r="11" spans="1:16379" s="314" customFormat="1" ht="24" x14ac:dyDescent="0.2">
      <c r="A11" s="771" t="s">
        <v>249</v>
      </c>
      <c r="B11" s="520">
        <v>45840</v>
      </c>
      <c r="C11" s="584">
        <v>45839</v>
      </c>
      <c r="D11" s="584"/>
      <c r="E11" s="519"/>
      <c r="F11" s="519"/>
      <c r="G11" s="519"/>
      <c r="H11" s="520" t="s">
        <v>213</v>
      </c>
      <c r="I11" s="519" t="s">
        <v>250</v>
      </c>
      <c r="J11" s="528">
        <v>1518</v>
      </c>
      <c r="K11" s="528"/>
      <c r="L11" s="519"/>
      <c r="M11" s="534"/>
      <c r="N11" s="519">
        <v>100</v>
      </c>
      <c r="O11" s="528">
        <v>607</v>
      </c>
      <c r="P11" s="765" t="s">
        <v>368</v>
      </c>
      <c r="Q11" s="765"/>
      <c r="R11" s="528"/>
      <c r="S11" s="534"/>
      <c r="T11" s="534">
        <v>820</v>
      </c>
      <c r="U11" s="519">
        <v>31983923994</v>
      </c>
      <c r="V11" s="660"/>
      <c r="W11" s="323"/>
      <c r="X11" s="698"/>
      <c r="Y11" s="323"/>
      <c r="Z11" s="699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  <c r="AQ11" s="323"/>
      <c r="AR11" s="323"/>
      <c r="AS11" s="323"/>
      <c r="AT11" s="323"/>
      <c r="BK11" s="314" t="s">
        <v>203</v>
      </c>
      <c r="BL11" s="314" t="s">
        <v>203</v>
      </c>
      <c r="BM11" s="314" t="s">
        <v>203</v>
      </c>
      <c r="BN11" s="314" t="s">
        <v>203</v>
      </c>
      <c r="BO11" s="314" t="s">
        <v>203</v>
      </c>
      <c r="BP11" s="314" t="s">
        <v>203</v>
      </c>
      <c r="BQ11" s="314" t="s">
        <v>203</v>
      </c>
      <c r="BR11" s="314" t="s">
        <v>203</v>
      </c>
      <c r="BS11" s="314" t="s">
        <v>203</v>
      </c>
      <c r="BT11" s="314" t="s">
        <v>203</v>
      </c>
      <c r="BU11" s="314" t="s">
        <v>203</v>
      </c>
      <c r="BV11" s="314" t="s">
        <v>203</v>
      </c>
      <c r="BW11" s="314" t="s">
        <v>203</v>
      </c>
      <c r="BX11" s="314" t="s">
        <v>203</v>
      </c>
      <c r="BY11" s="314" t="s">
        <v>203</v>
      </c>
      <c r="BZ11" s="314" t="s">
        <v>203</v>
      </c>
      <c r="CA11" s="314" t="s">
        <v>203</v>
      </c>
      <c r="CB11" s="314" t="s">
        <v>203</v>
      </c>
      <c r="CC11" s="314" t="s">
        <v>203</v>
      </c>
      <c r="CD11" s="314" t="s">
        <v>203</v>
      </c>
      <c r="CE11" s="314" t="s">
        <v>203</v>
      </c>
      <c r="CF11" s="314" t="s">
        <v>203</v>
      </c>
      <c r="CG11" s="314" t="s">
        <v>203</v>
      </c>
      <c r="CH11" s="314" t="s">
        <v>203</v>
      </c>
      <c r="CI11" s="314" t="s">
        <v>203</v>
      </c>
      <c r="CJ11" s="314" t="s">
        <v>203</v>
      </c>
      <c r="CK11" s="314" t="s">
        <v>203</v>
      </c>
      <c r="CL11" s="314" t="s">
        <v>203</v>
      </c>
      <c r="CM11" s="314" t="s">
        <v>203</v>
      </c>
      <c r="CN11" s="314" t="s">
        <v>203</v>
      </c>
      <c r="CO11" s="314" t="s">
        <v>203</v>
      </c>
      <c r="CP11" s="314" t="s">
        <v>203</v>
      </c>
      <c r="CQ11" s="314" t="s">
        <v>203</v>
      </c>
      <c r="CR11" s="314" t="s">
        <v>203</v>
      </c>
      <c r="CS11" s="314" t="s">
        <v>203</v>
      </c>
      <c r="CT11" s="314" t="s">
        <v>203</v>
      </c>
      <c r="CU11" s="314" t="s">
        <v>203</v>
      </c>
      <c r="CV11" s="314" t="s">
        <v>203</v>
      </c>
      <c r="CW11" s="314" t="s">
        <v>203</v>
      </c>
      <c r="CX11" s="314" t="s">
        <v>203</v>
      </c>
      <c r="CY11" s="314" t="s">
        <v>203</v>
      </c>
      <c r="CZ11" s="314" t="s">
        <v>203</v>
      </c>
      <c r="DA11" s="314" t="s">
        <v>203</v>
      </c>
      <c r="DB11" s="314" t="s">
        <v>203</v>
      </c>
      <c r="DC11" s="314" t="s">
        <v>203</v>
      </c>
      <c r="DD11" s="314" t="s">
        <v>203</v>
      </c>
      <c r="DE11" s="314" t="s">
        <v>203</v>
      </c>
      <c r="DF11" s="314" t="s">
        <v>203</v>
      </c>
      <c r="DG11" s="314" t="s">
        <v>203</v>
      </c>
      <c r="DH11" s="314" t="s">
        <v>203</v>
      </c>
      <c r="DI11" s="314" t="s">
        <v>203</v>
      </c>
      <c r="DJ11" s="314" t="s">
        <v>203</v>
      </c>
      <c r="DK11" s="314" t="s">
        <v>203</v>
      </c>
      <c r="DL11" s="314" t="s">
        <v>203</v>
      </c>
      <c r="DM11" s="314" t="s">
        <v>203</v>
      </c>
      <c r="DN11" s="314" t="s">
        <v>203</v>
      </c>
      <c r="DO11" s="314" t="s">
        <v>203</v>
      </c>
      <c r="DP11" s="314" t="s">
        <v>203</v>
      </c>
      <c r="DQ11" s="314" t="s">
        <v>203</v>
      </c>
      <c r="DR11" s="314" t="s">
        <v>203</v>
      </c>
      <c r="DS11" s="314" t="s">
        <v>203</v>
      </c>
      <c r="DT11" s="314" t="s">
        <v>203</v>
      </c>
      <c r="DU11" s="314" t="s">
        <v>203</v>
      </c>
      <c r="DV11" s="314" t="s">
        <v>203</v>
      </c>
      <c r="DW11" s="314" t="s">
        <v>203</v>
      </c>
      <c r="DX11" s="314" t="s">
        <v>203</v>
      </c>
      <c r="DY11" s="314" t="s">
        <v>203</v>
      </c>
      <c r="DZ11" s="314" t="s">
        <v>203</v>
      </c>
      <c r="EA11" s="314" t="s">
        <v>203</v>
      </c>
      <c r="EB11" s="314" t="s">
        <v>203</v>
      </c>
      <c r="EC11" s="314" t="s">
        <v>203</v>
      </c>
      <c r="ED11" s="314" t="s">
        <v>203</v>
      </c>
      <c r="EE11" s="314" t="s">
        <v>203</v>
      </c>
      <c r="EF11" s="314" t="s">
        <v>203</v>
      </c>
      <c r="EG11" s="314" t="s">
        <v>203</v>
      </c>
      <c r="EH11" s="314" t="s">
        <v>203</v>
      </c>
      <c r="EI11" s="314" t="s">
        <v>203</v>
      </c>
      <c r="EJ11" s="314" t="s">
        <v>203</v>
      </c>
      <c r="EK11" s="314" t="s">
        <v>203</v>
      </c>
      <c r="EL11" s="314" t="s">
        <v>203</v>
      </c>
      <c r="EM11" s="314" t="s">
        <v>203</v>
      </c>
      <c r="EN11" s="314" t="s">
        <v>203</v>
      </c>
      <c r="EO11" s="314" t="s">
        <v>203</v>
      </c>
      <c r="EP11" s="314" t="s">
        <v>203</v>
      </c>
      <c r="EQ11" s="314" t="s">
        <v>203</v>
      </c>
      <c r="ER11" s="314" t="s">
        <v>203</v>
      </c>
      <c r="ES11" s="314" t="s">
        <v>203</v>
      </c>
      <c r="ET11" s="314" t="s">
        <v>203</v>
      </c>
      <c r="EU11" s="314" t="s">
        <v>203</v>
      </c>
      <c r="EV11" s="314" t="s">
        <v>203</v>
      </c>
      <c r="EW11" s="314" t="s">
        <v>203</v>
      </c>
      <c r="EX11" s="314" t="s">
        <v>203</v>
      </c>
      <c r="EY11" s="314" t="s">
        <v>203</v>
      </c>
      <c r="EZ11" s="314" t="s">
        <v>203</v>
      </c>
      <c r="FA11" s="314" t="s">
        <v>203</v>
      </c>
      <c r="FB11" s="314" t="s">
        <v>203</v>
      </c>
      <c r="FC11" s="314" t="s">
        <v>203</v>
      </c>
      <c r="FD11" s="314" t="s">
        <v>203</v>
      </c>
      <c r="FE11" s="314" t="s">
        <v>203</v>
      </c>
      <c r="FF11" s="314" t="s">
        <v>203</v>
      </c>
      <c r="FG11" s="314" t="s">
        <v>203</v>
      </c>
      <c r="FH11" s="314" t="s">
        <v>203</v>
      </c>
      <c r="FI11" s="314" t="s">
        <v>203</v>
      </c>
      <c r="FJ11" s="314" t="s">
        <v>203</v>
      </c>
      <c r="FK11" s="314" t="s">
        <v>203</v>
      </c>
      <c r="FL11" s="314" t="s">
        <v>203</v>
      </c>
      <c r="FM11" s="314" t="s">
        <v>203</v>
      </c>
      <c r="FN11" s="314" t="s">
        <v>203</v>
      </c>
      <c r="FO11" s="314" t="s">
        <v>203</v>
      </c>
      <c r="FP11" s="314" t="s">
        <v>203</v>
      </c>
      <c r="FQ11" s="314" t="s">
        <v>203</v>
      </c>
      <c r="FR11" s="314" t="s">
        <v>203</v>
      </c>
      <c r="FS11" s="314" t="s">
        <v>203</v>
      </c>
      <c r="FT11" s="314" t="s">
        <v>203</v>
      </c>
      <c r="FU11" s="314" t="s">
        <v>203</v>
      </c>
      <c r="FV11" s="314" t="s">
        <v>203</v>
      </c>
      <c r="FW11" s="314" t="s">
        <v>203</v>
      </c>
      <c r="FX11" s="314" t="s">
        <v>203</v>
      </c>
      <c r="FY11" s="314" t="s">
        <v>203</v>
      </c>
      <c r="FZ11" s="314" t="s">
        <v>203</v>
      </c>
      <c r="GA11" s="314" t="s">
        <v>203</v>
      </c>
      <c r="GB11" s="314" t="s">
        <v>203</v>
      </c>
      <c r="GC11" s="314" t="s">
        <v>203</v>
      </c>
      <c r="GD11" s="314" t="s">
        <v>203</v>
      </c>
      <c r="GE11" s="314" t="s">
        <v>203</v>
      </c>
      <c r="GF11" s="314" t="s">
        <v>203</v>
      </c>
      <c r="GG11" s="314" t="s">
        <v>203</v>
      </c>
      <c r="GH11" s="314" t="s">
        <v>203</v>
      </c>
      <c r="GI11" s="314" t="s">
        <v>203</v>
      </c>
      <c r="GJ11" s="314" t="s">
        <v>203</v>
      </c>
      <c r="GK11" s="314" t="s">
        <v>203</v>
      </c>
      <c r="GL11" s="314" t="s">
        <v>203</v>
      </c>
      <c r="GM11" s="314" t="s">
        <v>203</v>
      </c>
      <c r="GN11" s="314" t="s">
        <v>203</v>
      </c>
      <c r="GO11" s="314" t="s">
        <v>203</v>
      </c>
      <c r="GP11" s="314" t="s">
        <v>203</v>
      </c>
      <c r="GQ11" s="314" t="s">
        <v>203</v>
      </c>
      <c r="GR11" s="314" t="s">
        <v>203</v>
      </c>
      <c r="GS11" s="314" t="s">
        <v>203</v>
      </c>
      <c r="GT11" s="314" t="s">
        <v>203</v>
      </c>
      <c r="GU11" s="314" t="s">
        <v>203</v>
      </c>
      <c r="GV11" s="314" t="s">
        <v>203</v>
      </c>
      <c r="GW11" s="314" t="s">
        <v>203</v>
      </c>
      <c r="GX11" s="314" t="s">
        <v>203</v>
      </c>
      <c r="GY11" s="314" t="s">
        <v>203</v>
      </c>
      <c r="GZ11" s="314" t="s">
        <v>203</v>
      </c>
      <c r="HA11" s="314" t="s">
        <v>203</v>
      </c>
      <c r="HB11" s="314" t="s">
        <v>203</v>
      </c>
      <c r="HC11" s="314" t="s">
        <v>203</v>
      </c>
      <c r="HD11" s="314" t="s">
        <v>203</v>
      </c>
      <c r="HE11" s="314" t="s">
        <v>203</v>
      </c>
      <c r="HF11" s="314" t="s">
        <v>203</v>
      </c>
      <c r="HG11" s="314" t="s">
        <v>203</v>
      </c>
      <c r="HH11" s="314" t="s">
        <v>203</v>
      </c>
      <c r="HI11" s="314" t="s">
        <v>203</v>
      </c>
      <c r="HJ11" s="314" t="s">
        <v>203</v>
      </c>
      <c r="HK11" s="314" t="s">
        <v>203</v>
      </c>
      <c r="HL11" s="314" t="s">
        <v>203</v>
      </c>
      <c r="HM11" s="314" t="s">
        <v>203</v>
      </c>
      <c r="HN11" s="314" t="s">
        <v>203</v>
      </c>
      <c r="HO11" s="314" t="s">
        <v>203</v>
      </c>
      <c r="HP11" s="314" t="s">
        <v>203</v>
      </c>
      <c r="HQ11" s="314" t="s">
        <v>203</v>
      </c>
      <c r="HR11" s="314" t="s">
        <v>203</v>
      </c>
      <c r="HS11" s="314" t="s">
        <v>203</v>
      </c>
      <c r="HT11" s="314" t="s">
        <v>203</v>
      </c>
      <c r="HU11" s="314" t="s">
        <v>203</v>
      </c>
      <c r="HV11" s="314" t="s">
        <v>203</v>
      </c>
      <c r="HW11" s="314" t="s">
        <v>203</v>
      </c>
      <c r="HX11" s="314" t="s">
        <v>203</v>
      </c>
      <c r="HY11" s="314" t="s">
        <v>203</v>
      </c>
      <c r="HZ11" s="314" t="s">
        <v>203</v>
      </c>
      <c r="IA11" s="314" t="s">
        <v>203</v>
      </c>
      <c r="IB11" s="314" t="s">
        <v>203</v>
      </c>
      <c r="IC11" s="314" t="s">
        <v>203</v>
      </c>
      <c r="ID11" s="314" t="s">
        <v>203</v>
      </c>
      <c r="IE11" s="314" t="s">
        <v>203</v>
      </c>
      <c r="IF11" s="314" t="s">
        <v>203</v>
      </c>
      <c r="IG11" s="314" t="s">
        <v>203</v>
      </c>
      <c r="IH11" s="314" t="s">
        <v>203</v>
      </c>
      <c r="II11" s="314" t="s">
        <v>203</v>
      </c>
      <c r="IJ11" s="314" t="s">
        <v>203</v>
      </c>
      <c r="IK11" s="314" t="s">
        <v>203</v>
      </c>
      <c r="IL11" s="314" t="s">
        <v>203</v>
      </c>
      <c r="IM11" s="314" t="s">
        <v>203</v>
      </c>
      <c r="IN11" s="314" t="s">
        <v>203</v>
      </c>
      <c r="IO11" s="314" t="s">
        <v>203</v>
      </c>
      <c r="IP11" s="314" t="s">
        <v>203</v>
      </c>
      <c r="IQ11" s="314" t="s">
        <v>203</v>
      </c>
      <c r="IR11" s="314" t="s">
        <v>203</v>
      </c>
      <c r="IS11" s="314" t="s">
        <v>203</v>
      </c>
      <c r="IT11" s="314" t="s">
        <v>203</v>
      </c>
      <c r="IU11" s="314" t="s">
        <v>203</v>
      </c>
      <c r="IV11" s="314" t="s">
        <v>203</v>
      </c>
      <c r="IW11" s="314" t="s">
        <v>203</v>
      </c>
      <c r="IX11" s="314" t="s">
        <v>203</v>
      </c>
      <c r="IY11" s="314" t="s">
        <v>203</v>
      </c>
      <c r="IZ11" s="314" t="s">
        <v>203</v>
      </c>
      <c r="JA11" s="314" t="s">
        <v>203</v>
      </c>
      <c r="JB11" s="314" t="s">
        <v>203</v>
      </c>
      <c r="JC11" s="314" t="s">
        <v>203</v>
      </c>
      <c r="JD11" s="314" t="s">
        <v>203</v>
      </c>
      <c r="JE11" s="314" t="s">
        <v>203</v>
      </c>
      <c r="JF11" s="314" t="s">
        <v>203</v>
      </c>
      <c r="JG11" s="314" t="s">
        <v>203</v>
      </c>
      <c r="JH11" s="314" t="s">
        <v>203</v>
      </c>
      <c r="JI11" s="314" t="s">
        <v>203</v>
      </c>
      <c r="JJ11" s="314" t="s">
        <v>203</v>
      </c>
      <c r="JK11" s="314" t="s">
        <v>203</v>
      </c>
      <c r="JL11" s="314" t="s">
        <v>203</v>
      </c>
      <c r="JM11" s="314" t="s">
        <v>203</v>
      </c>
      <c r="JN11" s="314" t="s">
        <v>203</v>
      </c>
      <c r="JO11" s="314" t="s">
        <v>203</v>
      </c>
      <c r="JP11" s="314" t="s">
        <v>203</v>
      </c>
      <c r="JQ11" s="314" t="s">
        <v>203</v>
      </c>
      <c r="JR11" s="314" t="s">
        <v>203</v>
      </c>
      <c r="JS11" s="314" t="s">
        <v>203</v>
      </c>
      <c r="JT11" s="314" t="s">
        <v>203</v>
      </c>
      <c r="JU11" s="314" t="s">
        <v>203</v>
      </c>
      <c r="JV11" s="314" t="s">
        <v>203</v>
      </c>
      <c r="JW11" s="314" t="s">
        <v>203</v>
      </c>
      <c r="JX11" s="314" t="s">
        <v>203</v>
      </c>
      <c r="JY11" s="314" t="s">
        <v>203</v>
      </c>
      <c r="JZ11" s="314" t="s">
        <v>203</v>
      </c>
      <c r="KA11" s="314" t="s">
        <v>203</v>
      </c>
      <c r="KB11" s="314" t="s">
        <v>203</v>
      </c>
      <c r="KC11" s="314" t="s">
        <v>203</v>
      </c>
      <c r="KD11" s="314" t="s">
        <v>203</v>
      </c>
      <c r="KE11" s="314" t="s">
        <v>203</v>
      </c>
      <c r="KF11" s="314" t="s">
        <v>203</v>
      </c>
      <c r="KG11" s="314" t="s">
        <v>203</v>
      </c>
      <c r="KH11" s="314" t="s">
        <v>203</v>
      </c>
      <c r="KI11" s="314" t="s">
        <v>203</v>
      </c>
      <c r="KJ11" s="314" t="s">
        <v>203</v>
      </c>
      <c r="KK11" s="314" t="s">
        <v>203</v>
      </c>
      <c r="KL11" s="314" t="s">
        <v>203</v>
      </c>
      <c r="KM11" s="314" t="s">
        <v>203</v>
      </c>
      <c r="KN11" s="314" t="s">
        <v>203</v>
      </c>
      <c r="KO11" s="314" t="s">
        <v>203</v>
      </c>
      <c r="KP11" s="314" t="s">
        <v>203</v>
      </c>
      <c r="KQ11" s="314" t="s">
        <v>203</v>
      </c>
      <c r="KR11" s="314" t="s">
        <v>203</v>
      </c>
      <c r="KS11" s="314" t="s">
        <v>203</v>
      </c>
      <c r="KT11" s="314" t="s">
        <v>203</v>
      </c>
      <c r="KU11" s="314" t="s">
        <v>203</v>
      </c>
      <c r="KV11" s="314" t="s">
        <v>203</v>
      </c>
      <c r="KW11" s="314" t="s">
        <v>203</v>
      </c>
      <c r="KX11" s="314" t="s">
        <v>203</v>
      </c>
      <c r="KY11" s="314" t="s">
        <v>203</v>
      </c>
      <c r="KZ11" s="314" t="s">
        <v>203</v>
      </c>
      <c r="LA11" s="314" t="s">
        <v>203</v>
      </c>
      <c r="LB11" s="314" t="s">
        <v>203</v>
      </c>
      <c r="LC11" s="314" t="s">
        <v>203</v>
      </c>
      <c r="LD11" s="314" t="s">
        <v>203</v>
      </c>
      <c r="LE11" s="314" t="s">
        <v>203</v>
      </c>
      <c r="LF11" s="314" t="s">
        <v>203</v>
      </c>
      <c r="LG11" s="314" t="s">
        <v>203</v>
      </c>
      <c r="LH11" s="314" t="s">
        <v>203</v>
      </c>
      <c r="LI11" s="314" t="s">
        <v>203</v>
      </c>
      <c r="LJ11" s="314" t="s">
        <v>203</v>
      </c>
      <c r="LK11" s="314" t="s">
        <v>203</v>
      </c>
      <c r="LL11" s="314" t="s">
        <v>203</v>
      </c>
      <c r="LM11" s="314" t="s">
        <v>203</v>
      </c>
      <c r="LN11" s="314" t="s">
        <v>203</v>
      </c>
      <c r="LO11" s="314" t="s">
        <v>203</v>
      </c>
      <c r="LP11" s="314" t="s">
        <v>203</v>
      </c>
      <c r="LQ11" s="314" t="s">
        <v>203</v>
      </c>
      <c r="LR11" s="314" t="s">
        <v>203</v>
      </c>
      <c r="LS11" s="314" t="s">
        <v>203</v>
      </c>
      <c r="LT11" s="314" t="s">
        <v>203</v>
      </c>
      <c r="LU11" s="314" t="s">
        <v>203</v>
      </c>
      <c r="LV11" s="314" t="s">
        <v>203</v>
      </c>
      <c r="LW11" s="314" t="s">
        <v>203</v>
      </c>
      <c r="LX11" s="314" t="s">
        <v>203</v>
      </c>
      <c r="LY11" s="314" t="s">
        <v>203</v>
      </c>
      <c r="LZ11" s="314" t="s">
        <v>203</v>
      </c>
      <c r="MA11" s="314" t="s">
        <v>203</v>
      </c>
      <c r="MB11" s="314" t="s">
        <v>203</v>
      </c>
      <c r="MC11" s="314" t="s">
        <v>203</v>
      </c>
      <c r="MD11" s="314" t="s">
        <v>203</v>
      </c>
      <c r="ME11" s="314" t="s">
        <v>203</v>
      </c>
      <c r="MF11" s="314" t="s">
        <v>203</v>
      </c>
      <c r="MG11" s="314" t="s">
        <v>203</v>
      </c>
      <c r="MH11" s="314" t="s">
        <v>203</v>
      </c>
      <c r="MI11" s="314" t="s">
        <v>203</v>
      </c>
      <c r="MJ11" s="314" t="s">
        <v>203</v>
      </c>
      <c r="MK11" s="314" t="s">
        <v>203</v>
      </c>
      <c r="ML11" s="314" t="s">
        <v>203</v>
      </c>
      <c r="MM11" s="314" t="s">
        <v>203</v>
      </c>
      <c r="MN11" s="314" t="s">
        <v>203</v>
      </c>
      <c r="MO11" s="314" t="s">
        <v>203</v>
      </c>
      <c r="MP11" s="314" t="s">
        <v>203</v>
      </c>
      <c r="MQ11" s="314" t="s">
        <v>203</v>
      </c>
      <c r="MR11" s="314" t="s">
        <v>203</v>
      </c>
      <c r="MS11" s="314" t="s">
        <v>203</v>
      </c>
      <c r="MT11" s="314" t="s">
        <v>203</v>
      </c>
      <c r="MU11" s="314" t="s">
        <v>203</v>
      </c>
      <c r="MV11" s="314" t="s">
        <v>203</v>
      </c>
      <c r="MW11" s="314" t="s">
        <v>203</v>
      </c>
      <c r="MX11" s="314" t="s">
        <v>203</v>
      </c>
      <c r="MY11" s="314" t="s">
        <v>203</v>
      </c>
      <c r="MZ11" s="314" t="s">
        <v>203</v>
      </c>
      <c r="NA11" s="314" t="s">
        <v>203</v>
      </c>
      <c r="NB11" s="314" t="s">
        <v>203</v>
      </c>
      <c r="NC11" s="314" t="s">
        <v>203</v>
      </c>
      <c r="ND11" s="314" t="s">
        <v>203</v>
      </c>
      <c r="NE11" s="314" t="s">
        <v>203</v>
      </c>
      <c r="NF11" s="314" t="s">
        <v>203</v>
      </c>
      <c r="NG11" s="314" t="s">
        <v>203</v>
      </c>
      <c r="NH11" s="314" t="s">
        <v>203</v>
      </c>
      <c r="NI11" s="314" t="s">
        <v>203</v>
      </c>
      <c r="NJ11" s="314" t="s">
        <v>203</v>
      </c>
      <c r="NK11" s="314" t="s">
        <v>203</v>
      </c>
      <c r="NL11" s="314" t="s">
        <v>203</v>
      </c>
      <c r="NM11" s="314" t="s">
        <v>203</v>
      </c>
      <c r="NN11" s="314" t="s">
        <v>203</v>
      </c>
      <c r="NO11" s="314" t="s">
        <v>203</v>
      </c>
      <c r="NP11" s="314" t="s">
        <v>203</v>
      </c>
      <c r="NQ11" s="314" t="s">
        <v>203</v>
      </c>
      <c r="NR11" s="314" t="s">
        <v>203</v>
      </c>
      <c r="NS11" s="314" t="s">
        <v>203</v>
      </c>
      <c r="NT11" s="314" t="s">
        <v>203</v>
      </c>
      <c r="NU11" s="314" t="s">
        <v>203</v>
      </c>
      <c r="NV11" s="314" t="s">
        <v>203</v>
      </c>
      <c r="NW11" s="314" t="s">
        <v>203</v>
      </c>
      <c r="NX11" s="314" t="s">
        <v>203</v>
      </c>
      <c r="NY11" s="314" t="s">
        <v>203</v>
      </c>
      <c r="NZ11" s="314" t="s">
        <v>203</v>
      </c>
      <c r="OA11" s="314" t="s">
        <v>203</v>
      </c>
      <c r="OB11" s="314" t="s">
        <v>203</v>
      </c>
      <c r="OC11" s="314" t="s">
        <v>203</v>
      </c>
      <c r="OD11" s="314" t="s">
        <v>203</v>
      </c>
      <c r="OE11" s="314" t="s">
        <v>203</v>
      </c>
      <c r="OF11" s="314" t="s">
        <v>203</v>
      </c>
      <c r="OG11" s="314" t="s">
        <v>203</v>
      </c>
      <c r="OH11" s="314" t="s">
        <v>203</v>
      </c>
      <c r="OI11" s="314" t="s">
        <v>203</v>
      </c>
      <c r="OJ11" s="314" t="s">
        <v>203</v>
      </c>
      <c r="OK11" s="314" t="s">
        <v>203</v>
      </c>
      <c r="OL11" s="314" t="s">
        <v>203</v>
      </c>
      <c r="OM11" s="314" t="s">
        <v>203</v>
      </c>
      <c r="ON11" s="314" t="s">
        <v>203</v>
      </c>
      <c r="OO11" s="314" t="s">
        <v>203</v>
      </c>
      <c r="OP11" s="314" t="s">
        <v>203</v>
      </c>
      <c r="OQ11" s="314" t="s">
        <v>203</v>
      </c>
      <c r="OR11" s="314" t="s">
        <v>203</v>
      </c>
      <c r="OS11" s="314" t="s">
        <v>203</v>
      </c>
      <c r="OT11" s="314" t="s">
        <v>203</v>
      </c>
      <c r="OU11" s="314" t="s">
        <v>203</v>
      </c>
      <c r="OV11" s="314" t="s">
        <v>203</v>
      </c>
      <c r="OW11" s="314" t="s">
        <v>203</v>
      </c>
      <c r="OX11" s="314" t="s">
        <v>203</v>
      </c>
      <c r="OY11" s="314" t="s">
        <v>203</v>
      </c>
      <c r="OZ11" s="314" t="s">
        <v>203</v>
      </c>
      <c r="PA11" s="314" t="s">
        <v>203</v>
      </c>
      <c r="PB11" s="314" t="s">
        <v>203</v>
      </c>
      <c r="PC11" s="314" t="s">
        <v>203</v>
      </c>
      <c r="PD11" s="314" t="s">
        <v>203</v>
      </c>
      <c r="PE11" s="314" t="s">
        <v>203</v>
      </c>
      <c r="PF11" s="314" t="s">
        <v>203</v>
      </c>
      <c r="PG11" s="314" t="s">
        <v>203</v>
      </c>
      <c r="PH11" s="314" t="s">
        <v>203</v>
      </c>
      <c r="PI11" s="314" t="s">
        <v>203</v>
      </c>
      <c r="PJ11" s="314" t="s">
        <v>203</v>
      </c>
      <c r="PK11" s="314" t="s">
        <v>203</v>
      </c>
      <c r="PL11" s="314" t="s">
        <v>203</v>
      </c>
      <c r="PM11" s="314" t="s">
        <v>203</v>
      </c>
      <c r="PN11" s="314" t="s">
        <v>203</v>
      </c>
      <c r="PO11" s="314" t="s">
        <v>203</v>
      </c>
      <c r="PP11" s="314" t="s">
        <v>203</v>
      </c>
      <c r="PQ11" s="314" t="s">
        <v>203</v>
      </c>
      <c r="PR11" s="314" t="s">
        <v>203</v>
      </c>
      <c r="PS11" s="314" t="s">
        <v>203</v>
      </c>
      <c r="PT11" s="314" t="s">
        <v>203</v>
      </c>
      <c r="PU11" s="314" t="s">
        <v>203</v>
      </c>
      <c r="PV11" s="314" t="s">
        <v>203</v>
      </c>
      <c r="PW11" s="314" t="s">
        <v>203</v>
      </c>
      <c r="PX11" s="314" t="s">
        <v>203</v>
      </c>
      <c r="PY11" s="314" t="s">
        <v>203</v>
      </c>
      <c r="PZ11" s="314" t="s">
        <v>203</v>
      </c>
      <c r="QA11" s="314" t="s">
        <v>203</v>
      </c>
      <c r="QB11" s="314" t="s">
        <v>203</v>
      </c>
      <c r="QC11" s="314" t="s">
        <v>203</v>
      </c>
      <c r="QD11" s="314" t="s">
        <v>203</v>
      </c>
      <c r="QE11" s="314" t="s">
        <v>203</v>
      </c>
      <c r="QF11" s="314" t="s">
        <v>203</v>
      </c>
      <c r="QG11" s="314" t="s">
        <v>203</v>
      </c>
      <c r="QH11" s="314" t="s">
        <v>203</v>
      </c>
      <c r="QI11" s="314" t="s">
        <v>203</v>
      </c>
      <c r="QJ11" s="314" t="s">
        <v>203</v>
      </c>
      <c r="QK11" s="314" t="s">
        <v>203</v>
      </c>
      <c r="QL11" s="314" t="s">
        <v>203</v>
      </c>
      <c r="QM11" s="314" t="s">
        <v>203</v>
      </c>
      <c r="QN11" s="314" t="s">
        <v>203</v>
      </c>
      <c r="QO11" s="314" t="s">
        <v>203</v>
      </c>
      <c r="QP11" s="314" t="s">
        <v>203</v>
      </c>
      <c r="QQ11" s="314" t="s">
        <v>203</v>
      </c>
      <c r="QR11" s="314" t="s">
        <v>203</v>
      </c>
      <c r="QS11" s="314" t="s">
        <v>203</v>
      </c>
      <c r="QT11" s="314" t="s">
        <v>203</v>
      </c>
      <c r="QU11" s="314" t="s">
        <v>203</v>
      </c>
      <c r="QV11" s="314" t="s">
        <v>203</v>
      </c>
      <c r="QW11" s="314" t="s">
        <v>203</v>
      </c>
      <c r="QX11" s="314" t="s">
        <v>203</v>
      </c>
      <c r="QY11" s="314" t="s">
        <v>203</v>
      </c>
      <c r="QZ11" s="314" t="s">
        <v>203</v>
      </c>
      <c r="RA11" s="314" t="s">
        <v>203</v>
      </c>
      <c r="RB11" s="314" t="s">
        <v>203</v>
      </c>
      <c r="RC11" s="314" t="s">
        <v>203</v>
      </c>
      <c r="RD11" s="314" t="s">
        <v>203</v>
      </c>
      <c r="RE11" s="314" t="s">
        <v>203</v>
      </c>
      <c r="RF11" s="314" t="s">
        <v>203</v>
      </c>
      <c r="RG11" s="314" t="s">
        <v>203</v>
      </c>
      <c r="RH11" s="314" t="s">
        <v>203</v>
      </c>
      <c r="RI11" s="314" t="s">
        <v>203</v>
      </c>
      <c r="RJ11" s="314" t="s">
        <v>203</v>
      </c>
      <c r="RK11" s="314" t="s">
        <v>203</v>
      </c>
      <c r="RL11" s="314" t="s">
        <v>203</v>
      </c>
      <c r="RM11" s="314" t="s">
        <v>203</v>
      </c>
      <c r="RN11" s="314" t="s">
        <v>203</v>
      </c>
      <c r="RO11" s="314" t="s">
        <v>203</v>
      </c>
      <c r="RP11" s="314" t="s">
        <v>203</v>
      </c>
      <c r="RQ11" s="314" t="s">
        <v>203</v>
      </c>
      <c r="RR11" s="314" t="s">
        <v>203</v>
      </c>
      <c r="RS11" s="314" t="s">
        <v>203</v>
      </c>
      <c r="RT11" s="314" t="s">
        <v>203</v>
      </c>
      <c r="RU11" s="314" t="s">
        <v>203</v>
      </c>
      <c r="RV11" s="314" t="s">
        <v>203</v>
      </c>
      <c r="RW11" s="314" t="s">
        <v>203</v>
      </c>
      <c r="RX11" s="314" t="s">
        <v>203</v>
      </c>
      <c r="RY11" s="314" t="s">
        <v>203</v>
      </c>
      <c r="RZ11" s="314" t="s">
        <v>203</v>
      </c>
      <c r="SA11" s="314" t="s">
        <v>203</v>
      </c>
      <c r="SB11" s="314" t="s">
        <v>203</v>
      </c>
      <c r="SC11" s="314" t="s">
        <v>203</v>
      </c>
      <c r="SD11" s="314" t="s">
        <v>203</v>
      </c>
      <c r="SE11" s="314" t="s">
        <v>203</v>
      </c>
      <c r="SF11" s="314" t="s">
        <v>203</v>
      </c>
      <c r="SG11" s="314" t="s">
        <v>203</v>
      </c>
      <c r="SH11" s="314" t="s">
        <v>203</v>
      </c>
      <c r="SI11" s="314" t="s">
        <v>203</v>
      </c>
      <c r="SJ11" s="314" t="s">
        <v>203</v>
      </c>
      <c r="SK11" s="314" t="s">
        <v>203</v>
      </c>
      <c r="SL11" s="314" t="s">
        <v>203</v>
      </c>
      <c r="SM11" s="314" t="s">
        <v>203</v>
      </c>
      <c r="SN11" s="314" t="s">
        <v>203</v>
      </c>
      <c r="SO11" s="314" t="s">
        <v>203</v>
      </c>
      <c r="SP11" s="314" t="s">
        <v>203</v>
      </c>
      <c r="SQ11" s="314" t="s">
        <v>203</v>
      </c>
      <c r="SR11" s="314" t="s">
        <v>203</v>
      </c>
      <c r="SS11" s="314" t="s">
        <v>203</v>
      </c>
      <c r="ST11" s="314" t="s">
        <v>203</v>
      </c>
      <c r="SU11" s="314" t="s">
        <v>203</v>
      </c>
      <c r="SV11" s="314" t="s">
        <v>203</v>
      </c>
      <c r="SW11" s="314" t="s">
        <v>203</v>
      </c>
      <c r="SX11" s="314" t="s">
        <v>203</v>
      </c>
      <c r="SY11" s="314" t="s">
        <v>203</v>
      </c>
      <c r="SZ11" s="314" t="s">
        <v>203</v>
      </c>
      <c r="TA11" s="314" t="s">
        <v>203</v>
      </c>
      <c r="TB11" s="314" t="s">
        <v>203</v>
      </c>
      <c r="TC11" s="314" t="s">
        <v>203</v>
      </c>
      <c r="TD11" s="314" t="s">
        <v>203</v>
      </c>
      <c r="TE11" s="314" t="s">
        <v>203</v>
      </c>
      <c r="TF11" s="314" t="s">
        <v>203</v>
      </c>
      <c r="TG11" s="314" t="s">
        <v>203</v>
      </c>
      <c r="TH11" s="314" t="s">
        <v>203</v>
      </c>
      <c r="TI11" s="314" t="s">
        <v>203</v>
      </c>
      <c r="TJ11" s="314" t="s">
        <v>203</v>
      </c>
      <c r="TK11" s="314" t="s">
        <v>203</v>
      </c>
      <c r="TL11" s="314" t="s">
        <v>203</v>
      </c>
      <c r="TM11" s="314" t="s">
        <v>203</v>
      </c>
      <c r="TN11" s="314" t="s">
        <v>203</v>
      </c>
      <c r="TO11" s="314" t="s">
        <v>203</v>
      </c>
      <c r="TP11" s="314" t="s">
        <v>203</v>
      </c>
      <c r="TQ11" s="314" t="s">
        <v>203</v>
      </c>
      <c r="TR11" s="314" t="s">
        <v>203</v>
      </c>
      <c r="TS11" s="314" t="s">
        <v>203</v>
      </c>
      <c r="TT11" s="314" t="s">
        <v>203</v>
      </c>
      <c r="TU11" s="314" t="s">
        <v>203</v>
      </c>
      <c r="TV11" s="314" t="s">
        <v>203</v>
      </c>
      <c r="TW11" s="314" t="s">
        <v>203</v>
      </c>
      <c r="TX11" s="314" t="s">
        <v>203</v>
      </c>
      <c r="TY11" s="314" t="s">
        <v>203</v>
      </c>
      <c r="TZ11" s="314" t="s">
        <v>203</v>
      </c>
      <c r="UA11" s="314" t="s">
        <v>203</v>
      </c>
      <c r="UB11" s="314" t="s">
        <v>203</v>
      </c>
      <c r="UC11" s="314" t="s">
        <v>203</v>
      </c>
      <c r="UD11" s="314" t="s">
        <v>203</v>
      </c>
      <c r="UE11" s="314" t="s">
        <v>203</v>
      </c>
      <c r="UF11" s="314" t="s">
        <v>203</v>
      </c>
      <c r="UG11" s="314" t="s">
        <v>203</v>
      </c>
      <c r="UH11" s="314" t="s">
        <v>203</v>
      </c>
      <c r="UI11" s="314" t="s">
        <v>203</v>
      </c>
      <c r="UJ11" s="314" t="s">
        <v>203</v>
      </c>
      <c r="UK11" s="314" t="s">
        <v>203</v>
      </c>
      <c r="UL11" s="314" t="s">
        <v>203</v>
      </c>
      <c r="UM11" s="314" t="s">
        <v>203</v>
      </c>
      <c r="UN11" s="314" t="s">
        <v>203</v>
      </c>
      <c r="UO11" s="314" t="s">
        <v>203</v>
      </c>
      <c r="UP11" s="314" t="s">
        <v>203</v>
      </c>
      <c r="UQ11" s="314" t="s">
        <v>203</v>
      </c>
      <c r="UR11" s="314" t="s">
        <v>203</v>
      </c>
      <c r="US11" s="314" t="s">
        <v>203</v>
      </c>
      <c r="UT11" s="314" t="s">
        <v>203</v>
      </c>
      <c r="UU11" s="314" t="s">
        <v>203</v>
      </c>
      <c r="UV11" s="314" t="s">
        <v>203</v>
      </c>
      <c r="UW11" s="314" t="s">
        <v>203</v>
      </c>
      <c r="UX11" s="314" t="s">
        <v>203</v>
      </c>
      <c r="UY11" s="314" t="s">
        <v>203</v>
      </c>
      <c r="UZ11" s="314" t="s">
        <v>203</v>
      </c>
      <c r="VA11" s="314" t="s">
        <v>203</v>
      </c>
      <c r="VB11" s="314" t="s">
        <v>203</v>
      </c>
      <c r="VC11" s="314" t="s">
        <v>203</v>
      </c>
      <c r="VD11" s="314" t="s">
        <v>203</v>
      </c>
      <c r="VE11" s="314" t="s">
        <v>203</v>
      </c>
      <c r="VF11" s="314" t="s">
        <v>203</v>
      </c>
      <c r="VG11" s="314" t="s">
        <v>203</v>
      </c>
      <c r="VH11" s="314" t="s">
        <v>203</v>
      </c>
      <c r="VI11" s="314" t="s">
        <v>203</v>
      </c>
      <c r="VJ11" s="314" t="s">
        <v>203</v>
      </c>
      <c r="VK11" s="314" t="s">
        <v>203</v>
      </c>
      <c r="VL11" s="314" t="s">
        <v>203</v>
      </c>
      <c r="VM11" s="314" t="s">
        <v>203</v>
      </c>
      <c r="VN11" s="314" t="s">
        <v>203</v>
      </c>
      <c r="VO11" s="314" t="s">
        <v>203</v>
      </c>
      <c r="VP11" s="314" t="s">
        <v>203</v>
      </c>
      <c r="VQ11" s="314" t="s">
        <v>203</v>
      </c>
      <c r="VR11" s="314" t="s">
        <v>203</v>
      </c>
      <c r="VS11" s="314" t="s">
        <v>203</v>
      </c>
      <c r="VT11" s="314" t="s">
        <v>203</v>
      </c>
      <c r="VU11" s="314" t="s">
        <v>203</v>
      </c>
      <c r="VV11" s="314" t="s">
        <v>203</v>
      </c>
      <c r="VW11" s="314" t="s">
        <v>203</v>
      </c>
      <c r="VX11" s="314" t="s">
        <v>203</v>
      </c>
      <c r="VY11" s="314" t="s">
        <v>203</v>
      </c>
      <c r="VZ11" s="314" t="s">
        <v>203</v>
      </c>
      <c r="WA11" s="314" t="s">
        <v>203</v>
      </c>
      <c r="WB11" s="314" t="s">
        <v>203</v>
      </c>
      <c r="WC11" s="314" t="s">
        <v>203</v>
      </c>
      <c r="WD11" s="314" t="s">
        <v>203</v>
      </c>
      <c r="WE11" s="314" t="s">
        <v>203</v>
      </c>
      <c r="WF11" s="314" t="s">
        <v>203</v>
      </c>
      <c r="WG11" s="314" t="s">
        <v>203</v>
      </c>
      <c r="WH11" s="314" t="s">
        <v>203</v>
      </c>
      <c r="WI11" s="314" t="s">
        <v>203</v>
      </c>
      <c r="WJ11" s="314" t="s">
        <v>203</v>
      </c>
      <c r="WK11" s="314" t="s">
        <v>203</v>
      </c>
      <c r="WL11" s="314" t="s">
        <v>203</v>
      </c>
      <c r="WM11" s="314" t="s">
        <v>203</v>
      </c>
      <c r="WN11" s="314" t="s">
        <v>203</v>
      </c>
      <c r="WO11" s="314" t="s">
        <v>203</v>
      </c>
      <c r="WP11" s="314" t="s">
        <v>203</v>
      </c>
      <c r="WQ11" s="314" t="s">
        <v>203</v>
      </c>
      <c r="WR11" s="314" t="s">
        <v>203</v>
      </c>
      <c r="WS11" s="314" t="s">
        <v>203</v>
      </c>
      <c r="WT11" s="314" t="s">
        <v>203</v>
      </c>
      <c r="WU11" s="314" t="s">
        <v>203</v>
      </c>
      <c r="WV11" s="314" t="s">
        <v>203</v>
      </c>
      <c r="WW11" s="314" t="s">
        <v>203</v>
      </c>
      <c r="WX11" s="314" t="s">
        <v>203</v>
      </c>
      <c r="WY11" s="314" t="s">
        <v>203</v>
      </c>
      <c r="WZ11" s="314" t="s">
        <v>203</v>
      </c>
      <c r="XA11" s="314" t="s">
        <v>203</v>
      </c>
      <c r="XB11" s="314" t="s">
        <v>203</v>
      </c>
      <c r="XC11" s="314" t="s">
        <v>203</v>
      </c>
      <c r="XD11" s="314" t="s">
        <v>203</v>
      </c>
      <c r="XE11" s="314" t="s">
        <v>203</v>
      </c>
      <c r="XF11" s="314" t="s">
        <v>203</v>
      </c>
      <c r="XG11" s="314" t="s">
        <v>203</v>
      </c>
      <c r="XH11" s="314" t="s">
        <v>203</v>
      </c>
      <c r="XI11" s="314" t="s">
        <v>203</v>
      </c>
      <c r="XJ11" s="314" t="s">
        <v>203</v>
      </c>
      <c r="XK11" s="314" t="s">
        <v>203</v>
      </c>
      <c r="XL11" s="314" t="s">
        <v>203</v>
      </c>
      <c r="XM11" s="314" t="s">
        <v>203</v>
      </c>
      <c r="XN11" s="314" t="s">
        <v>203</v>
      </c>
      <c r="XO11" s="314" t="s">
        <v>203</v>
      </c>
      <c r="XP11" s="314" t="s">
        <v>203</v>
      </c>
      <c r="XQ11" s="314" t="s">
        <v>203</v>
      </c>
      <c r="XR11" s="314" t="s">
        <v>203</v>
      </c>
      <c r="XS11" s="314" t="s">
        <v>203</v>
      </c>
      <c r="XT11" s="314" t="s">
        <v>203</v>
      </c>
      <c r="XU11" s="314" t="s">
        <v>203</v>
      </c>
      <c r="XV11" s="314" t="s">
        <v>203</v>
      </c>
      <c r="XW11" s="314" t="s">
        <v>203</v>
      </c>
      <c r="XX11" s="314" t="s">
        <v>203</v>
      </c>
      <c r="XY11" s="314" t="s">
        <v>203</v>
      </c>
      <c r="XZ11" s="314" t="s">
        <v>203</v>
      </c>
      <c r="YA11" s="314" t="s">
        <v>203</v>
      </c>
      <c r="YB11" s="314" t="s">
        <v>203</v>
      </c>
      <c r="YC11" s="314" t="s">
        <v>203</v>
      </c>
      <c r="YD11" s="314" t="s">
        <v>203</v>
      </c>
      <c r="YE11" s="314" t="s">
        <v>203</v>
      </c>
      <c r="YF11" s="314" t="s">
        <v>203</v>
      </c>
      <c r="YG11" s="314" t="s">
        <v>203</v>
      </c>
      <c r="YH11" s="314" t="s">
        <v>203</v>
      </c>
      <c r="YI11" s="314" t="s">
        <v>203</v>
      </c>
      <c r="YJ11" s="314" t="s">
        <v>203</v>
      </c>
      <c r="YK11" s="314" t="s">
        <v>203</v>
      </c>
      <c r="YL11" s="314" t="s">
        <v>203</v>
      </c>
      <c r="YM11" s="314" t="s">
        <v>203</v>
      </c>
      <c r="YN11" s="314" t="s">
        <v>203</v>
      </c>
      <c r="YO11" s="314" t="s">
        <v>203</v>
      </c>
      <c r="YP11" s="314" t="s">
        <v>203</v>
      </c>
      <c r="YQ11" s="314" t="s">
        <v>203</v>
      </c>
      <c r="YR11" s="314" t="s">
        <v>203</v>
      </c>
      <c r="YS11" s="314" t="s">
        <v>203</v>
      </c>
      <c r="YT11" s="314" t="s">
        <v>203</v>
      </c>
      <c r="YU11" s="314" t="s">
        <v>203</v>
      </c>
      <c r="YV11" s="314" t="s">
        <v>203</v>
      </c>
      <c r="YW11" s="314" t="s">
        <v>203</v>
      </c>
      <c r="YX11" s="314" t="s">
        <v>203</v>
      </c>
      <c r="YY11" s="314" t="s">
        <v>203</v>
      </c>
      <c r="YZ11" s="314" t="s">
        <v>203</v>
      </c>
      <c r="ZA11" s="314" t="s">
        <v>203</v>
      </c>
      <c r="ZB11" s="314" t="s">
        <v>203</v>
      </c>
      <c r="ZC11" s="314" t="s">
        <v>203</v>
      </c>
      <c r="ZD11" s="314" t="s">
        <v>203</v>
      </c>
      <c r="ZE11" s="314" t="s">
        <v>203</v>
      </c>
      <c r="ZF11" s="314" t="s">
        <v>203</v>
      </c>
      <c r="ZG11" s="314" t="s">
        <v>203</v>
      </c>
      <c r="ZH11" s="314" t="s">
        <v>203</v>
      </c>
      <c r="ZI11" s="314" t="s">
        <v>203</v>
      </c>
      <c r="ZJ11" s="314" t="s">
        <v>203</v>
      </c>
      <c r="ZK11" s="314" t="s">
        <v>203</v>
      </c>
      <c r="ZL11" s="314" t="s">
        <v>203</v>
      </c>
      <c r="ZM11" s="314" t="s">
        <v>203</v>
      </c>
      <c r="ZN11" s="314" t="s">
        <v>203</v>
      </c>
      <c r="ZO11" s="314" t="s">
        <v>203</v>
      </c>
      <c r="ZP11" s="314" t="s">
        <v>203</v>
      </c>
      <c r="ZQ11" s="314" t="s">
        <v>203</v>
      </c>
      <c r="ZR11" s="314" t="s">
        <v>203</v>
      </c>
      <c r="ZS11" s="314" t="s">
        <v>203</v>
      </c>
      <c r="ZT11" s="314" t="s">
        <v>203</v>
      </c>
      <c r="ZU11" s="314" t="s">
        <v>203</v>
      </c>
      <c r="ZV11" s="314" t="s">
        <v>203</v>
      </c>
      <c r="ZW11" s="314" t="s">
        <v>203</v>
      </c>
      <c r="ZX11" s="314" t="s">
        <v>203</v>
      </c>
      <c r="ZY11" s="314" t="s">
        <v>203</v>
      </c>
      <c r="ZZ11" s="314" t="s">
        <v>203</v>
      </c>
      <c r="AAA11" s="314" t="s">
        <v>203</v>
      </c>
      <c r="AAB11" s="314" t="s">
        <v>203</v>
      </c>
      <c r="AAC11" s="314" t="s">
        <v>203</v>
      </c>
      <c r="AAD11" s="314" t="s">
        <v>203</v>
      </c>
      <c r="AAE11" s="314" t="s">
        <v>203</v>
      </c>
      <c r="AAF11" s="314" t="s">
        <v>203</v>
      </c>
      <c r="AAG11" s="314" t="s">
        <v>203</v>
      </c>
      <c r="AAH11" s="314" t="s">
        <v>203</v>
      </c>
      <c r="AAI11" s="314" t="s">
        <v>203</v>
      </c>
      <c r="AAJ11" s="314" t="s">
        <v>203</v>
      </c>
      <c r="AAK11" s="314" t="s">
        <v>203</v>
      </c>
      <c r="AAL11" s="314" t="s">
        <v>203</v>
      </c>
      <c r="AAM11" s="314" t="s">
        <v>203</v>
      </c>
      <c r="AAN11" s="314" t="s">
        <v>203</v>
      </c>
      <c r="AAO11" s="314" t="s">
        <v>203</v>
      </c>
      <c r="AAP11" s="314" t="s">
        <v>203</v>
      </c>
      <c r="AAQ11" s="314" t="s">
        <v>203</v>
      </c>
      <c r="AAR11" s="314" t="s">
        <v>203</v>
      </c>
      <c r="AAS11" s="314" t="s">
        <v>203</v>
      </c>
      <c r="AAT11" s="314" t="s">
        <v>203</v>
      </c>
      <c r="AAU11" s="314" t="s">
        <v>203</v>
      </c>
      <c r="AAV11" s="314" t="s">
        <v>203</v>
      </c>
      <c r="AAW11" s="314" t="s">
        <v>203</v>
      </c>
      <c r="AAX11" s="314" t="s">
        <v>203</v>
      </c>
      <c r="AAY11" s="314" t="s">
        <v>203</v>
      </c>
      <c r="AAZ11" s="314" t="s">
        <v>203</v>
      </c>
      <c r="ABA11" s="314" t="s">
        <v>203</v>
      </c>
      <c r="ABB11" s="314" t="s">
        <v>203</v>
      </c>
      <c r="ABC11" s="314" t="s">
        <v>203</v>
      </c>
      <c r="ABD11" s="314" t="s">
        <v>203</v>
      </c>
      <c r="ABE11" s="314" t="s">
        <v>203</v>
      </c>
      <c r="ABF11" s="314" t="s">
        <v>203</v>
      </c>
      <c r="ABG11" s="314" t="s">
        <v>203</v>
      </c>
      <c r="ABH11" s="314" t="s">
        <v>203</v>
      </c>
      <c r="ABI11" s="314" t="s">
        <v>203</v>
      </c>
      <c r="ABJ11" s="314" t="s">
        <v>203</v>
      </c>
      <c r="ABK11" s="314" t="s">
        <v>203</v>
      </c>
      <c r="ABL11" s="314" t="s">
        <v>203</v>
      </c>
      <c r="ABM11" s="314" t="s">
        <v>203</v>
      </c>
      <c r="ABN11" s="314" t="s">
        <v>203</v>
      </c>
      <c r="ABO11" s="314" t="s">
        <v>203</v>
      </c>
      <c r="ABP11" s="314" t="s">
        <v>203</v>
      </c>
      <c r="ABQ11" s="314" t="s">
        <v>203</v>
      </c>
      <c r="ABR11" s="314" t="s">
        <v>203</v>
      </c>
      <c r="ABS11" s="314" t="s">
        <v>203</v>
      </c>
      <c r="ABT11" s="314" t="s">
        <v>203</v>
      </c>
      <c r="ABU11" s="314" t="s">
        <v>203</v>
      </c>
      <c r="ABV11" s="314" t="s">
        <v>203</v>
      </c>
      <c r="ABW11" s="314" t="s">
        <v>203</v>
      </c>
      <c r="ABX11" s="314" t="s">
        <v>203</v>
      </c>
      <c r="ABY11" s="314" t="s">
        <v>203</v>
      </c>
      <c r="ABZ11" s="314" t="s">
        <v>203</v>
      </c>
      <c r="ACA11" s="314" t="s">
        <v>203</v>
      </c>
      <c r="ACB11" s="314" t="s">
        <v>203</v>
      </c>
      <c r="ACC11" s="314" t="s">
        <v>203</v>
      </c>
      <c r="ACD11" s="314" t="s">
        <v>203</v>
      </c>
      <c r="ACE11" s="314" t="s">
        <v>203</v>
      </c>
      <c r="ACF11" s="314" t="s">
        <v>203</v>
      </c>
      <c r="ACG11" s="314" t="s">
        <v>203</v>
      </c>
      <c r="ACH11" s="314" t="s">
        <v>203</v>
      </c>
      <c r="ACI11" s="314" t="s">
        <v>203</v>
      </c>
      <c r="ACJ11" s="314" t="s">
        <v>203</v>
      </c>
      <c r="ACK11" s="314" t="s">
        <v>203</v>
      </c>
      <c r="ACL11" s="314" t="s">
        <v>203</v>
      </c>
      <c r="ACM11" s="314" t="s">
        <v>203</v>
      </c>
      <c r="ACN11" s="314" t="s">
        <v>203</v>
      </c>
      <c r="ACO11" s="314" t="s">
        <v>203</v>
      </c>
      <c r="ACP11" s="314" t="s">
        <v>203</v>
      </c>
      <c r="ACQ11" s="314" t="s">
        <v>203</v>
      </c>
      <c r="ACR11" s="314" t="s">
        <v>203</v>
      </c>
      <c r="ACS11" s="314" t="s">
        <v>203</v>
      </c>
      <c r="ACT11" s="314" t="s">
        <v>203</v>
      </c>
      <c r="ACU11" s="314" t="s">
        <v>203</v>
      </c>
      <c r="ACV11" s="314" t="s">
        <v>203</v>
      </c>
      <c r="ACW11" s="314" t="s">
        <v>203</v>
      </c>
      <c r="ACX11" s="314" t="s">
        <v>203</v>
      </c>
      <c r="ACY11" s="314" t="s">
        <v>203</v>
      </c>
      <c r="ACZ11" s="314" t="s">
        <v>203</v>
      </c>
      <c r="ADA11" s="314" t="s">
        <v>203</v>
      </c>
      <c r="ADB11" s="314" t="s">
        <v>203</v>
      </c>
      <c r="ADC11" s="314" t="s">
        <v>203</v>
      </c>
      <c r="ADD11" s="314" t="s">
        <v>203</v>
      </c>
      <c r="ADE11" s="314" t="s">
        <v>203</v>
      </c>
      <c r="ADF11" s="314" t="s">
        <v>203</v>
      </c>
      <c r="ADG11" s="314" t="s">
        <v>203</v>
      </c>
      <c r="ADH11" s="314" t="s">
        <v>203</v>
      </c>
      <c r="ADI11" s="314" t="s">
        <v>203</v>
      </c>
      <c r="ADJ11" s="314" t="s">
        <v>203</v>
      </c>
      <c r="ADK11" s="314" t="s">
        <v>203</v>
      </c>
      <c r="ADL11" s="314" t="s">
        <v>203</v>
      </c>
      <c r="ADM11" s="314" t="s">
        <v>203</v>
      </c>
      <c r="ADN11" s="314" t="s">
        <v>203</v>
      </c>
      <c r="ADO11" s="314" t="s">
        <v>203</v>
      </c>
      <c r="ADP11" s="314" t="s">
        <v>203</v>
      </c>
      <c r="ADQ11" s="314" t="s">
        <v>203</v>
      </c>
      <c r="ADR11" s="314" t="s">
        <v>203</v>
      </c>
      <c r="ADS11" s="314" t="s">
        <v>203</v>
      </c>
      <c r="ADT11" s="314" t="s">
        <v>203</v>
      </c>
      <c r="ADU11" s="314" t="s">
        <v>203</v>
      </c>
      <c r="ADV11" s="314" t="s">
        <v>203</v>
      </c>
      <c r="ADW11" s="314" t="s">
        <v>203</v>
      </c>
      <c r="ADX11" s="314" t="s">
        <v>203</v>
      </c>
      <c r="ADY11" s="314" t="s">
        <v>203</v>
      </c>
      <c r="ADZ11" s="314" t="s">
        <v>203</v>
      </c>
      <c r="AEA11" s="314" t="s">
        <v>203</v>
      </c>
      <c r="AEB11" s="314" t="s">
        <v>203</v>
      </c>
      <c r="AEC11" s="314" t="s">
        <v>203</v>
      </c>
      <c r="AED11" s="314" t="s">
        <v>203</v>
      </c>
      <c r="AEE11" s="314" t="s">
        <v>203</v>
      </c>
      <c r="AEF11" s="314" t="s">
        <v>203</v>
      </c>
      <c r="AEG11" s="314" t="s">
        <v>203</v>
      </c>
      <c r="AEH11" s="314" t="s">
        <v>203</v>
      </c>
      <c r="AEI11" s="314" t="s">
        <v>203</v>
      </c>
      <c r="AEJ11" s="314" t="s">
        <v>203</v>
      </c>
      <c r="AEK11" s="314" t="s">
        <v>203</v>
      </c>
      <c r="AEL11" s="314" t="s">
        <v>203</v>
      </c>
      <c r="AEM11" s="314" t="s">
        <v>203</v>
      </c>
      <c r="AEN11" s="314" t="s">
        <v>203</v>
      </c>
      <c r="AEO11" s="314" t="s">
        <v>203</v>
      </c>
      <c r="AEP11" s="314" t="s">
        <v>203</v>
      </c>
      <c r="AEQ11" s="314" t="s">
        <v>203</v>
      </c>
      <c r="AER11" s="314" t="s">
        <v>203</v>
      </c>
      <c r="AES11" s="314" t="s">
        <v>203</v>
      </c>
      <c r="AET11" s="314" t="s">
        <v>203</v>
      </c>
      <c r="AEU11" s="314" t="s">
        <v>203</v>
      </c>
      <c r="AEV11" s="314" t="s">
        <v>203</v>
      </c>
      <c r="AEW11" s="314" t="s">
        <v>203</v>
      </c>
      <c r="AEX11" s="314" t="s">
        <v>203</v>
      </c>
      <c r="AEY11" s="314" t="s">
        <v>203</v>
      </c>
      <c r="AEZ11" s="314" t="s">
        <v>203</v>
      </c>
      <c r="AFA11" s="314" t="s">
        <v>203</v>
      </c>
      <c r="AFB11" s="314" t="s">
        <v>203</v>
      </c>
      <c r="AFC11" s="314" t="s">
        <v>203</v>
      </c>
      <c r="AFD11" s="314" t="s">
        <v>203</v>
      </c>
      <c r="AFE11" s="314" t="s">
        <v>203</v>
      </c>
      <c r="AFF11" s="314" t="s">
        <v>203</v>
      </c>
      <c r="AFG11" s="314" t="s">
        <v>203</v>
      </c>
      <c r="AFH11" s="314" t="s">
        <v>203</v>
      </c>
      <c r="AFI11" s="314" t="s">
        <v>203</v>
      </c>
      <c r="AFJ11" s="314" t="s">
        <v>203</v>
      </c>
      <c r="AFK11" s="314" t="s">
        <v>203</v>
      </c>
      <c r="AFL11" s="314" t="s">
        <v>203</v>
      </c>
      <c r="AFM11" s="314" t="s">
        <v>203</v>
      </c>
      <c r="AFN11" s="314" t="s">
        <v>203</v>
      </c>
      <c r="AFO11" s="314" t="s">
        <v>203</v>
      </c>
      <c r="AFP11" s="314" t="s">
        <v>203</v>
      </c>
      <c r="AFQ11" s="314" t="s">
        <v>203</v>
      </c>
      <c r="AFR11" s="314" t="s">
        <v>203</v>
      </c>
      <c r="AFS11" s="314" t="s">
        <v>203</v>
      </c>
      <c r="AFT11" s="314" t="s">
        <v>203</v>
      </c>
      <c r="AFU11" s="314" t="s">
        <v>203</v>
      </c>
      <c r="AFV11" s="314" t="s">
        <v>203</v>
      </c>
      <c r="AFW11" s="314" t="s">
        <v>203</v>
      </c>
      <c r="AFX11" s="314" t="s">
        <v>203</v>
      </c>
      <c r="AFY11" s="314" t="s">
        <v>203</v>
      </c>
      <c r="AFZ11" s="314" t="s">
        <v>203</v>
      </c>
      <c r="AGA11" s="314" t="s">
        <v>203</v>
      </c>
      <c r="AGB11" s="314" t="s">
        <v>203</v>
      </c>
      <c r="AGC11" s="314" t="s">
        <v>203</v>
      </c>
      <c r="AGD11" s="314" t="s">
        <v>203</v>
      </c>
      <c r="AGE11" s="314" t="s">
        <v>203</v>
      </c>
      <c r="AGF11" s="314" t="s">
        <v>203</v>
      </c>
      <c r="AGG11" s="314" t="s">
        <v>203</v>
      </c>
      <c r="AGH11" s="314" t="s">
        <v>203</v>
      </c>
      <c r="AGI11" s="314" t="s">
        <v>203</v>
      </c>
      <c r="AGJ11" s="314" t="s">
        <v>203</v>
      </c>
      <c r="AGK11" s="314" t="s">
        <v>203</v>
      </c>
      <c r="AGL11" s="314" t="s">
        <v>203</v>
      </c>
      <c r="AGM11" s="314" t="s">
        <v>203</v>
      </c>
      <c r="AGN11" s="314" t="s">
        <v>203</v>
      </c>
      <c r="AGO11" s="314" t="s">
        <v>203</v>
      </c>
      <c r="AGP11" s="314" t="s">
        <v>203</v>
      </c>
      <c r="AGQ11" s="314" t="s">
        <v>203</v>
      </c>
      <c r="AGR11" s="314" t="s">
        <v>203</v>
      </c>
      <c r="AGS11" s="314" t="s">
        <v>203</v>
      </c>
      <c r="AGT11" s="314" t="s">
        <v>203</v>
      </c>
      <c r="AGU11" s="314" t="s">
        <v>203</v>
      </c>
      <c r="AGV11" s="314" t="s">
        <v>203</v>
      </c>
      <c r="AGW11" s="314" t="s">
        <v>203</v>
      </c>
      <c r="AGX11" s="314" t="s">
        <v>203</v>
      </c>
      <c r="AGY11" s="314" t="s">
        <v>203</v>
      </c>
      <c r="AGZ11" s="314" t="s">
        <v>203</v>
      </c>
      <c r="AHA11" s="314" t="s">
        <v>203</v>
      </c>
      <c r="AHB11" s="314" t="s">
        <v>203</v>
      </c>
      <c r="AHC11" s="314" t="s">
        <v>203</v>
      </c>
      <c r="AHD11" s="314" t="s">
        <v>203</v>
      </c>
      <c r="AHE11" s="314" t="s">
        <v>203</v>
      </c>
      <c r="AHF11" s="314" t="s">
        <v>203</v>
      </c>
      <c r="AHG11" s="314" t="s">
        <v>203</v>
      </c>
      <c r="AHH11" s="314" t="s">
        <v>203</v>
      </c>
      <c r="AHI11" s="314" t="s">
        <v>203</v>
      </c>
      <c r="AHJ11" s="314" t="s">
        <v>203</v>
      </c>
      <c r="AHK11" s="314" t="s">
        <v>203</v>
      </c>
      <c r="AHL11" s="314" t="s">
        <v>203</v>
      </c>
      <c r="AHM11" s="314" t="s">
        <v>203</v>
      </c>
      <c r="AHN11" s="314" t="s">
        <v>203</v>
      </c>
      <c r="AHO11" s="314" t="s">
        <v>203</v>
      </c>
      <c r="AHP11" s="314" t="s">
        <v>203</v>
      </c>
      <c r="AHQ11" s="314" t="s">
        <v>203</v>
      </c>
      <c r="AHR11" s="314" t="s">
        <v>203</v>
      </c>
      <c r="AHS11" s="314" t="s">
        <v>203</v>
      </c>
      <c r="AHT11" s="314" t="s">
        <v>203</v>
      </c>
      <c r="AHU11" s="314" t="s">
        <v>203</v>
      </c>
      <c r="AHV11" s="314" t="s">
        <v>203</v>
      </c>
      <c r="AHW11" s="314" t="s">
        <v>203</v>
      </c>
      <c r="AHX11" s="314" t="s">
        <v>203</v>
      </c>
      <c r="AHY11" s="314" t="s">
        <v>203</v>
      </c>
      <c r="AHZ11" s="314" t="s">
        <v>203</v>
      </c>
      <c r="AIA11" s="314" t="s">
        <v>203</v>
      </c>
      <c r="AIB11" s="314" t="s">
        <v>203</v>
      </c>
      <c r="AIC11" s="314" t="s">
        <v>203</v>
      </c>
      <c r="AID11" s="314" t="s">
        <v>203</v>
      </c>
      <c r="AIE11" s="314" t="s">
        <v>203</v>
      </c>
      <c r="AIF11" s="314" t="s">
        <v>203</v>
      </c>
      <c r="AIG11" s="314" t="s">
        <v>203</v>
      </c>
      <c r="AIH11" s="314" t="s">
        <v>203</v>
      </c>
      <c r="AII11" s="314" t="s">
        <v>203</v>
      </c>
      <c r="AIJ11" s="314" t="s">
        <v>203</v>
      </c>
      <c r="AIK11" s="314" t="s">
        <v>203</v>
      </c>
      <c r="AIL11" s="314" t="s">
        <v>203</v>
      </c>
      <c r="AIM11" s="314" t="s">
        <v>203</v>
      </c>
      <c r="AIN11" s="314" t="s">
        <v>203</v>
      </c>
      <c r="AIO11" s="314" t="s">
        <v>203</v>
      </c>
      <c r="AIP11" s="314" t="s">
        <v>203</v>
      </c>
      <c r="AIQ11" s="314" t="s">
        <v>203</v>
      </c>
      <c r="AIR11" s="314" t="s">
        <v>203</v>
      </c>
      <c r="AIS11" s="314" t="s">
        <v>203</v>
      </c>
      <c r="AIT11" s="314" t="s">
        <v>203</v>
      </c>
      <c r="AIU11" s="314" t="s">
        <v>203</v>
      </c>
      <c r="AIV11" s="314" t="s">
        <v>203</v>
      </c>
      <c r="AIW11" s="314" t="s">
        <v>203</v>
      </c>
      <c r="AIX11" s="314" t="s">
        <v>203</v>
      </c>
      <c r="AIY11" s="314" t="s">
        <v>203</v>
      </c>
      <c r="AIZ11" s="314" t="s">
        <v>203</v>
      </c>
      <c r="AJA11" s="314" t="s">
        <v>203</v>
      </c>
      <c r="AJB11" s="314" t="s">
        <v>203</v>
      </c>
      <c r="AJC11" s="314" t="s">
        <v>203</v>
      </c>
      <c r="AJD11" s="314" t="s">
        <v>203</v>
      </c>
      <c r="AJE11" s="314" t="s">
        <v>203</v>
      </c>
      <c r="AJF11" s="314" t="s">
        <v>203</v>
      </c>
      <c r="AJG11" s="314" t="s">
        <v>203</v>
      </c>
      <c r="AJH11" s="314" t="s">
        <v>203</v>
      </c>
      <c r="AJI11" s="314" t="s">
        <v>203</v>
      </c>
      <c r="AJJ11" s="314" t="s">
        <v>203</v>
      </c>
      <c r="AJK11" s="314" t="s">
        <v>203</v>
      </c>
      <c r="AJL11" s="314" t="s">
        <v>203</v>
      </c>
      <c r="AJM11" s="314" t="s">
        <v>203</v>
      </c>
      <c r="AJN11" s="314" t="s">
        <v>203</v>
      </c>
      <c r="AJO11" s="314" t="s">
        <v>203</v>
      </c>
      <c r="AJP11" s="314" t="s">
        <v>203</v>
      </c>
      <c r="AJQ11" s="314" t="s">
        <v>203</v>
      </c>
      <c r="AJR11" s="314" t="s">
        <v>203</v>
      </c>
      <c r="AJS11" s="314" t="s">
        <v>203</v>
      </c>
      <c r="AJT11" s="314" t="s">
        <v>203</v>
      </c>
      <c r="AJU11" s="314" t="s">
        <v>203</v>
      </c>
      <c r="AJV11" s="314" t="s">
        <v>203</v>
      </c>
      <c r="AJW11" s="314" t="s">
        <v>203</v>
      </c>
      <c r="AJX11" s="314" t="s">
        <v>203</v>
      </c>
      <c r="AJY11" s="314" t="s">
        <v>203</v>
      </c>
      <c r="AJZ11" s="314" t="s">
        <v>203</v>
      </c>
      <c r="AKA11" s="314" t="s">
        <v>203</v>
      </c>
      <c r="AKB11" s="314" t="s">
        <v>203</v>
      </c>
      <c r="AKC11" s="314" t="s">
        <v>203</v>
      </c>
      <c r="AKD11" s="314" t="s">
        <v>203</v>
      </c>
      <c r="AKE11" s="314" t="s">
        <v>203</v>
      </c>
      <c r="AKF11" s="314" t="s">
        <v>203</v>
      </c>
      <c r="AKG11" s="314" t="s">
        <v>203</v>
      </c>
      <c r="AKH11" s="314" t="s">
        <v>203</v>
      </c>
      <c r="AKI11" s="314" t="s">
        <v>203</v>
      </c>
      <c r="AKJ11" s="314" t="s">
        <v>203</v>
      </c>
      <c r="AKK11" s="314" t="s">
        <v>203</v>
      </c>
      <c r="AKL11" s="314" t="s">
        <v>203</v>
      </c>
      <c r="AKM11" s="314" t="s">
        <v>203</v>
      </c>
      <c r="AKN11" s="314" t="s">
        <v>203</v>
      </c>
      <c r="AKO11" s="314" t="s">
        <v>203</v>
      </c>
      <c r="AKP11" s="314" t="s">
        <v>203</v>
      </c>
      <c r="AKQ11" s="314" t="s">
        <v>203</v>
      </c>
      <c r="AKR11" s="314" t="s">
        <v>203</v>
      </c>
      <c r="AKS11" s="314" t="s">
        <v>203</v>
      </c>
      <c r="AKT11" s="314" t="s">
        <v>203</v>
      </c>
      <c r="AKU11" s="314" t="s">
        <v>203</v>
      </c>
      <c r="AKV11" s="314" t="s">
        <v>203</v>
      </c>
      <c r="AKW11" s="314" t="s">
        <v>203</v>
      </c>
      <c r="AKX11" s="314" t="s">
        <v>203</v>
      </c>
      <c r="AKY11" s="314" t="s">
        <v>203</v>
      </c>
      <c r="AKZ11" s="314" t="s">
        <v>203</v>
      </c>
      <c r="ALA11" s="314" t="s">
        <v>203</v>
      </c>
      <c r="ALB11" s="314" t="s">
        <v>203</v>
      </c>
      <c r="ALC11" s="314" t="s">
        <v>203</v>
      </c>
      <c r="ALD11" s="314" t="s">
        <v>203</v>
      </c>
      <c r="ALE11" s="314" t="s">
        <v>203</v>
      </c>
      <c r="ALF11" s="314" t="s">
        <v>203</v>
      </c>
      <c r="ALG11" s="314" t="s">
        <v>203</v>
      </c>
      <c r="ALH11" s="314" t="s">
        <v>203</v>
      </c>
      <c r="ALI11" s="314" t="s">
        <v>203</v>
      </c>
      <c r="ALJ11" s="314" t="s">
        <v>203</v>
      </c>
      <c r="ALK11" s="314" t="s">
        <v>203</v>
      </c>
      <c r="ALL11" s="314" t="s">
        <v>203</v>
      </c>
      <c r="ALM11" s="314" t="s">
        <v>203</v>
      </c>
      <c r="ALN11" s="314" t="s">
        <v>203</v>
      </c>
      <c r="ALO11" s="314" t="s">
        <v>203</v>
      </c>
      <c r="ALP11" s="314" t="s">
        <v>203</v>
      </c>
      <c r="ALQ11" s="314" t="s">
        <v>203</v>
      </c>
      <c r="ALR11" s="314" t="s">
        <v>203</v>
      </c>
      <c r="ALS11" s="314" t="s">
        <v>203</v>
      </c>
      <c r="ALT11" s="314" t="s">
        <v>203</v>
      </c>
      <c r="ALU11" s="314" t="s">
        <v>203</v>
      </c>
      <c r="ALV11" s="314" t="s">
        <v>203</v>
      </c>
      <c r="ALW11" s="314" t="s">
        <v>203</v>
      </c>
      <c r="ALX11" s="314" t="s">
        <v>203</v>
      </c>
      <c r="ALY11" s="314" t="s">
        <v>203</v>
      </c>
      <c r="ALZ11" s="314" t="s">
        <v>203</v>
      </c>
      <c r="AMA11" s="314" t="s">
        <v>203</v>
      </c>
      <c r="AMB11" s="314" t="s">
        <v>203</v>
      </c>
      <c r="AMC11" s="314" t="s">
        <v>203</v>
      </c>
      <c r="AMD11" s="314" t="s">
        <v>203</v>
      </c>
      <c r="AME11" s="314" t="s">
        <v>203</v>
      </c>
      <c r="AMF11" s="314" t="s">
        <v>203</v>
      </c>
      <c r="AMG11" s="314" t="s">
        <v>203</v>
      </c>
      <c r="AMH11" s="314" t="s">
        <v>203</v>
      </c>
      <c r="AMI11" s="314" t="s">
        <v>203</v>
      </c>
      <c r="AMJ11" s="314" t="s">
        <v>203</v>
      </c>
      <c r="AMK11" s="314" t="s">
        <v>203</v>
      </c>
      <c r="AML11" s="314" t="s">
        <v>203</v>
      </c>
      <c r="AMM11" s="314" t="s">
        <v>203</v>
      </c>
      <c r="AMN11" s="314" t="s">
        <v>203</v>
      </c>
      <c r="AMO11" s="314" t="s">
        <v>203</v>
      </c>
      <c r="AMP11" s="314" t="s">
        <v>203</v>
      </c>
      <c r="AMQ11" s="314" t="s">
        <v>203</v>
      </c>
      <c r="AMR11" s="314" t="s">
        <v>203</v>
      </c>
      <c r="AMS11" s="314" t="s">
        <v>203</v>
      </c>
      <c r="AMT11" s="314" t="s">
        <v>203</v>
      </c>
      <c r="AMU11" s="314" t="s">
        <v>203</v>
      </c>
      <c r="AMV11" s="314" t="s">
        <v>203</v>
      </c>
      <c r="AMW11" s="314" t="s">
        <v>203</v>
      </c>
      <c r="AMX11" s="314" t="s">
        <v>203</v>
      </c>
      <c r="AMY11" s="314" t="s">
        <v>203</v>
      </c>
      <c r="AMZ11" s="314" t="s">
        <v>203</v>
      </c>
      <c r="ANA11" s="314" t="s">
        <v>203</v>
      </c>
      <c r="ANB11" s="314" t="s">
        <v>203</v>
      </c>
      <c r="ANC11" s="314" t="s">
        <v>203</v>
      </c>
      <c r="AND11" s="314" t="s">
        <v>203</v>
      </c>
      <c r="ANE11" s="314" t="s">
        <v>203</v>
      </c>
      <c r="ANF11" s="314" t="s">
        <v>203</v>
      </c>
      <c r="ANG11" s="314" t="s">
        <v>203</v>
      </c>
      <c r="ANH11" s="314" t="s">
        <v>203</v>
      </c>
      <c r="ANI11" s="314" t="s">
        <v>203</v>
      </c>
      <c r="ANJ11" s="314" t="s">
        <v>203</v>
      </c>
      <c r="ANK11" s="314" t="s">
        <v>203</v>
      </c>
      <c r="ANL11" s="314" t="s">
        <v>203</v>
      </c>
      <c r="ANM11" s="314" t="s">
        <v>203</v>
      </c>
      <c r="ANN11" s="314" t="s">
        <v>203</v>
      </c>
      <c r="ANO11" s="314" t="s">
        <v>203</v>
      </c>
      <c r="ANP11" s="314" t="s">
        <v>203</v>
      </c>
      <c r="ANQ11" s="314" t="s">
        <v>203</v>
      </c>
      <c r="ANR11" s="314" t="s">
        <v>203</v>
      </c>
      <c r="ANS11" s="314" t="s">
        <v>203</v>
      </c>
      <c r="ANT11" s="314" t="s">
        <v>203</v>
      </c>
      <c r="ANU11" s="314" t="s">
        <v>203</v>
      </c>
      <c r="ANV11" s="314" t="s">
        <v>203</v>
      </c>
      <c r="ANW11" s="314" t="s">
        <v>203</v>
      </c>
      <c r="ANX11" s="314" t="s">
        <v>203</v>
      </c>
      <c r="ANY11" s="314" t="s">
        <v>203</v>
      </c>
      <c r="ANZ11" s="314" t="s">
        <v>203</v>
      </c>
      <c r="AOA11" s="314" t="s">
        <v>203</v>
      </c>
      <c r="AOB11" s="314" t="s">
        <v>203</v>
      </c>
      <c r="AOC11" s="314" t="s">
        <v>203</v>
      </c>
      <c r="AOD11" s="314" t="s">
        <v>203</v>
      </c>
      <c r="AOE11" s="314" t="s">
        <v>203</v>
      </c>
      <c r="AOF11" s="314" t="s">
        <v>203</v>
      </c>
      <c r="AOG11" s="314" t="s">
        <v>203</v>
      </c>
      <c r="AOH11" s="314" t="s">
        <v>203</v>
      </c>
      <c r="AOI11" s="314" t="s">
        <v>203</v>
      </c>
      <c r="AOJ11" s="314" t="s">
        <v>203</v>
      </c>
      <c r="AOK11" s="314" t="s">
        <v>203</v>
      </c>
      <c r="AOL11" s="314" t="s">
        <v>203</v>
      </c>
      <c r="AOM11" s="314" t="s">
        <v>203</v>
      </c>
      <c r="AON11" s="314" t="s">
        <v>203</v>
      </c>
      <c r="AOO11" s="314" t="s">
        <v>203</v>
      </c>
      <c r="AOP11" s="314" t="s">
        <v>203</v>
      </c>
      <c r="AOQ11" s="314" t="s">
        <v>203</v>
      </c>
      <c r="AOR11" s="314" t="s">
        <v>203</v>
      </c>
      <c r="AOS11" s="314" t="s">
        <v>203</v>
      </c>
      <c r="AOT11" s="314" t="s">
        <v>203</v>
      </c>
      <c r="AOU11" s="314" t="s">
        <v>203</v>
      </c>
      <c r="AOV11" s="314" t="s">
        <v>203</v>
      </c>
      <c r="AOW11" s="314" t="s">
        <v>203</v>
      </c>
      <c r="AOX11" s="314" t="s">
        <v>203</v>
      </c>
      <c r="AOY11" s="314" t="s">
        <v>203</v>
      </c>
      <c r="AOZ11" s="314" t="s">
        <v>203</v>
      </c>
      <c r="APA11" s="314" t="s">
        <v>203</v>
      </c>
      <c r="APB11" s="314" t="s">
        <v>203</v>
      </c>
      <c r="APC11" s="314" t="s">
        <v>203</v>
      </c>
      <c r="APD11" s="314" t="s">
        <v>203</v>
      </c>
      <c r="APE11" s="314" t="s">
        <v>203</v>
      </c>
      <c r="APF11" s="314" t="s">
        <v>203</v>
      </c>
      <c r="APG11" s="314" t="s">
        <v>203</v>
      </c>
      <c r="APH11" s="314" t="s">
        <v>203</v>
      </c>
      <c r="API11" s="314" t="s">
        <v>203</v>
      </c>
      <c r="APJ11" s="314" t="s">
        <v>203</v>
      </c>
      <c r="APK11" s="314" t="s">
        <v>203</v>
      </c>
      <c r="APL11" s="314" t="s">
        <v>203</v>
      </c>
      <c r="APM11" s="314" t="s">
        <v>203</v>
      </c>
      <c r="APN11" s="314" t="s">
        <v>203</v>
      </c>
      <c r="APO11" s="314" t="s">
        <v>203</v>
      </c>
      <c r="APP11" s="314" t="s">
        <v>203</v>
      </c>
      <c r="APQ11" s="314" t="s">
        <v>203</v>
      </c>
      <c r="APR11" s="314" t="s">
        <v>203</v>
      </c>
      <c r="APS11" s="314" t="s">
        <v>203</v>
      </c>
      <c r="APT11" s="314" t="s">
        <v>203</v>
      </c>
      <c r="APU11" s="314" t="s">
        <v>203</v>
      </c>
      <c r="APV11" s="314" t="s">
        <v>203</v>
      </c>
      <c r="APW11" s="314" t="s">
        <v>203</v>
      </c>
      <c r="APX11" s="314" t="s">
        <v>203</v>
      </c>
      <c r="APY11" s="314" t="s">
        <v>203</v>
      </c>
      <c r="APZ11" s="314" t="s">
        <v>203</v>
      </c>
      <c r="AQA11" s="314" t="s">
        <v>203</v>
      </c>
      <c r="AQB11" s="314" t="s">
        <v>203</v>
      </c>
      <c r="AQC11" s="314" t="s">
        <v>203</v>
      </c>
      <c r="AQD11" s="314" t="s">
        <v>203</v>
      </c>
      <c r="AQE11" s="314" t="s">
        <v>203</v>
      </c>
      <c r="AQF11" s="314" t="s">
        <v>203</v>
      </c>
      <c r="AQG11" s="314" t="s">
        <v>203</v>
      </c>
      <c r="AQH11" s="314" t="s">
        <v>203</v>
      </c>
      <c r="AQI11" s="314" t="s">
        <v>203</v>
      </c>
      <c r="AQJ11" s="314" t="s">
        <v>203</v>
      </c>
      <c r="AQK11" s="314" t="s">
        <v>203</v>
      </c>
      <c r="AQL11" s="314" t="s">
        <v>203</v>
      </c>
      <c r="AQM11" s="314" t="s">
        <v>203</v>
      </c>
      <c r="AQN11" s="314" t="s">
        <v>203</v>
      </c>
      <c r="AQO11" s="314" t="s">
        <v>203</v>
      </c>
      <c r="AQP11" s="314" t="s">
        <v>203</v>
      </c>
      <c r="AQQ11" s="314" t="s">
        <v>203</v>
      </c>
      <c r="AQR11" s="314" t="s">
        <v>203</v>
      </c>
      <c r="AQS11" s="314" t="s">
        <v>203</v>
      </c>
      <c r="AQT11" s="314" t="s">
        <v>203</v>
      </c>
      <c r="AQU11" s="314" t="s">
        <v>203</v>
      </c>
      <c r="AQV11" s="314" t="s">
        <v>203</v>
      </c>
      <c r="AQW11" s="314" t="s">
        <v>203</v>
      </c>
      <c r="AQX11" s="314" t="s">
        <v>203</v>
      </c>
      <c r="AQY11" s="314" t="s">
        <v>203</v>
      </c>
      <c r="AQZ11" s="314" t="s">
        <v>203</v>
      </c>
      <c r="ARA11" s="314" t="s">
        <v>203</v>
      </c>
      <c r="ARB11" s="314" t="s">
        <v>203</v>
      </c>
      <c r="ARC11" s="314" t="s">
        <v>203</v>
      </c>
      <c r="ARD11" s="314" t="s">
        <v>203</v>
      </c>
      <c r="ARE11" s="314" t="s">
        <v>203</v>
      </c>
      <c r="ARF11" s="314" t="s">
        <v>203</v>
      </c>
      <c r="ARG11" s="314" t="s">
        <v>203</v>
      </c>
      <c r="ARH11" s="314" t="s">
        <v>203</v>
      </c>
      <c r="ARI11" s="314" t="s">
        <v>203</v>
      </c>
      <c r="ARJ11" s="314" t="s">
        <v>203</v>
      </c>
      <c r="ARK11" s="314" t="s">
        <v>203</v>
      </c>
      <c r="ARL11" s="314" t="s">
        <v>203</v>
      </c>
      <c r="ARM11" s="314" t="s">
        <v>203</v>
      </c>
      <c r="ARN11" s="314" t="s">
        <v>203</v>
      </c>
      <c r="ARO11" s="314" t="s">
        <v>203</v>
      </c>
      <c r="ARP11" s="314" t="s">
        <v>203</v>
      </c>
      <c r="ARQ11" s="314" t="s">
        <v>203</v>
      </c>
      <c r="ARR11" s="314" t="s">
        <v>203</v>
      </c>
      <c r="ARS11" s="314" t="s">
        <v>203</v>
      </c>
      <c r="ART11" s="314" t="s">
        <v>203</v>
      </c>
      <c r="ARU11" s="314" t="s">
        <v>203</v>
      </c>
      <c r="ARV11" s="314" t="s">
        <v>203</v>
      </c>
      <c r="ARW11" s="314" t="s">
        <v>203</v>
      </c>
      <c r="ARX11" s="314" t="s">
        <v>203</v>
      </c>
      <c r="ARY11" s="314" t="s">
        <v>203</v>
      </c>
      <c r="ARZ11" s="314" t="s">
        <v>203</v>
      </c>
      <c r="ASA11" s="314" t="s">
        <v>203</v>
      </c>
      <c r="ASB11" s="314" t="s">
        <v>203</v>
      </c>
      <c r="ASC11" s="314" t="s">
        <v>203</v>
      </c>
      <c r="ASD11" s="314" t="s">
        <v>203</v>
      </c>
      <c r="ASE11" s="314" t="s">
        <v>203</v>
      </c>
      <c r="ASF11" s="314" t="s">
        <v>203</v>
      </c>
      <c r="ASG11" s="314" t="s">
        <v>203</v>
      </c>
      <c r="ASH11" s="314" t="s">
        <v>203</v>
      </c>
      <c r="ASI11" s="314" t="s">
        <v>203</v>
      </c>
      <c r="ASJ11" s="314" t="s">
        <v>203</v>
      </c>
      <c r="ASK11" s="314" t="s">
        <v>203</v>
      </c>
      <c r="ASL11" s="314" t="s">
        <v>203</v>
      </c>
      <c r="ASM11" s="314" t="s">
        <v>203</v>
      </c>
      <c r="ASN11" s="314" t="s">
        <v>203</v>
      </c>
      <c r="ASO11" s="314" t="s">
        <v>203</v>
      </c>
      <c r="ASP11" s="314" t="s">
        <v>203</v>
      </c>
      <c r="ASQ11" s="314" t="s">
        <v>203</v>
      </c>
      <c r="ASR11" s="314" t="s">
        <v>203</v>
      </c>
      <c r="ASS11" s="314" t="s">
        <v>203</v>
      </c>
      <c r="AST11" s="314" t="s">
        <v>203</v>
      </c>
      <c r="ASU11" s="314" t="s">
        <v>203</v>
      </c>
      <c r="ASV11" s="314" t="s">
        <v>203</v>
      </c>
      <c r="ASW11" s="314" t="s">
        <v>203</v>
      </c>
      <c r="ASX11" s="314" t="s">
        <v>203</v>
      </c>
      <c r="ASY11" s="314" t="s">
        <v>203</v>
      </c>
      <c r="ASZ11" s="314" t="s">
        <v>203</v>
      </c>
      <c r="ATA11" s="314" t="s">
        <v>203</v>
      </c>
      <c r="ATB11" s="314" t="s">
        <v>203</v>
      </c>
      <c r="ATC11" s="314" t="s">
        <v>203</v>
      </c>
      <c r="ATD11" s="314" t="s">
        <v>203</v>
      </c>
      <c r="ATE11" s="314" t="s">
        <v>203</v>
      </c>
      <c r="ATF11" s="314" t="s">
        <v>203</v>
      </c>
      <c r="ATG11" s="314" t="s">
        <v>203</v>
      </c>
      <c r="ATH11" s="314" t="s">
        <v>203</v>
      </c>
      <c r="ATI11" s="314" t="s">
        <v>203</v>
      </c>
      <c r="ATJ11" s="314" t="s">
        <v>203</v>
      </c>
      <c r="ATK11" s="314" t="s">
        <v>203</v>
      </c>
      <c r="ATL11" s="314" t="s">
        <v>203</v>
      </c>
      <c r="ATM11" s="314" t="s">
        <v>203</v>
      </c>
      <c r="ATN11" s="314" t="s">
        <v>203</v>
      </c>
      <c r="ATO11" s="314" t="s">
        <v>203</v>
      </c>
      <c r="ATP11" s="314" t="s">
        <v>203</v>
      </c>
      <c r="ATQ11" s="314" t="s">
        <v>203</v>
      </c>
      <c r="ATR11" s="314" t="s">
        <v>203</v>
      </c>
      <c r="ATS11" s="314" t="s">
        <v>203</v>
      </c>
      <c r="ATT11" s="314" t="s">
        <v>203</v>
      </c>
      <c r="ATU11" s="314" t="s">
        <v>203</v>
      </c>
      <c r="ATV11" s="314" t="s">
        <v>203</v>
      </c>
      <c r="ATW11" s="314" t="s">
        <v>203</v>
      </c>
      <c r="ATX11" s="314" t="s">
        <v>203</v>
      </c>
      <c r="ATY11" s="314" t="s">
        <v>203</v>
      </c>
      <c r="ATZ11" s="314" t="s">
        <v>203</v>
      </c>
      <c r="AUA11" s="314" t="s">
        <v>203</v>
      </c>
      <c r="AUB11" s="314" t="s">
        <v>203</v>
      </c>
      <c r="AUC11" s="314" t="s">
        <v>203</v>
      </c>
      <c r="AUD11" s="314" t="s">
        <v>203</v>
      </c>
      <c r="AUE11" s="314" t="s">
        <v>203</v>
      </c>
      <c r="AUF11" s="314" t="s">
        <v>203</v>
      </c>
      <c r="AUG11" s="314" t="s">
        <v>203</v>
      </c>
      <c r="AUH11" s="314" t="s">
        <v>203</v>
      </c>
      <c r="AUI11" s="314" t="s">
        <v>203</v>
      </c>
      <c r="AUJ11" s="314" t="s">
        <v>203</v>
      </c>
      <c r="AUK11" s="314" t="s">
        <v>203</v>
      </c>
      <c r="AUL11" s="314" t="s">
        <v>203</v>
      </c>
      <c r="AUM11" s="314" t="s">
        <v>203</v>
      </c>
      <c r="AUN11" s="314" t="s">
        <v>203</v>
      </c>
      <c r="AUO11" s="314" t="s">
        <v>203</v>
      </c>
      <c r="AUP11" s="314" t="s">
        <v>203</v>
      </c>
      <c r="AUQ11" s="314" t="s">
        <v>203</v>
      </c>
      <c r="AUR11" s="314" t="s">
        <v>203</v>
      </c>
      <c r="AUS11" s="314" t="s">
        <v>203</v>
      </c>
      <c r="AUT11" s="314" t="s">
        <v>203</v>
      </c>
      <c r="AUU11" s="314" t="s">
        <v>203</v>
      </c>
      <c r="AUV11" s="314" t="s">
        <v>203</v>
      </c>
      <c r="AUW11" s="314" t="s">
        <v>203</v>
      </c>
      <c r="AUX11" s="314" t="s">
        <v>203</v>
      </c>
      <c r="AUY11" s="314" t="s">
        <v>203</v>
      </c>
      <c r="AUZ11" s="314" t="s">
        <v>203</v>
      </c>
      <c r="AVA11" s="314" t="s">
        <v>203</v>
      </c>
      <c r="AVB11" s="314" t="s">
        <v>203</v>
      </c>
      <c r="AVC11" s="314" t="s">
        <v>203</v>
      </c>
      <c r="AVD11" s="314" t="s">
        <v>203</v>
      </c>
      <c r="AVE11" s="314" t="s">
        <v>203</v>
      </c>
      <c r="AVF11" s="314" t="s">
        <v>203</v>
      </c>
      <c r="AVG11" s="314" t="s">
        <v>203</v>
      </c>
      <c r="AVH11" s="314" t="s">
        <v>203</v>
      </c>
      <c r="AVI11" s="314" t="s">
        <v>203</v>
      </c>
      <c r="AVJ11" s="314" t="s">
        <v>203</v>
      </c>
      <c r="AVK11" s="314" t="s">
        <v>203</v>
      </c>
      <c r="AVL11" s="314" t="s">
        <v>203</v>
      </c>
      <c r="AVM11" s="314" t="s">
        <v>203</v>
      </c>
      <c r="AVN11" s="314" t="s">
        <v>203</v>
      </c>
      <c r="AVO11" s="314" t="s">
        <v>203</v>
      </c>
      <c r="AVP11" s="314" t="s">
        <v>203</v>
      </c>
      <c r="AVQ11" s="314" t="s">
        <v>203</v>
      </c>
      <c r="AVR11" s="314" t="s">
        <v>203</v>
      </c>
      <c r="AVS11" s="314" t="s">
        <v>203</v>
      </c>
      <c r="AVT11" s="314" t="s">
        <v>203</v>
      </c>
      <c r="AVU11" s="314" t="s">
        <v>203</v>
      </c>
      <c r="AVV11" s="314" t="s">
        <v>203</v>
      </c>
      <c r="AVW11" s="314" t="s">
        <v>203</v>
      </c>
      <c r="AVX11" s="314" t="s">
        <v>203</v>
      </c>
      <c r="AVY11" s="314" t="s">
        <v>203</v>
      </c>
      <c r="AVZ11" s="314" t="s">
        <v>203</v>
      </c>
      <c r="AWA11" s="314" t="s">
        <v>203</v>
      </c>
      <c r="AWB11" s="314" t="s">
        <v>203</v>
      </c>
      <c r="AWC11" s="314" t="s">
        <v>203</v>
      </c>
      <c r="AWD11" s="314" t="s">
        <v>203</v>
      </c>
      <c r="AWE11" s="314" t="s">
        <v>203</v>
      </c>
      <c r="AWF11" s="314" t="s">
        <v>203</v>
      </c>
      <c r="AWG11" s="314" t="s">
        <v>203</v>
      </c>
      <c r="AWH11" s="314" t="s">
        <v>203</v>
      </c>
      <c r="AWI11" s="314" t="s">
        <v>203</v>
      </c>
      <c r="AWJ11" s="314" t="s">
        <v>203</v>
      </c>
      <c r="AWK11" s="314" t="s">
        <v>203</v>
      </c>
      <c r="AWL11" s="314" t="s">
        <v>203</v>
      </c>
      <c r="AWM11" s="314" t="s">
        <v>203</v>
      </c>
      <c r="AWN11" s="314" t="s">
        <v>203</v>
      </c>
      <c r="AWO11" s="314" t="s">
        <v>203</v>
      </c>
      <c r="AWP11" s="314" t="s">
        <v>203</v>
      </c>
      <c r="AWQ11" s="314" t="s">
        <v>203</v>
      </c>
      <c r="AWR11" s="314" t="s">
        <v>203</v>
      </c>
      <c r="AWS11" s="314" t="s">
        <v>203</v>
      </c>
      <c r="AWT11" s="314" t="s">
        <v>203</v>
      </c>
      <c r="AWU11" s="314" t="s">
        <v>203</v>
      </c>
      <c r="AWV11" s="314" t="s">
        <v>203</v>
      </c>
      <c r="AWW11" s="314" t="s">
        <v>203</v>
      </c>
      <c r="AWX11" s="314" t="s">
        <v>203</v>
      </c>
      <c r="AWY11" s="314" t="s">
        <v>203</v>
      </c>
      <c r="AWZ11" s="314" t="s">
        <v>203</v>
      </c>
      <c r="AXA11" s="314" t="s">
        <v>203</v>
      </c>
      <c r="AXB11" s="314" t="s">
        <v>203</v>
      </c>
      <c r="AXC11" s="314" t="s">
        <v>203</v>
      </c>
      <c r="AXD11" s="314" t="s">
        <v>203</v>
      </c>
      <c r="AXE11" s="314" t="s">
        <v>203</v>
      </c>
      <c r="AXF11" s="314" t="s">
        <v>203</v>
      </c>
      <c r="AXG11" s="314" t="s">
        <v>203</v>
      </c>
      <c r="AXH11" s="314" t="s">
        <v>203</v>
      </c>
      <c r="AXI11" s="314" t="s">
        <v>203</v>
      </c>
      <c r="AXJ11" s="314" t="s">
        <v>203</v>
      </c>
      <c r="AXK11" s="314" t="s">
        <v>203</v>
      </c>
      <c r="AXL11" s="314" t="s">
        <v>203</v>
      </c>
      <c r="AXM11" s="314" t="s">
        <v>203</v>
      </c>
      <c r="AXN11" s="314" t="s">
        <v>203</v>
      </c>
      <c r="AXO11" s="314" t="s">
        <v>203</v>
      </c>
      <c r="AXP11" s="314" t="s">
        <v>203</v>
      </c>
      <c r="AXQ11" s="314" t="s">
        <v>203</v>
      </c>
      <c r="AXR11" s="314" t="s">
        <v>203</v>
      </c>
      <c r="AXS11" s="314" t="s">
        <v>203</v>
      </c>
      <c r="AXT11" s="314" t="s">
        <v>203</v>
      </c>
      <c r="AXU11" s="314" t="s">
        <v>203</v>
      </c>
      <c r="AXV11" s="314" t="s">
        <v>203</v>
      </c>
      <c r="AXW11" s="314" t="s">
        <v>203</v>
      </c>
      <c r="AXX11" s="314" t="s">
        <v>203</v>
      </c>
      <c r="AXY11" s="314" t="s">
        <v>203</v>
      </c>
      <c r="AXZ11" s="314" t="s">
        <v>203</v>
      </c>
      <c r="AYA11" s="314" t="s">
        <v>203</v>
      </c>
      <c r="AYB11" s="314" t="s">
        <v>203</v>
      </c>
      <c r="AYC11" s="314" t="s">
        <v>203</v>
      </c>
      <c r="AYD11" s="314" t="s">
        <v>203</v>
      </c>
      <c r="AYE11" s="314" t="s">
        <v>203</v>
      </c>
      <c r="AYF11" s="314" t="s">
        <v>203</v>
      </c>
      <c r="AYG11" s="314" t="s">
        <v>203</v>
      </c>
      <c r="AYH11" s="314" t="s">
        <v>203</v>
      </c>
      <c r="AYI11" s="314" t="s">
        <v>203</v>
      </c>
      <c r="AYJ11" s="314" t="s">
        <v>203</v>
      </c>
      <c r="AYK11" s="314" t="s">
        <v>203</v>
      </c>
      <c r="AYL11" s="314" t="s">
        <v>203</v>
      </c>
      <c r="AYM11" s="314" t="s">
        <v>203</v>
      </c>
      <c r="AYN11" s="314" t="s">
        <v>203</v>
      </c>
      <c r="AYO11" s="314" t="s">
        <v>203</v>
      </c>
      <c r="AYP11" s="314" t="s">
        <v>203</v>
      </c>
      <c r="AYQ11" s="314" t="s">
        <v>203</v>
      </c>
      <c r="AYR11" s="314" t="s">
        <v>203</v>
      </c>
      <c r="AYS11" s="314" t="s">
        <v>203</v>
      </c>
      <c r="AYT11" s="314" t="s">
        <v>203</v>
      </c>
      <c r="AYU11" s="314" t="s">
        <v>203</v>
      </c>
      <c r="AYV11" s="314" t="s">
        <v>203</v>
      </c>
      <c r="AYW11" s="314" t="s">
        <v>203</v>
      </c>
      <c r="AYX11" s="314" t="s">
        <v>203</v>
      </c>
      <c r="AYY11" s="314" t="s">
        <v>203</v>
      </c>
      <c r="AYZ11" s="314" t="s">
        <v>203</v>
      </c>
      <c r="AZA11" s="314" t="s">
        <v>203</v>
      </c>
      <c r="AZB11" s="314" t="s">
        <v>203</v>
      </c>
      <c r="AZC11" s="314" t="s">
        <v>203</v>
      </c>
      <c r="AZD11" s="314" t="s">
        <v>203</v>
      </c>
      <c r="AZE11" s="314" t="s">
        <v>203</v>
      </c>
      <c r="AZF11" s="314" t="s">
        <v>203</v>
      </c>
      <c r="AZG11" s="314" t="s">
        <v>203</v>
      </c>
      <c r="AZH11" s="314" t="s">
        <v>203</v>
      </c>
      <c r="AZI11" s="314" t="s">
        <v>203</v>
      </c>
      <c r="AZJ11" s="314" t="s">
        <v>203</v>
      </c>
      <c r="AZK11" s="314" t="s">
        <v>203</v>
      </c>
      <c r="AZL11" s="314" t="s">
        <v>203</v>
      </c>
      <c r="AZM11" s="314" t="s">
        <v>203</v>
      </c>
      <c r="AZN11" s="314" t="s">
        <v>203</v>
      </c>
      <c r="AZO11" s="314" t="s">
        <v>203</v>
      </c>
      <c r="AZP11" s="314" t="s">
        <v>203</v>
      </c>
      <c r="AZQ11" s="314" t="s">
        <v>203</v>
      </c>
      <c r="AZR11" s="314" t="s">
        <v>203</v>
      </c>
      <c r="AZS11" s="314" t="s">
        <v>203</v>
      </c>
      <c r="AZT11" s="314" t="s">
        <v>203</v>
      </c>
      <c r="AZU11" s="314" t="s">
        <v>203</v>
      </c>
      <c r="AZV11" s="314" t="s">
        <v>203</v>
      </c>
      <c r="AZW11" s="314" t="s">
        <v>203</v>
      </c>
      <c r="AZX11" s="314" t="s">
        <v>203</v>
      </c>
      <c r="AZY11" s="314" t="s">
        <v>203</v>
      </c>
      <c r="AZZ11" s="314" t="s">
        <v>203</v>
      </c>
      <c r="BAA11" s="314" t="s">
        <v>203</v>
      </c>
      <c r="BAB11" s="314" t="s">
        <v>203</v>
      </c>
      <c r="BAC11" s="314" t="s">
        <v>203</v>
      </c>
      <c r="BAD11" s="314" t="s">
        <v>203</v>
      </c>
      <c r="BAE11" s="314" t="s">
        <v>203</v>
      </c>
      <c r="BAF11" s="314" t="s">
        <v>203</v>
      </c>
      <c r="BAG11" s="314" t="s">
        <v>203</v>
      </c>
      <c r="BAH11" s="314" t="s">
        <v>203</v>
      </c>
      <c r="BAI11" s="314" t="s">
        <v>203</v>
      </c>
      <c r="BAJ11" s="314" t="s">
        <v>203</v>
      </c>
      <c r="BAK11" s="314" t="s">
        <v>203</v>
      </c>
      <c r="BAL11" s="314" t="s">
        <v>203</v>
      </c>
      <c r="BAM11" s="314" t="s">
        <v>203</v>
      </c>
      <c r="BAN11" s="314" t="s">
        <v>203</v>
      </c>
      <c r="BAO11" s="314" t="s">
        <v>203</v>
      </c>
      <c r="BAP11" s="314" t="s">
        <v>203</v>
      </c>
      <c r="BAQ11" s="314" t="s">
        <v>203</v>
      </c>
      <c r="BAR11" s="314" t="s">
        <v>203</v>
      </c>
      <c r="BAS11" s="314" t="s">
        <v>203</v>
      </c>
      <c r="BAT11" s="314" t="s">
        <v>203</v>
      </c>
      <c r="BAU11" s="314" t="s">
        <v>203</v>
      </c>
      <c r="BAV11" s="314" t="s">
        <v>203</v>
      </c>
      <c r="BAW11" s="314" t="s">
        <v>203</v>
      </c>
      <c r="BAX11" s="314" t="s">
        <v>203</v>
      </c>
      <c r="BAY11" s="314" t="s">
        <v>203</v>
      </c>
      <c r="BAZ11" s="314" t="s">
        <v>203</v>
      </c>
      <c r="BBA11" s="314" t="s">
        <v>203</v>
      </c>
      <c r="BBB11" s="314" t="s">
        <v>203</v>
      </c>
      <c r="BBC11" s="314" t="s">
        <v>203</v>
      </c>
      <c r="BBD11" s="314" t="s">
        <v>203</v>
      </c>
      <c r="BBE11" s="314" t="s">
        <v>203</v>
      </c>
      <c r="BBF11" s="314" t="s">
        <v>203</v>
      </c>
      <c r="BBG11" s="314" t="s">
        <v>203</v>
      </c>
      <c r="BBH11" s="314" t="s">
        <v>203</v>
      </c>
      <c r="BBI11" s="314" t="s">
        <v>203</v>
      </c>
      <c r="BBJ11" s="314" t="s">
        <v>203</v>
      </c>
      <c r="BBK11" s="314" t="s">
        <v>203</v>
      </c>
      <c r="BBL11" s="314" t="s">
        <v>203</v>
      </c>
      <c r="BBM11" s="314" t="s">
        <v>203</v>
      </c>
      <c r="BBN11" s="314" t="s">
        <v>203</v>
      </c>
      <c r="BBO11" s="314" t="s">
        <v>203</v>
      </c>
      <c r="BBP11" s="314" t="s">
        <v>203</v>
      </c>
      <c r="BBQ11" s="314" t="s">
        <v>203</v>
      </c>
      <c r="BBR11" s="314" t="s">
        <v>203</v>
      </c>
      <c r="BBS11" s="314" t="s">
        <v>203</v>
      </c>
      <c r="BBT11" s="314" t="s">
        <v>203</v>
      </c>
      <c r="BBU11" s="314" t="s">
        <v>203</v>
      </c>
      <c r="BBV11" s="314" t="s">
        <v>203</v>
      </c>
      <c r="BBW11" s="314" t="s">
        <v>203</v>
      </c>
      <c r="BBX11" s="314" t="s">
        <v>203</v>
      </c>
      <c r="BBY11" s="314" t="s">
        <v>203</v>
      </c>
      <c r="BBZ11" s="314" t="s">
        <v>203</v>
      </c>
      <c r="BCA11" s="314" t="s">
        <v>203</v>
      </c>
      <c r="BCB11" s="314" t="s">
        <v>203</v>
      </c>
      <c r="BCC11" s="314" t="s">
        <v>203</v>
      </c>
      <c r="BCD11" s="314" t="s">
        <v>203</v>
      </c>
      <c r="BCE11" s="314" t="s">
        <v>203</v>
      </c>
      <c r="BCF11" s="314" t="s">
        <v>203</v>
      </c>
      <c r="BCG11" s="314" t="s">
        <v>203</v>
      </c>
      <c r="BCH11" s="314" t="s">
        <v>203</v>
      </c>
      <c r="BCI11" s="314" t="s">
        <v>203</v>
      </c>
      <c r="BCJ11" s="314" t="s">
        <v>203</v>
      </c>
      <c r="BCK11" s="314" t="s">
        <v>203</v>
      </c>
      <c r="BCL11" s="314" t="s">
        <v>203</v>
      </c>
      <c r="BCM11" s="314" t="s">
        <v>203</v>
      </c>
      <c r="BCN11" s="314" t="s">
        <v>203</v>
      </c>
      <c r="BCO11" s="314" t="s">
        <v>203</v>
      </c>
      <c r="BCP11" s="314" t="s">
        <v>203</v>
      </c>
      <c r="BCQ11" s="314" t="s">
        <v>203</v>
      </c>
      <c r="BCR11" s="314" t="s">
        <v>203</v>
      </c>
      <c r="BCS11" s="314" t="s">
        <v>203</v>
      </c>
      <c r="BCT11" s="314" t="s">
        <v>203</v>
      </c>
      <c r="BCU11" s="314" t="s">
        <v>203</v>
      </c>
      <c r="BCV11" s="314" t="s">
        <v>203</v>
      </c>
      <c r="BCW11" s="314" t="s">
        <v>203</v>
      </c>
      <c r="BCX11" s="314" t="s">
        <v>203</v>
      </c>
      <c r="BCY11" s="314" t="s">
        <v>203</v>
      </c>
      <c r="BCZ11" s="314" t="s">
        <v>203</v>
      </c>
      <c r="BDA11" s="314" t="s">
        <v>203</v>
      </c>
      <c r="BDB11" s="314" t="s">
        <v>203</v>
      </c>
      <c r="BDC11" s="314" t="s">
        <v>203</v>
      </c>
      <c r="BDD11" s="314" t="s">
        <v>203</v>
      </c>
      <c r="BDE11" s="314" t="s">
        <v>203</v>
      </c>
      <c r="BDF11" s="314" t="s">
        <v>203</v>
      </c>
      <c r="BDG11" s="314" t="s">
        <v>203</v>
      </c>
      <c r="BDH11" s="314" t="s">
        <v>203</v>
      </c>
      <c r="BDI11" s="314" t="s">
        <v>203</v>
      </c>
      <c r="BDJ11" s="314" t="s">
        <v>203</v>
      </c>
      <c r="BDK11" s="314" t="s">
        <v>203</v>
      </c>
      <c r="BDL11" s="314" t="s">
        <v>203</v>
      </c>
      <c r="BDM11" s="314" t="s">
        <v>203</v>
      </c>
      <c r="BDN11" s="314" t="s">
        <v>203</v>
      </c>
      <c r="BDO11" s="314" t="s">
        <v>203</v>
      </c>
      <c r="BDP11" s="314" t="s">
        <v>203</v>
      </c>
      <c r="BDQ11" s="314" t="s">
        <v>203</v>
      </c>
      <c r="BDR11" s="314" t="s">
        <v>203</v>
      </c>
      <c r="BDS11" s="314" t="s">
        <v>203</v>
      </c>
      <c r="BDT11" s="314" t="s">
        <v>203</v>
      </c>
      <c r="BDU11" s="314" t="s">
        <v>203</v>
      </c>
      <c r="BDV11" s="314" t="s">
        <v>203</v>
      </c>
      <c r="BDW11" s="314" t="s">
        <v>203</v>
      </c>
      <c r="BDX11" s="314" t="s">
        <v>203</v>
      </c>
      <c r="BDY11" s="314" t="s">
        <v>203</v>
      </c>
      <c r="BDZ11" s="314" t="s">
        <v>203</v>
      </c>
      <c r="BEA11" s="314" t="s">
        <v>203</v>
      </c>
      <c r="BEB11" s="314" t="s">
        <v>203</v>
      </c>
      <c r="BEC11" s="314" t="s">
        <v>203</v>
      </c>
      <c r="BED11" s="314" t="s">
        <v>203</v>
      </c>
      <c r="BEE11" s="314" t="s">
        <v>203</v>
      </c>
      <c r="BEF11" s="314" t="s">
        <v>203</v>
      </c>
      <c r="BEG11" s="314" t="s">
        <v>203</v>
      </c>
      <c r="BEH11" s="314" t="s">
        <v>203</v>
      </c>
      <c r="BEI11" s="314" t="s">
        <v>203</v>
      </c>
      <c r="BEJ11" s="314" t="s">
        <v>203</v>
      </c>
      <c r="BEK11" s="314" t="s">
        <v>203</v>
      </c>
      <c r="BEL11" s="314" t="s">
        <v>203</v>
      </c>
      <c r="BEM11" s="314" t="s">
        <v>203</v>
      </c>
      <c r="BEN11" s="314" t="s">
        <v>203</v>
      </c>
      <c r="BEO11" s="314" t="s">
        <v>203</v>
      </c>
      <c r="BEP11" s="314" t="s">
        <v>203</v>
      </c>
      <c r="BEQ11" s="314" t="s">
        <v>203</v>
      </c>
      <c r="BER11" s="314" t="s">
        <v>203</v>
      </c>
      <c r="BES11" s="314" t="s">
        <v>203</v>
      </c>
      <c r="BET11" s="314" t="s">
        <v>203</v>
      </c>
      <c r="BEU11" s="314" t="s">
        <v>203</v>
      </c>
      <c r="BEV11" s="314" t="s">
        <v>203</v>
      </c>
      <c r="BEW11" s="314" t="s">
        <v>203</v>
      </c>
      <c r="BEX11" s="314" t="s">
        <v>203</v>
      </c>
      <c r="BEY11" s="314" t="s">
        <v>203</v>
      </c>
      <c r="BEZ11" s="314" t="s">
        <v>203</v>
      </c>
      <c r="BFA11" s="314" t="s">
        <v>203</v>
      </c>
      <c r="BFB11" s="314" t="s">
        <v>203</v>
      </c>
      <c r="BFC11" s="314" t="s">
        <v>203</v>
      </c>
      <c r="BFD11" s="314" t="s">
        <v>203</v>
      </c>
      <c r="BFE11" s="314" t="s">
        <v>203</v>
      </c>
      <c r="BFF11" s="314" t="s">
        <v>203</v>
      </c>
      <c r="BFG11" s="314" t="s">
        <v>203</v>
      </c>
      <c r="BFH11" s="314" t="s">
        <v>203</v>
      </c>
      <c r="BFI11" s="314" t="s">
        <v>203</v>
      </c>
      <c r="BFJ11" s="314" t="s">
        <v>203</v>
      </c>
      <c r="BFK11" s="314" t="s">
        <v>203</v>
      </c>
      <c r="BFL11" s="314" t="s">
        <v>203</v>
      </c>
      <c r="BFM11" s="314" t="s">
        <v>203</v>
      </c>
      <c r="BFN11" s="314" t="s">
        <v>203</v>
      </c>
      <c r="BFO11" s="314" t="s">
        <v>203</v>
      </c>
      <c r="BFP11" s="314" t="s">
        <v>203</v>
      </c>
      <c r="BFQ11" s="314" t="s">
        <v>203</v>
      </c>
      <c r="BFR11" s="314" t="s">
        <v>203</v>
      </c>
      <c r="BFS11" s="314" t="s">
        <v>203</v>
      </c>
      <c r="BFT11" s="314" t="s">
        <v>203</v>
      </c>
      <c r="BFU11" s="314" t="s">
        <v>203</v>
      </c>
      <c r="BFV11" s="314" t="s">
        <v>203</v>
      </c>
      <c r="BFW11" s="314" t="s">
        <v>203</v>
      </c>
      <c r="BFX11" s="314" t="s">
        <v>203</v>
      </c>
      <c r="BFY11" s="314" t="s">
        <v>203</v>
      </c>
      <c r="BFZ11" s="314" t="s">
        <v>203</v>
      </c>
      <c r="BGA11" s="314" t="s">
        <v>203</v>
      </c>
      <c r="BGB11" s="314" t="s">
        <v>203</v>
      </c>
      <c r="BGC11" s="314" t="s">
        <v>203</v>
      </c>
      <c r="BGD11" s="314" t="s">
        <v>203</v>
      </c>
      <c r="BGE11" s="314" t="s">
        <v>203</v>
      </c>
      <c r="BGF11" s="314" t="s">
        <v>203</v>
      </c>
      <c r="BGG11" s="314" t="s">
        <v>203</v>
      </c>
      <c r="BGH11" s="314" t="s">
        <v>203</v>
      </c>
      <c r="BGI11" s="314" t="s">
        <v>203</v>
      </c>
      <c r="BGJ11" s="314" t="s">
        <v>203</v>
      </c>
      <c r="BGK11" s="314" t="s">
        <v>203</v>
      </c>
      <c r="BGL11" s="314" t="s">
        <v>203</v>
      </c>
      <c r="BGM11" s="314" t="s">
        <v>203</v>
      </c>
      <c r="BGN11" s="314" t="s">
        <v>203</v>
      </c>
      <c r="BGO11" s="314" t="s">
        <v>203</v>
      </c>
      <c r="BGP11" s="314" t="s">
        <v>203</v>
      </c>
      <c r="BGQ11" s="314" t="s">
        <v>203</v>
      </c>
      <c r="BGR11" s="314" t="s">
        <v>203</v>
      </c>
      <c r="BGS11" s="314" t="s">
        <v>203</v>
      </c>
      <c r="BGT11" s="314" t="s">
        <v>203</v>
      </c>
      <c r="BGU11" s="314" t="s">
        <v>203</v>
      </c>
      <c r="BGV11" s="314" t="s">
        <v>203</v>
      </c>
      <c r="BGW11" s="314" t="s">
        <v>203</v>
      </c>
      <c r="BGX11" s="314" t="s">
        <v>203</v>
      </c>
      <c r="BGY11" s="314" t="s">
        <v>203</v>
      </c>
      <c r="BGZ11" s="314" t="s">
        <v>203</v>
      </c>
      <c r="BHA11" s="314" t="s">
        <v>203</v>
      </c>
      <c r="BHB11" s="314" t="s">
        <v>203</v>
      </c>
      <c r="BHC11" s="314" t="s">
        <v>203</v>
      </c>
      <c r="BHD11" s="314" t="s">
        <v>203</v>
      </c>
      <c r="BHE11" s="314" t="s">
        <v>203</v>
      </c>
      <c r="BHF11" s="314" t="s">
        <v>203</v>
      </c>
      <c r="BHG11" s="314" t="s">
        <v>203</v>
      </c>
      <c r="BHH11" s="314" t="s">
        <v>203</v>
      </c>
      <c r="BHI11" s="314" t="s">
        <v>203</v>
      </c>
      <c r="BHJ11" s="314" t="s">
        <v>203</v>
      </c>
      <c r="BHK11" s="314" t="s">
        <v>203</v>
      </c>
      <c r="BHL11" s="314" t="s">
        <v>203</v>
      </c>
      <c r="BHM11" s="314" t="s">
        <v>203</v>
      </c>
      <c r="BHN11" s="314" t="s">
        <v>203</v>
      </c>
      <c r="BHO11" s="314" t="s">
        <v>203</v>
      </c>
      <c r="BHP11" s="314" t="s">
        <v>203</v>
      </c>
      <c r="BHQ11" s="314" t="s">
        <v>203</v>
      </c>
      <c r="BHR11" s="314" t="s">
        <v>203</v>
      </c>
      <c r="BHS11" s="314" t="s">
        <v>203</v>
      </c>
      <c r="BHT11" s="314" t="s">
        <v>203</v>
      </c>
      <c r="BHU11" s="314" t="s">
        <v>203</v>
      </c>
      <c r="BHV11" s="314" t="s">
        <v>203</v>
      </c>
      <c r="BHW11" s="314" t="s">
        <v>203</v>
      </c>
      <c r="BHX11" s="314" t="s">
        <v>203</v>
      </c>
      <c r="BHY11" s="314" t="s">
        <v>203</v>
      </c>
      <c r="BHZ11" s="314" t="s">
        <v>203</v>
      </c>
      <c r="BIA11" s="314" t="s">
        <v>203</v>
      </c>
      <c r="BIB11" s="314" t="s">
        <v>203</v>
      </c>
      <c r="BIC11" s="314" t="s">
        <v>203</v>
      </c>
      <c r="BID11" s="314" t="s">
        <v>203</v>
      </c>
      <c r="BIE11" s="314" t="s">
        <v>203</v>
      </c>
      <c r="BIF11" s="314" t="s">
        <v>203</v>
      </c>
      <c r="BIG11" s="314" t="s">
        <v>203</v>
      </c>
      <c r="BIH11" s="314" t="s">
        <v>203</v>
      </c>
      <c r="BII11" s="314" t="s">
        <v>203</v>
      </c>
      <c r="BIJ11" s="314" t="s">
        <v>203</v>
      </c>
      <c r="BIK11" s="314" t="s">
        <v>203</v>
      </c>
      <c r="BIL11" s="314" t="s">
        <v>203</v>
      </c>
      <c r="BIM11" s="314" t="s">
        <v>203</v>
      </c>
      <c r="BIN11" s="314" t="s">
        <v>203</v>
      </c>
      <c r="BIO11" s="314" t="s">
        <v>203</v>
      </c>
      <c r="BIP11" s="314" t="s">
        <v>203</v>
      </c>
      <c r="BIQ11" s="314" t="s">
        <v>203</v>
      </c>
      <c r="BIR11" s="314" t="s">
        <v>203</v>
      </c>
      <c r="BIS11" s="314" t="s">
        <v>203</v>
      </c>
      <c r="BIT11" s="314" t="s">
        <v>203</v>
      </c>
      <c r="BIU11" s="314" t="s">
        <v>203</v>
      </c>
      <c r="BIV11" s="314" t="s">
        <v>203</v>
      </c>
      <c r="BIW11" s="314" t="s">
        <v>203</v>
      </c>
      <c r="BIX11" s="314" t="s">
        <v>203</v>
      </c>
      <c r="BIY11" s="314" t="s">
        <v>203</v>
      </c>
      <c r="BIZ11" s="314" t="s">
        <v>203</v>
      </c>
      <c r="BJA11" s="314" t="s">
        <v>203</v>
      </c>
      <c r="BJB11" s="314" t="s">
        <v>203</v>
      </c>
      <c r="BJC11" s="314" t="s">
        <v>203</v>
      </c>
      <c r="BJD11" s="314" t="s">
        <v>203</v>
      </c>
      <c r="BJE11" s="314" t="s">
        <v>203</v>
      </c>
      <c r="BJF11" s="314" t="s">
        <v>203</v>
      </c>
      <c r="BJG11" s="314" t="s">
        <v>203</v>
      </c>
      <c r="BJH11" s="314" t="s">
        <v>203</v>
      </c>
      <c r="BJI11" s="314" t="s">
        <v>203</v>
      </c>
      <c r="BJJ11" s="314" t="s">
        <v>203</v>
      </c>
      <c r="BJK11" s="314" t="s">
        <v>203</v>
      </c>
      <c r="BJL11" s="314" t="s">
        <v>203</v>
      </c>
      <c r="BJM11" s="314" t="s">
        <v>203</v>
      </c>
      <c r="BJN11" s="314" t="s">
        <v>203</v>
      </c>
      <c r="BJO11" s="314" t="s">
        <v>203</v>
      </c>
      <c r="BJP11" s="314" t="s">
        <v>203</v>
      </c>
      <c r="BJQ11" s="314" t="s">
        <v>203</v>
      </c>
      <c r="BJR11" s="314" t="s">
        <v>203</v>
      </c>
      <c r="BJS11" s="314" t="s">
        <v>203</v>
      </c>
      <c r="BJT11" s="314" t="s">
        <v>203</v>
      </c>
      <c r="BJU11" s="314" t="s">
        <v>203</v>
      </c>
      <c r="BJV11" s="314" t="s">
        <v>203</v>
      </c>
      <c r="BJW11" s="314" t="s">
        <v>203</v>
      </c>
      <c r="BJX11" s="314" t="s">
        <v>203</v>
      </c>
      <c r="BJY11" s="314" t="s">
        <v>203</v>
      </c>
      <c r="BJZ11" s="314" t="s">
        <v>203</v>
      </c>
      <c r="BKA11" s="314" t="s">
        <v>203</v>
      </c>
      <c r="BKB11" s="314" t="s">
        <v>203</v>
      </c>
      <c r="BKC11" s="314" t="s">
        <v>203</v>
      </c>
      <c r="BKD11" s="314" t="s">
        <v>203</v>
      </c>
      <c r="BKE11" s="314" t="s">
        <v>203</v>
      </c>
      <c r="BKF11" s="314" t="s">
        <v>203</v>
      </c>
      <c r="BKG11" s="314" t="s">
        <v>203</v>
      </c>
      <c r="BKH11" s="314" t="s">
        <v>203</v>
      </c>
      <c r="BKI11" s="314" t="s">
        <v>203</v>
      </c>
      <c r="BKJ11" s="314" t="s">
        <v>203</v>
      </c>
      <c r="BKK11" s="314" t="s">
        <v>203</v>
      </c>
      <c r="BKL11" s="314" t="s">
        <v>203</v>
      </c>
      <c r="BKM11" s="314" t="s">
        <v>203</v>
      </c>
      <c r="BKN11" s="314" t="s">
        <v>203</v>
      </c>
      <c r="BKO11" s="314" t="s">
        <v>203</v>
      </c>
      <c r="BKP11" s="314" t="s">
        <v>203</v>
      </c>
      <c r="BKQ11" s="314" t="s">
        <v>203</v>
      </c>
      <c r="BKR11" s="314" t="s">
        <v>203</v>
      </c>
      <c r="BKS11" s="314" t="s">
        <v>203</v>
      </c>
      <c r="BKT11" s="314" t="s">
        <v>203</v>
      </c>
      <c r="BKU11" s="314" t="s">
        <v>203</v>
      </c>
      <c r="BKV11" s="314" t="s">
        <v>203</v>
      </c>
      <c r="BKW11" s="314" t="s">
        <v>203</v>
      </c>
      <c r="BKX11" s="314" t="s">
        <v>203</v>
      </c>
      <c r="BKY11" s="314" t="s">
        <v>203</v>
      </c>
      <c r="BKZ11" s="314" t="s">
        <v>203</v>
      </c>
      <c r="BLA11" s="314" t="s">
        <v>203</v>
      </c>
      <c r="BLB11" s="314" t="s">
        <v>203</v>
      </c>
      <c r="BLC11" s="314" t="s">
        <v>203</v>
      </c>
      <c r="BLD11" s="314" t="s">
        <v>203</v>
      </c>
      <c r="BLE11" s="314" t="s">
        <v>203</v>
      </c>
      <c r="BLF11" s="314" t="s">
        <v>203</v>
      </c>
      <c r="BLG11" s="314" t="s">
        <v>203</v>
      </c>
      <c r="BLH11" s="314" t="s">
        <v>203</v>
      </c>
      <c r="BLI11" s="314" t="s">
        <v>203</v>
      </c>
      <c r="BLJ11" s="314" t="s">
        <v>203</v>
      </c>
      <c r="BLK11" s="314" t="s">
        <v>203</v>
      </c>
      <c r="BLL11" s="314" t="s">
        <v>203</v>
      </c>
      <c r="BLM11" s="314" t="s">
        <v>203</v>
      </c>
      <c r="BLN11" s="314" t="s">
        <v>203</v>
      </c>
      <c r="BLO11" s="314" t="s">
        <v>203</v>
      </c>
      <c r="BLP11" s="314" t="s">
        <v>203</v>
      </c>
      <c r="BLQ11" s="314" t="s">
        <v>203</v>
      </c>
      <c r="BLR11" s="314" t="s">
        <v>203</v>
      </c>
      <c r="BLS11" s="314" t="s">
        <v>203</v>
      </c>
      <c r="BLT11" s="314" t="s">
        <v>203</v>
      </c>
      <c r="BLU11" s="314" t="s">
        <v>203</v>
      </c>
      <c r="BLV11" s="314" t="s">
        <v>203</v>
      </c>
      <c r="BLW11" s="314" t="s">
        <v>203</v>
      </c>
      <c r="BLX11" s="314" t="s">
        <v>203</v>
      </c>
      <c r="BLY11" s="314" t="s">
        <v>203</v>
      </c>
      <c r="BLZ11" s="314" t="s">
        <v>203</v>
      </c>
      <c r="BMA11" s="314" t="s">
        <v>203</v>
      </c>
      <c r="BMB11" s="314" t="s">
        <v>203</v>
      </c>
      <c r="BMC11" s="314" t="s">
        <v>203</v>
      </c>
      <c r="BMD11" s="314" t="s">
        <v>203</v>
      </c>
      <c r="BME11" s="314" t="s">
        <v>203</v>
      </c>
      <c r="BMF11" s="314" t="s">
        <v>203</v>
      </c>
      <c r="BMG11" s="314" t="s">
        <v>203</v>
      </c>
      <c r="BMH11" s="314" t="s">
        <v>203</v>
      </c>
      <c r="BMI11" s="314" t="s">
        <v>203</v>
      </c>
      <c r="BMJ11" s="314" t="s">
        <v>203</v>
      </c>
      <c r="BMK11" s="314" t="s">
        <v>203</v>
      </c>
      <c r="BML11" s="314" t="s">
        <v>203</v>
      </c>
      <c r="BMM11" s="314" t="s">
        <v>203</v>
      </c>
      <c r="BMN11" s="314" t="s">
        <v>203</v>
      </c>
      <c r="BMO11" s="314" t="s">
        <v>203</v>
      </c>
      <c r="BMP11" s="314" t="s">
        <v>203</v>
      </c>
      <c r="BMQ11" s="314" t="s">
        <v>203</v>
      </c>
      <c r="BMR11" s="314" t="s">
        <v>203</v>
      </c>
      <c r="BMS11" s="314" t="s">
        <v>203</v>
      </c>
      <c r="BMT11" s="314" t="s">
        <v>203</v>
      </c>
      <c r="BMU11" s="314" t="s">
        <v>203</v>
      </c>
      <c r="BMV11" s="314" t="s">
        <v>203</v>
      </c>
      <c r="BMW11" s="314" t="s">
        <v>203</v>
      </c>
      <c r="BMX11" s="314" t="s">
        <v>203</v>
      </c>
      <c r="BMY11" s="314" t="s">
        <v>203</v>
      </c>
      <c r="BMZ11" s="314" t="s">
        <v>203</v>
      </c>
      <c r="BNA11" s="314" t="s">
        <v>203</v>
      </c>
      <c r="BNB11" s="314" t="s">
        <v>203</v>
      </c>
      <c r="BNC11" s="314" t="s">
        <v>203</v>
      </c>
      <c r="BND11" s="314" t="s">
        <v>203</v>
      </c>
      <c r="BNE11" s="314" t="s">
        <v>203</v>
      </c>
      <c r="BNF11" s="314" t="s">
        <v>203</v>
      </c>
      <c r="BNG11" s="314" t="s">
        <v>203</v>
      </c>
      <c r="BNH11" s="314" t="s">
        <v>203</v>
      </c>
      <c r="BNI11" s="314" t="s">
        <v>203</v>
      </c>
      <c r="BNJ11" s="314" t="s">
        <v>203</v>
      </c>
      <c r="BNK11" s="314" t="s">
        <v>203</v>
      </c>
      <c r="BNL11" s="314" t="s">
        <v>203</v>
      </c>
      <c r="BNM11" s="314" t="s">
        <v>203</v>
      </c>
      <c r="BNN11" s="314" t="s">
        <v>203</v>
      </c>
      <c r="BNO11" s="314" t="s">
        <v>203</v>
      </c>
      <c r="BNP11" s="314" t="s">
        <v>203</v>
      </c>
      <c r="BNQ11" s="314" t="s">
        <v>203</v>
      </c>
      <c r="BNR11" s="314" t="s">
        <v>203</v>
      </c>
      <c r="BNS11" s="314" t="s">
        <v>203</v>
      </c>
      <c r="BNT11" s="314" t="s">
        <v>203</v>
      </c>
      <c r="BNU11" s="314" t="s">
        <v>203</v>
      </c>
      <c r="BNV11" s="314" t="s">
        <v>203</v>
      </c>
      <c r="BNW11" s="314" t="s">
        <v>203</v>
      </c>
      <c r="BNX11" s="314" t="s">
        <v>203</v>
      </c>
      <c r="BNY11" s="314" t="s">
        <v>203</v>
      </c>
      <c r="BNZ11" s="314" t="s">
        <v>203</v>
      </c>
      <c r="BOA11" s="314" t="s">
        <v>203</v>
      </c>
      <c r="BOB11" s="314" t="s">
        <v>203</v>
      </c>
      <c r="BOC11" s="314" t="s">
        <v>203</v>
      </c>
      <c r="BOD11" s="314" t="s">
        <v>203</v>
      </c>
      <c r="BOE11" s="314" t="s">
        <v>203</v>
      </c>
      <c r="BOF11" s="314" t="s">
        <v>203</v>
      </c>
      <c r="BOG11" s="314" t="s">
        <v>203</v>
      </c>
      <c r="BOH11" s="314" t="s">
        <v>203</v>
      </c>
      <c r="BOI11" s="314" t="s">
        <v>203</v>
      </c>
      <c r="BOJ11" s="314" t="s">
        <v>203</v>
      </c>
      <c r="BOK11" s="314" t="s">
        <v>203</v>
      </c>
      <c r="BOL11" s="314" t="s">
        <v>203</v>
      </c>
      <c r="BOM11" s="314" t="s">
        <v>203</v>
      </c>
      <c r="BON11" s="314" t="s">
        <v>203</v>
      </c>
      <c r="BOO11" s="314" t="s">
        <v>203</v>
      </c>
      <c r="BOP11" s="314" t="s">
        <v>203</v>
      </c>
      <c r="BOQ11" s="314" t="s">
        <v>203</v>
      </c>
      <c r="BOR11" s="314" t="s">
        <v>203</v>
      </c>
      <c r="BOS11" s="314" t="s">
        <v>203</v>
      </c>
      <c r="BOT11" s="314" t="s">
        <v>203</v>
      </c>
      <c r="BOU11" s="314" t="s">
        <v>203</v>
      </c>
      <c r="BOV11" s="314" t="s">
        <v>203</v>
      </c>
      <c r="BOW11" s="314" t="s">
        <v>203</v>
      </c>
      <c r="BOX11" s="314" t="s">
        <v>203</v>
      </c>
      <c r="BOY11" s="314" t="s">
        <v>203</v>
      </c>
      <c r="BOZ11" s="314" t="s">
        <v>203</v>
      </c>
      <c r="BPA11" s="314" t="s">
        <v>203</v>
      </c>
      <c r="BPB11" s="314" t="s">
        <v>203</v>
      </c>
      <c r="BPC11" s="314" t="s">
        <v>203</v>
      </c>
      <c r="BPD11" s="314" t="s">
        <v>203</v>
      </c>
      <c r="BPE11" s="314" t="s">
        <v>203</v>
      </c>
      <c r="BPF11" s="314" t="s">
        <v>203</v>
      </c>
      <c r="BPG11" s="314" t="s">
        <v>203</v>
      </c>
      <c r="BPH11" s="314" t="s">
        <v>203</v>
      </c>
      <c r="BPI11" s="314" t="s">
        <v>203</v>
      </c>
      <c r="BPJ11" s="314" t="s">
        <v>203</v>
      </c>
      <c r="BPK11" s="314" t="s">
        <v>203</v>
      </c>
      <c r="BPL11" s="314" t="s">
        <v>203</v>
      </c>
      <c r="BPM11" s="314" t="s">
        <v>203</v>
      </c>
      <c r="BPN11" s="314" t="s">
        <v>203</v>
      </c>
      <c r="BPO11" s="314" t="s">
        <v>203</v>
      </c>
      <c r="BPP11" s="314" t="s">
        <v>203</v>
      </c>
      <c r="BPQ11" s="314" t="s">
        <v>203</v>
      </c>
      <c r="BPR11" s="314" t="s">
        <v>203</v>
      </c>
      <c r="BPS11" s="314" t="s">
        <v>203</v>
      </c>
      <c r="BPT11" s="314" t="s">
        <v>203</v>
      </c>
      <c r="BPU11" s="314" t="s">
        <v>203</v>
      </c>
      <c r="BPV11" s="314" t="s">
        <v>203</v>
      </c>
      <c r="BPW11" s="314" t="s">
        <v>203</v>
      </c>
      <c r="BPX11" s="314" t="s">
        <v>203</v>
      </c>
      <c r="BPY11" s="314" t="s">
        <v>203</v>
      </c>
      <c r="BPZ11" s="314" t="s">
        <v>203</v>
      </c>
      <c r="BQA11" s="314" t="s">
        <v>203</v>
      </c>
      <c r="BQB11" s="314" t="s">
        <v>203</v>
      </c>
      <c r="BQC11" s="314" t="s">
        <v>203</v>
      </c>
      <c r="BQD11" s="314" t="s">
        <v>203</v>
      </c>
      <c r="BQE11" s="314" t="s">
        <v>203</v>
      </c>
      <c r="BQF11" s="314" t="s">
        <v>203</v>
      </c>
      <c r="BQG11" s="314" t="s">
        <v>203</v>
      </c>
      <c r="BQH11" s="314" t="s">
        <v>203</v>
      </c>
      <c r="BQI11" s="314" t="s">
        <v>203</v>
      </c>
      <c r="BQJ11" s="314" t="s">
        <v>203</v>
      </c>
      <c r="BQK11" s="314" t="s">
        <v>203</v>
      </c>
      <c r="BQL11" s="314" t="s">
        <v>203</v>
      </c>
      <c r="BQM11" s="314" t="s">
        <v>203</v>
      </c>
      <c r="BQN11" s="314" t="s">
        <v>203</v>
      </c>
      <c r="BQO11" s="314" t="s">
        <v>203</v>
      </c>
      <c r="BQP11" s="314" t="s">
        <v>203</v>
      </c>
      <c r="BQQ11" s="314" t="s">
        <v>203</v>
      </c>
      <c r="BQR11" s="314" t="s">
        <v>203</v>
      </c>
      <c r="BQS11" s="314" t="s">
        <v>203</v>
      </c>
      <c r="BQT11" s="314" t="s">
        <v>203</v>
      </c>
      <c r="BQU11" s="314" t="s">
        <v>203</v>
      </c>
      <c r="BQV11" s="314" t="s">
        <v>203</v>
      </c>
      <c r="BQW11" s="314" t="s">
        <v>203</v>
      </c>
      <c r="BQX11" s="314" t="s">
        <v>203</v>
      </c>
      <c r="BQY11" s="314" t="s">
        <v>203</v>
      </c>
      <c r="BQZ11" s="314" t="s">
        <v>203</v>
      </c>
      <c r="BRA11" s="314" t="s">
        <v>203</v>
      </c>
      <c r="BRB11" s="314" t="s">
        <v>203</v>
      </c>
      <c r="BRC11" s="314" t="s">
        <v>203</v>
      </c>
      <c r="BRD11" s="314" t="s">
        <v>203</v>
      </c>
      <c r="BRE11" s="314" t="s">
        <v>203</v>
      </c>
      <c r="BRF11" s="314" t="s">
        <v>203</v>
      </c>
      <c r="BRG11" s="314" t="s">
        <v>203</v>
      </c>
      <c r="BRH11" s="314" t="s">
        <v>203</v>
      </c>
      <c r="BRI11" s="314" t="s">
        <v>203</v>
      </c>
      <c r="BRJ11" s="314" t="s">
        <v>203</v>
      </c>
      <c r="BRK11" s="314" t="s">
        <v>203</v>
      </c>
      <c r="BRL11" s="314" t="s">
        <v>203</v>
      </c>
      <c r="BRM11" s="314" t="s">
        <v>203</v>
      </c>
      <c r="BRN11" s="314" t="s">
        <v>203</v>
      </c>
      <c r="BRO11" s="314" t="s">
        <v>203</v>
      </c>
      <c r="BRP11" s="314" t="s">
        <v>203</v>
      </c>
      <c r="BRQ11" s="314" t="s">
        <v>203</v>
      </c>
      <c r="BRR11" s="314" t="s">
        <v>203</v>
      </c>
      <c r="BRS11" s="314" t="s">
        <v>203</v>
      </c>
      <c r="BRT11" s="314" t="s">
        <v>203</v>
      </c>
      <c r="BRU11" s="314" t="s">
        <v>203</v>
      </c>
      <c r="BRV11" s="314" t="s">
        <v>203</v>
      </c>
      <c r="BRW11" s="314" t="s">
        <v>203</v>
      </c>
      <c r="BRX11" s="314" t="s">
        <v>203</v>
      </c>
      <c r="BRY11" s="314" t="s">
        <v>203</v>
      </c>
      <c r="BRZ11" s="314" t="s">
        <v>203</v>
      </c>
      <c r="BSA11" s="314" t="s">
        <v>203</v>
      </c>
      <c r="BSB11" s="314" t="s">
        <v>203</v>
      </c>
      <c r="BSC11" s="314" t="s">
        <v>203</v>
      </c>
      <c r="BSD11" s="314" t="s">
        <v>203</v>
      </c>
      <c r="BSE11" s="314" t="s">
        <v>203</v>
      </c>
      <c r="BSF11" s="314" t="s">
        <v>203</v>
      </c>
      <c r="BSG11" s="314" t="s">
        <v>203</v>
      </c>
      <c r="BSH11" s="314" t="s">
        <v>203</v>
      </c>
      <c r="BSI11" s="314" t="s">
        <v>203</v>
      </c>
      <c r="BSJ11" s="314" t="s">
        <v>203</v>
      </c>
      <c r="BSK11" s="314" t="s">
        <v>203</v>
      </c>
      <c r="BSL11" s="314" t="s">
        <v>203</v>
      </c>
      <c r="BSM11" s="314" t="s">
        <v>203</v>
      </c>
      <c r="BSN11" s="314" t="s">
        <v>203</v>
      </c>
      <c r="BSO11" s="314" t="s">
        <v>203</v>
      </c>
      <c r="BSP11" s="314" t="s">
        <v>203</v>
      </c>
      <c r="BSQ11" s="314" t="s">
        <v>203</v>
      </c>
      <c r="BSR11" s="314" t="s">
        <v>203</v>
      </c>
      <c r="BSS11" s="314" t="s">
        <v>203</v>
      </c>
      <c r="BST11" s="314" t="s">
        <v>203</v>
      </c>
      <c r="BSU11" s="314" t="s">
        <v>203</v>
      </c>
      <c r="BSV11" s="314" t="s">
        <v>203</v>
      </c>
      <c r="BSW11" s="314" t="s">
        <v>203</v>
      </c>
      <c r="BSX11" s="314" t="s">
        <v>203</v>
      </c>
      <c r="BSY11" s="314" t="s">
        <v>203</v>
      </c>
      <c r="BSZ11" s="314" t="s">
        <v>203</v>
      </c>
      <c r="BTA11" s="314" t="s">
        <v>203</v>
      </c>
      <c r="BTB11" s="314" t="s">
        <v>203</v>
      </c>
      <c r="BTC11" s="314" t="s">
        <v>203</v>
      </c>
      <c r="BTD11" s="314" t="s">
        <v>203</v>
      </c>
      <c r="BTE11" s="314" t="s">
        <v>203</v>
      </c>
      <c r="BTF11" s="314" t="s">
        <v>203</v>
      </c>
      <c r="BTG11" s="314" t="s">
        <v>203</v>
      </c>
      <c r="BTH11" s="314" t="s">
        <v>203</v>
      </c>
      <c r="BTI11" s="314" t="s">
        <v>203</v>
      </c>
      <c r="BTJ11" s="314" t="s">
        <v>203</v>
      </c>
      <c r="BTK11" s="314" t="s">
        <v>203</v>
      </c>
      <c r="BTL11" s="314" t="s">
        <v>203</v>
      </c>
      <c r="BTM11" s="314" t="s">
        <v>203</v>
      </c>
      <c r="BTN11" s="314" t="s">
        <v>203</v>
      </c>
      <c r="BTO11" s="314" t="s">
        <v>203</v>
      </c>
      <c r="BTP11" s="314" t="s">
        <v>203</v>
      </c>
      <c r="BTQ11" s="314" t="s">
        <v>203</v>
      </c>
      <c r="BTR11" s="314" t="s">
        <v>203</v>
      </c>
      <c r="BTS11" s="314" t="s">
        <v>203</v>
      </c>
      <c r="BTT11" s="314" t="s">
        <v>203</v>
      </c>
      <c r="BTU11" s="314" t="s">
        <v>203</v>
      </c>
      <c r="BTV11" s="314" t="s">
        <v>203</v>
      </c>
      <c r="BTW11" s="314" t="s">
        <v>203</v>
      </c>
      <c r="BTX11" s="314" t="s">
        <v>203</v>
      </c>
      <c r="BTY11" s="314" t="s">
        <v>203</v>
      </c>
      <c r="BTZ11" s="314" t="s">
        <v>203</v>
      </c>
      <c r="BUA11" s="314" t="s">
        <v>203</v>
      </c>
      <c r="BUB11" s="314" t="s">
        <v>203</v>
      </c>
      <c r="BUC11" s="314" t="s">
        <v>203</v>
      </c>
      <c r="BUD11" s="314" t="s">
        <v>203</v>
      </c>
      <c r="BUE11" s="314" t="s">
        <v>203</v>
      </c>
      <c r="BUF11" s="314" t="s">
        <v>203</v>
      </c>
      <c r="BUG11" s="314" t="s">
        <v>203</v>
      </c>
      <c r="BUH11" s="314" t="s">
        <v>203</v>
      </c>
      <c r="BUI11" s="314" t="s">
        <v>203</v>
      </c>
      <c r="BUJ11" s="314" t="s">
        <v>203</v>
      </c>
      <c r="BUK11" s="314" t="s">
        <v>203</v>
      </c>
      <c r="BUL11" s="314" t="s">
        <v>203</v>
      </c>
      <c r="BUM11" s="314" t="s">
        <v>203</v>
      </c>
      <c r="BUN11" s="314" t="s">
        <v>203</v>
      </c>
      <c r="BUO11" s="314" t="s">
        <v>203</v>
      </c>
      <c r="BUP11" s="314" t="s">
        <v>203</v>
      </c>
      <c r="BUQ11" s="314" t="s">
        <v>203</v>
      </c>
      <c r="BUR11" s="314" t="s">
        <v>203</v>
      </c>
      <c r="BUS11" s="314" t="s">
        <v>203</v>
      </c>
      <c r="BUT11" s="314" t="s">
        <v>203</v>
      </c>
      <c r="BUU11" s="314" t="s">
        <v>203</v>
      </c>
      <c r="BUV11" s="314" t="s">
        <v>203</v>
      </c>
      <c r="BUW11" s="314" t="s">
        <v>203</v>
      </c>
      <c r="BUX11" s="314" t="s">
        <v>203</v>
      </c>
      <c r="BUY11" s="314" t="s">
        <v>203</v>
      </c>
      <c r="BUZ11" s="314" t="s">
        <v>203</v>
      </c>
      <c r="BVA11" s="314" t="s">
        <v>203</v>
      </c>
      <c r="BVB11" s="314" t="s">
        <v>203</v>
      </c>
      <c r="BVC11" s="314" t="s">
        <v>203</v>
      </c>
      <c r="BVD11" s="314" t="s">
        <v>203</v>
      </c>
      <c r="BVE11" s="314" t="s">
        <v>203</v>
      </c>
      <c r="BVF11" s="314" t="s">
        <v>203</v>
      </c>
      <c r="BVG11" s="314" t="s">
        <v>203</v>
      </c>
      <c r="BVH11" s="314" t="s">
        <v>203</v>
      </c>
      <c r="BVI11" s="314" t="s">
        <v>203</v>
      </c>
      <c r="BVJ11" s="314" t="s">
        <v>203</v>
      </c>
      <c r="BVK11" s="314" t="s">
        <v>203</v>
      </c>
      <c r="BVL11" s="314" t="s">
        <v>203</v>
      </c>
      <c r="BVM11" s="314" t="s">
        <v>203</v>
      </c>
      <c r="BVN11" s="314" t="s">
        <v>203</v>
      </c>
      <c r="BVO11" s="314" t="s">
        <v>203</v>
      </c>
      <c r="BVP11" s="314" t="s">
        <v>203</v>
      </c>
      <c r="BVQ11" s="314" t="s">
        <v>203</v>
      </c>
      <c r="BVR11" s="314" t="s">
        <v>203</v>
      </c>
      <c r="BVS11" s="314" t="s">
        <v>203</v>
      </c>
      <c r="BVT11" s="314" t="s">
        <v>203</v>
      </c>
      <c r="BVU11" s="314" t="s">
        <v>203</v>
      </c>
      <c r="BVV11" s="314" t="s">
        <v>203</v>
      </c>
      <c r="BVW11" s="314" t="s">
        <v>203</v>
      </c>
      <c r="BVX11" s="314" t="s">
        <v>203</v>
      </c>
      <c r="BVY11" s="314" t="s">
        <v>203</v>
      </c>
      <c r="BVZ11" s="314" t="s">
        <v>203</v>
      </c>
      <c r="BWA11" s="314" t="s">
        <v>203</v>
      </c>
      <c r="BWB11" s="314" t="s">
        <v>203</v>
      </c>
      <c r="BWC11" s="314" t="s">
        <v>203</v>
      </c>
      <c r="BWD11" s="314" t="s">
        <v>203</v>
      </c>
      <c r="BWE11" s="314" t="s">
        <v>203</v>
      </c>
      <c r="BWF11" s="314" t="s">
        <v>203</v>
      </c>
      <c r="BWG11" s="314" t="s">
        <v>203</v>
      </c>
      <c r="BWH11" s="314" t="s">
        <v>203</v>
      </c>
      <c r="BWI11" s="314" t="s">
        <v>203</v>
      </c>
      <c r="BWJ11" s="314" t="s">
        <v>203</v>
      </c>
      <c r="BWK11" s="314" t="s">
        <v>203</v>
      </c>
      <c r="BWL11" s="314" t="s">
        <v>203</v>
      </c>
      <c r="BWM11" s="314" t="s">
        <v>203</v>
      </c>
      <c r="BWN11" s="314" t="s">
        <v>203</v>
      </c>
      <c r="BWO11" s="314" t="s">
        <v>203</v>
      </c>
      <c r="BWP11" s="314" t="s">
        <v>203</v>
      </c>
      <c r="BWQ11" s="314" t="s">
        <v>203</v>
      </c>
      <c r="BWR11" s="314" t="s">
        <v>203</v>
      </c>
      <c r="BWS11" s="314" t="s">
        <v>203</v>
      </c>
      <c r="BWT11" s="314" t="s">
        <v>203</v>
      </c>
      <c r="BWU11" s="314" t="s">
        <v>203</v>
      </c>
      <c r="BWV11" s="314" t="s">
        <v>203</v>
      </c>
      <c r="BWW11" s="314" t="s">
        <v>203</v>
      </c>
      <c r="BWX11" s="314" t="s">
        <v>203</v>
      </c>
      <c r="BWY11" s="314" t="s">
        <v>203</v>
      </c>
      <c r="BWZ11" s="314" t="s">
        <v>203</v>
      </c>
      <c r="BXA11" s="314" t="s">
        <v>203</v>
      </c>
      <c r="BXB11" s="314" t="s">
        <v>203</v>
      </c>
      <c r="BXC11" s="314" t="s">
        <v>203</v>
      </c>
      <c r="BXD11" s="314" t="s">
        <v>203</v>
      </c>
      <c r="BXE11" s="314" t="s">
        <v>203</v>
      </c>
      <c r="BXF11" s="314" t="s">
        <v>203</v>
      </c>
      <c r="BXG11" s="314" t="s">
        <v>203</v>
      </c>
      <c r="BXH11" s="314" t="s">
        <v>203</v>
      </c>
      <c r="BXI11" s="314" t="s">
        <v>203</v>
      </c>
      <c r="BXJ11" s="314" t="s">
        <v>203</v>
      </c>
      <c r="BXK11" s="314" t="s">
        <v>203</v>
      </c>
      <c r="BXL11" s="314" t="s">
        <v>203</v>
      </c>
      <c r="BXM11" s="314" t="s">
        <v>203</v>
      </c>
      <c r="BXN11" s="314" t="s">
        <v>203</v>
      </c>
      <c r="BXO11" s="314" t="s">
        <v>203</v>
      </c>
      <c r="BXP11" s="314" t="s">
        <v>203</v>
      </c>
      <c r="BXQ11" s="314" t="s">
        <v>203</v>
      </c>
      <c r="BXR11" s="314" t="s">
        <v>203</v>
      </c>
      <c r="BXS11" s="314" t="s">
        <v>203</v>
      </c>
      <c r="BXT11" s="314" t="s">
        <v>203</v>
      </c>
      <c r="BXU11" s="314" t="s">
        <v>203</v>
      </c>
      <c r="BXV11" s="314" t="s">
        <v>203</v>
      </c>
      <c r="BXW11" s="314" t="s">
        <v>203</v>
      </c>
      <c r="BXX11" s="314" t="s">
        <v>203</v>
      </c>
      <c r="BXY11" s="314" t="s">
        <v>203</v>
      </c>
      <c r="BXZ11" s="314" t="s">
        <v>203</v>
      </c>
      <c r="BYA11" s="314" t="s">
        <v>203</v>
      </c>
      <c r="BYB11" s="314" t="s">
        <v>203</v>
      </c>
      <c r="BYC11" s="314" t="s">
        <v>203</v>
      </c>
      <c r="BYD11" s="314" t="s">
        <v>203</v>
      </c>
      <c r="BYE11" s="314" t="s">
        <v>203</v>
      </c>
      <c r="BYF11" s="314" t="s">
        <v>203</v>
      </c>
      <c r="BYG11" s="314" t="s">
        <v>203</v>
      </c>
      <c r="BYH11" s="314" t="s">
        <v>203</v>
      </c>
      <c r="BYI11" s="314" t="s">
        <v>203</v>
      </c>
      <c r="BYJ11" s="314" t="s">
        <v>203</v>
      </c>
      <c r="BYK11" s="314" t="s">
        <v>203</v>
      </c>
      <c r="BYL11" s="314" t="s">
        <v>203</v>
      </c>
      <c r="BYM11" s="314" t="s">
        <v>203</v>
      </c>
      <c r="BYN11" s="314" t="s">
        <v>203</v>
      </c>
      <c r="BYO11" s="314" t="s">
        <v>203</v>
      </c>
      <c r="BYP11" s="314" t="s">
        <v>203</v>
      </c>
      <c r="BYQ11" s="314" t="s">
        <v>203</v>
      </c>
      <c r="BYR11" s="314" t="s">
        <v>203</v>
      </c>
      <c r="BYS11" s="314" t="s">
        <v>203</v>
      </c>
      <c r="BYT11" s="314" t="s">
        <v>203</v>
      </c>
      <c r="BYU11" s="314" t="s">
        <v>203</v>
      </c>
      <c r="BYV11" s="314" t="s">
        <v>203</v>
      </c>
      <c r="BYW11" s="314" t="s">
        <v>203</v>
      </c>
      <c r="BYX11" s="314" t="s">
        <v>203</v>
      </c>
      <c r="BYY11" s="314" t="s">
        <v>203</v>
      </c>
      <c r="BYZ11" s="314" t="s">
        <v>203</v>
      </c>
      <c r="BZA11" s="314" t="s">
        <v>203</v>
      </c>
      <c r="BZB11" s="314" t="s">
        <v>203</v>
      </c>
      <c r="BZC11" s="314" t="s">
        <v>203</v>
      </c>
      <c r="BZD11" s="314" t="s">
        <v>203</v>
      </c>
      <c r="BZE11" s="314" t="s">
        <v>203</v>
      </c>
      <c r="BZF11" s="314" t="s">
        <v>203</v>
      </c>
      <c r="BZG11" s="314" t="s">
        <v>203</v>
      </c>
      <c r="BZH11" s="314" t="s">
        <v>203</v>
      </c>
      <c r="BZI11" s="314" t="s">
        <v>203</v>
      </c>
      <c r="BZJ11" s="314" t="s">
        <v>203</v>
      </c>
      <c r="BZK11" s="314" t="s">
        <v>203</v>
      </c>
      <c r="BZL11" s="314" t="s">
        <v>203</v>
      </c>
      <c r="BZM11" s="314" t="s">
        <v>203</v>
      </c>
      <c r="BZN11" s="314" t="s">
        <v>203</v>
      </c>
      <c r="BZO11" s="314" t="s">
        <v>203</v>
      </c>
      <c r="BZP11" s="314" t="s">
        <v>203</v>
      </c>
      <c r="BZQ11" s="314" t="s">
        <v>203</v>
      </c>
      <c r="BZR11" s="314" t="s">
        <v>203</v>
      </c>
      <c r="BZS11" s="314" t="s">
        <v>203</v>
      </c>
      <c r="BZT11" s="314" t="s">
        <v>203</v>
      </c>
      <c r="BZU11" s="314" t="s">
        <v>203</v>
      </c>
      <c r="BZV11" s="314" t="s">
        <v>203</v>
      </c>
      <c r="BZW11" s="314" t="s">
        <v>203</v>
      </c>
      <c r="BZX11" s="314" t="s">
        <v>203</v>
      </c>
      <c r="BZY11" s="314" t="s">
        <v>203</v>
      </c>
      <c r="BZZ11" s="314" t="s">
        <v>203</v>
      </c>
      <c r="CAA11" s="314" t="s">
        <v>203</v>
      </c>
      <c r="CAB11" s="314" t="s">
        <v>203</v>
      </c>
      <c r="CAC11" s="314" t="s">
        <v>203</v>
      </c>
      <c r="CAD11" s="314" t="s">
        <v>203</v>
      </c>
      <c r="CAE11" s="314" t="s">
        <v>203</v>
      </c>
      <c r="CAF11" s="314" t="s">
        <v>203</v>
      </c>
      <c r="CAG11" s="314" t="s">
        <v>203</v>
      </c>
      <c r="CAH11" s="314" t="s">
        <v>203</v>
      </c>
      <c r="CAI11" s="314" t="s">
        <v>203</v>
      </c>
      <c r="CAJ11" s="314" t="s">
        <v>203</v>
      </c>
      <c r="CAK11" s="314" t="s">
        <v>203</v>
      </c>
      <c r="CAL11" s="314" t="s">
        <v>203</v>
      </c>
      <c r="CAM11" s="314" t="s">
        <v>203</v>
      </c>
      <c r="CAN11" s="314" t="s">
        <v>203</v>
      </c>
      <c r="CAO11" s="314" t="s">
        <v>203</v>
      </c>
      <c r="CAP11" s="314" t="s">
        <v>203</v>
      </c>
      <c r="CAQ11" s="314" t="s">
        <v>203</v>
      </c>
      <c r="CAR11" s="314" t="s">
        <v>203</v>
      </c>
      <c r="CAS11" s="314" t="s">
        <v>203</v>
      </c>
      <c r="CAT11" s="314" t="s">
        <v>203</v>
      </c>
      <c r="CAU11" s="314" t="s">
        <v>203</v>
      </c>
      <c r="CAV11" s="314" t="s">
        <v>203</v>
      </c>
      <c r="CAW11" s="314" t="s">
        <v>203</v>
      </c>
      <c r="CAX11" s="314" t="s">
        <v>203</v>
      </c>
      <c r="CAY11" s="314" t="s">
        <v>203</v>
      </c>
      <c r="CAZ11" s="314" t="s">
        <v>203</v>
      </c>
      <c r="CBA11" s="314" t="s">
        <v>203</v>
      </c>
      <c r="CBB11" s="314" t="s">
        <v>203</v>
      </c>
      <c r="CBC11" s="314" t="s">
        <v>203</v>
      </c>
      <c r="CBD11" s="314" t="s">
        <v>203</v>
      </c>
      <c r="CBE11" s="314" t="s">
        <v>203</v>
      </c>
      <c r="CBF11" s="314" t="s">
        <v>203</v>
      </c>
      <c r="CBG11" s="314" t="s">
        <v>203</v>
      </c>
      <c r="CBH11" s="314" t="s">
        <v>203</v>
      </c>
      <c r="CBI11" s="314" t="s">
        <v>203</v>
      </c>
      <c r="CBJ11" s="314" t="s">
        <v>203</v>
      </c>
      <c r="CBK11" s="314" t="s">
        <v>203</v>
      </c>
      <c r="CBL11" s="314" t="s">
        <v>203</v>
      </c>
      <c r="CBM11" s="314" t="s">
        <v>203</v>
      </c>
      <c r="CBN11" s="314" t="s">
        <v>203</v>
      </c>
      <c r="CBO11" s="314" t="s">
        <v>203</v>
      </c>
      <c r="CBP11" s="314" t="s">
        <v>203</v>
      </c>
      <c r="CBQ11" s="314" t="s">
        <v>203</v>
      </c>
      <c r="CBR11" s="314" t="s">
        <v>203</v>
      </c>
      <c r="CBS11" s="314" t="s">
        <v>203</v>
      </c>
      <c r="CBT11" s="314" t="s">
        <v>203</v>
      </c>
      <c r="CBU11" s="314" t="s">
        <v>203</v>
      </c>
      <c r="CBV11" s="314" t="s">
        <v>203</v>
      </c>
      <c r="CBW11" s="314" t="s">
        <v>203</v>
      </c>
      <c r="CBX11" s="314" t="s">
        <v>203</v>
      </c>
      <c r="CBY11" s="314" t="s">
        <v>203</v>
      </c>
      <c r="CBZ11" s="314" t="s">
        <v>203</v>
      </c>
      <c r="CCA11" s="314" t="s">
        <v>203</v>
      </c>
      <c r="CCB11" s="314" t="s">
        <v>203</v>
      </c>
      <c r="CCC11" s="314" t="s">
        <v>203</v>
      </c>
      <c r="CCD11" s="314" t="s">
        <v>203</v>
      </c>
      <c r="CCE11" s="314" t="s">
        <v>203</v>
      </c>
      <c r="CCF11" s="314" t="s">
        <v>203</v>
      </c>
      <c r="CCG11" s="314" t="s">
        <v>203</v>
      </c>
      <c r="CCH11" s="314" t="s">
        <v>203</v>
      </c>
      <c r="CCI11" s="314" t="s">
        <v>203</v>
      </c>
      <c r="CCJ11" s="314" t="s">
        <v>203</v>
      </c>
      <c r="CCK11" s="314" t="s">
        <v>203</v>
      </c>
      <c r="CCL11" s="314" t="s">
        <v>203</v>
      </c>
      <c r="CCM11" s="314" t="s">
        <v>203</v>
      </c>
      <c r="CCN11" s="314" t="s">
        <v>203</v>
      </c>
      <c r="CCO11" s="314" t="s">
        <v>203</v>
      </c>
      <c r="CCP11" s="314" t="s">
        <v>203</v>
      </c>
      <c r="CCQ11" s="314" t="s">
        <v>203</v>
      </c>
      <c r="CCR11" s="314" t="s">
        <v>203</v>
      </c>
      <c r="CCS11" s="314" t="s">
        <v>203</v>
      </c>
      <c r="CCT11" s="314" t="s">
        <v>203</v>
      </c>
      <c r="CCU11" s="314" t="s">
        <v>203</v>
      </c>
      <c r="CCV11" s="314" t="s">
        <v>203</v>
      </c>
      <c r="CCW11" s="314" t="s">
        <v>203</v>
      </c>
      <c r="CCX11" s="314" t="s">
        <v>203</v>
      </c>
      <c r="CCY11" s="314" t="s">
        <v>203</v>
      </c>
      <c r="CCZ11" s="314" t="s">
        <v>203</v>
      </c>
      <c r="CDA11" s="314" t="s">
        <v>203</v>
      </c>
      <c r="CDB11" s="314" t="s">
        <v>203</v>
      </c>
      <c r="CDC11" s="314" t="s">
        <v>203</v>
      </c>
      <c r="CDD11" s="314" t="s">
        <v>203</v>
      </c>
      <c r="CDE11" s="314" t="s">
        <v>203</v>
      </c>
      <c r="CDF11" s="314" t="s">
        <v>203</v>
      </c>
      <c r="CDG11" s="314" t="s">
        <v>203</v>
      </c>
      <c r="CDH11" s="314" t="s">
        <v>203</v>
      </c>
      <c r="CDI11" s="314" t="s">
        <v>203</v>
      </c>
      <c r="CDJ11" s="314" t="s">
        <v>203</v>
      </c>
      <c r="CDK11" s="314" t="s">
        <v>203</v>
      </c>
      <c r="CDL11" s="314" t="s">
        <v>203</v>
      </c>
      <c r="CDM11" s="314" t="s">
        <v>203</v>
      </c>
      <c r="CDN11" s="314" t="s">
        <v>203</v>
      </c>
      <c r="CDO11" s="314" t="s">
        <v>203</v>
      </c>
      <c r="CDP11" s="314" t="s">
        <v>203</v>
      </c>
      <c r="CDQ11" s="314" t="s">
        <v>203</v>
      </c>
      <c r="CDR11" s="314" t="s">
        <v>203</v>
      </c>
      <c r="CDS11" s="314" t="s">
        <v>203</v>
      </c>
      <c r="CDT11" s="314" t="s">
        <v>203</v>
      </c>
      <c r="CDU11" s="314" t="s">
        <v>203</v>
      </c>
      <c r="CDV11" s="314" t="s">
        <v>203</v>
      </c>
      <c r="CDW11" s="314" t="s">
        <v>203</v>
      </c>
      <c r="CDX11" s="314" t="s">
        <v>203</v>
      </c>
      <c r="CDY11" s="314" t="s">
        <v>203</v>
      </c>
      <c r="CDZ11" s="314" t="s">
        <v>203</v>
      </c>
      <c r="CEA11" s="314" t="s">
        <v>203</v>
      </c>
      <c r="CEB11" s="314" t="s">
        <v>203</v>
      </c>
      <c r="CEC11" s="314" t="s">
        <v>203</v>
      </c>
      <c r="CED11" s="314" t="s">
        <v>203</v>
      </c>
      <c r="CEE11" s="314" t="s">
        <v>203</v>
      </c>
      <c r="CEF11" s="314" t="s">
        <v>203</v>
      </c>
      <c r="CEG11" s="314" t="s">
        <v>203</v>
      </c>
      <c r="CEH11" s="314" t="s">
        <v>203</v>
      </c>
      <c r="CEI11" s="314" t="s">
        <v>203</v>
      </c>
      <c r="CEJ11" s="314" t="s">
        <v>203</v>
      </c>
      <c r="CEK11" s="314" t="s">
        <v>203</v>
      </c>
      <c r="CEL11" s="314" t="s">
        <v>203</v>
      </c>
      <c r="CEM11" s="314" t="s">
        <v>203</v>
      </c>
      <c r="CEN11" s="314" t="s">
        <v>203</v>
      </c>
      <c r="CEO11" s="314" t="s">
        <v>203</v>
      </c>
      <c r="CEP11" s="314" t="s">
        <v>203</v>
      </c>
      <c r="CEQ11" s="314" t="s">
        <v>203</v>
      </c>
      <c r="CER11" s="314" t="s">
        <v>203</v>
      </c>
      <c r="CES11" s="314" t="s">
        <v>203</v>
      </c>
      <c r="CET11" s="314" t="s">
        <v>203</v>
      </c>
      <c r="CEU11" s="314" t="s">
        <v>203</v>
      </c>
      <c r="CEV11" s="314" t="s">
        <v>203</v>
      </c>
      <c r="CEW11" s="314" t="s">
        <v>203</v>
      </c>
      <c r="CEX11" s="314" t="s">
        <v>203</v>
      </c>
      <c r="CEY11" s="314" t="s">
        <v>203</v>
      </c>
      <c r="CEZ11" s="314" t="s">
        <v>203</v>
      </c>
      <c r="CFA11" s="314" t="s">
        <v>203</v>
      </c>
      <c r="CFB11" s="314" t="s">
        <v>203</v>
      </c>
      <c r="CFC11" s="314" t="s">
        <v>203</v>
      </c>
      <c r="CFD11" s="314" t="s">
        <v>203</v>
      </c>
      <c r="CFE11" s="314" t="s">
        <v>203</v>
      </c>
      <c r="CFF11" s="314" t="s">
        <v>203</v>
      </c>
      <c r="CFG11" s="314" t="s">
        <v>203</v>
      </c>
      <c r="CFH11" s="314" t="s">
        <v>203</v>
      </c>
      <c r="CFI11" s="314" t="s">
        <v>203</v>
      </c>
      <c r="CFJ11" s="314" t="s">
        <v>203</v>
      </c>
      <c r="CFK11" s="314" t="s">
        <v>203</v>
      </c>
      <c r="CFL11" s="314" t="s">
        <v>203</v>
      </c>
      <c r="CFM11" s="314" t="s">
        <v>203</v>
      </c>
      <c r="CFN11" s="314" t="s">
        <v>203</v>
      </c>
      <c r="CFO11" s="314" t="s">
        <v>203</v>
      </c>
      <c r="CFP11" s="314" t="s">
        <v>203</v>
      </c>
      <c r="CFQ11" s="314" t="s">
        <v>203</v>
      </c>
      <c r="CFR11" s="314" t="s">
        <v>203</v>
      </c>
      <c r="CFS11" s="314" t="s">
        <v>203</v>
      </c>
      <c r="CFT11" s="314" t="s">
        <v>203</v>
      </c>
      <c r="CFU11" s="314" t="s">
        <v>203</v>
      </c>
      <c r="CFV11" s="314" t="s">
        <v>203</v>
      </c>
      <c r="CFW11" s="314" t="s">
        <v>203</v>
      </c>
      <c r="CFX11" s="314" t="s">
        <v>203</v>
      </c>
      <c r="CFY11" s="314" t="s">
        <v>203</v>
      </c>
      <c r="CFZ11" s="314" t="s">
        <v>203</v>
      </c>
      <c r="CGA11" s="314" t="s">
        <v>203</v>
      </c>
      <c r="CGB11" s="314" t="s">
        <v>203</v>
      </c>
      <c r="CGC11" s="314" t="s">
        <v>203</v>
      </c>
      <c r="CGD11" s="314" t="s">
        <v>203</v>
      </c>
      <c r="CGE11" s="314" t="s">
        <v>203</v>
      </c>
      <c r="CGF11" s="314" t="s">
        <v>203</v>
      </c>
      <c r="CGG11" s="314" t="s">
        <v>203</v>
      </c>
      <c r="CGH11" s="314" t="s">
        <v>203</v>
      </c>
      <c r="CGI11" s="314" t="s">
        <v>203</v>
      </c>
      <c r="CGJ11" s="314" t="s">
        <v>203</v>
      </c>
      <c r="CGK11" s="314" t="s">
        <v>203</v>
      </c>
      <c r="CGL11" s="314" t="s">
        <v>203</v>
      </c>
      <c r="CGM11" s="314" t="s">
        <v>203</v>
      </c>
      <c r="CGN11" s="314" t="s">
        <v>203</v>
      </c>
      <c r="CGO11" s="314" t="s">
        <v>203</v>
      </c>
      <c r="CGP11" s="314" t="s">
        <v>203</v>
      </c>
      <c r="CGQ11" s="314" t="s">
        <v>203</v>
      </c>
      <c r="CGR11" s="314" t="s">
        <v>203</v>
      </c>
      <c r="CGS11" s="314" t="s">
        <v>203</v>
      </c>
      <c r="CGT11" s="314" t="s">
        <v>203</v>
      </c>
      <c r="CGU11" s="314" t="s">
        <v>203</v>
      </c>
      <c r="CGV11" s="314" t="s">
        <v>203</v>
      </c>
      <c r="CGW11" s="314" t="s">
        <v>203</v>
      </c>
      <c r="CGX11" s="314" t="s">
        <v>203</v>
      </c>
      <c r="CGY11" s="314" t="s">
        <v>203</v>
      </c>
      <c r="CGZ11" s="314" t="s">
        <v>203</v>
      </c>
      <c r="CHA11" s="314" t="s">
        <v>203</v>
      </c>
      <c r="CHB11" s="314" t="s">
        <v>203</v>
      </c>
      <c r="CHC11" s="314" t="s">
        <v>203</v>
      </c>
      <c r="CHD11" s="314" t="s">
        <v>203</v>
      </c>
      <c r="CHE11" s="314" t="s">
        <v>203</v>
      </c>
      <c r="CHF11" s="314" t="s">
        <v>203</v>
      </c>
      <c r="CHG11" s="314" t="s">
        <v>203</v>
      </c>
      <c r="CHH11" s="314" t="s">
        <v>203</v>
      </c>
      <c r="CHI11" s="314" t="s">
        <v>203</v>
      </c>
      <c r="CHJ11" s="314" t="s">
        <v>203</v>
      </c>
      <c r="CHK11" s="314" t="s">
        <v>203</v>
      </c>
      <c r="CHL11" s="314" t="s">
        <v>203</v>
      </c>
      <c r="CHM11" s="314" t="s">
        <v>203</v>
      </c>
      <c r="CHN11" s="314" t="s">
        <v>203</v>
      </c>
      <c r="CHO11" s="314" t="s">
        <v>203</v>
      </c>
      <c r="CHP11" s="314" t="s">
        <v>203</v>
      </c>
      <c r="CHQ11" s="314" t="s">
        <v>203</v>
      </c>
      <c r="CHR11" s="314" t="s">
        <v>203</v>
      </c>
      <c r="CHS11" s="314" t="s">
        <v>203</v>
      </c>
      <c r="CHT11" s="314" t="s">
        <v>203</v>
      </c>
      <c r="CHU11" s="314" t="s">
        <v>203</v>
      </c>
      <c r="CHV11" s="314" t="s">
        <v>203</v>
      </c>
      <c r="CHW11" s="314" t="s">
        <v>203</v>
      </c>
      <c r="CHX11" s="314" t="s">
        <v>203</v>
      </c>
      <c r="CHY11" s="314" t="s">
        <v>203</v>
      </c>
      <c r="CHZ11" s="314" t="s">
        <v>203</v>
      </c>
      <c r="CIA11" s="314" t="s">
        <v>203</v>
      </c>
      <c r="CIB11" s="314" t="s">
        <v>203</v>
      </c>
      <c r="CIC11" s="314" t="s">
        <v>203</v>
      </c>
      <c r="CID11" s="314" t="s">
        <v>203</v>
      </c>
      <c r="CIE11" s="314" t="s">
        <v>203</v>
      </c>
      <c r="CIF11" s="314" t="s">
        <v>203</v>
      </c>
      <c r="CIG11" s="314" t="s">
        <v>203</v>
      </c>
      <c r="CIH11" s="314" t="s">
        <v>203</v>
      </c>
      <c r="CII11" s="314" t="s">
        <v>203</v>
      </c>
      <c r="CIJ11" s="314" t="s">
        <v>203</v>
      </c>
      <c r="CIK11" s="314" t="s">
        <v>203</v>
      </c>
      <c r="CIL11" s="314" t="s">
        <v>203</v>
      </c>
      <c r="CIM11" s="314" t="s">
        <v>203</v>
      </c>
      <c r="CIN11" s="314" t="s">
        <v>203</v>
      </c>
      <c r="CIO11" s="314" t="s">
        <v>203</v>
      </c>
      <c r="CIP11" s="314" t="s">
        <v>203</v>
      </c>
      <c r="CIQ11" s="314" t="s">
        <v>203</v>
      </c>
      <c r="CIR11" s="314" t="s">
        <v>203</v>
      </c>
      <c r="CIS11" s="314" t="s">
        <v>203</v>
      </c>
      <c r="CIT11" s="314" t="s">
        <v>203</v>
      </c>
      <c r="CIU11" s="314" t="s">
        <v>203</v>
      </c>
      <c r="CIV11" s="314" t="s">
        <v>203</v>
      </c>
      <c r="CIW11" s="314" t="s">
        <v>203</v>
      </c>
      <c r="CIX11" s="314" t="s">
        <v>203</v>
      </c>
      <c r="CIY11" s="314" t="s">
        <v>203</v>
      </c>
      <c r="CIZ11" s="314" t="s">
        <v>203</v>
      </c>
      <c r="CJA11" s="314" t="s">
        <v>203</v>
      </c>
      <c r="CJB11" s="314" t="s">
        <v>203</v>
      </c>
      <c r="CJC11" s="314" t="s">
        <v>203</v>
      </c>
      <c r="CJD11" s="314" t="s">
        <v>203</v>
      </c>
      <c r="CJE11" s="314" t="s">
        <v>203</v>
      </c>
      <c r="CJF11" s="314" t="s">
        <v>203</v>
      </c>
      <c r="CJG11" s="314" t="s">
        <v>203</v>
      </c>
      <c r="CJH11" s="314" t="s">
        <v>203</v>
      </c>
      <c r="CJI11" s="314" t="s">
        <v>203</v>
      </c>
      <c r="CJJ11" s="314" t="s">
        <v>203</v>
      </c>
      <c r="CJK11" s="314" t="s">
        <v>203</v>
      </c>
      <c r="CJL11" s="314" t="s">
        <v>203</v>
      </c>
      <c r="CJM11" s="314" t="s">
        <v>203</v>
      </c>
      <c r="CJN11" s="314" t="s">
        <v>203</v>
      </c>
      <c r="CJO11" s="314" t="s">
        <v>203</v>
      </c>
      <c r="CJP11" s="314" t="s">
        <v>203</v>
      </c>
      <c r="CJQ11" s="314" t="s">
        <v>203</v>
      </c>
      <c r="CJR11" s="314" t="s">
        <v>203</v>
      </c>
      <c r="CJS11" s="314" t="s">
        <v>203</v>
      </c>
      <c r="CJT11" s="314" t="s">
        <v>203</v>
      </c>
      <c r="CJU11" s="314" t="s">
        <v>203</v>
      </c>
      <c r="CJV11" s="314" t="s">
        <v>203</v>
      </c>
      <c r="CJW11" s="314" t="s">
        <v>203</v>
      </c>
      <c r="CJX11" s="314" t="s">
        <v>203</v>
      </c>
      <c r="CJY11" s="314" t="s">
        <v>203</v>
      </c>
      <c r="CJZ11" s="314" t="s">
        <v>203</v>
      </c>
      <c r="CKA11" s="314" t="s">
        <v>203</v>
      </c>
      <c r="CKB11" s="314" t="s">
        <v>203</v>
      </c>
      <c r="CKC11" s="314" t="s">
        <v>203</v>
      </c>
      <c r="CKD11" s="314" t="s">
        <v>203</v>
      </c>
      <c r="CKE11" s="314" t="s">
        <v>203</v>
      </c>
      <c r="CKF11" s="314" t="s">
        <v>203</v>
      </c>
      <c r="CKG11" s="314" t="s">
        <v>203</v>
      </c>
      <c r="CKH11" s="314" t="s">
        <v>203</v>
      </c>
      <c r="CKI11" s="314" t="s">
        <v>203</v>
      </c>
      <c r="CKJ11" s="314" t="s">
        <v>203</v>
      </c>
      <c r="CKK11" s="314" t="s">
        <v>203</v>
      </c>
      <c r="CKL11" s="314" t="s">
        <v>203</v>
      </c>
      <c r="CKM11" s="314" t="s">
        <v>203</v>
      </c>
      <c r="CKN11" s="314" t="s">
        <v>203</v>
      </c>
      <c r="CKO11" s="314" t="s">
        <v>203</v>
      </c>
      <c r="CKP11" s="314" t="s">
        <v>203</v>
      </c>
      <c r="CKQ11" s="314" t="s">
        <v>203</v>
      </c>
      <c r="CKR11" s="314" t="s">
        <v>203</v>
      </c>
      <c r="CKS11" s="314" t="s">
        <v>203</v>
      </c>
      <c r="CKT11" s="314" t="s">
        <v>203</v>
      </c>
      <c r="CKU11" s="314" t="s">
        <v>203</v>
      </c>
      <c r="CKV11" s="314" t="s">
        <v>203</v>
      </c>
      <c r="CKW11" s="314" t="s">
        <v>203</v>
      </c>
      <c r="CKX11" s="314" t="s">
        <v>203</v>
      </c>
      <c r="CKY11" s="314" t="s">
        <v>203</v>
      </c>
      <c r="CKZ11" s="314" t="s">
        <v>203</v>
      </c>
      <c r="CLA11" s="314" t="s">
        <v>203</v>
      </c>
      <c r="CLB11" s="314" t="s">
        <v>203</v>
      </c>
      <c r="CLC11" s="314" t="s">
        <v>203</v>
      </c>
      <c r="CLD11" s="314" t="s">
        <v>203</v>
      </c>
      <c r="CLE11" s="314" t="s">
        <v>203</v>
      </c>
      <c r="CLF11" s="314" t="s">
        <v>203</v>
      </c>
      <c r="CLG11" s="314" t="s">
        <v>203</v>
      </c>
      <c r="CLH11" s="314" t="s">
        <v>203</v>
      </c>
      <c r="CLI11" s="314" t="s">
        <v>203</v>
      </c>
      <c r="CLJ11" s="314" t="s">
        <v>203</v>
      </c>
      <c r="CLK11" s="314" t="s">
        <v>203</v>
      </c>
      <c r="CLL11" s="314" t="s">
        <v>203</v>
      </c>
      <c r="CLM11" s="314" t="s">
        <v>203</v>
      </c>
      <c r="CLN11" s="314" t="s">
        <v>203</v>
      </c>
      <c r="CLO11" s="314" t="s">
        <v>203</v>
      </c>
      <c r="CLP11" s="314" t="s">
        <v>203</v>
      </c>
      <c r="CLQ11" s="314" t="s">
        <v>203</v>
      </c>
      <c r="CLR11" s="314" t="s">
        <v>203</v>
      </c>
      <c r="CLS11" s="314" t="s">
        <v>203</v>
      </c>
      <c r="CLT11" s="314" t="s">
        <v>203</v>
      </c>
      <c r="CLU11" s="314" t="s">
        <v>203</v>
      </c>
      <c r="CLV11" s="314" t="s">
        <v>203</v>
      </c>
      <c r="CLW11" s="314" t="s">
        <v>203</v>
      </c>
      <c r="CLX11" s="314" t="s">
        <v>203</v>
      </c>
      <c r="CLY11" s="314" t="s">
        <v>203</v>
      </c>
      <c r="CLZ11" s="314" t="s">
        <v>203</v>
      </c>
      <c r="CMA11" s="314" t="s">
        <v>203</v>
      </c>
      <c r="CMB11" s="314" t="s">
        <v>203</v>
      </c>
      <c r="CMC11" s="314" t="s">
        <v>203</v>
      </c>
      <c r="CMD11" s="314" t="s">
        <v>203</v>
      </c>
      <c r="CME11" s="314" t="s">
        <v>203</v>
      </c>
      <c r="CMF11" s="314" t="s">
        <v>203</v>
      </c>
      <c r="CMG11" s="314" t="s">
        <v>203</v>
      </c>
      <c r="CMH11" s="314" t="s">
        <v>203</v>
      </c>
      <c r="CMI11" s="314" t="s">
        <v>203</v>
      </c>
      <c r="CMJ11" s="314" t="s">
        <v>203</v>
      </c>
      <c r="CMK11" s="314" t="s">
        <v>203</v>
      </c>
      <c r="CML11" s="314" t="s">
        <v>203</v>
      </c>
      <c r="CMM11" s="314" t="s">
        <v>203</v>
      </c>
      <c r="CMN11" s="314" t="s">
        <v>203</v>
      </c>
      <c r="CMO11" s="314" t="s">
        <v>203</v>
      </c>
      <c r="CMP11" s="314" t="s">
        <v>203</v>
      </c>
      <c r="CMQ11" s="314" t="s">
        <v>203</v>
      </c>
      <c r="CMR11" s="314" t="s">
        <v>203</v>
      </c>
      <c r="CMS11" s="314" t="s">
        <v>203</v>
      </c>
      <c r="CMT11" s="314" t="s">
        <v>203</v>
      </c>
      <c r="CMU11" s="314" t="s">
        <v>203</v>
      </c>
      <c r="CMV11" s="314" t="s">
        <v>203</v>
      </c>
      <c r="CMW11" s="314" t="s">
        <v>203</v>
      </c>
      <c r="CMX11" s="314" t="s">
        <v>203</v>
      </c>
      <c r="CMY11" s="314" t="s">
        <v>203</v>
      </c>
      <c r="CMZ11" s="314" t="s">
        <v>203</v>
      </c>
      <c r="CNA11" s="314" t="s">
        <v>203</v>
      </c>
      <c r="CNB11" s="314" t="s">
        <v>203</v>
      </c>
      <c r="CNC11" s="314" t="s">
        <v>203</v>
      </c>
      <c r="CND11" s="314" t="s">
        <v>203</v>
      </c>
      <c r="CNE11" s="314" t="s">
        <v>203</v>
      </c>
      <c r="CNF11" s="314" t="s">
        <v>203</v>
      </c>
      <c r="CNG11" s="314" t="s">
        <v>203</v>
      </c>
      <c r="CNH11" s="314" t="s">
        <v>203</v>
      </c>
      <c r="CNI11" s="314" t="s">
        <v>203</v>
      </c>
      <c r="CNJ11" s="314" t="s">
        <v>203</v>
      </c>
      <c r="CNK11" s="314" t="s">
        <v>203</v>
      </c>
      <c r="CNL11" s="314" t="s">
        <v>203</v>
      </c>
      <c r="CNM11" s="314" t="s">
        <v>203</v>
      </c>
      <c r="CNN11" s="314" t="s">
        <v>203</v>
      </c>
      <c r="CNO11" s="314" t="s">
        <v>203</v>
      </c>
      <c r="CNP11" s="314" t="s">
        <v>203</v>
      </c>
      <c r="CNQ11" s="314" t="s">
        <v>203</v>
      </c>
      <c r="CNR11" s="314" t="s">
        <v>203</v>
      </c>
      <c r="CNS11" s="314" t="s">
        <v>203</v>
      </c>
      <c r="CNT11" s="314" t="s">
        <v>203</v>
      </c>
      <c r="CNU11" s="314" t="s">
        <v>203</v>
      </c>
      <c r="CNV11" s="314" t="s">
        <v>203</v>
      </c>
      <c r="CNW11" s="314" t="s">
        <v>203</v>
      </c>
      <c r="CNX11" s="314" t="s">
        <v>203</v>
      </c>
      <c r="CNY11" s="314" t="s">
        <v>203</v>
      </c>
      <c r="CNZ11" s="314" t="s">
        <v>203</v>
      </c>
      <c r="COA11" s="314" t="s">
        <v>203</v>
      </c>
      <c r="COB11" s="314" t="s">
        <v>203</v>
      </c>
      <c r="COC11" s="314" t="s">
        <v>203</v>
      </c>
      <c r="COD11" s="314" t="s">
        <v>203</v>
      </c>
      <c r="COE11" s="314" t="s">
        <v>203</v>
      </c>
      <c r="COF11" s="314" t="s">
        <v>203</v>
      </c>
      <c r="COG11" s="314" t="s">
        <v>203</v>
      </c>
      <c r="COH11" s="314" t="s">
        <v>203</v>
      </c>
      <c r="COI11" s="314" t="s">
        <v>203</v>
      </c>
      <c r="COJ11" s="314" t="s">
        <v>203</v>
      </c>
      <c r="COK11" s="314" t="s">
        <v>203</v>
      </c>
      <c r="COL11" s="314" t="s">
        <v>203</v>
      </c>
      <c r="COM11" s="314" t="s">
        <v>203</v>
      </c>
      <c r="CON11" s="314" t="s">
        <v>203</v>
      </c>
      <c r="COO11" s="314" t="s">
        <v>203</v>
      </c>
      <c r="COP11" s="314" t="s">
        <v>203</v>
      </c>
      <c r="COQ11" s="314" t="s">
        <v>203</v>
      </c>
      <c r="COR11" s="314" t="s">
        <v>203</v>
      </c>
      <c r="COS11" s="314" t="s">
        <v>203</v>
      </c>
      <c r="COT11" s="314" t="s">
        <v>203</v>
      </c>
      <c r="COU11" s="314" t="s">
        <v>203</v>
      </c>
      <c r="COV11" s="314" t="s">
        <v>203</v>
      </c>
      <c r="COW11" s="314" t="s">
        <v>203</v>
      </c>
      <c r="COX11" s="314" t="s">
        <v>203</v>
      </c>
      <c r="COY11" s="314" t="s">
        <v>203</v>
      </c>
      <c r="COZ11" s="314" t="s">
        <v>203</v>
      </c>
      <c r="CPA11" s="314" t="s">
        <v>203</v>
      </c>
      <c r="CPB11" s="314" t="s">
        <v>203</v>
      </c>
      <c r="CPC11" s="314" t="s">
        <v>203</v>
      </c>
      <c r="CPD11" s="314" t="s">
        <v>203</v>
      </c>
      <c r="CPE11" s="314" t="s">
        <v>203</v>
      </c>
      <c r="CPF11" s="314" t="s">
        <v>203</v>
      </c>
      <c r="CPG11" s="314" t="s">
        <v>203</v>
      </c>
      <c r="CPH11" s="314" t="s">
        <v>203</v>
      </c>
      <c r="CPI11" s="314" t="s">
        <v>203</v>
      </c>
      <c r="CPJ11" s="314" t="s">
        <v>203</v>
      </c>
      <c r="CPK11" s="314" t="s">
        <v>203</v>
      </c>
      <c r="CPL11" s="314" t="s">
        <v>203</v>
      </c>
      <c r="CPM11" s="314" t="s">
        <v>203</v>
      </c>
      <c r="CPN11" s="314" t="s">
        <v>203</v>
      </c>
      <c r="CPO11" s="314" t="s">
        <v>203</v>
      </c>
      <c r="CPP11" s="314" t="s">
        <v>203</v>
      </c>
      <c r="CPQ11" s="314" t="s">
        <v>203</v>
      </c>
      <c r="CPR11" s="314" t="s">
        <v>203</v>
      </c>
      <c r="CPS11" s="314" t="s">
        <v>203</v>
      </c>
      <c r="CPT11" s="314" t="s">
        <v>203</v>
      </c>
      <c r="CPU11" s="314" t="s">
        <v>203</v>
      </c>
      <c r="CPV11" s="314" t="s">
        <v>203</v>
      </c>
      <c r="CPW11" s="314" t="s">
        <v>203</v>
      </c>
      <c r="CPX11" s="314" t="s">
        <v>203</v>
      </c>
      <c r="CPY11" s="314" t="s">
        <v>203</v>
      </c>
      <c r="CPZ11" s="314" t="s">
        <v>203</v>
      </c>
      <c r="CQA11" s="314" t="s">
        <v>203</v>
      </c>
      <c r="CQB11" s="314" t="s">
        <v>203</v>
      </c>
      <c r="CQC11" s="314" t="s">
        <v>203</v>
      </c>
      <c r="CQD11" s="314" t="s">
        <v>203</v>
      </c>
      <c r="CQE11" s="314" t="s">
        <v>203</v>
      </c>
      <c r="CQF11" s="314" t="s">
        <v>203</v>
      </c>
      <c r="CQG11" s="314" t="s">
        <v>203</v>
      </c>
      <c r="CQH11" s="314" t="s">
        <v>203</v>
      </c>
      <c r="CQI11" s="314" t="s">
        <v>203</v>
      </c>
      <c r="CQJ11" s="314" t="s">
        <v>203</v>
      </c>
      <c r="CQK11" s="314" t="s">
        <v>203</v>
      </c>
      <c r="CQL11" s="314" t="s">
        <v>203</v>
      </c>
      <c r="CQM11" s="314" t="s">
        <v>203</v>
      </c>
      <c r="CQN11" s="314" t="s">
        <v>203</v>
      </c>
      <c r="CQO11" s="314" t="s">
        <v>203</v>
      </c>
      <c r="CQP11" s="314" t="s">
        <v>203</v>
      </c>
      <c r="CQQ11" s="314" t="s">
        <v>203</v>
      </c>
      <c r="CQR11" s="314" t="s">
        <v>203</v>
      </c>
      <c r="CQS11" s="314" t="s">
        <v>203</v>
      </c>
      <c r="CQT11" s="314" t="s">
        <v>203</v>
      </c>
      <c r="CQU11" s="314" t="s">
        <v>203</v>
      </c>
      <c r="CQV11" s="314" t="s">
        <v>203</v>
      </c>
      <c r="CQW11" s="314" t="s">
        <v>203</v>
      </c>
      <c r="CQX11" s="314" t="s">
        <v>203</v>
      </c>
      <c r="CQY11" s="314" t="s">
        <v>203</v>
      </c>
      <c r="CQZ11" s="314" t="s">
        <v>203</v>
      </c>
      <c r="CRA11" s="314" t="s">
        <v>203</v>
      </c>
      <c r="CRB11" s="314" t="s">
        <v>203</v>
      </c>
      <c r="CRC11" s="314" t="s">
        <v>203</v>
      </c>
      <c r="CRD11" s="314" t="s">
        <v>203</v>
      </c>
      <c r="CRE11" s="314" t="s">
        <v>203</v>
      </c>
      <c r="CRF11" s="314" t="s">
        <v>203</v>
      </c>
      <c r="CRG11" s="314" t="s">
        <v>203</v>
      </c>
      <c r="CRH11" s="314" t="s">
        <v>203</v>
      </c>
      <c r="CRI11" s="314" t="s">
        <v>203</v>
      </c>
      <c r="CRJ11" s="314" t="s">
        <v>203</v>
      </c>
      <c r="CRK11" s="314" t="s">
        <v>203</v>
      </c>
      <c r="CRL11" s="314" t="s">
        <v>203</v>
      </c>
      <c r="CRM11" s="314" t="s">
        <v>203</v>
      </c>
      <c r="CRN11" s="314" t="s">
        <v>203</v>
      </c>
      <c r="CRO11" s="314" t="s">
        <v>203</v>
      </c>
      <c r="CRP11" s="314" t="s">
        <v>203</v>
      </c>
      <c r="CRQ11" s="314" t="s">
        <v>203</v>
      </c>
      <c r="CRR11" s="314" t="s">
        <v>203</v>
      </c>
      <c r="CRS11" s="314" t="s">
        <v>203</v>
      </c>
      <c r="CRT11" s="314" t="s">
        <v>203</v>
      </c>
      <c r="CRU11" s="314" t="s">
        <v>203</v>
      </c>
      <c r="CRV11" s="314" t="s">
        <v>203</v>
      </c>
      <c r="CRW11" s="314" t="s">
        <v>203</v>
      </c>
      <c r="CRX11" s="314" t="s">
        <v>203</v>
      </c>
      <c r="CRY11" s="314" t="s">
        <v>203</v>
      </c>
      <c r="CRZ11" s="314" t="s">
        <v>203</v>
      </c>
      <c r="CSA11" s="314" t="s">
        <v>203</v>
      </c>
      <c r="CSB11" s="314" t="s">
        <v>203</v>
      </c>
      <c r="CSC11" s="314" t="s">
        <v>203</v>
      </c>
      <c r="CSD11" s="314" t="s">
        <v>203</v>
      </c>
      <c r="CSE11" s="314" t="s">
        <v>203</v>
      </c>
      <c r="CSF11" s="314" t="s">
        <v>203</v>
      </c>
      <c r="CSG11" s="314" t="s">
        <v>203</v>
      </c>
      <c r="CSH11" s="314" t="s">
        <v>203</v>
      </c>
      <c r="CSI11" s="314" t="s">
        <v>203</v>
      </c>
      <c r="CSJ11" s="314" t="s">
        <v>203</v>
      </c>
      <c r="CSK11" s="314" t="s">
        <v>203</v>
      </c>
      <c r="CSL11" s="314" t="s">
        <v>203</v>
      </c>
      <c r="CSM11" s="314" t="s">
        <v>203</v>
      </c>
      <c r="CSN11" s="314" t="s">
        <v>203</v>
      </c>
      <c r="CSO11" s="314" t="s">
        <v>203</v>
      </c>
      <c r="CSP11" s="314" t="s">
        <v>203</v>
      </c>
      <c r="CSQ11" s="314" t="s">
        <v>203</v>
      </c>
      <c r="CSR11" s="314" t="s">
        <v>203</v>
      </c>
      <c r="CSS11" s="314" t="s">
        <v>203</v>
      </c>
      <c r="CST11" s="314" t="s">
        <v>203</v>
      </c>
      <c r="CSU11" s="314" t="s">
        <v>203</v>
      </c>
      <c r="CSV11" s="314" t="s">
        <v>203</v>
      </c>
      <c r="CSW11" s="314" t="s">
        <v>203</v>
      </c>
      <c r="CSX11" s="314" t="s">
        <v>203</v>
      </c>
      <c r="CSY11" s="314" t="s">
        <v>203</v>
      </c>
      <c r="CSZ11" s="314" t="s">
        <v>203</v>
      </c>
      <c r="CTA11" s="314" t="s">
        <v>203</v>
      </c>
      <c r="CTB11" s="314" t="s">
        <v>203</v>
      </c>
      <c r="CTC11" s="314" t="s">
        <v>203</v>
      </c>
      <c r="CTD11" s="314" t="s">
        <v>203</v>
      </c>
      <c r="CTE11" s="314" t="s">
        <v>203</v>
      </c>
      <c r="CTF11" s="314" t="s">
        <v>203</v>
      </c>
      <c r="CTG11" s="314" t="s">
        <v>203</v>
      </c>
      <c r="CTH11" s="314" t="s">
        <v>203</v>
      </c>
      <c r="CTI11" s="314" t="s">
        <v>203</v>
      </c>
      <c r="CTJ11" s="314" t="s">
        <v>203</v>
      </c>
      <c r="CTK11" s="314" t="s">
        <v>203</v>
      </c>
      <c r="CTL11" s="314" t="s">
        <v>203</v>
      </c>
      <c r="CTM11" s="314" t="s">
        <v>203</v>
      </c>
      <c r="CTN11" s="314" t="s">
        <v>203</v>
      </c>
      <c r="CTO11" s="314" t="s">
        <v>203</v>
      </c>
      <c r="CTP11" s="314" t="s">
        <v>203</v>
      </c>
      <c r="CTQ11" s="314" t="s">
        <v>203</v>
      </c>
      <c r="CTR11" s="314" t="s">
        <v>203</v>
      </c>
      <c r="CTS11" s="314" t="s">
        <v>203</v>
      </c>
      <c r="CTT11" s="314" t="s">
        <v>203</v>
      </c>
      <c r="CTU11" s="314" t="s">
        <v>203</v>
      </c>
      <c r="CTV11" s="314" t="s">
        <v>203</v>
      </c>
      <c r="CTW11" s="314" t="s">
        <v>203</v>
      </c>
      <c r="CTX11" s="314" t="s">
        <v>203</v>
      </c>
      <c r="CTY11" s="314" t="s">
        <v>203</v>
      </c>
      <c r="CTZ11" s="314" t="s">
        <v>203</v>
      </c>
      <c r="CUA11" s="314" t="s">
        <v>203</v>
      </c>
      <c r="CUB11" s="314" t="s">
        <v>203</v>
      </c>
      <c r="CUC11" s="314" t="s">
        <v>203</v>
      </c>
      <c r="CUD11" s="314" t="s">
        <v>203</v>
      </c>
      <c r="CUE11" s="314" t="s">
        <v>203</v>
      </c>
      <c r="CUF11" s="314" t="s">
        <v>203</v>
      </c>
      <c r="CUG11" s="314" t="s">
        <v>203</v>
      </c>
      <c r="CUH11" s="314" t="s">
        <v>203</v>
      </c>
      <c r="CUI11" s="314" t="s">
        <v>203</v>
      </c>
      <c r="CUJ11" s="314" t="s">
        <v>203</v>
      </c>
      <c r="CUK11" s="314" t="s">
        <v>203</v>
      </c>
      <c r="CUL11" s="314" t="s">
        <v>203</v>
      </c>
      <c r="CUM11" s="314" t="s">
        <v>203</v>
      </c>
      <c r="CUN11" s="314" t="s">
        <v>203</v>
      </c>
      <c r="CUO11" s="314" t="s">
        <v>203</v>
      </c>
      <c r="CUP11" s="314" t="s">
        <v>203</v>
      </c>
      <c r="CUQ11" s="314" t="s">
        <v>203</v>
      </c>
      <c r="CUR11" s="314" t="s">
        <v>203</v>
      </c>
      <c r="CUS11" s="314" t="s">
        <v>203</v>
      </c>
      <c r="CUT11" s="314" t="s">
        <v>203</v>
      </c>
      <c r="CUU11" s="314" t="s">
        <v>203</v>
      </c>
      <c r="CUV11" s="314" t="s">
        <v>203</v>
      </c>
      <c r="CUW11" s="314" t="s">
        <v>203</v>
      </c>
      <c r="CUX11" s="314" t="s">
        <v>203</v>
      </c>
      <c r="CUY11" s="314" t="s">
        <v>203</v>
      </c>
      <c r="CUZ11" s="314" t="s">
        <v>203</v>
      </c>
      <c r="CVA11" s="314" t="s">
        <v>203</v>
      </c>
      <c r="CVB11" s="314" t="s">
        <v>203</v>
      </c>
      <c r="CVC11" s="314" t="s">
        <v>203</v>
      </c>
      <c r="CVD11" s="314" t="s">
        <v>203</v>
      </c>
      <c r="CVE11" s="314" t="s">
        <v>203</v>
      </c>
      <c r="CVF11" s="314" t="s">
        <v>203</v>
      </c>
      <c r="CVG11" s="314" t="s">
        <v>203</v>
      </c>
      <c r="CVH11" s="314" t="s">
        <v>203</v>
      </c>
      <c r="CVI11" s="314" t="s">
        <v>203</v>
      </c>
      <c r="CVJ11" s="314" t="s">
        <v>203</v>
      </c>
      <c r="CVK11" s="314" t="s">
        <v>203</v>
      </c>
      <c r="CVL11" s="314" t="s">
        <v>203</v>
      </c>
      <c r="CVM11" s="314" t="s">
        <v>203</v>
      </c>
      <c r="CVN11" s="314" t="s">
        <v>203</v>
      </c>
      <c r="CVO11" s="314" t="s">
        <v>203</v>
      </c>
      <c r="CVP11" s="314" t="s">
        <v>203</v>
      </c>
      <c r="CVQ11" s="314" t="s">
        <v>203</v>
      </c>
      <c r="CVR11" s="314" t="s">
        <v>203</v>
      </c>
      <c r="CVS11" s="314" t="s">
        <v>203</v>
      </c>
      <c r="CVT11" s="314" t="s">
        <v>203</v>
      </c>
      <c r="CVU11" s="314" t="s">
        <v>203</v>
      </c>
      <c r="CVV11" s="314" t="s">
        <v>203</v>
      </c>
      <c r="CVW11" s="314" t="s">
        <v>203</v>
      </c>
      <c r="CVX11" s="314" t="s">
        <v>203</v>
      </c>
      <c r="CVY11" s="314" t="s">
        <v>203</v>
      </c>
      <c r="CVZ11" s="314" t="s">
        <v>203</v>
      </c>
      <c r="CWA11" s="314" t="s">
        <v>203</v>
      </c>
      <c r="CWB11" s="314" t="s">
        <v>203</v>
      </c>
      <c r="CWC11" s="314" t="s">
        <v>203</v>
      </c>
      <c r="CWD11" s="314" t="s">
        <v>203</v>
      </c>
      <c r="CWE11" s="314" t="s">
        <v>203</v>
      </c>
      <c r="CWF11" s="314" t="s">
        <v>203</v>
      </c>
      <c r="CWG11" s="314" t="s">
        <v>203</v>
      </c>
      <c r="CWH11" s="314" t="s">
        <v>203</v>
      </c>
      <c r="CWI11" s="314" t="s">
        <v>203</v>
      </c>
      <c r="CWJ11" s="314" t="s">
        <v>203</v>
      </c>
      <c r="CWK11" s="314" t="s">
        <v>203</v>
      </c>
      <c r="CWL11" s="314" t="s">
        <v>203</v>
      </c>
      <c r="CWM11" s="314" t="s">
        <v>203</v>
      </c>
      <c r="CWN11" s="314" t="s">
        <v>203</v>
      </c>
      <c r="CWO11" s="314" t="s">
        <v>203</v>
      </c>
      <c r="CWP11" s="314" t="s">
        <v>203</v>
      </c>
      <c r="CWQ11" s="314" t="s">
        <v>203</v>
      </c>
      <c r="CWR11" s="314" t="s">
        <v>203</v>
      </c>
      <c r="CWS11" s="314" t="s">
        <v>203</v>
      </c>
      <c r="CWT11" s="314" t="s">
        <v>203</v>
      </c>
      <c r="CWU11" s="314" t="s">
        <v>203</v>
      </c>
      <c r="CWV11" s="314" t="s">
        <v>203</v>
      </c>
      <c r="CWW11" s="314" t="s">
        <v>203</v>
      </c>
      <c r="CWX11" s="314" t="s">
        <v>203</v>
      </c>
      <c r="CWY11" s="314" t="s">
        <v>203</v>
      </c>
      <c r="CWZ11" s="314" t="s">
        <v>203</v>
      </c>
      <c r="CXA11" s="314" t="s">
        <v>203</v>
      </c>
      <c r="CXB11" s="314" t="s">
        <v>203</v>
      </c>
      <c r="CXC11" s="314" t="s">
        <v>203</v>
      </c>
      <c r="CXD11" s="314" t="s">
        <v>203</v>
      </c>
      <c r="CXE11" s="314" t="s">
        <v>203</v>
      </c>
      <c r="CXF11" s="314" t="s">
        <v>203</v>
      </c>
      <c r="CXG11" s="314" t="s">
        <v>203</v>
      </c>
      <c r="CXH11" s="314" t="s">
        <v>203</v>
      </c>
      <c r="CXI11" s="314" t="s">
        <v>203</v>
      </c>
      <c r="CXJ11" s="314" t="s">
        <v>203</v>
      </c>
      <c r="CXK11" s="314" t="s">
        <v>203</v>
      </c>
      <c r="CXL11" s="314" t="s">
        <v>203</v>
      </c>
      <c r="CXM11" s="314" t="s">
        <v>203</v>
      </c>
      <c r="CXN11" s="314" t="s">
        <v>203</v>
      </c>
      <c r="CXO11" s="314" t="s">
        <v>203</v>
      </c>
      <c r="CXP11" s="314" t="s">
        <v>203</v>
      </c>
      <c r="CXQ11" s="314" t="s">
        <v>203</v>
      </c>
      <c r="CXR11" s="314" t="s">
        <v>203</v>
      </c>
      <c r="CXS11" s="314" t="s">
        <v>203</v>
      </c>
      <c r="CXT11" s="314" t="s">
        <v>203</v>
      </c>
      <c r="CXU11" s="314" t="s">
        <v>203</v>
      </c>
      <c r="CXV11" s="314" t="s">
        <v>203</v>
      </c>
      <c r="CXW11" s="314" t="s">
        <v>203</v>
      </c>
      <c r="CXX11" s="314" t="s">
        <v>203</v>
      </c>
      <c r="CXY11" s="314" t="s">
        <v>203</v>
      </c>
      <c r="CXZ11" s="314" t="s">
        <v>203</v>
      </c>
      <c r="CYA11" s="314" t="s">
        <v>203</v>
      </c>
      <c r="CYB11" s="314" t="s">
        <v>203</v>
      </c>
      <c r="CYC11" s="314" t="s">
        <v>203</v>
      </c>
      <c r="CYD11" s="314" t="s">
        <v>203</v>
      </c>
      <c r="CYE11" s="314" t="s">
        <v>203</v>
      </c>
      <c r="CYF11" s="314" t="s">
        <v>203</v>
      </c>
      <c r="CYG11" s="314" t="s">
        <v>203</v>
      </c>
      <c r="CYH11" s="314" t="s">
        <v>203</v>
      </c>
      <c r="CYI11" s="314" t="s">
        <v>203</v>
      </c>
      <c r="CYJ11" s="314" t="s">
        <v>203</v>
      </c>
      <c r="CYK11" s="314" t="s">
        <v>203</v>
      </c>
      <c r="CYL11" s="314" t="s">
        <v>203</v>
      </c>
      <c r="CYM11" s="314" t="s">
        <v>203</v>
      </c>
      <c r="CYN11" s="314" t="s">
        <v>203</v>
      </c>
      <c r="CYO11" s="314" t="s">
        <v>203</v>
      </c>
      <c r="CYP11" s="314" t="s">
        <v>203</v>
      </c>
      <c r="CYQ11" s="314" t="s">
        <v>203</v>
      </c>
      <c r="CYR11" s="314" t="s">
        <v>203</v>
      </c>
      <c r="CYS11" s="314" t="s">
        <v>203</v>
      </c>
      <c r="CYT11" s="314" t="s">
        <v>203</v>
      </c>
      <c r="CYU11" s="314" t="s">
        <v>203</v>
      </c>
      <c r="CYV11" s="314" t="s">
        <v>203</v>
      </c>
      <c r="CYW11" s="314" t="s">
        <v>203</v>
      </c>
      <c r="CYX11" s="314" t="s">
        <v>203</v>
      </c>
      <c r="CYY11" s="314" t="s">
        <v>203</v>
      </c>
      <c r="CYZ11" s="314" t="s">
        <v>203</v>
      </c>
      <c r="CZA11" s="314" t="s">
        <v>203</v>
      </c>
      <c r="CZB11" s="314" t="s">
        <v>203</v>
      </c>
      <c r="CZC11" s="314" t="s">
        <v>203</v>
      </c>
      <c r="CZD11" s="314" t="s">
        <v>203</v>
      </c>
      <c r="CZE11" s="314" t="s">
        <v>203</v>
      </c>
      <c r="CZF11" s="314" t="s">
        <v>203</v>
      </c>
      <c r="CZG11" s="314" t="s">
        <v>203</v>
      </c>
      <c r="CZH11" s="314" t="s">
        <v>203</v>
      </c>
      <c r="CZI11" s="314" t="s">
        <v>203</v>
      </c>
      <c r="CZJ11" s="314" t="s">
        <v>203</v>
      </c>
      <c r="CZK11" s="314" t="s">
        <v>203</v>
      </c>
      <c r="CZL11" s="314" t="s">
        <v>203</v>
      </c>
      <c r="CZM11" s="314" t="s">
        <v>203</v>
      </c>
      <c r="CZN11" s="314" t="s">
        <v>203</v>
      </c>
      <c r="CZO11" s="314" t="s">
        <v>203</v>
      </c>
      <c r="CZP11" s="314" t="s">
        <v>203</v>
      </c>
      <c r="CZQ11" s="314" t="s">
        <v>203</v>
      </c>
      <c r="CZR11" s="314" t="s">
        <v>203</v>
      </c>
      <c r="CZS11" s="314" t="s">
        <v>203</v>
      </c>
      <c r="CZT11" s="314" t="s">
        <v>203</v>
      </c>
      <c r="CZU11" s="314" t="s">
        <v>203</v>
      </c>
      <c r="CZV11" s="314" t="s">
        <v>203</v>
      </c>
      <c r="CZW11" s="314" t="s">
        <v>203</v>
      </c>
      <c r="CZX11" s="314" t="s">
        <v>203</v>
      </c>
      <c r="CZY11" s="314" t="s">
        <v>203</v>
      </c>
      <c r="CZZ11" s="314" t="s">
        <v>203</v>
      </c>
      <c r="DAA11" s="314" t="s">
        <v>203</v>
      </c>
      <c r="DAB11" s="314" t="s">
        <v>203</v>
      </c>
      <c r="DAC11" s="314" t="s">
        <v>203</v>
      </c>
      <c r="DAD11" s="314" t="s">
        <v>203</v>
      </c>
      <c r="DAE11" s="314" t="s">
        <v>203</v>
      </c>
      <c r="DAF11" s="314" t="s">
        <v>203</v>
      </c>
      <c r="DAG11" s="314" t="s">
        <v>203</v>
      </c>
      <c r="DAH11" s="314" t="s">
        <v>203</v>
      </c>
      <c r="DAI11" s="314" t="s">
        <v>203</v>
      </c>
      <c r="DAJ11" s="314" t="s">
        <v>203</v>
      </c>
      <c r="DAK11" s="314" t="s">
        <v>203</v>
      </c>
      <c r="DAL11" s="314" t="s">
        <v>203</v>
      </c>
      <c r="DAM11" s="314" t="s">
        <v>203</v>
      </c>
      <c r="DAN11" s="314" t="s">
        <v>203</v>
      </c>
      <c r="DAO11" s="314" t="s">
        <v>203</v>
      </c>
      <c r="DAP11" s="314" t="s">
        <v>203</v>
      </c>
      <c r="DAQ11" s="314" t="s">
        <v>203</v>
      </c>
      <c r="DAR11" s="314" t="s">
        <v>203</v>
      </c>
      <c r="DAS11" s="314" t="s">
        <v>203</v>
      </c>
      <c r="DAT11" s="314" t="s">
        <v>203</v>
      </c>
      <c r="DAU11" s="314" t="s">
        <v>203</v>
      </c>
      <c r="DAV11" s="314" t="s">
        <v>203</v>
      </c>
      <c r="DAW11" s="314" t="s">
        <v>203</v>
      </c>
      <c r="DAX11" s="314" t="s">
        <v>203</v>
      </c>
      <c r="DAY11" s="314" t="s">
        <v>203</v>
      </c>
      <c r="DAZ11" s="314" t="s">
        <v>203</v>
      </c>
      <c r="DBA11" s="314" t="s">
        <v>203</v>
      </c>
      <c r="DBB11" s="314" t="s">
        <v>203</v>
      </c>
      <c r="DBC11" s="314" t="s">
        <v>203</v>
      </c>
      <c r="DBD11" s="314" t="s">
        <v>203</v>
      </c>
      <c r="DBE11" s="314" t="s">
        <v>203</v>
      </c>
      <c r="DBF11" s="314" t="s">
        <v>203</v>
      </c>
      <c r="DBG11" s="314" t="s">
        <v>203</v>
      </c>
      <c r="DBH11" s="314" t="s">
        <v>203</v>
      </c>
      <c r="DBI11" s="314" t="s">
        <v>203</v>
      </c>
      <c r="DBJ11" s="314" t="s">
        <v>203</v>
      </c>
      <c r="DBK11" s="314" t="s">
        <v>203</v>
      </c>
      <c r="DBL11" s="314" t="s">
        <v>203</v>
      </c>
      <c r="DBM11" s="314" t="s">
        <v>203</v>
      </c>
      <c r="DBN11" s="314" t="s">
        <v>203</v>
      </c>
      <c r="DBO11" s="314" t="s">
        <v>203</v>
      </c>
      <c r="DBP11" s="314" t="s">
        <v>203</v>
      </c>
      <c r="DBQ11" s="314" t="s">
        <v>203</v>
      </c>
      <c r="DBR11" s="314" t="s">
        <v>203</v>
      </c>
      <c r="DBS11" s="314" t="s">
        <v>203</v>
      </c>
      <c r="DBT11" s="314" t="s">
        <v>203</v>
      </c>
      <c r="DBU11" s="314" t="s">
        <v>203</v>
      </c>
      <c r="DBV11" s="314" t="s">
        <v>203</v>
      </c>
      <c r="DBW11" s="314" t="s">
        <v>203</v>
      </c>
      <c r="DBX11" s="314" t="s">
        <v>203</v>
      </c>
      <c r="DBY11" s="314" t="s">
        <v>203</v>
      </c>
      <c r="DBZ11" s="314" t="s">
        <v>203</v>
      </c>
      <c r="DCA11" s="314" t="s">
        <v>203</v>
      </c>
      <c r="DCB11" s="314" t="s">
        <v>203</v>
      </c>
      <c r="DCC11" s="314" t="s">
        <v>203</v>
      </c>
      <c r="DCD11" s="314" t="s">
        <v>203</v>
      </c>
      <c r="DCE11" s="314" t="s">
        <v>203</v>
      </c>
      <c r="DCF11" s="314" t="s">
        <v>203</v>
      </c>
      <c r="DCG11" s="314" t="s">
        <v>203</v>
      </c>
      <c r="DCH11" s="314" t="s">
        <v>203</v>
      </c>
      <c r="DCI11" s="314" t="s">
        <v>203</v>
      </c>
      <c r="DCJ11" s="314" t="s">
        <v>203</v>
      </c>
      <c r="DCK11" s="314" t="s">
        <v>203</v>
      </c>
      <c r="DCL11" s="314" t="s">
        <v>203</v>
      </c>
      <c r="DCM11" s="314" t="s">
        <v>203</v>
      </c>
      <c r="DCN11" s="314" t="s">
        <v>203</v>
      </c>
      <c r="DCO11" s="314" t="s">
        <v>203</v>
      </c>
      <c r="DCP11" s="314" t="s">
        <v>203</v>
      </c>
      <c r="DCQ11" s="314" t="s">
        <v>203</v>
      </c>
      <c r="DCR11" s="314" t="s">
        <v>203</v>
      </c>
      <c r="DCS11" s="314" t="s">
        <v>203</v>
      </c>
      <c r="DCT11" s="314" t="s">
        <v>203</v>
      </c>
      <c r="DCU11" s="314" t="s">
        <v>203</v>
      </c>
      <c r="DCV11" s="314" t="s">
        <v>203</v>
      </c>
      <c r="DCW11" s="314" t="s">
        <v>203</v>
      </c>
      <c r="DCX11" s="314" t="s">
        <v>203</v>
      </c>
      <c r="DCY11" s="314" t="s">
        <v>203</v>
      </c>
      <c r="DCZ11" s="314" t="s">
        <v>203</v>
      </c>
      <c r="DDA11" s="314" t="s">
        <v>203</v>
      </c>
      <c r="DDB11" s="314" t="s">
        <v>203</v>
      </c>
      <c r="DDC11" s="314" t="s">
        <v>203</v>
      </c>
      <c r="DDD11" s="314" t="s">
        <v>203</v>
      </c>
      <c r="DDE11" s="314" t="s">
        <v>203</v>
      </c>
      <c r="DDF11" s="314" t="s">
        <v>203</v>
      </c>
      <c r="DDG11" s="314" t="s">
        <v>203</v>
      </c>
      <c r="DDH11" s="314" t="s">
        <v>203</v>
      </c>
      <c r="DDI11" s="314" t="s">
        <v>203</v>
      </c>
      <c r="DDJ11" s="314" t="s">
        <v>203</v>
      </c>
      <c r="DDK11" s="314" t="s">
        <v>203</v>
      </c>
      <c r="DDL11" s="314" t="s">
        <v>203</v>
      </c>
      <c r="DDM11" s="314" t="s">
        <v>203</v>
      </c>
      <c r="DDN11" s="314" t="s">
        <v>203</v>
      </c>
      <c r="DDO11" s="314" t="s">
        <v>203</v>
      </c>
      <c r="DDP11" s="314" t="s">
        <v>203</v>
      </c>
      <c r="DDQ11" s="314" t="s">
        <v>203</v>
      </c>
      <c r="DDR11" s="314" t="s">
        <v>203</v>
      </c>
      <c r="DDS11" s="314" t="s">
        <v>203</v>
      </c>
      <c r="DDT11" s="314" t="s">
        <v>203</v>
      </c>
      <c r="DDU11" s="314" t="s">
        <v>203</v>
      </c>
      <c r="DDV11" s="314" t="s">
        <v>203</v>
      </c>
      <c r="DDW11" s="314" t="s">
        <v>203</v>
      </c>
      <c r="DDX11" s="314" t="s">
        <v>203</v>
      </c>
      <c r="DDY11" s="314" t="s">
        <v>203</v>
      </c>
      <c r="DDZ11" s="314" t="s">
        <v>203</v>
      </c>
      <c r="DEA11" s="314" t="s">
        <v>203</v>
      </c>
      <c r="DEB11" s="314" t="s">
        <v>203</v>
      </c>
      <c r="DEC11" s="314" t="s">
        <v>203</v>
      </c>
      <c r="DED11" s="314" t="s">
        <v>203</v>
      </c>
      <c r="DEE11" s="314" t="s">
        <v>203</v>
      </c>
      <c r="DEF11" s="314" t="s">
        <v>203</v>
      </c>
      <c r="DEG11" s="314" t="s">
        <v>203</v>
      </c>
      <c r="DEH11" s="314" t="s">
        <v>203</v>
      </c>
      <c r="DEI11" s="314" t="s">
        <v>203</v>
      </c>
      <c r="DEJ11" s="314" t="s">
        <v>203</v>
      </c>
      <c r="DEK11" s="314" t="s">
        <v>203</v>
      </c>
      <c r="DEL11" s="314" t="s">
        <v>203</v>
      </c>
      <c r="DEM11" s="314" t="s">
        <v>203</v>
      </c>
      <c r="DEN11" s="314" t="s">
        <v>203</v>
      </c>
      <c r="DEO11" s="314" t="s">
        <v>203</v>
      </c>
      <c r="DEP11" s="314" t="s">
        <v>203</v>
      </c>
      <c r="DEQ11" s="314" t="s">
        <v>203</v>
      </c>
      <c r="DER11" s="314" t="s">
        <v>203</v>
      </c>
      <c r="DES11" s="314" t="s">
        <v>203</v>
      </c>
      <c r="DET11" s="314" t="s">
        <v>203</v>
      </c>
      <c r="DEU11" s="314" t="s">
        <v>203</v>
      </c>
      <c r="DEV11" s="314" t="s">
        <v>203</v>
      </c>
      <c r="DEW11" s="314" t="s">
        <v>203</v>
      </c>
      <c r="DEX11" s="314" t="s">
        <v>203</v>
      </c>
      <c r="DEY11" s="314" t="s">
        <v>203</v>
      </c>
      <c r="DEZ11" s="314" t="s">
        <v>203</v>
      </c>
      <c r="DFA11" s="314" t="s">
        <v>203</v>
      </c>
      <c r="DFB11" s="314" t="s">
        <v>203</v>
      </c>
      <c r="DFC11" s="314" t="s">
        <v>203</v>
      </c>
      <c r="DFD11" s="314" t="s">
        <v>203</v>
      </c>
      <c r="DFE11" s="314" t="s">
        <v>203</v>
      </c>
      <c r="DFF11" s="314" t="s">
        <v>203</v>
      </c>
      <c r="DFG11" s="314" t="s">
        <v>203</v>
      </c>
      <c r="DFH11" s="314" t="s">
        <v>203</v>
      </c>
      <c r="DFI11" s="314" t="s">
        <v>203</v>
      </c>
      <c r="DFJ11" s="314" t="s">
        <v>203</v>
      </c>
      <c r="DFK11" s="314" t="s">
        <v>203</v>
      </c>
      <c r="DFL11" s="314" t="s">
        <v>203</v>
      </c>
      <c r="DFM11" s="314" t="s">
        <v>203</v>
      </c>
      <c r="DFN11" s="314" t="s">
        <v>203</v>
      </c>
      <c r="DFO11" s="314" t="s">
        <v>203</v>
      </c>
      <c r="DFP11" s="314" t="s">
        <v>203</v>
      </c>
      <c r="DFQ11" s="314" t="s">
        <v>203</v>
      </c>
      <c r="DFR11" s="314" t="s">
        <v>203</v>
      </c>
      <c r="DFS11" s="314" t="s">
        <v>203</v>
      </c>
      <c r="DFT11" s="314" t="s">
        <v>203</v>
      </c>
      <c r="DFU11" s="314" t="s">
        <v>203</v>
      </c>
      <c r="DFV11" s="314" t="s">
        <v>203</v>
      </c>
      <c r="DFW11" s="314" t="s">
        <v>203</v>
      </c>
      <c r="DFX11" s="314" t="s">
        <v>203</v>
      </c>
      <c r="DFY11" s="314" t="s">
        <v>203</v>
      </c>
      <c r="DFZ11" s="314" t="s">
        <v>203</v>
      </c>
      <c r="DGA11" s="314" t="s">
        <v>203</v>
      </c>
      <c r="DGB11" s="314" t="s">
        <v>203</v>
      </c>
      <c r="DGC11" s="314" t="s">
        <v>203</v>
      </c>
      <c r="DGD11" s="314" t="s">
        <v>203</v>
      </c>
      <c r="DGE11" s="314" t="s">
        <v>203</v>
      </c>
      <c r="DGF11" s="314" t="s">
        <v>203</v>
      </c>
      <c r="DGG11" s="314" t="s">
        <v>203</v>
      </c>
      <c r="DGH11" s="314" t="s">
        <v>203</v>
      </c>
      <c r="DGI11" s="314" t="s">
        <v>203</v>
      </c>
      <c r="DGJ11" s="314" t="s">
        <v>203</v>
      </c>
      <c r="DGK11" s="314" t="s">
        <v>203</v>
      </c>
      <c r="DGL11" s="314" t="s">
        <v>203</v>
      </c>
      <c r="DGM11" s="314" t="s">
        <v>203</v>
      </c>
      <c r="DGN11" s="314" t="s">
        <v>203</v>
      </c>
      <c r="DGO11" s="314" t="s">
        <v>203</v>
      </c>
      <c r="DGP11" s="314" t="s">
        <v>203</v>
      </c>
      <c r="DGQ11" s="314" t="s">
        <v>203</v>
      </c>
      <c r="DGR11" s="314" t="s">
        <v>203</v>
      </c>
      <c r="DGS11" s="314" t="s">
        <v>203</v>
      </c>
      <c r="DGT11" s="314" t="s">
        <v>203</v>
      </c>
      <c r="DGU11" s="314" t="s">
        <v>203</v>
      </c>
      <c r="DGV11" s="314" t="s">
        <v>203</v>
      </c>
      <c r="DGW11" s="314" t="s">
        <v>203</v>
      </c>
      <c r="DGX11" s="314" t="s">
        <v>203</v>
      </c>
      <c r="DGY11" s="314" t="s">
        <v>203</v>
      </c>
      <c r="DGZ11" s="314" t="s">
        <v>203</v>
      </c>
      <c r="DHA11" s="314" t="s">
        <v>203</v>
      </c>
      <c r="DHB11" s="314" t="s">
        <v>203</v>
      </c>
      <c r="DHC11" s="314" t="s">
        <v>203</v>
      </c>
      <c r="DHD11" s="314" t="s">
        <v>203</v>
      </c>
      <c r="DHE11" s="314" t="s">
        <v>203</v>
      </c>
      <c r="DHF11" s="314" t="s">
        <v>203</v>
      </c>
      <c r="DHG11" s="314" t="s">
        <v>203</v>
      </c>
      <c r="DHH11" s="314" t="s">
        <v>203</v>
      </c>
      <c r="DHI11" s="314" t="s">
        <v>203</v>
      </c>
      <c r="DHJ11" s="314" t="s">
        <v>203</v>
      </c>
      <c r="DHK11" s="314" t="s">
        <v>203</v>
      </c>
      <c r="DHL11" s="314" t="s">
        <v>203</v>
      </c>
      <c r="DHM11" s="314" t="s">
        <v>203</v>
      </c>
      <c r="DHN11" s="314" t="s">
        <v>203</v>
      </c>
      <c r="DHO11" s="314" t="s">
        <v>203</v>
      </c>
      <c r="DHP11" s="314" t="s">
        <v>203</v>
      </c>
      <c r="DHQ11" s="314" t="s">
        <v>203</v>
      </c>
      <c r="DHR11" s="314" t="s">
        <v>203</v>
      </c>
      <c r="DHS11" s="314" t="s">
        <v>203</v>
      </c>
      <c r="DHT11" s="314" t="s">
        <v>203</v>
      </c>
      <c r="DHU11" s="314" t="s">
        <v>203</v>
      </c>
      <c r="DHV11" s="314" t="s">
        <v>203</v>
      </c>
      <c r="DHW11" s="314" t="s">
        <v>203</v>
      </c>
      <c r="DHX11" s="314" t="s">
        <v>203</v>
      </c>
      <c r="DHY11" s="314" t="s">
        <v>203</v>
      </c>
      <c r="DHZ11" s="314" t="s">
        <v>203</v>
      </c>
      <c r="DIA11" s="314" t="s">
        <v>203</v>
      </c>
      <c r="DIB11" s="314" t="s">
        <v>203</v>
      </c>
      <c r="DIC11" s="314" t="s">
        <v>203</v>
      </c>
      <c r="DID11" s="314" t="s">
        <v>203</v>
      </c>
      <c r="DIE11" s="314" t="s">
        <v>203</v>
      </c>
      <c r="DIF11" s="314" t="s">
        <v>203</v>
      </c>
      <c r="DIG11" s="314" t="s">
        <v>203</v>
      </c>
      <c r="DIH11" s="314" t="s">
        <v>203</v>
      </c>
      <c r="DII11" s="314" t="s">
        <v>203</v>
      </c>
      <c r="DIJ11" s="314" t="s">
        <v>203</v>
      </c>
      <c r="DIK11" s="314" t="s">
        <v>203</v>
      </c>
      <c r="DIL11" s="314" t="s">
        <v>203</v>
      </c>
      <c r="DIM11" s="314" t="s">
        <v>203</v>
      </c>
      <c r="DIN11" s="314" t="s">
        <v>203</v>
      </c>
      <c r="DIO11" s="314" t="s">
        <v>203</v>
      </c>
      <c r="DIP11" s="314" t="s">
        <v>203</v>
      </c>
      <c r="DIQ11" s="314" t="s">
        <v>203</v>
      </c>
      <c r="DIR11" s="314" t="s">
        <v>203</v>
      </c>
      <c r="DIS11" s="314" t="s">
        <v>203</v>
      </c>
      <c r="DIT11" s="314" t="s">
        <v>203</v>
      </c>
      <c r="DIU11" s="314" t="s">
        <v>203</v>
      </c>
      <c r="DIV11" s="314" t="s">
        <v>203</v>
      </c>
      <c r="DIW11" s="314" t="s">
        <v>203</v>
      </c>
      <c r="DIX11" s="314" t="s">
        <v>203</v>
      </c>
      <c r="DIY11" s="314" t="s">
        <v>203</v>
      </c>
      <c r="DIZ11" s="314" t="s">
        <v>203</v>
      </c>
      <c r="DJA11" s="314" t="s">
        <v>203</v>
      </c>
      <c r="DJB11" s="314" t="s">
        <v>203</v>
      </c>
      <c r="DJC11" s="314" t="s">
        <v>203</v>
      </c>
      <c r="DJD11" s="314" t="s">
        <v>203</v>
      </c>
      <c r="DJE11" s="314" t="s">
        <v>203</v>
      </c>
      <c r="DJF11" s="314" t="s">
        <v>203</v>
      </c>
      <c r="DJG11" s="314" t="s">
        <v>203</v>
      </c>
      <c r="DJH11" s="314" t="s">
        <v>203</v>
      </c>
      <c r="DJI11" s="314" t="s">
        <v>203</v>
      </c>
      <c r="DJJ11" s="314" t="s">
        <v>203</v>
      </c>
      <c r="DJK11" s="314" t="s">
        <v>203</v>
      </c>
      <c r="DJL11" s="314" t="s">
        <v>203</v>
      </c>
      <c r="DJM11" s="314" t="s">
        <v>203</v>
      </c>
      <c r="DJN11" s="314" t="s">
        <v>203</v>
      </c>
      <c r="DJO11" s="314" t="s">
        <v>203</v>
      </c>
      <c r="DJP11" s="314" t="s">
        <v>203</v>
      </c>
      <c r="DJQ11" s="314" t="s">
        <v>203</v>
      </c>
      <c r="DJR11" s="314" t="s">
        <v>203</v>
      </c>
      <c r="DJS11" s="314" t="s">
        <v>203</v>
      </c>
      <c r="DJT11" s="314" t="s">
        <v>203</v>
      </c>
      <c r="DJU11" s="314" t="s">
        <v>203</v>
      </c>
      <c r="DJV11" s="314" t="s">
        <v>203</v>
      </c>
      <c r="DJW11" s="314" t="s">
        <v>203</v>
      </c>
      <c r="DJX11" s="314" t="s">
        <v>203</v>
      </c>
      <c r="DJY11" s="314" t="s">
        <v>203</v>
      </c>
      <c r="DJZ11" s="314" t="s">
        <v>203</v>
      </c>
      <c r="DKA11" s="314" t="s">
        <v>203</v>
      </c>
      <c r="DKB11" s="314" t="s">
        <v>203</v>
      </c>
      <c r="DKC11" s="314" t="s">
        <v>203</v>
      </c>
      <c r="DKD11" s="314" t="s">
        <v>203</v>
      </c>
      <c r="DKE11" s="314" t="s">
        <v>203</v>
      </c>
      <c r="DKF11" s="314" t="s">
        <v>203</v>
      </c>
      <c r="DKG11" s="314" t="s">
        <v>203</v>
      </c>
      <c r="DKH11" s="314" t="s">
        <v>203</v>
      </c>
      <c r="DKI11" s="314" t="s">
        <v>203</v>
      </c>
      <c r="DKJ11" s="314" t="s">
        <v>203</v>
      </c>
      <c r="DKK11" s="314" t="s">
        <v>203</v>
      </c>
      <c r="DKL11" s="314" t="s">
        <v>203</v>
      </c>
      <c r="DKM11" s="314" t="s">
        <v>203</v>
      </c>
      <c r="DKN11" s="314" t="s">
        <v>203</v>
      </c>
      <c r="DKO11" s="314" t="s">
        <v>203</v>
      </c>
      <c r="DKP11" s="314" t="s">
        <v>203</v>
      </c>
      <c r="DKQ11" s="314" t="s">
        <v>203</v>
      </c>
      <c r="DKR11" s="314" t="s">
        <v>203</v>
      </c>
      <c r="DKS11" s="314" t="s">
        <v>203</v>
      </c>
      <c r="DKT11" s="314" t="s">
        <v>203</v>
      </c>
      <c r="DKU11" s="314" t="s">
        <v>203</v>
      </c>
      <c r="DKV11" s="314" t="s">
        <v>203</v>
      </c>
      <c r="DKW11" s="314" t="s">
        <v>203</v>
      </c>
      <c r="DKX11" s="314" t="s">
        <v>203</v>
      </c>
      <c r="DKY11" s="314" t="s">
        <v>203</v>
      </c>
      <c r="DKZ11" s="314" t="s">
        <v>203</v>
      </c>
      <c r="DLA11" s="314" t="s">
        <v>203</v>
      </c>
      <c r="DLB11" s="314" t="s">
        <v>203</v>
      </c>
      <c r="DLC11" s="314" t="s">
        <v>203</v>
      </c>
      <c r="DLD11" s="314" t="s">
        <v>203</v>
      </c>
      <c r="DLE11" s="314" t="s">
        <v>203</v>
      </c>
      <c r="DLF11" s="314" t="s">
        <v>203</v>
      </c>
      <c r="DLG11" s="314" t="s">
        <v>203</v>
      </c>
      <c r="DLH11" s="314" t="s">
        <v>203</v>
      </c>
      <c r="DLI11" s="314" t="s">
        <v>203</v>
      </c>
      <c r="DLJ11" s="314" t="s">
        <v>203</v>
      </c>
      <c r="DLK11" s="314" t="s">
        <v>203</v>
      </c>
      <c r="DLL11" s="314" t="s">
        <v>203</v>
      </c>
      <c r="DLM11" s="314" t="s">
        <v>203</v>
      </c>
      <c r="DLN11" s="314" t="s">
        <v>203</v>
      </c>
      <c r="DLO11" s="314" t="s">
        <v>203</v>
      </c>
      <c r="DLP11" s="314" t="s">
        <v>203</v>
      </c>
      <c r="DLQ11" s="314" t="s">
        <v>203</v>
      </c>
      <c r="DLR11" s="314" t="s">
        <v>203</v>
      </c>
      <c r="DLS11" s="314" t="s">
        <v>203</v>
      </c>
      <c r="DLT11" s="314" t="s">
        <v>203</v>
      </c>
      <c r="DLU11" s="314" t="s">
        <v>203</v>
      </c>
      <c r="DLV11" s="314" t="s">
        <v>203</v>
      </c>
      <c r="DLW11" s="314" t="s">
        <v>203</v>
      </c>
      <c r="DLX11" s="314" t="s">
        <v>203</v>
      </c>
      <c r="DLY11" s="314" t="s">
        <v>203</v>
      </c>
      <c r="DLZ11" s="314" t="s">
        <v>203</v>
      </c>
      <c r="DMA11" s="314" t="s">
        <v>203</v>
      </c>
      <c r="DMB11" s="314" t="s">
        <v>203</v>
      </c>
      <c r="DMC11" s="314" t="s">
        <v>203</v>
      </c>
      <c r="DMD11" s="314" t="s">
        <v>203</v>
      </c>
      <c r="DME11" s="314" t="s">
        <v>203</v>
      </c>
      <c r="DMF11" s="314" t="s">
        <v>203</v>
      </c>
      <c r="DMG11" s="314" t="s">
        <v>203</v>
      </c>
      <c r="DMH11" s="314" t="s">
        <v>203</v>
      </c>
      <c r="DMI11" s="314" t="s">
        <v>203</v>
      </c>
      <c r="DMJ11" s="314" t="s">
        <v>203</v>
      </c>
      <c r="DMK11" s="314" t="s">
        <v>203</v>
      </c>
      <c r="DML11" s="314" t="s">
        <v>203</v>
      </c>
      <c r="DMM11" s="314" t="s">
        <v>203</v>
      </c>
      <c r="DMN11" s="314" t="s">
        <v>203</v>
      </c>
      <c r="DMO11" s="314" t="s">
        <v>203</v>
      </c>
      <c r="DMP11" s="314" t="s">
        <v>203</v>
      </c>
      <c r="DMQ11" s="314" t="s">
        <v>203</v>
      </c>
      <c r="DMR11" s="314" t="s">
        <v>203</v>
      </c>
      <c r="DMS11" s="314" t="s">
        <v>203</v>
      </c>
      <c r="DMT11" s="314" t="s">
        <v>203</v>
      </c>
      <c r="DMU11" s="314" t="s">
        <v>203</v>
      </c>
      <c r="DMV11" s="314" t="s">
        <v>203</v>
      </c>
      <c r="DMW11" s="314" t="s">
        <v>203</v>
      </c>
      <c r="DMX11" s="314" t="s">
        <v>203</v>
      </c>
      <c r="DMY11" s="314" t="s">
        <v>203</v>
      </c>
      <c r="DMZ11" s="314" t="s">
        <v>203</v>
      </c>
      <c r="DNA11" s="314" t="s">
        <v>203</v>
      </c>
      <c r="DNB11" s="314" t="s">
        <v>203</v>
      </c>
      <c r="DNC11" s="314" t="s">
        <v>203</v>
      </c>
      <c r="DND11" s="314" t="s">
        <v>203</v>
      </c>
      <c r="DNE11" s="314" t="s">
        <v>203</v>
      </c>
      <c r="DNF11" s="314" t="s">
        <v>203</v>
      </c>
      <c r="DNG11" s="314" t="s">
        <v>203</v>
      </c>
      <c r="DNH11" s="314" t="s">
        <v>203</v>
      </c>
      <c r="DNI11" s="314" t="s">
        <v>203</v>
      </c>
      <c r="DNJ11" s="314" t="s">
        <v>203</v>
      </c>
      <c r="DNK11" s="314" t="s">
        <v>203</v>
      </c>
      <c r="DNL11" s="314" t="s">
        <v>203</v>
      </c>
      <c r="DNM11" s="314" t="s">
        <v>203</v>
      </c>
      <c r="DNN11" s="314" t="s">
        <v>203</v>
      </c>
      <c r="DNO11" s="314" t="s">
        <v>203</v>
      </c>
      <c r="DNP11" s="314" t="s">
        <v>203</v>
      </c>
      <c r="DNQ11" s="314" t="s">
        <v>203</v>
      </c>
      <c r="DNR11" s="314" t="s">
        <v>203</v>
      </c>
      <c r="DNS11" s="314" t="s">
        <v>203</v>
      </c>
      <c r="DNT11" s="314" t="s">
        <v>203</v>
      </c>
      <c r="DNU11" s="314" t="s">
        <v>203</v>
      </c>
      <c r="DNV11" s="314" t="s">
        <v>203</v>
      </c>
      <c r="DNW11" s="314" t="s">
        <v>203</v>
      </c>
      <c r="DNX11" s="314" t="s">
        <v>203</v>
      </c>
      <c r="DNY11" s="314" t="s">
        <v>203</v>
      </c>
      <c r="DNZ11" s="314" t="s">
        <v>203</v>
      </c>
      <c r="DOA11" s="314" t="s">
        <v>203</v>
      </c>
      <c r="DOB11" s="314" t="s">
        <v>203</v>
      </c>
      <c r="DOC11" s="314" t="s">
        <v>203</v>
      </c>
      <c r="DOD11" s="314" t="s">
        <v>203</v>
      </c>
      <c r="DOE11" s="314" t="s">
        <v>203</v>
      </c>
      <c r="DOF11" s="314" t="s">
        <v>203</v>
      </c>
      <c r="DOG11" s="314" t="s">
        <v>203</v>
      </c>
      <c r="DOH11" s="314" t="s">
        <v>203</v>
      </c>
      <c r="DOI11" s="314" t="s">
        <v>203</v>
      </c>
      <c r="DOJ11" s="314" t="s">
        <v>203</v>
      </c>
      <c r="DOK11" s="314" t="s">
        <v>203</v>
      </c>
      <c r="DOL11" s="314" t="s">
        <v>203</v>
      </c>
      <c r="DOM11" s="314" t="s">
        <v>203</v>
      </c>
      <c r="DON11" s="314" t="s">
        <v>203</v>
      </c>
      <c r="DOO11" s="314" t="s">
        <v>203</v>
      </c>
      <c r="DOP11" s="314" t="s">
        <v>203</v>
      </c>
      <c r="DOQ11" s="314" t="s">
        <v>203</v>
      </c>
      <c r="DOR11" s="314" t="s">
        <v>203</v>
      </c>
      <c r="DOS11" s="314" t="s">
        <v>203</v>
      </c>
      <c r="DOT11" s="314" t="s">
        <v>203</v>
      </c>
      <c r="DOU11" s="314" t="s">
        <v>203</v>
      </c>
      <c r="DOV11" s="314" t="s">
        <v>203</v>
      </c>
      <c r="DOW11" s="314" t="s">
        <v>203</v>
      </c>
      <c r="DOX11" s="314" t="s">
        <v>203</v>
      </c>
      <c r="DOY11" s="314" t="s">
        <v>203</v>
      </c>
      <c r="DOZ11" s="314" t="s">
        <v>203</v>
      </c>
      <c r="DPA11" s="314" t="s">
        <v>203</v>
      </c>
      <c r="DPB11" s="314" t="s">
        <v>203</v>
      </c>
      <c r="DPC11" s="314" t="s">
        <v>203</v>
      </c>
      <c r="DPD11" s="314" t="s">
        <v>203</v>
      </c>
      <c r="DPE11" s="314" t="s">
        <v>203</v>
      </c>
      <c r="DPF11" s="314" t="s">
        <v>203</v>
      </c>
      <c r="DPG11" s="314" t="s">
        <v>203</v>
      </c>
      <c r="DPH11" s="314" t="s">
        <v>203</v>
      </c>
      <c r="DPI11" s="314" t="s">
        <v>203</v>
      </c>
      <c r="DPJ11" s="314" t="s">
        <v>203</v>
      </c>
      <c r="DPK11" s="314" t="s">
        <v>203</v>
      </c>
      <c r="DPL11" s="314" t="s">
        <v>203</v>
      </c>
      <c r="DPM11" s="314" t="s">
        <v>203</v>
      </c>
      <c r="DPN11" s="314" t="s">
        <v>203</v>
      </c>
      <c r="DPO11" s="314" t="s">
        <v>203</v>
      </c>
      <c r="DPP11" s="314" t="s">
        <v>203</v>
      </c>
      <c r="DPQ11" s="314" t="s">
        <v>203</v>
      </c>
      <c r="DPR11" s="314" t="s">
        <v>203</v>
      </c>
      <c r="DPS11" s="314" t="s">
        <v>203</v>
      </c>
      <c r="DPT11" s="314" t="s">
        <v>203</v>
      </c>
      <c r="DPU11" s="314" t="s">
        <v>203</v>
      </c>
      <c r="DPV11" s="314" t="s">
        <v>203</v>
      </c>
      <c r="DPW11" s="314" t="s">
        <v>203</v>
      </c>
      <c r="DPX11" s="314" t="s">
        <v>203</v>
      </c>
      <c r="DPY11" s="314" t="s">
        <v>203</v>
      </c>
      <c r="DPZ11" s="314" t="s">
        <v>203</v>
      </c>
      <c r="DQA11" s="314" t="s">
        <v>203</v>
      </c>
      <c r="DQB11" s="314" t="s">
        <v>203</v>
      </c>
      <c r="DQC11" s="314" t="s">
        <v>203</v>
      </c>
      <c r="DQD11" s="314" t="s">
        <v>203</v>
      </c>
      <c r="DQE11" s="314" t="s">
        <v>203</v>
      </c>
      <c r="DQF11" s="314" t="s">
        <v>203</v>
      </c>
      <c r="DQG11" s="314" t="s">
        <v>203</v>
      </c>
      <c r="DQH11" s="314" t="s">
        <v>203</v>
      </c>
      <c r="DQI11" s="314" t="s">
        <v>203</v>
      </c>
      <c r="DQJ11" s="314" t="s">
        <v>203</v>
      </c>
      <c r="DQK11" s="314" t="s">
        <v>203</v>
      </c>
      <c r="DQL11" s="314" t="s">
        <v>203</v>
      </c>
      <c r="DQM11" s="314" t="s">
        <v>203</v>
      </c>
      <c r="DQN11" s="314" t="s">
        <v>203</v>
      </c>
      <c r="DQO11" s="314" t="s">
        <v>203</v>
      </c>
      <c r="DQP11" s="314" t="s">
        <v>203</v>
      </c>
      <c r="DQQ11" s="314" t="s">
        <v>203</v>
      </c>
      <c r="DQR11" s="314" t="s">
        <v>203</v>
      </c>
      <c r="DQS11" s="314" t="s">
        <v>203</v>
      </c>
      <c r="DQT11" s="314" t="s">
        <v>203</v>
      </c>
      <c r="DQU11" s="314" t="s">
        <v>203</v>
      </c>
      <c r="DQV11" s="314" t="s">
        <v>203</v>
      </c>
      <c r="DQW11" s="314" t="s">
        <v>203</v>
      </c>
      <c r="DQX11" s="314" t="s">
        <v>203</v>
      </c>
      <c r="DQY11" s="314" t="s">
        <v>203</v>
      </c>
      <c r="DQZ11" s="314" t="s">
        <v>203</v>
      </c>
      <c r="DRA11" s="314" t="s">
        <v>203</v>
      </c>
      <c r="DRB11" s="314" t="s">
        <v>203</v>
      </c>
      <c r="DRC11" s="314" t="s">
        <v>203</v>
      </c>
      <c r="DRD11" s="314" t="s">
        <v>203</v>
      </c>
      <c r="DRE11" s="314" t="s">
        <v>203</v>
      </c>
      <c r="DRF11" s="314" t="s">
        <v>203</v>
      </c>
      <c r="DRG11" s="314" t="s">
        <v>203</v>
      </c>
      <c r="DRH11" s="314" t="s">
        <v>203</v>
      </c>
      <c r="DRI11" s="314" t="s">
        <v>203</v>
      </c>
      <c r="DRJ11" s="314" t="s">
        <v>203</v>
      </c>
      <c r="DRK11" s="314" t="s">
        <v>203</v>
      </c>
      <c r="DRL11" s="314" t="s">
        <v>203</v>
      </c>
      <c r="DRM11" s="314" t="s">
        <v>203</v>
      </c>
      <c r="DRN11" s="314" t="s">
        <v>203</v>
      </c>
      <c r="DRO11" s="314" t="s">
        <v>203</v>
      </c>
      <c r="DRP11" s="314" t="s">
        <v>203</v>
      </c>
      <c r="DRQ11" s="314" t="s">
        <v>203</v>
      </c>
      <c r="DRR11" s="314" t="s">
        <v>203</v>
      </c>
      <c r="DRS11" s="314" t="s">
        <v>203</v>
      </c>
      <c r="DRT11" s="314" t="s">
        <v>203</v>
      </c>
      <c r="DRU11" s="314" t="s">
        <v>203</v>
      </c>
      <c r="DRV11" s="314" t="s">
        <v>203</v>
      </c>
      <c r="DRW11" s="314" t="s">
        <v>203</v>
      </c>
      <c r="DRX11" s="314" t="s">
        <v>203</v>
      </c>
      <c r="DRY11" s="314" t="s">
        <v>203</v>
      </c>
      <c r="DRZ11" s="314" t="s">
        <v>203</v>
      </c>
      <c r="DSA11" s="314" t="s">
        <v>203</v>
      </c>
      <c r="DSB11" s="314" t="s">
        <v>203</v>
      </c>
      <c r="DSC11" s="314" t="s">
        <v>203</v>
      </c>
      <c r="DSD11" s="314" t="s">
        <v>203</v>
      </c>
      <c r="DSE11" s="314" t="s">
        <v>203</v>
      </c>
      <c r="DSF11" s="314" t="s">
        <v>203</v>
      </c>
      <c r="DSG11" s="314" t="s">
        <v>203</v>
      </c>
      <c r="DSH11" s="314" t="s">
        <v>203</v>
      </c>
      <c r="DSI11" s="314" t="s">
        <v>203</v>
      </c>
      <c r="DSJ11" s="314" t="s">
        <v>203</v>
      </c>
      <c r="DSK11" s="314" t="s">
        <v>203</v>
      </c>
      <c r="DSL11" s="314" t="s">
        <v>203</v>
      </c>
      <c r="DSM11" s="314" t="s">
        <v>203</v>
      </c>
      <c r="DSN11" s="314" t="s">
        <v>203</v>
      </c>
      <c r="DSO11" s="314" t="s">
        <v>203</v>
      </c>
      <c r="DSP11" s="314" t="s">
        <v>203</v>
      </c>
      <c r="DSQ11" s="314" t="s">
        <v>203</v>
      </c>
      <c r="DSR11" s="314" t="s">
        <v>203</v>
      </c>
      <c r="DSS11" s="314" t="s">
        <v>203</v>
      </c>
      <c r="DST11" s="314" t="s">
        <v>203</v>
      </c>
      <c r="DSU11" s="314" t="s">
        <v>203</v>
      </c>
      <c r="DSV11" s="314" t="s">
        <v>203</v>
      </c>
      <c r="DSW11" s="314" t="s">
        <v>203</v>
      </c>
      <c r="DSX11" s="314" t="s">
        <v>203</v>
      </c>
      <c r="DSY11" s="314" t="s">
        <v>203</v>
      </c>
      <c r="DSZ11" s="314" t="s">
        <v>203</v>
      </c>
      <c r="DTA11" s="314" t="s">
        <v>203</v>
      </c>
      <c r="DTB11" s="314" t="s">
        <v>203</v>
      </c>
      <c r="DTC11" s="314" t="s">
        <v>203</v>
      </c>
      <c r="DTD11" s="314" t="s">
        <v>203</v>
      </c>
      <c r="DTE11" s="314" t="s">
        <v>203</v>
      </c>
      <c r="DTF11" s="314" t="s">
        <v>203</v>
      </c>
      <c r="DTG11" s="314" t="s">
        <v>203</v>
      </c>
      <c r="DTH11" s="314" t="s">
        <v>203</v>
      </c>
      <c r="DTI11" s="314" t="s">
        <v>203</v>
      </c>
      <c r="DTJ11" s="314" t="s">
        <v>203</v>
      </c>
      <c r="DTK11" s="314" t="s">
        <v>203</v>
      </c>
      <c r="DTL11" s="314" t="s">
        <v>203</v>
      </c>
      <c r="DTM11" s="314" t="s">
        <v>203</v>
      </c>
      <c r="DTN11" s="314" t="s">
        <v>203</v>
      </c>
      <c r="DTO11" s="314" t="s">
        <v>203</v>
      </c>
      <c r="DTP11" s="314" t="s">
        <v>203</v>
      </c>
      <c r="DTQ11" s="314" t="s">
        <v>203</v>
      </c>
      <c r="DTR11" s="314" t="s">
        <v>203</v>
      </c>
      <c r="DTS11" s="314" t="s">
        <v>203</v>
      </c>
      <c r="DTT11" s="314" t="s">
        <v>203</v>
      </c>
      <c r="DTU11" s="314" t="s">
        <v>203</v>
      </c>
      <c r="DTV11" s="314" t="s">
        <v>203</v>
      </c>
      <c r="DTW11" s="314" t="s">
        <v>203</v>
      </c>
      <c r="DTX11" s="314" t="s">
        <v>203</v>
      </c>
      <c r="DTY11" s="314" t="s">
        <v>203</v>
      </c>
      <c r="DTZ11" s="314" t="s">
        <v>203</v>
      </c>
      <c r="DUA11" s="314" t="s">
        <v>203</v>
      </c>
      <c r="DUB11" s="314" t="s">
        <v>203</v>
      </c>
      <c r="DUC11" s="314" t="s">
        <v>203</v>
      </c>
      <c r="DUD11" s="314" t="s">
        <v>203</v>
      </c>
      <c r="DUE11" s="314" t="s">
        <v>203</v>
      </c>
      <c r="DUF11" s="314" t="s">
        <v>203</v>
      </c>
      <c r="DUG11" s="314" t="s">
        <v>203</v>
      </c>
      <c r="DUH11" s="314" t="s">
        <v>203</v>
      </c>
      <c r="DUI11" s="314" t="s">
        <v>203</v>
      </c>
      <c r="DUJ11" s="314" t="s">
        <v>203</v>
      </c>
      <c r="DUK11" s="314" t="s">
        <v>203</v>
      </c>
      <c r="DUL11" s="314" t="s">
        <v>203</v>
      </c>
      <c r="DUM11" s="314" t="s">
        <v>203</v>
      </c>
      <c r="DUN11" s="314" t="s">
        <v>203</v>
      </c>
      <c r="DUO11" s="314" t="s">
        <v>203</v>
      </c>
      <c r="DUP11" s="314" t="s">
        <v>203</v>
      </c>
      <c r="DUQ11" s="314" t="s">
        <v>203</v>
      </c>
      <c r="DUR11" s="314" t="s">
        <v>203</v>
      </c>
      <c r="DUS11" s="314" t="s">
        <v>203</v>
      </c>
      <c r="DUT11" s="314" t="s">
        <v>203</v>
      </c>
      <c r="DUU11" s="314" t="s">
        <v>203</v>
      </c>
      <c r="DUV11" s="314" t="s">
        <v>203</v>
      </c>
      <c r="DUW11" s="314" t="s">
        <v>203</v>
      </c>
      <c r="DUX11" s="314" t="s">
        <v>203</v>
      </c>
      <c r="DUY11" s="314" t="s">
        <v>203</v>
      </c>
      <c r="DUZ11" s="314" t="s">
        <v>203</v>
      </c>
      <c r="DVA11" s="314" t="s">
        <v>203</v>
      </c>
      <c r="DVB11" s="314" t="s">
        <v>203</v>
      </c>
      <c r="DVC11" s="314" t="s">
        <v>203</v>
      </c>
      <c r="DVD11" s="314" t="s">
        <v>203</v>
      </c>
      <c r="DVE11" s="314" t="s">
        <v>203</v>
      </c>
      <c r="DVF11" s="314" t="s">
        <v>203</v>
      </c>
      <c r="DVG11" s="314" t="s">
        <v>203</v>
      </c>
      <c r="DVH11" s="314" t="s">
        <v>203</v>
      </c>
      <c r="DVI11" s="314" t="s">
        <v>203</v>
      </c>
      <c r="DVJ11" s="314" t="s">
        <v>203</v>
      </c>
      <c r="DVK11" s="314" t="s">
        <v>203</v>
      </c>
      <c r="DVL11" s="314" t="s">
        <v>203</v>
      </c>
      <c r="DVM11" s="314" t="s">
        <v>203</v>
      </c>
      <c r="DVN11" s="314" t="s">
        <v>203</v>
      </c>
      <c r="DVO11" s="314" t="s">
        <v>203</v>
      </c>
      <c r="DVP11" s="314" t="s">
        <v>203</v>
      </c>
      <c r="DVQ11" s="314" t="s">
        <v>203</v>
      </c>
      <c r="DVR11" s="314" t="s">
        <v>203</v>
      </c>
      <c r="DVS11" s="314" t="s">
        <v>203</v>
      </c>
      <c r="DVT11" s="314" t="s">
        <v>203</v>
      </c>
      <c r="DVU11" s="314" t="s">
        <v>203</v>
      </c>
      <c r="DVV11" s="314" t="s">
        <v>203</v>
      </c>
      <c r="DVW11" s="314" t="s">
        <v>203</v>
      </c>
      <c r="DVX11" s="314" t="s">
        <v>203</v>
      </c>
      <c r="DVY11" s="314" t="s">
        <v>203</v>
      </c>
      <c r="DVZ11" s="314" t="s">
        <v>203</v>
      </c>
      <c r="DWA11" s="314" t="s">
        <v>203</v>
      </c>
      <c r="DWB11" s="314" t="s">
        <v>203</v>
      </c>
      <c r="DWC11" s="314" t="s">
        <v>203</v>
      </c>
      <c r="DWD11" s="314" t="s">
        <v>203</v>
      </c>
      <c r="DWE11" s="314" t="s">
        <v>203</v>
      </c>
      <c r="DWF11" s="314" t="s">
        <v>203</v>
      </c>
      <c r="DWG11" s="314" t="s">
        <v>203</v>
      </c>
      <c r="DWH11" s="314" t="s">
        <v>203</v>
      </c>
      <c r="DWI11" s="314" t="s">
        <v>203</v>
      </c>
      <c r="DWJ11" s="314" t="s">
        <v>203</v>
      </c>
      <c r="DWK11" s="314" t="s">
        <v>203</v>
      </c>
      <c r="DWL11" s="314" t="s">
        <v>203</v>
      </c>
      <c r="DWM11" s="314" t="s">
        <v>203</v>
      </c>
      <c r="DWN11" s="314" t="s">
        <v>203</v>
      </c>
      <c r="DWO11" s="314" t="s">
        <v>203</v>
      </c>
      <c r="DWP11" s="314" t="s">
        <v>203</v>
      </c>
      <c r="DWQ11" s="314" t="s">
        <v>203</v>
      </c>
      <c r="DWR11" s="314" t="s">
        <v>203</v>
      </c>
      <c r="DWS11" s="314" t="s">
        <v>203</v>
      </c>
      <c r="DWT11" s="314" t="s">
        <v>203</v>
      </c>
      <c r="DWU11" s="314" t="s">
        <v>203</v>
      </c>
      <c r="DWV11" s="314" t="s">
        <v>203</v>
      </c>
      <c r="DWW11" s="314" t="s">
        <v>203</v>
      </c>
      <c r="DWX11" s="314" t="s">
        <v>203</v>
      </c>
      <c r="DWY11" s="314" t="s">
        <v>203</v>
      </c>
      <c r="DWZ11" s="314" t="s">
        <v>203</v>
      </c>
      <c r="DXA11" s="314" t="s">
        <v>203</v>
      </c>
      <c r="DXB11" s="314" t="s">
        <v>203</v>
      </c>
      <c r="DXC11" s="314" t="s">
        <v>203</v>
      </c>
      <c r="DXD11" s="314" t="s">
        <v>203</v>
      </c>
      <c r="DXE11" s="314" t="s">
        <v>203</v>
      </c>
      <c r="DXF11" s="314" t="s">
        <v>203</v>
      </c>
      <c r="DXG11" s="314" t="s">
        <v>203</v>
      </c>
      <c r="DXH11" s="314" t="s">
        <v>203</v>
      </c>
      <c r="DXI11" s="314" t="s">
        <v>203</v>
      </c>
      <c r="DXJ11" s="314" t="s">
        <v>203</v>
      </c>
      <c r="DXK11" s="314" t="s">
        <v>203</v>
      </c>
      <c r="DXL11" s="314" t="s">
        <v>203</v>
      </c>
      <c r="DXM11" s="314" t="s">
        <v>203</v>
      </c>
      <c r="DXN11" s="314" t="s">
        <v>203</v>
      </c>
      <c r="DXO11" s="314" t="s">
        <v>203</v>
      </c>
      <c r="DXP11" s="314" t="s">
        <v>203</v>
      </c>
      <c r="DXQ11" s="314" t="s">
        <v>203</v>
      </c>
      <c r="DXR11" s="314" t="s">
        <v>203</v>
      </c>
      <c r="DXS11" s="314" t="s">
        <v>203</v>
      </c>
      <c r="DXT11" s="314" t="s">
        <v>203</v>
      </c>
      <c r="DXU11" s="314" t="s">
        <v>203</v>
      </c>
      <c r="DXV11" s="314" t="s">
        <v>203</v>
      </c>
      <c r="DXW11" s="314" t="s">
        <v>203</v>
      </c>
      <c r="DXX11" s="314" t="s">
        <v>203</v>
      </c>
      <c r="DXY11" s="314" t="s">
        <v>203</v>
      </c>
      <c r="DXZ11" s="314" t="s">
        <v>203</v>
      </c>
      <c r="DYA11" s="314" t="s">
        <v>203</v>
      </c>
      <c r="DYB11" s="314" t="s">
        <v>203</v>
      </c>
      <c r="DYC11" s="314" t="s">
        <v>203</v>
      </c>
      <c r="DYD11" s="314" t="s">
        <v>203</v>
      </c>
      <c r="DYE11" s="314" t="s">
        <v>203</v>
      </c>
      <c r="DYF11" s="314" t="s">
        <v>203</v>
      </c>
      <c r="DYG11" s="314" t="s">
        <v>203</v>
      </c>
      <c r="DYH11" s="314" t="s">
        <v>203</v>
      </c>
      <c r="DYI11" s="314" t="s">
        <v>203</v>
      </c>
      <c r="DYJ11" s="314" t="s">
        <v>203</v>
      </c>
      <c r="DYK11" s="314" t="s">
        <v>203</v>
      </c>
      <c r="DYL11" s="314" t="s">
        <v>203</v>
      </c>
      <c r="DYM11" s="314" t="s">
        <v>203</v>
      </c>
      <c r="DYN11" s="314" t="s">
        <v>203</v>
      </c>
      <c r="DYO11" s="314" t="s">
        <v>203</v>
      </c>
      <c r="DYP11" s="314" t="s">
        <v>203</v>
      </c>
      <c r="DYQ11" s="314" t="s">
        <v>203</v>
      </c>
      <c r="DYR11" s="314" t="s">
        <v>203</v>
      </c>
      <c r="DYS11" s="314" t="s">
        <v>203</v>
      </c>
      <c r="DYT11" s="314" t="s">
        <v>203</v>
      </c>
      <c r="DYU11" s="314" t="s">
        <v>203</v>
      </c>
      <c r="DYV11" s="314" t="s">
        <v>203</v>
      </c>
      <c r="DYW11" s="314" t="s">
        <v>203</v>
      </c>
      <c r="DYX11" s="314" t="s">
        <v>203</v>
      </c>
      <c r="DYY11" s="314" t="s">
        <v>203</v>
      </c>
      <c r="DYZ11" s="314" t="s">
        <v>203</v>
      </c>
      <c r="DZA11" s="314" t="s">
        <v>203</v>
      </c>
      <c r="DZB11" s="314" t="s">
        <v>203</v>
      </c>
      <c r="DZC11" s="314" t="s">
        <v>203</v>
      </c>
      <c r="DZD11" s="314" t="s">
        <v>203</v>
      </c>
      <c r="DZE11" s="314" t="s">
        <v>203</v>
      </c>
      <c r="DZF11" s="314" t="s">
        <v>203</v>
      </c>
      <c r="DZG11" s="314" t="s">
        <v>203</v>
      </c>
      <c r="DZH11" s="314" t="s">
        <v>203</v>
      </c>
      <c r="DZI11" s="314" t="s">
        <v>203</v>
      </c>
      <c r="DZJ11" s="314" t="s">
        <v>203</v>
      </c>
      <c r="DZK11" s="314" t="s">
        <v>203</v>
      </c>
      <c r="DZL11" s="314" t="s">
        <v>203</v>
      </c>
      <c r="DZM11" s="314" t="s">
        <v>203</v>
      </c>
      <c r="DZN11" s="314" t="s">
        <v>203</v>
      </c>
      <c r="DZO11" s="314" t="s">
        <v>203</v>
      </c>
      <c r="DZP11" s="314" t="s">
        <v>203</v>
      </c>
      <c r="DZQ11" s="314" t="s">
        <v>203</v>
      </c>
      <c r="DZR11" s="314" t="s">
        <v>203</v>
      </c>
      <c r="DZS11" s="314" t="s">
        <v>203</v>
      </c>
      <c r="DZT11" s="314" t="s">
        <v>203</v>
      </c>
      <c r="DZU11" s="314" t="s">
        <v>203</v>
      </c>
      <c r="DZV11" s="314" t="s">
        <v>203</v>
      </c>
      <c r="DZW11" s="314" t="s">
        <v>203</v>
      </c>
      <c r="DZX11" s="314" t="s">
        <v>203</v>
      </c>
      <c r="DZY11" s="314" t="s">
        <v>203</v>
      </c>
      <c r="DZZ11" s="314" t="s">
        <v>203</v>
      </c>
      <c r="EAA11" s="314" t="s">
        <v>203</v>
      </c>
      <c r="EAB11" s="314" t="s">
        <v>203</v>
      </c>
      <c r="EAC11" s="314" t="s">
        <v>203</v>
      </c>
      <c r="EAD11" s="314" t="s">
        <v>203</v>
      </c>
      <c r="EAE11" s="314" t="s">
        <v>203</v>
      </c>
      <c r="EAF11" s="314" t="s">
        <v>203</v>
      </c>
      <c r="EAG11" s="314" t="s">
        <v>203</v>
      </c>
      <c r="EAH11" s="314" t="s">
        <v>203</v>
      </c>
      <c r="EAI11" s="314" t="s">
        <v>203</v>
      </c>
      <c r="EAJ11" s="314" t="s">
        <v>203</v>
      </c>
      <c r="EAK11" s="314" t="s">
        <v>203</v>
      </c>
      <c r="EAL11" s="314" t="s">
        <v>203</v>
      </c>
      <c r="EAM11" s="314" t="s">
        <v>203</v>
      </c>
      <c r="EAN11" s="314" t="s">
        <v>203</v>
      </c>
      <c r="EAO11" s="314" t="s">
        <v>203</v>
      </c>
      <c r="EAP11" s="314" t="s">
        <v>203</v>
      </c>
      <c r="EAQ11" s="314" t="s">
        <v>203</v>
      </c>
      <c r="EAR11" s="314" t="s">
        <v>203</v>
      </c>
      <c r="EAS11" s="314" t="s">
        <v>203</v>
      </c>
      <c r="EAT11" s="314" t="s">
        <v>203</v>
      </c>
      <c r="EAU11" s="314" t="s">
        <v>203</v>
      </c>
      <c r="EAV11" s="314" t="s">
        <v>203</v>
      </c>
      <c r="EAW11" s="314" t="s">
        <v>203</v>
      </c>
      <c r="EAX11" s="314" t="s">
        <v>203</v>
      </c>
      <c r="EAY11" s="314" t="s">
        <v>203</v>
      </c>
      <c r="EAZ11" s="314" t="s">
        <v>203</v>
      </c>
      <c r="EBA11" s="314" t="s">
        <v>203</v>
      </c>
      <c r="EBB11" s="314" t="s">
        <v>203</v>
      </c>
      <c r="EBC11" s="314" t="s">
        <v>203</v>
      </c>
      <c r="EBD11" s="314" t="s">
        <v>203</v>
      </c>
      <c r="EBE11" s="314" t="s">
        <v>203</v>
      </c>
      <c r="EBF11" s="314" t="s">
        <v>203</v>
      </c>
      <c r="EBG11" s="314" t="s">
        <v>203</v>
      </c>
      <c r="EBH11" s="314" t="s">
        <v>203</v>
      </c>
      <c r="EBI11" s="314" t="s">
        <v>203</v>
      </c>
      <c r="EBJ11" s="314" t="s">
        <v>203</v>
      </c>
      <c r="EBK11" s="314" t="s">
        <v>203</v>
      </c>
      <c r="EBL11" s="314" t="s">
        <v>203</v>
      </c>
      <c r="EBM11" s="314" t="s">
        <v>203</v>
      </c>
      <c r="EBN11" s="314" t="s">
        <v>203</v>
      </c>
      <c r="EBO11" s="314" t="s">
        <v>203</v>
      </c>
      <c r="EBP11" s="314" t="s">
        <v>203</v>
      </c>
      <c r="EBQ11" s="314" t="s">
        <v>203</v>
      </c>
      <c r="EBR11" s="314" t="s">
        <v>203</v>
      </c>
      <c r="EBS11" s="314" t="s">
        <v>203</v>
      </c>
      <c r="EBT11" s="314" t="s">
        <v>203</v>
      </c>
      <c r="EBU11" s="314" t="s">
        <v>203</v>
      </c>
      <c r="EBV11" s="314" t="s">
        <v>203</v>
      </c>
      <c r="EBW11" s="314" t="s">
        <v>203</v>
      </c>
      <c r="EBX11" s="314" t="s">
        <v>203</v>
      </c>
      <c r="EBY11" s="314" t="s">
        <v>203</v>
      </c>
      <c r="EBZ11" s="314" t="s">
        <v>203</v>
      </c>
      <c r="ECA11" s="314" t="s">
        <v>203</v>
      </c>
      <c r="ECB11" s="314" t="s">
        <v>203</v>
      </c>
      <c r="ECC11" s="314" t="s">
        <v>203</v>
      </c>
      <c r="ECD11" s="314" t="s">
        <v>203</v>
      </c>
      <c r="ECE11" s="314" t="s">
        <v>203</v>
      </c>
      <c r="ECF11" s="314" t="s">
        <v>203</v>
      </c>
      <c r="ECG11" s="314" t="s">
        <v>203</v>
      </c>
      <c r="ECH11" s="314" t="s">
        <v>203</v>
      </c>
      <c r="ECI11" s="314" t="s">
        <v>203</v>
      </c>
      <c r="ECJ11" s="314" t="s">
        <v>203</v>
      </c>
      <c r="ECK11" s="314" t="s">
        <v>203</v>
      </c>
      <c r="ECL11" s="314" t="s">
        <v>203</v>
      </c>
      <c r="ECM11" s="314" t="s">
        <v>203</v>
      </c>
      <c r="ECN11" s="314" t="s">
        <v>203</v>
      </c>
      <c r="ECO11" s="314" t="s">
        <v>203</v>
      </c>
      <c r="ECP11" s="314" t="s">
        <v>203</v>
      </c>
      <c r="ECQ11" s="314" t="s">
        <v>203</v>
      </c>
      <c r="ECR11" s="314" t="s">
        <v>203</v>
      </c>
      <c r="ECS11" s="314" t="s">
        <v>203</v>
      </c>
      <c r="ECT11" s="314" t="s">
        <v>203</v>
      </c>
      <c r="ECU11" s="314" t="s">
        <v>203</v>
      </c>
      <c r="ECV11" s="314" t="s">
        <v>203</v>
      </c>
      <c r="ECW11" s="314" t="s">
        <v>203</v>
      </c>
      <c r="ECX11" s="314" t="s">
        <v>203</v>
      </c>
      <c r="ECY11" s="314" t="s">
        <v>203</v>
      </c>
      <c r="ECZ11" s="314" t="s">
        <v>203</v>
      </c>
      <c r="EDA11" s="314" t="s">
        <v>203</v>
      </c>
      <c r="EDB11" s="314" t="s">
        <v>203</v>
      </c>
      <c r="EDC11" s="314" t="s">
        <v>203</v>
      </c>
      <c r="EDD11" s="314" t="s">
        <v>203</v>
      </c>
      <c r="EDE11" s="314" t="s">
        <v>203</v>
      </c>
      <c r="EDF11" s="314" t="s">
        <v>203</v>
      </c>
      <c r="EDG11" s="314" t="s">
        <v>203</v>
      </c>
      <c r="EDH11" s="314" t="s">
        <v>203</v>
      </c>
      <c r="EDI11" s="314" t="s">
        <v>203</v>
      </c>
      <c r="EDJ11" s="314" t="s">
        <v>203</v>
      </c>
      <c r="EDK11" s="314" t="s">
        <v>203</v>
      </c>
      <c r="EDL11" s="314" t="s">
        <v>203</v>
      </c>
      <c r="EDM11" s="314" t="s">
        <v>203</v>
      </c>
      <c r="EDN11" s="314" t="s">
        <v>203</v>
      </c>
      <c r="EDO11" s="314" t="s">
        <v>203</v>
      </c>
      <c r="EDP11" s="314" t="s">
        <v>203</v>
      </c>
      <c r="EDQ11" s="314" t="s">
        <v>203</v>
      </c>
      <c r="EDR11" s="314" t="s">
        <v>203</v>
      </c>
      <c r="EDS11" s="314" t="s">
        <v>203</v>
      </c>
      <c r="EDT11" s="314" t="s">
        <v>203</v>
      </c>
      <c r="EDU11" s="314" t="s">
        <v>203</v>
      </c>
      <c r="EDV11" s="314" t="s">
        <v>203</v>
      </c>
      <c r="EDW11" s="314" t="s">
        <v>203</v>
      </c>
      <c r="EDX11" s="314" t="s">
        <v>203</v>
      </c>
      <c r="EDY11" s="314" t="s">
        <v>203</v>
      </c>
      <c r="EDZ11" s="314" t="s">
        <v>203</v>
      </c>
      <c r="EEA11" s="314" t="s">
        <v>203</v>
      </c>
      <c r="EEB11" s="314" t="s">
        <v>203</v>
      </c>
      <c r="EEC11" s="314" t="s">
        <v>203</v>
      </c>
      <c r="EED11" s="314" t="s">
        <v>203</v>
      </c>
      <c r="EEE11" s="314" t="s">
        <v>203</v>
      </c>
      <c r="EEF11" s="314" t="s">
        <v>203</v>
      </c>
      <c r="EEG11" s="314" t="s">
        <v>203</v>
      </c>
      <c r="EEH11" s="314" t="s">
        <v>203</v>
      </c>
      <c r="EEI11" s="314" t="s">
        <v>203</v>
      </c>
      <c r="EEJ11" s="314" t="s">
        <v>203</v>
      </c>
      <c r="EEK11" s="314" t="s">
        <v>203</v>
      </c>
      <c r="EEL11" s="314" t="s">
        <v>203</v>
      </c>
      <c r="EEM11" s="314" t="s">
        <v>203</v>
      </c>
      <c r="EEN11" s="314" t="s">
        <v>203</v>
      </c>
      <c r="EEO11" s="314" t="s">
        <v>203</v>
      </c>
      <c r="EEP11" s="314" t="s">
        <v>203</v>
      </c>
      <c r="EEQ11" s="314" t="s">
        <v>203</v>
      </c>
      <c r="EER11" s="314" t="s">
        <v>203</v>
      </c>
      <c r="EES11" s="314" t="s">
        <v>203</v>
      </c>
      <c r="EET11" s="314" t="s">
        <v>203</v>
      </c>
      <c r="EEU11" s="314" t="s">
        <v>203</v>
      </c>
      <c r="EEV11" s="314" t="s">
        <v>203</v>
      </c>
      <c r="EEW11" s="314" t="s">
        <v>203</v>
      </c>
      <c r="EEX11" s="314" t="s">
        <v>203</v>
      </c>
      <c r="EEY11" s="314" t="s">
        <v>203</v>
      </c>
      <c r="EEZ11" s="314" t="s">
        <v>203</v>
      </c>
      <c r="EFA11" s="314" t="s">
        <v>203</v>
      </c>
      <c r="EFB11" s="314" t="s">
        <v>203</v>
      </c>
      <c r="EFC11" s="314" t="s">
        <v>203</v>
      </c>
      <c r="EFD11" s="314" t="s">
        <v>203</v>
      </c>
      <c r="EFE11" s="314" t="s">
        <v>203</v>
      </c>
      <c r="EFF11" s="314" t="s">
        <v>203</v>
      </c>
      <c r="EFG11" s="314" t="s">
        <v>203</v>
      </c>
      <c r="EFH11" s="314" t="s">
        <v>203</v>
      </c>
      <c r="EFI11" s="314" t="s">
        <v>203</v>
      </c>
      <c r="EFJ11" s="314" t="s">
        <v>203</v>
      </c>
      <c r="EFK11" s="314" t="s">
        <v>203</v>
      </c>
      <c r="EFL11" s="314" t="s">
        <v>203</v>
      </c>
      <c r="EFM11" s="314" t="s">
        <v>203</v>
      </c>
      <c r="EFN11" s="314" t="s">
        <v>203</v>
      </c>
      <c r="EFO11" s="314" t="s">
        <v>203</v>
      </c>
      <c r="EFP11" s="314" t="s">
        <v>203</v>
      </c>
      <c r="EFQ11" s="314" t="s">
        <v>203</v>
      </c>
      <c r="EFR11" s="314" t="s">
        <v>203</v>
      </c>
      <c r="EFS11" s="314" t="s">
        <v>203</v>
      </c>
      <c r="EFT11" s="314" t="s">
        <v>203</v>
      </c>
      <c r="EFU11" s="314" t="s">
        <v>203</v>
      </c>
      <c r="EFV11" s="314" t="s">
        <v>203</v>
      </c>
      <c r="EFW11" s="314" t="s">
        <v>203</v>
      </c>
      <c r="EFX11" s="314" t="s">
        <v>203</v>
      </c>
      <c r="EFY11" s="314" t="s">
        <v>203</v>
      </c>
      <c r="EFZ11" s="314" t="s">
        <v>203</v>
      </c>
      <c r="EGA11" s="314" t="s">
        <v>203</v>
      </c>
      <c r="EGB11" s="314" t="s">
        <v>203</v>
      </c>
      <c r="EGC11" s="314" t="s">
        <v>203</v>
      </c>
      <c r="EGD11" s="314" t="s">
        <v>203</v>
      </c>
      <c r="EGE11" s="314" t="s">
        <v>203</v>
      </c>
      <c r="EGF11" s="314" t="s">
        <v>203</v>
      </c>
      <c r="EGG11" s="314" t="s">
        <v>203</v>
      </c>
      <c r="EGH11" s="314" t="s">
        <v>203</v>
      </c>
      <c r="EGI11" s="314" t="s">
        <v>203</v>
      </c>
      <c r="EGJ11" s="314" t="s">
        <v>203</v>
      </c>
      <c r="EGK11" s="314" t="s">
        <v>203</v>
      </c>
      <c r="EGL11" s="314" t="s">
        <v>203</v>
      </c>
      <c r="EGM11" s="314" t="s">
        <v>203</v>
      </c>
      <c r="EGN11" s="314" t="s">
        <v>203</v>
      </c>
      <c r="EGO11" s="314" t="s">
        <v>203</v>
      </c>
      <c r="EGP11" s="314" t="s">
        <v>203</v>
      </c>
      <c r="EGQ11" s="314" t="s">
        <v>203</v>
      </c>
      <c r="EGR11" s="314" t="s">
        <v>203</v>
      </c>
      <c r="EGS11" s="314" t="s">
        <v>203</v>
      </c>
      <c r="EGT11" s="314" t="s">
        <v>203</v>
      </c>
      <c r="EGU11" s="314" t="s">
        <v>203</v>
      </c>
      <c r="EGV11" s="314" t="s">
        <v>203</v>
      </c>
      <c r="EGW11" s="314" t="s">
        <v>203</v>
      </c>
      <c r="EGX11" s="314" t="s">
        <v>203</v>
      </c>
      <c r="EGY11" s="314" t="s">
        <v>203</v>
      </c>
      <c r="EGZ11" s="314" t="s">
        <v>203</v>
      </c>
      <c r="EHA11" s="314" t="s">
        <v>203</v>
      </c>
      <c r="EHB11" s="314" t="s">
        <v>203</v>
      </c>
      <c r="EHC11" s="314" t="s">
        <v>203</v>
      </c>
      <c r="EHD11" s="314" t="s">
        <v>203</v>
      </c>
      <c r="EHE11" s="314" t="s">
        <v>203</v>
      </c>
      <c r="EHF11" s="314" t="s">
        <v>203</v>
      </c>
      <c r="EHG11" s="314" t="s">
        <v>203</v>
      </c>
      <c r="EHH11" s="314" t="s">
        <v>203</v>
      </c>
      <c r="EHI11" s="314" t="s">
        <v>203</v>
      </c>
      <c r="EHJ11" s="314" t="s">
        <v>203</v>
      </c>
      <c r="EHK11" s="314" t="s">
        <v>203</v>
      </c>
      <c r="EHL11" s="314" t="s">
        <v>203</v>
      </c>
      <c r="EHM11" s="314" t="s">
        <v>203</v>
      </c>
      <c r="EHN11" s="314" t="s">
        <v>203</v>
      </c>
      <c r="EHO11" s="314" t="s">
        <v>203</v>
      </c>
      <c r="EHP11" s="314" t="s">
        <v>203</v>
      </c>
      <c r="EHQ11" s="314" t="s">
        <v>203</v>
      </c>
      <c r="EHR11" s="314" t="s">
        <v>203</v>
      </c>
      <c r="EHS11" s="314" t="s">
        <v>203</v>
      </c>
      <c r="EHT11" s="314" t="s">
        <v>203</v>
      </c>
      <c r="EHU11" s="314" t="s">
        <v>203</v>
      </c>
      <c r="EHV11" s="314" t="s">
        <v>203</v>
      </c>
      <c r="EHW11" s="314" t="s">
        <v>203</v>
      </c>
      <c r="EHX11" s="314" t="s">
        <v>203</v>
      </c>
      <c r="EHY11" s="314" t="s">
        <v>203</v>
      </c>
      <c r="EHZ11" s="314" t="s">
        <v>203</v>
      </c>
      <c r="EIA11" s="314" t="s">
        <v>203</v>
      </c>
      <c r="EIB11" s="314" t="s">
        <v>203</v>
      </c>
      <c r="EIC11" s="314" t="s">
        <v>203</v>
      </c>
      <c r="EID11" s="314" t="s">
        <v>203</v>
      </c>
      <c r="EIE11" s="314" t="s">
        <v>203</v>
      </c>
      <c r="EIF11" s="314" t="s">
        <v>203</v>
      </c>
      <c r="EIG11" s="314" t="s">
        <v>203</v>
      </c>
      <c r="EIH11" s="314" t="s">
        <v>203</v>
      </c>
      <c r="EII11" s="314" t="s">
        <v>203</v>
      </c>
      <c r="EIJ11" s="314" t="s">
        <v>203</v>
      </c>
      <c r="EIK11" s="314" t="s">
        <v>203</v>
      </c>
      <c r="EIL11" s="314" t="s">
        <v>203</v>
      </c>
      <c r="EIM11" s="314" t="s">
        <v>203</v>
      </c>
      <c r="EIN11" s="314" t="s">
        <v>203</v>
      </c>
      <c r="EIO11" s="314" t="s">
        <v>203</v>
      </c>
      <c r="EIP11" s="314" t="s">
        <v>203</v>
      </c>
      <c r="EIQ11" s="314" t="s">
        <v>203</v>
      </c>
      <c r="EIR11" s="314" t="s">
        <v>203</v>
      </c>
      <c r="EIS11" s="314" t="s">
        <v>203</v>
      </c>
      <c r="EIT11" s="314" t="s">
        <v>203</v>
      </c>
      <c r="EIU11" s="314" t="s">
        <v>203</v>
      </c>
      <c r="EIV11" s="314" t="s">
        <v>203</v>
      </c>
      <c r="EIW11" s="314" t="s">
        <v>203</v>
      </c>
      <c r="EIX11" s="314" t="s">
        <v>203</v>
      </c>
      <c r="EIY11" s="314" t="s">
        <v>203</v>
      </c>
      <c r="EIZ11" s="314" t="s">
        <v>203</v>
      </c>
      <c r="EJA11" s="314" t="s">
        <v>203</v>
      </c>
      <c r="EJB11" s="314" t="s">
        <v>203</v>
      </c>
      <c r="EJC11" s="314" t="s">
        <v>203</v>
      </c>
      <c r="EJD11" s="314" t="s">
        <v>203</v>
      </c>
      <c r="EJE11" s="314" t="s">
        <v>203</v>
      </c>
      <c r="EJF11" s="314" t="s">
        <v>203</v>
      </c>
      <c r="EJG11" s="314" t="s">
        <v>203</v>
      </c>
      <c r="EJH11" s="314" t="s">
        <v>203</v>
      </c>
      <c r="EJI11" s="314" t="s">
        <v>203</v>
      </c>
      <c r="EJJ11" s="314" t="s">
        <v>203</v>
      </c>
      <c r="EJK11" s="314" t="s">
        <v>203</v>
      </c>
      <c r="EJL11" s="314" t="s">
        <v>203</v>
      </c>
      <c r="EJM11" s="314" t="s">
        <v>203</v>
      </c>
      <c r="EJN11" s="314" t="s">
        <v>203</v>
      </c>
      <c r="EJO11" s="314" t="s">
        <v>203</v>
      </c>
      <c r="EJP11" s="314" t="s">
        <v>203</v>
      </c>
      <c r="EJQ11" s="314" t="s">
        <v>203</v>
      </c>
      <c r="EJR11" s="314" t="s">
        <v>203</v>
      </c>
      <c r="EJS11" s="314" t="s">
        <v>203</v>
      </c>
      <c r="EJT11" s="314" t="s">
        <v>203</v>
      </c>
      <c r="EJU11" s="314" t="s">
        <v>203</v>
      </c>
      <c r="EJV11" s="314" t="s">
        <v>203</v>
      </c>
      <c r="EJW11" s="314" t="s">
        <v>203</v>
      </c>
      <c r="EJX11" s="314" t="s">
        <v>203</v>
      </c>
      <c r="EJY11" s="314" t="s">
        <v>203</v>
      </c>
      <c r="EJZ11" s="314" t="s">
        <v>203</v>
      </c>
      <c r="EKA11" s="314" t="s">
        <v>203</v>
      </c>
      <c r="EKB11" s="314" t="s">
        <v>203</v>
      </c>
      <c r="EKC11" s="314" t="s">
        <v>203</v>
      </c>
      <c r="EKD11" s="314" t="s">
        <v>203</v>
      </c>
      <c r="EKE11" s="314" t="s">
        <v>203</v>
      </c>
      <c r="EKF11" s="314" t="s">
        <v>203</v>
      </c>
      <c r="EKG11" s="314" t="s">
        <v>203</v>
      </c>
      <c r="EKH11" s="314" t="s">
        <v>203</v>
      </c>
      <c r="EKI11" s="314" t="s">
        <v>203</v>
      </c>
      <c r="EKJ11" s="314" t="s">
        <v>203</v>
      </c>
      <c r="EKK11" s="314" t="s">
        <v>203</v>
      </c>
      <c r="EKL11" s="314" t="s">
        <v>203</v>
      </c>
      <c r="EKM11" s="314" t="s">
        <v>203</v>
      </c>
      <c r="EKN11" s="314" t="s">
        <v>203</v>
      </c>
      <c r="EKO11" s="314" t="s">
        <v>203</v>
      </c>
      <c r="EKP11" s="314" t="s">
        <v>203</v>
      </c>
      <c r="EKQ11" s="314" t="s">
        <v>203</v>
      </c>
      <c r="EKR11" s="314" t="s">
        <v>203</v>
      </c>
      <c r="EKS11" s="314" t="s">
        <v>203</v>
      </c>
      <c r="EKT11" s="314" t="s">
        <v>203</v>
      </c>
      <c r="EKU11" s="314" t="s">
        <v>203</v>
      </c>
      <c r="EKV11" s="314" t="s">
        <v>203</v>
      </c>
      <c r="EKW11" s="314" t="s">
        <v>203</v>
      </c>
      <c r="EKX11" s="314" t="s">
        <v>203</v>
      </c>
      <c r="EKY11" s="314" t="s">
        <v>203</v>
      </c>
      <c r="EKZ11" s="314" t="s">
        <v>203</v>
      </c>
      <c r="ELA11" s="314" t="s">
        <v>203</v>
      </c>
      <c r="ELB11" s="314" t="s">
        <v>203</v>
      </c>
      <c r="ELC11" s="314" t="s">
        <v>203</v>
      </c>
      <c r="ELD11" s="314" t="s">
        <v>203</v>
      </c>
      <c r="ELE11" s="314" t="s">
        <v>203</v>
      </c>
      <c r="ELF11" s="314" t="s">
        <v>203</v>
      </c>
      <c r="ELG11" s="314" t="s">
        <v>203</v>
      </c>
      <c r="ELH11" s="314" t="s">
        <v>203</v>
      </c>
      <c r="ELI11" s="314" t="s">
        <v>203</v>
      </c>
      <c r="ELJ11" s="314" t="s">
        <v>203</v>
      </c>
      <c r="ELK11" s="314" t="s">
        <v>203</v>
      </c>
      <c r="ELL11" s="314" t="s">
        <v>203</v>
      </c>
      <c r="ELM11" s="314" t="s">
        <v>203</v>
      </c>
      <c r="ELN11" s="314" t="s">
        <v>203</v>
      </c>
      <c r="ELO11" s="314" t="s">
        <v>203</v>
      </c>
      <c r="ELP11" s="314" t="s">
        <v>203</v>
      </c>
      <c r="ELQ11" s="314" t="s">
        <v>203</v>
      </c>
      <c r="ELR11" s="314" t="s">
        <v>203</v>
      </c>
      <c r="ELS11" s="314" t="s">
        <v>203</v>
      </c>
      <c r="ELT11" s="314" t="s">
        <v>203</v>
      </c>
      <c r="ELU11" s="314" t="s">
        <v>203</v>
      </c>
      <c r="ELV11" s="314" t="s">
        <v>203</v>
      </c>
      <c r="ELW11" s="314" t="s">
        <v>203</v>
      </c>
      <c r="ELX11" s="314" t="s">
        <v>203</v>
      </c>
      <c r="ELY11" s="314" t="s">
        <v>203</v>
      </c>
      <c r="ELZ11" s="314" t="s">
        <v>203</v>
      </c>
      <c r="EMA11" s="314" t="s">
        <v>203</v>
      </c>
      <c r="EMB11" s="314" t="s">
        <v>203</v>
      </c>
      <c r="EMC11" s="314" t="s">
        <v>203</v>
      </c>
      <c r="EMD11" s="314" t="s">
        <v>203</v>
      </c>
      <c r="EME11" s="314" t="s">
        <v>203</v>
      </c>
      <c r="EMF11" s="314" t="s">
        <v>203</v>
      </c>
      <c r="EMG11" s="314" t="s">
        <v>203</v>
      </c>
      <c r="EMH11" s="314" t="s">
        <v>203</v>
      </c>
      <c r="EMI11" s="314" t="s">
        <v>203</v>
      </c>
      <c r="EMJ11" s="314" t="s">
        <v>203</v>
      </c>
      <c r="EMK11" s="314" t="s">
        <v>203</v>
      </c>
      <c r="EML11" s="314" t="s">
        <v>203</v>
      </c>
      <c r="EMM11" s="314" t="s">
        <v>203</v>
      </c>
      <c r="EMN11" s="314" t="s">
        <v>203</v>
      </c>
      <c r="EMO11" s="314" t="s">
        <v>203</v>
      </c>
      <c r="EMP11" s="314" t="s">
        <v>203</v>
      </c>
      <c r="EMQ11" s="314" t="s">
        <v>203</v>
      </c>
      <c r="EMR11" s="314" t="s">
        <v>203</v>
      </c>
      <c r="EMS11" s="314" t="s">
        <v>203</v>
      </c>
      <c r="EMT11" s="314" t="s">
        <v>203</v>
      </c>
      <c r="EMU11" s="314" t="s">
        <v>203</v>
      </c>
      <c r="EMV11" s="314" t="s">
        <v>203</v>
      </c>
      <c r="EMW11" s="314" t="s">
        <v>203</v>
      </c>
      <c r="EMX11" s="314" t="s">
        <v>203</v>
      </c>
      <c r="EMY11" s="314" t="s">
        <v>203</v>
      </c>
      <c r="EMZ11" s="314" t="s">
        <v>203</v>
      </c>
      <c r="ENA11" s="314" t="s">
        <v>203</v>
      </c>
      <c r="ENB11" s="314" t="s">
        <v>203</v>
      </c>
      <c r="ENC11" s="314" t="s">
        <v>203</v>
      </c>
      <c r="END11" s="314" t="s">
        <v>203</v>
      </c>
      <c r="ENE11" s="314" t="s">
        <v>203</v>
      </c>
      <c r="ENF11" s="314" t="s">
        <v>203</v>
      </c>
      <c r="ENG11" s="314" t="s">
        <v>203</v>
      </c>
      <c r="ENH11" s="314" t="s">
        <v>203</v>
      </c>
      <c r="ENI11" s="314" t="s">
        <v>203</v>
      </c>
      <c r="ENJ11" s="314" t="s">
        <v>203</v>
      </c>
      <c r="ENK11" s="314" t="s">
        <v>203</v>
      </c>
      <c r="ENL11" s="314" t="s">
        <v>203</v>
      </c>
      <c r="ENM11" s="314" t="s">
        <v>203</v>
      </c>
      <c r="ENN11" s="314" t="s">
        <v>203</v>
      </c>
      <c r="ENO11" s="314" t="s">
        <v>203</v>
      </c>
      <c r="ENP11" s="314" t="s">
        <v>203</v>
      </c>
      <c r="ENQ11" s="314" t="s">
        <v>203</v>
      </c>
      <c r="ENR11" s="314" t="s">
        <v>203</v>
      </c>
      <c r="ENS11" s="314" t="s">
        <v>203</v>
      </c>
      <c r="ENT11" s="314" t="s">
        <v>203</v>
      </c>
      <c r="ENU11" s="314" t="s">
        <v>203</v>
      </c>
      <c r="ENV11" s="314" t="s">
        <v>203</v>
      </c>
      <c r="ENW11" s="314" t="s">
        <v>203</v>
      </c>
      <c r="ENX11" s="314" t="s">
        <v>203</v>
      </c>
      <c r="ENY11" s="314" t="s">
        <v>203</v>
      </c>
      <c r="ENZ11" s="314" t="s">
        <v>203</v>
      </c>
      <c r="EOA11" s="314" t="s">
        <v>203</v>
      </c>
      <c r="EOB11" s="314" t="s">
        <v>203</v>
      </c>
      <c r="EOC11" s="314" t="s">
        <v>203</v>
      </c>
      <c r="EOD11" s="314" t="s">
        <v>203</v>
      </c>
      <c r="EOE11" s="314" t="s">
        <v>203</v>
      </c>
      <c r="EOF11" s="314" t="s">
        <v>203</v>
      </c>
      <c r="EOG11" s="314" t="s">
        <v>203</v>
      </c>
      <c r="EOH11" s="314" t="s">
        <v>203</v>
      </c>
      <c r="EOI11" s="314" t="s">
        <v>203</v>
      </c>
      <c r="EOJ11" s="314" t="s">
        <v>203</v>
      </c>
      <c r="EOK11" s="314" t="s">
        <v>203</v>
      </c>
      <c r="EOL11" s="314" t="s">
        <v>203</v>
      </c>
      <c r="EOM11" s="314" t="s">
        <v>203</v>
      </c>
      <c r="EON11" s="314" t="s">
        <v>203</v>
      </c>
      <c r="EOO11" s="314" t="s">
        <v>203</v>
      </c>
      <c r="EOP11" s="314" t="s">
        <v>203</v>
      </c>
      <c r="EOQ11" s="314" t="s">
        <v>203</v>
      </c>
      <c r="EOR11" s="314" t="s">
        <v>203</v>
      </c>
      <c r="EOS11" s="314" t="s">
        <v>203</v>
      </c>
      <c r="EOT11" s="314" t="s">
        <v>203</v>
      </c>
      <c r="EOU11" s="314" t="s">
        <v>203</v>
      </c>
      <c r="EOV11" s="314" t="s">
        <v>203</v>
      </c>
      <c r="EOW11" s="314" t="s">
        <v>203</v>
      </c>
      <c r="EOX11" s="314" t="s">
        <v>203</v>
      </c>
      <c r="EOY11" s="314" t="s">
        <v>203</v>
      </c>
      <c r="EOZ11" s="314" t="s">
        <v>203</v>
      </c>
      <c r="EPA11" s="314" t="s">
        <v>203</v>
      </c>
      <c r="EPB11" s="314" t="s">
        <v>203</v>
      </c>
      <c r="EPC11" s="314" t="s">
        <v>203</v>
      </c>
      <c r="EPD11" s="314" t="s">
        <v>203</v>
      </c>
      <c r="EPE11" s="314" t="s">
        <v>203</v>
      </c>
      <c r="EPF11" s="314" t="s">
        <v>203</v>
      </c>
      <c r="EPG11" s="314" t="s">
        <v>203</v>
      </c>
      <c r="EPH11" s="314" t="s">
        <v>203</v>
      </c>
      <c r="EPI11" s="314" t="s">
        <v>203</v>
      </c>
      <c r="EPJ11" s="314" t="s">
        <v>203</v>
      </c>
      <c r="EPK11" s="314" t="s">
        <v>203</v>
      </c>
      <c r="EPL11" s="314" t="s">
        <v>203</v>
      </c>
      <c r="EPM11" s="314" t="s">
        <v>203</v>
      </c>
      <c r="EPN11" s="314" t="s">
        <v>203</v>
      </c>
      <c r="EPO11" s="314" t="s">
        <v>203</v>
      </c>
      <c r="EPP11" s="314" t="s">
        <v>203</v>
      </c>
      <c r="EPQ11" s="314" t="s">
        <v>203</v>
      </c>
      <c r="EPR11" s="314" t="s">
        <v>203</v>
      </c>
      <c r="EPS11" s="314" t="s">
        <v>203</v>
      </c>
      <c r="EPT11" s="314" t="s">
        <v>203</v>
      </c>
      <c r="EPU11" s="314" t="s">
        <v>203</v>
      </c>
      <c r="EPV11" s="314" t="s">
        <v>203</v>
      </c>
      <c r="EPW11" s="314" t="s">
        <v>203</v>
      </c>
      <c r="EPX11" s="314" t="s">
        <v>203</v>
      </c>
      <c r="EPY11" s="314" t="s">
        <v>203</v>
      </c>
      <c r="EPZ11" s="314" t="s">
        <v>203</v>
      </c>
      <c r="EQA11" s="314" t="s">
        <v>203</v>
      </c>
      <c r="EQB11" s="314" t="s">
        <v>203</v>
      </c>
      <c r="EQC11" s="314" t="s">
        <v>203</v>
      </c>
      <c r="EQD11" s="314" t="s">
        <v>203</v>
      </c>
      <c r="EQE11" s="314" t="s">
        <v>203</v>
      </c>
      <c r="EQF11" s="314" t="s">
        <v>203</v>
      </c>
      <c r="EQG11" s="314" t="s">
        <v>203</v>
      </c>
      <c r="EQH11" s="314" t="s">
        <v>203</v>
      </c>
      <c r="EQI11" s="314" t="s">
        <v>203</v>
      </c>
      <c r="EQJ11" s="314" t="s">
        <v>203</v>
      </c>
      <c r="EQK11" s="314" t="s">
        <v>203</v>
      </c>
      <c r="EQL11" s="314" t="s">
        <v>203</v>
      </c>
      <c r="EQM11" s="314" t="s">
        <v>203</v>
      </c>
      <c r="EQN11" s="314" t="s">
        <v>203</v>
      </c>
      <c r="EQO11" s="314" t="s">
        <v>203</v>
      </c>
      <c r="EQP11" s="314" t="s">
        <v>203</v>
      </c>
      <c r="EQQ11" s="314" t="s">
        <v>203</v>
      </c>
      <c r="EQR11" s="314" t="s">
        <v>203</v>
      </c>
      <c r="EQS11" s="314" t="s">
        <v>203</v>
      </c>
      <c r="EQT11" s="314" t="s">
        <v>203</v>
      </c>
      <c r="EQU11" s="314" t="s">
        <v>203</v>
      </c>
      <c r="EQV11" s="314" t="s">
        <v>203</v>
      </c>
      <c r="EQW11" s="314" t="s">
        <v>203</v>
      </c>
      <c r="EQX11" s="314" t="s">
        <v>203</v>
      </c>
      <c r="EQY11" s="314" t="s">
        <v>203</v>
      </c>
      <c r="EQZ11" s="314" t="s">
        <v>203</v>
      </c>
      <c r="ERA11" s="314" t="s">
        <v>203</v>
      </c>
      <c r="ERB11" s="314" t="s">
        <v>203</v>
      </c>
      <c r="ERC11" s="314" t="s">
        <v>203</v>
      </c>
      <c r="ERD11" s="314" t="s">
        <v>203</v>
      </c>
      <c r="ERE11" s="314" t="s">
        <v>203</v>
      </c>
      <c r="ERF11" s="314" t="s">
        <v>203</v>
      </c>
      <c r="ERG11" s="314" t="s">
        <v>203</v>
      </c>
      <c r="ERH11" s="314" t="s">
        <v>203</v>
      </c>
      <c r="ERI11" s="314" t="s">
        <v>203</v>
      </c>
      <c r="ERJ11" s="314" t="s">
        <v>203</v>
      </c>
      <c r="ERK11" s="314" t="s">
        <v>203</v>
      </c>
      <c r="ERL11" s="314" t="s">
        <v>203</v>
      </c>
      <c r="ERM11" s="314" t="s">
        <v>203</v>
      </c>
      <c r="ERN11" s="314" t="s">
        <v>203</v>
      </c>
      <c r="ERO11" s="314" t="s">
        <v>203</v>
      </c>
      <c r="ERP11" s="314" t="s">
        <v>203</v>
      </c>
      <c r="ERQ11" s="314" t="s">
        <v>203</v>
      </c>
      <c r="ERR11" s="314" t="s">
        <v>203</v>
      </c>
      <c r="ERS11" s="314" t="s">
        <v>203</v>
      </c>
      <c r="ERT11" s="314" t="s">
        <v>203</v>
      </c>
      <c r="ERU11" s="314" t="s">
        <v>203</v>
      </c>
      <c r="ERV11" s="314" t="s">
        <v>203</v>
      </c>
      <c r="ERW11" s="314" t="s">
        <v>203</v>
      </c>
      <c r="ERX11" s="314" t="s">
        <v>203</v>
      </c>
      <c r="ERY11" s="314" t="s">
        <v>203</v>
      </c>
      <c r="ERZ11" s="314" t="s">
        <v>203</v>
      </c>
      <c r="ESA11" s="314" t="s">
        <v>203</v>
      </c>
      <c r="ESB11" s="314" t="s">
        <v>203</v>
      </c>
      <c r="ESC11" s="314" t="s">
        <v>203</v>
      </c>
      <c r="ESD11" s="314" t="s">
        <v>203</v>
      </c>
      <c r="ESE11" s="314" t="s">
        <v>203</v>
      </c>
      <c r="ESF11" s="314" t="s">
        <v>203</v>
      </c>
      <c r="ESG11" s="314" t="s">
        <v>203</v>
      </c>
      <c r="ESH11" s="314" t="s">
        <v>203</v>
      </c>
      <c r="ESI11" s="314" t="s">
        <v>203</v>
      </c>
      <c r="ESJ11" s="314" t="s">
        <v>203</v>
      </c>
      <c r="ESK11" s="314" t="s">
        <v>203</v>
      </c>
      <c r="ESL11" s="314" t="s">
        <v>203</v>
      </c>
      <c r="ESM11" s="314" t="s">
        <v>203</v>
      </c>
      <c r="ESN11" s="314" t="s">
        <v>203</v>
      </c>
      <c r="ESO11" s="314" t="s">
        <v>203</v>
      </c>
      <c r="ESP11" s="314" t="s">
        <v>203</v>
      </c>
      <c r="ESQ11" s="314" t="s">
        <v>203</v>
      </c>
      <c r="ESR11" s="314" t="s">
        <v>203</v>
      </c>
      <c r="ESS11" s="314" t="s">
        <v>203</v>
      </c>
      <c r="EST11" s="314" t="s">
        <v>203</v>
      </c>
      <c r="ESU11" s="314" t="s">
        <v>203</v>
      </c>
      <c r="ESV11" s="314" t="s">
        <v>203</v>
      </c>
      <c r="ESW11" s="314" t="s">
        <v>203</v>
      </c>
      <c r="ESX11" s="314" t="s">
        <v>203</v>
      </c>
      <c r="ESY11" s="314" t="s">
        <v>203</v>
      </c>
      <c r="ESZ11" s="314" t="s">
        <v>203</v>
      </c>
      <c r="ETA11" s="314" t="s">
        <v>203</v>
      </c>
      <c r="ETB11" s="314" t="s">
        <v>203</v>
      </c>
      <c r="ETC11" s="314" t="s">
        <v>203</v>
      </c>
      <c r="ETD11" s="314" t="s">
        <v>203</v>
      </c>
      <c r="ETE11" s="314" t="s">
        <v>203</v>
      </c>
      <c r="ETF11" s="314" t="s">
        <v>203</v>
      </c>
      <c r="ETG11" s="314" t="s">
        <v>203</v>
      </c>
      <c r="ETH11" s="314" t="s">
        <v>203</v>
      </c>
      <c r="ETI11" s="314" t="s">
        <v>203</v>
      </c>
      <c r="ETJ11" s="314" t="s">
        <v>203</v>
      </c>
      <c r="ETK11" s="314" t="s">
        <v>203</v>
      </c>
      <c r="ETL11" s="314" t="s">
        <v>203</v>
      </c>
      <c r="ETM11" s="314" t="s">
        <v>203</v>
      </c>
      <c r="ETN11" s="314" t="s">
        <v>203</v>
      </c>
      <c r="ETO11" s="314" t="s">
        <v>203</v>
      </c>
      <c r="ETP11" s="314" t="s">
        <v>203</v>
      </c>
      <c r="ETQ11" s="314" t="s">
        <v>203</v>
      </c>
      <c r="ETR11" s="314" t="s">
        <v>203</v>
      </c>
      <c r="ETS11" s="314" t="s">
        <v>203</v>
      </c>
      <c r="ETT11" s="314" t="s">
        <v>203</v>
      </c>
      <c r="ETU11" s="314" t="s">
        <v>203</v>
      </c>
      <c r="ETV11" s="314" t="s">
        <v>203</v>
      </c>
      <c r="ETW11" s="314" t="s">
        <v>203</v>
      </c>
      <c r="ETX11" s="314" t="s">
        <v>203</v>
      </c>
      <c r="ETY11" s="314" t="s">
        <v>203</v>
      </c>
      <c r="ETZ11" s="314" t="s">
        <v>203</v>
      </c>
      <c r="EUA11" s="314" t="s">
        <v>203</v>
      </c>
      <c r="EUB11" s="314" t="s">
        <v>203</v>
      </c>
      <c r="EUC11" s="314" t="s">
        <v>203</v>
      </c>
      <c r="EUD11" s="314" t="s">
        <v>203</v>
      </c>
      <c r="EUE11" s="314" t="s">
        <v>203</v>
      </c>
      <c r="EUF11" s="314" t="s">
        <v>203</v>
      </c>
      <c r="EUG11" s="314" t="s">
        <v>203</v>
      </c>
      <c r="EUH11" s="314" t="s">
        <v>203</v>
      </c>
      <c r="EUI11" s="314" t="s">
        <v>203</v>
      </c>
      <c r="EUJ11" s="314" t="s">
        <v>203</v>
      </c>
      <c r="EUK11" s="314" t="s">
        <v>203</v>
      </c>
      <c r="EUL11" s="314" t="s">
        <v>203</v>
      </c>
      <c r="EUM11" s="314" t="s">
        <v>203</v>
      </c>
      <c r="EUN11" s="314" t="s">
        <v>203</v>
      </c>
      <c r="EUO11" s="314" t="s">
        <v>203</v>
      </c>
      <c r="EUP11" s="314" t="s">
        <v>203</v>
      </c>
      <c r="EUQ11" s="314" t="s">
        <v>203</v>
      </c>
      <c r="EUR11" s="314" t="s">
        <v>203</v>
      </c>
      <c r="EUS11" s="314" t="s">
        <v>203</v>
      </c>
      <c r="EUT11" s="314" t="s">
        <v>203</v>
      </c>
      <c r="EUU11" s="314" t="s">
        <v>203</v>
      </c>
      <c r="EUV11" s="314" t="s">
        <v>203</v>
      </c>
      <c r="EUW11" s="314" t="s">
        <v>203</v>
      </c>
      <c r="EUX11" s="314" t="s">
        <v>203</v>
      </c>
      <c r="EUY11" s="314" t="s">
        <v>203</v>
      </c>
      <c r="EUZ11" s="314" t="s">
        <v>203</v>
      </c>
      <c r="EVA11" s="314" t="s">
        <v>203</v>
      </c>
      <c r="EVB11" s="314" t="s">
        <v>203</v>
      </c>
      <c r="EVC11" s="314" t="s">
        <v>203</v>
      </c>
      <c r="EVD11" s="314" t="s">
        <v>203</v>
      </c>
      <c r="EVE11" s="314" t="s">
        <v>203</v>
      </c>
      <c r="EVF11" s="314" t="s">
        <v>203</v>
      </c>
      <c r="EVG11" s="314" t="s">
        <v>203</v>
      </c>
      <c r="EVH11" s="314" t="s">
        <v>203</v>
      </c>
      <c r="EVI11" s="314" t="s">
        <v>203</v>
      </c>
      <c r="EVJ11" s="314" t="s">
        <v>203</v>
      </c>
      <c r="EVK11" s="314" t="s">
        <v>203</v>
      </c>
      <c r="EVL11" s="314" t="s">
        <v>203</v>
      </c>
      <c r="EVM11" s="314" t="s">
        <v>203</v>
      </c>
      <c r="EVN11" s="314" t="s">
        <v>203</v>
      </c>
      <c r="EVO11" s="314" t="s">
        <v>203</v>
      </c>
      <c r="EVP11" s="314" t="s">
        <v>203</v>
      </c>
      <c r="EVQ11" s="314" t="s">
        <v>203</v>
      </c>
      <c r="EVR11" s="314" t="s">
        <v>203</v>
      </c>
      <c r="EVS11" s="314" t="s">
        <v>203</v>
      </c>
      <c r="EVT11" s="314" t="s">
        <v>203</v>
      </c>
      <c r="EVU11" s="314" t="s">
        <v>203</v>
      </c>
      <c r="EVV11" s="314" t="s">
        <v>203</v>
      </c>
      <c r="EVW11" s="314" t="s">
        <v>203</v>
      </c>
      <c r="EVX11" s="314" t="s">
        <v>203</v>
      </c>
      <c r="EVY11" s="314" t="s">
        <v>203</v>
      </c>
      <c r="EVZ11" s="314" t="s">
        <v>203</v>
      </c>
      <c r="EWA11" s="314" t="s">
        <v>203</v>
      </c>
      <c r="EWB11" s="314" t="s">
        <v>203</v>
      </c>
      <c r="EWC11" s="314" t="s">
        <v>203</v>
      </c>
      <c r="EWD11" s="314" t="s">
        <v>203</v>
      </c>
      <c r="EWE11" s="314" t="s">
        <v>203</v>
      </c>
      <c r="EWF11" s="314" t="s">
        <v>203</v>
      </c>
      <c r="EWG11" s="314" t="s">
        <v>203</v>
      </c>
      <c r="EWH11" s="314" t="s">
        <v>203</v>
      </c>
      <c r="EWI11" s="314" t="s">
        <v>203</v>
      </c>
      <c r="EWJ11" s="314" t="s">
        <v>203</v>
      </c>
      <c r="EWK11" s="314" t="s">
        <v>203</v>
      </c>
      <c r="EWL11" s="314" t="s">
        <v>203</v>
      </c>
      <c r="EWM11" s="314" t="s">
        <v>203</v>
      </c>
      <c r="EWN11" s="314" t="s">
        <v>203</v>
      </c>
      <c r="EWO11" s="314" t="s">
        <v>203</v>
      </c>
      <c r="EWP11" s="314" t="s">
        <v>203</v>
      </c>
      <c r="EWQ11" s="314" t="s">
        <v>203</v>
      </c>
      <c r="EWR11" s="314" t="s">
        <v>203</v>
      </c>
      <c r="EWS11" s="314" t="s">
        <v>203</v>
      </c>
      <c r="EWT11" s="314" t="s">
        <v>203</v>
      </c>
      <c r="EWU11" s="314" t="s">
        <v>203</v>
      </c>
      <c r="EWV11" s="314" t="s">
        <v>203</v>
      </c>
      <c r="EWW11" s="314" t="s">
        <v>203</v>
      </c>
      <c r="EWX11" s="314" t="s">
        <v>203</v>
      </c>
      <c r="EWY11" s="314" t="s">
        <v>203</v>
      </c>
      <c r="EWZ11" s="314" t="s">
        <v>203</v>
      </c>
      <c r="EXA11" s="314" t="s">
        <v>203</v>
      </c>
      <c r="EXB11" s="314" t="s">
        <v>203</v>
      </c>
      <c r="EXC11" s="314" t="s">
        <v>203</v>
      </c>
      <c r="EXD11" s="314" t="s">
        <v>203</v>
      </c>
      <c r="EXE11" s="314" t="s">
        <v>203</v>
      </c>
      <c r="EXF11" s="314" t="s">
        <v>203</v>
      </c>
      <c r="EXG11" s="314" t="s">
        <v>203</v>
      </c>
      <c r="EXH11" s="314" t="s">
        <v>203</v>
      </c>
      <c r="EXI11" s="314" t="s">
        <v>203</v>
      </c>
      <c r="EXJ11" s="314" t="s">
        <v>203</v>
      </c>
      <c r="EXK11" s="314" t="s">
        <v>203</v>
      </c>
      <c r="EXL11" s="314" t="s">
        <v>203</v>
      </c>
      <c r="EXM11" s="314" t="s">
        <v>203</v>
      </c>
      <c r="EXN11" s="314" t="s">
        <v>203</v>
      </c>
      <c r="EXO11" s="314" t="s">
        <v>203</v>
      </c>
      <c r="EXP11" s="314" t="s">
        <v>203</v>
      </c>
      <c r="EXQ11" s="314" t="s">
        <v>203</v>
      </c>
      <c r="EXR11" s="314" t="s">
        <v>203</v>
      </c>
      <c r="EXS11" s="314" t="s">
        <v>203</v>
      </c>
      <c r="EXT11" s="314" t="s">
        <v>203</v>
      </c>
      <c r="EXU11" s="314" t="s">
        <v>203</v>
      </c>
      <c r="EXV11" s="314" t="s">
        <v>203</v>
      </c>
      <c r="EXW11" s="314" t="s">
        <v>203</v>
      </c>
      <c r="EXX11" s="314" t="s">
        <v>203</v>
      </c>
      <c r="EXY11" s="314" t="s">
        <v>203</v>
      </c>
      <c r="EXZ11" s="314" t="s">
        <v>203</v>
      </c>
      <c r="EYA11" s="314" t="s">
        <v>203</v>
      </c>
      <c r="EYB11" s="314" t="s">
        <v>203</v>
      </c>
      <c r="EYC11" s="314" t="s">
        <v>203</v>
      </c>
      <c r="EYD11" s="314" t="s">
        <v>203</v>
      </c>
      <c r="EYE11" s="314" t="s">
        <v>203</v>
      </c>
      <c r="EYF11" s="314" t="s">
        <v>203</v>
      </c>
      <c r="EYG11" s="314" t="s">
        <v>203</v>
      </c>
      <c r="EYH11" s="314" t="s">
        <v>203</v>
      </c>
      <c r="EYI11" s="314" t="s">
        <v>203</v>
      </c>
      <c r="EYJ11" s="314" t="s">
        <v>203</v>
      </c>
      <c r="EYK11" s="314" t="s">
        <v>203</v>
      </c>
      <c r="EYL11" s="314" t="s">
        <v>203</v>
      </c>
      <c r="EYM11" s="314" t="s">
        <v>203</v>
      </c>
      <c r="EYN11" s="314" t="s">
        <v>203</v>
      </c>
      <c r="EYO11" s="314" t="s">
        <v>203</v>
      </c>
      <c r="EYP11" s="314" t="s">
        <v>203</v>
      </c>
      <c r="EYQ11" s="314" t="s">
        <v>203</v>
      </c>
      <c r="EYR11" s="314" t="s">
        <v>203</v>
      </c>
      <c r="EYS11" s="314" t="s">
        <v>203</v>
      </c>
      <c r="EYT11" s="314" t="s">
        <v>203</v>
      </c>
      <c r="EYU11" s="314" t="s">
        <v>203</v>
      </c>
      <c r="EYV11" s="314" t="s">
        <v>203</v>
      </c>
      <c r="EYW11" s="314" t="s">
        <v>203</v>
      </c>
      <c r="EYX11" s="314" t="s">
        <v>203</v>
      </c>
      <c r="EYY11" s="314" t="s">
        <v>203</v>
      </c>
      <c r="EYZ11" s="314" t="s">
        <v>203</v>
      </c>
      <c r="EZA11" s="314" t="s">
        <v>203</v>
      </c>
      <c r="EZB11" s="314" t="s">
        <v>203</v>
      </c>
      <c r="EZC11" s="314" t="s">
        <v>203</v>
      </c>
      <c r="EZD11" s="314" t="s">
        <v>203</v>
      </c>
      <c r="EZE11" s="314" t="s">
        <v>203</v>
      </c>
      <c r="EZF11" s="314" t="s">
        <v>203</v>
      </c>
      <c r="EZG11" s="314" t="s">
        <v>203</v>
      </c>
      <c r="EZH11" s="314" t="s">
        <v>203</v>
      </c>
      <c r="EZI11" s="314" t="s">
        <v>203</v>
      </c>
      <c r="EZJ11" s="314" t="s">
        <v>203</v>
      </c>
      <c r="EZK11" s="314" t="s">
        <v>203</v>
      </c>
      <c r="EZL11" s="314" t="s">
        <v>203</v>
      </c>
      <c r="EZM11" s="314" t="s">
        <v>203</v>
      </c>
      <c r="EZN11" s="314" t="s">
        <v>203</v>
      </c>
      <c r="EZO11" s="314" t="s">
        <v>203</v>
      </c>
      <c r="EZP11" s="314" t="s">
        <v>203</v>
      </c>
      <c r="EZQ11" s="314" t="s">
        <v>203</v>
      </c>
      <c r="EZR11" s="314" t="s">
        <v>203</v>
      </c>
      <c r="EZS11" s="314" t="s">
        <v>203</v>
      </c>
      <c r="EZT11" s="314" t="s">
        <v>203</v>
      </c>
      <c r="EZU11" s="314" t="s">
        <v>203</v>
      </c>
      <c r="EZV11" s="314" t="s">
        <v>203</v>
      </c>
      <c r="EZW11" s="314" t="s">
        <v>203</v>
      </c>
      <c r="EZX11" s="314" t="s">
        <v>203</v>
      </c>
      <c r="EZY11" s="314" t="s">
        <v>203</v>
      </c>
      <c r="EZZ11" s="314" t="s">
        <v>203</v>
      </c>
      <c r="FAA11" s="314" t="s">
        <v>203</v>
      </c>
      <c r="FAB11" s="314" t="s">
        <v>203</v>
      </c>
      <c r="FAC11" s="314" t="s">
        <v>203</v>
      </c>
      <c r="FAD11" s="314" t="s">
        <v>203</v>
      </c>
      <c r="FAE11" s="314" t="s">
        <v>203</v>
      </c>
      <c r="FAF11" s="314" t="s">
        <v>203</v>
      </c>
      <c r="FAG11" s="314" t="s">
        <v>203</v>
      </c>
      <c r="FAH11" s="314" t="s">
        <v>203</v>
      </c>
      <c r="FAI11" s="314" t="s">
        <v>203</v>
      </c>
      <c r="FAJ11" s="314" t="s">
        <v>203</v>
      </c>
      <c r="FAK11" s="314" t="s">
        <v>203</v>
      </c>
      <c r="FAL11" s="314" t="s">
        <v>203</v>
      </c>
      <c r="FAM11" s="314" t="s">
        <v>203</v>
      </c>
      <c r="FAN11" s="314" t="s">
        <v>203</v>
      </c>
      <c r="FAO11" s="314" t="s">
        <v>203</v>
      </c>
      <c r="FAP11" s="314" t="s">
        <v>203</v>
      </c>
      <c r="FAQ11" s="314" t="s">
        <v>203</v>
      </c>
      <c r="FAR11" s="314" t="s">
        <v>203</v>
      </c>
      <c r="FAS11" s="314" t="s">
        <v>203</v>
      </c>
      <c r="FAT11" s="314" t="s">
        <v>203</v>
      </c>
      <c r="FAU11" s="314" t="s">
        <v>203</v>
      </c>
      <c r="FAV11" s="314" t="s">
        <v>203</v>
      </c>
      <c r="FAW11" s="314" t="s">
        <v>203</v>
      </c>
      <c r="FAX11" s="314" t="s">
        <v>203</v>
      </c>
      <c r="FAY11" s="314" t="s">
        <v>203</v>
      </c>
      <c r="FAZ11" s="314" t="s">
        <v>203</v>
      </c>
      <c r="FBA11" s="314" t="s">
        <v>203</v>
      </c>
      <c r="FBB11" s="314" t="s">
        <v>203</v>
      </c>
      <c r="FBC11" s="314" t="s">
        <v>203</v>
      </c>
      <c r="FBD11" s="314" t="s">
        <v>203</v>
      </c>
      <c r="FBE11" s="314" t="s">
        <v>203</v>
      </c>
      <c r="FBF11" s="314" t="s">
        <v>203</v>
      </c>
      <c r="FBG11" s="314" t="s">
        <v>203</v>
      </c>
      <c r="FBH11" s="314" t="s">
        <v>203</v>
      </c>
      <c r="FBI11" s="314" t="s">
        <v>203</v>
      </c>
      <c r="FBJ11" s="314" t="s">
        <v>203</v>
      </c>
      <c r="FBK11" s="314" t="s">
        <v>203</v>
      </c>
      <c r="FBL11" s="314" t="s">
        <v>203</v>
      </c>
      <c r="FBM11" s="314" t="s">
        <v>203</v>
      </c>
      <c r="FBN11" s="314" t="s">
        <v>203</v>
      </c>
      <c r="FBO11" s="314" t="s">
        <v>203</v>
      </c>
      <c r="FBP11" s="314" t="s">
        <v>203</v>
      </c>
      <c r="FBQ11" s="314" t="s">
        <v>203</v>
      </c>
      <c r="FBR11" s="314" t="s">
        <v>203</v>
      </c>
      <c r="FBS11" s="314" t="s">
        <v>203</v>
      </c>
      <c r="FBT11" s="314" t="s">
        <v>203</v>
      </c>
      <c r="FBU11" s="314" t="s">
        <v>203</v>
      </c>
      <c r="FBV11" s="314" t="s">
        <v>203</v>
      </c>
      <c r="FBW11" s="314" t="s">
        <v>203</v>
      </c>
      <c r="FBX11" s="314" t="s">
        <v>203</v>
      </c>
      <c r="FBY11" s="314" t="s">
        <v>203</v>
      </c>
      <c r="FBZ11" s="314" t="s">
        <v>203</v>
      </c>
      <c r="FCA11" s="314" t="s">
        <v>203</v>
      </c>
      <c r="FCB11" s="314" t="s">
        <v>203</v>
      </c>
      <c r="FCC11" s="314" t="s">
        <v>203</v>
      </c>
      <c r="FCD11" s="314" t="s">
        <v>203</v>
      </c>
      <c r="FCE11" s="314" t="s">
        <v>203</v>
      </c>
      <c r="FCF11" s="314" t="s">
        <v>203</v>
      </c>
      <c r="FCG11" s="314" t="s">
        <v>203</v>
      </c>
      <c r="FCH11" s="314" t="s">
        <v>203</v>
      </c>
      <c r="FCI11" s="314" t="s">
        <v>203</v>
      </c>
      <c r="FCJ11" s="314" t="s">
        <v>203</v>
      </c>
      <c r="FCK11" s="314" t="s">
        <v>203</v>
      </c>
      <c r="FCL11" s="314" t="s">
        <v>203</v>
      </c>
      <c r="FCM11" s="314" t="s">
        <v>203</v>
      </c>
      <c r="FCN11" s="314" t="s">
        <v>203</v>
      </c>
      <c r="FCO11" s="314" t="s">
        <v>203</v>
      </c>
      <c r="FCP11" s="314" t="s">
        <v>203</v>
      </c>
      <c r="FCQ11" s="314" t="s">
        <v>203</v>
      </c>
      <c r="FCR11" s="314" t="s">
        <v>203</v>
      </c>
      <c r="FCS11" s="314" t="s">
        <v>203</v>
      </c>
      <c r="FCT11" s="314" t="s">
        <v>203</v>
      </c>
      <c r="FCU11" s="314" t="s">
        <v>203</v>
      </c>
      <c r="FCV11" s="314" t="s">
        <v>203</v>
      </c>
      <c r="FCW11" s="314" t="s">
        <v>203</v>
      </c>
      <c r="FCX11" s="314" t="s">
        <v>203</v>
      </c>
      <c r="FCY11" s="314" t="s">
        <v>203</v>
      </c>
      <c r="FCZ11" s="314" t="s">
        <v>203</v>
      </c>
      <c r="FDA11" s="314" t="s">
        <v>203</v>
      </c>
      <c r="FDB11" s="314" t="s">
        <v>203</v>
      </c>
      <c r="FDC11" s="314" t="s">
        <v>203</v>
      </c>
      <c r="FDD11" s="314" t="s">
        <v>203</v>
      </c>
      <c r="FDE11" s="314" t="s">
        <v>203</v>
      </c>
      <c r="FDF11" s="314" t="s">
        <v>203</v>
      </c>
      <c r="FDG11" s="314" t="s">
        <v>203</v>
      </c>
      <c r="FDH11" s="314" t="s">
        <v>203</v>
      </c>
      <c r="FDI11" s="314" t="s">
        <v>203</v>
      </c>
      <c r="FDJ11" s="314" t="s">
        <v>203</v>
      </c>
      <c r="FDK11" s="314" t="s">
        <v>203</v>
      </c>
      <c r="FDL11" s="314" t="s">
        <v>203</v>
      </c>
      <c r="FDM11" s="314" t="s">
        <v>203</v>
      </c>
      <c r="FDN11" s="314" t="s">
        <v>203</v>
      </c>
      <c r="FDO11" s="314" t="s">
        <v>203</v>
      </c>
      <c r="FDP11" s="314" t="s">
        <v>203</v>
      </c>
      <c r="FDQ11" s="314" t="s">
        <v>203</v>
      </c>
      <c r="FDR11" s="314" t="s">
        <v>203</v>
      </c>
      <c r="FDS11" s="314" t="s">
        <v>203</v>
      </c>
      <c r="FDT11" s="314" t="s">
        <v>203</v>
      </c>
      <c r="FDU11" s="314" t="s">
        <v>203</v>
      </c>
      <c r="FDV11" s="314" t="s">
        <v>203</v>
      </c>
      <c r="FDW11" s="314" t="s">
        <v>203</v>
      </c>
      <c r="FDX11" s="314" t="s">
        <v>203</v>
      </c>
      <c r="FDY11" s="314" t="s">
        <v>203</v>
      </c>
      <c r="FDZ11" s="314" t="s">
        <v>203</v>
      </c>
      <c r="FEA11" s="314" t="s">
        <v>203</v>
      </c>
      <c r="FEB11" s="314" t="s">
        <v>203</v>
      </c>
      <c r="FEC11" s="314" t="s">
        <v>203</v>
      </c>
      <c r="FED11" s="314" t="s">
        <v>203</v>
      </c>
      <c r="FEE11" s="314" t="s">
        <v>203</v>
      </c>
      <c r="FEF11" s="314" t="s">
        <v>203</v>
      </c>
      <c r="FEG11" s="314" t="s">
        <v>203</v>
      </c>
      <c r="FEH11" s="314" t="s">
        <v>203</v>
      </c>
      <c r="FEI11" s="314" t="s">
        <v>203</v>
      </c>
      <c r="FEJ11" s="314" t="s">
        <v>203</v>
      </c>
      <c r="FEK11" s="314" t="s">
        <v>203</v>
      </c>
      <c r="FEL11" s="314" t="s">
        <v>203</v>
      </c>
      <c r="FEM11" s="314" t="s">
        <v>203</v>
      </c>
      <c r="FEN11" s="314" t="s">
        <v>203</v>
      </c>
      <c r="FEO11" s="314" t="s">
        <v>203</v>
      </c>
      <c r="FEP11" s="314" t="s">
        <v>203</v>
      </c>
      <c r="FEQ11" s="314" t="s">
        <v>203</v>
      </c>
      <c r="FER11" s="314" t="s">
        <v>203</v>
      </c>
      <c r="FES11" s="314" t="s">
        <v>203</v>
      </c>
      <c r="FET11" s="314" t="s">
        <v>203</v>
      </c>
      <c r="FEU11" s="314" t="s">
        <v>203</v>
      </c>
      <c r="FEV11" s="314" t="s">
        <v>203</v>
      </c>
      <c r="FEW11" s="314" t="s">
        <v>203</v>
      </c>
      <c r="FEX11" s="314" t="s">
        <v>203</v>
      </c>
      <c r="FEY11" s="314" t="s">
        <v>203</v>
      </c>
      <c r="FEZ11" s="314" t="s">
        <v>203</v>
      </c>
      <c r="FFA11" s="314" t="s">
        <v>203</v>
      </c>
      <c r="FFB11" s="314" t="s">
        <v>203</v>
      </c>
      <c r="FFC11" s="314" t="s">
        <v>203</v>
      </c>
      <c r="FFD11" s="314" t="s">
        <v>203</v>
      </c>
      <c r="FFE11" s="314" t="s">
        <v>203</v>
      </c>
      <c r="FFF11" s="314" t="s">
        <v>203</v>
      </c>
      <c r="FFG11" s="314" t="s">
        <v>203</v>
      </c>
      <c r="FFH11" s="314" t="s">
        <v>203</v>
      </c>
      <c r="FFI11" s="314" t="s">
        <v>203</v>
      </c>
      <c r="FFJ11" s="314" t="s">
        <v>203</v>
      </c>
      <c r="FFK11" s="314" t="s">
        <v>203</v>
      </c>
      <c r="FFL11" s="314" t="s">
        <v>203</v>
      </c>
      <c r="FFM11" s="314" t="s">
        <v>203</v>
      </c>
      <c r="FFN11" s="314" t="s">
        <v>203</v>
      </c>
      <c r="FFO11" s="314" t="s">
        <v>203</v>
      </c>
      <c r="FFP11" s="314" t="s">
        <v>203</v>
      </c>
      <c r="FFQ11" s="314" t="s">
        <v>203</v>
      </c>
      <c r="FFR11" s="314" t="s">
        <v>203</v>
      </c>
      <c r="FFS11" s="314" t="s">
        <v>203</v>
      </c>
      <c r="FFT11" s="314" t="s">
        <v>203</v>
      </c>
      <c r="FFU11" s="314" t="s">
        <v>203</v>
      </c>
      <c r="FFV11" s="314" t="s">
        <v>203</v>
      </c>
      <c r="FFW11" s="314" t="s">
        <v>203</v>
      </c>
      <c r="FFX11" s="314" t="s">
        <v>203</v>
      </c>
      <c r="FFY11" s="314" t="s">
        <v>203</v>
      </c>
      <c r="FFZ11" s="314" t="s">
        <v>203</v>
      </c>
      <c r="FGA11" s="314" t="s">
        <v>203</v>
      </c>
      <c r="FGB11" s="314" t="s">
        <v>203</v>
      </c>
      <c r="FGC11" s="314" t="s">
        <v>203</v>
      </c>
      <c r="FGD11" s="314" t="s">
        <v>203</v>
      </c>
      <c r="FGE11" s="314" t="s">
        <v>203</v>
      </c>
      <c r="FGF11" s="314" t="s">
        <v>203</v>
      </c>
      <c r="FGG11" s="314" t="s">
        <v>203</v>
      </c>
      <c r="FGH11" s="314" t="s">
        <v>203</v>
      </c>
      <c r="FGI11" s="314" t="s">
        <v>203</v>
      </c>
      <c r="FGJ11" s="314" t="s">
        <v>203</v>
      </c>
      <c r="FGK11" s="314" t="s">
        <v>203</v>
      </c>
      <c r="FGL11" s="314" t="s">
        <v>203</v>
      </c>
      <c r="FGM11" s="314" t="s">
        <v>203</v>
      </c>
      <c r="FGN11" s="314" t="s">
        <v>203</v>
      </c>
      <c r="FGO11" s="314" t="s">
        <v>203</v>
      </c>
      <c r="FGP11" s="314" t="s">
        <v>203</v>
      </c>
      <c r="FGQ11" s="314" t="s">
        <v>203</v>
      </c>
      <c r="FGR11" s="314" t="s">
        <v>203</v>
      </c>
      <c r="FGS11" s="314" t="s">
        <v>203</v>
      </c>
      <c r="FGT11" s="314" t="s">
        <v>203</v>
      </c>
      <c r="FGU11" s="314" t="s">
        <v>203</v>
      </c>
      <c r="FGV11" s="314" t="s">
        <v>203</v>
      </c>
      <c r="FGW11" s="314" t="s">
        <v>203</v>
      </c>
      <c r="FGX11" s="314" t="s">
        <v>203</v>
      </c>
      <c r="FGY11" s="314" t="s">
        <v>203</v>
      </c>
      <c r="FGZ11" s="314" t="s">
        <v>203</v>
      </c>
      <c r="FHA11" s="314" t="s">
        <v>203</v>
      </c>
      <c r="FHB11" s="314" t="s">
        <v>203</v>
      </c>
      <c r="FHC11" s="314" t="s">
        <v>203</v>
      </c>
      <c r="FHD11" s="314" t="s">
        <v>203</v>
      </c>
      <c r="FHE11" s="314" t="s">
        <v>203</v>
      </c>
      <c r="FHF11" s="314" t="s">
        <v>203</v>
      </c>
      <c r="FHG11" s="314" t="s">
        <v>203</v>
      </c>
      <c r="FHH11" s="314" t="s">
        <v>203</v>
      </c>
      <c r="FHI11" s="314" t="s">
        <v>203</v>
      </c>
      <c r="FHJ11" s="314" t="s">
        <v>203</v>
      </c>
      <c r="FHK11" s="314" t="s">
        <v>203</v>
      </c>
      <c r="FHL11" s="314" t="s">
        <v>203</v>
      </c>
      <c r="FHM11" s="314" t="s">
        <v>203</v>
      </c>
      <c r="FHN11" s="314" t="s">
        <v>203</v>
      </c>
      <c r="FHO11" s="314" t="s">
        <v>203</v>
      </c>
      <c r="FHP11" s="314" t="s">
        <v>203</v>
      </c>
      <c r="FHQ11" s="314" t="s">
        <v>203</v>
      </c>
      <c r="FHR11" s="314" t="s">
        <v>203</v>
      </c>
      <c r="FHS11" s="314" t="s">
        <v>203</v>
      </c>
      <c r="FHT11" s="314" t="s">
        <v>203</v>
      </c>
      <c r="FHU11" s="314" t="s">
        <v>203</v>
      </c>
      <c r="FHV11" s="314" t="s">
        <v>203</v>
      </c>
      <c r="FHW11" s="314" t="s">
        <v>203</v>
      </c>
      <c r="FHX11" s="314" t="s">
        <v>203</v>
      </c>
      <c r="FHY11" s="314" t="s">
        <v>203</v>
      </c>
      <c r="FHZ11" s="314" t="s">
        <v>203</v>
      </c>
      <c r="FIA11" s="314" t="s">
        <v>203</v>
      </c>
      <c r="FIB11" s="314" t="s">
        <v>203</v>
      </c>
      <c r="FIC11" s="314" t="s">
        <v>203</v>
      </c>
      <c r="FID11" s="314" t="s">
        <v>203</v>
      </c>
      <c r="FIE11" s="314" t="s">
        <v>203</v>
      </c>
      <c r="FIF11" s="314" t="s">
        <v>203</v>
      </c>
      <c r="FIG11" s="314" t="s">
        <v>203</v>
      </c>
      <c r="FIH11" s="314" t="s">
        <v>203</v>
      </c>
      <c r="FII11" s="314" t="s">
        <v>203</v>
      </c>
      <c r="FIJ11" s="314" t="s">
        <v>203</v>
      </c>
      <c r="FIK11" s="314" t="s">
        <v>203</v>
      </c>
      <c r="FIL11" s="314" t="s">
        <v>203</v>
      </c>
      <c r="FIM11" s="314" t="s">
        <v>203</v>
      </c>
      <c r="FIN11" s="314" t="s">
        <v>203</v>
      </c>
      <c r="FIO11" s="314" t="s">
        <v>203</v>
      </c>
      <c r="FIP11" s="314" t="s">
        <v>203</v>
      </c>
      <c r="FIQ11" s="314" t="s">
        <v>203</v>
      </c>
      <c r="FIR11" s="314" t="s">
        <v>203</v>
      </c>
      <c r="FIS11" s="314" t="s">
        <v>203</v>
      </c>
      <c r="FIT11" s="314" t="s">
        <v>203</v>
      </c>
      <c r="FIU11" s="314" t="s">
        <v>203</v>
      </c>
      <c r="FIV11" s="314" t="s">
        <v>203</v>
      </c>
      <c r="FIW11" s="314" t="s">
        <v>203</v>
      </c>
      <c r="FIX11" s="314" t="s">
        <v>203</v>
      </c>
      <c r="FIY11" s="314" t="s">
        <v>203</v>
      </c>
      <c r="FIZ11" s="314" t="s">
        <v>203</v>
      </c>
      <c r="FJA11" s="314" t="s">
        <v>203</v>
      </c>
      <c r="FJB11" s="314" t="s">
        <v>203</v>
      </c>
      <c r="FJC11" s="314" t="s">
        <v>203</v>
      </c>
      <c r="FJD11" s="314" t="s">
        <v>203</v>
      </c>
      <c r="FJE11" s="314" t="s">
        <v>203</v>
      </c>
      <c r="FJF11" s="314" t="s">
        <v>203</v>
      </c>
      <c r="FJG11" s="314" t="s">
        <v>203</v>
      </c>
      <c r="FJH11" s="314" t="s">
        <v>203</v>
      </c>
      <c r="FJI11" s="314" t="s">
        <v>203</v>
      </c>
      <c r="FJJ11" s="314" t="s">
        <v>203</v>
      </c>
      <c r="FJK11" s="314" t="s">
        <v>203</v>
      </c>
      <c r="FJL11" s="314" t="s">
        <v>203</v>
      </c>
      <c r="FJM11" s="314" t="s">
        <v>203</v>
      </c>
      <c r="FJN11" s="314" t="s">
        <v>203</v>
      </c>
      <c r="FJO11" s="314" t="s">
        <v>203</v>
      </c>
      <c r="FJP11" s="314" t="s">
        <v>203</v>
      </c>
      <c r="FJQ11" s="314" t="s">
        <v>203</v>
      </c>
      <c r="FJR11" s="314" t="s">
        <v>203</v>
      </c>
      <c r="FJS11" s="314" t="s">
        <v>203</v>
      </c>
      <c r="FJT11" s="314" t="s">
        <v>203</v>
      </c>
      <c r="FJU11" s="314" t="s">
        <v>203</v>
      </c>
      <c r="FJV11" s="314" t="s">
        <v>203</v>
      </c>
      <c r="FJW11" s="314" t="s">
        <v>203</v>
      </c>
      <c r="FJX11" s="314" t="s">
        <v>203</v>
      </c>
      <c r="FJY11" s="314" t="s">
        <v>203</v>
      </c>
      <c r="FJZ11" s="314" t="s">
        <v>203</v>
      </c>
      <c r="FKA11" s="314" t="s">
        <v>203</v>
      </c>
      <c r="FKB11" s="314" t="s">
        <v>203</v>
      </c>
      <c r="FKC11" s="314" t="s">
        <v>203</v>
      </c>
      <c r="FKD11" s="314" t="s">
        <v>203</v>
      </c>
      <c r="FKE11" s="314" t="s">
        <v>203</v>
      </c>
      <c r="FKF11" s="314" t="s">
        <v>203</v>
      </c>
      <c r="FKG11" s="314" t="s">
        <v>203</v>
      </c>
      <c r="FKH11" s="314" t="s">
        <v>203</v>
      </c>
      <c r="FKI11" s="314" t="s">
        <v>203</v>
      </c>
      <c r="FKJ11" s="314" t="s">
        <v>203</v>
      </c>
      <c r="FKK11" s="314" t="s">
        <v>203</v>
      </c>
      <c r="FKL11" s="314" t="s">
        <v>203</v>
      </c>
      <c r="FKM11" s="314" t="s">
        <v>203</v>
      </c>
      <c r="FKN11" s="314" t="s">
        <v>203</v>
      </c>
      <c r="FKO11" s="314" t="s">
        <v>203</v>
      </c>
      <c r="FKP11" s="314" t="s">
        <v>203</v>
      </c>
      <c r="FKQ11" s="314" t="s">
        <v>203</v>
      </c>
      <c r="FKR11" s="314" t="s">
        <v>203</v>
      </c>
      <c r="FKS11" s="314" t="s">
        <v>203</v>
      </c>
      <c r="FKT11" s="314" t="s">
        <v>203</v>
      </c>
      <c r="FKU11" s="314" t="s">
        <v>203</v>
      </c>
      <c r="FKV11" s="314" t="s">
        <v>203</v>
      </c>
      <c r="FKW11" s="314" t="s">
        <v>203</v>
      </c>
      <c r="FKX11" s="314" t="s">
        <v>203</v>
      </c>
      <c r="FKY11" s="314" t="s">
        <v>203</v>
      </c>
      <c r="FKZ11" s="314" t="s">
        <v>203</v>
      </c>
      <c r="FLA11" s="314" t="s">
        <v>203</v>
      </c>
      <c r="FLB11" s="314" t="s">
        <v>203</v>
      </c>
      <c r="FLC11" s="314" t="s">
        <v>203</v>
      </c>
      <c r="FLD11" s="314" t="s">
        <v>203</v>
      </c>
      <c r="FLE11" s="314" t="s">
        <v>203</v>
      </c>
      <c r="FLF11" s="314" t="s">
        <v>203</v>
      </c>
      <c r="FLG11" s="314" t="s">
        <v>203</v>
      </c>
      <c r="FLH11" s="314" t="s">
        <v>203</v>
      </c>
      <c r="FLI11" s="314" t="s">
        <v>203</v>
      </c>
      <c r="FLJ11" s="314" t="s">
        <v>203</v>
      </c>
      <c r="FLK11" s="314" t="s">
        <v>203</v>
      </c>
      <c r="FLL11" s="314" t="s">
        <v>203</v>
      </c>
      <c r="FLM11" s="314" t="s">
        <v>203</v>
      </c>
      <c r="FLN11" s="314" t="s">
        <v>203</v>
      </c>
      <c r="FLO11" s="314" t="s">
        <v>203</v>
      </c>
      <c r="FLP11" s="314" t="s">
        <v>203</v>
      </c>
      <c r="FLQ11" s="314" t="s">
        <v>203</v>
      </c>
      <c r="FLR11" s="314" t="s">
        <v>203</v>
      </c>
      <c r="FLS11" s="314" t="s">
        <v>203</v>
      </c>
      <c r="FLT11" s="314" t="s">
        <v>203</v>
      </c>
      <c r="FLU11" s="314" t="s">
        <v>203</v>
      </c>
      <c r="FLV11" s="314" t="s">
        <v>203</v>
      </c>
      <c r="FLW11" s="314" t="s">
        <v>203</v>
      </c>
      <c r="FLX11" s="314" t="s">
        <v>203</v>
      </c>
      <c r="FLY11" s="314" t="s">
        <v>203</v>
      </c>
      <c r="FLZ11" s="314" t="s">
        <v>203</v>
      </c>
      <c r="FMA11" s="314" t="s">
        <v>203</v>
      </c>
      <c r="FMB11" s="314" t="s">
        <v>203</v>
      </c>
      <c r="FMC11" s="314" t="s">
        <v>203</v>
      </c>
      <c r="FMD11" s="314" t="s">
        <v>203</v>
      </c>
      <c r="FME11" s="314" t="s">
        <v>203</v>
      </c>
      <c r="FMF11" s="314" t="s">
        <v>203</v>
      </c>
      <c r="FMG11" s="314" t="s">
        <v>203</v>
      </c>
      <c r="FMH11" s="314" t="s">
        <v>203</v>
      </c>
      <c r="FMI11" s="314" t="s">
        <v>203</v>
      </c>
      <c r="FMJ11" s="314" t="s">
        <v>203</v>
      </c>
      <c r="FMK11" s="314" t="s">
        <v>203</v>
      </c>
      <c r="FML11" s="314" t="s">
        <v>203</v>
      </c>
      <c r="FMM11" s="314" t="s">
        <v>203</v>
      </c>
      <c r="FMN11" s="314" t="s">
        <v>203</v>
      </c>
      <c r="FMO11" s="314" t="s">
        <v>203</v>
      </c>
      <c r="FMP11" s="314" t="s">
        <v>203</v>
      </c>
      <c r="FMQ11" s="314" t="s">
        <v>203</v>
      </c>
      <c r="FMR11" s="314" t="s">
        <v>203</v>
      </c>
      <c r="FMS11" s="314" t="s">
        <v>203</v>
      </c>
      <c r="FMT11" s="314" t="s">
        <v>203</v>
      </c>
      <c r="FMU11" s="314" t="s">
        <v>203</v>
      </c>
      <c r="FMV11" s="314" t="s">
        <v>203</v>
      </c>
      <c r="FMW11" s="314" t="s">
        <v>203</v>
      </c>
      <c r="FMX11" s="314" t="s">
        <v>203</v>
      </c>
      <c r="FMY11" s="314" t="s">
        <v>203</v>
      </c>
      <c r="FMZ11" s="314" t="s">
        <v>203</v>
      </c>
      <c r="FNA11" s="314" t="s">
        <v>203</v>
      </c>
      <c r="FNB11" s="314" t="s">
        <v>203</v>
      </c>
      <c r="FNC11" s="314" t="s">
        <v>203</v>
      </c>
      <c r="FND11" s="314" t="s">
        <v>203</v>
      </c>
      <c r="FNE11" s="314" t="s">
        <v>203</v>
      </c>
      <c r="FNF11" s="314" t="s">
        <v>203</v>
      </c>
      <c r="FNG11" s="314" t="s">
        <v>203</v>
      </c>
      <c r="FNH11" s="314" t="s">
        <v>203</v>
      </c>
      <c r="FNI11" s="314" t="s">
        <v>203</v>
      </c>
      <c r="FNJ11" s="314" t="s">
        <v>203</v>
      </c>
      <c r="FNK11" s="314" t="s">
        <v>203</v>
      </c>
      <c r="FNL11" s="314" t="s">
        <v>203</v>
      </c>
      <c r="FNM11" s="314" t="s">
        <v>203</v>
      </c>
      <c r="FNN11" s="314" t="s">
        <v>203</v>
      </c>
      <c r="FNO11" s="314" t="s">
        <v>203</v>
      </c>
      <c r="FNP11" s="314" t="s">
        <v>203</v>
      </c>
      <c r="FNQ11" s="314" t="s">
        <v>203</v>
      </c>
      <c r="FNR11" s="314" t="s">
        <v>203</v>
      </c>
      <c r="FNS11" s="314" t="s">
        <v>203</v>
      </c>
      <c r="FNT11" s="314" t="s">
        <v>203</v>
      </c>
      <c r="FNU11" s="314" t="s">
        <v>203</v>
      </c>
      <c r="FNV11" s="314" t="s">
        <v>203</v>
      </c>
      <c r="FNW11" s="314" t="s">
        <v>203</v>
      </c>
      <c r="FNX11" s="314" t="s">
        <v>203</v>
      </c>
      <c r="FNY11" s="314" t="s">
        <v>203</v>
      </c>
      <c r="FNZ11" s="314" t="s">
        <v>203</v>
      </c>
      <c r="FOA11" s="314" t="s">
        <v>203</v>
      </c>
      <c r="FOB11" s="314" t="s">
        <v>203</v>
      </c>
      <c r="FOC11" s="314" t="s">
        <v>203</v>
      </c>
      <c r="FOD11" s="314" t="s">
        <v>203</v>
      </c>
      <c r="FOE11" s="314" t="s">
        <v>203</v>
      </c>
      <c r="FOF11" s="314" t="s">
        <v>203</v>
      </c>
      <c r="FOG11" s="314" t="s">
        <v>203</v>
      </c>
      <c r="FOH11" s="314" t="s">
        <v>203</v>
      </c>
      <c r="FOI11" s="314" t="s">
        <v>203</v>
      </c>
      <c r="FOJ11" s="314" t="s">
        <v>203</v>
      </c>
      <c r="FOK11" s="314" t="s">
        <v>203</v>
      </c>
      <c r="FOL11" s="314" t="s">
        <v>203</v>
      </c>
      <c r="FOM11" s="314" t="s">
        <v>203</v>
      </c>
      <c r="FON11" s="314" t="s">
        <v>203</v>
      </c>
      <c r="FOO11" s="314" t="s">
        <v>203</v>
      </c>
      <c r="FOP11" s="314" t="s">
        <v>203</v>
      </c>
      <c r="FOQ11" s="314" t="s">
        <v>203</v>
      </c>
      <c r="FOR11" s="314" t="s">
        <v>203</v>
      </c>
      <c r="FOS11" s="314" t="s">
        <v>203</v>
      </c>
      <c r="FOT11" s="314" t="s">
        <v>203</v>
      </c>
      <c r="FOU11" s="314" t="s">
        <v>203</v>
      </c>
      <c r="FOV11" s="314" t="s">
        <v>203</v>
      </c>
      <c r="FOW11" s="314" t="s">
        <v>203</v>
      </c>
      <c r="FOX11" s="314" t="s">
        <v>203</v>
      </c>
      <c r="FOY11" s="314" t="s">
        <v>203</v>
      </c>
      <c r="FOZ11" s="314" t="s">
        <v>203</v>
      </c>
      <c r="FPA11" s="314" t="s">
        <v>203</v>
      </c>
      <c r="FPB11" s="314" t="s">
        <v>203</v>
      </c>
      <c r="FPC11" s="314" t="s">
        <v>203</v>
      </c>
      <c r="FPD11" s="314" t="s">
        <v>203</v>
      </c>
      <c r="FPE11" s="314" t="s">
        <v>203</v>
      </c>
      <c r="FPF11" s="314" t="s">
        <v>203</v>
      </c>
      <c r="FPG11" s="314" t="s">
        <v>203</v>
      </c>
      <c r="FPH11" s="314" t="s">
        <v>203</v>
      </c>
      <c r="FPI11" s="314" t="s">
        <v>203</v>
      </c>
      <c r="FPJ11" s="314" t="s">
        <v>203</v>
      </c>
      <c r="FPK11" s="314" t="s">
        <v>203</v>
      </c>
      <c r="FPL11" s="314" t="s">
        <v>203</v>
      </c>
      <c r="FPM11" s="314" t="s">
        <v>203</v>
      </c>
      <c r="FPN11" s="314" t="s">
        <v>203</v>
      </c>
      <c r="FPO11" s="314" t="s">
        <v>203</v>
      </c>
      <c r="FPP11" s="314" t="s">
        <v>203</v>
      </c>
      <c r="FPQ11" s="314" t="s">
        <v>203</v>
      </c>
      <c r="FPR11" s="314" t="s">
        <v>203</v>
      </c>
      <c r="FPS11" s="314" t="s">
        <v>203</v>
      </c>
      <c r="FPT11" s="314" t="s">
        <v>203</v>
      </c>
      <c r="FPU11" s="314" t="s">
        <v>203</v>
      </c>
      <c r="FPV11" s="314" t="s">
        <v>203</v>
      </c>
      <c r="FPW11" s="314" t="s">
        <v>203</v>
      </c>
      <c r="FPX11" s="314" t="s">
        <v>203</v>
      </c>
      <c r="FPY11" s="314" t="s">
        <v>203</v>
      </c>
      <c r="FPZ11" s="314" t="s">
        <v>203</v>
      </c>
      <c r="FQA11" s="314" t="s">
        <v>203</v>
      </c>
      <c r="FQB11" s="314" t="s">
        <v>203</v>
      </c>
      <c r="FQC11" s="314" t="s">
        <v>203</v>
      </c>
      <c r="FQD11" s="314" t="s">
        <v>203</v>
      </c>
      <c r="FQE11" s="314" t="s">
        <v>203</v>
      </c>
      <c r="FQF11" s="314" t="s">
        <v>203</v>
      </c>
      <c r="FQG11" s="314" t="s">
        <v>203</v>
      </c>
      <c r="FQH11" s="314" t="s">
        <v>203</v>
      </c>
      <c r="FQI11" s="314" t="s">
        <v>203</v>
      </c>
      <c r="FQJ11" s="314" t="s">
        <v>203</v>
      </c>
      <c r="FQK11" s="314" t="s">
        <v>203</v>
      </c>
      <c r="FQL11" s="314" t="s">
        <v>203</v>
      </c>
      <c r="FQM11" s="314" t="s">
        <v>203</v>
      </c>
      <c r="FQN11" s="314" t="s">
        <v>203</v>
      </c>
      <c r="FQO11" s="314" t="s">
        <v>203</v>
      </c>
      <c r="FQP11" s="314" t="s">
        <v>203</v>
      </c>
      <c r="FQQ11" s="314" t="s">
        <v>203</v>
      </c>
      <c r="FQR11" s="314" t="s">
        <v>203</v>
      </c>
      <c r="FQS11" s="314" t="s">
        <v>203</v>
      </c>
      <c r="FQT11" s="314" t="s">
        <v>203</v>
      </c>
      <c r="FQU11" s="314" t="s">
        <v>203</v>
      </c>
      <c r="FQV11" s="314" t="s">
        <v>203</v>
      </c>
      <c r="FQW11" s="314" t="s">
        <v>203</v>
      </c>
      <c r="FQX11" s="314" t="s">
        <v>203</v>
      </c>
      <c r="FQY11" s="314" t="s">
        <v>203</v>
      </c>
      <c r="FQZ11" s="314" t="s">
        <v>203</v>
      </c>
      <c r="FRA11" s="314" t="s">
        <v>203</v>
      </c>
      <c r="FRB11" s="314" t="s">
        <v>203</v>
      </c>
      <c r="FRC11" s="314" t="s">
        <v>203</v>
      </c>
      <c r="FRD11" s="314" t="s">
        <v>203</v>
      </c>
      <c r="FRE11" s="314" t="s">
        <v>203</v>
      </c>
      <c r="FRF11" s="314" t="s">
        <v>203</v>
      </c>
      <c r="FRG11" s="314" t="s">
        <v>203</v>
      </c>
      <c r="FRH11" s="314" t="s">
        <v>203</v>
      </c>
      <c r="FRI11" s="314" t="s">
        <v>203</v>
      </c>
      <c r="FRJ11" s="314" t="s">
        <v>203</v>
      </c>
      <c r="FRK11" s="314" t="s">
        <v>203</v>
      </c>
      <c r="FRL11" s="314" t="s">
        <v>203</v>
      </c>
      <c r="FRM11" s="314" t="s">
        <v>203</v>
      </c>
      <c r="FRN11" s="314" t="s">
        <v>203</v>
      </c>
      <c r="FRO11" s="314" t="s">
        <v>203</v>
      </c>
      <c r="FRP11" s="314" t="s">
        <v>203</v>
      </c>
      <c r="FRQ11" s="314" t="s">
        <v>203</v>
      </c>
      <c r="FRR11" s="314" t="s">
        <v>203</v>
      </c>
      <c r="FRS11" s="314" t="s">
        <v>203</v>
      </c>
      <c r="FRT11" s="314" t="s">
        <v>203</v>
      </c>
      <c r="FRU11" s="314" t="s">
        <v>203</v>
      </c>
      <c r="FRV11" s="314" t="s">
        <v>203</v>
      </c>
      <c r="FRW11" s="314" t="s">
        <v>203</v>
      </c>
      <c r="FRX11" s="314" t="s">
        <v>203</v>
      </c>
      <c r="FRY11" s="314" t="s">
        <v>203</v>
      </c>
      <c r="FRZ11" s="314" t="s">
        <v>203</v>
      </c>
      <c r="FSA11" s="314" t="s">
        <v>203</v>
      </c>
      <c r="FSB11" s="314" t="s">
        <v>203</v>
      </c>
      <c r="FSC11" s="314" t="s">
        <v>203</v>
      </c>
      <c r="FSD11" s="314" t="s">
        <v>203</v>
      </c>
      <c r="FSE11" s="314" t="s">
        <v>203</v>
      </c>
      <c r="FSF11" s="314" t="s">
        <v>203</v>
      </c>
      <c r="FSG11" s="314" t="s">
        <v>203</v>
      </c>
      <c r="FSH11" s="314" t="s">
        <v>203</v>
      </c>
      <c r="FSI11" s="314" t="s">
        <v>203</v>
      </c>
      <c r="FSJ11" s="314" t="s">
        <v>203</v>
      </c>
      <c r="FSK11" s="314" t="s">
        <v>203</v>
      </c>
      <c r="FSL11" s="314" t="s">
        <v>203</v>
      </c>
      <c r="FSM11" s="314" t="s">
        <v>203</v>
      </c>
      <c r="FSN11" s="314" t="s">
        <v>203</v>
      </c>
      <c r="FSO11" s="314" t="s">
        <v>203</v>
      </c>
      <c r="FSP11" s="314" t="s">
        <v>203</v>
      </c>
      <c r="FSQ11" s="314" t="s">
        <v>203</v>
      </c>
      <c r="FSR11" s="314" t="s">
        <v>203</v>
      </c>
      <c r="FSS11" s="314" t="s">
        <v>203</v>
      </c>
      <c r="FST11" s="314" t="s">
        <v>203</v>
      </c>
      <c r="FSU11" s="314" t="s">
        <v>203</v>
      </c>
      <c r="FSV11" s="314" t="s">
        <v>203</v>
      </c>
      <c r="FSW11" s="314" t="s">
        <v>203</v>
      </c>
      <c r="FSX11" s="314" t="s">
        <v>203</v>
      </c>
      <c r="FSY11" s="314" t="s">
        <v>203</v>
      </c>
      <c r="FSZ11" s="314" t="s">
        <v>203</v>
      </c>
      <c r="FTA11" s="314" t="s">
        <v>203</v>
      </c>
      <c r="FTB11" s="314" t="s">
        <v>203</v>
      </c>
      <c r="FTC11" s="314" t="s">
        <v>203</v>
      </c>
      <c r="FTD11" s="314" t="s">
        <v>203</v>
      </c>
      <c r="FTE11" s="314" t="s">
        <v>203</v>
      </c>
      <c r="FTF11" s="314" t="s">
        <v>203</v>
      </c>
      <c r="FTG11" s="314" t="s">
        <v>203</v>
      </c>
      <c r="FTH11" s="314" t="s">
        <v>203</v>
      </c>
      <c r="FTI11" s="314" t="s">
        <v>203</v>
      </c>
      <c r="FTJ11" s="314" t="s">
        <v>203</v>
      </c>
      <c r="FTK11" s="314" t="s">
        <v>203</v>
      </c>
      <c r="FTL11" s="314" t="s">
        <v>203</v>
      </c>
      <c r="FTM11" s="314" t="s">
        <v>203</v>
      </c>
      <c r="FTN11" s="314" t="s">
        <v>203</v>
      </c>
      <c r="FTO11" s="314" t="s">
        <v>203</v>
      </c>
      <c r="FTP11" s="314" t="s">
        <v>203</v>
      </c>
      <c r="FTQ11" s="314" t="s">
        <v>203</v>
      </c>
      <c r="FTR11" s="314" t="s">
        <v>203</v>
      </c>
      <c r="FTS11" s="314" t="s">
        <v>203</v>
      </c>
      <c r="FTT11" s="314" t="s">
        <v>203</v>
      </c>
      <c r="FTU11" s="314" t="s">
        <v>203</v>
      </c>
      <c r="FTV11" s="314" t="s">
        <v>203</v>
      </c>
      <c r="FTW11" s="314" t="s">
        <v>203</v>
      </c>
      <c r="FTX11" s="314" t="s">
        <v>203</v>
      </c>
      <c r="FTY11" s="314" t="s">
        <v>203</v>
      </c>
      <c r="FTZ11" s="314" t="s">
        <v>203</v>
      </c>
      <c r="FUA11" s="314" t="s">
        <v>203</v>
      </c>
      <c r="FUB11" s="314" t="s">
        <v>203</v>
      </c>
      <c r="FUC11" s="314" t="s">
        <v>203</v>
      </c>
      <c r="FUD11" s="314" t="s">
        <v>203</v>
      </c>
      <c r="FUE11" s="314" t="s">
        <v>203</v>
      </c>
      <c r="FUF11" s="314" t="s">
        <v>203</v>
      </c>
      <c r="FUG11" s="314" t="s">
        <v>203</v>
      </c>
      <c r="FUH11" s="314" t="s">
        <v>203</v>
      </c>
      <c r="FUI11" s="314" t="s">
        <v>203</v>
      </c>
      <c r="FUJ11" s="314" t="s">
        <v>203</v>
      </c>
      <c r="FUK11" s="314" t="s">
        <v>203</v>
      </c>
      <c r="FUL11" s="314" t="s">
        <v>203</v>
      </c>
      <c r="FUM11" s="314" t="s">
        <v>203</v>
      </c>
      <c r="FUN11" s="314" t="s">
        <v>203</v>
      </c>
      <c r="FUO11" s="314" t="s">
        <v>203</v>
      </c>
      <c r="FUP11" s="314" t="s">
        <v>203</v>
      </c>
      <c r="FUQ11" s="314" t="s">
        <v>203</v>
      </c>
      <c r="FUR11" s="314" t="s">
        <v>203</v>
      </c>
      <c r="FUS11" s="314" t="s">
        <v>203</v>
      </c>
      <c r="FUT11" s="314" t="s">
        <v>203</v>
      </c>
      <c r="FUU11" s="314" t="s">
        <v>203</v>
      </c>
      <c r="FUV11" s="314" t="s">
        <v>203</v>
      </c>
      <c r="FUW11" s="314" t="s">
        <v>203</v>
      </c>
      <c r="FUX11" s="314" t="s">
        <v>203</v>
      </c>
      <c r="FUY11" s="314" t="s">
        <v>203</v>
      </c>
      <c r="FUZ11" s="314" t="s">
        <v>203</v>
      </c>
      <c r="FVA11" s="314" t="s">
        <v>203</v>
      </c>
      <c r="FVB11" s="314" t="s">
        <v>203</v>
      </c>
      <c r="FVC11" s="314" t="s">
        <v>203</v>
      </c>
      <c r="FVD11" s="314" t="s">
        <v>203</v>
      </c>
      <c r="FVE11" s="314" t="s">
        <v>203</v>
      </c>
      <c r="FVF11" s="314" t="s">
        <v>203</v>
      </c>
      <c r="FVG11" s="314" t="s">
        <v>203</v>
      </c>
      <c r="FVH11" s="314" t="s">
        <v>203</v>
      </c>
      <c r="FVI11" s="314" t="s">
        <v>203</v>
      </c>
      <c r="FVJ11" s="314" t="s">
        <v>203</v>
      </c>
      <c r="FVK11" s="314" t="s">
        <v>203</v>
      </c>
      <c r="FVL11" s="314" t="s">
        <v>203</v>
      </c>
      <c r="FVM11" s="314" t="s">
        <v>203</v>
      </c>
      <c r="FVN11" s="314" t="s">
        <v>203</v>
      </c>
      <c r="FVO11" s="314" t="s">
        <v>203</v>
      </c>
      <c r="FVP11" s="314" t="s">
        <v>203</v>
      </c>
      <c r="FVQ11" s="314" t="s">
        <v>203</v>
      </c>
      <c r="FVR11" s="314" t="s">
        <v>203</v>
      </c>
      <c r="FVS11" s="314" t="s">
        <v>203</v>
      </c>
      <c r="FVT11" s="314" t="s">
        <v>203</v>
      </c>
      <c r="FVU11" s="314" t="s">
        <v>203</v>
      </c>
      <c r="FVV11" s="314" t="s">
        <v>203</v>
      </c>
      <c r="FVW11" s="314" t="s">
        <v>203</v>
      </c>
      <c r="FVX11" s="314" t="s">
        <v>203</v>
      </c>
      <c r="FVY11" s="314" t="s">
        <v>203</v>
      </c>
      <c r="FVZ11" s="314" t="s">
        <v>203</v>
      </c>
      <c r="FWA11" s="314" t="s">
        <v>203</v>
      </c>
      <c r="FWB11" s="314" t="s">
        <v>203</v>
      </c>
      <c r="FWC11" s="314" t="s">
        <v>203</v>
      </c>
      <c r="FWD11" s="314" t="s">
        <v>203</v>
      </c>
      <c r="FWE11" s="314" t="s">
        <v>203</v>
      </c>
      <c r="FWF11" s="314" t="s">
        <v>203</v>
      </c>
      <c r="FWG11" s="314" t="s">
        <v>203</v>
      </c>
      <c r="FWH11" s="314" t="s">
        <v>203</v>
      </c>
      <c r="FWI11" s="314" t="s">
        <v>203</v>
      </c>
      <c r="FWJ11" s="314" t="s">
        <v>203</v>
      </c>
      <c r="FWK11" s="314" t="s">
        <v>203</v>
      </c>
      <c r="FWL11" s="314" t="s">
        <v>203</v>
      </c>
      <c r="FWM11" s="314" t="s">
        <v>203</v>
      </c>
      <c r="FWN11" s="314" t="s">
        <v>203</v>
      </c>
      <c r="FWO11" s="314" t="s">
        <v>203</v>
      </c>
      <c r="FWP11" s="314" t="s">
        <v>203</v>
      </c>
      <c r="FWQ11" s="314" t="s">
        <v>203</v>
      </c>
      <c r="FWR11" s="314" t="s">
        <v>203</v>
      </c>
      <c r="FWS11" s="314" t="s">
        <v>203</v>
      </c>
      <c r="FWT11" s="314" t="s">
        <v>203</v>
      </c>
      <c r="FWU11" s="314" t="s">
        <v>203</v>
      </c>
      <c r="FWV11" s="314" t="s">
        <v>203</v>
      </c>
      <c r="FWW11" s="314" t="s">
        <v>203</v>
      </c>
      <c r="FWX11" s="314" t="s">
        <v>203</v>
      </c>
      <c r="FWY11" s="314" t="s">
        <v>203</v>
      </c>
      <c r="FWZ11" s="314" t="s">
        <v>203</v>
      </c>
      <c r="FXA11" s="314" t="s">
        <v>203</v>
      </c>
      <c r="FXB11" s="314" t="s">
        <v>203</v>
      </c>
      <c r="FXC11" s="314" t="s">
        <v>203</v>
      </c>
      <c r="FXD11" s="314" t="s">
        <v>203</v>
      </c>
      <c r="FXE11" s="314" t="s">
        <v>203</v>
      </c>
      <c r="FXF11" s="314" t="s">
        <v>203</v>
      </c>
      <c r="FXG11" s="314" t="s">
        <v>203</v>
      </c>
      <c r="FXH11" s="314" t="s">
        <v>203</v>
      </c>
      <c r="FXI11" s="314" t="s">
        <v>203</v>
      </c>
      <c r="FXJ11" s="314" t="s">
        <v>203</v>
      </c>
      <c r="FXK11" s="314" t="s">
        <v>203</v>
      </c>
      <c r="FXL11" s="314" t="s">
        <v>203</v>
      </c>
      <c r="FXM11" s="314" t="s">
        <v>203</v>
      </c>
      <c r="FXN11" s="314" t="s">
        <v>203</v>
      </c>
      <c r="FXO11" s="314" t="s">
        <v>203</v>
      </c>
      <c r="FXP11" s="314" t="s">
        <v>203</v>
      </c>
      <c r="FXQ11" s="314" t="s">
        <v>203</v>
      </c>
      <c r="FXR11" s="314" t="s">
        <v>203</v>
      </c>
      <c r="FXS11" s="314" t="s">
        <v>203</v>
      </c>
      <c r="FXT11" s="314" t="s">
        <v>203</v>
      </c>
      <c r="FXU11" s="314" t="s">
        <v>203</v>
      </c>
      <c r="FXV11" s="314" t="s">
        <v>203</v>
      </c>
      <c r="FXW11" s="314" t="s">
        <v>203</v>
      </c>
      <c r="FXX11" s="314" t="s">
        <v>203</v>
      </c>
      <c r="FXY11" s="314" t="s">
        <v>203</v>
      </c>
      <c r="FXZ11" s="314" t="s">
        <v>203</v>
      </c>
      <c r="FYA11" s="314" t="s">
        <v>203</v>
      </c>
      <c r="FYB11" s="314" t="s">
        <v>203</v>
      </c>
      <c r="FYC11" s="314" t="s">
        <v>203</v>
      </c>
      <c r="FYD11" s="314" t="s">
        <v>203</v>
      </c>
      <c r="FYE11" s="314" t="s">
        <v>203</v>
      </c>
      <c r="FYF11" s="314" t="s">
        <v>203</v>
      </c>
      <c r="FYG11" s="314" t="s">
        <v>203</v>
      </c>
      <c r="FYH11" s="314" t="s">
        <v>203</v>
      </c>
      <c r="FYI11" s="314" t="s">
        <v>203</v>
      </c>
      <c r="FYJ11" s="314" t="s">
        <v>203</v>
      </c>
      <c r="FYK11" s="314" t="s">
        <v>203</v>
      </c>
      <c r="FYL11" s="314" t="s">
        <v>203</v>
      </c>
      <c r="FYM11" s="314" t="s">
        <v>203</v>
      </c>
      <c r="FYN11" s="314" t="s">
        <v>203</v>
      </c>
      <c r="FYO11" s="314" t="s">
        <v>203</v>
      </c>
      <c r="FYP11" s="314" t="s">
        <v>203</v>
      </c>
      <c r="FYQ11" s="314" t="s">
        <v>203</v>
      </c>
      <c r="FYR11" s="314" t="s">
        <v>203</v>
      </c>
      <c r="FYS11" s="314" t="s">
        <v>203</v>
      </c>
      <c r="FYT11" s="314" t="s">
        <v>203</v>
      </c>
      <c r="FYU11" s="314" t="s">
        <v>203</v>
      </c>
      <c r="FYV11" s="314" t="s">
        <v>203</v>
      </c>
      <c r="FYW11" s="314" t="s">
        <v>203</v>
      </c>
      <c r="FYX11" s="314" t="s">
        <v>203</v>
      </c>
      <c r="FYY11" s="314" t="s">
        <v>203</v>
      </c>
      <c r="FYZ11" s="314" t="s">
        <v>203</v>
      </c>
      <c r="FZA11" s="314" t="s">
        <v>203</v>
      </c>
      <c r="FZB11" s="314" t="s">
        <v>203</v>
      </c>
      <c r="FZC11" s="314" t="s">
        <v>203</v>
      </c>
      <c r="FZD11" s="314" t="s">
        <v>203</v>
      </c>
      <c r="FZE11" s="314" t="s">
        <v>203</v>
      </c>
      <c r="FZF11" s="314" t="s">
        <v>203</v>
      </c>
      <c r="FZG11" s="314" t="s">
        <v>203</v>
      </c>
      <c r="FZH11" s="314" t="s">
        <v>203</v>
      </c>
      <c r="FZI11" s="314" t="s">
        <v>203</v>
      </c>
      <c r="FZJ11" s="314" t="s">
        <v>203</v>
      </c>
      <c r="FZK11" s="314" t="s">
        <v>203</v>
      </c>
      <c r="FZL11" s="314" t="s">
        <v>203</v>
      </c>
      <c r="FZM11" s="314" t="s">
        <v>203</v>
      </c>
      <c r="FZN11" s="314" t="s">
        <v>203</v>
      </c>
      <c r="FZO11" s="314" t="s">
        <v>203</v>
      </c>
      <c r="FZP11" s="314" t="s">
        <v>203</v>
      </c>
      <c r="FZQ11" s="314" t="s">
        <v>203</v>
      </c>
      <c r="FZR11" s="314" t="s">
        <v>203</v>
      </c>
      <c r="FZS11" s="314" t="s">
        <v>203</v>
      </c>
      <c r="FZT11" s="314" t="s">
        <v>203</v>
      </c>
      <c r="FZU11" s="314" t="s">
        <v>203</v>
      </c>
      <c r="FZV11" s="314" t="s">
        <v>203</v>
      </c>
      <c r="FZW11" s="314" t="s">
        <v>203</v>
      </c>
      <c r="FZX11" s="314" t="s">
        <v>203</v>
      </c>
      <c r="FZY11" s="314" t="s">
        <v>203</v>
      </c>
      <c r="FZZ11" s="314" t="s">
        <v>203</v>
      </c>
      <c r="GAA11" s="314" t="s">
        <v>203</v>
      </c>
      <c r="GAB11" s="314" t="s">
        <v>203</v>
      </c>
      <c r="GAC11" s="314" t="s">
        <v>203</v>
      </c>
      <c r="GAD11" s="314" t="s">
        <v>203</v>
      </c>
      <c r="GAE11" s="314" t="s">
        <v>203</v>
      </c>
      <c r="GAF11" s="314" t="s">
        <v>203</v>
      </c>
      <c r="GAG11" s="314" t="s">
        <v>203</v>
      </c>
      <c r="GAH11" s="314" t="s">
        <v>203</v>
      </c>
      <c r="GAI11" s="314" t="s">
        <v>203</v>
      </c>
      <c r="GAJ11" s="314" t="s">
        <v>203</v>
      </c>
      <c r="GAK11" s="314" t="s">
        <v>203</v>
      </c>
      <c r="GAL11" s="314" t="s">
        <v>203</v>
      </c>
      <c r="GAM11" s="314" t="s">
        <v>203</v>
      </c>
      <c r="GAN11" s="314" t="s">
        <v>203</v>
      </c>
      <c r="GAO11" s="314" t="s">
        <v>203</v>
      </c>
      <c r="GAP11" s="314" t="s">
        <v>203</v>
      </c>
      <c r="GAQ11" s="314" t="s">
        <v>203</v>
      </c>
      <c r="GAR11" s="314" t="s">
        <v>203</v>
      </c>
      <c r="GAS11" s="314" t="s">
        <v>203</v>
      </c>
      <c r="GAT11" s="314" t="s">
        <v>203</v>
      </c>
      <c r="GAU11" s="314" t="s">
        <v>203</v>
      </c>
      <c r="GAV11" s="314" t="s">
        <v>203</v>
      </c>
      <c r="GAW11" s="314" t="s">
        <v>203</v>
      </c>
      <c r="GAX11" s="314" t="s">
        <v>203</v>
      </c>
      <c r="GAY11" s="314" t="s">
        <v>203</v>
      </c>
      <c r="GAZ11" s="314" t="s">
        <v>203</v>
      </c>
      <c r="GBA11" s="314" t="s">
        <v>203</v>
      </c>
      <c r="GBB11" s="314" t="s">
        <v>203</v>
      </c>
      <c r="GBC11" s="314" t="s">
        <v>203</v>
      </c>
      <c r="GBD11" s="314" t="s">
        <v>203</v>
      </c>
      <c r="GBE11" s="314" t="s">
        <v>203</v>
      </c>
      <c r="GBF11" s="314" t="s">
        <v>203</v>
      </c>
      <c r="GBG11" s="314" t="s">
        <v>203</v>
      </c>
      <c r="GBH11" s="314" t="s">
        <v>203</v>
      </c>
      <c r="GBI11" s="314" t="s">
        <v>203</v>
      </c>
      <c r="GBJ11" s="314" t="s">
        <v>203</v>
      </c>
      <c r="GBK11" s="314" t="s">
        <v>203</v>
      </c>
      <c r="GBL11" s="314" t="s">
        <v>203</v>
      </c>
      <c r="GBM11" s="314" t="s">
        <v>203</v>
      </c>
      <c r="GBN11" s="314" t="s">
        <v>203</v>
      </c>
      <c r="GBO11" s="314" t="s">
        <v>203</v>
      </c>
      <c r="GBP11" s="314" t="s">
        <v>203</v>
      </c>
      <c r="GBQ11" s="314" t="s">
        <v>203</v>
      </c>
      <c r="GBR11" s="314" t="s">
        <v>203</v>
      </c>
      <c r="GBS11" s="314" t="s">
        <v>203</v>
      </c>
      <c r="GBT11" s="314" t="s">
        <v>203</v>
      </c>
      <c r="GBU11" s="314" t="s">
        <v>203</v>
      </c>
      <c r="GBV11" s="314" t="s">
        <v>203</v>
      </c>
      <c r="GBW11" s="314" t="s">
        <v>203</v>
      </c>
      <c r="GBX11" s="314" t="s">
        <v>203</v>
      </c>
      <c r="GBY11" s="314" t="s">
        <v>203</v>
      </c>
      <c r="GBZ11" s="314" t="s">
        <v>203</v>
      </c>
      <c r="GCA11" s="314" t="s">
        <v>203</v>
      </c>
      <c r="GCB11" s="314" t="s">
        <v>203</v>
      </c>
      <c r="GCC11" s="314" t="s">
        <v>203</v>
      </c>
      <c r="GCD11" s="314" t="s">
        <v>203</v>
      </c>
      <c r="GCE11" s="314" t="s">
        <v>203</v>
      </c>
      <c r="GCF11" s="314" t="s">
        <v>203</v>
      </c>
      <c r="GCG11" s="314" t="s">
        <v>203</v>
      </c>
      <c r="GCH11" s="314" t="s">
        <v>203</v>
      </c>
      <c r="GCI11" s="314" t="s">
        <v>203</v>
      </c>
      <c r="GCJ11" s="314" t="s">
        <v>203</v>
      </c>
      <c r="GCK11" s="314" t="s">
        <v>203</v>
      </c>
      <c r="GCL11" s="314" t="s">
        <v>203</v>
      </c>
      <c r="GCM11" s="314" t="s">
        <v>203</v>
      </c>
      <c r="GCN11" s="314" t="s">
        <v>203</v>
      </c>
      <c r="GCO11" s="314" t="s">
        <v>203</v>
      </c>
      <c r="GCP11" s="314" t="s">
        <v>203</v>
      </c>
      <c r="GCQ11" s="314" t="s">
        <v>203</v>
      </c>
      <c r="GCR11" s="314" t="s">
        <v>203</v>
      </c>
      <c r="GCS11" s="314" t="s">
        <v>203</v>
      </c>
      <c r="GCT11" s="314" t="s">
        <v>203</v>
      </c>
      <c r="GCU11" s="314" t="s">
        <v>203</v>
      </c>
      <c r="GCV11" s="314" t="s">
        <v>203</v>
      </c>
      <c r="GCW11" s="314" t="s">
        <v>203</v>
      </c>
      <c r="GCX11" s="314" t="s">
        <v>203</v>
      </c>
      <c r="GCY11" s="314" t="s">
        <v>203</v>
      </c>
      <c r="GCZ11" s="314" t="s">
        <v>203</v>
      </c>
      <c r="GDA11" s="314" t="s">
        <v>203</v>
      </c>
      <c r="GDB11" s="314" t="s">
        <v>203</v>
      </c>
      <c r="GDC11" s="314" t="s">
        <v>203</v>
      </c>
      <c r="GDD11" s="314" t="s">
        <v>203</v>
      </c>
      <c r="GDE11" s="314" t="s">
        <v>203</v>
      </c>
      <c r="GDF11" s="314" t="s">
        <v>203</v>
      </c>
      <c r="GDG11" s="314" t="s">
        <v>203</v>
      </c>
      <c r="GDH11" s="314" t="s">
        <v>203</v>
      </c>
      <c r="GDI11" s="314" t="s">
        <v>203</v>
      </c>
      <c r="GDJ11" s="314" t="s">
        <v>203</v>
      </c>
      <c r="GDK11" s="314" t="s">
        <v>203</v>
      </c>
      <c r="GDL11" s="314" t="s">
        <v>203</v>
      </c>
      <c r="GDM11" s="314" t="s">
        <v>203</v>
      </c>
      <c r="GDN11" s="314" t="s">
        <v>203</v>
      </c>
      <c r="GDO11" s="314" t="s">
        <v>203</v>
      </c>
      <c r="GDP11" s="314" t="s">
        <v>203</v>
      </c>
      <c r="GDQ11" s="314" t="s">
        <v>203</v>
      </c>
      <c r="GDR11" s="314" t="s">
        <v>203</v>
      </c>
      <c r="GDS11" s="314" t="s">
        <v>203</v>
      </c>
      <c r="GDT11" s="314" t="s">
        <v>203</v>
      </c>
      <c r="GDU11" s="314" t="s">
        <v>203</v>
      </c>
      <c r="GDV11" s="314" t="s">
        <v>203</v>
      </c>
      <c r="GDW11" s="314" t="s">
        <v>203</v>
      </c>
      <c r="GDX11" s="314" t="s">
        <v>203</v>
      </c>
      <c r="GDY11" s="314" t="s">
        <v>203</v>
      </c>
      <c r="GDZ11" s="314" t="s">
        <v>203</v>
      </c>
      <c r="GEA11" s="314" t="s">
        <v>203</v>
      </c>
      <c r="GEB11" s="314" t="s">
        <v>203</v>
      </c>
      <c r="GEC11" s="314" t="s">
        <v>203</v>
      </c>
      <c r="GED11" s="314" t="s">
        <v>203</v>
      </c>
      <c r="GEE11" s="314" t="s">
        <v>203</v>
      </c>
      <c r="GEF11" s="314" t="s">
        <v>203</v>
      </c>
      <c r="GEG11" s="314" t="s">
        <v>203</v>
      </c>
      <c r="GEH11" s="314" t="s">
        <v>203</v>
      </c>
      <c r="GEI11" s="314" t="s">
        <v>203</v>
      </c>
      <c r="GEJ11" s="314" t="s">
        <v>203</v>
      </c>
      <c r="GEK11" s="314" t="s">
        <v>203</v>
      </c>
      <c r="GEL11" s="314" t="s">
        <v>203</v>
      </c>
      <c r="GEM11" s="314" t="s">
        <v>203</v>
      </c>
      <c r="GEN11" s="314" t="s">
        <v>203</v>
      </c>
      <c r="GEO11" s="314" t="s">
        <v>203</v>
      </c>
      <c r="GEP11" s="314" t="s">
        <v>203</v>
      </c>
      <c r="GEQ11" s="314" t="s">
        <v>203</v>
      </c>
      <c r="GER11" s="314" t="s">
        <v>203</v>
      </c>
      <c r="GES11" s="314" t="s">
        <v>203</v>
      </c>
      <c r="GET11" s="314" t="s">
        <v>203</v>
      </c>
      <c r="GEU11" s="314" t="s">
        <v>203</v>
      </c>
      <c r="GEV11" s="314" t="s">
        <v>203</v>
      </c>
      <c r="GEW11" s="314" t="s">
        <v>203</v>
      </c>
      <c r="GEX11" s="314" t="s">
        <v>203</v>
      </c>
      <c r="GEY11" s="314" t="s">
        <v>203</v>
      </c>
      <c r="GEZ11" s="314" t="s">
        <v>203</v>
      </c>
      <c r="GFA11" s="314" t="s">
        <v>203</v>
      </c>
      <c r="GFB11" s="314" t="s">
        <v>203</v>
      </c>
      <c r="GFC11" s="314" t="s">
        <v>203</v>
      </c>
      <c r="GFD11" s="314" t="s">
        <v>203</v>
      </c>
      <c r="GFE11" s="314" t="s">
        <v>203</v>
      </c>
      <c r="GFF11" s="314" t="s">
        <v>203</v>
      </c>
      <c r="GFG11" s="314" t="s">
        <v>203</v>
      </c>
      <c r="GFH11" s="314" t="s">
        <v>203</v>
      </c>
      <c r="GFI11" s="314" t="s">
        <v>203</v>
      </c>
      <c r="GFJ11" s="314" t="s">
        <v>203</v>
      </c>
      <c r="GFK11" s="314" t="s">
        <v>203</v>
      </c>
      <c r="GFL11" s="314" t="s">
        <v>203</v>
      </c>
      <c r="GFM11" s="314" t="s">
        <v>203</v>
      </c>
      <c r="GFN11" s="314" t="s">
        <v>203</v>
      </c>
      <c r="GFO11" s="314" t="s">
        <v>203</v>
      </c>
      <c r="GFP11" s="314" t="s">
        <v>203</v>
      </c>
      <c r="GFQ11" s="314" t="s">
        <v>203</v>
      </c>
      <c r="GFR11" s="314" t="s">
        <v>203</v>
      </c>
      <c r="GFS11" s="314" t="s">
        <v>203</v>
      </c>
      <c r="GFT11" s="314" t="s">
        <v>203</v>
      </c>
      <c r="GFU11" s="314" t="s">
        <v>203</v>
      </c>
      <c r="GFV11" s="314" t="s">
        <v>203</v>
      </c>
      <c r="GFW11" s="314" t="s">
        <v>203</v>
      </c>
      <c r="GFX11" s="314" t="s">
        <v>203</v>
      </c>
      <c r="GFY11" s="314" t="s">
        <v>203</v>
      </c>
      <c r="GFZ11" s="314" t="s">
        <v>203</v>
      </c>
      <c r="GGA11" s="314" t="s">
        <v>203</v>
      </c>
      <c r="GGB11" s="314" t="s">
        <v>203</v>
      </c>
      <c r="GGC11" s="314" t="s">
        <v>203</v>
      </c>
      <c r="GGD11" s="314" t="s">
        <v>203</v>
      </c>
      <c r="GGE11" s="314" t="s">
        <v>203</v>
      </c>
      <c r="GGF11" s="314" t="s">
        <v>203</v>
      </c>
      <c r="GGG11" s="314" t="s">
        <v>203</v>
      </c>
      <c r="GGH11" s="314" t="s">
        <v>203</v>
      </c>
      <c r="GGI11" s="314" t="s">
        <v>203</v>
      </c>
      <c r="GGJ11" s="314" t="s">
        <v>203</v>
      </c>
      <c r="GGK11" s="314" t="s">
        <v>203</v>
      </c>
      <c r="GGL11" s="314" t="s">
        <v>203</v>
      </c>
      <c r="GGM11" s="314" t="s">
        <v>203</v>
      </c>
      <c r="GGN11" s="314" t="s">
        <v>203</v>
      </c>
      <c r="GGO11" s="314" t="s">
        <v>203</v>
      </c>
      <c r="GGP11" s="314" t="s">
        <v>203</v>
      </c>
      <c r="GGQ11" s="314" t="s">
        <v>203</v>
      </c>
      <c r="GGR11" s="314" t="s">
        <v>203</v>
      </c>
      <c r="GGS11" s="314" t="s">
        <v>203</v>
      </c>
      <c r="GGT11" s="314" t="s">
        <v>203</v>
      </c>
      <c r="GGU11" s="314" t="s">
        <v>203</v>
      </c>
      <c r="GGV11" s="314" t="s">
        <v>203</v>
      </c>
      <c r="GGW11" s="314" t="s">
        <v>203</v>
      </c>
      <c r="GGX11" s="314" t="s">
        <v>203</v>
      </c>
      <c r="GGY11" s="314" t="s">
        <v>203</v>
      </c>
      <c r="GGZ11" s="314" t="s">
        <v>203</v>
      </c>
      <c r="GHA11" s="314" t="s">
        <v>203</v>
      </c>
      <c r="GHB11" s="314" t="s">
        <v>203</v>
      </c>
      <c r="GHC11" s="314" t="s">
        <v>203</v>
      </c>
      <c r="GHD11" s="314" t="s">
        <v>203</v>
      </c>
      <c r="GHE11" s="314" t="s">
        <v>203</v>
      </c>
      <c r="GHF11" s="314" t="s">
        <v>203</v>
      </c>
      <c r="GHG11" s="314" t="s">
        <v>203</v>
      </c>
      <c r="GHH11" s="314" t="s">
        <v>203</v>
      </c>
      <c r="GHI11" s="314" t="s">
        <v>203</v>
      </c>
      <c r="GHJ11" s="314" t="s">
        <v>203</v>
      </c>
      <c r="GHK11" s="314" t="s">
        <v>203</v>
      </c>
      <c r="GHL11" s="314" t="s">
        <v>203</v>
      </c>
      <c r="GHM11" s="314" t="s">
        <v>203</v>
      </c>
      <c r="GHN11" s="314" t="s">
        <v>203</v>
      </c>
      <c r="GHO11" s="314" t="s">
        <v>203</v>
      </c>
      <c r="GHP11" s="314" t="s">
        <v>203</v>
      </c>
      <c r="GHQ11" s="314" t="s">
        <v>203</v>
      </c>
      <c r="GHR11" s="314" t="s">
        <v>203</v>
      </c>
      <c r="GHS11" s="314" t="s">
        <v>203</v>
      </c>
      <c r="GHT11" s="314" t="s">
        <v>203</v>
      </c>
      <c r="GHU11" s="314" t="s">
        <v>203</v>
      </c>
      <c r="GHV11" s="314" t="s">
        <v>203</v>
      </c>
      <c r="GHW11" s="314" t="s">
        <v>203</v>
      </c>
      <c r="GHX11" s="314" t="s">
        <v>203</v>
      </c>
      <c r="GHY11" s="314" t="s">
        <v>203</v>
      </c>
      <c r="GHZ11" s="314" t="s">
        <v>203</v>
      </c>
      <c r="GIA11" s="314" t="s">
        <v>203</v>
      </c>
      <c r="GIB11" s="314" t="s">
        <v>203</v>
      </c>
      <c r="GIC11" s="314" t="s">
        <v>203</v>
      </c>
      <c r="GID11" s="314" t="s">
        <v>203</v>
      </c>
      <c r="GIE11" s="314" t="s">
        <v>203</v>
      </c>
      <c r="GIF11" s="314" t="s">
        <v>203</v>
      </c>
      <c r="GIG11" s="314" t="s">
        <v>203</v>
      </c>
      <c r="GIH11" s="314" t="s">
        <v>203</v>
      </c>
      <c r="GII11" s="314" t="s">
        <v>203</v>
      </c>
      <c r="GIJ11" s="314" t="s">
        <v>203</v>
      </c>
      <c r="GIK11" s="314" t="s">
        <v>203</v>
      </c>
      <c r="GIL11" s="314" t="s">
        <v>203</v>
      </c>
      <c r="GIM11" s="314" t="s">
        <v>203</v>
      </c>
      <c r="GIN11" s="314" t="s">
        <v>203</v>
      </c>
      <c r="GIO11" s="314" t="s">
        <v>203</v>
      </c>
      <c r="GIP11" s="314" t="s">
        <v>203</v>
      </c>
      <c r="GIQ11" s="314" t="s">
        <v>203</v>
      </c>
      <c r="GIR11" s="314" t="s">
        <v>203</v>
      </c>
      <c r="GIS11" s="314" t="s">
        <v>203</v>
      </c>
      <c r="GIT11" s="314" t="s">
        <v>203</v>
      </c>
      <c r="GIU11" s="314" t="s">
        <v>203</v>
      </c>
      <c r="GIV11" s="314" t="s">
        <v>203</v>
      </c>
      <c r="GIW11" s="314" t="s">
        <v>203</v>
      </c>
      <c r="GIX11" s="314" t="s">
        <v>203</v>
      </c>
      <c r="GIY11" s="314" t="s">
        <v>203</v>
      </c>
      <c r="GIZ11" s="314" t="s">
        <v>203</v>
      </c>
      <c r="GJA11" s="314" t="s">
        <v>203</v>
      </c>
      <c r="GJB11" s="314" t="s">
        <v>203</v>
      </c>
      <c r="GJC11" s="314" t="s">
        <v>203</v>
      </c>
      <c r="GJD11" s="314" t="s">
        <v>203</v>
      </c>
      <c r="GJE11" s="314" t="s">
        <v>203</v>
      </c>
      <c r="GJF11" s="314" t="s">
        <v>203</v>
      </c>
      <c r="GJG11" s="314" t="s">
        <v>203</v>
      </c>
      <c r="GJH11" s="314" t="s">
        <v>203</v>
      </c>
      <c r="GJI11" s="314" t="s">
        <v>203</v>
      </c>
      <c r="GJJ11" s="314" t="s">
        <v>203</v>
      </c>
      <c r="GJK11" s="314" t="s">
        <v>203</v>
      </c>
      <c r="GJL11" s="314" t="s">
        <v>203</v>
      </c>
      <c r="GJM11" s="314" t="s">
        <v>203</v>
      </c>
      <c r="GJN11" s="314" t="s">
        <v>203</v>
      </c>
      <c r="GJO11" s="314" t="s">
        <v>203</v>
      </c>
      <c r="GJP11" s="314" t="s">
        <v>203</v>
      </c>
      <c r="GJQ11" s="314" t="s">
        <v>203</v>
      </c>
      <c r="GJR11" s="314" t="s">
        <v>203</v>
      </c>
      <c r="GJS11" s="314" t="s">
        <v>203</v>
      </c>
      <c r="GJT11" s="314" t="s">
        <v>203</v>
      </c>
      <c r="GJU11" s="314" t="s">
        <v>203</v>
      </c>
      <c r="GJV11" s="314" t="s">
        <v>203</v>
      </c>
      <c r="GJW11" s="314" t="s">
        <v>203</v>
      </c>
      <c r="GJX11" s="314" t="s">
        <v>203</v>
      </c>
      <c r="GJY11" s="314" t="s">
        <v>203</v>
      </c>
      <c r="GJZ11" s="314" t="s">
        <v>203</v>
      </c>
      <c r="GKA11" s="314" t="s">
        <v>203</v>
      </c>
      <c r="GKB11" s="314" t="s">
        <v>203</v>
      </c>
      <c r="GKC11" s="314" t="s">
        <v>203</v>
      </c>
      <c r="GKD11" s="314" t="s">
        <v>203</v>
      </c>
      <c r="GKE11" s="314" t="s">
        <v>203</v>
      </c>
      <c r="GKF11" s="314" t="s">
        <v>203</v>
      </c>
      <c r="GKG11" s="314" t="s">
        <v>203</v>
      </c>
      <c r="GKH11" s="314" t="s">
        <v>203</v>
      </c>
      <c r="GKI11" s="314" t="s">
        <v>203</v>
      </c>
      <c r="GKJ11" s="314" t="s">
        <v>203</v>
      </c>
      <c r="GKK11" s="314" t="s">
        <v>203</v>
      </c>
      <c r="GKL11" s="314" t="s">
        <v>203</v>
      </c>
      <c r="GKM11" s="314" t="s">
        <v>203</v>
      </c>
      <c r="GKN11" s="314" t="s">
        <v>203</v>
      </c>
      <c r="GKO11" s="314" t="s">
        <v>203</v>
      </c>
      <c r="GKP11" s="314" t="s">
        <v>203</v>
      </c>
      <c r="GKQ11" s="314" t="s">
        <v>203</v>
      </c>
      <c r="GKR11" s="314" t="s">
        <v>203</v>
      </c>
      <c r="GKS11" s="314" t="s">
        <v>203</v>
      </c>
      <c r="GKT11" s="314" t="s">
        <v>203</v>
      </c>
      <c r="GKU11" s="314" t="s">
        <v>203</v>
      </c>
      <c r="GKV11" s="314" t="s">
        <v>203</v>
      </c>
      <c r="GKW11" s="314" t="s">
        <v>203</v>
      </c>
      <c r="GKX11" s="314" t="s">
        <v>203</v>
      </c>
      <c r="GKY11" s="314" t="s">
        <v>203</v>
      </c>
      <c r="GKZ11" s="314" t="s">
        <v>203</v>
      </c>
      <c r="GLA11" s="314" t="s">
        <v>203</v>
      </c>
      <c r="GLB11" s="314" t="s">
        <v>203</v>
      </c>
      <c r="GLC11" s="314" t="s">
        <v>203</v>
      </c>
      <c r="GLD11" s="314" t="s">
        <v>203</v>
      </c>
      <c r="GLE11" s="314" t="s">
        <v>203</v>
      </c>
      <c r="GLF11" s="314" t="s">
        <v>203</v>
      </c>
      <c r="GLG11" s="314" t="s">
        <v>203</v>
      </c>
      <c r="GLH11" s="314" t="s">
        <v>203</v>
      </c>
      <c r="GLI11" s="314" t="s">
        <v>203</v>
      </c>
      <c r="GLJ11" s="314" t="s">
        <v>203</v>
      </c>
      <c r="GLK11" s="314" t="s">
        <v>203</v>
      </c>
      <c r="GLL11" s="314" t="s">
        <v>203</v>
      </c>
      <c r="GLM11" s="314" t="s">
        <v>203</v>
      </c>
      <c r="GLN11" s="314" t="s">
        <v>203</v>
      </c>
      <c r="GLO11" s="314" t="s">
        <v>203</v>
      </c>
      <c r="GLP11" s="314" t="s">
        <v>203</v>
      </c>
      <c r="GLQ11" s="314" t="s">
        <v>203</v>
      </c>
      <c r="GLR11" s="314" t="s">
        <v>203</v>
      </c>
      <c r="GLS11" s="314" t="s">
        <v>203</v>
      </c>
      <c r="GLT11" s="314" t="s">
        <v>203</v>
      </c>
      <c r="GLU11" s="314" t="s">
        <v>203</v>
      </c>
      <c r="GLV11" s="314" t="s">
        <v>203</v>
      </c>
      <c r="GLW11" s="314" t="s">
        <v>203</v>
      </c>
      <c r="GLX11" s="314" t="s">
        <v>203</v>
      </c>
      <c r="GLY11" s="314" t="s">
        <v>203</v>
      </c>
      <c r="GLZ11" s="314" t="s">
        <v>203</v>
      </c>
      <c r="GMA11" s="314" t="s">
        <v>203</v>
      </c>
      <c r="GMB11" s="314" t="s">
        <v>203</v>
      </c>
      <c r="GMC11" s="314" t="s">
        <v>203</v>
      </c>
      <c r="GMD11" s="314" t="s">
        <v>203</v>
      </c>
      <c r="GME11" s="314" t="s">
        <v>203</v>
      </c>
      <c r="GMF11" s="314" t="s">
        <v>203</v>
      </c>
      <c r="GMG11" s="314" t="s">
        <v>203</v>
      </c>
      <c r="GMH11" s="314" t="s">
        <v>203</v>
      </c>
      <c r="GMI11" s="314" t="s">
        <v>203</v>
      </c>
      <c r="GMJ11" s="314" t="s">
        <v>203</v>
      </c>
      <c r="GMK11" s="314" t="s">
        <v>203</v>
      </c>
      <c r="GML11" s="314" t="s">
        <v>203</v>
      </c>
      <c r="GMM11" s="314" t="s">
        <v>203</v>
      </c>
      <c r="GMN11" s="314" t="s">
        <v>203</v>
      </c>
      <c r="GMO11" s="314" t="s">
        <v>203</v>
      </c>
      <c r="GMP11" s="314" t="s">
        <v>203</v>
      </c>
      <c r="GMQ11" s="314" t="s">
        <v>203</v>
      </c>
      <c r="GMR11" s="314" t="s">
        <v>203</v>
      </c>
      <c r="GMS11" s="314" t="s">
        <v>203</v>
      </c>
      <c r="GMT11" s="314" t="s">
        <v>203</v>
      </c>
      <c r="GMU11" s="314" t="s">
        <v>203</v>
      </c>
      <c r="GMV11" s="314" t="s">
        <v>203</v>
      </c>
      <c r="GMW11" s="314" t="s">
        <v>203</v>
      </c>
      <c r="GMX11" s="314" t="s">
        <v>203</v>
      </c>
      <c r="GMY11" s="314" t="s">
        <v>203</v>
      </c>
      <c r="GMZ11" s="314" t="s">
        <v>203</v>
      </c>
      <c r="GNA11" s="314" t="s">
        <v>203</v>
      </c>
      <c r="GNB11" s="314" t="s">
        <v>203</v>
      </c>
      <c r="GNC11" s="314" t="s">
        <v>203</v>
      </c>
      <c r="GND11" s="314" t="s">
        <v>203</v>
      </c>
      <c r="GNE11" s="314" t="s">
        <v>203</v>
      </c>
      <c r="GNF11" s="314" t="s">
        <v>203</v>
      </c>
      <c r="GNG11" s="314" t="s">
        <v>203</v>
      </c>
      <c r="GNH11" s="314" t="s">
        <v>203</v>
      </c>
      <c r="GNI11" s="314" t="s">
        <v>203</v>
      </c>
      <c r="GNJ11" s="314" t="s">
        <v>203</v>
      </c>
      <c r="GNK11" s="314" t="s">
        <v>203</v>
      </c>
      <c r="GNL11" s="314" t="s">
        <v>203</v>
      </c>
      <c r="GNM11" s="314" t="s">
        <v>203</v>
      </c>
      <c r="GNN11" s="314" t="s">
        <v>203</v>
      </c>
      <c r="GNO11" s="314" t="s">
        <v>203</v>
      </c>
      <c r="GNP11" s="314" t="s">
        <v>203</v>
      </c>
      <c r="GNQ11" s="314" t="s">
        <v>203</v>
      </c>
      <c r="GNR11" s="314" t="s">
        <v>203</v>
      </c>
      <c r="GNS11" s="314" t="s">
        <v>203</v>
      </c>
      <c r="GNT11" s="314" t="s">
        <v>203</v>
      </c>
      <c r="GNU11" s="314" t="s">
        <v>203</v>
      </c>
      <c r="GNV11" s="314" t="s">
        <v>203</v>
      </c>
      <c r="GNW11" s="314" t="s">
        <v>203</v>
      </c>
      <c r="GNX11" s="314" t="s">
        <v>203</v>
      </c>
      <c r="GNY11" s="314" t="s">
        <v>203</v>
      </c>
      <c r="GNZ11" s="314" t="s">
        <v>203</v>
      </c>
      <c r="GOA11" s="314" t="s">
        <v>203</v>
      </c>
      <c r="GOB11" s="314" t="s">
        <v>203</v>
      </c>
      <c r="GOC11" s="314" t="s">
        <v>203</v>
      </c>
      <c r="GOD11" s="314" t="s">
        <v>203</v>
      </c>
      <c r="GOE11" s="314" t="s">
        <v>203</v>
      </c>
      <c r="GOF11" s="314" t="s">
        <v>203</v>
      </c>
      <c r="GOG11" s="314" t="s">
        <v>203</v>
      </c>
      <c r="GOH11" s="314" t="s">
        <v>203</v>
      </c>
      <c r="GOI11" s="314" t="s">
        <v>203</v>
      </c>
      <c r="GOJ11" s="314" t="s">
        <v>203</v>
      </c>
      <c r="GOK11" s="314" t="s">
        <v>203</v>
      </c>
      <c r="GOL11" s="314" t="s">
        <v>203</v>
      </c>
      <c r="GOM11" s="314" t="s">
        <v>203</v>
      </c>
      <c r="GON11" s="314" t="s">
        <v>203</v>
      </c>
      <c r="GOO11" s="314" t="s">
        <v>203</v>
      </c>
      <c r="GOP11" s="314" t="s">
        <v>203</v>
      </c>
      <c r="GOQ11" s="314" t="s">
        <v>203</v>
      </c>
      <c r="GOR11" s="314" t="s">
        <v>203</v>
      </c>
      <c r="GOS11" s="314" t="s">
        <v>203</v>
      </c>
      <c r="GOT11" s="314" t="s">
        <v>203</v>
      </c>
      <c r="GOU11" s="314" t="s">
        <v>203</v>
      </c>
      <c r="GOV11" s="314" t="s">
        <v>203</v>
      </c>
      <c r="GOW11" s="314" t="s">
        <v>203</v>
      </c>
      <c r="GOX11" s="314" t="s">
        <v>203</v>
      </c>
      <c r="GOY11" s="314" t="s">
        <v>203</v>
      </c>
      <c r="GOZ11" s="314" t="s">
        <v>203</v>
      </c>
      <c r="GPA11" s="314" t="s">
        <v>203</v>
      </c>
      <c r="GPB11" s="314" t="s">
        <v>203</v>
      </c>
      <c r="GPC11" s="314" t="s">
        <v>203</v>
      </c>
      <c r="GPD11" s="314" t="s">
        <v>203</v>
      </c>
      <c r="GPE11" s="314" t="s">
        <v>203</v>
      </c>
      <c r="GPF11" s="314" t="s">
        <v>203</v>
      </c>
      <c r="GPG11" s="314" t="s">
        <v>203</v>
      </c>
      <c r="GPH11" s="314" t="s">
        <v>203</v>
      </c>
      <c r="GPI11" s="314" t="s">
        <v>203</v>
      </c>
      <c r="GPJ11" s="314" t="s">
        <v>203</v>
      </c>
      <c r="GPK11" s="314" t="s">
        <v>203</v>
      </c>
      <c r="GPL11" s="314" t="s">
        <v>203</v>
      </c>
      <c r="GPM11" s="314" t="s">
        <v>203</v>
      </c>
      <c r="GPN11" s="314" t="s">
        <v>203</v>
      </c>
      <c r="GPO11" s="314" t="s">
        <v>203</v>
      </c>
      <c r="GPP11" s="314" t="s">
        <v>203</v>
      </c>
      <c r="GPQ11" s="314" t="s">
        <v>203</v>
      </c>
      <c r="GPR11" s="314" t="s">
        <v>203</v>
      </c>
      <c r="GPS11" s="314" t="s">
        <v>203</v>
      </c>
      <c r="GPT11" s="314" t="s">
        <v>203</v>
      </c>
      <c r="GPU11" s="314" t="s">
        <v>203</v>
      </c>
      <c r="GPV11" s="314" t="s">
        <v>203</v>
      </c>
      <c r="GPW11" s="314" t="s">
        <v>203</v>
      </c>
      <c r="GPX11" s="314" t="s">
        <v>203</v>
      </c>
      <c r="GPY11" s="314" t="s">
        <v>203</v>
      </c>
      <c r="GPZ11" s="314" t="s">
        <v>203</v>
      </c>
      <c r="GQA11" s="314" t="s">
        <v>203</v>
      </c>
      <c r="GQB11" s="314" t="s">
        <v>203</v>
      </c>
      <c r="GQC11" s="314" t="s">
        <v>203</v>
      </c>
      <c r="GQD11" s="314" t="s">
        <v>203</v>
      </c>
      <c r="GQE11" s="314" t="s">
        <v>203</v>
      </c>
      <c r="GQF11" s="314" t="s">
        <v>203</v>
      </c>
      <c r="GQG11" s="314" t="s">
        <v>203</v>
      </c>
      <c r="GQH11" s="314" t="s">
        <v>203</v>
      </c>
      <c r="GQI11" s="314" t="s">
        <v>203</v>
      </c>
      <c r="GQJ11" s="314" t="s">
        <v>203</v>
      </c>
      <c r="GQK11" s="314" t="s">
        <v>203</v>
      </c>
      <c r="GQL11" s="314" t="s">
        <v>203</v>
      </c>
      <c r="GQM11" s="314" t="s">
        <v>203</v>
      </c>
      <c r="GQN11" s="314" t="s">
        <v>203</v>
      </c>
      <c r="GQO11" s="314" t="s">
        <v>203</v>
      </c>
      <c r="GQP11" s="314" t="s">
        <v>203</v>
      </c>
      <c r="GQQ11" s="314" t="s">
        <v>203</v>
      </c>
      <c r="GQR11" s="314" t="s">
        <v>203</v>
      </c>
      <c r="GQS11" s="314" t="s">
        <v>203</v>
      </c>
      <c r="GQT11" s="314" t="s">
        <v>203</v>
      </c>
      <c r="GQU11" s="314" t="s">
        <v>203</v>
      </c>
      <c r="GQV11" s="314" t="s">
        <v>203</v>
      </c>
      <c r="GQW11" s="314" t="s">
        <v>203</v>
      </c>
      <c r="GQX11" s="314" t="s">
        <v>203</v>
      </c>
      <c r="GQY11" s="314" t="s">
        <v>203</v>
      </c>
      <c r="GQZ11" s="314" t="s">
        <v>203</v>
      </c>
      <c r="GRA11" s="314" t="s">
        <v>203</v>
      </c>
      <c r="GRB11" s="314" t="s">
        <v>203</v>
      </c>
      <c r="GRC11" s="314" t="s">
        <v>203</v>
      </c>
      <c r="GRD11" s="314" t="s">
        <v>203</v>
      </c>
      <c r="GRE11" s="314" t="s">
        <v>203</v>
      </c>
      <c r="GRF11" s="314" t="s">
        <v>203</v>
      </c>
      <c r="GRG11" s="314" t="s">
        <v>203</v>
      </c>
      <c r="GRH11" s="314" t="s">
        <v>203</v>
      </c>
      <c r="GRI11" s="314" t="s">
        <v>203</v>
      </c>
      <c r="GRJ11" s="314" t="s">
        <v>203</v>
      </c>
      <c r="GRK11" s="314" t="s">
        <v>203</v>
      </c>
      <c r="GRL11" s="314" t="s">
        <v>203</v>
      </c>
      <c r="GRM11" s="314" t="s">
        <v>203</v>
      </c>
      <c r="GRN11" s="314" t="s">
        <v>203</v>
      </c>
      <c r="GRO11" s="314" t="s">
        <v>203</v>
      </c>
      <c r="GRP11" s="314" t="s">
        <v>203</v>
      </c>
      <c r="GRQ11" s="314" t="s">
        <v>203</v>
      </c>
      <c r="GRR11" s="314" t="s">
        <v>203</v>
      </c>
      <c r="GRS11" s="314" t="s">
        <v>203</v>
      </c>
      <c r="GRT11" s="314" t="s">
        <v>203</v>
      </c>
      <c r="GRU11" s="314" t="s">
        <v>203</v>
      </c>
      <c r="GRV11" s="314" t="s">
        <v>203</v>
      </c>
      <c r="GRW11" s="314" t="s">
        <v>203</v>
      </c>
      <c r="GRX11" s="314" t="s">
        <v>203</v>
      </c>
      <c r="GRY11" s="314" t="s">
        <v>203</v>
      </c>
      <c r="GRZ11" s="314" t="s">
        <v>203</v>
      </c>
      <c r="GSA11" s="314" t="s">
        <v>203</v>
      </c>
      <c r="GSB11" s="314" t="s">
        <v>203</v>
      </c>
      <c r="GSC11" s="314" t="s">
        <v>203</v>
      </c>
      <c r="GSD11" s="314" t="s">
        <v>203</v>
      </c>
      <c r="GSE11" s="314" t="s">
        <v>203</v>
      </c>
      <c r="GSF11" s="314" t="s">
        <v>203</v>
      </c>
      <c r="GSG11" s="314" t="s">
        <v>203</v>
      </c>
      <c r="GSH11" s="314" t="s">
        <v>203</v>
      </c>
      <c r="GSI11" s="314" t="s">
        <v>203</v>
      </c>
      <c r="GSJ11" s="314" t="s">
        <v>203</v>
      </c>
      <c r="GSK11" s="314" t="s">
        <v>203</v>
      </c>
      <c r="GSL11" s="314" t="s">
        <v>203</v>
      </c>
      <c r="GSM11" s="314" t="s">
        <v>203</v>
      </c>
      <c r="GSN11" s="314" t="s">
        <v>203</v>
      </c>
      <c r="GSO11" s="314" t="s">
        <v>203</v>
      </c>
      <c r="GSP11" s="314" t="s">
        <v>203</v>
      </c>
      <c r="GSQ11" s="314" t="s">
        <v>203</v>
      </c>
      <c r="GSR11" s="314" t="s">
        <v>203</v>
      </c>
      <c r="GSS11" s="314" t="s">
        <v>203</v>
      </c>
      <c r="GST11" s="314" t="s">
        <v>203</v>
      </c>
      <c r="GSU11" s="314" t="s">
        <v>203</v>
      </c>
      <c r="GSV11" s="314" t="s">
        <v>203</v>
      </c>
      <c r="GSW11" s="314" t="s">
        <v>203</v>
      </c>
      <c r="GSX11" s="314" t="s">
        <v>203</v>
      </c>
      <c r="GSY11" s="314" t="s">
        <v>203</v>
      </c>
      <c r="GSZ11" s="314" t="s">
        <v>203</v>
      </c>
      <c r="GTA11" s="314" t="s">
        <v>203</v>
      </c>
      <c r="GTB11" s="314" t="s">
        <v>203</v>
      </c>
      <c r="GTC11" s="314" t="s">
        <v>203</v>
      </c>
      <c r="GTD11" s="314" t="s">
        <v>203</v>
      </c>
      <c r="GTE11" s="314" t="s">
        <v>203</v>
      </c>
      <c r="GTF11" s="314" t="s">
        <v>203</v>
      </c>
      <c r="GTG11" s="314" t="s">
        <v>203</v>
      </c>
      <c r="GTH11" s="314" t="s">
        <v>203</v>
      </c>
      <c r="GTI11" s="314" t="s">
        <v>203</v>
      </c>
      <c r="GTJ11" s="314" t="s">
        <v>203</v>
      </c>
      <c r="GTK11" s="314" t="s">
        <v>203</v>
      </c>
      <c r="GTL11" s="314" t="s">
        <v>203</v>
      </c>
      <c r="GTM11" s="314" t="s">
        <v>203</v>
      </c>
      <c r="GTN11" s="314" t="s">
        <v>203</v>
      </c>
      <c r="GTO11" s="314" t="s">
        <v>203</v>
      </c>
      <c r="GTP11" s="314" t="s">
        <v>203</v>
      </c>
      <c r="GTQ11" s="314" t="s">
        <v>203</v>
      </c>
      <c r="GTR11" s="314" t="s">
        <v>203</v>
      </c>
      <c r="GTS11" s="314" t="s">
        <v>203</v>
      </c>
      <c r="GTT11" s="314" t="s">
        <v>203</v>
      </c>
      <c r="GTU11" s="314" t="s">
        <v>203</v>
      </c>
      <c r="GTV11" s="314" t="s">
        <v>203</v>
      </c>
      <c r="GTW11" s="314" t="s">
        <v>203</v>
      </c>
      <c r="GTX11" s="314" t="s">
        <v>203</v>
      </c>
      <c r="GTY11" s="314" t="s">
        <v>203</v>
      </c>
      <c r="GTZ11" s="314" t="s">
        <v>203</v>
      </c>
      <c r="GUA11" s="314" t="s">
        <v>203</v>
      </c>
      <c r="GUB11" s="314" t="s">
        <v>203</v>
      </c>
      <c r="GUC11" s="314" t="s">
        <v>203</v>
      </c>
      <c r="GUD11" s="314" t="s">
        <v>203</v>
      </c>
      <c r="GUE11" s="314" t="s">
        <v>203</v>
      </c>
      <c r="GUF11" s="314" t="s">
        <v>203</v>
      </c>
      <c r="GUG11" s="314" t="s">
        <v>203</v>
      </c>
      <c r="GUH11" s="314" t="s">
        <v>203</v>
      </c>
      <c r="GUI11" s="314" t="s">
        <v>203</v>
      </c>
      <c r="GUJ11" s="314" t="s">
        <v>203</v>
      </c>
      <c r="GUK11" s="314" t="s">
        <v>203</v>
      </c>
      <c r="GUL11" s="314" t="s">
        <v>203</v>
      </c>
      <c r="GUM11" s="314" t="s">
        <v>203</v>
      </c>
      <c r="GUN11" s="314" t="s">
        <v>203</v>
      </c>
      <c r="GUO11" s="314" t="s">
        <v>203</v>
      </c>
      <c r="GUP11" s="314" t="s">
        <v>203</v>
      </c>
      <c r="GUQ11" s="314" t="s">
        <v>203</v>
      </c>
      <c r="GUR11" s="314" t="s">
        <v>203</v>
      </c>
      <c r="GUS11" s="314" t="s">
        <v>203</v>
      </c>
      <c r="GUT11" s="314" t="s">
        <v>203</v>
      </c>
      <c r="GUU11" s="314" t="s">
        <v>203</v>
      </c>
      <c r="GUV11" s="314" t="s">
        <v>203</v>
      </c>
      <c r="GUW11" s="314" t="s">
        <v>203</v>
      </c>
      <c r="GUX11" s="314" t="s">
        <v>203</v>
      </c>
      <c r="GUY11" s="314" t="s">
        <v>203</v>
      </c>
      <c r="GUZ11" s="314" t="s">
        <v>203</v>
      </c>
      <c r="GVA11" s="314" t="s">
        <v>203</v>
      </c>
      <c r="GVB11" s="314" t="s">
        <v>203</v>
      </c>
      <c r="GVC11" s="314" t="s">
        <v>203</v>
      </c>
      <c r="GVD11" s="314" t="s">
        <v>203</v>
      </c>
      <c r="GVE11" s="314" t="s">
        <v>203</v>
      </c>
      <c r="GVF11" s="314" t="s">
        <v>203</v>
      </c>
      <c r="GVG11" s="314" t="s">
        <v>203</v>
      </c>
      <c r="GVH11" s="314" t="s">
        <v>203</v>
      </c>
      <c r="GVI11" s="314" t="s">
        <v>203</v>
      </c>
      <c r="GVJ11" s="314" t="s">
        <v>203</v>
      </c>
      <c r="GVK11" s="314" t="s">
        <v>203</v>
      </c>
      <c r="GVL11" s="314" t="s">
        <v>203</v>
      </c>
      <c r="GVM11" s="314" t="s">
        <v>203</v>
      </c>
      <c r="GVN11" s="314" t="s">
        <v>203</v>
      </c>
      <c r="GVO11" s="314" t="s">
        <v>203</v>
      </c>
      <c r="GVP11" s="314" t="s">
        <v>203</v>
      </c>
      <c r="GVQ11" s="314" t="s">
        <v>203</v>
      </c>
      <c r="GVR11" s="314" t="s">
        <v>203</v>
      </c>
      <c r="GVS11" s="314" t="s">
        <v>203</v>
      </c>
      <c r="GVT11" s="314" t="s">
        <v>203</v>
      </c>
      <c r="GVU11" s="314" t="s">
        <v>203</v>
      </c>
      <c r="GVV11" s="314" t="s">
        <v>203</v>
      </c>
      <c r="GVW11" s="314" t="s">
        <v>203</v>
      </c>
      <c r="GVX11" s="314" t="s">
        <v>203</v>
      </c>
      <c r="GVY11" s="314" t="s">
        <v>203</v>
      </c>
      <c r="GVZ11" s="314" t="s">
        <v>203</v>
      </c>
      <c r="GWA11" s="314" t="s">
        <v>203</v>
      </c>
      <c r="GWB11" s="314" t="s">
        <v>203</v>
      </c>
      <c r="GWC11" s="314" t="s">
        <v>203</v>
      </c>
      <c r="GWD11" s="314" t="s">
        <v>203</v>
      </c>
      <c r="GWE11" s="314" t="s">
        <v>203</v>
      </c>
      <c r="GWF11" s="314" t="s">
        <v>203</v>
      </c>
      <c r="GWG11" s="314" t="s">
        <v>203</v>
      </c>
      <c r="GWH11" s="314" t="s">
        <v>203</v>
      </c>
      <c r="GWI11" s="314" t="s">
        <v>203</v>
      </c>
      <c r="GWJ11" s="314" t="s">
        <v>203</v>
      </c>
      <c r="GWK11" s="314" t="s">
        <v>203</v>
      </c>
      <c r="GWL11" s="314" t="s">
        <v>203</v>
      </c>
      <c r="GWM11" s="314" t="s">
        <v>203</v>
      </c>
      <c r="GWN11" s="314" t="s">
        <v>203</v>
      </c>
      <c r="GWO11" s="314" t="s">
        <v>203</v>
      </c>
      <c r="GWP11" s="314" t="s">
        <v>203</v>
      </c>
      <c r="GWQ11" s="314" t="s">
        <v>203</v>
      </c>
      <c r="GWR11" s="314" t="s">
        <v>203</v>
      </c>
      <c r="GWS11" s="314" t="s">
        <v>203</v>
      </c>
      <c r="GWT11" s="314" t="s">
        <v>203</v>
      </c>
      <c r="GWU11" s="314" t="s">
        <v>203</v>
      </c>
      <c r="GWV11" s="314" t="s">
        <v>203</v>
      </c>
      <c r="GWW11" s="314" t="s">
        <v>203</v>
      </c>
      <c r="GWX11" s="314" t="s">
        <v>203</v>
      </c>
      <c r="GWY11" s="314" t="s">
        <v>203</v>
      </c>
      <c r="GWZ11" s="314" t="s">
        <v>203</v>
      </c>
      <c r="GXA11" s="314" t="s">
        <v>203</v>
      </c>
      <c r="GXB11" s="314" t="s">
        <v>203</v>
      </c>
      <c r="GXC11" s="314" t="s">
        <v>203</v>
      </c>
      <c r="GXD11" s="314" t="s">
        <v>203</v>
      </c>
      <c r="GXE11" s="314" t="s">
        <v>203</v>
      </c>
      <c r="GXF11" s="314" t="s">
        <v>203</v>
      </c>
      <c r="GXG11" s="314" t="s">
        <v>203</v>
      </c>
      <c r="GXH11" s="314" t="s">
        <v>203</v>
      </c>
      <c r="GXI11" s="314" t="s">
        <v>203</v>
      </c>
      <c r="GXJ11" s="314" t="s">
        <v>203</v>
      </c>
      <c r="GXK11" s="314" t="s">
        <v>203</v>
      </c>
      <c r="GXL11" s="314" t="s">
        <v>203</v>
      </c>
      <c r="GXM11" s="314" t="s">
        <v>203</v>
      </c>
      <c r="GXN11" s="314" t="s">
        <v>203</v>
      </c>
      <c r="GXO11" s="314" t="s">
        <v>203</v>
      </c>
      <c r="GXP11" s="314" t="s">
        <v>203</v>
      </c>
      <c r="GXQ11" s="314" t="s">
        <v>203</v>
      </c>
      <c r="GXR11" s="314" t="s">
        <v>203</v>
      </c>
      <c r="GXS11" s="314" t="s">
        <v>203</v>
      </c>
      <c r="GXT11" s="314" t="s">
        <v>203</v>
      </c>
      <c r="GXU11" s="314" t="s">
        <v>203</v>
      </c>
      <c r="GXV11" s="314" t="s">
        <v>203</v>
      </c>
      <c r="GXW11" s="314" t="s">
        <v>203</v>
      </c>
      <c r="GXX11" s="314" t="s">
        <v>203</v>
      </c>
      <c r="GXY11" s="314" t="s">
        <v>203</v>
      </c>
      <c r="GXZ11" s="314" t="s">
        <v>203</v>
      </c>
      <c r="GYA11" s="314" t="s">
        <v>203</v>
      </c>
      <c r="GYB11" s="314" t="s">
        <v>203</v>
      </c>
      <c r="GYC11" s="314" t="s">
        <v>203</v>
      </c>
      <c r="GYD11" s="314" t="s">
        <v>203</v>
      </c>
      <c r="GYE11" s="314" t="s">
        <v>203</v>
      </c>
      <c r="GYF11" s="314" t="s">
        <v>203</v>
      </c>
      <c r="GYG11" s="314" t="s">
        <v>203</v>
      </c>
      <c r="GYH11" s="314" t="s">
        <v>203</v>
      </c>
      <c r="GYI11" s="314" t="s">
        <v>203</v>
      </c>
      <c r="GYJ11" s="314" t="s">
        <v>203</v>
      </c>
      <c r="GYK11" s="314" t="s">
        <v>203</v>
      </c>
      <c r="GYL11" s="314" t="s">
        <v>203</v>
      </c>
      <c r="GYM11" s="314" t="s">
        <v>203</v>
      </c>
      <c r="GYN11" s="314" t="s">
        <v>203</v>
      </c>
      <c r="GYO11" s="314" t="s">
        <v>203</v>
      </c>
      <c r="GYP11" s="314" t="s">
        <v>203</v>
      </c>
      <c r="GYQ11" s="314" t="s">
        <v>203</v>
      </c>
      <c r="GYR11" s="314" t="s">
        <v>203</v>
      </c>
      <c r="GYS11" s="314" t="s">
        <v>203</v>
      </c>
      <c r="GYT11" s="314" t="s">
        <v>203</v>
      </c>
      <c r="GYU11" s="314" t="s">
        <v>203</v>
      </c>
      <c r="GYV11" s="314" t="s">
        <v>203</v>
      </c>
      <c r="GYW11" s="314" t="s">
        <v>203</v>
      </c>
      <c r="GYX11" s="314" t="s">
        <v>203</v>
      </c>
      <c r="GYY11" s="314" t="s">
        <v>203</v>
      </c>
      <c r="GYZ11" s="314" t="s">
        <v>203</v>
      </c>
      <c r="GZA11" s="314" t="s">
        <v>203</v>
      </c>
      <c r="GZB11" s="314" t="s">
        <v>203</v>
      </c>
      <c r="GZC11" s="314" t="s">
        <v>203</v>
      </c>
      <c r="GZD11" s="314" t="s">
        <v>203</v>
      </c>
      <c r="GZE11" s="314" t="s">
        <v>203</v>
      </c>
      <c r="GZF11" s="314" t="s">
        <v>203</v>
      </c>
      <c r="GZG11" s="314" t="s">
        <v>203</v>
      </c>
      <c r="GZH11" s="314" t="s">
        <v>203</v>
      </c>
      <c r="GZI11" s="314" t="s">
        <v>203</v>
      </c>
      <c r="GZJ11" s="314" t="s">
        <v>203</v>
      </c>
      <c r="GZK11" s="314" t="s">
        <v>203</v>
      </c>
      <c r="GZL11" s="314" t="s">
        <v>203</v>
      </c>
      <c r="GZM11" s="314" t="s">
        <v>203</v>
      </c>
      <c r="GZN11" s="314" t="s">
        <v>203</v>
      </c>
      <c r="GZO11" s="314" t="s">
        <v>203</v>
      </c>
      <c r="GZP11" s="314" t="s">
        <v>203</v>
      </c>
      <c r="GZQ11" s="314" t="s">
        <v>203</v>
      </c>
      <c r="GZR11" s="314" t="s">
        <v>203</v>
      </c>
      <c r="GZS11" s="314" t="s">
        <v>203</v>
      </c>
      <c r="GZT11" s="314" t="s">
        <v>203</v>
      </c>
      <c r="GZU11" s="314" t="s">
        <v>203</v>
      </c>
      <c r="GZV11" s="314" t="s">
        <v>203</v>
      </c>
      <c r="GZW11" s="314" t="s">
        <v>203</v>
      </c>
      <c r="GZX11" s="314" t="s">
        <v>203</v>
      </c>
      <c r="GZY11" s="314" t="s">
        <v>203</v>
      </c>
      <c r="GZZ11" s="314" t="s">
        <v>203</v>
      </c>
      <c r="HAA11" s="314" t="s">
        <v>203</v>
      </c>
      <c r="HAB11" s="314" t="s">
        <v>203</v>
      </c>
      <c r="HAC11" s="314" t="s">
        <v>203</v>
      </c>
      <c r="HAD11" s="314" t="s">
        <v>203</v>
      </c>
      <c r="HAE11" s="314" t="s">
        <v>203</v>
      </c>
      <c r="HAF11" s="314" t="s">
        <v>203</v>
      </c>
      <c r="HAG11" s="314" t="s">
        <v>203</v>
      </c>
      <c r="HAH11" s="314" t="s">
        <v>203</v>
      </c>
      <c r="HAI11" s="314" t="s">
        <v>203</v>
      </c>
      <c r="HAJ11" s="314" t="s">
        <v>203</v>
      </c>
      <c r="HAK11" s="314" t="s">
        <v>203</v>
      </c>
      <c r="HAL11" s="314" t="s">
        <v>203</v>
      </c>
      <c r="HAM11" s="314" t="s">
        <v>203</v>
      </c>
      <c r="HAN11" s="314" t="s">
        <v>203</v>
      </c>
      <c r="HAO11" s="314" t="s">
        <v>203</v>
      </c>
      <c r="HAP11" s="314" t="s">
        <v>203</v>
      </c>
      <c r="HAQ11" s="314" t="s">
        <v>203</v>
      </c>
      <c r="HAR11" s="314" t="s">
        <v>203</v>
      </c>
      <c r="HAS11" s="314" t="s">
        <v>203</v>
      </c>
      <c r="HAT11" s="314" t="s">
        <v>203</v>
      </c>
      <c r="HAU11" s="314" t="s">
        <v>203</v>
      </c>
      <c r="HAV11" s="314" t="s">
        <v>203</v>
      </c>
      <c r="HAW11" s="314" t="s">
        <v>203</v>
      </c>
      <c r="HAX11" s="314" t="s">
        <v>203</v>
      </c>
      <c r="HAY11" s="314" t="s">
        <v>203</v>
      </c>
      <c r="HAZ11" s="314" t="s">
        <v>203</v>
      </c>
      <c r="HBA11" s="314" t="s">
        <v>203</v>
      </c>
      <c r="HBB11" s="314" t="s">
        <v>203</v>
      </c>
      <c r="HBC11" s="314" t="s">
        <v>203</v>
      </c>
      <c r="HBD11" s="314" t="s">
        <v>203</v>
      </c>
      <c r="HBE11" s="314" t="s">
        <v>203</v>
      </c>
      <c r="HBF11" s="314" t="s">
        <v>203</v>
      </c>
      <c r="HBG11" s="314" t="s">
        <v>203</v>
      </c>
      <c r="HBH11" s="314" t="s">
        <v>203</v>
      </c>
      <c r="HBI11" s="314" t="s">
        <v>203</v>
      </c>
      <c r="HBJ11" s="314" t="s">
        <v>203</v>
      </c>
      <c r="HBK11" s="314" t="s">
        <v>203</v>
      </c>
      <c r="HBL11" s="314" t="s">
        <v>203</v>
      </c>
      <c r="HBM11" s="314" t="s">
        <v>203</v>
      </c>
      <c r="HBN11" s="314" t="s">
        <v>203</v>
      </c>
      <c r="HBO11" s="314" t="s">
        <v>203</v>
      </c>
      <c r="HBP11" s="314" t="s">
        <v>203</v>
      </c>
      <c r="HBQ11" s="314" t="s">
        <v>203</v>
      </c>
      <c r="HBR11" s="314" t="s">
        <v>203</v>
      </c>
      <c r="HBS11" s="314" t="s">
        <v>203</v>
      </c>
      <c r="HBT11" s="314" t="s">
        <v>203</v>
      </c>
      <c r="HBU11" s="314" t="s">
        <v>203</v>
      </c>
      <c r="HBV11" s="314" t="s">
        <v>203</v>
      </c>
      <c r="HBW11" s="314" t="s">
        <v>203</v>
      </c>
      <c r="HBX11" s="314" t="s">
        <v>203</v>
      </c>
      <c r="HBY11" s="314" t="s">
        <v>203</v>
      </c>
      <c r="HBZ11" s="314" t="s">
        <v>203</v>
      </c>
      <c r="HCA11" s="314" t="s">
        <v>203</v>
      </c>
      <c r="HCB11" s="314" t="s">
        <v>203</v>
      </c>
      <c r="HCC11" s="314" t="s">
        <v>203</v>
      </c>
      <c r="HCD11" s="314" t="s">
        <v>203</v>
      </c>
      <c r="HCE11" s="314" t="s">
        <v>203</v>
      </c>
      <c r="HCF11" s="314" t="s">
        <v>203</v>
      </c>
      <c r="HCG11" s="314" t="s">
        <v>203</v>
      </c>
      <c r="HCH11" s="314" t="s">
        <v>203</v>
      </c>
      <c r="HCI11" s="314" t="s">
        <v>203</v>
      </c>
      <c r="HCJ11" s="314" t="s">
        <v>203</v>
      </c>
      <c r="HCK11" s="314" t="s">
        <v>203</v>
      </c>
      <c r="HCL11" s="314" t="s">
        <v>203</v>
      </c>
      <c r="HCM11" s="314" t="s">
        <v>203</v>
      </c>
      <c r="HCN11" s="314" t="s">
        <v>203</v>
      </c>
      <c r="HCO11" s="314" t="s">
        <v>203</v>
      </c>
      <c r="HCP11" s="314" t="s">
        <v>203</v>
      </c>
      <c r="HCQ11" s="314" t="s">
        <v>203</v>
      </c>
      <c r="HCR11" s="314" t="s">
        <v>203</v>
      </c>
      <c r="HCS11" s="314" t="s">
        <v>203</v>
      </c>
      <c r="HCT11" s="314" t="s">
        <v>203</v>
      </c>
      <c r="HCU11" s="314" t="s">
        <v>203</v>
      </c>
      <c r="HCV11" s="314" t="s">
        <v>203</v>
      </c>
      <c r="HCW11" s="314" t="s">
        <v>203</v>
      </c>
      <c r="HCX11" s="314" t="s">
        <v>203</v>
      </c>
      <c r="HCY11" s="314" t="s">
        <v>203</v>
      </c>
      <c r="HCZ11" s="314" t="s">
        <v>203</v>
      </c>
      <c r="HDA11" s="314" t="s">
        <v>203</v>
      </c>
      <c r="HDB11" s="314" t="s">
        <v>203</v>
      </c>
      <c r="HDC11" s="314" t="s">
        <v>203</v>
      </c>
      <c r="HDD11" s="314" t="s">
        <v>203</v>
      </c>
      <c r="HDE11" s="314" t="s">
        <v>203</v>
      </c>
      <c r="HDF11" s="314" t="s">
        <v>203</v>
      </c>
      <c r="HDG11" s="314" t="s">
        <v>203</v>
      </c>
      <c r="HDH11" s="314" t="s">
        <v>203</v>
      </c>
      <c r="HDI11" s="314" t="s">
        <v>203</v>
      </c>
      <c r="HDJ11" s="314" t="s">
        <v>203</v>
      </c>
      <c r="HDK11" s="314" t="s">
        <v>203</v>
      </c>
      <c r="HDL11" s="314" t="s">
        <v>203</v>
      </c>
      <c r="HDM11" s="314" t="s">
        <v>203</v>
      </c>
      <c r="HDN11" s="314" t="s">
        <v>203</v>
      </c>
      <c r="HDO11" s="314" t="s">
        <v>203</v>
      </c>
      <c r="HDP11" s="314" t="s">
        <v>203</v>
      </c>
      <c r="HDQ11" s="314" t="s">
        <v>203</v>
      </c>
      <c r="HDR11" s="314" t="s">
        <v>203</v>
      </c>
      <c r="HDS11" s="314" t="s">
        <v>203</v>
      </c>
      <c r="HDT11" s="314" t="s">
        <v>203</v>
      </c>
      <c r="HDU11" s="314" t="s">
        <v>203</v>
      </c>
      <c r="HDV11" s="314" t="s">
        <v>203</v>
      </c>
      <c r="HDW11" s="314" t="s">
        <v>203</v>
      </c>
      <c r="HDX11" s="314" t="s">
        <v>203</v>
      </c>
      <c r="HDY11" s="314" t="s">
        <v>203</v>
      </c>
      <c r="HDZ11" s="314" t="s">
        <v>203</v>
      </c>
      <c r="HEA11" s="314" t="s">
        <v>203</v>
      </c>
      <c r="HEB11" s="314" t="s">
        <v>203</v>
      </c>
      <c r="HEC11" s="314" t="s">
        <v>203</v>
      </c>
      <c r="HED11" s="314" t="s">
        <v>203</v>
      </c>
      <c r="HEE11" s="314" t="s">
        <v>203</v>
      </c>
      <c r="HEF11" s="314" t="s">
        <v>203</v>
      </c>
      <c r="HEG11" s="314" t="s">
        <v>203</v>
      </c>
      <c r="HEH11" s="314" t="s">
        <v>203</v>
      </c>
      <c r="HEI11" s="314" t="s">
        <v>203</v>
      </c>
      <c r="HEJ11" s="314" t="s">
        <v>203</v>
      </c>
      <c r="HEK11" s="314" t="s">
        <v>203</v>
      </c>
      <c r="HEL11" s="314" t="s">
        <v>203</v>
      </c>
      <c r="HEM11" s="314" t="s">
        <v>203</v>
      </c>
      <c r="HEN11" s="314" t="s">
        <v>203</v>
      </c>
      <c r="HEO11" s="314" t="s">
        <v>203</v>
      </c>
      <c r="HEP11" s="314" t="s">
        <v>203</v>
      </c>
      <c r="HEQ11" s="314" t="s">
        <v>203</v>
      </c>
      <c r="HER11" s="314" t="s">
        <v>203</v>
      </c>
      <c r="HES11" s="314" t="s">
        <v>203</v>
      </c>
      <c r="HET11" s="314" t="s">
        <v>203</v>
      </c>
      <c r="HEU11" s="314" t="s">
        <v>203</v>
      </c>
      <c r="HEV11" s="314" t="s">
        <v>203</v>
      </c>
      <c r="HEW11" s="314" t="s">
        <v>203</v>
      </c>
      <c r="HEX11" s="314" t="s">
        <v>203</v>
      </c>
      <c r="HEY11" s="314" t="s">
        <v>203</v>
      </c>
      <c r="HEZ11" s="314" t="s">
        <v>203</v>
      </c>
      <c r="HFA11" s="314" t="s">
        <v>203</v>
      </c>
      <c r="HFB11" s="314" t="s">
        <v>203</v>
      </c>
      <c r="HFC11" s="314" t="s">
        <v>203</v>
      </c>
      <c r="HFD11" s="314" t="s">
        <v>203</v>
      </c>
      <c r="HFE11" s="314" t="s">
        <v>203</v>
      </c>
      <c r="HFF11" s="314" t="s">
        <v>203</v>
      </c>
      <c r="HFG11" s="314" t="s">
        <v>203</v>
      </c>
      <c r="HFH11" s="314" t="s">
        <v>203</v>
      </c>
      <c r="HFI11" s="314" t="s">
        <v>203</v>
      </c>
      <c r="HFJ11" s="314" t="s">
        <v>203</v>
      </c>
      <c r="HFK11" s="314" t="s">
        <v>203</v>
      </c>
      <c r="HFL11" s="314" t="s">
        <v>203</v>
      </c>
      <c r="HFM11" s="314" t="s">
        <v>203</v>
      </c>
      <c r="HFN11" s="314" t="s">
        <v>203</v>
      </c>
      <c r="HFO11" s="314" t="s">
        <v>203</v>
      </c>
      <c r="HFP11" s="314" t="s">
        <v>203</v>
      </c>
      <c r="HFQ11" s="314" t="s">
        <v>203</v>
      </c>
      <c r="HFR11" s="314" t="s">
        <v>203</v>
      </c>
      <c r="HFS11" s="314" t="s">
        <v>203</v>
      </c>
      <c r="HFT11" s="314" t="s">
        <v>203</v>
      </c>
      <c r="HFU11" s="314" t="s">
        <v>203</v>
      </c>
      <c r="HFV11" s="314" t="s">
        <v>203</v>
      </c>
      <c r="HFW11" s="314" t="s">
        <v>203</v>
      </c>
      <c r="HFX11" s="314" t="s">
        <v>203</v>
      </c>
      <c r="HFY11" s="314" t="s">
        <v>203</v>
      </c>
      <c r="HFZ11" s="314" t="s">
        <v>203</v>
      </c>
      <c r="HGA11" s="314" t="s">
        <v>203</v>
      </c>
      <c r="HGB11" s="314" t="s">
        <v>203</v>
      </c>
      <c r="HGC11" s="314" t="s">
        <v>203</v>
      </c>
      <c r="HGD11" s="314" t="s">
        <v>203</v>
      </c>
      <c r="HGE11" s="314" t="s">
        <v>203</v>
      </c>
      <c r="HGF11" s="314" t="s">
        <v>203</v>
      </c>
      <c r="HGG11" s="314" t="s">
        <v>203</v>
      </c>
      <c r="HGH11" s="314" t="s">
        <v>203</v>
      </c>
      <c r="HGI11" s="314" t="s">
        <v>203</v>
      </c>
      <c r="HGJ11" s="314" t="s">
        <v>203</v>
      </c>
      <c r="HGK11" s="314" t="s">
        <v>203</v>
      </c>
      <c r="HGL11" s="314" t="s">
        <v>203</v>
      </c>
      <c r="HGM11" s="314" t="s">
        <v>203</v>
      </c>
      <c r="HGN11" s="314" t="s">
        <v>203</v>
      </c>
      <c r="HGO11" s="314" t="s">
        <v>203</v>
      </c>
      <c r="HGP11" s="314" t="s">
        <v>203</v>
      </c>
      <c r="HGQ11" s="314" t="s">
        <v>203</v>
      </c>
      <c r="HGR11" s="314" t="s">
        <v>203</v>
      </c>
      <c r="HGS11" s="314" t="s">
        <v>203</v>
      </c>
      <c r="HGT11" s="314" t="s">
        <v>203</v>
      </c>
      <c r="HGU11" s="314" t="s">
        <v>203</v>
      </c>
      <c r="HGV11" s="314" t="s">
        <v>203</v>
      </c>
      <c r="HGW11" s="314" t="s">
        <v>203</v>
      </c>
      <c r="HGX11" s="314" t="s">
        <v>203</v>
      </c>
      <c r="HGY11" s="314" t="s">
        <v>203</v>
      </c>
      <c r="HGZ11" s="314" t="s">
        <v>203</v>
      </c>
      <c r="HHA11" s="314" t="s">
        <v>203</v>
      </c>
      <c r="HHB11" s="314" t="s">
        <v>203</v>
      </c>
      <c r="HHC11" s="314" t="s">
        <v>203</v>
      </c>
      <c r="HHD11" s="314" t="s">
        <v>203</v>
      </c>
      <c r="HHE11" s="314" t="s">
        <v>203</v>
      </c>
      <c r="HHF11" s="314" t="s">
        <v>203</v>
      </c>
      <c r="HHG11" s="314" t="s">
        <v>203</v>
      </c>
      <c r="HHH11" s="314" t="s">
        <v>203</v>
      </c>
      <c r="HHI11" s="314" t="s">
        <v>203</v>
      </c>
      <c r="HHJ11" s="314" t="s">
        <v>203</v>
      </c>
      <c r="HHK11" s="314" t="s">
        <v>203</v>
      </c>
      <c r="HHL11" s="314" t="s">
        <v>203</v>
      </c>
      <c r="HHM11" s="314" t="s">
        <v>203</v>
      </c>
      <c r="HHN11" s="314" t="s">
        <v>203</v>
      </c>
      <c r="HHO11" s="314" t="s">
        <v>203</v>
      </c>
      <c r="HHP11" s="314" t="s">
        <v>203</v>
      </c>
      <c r="HHQ11" s="314" t="s">
        <v>203</v>
      </c>
      <c r="HHR11" s="314" t="s">
        <v>203</v>
      </c>
      <c r="HHS11" s="314" t="s">
        <v>203</v>
      </c>
      <c r="HHT11" s="314" t="s">
        <v>203</v>
      </c>
      <c r="HHU11" s="314" t="s">
        <v>203</v>
      </c>
      <c r="HHV11" s="314" t="s">
        <v>203</v>
      </c>
      <c r="HHW11" s="314" t="s">
        <v>203</v>
      </c>
      <c r="HHX11" s="314" t="s">
        <v>203</v>
      </c>
      <c r="HHY11" s="314" t="s">
        <v>203</v>
      </c>
      <c r="HHZ11" s="314" t="s">
        <v>203</v>
      </c>
      <c r="HIA11" s="314" t="s">
        <v>203</v>
      </c>
      <c r="HIB11" s="314" t="s">
        <v>203</v>
      </c>
      <c r="HIC11" s="314" t="s">
        <v>203</v>
      </c>
      <c r="HID11" s="314" t="s">
        <v>203</v>
      </c>
      <c r="HIE11" s="314" t="s">
        <v>203</v>
      </c>
      <c r="HIF11" s="314" t="s">
        <v>203</v>
      </c>
      <c r="HIG11" s="314" t="s">
        <v>203</v>
      </c>
      <c r="HIH11" s="314" t="s">
        <v>203</v>
      </c>
      <c r="HII11" s="314" t="s">
        <v>203</v>
      </c>
      <c r="HIJ11" s="314" t="s">
        <v>203</v>
      </c>
      <c r="HIK11" s="314" t="s">
        <v>203</v>
      </c>
      <c r="HIL11" s="314" t="s">
        <v>203</v>
      </c>
      <c r="HIM11" s="314" t="s">
        <v>203</v>
      </c>
      <c r="HIN11" s="314" t="s">
        <v>203</v>
      </c>
      <c r="HIO11" s="314" t="s">
        <v>203</v>
      </c>
      <c r="HIP11" s="314" t="s">
        <v>203</v>
      </c>
      <c r="HIQ11" s="314" t="s">
        <v>203</v>
      </c>
      <c r="HIR11" s="314" t="s">
        <v>203</v>
      </c>
      <c r="HIS11" s="314" t="s">
        <v>203</v>
      </c>
      <c r="HIT11" s="314" t="s">
        <v>203</v>
      </c>
      <c r="HIU11" s="314" t="s">
        <v>203</v>
      </c>
      <c r="HIV11" s="314" t="s">
        <v>203</v>
      </c>
      <c r="HIW11" s="314" t="s">
        <v>203</v>
      </c>
      <c r="HIX11" s="314" t="s">
        <v>203</v>
      </c>
      <c r="HIY11" s="314" t="s">
        <v>203</v>
      </c>
      <c r="HIZ11" s="314" t="s">
        <v>203</v>
      </c>
      <c r="HJA11" s="314" t="s">
        <v>203</v>
      </c>
      <c r="HJB11" s="314" t="s">
        <v>203</v>
      </c>
      <c r="HJC11" s="314" t="s">
        <v>203</v>
      </c>
      <c r="HJD11" s="314" t="s">
        <v>203</v>
      </c>
      <c r="HJE11" s="314" t="s">
        <v>203</v>
      </c>
      <c r="HJF11" s="314" t="s">
        <v>203</v>
      </c>
      <c r="HJG11" s="314" t="s">
        <v>203</v>
      </c>
      <c r="HJH11" s="314" t="s">
        <v>203</v>
      </c>
      <c r="HJI11" s="314" t="s">
        <v>203</v>
      </c>
      <c r="HJJ11" s="314" t="s">
        <v>203</v>
      </c>
      <c r="HJK11" s="314" t="s">
        <v>203</v>
      </c>
      <c r="HJL11" s="314" t="s">
        <v>203</v>
      </c>
      <c r="HJM11" s="314" t="s">
        <v>203</v>
      </c>
      <c r="HJN11" s="314" t="s">
        <v>203</v>
      </c>
      <c r="HJO11" s="314" t="s">
        <v>203</v>
      </c>
      <c r="HJP11" s="314" t="s">
        <v>203</v>
      </c>
      <c r="HJQ11" s="314" t="s">
        <v>203</v>
      </c>
      <c r="HJR11" s="314" t="s">
        <v>203</v>
      </c>
      <c r="HJS11" s="314" t="s">
        <v>203</v>
      </c>
      <c r="HJT11" s="314" t="s">
        <v>203</v>
      </c>
      <c r="HJU11" s="314" t="s">
        <v>203</v>
      </c>
      <c r="HJV11" s="314" t="s">
        <v>203</v>
      </c>
      <c r="HJW11" s="314" t="s">
        <v>203</v>
      </c>
      <c r="HJX11" s="314" t="s">
        <v>203</v>
      </c>
      <c r="HJY11" s="314" t="s">
        <v>203</v>
      </c>
      <c r="HJZ11" s="314" t="s">
        <v>203</v>
      </c>
      <c r="HKA11" s="314" t="s">
        <v>203</v>
      </c>
      <c r="HKB11" s="314" t="s">
        <v>203</v>
      </c>
      <c r="HKC11" s="314" t="s">
        <v>203</v>
      </c>
      <c r="HKD11" s="314" t="s">
        <v>203</v>
      </c>
      <c r="HKE11" s="314" t="s">
        <v>203</v>
      </c>
      <c r="HKF11" s="314" t="s">
        <v>203</v>
      </c>
      <c r="HKG11" s="314" t="s">
        <v>203</v>
      </c>
      <c r="HKH11" s="314" t="s">
        <v>203</v>
      </c>
      <c r="HKI11" s="314" t="s">
        <v>203</v>
      </c>
      <c r="HKJ11" s="314" t="s">
        <v>203</v>
      </c>
      <c r="HKK11" s="314" t="s">
        <v>203</v>
      </c>
      <c r="HKL11" s="314" t="s">
        <v>203</v>
      </c>
      <c r="HKM11" s="314" t="s">
        <v>203</v>
      </c>
      <c r="HKN11" s="314" t="s">
        <v>203</v>
      </c>
      <c r="HKO11" s="314" t="s">
        <v>203</v>
      </c>
      <c r="HKP11" s="314" t="s">
        <v>203</v>
      </c>
      <c r="HKQ11" s="314" t="s">
        <v>203</v>
      </c>
      <c r="HKR11" s="314" t="s">
        <v>203</v>
      </c>
      <c r="HKS11" s="314" t="s">
        <v>203</v>
      </c>
      <c r="HKT11" s="314" t="s">
        <v>203</v>
      </c>
      <c r="HKU11" s="314" t="s">
        <v>203</v>
      </c>
      <c r="HKV11" s="314" t="s">
        <v>203</v>
      </c>
      <c r="HKW11" s="314" t="s">
        <v>203</v>
      </c>
      <c r="HKX11" s="314" t="s">
        <v>203</v>
      </c>
      <c r="HKY11" s="314" t="s">
        <v>203</v>
      </c>
      <c r="HKZ11" s="314" t="s">
        <v>203</v>
      </c>
      <c r="HLA11" s="314" t="s">
        <v>203</v>
      </c>
      <c r="HLB11" s="314" t="s">
        <v>203</v>
      </c>
      <c r="HLC11" s="314" t="s">
        <v>203</v>
      </c>
      <c r="HLD11" s="314" t="s">
        <v>203</v>
      </c>
      <c r="HLE11" s="314" t="s">
        <v>203</v>
      </c>
      <c r="HLF11" s="314" t="s">
        <v>203</v>
      </c>
      <c r="HLG11" s="314" t="s">
        <v>203</v>
      </c>
      <c r="HLH11" s="314" t="s">
        <v>203</v>
      </c>
      <c r="HLI11" s="314" t="s">
        <v>203</v>
      </c>
      <c r="HLJ11" s="314" t="s">
        <v>203</v>
      </c>
      <c r="HLK11" s="314" t="s">
        <v>203</v>
      </c>
      <c r="HLL11" s="314" t="s">
        <v>203</v>
      </c>
      <c r="HLM11" s="314" t="s">
        <v>203</v>
      </c>
      <c r="HLN11" s="314" t="s">
        <v>203</v>
      </c>
      <c r="HLO11" s="314" t="s">
        <v>203</v>
      </c>
      <c r="HLP11" s="314" t="s">
        <v>203</v>
      </c>
      <c r="HLQ11" s="314" t="s">
        <v>203</v>
      </c>
      <c r="HLR11" s="314" t="s">
        <v>203</v>
      </c>
      <c r="HLS11" s="314" t="s">
        <v>203</v>
      </c>
      <c r="HLT11" s="314" t="s">
        <v>203</v>
      </c>
      <c r="HLU11" s="314" t="s">
        <v>203</v>
      </c>
      <c r="HLV11" s="314" t="s">
        <v>203</v>
      </c>
      <c r="HLW11" s="314" t="s">
        <v>203</v>
      </c>
      <c r="HLX11" s="314" t="s">
        <v>203</v>
      </c>
      <c r="HLY11" s="314" t="s">
        <v>203</v>
      </c>
      <c r="HLZ11" s="314" t="s">
        <v>203</v>
      </c>
      <c r="HMA11" s="314" t="s">
        <v>203</v>
      </c>
      <c r="HMB11" s="314" t="s">
        <v>203</v>
      </c>
      <c r="HMC11" s="314" t="s">
        <v>203</v>
      </c>
      <c r="HMD11" s="314" t="s">
        <v>203</v>
      </c>
      <c r="HME11" s="314" t="s">
        <v>203</v>
      </c>
      <c r="HMF11" s="314" t="s">
        <v>203</v>
      </c>
      <c r="HMG11" s="314" t="s">
        <v>203</v>
      </c>
      <c r="HMH11" s="314" t="s">
        <v>203</v>
      </c>
      <c r="HMI11" s="314" t="s">
        <v>203</v>
      </c>
      <c r="HMJ11" s="314" t="s">
        <v>203</v>
      </c>
      <c r="HMK11" s="314" t="s">
        <v>203</v>
      </c>
      <c r="HML11" s="314" t="s">
        <v>203</v>
      </c>
      <c r="HMM11" s="314" t="s">
        <v>203</v>
      </c>
      <c r="HMN11" s="314" t="s">
        <v>203</v>
      </c>
      <c r="HMO11" s="314" t="s">
        <v>203</v>
      </c>
      <c r="HMP11" s="314" t="s">
        <v>203</v>
      </c>
      <c r="HMQ11" s="314" t="s">
        <v>203</v>
      </c>
      <c r="HMR11" s="314" t="s">
        <v>203</v>
      </c>
      <c r="HMS11" s="314" t="s">
        <v>203</v>
      </c>
      <c r="HMT11" s="314" t="s">
        <v>203</v>
      </c>
      <c r="HMU11" s="314" t="s">
        <v>203</v>
      </c>
      <c r="HMV11" s="314" t="s">
        <v>203</v>
      </c>
      <c r="HMW11" s="314" t="s">
        <v>203</v>
      </c>
      <c r="HMX11" s="314" t="s">
        <v>203</v>
      </c>
      <c r="HMY11" s="314" t="s">
        <v>203</v>
      </c>
      <c r="HMZ11" s="314" t="s">
        <v>203</v>
      </c>
      <c r="HNA11" s="314" t="s">
        <v>203</v>
      </c>
      <c r="HNB11" s="314" t="s">
        <v>203</v>
      </c>
      <c r="HNC11" s="314" t="s">
        <v>203</v>
      </c>
      <c r="HND11" s="314" t="s">
        <v>203</v>
      </c>
      <c r="HNE11" s="314" t="s">
        <v>203</v>
      </c>
      <c r="HNF11" s="314" t="s">
        <v>203</v>
      </c>
      <c r="HNG11" s="314" t="s">
        <v>203</v>
      </c>
      <c r="HNH11" s="314" t="s">
        <v>203</v>
      </c>
      <c r="HNI11" s="314" t="s">
        <v>203</v>
      </c>
      <c r="HNJ11" s="314" t="s">
        <v>203</v>
      </c>
      <c r="HNK11" s="314" t="s">
        <v>203</v>
      </c>
      <c r="HNL11" s="314" t="s">
        <v>203</v>
      </c>
      <c r="HNM11" s="314" t="s">
        <v>203</v>
      </c>
      <c r="HNN11" s="314" t="s">
        <v>203</v>
      </c>
      <c r="HNO11" s="314" t="s">
        <v>203</v>
      </c>
      <c r="HNP11" s="314" t="s">
        <v>203</v>
      </c>
      <c r="HNQ11" s="314" t="s">
        <v>203</v>
      </c>
      <c r="HNR11" s="314" t="s">
        <v>203</v>
      </c>
      <c r="HNS11" s="314" t="s">
        <v>203</v>
      </c>
      <c r="HNT11" s="314" t="s">
        <v>203</v>
      </c>
      <c r="HNU11" s="314" t="s">
        <v>203</v>
      </c>
      <c r="HNV11" s="314" t="s">
        <v>203</v>
      </c>
      <c r="HNW11" s="314" t="s">
        <v>203</v>
      </c>
      <c r="HNX11" s="314" t="s">
        <v>203</v>
      </c>
      <c r="HNY11" s="314" t="s">
        <v>203</v>
      </c>
      <c r="HNZ11" s="314" t="s">
        <v>203</v>
      </c>
      <c r="HOA11" s="314" t="s">
        <v>203</v>
      </c>
      <c r="HOB11" s="314" t="s">
        <v>203</v>
      </c>
      <c r="HOC11" s="314" t="s">
        <v>203</v>
      </c>
      <c r="HOD11" s="314" t="s">
        <v>203</v>
      </c>
      <c r="HOE11" s="314" t="s">
        <v>203</v>
      </c>
      <c r="HOF11" s="314" t="s">
        <v>203</v>
      </c>
      <c r="HOG11" s="314" t="s">
        <v>203</v>
      </c>
      <c r="HOH11" s="314" t="s">
        <v>203</v>
      </c>
      <c r="HOI11" s="314" t="s">
        <v>203</v>
      </c>
      <c r="HOJ11" s="314" t="s">
        <v>203</v>
      </c>
      <c r="HOK11" s="314" t="s">
        <v>203</v>
      </c>
      <c r="HOL11" s="314" t="s">
        <v>203</v>
      </c>
      <c r="HOM11" s="314" t="s">
        <v>203</v>
      </c>
      <c r="HON11" s="314" t="s">
        <v>203</v>
      </c>
      <c r="HOO11" s="314" t="s">
        <v>203</v>
      </c>
      <c r="HOP11" s="314" t="s">
        <v>203</v>
      </c>
      <c r="HOQ11" s="314" t="s">
        <v>203</v>
      </c>
      <c r="HOR11" s="314" t="s">
        <v>203</v>
      </c>
      <c r="HOS11" s="314" t="s">
        <v>203</v>
      </c>
      <c r="HOT11" s="314" t="s">
        <v>203</v>
      </c>
      <c r="HOU11" s="314" t="s">
        <v>203</v>
      </c>
      <c r="HOV11" s="314" t="s">
        <v>203</v>
      </c>
      <c r="HOW11" s="314" t="s">
        <v>203</v>
      </c>
      <c r="HOX11" s="314" t="s">
        <v>203</v>
      </c>
      <c r="HOY11" s="314" t="s">
        <v>203</v>
      </c>
      <c r="HOZ11" s="314" t="s">
        <v>203</v>
      </c>
      <c r="HPA11" s="314" t="s">
        <v>203</v>
      </c>
      <c r="HPB11" s="314" t="s">
        <v>203</v>
      </c>
      <c r="HPC11" s="314" t="s">
        <v>203</v>
      </c>
      <c r="HPD11" s="314" t="s">
        <v>203</v>
      </c>
      <c r="HPE11" s="314" t="s">
        <v>203</v>
      </c>
      <c r="HPF11" s="314" t="s">
        <v>203</v>
      </c>
      <c r="HPG11" s="314" t="s">
        <v>203</v>
      </c>
      <c r="HPH11" s="314" t="s">
        <v>203</v>
      </c>
      <c r="HPI11" s="314" t="s">
        <v>203</v>
      </c>
      <c r="HPJ11" s="314" t="s">
        <v>203</v>
      </c>
      <c r="HPK11" s="314" t="s">
        <v>203</v>
      </c>
      <c r="HPL11" s="314" t="s">
        <v>203</v>
      </c>
      <c r="HPM11" s="314" t="s">
        <v>203</v>
      </c>
      <c r="HPN11" s="314" t="s">
        <v>203</v>
      </c>
      <c r="HPO11" s="314" t="s">
        <v>203</v>
      </c>
      <c r="HPP11" s="314" t="s">
        <v>203</v>
      </c>
      <c r="HPQ11" s="314" t="s">
        <v>203</v>
      </c>
      <c r="HPR11" s="314" t="s">
        <v>203</v>
      </c>
      <c r="HPS11" s="314" t="s">
        <v>203</v>
      </c>
      <c r="HPT11" s="314" t="s">
        <v>203</v>
      </c>
      <c r="HPU11" s="314" t="s">
        <v>203</v>
      </c>
      <c r="HPV11" s="314" t="s">
        <v>203</v>
      </c>
      <c r="HPW11" s="314" t="s">
        <v>203</v>
      </c>
      <c r="HPX11" s="314" t="s">
        <v>203</v>
      </c>
      <c r="HPY11" s="314" t="s">
        <v>203</v>
      </c>
      <c r="HPZ11" s="314" t="s">
        <v>203</v>
      </c>
      <c r="HQA11" s="314" t="s">
        <v>203</v>
      </c>
      <c r="HQB11" s="314" t="s">
        <v>203</v>
      </c>
      <c r="HQC11" s="314" t="s">
        <v>203</v>
      </c>
      <c r="HQD11" s="314" t="s">
        <v>203</v>
      </c>
      <c r="HQE11" s="314" t="s">
        <v>203</v>
      </c>
      <c r="HQF11" s="314" t="s">
        <v>203</v>
      </c>
      <c r="HQG11" s="314" t="s">
        <v>203</v>
      </c>
      <c r="HQH11" s="314" t="s">
        <v>203</v>
      </c>
      <c r="HQI11" s="314" t="s">
        <v>203</v>
      </c>
      <c r="HQJ11" s="314" t="s">
        <v>203</v>
      </c>
      <c r="HQK11" s="314" t="s">
        <v>203</v>
      </c>
      <c r="HQL11" s="314" t="s">
        <v>203</v>
      </c>
      <c r="HQM11" s="314" t="s">
        <v>203</v>
      </c>
      <c r="HQN11" s="314" t="s">
        <v>203</v>
      </c>
      <c r="HQO11" s="314" t="s">
        <v>203</v>
      </c>
      <c r="HQP11" s="314" t="s">
        <v>203</v>
      </c>
      <c r="HQQ11" s="314" t="s">
        <v>203</v>
      </c>
      <c r="HQR11" s="314" t="s">
        <v>203</v>
      </c>
      <c r="HQS11" s="314" t="s">
        <v>203</v>
      </c>
      <c r="HQT11" s="314" t="s">
        <v>203</v>
      </c>
      <c r="HQU11" s="314" t="s">
        <v>203</v>
      </c>
      <c r="HQV11" s="314" t="s">
        <v>203</v>
      </c>
      <c r="HQW11" s="314" t="s">
        <v>203</v>
      </c>
      <c r="HQX11" s="314" t="s">
        <v>203</v>
      </c>
      <c r="HQY11" s="314" t="s">
        <v>203</v>
      </c>
      <c r="HQZ11" s="314" t="s">
        <v>203</v>
      </c>
      <c r="HRA11" s="314" t="s">
        <v>203</v>
      </c>
      <c r="HRB11" s="314" t="s">
        <v>203</v>
      </c>
      <c r="HRC11" s="314" t="s">
        <v>203</v>
      </c>
      <c r="HRD11" s="314" t="s">
        <v>203</v>
      </c>
      <c r="HRE11" s="314" t="s">
        <v>203</v>
      </c>
      <c r="HRF11" s="314" t="s">
        <v>203</v>
      </c>
      <c r="HRG11" s="314" t="s">
        <v>203</v>
      </c>
      <c r="HRH11" s="314" t="s">
        <v>203</v>
      </c>
      <c r="HRI11" s="314" t="s">
        <v>203</v>
      </c>
      <c r="HRJ11" s="314" t="s">
        <v>203</v>
      </c>
      <c r="HRK11" s="314" t="s">
        <v>203</v>
      </c>
      <c r="HRL11" s="314" t="s">
        <v>203</v>
      </c>
      <c r="HRM11" s="314" t="s">
        <v>203</v>
      </c>
      <c r="HRN11" s="314" t="s">
        <v>203</v>
      </c>
      <c r="HRO11" s="314" t="s">
        <v>203</v>
      </c>
      <c r="HRP11" s="314" t="s">
        <v>203</v>
      </c>
      <c r="HRQ11" s="314" t="s">
        <v>203</v>
      </c>
      <c r="HRR11" s="314" t="s">
        <v>203</v>
      </c>
      <c r="HRS11" s="314" t="s">
        <v>203</v>
      </c>
      <c r="HRT11" s="314" t="s">
        <v>203</v>
      </c>
      <c r="HRU11" s="314" t="s">
        <v>203</v>
      </c>
      <c r="HRV11" s="314" t="s">
        <v>203</v>
      </c>
      <c r="HRW11" s="314" t="s">
        <v>203</v>
      </c>
      <c r="HRX11" s="314" t="s">
        <v>203</v>
      </c>
      <c r="HRY11" s="314" t="s">
        <v>203</v>
      </c>
      <c r="HRZ11" s="314" t="s">
        <v>203</v>
      </c>
      <c r="HSA11" s="314" t="s">
        <v>203</v>
      </c>
      <c r="HSB11" s="314" t="s">
        <v>203</v>
      </c>
      <c r="HSC11" s="314" t="s">
        <v>203</v>
      </c>
      <c r="HSD11" s="314" t="s">
        <v>203</v>
      </c>
      <c r="HSE11" s="314" t="s">
        <v>203</v>
      </c>
      <c r="HSF11" s="314" t="s">
        <v>203</v>
      </c>
      <c r="HSG11" s="314" t="s">
        <v>203</v>
      </c>
      <c r="HSH11" s="314" t="s">
        <v>203</v>
      </c>
      <c r="HSI11" s="314" t="s">
        <v>203</v>
      </c>
      <c r="HSJ11" s="314" t="s">
        <v>203</v>
      </c>
      <c r="HSK11" s="314" t="s">
        <v>203</v>
      </c>
      <c r="HSL11" s="314" t="s">
        <v>203</v>
      </c>
      <c r="HSM11" s="314" t="s">
        <v>203</v>
      </c>
      <c r="HSN11" s="314" t="s">
        <v>203</v>
      </c>
      <c r="HSO11" s="314" t="s">
        <v>203</v>
      </c>
      <c r="HSP11" s="314" t="s">
        <v>203</v>
      </c>
      <c r="HSQ11" s="314" t="s">
        <v>203</v>
      </c>
      <c r="HSR11" s="314" t="s">
        <v>203</v>
      </c>
      <c r="HSS11" s="314" t="s">
        <v>203</v>
      </c>
      <c r="HST11" s="314" t="s">
        <v>203</v>
      </c>
      <c r="HSU11" s="314" t="s">
        <v>203</v>
      </c>
      <c r="HSV11" s="314" t="s">
        <v>203</v>
      </c>
      <c r="HSW11" s="314" t="s">
        <v>203</v>
      </c>
      <c r="HSX11" s="314" t="s">
        <v>203</v>
      </c>
      <c r="HSY11" s="314" t="s">
        <v>203</v>
      </c>
      <c r="HSZ11" s="314" t="s">
        <v>203</v>
      </c>
      <c r="HTA11" s="314" t="s">
        <v>203</v>
      </c>
      <c r="HTB11" s="314" t="s">
        <v>203</v>
      </c>
      <c r="HTC11" s="314" t="s">
        <v>203</v>
      </c>
      <c r="HTD11" s="314" t="s">
        <v>203</v>
      </c>
      <c r="HTE11" s="314" t="s">
        <v>203</v>
      </c>
      <c r="HTF11" s="314" t="s">
        <v>203</v>
      </c>
      <c r="HTG11" s="314" t="s">
        <v>203</v>
      </c>
      <c r="HTH11" s="314" t="s">
        <v>203</v>
      </c>
      <c r="HTI11" s="314" t="s">
        <v>203</v>
      </c>
      <c r="HTJ11" s="314" t="s">
        <v>203</v>
      </c>
      <c r="HTK11" s="314" t="s">
        <v>203</v>
      </c>
      <c r="HTL11" s="314" t="s">
        <v>203</v>
      </c>
      <c r="HTM11" s="314" t="s">
        <v>203</v>
      </c>
      <c r="HTN11" s="314" t="s">
        <v>203</v>
      </c>
      <c r="HTO11" s="314" t="s">
        <v>203</v>
      </c>
      <c r="HTP11" s="314" t="s">
        <v>203</v>
      </c>
      <c r="HTQ11" s="314" t="s">
        <v>203</v>
      </c>
      <c r="HTR11" s="314" t="s">
        <v>203</v>
      </c>
      <c r="HTS11" s="314" t="s">
        <v>203</v>
      </c>
      <c r="HTT11" s="314" t="s">
        <v>203</v>
      </c>
      <c r="HTU11" s="314" t="s">
        <v>203</v>
      </c>
      <c r="HTV11" s="314" t="s">
        <v>203</v>
      </c>
      <c r="HTW11" s="314" t="s">
        <v>203</v>
      </c>
      <c r="HTX11" s="314" t="s">
        <v>203</v>
      </c>
      <c r="HTY11" s="314" t="s">
        <v>203</v>
      </c>
      <c r="HTZ11" s="314" t="s">
        <v>203</v>
      </c>
      <c r="HUA11" s="314" t="s">
        <v>203</v>
      </c>
      <c r="HUB11" s="314" t="s">
        <v>203</v>
      </c>
      <c r="HUC11" s="314" t="s">
        <v>203</v>
      </c>
      <c r="HUD11" s="314" t="s">
        <v>203</v>
      </c>
      <c r="HUE11" s="314" t="s">
        <v>203</v>
      </c>
      <c r="HUF11" s="314" t="s">
        <v>203</v>
      </c>
      <c r="HUG11" s="314" t="s">
        <v>203</v>
      </c>
      <c r="HUH11" s="314" t="s">
        <v>203</v>
      </c>
      <c r="HUI11" s="314" t="s">
        <v>203</v>
      </c>
      <c r="HUJ11" s="314" t="s">
        <v>203</v>
      </c>
      <c r="HUK11" s="314" t="s">
        <v>203</v>
      </c>
      <c r="HUL11" s="314" t="s">
        <v>203</v>
      </c>
      <c r="HUM11" s="314" t="s">
        <v>203</v>
      </c>
      <c r="HUN11" s="314" t="s">
        <v>203</v>
      </c>
      <c r="HUO11" s="314" t="s">
        <v>203</v>
      </c>
      <c r="HUP11" s="314" t="s">
        <v>203</v>
      </c>
      <c r="HUQ11" s="314" t="s">
        <v>203</v>
      </c>
      <c r="HUR11" s="314" t="s">
        <v>203</v>
      </c>
      <c r="HUS11" s="314" t="s">
        <v>203</v>
      </c>
      <c r="HUT11" s="314" t="s">
        <v>203</v>
      </c>
      <c r="HUU11" s="314" t="s">
        <v>203</v>
      </c>
      <c r="HUV11" s="314" t="s">
        <v>203</v>
      </c>
      <c r="HUW11" s="314" t="s">
        <v>203</v>
      </c>
      <c r="HUX11" s="314" t="s">
        <v>203</v>
      </c>
      <c r="HUY11" s="314" t="s">
        <v>203</v>
      </c>
      <c r="HUZ11" s="314" t="s">
        <v>203</v>
      </c>
      <c r="HVA11" s="314" t="s">
        <v>203</v>
      </c>
      <c r="HVB11" s="314" t="s">
        <v>203</v>
      </c>
      <c r="HVC11" s="314" t="s">
        <v>203</v>
      </c>
      <c r="HVD11" s="314" t="s">
        <v>203</v>
      </c>
      <c r="HVE11" s="314" t="s">
        <v>203</v>
      </c>
      <c r="HVF11" s="314" t="s">
        <v>203</v>
      </c>
      <c r="HVG11" s="314" t="s">
        <v>203</v>
      </c>
      <c r="HVH11" s="314" t="s">
        <v>203</v>
      </c>
      <c r="HVI11" s="314" t="s">
        <v>203</v>
      </c>
      <c r="HVJ11" s="314" t="s">
        <v>203</v>
      </c>
      <c r="HVK11" s="314" t="s">
        <v>203</v>
      </c>
      <c r="HVL11" s="314" t="s">
        <v>203</v>
      </c>
      <c r="HVM11" s="314" t="s">
        <v>203</v>
      </c>
      <c r="HVN11" s="314" t="s">
        <v>203</v>
      </c>
      <c r="HVO11" s="314" t="s">
        <v>203</v>
      </c>
      <c r="HVP11" s="314" t="s">
        <v>203</v>
      </c>
      <c r="HVQ11" s="314" t="s">
        <v>203</v>
      </c>
      <c r="HVR11" s="314" t="s">
        <v>203</v>
      </c>
      <c r="HVS11" s="314" t="s">
        <v>203</v>
      </c>
      <c r="HVT11" s="314" t="s">
        <v>203</v>
      </c>
      <c r="HVU11" s="314" t="s">
        <v>203</v>
      </c>
      <c r="HVV11" s="314" t="s">
        <v>203</v>
      </c>
      <c r="HVW11" s="314" t="s">
        <v>203</v>
      </c>
      <c r="HVX11" s="314" t="s">
        <v>203</v>
      </c>
      <c r="HVY11" s="314" t="s">
        <v>203</v>
      </c>
      <c r="HVZ11" s="314" t="s">
        <v>203</v>
      </c>
      <c r="HWA11" s="314" t="s">
        <v>203</v>
      </c>
      <c r="HWB11" s="314" t="s">
        <v>203</v>
      </c>
      <c r="HWC11" s="314" t="s">
        <v>203</v>
      </c>
      <c r="HWD11" s="314" t="s">
        <v>203</v>
      </c>
      <c r="HWE11" s="314" t="s">
        <v>203</v>
      </c>
      <c r="HWF11" s="314" t="s">
        <v>203</v>
      </c>
      <c r="HWG11" s="314" t="s">
        <v>203</v>
      </c>
      <c r="HWH11" s="314" t="s">
        <v>203</v>
      </c>
      <c r="HWI11" s="314" t="s">
        <v>203</v>
      </c>
      <c r="HWJ11" s="314" t="s">
        <v>203</v>
      </c>
      <c r="HWK11" s="314" t="s">
        <v>203</v>
      </c>
      <c r="HWL11" s="314" t="s">
        <v>203</v>
      </c>
      <c r="HWM11" s="314" t="s">
        <v>203</v>
      </c>
      <c r="HWN11" s="314" t="s">
        <v>203</v>
      </c>
      <c r="HWO11" s="314" t="s">
        <v>203</v>
      </c>
      <c r="HWP11" s="314" t="s">
        <v>203</v>
      </c>
      <c r="HWQ11" s="314" t="s">
        <v>203</v>
      </c>
      <c r="HWR11" s="314" t="s">
        <v>203</v>
      </c>
      <c r="HWS11" s="314" t="s">
        <v>203</v>
      </c>
      <c r="HWT11" s="314" t="s">
        <v>203</v>
      </c>
      <c r="HWU11" s="314" t="s">
        <v>203</v>
      </c>
      <c r="HWV11" s="314" t="s">
        <v>203</v>
      </c>
      <c r="HWW11" s="314" t="s">
        <v>203</v>
      </c>
      <c r="HWX11" s="314" t="s">
        <v>203</v>
      </c>
      <c r="HWY11" s="314" t="s">
        <v>203</v>
      </c>
      <c r="HWZ11" s="314" t="s">
        <v>203</v>
      </c>
      <c r="HXA11" s="314" t="s">
        <v>203</v>
      </c>
      <c r="HXB11" s="314" t="s">
        <v>203</v>
      </c>
      <c r="HXC11" s="314" t="s">
        <v>203</v>
      </c>
      <c r="HXD11" s="314" t="s">
        <v>203</v>
      </c>
      <c r="HXE11" s="314" t="s">
        <v>203</v>
      </c>
      <c r="HXF11" s="314" t="s">
        <v>203</v>
      </c>
      <c r="HXG11" s="314" t="s">
        <v>203</v>
      </c>
      <c r="HXH11" s="314" t="s">
        <v>203</v>
      </c>
      <c r="HXI11" s="314" t="s">
        <v>203</v>
      </c>
      <c r="HXJ11" s="314" t="s">
        <v>203</v>
      </c>
      <c r="HXK11" s="314" t="s">
        <v>203</v>
      </c>
      <c r="HXL11" s="314" t="s">
        <v>203</v>
      </c>
      <c r="HXM11" s="314" t="s">
        <v>203</v>
      </c>
      <c r="HXN11" s="314" t="s">
        <v>203</v>
      </c>
      <c r="HXO11" s="314" t="s">
        <v>203</v>
      </c>
      <c r="HXP11" s="314" t="s">
        <v>203</v>
      </c>
      <c r="HXQ11" s="314" t="s">
        <v>203</v>
      </c>
      <c r="HXR11" s="314" t="s">
        <v>203</v>
      </c>
      <c r="HXS11" s="314" t="s">
        <v>203</v>
      </c>
      <c r="HXT11" s="314" t="s">
        <v>203</v>
      </c>
      <c r="HXU11" s="314" t="s">
        <v>203</v>
      </c>
      <c r="HXV11" s="314" t="s">
        <v>203</v>
      </c>
      <c r="HXW11" s="314" t="s">
        <v>203</v>
      </c>
      <c r="HXX11" s="314" t="s">
        <v>203</v>
      </c>
      <c r="HXY11" s="314" t="s">
        <v>203</v>
      </c>
      <c r="HXZ11" s="314" t="s">
        <v>203</v>
      </c>
      <c r="HYA11" s="314" t="s">
        <v>203</v>
      </c>
      <c r="HYB11" s="314" t="s">
        <v>203</v>
      </c>
      <c r="HYC11" s="314" t="s">
        <v>203</v>
      </c>
      <c r="HYD11" s="314" t="s">
        <v>203</v>
      </c>
      <c r="HYE11" s="314" t="s">
        <v>203</v>
      </c>
      <c r="HYF11" s="314" t="s">
        <v>203</v>
      </c>
      <c r="HYG11" s="314" t="s">
        <v>203</v>
      </c>
      <c r="HYH11" s="314" t="s">
        <v>203</v>
      </c>
      <c r="HYI11" s="314" t="s">
        <v>203</v>
      </c>
      <c r="HYJ11" s="314" t="s">
        <v>203</v>
      </c>
      <c r="HYK11" s="314" t="s">
        <v>203</v>
      </c>
      <c r="HYL11" s="314" t="s">
        <v>203</v>
      </c>
      <c r="HYM11" s="314" t="s">
        <v>203</v>
      </c>
      <c r="HYN11" s="314" t="s">
        <v>203</v>
      </c>
      <c r="HYO11" s="314" t="s">
        <v>203</v>
      </c>
      <c r="HYP11" s="314" t="s">
        <v>203</v>
      </c>
      <c r="HYQ11" s="314" t="s">
        <v>203</v>
      </c>
      <c r="HYR11" s="314" t="s">
        <v>203</v>
      </c>
      <c r="HYS11" s="314" t="s">
        <v>203</v>
      </c>
      <c r="HYT11" s="314" t="s">
        <v>203</v>
      </c>
      <c r="HYU11" s="314" t="s">
        <v>203</v>
      </c>
      <c r="HYV11" s="314" t="s">
        <v>203</v>
      </c>
      <c r="HYW11" s="314" t="s">
        <v>203</v>
      </c>
      <c r="HYX11" s="314" t="s">
        <v>203</v>
      </c>
      <c r="HYY11" s="314" t="s">
        <v>203</v>
      </c>
      <c r="HYZ11" s="314" t="s">
        <v>203</v>
      </c>
      <c r="HZA11" s="314" t="s">
        <v>203</v>
      </c>
      <c r="HZB11" s="314" t="s">
        <v>203</v>
      </c>
      <c r="HZC11" s="314" t="s">
        <v>203</v>
      </c>
      <c r="HZD11" s="314" t="s">
        <v>203</v>
      </c>
      <c r="HZE11" s="314" t="s">
        <v>203</v>
      </c>
      <c r="HZF11" s="314" t="s">
        <v>203</v>
      </c>
      <c r="HZG11" s="314" t="s">
        <v>203</v>
      </c>
      <c r="HZH11" s="314" t="s">
        <v>203</v>
      </c>
      <c r="HZI11" s="314" t="s">
        <v>203</v>
      </c>
      <c r="HZJ11" s="314" t="s">
        <v>203</v>
      </c>
      <c r="HZK11" s="314" t="s">
        <v>203</v>
      </c>
      <c r="HZL11" s="314" t="s">
        <v>203</v>
      </c>
      <c r="HZM11" s="314" t="s">
        <v>203</v>
      </c>
      <c r="HZN11" s="314" t="s">
        <v>203</v>
      </c>
      <c r="HZO11" s="314" t="s">
        <v>203</v>
      </c>
      <c r="HZP11" s="314" t="s">
        <v>203</v>
      </c>
      <c r="HZQ11" s="314" t="s">
        <v>203</v>
      </c>
      <c r="HZR11" s="314" t="s">
        <v>203</v>
      </c>
      <c r="HZS11" s="314" t="s">
        <v>203</v>
      </c>
      <c r="HZT11" s="314" t="s">
        <v>203</v>
      </c>
      <c r="HZU11" s="314" t="s">
        <v>203</v>
      </c>
      <c r="HZV11" s="314" t="s">
        <v>203</v>
      </c>
      <c r="HZW11" s="314" t="s">
        <v>203</v>
      </c>
      <c r="HZX11" s="314" t="s">
        <v>203</v>
      </c>
      <c r="HZY11" s="314" t="s">
        <v>203</v>
      </c>
      <c r="HZZ11" s="314" t="s">
        <v>203</v>
      </c>
      <c r="IAA11" s="314" t="s">
        <v>203</v>
      </c>
      <c r="IAB11" s="314" t="s">
        <v>203</v>
      </c>
      <c r="IAC11" s="314" t="s">
        <v>203</v>
      </c>
      <c r="IAD11" s="314" t="s">
        <v>203</v>
      </c>
      <c r="IAE11" s="314" t="s">
        <v>203</v>
      </c>
      <c r="IAF11" s="314" t="s">
        <v>203</v>
      </c>
      <c r="IAG11" s="314" t="s">
        <v>203</v>
      </c>
      <c r="IAH11" s="314" t="s">
        <v>203</v>
      </c>
      <c r="IAI11" s="314" t="s">
        <v>203</v>
      </c>
      <c r="IAJ11" s="314" t="s">
        <v>203</v>
      </c>
      <c r="IAK11" s="314" t="s">
        <v>203</v>
      </c>
      <c r="IAL11" s="314" t="s">
        <v>203</v>
      </c>
      <c r="IAM11" s="314" t="s">
        <v>203</v>
      </c>
      <c r="IAN11" s="314" t="s">
        <v>203</v>
      </c>
      <c r="IAO11" s="314" t="s">
        <v>203</v>
      </c>
      <c r="IAP11" s="314" t="s">
        <v>203</v>
      </c>
      <c r="IAQ11" s="314" t="s">
        <v>203</v>
      </c>
      <c r="IAR11" s="314" t="s">
        <v>203</v>
      </c>
      <c r="IAS11" s="314" t="s">
        <v>203</v>
      </c>
      <c r="IAT11" s="314" t="s">
        <v>203</v>
      </c>
      <c r="IAU11" s="314" t="s">
        <v>203</v>
      </c>
      <c r="IAV11" s="314" t="s">
        <v>203</v>
      </c>
      <c r="IAW11" s="314" t="s">
        <v>203</v>
      </c>
      <c r="IAX11" s="314" t="s">
        <v>203</v>
      </c>
      <c r="IAY11" s="314" t="s">
        <v>203</v>
      </c>
      <c r="IAZ11" s="314" t="s">
        <v>203</v>
      </c>
      <c r="IBA11" s="314" t="s">
        <v>203</v>
      </c>
      <c r="IBB11" s="314" t="s">
        <v>203</v>
      </c>
      <c r="IBC11" s="314" t="s">
        <v>203</v>
      </c>
      <c r="IBD11" s="314" t="s">
        <v>203</v>
      </c>
      <c r="IBE11" s="314" t="s">
        <v>203</v>
      </c>
      <c r="IBF11" s="314" t="s">
        <v>203</v>
      </c>
      <c r="IBG11" s="314" t="s">
        <v>203</v>
      </c>
      <c r="IBH11" s="314" t="s">
        <v>203</v>
      </c>
      <c r="IBI11" s="314" t="s">
        <v>203</v>
      </c>
      <c r="IBJ11" s="314" t="s">
        <v>203</v>
      </c>
      <c r="IBK11" s="314" t="s">
        <v>203</v>
      </c>
      <c r="IBL11" s="314" t="s">
        <v>203</v>
      </c>
      <c r="IBM11" s="314" t="s">
        <v>203</v>
      </c>
      <c r="IBN11" s="314" t="s">
        <v>203</v>
      </c>
      <c r="IBO11" s="314" t="s">
        <v>203</v>
      </c>
      <c r="IBP11" s="314" t="s">
        <v>203</v>
      </c>
      <c r="IBQ11" s="314" t="s">
        <v>203</v>
      </c>
      <c r="IBR11" s="314" t="s">
        <v>203</v>
      </c>
      <c r="IBS11" s="314" t="s">
        <v>203</v>
      </c>
      <c r="IBT11" s="314" t="s">
        <v>203</v>
      </c>
      <c r="IBU11" s="314" t="s">
        <v>203</v>
      </c>
      <c r="IBV11" s="314" t="s">
        <v>203</v>
      </c>
      <c r="IBW11" s="314" t="s">
        <v>203</v>
      </c>
      <c r="IBX11" s="314" t="s">
        <v>203</v>
      </c>
      <c r="IBY11" s="314" t="s">
        <v>203</v>
      </c>
      <c r="IBZ11" s="314" t="s">
        <v>203</v>
      </c>
      <c r="ICA11" s="314" t="s">
        <v>203</v>
      </c>
      <c r="ICB11" s="314" t="s">
        <v>203</v>
      </c>
      <c r="ICC11" s="314" t="s">
        <v>203</v>
      </c>
      <c r="ICD11" s="314" t="s">
        <v>203</v>
      </c>
      <c r="ICE11" s="314" t="s">
        <v>203</v>
      </c>
      <c r="ICF11" s="314" t="s">
        <v>203</v>
      </c>
      <c r="ICG11" s="314" t="s">
        <v>203</v>
      </c>
      <c r="ICH11" s="314" t="s">
        <v>203</v>
      </c>
      <c r="ICI11" s="314" t="s">
        <v>203</v>
      </c>
      <c r="ICJ11" s="314" t="s">
        <v>203</v>
      </c>
      <c r="ICK11" s="314" t="s">
        <v>203</v>
      </c>
      <c r="ICL11" s="314" t="s">
        <v>203</v>
      </c>
      <c r="ICM11" s="314" t="s">
        <v>203</v>
      </c>
      <c r="ICN11" s="314" t="s">
        <v>203</v>
      </c>
      <c r="ICO11" s="314" t="s">
        <v>203</v>
      </c>
      <c r="ICP11" s="314" t="s">
        <v>203</v>
      </c>
      <c r="ICQ11" s="314" t="s">
        <v>203</v>
      </c>
      <c r="ICR11" s="314" t="s">
        <v>203</v>
      </c>
      <c r="ICS11" s="314" t="s">
        <v>203</v>
      </c>
      <c r="ICT11" s="314" t="s">
        <v>203</v>
      </c>
      <c r="ICU11" s="314" t="s">
        <v>203</v>
      </c>
      <c r="ICV11" s="314" t="s">
        <v>203</v>
      </c>
      <c r="ICW11" s="314" t="s">
        <v>203</v>
      </c>
      <c r="ICX11" s="314" t="s">
        <v>203</v>
      </c>
      <c r="ICY11" s="314" t="s">
        <v>203</v>
      </c>
      <c r="ICZ11" s="314" t="s">
        <v>203</v>
      </c>
      <c r="IDA11" s="314" t="s">
        <v>203</v>
      </c>
      <c r="IDB11" s="314" t="s">
        <v>203</v>
      </c>
      <c r="IDC11" s="314" t="s">
        <v>203</v>
      </c>
      <c r="IDD11" s="314" t="s">
        <v>203</v>
      </c>
      <c r="IDE11" s="314" t="s">
        <v>203</v>
      </c>
      <c r="IDF11" s="314" t="s">
        <v>203</v>
      </c>
      <c r="IDG11" s="314" t="s">
        <v>203</v>
      </c>
      <c r="IDH11" s="314" t="s">
        <v>203</v>
      </c>
      <c r="IDI11" s="314" t="s">
        <v>203</v>
      </c>
      <c r="IDJ11" s="314" t="s">
        <v>203</v>
      </c>
      <c r="IDK11" s="314" t="s">
        <v>203</v>
      </c>
      <c r="IDL11" s="314" t="s">
        <v>203</v>
      </c>
      <c r="IDM11" s="314" t="s">
        <v>203</v>
      </c>
      <c r="IDN11" s="314" t="s">
        <v>203</v>
      </c>
      <c r="IDO11" s="314" t="s">
        <v>203</v>
      </c>
      <c r="IDP11" s="314" t="s">
        <v>203</v>
      </c>
      <c r="IDQ11" s="314" t="s">
        <v>203</v>
      </c>
      <c r="IDR11" s="314" t="s">
        <v>203</v>
      </c>
      <c r="IDS11" s="314" t="s">
        <v>203</v>
      </c>
      <c r="IDT11" s="314" t="s">
        <v>203</v>
      </c>
      <c r="IDU11" s="314" t="s">
        <v>203</v>
      </c>
      <c r="IDV11" s="314" t="s">
        <v>203</v>
      </c>
      <c r="IDW11" s="314" t="s">
        <v>203</v>
      </c>
      <c r="IDX11" s="314" t="s">
        <v>203</v>
      </c>
      <c r="IDY11" s="314" t="s">
        <v>203</v>
      </c>
      <c r="IDZ11" s="314" t="s">
        <v>203</v>
      </c>
      <c r="IEA11" s="314" t="s">
        <v>203</v>
      </c>
      <c r="IEB11" s="314" t="s">
        <v>203</v>
      </c>
      <c r="IEC11" s="314" t="s">
        <v>203</v>
      </c>
      <c r="IED11" s="314" t="s">
        <v>203</v>
      </c>
      <c r="IEE11" s="314" t="s">
        <v>203</v>
      </c>
      <c r="IEF11" s="314" t="s">
        <v>203</v>
      </c>
      <c r="IEG11" s="314" t="s">
        <v>203</v>
      </c>
      <c r="IEH11" s="314" t="s">
        <v>203</v>
      </c>
      <c r="IEI11" s="314" t="s">
        <v>203</v>
      </c>
      <c r="IEJ11" s="314" t="s">
        <v>203</v>
      </c>
      <c r="IEK11" s="314" t="s">
        <v>203</v>
      </c>
      <c r="IEL11" s="314" t="s">
        <v>203</v>
      </c>
      <c r="IEM11" s="314" t="s">
        <v>203</v>
      </c>
      <c r="IEN11" s="314" t="s">
        <v>203</v>
      </c>
      <c r="IEO11" s="314" t="s">
        <v>203</v>
      </c>
      <c r="IEP11" s="314" t="s">
        <v>203</v>
      </c>
      <c r="IEQ11" s="314" t="s">
        <v>203</v>
      </c>
      <c r="IER11" s="314" t="s">
        <v>203</v>
      </c>
      <c r="IES11" s="314" t="s">
        <v>203</v>
      </c>
      <c r="IET11" s="314" t="s">
        <v>203</v>
      </c>
      <c r="IEU11" s="314" t="s">
        <v>203</v>
      </c>
      <c r="IEV11" s="314" t="s">
        <v>203</v>
      </c>
      <c r="IEW11" s="314" t="s">
        <v>203</v>
      </c>
      <c r="IEX11" s="314" t="s">
        <v>203</v>
      </c>
      <c r="IEY11" s="314" t="s">
        <v>203</v>
      </c>
      <c r="IEZ11" s="314" t="s">
        <v>203</v>
      </c>
      <c r="IFA11" s="314" t="s">
        <v>203</v>
      </c>
      <c r="IFB11" s="314" t="s">
        <v>203</v>
      </c>
      <c r="IFC11" s="314" t="s">
        <v>203</v>
      </c>
      <c r="IFD11" s="314" t="s">
        <v>203</v>
      </c>
      <c r="IFE11" s="314" t="s">
        <v>203</v>
      </c>
      <c r="IFF11" s="314" t="s">
        <v>203</v>
      </c>
      <c r="IFG11" s="314" t="s">
        <v>203</v>
      </c>
      <c r="IFH11" s="314" t="s">
        <v>203</v>
      </c>
      <c r="IFI11" s="314" t="s">
        <v>203</v>
      </c>
      <c r="IFJ11" s="314" t="s">
        <v>203</v>
      </c>
      <c r="IFK11" s="314" t="s">
        <v>203</v>
      </c>
      <c r="IFL11" s="314" t="s">
        <v>203</v>
      </c>
      <c r="IFM11" s="314" t="s">
        <v>203</v>
      </c>
      <c r="IFN11" s="314" t="s">
        <v>203</v>
      </c>
      <c r="IFO11" s="314" t="s">
        <v>203</v>
      </c>
      <c r="IFP11" s="314" t="s">
        <v>203</v>
      </c>
      <c r="IFQ11" s="314" t="s">
        <v>203</v>
      </c>
      <c r="IFR11" s="314" t="s">
        <v>203</v>
      </c>
      <c r="IFS11" s="314" t="s">
        <v>203</v>
      </c>
      <c r="IFT11" s="314" t="s">
        <v>203</v>
      </c>
      <c r="IFU11" s="314" t="s">
        <v>203</v>
      </c>
      <c r="IFV11" s="314" t="s">
        <v>203</v>
      </c>
      <c r="IFW11" s="314" t="s">
        <v>203</v>
      </c>
      <c r="IFX11" s="314" t="s">
        <v>203</v>
      </c>
      <c r="IFY11" s="314" t="s">
        <v>203</v>
      </c>
      <c r="IFZ11" s="314" t="s">
        <v>203</v>
      </c>
      <c r="IGA11" s="314" t="s">
        <v>203</v>
      </c>
      <c r="IGB11" s="314" t="s">
        <v>203</v>
      </c>
      <c r="IGC11" s="314" t="s">
        <v>203</v>
      </c>
      <c r="IGD11" s="314" t="s">
        <v>203</v>
      </c>
      <c r="IGE11" s="314" t="s">
        <v>203</v>
      </c>
      <c r="IGF11" s="314" t="s">
        <v>203</v>
      </c>
      <c r="IGG11" s="314" t="s">
        <v>203</v>
      </c>
      <c r="IGH11" s="314" t="s">
        <v>203</v>
      </c>
      <c r="IGI11" s="314" t="s">
        <v>203</v>
      </c>
      <c r="IGJ11" s="314" t="s">
        <v>203</v>
      </c>
      <c r="IGK11" s="314" t="s">
        <v>203</v>
      </c>
      <c r="IGL11" s="314" t="s">
        <v>203</v>
      </c>
      <c r="IGM11" s="314" t="s">
        <v>203</v>
      </c>
      <c r="IGN11" s="314" t="s">
        <v>203</v>
      </c>
      <c r="IGO11" s="314" t="s">
        <v>203</v>
      </c>
      <c r="IGP11" s="314" t="s">
        <v>203</v>
      </c>
      <c r="IGQ11" s="314" t="s">
        <v>203</v>
      </c>
      <c r="IGR11" s="314" t="s">
        <v>203</v>
      </c>
      <c r="IGS11" s="314" t="s">
        <v>203</v>
      </c>
      <c r="IGT11" s="314" t="s">
        <v>203</v>
      </c>
      <c r="IGU11" s="314" t="s">
        <v>203</v>
      </c>
      <c r="IGV11" s="314" t="s">
        <v>203</v>
      </c>
      <c r="IGW11" s="314" t="s">
        <v>203</v>
      </c>
      <c r="IGX11" s="314" t="s">
        <v>203</v>
      </c>
      <c r="IGY11" s="314" t="s">
        <v>203</v>
      </c>
      <c r="IGZ11" s="314" t="s">
        <v>203</v>
      </c>
      <c r="IHA11" s="314" t="s">
        <v>203</v>
      </c>
      <c r="IHB11" s="314" t="s">
        <v>203</v>
      </c>
      <c r="IHC11" s="314" t="s">
        <v>203</v>
      </c>
      <c r="IHD11" s="314" t="s">
        <v>203</v>
      </c>
      <c r="IHE11" s="314" t="s">
        <v>203</v>
      </c>
      <c r="IHF11" s="314" t="s">
        <v>203</v>
      </c>
      <c r="IHG11" s="314" t="s">
        <v>203</v>
      </c>
      <c r="IHH11" s="314" t="s">
        <v>203</v>
      </c>
      <c r="IHI11" s="314" t="s">
        <v>203</v>
      </c>
      <c r="IHJ11" s="314" t="s">
        <v>203</v>
      </c>
      <c r="IHK11" s="314" t="s">
        <v>203</v>
      </c>
      <c r="IHL11" s="314" t="s">
        <v>203</v>
      </c>
      <c r="IHM11" s="314" t="s">
        <v>203</v>
      </c>
      <c r="IHN11" s="314" t="s">
        <v>203</v>
      </c>
      <c r="IHO11" s="314" t="s">
        <v>203</v>
      </c>
      <c r="IHP11" s="314" t="s">
        <v>203</v>
      </c>
      <c r="IHQ11" s="314" t="s">
        <v>203</v>
      </c>
      <c r="IHR11" s="314" t="s">
        <v>203</v>
      </c>
      <c r="IHS11" s="314" t="s">
        <v>203</v>
      </c>
      <c r="IHT11" s="314" t="s">
        <v>203</v>
      </c>
      <c r="IHU11" s="314" t="s">
        <v>203</v>
      </c>
      <c r="IHV11" s="314" t="s">
        <v>203</v>
      </c>
      <c r="IHW11" s="314" t="s">
        <v>203</v>
      </c>
      <c r="IHX11" s="314" t="s">
        <v>203</v>
      </c>
      <c r="IHY11" s="314" t="s">
        <v>203</v>
      </c>
      <c r="IHZ11" s="314" t="s">
        <v>203</v>
      </c>
      <c r="IIA11" s="314" t="s">
        <v>203</v>
      </c>
      <c r="IIB11" s="314" t="s">
        <v>203</v>
      </c>
      <c r="IIC11" s="314" t="s">
        <v>203</v>
      </c>
      <c r="IID11" s="314" t="s">
        <v>203</v>
      </c>
      <c r="IIE11" s="314" t="s">
        <v>203</v>
      </c>
      <c r="IIF11" s="314" t="s">
        <v>203</v>
      </c>
      <c r="IIG11" s="314" t="s">
        <v>203</v>
      </c>
      <c r="IIH11" s="314" t="s">
        <v>203</v>
      </c>
      <c r="III11" s="314" t="s">
        <v>203</v>
      </c>
      <c r="IIJ11" s="314" t="s">
        <v>203</v>
      </c>
      <c r="IIK11" s="314" t="s">
        <v>203</v>
      </c>
      <c r="IIL11" s="314" t="s">
        <v>203</v>
      </c>
      <c r="IIM11" s="314" t="s">
        <v>203</v>
      </c>
      <c r="IIN11" s="314" t="s">
        <v>203</v>
      </c>
      <c r="IIO11" s="314" t="s">
        <v>203</v>
      </c>
      <c r="IIP11" s="314" t="s">
        <v>203</v>
      </c>
      <c r="IIQ11" s="314" t="s">
        <v>203</v>
      </c>
      <c r="IIR11" s="314" t="s">
        <v>203</v>
      </c>
      <c r="IIS11" s="314" t="s">
        <v>203</v>
      </c>
      <c r="IIT11" s="314" t="s">
        <v>203</v>
      </c>
      <c r="IIU11" s="314" t="s">
        <v>203</v>
      </c>
      <c r="IIV11" s="314" t="s">
        <v>203</v>
      </c>
      <c r="IIW11" s="314" t="s">
        <v>203</v>
      </c>
      <c r="IIX11" s="314" t="s">
        <v>203</v>
      </c>
      <c r="IIY11" s="314" t="s">
        <v>203</v>
      </c>
      <c r="IIZ11" s="314" t="s">
        <v>203</v>
      </c>
      <c r="IJA11" s="314" t="s">
        <v>203</v>
      </c>
      <c r="IJB11" s="314" t="s">
        <v>203</v>
      </c>
      <c r="IJC11" s="314" t="s">
        <v>203</v>
      </c>
      <c r="IJD11" s="314" t="s">
        <v>203</v>
      </c>
      <c r="IJE11" s="314" t="s">
        <v>203</v>
      </c>
      <c r="IJF11" s="314" t="s">
        <v>203</v>
      </c>
      <c r="IJG11" s="314" t="s">
        <v>203</v>
      </c>
      <c r="IJH11" s="314" t="s">
        <v>203</v>
      </c>
      <c r="IJI11" s="314" t="s">
        <v>203</v>
      </c>
      <c r="IJJ11" s="314" t="s">
        <v>203</v>
      </c>
      <c r="IJK11" s="314" t="s">
        <v>203</v>
      </c>
      <c r="IJL11" s="314" t="s">
        <v>203</v>
      </c>
      <c r="IJM11" s="314" t="s">
        <v>203</v>
      </c>
      <c r="IJN11" s="314" t="s">
        <v>203</v>
      </c>
      <c r="IJO11" s="314" t="s">
        <v>203</v>
      </c>
      <c r="IJP11" s="314" t="s">
        <v>203</v>
      </c>
      <c r="IJQ11" s="314" t="s">
        <v>203</v>
      </c>
      <c r="IJR11" s="314" t="s">
        <v>203</v>
      </c>
      <c r="IJS11" s="314" t="s">
        <v>203</v>
      </c>
      <c r="IJT11" s="314" t="s">
        <v>203</v>
      </c>
      <c r="IJU11" s="314" t="s">
        <v>203</v>
      </c>
      <c r="IJV11" s="314" t="s">
        <v>203</v>
      </c>
      <c r="IJW11" s="314" t="s">
        <v>203</v>
      </c>
      <c r="IJX11" s="314" t="s">
        <v>203</v>
      </c>
      <c r="IJY11" s="314" t="s">
        <v>203</v>
      </c>
      <c r="IJZ11" s="314" t="s">
        <v>203</v>
      </c>
      <c r="IKA11" s="314" t="s">
        <v>203</v>
      </c>
      <c r="IKB11" s="314" t="s">
        <v>203</v>
      </c>
      <c r="IKC11" s="314" t="s">
        <v>203</v>
      </c>
      <c r="IKD11" s="314" t="s">
        <v>203</v>
      </c>
      <c r="IKE11" s="314" t="s">
        <v>203</v>
      </c>
      <c r="IKF11" s="314" t="s">
        <v>203</v>
      </c>
      <c r="IKG11" s="314" t="s">
        <v>203</v>
      </c>
      <c r="IKH11" s="314" t="s">
        <v>203</v>
      </c>
      <c r="IKI11" s="314" t="s">
        <v>203</v>
      </c>
      <c r="IKJ11" s="314" t="s">
        <v>203</v>
      </c>
      <c r="IKK11" s="314" t="s">
        <v>203</v>
      </c>
      <c r="IKL11" s="314" t="s">
        <v>203</v>
      </c>
      <c r="IKM11" s="314" t="s">
        <v>203</v>
      </c>
      <c r="IKN11" s="314" t="s">
        <v>203</v>
      </c>
      <c r="IKO11" s="314" t="s">
        <v>203</v>
      </c>
      <c r="IKP11" s="314" t="s">
        <v>203</v>
      </c>
      <c r="IKQ11" s="314" t="s">
        <v>203</v>
      </c>
      <c r="IKR11" s="314" t="s">
        <v>203</v>
      </c>
      <c r="IKS11" s="314" t="s">
        <v>203</v>
      </c>
      <c r="IKT11" s="314" t="s">
        <v>203</v>
      </c>
      <c r="IKU11" s="314" t="s">
        <v>203</v>
      </c>
      <c r="IKV11" s="314" t="s">
        <v>203</v>
      </c>
      <c r="IKW11" s="314" t="s">
        <v>203</v>
      </c>
      <c r="IKX11" s="314" t="s">
        <v>203</v>
      </c>
      <c r="IKY11" s="314" t="s">
        <v>203</v>
      </c>
      <c r="IKZ11" s="314" t="s">
        <v>203</v>
      </c>
      <c r="ILA11" s="314" t="s">
        <v>203</v>
      </c>
      <c r="ILB11" s="314" t="s">
        <v>203</v>
      </c>
      <c r="ILC11" s="314" t="s">
        <v>203</v>
      </c>
      <c r="ILD11" s="314" t="s">
        <v>203</v>
      </c>
      <c r="ILE11" s="314" t="s">
        <v>203</v>
      </c>
      <c r="ILF11" s="314" t="s">
        <v>203</v>
      </c>
      <c r="ILG11" s="314" t="s">
        <v>203</v>
      </c>
      <c r="ILH11" s="314" t="s">
        <v>203</v>
      </c>
      <c r="ILI11" s="314" t="s">
        <v>203</v>
      </c>
      <c r="ILJ11" s="314" t="s">
        <v>203</v>
      </c>
      <c r="ILK11" s="314" t="s">
        <v>203</v>
      </c>
      <c r="ILL11" s="314" t="s">
        <v>203</v>
      </c>
      <c r="ILM11" s="314" t="s">
        <v>203</v>
      </c>
      <c r="ILN11" s="314" t="s">
        <v>203</v>
      </c>
      <c r="ILO11" s="314" t="s">
        <v>203</v>
      </c>
      <c r="ILP11" s="314" t="s">
        <v>203</v>
      </c>
      <c r="ILQ11" s="314" t="s">
        <v>203</v>
      </c>
      <c r="ILR11" s="314" t="s">
        <v>203</v>
      </c>
      <c r="ILS11" s="314" t="s">
        <v>203</v>
      </c>
      <c r="ILT11" s="314" t="s">
        <v>203</v>
      </c>
      <c r="ILU11" s="314" t="s">
        <v>203</v>
      </c>
      <c r="ILV11" s="314" t="s">
        <v>203</v>
      </c>
      <c r="ILW11" s="314" t="s">
        <v>203</v>
      </c>
      <c r="ILX11" s="314" t="s">
        <v>203</v>
      </c>
      <c r="ILY11" s="314" t="s">
        <v>203</v>
      </c>
      <c r="ILZ11" s="314" t="s">
        <v>203</v>
      </c>
      <c r="IMA11" s="314" t="s">
        <v>203</v>
      </c>
      <c r="IMB11" s="314" t="s">
        <v>203</v>
      </c>
      <c r="IMC11" s="314" t="s">
        <v>203</v>
      </c>
      <c r="IMD11" s="314" t="s">
        <v>203</v>
      </c>
      <c r="IME11" s="314" t="s">
        <v>203</v>
      </c>
      <c r="IMF11" s="314" t="s">
        <v>203</v>
      </c>
      <c r="IMG11" s="314" t="s">
        <v>203</v>
      </c>
      <c r="IMH11" s="314" t="s">
        <v>203</v>
      </c>
      <c r="IMI11" s="314" t="s">
        <v>203</v>
      </c>
      <c r="IMJ11" s="314" t="s">
        <v>203</v>
      </c>
      <c r="IMK11" s="314" t="s">
        <v>203</v>
      </c>
      <c r="IML11" s="314" t="s">
        <v>203</v>
      </c>
      <c r="IMM11" s="314" t="s">
        <v>203</v>
      </c>
      <c r="IMN11" s="314" t="s">
        <v>203</v>
      </c>
      <c r="IMO11" s="314" t="s">
        <v>203</v>
      </c>
      <c r="IMP11" s="314" t="s">
        <v>203</v>
      </c>
      <c r="IMQ11" s="314" t="s">
        <v>203</v>
      </c>
      <c r="IMR11" s="314" t="s">
        <v>203</v>
      </c>
      <c r="IMS11" s="314" t="s">
        <v>203</v>
      </c>
      <c r="IMT11" s="314" t="s">
        <v>203</v>
      </c>
      <c r="IMU11" s="314" t="s">
        <v>203</v>
      </c>
      <c r="IMV11" s="314" t="s">
        <v>203</v>
      </c>
      <c r="IMW11" s="314" t="s">
        <v>203</v>
      </c>
      <c r="IMX11" s="314" t="s">
        <v>203</v>
      </c>
      <c r="IMY11" s="314" t="s">
        <v>203</v>
      </c>
      <c r="IMZ11" s="314" t="s">
        <v>203</v>
      </c>
      <c r="INA11" s="314" t="s">
        <v>203</v>
      </c>
      <c r="INB11" s="314" t="s">
        <v>203</v>
      </c>
      <c r="INC11" s="314" t="s">
        <v>203</v>
      </c>
      <c r="IND11" s="314" t="s">
        <v>203</v>
      </c>
      <c r="INE11" s="314" t="s">
        <v>203</v>
      </c>
      <c r="INF11" s="314" t="s">
        <v>203</v>
      </c>
      <c r="ING11" s="314" t="s">
        <v>203</v>
      </c>
      <c r="INH11" s="314" t="s">
        <v>203</v>
      </c>
      <c r="INI11" s="314" t="s">
        <v>203</v>
      </c>
      <c r="INJ11" s="314" t="s">
        <v>203</v>
      </c>
      <c r="INK11" s="314" t="s">
        <v>203</v>
      </c>
      <c r="INL11" s="314" t="s">
        <v>203</v>
      </c>
      <c r="INM11" s="314" t="s">
        <v>203</v>
      </c>
      <c r="INN11" s="314" t="s">
        <v>203</v>
      </c>
      <c r="INO11" s="314" t="s">
        <v>203</v>
      </c>
      <c r="INP11" s="314" t="s">
        <v>203</v>
      </c>
      <c r="INQ11" s="314" t="s">
        <v>203</v>
      </c>
      <c r="INR11" s="314" t="s">
        <v>203</v>
      </c>
      <c r="INS11" s="314" t="s">
        <v>203</v>
      </c>
      <c r="INT11" s="314" t="s">
        <v>203</v>
      </c>
      <c r="INU11" s="314" t="s">
        <v>203</v>
      </c>
      <c r="INV11" s="314" t="s">
        <v>203</v>
      </c>
      <c r="INW11" s="314" t="s">
        <v>203</v>
      </c>
      <c r="INX11" s="314" t="s">
        <v>203</v>
      </c>
      <c r="INY11" s="314" t="s">
        <v>203</v>
      </c>
      <c r="INZ11" s="314" t="s">
        <v>203</v>
      </c>
      <c r="IOA11" s="314" t="s">
        <v>203</v>
      </c>
      <c r="IOB11" s="314" t="s">
        <v>203</v>
      </c>
      <c r="IOC11" s="314" t="s">
        <v>203</v>
      </c>
      <c r="IOD11" s="314" t="s">
        <v>203</v>
      </c>
      <c r="IOE11" s="314" t="s">
        <v>203</v>
      </c>
      <c r="IOF11" s="314" t="s">
        <v>203</v>
      </c>
      <c r="IOG11" s="314" t="s">
        <v>203</v>
      </c>
      <c r="IOH11" s="314" t="s">
        <v>203</v>
      </c>
      <c r="IOI11" s="314" t="s">
        <v>203</v>
      </c>
      <c r="IOJ11" s="314" t="s">
        <v>203</v>
      </c>
      <c r="IOK11" s="314" t="s">
        <v>203</v>
      </c>
      <c r="IOL11" s="314" t="s">
        <v>203</v>
      </c>
      <c r="IOM11" s="314" t="s">
        <v>203</v>
      </c>
      <c r="ION11" s="314" t="s">
        <v>203</v>
      </c>
      <c r="IOO11" s="314" t="s">
        <v>203</v>
      </c>
      <c r="IOP11" s="314" t="s">
        <v>203</v>
      </c>
      <c r="IOQ11" s="314" t="s">
        <v>203</v>
      </c>
      <c r="IOR11" s="314" t="s">
        <v>203</v>
      </c>
      <c r="IOS11" s="314" t="s">
        <v>203</v>
      </c>
      <c r="IOT11" s="314" t="s">
        <v>203</v>
      </c>
      <c r="IOU11" s="314" t="s">
        <v>203</v>
      </c>
      <c r="IOV11" s="314" t="s">
        <v>203</v>
      </c>
      <c r="IOW11" s="314" t="s">
        <v>203</v>
      </c>
      <c r="IOX11" s="314" t="s">
        <v>203</v>
      </c>
      <c r="IOY11" s="314" t="s">
        <v>203</v>
      </c>
      <c r="IOZ11" s="314" t="s">
        <v>203</v>
      </c>
      <c r="IPA11" s="314" t="s">
        <v>203</v>
      </c>
      <c r="IPB11" s="314" t="s">
        <v>203</v>
      </c>
      <c r="IPC11" s="314" t="s">
        <v>203</v>
      </c>
      <c r="IPD11" s="314" t="s">
        <v>203</v>
      </c>
      <c r="IPE11" s="314" t="s">
        <v>203</v>
      </c>
      <c r="IPF11" s="314" t="s">
        <v>203</v>
      </c>
      <c r="IPG11" s="314" t="s">
        <v>203</v>
      </c>
      <c r="IPH11" s="314" t="s">
        <v>203</v>
      </c>
      <c r="IPI11" s="314" t="s">
        <v>203</v>
      </c>
      <c r="IPJ11" s="314" t="s">
        <v>203</v>
      </c>
      <c r="IPK11" s="314" t="s">
        <v>203</v>
      </c>
      <c r="IPL11" s="314" t="s">
        <v>203</v>
      </c>
      <c r="IPM11" s="314" t="s">
        <v>203</v>
      </c>
      <c r="IPN11" s="314" t="s">
        <v>203</v>
      </c>
      <c r="IPO11" s="314" t="s">
        <v>203</v>
      </c>
      <c r="IPP11" s="314" t="s">
        <v>203</v>
      </c>
      <c r="IPQ11" s="314" t="s">
        <v>203</v>
      </c>
      <c r="IPR11" s="314" t="s">
        <v>203</v>
      </c>
      <c r="IPS11" s="314" t="s">
        <v>203</v>
      </c>
      <c r="IPT11" s="314" t="s">
        <v>203</v>
      </c>
      <c r="IPU11" s="314" t="s">
        <v>203</v>
      </c>
      <c r="IPV11" s="314" t="s">
        <v>203</v>
      </c>
      <c r="IPW11" s="314" t="s">
        <v>203</v>
      </c>
      <c r="IPX11" s="314" t="s">
        <v>203</v>
      </c>
      <c r="IPY11" s="314" t="s">
        <v>203</v>
      </c>
      <c r="IPZ11" s="314" t="s">
        <v>203</v>
      </c>
      <c r="IQA11" s="314" t="s">
        <v>203</v>
      </c>
      <c r="IQB11" s="314" t="s">
        <v>203</v>
      </c>
      <c r="IQC11" s="314" t="s">
        <v>203</v>
      </c>
      <c r="IQD11" s="314" t="s">
        <v>203</v>
      </c>
      <c r="IQE11" s="314" t="s">
        <v>203</v>
      </c>
      <c r="IQF11" s="314" t="s">
        <v>203</v>
      </c>
      <c r="IQG11" s="314" t="s">
        <v>203</v>
      </c>
      <c r="IQH11" s="314" t="s">
        <v>203</v>
      </c>
      <c r="IQI11" s="314" t="s">
        <v>203</v>
      </c>
      <c r="IQJ11" s="314" t="s">
        <v>203</v>
      </c>
      <c r="IQK11" s="314" t="s">
        <v>203</v>
      </c>
      <c r="IQL11" s="314" t="s">
        <v>203</v>
      </c>
      <c r="IQM11" s="314" t="s">
        <v>203</v>
      </c>
      <c r="IQN11" s="314" t="s">
        <v>203</v>
      </c>
      <c r="IQO11" s="314" t="s">
        <v>203</v>
      </c>
      <c r="IQP11" s="314" t="s">
        <v>203</v>
      </c>
      <c r="IQQ11" s="314" t="s">
        <v>203</v>
      </c>
      <c r="IQR11" s="314" t="s">
        <v>203</v>
      </c>
      <c r="IQS11" s="314" t="s">
        <v>203</v>
      </c>
      <c r="IQT11" s="314" t="s">
        <v>203</v>
      </c>
      <c r="IQU11" s="314" t="s">
        <v>203</v>
      </c>
      <c r="IQV11" s="314" t="s">
        <v>203</v>
      </c>
      <c r="IQW11" s="314" t="s">
        <v>203</v>
      </c>
      <c r="IQX11" s="314" t="s">
        <v>203</v>
      </c>
      <c r="IQY11" s="314" t="s">
        <v>203</v>
      </c>
      <c r="IQZ11" s="314" t="s">
        <v>203</v>
      </c>
      <c r="IRA11" s="314" t="s">
        <v>203</v>
      </c>
      <c r="IRB11" s="314" t="s">
        <v>203</v>
      </c>
      <c r="IRC11" s="314" t="s">
        <v>203</v>
      </c>
      <c r="IRD11" s="314" t="s">
        <v>203</v>
      </c>
      <c r="IRE11" s="314" t="s">
        <v>203</v>
      </c>
      <c r="IRF11" s="314" t="s">
        <v>203</v>
      </c>
      <c r="IRG11" s="314" t="s">
        <v>203</v>
      </c>
      <c r="IRH11" s="314" t="s">
        <v>203</v>
      </c>
      <c r="IRI11" s="314" t="s">
        <v>203</v>
      </c>
      <c r="IRJ11" s="314" t="s">
        <v>203</v>
      </c>
      <c r="IRK11" s="314" t="s">
        <v>203</v>
      </c>
      <c r="IRL11" s="314" t="s">
        <v>203</v>
      </c>
      <c r="IRM11" s="314" t="s">
        <v>203</v>
      </c>
      <c r="IRN11" s="314" t="s">
        <v>203</v>
      </c>
      <c r="IRO11" s="314" t="s">
        <v>203</v>
      </c>
      <c r="IRP11" s="314" t="s">
        <v>203</v>
      </c>
      <c r="IRQ11" s="314" t="s">
        <v>203</v>
      </c>
      <c r="IRR11" s="314" t="s">
        <v>203</v>
      </c>
      <c r="IRS11" s="314" t="s">
        <v>203</v>
      </c>
      <c r="IRT11" s="314" t="s">
        <v>203</v>
      </c>
      <c r="IRU11" s="314" t="s">
        <v>203</v>
      </c>
      <c r="IRV11" s="314" t="s">
        <v>203</v>
      </c>
      <c r="IRW11" s="314" t="s">
        <v>203</v>
      </c>
      <c r="IRX11" s="314" t="s">
        <v>203</v>
      </c>
      <c r="IRY11" s="314" t="s">
        <v>203</v>
      </c>
      <c r="IRZ11" s="314" t="s">
        <v>203</v>
      </c>
      <c r="ISA11" s="314" t="s">
        <v>203</v>
      </c>
      <c r="ISB11" s="314" t="s">
        <v>203</v>
      </c>
      <c r="ISC11" s="314" t="s">
        <v>203</v>
      </c>
      <c r="ISD11" s="314" t="s">
        <v>203</v>
      </c>
      <c r="ISE11" s="314" t="s">
        <v>203</v>
      </c>
      <c r="ISF11" s="314" t="s">
        <v>203</v>
      </c>
      <c r="ISG11" s="314" t="s">
        <v>203</v>
      </c>
      <c r="ISH11" s="314" t="s">
        <v>203</v>
      </c>
      <c r="ISI11" s="314" t="s">
        <v>203</v>
      </c>
      <c r="ISJ11" s="314" t="s">
        <v>203</v>
      </c>
      <c r="ISK11" s="314" t="s">
        <v>203</v>
      </c>
      <c r="ISL11" s="314" t="s">
        <v>203</v>
      </c>
      <c r="ISM11" s="314" t="s">
        <v>203</v>
      </c>
      <c r="ISN11" s="314" t="s">
        <v>203</v>
      </c>
      <c r="ISO11" s="314" t="s">
        <v>203</v>
      </c>
      <c r="ISP11" s="314" t="s">
        <v>203</v>
      </c>
      <c r="ISQ11" s="314" t="s">
        <v>203</v>
      </c>
      <c r="ISR11" s="314" t="s">
        <v>203</v>
      </c>
      <c r="ISS11" s="314" t="s">
        <v>203</v>
      </c>
      <c r="IST11" s="314" t="s">
        <v>203</v>
      </c>
      <c r="ISU11" s="314" t="s">
        <v>203</v>
      </c>
      <c r="ISV11" s="314" t="s">
        <v>203</v>
      </c>
      <c r="ISW11" s="314" t="s">
        <v>203</v>
      </c>
      <c r="ISX11" s="314" t="s">
        <v>203</v>
      </c>
      <c r="ISY11" s="314" t="s">
        <v>203</v>
      </c>
      <c r="ISZ11" s="314" t="s">
        <v>203</v>
      </c>
      <c r="ITA11" s="314" t="s">
        <v>203</v>
      </c>
      <c r="ITB11" s="314" t="s">
        <v>203</v>
      </c>
      <c r="ITC11" s="314" t="s">
        <v>203</v>
      </c>
      <c r="ITD11" s="314" t="s">
        <v>203</v>
      </c>
      <c r="ITE11" s="314" t="s">
        <v>203</v>
      </c>
      <c r="ITF11" s="314" t="s">
        <v>203</v>
      </c>
      <c r="ITG11" s="314" t="s">
        <v>203</v>
      </c>
      <c r="ITH11" s="314" t="s">
        <v>203</v>
      </c>
      <c r="ITI11" s="314" t="s">
        <v>203</v>
      </c>
      <c r="ITJ11" s="314" t="s">
        <v>203</v>
      </c>
      <c r="ITK11" s="314" t="s">
        <v>203</v>
      </c>
      <c r="ITL11" s="314" t="s">
        <v>203</v>
      </c>
      <c r="ITM11" s="314" t="s">
        <v>203</v>
      </c>
      <c r="ITN11" s="314" t="s">
        <v>203</v>
      </c>
      <c r="ITO11" s="314" t="s">
        <v>203</v>
      </c>
      <c r="ITP11" s="314" t="s">
        <v>203</v>
      </c>
      <c r="ITQ11" s="314" t="s">
        <v>203</v>
      </c>
      <c r="ITR11" s="314" t="s">
        <v>203</v>
      </c>
      <c r="ITS11" s="314" t="s">
        <v>203</v>
      </c>
      <c r="ITT11" s="314" t="s">
        <v>203</v>
      </c>
      <c r="ITU11" s="314" t="s">
        <v>203</v>
      </c>
      <c r="ITV11" s="314" t="s">
        <v>203</v>
      </c>
      <c r="ITW11" s="314" t="s">
        <v>203</v>
      </c>
      <c r="ITX11" s="314" t="s">
        <v>203</v>
      </c>
      <c r="ITY11" s="314" t="s">
        <v>203</v>
      </c>
      <c r="ITZ11" s="314" t="s">
        <v>203</v>
      </c>
      <c r="IUA11" s="314" t="s">
        <v>203</v>
      </c>
      <c r="IUB11" s="314" t="s">
        <v>203</v>
      </c>
      <c r="IUC11" s="314" t="s">
        <v>203</v>
      </c>
      <c r="IUD11" s="314" t="s">
        <v>203</v>
      </c>
      <c r="IUE11" s="314" t="s">
        <v>203</v>
      </c>
      <c r="IUF11" s="314" t="s">
        <v>203</v>
      </c>
      <c r="IUG11" s="314" t="s">
        <v>203</v>
      </c>
      <c r="IUH11" s="314" t="s">
        <v>203</v>
      </c>
      <c r="IUI11" s="314" t="s">
        <v>203</v>
      </c>
      <c r="IUJ11" s="314" t="s">
        <v>203</v>
      </c>
      <c r="IUK11" s="314" t="s">
        <v>203</v>
      </c>
      <c r="IUL11" s="314" t="s">
        <v>203</v>
      </c>
      <c r="IUM11" s="314" t="s">
        <v>203</v>
      </c>
      <c r="IUN11" s="314" t="s">
        <v>203</v>
      </c>
      <c r="IUO11" s="314" t="s">
        <v>203</v>
      </c>
      <c r="IUP11" s="314" t="s">
        <v>203</v>
      </c>
      <c r="IUQ11" s="314" t="s">
        <v>203</v>
      </c>
      <c r="IUR11" s="314" t="s">
        <v>203</v>
      </c>
      <c r="IUS11" s="314" t="s">
        <v>203</v>
      </c>
      <c r="IUT11" s="314" t="s">
        <v>203</v>
      </c>
      <c r="IUU11" s="314" t="s">
        <v>203</v>
      </c>
      <c r="IUV11" s="314" t="s">
        <v>203</v>
      </c>
      <c r="IUW11" s="314" t="s">
        <v>203</v>
      </c>
      <c r="IUX11" s="314" t="s">
        <v>203</v>
      </c>
      <c r="IUY11" s="314" t="s">
        <v>203</v>
      </c>
      <c r="IUZ11" s="314" t="s">
        <v>203</v>
      </c>
      <c r="IVA11" s="314" t="s">
        <v>203</v>
      </c>
      <c r="IVB11" s="314" t="s">
        <v>203</v>
      </c>
      <c r="IVC11" s="314" t="s">
        <v>203</v>
      </c>
      <c r="IVD11" s="314" t="s">
        <v>203</v>
      </c>
      <c r="IVE11" s="314" t="s">
        <v>203</v>
      </c>
      <c r="IVF11" s="314" t="s">
        <v>203</v>
      </c>
      <c r="IVG11" s="314" t="s">
        <v>203</v>
      </c>
      <c r="IVH11" s="314" t="s">
        <v>203</v>
      </c>
      <c r="IVI11" s="314" t="s">
        <v>203</v>
      </c>
      <c r="IVJ11" s="314" t="s">
        <v>203</v>
      </c>
      <c r="IVK11" s="314" t="s">
        <v>203</v>
      </c>
      <c r="IVL11" s="314" t="s">
        <v>203</v>
      </c>
      <c r="IVM11" s="314" t="s">
        <v>203</v>
      </c>
      <c r="IVN11" s="314" t="s">
        <v>203</v>
      </c>
      <c r="IVO11" s="314" t="s">
        <v>203</v>
      </c>
      <c r="IVP11" s="314" t="s">
        <v>203</v>
      </c>
      <c r="IVQ11" s="314" t="s">
        <v>203</v>
      </c>
      <c r="IVR11" s="314" t="s">
        <v>203</v>
      </c>
      <c r="IVS11" s="314" t="s">
        <v>203</v>
      </c>
      <c r="IVT11" s="314" t="s">
        <v>203</v>
      </c>
      <c r="IVU11" s="314" t="s">
        <v>203</v>
      </c>
      <c r="IVV11" s="314" t="s">
        <v>203</v>
      </c>
      <c r="IVW11" s="314" t="s">
        <v>203</v>
      </c>
      <c r="IVX11" s="314" t="s">
        <v>203</v>
      </c>
      <c r="IVY11" s="314" t="s">
        <v>203</v>
      </c>
      <c r="IVZ11" s="314" t="s">
        <v>203</v>
      </c>
      <c r="IWA11" s="314" t="s">
        <v>203</v>
      </c>
      <c r="IWB11" s="314" t="s">
        <v>203</v>
      </c>
      <c r="IWC11" s="314" t="s">
        <v>203</v>
      </c>
      <c r="IWD11" s="314" t="s">
        <v>203</v>
      </c>
      <c r="IWE11" s="314" t="s">
        <v>203</v>
      </c>
      <c r="IWF11" s="314" t="s">
        <v>203</v>
      </c>
      <c r="IWG11" s="314" t="s">
        <v>203</v>
      </c>
      <c r="IWH11" s="314" t="s">
        <v>203</v>
      </c>
      <c r="IWI11" s="314" t="s">
        <v>203</v>
      </c>
      <c r="IWJ11" s="314" t="s">
        <v>203</v>
      </c>
      <c r="IWK11" s="314" t="s">
        <v>203</v>
      </c>
      <c r="IWL11" s="314" t="s">
        <v>203</v>
      </c>
      <c r="IWM11" s="314" t="s">
        <v>203</v>
      </c>
      <c r="IWN11" s="314" t="s">
        <v>203</v>
      </c>
      <c r="IWO11" s="314" t="s">
        <v>203</v>
      </c>
      <c r="IWP11" s="314" t="s">
        <v>203</v>
      </c>
      <c r="IWQ11" s="314" t="s">
        <v>203</v>
      </c>
      <c r="IWR11" s="314" t="s">
        <v>203</v>
      </c>
      <c r="IWS11" s="314" t="s">
        <v>203</v>
      </c>
      <c r="IWT11" s="314" t="s">
        <v>203</v>
      </c>
      <c r="IWU11" s="314" t="s">
        <v>203</v>
      </c>
      <c r="IWV11" s="314" t="s">
        <v>203</v>
      </c>
      <c r="IWW11" s="314" t="s">
        <v>203</v>
      </c>
      <c r="IWX11" s="314" t="s">
        <v>203</v>
      </c>
      <c r="IWY11" s="314" t="s">
        <v>203</v>
      </c>
      <c r="IWZ11" s="314" t="s">
        <v>203</v>
      </c>
      <c r="IXA11" s="314" t="s">
        <v>203</v>
      </c>
      <c r="IXB11" s="314" t="s">
        <v>203</v>
      </c>
      <c r="IXC11" s="314" t="s">
        <v>203</v>
      </c>
      <c r="IXD11" s="314" t="s">
        <v>203</v>
      </c>
      <c r="IXE11" s="314" t="s">
        <v>203</v>
      </c>
      <c r="IXF11" s="314" t="s">
        <v>203</v>
      </c>
      <c r="IXG11" s="314" t="s">
        <v>203</v>
      </c>
      <c r="IXH11" s="314" t="s">
        <v>203</v>
      </c>
      <c r="IXI11" s="314" t="s">
        <v>203</v>
      </c>
      <c r="IXJ11" s="314" t="s">
        <v>203</v>
      </c>
      <c r="IXK11" s="314" t="s">
        <v>203</v>
      </c>
      <c r="IXL11" s="314" t="s">
        <v>203</v>
      </c>
      <c r="IXM11" s="314" t="s">
        <v>203</v>
      </c>
      <c r="IXN11" s="314" t="s">
        <v>203</v>
      </c>
      <c r="IXO11" s="314" t="s">
        <v>203</v>
      </c>
      <c r="IXP11" s="314" t="s">
        <v>203</v>
      </c>
      <c r="IXQ11" s="314" t="s">
        <v>203</v>
      </c>
      <c r="IXR11" s="314" t="s">
        <v>203</v>
      </c>
      <c r="IXS11" s="314" t="s">
        <v>203</v>
      </c>
      <c r="IXT11" s="314" t="s">
        <v>203</v>
      </c>
      <c r="IXU11" s="314" t="s">
        <v>203</v>
      </c>
      <c r="IXV11" s="314" t="s">
        <v>203</v>
      </c>
      <c r="IXW11" s="314" t="s">
        <v>203</v>
      </c>
      <c r="IXX11" s="314" t="s">
        <v>203</v>
      </c>
      <c r="IXY11" s="314" t="s">
        <v>203</v>
      </c>
      <c r="IXZ11" s="314" t="s">
        <v>203</v>
      </c>
      <c r="IYA11" s="314" t="s">
        <v>203</v>
      </c>
      <c r="IYB11" s="314" t="s">
        <v>203</v>
      </c>
      <c r="IYC11" s="314" t="s">
        <v>203</v>
      </c>
      <c r="IYD11" s="314" t="s">
        <v>203</v>
      </c>
      <c r="IYE11" s="314" t="s">
        <v>203</v>
      </c>
      <c r="IYF11" s="314" t="s">
        <v>203</v>
      </c>
      <c r="IYG11" s="314" t="s">
        <v>203</v>
      </c>
      <c r="IYH11" s="314" t="s">
        <v>203</v>
      </c>
      <c r="IYI11" s="314" t="s">
        <v>203</v>
      </c>
      <c r="IYJ11" s="314" t="s">
        <v>203</v>
      </c>
      <c r="IYK11" s="314" t="s">
        <v>203</v>
      </c>
      <c r="IYL11" s="314" t="s">
        <v>203</v>
      </c>
      <c r="IYM11" s="314" t="s">
        <v>203</v>
      </c>
      <c r="IYN11" s="314" t="s">
        <v>203</v>
      </c>
      <c r="IYO11" s="314" t="s">
        <v>203</v>
      </c>
      <c r="IYP11" s="314" t="s">
        <v>203</v>
      </c>
      <c r="IYQ11" s="314" t="s">
        <v>203</v>
      </c>
      <c r="IYR11" s="314" t="s">
        <v>203</v>
      </c>
      <c r="IYS11" s="314" t="s">
        <v>203</v>
      </c>
      <c r="IYT11" s="314" t="s">
        <v>203</v>
      </c>
      <c r="IYU11" s="314" t="s">
        <v>203</v>
      </c>
      <c r="IYV11" s="314" t="s">
        <v>203</v>
      </c>
      <c r="IYW11" s="314" t="s">
        <v>203</v>
      </c>
      <c r="IYX11" s="314" t="s">
        <v>203</v>
      </c>
      <c r="IYY11" s="314" t="s">
        <v>203</v>
      </c>
      <c r="IYZ11" s="314" t="s">
        <v>203</v>
      </c>
      <c r="IZA11" s="314" t="s">
        <v>203</v>
      </c>
      <c r="IZB11" s="314" t="s">
        <v>203</v>
      </c>
      <c r="IZC11" s="314" t="s">
        <v>203</v>
      </c>
      <c r="IZD11" s="314" t="s">
        <v>203</v>
      </c>
      <c r="IZE11" s="314" t="s">
        <v>203</v>
      </c>
      <c r="IZF11" s="314" t="s">
        <v>203</v>
      </c>
      <c r="IZG11" s="314" t="s">
        <v>203</v>
      </c>
      <c r="IZH11" s="314" t="s">
        <v>203</v>
      </c>
      <c r="IZI11" s="314" t="s">
        <v>203</v>
      </c>
      <c r="IZJ11" s="314" t="s">
        <v>203</v>
      </c>
      <c r="IZK11" s="314" t="s">
        <v>203</v>
      </c>
      <c r="IZL11" s="314" t="s">
        <v>203</v>
      </c>
      <c r="IZM11" s="314" t="s">
        <v>203</v>
      </c>
      <c r="IZN11" s="314" t="s">
        <v>203</v>
      </c>
      <c r="IZO11" s="314" t="s">
        <v>203</v>
      </c>
      <c r="IZP11" s="314" t="s">
        <v>203</v>
      </c>
      <c r="IZQ11" s="314" t="s">
        <v>203</v>
      </c>
      <c r="IZR11" s="314" t="s">
        <v>203</v>
      </c>
      <c r="IZS11" s="314" t="s">
        <v>203</v>
      </c>
      <c r="IZT11" s="314" t="s">
        <v>203</v>
      </c>
      <c r="IZU11" s="314" t="s">
        <v>203</v>
      </c>
      <c r="IZV11" s="314" t="s">
        <v>203</v>
      </c>
      <c r="IZW11" s="314" t="s">
        <v>203</v>
      </c>
      <c r="IZX11" s="314" t="s">
        <v>203</v>
      </c>
      <c r="IZY11" s="314" t="s">
        <v>203</v>
      </c>
      <c r="IZZ11" s="314" t="s">
        <v>203</v>
      </c>
      <c r="JAA11" s="314" t="s">
        <v>203</v>
      </c>
      <c r="JAB11" s="314" t="s">
        <v>203</v>
      </c>
      <c r="JAC11" s="314" t="s">
        <v>203</v>
      </c>
      <c r="JAD11" s="314" t="s">
        <v>203</v>
      </c>
      <c r="JAE11" s="314" t="s">
        <v>203</v>
      </c>
      <c r="JAF11" s="314" t="s">
        <v>203</v>
      </c>
      <c r="JAG11" s="314" t="s">
        <v>203</v>
      </c>
      <c r="JAH11" s="314" t="s">
        <v>203</v>
      </c>
      <c r="JAI11" s="314" t="s">
        <v>203</v>
      </c>
      <c r="JAJ11" s="314" t="s">
        <v>203</v>
      </c>
      <c r="JAK11" s="314" t="s">
        <v>203</v>
      </c>
      <c r="JAL11" s="314" t="s">
        <v>203</v>
      </c>
      <c r="JAM11" s="314" t="s">
        <v>203</v>
      </c>
      <c r="JAN11" s="314" t="s">
        <v>203</v>
      </c>
      <c r="JAO11" s="314" t="s">
        <v>203</v>
      </c>
      <c r="JAP11" s="314" t="s">
        <v>203</v>
      </c>
      <c r="JAQ11" s="314" t="s">
        <v>203</v>
      </c>
      <c r="JAR11" s="314" t="s">
        <v>203</v>
      </c>
      <c r="JAS11" s="314" t="s">
        <v>203</v>
      </c>
      <c r="JAT11" s="314" t="s">
        <v>203</v>
      </c>
      <c r="JAU11" s="314" t="s">
        <v>203</v>
      </c>
      <c r="JAV11" s="314" t="s">
        <v>203</v>
      </c>
      <c r="JAW11" s="314" t="s">
        <v>203</v>
      </c>
      <c r="JAX11" s="314" t="s">
        <v>203</v>
      </c>
      <c r="JAY11" s="314" t="s">
        <v>203</v>
      </c>
      <c r="JAZ11" s="314" t="s">
        <v>203</v>
      </c>
      <c r="JBA11" s="314" t="s">
        <v>203</v>
      </c>
      <c r="JBB11" s="314" t="s">
        <v>203</v>
      </c>
      <c r="JBC11" s="314" t="s">
        <v>203</v>
      </c>
      <c r="JBD11" s="314" t="s">
        <v>203</v>
      </c>
      <c r="JBE11" s="314" t="s">
        <v>203</v>
      </c>
      <c r="JBF11" s="314" t="s">
        <v>203</v>
      </c>
      <c r="JBG11" s="314" t="s">
        <v>203</v>
      </c>
      <c r="JBH11" s="314" t="s">
        <v>203</v>
      </c>
      <c r="JBI11" s="314" t="s">
        <v>203</v>
      </c>
      <c r="JBJ11" s="314" t="s">
        <v>203</v>
      </c>
      <c r="JBK11" s="314" t="s">
        <v>203</v>
      </c>
      <c r="JBL11" s="314" t="s">
        <v>203</v>
      </c>
      <c r="JBM11" s="314" t="s">
        <v>203</v>
      </c>
      <c r="JBN11" s="314" t="s">
        <v>203</v>
      </c>
      <c r="JBO11" s="314" t="s">
        <v>203</v>
      </c>
      <c r="JBP11" s="314" t="s">
        <v>203</v>
      </c>
      <c r="JBQ11" s="314" t="s">
        <v>203</v>
      </c>
      <c r="JBR11" s="314" t="s">
        <v>203</v>
      </c>
      <c r="JBS11" s="314" t="s">
        <v>203</v>
      </c>
      <c r="JBT11" s="314" t="s">
        <v>203</v>
      </c>
      <c r="JBU11" s="314" t="s">
        <v>203</v>
      </c>
      <c r="JBV11" s="314" t="s">
        <v>203</v>
      </c>
      <c r="JBW11" s="314" t="s">
        <v>203</v>
      </c>
      <c r="JBX11" s="314" t="s">
        <v>203</v>
      </c>
      <c r="JBY11" s="314" t="s">
        <v>203</v>
      </c>
      <c r="JBZ11" s="314" t="s">
        <v>203</v>
      </c>
      <c r="JCA11" s="314" t="s">
        <v>203</v>
      </c>
      <c r="JCB11" s="314" t="s">
        <v>203</v>
      </c>
      <c r="JCC11" s="314" t="s">
        <v>203</v>
      </c>
      <c r="JCD11" s="314" t="s">
        <v>203</v>
      </c>
      <c r="JCE11" s="314" t="s">
        <v>203</v>
      </c>
      <c r="JCF11" s="314" t="s">
        <v>203</v>
      </c>
      <c r="JCG11" s="314" t="s">
        <v>203</v>
      </c>
      <c r="JCH11" s="314" t="s">
        <v>203</v>
      </c>
      <c r="JCI11" s="314" t="s">
        <v>203</v>
      </c>
      <c r="JCJ11" s="314" t="s">
        <v>203</v>
      </c>
      <c r="JCK11" s="314" t="s">
        <v>203</v>
      </c>
      <c r="JCL11" s="314" t="s">
        <v>203</v>
      </c>
      <c r="JCM11" s="314" t="s">
        <v>203</v>
      </c>
      <c r="JCN11" s="314" t="s">
        <v>203</v>
      </c>
      <c r="JCO11" s="314" t="s">
        <v>203</v>
      </c>
      <c r="JCP11" s="314" t="s">
        <v>203</v>
      </c>
      <c r="JCQ11" s="314" t="s">
        <v>203</v>
      </c>
      <c r="JCR11" s="314" t="s">
        <v>203</v>
      </c>
      <c r="JCS11" s="314" t="s">
        <v>203</v>
      </c>
      <c r="JCT11" s="314" t="s">
        <v>203</v>
      </c>
      <c r="JCU11" s="314" t="s">
        <v>203</v>
      </c>
      <c r="JCV11" s="314" t="s">
        <v>203</v>
      </c>
      <c r="JCW11" s="314" t="s">
        <v>203</v>
      </c>
      <c r="JCX11" s="314" t="s">
        <v>203</v>
      </c>
      <c r="JCY11" s="314" t="s">
        <v>203</v>
      </c>
      <c r="JCZ11" s="314" t="s">
        <v>203</v>
      </c>
      <c r="JDA11" s="314" t="s">
        <v>203</v>
      </c>
      <c r="JDB11" s="314" t="s">
        <v>203</v>
      </c>
      <c r="JDC11" s="314" t="s">
        <v>203</v>
      </c>
      <c r="JDD11" s="314" t="s">
        <v>203</v>
      </c>
      <c r="JDE11" s="314" t="s">
        <v>203</v>
      </c>
      <c r="JDF11" s="314" t="s">
        <v>203</v>
      </c>
      <c r="JDG11" s="314" t="s">
        <v>203</v>
      </c>
      <c r="JDH11" s="314" t="s">
        <v>203</v>
      </c>
      <c r="JDI11" s="314" t="s">
        <v>203</v>
      </c>
      <c r="JDJ11" s="314" t="s">
        <v>203</v>
      </c>
      <c r="JDK11" s="314" t="s">
        <v>203</v>
      </c>
      <c r="JDL11" s="314" t="s">
        <v>203</v>
      </c>
      <c r="JDM11" s="314" t="s">
        <v>203</v>
      </c>
      <c r="JDN11" s="314" t="s">
        <v>203</v>
      </c>
      <c r="JDO11" s="314" t="s">
        <v>203</v>
      </c>
      <c r="JDP11" s="314" t="s">
        <v>203</v>
      </c>
      <c r="JDQ11" s="314" t="s">
        <v>203</v>
      </c>
      <c r="JDR11" s="314" t="s">
        <v>203</v>
      </c>
      <c r="JDS11" s="314" t="s">
        <v>203</v>
      </c>
      <c r="JDT11" s="314" t="s">
        <v>203</v>
      </c>
      <c r="JDU11" s="314" t="s">
        <v>203</v>
      </c>
      <c r="JDV11" s="314" t="s">
        <v>203</v>
      </c>
      <c r="JDW11" s="314" t="s">
        <v>203</v>
      </c>
      <c r="JDX11" s="314" t="s">
        <v>203</v>
      </c>
      <c r="JDY11" s="314" t="s">
        <v>203</v>
      </c>
      <c r="JDZ11" s="314" t="s">
        <v>203</v>
      </c>
      <c r="JEA11" s="314" t="s">
        <v>203</v>
      </c>
      <c r="JEB11" s="314" t="s">
        <v>203</v>
      </c>
      <c r="JEC11" s="314" t="s">
        <v>203</v>
      </c>
      <c r="JED11" s="314" t="s">
        <v>203</v>
      </c>
      <c r="JEE11" s="314" t="s">
        <v>203</v>
      </c>
      <c r="JEF11" s="314" t="s">
        <v>203</v>
      </c>
      <c r="JEG11" s="314" t="s">
        <v>203</v>
      </c>
      <c r="JEH11" s="314" t="s">
        <v>203</v>
      </c>
      <c r="JEI11" s="314" t="s">
        <v>203</v>
      </c>
      <c r="JEJ11" s="314" t="s">
        <v>203</v>
      </c>
      <c r="JEK11" s="314" t="s">
        <v>203</v>
      </c>
      <c r="JEL11" s="314" t="s">
        <v>203</v>
      </c>
      <c r="JEM11" s="314" t="s">
        <v>203</v>
      </c>
      <c r="JEN11" s="314" t="s">
        <v>203</v>
      </c>
      <c r="JEO11" s="314" t="s">
        <v>203</v>
      </c>
      <c r="JEP11" s="314" t="s">
        <v>203</v>
      </c>
      <c r="JEQ11" s="314" t="s">
        <v>203</v>
      </c>
      <c r="JER11" s="314" t="s">
        <v>203</v>
      </c>
      <c r="JES11" s="314" t="s">
        <v>203</v>
      </c>
      <c r="JET11" s="314" t="s">
        <v>203</v>
      </c>
      <c r="JEU11" s="314" t="s">
        <v>203</v>
      </c>
      <c r="JEV11" s="314" t="s">
        <v>203</v>
      </c>
      <c r="JEW11" s="314" t="s">
        <v>203</v>
      </c>
      <c r="JEX11" s="314" t="s">
        <v>203</v>
      </c>
      <c r="JEY11" s="314" t="s">
        <v>203</v>
      </c>
      <c r="JEZ11" s="314" t="s">
        <v>203</v>
      </c>
      <c r="JFA11" s="314" t="s">
        <v>203</v>
      </c>
      <c r="JFB11" s="314" t="s">
        <v>203</v>
      </c>
      <c r="JFC11" s="314" t="s">
        <v>203</v>
      </c>
      <c r="JFD11" s="314" t="s">
        <v>203</v>
      </c>
      <c r="JFE11" s="314" t="s">
        <v>203</v>
      </c>
      <c r="JFF11" s="314" t="s">
        <v>203</v>
      </c>
      <c r="JFG11" s="314" t="s">
        <v>203</v>
      </c>
      <c r="JFH11" s="314" t="s">
        <v>203</v>
      </c>
      <c r="JFI11" s="314" t="s">
        <v>203</v>
      </c>
      <c r="JFJ11" s="314" t="s">
        <v>203</v>
      </c>
      <c r="JFK11" s="314" t="s">
        <v>203</v>
      </c>
      <c r="JFL11" s="314" t="s">
        <v>203</v>
      </c>
      <c r="JFM11" s="314" t="s">
        <v>203</v>
      </c>
      <c r="JFN11" s="314" t="s">
        <v>203</v>
      </c>
      <c r="JFO11" s="314" t="s">
        <v>203</v>
      </c>
      <c r="JFP11" s="314" t="s">
        <v>203</v>
      </c>
      <c r="JFQ11" s="314" t="s">
        <v>203</v>
      </c>
      <c r="JFR11" s="314" t="s">
        <v>203</v>
      </c>
      <c r="JFS11" s="314" t="s">
        <v>203</v>
      </c>
      <c r="JFT11" s="314" t="s">
        <v>203</v>
      </c>
      <c r="JFU11" s="314" t="s">
        <v>203</v>
      </c>
      <c r="JFV11" s="314" t="s">
        <v>203</v>
      </c>
      <c r="JFW11" s="314" t="s">
        <v>203</v>
      </c>
      <c r="JFX11" s="314" t="s">
        <v>203</v>
      </c>
      <c r="JFY11" s="314" t="s">
        <v>203</v>
      </c>
      <c r="JFZ11" s="314" t="s">
        <v>203</v>
      </c>
      <c r="JGA11" s="314" t="s">
        <v>203</v>
      </c>
      <c r="JGB11" s="314" t="s">
        <v>203</v>
      </c>
      <c r="JGC11" s="314" t="s">
        <v>203</v>
      </c>
      <c r="JGD11" s="314" t="s">
        <v>203</v>
      </c>
      <c r="JGE11" s="314" t="s">
        <v>203</v>
      </c>
      <c r="JGF11" s="314" t="s">
        <v>203</v>
      </c>
      <c r="JGG11" s="314" t="s">
        <v>203</v>
      </c>
      <c r="JGH11" s="314" t="s">
        <v>203</v>
      </c>
      <c r="JGI11" s="314" t="s">
        <v>203</v>
      </c>
      <c r="JGJ11" s="314" t="s">
        <v>203</v>
      </c>
      <c r="JGK11" s="314" t="s">
        <v>203</v>
      </c>
      <c r="JGL11" s="314" t="s">
        <v>203</v>
      </c>
      <c r="JGM11" s="314" t="s">
        <v>203</v>
      </c>
      <c r="JGN11" s="314" t="s">
        <v>203</v>
      </c>
      <c r="JGO11" s="314" t="s">
        <v>203</v>
      </c>
      <c r="JGP11" s="314" t="s">
        <v>203</v>
      </c>
      <c r="JGQ11" s="314" t="s">
        <v>203</v>
      </c>
      <c r="JGR11" s="314" t="s">
        <v>203</v>
      </c>
      <c r="JGS11" s="314" t="s">
        <v>203</v>
      </c>
      <c r="JGT11" s="314" t="s">
        <v>203</v>
      </c>
      <c r="JGU11" s="314" t="s">
        <v>203</v>
      </c>
      <c r="JGV11" s="314" t="s">
        <v>203</v>
      </c>
      <c r="JGW11" s="314" t="s">
        <v>203</v>
      </c>
      <c r="JGX11" s="314" t="s">
        <v>203</v>
      </c>
      <c r="JGY11" s="314" t="s">
        <v>203</v>
      </c>
      <c r="JGZ11" s="314" t="s">
        <v>203</v>
      </c>
      <c r="JHA11" s="314" t="s">
        <v>203</v>
      </c>
      <c r="JHB11" s="314" t="s">
        <v>203</v>
      </c>
      <c r="JHC11" s="314" t="s">
        <v>203</v>
      </c>
      <c r="JHD11" s="314" t="s">
        <v>203</v>
      </c>
      <c r="JHE11" s="314" t="s">
        <v>203</v>
      </c>
      <c r="JHF11" s="314" t="s">
        <v>203</v>
      </c>
      <c r="JHG11" s="314" t="s">
        <v>203</v>
      </c>
      <c r="JHH11" s="314" t="s">
        <v>203</v>
      </c>
      <c r="JHI11" s="314" t="s">
        <v>203</v>
      </c>
      <c r="JHJ11" s="314" t="s">
        <v>203</v>
      </c>
      <c r="JHK11" s="314" t="s">
        <v>203</v>
      </c>
      <c r="JHL11" s="314" t="s">
        <v>203</v>
      </c>
      <c r="JHM11" s="314" t="s">
        <v>203</v>
      </c>
      <c r="JHN11" s="314" t="s">
        <v>203</v>
      </c>
      <c r="JHO11" s="314" t="s">
        <v>203</v>
      </c>
      <c r="JHP11" s="314" t="s">
        <v>203</v>
      </c>
      <c r="JHQ11" s="314" t="s">
        <v>203</v>
      </c>
      <c r="JHR11" s="314" t="s">
        <v>203</v>
      </c>
      <c r="JHS11" s="314" t="s">
        <v>203</v>
      </c>
      <c r="JHT11" s="314" t="s">
        <v>203</v>
      </c>
      <c r="JHU11" s="314" t="s">
        <v>203</v>
      </c>
      <c r="JHV11" s="314" t="s">
        <v>203</v>
      </c>
      <c r="JHW11" s="314" t="s">
        <v>203</v>
      </c>
      <c r="JHX11" s="314" t="s">
        <v>203</v>
      </c>
      <c r="JHY11" s="314" t="s">
        <v>203</v>
      </c>
      <c r="JHZ11" s="314" t="s">
        <v>203</v>
      </c>
      <c r="JIA11" s="314" t="s">
        <v>203</v>
      </c>
      <c r="JIB11" s="314" t="s">
        <v>203</v>
      </c>
      <c r="JIC11" s="314" t="s">
        <v>203</v>
      </c>
      <c r="JID11" s="314" t="s">
        <v>203</v>
      </c>
      <c r="JIE11" s="314" t="s">
        <v>203</v>
      </c>
      <c r="JIF11" s="314" t="s">
        <v>203</v>
      </c>
      <c r="JIG11" s="314" t="s">
        <v>203</v>
      </c>
      <c r="JIH11" s="314" t="s">
        <v>203</v>
      </c>
      <c r="JII11" s="314" t="s">
        <v>203</v>
      </c>
      <c r="JIJ11" s="314" t="s">
        <v>203</v>
      </c>
      <c r="JIK11" s="314" t="s">
        <v>203</v>
      </c>
      <c r="JIL11" s="314" t="s">
        <v>203</v>
      </c>
      <c r="JIM11" s="314" t="s">
        <v>203</v>
      </c>
      <c r="JIN11" s="314" t="s">
        <v>203</v>
      </c>
      <c r="JIO11" s="314" t="s">
        <v>203</v>
      </c>
      <c r="JIP11" s="314" t="s">
        <v>203</v>
      </c>
      <c r="JIQ11" s="314" t="s">
        <v>203</v>
      </c>
      <c r="JIR11" s="314" t="s">
        <v>203</v>
      </c>
      <c r="JIS11" s="314" t="s">
        <v>203</v>
      </c>
      <c r="JIT11" s="314" t="s">
        <v>203</v>
      </c>
      <c r="JIU11" s="314" t="s">
        <v>203</v>
      </c>
      <c r="JIV11" s="314" t="s">
        <v>203</v>
      </c>
      <c r="JIW11" s="314" t="s">
        <v>203</v>
      </c>
      <c r="JIX11" s="314" t="s">
        <v>203</v>
      </c>
      <c r="JIY11" s="314" t="s">
        <v>203</v>
      </c>
      <c r="JIZ11" s="314" t="s">
        <v>203</v>
      </c>
      <c r="JJA11" s="314" t="s">
        <v>203</v>
      </c>
      <c r="JJB11" s="314" t="s">
        <v>203</v>
      </c>
      <c r="JJC11" s="314" t="s">
        <v>203</v>
      </c>
      <c r="JJD11" s="314" t="s">
        <v>203</v>
      </c>
      <c r="JJE11" s="314" t="s">
        <v>203</v>
      </c>
      <c r="JJF11" s="314" t="s">
        <v>203</v>
      </c>
      <c r="JJG11" s="314" t="s">
        <v>203</v>
      </c>
      <c r="JJH11" s="314" t="s">
        <v>203</v>
      </c>
      <c r="JJI11" s="314" t="s">
        <v>203</v>
      </c>
      <c r="JJJ11" s="314" t="s">
        <v>203</v>
      </c>
      <c r="JJK11" s="314" t="s">
        <v>203</v>
      </c>
      <c r="JJL11" s="314" t="s">
        <v>203</v>
      </c>
      <c r="JJM11" s="314" t="s">
        <v>203</v>
      </c>
      <c r="JJN11" s="314" t="s">
        <v>203</v>
      </c>
      <c r="JJO11" s="314" t="s">
        <v>203</v>
      </c>
      <c r="JJP11" s="314" t="s">
        <v>203</v>
      </c>
      <c r="JJQ11" s="314" t="s">
        <v>203</v>
      </c>
      <c r="JJR11" s="314" t="s">
        <v>203</v>
      </c>
      <c r="JJS11" s="314" t="s">
        <v>203</v>
      </c>
      <c r="JJT11" s="314" t="s">
        <v>203</v>
      </c>
      <c r="JJU11" s="314" t="s">
        <v>203</v>
      </c>
      <c r="JJV11" s="314" t="s">
        <v>203</v>
      </c>
      <c r="JJW11" s="314" t="s">
        <v>203</v>
      </c>
      <c r="JJX11" s="314" t="s">
        <v>203</v>
      </c>
      <c r="JJY11" s="314" t="s">
        <v>203</v>
      </c>
      <c r="JJZ11" s="314" t="s">
        <v>203</v>
      </c>
      <c r="JKA11" s="314" t="s">
        <v>203</v>
      </c>
      <c r="JKB11" s="314" t="s">
        <v>203</v>
      </c>
      <c r="JKC11" s="314" t="s">
        <v>203</v>
      </c>
      <c r="JKD11" s="314" t="s">
        <v>203</v>
      </c>
      <c r="JKE11" s="314" t="s">
        <v>203</v>
      </c>
      <c r="JKF11" s="314" t="s">
        <v>203</v>
      </c>
      <c r="JKG11" s="314" t="s">
        <v>203</v>
      </c>
      <c r="JKH11" s="314" t="s">
        <v>203</v>
      </c>
      <c r="JKI11" s="314" t="s">
        <v>203</v>
      </c>
      <c r="JKJ11" s="314" t="s">
        <v>203</v>
      </c>
      <c r="JKK11" s="314" t="s">
        <v>203</v>
      </c>
      <c r="JKL11" s="314" t="s">
        <v>203</v>
      </c>
      <c r="JKM11" s="314" t="s">
        <v>203</v>
      </c>
      <c r="JKN11" s="314" t="s">
        <v>203</v>
      </c>
      <c r="JKO11" s="314" t="s">
        <v>203</v>
      </c>
      <c r="JKP11" s="314" t="s">
        <v>203</v>
      </c>
      <c r="JKQ11" s="314" t="s">
        <v>203</v>
      </c>
      <c r="JKR11" s="314" t="s">
        <v>203</v>
      </c>
      <c r="JKS11" s="314" t="s">
        <v>203</v>
      </c>
      <c r="JKT11" s="314" t="s">
        <v>203</v>
      </c>
      <c r="JKU11" s="314" t="s">
        <v>203</v>
      </c>
      <c r="JKV11" s="314" t="s">
        <v>203</v>
      </c>
      <c r="JKW11" s="314" t="s">
        <v>203</v>
      </c>
      <c r="JKX11" s="314" t="s">
        <v>203</v>
      </c>
      <c r="JKY11" s="314" t="s">
        <v>203</v>
      </c>
      <c r="JKZ11" s="314" t="s">
        <v>203</v>
      </c>
      <c r="JLA11" s="314" t="s">
        <v>203</v>
      </c>
      <c r="JLB11" s="314" t="s">
        <v>203</v>
      </c>
      <c r="JLC11" s="314" t="s">
        <v>203</v>
      </c>
      <c r="JLD11" s="314" t="s">
        <v>203</v>
      </c>
      <c r="JLE11" s="314" t="s">
        <v>203</v>
      </c>
      <c r="JLF11" s="314" t="s">
        <v>203</v>
      </c>
      <c r="JLG11" s="314" t="s">
        <v>203</v>
      </c>
      <c r="JLH11" s="314" t="s">
        <v>203</v>
      </c>
      <c r="JLI11" s="314" t="s">
        <v>203</v>
      </c>
      <c r="JLJ11" s="314" t="s">
        <v>203</v>
      </c>
      <c r="JLK11" s="314" t="s">
        <v>203</v>
      </c>
      <c r="JLL11" s="314" t="s">
        <v>203</v>
      </c>
      <c r="JLM11" s="314" t="s">
        <v>203</v>
      </c>
      <c r="JLN11" s="314" t="s">
        <v>203</v>
      </c>
      <c r="JLO11" s="314" t="s">
        <v>203</v>
      </c>
      <c r="JLP11" s="314" t="s">
        <v>203</v>
      </c>
      <c r="JLQ11" s="314" t="s">
        <v>203</v>
      </c>
      <c r="JLR11" s="314" t="s">
        <v>203</v>
      </c>
      <c r="JLS11" s="314" t="s">
        <v>203</v>
      </c>
      <c r="JLT11" s="314" t="s">
        <v>203</v>
      </c>
      <c r="JLU11" s="314" t="s">
        <v>203</v>
      </c>
      <c r="JLV11" s="314" t="s">
        <v>203</v>
      </c>
      <c r="JLW11" s="314" t="s">
        <v>203</v>
      </c>
      <c r="JLX11" s="314" t="s">
        <v>203</v>
      </c>
      <c r="JLY11" s="314" t="s">
        <v>203</v>
      </c>
      <c r="JLZ11" s="314" t="s">
        <v>203</v>
      </c>
      <c r="JMA11" s="314" t="s">
        <v>203</v>
      </c>
      <c r="JMB11" s="314" t="s">
        <v>203</v>
      </c>
      <c r="JMC11" s="314" t="s">
        <v>203</v>
      </c>
      <c r="JMD11" s="314" t="s">
        <v>203</v>
      </c>
      <c r="JME11" s="314" t="s">
        <v>203</v>
      </c>
      <c r="JMF11" s="314" t="s">
        <v>203</v>
      </c>
      <c r="JMG11" s="314" t="s">
        <v>203</v>
      </c>
      <c r="JMH11" s="314" t="s">
        <v>203</v>
      </c>
      <c r="JMI11" s="314" t="s">
        <v>203</v>
      </c>
      <c r="JMJ11" s="314" t="s">
        <v>203</v>
      </c>
      <c r="JMK11" s="314" t="s">
        <v>203</v>
      </c>
      <c r="JML11" s="314" t="s">
        <v>203</v>
      </c>
      <c r="JMM11" s="314" t="s">
        <v>203</v>
      </c>
      <c r="JMN11" s="314" t="s">
        <v>203</v>
      </c>
      <c r="JMO11" s="314" t="s">
        <v>203</v>
      </c>
      <c r="JMP11" s="314" t="s">
        <v>203</v>
      </c>
      <c r="JMQ11" s="314" t="s">
        <v>203</v>
      </c>
      <c r="JMR11" s="314" t="s">
        <v>203</v>
      </c>
      <c r="JMS11" s="314" t="s">
        <v>203</v>
      </c>
      <c r="JMT11" s="314" t="s">
        <v>203</v>
      </c>
      <c r="JMU11" s="314" t="s">
        <v>203</v>
      </c>
      <c r="JMV11" s="314" t="s">
        <v>203</v>
      </c>
      <c r="JMW11" s="314" t="s">
        <v>203</v>
      </c>
      <c r="JMX11" s="314" t="s">
        <v>203</v>
      </c>
      <c r="JMY11" s="314" t="s">
        <v>203</v>
      </c>
      <c r="JMZ11" s="314" t="s">
        <v>203</v>
      </c>
      <c r="JNA11" s="314" t="s">
        <v>203</v>
      </c>
      <c r="JNB11" s="314" t="s">
        <v>203</v>
      </c>
      <c r="JNC11" s="314" t="s">
        <v>203</v>
      </c>
      <c r="JND11" s="314" t="s">
        <v>203</v>
      </c>
      <c r="JNE11" s="314" t="s">
        <v>203</v>
      </c>
      <c r="JNF11" s="314" t="s">
        <v>203</v>
      </c>
      <c r="JNG11" s="314" t="s">
        <v>203</v>
      </c>
      <c r="JNH11" s="314" t="s">
        <v>203</v>
      </c>
      <c r="JNI11" s="314" t="s">
        <v>203</v>
      </c>
      <c r="JNJ11" s="314" t="s">
        <v>203</v>
      </c>
      <c r="JNK11" s="314" t="s">
        <v>203</v>
      </c>
      <c r="JNL11" s="314" t="s">
        <v>203</v>
      </c>
      <c r="JNM11" s="314" t="s">
        <v>203</v>
      </c>
      <c r="JNN11" s="314" t="s">
        <v>203</v>
      </c>
      <c r="JNO11" s="314" t="s">
        <v>203</v>
      </c>
      <c r="JNP11" s="314" t="s">
        <v>203</v>
      </c>
      <c r="JNQ11" s="314" t="s">
        <v>203</v>
      </c>
      <c r="JNR11" s="314" t="s">
        <v>203</v>
      </c>
      <c r="JNS11" s="314" t="s">
        <v>203</v>
      </c>
      <c r="JNT11" s="314" t="s">
        <v>203</v>
      </c>
      <c r="JNU11" s="314" t="s">
        <v>203</v>
      </c>
      <c r="JNV11" s="314" t="s">
        <v>203</v>
      </c>
      <c r="JNW11" s="314" t="s">
        <v>203</v>
      </c>
      <c r="JNX11" s="314" t="s">
        <v>203</v>
      </c>
      <c r="JNY11" s="314" t="s">
        <v>203</v>
      </c>
      <c r="JNZ11" s="314" t="s">
        <v>203</v>
      </c>
      <c r="JOA11" s="314" t="s">
        <v>203</v>
      </c>
      <c r="JOB11" s="314" t="s">
        <v>203</v>
      </c>
      <c r="JOC11" s="314" t="s">
        <v>203</v>
      </c>
      <c r="JOD11" s="314" t="s">
        <v>203</v>
      </c>
      <c r="JOE11" s="314" t="s">
        <v>203</v>
      </c>
      <c r="JOF11" s="314" t="s">
        <v>203</v>
      </c>
      <c r="JOG11" s="314" t="s">
        <v>203</v>
      </c>
      <c r="JOH11" s="314" t="s">
        <v>203</v>
      </c>
      <c r="JOI11" s="314" t="s">
        <v>203</v>
      </c>
      <c r="JOJ11" s="314" t="s">
        <v>203</v>
      </c>
      <c r="JOK11" s="314" t="s">
        <v>203</v>
      </c>
      <c r="JOL11" s="314" t="s">
        <v>203</v>
      </c>
      <c r="JOM11" s="314" t="s">
        <v>203</v>
      </c>
      <c r="JON11" s="314" t="s">
        <v>203</v>
      </c>
      <c r="JOO11" s="314" t="s">
        <v>203</v>
      </c>
      <c r="JOP11" s="314" t="s">
        <v>203</v>
      </c>
      <c r="JOQ11" s="314" t="s">
        <v>203</v>
      </c>
      <c r="JOR11" s="314" t="s">
        <v>203</v>
      </c>
      <c r="JOS11" s="314" t="s">
        <v>203</v>
      </c>
      <c r="JOT11" s="314" t="s">
        <v>203</v>
      </c>
      <c r="JOU11" s="314" t="s">
        <v>203</v>
      </c>
      <c r="JOV11" s="314" t="s">
        <v>203</v>
      </c>
      <c r="JOW11" s="314" t="s">
        <v>203</v>
      </c>
      <c r="JOX11" s="314" t="s">
        <v>203</v>
      </c>
      <c r="JOY11" s="314" t="s">
        <v>203</v>
      </c>
      <c r="JOZ11" s="314" t="s">
        <v>203</v>
      </c>
      <c r="JPA11" s="314" t="s">
        <v>203</v>
      </c>
      <c r="JPB11" s="314" t="s">
        <v>203</v>
      </c>
      <c r="JPC11" s="314" t="s">
        <v>203</v>
      </c>
      <c r="JPD11" s="314" t="s">
        <v>203</v>
      </c>
      <c r="JPE11" s="314" t="s">
        <v>203</v>
      </c>
      <c r="JPF11" s="314" t="s">
        <v>203</v>
      </c>
      <c r="JPG11" s="314" t="s">
        <v>203</v>
      </c>
      <c r="JPH11" s="314" t="s">
        <v>203</v>
      </c>
      <c r="JPI11" s="314" t="s">
        <v>203</v>
      </c>
      <c r="JPJ11" s="314" t="s">
        <v>203</v>
      </c>
      <c r="JPK11" s="314" t="s">
        <v>203</v>
      </c>
      <c r="JPL11" s="314" t="s">
        <v>203</v>
      </c>
      <c r="JPM11" s="314" t="s">
        <v>203</v>
      </c>
      <c r="JPN11" s="314" t="s">
        <v>203</v>
      </c>
      <c r="JPO11" s="314" t="s">
        <v>203</v>
      </c>
      <c r="JPP11" s="314" t="s">
        <v>203</v>
      </c>
      <c r="JPQ11" s="314" t="s">
        <v>203</v>
      </c>
      <c r="JPR11" s="314" t="s">
        <v>203</v>
      </c>
      <c r="JPS11" s="314" t="s">
        <v>203</v>
      </c>
      <c r="JPT11" s="314" t="s">
        <v>203</v>
      </c>
      <c r="JPU11" s="314" t="s">
        <v>203</v>
      </c>
      <c r="JPV11" s="314" t="s">
        <v>203</v>
      </c>
      <c r="JPW11" s="314" t="s">
        <v>203</v>
      </c>
      <c r="JPX11" s="314" t="s">
        <v>203</v>
      </c>
      <c r="JPY11" s="314" t="s">
        <v>203</v>
      </c>
      <c r="JPZ11" s="314" t="s">
        <v>203</v>
      </c>
      <c r="JQA11" s="314" t="s">
        <v>203</v>
      </c>
      <c r="JQB11" s="314" t="s">
        <v>203</v>
      </c>
      <c r="JQC11" s="314" t="s">
        <v>203</v>
      </c>
      <c r="JQD11" s="314" t="s">
        <v>203</v>
      </c>
      <c r="JQE11" s="314" t="s">
        <v>203</v>
      </c>
      <c r="JQF11" s="314" t="s">
        <v>203</v>
      </c>
      <c r="JQG11" s="314" t="s">
        <v>203</v>
      </c>
      <c r="JQH11" s="314" t="s">
        <v>203</v>
      </c>
      <c r="JQI11" s="314" t="s">
        <v>203</v>
      </c>
      <c r="JQJ11" s="314" t="s">
        <v>203</v>
      </c>
      <c r="JQK11" s="314" t="s">
        <v>203</v>
      </c>
      <c r="JQL11" s="314" t="s">
        <v>203</v>
      </c>
      <c r="JQM11" s="314" t="s">
        <v>203</v>
      </c>
      <c r="JQN11" s="314" t="s">
        <v>203</v>
      </c>
      <c r="JQO11" s="314" t="s">
        <v>203</v>
      </c>
      <c r="JQP11" s="314" t="s">
        <v>203</v>
      </c>
      <c r="JQQ11" s="314" t="s">
        <v>203</v>
      </c>
      <c r="JQR11" s="314" t="s">
        <v>203</v>
      </c>
      <c r="JQS11" s="314" t="s">
        <v>203</v>
      </c>
      <c r="JQT11" s="314" t="s">
        <v>203</v>
      </c>
      <c r="JQU11" s="314" t="s">
        <v>203</v>
      </c>
      <c r="JQV11" s="314" t="s">
        <v>203</v>
      </c>
      <c r="JQW11" s="314" t="s">
        <v>203</v>
      </c>
      <c r="JQX11" s="314" t="s">
        <v>203</v>
      </c>
      <c r="JQY11" s="314" t="s">
        <v>203</v>
      </c>
      <c r="JQZ11" s="314" t="s">
        <v>203</v>
      </c>
      <c r="JRA11" s="314" t="s">
        <v>203</v>
      </c>
      <c r="JRB11" s="314" t="s">
        <v>203</v>
      </c>
      <c r="JRC11" s="314" t="s">
        <v>203</v>
      </c>
      <c r="JRD11" s="314" t="s">
        <v>203</v>
      </c>
      <c r="JRE11" s="314" t="s">
        <v>203</v>
      </c>
      <c r="JRF11" s="314" t="s">
        <v>203</v>
      </c>
      <c r="JRG11" s="314" t="s">
        <v>203</v>
      </c>
      <c r="JRH11" s="314" t="s">
        <v>203</v>
      </c>
      <c r="JRI11" s="314" t="s">
        <v>203</v>
      </c>
      <c r="JRJ11" s="314" t="s">
        <v>203</v>
      </c>
      <c r="JRK11" s="314" t="s">
        <v>203</v>
      </c>
      <c r="JRL11" s="314" t="s">
        <v>203</v>
      </c>
      <c r="JRM11" s="314" t="s">
        <v>203</v>
      </c>
      <c r="JRN11" s="314" t="s">
        <v>203</v>
      </c>
      <c r="JRO11" s="314" t="s">
        <v>203</v>
      </c>
      <c r="JRP11" s="314" t="s">
        <v>203</v>
      </c>
      <c r="JRQ11" s="314" t="s">
        <v>203</v>
      </c>
      <c r="JRR11" s="314" t="s">
        <v>203</v>
      </c>
      <c r="JRS11" s="314" t="s">
        <v>203</v>
      </c>
      <c r="JRT11" s="314" t="s">
        <v>203</v>
      </c>
      <c r="JRU11" s="314" t="s">
        <v>203</v>
      </c>
      <c r="JRV11" s="314" t="s">
        <v>203</v>
      </c>
      <c r="JRW11" s="314" t="s">
        <v>203</v>
      </c>
      <c r="JRX11" s="314" t="s">
        <v>203</v>
      </c>
      <c r="JRY11" s="314" t="s">
        <v>203</v>
      </c>
      <c r="JRZ11" s="314" t="s">
        <v>203</v>
      </c>
      <c r="JSA11" s="314" t="s">
        <v>203</v>
      </c>
      <c r="JSB11" s="314" t="s">
        <v>203</v>
      </c>
      <c r="JSC11" s="314" t="s">
        <v>203</v>
      </c>
      <c r="JSD11" s="314" t="s">
        <v>203</v>
      </c>
      <c r="JSE11" s="314" t="s">
        <v>203</v>
      </c>
      <c r="JSF11" s="314" t="s">
        <v>203</v>
      </c>
      <c r="JSG11" s="314" t="s">
        <v>203</v>
      </c>
      <c r="JSH11" s="314" t="s">
        <v>203</v>
      </c>
      <c r="JSI11" s="314" t="s">
        <v>203</v>
      </c>
      <c r="JSJ11" s="314" t="s">
        <v>203</v>
      </c>
      <c r="JSK11" s="314" t="s">
        <v>203</v>
      </c>
      <c r="JSL11" s="314" t="s">
        <v>203</v>
      </c>
      <c r="JSM11" s="314" t="s">
        <v>203</v>
      </c>
      <c r="JSN11" s="314" t="s">
        <v>203</v>
      </c>
      <c r="JSO11" s="314" t="s">
        <v>203</v>
      </c>
      <c r="JSP11" s="314" t="s">
        <v>203</v>
      </c>
      <c r="JSQ11" s="314" t="s">
        <v>203</v>
      </c>
      <c r="JSR11" s="314" t="s">
        <v>203</v>
      </c>
      <c r="JSS11" s="314" t="s">
        <v>203</v>
      </c>
      <c r="JST11" s="314" t="s">
        <v>203</v>
      </c>
      <c r="JSU11" s="314" t="s">
        <v>203</v>
      </c>
      <c r="JSV11" s="314" t="s">
        <v>203</v>
      </c>
      <c r="JSW11" s="314" t="s">
        <v>203</v>
      </c>
      <c r="JSX11" s="314" t="s">
        <v>203</v>
      </c>
      <c r="JSY11" s="314" t="s">
        <v>203</v>
      </c>
      <c r="JSZ11" s="314" t="s">
        <v>203</v>
      </c>
      <c r="JTA11" s="314" t="s">
        <v>203</v>
      </c>
      <c r="JTB11" s="314" t="s">
        <v>203</v>
      </c>
      <c r="JTC11" s="314" t="s">
        <v>203</v>
      </c>
      <c r="JTD11" s="314" t="s">
        <v>203</v>
      </c>
      <c r="JTE11" s="314" t="s">
        <v>203</v>
      </c>
      <c r="JTF11" s="314" t="s">
        <v>203</v>
      </c>
      <c r="JTG11" s="314" t="s">
        <v>203</v>
      </c>
      <c r="JTH11" s="314" t="s">
        <v>203</v>
      </c>
      <c r="JTI11" s="314" t="s">
        <v>203</v>
      </c>
      <c r="JTJ11" s="314" t="s">
        <v>203</v>
      </c>
      <c r="JTK11" s="314" t="s">
        <v>203</v>
      </c>
      <c r="JTL11" s="314" t="s">
        <v>203</v>
      </c>
      <c r="JTM11" s="314" t="s">
        <v>203</v>
      </c>
      <c r="JTN11" s="314" t="s">
        <v>203</v>
      </c>
      <c r="JTO11" s="314" t="s">
        <v>203</v>
      </c>
      <c r="JTP11" s="314" t="s">
        <v>203</v>
      </c>
      <c r="JTQ11" s="314" t="s">
        <v>203</v>
      </c>
      <c r="JTR11" s="314" t="s">
        <v>203</v>
      </c>
      <c r="JTS11" s="314" t="s">
        <v>203</v>
      </c>
      <c r="JTT11" s="314" t="s">
        <v>203</v>
      </c>
      <c r="JTU11" s="314" t="s">
        <v>203</v>
      </c>
      <c r="JTV11" s="314" t="s">
        <v>203</v>
      </c>
      <c r="JTW11" s="314" t="s">
        <v>203</v>
      </c>
      <c r="JTX11" s="314" t="s">
        <v>203</v>
      </c>
      <c r="JTY11" s="314" t="s">
        <v>203</v>
      </c>
      <c r="JTZ11" s="314" t="s">
        <v>203</v>
      </c>
      <c r="JUA11" s="314" t="s">
        <v>203</v>
      </c>
      <c r="JUB11" s="314" t="s">
        <v>203</v>
      </c>
      <c r="JUC11" s="314" t="s">
        <v>203</v>
      </c>
      <c r="JUD11" s="314" t="s">
        <v>203</v>
      </c>
      <c r="JUE11" s="314" t="s">
        <v>203</v>
      </c>
      <c r="JUF11" s="314" t="s">
        <v>203</v>
      </c>
      <c r="JUG11" s="314" t="s">
        <v>203</v>
      </c>
      <c r="JUH11" s="314" t="s">
        <v>203</v>
      </c>
      <c r="JUI11" s="314" t="s">
        <v>203</v>
      </c>
      <c r="JUJ11" s="314" t="s">
        <v>203</v>
      </c>
      <c r="JUK11" s="314" t="s">
        <v>203</v>
      </c>
      <c r="JUL11" s="314" t="s">
        <v>203</v>
      </c>
      <c r="JUM11" s="314" t="s">
        <v>203</v>
      </c>
      <c r="JUN11" s="314" t="s">
        <v>203</v>
      </c>
      <c r="JUO11" s="314" t="s">
        <v>203</v>
      </c>
      <c r="JUP11" s="314" t="s">
        <v>203</v>
      </c>
      <c r="JUQ11" s="314" t="s">
        <v>203</v>
      </c>
      <c r="JUR11" s="314" t="s">
        <v>203</v>
      </c>
      <c r="JUS11" s="314" t="s">
        <v>203</v>
      </c>
      <c r="JUT11" s="314" t="s">
        <v>203</v>
      </c>
      <c r="JUU11" s="314" t="s">
        <v>203</v>
      </c>
      <c r="JUV11" s="314" t="s">
        <v>203</v>
      </c>
      <c r="JUW11" s="314" t="s">
        <v>203</v>
      </c>
      <c r="JUX11" s="314" t="s">
        <v>203</v>
      </c>
      <c r="JUY11" s="314" t="s">
        <v>203</v>
      </c>
      <c r="JUZ11" s="314" t="s">
        <v>203</v>
      </c>
      <c r="JVA11" s="314" t="s">
        <v>203</v>
      </c>
      <c r="JVB11" s="314" t="s">
        <v>203</v>
      </c>
      <c r="JVC11" s="314" t="s">
        <v>203</v>
      </c>
      <c r="JVD11" s="314" t="s">
        <v>203</v>
      </c>
      <c r="JVE11" s="314" t="s">
        <v>203</v>
      </c>
      <c r="JVF11" s="314" t="s">
        <v>203</v>
      </c>
      <c r="JVG11" s="314" t="s">
        <v>203</v>
      </c>
      <c r="JVH11" s="314" t="s">
        <v>203</v>
      </c>
      <c r="JVI11" s="314" t="s">
        <v>203</v>
      </c>
      <c r="JVJ11" s="314" t="s">
        <v>203</v>
      </c>
      <c r="JVK11" s="314" t="s">
        <v>203</v>
      </c>
      <c r="JVL11" s="314" t="s">
        <v>203</v>
      </c>
      <c r="JVM11" s="314" t="s">
        <v>203</v>
      </c>
      <c r="JVN11" s="314" t="s">
        <v>203</v>
      </c>
      <c r="JVO11" s="314" t="s">
        <v>203</v>
      </c>
      <c r="JVP11" s="314" t="s">
        <v>203</v>
      </c>
      <c r="JVQ11" s="314" t="s">
        <v>203</v>
      </c>
      <c r="JVR11" s="314" t="s">
        <v>203</v>
      </c>
      <c r="JVS11" s="314" t="s">
        <v>203</v>
      </c>
      <c r="JVT11" s="314" t="s">
        <v>203</v>
      </c>
      <c r="JVU11" s="314" t="s">
        <v>203</v>
      </c>
      <c r="JVV11" s="314" t="s">
        <v>203</v>
      </c>
      <c r="JVW11" s="314" t="s">
        <v>203</v>
      </c>
      <c r="JVX11" s="314" t="s">
        <v>203</v>
      </c>
      <c r="JVY11" s="314" t="s">
        <v>203</v>
      </c>
      <c r="JVZ11" s="314" t="s">
        <v>203</v>
      </c>
      <c r="JWA11" s="314" t="s">
        <v>203</v>
      </c>
      <c r="JWB11" s="314" t="s">
        <v>203</v>
      </c>
      <c r="JWC11" s="314" t="s">
        <v>203</v>
      </c>
      <c r="JWD11" s="314" t="s">
        <v>203</v>
      </c>
      <c r="JWE11" s="314" t="s">
        <v>203</v>
      </c>
      <c r="JWF11" s="314" t="s">
        <v>203</v>
      </c>
      <c r="JWG11" s="314" t="s">
        <v>203</v>
      </c>
      <c r="JWH11" s="314" t="s">
        <v>203</v>
      </c>
      <c r="JWI11" s="314" t="s">
        <v>203</v>
      </c>
      <c r="JWJ11" s="314" t="s">
        <v>203</v>
      </c>
      <c r="JWK11" s="314" t="s">
        <v>203</v>
      </c>
      <c r="JWL11" s="314" t="s">
        <v>203</v>
      </c>
      <c r="JWM11" s="314" t="s">
        <v>203</v>
      </c>
      <c r="JWN11" s="314" t="s">
        <v>203</v>
      </c>
      <c r="JWO11" s="314" t="s">
        <v>203</v>
      </c>
      <c r="JWP11" s="314" t="s">
        <v>203</v>
      </c>
      <c r="JWQ11" s="314" t="s">
        <v>203</v>
      </c>
      <c r="JWR11" s="314" t="s">
        <v>203</v>
      </c>
      <c r="JWS11" s="314" t="s">
        <v>203</v>
      </c>
      <c r="JWT11" s="314" t="s">
        <v>203</v>
      </c>
      <c r="JWU11" s="314" t="s">
        <v>203</v>
      </c>
      <c r="JWV11" s="314" t="s">
        <v>203</v>
      </c>
      <c r="JWW11" s="314" t="s">
        <v>203</v>
      </c>
      <c r="JWX11" s="314" t="s">
        <v>203</v>
      </c>
      <c r="JWY11" s="314" t="s">
        <v>203</v>
      </c>
      <c r="JWZ11" s="314" t="s">
        <v>203</v>
      </c>
      <c r="JXA11" s="314" t="s">
        <v>203</v>
      </c>
      <c r="JXB11" s="314" t="s">
        <v>203</v>
      </c>
      <c r="JXC11" s="314" t="s">
        <v>203</v>
      </c>
      <c r="JXD11" s="314" t="s">
        <v>203</v>
      </c>
      <c r="JXE11" s="314" t="s">
        <v>203</v>
      </c>
      <c r="JXF11" s="314" t="s">
        <v>203</v>
      </c>
      <c r="JXG11" s="314" t="s">
        <v>203</v>
      </c>
      <c r="JXH11" s="314" t="s">
        <v>203</v>
      </c>
      <c r="JXI11" s="314" t="s">
        <v>203</v>
      </c>
      <c r="JXJ11" s="314" t="s">
        <v>203</v>
      </c>
      <c r="JXK11" s="314" t="s">
        <v>203</v>
      </c>
      <c r="JXL11" s="314" t="s">
        <v>203</v>
      </c>
      <c r="JXM11" s="314" t="s">
        <v>203</v>
      </c>
      <c r="JXN11" s="314" t="s">
        <v>203</v>
      </c>
      <c r="JXO11" s="314" t="s">
        <v>203</v>
      </c>
      <c r="JXP11" s="314" t="s">
        <v>203</v>
      </c>
      <c r="JXQ11" s="314" t="s">
        <v>203</v>
      </c>
      <c r="JXR11" s="314" t="s">
        <v>203</v>
      </c>
      <c r="JXS11" s="314" t="s">
        <v>203</v>
      </c>
      <c r="JXT11" s="314" t="s">
        <v>203</v>
      </c>
      <c r="JXU11" s="314" t="s">
        <v>203</v>
      </c>
      <c r="JXV11" s="314" t="s">
        <v>203</v>
      </c>
      <c r="JXW11" s="314" t="s">
        <v>203</v>
      </c>
      <c r="JXX11" s="314" t="s">
        <v>203</v>
      </c>
      <c r="JXY11" s="314" t="s">
        <v>203</v>
      </c>
      <c r="JXZ11" s="314" t="s">
        <v>203</v>
      </c>
      <c r="JYA11" s="314" t="s">
        <v>203</v>
      </c>
      <c r="JYB11" s="314" t="s">
        <v>203</v>
      </c>
      <c r="JYC11" s="314" t="s">
        <v>203</v>
      </c>
      <c r="JYD11" s="314" t="s">
        <v>203</v>
      </c>
      <c r="JYE11" s="314" t="s">
        <v>203</v>
      </c>
      <c r="JYF11" s="314" t="s">
        <v>203</v>
      </c>
      <c r="JYG11" s="314" t="s">
        <v>203</v>
      </c>
      <c r="JYH11" s="314" t="s">
        <v>203</v>
      </c>
      <c r="JYI11" s="314" t="s">
        <v>203</v>
      </c>
      <c r="JYJ11" s="314" t="s">
        <v>203</v>
      </c>
      <c r="JYK11" s="314" t="s">
        <v>203</v>
      </c>
      <c r="JYL11" s="314" t="s">
        <v>203</v>
      </c>
      <c r="JYM11" s="314" t="s">
        <v>203</v>
      </c>
      <c r="JYN11" s="314" t="s">
        <v>203</v>
      </c>
      <c r="JYO11" s="314" t="s">
        <v>203</v>
      </c>
      <c r="JYP11" s="314" t="s">
        <v>203</v>
      </c>
      <c r="JYQ11" s="314" t="s">
        <v>203</v>
      </c>
      <c r="JYR11" s="314" t="s">
        <v>203</v>
      </c>
      <c r="JYS11" s="314" t="s">
        <v>203</v>
      </c>
      <c r="JYT11" s="314" t="s">
        <v>203</v>
      </c>
      <c r="JYU11" s="314" t="s">
        <v>203</v>
      </c>
      <c r="JYV11" s="314" t="s">
        <v>203</v>
      </c>
      <c r="JYW11" s="314" t="s">
        <v>203</v>
      </c>
      <c r="JYX11" s="314" t="s">
        <v>203</v>
      </c>
      <c r="JYY11" s="314" t="s">
        <v>203</v>
      </c>
      <c r="JYZ11" s="314" t="s">
        <v>203</v>
      </c>
      <c r="JZA11" s="314" t="s">
        <v>203</v>
      </c>
      <c r="JZB11" s="314" t="s">
        <v>203</v>
      </c>
      <c r="JZC11" s="314" t="s">
        <v>203</v>
      </c>
      <c r="JZD11" s="314" t="s">
        <v>203</v>
      </c>
      <c r="JZE11" s="314" t="s">
        <v>203</v>
      </c>
      <c r="JZF11" s="314" t="s">
        <v>203</v>
      </c>
      <c r="JZG11" s="314" t="s">
        <v>203</v>
      </c>
      <c r="JZH11" s="314" t="s">
        <v>203</v>
      </c>
      <c r="JZI11" s="314" t="s">
        <v>203</v>
      </c>
      <c r="JZJ11" s="314" t="s">
        <v>203</v>
      </c>
      <c r="JZK11" s="314" t="s">
        <v>203</v>
      </c>
      <c r="JZL11" s="314" t="s">
        <v>203</v>
      </c>
      <c r="JZM11" s="314" t="s">
        <v>203</v>
      </c>
      <c r="JZN11" s="314" t="s">
        <v>203</v>
      </c>
      <c r="JZO11" s="314" t="s">
        <v>203</v>
      </c>
      <c r="JZP11" s="314" t="s">
        <v>203</v>
      </c>
      <c r="JZQ11" s="314" t="s">
        <v>203</v>
      </c>
      <c r="JZR11" s="314" t="s">
        <v>203</v>
      </c>
      <c r="JZS11" s="314" t="s">
        <v>203</v>
      </c>
      <c r="JZT11" s="314" t="s">
        <v>203</v>
      </c>
      <c r="JZU11" s="314" t="s">
        <v>203</v>
      </c>
      <c r="JZV11" s="314" t="s">
        <v>203</v>
      </c>
      <c r="JZW11" s="314" t="s">
        <v>203</v>
      </c>
      <c r="JZX11" s="314" t="s">
        <v>203</v>
      </c>
      <c r="JZY11" s="314" t="s">
        <v>203</v>
      </c>
      <c r="JZZ11" s="314" t="s">
        <v>203</v>
      </c>
      <c r="KAA11" s="314" t="s">
        <v>203</v>
      </c>
      <c r="KAB11" s="314" t="s">
        <v>203</v>
      </c>
      <c r="KAC11" s="314" t="s">
        <v>203</v>
      </c>
      <c r="KAD11" s="314" t="s">
        <v>203</v>
      </c>
      <c r="KAE11" s="314" t="s">
        <v>203</v>
      </c>
      <c r="KAF11" s="314" t="s">
        <v>203</v>
      </c>
      <c r="KAG11" s="314" t="s">
        <v>203</v>
      </c>
      <c r="KAH11" s="314" t="s">
        <v>203</v>
      </c>
      <c r="KAI11" s="314" t="s">
        <v>203</v>
      </c>
      <c r="KAJ11" s="314" t="s">
        <v>203</v>
      </c>
      <c r="KAK11" s="314" t="s">
        <v>203</v>
      </c>
      <c r="KAL11" s="314" t="s">
        <v>203</v>
      </c>
      <c r="KAM11" s="314" t="s">
        <v>203</v>
      </c>
      <c r="KAN11" s="314" t="s">
        <v>203</v>
      </c>
      <c r="KAO11" s="314" t="s">
        <v>203</v>
      </c>
      <c r="KAP11" s="314" t="s">
        <v>203</v>
      </c>
      <c r="KAQ11" s="314" t="s">
        <v>203</v>
      </c>
      <c r="KAR11" s="314" t="s">
        <v>203</v>
      </c>
      <c r="KAS11" s="314" t="s">
        <v>203</v>
      </c>
      <c r="KAT11" s="314" t="s">
        <v>203</v>
      </c>
      <c r="KAU11" s="314" t="s">
        <v>203</v>
      </c>
      <c r="KAV11" s="314" t="s">
        <v>203</v>
      </c>
      <c r="KAW11" s="314" t="s">
        <v>203</v>
      </c>
      <c r="KAX11" s="314" t="s">
        <v>203</v>
      </c>
      <c r="KAY11" s="314" t="s">
        <v>203</v>
      </c>
      <c r="KAZ11" s="314" t="s">
        <v>203</v>
      </c>
      <c r="KBA11" s="314" t="s">
        <v>203</v>
      </c>
      <c r="KBB11" s="314" t="s">
        <v>203</v>
      </c>
      <c r="KBC11" s="314" t="s">
        <v>203</v>
      </c>
      <c r="KBD11" s="314" t="s">
        <v>203</v>
      </c>
      <c r="KBE11" s="314" t="s">
        <v>203</v>
      </c>
      <c r="KBF11" s="314" t="s">
        <v>203</v>
      </c>
      <c r="KBG11" s="314" t="s">
        <v>203</v>
      </c>
      <c r="KBH11" s="314" t="s">
        <v>203</v>
      </c>
      <c r="KBI11" s="314" t="s">
        <v>203</v>
      </c>
      <c r="KBJ11" s="314" t="s">
        <v>203</v>
      </c>
      <c r="KBK11" s="314" t="s">
        <v>203</v>
      </c>
      <c r="KBL11" s="314" t="s">
        <v>203</v>
      </c>
      <c r="KBM11" s="314" t="s">
        <v>203</v>
      </c>
      <c r="KBN11" s="314" t="s">
        <v>203</v>
      </c>
      <c r="KBO11" s="314" t="s">
        <v>203</v>
      </c>
      <c r="KBP11" s="314" t="s">
        <v>203</v>
      </c>
      <c r="KBQ11" s="314" t="s">
        <v>203</v>
      </c>
      <c r="KBR11" s="314" t="s">
        <v>203</v>
      </c>
      <c r="KBS11" s="314" t="s">
        <v>203</v>
      </c>
      <c r="KBT11" s="314" t="s">
        <v>203</v>
      </c>
      <c r="KBU11" s="314" t="s">
        <v>203</v>
      </c>
      <c r="KBV11" s="314" t="s">
        <v>203</v>
      </c>
      <c r="KBW11" s="314" t="s">
        <v>203</v>
      </c>
      <c r="KBX11" s="314" t="s">
        <v>203</v>
      </c>
      <c r="KBY11" s="314" t="s">
        <v>203</v>
      </c>
      <c r="KBZ11" s="314" t="s">
        <v>203</v>
      </c>
      <c r="KCA11" s="314" t="s">
        <v>203</v>
      </c>
      <c r="KCB11" s="314" t="s">
        <v>203</v>
      </c>
      <c r="KCC11" s="314" t="s">
        <v>203</v>
      </c>
      <c r="KCD11" s="314" t="s">
        <v>203</v>
      </c>
      <c r="KCE11" s="314" t="s">
        <v>203</v>
      </c>
      <c r="KCF11" s="314" t="s">
        <v>203</v>
      </c>
      <c r="KCG11" s="314" t="s">
        <v>203</v>
      </c>
      <c r="KCH11" s="314" t="s">
        <v>203</v>
      </c>
      <c r="KCI11" s="314" t="s">
        <v>203</v>
      </c>
      <c r="KCJ11" s="314" t="s">
        <v>203</v>
      </c>
      <c r="KCK11" s="314" t="s">
        <v>203</v>
      </c>
      <c r="KCL11" s="314" t="s">
        <v>203</v>
      </c>
      <c r="KCM11" s="314" t="s">
        <v>203</v>
      </c>
      <c r="KCN11" s="314" t="s">
        <v>203</v>
      </c>
      <c r="KCO11" s="314" t="s">
        <v>203</v>
      </c>
      <c r="KCP11" s="314" t="s">
        <v>203</v>
      </c>
      <c r="KCQ11" s="314" t="s">
        <v>203</v>
      </c>
      <c r="KCR11" s="314" t="s">
        <v>203</v>
      </c>
      <c r="KCS11" s="314" t="s">
        <v>203</v>
      </c>
      <c r="KCT11" s="314" t="s">
        <v>203</v>
      </c>
      <c r="KCU11" s="314" t="s">
        <v>203</v>
      </c>
      <c r="KCV11" s="314" t="s">
        <v>203</v>
      </c>
      <c r="KCW11" s="314" t="s">
        <v>203</v>
      </c>
      <c r="KCX11" s="314" t="s">
        <v>203</v>
      </c>
      <c r="KCY11" s="314" t="s">
        <v>203</v>
      </c>
      <c r="KCZ11" s="314" t="s">
        <v>203</v>
      </c>
      <c r="KDA11" s="314" t="s">
        <v>203</v>
      </c>
      <c r="KDB11" s="314" t="s">
        <v>203</v>
      </c>
      <c r="KDC11" s="314" t="s">
        <v>203</v>
      </c>
      <c r="KDD11" s="314" t="s">
        <v>203</v>
      </c>
      <c r="KDE11" s="314" t="s">
        <v>203</v>
      </c>
      <c r="KDF11" s="314" t="s">
        <v>203</v>
      </c>
      <c r="KDG11" s="314" t="s">
        <v>203</v>
      </c>
      <c r="KDH11" s="314" t="s">
        <v>203</v>
      </c>
      <c r="KDI11" s="314" t="s">
        <v>203</v>
      </c>
      <c r="KDJ11" s="314" t="s">
        <v>203</v>
      </c>
      <c r="KDK11" s="314" t="s">
        <v>203</v>
      </c>
      <c r="KDL11" s="314" t="s">
        <v>203</v>
      </c>
      <c r="KDM11" s="314" t="s">
        <v>203</v>
      </c>
      <c r="KDN11" s="314" t="s">
        <v>203</v>
      </c>
      <c r="KDO11" s="314" t="s">
        <v>203</v>
      </c>
      <c r="KDP11" s="314" t="s">
        <v>203</v>
      </c>
      <c r="KDQ11" s="314" t="s">
        <v>203</v>
      </c>
      <c r="KDR11" s="314" t="s">
        <v>203</v>
      </c>
      <c r="KDS11" s="314" t="s">
        <v>203</v>
      </c>
      <c r="KDT11" s="314" t="s">
        <v>203</v>
      </c>
      <c r="KDU11" s="314" t="s">
        <v>203</v>
      </c>
      <c r="KDV11" s="314" t="s">
        <v>203</v>
      </c>
      <c r="KDW11" s="314" t="s">
        <v>203</v>
      </c>
      <c r="KDX11" s="314" t="s">
        <v>203</v>
      </c>
      <c r="KDY11" s="314" t="s">
        <v>203</v>
      </c>
      <c r="KDZ11" s="314" t="s">
        <v>203</v>
      </c>
      <c r="KEA11" s="314" t="s">
        <v>203</v>
      </c>
      <c r="KEB11" s="314" t="s">
        <v>203</v>
      </c>
      <c r="KEC11" s="314" t="s">
        <v>203</v>
      </c>
      <c r="KED11" s="314" t="s">
        <v>203</v>
      </c>
      <c r="KEE11" s="314" t="s">
        <v>203</v>
      </c>
      <c r="KEF11" s="314" t="s">
        <v>203</v>
      </c>
      <c r="KEG11" s="314" t="s">
        <v>203</v>
      </c>
      <c r="KEH11" s="314" t="s">
        <v>203</v>
      </c>
      <c r="KEI11" s="314" t="s">
        <v>203</v>
      </c>
      <c r="KEJ11" s="314" t="s">
        <v>203</v>
      </c>
      <c r="KEK11" s="314" t="s">
        <v>203</v>
      </c>
      <c r="KEL11" s="314" t="s">
        <v>203</v>
      </c>
      <c r="KEM11" s="314" t="s">
        <v>203</v>
      </c>
      <c r="KEN11" s="314" t="s">
        <v>203</v>
      </c>
      <c r="KEO11" s="314" t="s">
        <v>203</v>
      </c>
      <c r="KEP11" s="314" t="s">
        <v>203</v>
      </c>
      <c r="KEQ11" s="314" t="s">
        <v>203</v>
      </c>
      <c r="KER11" s="314" t="s">
        <v>203</v>
      </c>
      <c r="KES11" s="314" t="s">
        <v>203</v>
      </c>
      <c r="KET11" s="314" t="s">
        <v>203</v>
      </c>
      <c r="KEU11" s="314" t="s">
        <v>203</v>
      </c>
      <c r="KEV11" s="314" t="s">
        <v>203</v>
      </c>
      <c r="KEW11" s="314" t="s">
        <v>203</v>
      </c>
      <c r="KEX11" s="314" t="s">
        <v>203</v>
      </c>
      <c r="KEY11" s="314" t="s">
        <v>203</v>
      </c>
      <c r="KEZ11" s="314" t="s">
        <v>203</v>
      </c>
      <c r="KFA11" s="314" t="s">
        <v>203</v>
      </c>
      <c r="KFB11" s="314" t="s">
        <v>203</v>
      </c>
      <c r="KFC11" s="314" t="s">
        <v>203</v>
      </c>
      <c r="KFD11" s="314" t="s">
        <v>203</v>
      </c>
      <c r="KFE11" s="314" t="s">
        <v>203</v>
      </c>
      <c r="KFF11" s="314" t="s">
        <v>203</v>
      </c>
      <c r="KFG11" s="314" t="s">
        <v>203</v>
      </c>
      <c r="KFH11" s="314" t="s">
        <v>203</v>
      </c>
      <c r="KFI11" s="314" t="s">
        <v>203</v>
      </c>
      <c r="KFJ11" s="314" t="s">
        <v>203</v>
      </c>
      <c r="KFK11" s="314" t="s">
        <v>203</v>
      </c>
      <c r="KFL11" s="314" t="s">
        <v>203</v>
      </c>
      <c r="KFM11" s="314" t="s">
        <v>203</v>
      </c>
      <c r="KFN11" s="314" t="s">
        <v>203</v>
      </c>
      <c r="KFO11" s="314" t="s">
        <v>203</v>
      </c>
      <c r="KFP11" s="314" t="s">
        <v>203</v>
      </c>
      <c r="KFQ11" s="314" t="s">
        <v>203</v>
      </c>
      <c r="KFR11" s="314" t="s">
        <v>203</v>
      </c>
      <c r="KFS11" s="314" t="s">
        <v>203</v>
      </c>
      <c r="KFT11" s="314" t="s">
        <v>203</v>
      </c>
      <c r="KFU11" s="314" t="s">
        <v>203</v>
      </c>
      <c r="KFV11" s="314" t="s">
        <v>203</v>
      </c>
      <c r="KFW11" s="314" t="s">
        <v>203</v>
      </c>
      <c r="KFX11" s="314" t="s">
        <v>203</v>
      </c>
      <c r="KFY11" s="314" t="s">
        <v>203</v>
      </c>
      <c r="KFZ11" s="314" t="s">
        <v>203</v>
      </c>
      <c r="KGA11" s="314" t="s">
        <v>203</v>
      </c>
      <c r="KGB11" s="314" t="s">
        <v>203</v>
      </c>
      <c r="KGC11" s="314" t="s">
        <v>203</v>
      </c>
      <c r="KGD11" s="314" t="s">
        <v>203</v>
      </c>
      <c r="KGE11" s="314" t="s">
        <v>203</v>
      </c>
      <c r="KGF11" s="314" t="s">
        <v>203</v>
      </c>
      <c r="KGG11" s="314" t="s">
        <v>203</v>
      </c>
      <c r="KGH11" s="314" t="s">
        <v>203</v>
      </c>
      <c r="KGI11" s="314" t="s">
        <v>203</v>
      </c>
      <c r="KGJ11" s="314" t="s">
        <v>203</v>
      </c>
      <c r="KGK11" s="314" t="s">
        <v>203</v>
      </c>
      <c r="KGL11" s="314" t="s">
        <v>203</v>
      </c>
      <c r="KGM11" s="314" t="s">
        <v>203</v>
      </c>
      <c r="KGN11" s="314" t="s">
        <v>203</v>
      </c>
      <c r="KGO11" s="314" t="s">
        <v>203</v>
      </c>
      <c r="KGP11" s="314" t="s">
        <v>203</v>
      </c>
      <c r="KGQ11" s="314" t="s">
        <v>203</v>
      </c>
      <c r="KGR11" s="314" t="s">
        <v>203</v>
      </c>
      <c r="KGS11" s="314" t="s">
        <v>203</v>
      </c>
      <c r="KGT11" s="314" t="s">
        <v>203</v>
      </c>
      <c r="KGU11" s="314" t="s">
        <v>203</v>
      </c>
      <c r="KGV11" s="314" t="s">
        <v>203</v>
      </c>
      <c r="KGW11" s="314" t="s">
        <v>203</v>
      </c>
      <c r="KGX11" s="314" t="s">
        <v>203</v>
      </c>
      <c r="KGY11" s="314" t="s">
        <v>203</v>
      </c>
      <c r="KGZ11" s="314" t="s">
        <v>203</v>
      </c>
      <c r="KHA11" s="314" t="s">
        <v>203</v>
      </c>
      <c r="KHB11" s="314" t="s">
        <v>203</v>
      </c>
      <c r="KHC11" s="314" t="s">
        <v>203</v>
      </c>
      <c r="KHD11" s="314" t="s">
        <v>203</v>
      </c>
      <c r="KHE11" s="314" t="s">
        <v>203</v>
      </c>
      <c r="KHF11" s="314" t="s">
        <v>203</v>
      </c>
      <c r="KHG11" s="314" t="s">
        <v>203</v>
      </c>
      <c r="KHH11" s="314" t="s">
        <v>203</v>
      </c>
      <c r="KHI11" s="314" t="s">
        <v>203</v>
      </c>
      <c r="KHJ11" s="314" t="s">
        <v>203</v>
      </c>
      <c r="KHK11" s="314" t="s">
        <v>203</v>
      </c>
      <c r="KHL11" s="314" t="s">
        <v>203</v>
      </c>
      <c r="KHM11" s="314" t="s">
        <v>203</v>
      </c>
      <c r="KHN11" s="314" t="s">
        <v>203</v>
      </c>
      <c r="KHO11" s="314" t="s">
        <v>203</v>
      </c>
      <c r="KHP11" s="314" t="s">
        <v>203</v>
      </c>
      <c r="KHQ11" s="314" t="s">
        <v>203</v>
      </c>
      <c r="KHR11" s="314" t="s">
        <v>203</v>
      </c>
      <c r="KHS11" s="314" t="s">
        <v>203</v>
      </c>
      <c r="KHT11" s="314" t="s">
        <v>203</v>
      </c>
      <c r="KHU11" s="314" t="s">
        <v>203</v>
      </c>
      <c r="KHV11" s="314" t="s">
        <v>203</v>
      </c>
      <c r="KHW11" s="314" t="s">
        <v>203</v>
      </c>
      <c r="KHX11" s="314" t="s">
        <v>203</v>
      </c>
      <c r="KHY11" s="314" t="s">
        <v>203</v>
      </c>
      <c r="KHZ11" s="314" t="s">
        <v>203</v>
      </c>
      <c r="KIA11" s="314" t="s">
        <v>203</v>
      </c>
      <c r="KIB11" s="314" t="s">
        <v>203</v>
      </c>
      <c r="KIC11" s="314" t="s">
        <v>203</v>
      </c>
      <c r="KID11" s="314" t="s">
        <v>203</v>
      </c>
      <c r="KIE11" s="314" t="s">
        <v>203</v>
      </c>
      <c r="KIF11" s="314" t="s">
        <v>203</v>
      </c>
      <c r="KIG11" s="314" t="s">
        <v>203</v>
      </c>
      <c r="KIH11" s="314" t="s">
        <v>203</v>
      </c>
      <c r="KII11" s="314" t="s">
        <v>203</v>
      </c>
      <c r="KIJ11" s="314" t="s">
        <v>203</v>
      </c>
      <c r="KIK11" s="314" t="s">
        <v>203</v>
      </c>
      <c r="KIL11" s="314" t="s">
        <v>203</v>
      </c>
      <c r="KIM11" s="314" t="s">
        <v>203</v>
      </c>
      <c r="KIN11" s="314" t="s">
        <v>203</v>
      </c>
      <c r="KIO11" s="314" t="s">
        <v>203</v>
      </c>
      <c r="KIP11" s="314" t="s">
        <v>203</v>
      </c>
      <c r="KIQ11" s="314" t="s">
        <v>203</v>
      </c>
      <c r="KIR11" s="314" t="s">
        <v>203</v>
      </c>
      <c r="KIS11" s="314" t="s">
        <v>203</v>
      </c>
      <c r="KIT11" s="314" t="s">
        <v>203</v>
      </c>
      <c r="KIU11" s="314" t="s">
        <v>203</v>
      </c>
      <c r="KIV11" s="314" t="s">
        <v>203</v>
      </c>
      <c r="KIW11" s="314" t="s">
        <v>203</v>
      </c>
      <c r="KIX11" s="314" t="s">
        <v>203</v>
      </c>
      <c r="KIY11" s="314" t="s">
        <v>203</v>
      </c>
      <c r="KIZ11" s="314" t="s">
        <v>203</v>
      </c>
      <c r="KJA11" s="314" t="s">
        <v>203</v>
      </c>
      <c r="KJB11" s="314" t="s">
        <v>203</v>
      </c>
      <c r="KJC11" s="314" t="s">
        <v>203</v>
      </c>
      <c r="KJD11" s="314" t="s">
        <v>203</v>
      </c>
      <c r="KJE11" s="314" t="s">
        <v>203</v>
      </c>
      <c r="KJF11" s="314" t="s">
        <v>203</v>
      </c>
      <c r="KJG11" s="314" t="s">
        <v>203</v>
      </c>
      <c r="KJH11" s="314" t="s">
        <v>203</v>
      </c>
      <c r="KJI11" s="314" t="s">
        <v>203</v>
      </c>
      <c r="KJJ11" s="314" t="s">
        <v>203</v>
      </c>
      <c r="KJK11" s="314" t="s">
        <v>203</v>
      </c>
      <c r="KJL11" s="314" t="s">
        <v>203</v>
      </c>
      <c r="KJM11" s="314" t="s">
        <v>203</v>
      </c>
      <c r="KJN11" s="314" t="s">
        <v>203</v>
      </c>
      <c r="KJO11" s="314" t="s">
        <v>203</v>
      </c>
      <c r="KJP11" s="314" t="s">
        <v>203</v>
      </c>
      <c r="KJQ11" s="314" t="s">
        <v>203</v>
      </c>
      <c r="KJR11" s="314" t="s">
        <v>203</v>
      </c>
      <c r="KJS11" s="314" t="s">
        <v>203</v>
      </c>
      <c r="KJT11" s="314" t="s">
        <v>203</v>
      </c>
      <c r="KJU11" s="314" t="s">
        <v>203</v>
      </c>
      <c r="KJV11" s="314" t="s">
        <v>203</v>
      </c>
      <c r="KJW11" s="314" t="s">
        <v>203</v>
      </c>
      <c r="KJX11" s="314" t="s">
        <v>203</v>
      </c>
      <c r="KJY11" s="314" t="s">
        <v>203</v>
      </c>
      <c r="KJZ11" s="314" t="s">
        <v>203</v>
      </c>
      <c r="KKA11" s="314" t="s">
        <v>203</v>
      </c>
      <c r="KKB11" s="314" t="s">
        <v>203</v>
      </c>
      <c r="KKC11" s="314" t="s">
        <v>203</v>
      </c>
      <c r="KKD11" s="314" t="s">
        <v>203</v>
      </c>
      <c r="KKE11" s="314" t="s">
        <v>203</v>
      </c>
      <c r="KKF11" s="314" t="s">
        <v>203</v>
      </c>
      <c r="KKG11" s="314" t="s">
        <v>203</v>
      </c>
      <c r="KKH11" s="314" t="s">
        <v>203</v>
      </c>
      <c r="KKI11" s="314" t="s">
        <v>203</v>
      </c>
      <c r="KKJ11" s="314" t="s">
        <v>203</v>
      </c>
      <c r="KKK11" s="314" t="s">
        <v>203</v>
      </c>
      <c r="KKL11" s="314" t="s">
        <v>203</v>
      </c>
      <c r="KKM11" s="314" t="s">
        <v>203</v>
      </c>
      <c r="KKN11" s="314" t="s">
        <v>203</v>
      </c>
      <c r="KKO11" s="314" t="s">
        <v>203</v>
      </c>
      <c r="KKP11" s="314" t="s">
        <v>203</v>
      </c>
      <c r="KKQ11" s="314" t="s">
        <v>203</v>
      </c>
      <c r="KKR11" s="314" t="s">
        <v>203</v>
      </c>
      <c r="KKS11" s="314" t="s">
        <v>203</v>
      </c>
      <c r="KKT11" s="314" t="s">
        <v>203</v>
      </c>
      <c r="KKU11" s="314" t="s">
        <v>203</v>
      </c>
      <c r="KKV11" s="314" t="s">
        <v>203</v>
      </c>
      <c r="KKW11" s="314" t="s">
        <v>203</v>
      </c>
      <c r="KKX11" s="314" t="s">
        <v>203</v>
      </c>
      <c r="KKY11" s="314" t="s">
        <v>203</v>
      </c>
      <c r="KKZ11" s="314" t="s">
        <v>203</v>
      </c>
      <c r="KLA11" s="314" t="s">
        <v>203</v>
      </c>
      <c r="KLB11" s="314" t="s">
        <v>203</v>
      </c>
      <c r="KLC11" s="314" t="s">
        <v>203</v>
      </c>
      <c r="KLD11" s="314" t="s">
        <v>203</v>
      </c>
      <c r="KLE11" s="314" t="s">
        <v>203</v>
      </c>
      <c r="KLF11" s="314" t="s">
        <v>203</v>
      </c>
      <c r="KLG11" s="314" t="s">
        <v>203</v>
      </c>
      <c r="KLH11" s="314" t="s">
        <v>203</v>
      </c>
      <c r="KLI11" s="314" t="s">
        <v>203</v>
      </c>
      <c r="KLJ11" s="314" t="s">
        <v>203</v>
      </c>
      <c r="KLK11" s="314" t="s">
        <v>203</v>
      </c>
      <c r="KLL11" s="314" t="s">
        <v>203</v>
      </c>
      <c r="KLM11" s="314" t="s">
        <v>203</v>
      </c>
      <c r="KLN11" s="314" t="s">
        <v>203</v>
      </c>
      <c r="KLO11" s="314" t="s">
        <v>203</v>
      </c>
      <c r="KLP11" s="314" t="s">
        <v>203</v>
      </c>
      <c r="KLQ11" s="314" t="s">
        <v>203</v>
      </c>
      <c r="KLR11" s="314" t="s">
        <v>203</v>
      </c>
      <c r="KLS11" s="314" t="s">
        <v>203</v>
      </c>
      <c r="KLT11" s="314" t="s">
        <v>203</v>
      </c>
      <c r="KLU11" s="314" t="s">
        <v>203</v>
      </c>
      <c r="KLV11" s="314" t="s">
        <v>203</v>
      </c>
      <c r="KLW11" s="314" t="s">
        <v>203</v>
      </c>
      <c r="KLX11" s="314" t="s">
        <v>203</v>
      </c>
      <c r="KLY11" s="314" t="s">
        <v>203</v>
      </c>
      <c r="KLZ11" s="314" t="s">
        <v>203</v>
      </c>
      <c r="KMA11" s="314" t="s">
        <v>203</v>
      </c>
      <c r="KMB11" s="314" t="s">
        <v>203</v>
      </c>
      <c r="KMC11" s="314" t="s">
        <v>203</v>
      </c>
      <c r="KMD11" s="314" t="s">
        <v>203</v>
      </c>
      <c r="KME11" s="314" t="s">
        <v>203</v>
      </c>
      <c r="KMF11" s="314" t="s">
        <v>203</v>
      </c>
      <c r="KMG11" s="314" t="s">
        <v>203</v>
      </c>
      <c r="KMH11" s="314" t="s">
        <v>203</v>
      </c>
      <c r="KMI11" s="314" t="s">
        <v>203</v>
      </c>
      <c r="KMJ11" s="314" t="s">
        <v>203</v>
      </c>
      <c r="KMK11" s="314" t="s">
        <v>203</v>
      </c>
      <c r="KML11" s="314" t="s">
        <v>203</v>
      </c>
      <c r="KMM11" s="314" t="s">
        <v>203</v>
      </c>
      <c r="KMN11" s="314" t="s">
        <v>203</v>
      </c>
      <c r="KMO11" s="314" t="s">
        <v>203</v>
      </c>
      <c r="KMP11" s="314" t="s">
        <v>203</v>
      </c>
      <c r="KMQ11" s="314" t="s">
        <v>203</v>
      </c>
      <c r="KMR11" s="314" t="s">
        <v>203</v>
      </c>
      <c r="KMS11" s="314" t="s">
        <v>203</v>
      </c>
      <c r="KMT11" s="314" t="s">
        <v>203</v>
      </c>
      <c r="KMU11" s="314" t="s">
        <v>203</v>
      </c>
      <c r="KMV11" s="314" t="s">
        <v>203</v>
      </c>
      <c r="KMW11" s="314" t="s">
        <v>203</v>
      </c>
      <c r="KMX11" s="314" t="s">
        <v>203</v>
      </c>
      <c r="KMY11" s="314" t="s">
        <v>203</v>
      </c>
      <c r="KMZ11" s="314" t="s">
        <v>203</v>
      </c>
      <c r="KNA11" s="314" t="s">
        <v>203</v>
      </c>
      <c r="KNB11" s="314" t="s">
        <v>203</v>
      </c>
      <c r="KNC11" s="314" t="s">
        <v>203</v>
      </c>
      <c r="KND11" s="314" t="s">
        <v>203</v>
      </c>
      <c r="KNE11" s="314" t="s">
        <v>203</v>
      </c>
      <c r="KNF11" s="314" t="s">
        <v>203</v>
      </c>
      <c r="KNG11" s="314" t="s">
        <v>203</v>
      </c>
      <c r="KNH11" s="314" t="s">
        <v>203</v>
      </c>
      <c r="KNI11" s="314" t="s">
        <v>203</v>
      </c>
      <c r="KNJ11" s="314" t="s">
        <v>203</v>
      </c>
      <c r="KNK11" s="314" t="s">
        <v>203</v>
      </c>
      <c r="KNL11" s="314" t="s">
        <v>203</v>
      </c>
      <c r="KNM11" s="314" t="s">
        <v>203</v>
      </c>
      <c r="KNN11" s="314" t="s">
        <v>203</v>
      </c>
      <c r="KNO11" s="314" t="s">
        <v>203</v>
      </c>
      <c r="KNP11" s="314" t="s">
        <v>203</v>
      </c>
      <c r="KNQ11" s="314" t="s">
        <v>203</v>
      </c>
      <c r="KNR11" s="314" t="s">
        <v>203</v>
      </c>
      <c r="KNS11" s="314" t="s">
        <v>203</v>
      </c>
      <c r="KNT11" s="314" t="s">
        <v>203</v>
      </c>
      <c r="KNU11" s="314" t="s">
        <v>203</v>
      </c>
      <c r="KNV11" s="314" t="s">
        <v>203</v>
      </c>
      <c r="KNW11" s="314" t="s">
        <v>203</v>
      </c>
      <c r="KNX11" s="314" t="s">
        <v>203</v>
      </c>
      <c r="KNY11" s="314" t="s">
        <v>203</v>
      </c>
      <c r="KNZ11" s="314" t="s">
        <v>203</v>
      </c>
      <c r="KOA11" s="314" t="s">
        <v>203</v>
      </c>
      <c r="KOB11" s="314" t="s">
        <v>203</v>
      </c>
      <c r="KOC11" s="314" t="s">
        <v>203</v>
      </c>
      <c r="KOD11" s="314" t="s">
        <v>203</v>
      </c>
      <c r="KOE11" s="314" t="s">
        <v>203</v>
      </c>
      <c r="KOF11" s="314" t="s">
        <v>203</v>
      </c>
      <c r="KOG11" s="314" t="s">
        <v>203</v>
      </c>
      <c r="KOH11" s="314" t="s">
        <v>203</v>
      </c>
      <c r="KOI11" s="314" t="s">
        <v>203</v>
      </c>
      <c r="KOJ11" s="314" t="s">
        <v>203</v>
      </c>
      <c r="KOK11" s="314" t="s">
        <v>203</v>
      </c>
      <c r="KOL11" s="314" t="s">
        <v>203</v>
      </c>
      <c r="KOM11" s="314" t="s">
        <v>203</v>
      </c>
      <c r="KON11" s="314" t="s">
        <v>203</v>
      </c>
      <c r="KOO11" s="314" t="s">
        <v>203</v>
      </c>
      <c r="KOP11" s="314" t="s">
        <v>203</v>
      </c>
      <c r="KOQ11" s="314" t="s">
        <v>203</v>
      </c>
      <c r="KOR11" s="314" t="s">
        <v>203</v>
      </c>
      <c r="KOS11" s="314" t="s">
        <v>203</v>
      </c>
      <c r="KOT11" s="314" t="s">
        <v>203</v>
      </c>
      <c r="KOU11" s="314" t="s">
        <v>203</v>
      </c>
      <c r="KOV11" s="314" t="s">
        <v>203</v>
      </c>
      <c r="KOW11" s="314" t="s">
        <v>203</v>
      </c>
      <c r="KOX11" s="314" t="s">
        <v>203</v>
      </c>
      <c r="KOY11" s="314" t="s">
        <v>203</v>
      </c>
      <c r="KOZ11" s="314" t="s">
        <v>203</v>
      </c>
      <c r="KPA11" s="314" t="s">
        <v>203</v>
      </c>
      <c r="KPB11" s="314" t="s">
        <v>203</v>
      </c>
      <c r="KPC11" s="314" t="s">
        <v>203</v>
      </c>
      <c r="KPD11" s="314" t="s">
        <v>203</v>
      </c>
      <c r="KPE11" s="314" t="s">
        <v>203</v>
      </c>
      <c r="KPF11" s="314" t="s">
        <v>203</v>
      </c>
      <c r="KPG11" s="314" t="s">
        <v>203</v>
      </c>
      <c r="KPH11" s="314" t="s">
        <v>203</v>
      </c>
      <c r="KPI11" s="314" t="s">
        <v>203</v>
      </c>
      <c r="KPJ11" s="314" t="s">
        <v>203</v>
      </c>
      <c r="KPK11" s="314" t="s">
        <v>203</v>
      </c>
      <c r="KPL11" s="314" t="s">
        <v>203</v>
      </c>
      <c r="KPM11" s="314" t="s">
        <v>203</v>
      </c>
      <c r="KPN11" s="314" t="s">
        <v>203</v>
      </c>
      <c r="KPO11" s="314" t="s">
        <v>203</v>
      </c>
      <c r="KPP11" s="314" t="s">
        <v>203</v>
      </c>
      <c r="KPQ11" s="314" t="s">
        <v>203</v>
      </c>
      <c r="KPR11" s="314" t="s">
        <v>203</v>
      </c>
      <c r="KPS11" s="314" t="s">
        <v>203</v>
      </c>
      <c r="KPT11" s="314" t="s">
        <v>203</v>
      </c>
      <c r="KPU11" s="314" t="s">
        <v>203</v>
      </c>
      <c r="KPV11" s="314" t="s">
        <v>203</v>
      </c>
      <c r="KPW11" s="314" t="s">
        <v>203</v>
      </c>
      <c r="KPX11" s="314" t="s">
        <v>203</v>
      </c>
      <c r="KPY11" s="314" t="s">
        <v>203</v>
      </c>
      <c r="KPZ11" s="314" t="s">
        <v>203</v>
      </c>
      <c r="KQA11" s="314" t="s">
        <v>203</v>
      </c>
      <c r="KQB11" s="314" t="s">
        <v>203</v>
      </c>
      <c r="KQC11" s="314" t="s">
        <v>203</v>
      </c>
      <c r="KQD11" s="314" t="s">
        <v>203</v>
      </c>
      <c r="KQE11" s="314" t="s">
        <v>203</v>
      </c>
      <c r="KQF11" s="314" t="s">
        <v>203</v>
      </c>
      <c r="KQG11" s="314" t="s">
        <v>203</v>
      </c>
      <c r="KQH11" s="314" t="s">
        <v>203</v>
      </c>
      <c r="KQI11" s="314" t="s">
        <v>203</v>
      </c>
      <c r="KQJ11" s="314" t="s">
        <v>203</v>
      </c>
      <c r="KQK11" s="314" t="s">
        <v>203</v>
      </c>
      <c r="KQL11" s="314" t="s">
        <v>203</v>
      </c>
      <c r="KQM11" s="314" t="s">
        <v>203</v>
      </c>
      <c r="KQN11" s="314" t="s">
        <v>203</v>
      </c>
      <c r="KQO11" s="314" t="s">
        <v>203</v>
      </c>
      <c r="KQP11" s="314" t="s">
        <v>203</v>
      </c>
      <c r="KQQ11" s="314" t="s">
        <v>203</v>
      </c>
      <c r="KQR11" s="314" t="s">
        <v>203</v>
      </c>
      <c r="KQS11" s="314" t="s">
        <v>203</v>
      </c>
      <c r="KQT11" s="314" t="s">
        <v>203</v>
      </c>
      <c r="KQU11" s="314" t="s">
        <v>203</v>
      </c>
      <c r="KQV11" s="314" t="s">
        <v>203</v>
      </c>
      <c r="KQW11" s="314" t="s">
        <v>203</v>
      </c>
      <c r="KQX11" s="314" t="s">
        <v>203</v>
      </c>
      <c r="KQY11" s="314" t="s">
        <v>203</v>
      </c>
      <c r="KQZ11" s="314" t="s">
        <v>203</v>
      </c>
      <c r="KRA11" s="314" t="s">
        <v>203</v>
      </c>
      <c r="KRB11" s="314" t="s">
        <v>203</v>
      </c>
      <c r="KRC11" s="314" t="s">
        <v>203</v>
      </c>
      <c r="KRD11" s="314" t="s">
        <v>203</v>
      </c>
      <c r="KRE11" s="314" t="s">
        <v>203</v>
      </c>
      <c r="KRF11" s="314" t="s">
        <v>203</v>
      </c>
      <c r="KRG11" s="314" t="s">
        <v>203</v>
      </c>
      <c r="KRH11" s="314" t="s">
        <v>203</v>
      </c>
      <c r="KRI11" s="314" t="s">
        <v>203</v>
      </c>
      <c r="KRJ11" s="314" t="s">
        <v>203</v>
      </c>
      <c r="KRK11" s="314" t="s">
        <v>203</v>
      </c>
      <c r="KRL11" s="314" t="s">
        <v>203</v>
      </c>
      <c r="KRM11" s="314" t="s">
        <v>203</v>
      </c>
      <c r="KRN11" s="314" t="s">
        <v>203</v>
      </c>
      <c r="KRO11" s="314" t="s">
        <v>203</v>
      </c>
      <c r="KRP11" s="314" t="s">
        <v>203</v>
      </c>
      <c r="KRQ11" s="314" t="s">
        <v>203</v>
      </c>
      <c r="KRR11" s="314" t="s">
        <v>203</v>
      </c>
      <c r="KRS11" s="314" t="s">
        <v>203</v>
      </c>
      <c r="KRT11" s="314" t="s">
        <v>203</v>
      </c>
      <c r="KRU11" s="314" t="s">
        <v>203</v>
      </c>
      <c r="KRV11" s="314" t="s">
        <v>203</v>
      </c>
      <c r="KRW11" s="314" t="s">
        <v>203</v>
      </c>
      <c r="KRX11" s="314" t="s">
        <v>203</v>
      </c>
      <c r="KRY11" s="314" t="s">
        <v>203</v>
      </c>
      <c r="KRZ11" s="314" t="s">
        <v>203</v>
      </c>
      <c r="KSA11" s="314" t="s">
        <v>203</v>
      </c>
      <c r="KSB11" s="314" t="s">
        <v>203</v>
      </c>
      <c r="KSC11" s="314" t="s">
        <v>203</v>
      </c>
      <c r="KSD11" s="314" t="s">
        <v>203</v>
      </c>
      <c r="KSE11" s="314" t="s">
        <v>203</v>
      </c>
      <c r="KSF11" s="314" t="s">
        <v>203</v>
      </c>
      <c r="KSG11" s="314" t="s">
        <v>203</v>
      </c>
      <c r="KSH11" s="314" t="s">
        <v>203</v>
      </c>
      <c r="KSI11" s="314" t="s">
        <v>203</v>
      </c>
      <c r="KSJ11" s="314" t="s">
        <v>203</v>
      </c>
      <c r="KSK11" s="314" t="s">
        <v>203</v>
      </c>
      <c r="KSL11" s="314" t="s">
        <v>203</v>
      </c>
      <c r="KSM11" s="314" t="s">
        <v>203</v>
      </c>
      <c r="KSN11" s="314" t="s">
        <v>203</v>
      </c>
      <c r="KSO11" s="314" t="s">
        <v>203</v>
      </c>
      <c r="KSP11" s="314" t="s">
        <v>203</v>
      </c>
      <c r="KSQ11" s="314" t="s">
        <v>203</v>
      </c>
      <c r="KSR11" s="314" t="s">
        <v>203</v>
      </c>
      <c r="KSS11" s="314" t="s">
        <v>203</v>
      </c>
      <c r="KST11" s="314" t="s">
        <v>203</v>
      </c>
      <c r="KSU11" s="314" t="s">
        <v>203</v>
      </c>
      <c r="KSV11" s="314" t="s">
        <v>203</v>
      </c>
      <c r="KSW11" s="314" t="s">
        <v>203</v>
      </c>
      <c r="KSX11" s="314" t="s">
        <v>203</v>
      </c>
      <c r="KSY11" s="314" t="s">
        <v>203</v>
      </c>
      <c r="KSZ11" s="314" t="s">
        <v>203</v>
      </c>
      <c r="KTA11" s="314" t="s">
        <v>203</v>
      </c>
      <c r="KTB11" s="314" t="s">
        <v>203</v>
      </c>
      <c r="KTC11" s="314" t="s">
        <v>203</v>
      </c>
      <c r="KTD11" s="314" t="s">
        <v>203</v>
      </c>
      <c r="KTE11" s="314" t="s">
        <v>203</v>
      </c>
      <c r="KTF11" s="314" t="s">
        <v>203</v>
      </c>
      <c r="KTG11" s="314" t="s">
        <v>203</v>
      </c>
      <c r="KTH11" s="314" t="s">
        <v>203</v>
      </c>
      <c r="KTI11" s="314" t="s">
        <v>203</v>
      </c>
      <c r="KTJ11" s="314" t="s">
        <v>203</v>
      </c>
      <c r="KTK11" s="314" t="s">
        <v>203</v>
      </c>
      <c r="KTL11" s="314" t="s">
        <v>203</v>
      </c>
      <c r="KTM11" s="314" t="s">
        <v>203</v>
      </c>
      <c r="KTN11" s="314" t="s">
        <v>203</v>
      </c>
      <c r="KTO11" s="314" t="s">
        <v>203</v>
      </c>
      <c r="KTP11" s="314" t="s">
        <v>203</v>
      </c>
      <c r="KTQ11" s="314" t="s">
        <v>203</v>
      </c>
      <c r="KTR11" s="314" t="s">
        <v>203</v>
      </c>
      <c r="KTS11" s="314" t="s">
        <v>203</v>
      </c>
      <c r="KTT11" s="314" t="s">
        <v>203</v>
      </c>
      <c r="KTU11" s="314" t="s">
        <v>203</v>
      </c>
      <c r="KTV11" s="314" t="s">
        <v>203</v>
      </c>
      <c r="KTW11" s="314" t="s">
        <v>203</v>
      </c>
      <c r="KTX11" s="314" t="s">
        <v>203</v>
      </c>
      <c r="KTY11" s="314" t="s">
        <v>203</v>
      </c>
      <c r="KTZ11" s="314" t="s">
        <v>203</v>
      </c>
      <c r="KUA11" s="314" t="s">
        <v>203</v>
      </c>
      <c r="KUB11" s="314" t="s">
        <v>203</v>
      </c>
      <c r="KUC11" s="314" t="s">
        <v>203</v>
      </c>
      <c r="KUD11" s="314" t="s">
        <v>203</v>
      </c>
      <c r="KUE11" s="314" t="s">
        <v>203</v>
      </c>
      <c r="KUF11" s="314" t="s">
        <v>203</v>
      </c>
      <c r="KUG11" s="314" t="s">
        <v>203</v>
      </c>
      <c r="KUH11" s="314" t="s">
        <v>203</v>
      </c>
      <c r="KUI11" s="314" t="s">
        <v>203</v>
      </c>
      <c r="KUJ11" s="314" t="s">
        <v>203</v>
      </c>
      <c r="KUK11" s="314" t="s">
        <v>203</v>
      </c>
      <c r="KUL11" s="314" t="s">
        <v>203</v>
      </c>
      <c r="KUM11" s="314" t="s">
        <v>203</v>
      </c>
      <c r="KUN11" s="314" t="s">
        <v>203</v>
      </c>
      <c r="KUO11" s="314" t="s">
        <v>203</v>
      </c>
      <c r="KUP11" s="314" t="s">
        <v>203</v>
      </c>
      <c r="KUQ11" s="314" t="s">
        <v>203</v>
      </c>
      <c r="KUR11" s="314" t="s">
        <v>203</v>
      </c>
      <c r="KUS11" s="314" t="s">
        <v>203</v>
      </c>
      <c r="KUT11" s="314" t="s">
        <v>203</v>
      </c>
      <c r="KUU11" s="314" t="s">
        <v>203</v>
      </c>
      <c r="KUV11" s="314" t="s">
        <v>203</v>
      </c>
      <c r="KUW11" s="314" t="s">
        <v>203</v>
      </c>
      <c r="KUX11" s="314" t="s">
        <v>203</v>
      </c>
      <c r="KUY11" s="314" t="s">
        <v>203</v>
      </c>
      <c r="KUZ11" s="314" t="s">
        <v>203</v>
      </c>
      <c r="KVA11" s="314" t="s">
        <v>203</v>
      </c>
      <c r="KVB11" s="314" t="s">
        <v>203</v>
      </c>
      <c r="KVC11" s="314" t="s">
        <v>203</v>
      </c>
      <c r="KVD11" s="314" t="s">
        <v>203</v>
      </c>
      <c r="KVE11" s="314" t="s">
        <v>203</v>
      </c>
      <c r="KVF11" s="314" t="s">
        <v>203</v>
      </c>
      <c r="KVG11" s="314" t="s">
        <v>203</v>
      </c>
      <c r="KVH11" s="314" t="s">
        <v>203</v>
      </c>
      <c r="KVI11" s="314" t="s">
        <v>203</v>
      </c>
      <c r="KVJ11" s="314" t="s">
        <v>203</v>
      </c>
      <c r="KVK11" s="314" t="s">
        <v>203</v>
      </c>
      <c r="KVL11" s="314" t="s">
        <v>203</v>
      </c>
      <c r="KVM11" s="314" t="s">
        <v>203</v>
      </c>
      <c r="KVN11" s="314" t="s">
        <v>203</v>
      </c>
      <c r="KVO11" s="314" t="s">
        <v>203</v>
      </c>
      <c r="KVP11" s="314" t="s">
        <v>203</v>
      </c>
      <c r="KVQ11" s="314" t="s">
        <v>203</v>
      </c>
      <c r="KVR11" s="314" t="s">
        <v>203</v>
      </c>
      <c r="KVS11" s="314" t="s">
        <v>203</v>
      </c>
      <c r="KVT11" s="314" t="s">
        <v>203</v>
      </c>
      <c r="KVU11" s="314" t="s">
        <v>203</v>
      </c>
      <c r="KVV11" s="314" t="s">
        <v>203</v>
      </c>
      <c r="KVW11" s="314" t="s">
        <v>203</v>
      </c>
      <c r="KVX11" s="314" t="s">
        <v>203</v>
      </c>
      <c r="KVY11" s="314" t="s">
        <v>203</v>
      </c>
      <c r="KVZ11" s="314" t="s">
        <v>203</v>
      </c>
      <c r="KWA11" s="314" t="s">
        <v>203</v>
      </c>
      <c r="KWB11" s="314" t="s">
        <v>203</v>
      </c>
      <c r="KWC11" s="314" t="s">
        <v>203</v>
      </c>
      <c r="KWD11" s="314" t="s">
        <v>203</v>
      </c>
      <c r="KWE11" s="314" t="s">
        <v>203</v>
      </c>
      <c r="KWF11" s="314" t="s">
        <v>203</v>
      </c>
      <c r="KWG11" s="314" t="s">
        <v>203</v>
      </c>
      <c r="KWH11" s="314" t="s">
        <v>203</v>
      </c>
      <c r="KWI11" s="314" t="s">
        <v>203</v>
      </c>
      <c r="KWJ11" s="314" t="s">
        <v>203</v>
      </c>
      <c r="KWK11" s="314" t="s">
        <v>203</v>
      </c>
      <c r="KWL11" s="314" t="s">
        <v>203</v>
      </c>
      <c r="KWM11" s="314" t="s">
        <v>203</v>
      </c>
      <c r="KWN11" s="314" t="s">
        <v>203</v>
      </c>
      <c r="KWO11" s="314" t="s">
        <v>203</v>
      </c>
      <c r="KWP11" s="314" t="s">
        <v>203</v>
      </c>
      <c r="KWQ11" s="314" t="s">
        <v>203</v>
      </c>
      <c r="KWR11" s="314" t="s">
        <v>203</v>
      </c>
      <c r="KWS11" s="314" t="s">
        <v>203</v>
      </c>
      <c r="KWT11" s="314" t="s">
        <v>203</v>
      </c>
      <c r="KWU11" s="314" t="s">
        <v>203</v>
      </c>
      <c r="KWV11" s="314" t="s">
        <v>203</v>
      </c>
      <c r="KWW11" s="314" t="s">
        <v>203</v>
      </c>
      <c r="KWX11" s="314" t="s">
        <v>203</v>
      </c>
      <c r="KWY11" s="314" t="s">
        <v>203</v>
      </c>
      <c r="KWZ11" s="314" t="s">
        <v>203</v>
      </c>
      <c r="KXA11" s="314" t="s">
        <v>203</v>
      </c>
      <c r="KXB11" s="314" t="s">
        <v>203</v>
      </c>
      <c r="KXC11" s="314" t="s">
        <v>203</v>
      </c>
      <c r="KXD11" s="314" t="s">
        <v>203</v>
      </c>
      <c r="KXE11" s="314" t="s">
        <v>203</v>
      </c>
      <c r="KXF11" s="314" t="s">
        <v>203</v>
      </c>
      <c r="KXG11" s="314" t="s">
        <v>203</v>
      </c>
      <c r="KXH11" s="314" t="s">
        <v>203</v>
      </c>
      <c r="KXI11" s="314" t="s">
        <v>203</v>
      </c>
      <c r="KXJ11" s="314" t="s">
        <v>203</v>
      </c>
      <c r="KXK11" s="314" t="s">
        <v>203</v>
      </c>
      <c r="KXL11" s="314" t="s">
        <v>203</v>
      </c>
      <c r="KXM11" s="314" t="s">
        <v>203</v>
      </c>
      <c r="KXN11" s="314" t="s">
        <v>203</v>
      </c>
      <c r="KXO11" s="314" t="s">
        <v>203</v>
      </c>
      <c r="KXP11" s="314" t="s">
        <v>203</v>
      </c>
      <c r="KXQ11" s="314" t="s">
        <v>203</v>
      </c>
      <c r="KXR11" s="314" t="s">
        <v>203</v>
      </c>
      <c r="KXS11" s="314" t="s">
        <v>203</v>
      </c>
      <c r="KXT11" s="314" t="s">
        <v>203</v>
      </c>
      <c r="KXU11" s="314" t="s">
        <v>203</v>
      </c>
      <c r="KXV11" s="314" t="s">
        <v>203</v>
      </c>
      <c r="KXW11" s="314" t="s">
        <v>203</v>
      </c>
      <c r="KXX11" s="314" t="s">
        <v>203</v>
      </c>
      <c r="KXY11" s="314" t="s">
        <v>203</v>
      </c>
      <c r="KXZ11" s="314" t="s">
        <v>203</v>
      </c>
      <c r="KYA11" s="314" t="s">
        <v>203</v>
      </c>
      <c r="KYB11" s="314" t="s">
        <v>203</v>
      </c>
      <c r="KYC11" s="314" t="s">
        <v>203</v>
      </c>
      <c r="KYD11" s="314" t="s">
        <v>203</v>
      </c>
      <c r="KYE11" s="314" t="s">
        <v>203</v>
      </c>
      <c r="KYF11" s="314" t="s">
        <v>203</v>
      </c>
      <c r="KYG11" s="314" t="s">
        <v>203</v>
      </c>
      <c r="KYH11" s="314" t="s">
        <v>203</v>
      </c>
      <c r="KYI11" s="314" t="s">
        <v>203</v>
      </c>
      <c r="KYJ11" s="314" t="s">
        <v>203</v>
      </c>
      <c r="KYK11" s="314" t="s">
        <v>203</v>
      </c>
      <c r="KYL11" s="314" t="s">
        <v>203</v>
      </c>
      <c r="KYM11" s="314" t="s">
        <v>203</v>
      </c>
      <c r="KYN11" s="314" t="s">
        <v>203</v>
      </c>
      <c r="KYO11" s="314" t="s">
        <v>203</v>
      </c>
      <c r="KYP11" s="314" t="s">
        <v>203</v>
      </c>
      <c r="KYQ11" s="314" t="s">
        <v>203</v>
      </c>
      <c r="KYR11" s="314" t="s">
        <v>203</v>
      </c>
      <c r="KYS11" s="314" t="s">
        <v>203</v>
      </c>
      <c r="KYT11" s="314" t="s">
        <v>203</v>
      </c>
      <c r="KYU11" s="314" t="s">
        <v>203</v>
      </c>
      <c r="KYV11" s="314" t="s">
        <v>203</v>
      </c>
      <c r="KYW11" s="314" t="s">
        <v>203</v>
      </c>
      <c r="KYX11" s="314" t="s">
        <v>203</v>
      </c>
      <c r="KYY11" s="314" t="s">
        <v>203</v>
      </c>
      <c r="KYZ11" s="314" t="s">
        <v>203</v>
      </c>
      <c r="KZA11" s="314" t="s">
        <v>203</v>
      </c>
      <c r="KZB11" s="314" t="s">
        <v>203</v>
      </c>
      <c r="KZC11" s="314" t="s">
        <v>203</v>
      </c>
      <c r="KZD11" s="314" t="s">
        <v>203</v>
      </c>
      <c r="KZE11" s="314" t="s">
        <v>203</v>
      </c>
      <c r="KZF11" s="314" t="s">
        <v>203</v>
      </c>
      <c r="KZG11" s="314" t="s">
        <v>203</v>
      </c>
      <c r="KZH11" s="314" t="s">
        <v>203</v>
      </c>
      <c r="KZI11" s="314" t="s">
        <v>203</v>
      </c>
      <c r="KZJ11" s="314" t="s">
        <v>203</v>
      </c>
      <c r="KZK11" s="314" t="s">
        <v>203</v>
      </c>
      <c r="KZL11" s="314" t="s">
        <v>203</v>
      </c>
      <c r="KZM11" s="314" t="s">
        <v>203</v>
      </c>
      <c r="KZN11" s="314" t="s">
        <v>203</v>
      </c>
      <c r="KZO11" s="314" t="s">
        <v>203</v>
      </c>
      <c r="KZP11" s="314" t="s">
        <v>203</v>
      </c>
      <c r="KZQ11" s="314" t="s">
        <v>203</v>
      </c>
      <c r="KZR11" s="314" t="s">
        <v>203</v>
      </c>
      <c r="KZS11" s="314" t="s">
        <v>203</v>
      </c>
      <c r="KZT11" s="314" t="s">
        <v>203</v>
      </c>
      <c r="KZU11" s="314" t="s">
        <v>203</v>
      </c>
      <c r="KZV11" s="314" t="s">
        <v>203</v>
      </c>
      <c r="KZW11" s="314" t="s">
        <v>203</v>
      </c>
      <c r="KZX11" s="314" t="s">
        <v>203</v>
      </c>
      <c r="KZY11" s="314" t="s">
        <v>203</v>
      </c>
      <c r="KZZ11" s="314" t="s">
        <v>203</v>
      </c>
      <c r="LAA11" s="314" t="s">
        <v>203</v>
      </c>
      <c r="LAB11" s="314" t="s">
        <v>203</v>
      </c>
      <c r="LAC11" s="314" t="s">
        <v>203</v>
      </c>
      <c r="LAD11" s="314" t="s">
        <v>203</v>
      </c>
      <c r="LAE11" s="314" t="s">
        <v>203</v>
      </c>
      <c r="LAF11" s="314" t="s">
        <v>203</v>
      </c>
      <c r="LAG11" s="314" t="s">
        <v>203</v>
      </c>
      <c r="LAH11" s="314" t="s">
        <v>203</v>
      </c>
      <c r="LAI11" s="314" t="s">
        <v>203</v>
      </c>
      <c r="LAJ11" s="314" t="s">
        <v>203</v>
      </c>
      <c r="LAK11" s="314" t="s">
        <v>203</v>
      </c>
      <c r="LAL11" s="314" t="s">
        <v>203</v>
      </c>
      <c r="LAM11" s="314" t="s">
        <v>203</v>
      </c>
      <c r="LAN11" s="314" t="s">
        <v>203</v>
      </c>
      <c r="LAO11" s="314" t="s">
        <v>203</v>
      </c>
      <c r="LAP11" s="314" t="s">
        <v>203</v>
      </c>
      <c r="LAQ11" s="314" t="s">
        <v>203</v>
      </c>
      <c r="LAR11" s="314" t="s">
        <v>203</v>
      </c>
      <c r="LAS11" s="314" t="s">
        <v>203</v>
      </c>
      <c r="LAT11" s="314" t="s">
        <v>203</v>
      </c>
      <c r="LAU11" s="314" t="s">
        <v>203</v>
      </c>
      <c r="LAV11" s="314" t="s">
        <v>203</v>
      </c>
      <c r="LAW11" s="314" t="s">
        <v>203</v>
      </c>
      <c r="LAX11" s="314" t="s">
        <v>203</v>
      </c>
      <c r="LAY11" s="314" t="s">
        <v>203</v>
      </c>
      <c r="LAZ11" s="314" t="s">
        <v>203</v>
      </c>
      <c r="LBA11" s="314" t="s">
        <v>203</v>
      </c>
      <c r="LBB11" s="314" t="s">
        <v>203</v>
      </c>
      <c r="LBC11" s="314" t="s">
        <v>203</v>
      </c>
      <c r="LBD11" s="314" t="s">
        <v>203</v>
      </c>
      <c r="LBE11" s="314" t="s">
        <v>203</v>
      </c>
      <c r="LBF11" s="314" t="s">
        <v>203</v>
      </c>
      <c r="LBG11" s="314" t="s">
        <v>203</v>
      </c>
      <c r="LBH11" s="314" t="s">
        <v>203</v>
      </c>
      <c r="LBI11" s="314" t="s">
        <v>203</v>
      </c>
      <c r="LBJ11" s="314" t="s">
        <v>203</v>
      </c>
      <c r="LBK11" s="314" t="s">
        <v>203</v>
      </c>
      <c r="LBL11" s="314" t="s">
        <v>203</v>
      </c>
      <c r="LBM11" s="314" t="s">
        <v>203</v>
      </c>
      <c r="LBN11" s="314" t="s">
        <v>203</v>
      </c>
      <c r="LBO11" s="314" t="s">
        <v>203</v>
      </c>
      <c r="LBP11" s="314" t="s">
        <v>203</v>
      </c>
      <c r="LBQ11" s="314" t="s">
        <v>203</v>
      </c>
      <c r="LBR11" s="314" t="s">
        <v>203</v>
      </c>
      <c r="LBS11" s="314" t="s">
        <v>203</v>
      </c>
      <c r="LBT11" s="314" t="s">
        <v>203</v>
      </c>
      <c r="LBU11" s="314" t="s">
        <v>203</v>
      </c>
      <c r="LBV11" s="314" t="s">
        <v>203</v>
      </c>
      <c r="LBW11" s="314" t="s">
        <v>203</v>
      </c>
      <c r="LBX11" s="314" t="s">
        <v>203</v>
      </c>
      <c r="LBY11" s="314" t="s">
        <v>203</v>
      </c>
      <c r="LBZ11" s="314" t="s">
        <v>203</v>
      </c>
      <c r="LCA11" s="314" t="s">
        <v>203</v>
      </c>
      <c r="LCB11" s="314" t="s">
        <v>203</v>
      </c>
      <c r="LCC11" s="314" t="s">
        <v>203</v>
      </c>
      <c r="LCD11" s="314" t="s">
        <v>203</v>
      </c>
      <c r="LCE11" s="314" t="s">
        <v>203</v>
      </c>
      <c r="LCF11" s="314" t="s">
        <v>203</v>
      </c>
      <c r="LCG11" s="314" t="s">
        <v>203</v>
      </c>
      <c r="LCH11" s="314" t="s">
        <v>203</v>
      </c>
      <c r="LCI11" s="314" t="s">
        <v>203</v>
      </c>
      <c r="LCJ11" s="314" t="s">
        <v>203</v>
      </c>
      <c r="LCK11" s="314" t="s">
        <v>203</v>
      </c>
      <c r="LCL11" s="314" t="s">
        <v>203</v>
      </c>
      <c r="LCM11" s="314" t="s">
        <v>203</v>
      </c>
      <c r="LCN11" s="314" t="s">
        <v>203</v>
      </c>
      <c r="LCO11" s="314" t="s">
        <v>203</v>
      </c>
      <c r="LCP11" s="314" t="s">
        <v>203</v>
      </c>
      <c r="LCQ11" s="314" t="s">
        <v>203</v>
      </c>
      <c r="LCR11" s="314" t="s">
        <v>203</v>
      </c>
      <c r="LCS11" s="314" t="s">
        <v>203</v>
      </c>
      <c r="LCT11" s="314" t="s">
        <v>203</v>
      </c>
      <c r="LCU11" s="314" t="s">
        <v>203</v>
      </c>
      <c r="LCV11" s="314" t="s">
        <v>203</v>
      </c>
      <c r="LCW11" s="314" t="s">
        <v>203</v>
      </c>
      <c r="LCX11" s="314" t="s">
        <v>203</v>
      </c>
      <c r="LCY11" s="314" t="s">
        <v>203</v>
      </c>
      <c r="LCZ11" s="314" t="s">
        <v>203</v>
      </c>
      <c r="LDA11" s="314" t="s">
        <v>203</v>
      </c>
      <c r="LDB11" s="314" t="s">
        <v>203</v>
      </c>
      <c r="LDC11" s="314" t="s">
        <v>203</v>
      </c>
      <c r="LDD11" s="314" t="s">
        <v>203</v>
      </c>
      <c r="LDE11" s="314" t="s">
        <v>203</v>
      </c>
      <c r="LDF11" s="314" t="s">
        <v>203</v>
      </c>
      <c r="LDG11" s="314" t="s">
        <v>203</v>
      </c>
      <c r="LDH11" s="314" t="s">
        <v>203</v>
      </c>
      <c r="LDI11" s="314" t="s">
        <v>203</v>
      </c>
      <c r="LDJ11" s="314" t="s">
        <v>203</v>
      </c>
      <c r="LDK11" s="314" t="s">
        <v>203</v>
      </c>
      <c r="LDL11" s="314" t="s">
        <v>203</v>
      </c>
      <c r="LDM11" s="314" t="s">
        <v>203</v>
      </c>
      <c r="LDN11" s="314" t="s">
        <v>203</v>
      </c>
      <c r="LDO11" s="314" t="s">
        <v>203</v>
      </c>
      <c r="LDP11" s="314" t="s">
        <v>203</v>
      </c>
      <c r="LDQ11" s="314" t="s">
        <v>203</v>
      </c>
      <c r="LDR11" s="314" t="s">
        <v>203</v>
      </c>
      <c r="LDS11" s="314" t="s">
        <v>203</v>
      </c>
      <c r="LDT11" s="314" t="s">
        <v>203</v>
      </c>
      <c r="LDU11" s="314" t="s">
        <v>203</v>
      </c>
      <c r="LDV11" s="314" t="s">
        <v>203</v>
      </c>
      <c r="LDW11" s="314" t="s">
        <v>203</v>
      </c>
      <c r="LDX11" s="314" t="s">
        <v>203</v>
      </c>
      <c r="LDY11" s="314" t="s">
        <v>203</v>
      </c>
      <c r="LDZ11" s="314" t="s">
        <v>203</v>
      </c>
      <c r="LEA11" s="314" t="s">
        <v>203</v>
      </c>
      <c r="LEB11" s="314" t="s">
        <v>203</v>
      </c>
      <c r="LEC11" s="314" t="s">
        <v>203</v>
      </c>
      <c r="LED11" s="314" t="s">
        <v>203</v>
      </c>
      <c r="LEE11" s="314" t="s">
        <v>203</v>
      </c>
      <c r="LEF11" s="314" t="s">
        <v>203</v>
      </c>
      <c r="LEG11" s="314" t="s">
        <v>203</v>
      </c>
      <c r="LEH11" s="314" t="s">
        <v>203</v>
      </c>
      <c r="LEI11" s="314" t="s">
        <v>203</v>
      </c>
      <c r="LEJ11" s="314" t="s">
        <v>203</v>
      </c>
      <c r="LEK11" s="314" t="s">
        <v>203</v>
      </c>
      <c r="LEL11" s="314" t="s">
        <v>203</v>
      </c>
      <c r="LEM11" s="314" t="s">
        <v>203</v>
      </c>
      <c r="LEN11" s="314" t="s">
        <v>203</v>
      </c>
      <c r="LEO11" s="314" t="s">
        <v>203</v>
      </c>
      <c r="LEP11" s="314" t="s">
        <v>203</v>
      </c>
      <c r="LEQ11" s="314" t="s">
        <v>203</v>
      </c>
      <c r="LER11" s="314" t="s">
        <v>203</v>
      </c>
      <c r="LES11" s="314" t="s">
        <v>203</v>
      </c>
      <c r="LET11" s="314" t="s">
        <v>203</v>
      </c>
      <c r="LEU11" s="314" t="s">
        <v>203</v>
      </c>
      <c r="LEV11" s="314" t="s">
        <v>203</v>
      </c>
      <c r="LEW11" s="314" t="s">
        <v>203</v>
      </c>
      <c r="LEX11" s="314" t="s">
        <v>203</v>
      </c>
      <c r="LEY11" s="314" t="s">
        <v>203</v>
      </c>
      <c r="LEZ11" s="314" t="s">
        <v>203</v>
      </c>
      <c r="LFA11" s="314" t="s">
        <v>203</v>
      </c>
      <c r="LFB11" s="314" t="s">
        <v>203</v>
      </c>
      <c r="LFC11" s="314" t="s">
        <v>203</v>
      </c>
      <c r="LFD11" s="314" t="s">
        <v>203</v>
      </c>
      <c r="LFE11" s="314" t="s">
        <v>203</v>
      </c>
      <c r="LFF11" s="314" t="s">
        <v>203</v>
      </c>
      <c r="LFG11" s="314" t="s">
        <v>203</v>
      </c>
      <c r="LFH11" s="314" t="s">
        <v>203</v>
      </c>
      <c r="LFI11" s="314" t="s">
        <v>203</v>
      </c>
      <c r="LFJ11" s="314" t="s">
        <v>203</v>
      </c>
      <c r="LFK11" s="314" t="s">
        <v>203</v>
      </c>
      <c r="LFL11" s="314" t="s">
        <v>203</v>
      </c>
      <c r="LFM11" s="314" t="s">
        <v>203</v>
      </c>
      <c r="LFN11" s="314" t="s">
        <v>203</v>
      </c>
      <c r="LFO11" s="314" t="s">
        <v>203</v>
      </c>
      <c r="LFP11" s="314" t="s">
        <v>203</v>
      </c>
      <c r="LFQ11" s="314" t="s">
        <v>203</v>
      </c>
      <c r="LFR11" s="314" t="s">
        <v>203</v>
      </c>
      <c r="LFS11" s="314" t="s">
        <v>203</v>
      </c>
      <c r="LFT11" s="314" t="s">
        <v>203</v>
      </c>
      <c r="LFU11" s="314" t="s">
        <v>203</v>
      </c>
      <c r="LFV11" s="314" t="s">
        <v>203</v>
      </c>
      <c r="LFW11" s="314" t="s">
        <v>203</v>
      </c>
      <c r="LFX11" s="314" t="s">
        <v>203</v>
      </c>
      <c r="LFY11" s="314" t="s">
        <v>203</v>
      </c>
      <c r="LFZ11" s="314" t="s">
        <v>203</v>
      </c>
      <c r="LGA11" s="314" t="s">
        <v>203</v>
      </c>
      <c r="LGB11" s="314" t="s">
        <v>203</v>
      </c>
      <c r="LGC11" s="314" t="s">
        <v>203</v>
      </c>
      <c r="LGD11" s="314" t="s">
        <v>203</v>
      </c>
      <c r="LGE11" s="314" t="s">
        <v>203</v>
      </c>
      <c r="LGF11" s="314" t="s">
        <v>203</v>
      </c>
      <c r="LGG11" s="314" t="s">
        <v>203</v>
      </c>
      <c r="LGH11" s="314" t="s">
        <v>203</v>
      </c>
      <c r="LGI11" s="314" t="s">
        <v>203</v>
      </c>
      <c r="LGJ11" s="314" t="s">
        <v>203</v>
      </c>
      <c r="LGK11" s="314" t="s">
        <v>203</v>
      </c>
      <c r="LGL11" s="314" t="s">
        <v>203</v>
      </c>
      <c r="LGM11" s="314" t="s">
        <v>203</v>
      </c>
      <c r="LGN11" s="314" t="s">
        <v>203</v>
      </c>
      <c r="LGO11" s="314" t="s">
        <v>203</v>
      </c>
      <c r="LGP11" s="314" t="s">
        <v>203</v>
      </c>
      <c r="LGQ11" s="314" t="s">
        <v>203</v>
      </c>
      <c r="LGR11" s="314" t="s">
        <v>203</v>
      </c>
      <c r="LGS11" s="314" t="s">
        <v>203</v>
      </c>
      <c r="LGT11" s="314" t="s">
        <v>203</v>
      </c>
      <c r="LGU11" s="314" t="s">
        <v>203</v>
      </c>
      <c r="LGV11" s="314" t="s">
        <v>203</v>
      </c>
      <c r="LGW11" s="314" t="s">
        <v>203</v>
      </c>
      <c r="LGX11" s="314" t="s">
        <v>203</v>
      </c>
      <c r="LGY11" s="314" t="s">
        <v>203</v>
      </c>
      <c r="LGZ11" s="314" t="s">
        <v>203</v>
      </c>
      <c r="LHA11" s="314" t="s">
        <v>203</v>
      </c>
      <c r="LHB11" s="314" t="s">
        <v>203</v>
      </c>
      <c r="LHC11" s="314" t="s">
        <v>203</v>
      </c>
      <c r="LHD11" s="314" t="s">
        <v>203</v>
      </c>
      <c r="LHE11" s="314" t="s">
        <v>203</v>
      </c>
      <c r="LHF11" s="314" t="s">
        <v>203</v>
      </c>
      <c r="LHG11" s="314" t="s">
        <v>203</v>
      </c>
      <c r="LHH11" s="314" t="s">
        <v>203</v>
      </c>
      <c r="LHI11" s="314" t="s">
        <v>203</v>
      </c>
      <c r="LHJ11" s="314" t="s">
        <v>203</v>
      </c>
      <c r="LHK11" s="314" t="s">
        <v>203</v>
      </c>
      <c r="LHL11" s="314" t="s">
        <v>203</v>
      </c>
      <c r="LHM11" s="314" t="s">
        <v>203</v>
      </c>
      <c r="LHN11" s="314" t="s">
        <v>203</v>
      </c>
      <c r="LHO11" s="314" t="s">
        <v>203</v>
      </c>
      <c r="LHP11" s="314" t="s">
        <v>203</v>
      </c>
      <c r="LHQ11" s="314" t="s">
        <v>203</v>
      </c>
      <c r="LHR11" s="314" t="s">
        <v>203</v>
      </c>
      <c r="LHS11" s="314" t="s">
        <v>203</v>
      </c>
      <c r="LHT11" s="314" t="s">
        <v>203</v>
      </c>
      <c r="LHU11" s="314" t="s">
        <v>203</v>
      </c>
      <c r="LHV11" s="314" t="s">
        <v>203</v>
      </c>
      <c r="LHW11" s="314" t="s">
        <v>203</v>
      </c>
      <c r="LHX11" s="314" t="s">
        <v>203</v>
      </c>
      <c r="LHY11" s="314" t="s">
        <v>203</v>
      </c>
      <c r="LHZ11" s="314" t="s">
        <v>203</v>
      </c>
      <c r="LIA11" s="314" t="s">
        <v>203</v>
      </c>
      <c r="LIB11" s="314" t="s">
        <v>203</v>
      </c>
      <c r="LIC11" s="314" t="s">
        <v>203</v>
      </c>
      <c r="LID11" s="314" t="s">
        <v>203</v>
      </c>
      <c r="LIE11" s="314" t="s">
        <v>203</v>
      </c>
      <c r="LIF11" s="314" t="s">
        <v>203</v>
      </c>
      <c r="LIG11" s="314" t="s">
        <v>203</v>
      </c>
      <c r="LIH11" s="314" t="s">
        <v>203</v>
      </c>
      <c r="LII11" s="314" t="s">
        <v>203</v>
      </c>
      <c r="LIJ11" s="314" t="s">
        <v>203</v>
      </c>
      <c r="LIK11" s="314" t="s">
        <v>203</v>
      </c>
      <c r="LIL11" s="314" t="s">
        <v>203</v>
      </c>
      <c r="LIM11" s="314" t="s">
        <v>203</v>
      </c>
      <c r="LIN11" s="314" t="s">
        <v>203</v>
      </c>
      <c r="LIO11" s="314" t="s">
        <v>203</v>
      </c>
      <c r="LIP11" s="314" t="s">
        <v>203</v>
      </c>
      <c r="LIQ11" s="314" t="s">
        <v>203</v>
      </c>
      <c r="LIR11" s="314" t="s">
        <v>203</v>
      </c>
      <c r="LIS11" s="314" t="s">
        <v>203</v>
      </c>
      <c r="LIT11" s="314" t="s">
        <v>203</v>
      </c>
      <c r="LIU11" s="314" t="s">
        <v>203</v>
      </c>
      <c r="LIV11" s="314" t="s">
        <v>203</v>
      </c>
      <c r="LIW11" s="314" t="s">
        <v>203</v>
      </c>
      <c r="LIX11" s="314" t="s">
        <v>203</v>
      </c>
      <c r="LIY11" s="314" t="s">
        <v>203</v>
      </c>
      <c r="LIZ11" s="314" t="s">
        <v>203</v>
      </c>
      <c r="LJA11" s="314" t="s">
        <v>203</v>
      </c>
      <c r="LJB11" s="314" t="s">
        <v>203</v>
      </c>
      <c r="LJC11" s="314" t="s">
        <v>203</v>
      </c>
      <c r="LJD11" s="314" t="s">
        <v>203</v>
      </c>
      <c r="LJE11" s="314" t="s">
        <v>203</v>
      </c>
      <c r="LJF11" s="314" t="s">
        <v>203</v>
      </c>
      <c r="LJG11" s="314" t="s">
        <v>203</v>
      </c>
      <c r="LJH11" s="314" t="s">
        <v>203</v>
      </c>
      <c r="LJI11" s="314" t="s">
        <v>203</v>
      </c>
      <c r="LJJ11" s="314" t="s">
        <v>203</v>
      </c>
      <c r="LJK11" s="314" t="s">
        <v>203</v>
      </c>
      <c r="LJL11" s="314" t="s">
        <v>203</v>
      </c>
      <c r="LJM11" s="314" t="s">
        <v>203</v>
      </c>
      <c r="LJN11" s="314" t="s">
        <v>203</v>
      </c>
      <c r="LJO11" s="314" t="s">
        <v>203</v>
      </c>
      <c r="LJP11" s="314" t="s">
        <v>203</v>
      </c>
      <c r="LJQ11" s="314" t="s">
        <v>203</v>
      </c>
      <c r="LJR11" s="314" t="s">
        <v>203</v>
      </c>
      <c r="LJS11" s="314" t="s">
        <v>203</v>
      </c>
      <c r="LJT11" s="314" t="s">
        <v>203</v>
      </c>
      <c r="LJU11" s="314" t="s">
        <v>203</v>
      </c>
      <c r="LJV11" s="314" t="s">
        <v>203</v>
      </c>
      <c r="LJW11" s="314" t="s">
        <v>203</v>
      </c>
      <c r="LJX11" s="314" t="s">
        <v>203</v>
      </c>
      <c r="LJY11" s="314" t="s">
        <v>203</v>
      </c>
      <c r="LJZ11" s="314" t="s">
        <v>203</v>
      </c>
      <c r="LKA11" s="314" t="s">
        <v>203</v>
      </c>
      <c r="LKB11" s="314" t="s">
        <v>203</v>
      </c>
      <c r="LKC11" s="314" t="s">
        <v>203</v>
      </c>
      <c r="LKD11" s="314" t="s">
        <v>203</v>
      </c>
      <c r="LKE11" s="314" t="s">
        <v>203</v>
      </c>
      <c r="LKF11" s="314" t="s">
        <v>203</v>
      </c>
      <c r="LKG11" s="314" t="s">
        <v>203</v>
      </c>
      <c r="LKH11" s="314" t="s">
        <v>203</v>
      </c>
      <c r="LKI11" s="314" t="s">
        <v>203</v>
      </c>
      <c r="LKJ11" s="314" t="s">
        <v>203</v>
      </c>
      <c r="LKK11" s="314" t="s">
        <v>203</v>
      </c>
      <c r="LKL11" s="314" t="s">
        <v>203</v>
      </c>
      <c r="LKM11" s="314" t="s">
        <v>203</v>
      </c>
      <c r="LKN11" s="314" t="s">
        <v>203</v>
      </c>
      <c r="LKO11" s="314" t="s">
        <v>203</v>
      </c>
      <c r="LKP11" s="314" t="s">
        <v>203</v>
      </c>
      <c r="LKQ11" s="314" t="s">
        <v>203</v>
      </c>
      <c r="LKR11" s="314" t="s">
        <v>203</v>
      </c>
      <c r="LKS11" s="314" t="s">
        <v>203</v>
      </c>
      <c r="LKT11" s="314" t="s">
        <v>203</v>
      </c>
      <c r="LKU11" s="314" t="s">
        <v>203</v>
      </c>
      <c r="LKV11" s="314" t="s">
        <v>203</v>
      </c>
      <c r="LKW11" s="314" t="s">
        <v>203</v>
      </c>
      <c r="LKX11" s="314" t="s">
        <v>203</v>
      </c>
      <c r="LKY11" s="314" t="s">
        <v>203</v>
      </c>
      <c r="LKZ11" s="314" t="s">
        <v>203</v>
      </c>
      <c r="LLA11" s="314" t="s">
        <v>203</v>
      </c>
      <c r="LLB11" s="314" t="s">
        <v>203</v>
      </c>
      <c r="LLC11" s="314" t="s">
        <v>203</v>
      </c>
      <c r="LLD11" s="314" t="s">
        <v>203</v>
      </c>
      <c r="LLE11" s="314" t="s">
        <v>203</v>
      </c>
      <c r="LLF11" s="314" t="s">
        <v>203</v>
      </c>
      <c r="LLG11" s="314" t="s">
        <v>203</v>
      </c>
      <c r="LLH11" s="314" t="s">
        <v>203</v>
      </c>
      <c r="LLI11" s="314" t="s">
        <v>203</v>
      </c>
      <c r="LLJ11" s="314" t="s">
        <v>203</v>
      </c>
      <c r="LLK11" s="314" t="s">
        <v>203</v>
      </c>
      <c r="LLL11" s="314" t="s">
        <v>203</v>
      </c>
      <c r="LLM11" s="314" t="s">
        <v>203</v>
      </c>
      <c r="LLN11" s="314" t="s">
        <v>203</v>
      </c>
      <c r="LLO11" s="314" t="s">
        <v>203</v>
      </c>
      <c r="LLP11" s="314" t="s">
        <v>203</v>
      </c>
      <c r="LLQ11" s="314" t="s">
        <v>203</v>
      </c>
      <c r="LLR11" s="314" t="s">
        <v>203</v>
      </c>
      <c r="LLS11" s="314" t="s">
        <v>203</v>
      </c>
      <c r="LLT11" s="314" t="s">
        <v>203</v>
      </c>
      <c r="LLU11" s="314" t="s">
        <v>203</v>
      </c>
      <c r="LLV11" s="314" t="s">
        <v>203</v>
      </c>
      <c r="LLW11" s="314" t="s">
        <v>203</v>
      </c>
      <c r="LLX11" s="314" t="s">
        <v>203</v>
      </c>
      <c r="LLY11" s="314" t="s">
        <v>203</v>
      </c>
      <c r="LLZ11" s="314" t="s">
        <v>203</v>
      </c>
      <c r="LMA11" s="314" t="s">
        <v>203</v>
      </c>
      <c r="LMB11" s="314" t="s">
        <v>203</v>
      </c>
      <c r="LMC11" s="314" t="s">
        <v>203</v>
      </c>
      <c r="LMD11" s="314" t="s">
        <v>203</v>
      </c>
      <c r="LME11" s="314" t="s">
        <v>203</v>
      </c>
      <c r="LMF11" s="314" t="s">
        <v>203</v>
      </c>
      <c r="LMG11" s="314" t="s">
        <v>203</v>
      </c>
      <c r="LMH11" s="314" t="s">
        <v>203</v>
      </c>
      <c r="LMI11" s="314" t="s">
        <v>203</v>
      </c>
      <c r="LMJ11" s="314" t="s">
        <v>203</v>
      </c>
      <c r="LMK11" s="314" t="s">
        <v>203</v>
      </c>
      <c r="LML11" s="314" t="s">
        <v>203</v>
      </c>
      <c r="LMM11" s="314" t="s">
        <v>203</v>
      </c>
      <c r="LMN11" s="314" t="s">
        <v>203</v>
      </c>
      <c r="LMO11" s="314" t="s">
        <v>203</v>
      </c>
      <c r="LMP11" s="314" t="s">
        <v>203</v>
      </c>
      <c r="LMQ11" s="314" t="s">
        <v>203</v>
      </c>
      <c r="LMR11" s="314" t="s">
        <v>203</v>
      </c>
      <c r="LMS11" s="314" t="s">
        <v>203</v>
      </c>
      <c r="LMT11" s="314" t="s">
        <v>203</v>
      </c>
      <c r="LMU11" s="314" t="s">
        <v>203</v>
      </c>
      <c r="LMV11" s="314" t="s">
        <v>203</v>
      </c>
      <c r="LMW11" s="314" t="s">
        <v>203</v>
      </c>
      <c r="LMX11" s="314" t="s">
        <v>203</v>
      </c>
      <c r="LMY11" s="314" t="s">
        <v>203</v>
      </c>
      <c r="LMZ11" s="314" t="s">
        <v>203</v>
      </c>
      <c r="LNA11" s="314" t="s">
        <v>203</v>
      </c>
      <c r="LNB11" s="314" t="s">
        <v>203</v>
      </c>
      <c r="LNC11" s="314" t="s">
        <v>203</v>
      </c>
      <c r="LND11" s="314" t="s">
        <v>203</v>
      </c>
      <c r="LNE11" s="314" t="s">
        <v>203</v>
      </c>
      <c r="LNF11" s="314" t="s">
        <v>203</v>
      </c>
      <c r="LNG11" s="314" t="s">
        <v>203</v>
      </c>
      <c r="LNH11" s="314" t="s">
        <v>203</v>
      </c>
      <c r="LNI11" s="314" t="s">
        <v>203</v>
      </c>
      <c r="LNJ11" s="314" t="s">
        <v>203</v>
      </c>
      <c r="LNK11" s="314" t="s">
        <v>203</v>
      </c>
      <c r="LNL11" s="314" t="s">
        <v>203</v>
      </c>
      <c r="LNM11" s="314" t="s">
        <v>203</v>
      </c>
      <c r="LNN11" s="314" t="s">
        <v>203</v>
      </c>
      <c r="LNO11" s="314" t="s">
        <v>203</v>
      </c>
      <c r="LNP11" s="314" t="s">
        <v>203</v>
      </c>
      <c r="LNQ11" s="314" t="s">
        <v>203</v>
      </c>
      <c r="LNR11" s="314" t="s">
        <v>203</v>
      </c>
      <c r="LNS11" s="314" t="s">
        <v>203</v>
      </c>
      <c r="LNT11" s="314" t="s">
        <v>203</v>
      </c>
      <c r="LNU11" s="314" t="s">
        <v>203</v>
      </c>
      <c r="LNV11" s="314" t="s">
        <v>203</v>
      </c>
      <c r="LNW11" s="314" t="s">
        <v>203</v>
      </c>
      <c r="LNX11" s="314" t="s">
        <v>203</v>
      </c>
      <c r="LNY11" s="314" t="s">
        <v>203</v>
      </c>
      <c r="LNZ11" s="314" t="s">
        <v>203</v>
      </c>
      <c r="LOA11" s="314" t="s">
        <v>203</v>
      </c>
      <c r="LOB11" s="314" t="s">
        <v>203</v>
      </c>
      <c r="LOC11" s="314" t="s">
        <v>203</v>
      </c>
      <c r="LOD11" s="314" t="s">
        <v>203</v>
      </c>
      <c r="LOE11" s="314" t="s">
        <v>203</v>
      </c>
      <c r="LOF11" s="314" t="s">
        <v>203</v>
      </c>
      <c r="LOG11" s="314" t="s">
        <v>203</v>
      </c>
      <c r="LOH11" s="314" t="s">
        <v>203</v>
      </c>
      <c r="LOI11" s="314" t="s">
        <v>203</v>
      </c>
      <c r="LOJ11" s="314" t="s">
        <v>203</v>
      </c>
      <c r="LOK11" s="314" t="s">
        <v>203</v>
      </c>
      <c r="LOL11" s="314" t="s">
        <v>203</v>
      </c>
      <c r="LOM11" s="314" t="s">
        <v>203</v>
      </c>
      <c r="LON11" s="314" t="s">
        <v>203</v>
      </c>
      <c r="LOO11" s="314" t="s">
        <v>203</v>
      </c>
      <c r="LOP11" s="314" t="s">
        <v>203</v>
      </c>
      <c r="LOQ11" s="314" t="s">
        <v>203</v>
      </c>
      <c r="LOR11" s="314" t="s">
        <v>203</v>
      </c>
      <c r="LOS11" s="314" t="s">
        <v>203</v>
      </c>
      <c r="LOT11" s="314" t="s">
        <v>203</v>
      </c>
      <c r="LOU11" s="314" t="s">
        <v>203</v>
      </c>
      <c r="LOV11" s="314" t="s">
        <v>203</v>
      </c>
      <c r="LOW11" s="314" t="s">
        <v>203</v>
      </c>
      <c r="LOX11" s="314" t="s">
        <v>203</v>
      </c>
      <c r="LOY11" s="314" t="s">
        <v>203</v>
      </c>
      <c r="LOZ11" s="314" t="s">
        <v>203</v>
      </c>
      <c r="LPA11" s="314" t="s">
        <v>203</v>
      </c>
      <c r="LPB11" s="314" t="s">
        <v>203</v>
      </c>
      <c r="LPC11" s="314" t="s">
        <v>203</v>
      </c>
      <c r="LPD11" s="314" t="s">
        <v>203</v>
      </c>
      <c r="LPE11" s="314" t="s">
        <v>203</v>
      </c>
      <c r="LPF11" s="314" t="s">
        <v>203</v>
      </c>
      <c r="LPG11" s="314" t="s">
        <v>203</v>
      </c>
      <c r="LPH11" s="314" t="s">
        <v>203</v>
      </c>
      <c r="LPI11" s="314" t="s">
        <v>203</v>
      </c>
      <c r="LPJ11" s="314" t="s">
        <v>203</v>
      </c>
      <c r="LPK11" s="314" t="s">
        <v>203</v>
      </c>
      <c r="LPL11" s="314" t="s">
        <v>203</v>
      </c>
      <c r="LPM11" s="314" t="s">
        <v>203</v>
      </c>
      <c r="LPN11" s="314" t="s">
        <v>203</v>
      </c>
      <c r="LPO11" s="314" t="s">
        <v>203</v>
      </c>
      <c r="LPP11" s="314" t="s">
        <v>203</v>
      </c>
      <c r="LPQ11" s="314" t="s">
        <v>203</v>
      </c>
      <c r="LPR11" s="314" t="s">
        <v>203</v>
      </c>
      <c r="LPS11" s="314" t="s">
        <v>203</v>
      </c>
      <c r="LPT11" s="314" t="s">
        <v>203</v>
      </c>
      <c r="LPU11" s="314" t="s">
        <v>203</v>
      </c>
      <c r="LPV11" s="314" t="s">
        <v>203</v>
      </c>
      <c r="LPW11" s="314" t="s">
        <v>203</v>
      </c>
      <c r="LPX11" s="314" t="s">
        <v>203</v>
      </c>
      <c r="LPY11" s="314" t="s">
        <v>203</v>
      </c>
      <c r="LPZ11" s="314" t="s">
        <v>203</v>
      </c>
      <c r="LQA11" s="314" t="s">
        <v>203</v>
      </c>
      <c r="LQB11" s="314" t="s">
        <v>203</v>
      </c>
      <c r="LQC11" s="314" t="s">
        <v>203</v>
      </c>
      <c r="LQD11" s="314" t="s">
        <v>203</v>
      </c>
      <c r="LQE11" s="314" t="s">
        <v>203</v>
      </c>
      <c r="LQF11" s="314" t="s">
        <v>203</v>
      </c>
      <c r="LQG11" s="314" t="s">
        <v>203</v>
      </c>
      <c r="LQH11" s="314" t="s">
        <v>203</v>
      </c>
      <c r="LQI11" s="314" t="s">
        <v>203</v>
      </c>
      <c r="LQJ11" s="314" t="s">
        <v>203</v>
      </c>
      <c r="LQK11" s="314" t="s">
        <v>203</v>
      </c>
      <c r="LQL11" s="314" t="s">
        <v>203</v>
      </c>
      <c r="LQM11" s="314" t="s">
        <v>203</v>
      </c>
      <c r="LQN11" s="314" t="s">
        <v>203</v>
      </c>
      <c r="LQO11" s="314" t="s">
        <v>203</v>
      </c>
      <c r="LQP11" s="314" t="s">
        <v>203</v>
      </c>
      <c r="LQQ11" s="314" t="s">
        <v>203</v>
      </c>
      <c r="LQR11" s="314" t="s">
        <v>203</v>
      </c>
      <c r="LQS11" s="314" t="s">
        <v>203</v>
      </c>
      <c r="LQT11" s="314" t="s">
        <v>203</v>
      </c>
      <c r="LQU11" s="314" t="s">
        <v>203</v>
      </c>
      <c r="LQV11" s="314" t="s">
        <v>203</v>
      </c>
      <c r="LQW11" s="314" t="s">
        <v>203</v>
      </c>
      <c r="LQX11" s="314" t="s">
        <v>203</v>
      </c>
      <c r="LQY11" s="314" t="s">
        <v>203</v>
      </c>
      <c r="LQZ11" s="314" t="s">
        <v>203</v>
      </c>
      <c r="LRA11" s="314" t="s">
        <v>203</v>
      </c>
      <c r="LRB11" s="314" t="s">
        <v>203</v>
      </c>
      <c r="LRC11" s="314" t="s">
        <v>203</v>
      </c>
      <c r="LRD11" s="314" t="s">
        <v>203</v>
      </c>
      <c r="LRE11" s="314" t="s">
        <v>203</v>
      </c>
      <c r="LRF11" s="314" t="s">
        <v>203</v>
      </c>
      <c r="LRG11" s="314" t="s">
        <v>203</v>
      </c>
      <c r="LRH11" s="314" t="s">
        <v>203</v>
      </c>
      <c r="LRI11" s="314" t="s">
        <v>203</v>
      </c>
      <c r="LRJ11" s="314" t="s">
        <v>203</v>
      </c>
      <c r="LRK11" s="314" t="s">
        <v>203</v>
      </c>
      <c r="LRL11" s="314" t="s">
        <v>203</v>
      </c>
      <c r="LRM11" s="314" t="s">
        <v>203</v>
      </c>
      <c r="LRN11" s="314" t="s">
        <v>203</v>
      </c>
      <c r="LRO11" s="314" t="s">
        <v>203</v>
      </c>
      <c r="LRP11" s="314" t="s">
        <v>203</v>
      </c>
      <c r="LRQ11" s="314" t="s">
        <v>203</v>
      </c>
      <c r="LRR11" s="314" t="s">
        <v>203</v>
      </c>
      <c r="LRS11" s="314" t="s">
        <v>203</v>
      </c>
      <c r="LRT11" s="314" t="s">
        <v>203</v>
      </c>
      <c r="LRU11" s="314" t="s">
        <v>203</v>
      </c>
      <c r="LRV11" s="314" t="s">
        <v>203</v>
      </c>
      <c r="LRW11" s="314" t="s">
        <v>203</v>
      </c>
      <c r="LRX11" s="314" t="s">
        <v>203</v>
      </c>
      <c r="LRY11" s="314" t="s">
        <v>203</v>
      </c>
      <c r="LRZ11" s="314" t="s">
        <v>203</v>
      </c>
      <c r="LSA11" s="314" t="s">
        <v>203</v>
      </c>
      <c r="LSB11" s="314" t="s">
        <v>203</v>
      </c>
      <c r="LSC11" s="314" t="s">
        <v>203</v>
      </c>
      <c r="LSD11" s="314" t="s">
        <v>203</v>
      </c>
      <c r="LSE11" s="314" t="s">
        <v>203</v>
      </c>
      <c r="LSF11" s="314" t="s">
        <v>203</v>
      </c>
      <c r="LSG11" s="314" t="s">
        <v>203</v>
      </c>
      <c r="LSH11" s="314" t="s">
        <v>203</v>
      </c>
      <c r="LSI11" s="314" t="s">
        <v>203</v>
      </c>
      <c r="LSJ11" s="314" t="s">
        <v>203</v>
      </c>
      <c r="LSK11" s="314" t="s">
        <v>203</v>
      </c>
      <c r="LSL11" s="314" t="s">
        <v>203</v>
      </c>
      <c r="LSM11" s="314" t="s">
        <v>203</v>
      </c>
      <c r="LSN11" s="314" t="s">
        <v>203</v>
      </c>
      <c r="LSO11" s="314" t="s">
        <v>203</v>
      </c>
      <c r="LSP11" s="314" t="s">
        <v>203</v>
      </c>
      <c r="LSQ11" s="314" t="s">
        <v>203</v>
      </c>
      <c r="LSR11" s="314" t="s">
        <v>203</v>
      </c>
      <c r="LSS11" s="314" t="s">
        <v>203</v>
      </c>
      <c r="LST11" s="314" t="s">
        <v>203</v>
      </c>
      <c r="LSU11" s="314" t="s">
        <v>203</v>
      </c>
      <c r="LSV11" s="314" t="s">
        <v>203</v>
      </c>
      <c r="LSW11" s="314" t="s">
        <v>203</v>
      </c>
      <c r="LSX11" s="314" t="s">
        <v>203</v>
      </c>
      <c r="LSY11" s="314" t="s">
        <v>203</v>
      </c>
      <c r="LSZ11" s="314" t="s">
        <v>203</v>
      </c>
      <c r="LTA11" s="314" t="s">
        <v>203</v>
      </c>
      <c r="LTB11" s="314" t="s">
        <v>203</v>
      </c>
      <c r="LTC11" s="314" t="s">
        <v>203</v>
      </c>
      <c r="LTD11" s="314" t="s">
        <v>203</v>
      </c>
      <c r="LTE11" s="314" t="s">
        <v>203</v>
      </c>
      <c r="LTF11" s="314" t="s">
        <v>203</v>
      </c>
      <c r="LTG11" s="314" t="s">
        <v>203</v>
      </c>
      <c r="LTH11" s="314" t="s">
        <v>203</v>
      </c>
      <c r="LTI11" s="314" t="s">
        <v>203</v>
      </c>
      <c r="LTJ11" s="314" t="s">
        <v>203</v>
      </c>
      <c r="LTK11" s="314" t="s">
        <v>203</v>
      </c>
      <c r="LTL11" s="314" t="s">
        <v>203</v>
      </c>
      <c r="LTM11" s="314" t="s">
        <v>203</v>
      </c>
      <c r="LTN11" s="314" t="s">
        <v>203</v>
      </c>
      <c r="LTO11" s="314" t="s">
        <v>203</v>
      </c>
      <c r="LTP11" s="314" t="s">
        <v>203</v>
      </c>
      <c r="LTQ11" s="314" t="s">
        <v>203</v>
      </c>
      <c r="LTR11" s="314" t="s">
        <v>203</v>
      </c>
      <c r="LTS11" s="314" t="s">
        <v>203</v>
      </c>
      <c r="LTT11" s="314" t="s">
        <v>203</v>
      </c>
      <c r="LTU11" s="314" t="s">
        <v>203</v>
      </c>
      <c r="LTV11" s="314" t="s">
        <v>203</v>
      </c>
      <c r="LTW11" s="314" t="s">
        <v>203</v>
      </c>
      <c r="LTX11" s="314" t="s">
        <v>203</v>
      </c>
      <c r="LTY11" s="314" t="s">
        <v>203</v>
      </c>
      <c r="LTZ11" s="314" t="s">
        <v>203</v>
      </c>
      <c r="LUA11" s="314" t="s">
        <v>203</v>
      </c>
      <c r="LUB11" s="314" t="s">
        <v>203</v>
      </c>
      <c r="LUC11" s="314" t="s">
        <v>203</v>
      </c>
      <c r="LUD11" s="314" t="s">
        <v>203</v>
      </c>
      <c r="LUE11" s="314" t="s">
        <v>203</v>
      </c>
      <c r="LUF11" s="314" t="s">
        <v>203</v>
      </c>
      <c r="LUG11" s="314" t="s">
        <v>203</v>
      </c>
      <c r="LUH11" s="314" t="s">
        <v>203</v>
      </c>
      <c r="LUI11" s="314" t="s">
        <v>203</v>
      </c>
      <c r="LUJ11" s="314" t="s">
        <v>203</v>
      </c>
      <c r="LUK11" s="314" t="s">
        <v>203</v>
      </c>
      <c r="LUL11" s="314" t="s">
        <v>203</v>
      </c>
      <c r="LUM11" s="314" t="s">
        <v>203</v>
      </c>
      <c r="LUN11" s="314" t="s">
        <v>203</v>
      </c>
      <c r="LUO11" s="314" t="s">
        <v>203</v>
      </c>
      <c r="LUP11" s="314" t="s">
        <v>203</v>
      </c>
      <c r="LUQ11" s="314" t="s">
        <v>203</v>
      </c>
      <c r="LUR11" s="314" t="s">
        <v>203</v>
      </c>
      <c r="LUS11" s="314" t="s">
        <v>203</v>
      </c>
      <c r="LUT11" s="314" t="s">
        <v>203</v>
      </c>
      <c r="LUU11" s="314" t="s">
        <v>203</v>
      </c>
      <c r="LUV11" s="314" t="s">
        <v>203</v>
      </c>
      <c r="LUW11" s="314" t="s">
        <v>203</v>
      </c>
      <c r="LUX11" s="314" t="s">
        <v>203</v>
      </c>
      <c r="LUY11" s="314" t="s">
        <v>203</v>
      </c>
      <c r="LUZ11" s="314" t="s">
        <v>203</v>
      </c>
      <c r="LVA11" s="314" t="s">
        <v>203</v>
      </c>
      <c r="LVB11" s="314" t="s">
        <v>203</v>
      </c>
      <c r="LVC11" s="314" t="s">
        <v>203</v>
      </c>
      <c r="LVD11" s="314" t="s">
        <v>203</v>
      </c>
      <c r="LVE11" s="314" t="s">
        <v>203</v>
      </c>
      <c r="LVF11" s="314" t="s">
        <v>203</v>
      </c>
      <c r="LVG11" s="314" t="s">
        <v>203</v>
      </c>
      <c r="LVH11" s="314" t="s">
        <v>203</v>
      </c>
      <c r="LVI11" s="314" t="s">
        <v>203</v>
      </c>
      <c r="LVJ11" s="314" t="s">
        <v>203</v>
      </c>
      <c r="LVK11" s="314" t="s">
        <v>203</v>
      </c>
      <c r="LVL11" s="314" t="s">
        <v>203</v>
      </c>
      <c r="LVM11" s="314" t="s">
        <v>203</v>
      </c>
      <c r="LVN11" s="314" t="s">
        <v>203</v>
      </c>
      <c r="LVO11" s="314" t="s">
        <v>203</v>
      </c>
      <c r="LVP11" s="314" t="s">
        <v>203</v>
      </c>
      <c r="LVQ11" s="314" t="s">
        <v>203</v>
      </c>
      <c r="LVR11" s="314" t="s">
        <v>203</v>
      </c>
      <c r="LVS11" s="314" t="s">
        <v>203</v>
      </c>
      <c r="LVT11" s="314" t="s">
        <v>203</v>
      </c>
      <c r="LVU11" s="314" t="s">
        <v>203</v>
      </c>
      <c r="LVV11" s="314" t="s">
        <v>203</v>
      </c>
      <c r="LVW11" s="314" t="s">
        <v>203</v>
      </c>
      <c r="LVX11" s="314" t="s">
        <v>203</v>
      </c>
      <c r="LVY11" s="314" t="s">
        <v>203</v>
      </c>
      <c r="LVZ11" s="314" t="s">
        <v>203</v>
      </c>
      <c r="LWA11" s="314" t="s">
        <v>203</v>
      </c>
      <c r="LWB11" s="314" t="s">
        <v>203</v>
      </c>
      <c r="LWC11" s="314" t="s">
        <v>203</v>
      </c>
      <c r="LWD11" s="314" t="s">
        <v>203</v>
      </c>
      <c r="LWE11" s="314" t="s">
        <v>203</v>
      </c>
      <c r="LWF11" s="314" t="s">
        <v>203</v>
      </c>
      <c r="LWG11" s="314" t="s">
        <v>203</v>
      </c>
      <c r="LWH11" s="314" t="s">
        <v>203</v>
      </c>
      <c r="LWI11" s="314" t="s">
        <v>203</v>
      </c>
      <c r="LWJ11" s="314" t="s">
        <v>203</v>
      </c>
      <c r="LWK11" s="314" t="s">
        <v>203</v>
      </c>
      <c r="LWL11" s="314" t="s">
        <v>203</v>
      </c>
      <c r="LWM11" s="314" t="s">
        <v>203</v>
      </c>
      <c r="LWN11" s="314" t="s">
        <v>203</v>
      </c>
      <c r="LWO11" s="314" t="s">
        <v>203</v>
      </c>
      <c r="LWP11" s="314" t="s">
        <v>203</v>
      </c>
      <c r="LWQ11" s="314" t="s">
        <v>203</v>
      </c>
      <c r="LWR11" s="314" t="s">
        <v>203</v>
      </c>
      <c r="LWS11" s="314" t="s">
        <v>203</v>
      </c>
      <c r="LWT11" s="314" t="s">
        <v>203</v>
      </c>
      <c r="LWU11" s="314" t="s">
        <v>203</v>
      </c>
      <c r="LWV11" s="314" t="s">
        <v>203</v>
      </c>
      <c r="LWW11" s="314" t="s">
        <v>203</v>
      </c>
      <c r="LWX11" s="314" t="s">
        <v>203</v>
      </c>
      <c r="LWY11" s="314" t="s">
        <v>203</v>
      </c>
      <c r="LWZ11" s="314" t="s">
        <v>203</v>
      </c>
      <c r="LXA11" s="314" t="s">
        <v>203</v>
      </c>
      <c r="LXB11" s="314" t="s">
        <v>203</v>
      </c>
      <c r="LXC11" s="314" t="s">
        <v>203</v>
      </c>
      <c r="LXD11" s="314" t="s">
        <v>203</v>
      </c>
      <c r="LXE11" s="314" t="s">
        <v>203</v>
      </c>
      <c r="LXF11" s="314" t="s">
        <v>203</v>
      </c>
      <c r="LXG11" s="314" t="s">
        <v>203</v>
      </c>
      <c r="LXH11" s="314" t="s">
        <v>203</v>
      </c>
      <c r="LXI11" s="314" t="s">
        <v>203</v>
      </c>
      <c r="LXJ11" s="314" t="s">
        <v>203</v>
      </c>
      <c r="LXK11" s="314" t="s">
        <v>203</v>
      </c>
      <c r="LXL11" s="314" t="s">
        <v>203</v>
      </c>
      <c r="LXM11" s="314" t="s">
        <v>203</v>
      </c>
      <c r="LXN11" s="314" t="s">
        <v>203</v>
      </c>
      <c r="LXO11" s="314" t="s">
        <v>203</v>
      </c>
      <c r="LXP11" s="314" t="s">
        <v>203</v>
      </c>
      <c r="LXQ11" s="314" t="s">
        <v>203</v>
      </c>
      <c r="LXR11" s="314" t="s">
        <v>203</v>
      </c>
      <c r="LXS11" s="314" t="s">
        <v>203</v>
      </c>
      <c r="LXT11" s="314" t="s">
        <v>203</v>
      </c>
      <c r="LXU11" s="314" t="s">
        <v>203</v>
      </c>
      <c r="LXV11" s="314" t="s">
        <v>203</v>
      </c>
      <c r="LXW11" s="314" t="s">
        <v>203</v>
      </c>
      <c r="LXX11" s="314" t="s">
        <v>203</v>
      </c>
      <c r="LXY11" s="314" t="s">
        <v>203</v>
      </c>
      <c r="LXZ11" s="314" t="s">
        <v>203</v>
      </c>
      <c r="LYA11" s="314" t="s">
        <v>203</v>
      </c>
      <c r="LYB11" s="314" t="s">
        <v>203</v>
      </c>
      <c r="LYC11" s="314" t="s">
        <v>203</v>
      </c>
      <c r="LYD11" s="314" t="s">
        <v>203</v>
      </c>
      <c r="LYE11" s="314" t="s">
        <v>203</v>
      </c>
      <c r="LYF11" s="314" t="s">
        <v>203</v>
      </c>
      <c r="LYG11" s="314" t="s">
        <v>203</v>
      </c>
      <c r="LYH11" s="314" t="s">
        <v>203</v>
      </c>
      <c r="LYI11" s="314" t="s">
        <v>203</v>
      </c>
      <c r="LYJ11" s="314" t="s">
        <v>203</v>
      </c>
      <c r="LYK11" s="314" t="s">
        <v>203</v>
      </c>
      <c r="LYL11" s="314" t="s">
        <v>203</v>
      </c>
      <c r="LYM11" s="314" t="s">
        <v>203</v>
      </c>
      <c r="LYN11" s="314" t="s">
        <v>203</v>
      </c>
      <c r="LYO11" s="314" t="s">
        <v>203</v>
      </c>
      <c r="LYP11" s="314" t="s">
        <v>203</v>
      </c>
      <c r="LYQ11" s="314" t="s">
        <v>203</v>
      </c>
      <c r="LYR11" s="314" t="s">
        <v>203</v>
      </c>
      <c r="LYS11" s="314" t="s">
        <v>203</v>
      </c>
      <c r="LYT11" s="314" t="s">
        <v>203</v>
      </c>
      <c r="LYU11" s="314" t="s">
        <v>203</v>
      </c>
      <c r="LYV11" s="314" t="s">
        <v>203</v>
      </c>
      <c r="LYW11" s="314" t="s">
        <v>203</v>
      </c>
      <c r="LYX11" s="314" t="s">
        <v>203</v>
      </c>
      <c r="LYY11" s="314" t="s">
        <v>203</v>
      </c>
      <c r="LYZ11" s="314" t="s">
        <v>203</v>
      </c>
      <c r="LZA11" s="314" t="s">
        <v>203</v>
      </c>
      <c r="LZB11" s="314" t="s">
        <v>203</v>
      </c>
      <c r="LZC11" s="314" t="s">
        <v>203</v>
      </c>
      <c r="LZD11" s="314" t="s">
        <v>203</v>
      </c>
      <c r="LZE11" s="314" t="s">
        <v>203</v>
      </c>
      <c r="LZF11" s="314" t="s">
        <v>203</v>
      </c>
      <c r="LZG11" s="314" t="s">
        <v>203</v>
      </c>
      <c r="LZH11" s="314" t="s">
        <v>203</v>
      </c>
      <c r="LZI11" s="314" t="s">
        <v>203</v>
      </c>
      <c r="LZJ11" s="314" t="s">
        <v>203</v>
      </c>
      <c r="LZK11" s="314" t="s">
        <v>203</v>
      </c>
      <c r="LZL11" s="314" t="s">
        <v>203</v>
      </c>
      <c r="LZM11" s="314" t="s">
        <v>203</v>
      </c>
      <c r="LZN11" s="314" t="s">
        <v>203</v>
      </c>
      <c r="LZO11" s="314" t="s">
        <v>203</v>
      </c>
      <c r="LZP11" s="314" t="s">
        <v>203</v>
      </c>
      <c r="LZQ11" s="314" t="s">
        <v>203</v>
      </c>
      <c r="LZR11" s="314" t="s">
        <v>203</v>
      </c>
      <c r="LZS11" s="314" t="s">
        <v>203</v>
      </c>
      <c r="LZT11" s="314" t="s">
        <v>203</v>
      </c>
      <c r="LZU11" s="314" t="s">
        <v>203</v>
      </c>
      <c r="LZV11" s="314" t="s">
        <v>203</v>
      </c>
      <c r="LZW11" s="314" t="s">
        <v>203</v>
      </c>
      <c r="LZX11" s="314" t="s">
        <v>203</v>
      </c>
      <c r="LZY11" s="314" t="s">
        <v>203</v>
      </c>
      <c r="LZZ11" s="314" t="s">
        <v>203</v>
      </c>
      <c r="MAA11" s="314" t="s">
        <v>203</v>
      </c>
      <c r="MAB11" s="314" t="s">
        <v>203</v>
      </c>
      <c r="MAC11" s="314" t="s">
        <v>203</v>
      </c>
      <c r="MAD11" s="314" t="s">
        <v>203</v>
      </c>
      <c r="MAE11" s="314" t="s">
        <v>203</v>
      </c>
      <c r="MAF11" s="314" t="s">
        <v>203</v>
      </c>
      <c r="MAG11" s="314" t="s">
        <v>203</v>
      </c>
      <c r="MAH11" s="314" t="s">
        <v>203</v>
      </c>
      <c r="MAI11" s="314" t="s">
        <v>203</v>
      </c>
      <c r="MAJ11" s="314" t="s">
        <v>203</v>
      </c>
      <c r="MAK11" s="314" t="s">
        <v>203</v>
      </c>
      <c r="MAL11" s="314" t="s">
        <v>203</v>
      </c>
      <c r="MAM11" s="314" t="s">
        <v>203</v>
      </c>
      <c r="MAN11" s="314" t="s">
        <v>203</v>
      </c>
      <c r="MAO11" s="314" t="s">
        <v>203</v>
      </c>
      <c r="MAP11" s="314" t="s">
        <v>203</v>
      </c>
      <c r="MAQ11" s="314" t="s">
        <v>203</v>
      </c>
      <c r="MAR11" s="314" t="s">
        <v>203</v>
      </c>
      <c r="MAS11" s="314" t="s">
        <v>203</v>
      </c>
      <c r="MAT11" s="314" t="s">
        <v>203</v>
      </c>
      <c r="MAU11" s="314" t="s">
        <v>203</v>
      </c>
      <c r="MAV11" s="314" t="s">
        <v>203</v>
      </c>
      <c r="MAW11" s="314" t="s">
        <v>203</v>
      </c>
      <c r="MAX11" s="314" t="s">
        <v>203</v>
      </c>
      <c r="MAY11" s="314" t="s">
        <v>203</v>
      </c>
      <c r="MAZ11" s="314" t="s">
        <v>203</v>
      </c>
      <c r="MBA11" s="314" t="s">
        <v>203</v>
      </c>
      <c r="MBB11" s="314" t="s">
        <v>203</v>
      </c>
      <c r="MBC11" s="314" t="s">
        <v>203</v>
      </c>
      <c r="MBD11" s="314" t="s">
        <v>203</v>
      </c>
      <c r="MBE11" s="314" t="s">
        <v>203</v>
      </c>
      <c r="MBF11" s="314" t="s">
        <v>203</v>
      </c>
      <c r="MBG11" s="314" t="s">
        <v>203</v>
      </c>
      <c r="MBH11" s="314" t="s">
        <v>203</v>
      </c>
      <c r="MBI11" s="314" t="s">
        <v>203</v>
      </c>
      <c r="MBJ11" s="314" t="s">
        <v>203</v>
      </c>
      <c r="MBK11" s="314" t="s">
        <v>203</v>
      </c>
      <c r="MBL11" s="314" t="s">
        <v>203</v>
      </c>
      <c r="MBM11" s="314" t="s">
        <v>203</v>
      </c>
      <c r="MBN11" s="314" t="s">
        <v>203</v>
      </c>
      <c r="MBO11" s="314" t="s">
        <v>203</v>
      </c>
      <c r="MBP11" s="314" t="s">
        <v>203</v>
      </c>
      <c r="MBQ11" s="314" t="s">
        <v>203</v>
      </c>
      <c r="MBR11" s="314" t="s">
        <v>203</v>
      </c>
      <c r="MBS11" s="314" t="s">
        <v>203</v>
      </c>
      <c r="MBT11" s="314" t="s">
        <v>203</v>
      </c>
      <c r="MBU11" s="314" t="s">
        <v>203</v>
      </c>
      <c r="MBV11" s="314" t="s">
        <v>203</v>
      </c>
      <c r="MBW11" s="314" t="s">
        <v>203</v>
      </c>
      <c r="MBX11" s="314" t="s">
        <v>203</v>
      </c>
      <c r="MBY11" s="314" t="s">
        <v>203</v>
      </c>
      <c r="MBZ11" s="314" t="s">
        <v>203</v>
      </c>
      <c r="MCA11" s="314" t="s">
        <v>203</v>
      </c>
      <c r="MCB11" s="314" t="s">
        <v>203</v>
      </c>
      <c r="MCC11" s="314" t="s">
        <v>203</v>
      </c>
      <c r="MCD11" s="314" t="s">
        <v>203</v>
      </c>
      <c r="MCE11" s="314" t="s">
        <v>203</v>
      </c>
      <c r="MCF11" s="314" t="s">
        <v>203</v>
      </c>
      <c r="MCG11" s="314" t="s">
        <v>203</v>
      </c>
      <c r="MCH11" s="314" t="s">
        <v>203</v>
      </c>
      <c r="MCI11" s="314" t="s">
        <v>203</v>
      </c>
      <c r="MCJ11" s="314" t="s">
        <v>203</v>
      </c>
      <c r="MCK11" s="314" t="s">
        <v>203</v>
      </c>
      <c r="MCL11" s="314" t="s">
        <v>203</v>
      </c>
      <c r="MCM11" s="314" t="s">
        <v>203</v>
      </c>
      <c r="MCN11" s="314" t="s">
        <v>203</v>
      </c>
      <c r="MCO11" s="314" t="s">
        <v>203</v>
      </c>
      <c r="MCP11" s="314" t="s">
        <v>203</v>
      </c>
      <c r="MCQ11" s="314" t="s">
        <v>203</v>
      </c>
      <c r="MCR11" s="314" t="s">
        <v>203</v>
      </c>
      <c r="MCS11" s="314" t="s">
        <v>203</v>
      </c>
      <c r="MCT11" s="314" t="s">
        <v>203</v>
      </c>
      <c r="MCU11" s="314" t="s">
        <v>203</v>
      </c>
      <c r="MCV11" s="314" t="s">
        <v>203</v>
      </c>
      <c r="MCW11" s="314" t="s">
        <v>203</v>
      </c>
      <c r="MCX11" s="314" t="s">
        <v>203</v>
      </c>
      <c r="MCY11" s="314" t="s">
        <v>203</v>
      </c>
      <c r="MCZ11" s="314" t="s">
        <v>203</v>
      </c>
      <c r="MDA11" s="314" t="s">
        <v>203</v>
      </c>
      <c r="MDB11" s="314" t="s">
        <v>203</v>
      </c>
      <c r="MDC11" s="314" t="s">
        <v>203</v>
      </c>
      <c r="MDD11" s="314" t="s">
        <v>203</v>
      </c>
      <c r="MDE11" s="314" t="s">
        <v>203</v>
      </c>
      <c r="MDF11" s="314" t="s">
        <v>203</v>
      </c>
      <c r="MDG11" s="314" t="s">
        <v>203</v>
      </c>
      <c r="MDH11" s="314" t="s">
        <v>203</v>
      </c>
      <c r="MDI11" s="314" t="s">
        <v>203</v>
      </c>
      <c r="MDJ11" s="314" t="s">
        <v>203</v>
      </c>
      <c r="MDK11" s="314" t="s">
        <v>203</v>
      </c>
      <c r="MDL11" s="314" t="s">
        <v>203</v>
      </c>
      <c r="MDM11" s="314" t="s">
        <v>203</v>
      </c>
      <c r="MDN11" s="314" t="s">
        <v>203</v>
      </c>
      <c r="MDO11" s="314" t="s">
        <v>203</v>
      </c>
      <c r="MDP11" s="314" t="s">
        <v>203</v>
      </c>
      <c r="MDQ11" s="314" t="s">
        <v>203</v>
      </c>
      <c r="MDR11" s="314" t="s">
        <v>203</v>
      </c>
      <c r="MDS11" s="314" t="s">
        <v>203</v>
      </c>
      <c r="MDT11" s="314" t="s">
        <v>203</v>
      </c>
      <c r="MDU11" s="314" t="s">
        <v>203</v>
      </c>
      <c r="MDV11" s="314" t="s">
        <v>203</v>
      </c>
      <c r="MDW11" s="314" t="s">
        <v>203</v>
      </c>
      <c r="MDX11" s="314" t="s">
        <v>203</v>
      </c>
      <c r="MDY11" s="314" t="s">
        <v>203</v>
      </c>
      <c r="MDZ11" s="314" t="s">
        <v>203</v>
      </c>
      <c r="MEA11" s="314" t="s">
        <v>203</v>
      </c>
      <c r="MEB11" s="314" t="s">
        <v>203</v>
      </c>
      <c r="MEC11" s="314" t="s">
        <v>203</v>
      </c>
      <c r="MED11" s="314" t="s">
        <v>203</v>
      </c>
      <c r="MEE11" s="314" t="s">
        <v>203</v>
      </c>
      <c r="MEF11" s="314" t="s">
        <v>203</v>
      </c>
      <c r="MEG11" s="314" t="s">
        <v>203</v>
      </c>
      <c r="MEH11" s="314" t="s">
        <v>203</v>
      </c>
      <c r="MEI11" s="314" t="s">
        <v>203</v>
      </c>
      <c r="MEJ11" s="314" t="s">
        <v>203</v>
      </c>
      <c r="MEK11" s="314" t="s">
        <v>203</v>
      </c>
      <c r="MEL11" s="314" t="s">
        <v>203</v>
      </c>
      <c r="MEM11" s="314" t="s">
        <v>203</v>
      </c>
      <c r="MEN11" s="314" t="s">
        <v>203</v>
      </c>
      <c r="MEO11" s="314" t="s">
        <v>203</v>
      </c>
      <c r="MEP11" s="314" t="s">
        <v>203</v>
      </c>
      <c r="MEQ11" s="314" t="s">
        <v>203</v>
      </c>
      <c r="MER11" s="314" t="s">
        <v>203</v>
      </c>
      <c r="MES11" s="314" t="s">
        <v>203</v>
      </c>
      <c r="MET11" s="314" t="s">
        <v>203</v>
      </c>
      <c r="MEU11" s="314" t="s">
        <v>203</v>
      </c>
      <c r="MEV11" s="314" t="s">
        <v>203</v>
      </c>
      <c r="MEW11" s="314" t="s">
        <v>203</v>
      </c>
      <c r="MEX11" s="314" t="s">
        <v>203</v>
      </c>
      <c r="MEY11" s="314" t="s">
        <v>203</v>
      </c>
      <c r="MEZ11" s="314" t="s">
        <v>203</v>
      </c>
      <c r="MFA11" s="314" t="s">
        <v>203</v>
      </c>
      <c r="MFB11" s="314" t="s">
        <v>203</v>
      </c>
      <c r="MFC11" s="314" t="s">
        <v>203</v>
      </c>
      <c r="MFD11" s="314" t="s">
        <v>203</v>
      </c>
      <c r="MFE11" s="314" t="s">
        <v>203</v>
      </c>
      <c r="MFF11" s="314" t="s">
        <v>203</v>
      </c>
      <c r="MFG11" s="314" t="s">
        <v>203</v>
      </c>
      <c r="MFH11" s="314" t="s">
        <v>203</v>
      </c>
      <c r="MFI11" s="314" t="s">
        <v>203</v>
      </c>
      <c r="MFJ11" s="314" t="s">
        <v>203</v>
      </c>
      <c r="MFK11" s="314" t="s">
        <v>203</v>
      </c>
      <c r="MFL11" s="314" t="s">
        <v>203</v>
      </c>
      <c r="MFM11" s="314" t="s">
        <v>203</v>
      </c>
      <c r="MFN11" s="314" t="s">
        <v>203</v>
      </c>
      <c r="MFO11" s="314" t="s">
        <v>203</v>
      </c>
      <c r="MFP11" s="314" t="s">
        <v>203</v>
      </c>
      <c r="MFQ11" s="314" t="s">
        <v>203</v>
      </c>
      <c r="MFR11" s="314" t="s">
        <v>203</v>
      </c>
      <c r="MFS11" s="314" t="s">
        <v>203</v>
      </c>
      <c r="MFT11" s="314" t="s">
        <v>203</v>
      </c>
      <c r="MFU11" s="314" t="s">
        <v>203</v>
      </c>
      <c r="MFV11" s="314" t="s">
        <v>203</v>
      </c>
      <c r="MFW11" s="314" t="s">
        <v>203</v>
      </c>
      <c r="MFX11" s="314" t="s">
        <v>203</v>
      </c>
      <c r="MFY11" s="314" t="s">
        <v>203</v>
      </c>
      <c r="MFZ11" s="314" t="s">
        <v>203</v>
      </c>
      <c r="MGA11" s="314" t="s">
        <v>203</v>
      </c>
      <c r="MGB11" s="314" t="s">
        <v>203</v>
      </c>
      <c r="MGC11" s="314" t="s">
        <v>203</v>
      </c>
      <c r="MGD11" s="314" t="s">
        <v>203</v>
      </c>
      <c r="MGE11" s="314" t="s">
        <v>203</v>
      </c>
      <c r="MGF11" s="314" t="s">
        <v>203</v>
      </c>
      <c r="MGG11" s="314" t="s">
        <v>203</v>
      </c>
      <c r="MGH11" s="314" t="s">
        <v>203</v>
      </c>
      <c r="MGI11" s="314" t="s">
        <v>203</v>
      </c>
      <c r="MGJ11" s="314" t="s">
        <v>203</v>
      </c>
      <c r="MGK11" s="314" t="s">
        <v>203</v>
      </c>
      <c r="MGL11" s="314" t="s">
        <v>203</v>
      </c>
      <c r="MGM11" s="314" t="s">
        <v>203</v>
      </c>
      <c r="MGN11" s="314" t="s">
        <v>203</v>
      </c>
      <c r="MGO11" s="314" t="s">
        <v>203</v>
      </c>
      <c r="MGP11" s="314" t="s">
        <v>203</v>
      </c>
      <c r="MGQ11" s="314" t="s">
        <v>203</v>
      </c>
      <c r="MGR11" s="314" t="s">
        <v>203</v>
      </c>
      <c r="MGS11" s="314" t="s">
        <v>203</v>
      </c>
      <c r="MGT11" s="314" t="s">
        <v>203</v>
      </c>
      <c r="MGU11" s="314" t="s">
        <v>203</v>
      </c>
      <c r="MGV11" s="314" t="s">
        <v>203</v>
      </c>
      <c r="MGW11" s="314" t="s">
        <v>203</v>
      </c>
      <c r="MGX11" s="314" t="s">
        <v>203</v>
      </c>
      <c r="MGY11" s="314" t="s">
        <v>203</v>
      </c>
      <c r="MGZ11" s="314" t="s">
        <v>203</v>
      </c>
      <c r="MHA11" s="314" t="s">
        <v>203</v>
      </c>
      <c r="MHB11" s="314" t="s">
        <v>203</v>
      </c>
      <c r="MHC11" s="314" t="s">
        <v>203</v>
      </c>
      <c r="MHD11" s="314" t="s">
        <v>203</v>
      </c>
      <c r="MHE11" s="314" t="s">
        <v>203</v>
      </c>
      <c r="MHF11" s="314" t="s">
        <v>203</v>
      </c>
      <c r="MHG11" s="314" t="s">
        <v>203</v>
      </c>
      <c r="MHH11" s="314" t="s">
        <v>203</v>
      </c>
      <c r="MHI11" s="314" t="s">
        <v>203</v>
      </c>
      <c r="MHJ11" s="314" t="s">
        <v>203</v>
      </c>
      <c r="MHK11" s="314" t="s">
        <v>203</v>
      </c>
      <c r="MHL11" s="314" t="s">
        <v>203</v>
      </c>
      <c r="MHM11" s="314" t="s">
        <v>203</v>
      </c>
      <c r="MHN11" s="314" t="s">
        <v>203</v>
      </c>
      <c r="MHO11" s="314" t="s">
        <v>203</v>
      </c>
      <c r="MHP11" s="314" t="s">
        <v>203</v>
      </c>
      <c r="MHQ11" s="314" t="s">
        <v>203</v>
      </c>
      <c r="MHR11" s="314" t="s">
        <v>203</v>
      </c>
      <c r="MHS11" s="314" t="s">
        <v>203</v>
      </c>
      <c r="MHT11" s="314" t="s">
        <v>203</v>
      </c>
      <c r="MHU11" s="314" t="s">
        <v>203</v>
      </c>
      <c r="MHV11" s="314" t="s">
        <v>203</v>
      </c>
      <c r="MHW11" s="314" t="s">
        <v>203</v>
      </c>
      <c r="MHX11" s="314" t="s">
        <v>203</v>
      </c>
      <c r="MHY11" s="314" t="s">
        <v>203</v>
      </c>
      <c r="MHZ11" s="314" t="s">
        <v>203</v>
      </c>
      <c r="MIA11" s="314" t="s">
        <v>203</v>
      </c>
      <c r="MIB11" s="314" t="s">
        <v>203</v>
      </c>
      <c r="MIC11" s="314" t="s">
        <v>203</v>
      </c>
      <c r="MID11" s="314" t="s">
        <v>203</v>
      </c>
      <c r="MIE11" s="314" t="s">
        <v>203</v>
      </c>
      <c r="MIF11" s="314" t="s">
        <v>203</v>
      </c>
      <c r="MIG11" s="314" t="s">
        <v>203</v>
      </c>
      <c r="MIH11" s="314" t="s">
        <v>203</v>
      </c>
      <c r="MII11" s="314" t="s">
        <v>203</v>
      </c>
      <c r="MIJ11" s="314" t="s">
        <v>203</v>
      </c>
      <c r="MIK11" s="314" t="s">
        <v>203</v>
      </c>
      <c r="MIL11" s="314" t="s">
        <v>203</v>
      </c>
      <c r="MIM11" s="314" t="s">
        <v>203</v>
      </c>
      <c r="MIN11" s="314" t="s">
        <v>203</v>
      </c>
      <c r="MIO11" s="314" t="s">
        <v>203</v>
      </c>
      <c r="MIP11" s="314" t="s">
        <v>203</v>
      </c>
      <c r="MIQ11" s="314" t="s">
        <v>203</v>
      </c>
      <c r="MIR11" s="314" t="s">
        <v>203</v>
      </c>
      <c r="MIS11" s="314" t="s">
        <v>203</v>
      </c>
      <c r="MIT11" s="314" t="s">
        <v>203</v>
      </c>
      <c r="MIU11" s="314" t="s">
        <v>203</v>
      </c>
      <c r="MIV11" s="314" t="s">
        <v>203</v>
      </c>
      <c r="MIW11" s="314" t="s">
        <v>203</v>
      </c>
      <c r="MIX11" s="314" t="s">
        <v>203</v>
      </c>
      <c r="MIY11" s="314" t="s">
        <v>203</v>
      </c>
      <c r="MIZ11" s="314" t="s">
        <v>203</v>
      </c>
      <c r="MJA11" s="314" t="s">
        <v>203</v>
      </c>
      <c r="MJB11" s="314" t="s">
        <v>203</v>
      </c>
      <c r="MJC11" s="314" t="s">
        <v>203</v>
      </c>
      <c r="MJD11" s="314" t="s">
        <v>203</v>
      </c>
      <c r="MJE11" s="314" t="s">
        <v>203</v>
      </c>
      <c r="MJF11" s="314" t="s">
        <v>203</v>
      </c>
      <c r="MJG11" s="314" t="s">
        <v>203</v>
      </c>
      <c r="MJH11" s="314" t="s">
        <v>203</v>
      </c>
      <c r="MJI11" s="314" t="s">
        <v>203</v>
      </c>
      <c r="MJJ11" s="314" t="s">
        <v>203</v>
      </c>
      <c r="MJK11" s="314" t="s">
        <v>203</v>
      </c>
      <c r="MJL11" s="314" t="s">
        <v>203</v>
      </c>
      <c r="MJM11" s="314" t="s">
        <v>203</v>
      </c>
      <c r="MJN11" s="314" t="s">
        <v>203</v>
      </c>
      <c r="MJO11" s="314" t="s">
        <v>203</v>
      </c>
      <c r="MJP11" s="314" t="s">
        <v>203</v>
      </c>
      <c r="MJQ11" s="314" t="s">
        <v>203</v>
      </c>
      <c r="MJR11" s="314" t="s">
        <v>203</v>
      </c>
      <c r="MJS11" s="314" t="s">
        <v>203</v>
      </c>
      <c r="MJT11" s="314" t="s">
        <v>203</v>
      </c>
      <c r="MJU11" s="314" t="s">
        <v>203</v>
      </c>
      <c r="MJV11" s="314" t="s">
        <v>203</v>
      </c>
      <c r="MJW11" s="314" t="s">
        <v>203</v>
      </c>
      <c r="MJX11" s="314" t="s">
        <v>203</v>
      </c>
      <c r="MJY11" s="314" t="s">
        <v>203</v>
      </c>
      <c r="MJZ11" s="314" t="s">
        <v>203</v>
      </c>
      <c r="MKA11" s="314" t="s">
        <v>203</v>
      </c>
      <c r="MKB11" s="314" t="s">
        <v>203</v>
      </c>
      <c r="MKC11" s="314" t="s">
        <v>203</v>
      </c>
      <c r="MKD11" s="314" t="s">
        <v>203</v>
      </c>
      <c r="MKE11" s="314" t="s">
        <v>203</v>
      </c>
      <c r="MKF11" s="314" t="s">
        <v>203</v>
      </c>
      <c r="MKG11" s="314" t="s">
        <v>203</v>
      </c>
      <c r="MKH11" s="314" t="s">
        <v>203</v>
      </c>
      <c r="MKI11" s="314" t="s">
        <v>203</v>
      </c>
      <c r="MKJ11" s="314" t="s">
        <v>203</v>
      </c>
      <c r="MKK11" s="314" t="s">
        <v>203</v>
      </c>
      <c r="MKL11" s="314" t="s">
        <v>203</v>
      </c>
      <c r="MKM11" s="314" t="s">
        <v>203</v>
      </c>
      <c r="MKN11" s="314" t="s">
        <v>203</v>
      </c>
      <c r="MKO11" s="314" t="s">
        <v>203</v>
      </c>
      <c r="MKP11" s="314" t="s">
        <v>203</v>
      </c>
      <c r="MKQ11" s="314" t="s">
        <v>203</v>
      </c>
      <c r="MKR11" s="314" t="s">
        <v>203</v>
      </c>
      <c r="MKS11" s="314" t="s">
        <v>203</v>
      </c>
      <c r="MKT11" s="314" t="s">
        <v>203</v>
      </c>
      <c r="MKU11" s="314" t="s">
        <v>203</v>
      </c>
      <c r="MKV11" s="314" t="s">
        <v>203</v>
      </c>
      <c r="MKW11" s="314" t="s">
        <v>203</v>
      </c>
      <c r="MKX11" s="314" t="s">
        <v>203</v>
      </c>
      <c r="MKY11" s="314" t="s">
        <v>203</v>
      </c>
      <c r="MKZ11" s="314" t="s">
        <v>203</v>
      </c>
      <c r="MLA11" s="314" t="s">
        <v>203</v>
      </c>
      <c r="MLB11" s="314" t="s">
        <v>203</v>
      </c>
      <c r="MLC11" s="314" t="s">
        <v>203</v>
      </c>
      <c r="MLD11" s="314" t="s">
        <v>203</v>
      </c>
      <c r="MLE11" s="314" t="s">
        <v>203</v>
      </c>
      <c r="MLF11" s="314" t="s">
        <v>203</v>
      </c>
      <c r="MLG11" s="314" t="s">
        <v>203</v>
      </c>
      <c r="MLH11" s="314" t="s">
        <v>203</v>
      </c>
      <c r="MLI11" s="314" t="s">
        <v>203</v>
      </c>
      <c r="MLJ11" s="314" t="s">
        <v>203</v>
      </c>
      <c r="MLK11" s="314" t="s">
        <v>203</v>
      </c>
      <c r="MLL11" s="314" t="s">
        <v>203</v>
      </c>
      <c r="MLM11" s="314" t="s">
        <v>203</v>
      </c>
      <c r="MLN11" s="314" t="s">
        <v>203</v>
      </c>
      <c r="MLO11" s="314" t="s">
        <v>203</v>
      </c>
      <c r="MLP11" s="314" t="s">
        <v>203</v>
      </c>
      <c r="MLQ11" s="314" t="s">
        <v>203</v>
      </c>
      <c r="MLR11" s="314" t="s">
        <v>203</v>
      </c>
      <c r="MLS11" s="314" t="s">
        <v>203</v>
      </c>
      <c r="MLT11" s="314" t="s">
        <v>203</v>
      </c>
      <c r="MLU11" s="314" t="s">
        <v>203</v>
      </c>
      <c r="MLV11" s="314" t="s">
        <v>203</v>
      </c>
      <c r="MLW11" s="314" t="s">
        <v>203</v>
      </c>
      <c r="MLX11" s="314" t="s">
        <v>203</v>
      </c>
      <c r="MLY11" s="314" t="s">
        <v>203</v>
      </c>
      <c r="MLZ11" s="314" t="s">
        <v>203</v>
      </c>
      <c r="MMA11" s="314" t="s">
        <v>203</v>
      </c>
      <c r="MMB11" s="314" t="s">
        <v>203</v>
      </c>
      <c r="MMC11" s="314" t="s">
        <v>203</v>
      </c>
      <c r="MMD11" s="314" t="s">
        <v>203</v>
      </c>
      <c r="MME11" s="314" t="s">
        <v>203</v>
      </c>
      <c r="MMF11" s="314" t="s">
        <v>203</v>
      </c>
      <c r="MMG11" s="314" t="s">
        <v>203</v>
      </c>
      <c r="MMH11" s="314" t="s">
        <v>203</v>
      </c>
      <c r="MMI11" s="314" t="s">
        <v>203</v>
      </c>
      <c r="MMJ11" s="314" t="s">
        <v>203</v>
      </c>
      <c r="MMK11" s="314" t="s">
        <v>203</v>
      </c>
      <c r="MML11" s="314" t="s">
        <v>203</v>
      </c>
      <c r="MMM11" s="314" t="s">
        <v>203</v>
      </c>
      <c r="MMN11" s="314" t="s">
        <v>203</v>
      </c>
      <c r="MMO11" s="314" t="s">
        <v>203</v>
      </c>
      <c r="MMP11" s="314" t="s">
        <v>203</v>
      </c>
      <c r="MMQ11" s="314" t="s">
        <v>203</v>
      </c>
      <c r="MMR11" s="314" t="s">
        <v>203</v>
      </c>
      <c r="MMS11" s="314" t="s">
        <v>203</v>
      </c>
      <c r="MMT11" s="314" t="s">
        <v>203</v>
      </c>
      <c r="MMU11" s="314" t="s">
        <v>203</v>
      </c>
      <c r="MMV11" s="314" t="s">
        <v>203</v>
      </c>
      <c r="MMW11" s="314" t="s">
        <v>203</v>
      </c>
      <c r="MMX11" s="314" t="s">
        <v>203</v>
      </c>
      <c r="MMY11" s="314" t="s">
        <v>203</v>
      </c>
      <c r="MMZ11" s="314" t="s">
        <v>203</v>
      </c>
      <c r="MNA11" s="314" t="s">
        <v>203</v>
      </c>
      <c r="MNB11" s="314" t="s">
        <v>203</v>
      </c>
      <c r="MNC11" s="314" t="s">
        <v>203</v>
      </c>
      <c r="MND11" s="314" t="s">
        <v>203</v>
      </c>
      <c r="MNE11" s="314" t="s">
        <v>203</v>
      </c>
      <c r="MNF11" s="314" t="s">
        <v>203</v>
      </c>
      <c r="MNG11" s="314" t="s">
        <v>203</v>
      </c>
      <c r="MNH11" s="314" t="s">
        <v>203</v>
      </c>
      <c r="MNI11" s="314" t="s">
        <v>203</v>
      </c>
      <c r="MNJ11" s="314" t="s">
        <v>203</v>
      </c>
      <c r="MNK11" s="314" t="s">
        <v>203</v>
      </c>
      <c r="MNL11" s="314" t="s">
        <v>203</v>
      </c>
      <c r="MNM11" s="314" t="s">
        <v>203</v>
      </c>
      <c r="MNN11" s="314" t="s">
        <v>203</v>
      </c>
      <c r="MNO11" s="314" t="s">
        <v>203</v>
      </c>
      <c r="MNP11" s="314" t="s">
        <v>203</v>
      </c>
      <c r="MNQ11" s="314" t="s">
        <v>203</v>
      </c>
      <c r="MNR11" s="314" t="s">
        <v>203</v>
      </c>
      <c r="MNS11" s="314" t="s">
        <v>203</v>
      </c>
      <c r="MNT11" s="314" t="s">
        <v>203</v>
      </c>
      <c r="MNU11" s="314" t="s">
        <v>203</v>
      </c>
      <c r="MNV11" s="314" t="s">
        <v>203</v>
      </c>
      <c r="MNW11" s="314" t="s">
        <v>203</v>
      </c>
      <c r="MNX11" s="314" t="s">
        <v>203</v>
      </c>
      <c r="MNY11" s="314" t="s">
        <v>203</v>
      </c>
      <c r="MNZ11" s="314" t="s">
        <v>203</v>
      </c>
      <c r="MOA11" s="314" t="s">
        <v>203</v>
      </c>
      <c r="MOB11" s="314" t="s">
        <v>203</v>
      </c>
      <c r="MOC11" s="314" t="s">
        <v>203</v>
      </c>
      <c r="MOD11" s="314" t="s">
        <v>203</v>
      </c>
      <c r="MOE11" s="314" t="s">
        <v>203</v>
      </c>
      <c r="MOF11" s="314" t="s">
        <v>203</v>
      </c>
      <c r="MOG11" s="314" t="s">
        <v>203</v>
      </c>
      <c r="MOH11" s="314" t="s">
        <v>203</v>
      </c>
      <c r="MOI11" s="314" t="s">
        <v>203</v>
      </c>
      <c r="MOJ11" s="314" t="s">
        <v>203</v>
      </c>
      <c r="MOK11" s="314" t="s">
        <v>203</v>
      </c>
      <c r="MOL11" s="314" t="s">
        <v>203</v>
      </c>
      <c r="MOM11" s="314" t="s">
        <v>203</v>
      </c>
      <c r="MON11" s="314" t="s">
        <v>203</v>
      </c>
      <c r="MOO11" s="314" t="s">
        <v>203</v>
      </c>
      <c r="MOP11" s="314" t="s">
        <v>203</v>
      </c>
      <c r="MOQ11" s="314" t="s">
        <v>203</v>
      </c>
      <c r="MOR11" s="314" t="s">
        <v>203</v>
      </c>
      <c r="MOS11" s="314" t="s">
        <v>203</v>
      </c>
      <c r="MOT11" s="314" t="s">
        <v>203</v>
      </c>
      <c r="MOU11" s="314" t="s">
        <v>203</v>
      </c>
      <c r="MOV11" s="314" t="s">
        <v>203</v>
      </c>
      <c r="MOW11" s="314" t="s">
        <v>203</v>
      </c>
      <c r="MOX11" s="314" t="s">
        <v>203</v>
      </c>
      <c r="MOY11" s="314" t="s">
        <v>203</v>
      </c>
      <c r="MOZ11" s="314" t="s">
        <v>203</v>
      </c>
      <c r="MPA11" s="314" t="s">
        <v>203</v>
      </c>
      <c r="MPB11" s="314" t="s">
        <v>203</v>
      </c>
      <c r="MPC11" s="314" t="s">
        <v>203</v>
      </c>
      <c r="MPD11" s="314" t="s">
        <v>203</v>
      </c>
      <c r="MPE11" s="314" t="s">
        <v>203</v>
      </c>
      <c r="MPF11" s="314" t="s">
        <v>203</v>
      </c>
      <c r="MPG11" s="314" t="s">
        <v>203</v>
      </c>
      <c r="MPH11" s="314" t="s">
        <v>203</v>
      </c>
      <c r="MPI11" s="314" t="s">
        <v>203</v>
      </c>
      <c r="MPJ11" s="314" t="s">
        <v>203</v>
      </c>
      <c r="MPK11" s="314" t="s">
        <v>203</v>
      </c>
      <c r="MPL11" s="314" t="s">
        <v>203</v>
      </c>
      <c r="MPM11" s="314" t="s">
        <v>203</v>
      </c>
      <c r="MPN11" s="314" t="s">
        <v>203</v>
      </c>
      <c r="MPO11" s="314" t="s">
        <v>203</v>
      </c>
      <c r="MPP11" s="314" t="s">
        <v>203</v>
      </c>
      <c r="MPQ11" s="314" t="s">
        <v>203</v>
      </c>
      <c r="MPR11" s="314" t="s">
        <v>203</v>
      </c>
      <c r="MPS11" s="314" t="s">
        <v>203</v>
      </c>
      <c r="MPT11" s="314" t="s">
        <v>203</v>
      </c>
      <c r="MPU11" s="314" t="s">
        <v>203</v>
      </c>
      <c r="MPV11" s="314" t="s">
        <v>203</v>
      </c>
      <c r="MPW11" s="314" t="s">
        <v>203</v>
      </c>
      <c r="MPX11" s="314" t="s">
        <v>203</v>
      </c>
      <c r="MPY11" s="314" t="s">
        <v>203</v>
      </c>
      <c r="MPZ11" s="314" t="s">
        <v>203</v>
      </c>
      <c r="MQA11" s="314" t="s">
        <v>203</v>
      </c>
      <c r="MQB11" s="314" t="s">
        <v>203</v>
      </c>
      <c r="MQC11" s="314" t="s">
        <v>203</v>
      </c>
      <c r="MQD11" s="314" t="s">
        <v>203</v>
      </c>
      <c r="MQE11" s="314" t="s">
        <v>203</v>
      </c>
      <c r="MQF11" s="314" t="s">
        <v>203</v>
      </c>
      <c r="MQG11" s="314" t="s">
        <v>203</v>
      </c>
      <c r="MQH11" s="314" t="s">
        <v>203</v>
      </c>
      <c r="MQI11" s="314" t="s">
        <v>203</v>
      </c>
      <c r="MQJ11" s="314" t="s">
        <v>203</v>
      </c>
      <c r="MQK11" s="314" t="s">
        <v>203</v>
      </c>
      <c r="MQL11" s="314" t="s">
        <v>203</v>
      </c>
      <c r="MQM11" s="314" t="s">
        <v>203</v>
      </c>
      <c r="MQN11" s="314" t="s">
        <v>203</v>
      </c>
      <c r="MQO11" s="314" t="s">
        <v>203</v>
      </c>
      <c r="MQP11" s="314" t="s">
        <v>203</v>
      </c>
      <c r="MQQ11" s="314" t="s">
        <v>203</v>
      </c>
      <c r="MQR11" s="314" t="s">
        <v>203</v>
      </c>
      <c r="MQS11" s="314" t="s">
        <v>203</v>
      </c>
      <c r="MQT11" s="314" t="s">
        <v>203</v>
      </c>
      <c r="MQU11" s="314" t="s">
        <v>203</v>
      </c>
      <c r="MQV11" s="314" t="s">
        <v>203</v>
      </c>
      <c r="MQW11" s="314" t="s">
        <v>203</v>
      </c>
      <c r="MQX11" s="314" t="s">
        <v>203</v>
      </c>
      <c r="MQY11" s="314" t="s">
        <v>203</v>
      </c>
      <c r="MQZ11" s="314" t="s">
        <v>203</v>
      </c>
      <c r="MRA11" s="314" t="s">
        <v>203</v>
      </c>
      <c r="MRB11" s="314" t="s">
        <v>203</v>
      </c>
      <c r="MRC11" s="314" t="s">
        <v>203</v>
      </c>
      <c r="MRD11" s="314" t="s">
        <v>203</v>
      </c>
      <c r="MRE11" s="314" t="s">
        <v>203</v>
      </c>
      <c r="MRF11" s="314" t="s">
        <v>203</v>
      </c>
      <c r="MRG11" s="314" t="s">
        <v>203</v>
      </c>
      <c r="MRH11" s="314" t="s">
        <v>203</v>
      </c>
      <c r="MRI11" s="314" t="s">
        <v>203</v>
      </c>
      <c r="MRJ11" s="314" t="s">
        <v>203</v>
      </c>
      <c r="MRK11" s="314" t="s">
        <v>203</v>
      </c>
      <c r="MRL11" s="314" t="s">
        <v>203</v>
      </c>
      <c r="MRM11" s="314" t="s">
        <v>203</v>
      </c>
      <c r="MRN11" s="314" t="s">
        <v>203</v>
      </c>
      <c r="MRO11" s="314" t="s">
        <v>203</v>
      </c>
      <c r="MRP11" s="314" t="s">
        <v>203</v>
      </c>
      <c r="MRQ11" s="314" t="s">
        <v>203</v>
      </c>
      <c r="MRR11" s="314" t="s">
        <v>203</v>
      </c>
      <c r="MRS11" s="314" t="s">
        <v>203</v>
      </c>
      <c r="MRT11" s="314" t="s">
        <v>203</v>
      </c>
      <c r="MRU11" s="314" t="s">
        <v>203</v>
      </c>
      <c r="MRV11" s="314" t="s">
        <v>203</v>
      </c>
      <c r="MRW11" s="314" t="s">
        <v>203</v>
      </c>
      <c r="MRX11" s="314" t="s">
        <v>203</v>
      </c>
      <c r="MRY11" s="314" t="s">
        <v>203</v>
      </c>
      <c r="MRZ11" s="314" t="s">
        <v>203</v>
      </c>
      <c r="MSA11" s="314" t="s">
        <v>203</v>
      </c>
      <c r="MSB11" s="314" t="s">
        <v>203</v>
      </c>
      <c r="MSC11" s="314" t="s">
        <v>203</v>
      </c>
      <c r="MSD11" s="314" t="s">
        <v>203</v>
      </c>
      <c r="MSE11" s="314" t="s">
        <v>203</v>
      </c>
      <c r="MSF11" s="314" t="s">
        <v>203</v>
      </c>
      <c r="MSG11" s="314" t="s">
        <v>203</v>
      </c>
      <c r="MSH11" s="314" t="s">
        <v>203</v>
      </c>
      <c r="MSI11" s="314" t="s">
        <v>203</v>
      </c>
      <c r="MSJ11" s="314" t="s">
        <v>203</v>
      </c>
      <c r="MSK11" s="314" t="s">
        <v>203</v>
      </c>
      <c r="MSL11" s="314" t="s">
        <v>203</v>
      </c>
      <c r="MSM11" s="314" t="s">
        <v>203</v>
      </c>
      <c r="MSN11" s="314" t="s">
        <v>203</v>
      </c>
      <c r="MSO11" s="314" t="s">
        <v>203</v>
      </c>
      <c r="MSP11" s="314" t="s">
        <v>203</v>
      </c>
      <c r="MSQ11" s="314" t="s">
        <v>203</v>
      </c>
      <c r="MSR11" s="314" t="s">
        <v>203</v>
      </c>
      <c r="MSS11" s="314" t="s">
        <v>203</v>
      </c>
      <c r="MST11" s="314" t="s">
        <v>203</v>
      </c>
      <c r="MSU11" s="314" t="s">
        <v>203</v>
      </c>
      <c r="MSV11" s="314" t="s">
        <v>203</v>
      </c>
      <c r="MSW11" s="314" t="s">
        <v>203</v>
      </c>
      <c r="MSX11" s="314" t="s">
        <v>203</v>
      </c>
      <c r="MSY11" s="314" t="s">
        <v>203</v>
      </c>
      <c r="MSZ11" s="314" t="s">
        <v>203</v>
      </c>
      <c r="MTA11" s="314" t="s">
        <v>203</v>
      </c>
      <c r="MTB11" s="314" t="s">
        <v>203</v>
      </c>
      <c r="MTC11" s="314" t="s">
        <v>203</v>
      </c>
      <c r="MTD11" s="314" t="s">
        <v>203</v>
      </c>
      <c r="MTE11" s="314" t="s">
        <v>203</v>
      </c>
      <c r="MTF11" s="314" t="s">
        <v>203</v>
      </c>
      <c r="MTG11" s="314" t="s">
        <v>203</v>
      </c>
      <c r="MTH11" s="314" t="s">
        <v>203</v>
      </c>
      <c r="MTI11" s="314" t="s">
        <v>203</v>
      </c>
      <c r="MTJ11" s="314" t="s">
        <v>203</v>
      </c>
      <c r="MTK11" s="314" t="s">
        <v>203</v>
      </c>
      <c r="MTL11" s="314" t="s">
        <v>203</v>
      </c>
      <c r="MTM11" s="314" t="s">
        <v>203</v>
      </c>
      <c r="MTN11" s="314" t="s">
        <v>203</v>
      </c>
      <c r="MTO11" s="314" t="s">
        <v>203</v>
      </c>
      <c r="MTP11" s="314" t="s">
        <v>203</v>
      </c>
      <c r="MTQ11" s="314" t="s">
        <v>203</v>
      </c>
      <c r="MTR11" s="314" t="s">
        <v>203</v>
      </c>
      <c r="MTS11" s="314" t="s">
        <v>203</v>
      </c>
      <c r="MTT11" s="314" t="s">
        <v>203</v>
      </c>
      <c r="MTU11" s="314" t="s">
        <v>203</v>
      </c>
      <c r="MTV11" s="314" t="s">
        <v>203</v>
      </c>
      <c r="MTW11" s="314" t="s">
        <v>203</v>
      </c>
      <c r="MTX11" s="314" t="s">
        <v>203</v>
      </c>
      <c r="MTY11" s="314" t="s">
        <v>203</v>
      </c>
      <c r="MTZ11" s="314" t="s">
        <v>203</v>
      </c>
      <c r="MUA11" s="314" t="s">
        <v>203</v>
      </c>
      <c r="MUB11" s="314" t="s">
        <v>203</v>
      </c>
      <c r="MUC11" s="314" t="s">
        <v>203</v>
      </c>
      <c r="MUD11" s="314" t="s">
        <v>203</v>
      </c>
      <c r="MUE11" s="314" t="s">
        <v>203</v>
      </c>
      <c r="MUF11" s="314" t="s">
        <v>203</v>
      </c>
      <c r="MUG11" s="314" t="s">
        <v>203</v>
      </c>
      <c r="MUH11" s="314" t="s">
        <v>203</v>
      </c>
      <c r="MUI11" s="314" t="s">
        <v>203</v>
      </c>
      <c r="MUJ11" s="314" t="s">
        <v>203</v>
      </c>
      <c r="MUK11" s="314" t="s">
        <v>203</v>
      </c>
      <c r="MUL11" s="314" t="s">
        <v>203</v>
      </c>
      <c r="MUM11" s="314" t="s">
        <v>203</v>
      </c>
      <c r="MUN11" s="314" t="s">
        <v>203</v>
      </c>
      <c r="MUO11" s="314" t="s">
        <v>203</v>
      </c>
      <c r="MUP11" s="314" t="s">
        <v>203</v>
      </c>
      <c r="MUQ11" s="314" t="s">
        <v>203</v>
      </c>
      <c r="MUR11" s="314" t="s">
        <v>203</v>
      </c>
      <c r="MUS11" s="314" t="s">
        <v>203</v>
      </c>
      <c r="MUT11" s="314" t="s">
        <v>203</v>
      </c>
      <c r="MUU11" s="314" t="s">
        <v>203</v>
      </c>
      <c r="MUV11" s="314" t="s">
        <v>203</v>
      </c>
      <c r="MUW11" s="314" t="s">
        <v>203</v>
      </c>
      <c r="MUX11" s="314" t="s">
        <v>203</v>
      </c>
      <c r="MUY11" s="314" t="s">
        <v>203</v>
      </c>
      <c r="MUZ11" s="314" t="s">
        <v>203</v>
      </c>
      <c r="MVA11" s="314" t="s">
        <v>203</v>
      </c>
      <c r="MVB11" s="314" t="s">
        <v>203</v>
      </c>
      <c r="MVC11" s="314" t="s">
        <v>203</v>
      </c>
      <c r="MVD11" s="314" t="s">
        <v>203</v>
      </c>
      <c r="MVE11" s="314" t="s">
        <v>203</v>
      </c>
      <c r="MVF11" s="314" t="s">
        <v>203</v>
      </c>
      <c r="MVG11" s="314" t="s">
        <v>203</v>
      </c>
      <c r="MVH11" s="314" t="s">
        <v>203</v>
      </c>
      <c r="MVI11" s="314" t="s">
        <v>203</v>
      </c>
      <c r="MVJ11" s="314" t="s">
        <v>203</v>
      </c>
      <c r="MVK11" s="314" t="s">
        <v>203</v>
      </c>
      <c r="MVL11" s="314" t="s">
        <v>203</v>
      </c>
      <c r="MVM11" s="314" t="s">
        <v>203</v>
      </c>
      <c r="MVN11" s="314" t="s">
        <v>203</v>
      </c>
      <c r="MVO11" s="314" t="s">
        <v>203</v>
      </c>
      <c r="MVP11" s="314" t="s">
        <v>203</v>
      </c>
      <c r="MVQ11" s="314" t="s">
        <v>203</v>
      </c>
      <c r="MVR11" s="314" t="s">
        <v>203</v>
      </c>
      <c r="MVS11" s="314" t="s">
        <v>203</v>
      </c>
      <c r="MVT11" s="314" t="s">
        <v>203</v>
      </c>
      <c r="MVU11" s="314" t="s">
        <v>203</v>
      </c>
      <c r="MVV11" s="314" t="s">
        <v>203</v>
      </c>
      <c r="MVW11" s="314" t="s">
        <v>203</v>
      </c>
      <c r="MVX11" s="314" t="s">
        <v>203</v>
      </c>
      <c r="MVY11" s="314" t="s">
        <v>203</v>
      </c>
      <c r="MVZ11" s="314" t="s">
        <v>203</v>
      </c>
      <c r="MWA11" s="314" t="s">
        <v>203</v>
      </c>
      <c r="MWB11" s="314" t="s">
        <v>203</v>
      </c>
      <c r="MWC11" s="314" t="s">
        <v>203</v>
      </c>
      <c r="MWD11" s="314" t="s">
        <v>203</v>
      </c>
      <c r="MWE11" s="314" t="s">
        <v>203</v>
      </c>
      <c r="MWF11" s="314" t="s">
        <v>203</v>
      </c>
      <c r="MWG11" s="314" t="s">
        <v>203</v>
      </c>
      <c r="MWH11" s="314" t="s">
        <v>203</v>
      </c>
      <c r="MWI11" s="314" t="s">
        <v>203</v>
      </c>
      <c r="MWJ11" s="314" t="s">
        <v>203</v>
      </c>
      <c r="MWK11" s="314" t="s">
        <v>203</v>
      </c>
      <c r="MWL11" s="314" t="s">
        <v>203</v>
      </c>
      <c r="MWM11" s="314" t="s">
        <v>203</v>
      </c>
      <c r="MWN11" s="314" t="s">
        <v>203</v>
      </c>
      <c r="MWO11" s="314" t="s">
        <v>203</v>
      </c>
      <c r="MWP11" s="314" t="s">
        <v>203</v>
      </c>
      <c r="MWQ11" s="314" t="s">
        <v>203</v>
      </c>
      <c r="MWR11" s="314" t="s">
        <v>203</v>
      </c>
      <c r="MWS11" s="314" t="s">
        <v>203</v>
      </c>
      <c r="MWT11" s="314" t="s">
        <v>203</v>
      </c>
      <c r="MWU11" s="314" t="s">
        <v>203</v>
      </c>
      <c r="MWV11" s="314" t="s">
        <v>203</v>
      </c>
      <c r="MWW11" s="314" t="s">
        <v>203</v>
      </c>
      <c r="MWX11" s="314" t="s">
        <v>203</v>
      </c>
      <c r="MWY11" s="314" t="s">
        <v>203</v>
      </c>
      <c r="MWZ11" s="314" t="s">
        <v>203</v>
      </c>
      <c r="MXA11" s="314" t="s">
        <v>203</v>
      </c>
      <c r="MXB11" s="314" t="s">
        <v>203</v>
      </c>
      <c r="MXC11" s="314" t="s">
        <v>203</v>
      </c>
      <c r="MXD11" s="314" t="s">
        <v>203</v>
      </c>
      <c r="MXE11" s="314" t="s">
        <v>203</v>
      </c>
      <c r="MXF11" s="314" t="s">
        <v>203</v>
      </c>
      <c r="MXG11" s="314" t="s">
        <v>203</v>
      </c>
      <c r="MXH11" s="314" t="s">
        <v>203</v>
      </c>
      <c r="MXI11" s="314" t="s">
        <v>203</v>
      </c>
      <c r="MXJ11" s="314" t="s">
        <v>203</v>
      </c>
      <c r="MXK11" s="314" t="s">
        <v>203</v>
      </c>
      <c r="MXL11" s="314" t="s">
        <v>203</v>
      </c>
      <c r="MXM11" s="314" t="s">
        <v>203</v>
      </c>
      <c r="MXN11" s="314" t="s">
        <v>203</v>
      </c>
      <c r="MXO11" s="314" t="s">
        <v>203</v>
      </c>
      <c r="MXP11" s="314" t="s">
        <v>203</v>
      </c>
      <c r="MXQ11" s="314" t="s">
        <v>203</v>
      </c>
      <c r="MXR11" s="314" t="s">
        <v>203</v>
      </c>
      <c r="MXS11" s="314" t="s">
        <v>203</v>
      </c>
      <c r="MXT11" s="314" t="s">
        <v>203</v>
      </c>
      <c r="MXU11" s="314" t="s">
        <v>203</v>
      </c>
      <c r="MXV11" s="314" t="s">
        <v>203</v>
      </c>
      <c r="MXW11" s="314" t="s">
        <v>203</v>
      </c>
      <c r="MXX11" s="314" t="s">
        <v>203</v>
      </c>
      <c r="MXY11" s="314" t="s">
        <v>203</v>
      </c>
      <c r="MXZ11" s="314" t="s">
        <v>203</v>
      </c>
      <c r="MYA11" s="314" t="s">
        <v>203</v>
      </c>
      <c r="MYB11" s="314" t="s">
        <v>203</v>
      </c>
      <c r="MYC11" s="314" t="s">
        <v>203</v>
      </c>
      <c r="MYD11" s="314" t="s">
        <v>203</v>
      </c>
      <c r="MYE11" s="314" t="s">
        <v>203</v>
      </c>
      <c r="MYF11" s="314" t="s">
        <v>203</v>
      </c>
      <c r="MYG11" s="314" t="s">
        <v>203</v>
      </c>
      <c r="MYH11" s="314" t="s">
        <v>203</v>
      </c>
      <c r="MYI11" s="314" t="s">
        <v>203</v>
      </c>
      <c r="MYJ11" s="314" t="s">
        <v>203</v>
      </c>
      <c r="MYK11" s="314" t="s">
        <v>203</v>
      </c>
      <c r="MYL11" s="314" t="s">
        <v>203</v>
      </c>
      <c r="MYM11" s="314" t="s">
        <v>203</v>
      </c>
      <c r="MYN11" s="314" t="s">
        <v>203</v>
      </c>
      <c r="MYO11" s="314" t="s">
        <v>203</v>
      </c>
      <c r="MYP11" s="314" t="s">
        <v>203</v>
      </c>
      <c r="MYQ11" s="314" t="s">
        <v>203</v>
      </c>
      <c r="MYR11" s="314" t="s">
        <v>203</v>
      </c>
      <c r="MYS11" s="314" t="s">
        <v>203</v>
      </c>
      <c r="MYT11" s="314" t="s">
        <v>203</v>
      </c>
      <c r="MYU11" s="314" t="s">
        <v>203</v>
      </c>
      <c r="MYV11" s="314" t="s">
        <v>203</v>
      </c>
      <c r="MYW11" s="314" t="s">
        <v>203</v>
      </c>
      <c r="MYX11" s="314" t="s">
        <v>203</v>
      </c>
      <c r="MYY11" s="314" t="s">
        <v>203</v>
      </c>
      <c r="MYZ11" s="314" t="s">
        <v>203</v>
      </c>
      <c r="MZA11" s="314" t="s">
        <v>203</v>
      </c>
      <c r="MZB11" s="314" t="s">
        <v>203</v>
      </c>
      <c r="MZC11" s="314" t="s">
        <v>203</v>
      </c>
      <c r="MZD11" s="314" t="s">
        <v>203</v>
      </c>
      <c r="MZE11" s="314" t="s">
        <v>203</v>
      </c>
      <c r="MZF11" s="314" t="s">
        <v>203</v>
      </c>
      <c r="MZG11" s="314" t="s">
        <v>203</v>
      </c>
      <c r="MZH11" s="314" t="s">
        <v>203</v>
      </c>
      <c r="MZI11" s="314" t="s">
        <v>203</v>
      </c>
      <c r="MZJ11" s="314" t="s">
        <v>203</v>
      </c>
      <c r="MZK11" s="314" t="s">
        <v>203</v>
      </c>
      <c r="MZL11" s="314" t="s">
        <v>203</v>
      </c>
      <c r="MZM11" s="314" t="s">
        <v>203</v>
      </c>
      <c r="MZN11" s="314" t="s">
        <v>203</v>
      </c>
      <c r="MZO11" s="314" t="s">
        <v>203</v>
      </c>
      <c r="MZP11" s="314" t="s">
        <v>203</v>
      </c>
      <c r="MZQ11" s="314" t="s">
        <v>203</v>
      </c>
      <c r="MZR11" s="314" t="s">
        <v>203</v>
      </c>
      <c r="MZS11" s="314" t="s">
        <v>203</v>
      </c>
      <c r="MZT11" s="314" t="s">
        <v>203</v>
      </c>
      <c r="MZU11" s="314" t="s">
        <v>203</v>
      </c>
      <c r="MZV11" s="314" t="s">
        <v>203</v>
      </c>
      <c r="MZW11" s="314" t="s">
        <v>203</v>
      </c>
      <c r="MZX11" s="314" t="s">
        <v>203</v>
      </c>
      <c r="MZY11" s="314" t="s">
        <v>203</v>
      </c>
      <c r="MZZ11" s="314" t="s">
        <v>203</v>
      </c>
      <c r="NAA11" s="314" t="s">
        <v>203</v>
      </c>
      <c r="NAB11" s="314" t="s">
        <v>203</v>
      </c>
      <c r="NAC11" s="314" t="s">
        <v>203</v>
      </c>
      <c r="NAD11" s="314" t="s">
        <v>203</v>
      </c>
      <c r="NAE11" s="314" t="s">
        <v>203</v>
      </c>
      <c r="NAF11" s="314" t="s">
        <v>203</v>
      </c>
      <c r="NAG11" s="314" t="s">
        <v>203</v>
      </c>
      <c r="NAH11" s="314" t="s">
        <v>203</v>
      </c>
      <c r="NAI11" s="314" t="s">
        <v>203</v>
      </c>
      <c r="NAJ11" s="314" t="s">
        <v>203</v>
      </c>
      <c r="NAK11" s="314" t="s">
        <v>203</v>
      </c>
      <c r="NAL11" s="314" t="s">
        <v>203</v>
      </c>
      <c r="NAM11" s="314" t="s">
        <v>203</v>
      </c>
      <c r="NAN11" s="314" t="s">
        <v>203</v>
      </c>
      <c r="NAO11" s="314" t="s">
        <v>203</v>
      </c>
      <c r="NAP11" s="314" t="s">
        <v>203</v>
      </c>
      <c r="NAQ11" s="314" t="s">
        <v>203</v>
      </c>
      <c r="NAR11" s="314" t="s">
        <v>203</v>
      </c>
      <c r="NAS11" s="314" t="s">
        <v>203</v>
      </c>
      <c r="NAT11" s="314" t="s">
        <v>203</v>
      </c>
      <c r="NAU11" s="314" t="s">
        <v>203</v>
      </c>
      <c r="NAV11" s="314" t="s">
        <v>203</v>
      </c>
      <c r="NAW11" s="314" t="s">
        <v>203</v>
      </c>
      <c r="NAX11" s="314" t="s">
        <v>203</v>
      </c>
      <c r="NAY11" s="314" t="s">
        <v>203</v>
      </c>
      <c r="NAZ11" s="314" t="s">
        <v>203</v>
      </c>
      <c r="NBA11" s="314" t="s">
        <v>203</v>
      </c>
      <c r="NBB11" s="314" t="s">
        <v>203</v>
      </c>
      <c r="NBC11" s="314" t="s">
        <v>203</v>
      </c>
      <c r="NBD11" s="314" t="s">
        <v>203</v>
      </c>
      <c r="NBE11" s="314" t="s">
        <v>203</v>
      </c>
      <c r="NBF11" s="314" t="s">
        <v>203</v>
      </c>
      <c r="NBG11" s="314" t="s">
        <v>203</v>
      </c>
      <c r="NBH11" s="314" t="s">
        <v>203</v>
      </c>
      <c r="NBI11" s="314" t="s">
        <v>203</v>
      </c>
      <c r="NBJ11" s="314" t="s">
        <v>203</v>
      </c>
      <c r="NBK11" s="314" t="s">
        <v>203</v>
      </c>
      <c r="NBL11" s="314" t="s">
        <v>203</v>
      </c>
      <c r="NBM11" s="314" t="s">
        <v>203</v>
      </c>
      <c r="NBN11" s="314" t="s">
        <v>203</v>
      </c>
      <c r="NBO11" s="314" t="s">
        <v>203</v>
      </c>
      <c r="NBP11" s="314" t="s">
        <v>203</v>
      </c>
      <c r="NBQ11" s="314" t="s">
        <v>203</v>
      </c>
      <c r="NBR11" s="314" t="s">
        <v>203</v>
      </c>
      <c r="NBS11" s="314" t="s">
        <v>203</v>
      </c>
      <c r="NBT11" s="314" t="s">
        <v>203</v>
      </c>
      <c r="NBU11" s="314" t="s">
        <v>203</v>
      </c>
      <c r="NBV11" s="314" t="s">
        <v>203</v>
      </c>
      <c r="NBW11" s="314" t="s">
        <v>203</v>
      </c>
      <c r="NBX11" s="314" t="s">
        <v>203</v>
      </c>
      <c r="NBY11" s="314" t="s">
        <v>203</v>
      </c>
      <c r="NBZ11" s="314" t="s">
        <v>203</v>
      </c>
      <c r="NCA11" s="314" t="s">
        <v>203</v>
      </c>
      <c r="NCB11" s="314" t="s">
        <v>203</v>
      </c>
      <c r="NCC11" s="314" t="s">
        <v>203</v>
      </c>
      <c r="NCD11" s="314" t="s">
        <v>203</v>
      </c>
      <c r="NCE11" s="314" t="s">
        <v>203</v>
      </c>
      <c r="NCF11" s="314" t="s">
        <v>203</v>
      </c>
      <c r="NCG11" s="314" t="s">
        <v>203</v>
      </c>
      <c r="NCH11" s="314" t="s">
        <v>203</v>
      </c>
      <c r="NCI11" s="314" t="s">
        <v>203</v>
      </c>
      <c r="NCJ11" s="314" t="s">
        <v>203</v>
      </c>
      <c r="NCK11" s="314" t="s">
        <v>203</v>
      </c>
      <c r="NCL11" s="314" t="s">
        <v>203</v>
      </c>
      <c r="NCM11" s="314" t="s">
        <v>203</v>
      </c>
      <c r="NCN11" s="314" t="s">
        <v>203</v>
      </c>
      <c r="NCO11" s="314" t="s">
        <v>203</v>
      </c>
      <c r="NCP11" s="314" t="s">
        <v>203</v>
      </c>
      <c r="NCQ11" s="314" t="s">
        <v>203</v>
      </c>
      <c r="NCR11" s="314" t="s">
        <v>203</v>
      </c>
      <c r="NCS11" s="314" t="s">
        <v>203</v>
      </c>
      <c r="NCT11" s="314" t="s">
        <v>203</v>
      </c>
      <c r="NCU11" s="314" t="s">
        <v>203</v>
      </c>
      <c r="NCV11" s="314" t="s">
        <v>203</v>
      </c>
      <c r="NCW11" s="314" t="s">
        <v>203</v>
      </c>
      <c r="NCX11" s="314" t="s">
        <v>203</v>
      </c>
      <c r="NCY11" s="314" t="s">
        <v>203</v>
      </c>
      <c r="NCZ11" s="314" t="s">
        <v>203</v>
      </c>
      <c r="NDA11" s="314" t="s">
        <v>203</v>
      </c>
      <c r="NDB11" s="314" t="s">
        <v>203</v>
      </c>
      <c r="NDC11" s="314" t="s">
        <v>203</v>
      </c>
      <c r="NDD11" s="314" t="s">
        <v>203</v>
      </c>
      <c r="NDE11" s="314" t="s">
        <v>203</v>
      </c>
      <c r="NDF11" s="314" t="s">
        <v>203</v>
      </c>
      <c r="NDG11" s="314" t="s">
        <v>203</v>
      </c>
      <c r="NDH11" s="314" t="s">
        <v>203</v>
      </c>
      <c r="NDI11" s="314" t="s">
        <v>203</v>
      </c>
      <c r="NDJ11" s="314" t="s">
        <v>203</v>
      </c>
      <c r="NDK11" s="314" t="s">
        <v>203</v>
      </c>
      <c r="NDL11" s="314" t="s">
        <v>203</v>
      </c>
      <c r="NDM11" s="314" t="s">
        <v>203</v>
      </c>
      <c r="NDN11" s="314" t="s">
        <v>203</v>
      </c>
      <c r="NDO11" s="314" t="s">
        <v>203</v>
      </c>
      <c r="NDP11" s="314" t="s">
        <v>203</v>
      </c>
      <c r="NDQ11" s="314" t="s">
        <v>203</v>
      </c>
      <c r="NDR11" s="314" t="s">
        <v>203</v>
      </c>
      <c r="NDS11" s="314" t="s">
        <v>203</v>
      </c>
      <c r="NDT11" s="314" t="s">
        <v>203</v>
      </c>
      <c r="NDU11" s="314" t="s">
        <v>203</v>
      </c>
      <c r="NDV11" s="314" t="s">
        <v>203</v>
      </c>
      <c r="NDW11" s="314" t="s">
        <v>203</v>
      </c>
      <c r="NDX11" s="314" t="s">
        <v>203</v>
      </c>
      <c r="NDY11" s="314" t="s">
        <v>203</v>
      </c>
      <c r="NDZ11" s="314" t="s">
        <v>203</v>
      </c>
      <c r="NEA11" s="314" t="s">
        <v>203</v>
      </c>
      <c r="NEB11" s="314" t="s">
        <v>203</v>
      </c>
      <c r="NEC11" s="314" t="s">
        <v>203</v>
      </c>
      <c r="NED11" s="314" t="s">
        <v>203</v>
      </c>
      <c r="NEE11" s="314" t="s">
        <v>203</v>
      </c>
      <c r="NEF11" s="314" t="s">
        <v>203</v>
      </c>
      <c r="NEG11" s="314" t="s">
        <v>203</v>
      </c>
      <c r="NEH11" s="314" t="s">
        <v>203</v>
      </c>
      <c r="NEI11" s="314" t="s">
        <v>203</v>
      </c>
      <c r="NEJ11" s="314" t="s">
        <v>203</v>
      </c>
      <c r="NEK11" s="314" t="s">
        <v>203</v>
      </c>
      <c r="NEL11" s="314" t="s">
        <v>203</v>
      </c>
      <c r="NEM11" s="314" t="s">
        <v>203</v>
      </c>
      <c r="NEN11" s="314" t="s">
        <v>203</v>
      </c>
      <c r="NEO11" s="314" t="s">
        <v>203</v>
      </c>
      <c r="NEP11" s="314" t="s">
        <v>203</v>
      </c>
      <c r="NEQ11" s="314" t="s">
        <v>203</v>
      </c>
      <c r="NER11" s="314" t="s">
        <v>203</v>
      </c>
      <c r="NES11" s="314" t="s">
        <v>203</v>
      </c>
      <c r="NET11" s="314" t="s">
        <v>203</v>
      </c>
      <c r="NEU11" s="314" t="s">
        <v>203</v>
      </c>
      <c r="NEV11" s="314" t="s">
        <v>203</v>
      </c>
      <c r="NEW11" s="314" t="s">
        <v>203</v>
      </c>
      <c r="NEX11" s="314" t="s">
        <v>203</v>
      </c>
      <c r="NEY11" s="314" t="s">
        <v>203</v>
      </c>
      <c r="NEZ11" s="314" t="s">
        <v>203</v>
      </c>
      <c r="NFA11" s="314" t="s">
        <v>203</v>
      </c>
      <c r="NFB11" s="314" t="s">
        <v>203</v>
      </c>
      <c r="NFC11" s="314" t="s">
        <v>203</v>
      </c>
      <c r="NFD11" s="314" t="s">
        <v>203</v>
      </c>
      <c r="NFE11" s="314" t="s">
        <v>203</v>
      </c>
      <c r="NFF11" s="314" t="s">
        <v>203</v>
      </c>
      <c r="NFG11" s="314" t="s">
        <v>203</v>
      </c>
      <c r="NFH11" s="314" t="s">
        <v>203</v>
      </c>
      <c r="NFI11" s="314" t="s">
        <v>203</v>
      </c>
      <c r="NFJ11" s="314" t="s">
        <v>203</v>
      </c>
      <c r="NFK11" s="314" t="s">
        <v>203</v>
      </c>
      <c r="NFL11" s="314" t="s">
        <v>203</v>
      </c>
      <c r="NFM11" s="314" t="s">
        <v>203</v>
      </c>
      <c r="NFN11" s="314" t="s">
        <v>203</v>
      </c>
      <c r="NFO11" s="314" t="s">
        <v>203</v>
      </c>
      <c r="NFP11" s="314" t="s">
        <v>203</v>
      </c>
      <c r="NFQ11" s="314" t="s">
        <v>203</v>
      </c>
      <c r="NFR11" s="314" t="s">
        <v>203</v>
      </c>
      <c r="NFS11" s="314" t="s">
        <v>203</v>
      </c>
      <c r="NFT11" s="314" t="s">
        <v>203</v>
      </c>
      <c r="NFU11" s="314" t="s">
        <v>203</v>
      </c>
      <c r="NFV11" s="314" t="s">
        <v>203</v>
      </c>
      <c r="NFW11" s="314" t="s">
        <v>203</v>
      </c>
      <c r="NFX11" s="314" t="s">
        <v>203</v>
      </c>
      <c r="NFY11" s="314" t="s">
        <v>203</v>
      </c>
      <c r="NFZ11" s="314" t="s">
        <v>203</v>
      </c>
      <c r="NGA11" s="314" t="s">
        <v>203</v>
      </c>
      <c r="NGB11" s="314" t="s">
        <v>203</v>
      </c>
      <c r="NGC11" s="314" t="s">
        <v>203</v>
      </c>
      <c r="NGD11" s="314" t="s">
        <v>203</v>
      </c>
      <c r="NGE11" s="314" t="s">
        <v>203</v>
      </c>
      <c r="NGF11" s="314" t="s">
        <v>203</v>
      </c>
      <c r="NGG11" s="314" t="s">
        <v>203</v>
      </c>
      <c r="NGH11" s="314" t="s">
        <v>203</v>
      </c>
      <c r="NGI11" s="314" t="s">
        <v>203</v>
      </c>
      <c r="NGJ11" s="314" t="s">
        <v>203</v>
      </c>
      <c r="NGK11" s="314" t="s">
        <v>203</v>
      </c>
      <c r="NGL11" s="314" t="s">
        <v>203</v>
      </c>
      <c r="NGM11" s="314" t="s">
        <v>203</v>
      </c>
      <c r="NGN11" s="314" t="s">
        <v>203</v>
      </c>
      <c r="NGO11" s="314" t="s">
        <v>203</v>
      </c>
      <c r="NGP11" s="314" t="s">
        <v>203</v>
      </c>
      <c r="NGQ11" s="314" t="s">
        <v>203</v>
      </c>
      <c r="NGR11" s="314" t="s">
        <v>203</v>
      </c>
      <c r="NGS11" s="314" t="s">
        <v>203</v>
      </c>
      <c r="NGT11" s="314" t="s">
        <v>203</v>
      </c>
      <c r="NGU11" s="314" t="s">
        <v>203</v>
      </c>
      <c r="NGV11" s="314" t="s">
        <v>203</v>
      </c>
      <c r="NGW11" s="314" t="s">
        <v>203</v>
      </c>
      <c r="NGX11" s="314" t="s">
        <v>203</v>
      </c>
      <c r="NGY11" s="314" t="s">
        <v>203</v>
      </c>
      <c r="NGZ11" s="314" t="s">
        <v>203</v>
      </c>
      <c r="NHA11" s="314" t="s">
        <v>203</v>
      </c>
      <c r="NHB11" s="314" t="s">
        <v>203</v>
      </c>
      <c r="NHC11" s="314" t="s">
        <v>203</v>
      </c>
      <c r="NHD11" s="314" t="s">
        <v>203</v>
      </c>
      <c r="NHE11" s="314" t="s">
        <v>203</v>
      </c>
      <c r="NHF11" s="314" t="s">
        <v>203</v>
      </c>
      <c r="NHG11" s="314" t="s">
        <v>203</v>
      </c>
      <c r="NHH11" s="314" t="s">
        <v>203</v>
      </c>
      <c r="NHI11" s="314" t="s">
        <v>203</v>
      </c>
      <c r="NHJ11" s="314" t="s">
        <v>203</v>
      </c>
      <c r="NHK11" s="314" t="s">
        <v>203</v>
      </c>
      <c r="NHL11" s="314" t="s">
        <v>203</v>
      </c>
      <c r="NHM11" s="314" t="s">
        <v>203</v>
      </c>
      <c r="NHN11" s="314" t="s">
        <v>203</v>
      </c>
      <c r="NHO11" s="314" t="s">
        <v>203</v>
      </c>
      <c r="NHP11" s="314" t="s">
        <v>203</v>
      </c>
      <c r="NHQ11" s="314" t="s">
        <v>203</v>
      </c>
      <c r="NHR11" s="314" t="s">
        <v>203</v>
      </c>
      <c r="NHS11" s="314" t="s">
        <v>203</v>
      </c>
      <c r="NHT11" s="314" t="s">
        <v>203</v>
      </c>
      <c r="NHU11" s="314" t="s">
        <v>203</v>
      </c>
      <c r="NHV11" s="314" t="s">
        <v>203</v>
      </c>
      <c r="NHW11" s="314" t="s">
        <v>203</v>
      </c>
      <c r="NHX11" s="314" t="s">
        <v>203</v>
      </c>
      <c r="NHY11" s="314" t="s">
        <v>203</v>
      </c>
      <c r="NHZ11" s="314" t="s">
        <v>203</v>
      </c>
      <c r="NIA11" s="314" t="s">
        <v>203</v>
      </c>
      <c r="NIB11" s="314" t="s">
        <v>203</v>
      </c>
      <c r="NIC11" s="314" t="s">
        <v>203</v>
      </c>
      <c r="NID11" s="314" t="s">
        <v>203</v>
      </c>
      <c r="NIE11" s="314" t="s">
        <v>203</v>
      </c>
      <c r="NIF11" s="314" t="s">
        <v>203</v>
      </c>
      <c r="NIG11" s="314" t="s">
        <v>203</v>
      </c>
      <c r="NIH11" s="314" t="s">
        <v>203</v>
      </c>
      <c r="NII11" s="314" t="s">
        <v>203</v>
      </c>
      <c r="NIJ11" s="314" t="s">
        <v>203</v>
      </c>
      <c r="NIK11" s="314" t="s">
        <v>203</v>
      </c>
      <c r="NIL11" s="314" t="s">
        <v>203</v>
      </c>
      <c r="NIM11" s="314" t="s">
        <v>203</v>
      </c>
      <c r="NIN11" s="314" t="s">
        <v>203</v>
      </c>
      <c r="NIO11" s="314" t="s">
        <v>203</v>
      </c>
      <c r="NIP11" s="314" t="s">
        <v>203</v>
      </c>
      <c r="NIQ11" s="314" t="s">
        <v>203</v>
      </c>
      <c r="NIR11" s="314" t="s">
        <v>203</v>
      </c>
      <c r="NIS11" s="314" t="s">
        <v>203</v>
      </c>
      <c r="NIT11" s="314" t="s">
        <v>203</v>
      </c>
      <c r="NIU11" s="314" t="s">
        <v>203</v>
      </c>
      <c r="NIV11" s="314" t="s">
        <v>203</v>
      </c>
      <c r="NIW11" s="314" t="s">
        <v>203</v>
      </c>
      <c r="NIX11" s="314" t="s">
        <v>203</v>
      </c>
      <c r="NIY11" s="314" t="s">
        <v>203</v>
      </c>
      <c r="NIZ11" s="314" t="s">
        <v>203</v>
      </c>
      <c r="NJA11" s="314" t="s">
        <v>203</v>
      </c>
      <c r="NJB11" s="314" t="s">
        <v>203</v>
      </c>
      <c r="NJC11" s="314" t="s">
        <v>203</v>
      </c>
      <c r="NJD11" s="314" t="s">
        <v>203</v>
      </c>
      <c r="NJE11" s="314" t="s">
        <v>203</v>
      </c>
      <c r="NJF11" s="314" t="s">
        <v>203</v>
      </c>
      <c r="NJG11" s="314" t="s">
        <v>203</v>
      </c>
      <c r="NJH11" s="314" t="s">
        <v>203</v>
      </c>
      <c r="NJI11" s="314" t="s">
        <v>203</v>
      </c>
      <c r="NJJ11" s="314" t="s">
        <v>203</v>
      </c>
      <c r="NJK11" s="314" t="s">
        <v>203</v>
      </c>
      <c r="NJL11" s="314" t="s">
        <v>203</v>
      </c>
      <c r="NJM11" s="314" t="s">
        <v>203</v>
      </c>
      <c r="NJN11" s="314" t="s">
        <v>203</v>
      </c>
      <c r="NJO11" s="314" t="s">
        <v>203</v>
      </c>
      <c r="NJP11" s="314" t="s">
        <v>203</v>
      </c>
      <c r="NJQ11" s="314" t="s">
        <v>203</v>
      </c>
      <c r="NJR11" s="314" t="s">
        <v>203</v>
      </c>
      <c r="NJS11" s="314" t="s">
        <v>203</v>
      </c>
      <c r="NJT11" s="314" t="s">
        <v>203</v>
      </c>
      <c r="NJU11" s="314" t="s">
        <v>203</v>
      </c>
      <c r="NJV11" s="314" t="s">
        <v>203</v>
      </c>
      <c r="NJW11" s="314" t="s">
        <v>203</v>
      </c>
      <c r="NJX11" s="314" t="s">
        <v>203</v>
      </c>
      <c r="NJY11" s="314" t="s">
        <v>203</v>
      </c>
      <c r="NJZ11" s="314" t="s">
        <v>203</v>
      </c>
      <c r="NKA11" s="314" t="s">
        <v>203</v>
      </c>
      <c r="NKB11" s="314" t="s">
        <v>203</v>
      </c>
      <c r="NKC11" s="314" t="s">
        <v>203</v>
      </c>
      <c r="NKD11" s="314" t="s">
        <v>203</v>
      </c>
      <c r="NKE11" s="314" t="s">
        <v>203</v>
      </c>
      <c r="NKF11" s="314" t="s">
        <v>203</v>
      </c>
      <c r="NKG11" s="314" t="s">
        <v>203</v>
      </c>
      <c r="NKH11" s="314" t="s">
        <v>203</v>
      </c>
      <c r="NKI11" s="314" t="s">
        <v>203</v>
      </c>
      <c r="NKJ11" s="314" t="s">
        <v>203</v>
      </c>
      <c r="NKK11" s="314" t="s">
        <v>203</v>
      </c>
      <c r="NKL11" s="314" t="s">
        <v>203</v>
      </c>
      <c r="NKM11" s="314" t="s">
        <v>203</v>
      </c>
      <c r="NKN11" s="314" t="s">
        <v>203</v>
      </c>
      <c r="NKO11" s="314" t="s">
        <v>203</v>
      </c>
      <c r="NKP11" s="314" t="s">
        <v>203</v>
      </c>
      <c r="NKQ11" s="314" t="s">
        <v>203</v>
      </c>
      <c r="NKR11" s="314" t="s">
        <v>203</v>
      </c>
      <c r="NKS11" s="314" t="s">
        <v>203</v>
      </c>
      <c r="NKT11" s="314" t="s">
        <v>203</v>
      </c>
      <c r="NKU11" s="314" t="s">
        <v>203</v>
      </c>
      <c r="NKV11" s="314" t="s">
        <v>203</v>
      </c>
      <c r="NKW11" s="314" t="s">
        <v>203</v>
      </c>
      <c r="NKX11" s="314" t="s">
        <v>203</v>
      </c>
      <c r="NKY11" s="314" t="s">
        <v>203</v>
      </c>
      <c r="NKZ11" s="314" t="s">
        <v>203</v>
      </c>
      <c r="NLA11" s="314" t="s">
        <v>203</v>
      </c>
      <c r="NLB11" s="314" t="s">
        <v>203</v>
      </c>
      <c r="NLC11" s="314" t="s">
        <v>203</v>
      </c>
      <c r="NLD11" s="314" t="s">
        <v>203</v>
      </c>
      <c r="NLE11" s="314" t="s">
        <v>203</v>
      </c>
      <c r="NLF11" s="314" t="s">
        <v>203</v>
      </c>
      <c r="NLG11" s="314" t="s">
        <v>203</v>
      </c>
      <c r="NLH11" s="314" t="s">
        <v>203</v>
      </c>
      <c r="NLI11" s="314" t="s">
        <v>203</v>
      </c>
      <c r="NLJ11" s="314" t="s">
        <v>203</v>
      </c>
      <c r="NLK11" s="314" t="s">
        <v>203</v>
      </c>
      <c r="NLL11" s="314" t="s">
        <v>203</v>
      </c>
      <c r="NLM11" s="314" t="s">
        <v>203</v>
      </c>
      <c r="NLN11" s="314" t="s">
        <v>203</v>
      </c>
      <c r="NLO11" s="314" t="s">
        <v>203</v>
      </c>
      <c r="NLP11" s="314" t="s">
        <v>203</v>
      </c>
      <c r="NLQ11" s="314" t="s">
        <v>203</v>
      </c>
      <c r="NLR11" s="314" t="s">
        <v>203</v>
      </c>
      <c r="NLS11" s="314" t="s">
        <v>203</v>
      </c>
      <c r="NLT11" s="314" t="s">
        <v>203</v>
      </c>
      <c r="NLU11" s="314" t="s">
        <v>203</v>
      </c>
      <c r="NLV11" s="314" t="s">
        <v>203</v>
      </c>
      <c r="NLW11" s="314" t="s">
        <v>203</v>
      </c>
      <c r="NLX11" s="314" t="s">
        <v>203</v>
      </c>
      <c r="NLY11" s="314" t="s">
        <v>203</v>
      </c>
      <c r="NLZ11" s="314" t="s">
        <v>203</v>
      </c>
      <c r="NMA11" s="314" t="s">
        <v>203</v>
      </c>
      <c r="NMB11" s="314" t="s">
        <v>203</v>
      </c>
      <c r="NMC11" s="314" t="s">
        <v>203</v>
      </c>
      <c r="NMD11" s="314" t="s">
        <v>203</v>
      </c>
      <c r="NME11" s="314" t="s">
        <v>203</v>
      </c>
      <c r="NMF11" s="314" t="s">
        <v>203</v>
      </c>
      <c r="NMG11" s="314" t="s">
        <v>203</v>
      </c>
      <c r="NMH11" s="314" t="s">
        <v>203</v>
      </c>
      <c r="NMI11" s="314" t="s">
        <v>203</v>
      </c>
      <c r="NMJ11" s="314" t="s">
        <v>203</v>
      </c>
      <c r="NMK11" s="314" t="s">
        <v>203</v>
      </c>
      <c r="NML11" s="314" t="s">
        <v>203</v>
      </c>
      <c r="NMM11" s="314" t="s">
        <v>203</v>
      </c>
      <c r="NMN11" s="314" t="s">
        <v>203</v>
      </c>
      <c r="NMO11" s="314" t="s">
        <v>203</v>
      </c>
      <c r="NMP11" s="314" t="s">
        <v>203</v>
      </c>
      <c r="NMQ11" s="314" t="s">
        <v>203</v>
      </c>
      <c r="NMR11" s="314" t="s">
        <v>203</v>
      </c>
      <c r="NMS11" s="314" t="s">
        <v>203</v>
      </c>
      <c r="NMT11" s="314" t="s">
        <v>203</v>
      </c>
      <c r="NMU11" s="314" t="s">
        <v>203</v>
      </c>
      <c r="NMV11" s="314" t="s">
        <v>203</v>
      </c>
      <c r="NMW11" s="314" t="s">
        <v>203</v>
      </c>
      <c r="NMX11" s="314" t="s">
        <v>203</v>
      </c>
      <c r="NMY11" s="314" t="s">
        <v>203</v>
      </c>
      <c r="NMZ11" s="314" t="s">
        <v>203</v>
      </c>
      <c r="NNA11" s="314" t="s">
        <v>203</v>
      </c>
      <c r="NNB11" s="314" t="s">
        <v>203</v>
      </c>
      <c r="NNC11" s="314" t="s">
        <v>203</v>
      </c>
      <c r="NND11" s="314" t="s">
        <v>203</v>
      </c>
      <c r="NNE11" s="314" t="s">
        <v>203</v>
      </c>
      <c r="NNF11" s="314" t="s">
        <v>203</v>
      </c>
      <c r="NNG11" s="314" t="s">
        <v>203</v>
      </c>
      <c r="NNH11" s="314" t="s">
        <v>203</v>
      </c>
      <c r="NNI11" s="314" t="s">
        <v>203</v>
      </c>
      <c r="NNJ11" s="314" t="s">
        <v>203</v>
      </c>
      <c r="NNK11" s="314" t="s">
        <v>203</v>
      </c>
      <c r="NNL11" s="314" t="s">
        <v>203</v>
      </c>
      <c r="NNM11" s="314" t="s">
        <v>203</v>
      </c>
      <c r="NNN11" s="314" t="s">
        <v>203</v>
      </c>
      <c r="NNO11" s="314" t="s">
        <v>203</v>
      </c>
      <c r="NNP11" s="314" t="s">
        <v>203</v>
      </c>
      <c r="NNQ11" s="314" t="s">
        <v>203</v>
      </c>
      <c r="NNR11" s="314" t="s">
        <v>203</v>
      </c>
      <c r="NNS11" s="314" t="s">
        <v>203</v>
      </c>
      <c r="NNT11" s="314" t="s">
        <v>203</v>
      </c>
      <c r="NNU11" s="314" t="s">
        <v>203</v>
      </c>
      <c r="NNV11" s="314" t="s">
        <v>203</v>
      </c>
      <c r="NNW11" s="314" t="s">
        <v>203</v>
      </c>
      <c r="NNX11" s="314" t="s">
        <v>203</v>
      </c>
      <c r="NNY11" s="314" t="s">
        <v>203</v>
      </c>
      <c r="NNZ11" s="314" t="s">
        <v>203</v>
      </c>
      <c r="NOA11" s="314" t="s">
        <v>203</v>
      </c>
      <c r="NOB11" s="314" t="s">
        <v>203</v>
      </c>
      <c r="NOC11" s="314" t="s">
        <v>203</v>
      </c>
      <c r="NOD11" s="314" t="s">
        <v>203</v>
      </c>
      <c r="NOE11" s="314" t="s">
        <v>203</v>
      </c>
      <c r="NOF11" s="314" t="s">
        <v>203</v>
      </c>
      <c r="NOG11" s="314" t="s">
        <v>203</v>
      </c>
      <c r="NOH11" s="314" t="s">
        <v>203</v>
      </c>
      <c r="NOI11" s="314" t="s">
        <v>203</v>
      </c>
      <c r="NOJ11" s="314" t="s">
        <v>203</v>
      </c>
      <c r="NOK11" s="314" t="s">
        <v>203</v>
      </c>
      <c r="NOL11" s="314" t="s">
        <v>203</v>
      </c>
      <c r="NOM11" s="314" t="s">
        <v>203</v>
      </c>
      <c r="NON11" s="314" t="s">
        <v>203</v>
      </c>
      <c r="NOO11" s="314" t="s">
        <v>203</v>
      </c>
      <c r="NOP11" s="314" t="s">
        <v>203</v>
      </c>
      <c r="NOQ11" s="314" t="s">
        <v>203</v>
      </c>
      <c r="NOR11" s="314" t="s">
        <v>203</v>
      </c>
      <c r="NOS11" s="314" t="s">
        <v>203</v>
      </c>
      <c r="NOT11" s="314" t="s">
        <v>203</v>
      </c>
      <c r="NOU11" s="314" t="s">
        <v>203</v>
      </c>
      <c r="NOV11" s="314" t="s">
        <v>203</v>
      </c>
      <c r="NOW11" s="314" t="s">
        <v>203</v>
      </c>
      <c r="NOX11" s="314" t="s">
        <v>203</v>
      </c>
      <c r="NOY11" s="314" t="s">
        <v>203</v>
      </c>
      <c r="NOZ11" s="314" t="s">
        <v>203</v>
      </c>
      <c r="NPA11" s="314" t="s">
        <v>203</v>
      </c>
      <c r="NPB11" s="314" t="s">
        <v>203</v>
      </c>
      <c r="NPC11" s="314" t="s">
        <v>203</v>
      </c>
      <c r="NPD11" s="314" t="s">
        <v>203</v>
      </c>
      <c r="NPE11" s="314" t="s">
        <v>203</v>
      </c>
      <c r="NPF11" s="314" t="s">
        <v>203</v>
      </c>
      <c r="NPG11" s="314" t="s">
        <v>203</v>
      </c>
      <c r="NPH11" s="314" t="s">
        <v>203</v>
      </c>
      <c r="NPI11" s="314" t="s">
        <v>203</v>
      </c>
      <c r="NPJ11" s="314" t="s">
        <v>203</v>
      </c>
      <c r="NPK11" s="314" t="s">
        <v>203</v>
      </c>
      <c r="NPL11" s="314" t="s">
        <v>203</v>
      </c>
      <c r="NPM11" s="314" t="s">
        <v>203</v>
      </c>
      <c r="NPN11" s="314" t="s">
        <v>203</v>
      </c>
      <c r="NPO11" s="314" t="s">
        <v>203</v>
      </c>
      <c r="NPP11" s="314" t="s">
        <v>203</v>
      </c>
      <c r="NPQ11" s="314" t="s">
        <v>203</v>
      </c>
      <c r="NPR11" s="314" t="s">
        <v>203</v>
      </c>
      <c r="NPS11" s="314" t="s">
        <v>203</v>
      </c>
      <c r="NPT11" s="314" t="s">
        <v>203</v>
      </c>
      <c r="NPU11" s="314" t="s">
        <v>203</v>
      </c>
      <c r="NPV11" s="314" t="s">
        <v>203</v>
      </c>
      <c r="NPW11" s="314" t="s">
        <v>203</v>
      </c>
      <c r="NPX11" s="314" t="s">
        <v>203</v>
      </c>
      <c r="NPY11" s="314" t="s">
        <v>203</v>
      </c>
      <c r="NPZ11" s="314" t="s">
        <v>203</v>
      </c>
      <c r="NQA11" s="314" t="s">
        <v>203</v>
      </c>
      <c r="NQB11" s="314" t="s">
        <v>203</v>
      </c>
      <c r="NQC11" s="314" t="s">
        <v>203</v>
      </c>
      <c r="NQD11" s="314" t="s">
        <v>203</v>
      </c>
      <c r="NQE11" s="314" t="s">
        <v>203</v>
      </c>
      <c r="NQF11" s="314" t="s">
        <v>203</v>
      </c>
      <c r="NQG11" s="314" t="s">
        <v>203</v>
      </c>
      <c r="NQH11" s="314" t="s">
        <v>203</v>
      </c>
      <c r="NQI11" s="314" t="s">
        <v>203</v>
      </c>
      <c r="NQJ11" s="314" t="s">
        <v>203</v>
      </c>
      <c r="NQK11" s="314" t="s">
        <v>203</v>
      </c>
      <c r="NQL11" s="314" t="s">
        <v>203</v>
      </c>
      <c r="NQM11" s="314" t="s">
        <v>203</v>
      </c>
      <c r="NQN11" s="314" t="s">
        <v>203</v>
      </c>
      <c r="NQO11" s="314" t="s">
        <v>203</v>
      </c>
      <c r="NQP11" s="314" t="s">
        <v>203</v>
      </c>
      <c r="NQQ11" s="314" t="s">
        <v>203</v>
      </c>
      <c r="NQR11" s="314" t="s">
        <v>203</v>
      </c>
      <c r="NQS11" s="314" t="s">
        <v>203</v>
      </c>
      <c r="NQT11" s="314" t="s">
        <v>203</v>
      </c>
      <c r="NQU11" s="314" t="s">
        <v>203</v>
      </c>
      <c r="NQV11" s="314" t="s">
        <v>203</v>
      </c>
      <c r="NQW11" s="314" t="s">
        <v>203</v>
      </c>
      <c r="NQX11" s="314" t="s">
        <v>203</v>
      </c>
      <c r="NQY11" s="314" t="s">
        <v>203</v>
      </c>
      <c r="NQZ11" s="314" t="s">
        <v>203</v>
      </c>
      <c r="NRA11" s="314" t="s">
        <v>203</v>
      </c>
      <c r="NRB11" s="314" t="s">
        <v>203</v>
      </c>
      <c r="NRC11" s="314" t="s">
        <v>203</v>
      </c>
      <c r="NRD11" s="314" t="s">
        <v>203</v>
      </c>
      <c r="NRE11" s="314" t="s">
        <v>203</v>
      </c>
      <c r="NRF11" s="314" t="s">
        <v>203</v>
      </c>
      <c r="NRG11" s="314" t="s">
        <v>203</v>
      </c>
      <c r="NRH11" s="314" t="s">
        <v>203</v>
      </c>
      <c r="NRI11" s="314" t="s">
        <v>203</v>
      </c>
      <c r="NRJ11" s="314" t="s">
        <v>203</v>
      </c>
      <c r="NRK11" s="314" t="s">
        <v>203</v>
      </c>
      <c r="NRL11" s="314" t="s">
        <v>203</v>
      </c>
      <c r="NRM11" s="314" t="s">
        <v>203</v>
      </c>
      <c r="NRN11" s="314" t="s">
        <v>203</v>
      </c>
      <c r="NRO11" s="314" t="s">
        <v>203</v>
      </c>
      <c r="NRP11" s="314" t="s">
        <v>203</v>
      </c>
      <c r="NRQ11" s="314" t="s">
        <v>203</v>
      </c>
      <c r="NRR11" s="314" t="s">
        <v>203</v>
      </c>
      <c r="NRS11" s="314" t="s">
        <v>203</v>
      </c>
      <c r="NRT11" s="314" t="s">
        <v>203</v>
      </c>
      <c r="NRU11" s="314" t="s">
        <v>203</v>
      </c>
      <c r="NRV11" s="314" t="s">
        <v>203</v>
      </c>
      <c r="NRW11" s="314" t="s">
        <v>203</v>
      </c>
      <c r="NRX11" s="314" t="s">
        <v>203</v>
      </c>
      <c r="NRY11" s="314" t="s">
        <v>203</v>
      </c>
      <c r="NRZ11" s="314" t="s">
        <v>203</v>
      </c>
      <c r="NSA11" s="314" t="s">
        <v>203</v>
      </c>
      <c r="NSB11" s="314" t="s">
        <v>203</v>
      </c>
      <c r="NSC11" s="314" t="s">
        <v>203</v>
      </c>
      <c r="NSD11" s="314" t="s">
        <v>203</v>
      </c>
      <c r="NSE11" s="314" t="s">
        <v>203</v>
      </c>
      <c r="NSF11" s="314" t="s">
        <v>203</v>
      </c>
      <c r="NSG11" s="314" t="s">
        <v>203</v>
      </c>
      <c r="NSH11" s="314" t="s">
        <v>203</v>
      </c>
      <c r="NSI11" s="314" t="s">
        <v>203</v>
      </c>
      <c r="NSJ11" s="314" t="s">
        <v>203</v>
      </c>
      <c r="NSK11" s="314" t="s">
        <v>203</v>
      </c>
      <c r="NSL11" s="314" t="s">
        <v>203</v>
      </c>
      <c r="NSM11" s="314" t="s">
        <v>203</v>
      </c>
      <c r="NSN11" s="314" t="s">
        <v>203</v>
      </c>
      <c r="NSO11" s="314" t="s">
        <v>203</v>
      </c>
      <c r="NSP11" s="314" t="s">
        <v>203</v>
      </c>
      <c r="NSQ11" s="314" t="s">
        <v>203</v>
      </c>
      <c r="NSR11" s="314" t="s">
        <v>203</v>
      </c>
      <c r="NSS11" s="314" t="s">
        <v>203</v>
      </c>
      <c r="NST11" s="314" t="s">
        <v>203</v>
      </c>
      <c r="NSU11" s="314" t="s">
        <v>203</v>
      </c>
      <c r="NSV11" s="314" t="s">
        <v>203</v>
      </c>
      <c r="NSW11" s="314" t="s">
        <v>203</v>
      </c>
      <c r="NSX11" s="314" t="s">
        <v>203</v>
      </c>
      <c r="NSY11" s="314" t="s">
        <v>203</v>
      </c>
      <c r="NSZ11" s="314" t="s">
        <v>203</v>
      </c>
      <c r="NTA11" s="314" t="s">
        <v>203</v>
      </c>
      <c r="NTB11" s="314" t="s">
        <v>203</v>
      </c>
      <c r="NTC11" s="314" t="s">
        <v>203</v>
      </c>
      <c r="NTD11" s="314" t="s">
        <v>203</v>
      </c>
      <c r="NTE11" s="314" t="s">
        <v>203</v>
      </c>
      <c r="NTF11" s="314" t="s">
        <v>203</v>
      </c>
      <c r="NTG11" s="314" t="s">
        <v>203</v>
      </c>
      <c r="NTH11" s="314" t="s">
        <v>203</v>
      </c>
      <c r="NTI11" s="314" t="s">
        <v>203</v>
      </c>
      <c r="NTJ11" s="314" t="s">
        <v>203</v>
      </c>
      <c r="NTK11" s="314" t="s">
        <v>203</v>
      </c>
      <c r="NTL11" s="314" t="s">
        <v>203</v>
      </c>
      <c r="NTM11" s="314" t="s">
        <v>203</v>
      </c>
      <c r="NTN11" s="314" t="s">
        <v>203</v>
      </c>
      <c r="NTO11" s="314" t="s">
        <v>203</v>
      </c>
      <c r="NTP11" s="314" t="s">
        <v>203</v>
      </c>
      <c r="NTQ11" s="314" t="s">
        <v>203</v>
      </c>
      <c r="NTR11" s="314" t="s">
        <v>203</v>
      </c>
      <c r="NTS11" s="314" t="s">
        <v>203</v>
      </c>
      <c r="NTT11" s="314" t="s">
        <v>203</v>
      </c>
      <c r="NTU11" s="314" t="s">
        <v>203</v>
      </c>
      <c r="NTV11" s="314" t="s">
        <v>203</v>
      </c>
      <c r="NTW11" s="314" t="s">
        <v>203</v>
      </c>
      <c r="NTX11" s="314" t="s">
        <v>203</v>
      </c>
      <c r="NTY11" s="314" t="s">
        <v>203</v>
      </c>
      <c r="NTZ11" s="314" t="s">
        <v>203</v>
      </c>
      <c r="NUA11" s="314" t="s">
        <v>203</v>
      </c>
      <c r="NUB11" s="314" t="s">
        <v>203</v>
      </c>
      <c r="NUC11" s="314" t="s">
        <v>203</v>
      </c>
      <c r="NUD11" s="314" t="s">
        <v>203</v>
      </c>
      <c r="NUE11" s="314" t="s">
        <v>203</v>
      </c>
      <c r="NUF11" s="314" t="s">
        <v>203</v>
      </c>
      <c r="NUG11" s="314" t="s">
        <v>203</v>
      </c>
      <c r="NUH11" s="314" t="s">
        <v>203</v>
      </c>
      <c r="NUI11" s="314" t="s">
        <v>203</v>
      </c>
      <c r="NUJ11" s="314" t="s">
        <v>203</v>
      </c>
      <c r="NUK11" s="314" t="s">
        <v>203</v>
      </c>
      <c r="NUL11" s="314" t="s">
        <v>203</v>
      </c>
      <c r="NUM11" s="314" t="s">
        <v>203</v>
      </c>
      <c r="NUN11" s="314" t="s">
        <v>203</v>
      </c>
      <c r="NUO11" s="314" t="s">
        <v>203</v>
      </c>
      <c r="NUP11" s="314" t="s">
        <v>203</v>
      </c>
      <c r="NUQ11" s="314" t="s">
        <v>203</v>
      </c>
      <c r="NUR11" s="314" t="s">
        <v>203</v>
      </c>
      <c r="NUS11" s="314" t="s">
        <v>203</v>
      </c>
      <c r="NUT11" s="314" t="s">
        <v>203</v>
      </c>
      <c r="NUU11" s="314" t="s">
        <v>203</v>
      </c>
      <c r="NUV11" s="314" t="s">
        <v>203</v>
      </c>
      <c r="NUW11" s="314" t="s">
        <v>203</v>
      </c>
      <c r="NUX11" s="314" t="s">
        <v>203</v>
      </c>
      <c r="NUY11" s="314" t="s">
        <v>203</v>
      </c>
      <c r="NUZ11" s="314" t="s">
        <v>203</v>
      </c>
      <c r="NVA11" s="314" t="s">
        <v>203</v>
      </c>
      <c r="NVB11" s="314" t="s">
        <v>203</v>
      </c>
      <c r="NVC11" s="314" t="s">
        <v>203</v>
      </c>
      <c r="NVD11" s="314" t="s">
        <v>203</v>
      </c>
      <c r="NVE11" s="314" t="s">
        <v>203</v>
      </c>
      <c r="NVF11" s="314" t="s">
        <v>203</v>
      </c>
      <c r="NVG11" s="314" t="s">
        <v>203</v>
      </c>
      <c r="NVH11" s="314" t="s">
        <v>203</v>
      </c>
      <c r="NVI11" s="314" t="s">
        <v>203</v>
      </c>
      <c r="NVJ11" s="314" t="s">
        <v>203</v>
      </c>
      <c r="NVK11" s="314" t="s">
        <v>203</v>
      </c>
      <c r="NVL11" s="314" t="s">
        <v>203</v>
      </c>
      <c r="NVM11" s="314" t="s">
        <v>203</v>
      </c>
      <c r="NVN11" s="314" t="s">
        <v>203</v>
      </c>
      <c r="NVO11" s="314" t="s">
        <v>203</v>
      </c>
      <c r="NVP11" s="314" t="s">
        <v>203</v>
      </c>
      <c r="NVQ11" s="314" t="s">
        <v>203</v>
      </c>
      <c r="NVR11" s="314" t="s">
        <v>203</v>
      </c>
      <c r="NVS11" s="314" t="s">
        <v>203</v>
      </c>
      <c r="NVT11" s="314" t="s">
        <v>203</v>
      </c>
      <c r="NVU11" s="314" t="s">
        <v>203</v>
      </c>
      <c r="NVV11" s="314" t="s">
        <v>203</v>
      </c>
      <c r="NVW11" s="314" t="s">
        <v>203</v>
      </c>
      <c r="NVX11" s="314" t="s">
        <v>203</v>
      </c>
      <c r="NVY11" s="314" t="s">
        <v>203</v>
      </c>
      <c r="NVZ11" s="314" t="s">
        <v>203</v>
      </c>
      <c r="NWA11" s="314" t="s">
        <v>203</v>
      </c>
      <c r="NWB11" s="314" t="s">
        <v>203</v>
      </c>
      <c r="NWC11" s="314" t="s">
        <v>203</v>
      </c>
      <c r="NWD11" s="314" t="s">
        <v>203</v>
      </c>
      <c r="NWE11" s="314" t="s">
        <v>203</v>
      </c>
      <c r="NWF11" s="314" t="s">
        <v>203</v>
      </c>
      <c r="NWG11" s="314" t="s">
        <v>203</v>
      </c>
      <c r="NWH11" s="314" t="s">
        <v>203</v>
      </c>
      <c r="NWI11" s="314" t="s">
        <v>203</v>
      </c>
      <c r="NWJ11" s="314" t="s">
        <v>203</v>
      </c>
      <c r="NWK11" s="314" t="s">
        <v>203</v>
      </c>
      <c r="NWL11" s="314" t="s">
        <v>203</v>
      </c>
      <c r="NWM11" s="314" t="s">
        <v>203</v>
      </c>
      <c r="NWN11" s="314" t="s">
        <v>203</v>
      </c>
      <c r="NWO11" s="314" t="s">
        <v>203</v>
      </c>
      <c r="NWP11" s="314" t="s">
        <v>203</v>
      </c>
      <c r="NWQ11" s="314" t="s">
        <v>203</v>
      </c>
      <c r="NWR11" s="314" t="s">
        <v>203</v>
      </c>
      <c r="NWS11" s="314" t="s">
        <v>203</v>
      </c>
      <c r="NWT11" s="314" t="s">
        <v>203</v>
      </c>
      <c r="NWU11" s="314" t="s">
        <v>203</v>
      </c>
      <c r="NWV11" s="314" t="s">
        <v>203</v>
      </c>
      <c r="NWW11" s="314" t="s">
        <v>203</v>
      </c>
      <c r="NWX11" s="314" t="s">
        <v>203</v>
      </c>
      <c r="NWY11" s="314" t="s">
        <v>203</v>
      </c>
      <c r="NWZ11" s="314" t="s">
        <v>203</v>
      </c>
      <c r="NXA11" s="314" t="s">
        <v>203</v>
      </c>
      <c r="NXB11" s="314" t="s">
        <v>203</v>
      </c>
      <c r="NXC11" s="314" t="s">
        <v>203</v>
      </c>
      <c r="NXD11" s="314" t="s">
        <v>203</v>
      </c>
      <c r="NXE11" s="314" t="s">
        <v>203</v>
      </c>
      <c r="NXF11" s="314" t="s">
        <v>203</v>
      </c>
      <c r="NXG11" s="314" t="s">
        <v>203</v>
      </c>
      <c r="NXH11" s="314" t="s">
        <v>203</v>
      </c>
      <c r="NXI11" s="314" t="s">
        <v>203</v>
      </c>
      <c r="NXJ11" s="314" t="s">
        <v>203</v>
      </c>
      <c r="NXK11" s="314" t="s">
        <v>203</v>
      </c>
      <c r="NXL11" s="314" t="s">
        <v>203</v>
      </c>
      <c r="NXM11" s="314" t="s">
        <v>203</v>
      </c>
      <c r="NXN11" s="314" t="s">
        <v>203</v>
      </c>
      <c r="NXO11" s="314" t="s">
        <v>203</v>
      </c>
      <c r="NXP11" s="314" t="s">
        <v>203</v>
      </c>
      <c r="NXQ11" s="314" t="s">
        <v>203</v>
      </c>
      <c r="NXR11" s="314" t="s">
        <v>203</v>
      </c>
      <c r="NXS11" s="314" t="s">
        <v>203</v>
      </c>
      <c r="NXT11" s="314" t="s">
        <v>203</v>
      </c>
      <c r="NXU11" s="314" t="s">
        <v>203</v>
      </c>
      <c r="NXV11" s="314" t="s">
        <v>203</v>
      </c>
      <c r="NXW11" s="314" t="s">
        <v>203</v>
      </c>
      <c r="NXX11" s="314" t="s">
        <v>203</v>
      </c>
      <c r="NXY11" s="314" t="s">
        <v>203</v>
      </c>
      <c r="NXZ11" s="314" t="s">
        <v>203</v>
      </c>
      <c r="NYA11" s="314" t="s">
        <v>203</v>
      </c>
      <c r="NYB11" s="314" t="s">
        <v>203</v>
      </c>
      <c r="NYC11" s="314" t="s">
        <v>203</v>
      </c>
      <c r="NYD11" s="314" t="s">
        <v>203</v>
      </c>
      <c r="NYE11" s="314" t="s">
        <v>203</v>
      </c>
      <c r="NYF11" s="314" t="s">
        <v>203</v>
      </c>
      <c r="NYG11" s="314" t="s">
        <v>203</v>
      </c>
      <c r="NYH11" s="314" t="s">
        <v>203</v>
      </c>
      <c r="NYI11" s="314" t="s">
        <v>203</v>
      </c>
      <c r="NYJ11" s="314" t="s">
        <v>203</v>
      </c>
      <c r="NYK11" s="314" t="s">
        <v>203</v>
      </c>
      <c r="NYL11" s="314" t="s">
        <v>203</v>
      </c>
      <c r="NYM11" s="314" t="s">
        <v>203</v>
      </c>
      <c r="NYN11" s="314" t="s">
        <v>203</v>
      </c>
      <c r="NYO11" s="314" t="s">
        <v>203</v>
      </c>
      <c r="NYP11" s="314" t="s">
        <v>203</v>
      </c>
      <c r="NYQ11" s="314" t="s">
        <v>203</v>
      </c>
      <c r="NYR11" s="314" t="s">
        <v>203</v>
      </c>
      <c r="NYS11" s="314" t="s">
        <v>203</v>
      </c>
      <c r="NYT11" s="314" t="s">
        <v>203</v>
      </c>
      <c r="NYU11" s="314" t="s">
        <v>203</v>
      </c>
      <c r="NYV11" s="314" t="s">
        <v>203</v>
      </c>
      <c r="NYW11" s="314" t="s">
        <v>203</v>
      </c>
      <c r="NYX11" s="314" t="s">
        <v>203</v>
      </c>
      <c r="NYY11" s="314" t="s">
        <v>203</v>
      </c>
      <c r="NYZ11" s="314" t="s">
        <v>203</v>
      </c>
      <c r="NZA11" s="314" t="s">
        <v>203</v>
      </c>
      <c r="NZB11" s="314" t="s">
        <v>203</v>
      </c>
      <c r="NZC11" s="314" t="s">
        <v>203</v>
      </c>
      <c r="NZD11" s="314" t="s">
        <v>203</v>
      </c>
      <c r="NZE11" s="314" t="s">
        <v>203</v>
      </c>
      <c r="NZF11" s="314" t="s">
        <v>203</v>
      </c>
      <c r="NZG11" s="314" t="s">
        <v>203</v>
      </c>
      <c r="NZH11" s="314" t="s">
        <v>203</v>
      </c>
      <c r="NZI11" s="314" t="s">
        <v>203</v>
      </c>
      <c r="NZJ11" s="314" t="s">
        <v>203</v>
      </c>
      <c r="NZK11" s="314" t="s">
        <v>203</v>
      </c>
      <c r="NZL11" s="314" t="s">
        <v>203</v>
      </c>
      <c r="NZM11" s="314" t="s">
        <v>203</v>
      </c>
      <c r="NZN11" s="314" t="s">
        <v>203</v>
      </c>
      <c r="NZO11" s="314" t="s">
        <v>203</v>
      </c>
      <c r="NZP11" s="314" t="s">
        <v>203</v>
      </c>
      <c r="NZQ11" s="314" t="s">
        <v>203</v>
      </c>
      <c r="NZR11" s="314" t="s">
        <v>203</v>
      </c>
      <c r="NZS11" s="314" t="s">
        <v>203</v>
      </c>
      <c r="NZT11" s="314" t="s">
        <v>203</v>
      </c>
      <c r="NZU11" s="314" t="s">
        <v>203</v>
      </c>
      <c r="NZV11" s="314" t="s">
        <v>203</v>
      </c>
      <c r="NZW11" s="314" t="s">
        <v>203</v>
      </c>
      <c r="NZX11" s="314" t="s">
        <v>203</v>
      </c>
      <c r="NZY11" s="314" t="s">
        <v>203</v>
      </c>
      <c r="NZZ11" s="314" t="s">
        <v>203</v>
      </c>
      <c r="OAA11" s="314" t="s">
        <v>203</v>
      </c>
      <c r="OAB11" s="314" t="s">
        <v>203</v>
      </c>
      <c r="OAC11" s="314" t="s">
        <v>203</v>
      </c>
      <c r="OAD11" s="314" t="s">
        <v>203</v>
      </c>
      <c r="OAE11" s="314" t="s">
        <v>203</v>
      </c>
      <c r="OAF11" s="314" t="s">
        <v>203</v>
      </c>
      <c r="OAG11" s="314" t="s">
        <v>203</v>
      </c>
      <c r="OAH11" s="314" t="s">
        <v>203</v>
      </c>
      <c r="OAI11" s="314" t="s">
        <v>203</v>
      </c>
      <c r="OAJ11" s="314" t="s">
        <v>203</v>
      </c>
      <c r="OAK11" s="314" t="s">
        <v>203</v>
      </c>
      <c r="OAL11" s="314" t="s">
        <v>203</v>
      </c>
      <c r="OAM11" s="314" t="s">
        <v>203</v>
      </c>
      <c r="OAN11" s="314" t="s">
        <v>203</v>
      </c>
      <c r="OAO11" s="314" t="s">
        <v>203</v>
      </c>
      <c r="OAP11" s="314" t="s">
        <v>203</v>
      </c>
      <c r="OAQ11" s="314" t="s">
        <v>203</v>
      </c>
      <c r="OAR11" s="314" t="s">
        <v>203</v>
      </c>
      <c r="OAS11" s="314" t="s">
        <v>203</v>
      </c>
      <c r="OAT11" s="314" t="s">
        <v>203</v>
      </c>
      <c r="OAU11" s="314" t="s">
        <v>203</v>
      </c>
      <c r="OAV11" s="314" t="s">
        <v>203</v>
      </c>
      <c r="OAW11" s="314" t="s">
        <v>203</v>
      </c>
      <c r="OAX11" s="314" t="s">
        <v>203</v>
      </c>
      <c r="OAY11" s="314" t="s">
        <v>203</v>
      </c>
      <c r="OAZ11" s="314" t="s">
        <v>203</v>
      </c>
      <c r="OBA11" s="314" t="s">
        <v>203</v>
      </c>
      <c r="OBB11" s="314" t="s">
        <v>203</v>
      </c>
      <c r="OBC11" s="314" t="s">
        <v>203</v>
      </c>
      <c r="OBD11" s="314" t="s">
        <v>203</v>
      </c>
      <c r="OBE11" s="314" t="s">
        <v>203</v>
      </c>
      <c r="OBF11" s="314" t="s">
        <v>203</v>
      </c>
      <c r="OBG11" s="314" t="s">
        <v>203</v>
      </c>
      <c r="OBH11" s="314" t="s">
        <v>203</v>
      </c>
      <c r="OBI11" s="314" t="s">
        <v>203</v>
      </c>
      <c r="OBJ11" s="314" t="s">
        <v>203</v>
      </c>
      <c r="OBK11" s="314" t="s">
        <v>203</v>
      </c>
      <c r="OBL11" s="314" t="s">
        <v>203</v>
      </c>
      <c r="OBM11" s="314" t="s">
        <v>203</v>
      </c>
      <c r="OBN11" s="314" t="s">
        <v>203</v>
      </c>
      <c r="OBO11" s="314" t="s">
        <v>203</v>
      </c>
      <c r="OBP11" s="314" t="s">
        <v>203</v>
      </c>
      <c r="OBQ11" s="314" t="s">
        <v>203</v>
      </c>
      <c r="OBR11" s="314" t="s">
        <v>203</v>
      </c>
      <c r="OBS11" s="314" t="s">
        <v>203</v>
      </c>
      <c r="OBT11" s="314" t="s">
        <v>203</v>
      </c>
      <c r="OBU11" s="314" t="s">
        <v>203</v>
      </c>
      <c r="OBV11" s="314" t="s">
        <v>203</v>
      </c>
      <c r="OBW11" s="314" t="s">
        <v>203</v>
      </c>
      <c r="OBX11" s="314" t="s">
        <v>203</v>
      </c>
      <c r="OBY11" s="314" t="s">
        <v>203</v>
      </c>
      <c r="OBZ11" s="314" t="s">
        <v>203</v>
      </c>
      <c r="OCA11" s="314" t="s">
        <v>203</v>
      </c>
      <c r="OCB11" s="314" t="s">
        <v>203</v>
      </c>
      <c r="OCC11" s="314" t="s">
        <v>203</v>
      </c>
      <c r="OCD11" s="314" t="s">
        <v>203</v>
      </c>
      <c r="OCE11" s="314" t="s">
        <v>203</v>
      </c>
      <c r="OCF11" s="314" t="s">
        <v>203</v>
      </c>
      <c r="OCG11" s="314" t="s">
        <v>203</v>
      </c>
      <c r="OCH11" s="314" t="s">
        <v>203</v>
      </c>
      <c r="OCI11" s="314" t="s">
        <v>203</v>
      </c>
      <c r="OCJ11" s="314" t="s">
        <v>203</v>
      </c>
      <c r="OCK11" s="314" t="s">
        <v>203</v>
      </c>
      <c r="OCL11" s="314" t="s">
        <v>203</v>
      </c>
      <c r="OCM11" s="314" t="s">
        <v>203</v>
      </c>
      <c r="OCN11" s="314" t="s">
        <v>203</v>
      </c>
      <c r="OCO11" s="314" t="s">
        <v>203</v>
      </c>
      <c r="OCP11" s="314" t="s">
        <v>203</v>
      </c>
      <c r="OCQ11" s="314" t="s">
        <v>203</v>
      </c>
      <c r="OCR11" s="314" t="s">
        <v>203</v>
      </c>
      <c r="OCS11" s="314" t="s">
        <v>203</v>
      </c>
      <c r="OCT11" s="314" t="s">
        <v>203</v>
      </c>
      <c r="OCU11" s="314" t="s">
        <v>203</v>
      </c>
      <c r="OCV11" s="314" t="s">
        <v>203</v>
      </c>
      <c r="OCW11" s="314" t="s">
        <v>203</v>
      </c>
      <c r="OCX11" s="314" t="s">
        <v>203</v>
      </c>
      <c r="OCY11" s="314" t="s">
        <v>203</v>
      </c>
      <c r="OCZ11" s="314" t="s">
        <v>203</v>
      </c>
      <c r="ODA11" s="314" t="s">
        <v>203</v>
      </c>
      <c r="ODB11" s="314" t="s">
        <v>203</v>
      </c>
      <c r="ODC11" s="314" t="s">
        <v>203</v>
      </c>
      <c r="ODD11" s="314" t="s">
        <v>203</v>
      </c>
      <c r="ODE11" s="314" t="s">
        <v>203</v>
      </c>
      <c r="ODF11" s="314" t="s">
        <v>203</v>
      </c>
      <c r="ODG11" s="314" t="s">
        <v>203</v>
      </c>
      <c r="ODH11" s="314" t="s">
        <v>203</v>
      </c>
      <c r="ODI11" s="314" t="s">
        <v>203</v>
      </c>
      <c r="ODJ11" s="314" t="s">
        <v>203</v>
      </c>
      <c r="ODK11" s="314" t="s">
        <v>203</v>
      </c>
      <c r="ODL11" s="314" t="s">
        <v>203</v>
      </c>
      <c r="ODM11" s="314" t="s">
        <v>203</v>
      </c>
      <c r="ODN11" s="314" t="s">
        <v>203</v>
      </c>
      <c r="ODO11" s="314" t="s">
        <v>203</v>
      </c>
      <c r="ODP11" s="314" t="s">
        <v>203</v>
      </c>
      <c r="ODQ11" s="314" t="s">
        <v>203</v>
      </c>
      <c r="ODR11" s="314" t="s">
        <v>203</v>
      </c>
      <c r="ODS11" s="314" t="s">
        <v>203</v>
      </c>
      <c r="ODT11" s="314" t="s">
        <v>203</v>
      </c>
      <c r="ODU11" s="314" t="s">
        <v>203</v>
      </c>
      <c r="ODV11" s="314" t="s">
        <v>203</v>
      </c>
      <c r="ODW11" s="314" t="s">
        <v>203</v>
      </c>
      <c r="ODX11" s="314" t="s">
        <v>203</v>
      </c>
      <c r="ODY11" s="314" t="s">
        <v>203</v>
      </c>
      <c r="ODZ11" s="314" t="s">
        <v>203</v>
      </c>
      <c r="OEA11" s="314" t="s">
        <v>203</v>
      </c>
      <c r="OEB11" s="314" t="s">
        <v>203</v>
      </c>
      <c r="OEC11" s="314" t="s">
        <v>203</v>
      </c>
      <c r="OED11" s="314" t="s">
        <v>203</v>
      </c>
      <c r="OEE11" s="314" t="s">
        <v>203</v>
      </c>
      <c r="OEF11" s="314" t="s">
        <v>203</v>
      </c>
      <c r="OEG11" s="314" t="s">
        <v>203</v>
      </c>
      <c r="OEH11" s="314" t="s">
        <v>203</v>
      </c>
      <c r="OEI11" s="314" t="s">
        <v>203</v>
      </c>
      <c r="OEJ11" s="314" t="s">
        <v>203</v>
      </c>
      <c r="OEK11" s="314" t="s">
        <v>203</v>
      </c>
      <c r="OEL11" s="314" t="s">
        <v>203</v>
      </c>
      <c r="OEM11" s="314" t="s">
        <v>203</v>
      </c>
      <c r="OEN11" s="314" t="s">
        <v>203</v>
      </c>
      <c r="OEO11" s="314" t="s">
        <v>203</v>
      </c>
      <c r="OEP11" s="314" t="s">
        <v>203</v>
      </c>
      <c r="OEQ11" s="314" t="s">
        <v>203</v>
      </c>
      <c r="OER11" s="314" t="s">
        <v>203</v>
      </c>
      <c r="OES11" s="314" t="s">
        <v>203</v>
      </c>
      <c r="OET11" s="314" t="s">
        <v>203</v>
      </c>
      <c r="OEU11" s="314" t="s">
        <v>203</v>
      </c>
      <c r="OEV11" s="314" t="s">
        <v>203</v>
      </c>
      <c r="OEW11" s="314" t="s">
        <v>203</v>
      </c>
      <c r="OEX11" s="314" t="s">
        <v>203</v>
      </c>
      <c r="OEY11" s="314" t="s">
        <v>203</v>
      </c>
      <c r="OEZ11" s="314" t="s">
        <v>203</v>
      </c>
      <c r="OFA11" s="314" t="s">
        <v>203</v>
      </c>
      <c r="OFB11" s="314" t="s">
        <v>203</v>
      </c>
      <c r="OFC11" s="314" t="s">
        <v>203</v>
      </c>
      <c r="OFD11" s="314" t="s">
        <v>203</v>
      </c>
      <c r="OFE11" s="314" t="s">
        <v>203</v>
      </c>
      <c r="OFF11" s="314" t="s">
        <v>203</v>
      </c>
      <c r="OFG11" s="314" t="s">
        <v>203</v>
      </c>
      <c r="OFH11" s="314" t="s">
        <v>203</v>
      </c>
      <c r="OFI11" s="314" t="s">
        <v>203</v>
      </c>
      <c r="OFJ11" s="314" t="s">
        <v>203</v>
      </c>
      <c r="OFK11" s="314" t="s">
        <v>203</v>
      </c>
      <c r="OFL11" s="314" t="s">
        <v>203</v>
      </c>
      <c r="OFM11" s="314" t="s">
        <v>203</v>
      </c>
      <c r="OFN11" s="314" t="s">
        <v>203</v>
      </c>
      <c r="OFO11" s="314" t="s">
        <v>203</v>
      </c>
      <c r="OFP11" s="314" t="s">
        <v>203</v>
      </c>
      <c r="OFQ11" s="314" t="s">
        <v>203</v>
      </c>
      <c r="OFR11" s="314" t="s">
        <v>203</v>
      </c>
      <c r="OFS11" s="314" t="s">
        <v>203</v>
      </c>
      <c r="OFT11" s="314" t="s">
        <v>203</v>
      </c>
      <c r="OFU11" s="314" t="s">
        <v>203</v>
      </c>
      <c r="OFV11" s="314" t="s">
        <v>203</v>
      </c>
      <c r="OFW11" s="314" t="s">
        <v>203</v>
      </c>
      <c r="OFX11" s="314" t="s">
        <v>203</v>
      </c>
      <c r="OFY11" s="314" t="s">
        <v>203</v>
      </c>
      <c r="OFZ11" s="314" t="s">
        <v>203</v>
      </c>
      <c r="OGA11" s="314" t="s">
        <v>203</v>
      </c>
      <c r="OGB11" s="314" t="s">
        <v>203</v>
      </c>
      <c r="OGC11" s="314" t="s">
        <v>203</v>
      </c>
      <c r="OGD11" s="314" t="s">
        <v>203</v>
      </c>
      <c r="OGE11" s="314" t="s">
        <v>203</v>
      </c>
      <c r="OGF11" s="314" t="s">
        <v>203</v>
      </c>
      <c r="OGG11" s="314" t="s">
        <v>203</v>
      </c>
      <c r="OGH11" s="314" t="s">
        <v>203</v>
      </c>
      <c r="OGI11" s="314" t="s">
        <v>203</v>
      </c>
      <c r="OGJ11" s="314" t="s">
        <v>203</v>
      </c>
      <c r="OGK11" s="314" t="s">
        <v>203</v>
      </c>
      <c r="OGL11" s="314" t="s">
        <v>203</v>
      </c>
      <c r="OGM11" s="314" t="s">
        <v>203</v>
      </c>
      <c r="OGN11" s="314" t="s">
        <v>203</v>
      </c>
      <c r="OGO11" s="314" t="s">
        <v>203</v>
      </c>
      <c r="OGP11" s="314" t="s">
        <v>203</v>
      </c>
      <c r="OGQ11" s="314" t="s">
        <v>203</v>
      </c>
      <c r="OGR11" s="314" t="s">
        <v>203</v>
      </c>
      <c r="OGS11" s="314" t="s">
        <v>203</v>
      </c>
      <c r="OGT11" s="314" t="s">
        <v>203</v>
      </c>
      <c r="OGU11" s="314" t="s">
        <v>203</v>
      </c>
      <c r="OGV11" s="314" t="s">
        <v>203</v>
      </c>
      <c r="OGW11" s="314" t="s">
        <v>203</v>
      </c>
      <c r="OGX11" s="314" t="s">
        <v>203</v>
      </c>
      <c r="OGY11" s="314" t="s">
        <v>203</v>
      </c>
      <c r="OGZ11" s="314" t="s">
        <v>203</v>
      </c>
      <c r="OHA11" s="314" t="s">
        <v>203</v>
      </c>
      <c r="OHB11" s="314" t="s">
        <v>203</v>
      </c>
      <c r="OHC11" s="314" t="s">
        <v>203</v>
      </c>
      <c r="OHD11" s="314" t="s">
        <v>203</v>
      </c>
      <c r="OHE11" s="314" t="s">
        <v>203</v>
      </c>
      <c r="OHF11" s="314" t="s">
        <v>203</v>
      </c>
      <c r="OHG11" s="314" t="s">
        <v>203</v>
      </c>
      <c r="OHH11" s="314" t="s">
        <v>203</v>
      </c>
      <c r="OHI11" s="314" t="s">
        <v>203</v>
      </c>
      <c r="OHJ11" s="314" t="s">
        <v>203</v>
      </c>
      <c r="OHK11" s="314" t="s">
        <v>203</v>
      </c>
      <c r="OHL11" s="314" t="s">
        <v>203</v>
      </c>
      <c r="OHM11" s="314" t="s">
        <v>203</v>
      </c>
      <c r="OHN11" s="314" t="s">
        <v>203</v>
      </c>
      <c r="OHO11" s="314" t="s">
        <v>203</v>
      </c>
      <c r="OHP11" s="314" t="s">
        <v>203</v>
      </c>
      <c r="OHQ11" s="314" t="s">
        <v>203</v>
      </c>
      <c r="OHR11" s="314" t="s">
        <v>203</v>
      </c>
      <c r="OHS11" s="314" t="s">
        <v>203</v>
      </c>
      <c r="OHT11" s="314" t="s">
        <v>203</v>
      </c>
      <c r="OHU11" s="314" t="s">
        <v>203</v>
      </c>
      <c r="OHV11" s="314" t="s">
        <v>203</v>
      </c>
      <c r="OHW11" s="314" t="s">
        <v>203</v>
      </c>
      <c r="OHX11" s="314" t="s">
        <v>203</v>
      </c>
      <c r="OHY11" s="314" t="s">
        <v>203</v>
      </c>
      <c r="OHZ11" s="314" t="s">
        <v>203</v>
      </c>
      <c r="OIA11" s="314" t="s">
        <v>203</v>
      </c>
      <c r="OIB11" s="314" t="s">
        <v>203</v>
      </c>
      <c r="OIC11" s="314" t="s">
        <v>203</v>
      </c>
      <c r="OID11" s="314" t="s">
        <v>203</v>
      </c>
      <c r="OIE11" s="314" t="s">
        <v>203</v>
      </c>
      <c r="OIF11" s="314" t="s">
        <v>203</v>
      </c>
      <c r="OIG11" s="314" t="s">
        <v>203</v>
      </c>
      <c r="OIH11" s="314" t="s">
        <v>203</v>
      </c>
      <c r="OII11" s="314" t="s">
        <v>203</v>
      </c>
      <c r="OIJ11" s="314" t="s">
        <v>203</v>
      </c>
      <c r="OIK11" s="314" t="s">
        <v>203</v>
      </c>
      <c r="OIL11" s="314" t="s">
        <v>203</v>
      </c>
      <c r="OIM11" s="314" t="s">
        <v>203</v>
      </c>
      <c r="OIN11" s="314" t="s">
        <v>203</v>
      </c>
      <c r="OIO11" s="314" t="s">
        <v>203</v>
      </c>
      <c r="OIP11" s="314" t="s">
        <v>203</v>
      </c>
      <c r="OIQ11" s="314" t="s">
        <v>203</v>
      </c>
      <c r="OIR11" s="314" t="s">
        <v>203</v>
      </c>
      <c r="OIS11" s="314" t="s">
        <v>203</v>
      </c>
      <c r="OIT11" s="314" t="s">
        <v>203</v>
      </c>
      <c r="OIU11" s="314" t="s">
        <v>203</v>
      </c>
      <c r="OIV11" s="314" t="s">
        <v>203</v>
      </c>
      <c r="OIW11" s="314" t="s">
        <v>203</v>
      </c>
      <c r="OIX11" s="314" t="s">
        <v>203</v>
      </c>
      <c r="OIY11" s="314" t="s">
        <v>203</v>
      </c>
      <c r="OIZ11" s="314" t="s">
        <v>203</v>
      </c>
      <c r="OJA11" s="314" t="s">
        <v>203</v>
      </c>
      <c r="OJB11" s="314" t="s">
        <v>203</v>
      </c>
      <c r="OJC11" s="314" t="s">
        <v>203</v>
      </c>
      <c r="OJD11" s="314" t="s">
        <v>203</v>
      </c>
      <c r="OJE11" s="314" t="s">
        <v>203</v>
      </c>
      <c r="OJF11" s="314" t="s">
        <v>203</v>
      </c>
      <c r="OJG11" s="314" t="s">
        <v>203</v>
      </c>
      <c r="OJH11" s="314" t="s">
        <v>203</v>
      </c>
      <c r="OJI11" s="314" t="s">
        <v>203</v>
      </c>
      <c r="OJJ11" s="314" t="s">
        <v>203</v>
      </c>
      <c r="OJK11" s="314" t="s">
        <v>203</v>
      </c>
      <c r="OJL11" s="314" t="s">
        <v>203</v>
      </c>
      <c r="OJM11" s="314" t="s">
        <v>203</v>
      </c>
      <c r="OJN11" s="314" t="s">
        <v>203</v>
      </c>
      <c r="OJO11" s="314" t="s">
        <v>203</v>
      </c>
      <c r="OJP11" s="314" t="s">
        <v>203</v>
      </c>
      <c r="OJQ11" s="314" t="s">
        <v>203</v>
      </c>
      <c r="OJR11" s="314" t="s">
        <v>203</v>
      </c>
      <c r="OJS11" s="314" t="s">
        <v>203</v>
      </c>
      <c r="OJT11" s="314" t="s">
        <v>203</v>
      </c>
      <c r="OJU11" s="314" t="s">
        <v>203</v>
      </c>
      <c r="OJV11" s="314" t="s">
        <v>203</v>
      </c>
      <c r="OJW11" s="314" t="s">
        <v>203</v>
      </c>
      <c r="OJX11" s="314" t="s">
        <v>203</v>
      </c>
      <c r="OJY11" s="314" t="s">
        <v>203</v>
      </c>
      <c r="OJZ11" s="314" t="s">
        <v>203</v>
      </c>
      <c r="OKA11" s="314" t="s">
        <v>203</v>
      </c>
      <c r="OKB11" s="314" t="s">
        <v>203</v>
      </c>
      <c r="OKC11" s="314" t="s">
        <v>203</v>
      </c>
      <c r="OKD11" s="314" t="s">
        <v>203</v>
      </c>
      <c r="OKE11" s="314" t="s">
        <v>203</v>
      </c>
      <c r="OKF11" s="314" t="s">
        <v>203</v>
      </c>
      <c r="OKG11" s="314" t="s">
        <v>203</v>
      </c>
      <c r="OKH11" s="314" t="s">
        <v>203</v>
      </c>
      <c r="OKI11" s="314" t="s">
        <v>203</v>
      </c>
      <c r="OKJ11" s="314" t="s">
        <v>203</v>
      </c>
      <c r="OKK11" s="314" t="s">
        <v>203</v>
      </c>
      <c r="OKL11" s="314" t="s">
        <v>203</v>
      </c>
      <c r="OKM11" s="314" t="s">
        <v>203</v>
      </c>
      <c r="OKN11" s="314" t="s">
        <v>203</v>
      </c>
      <c r="OKO11" s="314" t="s">
        <v>203</v>
      </c>
      <c r="OKP11" s="314" t="s">
        <v>203</v>
      </c>
      <c r="OKQ11" s="314" t="s">
        <v>203</v>
      </c>
      <c r="OKR11" s="314" t="s">
        <v>203</v>
      </c>
      <c r="OKS11" s="314" t="s">
        <v>203</v>
      </c>
      <c r="OKT11" s="314" t="s">
        <v>203</v>
      </c>
      <c r="OKU11" s="314" t="s">
        <v>203</v>
      </c>
      <c r="OKV11" s="314" t="s">
        <v>203</v>
      </c>
      <c r="OKW11" s="314" t="s">
        <v>203</v>
      </c>
      <c r="OKX11" s="314" t="s">
        <v>203</v>
      </c>
      <c r="OKY11" s="314" t="s">
        <v>203</v>
      </c>
      <c r="OKZ11" s="314" t="s">
        <v>203</v>
      </c>
      <c r="OLA11" s="314" t="s">
        <v>203</v>
      </c>
      <c r="OLB11" s="314" t="s">
        <v>203</v>
      </c>
      <c r="OLC11" s="314" t="s">
        <v>203</v>
      </c>
      <c r="OLD11" s="314" t="s">
        <v>203</v>
      </c>
      <c r="OLE11" s="314" t="s">
        <v>203</v>
      </c>
      <c r="OLF11" s="314" t="s">
        <v>203</v>
      </c>
      <c r="OLG11" s="314" t="s">
        <v>203</v>
      </c>
      <c r="OLH11" s="314" t="s">
        <v>203</v>
      </c>
      <c r="OLI11" s="314" t="s">
        <v>203</v>
      </c>
      <c r="OLJ11" s="314" t="s">
        <v>203</v>
      </c>
      <c r="OLK11" s="314" t="s">
        <v>203</v>
      </c>
      <c r="OLL11" s="314" t="s">
        <v>203</v>
      </c>
      <c r="OLM11" s="314" t="s">
        <v>203</v>
      </c>
      <c r="OLN11" s="314" t="s">
        <v>203</v>
      </c>
      <c r="OLO11" s="314" t="s">
        <v>203</v>
      </c>
      <c r="OLP11" s="314" t="s">
        <v>203</v>
      </c>
      <c r="OLQ11" s="314" t="s">
        <v>203</v>
      </c>
      <c r="OLR11" s="314" t="s">
        <v>203</v>
      </c>
      <c r="OLS11" s="314" t="s">
        <v>203</v>
      </c>
      <c r="OLT11" s="314" t="s">
        <v>203</v>
      </c>
      <c r="OLU11" s="314" t="s">
        <v>203</v>
      </c>
      <c r="OLV11" s="314" t="s">
        <v>203</v>
      </c>
      <c r="OLW11" s="314" t="s">
        <v>203</v>
      </c>
      <c r="OLX11" s="314" t="s">
        <v>203</v>
      </c>
      <c r="OLY11" s="314" t="s">
        <v>203</v>
      </c>
      <c r="OLZ11" s="314" t="s">
        <v>203</v>
      </c>
      <c r="OMA11" s="314" t="s">
        <v>203</v>
      </c>
      <c r="OMB11" s="314" t="s">
        <v>203</v>
      </c>
      <c r="OMC11" s="314" t="s">
        <v>203</v>
      </c>
      <c r="OMD11" s="314" t="s">
        <v>203</v>
      </c>
      <c r="OME11" s="314" t="s">
        <v>203</v>
      </c>
      <c r="OMF11" s="314" t="s">
        <v>203</v>
      </c>
      <c r="OMG11" s="314" t="s">
        <v>203</v>
      </c>
      <c r="OMH11" s="314" t="s">
        <v>203</v>
      </c>
      <c r="OMI11" s="314" t="s">
        <v>203</v>
      </c>
      <c r="OMJ11" s="314" t="s">
        <v>203</v>
      </c>
      <c r="OMK11" s="314" t="s">
        <v>203</v>
      </c>
      <c r="OML11" s="314" t="s">
        <v>203</v>
      </c>
      <c r="OMM11" s="314" t="s">
        <v>203</v>
      </c>
      <c r="OMN11" s="314" t="s">
        <v>203</v>
      </c>
      <c r="OMO11" s="314" t="s">
        <v>203</v>
      </c>
      <c r="OMP11" s="314" t="s">
        <v>203</v>
      </c>
      <c r="OMQ11" s="314" t="s">
        <v>203</v>
      </c>
      <c r="OMR11" s="314" t="s">
        <v>203</v>
      </c>
      <c r="OMS11" s="314" t="s">
        <v>203</v>
      </c>
      <c r="OMT11" s="314" t="s">
        <v>203</v>
      </c>
      <c r="OMU11" s="314" t="s">
        <v>203</v>
      </c>
      <c r="OMV11" s="314" t="s">
        <v>203</v>
      </c>
      <c r="OMW11" s="314" t="s">
        <v>203</v>
      </c>
      <c r="OMX11" s="314" t="s">
        <v>203</v>
      </c>
      <c r="OMY11" s="314" t="s">
        <v>203</v>
      </c>
      <c r="OMZ11" s="314" t="s">
        <v>203</v>
      </c>
      <c r="ONA11" s="314" t="s">
        <v>203</v>
      </c>
      <c r="ONB11" s="314" t="s">
        <v>203</v>
      </c>
      <c r="ONC11" s="314" t="s">
        <v>203</v>
      </c>
      <c r="OND11" s="314" t="s">
        <v>203</v>
      </c>
      <c r="ONE11" s="314" t="s">
        <v>203</v>
      </c>
      <c r="ONF11" s="314" t="s">
        <v>203</v>
      </c>
      <c r="ONG11" s="314" t="s">
        <v>203</v>
      </c>
      <c r="ONH11" s="314" t="s">
        <v>203</v>
      </c>
      <c r="ONI11" s="314" t="s">
        <v>203</v>
      </c>
      <c r="ONJ11" s="314" t="s">
        <v>203</v>
      </c>
      <c r="ONK11" s="314" t="s">
        <v>203</v>
      </c>
      <c r="ONL11" s="314" t="s">
        <v>203</v>
      </c>
      <c r="ONM11" s="314" t="s">
        <v>203</v>
      </c>
      <c r="ONN11" s="314" t="s">
        <v>203</v>
      </c>
      <c r="ONO11" s="314" t="s">
        <v>203</v>
      </c>
      <c r="ONP11" s="314" t="s">
        <v>203</v>
      </c>
      <c r="ONQ11" s="314" t="s">
        <v>203</v>
      </c>
      <c r="ONR11" s="314" t="s">
        <v>203</v>
      </c>
      <c r="ONS11" s="314" t="s">
        <v>203</v>
      </c>
      <c r="ONT11" s="314" t="s">
        <v>203</v>
      </c>
      <c r="ONU11" s="314" t="s">
        <v>203</v>
      </c>
      <c r="ONV11" s="314" t="s">
        <v>203</v>
      </c>
      <c r="ONW11" s="314" t="s">
        <v>203</v>
      </c>
      <c r="ONX11" s="314" t="s">
        <v>203</v>
      </c>
      <c r="ONY11" s="314" t="s">
        <v>203</v>
      </c>
      <c r="ONZ11" s="314" t="s">
        <v>203</v>
      </c>
      <c r="OOA11" s="314" t="s">
        <v>203</v>
      </c>
      <c r="OOB11" s="314" t="s">
        <v>203</v>
      </c>
      <c r="OOC11" s="314" t="s">
        <v>203</v>
      </c>
      <c r="OOD11" s="314" t="s">
        <v>203</v>
      </c>
      <c r="OOE11" s="314" t="s">
        <v>203</v>
      </c>
      <c r="OOF11" s="314" t="s">
        <v>203</v>
      </c>
      <c r="OOG11" s="314" t="s">
        <v>203</v>
      </c>
      <c r="OOH11" s="314" t="s">
        <v>203</v>
      </c>
      <c r="OOI11" s="314" t="s">
        <v>203</v>
      </c>
      <c r="OOJ11" s="314" t="s">
        <v>203</v>
      </c>
      <c r="OOK11" s="314" t="s">
        <v>203</v>
      </c>
      <c r="OOL11" s="314" t="s">
        <v>203</v>
      </c>
      <c r="OOM11" s="314" t="s">
        <v>203</v>
      </c>
      <c r="OON11" s="314" t="s">
        <v>203</v>
      </c>
      <c r="OOO11" s="314" t="s">
        <v>203</v>
      </c>
      <c r="OOP11" s="314" t="s">
        <v>203</v>
      </c>
      <c r="OOQ11" s="314" t="s">
        <v>203</v>
      </c>
      <c r="OOR11" s="314" t="s">
        <v>203</v>
      </c>
      <c r="OOS11" s="314" t="s">
        <v>203</v>
      </c>
      <c r="OOT11" s="314" t="s">
        <v>203</v>
      </c>
      <c r="OOU11" s="314" t="s">
        <v>203</v>
      </c>
      <c r="OOV11" s="314" t="s">
        <v>203</v>
      </c>
      <c r="OOW11" s="314" t="s">
        <v>203</v>
      </c>
      <c r="OOX11" s="314" t="s">
        <v>203</v>
      </c>
      <c r="OOY11" s="314" t="s">
        <v>203</v>
      </c>
      <c r="OOZ11" s="314" t="s">
        <v>203</v>
      </c>
      <c r="OPA11" s="314" t="s">
        <v>203</v>
      </c>
      <c r="OPB11" s="314" t="s">
        <v>203</v>
      </c>
      <c r="OPC11" s="314" t="s">
        <v>203</v>
      </c>
      <c r="OPD11" s="314" t="s">
        <v>203</v>
      </c>
      <c r="OPE11" s="314" t="s">
        <v>203</v>
      </c>
      <c r="OPF11" s="314" t="s">
        <v>203</v>
      </c>
      <c r="OPG11" s="314" t="s">
        <v>203</v>
      </c>
      <c r="OPH11" s="314" t="s">
        <v>203</v>
      </c>
      <c r="OPI11" s="314" t="s">
        <v>203</v>
      </c>
      <c r="OPJ11" s="314" t="s">
        <v>203</v>
      </c>
      <c r="OPK11" s="314" t="s">
        <v>203</v>
      </c>
      <c r="OPL11" s="314" t="s">
        <v>203</v>
      </c>
      <c r="OPM11" s="314" t="s">
        <v>203</v>
      </c>
      <c r="OPN11" s="314" t="s">
        <v>203</v>
      </c>
      <c r="OPO11" s="314" t="s">
        <v>203</v>
      </c>
      <c r="OPP11" s="314" t="s">
        <v>203</v>
      </c>
      <c r="OPQ11" s="314" t="s">
        <v>203</v>
      </c>
      <c r="OPR11" s="314" t="s">
        <v>203</v>
      </c>
      <c r="OPS11" s="314" t="s">
        <v>203</v>
      </c>
      <c r="OPT11" s="314" t="s">
        <v>203</v>
      </c>
      <c r="OPU11" s="314" t="s">
        <v>203</v>
      </c>
      <c r="OPV11" s="314" t="s">
        <v>203</v>
      </c>
      <c r="OPW11" s="314" t="s">
        <v>203</v>
      </c>
      <c r="OPX11" s="314" t="s">
        <v>203</v>
      </c>
      <c r="OPY11" s="314" t="s">
        <v>203</v>
      </c>
      <c r="OPZ11" s="314" t="s">
        <v>203</v>
      </c>
      <c r="OQA11" s="314" t="s">
        <v>203</v>
      </c>
      <c r="OQB11" s="314" t="s">
        <v>203</v>
      </c>
      <c r="OQC11" s="314" t="s">
        <v>203</v>
      </c>
      <c r="OQD11" s="314" t="s">
        <v>203</v>
      </c>
      <c r="OQE11" s="314" t="s">
        <v>203</v>
      </c>
      <c r="OQF11" s="314" t="s">
        <v>203</v>
      </c>
      <c r="OQG11" s="314" t="s">
        <v>203</v>
      </c>
      <c r="OQH11" s="314" t="s">
        <v>203</v>
      </c>
      <c r="OQI11" s="314" t="s">
        <v>203</v>
      </c>
      <c r="OQJ11" s="314" t="s">
        <v>203</v>
      </c>
      <c r="OQK11" s="314" t="s">
        <v>203</v>
      </c>
      <c r="OQL11" s="314" t="s">
        <v>203</v>
      </c>
      <c r="OQM11" s="314" t="s">
        <v>203</v>
      </c>
      <c r="OQN11" s="314" t="s">
        <v>203</v>
      </c>
      <c r="OQO11" s="314" t="s">
        <v>203</v>
      </c>
      <c r="OQP11" s="314" t="s">
        <v>203</v>
      </c>
      <c r="OQQ11" s="314" t="s">
        <v>203</v>
      </c>
      <c r="OQR11" s="314" t="s">
        <v>203</v>
      </c>
      <c r="OQS11" s="314" t="s">
        <v>203</v>
      </c>
      <c r="OQT11" s="314" t="s">
        <v>203</v>
      </c>
      <c r="OQU11" s="314" t="s">
        <v>203</v>
      </c>
      <c r="OQV11" s="314" t="s">
        <v>203</v>
      </c>
      <c r="OQW11" s="314" t="s">
        <v>203</v>
      </c>
      <c r="OQX11" s="314" t="s">
        <v>203</v>
      </c>
      <c r="OQY11" s="314" t="s">
        <v>203</v>
      </c>
      <c r="OQZ11" s="314" t="s">
        <v>203</v>
      </c>
      <c r="ORA11" s="314" t="s">
        <v>203</v>
      </c>
      <c r="ORB11" s="314" t="s">
        <v>203</v>
      </c>
      <c r="ORC11" s="314" t="s">
        <v>203</v>
      </c>
      <c r="ORD11" s="314" t="s">
        <v>203</v>
      </c>
      <c r="ORE11" s="314" t="s">
        <v>203</v>
      </c>
      <c r="ORF11" s="314" t="s">
        <v>203</v>
      </c>
      <c r="ORG11" s="314" t="s">
        <v>203</v>
      </c>
      <c r="ORH11" s="314" t="s">
        <v>203</v>
      </c>
      <c r="ORI11" s="314" t="s">
        <v>203</v>
      </c>
      <c r="ORJ11" s="314" t="s">
        <v>203</v>
      </c>
      <c r="ORK11" s="314" t="s">
        <v>203</v>
      </c>
      <c r="ORL11" s="314" t="s">
        <v>203</v>
      </c>
      <c r="ORM11" s="314" t="s">
        <v>203</v>
      </c>
      <c r="ORN11" s="314" t="s">
        <v>203</v>
      </c>
      <c r="ORO11" s="314" t="s">
        <v>203</v>
      </c>
      <c r="ORP11" s="314" t="s">
        <v>203</v>
      </c>
      <c r="ORQ11" s="314" t="s">
        <v>203</v>
      </c>
      <c r="ORR11" s="314" t="s">
        <v>203</v>
      </c>
      <c r="ORS11" s="314" t="s">
        <v>203</v>
      </c>
      <c r="ORT11" s="314" t="s">
        <v>203</v>
      </c>
      <c r="ORU11" s="314" t="s">
        <v>203</v>
      </c>
      <c r="ORV11" s="314" t="s">
        <v>203</v>
      </c>
      <c r="ORW11" s="314" t="s">
        <v>203</v>
      </c>
      <c r="ORX11" s="314" t="s">
        <v>203</v>
      </c>
      <c r="ORY11" s="314" t="s">
        <v>203</v>
      </c>
      <c r="ORZ11" s="314" t="s">
        <v>203</v>
      </c>
      <c r="OSA11" s="314" t="s">
        <v>203</v>
      </c>
      <c r="OSB11" s="314" t="s">
        <v>203</v>
      </c>
      <c r="OSC11" s="314" t="s">
        <v>203</v>
      </c>
      <c r="OSD11" s="314" t="s">
        <v>203</v>
      </c>
      <c r="OSE11" s="314" t="s">
        <v>203</v>
      </c>
      <c r="OSF11" s="314" t="s">
        <v>203</v>
      </c>
      <c r="OSG11" s="314" t="s">
        <v>203</v>
      </c>
      <c r="OSH11" s="314" t="s">
        <v>203</v>
      </c>
      <c r="OSI11" s="314" t="s">
        <v>203</v>
      </c>
      <c r="OSJ11" s="314" t="s">
        <v>203</v>
      </c>
      <c r="OSK11" s="314" t="s">
        <v>203</v>
      </c>
      <c r="OSL11" s="314" t="s">
        <v>203</v>
      </c>
      <c r="OSM11" s="314" t="s">
        <v>203</v>
      </c>
      <c r="OSN11" s="314" t="s">
        <v>203</v>
      </c>
      <c r="OSO11" s="314" t="s">
        <v>203</v>
      </c>
      <c r="OSP11" s="314" t="s">
        <v>203</v>
      </c>
      <c r="OSQ11" s="314" t="s">
        <v>203</v>
      </c>
      <c r="OSR11" s="314" t="s">
        <v>203</v>
      </c>
      <c r="OSS11" s="314" t="s">
        <v>203</v>
      </c>
      <c r="OST11" s="314" t="s">
        <v>203</v>
      </c>
      <c r="OSU11" s="314" t="s">
        <v>203</v>
      </c>
      <c r="OSV11" s="314" t="s">
        <v>203</v>
      </c>
      <c r="OSW11" s="314" t="s">
        <v>203</v>
      </c>
      <c r="OSX11" s="314" t="s">
        <v>203</v>
      </c>
      <c r="OSY11" s="314" t="s">
        <v>203</v>
      </c>
      <c r="OSZ11" s="314" t="s">
        <v>203</v>
      </c>
      <c r="OTA11" s="314" t="s">
        <v>203</v>
      </c>
      <c r="OTB11" s="314" t="s">
        <v>203</v>
      </c>
      <c r="OTC11" s="314" t="s">
        <v>203</v>
      </c>
      <c r="OTD11" s="314" t="s">
        <v>203</v>
      </c>
      <c r="OTE11" s="314" t="s">
        <v>203</v>
      </c>
      <c r="OTF11" s="314" t="s">
        <v>203</v>
      </c>
      <c r="OTG11" s="314" t="s">
        <v>203</v>
      </c>
      <c r="OTH11" s="314" t="s">
        <v>203</v>
      </c>
      <c r="OTI11" s="314" t="s">
        <v>203</v>
      </c>
      <c r="OTJ11" s="314" t="s">
        <v>203</v>
      </c>
      <c r="OTK11" s="314" t="s">
        <v>203</v>
      </c>
      <c r="OTL11" s="314" t="s">
        <v>203</v>
      </c>
      <c r="OTM11" s="314" t="s">
        <v>203</v>
      </c>
      <c r="OTN11" s="314" t="s">
        <v>203</v>
      </c>
      <c r="OTO11" s="314" t="s">
        <v>203</v>
      </c>
      <c r="OTP11" s="314" t="s">
        <v>203</v>
      </c>
      <c r="OTQ11" s="314" t="s">
        <v>203</v>
      </c>
      <c r="OTR11" s="314" t="s">
        <v>203</v>
      </c>
      <c r="OTS11" s="314" t="s">
        <v>203</v>
      </c>
      <c r="OTT11" s="314" t="s">
        <v>203</v>
      </c>
      <c r="OTU11" s="314" t="s">
        <v>203</v>
      </c>
      <c r="OTV11" s="314" t="s">
        <v>203</v>
      </c>
      <c r="OTW11" s="314" t="s">
        <v>203</v>
      </c>
      <c r="OTX11" s="314" t="s">
        <v>203</v>
      </c>
      <c r="OTY11" s="314" t="s">
        <v>203</v>
      </c>
      <c r="OTZ11" s="314" t="s">
        <v>203</v>
      </c>
      <c r="OUA11" s="314" t="s">
        <v>203</v>
      </c>
      <c r="OUB11" s="314" t="s">
        <v>203</v>
      </c>
      <c r="OUC11" s="314" t="s">
        <v>203</v>
      </c>
      <c r="OUD11" s="314" t="s">
        <v>203</v>
      </c>
      <c r="OUE11" s="314" t="s">
        <v>203</v>
      </c>
      <c r="OUF11" s="314" t="s">
        <v>203</v>
      </c>
      <c r="OUG11" s="314" t="s">
        <v>203</v>
      </c>
      <c r="OUH11" s="314" t="s">
        <v>203</v>
      </c>
      <c r="OUI11" s="314" t="s">
        <v>203</v>
      </c>
      <c r="OUJ11" s="314" t="s">
        <v>203</v>
      </c>
      <c r="OUK11" s="314" t="s">
        <v>203</v>
      </c>
      <c r="OUL11" s="314" t="s">
        <v>203</v>
      </c>
      <c r="OUM11" s="314" t="s">
        <v>203</v>
      </c>
      <c r="OUN11" s="314" t="s">
        <v>203</v>
      </c>
      <c r="OUO11" s="314" t="s">
        <v>203</v>
      </c>
      <c r="OUP11" s="314" t="s">
        <v>203</v>
      </c>
      <c r="OUQ11" s="314" t="s">
        <v>203</v>
      </c>
      <c r="OUR11" s="314" t="s">
        <v>203</v>
      </c>
      <c r="OUS11" s="314" t="s">
        <v>203</v>
      </c>
      <c r="OUT11" s="314" t="s">
        <v>203</v>
      </c>
      <c r="OUU11" s="314" t="s">
        <v>203</v>
      </c>
      <c r="OUV11" s="314" t="s">
        <v>203</v>
      </c>
      <c r="OUW11" s="314" t="s">
        <v>203</v>
      </c>
      <c r="OUX11" s="314" t="s">
        <v>203</v>
      </c>
      <c r="OUY11" s="314" t="s">
        <v>203</v>
      </c>
      <c r="OUZ11" s="314" t="s">
        <v>203</v>
      </c>
      <c r="OVA11" s="314" t="s">
        <v>203</v>
      </c>
      <c r="OVB11" s="314" t="s">
        <v>203</v>
      </c>
      <c r="OVC11" s="314" t="s">
        <v>203</v>
      </c>
      <c r="OVD11" s="314" t="s">
        <v>203</v>
      </c>
      <c r="OVE11" s="314" t="s">
        <v>203</v>
      </c>
      <c r="OVF11" s="314" t="s">
        <v>203</v>
      </c>
      <c r="OVG11" s="314" t="s">
        <v>203</v>
      </c>
      <c r="OVH11" s="314" t="s">
        <v>203</v>
      </c>
      <c r="OVI11" s="314" t="s">
        <v>203</v>
      </c>
      <c r="OVJ11" s="314" t="s">
        <v>203</v>
      </c>
      <c r="OVK11" s="314" t="s">
        <v>203</v>
      </c>
      <c r="OVL11" s="314" t="s">
        <v>203</v>
      </c>
      <c r="OVM11" s="314" t="s">
        <v>203</v>
      </c>
      <c r="OVN11" s="314" t="s">
        <v>203</v>
      </c>
      <c r="OVO11" s="314" t="s">
        <v>203</v>
      </c>
      <c r="OVP11" s="314" t="s">
        <v>203</v>
      </c>
      <c r="OVQ11" s="314" t="s">
        <v>203</v>
      </c>
      <c r="OVR11" s="314" t="s">
        <v>203</v>
      </c>
      <c r="OVS11" s="314" t="s">
        <v>203</v>
      </c>
      <c r="OVT11" s="314" t="s">
        <v>203</v>
      </c>
      <c r="OVU11" s="314" t="s">
        <v>203</v>
      </c>
      <c r="OVV11" s="314" t="s">
        <v>203</v>
      </c>
      <c r="OVW11" s="314" t="s">
        <v>203</v>
      </c>
      <c r="OVX11" s="314" t="s">
        <v>203</v>
      </c>
      <c r="OVY11" s="314" t="s">
        <v>203</v>
      </c>
      <c r="OVZ11" s="314" t="s">
        <v>203</v>
      </c>
      <c r="OWA11" s="314" t="s">
        <v>203</v>
      </c>
      <c r="OWB11" s="314" t="s">
        <v>203</v>
      </c>
      <c r="OWC11" s="314" t="s">
        <v>203</v>
      </c>
      <c r="OWD11" s="314" t="s">
        <v>203</v>
      </c>
      <c r="OWE11" s="314" t="s">
        <v>203</v>
      </c>
      <c r="OWF11" s="314" t="s">
        <v>203</v>
      </c>
      <c r="OWG11" s="314" t="s">
        <v>203</v>
      </c>
      <c r="OWH11" s="314" t="s">
        <v>203</v>
      </c>
      <c r="OWI11" s="314" t="s">
        <v>203</v>
      </c>
      <c r="OWJ11" s="314" t="s">
        <v>203</v>
      </c>
      <c r="OWK11" s="314" t="s">
        <v>203</v>
      </c>
      <c r="OWL11" s="314" t="s">
        <v>203</v>
      </c>
      <c r="OWM11" s="314" t="s">
        <v>203</v>
      </c>
      <c r="OWN11" s="314" t="s">
        <v>203</v>
      </c>
      <c r="OWO11" s="314" t="s">
        <v>203</v>
      </c>
      <c r="OWP11" s="314" t="s">
        <v>203</v>
      </c>
      <c r="OWQ11" s="314" t="s">
        <v>203</v>
      </c>
      <c r="OWR11" s="314" t="s">
        <v>203</v>
      </c>
      <c r="OWS11" s="314" t="s">
        <v>203</v>
      </c>
      <c r="OWT11" s="314" t="s">
        <v>203</v>
      </c>
      <c r="OWU11" s="314" t="s">
        <v>203</v>
      </c>
      <c r="OWV11" s="314" t="s">
        <v>203</v>
      </c>
      <c r="OWW11" s="314" t="s">
        <v>203</v>
      </c>
      <c r="OWX11" s="314" t="s">
        <v>203</v>
      </c>
      <c r="OWY11" s="314" t="s">
        <v>203</v>
      </c>
      <c r="OWZ11" s="314" t="s">
        <v>203</v>
      </c>
      <c r="OXA11" s="314" t="s">
        <v>203</v>
      </c>
      <c r="OXB11" s="314" t="s">
        <v>203</v>
      </c>
      <c r="OXC11" s="314" t="s">
        <v>203</v>
      </c>
      <c r="OXD11" s="314" t="s">
        <v>203</v>
      </c>
      <c r="OXE11" s="314" t="s">
        <v>203</v>
      </c>
      <c r="OXF11" s="314" t="s">
        <v>203</v>
      </c>
      <c r="OXG11" s="314" t="s">
        <v>203</v>
      </c>
      <c r="OXH11" s="314" t="s">
        <v>203</v>
      </c>
      <c r="OXI11" s="314" t="s">
        <v>203</v>
      </c>
      <c r="OXJ11" s="314" t="s">
        <v>203</v>
      </c>
      <c r="OXK11" s="314" t="s">
        <v>203</v>
      </c>
      <c r="OXL11" s="314" t="s">
        <v>203</v>
      </c>
      <c r="OXM11" s="314" t="s">
        <v>203</v>
      </c>
      <c r="OXN11" s="314" t="s">
        <v>203</v>
      </c>
      <c r="OXO11" s="314" t="s">
        <v>203</v>
      </c>
      <c r="OXP11" s="314" t="s">
        <v>203</v>
      </c>
      <c r="OXQ11" s="314" t="s">
        <v>203</v>
      </c>
      <c r="OXR11" s="314" t="s">
        <v>203</v>
      </c>
      <c r="OXS11" s="314" t="s">
        <v>203</v>
      </c>
      <c r="OXT11" s="314" t="s">
        <v>203</v>
      </c>
      <c r="OXU11" s="314" t="s">
        <v>203</v>
      </c>
      <c r="OXV11" s="314" t="s">
        <v>203</v>
      </c>
      <c r="OXW11" s="314" t="s">
        <v>203</v>
      </c>
      <c r="OXX11" s="314" t="s">
        <v>203</v>
      </c>
      <c r="OXY11" s="314" t="s">
        <v>203</v>
      </c>
      <c r="OXZ11" s="314" t="s">
        <v>203</v>
      </c>
      <c r="OYA11" s="314" t="s">
        <v>203</v>
      </c>
      <c r="OYB11" s="314" t="s">
        <v>203</v>
      </c>
      <c r="OYC11" s="314" t="s">
        <v>203</v>
      </c>
      <c r="OYD11" s="314" t="s">
        <v>203</v>
      </c>
      <c r="OYE11" s="314" t="s">
        <v>203</v>
      </c>
      <c r="OYF11" s="314" t="s">
        <v>203</v>
      </c>
      <c r="OYG11" s="314" t="s">
        <v>203</v>
      </c>
      <c r="OYH11" s="314" t="s">
        <v>203</v>
      </c>
      <c r="OYI11" s="314" t="s">
        <v>203</v>
      </c>
      <c r="OYJ11" s="314" t="s">
        <v>203</v>
      </c>
      <c r="OYK11" s="314" t="s">
        <v>203</v>
      </c>
      <c r="OYL11" s="314" t="s">
        <v>203</v>
      </c>
      <c r="OYM11" s="314" t="s">
        <v>203</v>
      </c>
      <c r="OYN11" s="314" t="s">
        <v>203</v>
      </c>
      <c r="OYO11" s="314" t="s">
        <v>203</v>
      </c>
      <c r="OYP11" s="314" t="s">
        <v>203</v>
      </c>
      <c r="OYQ11" s="314" t="s">
        <v>203</v>
      </c>
      <c r="OYR11" s="314" t="s">
        <v>203</v>
      </c>
      <c r="OYS11" s="314" t="s">
        <v>203</v>
      </c>
      <c r="OYT11" s="314" t="s">
        <v>203</v>
      </c>
      <c r="OYU11" s="314" t="s">
        <v>203</v>
      </c>
      <c r="OYV11" s="314" t="s">
        <v>203</v>
      </c>
      <c r="OYW11" s="314" t="s">
        <v>203</v>
      </c>
      <c r="OYX11" s="314" t="s">
        <v>203</v>
      </c>
      <c r="OYY11" s="314" t="s">
        <v>203</v>
      </c>
      <c r="OYZ11" s="314" t="s">
        <v>203</v>
      </c>
      <c r="OZA11" s="314" t="s">
        <v>203</v>
      </c>
      <c r="OZB11" s="314" t="s">
        <v>203</v>
      </c>
      <c r="OZC11" s="314" t="s">
        <v>203</v>
      </c>
      <c r="OZD11" s="314" t="s">
        <v>203</v>
      </c>
      <c r="OZE11" s="314" t="s">
        <v>203</v>
      </c>
      <c r="OZF11" s="314" t="s">
        <v>203</v>
      </c>
      <c r="OZG11" s="314" t="s">
        <v>203</v>
      </c>
      <c r="OZH11" s="314" t="s">
        <v>203</v>
      </c>
      <c r="OZI11" s="314" t="s">
        <v>203</v>
      </c>
      <c r="OZJ11" s="314" t="s">
        <v>203</v>
      </c>
      <c r="OZK11" s="314" t="s">
        <v>203</v>
      </c>
      <c r="OZL11" s="314" t="s">
        <v>203</v>
      </c>
      <c r="OZM11" s="314" t="s">
        <v>203</v>
      </c>
      <c r="OZN11" s="314" t="s">
        <v>203</v>
      </c>
      <c r="OZO11" s="314" t="s">
        <v>203</v>
      </c>
      <c r="OZP11" s="314" t="s">
        <v>203</v>
      </c>
      <c r="OZQ11" s="314" t="s">
        <v>203</v>
      </c>
      <c r="OZR11" s="314" t="s">
        <v>203</v>
      </c>
      <c r="OZS11" s="314" t="s">
        <v>203</v>
      </c>
      <c r="OZT11" s="314" t="s">
        <v>203</v>
      </c>
      <c r="OZU11" s="314" t="s">
        <v>203</v>
      </c>
      <c r="OZV11" s="314" t="s">
        <v>203</v>
      </c>
      <c r="OZW11" s="314" t="s">
        <v>203</v>
      </c>
      <c r="OZX11" s="314" t="s">
        <v>203</v>
      </c>
      <c r="OZY11" s="314" t="s">
        <v>203</v>
      </c>
      <c r="OZZ11" s="314" t="s">
        <v>203</v>
      </c>
      <c r="PAA11" s="314" t="s">
        <v>203</v>
      </c>
      <c r="PAB11" s="314" t="s">
        <v>203</v>
      </c>
      <c r="PAC11" s="314" t="s">
        <v>203</v>
      </c>
      <c r="PAD11" s="314" t="s">
        <v>203</v>
      </c>
      <c r="PAE11" s="314" t="s">
        <v>203</v>
      </c>
      <c r="PAF11" s="314" t="s">
        <v>203</v>
      </c>
      <c r="PAG11" s="314" t="s">
        <v>203</v>
      </c>
      <c r="PAH11" s="314" t="s">
        <v>203</v>
      </c>
      <c r="PAI11" s="314" t="s">
        <v>203</v>
      </c>
      <c r="PAJ11" s="314" t="s">
        <v>203</v>
      </c>
      <c r="PAK11" s="314" t="s">
        <v>203</v>
      </c>
      <c r="PAL11" s="314" t="s">
        <v>203</v>
      </c>
      <c r="PAM11" s="314" t="s">
        <v>203</v>
      </c>
      <c r="PAN11" s="314" t="s">
        <v>203</v>
      </c>
      <c r="PAO11" s="314" t="s">
        <v>203</v>
      </c>
      <c r="PAP11" s="314" t="s">
        <v>203</v>
      </c>
      <c r="PAQ11" s="314" t="s">
        <v>203</v>
      </c>
      <c r="PAR11" s="314" t="s">
        <v>203</v>
      </c>
      <c r="PAS11" s="314" t="s">
        <v>203</v>
      </c>
      <c r="PAT11" s="314" t="s">
        <v>203</v>
      </c>
      <c r="PAU11" s="314" t="s">
        <v>203</v>
      </c>
      <c r="PAV11" s="314" t="s">
        <v>203</v>
      </c>
      <c r="PAW11" s="314" t="s">
        <v>203</v>
      </c>
      <c r="PAX11" s="314" t="s">
        <v>203</v>
      </c>
      <c r="PAY11" s="314" t="s">
        <v>203</v>
      </c>
      <c r="PAZ11" s="314" t="s">
        <v>203</v>
      </c>
      <c r="PBA11" s="314" t="s">
        <v>203</v>
      </c>
      <c r="PBB11" s="314" t="s">
        <v>203</v>
      </c>
      <c r="PBC11" s="314" t="s">
        <v>203</v>
      </c>
      <c r="PBD11" s="314" t="s">
        <v>203</v>
      </c>
      <c r="PBE11" s="314" t="s">
        <v>203</v>
      </c>
      <c r="PBF11" s="314" t="s">
        <v>203</v>
      </c>
      <c r="PBG11" s="314" t="s">
        <v>203</v>
      </c>
      <c r="PBH11" s="314" t="s">
        <v>203</v>
      </c>
      <c r="PBI11" s="314" t="s">
        <v>203</v>
      </c>
      <c r="PBJ11" s="314" t="s">
        <v>203</v>
      </c>
      <c r="PBK11" s="314" t="s">
        <v>203</v>
      </c>
      <c r="PBL11" s="314" t="s">
        <v>203</v>
      </c>
      <c r="PBM11" s="314" t="s">
        <v>203</v>
      </c>
      <c r="PBN11" s="314" t="s">
        <v>203</v>
      </c>
      <c r="PBO11" s="314" t="s">
        <v>203</v>
      </c>
      <c r="PBP11" s="314" t="s">
        <v>203</v>
      </c>
      <c r="PBQ11" s="314" t="s">
        <v>203</v>
      </c>
      <c r="PBR11" s="314" t="s">
        <v>203</v>
      </c>
      <c r="PBS11" s="314" t="s">
        <v>203</v>
      </c>
      <c r="PBT11" s="314" t="s">
        <v>203</v>
      </c>
      <c r="PBU11" s="314" t="s">
        <v>203</v>
      </c>
      <c r="PBV11" s="314" t="s">
        <v>203</v>
      </c>
      <c r="PBW11" s="314" t="s">
        <v>203</v>
      </c>
      <c r="PBX11" s="314" t="s">
        <v>203</v>
      </c>
      <c r="PBY11" s="314" t="s">
        <v>203</v>
      </c>
      <c r="PBZ11" s="314" t="s">
        <v>203</v>
      </c>
      <c r="PCA11" s="314" t="s">
        <v>203</v>
      </c>
      <c r="PCB11" s="314" t="s">
        <v>203</v>
      </c>
      <c r="PCC11" s="314" t="s">
        <v>203</v>
      </c>
      <c r="PCD11" s="314" t="s">
        <v>203</v>
      </c>
      <c r="PCE11" s="314" t="s">
        <v>203</v>
      </c>
      <c r="PCF11" s="314" t="s">
        <v>203</v>
      </c>
      <c r="PCG11" s="314" t="s">
        <v>203</v>
      </c>
      <c r="PCH11" s="314" t="s">
        <v>203</v>
      </c>
      <c r="PCI11" s="314" t="s">
        <v>203</v>
      </c>
      <c r="PCJ11" s="314" t="s">
        <v>203</v>
      </c>
      <c r="PCK11" s="314" t="s">
        <v>203</v>
      </c>
      <c r="PCL11" s="314" t="s">
        <v>203</v>
      </c>
      <c r="PCM11" s="314" t="s">
        <v>203</v>
      </c>
      <c r="PCN11" s="314" t="s">
        <v>203</v>
      </c>
      <c r="PCO11" s="314" t="s">
        <v>203</v>
      </c>
      <c r="PCP11" s="314" t="s">
        <v>203</v>
      </c>
      <c r="PCQ11" s="314" t="s">
        <v>203</v>
      </c>
      <c r="PCR11" s="314" t="s">
        <v>203</v>
      </c>
      <c r="PCS11" s="314" t="s">
        <v>203</v>
      </c>
      <c r="PCT11" s="314" t="s">
        <v>203</v>
      </c>
      <c r="PCU11" s="314" t="s">
        <v>203</v>
      </c>
      <c r="PCV11" s="314" t="s">
        <v>203</v>
      </c>
      <c r="PCW11" s="314" t="s">
        <v>203</v>
      </c>
      <c r="PCX11" s="314" t="s">
        <v>203</v>
      </c>
      <c r="PCY11" s="314" t="s">
        <v>203</v>
      </c>
      <c r="PCZ11" s="314" t="s">
        <v>203</v>
      </c>
      <c r="PDA11" s="314" t="s">
        <v>203</v>
      </c>
      <c r="PDB11" s="314" t="s">
        <v>203</v>
      </c>
      <c r="PDC11" s="314" t="s">
        <v>203</v>
      </c>
      <c r="PDD11" s="314" t="s">
        <v>203</v>
      </c>
      <c r="PDE11" s="314" t="s">
        <v>203</v>
      </c>
      <c r="PDF11" s="314" t="s">
        <v>203</v>
      </c>
      <c r="PDG11" s="314" t="s">
        <v>203</v>
      </c>
      <c r="PDH11" s="314" t="s">
        <v>203</v>
      </c>
      <c r="PDI11" s="314" t="s">
        <v>203</v>
      </c>
      <c r="PDJ11" s="314" t="s">
        <v>203</v>
      </c>
      <c r="PDK11" s="314" t="s">
        <v>203</v>
      </c>
      <c r="PDL11" s="314" t="s">
        <v>203</v>
      </c>
      <c r="PDM11" s="314" t="s">
        <v>203</v>
      </c>
      <c r="PDN11" s="314" t="s">
        <v>203</v>
      </c>
      <c r="PDO11" s="314" t="s">
        <v>203</v>
      </c>
      <c r="PDP11" s="314" t="s">
        <v>203</v>
      </c>
      <c r="PDQ11" s="314" t="s">
        <v>203</v>
      </c>
      <c r="PDR11" s="314" t="s">
        <v>203</v>
      </c>
      <c r="PDS11" s="314" t="s">
        <v>203</v>
      </c>
      <c r="PDT11" s="314" t="s">
        <v>203</v>
      </c>
      <c r="PDU11" s="314" t="s">
        <v>203</v>
      </c>
      <c r="PDV11" s="314" t="s">
        <v>203</v>
      </c>
      <c r="PDW11" s="314" t="s">
        <v>203</v>
      </c>
      <c r="PDX11" s="314" t="s">
        <v>203</v>
      </c>
      <c r="PDY11" s="314" t="s">
        <v>203</v>
      </c>
      <c r="PDZ11" s="314" t="s">
        <v>203</v>
      </c>
      <c r="PEA11" s="314" t="s">
        <v>203</v>
      </c>
      <c r="PEB11" s="314" t="s">
        <v>203</v>
      </c>
      <c r="PEC11" s="314" t="s">
        <v>203</v>
      </c>
      <c r="PED11" s="314" t="s">
        <v>203</v>
      </c>
      <c r="PEE11" s="314" t="s">
        <v>203</v>
      </c>
      <c r="PEF11" s="314" t="s">
        <v>203</v>
      </c>
      <c r="PEG11" s="314" t="s">
        <v>203</v>
      </c>
      <c r="PEH11" s="314" t="s">
        <v>203</v>
      </c>
      <c r="PEI11" s="314" t="s">
        <v>203</v>
      </c>
      <c r="PEJ11" s="314" t="s">
        <v>203</v>
      </c>
      <c r="PEK11" s="314" t="s">
        <v>203</v>
      </c>
      <c r="PEL11" s="314" t="s">
        <v>203</v>
      </c>
      <c r="PEM11" s="314" t="s">
        <v>203</v>
      </c>
      <c r="PEN11" s="314" t="s">
        <v>203</v>
      </c>
      <c r="PEO11" s="314" t="s">
        <v>203</v>
      </c>
      <c r="PEP11" s="314" t="s">
        <v>203</v>
      </c>
      <c r="PEQ11" s="314" t="s">
        <v>203</v>
      </c>
      <c r="PER11" s="314" t="s">
        <v>203</v>
      </c>
      <c r="PES11" s="314" t="s">
        <v>203</v>
      </c>
      <c r="PET11" s="314" t="s">
        <v>203</v>
      </c>
      <c r="PEU11" s="314" t="s">
        <v>203</v>
      </c>
      <c r="PEV11" s="314" t="s">
        <v>203</v>
      </c>
      <c r="PEW11" s="314" t="s">
        <v>203</v>
      </c>
      <c r="PEX11" s="314" t="s">
        <v>203</v>
      </c>
      <c r="PEY11" s="314" t="s">
        <v>203</v>
      </c>
      <c r="PEZ11" s="314" t="s">
        <v>203</v>
      </c>
      <c r="PFA11" s="314" t="s">
        <v>203</v>
      </c>
      <c r="PFB11" s="314" t="s">
        <v>203</v>
      </c>
      <c r="PFC11" s="314" t="s">
        <v>203</v>
      </c>
      <c r="PFD11" s="314" t="s">
        <v>203</v>
      </c>
      <c r="PFE11" s="314" t="s">
        <v>203</v>
      </c>
      <c r="PFF11" s="314" t="s">
        <v>203</v>
      </c>
      <c r="PFG11" s="314" t="s">
        <v>203</v>
      </c>
      <c r="PFH11" s="314" t="s">
        <v>203</v>
      </c>
      <c r="PFI11" s="314" t="s">
        <v>203</v>
      </c>
      <c r="PFJ11" s="314" t="s">
        <v>203</v>
      </c>
      <c r="PFK11" s="314" t="s">
        <v>203</v>
      </c>
      <c r="PFL11" s="314" t="s">
        <v>203</v>
      </c>
      <c r="PFM11" s="314" t="s">
        <v>203</v>
      </c>
      <c r="PFN11" s="314" t="s">
        <v>203</v>
      </c>
      <c r="PFO11" s="314" t="s">
        <v>203</v>
      </c>
      <c r="PFP11" s="314" t="s">
        <v>203</v>
      </c>
      <c r="PFQ11" s="314" t="s">
        <v>203</v>
      </c>
      <c r="PFR11" s="314" t="s">
        <v>203</v>
      </c>
      <c r="PFS11" s="314" t="s">
        <v>203</v>
      </c>
      <c r="PFT11" s="314" t="s">
        <v>203</v>
      </c>
      <c r="PFU11" s="314" t="s">
        <v>203</v>
      </c>
      <c r="PFV11" s="314" t="s">
        <v>203</v>
      </c>
      <c r="PFW11" s="314" t="s">
        <v>203</v>
      </c>
      <c r="PFX11" s="314" t="s">
        <v>203</v>
      </c>
      <c r="PFY11" s="314" t="s">
        <v>203</v>
      </c>
      <c r="PFZ11" s="314" t="s">
        <v>203</v>
      </c>
      <c r="PGA11" s="314" t="s">
        <v>203</v>
      </c>
      <c r="PGB11" s="314" t="s">
        <v>203</v>
      </c>
      <c r="PGC11" s="314" t="s">
        <v>203</v>
      </c>
      <c r="PGD11" s="314" t="s">
        <v>203</v>
      </c>
      <c r="PGE11" s="314" t="s">
        <v>203</v>
      </c>
      <c r="PGF11" s="314" t="s">
        <v>203</v>
      </c>
      <c r="PGG11" s="314" t="s">
        <v>203</v>
      </c>
      <c r="PGH11" s="314" t="s">
        <v>203</v>
      </c>
      <c r="PGI11" s="314" t="s">
        <v>203</v>
      </c>
      <c r="PGJ11" s="314" t="s">
        <v>203</v>
      </c>
      <c r="PGK11" s="314" t="s">
        <v>203</v>
      </c>
      <c r="PGL11" s="314" t="s">
        <v>203</v>
      </c>
      <c r="PGM11" s="314" t="s">
        <v>203</v>
      </c>
      <c r="PGN11" s="314" t="s">
        <v>203</v>
      </c>
      <c r="PGO11" s="314" t="s">
        <v>203</v>
      </c>
      <c r="PGP11" s="314" t="s">
        <v>203</v>
      </c>
      <c r="PGQ11" s="314" t="s">
        <v>203</v>
      </c>
      <c r="PGR11" s="314" t="s">
        <v>203</v>
      </c>
      <c r="PGS11" s="314" t="s">
        <v>203</v>
      </c>
      <c r="PGT11" s="314" t="s">
        <v>203</v>
      </c>
      <c r="PGU11" s="314" t="s">
        <v>203</v>
      </c>
      <c r="PGV11" s="314" t="s">
        <v>203</v>
      </c>
      <c r="PGW11" s="314" t="s">
        <v>203</v>
      </c>
      <c r="PGX11" s="314" t="s">
        <v>203</v>
      </c>
      <c r="PGY11" s="314" t="s">
        <v>203</v>
      </c>
      <c r="PGZ11" s="314" t="s">
        <v>203</v>
      </c>
      <c r="PHA11" s="314" t="s">
        <v>203</v>
      </c>
      <c r="PHB11" s="314" t="s">
        <v>203</v>
      </c>
      <c r="PHC11" s="314" t="s">
        <v>203</v>
      </c>
      <c r="PHD11" s="314" t="s">
        <v>203</v>
      </c>
      <c r="PHE11" s="314" t="s">
        <v>203</v>
      </c>
      <c r="PHF11" s="314" t="s">
        <v>203</v>
      </c>
      <c r="PHG11" s="314" t="s">
        <v>203</v>
      </c>
      <c r="PHH11" s="314" t="s">
        <v>203</v>
      </c>
      <c r="PHI11" s="314" t="s">
        <v>203</v>
      </c>
      <c r="PHJ11" s="314" t="s">
        <v>203</v>
      </c>
      <c r="PHK11" s="314" t="s">
        <v>203</v>
      </c>
      <c r="PHL11" s="314" t="s">
        <v>203</v>
      </c>
      <c r="PHM11" s="314" t="s">
        <v>203</v>
      </c>
      <c r="PHN11" s="314" t="s">
        <v>203</v>
      </c>
      <c r="PHO11" s="314" t="s">
        <v>203</v>
      </c>
      <c r="PHP11" s="314" t="s">
        <v>203</v>
      </c>
      <c r="PHQ11" s="314" t="s">
        <v>203</v>
      </c>
      <c r="PHR11" s="314" t="s">
        <v>203</v>
      </c>
      <c r="PHS11" s="314" t="s">
        <v>203</v>
      </c>
      <c r="PHT11" s="314" t="s">
        <v>203</v>
      </c>
      <c r="PHU11" s="314" t="s">
        <v>203</v>
      </c>
      <c r="PHV11" s="314" t="s">
        <v>203</v>
      </c>
      <c r="PHW11" s="314" t="s">
        <v>203</v>
      </c>
      <c r="PHX11" s="314" t="s">
        <v>203</v>
      </c>
      <c r="PHY11" s="314" t="s">
        <v>203</v>
      </c>
      <c r="PHZ11" s="314" t="s">
        <v>203</v>
      </c>
      <c r="PIA11" s="314" t="s">
        <v>203</v>
      </c>
      <c r="PIB11" s="314" t="s">
        <v>203</v>
      </c>
      <c r="PIC11" s="314" t="s">
        <v>203</v>
      </c>
      <c r="PID11" s="314" t="s">
        <v>203</v>
      </c>
      <c r="PIE11" s="314" t="s">
        <v>203</v>
      </c>
      <c r="PIF11" s="314" t="s">
        <v>203</v>
      </c>
      <c r="PIG11" s="314" t="s">
        <v>203</v>
      </c>
      <c r="PIH11" s="314" t="s">
        <v>203</v>
      </c>
      <c r="PII11" s="314" t="s">
        <v>203</v>
      </c>
      <c r="PIJ11" s="314" t="s">
        <v>203</v>
      </c>
      <c r="PIK11" s="314" t="s">
        <v>203</v>
      </c>
      <c r="PIL11" s="314" t="s">
        <v>203</v>
      </c>
      <c r="PIM11" s="314" t="s">
        <v>203</v>
      </c>
      <c r="PIN11" s="314" t="s">
        <v>203</v>
      </c>
      <c r="PIO11" s="314" t="s">
        <v>203</v>
      </c>
      <c r="PIP11" s="314" t="s">
        <v>203</v>
      </c>
      <c r="PIQ11" s="314" t="s">
        <v>203</v>
      </c>
      <c r="PIR11" s="314" t="s">
        <v>203</v>
      </c>
      <c r="PIS11" s="314" t="s">
        <v>203</v>
      </c>
      <c r="PIT11" s="314" t="s">
        <v>203</v>
      </c>
      <c r="PIU11" s="314" t="s">
        <v>203</v>
      </c>
      <c r="PIV11" s="314" t="s">
        <v>203</v>
      </c>
      <c r="PIW11" s="314" t="s">
        <v>203</v>
      </c>
      <c r="PIX11" s="314" t="s">
        <v>203</v>
      </c>
      <c r="PIY11" s="314" t="s">
        <v>203</v>
      </c>
      <c r="PIZ11" s="314" t="s">
        <v>203</v>
      </c>
      <c r="PJA11" s="314" t="s">
        <v>203</v>
      </c>
      <c r="PJB11" s="314" t="s">
        <v>203</v>
      </c>
      <c r="PJC11" s="314" t="s">
        <v>203</v>
      </c>
      <c r="PJD11" s="314" t="s">
        <v>203</v>
      </c>
      <c r="PJE11" s="314" t="s">
        <v>203</v>
      </c>
      <c r="PJF11" s="314" t="s">
        <v>203</v>
      </c>
      <c r="PJG11" s="314" t="s">
        <v>203</v>
      </c>
      <c r="PJH11" s="314" t="s">
        <v>203</v>
      </c>
      <c r="PJI11" s="314" t="s">
        <v>203</v>
      </c>
      <c r="PJJ11" s="314" t="s">
        <v>203</v>
      </c>
      <c r="PJK11" s="314" t="s">
        <v>203</v>
      </c>
      <c r="PJL11" s="314" t="s">
        <v>203</v>
      </c>
      <c r="PJM11" s="314" t="s">
        <v>203</v>
      </c>
      <c r="PJN11" s="314" t="s">
        <v>203</v>
      </c>
      <c r="PJO11" s="314" t="s">
        <v>203</v>
      </c>
      <c r="PJP11" s="314" t="s">
        <v>203</v>
      </c>
      <c r="PJQ11" s="314" t="s">
        <v>203</v>
      </c>
      <c r="PJR11" s="314" t="s">
        <v>203</v>
      </c>
      <c r="PJS11" s="314" t="s">
        <v>203</v>
      </c>
      <c r="PJT11" s="314" t="s">
        <v>203</v>
      </c>
      <c r="PJU11" s="314" t="s">
        <v>203</v>
      </c>
      <c r="PJV11" s="314" t="s">
        <v>203</v>
      </c>
      <c r="PJW11" s="314" t="s">
        <v>203</v>
      </c>
      <c r="PJX11" s="314" t="s">
        <v>203</v>
      </c>
      <c r="PJY11" s="314" t="s">
        <v>203</v>
      </c>
      <c r="PJZ11" s="314" t="s">
        <v>203</v>
      </c>
      <c r="PKA11" s="314" t="s">
        <v>203</v>
      </c>
      <c r="PKB11" s="314" t="s">
        <v>203</v>
      </c>
      <c r="PKC11" s="314" t="s">
        <v>203</v>
      </c>
      <c r="PKD11" s="314" t="s">
        <v>203</v>
      </c>
      <c r="PKE11" s="314" t="s">
        <v>203</v>
      </c>
      <c r="PKF11" s="314" t="s">
        <v>203</v>
      </c>
      <c r="PKG11" s="314" t="s">
        <v>203</v>
      </c>
      <c r="PKH11" s="314" t="s">
        <v>203</v>
      </c>
      <c r="PKI11" s="314" t="s">
        <v>203</v>
      </c>
      <c r="PKJ11" s="314" t="s">
        <v>203</v>
      </c>
      <c r="PKK11" s="314" t="s">
        <v>203</v>
      </c>
      <c r="PKL11" s="314" t="s">
        <v>203</v>
      </c>
      <c r="PKM11" s="314" t="s">
        <v>203</v>
      </c>
      <c r="PKN11" s="314" t="s">
        <v>203</v>
      </c>
      <c r="PKO11" s="314" t="s">
        <v>203</v>
      </c>
      <c r="PKP11" s="314" t="s">
        <v>203</v>
      </c>
      <c r="PKQ11" s="314" t="s">
        <v>203</v>
      </c>
      <c r="PKR11" s="314" t="s">
        <v>203</v>
      </c>
      <c r="PKS11" s="314" t="s">
        <v>203</v>
      </c>
      <c r="PKT11" s="314" t="s">
        <v>203</v>
      </c>
      <c r="PKU11" s="314" t="s">
        <v>203</v>
      </c>
      <c r="PKV11" s="314" t="s">
        <v>203</v>
      </c>
      <c r="PKW11" s="314" t="s">
        <v>203</v>
      </c>
      <c r="PKX11" s="314" t="s">
        <v>203</v>
      </c>
      <c r="PKY11" s="314" t="s">
        <v>203</v>
      </c>
      <c r="PKZ11" s="314" t="s">
        <v>203</v>
      </c>
      <c r="PLA11" s="314" t="s">
        <v>203</v>
      </c>
      <c r="PLB11" s="314" t="s">
        <v>203</v>
      </c>
      <c r="PLC11" s="314" t="s">
        <v>203</v>
      </c>
      <c r="PLD11" s="314" t="s">
        <v>203</v>
      </c>
      <c r="PLE11" s="314" t="s">
        <v>203</v>
      </c>
      <c r="PLF11" s="314" t="s">
        <v>203</v>
      </c>
      <c r="PLG11" s="314" t="s">
        <v>203</v>
      </c>
      <c r="PLH11" s="314" t="s">
        <v>203</v>
      </c>
      <c r="PLI11" s="314" t="s">
        <v>203</v>
      </c>
      <c r="PLJ11" s="314" t="s">
        <v>203</v>
      </c>
      <c r="PLK11" s="314" t="s">
        <v>203</v>
      </c>
      <c r="PLL11" s="314" t="s">
        <v>203</v>
      </c>
      <c r="PLM11" s="314" t="s">
        <v>203</v>
      </c>
      <c r="PLN11" s="314" t="s">
        <v>203</v>
      </c>
      <c r="PLO11" s="314" t="s">
        <v>203</v>
      </c>
      <c r="PLP11" s="314" t="s">
        <v>203</v>
      </c>
      <c r="PLQ11" s="314" t="s">
        <v>203</v>
      </c>
      <c r="PLR11" s="314" t="s">
        <v>203</v>
      </c>
      <c r="PLS11" s="314" t="s">
        <v>203</v>
      </c>
      <c r="PLT11" s="314" t="s">
        <v>203</v>
      </c>
      <c r="PLU11" s="314" t="s">
        <v>203</v>
      </c>
      <c r="PLV11" s="314" t="s">
        <v>203</v>
      </c>
      <c r="PLW11" s="314" t="s">
        <v>203</v>
      </c>
      <c r="PLX11" s="314" t="s">
        <v>203</v>
      </c>
      <c r="PLY11" s="314" t="s">
        <v>203</v>
      </c>
      <c r="PLZ11" s="314" t="s">
        <v>203</v>
      </c>
      <c r="PMA11" s="314" t="s">
        <v>203</v>
      </c>
      <c r="PMB11" s="314" t="s">
        <v>203</v>
      </c>
      <c r="PMC11" s="314" t="s">
        <v>203</v>
      </c>
      <c r="PMD11" s="314" t="s">
        <v>203</v>
      </c>
      <c r="PME11" s="314" t="s">
        <v>203</v>
      </c>
      <c r="PMF11" s="314" t="s">
        <v>203</v>
      </c>
      <c r="PMG11" s="314" t="s">
        <v>203</v>
      </c>
      <c r="PMH11" s="314" t="s">
        <v>203</v>
      </c>
      <c r="PMI11" s="314" t="s">
        <v>203</v>
      </c>
      <c r="PMJ11" s="314" t="s">
        <v>203</v>
      </c>
      <c r="PMK11" s="314" t="s">
        <v>203</v>
      </c>
      <c r="PML11" s="314" t="s">
        <v>203</v>
      </c>
      <c r="PMM11" s="314" t="s">
        <v>203</v>
      </c>
      <c r="PMN11" s="314" t="s">
        <v>203</v>
      </c>
      <c r="PMO11" s="314" t="s">
        <v>203</v>
      </c>
      <c r="PMP11" s="314" t="s">
        <v>203</v>
      </c>
      <c r="PMQ11" s="314" t="s">
        <v>203</v>
      </c>
      <c r="PMR11" s="314" t="s">
        <v>203</v>
      </c>
      <c r="PMS11" s="314" t="s">
        <v>203</v>
      </c>
      <c r="PMT11" s="314" t="s">
        <v>203</v>
      </c>
      <c r="PMU11" s="314" t="s">
        <v>203</v>
      </c>
      <c r="PMV11" s="314" t="s">
        <v>203</v>
      </c>
      <c r="PMW11" s="314" t="s">
        <v>203</v>
      </c>
      <c r="PMX11" s="314" t="s">
        <v>203</v>
      </c>
      <c r="PMY11" s="314" t="s">
        <v>203</v>
      </c>
      <c r="PMZ11" s="314" t="s">
        <v>203</v>
      </c>
      <c r="PNA11" s="314" t="s">
        <v>203</v>
      </c>
      <c r="PNB11" s="314" t="s">
        <v>203</v>
      </c>
      <c r="PNC11" s="314" t="s">
        <v>203</v>
      </c>
      <c r="PND11" s="314" t="s">
        <v>203</v>
      </c>
      <c r="PNE11" s="314" t="s">
        <v>203</v>
      </c>
      <c r="PNF11" s="314" t="s">
        <v>203</v>
      </c>
      <c r="PNG11" s="314" t="s">
        <v>203</v>
      </c>
      <c r="PNH11" s="314" t="s">
        <v>203</v>
      </c>
      <c r="PNI11" s="314" t="s">
        <v>203</v>
      </c>
      <c r="PNJ11" s="314" t="s">
        <v>203</v>
      </c>
      <c r="PNK11" s="314" t="s">
        <v>203</v>
      </c>
      <c r="PNL11" s="314" t="s">
        <v>203</v>
      </c>
      <c r="PNM11" s="314" t="s">
        <v>203</v>
      </c>
      <c r="PNN11" s="314" t="s">
        <v>203</v>
      </c>
      <c r="PNO11" s="314" t="s">
        <v>203</v>
      </c>
      <c r="PNP11" s="314" t="s">
        <v>203</v>
      </c>
      <c r="PNQ11" s="314" t="s">
        <v>203</v>
      </c>
      <c r="PNR11" s="314" t="s">
        <v>203</v>
      </c>
      <c r="PNS11" s="314" t="s">
        <v>203</v>
      </c>
      <c r="PNT11" s="314" t="s">
        <v>203</v>
      </c>
      <c r="PNU11" s="314" t="s">
        <v>203</v>
      </c>
      <c r="PNV11" s="314" t="s">
        <v>203</v>
      </c>
      <c r="PNW11" s="314" t="s">
        <v>203</v>
      </c>
      <c r="PNX11" s="314" t="s">
        <v>203</v>
      </c>
      <c r="PNY11" s="314" t="s">
        <v>203</v>
      </c>
      <c r="PNZ11" s="314" t="s">
        <v>203</v>
      </c>
      <c r="POA11" s="314" t="s">
        <v>203</v>
      </c>
      <c r="POB11" s="314" t="s">
        <v>203</v>
      </c>
      <c r="POC11" s="314" t="s">
        <v>203</v>
      </c>
      <c r="POD11" s="314" t="s">
        <v>203</v>
      </c>
      <c r="POE11" s="314" t="s">
        <v>203</v>
      </c>
      <c r="POF11" s="314" t="s">
        <v>203</v>
      </c>
      <c r="POG11" s="314" t="s">
        <v>203</v>
      </c>
      <c r="POH11" s="314" t="s">
        <v>203</v>
      </c>
      <c r="POI11" s="314" t="s">
        <v>203</v>
      </c>
      <c r="POJ11" s="314" t="s">
        <v>203</v>
      </c>
      <c r="POK11" s="314" t="s">
        <v>203</v>
      </c>
      <c r="POL11" s="314" t="s">
        <v>203</v>
      </c>
      <c r="POM11" s="314" t="s">
        <v>203</v>
      </c>
      <c r="PON11" s="314" t="s">
        <v>203</v>
      </c>
      <c r="POO11" s="314" t="s">
        <v>203</v>
      </c>
      <c r="POP11" s="314" t="s">
        <v>203</v>
      </c>
      <c r="POQ11" s="314" t="s">
        <v>203</v>
      </c>
      <c r="POR11" s="314" t="s">
        <v>203</v>
      </c>
      <c r="POS11" s="314" t="s">
        <v>203</v>
      </c>
      <c r="POT11" s="314" t="s">
        <v>203</v>
      </c>
      <c r="POU11" s="314" t="s">
        <v>203</v>
      </c>
      <c r="POV11" s="314" t="s">
        <v>203</v>
      </c>
      <c r="POW11" s="314" t="s">
        <v>203</v>
      </c>
      <c r="POX11" s="314" t="s">
        <v>203</v>
      </c>
      <c r="POY11" s="314" t="s">
        <v>203</v>
      </c>
      <c r="POZ11" s="314" t="s">
        <v>203</v>
      </c>
      <c r="PPA11" s="314" t="s">
        <v>203</v>
      </c>
      <c r="PPB11" s="314" t="s">
        <v>203</v>
      </c>
      <c r="PPC11" s="314" t="s">
        <v>203</v>
      </c>
      <c r="PPD11" s="314" t="s">
        <v>203</v>
      </c>
      <c r="PPE11" s="314" t="s">
        <v>203</v>
      </c>
      <c r="PPF11" s="314" t="s">
        <v>203</v>
      </c>
      <c r="PPG11" s="314" t="s">
        <v>203</v>
      </c>
      <c r="PPH11" s="314" t="s">
        <v>203</v>
      </c>
      <c r="PPI11" s="314" t="s">
        <v>203</v>
      </c>
      <c r="PPJ11" s="314" t="s">
        <v>203</v>
      </c>
      <c r="PPK11" s="314" t="s">
        <v>203</v>
      </c>
      <c r="PPL11" s="314" t="s">
        <v>203</v>
      </c>
      <c r="PPM11" s="314" t="s">
        <v>203</v>
      </c>
      <c r="PPN11" s="314" t="s">
        <v>203</v>
      </c>
      <c r="PPO11" s="314" t="s">
        <v>203</v>
      </c>
      <c r="PPP11" s="314" t="s">
        <v>203</v>
      </c>
      <c r="PPQ11" s="314" t="s">
        <v>203</v>
      </c>
      <c r="PPR11" s="314" t="s">
        <v>203</v>
      </c>
      <c r="PPS11" s="314" t="s">
        <v>203</v>
      </c>
      <c r="PPT11" s="314" t="s">
        <v>203</v>
      </c>
      <c r="PPU11" s="314" t="s">
        <v>203</v>
      </c>
      <c r="PPV11" s="314" t="s">
        <v>203</v>
      </c>
      <c r="PPW11" s="314" t="s">
        <v>203</v>
      </c>
      <c r="PPX11" s="314" t="s">
        <v>203</v>
      </c>
      <c r="PPY11" s="314" t="s">
        <v>203</v>
      </c>
      <c r="PPZ11" s="314" t="s">
        <v>203</v>
      </c>
      <c r="PQA11" s="314" t="s">
        <v>203</v>
      </c>
      <c r="PQB11" s="314" t="s">
        <v>203</v>
      </c>
      <c r="PQC11" s="314" t="s">
        <v>203</v>
      </c>
      <c r="PQD11" s="314" t="s">
        <v>203</v>
      </c>
      <c r="PQE11" s="314" t="s">
        <v>203</v>
      </c>
      <c r="PQF11" s="314" t="s">
        <v>203</v>
      </c>
      <c r="PQG11" s="314" t="s">
        <v>203</v>
      </c>
      <c r="PQH11" s="314" t="s">
        <v>203</v>
      </c>
      <c r="PQI11" s="314" t="s">
        <v>203</v>
      </c>
      <c r="PQJ11" s="314" t="s">
        <v>203</v>
      </c>
      <c r="PQK11" s="314" t="s">
        <v>203</v>
      </c>
      <c r="PQL11" s="314" t="s">
        <v>203</v>
      </c>
      <c r="PQM11" s="314" t="s">
        <v>203</v>
      </c>
      <c r="PQN11" s="314" t="s">
        <v>203</v>
      </c>
      <c r="PQO11" s="314" t="s">
        <v>203</v>
      </c>
      <c r="PQP11" s="314" t="s">
        <v>203</v>
      </c>
      <c r="PQQ11" s="314" t="s">
        <v>203</v>
      </c>
      <c r="PQR11" s="314" t="s">
        <v>203</v>
      </c>
      <c r="PQS11" s="314" t="s">
        <v>203</v>
      </c>
      <c r="PQT11" s="314" t="s">
        <v>203</v>
      </c>
      <c r="PQU11" s="314" t="s">
        <v>203</v>
      </c>
      <c r="PQV11" s="314" t="s">
        <v>203</v>
      </c>
      <c r="PQW11" s="314" t="s">
        <v>203</v>
      </c>
      <c r="PQX11" s="314" t="s">
        <v>203</v>
      </c>
      <c r="PQY11" s="314" t="s">
        <v>203</v>
      </c>
      <c r="PQZ11" s="314" t="s">
        <v>203</v>
      </c>
      <c r="PRA11" s="314" t="s">
        <v>203</v>
      </c>
      <c r="PRB11" s="314" t="s">
        <v>203</v>
      </c>
      <c r="PRC11" s="314" t="s">
        <v>203</v>
      </c>
      <c r="PRD11" s="314" t="s">
        <v>203</v>
      </c>
      <c r="PRE11" s="314" t="s">
        <v>203</v>
      </c>
      <c r="PRF11" s="314" t="s">
        <v>203</v>
      </c>
      <c r="PRG11" s="314" t="s">
        <v>203</v>
      </c>
      <c r="PRH11" s="314" t="s">
        <v>203</v>
      </c>
      <c r="PRI11" s="314" t="s">
        <v>203</v>
      </c>
      <c r="PRJ11" s="314" t="s">
        <v>203</v>
      </c>
      <c r="PRK11" s="314" t="s">
        <v>203</v>
      </c>
      <c r="PRL11" s="314" t="s">
        <v>203</v>
      </c>
      <c r="PRM11" s="314" t="s">
        <v>203</v>
      </c>
      <c r="PRN11" s="314" t="s">
        <v>203</v>
      </c>
      <c r="PRO11" s="314" t="s">
        <v>203</v>
      </c>
      <c r="PRP11" s="314" t="s">
        <v>203</v>
      </c>
      <c r="PRQ11" s="314" t="s">
        <v>203</v>
      </c>
      <c r="PRR11" s="314" t="s">
        <v>203</v>
      </c>
      <c r="PRS11" s="314" t="s">
        <v>203</v>
      </c>
      <c r="PRT11" s="314" t="s">
        <v>203</v>
      </c>
      <c r="PRU11" s="314" t="s">
        <v>203</v>
      </c>
      <c r="PRV11" s="314" t="s">
        <v>203</v>
      </c>
      <c r="PRW11" s="314" t="s">
        <v>203</v>
      </c>
      <c r="PRX11" s="314" t="s">
        <v>203</v>
      </c>
      <c r="PRY11" s="314" t="s">
        <v>203</v>
      </c>
      <c r="PRZ11" s="314" t="s">
        <v>203</v>
      </c>
      <c r="PSA11" s="314" t="s">
        <v>203</v>
      </c>
      <c r="PSB11" s="314" t="s">
        <v>203</v>
      </c>
      <c r="PSC11" s="314" t="s">
        <v>203</v>
      </c>
      <c r="PSD11" s="314" t="s">
        <v>203</v>
      </c>
      <c r="PSE11" s="314" t="s">
        <v>203</v>
      </c>
      <c r="PSF11" s="314" t="s">
        <v>203</v>
      </c>
      <c r="PSG11" s="314" t="s">
        <v>203</v>
      </c>
      <c r="PSH11" s="314" t="s">
        <v>203</v>
      </c>
      <c r="PSI11" s="314" t="s">
        <v>203</v>
      </c>
      <c r="PSJ11" s="314" t="s">
        <v>203</v>
      </c>
      <c r="PSK11" s="314" t="s">
        <v>203</v>
      </c>
      <c r="PSL11" s="314" t="s">
        <v>203</v>
      </c>
      <c r="PSM11" s="314" t="s">
        <v>203</v>
      </c>
      <c r="PSN11" s="314" t="s">
        <v>203</v>
      </c>
      <c r="PSO11" s="314" t="s">
        <v>203</v>
      </c>
      <c r="PSP11" s="314" t="s">
        <v>203</v>
      </c>
      <c r="PSQ11" s="314" t="s">
        <v>203</v>
      </c>
      <c r="PSR11" s="314" t="s">
        <v>203</v>
      </c>
      <c r="PSS11" s="314" t="s">
        <v>203</v>
      </c>
      <c r="PST11" s="314" t="s">
        <v>203</v>
      </c>
      <c r="PSU11" s="314" t="s">
        <v>203</v>
      </c>
      <c r="PSV11" s="314" t="s">
        <v>203</v>
      </c>
      <c r="PSW11" s="314" t="s">
        <v>203</v>
      </c>
      <c r="PSX11" s="314" t="s">
        <v>203</v>
      </c>
      <c r="PSY11" s="314" t="s">
        <v>203</v>
      </c>
      <c r="PSZ11" s="314" t="s">
        <v>203</v>
      </c>
      <c r="PTA11" s="314" t="s">
        <v>203</v>
      </c>
      <c r="PTB11" s="314" t="s">
        <v>203</v>
      </c>
      <c r="PTC11" s="314" t="s">
        <v>203</v>
      </c>
      <c r="PTD11" s="314" t="s">
        <v>203</v>
      </c>
      <c r="PTE11" s="314" t="s">
        <v>203</v>
      </c>
      <c r="PTF11" s="314" t="s">
        <v>203</v>
      </c>
      <c r="PTG11" s="314" t="s">
        <v>203</v>
      </c>
      <c r="PTH11" s="314" t="s">
        <v>203</v>
      </c>
      <c r="PTI11" s="314" t="s">
        <v>203</v>
      </c>
      <c r="PTJ11" s="314" t="s">
        <v>203</v>
      </c>
      <c r="PTK11" s="314" t="s">
        <v>203</v>
      </c>
      <c r="PTL11" s="314" t="s">
        <v>203</v>
      </c>
      <c r="PTM11" s="314" t="s">
        <v>203</v>
      </c>
      <c r="PTN11" s="314" t="s">
        <v>203</v>
      </c>
      <c r="PTO11" s="314" t="s">
        <v>203</v>
      </c>
      <c r="PTP11" s="314" t="s">
        <v>203</v>
      </c>
      <c r="PTQ11" s="314" t="s">
        <v>203</v>
      </c>
      <c r="PTR11" s="314" t="s">
        <v>203</v>
      </c>
      <c r="PTS11" s="314" t="s">
        <v>203</v>
      </c>
      <c r="PTT11" s="314" t="s">
        <v>203</v>
      </c>
      <c r="PTU11" s="314" t="s">
        <v>203</v>
      </c>
      <c r="PTV11" s="314" t="s">
        <v>203</v>
      </c>
      <c r="PTW11" s="314" t="s">
        <v>203</v>
      </c>
      <c r="PTX11" s="314" t="s">
        <v>203</v>
      </c>
      <c r="PTY11" s="314" t="s">
        <v>203</v>
      </c>
      <c r="PTZ11" s="314" t="s">
        <v>203</v>
      </c>
      <c r="PUA11" s="314" t="s">
        <v>203</v>
      </c>
      <c r="PUB11" s="314" t="s">
        <v>203</v>
      </c>
      <c r="PUC11" s="314" t="s">
        <v>203</v>
      </c>
      <c r="PUD11" s="314" t="s">
        <v>203</v>
      </c>
      <c r="PUE11" s="314" t="s">
        <v>203</v>
      </c>
      <c r="PUF11" s="314" t="s">
        <v>203</v>
      </c>
      <c r="PUG11" s="314" t="s">
        <v>203</v>
      </c>
      <c r="PUH11" s="314" t="s">
        <v>203</v>
      </c>
      <c r="PUI11" s="314" t="s">
        <v>203</v>
      </c>
      <c r="PUJ11" s="314" t="s">
        <v>203</v>
      </c>
      <c r="PUK11" s="314" t="s">
        <v>203</v>
      </c>
      <c r="PUL11" s="314" t="s">
        <v>203</v>
      </c>
      <c r="PUM11" s="314" t="s">
        <v>203</v>
      </c>
      <c r="PUN11" s="314" t="s">
        <v>203</v>
      </c>
      <c r="PUO11" s="314" t="s">
        <v>203</v>
      </c>
      <c r="PUP11" s="314" t="s">
        <v>203</v>
      </c>
      <c r="PUQ11" s="314" t="s">
        <v>203</v>
      </c>
      <c r="PUR11" s="314" t="s">
        <v>203</v>
      </c>
      <c r="PUS11" s="314" t="s">
        <v>203</v>
      </c>
      <c r="PUT11" s="314" t="s">
        <v>203</v>
      </c>
      <c r="PUU11" s="314" t="s">
        <v>203</v>
      </c>
      <c r="PUV11" s="314" t="s">
        <v>203</v>
      </c>
      <c r="PUW11" s="314" t="s">
        <v>203</v>
      </c>
      <c r="PUX11" s="314" t="s">
        <v>203</v>
      </c>
      <c r="PUY11" s="314" t="s">
        <v>203</v>
      </c>
      <c r="PUZ11" s="314" t="s">
        <v>203</v>
      </c>
      <c r="PVA11" s="314" t="s">
        <v>203</v>
      </c>
      <c r="PVB11" s="314" t="s">
        <v>203</v>
      </c>
      <c r="PVC11" s="314" t="s">
        <v>203</v>
      </c>
      <c r="PVD11" s="314" t="s">
        <v>203</v>
      </c>
      <c r="PVE11" s="314" t="s">
        <v>203</v>
      </c>
      <c r="PVF11" s="314" t="s">
        <v>203</v>
      </c>
      <c r="PVG11" s="314" t="s">
        <v>203</v>
      </c>
      <c r="PVH11" s="314" t="s">
        <v>203</v>
      </c>
      <c r="PVI11" s="314" t="s">
        <v>203</v>
      </c>
      <c r="PVJ11" s="314" t="s">
        <v>203</v>
      </c>
      <c r="PVK11" s="314" t="s">
        <v>203</v>
      </c>
      <c r="PVL11" s="314" t="s">
        <v>203</v>
      </c>
      <c r="PVM11" s="314" t="s">
        <v>203</v>
      </c>
      <c r="PVN11" s="314" t="s">
        <v>203</v>
      </c>
      <c r="PVO11" s="314" t="s">
        <v>203</v>
      </c>
      <c r="PVP11" s="314" t="s">
        <v>203</v>
      </c>
      <c r="PVQ11" s="314" t="s">
        <v>203</v>
      </c>
      <c r="PVR11" s="314" t="s">
        <v>203</v>
      </c>
      <c r="PVS11" s="314" t="s">
        <v>203</v>
      </c>
      <c r="PVT11" s="314" t="s">
        <v>203</v>
      </c>
      <c r="PVU11" s="314" t="s">
        <v>203</v>
      </c>
      <c r="PVV11" s="314" t="s">
        <v>203</v>
      </c>
      <c r="PVW11" s="314" t="s">
        <v>203</v>
      </c>
      <c r="PVX11" s="314" t="s">
        <v>203</v>
      </c>
      <c r="PVY11" s="314" t="s">
        <v>203</v>
      </c>
      <c r="PVZ11" s="314" t="s">
        <v>203</v>
      </c>
      <c r="PWA11" s="314" t="s">
        <v>203</v>
      </c>
      <c r="PWB11" s="314" t="s">
        <v>203</v>
      </c>
      <c r="PWC11" s="314" t="s">
        <v>203</v>
      </c>
      <c r="PWD11" s="314" t="s">
        <v>203</v>
      </c>
      <c r="PWE11" s="314" t="s">
        <v>203</v>
      </c>
      <c r="PWF11" s="314" t="s">
        <v>203</v>
      </c>
      <c r="PWG11" s="314" t="s">
        <v>203</v>
      </c>
      <c r="PWH11" s="314" t="s">
        <v>203</v>
      </c>
      <c r="PWI11" s="314" t="s">
        <v>203</v>
      </c>
      <c r="PWJ11" s="314" t="s">
        <v>203</v>
      </c>
      <c r="PWK11" s="314" t="s">
        <v>203</v>
      </c>
      <c r="PWL11" s="314" t="s">
        <v>203</v>
      </c>
      <c r="PWM11" s="314" t="s">
        <v>203</v>
      </c>
      <c r="PWN11" s="314" t="s">
        <v>203</v>
      </c>
      <c r="PWO11" s="314" t="s">
        <v>203</v>
      </c>
      <c r="PWP11" s="314" t="s">
        <v>203</v>
      </c>
      <c r="PWQ11" s="314" t="s">
        <v>203</v>
      </c>
      <c r="PWR11" s="314" t="s">
        <v>203</v>
      </c>
      <c r="PWS11" s="314" t="s">
        <v>203</v>
      </c>
      <c r="PWT11" s="314" t="s">
        <v>203</v>
      </c>
      <c r="PWU11" s="314" t="s">
        <v>203</v>
      </c>
      <c r="PWV11" s="314" t="s">
        <v>203</v>
      </c>
      <c r="PWW11" s="314" t="s">
        <v>203</v>
      </c>
      <c r="PWX11" s="314" t="s">
        <v>203</v>
      </c>
      <c r="PWY11" s="314" t="s">
        <v>203</v>
      </c>
      <c r="PWZ11" s="314" t="s">
        <v>203</v>
      </c>
      <c r="PXA11" s="314" t="s">
        <v>203</v>
      </c>
      <c r="PXB11" s="314" t="s">
        <v>203</v>
      </c>
      <c r="PXC11" s="314" t="s">
        <v>203</v>
      </c>
      <c r="PXD11" s="314" t="s">
        <v>203</v>
      </c>
      <c r="PXE11" s="314" t="s">
        <v>203</v>
      </c>
      <c r="PXF11" s="314" t="s">
        <v>203</v>
      </c>
      <c r="PXG11" s="314" t="s">
        <v>203</v>
      </c>
      <c r="PXH11" s="314" t="s">
        <v>203</v>
      </c>
      <c r="PXI11" s="314" t="s">
        <v>203</v>
      </c>
      <c r="PXJ11" s="314" t="s">
        <v>203</v>
      </c>
      <c r="PXK11" s="314" t="s">
        <v>203</v>
      </c>
      <c r="PXL11" s="314" t="s">
        <v>203</v>
      </c>
      <c r="PXM11" s="314" t="s">
        <v>203</v>
      </c>
      <c r="PXN11" s="314" t="s">
        <v>203</v>
      </c>
      <c r="PXO11" s="314" t="s">
        <v>203</v>
      </c>
      <c r="PXP11" s="314" t="s">
        <v>203</v>
      </c>
      <c r="PXQ11" s="314" t="s">
        <v>203</v>
      </c>
      <c r="PXR11" s="314" t="s">
        <v>203</v>
      </c>
      <c r="PXS11" s="314" t="s">
        <v>203</v>
      </c>
      <c r="PXT11" s="314" t="s">
        <v>203</v>
      </c>
      <c r="PXU11" s="314" t="s">
        <v>203</v>
      </c>
      <c r="PXV11" s="314" t="s">
        <v>203</v>
      </c>
      <c r="PXW11" s="314" t="s">
        <v>203</v>
      </c>
      <c r="PXX11" s="314" t="s">
        <v>203</v>
      </c>
      <c r="PXY11" s="314" t="s">
        <v>203</v>
      </c>
      <c r="PXZ11" s="314" t="s">
        <v>203</v>
      </c>
      <c r="PYA11" s="314" t="s">
        <v>203</v>
      </c>
      <c r="PYB11" s="314" t="s">
        <v>203</v>
      </c>
      <c r="PYC11" s="314" t="s">
        <v>203</v>
      </c>
      <c r="PYD11" s="314" t="s">
        <v>203</v>
      </c>
      <c r="PYE11" s="314" t="s">
        <v>203</v>
      </c>
      <c r="PYF11" s="314" t="s">
        <v>203</v>
      </c>
      <c r="PYG11" s="314" t="s">
        <v>203</v>
      </c>
      <c r="PYH11" s="314" t="s">
        <v>203</v>
      </c>
      <c r="PYI11" s="314" t="s">
        <v>203</v>
      </c>
      <c r="PYJ11" s="314" t="s">
        <v>203</v>
      </c>
      <c r="PYK11" s="314" t="s">
        <v>203</v>
      </c>
      <c r="PYL11" s="314" t="s">
        <v>203</v>
      </c>
      <c r="PYM11" s="314" t="s">
        <v>203</v>
      </c>
      <c r="PYN11" s="314" t="s">
        <v>203</v>
      </c>
      <c r="PYO11" s="314" t="s">
        <v>203</v>
      </c>
      <c r="PYP11" s="314" t="s">
        <v>203</v>
      </c>
      <c r="PYQ11" s="314" t="s">
        <v>203</v>
      </c>
      <c r="PYR11" s="314" t="s">
        <v>203</v>
      </c>
      <c r="PYS11" s="314" t="s">
        <v>203</v>
      </c>
      <c r="PYT11" s="314" t="s">
        <v>203</v>
      </c>
      <c r="PYU11" s="314" t="s">
        <v>203</v>
      </c>
      <c r="PYV11" s="314" t="s">
        <v>203</v>
      </c>
      <c r="PYW11" s="314" t="s">
        <v>203</v>
      </c>
      <c r="PYX11" s="314" t="s">
        <v>203</v>
      </c>
      <c r="PYY11" s="314" t="s">
        <v>203</v>
      </c>
      <c r="PYZ11" s="314" t="s">
        <v>203</v>
      </c>
      <c r="PZA11" s="314" t="s">
        <v>203</v>
      </c>
      <c r="PZB11" s="314" t="s">
        <v>203</v>
      </c>
      <c r="PZC11" s="314" t="s">
        <v>203</v>
      </c>
      <c r="PZD11" s="314" t="s">
        <v>203</v>
      </c>
      <c r="PZE11" s="314" t="s">
        <v>203</v>
      </c>
      <c r="PZF11" s="314" t="s">
        <v>203</v>
      </c>
      <c r="PZG11" s="314" t="s">
        <v>203</v>
      </c>
      <c r="PZH11" s="314" t="s">
        <v>203</v>
      </c>
      <c r="PZI11" s="314" t="s">
        <v>203</v>
      </c>
      <c r="PZJ11" s="314" t="s">
        <v>203</v>
      </c>
      <c r="PZK11" s="314" t="s">
        <v>203</v>
      </c>
      <c r="PZL11" s="314" t="s">
        <v>203</v>
      </c>
      <c r="PZM11" s="314" t="s">
        <v>203</v>
      </c>
      <c r="PZN11" s="314" t="s">
        <v>203</v>
      </c>
      <c r="PZO11" s="314" t="s">
        <v>203</v>
      </c>
      <c r="PZP11" s="314" t="s">
        <v>203</v>
      </c>
      <c r="PZQ11" s="314" t="s">
        <v>203</v>
      </c>
      <c r="PZR11" s="314" t="s">
        <v>203</v>
      </c>
      <c r="PZS11" s="314" t="s">
        <v>203</v>
      </c>
      <c r="PZT11" s="314" t="s">
        <v>203</v>
      </c>
      <c r="PZU11" s="314" t="s">
        <v>203</v>
      </c>
      <c r="PZV11" s="314" t="s">
        <v>203</v>
      </c>
      <c r="PZW11" s="314" t="s">
        <v>203</v>
      </c>
      <c r="PZX11" s="314" t="s">
        <v>203</v>
      </c>
      <c r="PZY11" s="314" t="s">
        <v>203</v>
      </c>
      <c r="PZZ11" s="314" t="s">
        <v>203</v>
      </c>
      <c r="QAA11" s="314" t="s">
        <v>203</v>
      </c>
      <c r="QAB11" s="314" t="s">
        <v>203</v>
      </c>
      <c r="QAC11" s="314" t="s">
        <v>203</v>
      </c>
      <c r="QAD11" s="314" t="s">
        <v>203</v>
      </c>
      <c r="QAE11" s="314" t="s">
        <v>203</v>
      </c>
      <c r="QAF11" s="314" t="s">
        <v>203</v>
      </c>
      <c r="QAG11" s="314" t="s">
        <v>203</v>
      </c>
      <c r="QAH11" s="314" t="s">
        <v>203</v>
      </c>
      <c r="QAI11" s="314" t="s">
        <v>203</v>
      </c>
      <c r="QAJ11" s="314" t="s">
        <v>203</v>
      </c>
      <c r="QAK11" s="314" t="s">
        <v>203</v>
      </c>
      <c r="QAL11" s="314" t="s">
        <v>203</v>
      </c>
      <c r="QAM11" s="314" t="s">
        <v>203</v>
      </c>
      <c r="QAN11" s="314" t="s">
        <v>203</v>
      </c>
      <c r="QAO11" s="314" t="s">
        <v>203</v>
      </c>
      <c r="QAP11" s="314" t="s">
        <v>203</v>
      </c>
      <c r="QAQ11" s="314" t="s">
        <v>203</v>
      </c>
      <c r="QAR11" s="314" t="s">
        <v>203</v>
      </c>
      <c r="QAS11" s="314" t="s">
        <v>203</v>
      </c>
      <c r="QAT11" s="314" t="s">
        <v>203</v>
      </c>
      <c r="QAU11" s="314" t="s">
        <v>203</v>
      </c>
      <c r="QAV11" s="314" t="s">
        <v>203</v>
      </c>
      <c r="QAW11" s="314" t="s">
        <v>203</v>
      </c>
      <c r="QAX11" s="314" t="s">
        <v>203</v>
      </c>
      <c r="QAY11" s="314" t="s">
        <v>203</v>
      </c>
      <c r="QAZ11" s="314" t="s">
        <v>203</v>
      </c>
      <c r="QBA11" s="314" t="s">
        <v>203</v>
      </c>
      <c r="QBB11" s="314" t="s">
        <v>203</v>
      </c>
      <c r="QBC11" s="314" t="s">
        <v>203</v>
      </c>
      <c r="QBD11" s="314" t="s">
        <v>203</v>
      </c>
      <c r="QBE11" s="314" t="s">
        <v>203</v>
      </c>
      <c r="QBF11" s="314" t="s">
        <v>203</v>
      </c>
      <c r="QBG11" s="314" t="s">
        <v>203</v>
      </c>
      <c r="QBH11" s="314" t="s">
        <v>203</v>
      </c>
      <c r="QBI11" s="314" t="s">
        <v>203</v>
      </c>
      <c r="QBJ11" s="314" t="s">
        <v>203</v>
      </c>
      <c r="QBK11" s="314" t="s">
        <v>203</v>
      </c>
      <c r="QBL11" s="314" t="s">
        <v>203</v>
      </c>
      <c r="QBM11" s="314" t="s">
        <v>203</v>
      </c>
      <c r="QBN11" s="314" t="s">
        <v>203</v>
      </c>
      <c r="QBO11" s="314" t="s">
        <v>203</v>
      </c>
      <c r="QBP11" s="314" t="s">
        <v>203</v>
      </c>
      <c r="QBQ11" s="314" t="s">
        <v>203</v>
      </c>
      <c r="QBR11" s="314" t="s">
        <v>203</v>
      </c>
      <c r="QBS11" s="314" t="s">
        <v>203</v>
      </c>
      <c r="QBT11" s="314" t="s">
        <v>203</v>
      </c>
      <c r="QBU11" s="314" t="s">
        <v>203</v>
      </c>
      <c r="QBV11" s="314" t="s">
        <v>203</v>
      </c>
      <c r="QBW11" s="314" t="s">
        <v>203</v>
      </c>
      <c r="QBX11" s="314" t="s">
        <v>203</v>
      </c>
      <c r="QBY11" s="314" t="s">
        <v>203</v>
      </c>
      <c r="QBZ11" s="314" t="s">
        <v>203</v>
      </c>
      <c r="QCA11" s="314" t="s">
        <v>203</v>
      </c>
      <c r="QCB11" s="314" t="s">
        <v>203</v>
      </c>
      <c r="QCC11" s="314" t="s">
        <v>203</v>
      </c>
      <c r="QCD11" s="314" t="s">
        <v>203</v>
      </c>
      <c r="QCE11" s="314" t="s">
        <v>203</v>
      </c>
      <c r="QCF11" s="314" t="s">
        <v>203</v>
      </c>
      <c r="QCG11" s="314" t="s">
        <v>203</v>
      </c>
      <c r="QCH11" s="314" t="s">
        <v>203</v>
      </c>
      <c r="QCI11" s="314" t="s">
        <v>203</v>
      </c>
      <c r="QCJ11" s="314" t="s">
        <v>203</v>
      </c>
      <c r="QCK11" s="314" t="s">
        <v>203</v>
      </c>
      <c r="QCL11" s="314" t="s">
        <v>203</v>
      </c>
      <c r="QCM11" s="314" t="s">
        <v>203</v>
      </c>
      <c r="QCN11" s="314" t="s">
        <v>203</v>
      </c>
      <c r="QCO11" s="314" t="s">
        <v>203</v>
      </c>
      <c r="QCP11" s="314" t="s">
        <v>203</v>
      </c>
      <c r="QCQ11" s="314" t="s">
        <v>203</v>
      </c>
      <c r="QCR11" s="314" t="s">
        <v>203</v>
      </c>
      <c r="QCS11" s="314" t="s">
        <v>203</v>
      </c>
      <c r="QCT11" s="314" t="s">
        <v>203</v>
      </c>
      <c r="QCU11" s="314" t="s">
        <v>203</v>
      </c>
      <c r="QCV11" s="314" t="s">
        <v>203</v>
      </c>
      <c r="QCW11" s="314" t="s">
        <v>203</v>
      </c>
      <c r="QCX11" s="314" t="s">
        <v>203</v>
      </c>
      <c r="QCY11" s="314" t="s">
        <v>203</v>
      </c>
      <c r="QCZ11" s="314" t="s">
        <v>203</v>
      </c>
      <c r="QDA11" s="314" t="s">
        <v>203</v>
      </c>
      <c r="QDB11" s="314" t="s">
        <v>203</v>
      </c>
      <c r="QDC11" s="314" t="s">
        <v>203</v>
      </c>
      <c r="QDD11" s="314" t="s">
        <v>203</v>
      </c>
      <c r="QDE11" s="314" t="s">
        <v>203</v>
      </c>
      <c r="QDF11" s="314" t="s">
        <v>203</v>
      </c>
      <c r="QDG11" s="314" t="s">
        <v>203</v>
      </c>
      <c r="QDH11" s="314" t="s">
        <v>203</v>
      </c>
      <c r="QDI11" s="314" t="s">
        <v>203</v>
      </c>
      <c r="QDJ11" s="314" t="s">
        <v>203</v>
      </c>
      <c r="QDK11" s="314" t="s">
        <v>203</v>
      </c>
      <c r="QDL11" s="314" t="s">
        <v>203</v>
      </c>
      <c r="QDM11" s="314" t="s">
        <v>203</v>
      </c>
      <c r="QDN11" s="314" t="s">
        <v>203</v>
      </c>
      <c r="QDO11" s="314" t="s">
        <v>203</v>
      </c>
      <c r="QDP11" s="314" t="s">
        <v>203</v>
      </c>
      <c r="QDQ11" s="314" t="s">
        <v>203</v>
      </c>
      <c r="QDR11" s="314" t="s">
        <v>203</v>
      </c>
      <c r="QDS11" s="314" t="s">
        <v>203</v>
      </c>
      <c r="QDT11" s="314" t="s">
        <v>203</v>
      </c>
      <c r="QDU11" s="314" t="s">
        <v>203</v>
      </c>
      <c r="QDV11" s="314" t="s">
        <v>203</v>
      </c>
      <c r="QDW11" s="314" t="s">
        <v>203</v>
      </c>
      <c r="QDX11" s="314" t="s">
        <v>203</v>
      </c>
      <c r="QDY11" s="314" t="s">
        <v>203</v>
      </c>
      <c r="QDZ11" s="314" t="s">
        <v>203</v>
      </c>
      <c r="QEA11" s="314" t="s">
        <v>203</v>
      </c>
      <c r="QEB11" s="314" t="s">
        <v>203</v>
      </c>
      <c r="QEC11" s="314" t="s">
        <v>203</v>
      </c>
      <c r="QED11" s="314" t="s">
        <v>203</v>
      </c>
      <c r="QEE11" s="314" t="s">
        <v>203</v>
      </c>
      <c r="QEF11" s="314" t="s">
        <v>203</v>
      </c>
      <c r="QEG11" s="314" t="s">
        <v>203</v>
      </c>
      <c r="QEH11" s="314" t="s">
        <v>203</v>
      </c>
      <c r="QEI11" s="314" t="s">
        <v>203</v>
      </c>
      <c r="QEJ11" s="314" t="s">
        <v>203</v>
      </c>
      <c r="QEK11" s="314" t="s">
        <v>203</v>
      </c>
      <c r="QEL11" s="314" t="s">
        <v>203</v>
      </c>
      <c r="QEM11" s="314" t="s">
        <v>203</v>
      </c>
      <c r="QEN11" s="314" t="s">
        <v>203</v>
      </c>
      <c r="QEO11" s="314" t="s">
        <v>203</v>
      </c>
      <c r="QEP11" s="314" t="s">
        <v>203</v>
      </c>
      <c r="QEQ11" s="314" t="s">
        <v>203</v>
      </c>
      <c r="QER11" s="314" t="s">
        <v>203</v>
      </c>
      <c r="QES11" s="314" t="s">
        <v>203</v>
      </c>
      <c r="QET11" s="314" t="s">
        <v>203</v>
      </c>
      <c r="QEU11" s="314" t="s">
        <v>203</v>
      </c>
      <c r="QEV11" s="314" t="s">
        <v>203</v>
      </c>
      <c r="QEW11" s="314" t="s">
        <v>203</v>
      </c>
      <c r="QEX11" s="314" t="s">
        <v>203</v>
      </c>
      <c r="QEY11" s="314" t="s">
        <v>203</v>
      </c>
      <c r="QEZ11" s="314" t="s">
        <v>203</v>
      </c>
      <c r="QFA11" s="314" t="s">
        <v>203</v>
      </c>
      <c r="QFB11" s="314" t="s">
        <v>203</v>
      </c>
      <c r="QFC11" s="314" t="s">
        <v>203</v>
      </c>
      <c r="QFD11" s="314" t="s">
        <v>203</v>
      </c>
      <c r="QFE11" s="314" t="s">
        <v>203</v>
      </c>
      <c r="QFF11" s="314" t="s">
        <v>203</v>
      </c>
      <c r="QFG11" s="314" t="s">
        <v>203</v>
      </c>
      <c r="QFH11" s="314" t="s">
        <v>203</v>
      </c>
      <c r="QFI11" s="314" t="s">
        <v>203</v>
      </c>
      <c r="QFJ11" s="314" t="s">
        <v>203</v>
      </c>
      <c r="QFK11" s="314" t="s">
        <v>203</v>
      </c>
      <c r="QFL11" s="314" t="s">
        <v>203</v>
      </c>
      <c r="QFM11" s="314" t="s">
        <v>203</v>
      </c>
      <c r="QFN11" s="314" t="s">
        <v>203</v>
      </c>
      <c r="QFO11" s="314" t="s">
        <v>203</v>
      </c>
      <c r="QFP11" s="314" t="s">
        <v>203</v>
      </c>
      <c r="QFQ11" s="314" t="s">
        <v>203</v>
      </c>
      <c r="QFR11" s="314" t="s">
        <v>203</v>
      </c>
      <c r="QFS11" s="314" t="s">
        <v>203</v>
      </c>
      <c r="QFT11" s="314" t="s">
        <v>203</v>
      </c>
      <c r="QFU11" s="314" t="s">
        <v>203</v>
      </c>
      <c r="QFV11" s="314" t="s">
        <v>203</v>
      </c>
      <c r="QFW11" s="314" t="s">
        <v>203</v>
      </c>
      <c r="QFX11" s="314" t="s">
        <v>203</v>
      </c>
      <c r="QFY11" s="314" t="s">
        <v>203</v>
      </c>
      <c r="QFZ11" s="314" t="s">
        <v>203</v>
      </c>
      <c r="QGA11" s="314" t="s">
        <v>203</v>
      </c>
      <c r="QGB11" s="314" t="s">
        <v>203</v>
      </c>
      <c r="QGC11" s="314" t="s">
        <v>203</v>
      </c>
      <c r="QGD11" s="314" t="s">
        <v>203</v>
      </c>
      <c r="QGE11" s="314" t="s">
        <v>203</v>
      </c>
      <c r="QGF11" s="314" t="s">
        <v>203</v>
      </c>
      <c r="QGG11" s="314" t="s">
        <v>203</v>
      </c>
      <c r="QGH11" s="314" t="s">
        <v>203</v>
      </c>
      <c r="QGI11" s="314" t="s">
        <v>203</v>
      </c>
      <c r="QGJ11" s="314" t="s">
        <v>203</v>
      </c>
      <c r="QGK11" s="314" t="s">
        <v>203</v>
      </c>
      <c r="QGL11" s="314" t="s">
        <v>203</v>
      </c>
      <c r="QGM11" s="314" t="s">
        <v>203</v>
      </c>
      <c r="QGN11" s="314" t="s">
        <v>203</v>
      </c>
      <c r="QGO11" s="314" t="s">
        <v>203</v>
      </c>
      <c r="QGP11" s="314" t="s">
        <v>203</v>
      </c>
      <c r="QGQ11" s="314" t="s">
        <v>203</v>
      </c>
      <c r="QGR11" s="314" t="s">
        <v>203</v>
      </c>
      <c r="QGS11" s="314" t="s">
        <v>203</v>
      </c>
      <c r="QGT11" s="314" t="s">
        <v>203</v>
      </c>
      <c r="QGU11" s="314" t="s">
        <v>203</v>
      </c>
      <c r="QGV11" s="314" t="s">
        <v>203</v>
      </c>
      <c r="QGW11" s="314" t="s">
        <v>203</v>
      </c>
      <c r="QGX11" s="314" t="s">
        <v>203</v>
      </c>
      <c r="QGY11" s="314" t="s">
        <v>203</v>
      </c>
      <c r="QGZ11" s="314" t="s">
        <v>203</v>
      </c>
      <c r="QHA11" s="314" t="s">
        <v>203</v>
      </c>
      <c r="QHB11" s="314" t="s">
        <v>203</v>
      </c>
      <c r="QHC11" s="314" t="s">
        <v>203</v>
      </c>
      <c r="QHD11" s="314" t="s">
        <v>203</v>
      </c>
      <c r="QHE11" s="314" t="s">
        <v>203</v>
      </c>
      <c r="QHF11" s="314" t="s">
        <v>203</v>
      </c>
      <c r="QHG11" s="314" t="s">
        <v>203</v>
      </c>
      <c r="QHH11" s="314" t="s">
        <v>203</v>
      </c>
      <c r="QHI11" s="314" t="s">
        <v>203</v>
      </c>
      <c r="QHJ11" s="314" t="s">
        <v>203</v>
      </c>
      <c r="QHK11" s="314" t="s">
        <v>203</v>
      </c>
      <c r="QHL11" s="314" t="s">
        <v>203</v>
      </c>
      <c r="QHM11" s="314" t="s">
        <v>203</v>
      </c>
      <c r="QHN11" s="314" t="s">
        <v>203</v>
      </c>
      <c r="QHO11" s="314" t="s">
        <v>203</v>
      </c>
      <c r="QHP11" s="314" t="s">
        <v>203</v>
      </c>
      <c r="QHQ11" s="314" t="s">
        <v>203</v>
      </c>
      <c r="QHR11" s="314" t="s">
        <v>203</v>
      </c>
      <c r="QHS11" s="314" t="s">
        <v>203</v>
      </c>
      <c r="QHT11" s="314" t="s">
        <v>203</v>
      </c>
      <c r="QHU11" s="314" t="s">
        <v>203</v>
      </c>
      <c r="QHV11" s="314" t="s">
        <v>203</v>
      </c>
      <c r="QHW11" s="314" t="s">
        <v>203</v>
      </c>
      <c r="QHX11" s="314" t="s">
        <v>203</v>
      </c>
      <c r="QHY11" s="314" t="s">
        <v>203</v>
      </c>
      <c r="QHZ11" s="314" t="s">
        <v>203</v>
      </c>
      <c r="QIA11" s="314" t="s">
        <v>203</v>
      </c>
      <c r="QIB11" s="314" t="s">
        <v>203</v>
      </c>
      <c r="QIC11" s="314" t="s">
        <v>203</v>
      </c>
      <c r="QID11" s="314" t="s">
        <v>203</v>
      </c>
      <c r="QIE11" s="314" t="s">
        <v>203</v>
      </c>
      <c r="QIF11" s="314" t="s">
        <v>203</v>
      </c>
      <c r="QIG11" s="314" t="s">
        <v>203</v>
      </c>
      <c r="QIH11" s="314" t="s">
        <v>203</v>
      </c>
      <c r="QII11" s="314" t="s">
        <v>203</v>
      </c>
      <c r="QIJ11" s="314" t="s">
        <v>203</v>
      </c>
      <c r="QIK11" s="314" t="s">
        <v>203</v>
      </c>
      <c r="QIL11" s="314" t="s">
        <v>203</v>
      </c>
      <c r="QIM11" s="314" t="s">
        <v>203</v>
      </c>
      <c r="QIN11" s="314" t="s">
        <v>203</v>
      </c>
      <c r="QIO11" s="314" t="s">
        <v>203</v>
      </c>
      <c r="QIP11" s="314" t="s">
        <v>203</v>
      </c>
      <c r="QIQ11" s="314" t="s">
        <v>203</v>
      </c>
      <c r="QIR11" s="314" t="s">
        <v>203</v>
      </c>
      <c r="QIS11" s="314" t="s">
        <v>203</v>
      </c>
      <c r="QIT11" s="314" t="s">
        <v>203</v>
      </c>
      <c r="QIU11" s="314" t="s">
        <v>203</v>
      </c>
      <c r="QIV11" s="314" t="s">
        <v>203</v>
      </c>
      <c r="QIW11" s="314" t="s">
        <v>203</v>
      </c>
      <c r="QIX11" s="314" t="s">
        <v>203</v>
      </c>
      <c r="QIY11" s="314" t="s">
        <v>203</v>
      </c>
      <c r="QIZ11" s="314" t="s">
        <v>203</v>
      </c>
      <c r="QJA11" s="314" t="s">
        <v>203</v>
      </c>
      <c r="QJB11" s="314" t="s">
        <v>203</v>
      </c>
      <c r="QJC11" s="314" t="s">
        <v>203</v>
      </c>
      <c r="QJD11" s="314" t="s">
        <v>203</v>
      </c>
      <c r="QJE11" s="314" t="s">
        <v>203</v>
      </c>
      <c r="QJF11" s="314" t="s">
        <v>203</v>
      </c>
      <c r="QJG11" s="314" t="s">
        <v>203</v>
      </c>
      <c r="QJH11" s="314" t="s">
        <v>203</v>
      </c>
      <c r="QJI11" s="314" t="s">
        <v>203</v>
      </c>
      <c r="QJJ11" s="314" t="s">
        <v>203</v>
      </c>
      <c r="QJK11" s="314" t="s">
        <v>203</v>
      </c>
      <c r="QJL11" s="314" t="s">
        <v>203</v>
      </c>
      <c r="QJM11" s="314" t="s">
        <v>203</v>
      </c>
      <c r="QJN11" s="314" t="s">
        <v>203</v>
      </c>
      <c r="QJO11" s="314" t="s">
        <v>203</v>
      </c>
      <c r="QJP11" s="314" t="s">
        <v>203</v>
      </c>
      <c r="QJQ11" s="314" t="s">
        <v>203</v>
      </c>
      <c r="QJR11" s="314" t="s">
        <v>203</v>
      </c>
      <c r="QJS11" s="314" t="s">
        <v>203</v>
      </c>
      <c r="QJT11" s="314" t="s">
        <v>203</v>
      </c>
      <c r="QJU11" s="314" t="s">
        <v>203</v>
      </c>
      <c r="QJV11" s="314" t="s">
        <v>203</v>
      </c>
      <c r="QJW11" s="314" t="s">
        <v>203</v>
      </c>
      <c r="QJX11" s="314" t="s">
        <v>203</v>
      </c>
      <c r="QJY11" s="314" t="s">
        <v>203</v>
      </c>
      <c r="QJZ11" s="314" t="s">
        <v>203</v>
      </c>
      <c r="QKA11" s="314" t="s">
        <v>203</v>
      </c>
      <c r="QKB11" s="314" t="s">
        <v>203</v>
      </c>
      <c r="QKC11" s="314" t="s">
        <v>203</v>
      </c>
      <c r="QKD11" s="314" t="s">
        <v>203</v>
      </c>
      <c r="QKE11" s="314" t="s">
        <v>203</v>
      </c>
      <c r="QKF11" s="314" t="s">
        <v>203</v>
      </c>
      <c r="QKG11" s="314" t="s">
        <v>203</v>
      </c>
      <c r="QKH11" s="314" t="s">
        <v>203</v>
      </c>
      <c r="QKI11" s="314" t="s">
        <v>203</v>
      </c>
      <c r="QKJ11" s="314" t="s">
        <v>203</v>
      </c>
      <c r="QKK11" s="314" t="s">
        <v>203</v>
      </c>
      <c r="QKL11" s="314" t="s">
        <v>203</v>
      </c>
      <c r="QKM11" s="314" t="s">
        <v>203</v>
      </c>
      <c r="QKN11" s="314" t="s">
        <v>203</v>
      </c>
      <c r="QKO11" s="314" t="s">
        <v>203</v>
      </c>
      <c r="QKP11" s="314" t="s">
        <v>203</v>
      </c>
      <c r="QKQ11" s="314" t="s">
        <v>203</v>
      </c>
      <c r="QKR11" s="314" t="s">
        <v>203</v>
      </c>
      <c r="QKS11" s="314" t="s">
        <v>203</v>
      </c>
      <c r="QKT11" s="314" t="s">
        <v>203</v>
      </c>
      <c r="QKU11" s="314" t="s">
        <v>203</v>
      </c>
      <c r="QKV11" s="314" t="s">
        <v>203</v>
      </c>
      <c r="QKW11" s="314" t="s">
        <v>203</v>
      </c>
      <c r="QKX11" s="314" t="s">
        <v>203</v>
      </c>
      <c r="QKY11" s="314" t="s">
        <v>203</v>
      </c>
      <c r="QKZ11" s="314" t="s">
        <v>203</v>
      </c>
      <c r="QLA11" s="314" t="s">
        <v>203</v>
      </c>
      <c r="QLB11" s="314" t="s">
        <v>203</v>
      </c>
      <c r="QLC11" s="314" t="s">
        <v>203</v>
      </c>
      <c r="QLD11" s="314" t="s">
        <v>203</v>
      </c>
      <c r="QLE11" s="314" t="s">
        <v>203</v>
      </c>
      <c r="QLF11" s="314" t="s">
        <v>203</v>
      </c>
      <c r="QLG11" s="314" t="s">
        <v>203</v>
      </c>
      <c r="QLH11" s="314" t="s">
        <v>203</v>
      </c>
      <c r="QLI11" s="314" t="s">
        <v>203</v>
      </c>
      <c r="QLJ11" s="314" t="s">
        <v>203</v>
      </c>
      <c r="QLK11" s="314" t="s">
        <v>203</v>
      </c>
      <c r="QLL11" s="314" t="s">
        <v>203</v>
      </c>
      <c r="QLM11" s="314" t="s">
        <v>203</v>
      </c>
      <c r="QLN11" s="314" t="s">
        <v>203</v>
      </c>
      <c r="QLO11" s="314" t="s">
        <v>203</v>
      </c>
      <c r="QLP11" s="314" t="s">
        <v>203</v>
      </c>
      <c r="QLQ11" s="314" t="s">
        <v>203</v>
      </c>
      <c r="QLR11" s="314" t="s">
        <v>203</v>
      </c>
      <c r="QLS11" s="314" t="s">
        <v>203</v>
      </c>
      <c r="QLT11" s="314" t="s">
        <v>203</v>
      </c>
      <c r="QLU11" s="314" t="s">
        <v>203</v>
      </c>
      <c r="QLV11" s="314" t="s">
        <v>203</v>
      </c>
      <c r="QLW11" s="314" t="s">
        <v>203</v>
      </c>
      <c r="QLX11" s="314" t="s">
        <v>203</v>
      </c>
      <c r="QLY11" s="314" t="s">
        <v>203</v>
      </c>
      <c r="QLZ11" s="314" t="s">
        <v>203</v>
      </c>
      <c r="QMA11" s="314" t="s">
        <v>203</v>
      </c>
      <c r="QMB11" s="314" t="s">
        <v>203</v>
      </c>
      <c r="QMC11" s="314" t="s">
        <v>203</v>
      </c>
      <c r="QMD11" s="314" t="s">
        <v>203</v>
      </c>
      <c r="QME11" s="314" t="s">
        <v>203</v>
      </c>
      <c r="QMF11" s="314" t="s">
        <v>203</v>
      </c>
      <c r="QMG11" s="314" t="s">
        <v>203</v>
      </c>
      <c r="QMH11" s="314" t="s">
        <v>203</v>
      </c>
      <c r="QMI11" s="314" t="s">
        <v>203</v>
      </c>
      <c r="QMJ11" s="314" t="s">
        <v>203</v>
      </c>
      <c r="QMK11" s="314" t="s">
        <v>203</v>
      </c>
      <c r="QML11" s="314" t="s">
        <v>203</v>
      </c>
      <c r="QMM11" s="314" t="s">
        <v>203</v>
      </c>
      <c r="QMN11" s="314" t="s">
        <v>203</v>
      </c>
      <c r="QMO11" s="314" t="s">
        <v>203</v>
      </c>
      <c r="QMP11" s="314" t="s">
        <v>203</v>
      </c>
      <c r="QMQ11" s="314" t="s">
        <v>203</v>
      </c>
      <c r="QMR11" s="314" t="s">
        <v>203</v>
      </c>
      <c r="QMS11" s="314" t="s">
        <v>203</v>
      </c>
      <c r="QMT11" s="314" t="s">
        <v>203</v>
      </c>
      <c r="QMU11" s="314" t="s">
        <v>203</v>
      </c>
      <c r="QMV11" s="314" t="s">
        <v>203</v>
      </c>
      <c r="QMW11" s="314" t="s">
        <v>203</v>
      </c>
      <c r="QMX11" s="314" t="s">
        <v>203</v>
      </c>
      <c r="QMY11" s="314" t="s">
        <v>203</v>
      </c>
      <c r="QMZ11" s="314" t="s">
        <v>203</v>
      </c>
      <c r="QNA11" s="314" t="s">
        <v>203</v>
      </c>
      <c r="QNB11" s="314" t="s">
        <v>203</v>
      </c>
      <c r="QNC11" s="314" t="s">
        <v>203</v>
      </c>
      <c r="QND11" s="314" t="s">
        <v>203</v>
      </c>
      <c r="QNE11" s="314" t="s">
        <v>203</v>
      </c>
      <c r="QNF11" s="314" t="s">
        <v>203</v>
      </c>
      <c r="QNG11" s="314" t="s">
        <v>203</v>
      </c>
      <c r="QNH11" s="314" t="s">
        <v>203</v>
      </c>
      <c r="QNI11" s="314" t="s">
        <v>203</v>
      </c>
      <c r="QNJ11" s="314" t="s">
        <v>203</v>
      </c>
      <c r="QNK11" s="314" t="s">
        <v>203</v>
      </c>
      <c r="QNL11" s="314" t="s">
        <v>203</v>
      </c>
      <c r="QNM11" s="314" t="s">
        <v>203</v>
      </c>
      <c r="QNN11" s="314" t="s">
        <v>203</v>
      </c>
      <c r="QNO11" s="314" t="s">
        <v>203</v>
      </c>
      <c r="QNP11" s="314" t="s">
        <v>203</v>
      </c>
      <c r="QNQ11" s="314" t="s">
        <v>203</v>
      </c>
      <c r="QNR11" s="314" t="s">
        <v>203</v>
      </c>
      <c r="QNS11" s="314" t="s">
        <v>203</v>
      </c>
      <c r="QNT11" s="314" t="s">
        <v>203</v>
      </c>
      <c r="QNU11" s="314" t="s">
        <v>203</v>
      </c>
      <c r="QNV11" s="314" t="s">
        <v>203</v>
      </c>
      <c r="QNW11" s="314" t="s">
        <v>203</v>
      </c>
      <c r="QNX11" s="314" t="s">
        <v>203</v>
      </c>
      <c r="QNY11" s="314" t="s">
        <v>203</v>
      </c>
      <c r="QNZ11" s="314" t="s">
        <v>203</v>
      </c>
      <c r="QOA11" s="314" t="s">
        <v>203</v>
      </c>
      <c r="QOB11" s="314" t="s">
        <v>203</v>
      </c>
      <c r="QOC11" s="314" t="s">
        <v>203</v>
      </c>
      <c r="QOD11" s="314" t="s">
        <v>203</v>
      </c>
      <c r="QOE11" s="314" t="s">
        <v>203</v>
      </c>
      <c r="QOF11" s="314" t="s">
        <v>203</v>
      </c>
      <c r="QOG11" s="314" t="s">
        <v>203</v>
      </c>
      <c r="QOH11" s="314" t="s">
        <v>203</v>
      </c>
      <c r="QOI11" s="314" t="s">
        <v>203</v>
      </c>
      <c r="QOJ11" s="314" t="s">
        <v>203</v>
      </c>
      <c r="QOK11" s="314" t="s">
        <v>203</v>
      </c>
      <c r="QOL11" s="314" t="s">
        <v>203</v>
      </c>
      <c r="QOM11" s="314" t="s">
        <v>203</v>
      </c>
      <c r="QON11" s="314" t="s">
        <v>203</v>
      </c>
      <c r="QOO11" s="314" t="s">
        <v>203</v>
      </c>
      <c r="QOP11" s="314" t="s">
        <v>203</v>
      </c>
      <c r="QOQ11" s="314" t="s">
        <v>203</v>
      </c>
      <c r="QOR11" s="314" t="s">
        <v>203</v>
      </c>
      <c r="QOS11" s="314" t="s">
        <v>203</v>
      </c>
      <c r="QOT11" s="314" t="s">
        <v>203</v>
      </c>
      <c r="QOU11" s="314" t="s">
        <v>203</v>
      </c>
      <c r="QOV11" s="314" t="s">
        <v>203</v>
      </c>
      <c r="QOW11" s="314" t="s">
        <v>203</v>
      </c>
      <c r="QOX11" s="314" t="s">
        <v>203</v>
      </c>
      <c r="QOY11" s="314" t="s">
        <v>203</v>
      </c>
      <c r="QOZ11" s="314" t="s">
        <v>203</v>
      </c>
      <c r="QPA11" s="314" t="s">
        <v>203</v>
      </c>
      <c r="QPB11" s="314" t="s">
        <v>203</v>
      </c>
      <c r="QPC11" s="314" t="s">
        <v>203</v>
      </c>
      <c r="QPD11" s="314" t="s">
        <v>203</v>
      </c>
      <c r="QPE11" s="314" t="s">
        <v>203</v>
      </c>
      <c r="QPF11" s="314" t="s">
        <v>203</v>
      </c>
      <c r="QPG11" s="314" t="s">
        <v>203</v>
      </c>
      <c r="QPH11" s="314" t="s">
        <v>203</v>
      </c>
      <c r="QPI11" s="314" t="s">
        <v>203</v>
      </c>
      <c r="QPJ11" s="314" t="s">
        <v>203</v>
      </c>
      <c r="QPK11" s="314" t="s">
        <v>203</v>
      </c>
      <c r="QPL11" s="314" t="s">
        <v>203</v>
      </c>
      <c r="QPM11" s="314" t="s">
        <v>203</v>
      </c>
      <c r="QPN11" s="314" t="s">
        <v>203</v>
      </c>
      <c r="QPO11" s="314" t="s">
        <v>203</v>
      </c>
      <c r="QPP11" s="314" t="s">
        <v>203</v>
      </c>
      <c r="QPQ11" s="314" t="s">
        <v>203</v>
      </c>
      <c r="QPR11" s="314" t="s">
        <v>203</v>
      </c>
      <c r="QPS11" s="314" t="s">
        <v>203</v>
      </c>
      <c r="QPT11" s="314" t="s">
        <v>203</v>
      </c>
      <c r="QPU11" s="314" t="s">
        <v>203</v>
      </c>
      <c r="QPV11" s="314" t="s">
        <v>203</v>
      </c>
      <c r="QPW11" s="314" t="s">
        <v>203</v>
      </c>
      <c r="QPX11" s="314" t="s">
        <v>203</v>
      </c>
      <c r="QPY11" s="314" t="s">
        <v>203</v>
      </c>
      <c r="QPZ11" s="314" t="s">
        <v>203</v>
      </c>
      <c r="QQA11" s="314" t="s">
        <v>203</v>
      </c>
      <c r="QQB11" s="314" t="s">
        <v>203</v>
      </c>
      <c r="QQC11" s="314" t="s">
        <v>203</v>
      </c>
      <c r="QQD11" s="314" t="s">
        <v>203</v>
      </c>
      <c r="QQE11" s="314" t="s">
        <v>203</v>
      </c>
      <c r="QQF11" s="314" t="s">
        <v>203</v>
      </c>
      <c r="QQG11" s="314" t="s">
        <v>203</v>
      </c>
      <c r="QQH11" s="314" t="s">
        <v>203</v>
      </c>
      <c r="QQI11" s="314" t="s">
        <v>203</v>
      </c>
      <c r="QQJ11" s="314" t="s">
        <v>203</v>
      </c>
      <c r="QQK11" s="314" t="s">
        <v>203</v>
      </c>
      <c r="QQL11" s="314" t="s">
        <v>203</v>
      </c>
      <c r="QQM11" s="314" t="s">
        <v>203</v>
      </c>
      <c r="QQN11" s="314" t="s">
        <v>203</v>
      </c>
      <c r="QQO11" s="314" t="s">
        <v>203</v>
      </c>
      <c r="QQP11" s="314" t="s">
        <v>203</v>
      </c>
      <c r="QQQ11" s="314" t="s">
        <v>203</v>
      </c>
      <c r="QQR11" s="314" t="s">
        <v>203</v>
      </c>
      <c r="QQS11" s="314" t="s">
        <v>203</v>
      </c>
      <c r="QQT11" s="314" t="s">
        <v>203</v>
      </c>
      <c r="QQU11" s="314" t="s">
        <v>203</v>
      </c>
      <c r="QQV11" s="314" t="s">
        <v>203</v>
      </c>
      <c r="QQW11" s="314" t="s">
        <v>203</v>
      </c>
      <c r="QQX11" s="314" t="s">
        <v>203</v>
      </c>
      <c r="QQY11" s="314" t="s">
        <v>203</v>
      </c>
      <c r="QQZ11" s="314" t="s">
        <v>203</v>
      </c>
      <c r="QRA11" s="314" t="s">
        <v>203</v>
      </c>
      <c r="QRB11" s="314" t="s">
        <v>203</v>
      </c>
      <c r="QRC11" s="314" t="s">
        <v>203</v>
      </c>
      <c r="QRD11" s="314" t="s">
        <v>203</v>
      </c>
      <c r="QRE11" s="314" t="s">
        <v>203</v>
      </c>
      <c r="QRF11" s="314" t="s">
        <v>203</v>
      </c>
      <c r="QRG11" s="314" t="s">
        <v>203</v>
      </c>
      <c r="QRH11" s="314" t="s">
        <v>203</v>
      </c>
      <c r="QRI11" s="314" t="s">
        <v>203</v>
      </c>
      <c r="QRJ11" s="314" t="s">
        <v>203</v>
      </c>
      <c r="QRK11" s="314" t="s">
        <v>203</v>
      </c>
      <c r="QRL11" s="314" t="s">
        <v>203</v>
      </c>
      <c r="QRM11" s="314" t="s">
        <v>203</v>
      </c>
      <c r="QRN11" s="314" t="s">
        <v>203</v>
      </c>
      <c r="QRO11" s="314" t="s">
        <v>203</v>
      </c>
      <c r="QRP11" s="314" t="s">
        <v>203</v>
      </c>
      <c r="QRQ11" s="314" t="s">
        <v>203</v>
      </c>
      <c r="QRR11" s="314" t="s">
        <v>203</v>
      </c>
      <c r="QRS11" s="314" t="s">
        <v>203</v>
      </c>
      <c r="QRT11" s="314" t="s">
        <v>203</v>
      </c>
      <c r="QRU11" s="314" t="s">
        <v>203</v>
      </c>
      <c r="QRV11" s="314" t="s">
        <v>203</v>
      </c>
      <c r="QRW11" s="314" t="s">
        <v>203</v>
      </c>
      <c r="QRX11" s="314" t="s">
        <v>203</v>
      </c>
      <c r="QRY11" s="314" t="s">
        <v>203</v>
      </c>
      <c r="QRZ11" s="314" t="s">
        <v>203</v>
      </c>
      <c r="QSA11" s="314" t="s">
        <v>203</v>
      </c>
      <c r="QSB11" s="314" t="s">
        <v>203</v>
      </c>
      <c r="QSC11" s="314" t="s">
        <v>203</v>
      </c>
      <c r="QSD11" s="314" t="s">
        <v>203</v>
      </c>
      <c r="QSE11" s="314" t="s">
        <v>203</v>
      </c>
      <c r="QSF11" s="314" t="s">
        <v>203</v>
      </c>
      <c r="QSG11" s="314" t="s">
        <v>203</v>
      </c>
      <c r="QSH11" s="314" t="s">
        <v>203</v>
      </c>
      <c r="QSI11" s="314" t="s">
        <v>203</v>
      </c>
      <c r="QSJ11" s="314" t="s">
        <v>203</v>
      </c>
      <c r="QSK11" s="314" t="s">
        <v>203</v>
      </c>
      <c r="QSL11" s="314" t="s">
        <v>203</v>
      </c>
      <c r="QSM11" s="314" t="s">
        <v>203</v>
      </c>
      <c r="QSN11" s="314" t="s">
        <v>203</v>
      </c>
      <c r="QSO11" s="314" t="s">
        <v>203</v>
      </c>
      <c r="QSP11" s="314" t="s">
        <v>203</v>
      </c>
      <c r="QSQ11" s="314" t="s">
        <v>203</v>
      </c>
      <c r="QSR11" s="314" t="s">
        <v>203</v>
      </c>
      <c r="QSS11" s="314" t="s">
        <v>203</v>
      </c>
      <c r="QST11" s="314" t="s">
        <v>203</v>
      </c>
      <c r="QSU11" s="314" t="s">
        <v>203</v>
      </c>
      <c r="QSV11" s="314" t="s">
        <v>203</v>
      </c>
      <c r="QSW11" s="314" t="s">
        <v>203</v>
      </c>
      <c r="QSX11" s="314" t="s">
        <v>203</v>
      </c>
      <c r="QSY11" s="314" t="s">
        <v>203</v>
      </c>
      <c r="QSZ11" s="314" t="s">
        <v>203</v>
      </c>
      <c r="QTA11" s="314" t="s">
        <v>203</v>
      </c>
      <c r="QTB11" s="314" t="s">
        <v>203</v>
      </c>
      <c r="QTC11" s="314" t="s">
        <v>203</v>
      </c>
      <c r="QTD11" s="314" t="s">
        <v>203</v>
      </c>
      <c r="QTE11" s="314" t="s">
        <v>203</v>
      </c>
      <c r="QTF11" s="314" t="s">
        <v>203</v>
      </c>
      <c r="QTG11" s="314" t="s">
        <v>203</v>
      </c>
      <c r="QTH11" s="314" t="s">
        <v>203</v>
      </c>
      <c r="QTI11" s="314" t="s">
        <v>203</v>
      </c>
      <c r="QTJ11" s="314" t="s">
        <v>203</v>
      </c>
      <c r="QTK11" s="314" t="s">
        <v>203</v>
      </c>
      <c r="QTL11" s="314" t="s">
        <v>203</v>
      </c>
      <c r="QTM11" s="314" t="s">
        <v>203</v>
      </c>
      <c r="QTN11" s="314" t="s">
        <v>203</v>
      </c>
      <c r="QTO11" s="314" t="s">
        <v>203</v>
      </c>
      <c r="QTP11" s="314" t="s">
        <v>203</v>
      </c>
      <c r="QTQ11" s="314" t="s">
        <v>203</v>
      </c>
      <c r="QTR11" s="314" t="s">
        <v>203</v>
      </c>
      <c r="QTS11" s="314" t="s">
        <v>203</v>
      </c>
      <c r="QTT11" s="314" t="s">
        <v>203</v>
      </c>
      <c r="QTU11" s="314" t="s">
        <v>203</v>
      </c>
      <c r="QTV11" s="314" t="s">
        <v>203</v>
      </c>
      <c r="QTW11" s="314" t="s">
        <v>203</v>
      </c>
      <c r="QTX11" s="314" t="s">
        <v>203</v>
      </c>
      <c r="QTY11" s="314" t="s">
        <v>203</v>
      </c>
      <c r="QTZ11" s="314" t="s">
        <v>203</v>
      </c>
      <c r="QUA11" s="314" t="s">
        <v>203</v>
      </c>
      <c r="QUB11" s="314" t="s">
        <v>203</v>
      </c>
      <c r="QUC11" s="314" t="s">
        <v>203</v>
      </c>
      <c r="QUD11" s="314" t="s">
        <v>203</v>
      </c>
      <c r="QUE11" s="314" t="s">
        <v>203</v>
      </c>
      <c r="QUF11" s="314" t="s">
        <v>203</v>
      </c>
      <c r="QUG11" s="314" t="s">
        <v>203</v>
      </c>
      <c r="QUH11" s="314" t="s">
        <v>203</v>
      </c>
      <c r="QUI11" s="314" t="s">
        <v>203</v>
      </c>
      <c r="QUJ11" s="314" t="s">
        <v>203</v>
      </c>
      <c r="QUK11" s="314" t="s">
        <v>203</v>
      </c>
      <c r="QUL11" s="314" t="s">
        <v>203</v>
      </c>
      <c r="QUM11" s="314" t="s">
        <v>203</v>
      </c>
      <c r="QUN11" s="314" t="s">
        <v>203</v>
      </c>
      <c r="QUO11" s="314" t="s">
        <v>203</v>
      </c>
      <c r="QUP11" s="314" t="s">
        <v>203</v>
      </c>
      <c r="QUQ11" s="314" t="s">
        <v>203</v>
      </c>
      <c r="QUR11" s="314" t="s">
        <v>203</v>
      </c>
      <c r="QUS11" s="314" t="s">
        <v>203</v>
      </c>
      <c r="QUT11" s="314" t="s">
        <v>203</v>
      </c>
      <c r="QUU11" s="314" t="s">
        <v>203</v>
      </c>
      <c r="QUV11" s="314" t="s">
        <v>203</v>
      </c>
      <c r="QUW11" s="314" t="s">
        <v>203</v>
      </c>
      <c r="QUX11" s="314" t="s">
        <v>203</v>
      </c>
      <c r="QUY11" s="314" t="s">
        <v>203</v>
      </c>
      <c r="QUZ11" s="314" t="s">
        <v>203</v>
      </c>
      <c r="QVA11" s="314" t="s">
        <v>203</v>
      </c>
      <c r="QVB11" s="314" t="s">
        <v>203</v>
      </c>
      <c r="QVC11" s="314" t="s">
        <v>203</v>
      </c>
      <c r="QVD11" s="314" t="s">
        <v>203</v>
      </c>
      <c r="QVE11" s="314" t="s">
        <v>203</v>
      </c>
      <c r="QVF11" s="314" t="s">
        <v>203</v>
      </c>
      <c r="QVG11" s="314" t="s">
        <v>203</v>
      </c>
      <c r="QVH11" s="314" t="s">
        <v>203</v>
      </c>
      <c r="QVI11" s="314" t="s">
        <v>203</v>
      </c>
      <c r="QVJ11" s="314" t="s">
        <v>203</v>
      </c>
      <c r="QVK11" s="314" t="s">
        <v>203</v>
      </c>
      <c r="QVL11" s="314" t="s">
        <v>203</v>
      </c>
      <c r="QVM11" s="314" t="s">
        <v>203</v>
      </c>
      <c r="QVN11" s="314" t="s">
        <v>203</v>
      </c>
      <c r="QVO11" s="314" t="s">
        <v>203</v>
      </c>
      <c r="QVP11" s="314" t="s">
        <v>203</v>
      </c>
      <c r="QVQ11" s="314" t="s">
        <v>203</v>
      </c>
      <c r="QVR11" s="314" t="s">
        <v>203</v>
      </c>
      <c r="QVS11" s="314" t="s">
        <v>203</v>
      </c>
      <c r="QVT11" s="314" t="s">
        <v>203</v>
      </c>
      <c r="QVU11" s="314" t="s">
        <v>203</v>
      </c>
      <c r="QVV11" s="314" t="s">
        <v>203</v>
      </c>
      <c r="QVW11" s="314" t="s">
        <v>203</v>
      </c>
      <c r="QVX11" s="314" t="s">
        <v>203</v>
      </c>
      <c r="QVY11" s="314" t="s">
        <v>203</v>
      </c>
      <c r="QVZ11" s="314" t="s">
        <v>203</v>
      </c>
      <c r="QWA11" s="314" t="s">
        <v>203</v>
      </c>
      <c r="QWB11" s="314" t="s">
        <v>203</v>
      </c>
      <c r="QWC11" s="314" t="s">
        <v>203</v>
      </c>
      <c r="QWD11" s="314" t="s">
        <v>203</v>
      </c>
      <c r="QWE11" s="314" t="s">
        <v>203</v>
      </c>
      <c r="QWF11" s="314" t="s">
        <v>203</v>
      </c>
      <c r="QWG11" s="314" t="s">
        <v>203</v>
      </c>
      <c r="QWH11" s="314" t="s">
        <v>203</v>
      </c>
      <c r="QWI11" s="314" t="s">
        <v>203</v>
      </c>
      <c r="QWJ11" s="314" t="s">
        <v>203</v>
      </c>
      <c r="QWK11" s="314" t="s">
        <v>203</v>
      </c>
      <c r="QWL11" s="314" t="s">
        <v>203</v>
      </c>
      <c r="QWM11" s="314" t="s">
        <v>203</v>
      </c>
      <c r="QWN11" s="314" t="s">
        <v>203</v>
      </c>
      <c r="QWO11" s="314" t="s">
        <v>203</v>
      </c>
      <c r="QWP11" s="314" t="s">
        <v>203</v>
      </c>
      <c r="QWQ11" s="314" t="s">
        <v>203</v>
      </c>
      <c r="QWR11" s="314" t="s">
        <v>203</v>
      </c>
      <c r="QWS11" s="314" t="s">
        <v>203</v>
      </c>
      <c r="QWT11" s="314" t="s">
        <v>203</v>
      </c>
      <c r="QWU11" s="314" t="s">
        <v>203</v>
      </c>
      <c r="QWV11" s="314" t="s">
        <v>203</v>
      </c>
      <c r="QWW11" s="314" t="s">
        <v>203</v>
      </c>
      <c r="QWX11" s="314" t="s">
        <v>203</v>
      </c>
      <c r="QWY11" s="314" t="s">
        <v>203</v>
      </c>
      <c r="QWZ11" s="314" t="s">
        <v>203</v>
      </c>
      <c r="QXA11" s="314" t="s">
        <v>203</v>
      </c>
      <c r="QXB11" s="314" t="s">
        <v>203</v>
      </c>
      <c r="QXC11" s="314" t="s">
        <v>203</v>
      </c>
      <c r="QXD11" s="314" t="s">
        <v>203</v>
      </c>
      <c r="QXE11" s="314" t="s">
        <v>203</v>
      </c>
      <c r="QXF11" s="314" t="s">
        <v>203</v>
      </c>
      <c r="QXG11" s="314" t="s">
        <v>203</v>
      </c>
      <c r="QXH11" s="314" t="s">
        <v>203</v>
      </c>
      <c r="QXI11" s="314" t="s">
        <v>203</v>
      </c>
      <c r="QXJ11" s="314" t="s">
        <v>203</v>
      </c>
      <c r="QXK11" s="314" t="s">
        <v>203</v>
      </c>
      <c r="QXL11" s="314" t="s">
        <v>203</v>
      </c>
      <c r="QXM11" s="314" t="s">
        <v>203</v>
      </c>
      <c r="QXN11" s="314" t="s">
        <v>203</v>
      </c>
      <c r="QXO11" s="314" t="s">
        <v>203</v>
      </c>
      <c r="QXP11" s="314" t="s">
        <v>203</v>
      </c>
      <c r="QXQ11" s="314" t="s">
        <v>203</v>
      </c>
      <c r="QXR11" s="314" t="s">
        <v>203</v>
      </c>
      <c r="QXS11" s="314" t="s">
        <v>203</v>
      </c>
      <c r="QXT11" s="314" t="s">
        <v>203</v>
      </c>
      <c r="QXU11" s="314" t="s">
        <v>203</v>
      </c>
      <c r="QXV11" s="314" t="s">
        <v>203</v>
      </c>
      <c r="QXW11" s="314" t="s">
        <v>203</v>
      </c>
      <c r="QXX11" s="314" t="s">
        <v>203</v>
      </c>
      <c r="QXY11" s="314" t="s">
        <v>203</v>
      </c>
      <c r="QXZ11" s="314" t="s">
        <v>203</v>
      </c>
      <c r="QYA11" s="314" t="s">
        <v>203</v>
      </c>
      <c r="QYB11" s="314" t="s">
        <v>203</v>
      </c>
      <c r="QYC11" s="314" t="s">
        <v>203</v>
      </c>
      <c r="QYD11" s="314" t="s">
        <v>203</v>
      </c>
      <c r="QYE11" s="314" t="s">
        <v>203</v>
      </c>
      <c r="QYF11" s="314" t="s">
        <v>203</v>
      </c>
      <c r="QYG11" s="314" t="s">
        <v>203</v>
      </c>
      <c r="QYH11" s="314" t="s">
        <v>203</v>
      </c>
      <c r="QYI11" s="314" t="s">
        <v>203</v>
      </c>
      <c r="QYJ11" s="314" t="s">
        <v>203</v>
      </c>
      <c r="QYK11" s="314" t="s">
        <v>203</v>
      </c>
      <c r="QYL11" s="314" t="s">
        <v>203</v>
      </c>
      <c r="QYM11" s="314" t="s">
        <v>203</v>
      </c>
      <c r="QYN11" s="314" t="s">
        <v>203</v>
      </c>
      <c r="QYO11" s="314" t="s">
        <v>203</v>
      </c>
      <c r="QYP11" s="314" t="s">
        <v>203</v>
      </c>
      <c r="QYQ11" s="314" t="s">
        <v>203</v>
      </c>
      <c r="QYR11" s="314" t="s">
        <v>203</v>
      </c>
      <c r="QYS11" s="314" t="s">
        <v>203</v>
      </c>
      <c r="QYT11" s="314" t="s">
        <v>203</v>
      </c>
      <c r="QYU11" s="314" t="s">
        <v>203</v>
      </c>
      <c r="QYV11" s="314" t="s">
        <v>203</v>
      </c>
      <c r="QYW11" s="314" t="s">
        <v>203</v>
      </c>
      <c r="QYX11" s="314" t="s">
        <v>203</v>
      </c>
      <c r="QYY11" s="314" t="s">
        <v>203</v>
      </c>
      <c r="QYZ11" s="314" t="s">
        <v>203</v>
      </c>
      <c r="QZA11" s="314" t="s">
        <v>203</v>
      </c>
      <c r="QZB11" s="314" t="s">
        <v>203</v>
      </c>
      <c r="QZC11" s="314" t="s">
        <v>203</v>
      </c>
      <c r="QZD11" s="314" t="s">
        <v>203</v>
      </c>
      <c r="QZE11" s="314" t="s">
        <v>203</v>
      </c>
      <c r="QZF11" s="314" t="s">
        <v>203</v>
      </c>
      <c r="QZG11" s="314" t="s">
        <v>203</v>
      </c>
      <c r="QZH11" s="314" t="s">
        <v>203</v>
      </c>
      <c r="QZI11" s="314" t="s">
        <v>203</v>
      </c>
      <c r="QZJ11" s="314" t="s">
        <v>203</v>
      </c>
      <c r="QZK11" s="314" t="s">
        <v>203</v>
      </c>
      <c r="QZL11" s="314" t="s">
        <v>203</v>
      </c>
      <c r="QZM11" s="314" t="s">
        <v>203</v>
      </c>
      <c r="QZN11" s="314" t="s">
        <v>203</v>
      </c>
      <c r="QZO11" s="314" t="s">
        <v>203</v>
      </c>
      <c r="QZP11" s="314" t="s">
        <v>203</v>
      </c>
      <c r="QZQ11" s="314" t="s">
        <v>203</v>
      </c>
      <c r="QZR11" s="314" t="s">
        <v>203</v>
      </c>
      <c r="QZS11" s="314" t="s">
        <v>203</v>
      </c>
      <c r="QZT11" s="314" t="s">
        <v>203</v>
      </c>
      <c r="QZU11" s="314" t="s">
        <v>203</v>
      </c>
      <c r="QZV11" s="314" t="s">
        <v>203</v>
      </c>
      <c r="QZW11" s="314" t="s">
        <v>203</v>
      </c>
      <c r="QZX11" s="314" t="s">
        <v>203</v>
      </c>
      <c r="QZY11" s="314" t="s">
        <v>203</v>
      </c>
      <c r="QZZ11" s="314" t="s">
        <v>203</v>
      </c>
      <c r="RAA11" s="314" t="s">
        <v>203</v>
      </c>
      <c r="RAB11" s="314" t="s">
        <v>203</v>
      </c>
      <c r="RAC11" s="314" t="s">
        <v>203</v>
      </c>
      <c r="RAD11" s="314" t="s">
        <v>203</v>
      </c>
      <c r="RAE11" s="314" t="s">
        <v>203</v>
      </c>
      <c r="RAF11" s="314" t="s">
        <v>203</v>
      </c>
      <c r="RAG11" s="314" t="s">
        <v>203</v>
      </c>
      <c r="RAH11" s="314" t="s">
        <v>203</v>
      </c>
      <c r="RAI11" s="314" t="s">
        <v>203</v>
      </c>
      <c r="RAJ11" s="314" t="s">
        <v>203</v>
      </c>
      <c r="RAK11" s="314" t="s">
        <v>203</v>
      </c>
      <c r="RAL11" s="314" t="s">
        <v>203</v>
      </c>
      <c r="RAM11" s="314" t="s">
        <v>203</v>
      </c>
      <c r="RAN11" s="314" t="s">
        <v>203</v>
      </c>
      <c r="RAO11" s="314" t="s">
        <v>203</v>
      </c>
      <c r="RAP11" s="314" t="s">
        <v>203</v>
      </c>
      <c r="RAQ11" s="314" t="s">
        <v>203</v>
      </c>
      <c r="RAR11" s="314" t="s">
        <v>203</v>
      </c>
      <c r="RAS11" s="314" t="s">
        <v>203</v>
      </c>
      <c r="RAT11" s="314" t="s">
        <v>203</v>
      </c>
      <c r="RAU11" s="314" t="s">
        <v>203</v>
      </c>
      <c r="RAV11" s="314" t="s">
        <v>203</v>
      </c>
      <c r="RAW11" s="314" t="s">
        <v>203</v>
      </c>
      <c r="RAX11" s="314" t="s">
        <v>203</v>
      </c>
      <c r="RAY11" s="314" t="s">
        <v>203</v>
      </c>
      <c r="RAZ11" s="314" t="s">
        <v>203</v>
      </c>
      <c r="RBA11" s="314" t="s">
        <v>203</v>
      </c>
      <c r="RBB11" s="314" t="s">
        <v>203</v>
      </c>
      <c r="RBC11" s="314" t="s">
        <v>203</v>
      </c>
      <c r="RBD11" s="314" t="s">
        <v>203</v>
      </c>
      <c r="RBE11" s="314" t="s">
        <v>203</v>
      </c>
      <c r="RBF11" s="314" t="s">
        <v>203</v>
      </c>
      <c r="RBG11" s="314" t="s">
        <v>203</v>
      </c>
      <c r="RBH11" s="314" t="s">
        <v>203</v>
      </c>
      <c r="RBI11" s="314" t="s">
        <v>203</v>
      </c>
      <c r="RBJ11" s="314" t="s">
        <v>203</v>
      </c>
      <c r="RBK11" s="314" t="s">
        <v>203</v>
      </c>
      <c r="RBL11" s="314" t="s">
        <v>203</v>
      </c>
      <c r="RBM11" s="314" t="s">
        <v>203</v>
      </c>
      <c r="RBN11" s="314" t="s">
        <v>203</v>
      </c>
      <c r="RBO11" s="314" t="s">
        <v>203</v>
      </c>
      <c r="RBP11" s="314" t="s">
        <v>203</v>
      </c>
      <c r="RBQ11" s="314" t="s">
        <v>203</v>
      </c>
      <c r="RBR11" s="314" t="s">
        <v>203</v>
      </c>
      <c r="RBS11" s="314" t="s">
        <v>203</v>
      </c>
      <c r="RBT11" s="314" t="s">
        <v>203</v>
      </c>
      <c r="RBU11" s="314" t="s">
        <v>203</v>
      </c>
      <c r="RBV11" s="314" t="s">
        <v>203</v>
      </c>
      <c r="RBW11" s="314" t="s">
        <v>203</v>
      </c>
      <c r="RBX11" s="314" t="s">
        <v>203</v>
      </c>
      <c r="RBY11" s="314" t="s">
        <v>203</v>
      </c>
      <c r="RBZ11" s="314" t="s">
        <v>203</v>
      </c>
      <c r="RCA11" s="314" t="s">
        <v>203</v>
      </c>
      <c r="RCB11" s="314" t="s">
        <v>203</v>
      </c>
      <c r="RCC11" s="314" t="s">
        <v>203</v>
      </c>
      <c r="RCD11" s="314" t="s">
        <v>203</v>
      </c>
      <c r="RCE11" s="314" t="s">
        <v>203</v>
      </c>
      <c r="RCF11" s="314" t="s">
        <v>203</v>
      </c>
      <c r="RCG11" s="314" t="s">
        <v>203</v>
      </c>
      <c r="RCH11" s="314" t="s">
        <v>203</v>
      </c>
      <c r="RCI11" s="314" t="s">
        <v>203</v>
      </c>
      <c r="RCJ11" s="314" t="s">
        <v>203</v>
      </c>
      <c r="RCK11" s="314" t="s">
        <v>203</v>
      </c>
      <c r="RCL11" s="314" t="s">
        <v>203</v>
      </c>
      <c r="RCM11" s="314" t="s">
        <v>203</v>
      </c>
      <c r="RCN11" s="314" t="s">
        <v>203</v>
      </c>
      <c r="RCO11" s="314" t="s">
        <v>203</v>
      </c>
      <c r="RCP11" s="314" t="s">
        <v>203</v>
      </c>
      <c r="RCQ11" s="314" t="s">
        <v>203</v>
      </c>
      <c r="RCR11" s="314" t="s">
        <v>203</v>
      </c>
      <c r="RCS11" s="314" t="s">
        <v>203</v>
      </c>
      <c r="RCT11" s="314" t="s">
        <v>203</v>
      </c>
      <c r="RCU11" s="314" t="s">
        <v>203</v>
      </c>
      <c r="RCV11" s="314" t="s">
        <v>203</v>
      </c>
      <c r="RCW11" s="314" t="s">
        <v>203</v>
      </c>
      <c r="RCX11" s="314" t="s">
        <v>203</v>
      </c>
      <c r="RCY11" s="314" t="s">
        <v>203</v>
      </c>
      <c r="RCZ11" s="314" t="s">
        <v>203</v>
      </c>
      <c r="RDA11" s="314" t="s">
        <v>203</v>
      </c>
      <c r="RDB11" s="314" t="s">
        <v>203</v>
      </c>
      <c r="RDC11" s="314" t="s">
        <v>203</v>
      </c>
      <c r="RDD11" s="314" t="s">
        <v>203</v>
      </c>
      <c r="RDE11" s="314" t="s">
        <v>203</v>
      </c>
      <c r="RDF11" s="314" t="s">
        <v>203</v>
      </c>
      <c r="RDG11" s="314" t="s">
        <v>203</v>
      </c>
      <c r="RDH11" s="314" t="s">
        <v>203</v>
      </c>
      <c r="RDI11" s="314" t="s">
        <v>203</v>
      </c>
      <c r="RDJ11" s="314" t="s">
        <v>203</v>
      </c>
      <c r="RDK11" s="314" t="s">
        <v>203</v>
      </c>
      <c r="RDL11" s="314" t="s">
        <v>203</v>
      </c>
      <c r="RDM11" s="314" t="s">
        <v>203</v>
      </c>
      <c r="RDN11" s="314" t="s">
        <v>203</v>
      </c>
      <c r="RDO11" s="314" t="s">
        <v>203</v>
      </c>
      <c r="RDP11" s="314" t="s">
        <v>203</v>
      </c>
      <c r="RDQ11" s="314" t="s">
        <v>203</v>
      </c>
      <c r="RDR11" s="314" t="s">
        <v>203</v>
      </c>
      <c r="RDS11" s="314" t="s">
        <v>203</v>
      </c>
      <c r="RDT11" s="314" t="s">
        <v>203</v>
      </c>
      <c r="RDU11" s="314" t="s">
        <v>203</v>
      </c>
      <c r="RDV11" s="314" t="s">
        <v>203</v>
      </c>
      <c r="RDW11" s="314" t="s">
        <v>203</v>
      </c>
      <c r="RDX11" s="314" t="s">
        <v>203</v>
      </c>
      <c r="RDY11" s="314" t="s">
        <v>203</v>
      </c>
      <c r="RDZ11" s="314" t="s">
        <v>203</v>
      </c>
      <c r="REA11" s="314" t="s">
        <v>203</v>
      </c>
      <c r="REB11" s="314" t="s">
        <v>203</v>
      </c>
      <c r="REC11" s="314" t="s">
        <v>203</v>
      </c>
      <c r="RED11" s="314" t="s">
        <v>203</v>
      </c>
      <c r="REE11" s="314" t="s">
        <v>203</v>
      </c>
      <c r="REF11" s="314" t="s">
        <v>203</v>
      </c>
      <c r="REG11" s="314" t="s">
        <v>203</v>
      </c>
      <c r="REH11" s="314" t="s">
        <v>203</v>
      </c>
      <c r="REI11" s="314" t="s">
        <v>203</v>
      </c>
      <c r="REJ11" s="314" t="s">
        <v>203</v>
      </c>
      <c r="REK11" s="314" t="s">
        <v>203</v>
      </c>
      <c r="REL11" s="314" t="s">
        <v>203</v>
      </c>
      <c r="REM11" s="314" t="s">
        <v>203</v>
      </c>
      <c r="REN11" s="314" t="s">
        <v>203</v>
      </c>
      <c r="REO11" s="314" t="s">
        <v>203</v>
      </c>
      <c r="REP11" s="314" t="s">
        <v>203</v>
      </c>
      <c r="REQ11" s="314" t="s">
        <v>203</v>
      </c>
      <c r="RER11" s="314" t="s">
        <v>203</v>
      </c>
      <c r="RES11" s="314" t="s">
        <v>203</v>
      </c>
      <c r="RET11" s="314" t="s">
        <v>203</v>
      </c>
      <c r="REU11" s="314" t="s">
        <v>203</v>
      </c>
      <c r="REV11" s="314" t="s">
        <v>203</v>
      </c>
      <c r="REW11" s="314" t="s">
        <v>203</v>
      </c>
      <c r="REX11" s="314" t="s">
        <v>203</v>
      </c>
      <c r="REY11" s="314" t="s">
        <v>203</v>
      </c>
      <c r="REZ11" s="314" t="s">
        <v>203</v>
      </c>
      <c r="RFA11" s="314" t="s">
        <v>203</v>
      </c>
      <c r="RFB11" s="314" t="s">
        <v>203</v>
      </c>
      <c r="RFC11" s="314" t="s">
        <v>203</v>
      </c>
      <c r="RFD11" s="314" t="s">
        <v>203</v>
      </c>
      <c r="RFE11" s="314" t="s">
        <v>203</v>
      </c>
      <c r="RFF11" s="314" t="s">
        <v>203</v>
      </c>
      <c r="RFG11" s="314" t="s">
        <v>203</v>
      </c>
      <c r="RFH11" s="314" t="s">
        <v>203</v>
      </c>
      <c r="RFI11" s="314" t="s">
        <v>203</v>
      </c>
      <c r="RFJ11" s="314" t="s">
        <v>203</v>
      </c>
      <c r="RFK11" s="314" t="s">
        <v>203</v>
      </c>
      <c r="RFL11" s="314" t="s">
        <v>203</v>
      </c>
      <c r="RFM11" s="314" t="s">
        <v>203</v>
      </c>
      <c r="RFN11" s="314" t="s">
        <v>203</v>
      </c>
      <c r="RFO11" s="314" t="s">
        <v>203</v>
      </c>
      <c r="RFP11" s="314" t="s">
        <v>203</v>
      </c>
      <c r="RFQ11" s="314" t="s">
        <v>203</v>
      </c>
      <c r="RFR11" s="314" t="s">
        <v>203</v>
      </c>
      <c r="RFS11" s="314" t="s">
        <v>203</v>
      </c>
      <c r="RFT11" s="314" t="s">
        <v>203</v>
      </c>
      <c r="RFU11" s="314" t="s">
        <v>203</v>
      </c>
      <c r="RFV11" s="314" t="s">
        <v>203</v>
      </c>
      <c r="RFW11" s="314" t="s">
        <v>203</v>
      </c>
      <c r="RFX11" s="314" t="s">
        <v>203</v>
      </c>
      <c r="RFY11" s="314" t="s">
        <v>203</v>
      </c>
      <c r="RFZ11" s="314" t="s">
        <v>203</v>
      </c>
      <c r="RGA11" s="314" t="s">
        <v>203</v>
      </c>
      <c r="RGB11" s="314" t="s">
        <v>203</v>
      </c>
      <c r="RGC11" s="314" t="s">
        <v>203</v>
      </c>
      <c r="RGD11" s="314" t="s">
        <v>203</v>
      </c>
      <c r="RGE11" s="314" t="s">
        <v>203</v>
      </c>
      <c r="RGF11" s="314" t="s">
        <v>203</v>
      </c>
      <c r="RGG11" s="314" t="s">
        <v>203</v>
      </c>
      <c r="RGH11" s="314" t="s">
        <v>203</v>
      </c>
      <c r="RGI11" s="314" t="s">
        <v>203</v>
      </c>
      <c r="RGJ11" s="314" t="s">
        <v>203</v>
      </c>
      <c r="RGK11" s="314" t="s">
        <v>203</v>
      </c>
      <c r="RGL11" s="314" t="s">
        <v>203</v>
      </c>
      <c r="RGM11" s="314" t="s">
        <v>203</v>
      </c>
      <c r="RGN11" s="314" t="s">
        <v>203</v>
      </c>
      <c r="RGO11" s="314" t="s">
        <v>203</v>
      </c>
      <c r="RGP11" s="314" t="s">
        <v>203</v>
      </c>
      <c r="RGQ11" s="314" t="s">
        <v>203</v>
      </c>
      <c r="RGR11" s="314" t="s">
        <v>203</v>
      </c>
      <c r="RGS11" s="314" t="s">
        <v>203</v>
      </c>
      <c r="RGT11" s="314" t="s">
        <v>203</v>
      </c>
      <c r="RGU11" s="314" t="s">
        <v>203</v>
      </c>
      <c r="RGV11" s="314" t="s">
        <v>203</v>
      </c>
      <c r="RGW11" s="314" t="s">
        <v>203</v>
      </c>
      <c r="RGX11" s="314" t="s">
        <v>203</v>
      </c>
      <c r="RGY11" s="314" t="s">
        <v>203</v>
      </c>
      <c r="RGZ11" s="314" t="s">
        <v>203</v>
      </c>
      <c r="RHA11" s="314" t="s">
        <v>203</v>
      </c>
      <c r="RHB11" s="314" t="s">
        <v>203</v>
      </c>
      <c r="RHC11" s="314" t="s">
        <v>203</v>
      </c>
      <c r="RHD11" s="314" t="s">
        <v>203</v>
      </c>
      <c r="RHE11" s="314" t="s">
        <v>203</v>
      </c>
      <c r="RHF11" s="314" t="s">
        <v>203</v>
      </c>
      <c r="RHG11" s="314" t="s">
        <v>203</v>
      </c>
      <c r="RHH11" s="314" t="s">
        <v>203</v>
      </c>
      <c r="RHI11" s="314" t="s">
        <v>203</v>
      </c>
      <c r="RHJ11" s="314" t="s">
        <v>203</v>
      </c>
      <c r="RHK11" s="314" t="s">
        <v>203</v>
      </c>
      <c r="RHL11" s="314" t="s">
        <v>203</v>
      </c>
      <c r="RHM11" s="314" t="s">
        <v>203</v>
      </c>
      <c r="RHN11" s="314" t="s">
        <v>203</v>
      </c>
      <c r="RHO11" s="314" t="s">
        <v>203</v>
      </c>
      <c r="RHP11" s="314" t="s">
        <v>203</v>
      </c>
      <c r="RHQ11" s="314" t="s">
        <v>203</v>
      </c>
      <c r="RHR11" s="314" t="s">
        <v>203</v>
      </c>
      <c r="RHS11" s="314" t="s">
        <v>203</v>
      </c>
      <c r="RHT11" s="314" t="s">
        <v>203</v>
      </c>
      <c r="RHU11" s="314" t="s">
        <v>203</v>
      </c>
      <c r="RHV11" s="314" t="s">
        <v>203</v>
      </c>
      <c r="RHW11" s="314" t="s">
        <v>203</v>
      </c>
      <c r="RHX11" s="314" t="s">
        <v>203</v>
      </c>
      <c r="RHY11" s="314" t="s">
        <v>203</v>
      </c>
      <c r="RHZ11" s="314" t="s">
        <v>203</v>
      </c>
      <c r="RIA11" s="314" t="s">
        <v>203</v>
      </c>
      <c r="RIB11" s="314" t="s">
        <v>203</v>
      </c>
      <c r="RIC11" s="314" t="s">
        <v>203</v>
      </c>
      <c r="RID11" s="314" t="s">
        <v>203</v>
      </c>
      <c r="RIE11" s="314" t="s">
        <v>203</v>
      </c>
      <c r="RIF11" s="314" t="s">
        <v>203</v>
      </c>
      <c r="RIG11" s="314" t="s">
        <v>203</v>
      </c>
      <c r="RIH11" s="314" t="s">
        <v>203</v>
      </c>
      <c r="RII11" s="314" t="s">
        <v>203</v>
      </c>
      <c r="RIJ11" s="314" t="s">
        <v>203</v>
      </c>
      <c r="RIK11" s="314" t="s">
        <v>203</v>
      </c>
      <c r="RIL11" s="314" t="s">
        <v>203</v>
      </c>
      <c r="RIM11" s="314" t="s">
        <v>203</v>
      </c>
      <c r="RIN11" s="314" t="s">
        <v>203</v>
      </c>
      <c r="RIO11" s="314" t="s">
        <v>203</v>
      </c>
      <c r="RIP11" s="314" t="s">
        <v>203</v>
      </c>
      <c r="RIQ11" s="314" t="s">
        <v>203</v>
      </c>
      <c r="RIR11" s="314" t="s">
        <v>203</v>
      </c>
      <c r="RIS11" s="314" t="s">
        <v>203</v>
      </c>
      <c r="RIT11" s="314" t="s">
        <v>203</v>
      </c>
      <c r="RIU11" s="314" t="s">
        <v>203</v>
      </c>
      <c r="RIV11" s="314" t="s">
        <v>203</v>
      </c>
      <c r="RIW11" s="314" t="s">
        <v>203</v>
      </c>
      <c r="RIX11" s="314" t="s">
        <v>203</v>
      </c>
      <c r="RIY11" s="314" t="s">
        <v>203</v>
      </c>
      <c r="RIZ11" s="314" t="s">
        <v>203</v>
      </c>
      <c r="RJA11" s="314" t="s">
        <v>203</v>
      </c>
      <c r="RJB11" s="314" t="s">
        <v>203</v>
      </c>
      <c r="RJC11" s="314" t="s">
        <v>203</v>
      </c>
      <c r="RJD11" s="314" t="s">
        <v>203</v>
      </c>
      <c r="RJE11" s="314" t="s">
        <v>203</v>
      </c>
      <c r="RJF11" s="314" t="s">
        <v>203</v>
      </c>
      <c r="RJG11" s="314" t="s">
        <v>203</v>
      </c>
      <c r="RJH11" s="314" t="s">
        <v>203</v>
      </c>
      <c r="RJI11" s="314" t="s">
        <v>203</v>
      </c>
      <c r="RJJ11" s="314" t="s">
        <v>203</v>
      </c>
      <c r="RJK11" s="314" t="s">
        <v>203</v>
      </c>
      <c r="RJL11" s="314" t="s">
        <v>203</v>
      </c>
      <c r="RJM11" s="314" t="s">
        <v>203</v>
      </c>
      <c r="RJN11" s="314" t="s">
        <v>203</v>
      </c>
      <c r="RJO11" s="314" t="s">
        <v>203</v>
      </c>
      <c r="RJP11" s="314" t="s">
        <v>203</v>
      </c>
      <c r="RJQ11" s="314" t="s">
        <v>203</v>
      </c>
      <c r="RJR11" s="314" t="s">
        <v>203</v>
      </c>
      <c r="RJS11" s="314" t="s">
        <v>203</v>
      </c>
      <c r="RJT11" s="314" t="s">
        <v>203</v>
      </c>
      <c r="RJU11" s="314" t="s">
        <v>203</v>
      </c>
      <c r="RJV11" s="314" t="s">
        <v>203</v>
      </c>
      <c r="RJW11" s="314" t="s">
        <v>203</v>
      </c>
      <c r="RJX11" s="314" t="s">
        <v>203</v>
      </c>
      <c r="RJY11" s="314" t="s">
        <v>203</v>
      </c>
      <c r="RJZ11" s="314" t="s">
        <v>203</v>
      </c>
      <c r="RKA11" s="314" t="s">
        <v>203</v>
      </c>
      <c r="RKB11" s="314" t="s">
        <v>203</v>
      </c>
      <c r="RKC11" s="314" t="s">
        <v>203</v>
      </c>
      <c r="RKD11" s="314" t="s">
        <v>203</v>
      </c>
      <c r="RKE11" s="314" t="s">
        <v>203</v>
      </c>
      <c r="RKF11" s="314" t="s">
        <v>203</v>
      </c>
      <c r="RKG11" s="314" t="s">
        <v>203</v>
      </c>
      <c r="RKH11" s="314" t="s">
        <v>203</v>
      </c>
      <c r="RKI11" s="314" t="s">
        <v>203</v>
      </c>
      <c r="RKJ11" s="314" t="s">
        <v>203</v>
      </c>
      <c r="RKK11" s="314" t="s">
        <v>203</v>
      </c>
      <c r="RKL11" s="314" t="s">
        <v>203</v>
      </c>
      <c r="RKM11" s="314" t="s">
        <v>203</v>
      </c>
      <c r="RKN11" s="314" t="s">
        <v>203</v>
      </c>
      <c r="RKO11" s="314" t="s">
        <v>203</v>
      </c>
      <c r="RKP11" s="314" t="s">
        <v>203</v>
      </c>
      <c r="RKQ11" s="314" t="s">
        <v>203</v>
      </c>
      <c r="RKR11" s="314" t="s">
        <v>203</v>
      </c>
      <c r="RKS11" s="314" t="s">
        <v>203</v>
      </c>
      <c r="RKT11" s="314" t="s">
        <v>203</v>
      </c>
      <c r="RKU11" s="314" t="s">
        <v>203</v>
      </c>
      <c r="RKV11" s="314" t="s">
        <v>203</v>
      </c>
      <c r="RKW11" s="314" t="s">
        <v>203</v>
      </c>
      <c r="RKX11" s="314" t="s">
        <v>203</v>
      </c>
      <c r="RKY11" s="314" t="s">
        <v>203</v>
      </c>
      <c r="RKZ11" s="314" t="s">
        <v>203</v>
      </c>
      <c r="RLA11" s="314" t="s">
        <v>203</v>
      </c>
      <c r="RLB11" s="314" t="s">
        <v>203</v>
      </c>
      <c r="RLC11" s="314" t="s">
        <v>203</v>
      </c>
      <c r="RLD11" s="314" t="s">
        <v>203</v>
      </c>
      <c r="RLE11" s="314" t="s">
        <v>203</v>
      </c>
      <c r="RLF11" s="314" t="s">
        <v>203</v>
      </c>
      <c r="RLG11" s="314" t="s">
        <v>203</v>
      </c>
      <c r="RLH11" s="314" t="s">
        <v>203</v>
      </c>
      <c r="RLI11" s="314" t="s">
        <v>203</v>
      </c>
      <c r="RLJ11" s="314" t="s">
        <v>203</v>
      </c>
      <c r="RLK11" s="314" t="s">
        <v>203</v>
      </c>
      <c r="RLL11" s="314" t="s">
        <v>203</v>
      </c>
      <c r="RLM11" s="314" t="s">
        <v>203</v>
      </c>
      <c r="RLN11" s="314" t="s">
        <v>203</v>
      </c>
      <c r="RLO11" s="314" t="s">
        <v>203</v>
      </c>
      <c r="RLP11" s="314" t="s">
        <v>203</v>
      </c>
      <c r="RLQ11" s="314" t="s">
        <v>203</v>
      </c>
      <c r="RLR11" s="314" t="s">
        <v>203</v>
      </c>
      <c r="RLS11" s="314" t="s">
        <v>203</v>
      </c>
      <c r="RLT11" s="314" t="s">
        <v>203</v>
      </c>
      <c r="RLU11" s="314" t="s">
        <v>203</v>
      </c>
      <c r="RLV11" s="314" t="s">
        <v>203</v>
      </c>
      <c r="RLW11" s="314" t="s">
        <v>203</v>
      </c>
      <c r="RLX11" s="314" t="s">
        <v>203</v>
      </c>
      <c r="RLY11" s="314" t="s">
        <v>203</v>
      </c>
      <c r="RLZ11" s="314" t="s">
        <v>203</v>
      </c>
      <c r="RMA11" s="314" t="s">
        <v>203</v>
      </c>
      <c r="RMB11" s="314" t="s">
        <v>203</v>
      </c>
      <c r="RMC11" s="314" t="s">
        <v>203</v>
      </c>
      <c r="RMD11" s="314" t="s">
        <v>203</v>
      </c>
      <c r="RME11" s="314" t="s">
        <v>203</v>
      </c>
      <c r="RMF11" s="314" t="s">
        <v>203</v>
      </c>
      <c r="RMG11" s="314" t="s">
        <v>203</v>
      </c>
      <c r="RMH11" s="314" t="s">
        <v>203</v>
      </c>
      <c r="RMI11" s="314" t="s">
        <v>203</v>
      </c>
      <c r="RMJ11" s="314" t="s">
        <v>203</v>
      </c>
      <c r="RMK11" s="314" t="s">
        <v>203</v>
      </c>
      <c r="RML11" s="314" t="s">
        <v>203</v>
      </c>
      <c r="RMM11" s="314" t="s">
        <v>203</v>
      </c>
      <c r="RMN11" s="314" t="s">
        <v>203</v>
      </c>
      <c r="RMO11" s="314" t="s">
        <v>203</v>
      </c>
      <c r="RMP11" s="314" t="s">
        <v>203</v>
      </c>
      <c r="RMQ11" s="314" t="s">
        <v>203</v>
      </c>
      <c r="RMR11" s="314" t="s">
        <v>203</v>
      </c>
      <c r="RMS11" s="314" t="s">
        <v>203</v>
      </c>
      <c r="RMT11" s="314" t="s">
        <v>203</v>
      </c>
      <c r="RMU11" s="314" t="s">
        <v>203</v>
      </c>
      <c r="RMV11" s="314" t="s">
        <v>203</v>
      </c>
      <c r="RMW11" s="314" t="s">
        <v>203</v>
      </c>
      <c r="RMX11" s="314" t="s">
        <v>203</v>
      </c>
      <c r="RMY11" s="314" t="s">
        <v>203</v>
      </c>
      <c r="RMZ11" s="314" t="s">
        <v>203</v>
      </c>
      <c r="RNA11" s="314" t="s">
        <v>203</v>
      </c>
      <c r="RNB11" s="314" t="s">
        <v>203</v>
      </c>
      <c r="RNC11" s="314" t="s">
        <v>203</v>
      </c>
      <c r="RND11" s="314" t="s">
        <v>203</v>
      </c>
      <c r="RNE11" s="314" t="s">
        <v>203</v>
      </c>
      <c r="RNF11" s="314" t="s">
        <v>203</v>
      </c>
      <c r="RNG11" s="314" t="s">
        <v>203</v>
      </c>
      <c r="RNH11" s="314" t="s">
        <v>203</v>
      </c>
      <c r="RNI11" s="314" t="s">
        <v>203</v>
      </c>
      <c r="RNJ11" s="314" t="s">
        <v>203</v>
      </c>
      <c r="RNK11" s="314" t="s">
        <v>203</v>
      </c>
      <c r="RNL11" s="314" t="s">
        <v>203</v>
      </c>
      <c r="RNM11" s="314" t="s">
        <v>203</v>
      </c>
      <c r="RNN11" s="314" t="s">
        <v>203</v>
      </c>
      <c r="RNO11" s="314" t="s">
        <v>203</v>
      </c>
      <c r="RNP11" s="314" t="s">
        <v>203</v>
      </c>
      <c r="RNQ11" s="314" t="s">
        <v>203</v>
      </c>
      <c r="RNR11" s="314" t="s">
        <v>203</v>
      </c>
      <c r="RNS11" s="314" t="s">
        <v>203</v>
      </c>
      <c r="RNT11" s="314" t="s">
        <v>203</v>
      </c>
      <c r="RNU11" s="314" t="s">
        <v>203</v>
      </c>
      <c r="RNV11" s="314" t="s">
        <v>203</v>
      </c>
      <c r="RNW11" s="314" t="s">
        <v>203</v>
      </c>
      <c r="RNX11" s="314" t="s">
        <v>203</v>
      </c>
      <c r="RNY11" s="314" t="s">
        <v>203</v>
      </c>
      <c r="RNZ11" s="314" t="s">
        <v>203</v>
      </c>
      <c r="ROA11" s="314" t="s">
        <v>203</v>
      </c>
      <c r="ROB11" s="314" t="s">
        <v>203</v>
      </c>
      <c r="ROC11" s="314" t="s">
        <v>203</v>
      </c>
      <c r="ROD11" s="314" t="s">
        <v>203</v>
      </c>
      <c r="ROE11" s="314" t="s">
        <v>203</v>
      </c>
      <c r="ROF11" s="314" t="s">
        <v>203</v>
      </c>
      <c r="ROG11" s="314" t="s">
        <v>203</v>
      </c>
      <c r="ROH11" s="314" t="s">
        <v>203</v>
      </c>
      <c r="ROI11" s="314" t="s">
        <v>203</v>
      </c>
      <c r="ROJ11" s="314" t="s">
        <v>203</v>
      </c>
      <c r="ROK11" s="314" t="s">
        <v>203</v>
      </c>
      <c r="ROL11" s="314" t="s">
        <v>203</v>
      </c>
      <c r="ROM11" s="314" t="s">
        <v>203</v>
      </c>
      <c r="RON11" s="314" t="s">
        <v>203</v>
      </c>
      <c r="ROO11" s="314" t="s">
        <v>203</v>
      </c>
      <c r="ROP11" s="314" t="s">
        <v>203</v>
      </c>
      <c r="ROQ11" s="314" t="s">
        <v>203</v>
      </c>
      <c r="ROR11" s="314" t="s">
        <v>203</v>
      </c>
      <c r="ROS11" s="314" t="s">
        <v>203</v>
      </c>
      <c r="ROT11" s="314" t="s">
        <v>203</v>
      </c>
      <c r="ROU11" s="314" t="s">
        <v>203</v>
      </c>
      <c r="ROV11" s="314" t="s">
        <v>203</v>
      </c>
      <c r="ROW11" s="314" t="s">
        <v>203</v>
      </c>
      <c r="ROX11" s="314" t="s">
        <v>203</v>
      </c>
      <c r="ROY11" s="314" t="s">
        <v>203</v>
      </c>
      <c r="ROZ11" s="314" t="s">
        <v>203</v>
      </c>
      <c r="RPA11" s="314" t="s">
        <v>203</v>
      </c>
      <c r="RPB11" s="314" t="s">
        <v>203</v>
      </c>
      <c r="RPC11" s="314" t="s">
        <v>203</v>
      </c>
      <c r="RPD11" s="314" t="s">
        <v>203</v>
      </c>
      <c r="RPE11" s="314" t="s">
        <v>203</v>
      </c>
      <c r="RPF11" s="314" t="s">
        <v>203</v>
      </c>
      <c r="RPG11" s="314" t="s">
        <v>203</v>
      </c>
      <c r="RPH11" s="314" t="s">
        <v>203</v>
      </c>
      <c r="RPI11" s="314" t="s">
        <v>203</v>
      </c>
      <c r="RPJ11" s="314" t="s">
        <v>203</v>
      </c>
      <c r="RPK11" s="314" t="s">
        <v>203</v>
      </c>
      <c r="RPL11" s="314" t="s">
        <v>203</v>
      </c>
      <c r="RPM11" s="314" t="s">
        <v>203</v>
      </c>
      <c r="RPN11" s="314" t="s">
        <v>203</v>
      </c>
      <c r="RPO11" s="314" t="s">
        <v>203</v>
      </c>
      <c r="RPP11" s="314" t="s">
        <v>203</v>
      </c>
      <c r="RPQ11" s="314" t="s">
        <v>203</v>
      </c>
      <c r="RPR11" s="314" t="s">
        <v>203</v>
      </c>
      <c r="RPS11" s="314" t="s">
        <v>203</v>
      </c>
      <c r="RPT11" s="314" t="s">
        <v>203</v>
      </c>
      <c r="RPU11" s="314" t="s">
        <v>203</v>
      </c>
      <c r="RPV11" s="314" t="s">
        <v>203</v>
      </c>
      <c r="RPW11" s="314" t="s">
        <v>203</v>
      </c>
      <c r="RPX11" s="314" t="s">
        <v>203</v>
      </c>
      <c r="RPY11" s="314" t="s">
        <v>203</v>
      </c>
      <c r="RPZ11" s="314" t="s">
        <v>203</v>
      </c>
      <c r="RQA11" s="314" t="s">
        <v>203</v>
      </c>
      <c r="RQB11" s="314" t="s">
        <v>203</v>
      </c>
      <c r="RQC11" s="314" t="s">
        <v>203</v>
      </c>
      <c r="RQD11" s="314" t="s">
        <v>203</v>
      </c>
      <c r="RQE11" s="314" t="s">
        <v>203</v>
      </c>
      <c r="RQF11" s="314" t="s">
        <v>203</v>
      </c>
      <c r="RQG11" s="314" t="s">
        <v>203</v>
      </c>
      <c r="RQH11" s="314" t="s">
        <v>203</v>
      </c>
      <c r="RQI11" s="314" t="s">
        <v>203</v>
      </c>
      <c r="RQJ11" s="314" t="s">
        <v>203</v>
      </c>
      <c r="RQK11" s="314" t="s">
        <v>203</v>
      </c>
      <c r="RQL11" s="314" t="s">
        <v>203</v>
      </c>
      <c r="RQM11" s="314" t="s">
        <v>203</v>
      </c>
      <c r="RQN11" s="314" t="s">
        <v>203</v>
      </c>
      <c r="RQO11" s="314" t="s">
        <v>203</v>
      </c>
      <c r="RQP11" s="314" t="s">
        <v>203</v>
      </c>
      <c r="RQQ11" s="314" t="s">
        <v>203</v>
      </c>
      <c r="RQR11" s="314" t="s">
        <v>203</v>
      </c>
      <c r="RQS11" s="314" t="s">
        <v>203</v>
      </c>
      <c r="RQT11" s="314" t="s">
        <v>203</v>
      </c>
      <c r="RQU11" s="314" t="s">
        <v>203</v>
      </c>
      <c r="RQV11" s="314" t="s">
        <v>203</v>
      </c>
      <c r="RQW11" s="314" t="s">
        <v>203</v>
      </c>
      <c r="RQX11" s="314" t="s">
        <v>203</v>
      </c>
      <c r="RQY11" s="314" t="s">
        <v>203</v>
      </c>
      <c r="RQZ11" s="314" t="s">
        <v>203</v>
      </c>
      <c r="RRA11" s="314" t="s">
        <v>203</v>
      </c>
      <c r="RRB11" s="314" t="s">
        <v>203</v>
      </c>
      <c r="RRC11" s="314" t="s">
        <v>203</v>
      </c>
      <c r="RRD11" s="314" t="s">
        <v>203</v>
      </c>
      <c r="RRE11" s="314" t="s">
        <v>203</v>
      </c>
      <c r="RRF11" s="314" t="s">
        <v>203</v>
      </c>
      <c r="RRG11" s="314" t="s">
        <v>203</v>
      </c>
      <c r="RRH11" s="314" t="s">
        <v>203</v>
      </c>
      <c r="RRI11" s="314" t="s">
        <v>203</v>
      </c>
      <c r="RRJ11" s="314" t="s">
        <v>203</v>
      </c>
      <c r="RRK11" s="314" t="s">
        <v>203</v>
      </c>
      <c r="RRL11" s="314" t="s">
        <v>203</v>
      </c>
      <c r="RRM11" s="314" t="s">
        <v>203</v>
      </c>
      <c r="RRN11" s="314" t="s">
        <v>203</v>
      </c>
      <c r="RRO11" s="314" t="s">
        <v>203</v>
      </c>
      <c r="RRP11" s="314" t="s">
        <v>203</v>
      </c>
      <c r="RRQ11" s="314" t="s">
        <v>203</v>
      </c>
      <c r="RRR11" s="314" t="s">
        <v>203</v>
      </c>
      <c r="RRS11" s="314" t="s">
        <v>203</v>
      </c>
      <c r="RRT11" s="314" t="s">
        <v>203</v>
      </c>
      <c r="RRU11" s="314" t="s">
        <v>203</v>
      </c>
      <c r="RRV11" s="314" t="s">
        <v>203</v>
      </c>
      <c r="RRW11" s="314" t="s">
        <v>203</v>
      </c>
      <c r="RRX11" s="314" t="s">
        <v>203</v>
      </c>
      <c r="RRY11" s="314" t="s">
        <v>203</v>
      </c>
      <c r="RRZ11" s="314" t="s">
        <v>203</v>
      </c>
      <c r="RSA11" s="314" t="s">
        <v>203</v>
      </c>
      <c r="RSB11" s="314" t="s">
        <v>203</v>
      </c>
      <c r="RSC11" s="314" t="s">
        <v>203</v>
      </c>
      <c r="RSD11" s="314" t="s">
        <v>203</v>
      </c>
      <c r="RSE11" s="314" t="s">
        <v>203</v>
      </c>
      <c r="RSF11" s="314" t="s">
        <v>203</v>
      </c>
      <c r="RSG11" s="314" t="s">
        <v>203</v>
      </c>
      <c r="RSH11" s="314" t="s">
        <v>203</v>
      </c>
      <c r="RSI11" s="314" t="s">
        <v>203</v>
      </c>
      <c r="RSJ11" s="314" t="s">
        <v>203</v>
      </c>
      <c r="RSK11" s="314" t="s">
        <v>203</v>
      </c>
      <c r="RSL11" s="314" t="s">
        <v>203</v>
      </c>
      <c r="RSM11" s="314" t="s">
        <v>203</v>
      </c>
      <c r="RSN11" s="314" t="s">
        <v>203</v>
      </c>
      <c r="RSO11" s="314" t="s">
        <v>203</v>
      </c>
      <c r="RSP11" s="314" t="s">
        <v>203</v>
      </c>
      <c r="RSQ11" s="314" t="s">
        <v>203</v>
      </c>
      <c r="RSR11" s="314" t="s">
        <v>203</v>
      </c>
      <c r="RSS11" s="314" t="s">
        <v>203</v>
      </c>
      <c r="RST11" s="314" t="s">
        <v>203</v>
      </c>
      <c r="RSU11" s="314" t="s">
        <v>203</v>
      </c>
      <c r="RSV11" s="314" t="s">
        <v>203</v>
      </c>
      <c r="RSW11" s="314" t="s">
        <v>203</v>
      </c>
      <c r="RSX11" s="314" t="s">
        <v>203</v>
      </c>
      <c r="RSY11" s="314" t="s">
        <v>203</v>
      </c>
      <c r="RSZ11" s="314" t="s">
        <v>203</v>
      </c>
      <c r="RTA11" s="314" t="s">
        <v>203</v>
      </c>
      <c r="RTB11" s="314" t="s">
        <v>203</v>
      </c>
      <c r="RTC11" s="314" t="s">
        <v>203</v>
      </c>
      <c r="RTD11" s="314" t="s">
        <v>203</v>
      </c>
      <c r="RTE11" s="314" t="s">
        <v>203</v>
      </c>
      <c r="RTF11" s="314" t="s">
        <v>203</v>
      </c>
      <c r="RTG11" s="314" t="s">
        <v>203</v>
      </c>
      <c r="RTH11" s="314" t="s">
        <v>203</v>
      </c>
      <c r="RTI11" s="314" t="s">
        <v>203</v>
      </c>
      <c r="RTJ11" s="314" t="s">
        <v>203</v>
      </c>
      <c r="RTK11" s="314" t="s">
        <v>203</v>
      </c>
      <c r="RTL11" s="314" t="s">
        <v>203</v>
      </c>
      <c r="RTM11" s="314" t="s">
        <v>203</v>
      </c>
      <c r="RTN11" s="314" t="s">
        <v>203</v>
      </c>
      <c r="RTO11" s="314" t="s">
        <v>203</v>
      </c>
      <c r="RTP11" s="314" t="s">
        <v>203</v>
      </c>
      <c r="RTQ11" s="314" t="s">
        <v>203</v>
      </c>
      <c r="RTR11" s="314" t="s">
        <v>203</v>
      </c>
      <c r="RTS11" s="314" t="s">
        <v>203</v>
      </c>
      <c r="RTT11" s="314" t="s">
        <v>203</v>
      </c>
      <c r="RTU11" s="314" t="s">
        <v>203</v>
      </c>
      <c r="RTV11" s="314" t="s">
        <v>203</v>
      </c>
      <c r="RTW11" s="314" t="s">
        <v>203</v>
      </c>
      <c r="RTX11" s="314" t="s">
        <v>203</v>
      </c>
      <c r="RTY11" s="314" t="s">
        <v>203</v>
      </c>
      <c r="RTZ11" s="314" t="s">
        <v>203</v>
      </c>
      <c r="RUA11" s="314" t="s">
        <v>203</v>
      </c>
      <c r="RUB11" s="314" t="s">
        <v>203</v>
      </c>
      <c r="RUC11" s="314" t="s">
        <v>203</v>
      </c>
      <c r="RUD11" s="314" t="s">
        <v>203</v>
      </c>
      <c r="RUE11" s="314" t="s">
        <v>203</v>
      </c>
      <c r="RUF11" s="314" t="s">
        <v>203</v>
      </c>
      <c r="RUG11" s="314" t="s">
        <v>203</v>
      </c>
      <c r="RUH11" s="314" t="s">
        <v>203</v>
      </c>
      <c r="RUI11" s="314" t="s">
        <v>203</v>
      </c>
      <c r="RUJ11" s="314" t="s">
        <v>203</v>
      </c>
      <c r="RUK11" s="314" t="s">
        <v>203</v>
      </c>
      <c r="RUL11" s="314" t="s">
        <v>203</v>
      </c>
      <c r="RUM11" s="314" t="s">
        <v>203</v>
      </c>
      <c r="RUN11" s="314" t="s">
        <v>203</v>
      </c>
      <c r="RUO11" s="314" t="s">
        <v>203</v>
      </c>
      <c r="RUP11" s="314" t="s">
        <v>203</v>
      </c>
      <c r="RUQ11" s="314" t="s">
        <v>203</v>
      </c>
      <c r="RUR11" s="314" t="s">
        <v>203</v>
      </c>
      <c r="RUS11" s="314" t="s">
        <v>203</v>
      </c>
      <c r="RUT11" s="314" t="s">
        <v>203</v>
      </c>
      <c r="RUU11" s="314" t="s">
        <v>203</v>
      </c>
      <c r="RUV11" s="314" t="s">
        <v>203</v>
      </c>
      <c r="RUW11" s="314" t="s">
        <v>203</v>
      </c>
      <c r="RUX11" s="314" t="s">
        <v>203</v>
      </c>
      <c r="RUY11" s="314" t="s">
        <v>203</v>
      </c>
      <c r="RUZ11" s="314" t="s">
        <v>203</v>
      </c>
      <c r="RVA11" s="314" t="s">
        <v>203</v>
      </c>
      <c r="RVB11" s="314" t="s">
        <v>203</v>
      </c>
      <c r="RVC11" s="314" t="s">
        <v>203</v>
      </c>
      <c r="RVD11" s="314" t="s">
        <v>203</v>
      </c>
      <c r="RVE11" s="314" t="s">
        <v>203</v>
      </c>
      <c r="RVF11" s="314" t="s">
        <v>203</v>
      </c>
      <c r="RVG11" s="314" t="s">
        <v>203</v>
      </c>
      <c r="RVH11" s="314" t="s">
        <v>203</v>
      </c>
      <c r="RVI11" s="314" t="s">
        <v>203</v>
      </c>
      <c r="RVJ11" s="314" t="s">
        <v>203</v>
      </c>
      <c r="RVK11" s="314" t="s">
        <v>203</v>
      </c>
      <c r="RVL11" s="314" t="s">
        <v>203</v>
      </c>
      <c r="RVM11" s="314" t="s">
        <v>203</v>
      </c>
      <c r="RVN11" s="314" t="s">
        <v>203</v>
      </c>
      <c r="RVO11" s="314" t="s">
        <v>203</v>
      </c>
      <c r="RVP11" s="314" t="s">
        <v>203</v>
      </c>
      <c r="RVQ11" s="314" t="s">
        <v>203</v>
      </c>
      <c r="RVR11" s="314" t="s">
        <v>203</v>
      </c>
      <c r="RVS11" s="314" t="s">
        <v>203</v>
      </c>
      <c r="RVT11" s="314" t="s">
        <v>203</v>
      </c>
      <c r="RVU11" s="314" t="s">
        <v>203</v>
      </c>
      <c r="RVV11" s="314" t="s">
        <v>203</v>
      </c>
      <c r="RVW11" s="314" t="s">
        <v>203</v>
      </c>
      <c r="RVX11" s="314" t="s">
        <v>203</v>
      </c>
      <c r="RVY11" s="314" t="s">
        <v>203</v>
      </c>
      <c r="RVZ11" s="314" t="s">
        <v>203</v>
      </c>
      <c r="RWA11" s="314" t="s">
        <v>203</v>
      </c>
      <c r="RWB11" s="314" t="s">
        <v>203</v>
      </c>
      <c r="RWC11" s="314" t="s">
        <v>203</v>
      </c>
      <c r="RWD11" s="314" t="s">
        <v>203</v>
      </c>
      <c r="RWE11" s="314" t="s">
        <v>203</v>
      </c>
      <c r="RWF11" s="314" t="s">
        <v>203</v>
      </c>
      <c r="RWG11" s="314" t="s">
        <v>203</v>
      </c>
      <c r="RWH11" s="314" t="s">
        <v>203</v>
      </c>
      <c r="RWI11" s="314" t="s">
        <v>203</v>
      </c>
      <c r="RWJ11" s="314" t="s">
        <v>203</v>
      </c>
      <c r="RWK11" s="314" t="s">
        <v>203</v>
      </c>
      <c r="RWL11" s="314" t="s">
        <v>203</v>
      </c>
      <c r="RWM11" s="314" t="s">
        <v>203</v>
      </c>
      <c r="RWN11" s="314" t="s">
        <v>203</v>
      </c>
      <c r="RWO11" s="314" t="s">
        <v>203</v>
      </c>
      <c r="RWP11" s="314" t="s">
        <v>203</v>
      </c>
      <c r="RWQ11" s="314" t="s">
        <v>203</v>
      </c>
      <c r="RWR11" s="314" t="s">
        <v>203</v>
      </c>
      <c r="RWS11" s="314" t="s">
        <v>203</v>
      </c>
      <c r="RWT11" s="314" t="s">
        <v>203</v>
      </c>
      <c r="RWU11" s="314" t="s">
        <v>203</v>
      </c>
      <c r="RWV11" s="314" t="s">
        <v>203</v>
      </c>
      <c r="RWW11" s="314" t="s">
        <v>203</v>
      </c>
      <c r="RWX11" s="314" t="s">
        <v>203</v>
      </c>
      <c r="RWY11" s="314" t="s">
        <v>203</v>
      </c>
      <c r="RWZ11" s="314" t="s">
        <v>203</v>
      </c>
      <c r="RXA11" s="314" t="s">
        <v>203</v>
      </c>
      <c r="RXB11" s="314" t="s">
        <v>203</v>
      </c>
      <c r="RXC11" s="314" t="s">
        <v>203</v>
      </c>
      <c r="RXD11" s="314" t="s">
        <v>203</v>
      </c>
      <c r="RXE11" s="314" t="s">
        <v>203</v>
      </c>
      <c r="RXF11" s="314" t="s">
        <v>203</v>
      </c>
      <c r="RXG11" s="314" t="s">
        <v>203</v>
      </c>
      <c r="RXH11" s="314" t="s">
        <v>203</v>
      </c>
      <c r="RXI11" s="314" t="s">
        <v>203</v>
      </c>
      <c r="RXJ11" s="314" t="s">
        <v>203</v>
      </c>
      <c r="RXK11" s="314" t="s">
        <v>203</v>
      </c>
      <c r="RXL11" s="314" t="s">
        <v>203</v>
      </c>
      <c r="RXM11" s="314" t="s">
        <v>203</v>
      </c>
      <c r="RXN11" s="314" t="s">
        <v>203</v>
      </c>
      <c r="RXO11" s="314" t="s">
        <v>203</v>
      </c>
      <c r="RXP11" s="314" t="s">
        <v>203</v>
      </c>
      <c r="RXQ11" s="314" t="s">
        <v>203</v>
      </c>
      <c r="RXR11" s="314" t="s">
        <v>203</v>
      </c>
      <c r="RXS11" s="314" t="s">
        <v>203</v>
      </c>
      <c r="RXT11" s="314" t="s">
        <v>203</v>
      </c>
      <c r="RXU11" s="314" t="s">
        <v>203</v>
      </c>
      <c r="RXV11" s="314" t="s">
        <v>203</v>
      </c>
      <c r="RXW11" s="314" t="s">
        <v>203</v>
      </c>
      <c r="RXX11" s="314" t="s">
        <v>203</v>
      </c>
      <c r="RXY11" s="314" t="s">
        <v>203</v>
      </c>
      <c r="RXZ11" s="314" t="s">
        <v>203</v>
      </c>
      <c r="RYA11" s="314" t="s">
        <v>203</v>
      </c>
      <c r="RYB11" s="314" t="s">
        <v>203</v>
      </c>
      <c r="RYC11" s="314" t="s">
        <v>203</v>
      </c>
      <c r="RYD11" s="314" t="s">
        <v>203</v>
      </c>
      <c r="RYE11" s="314" t="s">
        <v>203</v>
      </c>
      <c r="RYF11" s="314" t="s">
        <v>203</v>
      </c>
      <c r="RYG11" s="314" t="s">
        <v>203</v>
      </c>
      <c r="RYH11" s="314" t="s">
        <v>203</v>
      </c>
      <c r="RYI11" s="314" t="s">
        <v>203</v>
      </c>
      <c r="RYJ11" s="314" t="s">
        <v>203</v>
      </c>
      <c r="RYK11" s="314" t="s">
        <v>203</v>
      </c>
      <c r="RYL11" s="314" t="s">
        <v>203</v>
      </c>
      <c r="RYM11" s="314" t="s">
        <v>203</v>
      </c>
      <c r="RYN11" s="314" t="s">
        <v>203</v>
      </c>
      <c r="RYO11" s="314" t="s">
        <v>203</v>
      </c>
      <c r="RYP11" s="314" t="s">
        <v>203</v>
      </c>
      <c r="RYQ11" s="314" t="s">
        <v>203</v>
      </c>
      <c r="RYR11" s="314" t="s">
        <v>203</v>
      </c>
      <c r="RYS11" s="314" t="s">
        <v>203</v>
      </c>
      <c r="RYT11" s="314" t="s">
        <v>203</v>
      </c>
      <c r="RYU11" s="314" t="s">
        <v>203</v>
      </c>
      <c r="RYV11" s="314" t="s">
        <v>203</v>
      </c>
      <c r="RYW11" s="314" t="s">
        <v>203</v>
      </c>
      <c r="RYX11" s="314" t="s">
        <v>203</v>
      </c>
      <c r="RYY11" s="314" t="s">
        <v>203</v>
      </c>
      <c r="RYZ11" s="314" t="s">
        <v>203</v>
      </c>
      <c r="RZA11" s="314" t="s">
        <v>203</v>
      </c>
      <c r="RZB11" s="314" t="s">
        <v>203</v>
      </c>
      <c r="RZC11" s="314" t="s">
        <v>203</v>
      </c>
      <c r="RZD11" s="314" t="s">
        <v>203</v>
      </c>
      <c r="RZE11" s="314" t="s">
        <v>203</v>
      </c>
      <c r="RZF11" s="314" t="s">
        <v>203</v>
      </c>
      <c r="RZG11" s="314" t="s">
        <v>203</v>
      </c>
      <c r="RZH11" s="314" t="s">
        <v>203</v>
      </c>
      <c r="RZI11" s="314" t="s">
        <v>203</v>
      </c>
      <c r="RZJ11" s="314" t="s">
        <v>203</v>
      </c>
      <c r="RZK11" s="314" t="s">
        <v>203</v>
      </c>
      <c r="RZL11" s="314" t="s">
        <v>203</v>
      </c>
      <c r="RZM11" s="314" t="s">
        <v>203</v>
      </c>
      <c r="RZN11" s="314" t="s">
        <v>203</v>
      </c>
      <c r="RZO11" s="314" t="s">
        <v>203</v>
      </c>
      <c r="RZP11" s="314" t="s">
        <v>203</v>
      </c>
      <c r="RZQ11" s="314" t="s">
        <v>203</v>
      </c>
      <c r="RZR11" s="314" t="s">
        <v>203</v>
      </c>
      <c r="RZS11" s="314" t="s">
        <v>203</v>
      </c>
      <c r="RZT11" s="314" t="s">
        <v>203</v>
      </c>
      <c r="RZU11" s="314" t="s">
        <v>203</v>
      </c>
      <c r="RZV11" s="314" t="s">
        <v>203</v>
      </c>
      <c r="RZW11" s="314" t="s">
        <v>203</v>
      </c>
      <c r="RZX11" s="314" t="s">
        <v>203</v>
      </c>
      <c r="RZY11" s="314" t="s">
        <v>203</v>
      </c>
      <c r="RZZ11" s="314" t="s">
        <v>203</v>
      </c>
      <c r="SAA11" s="314" t="s">
        <v>203</v>
      </c>
      <c r="SAB11" s="314" t="s">
        <v>203</v>
      </c>
      <c r="SAC11" s="314" t="s">
        <v>203</v>
      </c>
      <c r="SAD11" s="314" t="s">
        <v>203</v>
      </c>
      <c r="SAE11" s="314" t="s">
        <v>203</v>
      </c>
      <c r="SAF11" s="314" t="s">
        <v>203</v>
      </c>
      <c r="SAG11" s="314" t="s">
        <v>203</v>
      </c>
      <c r="SAH11" s="314" t="s">
        <v>203</v>
      </c>
      <c r="SAI11" s="314" t="s">
        <v>203</v>
      </c>
      <c r="SAJ11" s="314" t="s">
        <v>203</v>
      </c>
      <c r="SAK11" s="314" t="s">
        <v>203</v>
      </c>
      <c r="SAL11" s="314" t="s">
        <v>203</v>
      </c>
      <c r="SAM11" s="314" t="s">
        <v>203</v>
      </c>
      <c r="SAN11" s="314" t="s">
        <v>203</v>
      </c>
      <c r="SAO11" s="314" t="s">
        <v>203</v>
      </c>
      <c r="SAP11" s="314" t="s">
        <v>203</v>
      </c>
      <c r="SAQ11" s="314" t="s">
        <v>203</v>
      </c>
      <c r="SAR11" s="314" t="s">
        <v>203</v>
      </c>
      <c r="SAS11" s="314" t="s">
        <v>203</v>
      </c>
      <c r="SAT11" s="314" t="s">
        <v>203</v>
      </c>
      <c r="SAU11" s="314" t="s">
        <v>203</v>
      </c>
      <c r="SAV11" s="314" t="s">
        <v>203</v>
      </c>
      <c r="SAW11" s="314" t="s">
        <v>203</v>
      </c>
      <c r="SAX11" s="314" t="s">
        <v>203</v>
      </c>
      <c r="SAY11" s="314" t="s">
        <v>203</v>
      </c>
      <c r="SAZ11" s="314" t="s">
        <v>203</v>
      </c>
      <c r="SBA11" s="314" t="s">
        <v>203</v>
      </c>
      <c r="SBB11" s="314" t="s">
        <v>203</v>
      </c>
      <c r="SBC11" s="314" t="s">
        <v>203</v>
      </c>
      <c r="SBD11" s="314" t="s">
        <v>203</v>
      </c>
      <c r="SBE11" s="314" t="s">
        <v>203</v>
      </c>
      <c r="SBF11" s="314" t="s">
        <v>203</v>
      </c>
      <c r="SBG11" s="314" t="s">
        <v>203</v>
      </c>
      <c r="SBH11" s="314" t="s">
        <v>203</v>
      </c>
      <c r="SBI11" s="314" t="s">
        <v>203</v>
      </c>
      <c r="SBJ11" s="314" t="s">
        <v>203</v>
      </c>
      <c r="SBK11" s="314" t="s">
        <v>203</v>
      </c>
      <c r="SBL11" s="314" t="s">
        <v>203</v>
      </c>
      <c r="SBM11" s="314" t="s">
        <v>203</v>
      </c>
      <c r="SBN11" s="314" t="s">
        <v>203</v>
      </c>
      <c r="SBO11" s="314" t="s">
        <v>203</v>
      </c>
      <c r="SBP11" s="314" t="s">
        <v>203</v>
      </c>
      <c r="SBQ11" s="314" t="s">
        <v>203</v>
      </c>
      <c r="SBR11" s="314" t="s">
        <v>203</v>
      </c>
      <c r="SBS11" s="314" t="s">
        <v>203</v>
      </c>
      <c r="SBT11" s="314" t="s">
        <v>203</v>
      </c>
      <c r="SBU11" s="314" t="s">
        <v>203</v>
      </c>
      <c r="SBV11" s="314" t="s">
        <v>203</v>
      </c>
      <c r="SBW11" s="314" t="s">
        <v>203</v>
      </c>
      <c r="SBX11" s="314" t="s">
        <v>203</v>
      </c>
      <c r="SBY11" s="314" t="s">
        <v>203</v>
      </c>
      <c r="SBZ11" s="314" t="s">
        <v>203</v>
      </c>
      <c r="SCA11" s="314" t="s">
        <v>203</v>
      </c>
      <c r="SCB11" s="314" t="s">
        <v>203</v>
      </c>
      <c r="SCC11" s="314" t="s">
        <v>203</v>
      </c>
      <c r="SCD11" s="314" t="s">
        <v>203</v>
      </c>
      <c r="SCE11" s="314" t="s">
        <v>203</v>
      </c>
      <c r="SCF11" s="314" t="s">
        <v>203</v>
      </c>
      <c r="SCG11" s="314" t="s">
        <v>203</v>
      </c>
      <c r="SCH11" s="314" t="s">
        <v>203</v>
      </c>
      <c r="SCI11" s="314" t="s">
        <v>203</v>
      </c>
      <c r="SCJ11" s="314" t="s">
        <v>203</v>
      </c>
      <c r="SCK11" s="314" t="s">
        <v>203</v>
      </c>
      <c r="SCL11" s="314" t="s">
        <v>203</v>
      </c>
      <c r="SCM11" s="314" t="s">
        <v>203</v>
      </c>
      <c r="SCN11" s="314" t="s">
        <v>203</v>
      </c>
      <c r="SCO11" s="314" t="s">
        <v>203</v>
      </c>
      <c r="SCP11" s="314" t="s">
        <v>203</v>
      </c>
      <c r="SCQ11" s="314" t="s">
        <v>203</v>
      </c>
      <c r="SCR11" s="314" t="s">
        <v>203</v>
      </c>
      <c r="SCS11" s="314" t="s">
        <v>203</v>
      </c>
      <c r="SCT11" s="314" t="s">
        <v>203</v>
      </c>
      <c r="SCU11" s="314" t="s">
        <v>203</v>
      </c>
      <c r="SCV11" s="314" t="s">
        <v>203</v>
      </c>
      <c r="SCW11" s="314" t="s">
        <v>203</v>
      </c>
      <c r="SCX11" s="314" t="s">
        <v>203</v>
      </c>
      <c r="SCY11" s="314" t="s">
        <v>203</v>
      </c>
      <c r="SCZ11" s="314" t="s">
        <v>203</v>
      </c>
      <c r="SDA11" s="314" t="s">
        <v>203</v>
      </c>
      <c r="SDB11" s="314" t="s">
        <v>203</v>
      </c>
      <c r="SDC11" s="314" t="s">
        <v>203</v>
      </c>
      <c r="SDD11" s="314" t="s">
        <v>203</v>
      </c>
      <c r="SDE11" s="314" t="s">
        <v>203</v>
      </c>
      <c r="SDF11" s="314" t="s">
        <v>203</v>
      </c>
      <c r="SDG11" s="314" t="s">
        <v>203</v>
      </c>
      <c r="SDH11" s="314" t="s">
        <v>203</v>
      </c>
      <c r="SDI11" s="314" t="s">
        <v>203</v>
      </c>
      <c r="SDJ11" s="314" t="s">
        <v>203</v>
      </c>
      <c r="SDK11" s="314" t="s">
        <v>203</v>
      </c>
      <c r="SDL11" s="314" t="s">
        <v>203</v>
      </c>
      <c r="SDM11" s="314" t="s">
        <v>203</v>
      </c>
      <c r="SDN11" s="314" t="s">
        <v>203</v>
      </c>
      <c r="SDO11" s="314" t="s">
        <v>203</v>
      </c>
      <c r="SDP11" s="314" t="s">
        <v>203</v>
      </c>
      <c r="SDQ11" s="314" t="s">
        <v>203</v>
      </c>
      <c r="SDR11" s="314" t="s">
        <v>203</v>
      </c>
      <c r="SDS11" s="314" t="s">
        <v>203</v>
      </c>
      <c r="SDT11" s="314" t="s">
        <v>203</v>
      </c>
      <c r="SDU11" s="314" t="s">
        <v>203</v>
      </c>
      <c r="SDV11" s="314" t="s">
        <v>203</v>
      </c>
      <c r="SDW11" s="314" t="s">
        <v>203</v>
      </c>
      <c r="SDX11" s="314" t="s">
        <v>203</v>
      </c>
      <c r="SDY11" s="314" t="s">
        <v>203</v>
      </c>
      <c r="SDZ11" s="314" t="s">
        <v>203</v>
      </c>
      <c r="SEA11" s="314" t="s">
        <v>203</v>
      </c>
      <c r="SEB11" s="314" t="s">
        <v>203</v>
      </c>
      <c r="SEC11" s="314" t="s">
        <v>203</v>
      </c>
      <c r="SED11" s="314" t="s">
        <v>203</v>
      </c>
      <c r="SEE11" s="314" t="s">
        <v>203</v>
      </c>
      <c r="SEF11" s="314" t="s">
        <v>203</v>
      </c>
      <c r="SEG11" s="314" t="s">
        <v>203</v>
      </c>
      <c r="SEH11" s="314" t="s">
        <v>203</v>
      </c>
      <c r="SEI11" s="314" t="s">
        <v>203</v>
      </c>
      <c r="SEJ11" s="314" t="s">
        <v>203</v>
      </c>
      <c r="SEK11" s="314" t="s">
        <v>203</v>
      </c>
      <c r="SEL11" s="314" t="s">
        <v>203</v>
      </c>
      <c r="SEM11" s="314" t="s">
        <v>203</v>
      </c>
      <c r="SEN11" s="314" t="s">
        <v>203</v>
      </c>
      <c r="SEO11" s="314" t="s">
        <v>203</v>
      </c>
      <c r="SEP11" s="314" t="s">
        <v>203</v>
      </c>
      <c r="SEQ11" s="314" t="s">
        <v>203</v>
      </c>
      <c r="SER11" s="314" t="s">
        <v>203</v>
      </c>
      <c r="SES11" s="314" t="s">
        <v>203</v>
      </c>
      <c r="SET11" s="314" t="s">
        <v>203</v>
      </c>
      <c r="SEU11" s="314" t="s">
        <v>203</v>
      </c>
      <c r="SEV11" s="314" t="s">
        <v>203</v>
      </c>
      <c r="SEW11" s="314" t="s">
        <v>203</v>
      </c>
      <c r="SEX11" s="314" t="s">
        <v>203</v>
      </c>
      <c r="SEY11" s="314" t="s">
        <v>203</v>
      </c>
      <c r="SEZ11" s="314" t="s">
        <v>203</v>
      </c>
      <c r="SFA11" s="314" t="s">
        <v>203</v>
      </c>
      <c r="SFB11" s="314" t="s">
        <v>203</v>
      </c>
      <c r="SFC11" s="314" t="s">
        <v>203</v>
      </c>
      <c r="SFD11" s="314" t="s">
        <v>203</v>
      </c>
      <c r="SFE11" s="314" t="s">
        <v>203</v>
      </c>
      <c r="SFF11" s="314" t="s">
        <v>203</v>
      </c>
      <c r="SFG11" s="314" t="s">
        <v>203</v>
      </c>
      <c r="SFH11" s="314" t="s">
        <v>203</v>
      </c>
      <c r="SFI11" s="314" t="s">
        <v>203</v>
      </c>
      <c r="SFJ11" s="314" t="s">
        <v>203</v>
      </c>
      <c r="SFK11" s="314" t="s">
        <v>203</v>
      </c>
      <c r="SFL11" s="314" t="s">
        <v>203</v>
      </c>
      <c r="SFM11" s="314" t="s">
        <v>203</v>
      </c>
      <c r="SFN11" s="314" t="s">
        <v>203</v>
      </c>
      <c r="SFO11" s="314" t="s">
        <v>203</v>
      </c>
      <c r="SFP11" s="314" t="s">
        <v>203</v>
      </c>
      <c r="SFQ11" s="314" t="s">
        <v>203</v>
      </c>
      <c r="SFR11" s="314" t="s">
        <v>203</v>
      </c>
      <c r="SFS11" s="314" t="s">
        <v>203</v>
      </c>
      <c r="SFT11" s="314" t="s">
        <v>203</v>
      </c>
      <c r="SFU11" s="314" t="s">
        <v>203</v>
      </c>
      <c r="SFV11" s="314" t="s">
        <v>203</v>
      </c>
      <c r="SFW11" s="314" t="s">
        <v>203</v>
      </c>
      <c r="SFX11" s="314" t="s">
        <v>203</v>
      </c>
      <c r="SFY11" s="314" t="s">
        <v>203</v>
      </c>
      <c r="SFZ11" s="314" t="s">
        <v>203</v>
      </c>
      <c r="SGA11" s="314" t="s">
        <v>203</v>
      </c>
      <c r="SGB11" s="314" t="s">
        <v>203</v>
      </c>
      <c r="SGC11" s="314" t="s">
        <v>203</v>
      </c>
      <c r="SGD11" s="314" t="s">
        <v>203</v>
      </c>
      <c r="SGE11" s="314" t="s">
        <v>203</v>
      </c>
      <c r="SGF11" s="314" t="s">
        <v>203</v>
      </c>
      <c r="SGG11" s="314" t="s">
        <v>203</v>
      </c>
      <c r="SGH11" s="314" t="s">
        <v>203</v>
      </c>
      <c r="SGI11" s="314" t="s">
        <v>203</v>
      </c>
      <c r="SGJ11" s="314" t="s">
        <v>203</v>
      </c>
      <c r="SGK11" s="314" t="s">
        <v>203</v>
      </c>
      <c r="SGL11" s="314" t="s">
        <v>203</v>
      </c>
      <c r="SGM11" s="314" t="s">
        <v>203</v>
      </c>
      <c r="SGN11" s="314" t="s">
        <v>203</v>
      </c>
      <c r="SGO11" s="314" t="s">
        <v>203</v>
      </c>
      <c r="SGP11" s="314" t="s">
        <v>203</v>
      </c>
      <c r="SGQ11" s="314" t="s">
        <v>203</v>
      </c>
      <c r="SGR11" s="314" t="s">
        <v>203</v>
      </c>
      <c r="SGS11" s="314" t="s">
        <v>203</v>
      </c>
      <c r="SGT11" s="314" t="s">
        <v>203</v>
      </c>
      <c r="SGU11" s="314" t="s">
        <v>203</v>
      </c>
      <c r="SGV11" s="314" t="s">
        <v>203</v>
      </c>
      <c r="SGW11" s="314" t="s">
        <v>203</v>
      </c>
      <c r="SGX11" s="314" t="s">
        <v>203</v>
      </c>
      <c r="SGY11" s="314" t="s">
        <v>203</v>
      </c>
      <c r="SGZ11" s="314" t="s">
        <v>203</v>
      </c>
      <c r="SHA11" s="314" t="s">
        <v>203</v>
      </c>
      <c r="SHB11" s="314" t="s">
        <v>203</v>
      </c>
      <c r="SHC11" s="314" t="s">
        <v>203</v>
      </c>
      <c r="SHD11" s="314" t="s">
        <v>203</v>
      </c>
      <c r="SHE11" s="314" t="s">
        <v>203</v>
      </c>
      <c r="SHF11" s="314" t="s">
        <v>203</v>
      </c>
      <c r="SHG11" s="314" t="s">
        <v>203</v>
      </c>
      <c r="SHH11" s="314" t="s">
        <v>203</v>
      </c>
      <c r="SHI11" s="314" t="s">
        <v>203</v>
      </c>
      <c r="SHJ11" s="314" t="s">
        <v>203</v>
      </c>
      <c r="SHK11" s="314" t="s">
        <v>203</v>
      </c>
      <c r="SHL11" s="314" t="s">
        <v>203</v>
      </c>
      <c r="SHM11" s="314" t="s">
        <v>203</v>
      </c>
      <c r="SHN11" s="314" t="s">
        <v>203</v>
      </c>
      <c r="SHO11" s="314" t="s">
        <v>203</v>
      </c>
      <c r="SHP11" s="314" t="s">
        <v>203</v>
      </c>
      <c r="SHQ11" s="314" t="s">
        <v>203</v>
      </c>
      <c r="SHR11" s="314" t="s">
        <v>203</v>
      </c>
      <c r="SHS11" s="314" t="s">
        <v>203</v>
      </c>
      <c r="SHT11" s="314" t="s">
        <v>203</v>
      </c>
      <c r="SHU11" s="314" t="s">
        <v>203</v>
      </c>
      <c r="SHV11" s="314" t="s">
        <v>203</v>
      </c>
      <c r="SHW11" s="314" t="s">
        <v>203</v>
      </c>
      <c r="SHX11" s="314" t="s">
        <v>203</v>
      </c>
      <c r="SHY11" s="314" t="s">
        <v>203</v>
      </c>
      <c r="SHZ11" s="314" t="s">
        <v>203</v>
      </c>
      <c r="SIA11" s="314" t="s">
        <v>203</v>
      </c>
      <c r="SIB11" s="314" t="s">
        <v>203</v>
      </c>
      <c r="SIC11" s="314" t="s">
        <v>203</v>
      </c>
      <c r="SID11" s="314" t="s">
        <v>203</v>
      </c>
      <c r="SIE11" s="314" t="s">
        <v>203</v>
      </c>
      <c r="SIF11" s="314" t="s">
        <v>203</v>
      </c>
      <c r="SIG11" s="314" t="s">
        <v>203</v>
      </c>
      <c r="SIH11" s="314" t="s">
        <v>203</v>
      </c>
      <c r="SII11" s="314" t="s">
        <v>203</v>
      </c>
      <c r="SIJ11" s="314" t="s">
        <v>203</v>
      </c>
      <c r="SIK11" s="314" t="s">
        <v>203</v>
      </c>
      <c r="SIL11" s="314" t="s">
        <v>203</v>
      </c>
      <c r="SIM11" s="314" t="s">
        <v>203</v>
      </c>
      <c r="SIN11" s="314" t="s">
        <v>203</v>
      </c>
      <c r="SIO11" s="314" t="s">
        <v>203</v>
      </c>
      <c r="SIP11" s="314" t="s">
        <v>203</v>
      </c>
      <c r="SIQ11" s="314" t="s">
        <v>203</v>
      </c>
      <c r="SIR11" s="314" t="s">
        <v>203</v>
      </c>
      <c r="SIS11" s="314" t="s">
        <v>203</v>
      </c>
      <c r="SIT11" s="314" t="s">
        <v>203</v>
      </c>
      <c r="SIU11" s="314" t="s">
        <v>203</v>
      </c>
      <c r="SIV11" s="314" t="s">
        <v>203</v>
      </c>
      <c r="SIW11" s="314" t="s">
        <v>203</v>
      </c>
      <c r="SIX11" s="314" t="s">
        <v>203</v>
      </c>
      <c r="SIY11" s="314" t="s">
        <v>203</v>
      </c>
      <c r="SIZ11" s="314" t="s">
        <v>203</v>
      </c>
      <c r="SJA11" s="314" t="s">
        <v>203</v>
      </c>
      <c r="SJB11" s="314" t="s">
        <v>203</v>
      </c>
      <c r="SJC11" s="314" t="s">
        <v>203</v>
      </c>
      <c r="SJD11" s="314" t="s">
        <v>203</v>
      </c>
      <c r="SJE11" s="314" t="s">
        <v>203</v>
      </c>
      <c r="SJF11" s="314" t="s">
        <v>203</v>
      </c>
      <c r="SJG11" s="314" t="s">
        <v>203</v>
      </c>
      <c r="SJH11" s="314" t="s">
        <v>203</v>
      </c>
      <c r="SJI11" s="314" t="s">
        <v>203</v>
      </c>
      <c r="SJJ11" s="314" t="s">
        <v>203</v>
      </c>
      <c r="SJK11" s="314" t="s">
        <v>203</v>
      </c>
      <c r="SJL11" s="314" t="s">
        <v>203</v>
      </c>
      <c r="SJM11" s="314" t="s">
        <v>203</v>
      </c>
      <c r="SJN11" s="314" t="s">
        <v>203</v>
      </c>
      <c r="SJO11" s="314" t="s">
        <v>203</v>
      </c>
      <c r="SJP11" s="314" t="s">
        <v>203</v>
      </c>
      <c r="SJQ11" s="314" t="s">
        <v>203</v>
      </c>
      <c r="SJR11" s="314" t="s">
        <v>203</v>
      </c>
      <c r="SJS11" s="314" t="s">
        <v>203</v>
      </c>
      <c r="SJT11" s="314" t="s">
        <v>203</v>
      </c>
      <c r="SJU11" s="314" t="s">
        <v>203</v>
      </c>
      <c r="SJV11" s="314" t="s">
        <v>203</v>
      </c>
      <c r="SJW11" s="314" t="s">
        <v>203</v>
      </c>
      <c r="SJX11" s="314" t="s">
        <v>203</v>
      </c>
      <c r="SJY11" s="314" t="s">
        <v>203</v>
      </c>
      <c r="SJZ11" s="314" t="s">
        <v>203</v>
      </c>
      <c r="SKA11" s="314" t="s">
        <v>203</v>
      </c>
      <c r="SKB11" s="314" t="s">
        <v>203</v>
      </c>
      <c r="SKC11" s="314" t="s">
        <v>203</v>
      </c>
      <c r="SKD11" s="314" t="s">
        <v>203</v>
      </c>
      <c r="SKE11" s="314" t="s">
        <v>203</v>
      </c>
      <c r="SKF11" s="314" t="s">
        <v>203</v>
      </c>
      <c r="SKG11" s="314" t="s">
        <v>203</v>
      </c>
      <c r="SKH11" s="314" t="s">
        <v>203</v>
      </c>
      <c r="SKI11" s="314" t="s">
        <v>203</v>
      </c>
      <c r="SKJ11" s="314" t="s">
        <v>203</v>
      </c>
      <c r="SKK11" s="314" t="s">
        <v>203</v>
      </c>
      <c r="SKL11" s="314" t="s">
        <v>203</v>
      </c>
      <c r="SKM11" s="314" t="s">
        <v>203</v>
      </c>
      <c r="SKN11" s="314" t="s">
        <v>203</v>
      </c>
      <c r="SKO11" s="314" t="s">
        <v>203</v>
      </c>
      <c r="SKP11" s="314" t="s">
        <v>203</v>
      </c>
      <c r="SKQ11" s="314" t="s">
        <v>203</v>
      </c>
      <c r="SKR11" s="314" t="s">
        <v>203</v>
      </c>
      <c r="SKS11" s="314" t="s">
        <v>203</v>
      </c>
      <c r="SKT11" s="314" t="s">
        <v>203</v>
      </c>
      <c r="SKU11" s="314" t="s">
        <v>203</v>
      </c>
      <c r="SKV11" s="314" t="s">
        <v>203</v>
      </c>
      <c r="SKW11" s="314" t="s">
        <v>203</v>
      </c>
      <c r="SKX11" s="314" t="s">
        <v>203</v>
      </c>
      <c r="SKY11" s="314" t="s">
        <v>203</v>
      </c>
      <c r="SKZ11" s="314" t="s">
        <v>203</v>
      </c>
      <c r="SLA11" s="314" t="s">
        <v>203</v>
      </c>
      <c r="SLB11" s="314" t="s">
        <v>203</v>
      </c>
      <c r="SLC11" s="314" t="s">
        <v>203</v>
      </c>
      <c r="SLD11" s="314" t="s">
        <v>203</v>
      </c>
      <c r="SLE11" s="314" t="s">
        <v>203</v>
      </c>
      <c r="SLF11" s="314" t="s">
        <v>203</v>
      </c>
      <c r="SLG11" s="314" t="s">
        <v>203</v>
      </c>
      <c r="SLH11" s="314" t="s">
        <v>203</v>
      </c>
      <c r="SLI11" s="314" t="s">
        <v>203</v>
      </c>
      <c r="SLJ11" s="314" t="s">
        <v>203</v>
      </c>
      <c r="SLK11" s="314" t="s">
        <v>203</v>
      </c>
      <c r="SLL11" s="314" t="s">
        <v>203</v>
      </c>
      <c r="SLM11" s="314" t="s">
        <v>203</v>
      </c>
      <c r="SLN11" s="314" t="s">
        <v>203</v>
      </c>
      <c r="SLO11" s="314" t="s">
        <v>203</v>
      </c>
      <c r="SLP11" s="314" t="s">
        <v>203</v>
      </c>
      <c r="SLQ11" s="314" t="s">
        <v>203</v>
      </c>
      <c r="SLR11" s="314" t="s">
        <v>203</v>
      </c>
      <c r="SLS11" s="314" t="s">
        <v>203</v>
      </c>
      <c r="SLT11" s="314" t="s">
        <v>203</v>
      </c>
      <c r="SLU11" s="314" t="s">
        <v>203</v>
      </c>
      <c r="SLV11" s="314" t="s">
        <v>203</v>
      </c>
      <c r="SLW11" s="314" t="s">
        <v>203</v>
      </c>
      <c r="SLX11" s="314" t="s">
        <v>203</v>
      </c>
      <c r="SLY11" s="314" t="s">
        <v>203</v>
      </c>
      <c r="SLZ11" s="314" t="s">
        <v>203</v>
      </c>
      <c r="SMA11" s="314" t="s">
        <v>203</v>
      </c>
      <c r="SMB11" s="314" t="s">
        <v>203</v>
      </c>
      <c r="SMC11" s="314" t="s">
        <v>203</v>
      </c>
      <c r="SMD11" s="314" t="s">
        <v>203</v>
      </c>
      <c r="SME11" s="314" t="s">
        <v>203</v>
      </c>
      <c r="SMF11" s="314" t="s">
        <v>203</v>
      </c>
      <c r="SMG11" s="314" t="s">
        <v>203</v>
      </c>
      <c r="SMH11" s="314" t="s">
        <v>203</v>
      </c>
      <c r="SMI11" s="314" t="s">
        <v>203</v>
      </c>
      <c r="SMJ11" s="314" t="s">
        <v>203</v>
      </c>
      <c r="SMK11" s="314" t="s">
        <v>203</v>
      </c>
      <c r="SML11" s="314" t="s">
        <v>203</v>
      </c>
      <c r="SMM11" s="314" t="s">
        <v>203</v>
      </c>
      <c r="SMN11" s="314" t="s">
        <v>203</v>
      </c>
      <c r="SMO11" s="314" t="s">
        <v>203</v>
      </c>
      <c r="SMP11" s="314" t="s">
        <v>203</v>
      </c>
      <c r="SMQ11" s="314" t="s">
        <v>203</v>
      </c>
      <c r="SMR11" s="314" t="s">
        <v>203</v>
      </c>
      <c r="SMS11" s="314" t="s">
        <v>203</v>
      </c>
      <c r="SMT11" s="314" t="s">
        <v>203</v>
      </c>
      <c r="SMU11" s="314" t="s">
        <v>203</v>
      </c>
      <c r="SMV11" s="314" t="s">
        <v>203</v>
      </c>
      <c r="SMW11" s="314" t="s">
        <v>203</v>
      </c>
      <c r="SMX11" s="314" t="s">
        <v>203</v>
      </c>
      <c r="SMY11" s="314" t="s">
        <v>203</v>
      </c>
      <c r="SMZ11" s="314" t="s">
        <v>203</v>
      </c>
      <c r="SNA11" s="314" t="s">
        <v>203</v>
      </c>
      <c r="SNB11" s="314" t="s">
        <v>203</v>
      </c>
      <c r="SNC11" s="314" t="s">
        <v>203</v>
      </c>
      <c r="SND11" s="314" t="s">
        <v>203</v>
      </c>
      <c r="SNE11" s="314" t="s">
        <v>203</v>
      </c>
      <c r="SNF11" s="314" t="s">
        <v>203</v>
      </c>
      <c r="SNG11" s="314" t="s">
        <v>203</v>
      </c>
      <c r="SNH11" s="314" t="s">
        <v>203</v>
      </c>
      <c r="SNI11" s="314" t="s">
        <v>203</v>
      </c>
      <c r="SNJ11" s="314" t="s">
        <v>203</v>
      </c>
      <c r="SNK11" s="314" t="s">
        <v>203</v>
      </c>
      <c r="SNL11" s="314" t="s">
        <v>203</v>
      </c>
      <c r="SNM11" s="314" t="s">
        <v>203</v>
      </c>
      <c r="SNN11" s="314" t="s">
        <v>203</v>
      </c>
      <c r="SNO11" s="314" t="s">
        <v>203</v>
      </c>
      <c r="SNP11" s="314" t="s">
        <v>203</v>
      </c>
      <c r="SNQ11" s="314" t="s">
        <v>203</v>
      </c>
      <c r="SNR11" s="314" t="s">
        <v>203</v>
      </c>
      <c r="SNS11" s="314" t="s">
        <v>203</v>
      </c>
      <c r="SNT11" s="314" t="s">
        <v>203</v>
      </c>
      <c r="SNU11" s="314" t="s">
        <v>203</v>
      </c>
      <c r="SNV11" s="314" t="s">
        <v>203</v>
      </c>
      <c r="SNW11" s="314" t="s">
        <v>203</v>
      </c>
      <c r="SNX11" s="314" t="s">
        <v>203</v>
      </c>
      <c r="SNY11" s="314" t="s">
        <v>203</v>
      </c>
      <c r="SNZ11" s="314" t="s">
        <v>203</v>
      </c>
      <c r="SOA11" s="314" t="s">
        <v>203</v>
      </c>
      <c r="SOB11" s="314" t="s">
        <v>203</v>
      </c>
      <c r="SOC11" s="314" t="s">
        <v>203</v>
      </c>
      <c r="SOD11" s="314" t="s">
        <v>203</v>
      </c>
      <c r="SOE11" s="314" t="s">
        <v>203</v>
      </c>
      <c r="SOF11" s="314" t="s">
        <v>203</v>
      </c>
      <c r="SOG11" s="314" t="s">
        <v>203</v>
      </c>
      <c r="SOH11" s="314" t="s">
        <v>203</v>
      </c>
      <c r="SOI11" s="314" t="s">
        <v>203</v>
      </c>
      <c r="SOJ11" s="314" t="s">
        <v>203</v>
      </c>
      <c r="SOK11" s="314" t="s">
        <v>203</v>
      </c>
      <c r="SOL11" s="314" t="s">
        <v>203</v>
      </c>
      <c r="SOM11" s="314" t="s">
        <v>203</v>
      </c>
      <c r="SON11" s="314" t="s">
        <v>203</v>
      </c>
      <c r="SOO11" s="314" t="s">
        <v>203</v>
      </c>
      <c r="SOP11" s="314" t="s">
        <v>203</v>
      </c>
      <c r="SOQ11" s="314" t="s">
        <v>203</v>
      </c>
      <c r="SOR11" s="314" t="s">
        <v>203</v>
      </c>
      <c r="SOS11" s="314" t="s">
        <v>203</v>
      </c>
      <c r="SOT11" s="314" t="s">
        <v>203</v>
      </c>
      <c r="SOU11" s="314" t="s">
        <v>203</v>
      </c>
      <c r="SOV11" s="314" t="s">
        <v>203</v>
      </c>
      <c r="SOW11" s="314" t="s">
        <v>203</v>
      </c>
      <c r="SOX11" s="314" t="s">
        <v>203</v>
      </c>
      <c r="SOY11" s="314" t="s">
        <v>203</v>
      </c>
      <c r="SOZ11" s="314" t="s">
        <v>203</v>
      </c>
      <c r="SPA11" s="314" t="s">
        <v>203</v>
      </c>
      <c r="SPB11" s="314" t="s">
        <v>203</v>
      </c>
      <c r="SPC11" s="314" t="s">
        <v>203</v>
      </c>
      <c r="SPD11" s="314" t="s">
        <v>203</v>
      </c>
      <c r="SPE11" s="314" t="s">
        <v>203</v>
      </c>
      <c r="SPF11" s="314" t="s">
        <v>203</v>
      </c>
      <c r="SPG11" s="314" t="s">
        <v>203</v>
      </c>
      <c r="SPH11" s="314" t="s">
        <v>203</v>
      </c>
      <c r="SPI11" s="314" t="s">
        <v>203</v>
      </c>
      <c r="SPJ11" s="314" t="s">
        <v>203</v>
      </c>
      <c r="SPK11" s="314" t="s">
        <v>203</v>
      </c>
      <c r="SPL11" s="314" t="s">
        <v>203</v>
      </c>
      <c r="SPM11" s="314" t="s">
        <v>203</v>
      </c>
      <c r="SPN11" s="314" t="s">
        <v>203</v>
      </c>
      <c r="SPO11" s="314" t="s">
        <v>203</v>
      </c>
      <c r="SPP11" s="314" t="s">
        <v>203</v>
      </c>
      <c r="SPQ11" s="314" t="s">
        <v>203</v>
      </c>
      <c r="SPR11" s="314" t="s">
        <v>203</v>
      </c>
      <c r="SPS11" s="314" t="s">
        <v>203</v>
      </c>
      <c r="SPT11" s="314" t="s">
        <v>203</v>
      </c>
      <c r="SPU11" s="314" t="s">
        <v>203</v>
      </c>
      <c r="SPV11" s="314" t="s">
        <v>203</v>
      </c>
      <c r="SPW11" s="314" t="s">
        <v>203</v>
      </c>
      <c r="SPX11" s="314" t="s">
        <v>203</v>
      </c>
      <c r="SPY11" s="314" t="s">
        <v>203</v>
      </c>
      <c r="SPZ11" s="314" t="s">
        <v>203</v>
      </c>
      <c r="SQA11" s="314" t="s">
        <v>203</v>
      </c>
      <c r="SQB11" s="314" t="s">
        <v>203</v>
      </c>
      <c r="SQC11" s="314" t="s">
        <v>203</v>
      </c>
      <c r="SQD11" s="314" t="s">
        <v>203</v>
      </c>
      <c r="SQE11" s="314" t="s">
        <v>203</v>
      </c>
      <c r="SQF11" s="314" t="s">
        <v>203</v>
      </c>
      <c r="SQG11" s="314" t="s">
        <v>203</v>
      </c>
      <c r="SQH11" s="314" t="s">
        <v>203</v>
      </c>
      <c r="SQI11" s="314" t="s">
        <v>203</v>
      </c>
      <c r="SQJ11" s="314" t="s">
        <v>203</v>
      </c>
      <c r="SQK11" s="314" t="s">
        <v>203</v>
      </c>
      <c r="SQL11" s="314" t="s">
        <v>203</v>
      </c>
      <c r="SQM11" s="314" t="s">
        <v>203</v>
      </c>
      <c r="SQN11" s="314" t="s">
        <v>203</v>
      </c>
      <c r="SQO11" s="314" t="s">
        <v>203</v>
      </c>
      <c r="SQP11" s="314" t="s">
        <v>203</v>
      </c>
      <c r="SQQ11" s="314" t="s">
        <v>203</v>
      </c>
      <c r="SQR11" s="314" t="s">
        <v>203</v>
      </c>
      <c r="SQS11" s="314" t="s">
        <v>203</v>
      </c>
      <c r="SQT11" s="314" t="s">
        <v>203</v>
      </c>
      <c r="SQU11" s="314" t="s">
        <v>203</v>
      </c>
      <c r="SQV11" s="314" t="s">
        <v>203</v>
      </c>
      <c r="SQW11" s="314" t="s">
        <v>203</v>
      </c>
      <c r="SQX11" s="314" t="s">
        <v>203</v>
      </c>
      <c r="SQY11" s="314" t="s">
        <v>203</v>
      </c>
      <c r="SQZ11" s="314" t="s">
        <v>203</v>
      </c>
      <c r="SRA11" s="314" t="s">
        <v>203</v>
      </c>
      <c r="SRB11" s="314" t="s">
        <v>203</v>
      </c>
      <c r="SRC11" s="314" t="s">
        <v>203</v>
      </c>
      <c r="SRD11" s="314" t="s">
        <v>203</v>
      </c>
      <c r="SRE11" s="314" t="s">
        <v>203</v>
      </c>
      <c r="SRF11" s="314" t="s">
        <v>203</v>
      </c>
      <c r="SRG11" s="314" t="s">
        <v>203</v>
      </c>
      <c r="SRH11" s="314" t="s">
        <v>203</v>
      </c>
      <c r="SRI11" s="314" t="s">
        <v>203</v>
      </c>
      <c r="SRJ11" s="314" t="s">
        <v>203</v>
      </c>
      <c r="SRK11" s="314" t="s">
        <v>203</v>
      </c>
      <c r="SRL11" s="314" t="s">
        <v>203</v>
      </c>
      <c r="SRM11" s="314" t="s">
        <v>203</v>
      </c>
      <c r="SRN11" s="314" t="s">
        <v>203</v>
      </c>
      <c r="SRO11" s="314" t="s">
        <v>203</v>
      </c>
      <c r="SRP11" s="314" t="s">
        <v>203</v>
      </c>
      <c r="SRQ11" s="314" t="s">
        <v>203</v>
      </c>
      <c r="SRR11" s="314" t="s">
        <v>203</v>
      </c>
      <c r="SRS11" s="314" t="s">
        <v>203</v>
      </c>
      <c r="SRT11" s="314" t="s">
        <v>203</v>
      </c>
      <c r="SRU11" s="314" t="s">
        <v>203</v>
      </c>
      <c r="SRV11" s="314" t="s">
        <v>203</v>
      </c>
      <c r="SRW11" s="314" t="s">
        <v>203</v>
      </c>
      <c r="SRX11" s="314" t="s">
        <v>203</v>
      </c>
      <c r="SRY11" s="314" t="s">
        <v>203</v>
      </c>
      <c r="SRZ11" s="314" t="s">
        <v>203</v>
      </c>
      <c r="SSA11" s="314" t="s">
        <v>203</v>
      </c>
      <c r="SSB11" s="314" t="s">
        <v>203</v>
      </c>
      <c r="SSC11" s="314" t="s">
        <v>203</v>
      </c>
      <c r="SSD11" s="314" t="s">
        <v>203</v>
      </c>
      <c r="SSE11" s="314" t="s">
        <v>203</v>
      </c>
      <c r="SSF11" s="314" t="s">
        <v>203</v>
      </c>
      <c r="SSG11" s="314" t="s">
        <v>203</v>
      </c>
      <c r="SSH11" s="314" t="s">
        <v>203</v>
      </c>
      <c r="SSI11" s="314" t="s">
        <v>203</v>
      </c>
      <c r="SSJ11" s="314" t="s">
        <v>203</v>
      </c>
      <c r="SSK11" s="314" t="s">
        <v>203</v>
      </c>
      <c r="SSL11" s="314" t="s">
        <v>203</v>
      </c>
      <c r="SSM11" s="314" t="s">
        <v>203</v>
      </c>
      <c r="SSN11" s="314" t="s">
        <v>203</v>
      </c>
      <c r="SSO11" s="314" t="s">
        <v>203</v>
      </c>
      <c r="SSP11" s="314" t="s">
        <v>203</v>
      </c>
      <c r="SSQ11" s="314" t="s">
        <v>203</v>
      </c>
      <c r="SSR11" s="314" t="s">
        <v>203</v>
      </c>
      <c r="SSS11" s="314" t="s">
        <v>203</v>
      </c>
      <c r="SST11" s="314" t="s">
        <v>203</v>
      </c>
      <c r="SSU11" s="314" t="s">
        <v>203</v>
      </c>
      <c r="SSV11" s="314" t="s">
        <v>203</v>
      </c>
      <c r="SSW11" s="314" t="s">
        <v>203</v>
      </c>
      <c r="SSX11" s="314" t="s">
        <v>203</v>
      </c>
      <c r="SSY11" s="314" t="s">
        <v>203</v>
      </c>
      <c r="SSZ11" s="314" t="s">
        <v>203</v>
      </c>
      <c r="STA11" s="314" t="s">
        <v>203</v>
      </c>
      <c r="STB11" s="314" t="s">
        <v>203</v>
      </c>
      <c r="STC11" s="314" t="s">
        <v>203</v>
      </c>
      <c r="STD11" s="314" t="s">
        <v>203</v>
      </c>
      <c r="STE11" s="314" t="s">
        <v>203</v>
      </c>
      <c r="STF11" s="314" t="s">
        <v>203</v>
      </c>
      <c r="STG11" s="314" t="s">
        <v>203</v>
      </c>
      <c r="STH11" s="314" t="s">
        <v>203</v>
      </c>
      <c r="STI11" s="314" t="s">
        <v>203</v>
      </c>
      <c r="STJ11" s="314" t="s">
        <v>203</v>
      </c>
      <c r="STK11" s="314" t="s">
        <v>203</v>
      </c>
      <c r="STL11" s="314" t="s">
        <v>203</v>
      </c>
      <c r="STM11" s="314" t="s">
        <v>203</v>
      </c>
      <c r="STN11" s="314" t="s">
        <v>203</v>
      </c>
      <c r="STO11" s="314" t="s">
        <v>203</v>
      </c>
      <c r="STP11" s="314" t="s">
        <v>203</v>
      </c>
      <c r="STQ11" s="314" t="s">
        <v>203</v>
      </c>
      <c r="STR11" s="314" t="s">
        <v>203</v>
      </c>
      <c r="STS11" s="314" t="s">
        <v>203</v>
      </c>
      <c r="STT11" s="314" t="s">
        <v>203</v>
      </c>
      <c r="STU11" s="314" t="s">
        <v>203</v>
      </c>
      <c r="STV11" s="314" t="s">
        <v>203</v>
      </c>
      <c r="STW11" s="314" t="s">
        <v>203</v>
      </c>
      <c r="STX11" s="314" t="s">
        <v>203</v>
      </c>
      <c r="STY11" s="314" t="s">
        <v>203</v>
      </c>
      <c r="STZ11" s="314" t="s">
        <v>203</v>
      </c>
      <c r="SUA11" s="314" t="s">
        <v>203</v>
      </c>
      <c r="SUB11" s="314" t="s">
        <v>203</v>
      </c>
      <c r="SUC11" s="314" t="s">
        <v>203</v>
      </c>
      <c r="SUD11" s="314" t="s">
        <v>203</v>
      </c>
      <c r="SUE11" s="314" t="s">
        <v>203</v>
      </c>
      <c r="SUF11" s="314" t="s">
        <v>203</v>
      </c>
      <c r="SUG11" s="314" t="s">
        <v>203</v>
      </c>
      <c r="SUH11" s="314" t="s">
        <v>203</v>
      </c>
      <c r="SUI11" s="314" t="s">
        <v>203</v>
      </c>
      <c r="SUJ11" s="314" t="s">
        <v>203</v>
      </c>
      <c r="SUK11" s="314" t="s">
        <v>203</v>
      </c>
      <c r="SUL11" s="314" t="s">
        <v>203</v>
      </c>
      <c r="SUM11" s="314" t="s">
        <v>203</v>
      </c>
      <c r="SUN11" s="314" t="s">
        <v>203</v>
      </c>
      <c r="SUO11" s="314" t="s">
        <v>203</v>
      </c>
      <c r="SUP11" s="314" t="s">
        <v>203</v>
      </c>
      <c r="SUQ11" s="314" t="s">
        <v>203</v>
      </c>
      <c r="SUR11" s="314" t="s">
        <v>203</v>
      </c>
      <c r="SUS11" s="314" t="s">
        <v>203</v>
      </c>
      <c r="SUT11" s="314" t="s">
        <v>203</v>
      </c>
      <c r="SUU11" s="314" t="s">
        <v>203</v>
      </c>
      <c r="SUV11" s="314" t="s">
        <v>203</v>
      </c>
      <c r="SUW11" s="314" t="s">
        <v>203</v>
      </c>
      <c r="SUX11" s="314" t="s">
        <v>203</v>
      </c>
      <c r="SUY11" s="314" t="s">
        <v>203</v>
      </c>
      <c r="SUZ11" s="314" t="s">
        <v>203</v>
      </c>
      <c r="SVA11" s="314" t="s">
        <v>203</v>
      </c>
      <c r="SVB11" s="314" t="s">
        <v>203</v>
      </c>
      <c r="SVC11" s="314" t="s">
        <v>203</v>
      </c>
      <c r="SVD11" s="314" t="s">
        <v>203</v>
      </c>
      <c r="SVE11" s="314" t="s">
        <v>203</v>
      </c>
      <c r="SVF11" s="314" t="s">
        <v>203</v>
      </c>
      <c r="SVG11" s="314" t="s">
        <v>203</v>
      </c>
      <c r="SVH11" s="314" t="s">
        <v>203</v>
      </c>
      <c r="SVI11" s="314" t="s">
        <v>203</v>
      </c>
      <c r="SVJ11" s="314" t="s">
        <v>203</v>
      </c>
      <c r="SVK11" s="314" t="s">
        <v>203</v>
      </c>
      <c r="SVL11" s="314" t="s">
        <v>203</v>
      </c>
      <c r="SVM11" s="314" t="s">
        <v>203</v>
      </c>
      <c r="SVN11" s="314" t="s">
        <v>203</v>
      </c>
      <c r="SVO11" s="314" t="s">
        <v>203</v>
      </c>
      <c r="SVP11" s="314" t="s">
        <v>203</v>
      </c>
      <c r="SVQ11" s="314" t="s">
        <v>203</v>
      </c>
      <c r="SVR11" s="314" t="s">
        <v>203</v>
      </c>
      <c r="SVS11" s="314" t="s">
        <v>203</v>
      </c>
      <c r="SVT11" s="314" t="s">
        <v>203</v>
      </c>
      <c r="SVU11" s="314" t="s">
        <v>203</v>
      </c>
      <c r="SVV11" s="314" t="s">
        <v>203</v>
      </c>
      <c r="SVW11" s="314" t="s">
        <v>203</v>
      </c>
      <c r="SVX11" s="314" t="s">
        <v>203</v>
      </c>
      <c r="SVY11" s="314" t="s">
        <v>203</v>
      </c>
      <c r="SVZ11" s="314" t="s">
        <v>203</v>
      </c>
      <c r="SWA11" s="314" t="s">
        <v>203</v>
      </c>
      <c r="SWB11" s="314" t="s">
        <v>203</v>
      </c>
      <c r="SWC11" s="314" t="s">
        <v>203</v>
      </c>
      <c r="SWD11" s="314" t="s">
        <v>203</v>
      </c>
      <c r="SWE11" s="314" t="s">
        <v>203</v>
      </c>
      <c r="SWF11" s="314" t="s">
        <v>203</v>
      </c>
      <c r="SWG11" s="314" t="s">
        <v>203</v>
      </c>
      <c r="SWH11" s="314" t="s">
        <v>203</v>
      </c>
      <c r="SWI11" s="314" t="s">
        <v>203</v>
      </c>
      <c r="SWJ11" s="314" t="s">
        <v>203</v>
      </c>
      <c r="SWK11" s="314" t="s">
        <v>203</v>
      </c>
      <c r="SWL11" s="314" t="s">
        <v>203</v>
      </c>
      <c r="SWM11" s="314" t="s">
        <v>203</v>
      </c>
      <c r="SWN11" s="314" t="s">
        <v>203</v>
      </c>
      <c r="SWO11" s="314" t="s">
        <v>203</v>
      </c>
      <c r="SWP11" s="314" t="s">
        <v>203</v>
      </c>
      <c r="SWQ11" s="314" t="s">
        <v>203</v>
      </c>
      <c r="SWR11" s="314" t="s">
        <v>203</v>
      </c>
      <c r="SWS11" s="314" t="s">
        <v>203</v>
      </c>
      <c r="SWT11" s="314" t="s">
        <v>203</v>
      </c>
      <c r="SWU11" s="314" t="s">
        <v>203</v>
      </c>
      <c r="SWV11" s="314" t="s">
        <v>203</v>
      </c>
      <c r="SWW11" s="314" t="s">
        <v>203</v>
      </c>
      <c r="SWX11" s="314" t="s">
        <v>203</v>
      </c>
      <c r="SWY11" s="314" t="s">
        <v>203</v>
      </c>
      <c r="SWZ11" s="314" t="s">
        <v>203</v>
      </c>
      <c r="SXA11" s="314" t="s">
        <v>203</v>
      </c>
      <c r="SXB11" s="314" t="s">
        <v>203</v>
      </c>
      <c r="SXC11" s="314" t="s">
        <v>203</v>
      </c>
      <c r="SXD11" s="314" t="s">
        <v>203</v>
      </c>
      <c r="SXE11" s="314" t="s">
        <v>203</v>
      </c>
      <c r="SXF11" s="314" t="s">
        <v>203</v>
      </c>
      <c r="SXG11" s="314" t="s">
        <v>203</v>
      </c>
      <c r="SXH11" s="314" t="s">
        <v>203</v>
      </c>
      <c r="SXI11" s="314" t="s">
        <v>203</v>
      </c>
      <c r="SXJ11" s="314" t="s">
        <v>203</v>
      </c>
      <c r="SXK11" s="314" t="s">
        <v>203</v>
      </c>
      <c r="SXL11" s="314" t="s">
        <v>203</v>
      </c>
      <c r="SXM11" s="314" t="s">
        <v>203</v>
      </c>
      <c r="SXN11" s="314" t="s">
        <v>203</v>
      </c>
      <c r="SXO11" s="314" t="s">
        <v>203</v>
      </c>
      <c r="SXP11" s="314" t="s">
        <v>203</v>
      </c>
      <c r="SXQ11" s="314" t="s">
        <v>203</v>
      </c>
      <c r="SXR11" s="314" t="s">
        <v>203</v>
      </c>
      <c r="SXS11" s="314" t="s">
        <v>203</v>
      </c>
      <c r="SXT11" s="314" t="s">
        <v>203</v>
      </c>
      <c r="SXU11" s="314" t="s">
        <v>203</v>
      </c>
      <c r="SXV11" s="314" t="s">
        <v>203</v>
      </c>
      <c r="SXW11" s="314" t="s">
        <v>203</v>
      </c>
      <c r="SXX11" s="314" t="s">
        <v>203</v>
      </c>
      <c r="SXY11" s="314" t="s">
        <v>203</v>
      </c>
      <c r="SXZ11" s="314" t="s">
        <v>203</v>
      </c>
      <c r="SYA11" s="314" t="s">
        <v>203</v>
      </c>
      <c r="SYB11" s="314" t="s">
        <v>203</v>
      </c>
      <c r="SYC11" s="314" t="s">
        <v>203</v>
      </c>
      <c r="SYD11" s="314" t="s">
        <v>203</v>
      </c>
      <c r="SYE11" s="314" t="s">
        <v>203</v>
      </c>
      <c r="SYF11" s="314" t="s">
        <v>203</v>
      </c>
      <c r="SYG11" s="314" t="s">
        <v>203</v>
      </c>
      <c r="SYH11" s="314" t="s">
        <v>203</v>
      </c>
      <c r="SYI11" s="314" t="s">
        <v>203</v>
      </c>
      <c r="SYJ11" s="314" t="s">
        <v>203</v>
      </c>
      <c r="SYK11" s="314" t="s">
        <v>203</v>
      </c>
      <c r="SYL11" s="314" t="s">
        <v>203</v>
      </c>
      <c r="SYM11" s="314" t="s">
        <v>203</v>
      </c>
      <c r="SYN11" s="314" t="s">
        <v>203</v>
      </c>
      <c r="SYO11" s="314" t="s">
        <v>203</v>
      </c>
      <c r="SYP11" s="314" t="s">
        <v>203</v>
      </c>
      <c r="SYQ11" s="314" t="s">
        <v>203</v>
      </c>
      <c r="SYR11" s="314" t="s">
        <v>203</v>
      </c>
      <c r="SYS11" s="314" t="s">
        <v>203</v>
      </c>
      <c r="SYT11" s="314" t="s">
        <v>203</v>
      </c>
      <c r="SYU11" s="314" t="s">
        <v>203</v>
      </c>
      <c r="SYV11" s="314" t="s">
        <v>203</v>
      </c>
      <c r="SYW11" s="314" t="s">
        <v>203</v>
      </c>
      <c r="SYX11" s="314" t="s">
        <v>203</v>
      </c>
      <c r="SYY11" s="314" t="s">
        <v>203</v>
      </c>
      <c r="SYZ11" s="314" t="s">
        <v>203</v>
      </c>
      <c r="SZA11" s="314" t="s">
        <v>203</v>
      </c>
      <c r="SZB11" s="314" t="s">
        <v>203</v>
      </c>
      <c r="SZC11" s="314" t="s">
        <v>203</v>
      </c>
      <c r="SZD11" s="314" t="s">
        <v>203</v>
      </c>
      <c r="SZE11" s="314" t="s">
        <v>203</v>
      </c>
      <c r="SZF11" s="314" t="s">
        <v>203</v>
      </c>
      <c r="SZG11" s="314" t="s">
        <v>203</v>
      </c>
      <c r="SZH11" s="314" t="s">
        <v>203</v>
      </c>
      <c r="SZI11" s="314" t="s">
        <v>203</v>
      </c>
      <c r="SZJ11" s="314" t="s">
        <v>203</v>
      </c>
      <c r="SZK11" s="314" t="s">
        <v>203</v>
      </c>
      <c r="SZL11" s="314" t="s">
        <v>203</v>
      </c>
      <c r="SZM11" s="314" t="s">
        <v>203</v>
      </c>
      <c r="SZN11" s="314" t="s">
        <v>203</v>
      </c>
      <c r="SZO11" s="314" t="s">
        <v>203</v>
      </c>
      <c r="SZP11" s="314" t="s">
        <v>203</v>
      </c>
      <c r="SZQ11" s="314" t="s">
        <v>203</v>
      </c>
      <c r="SZR11" s="314" t="s">
        <v>203</v>
      </c>
      <c r="SZS11" s="314" t="s">
        <v>203</v>
      </c>
      <c r="SZT11" s="314" t="s">
        <v>203</v>
      </c>
      <c r="SZU11" s="314" t="s">
        <v>203</v>
      </c>
      <c r="SZV11" s="314" t="s">
        <v>203</v>
      </c>
      <c r="SZW11" s="314" t="s">
        <v>203</v>
      </c>
      <c r="SZX11" s="314" t="s">
        <v>203</v>
      </c>
      <c r="SZY11" s="314" t="s">
        <v>203</v>
      </c>
      <c r="SZZ11" s="314" t="s">
        <v>203</v>
      </c>
      <c r="TAA11" s="314" t="s">
        <v>203</v>
      </c>
      <c r="TAB11" s="314" t="s">
        <v>203</v>
      </c>
      <c r="TAC11" s="314" t="s">
        <v>203</v>
      </c>
      <c r="TAD11" s="314" t="s">
        <v>203</v>
      </c>
      <c r="TAE11" s="314" t="s">
        <v>203</v>
      </c>
      <c r="TAF11" s="314" t="s">
        <v>203</v>
      </c>
      <c r="TAG11" s="314" t="s">
        <v>203</v>
      </c>
      <c r="TAH11" s="314" t="s">
        <v>203</v>
      </c>
      <c r="TAI11" s="314" t="s">
        <v>203</v>
      </c>
      <c r="TAJ11" s="314" t="s">
        <v>203</v>
      </c>
      <c r="TAK11" s="314" t="s">
        <v>203</v>
      </c>
      <c r="TAL11" s="314" t="s">
        <v>203</v>
      </c>
      <c r="TAM11" s="314" t="s">
        <v>203</v>
      </c>
      <c r="TAN11" s="314" t="s">
        <v>203</v>
      </c>
      <c r="TAO11" s="314" t="s">
        <v>203</v>
      </c>
      <c r="TAP11" s="314" t="s">
        <v>203</v>
      </c>
      <c r="TAQ11" s="314" t="s">
        <v>203</v>
      </c>
      <c r="TAR11" s="314" t="s">
        <v>203</v>
      </c>
      <c r="TAS11" s="314" t="s">
        <v>203</v>
      </c>
      <c r="TAT11" s="314" t="s">
        <v>203</v>
      </c>
      <c r="TAU11" s="314" t="s">
        <v>203</v>
      </c>
      <c r="TAV11" s="314" t="s">
        <v>203</v>
      </c>
      <c r="TAW11" s="314" t="s">
        <v>203</v>
      </c>
      <c r="TAX11" s="314" t="s">
        <v>203</v>
      </c>
      <c r="TAY11" s="314" t="s">
        <v>203</v>
      </c>
      <c r="TAZ11" s="314" t="s">
        <v>203</v>
      </c>
      <c r="TBA11" s="314" t="s">
        <v>203</v>
      </c>
      <c r="TBB11" s="314" t="s">
        <v>203</v>
      </c>
      <c r="TBC11" s="314" t="s">
        <v>203</v>
      </c>
      <c r="TBD11" s="314" t="s">
        <v>203</v>
      </c>
      <c r="TBE11" s="314" t="s">
        <v>203</v>
      </c>
      <c r="TBF11" s="314" t="s">
        <v>203</v>
      </c>
      <c r="TBG11" s="314" t="s">
        <v>203</v>
      </c>
      <c r="TBH11" s="314" t="s">
        <v>203</v>
      </c>
      <c r="TBI11" s="314" t="s">
        <v>203</v>
      </c>
      <c r="TBJ11" s="314" t="s">
        <v>203</v>
      </c>
      <c r="TBK11" s="314" t="s">
        <v>203</v>
      </c>
      <c r="TBL11" s="314" t="s">
        <v>203</v>
      </c>
      <c r="TBM11" s="314" t="s">
        <v>203</v>
      </c>
      <c r="TBN11" s="314" t="s">
        <v>203</v>
      </c>
      <c r="TBO11" s="314" t="s">
        <v>203</v>
      </c>
      <c r="TBP11" s="314" t="s">
        <v>203</v>
      </c>
      <c r="TBQ11" s="314" t="s">
        <v>203</v>
      </c>
      <c r="TBR11" s="314" t="s">
        <v>203</v>
      </c>
      <c r="TBS11" s="314" t="s">
        <v>203</v>
      </c>
      <c r="TBT11" s="314" t="s">
        <v>203</v>
      </c>
      <c r="TBU11" s="314" t="s">
        <v>203</v>
      </c>
      <c r="TBV11" s="314" t="s">
        <v>203</v>
      </c>
      <c r="TBW11" s="314" t="s">
        <v>203</v>
      </c>
      <c r="TBX11" s="314" t="s">
        <v>203</v>
      </c>
      <c r="TBY11" s="314" t="s">
        <v>203</v>
      </c>
      <c r="TBZ11" s="314" t="s">
        <v>203</v>
      </c>
      <c r="TCA11" s="314" t="s">
        <v>203</v>
      </c>
      <c r="TCB11" s="314" t="s">
        <v>203</v>
      </c>
      <c r="TCC11" s="314" t="s">
        <v>203</v>
      </c>
      <c r="TCD11" s="314" t="s">
        <v>203</v>
      </c>
      <c r="TCE11" s="314" t="s">
        <v>203</v>
      </c>
      <c r="TCF11" s="314" t="s">
        <v>203</v>
      </c>
      <c r="TCG11" s="314" t="s">
        <v>203</v>
      </c>
      <c r="TCH11" s="314" t="s">
        <v>203</v>
      </c>
      <c r="TCI11" s="314" t="s">
        <v>203</v>
      </c>
      <c r="TCJ11" s="314" t="s">
        <v>203</v>
      </c>
      <c r="TCK11" s="314" t="s">
        <v>203</v>
      </c>
      <c r="TCL11" s="314" t="s">
        <v>203</v>
      </c>
      <c r="TCM11" s="314" t="s">
        <v>203</v>
      </c>
      <c r="TCN11" s="314" t="s">
        <v>203</v>
      </c>
      <c r="TCO11" s="314" t="s">
        <v>203</v>
      </c>
      <c r="TCP11" s="314" t="s">
        <v>203</v>
      </c>
      <c r="TCQ11" s="314" t="s">
        <v>203</v>
      </c>
      <c r="TCR11" s="314" t="s">
        <v>203</v>
      </c>
      <c r="TCS11" s="314" t="s">
        <v>203</v>
      </c>
      <c r="TCT11" s="314" t="s">
        <v>203</v>
      </c>
      <c r="TCU11" s="314" t="s">
        <v>203</v>
      </c>
      <c r="TCV11" s="314" t="s">
        <v>203</v>
      </c>
      <c r="TCW11" s="314" t="s">
        <v>203</v>
      </c>
      <c r="TCX11" s="314" t="s">
        <v>203</v>
      </c>
      <c r="TCY11" s="314" t="s">
        <v>203</v>
      </c>
      <c r="TCZ11" s="314" t="s">
        <v>203</v>
      </c>
      <c r="TDA11" s="314" t="s">
        <v>203</v>
      </c>
      <c r="TDB11" s="314" t="s">
        <v>203</v>
      </c>
      <c r="TDC11" s="314" t="s">
        <v>203</v>
      </c>
      <c r="TDD11" s="314" t="s">
        <v>203</v>
      </c>
      <c r="TDE11" s="314" t="s">
        <v>203</v>
      </c>
      <c r="TDF11" s="314" t="s">
        <v>203</v>
      </c>
      <c r="TDG11" s="314" t="s">
        <v>203</v>
      </c>
      <c r="TDH11" s="314" t="s">
        <v>203</v>
      </c>
      <c r="TDI11" s="314" t="s">
        <v>203</v>
      </c>
      <c r="TDJ11" s="314" t="s">
        <v>203</v>
      </c>
      <c r="TDK11" s="314" t="s">
        <v>203</v>
      </c>
      <c r="TDL11" s="314" t="s">
        <v>203</v>
      </c>
      <c r="TDM11" s="314" t="s">
        <v>203</v>
      </c>
      <c r="TDN11" s="314" t="s">
        <v>203</v>
      </c>
      <c r="TDO11" s="314" t="s">
        <v>203</v>
      </c>
      <c r="TDP11" s="314" t="s">
        <v>203</v>
      </c>
      <c r="TDQ11" s="314" t="s">
        <v>203</v>
      </c>
      <c r="TDR11" s="314" t="s">
        <v>203</v>
      </c>
      <c r="TDS11" s="314" t="s">
        <v>203</v>
      </c>
      <c r="TDT11" s="314" t="s">
        <v>203</v>
      </c>
      <c r="TDU11" s="314" t="s">
        <v>203</v>
      </c>
      <c r="TDV11" s="314" t="s">
        <v>203</v>
      </c>
      <c r="TDW11" s="314" t="s">
        <v>203</v>
      </c>
      <c r="TDX11" s="314" t="s">
        <v>203</v>
      </c>
      <c r="TDY11" s="314" t="s">
        <v>203</v>
      </c>
      <c r="TDZ11" s="314" t="s">
        <v>203</v>
      </c>
      <c r="TEA11" s="314" t="s">
        <v>203</v>
      </c>
      <c r="TEB11" s="314" t="s">
        <v>203</v>
      </c>
      <c r="TEC11" s="314" t="s">
        <v>203</v>
      </c>
      <c r="TED11" s="314" t="s">
        <v>203</v>
      </c>
      <c r="TEE11" s="314" t="s">
        <v>203</v>
      </c>
      <c r="TEF11" s="314" t="s">
        <v>203</v>
      </c>
      <c r="TEG11" s="314" t="s">
        <v>203</v>
      </c>
      <c r="TEH11" s="314" t="s">
        <v>203</v>
      </c>
      <c r="TEI11" s="314" t="s">
        <v>203</v>
      </c>
      <c r="TEJ11" s="314" t="s">
        <v>203</v>
      </c>
      <c r="TEK11" s="314" t="s">
        <v>203</v>
      </c>
      <c r="TEL11" s="314" t="s">
        <v>203</v>
      </c>
      <c r="TEM11" s="314" t="s">
        <v>203</v>
      </c>
      <c r="TEN11" s="314" t="s">
        <v>203</v>
      </c>
      <c r="TEO11" s="314" t="s">
        <v>203</v>
      </c>
      <c r="TEP11" s="314" t="s">
        <v>203</v>
      </c>
      <c r="TEQ11" s="314" t="s">
        <v>203</v>
      </c>
      <c r="TER11" s="314" t="s">
        <v>203</v>
      </c>
      <c r="TES11" s="314" t="s">
        <v>203</v>
      </c>
      <c r="TET11" s="314" t="s">
        <v>203</v>
      </c>
      <c r="TEU11" s="314" t="s">
        <v>203</v>
      </c>
      <c r="TEV11" s="314" t="s">
        <v>203</v>
      </c>
      <c r="TEW11" s="314" t="s">
        <v>203</v>
      </c>
      <c r="TEX11" s="314" t="s">
        <v>203</v>
      </c>
      <c r="TEY11" s="314" t="s">
        <v>203</v>
      </c>
      <c r="TEZ11" s="314" t="s">
        <v>203</v>
      </c>
      <c r="TFA11" s="314" t="s">
        <v>203</v>
      </c>
      <c r="TFB11" s="314" t="s">
        <v>203</v>
      </c>
      <c r="TFC11" s="314" t="s">
        <v>203</v>
      </c>
      <c r="TFD11" s="314" t="s">
        <v>203</v>
      </c>
      <c r="TFE11" s="314" t="s">
        <v>203</v>
      </c>
      <c r="TFF11" s="314" t="s">
        <v>203</v>
      </c>
      <c r="TFG11" s="314" t="s">
        <v>203</v>
      </c>
      <c r="TFH11" s="314" t="s">
        <v>203</v>
      </c>
      <c r="TFI11" s="314" t="s">
        <v>203</v>
      </c>
      <c r="TFJ11" s="314" t="s">
        <v>203</v>
      </c>
      <c r="TFK11" s="314" t="s">
        <v>203</v>
      </c>
      <c r="TFL11" s="314" t="s">
        <v>203</v>
      </c>
      <c r="TFM11" s="314" t="s">
        <v>203</v>
      </c>
      <c r="TFN11" s="314" t="s">
        <v>203</v>
      </c>
      <c r="TFO11" s="314" t="s">
        <v>203</v>
      </c>
      <c r="TFP11" s="314" t="s">
        <v>203</v>
      </c>
      <c r="TFQ11" s="314" t="s">
        <v>203</v>
      </c>
      <c r="TFR11" s="314" t="s">
        <v>203</v>
      </c>
      <c r="TFS11" s="314" t="s">
        <v>203</v>
      </c>
      <c r="TFT11" s="314" t="s">
        <v>203</v>
      </c>
      <c r="TFU11" s="314" t="s">
        <v>203</v>
      </c>
      <c r="TFV11" s="314" t="s">
        <v>203</v>
      </c>
      <c r="TFW11" s="314" t="s">
        <v>203</v>
      </c>
      <c r="TFX11" s="314" t="s">
        <v>203</v>
      </c>
      <c r="TFY11" s="314" t="s">
        <v>203</v>
      </c>
      <c r="TFZ11" s="314" t="s">
        <v>203</v>
      </c>
      <c r="TGA11" s="314" t="s">
        <v>203</v>
      </c>
      <c r="TGB11" s="314" t="s">
        <v>203</v>
      </c>
      <c r="TGC11" s="314" t="s">
        <v>203</v>
      </c>
      <c r="TGD11" s="314" t="s">
        <v>203</v>
      </c>
      <c r="TGE11" s="314" t="s">
        <v>203</v>
      </c>
      <c r="TGF11" s="314" t="s">
        <v>203</v>
      </c>
      <c r="TGG11" s="314" t="s">
        <v>203</v>
      </c>
      <c r="TGH11" s="314" t="s">
        <v>203</v>
      </c>
      <c r="TGI11" s="314" t="s">
        <v>203</v>
      </c>
      <c r="TGJ11" s="314" t="s">
        <v>203</v>
      </c>
      <c r="TGK11" s="314" t="s">
        <v>203</v>
      </c>
      <c r="TGL11" s="314" t="s">
        <v>203</v>
      </c>
      <c r="TGM11" s="314" t="s">
        <v>203</v>
      </c>
      <c r="TGN11" s="314" t="s">
        <v>203</v>
      </c>
      <c r="TGO11" s="314" t="s">
        <v>203</v>
      </c>
      <c r="TGP11" s="314" t="s">
        <v>203</v>
      </c>
      <c r="TGQ11" s="314" t="s">
        <v>203</v>
      </c>
      <c r="TGR11" s="314" t="s">
        <v>203</v>
      </c>
      <c r="TGS11" s="314" t="s">
        <v>203</v>
      </c>
      <c r="TGT11" s="314" t="s">
        <v>203</v>
      </c>
      <c r="TGU11" s="314" t="s">
        <v>203</v>
      </c>
      <c r="TGV11" s="314" t="s">
        <v>203</v>
      </c>
      <c r="TGW11" s="314" t="s">
        <v>203</v>
      </c>
      <c r="TGX11" s="314" t="s">
        <v>203</v>
      </c>
      <c r="TGY11" s="314" t="s">
        <v>203</v>
      </c>
      <c r="TGZ11" s="314" t="s">
        <v>203</v>
      </c>
      <c r="THA11" s="314" t="s">
        <v>203</v>
      </c>
      <c r="THB11" s="314" t="s">
        <v>203</v>
      </c>
      <c r="THC11" s="314" t="s">
        <v>203</v>
      </c>
      <c r="THD11" s="314" t="s">
        <v>203</v>
      </c>
      <c r="THE11" s="314" t="s">
        <v>203</v>
      </c>
      <c r="THF11" s="314" t="s">
        <v>203</v>
      </c>
      <c r="THG11" s="314" t="s">
        <v>203</v>
      </c>
      <c r="THH11" s="314" t="s">
        <v>203</v>
      </c>
      <c r="THI11" s="314" t="s">
        <v>203</v>
      </c>
      <c r="THJ11" s="314" t="s">
        <v>203</v>
      </c>
      <c r="THK11" s="314" t="s">
        <v>203</v>
      </c>
      <c r="THL11" s="314" t="s">
        <v>203</v>
      </c>
      <c r="THM11" s="314" t="s">
        <v>203</v>
      </c>
      <c r="THN11" s="314" t="s">
        <v>203</v>
      </c>
      <c r="THO11" s="314" t="s">
        <v>203</v>
      </c>
      <c r="THP11" s="314" t="s">
        <v>203</v>
      </c>
      <c r="THQ11" s="314" t="s">
        <v>203</v>
      </c>
      <c r="THR11" s="314" t="s">
        <v>203</v>
      </c>
      <c r="THS11" s="314" t="s">
        <v>203</v>
      </c>
      <c r="THT11" s="314" t="s">
        <v>203</v>
      </c>
      <c r="THU11" s="314" t="s">
        <v>203</v>
      </c>
      <c r="THV11" s="314" t="s">
        <v>203</v>
      </c>
      <c r="THW11" s="314" t="s">
        <v>203</v>
      </c>
      <c r="THX11" s="314" t="s">
        <v>203</v>
      </c>
      <c r="THY11" s="314" t="s">
        <v>203</v>
      </c>
      <c r="THZ11" s="314" t="s">
        <v>203</v>
      </c>
      <c r="TIA11" s="314" t="s">
        <v>203</v>
      </c>
      <c r="TIB11" s="314" t="s">
        <v>203</v>
      </c>
      <c r="TIC11" s="314" t="s">
        <v>203</v>
      </c>
      <c r="TID11" s="314" t="s">
        <v>203</v>
      </c>
      <c r="TIE11" s="314" t="s">
        <v>203</v>
      </c>
      <c r="TIF11" s="314" t="s">
        <v>203</v>
      </c>
      <c r="TIG11" s="314" t="s">
        <v>203</v>
      </c>
      <c r="TIH11" s="314" t="s">
        <v>203</v>
      </c>
      <c r="TII11" s="314" t="s">
        <v>203</v>
      </c>
      <c r="TIJ11" s="314" t="s">
        <v>203</v>
      </c>
      <c r="TIK11" s="314" t="s">
        <v>203</v>
      </c>
      <c r="TIL11" s="314" t="s">
        <v>203</v>
      </c>
      <c r="TIM11" s="314" t="s">
        <v>203</v>
      </c>
      <c r="TIN11" s="314" t="s">
        <v>203</v>
      </c>
      <c r="TIO11" s="314" t="s">
        <v>203</v>
      </c>
      <c r="TIP11" s="314" t="s">
        <v>203</v>
      </c>
      <c r="TIQ11" s="314" t="s">
        <v>203</v>
      </c>
      <c r="TIR11" s="314" t="s">
        <v>203</v>
      </c>
      <c r="TIS11" s="314" t="s">
        <v>203</v>
      </c>
      <c r="TIT11" s="314" t="s">
        <v>203</v>
      </c>
      <c r="TIU11" s="314" t="s">
        <v>203</v>
      </c>
      <c r="TIV11" s="314" t="s">
        <v>203</v>
      </c>
      <c r="TIW11" s="314" t="s">
        <v>203</v>
      </c>
      <c r="TIX11" s="314" t="s">
        <v>203</v>
      </c>
      <c r="TIY11" s="314" t="s">
        <v>203</v>
      </c>
      <c r="TIZ11" s="314" t="s">
        <v>203</v>
      </c>
      <c r="TJA11" s="314" t="s">
        <v>203</v>
      </c>
      <c r="TJB11" s="314" t="s">
        <v>203</v>
      </c>
      <c r="TJC11" s="314" t="s">
        <v>203</v>
      </c>
      <c r="TJD11" s="314" t="s">
        <v>203</v>
      </c>
      <c r="TJE11" s="314" t="s">
        <v>203</v>
      </c>
      <c r="TJF11" s="314" t="s">
        <v>203</v>
      </c>
      <c r="TJG11" s="314" t="s">
        <v>203</v>
      </c>
      <c r="TJH11" s="314" t="s">
        <v>203</v>
      </c>
      <c r="TJI11" s="314" t="s">
        <v>203</v>
      </c>
      <c r="TJJ11" s="314" t="s">
        <v>203</v>
      </c>
      <c r="TJK11" s="314" t="s">
        <v>203</v>
      </c>
      <c r="TJL11" s="314" t="s">
        <v>203</v>
      </c>
      <c r="TJM11" s="314" t="s">
        <v>203</v>
      </c>
      <c r="TJN11" s="314" t="s">
        <v>203</v>
      </c>
      <c r="TJO11" s="314" t="s">
        <v>203</v>
      </c>
      <c r="TJP11" s="314" t="s">
        <v>203</v>
      </c>
      <c r="TJQ11" s="314" t="s">
        <v>203</v>
      </c>
      <c r="TJR11" s="314" t="s">
        <v>203</v>
      </c>
      <c r="TJS11" s="314" t="s">
        <v>203</v>
      </c>
      <c r="TJT11" s="314" t="s">
        <v>203</v>
      </c>
      <c r="TJU11" s="314" t="s">
        <v>203</v>
      </c>
      <c r="TJV11" s="314" t="s">
        <v>203</v>
      </c>
      <c r="TJW11" s="314" t="s">
        <v>203</v>
      </c>
      <c r="TJX11" s="314" t="s">
        <v>203</v>
      </c>
      <c r="TJY11" s="314" t="s">
        <v>203</v>
      </c>
      <c r="TJZ11" s="314" t="s">
        <v>203</v>
      </c>
      <c r="TKA11" s="314" t="s">
        <v>203</v>
      </c>
      <c r="TKB11" s="314" t="s">
        <v>203</v>
      </c>
      <c r="TKC11" s="314" t="s">
        <v>203</v>
      </c>
      <c r="TKD11" s="314" t="s">
        <v>203</v>
      </c>
      <c r="TKE11" s="314" t="s">
        <v>203</v>
      </c>
      <c r="TKF11" s="314" t="s">
        <v>203</v>
      </c>
      <c r="TKG11" s="314" t="s">
        <v>203</v>
      </c>
      <c r="TKH11" s="314" t="s">
        <v>203</v>
      </c>
      <c r="TKI11" s="314" t="s">
        <v>203</v>
      </c>
      <c r="TKJ11" s="314" t="s">
        <v>203</v>
      </c>
      <c r="TKK11" s="314" t="s">
        <v>203</v>
      </c>
      <c r="TKL11" s="314" t="s">
        <v>203</v>
      </c>
      <c r="TKM11" s="314" t="s">
        <v>203</v>
      </c>
      <c r="TKN11" s="314" t="s">
        <v>203</v>
      </c>
      <c r="TKO11" s="314" t="s">
        <v>203</v>
      </c>
      <c r="TKP11" s="314" t="s">
        <v>203</v>
      </c>
      <c r="TKQ11" s="314" t="s">
        <v>203</v>
      </c>
      <c r="TKR11" s="314" t="s">
        <v>203</v>
      </c>
      <c r="TKS11" s="314" t="s">
        <v>203</v>
      </c>
      <c r="TKT11" s="314" t="s">
        <v>203</v>
      </c>
      <c r="TKU11" s="314" t="s">
        <v>203</v>
      </c>
      <c r="TKV11" s="314" t="s">
        <v>203</v>
      </c>
      <c r="TKW11" s="314" t="s">
        <v>203</v>
      </c>
      <c r="TKX11" s="314" t="s">
        <v>203</v>
      </c>
      <c r="TKY11" s="314" t="s">
        <v>203</v>
      </c>
      <c r="TKZ11" s="314" t="s">
        <v>203</v>
      </c>
      <c r="TLA11" s="314" t="s">
        <v>203</v>
      </c>
      <c r="TLB11" s="314" t="s">
        <v>203</v>
      </c>
      <c r="TLC11" s="314" t="s">
        <v>203</v>
      </c>
      <c r="TLD11" s="314" t="s">
        <v>203</v>
      </c>
      <c r="TLE11" s="314" t="s">
        <v>203</v>
      </c>
      <c r="TLF11" s="314" t="s">
        <v>203</v>
      </c>
      <c r="TLG11" s="314" t="s">
        <v>203</v>
      </c>
      <c r="TLH11" s="314" t="s">
        <v>203</v>
      </c>
      <c r="TLI11" s="314" t="s">
        <v>203</v>
      </c>
      <c r="TLJ11" s="314" t="s">
        <v>203</v>
      </c>
      <c r="TLK11" s="314" t="s">
        <v>203</v>
      </c>
      <c r="TLL11" s="314" t="s">
        <v>203</v>
      </c>
      <c r="TLM11" s="314" t="s">
        <v>203</v>
      </c>
      <c r="TLN11" s="314" t="s">
        <v>203</v>
      </c>
      <c r="TLO11" s="314" t="s">
        <v>203</v>
      </c>
      <c r="TLP11" s="314" t="s">
        <v>203</v>
      </c>
      <c r="TLQ11" s="314" t="s">
        <v>203</v>
      </c>
      <c r="TLR11" s="314" t="s">
        <v>203</v>
      </c>
      <c r="TLS11" s="314" t="s">
        <v>203</v>
      </c>
      <c r="TLT11" s="314" t="s">
        <v>203</v>
      </c>
      <c r="TLU11" s="314" t="s">
        <v>203</v>
      </c>
      <c r="TLV11" s="314" t="s">
        <v>203</v>
      </c>
      <c r="TLW11" s="314" t="s">
        <v>203</v>
      </c>
      <c r="TLX11" s="314" t="s">
        <v>203</v>
      </c>
      <c r="TLY11" s="314" t="s">
        <v>203</v>
      </c>
      <c r="TLZ11" s="314" t="s">
        <v>203</v>
      </c>
      <c r="TMA11" s="314" t="s">
        <v>203</v>
      </c>
      <c r="TMB11" s="314" t="s">
        <v>203</v>
      </c>
      <c r="TMC11" s="314" t="s">
        <v>203</v>
      </c>
      <c r="TMD11" s="314" t="s">
        <v>203</v>
      </c>
      <c r="TME11" s="314" t="s">
        <v>203</v>
      </c>
      <c r="TMF11" s="314" t="s">
        <v>203</v>
      </c>
      <c r="TMG11" s="314" t="s">
        <v>203</v>
      </c>
      <c r="TMH11" s="314" t="s">
        <v>203</v>
      </c>
      <c r="TMI11" s="314" t="s">
        <v>203</v>
      </c>
      <c r="TMJ11" s="314" t="s">
        <v>203</v>
      </c>
      <c r="TMK11" s="314" t="s">
        <v>203</v>
      </c>
      <c r="TML11" s="314" t="s">
        <v>203</v>
      </c>
      <c r="TMM11" s="314" t="s">
        <v>203</v>
      </c>
      <c r="TMN11" s="314" t="s">
        <v>203</v>
      </c>
      <c r="TMO11" s="314" t="s">
        <v>203</v>
      </c>
      <c r="TMP11" s="314" t="s">
        <v>203</v>
      </c>
      <c r="TMQ11" s="314" t="s">
        <v>203</v>
      </c>
      <c r="TMR11" s="314" t="s">
        <v>203</v>
      </c>
      <c r="TMS11" s="314" t="s">
        <v>203</v>
      </c>
      <c r="TMT11" s="314" t="s">
        <v>203</v>
      </c>
      <c r="TMU11" s="314" t="s">
        <v>203</v>
      </c>
      <c r="TMV11" s="314" t="s">
        <v>203</v>
      </c>
      <c r="TMW11" s="314" t="s">
        <v>203</v>
      </c>
      <c r="TMX11" s="314" t="s">
        <v>203</v>
      </c>
      <c r="TMY11" s="314" t="s">
        <v>203</v>
      </c>
      <c r="TMZ11" s="314" t="s">
        <v>203</v>
      </c>
      <c r="TNA11" s="314" t="s">
        <v>203</v>
      </c>
      <c r="TNB11" s="314" t="s">
        <v>203</v>
      </c>
      <c r="TNC11" s="314" t="s">
        <v>203</v>
      </c>
      <c r="TND11" s="314" t="s">
        <v>203</v>
      </c>
      <c r="TNE11" s="314" t="s">
        <v>203</v>
      </c>
      <c r="TNF11" s="314" t="s">
        <v>203</v>
      </c>
      <c r="TNG11" s="314" t="s">
        <v>203</v>
      </c>
      <c r="TNH11" s="314" t="s">
        <v>203</v>
      </c>
      <c r="TNI11" s="314" t="s">
        <v>203</v>
      </c>
      <c r="TNJ11" s="314" t="s">
        <v>203</v>
      </c>
      <c r="TNK11" s="314" t="s">
        <v>203</v>
      </c>
      <c r="TNL11" s="314" t="s">
        <v>203</v>
      </c>
      <c r="TNM11" s="314" t="s">
        <v>203</v>
      </c>
      <c r="TNN11" s="314" t="s">
        <v>203</v>
      </c>
      <c r="TNO11" s="314" t="s">
        <v>203</v>
      </c>
      <c r="TNP11" s="314" t="s">
        <v>203</v>
      </c>
      <c r="TNQ11" s="314" t="s">
        <v>203</v>
      </c>
      <c r="TNR11" s="314" t="s">
        <v>203</v>
      </c>
      <c r="TNS11" s="314" t="s">
        <v>203</v>
      </c>
      <c r="TNT11" s="314" t="s">
        <v>203</v>
      </c>
      <c r="TNU11" s="314" t="s">
        <v>203</v>
      </c>
      <c r="TNV11" s="314" t="s">
        <v>203</v>
      </c>
      <c r="TNW11" s="314" t="s">
        <v>203</v>
      </c>
      <c r="TNX11" s="314" t="s">
        <v>203</v>
      </c>
      <c r="TNY11" s="314" t="s">
        <v>203</v>
      </c>
      <c r="TNZ11" s="314" t="s">
        <v>203</v>
      </c>
      <c r="TOA11" s="314" t="s">
        <v>203</v>
      </c>
      <c r="TOB11" s="314" t="s">
        <v>203</v>
      </c>
      <c r="TOC11" s="314" t="s">
        <v>203</v>
      </c>
      <c r="TOD11" s="314" t="s">
        <v>203</v>
      </c>
      <c r="TOE11" s="314" t="s">
        <v>203</v>
      </c>
      <c r="TOF11" s="314" t="s">
        <v>203</v>
      </c>
      <c r="TOG11" s="314" t="s">
        <v>203</v>
      </c>
      <c r="TOH11" s="314" t="s">
        <v>203</v>
      </c>
      <c r="TOI11" s="314" t="s">
        <v>203</v>
      </c>
      <c r="TOJ11" s="314" t="s">
        <v>203</v>
      </c>
      <c r="TOK11" s="314" t="s">
        <v>203</v>
      </c>
      <c r="TOL11" s="314" t="s">
        <v>203</v>
      </c>
      <c r="TOM11" s="314" t="s">
        <v>203</v>
      </c>
      <c r="TON11" s="314" t="s">
        <v>203</v>
      </c>
      <c r="TOO11" s="314" t="s">
        <v>203</v>
      </c>
      <c r="TOP11" s="314" t="s">
        <v>203</v>
      </c>
      <c r="TOQ11" s="314" t="s">
        <v>203</v>
      </c>
      <c r="TOR11" s="314" t="s">
        <v>203</v>
      </c>
      <c r="TOS11" s="314" t="s">
        <v>203</v>
      </c>
      <c r="TOT11" s="314" t="s">
        <v>203</v>
      </c>
      <c r="TOU11" s="314" t="s">
        <v>203</v>
      </c>
      <c r="TOV11" s="314" t="s">
        <v>203</v>
      </c>
      <c r="TOW11" s="314" t="s">
        <v>203</v>
      </c>
      <c r="TOX11" s="314" t="s">
        <v>203</v>
      </c>
      <c r="TOY11" s="314" t="s">
        <v>203</v>
      </c>
      <c r="TOZ11" s="314" t="s">
        <v>203</v>
      </c>
      <c r="TPA11" s="314" t="s">
        <v>203</v>
      </c>
      <c r="TPB11" s="314" t="s">
        <v>203</v>
      </c>
      <c r="TPC11" s="314" t="s">
        <v>203</v>
      </c>
      <c r="TPD11" s="314" t="s">
        <v>203</v>
      </c>
      <c r="TPE11" s="314" t="s">
        <v>203</v>
      </c>
      <c r="TPF11" s="314" t="s">
        <v>203</v>
      </c>
      <c r="TPG11" s="314" t="s">
        <v>203</v>
      </c>
      <c r="TPH11" s="314" t="s">
        <v>203</v>
      </c>
      <c r="TPI11" s="314" t="s">
        <v>203</v>
      </c>
      <c r="TPJ11" s="314" t="s">
        <v>203</v>
      </c>
      <c r="TPK11" s="314" t="s">
        <v>203</v>
      </c>
      <c r="TPL11" s="314" t="s">
        <v>203</v>
      </c>
      <c r="TPM11" s="314" t="s">
        <v>203</v>
      </c>
      <c r="TPN11" s="314" t="s">
        <v>203</v>
      </c>
      <c r="TPO11" s="314" t="s">
        <v>203</v>
      </c>
      <c r="TPP11" s="314" t="s">
        <v>203</v>
      </c>
      <c r="TPQ11" s="314" t="s">
        <v>203</v>
      </c>
      <c r="TPR11" s="314" t="s">
        <v>203</v>
      </c>
      <c r="TPS11" s="314" t="s">
        <v>203</v>
      </c>
      <c r="TPT11" s="314" t="s">
        <v>203</v>
      </c>
      <c r="TPU11" s="314" t="s">
        <v>203</v>
      </c>
      <c r="TPV11" s="314" t="s">
        <v>203</v>
      </c>
      <c r="TPW11" s="314" t="s">
        <v>203</v>
      </c>
      <c r="TPX11" s="314" t="s">
        <v>203</v>
      </c>
      <c r="TPY11" s="314" t="s">
        <v>203</v>
      </c>
      <c r="TPZ11" s="314" t="s">
        <v>203</v>
      </c>
      <c r="TQA11" s="314" t="s">
        <v>203</v>
      </c>
      <c r="TQB11" s="314" t="s">
        <v>203</v>
      </c>
      <c r="TQC11" s="314" t="s">
        <v>203</v>
      </c>
      <c r="TQD11" s="314" t="s">
        <v>203</v>
      </c>
      <c r="TQE11" s="314" t="s">
        <v>203</v>
      </c>
      <c r="TQF11" s="314" t="s">
        <v>203</v>
      </c>
      <c r="TQG11" s="314" t="s">
        <v>203</v>
      </c>
      <c r="TQH11" s="314" t="s">
        <v>203</v>
      </c>
      <c r="TQI11" s="314" t="s">
        <v>203</v>
      </c>
      <c r="TQJ11" s="314" t="s">
        <v>203</v>
      </c>
      <c r="TQK11" s="314" t="s">
        <v>203</v>
      </c>
      <c r="TQL11" s="314" t="s">
        <v>203</v>
      </c>
      <c r="TQM11" s="314" t="s">
        <v>203</v>
      </c>
      <c r="TQN11" s="314" t="s">
        <v>203</v>
      </c>
      <c r="TQO11" s="314" t="s">
        <v>203</v>
      </c>
      <c r="TQP11" s="314" t="s">
        <v>203</v>
      </c>
      <c r="TQQ11" s="314" t="s">
        <v>203</v>
      </c>
      <c r="TQR11" s="314" t="s">
        <v>203</v>
      </c>
      <c r="TQS11" s="314" t="s">
        <v>203</v>
      </c>
      <c r="TQT11" s="314" t="s">
        <v>203</v>
      </c>
      <c r="TQU11" s="314" t="s">
        <v>203</v>
      </c>
      <c r="TQV11" s="314" t="s">
        <v>203</v>
      </c>
      <c r="TQW11" s="314" t="s">
        <v>203</v>
      </c>
      <c r="TQX11" s="314" t="s">
        <v>203</v>
      </c>
      <c r="TQY11" s="314" t="s">
        <v>203</v>
      </c>
      <c r="TQZ11" s="314" t="s">
        <v>203</v>
      </c>
      <c r="TRA11" s="314" t="s">
        <v>203</v>
      </c>
      <c r="TRB11" s="314" t="s">
        <v>203</v>
      </c>
      <c r="TRC11" s="314" t="s">
        <v>203</v>
      </c>
      <c r="TRD11" s="314" t="s">
        <v>203</v>
      </c>
      <c r="TRE11" s="314" t="s">
        <v>203</v>
      </c>
      <c r="TRF11" s="314" t="s">
        <v>203</v>
      </c>
      <c r="TRG11" s="314" t="s">
        <v>203</v>
      </c>
      <c r="TRH11" s="314" t="s">
        <v>203</v>
      </c>
      <c r="TRI11" s="314" t="s">
        <v>203</v>
      </c>
      <c r="TRJ11" s="314" t="s">
        <v>203</v>
      </c>
      <c r="TRK11" s="314" t="s">
        <v>203</v>
      </c>
      <c r="TRL11" s="314" t="s">
        <v>203</v>
      </c>
      <c r="TRM11" s="314" t="s">
        <v>203</v>
      </c>
      <c r="TRN11" s="314" t="s">
        <v>203</v>
      </c>
      <c r="TRO11" s="314" t="s">
        <v>203</v>
      </c>
      <c r="TRP11" s="314" t="s">
        <v>203</v>
      </c>
      <c r="TRQ11" s="314" t="s">
        <v>203</v>
      </c>
      <c r="TRR11" s="314" t="s">
        <v>203</v>
      </c>
      <c r="TRS11" s="314" t="s">
        <v>203</v>
      </c>
      <c r="TRT11" s="314" t="s">
        <v>203</v>
      </c>
      <c r="TRU11" s="314" t="s">
        <v>203</v>
      </c>
      <c r="TRV11" s="314" t="s">
        <v>203</v>
      </c>
      <c r="TRW11" s="314" t="s">
        <v>203</v>
      </c>
      <c r="TRX11" s="314" t="s">
        <v>203</v>
      </c>
      <c r="TRY11" s="314" t="s">
        <v>203</v>
      </c>
      <c r="TRZ11" s="314" t="s">
        <v>203</v>
      </c>
      <c r="TSA11" s="314" t="s">
        <v>203</v>
      </c>
      <c r="TSB11" s="314" t="s">
        <v>203</v>
      </c>
      <c r="TSC11" s="314" t="s">
        <v>203</v>
      </c>
      <c r="TSD11" s="314" t="s">
        <v>203</v>
      </c>
      <c r="TSE11" s="314" t="s">
        <v>203</v>
      </c>
      <c r="TSF11" s="314" t="s">
        <v>203</v>
      </c>
      <c r="TSG11" s="314" t="s">
        <v>203</v>
      </c>
      <c r="TSH11" s="314" t="s">
        <v>203</v>
      </c>
      <c r="TSI11" s="314" t="s">
        <v>203</v>
      </c>
      <c r="TSJ11" s="314" t="s">
        <v>203</v>
      </c>
      <c r="TSK11" s="314" t="s">
        <v>203</v>
      </c>
      <c r="TSL11" s="314" t="s">
        <v>203</v>
      </c>
      <c r="TSM11" s="314" t="s">
        <v>203</v>
      </c>
      <c r="TSN11" s="314" t="s">
        <v>203</v>
      </c>
      <c r="TSO11" s="314" t="s">
        <v>203</v>
      </c>
      <c r="TSP11" s="314" t="s">
        <v>203</v>
      </c>
      <c r="TSQ11" s="314" t="s">
        <v>203</v>
      </c>
      <c r="TSR11" s="314" t="s">
        <v>203</v>
      </c>
      <c r="TSS11" s="314" t="s">
        <v>203</v>
      </c>
      <c r="TST11" s="314" t="s">
        <v>203</v>
      </c>
      <c r="TSU11" s="314" t="s">
        <v>203</v>
      </c>
      <c r="TSV11" s="314" t="s">
        <v>203</v>
      </c>
      <c r="TSW11" s="314" t="s">
        <v>203</v>
      </c>
      <c r="TSX11" s="314" t="s">
        <v>203</v>
      </c>
      <c r="TSY11" s="314" t="s">
        <v>203</v>
      </c>
      <c r="TSZ11" s="314" t="s">
        <v>203</v>
      </c>
      <c r="TTA11" s="314" t="s">
        <v>203</v>
      </c>
      <c r="TTB11" s="314" t="s">
        <v>203</v>
      </c>
      <c r="TTC11" s="314" t="s">
        <v>203</v>
      </c>
      <c r="TTD11" s="314" t="s">
        <v>203</v>
      </c>
      <c r="TTE11" s="314" t="s">
        <v>203</v>
      </c>
      <c r="TTF11" s="314" t="s">
        <v>203</v>
      </c>
      <c r="TTG11" s="314" t="s">
        <v>203</v>
      </c>
      <c r="TTH11" s="314" t="s">
        <v>203</v>
      </c>
      <c r="TTI11" s="314" t="s">
        <v>203</v>
      </c>
      <c r="TTJ11" s="314" t="s">
        <v>203</v>
      </c>
      <c r="TTK11" s="314" t="s">
        <v>203</v>
      </c>
      <c r="TTL11" s="314" t="s">
        <v>203</v>
      </c>
      <c r="TTM11" s="314" t="s">
        <v>203</v>
      </c>
      <c r="TTN11" s="314" t="s">
        <v>203</v>
      </c>
      <c r="TTO11" s="314" t="s">
        <v>203</v>
      </c>
      <c r="TTP11" s="314" t="s">
        <v>203</v>
      </c>
      <c r="TTQ11" s="314" t="s">
        <v>203</v>
      </c>
      <c r="TTR11" s="314" t="s">
        <v>203</v>
      </c>
      <c r="TTS11" s="314" t="s">
        <v>203</v>
      </c>
      <c r="TTT11" s="314" t="s">
        <v>203</v>
      </c>
      <c r="TTU11" s="314" t="s">
        <v>203</v>
      </c>
      <c r="TTV11" s="314" t="s">
        <v>203</v>
      </c>
      <c r="TTW11" s="314" t="s">
        <v>203</v>
      </c>
      <c r="TTX11" s="314" t="s">
        <v>203</v>
      </c>
      <c r="TTY11" s="314" t="s">
        <v>203</v>
      </c>
      <c r="TTZ11" s="314" t="s">
        <v>203</v>
      </c>
      <c r="TUA11" s="314" t="s">
        <v>203</v>
      </c>
      <c r="TUB11" s="314" t="s">
        <v>203</v>
      </c>
      <c r="TUC11" s="314" t="s">
        <v>203</v>
      </c>
      <c r="TUD11" s="314" t="s">
        <v>203</v>
      </c>
      <c r="TUE11" s="314" t="s">
        <v>203</v>
      </c>
      <c r="TUF11" s="314" t="s">
        <v>203</v>
      </c>
      <c r="TUG11" s="314" t="s">
        <v>203</v>
      </c>
      <c r="TUH11" s="314" t="s">
        <v>203</v>
      </c>
      <c r="TUI11" s="314" t="s">
        <v>203</v>
      </c>
      <c r="TUJ11" s="314" t="s">
        <v>203</v>
      </c>
      <c r="TUK11" s="314" t="s">
        <v>203</v>
      </c>
      <c r="TUL11" s="314" t="s">
        <v>203</v>
      </c>
      <c r="TUM11" s="314" t="s">
        <v>203</v>
      </c>
      <c r="TUN11" s="314" t="s">
        <v>203</v>
      </c>
      <c r="TUO11" s="314" t="s">
        <v>203</v>
      </c>
      <c r="TUP11" s="314" t="s">
        <v>203</v>
      </c>
      <c r="TUQ11" s="314" t="s">
        <v>203</v>
      </c>
      <c r="TUR11" s="314" t="s">
        <v>203</v>
      </c>
      <c r="TUS11" s="314" t="s">
        <v>203</v>
      </c>
      <c r="TUT11" s="314" t="s">
        <v>203</v>
      </c>
      <c r="TUU11" s="314" t="s">
        <v>203</v>
      </c>
      <c r="TUV11" s="314" t="s">
        <v>203</v>
      </c>
      <c r="TUW11" s="314" t="s">
        <v>203</v>
      </c>
      <c r="TUX11" s="314" t="s">
        <v>203</v>
      </c>
      <c r="TUY11" s="314" t="s">
        <v>203</v>
      </c>
      <c r="TUZ11" s="314" t="s">
        <v>203</v>
      </c>
      <c r="TVA11" s="314" t="s">
        <v>203</v>
      </c>
      <c r="TVB11" s="314" t="s">
        <v>203</v>
      </c>
      <c r="TVC11" s="314" t="s">
        <v>203</v>
      </c>
      <c r="TVD11" s="314" t="s">
        <v>203</v>
      </c>
      <c r="TVE11" s="314" t="s">
        <v>203</v>
      </c>
      <c r="TVF11" s="314" t="s">
        <v>203</v>
      </c>
      <c r="TVG11" s="314" t="s">
        <v>203</v>
      </c>
      <c r="TVH11" s="314" t="s">
        <v>203</v>
      </c>
      <c r="TVI11" s="314" t="s">
        <v>203</v>
      </c>
      <c r="TVJ11" s="314" t="s">
        <v>203</v>
      </c>
      <c r="TVK11" s="314" t="s">
        <v>203</v>
      </c>
      <c r="TVL11" s="314" t="s">
        <v>203</v>
      </c>
      <c r="TVM11" s="314" t="s">
        <v>203</v>
      </c>
      <c r="TVN11" s="314" t="s">
        <v>203</v>
      </c>
      <c r="TVO11" s="314" t="s">
        <v>203</v>
      </c>
      <c r="TVP11" s="314" t="s">
        <v>203</v>
      </c>
      <c r="TVQ11" s="314" t="s">
        <v>203</v>
      </c>
      <c r="TVR11" s="314" t="s">
        <v>203</v>
      </c>
      <c r="TVS11" s="314" t="s">
        <v>203</v>
      </c>
      <c r="TVT11" s="314" t="s">
        <v>203</v>
      </c>
      <c r="TVU11" s="314" t="s">
        <v>203</v>
      </c>
      <c r="TVV11" s="314" t="s">
        <v>203</v>
      </c>
      <c r="TVW11" s="314" t="s">
        <v>203</v>
      </c>
      <c r="TVX11" s="314" t="s">
        <v>203</v>
      </c>
      <c r="TVY11" s="314" t="s">
        <v>203</v>
      </c>
      <c r="TVZ11" s="314" t="s">
        <v>203</v>
      </c>
      <c r="TWA11" s="314" t="s">
        <v>203</v>
      </c>
      <c r="TWB11" s="314" t="s">
        <v>203</v>
      </c>
      <c r="TWC11" s="314" t="s">
        <v>203</v>
      </c>
      <c r="TWD11" s="314" t="s">
        <v>203</v>
      </c>
      <c r="TWE11" s="314" t="s">
        <v>203</v>
      </c>
      <c r="TWF11" s="314" t="s">
        <v>203</v>
      </c>
      <c r="TWG11" s="314" t="s">
        <v>203</v>
      </c>
      <c r="TWH11" s="314" t="s">
        <v>203</v>
      </c>
      <c r="TWI11" s="314" t="s">
        <v>203</v>
      </c>
      <c r="TWJ11" s="314" t="s">
        <v>203</v>
      </c>
      <c r="TWK11" s="314" t="s">
        <v>203</v>
      </c>
      <c r="TWL11" s="314" t="s">
        <v>203</v>
      </c>
      <c r="TWM11" s="314" t="s">
        <v>203</v>
      </c>
      <c r="TWN11" s="314" t="s">
        <v>203</v>
      </c>
      <c r="TWO11" s="314" t="s">
        <v>203</v>
      </c>
      <c r="TWP11" s="314" t="s">
        <v>203</v>
      </c>
      <c r="TWQ11" s="314" t="s">
        <v>203</v>
      </c>
      <c r="TWR11" s="314" t="s">
        <v>203</v>
      </c>
      <c r="TWS11" s="314" t="s">
        <v>203</v>
      </c>
      <c r="TWT11" s="314" t="s">
        <v>203</v>
      </c>
      <c r="TWU11" s="314" t="s">
        <v>203</v>
      </c>
      <c r="TWV11" s="314" t="s">
        <v>203</v>
      </c>
      <c r="TWW11" s="314" t="s">
        <v>203</v>
      </c>
      <c r="TWX11" s="314" t="s">
        <v>203</v>
      </c>
      <c r="TWY11" s="314" t="s">
        <v>203</v>
      </c>
      <c r="TWZ11" s="314" t="s">
        <v>203</v>
      </c>
      <c r="TXA11" s="314" t="s">
        <v>203</v>
      </c>
      <c r="TXB11" s="314" t="s">
        <v>203</v>
      </c>
      <c r="TXC11" s="314" t="s">
        <v>203</v>
      </c>
      <c r="TXD11" s="314" t="s">
        <v>203</v>
      </c>
      <c r="TXE11" s="314" t="s">
        <v>203</v>
      </c>
      <c r="TXF11" s="314" t="s">
        <v>203</v>
      </c>
      <c r="TXG11" s="314" t="s">
        <v>203</v>
      </c>
      <c r="TXH11" s="314" t="s">
        <v>203</v>
      </c>
      <c r="TXI11" s="314" t="s">
        <v>203</v>
      </c>
      <c r="TXJ11" s="314" t="s">
        <v>203</v>
      </c>
      <c r="TXK11" s="314" t="s">
        <v>203</v>
      </c>
      <c r="TXL11" s="314" t="s">
        <v>203</v>
      </c>
      <c r="TXM11" s="314" t="s">
        <v>203</v>
      </c>
      <c r="TXN11" s="314" t="s">
        <v>203</v>
      </c>
      <c r="TXO11" s="314" t="s">
        <v>203</v>
      </c>
      <c r="TXP11" s="314" t="s">
        <v>203</v>
      </c>
      <c r="TXQ11" s="314" t="s">
        <v>203</v>
      </c>
      <c r="TXR11" s="314" t="s">
        <v>203</v>
      </c>
      <c r="TXS11" s="314" t="s">
        <v>203</v>
      </c>
      <c r="TXT11" s="314" t="s">
        <v>203</v>
      </c>
      <c r="TXU11" s="314" t="s">
        <v>203</v>
      </c>
      <c r="TXV11" s="314" t="s">
        <v>203</v>
      </c>
      <c r="TXW11" s="314" t="s">
        <v>203</v>
      </c>
      <c r="TXX11" s="314" t="s">
        <v>203</v>
      </c>
      <c r="TXY11" s="314" t="s">
        <v>203</v>
      </c>
      <c r="TXZ11" s="314" t="s">
        <v>203</v>
      </c>
      <c r="TYA11" s="314" t="s">
        <v>203</v>
      </c>
      <c r="TYB11" s="314" t="s">
        <v>203</v>
      </c>
      <c r="TYC11" s="314" t="s">
        <v>203</v>
      </c>
      <c r="TYD11" s="314" t="s">
        <v>203</v>
      </c>
      <c r="TYE11" s="314" t="s">
        <v>203</v>
      </c>
      <c r="TYF11" s="314" t="s">
        <v>203</v>
      </c>
      <c r="TYG11" s="314" t="s">
        <v>203</v>
      </c>
      <c r="TYH11" s="314" t="s">
        <v>203</v>
      </c>
      <c r="TYI11" s="314" t="s">
        <v>203</v>
      </c>
      <c r="TYJ11" s="314" t="s">
        <v>203</v>
      </c>
      <c r="TYK11" s="314" t="s">
        <v>203</v>
      </c>
      <c r="TYL11" s="314" t="s">
        <v>203</v>
      </c>
      <c r="TYM11" s="314" t="s">
        <v>203</v>
      </c>
      <c r="TYN11" s="314" t="s">
        <v>203</v>
      </c>
      <c r="TYO11" s="314" t="s">
        <v>203</v>
      </c>
      <c r="TYP11" s="314" t="s">
        <v>203</v>
      </c>
      <c r="TYQ11" s="314" t="s">
        <v>203</v>
      </c>
      <c r="TYR11" s="314" t="s">
        <v>203</v>
      </c>
      <c r="TYS11" s="314" t="s">
        <v>203</v>
      </c>
      <c r="TYT11" s="314" t="s">
        <v>203</v>
      </c>
      <c r="TYU11" s="314" t="s">
        <v>203</v>
      </c>
      <c r="TYV11" s="314" t="s">
        <v>203</v>
      </c>
      <c r="TYW11" s="314" t="s">
        <v>203</v>
      </c>
      <c r="TYX11" s="314" t="s">
        <v>203</v>
      </c>
      <c r="TYY11" s="314" t="s">
        <v>203</v>
      </c>
      <c r="TYZ11" s="314" t="s">
        <v>203</v>
      </c>
      <c r="TZA11" s="314" t="s">
        <v>203</v>
      </c>
      <c r="TZB11" s="314" t="s">
        <v>203</v>
      </c>
      <c r="TZC11" s="314" t="s">
        <v>203</v>
      </c>
      <c r="TZD11" s="314" t="s">
        <v>203</v>
      </c>
      <c r="TZE11" s="314" t="s">
        <v>203</v>
      </c>
      <c r="TZF11" s="314" t="s">
        <v>203</v>
      </c>
      <c r="TZG11" s="314" t="s">
        <v>203</v>
      </c>
      <c r="TZH11" s="314" t="s">
        <v>203</v>
      </c>
      <c r="TZI11" s="314" t="s">
        <v>203</v>
      </c>
      <c r="TZJ11" s="314" t="s">
        <v>203</v>
      </c>
      <c r="TZK11" s="314" t="s">
        <v>203</v>
      </c>
      <c r="TZL11" s="314" t="s">
        <v>203</v>
      </c>
      <c r="TZM11" s="314" t="s">
        <v>203</v>
      </c>
      <c r="TZN11" s="314" t="s">
        <v>203</v>
      </c>
      <c r="TZO11" s="314" t="s">
        <v>203</v>
      </c>
      <c r="TZP11" s="314" t="s">
        <v>203</v>
      </c>
      <c r="TZQ11" s="314" t="s">
        <v>203</v>
      </c>
      <c r="TZR11" s="314" t="s">
        <v>203</v>
      </c>
      <c r="TZS11" s="314" t="s">
        <v>203</v>
      </c>
      <c r="TZT11" s="314" t="s">
        <v>203</v>
      </c>
      <c r="TZU11" s="314" t="s">
        <v>203</v>
      </c>
      <c r="TZV11" s="314" t="s">
        <v>203</v>
      </c>
      <c r="TZW11" s="314" t="s">
        <v>203</v>
      </c>
      <c r="TZX11" s="314" t="s">
        <v>203</v>
      </c>
      <c r="TZY11" s="314" t="s">
        <v>203</v>
      </c>
      <c r="TZZ11" s="314" t="s">
        <v>203</v>
      </c>
      <c r="UAA11" s="314" t="s">
        <v>203</v>
      </c>
      <c r="UAB11" s="314" t="s">
        <v>203</v>
      </c>
      <c r="UAC11" s="314" t="s">
        <v>203</v>
      </c>
      <c r="UAD11" s="314" t="s">
        <v>203</v>
      </c>
      <c r="UAE11" s="314" t="s">
        <v>203</v>
      </c>
      <c r="UAF11" s="314" t="s">
        <v>203</v>
      </c>
      <c r="UAG11" s="314" t="s">
        <v>203</v>
      </c>
      <c r="UAH11" s="314" t="s">
        <v>203</v>
      </c>
      <c r="UAI11" s="314" t="s">
        <v>203</v>
      </c>
      <c r="UAJ11" s="314" t="s">
        <v>203</v>
      </c>
      <c r="UAK11" s="314" t="s">
        <v>203</v>
      </c>
      <c r="UAL11" s="314" t="s">
        <v>203</v>
      </c>
      <c r="UAM11" s="314" t="s">
        <v>203</v>
      </c>
      <c r="UAN11" s="314" t="s">
        <v>203</v>
      </c>
      <c r="UAO11" s="314" t="s">
        <v>203</v>
      </c>
      <c r="UAP11" s="314" t="s">
        <v>203</v>
      </c>
      <c r="UAQ11" s="314" t="s">
        <v>203</v>
      </c>
      <c r="UAR11" s="314" t="s">
        <v>203</v>
      </c>
      <c r="UAS11" s="314" t="s">
        <v>203</v>
      </c>
      <c r="UAT11" s="314" t="s">
        <v>203</v>
      </c>
      <c r="UAU11" s="314" t="s">
        <v>203</v>
      </c>
      <c r="UAV11" s="314" t="s">
        <v>203</v>
      </c>
      <c r="UAW11" s="314" t="s">
        <v>203</v>
      </c>
      <c r="UAX11" s="314" t="s">
        <v>203</v>
      </c>
      <c r="UAY11" s="314" t="s">
        <v>203</v>
      </c>
      <c r="UAZ11" s="314" t="s">
        <v>203</v>
      </c>
      <c r="UBA11" s="314" t="s">
        <v>203</v>
      </c>
      <c r="UBB11" s="314" t="s">
        <v>203</v>
      </c>
      <c r="UBC11" s="314" t="s">
        <v>203</v>
      </c>
      <c r="UBD11" s="314" t="s">
        <v>203</v>
      </c>
      <c r="UBE11" s="314" t="s">
        <v>203</v>
      </c>
      <c r="UBF11" s="314" t="s">
        <v>203</v>
      </c>
      <c r="UBG11" s="314" t="s">
        <v>203</v>
      </c>
      <c r="UBH11" s="314" t="s">
        <v>203</v>
      </c>
      <c r="UBI11" s="314" t="s">
        <v>203</v>
      </c>
      <c r="UBJ11" s="314" t="s">
        <v>203</v>
      </c>
      <c r="UBK11" s="314" t="s">
        <v>203</v>
      </c>
      <c r="UBL11" s="314" t="s">
        <v>203</v>
      </c>
      <c r="UBM11" s="314" t="s">
        <v>203</v>
      </c>
      <c r="UBN11" s="314" t="s">
        <v>203</v>
      </c>
      <c r="UBO11" s="314" t="s">
        <v>203</v>
      </c>
      <c r="UBP11" s="314" t="s">
        <v>203</v>
      </c>
      <c r="UBQ11" s="314" t="s">
        <v>203</v>
      </c>
      <c r="UBR11" s="314" t="s">
        <v>203</v>
      </c>
      <c r="UBS11" s="314" t="s">
        <v>203</v>
      </c>
      <c r="UBT11" s="314" t="s">
        <v>203</v>
      </c>
      <c r="UBU11" s="314" t="s">
        <v>203</v>
      </c>
      <c r="UBV11" s="314" t="s">
        <v>203</v>
      </c>
      <c r="UBW11" s="314" t="s">
        <v>203</v>
      </c>
      <c r="UBX11" s="314" t="s">
        <v>203</v>
      </c>
      <c r="UBY11" s="314" t="s">
        <v>203</v>
      </c>
      <c r="UBZ11" s="314" t="s">
        <v>203</v>
      </c>
      <c r="UCA11" s="314" t="s">
        <v>203</v>
      </c>
      <c r="UCB11" s="314" t="s">
        <v>203</v>
      </c>
      <c r="UCC11" s="314" t="s">
        <v>203</v>
      </c>
      <c r="UCD11" s="314" t="s">
        <v>203</v>
      </c>
      <c r="UCE11" s="314" t="s">
        <v>203</v>
      </c>
      <c r="UCF11" s="314" t="s">
        <v>203</v>
      </c>
      <c r="UCG11" s="314" t="s">
        <v>203</v>
      </c>
      <c r="UCH11" s="314" t="s">
        <v>203</v>
      </c>
      <c r="UCI11" s="314" t="s">
        <v>203</v>
      </c>
      <c r="UCJ11" s="314" t="s">
        <v>203</v>
      </c>
      <c r="UCK11" s="314" t="s">
        <v>203</v>
      </c>
      <c r="UCL11" s="314" t="s">
        <v>203</v>
      </c>
      <c r="UCM11" s="314" t="s">
        <v>203</v>
      </c>
      <c r="UCN11" s="314" t="s">
        <v>203</v>
      </c>
      <c r="UCO11" s="314" t="s">
        <v>203</v>
      </c>
      <c r="UCP11" s="314" t="s">
        <v>203</v>
      </c>
      <c r="UCQ11" s="314" t="s">
        <v>203</v>
      </c>
      <c r="UCR11" s="314" t="s">
        <v>203</v>
      </c>
      <c r="UCS11" s="314" t="s">
        <v>203</v>
      </c>
      <c r="UCT11" s="314" t="s">
        <v>203</v>
      </c>
      <c r="UCU11" s="314" t="s">
        <v>203</v>
      </c>
      <c r="UCV11" s="314" t="s">
        <v>203</v>
      </c>
      <c r="UCW11" s="314" t="s">
        <v>203</v>
      </c>
      <c r="UCX11" s="314" t="s">
        <v>203</v>
      </c>
      <c r="UCY11" s="314" t="s">
        <v>203</v>
      </c>
      <c r="UCZ11" s="314" t="s">
        <v>203</v>
      </c>
      <c r="UDA11" s="314" t="s">
        <v>203</v>
      </c>
      <c r="UDB11" s="314" t="s">
        <v>203</v>
      </c>
      <c r="UDC11" s="314" t="s">
        <v>203</v>
      </c>
      <c r="UDD11" s="314" t="s">
        <v>203</v>
      </c>
      <c r="UDE11" s="314" t="s">
        <v>203</v>
      </c>
      <c r="UDF11" s="314" t="s">
        <v>203</v>
      </c>
      <c r="UDG11" s="314" t="s">
        <v>203</v>
      </c>
      <c r="UDH11" s="314" t="s">
        <v>203</v>
      </c>
      <c r="UDI11" s="314" t="s">
        <v>203</v>
      </c>
      <c r="UDJ11" s="314" t="s">
        <v>203</v>
      </c>
      <c r="UDK11" s="314" t="s">
        <v>203</v>
      </c>
      <c r="UDL11" s="314" t="s">
        <v>203</v>
      </c>
      <c r="UDM11" s="314" t="s">
        <v>203</v>
      </c>
      <c r="UDN11" s="314" t="s">
        <v>203</v>
      </c>
      <c r="UDO11" s="314" t="s">
        <v>203</v>
      </c>
      <c r="UDP11" s="314" t="s">
        <v>203</v>
      </c>
      <c r="UDQ11" s="314" t="s">
        <v>203</v>
      </c>
      <c r="UDR11" s="314" t="s">
        <v>203</v>
      </c>
      <c r="UDS11" s="314" t="s">
        <v>203</v>
      </c>
      <c r="UDT11" s="314" t="s">
        <v>203</v>
      </c>
      <c r="UDU11" s="314" t="s">
        <v>203</v>
      </c>
      <c r="UDV11" s="314" t="s">
        <v>203</v>
      </c>
      <c r="UDW11" s="314" t="s">
        <v>203</v>
      </c>
      <c r="UDX11" s="314" t="s">
        <v>203</v>
      </c>
      <c r="UDY11" s="314" t="s">
        <v>203</v>
      </c>
      <c r="UDZ11" s="314" t="s">
        <v>203</v>
      </c>
      <c r="UEA11" s="314" t="s">
        <v>203</v>
      </c>
      <c r="UEB11" s="314" t="s">
        <v>203</v>
      </c>
      <c r="UEC11" s="314" t="s">
        <v>203</v>
      </c>
      <c r="UED11" s="314" t="s">
        <v>203</v>
      </c>
      <c r="UEE11" s="314" t="s">
        <v>203</v>
      </c>
      <c r="UEF11" s="314" t="s">
        <v>203</v>
      </c>
      <c r="UEG11" s="314" t="s">
        <v>203</v>
      </c>
      <c r="UEH11" s="314" t="s">
        <v>203</v>
      </c>
      <c r="UEI11" s="314" t="s">
        <v>203</v>
      </c>
      <c r="UEJ11" s="314" t="s">
        <v>203</v>
      </c>
      <c r="UEK11" s="314" t="s">
        <v>203</v>
      </c>
      <c r="UEL11" s="314" t="s">
        <v>203</v>
      </c>
      <c r="UEM11" s="314" t="s">
        <v>203</v>
      </c>
      <c r="UEN11" s="314" t="s">
        <v>203</v>
      </c>
      <c r="UEO11" s="314" t="s">
        <v>203</v>
      </c>
      <c r="UEP11" s="314" t="s">
        <v>203</v>
      </c>
      <c r="UEQ11" s="314" t="s">
        <v>203</v>
      </c>
      <c r="UER11" s="314" t="s">
        <v>203</v>
      </c>
      <c r="UES11" s="314" t="s">
        <v>203</v>
      </c>
      <c r="UET11" s="314" t="s">
        <v>203</v>
      </c>
      <c r="UEU11" s="314" t="s">
        <v>203</v>
      </c>
      <c r="UEV11" s="314" t="s">
        <v>203</v>
      </c>
      <c r="UEW11" s="314" t="s">
        <v>203</v>
      </c>
      <c r="UEX11" s="314" t="s">
        <v>203</v>
      </c>
      <c r="UEY11" s="314" t="s">
        <v>203</v>
      </c>
      <c r="UEZ11" s="314" t="s">
        <v>203</v>
      </c>
      <c r="UFA11" s="314" t="s">
        <v>203</v>
      </c>
      <c r="UFB11" s="314" t="s">
        <v>203</v>
      </c>
      <c r="UFC11" s="314" t="s">
        <v>203</v>
      </c>
      <c r="UFD11" s="314" t="s">
        <v>203</v>
      </c>
      <c r="UFE11" s="314" t="s">
        <v>203</v>
      </c>
      <c r="UFF11" s="314" t="s">
        <v>203</v>
      </c>
      <c r="UFG11" s="314" t="s">
        <v>203</v>
      </c>
      <c r="UFH11" s="314" t="s">
        <v>203</v>
      </c>
      <c r="UFI11" s="314" t="s">
        <v>203</v>
      </c>
      <c r="UFJ11" s="314" t="s">
        <v>203</v>
      </c>
      <c r="UFK11" s="314" t="s">
        <v>203</v>
      </c>
      <c r="UFL11" s="314" t="s">
        <v>203</v>
      </c>
      <c r="UFM11" s="314" t="s">
        <v>203</v>
      </c>
      <c r="UFN11" s="314" t="s">
        <v>203</v>
      </c>
      <c r="UFO11" s="314" t="s">
        <v>203</v>
      </c>
      <c r="UFP11" s="314" t="s">
        <v>203</v>
      </c>
      <c r="UFQ11" s="314" t="s">
        <v>203</v>
      </c>
      <c r="UFR11" s="314" t="s">
        <v>203</v>
      </c>
      <c r="UFS11" s="314" t="s">
        <v>203</v>
      </c>
      <c r="UFT11" s="314" t="s">
        <v>203</v>
      </c>
      <c r="UFU11" s="314" t="s">
        <v>203</v>
      </c>
      <c r="UFV11" s="314" t="s">
        <v>203</v>
      </c>
      <c r="UFW11" s="314" t="s">
        <v>203</v>
      </c>
      <c r="UFX11" s="314" t="s">
        <v>203</v>
      </c>
      <c r="UFY11" s="314" t="s">
        <v>203</v>
      </c>
      <c r="UFZ11" s="314" t="s">
        <v>203</v>
      </c>
      <c r="UGA11" s="314" t="s">
        <v>203</v>
      </c>
      <c r="UGB11" s="314" t="s">
        <v>203</v>
      </c>
      <c r="UGC11" s="314" t="s">
        <v>203</v>
      </c>
      <c r="UGD11" s="314" t="s">
        <v>203</v>
      </c>
      <c r="UGE11" s="314" t="s">
        <v>203</v>
      </c>
      <c r="UGF11" s="314" t="s">
        <v>203</v>
      </c>
      <c r="UGG11" s="314" t="s">
        <v>203</v>
      </c>
      <c r="UGH11" s="314" t="s">
        <v>203</v>
      </c>
      <c r="UGI11" s="314" t="s">
        <v>203</v>
      </c>
      <c r="UGJ11" s="314" t="s">
        <v>203</v>
      </c>
      <c r="UGK11" s="314" t="s">
        <v>203</v>
      </c>
      <c r="UGL11" s="314" t="s">
        <v>203</v>
      </c>
      <c r="UGM11" s="314" t="s">
        <v>203</v>
      </c>
      <c r="UGN11" s="314" t="s">
        <v>203</v>
      </c>
      <c r="UGO11" s="314" t="s">
        <v>203</v>
      </c>
      <c r="UGP11" s="314" t="s">
        <v>203</v>
      </c>
      <c r="UGQ11" s="314" t="s">
        <v>203</v>
      </c>
      <c r="UGR11" s="314" t="s">
        <v>203</v>
      </c>
      <c r="UGS11" s="314" t="s">
        <v>203</v>
      </c>
      <c r="UGT11" s="314" t="s">
        <v>203</v>
      </c>
      <c r="UGU11" s="314" t="s">
        <v>203</v>
      </c>
      <c r="UGV11" s="314" t="s">
        <v>203</v>
      </c>
      <c r="UGW11" s="314" t="s">
        <v>203</v>
      </c>
      <c r="UGX11" s="314" t="s">
        <v>203</v>
      </c>
      <c r="UGY11" s="314" t="s">
        <v>203</v>
      </c>
      <c r="UGZ11" s="314" t="s">
        <v>203</v>
      </c>
      <c r="UHA11" s="314" t="s">
        <v>203</v>
      </c>
      <c r="UHB11" s="314" t="s">
        <v>203</v>
      </c>
      <c r="UHC11" s="314" t="s">
        <v>203</v>
      </c>
      <c r="UHD11" s="314" t="s">
        <v>203</v>
      </c>
      <c r="UHE11" s="314" t="s">
        <v>203</v>
      </c>
      <c r="UHF11" s="314" t="s">
        <v>203</v>
      </c>
      <c r="UHG11" s="314" t="s">
        <v>203</v>
      </c>
      <c r="UHH11" s="314" t="s">
        <v>203</v>
      </c>
      <c r="UHI11" s="314" t="s">
        <v>203</v>
      </c>
      <c r="UHJ11" s="314" t="s">
        <v>203</v>
      </c>
      <c r="UHK11" s="314" t="s">
        <v>203</v>
      </c>
      <c r="UHL11" s="314" t="s">
        <v>203</v>
      </c>
      <c r="UHM11" s="314" t="s">
        <v>203</v>
      </c>
      <c r="UHN11" s="314" t="s">
        <v>203</v>
      </c>
      <c r="UHO11" s="314" t="s">
        <v>203</v>
      </c>
      <c r="UHP11" s="314" t="s">
        <v>203</v>
      </c>
      <c r="UHQ11" s="314" t="s">
        <v>203</v>
      </c>
      <c r="UHR11" s="314" t="s">
        <v>203</v>
      </c>
      <c r="UHS11" s="314" t="s">
        <v>203</v>
      </c>
      <c r="UHT11" s="314" t="s">
        <v>203</v>
      </c>
      <c r="UHU11" s="314" t="s">
        <v>203</v>
      </c>
      <c r="UHV11" s="314" t="s">
        <v>203</v>
      </c>
      <c r="UHW11" s="314" t="s">
        <v>203</v>
      </c>
      <c r="UHX11" s="314" t="s">
        <v>203</v>
      </c>
      <c r="UHY11" s="314" t="s">
        <v>203</v>
      </c>
      <c r="UHZ11" s="314" t="s">
        <v>203</v>
      </c>
      <c r="UIA11" s="314" t="s">
        <v>203</v>
      </c>
      <c r="UIB11" s="314" t="s">
        <v>203</v>
      </c>
      <c r="UIC11" s="314" t="s">
        <v>203</v>
      </c>
      <c r="UID11" s="314" t="s">
        <v>203</v>
      </c>
      <c r="UIE11" s="314" t="s">
        <v>203</v>
      </c>
      <c r="UIF11" s="314" t="s">
        <v>203</v>
      </c>
      <c r="UIG11" s="314" t="s">
        <v>203</v>
      </c>
      <c r="UIH11" s="314" t="s">
        <v>203</v>
      </c>
      <c r="UII11" s="314" t="s">
        <v>203</v>
      </c>
      <c r="UIJ11" s="314" t="s">
        <v>203</v>
      </c>
      <c r="UIK11" s="314" t="s">
        <v>203</v>
      </c>
      <c r="UIL11" s="314" t="s">
        <v>203</v>
      </c>
      <c r="UIM11" s="314" t="s">
        <v>203</v>
      </c>
      <c r="UIN11" s="314" t="s">
        <v>203</v>
      </c>
      <c r="UIO11" s="314" t="s">
        <v>203</v>
      </c>
      <c r="UIP11" s="314" t="s">
        <v>203</v>
      </c>
      <c r="UIQ11" s="314" t="s">
        <v>203</v>
      </c>
      <c r="UIR11" s="314" t="s">
        <v>203</v>
      </c>
      <c r="UIS11" s="314" t="s">
        <v>203</v>
      </c>
      <c r="UIT11" s="314" t="s">
        <v>203</v>
      </c>
      <c r="UIU11" s="314" t="s">
        <v>203</v>
      </c>
      <c r="UIV11" s="314" t="s">
        <v>203</v>
      </c>
      <c r="UIW11" s="314" t="s">
        <v>203</v>
      </c>
      <c r="UIX11" s="314" t="s">
        <v>203</v>
      </c>
      <c r="UIY11" s="314" t="s">
        <v>203</v>
      </c>
      <c r="UIZ11" s="314" t="s">
        <v>203</v>
      </c>
      <c r="UJA11" s="314" t="s">
        <v>203</v>
      </c>
      <c r="UJB11" s="314" t="s">
        <v>203</v>
      </c>
      <c r="UJC11" s="314" t="s">
        <v>203</v>
      </c>
      <c r="UJD11" s="314" t="s">
        <v>203</v>
      </c>
      <c r="UJE11" s="314" t="s">
        <v>203</v>
      </c>
      <c r="UJF11" s="314" t="s">
        <v>203</v>
      </c>
      <c r="UJG11" s="314" t="s">
        <v>203</v>
      </c>
      <c r="UJH11" s="314" t="s">
        <v>203</v>
      </c>
      <c r="UJI11" s="314" t="s">
        <v>203</v>
      </c>
      <c r="UJJ11" s="314" t="s">
        <v>203</v>
      </c>
      <c r="UJK11" s="314" t="s">
        <v>203</v>
      </c>
      <c r="UJL11" s="314" t="s">
        <v>203</v>
      </c>
      <c r="UJM11" s="314" t="s">
        <v>203</v>
      </c>
      <c r="UJN11" s="314" t="s">
        <v>203</v>
      </c>
      <c r="UJO11" s="314" t="s">
        <v>203</v>
      </c>
      <c r="UJP11" s="314" t="s">
        <v>203</v>
      </c>
      <c r="UJQ11" s="314" t="s">
        <v>203</v>
      </c>
      <c r="UJR11" s="314" t="s">
        <v>203</v>
      </c>
      <c r="UJS11" s="314" t="s">
        <v>203</v>
      </c>
      <c r="UJT11" s="314" t="s">
        <v>203</v>
      </c>
      <c r="UJU11" s="314" t="s">
        <v>203</v>
      </c>
      <c r="UJV11" s="314" t="s">
        <v>203</v>
      </c>
      <c r="UJW11" s="314" t="s">
        <v>203</v>
      </c>
      <c r="UJX11" s="314" t="s">
        <v>203</v>
      </c>
      <c r="UJY11" s="314" t="s">
        <v>203</v>
      </c>
      <c r="UJZ11" s="314" t="s">
        <v>203</v>
      </c>
      <c r="UKA11" s="314" t="s">
        <v>203</v>
      </c>
      <c r="UKB11" s="314" t="s">
        <v>203</v>
      </c>
      <c r="UKC11" s="314" t="s">
        <v>203</v>
      </c>
      <c r="UKD11" s="314" t="s">
        <v>203</v>
      </c>
      <c r="UKE11" s="314" t="s">
        <v>203</v>
      </c>
      <c r="UKF11" s="314" t="s">
        <v>203</v>
      </c>
      <c r="UKG11" s="314" t="s">
        <v>203</v>
      </c>
      <c r="UKH11" s="314" t="s">
        <v>203</v>
      </c>
      <c r="UKI11" s="314" t="s">
        <v>203</v>
      </c>
      <c r="UKJ11" s="314" t="s">
        <v>203</v>
      </c>
      <c r="UKK11" s="314" t="s">
        <v>203</v>
      </c>
      <c r="UKL11" s="314" t="s">
        <v>203</v>
      </c>
      <c r="UKM11" s="314" t="s">
        <v>203</v>
      </c>
      <c r="UKN11" s="314" t="s">
        <v>203</v>
      </c>
      <c r="UKO11" s="314" t="s">
        <v>203</v>
      </c>
      <c r="UKP11" s="314" t="s">
        <v>203</v>
      </c>
      <c r="UKQ11" s="314" t="s">
        <v>203</v>
      </c>
      <c r="UKR11" s="314" t="s">
        <v>203</v>
      </c>
      <c r="UKS11" s="314" t="s">
        <v>203</v>
      </c>
      <c r="UKT11" s="314" t="s">
        <v>203</v>
      </c>
      <c r="UKU11" s="314" t="s">
        <v>203</v>
      </c>
      <c r="UKV11" s="314" t="s">
        <v>203</v>
      </c>
      <c r="UKW11" s="314" t="s">
        <v>203</v>
      </c>
      <c r="UKX11" s="314" t="s">
        <v>203</v>
      </c>
      <c r="UKY11" s="314" t="s">
        <v>203</v>
      </c>
      <c r="UKZ11" s="314" t="s">
        <v>203</v>
      </c>
      <c r="ULA11" s="314" t="s">
        <v>203</v>
      </c>
      <c r="ULB11" s="314" t="s">
        <v>203</v>
      </c>
      <c r="ULC11" s="314" t="s">
        <v>203</v>
      </c>
      <c r="ULD11" s="314" t="s">
        <v>203</v>
      </c>
      <c r="ULE11" s="314" t="s">
        <v>203</v>
      </c>
      <c r="ULF11" s="314" t="s">
        <v>203</v>
      </c>
      <c r="ULG11" s="314" t="s">
        <v>203</v>
      </c>
      <c r="ULH11" s="314" t="s">
        <v>203</v>
      </c>
      <c r="ULI11" s="314" t="s">
        <v>203</v>
      </c>
      <c r="ULJ11" s="314" t="s">
        <v>203</v>
      </c>
      <c r="ULK11" s="314" t="s">
        <v>203</v>
      </c>
      <c r="ULL11" s="314" t="s">
        <v>203</v>
      </c>
      <c r="ULM11" s="314" t="s">
        <v>203</v>
      </c>
      <c r="ULN11" s="314" t="s">
        <v>203</v>
      </c>
      <c r="ULO11" s="314" t="s">
        <v>203</v>
      </c>
      <c r="ULP11" s="314" t="s">
        <v>203</v>
      </c>
      <c r="ULQ11" s="314" t="s">
        <v>203</v>
      </c>
      <c r="ULR11" s="314" t="s">
        <v>203</v>
      </c>
      <c r="ULS11" s="314" t="s">
        <v>203</v>
      </c>
      <c r="ULT11" s="314" t="s">
        <v>203</v>
      </c>
      <c r="ULU11" s="314" t="s">
        <v>203</v>
      </c>
      <c r="ULV11" s="314" t="s">
        <v>203</v>
      </c>
      <c r="ULW11" s="314" t="s">
        <v>203</v>
      </c>
      <c r="ULX11" s="314" t="s">
        <v>203</v>
      </c>
      <c r="ULY11" s="314" t="s">
        <v>203</v>
      </c>
      <c r="ULZ11" s="314" t="s">
        <v>203</v>
      </c>
      <c r="UMA11" s="314" t="s">
        <v>203</v>
      </c>
      <c r="UMB11" s="314" t="s">
        <v>203</v>
      </c>
      <c r="UMC11" s="314" t="s">
        <v>203</v>
      </c>
      <c r="UMD11" s="314" t="s">
        <v>203</v>
      </c>
      <c r="UME11" s="314" t="s">
        <v>203</v>
      </c>
      <c r="UMF11" s="314" t="s">
        <v>203</v>
      </c>
      <c r="UMG11" s="314" t="s">
        <v>203</v>
      </c>
      <c r="UMH11" s="314" t="s">
        <v>203</v>
      </c>
      <c r="UMI11" s="314" t="s">
        <v>203</v>
      </c>
      <c r="UMJ11" s="314" t="s">
        <v>203</v>
      </c>
      <c r="UMK11" s="314" t="s">
        <v>203</v>
      </c>
      <c r="UML11" s="314" t="s">
        <v>203</v>
      </c>
      <c r="UMM11" s="314" t="s">
        <v>203</v>
      </c>
      <c r="UMN11" s="314" t="s">
        <v>203</v>
      </c>
      <c r="UMO11" s="314" t="s">
        <v>203</v>
      </c>
      <c r="UMP11" s="314" t="s">
        <v>203</v>
      </c>
      <c r="UMQ11" s="314" t="s">
        <v>203</v>
      </c>
      <c r="UMR11" s="314" t="s">
        <v>203</v>
      </c>
      <c r="UMS11" s="314" t="s">
        <v>203</v>
      </c>
      <c r="UMT11" s="314" t="s">
        <v>203</v>
      </c>
      <c r="UMU11" s="314" t="s">
        <v>203</v>
      </c>
      <c r="UMV11" s="314" t="s">
        <v>203</v>
      </c>
      <c r="UMW11" s="314" t="s">
        <v>203</v>
      </c>
      <c r="UMX11" s="314" t="s">
        <v>203</v>
      </c>
      <c r="UMY11" s="314" t="s">
        <v>203</v>
      </c>
      <c r="UMZ11" s="314" t="s">
        <v>203</v>
      </c>
      <c r="UNA11" s="314" t="s">
        <v>203</v>
      </c>
      <c r="UNB11" s="314" t="s">
        <v>203</v>
      </c>
      <c r="UNC11" s="314" t="s">
        <v>203</v>
      </c>
      <c r="UND11" s="314" t="s">
        <v>203</v>
      </c>
      <c r="UNE11" s="314" t="s">
        <v>203</v>
      </c>
      <c r="UNF11" s="314" t="s">
        <v>203</v>
      </c>
      <c r="UNG11" s="314" t="s">
        <v>203</v>
      </c>
      <c r="UNH11" s="314" t="s">
        <v>203</v>
      </c>
      <c r="UNI11" s="314" t="s">
        <v>203</v>
      </c>
      <c r="UNJ11" s="314" t="s">
        <v>203</v>
      </c>
      <c r="UNK11" s="314" t="s">
        <v>203</v>
      </c>
      <c r="UNL11" s="314" t="s">
        <v>203</v>
      </c>
      <c r="UNM11" s="314" t="s">
        <v>203</v>
      </c>
      <c r="UNN11" s="314" t="s">
        <v>203</v>
      </c>
      <c r="UNO11" s="314" t="s">
        <v>203</v>
      </c>
      <c r="UNP11" s="314" t="s">
        <v>203</v>
      </c>
      <c r="UNQ11" s="314" t="s">
        <v>203</v>
      </c>
      <c r="UNR11" s="314" t="s">
        <v>203</v>
      </c>
      <c r="UNS11" s="314" t="s">
        <v>203</v>
      </c>
      <c r="UNT11" s="314" t="s">
        <v>203</v>
      </c>
      <c r="UNU11" s="314" t="s">
        <v>203</v>
      </c>
      <c r="UNV11" s="314" t="s">
        <v>203</v>
      </c>
      <c r="UNW11" s="314" t="s">
        <v>203</v>
      </c>
      <c r="UNX11" s="314" t="s">
        <v>203</v>
      </c>
      <c r="UNY11" s="314" t="s">
        <v>203</v>
      </c>
      <c r="UNZ11" s="314" t="s">
        <v>203</v>
      </c>
      <c r="UOA11" s="314" t="s">
        <v>203</v>
      </c>
      <c r="UOB11" s="314" t="s">
        <v>203</v>
      </c>
      <c r="UOC11" s="314" t="s">
        <v>203</v>
      </c>
      <c r="UOD11" s="314" t="s">
        <v>203</v>
      </c>
      <c r="UOE11" s="314" t="s">
        <v>203</v>
      </c>
      <c r="UOF11" s="314" t="s">
        <v>203</v>
      </c>
      <c r="UOG11" s="314" t="s">
        <v>203</v>
      </c>
      <c r="UOH11" s="314" t="s">
        <v>203</v>
      </c>
      <c r="UOI11" s="314" t="s">
        <v>203</v>
      </c>
      <c r="UOJ11" s="314" t="s">
        <v>203</v>
      </c>
      <c r="UOK11" s="314" t="s">
        <v>203</v>
      </c>
      <c r="UOL11" s="314" t="s">
        <v>203</v>
      </c>
      <c r="UOM11" s="314" t="s">
        <v>203</v>
      </c>
      <c r="UON11" s="314" t="s">
        <v>203</v>
      </c>
      <c r="UOO11" s="314" t="s">
        <v>203</v>
      </c>
      <c r="UOP11" s="314" t="s">
        <v>203</v>
      </c>
      <c r="UOQ11" s="314" t="s">
        <v>203</v>
      </c>
      <c r="UOR11" s="314" t="s">
        <v>203</v>
      </c>
      <c r="UOS11" s="314" t="s">
        <v>203</v>
      </c>
      <c r="UOT11" s="314" t="s">
        <v>203</v>
      </c>
      <c r="UOU11" s="314" t="s">
        <v>203</v>
      </c>
      <c r="UOV11" s="314" t="s">
        <v>203</v>
      </c>
      <c r="UOW11" s="314" t="s">
        <v>203</v>
      </c>
      <c r="UOX11" s="314" t="s">
        <v>203</v>
      </c>
      <c r="UOY11" s="314" t="s">
        <v>203</v>
      </c>
      <c r="UOZ11" s="314" t="s">
        <v>203</v>
      </c>
      <c r="UPA11" s="314" t="s">
        <v>203</v>
      </c>
      <c r="UPB11" s="314" t="s">
        <v>203</v>
      </c>
      <c r="UPC11" s="314" t="s">
        <v>203</v>
      </c>
      <c r="UPD11" s="314" t="s">
        <v>203</v>
      </c>
      <c r="UPE11" s="314" t="s">
        <v>203</v>
      </c>
      <c r="UPF11" s="314" t="s">
        <v>203</v>
      </c>
      <c r="UPG11" s="314" t="s">
        <v>203</v>
      </c>
      <c r="UPH11" s="314" t="s">
        <v>203</v>
      </c>
      <c r="UPI11" s="314" t="s">
        <v>203</v>
      </c>
      <c r="UPJ11" s="314" t="s">
        <v>203</v>
      </c>
      <c r="UPK11" s="314" t="s">
        <v>203</v>
      </c>
      <c r="UPL11" s="314" t="s">
        <v>203</v>
      </c>
      <c r="UPM11" s="314" t="s">
        <v>203</v>
      </c>
      <c r="UPN11" s="314" t="s">
        <v>203</v>
      </c>
      <c r="UPO11" s="314" t="s">
        <v>203</v>
      </c>
      <c r="UPP11" s="314" t="s">
        <v>203</v>
      </c>
      <c r="UPQ11" s="314" t="s">
        <v>203</v>
      </c>
      <c r="UPR11" s="314" t="s">
        <v>203</v>
      </c>
      <c r="UPS11" s="314" t="s">
        <v>203</v>
      </c>
      <c r="UPT11" s="314" t="s">
        <v>203</v>
      </c>
      <c r="UPU11" s="314" t="s">
        <v>203</v>
      </c>
      <c r="UPV11" s="314" t="s">
        <v>203</v>
      </c>
      <c r="UPW11" s="314" t="s">
        <v>203</v>
      </c>
      <c r="UPX11" s="314" t="s">
        <v>203</v>
      </c>
      <c r="UPY11" s="314" t="s">
        <v>203</v>
      </c>
      <c r="UPZ11" s="314" t="s">
        <v>203</v>
      </c>
      <c r="UQA11" s="314" t="s">
        <v>203</v>
      </c>
      <c r="UQB11" s="314" t="s">
        <v>203</v>
      </c>
      <c r="UQC11" s="314" t="s">
        <v>203</v>
      </c>
      <c r="UQD11" s="314" t="s">
        <v>203</v>
      </c>
      <c r="UQE11" s="314" t="s">
        <v>203</v>
      </c>
      <c r="UQF11" s="314" t="s">
        <v>203</v>
      </c>
      <c r="UQG11" s="314" t="s">
        <v>203</v>
      </c>
      <c r="UQH11" s="314" t="s">
        <v>203</v>
      </c>
      <c r="UQI11" s="314" t="s">
        <v>203</v>
      </c>
      <c r="UQJ11" s="314" t="s">
        <v>203</v>
      </c>
      <c r="UQK11" s="314" t="s">
        <v>203</v>
      </c>
      <c r="UQL11" s="314" t="s">
        <v>203</v>
      </c>
      <c r="UQM11" s="314" t="s">
        <v>203</v>
      </c>
      <c r="UQN11" s="314" t="s">
        <v>203</v>
      </c>
      <c r="UQO11" s="314" t="s">
        <v>203</v>
      </c>
      <c r="UQP11" s="314" t="s">
        <v>203</v>
      </c>
      <c r="UQQ11" s="314" t="s">
        <v>203</v>
      </c>
      <c r="UQR11" s="314" t="s">
        <v>203</v>
      </c>
      <c r="UQS11" s="314" t="s">
        <v>203</v>
      </c>
      <c r="UQT11" s="314" t="s">
        <v>203</v>
      </c>
      <c r="UQU11" s="314" t="s">
        <v>203</v>
      </c>
      <c r="UQV11" s="314" t="s">
        <v>203</v>
      </c>
      <c r="UQW11" s="314" t="s">
        <v>203</v>
      </c>
      <c r="UQX11" s="314" t="s">
        <v>203</v>
      </c>
      <c r="UQY11" s="314" t="s">
        <v>203</v>
      </c>
      <c r="UQZ11" s="314" t="s">
        <v>203</v>
      </c>
      <c r="URA11" s="314" t="s">
        <v>203</v>
      </c>
      <c r="URB11" s="314" t="s">
        <v>203</v>
      </c>
      <c r="URC11" s="314" t="s">
        <v>203</v>
      </c>
      <c r="URD11" s="314" t="s">
        <v>203</v>
      </c>
      <c r="URE11" s="314" t="s">
        <v>203</v>
      </c>
      <c r="URF11" s="314" t="s">
        <v>203</v>
      </c>
      <c r="URG11" s="314" t="s">
        <v>203</v>
      </c>
      <c r="URH11" s="314" t="s">
        <v>203</v>
      </c>
      <c r="URI11" s="314" t="s">
        <v>203</v>
      </c>
      <c r="URJ11" s="314" t="s">
        <v>203</v>
      </c>
      <c r="URK11" s="314" t="s">
        <v>203</v>
      </c>
      <c r="URL11" s="314" t="s">
        <v>203</v>
      </c>
      <c r="URM11" s="314" t="s">
        <v>203</v>
      </c>
      <c r="URN11" s="314" t="s">
        <v>203</v>
      </c>
      <c r="URO11" s="314" t="s">
        <v>203</v>
      </c>
      <c r="URP11" s="314" t="s">
        <v>203</v>
      </c>
      <c r="URQ11" s="314" t="s">
        <v>203</v>
      </c>
      <c r="URR11" s="314" t="s">
        <v>203</v>
      </c>
      <c r="URS11" s="314" t="s">
        <v>203</v>
      </c>
      <c r="URT11" s="314" t="s">
        <v>203</v>
      </c>
      <c r="URU11" s="314" t="s">
        <v>203</v>
      </c>
      <c r="URV11" s="314" t="s">
        <v>203</v>
      </c>
      <c r="URW11" s="314" t="s">
        <v>203</v>
      </c>
      <c r="URX11" s="314" t="s">
        <v>203</v>
      </c>
      <c r="URY11" s="314" t="s">
        <v>203</v>
      </c>
      <c r="URZ11" s="314" t="s">
        <v>203</v>
      </c>
      <c r="USA11" s="314" t="s">
        <v>203</v>
      </c>
      <c r="USB11" s="314" t="s">
        <v>203</v>
      </c>
      <c r="USC11" s="314" t="s">
        <v>203</v>
      </c>
      <c r="USD11" s="314" t="s">
        <v>203</v>
      </c>
      <c r="USE11" s="314" t="s">
        <v>203</v>
      </c>
      <c r="USF11" s="314" t="s">
        <v>203</v>
      </c>
      <c r="USG11" s="314" t="s">
        <v>203</v>
      </c>
      <c r="USH11" s="314" t="s">
        <v>203</v>
      </c>
      <c r="USI11" s="314" t="s">
        <v>203</v>
      </c>
      <c r="USJ11" s="314" t="s">
        <v>203</v>
      </c>
      <c r="USK11" s="314" t="s">
        <v>203</v>
      </c>
      <c r="USL11" s="314" t="s">
        <v>203</v>
      </c>
      <c r="USM11" s="314" t="s">
        <v>203</v>
      </c>
      <c r="USN11" s="314" t="s">
        <v>203</v>
      </c>
      <c r="USO11" s="314" t="s">
        <v>203</v>
      </c>
      <c r="USP11" s="314" t="s">
        <v>203</v>
      </c>
      <c r="USQ11" s="314" t="s">
        <v>203</v>
      </c>
      <c r="USR11" s="314" t="s">
        <v>203</v>
      </c>
      <c r="USS11" s="314" t="s">
        <v>203</v>
      </c>
      <c r="UST11" s="314" t="s">
        <v>203</v>
      </c>
      <c r="USU11" s="314" t="s">
        <v>203</v>
      </c>
      <c r="USV11" s="314" t="s">
        <v>203</v>
      </c>
      <c r="USW11" s="314" t="s">
        <v>203</v>
      </c>
      <c r="USX11" s="314" t="s">
        <v>203</v>
      </c>
      <c r="USY11" s="314" t="s">
        <v>203</v>
      </c>
      <c r="USZ11" s="314" t="s">
        <v>203</v>
      </c>
      <c r="UTA11" s="314" t="s">
        <v>203</v>
      </c>
      <c r="UTB11" s="314" t="s">
        <v>203</v>
      </c>
      <c r="UTC11" s="314" t="s">
        <v>203</v>
      </c>
      <c r="UTD11" s="314" t="s">
        <v>203</v>
      </c>
      <c r="UTE11" s="314" t="s">
        <v>203</v>
      </c>
      <c r="UTF11" s="314" t="s">
        <v>203</v>
      </c>
      <c r="UTG11" s="314" t="s">
        <v>203</v>
      </c>
      <c r="UTH11" s="314" t="s">
        <v>203</v>
      </c>
      <c r="UTI11" s="314" t="s">
        <v>203</v>
      </c>
      <c r="UTJ11" s="314" t="s">
        <v>203</v>
      </c>
      <c r="UTK11" s="314" t="s">
        <v>203</v>
      </c>
      <c r="UTL11" s="314" t="s">
        <v>203</v>
      </c>
      <c r="UTM11" s="314" t="s">
        <v>203</v>
      </c>
      <c r="UTN11" s="314" t="s">
        <v>203</v>
      </c>
      <c r="UTO11" s="314" t="s">
        <v>203</v>
      </c>
      <c r="UTP11" s="314" t="s">
        <v>203</v>
      </c>
      <c r="UTQ11" s="314" t="s">
        <v>203</v>
      </c>
      <c r="UTR11" s="314" t="s">
        <v>203</v>
      </c>
      <c r="UTS11" s="314" t="s">
        <v>203</v>
      </c>
      <c r="UTT11" s="314" t="s">
        <v>203</v>
      </c>
      <c r="UTU11" s="314" t="s">
        <v>203</v>
      </c>
      <c r="UTV11" s="314" t="s">
        <v>203</v>
      </c>
      <c r="UTW11" s="314" t="s">
        <v>203</v>
      </c>
      <c r="UTX11" s="314" t="s">
        <v>203</v>
      </c>
      <c r="UTY11" s="314" t="s">
        <v>203</v>
      </c>
      <c r="UTZ11" s="314" t="s">
        <v>203</v>
      </c>
      <c r="UUA11" s="314" t="s">
        <v>203</v>
      </c>
      <c r="UUB11" s="314" t="s">
        <v>203</v>
      </c>
      <c r="UUC11" s="314" t="s">
        <v>203</v>
      </c>
      <c r="UUD11" s="314" t="s">
        <v>203</v>
      </c>
      <c r="UUE11" s="314" t="s">
        <v>203</v>
      </c>
      <c r="UUF11" s="314" t="s">
        <v>203</v>
      </c>
      <c r="UUG11" s="314" t="s">
        <v>203</v>
      </c>
      <c r="UUH11" s="314" t="s">
        <v>203</v>
      </c>
      <c r="UUI11" s="314" t="s">
        <v>203</v>
      </c>
      <c r="UUJ11" s="314" t="s">
        <v>203</v>
      </c>
      <c r="UUK11" s="314" t="s">
        <v>203</v>
      </c>
      <c r="UUL11" s="314" t="s">
        <v>203</v>
      </c>
      <c r="UUM11" s="314" t="s">
        <v>203</v>
      </c>
      <c r="UUN11" s="314" t="s">
        <v>203</v>
      </c>
      <c r="UUO11" s="314" t="s">
        <v>203</v>
      </c>
      <c r="UUP11" s="314" t="s">
        <v>203</v>
      </c>
      <c r="UUQ11" s="314" t="s">
        <v>203</v>
      </c>
      <c r="UUR11" s="314" t="s">
        <v>203</v>
      </c>
      <c r="UUS11" s="314" t="s">
        <v>203</v>
      </c>
      <c r="UUT11" s="314" t="s">
        <v>203</v>
      </c>
      <c r="UUU11" s="314" t="s">
        <v>203</v>
      </c>
      <c r="UUV11" s="314" t="s">
        <v>203</v>
      </c>
      <c r="UUW11" s="314" t="s">
        <v>203</v>
      </c>
      <c r="UUX11" s="314" t="s">
        <v>203</v>
      </c>
      <c r="UUY11" s="314" t="s">
        <v>203</v>
      </c>
      <c r="UUZ11" s="314" t="s">
        <v>203</v>
      </c>
      <c r="UVA11" s="314" t="s">
        <v>203</v>
      </c>
      <c r="UVB11" s="314" t="s">
        <v>203</v>
      </c>
      <c r="UVC11" s="314" t="s">
        <v>203</v>
      </c>
      <c r="UVD11" s="314" t="s">
        <v>203</v>
      </c>
      <c r="UVE11" s="314" t="s">
        <v>203</v>
      </c>
      <c r="UVF11" s="314" t="s">
        <v>203</v>
      </c>
      <c r="UVG11" s="314" t="s">
        <v>203</v>
      </c>
      <c r="UVH11" s="314" t="s">
        <v>203</v>
      </c>
      <c r="UVI11" s="314" t="s">
        <v>203</v>
      </c>
      <c r="UVJ11" s="314" t="s">
        <v>203</v>
      </c>
      <c r="UVK11" s="314" t="s">
        <v>203</v>
      </c>
      <c r="UVL11" s="314" t="s">
        <v>203</v>
      </c>
      <c r="UVM11" s="314" t="s">
        <v>203</v>
      </c>
      <c r="UVN11" s="314" t="s">
        <v>203</v>
      </c>
      <c r="UVO11" s="314" t="s">
        <v>203</v>
      </c>
      <c r="UVP11" s="314" t="s">
        <v>203</v>
      </c>
      <c r="UVQ11" s="314" t="s">
        <v>203</v>
      </c>
      <c r="UVR11" s="314" t="s">
        <v>203</v>
      </c>
      <c r="UVS11" s="314" t="s">
        <v>203</v>
      </c>
      <c r="UVT11" s="314" t="s">
        <v>203</v>
      </c>
      <c r="UVU11" s="314" t="s">
        <v>203</v>
      </c>
      <c r="UVV11" s="314" t="s">
        <v>203</v>
      </c>
      <c r="UVW11" s="314" t="s">
        <v>203</v>
      </c>
      <c r="UVX11" s="314" t="s">
        <v>203</v>
      </c>
      <c r="UVY11" s="314" t="s">
        <v>203</v>
      </c>
      <c r="UVZ11" s="314" t="s">
        <v>203</v>
      </c>
      <c r="UWA11" s="314" t="s">
        <v>203</v>
      </c>
      <c r="UWB11" s="314" t="s">
        <v>203</v>
      </c>
      <c r="UWC11" s="314" t="s">
        <v>203</v>
      </c>
      <c r="UWD11" s="314" t="s">
        <v>203</v>
      </c>
      <c r="UWE11" s="314" t="s">
        <v>203</v>
      </c>
      <c r="UWF11" s="314" t="s">
        <v>203</v>
      </c>
      <c r="UWG11" s="314" t="s">
        <v>203</v>
      </c>
      <c r="UWH11" s="314" t="s">
        <v>203</v>
      </c>
      <c r="UWI11" s="314" t="s">
        <v>203</v>
      </c>
      <c r="UWJ11" s="314" t="s">
        <v>203</v>
      </c>
      <c r="UWK11" s="314" t="s">
        <v>203</v>
      </c>
      <c r="UWL11" s="314" t="s">
        <v>203</v>
      </c>
      <c r="UWM11" s="314" t="s">
        <v>203</v>
      </c>
      <c r="UWN11" s="314" t="s">
        <v>203</v>
      </c>
      <c r="UWO11" s="314" t="s">
        <v>203</v>
      </c>
      <c r="UWP11" s="314" t="s">
        <v>203</v>
      </c>
      <c r="UWQ11" s="314" t="s">
        <v>203</v>
      </c>
      <c r="UWR11" s="314" t="s">
        <v>203</v>
      </c>
      <c r="UWS11" s="314" t="s">
        <v>203</v>
      </c>
      <c r="UWT11" s="314" t="s">
        <v>203</v>
      </c>
      <c r="UWU11" s="314" t="s">
        <v>203</v>
      </c>
      <c r="UWV11" s="314" t="s">
        <v>203</v>
      </c>
      <c r="UWW11" s="314" t="s">
        <v>203</v>
      </c>
      <c r="UWX11" s="314" t="s">
        <v>203</v>
      </c>
      <c r="UWY11" s="314" t="s">
        <v>203</v>
      </c>
      <c r="UWZ11" s="314" t="s">
        <v>203</v>
      </c>
      <c r="UXA11" s="314" t="s">
        <v>203</v>
      </c>
      <c r="UXB11" s="314" t="s">
        <v>203</v>
      </c>
      <c r="UXC11" s="314" t="s">
        <v>203</v>
      </c>
      <c r="UXD11" s="314" t="s">
        <v>203</v>
      </c>
      <c r="UXE11" s="314" t="s">
        <v>203</v>
      </c>
      <c r="UXF11" s="314" t="s">
        <v>203</v>
      </c>
      <c r="UXG11" s="314" t="s">
        <v>203</v>
      </c>
      <c r="UXH11" s="314" t="s">
        <v>203</v>
      </c>
      <c r="UXI11" s="314" t="s">
        <v>203</v>
      </c>
      <c r="UXJ11" s="314" t="s">
        <v>203</v>
      </c>
      <c r="UXK11" s="314" t="s">
        <v>203</v>
      </c>
      <c r="UXL11" s="314" t="s">
        <v>203</v>
      </c>
      <c r="UXM11" s="314" t="s">
        <v>203</v>
      </c>
      <c r="UXN11" s="314" t="s">
        <v>203</v>
      </c>
      <c r="UXO11" s="314" t="s">
        <v>203</v>
      </c>
      <c r="UXP11" s="314" t="s">
        <v>203</v>
      </c>
      <c r="UXQ11" s="314" t="s">
        <v>203</v>
      </c>
      <c r="UXR11" s="314" t="s">
        <v>203</v>
      </c>
      <c r="UXS11" s="314" t="s">
        <v>203</v>
      </c>
      <c r="UXT11" s="314" t="s">
        <v>203</v>
      </c>
      <c r="UXU11" s="314" t="s">
        <v>203</v>
      </c>
      <c r="UXV11" s="314" t="s">
        <v>203</v>
      </c>
      <c r="UXW11" s="314" t="s">
        <v>203</v>
      </c>
      <c r="UXX11" s="314" t="s">
        <v>203</v>
      </c>
      <c r="UXY11" s="314" t="s">
        <v>203</v>
      </c>
      <c r="UXZ11" s="314" t="s">
        <v>203</v>
      </c>
      <c r="UYA11" s="314" t="s">
        <v>203</v>
      </c>
      <c r="UYB11" s="314" t="s">
        <v>203</v>
      </c>
      <c r="UYC11" s="314" t="s">
        <v>203</v>
      </c>
      <c r="UYD11" s="314" t="s">
        <v>203</v>
      </c>
      <c r="UYE11" s="314" t="s">
        <v>203</v>
      </c>
      <c r="UYF11" s="314" t="s">
        <v>203</v>
      </c>
      <c r="UYG11" s="314" t="s">
        <v>203</v>
      </c>
      <c r="UYH11" s="314" t="s">
        <v>203</v>
      </c>
      <c r="UYI11" s="314" t="s">
        <v>203</v>
      </c>
      <c r="UYJ11" s="314" t="s">
        <v>203</v>
      </c>
      <c r="UYK11" s="314" t="s">
        <v>203</v>
      </c>
      <c r="UYL11" s="314" t="s">
        <v>203</v>
      </c>
      <c r="UYM11" s="314" t="s">
        <v>203</v>
      </c>
      <c r="UYN11" s="314" t="s">
        <v>203</v>
      </c>
      <c r="UYO11" s="314" t="s">
        <v>203</v>
      </c>
      <c r="UYP11" s="314" t="s">
        <v>203</v>
      </c>
      <c r="UYQ11" s="314" t="s">
        <v>203</v>
      </c>
      <c r="UYR11" s="314" t="s">
        <v>203</v>
      </c>
      <c r="UYS11" s="314" t="s">
        <v>203</v>
      </c>
      <c r="UYT11" s="314" t="s">
        <v>203</v>
      </c>
      <c r="UYU11" s="314" t="s">
        <v>203</v>
      </c>
      <c r="UYV11" s="314" t="s">
        <v>203</v>
      </c>
      <c r="UYW11" s="314" t="s">
        <v>203</v>
      </c>
      <c r="UYX11" s="314" t="s">
        <v>203</v>
      </c>
      <c r="UYY11" s="314" t="s">
        <v>203</v>
      </c>
      <c r="UYZ11" s="314" t="s">
        <v>203</v>
      </c>
      <c r="UZA11" s="314" t="s">
        <v>203</v>
      </c>
      <c r="UZB11" s="314" t="s">
        <v>203</v>
      </c>
      <c r="UZC11" s="314" t="s">
        <v>203</v>
      </c>
      <c r="UZD11" s="314" t="s">
        <v>203</v>
      </c>
      <c r="UZE11" s="314" t="s">
        <v>203</v>
      </c>
      <c r="UZF11" s="314" t="s">
        <v>203</v>
      </c>
      <c r="UZG11" s="314" t="s">
        <v>203</v>
      </c>
      <c r="UZH11" s="314" t="s">
        <v>203</v>
      </c>
      <c r="UZI11" s="314" t="s">
        <v>203</v>
      </c>
      <c r="UZJ11" s="314" t="s">
        <v>203</v>
      </c>
      <c r="UZK11" s="314" t="s">
        <v>203</v>
      </c>
      <c r="UZL11" s="314" t="s">
        <v>203</v>
      </c>
      <c r="UZM11" s="314" t="s">
        <v>203</v>
      </c>
      <c r="UZN11" s="314" t="s">
        <v>203</v>
      </c>
      <c r="UZO11" s="314" t="s">
        <v>203</v>
      </c>
      <c r="UZP11" s="314" t="s">
        <v>203</v>
      </c>
      <c r="UZQ11" s="314" t="s">
        <v>203</v>
      </c>
      <c r="UZR11" s="314" t="s">
        <v>203</v>
      </c>
      <c r="UZS11" s="314" t="s">
        <v>203</v>
      </c>
      <c r="UZT11" s="314" t="s">
        <v>203</v>
      </c>
      <c r="UZU11" s="314" t="s">
        <v>203</v>
      </c>
      <c r="UZV11" s="314" t="s">
        <v>203</v>
      </c>
      <c r="UZW11" s="314" t="s">
        <v>203</v>
      </c>
      <c r="UZX11" s="314" t="s">
        <v>203</v>
      </c>
      <c r="UZY11" s="314" t="s">
        <v>203</v>
      </c>
      <c r="UZZ11" s="314" t="s">
        <v>203</v>
      </c>
      <c r="VAA11" s="314" t="s">
        <v>203</v>
      </c>
      <c r="VAB11" s="314" t="s">
        <v>203</v>
      </c>
      <c r="VAC11" s="314" t="s">
        <v>203</v>
      </c>
      <c r="VAD11" s="314" t="s">
        <v>203</v>
      </c>
      <c r="VAE11" s="314" t="s">
        <v>203</v>
      </c>
      <c r="VAF11" s="314" t="s">
        <v>203</v>
      </c>
      <c r="VAG11" s="314" t="s">
        <v>203</v>
      </c>
      <c r="VAH11" s="314" t="s">
        <v>203</v>
      </c>
      <c r="VAI11" s="314" t="s">
        <v>203</v>
      </c>
      <c r="VAJ11" s="314" t="s">
        <v>203</v>
      </c>
      <c r="VAK11" s="314" t="s">
        <v>203</v>
      </c>
      <c r="VAL11" s="314" t="s">
        <v>203</v>
      </c>
      <c r="VAM11" s="314" t="s">
        <v>203</v>
      </c>
      <c r="VAN11" s="314" t="s">
        <v>203</v>
      </c>
      <c r="VAO11" s="314" t="s">
        <v>203</v>
      </c>
      <c r="VAP11" s="314" t="s">
        <v>203</v>
      </c>
      <c r="VAQ11" s="314" t="s">
        <v>203</v>
      </c>
      <c r="VAR11" s="314" t="s">
        <v>203</v>
      </c>
      <c r="VAS11" s="314" t="s">
        <v>203</v>
      </c>
      <c r="VAT11" s="314" t="s">
        <v>203</v>
      </c>
      <c r="VAU11" s="314" t="s">
        <v>203</v>
      </c>
      <c r="VAV11" s="314" t="s">
        <v>203</v>
      </c>
      <c r="VAW11" s="314" t="s">
        <v>203</v>
      </c>
      <c r="VAX11" s="314" t="s">
        <v>203</v>
      </c>
      <c r="VAY11" s="314" t="s">
        <v>203</v>
      </c>
      <c r="VAZ11" s="314" t="s">
        <v>203</v>
      </c>
      <c r="VBA11" s="314" t="s">
        <v>203</v>
      </c>
      <c r="VBB11" s="314" t="s">
        <v>203</v>
      </c>
      <c r="VBC11" s="314" t="s">
        <v>203</v>
      </c>
      <c r="VBD11" s="314" t="s">
        <v>203</v>
      </c>
      <c r="VBE11" s="314" t="s">
        <v>203</v>
      </c>
      <c r="VBF11" s="314" t="s">
        <v>203</v>
      </c>
      <c r="VBG11" s="314" t="s">
        <v>203</v>
      </c>
      <c r="VBH11" s="314" t="s">
        <v>203</v>
      </c>
      <c r="VBI11" s="314" t="s">
        <v>203</v>
      </c>
      <c r="VBJ11" s="314" t="s">
        <v>203</v>
      </c>
      <c r="VBK11" s="314" t="s">
        <v>203</v>
      </c>
      <c r="VBL11" s="314" t="s">
        <v>203</v>
      </c>
      <c r="VBM11" s="314" t="s">
        <v>203</v>
      </c>
      <c r="VBN11" s="314" t="s">
        <v>203</v>
      </c>
      <c r="VBO11" s="314" t="s">
        <v>203</v>
      </c>
      <c r="VBP11" s="314" t="s">
        <v>203</v>
      </c>
      <c r="VBQ11" s="314" t="s">
        <v>203</v>
      </c>
      <c r="VBR11" s="314" t="s">
        <v>203</v>
      </c>
      <c r="VBS11" s="314" t="s">
        <v>203</v>
      </c>
      <c r="VBT11" s="314" t="s">
        <v>203</v>
      </c>
      <c r="VBU11" s="314" t="s">
        <v>203</v>
      </c>
      <c r="VBV11" s="314" t="s">
        <v>203</v>
      </c>
      <c r="VBW11" s="314" t="s">
        <v>203</v>
      </c>
      <c r="VBX11" s="314" t="s">
        <v>203</v>
      </c>
      <c r="VBY11" s="314" t="s">
        <v>203</v>
      </c>
      <c r="VBZ11" s="314" t="s">
        <v>203</v>
      </c>
      <c r="VCA11" s="314" t="s">
        <v>203</v>
      </c>
      <c r="VCB11" s="314" t="s">
        <v>203</v>
      </c>
      <c r="VCC11" s="314" t="s">
        <v>203</v>
      </c>
      <c r="VCD11" s="314" t="s">
        <v>203</v>
      </c>
      <c r="VCE11" s="314" t="s">
        <v>203</v>
      </c>
      <c r="VCF11" s="314" t="s">
        <v>203</v>
      </c>
      <c r="VCG11" s="314" t="s">
        <v>203</v>
      </c>
      <c r="VCH11" s="314" t="s">
        <v>203</v>
      </c>
      <c r="VCI11" s="314" t="s">
        <v>203</v>
      </c>
      <c r="VCJ11" s="314" t="s">
        <v>203</v>
      </c>
      <c r="VCK11" s="314" t="s">
        <v>203</v>
      </c>
      <c r="VCL11" s="314" t="s">
        <v>203</v>
      </c>
      <c r="VCM11" s="314" t="s">
        <v>203</v>
      </c>
      <c r="VCN11" s="314" t="s">
        <v>203</v>
      </c>
      <c r="VCO11" s="314" t="s">
        <v>203</v>
      </c>
      <c r="VCP11" s="314" t="s">
        <v>203</v>
      </c>
      <c r="VCQ11" s="314" t="s">
        <v>203</v>
      </c>
      <c r="VCR11" s="314" t="s">
        <v>203</v>
      </c>
      <c r="VCS11" s="314" t="s">
        <v>203</v>
      </c>
      <c r="VCT11" s="314" t="s">
        <v>203</v>
      </c>
      <c r="VCU11" s="314" t="s">
        <v>203</v>
      </c>
      <c r="VCV11" s="314" t="s">
        <v>203</v>
      </c>
      <c r="VCW11" s="314" t="s">
        <v>203</v>
      </c>
      <c r="VCX11" s="314" t="s">
        <v>203</v>
      </c>
      <c r="VCY11" s="314" t="s">
        <v>203</v>
      </c>
      <c r="VCZ11" s="314" t="s">
        <v>203</v>
      </c>
      <c r="VDA11" s="314" t="s">
        <v>203</v>
      </c>
      <c r="VDB11" s="314" t="s">
        <v>203</v>
      </c>
      <c r="VDC11" s="314" t="s">
        <v>203</v>
      </c>
      <c r="VDD11" s="314" t="s">
        <v>203</v>
      </c>
      <c r="VDE11" s="314" t="s">
        <v>203</v>
      </c>
      <c r="VDF11" s="314" t="s">
        <v>203</v>
      </c>
      <c r="VDG11" s="314" t="s">
        <v>203</v>
      </c>
      <c r="VDH11" s="314" t="s">
        <v>203</v>
      </c>
      <c r="VDI11" s="314" t="s">
        <v>203</v>
      </c>
      <c r="VDJ11" s="314" t="s">
        <v>203</v>
      </c>
      <c r="VDK11" s="314" t="s">
        <v>203</v>
      </c>
      <c r="VDL11" s="314" t="s">
        <v>203</v>
      </c>
      <c r="VDM11" s="314" t="s">
        <v>203</v>
      </c>
      <c r="VDN11" s="314" t="s">
        <v>203</v>
      </c>
      <c r="VDO11" s="314" t="s">
        <v>203</v>
      </c>
      <c r="VDP11" s="314" t="s">
        <v>203</v>
      </c>
      <c r="VDQ11" s="314" t="s">
        <v>203</v>
      </c>
      <c r="VDR11" s="314" t="s">
        <v>203</v>
      </c>
      <c r="VDS11" s="314" t="s">
        <v>203</v>
      </c>
      <c r="VDT11" s="314" t="s">
        <v>203</v>
      </c>
      <c r="VDU11" s="314" t="s">
        <v>203</v>
      </c>
      <c r="VDV11" s="314" t="s">
        <v>203</v>
      </c>
      <c r="VDW11" s="314" t="s">
        <v>203</v>
      </c>
      <c r="VDX11" s="314" t="s">
        <v>203</v>
      </c>
      <c r="VDY11" s="314" t="s">
        <v>203</v>
      </c>
      <c r="VDZ11" s="314" t="s">
        <v>203</v>
      </c>
      <c r="VEA11" s="314" t="s">
        <v>203</v>
      </c>
      <c r="VEB11" s="314" t="s">
        <v>203</v>
      </c>
      <c r="VEC11" s="314" t="s">
        <v>203</v>
      </c>
      <c r="VED11" s="314" t="s">
        <v>203</v>
      </c>
      <c r="VEE11" s="314" t="s">
        <v>203</v>
      </c>
      <c r="VEF11" s="314" t="s">
        <v>203</v>
      </c>
      <c r="VEG11" s="314" t="s">
        <v>203</v>
      </c>
      <c r="VEH11" s="314" t="s">
        <v>203</v>
      </c>
      <c r="VEI11" s="314" t="s">
        <v>203</v>
      </c>
      <c r="VEJ11" s="314" t="s">
        <v>203</v>
      </c>
      <c r="VEK11" s="314" t="s">
        <v>203</v>
      </c>
      <c r="VEL11" s="314" t="s">
        <v>203</v>
      </c>
      <c r="VEM11" s="314" t="s">
        <v>203</v>
      </c>
      <c r="VEN11" s="314" t="s">
        <v>203</v>
      </c>
      <c r="VEO11" s="314" t="s">
        <v>203</v>
      </c>
      <c r="VEP11" s="314" t="s">
        <v>203</v>
      </c>
      <c r="VEQ11" s="314" t="s">
        <v>203</v>
      </c>
      <c r="VER11" s="314" t="s">
        <v>203</v>
      </c>
      <c r="VES11" s="314" t="s">
        <v>203</v>
      </c>
      <c r="VET11" s="314" t="s">
        <v>203</v>
      </c>
      <c r="VEU11" s="314" t="s">
        <v>203</v>
      </c>
      <c r="VEV11" s="314" t="s">
        <v>203</v>
      </c>
      <c r="VEW11" s="314" t="s">
        <v>203</v>
      </c>
      <c r="VEX11" s="314" t="s">
        <v>203</v>
      </c>
      <c r="VEY11" s="314" t="s">
        <v>203</v>
      </c>
      <c r="VEZ11" s="314" t="s">
        <v>203</v>
      </c>
      <c r="VFA11" s="314" t="s">
        <v>203</v>
      </c>
      <c r="VFB11" s="314" t="s">
        <v>203</v>
      </c>
      <c r="VFC11" s="314" t="s">
        <v>203</v>
      </c>
      <c r="VFD11" s="314" t="s">
        <v>203</v>
      </c>
      <c r="VFE11" s="314" t="s">
        <v>203</v>
      </c>
      <c r="VFF11" s="314" t="s">
        <v>203</v>
      </c>
      <c r="VFG11" s="314" t="s">
        <v>203</v>
      </c>
      <c r="VFH11" s="314" t="s">
        <v>203</v>
      </c>
      <c r="VFI11" s="314" t="s">
        <v>203</v>
      </c>
      <c r="VFJ11" s="314" t="s">
        <v>203</v>
      </c>
      <c r="VFK11" s="314" t="s">
        <v>203</v>
      </c>
      <c r="VFL11" s="314" t="s">
        <v>203</v>
      </c>
      <c r="VFM11" s="314" t="s">
        <v>203</v>
      </c>
      <c r="VFN11" s="314" t="s">
        <v>203</v>
      </c>
      <c r="VFO11" s="314" t="s">
        <v>203</v>
      </c>
      <c r="VFP11" s="314" t="s">
        <v>203</v>
      </c>
      <c r="VFQ11" s="314" t="s">
        <v>203</v>
      </c>
      <c r="VFR11" s="314" t="s">
        <v>203</v>
      </c>
      <c r="VFS11" s="314" t="s">
        <v>203</v>
      </c>
      <c r="VFT11" s="314" t="s">
        <v>203</v>
      </c>
      <c r="VFU11" s="314" t="s">
        <v>203</v>
      </c>
      <c r="VFV11" s="314" t="s">
        <v>203</v>
      </c>
      <c r="VFW11" s="314" t="s">
        <v>203</v>
      </c>
      <c r="VFX11" s="314" t="s">
        <v>203</v>
      </c>
      <c r="VFY11" s="314" t="s">
        <v>203</v>
      </c>
      <c r="VFZ11" s="314" t="s">
        <v>203</v>
      </c>
      <c r="VGA11" s="314" t="s">
        <v>203</v>
      </c>
      <c r="VGB11" s="314" t="s">
        <v>203</v>
      </c>
      <c r="VGC11" s="314" t="s">
        <v>203</v>
      </c>
      <c r="VGD11" s="314" t="s">
        <v>203</v>
      </c>
      <c r="VGE11" s="314" t="s">
        <v>203</v>
      </c>
      <c r="VGF11" s="314" t="s">
        <v>203</v>
      </c>
      <c r="VGG11" s="314" t="s">
        <v>203</v>
      </c>
      <c r="VGH11" s="314" t="s">
        <v>203</v>
      </c>
      <c r="VGI11" s="314" t="s">
        <v>203</v>
      </c>
      <c r="VGJ11" s="314" t="s">
        <v>203</v>
      </c>
      <c r="VGK11" s="314" t="s">
        <v>203</v>
      </c>
      <c r="VGL11" s="314" t="s">
        <v>203</v>
      </c>
      <c r="VGM11" s="314" t="s">
        <v>203</v>
      </c>
      <c r="VGN11" s="314" t="s">
        <v>203</v>
      </c>
      <c r="VGO11" s="314" t="s">
        <v>203</v>
      </c>
      <c r="VGP11" s="314" t="s">
        <v>203</v>
      </c>
      <c r="VGQ11" s="314" t="s">
        <v>203</v>
      </c>
      <c r="VGR11" s="314" t="s">
        <v>203</v>
      </c>
      <c r="VGS11" s="314" t="s">
        <v>203</v>
      </c>
      <c r="VGT11" s="314" t="s">
        <v>203</v>
      </c>
      <c r="VGU11" s="314" t="s">
        <v>203</v>
      </c>
      <c r="VGV11" s="314" t="s">
        <v>203</v>
      </c>
      <c r="VGW11" s="314" t="s">
        <v>203</v>
      </c>
      <c r="VGX11" s="314" t="s">
        <v>203</v>
      </c>
      <c r="VGY11" s="314" t="s">
        <v>203</v>
      </c>
      <c r="VGZ11" s="314" t="s">
        <v>203</v>
      </c>
      <c r="VHA11" s="314" t="s">
        <v>203</v>
      </c>
      <c r="VHB11" s="314" t="s">
        <v>203</v>
      </c>
      <c r="VHC11" s="314" t="s">
        <v>203</v>
      </c>
      <c r="VHD11" s="314" t="s">
        <v>203</v>
      </c>
      <c r="VHE11" s="314" t="s">
        <v>203</v>
      </c>
      <c r="VHF11" s="314" t="s">
        <v>203</v>
      </c>
      <c r="VHG11" s="314" t="s">
        <v>203</v>
      </c>
      <c r="VHH11" s="314" t="s">
        <v>203</v>
      </c>
      <c r="VHI11" s="314" t="s">
        <v>203</v>
      </c>
      <c r="VHJ11" s="314" t="s">
        <v>203</v>
      </c>
      <c r="VHK11" s="314" t="s">
        <v>203</v>
      </c>
      <c r="VHL11" s="314" t="s">
        <v>203</v>
      </c>
      <c r="VHM11" s="314" t="s">
        <v>203</v>
      </c>
      <c r="VHN11" s="314" t="s">
        <v>203</v>
      </c>
      <c r="VHO11" s="314" t="s">
        <v>203</v>
      </c>
      <c r="VHP11" s="314" t="s">
        <v>203</v>
      </c>
      <c r="VHQ11" s="314" t="s">
        <v>203</v>
      </c>
      <c r="VHR11" s="314" t="s">
        <v>203</v>
      </c>
      <c r="VHS11" s="314" t="s">
        <v>203</v>
      </c>
      <c r="VHT11" s="314" t="s">
        <v>203</v>
      </c>
      <c r="VHU11" s="314" t="s">
        <v>203</v>
      </c>
      <c r="VHV11" s="314" t="s">
        <v>203</v>
      </c>
      <c r="VHW11" s="314" t="s">
        <v>203</v>
      </c>
      <c r="VHX11" s="314" t="s">
        <v>203</v>
      </c>
      <c r="VHY11" s="314" t="s">
        <v>203</v>
      </c>
      <c r="VHZ11" s="314" t="s">
        <v>203</v>
      </c>
      <c r="VIA11" s="314" t="s">
        <v>203</v>
      </c>
      <c r="VIB11" s="314" t="s">
        <v>203</v>
      </c>
      <c r="VIC11" s="314" t="s">
        <v>203</v>
      </c>
      <c r="VID11" s="314" t="s">
        <v>203</v>
      </c>
      <c r="VIE11" s="314" t="s">
        <v>203</v>
      </c>
      <c r="VIF11" s="314" t="s">
        <v>203</v>
      </c>
      <c r="VIG11" s="314" t="s">
        <v>203</v>
      </c>
      <c r="VIH11" s="314" t="s">
        <v>203</v>
      </c>
      <c r="VII11" s="314" t="s">
        <v>203</v>
      </c>
      <c r="VIJ11" s="314" t="s">
        <v>203</v>
      </c>
      <c r="VIK11" s="314" t="s">
        <v>203</v>
      </c>
      <c r="VIL11" s="314" t="s">
        <v>203</v>
      </c>
      <c r="VIM11" s="314" t="s">
        <v>203</v>
      </c>
      <c r="VIN11" s="314" t="s">
        <v>203</v>
      </c>
      <c r="VIO11" s="314" t="s">
        <v>203</v>
      </c>
      <c r="VIP11" s="314" t="s">
        <v>203</v>
      </c>
      <c r="VIQ11" s="314" t="s">
        <v>203</v>
      </c>
      <c r="VIR11" s="314" t="s">
        <v>203</v>
      </c>
      <c r="VIS11" s="314" t="s">
        <v>203</v>
      </c>
      <c r="VIT11" s="314" t="s">
        <v>203</v>
      </c>
      <c r="VIU11" s="314" t="s">
        <v>203</v>
      </c>
      <c r="VIV11" s="314" t="s">
        <v>203</v>
      </c>
      <c r="VIW11" s="314" t="s">
        <v>203</v>
      </c>
      <c r="VIX11" s="314" t="s">
        <v>203</v>
      </c>
      <c r="VIY11" s="314" t="s">
        <v>203</v>
      </c>
      <c r="VIZ11" s="314" t="s">
        <v>203</v>
      </c>
      <c r="VJA11" s="314" t="s">
        <v>203</v>
      </c>
      <c r="VJB11" s="314" t="s">
        <v>203</v>
      </c>
      <c r="VJC11" s="314" t="s">
        <v>203</v>
      </c>
      <c r="VJD11" s="314" t="s">
        <v>203</v>
      </c>
      <c r="VJE11" s="314" t="s">
        <v>203</v>
      </c>
      <c r="VJF11" s="314" t="s">
        <v>203</v>
      </c>
      <c r="VJG11" s="314" t="s">
        <v>203</v>
      </c>
      <c r="VJH11" s="314" t="s">
        <v>203</v>
      </c>
      <c r="VJI11" s="314" t="s">
        <v>203</v>
      </c>
      <c r="VJJ11" s="314" t="s">
        <v>203</v>
      </c>
      <c r="VJK11" s="314" t="s">
        <v>203</v>
      </c>
      <c r="VJL11" s="314" t="s">
        <v>203</v>
      </c>
      <c r="VJM11" s="314" t="s">
        <v>203</v>
      </c>
      <c r="VJN11" s="314" t="s">
        <v>203</v>
      </c>
      <c r="VJO11" s="314" t="s">
        <v>203</v>
      </c>
      <c r="VJP11" s="314" t="s">
        <v>203</v>
      </c>
      <c r="VJQ11" s="314" t="s">
        <v>203</v>
      </c>
      <c r="VJR11" s="314" t="s">
        <v>203</v>
      </c>
      <c r="VJS11" s="314" t="s">
        <v>203</v>
      </c>
      <c r="VJT11" s="314" t="s">
        <v>203</v>
      </c>
      <c r="VJU11" s="314" t="s">
        <v>203</v>
      </c>
      <c r="VJV11" s="314" t="s">
        <v>203</v>
      </c>
      <c r="VJW11" s="314" t="s">
        <v>203</v>
      </c>
      <c r="VJX11" s="314" t="s">
        <v>203</v>
      </c>
      <c r="VJY11" s="314" t="s">
        <v>203</v>
      </c>
      <c r="VJZ11" s="314" t="s">
        <v>203</v>
      </c>
      <c r="VKA11" s="314" t="s">
        <v>203</v>
      </c>
      <c r="VKB11" s="314" t="s">
        <v>203</v>
      </c>
      <c r="VKC11" s="314" t="s">
        <v>203</v>
      </c>
      <c r="VKD11" s="314" t="s">
        <v>203</v>
      </c>
      <c r="VKE11" s="314" t="s">
        <v>203</v>
      </c>
      <c r="VKF11" s="314" t="s">
        <v>203</v>
      </c>
      <c r="VKG11" s="314" t="s">
        <v>203</v>
      </c>
      <c r="VKH11" s="314" t="s">
        <v>203</v>
      </c>
      <c r="VKI11" s="314" t="s">
        <v>203</v>
      </c>
      <c r="VKJ11" s="314" t="s">
        <v>203</v>
      </c>
      <c r="VKK11" s="314" t="s">
        <v>203</v>
      </c>
      <c r="VKL11" s="314" t="s">
        <v>203</v>
      </c>
      <c r="VKM11" s="314" t="s">
        <v>203</v>
      </c>
      <c r="VKN11" s="314" t="s">
        <v>203</v>
      </c>
      <c r="VKO11" s="314" t="s">
        <v>203</v>
      </c>
      <c r="VKP11" s="314" t="s">
        <v>203</v>
      </c>
      <c r="VKQ11" s="314" t="s">
        <v>203</v>
      </c>
      <c r="VKR11" s="314" t="s">
        <v>203</v>
      </c>
      <c r="VKS11" s="314" t="s">
        <v>203</v>
      </c>
      <c r="VKT11" s="314" t="s">
        <v>203</v>
      </c>
      <c r="VKU11" s="314" t="s">
        <v>203</v>
      </c>
      <c r="VKV11" s="314" t="s">
        <v>203</v>
      </c>
      <c r="VKW11" s="314" t="s">
        <v>203</v>
      </c>
      <c r="VKX11" s="314" t="s">
        <v>203</v>
      </c>
      <c r="VKY11" s="314" t="s">
        <v>203</v>
      </c>
      <c r="VKZ11" s="314" t="s">
        <v>203</v>
      </c>
      <c r="VLA11" s="314" t="s">
        <v>203</v>
      </c>
      <c r="VLB11" s="314" t="s">
        <v>203</v>
      </c>
      <c r="VLC11" s="314" t="s">
        <v>203</v>
      </c>
      <c r="VLD11" s="314" t="s">
        <v>203</v>
      </c>
      <c r="VLE11" s="314" t="s">
        <v>203</v>
      </c>
      <c r="VLF11" s="314" t="s">
        <v>203</v>
      </c>
      <c r="VLG11" s="314" t="s">
        <v>203</v>
      </c>
      <c r="VLH11" s="314" t="s">
        <v>203</v>
      </c>
      <c r="VLI11" s="314" t="s">
        <v>203</v>
      </c>
      <c r="VLJ11" s="314" t="s">
        <v>203</v>
      </c>
      <c r="VLK11" s="314" t="s">
        <v>203</v>
      </c>
      <c r="VLL11" s="314" t="s">
        <v>203</v>
      </c>
      <c r="VLM11" s="314" t="s">
        <v>203</v>
      </c>
      <c r="VLN11" s="314" t="s">
        <v>203</v>
      </c>
      <c r="VLO11" s="314" t="s">
        <v>203</v>
      </c>
      <c r="VLP11" s="314" t="s">
        <v>203</v>
      </c>
      <c r="VLQ11" s="314" t="s">
        <v>203</v>
      </c>
      <c r="VLR11" s="314" t="s">
        <v>203</v>
      </c>
      <c r="VLS11" s="314" t="s">
        <v>203</v>
      </c>
      <c r="VLT11" s="314" t="s">
        <v>203</v>
      </c>
      <c r="VLU11" s="314" t="s">
        <v>203</v>
      </c>
      <c r="VLV11" s="314" t="s">
        <v>203</v>
      </c>
      <c r="VLW11" s="314" t="s">
        <v>203</v>
      </c>
      <c r="VLX11" s="314" t="s">
        <v>203</v>
      </c>
      <c r="VLY11" s="314" t="s">
        <v>203</v>
      </c>
      <c r="VLZ11" s="314" t="s">
        <v>203</v>
      </c>
      <c r="VMA11" s="314" t="s">
        <v>203</v>
      </c>
      <c r="VMB11" s="314" t="s">
        <v>203</v>
      </c>
      <c r="VMC11" s="314" t="s">
        <v>203</v>
      </c>
      <c r="VMD11" s="314" t="s">
        <v>203</v>
      </c>
      <c r="VME11" s="314" t="s">
        <v>203</v>
      </c>
      <c r="VMF11" s="314" t="s">
        <v>203</v>
      </c>
      <c r="VMG11" s="314" t="s">
        <v>203</v>
      </c>
      <c r="VMH11" s="314" t="s">
        <v>203</v>
      </c>
      <c r="VMI11" s="314" t="s">
        <v>203</v>
      </c>
      <c r="VMJ11" s="314" t="s">
        <v>203</v>
      </c>
      <c r="VMK11" s="314" t="s">
        <v>203</v>
      </c>
      <c r="VML11" s="314" t="s">
        <v>203</v>
      </c>
      <c r="VMM11" s="314" t="s">
        <v>203</v>
      </c>
      <c r="VMN11" s="314" t="s">
        <v>203</v>
      </c>
      <c r="VMO11" s="314" t="s">
        <v>203</v>
      </c>
      <c r="VMP11" s="314" t="s">
        <v>203</v>
      </c>
      <c r="VMQ11" s="314" t="s">
        <v>203</v>
      </c>
      <c r="VMR11" s="314" t="s">
        <v>203</v>
      </c>
      <c r="VMS11" s="314" t="s">
        <v>203</v>
      </c>
      <c r="VMT11" s="314" t="s">
        <v>203</v>
      </c>
      <c r="VMU11" s="314" t="s">
        <v>203</v>
      </c>
      <c r="VMV11" s="314" t="s">
        <v>203</v>
      </c>
      <c r="VMW11" s="314" t="s">
        <v>203</v>
      </c>
      <c r="VMX11" s="314" t="s">
        <v>203</v>
      </c>
      <c r="VMY11" s="314" t="s">
        <v>203</v>
      </c>
      <c r="VMZ11" s="314" t="s">
        <v>203</v>
      </c>
      <c r="VNA11" s="314" t="s">
        <v>203</v>
      </c>
      <c r="VNB11" s="314" t="s">
        <v>203</v>
      </c>
      <c r="VNC11" s="314" t="s">
        <v>203</v>
      </c>
      <c r="VND11" s="314" t="s">
        <v>203</v>
      </c>
      <c r="VNE11" s="314" t="s">
        <v>203</v>
      </c>
      <c r="VNF11" s="314" t="s">
        <v>203</v>
      </c>
      <c r="VNG11" s="314" t="s">
        <v>203</v>
      </c>
      <c r="VNH11" s="314" t="s">
        <v>203</v>
      </c>
      <c r="VNI11" s="314" t="s">
        <v>203</v>
      </c>
      <c r="VNJ11" s="314" t="s">
        <v>203</v>
      </c>
      <c r="VNK11" s="314" t="s">
        <v>203</v>
      </c>
      <c r="VNL11" s="314" t="s">
        <v>203</v>
      </c>
      <c r="VNM11" s="314" t="s">
        <v>203</v>
      </c>
      <c r="VNN11" s="314" t="s">
        <v>203</v>
      </c>
      <c r="VNO11" s="314" t="s">
        <v>203</v>
      </c>
      <c r="VNP11" s="314" t="s">
        <v>203</v>
      </c>
      <c r="VNQ11" s="314" t="s">
        <v>203</v>
      </c>
      <c r="VNR11" s="314" t="s">
        <v>203</v>
      </c>
      <c r="VNS11" s="314" t="s">
        <v>203</v>
      </c>
      <c r="VNT11" s="314" t="s">
        <v>203</v>
      </c>
      <c r="VNU11" s="314" t="s">
        <v>203</v>
      </c>
      <c r="VNV11" s="314" t="s">
        <v>203</v>
      </c>
      <c r="VNW11" s="314" t="s">
        <v>203</v>
      </c>
      <c r="VNX11" s="314" t="s">
        <v>203</v>
      </c>
      <c r="VNY11" s="314" t="s">
        <v>203</v>
      </c>
      <c r="VNZ11" s="314" t="s">
        <v>203</v>
      </c>
      <c r="VOA11" s="314" t="s">
        <v>203</v>
      </c>
      <c r="VOB11" s="314" t="s">
        <v>203</v>
      </c>
      <c r="VOC11" s="314" t="s">
        <v>203</v>
      </c>
      <c r="VOD11" s="314" t="s">
        <v>203</v>
      </c>
      <c r="VOE11" s="314" t="s">
        <v>203</v>
      </c>
      <c r="VOF11" s="314" t="s">
        <v>203</v>
      </c>
      <c r="VOG11" s="314" t="s">
        <v>203</v>
      </c>
      <c r="VOH11" s="314" t="s">
        <v>203</v>
      </c>
      <c r="VOI11" s="314" t="s">
        <v>203</v>
      </c>
      <c r="VOJ11" s="314" t="s">
        <v>203</v>
      </c>
      <c r="VOK11" s="314" t="s">
        <v>203</v>
      </c>
      <c r="VOL11" s="314" t="s">
        <v>203</v>
      </c>
      <c r="VOM11" s="314" t="s">
        <v>203</v>
      </c>
      <c r="VON11" s="314" t="s">
        <v>203</v>
      </c>
      <c r="VOO11" s="314" t="s">
        <v>203</v>
      </c>
      <c r="VOP11" s="314" t="s">
        <v>203</v>
      </c>
      <c r="VOQ11" s="314" t="s">
        <v>203</v>
      </c>
      <c r="VOR11" s="314" t="s">
        <v>203</v>
      </c>
      <c r="VOS11" s="314" t="s">
        <v>203</v>
      </c>
      <c r="VOT11" s="314" t="s">
        <v>203</v>
      </c>
      <c r="VOU11" s="314" t="s">
        <v>203</v>
      </c>
      <c r="VOV11" s="314" t="s">
        <v>203</v>
      </c>
      <c r="VOW11" s="314" t="s">
        <v>203</v>
      </c>
      <c r="VOX11" s="314" t="s">
        <v>203</v>
      </c>
      <c r="VOY11" s="314" t="s">
        <v>203</v>
      </c>
      <c r="VOZ11" s="314" t="s">
        <v>203</v>
      </c>
      <c r="VPA11" s="314" t="s">
        <v>203</v>
      </c>
      <c r="VPB11" s="314" t="s">
        <v>203</v>
      </c>
      <c r="VPC11" s="314" t="s">
        <v>203</v>
      </c>
      <c r="VPD11" s="314" t="s">
        <v>203</v>
      </c>
      <c r="VPE11" s="314" t="s">
        <v>203</v>
      </c>
      <c r="VPF11" s="314" t="s">
        <v>203</v>
      </c>
      <c r="VPG11" s="314" t="s">
        <v>203</v>
      </c>
      <c r="VPH11" s="314" t="s">
        <v>203</v>
      </c>
      <c r="VPI11" s="314" t="s">
        <v>203</v>
      </c>
      <c r="VPJ11" s="314" t="s">
        <v>203</v>
      </c>
      <c r="VPK11" s="314" t="s">
        <v>203</v>
      </c>
      <c r="VPL11" s="314" t="s">
        <v>203</v>
      </c>
      <c r="VPM11" s="314" t="s">
        <v>203</v>
      </c>
      <c r="VPN11" s="314" t="s">
        <v>203</v>
      </c>
      <c r="VPO11" s="314" t="s">
        <v>203</v>
      </c>
      <c r="VPP11" s="314" t="s">
        <v>203</v>
      </c>
      <c r="VPQ11" s="314" t="s">
        <v>203</v>
      </c>
      <c r="VPR11" s="314" t="s">
        <v>203</v>
      </c>
      <c r="VPS11" s="314" t="s">
        <v>203</v>
      </c>
      <c r="VPT11" s="314" t="s">
        <v>203</v>
      </c>
      <c r="VPU11" s="314" t="s">
        <v>203</v>
      </c>
      <c r="VPV11" s="314" t="s">
        <v>203</v>
      </c>
      <c r="VPW11" s="314" t="s">
        <v>203</v>
      </c>
      <c r="VPX11" s="314" t="s">
        <v>203</v>
      </c>
      <c r="VPY11" s="314" t="s">
        <v>203</v>
      </c>
      <c r="VPZ11" s="314" t="s">
        <v>203</v>
      </c>
      <c r="VQA11" s="314" t="s">
        <v>203</v>
      </c>
      <c r="VQB11" s="314" t="s">
        <v>203</v>
      </c>
      <c r="VQC11" s="314" t="s">
        <v>203</v>
      </c>
      <c r="VQD11" s="314" t="s">
        <v>203</v>
      </c>
      <c r="VQE11" s="314" t="s">
        <v>203</v>
      </c>
      <c r="VQF11" s="314" t="s">
        <v>203</v>
      </c>
      <c r="VQG11" s="314" t="s">
        <v>203</v>
      </c>
      <c r="VQH11" s="314" t="s">
        <v>203</v>
      </c>
      <c r="VQI11" s="314" t="s">
        <v>203</v>
      </c>
      <c r="VQJ11" s="314" t="s">
        <v>203</v>
      </c>
      <c r="VQK11" s="314" t="s">
        <v>203</v>
      </c>
      <c r="VQL11" s="314" t="s">
        <v>203</v>
      </c>
      <c r="VQM11" s="314" t="s">
        <v>203</v>
      </c>
      <c r="VQN11" s="314" t="s">
        <v>203</v>
      </c>
      <c r="VQO11" s="314" t="s">
        <v>203</v>
      </c>
      <c r="VQP11" s="314" t="s">
        <v>203</v>
      </c>
      <c r="VQQ11" s="314" t="s">
        <v>203</v>
      </c>
      <c r="VQR11" s="314" t="s">
        <v>203</v>
      </c>
      <c r="VQS11" s="314" t="s">
        <v>203</v>
      </c>
      <c r="VQT11" s="314" t="s">
        <v>203</v>
      </c>
      <c r="VQU11" s="314" t="s">
        <v>203</v>
      </c>
      <c r="VQV11" s="314" t="s">
        <v>203</v>
      </c>
      <c r="VQW11" s="314" t="s">
        <v>203</v>
      </c>
      <c r="VQX11" s="314" t="s">
        <v>203</v>
      </c>
      <c r="VQY11" s="314" t="s">
        <v>203</v>
      </c>
      <c r="VQZ11" s="314" t="s">
        <v>203</v>
      </c>
      <c r="VRA11" s="314" t="s">
        <v>203</v>
      </c>
      <c r="VRB11" s="314" t="s">
        <v>203</v>
      </c>
      <c r="VRC11" s="314" t="s">
        <v>203</v>
      </c>
      <c r="VRD11" s="314" t="s">
        <v>203</v>
      </c>
      <c r="VRE11" s="314" t="s">
        <v>203</v>
      </c>
      <c r="VRF11" s="314" t="s">
        <v>203</v>
      </c>
      <c r="VRG11" s="314" t="s">
        <v>203</v>
      </c>
      <c r="VRH11" s="314" t="s">
        <v>203</v>
      </c>
      <c r="VRI11" s="314" t="s">
        <v>203</v>
      </c>
      <c r="VRJ11" s="314" t="s">
        <v>203</v>
      </c>
      <c r="VRK11" s="314" t="s">
        <v>203</v>
      </c>
      <c r="VRL11" s="314" t="s">
        <v>203</v>
      </c>
      <c r="VRM11" s="314" t="s">
        <v>203</v>
      </c>
      <c r="VRN11" s="314" t="s">
        <v>203</v>
      </c>
      <c r="VRO11" s="314" t="s">
        <v>203</v>
      </c>
      <c r="VRP11" s="314" t="s">
        <v>203</v>
      </c>
      <c r="VRQ11" s="314" t="s">
        <v>203</v>
      </c>
      <c r="VRR11" s="314" t="s">
        <v>203</v>
      </c>
      <c r="VRS11" s="314" t="s">
        <v>203</v>
      </c>
      <c r="VRT11" s="314" t="s">
        <v>203</v>
      </c>
      <c r="VRU11" s="314" t="s">
        <v>203</v>
      </c>
      <c r="VRV11" s="314" t="s">
        <v>203</v>
      </c>
      <c r="VRW11" s="314" t="s">
        <v>203</v>
      </c>
      <c r="VRX11" s="314" t="s">
        <v>203</v>
      </c>
      <c r="VRY11" s="314" t="s">
        <v>203</v>
      </c>
      <c r="VRZ11" s="314" t="s">
        <v>203</v>
      </c>
      <c r="VSA11" s="314" t="s">
        <v>203</v>
      </c>
      <c r="VSB11" s="314" t="s">
        <v>203</v>
      </c>
      <c r="VSC11" s="314" t="s">
        <v>203</v>
      </c>
      <c r="VSD11" s="314" t="s">
        <v>203</v>
      </c>
      <c r="VSE11" s="314" t="s">
        <v>203</v>
      </c>
      <c r="VSF11" s="314" t="s">
        <v>203</v>
      </c>
      <c r="VSG11" s="314" t="s">
        <v>203</v>
      </c>
      <c r="VSH11" s="314" t="s">
        <v>203</v>
      </c>
      <c r="VSI11" s="314" t="s">
        <v>203</v>
      </c>
      <c r="VSJ11" s="314" t="s">
        <v>203</v>
      </c>
      <c r="VSK11" s="314" t="s">
        <v>203</v>
      </c>
      <c r="VSL11" s="314" t="s">
        <v>203</v>
      </c>
      <c r="VSM11" s="314" t="s">
        <v>203</v>
      </c>
      <c r="VSN11" s="314" t="s">
        <v>203</v>
      </c>
      <c r="VSO11" s="314" t="s">
        <v>203</v>
      </c>
      <c r="VSP11" s="314" t="s">
        <v>203</v>
      </c>
      <c r="VSQ11" s="314" t="s">
        <v>203</v>
      </c>
      <c r="VSR11" s="314" t="s">
        <v>203</v>
      </c>
      <c r="VSS11" s="314" t="s">
        <v>203</v>
      </c>
      <c r="VST11" s="314" t="s">
        <v>203</v>
      </c>
      <c r="VSU11" s="314" t="s">
        <v>203</v>
      </c>
      <c r="VSV11" s="314" t="s">
        <v>203</v>
      </c>
      <c r="VSW11" s="314" t="s">
        <v>203</v>
      </c>
      <c r="VSX11" s="314" t="s">
        <v>203</v>
      </c>
      <c r="VSY11" s="314" t="s">
        <v>203</v>
      </c>
      <c r="VSZ11" s="314" t="s">
        <v>203</v>
      </c>
      <c r="VTA11" s="314" t="s">
        <v>203</v>
      </c>
      <c r="VTB11" s="314" t="s">
        <v>203</v>
      </c>
      <c r="VTC11" s="314" t="s">
        <v>203</v>
      </c>
      <c r="VTD11" s="314" t="s">
        <v>203</v>
      </c>
      <c r="VTE11" s="314" t="s">
        <v>203</v>
      </c>
      <c r="VTF11" s="314" t="s">
        <v>203</v>
      </c>
      <c r="VTG11" s="314" t="s">
        <v>203</v>
      </c>
      <c r="VTH11" s="314" t="s">
        <v>203</v>
      </c>
      <c r="VTI11" s="314" t="s">
        <v>203</v>
      </c>
      <c r="VTJ11" s="314" t="s">
        <v>203</v>
      </c>
      <c r="VTK11" s="314" t="s">
        <v>203</v>
      </c>
      <c r="VTL11" s="314" t="s">
        <v>203</v>
      </c>
      <c r="VTM11" s="314" t="s">
        <v>203</v>
      </c>
      <c r="VTN11" s="314" t="s">
        <v>203</v>
      </c>
      <c r="VTO11" s="314" t="s">
        <v>203</v>
      </c>
      <c r="VTP11" s="314" t="s">
        <v>203</v>
      </c>
      <c r="VTQ11" s="314" t="s">
        <v>203</v>
      </c>
      <c r="VTR11" s="314" t="s">
        <v>203</v>
      </c>
      <c r="VTS11" s="314" t="s">
        <v>203</v>
      </c>
      <c r="VTT11" s="314" t="s">
        <v>203</v>
      </c>
      <c r="VTU11" s="314" t="s">
        <v>203</v>
      </c>
      <c r="VTV11" s="314" t="s">
        <v>203</v>
      </c>
      <c r="VTW11" s="314" t="s">
        <v>203</v>
      </c>
      <c r="VTX11" s="314" t="s">
        <v>203</v>
      </c>
      <c r="VTY11" s="314" t="s">
        <v>203</v>
      </c>
      <c r="VTZ11" s="314" t="s">
        <v>203</v>
      </c>
      <c r="VUA11" s="314" t="s">
        <v>203</v>
      </c>
      <c r="VUB11" s="314" t="s">
        <v>203</v>
      </c>
      <c r="VUC11" s="314" t="s">
        <v>203</v>
      </c>
      <c r="VUD11" s="314" t="s">
        <v>203</v>
      </c>
      <c r="VUE11" s="314" t="s">
        <v>203</v>
      </c>
      <c r="VUF11" s="314" t="s">
        <v>203</v>
      </c>
      <c r="VUG11" s="314" t="s">
        <v>203</v>
      </c>
      <c r="VUH11" s="314" t="s">
        <v>203</v>
      </c>
      <c r="VUI11" s="314" t="s">
        <v>203</v>
      </c>
      <c r="VUJ11" s="314" t="s">
        <v>203</v>
      </c>
      <c r="VUK11" s="314" t="s">
        <v>203</v>
      </c>
      <c r="VUL11" s="314" t="s">
        <v>203</v>
      </c>
      <c r="VUM11" s="314" t="s">
        <v>203</v>
      </c>
      <c r="VUN11" s="314" t="s">
        <v>203</v>
      </c>
      <c r="VUO11" s="314" t="s">
        <v>203</v>
      </c>
      <c r="VUP11" s="314" t="s">
        <v>203</v>
      </c>
      <c r="VUQ11" s="314" t="s">
        <v>203</v>
      </c>
      <c r="VUR11" s="314" t="s">
        <v>203</v>
      </c>
      <c r="VUS11" s="314" t="s">
        <v>203</v>
      </c>
      <c r="VUT11" s="314" t="s">
        <v>203</v>
      </c>
      <c r="VUU11" s="314" t="s">
        <v>203</v>
      </c>
      <c r="VUV11" s="314" t="s">
        <v>203</v>
      </c>
      <c r="VUW11" s="314" t="s">
        <v>203</v>
      </c>
      <c r="VUX11" s="314" t="s">
        <v>203</v>
      </c>
      <c r="VUY11" s="314" t="s">
        <v>203</v>
      </c>
      <c r="VUZ11" s="314" t="s">
        <v>203</v>
      </c>
      <c r="VVA11" s="314" t="s">
        <v>203</v>
      </c>
      <c r="VVB11" s="314" t="s">
        <v>203</v>
      </c>
      <c r="VVC11" s="314" t="s">
        <v>203</v>
      </c>
      <c r="VVD11" s="314" t="s">
        <v>203</v>
      </c>
      <c r="VVE11" s="314" t="s">
        <v>203</v>
      </c>
      <c r="VVF11" s="314" t="s">
        <v>203</v>
      </c>
      <c r="VVG11" s="314" t="s">
        <v>203</v>
      </c>
      <c r="VVH11" s="314" t="s">
        <v>203</v>
      </c>
      <c r="VVI11" s="314" t="s">
        <v>203</v>
      </c>
      <c r="VVJ11" s="314" t="s">
        <v>203</v>
      </c>
      <c r="VVK11" s="314" t="s">
        <v>203</v>
      </c>
      <c r="VVL11" s="314" t="s">
        <v>203</v>
      </c>
      <c r="VVM11" s="314" t="s">
        <v>203</v>
      </c>
      <c r="VVN11" s="314" t="s">
        <v>203</v>
      </c>
      <c r="VVO11" s="314" t="s">
        <v>203</v>
      </c>
      <c r="VVP11" s="314" t="s">
        <v>203</v>
      </c>
      <c r="VVQ11" s="314" t="s">
        <v>203</v>
      </c>
      <c r="VVR11" s="314" t="s">
        <v>203</v>
      </c>
      <c r="VVS11" s="314" t="s">
        <v>203</v>
      </c>
      <c r="VVT11" s="314" t="s">
        <v>203</v>
      </c>
      <c r="VVU11" s="314" t="s">
        <v>203</v>
      </c>
      <c r="VVV11" s="314" t="s">
        <v>203</v>
      </c>
      <c r="VVW11" s="314" t="s">
        <v>203</v>
      </c>
      <c r="VVX11" s="314" t="s">
        <v>203</v>
      </c>
      <c r="VVY11" s="314" t="s">
        <v>203</v>
      </c>
      <c r="VVZ11" s="314" t="s">
        <v>203</v>
      </c>
      <c r="VWA11" s="314" t="s">
        <v>203</v>
      </c>
      <c r="VWB11" s="314" t="s">
        <v>203</v>
      </c>
      <c r="VWC11" s="314" t="s">
        <v>203</v>
      </c>
      <c r="VWD11" s="314" t="s">
        <v>203</v>
      </c>
      <c r="VWE11" s="314" t="s">
        <v>203</v>
      </c>
      <c r="VWF11" s="314" t="s">
        <v>203</v>
      </c>
      <c r="VWG11" s="314" t="s">
        <v>203</v>
      </c>
      <c r="VWH11" s="314" t="s">
        <v>203</v>
      </c>
      <c r="VWI11" s="314" t="s">
        <v>203</v>
      </c>
      <c r="VWJ11" s="314" t="s">
        <v>203</v>
      </c>
      <c r="VWK11" s="314" t="s">
        <v>203</v>
      </c>
      <c r="VWL11" s="314" t="s">
        <v>203</v>
      </c>
      <c r="VWM11" s="314" t="s">
        <v>203</v>
      </c>
      <c r="VWN11" s="314" t="s">
        <v>203</v>
      </c>
      <c r="VWO11" s="314" t="s">
        <v>203</v>
      </c>
      <c r="VWP11" s="314" t="s">
        <v>203</v>
      </c>
      <c r="VWQ11" s="314" t="s">
        <v>203</v>
      </c>
      <c r="VWR11" s="314" t="s">
        <v>203</v>
      </c>
      <c r="VWS11" s="314" t="s">
        <v>203</v>
      </c>
      <c r="VWT11" s="314" t="s">
        <v>203</v>
      </c>
      <c r="VWU11" s="314" t="s">
        <v>203</v>
      </c>
      <c r="VWV11" s="314" t="s">
        <v>203</v>
      </c>
      <c r="VWW11" s="314" t="s">
        <v>203</v>
      </c>
      <c r="VWX11" s="314" t="s">
        <v>203</v>
      </c>
      <c r="VWY11" s="314" t="s">
        <v>203</v>
      </c>
      <c r="VWZ11" s="314" t="s">
        <v>203</v>
      </c>
      <c r="VXA11" s="314" t="s">
        <v>203</v>
      </c>
      <c r="VXB11" s="314" t="s">
        <v>203</v>
      </c>
      <c r="VXC11" s="314" t="s">
        <v>203</v>
      </c>
      <c r="VXD11" s="314" t="s">
        <v>203</v>
      </c>
      <c r="VXE11" s="314" t="s">
        <v>203</v>
      </c>
      <c r="VXF11" s="314" t="s">
        <v>203</v>
      </c>
      <c r="VXG11" s="314" t="s">
        <v>203</v>
      </c>
      <c r="VXH11" s="314" t="s">
        <v>203</v>
      </c>
      <c r="VXI11" s="314" t="s">
        <v>203</v>
      </c>
      <c r="VXJ11" s="314" t="s">
        <v>203</v>
      </c>
      <c r="VXK11" s="314" t="s">
        <v>203</v>
      </c>
      <c r="VXL11" s="314" t="s">
        <v>203</v>
      </c>
      <c r="VXM11" s="314" t="s">
        <v>203</v>
      </c>
      <c r="VXN11" s="314" t="s">
        <v>203</v>
      </c>
      <c r="VXO11" s="314" t="s">
        <v>203</v>
      </c>
      <c r="VXP11" s="314" t="s">
        <v>203</v>
      </c>
      <c r="VXQ11" s="314" t="s">
        <v>203</v>
      </c>
      <c r="VXR11" s="314" t="s">
        <v>203</v>
      </c>
      <c r="VXS11" s="314" t="s">
        <v>203</v>
      </c>
      <c r="VXT11" s="314" t="s">
        <v>203</v>
      </c>
      <c r="VXU11" s="314" t="s">
        <v>203</v>
      </c>
      <c r="VXV11" s="314" t="s">
        <v>203</v>
      </c>
      <c r="VXW11" s="314" t="s">
        <v>203</v>
      </c>
      <c r="VXX11" s="314" t="s">
        <v>203</v>
      </c>
      <c r="VXY11" s="314" t="s">
        <v>203</v>
      </c>
      <c r="VXZ11" s="314" t="s">
        <v>203</v>
      </c>
      <c r="VYA11" s="314" t="s">
        <v>203</v>
      </c>
      <c r="VYB11" s="314" t="s">
        <v>203</v>
      </c>
      <c r="VYC11" s="314" t="s">
        <v>203</v>
      </c>
      <c r="VYD11" s="314" t="s">
        <v>203</v>
      </c>
      <c r="VYE11" s="314" t="s">
        <v>203</v>
      </c>
      <c r="VYF11" s="314" t="s">
        <v>203</v>
      </c>
      <c r="VYG11" s="314" t="s">
        <v>203</v>
      </c>
      <c r="VYH11" s="314" t="s">
        <v>203</v>
      </c>
      <c r="VYI11" s="314" t="s">
        <v>203</v>
      </c>
      <c r="VYJ11" s="314" t="s">
        <v>203</v>
      </c>
      <c r="VYK11" s="314" t="s">
        <v>203</v>
      </c>
      <c r="VYL11" s="314" t="s">
        <v>203</v>
      </c>
      <c r="VYM11" s="314" t="s">
        <v>203</v>
      </c>
      <c r="VYN11" s="314" t="s">
        <v>203</v>
      </c>
      <c r="VYO11" s="314" t="s">
        <v>203</v>
      </c>
      <c r="VYP11" s="314" t="s">
        <v>203</v>
      </c>
      <c r="VYQ11" s="314" t="s">
        <v>203</v>
      </c>
      <c r="VYR11" s="314" t="s">
        <v>203</v>
      </c>
      <c r="VYS11" s="314" t="s">
        <v>203</v>
      </c>
      <c r="VYT11" s="314" t="s">
        <v>203</v>
      </c>
      <c r="VYU11" s="314" t="s">
        <v>203</v>
      </c>
      <c r="VYV11" s="314" t="s">
        <v>203</v>
      </c>
      <c r="VYW11" s="314" t="s">
        <v>203</v>
      </c>
      <c r="VYX11" s="314" t="s">
        <v>203</v>
      </c>
      <c r="VYY11" s="314" t="s">
        <v>203</v>
      </c>
      <c r="VYZ11" s="314" t="s">
        <v>203</v>
      </c>
      <c r="VZA11" s="314" t="s">
        <v>203</v>
      </c>
      <c r="VZB11" s="314" t="s">
        <v>203</v>
      </c>
      <c r="VZC11" s="314" t="s">
        <v>203</v>
      </c>
      <c r="VZD11" s="314" t="s">
        <v>203</v>
      </c>
      <c r="VZE11" s="314" t="s">
        <v>203</v>
      </c>
      <c r="VZF11" s="314" t="s">
        <v>203</v>
      </c>
      <c r="VZG11" s="314" t="s">
        <v>203</v>
      </c>
      <c r="VZH11" s="314" t="s">
        <v>203</v>
      </c>
      <c r="VZI11" s="314" t="s">
        <v>203</v>
      </c>
      <c r="VZJ11" s="314" t="s">
        <v>203</v>
      </c>
      <c r="VZK11" s="314" t="s">
        <v>203</v>
      </c>
      <c r="VZL11" s="314" t="s">
        <v>203</v>
      </c>
      <c r="VZM11" s="314" t="s">
        <v>203</v>
      </c>
      <c r="VZN11" s="314" t="s">
        <v>203</v>
      </c>
      <c r="VZO11" s="314" t="s">
        <v>203</v>
      </c>
      <c r="VZP11" s="314" t="s">
        <v>203</v>
      </c>
      <c r="VZQ11" s="314" t="s">
        <v>203</v>
      </c>
      <c r="VZR11" s="314" t="s">
        <v>203</v>
      </c>
      <c r="VZS11" s="314" t="s">
        <v>203</v>
      </c>
      <c r="VZT11" s="314" t="s">
        <v>203</v>
      </c>
      <c r="VZU11" s="314" t="s">
        <v>203</v>
      </c>
      <c r="VZV11" s="314" t="s">
        <v>203</v>
      </c>
      <c r="VZW11" s="314" t="s">
        <v>203</v>
      </c>
      <c r="VZX11" s="314" t="s">
        <v>203</v>
      </c>
      <c r="VZY11" s="314" t="s">
        <v>203</v>
      </c>
      <c r="VZZ11" s="314" t="s">
        <v>203</v>
      </c>
      <c r="WAA11" s="314" t="s">
        <v>203</v>
      </c>
      <c r="WAB11" s="314" t="s">
        <v>203</v>
      </c>
      <c r="WAC11" s="314" t="s">
        <v>203</v>
      </c>
      <c r="WAD11" s="314" t="s">
        <v>203</v>
      </c>
      <c r="WAE11" s="314" t="s">
        <v>203</v>
      </c>
      <c r="WAF11" s="314" t="s">
        <v>203</v>
      </c>
      <c r="WAG11" s="314" t="s">
        <v>203</v>
      </c>
      <c r="WAH11" s="314" t="s">
        <v>203</v>
      </c>
      <c r="WAI11" s="314" t="s">
        <v>203</v>
      </c>
      <c r="WAJ11" s="314" t="s">
        <v>203</v>
      </c>
      <c r="WAK11" s="314" t="s">
        <v>203</v>
      </c>
      <c r="WAL11" s="314" t="s">
        <v>203</v>
      </c>
      <c r="WAM11" s="314" t="s">
        <v>203</v>
      </c>
      <c r="WAN11" s="314" t="s">
        <v>203</v>
      </c>
      <c r="WAO11" s="314" t="s">
        <v>203</v>
      </c>
      <c r="WAP11" s="314" t="s">
        <v>203</v>
      </c>
      <c r="WAQ11" s="314" t="s">
        <v>203</v>
      </c>
      <c r="WAR11" s="314" t="s">
        <v>203</v>
      </c>
      <c r="WAS11" s="314" t="s">
        <v>203</v>
      </c>
      <c r="WAT11" s="314" t="s">
        <v>203</v>
      </c>
      <c r="WAU11" s="314" t="s">
        <v>203</v>
      </c>
      <c r="WAV11" s="314" t="s">
        <v>203</v>
      </c>
      <c r="WAW11" s="314" t="s">
        <v>203</v>
      </c>
      <c r="WAX11" s="314" t="s">
        <v>203</v>
      </c>
      <c r="WAY11" s="314" t="s">
        <v>203</v>
      </c>
      <c r="WAZ11" s="314" t="s">
        <v>203</v>
      </c>
      <c r="WBA11" s="314" t="s">
        <v>203</v>
      </c>
      <c r="WBB11" s="314" t="s">
        <v>203</v>
      </c>
      <c r="WBC11" s="314" t="s">
        <v>203</v>
      </c>
      <c r="WBD11" s="314" t="s">
        <v>203</v>
      </c>
      <c r="WBE11" s="314" t="s">
        <v>203</v>
      </c>
      <c r="WBF11" s="314" t="s">
        <v>203</v>
      </c>
      <c r="WBG11" s="314" t="s">
        <v>203</v>
      </c>
      <c r="WBH11" s="314" t="s">
        <v>203</v>
      </c>
      <c r="WBI11" s="314" t="s">
        <v>203</v>
      </c>
      <c r="WBJ11" s="314" t="s">
        <v>203</v>
      </c>
      <c r="WBK11" s="314" t="s">
        <v>203</v>
      </c>
      <c r="WBL11" s="314" t="s">
        <v>203</v>
      </c>
      <c r="WBM11" s="314" t="s">
        <v>203</v>
      </c>
      <c r="WBN11" s="314" t="s">
        <v>203</v>
      </c>
      <c r="WBO11" s="314" t="s">
        <v>203</v>
      </c>
      <c r="WBP11" s="314" t="s">
        <v>203</v>
      </c>
      <c r="WBQ11" s="314" t="s">
        <v>203</v>
      </c>
      <c r="WBR11" s="314" t="s">
        <v>203</v>
      </c>
      <c r="WBS11" s="314" t="s">
        <v>203</v>
      </c>
      <c r="WBT11" s="314" t="s">
        <v>203</v>
      </c>
      <c r="WBU11" s="314" t="s">
        <v>203</v>
      </c>
      <c r="WBV11" s="314" t="s">
        <v>203</v>
      </c>
      <c r="WBW11" s="314" t="s">
        <v>203</v>
      </c>
      <c r="WBX11" s="314" t="s">
        <v>203</v>
      </c>
      <c r="WBY11" s="314" t="s">
        <v>203</v>
      </c>
      <c r="WBZ11" s="314" t="s">
        <v>203</v>
      </c>
      <c r="WCA11" s="314" t="s">
        <v>203</v>
      </c>
      <c r="WCB11" s="314" t="s">
        <v>203</v>
      </c>
      <c r="WCC11" s="314" t="s">
        <v>203</v>
      </c>
      <c r="WCD11" s="314" t="s">
        <v>203</v>
      </c>
      <c r="WCE11" s="314" t="s">
        <v>203</v>
      </c>
      <c r="WCF11" s="314" t="s">
        <v>203</v>
      </c>
      <c r="WCG11" s="314" t="s">
        <v>203</v>
      </c>
      <c r="WCH11" s="314" t="s">
        <v>203</v>
      </c>
      <c r="WCI11" s="314" t="s">
        <v>203</v>
      </c>
      <c r="WCJ11" s="314" t="s">
        <v>203</v>
      </c>
      <c r="WCK11" s="314" t="s">
        <v>203</v>
      </c>
      <c r="WCL11" s="314" t="s">
        <v>203</v>
      </c>
      <c r="WCM11" s="314" t="s">
        <v>203</v>
      </c>
      <c r="WCN11" s="314" t="s">
        <v>203</v>
      </c>
      <c r="WCO11" s="314" t="s">
        <v>203</v>
      </c>
      <c r="WCP11" s="314" t="s">
        <v>203</v>
      </c>
      <c r="WCQ11" s="314" t="s">
        <v>203</v>
      </c>
      <c r="WCR11" s="314" t="s">
        <v>203</v>
      </c>
      <c r="WCS11" s="314" t="s">
        <v>203</v>
      </c>
      <c r="WCT11" s="314" t="s">
        <v>203</v>
      </c>
      <c r="WCU11" s="314" t="s">
        <v>203</v>
      </c>
      <c r="WCV11" s="314" t="s">
        <v>203</v>
      </c>
      <c r="WCW11" s="314" t="s">
        <v>203</v>
      </c>
      <c r="WCX11" s="314" t="s">
        <v>203</v>
      </c>
      <c r="WCY11" s="314" t="s">
        <v>203</v>
      </c>
      <c r="WCZ11" s="314" t="s">
        <v>203</v>
      </c>
      <c r="WDA11" s="314" t="s">
        <v>203</v>
      </c>
      <c r="WDB11" s="314" t="s">
        <v>203</v>
      </c>
      <c r="WDC11" s="314" t="s">
        <v>203</v>
      </c>
      <c r="WDD11" s="314" t="s">
        <v>203</v>
      </c>
      <c r="WDE11" s="314" t="s">
        <v>203</v>
      </c>
      <c r="WDF11" s="314" t="s">
        <v>203</v>
      </c>
      <c r="WDG11" s="314" t="s">
        <v>203</v>
      </c>
      <c r="WDH11" s="314" t="s">
        <v>203</v>
      </c>
      <c r="WDI11" s="314" t="s">
        <v>203</v>
      </c>
      <c r="WDJ11" s="314" t="s">
        <v>203</v>
      </c>
      <c r="WDK11" s="314" t="s">
        <v>203</v>
      </c>
      <c r="WDL11" s="314" t="s">
        <v>203</v>
      </c>
      <c r="WDM11" s="314" t="s">
        <v>203</v>
      </c>
      <c r="WDN11" s="314" t="s">
        <v>203</v>
      </c>
      <c r="WDO11" s="314" t="s">
        <v>203</v>
      </c>
      <c r="WDP11" s="314" t="s">
        <v>203</v>
      </c>
      <c r="WDQ11" s="314" t="s">
        <v>203</v>
      </c>
      <c r="WDR11" s="314" t="s">
        <v>203</v>
      </c>
      <c r="WDS11" s="314" t="s">
        <v>203</v>
      </c>
      <c r="WDT11" s="314" t="s">
        <v>203</v>
      </c>
      <c r="WDU11" s="314" t="s">
        <v>203</v>
      </c>
      <c r="WDV11" s="314" t="s">
        <v>203</v>
      </c>
      <c r="WDW11" s="314" t="s">
        <v>203</v>
      </c>
      <c r="WDX11" s="314" t="s">
        <v>203</v>
      </c>
      <c r="WDY11" s="314" t="s">
        <v>203</v>
      </c>
      <c r="WDZ11" s="314" t="s">
        <v>203</v>
      </c>
      <c r="WEA11" s="314" t="s">
        <v>203</v>
      </c>
      <c r="WEB11" s="314" t="s">
        <v>203</v>
      </c>
      <c r="WEC11" s="314" t="s">
        <v>203</v>
      </c>
      <c r="WED11" s="314" t="s">
        <v>203</v>
      </c>
      <c r="WEE11" s="314" t="s">
        <v>203</v>
      </c>
      <c r="WEF11" s="314" t="s">
        <v>203</v>
      </c>
      <c r="WEG11" s="314" t="s">
        <v>203</v>
      </c>
      <c r="WEH11" s="314" t="s">
        <v>203</v>
      </c>
      <c r="WEI11" s="314" t="s">
        <v>203</v>
      </c>
      <c r="WEJ11" s="314" t="s">
        <v>203</v>
      </c>
      <c r="WEK11" s="314" t="s">
        <v>203</v>
      </c>
      <c r="WEL11" s="314" t="s">
        <v>203</v>
      </c>
      <c r="WEM11" s="314" t="s">
        <v>203</v>
      </c>
      <c r="WEN11" s="314" t="s">
        <v>203</v>
      </c>
      <c r="WEO11" s="314" t="s">
        <v>203</v>
      </c>
      <c r="WEP11" s="314" t="s">
        <v>203</v>
      </c>
      <c r="WEQ11" s="314" t="s">
        <v>203</v>
      </c>
      <c r="WER11" s="314" t="s">
        <v>203</v>
      </c>
      <c r="WES11" s="314" t="s">
        <v>203</v>
      </c>
      <c r="WET11" s="314" t="s">
        <v>203</v>
      </c>
      <c r="WEU11" s="314" t="s">
        <v>203</v>
      </c>
      <c r="WEV11" s="314" t="s">
        <v>203</v>
      </c>
      <c r="WEW11" s="314" t="s">
        <v>203</v>
      </c>
      <c r="WEX11" s="314" t="s">
        <v>203</v>
      </c>
      <c r="WEY11" s="314" t="s">
        <v>203</v>
      </c>
      <c r="WEZ11" s="314" t="s">
        <v>203</v>
      </c>
      <c r="WFA11" s="314" t="s">
        <v>203</v>
      </c>
      <c r="WFB11" s="314" t="s">
        <v>203</v>
      </c>
      <c r="WFC11" s="314" t="s">
        <v>203</v>
      </c>
      <c r="WFD11" s="314" t="s">
        <v>203</v>
      </c>
      <c r="WFE11" s="314" t="s">
        <v>203</v>
      </c>
      <c r="WFF11" s="314" t="s">
        <v>203</v>
      </c>
      <c r="WFG11" s="314" t="s">
        <v>203</v>
      </c>
      <c r="WFH11" s="314" t="s">
        <v>203</v>
      </c>
      <c r="WFI11" s="314" t="s">
        <v>203</v>
      </c>
      <c r="WFJ11" s="314" t="s">
        <v>203</v>
      </c>
      <c r="WFK11" s="314" t="s">
        <v>203</v>
      </c>
      <c r="WFL11" s="314" t="s">
        <v>203</v>
      </c>
      <c r="WFM11" s="314" t="s">
        <v>203</v>
      </c>
      <c r="WFN11" s="314" t="s">
        <v>203</v>
      </c>
      <c r="WFO11" s="314" t="s">
        <v>203</v>
      </c>
      <c r="WFP11" s="314" t="s">
        <v>203</v>
      </c>
      <c r="WFQ11" s="314" t="s">
        <v>203</v>
      </c>
      <c r="WFR11" s="314" t="s">
        <v>203</v>
      </c>
      <c r="WFS11" s="314" t="s">
        <v>203</v>
      </c>
      <c r="WFT11" s="314" t="s">
        <v>203</v>
      </c>
      <c r="WFU11" s="314" t="s">
        <v>203</v>
      </c>
      <c r="WFV11" s="314" t="s">
        <v>203</v>
      </c>
      <c r="WFW11" s="314" t="s">
        <v>203</v>
      </c>
      <c r="WFX11" s="314" t="s">
        <v>203</v>
      </c>
      <c r="WFY11" s="314" t="s">
        <v>203</v>
      </c>
      <c r="WFZ11" s="314" t="s">
        <v>203</v>
      </c>
      <c r="WGA11" s="314" t="s">
        <v>203</v>
      </c>
      <c r="WGB11" s="314" t="s">
        <v>203</v>
      </c>
      <c r="WGC11" s="314" t="s">
        <v>203</v>
      </c>
      <c r="WGD11" s="314" t="s">
        <v>203</v>
      </c>
      <c r="WGE11" s="314" t="s">
        <v>203</v>
      </c>
      <c r="WGF11" s="314" t="s">
        <v>203</v>
      </c>
      <c r="WGG11" s="314" t="s">
        <v>203</v>
      </c>
      <c r="WGH11" s="314" t="s">
        <v>203</v>
      </c>
      <c r="WGI11" s="314" t="s">
        <v>203</v>
      </c>
      <c r="WGJ11" s="314" t="s">
        <v>203</v>
      </c>
      <c r="WGK11" s="314" t="s">
        <v>203</v>
      </c>
      <c r="WGL11" s="314" t="s">
        <v>203</v>
      </c>
      <c r="WGM11" s="314" t="s">
        <v>203</v>
      </c>
      <c r="WGN11" s="314" t="s">
        <v>203</v>
      </c>
      <c r="WGO11" s="314" t="s">
        <v>203</v>
      </c>
      <c r="WGP11" s="314" t="s">
        <v>203</v>
      </c>
      <c r="WGQ11" s="314" t="s">
        <v>203</v>
      </c>
      <c r="WGR11" s="314" t="s">
        <v>203</v>
      </c>
      <c r="WGS11" s="314" t="s">
        <v>203</v>
      </c>
      <c r="WGT11" s="314" t="s">
        <v>203</v>
      </c>
      <c r="WGU11" s="314" t="s">
        <v>203</v>
      </c>
      <c r="WGV11" s="314" t="s">
        <v>203</v>
      </c>
      <c r="WGW11" s="314" t="s">
        <v>203</v>
      </c>
      <c r="WGX11" s="314" t="s">
        <v>203</v>
      </c>
      <c r="WGY11" s="314" t="s">
        <v>203</v>
      </c>
      <c r="WGZ11" s="314" t="s">
        <v>203</v>
      </c>
      <c r="WHA11" s="314" t="s">
        <v>203</v>
      </c>
      <c r="WHB11" s="314" t="s">
        <v>203</v>
      </c>
      <c r="WHC11" s="314" t="s">
        <v>203</v>
      </c>
      <c r="WHD11" s="314" t="s">
        <v>203</v>
      </c>
      <c r="WHE11" s="314" t="s">
        <v>203</v>
      </c>
      <c r="WHF11" s="314" t="s">
        <v>203</v>
      </c>
      <c r="WHG11" s="314" t="s">
        <v>203</v>
      </c>
      <c r="WHH11" s="314" t="s">
        <v>203</v>
      </c>
      <c r="WHI11" s="314" t="s">
        <v>203</v>
      </c>
      <c r="WHJ11" s="314" t="s">
        <v>203</v>
      </c>
      <c r="WHK11" s="314" t="s">
        <v>203</v>
      </c>
      <c r="WHL11" s="314" t="s">
        <v>203</v>
      </c>
      <c r="WHM11" s="314" t="s">
        <v>203</v>
      </c>
      <c r="WHN11" s="314" t="s">
        <v>203</v>
      </c>
      <c r="WHO11" s="314" t="s">
        <v>203</v>
      </c>
      <c r="WHP11" s="314" t="s">
        <v>203</v>
      </c>
      <c r="WHQ11" s="314" t="s">
        <v>203</v>
      </c>
      <c r="WHR11" s="314" t="s">
        <v>203</v>
      </c>
      <c r="WHS11" s="314" t="s">
        <v>203</v>
      </c>
      <c r="WHT11" s="314" t="s">
        <v>203</v>
      </c>
      <c r="WHU11" s="314" t="s">
        <v>203</v>
      </c>
      <c r="WHV11" s="314" t="s">
        <v>203</v>
      </c>
      <c r="WHW11" s="314" t="s">
        <v>203</v>
      </c>
      <c r="WHX11" s="314" t="s">
        <v>203</v>
      </c>
      <c r="WHY11" s="314" t="s">
        <v>203</v>
      </c>
      <c r="WHZ11" s="314" t="s">
        <v>203</v>
      </c>
      <c r="WIA11" s="314" t="s">
        <v>203</v>
      </c>
      <c r="WIB11" s="314" t="s">
        <v>203</v>
      </c>
      <c r="WIC11" s="314" t="s">
        <v>203</v>
      </c>
      <c r="WID11" s="314" t="s">
        <v>203</v>
      </c>
      <c r="WIE11" s="314" t="s">
        <v>203</v>
      </c>
      <c r="WIF11" s="314" t="s">
        <v>203</v>
      </c>
      <c r="WIG11" s="314" t="s">
        <v>203</v>
      </c>
      <c r="WIH11" s="314" t="s">
        <v>203</v>
      </c>
      <c r="WII11" s="314" t="s">
        <v>203</v>
      </c>
      <c r="WIJ11" s="314" t="s">
        <v>203</v>
      </c>
      <c r="WIK11" s="314" t="s">
        <v>203</v>
      </c>
      <c r="WIL11" s="314" t="s">
        <v>203</v>
      </c>
      <c r="WIM11" s="314" t="s">
        <v>203</v>
      </c>
      <c r="WIN11" s="314" t="s">
        <v>203</v>
      </c>
      <c r="WIO11" s="314" t="s">
        <v>203</v>
      </c>
      <c r="WIP11" s="314" t="s">
        <v>203</v>
      </c>
      <c r="WIQ11" s="314" t="s">
        <v>203</v>
      </c>
      <c r="WIR11" s="314" t="s">
        <v>203</v>
      </c>
      <c r="WIS11" s="314" t="s">
        <v>203</v>
      </c>
      <c r="WIT11" s="314" t="s">
        <v>203</v>
      </c>
      <c r="WIU11" s="314" t="s">
        <v>203</v>
      </c>
      <c r="WIV11" s="314" t="s">
        <v>203</v>
      </c>
      <c r="WIW11" s="314" t="s">
        <v>203</v>
      </c>
      <c r="WIX11" s="314" t="s">
        <v>203</v>
      </c>
      <c r="WIY11" s="314" t="s">
        <v>203</v>
      </c>
      <c r="WIZ11" s="314" t="s">
        <v>203</v>
      </c>
      <c r="WJA11" s="314" t="s">
        <v>203</v>
      </c>
      <c r="WJB11" s="314" t="s">
        <v>203</v>
      </c>
      <c r="WJC11" s="314" t="s">
        <v>203</v>
      </c>
      <c r="WJD11" s="314" t="s">
        <v>203</v>
      </c>
      <c r="WJE11" s="314" t="s">
        <v>203</v>
      </c>
      <c r="WJF11" s="314" t="s">
        <v>203</v>
      </c>
      <c r="WJG11" s="314" t="s">
        <v>203</v>
      </c>
      <c r="WJH11" s="314" t="s">
        <v>203</v>
      </c>
      <c r="WJI11" s="314" t="s">
        <v>203</v>
      </c>
      <c r="WJJ11" s="314" t="s">
        <v>203</v>
      </c>
      <c r="WJK11" s="314" t="s">
        <v>203</v>
      </c>
      <c r="WJL11" s="314" t="s">
        <v>203</v>
      </c>
      <c r="WJM11" s="314" t="s">
        <v>203</v>
      </c>
      <c r="WJN11" s="314" t="s">
        <v>203</v>
      </c>
      <c r="WJO11" s="314" t="s">
        <v>203</v>
      </c>
      <c r="WJP11" s="314" t="s">
        <v>203</v>
      </c>
      <c r="WJQ11" s="314" t="s">
        <v>203</v>
      </c>
      <c r="WJR11" s="314" t="s">
        <v>203</v>
      </c>
      <c r="WJS11" s="314" t="s">
        <v>203</v>
      </c>
      <c r="WJT11" s="314" t="s">
        <v>203</v>
      </c>
      <c r="WJU11" s="314" t="s">
        <v>203</v>
      </c>
      <c r="WJV11" s="314" t="s">
        <v>203</v>
      </c>
      <c r="WJW11" s="314" t="s">
        <v>203</v>
      </c>
      <c r="WJX11" s="314" t="s">
        <v>203</v>
      </c>
      <c r="WJY11" s="314" t="s">
        <v>203</v>
      </c>
      <c r="WJZ11" s="314" t="s">
        <v>203</v>
      </c>
      <c r="WKA11" s="314" t="s">
        <v>203</v>
      </c>
      <c r="WKB11" s="314" t="s">
        <v>203</v>
      </c>
      <c r="WKC11" s="314" t="s">
        <v>203</v>
      </c>
      <c r="WKD11" s="314" t="s">
        <v>203</v>
      </c>
      <c r="WKE11" s="314" t="s">
        <v>203</v>
      </c>
      <c r="WKF11" s="314" t="s">
        <v>203</v>
      </c>
      <c r="WKG11" s="314" t="s">
        <v>203</v>
      </c>
      <c r="WKH11" s="314" t="s">
        <v>203</v>
      </c>
      <c r="WKI11" s="314" t="s">
        <v>203</v>
      </c>
      <c r="WKJ11" s="314" t="s">
        <v>203</v>
      </c>
      <c r="WKK11" s="314" t="s">
        <v>203</v>
      </c>
      <c r="WKL11" s="314" t="s">
        <v>203</v>
      </c>
      <c r="WKM11" s="314" t="s">
        <v>203</v>
      </c>
      <c r="WKN11" s="314" t="s">
        <v>203</v>
      </c>
      <c r="WKO11" s="314" t="s">
        <v>203</v>
      </c>
      <c r="WKP11" s="314" t="s">
        <v>203</v>
      </c>
      <c r="WKQ11" s="314" t="s">
        <v>203</v>
      </c>
      <c r="WKR11" s="314" t="s">
        <v>203</v>
      </c>
      <c r="WKS11" s="314" t="s">
        <v>203</v>
      </c>
      <c r="WKT11" s="314" t="s">
        <v>203</v>
      </c>
      <c r="WKU11" s="314" t="s">
        <v>203</v>
      </c>
      <c r="WKV11" s="314" t="s">
        <v>203</v>
      </c>
      <c r="WKW11" s="314" t="s">
        <v>203</v>
      </c>
      <c r="WKX11" s="314" t="s">
        <v>203</v>
      </c>
      <c r="WKY11" s="314" t="s">
        <v>203</v>
      </c>
      <c r="WKZ11" s="314" t="s">
        <v>203</v>
      </c>
      <c r="WLA11" s="314" t="s">
        <v>203</v>
      </c>
      <c r="WLB11" s="314" t="s">
        <v>203</v>
      </c>
      <c r="WLC11" s="314" t="s">
        <v>203</v>
      </c>
      <c r="WLD11" s="314" t="s">
        <v>203</v>
      </c>
      <c r="WLE11" s="314" t="s">
        <v>203</v>
      </c>
      <c r="WLF11" s="314" t="s">
        <v>203</v>
      </c>
      <c r="WLG11" s="314" t="s">
        <v>203</v>
      </c>
      <c r="WLH11" s="314" t="s">
        <v>203</v>
      </c>
      <c r="WLI11" s="314" t="s">
        <v>203</v>
      </c>
      <c r="WLJ11" s="314" t="s">
        <v>203</v>
      </c>
      <c r="WLK11" s="314" t="s">
        <v>203</v>
      </c>
      <c r="WLL11" s="314" t="s">
        <v>203</v>
      </c>
      <c r="WLM11" s="314" t="s">
        <v>203</v>
      </c>
      <c r="WLN11" s="314" t="s">
        <v>203</v>
      </c>
      <c r="WLO11" s="314" t="s">
        <v>203</v>
      </c>
      <c r="WLP11" s="314" t="s">
        <v>203</v>
      </c>
      <c r="WLQ11" s="314" t="s">
        <v>203</v>
      </c>
      <c r="WLR11" s="314" t="s">
        <v>203</v>
      </c>
      <c r="WLS11" s="314" t="s">
        <v>203</v>
      </c>
      <c r="WLT11" s="314" t="s">
        <v>203</v>
      </c>
      <c r="WLU11" s="314" t="s">
        <v>203</v>
      </c>
      <c r="WLV11" s="314" t="s">
        <v>203</v>
      </c>
      <c r="WLW11" s="314" t="s">
        <v>203</v>
      </c>
      <c r="WLX11" s="314" t="s">
        <v>203</v>
      </c>
      <c r="WLY11" s="314" t="s">
        <v>203</v>
      </c>
      <c r="WLZ11" s="314" t="s">
        <v>203</v>
      </c>
      <c r="WMA11" s="314" t="s">
        <v>203</v>
      </c>
      <c r="WMB11" s="314" t="s">
        <v>203</v>
      </c>
      <c r="WMC11" s="314" t="s">
        <v>203</v>
      </c>
      <c r="WMD11" s="314" t="s">
        <v>203</v>
      </c>
      <c r="WME11" s="314" t="s">
        <v>203</v>
      </c>
      <c r="WMF11" s="314" t="s">
        <v>203</v>
      </c>
      <c r="WMG11" s="314" t="s">
        <v>203</v>
      </c>
      <c r="WMH11" s="314" t="s">
        <v>203</v>
      </c>
      <c r="WMI11" s="314" t="s">
        <v>203</v>
      </c>
      <c r="WMJ11" s="314" t="s">
        <v>203</v>
      </c>
      <c r="WMK11" s="314" t="s">
        <v>203</v>
      </c>
      <c r="WML11" s="314" t="s">
        <v>203</v>
      </c>
      <c r="WMM11" s="314" t="s">
        <v>203</v>
      </c>
      <c r="WMN11" s="314" t="s">
        <v>203</v>
      </c>
      <c r="WMO11" s="314" t="s">
        <v>203</v>
      </c>
      <c r="WMP11" s="314" t="s">
        <v>203</v>
      </c>
      <c r="WMQ11" s="314" t="s">
        <v>203</v>
      </c>
      <c r="WMR11" s="314" t="s">
        <v>203</v>
      </c>
      <c r="WMS11" s="314" t="s">
        <v>203</v>
      </c>
      <c r="WMT11" s="314" t="s">
        <v>203</v>
      </c>
      <c r="WMU11" s="314" t="s">
        <v>203</v>
      </c>
      <c r="WMV11" s="314" t="s">
        <v>203</v>
      </c>
      <c r="WMW11" s="314" t="s">
        <v>203</v>
      </c>
      <c r="WMX11" s="314" t="s">
        <v>203</v>
      </c>
      <c r="WMY11" s="314" t="s">
        <v>203</v>
      </c>
      <c r="WMZ11" s="314" t="s">
        <v>203</v>
      </c>
      <c r="WNA11" s="314" t="s">
        <v>203</v>
      </c>
      <c r="WNB11" s="314" t="s">
        <v>203</v>
      </c>
      <c r="WNC11" s="314" t="s">
        <v>203</v>
      </c>
      <c r="WND11" s="314" t="s">
        <v>203</v>
      </c>
      <c r="WNE11" s="314" t="s">
        <v>203</v>
      </c>
      <c r="WNF11" s="314" t="s">
        <v>203</v>
      </c>
      <c r="WNG11" s="314" t="s">
        <v>203</v>
      </c>
      <c r="WNH11" s="314" t="s">
        <v>203</v>
      </c>
      <c r="WNI11" s="314" t="s">
        <v>203</v>
      </c>
      <c r="WNJ11" s="314" t="s">
        <v>203</v>
      </c>
      <c r="WNK11" s="314" t="s">
        <v>203</v>
      </c>
      <c r="WNL11" s="314" t="s">
        <v>203</v>
      </c>
      <c r="WNM11" s="314" t="s">
        <v>203</v>
      </c>
      <c r="WNN11" s="314" t="s">
        <v>203</v>
      </c>
      <c r="WNO11" s="314" t="s">
        <v>203</v>
      </c>
      <c r="WNP11" s="314" t="s">
        <v>203</v>
      </c>
      <c r="WNQ11" s="314" t="s">
        <v>203</v>
      </c>
      <c r="WNR11" s="314" t="s">
        <v>203</v>
      </c>
      <c r="WNS11" s="314" t="s">
        <v>203</v>
      </c>
      <c r="WNT11" s="314" t="s">
        <v>203</v>
      </c>
      <c r="WNU11" s="314" t="s">
        <v>203</v>
      </c>
      <c r="WNV11" s="314" t="s">
        <v>203</v>
      </c>
      <c r="WNW11" s="314" t="s">
        <v>203</v>
      </c>
      <c r="WNX11" s="314" t="s">
        <v>203</v>
      </c>
      <c r="WNY11" s="314" t="s">
        <v>203</v>
      </c>
      <c r="WNZ11" s="314" t="s">
        <v>203</v>
      </c>
      <c r="WOA11" s="314" t="s">
        <v>203</v>
      </c>
      <c r="WOB11" s="314" t="s">
        <v>203</v>
      </c>
      <c r="WOC11" s="314" t="s">
        <v>203</v>
      </c>
      <c r="WOD11" s="314" t="s">
        <v>203</v>
      </c>
      <c r="WOE11" s="314" t="s">
        <v>203</v>
      </c>
      <c r="WOF11" s="314" t="s">
        <v>203</v>
      </c>
      <c r="WOG11" s="314" t="s">
        <v>203</v>
      </c>
      <c r="WOH11" s="314" t="s">
        <v>203</v>
      </c>
      <c r="WOI11" s="314" t="s">
        <v>203</v>
      </c>
      <c r="WOJ11" s="314" t="s">
        <v>203</v>
      </c>
      <c r="WOK11" s="314" t="s">
        <v>203</v>
      </c>
      <c r="WOL11" s="314" t="s">
        <v>203</v>
      </c>
      <c r="WOM11" s="314" t="s">
        <v>203</v>
      </c>
      <c r="WON11" s="314" t="s">
        <v>203</v>
      </c>
      <c r="WOO11" s="314" t="s">
        <v>203</v>
      </c>
      <c r="WOP11" s="314" t="s">
        <v>203</v>
      </c>
      <c r="WOQ11" s="314" t="s">
        <v>203</v>
      </c>
      <c r="WOR11" s="314" t="s">
        <v>203</v>
      </c>
      <c r="WOS11" s="314" t="s">
        <v>203</v>
      </c>
      <c r="WOT11" s="314" t="s">
        <v>203</v>
      </c>
      <c r="WOU11" s="314" t="s">
        <v>203</v>
      </c>
      <c r="WOV11" s="314" t="s">
        <v>203</v>
      </c>
      <c r="WOW11" s="314" t="s">
        <v>203</v>
      </c>
      <c r="WOX11" s="314" t="s">
        <v>203</v>
      </c>
      <c r="WOY11" s="314" t="s">
        <v>203</v>
      </c>
      <c r="WOZ11" s="314" t="s">
        <v>203</v>
      </c>
      <c r="WPA11" s="314" t="s">
        <v>203</v>
      </c>
      <c r="WPB11" s="314" t="s">
        <v>203</v>
      </c>
      <c r="WPC11" s="314" t="s">
        <v>203</v>
      </c>
      <c r="WPD11" s="314" t="s">
        <v>203</v>
      </c>
      <c r="WPE11" s="314" t="s">
        <v>203</v>
      </c>
      <c r="WPF11" s="314" t="s">
        <v>203</v>
      </c>
      <c r="WPG11" s="314" t="s">
        <v>203</v>
      </c>
      <c r="WPH11" s="314" t="s">
        <v>203</v>
      </c>
      <c r="WPI11" s="314" t="s">
        <v>203</v>
      </c>
      <c r="WPJ11" s="314" t="s">
        <v>203</v>
      </c>
      <c r="WPK11" s="314" t="s">
        <v>203</v>
      </c>
      <c r="WPL11" s="314" t="s">
        <v>203</v>
      </c>
      <c r="WPM11" s="314" t="s">
        <v>203</v>
      </c>
      <c r="WPN11" s="314" t="s">
        <v>203</v>
      </c>
      <c r="WPO11" s="314" t="s">
        <v>203</v>
      </c>
      <c r="WPP11" s="314" t="s">
        <v>203</v>
      </c>
      <c r="WPQ11" s="314" t="s">
        <v>203</v>
      </c>
      <c r="WPR11" s="314" t="s">
        <v>203</v>
      </c>
      <c r="WPS11" s="314" t="s">
        <v>203</v>
      </c>
      <c r="WPT11" s="314" t="s">
        <v>203</v>
      </c>
      <c r="WPU11" s="314" t="s">
        <v>203</v>
      </c>
      <c r="WPV11" s="314" t="s">
        <v>203</v>
      </c>
      <c r="WPW11" s="314" t="s">
        <v>203</v>
      </c>
      <c r="WPX11" s="314" t="s">
        <v>203</v>
      </c>
      <c r="WPY11" s="314" t="s">
        <v>203</v>
      </c>
      <c r="WPZ11" s="314" t="s">
        <v>203</v>
      </c>
      <c r="WQA11" s="314" t="s">
        <v>203</v>
      </c>
      <c r="WQB11" s="314" t="s">
        <v>203</v>
      </c>
      <c r="WQC11" s="314" t="s">
        <v>203</v>
      </c>
      <c r="WQD11" s="314" t="s">
        <v>203</v>
      </c>
      <c r="WQE11" s="314" t="s">
        <v>203</v>
      </c>
      <c r="WQF11" s="314" t="s">
        <v>203</v>
      </c>
      <c r="WQG11" s="314" t="s">
        <v>203</v>
      </c>
      <c r="WQH11" s="314" t="s">
        <v>203</v>
      </c>
      <c r="WQI11" s="314" t="s">
        <v>203</v>
      </c>
      <c r="WQJ11" s="314" t="s">
        <v>203</v>
      </c>
      <c r="WQK11" s="314" t="s">
        <v>203</v>
      </c>
      <c r="WQL11" s="314" t="s">
        <v>203</v>
      </c>
      <c r="WQM11" s="314" t="s">
        <v>203</v>
      </c>
      <c r="WQN11" s="314" t="s">
        <v>203</v>
      </c>
      <c r="WQO11" s="314" t="s">
        <v>203</v>
      </c>
      <c r="WQP11" s="314" t="s">
        <v>203</v>
      </c>
      <c r="WQQ11" s="314" t="s">
        <v>203</v>
      </c>
      <c r="WQR11" s="314" t="s">
        <v>203</v>
      </c>
      <c r="WQS11" s="314" t="s">
        <v>203</v>
      </c>
      <c r="WQT11" s="314" t="s">
        <v>203</v>
      </c>
      <c r="WQU11" s="314" t="s">
        <v>203</v>
      </c>
      <c r="WQV11" s="314" t="s">
        <v>203</v>
      </c>
      <c r="WQW11" s="314" t="s">
        <v>203</v>
      </c>
      <c r="WQX11" s="314" t="s">
        <v>203</v>
      </c>
      <c r="WQY11" s="314" t="s">
        <v>203</v>
      </c>
      <c r="WQZ11" s="314" t="s">
        <v>203</v>
      </c>
      <c r="WRA11" s="314" t="s">
        <v>203</v>
      </c>
      <c r="WRB11" s="314" t="s">
        <v>203</v>
      </c>
      <c r="WRC11" s="314" t="s">
        <v>203</v>
      </c>
      <c r="WRD11" s="314" t="s">
        <v>203</v>
      </c>
      <c r="WRE11" s="314" t="s">
        <v>203</v>
      </c>
      <c r="WRF11" s="314" t="s">
        <v>203</v>
      </c>
      <c r="WRG11" s="314" t="s">
        <v>203</v>
      </c>
      <c r="WRH11" s="314" t="s">
        <v>203</v>
      </c>
      <c r="WRI11" s="314" t="s">
        <v>203</v>
      </c>
      <c r="WRJ11" s="314" t="s">
        <v>203</v>
      </c>
      <c r="WRK11" s="314" t="s">
        <v>203</v>
      </c>
      <c r="WRL11" s="314" t="s">
        <v>203</v>
      </c>
      <c r="WRM11" s="314" t="s">
        <v>203</v>
      </c>
      <c r="WRN11" s="314" t="s">
        <v>203</v>
      </c>
      <c r="WRO11" s="314" t="s">
        <v>203</v>
      </c>
      <c r="WRP11" s="314" t="s">
        <v>203</v>
      </c>
      <c r="WRQ11" s="314" t="s">
        <v>203</v>
      </c>
      <c r="WRR11" s="314" t="s">
        <v>203</v>
      </c>
      <c r="WRS11" s="314" t="s">
        <v>203</v>
      </c>
      <c r="WRT11" s="314" t="s">
        <v>203</v>
      </c>
      <c r="WRU11" s="314" t="s">
        <v>203</v>
      </c>
      <c r="WRV11" s="314" t="s">
        <v>203</v>
      </c>
      <c r="WRW11" s="314" t="s">
        <v>203</v>
      </c>
      <c r="WRX11" s="314" t="s">
        <v>203</v>
      </c>
      <c r="WRY11" s="314" t="s">
        <v>203</v>
      </c>
      <c r="WRZ11" s="314" t="s">
        <v>203</v>
      </c>
      <c r="WSA11" s="314" t="s">
        <v>203</v>
      </c>
      <c r="WSB11" s="314" t="s">
        <v>203</v>
      </c>
      <c r="WSC11" s="314" t="s">
        <v>203</v>
      </c>
      <c r="WSD11" s="314" t="s">
        <v>203</v>
      </c>
      <c r="WSE11" s="314" t="s">
        <v>203</v>
      </c>
      <c r="WSF11" s="314" t="s">
        <v>203</v>
      </c>
      <c r="WSG11" s="314" t="s">
        <v>203</v>
      </c>
      <c r="WSH11" s="314" t="s">
        <v>203</v>
      </c>
      <c r="WSI11" s="314" t="s">
        <v>203</v>
      </c>
      <c r="WSJ11" s="314" t="s">
        <v>203</v>
      </c>
      <c r="WSK11" s="314" t="s">
        <v>203</v>
      </c>
      <c r="WSL11" s="314" t="s">
        <v>203</v>
      </c>
      <c r="WSM11" s="314" t="s">
        <v>203</v>
      </c>
      <c r="WSN11" s="314" t="s">
        <v>203</v>
      </c>
      <c r="WSO11" s="314" t="s">
        <v>203</v>
      </c>
      <c r="WSP11" s="314" t="s">
        <v>203</v>
      </c>
      <c r="WSQ11" s="314" t="s">
        <v>203</v>
      </c>
      <c r="WSR11" s="314" t="s">
        <v>203</v>
      </c>
      <c r="WSS11" s="314" t="s">
        <v>203</v>
      </c>
      <c r="WST11" s="314" t="s">
        <v>203</v>
      </c>
      <c r="WSU11" s="314" t="s">
        <v>203</v>
      </c>
      <c r="WSV11" s="314" t="s">
        <v>203</v>
      </c>
      <c r="WSW11" s="314" t="s">
        <v>203</v>
      </c>
      <c r="WSX11" s="314" t="s">
        <v>203</v>
      </c>
      <c r="WSY11" s="314" t="s">
        <v>203</v>
      </c>
      <c r="WSZ11" s="314" t="s">
        <v>203</v>
      </c>
      <c r="WTA11" s="314" t="s">
        <v>203</v>
      </c>
      <c r="WTB11" s="314" t="s">
        <v>203</v>
      </c>
      <c r="WTC11" s="314" t="s">
        <v>203</v>
      </c>
      <c r="WTD11" s="314" t="s">
        <v>203</v>
      </c>
      <c r="WTE11" s="314" t="s">
        <v>203</v>
      </c>
      <c r="WTF11" s="314" t="s">
        <v>203</v>
      </c>
      <c r="WTG11" s="314" t="s">
        <v>203</v>
      </c>
      <c r="WTH11" s="314" t="s">
        <v>203</v>
      </c>
      <c r="WTI11" s="314" t="s">
        <v>203</v>
      </c>
      <c r="WTJ11" s="314" t="s">
        <v>203</v>
      </c>
      <c r="WTK11" s="314" t="s">
        <v>203</v>
      </c>
      <c r="WTL11" s="314" t="s">
        <v>203</v>
      </c>
      <c r="WTM11" s="314" t="s">
        <v>203</v>
      </c>
      <c r="WTN11" s="314" t="s">
        <v>203</v>
      </c>
      <c r="WTO11" s="314" t="s">
        <v>203</v>
      </c>
      <c r="WTP11" s="314" t="s">
        <v>203</v>
      </c>
      <c r="WTQ11" s="314" t="s">
        <v>203</v>
      </c>
      <c r="WTR11" s="314" t="s">
        <v>203</v>
      </c>
      <c r="WTS11" s="314" t="s">
        <v>203</v>
      </c>
      <c r="WTT11" s="314" t="s">
        <v>203</v>
      </c>
      <c r="WTU11" s="314" t="s">
        <v>203</v>
      </c>
      <c r="WTV11" s="314" t="s">
        <v>203</v>
      </c>
      <c r="WTW11" s="314" t="s">
        <v>203</v>
      </c>
      <c r="WTX11" s="314" t="s">
        <v>203</v>
      </c>
      <c r="WTY11" s="314" t="s">
        <v>203</v>
      </c>
      <c r="WTZ11" s="314" t="s">
        <v>203</v>
      </c>
      <c r="WUA11" s="314" t="s">
        <v>203</v>
      </c>
      <c r="WUB11" s="314" t="s">
        <v>203</v>
      </c>
      <c r="WUC11" s="314" t="s">
        <v>203</v>
      </c>
      <c r="WUD11" s="314" t="s">
        <v>203</v>
      </c>
      <c r="WUE11" s="314" t="s">
        <v>203</v>
      </c>
      <c r="WUF11" s="314" t="s">
        <v>203</v>
      </c>
      <c r="WUG11" s="314" t="s">
        <v>203</v>
      </c>
      <c r="WUH11" s="314" t="s">
        <v>203</v>
      </c>
      <c r="WUI11" s="314" t="s">
        <v>203</v>
      </c>
      <c r="WUJ11" s="314" t="s">
        <v>203</v>
      </c>
      <c r="WUK11" s="314" t="s">
        <v>203</v>
      </c>
      <c r="WUL11" s="314" t="s">
        <v>203</v>
      </c>
      <c r="WUM11" s="314" t="s">
        <v>203</v>
      </c>
      <c r="WUN11" s="314" t="s">
        <v>203</v>
      </c>
      <c r="WUO11" s="314" t="s">
        <v>203</v>
      </c>
      <c r="WUP11" s="314" t="s">
        <v>203</v>
      </c>
      <c r="WUQ11" s="314" t="s">
        <v>203</v>
      </c>
      <c r="WUR11" s="314" t="s">
        <v>203</v>
      </c>
      <c r="WUS11" s="314" t="s">
        <v>203</v>
      </c>
      <c r="WUT11" s="314" t="s">
        <v>203</v>
      </c>
      <c r="WUU11" s="314" t="s">
        <v>203</v>
      </c>
      <c r="WUV11" s="314" t="s">
        <v>203</v>
      </c>
      <c r="WUW11" s="314" t="s">
        <v>203</v>
      </c>
      <c r="WUX11" s="314" t="s">
        <v>203</v>
      </c>
      <c r="WUY11" s="314" t="s">
        <v>203</v>
      </c>
      <c r="WUZ11" s="314" t="s">
        <v>203</v>
      </c>
      <c r="WVA11" s="314" t="s">
        <v>203</v>
      </c>
      <c r="WVB11" s="314" t="s">
        <v>203</v>
      </c>
      <c r="WVC11" s="314" t="s">
        <v>203</v>
      </c>
      <c r="WVD11" s="314" t="s">
        <v>203</v>
      </c>
      <c r="WVE11" s="314" t="s">
        <v>203</v>
      </c>
      <c r="WVF11" s="314" t="s">
        <v>203</v>
      </c>
      <c r="WVG11" s="314" t="s">
        <v>203</v>
      </c>
      <c r="WVH11" s="314" t="s">
        <v>203</v>
      </c>
      <c r="WVI11" s="314" t="s">
        <v>203</v>
      </c>
      <c r="WVJ11" s="314" t="s">
        <v>203</v>
      </c>
      <c r="WVK11" s="314" t="s">
        <v>203</v>
      </c>
      <c r="WVL11" s="314" t="s">
        <v>203</v>
      </c>
      <c r="WVM11" s="314" t="s">
        <v>203</v>
      </c>
      <c r="WVN11" s="314" t="s">
        <v>203</v>
      </c>
      <c r="WVO11" s="314" t="s">
        <v>203</v>
      </c>
      <c r="WVP11" s="314" t="s">
        <v>203</v>
      </c>
      <c r="WVQ11" s="314" t="s">
        <v>203</v>
      </c>
      <c r="WVR11" s="314" t="s">
        <v>203</v>
      </c>
      <c r="WVS11" s="314" t="s">
        <v>203</v>
      </c>
      <c r="WVT11" s="314" t="s">
        <v>203</v>
      </c>
      <c r="WVU11" s="314" t="s">
        <v>203</v>
      </c>
      <c r="WVV11" s="314" t="s">
        <v>203</v>
      </c>
      <c r="WVW11" s="314" t="s">
        <v>203</v>
      </c>
      <c r="WVX11" s="314" t="s">
        <v>203</v>
      </c>
      <c r="WVY11" s="314" t="s">
        <v>203</v>
      </c>
      <c r="WVZ11" s="314" t="s">
        <v>203</v>
      </c>
      <c r="WWA11" s="314" t="s">
        <v>203</v>
      </c>
      <c r="WWB11" s="314" t="s">
        <v>203</v>
      </c>
      <c r="WWC11" s="314" t="s">
        <v>203</v>
      </c>
      <c r="WWD11" s="314" t="s">
        <v>203</v>
      </c>
      <c r="WWE11" s="314" t="s">
        <v>203</v>
      </c>
      <c r="WWF11" s="314" t="s">
        <v>203</v>
      </c>
      <c r="WWG11" s="314" t="s">
        <v>203</v>
      </c>
      <c r="WWH11" s="314" t="s">
        <v>203</v>
      </c>
      <c r="WWI11" s="314" t="s">
        <v>203</v>
      </c>
      <c r="WWJ11" s="314" t="s">
        <v>203</v>
      </c>
      <c r="WWK11" s="314" t="s">
        <v>203</v>
      </c>
      <c r="WWL11" s="314" t="s">
        <v>203</v>
      </c>
      <c r="WWM11" s="314" t="s">
        <v>203</v>
      </c>
      <c r="WWN11" s="314" t="s">
        <v>203</v>
      </c>
      <c r="WWO11" s="314" t="s">
        <v>203</v>
      </c>
      <c r="WWP11" s="314" t="s">
        <v>203</v>
      </c>
      <c r="WWQ11" s="314" t="s">
        <v>203</v>
      </c>
      <c r="WWR11" s="314" t="s">
        <v>203</v>
      </c>
      <c r="WWS11" s="314" t="s">
        <v>203</v>
      </c>
      <c r="WWT11" s="314" t="s">
        <v>203</v>
      </c>
      <c r="WWU11" s="314" t="s">
        <v>203</v>
      </c>
      <c r="WWV11" s="314" t="s">
        <v>203</v>
      </c>
      <c r="WWW11" s="314" t="s">
        <v>203</v>
      </c>
      <c r="WWX11" s="314" t="s">
        <v>203</v>
      </c>
      <c r="WWY11" s="314" t="s">
        <v>203</v>
      </c>
      <c r="WWZ11" s="314" t="s">
        <v>203</v>
      </c>
      <c r="WXA11" s="314" t="s">
        <v>203</v>
      </c>
      <c r="WXB11" s="314" t="s">
        <v>203</v>
      </c>
      <c r="WXC11" s="314" t="s">
        <v>203</v>
      </c>
      <c r="WXD11" s="314" t="s">
        <v>203</v>
      </c>
      <c r="WXE11" s="314" t="s">
        <v>203</v>
      </c>
      <c r="WXF11" s="314" t="s">
        <v>203</v>
      </c>
      <c r="WXG11" s="314" t="s">
        <v>203</v>
      </c>
      <c r="WXH11" s="314" t="s">
        <v>203</v>
      </c>
      <c r="WXI11" s="314" t="s">
        <v>203</v>
      </c>
      <c r="WXJ11" s="314" t="s">
        <v>203</v>
      </c>
      <c r="WXK11" s="314" t="s">
        <v>203</v>
      </c>
      <c r="WXL11" s="314" t="s">
        <v>203</v>
      </c>
      <c r="WXM11" s="314" t="s">
        <v>203</v>
      </c>
      <c r="WXN11" s="314" t="s">
        <v>203</v>
      </c>
      <c r="WXO11" s="314" t="s">
        <v>203</v>
      </c>
      <c r="WXP11" s="314" t="s">
        <v>203</v>
      </c>
      <c r="WXQ11" s="314" t="s">
        <v>203</v>
      </c>
      <c r="WXR11" s="314" t="s">
        <v>203</v>
      </c>
      <c r="WXS11" s="314" t="s">
        <v>203</v>
      </c>
      <c r="WXT11" s="314" t="s">
        <v>203</v>
      </c>
      <c r="WXU11" s="314" t="s">
        <v>203</v>
      </c>
      <c r="WXV11" s="314" t="s">
        <v>203</v>
      </c>
      <c r="WXW11" s="314" t="s">
        <v>203</v>
      </c>
      <c r="WXX11" s="314" t="s">
        <v>203</v>
      </c>
      <c r="WXY11" s="314" t="s">
        <v>203</v>
      </c>
      <c r="WXZ11" s="314" t="s">
        <v>203</v>
      </c>
      <c r="WYA11" s="314" t="s">
        <v>203</v>
      </c>
      <c r="WYB11" s="314" t="s">
        <v>203</v>
      </c>
      <c r="WYC11" s="314" t="s">
        <v>203</v>
      </c>
      <c r="WYD11" s="314" t="s">
        <v>203</v>
      </c>
      <c r="WYE11" s="314" t="s">
        <v>203</v>
      </c>
      <c r="WYF11" s="314" t="s">
        <v>203</v>
      </c>
      <c r="WYG11" s="314" t="s">
        <v>203</v>
      </c>
      <c r="WYH11" s="314" t="s">
        <v>203</v>
      </c>
      <c r="WYI11" s="314" t="s">
        <v>203</v>
      </c>
      <c r="WYJ11" s="314" t="s">
        <v>203</v>
      </c>
      <c r="WYK11" s="314" t="s">
        <v>203</v>
      </c>
      <c r="WYL11" s="314" t="s">
        <v>203</v>
      </c>
      <c r="WYM11" s="314" t="s">
        <v>203</v>
      </c>
      <c r="WYN11" s="314" t="s">
        <v>203</v>
      </c>
      <c r="WYO11" s="314" t="s">
        <v>203</v>
      </c>
      <c r="WYP11" s="314" t="s">
        <v>203</v>
      </c>
      <c r="WYQ11" s="314" t="s">
        <v>203</v>
      </c>
      <c r="WYR11" s="314" t="s">
        <v>203</v>
      </c>
      <c r="WYS11" s="314" t="s">
        <v>203</v>
      </c>
      <c r="WYT11" s="314" t="s">
        <v>203</v>
      </c>
      <c r="WYU11" s="314" t="s">
        <v>203</v>
      </c>
      <c r="WYV11" s="314" t="s">
        <v>203</v>
      </c>
      <c r="WYW11" s="314" t="s">
        <v>203</v>
      </c>
      <c r="WYX11" s="314" t="s">
        <v>203</v>
      </c>
      <c r="WYY11" s="314" t="s">
        <v>203</v>
      </c>
      <c r="WYZ11" s="314" t="s">
        <v>203</v>
      </c>
      <c r="WZA11" s="314" t="s">
        <v>203</v>
      </c>
      <c r="WZB11" s="314" t="s">
        <v>203</v>
      </c>
      <c r="WZC11" s="314" t="s">
        <v>203</v>
      </c>
      <c r="WZD11" s="314" t="s">
        <v>203</v>
      </c>
      <c r="WZE11" s="314" t="s">
        <v>203</v>
      </c>
      <c r="WZF11" s="314" t="s">
        <v>203</v>
      </c>
      <c r="WZG11" s="314" t="s">
        <v>203</v>
      </c>
      <c r="WZH11" s="314" t="s">
        <v>203</v>
      </c>
      <c r="WZI11" s="314" t="s">
        <v>203</v>
      </c>
      <c r="WZJ11" s="314" t="s">
        <v>203</v>
      </c>
      <c r="WZK11" s="314" t="s">
        <v>203</v>
      </c>
      <c r="WZL11" s="314" t="s">
        <v>203</v>
      </c>
      <c r="WZM11" s="314" t="s">
        <v>203</v>
      </c>
      <c r="WZN11" s="314" t="s">
        <v>203</v>
      </c>
      <c r="WZO11" s="314" t="s">
        <v>203</v>
      </c>
      <c r="WZP11" s="314" t="s">
        <v>203</v>
      </c>
      <c r="WZQ11" s="314" t="s">
        <v>203</v>
      </c>
      <c r="WZR11" s="314" t="s">
        <v>203</v>
      </c>
      <c r="WZS11" s="314" t="s">
        <v>203</v>
      </c>
      <c r="WZT11" s="314" t="s">
        <v>203</v>
      </c>
      <c r="WZU11" s="314" t="s">
        <v>203</v>
      </c>
      <c r="WZV11" s="314" t="s">
        <v>203</v>
      </c>
      <c r="WZW11" s="314" t="s">
        <v>203</v>
      </c>
      <c r="WZX11" s="314" t="s">
        <v>203</v>
      </c>
      <c r="WZY11" s="314" t="s">
        <v>203</v>
      </c>
      <c r="WZZ11" s="314" t="s">
        <v>203</v>
      </c>
      <c r="XAA11" s="314" t="s">
        <v>203</v>
      </c>
      <c r="XAB11" s="314" t="s">
        <v>203</v>
      </c>
      <c r="XAC11" s="314" t="s">
        <v>203</v>
      </c>
      <c r="XAD11" s="314" t="s">
        <v>203</v>
      </c>
      <c r="XAE11" s="314" t="s">
        <v>203</v>
      </c>
      <c r="XAF11" s="314" t="s">
        <v>203</v>
      </c>
      <c r="XAG11" s="314" t="s">
        <v>203</v>
      </c>
      <c r="XAH11" s="314" t="s">
        <v>203</v>
      </c>
      <c r="XAI11" s="314" t="s">
        <v>203</v>
      </c>
      <c r="XAJ11" s="314" t="s">
        <v>203</v>
      </c>
      <c r="XAK11" s="314" t="s">
        <v>203</v>
      </c>
      <c r="XAL11" s="314" t="s">
        <v>203</v>
      </c>
      <c r="XAM11" s="314" t="s">
        <v>203</v>
      </c>
      <c r="XAN11" s="314" t="s">
        <v>203</v>
      </c>
      <c r="XAO11" s="314" t="s">
        <v>203</v>
      </c>
      <c r="XAP11" s="314" t="s">
        <v>203</v>
      </c>
      <c r="XAQ11" s="314" t="s">
        <v>203</v>
      </c>
      <c r="XAR11" s="314" t="s">
        <v>203</v>
      </c>
      <c r="XAS11" s="314" t="s">
        <v>203</v>
      </c>
      <c r="XAT11" s="314" t="s">
        <v>203</v>
      </c>
      <c r="XAU11" s="314" t="s">
        <v>203</v>
      </c>
      <c r="XAV11" s="314" t="s">
        <v>203</v>
      </c>
      <c r="XAW11" s="314" t="s">
        <v>203</v>
      </c>
      <c r="XAX11" s="314" t="s">
        <v>203</v>
      </c>
      <c r="XAY11" s="314" t="s">
        <v>203</v>
      </c>
      <c r="XAZ11" s="314" t="s">
        <v>203</v>
      </c>
      <c r="XBA11" s="314" t="s">
        <v>203</v>
      </c>
      <c r="XBB11" s="314" t="s">
        <v>203</v>
      </c>
      <c r="XBC11" s="314" t="s">
        <v>203</v>
      </c>
      <c r="XBD11" s="314" t="s">
        <v>203</v>
      </c>
      <c r="XBE11" s="314" t="s">
        <v>203</v>
      </c>
      <c r="XBF11" s="314" t="s">
        <v>203</v>
      </c>
      <c r="XBG11" s="314" t="s">
        <v>203</v>
      </c>
      <c r="XBH11" s="314" t="s">
        <v>203</v>
      </c>
      <c r="XBI11" s="314" t="s">
        <v>203</v>
      </c>
      <c r="XBJ11" s="314" t="s">
        <v>203</v>
      </c>
      <c r="XBK11" s="314" t="s">
        <v>203</v>
      </c>
      <c r="XBL11" s="314" t="s">
        <v>203</v>
      </c>
      <c r="XBM11" s="314" t="s">
        <v>203</v>
      </c>
      <c r="XBN11" s="314" t="s">
        <v>203</v>
      </c>
      <c r="XBO11" s="314" t="s">
        <v>203</v>
      </c>
      <c r="XBP11" s="314" t="s">
        <v>203</v>
      </c>
      <c r="XBQ11" s="314" t="s">
        <v>203</v>
      </c>
      <c r="XBR11" s="314" t="s">
        <v>203</v>
      </c>
      <c r="XBS11" s="314" t="s">
        <v>203</v>
      </c>
      <c r="XBT11" s="314" t="s">
        <v>203</v>
      </c>
      <c r="XBU11" s="314" t="s">
        <v>203</v>
      </c>
      <c r="XBV11" s="314" t="s">
        <v>203</v>
      </c>
      <c r="XBW11" s="314" t="s">
        <v>203</v>
      </c>
      <c r="XBX11" s="314" t="s">
        <v>203</v>
      </c>
      <c r="XBY11" s="314" t="s">
        <v>203</v>
      </c>
      <c r="XBZ11" s="314" t="s">
        <v>203</v>
      </c>
      <c r="XCA11" s="314" t="s">
        <v>203</v>
      </c>
      <c r="XCB11" s="314" t="s">
        <v>203</v>
      </c>
      <c r="XCC11" s="314" t="s">
        <v>203</v>
      </c>
      <c r="XCD11" s="314" t="s">
        <v>203</v>
      </c>
      <c r="XCE11" s="314" t="s">
        <v>203</v>
      </c>
      <c r="XCF11" s="314" t="s">
        <v>203</v>
      </c>
      <c r="XCG11" s="314" t="s">
        <v>203</v>
      </c>
      <c r="XCH11" s="314" t="s">
        <v>203</v>
      </c>
      <c r="XCI11" s="314" t="s">
        <v>203</v>
      </c>
      <c r="XCJ11" s="314" t="s">
        <v>203</v>
      </c>
      <c r="XCK11" s="314" t="s">
        <v>203</v>
      </c>
      <c r="XCL11" s="314" t="s">
        <v>203</v>
      </c>
      <c r="XCM11" s="314" t="s">
        <v>203</v>
      </c>
      <c r="XCN11" s="314" t="s">
        <v>203</v>
      </c>
      <c r="XCO11" s="314" t="s">
        <v>203</v>
      </c>
      <c r="XCP11" s="314" t="s">
        <v>203</v>
      </c>
      <c r="XCQ11" s="314" t="s">
        <v>203</v>
      </c>
      <c r="XCR11" s="314" t="s">
        <v>203</v>
      </c>
      <c r="XCS11" s="314" t="s">
        <v>203</v>
      </c>
      <c r="XCT11" s="314" t="s">
        <v>203</v>
      </c>
      <c r="XCU11" s="314" t="s">
        <v>203</v>
      </c>
      <c r="XCV11" s="314" t="s">
        <v>203</v>
      </c>
      <c r="XCW11" s="314" t="s">
        <v>203</v>
      </c>
      <c r="XCX11" s="314" t="s">
        <v>203</v>
      </c>
      <c r="XCY11" s="314" t="s">
        <v>203</v>
      </c>
      <c r="XCZ11" s="314" t="s">
        <v>203</v>
      </c>
      <c r="XDA11" s="314" t="s">
        <v>203</v>
      </c>
      <c r="XDB11" s="314" t="s">
        <v>203</v>
      </c>
      <c r="XDC11" s="314" t="s">
        <v>203</v>
      </c>
      <c r="XDD11" s="314" t="s">
        <v>203</v>
      </c>
      <c r="XDE11" s="314" t="s">
        <v>203</v>
      </c>
      <c r="XDF11" s="314" t="s">
        <v>203</v>
      </c>
      <c r="XDG11" s="314" t="s">
        <v>203</v>
      </c>
      <c r="XDH11" s="314" t="s">
        <v>203</v>
      </c>
      <c r="XDI11" s="314" t="s">
        <v>203</v>
      </c>
      <c r="XDJ11" s="314" t="s">
        <v>203</v>
      </c>
      <c r="XDK11" s="314" t="s">
        <v>203</v>
      </c>
      <c r="XDL11" s="314" t="s">
        <v>203</v>
      </c>
      <c r="XDM11" s="314" t="s">
        <v>203</v>
      </c>
      <c r="XDN11" s="314" t="s">
        <v>203</v>
      </c>
      <c r="XDO11" s="314" t="s">
        <v>203</v>
      </c>
      <c r="XDP11" s="314" t="s">
        <v>203</v>
      </c>
      <c r="XDQ11" s="314" t="s">
        <v>203</v>
      </c>
      <c r="XDR11" s="314" t="s">
        <v>203</v>
      </c>
      <c r="XDS11" s="314" t="s">
        <v>203</v>
      </c>
      <c r="XDT11" s="314" t="s">
        <v>203</v>
      </c>
      <c r="XDU11" s="314" t="s">
        <v>203</v>
      </c>
      <c r="XDV11" s="314" t="s">
        <v>203</v>
      </c>
      <c r="XDW11" s="314" t="s">
        <v>203</v>
      </c>
      <c r="XDX11" s="314" t="s">
        <v>203</v>
      </c>
      <c r="XDY11" s="314" t="s">
        <v>203</v>
      </c>
      <c r="XDZ11" s="314" t="s">
        <v>203</v>
      </c>
      <c r="XEA11" s="314" t="s">
        <v>203</v>
      </c>
      <c r="XEB11" s="314" t="s">
        <v>203</v>
      </c>
      <c r="XEC11" s="314" t="s">
        <v>203</v>
      </c>
      <c r="XED11" s="314" t="s">
        <v>203</v>
      </c>
      <c r="XEE11" s="314" t="s">
        <v>203</v>
      </c>
      <c r="XEF11" s="314" t="s">
        <v>203</v>
      </c>
      <c r="XEG11" s="314" t="s">
        <v>203</v>
      </c>
      <c r="XEH11" s="314" t="s">
        <v>203</v>
      </c>
      <c r="XEI11" s="314" t="s">
        <v>203</v>
      </c>
      <c r="XEJ11" s="314" t="s">
        <v>203</v>
      </c>
      <c r="XEK11" s="314" t="s">
        <v>203</v>
      </c>
      <c r="XEL11" s="314" t="s">
        <v>203</v>
      </c>
      <c r="XEM11" s="314" t="s">
        <v>203</v>
      </c>
      <c r="XEN11" s="314" t="s">
        <v>203</v>
      </c>
      <c r="XEO11" s="314" t="s">
        <v>203</v>
      </c>
      <c r="XEP11" s="314" t="s">
        <v>203</v>
      </c>
      <c r="XEQ11" s="314" t="s">
        <v>203</v>
      </c>
      <c r="XER11" s="314" t="s">
        <v>203</v>
      </c>
      <c r="XES11" s="314" t="s">
        <v>203</v>
      </c>
      <c r="XET11" s="314" t="s">
        <v>203</v>
      </c>
      <c r="XEU11" s="314" t="s">
        <v>203</v>
      </c>
      <c r="XEV11" s="314" t="s">
        <v>203</v>
      </c>
      <c r="XEW11" s="314" t="s">
        <v>203</v>
      </c>
      <c r="XEX11" s="314" t="s">
        <v>203</v>
      </c>
      <c r="XEY11" s="314" t="s">
        <v>203</v>
      </c>
    </row>
    <row r="12" spans="1:16379" s="314" customFormat="1" ht="16.5" customHeight="1" x14ac:dyDescent="0.2">
      <c r="A12" s="772" t="s">
        <v>345</v>
      </c>
      <c r="B12" s="607">
        <v>45902</v>
      </c>
      <c r="C12" s="608"/>
      <c r="D12" s="608"/>
      <c r="E12" s="609"/>
      <c r="F12" s="609"/>
      <c r="G12" s="609"/>
      <c r="H12" s="607" t="s">
        <v>213</v>
      </c>
      <c r="I12" s="609" t="s">
        <v>47</v>
      </c>
      <c r="J12" s="610">
        <v>1518</v>
      </c>
      <c r="K12" s="610"/>
      <c r="L12" s="609"/>
      <c r="M12" s="611"/>
      <c r="N12" s="609"/>
      <c r="O12" s="528">
        <v>607</v>
      </c>
      <c r="P12" s="765"/>
      <c r="Q12" s="765"/>
      <c r="R12" s="528"/>
      <c r="S12" s="611"/>
      <c r="T12" s="611">
        <v>820</v>
      </c>
      <c r="U12" s="613" t="s">
        <v>346</v>
      </c>
      <c r="V12" s="660"/>
      <c r="W12" s="323"/>
      <c r="X12" s="698"/>
      <c r="Y12" s="323"/>
      <c r="Z12" s="699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3"/>
    </row>
    <row r="13" spans="1:16379" s="319" customFormat="1" x14ac:dyDescent="0.25">
      <c r="A13" s="773" t="s">
        <v>357</v>
      </c>
      <c r="B13" s="561">
        <v>45999</v>
      </c>
      <c r="C13" s="562"/>
      <c r="D13" s="562"/>
      <c r="E13" s="563"/>
      <c r="F13" s="563"/>
      <c r="G13" s="563"/>
      <c r="H13" s="573" t="s">
        <v>120</v>
      </c>
      <c r="I13" s="573" t="s">
        <v>78</v>
      </c>
      <c r="J13" s="567">
        <v>1758</v>
      </c>
      <c r="K13" s="567">
        <v>200</v>
      </c>
      <c r="L13" s="563"/>
      <c r="M13" s="571"/>
      <c r="N13" s="563"/>
      <c r="O13" s="572"/>
      <c r="P13" s="733" t="s">
        <v>372</v>
      </c>
      <c r="Q13" s="733">
        <v>46053</v>
      </c>
      <c r="R13" s="572"/>
      <c r="S13" s="571"/>
      <c r="T13" s="571">
        <v>1518</v>
      </c>
      <c r="U13" s="573">
        <v>2271121647</v>
      </c>
      <c r="V13" s="289"/>
      <c r="X13" s="700"/>
      <c r="Z13" s="701"/>
    </row>
    <row r="14" spans="1:16379" s="319" customFormat="1" x14ac:dyDescent="0.25">
      <c r="A14" s="773" t="s">
        <v>361</v>
      </c>
      <c r="B14" s="561">
        <v>46027</v>
      </c>
      <c r="C14" s="562"/>
      <c r="D14" s="562"/>
      <c r="E14" s="563"/>
      <c r="F14" s="563"/>
      <c r="G14" s="563"/>
      <c r="H14" s="573"/>
      <c r="I14" s="573"/>
      <c r="J14" s="567">
        <v>1758</v>
      </c>
      <c r="K14" s="567"/>
      <c r="L14" s="563"/>
      <c r="M14" s="571"/>
      <c r="N14" s="563"/>
      <c r="O14" s="572"/>
      <c r="P14" s="733"/>
      <c r="Q14" s="733">
        <v>46049</v>
      </c>
      <c r="R14" s="572"/>
      <c r="S14" s="571"/>
      <c r="T14" s="571">
        <f>1758/30*25-87.9-58.6</f>
        <v>1318.5</v>
      </c>
      <c r="U14" s="573">
        <v>31984051015</v>
      </c>
      <c r="V14" s="289"/>
      <c r="X14" s="700"/>
      <c r="Z14" s="701"/>
    </row>
    <row r="15" spans="1:16379" s="319" customFormat="1" x14ac:dyDescent="0.25">
      <c r="A15" s="718" t="s">
        <v>354</v>
      </c>
      <c r="B15" s="561">
        <v>45979</v>
      </c>
      <c r="C15" s="562"/>
      <c r="D15" s="562"/>
      <c r="E15" s="563"/>
      <c r="F15" s="563"/>
      <c r="G15" s="563"/>
      <c r="H15" s="573"/>
      <c r="I15" s="573"/>
      <c r="J15" s="567">
        <v>1733.05</v>
      </c>
      <c r="K15" s="567"/>
      <c r="L15" s="563"/>
      <c r="M15" s="571"/>
      <c r="N15" s="563"/>
      <c r="O15" s="572">
        <v>694</v>
      </c>
      <c r="P15" s="733" t="s">
        <v>366</v>
      </c>
      <c r="Q15" s="733"/>
      <c r="R15" s="572"/>
      <c r="S15" s="571"/>
      <c r="T15" s="571">
        <v>935</v>
      </c>
      <c r="U15" s="573">
        <v>13957522650</v>
      </c>
      <c r="V15" s="289"/>
      <c r="X15" s="700"/>
      <c r="Z15" s="701"/>
    </row>
    <row r="16" spans="1:16379" s="319" customFormat="1" ht="12" customHeight="1" x14ac:dyDescent="0.25">
      <c r="A16" s="773" t="s">
        <v>330</v>
      </c>
      <c r="B16" s="561">
        <v>45937</v>
      </c>
      <c r="C16" s="562"/>
      <c r="D16" s="562"/>
      <c r="E16" s="563"/>
      <c r="F16" s="563"/>
      <c r="G16" s="563"/>
      <c r="H16" s="573" t="s">
        <v>120</v>
      </c>
      <c r="I16" s="573" t="s">
        <v>78</v>
      </c>
      <c r="J16" s="567">
        <v>1733.05</v>
      </c>
      <c r="K16" s="567">
        <v>200</v>
      </c>
      <c r="L16" s="563"/>
      <c r="M16" s="571"/>
      <c r="N16" s="563"/>
      <c r="O16" s="572">
        <v>694</v>
      </c>
      <c r="P16" s="733"/>
      <c r="Q16" s="733"/>
      <c r="R16" s="572"/>
      <c r="S16" s="571"/>
      <c r="T16" s="571">
        <v>935</v>
      </c>
      <c r="U16" s="691">
        <v>14177020605</v>
      </c>
      <c r="V16" s="289"/>
      <c r="X16" s="700"/>
      <c r="Z16" s="701"/>
    </row>
    <row r="17" spans="1:26" ht="28.5" customHeight="1" thickBot="1" x14ac:dyDescent="0.3">
      <c r="A17" s="773" t="s">
        <v>288</v>
      </c>
      <c r="B17" s="561"/>
      <c r="C17" s="562">
        <v>45901</v>
      </c>
      <c r="D17" s="562"/>
      <c r="E17" s="563"/>
      <c r="F17" s="563"/>
      <c r="G17" s="563"/>
      <c r="H17" s="573" t="s">
        <v>257</v>
      </c>
      <c r="I17" s="573" t="s">
        <v>206</v>
      </c>
      <c r="J17" s="567">
        <v>1758</v>
      </c>
      <c r="K17" s="567">
        <v>200</v>
      </c>
      <c r="L17" s="563"/>
      <c r="M17" s="571"/>
      <c r="N17" s="563"/>
      <c r="O17" s="572">
        <v>704</v>
      </c>
      <c r="P17" s="733"/>
      <c r="Q17" s="733"/>
      <c r="R17" s="572"/>
      <c r="S17" s="571"/>
      <c r="T17" s="571">
        <v>815</v>
      </c>
      <c r="U17" s="604" t="s">
        <v>289</v>
      </c>
      <c r="V17" s="25"/>
      <c r="X17" s="704"/>
      <c r="Y17" s="705"/>
      <c r="Z17" s="706"/>
    </row>
    <row r="18" spans="1:26" x14ac:dyDescent="0.25">
      <c r="A18" s="773" t="s">
        <v>283</v>
      </c>
      <c r="B18" s="561">
        <v>45885</v>
      </c>
      <c r="C18" s="562">
        <v>45883</v>
      </c>
      <c r="D18" s="562"/>
      <c r="E18" s="563"/>
      <c r="F18" s="563"/>
      <c r="G18" s="563"/>
      <c r="H18" s="573" t="s">
        <v>282</v>
      </c>
      <c r="I18" s="573" t="s">
        <v>78</v>
      </c>
      <c r="J18" s="571">
        <v>1733.05</v>
      </c>
      <c r="K18" s="571"/>
      <c r="L18" s="563"/>
      <c r="M18" s="571"/>
      <c r="N18" s="563"/>
      <c r="O18" s="572">
        <v>694</v>
      </c>
      <c r="P18" s="733"/>
      <c r="Q18" s="733">
        <v>46033</v>
      </c>
      <c r="R18" s="572" t="s">
        <v>93</v>
      </c>
      <c r="S18" s="571"/>
      <c r="T18" s="571">
        <v>908</v>
      </c>
      <c r="U18" s="573">
        <v>31986345542</v>
      </c>
      <c r="V18" s="35"/>
    </row>
    <row r="19" spans="1:26" ht="24.75" x14ac:dyDescent="0.25">
      <c r="A19" s="603" t="s">
        <v>286</v>
      </c>
      <c r="B19" s="535">
        <v>45897</v>
      </c>
      <c r="C19" s="535">
        <v>45897</v>
      </c>
      <c r="D19" s="536"/>
      <c r="E19" s="537"/>
      <c r="F19" s="537"/>
      <c r="G19" s="537"/>
      <c r="H19" s="321" t="s">
        <v>285</v>
      </c>
      <c r="I19" s="321" t="s">
        <v>74</v>
      </c>
      <c r="J19" s="545">
        <v>1758</v>
      </c>
      <c r="K19" s="545"/>
      <c r="L19" s="537"/>
      <c r="M19" s="545"/>
      <c r="N19" s="537"/>
      <c r="O19" s="545">
        <v>704</v>
      </c>
      <c r="P19" s="693" t="s">
        <v>373</v>
      </c>
      <c r="Q19" s="693" t="s">
        <v>369</v>
      </c>
      <c r="R19" s="592" t="s">
        <v>93</v>
      </c>
      <c r="S19" s="545">
        <v>150</v>
      </c>
      <c r="T19" s="545">
        <v>546</v>
      </c>
      <c r="U19" s="321">
        <v>31987900125</v>
      </c>
      <c r="V19" s="25"/>
    </row>
    <row r="20" spans="1:26" ht="24.75" x14ac:dyDescent="0.25">
      <c r="A20" s="603" t="s">
        <v>309</v>
      </c>
      <c r="B20" s="535">
        <v>45923</v>
      </c>
      <c r="C20" s="535"/>
      <c r="D20" s="536"/>
      <c r="E20" s="537"/>
      <c r="F20" s="537"/>
      <c r="G20" s="537"/>
      <c r="H20" s="321" t="s">
        <v>310</v>
      </c>
      <c r="I20" s="321" t="s">
        <v>74</v>
      </c>
      <c r="J20" s="545">
        <v>1758</v>
      </c>
      <c r="K20" s="545">
        <v>200</v>
      </c>
      <c r="L20" s="537"/>
      <c r="M20" s="545"/>
      <c r="N20" s="537"/>
      <c r="O20" s="545">
        <v>704</v>
      </c>
      <c r="P20" s="693" t="s">
        <v>367</v>
      </c>
      <c r="Q20" s="693" t="s">
        <v>371</v>
      </c>
      <c r="R20" s="592" t="s">
        <v>93</v>
      </c>
      <c r="S20" s="545"/>
      <c r="T20" s="545">
        <v>601</v>
      </c>
      <c r="U20" s="321">
        <v>17857955620</v>
      </c>
      <c r="V20" s="25"/>
    </row>
    <row r="21" spans="1:26" x14ac:dyDescent="0.25">
      <c r="A21" s="603" t="s">
        <v>232</v>
      </c>
      <c r="B21" s="535"/>
      <c r="C21" s="535"/>
      <c r="D21" s="536"/>
      <c r="E21" s="537"/>
      <c r="F21" s="537"/>
      <c r="G21" s="537"/>
      <c r="H21" s="321" t="s">
        <v>339</v>
      </c>
      <c r="I21" s="321" t="s">
        <v>221</v>
      </c>
      <c r="J21" s="545">
        <v>4000</v>
      </c>
      <c r="K21" s="545"/>
      <c r="L21" s="537"/>
      <c r="M21" s="545"/>
      <c r="N21" s="537"/>
      <c r="O21" s="545"/>
      <c r="P21" s="693"/>
      <c r="Q21" s="693"/>
      <c r="R21" s="592"/>
      <c r="S21" s="545"/>
      <c r="T21" s="545">
        <v>1000</v>
      </c>
      <c r="U21" s="321"/>
      <c r="V21" s="25"/>
    </row>
    <row r="22" spans="1:26" x14ac:dyDescent="0.25">
      <c r="A22" s="603" t="s">
        <v>338</v>
      </c>
      <c r="B22" s="535"/>
      <c r="C22" s="535"/>
      <c r="D22" s="536"/>
      <c r="E22" s="537"/>
      <c r="F22" s="537"/>
      <c r="G22" s="537"/>
      <c r="H22" s="321" t="s">
        <v>96</v>
      </c>
      <c r="I22" s="321" t="s">
        <v>222</v>
      </c>
      <c r="J22" s="545">
        <v>2400</v>
      </c>
      <c r="K22" s="545"/>
      <c r="L22" s="537"/>
      <c r="M22" s="545"/>
      <c r="N22" s="537"/>
      <c r="O22" s="545"/>
      <c r="P22" s="693"/>
      <c r="Q22" s="693"/>
      <c r="R22" s="592"/>
      <c r="S22" s="545"/>
      <c r="T22" s="545">
        <v>2400</v>
      </c>
      <c r="U22" s="321"/>
      <c r="V22" s="25"/>
    </row>
    <row r="23" spans="1:26" x14ac:dyDescent="0.25">
      <c r="A23" s="603" t="s">
        <v>355</v>
      </c>
      <c r="B23" s="535"/>
      <c r="C23" s="535"/>
      <c r="D23" s="536"/>
      <c r="E23" s="537"/>
      <c r="F23" s="537"/>
      <c r="G23" s="537"/>
      <c r="H23" s="321" t="s">
        <v>356</v>
      </c>
      <c r="I23" s="321" t="s">
        <v>74</v>
      </c>
      <c r="J23" s="545"/>
      <c r="K23" s="545"/>
      <c r="L23" s="537"/>
      <c r="M23" s="545"/>
      <c r="N23" s="537"/>
      <c r="O23" s="545"/>
      <c r="P23" s="693"/>
      <c r="Q23" s="693"/>
      <c r="R23" s="592"/>
      <c r="S23" s="545"/>
      <c r="T23" s="545"/>
      <c r="U23" s="321"/>
      <c r="V23" s="25"/>
    </row>
    <row r="24" spans="1:26" x14ac:dyDescent="0.25">
      <c r="A24" s="603"/>
      <c r="B24" s="535"/>
      <c r="C24" s="535"/>
      <c r="D24" s="536"/>
      <c r="E24" s="537"/>
      <c r="F24" s="537"/>
      <c r="G24" s="537"/>
      <c r="H24" s="321"/>
      <c r="I24" s="321"/>
      <c r="J24" s="545"/>
      <c r="K24" s="723"/>
      <c r="L24" s="719"/>
      <c r="M24" s="720"/>
      <c r="N24" s="537"/>
      <c r="O24" s="545"/>
      <c r="P24" s="693"/>
      <c r="Q24" s="693"/>
      <c r="R24" s="592"/>
      <c r="S24" s="545"/>
      <c r="T24" s="545"/>
      <c r="U24" s="321"/>
      <c r="V24" s="25"/>
    </row>
    <row r="25" spans="1:26" x14ac:dyDescent="0.25">
      <c r="A25" s="603"/>
      <c r="B25" s="535"/>
      <c r="C25" s="535"/>
      <c r="D25" s="536"/>
      <c r="E25" s="537"/>
      <c r="F25" s="537"/>
      <c r="G25" s="537"/>
      <c r="H25" s="321"/>
      <c r="I25" s="321"/>
      <c r="J25" s="545"/>
      <c r="K25" s="719"/>
      <c r="L25" s="719"/>
      <c r="M25" s="720"/>
      <c r="N25" s="537"/>
      <c r="O25" s="545"/>
      <c r="P25" s="693"/>
      <c r="Q25" s="693"/>
      <c r="R25" s="592"/>
      <c r="S25" s="545"/>
      <c r="T25" s="545"/>
      <c r="U25" s="321"/>
      <c r="V25" s="25"/>
    </row>
    <row r="26" spans="1:26" x14ac:dyDescent="0.25">
      <c r="A26" s="710" t="s">
        <v>275</v>
      </c>
      <c r="B26" s="711"/>
      <c r="C26" s="711"/>
      <c r="D26" s="711"/>
      <c r="E26" s="711"/>
      <c r="F26" s="711"/>
      <c r="G26" s="711"/>
      <c r="H26" s="711"/>
      <c r="I26" s="711"/>
      <c r="J26" s="711"/>
      <c r="K26" s="711"/>
      <c r="L26" s="711"/>
      <c r="M26" s="712"/>
      <c r="N26" s="25"/>
      <c r="O26" s="380">
        <v>10362</v>
      </c>
      <c r="P26" s="380"/>
      <c r="Q26" s="694"/>
      <c r="R26" s="694"/>
      <c r="S26" s="380"/>
      <c r="T26" s="380">
        <f>SUM(T3:T25)</f>
        <v>19482.760000000002</v>
      </c>
      <c r="U26" s="208"/>
      <c r="V26" s="25"/>
    </row>
    <row r="27" spans="1:26" x14ac:dyDescent="0.25">
      <c r="T27" s="27"/>
    </row>
    <row r="28" spans="1:26" x14ac:dyDescent="0.25">
      <c r="U28" s="616"/>
    </row>
    <row r="29" spans="1:26" x14ac:dyDescent="0.25">
      <c r="Y29" t="s">
        <v>381</v>
      </c>
    </row>
    <row r="30" spans="1:26" x14ac:dyDescent="0.25">
      <c r="V30" s="272"/>
    </row>
  </sheetData>
  <autoFilter ref="H1:H26" xr:uid="{6A25047E-EEC9-4EB5-8E39-790574A310E0}"/>
  <hyperlinks>
    <hyperlink ref="U17" r:id="rId1" xr:uid="{FA948A58-AB98-4157-9EBF-724D2FCB1366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7C31-75F3-41D1-BD34-EA1CA41D26FA}">
  <dimension ref="A1:XEY30"/>
  <sheetViews>
    <sheetView tabSelected="1" topLeftCell="A2" workbookViewId="0">
      <selection activeCell="O31" sqref="O31"/>
    </sheetView>
  </sheetViews>
  <sheetFormatPr defaultRowHeight="15" x14ac:dyDescent="0.25"/>
  <cols>
    <col min="1" max="1" width="28.42578125" customWidth="1"/>
    <col min="2" max="2" width="9.85546875" customWidth="1"/>
    <col min="3" max="3" width="9.85546875" hidden="1" customWidth="1"/>
    <col min="4" max="4" width="11.42578125" style="163" hidden="1" customWidth="1"/>
    <col min="5" max="5" width="10.85546875" hidden="1" customWidth="1"/>
    <col min="6" max="6" width="16.7109375" hidden="1" customWidth="1"/>
    <col min="7" max="7" width="11.5703125" hidden="1" customWidth="1"/>
    <col min="8" max="8" width="21" hidden="1" customWidth="1"/>
    <col min="9" max="9" width="16.140625" hidden="1" customWidth="1"/>
    <col min="10" max="10" width="13.42578125" hidden="1" customWidth="1"/>
    <col min="11" max="11" width="11" customWidth="1"/>
    <col min="12" max="12" width="9.140625" customWidth="1"/>
    <col min="13" max="13" width="12.28515625" customWidth="1"/>
    <col min="14" max="14" width="9.140625" customWidth="1"/>
    <col min="15" max="15" width="16.140625" style="27" customWidth="1"/>
    <col min="16" max="16" width="20" style="27" customWidth="1"/>
    <col min="17" max="17" width="21.140625" customWidth="1"/>
    <col min="18" max="18" width="3.42578125" style="707" customWidth="1"/>
    <col min="19" max="19" width="11.42578125" customWidth="1"/>
    <col min="20" max="20" width="15" customWidth="1"/>
    <col min="21" max="21" width="40.42578125" bestFit="1" customWidth="1"/>
    <col min="22" max="22" width="6.5703125" customWidth="1"/>
  </cols>
  <sheetData>
    <row r="1" spans="1:16379" ht="24" hidden="1" customHeight="1" x14ac:dyDescent="0.4">
      <c r="A1" s="709" t="s">
        <v>98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30"/>
      <c r="S1" s="709"/>
      <c r="T1" s="709"/>
      <c r="U1" s="709"/>
    </row>
    <row r="2" spans="1:16379" ht="24.75" x14ac:dyDescent="0.25">
      <c r="A2" s="198" t="s">
        <v>347</v>
      </c>
      <c r="B2" s="439" t="s">
        <v>2</v>
      </c>
      <c r="C2" s="439" t="s">
        <v>3</v>
      </c>
      <c r="D2" s="440" t="s">
        <v>91</v>
      </c>
      <c r="E2" s="439" t="s">
        <v>9</v>
      </c>
      <c r="F2" s="439" t="s">
        <v>5</v>
      </c>
      <c r="G2" s="439" t="s">
        <v>328</v>
      </c>
      <c r="H2" s="439" t="s">
        <v>6</v>
      </c>
      <c r="I2" s="439" t="s">
        <v>7</v>
      </c>
      <c r="J2" s="441" t="s">
        <v>8</v>
      </c>
      <c r="K2" s="441" t="s">
        <v>370</v>
      </c>
      <c r="L2" s="439" t="s">
        <v>10</v>
      </c>
      <c r="M2" s="442" t="s">
        <v>99</v>
      </c>
      <c r="N2" s="439" t="s">
        <v>12</v>
      </c>
      <c r="O2" s="708" t="s">
        <v>297</v>
      </c>
      <c r="P2" s="708" t="s">
        <v>365</v>
      </c>
      <c r="Q2" s="439" t="s">
        <v>312</v>
      </c>
      <c r="R2" s="439" t="s">
        <v>313</v>
      </c>
      <c r="S2" s="439" t="s">
        <v>101</v>
      </c>
      <c r="T2" s="439" t="s">
        <v>337</v>
      </c>
      <c r="U2" s="439" t="s">
        <v>22</v>
      </c>
    </row>
    <row r="3" spans="1:16379" x14ac:dyDescent="0.25">
      <c r="A3" s="725" t="s">
        <v>38</v>
      </c>
      <c r="B3" s="448"/>
      <c r="C3" s="448">
        <v>45632</v>
      </c>
      <c r="D3" s="448"/>
      <c r="E3" s="449"/>
      <c r="F3" s="450"/>
      <c r="G3" s="450"/>
      <c r="H3" s="458" t="s">
        <v>35</v>
      </c>
      <c r="I3" s="458" t="s">
        <v>25</v>
      </c>
      <c r="J3" s="460">
        <v>1733.05</v>
      </c>
      <c r="K3" s="449"/>
      <c r="L3" s="449"/>
      <c r="M3" s="463"/>
      <c r="N3" s="449"/>
      <c r="O3" s="449">
        <v>694</v>
      </c>
      <c r="P3" s="661"/>
      <c r="Q3" s="661"/>
      <c r="R3" s="449"/>
      <c r="S3" s="449"/>
      <c r="T3" s="449"/>
      <c r="U3" s="458">
        <v>31981052930</v>
      </c>
      <c r="V3" s="25"/>
    </row>
    <row r="4" spans="1:16379" x14ac:dyDescent="0.25">
      <c r="A4" s="725" t="s">
        <v>39</v>
      </c>
      <c r="B4" s="448">
        <v>45293</v>
      </c>
      <c r="C4" s="448">
        <v>45170</v>
      </c>
      <c r="D4" s="448"/>
      <c r="E4" s="449"/>
      <c r="F4" s="458"/>
      <c r="G4" s="458"/>
      <c r="H4" s="458" t="s">
        <v>35</v>
      </c>
      <c r="I4" s="458" t="s">
        <v>25</v>
      </c>
      <c r="J4" s="460">
        <v>1733.05</v>
      </c>
      <c r="K4" s="449">
        <v>200</v>
      </c>
      <c r="L4" s="449"/>
      <c r="M4" s="449"/>
      <c r="N4" s="449"/>
      <c r="O4" s="449">
        <v>694</v>
      </c>
      <c r="P4" s="661"/>
      <c r="Q4" s="661"/>
      <c r="R4" s="449"/>
      <c r="S4" s="449"/>
      <c r="T4" s="449"/>
      <c r="U4" s="458" t="s">
        <v>40</v>
      </c>
      <c r="V4" s="25"/>
    </row>
    <row r="5" spans="1:16379" x14ac:dyDescent="0.25">
      <c r="A5" s="725" t="s">
        <v>225</v>
      </c>
      <c r="B5" s="450">
        <v>45808</v>
      </c>
      <c r="C5" s="448">
        <v>45826</v>
      </c>
      <c r="D5" s="448"/>
      <c r="E5" s="459"/>
      <c r="F5" s="459"/>
      <c r="G5" s="459"/>
      <c r="H5" s="458" t="s">
        <v>230</v>
      </c>
      <c r="I5" s="458" t="s">
        <v>47</v>
      </c>
      <c r="J5" s="460">
        <v>1733.05</v>
      </c>
      <c r="K5" s="460"/>
      <c r="L5" s="459"/>
      <c r="M5" s="463"/>
      <c r="N5" s="459"/>
      <c r="O5" s="449">
        <v>694</v>
      </c>
      <c r="P5" s="661"/>
      <c r="Q5" s="661"/>
      <c r="R5" s="449"/>
      <c r="S5" s="463"/>
      <c r="T5" s="449"/>
      <c r="U5" s="458">
        <v>14983169644</v>
      </c>
      <c r="V5" s="25"/>
    </row>
    <row r="6" spans="1:16379" x14ac:dyDescent="0.25">
      <c r="A6" s="726" t="s">
        <v>363</v>
      </c>
      <c r="B6" s="665">
        <v>46036</v>
      </c>
      <c r="C6" s="665"/>
      <c r="D6" s="665"/>
      <c r="E6" s="666"/>
      <c r="F6" s="667"/>
      <c r="G6" s="667"/>
      <c r="H6" s="668" t="s">
        <v>321</v>
      </c>
      <c r="I6" s="668"/>
      <c r="J6" s="669">
        <v>1758</v>
      </c>
      <c r="K6" s="666"/>
      <c r="L6" s="666"/>
      <c r="M6" s="666">
        <v>250</v>
      </c>
      <c r="N6" s="666"/>
      <c r="O6" s="666">
        <v>703</v>
      </c>
      <c r="P6" s="672"/>
      <c r="Q6" s="672"/>
      <c r="R6" s="666"/>
      <c r="S6" s="666">
        <f>171</f>
        <v>171</v>
      </c>
      <c r="T6" s="666"/>
      <c r="U6" s="668">
        <v>31975693078</v>
      </c>
      <c r="V6" s="25"/>
    </row>
    <row r="7" spans="1:16379" x14ac:dyDescent="0.25">
      <c r="A7" s="259" t="s">
        <v>53</v>
      </c>
      <c r="B7" s="465"/>
      <c r="C7" s="465">
        <v>45527</v>
      </c>
      <c r="D7" s="465"/>
      <c r="E7" s="466"/>
      <c r="F7" s="260"/>
      <c r="G7" s="260"/>
      <c r="H7" s="260" t="s">
        <v>105</v>
      </c>
      <c r="I7" s="260" t="s">
        <v>107</v>
      </c>
      <c r="J7" s="594">
        <v>1621</v>
      </c>
      <c r="K7" s="471"/>
      <c r="L7" s="466"/>
      <c r="M7" s="466">
        <v>94</v>
      </c>
      <c r="N7" s="466"/>
      <c r="O7" s="475">
        <v>649</v>
      </c>
      <c r="P7" s="662"/>
      <c r="Q7" s="734"/>
      <c r="R7" s="475"/>
      <c r="S7" s="466"/>
      <c r="T7" s="475"/>
      <c r="U7" s="260">
        <v>31983640606</v>
      </c>
      <c r="V7" s="25"/>
    </row>
    <row r="8" spans="1:16379" s="331" customFormat="1" x14ac:dyDescent="0.25">
      <c r="A8" s="315" t="s">
        <v>89</v>
      </c>
      <c r="B8" s="476">
        <v>45663</v>
      </c>
      <c r="C8" s="476">
        <v>45663</v>
      </c>
      <c r="D8" s="476"/>
      <c r="E8" s="477"/>
      <c r="F8" s="478"/>
      <c r="G8" s="478"/>
      <c r="H8" s="346" t="s">
        <v>96</v>
      </c>
      <c r="I8" s="346" t="s">
        <v>25</v>
      </c>
      <c r="J8" s="499">
        <v>3000</v>
      </c>
      <c r="K8" s="477"/>
      <c r="L8" s="477"/>
      <c r="M8" s="475"/>
      <c r="N8" s="477"/>
      <c r="O8" s="475">
        <f>1000+195</f>
        <v>1195</v>
      </c>
      <c r="P8" s="662"/>
      <c r="Q8" s="662"/>
      <c r="R8" s="475"/>
      <c r="S8" s="475"/>
      <c r="T8" s="475"/>
      <c r="U8" s="485">
        <v>13196831698</v>
      </c>
      <c r="V8" s="361"/>
    </row>
    <row r="9" spans="1:16379" ht="15.75" thickBot="1" x14ac:dyDescent="0.3">
      <c r="A9" s="727" t="s">
        <v>166</v>
      </c>
      <c r="B9" s="476">
        <v>45623</v>
      </c>
      <c r="C9" s="476"/>
      <c r="D9" s="487"/>
      <c r="E9" s="488"/>
      <c r="F9" s="488"/>
      <c r="G9" s="488"/>
      <c r="H9" s="487" t="s">
        <v>96</v>
      </c>
      <c r="I9" s="488" t="s">
        <v>170</v>
      </c>
      <c r="J9" s="499">
        <v>2500</v>
      </c>
      <c r="K9" s="477"/>
      <c r="L9" s="488"/>
      <c r="M9" s="477">
        <v>84</v>
      </c>
      <c r="N9" s="488"/>
      <c r="O9" s="475">
        <f>300-84</f>
        <v>216</v>
      </c>
      <c r="P9" s="662"/>
      <c r="Q9" s="662"/>
      <c r="R9" s="475"/>
      <c r="S9" s="477"/>
      <c r="T9" s="498"/>
      <c r="U9" s="346">
        <v>31991288601</v>
      </c>
      <c r="V9" s="25"/>
    </row>
    <row r="10" spans="1:16379" x14ac:dyDescent="0.25">
      <c r="A10" s="728" t="s">
        <v>203</v>
      </c>
      <c r="B10" s="519"/>
      <c r="C10" s="520">
        <v>45743</v>
      </c>
      <c r="D10" s="519"/>
      <c r="E10" s="519"/>
      <c r="F10" s="519"/>
      <c r="G10" s="519"/>
      <c r="H10" s="519" t="s">
        <v>213</v>
      </c>
      <c r="I10" s="519" t="s">
        <v>78</v>
      </c>
      <c r="J10" s="598">
        <v>1518</v>
      </c>
      <c r="K10" s="528">
        <v>200</v>
      </c>
      <c r="L10" s="519"/>
      <c r="M10" s="528"/>
      <c r="N10" s="519"/>
      <c r="O10" s="528">
        <v>607</v>
      </c>
      <c r="P10" s="674"/>
      <c r="Q10" s="674"/>
      <c r="R10" s="528"/>
      <c r="S10" s="528"/>
      <c r="T10" s="528"/>
      <c r="U10" s="529">
        <v>31991443051</v>
      </c>
      <c r="V10" s="659"/>
      <c r="X10" s="695"/>
      <c r="Y10" s="696"/>
      <c r="Z10" s="697"/>
    </row>
    <row r="11" spans="1:16379" s="314" customFormat="1" ht="12.75" x14ac:dyDescent="0.2">
      <c r="A11" s="728" t="s">
        <v>249</v>
      </c>
      <c r="B11" s="520">
        <v>45840</v>
      </c>
      <c r="C11" s="584">
        <v>45839</v>
      </c>
      <c r="D11" s="584"/>
      <c r="E11" s="519"/>
      <c r="F11" s="519"/>
      <c r="G11" s="519"/>
      <c r="H11" s="520" t="s">
        <v>213</v>
      </c>
      <c r="I11" s="519" t="s">
        <v>250</v>
      </c>
      <c r="J11" s="528">
        <v>1518</v>
      </c>
      <c r="K11" s="528"/>
      <c r="L11" s="519"/>
      <c r="M11" s="534"/>
      <c r="N11" s="519"/>
      <c r="O11" s="528">
        <v>607</v>
      </c>
      <c r="P11" s="674"/>
      <c r="Q11" s="674">
        <v>46055</v>
      </c>
      <c r="R11" s="528"/>
      <c r="S11" s="534"/>
      <c r="T11" s="534"/>
      <c r="U11" s="519">
        <v>31983923994</v>
      </c>
      <c r="V11" s="660"/>
      <c r="W11" s="323"/>
      <c r="X11" s="698"/>
      <c r="Y11" s="323"/>
      <c r="Z11" s="699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  <c r="AQ11" s="323"/>
      <c r="AR11" s="323"/>
      <c r="AS11" s="323"/>
      <c r="AT11" s="323"/>
      <c r="BK11" s="314" t="s">
        <v>203</v>
      </c>
      <c r="BL11" s="314" t="s">
        <v>203</v>
      </c>
      <c r="BM11" s="314" t="s">
        <v>203</v>
      </c>
      <c r="BN11" s="314" t="s">
        <v>203</v>
      </c>
      <c r="BO11" s="314" t="s">
        <v>203</v>
      </c>
      <c r="BP11" s="314" t="s">
        <v>203</v>
      </c>
      <c r="BQ11" s="314" t="s">
        <v>203</v>
      </c>
      <c r="BR11" s="314" t="s">
        <v>203</v>
      </c>
      <c r="BS11" s="314" t="s">
        <v>203</v>
      </c>
      <c r="BT11" s="314" t="s">
        <v>203</v>
      </c>
      <c r="BU11" s="314" t="s">
        <v>203</v>
      </c>
      <c r="BV11" s="314" t="s">
        <v>203</v>
      </c>
      <c r="BW11" s="314" t="s">
        <v>203</v>
      </c>
      <c r="BX11" s="314" t="s">
        <v>203</v>
      </c>
      <c r="BY11" s="314" t="s">
        <v>203</v>
      </c>
      <c r="BZ11" s="314" t="s">
        <v>203</v>
      </c>
      <c r="CA11" s="314" t="s">
        <v>203</v>
      </c>
      <c r="CB11" s="314" t="s">
        <v>203</v>
      </c>
      <c r="CC11" s="314" t="s">
        <v>203</v>
      </c>
      <c r="CD11" s="314" t="s">
        <v>203</v>
      </c>
      <c r="CE11" s="314" t="s">
        <v>203</v>
      </c>
      <c r="CF11" s="314" t="s">
        <v>203</v>
      </c>
      <c r="CG11" s="314" t="s">
        <v>203</v>
      </c>
      <c r="CH11" s="314" t="s">
        <v>203</v>
      </c>
      <c r="CI11" s="314" t="s">
        <v>203</v>
      </c>
      <c r="CJ11" s="314" t="s">
        <v>203</v>
      </c>
      <c r="CK11" s="314" t="s">
        <v>203</v>
      </c>
      <c r="CL11" s="314" t="s">
        <v>203</v>
      </c>
      <c r="CM11" s="314" t="s">
        <v>203</v>
      </c>
      <c r="CN11" s="314" t="s">
        <v>203</v>
      </c>
      <c r="CO11" s="314" t="s">
        <v>203</v>
      </c>
      <c r="CP11" s="314" t="s">
        <v>203</v>
      </c>
      <c r="CQ11" s="314" t="s">
        <v>203</v>
      </c>
      <c r="CR11" s="314" t="s">
        <v>203</v>
      </c>
      <c r="CS11" s="314" t="s">
        <v>203</v>
      </c>
      <c r="CT11" s="314" t="s">
        <v>203</v>
      </c>
      <c r="CU11" s="314" t="s">
        <v>203</v>
      </c>
      <c r="CV11" s="314" t="s">
        <v>203</v>
      </c>
      <c r="CW11" s="314" t="s">
        <v>203</v>
      </c>
      <c r="CX11" s="314" t="s">
        <v>203</v>
      </c>
      <c r="CY11" s="314" t="s">
        <v>203</v>
      </c>
      <c r="CZ11" s="314" t="s">
        <v>203</v>
      </c>
      <c r="DA11" s="314" t="s">
        <v>203</v>
      </c>
      <c r="DB11" s="314" t="s">
        <v>203</v>
      </c>
      <c r="DC11" s="314" t="s">
        <v>203</v>
      </c>
      <c r="DD11" s="314" t="s">
        <v>203</v>
      </c>
      <c r="DE11" s="314" t="s">
        <v>203</v>
      </c>
      <c r="DF11" s="314" t="s">
        <v>203</v>
      </c>
      <c r="DG11" s="314" t="s">
        <v>203</v>
      </c>
      <c r="DH11" s="314" t="s">
        <v>203</v>
      </c>
      <c r="DI11" s="314" t="s">
        <v>203</v>
      </c>
      <c r="DJ11" s="314" t="s">
        <v>203</v>
      </c>
      <c r="DK11" s="314" t="s">
        <v>203</v>
      </c>
      <c r="DL11" s="314" t="s">
        <v>203</v>
      </c>
      <c r="DM11" s="314" t="s">
        <v>203</v>
      </c>
      <c r="DN11" s="314" t="s">
        <v>203</v>
      </c>
      <c r="DO11" s="314" t="s">
        <v>203</v>
      </c>
      <c r="DP11" s="314" t="s">
        <v>203</v>
      </c>
      <c r="DQ11" s="314" t="s">
        <v>203</v>
      </c>
      <c r="DR11" s="314" t="s">
        <v>203</v>
      </c>
      <c r="DS11" s="314" t="s">
        <v>203</v>
      </c>
      <c r="DT11" s="314" t="s">
        <v>203</v>
      </c>
      <c r="DU11" s="314" t="s">
        <v>203</v>
      </c>
      <c r="DV11" s="314" t="s">
        <v>203</v>
      </c>
      <c r="DW11" s="314" t="s">
        <v>203</v>
      </c>
      <c r="DX11" s="314" t="s">
        <v>203</v>
      </c>
      <c r="DY11" s="314" t="s">
        <v>203</v>
      </c>
      <c r="DZ11" s="314" t="s">
        <v>203</v>
      </c>
      <c r="EA11" s="314" t="s">
        <v>203</v>
      </c>
      <c r="EB11" s="314" t="s">
        <v>203</v>
      </c>
      <c r="EC11" s="314" t="s">
        <v>203</v>
      </c>
      <c r="ED11" s="314" t="s">
        <v>203</v>
      </c>
      <c r="EE11" s="314" t="s">
        <v>203</v>
      </c>
      <c r="EF11" s="314" t="s">
        <v>203</v>
      </c>
      <c r="EG11" s="314" t="s">
        <v>203</v>
      </c>
      <c r="EH11" s="314" t="s">
        <v>203</v>
      </c>
      <c r="EI11" s="314" t="s">
        <v>203</v>
      </c>
      <c r="EJ11" s="314" t="s">
        <v>203</v>
      </c>
      <c r="EK11" s="314" t="s">
        <v>203</v>
      </c>
      <c r="EL11" s="314" t="s">
        <v>203</v>
      </c>
      <c r="EM11" s="314" t="s">
        <v>203</v>
      </c>
      <c r="EN11" s="314" t="s">
        <v>203</v>
      </c>
      <c r="EO11" s="314" t="s">
        <v>203</v>
      </c>
      <c r="EP11" s="314" t="s">
        <v>203</v>
      </c>
      <c r="EQ11" s="314" t="s">
        <v>203</v>
      </c>
      <c r="ER11" s="314" t="s">
        <v>203</v>
      </c>
      <c r="ES11" s="314" t="s">
        <v>203</v>
      </c>
      <c r="ET11" s="314" t="s">
        <v>203</v>
      </c>
      <c r="EU11" s="314" t="s">
        <v>203</v>
      </c>
      <c r="EV11" s="314" t="s">
        <v>203</v>
      </c>
      <c r="EW11" s="314" t="s">
        <v>203</v>
      </c>
      <c r="EX11" s="314" t="s">
        <v>203</v>
      </c>
      <c r="EY11" s="314" t="s">
        <v>203</v>
      </c>
      <c r="EZ11" s="314" t="s">
        <v>203</v>
      </c>
      <c r="FA11" s="314" t="s">
        <v>203</v>
      </c>
      <c r="FB11" s="314" t="s">
        <v>203</v>
      </c>
      <c r="FC11" s="314" t="s">
        <v>203</v>
      </c>
      <c r="FD11" s="314" t="s">
        <v>203</v>
      </c>
      <c r="FE11" s="314" t="s">
        <v>203</v>
      </c>
      <c r="FF11" s="314" t="s">
        <v>203</v>
      </c>
      <c r="FG11" s="314" t="s">
        <v>203</v>
      </c>
      <c r="FH11" s="314" t="s">
        <v>203</v>
      </c>
      <c r="FI11" s="314" t="s">
        <v>203</v>
      </c>
      <c r="FJ11" s="314" t="s">
        <v>203</v>
      </c>
      <c r="FK11" s="314" t="s">
        <v>203</v>
      </c>
      <c r="FL11" s="314" t="s">
        <v>203</v>
      </c>
      <c r="FM11" s="314" t="s">
        <v>203</v>
      </c>
      <c r="FN11" s="314" t="s">
        <v>203</v>
      </c>
      <c r="FO11" s="314" t="s">
        <v>203</v>
      </c>
      <c r="FP11" s="314" t="s">
        <v>203</v>
      </c>
      <c r="FQ11" s="314" t="s">
        <v>203</v>
      </c>
      <c r="FR11" s="314" t="s">
        <v>203</v>
      </c>
      <c r="FS11" s="314" t="s">
        <v>203</v>
      </c>
      <c r="FT11" s="314" t="s">
        <v>203</v>
      </c>
      <c r="FU11" s="314" t="s">
        <v>203</v>
      </c>
      <c r="FV11" s="314" t="s">
        <v>203</v>
      </c>
      <c r="FW11" s="314" t="s">
        <v>203</v>
      </c>
      <c r="FX11" s="314" t="s">
        <v>203</v>
      </c>
      <c r="FY11" s="314" t="s">
        <v>203</v>
      </c>
      <c r="FZ11" s="314" t="s">
        <v>203</v>
      </c>
      <c r="GA11" s="314" t="s">
        <v>203</v>
      </c>
      <c r="GB11" s="314" t="s">
        <v>203</v>
      </c>
      <c r="GC11" s="314" t="s">
        <v>203</v>
      </c>
      <c r="GD11" s="314" t="s">
        <v>203</v>
      </c>
      <c r="GE11" s="314" t="s">
        <v>203</v>
      </c>
      <c r="GF11" s="314" t="s">
        <v>203</v>
      </c>
      <c r="GG11" s="314" t="s">
        <v>203</v>
      </c>
      <c r="GH11" s="314" t="s">
        <v>203</v>
      </c>
      <c r="GI11" s="314" t="s">
        <v>203</v>
      </c>
      <c r="GJ11" s="314" t="s">
        <v>203</v>
      </c>
      <c r="GK11" s="314" t="s">
        <v>203</v>
      </c>
      <c r="GL11" s="314" t="s">
        <v>203</v>
      </c>
      <c r="GM11" s="314" t="s">
        <v>203</v>
      </c>
      <c r="GN11" s="314" t="s">
        <v>203</v>
      </c>
      <c r="GO11" s="314" t="s">
        <v>203</v>
      </c>
      <c r="GP11" s="314" t="s">
        <v>203</v>
      </c>
      <c r="GQ11" s="314" t="s">
        <v>203</v>
      </c>
      <c r="GR11" s="314" t="s">
        <v>203</v>
      </c>
      <c r="GS11" s="314" t="s">
        <v>203</v>
      </c>
      <c r="GT11" s="314" t="s">
        <v>203</v>
      </c>
      <c r="GU11" s="314" t="s">
        <v>203</v>
      </c>
      <c r="GV11" s="314" t="s">
        <v>203</v>
      </c>
      <c r="GW11" s="314" t="s">
        <v>203</v>
      </c>
      <c r="GX11" s="314" t="s">
        <v>203</v>
      </c>
      <c r="GY11" s="314" t="s">
        <v>203</v>
      </c>
      <c r="GZ11" s="314" t="s">
        <v>203</v>
      </c>
      <c r="HA11" s="314" t="s">
        <v>203</v>
      </c>
      <c r="HB11" s="314" t="s">
        <v>203</v>
      </c>
      <c r="HC11" s="314" t="s">
        <v>203</v>
      </c>
      <c r="HD11" s="314" t="s">
        <v>203</v>
      </c>
      <c r="HE11" s="314" t="s">
        <v>203</v>
      </c>
      <c r="HF11" s="314" t="s">
        <v>203</v>
      </c>
      <c r="HG11" s="314" t="s">
        <v>203</v>
      </c>
      <c r="HH11" s="314" t="s">
        <v>203</v>
      </c>
      <c r="HI11" s="314" t="s">
        <v>203</v>
      </c>
      <c r="HJ11" s="314" t="s">
        <v>203</v>
      </c>
      <c r="HK11" s="314" t="s">
        <v>203</v>
      </c>
      <c r="HL11" s="314" t="s">
        <v>203</v>
      </c>
      <c r="HM11" s="314" t="s">
        <v>203</v>
      </c>
      <c r="HN11" s="314" t="s">
        <v>203</v>
      </c>
      <c r="HO11" s="314" t="s">
        <v>203</v>
      </c>
      <c r="HP11" s="314" t="s">
        <v>203</v>
      </c>
      <c r="HQ11" s="314" t="s">
        <v>203</v>
      </c>
      <c r="HR11" s="314" t="s">
        <v>203</v>
      </c>
      <c r="HS11" s="314" t="s">
        <v>203</v>
      </c>
      <c r="HT11" s="314" t="s">
        <v>203</v>
      </c>
      <c r="HU11" s="314" t="s">
        <v>203</v>
      </c>
      <c r="HV11" s="314" t="s">
        <v>203</v>
      </c>
      <c r="HW11" s="314" t="s">
        <v>203</v>
      </c>
      <c r="HX11" s="314" t="s">
        <v>203</v>
      </c>
      <c r="HY11" s="314" t="s">
        <v>203</v>
      </c>
      <c r="HZ11" s="314" t="s">
        <v>203</v>
      </c>
      <c r="IA11" s="314" t="s">
        <v>203</v>
      </c>
      <c r="IB11" s="314" t="s">
        <v>203</v>
      </c>
      <c r="IC11" s="314" t="s">
        <v>203</v>
      </c>
      <c r="ID11" s="314" t="s">
        <v>203</v>
      </c>
      <c r="IE11" s="314" t="s">
        <v>203</v>
      </c>
      <c r="IF11" s="314" t="s">
        <v>203</v>
      </c>
      <c r="IG11" s="314" t="s">
        <v>203</v>
      </c>
      <c r="IH11" s="314" t="s">
        <v>203</v>
      </c>
      <c r="II11" s="314" t="s">
        <v>203</v>
      </c>
      <c r="IJ11" s="314" t="s">
        <v>203</v>
      </c>
      <c r="IK11" s="314" t="s">
        <v>203</v>
      </c>
      <c r="IL11" s="314" t="s">
        <v>203</v>
      </c>
      <c r="IM11" s="314" t="s">
        <v>203</v>
      </c>
      <c r="IN11" s="314" t="s">
        <v>203</v>
      </c>
      <c r="IO11" s="314" t="s">
        <v>203</v>
      </c>
      <c r="IP11" s="314" t="s">
        <v>203</v>
      </c>
      <c r="IQ11" s="314" t="s">
        <v>203</v>
      </c>
      <c r="IR11" s="314" t="s">
        <v>203</v>
      </c>
      <c r="IS11" s="314" t="s">
        <v>203</v>
      </c>
      <c r="IT11" s="314" t="s">
        <v>203</v>
      </c>
      <c r="IU11" s="314" t="s">
        <v>203</v>
      </c>
      <c r="IV11" s="314" t="s">
        <v>203</v>
      </c>
      <c r="IW11" s="314" t="s">
        <v>203</v>
      </c>
      <c r="IX11" s="314" t="s">
        <v>203</v>
      </c>
      <c r="IY11" s="314" t="s">
        <v>203</v>
      </c>
      <c r="IZ11" s="314" t="s">
        <v>203</v>
      </c>
      <c r="JA11" s="314" t="s">
        <v>203</v>
      </c>
      <c r="JB11" s="314" t="s">
        <v>203</v>
      </c>
      <c r="JC11" s="314" t="s">
        <v>203</v>
      </c>
      <c r="JD11" s="314" t="s">
        <v>203</v>
      </c>
      <c r="JE11" s="314" t="s">
        <v>203</v>
      </c>
      <c r="JF11" s="314" t="s">
        <v>203</v>
      </c>
      <c r="JG11" s="314" t="s">
        <v>203</v>
      </c>
      <c r="JH11" s="314" t="s">
        <v>203</v>
      </c>
      <c r="JI11" s="314" t="s">
        <v>203</v>
      </c>
      <c r="JJ11" s="314" t="s">
        <v>203</v>
      </c>
      <c r="JK11" s="314" t="s">
        <v>203</v>
      </c>
      <c r="JL11" s="314" t="s">
        <v>203</v>
      </c>
      <c r="JM11" s="314" t="s">
        <v>203</v>
      </c>
      <c r="JN11" s="314" t="s">
        <v>203</v>
      </c>
      <c r="JO11" s="314" t="s">
        <v>203</v>
      </c>
      <c r="JP11" s="314" t="s">
        <v>203</v>
      </c>
      <c r="JQ11" s="314" t="s">
        <v>203</v>
      </c>
      <c r="JR11" s="314" t="s">
        <v>203</v>
      </c>
      <c r="JS11" s="314" t="s">
        <v>203</v>
      </c>
      <c r="JT11" s="314" t="s">
        <v>203</v>
      </c>
      <c r="JU11" s="314" t="s">
        <v>203</v>
      </c>
      <c r="JV11" s="314" t="s">
        <v>203</v>
      </c>
      <c r="JW11" s="314" t="s">
        <v>203</v>
      </c>
      <c r="JX11" s="314" t="s">
        <v>203</v>
      </c>
      <c r="JY11" s="314" t="s">
        <v>203</v>
      </c>
      <c r="JZ11" s="314" t="s">
        <v>203</v>
      </c>
      <c r="KA11" s="314" t="s">
        <v>203</v>
      </c>
      <c r="KB11" s="314" t="s">
        <v>203</v>
      </c>
      <c r="KC11" s="314" t="s">
        <v>203</v>
      </c>
      <c r="KD11" s="314" t="s">
        <v>203</v>
      </c>
      <c r="KE11" s="314" t="s">
        <v>203</v>
      </c>
      <c r="KF11" s="314" t="s">
        <v>203</v>
      </c>
      <c r="KG11" s="314" t="s">
        <v>203</v>
      </c>
      <c r="KH11" s="314" t="s">
        <v>203</v>
      </c>
      <c r="KI11" s="314" t="s">
        <v>203</v>
      </c>
      <c r="KJ11" s="314" t="s">
        <v>203</v>
      </c>
      <c r="KK11" s="314" t="s">
        <v>203</v>
      </c>
      <c r="KL11" s="314" t="s">
        <v>203</v>
      </c>
      <c r="KM11" s="314" t="s">
        <v>203</v>
      </c>
      <c r="KN11" s="314" t="s">
        <v>203</v>
      </c>
      <c r="KO11" s="314" t="s">
        <v>203</v>
      </c>
      <c r="KP11" s="314" t="s">
        <v>203</v>
      </c>
      <c r="KQ11" s="314" t="s">
        <v>203</v>
      </c>
      <c r="KR11" s="314" t="s">
        <v>203</v>
      </c>
      <c r="KS11" s="314" t="s">
        <v>203</v>
      </c>
      <c r="KT11" s="314" t="s">
        <v>203</v>
      </c>
      <c r="KU11" s="314" t="s">
        <v>203</v>
      </c>
      <c r="KV11" s="314" t="s">
        <v>203</v>
      </c>
      <c r="KW11" s="314" t="s">
        <v>203</v>
      </c>
      <c r="KX11" s="314" t="s">
        <v>203</v>
      </c>
      <c r="KY11" s="314" t="s">
        <v>203</v>
      </c>
      <c r="KZ11" s="314" t="s">
        <v>203</v>
      </c>
      <c r="LA11" s="314" t="s">
        <v>203</v>
      </c>
      <c r="LB11" s="314" t="s">
        <v>203</v>
      </c>
      <c r="LC11" s="314" t="s">
        <v>203</v>
      </c>
      <c r="LD11" s="314" t="s">
        <v>203</v>
      </c>
      <c r="LE11" s="314" t="s">
        <v>203</v>
      </c>
      <c r="LF11" s="314" t="s">
        <v>203</v>
      </c>
      <c r="LG11" s="314" t="s">
        <v>203</v>
      </c>
      <c r="LH11" s="314" t="s">
        <v>203</v>
      </c>
      <c r="LI11" s="314" t="s">
        <v>203</v>
      </c>
      <c r="LJ11" s="314" t="s">
        <v>203</v>
      </c>
      <c r="LK11" s="314" t="s">
        <v>203</v>
      </c>
      <c r="LL11" s="314" t="s">
        <v>203</v>
      </c>
      <c r="LM11" s="314" t="s">
        <v>203</v>
      </c>
      <c r="LN11" s="314" t="s">
        <v>203</v>
      </c>
      <c r="LO11" s="314" t="s">
        <v>203</v>
      </c>
      <c r="LP11" s="314" t="s">
        <v>203</v>
      </c>
      <c r="LQ11" s="314" t="s">
        <v>203</v>
      </c>
      <c r="LR11" s="314" t="s">
        <v>203</v>
      </c>
      <c r="LS11" s="314" t="s">
        <v>203</v>
      </c>
      <c r="LT11" s="314" t="s">
        <v>203</v>
      </c>
      <c r="LU11" s="314" t="s">
        <v>203</v>
      </c>
      <c r="LV11" s="314" t="s">
        <v>203</v>
      </c>
      <c r="LW11" s="314" t="s">
        <v>203</v>
      </c>
      <c r="LX11" s="314" t="s">
        <v>203</v>
      </c>
      <c r="LY11" s="314" t="s">
        <v>203</v>
      </c>
      <c r="LZ11" s="314" t="s">
        <v>203</v>
      </c>
      <c r="MA11" s="314" t="s">
        <v>203</v>
      </c>
      <c r="MB11" s="314" t="s">
        <v>203</v>
      </c>
      <c r="MC11" s="314" t="s">
        <v>203</v>
      </c>
      <c r="MD11" s="314" t="s">
        <v>203</v>
      </c>
      <c r="ME11" s="314" t="s">
        <v>203</v>
      </c>
      <c r="MF11" s="314" t="s">
        <v>203</v>
      </c>
      <c r="MG11" s="314" t="s">
        <v>203</v>
      </c>
      <c r="MH11" s="314" t="s">
        <v>203</v>
      </c>
      <c r="MI11" s="314" t="s">
        <v>203</v>
      </c>
      <c r="MJ11" s="314" t="s">
        <v>203</v>
      </c>
      <c r="MK11" s="314" t="s">
        <v>203</v>
      </c>
      <c r="ML11" s="314" t="s">
        <v>203</v>
      </c>
      <c r="MM11" s="314" t="s">
        <v>203</v>
      </c>
      <c r="MN11" s="314" t="s">
        <v>203</v>
      </c>
      <c r="MO11" s="314" t="s">
        <v>203</v>
      </c>
      <c r="MP11" s="314" t="s">
        <v>203</v>
      </c>
      <c r="MQ11" s="314" t="s">
        <v>203</v>
      </c>
      <c r="MR11" s="314" t="s">
        <v>203</v>
      </c>
      <c r="MS11" s="314" t="s">
        <v>203</v>
      </c>
      <c r="MT11" s="314" t="s">
        <v>203</v>
      </c>
      <c r="MU11" s="314" t="s">
        <v>203</v>
      </c>
      <c r="MV11" s="314" t="s">
        <v>203</v>
      </c>
      <c r="MW11" s="314" t="s">
        <v>203</v>
      </c>
      <c r="MX11" s="314" t="s">
        <v>203</v>
      </c>
      <c r="MY11" s="314" t="s">
        <v>203</v>
      </c>
      <c r="MZ11" s="314" t="s">
        <v>203</v>
      </c>
      <c r="NA11" s="314" t="s">
        <v>203</v>
      </c>
      <c r="NB11" s="314" t="s">
        <v>203</v>
      </c>
      <c r="NC11" s="314" t="s">
        <v>203</v>
      </c>
      <c r="ND11" s="314" t="s">
        <v>203</v>
      </c>
      <c r="NE11" s="314" t="s">
        <v>203</v>
      </c>
      <c r="NF11" s="314" t="s">
        <v>203</v>
      </c>
      <c r="NG11" s="314" t="s">
        <v>203</v>
      </c>
      <c r="NH11" s="314" t="s">
        <v>203</v>
      </c>
      <c r="NI11" s="314" t="s">
        <v>203</v>
      </c>
      <c r="NJ11" s="314" t="s">
        <v>203</v>
      </c>
      <c r="NK11" s="314" t="s">
        <v>203</v>
      </c>
      <c r="NL11" s="314" t="s">
        <v>203</v>
      </c>
      <c r="NM11" s="314" t="s">
        <v>203</v>
      </c>
      <c r="NN11" s="314" t="s">
        <v>203</v>
      </c>
      <c r="NO11" s="314" t="s">
        <v>203</v>
      </c>
      <c r="NP11" s="314" t="s">
        <v>203</v>
      </c>
      <c r="NQ11" s="314" t="s">
        <v>203</v>
      </c>
      <c r="NR11" s="314" t="s">
        <v>203</v>
      </c>
      <c r="NS11" s="314" t="s">
        <v>203</v>
      </c>
      <c r="NT11" s="314" t="s">
        <v>203</v>
      </c>
      <c r="NU11" s="314" t="s">
        <v>203</v>
      </c>
      <c r="NV11" s="314" t="s">
        <v>203</v>
      </c>
      <c r="NW11" s="314" t="s">
        <v>203</v>
      </c>
      <c r="NX11" s="314" t="s">
        <v>203</v>
      </c>
      <c r="NY11" s="314" t="s">
        <v>203</v>
      </c>
      <c r="NZ11" s="314" t="s">
        <v>203</v>
      </c>
      <c r="OA11" s="314" t="s">
        <v>203</v>
      </c>
      <c r="OB11" s="314" t="s">
        <v>203</v>
      </c>
      <c r="OC11" s="314" t="s">
        <v>203</v>
      </c>
      <c r="OD11" s="314" t="s">
        <v>203</v>
      </c>
      <c r="OE11" s="314" t="s">
        <v>203</v>
      </c>
      <c r="OF11" s="314" t="s">
        <v>203</v>
      </c>
      <c r="OG11" s="314" t="s">
        <v>203</v>
      </c>
      <c r="OH11" s="314" t="s">
        <v>203</v>
      </c>
      <c r="OI11" s="314" t="s">
        <v>203</v>
      </c>
      <c r="OJ11" s="314" t="s">
        <v>203</v>
      </c>
      <c r="OK11" s="314" t="s">
        <v>203</v>
      </c>
      <c r="OL11" s="314" t="s">
        <v>203</v>
      </c>
      <c r="OM11" s="314" t="s">
        <v>203</v>
      </c>
      <c r="ON11" s="314" t="s">
        <v>203</v>
      </c>
      <c r="OO11" s="314" t="s">
        <v>203</v>
      </c>
      <c r="OP11" s="314" t="s">
        <v>203</v>
      </c>
      <c r="OQ11" s="314" t="s">
        <v>203</v>
      </c>
      <c r="OR11" s="314" t="s">
        <v>203</v>
      </c>
      <c r="OS11" s="314" t="s">
        <v>203</v>
      </c>
      <c r="OT11" s="314" t="s">
        <v>203</v>
      </c>
      <c r="OU11" s="314" t="s">
        <v>203</v>
      </c>
      <c r="OV11" s="314" t="s">
        <v>203</v>
      </c>
      <c r="OW11" s="314" t="s">
        <v>203</v>
      </c>
      <c r="OX11" s="314" t="s">
        <v>203</v>
      </c>
      <c r="OY11" s="314" t="s">
        <v>203</v>
      </c>
      <c r="OZ11" s="314" t="s">
        <v>203</v>
      </c>
      <c r="PA11" s="314" t="s">
        <v>203</v>
      </c>
      <c r="PB11" s="314" t="s">
        <v>203</v>
      </c>
      <c r="PC11" s="314" t="s">
        <v>203</v>
      </c>
      <c r="PD11" s="314" t="s">
        <v>203</v>
      </c>
      <c r="PE11" s="314" t="s">
        <v>203</v>
      </c>
      <c r="PF11" s="314" t="s">
        <v>203</v>
      </c>
      <c r="PG11" s="314" t="s">
        <v>203</v>
      </c>
      <c r="PH11" s="314" t="s">
        <v>203</v>
      </c>
      <c r="PI11" s="314" t="s">
        <v>203</v>
      </c>
      <c r="PJ11" s="314" t="s">
        <v>203</v>
      </c>
      <c r="PK11" s="314" t="s">
        <v>203</v>
      </c>
      <c r="PL11" s="314" t="s">
        <v>203</v>
      </c>
      <c r="PM11" s="314" t="s">
        <v>203</v>
      </c>
      <c r="PN11" s="314" t="s">
        <v>203</v>
      </c>
      <c r="PO11" s="314" t="s">
        <v>203</v>
      </c>
      <c r="PP11" s="314" t="s">
        <v>203</v>
      </c>
      <c r="PQ11" s="314" t="s">
        <v>203</v>
      </c>
      <c r="PR11" s="314" t="s">
        <v>203</v>
      </c>
      <c r="PS11" s="314" t="s">
        <v>203</v>
      </c>
      <c r="PT11" s="314" t="s">
        <v>203</v>
      </c>
      <c r="PU11" s="314" t="s">
        <v>203</v>
      </c>
      <c r="PV11" s="314" t="s">
        <v>203</v>
      </c>
      <c r="PW11" s="314" t="s">
        <v>203</v>
      </c>
      <c r="PX11" s="314" t="s">
        <v>203</v>
      </c>
      <c r="PY11" s="314" t="s">
        <v>203</v>
      </c>
      <c r="PZ11" s="314" t="s">
        <v>203</v>
      </c>
      <c r="QA11" s="314" t="s">
        <v>203</v>
      </c>
      <c r="QB11" s="314" t="s">
        <v>203</v>
      </c>
      <c r="QC11" s="314" t="s">
        <v>203</v>
      </c>
      <c r="QD11" s="314" t="s">
        <v>203</v>
      </c>
      <c r="QE11" s="314" t="s">
        <v>203</v>
      </c>
      <c r="QF11" s="314" t="s">
        <v>203</v>
      </c>
      <c r="QG11" s="314" t="s">
        <v>203</v>
      </c>
      <c r="QH11" s="314" t="s">
        <v>203</v>
      </c>
      <c r="QI11" s="314" t="s">
        <v>203</v>
      </c>
      <c r="QJ11" s="314" t="s">
        <v>203</v>
      </c>
      <c r="QK11" s="314" t="s">
        <v>203</v>
      </c>
      <c r="QL11" s="314" t="s">
        <v>203</v>
      </c>
      <c r="QM11" s="314" t="s">
        <v>203</v>
      </c>
      <c r="QN11" s="314" t="s">
        <v>203</v>
      </c>
      <c r="QO11" s="314" t="s">
        <v>203</v>
      </c>
      <c r="QP11" s="314" t="s">
        <v>203</v>
      </c>
      <c r="QQ11" s="314" t="s">
        <v>203</v>
      </c>
      <c r="QR11" s="314" t="s">
        <v>203</v>
      </c>
      <c r="QS11" s="314" t="s">
        <v>203</v>
      </c>
      <c r="QT11" s="314" t="s">
        <v>203</v>
      </c>
      <c r="QU11" s="314" t="s">
        <v>203</v>
      </c>
      <c r="QV11" s="314" t="s">
        <v>203</v>
      </c>
      <c r="QW11" s="314" t="s">
        <v>203</v>
      </c>
      <c r="QX11" s="314" t="s">
        <v>203</v>
      </c>
      <c r="QY11" s="314" t="s">
        <v>203</v>
      </c>
      <c r="QZ11" s="314" t="s">
        <v>203</v>
      </c>
      <c r="RA11" s="314" t="s">
        <v>203</v>
      </c>
      <c r="RB11" s="314" t="s">
        <v>203</v>
      </c>
      <c r="RC11" s="314" t="s">
        <v>203</v>
      </c>
      <c r="RD11" s="314" t="s">
        <v>203</v>
      </c>
      <c r="RE11" s="314" t="s">
        <v>203</v>
      </c>
      <c r="RF11" s="314" t="s">
        <v>203</v>
      </c>
      <c r="RG11" s="314" t="s">
        <v>203</v>
      </c>
      <c r="RH11" s="314" t="s">
        <v>203</v>
      </c>
      <c r="RI11" s="314" t="s">
        <v>203</v>
      </c>
      <c r="RJ11" s="314" t="s">
        <v>203</v>
      </c>
      <c r="RK11" s="314" t="s">
        <v>203</v>
      </c>
      <c r="RL11" s="314" t="s">
        <v>203</v>
      </c>
      <c r="RM11" s="314" t="s">
        <v>203</v>
      </c>
      <c r="RN11" s="314" t="s">
        <v>203</v>
      </c>
      <c r="RO11" s="314" t="s">
        <v>203</v>
      </c>
      <c r="RP11" s="314" t="s">
        <v>203</v>
      </c>
      <c r="RQ11" s="314" t="s">
        <v>203</v>
      </c>
      <c r="RR11" s="314" t="s">
        <v>203</v>
      </c>
      <c r="RS11" s="314" t="s">
        <v>203</v>
      </c>
      <c r="RT11" s="314" t="s">
        <v>203</v>
      </c>
      <c r="RU11" s="314" t="s">
        <v>203</v>
      </c>
      <c r="RV11" s="314" t="s">
        <v>203</v>
      </c>
      <c r="RW11" s="314" t="s">
        <v>203</v>
      </c>
      <c r="RX11" s="314" t="s">
        <v>203</v>
      </c>
      <c r="RY11" s="314" t="s">
        <v>203</v>
      </c>
      <c r="RZ11" s="314" t="s">
        <v>203</v>
      </c>
      <c r="SA11" s="314" t="s">
        <v>203</v>
      </c>
      <c r="SB11" s="314" t="s">
        <v>203</v>
      </c>
      <c r="SC11" s="314" t="s">
        <v>203</v>
      </c>
      <c r="SD11" s="314" t="s">
        <v>203</v>
      </c>
      <c r="SE11" s="314" t="s">
        <v>203</v>
      </c>
      <c r="SF11" s="314" t="s">
        <v>203</v>
      </c>
      <c r="SG11" s="314" t="s">
        <v>203</v>
      </c>
      <c r="SH11" s="314" t="s">
        <v>203</v>
      </c>
      <c r="SI11" s="314" t="s">
        <v>203</v>
      </c>
      <c r="SJ11" s="314" t="s">
        <v>203</v>
      </c>
      <c r="SK11" s="314" t="s">
        <v>203</v>
      </c>
      <c r="SL11" s="314" t="s">
        <v>203</v>
      </c>
      <c r="SM11" s="314" t="s">
        <v>203</v>
      </c>
      <c r="SN11" s="314" t="s">
        <v>203</v>
      </c>
      <c r="SO11" s="314" t="s">
        <v>203</v>
      </c>
      <c r="SP11" s="314" t="s">
        <v>203</v>
      </c>
      <c r="SQ11" s="314" t="s">
        <v>203</v>
      </c>
      <c r="SR11" s="314" t="s">
        <v>203</v>
      </c>
      <c r="SS11" s="314" t="s">
        <v>203</v>
      </c>
      <c r="ST11" s="314" t="s">
        <v>203</v>
      </c>
      <c r="SU11" s="314" t="s">
        <v>203</v>
      </c>
      <c r="SV11" s="314" t="s">
        <v>203</v>
      </c>
      <c r="SW11" s="314" t="s">
        <v>203</v>
      </c>
      <c r="SX11" s="314" t="s">
        <v>203</v>
      </c>
      <c r="SY11" s="314" t="s">
        <v>203</v>
      </c>
      <c r="SZ11" s="314" t="s">
        <v>203</v>
      </c>
      <c r="TA11" s="314" t="s">
        <v>203</v>
      </c>
      <c r="TB11" s="314" t="s">
        <v>203</v>
      </c>
      <c r="TC11" s="314" t="s">
        <v>203</v>
      </c>
      <c r="TD11" s="314" t="s">
        <v>203</v>
      </c>
      <c r="TE11" s="314" t="s">
        <v>203</v>
      </c>
      <c r="TF11" s="314" t="s">
        <v>203</v>
      </c>
      <c r="TG11" s="314" t="s">
        <v>203</v>
      </c>
      <c r="TH11" s="314" t="s">
        <v>203</v>
      </c>
      <c r="TI11" s="314" t="s">
        <v>203</v>
      </c>
      <c r="TJ11" s="314" t="s">
        <v>203</v>
      </c>
      <c r="TK11" s="314" t="s">
        <v>203</v>
      </c>
      <c r="TL11" s="314" t="s">
        <v>203</v>
      </c>
      <c r="TM11" s="314" t="s">
        <v>203</v>
      </c>
      <c r="TN11" s="314" t="s">
        <v>203</v>
      </c>
      <c r="TO11" s="314" t="s">
        <v>203</v>
      </c>
      <c r="TP11" s="314" t="s">
        <v>203</v>
      </c>
      <c r="TQ11" s="314" t="s">
        <v>203</v>
      </c>
      <c r="TR11" s="314" t="s">
        <v>203</v>
      </c>
      <c r="TS11" s="314" t="s">
        <v>203</v>
      </c>
      <c r="TT11" s="314" t="s">
        <v>203</v>
      </c>
      <c r="TU11" s="314" t="s">
        <v>203</v>
      </c>
      <c r="TV11" s="314" t="s">
        <v>203</v>
      </c>
      <c r="TW11" s="314" t="s">
        <v>203</v>
      </c>
      <c r="TX11" s="314" t="s">
        <v>203</v>
      </c>
      <c r="TY11" s="314" t="s">
        <v>203</v>
      </c>
      <c r="TZ11" s="314" t="s">
        <v>203</v>
      </c>
      <c r="UA11" s="314" t="s">
        <v>203</v>
      </c>
      <c r="UB11" s="314" t="s">
        <v>203</v>
      </c>
      <c r="UC11" s="314" t="s">
        <v>203</v>
      </c>
      <c r="UD11" s="314" t="s">
        <v>203</v>
      </c>
      <c r="UE11" s="314" t="s">
        <v>203</v>
      </c>
      <c r="UF11" s="314" t="s">
        <v>203</v>
      </c>
      <c r="UG11" s="314" t="s">
        <v>203</v>
      </c>
      <c r="UH11" s="314" t="s">
        <v>203</v>
      </c>
      <c r="UI11" s="314" t="s">
        <v>203</v>
      </c>
      <c r="UJ11" s="314" t="s">
        <v>203</v>
      </c>
      <c r="UK11" s="314" t="s">
        <v>203</v>
      </c>
      <c r="UL11" s="314" t="s">
        <v>203</v>
      </c>
      <c r="UM11" s="314" t="s">
        <v>203</v>
      </c>
      <c r="UN11" s="314" t="s">
        <v>203</v>
      </c>
      <c r="UO11" s="314" t="s">
        <v>203</v>
      </c>
      <c r="UP11" s="314" t="s">
        <v>203</v>
      </c>
      <c r="UQ11" s="314" t="s">
        <v>203</v>
      </c>
      <c r="UR11" s="314" t="s">
        <v>203</v>
      </c>
      <c r="US11" s="314" t="s">
        <v>203</v>
      </c>
      <c r="UT11" s="314" t="s">
        <v>203</v>
      </c>
      <c r="UU11" s="314" t="s">
        <v>203</v>
      </c>
      <c r="UV11" s="314" t="s">
        <v>203</v>
      </c>
      <c r="UW11" s="314" t="s">
        <v>203</v>
      </c>
      <c r="UX11" s="314" t="s">
        <v>203</v>
      </c>
      <c r="UY11" s="314" t="s">
        <v>203</v>
      </c>
      <c r="UZ11" s="314" t="s">
        <v>203</v>
      </c>
      <c r="VA11" s="314" t="s">
        <v>203</v>
      </c>
      <c r="VB11" s="314" t="s">
        <v>203</v>
      </c>
      <c r="VC11" s="314" t="s">
        <v>203</v>
      </c>
      <c r="VD11" s="314" t="s">
        <v>203</v>
      </c>
      <c r="VE11" s="314" t="s">
        <v>203</v>
      </c>
      <c r="VF11" s="314" t="s">
        <v>203</v>
      </c>
      <c r="VG11" s="314" t="s">
        <v>203</v>
      </c>
      <c r="VH11" s="314" t="s">
        <v>203</v>
      </c>
      <c r="VI11" s="314" t="s">
        <v>203</v>
      </c>
      <c r="VJ11" s="314" t="s">
        <v>203</v>
      </c>
      <c r="VK11" s="314" t="s">
        <v>203</v>
      </c>
      <c r="VL11" s="314" t="s">
        <v>203</v>
      </c>
      <c r="VM11" s="314" t="s">
        <v>203</v>
      </c>
      <c r="VN11" s="314" t="s">
        <v>203</v>
      </c>
      <c r="VO11" s="314" t="s">
        <v>203</v>
      </c>
      <c r="VP11" s="314" t="s">
        <v>203</v>
      </c>
      <c r="VQ11" s="314" t="s">
        <v>203</v>
      </c>
      <c r="VR11" s="314" t="s">
        <v>203</v>
      </c>
      <c r="VS11" s="314" t="s">
        <v>203</v>
      </c>
      <c r="VT11" s="314" t="s">
        <v>203</v>
      </c>
      <c r="VU11" s="314" t="s">
        <v>203</v>
      </c>
      <c r="VV11" s="314" t="s">
        <v>203</v>
      </c>
      <c r="VW11" s="314" t="s">
        <v>203</v>
      </c>
      <c r="VX11" s="314" t="s">
        <v>203</v>
      </c>
      <c r="VY11" s="314" t="s">
        <v>203</v>
      </c>
      <c r="VZ11" s="314" t="s">
        <v>203</v>
      </c>
      <c r="WA11" s="314" t="s">
        <v>203</v>
      </c>
      <c r="WB11" s="314" t="s">
        <v>203</v>
      </c>
      <c r="WC11" s="314" t="s">
        <v>203</v>
      </c>
      <c r="WD11" s="314" t="s">
        <v>203</v>
      </c>
      <c r="WE11" s="314" t="s">
        <v>203</v>
      </c>
      <c r="WF11" s="314" t="s">
        <v>203</v>
      </c>
      <c r="WG11" s="314" t="s">
        <v>203</v>
      </c>
      <c r="WH11" s="314" t="s">
        <v>203</v>
      </c>
      <c r="WI11" s="314" t="s">
        <v>203</v>
      </c>
      <c r="WJ11" s="314" t="s">
        <v>203</v>
      </c>
      <c r="WK11" s="314" t="s">
        <v>203</v>
      </c>
      <c r="WL11" s="314" t="s">
        <v>203</v>
      </c>
      <c r="WM11" s="314" t="s">
        <v>203</v>
      </c>
      <c r="WN11" s="314" t="s">
        <v>203</v>
      </c>
      <c r="WO11" s="314" t="s">
        <v>203</v>
      </c>
      <c r="WP11" s="314" t="s">
        <v>203</v>
      </c>
      <c r="WQ11" s="314" t="s">
        <v>203</v>
      </c>
      <c r="WR11" s="314" t="s">
        <v>203</v>
      </c>
      <c r="WS11" s="314" t="s">
        <v>203</v>
      </c>
      <c r="WT11" s="314" t="s">
        <v>203</v>
      </c>
      <c r="WU11" s="314" t="s">
        <v>203</v>
      </c>
      <c r="WV11" s="314" t="s">
        <v>203</v>
      </c>
      <c r="WW11" s="314" t="s">
        <v>203</v>
      </c>
      <c r="WX11" s="314" t="s">
        <v>203</v>
      </c>
      <c r="WY11" s="314" t="s">
        <v>203</v>
      </c>
      <c r="WZ11" s="314" t="s">
        <v>203</v>
      </c>
      <c r="XA11" s="314" t="s">
        <v>203</v>
      </c>
      <c r="XB11" s="314" t="s">
        <v>203</v>
      </c>
      <c r="XC11" s="314" t="s">
        <v>203</v>
      </c>
      <c r="XD11" s="314" t="s">
        <v>203</v>
      </c>
      <c r="XE11" s="314" t="s">
        <v>203</v>
      </c>
      <c r="XF11" s="314" t="s">
        <v>203</v>
      </c>
      <c r="XG11" s="314" t="s">
        <v>203</v>
      </c>
      <c r="XH11" s="314" t="s">
        <v>203</v>
      </c>
      <c r="XI11" s="314" t="s">
        <v>203</v>
      </c>
      <c r="XJ11" s="314" t="s">
        <v>203</v>
      </c>
      <c r="XK11" s="314" t="s">
        <v>203</v>
      </c>
      <c r="XL11" s="314" t="s">
        <v>203</v>
      </c>
      <c r="XM11" s="314" t="s">
        <v>203</v>
      </c>
      <c r="XN11" s="314" t="s">
        <v>203</v>
      </c>
      <c r="XO11" s="314" t="s">
        <v>203</v>
      </c>
      <c r="XP11" s="314" t="s">
        <v>203</v>
      </c>
      <c r="XQ11" s="314" t="s">
        <v>203</v>
      </c>
      <c r="XR11" s="314" t="s">
        <v>203</v>
      </c>
      <c r="XS11" s="314" t="s">
        <v>203</v>
      </c>
      <c r="XT11" s="314" t="s">
        <v>203</v>
      </c>
      <c r="XU11" s="314" t="s">
        <v>203</v>
      </c>
      <c r="XV11" s="314" t="s">
        <v>203</v>
      </c>
      <c r="XW11" s="314" t="s">
        <v>203</v>
      </c>
      <c r="XX11" s="314" t="s">
        <v>203</v>
      </c>
      <c r="XY11" s="314" t="s">
        <v>203</v>
      </c>
      <c r="XZ11" s="314" t="s">
        <v>203</v>
      </c>
      <c r="YA11" s="314" t="s">
        <v>203</v>
      </c>
      <c r="YB11" s="314" t="s">
        <v>203</v>
      </c>
      <c r="YC11" s="314" t="s">
        <v>203</v>
      </c>
      <c r="YD11" s="314" t="s">
        <v>203</v>
      </c>
      <c r="YE11" s="314" t="s">
        <v>203</v>
      </c>
      <c r="YF11" s="314" t="s">
        <v>203</v>
      </c>
      <c r="YG11" s="314" t="s">
        <v>203</v>
      </c>
      <c r="YH11" s="314" t="s">
        <v>203</v>
      </c>
      <c r="YI11" s="314" t="s">
        <v>203</v>
      </c>
      <c r="YJ11" s="314" t="s">
        <v>203</v>
      </c>
      <c r="YK11" s="314" t="s">
        <v>203</v>
      </c>
      <c r="YL11" s="314" t="s">
        <v>203</v>
      </c>
      <c r="YM11" s="314" t="s">
        <v>203</v>
      </c>
      <c r="YN11" s="314" t="s">
        <v>203</v>
      </c>
      <c r="YO11" s="314" t="s">
        <v>203</v>
      </c>
      <c r="YP11" s="314" t="s">
        <v>203</v>
      </c>
      <c r="YQ11" s="314" t="s">
        <v>203</v>
      </c>
      <c r="YR11" s="314" t="s">
        <v>203</v>
      </c>
      <c r="YS11" s="314" t="s">
        <v>203</v>
      </c>
      <c r="YT11" s="314" t="s">
        <v>203</v>
      </c>
      <c r="YU11" s="314" t="s">
        <v>203</v>
      </c>
      <c r="YV11" s="314" t="s">
        <v>203</v>
      </c>
      <c r="YW11" s="314" t="s">
        <v>203</v>
      </c>
      <c r="YX11" s="314" t="s">
        <v>203</v>
      </c>
      <c r="YY11" s="314" t="s">
        <v>203</v>
      </c>
      <c r="YZ11" s="314" t="s">
        <v>203</v>
      </c>
      <c r="ZA11" s="314" t="s">
        <v>203</v>
      </c>
      <c r="ZB11" s="314" t="s">
        <v>203</v>
      </c>
      <c r="ZC11" s="314" t="s">
        <v>203</v>
      </c>
      <c r="ZD11" s="314" t="s">
        <v>203</v>
      </c>
      <c r="ZE11" s="314" t="s">
        <v>203</v>
      </c>
      <c r="ZF11" s="314" t="s">
        <v>203</v>
      </c>
      <c r="ZG11" s="314" t="s">
        <v>203</v>
      </c>
      <c r="ZH11" s="314" t="s">
        <v>203</v>
      </c>
      <c r="ZI11" s="314" t="s">
        <v>203</v>
      </c>
      <c r="ZJ11" s="314" t="s">
        <v>203</v>
      </c>
      <c r="ZK11" s="314" t="s">
        <v>203</v>
      </c>
      <c r="ZL11" s="314" t="s">
        <v>203</v>
      </c>
      <c r="ZM11" s="314" t="s">
        <v>203</v>
      </c>
      <c r="ZN11" s="314" t="s">
        <v>203</v>
      </c>
      <c r="ZO11" s="314" t="s">
        <v>203</v>
      </c>
      <c r="ZP11" s="314" t="s">
        <v>203</v>
      </c>
      <c r="ZQ11" s="314" t="s">
        <v>203</v>
      </c>
      <c r="ZR11" s="314" t="s">
        <v>203</v>
      </c>
      <c r="ZS11" s="314" t="s">
        <v>203</v>
      </c>
      <c r="ZT11" s="314" t="s">
        <v>203</v>
      </c>
      <c r="ZU11" s="314" t="s">
        <v>203</v>
      </c>
      <c r="ZV11" s="314" t="s">
        <v>203</v>
      </c>
      <c r="ZW11" s="314" t="s">
        <v>203</v>
      </c>
      <c r="ZX11" s="314" t="s">
        <v>203</v>
      </c>
      <c r="ZY11" s="314" t="s">
        <v>203</v>
      </c>
      <c r="ZZ11" s="314" t="s">
        <v>203</v>
      </c>
      <c r="AAA11" s="314" t="s">
        <v>203</v>
      </c>
      <c r="AAB11" s="314" t="s">
        <v>203</v>
      </c>
      <c r="AAC11" s="314" t="s">
        <v>203</v>
      </c>
      <c r="AAD11" s="314" t="s">
        <v>203</v>
      </c>
      <c r="AAE11" s="314" t="s">
        <v>203</v>
      </c>
      <c r="AAF11" s="314" t="s">
        <v>203</v>
      </c>
      <c r="AAG11" s="314" t="s">
        <v>203</v>
      </c>
      <c r="AAH11" s="314" t="s">
        <v>203</v>
      </c>
      <c r="AAI11" s="314" t="s">
        <v>203</v>
      </c>
      <c r="AAJ11" s="314" t="s">
        <v>203</v>
      </c>
      <c r="AAK11" s="314" t="s">
        <v>203</v>
      </c>
      <c r="AAL11" s="314" t="s">
        <v>203</v>
      </c>
      <c r="AAM11" s="314" t="s">
        <v>203</v>
      </c>
      <c r="AAN11" s="314" t="s">
        <v>203</v>
      </c>
      <c r="AAO11" s="314" t="s">
        <v>203</v>
      </c>
      <c r="AAP11" s="314" t="s">
        <v>203</v>
      </c>
      <c r="AAQ11" s="314" t="s">
        <v>203</v>
      </c>
      <c r="AAR11" s="314" t="s">
        <v>203</v>
      </c>
      <c r="AAS11" s="314" t="s">
        <v>203</v>
      </c>
      <c r="AAT11" s="314" t="s">
        <v>203</v>
      </c>
      <c r="AAU11" s="314" t="s">
        <v>203</v>
      </c>
      <c r="AAV11" s="314" t="s">
        <v>203</v>
      </c>
      <c r="AAW11" s="314" t="s">
        <v>203</v>
      </c>
      <c r="AAX11" s="314" t="s">
        <v>203</v>
      </c>
      <c r="AAY11" s="314" t="s">
        <v>203</v>
      </c>
      <c r="AAZ11" s="314" t="s">
        <v>203</v>
      </c>
      <c r="ABA11" s="314" t="s">
        <v>203</v>
      </c>
      <c r="ABB11" s="314" t="s">
        <v>203</v>
      </c>
      <c r="ABC11" s="314" t="s">
        <v>203</v>
      </c>
      <c r="ABD11" s="314" t="s">
        <v>203</v>
      </c>
      <c r="ABE11" s="314" t="s">
        <v>203</v>
      </c>
      <c r="ABF11" s="314" t="s">
        <v>203</v>
      </c>
      <c r="ABG11" s="314" t="s">
        <v>203</v>
      </c>
      <c r="ABH11" s="314" t="s">
        <v>203</v>
      </c>
      <c r="ABI11" s="314" t="s">
        <v>203</v>
      </c>
      <c r="ABJ11" s="314" t="s">
        <v>203</v>
      </c>
      <c r="ABK11" s="314" t="s">
        <v>203</v>
      </c>
      <c r="ABL11" s="314" t="s">
        <v>203</v>
      </c>
      <c r="ABM11" s="314" t="s">
        <v>203</v>
      </c>
      <c r="ABN11" s="314" t="s">
        <v>203</v>
      </c>
      <c r="ABO11" s="314" t="s">
        <v>203</v>
      </c>
      <c r="ABP11" s="314" t="s">
        <v>203</v>
      </c>
      <c r="ABQ11" s="314" t="s">
        <v>203</v>
      </c>
      <c r="ABR11" s="314" t="s">
        <v>203</v>
      </c>
      <c r="ABS11" s="314" t="s">
        <v>203</v>
      </c>
      <c r="ABT11" s="314" t="s">
        <v>203</v>
      </c>
      <c r="ABU11" s="314" t="s">
        <v>203</v>
      </c>
      <c r="ABV11" s="314" t="s">
        <v>203</v>
      </c>
      <c r="ABW11" s="314" t="s">
        <v>203</v>
      </c>
      <c r="ABX11" s="314" t="s">
        <v>203</v>
      </c>
      <c r="ABY11" s="314" t="s">
        <v>203</v>
      </c>
      <c r="ABZ11" s="314" t="s">
        <v>203</v>
      </c>
      <c r="ACA11" s="314" t="s">
        <v>203</v>
      </c>
      <c r="ACB11" s="314" t="s">
        <v>203</v>
      </c>
      <c r="ACC11" s="314" t="s">
        <v>203</v>
      </c>
      <c r="ACD11" s="314" t="s">
        <v>203</v>
      </c>
      <c r="ACE11" s="314" t="s">
        <v>203</v>
      </c>
      <c r="ACF11" s="314" t="s">
        <v>203</v>
      </c>
      <c r="ACG11" s="314" t="s">
        <v>203</v>
      </c>
      <c r="ACH11" s="314" t="s">
        <v>203</v>
      </c>
      <c r="ACI11" s="314" t="s">
        <v>203</v>
      </c>
      <c r="ACJ11" s="314" t="s">
        <v>203</v>
      </c>
      <c r="ACK11" s="314" t="s">
        <v>203</v>
      </c>
      <c r="ACL11" s="314" t="s">
        <v>203</v>
      </c>
      <c r="ACM11" s="314" t="s">
        <v>203</v>
      </c>
      <c r="ACN11" s="314" t="s">
        <v>203</v>
      </c>
      <c r="ACO11" s="314" t="s">
        <v>203</v>
      </c>
      <c r="ACP11" s="314" t="s">
        <v>203</v>
      </c>
      <c r="ACQ11" s="314" t="s">
        <v>203</v>
      </c>
      <c r="ACR11" s="314" t="s">
        <v>203</v>
      </c>
      <c r="ACS11" s="314" t="s">
        <v>203</v>
      </c>
      <c r="ACT11" s="314" t="s">
        <v>203</v>
      </c>
      <c r="ACU11" s="314" t="s">
        <v>203</v>
      </c>
      <c r="ACV11" s="314" t="s">
        <v>203</v>
      </c>
      <c r="ACW11" s="314" t="s">
        <v>203</v>
      </c>
      <c r="ACX11" s="314" t="s">
        <v>203</v>
      </c>
      <c r="ACY11" s="314" t="s">
        <v>203</v>
      </c>
      <c r="ACZ11" s="314" t="s">
        <v>203</v>
      </c>
      <c r="ADA11" s="314" t="s">
        <v>203</v>
      </c>
      <c r="ADB11" s="314" t="s">
        <v>203</v>
      </c>
      <c r="ADC11" s="314" t="s">
        <v>203</v>
      </c>
      <c r="ADD11" s="314" t="s">
        <v>203</v>
      </c>
      <c r="ADE11" s="314" t="s">
        <v>203</v>
      </c>
      <c r="ADF11" s="314" t="s">
        <v>203</v>
      </c>
      <c r="ADG11" s="314" t="s">
        <v>203</v>
      </c>
      <c r="ADH11" s="314" t="s">
        <v>203</v>
      </c>
      <c r="ADI11" s="314" t="s">
        <v>203</v>
      </c>
      <c r="ADJ11" s="314" t="s">
        <v>203</v>
      </c>
      <c r="ADK11" s="314" t="s">
        <v>203</v>
      </c>
      <c r="ADL11" s="314" t="s">
        <v>203</v>
      </c>
      <c r="ADM11" s="314" t="s">
        <v>203</v>
      </c>
      <c r="ADN11" s="314" t="s">
        <v>203</v>
      </c>
      <c r="ADO11" s="314" t="s">
        <v>203</v>
      </c>
      <c r="ADP11" s="314" t="s">
        <v>203</v>
      </c>
      <c r="ADQ11" s="314" t="s">
        <v>203</v>
      </c>
      <c r="ADR11" s="314" t="s">
        <v>203</v>
      </c>
      <c r="ADS11" s="314" t="s">
        <v>203</v>
      </c>
      <c r="ADT11" s="314" t="s">
        <v>203</v>
      </c>
      <c r="ADU11" s="314" t="s">
        <v>203</v>
      </c>
      <c r="ADV11" s="314" t="s">
        <v>203</v>
      </c>
      <c r="ADW11" s="314" t="s">
        <v>203</v>
      </c>
      <c r="ADX11" s="314" t="s">
        <v>203</v>
      </c>
      <c r="ADY11" s="314" t="s">
        <v>203</v>
      </c>
      <c r="ADZ11" s="314" t="s">
        <v>203</v>
      </c>
      <c r="AEA11" s="314" t="s">
        <v>203</v>
      </c>
      <c r="AEB11" s="314" t="s">
        <v>203</v>
      </c>
      <c r="AEC11" s="314" t="s">
        <v>203</v>
      </c>
      <c r="AED11" s="314" t="s">
        <v>203</v>
      </c>
      <c r="AEE11" s="314" t="s">
        <v>203</v>
      </c>
      <c r="AEF11" s="314" t="s">
        <v>203</v>
      </c>
      <c r="AEG11" s="314" t="s">
        <v>203</v>
      </c>
      <c r="AEH11" s="314" t="s">
        <v>203</v>
      </c>
      <c r="AEI11" s="314" t="s">
        <v>203</v>
      </c>
      <c r="AEJ11" s="314" t="s">
        <v>203</v>
      </c>
      <c r="AEK11" s="314" t="s">
        <v>203</v>
      </c>
      <c r="AEL11" s="314" t="s">
        <v>203</v>
      </c>
      <c r="AEM11" s="314" t="s">
        <v>203</v>
      </c>
      <c r="AEN11" s="314" t="s">
        <v>203</v>
      </c>
      <c r="AEO11" s="314" t="s">
        <v>203</v>
      </c>
      <c r="AEP11" s="314" t="s">
        <v>203</v>
      </c>
      <c r="AEQ11" s="314" t="s">
        <v>203</v>
      </c>
      <c r="AER11" s="314" t="s">
        <v>203</v>
      </c>
      <c r="AES11" s="314" t="s">
        <v>203</v>
      </c>
      <c r="AET11" s="314" t="s">
        <v>203</v>
      </c>
      <c r="AEU11" s="314" t="s">
        <v>203</v>
      </c>
      <c r="AEV11" s="314" t="s">
        <v>203</v>
      </c>
      <c r="AEW11" s="314" t="s">
        <v>203</v>
      </c>
      <c r="AEX11" s="314" t="s">
        <v>203</v>
      </c>
      <c r="AEY11" s="314" t="s">
        <v>203</v>
      </c>
      <c r="AEZ11" s="314" t="s">
        <v>203</v>
      </c>
      <c r="AFA11" s="314" t="s">
        <v>203</v>
      </c>
      <c r="AFB11" s="314" t="s">
        <v>203</v>
      </c>
      <c r="AFC11" s="314" t="s">
        <v>203</v>
      </c>
      <c r="AFD11" s="314" t="s">
        <v>203</v>
      </c>
      <c r="AFE11" s="314" t="s">
        <v>203</v>
      </c>
      <c r="AFF11" s="314" t="s">
        <v>203</v>
      </c>
      <c r="AFG11" s="314" t="s">
        <v>203</v>
      </c>
      <c r="AFH11" s="314" t="s">
        <v>203</v>
      </c>
      <c r="AFI11" s="314" t="s">
        <v>203</v>
      </c>
      <c r="AFJ11" s="314" t="s">
        <v>203</v>
      </c>
      <c r="AFK11" s="314" t="s">
        <v>203</v>
      </c>
      <c r="AFL11" s="314" t="s">
        <v>203</v>
      </c>
      <c r="AFM11" s="314" t="s">
        <v>203</v>
      </c>
      <c r="AFN11" s="314" t="s">
        <v>203</v>
      </c>
      <c r="AFO11" s="314" t="s">
        <v>203</v>
      </c>
      <c r="AFP11" s="314" t="s">
        <v>203</v>
      </c>
      <c r="AFQ11" s="314" t="s">
        <v>203</v>
      </c>
      <c r="AFR11" s="314" t="s">
        <v>203</v>
      </c>
      <c r="AFS11" s="314" t="s">
        <v>203</v>
      </c>
      <c r="AFT11" s="314" t="s">
        <v>203</v>
      </c>
      <c r="AFU11" s="314" t="s">
        <v>203</v>
      </c>
      <c r="AFV11" s="314" t="s">
        <v>203</v>
      </c>
      <c r="AFW11" s="314" t="s">
        <v>203</v>
      </c>
      <c r="AFX11" s="314" t="s">
        <v>203</v>
      </c>
      <c r="AFY11" s="314" t="s">
        <v>203</v>
      </c>
      <c r="AFZ11" s="314" t="s">
        <v>203</v>
      </c>
      <c r="AGA11" s="314" t="s">
        <v>203</v>
      </c>
      <c r="AGB11" s="314" t="s">
        <v>203</v>
      </c>
      <c r="AGC11" s="314" t="s">
        <v>203</v>
      </c>
      <c r="AGD11" s="314" t="s">
        <v>203</v>
      </c>
      <c r="AGE11" s="314" t="s">
        <v>203</v>
      </c>
      <c r="AGF11" s="314" t="s">
        <v>203</v>
      </c>
      <c r="AGG11" s="314" t="s">
        <v>203</v>
      </c>
      <c r="AGH11" s="314" t="s">
        <v>203</v>
      </c>
      <c r="AGI11" s="314" t="s">
        <v>203</v>
      </c>
      <c r="AGJ11" s="314" t="s">
        <v>203</v>
      </c>
      <c r="AGK11" s="314" t="s">
        <v>203</v>
      </c>
      <c r="AGL11" s="314" t="s">
        <v>203</v>
      </c>
      <c r="AGM11" s="314" t="s">
        <v>203</v>
      </c>
      <c r="AGN11" s="314" t="s">
        <v>203</v>
      </c>
      <c r="AGO11" s="314" t="s">
        <v>203</v>
      </c>
      <c r="AGP11" s="314" t="s">
        <v>203</v>
      </c>
      <c r="AGQ11" s="314" t="s">
        <v>203</v>
      </c>
      <c r="AGR11" s="314" t="s">
        <v>203</v>
      </c>
      <c r="AGS11" s="314" t="s">
        <v>203</v>
      </c>
      <c r="AGT11" s="314" t="s">
        <v>203</v>
      </c>
      <c r="AGU11" s="314" t="s">
        <v>203</v>
      </c>
      <c r="AGV11" s="314" t="s">
        <v>203</v>
      </c>
      <c r="AGW11" s="314" t="s">
        <v>203</v>
      </c>
      <c r="AGX11" s="314" t="s">
        <v>203</v>
      </c>
      <c r="AGY11" s="314" t="s">
        <v>203</v>
      </c>
      <c r="AGZ11" s="314" t="s">
        <v>203</v>
      </c>
      <c r="AHA11" s="314" t="s">
        <v>203</v>
      </c>
      <c r="AHB11" s="314" t="s">
        <v>203</v>
      </c>
      <c r="AHC11" s="314" t="s">
        <v>203</v>
      </c>
      <c r="AHD11" s="314" t="s">
        <v>203</v>
      </c>
      <c r="AHE11" s="314" t="s">
        <v>203</v>
      </c>
      <c r="AHF11" s="314" t="s">
        <v>203</v>
      </c>
      <c r="AHG11" s="314" t="s">
        <v>203</v>
      </c>
      <c r="AHH11" s="314" t="s">
        <v>203</v>
      </c>
      <c r="AHI11" s="314" t="s">
        <v>203</v>
      </c>
      <c r="AHJ11" s="314" t="s">
        <v>203</v>
      </c>
      <c r="AHK11" s="314" t="s">
        <v>203</v>
      </c>
      <c r="AHL11" s="314" t="s">
        <v>203</v>
      </c>
      <c r="AHM11" s="314" t="s">
        <v>203</v>
      </c>
      <c r="AHN11" s="314" t="s">
        <v>203</v>
      </c>
      <c r="AHO11" s="314" t="s">
        <v>203</v>
      </c>
      <c r="AHP11" s="314" t="s">
        <v>203</v>
      </c>
      <c r="AHQ11" s="314" t="s">
        <v>203</v>
      </c>
      <c r="AHR11" s="314" t="s">
        <v>203</v>
      </c>
      <c r="AHS11" s="314" t="s">
        <v>203</v>
      </c>
      <c r="AHT11" s="314" t="s">
        <v>203</v>
      </c>
      <c r="AHU11" s="314" t="s">
        <v>203</v>
      </c>
      <c r="AHV11" s="314" t="s">
        <v>203</v>
      </c>
      <c r="AHW11" s="314" t="s">
        <v>203</v>
      </c>
      <c r="AHX11" s="314" t="s">
        <v>203</v>
      </c>
      <c r="AHY11" s="314" t="s">
        <v>203</v>
      </c>
      <c r="AHZ11" s="314" t="s">
        <v>203</v>
      </c>
      <c r="AIA11" s="314" t="s">
        <v>203</v>
      </c>
      <c r="AIB11" s="314" t="s">
        <v>203</v>
      </c>
      <c r="AIC11" s="314" t="s">
        <v>203</v>
      </c>
      <c r="AID11" s="314" t="s">
        <v>203</v>
      </c>
      <c r="AIE11" s="314" t="s">
        <v>203</v>
      </c>
      <c r="AIF11" s="314" t="s">
        <v>203</v>
      </c>
      <c r="AIG11" s="314" t="s">
        <v>203</v>
      </c>
      <c r="AIH11" s="314" t="s">
        <v>203</v>
      </c>
      <c r="AII11" s="314" t="s">
        <v>203</v>
      </c>
      <c r="AIJ11" s="314" t="s">
        <v>203</v>
      </c>
      <c r="AIK11" s="314" t="s">
        <v>203</v>
      </c>
      <c r="AIL11" s="314" t="s">
        <v>203</v>
      </c>
      <c r="AIM11" s="314" t="s">
        <v>203</v>
      </c>
      <c r="AIN11" s="314" t="s">
        <v>203</v>
      </c>
      <c r="AIO11" s="314" t="s">
        <v>203</v>
      </c>
      <c r="AIP11" s="314" t="s">
        <v>203</v>
      </c>
      <c r="AIQ11" s="314" t="s">
        <v>203</v>
      </c>
      <c r="AIR11" s="314" t="s">
        <v>203</v>
      </c>
      <c r="AIS11" s="314" t="s">
        <v>203</v>
      </c>
      <c r="AIT11" s="314" t="s">
        <v>203</v>
      </c>
      <c r="AIU11" s="314" t="s">
        <v>203</v>
      </c>
      <c r="AIV11" s="314" t="s">
        <v>203</v>
      </c>
      <c r="AIW11" s="314" t="s">
        <v>203</v>
      </c>
      <c r="AIX11" s="314" t="s">
        <v>203</v>
      </c>
      <c r="AIY11" s="314" t="s">
        <v>203</v>
      </c>
      <c r="AIZ11" s="314" t="s">
        <v>203</v>
      </c>
      <c r="AJA11" s="314" t="s">
        <v>203</v>
      </c>
      <c r="AJB11" s="314" t="s">
        <v>203</v>
      </c>
      <c r="AJC11" s="314" t="s">
        <v>203</v>
      </c>
      <c r="AJD11" s="314" t="s">
        <v>203</v>
      </c>
      <c r="AJE11" s="314" t="s">
        <v>203</v>
      </c>
      <c r="AJF11" s="314" t="s">
        <v>203</v>
      </c>
      <c r="AJG11" s="314" t="s">
        <v>203</v>
      </c>
      <c r="AJH11" s="314" t="s">
        <v>203</v>
      </c>
      <c r="AJI11" s="314" t="s">
        <v>203</v>
      </c>
      <c r="AJJ11" s="314" t="s">
        <v>203</v>
      </c>
      <c r="AJK11" s="314" t="s">
        <v>203</v>
      </c>
      <c r="AJL11" s="314" t="s">
        <v>203</v>
      </c>
      <c r="AJM11" s="314" t="s">
        <v>203</v>
      </c>
      <c r="AJN11" s="314" t="s">
        <v>203</v>
      </c>
      <c r="AJO11" s="314" t="s">
        <v>203</v>
      </c>
      <c r="AJP11" s="314" t="s">
        <v>203</v>
      </c>
      <c r="AJQ11" s="314" t="s">
        <v>203</v>
      </c>
      <c r="AJR11" s="314" t="s">
        <v>203</v>
      </c>
      <c r="AJS11" s="314" t="s">
        <v>203</v>
      </c>
      <c r="AJT11" s="314" t="s">
        <v>203</v>
      </c>
      <c r="AJU11" s="314" t="s">
        <v>203</v>
      </c>
      <c r="AJV11" s="314" t="s">
        <v>203</v>
      </c>
      <c r="AJW11" s="314" t="s">
        <v>203</v>
      </c>
      <c r="AJX11" s="314" t="s">
        <v>203</v>
      </c>
      <c r="AJY11" s="314" t="s">
        <v>203</v>
      </c>
      <c r="AJZ11" s="314" t="s">
        <v>203</v>
      </c>
      <c r="AKA11" s="314" t="s">
        <v>203</v>
      </c>
      <c r="AKB11" s="314" t="s">
        <v>203</v>
      </c>
      <c r="AKC11" s="314" t="s">
        <v>203</v>
      </c>
      <c r="AKD11" s="314" t="s">
        <v>203</v>
      </c>
      <c r="AKE11" s="314" t="s">
        <v>203</v>
      </c>
      <c r="AKF11" s="314" t="s">
        <v>203</v>
      </c>
      <c r="AKG11" s="314" t="s">
        <v>203</v>
      </c>
      <c r="AKH11" s="314" t="s">
        <v>203</v>
      </c>
      <c r="AKI11" s="314" t="s">
        <v>203</v>
      </c>
      <c r="AKJ11" s="314" t="s">
        <v>203</v>
      </c>
      <c r="AKK11" s="314" t="s">
        <v>203</v>
      </c>
      <c r="AKL11" s="314" t="s">
        <v>203</v>
      </c>
      <c r="AKM11" s="314" t="s">
        <v>203</v>
      </c>
      <c r="AKN11" s="314" t="s">
        <v>203</v>
      </c>
      <c r="AKO11" s="314" t="s">
        <v>203</v>
      </c>
      <c r="AKP11" s="314" t="s">
        <v>203</v>
      </c>
      <c r="AKQ11" s="314" t="s">
        <v>203</v>
      </c>
      <c r="AKR11" s="314" t="s">
        <v>203</v>
      </c>
      <c r="AKS11" s="314" t="s">
        <v>203</v>
      </c>
      <c r="AKT11" s="314" t="s">
        <v>203</v>
      </c>
      <c r="AKU11" s="314" t="s">
        <v>203</v>
      </c>
      <c r="AKV11" s="314" t="s">
        <v>203</v>
      </c>
      <c r="AKW11" s="314" t="s">
        <v>203</v>
      </c>
      <c r="AKX11" s="314" t="s">
        <v>203</v>
      </c>
      <c r="AKY11" s="314" t="s">
        <v>203</v>
      </c>
      <c r="AKZ11" s="314" t="s">
        <v>203</v>
      </c>
      <c r="ALA11" s="314" t="s">
        <v>203</v>
      </c>
      <c r="ALB11" s="314" t="s">
        <v>203</v>
      </c>
      <c r="ALC11" s="314" t="s">
        <v>203</v>
      </c>
      <c r="ALD11" s="314" t="s">
        <v>203</v>
      </c>
      <c r="ALE11" s="314" t="s">
        <v>203</v>
      </c>
      <c r="ALF11" s="314" t="s">
        <v>203</v>
      </c>
      <c r="ALG11" s="314" t="s">
        <v>203</v>
      </c>
      <c r="ALH11" s="314" t="s">
        <v>203</v>
      </c>
      <c r="ALI11" s="314" t="s">
        <v>203</v>
      </c>
      <c r="ALJ11" s="314" t="s">
        <v>203</v>
      </c>
      <c r="ALK11" s="314" t="s">
        <v>203</v>
      </c>
      <c r="ALL11" s="314" t="s">
        <v>203</v>
      </c>
      <c r="ALM11" s="314" t="s">
        <v>203</v>
      </c>
      <c r="ALN11" s="314" t="s">
        <v>203</v>
      </c>
      <c r="ALO11" s="314" t="s">
        <v>203</v>
      </c>
      <c r="ALP11" s="314" t="s">
        <v>203</v>
      </c>
      <c r="ALQ11" s="314" t="s">
        <v>203</v>
      </c>
      <c r="ALR11" s="314" t="s">
        <v>203</v>
      </c>
      <c r="ALS11" s="314" t="s">
        <v>203</v>
      </c>
      <c r="ALT11" s="314" t="s">
        <v>203</v>
      </c>
      <c r="ALU11" s="314" t="s">
        <v>203</v>
      </c>
      <c r="ALV11" s="314" t="s">
        <v>203</v>
      </c>
      <c r="ALW11" s="314" t="s">
        <v>203</v>
      </c>
      <c r="ALX11" s="314" t="s">
        <v>203</v>
      </c>
      <c r="ALY11" s="314" t="s">
        <v>203</v>
      </c>
      <c r="ALZ11" s="314" t="s">
        <v>203</v>
      </c>
      <c r="AMA11" s="314" t="s">
        <v>203</v>
      </c>
      <c r="AMB11" s="314" t="s">
        <v>203</v>
      </c>
      <c r="AMC11" s="314" t="s">
        <v>203</v>
      </c>
      <c r="AMD11" s="314" t="s">
        <v>203</v>
      </c>
      <c r="AME11" s="314" t="s">
        <v>203</v>
      </c>
      <c r="AMF11" s="314" t="s">
        <v>203</v>
      </c>
      <c r="AMG11" s="314" t="s">
        <v>203</v>
      </c>
      <c r="AMH11" s="314" t="s">
        <v>203</v>
      </c>
      <c r="AMI11" s="314" t="s">
        <v>203</v>
      </c>
      <c r="AMJ11" s="314" t="s">
        <v>203</v>
      </c>
      <c r="AMK11" s="314" t="s">
        <v>203</v>
      </c>
      <c r="AML11" s="314" t="s">
        <v>203</v>
      </c>
      <c r="AMM11" s="314" t="s">
        <v>203</v>
      </c>
      <c r="AMN11" s="314" t="s">
        <v>203</v>
      </c>
      <c r="AMO11" s="314" t="s">
        <v>203</v>
      </c>
      <c r="AMP11" s="314" t="s">
        <v>203</v>
      </c>
      <c r="AMQ11" s="314" t="s">
        <v>203</v>
      </c>
      <c r="AMR11" s="314" t="s">
        <v>203</v>
      </c>
      <c r="AMS11" s="314" t="s">
        <v>203</v>
      </c>
      <c r="AMT11" s="314" t="s">
        <v>203</v>
      </c>
      <c r="AMU11" s="314" t="s">
        <v>203</v>
      </c>
      <c r="AMV11" s="314" t="s">
        <v>203</v>
      </c>
      <c r="AMW11" s="314" t="s">
        <v>203</v>
      </c>
      <c r="AMX11" s="314" t="s">
        <v>203</v>
      </c>
      <c r="AMY11" s="314" t="s">
        <v>203</v>
      </c>
      <c r="AMZ11" s="314" t="s">
        <v>203</v>
      </c>
      <c r="ANA11" s="314" t="s">
        <v>203</v>
      </c>
      <c r="ANB11" s="314" t="s">
        <v>203</v>
      </c>
      <c r="ANC11" s="314" t="s">
        <v>203</v>
      </c>
      <c r="AND11" s="314" t="s">
        <v>203</v>
      </c>
      <c r="ANE11" s="314" t="s">
        <v>203</v>
      </c>
      <c r="ANF11" s="314" t="s">
        <v>203</v>
      </c>
      <c r="ANG11" s="314" t="s">
        <v>203</v>
      </c>
      <c r="ANH11" s="314" t="s">
        <v>203</v>
      </c>
      <c r="ANI11" s="314" t="s">
        <v>203</v>
      </c>
      <c r="ANJ11" s="314" t="s">
        <v>203</v>
      </c>
      <c r="ANK11" s="314" t="s">
        <v>203</v>
      </c>
      <c r="ANL11" s="314" t="s">
        <v>203</v>
      </c>
      <c r="ANM11" s="314" t="s">
        <v>203</v>
      </c>
      <c r="ANN11" s="314" t="s">
        <v>203</v>
      </c>
      <c r="ANO11" s="314" t="s">
        <v>203</v>
      </c>
      <c r="ANP11" s="314" t="s">
        <v>203</v>
      </c>
      <c r="ANQ11" s="314" t="s">
        <v>203</v>
      </c>
      <c r="ANR11" s="314" t="s">
        <v>203</v>
      </c>
      <c r="ANS11" s="314" t="s">
        <v>203</v>
      </c>
      <c r="ANT11" s="314" t="s">
        <v>203</v>
      </c>
      <c r="ANU11" s="314" t="s">
        <v>203</v>
      </c>
      <c r="ANV11" s="314" t="s">
        <v>203</v>
      </c>
      <c r="ANW11" s="314" t="s">
        <v>203</v>
      </c>
      <c r="ANX11" s="314" t="s">
        <v>203</v>
      </c>
      <c r="ANY11" s="314" t="s">
        <v>203</v>
      </c>
      <c r="ANZ11" s="314" t="s">
        <v>203</v>
      </c>
      <c r="AOA11" s="314" t="s">
        <v>203</v>
      </c>
      <c r="AOB11" s="314" t="s">
        <v>203</v>
      </c>
      <c r="AOC11" s="314" t="s">
        <v>203</v>
      </c>
      <c r="AOD11" s="314" t="s">
        <v>203</v>
      </c>
      <c r="AOE11" s="314" t="s">
        <v>203</v>
      </c>
      <c r="AOF11" s="314" t="s">
        <v>203</v>
      </c>
      <c r="AOG11" s="314" t="s">
        <v>203</v>
      </c>
      <c r="AOH11" s="314" t="s">
        <v>203</v>
      </c>
      <c r="AOI11" s="314" t="s">
        <v>203</v>
      </c>
      <c r="AOJ11" s="314" t="s">
        <v>203</v>
      </c>
      <c r="AOK11" s="314" t="s">
        <v>203</v>
      </c>
      <c r="AOL11" s="314" t="s">
        <v>203</v>
      </c>
      <c r="AOM11" s="314" t="s">
        <v>203</v>
      </c>
      <c r="AON11" s="314" t="s">
        <v>203</v>
      </c>
      <c r="AOO11" s="314" t="s">
        <v>203</v>
      </c>
      <c r="AOP11" s="314" t="s">
        <v>203</v>
      </c>
      <c r="AOQ11" s="314" t="s">
        <v>203</v>
      </c>
      <c r="AOR11" s="314" t="s">
        <v>203</v>
      </c>
      <c r="AOS11" s="314" t="s">
        <v>203</v>
      </c>
      <c r="AOT11" s="314" t="s">
        <v>203</v>
      </c>
      <c r="AOU11" s="314" t="s">
        <v>203</v>
      </c>
      <c r="AOV11" s="314" t="s">
        <v>203</v>
      </c>
      <c r="AOW11" s="314" t="s">
        <v>203</v>
      </c>
      <c r="AOX11" s="314" t="s">
        <v>203</v>
      </c>
      <c r="AOY11" s="314" t="s">
        <v>203</v>
      </c>
      <c r="AOZ11" s="314" t="s">
        <v>203</v>
      </c>
      <c r="APA11" s="314" t="s">
        <v>203</v>
      </c>
      <c r="APB11" s="314" t="s">
        <v>203</v>
      </c>
      <c r="APC11" s="314" t="s">
        <v>203</v>
      </c>
      <c r="APD11" s="314" t="s">
        <v>203</v>
      </c>
      <c r="APE11" s="314" t="s">
        <v>203</v>
      </c>
      <c r="APF11" s="314" t="s">
        <v>203</v>
      </c>
      <c r="APG11" s="314" t="s">
        <v>203</v>
      </c>
      <c r="APH11" s="314" t="s">
        <v>203</v>
      </c>
      <c r="API11" s="314" t="s">
        <v>203</v>
      </c>
      <c r="APJ11" s="314" t="s">
        <v>203</v>
      </c>
      <c r="APK11" s="314" t="s">
        <v>203</v>
      </c>
      <c r="APL11" s="314" t="s">
        <v>203</v>
      </c>
      <c r="APM11" s="314" t="s">
        <v>203</v>
      </c>
      <c r="APN11" s="314" t="s">
        <v>203</v>
      </c>
      <c r="APO11" s="314" t="s">
        <v>203</v>
      </c>
      <c r="APP11" s="314" t="s">
        <v>203</v>
      </c>
      <c r="APQ11" s="314" t="s">
        <v>203</v>
      </c>
      <c r="APR11" s="314" t="s">
        <v>203</v>
      </c>
      <c r="APS11" s="314" t="s">
        <v>203</v>
      </c>
      <c r="APT11" s="314" t="s">
        <v>203</v>
      </c>
      <c r="APU11" s="314" t="s">
        <v>203</v>
      </c>
      <c r="APV11" s="314" t="s">
        <v>203</v>
      </c>
      <c r="APW11" s="314" t="s">
        <v>203</v>
      </c>
      <c r="APX11" s="314" t="s">
        <v>203</v>
      </c>
      <c r="APY11" s="314" t="s">
        <v>203</v>
      </c>
      <c r="APZ11" s="314" t="s">
        <v>203</v>
      </c>
      <c r="AQA11" s="314" t="s">
        <v>203</v>
      </c>
      <c r="AQB11" s="314" t="s">
        <v>203</v>
      </c>
      <c r="AQC11" s="314" t="s">
        <v>203</v>
      </c>
      <c r="AQD11" s="314" t="s">
        <v>203</v>
      </c>
      <c r="AQE11" s="314" t="s">
        <v>203</v>
      </c>
      <c r="AQF11" s="314" t="s">
        <v>203</v>
      </c>
      <c r="AQG11" s="314" t="s">
        <v>203</v>
      </c>
      <c r="AQH11" s="314" t="s">
        <v>203</v>
      </c>
      <c r="AQI11" s="314" t="s">
        <v>203</v>
      </c>
      <c r="AQJ11" s="314" t="s">
        <v>203</v>
      </c>
      <c r="AQK11" s="314" t="s">
        <v>203</v>
      </c>
      <c r="AQL11" s="314" t="s">
        <v>203</v>
      </c>
      <c r="AQM11" s="314" t="s">
        <v>203</v>
      </c>
      <c r="AQN11" s="314" t="s">
        <v>203</v>
      </c>
      <c r="AQO11" s="314" t="s">
        <v>203</v>
      </c>
      <c r="AQP11" s="314" t="s">
        <v>203</v>
      </c>
      <c r="AQQ11" s="314" t="s">
        <v>203</v>
      </c>
      <c r="AQR11" s="314" t="s">
        <v>203</v>
      </c>
      <c r="AQS11" s="314" t="s">
        <v>203</v>
      </c>
      <c r="AQT11" s="314" t="s">
        <v>203</v>
      </c>
      <c r="AQU11" s="314" t="s">
        <v>203</v>
      </c>
      <c r="AQV11" s="314" t="s">
        <v>203</v>
      </c>
      <c r="AQW11" s="314" t="s">
        <v>203</v>
      </c>
      <c r="AQX11" s="314" t="s">
        <v>203</v>
      </c>
      <c r="AQY11" s="314" t="s">
        <v>203</v>
      </c>
      <c r="AQZ11" s="314" t="s">
        <v>203</v>
      </c>
      <c r="ARA11" s="314" t="s">
        <v>203</v>
      </c>
      <c r="ARB11" s="314" t="s">
        <v>203</v>
      </c>
      <c r="ARC11" s="314" t="s">
        <v>203</v>
      </c>
      <c r="ARD11" s="314" t="s">
        <v>203</v>
      </c>
      <c r="ARE11" s="314" t="s">
        <v>203</v>
      </c>
      <c r="ARF11" s="314" t="s">
        <v>203</v>
      </c>
      <c r="ARG11" s="314" t="s">
        <v>203</v>
      </c>
      <c r="ARH11" s="314" t="s">
        <v>203</v>
      </c>
      <c r="ARI11" s="314" t="s">
        <v>203</v>
      </c>
      <c r="ARJ11" s="314" t="s">
        <v>203</v>
      </c>
      <c r="ARK11" s="314" t="s">
        <v>203</v>
      </c>
      <c r="ARL11" s="314" t="s">
        <v>203</v>
      </c>
      <c r="ARM11" s="314" t="s">
        <v>203</v>
      </c>
      <c r="ARN11" s="314" t="s">
        <v>203</v>
      </c>
      <c r="ARO11" s="314" t="s">
        <v>203</v>
      </c>
      <c r="ARP11" s="314" t="s">
        <v>203</v>
      </c>
      <c r="ARQ11" s="314" t="s">
        <v>203</v>
      </c>
      <c r="ARR11" s="314" t="s">
        <v>203</v>
      </c>
      <c r="ARS11" s="314" t="s">
        <v>203</v>
      </c>
      <c r="ART11" s="314" t="s">
        <v>203</v>
      </c>
      <c r="ARU11" s="314" t="s">
        <v>203</v>
      </c>
      <c r="ARV11" s="314" t="s">
        <v>203</v>
      </c>
      <c r="ARW11" s="314" t="s">
        <v>203</v>
      </c>
      <c r="ARX11" s="314" t="s">
        <v>203</v>
      </c>
      <c r="ARY11" s="314" t="s">
        <v>203</v>
      </c>
      <c r="ARZ11" s="314" t="s">
        <v>203</v>
      </c>
      <c r="ASA11" s="314" t="s">
        <v>203</v>
      </c>
      <c r="ASB11" s="314" t="s">
        <v>203</v>
      </c>
      <c r="ASC11" s="314" t="s">
        <v>203</v>
      </c>
      <c r="ASD11" s="314" t="s">
        <v>203</v>
      </c>
      <c r="ASE11" s="314" t="s">
        <v>203</v>
      </c>
      <c r="ASF11" s="314" t="s">
        <v>203</v>
      </c>
      <c r="ASG11" s="314" t="s">
        <v>203</v>
      </c>
      <c r="ASH11" s="314" t="s">
        <v>203</v>
      </c>
      <c r="ASI11" s="314" t="s">
        <v>203</v>
      </c>
      <c r="ASJ11" s="314" t="s">
        <v>203</v>
      </c>
      <c r="ASK11" s="314" t="s">
        <v>203</v>
      </c>
      <c r="ASL11" s="314" t="s">
        <v>203</v>
      </c>
      <c r="ASM11" s="314" t="s">
        <v>203</v>
      </c>
      <c r="ASN11" s="314" t="s">
        <v>203</v>
      </c>
      <c r="ASO11" s="314" t="s">
        <v>203</v>
      </c>
      <c r="ASP11" s="314" t="s">
        <v>203</v>
      </c>
      <c r="ASQ11" s="314" t="s">
        <v>203</v>
      </c>
      <c r="ASR11" s="314" t="s">
        <v>203</v>
      </c>
      <c r="ASS11" s="314" t="s">
        <v>203</v>
      </c>
      <c r="AST11" s="314" t="s">
        <v>203</v>
      </c>
      <c r="ASU11" s="314" t="s">
        <v>203</v>
      </c>
      <c r="ASV11" s="314" t="s">
        <v>203</v>
      </c>
      <c r="ASW11" s="314" t="s">
        <v>203</v>
      </c>
      <c r="ASX11" s="314" t="s">
        <v>203</v>
      </c>
      <c r="ASY11" s="314" t="s">
        <v>203</v>
      </c>
      <c r="ASZ11" s="314" t="s">
        <v>203</v>
      </c>
      <c r="ATA11" s="314" t="s">
        <v>203</v>
      </c>
      <c r="ATB11" s="314" t="s">
        <v>203</v>
      </c>
      <c r="ATC11" s="314" t="s">
        <v>203</v>
      </c>
      <c r="ATD11" s="314" t="s">
        <v>203</v>
      </c>
      <c r="ATE11" s="314" t="s">
        <v>203</v>
      </c>
      <c r="ATF11" s="314" t="s">
        <v>203</v>
      </c>
      <c r="ATG11" s="314" t="s">
        <v>203</v>
      </c>
      <c r="ATH11" s="314" t="s">
        <v>203</v>
      </c>
      <c r="ATI11" s="314" t="s">
        <v>203</v>
      </c>
      <c r="ATJ11" s="314" t="s">
        <v>203</v>
      </c>
      <c r="ATK11" s="314" t="s">
        <v>203</v>
      </c>
      <c r="ATL11" s="314" t="s">
        <v>203</v>
      </c>
      <c r="ATM11" s="314" t="s">
        <v>203</v>
      </c>
      <c r="ATN11" s="314" t="s">
        <v>203</v>
      </c>
      <c r="ATO11" s="314" t="s">
        <v>203</v>
      </c>
      <c r="ATP11" s="314" t="s">
        <v>203</v>
      </c>
      <c r="ATQ11" s="314" t="s">
        <v>203</v>
      </c>
      <c r="ATR11" s="314" t="s">
        <v>203</v>
      </c>
      <c r="ATS11" s="314" t="s">
        <v>203</v>
      </c>
      <c r="ATT11" s="314" t="s">
        <v>203</v>
      </c>
      <c r="ATU11" s="314" t="s">
        <v>203</v>
      </c>
      <c r="ATV11" s="314" t="s">
        <v>203</v>
      </c>
      <c r="ATW11" s="314" t="s">
        <v>203</v>
      </c>
      <c r="ATX11" s="314" t="s">
        <v>203</v>
      </c>
      <c r="ATY11" s="314" t="s">
        <v>203</v>
      </c>
      <c r="ATZ11" s="314" t="s">
        <v>203</v>
      </c>
      <c r="AUA11" s="314" t="s">
        <v>203</v>
      </c>
      <c r="AUB11" s="314" t="s">
        <v>203</v>
      </c>
      <c r="AUC11" s="314" t="s">
        <v>203</v>
      </c>
      <c r="AUD11" s="314" t="s">
        <v>203</v>
      </c>
      <c r="AUE11" s="314" t="s">
        <v>203</v>
      </c>
      <c r="AUF11" s="314" t="s">
        <v>203</v>
      </c>
      <c r="AUG11" s="314" t="s">
        <v>203</v>
      </c>
      <c r="AUH11" s="314" t="s">
        <v>203</v>
      </c>
      <c r="AUI11" s="314" t="s">
        <v>203</v>
      </c>
      <c r="AUJ11" s="314" t="s">
        <v>203</v>
      </c>
      <c r="AUK11" s="314" t="s">
        <v>203</v>
      </c>
      <c r="AUL11" s="314" t="s">
        <v>203</v>
      </c>
      <c r="AUM11" s="314" t="s">
        <v>203</v>
      </c>
      <c r="AUN11" s="314" t="s">
        <v>203</v>
      </c>
      <c r="AUO11" s="314" t="s">
        <v>203</v>
      </c>
      <c r="AUP11" s="314" t="s">
        <v>203</v>
      </c>
      <c r="AUQ11" s="314" t="s">
        <v>203</v>
      </c>
      <c r="AUR11" s="314" t="s">
        <v>203</v>
      </c>
      <c r="AUS11" s="314" t="s">
        <v>203</v>
      </c>
      <c r="AUT11" s="314" t="s">
        <v>203</v>
      </c>
      <c r="AUU11" s="314" t="s">
        <v>203</v>
      </c>
      <c r="AUV11" s="314" t="s">
        <v>203</v>
      </c>
      <c r="AUW11" s="314" t="s">
        <v>203</v>
      </c>
      <c r="AUX11" s="314" t="s">
        <v>203</v>
      </c>
      <c r="AUY11" s="314" t="s">
        <v>203</v>
      </c>
      <c r="AUZ11" s="314" t="s">
        <v>203</v>
      </c>
      <c r="AVA11" s="314" t="s">
        <v>203</v>
      </c>
      <c r="AVB11" s="314" t="s">
        <v>203</v>
      </c>
      <c r="AVC11" s="314" t="s">
        <v>203</v>
      </c>
      <c r="AVD11" s="314" t="s">
        <v>203</v>
      </c>
      <c r="AVE11" s="314" t="s">
        <v>203</v>
      </c>
      <c r="AVF11" s="314" t="s">
        <v>203</v>
      </c>
      <c r="AVG11" s="314" t="s">
        <v>203</v>
      </c>
      <c r="AVH11" s="314" t="s">
        <v>203</v>
      </c>
      <c r="AVI11" s="314" t="s">
        <v>203</v>
      </c>
      <c r="AVJ11" s="314" t="s">
        <v>203</v>
      </c>
      <c r="AVK11" s="314" t="s">
        <v>203</v>
      </c>
      <c r="AVL11" s="314" t="s">
        <v>203</v>
      </c>
      <c r="AVM11" s="314" t="s">
        <v>203</v>
      </c>
      <c r="AVN11" s="314" t="s">
        <v>203</v>
      </c>
      <c r="AVO11" s="314" t="s">
        <v>203</v>
      </c>
      <c r="AVP11" s="314" t="s">
        <v>203</v>
      </c>
      <c r="AVQ11" s="314" t="s">
        <v>203</v>
      </c>
      <c r="AVR11" s="314" t="s">
        <v>203</v>
      </c>
      <c r="AVS11" s="314" t="s">
        <v>203</v>
      </c>
      <c r="AVT11" s="314" t="s">
        <v>203</v>
      </c>
      <c r="AVU11" s="314" t="s">
        <v>203</v>
      </c>
      <c r="AVV11" s="314" t="s">
        <v>203</v>
      </c>
      <c r="AVW11" s="314" t="s">
        <v>203</v>
      </c>
      <c r="AVX11" s="314" t="s">
        <v>203</v>
      </c>
      <c r="AVY11" s="314" t="s">
        <v>203</v>
      </c>
      <c r="AVZ11" s="314" t="s">
        <v>203</v>
      </c>
      <c r="AWA11" s="314" t="s">
        <v>203</v>
      </c>
      <c r="AWB11" s="314" t="s">
        <v>203</v>
      </c>
      <c r="AWC11" s="314" t="s">
        <v>203</v>
      </c>
      <c r="AWD11" s="314" t="s">
        <v>203</v>
      </c>
      <c r="AWE11" s="314" t="s">
        <v>203</v>
      </c>
      <c r="AWF11" s="314" t="s">
        <v>203</v>
      </c>
      <c r="AWG11" s="314" t="s">
        <v>203</v>
      </c>
      <c r="AWH11" s="314" t="s">
        <v>203</v>
      </c>
      <c r="AWI11" s="314" t="s">
        <v>203</v>
      </c>
      <c r="AWJ11" s="314" t="s">
        <v>203</v>
      </c>
      <c r="AWK11" s="314" t="s">
        <v>203</v>
      </c>
      <c r="AWL11" s="314" t="s">
        <v>203</v>
      </c>
      <c r="AWM11" s="314" t="s">
        <v>203</v>
      </c>
      <c r="AWN11" s="314" t="s">
        <v>203</v>
      </c>
      <c r="AWO11" s="314" t="s">
        <v>203</v>
      </c>
      <c r="AWP11" s="314" t="s">
        <v>203</v>
      </c>
      <c r="AWQ11" s="314" t="s">
        <v>203</v>
      </c>
      <c r="AWR11" s="314" t="s">
        <v>203</v>
      </c>
      <c r="AWS11" s="314" t="s">
        <v>203</v>
      </c>
      <c r="AWT11" s="314" t="s">
        <v>203</v>
      </c>
      <c r="AWU11" s="314" t="s">
        <v>203</v>
      </c>
      <c r="AWV11" s="314" t="s">
        <v>203</v>
      </c>
      <c r="AWW11" s="314" t="s">
        <v>203</v>
      </c>
      <c r="AWX11" s="314" t="s">
        <v>203</v>
      </c>
      <c r="AWY11" s="314" t="s">
        <v>203</v>
      </c>
      <c r="AWZ11" s="314" t="s">
        <v>203</v>
      </c>
      <c r="AXA11" s="314" t="s">
        <v>203</v>
      </c>
      <c r="AXB11" s="314" t="s">
        <v>203</v>
      </c>
      <c r="AXC11" s="314" t="s">
        <v>203</v>
      </c>
      <c r="AXD11" s="314" t="s">
        <v>203</v>
      </c>
      <c r="AXE11" s="314" t="s">
        <v>203</v>
      </c>
      <c r="AXF11" s="314" t="s">
        <v>203</v>
      </c>
      <c r="AXG11" s="314" t="s">
        <v>203</v>
      </c>
      <c r="AXH11" s="314" t="s">
        <v>203</v>
      </c>
      <c r="AXI11" s="314" t="s">
        <v>203</v>
      </c>
      <c r="AXJ11" s="314" t="s">
        <v>203</v>
      </c>
      <c r="AXK11" s="314" t="s">
        <v>203</v>
      </c>
      <c r="AXL11" s="314" t="s">
        <v>203</v>
      </c>
      <c r="AXM11" s="314" t="s">
        <v>203</v>
      </c>
      <c r="AXN11" s="314" t="s">
        <v>203</v>
      </c>
      <c r="AXO11" s="314" t="s">
        <v>203</v>
      </c>
      <c r="AXP11" s="314" t="s">
        <v>203</v>
      </c>
      <c r="AXQ11" s="314" t="s">
        <v>203</v>
      </c>
      <c r="AXR11" s="314" t="s">
        <v>203</v>
      </c>
      <c r="AXS11" s="314" t="s">
        <v>203</v>
      </c>
      <c r="AXT11" s="314" t="s">
        <v>203</v>
      </c>
      <c r="AXU11" s="314" t="s">
        <v>203</v>
      </c>
      <c r="AXV11" s="314" t="s">
        <v>203</v>
      </c>
      <c r="AXW11" s="314" t="s">
        <v>203</v>
      </c>
      <c r="AXX11" s="314" t="s">
        <v>203</v>
      </c>
      <c r="AXY11" s="314" t="s">
        <v>203</v>
      </c>
      <c r="AXZ11" s="314" t="s">
        <v>203</v>
      </c>
      <c r="AYA11" s="314" t="s">
        <v>203</v>
      </c>
      <c r="AYB11" s="314" t="s">
        <v>203</v>
      </c>
      <c r="AYC11" s="314" t="s">
        <v>203</v>
      </c>
      <c r="AYD11" s="314" t="s">
        <v>203</v>
      </c>
      <c r="AYE11" s="314" t="s">
        <v>203</v>
      </c>
      <c r="AYF11" s="314" t="s">
        <v>203</v>
      </c>
      <c r="AYG11" s="314" t="s">
        <v>203</v>
      </c>
      <c r="AYH11" s="314" t="s">
        <v>203</v>
      </c>
      <c r="AYI11" s="314" t="s">
        <v>203</v>
      </c>
      <c r="AYJ11" s="314" t="s">
        <v>203</v>
      </c>
      <c r="AYK11" s="314" t="s">
        <v>203</v>
      </c>
      <c r="AYL11" s="314" t="s">
        <v>203</v>
      </c>
      <c r="AYM11" s="314" t="s">
        <v>203</v>
      </c>
      <c r="AYN11" s="314" t="s">
        <v>203</v>
      </c>
      <c r="AYO11" s="314" t="s">
        <v>203</v>
      </c>
      <c r="AYP11" s="314" t="s">
        <v>203</v>
      </c>
      <c r="AYQ11" s="314" t="s">
        <v>203</v>
      </c>
      <c r="AYR11" s="314" t="s">
        <v>203</v>
      </c>
      <c r="AYS11" s="314" t="s">
        <v>203</v>
      </c>
      <c r="AYT11" s="314" t="s">
        <v>203</v>
      </c>
      <c r="AYU11" s="314" t="s">
        <v>203</v>
      </c>
      <c r="AYV11" s="314" t="s">
        <v>203</v>
      </c>
      <c r="AYW11" s="314" t="s">
        <v>203</v>
      </c>
      <c r="AYX11" s="314" t="s">
        <v>203</v>
      </c>
      <c r="AYY11" s="314" t="s">
        <v>203</v>
      </c>
      <c r="AYZ11" s="314" t="s">
        <v>203</v>
      </c>
      <c r="AZA11" s="314" t="s">
        <v>203</v>
      </c>
      <c r="AZB11" s="314" t="s">
        <v>203</v>
      </c>
      <c r="AZC11" s="314" t="s">
        <v>203</v>
      </c>
      <c r="AZD11" s="314" t="s">
        <v>203</v>
      </c>
      <c r="AZE11" s="314" t="s">
        <v>203</v>
      </c>
      <c r="AZF11" s="314" t="s">
        <v>203</v>
      </c>
      <c r="AZG11" s="314" t="s">
        <v>203</v>
      </c>
      <c r="AZH11" s="314" t="s">
        <v>203</v>
      </c>
      <c r="AZI11" s="314" t="s">
        <v>203</v>
      </c>
      <c r="AZJ11" s="314" t="s">
        <v>203</v>
      </c>
      <c r="AZK11" s="314" t="s">
        <v>203</v>
      </c>
      <c r="AZL11" s="314" t="s">
        <v>203</v>
      </c>
      <c r="AZM11" s="314" t="s">
        <v>203</v>
      </c>
      <c r="AZN11" s="314" t="s">
        <v>203</v>
      </c>
      <c r="AZO11" s="314" t="s">
        <v>203</v>
      </c>
      <c r="AZP11" s="314" t="s">
        <v>203</v>
      </c>
      <c r="AZQ11" s="314" t="s">
        <v>203</v>
      </c>
      <c r="AZR11" s="314" t="s">
        <v>203</v>
      </c>
      <c r="AZS11" s="314" t="s">
        <v>203</v>
      </c>
      <c r="AZT11" s="314" t="s">
        <v>203</v>
      </c>
      <c r="AZU11" s="314" t="s">
        <v>203</v>
      </c>
      <c r="AZV11" s="314" t="s">
        <v>203</v>
      </c>
      <c r="AZW11" s="314" t="s">
        <v>203</v>
      </c>
      <c r="AZX11" s="314" t="s">
        <v>203</v>
      </c>
      <c r="AZY11" s="314" t="s">
        <v>203</v>
      </c>
      <c r="AZZ11" s="314" t="s">
        <v>203</v>
      </c>
      <c r="BAA11" s="314" t="s">
        <v>203</v>
      </c>
      <c r="BAB11" s="314" t="s">
        <v>203</v>
      </c>
      <c r="BAC11" s="314" t="s">
        <v>203</v>
      </c>
      <c r="BAD11" s="314" t="s">
        <v>203</v>
      </c>
      <c r="BAE11" s="314" t="s">
        <v>203</v>
      </c>
      <c r="BAF11" s="314" t="s">
        <v>203</v>
      </c>
      <c r="BAG11" s="314" t="s">
        <v>203</v>
      </c>
      <c r="BAH11" s="314" t="s">
        <v>203</v>
      </c>
      <c r="BAI11" s="314" t="s">
        <v>203</v>
      </c>
      <c r="BAJ11" s="314" t="s">
        <v>203</v>
      </c>
      <c r="BAK11" s="314" t="s">
        <v>203</v>
      </c>
      <c r="BAL11" s="314" t="s">
        <v>203</v>
      </c>
      <c r="BAM11" s="314" t="s">
        <v>203</v>
      </c>
      <c r="BAN11" s="314" t="s">
        <v>203</v>
      </c>
      <c r="BAO11" s="314" t="s">
        <v>203</v>
      </c>
      <c r="BAP11" s="314" t="s">
        <v>203</v>
      </c>
      <c r="BAQ11" s="314" t="s">
        <v>203</v>
      </c>
      <c r="BAR11" s="314" t="s">
        <v>203</v>
      </c>
      <c r="BAS11" s="314" t="s">
        <v>203</v>
      </c>
      <c r="BAT11" s="314" t="s">
        <v>203</v>
      </c>
      <c r="BAU11" s="314" t="s">
        <v>203</v>
      </c>
      <c r="BAV11" s="314" t="s">
        <v>203</v>
      </c>
      <c r="BAW11" s="314" t="s">
        <v>203</v>
      </c>
      <c r="BAX11" s="314" t="s">
        <v>203</v>
      </c>
      <c r="BAY11" s="314" t="s">
        <v>203</v>
      </c>
      <c r="BAZ11" s="314" t="s">
        <v>203</v>
      </c>
      <c r="BBA11" s="314" t="s">
        <v>203</v>
      </c>
      <c r="BBB11" s="314" t="s">
        <v>203</v>
      </c>
      <c r="BBC11" s="314" t="s">
        <v>203</v>
      </c>
      <c r="BBD11" s="314" t="s">
        <v>203</v>
      </c>
      <c r="BBE11" s="314" t="s">
        <v>203</v>
      </c>
      <c r="BBF11" s="314" t="s">
        <v>203</v>
      </c>
      <c r="BBG11" s="314" t="s">
        <v>203</v>
      </c>
      <c r="BBH11" s="314" t="s">
        <v>203</v>
      </c>
      <c r="BBI11" s="314" t="s">
        <v>203</v>
      </c>
      <c r="BBJ11" s="314" t="s">
        <v>203</v>
      </c>
      <c r="BBK11" s="314" t="s">
        <v>203</v>
      </c>
      <c r="BBL11" s="314" t="s">
        <v>203</v>
      </c>
      <c r="BBM11" s="314" t="s">
        <v>203</v>
      </c>
      <c r="BBN11" s="314" t="s">
        <v>203</v>
      </c>
      <c r="BBO11" s="314" t="s">
        <v>203</v>
      </c>
      <c r="BBP11" s="314" t="s">
        <v>203</v>
      </c>
      <c r="BBQ11" s="314" t="s">
        <v>203</v>
      </c>
      <c r="BBR11" s="314" t="s">
        <v>203</v>
      </c>
      <c r="BBS11" s="314" t="s">
        <v>203</v>
      </c>
      <c r="BBT11" s="314" t="s">
        <v>203</v>
      </c>
      <c r="BBU11" s="314" t="s">
        <v>203</v>
      </c>
      <c r="BBV11" s="314" t="s">
        <v>203</v>
      </c>
      <c r="BBW11" s="314" t="s">
        <v>203</v>
      </c>
      <c r="BBX11" s="314" t="s">
        <v>203</v>
      </c>
      <c r="BBY11" s="314" t="s">
        <v>203</v>
      </c>
      <c r="BBZ11" s="314" t="s">
        <v>203</v>
      </c>
      <c r="BCA11" s="314" t="s">
        <v>203</v>
      </c>
      <c r="BCB11" s="314" t="s">
        <v>203</v>
      </c>
      <c r="BCC11" s="314" t="s">
        <v>203</v>
      </c>
      <c r="BCD11" s="314" t="s">
        <v>203</v>
      </c>
      <c r="BCE11" s="314" t="s">
        <v>203</v>
      </c>
      <c r="BCF11" s="314" t="s">
        <v>203</v>
      </c>
      <c r="BCG11" s="314" t="s">
        <v>203</v>
      </c>
      <c r="BCH11" s="314" t="s">
        <v>203</v>
      </c>
      <c r="BCI11" s="314" t="s">
        <v>203</v>
      </c>
      <c r="BCJ11" s="314" t="s">
        <v>203</v>
      </c>
      <c r="BCK11" s="314" t="s">
        <v>203</v>
      </c>
      <c r="BCL11" s="314" t="s">
        <v>203</v>
      </c>
      <c r="BCM11" s="314" t="s">
        <v>203</v>
      </c>
      <c r="BCN11" s="314" t="s">
        <v>203</v>
      </c>
      <c r="BCO11" s="314" t="s">
        <v>203</v>
      </c>
      <c r="BCP11" s="314" t="s">
        <v>203</v>
      </c>
      <c r="BCQ11" s="314" t="s">
        <v>203</v>
      </c>
      <c r="BCR11" s="314" t="s">
        <v>203</v>
      </c>
      <c r="BCS11" s="314" t="s">
        <v>203</v>
      </c>
      <c r="BCT11" s="314" t="s">
        <v>203</v>
      </c>
      <c r="BCU11" s="314" t="s">
        <v>203</v>
      </c>
      <c r="BCV11" s="314" t="s">
        <v>203</v>
      </c>
      <c r="BCW11" s="314" t="s">
        <v>203</v>
      </c>
      <c r="BCX11" s="314" t="s">
        <v>203</v>
      </c>
      <c r="BCY11" s="314" t="s">
        <v>203</v>
      </c>
      <c r="BCZ11" s="314" t="s">
        <v>203</v>
      </c>
      <c r="BDA11" s="314" t="s">
        <v>203</v>
      </c>
      <c r="BDB11" s="314" t="s">
        <v>203</v>
      </c>
      <c r="BDC11" s="314" t="s">
        <v>203</v>
      </c>
      <c r="BDD11" s="314" t="s">
        <v>203</v>
      </c>
      <c r="BDE11" s="314" t="s">
        <v>203</v>
      </c>
      <c r="BDF11" s="314" t="s">
        <v>203</v>
      </c>
      <c r="BDG11" s="314" t="s">
        <v>203</v>
      </c>
      <c r="BDH11" s="314" t="s">
        <v>203</v>
      </c>
      <c r="BDI11" s="314" t="s">
        <v>203</v>
      </c>
      <c r="BDJ11" s="314" t="s">
        <v>203</v>
      </c>
      <c r="BDK11" s="314" t="s">
        <v>203</v>
      </c>
      <c r="BDL11" s="314" t="s">
        <v>203</v>
      </c>
      <c r="BDM11" s="314" t="s">
        <v>203</v>
      </c>
      <c r="BDN11" s="314" t="s">
        <v>203</v>
      </c>
      <c r="BDO11" s="314" t="s">
        <v>203</v>
      </c>
      <c r="BDP11" s="314" t="s">
        <v>203</v>
      </c>
      <c r="BDQ11" s="314" t="s">
        <v>203</v>
      </c>
      <c r="BDR11" s="314" t="s">
        <v>203</v>
      </c>
      <c r="BDS11" s="314" t="s">
        <v>203</v>
      </c>
      <c r="BDT11" s="314" t="s">
        <v>203</v>
      </c>
      <c r="BDU11" s="314" t="s">
        <v>203</v>
      </c>
      <c r="BDV11" s="314" t="s">
        <v>203</v>
      </c>
      <c r="BDW11" s="314" t="s">
        <v>203</v>
      </c>
      <c r="BDX11" s="314" t="s">
        <v>203</v>
      </c>
      <c r="BDY11" s="314" t="s">
        <v>203</v>
      </c>
      <c r="BDZ11" s="314" t="s">
        <v>203</v>
      </c>
      <c r="BEA11" s="314" t="s">
        <v>203</v>
      </c>
      <c r="BEB11" s="314" t="s">
        <v>203</v>
      </c>
      <c r="BEC11" s="314" t="s">
        <v>203</v>
      </c>
      <c r="BED11" s="314" t="s">
        <v>203</v>
      </c>
      <c r="BEE11" s="314" t="s">
        <v>203</v>
      </c>
      <c r="BEF11" s="314" t="s">
        <v>203</v>
      </c>
      <c r="BEG11" s="314" t="s">
        <v>203</v>
      </c>
      <c r="BEH11" s="314" t="s">
        <v>203</v>
      </c>
      <c r="BEI11" s="314" t="s">
        <v>203</v>
      </c>
      <c r="BEJ11" s="314" t="s">
        <v>203</v>
      </c>
      <c r="BEK11" s="314" t="s">
        <v>203</v>
      </c>
      <c r="BEL11" s="314" t="s">
        <v>203</v>
      </c>
      <c r="BEM11" s="314" t="s">
        <v>203</v>
      </c>
      <c r="BEN11" s="314" t="s">
        <v>203</v>
      </c>
      <c r="BEO11" s="314" t="s">
        <v>203</v>
      </c>
      <c r="BEP11" s="314" t="s">
        <v>203</v>
      </c>
      <c r="BEQ11" s="314" t="s">
        <v>203</v>
      </c>
      <c r="BER11" s="314" t="s">
        <v>203</v>
      </c>
      <c r="BES11" s="314" t="s">
        <v>203</v>
      </c>
      <c r="BET11" s="314" t="s">
        <v>203</v>
      </c>
      <c r="BEU11" s="314" t="s">
        <v>203</v>
      </c>
      <c r="BEV11" s="314" t="s">
        <v>203</v>
      </c>
      <c r="BEW11" s="314" t="s">
        <v>203</v>
      </c>
      <c r="BEX11" s="314" t="s">
        <v>203</v>
      </c>
      <c r="BEY11" s="314" t="s">
        <v>203</v>
      </c>
      <c r="BEZ11" s="314" t="s">
        <v>203</v>
      </c>
      <c r="BFA11" s="314" t="s">
        <v>203</v>
      </c>
      <c r="BFB11" s="314" t="s">
        <v>203</v>
      </c>
      <c r="BFC11" s="314" t="s">
        <v>203</v>
      </c>
      <c r="BFD11" s="314" t="s">
        <v>203</v>
      </c>
      <c r="BFE11" s="314" t="s">
        <v>203</v>
      </c>
      <c r="BFF11" s="314" t="s">
        <v>203</v>
      </c>
      <c r="BFG11" s="314" t="s">
        <v>203</v>
      </c>
      <c r="BFH11" s="314" t="s">
        <v>203</v>
      </c>
      <c r="BFI11" s="314" t="s">
        <v>203</v>
      </c>
      <c r="BFJ11" s="314" t="s">
        <v>203</v>
      </c>
      <c r="BFK11" s="314" t="s">
        <v>203</v>
      </c>
      <c r="BFL11" s="314" t="s">
        <v>203</v>
      </c>
      <c r="BFM11" s="314" t="s">
        <v>203</v>
      </c>
      <c r="BFN11" s="314" t="s">
        <v>203</v>
      </c>
      <c r="BFO11" s="314" t="s">
        <v>203</v>
      </c>
      <c r="BFP11" s="314" t="s">
        <v>203</v>
      </c>
      <c r="BFQ11" s="314" t="s">
        <v>203</v>
      </c>
      <c r="BFR11" s="314" t="s">
        <v>203</v>
      </c>
      <c r="BFS11" s="314" t="s">
        <v>203</v>
      </c>
      <c r="BFT11" s="314" t="s">
        <v>203</v>
      </c>
      <c r="BFU11" s="314" t="s">
        <v>203</v>
      </c>
      <c r="BFV11" s="314" t="s">
        <v>203</v>
      </c>
      <c r="BFW11" s="314" t="s">
        <v>203</v>
      </c>
      <c r="BFX11" s="314" t="s">
        <v>203</v>
      </c>
      <c r="BFY11" s="314" t="s">
        <v>203</v>
      </c>
      <c r="BFZ11" s="314" t="s">
        <v>203</v>
      </c>
      <c r="BGA11" s="314" t="s">
        <v>203</v>
      </c>
      <c r="BGB11" s="314" t="s">
        <v>203</v>
      </c>
      <c r="BGC11" s="314" t="s">
        <v>203</v>
      </c>
      <c r="BGD11" s="314" t="s">
        <v>203</v>
      </c>
      <c r="BGE11" s="314" t="s">
        <v>203</v>
      </c>
      <c r="BGF11" s="314" t="s">
        <v>203</v>
      </c>
      <c r="BGG11" s="314" t="s">
        <v>203</v>
      </c>
      <c r="BGH11" s="314" t="s">
        <v>203</v>
      </c>
      <c r="BGI11" s="314" t="s">
        <v>203</v>
      </c>
      <c r="BGJ11" s="314" t="s">
        <v>203</v>
      </c>
      <c r="BGK11" s="314" t="s">
        <v>203</v>
      </c>
      <c r="BGL11" s="314" t="s">
        <v>203</v>
      </c>
      <c r="BGM11" s="314" t="s">
        <v>203</v>
      </c>
      <c r="BGN11" s="314" t="s">
        <v>203</v>
      </c>
      <c r="BGO11" s="314" t="s">
        <v>203</v>
      </c>
      <c r="BGP11" s="314" t="s">
        <v>203</v>
      </c>
      <c r="BGQ11" s="314" t="s">
        <v>203</v>
      </c>
      <c r="BGR11" s="314" t="s">
        <v>203</v>
      </c>
      <c r="BGS11" s="314" t="s">
        <v>203</v>
      </c>
      <c r="BGT11" s="314" t="s">
        <v>203</v>
      </c>
      <c r="BGU11" s="314" t="s">
        <v>203</v>
      </c>
      <c r="BGV11" s="314" t="s">
        <v>203</v>
      </c>
      <c r="BGW11" s="314" t="s">
        <v>203</v>
      </c>
      <c r="BGX11" s="314" t="s">
        <v>203</v>
      </c>
      <c r="BGY11" s="314" t="s">
        <v>203</v>
      </c>
      <c r="BGZ11" s="314" t="s">
        <v>203</v>
      </c>
      <c r="BHA11" s="314" t="s">
        <v>203</v>
      </c>
      <c r="BHB11" s="314" t="s">
        <v>203</v>
      </c>
      <c r="BHC11" s="314" t="s">
        <v>203</v>
      </c>
      <c r="BHD11" s="314" t="s">
        <v>203</v>
      </c>
      <c r="BHE11" s="314" t="s">
        <v>203</v>
      </c>
      <c r="BHF11" s="314" t="s">
        <v>203</v>
      </c>
      <c r="BHG11" s="314" t="s">
        <v>203</v>
      </c>
      <c r="BHH11" s="314" t="s">
        <v>203</v>
      </c>
      <c r="BHI11" s="314" t="s">
        <v>203</v>
      </c>
      <c r="BHJ11" s="314" t="s">
        <v>203</v>
      </c>
      <c r="BHK11" s="314" t="s">
        <v>203</v>
      </c>
      <c r="BHL11" s="314" t="s">
        <v>203</v>
      </c>
      <c r="BHM11" s="314" t="s">
        <v>203</v>
      </c>
      <c r="BHN11" s="314" t="s">
        <v>203</v>
      </c>
      <c r="BHO11" s="314" t="s">
        <v>203</v>
      </c>
      <c r="BHP11" s="314" t="s">
        <v>203</v>
      </c>
      <c r="BHQ11" s="314" t="s">
        <v>203</v>
      </c>
      <c r="BHR11" s="314" t="s">
        <v>203</v>
      </c>
      <c r="BHS11" s="314" t="s">
        <v>203</v>
      </c>
      <c r="BHT11" s="314" t="s">
        <v>203</v>
      </c>
      <c r="BHU11" s="314" t="s">
        <v>203</v>
      </c>
      <c r="BHV11" s="314" t="s">
        <v>203</v>
      </c>
      <c r="BHW11" s="314" t="s">
        <v>203</v>
      </c>
      <c r="BHX11" s="314" t="s">
        <v>203</v>
      </c>
      <c r="BHY11" s="314" t="s">
        <v>203</v>
      </c>
      <c r="BHZ11" s="314" t="s">
        <v>203</v>
      </c>
      <c r="BIA11" s="314" t="s">
        <v>203</v>
      </c>
      <c r="BIB11" s="314" t="s">
        <v>203</v>
      </c>
      <c r="BIC11" s="314" t="s">
        <v>203</v>
      </c>
      <c r="BID11" s="314" t="s">
        <v>203</v>
      </c>
      <c r="BIE11" s="314" t="s">
        <v>203</v>
      </c>
      <c r="BIF11" s="314" t="s">
        <v>203</v>
      </c>
      <c r="BIG11" s="314" t="s">
        <v>203</v>
      </c>
      <c r="BIH11" s="314" t="s">
        <v>203</v>
      </c>
      <c r="BII11" s="314" t="s">
        <v>203</v>
      </c>
      <c r="BIJ11" s="314" t="s">
        <v>203</v>
      </c>
      <c r="BIK11" s="314" t="s">
        <v>203</v>
      </c>
      <c r="BIL11" s="314" t="s">
        <v>203</v>
      </c>
      <c r="BIM11" s="314" t="s">
        <v>203</v>
      </c>
      <c r="BIN11" s="314" t="s">
        <v>203</v>
      </c>
      <c r="BIO11" s="314" t="s">
        <v>203</v>
      </c>
      <c r="BIP11" s="314" t="s">
        <v>203</v>
      </c>
      <c r="BIQ11" s="314" t="s">
        <v>203</v>
      </c>
      <c r="BIR11" s="314" t="s">
        <v>203</v>
      </c>
      <c r="BIS11" s="314" t="s">
        <v>203</v>
      </c>
      <c r="BIT11" s="314" t="s">
        <v>203</v>
      </c>
      <c r="BIU11" s="314" t="s">
        <v>203</v>
      </c>
      <c r="BIV11" s="314" t="s">
        <v>203</v>
      </c>
      <c r="BIW11" s="314" t="s">
        <v>203</v>
      </c>
      <c r="BIX11" s="314" t="s">
        <v>203</v>
      </c>
      <c r="BIY11" s="314" t="s">
        <v>203</v>
      </c>
      <c r="BIZ11" s="314" t="s">
        <v>203</v>
      </c>
      <c r="BJA11" s="314" t="s">
        <v>203</v>
      </c>
      <c r="BJB11" s="314" t="s">
        <v>203</v>
      </c>
      <c r="BJC11" s="314" t="s">
        <v>203</v>
      </c>
      <c r="BJD11" s="314" t="s">
        <v>203</v>
      </c>
      <c r="BJE11" s="314" t="s">
        <v>203</v>
      </c>
      <c r="BJF11" s="314" t="s">
        <v>203</v>
      </c>
      <c r="BJG11" s="314" t="s">
        <v>203</v>
      </c>
      <c r="BJH11" s="314" t="s">
        <v>203</v>
      </c>
      <c r="BJI11" s="314" t="s">
        <v>203</v>
      </c>
      <c r="BJJ11" s="314" t="s">
        <v>203</v>
      </c>
      <c r="BJK11" s="314" t="s">
        <v>203</v>
      </c>
      <c r="BJL11" s="314" t="s">
        <v>203</v>
      </c>
      <c r="BJM11" s="314" t="s">
        <v>203</v>
      </c>
      <c r="BJN11" s="314" t="s">
        <v>203</v>
      </c>
      <c r="BJO11" s="314" t="s">
        <v>203</v>
      </c>
      <c r="BJP11" s="314" t="s">
        <v>203</v>
      </c>
      <c r="BJQ11" s="314" t="s">
        <v>203</v>
      </c>
      <c r="BJR11" s="314" t="s">
        <v>203</v>
      </c>
      <c r="BJS11" s="314" t="s">
        <v>203</v>
      </c>
      <c r="BJT11" s="314" t="s">
        <v>203</v>
      </c>
      <c r="BJU11" s="314" t="s">
        <v>203</v>
      </c>
      <c r="BJV11" s="314" t="s">
        <v>203</v>
      </c>
      <c r="BJW11" s="314" t="s">
        <v>203</v>
      </c>
      <c r="BJX11" s="314" t="s">
        <v>203</v>
      </c>
      <c r="BJY11" s="314" t="s">
        <v>203</v>
      </c>
      <c r="BJZ11" s="314" t="s">
        <v>203</v>
      </c>
      <c r="BKA11" s="314" t="s">
        <v>203</v>
      </c>
      <c r="BKB11" s="314" t="s">
        <v>203</v>
      </c>
      <c r="BKC11" s="314" t="s">
        <v>203</v>
      </c>
      <c r="BKD11" s="314" t="s">
        <v>203</v>
      </c>
      <c r="BKE11" s="314" t="s">
        <v>203</v>
      </c>
      <c r="BKF11" s="314" t="s">
        <v>203</v>
      </c>
      <c r="BKG11" s="314" t="s">
        <v>203</v>
      </c>
      <c r="BKH11" s="314" t="s">
        <v>203</v>
      </c>
      <c r="BKI11" s="314" t="s">
        <v>203</v>
      </c>
      <c r="BKJ11" s="314" t="s">
        <v>203</v>
      </c>
      <c r="BKK11" s="314" t="s">
        <v>203</v>
      </c>
      <c r="BKL11" s="314" t="s">
        <v>203</v>
      </c>
      <c r="BKM11" s="314" t="s">
        <v>203</v>
      </c>
      <c r="BKN11" s="314" t="s">
        <v>203</v>
      </c>
      <c r="BKO11" s="314" t="s">
        <v>203</v>
      </c>
      <c r="BKP11" s="314" t="s">
        <v>203</v>
      </c>
      <c r="BKQ11" s="314" t="s">
        <v>203</v>
      </c>
      <c r="BKR11" s="314" t="s">
        <v>203</v>
      </c>
      <c r="BKS11" s="314" t="s">
        <v>203</v>
      </c>
      <c r="BKT11" s="314" t="s">
        <v>203</v>
      </c>
      <c r="BKU11" s="314" t="s">
        <v>203</v>
      </c>
      <c r="BKV11" s="314" t="s">
        <v>203</v>
      </c>
      <c r="BKW11" s="314" t="s">
        <v>203</v>
      </c>
      <c r="BKX11" s="314" t="s">
        <v>203</v>
      </c>
      <c r="BKY11" s="314" t="s">
        <v>203</v>
      </c>
      <c r="BKZ11" s="314" t="s">
        <v>203</v>
      </c>
      <c r="BLA11" s="314" t="s">
        <v>203</v>
      </c>
      <c r="BLB11" s="314" t="s">
        <v>203</v>
      </c>
      <c r="BLC11" s="314" t="s">
        <v>203</v>
      </c>
      <c r="BLD11" s="314" t="s">
        <v>203</v>
      </c>
      <c r="BLE11" s="314" t="s">
        <v>203</v>
      </c>
      <c r="BLF11" s="314" t="s">
        <v>203</v>
      </c>
      <c r="BLG11" s="314" t="s">
        <v>203</v>
      </c>
      <c r="BLH11" s="314" t="s">
        <v>203</v>
      </c>
      <c r="BLI11" s="314" t="s">
        <v>203</v>
      </c>
      <c r="BLJ11" s="314" t="s">
        <v>203</v>
      </c>
      <c r="BLK11" s="314" t="s">
        <v>203</v>
      </c>
      <c r="BLL11" s="314" t="s">
        <v>203</v>
      </c>
      <c r="BLM11" s="314" t="s">
        <v>203</v>
      </c>
      <c r="BLN11" s="314" t="s">
        <v>203</v>
      </c>
      <c r="BLO11" s="314" t="s">
        <v>203</v>
      </c>
      <c r="BLP11" s="314" t="s">
        <v>203</v>
      </c>
      <c r="BLQ11" s="314" t="s">
        <v>203</v>
      </c>
      <c r="BLR11" s="314" t="s">
        <v>203</v>
      </c>
      <c r="BLS11" s="314" t="s">
        <v>203</v>
      </c>
      <c r="BLT11" s="314" t="s">
        <v>203</v>
      </c>
      <c r="BLU11" s="314" t="s">
        <v>203</v>
      </c>
      <c r="BLV11" s="314" t="s">
        <v>203</v>
      </c>
      <c r="BLW11" s="314" t="s">
        <v>203</v>
      </c>
      <c r="BLX11" s="314" t="s">
        <v>203</v>
      </c>
      <c r="BLY11" s="314" t="s">
        <v>203</v>
      </c>
      <c r="BLZ11" s="314" t="s">
        <v>203</v>
      </c>
      <c r="BMA11" s="314" t="s">
        <v>203</v>
      </c>
      <c r="BMB11" s="314" t="s">
        <v>203</v>
      </c>
      <c r="BMC11" s="314" t="s">
        <v>203</v>
      </c>
      <c r="BMD11" s="314" t="s">
        <v>203</v>
      </c>
      <c r="BME11" s="314" t="s">
        <v>203</v>
      </c>
      <c r="BMF11" s="314" t="s">
        <v>203</v>
      </c>
      <c r="BMG11" s="314" t="s">
        <v>203</v>
      </c>
      <c r="BMH11" s="314" t="s">
        <v>203</v>
      </c>
      <c r="BMI11" s="314" t="s">
        <v>203</v>
      </c>
      <c r="BMJ11" s="314" t="s">
        <v>203</v>
      </c>
      <c r="BMK11" s="314" t="s">
        <v>203</v>
      </c>
      <c r="BML11" s="314" t="s">
        <v>203</v>
      </c>
      <c r="BMM11" s="314" t="s">
        <v>203</v>
      </c>
      <c r="BMN11" s="314" t="s">
        <v>203</v>
      </c>
      <c r="BMO11" s="314" t="s">
        <v>203</v>
      </c>
      <c r="BMP11" s="314" t="s">
        <v>203</v>
      </c>
      <c r="BMQ11" s="314" t="s">
        <v>203</v>
      </c>
      <c r="BMR11" s="314" t="s">
        <v>203</v>
      </c>
      <c r="BMS11" s="314" t="s">
        <v>203</v>
      </c>
      <c r="BMT11" s="314" t="s">
        <v>203</v>
      </c>
      <c r="BMU11" s="314" t="s">
        <v>203</v>
      </c>
      <c r="BMV11" s="314" t="s">
        <v>203</v>
      </c>
      <c r="BMW11" s="314" t="s">
        <v>203</v>
      </c>
      <c r="BMX11" s="314" t="s">
        <v>203</v>
      </c>
      <c r="BMY11" s="314" t="s">
        <v>203</v>
      </c>
      <c r="BMZ11" s="314" t="s">
        <v>203</v>
      </c>
      <c r="BNA11" s="314" t="s">
        <v>203</v>
      </c>
      <c r="BNB11" s="314" t="s">
        <v>203</v>
      </c>
      <c r="BNC11" s="314" t="s">
        <v>203</v>
      </c>
      <c r="BND11" s="314" t="s">
        <v>203</v>
      </c>
      <c r="BNE11" s="314" t="s">
        <v>203</v>
      </c>
      <c r="BNF11" s="314" t="s">
        <v>203</v>
      </c>
      <c r="BNG11" s="314" t="s">
        <v>203</v>
      </c>
      <c r="BNH11" s="314" t="s">
        <v>203</v>
      </c>
      <c r="BNI11" s="314" t="s">
        <v>203</v>
      </c>
      <c r="BNJ11" s="314" t="s">
        <v>203</v>
      </c>
      <c r="BNK11" s="314" t="s">
        <v>203</v>
      </c>
      <c r="BNL11" s="314" t="s">
        <v>203</v>
      </c>
      <c r="BNM11" s="314" t="s">
        <v>203</v>
      </c>
      <c r="BNN11" s="314" t="s">
        <v>203</v>
      </c>
      <c r="BNO11" s="314" t="s">
        <v>203</v>
      </c>
      <c r="BNP11" s="314" t="s">
        <v>203</v>
      </c>
      <c r="BNQ11" s="314" t="s">
        <v>203</v>
      </c>
      <c r="BNR11" s="314" t="s">
        <v>203</v>
      </c>
      <c r="BNS11" s="314" t="s">
        <v>203</v>
      </c>
      <c r="BNT11" s="314" t="s">
        <v>203</v>
      </c>
      <c r="BNU11" s="314" t="s">
        <v>203</v>
      </c>
      <c r="BNV11" s="314" t="s">
        <v>203</v>
      </c>
      <c r="BNW11" s="314" t="s">
        <v>203</v>
      </c>
      <c r="BNX11" s="314" t="s">
        <v>203</v>
      </c>
      <c r="BNY11" s="314" t="s">
        <v>203</v>
      </c>
      <c r="BNZ11" s="314" t="s">
        <v>203</v>
      </c>
      <c r="BOA11" s="314" t="s">
        <v>203</v>
      </c>
      <c r="BOB11" s="314" t="s">
        <v>203</v>
      </c>
      <c r="BOC11" s="314" t="s">
        <v>203</v>
      </c>
      <c r="BOD11" s="314" t="s">
        <v>203</v>
      </c>
      <c r="BOE11" s="314" t="s">
        <v>203</v>
      </c>
      <c r="BOF11" s="314" t="s">
        <v>203</v>
      </c>
      <c r="BOG11" s="314" t="s">
        <v>203</v>
      </c>
      <c r="BOH11" s="314" t="s">
        <v>203</v>
      </c>
      <c r="BOI11" s="314" t="s">
        <v>203</v>
      </c>
      <c r="BOJ11" s="314" t="s">
        <v>203</v>
      </c>
      <c r="BOK11" s="314" t="s">
        <v>203</v>
      </c>
      <c r="BOL11" s="314" t="s">
        <v>203</v>
      </c>
      <c r="BOM11" s="314" t="s">
        <v>203</v>
      </c>
      <c r="BON11" s="314" t="s">
        <v>203</v>
      </c>
      <c r="BOO11" s="314" t="s">
        <v>203</v>
      </c>
      <c r="BOP11" s="314" t="s">
        <v>203</v>
      </c>
      <c r="BOQ11" s="314" t="s">
        <v>203</v>
      </c>
      <c r="BOR11" s="314" t="s">
        <v>203</v>
      </c>
      <c r="BOS11" s="314" t="s">
        <v>203</v>
      </c>
      <c r="BOT11" s="314" t="s">
        <v>203</v>
      </c>
      <c r="BOU11" s="314" t="s">
        <v>203</v>
      </c>
      <c r="BOV11" s="314" t="s">
        <v>203</v>
      </c>
      <c r="BOW11" s="314" t="s">
        <v>203</v>
      </c>
      <c r="BOX11" s="314" t="s">
        <v>203</v>
      </c>
      <c r="BOY11" s="314" t="s">
        <v>203</v>
      </c>
      <c r="BOZ11" s="314" t="s">
        <v>203</v>
      </c>
      <c r="BPA11" s="314" t="s">
        <v>203</v>
      </c>
      <c r="BPB11" s="314" t="s">
        <v>203</v>
      </c>
      <c r="BPC11" s="314" t="s">
        <v>203</v>
      </c>
      <c r="BPD11" s="314" t="s">
        <v>203</v>
      </c>
      <c r="BPE11" s="314" t="s">
        <v>203</v>
      </c>
      <c r="BPF11" s="314" t="s">
        <v>203</v>
      </c>
      <c r="BPG11" s="314" t="s">
        <v>203</v>
      </c>
      <c r="BPH11" s="314" t="s">
        <v>203</v>
      </c>
      <c r="BPI11" s="314" t="s">
        <v>203</v>
      </c>
      <c r="BPJ11" s="314" t="s">
        <v>203</v>
      </c>
      <c r="BPK11" s="314" t="s">
        <v>203</v>
      </c>
      <c r="BPL11" s="314" t="s">
        <v>203</v>
      </c>
      <c r="BPM11" s="314" t="s">
        <v>203</v>
      </c>
      <c r="BPN11" s="314" t="s">
        <v>203</v>
      </c>
      <c r="BPO11" s="314" t="s">
        <v>203</v>
      </c>
      <c r="BPP11" s="314" t="s">
        <v>203</v>
      </c>
      <c r="BPQ11" s="314" t="s">
        <v>203</v>
      </c>
      <c r="BPR11" s="314" t="s">
        <v>203</v>
      </c>
      <c r="BPS11" s="314" t="s">
        <v>203</v>
      </c>
      <c r="BPT11" s="314" t="s">
        <v>203</v>
      </c>
      <c r="BPU11" s="314" t="s">
        <v>203</v>
      </c>
      <c r="BPV11" s="314" t="s">
        <v>203</v>
      </c>
      <c r="BPW11" s="314" t="s">
        <v>203</v>
      </c>
      <c r="BPX11" s="314" t="s">
        <v>203</v>
      </c>
      <c r="BPY11" s="314" t="s">
        <v>203</v>
      </c>
      <c r="BPZ11" s="314" t="s">
        <v>203</v>
      </c>
      <c r="BQA11" s="314" t="s">
        <v>203</v>
      </c>
      <c r="BQB11" s="314" t="s">
        <v>203</v>
      </c>
      <c r="BQC11" s="314" t="s">
        <v>203</v>
      </c>
      <c r="BQD11" s="314" t="s">
        <v>203</v>
      </c>
      <c r="BQE11" s="314" t="s">
        <v>203</v>
      </c>
      <c r="BQF11" s="314" t="s">
        <v>203</v>
      </c>
      <c r="BQG11" s="314" t="s">
        <v>203</v>
      </c>
      <c r="BQH11" s="314" t="s">
        <v>203</v>
      </c>
      <c r="BQI11" s="314" t="s">
        <v>203</v>
      </c>
      <c r="BQJ11" s="314" t="s">
        <v>203</v>
      </c>
      <c r="BQK11" s="314" t="s">
        <v>203</v>
      </c>
      <c r="BQL11" s="314" t="s">
        <v>203</v>
      </c>
      <c r="BQM11" s="314" t="s">
        <v>203</v>
      </c>
      <c r="BQN11" s="314" t="s">
        <v>203</v>
      </c>
      <c r="BQO11" s="314" t="s">
        <v>203</v>
      </c>
      <c r="BQP11" s="314" t="s">
        <v>203</v>
      </c>
      <c r="BQQ11" s="314" t="s">
        <v>203</v>
      </c>
      <c r="BQR11" s="314" t="s">
        <v>203</v>
      </c>
      <c r="BQS11" s="314" t="s">
        <v>203</v>
      </c>
      <c r="BQT11" s="314" t="s">
        <v>203</v>
      </c>
      <c r="BQU11" s="314" t="s">
        <v>203</v>
      </c>
      <c r="BQV11" s="314" t="s">
        <v>203</v>
      </c>
      <c r="BQW11" s="314" t="s">
        <v>203</v>
      </c>
      <c r="BQX11" s="314" t="s">
        <v>203</v>
      </c>
      <c r="BQY11" s="314" t="s">
        <v>203</v>
      </c>
      <c r="BQZ11" s="314" t="s">
        <v>203</v>
      </c>
      <c r="BRA11" s="314" t="s">
        <v>203</v>
      </c>
      <c r="BRB11" s="314" t="s">
        <v>203</v>
      </c>
      <c r="BRC11" s="314" t="s">
        <v>203</v>
      </c>
      <c r="BRD11" s="314" t="s">
        <v>203</v>
      </c>
      <c r="BRE11" s="314" t="s">
        <v>203</v>
      </c>
      <c r="BRF11" s="314" t="s">
        <v>203</v>
      </c>
      <c r="BRG11" s="314" t="s">
        <v>203</v>
      </c>
      <c r="BRH11" s="314" t="s">
        <v>203</v>
      </c>
      <c r="BRI11" s="314" t="s">
        <v>203</v>
      </c>
      <c r="BRJ11" s="314" t="s">
        <v>203</v>
      </c>
      <c r="BRK11" s="314" t="s">
        <v>203</v>
      </c>
      <c r="BRL11" s="314" t="s">
        <v>203</v>
      </c>
      <c r="BRM11" s="314" t="s">
        <v>203</v>
      </c>
      <c r="BRN11" s="314" t="s">
        <v>203</v>
      </c>
      <c r="BRO11" s="314" t="s">
        <v>203</v>
      </c>
      <c r="BRP11" s="314" t="s">
        <v>203</v>
      </c>
      <c r="BRQ11" s="314" t="s">
        <v>203</v>
      </c>
      <c r="BRR11" s="314" t="s">
        <v>203</v>
      </c>
      <c r="BRS11" s="314" t="s">
        <v>203</v>
      </c>
      <c r="BRT11" s="314" t="s">
        <v>203</v>
      </c>
      <c r="BRU11" s="314" t="s">
        <v>203</v>
      </c>
      <c r="BRV11" s="314" t="s">
        <v>203</v>
      </c>
      <c r="BRW11" s="314" t="s">
        <v>203</v>
      </c>
      <c r="BRX11" s="314" t="s">
        <v>203</v>
      </c>
      <c r="BRY11" s="314" t="s">
        <v>203</v>
      </c>
      <c r="BRZ11" s="314" t="s">
        <v>203</v>
      </c>
      <c r="BSA11" s="314" t="s">
        <v>203</v>
      </c>
      <c r="BSB11" s="314" t="s">
        <v>203</v>
      </c>
      <c r="BSC11" s="314" t="s">
        <v>203</v>
      </c>
      <c r="BSD11" s="314" t="s">
        <v>203</v>
      </c>
      <c r="BSE11" s="314" t="s">
        <v>203</v>
      </c>
      <c r="BSF11" s="314" t="s">
        <v>203</v>
      </c>
      <c r="BSG11" s="314" t="s">
        <v>203</v>
      </c>
      <c r="BSH11" s="314" t="s">
        <v>203</v>
      </c>
      <c r="BSI11" s="314" t="s">
        <v>203</v>
      </c>
      <c r="BSJ11" s="314" t="s">
        <v>203</v>
      </c>
      <c r="BSK11" s="314" t="s">
        <v>203</v>
      </c>
      <c r="BSL11" s="314" t="s">
        <v>203</v>
      </c>
      <c r="BSM11" s="314" t="s">
        <v>203</v>
      </c>
      <c r="BSN11" s="314" t="s">
        <v>203</v>
      </c>
      <c r="BSO11" s="314" t="s">
        <v>203</v>
      </c>
      <c r="BSP11" s="314" t="s">
        <v>203</v>
      </c>
      <c r="BSQ11" s="314" t="s">
        <v>203</v>
      </c>
      <c r="BSR11" s="314" t="s">
        <v>203</v>
      </c>
      <c r="BSS11" s="314" t="s">
        <v>203</v>
      </c>
      <c r="BST11" s="314" t="s">
        <v>203</v>
      </c>
      <c r="BSU11" s="314" t="s">
        <v>203</v>
      </c>
      <c r="BSV11" s="314" t="s">
        <v>203</v>
      </c>
      <c r="BSW11" s="314" t="s">
        <v>203</v>
      </c>
      <c r="BSX11" s="314" t="s">
        <v>203</v>
      </c>
      <c r="BSY11" s="314" t="s">
        <v>203</v>
      </c>
      <c r="BSZ11" s="314" t="s">
        <v>203</v>
      </c>
      <c r="BTA11" s="314" t="s">
        <v>203</v>
      </c>
      <c r="BTB11" s="314" t="s">
        <v>203</v>
      </c>
      <c r="BTC11" s="314" t="s">
        <v>203</v>
      </c>
      <c r="BTD11" s="314" t="s">
        <v>203</v>
      </c>
      <c r="BTE11" s="314" t="s">
        <v>203</v>
      </c>
      <c r="BTF11" s="314" t="s">
        <v>203</v>
      </c>
      <c r="BTG11" s="314" t="s">
        <v>203</v>
      </c>
      <c r="BTH11" s="314" t="s">
        <v>203</v>
      </c>
      <c r="BTI11" s="314" t="s">
        <v>203</v>
      </c>
      <c r="BTJ11" s="314" t="s">
        <v>203</v>
      </c>
      <c r="BTK11" s="314" t="s">
        <v>203</v>
      </c>
      <c r="BTL11" s="314" t="s">
        <v>203</v>
      </c>
      <c r="BTM11" s="314" t="s">
        <v>203</v>
      </c>
      <c r="BTN11" s="314" t="s">
        <v>203</v>
      </c>
      <c r="BTO11" s="314" t="s">
        <v>203</v>
      </c>
      <c r="BTP11" s="314" t="s">
        <v>203</v>
      </c>
      <c r="BTQ11" s="314" t="s">
        <v>203</v>
      </c>
      <c r="BTR11" s="314" t="s">
        <v>203</v>
      </c>
      <c r="BTS11" s="314" t="s">
        <v>203</v>
      </c>
      <c r="BTT11" s="314" t="s">
        <v>203</v>
      </c>
      <c r="BTU11" s="314" t="s">
        <v>203</v>
      </c>
      <c r="BTV11" s="314" t="s">
        <v>203</v>
      </c>
      <c r="BTW11" s="314" t="s">
        <v>203</v>
      </c>
      <c r="BTX11" s="314" t="s">
        <v>203</v>
      </c>
      <c r="BTY11" s="314" t="s">
        <v>203</v>
      </c>
      <c r="BTZ11" s="314" t="s">
        <v>203</v>
      </c>
      <c r="BUA11" s="314" t="s">
        <v>203</v>
      </c>
      <c r="BUB11" s="314" t="s">
        <v>203</v>
      </c>
      <c r="BUC11" s="314" t="s">
        <v>203</v>
      </c>
      <c r="BUD11" s="314" t="s">
        <v>203</v>
      </c>
      <c r="BUE11" s="314" t="s">
        <v>203</v>
      </c>
      <c r="BUF11" s="314" t="s">
        <v>203</v>
      </c>
      <c r="BUG11" s="314" t="s">
        <v>203</v>
      </c>
      <c r="BUH11" s="314" t="s">
        <v>203</v>
      </c>
      <c r="BUI11" s="314" t="s">
        <v>203</v>
      </c>
      <c r="BUJ11" s="314" t="s">
        <v>203</v>
      </c>
      <c r="BUK11" s="314" t="s">
        <v>203</v>
      </c>
      <c r="BUL11" s="314" t="s">
        <v>203</v>
      </c>
      <c r="BUM11" s="314" t="s">
        <v>203</v>
      </c>
      <c r="BUN11" s="314" t="s">
        <v>203</v>
      </c>
      <c r="BUO11" s="314" t="s">
        <v>203</v>
      </c>
      <c r="BUP11" s="314" t="s">
        <v>203</v>
      </c>
      <c r="BUQ11" s="314" t="s">
        <v>203</v>
      </c>
      <c r="BUR11" s="314" t="s">
        <v>203</v>
      </c>
      <c r="BUS11" s="314" t="s">
        <v>203</v>
      </c>
      <c r="BUT11" s="314" t="s">
        <v>203</v>
      </c>
      <c r="BUU11" s="314" t="s">
        <v>203</v>
      </c>
      <c r="BUV11" s="314" t="s">
        <v>203</v>
      </c>
      <c r="BUW11" s="314" t="s">
        <v>203</v>
      </c>
      <c r="BUX11" s="314" t="s">
        <v>203</v>
      </c>
      <c r="BUY11" s="314" t="s">
        <v>203</v>
      </c>
      <c r="BUZ11" s="314" t="s">
        <v>203</v>
      </c>
      <c r="BVA11" s="314" t="s">
        <v>203</v>
      </c>
      <c r="BVB11" s="314" t="s">
        <v>203</v>
      </c>
      <c r="BVC11" s="314" t="s">
        <v>203</v>
      </c>
      <c r="BVD11" s="314" t="s">
        <v>203</v>
      </c>
      <c r="BVE11" s="314" t="s">
        <v>203</v>
      </c>
      <c r="BVF11" s="314" t="s">
        <v>203</v>
      </c>
      <c r="BVG11" s="314" t="s">
        <v>203</v>
      </c>
      <c r="BVH11" s="314" t="s">
        <v>203</v>
      </c>
      <c r="BVI11" s="314" t="s">
        <v>203</v>
      </c>
      <c r="BVJ11" s="314" t="s">
        <v>203</v>
      </c>
      <c r="BVK11" s="314" t="s">
        <v>203</v>
      </c>
      <c r="BVL11" s="314" t="s">
        <v>203</v>
      </c>
      <c r="BVM11" s="314" t="s">
        <v>203</v>
      </c>
      <c r="BVN11" s="314" t="s">
        <v>203</v>
      </c>
      <c r="BVO11" s="314" t="s">
        <v>203</v>
      </c>
      <c r="BVP11" s="314" t="s">
        <v>203</v>
      </c>
      <c r="BVQ11" s="314" t="s">
        <v>203</v>
      </c>
      <c r="BVR11" s="314" t="s">
        <v>203</v>
      </c>
      <c r="BVS11" s="314" t="s">
        <v>203</v>
      </c>
      <c r="BVT11" s="314" t="s">
        <v>203</v>
      </c>
      <c r="BVU11" s="314" t="s">
        <v>203</v>
      </c>
      <c r="BVV11" s="314" t="s">
        <v>203</v>
      </c>
      <c r="BVW11" s="314" t="s">
        <v>203</v>
      </c>
      <c r="BVX11" s="314" t="s">
        <v>203</v>
      </c>
      <c r="BVY11" s="314" t="s">
        <v>203</v>
      </c>
      <c r="BVZ11" s="314" t="s">
        <v>203</v>
      </c>
      <c r="BWA11" s="314" t="s">
        <v>203</v>
      </c>
      <c r="BWB11" s="314" t="s">
        <v>203</v>
      </c>
      <c r="BWC11" s="314" t="s">
        <v>203</v>
      </c>
      <c r="BWD11" s="314" t="s">
        <v>203</v>
      </c>
      <c r="BWE11" s="314" t="s">
        <v>203</v>
      </c>
      <c r="BWF11" s="314" t="s">
        <v>203</v>
      </c>
      <c r="BWG11" s="314" t="s">
        <v>203</v>
      </c>
      <c r="BWH11" s="314" t="s">
        <v>203</v>
      </c>
      <c r="BWI11" s="314" t="s">
        <v>203</v>
      </c>
      <c r="BWJ11" s="314" t="s">
        <v>203</v>
      </c>
      <c r="BWK11" s="314" t="s">
        <v>203</v>
      </c>
      <c r="BWL11" s="314" t="s">
        <v>203</v>
      </c>
      <c r="BWM11" s="314" t="s">
        <v>203</v>
      </c>
      <c r="BWN11" s="314" t="s">
        <v>203</v>
      </c>
      <c r="BWO11" s="314" t="s">
        <v>203</v>
      </c>
      <c r="BWP11" s="314" t="s">
        <v>203</v>
      </c>
      <c r="BWQ11" s="314" t="s">
        <v>203</v>
      </c>
      <c r="BWR11" s="314" t="s">
        <v>203</v>
      </c>
      <c r="BWS11" s="314" t="s">
        <v>203</v>
      </c>
      <c r="BWT11" s="314" t="s">
        <v>203</v>
      </c>
      <c r="BWU11" s="314" t="s">
        <v>203</v>
      </c>
      <c r="BWV11" s="314" t="s">
        <v>203</v>
      </c>
      <c r="BWW11" s="314" t="s">
        <v>203</v>
      </c>
      <c r="BWX11" s="314" t="s">
        <v>203</v>
      </c>
      <c r="BWY11" s="314" t="s">
        <v>203</v>
      </c>
      <c r="BWZ11" s="314" t="s">
        <v>203</v>
      </c>
      <c r="BXA11" s="314" t="s">
        <v>203</v>
      </c>
      <c r="BXB11" s="314" t="s">
        <v>203</v>
      </c>
      <c r="BXC11" s="314" t="s">
        <v>203</v>
      </c>
      <c r="BXD11" s="314" t="s">
        <v>203</v>
      </c>
      <c r="BXE11" s="314" t="s">
        <v>203</v>
      </c>
      <c r="BXF11" s="314" t="s">
        <v>203</v>
      </c>
      <c r="BXG11" s="314" t="s">
        <v>203</v>
      </c>
      <c r="BXH11" s="314" t="s">
        <v>203</v>
      </c>
      <c r="BXI11" s="314" t="s">
        <v>203</v>
      </c>
      <c r="BXJ11" s="314" t="s">
        <v>203</v>
      </c>
      <c r="BXK11" s="314" t="s">
        <v>203</v>
      </c>
      <c r="BXL11" s="314" t="s">
        <v>203</v>
      </c>
      <c r="BXM11" s="314" t="s">
        <v>203</v>
      </c>
      <c r="BXN11" s="314" t="s">
        <v>203</v>
      </c>
      <c r="BXO11" s="314" t="s">
        <v>203</v>
      </c>
      <c r="BXP11" s="314" t="s">
        <v>203</v>
      </c>
      <c r="BXQ11" s="314" t="s">
        <v>203</v>
      </c>
      <c r="BXR11" s="314" t="s">
        <v>203</v>
      </c>
      <c r="BXS11" s="314" t="s">
        <v>203</v>
      </c>
      <c r="BXT11" s="314" t="s">
        <v>203</v>
      </c>
      <c r="BXU11" s="314" t="s">
        <v>203</v>
      </c>
      <c r="BXV11" s="314" t="s">
        <v>203</v>
      </c>
      <c r="BXW11" s="314" t="s">
        <v>203</v>
      </c>
      <c r="BXX11" s="314" t="s">
        <v>203</v>
      </c>
      <c r="BXY11" s="314" t="s">
        <v>203</v>
      </c>
      <c r="BXZ11" s="314" t="s">
        <v>203</v>
      </c>
      <c r="BYA11" s="314" t="s">
        <v>203</v>
      </c>
      <c r="BYB11" s="314" t="s">
        <v>203</v>
      </c>
      <c r="BYC11" s="314" t="s">
        <v>203</v>
      </c>
      <c r="BYD11" s="314" t="s">
        <v>203</v>
      </c>
      <c r="BYE11" s="314" t="s">
        <v>203</v>
      </c>
      <c r="BYF11" s="314" t="s">
        <v>203</v>
      </c>
      <c r="BYG11" s="314" t="s">
        <v>203</v>
      </c>
      <c r="BYH11" s="314" t="s">
        <v>203</v>
      </c>
      <c r="BYI11" s="314" t="s">
        <v>203</v>
      </c>
      <c r="BYJ11" s="314" t="s">
        <v>203</v>
      </c>
      <c r="BYK11" s="314" t="s">
        <v>203</v>
      </c>
      <c r="BYL11" s="314" t="s">
        <v>203</v>
      </c>
      <c r="BYM11" s="314" t="s">
        <v>203</v>
      </c>
      <c r="BYN11" s="314" t="s">
        <v>203</v>
      </c>
      <c r="BYO11" s="314" t="s">
        <v>203</v>
      </c>
      <c r="BYP11" s="314" t="s">
        <v>203</v>
      </c>
      <c r="BYQ11" s="314" t="s">
        <v>203</v>
      </c>
      <c r="BYR11" s="314" t="s">
        <v>203</v>
      </c>
      <c r="BYS11" s="314" t="s">
        <v>203</v>
      </c>
      <c r="BYT11" s="314" t="s">
        <v>203</v>
      </c>
      <c r="BYU11" s="314" t="s">
        <v>203</v>
      </c>
      <c r="BYV11" s="314" t="s">
        <v>203</v>
      </c>
      <c r="BYW11" s="314" t="s">
        <v>203</v>
      </c>
      <c r="BYX11" s="314" t="s">
        <v>203</v>
      </c>
      <c r="BYY11" s="314" t="s">
        <v>203</v>
      </c>
      <c r="BYZ11" s="314" t="s">
        <v>203</v>
      </c>
      <c r="BZA11" s="314" t="s">
        <v>203</v>
      </c>
      <c r="BZB11" s="314" t="s">
        <v>203</v>
      </c>
      <c r="BZC11" s="314" t="s">
        <v>203</v>
      </c>
      <c r="BZD11" s="314" t="s">
        <v>203</v>
      </c>
      <c r="BZE11" s="314" t="s">
        <v>203</v>
      </c>
      <c r="BZF11" s="314" t="s">
        <v>203</v>
      </c>
      <c r="BZG11" s="314" t="s">
        <v>203</v>
      </c>
      <c r="BZH11" s="314" t="s">
        <v>203</v>
      </c>
      <c r="BZI11" s="314" t="s">
        <v>203</v>
      </c>
      <c r="BZJ11" s="314" t="s">
        <v>203</v>
      </c>
      <c r="BZK11" s="314" t="s">
        <v>203</v>
      </c>
      <c r="BZL11" s="314" t="s">
        <v>203</v>
      </c>
      <c r="BZM11" s="314" t="s">
        <v>203</v>
      </c>
      <c r="BZN11" s="314" t="s">
        <v>203</v>
      </c>
      <c r="BZO11" s="314" t="s">
        <v>203</v>
      </c>
      <c r="BZP11" s="314" t="s">
        <v>203</v>
      </c>
      <c r="BZQ11" s="314" t="s">
        <v>203</v>
      </c>
      <c r="BZR11" s="314" t="s">
        <v>203</v>
      </c>
      <c r="BZS11" s="314" t="s">
        <v>203</v>
      </c>
      <c r="BZT11" s="314" t="s">
        <v>203</v>
      </c>
      <c r="BZU11" s="314" t="s">
        <v>203</v>
      </c>
      <c r="BZV11" s="314" t="s">
        <v>203</v>
      </c>
      <c r="BZW11" s="314" t="s">
        <v>203</v>
      </c>
      <c r="BZX11" s="314" t="s">
        <v>203</v>
      </c>
      <c r="BZY11" s="314" t="s">
        <v>203</v>
      </c>
      <c r="BZZ11" s="314" t="s">
        <v>203</v>
      </c>
      <c r="CAA11" s="314" t="s">
        <v>203</v>
      </c>
      <c r="CAB11" s="314" t="s">
        <v>203</v>
      </c>
      <c r="CAC11" s="314" t="s">
        <v>203</v>
      </c>
      <c r="CAD11" s="314" t="s">
        <v>203</v>
      </c>
      <c r="CAE11" s="314" t="s">
        <v>203</v>
      </c>
      <c r="CAF11" s="314" t="s">
        <v>203</v>
      </c>
      <c r="CAG11" s="314" t="s">
        <v>203</v>
      </c>
      <c r="CAH11" s="314" t="s">
        <v>203</v>
      </c>
      <c r="CAI11" s="314" t="s">
        <v>203</v>
      </c>
      <c r="CAJ11" s="314" t="s">
        <v>203</v>
      </c>
      <c r="CAK11" s="314" t="s">
        <v>203</v>
      </c>
      <c r="CAL11" s="314" t="s">
        <v>203</v>
      </c>
      <c r="CAM11" s="314" t="s">
        <v>203</v>
      </c>
      <c r="CAN11" s="314" t="s">
        <v>203</v>
      </c>
      <c r="CAO11" s="314" t="s">
        <v>203</v>
      </c>
      <c r="CAP11" s="314" t="s">
        <v>203</v>
      </c>
      <c r="CAQ11" s="314" t="s">
        <v>203</v>
      </c>
      <c r="CAR11" s="314" t="s">
        <v>203</v>
      </c>
      <c r="CAS11" s="314" t="s">
        <v>203</v>
      </c>
      <c r="CAT11" s="314" t="s">
        <v>203</v>
      </c>
      <c r="CAU11" s="314" t="s">
        <v>203</v>
      </c>
      <c r="CAV11" s="314" t="s">
        <v>203</v>
      </c>
      <c r="CAW11" s="314" t="s">
        <v>203</v>
      </c>
      <c r="CAX11" s="314" t="s">
        <v>203</v>
      </c>
      <c r="CAY11" s="314" t="s">
        <v>203</v>
      </c>
      <c r="CAZ11" s="314" t="s">
        <v>203</v>
      </c>
      <c r="CBA11" s="314" t="s">
        <v>203</v>
      </c>
      <c r="CBB11" s="314" t="s">
        <v>203</v>
      </c>
      <c r="CBC11" s="314" t="s">
        <v>203</v>
      </c>
      <c r="CBD11" s="314" t="s">
        <v>203</v>
      </c>
      <c r="CBE11" s="314" t="s">
        <v>203</v>
      </c>
      <c r="CBF11" s="314" t="s">
        <v>203</v>
      </c>
      <c r="CBG11" s="314" t="s">
        <v>203</v>
      </c>
      <c r="CBH11" s="314" t="s">
        <v>203</v>
      </c>
      <c r="CBI11" s="314" t="s">
        <v>203</v>
      </c>
      <c r="CBJ11" s="314" t="s">
        <v>203</v>
      </c>
      <c r="CBK11" s="314" t="s">
        <v>203</v>
      </c>
      <c r="CBL11" s="314" t="s">
        <v>203</v>
      </c>
      <c r="CBM11" s="314" t="s">
        <v>203</v>
      </c>
      <c r="CBN11" s="314" t="s">
        <v>203</v>
      </c>
      <c r="CBO11" s="314" t="s">
        <v>203</v>
      </c>
      <c r="CBP11" s="314" t="s">
        <v>203</v>
      </c>
      <c r="CBQ11" s="314" t="s">
        <v>203</v>
      </c>
      <c r="CBR11" s="314" t="s">
        <v>203</v>
      </c>
      <c r="CBS11" s="314" t="s">
        <v>203</v>
      </c>
      <c r="CBT11" s="314" t="s">
        <v>203</v>
      </c>
      <c r="CBU11" s="314" t="s">
        <v>203</v>
      </c>
      <c r="CBV11" s="314" t="s">
        <v>203</v>
      </c>
      <c r="CBW11" s="314" t="s">
        <v>203</v>
      </c>
      <c r="CBX11" s="314" t="s">
        <v>203</v>
      </c>
      <c r="CBY11" s="314" t="s">
        <v>203</v>
      </c>
      <c r="CBZ11" s="314" t="s">
        <v>203</v>
      </c>
      <c r="CCA11" s="314" t="s">
        <v>203</v>
      </c>
      <c r="CCB11" s="314" t="s">
        <v>203</v>
      </c>
      <c r="CCC11" s="314" t="s">
        <v>203</v>
      </c>
      <c r="CCD11" s="314" t="s">
        <v>203</v>
      </c>
      <c r="CCE11" s="314" t="s">
        <v>203</v>
      </c>
      <c r="CCF11" s="314" t="s">
        <v>203</v>
      </c>
      <c r="CCG11" s="314" t="s">
        <v>203</v>
      </c>
      <c r="CCH11" s="314" t="s">
        <v>203</v>
      </c>
      <c r="CCI11" s="314" t="s">
        <v>203</v>
      </c>
      <c r="CCJ11" s="314" t="s">
        <v>203</v>
      </c>
      <c r="CCK11" s="314" t="s">
        <v>203</v>
      </c>
      <c r="CCL11" s="314" t="s">
        <v>203</v>
      </c>
      <c r="CCM11" s="314" t="s">
        <v>203</v>
      </c>
      <c r="CCN11" s="314" t="s">
        <v>203</v>
      </c>
      <c r="CCO11" s="314" t="s">
        <v>203</v>
      </c>
      <c r="CCP11" s="314" t="s">
        <v>203</v>
      </c>
      <c r="CCQ11" s="314" t="s">
        <v>203</v>
      </c>
      <c r="CCR11" s="314" t="s">
        <v>203</v>
      </c>
      <c r="CCS11" s="314" t="s">
        <v>203</v>
      </c>
      <c r="CCT11" s="314" t="s">
        <v>203</v>
      </c>
      <c r="CCU11" s="314" t="s">
        <v>203</v>
      </c>
      <c r="CCV11" s="314" t="s">
        <v>203</v>
      </c>
      <c r="CCW11" s="314" t="s">
        <v>203</v>
      </c>
      <c r="CCX11" s="314" t="s">
        <v>203</v>
      </c>
      <c r="CCY11" s="314" t="s">
        <v>203</v>
      </c>
      <c r="CCZ11" s="314" t="s">
        <v>203</v>
      </c>
      <c r="CDA11" s="314" t="s">
        <v>203</v>
      </c>
      <c r="CDB11" s="314" t="s">
        <v>203</v>
      </c>
      <c r="CDC11" s="314" t="s">
        <v>203</v>
      </c>
      <c r="CDD11" s="314" t="s">
        <v>203</v>
      </c>
      <c r="CDE11" s="314" t="s">
        <v>203</v>
      </c>
      <c r="CDF11" s="314" t="s">
        <v>203</v>
      </c>
      <c r="CDG11" s="314" t="s">
        <v>203</v>
      </c>
      <c r="CDH11" s="314" t="s">
        <v>203</v>
      </c>
      <c r="CDI11" s="314" t="s">
        <v>203</v>
      </c>
      <c r="CDJ11" s="314" t="s">
        <v>203</v>
      </c>
      <c r="CDK11" s="314" t="s">
        <v>203</v>
      </c>
      <c r="CDL11" s="314" t="s">
        <v>203</v>
      </c>
      <c r="CDM11" s="314" t="s">
        <v>203</v>
      </c>
      <c r="CDN11" s="314" t="s">
        <v>203</v>
      </c>
      <c r="CDO11" s="314" t="s">
        <v>203</v>
      </c>
      <c r="CDP11" s="314" t="s">
        <v>203</v>
      </c>
      <c r="CDQ11" s="314" t="s">
        <v>203</v>
      </c>
      <c r="CDR11" s="314" t="s">
        <v>203</v>
      </c>
      <c r="CDS11" s="314" t="s">
        <v>203</v>
      </c>
      <c r="CDT11" s="314" t="s">
        <v>203</v>
      </c>
      <c r="CDU11" s="314" t="s">
        <v>203</v>
      </c>
      <c r="CDV11" s="314" t="s">
        <v>203</v>
      </c>
      <c r="CDW11" s="314" t="s">
        <v>203</v>
      </c>
      <c r="CDX11" s="314" t="s">
        <v>203</v>
      </c>
      <c r="CDY11" s="314" t="s">
        <v>203</v>
      </c>
      <c r="CDZ11" s="314" t="s">
        <v>203</v>
      </c>
      <c r="CEA11" s="314" t="s">
        <v>203</v>
      </c>
      <c r="CEB11" s="314" t="s">
        <v>203</v>
      </c>
      <c r="CEC11" s="314" t="s">
        <v>203</v>
      </c>
      <c r="CED11" s="314" t="s">
        <v>203</v>
      </c>
      <c r="CEE11" s="314" t="s">
        <v>203</v>
      </c>
      <c r="CEF11" s="314" t="s">
        <v>203</v>
      </c>
      <c r="CEG11" s="314" t="s">
        <v>203</v>
      </c>
      <c r="CEH11" s="314" t="s">
        <v>203</v>
      </c>
      <c r="CEI11" s="314" t="s">
        <v>203</v>
      </c>
      <c r="CEJ11" s="314" t="s">
        <v>203</v>
      </c>
      <c r="CEK11" s="314" t="s">
        <v>203</v>
      </c>
      <c r="CEL11" s="314" t="s">
        <v>203</v>
      </c>
      <c r="CEM11" s="314" t="s">
        <v>203</v>
      </c>
      <c r="CEN11" s="314" t="s">
        <v>203</v>
      </c>
      <c r="CEO11" s="314" t="s">
        <v>203</v>
      </c>
      <c r="CEP11" s="314" t="s">
        <v>203</v>
      </c>
      <c r="CEQ11" s="314" t="s">
        <v>203</v>
      </c>
      <c r="CER11" s="314" t="s">
        <v>203</v>
      </c>
      <c r="CES11" s="314" t="s">
        <v>203</v>
      </c>
      <c r="CET11" s="314" t="s">
        <v>203</v>
      </c>
      <c r="CEU11" s="314" t="s">
        <v>203</v>
      </c>
      <c r="CEV11" s="314" t="s">
        <v>203</v>
      </c>
      <c r="CEW11" s="314" t="s">
        <v>203</v>
      </c>
      <c r="CEX11" s="314" t="s">
        <v>203</v>
      </c>
      <c r="CEY11" s="314" t="s">
        <v>203</v>
      </c>
      <c r="CEZ11" s="314" t="s">
        <v>203</v>
      </c>
      <c r="CFA11" s="314" t="s">
        <v>203</v>
      </c>
      <c r="CFB11" s="314" t="s">
        <v>203</v>
      </c>
      <c r="CFC11" s="314" t="s">
        <v>203</v>
      </c>
      <c r="CFD11" s="314" t="s">
        <v>203</v>
      </c>
      <c r="CFE11" s="314" t="s">
        <v>203</v>
      </c>
      <c r="CFF11" s="314" t="s">
        <v>203</v>
      </c>
      <c r="CFG11" s="314" t="s">
        <v>203</v>
      </c>
      <c r="CFH11" s="314" t="s">
        <v>203</v>
      </c>
      <c r="CFI11" s="314" t="s">
        <v>203</v>
      </c>
      <c r="CFJ11" s="314" t="s">
        <v>203</v>
      </c>
      <c r="CFK11" s="314" t="s">
        <v>203</v>
      </c>
      <c r="CFL11" s="314" t="s">
        <v>203</v>
      </c>
      <c r="CFM11" s="314" t="s">
        <v>203</v>
      </c>
      <c r="CFN11" s="314" t="s">
        <v>203</v>
      </c>
      <c r="CFO11" s="314" t="s">
        <v>203</v>
      </c>
      <c r="CFP11" s="314" t="s">
        <v>203</v>
      </c>
      <c r="CFQ11" s="314" t="s">
        <v>203</v>
      </c>
      <c r="CFR11" s="314" t="s">
        <v>203</v>
      </c>
      <c r="CFS11" s="314" t="s">
        <v>203</v>
      </c>
      <c r="CFT11" s="314" t="s">
        <v>203</v>
      </c>
      <c r="CFU11" s="314" t="s">
        <v>203</v>
      </c>
      <c r="CFV11" s="314" t="s">
        <v>203</v>
      </c>
      <c r="CFW11" s="314" t="s">
        <v>203</v>
      </c>
      <c r="CFX11" s="314" t="s">
        <v>203</v>
      </c>
      <c r="CFY11" s="314" t="s">
        <v>203</v>
      </c>
      <c r="CFZ11" s="314" t="s">
        <v>203</v>
      </c>
      <c r="CGA11" s="314" t="s">
        <v>203</v>
      </c>
      <c r="CGB11" s="314" t="s">
        <v>203</v>
      </c>
      <c r="CGC11" s="314" t="s">
        <v>203</v>
      </c>
      <c r="CGD11" s="314" t="s">
        <v>203</v>
      </c>
      <c r="CGE11" s="314" t="s">
        <v>203</v>
      </c>
      <c r="CGF11" s="314" t="s">
        <v>203</v>
      </c>
      <c r="CGG11" s="314" t="s">
        <v>203</v>
      </c>
      <c r="CGH11" s="314" t="s">
        <v>203</v>
      </c>
      <c r="CGI11" s="314" t="s">
        <v>203</v>
      </c>
      <c r="CGJ11" s="314" t="s">
        <v>203</v>
      </c>
      <c r="CGK11" s="314" t="s">
        <v>203</v>
      </c>
      <c r="CGL11" s="314" t="s">
        <v>203</v>
      </c>
      <c r="CGM11" s="314" t="s">
        <v>203</v>
      </c>
      <c r="CGN11" s="314" t="s">
        <v>203</v>
      </c>
      <c r="CGO11" s="314" t="s">
        <v>203</v>
      </c>
      <c r="CGP11" s="314" t="s">
        <v>203</v>
      </c>
      <c r="CGQ11" s="314" t="s">
        <v>203</v>
      </c>
      <c r="CGR11" s="314" t="s">
        <v>203</v>
      </c>
      <c r="CGS11" s="314" t="s">
        <v>203</v>
      </c>
      <c r="CGT11" s="314" t="s">
        <v>203</v>
      </c>
      <c r="CGU11" s="314" t="s">
        <v>203</v>
      </c>
      <c r="CGV11" s="314" t="s">
        <v>203</v>
      </c>
      <c r="CGW11" s="314" t="s">
        <v>203</v>
      </c>
      <c r="CGX11" s="314" t="s">
        <v>203</v>
      </c>
      <c r="CGY11" s="314" t="s">
        <v>203</v>
      </c>
      <c r="CGZ11" s="314" t="s">
        <v>203</v>
      </c>
      <c r="CHA11" s="314" t="s">
        <v>203</v>
      </c>
      <c r="CHB11" s="314" t="s">
        <v>203</v>
      </c>
      <c r="CHC11" s="314" t="s">
        <v>203</v>
      </c>
      <c r="CHD11" s="314" t="s">
        <v>203</v>
      </c>
      <c r="CHE11" s="314" t="s">
        <v>203</v>
      </c>
      <c r="CHF11" s="314" t="s">
        <v>203</v>
      </c>
      <c r="CHG11" s="314" t="s">
        <v>203</v>
      </c>
      <c r="CHH11" s="314" t="s">
        <v>203</v>
      </c>
      <c r="CHI11" s="314" t="s">
        <v>203</v>
      </c>
      <c r="CHJ11" s="314" t="s">
        <v>203</v>
      </c>
      <c r="CHK11" s="314" t="s">
        <v>203</v>
      </c>
      <c r="CHL11" s="314" t="s">
        <v>203</v>
      </c>
      <c r="CHM11" s="314" t="s">
        <v>203</v>
      </c>
      <c r="CHN11" s="314" t="s">
        <v>203</v>
      </c>
      <c r="CHO11" s="314" t="s">
        <v>203</v>
      </c>
      <c r="CHP11" s="314" t="s">
        <v>203</v>
      </c>
      <c r="CHQ11" s="314" t="s">
        <v>203</v>
      </c>
      <c r="CHR11" s="314" t="s">
        <v>203</v>
      </c>
      <c r="CHS11" s="314" t="s">
        <v>203</v>
      </c>
      <c r="CHT11" s="314" t="s">
        <v>203</v>
      </c>
      <c r="CHU11" s="314" t="s">
        <v>203</v>
      </c>
      <c r="CHV11" s="314" t="s">
        <v>203</v>
      </c>
      <c r="CHW11" s="314" t="s">
        <v>203</v>
      </c>
      <c r="CHX11" s="314" t="s">
        <v>203</v>
      </c>
      <c r="CHY11" s="314" t="s">
        <v>203</v>
      </c>
      <c r="CHZ11" s="314" t="s">
        <v>203</v>
      </c>
      <c r="CIA11" s="314" t="s">
        <v>203</v>
      </c>
      <c r="CIB11" s="314" t="s">
        <v>203</v>
      </c>
      <c r="CIC11" s="314" t="s">
        <v>203</v>
      </c>
      <c r="CID11" s="314" t="s">
        <v>203</v>
      </c>
      <c r="CIE11" s="314" t="s">
        <v>203</v>
      </c>
      <c r="CIF11" s="314" t="s">
        <v>203</v>
      </c>
      <c r="CIG11" s="314" t="s">
        <v>203</v>
      </c>
      <c r="CIH11" s="314" t="s">
        <v>203</v>
      </c>
      <c r="CII11" s="314" t="s">
        <v>203</v>
      </c>
      <c r="CIJ11" s="314" t="s">
        <v>203</v>
      </c>
      <c r="CIK11" s="314" t="s">
        <v>203</v>
      </c>
      <c r="CIL11" s="314" t="s">
        <v>203</v>
      </c>
      <c r="CIM11" s="314" t="s">
        <v>203</v>
      </c>
      <c r="CIN11" s="314" t="s">
        <v>203</v>
      </c>
      <c r="CIO11" s="314" t="s">
        <v>203</v>
      </c>
      <c r="CIP11" s="314" t="s">
        <v>203</v>
      </c>
      <c r="CIQ11" s="314" t="s">
        <v>203</v>
      </c>
      <c r="CIR11" s="314" t="s">
        <v>203</v>
      </c>
      <c r="CIS11" s="314" t="s">
        <v>203</v>
      </c>
      <c r="CIT11" s="314" t="s">
        <v>203</v>
      </c>
      <c r="CIU11" s="314" t="s">
        <v>203</v>
      </c>
      <c r="CIV11" s="314" t="s">
        <v>203</v>
      </c>
      <c r="CIW11" s="314" t="s">
        <v>203</v>
      </c>
      <c r="CIX11" s="314" t="s">
        <v>203</v>
      </c>
      <c r="CIY11" s="314" t="s">
        <v>203</v>
      </c>
      <c r="CIZ11" s="314" t="s">
        <v>203</v>
      </c>
      <c r="CJA11" s="314" t="s">
        <v>203</v>
      </c>
      <c r="CJB11" s="314" t="s">
        <v>203</v>
      </c>
      <c r="CJC11" s="314" t="s">
        <v>203</v>
      </c>
      <c r="CJD11" s="314" t="s">
        <v>203</v>
      </c>
      <c r="CJE11" s="314" t="s">
        <v>203</v>
      </c>
      <c r="CJF11" s="314" t="s">
        <v>203</v>
      </c>
      <c r="CJG11" s="314" t="s">
        <v>203</v>
      </c>
      <c r="CJH11" s="314" t="s">
        <v>203</v>
      </c>
      <c r="CJI11" s="314" t="s">
        <v>203</v>
      </c>
      <c r="CJJ11" s="314" t="s">
        <v>203</v>
      </c>
      <c r="CJK11" s="314" t="s">
        <v>203</v>
      </c>
      <c r="CJL11" s="314" t="s">
        <v>203</v>
      </c>
      <c r="CJM11" s="314" t="s">
        <v>203</v>
      </c>
      <c r="CJN11" s="314" t="s">
        <v>203</v>
      </c>
      <c r="CJO11" s="314" t="s">
        <v>203</v>
      </c>
      <c r="CJP11" s="314" t="s">
        <v>203</v>
      </c>
      <c r="CJQ11" s="314" t="s">
        <v>203</v>
      </c>
      <c r="CJR11" s="314" t="s">
        <v>203</v>
      </c>
      <c r="CJS11" s="314" t="s">
        <v>203</v>
      </c>
      <c r="CJT11" s="314" t="s">
        <v>203</v>
      </c>
      <c r="CJU11" s="314" t="s">
        <v>203</v>
      </c>
      <c r="CJV11" s="314" t="s">
        <v>203</v>
      </c>
      <c r="CJW11" s="314" t="s">
        <v>203</v>
      </c>
      <c r="CJX11" s="314" t="s">
        <v>203</v>
      </c>
      <c r="CJY11" s="314" t="s">
        <v>203</v>
      </c>
      <c r="CJZ11" s="314" t="s">
        <v>203</v>
      </c>
      <c r="CKA11" s="314" t="s">
        <v>203</v>
      </c>
      <c r="CKB11" s="314" t="s">
        <v>203</v>
      </c>
      <c r="CKC11" s="314" t="s">
        <v>203</v>
      </c>
      <c r="CKD11" s="314" t="s">
        <v>203</v>
      </c>
      <c r="CKE11" s="314" t="s">
        <v>203</v>
      </c>
      <c r="CKF11" s="314" t="s">
        <v>203</v>
      </c>
      <c r="CKG11" s="314" t="s">
        <v>203</v>
      </c>
      <c r="CKH11" s="314" t="s">
        <v>203</v>
      </c>
      <c r="CKI11" s="314" t="s">
        <v>203</v>
      </c>
      <c r="CKJ11" s="314" t="s">
        <v>203</v>
      </c>
      <c r="CKK11" s="314" t="s">
        <v>203</v>
      </c>
      <c r="CKL11" s="314" t="s">
        <v>203</v>
      </c>
      <c r="CKM11" s="314" t="s">
        <v>203</v>
      </c>
      <c r="CKN11" s="314" t="s">
        <v>203</v>
      </c>
      <c r="CKO11" s="314" t="s">
        <v>203</v>
      </c>
      <c r="CKP11" s="314" t="s">
        <v>203</v>
      </c>
      <c r="CKQ11" s="314" t="s">
        <v>203</v>
      </c>
      <c r="CKR11" s="314" t="s">
        <v>203</v>
      </c>
      <c r="CKS11" s="314" t="s">
        <v>203</v>
      </c>
      <c r="CKT11" s="314" t="s">
        <v>203</v>
      </c>
      <c r="CKU11" s="314" t="s">
        <v>203</v>
      </c>
      <c r="CKV11" s="314" t="s">
        <v>203</v>
      </c>
      <c r="CKW11" s="314" t="s">
        <v>203</v>
      </c>
      <c r="CKX11" s="314" t="s">
        <v>203</v>
      </c>
      <c r="CKY11" s="314" t="s">
        <v>203</v>
      </c>
      <c r="CKZ11" s="314" t="s">
        <v>203</v>
      </c>
      <c r="CLA11" s="314" t="s">
        <v>203</v>
      </c>
      <c r="CLB11" s="314" t="s">
        <v>203</v>
      </c>
      <c r="CLC11" s="314" t="s">
        <v>203</v>
      </c>
      <c r="CLD11" s="314" t="s">
        <v>203</v>
      </c>
      <c r="CLE11" s="314" t="s">
        <v>203</v>
      </c>
      <c r="CLF11" s="314" t="s">
        <v>203</v>
      </c>
      <c r="CLG11" s="314" t="s">
        <v>203</v>
      </c>
      <c r="CLH11" s="314" t="s">
        <v>203</v>
      </c>
      <c r="CLI11" s="314" t="s">
        <v>203</v>
      </c>
      <c r="CLJ11" s="314" t="s">
        <v>203</v>
      </c>
      <c r="CLK11" s="314" t="s">
        <v>203</v>
      </c>
      <c r="CLL11" s="314" t="s">
        <v>203</v>
      </c>
      <c r="CLM11" s="314" t="s">
        <v>203</v>
      </c>
      <c r="CLN11" s="314" t="s">
        <v>203</v>
      </c>
      <c r="CLO11" s="314" t="s">
        <v>203</v>
      </c>
      <c r="CLP11" s="314" t="s">
        <v>203</v>
      </c>
      <c r="CLQ11" s="314" t="s">
        <v>203</v>
      </c>
      <c r="CLR11" s="314" t="s">
        <v>203</v>
      </c>
      <c r="CLS11" s="314" t="s">
        <v>203</v>
      </c>
      <c r="CLT11" s="314" t="s">
        <v>203</v>
      </c>
      <c r="CLU11" s="314" t="s">
        <v>203</v>
      </c>
      <c r="CLV11" s="314" t="s">
        <v>203</v>
      </c>
      <c r="CLW11" s="314" t="s">
        <v>203</v>
      </c>
      <c r="CLX11" s="314" t="s">
        <v>203</v>
      </c>
      <c r="CLY11" s="314" t="s">
        <v>203</v>
      </c>
      <c r="CLZ11" s="314" t="s">
        <v>203</v>
      </c>
      <c r="CMA11" s="314" t="s">
        <v>203</v>
      </c>
      <c r="CMB11" s="314" t="s">
        <v>203</v>
      </c>
      <c r="CMC11" s="314" t="s">
        <v>203</v>
      </c>
      <c r="CMD11" s="314" t="s">
        <v>203</v>
      </c>
      <c r="CME11" s="314" t="s">
        <v>203</v>
      </c>
      <c r="CMF11" s="314" t="s">
        <v>203</v>
      </c>
      <c r="CMG11" s="314" t="s">
        <v>203</v>
      </c>
      <c r="CMH11" s="314" t="s">
        <v>203</v>
      </c>
      <c r="CMI11" s="314" t="s">
        <v>203</v>
      </c>
      <c r="CMJ11" s="314" t="s">
        <v>203</v>
      </c>
      <c r="CMK11" s="314" t="s">
        <v>203</v>
      </c>
      <c r="CML11" s="314" t="s">
        <v>203</v>
      </c>
      <c r="CMM11" s="314" t="s">
        <v>203</v>
      </c>
      <c r="CMN11" s="314" t="s">
        <v>203</v>
      </c>
      <c r="CMO11" s="314" t="s">
        <v>203</v>
      </c>
      <c r="CMP11" s="314" t="s">
        <v>203</v>
      </c>
      <c r="CMQ11" s="314" t="s">
        <v>203</v>
      </c>
      <c r="CMR11" s="314" t="s">
        <v>203</v>
      </c>
      <c r="CMS11" s="314" t="s">
        <v>203</v>
      </c>
      <c r="CMT11" s="314" t="s">
        <v>203</v>
      </c>
      <c r="CMU11" s="314" t="s">
        <v>203</v>
      </c>
      <c r="CMV11" s="314" t="s">
        <v>203</v>
      </c>
      <c r="CMW11" s="314" t="s">
        <v>203</v>
      </c>
      <c r="CMX11" s="314" t="s">
        <v>203</v>
      </c>
      <c r="CMY11" s="314" t="s">
        <v>203</v>
      </c>
      <c r="CMZ11" s="314" t="s">
        <v>203</v>
      </c>
      <c r="CNA11" s="314" t="s">
        <v>203</v>
      </c>
      <c r="CNB11" s="314" t="s">
        <v>203</v>
      </c>
      <c r="CNC11" s="314" t="s">
        <v>203</v>
      </c>
      <c r="CND11" s="314" t="s">
        <v>203</v>
      </c>
      <c r="CNE11" s="314" t="s">
        <v>203</v>
      </c>
      <c r="CNF11" s="314" t="s">
        <v>203</v>
      </c>
      <c r="CNG11" s="314" t="s">
        <v>203</v>
      </c>
      <c r="CNH11" s="314" t="s">
        <v>203</v>
      </c>
      <c r="CNI11" s="314" t="s">
        <v>203</v>
      </c>
      <c r="CNJ11" s="314" t="s">
        <v>203</v>
      </c>
      <c r="CNK11" s="314" t="s">
        <v>203</v>
      </c>
      <c r="CNL11" s="314" t="s">
        <v>203</v>
      </c>
      <c r="CNM11" s="314" t="s">
        <v>203</v>
      </c>
      <c r="CNN11" s="314" t="s">
        <v>203</v>
      </c>
      <c r="CNO11" s="314" t="s">
        <v>203</v>
      </c>
      <c r="CNP11" s="314" t="s">
        <v>203</v>
      </c>
      <c r="CNQ11" s="314" t="s">
        <v>203</v>
      </c>
      <c r="CNR11" s="314" t="s">
        <v>203</v>
      </c>
      <c r="CNS11" s="314" t="s">
        <v>203</v>
      </c>
      <c r="CNT11" s="314" t="s">
        <v>203</v>
      </c>
      <c r="CNU11" s="314" t="s">
        <v>203</v>
      </c>
      <c r="CNV11" s="314" t="s">
        <v>203</v>
      </c>
      <c r="CNW11" s="314" t="s">
        <v>203</v>
      </c>
      <c r="CNX11" s="314" t="s">
        <v>203</v>
      </c>
      <c r="CNY11" s="314" t="s">
        <v>203</v>
      </c>
      <c r="CNZ11" s="314" t="s">
        <v>203</v>
      </c>
      <c r="COA11" s="314" t="s">
        <v>203</v>
      </c>
      <c r="COB11" s="314" t="s">
        <v>203</v>
      </c>
      <c r="COC11" s="314" t="s">
        <v>203</v>
      </c>
      <c r="COD11" s="314" t="s">
        <v>203</v>
      </c>
      <c r="COE11" s="314" t="s">
        <v>203</v>
      </c>
      <c r="COF11" s="314" t="s">
        <v>203</v>
      </c>
      <c r="COG11" s="314" t="s">
        <v>203</v>
      </c>
      <c r="COH11" s="314" t="s">
        <v>203</v>
      </c>
      <c r="COI11" s="314" t="s">
        <v>203</v>
      </c>
      <c r="COJ11" s="314" t="s">
        <v>203</v>
      </c>
      <c r="COK11" s="314" t="s">
        <v>203</v>
      </c>
      <c r="COL11" s="314" t="s">
        <v>203</v>
      </c>
      <c r="COM11" s="314" t="s">
        <v>203</v>
      </c>
      <c r="CON11" s="314" t="s">
        <v>203</v>
      </c>
      <c r="COO11" s="314" t="s">
        <v>203</v>
      </c>
      <c r="COP11" s="314" t="s">
        <v>203</v>
      </c>
      <c r="COQ11" s="314" t="s">
        <v>203</v>
      </c>
      <c r="COR11" s="314" t="s">
        <v>203</v>
      </c>
      <c r="COS11" s="314" t="s">
        <v>203</v>
      </c>
      <c r="COT11" s="314" t="s">
        <v>203</v>
      </c>
      <c r="COU11" s="314" t="s">
        <v>203</v>
      </c>
      <c r="COV11" s="314" t="s">
        <v>203</v>
      </c>
      <c r="COW11" s="314" t="s">
        <v>203</v>
      </c>
      <c r="COX11" s="314" t="s">
        <v>203</v>
      </c>
      <c r="COY11" s="314" t="s">
        <v>203</v>
      </c>
      <c r="COZ11" s="314" t="s">
        <v>203</v>
      </c>
      <c r="CPA11" s="314" t="s">
        <v>203</v>
      </c>
      <c r="CPB11" s="314" t="s">
        <v>203</v>
      </c>
      <c r="CPC11" s="314" t="s">
        <v>203</v>
      </c>
      <c r="CPD11" s="314" t="s">
        <v>203</v>
      </c>
      <c r="CPE11" s="314" t="s">
        <v>203</v>
      </c>
      <c r="CPF11" s="314" t="s">
        <v>203</v>
      </c>
      <c r="CPG11" s="314" t="s">
        <v>203</v>
      </c>
      <c r="CPH11" s="314" t="s">
        <v>203</v>
      </c>
      <c r="CPI11" s="314" t="s">
        <v>203</v>
      </c>
      <c r="CPJ11" s="314" t="s">
        <v>203</v>
      </c>
      <c r="CPK11" s="314" t="s">
        <v>203</v>
      </c>
      <c r="CPL11" s="314" t="s">
        <v>203</v>
      </c>
      <c r="CPM11" s="314" t="s">
        <v>203</v>
      </c>
      <c r="CPN11" s="314" t="s">
        <v>203</v>
      </c>
      <c r="CPO11" s="314" t="s">
        <v>203</v>
      </c>
      <c r="CPP11" s="314" t="s">
        <v>203</v>
      </c>
      <c r="CPQ11" s="314" t="s">
        <v>203</v>
      </c>
      <c r="CPR11" s="314" t="s">
        <v>203</v>
      </c>
      <c r="CPS11" s="314" t="s">
        <v>203</v>
      </c>
      <c r="CPT11" s="314" t="s">
        <v>203</v>
      </c>
      <c r="CPU11" s="314" t="s">
        <v>203</v>
      </c>
      <c r="CPV11" s="314" t="s">
        <v>203</v>
      </c>
      <c r="CPW11" s="314" t="s">
        <v>203</v>
      </c>
      <c r="CPX11" s="314" t="s">
        <v>203</v>
      </c>
      <c r="CPY11" s="314" t="s">
        <v>203</v>
      </c>
      <c r="CPZ11" s="314" t="s">
        <v>203</v>
      </c>
      <c r="CQA11" s="314" t="s">
        <v>203</v>
      </c>
      <c r="CQB11" s="314" t="s">
        <v>203</v>
      </c>
      <c r="CQC11" s="314" t="s">
        <v>203</v>
      </c>
      <c r="CQD11" s="314" t="s">
        <v>203</v>
      </c>
      <c r="CQE11" s="314" t="s">
        <v>203</v>
      </c>
      <c r="CQF11" s="314" t="s">
        <v>203</v>
      </c>
      <c r="CQG11" s="314" t="s">
        <v>203</v>
      </c>
      <c r="CQH11" s="314" t="s">
        <v>203</v>
      </c>
      <c r="CQI11" s="314" t="s">
        <v>203</v>
      </c>
      <c r="CQJ11" s="314" t="s">
        <v>203</v>
      </c>
      <c r="CQK11" s="314" t="s">
        <v>203</v>
      </c>
      <c r="CQL11" s="314" t="s">
        <v>203</v>
      </c>
      <c r="CQM11" s="314" t="s">
        <v>203</v>
      </c>
      <c r="CQN11" s="314" t="s">
        <v>203</v>
      </c>
      <c r="CQO11" s="314" t="s">
        <v>203</v>
      </c>
      <c r="CQP11" s="314" t="s">
        <v>203</v>
      </c>
      <c r="CQQ11" s="314" t="s">
        <v>203</v>
      </c>
      <c r="CQR11" s="314" t="s">
        <v>203</v>
      </c>
      <c r="CQS11" s="314" t="s">
        <v>203</v>
      </c>
      <c r="CQT11" s="314" t="s">
        <v>203</v>
      </c>
      <c r="CQU11" s="314" t="s">
        <v>203</v>
      </c>
      <c r="CQV11" s="314" t="s">
        <v>203</v>
      </c>
      <c r="CQW11" s="314" t="s">
        <v>203</v>
      </c>
      <c r="CQX11" s="314" t="s">
        <v>203</v>
      </c>
      <c r="CQY11" s="314" t="s">
        <v>203</v>
      </c>
      <c r="CQZ11" s="314" t="s">
        <v>203</v>
      </c>
      <c r="CRA11" s="314" t="s">
        <v>203</v>
      </c>
      <c r="CRB11" s="314" t="s">
        <v>203</v>
      </c>
      <c r="CRC11" s="314" t="s">
        <v>203</v>
      </c>
      <c r="CRD11" s="314" t="s">
        <v>203</v>
      </c>
      <c r="CRE11" s="314" t="s">
        <v>203</v>
      </c>
      <c r="CRF11" s="314" t="s">
        <v>203</v>
      </c>
      <c r="CRG11" s="314" t="s">
        <v>203</v>
      </c>
      <c r="CRH11" s="314" t="s">
        <v>203</v>
      </c>
      <c r="CRI11" s="314" t="s">
        <v>203</v>
      </c>
      <c r="CRJ11" s="314" t="s">
        <v>203</v>
      </c>
      <c r="CRK11" s="314" t="s">
        <v>203</v>
      </c>
      <c r="CRL11" s="314" t="s">
        <v>203</v>
      </c>
      <c r="CRM11" s="314" t="s">
        <v>203</v>
      </c>
      <c r="CRN11" s="314" t="s">
        <v>203</v>
      </c>
      <c r="CRO11" s="314" t="s">
        <v>203</v>
      </c>
      <c r="CRP11" s="314" t="s">
        <v>203</v>
      </c>
      <c r="CRQ11" s="314" t="s">
        <v>203</v>
      </c>
      <c r="CRR11" s="314" t="s">
        <v>203</v>
      </c>
      <c r="CRS11" s="314" t="s">
        <v>203</v>
      </c>
      <c r="CRT11" s="314" t="s">
        <v>203</v>
      </c>
      <c r="CRU11" s="314" t="s">
        <v>203</v>
      </c>
      <c r="CRV11" s="314" t="s">
        <v>203</v>
      </c>
      <c r="CRW11" s="314" t="s">
        <v>203</v>
      </c>
      <c r="CRX11" s="314" t="s">
        <v>203</v>
      </c>
      <c r="CRY11" s="314" t="s">
        <v>203</v>
      </c>
      <c r="CRZ11" s="314" t="s">
        <v>203</v>
      </c>
      <c r="CSA11" s="314" t="s">
        <v>203</v>
      </c>
      <c r="CSB11" s="314" t="s">
        <v>203</v>
      </c>
      <c r="CSC11" s="314" t="s">
        <v>203</v>
      </c>
      <c r="CSD11" s="314" t="s">
        <v>203</v>
      </c>
      <c r="CSE11" s="314" t="s">
        <v>203</v>
      </c>
      <c r="CSF11" s="314" t="s">
        <v>203</v>
      </c>
      <c r="CSG11" s="314" t="s">
        <v>203</v>
      </c>
      <c r="CSH11" s="314" t="s">
        <v>203</v>
      </c>
      <c r="CSI11" s="314" t="s">
        <v>203</v>
      </c>
      <c r="CSJ11" s="314" t="s">
        <v>203</v>
      </c>
      <c r="CSK11" s="314" t="s">
        <v>203</v>
      </c>
      <c r="CSL11" s="314" t="s">
        <v>203</v>
      </c>
      <c r="CSM11" s="314" t="s">
        <v>203</v>
      </c>
      <c r="CSN11" s="314" t="s">
        <v>203</v>
      </c>
      <c r="CSO11" s="314" t="s">
        <v>203</v>
      </c>
      <c r="CSP11" s="314" t="s">
        <v>203</v>
      </c>
      <c r="CSQ11" s="314" t="s">
        <v>203</v>
      </c>
      <c r="CSR11" s="314" t="s">
        <v>203</v>
      </c>
      <c r="CSS11" s="314" t="s">
        <v>203</v>
      </c>
      <c r="CST11" s="314" t="s">
        <v>203</v>
      </c>
      <c r="CSU11" s="314" t="s">
        <v>203</v>
      </c>
      <c r="CSV11" s="314" t="s">
        <v>203</v>
      </c>
      <c r="CSW11" s="314" t="s">
        <v>203</v>
      </c>
      <c r="CSX11" s="314" t="s">
        <v>203</v>
      </c>
      <c r="CSY11" s="314" t="s">
        <v>203</v>
      </c>
      <c r="CSZ11" s="314" t="s">
        <v>203</v>
      </c>
      <c r="CTA11" s="314" t="s">
        <v>203</v>
      </c>
      <c r="CTB11" s="314" t="s">
        <v>203</v>
      </c>
      <c r="CTC11" s="314" t="s">
        <v>203</v>
      </c>
      <c r="CTD11" s="314" t="s">
        <v>203</v>
      </c>
      <c r="CTE11" s="314" t="s">
        <v>203</v>
      </c>
      <c r="CTF11" s="314" t="s">
        <v>203</v>
      </c>
      <c r="CTG11" s="314" t="s">
        <v>203</v>
      </c>
      <c r="CTH11" s="314" t="s">
        <v>203</v>
      </c>
      <c r="CTI11" s="314" t="s">
        <v>203</v>
      </c>
      <c r="CTJ11" s="314" t="s">
        <v>203</v>
      </c>
      <c r="CTK11" s="314" t="s">
        <v>203</v>
      </c>
      <c r="CTL11" s="314" t="s">
        <v>203</v>
      </c>
      <c r="CTM11" s="314" t="s">
        <v>203</v>
      </c>
      <c r="CTN11" s="314" t="s">
        <v>203</v>
      </c>
      <c r="CTO11" s="314" t="s">
        <v>203</v>
      </c>
      <c r="CTP11" s="314" t="s">
        <v>203</v>
      </c>
      <c r="CTQ11" s="314" t="s">
        <v>203</v>
      </c>
      <c r="CTR11" s="314" t="s">
        <v>203</v>
      </c>
      <c r="CTS11" s="314" t="s">
        <v>203</v>
      </c>
      <c r="CTT11" s="314" t="s">
        <v>203</v>
      </c>
      <c r="CTU11" s="314" t="s">
        <v>203</v>
      </c>
      <c r="CTV11" s="314" t="s">
        <v>203</v>
      </c>
      <c r="CTW11" s="314" t="s">
        <v>203</v>
      </c>
      <c r="CTX11" s="314" t="s">
        <v>203</v>
      </c>
      <c r="CTY11" s="314" t="s">
        <v>203</v>
      </c>
      <c r="CTZ11" s="314" t="s">
        <v>203</v>
      </c>
      <c r="CUA11" s="314" t="s">
        <v>203</v>
      </c>
      <c r="CUB11" s="314" t="s">
        <v>203</v>
      </c>
      <c r="CUC11" s="314" t="s">
        <v>203</v>
      </c>
      <c r="CUD11" s="314" t="s">
        <v>203</v>
      </c>
      <c r="CUE11" s="314" t="s">
        <v>203</v>
      </c>
      <c r="CUF11" s="314" t="s">
        <v>203</v>
      </c>
      <c r="CUG11" s="314" t="s">
        <v>203</v>
      </c>
      <c r="CUH11" s="314" t="s">
        <v>203</v>
      </c>
      <c r="CUI11" s="314" t="s">
        <v>203</v>
      </c>
      <c r="CUJ11" s="314" t="s">
        <v>203</v>
      </c>
      <c r="CUK11" s="314" t="s">
        <v>203</v>
      </c>
      <c r="CUL11" s="314" t="s">
        <v>203</v>
      </c>
      <c r="CUM11" s="314" t="s">
        <v>203</v>
      </c>
      <c r="CUN11" s="314" t="s">
        <v>203</v>
      </c>
      <c r="CUO11" s="314" t="s">
        <v>203</v>
      </c>
      <c r="CUP11" s="314" t="s">
        <v>203</v>
      </c>
      <c r="CUQ11" s="314" t="s">
        <v>203</v>
      </c>
      <c r="CUR11" s="314" t="s">
        <v>203</v>
      </c>
      <c r="CUS11" s="314" t="s">
        <v>203</v>
      </c>
      <c r="CUT11" s="314" t="s">
        <v>203</v>
      </c>
      <c r="CUU11" s="314" t="s">
        <v>203</v>
      </c>
      <c r="CUV11" s="314" t="s">
        <v>203</v>
      </c>
      <c r="CUW11" s="314" t="s">
        <v>203</v>
      </c>
      <c r="CUX11" s="314" t="s">
        <v>203</v>
      </c>
      <c r="CUY11" s="314" t="s">
        <v>203</v>
      </c>
      <c r="CUZ11" s="314" t="s">
        <v>203</v>
      </c>
      <c r="CVA11" s="314" t="s">
        <v>203</v>
      </c>
      <c r="CVB11" s="314" t="s">
        <v>203</v>
      </c>
      <c r="CVC11" s="314" t="s">
        <v>203</v>
      </c>
      <c r="CVD11" s="314" t="s">
        <v>203</v>
      </c>
      <c r="CVE11" s="314" t="s">
        <v>203</v>
      </c>
      <c r="CVF11" s="314" t="s">
        <v>203</v>
      </c>
      <c r="CVG11" s="314" t="s">
        <v>203</v>
      </c>
      <c r="CVH11" s="314" t="s">
        <v>203</v>
      </c>
      <c r="CVI11" s="314" t="s">
        <v>203</v>
      </c>
      <c r="CVJ11" s="314" t="s">
        <v>203</v>
      </c>
      <c r="CVK11" s="314" t="s">
        <v>203</v>
      </c>
      <c r="CVL11" s="314" t="s">
        <v>203</v>
      </c>
      <c r="CVM11" s="314" t="s">
        <v>203</v>
      </c>
      <c r="CVN11" s="314" t="s">
        <v>203</v>
      </c>
      <c r="CVO11" s="314" t="s">
        <v>203</v>
      </c>
      <c r="CVP11" s="314" t="s">
        <v>203</v>
      </c>
      <c r="CVQ11" s="314" t="s">
        <v>203</v>
      </c>
      <c r="CVR11" s="314" t="s">
        <v>203</v>
      </c>
      <c r="CVS11" s="314" t="s">
        <v>203</v>
      </c>
      <c r="CVT11" s="314" t="s">
        <v>203</v>
      </c>
      <c r="CVU11" s="314" t="s">
        <v>203</v>
      </c>
      <c r="CVV11" s="314" t="s">
        <v>203</v>
      </c>
      <c r="CVW11" s="314" t="s">
        <v>203</v>
      </c>
      <c r="CVX11" s="314" t="s">
        <v>203</v>
      </c>
      <c r="CVY11" s="314" t="s">
        <v>203</v>
      </c>
      <c r="CVZ11" s="314" t="s">
        <v>203</v>
      </c>
      <c r="CWA11" s="314" t="s">
        <v>203</v>
      </c>
      <c r="CWB11" s="314" t="s">
        <v>203</v>
      </c>
      <c r="CWC11" s="314" t="s">
        <v>203</v>
      </c>
      <c r="CWD11" s="314" t="s">
        <v>203</v>
      </c>
      <c r="CWE11" s="314" t="s">
        <v>203</v>
      </c>
      <c r="CWF11" s="314" t="s">
        <v>203</v>
      </c>
      <c r="CWG11" s="314" t="s">
        <v>203</v>
      </c>
      <c r="CWH11" s="314" t="s">
        <v>203</v>
      </c>
      <c r="CWI11" s="314" t="s">
        <v>203</v>
      </c>
      <c r="CWJ11" s="314" t="s">
        <v>203</v>
      </c>
      <c r="CWK11" s="314" t="s">
        <v>203</v>
      </c>
      <c r="CWL11" s="314" t="s">
        <v>203</v>
      </c>
      <c r="CWM11" s="314" t="s">
        <v>203</v>
      </c>
      <c r="CWN11" s="314" t="s">
        <v>203</v>
      </c>
      <c r="CWO11" s="314" t="s">
        <v>203</v>
      </c>
      <c r="CWP11" s="314" t="s">
        <v>203</v>
      </c>
      <c r="CWQ11" s="314" t="s">
        <v>203</v>
      </c>
      <c r="CWR11" s="314" t="s">
        <v>203</v>
      </c>
      <c r="CWS11" s="314" t="s">
        <v>203</v>
      </c>
      <c r="CWT11" s="314" t="s">
        <v>203</v>
      </c>
      <c r="CWU11" s="314" t="s">
        <v>203</v>
      </c>
      <c r="CWV11" s="314" t="s">
        <v>203</v>
      </c>
      <c r="CWW11" s="314" t="s">
        <v>203</v>
      </c>
      <c r="CWX11" s="314" t="s">
        <v>203</v>
      </c>
      <c r="CWY11" s="314" t="s">
        <v>203</v>
      </c>
      <c r="CWZ11" s="314" t="s">
        <v>203</v>
      </c>
      <c r="CXA11" s="314" t="s">
        <v>203</v>
      </c>
      <c r="CXB11" s="314" t="s">
        <v>203</v>
      </c>
      <c r="CXC11" s="314" t="s">
        <v>203</v>
      </c>
      <c r="CXD11" s="314" t="s">
        <v>203</v>
      </c>
      <c r="CXE11" s="314" t="s">
        <v>203</v>
      </c>
      <c r="CXF11" s="314" t="s">
        <v>203</v>
      </c>
      <c r="CXG11" s="314" t="s">
        <v>203</v>
      </c>
      <c r="CXH11" s="314" t="s">
        <v>203</v>
      </c>
      <c r="CXI11" s="314" t="s">
        <v>203</v>
      </c>
      <c r="CXJ11" s="314" t="s">
        <v>203</v>
      </c>
      <c r="CXK11" s="314" t="s">
        <v>203</v>
      </c>
      <c r="CXL11" s="314" t="s">
        <v>203</v>
      </c>
      <c r="CXM11" s="314" t="s">
        <v>203</v>
      </c>
      <c r="CXN11" s="314" t="s">
        <v>203</v>
      </c>
      <c r="CXO11" s="314" t="s">
        <v>203</v>
      </c>
      <c r="CXP11" s="314" t="s">
        <v>203</v>
      </c>
      <c r="CXQ11" s="314" t="s">
        <v>203</v>
      </c>
      <c r="CXR11" s="314" t="s">
        <v>203</v>
      </c>
      <c r="CXS11" s="314" t="s">
        <v>203</v>
      </c>
      <c r="CXT11" s="314" t="s">
        <v>203</v>
      </c>
      <c r="CXU11" s="314" t="s">
        <v>203</v>
      </c>
      <c r="CXV11" s="314" t="s">
        <v>203</v>
      </c>
      <c r="CXW11" s="314" t="s">
        <v>203</v>
      </c>
      <c r="CXX11" s="314" t="s">
        <v>203</v>
      </c>
      <c r="CXY11" s="314" t="s">
        <v>203</v>
      </c>
      <c r="CXZ11" s="314" t="s">
        <v>203</v>
      </c>
      <c r="CYA11" s="314" t="s">
        <v>203</v>
      </c>
      <c r="CYB11" s="314" t="s">
        <v>203</v>
      </c>
      <c r="CYC11" s="314" t="s">
        <v>203</v>
      </c>
      <c r="CYD11" s="314" t="s">
        <v>203</v>
      </c>
      <c r="CYE11" s="314" t="s">
        <v>203</v>
      </c>
      <c r="CYF11" s="314" t="s">
        <v>203</v>
      </c>
      <c r="CYG11" s="314" t="s">
        <v>203</v>
      </c>
      <c r="CYH11" s="314" t="s">
        <v>203</v>
      </c>
      <c r="CYI11" s="314" t="s">
        <v>203</v>
      </c>
      <c r="CYJ11" s="314" t="s">
        <v>203</v>
      </c>
      <c r="CYK11" s="314" t="s">
        <v>203</v>
      </c>
      <c r="CYL11" s="314" t="s">
        <v>203</v>
      </c>
      <c r="CYM11" s="314" t="s">
        <v>203</v>
      </c>
      <c r="CYN11" s="314" t="s">
        <v>203</v>
      </c>
      <c r="CYO11" s="314" t="s">
        <v>203</v>
      </c>
      <c r="CYP11" s="314" t="s">
        <v>203</v>
      </c>
      <c r="CYQ11" s="314" t="s">
        <v>203</v>
      </c>
      <c r="CYR11" s="314" t="s">
        <v>203</v>
      </c>
      <c r="CYS11" s="314" t="s">
        <v>203</v>
      </c>
      <c r="CYT11" s="314" t="s">
        <v>203</v>
      </c>
      <c r="CYU11" s="314" t="s">
        <v>203</v>
      </c>
      <c r="CYV11" s="314" t="s">
        <v>203</v>
      </c>
      <c r="CYW11" s="314" t="s">
        <v>203</v>
      </c>
      <c r="CYX11" s="314" t="s">
        <v>203</v>
      </c>
      <c r="CYY11" s="314" t="s">
        <v>203</v>
      </c>
      <c r="CYZ11" s="314" t="s">
        <v>203</v>
      </c>
      <c r="CZA11" s="314" t="s">
        <v>203</v>
      </c>
      <c r="CZB11" s="314" t="s">
        <v>203</v>
      </c>
      <c r="CZC11" s="314" t="s">
        <v>203</v>
      </c>
      <c r="CZD11" s="314" t="s">
        <v>203</v>
      </c>
      <c r="CZE11" s="314" t="s">
        <v>203</v>
      </c>
      <c r="CZF11" s="314" t="s">
        <v>203</v>
      </c>
      <c r="CZG11" s="314" t="s">
        <v>203</v>
      </c>
      <c r="CZH11" s="314" t="s">
        <v>203</v>
      </c>
      <c r="CZI11" s="314" t="s">
        <v>203</v>
      </c>
      <c r="CZJ11" s="314" t="s">
        <v>203</v>
      </c>
      <c r="CZK11" s="314" t="s">
        <v>203</v>
      </c>
      <c r="CZL11" s="314" t="s">
        <v>203</v>
      </c>
      <c r="CZM11" s="314" t="s">
        <v>203</v>
      </c>
      <c r="CZN11" s="314" t="s">
        <v>203</v>
      </c>
      <c r="CZO11" s="314" t="s">
        <v>203</v>
      </c>
      <c r="CZP11" s="314" t="s">
        <v>203</v>
      </c>
      <c r="CZQ11" s="314" t="s">
        <v>203</v>
      </c>
      <c r="CZR11" s="314" t="s">
        <v>203</v>
      </c>
      <c r="CZS11" s="314" t="s">
        <v>203</v>
      </c>
      <c r="CZT11" s="314" t="s">
        <v>203</v>
      </c>
      <c r="CZU11" s="314" t="s">
        <v>203</v>
      </c>
      <c r="CZV11" s="314" t="s">
        <v>203</v>
      </c>
      <c r="CZW11" s="314" t="s">
        <v>203</v>
      </c>
      <c r="CZX11" s="314" t="s">
        <v>203</v>
      </c>
      <c r="CZY11" s="314" t="s">
        <v>203</v>
      </c>
      <c r="CZZ11" s="314" t="s">
        <v>203</v>
      </c>
      <c r="DAA11" s="314" t="s">
        <v>203</v>
      </c>
      <c r="DAB11" s="314" t="s">
        <v>203</v>
      </c>
      <c r="DAC11" s="314" t="s">
        <v>203</v>
      </c>
      <c r="DAD11" s="314" t="s">
        <v>203</v>
      </c>
      <c r="DAE11" s="314" t="s">
        <v>203</v>
      </c>
      <c r="DAF11" s="314" t="s">
        <v>203</v>
      </c>
      <c r="DAG11" s="314" t="s">
        <v>203</v>
      </c>
      <c r="DAH11" s="314" t="s">
        <v>203</v>
      </c>
      <c r="DAI11" s="314" t="s">
        <v>203</v>
      </c>
      <c r="DAJ11" s="314" t="s">
        <v>203</v>
      </c>
      <c r="DAK11" s="314" t="s">
        <v>203</v>
      </c>
      <c r="DAL11" s="314" t="s">
        <v>203</v>
      </c>
      <c r="DAM11" s="314" t="s">
        <v>203</v>
      </c>
      <c r="DAN11" s="314" t="s">
        <v>203</v>
      </c>
      <c r="DAO11" s="314" t="s">
        <v>203</v>
      </c>
      <c r="DAP11" s="314" t="s">
        <v>203</v>
      </c>
      <c r="DAQ11" s="314" t="s">
        <v>203</v>
      </c>
      <c r="DAR11" s="314" t="s">
        <v>203</v>
      </c>
      <c r="DAS11" s="314" t="s">
        <v>203</v>
      </c>
      <c r="DAT11" s="314" t="s">
        <v>203</v>
      </c>
      <c r="DAU11" s="314" t="s">
        <v>203</v>
      </c>
      <c r="DAV11" s="314" t="s">
        <v>203</v>
      </c>
      <c r="DAW11" s="314" t="s">
        <v>203</v>
      </c>
      <c r="DAX11" s="314" t="s">
        <v>203</v>
      </c>
      <c r="DAY11" s="314" t="s">
        <v>203</v>
      </c>
      <c r="DAZ11" s="314" t="s">
        <v>203</v>
      </c>
      <c r="DBA11" s="314" t="s">
        <v>203</v>
      </c>
      <c r="DBB11" s="314" t="s">
        <v>203</v>
      </c>
      <c r="DBC11" s="314" t="s">
        <v>203</v>
      </c>
      <c r="DBD11" s="314" t="s">
        <v>203</v>
      </c>
      <c r="DBE11" s="314" t="s">
        <v>203</v>
      </c>
      <c r="DBF11" s="314" t="s">
        <v>203</v>
      </c>
      <c r="DBG11" s="314" t="s">
        <v>203</v>
      </c>
      <c r="DBH11" s="314" t="s">
        <v>203</v>
      </c>
      <c r="DBI11" s="314" t="s">
        <v>203</v>
      </c>
      <c r="DBJ11" s="314" t="s">
        <v>203</v>
      </c>
      <c r="DBK11" s="314" t="s">
        <v>203</v>
      </c>
      <c r="DBL11" s="314" t="s">
        <v>203</v>
      </c>
      <c r="DBM11" s="314" t="s">
        <v>203</v>
      </c>
      <c r="DBN11" s="314" t="s">
        <v>203</v>
      </c>
      <c r="DBO11" s="314" t="s">
        <v>203</v>
      </c>
      <c r="DBP11" s="314" t="s">
        <v>203</v>
      </c>
      <c r="DBQ11" s="314" t="s">
        <v>203</v>
      </c>
      <c r="DBR11" s="314" t="s">
        <v>203</v>
      </c>
      <c r="DBS11" s="314" t="s">
        <v>203</v>
      </c>
      <c r="DBT11" s="314" t="s">
        <v>203</v>
      </c>
      <c r="DBU11" s="314" t="s">
        <v>203</v>
      </c>
      <c r="DBV11" s="314" t="s">
        <v>203</v>
      </c>
      <c r="DBW11" s="314" t="s">
        <v>203</v>
      </c>
      <c r="DBX11" s="314" t="s">
        <v>203</v>
      </c>
      <c r="DBY11" s="314" t="s">
        <v>203</v>
      </c>
      <c r="DBZ11" s="314" t="s">
        <v>203</v>
      </c>
      <c r="DCA11" s="314" t="s">
        <v>203</v>
      </c>
      <c r="DCB11" s="314" t="s">
        <v>203</v>
      </c>
      <c r="DCC11" s="314" t="s">
        <v>203</v>
      </c>
      <c r="DCD11" s="314" t="s">
        <v>203</v>
      </c>
      <c r="DCE11" s="314" t="s">
        <v>203</v>
      </c>
      <c r="DCF11" s="314" t="s">
        <v>203</v>
      </c>
      <c r="DCG11" s="314" t="s">
        <v>203</v>
      </c>
      <c r="DCH11" s="314" t="s">
        <v>203</v>
      </c>
      <c r="DCI11" s="314" t="s">
        <v>203</v>
      </c>
      <c r="DCJ11" s="314" t="s">
        <v>203</v>
      </c>
      <c r="DCK11" s="314" t="s">
        <v>203</v>
      </c>
      <c r="DCL11" s="314" t="s">
        <v>203</v>
      </c>
      <c r="DCM11" s="314" t="s">
        <v>203</v>
      </c>
      <c r="DCN11" s="314" t="s">
        <v>203</v>
      </c>
      <c r="DCO11" s="314" t="s">
        <v>203</v>
      </c>
      <c r="DCP11" s="314" t="s">
        <v>203</v>
      </c>
      <c r="DCQ11" s="314" t="s">
        <v>203</v>
      </c>
      <c r="DCR11" s="314" t="s">
        <v>203</v>
      </c>
      <c r="DCS11" s="314" t="s">
        <v>203</v>
      </c>
      <c r="DCT11" s="314" t="s">
        <v>203</v>
      </c>
      <c r="DCU11" s="314" t="s">
        <v>203</v>
      </c>
      <c r="DCV11" s="314" t="s">
        <v>203</v>
      </c>
      <c r="DCW11" s="314" t="s">
        <v>203</v>
      </c>
      <c r="DCX11" s="314" t="s">
        <v>203</v>
      </c>
      <c r="DCY11" s="314" t="s">
        <v>203</v>
      </c>
      <c r="DCZ11" s="314" t="s">
        <v>203</v>
      </c>
      <c r="DDA11" s="314" t="s">
        <v>203</v>
      </c>
      <c r="DDB11" s="314" t="s">
        <v>203</v>
      </c>
      <c r="DDC11" s="314" t="s">
        <v>203</v>
      </c>
      <c r="DDD11" s="314" t="s">
        <v>203</v>
      </c>
      <c r="DDE11" s="314" t="s">
        <v>203</v>
      </c>
      <c r="DDF11" s="314" t="s">
        <v>203</v>
      </c>
      <c r="DDG11" s="314" t="s">
        <v>203</v>
      </c>
      <c r="DDH11" s="314" t="s">
        <v>203</v>
      </c>
      <c r="DDI11" s="314" t="s">
        <v>203</v>
      </c>
      <c r="DDJ11" s="314" t="s">
        <v>203</v>
      </c>
      <c r="DDK11" s="314" t="s">
        <v>203</v>
      </c>
      <c r="DDL11" s="314" t="s">
        <v>203</v>
      </c>
      <c r="DDM11" s="314" t="s">
        <v>203</v>
      </c>
      <c r="DDN11" s="314" t="s">
        <v>203</v>
      </c>
      <c r="DDO11" s="314" t="s">
        <v>203</v>
      </c>
      <c r="DDP11" s="314" t="s">
        <v>203</v>
      </c>
      <c r="DDQ11" s="314" t="s">
        <v>203</v>
      </c>
      <c r="DDR11" s="314" t="s">
        <v>203</v>
      </c>
      <c r="DDS11" s="314" t="s">
        <v>203</v>
      </c>
      <c r="DDT11" s="314" t="s">
        <v>203</v>
      </c>
      <c r="DDU11" s="314" t="s">
        <v>203</v>
      </c>
      <c r="DDV11" s="314" t="s">
        <v>203</v>
      </c>
      <c r="DDW11" s="314" t="s">
        <v>203</v>
      </c>
      <c r="DDX11" s="314" t="s">
        <v>203</v>
      </c>
      <c r="DDY11" s="314" t="s">
        <v>203</v>
      </c>
      <c r="DDZ11" s="314" t="s">
        <v>203</v>
      </c>
      <c r="DEA11" s="314" t="s">
        <v>203</v>
      </c>
      <c r="DEB11" s="314" t="s">
        <v>203</v>
      </c>
      <c r="DEC11" s="314" t="s">
        <v>203</v>
      </c>
      <c r="DED11" s="314" t="s">
        <v>203</v>
      </c>
      <c r="DEE11" s="314" t="s">
        <v>203</v>
      </c>
      <c r="DEF11" s="314" t="s">
        <v>203</v>
      </c>
      <c r="DEG11" s="314" t="s">
        <v>203</v>
      </c>
      <c r="DEH11" s="314" t="s">
        <v>203</v>
      </c>
      <c r="DEI11" s="314" t="s">
        <v>203</v>
      </c>
      <c r="DEJ11" s="314" t="s">
        <v>203</v>
      </c>
      <c r="DEK11" s="314" t="s">
        <v>203</v>
      </c>
      <c r="DEL11" s="314" t="s">
        <v>203</v>
      </c>
      <c r="DEM11" s="314" t="s">
        <v>203</v>
      </c>
      <c r="DEN11" s="314" t="s">
        <v>203</v>
      </c>
      <c r="DEO11" s="314" t="s">
        <v>203</v>
      </c>
      <c r="DEP11" s="314" t="s">
        <v>203</v>
      </c>
      <c r="DEQ11" s="314" t="s">
        <v>203</v>
      </c>
      <c r="DER11" s="314" t="s">
        <v>203</v>
      </c>
      <c r="DES11" s="314" t="s">
        <v>203</v>
      </c>
      <c r="DET11" s="314" t="s">
        <v>203</v>
      </c>
      <c r="DEU11" s="314" t="s">
        <v>203</v>
      </c>
      <c r="DEV11" s="314" t="s">
        <v>203</v>
      </c>
      <c r="DEW11" s="314" t="s">
        <v>203</v>
      </c>
      <c r="DEX11" s="314" t="s">
        <v>203</v>
      </c>
      <c r="DEY11" s="314" t="s">
        <v>203</v>
      </c>
      <c r="DEZ11" s="314" t="s">
        <v>203</v>
      </c>
      <c r="DFA11" s="314" t="s">
        <v>203</v>
      </c>
      <c r="DFB11" s="314" t="s">
        <v>203</v>
      </c>
      <c r="DFC11" s="314" t="s">
        <v>203</v>
      </c>
      <c r="DFD11" s="314" t="s">
        <v>203</v>
      </c>
      <c r="DFE11" s="314" t="s">
        <v>203</v>
      </c>
      <c r="DFF11" s="314" t="s">
        <v>203</v>
      </c>
      <c r="DFG11" s="314" t="s">
        <v>203</v>
      </c>
      <c r="DFH11" s="314" t="s">
        <v>203</v>
      </c>
      <c r="DFI11" s="314" t="s">
        <v>203</v>
      </c>
      <c r="DFJ11" s="314" t="s">
        <v>203</v>
      </c>
      <c r="DFK11" s="314" t="s">
        <v>203</v>
      </c>
      <c r="DFL11" s="314" t="s">
        <v>203</v>
      </c>
      <c r="DFM11" s="314" t="s">
        <v>203</v>
      </c>
      <c r="DFN11" s="314" t="s">
        <v>203</v>
      </c>
      <c r="DFO11" s="314" t="s">
        <v>203</v>
      </c>
      <c r="DFP11" s="314" t="s">
        <v>203</v>
      </c>
      <c r="DFQ11" s="314" t="s">
        <v>203</v>
      </c>
      <c r="DFR11" s="314" t="s">
        <v>203</v>
      </c>
      <c r="DFS11" s="314" t="s">
        <v>203</v>
      </c>
      <c r="DFT11" s="314" t="s">
        <v>203</v>
      </c>
      <c r="DFU11" s="314" t="s">
        <v>203</v>
      </c>
      <c r="DFV11" s="314" t="s">
        <v>203</v>
      </c>
      <c r="DFW11" s="314" t="s">
        <v>203</v>
      </c>
      <c r="DFX11" s="314" t="s">
        <v>203</v>
      </c>
      <c r="DFY11" s="314" t="s">
        <v>203</v>
      </c>
      <c r="DFZ11" s="314" t="s">
        <v>203</v>
      </c>
      <c r="DGA11" s="314" t="s">
        <v>203</v>
      </c>
      <c r="DGB11" s="314" t="s">
        <v>203</v>
      </c>
      <c r="DGC11" s="314" t="s">
        <v>203</v>
      </c>
      <c r="DGD11" s="314" t="s">
        <v>203</v>
      </c>
      <c r="DGE11" s="314" t="s">
        <v>203</v>
      </c>
      <c r="DGF11" s="314" t="s">
        <v>203</v>
      </c>
      <c r="DGG11" s="314" t="s">
        <v>203</v>
      </c>
      <c r="DGH11" s="314" t="s">
        <v>203</v>
      </c>
      <c r="DGI11" s="314" t="s">
        <v>203</v>
      </c>
      <c r="DGJ11" s="314" t="s">
        <v>203</v>
      </c>
      <c r="DGK11" s="314" t="s">
        <v>203</v>
      </c>
      <c r="DGL11" s="314" t="s">
        <v>203</v>
      </c>
      <c r="DGM11" s="314" t="s">
        <v>203</v>
      </c>
      <c r="DGN11" s="314" t="s">
        <v>203</v>
      </c>
      <c r="DGO11" s="314" t="s">
        <v>203</v>
      </c>
      <c r="DGP11" s="314" t="s">
        <v>203</v>
      </c>
      <c r="DGQ11" s="314" t="s">
        <v>203</v>
      </c>
      <c r="DGR11" s="314" t="s">
        <v>203</v>
      </c>
      <c r="DGS11" s="314" t="s">
        <v>203</v>
      </c>
      <c r="DGT11" s="314" t="s">
        <v>203</v>
      </c>
      <c r="DGU11" s="314" t="s">
        <v>203</v>
      </c>
      <c r="DGV11" s="314" t="s">
        <v>203</v>
      </c>
      <c r="DGW11" s="314" t="s">
        <v>203</v>
      </c>
      <c r="DGX11" s="314" t="s">
        <v>203</v>
      </c>
      <c r="DGY11" s="314" t="s">
        <v>203</v>
      </c>
      <c r="DGZ11" s="314" t="s">
        <v>203</v>
      </c>
      <c r="DHA11" s="314" t="s">
        <v>203</v>
      </c>
      <c r="DHB11" s="314" t="s">
        <v>203</v>
      </c>
      <c r="DHC11" s="314" t="s">
        <v>203</v>
      </c>
      <c r="DHD11" s="314" t="s">
        <v>203</v>
      </c>
      <c r="DHE11" s="314" t="s">
        <v>203</v>
      </c>
      <c r="DHF11" s="314" t="s">
        <v>203</v>
      </c>
      <c r="DHG11" s="314" t="s">
        <v>203</v>
      </c>
      <c r="DHH11" s="314" t="s">
        <v>203</v>
      </c>
      <c r="DHI11" s="314" t="s">
        <v>203</v>
      </c>
      <c r="DHJ11" s="314" t="s">
        <v>203</v>
      </c>
      <c r="DHK11" s="314" t="s">
        <v>203</v>
      </c>
      <c r="DHL11" s="314" t="s">
        <v>203</v>
      </c>
      <c r="DHM11" s="314" t="s">
        <v>203</v>
      </c>
      <c r="DHN11" s="314" t="s">
        <v>203</v>
      </c>
      <c r="DHO11" s="314" t="s">
        <v>203</v>
      </c>
      <c r="DHP11" s="314" t="s">
        <v>203</v>
      </c>
      <c r="DHQ11" s="314" t="s">
        <v>203</v>
      </c>
      <c r="DHR11" s="314" t="s">
        <v>203</v>
      </c>
      <c r="DHS11" s="314" t="s">
        <v>203</v>
      </c>
      <c r="DHT11" s="314" t="s">
        <v>203</v>
      </c>
      <c r="DHU11" s="314" t="s">
        <v>203</v>
      </c>
      <c r="DHV11" s="314" t="s">
        <v>203</v>
      </c>
      <c r="DHW11" s="314" t="s">
        <v>203</v>
      </c>
      <c r="DHX11" s="314" t="s">
        <v>203</v>
      </c>
      <c r="DHY11" s="314" t="s">
        <v>203</v>
      </c>
      <c r="DHZ11" s="314" t="s">
        <v>203</v>
      </c>
      <c r="DIA11" s="314" t="s">
        <v>203</v>
      </c>
      <c r="DIB11" s="314" t="s">
        <v>203</v>
      </c>
      <c r="DIC11" s="314" t="s">
        <v>203</v>
      </c>
      <c r="DID11" s="314" t="s">
        <v>203</v>
      </c>
      <c r="DIE11" s="314" t="s">
        <v>203</v>
      </c>
      <c r="DIF11" s="314" t="s">
        <v>203</v>
      </c>
      <c r="DIG11" s="314" t="s">
        <v>203</v>
      </c>
      <c r="DIH11" s="314" t="s">
        <v>203</v>
      </c>
      <c r="DII11" s="314" t="s">
        <v>203</v>
      </c>
      <c r="DIJ11" s="314" t="s">
        <v>203</v>
      </c>
      <c r="DIK11" s="314" t="s">
        <v>203</v>
      </c>
      <c r="DIL11" s="314" t="s">
        <v>203</v>
      </c>
      <c r="DIM11" s="314" t="s">
        <v>203</v>
      </c>
      <c r="DIN11" s="314" t="s">
        <v>203</v>
      </c>
      <c r="DIO11" s="314" t="s">
        <v>203</v>
      </c>
      <c r="DIP11" s="314" t="s">
        <v>203</v>
      </c>
      <c r="DIQ11" s="314" t="s">
        <v>203</v>
      </c>
      <c r="DIR11" s="314" t="s">
        <v>203</v>
      </c>
      <c r="DIS11" s="314" t="s">
        <v>203</v>
      </c>
      <c r="DIT11" s="314" t="s">
        <v>203</v>
      </c>
      <c r="DIU11" s="314" t="s">
        <v>203</v>
      </c>
      <c r="DIV11" s="314" t="s">
        <v>203</v>
      </c>
      <c r="DIW11" s="314" t="s">
        <v>203</v>
      </c>
      <c r="DIX11" s="314" t="s">
        <v>203</v>
      </c>
      <c r="DIY11" s="314" t="s">
        <v>203</v>
      </c>
      <c r="DIZ11" s="314" t="s">
        <v>203</v>
      </c>
      <c r="DJA11" s="314" t="s">
        <v>203</v>
      </c>
      <c r="DJB11" s="314" t="s">
        <v>203</v>
      </c>
      <c r="DJC11" s="314" t="s">
        <v>203</v>
      </c>
      <c r="DJD11" s="314" t="s">
        <v>203</v>
      </c>
      <c r="DJE11" s="314" t="s">
        <v>203</v>
      </c>
      <c r="DJF11" s="314" t="s">
        <v>203</v>
      </c>
      <c r="DJG11" s="314" t="s">
        <v>203</v>
      </c>
      <c r="DJH11" s="314" t="s">
        <v>203</v>
      </c>
      <c r="DJI11" s="314" t="s">
        <v>203</v>
      </c>
      <c r="DJJ11" s="314" t="s">
        <v>203</v>
      </c>
      <c r="DJK11" s="314" t="s">
        <v>203</v>
      </c>
      <c r="DJL11" s="314" t="s">
        <v>203</v>
      </c>
      <c r="DJM11" s="314" t="s">
        <v>203</v>
      </c>
      <c r="DJN11" s="314" t="s">
        <v>203</v>
      </c>
      <c r="DJO11" s="314" t="s">
        <v>203</v>
      </c>
      <c r="DJP11" s="314" t="s">
        <v>203</v>
      </c>
      <c r="DJQ11" s="314" t="s">
        <v>203</v>
      </c>
      <c r="DJR11" s="314" t="s">
        <v>203</v>
      </c>
      <c r="DJS11" s="314" t="s">
        <v>203</v>
      </c>
      <c r="DJT11" s="314" t="s">
        <v>203</v>
      </c>
      <c r="DJU11" s="314" t="s">
        <v>203</v>
      </c>
      <c r="DJV11" s="314" t="s">
        <v>203</v>
      </c>
      <c r="DJW11" s="314" t="s">
        <v>203</v>
      </c>
      <c r="DJX11" s="314" t="s">
        <v>203</v>
      </c>
      <c r="DJY11" s="314" t="s">
        <v>203</v>
      </c>
      <c r="DJZ11" s="314" t="s">
        <v>203</v>
      </c>
      <c r="DKA11" s="314" t="s">
        <v>203</v>
      </c>
      <c r="DKB11" s="314" t="s">
        <v>203</v>
      </c>
      <c r="DKC11" s="314" t="s">
        <v>203</v>
      </c>
      <c r="DKD11" s="314" t="s">
        <v>203</v>
      </c>
      <c r="DKE11" s="314" t="s">
        <v>203</v>
      </c>
      <c r="DKF11" s="314" t="s">
        <v>203</v>
      </c>
      <c r="DKG11" s="314" t="s">
        <v>203</v>
      </c>
      <c r="DKH11" s="314" t="s">
        <v>203</v>
      </c>
      <c r="DKI11" s="314" t="s">
        <v>203</v>
      </c>
      <c r="DKJ11" s="314" t="s">
        <v>203</v>
      </c>
      <c r="DKK11" s="314" t="s">
        <v>203</v>
      </c>
      <c r="DKL11" s="314" t="s">
        <v>203</v>
      </c>
      <c r="DKM11" s="314" t="s">
        <v>203</v>
      </c>
      <c r="DKN11" s="314" t="s">
        <v>203</v>
      </c>
      <c r="DKO11" s="314" t="s">
        <v>203</v>
      </c>
      <c r="DKP11" s="314" t="s">
        <v>203</v>
      </c>
      <c r="DKQ11" s="314" t="s">
        <v>203</v>
      </c>
      <c r="DKR11" s="314" t="s">
        <v>203</v>
      </c>
      <c r="DKS11" s="314" t="s">
        <v>203</v>
      </c>
      <c r="DKT11" s="314" t="s">
        <v>203</v>
      </c>
      <c r="DKU11" s="314" t="s">
        <v>203</v>
      </c>
      <c r="DKV11" s="314" t="s">
        <v>203</v>
      </c>
      <c r="DKW11" s="314" t="s">
        <v>203</v>
      </c>
      <c r="DKX11" s="314" t="s">
        <v>203</v>
      </c>
      <c r="DKY11" s="314" t="s">
        <v>203</v>
      </c>
      <c r="DKZ11" s="314" t="s">
        <v>203</v>
      </c>
      <c r="DLA11" s="314" t="s">
        <v>203</v>
      </c>
      <c r="DLB11" s="314" t="s">
        <v>203</v>
      </c>
      <c r="DLC11" s="314" t="s">
        <v>203</v>
      </c>
      <c r="DLD11" s="314" t="s">
        <v>203</v>
      </c>
      <c r="DLE11" s="314" t="s">
        <v>203</v>
      </c>
      <c r="DLF11" s="314" t="s">
        <v>203</v>
      </c>
      <c r="DLG11" s="314" t="s">
        <v>203</v>
      </c>
      <c r="DLH11" s="314" t="s">
        <v>203</v>
      </c>
      <c r="DLI11" s="314" t="s">
        <v>203</v>
      </c>
      <c r="DLJ11" s="314" t="s">
        <v>203</v>
      </c>
      <c r="DLK11" s="314" t="s">
        <v>203</v>
      </c>
      <c r="DLL11" s="314" t="s">
        <v>203</v>
      </c>
      <c r="DLM11" s="314" t="s">
        <v>203</v>
      </c>
      <c r="DLN11" s="314" t="s">
        <v>203</v>
      </c>
      <c r="DLO11" s="314" t="s">
        <v>203</v>
      </c>
      <c r="DLP11" s="314" t="s">
        <v>203</v>
      </c>
      <c r="DLQ11" s="314" t="s">
        <v>203</v>
      </c>
      <c r="DLR11" s="314" t="s">
        <v>203</v>
      </c>
      <c r="DLS11" s="314" t="s">
        <v>203</v>
      </c>
      <c r="DLT11" s="314" t="s">
        <v>203</v>
      </c>
      <c r="DLU11" s="314" t="s">
        <v>203</v>
      </c>
      <c r="DLV11" s="314" t="s">
        <v>203</v>
      </c>
      <c r="DLW11" s="314" t="s">
        <v>203</v>
      </c>
      <c r="DLX11" s="314" t="s">
        <v>203</v>
      </c>
      <c r="DLY11" s="314" t="s">
        <v>203</v>
      </c>
      <c r="DLZ11" s="314" t="s">
        <v>203</v>
      </c>
      <c r="DMA11" s="314" t="s">
        <v>203</v>
      </c>
      <c r="DMB11" s="314" t="s">
        <v>203</v>
      </c>
      <c r="DMC11" s="314" t="s">
        <v>203</v>
      </c>
      <c r="DMD11" s="314" t="s">
        <v>203</v>
      </c>
      <c r="DME11" s="314" t="s">
        <v>203</v>
      </c>
      <c r="DMF11" s="314" t="s">
        <v>203</v>
      </c>
      <c r="DMG11" s="314" t="s">
        <v>203</v>
      </c>
      <c r="DMH11" s="314" t="s">
        <v>203</v>
      </c>
      <c r="DMI11" s="314" t="s">
        <v>203</v>
      </c>
      <c r="DMJ11" s="314" t="s">
        <v>203</v>
      </c>
      <c r="DMK11" s="314" t="s">
        <v>203</v>
      </c>
      <c r="DML11" s="314" t="s">
        <v>203</v>
      </c>
      <c r="DMM11" s="314" t="s">
        <v>203</v>
      </c>
      <c r="DMN11" s="314" t="s">
        <v>203</v>
      </c>
      <c r="DMO11" s="314" t="s">
        <v>203</v>
      </c>
      <c r="DMP11" s="314" t="s">
        <v>203</v>
      </c>
      <c r="DMQ11" s="314" t="s">
        <v>203</v>
      </c>
      <c r="DMR11" s="314" t="s">
        <v>203</v>
      </c>
      <c r="DMS11" s="314" t="s">
        <v>203</v>
      </c>
      <c r="DMT11" s="314" t="s">
        <v>203</v>
      </c>
      <c r="DMU11" s="314" t="s">
        <v>203</v>
      </c>
      <c r="DMV11" s="314" t="s">
        <v>203</v>
      </c>
      <c r="DMW11" s="314" t="s">
        <v>203</v>
      </c>
      <c r="DMX11" s="314" t="s">
        <v>203</v>
      </c>
      <c r="DMY11" s="314" t="s">
        <v>203</v>
      </c>
      <c r="DMZ11" s="314" t="s">
        <v>203</v>
      </c>
      <c r="DNA11" s="314" t="s">
        <v>203</v>
      </c>
      <c r="DNB11" s="314" t="s">
        <v>203</v>
      </c>
      <c r="DNC11" s="314" t="s">
        <v>203</v>
      </c>
      <c r="DND11" s="314" t="s">
        <v>203</v>
      </c>
      <c r="DNE11" s="314" t="s">
        <v>203</v>
      </c>
      <c r="DNF11" s="314" t="s">
        <v>203</v>
      </c>
      <c r="DNG11" s="314" t="s">
        <v>203</v>
      </c>
      <c r="DNH11" s="314" t="s">
        <v>203</v>
      </c>
      <c r="DNI11" s="314" t="s">
        <v>203</v>
      </c>
      <c r="DNJ11" s="314" t="s">
        <v>203</v>
      </c>
      <c r="DNK11" s="314" t="s">
        <v>203</v>
      </c>
      <c r="DNL11" s="314" t="s">
        <v>203</v>
      </c>
      <c r="DNM11" s="314" t="s">
        <v>203</v>
      </c>
      <c r="DNN11" s="314" t="s">
        <v>203</v>
      </c>
      <c r="DNO11" s="314" t="s">
        <v>203</v>
      </c>
      <c r="DNP11" s="314" t="s">
        <v>203</v>
      </c>
      <c r="DNQ11" s="314" t="s">
        <v>203</v>
      </c>
      <c r="DNR11" s="314" t="s">
        <v>203</v>
      </c>
      <c r="DNS11" s="314" t="s">
        <v>203</v>
      </c>
      <c r="DNT11" s="314" t="s">
        <v>203</v>
      </c>
      <c r="DNU11" s="314" t="s">
        <v>203</v>
      </c>
      <c r="DNV11" s="314" t="s">
        <v>203</v>
      </c>
      <c r="DNW11" s="314" t="s">
        <v>203</v>
      </c>
      <c r="DNX11" s="314" t="s">
        <v>203</v>
      </c>
      <c r="DNY11" s="314" t="s">
        <v>203</v>
      </c>
      <c r="DNZ11" s="314" t="s">
        <v>203</v>
      </c>
      <c r="DOA11" s="314" t="s">
        <v>203</v>
      </c>
      <c r="DOB11" s="314" t="s">
        <v>203</v>
      </c>
      <c r="DOC11" s="314" t="s">
        <v>203</v>
      </c>
      <c r="DOD11" s="314" t="s">
        <v>203</v>
      </c>
      <c r="DOE11" s="314" t="s">
        <v>203</v>
      </c>
      <c r="DOF11" s="314" t="s">
        <v>203</v>
      </c>
      <c r="DOG11" s="314" t="s">
        <v>203</v>
      </c>
      <c r="DOH11" s="314" t="s">
        <v>203</v>
      </c>
      <c r="DOI11" s="314" t="s">
        <v>203</v>
      </c>
      <c r="DOJ11" s="314" t="s">
        <v>203</v>
      </c>
      <c r="DOK11" s="314" t="s">
        <v>203</v>
      </c>
      <c r="DOL11" s="314" t="s">
        <v>203</v>
      </c>
      <c r="DOM11" s="314" t="s">
        <v>203</v>
      </c>
      <c r="DON11" s="314" t="s">
        <v>203</v>
      </c>
      <c r="DOO11" s="314" t="s">
        <v>203</v>
      </c>
      <c r="DOP11" s="314" t="s">
        <v>203</v>
      </c>
      <c r="DOQ11" s="314" t="s">
        <v>203</v>
      </c>
      <c r="DOR11" s="314" t="s">
        <v>203</v>
      </c>
      <c r="DOS11" s="314" t="s">
        <v>203</v>
      </c>
      <c r="DOT11" s="314" t="s">
        <v>203</v>
      </c>
      <c r="DOU11" s="314" t="s">
        <v>203</v>
      </c>
      <c r="DOV11" s="314" t="s">
        <v>203</v>
      </c>
      <c r="DOW11" s="314" t="s">
        <v>203</v>
      </c>
      <c r="DOX11" s="314" t="s">
        <v>203</v>
      </c>
      <c r="DOY11" s="314" t="s">
        <v>203</v>
      </c>
      <c r="DOZ11" s="314" t="s">
        <v>203</v>
      </c>
      <c r="DPA11" s="314" t="s">
        <v>203</v>
      </c>
      <c r="DPB11" s="314" t="s">
        <v>203</v>
      </c>
      <c r="DPC11" s="314" t="s">
        <v>203</v>
      </c>
      <c r="DPD11" s="314" t="s">
        <v>203</v>
      </c>
      <c r="DPE11" s="314" t="s">
        <v>203</v>
      </c>
      <c r="DPF11" s="314" t="s">
        <v>203</v>
      </c>
      <c r="DPG11" s="314" t="s">
        <v>203</v>
      </c>
      <c r="DPH11" s="314" t="s">
        <v>203</v>
      </c>
      <c r="DPI11" s="314" t="s">
        <v>203</v>
      </c>
      <c r="DPJ11" s="314" t="s">
        <v>203</v>
      </c>
      <c r="DPK11" s="314" t="s">
        <v>203</v>
      </c>
      <c r="DPL11" s="314" t="s">
        <v>203</v>
      </c>
      <c r="DPM11" s="314" t="s">
        <v>203</v>
      </c>
      <c r="DPN11" s="314" t="s">
        <v>203</v>
      </c>
      <c r="DPO11" s="314" t="s">
        <v>203</v>
      </c>
      <c r="DPP11" s="314" t="s">
        <v>203</v>
      </c>
      <c r="DPQ11" s="314" t="s">
        <v>203</v>
      </c>
      <c r="DPR11" s="314" t="s">
        <v>203</v>
      </c>
      <c r="DPS11" s="314" t="s">
        <v>203</v>
      </c>
      <c r="DPT11" s="314" t="s">
        <v>203</v>
      </c>
      <c r="DPU11" s="314" t="s">
        <v>203</v>
      </c>
      <c r="DPV11" s="314" t="s">
        <v>203</v>
      </c>
      <c r="DPW11" s="314" t="s">
        <v>203</v>
      </c>
      <c r="DPX11" s="314" t="s">
        <v>203</v>
      </c>
      <c r="DPY11" s="314" t="s">
        <v>203</v>
      </c>
      <c r="DPZ11" s="314" t="s">
        <v>203</v>
      </c>
      <c r="DQA11" s="314" t="s">
        <v>203</v>
      </c>
      <c r="DQB11" s="314" t="s">
        <v>203</v>
      </c>
      <c r="DQC11" s="314" t="s">
        <v>203</v>
      </c>
      <c r="DQD11" s="314" t="s">
        <v>203</v>
      </c>
      <c r="DQE11" s="314" t="s">
        <v>203</v>
      </c>
      <c r="DQF11" s="314" t="s">
        <v>203</v>
      </c>
      <c r="DQG11" s="314" t="s">
        <v>203</v>
      </c>
      <c r="DQH11" s="314" t="s">
        <v>203</v>
      </c>
      <c r="DQI11" s="314" t="s">
        <v>203</v>
      </c>
      <c r="DQJ11" s="314" t="s">
        <v>203</v>
      </c>
      <c r="DQK11" s="314" t="s">
        <v>203</v>
      </c>
      <c r="DQL11" s="314" t="s">
        <v>203</v>
      </c>
      <c r="DQM11" s="314" t="s">
        <v>203</v>
      </c>
      <c r="DQN11" s="314" t="s">
        <v>203</v>
      </c>
      <c r="DQO11" s="314" t="s">
        <v>203</v>
      </c>
      <c r="DQP11" s="314" t="s">
        <v>203</v>
      </c>
      <c r="DQQ11" s="314" t="s">
        <v>203</v>
      </c>
      <c r="DQR11" s="314" t="s">
        <v>203</v>
      </c>
      <c r="DQS11" s="314" t="s">
        <v>203</v>
      </c>
      <c r="DQT11" s="314" t="s">
        <v>203</v>
      </c>
      <c r="DQU11" s="314" t="s">
        <v>203</v>
      </c>
      <c r="DQV11" s="314" t="s">
        <v>203</v>
      </c>
      <c r="DQW11" s="314" t="s">
        <v>203</v>
      </c>
      <c r="DQX11" s="314" t="s">
        <v>203</v>
      </c>
      <c r="DQY11" s="314" t="s">
        <v>203</v>
      </c>
      <c r="DQZ11" s="314" t="s">
        <v>203</v>
      </c>
      <c r="DRA11" s="314" t="s">
        <v>203</v>
      </c>
      <c r="DRB11" s="314" t="s">
        <v>203</v>
      </c>
      <c r="DRC11" s="314" t="s">
        <v>203</v>
      </c>
      <c r="DRD11" s="314" t="s">
        <v>203</v>
      </c>
      <c r="DRE11" s="314" t="s">
        <v>203</v>
      </c>
      <c r="DRF11" s="314" t="s">
        <v>203</v>
      </c>
      <c r="DRG11" s="314" t="s">
        <v>203</v>
      </c>
      <c r="DRH11" s="314" t="s">
        <v>203</v>
      </c>
      <c r="DRI11" s="314" t="s">
        <v>203</v>
      </c>
      <c r="DRJ11" s="314" t="s">
        <v>203</v>
      </c>
      <c r="DRK11" s="314" t="s">
        <v>203</v>
      </c>
      <c r="DRL11" s="314" t="s">
        <v>203</v>
      </c>
      <c r="DRM11" s="314" t="s">
        <v>203</v>
      </c>
      <c r="DRN11" s="314" t="s">
        <v>203</v>
      </c>
      <c r="DRO11" s="314" t="s">
        <v>203</v>
      </c>
      <c r="DRP11" s="314" t="s">
        <v>203</v>
      </c>
      <c r="DRQ11" s="314" t="s">
        <v>203</v>
      </c>
      <c r="DRR11" s="314" t="s">
        <v>203</v>
      </c>
      <c r="DRS11" s="314" t="s">
        <v>203</v>
      </c>
      <c r="DRT11" s="314" t="s">
        <v>203</v>
      </c>
      <c r="DRU11" s="314" t="s">
        <v>203</v>
      </c>
      <c r="DRV11" s="314" t="s">
        <v>203</v>
      </c>
      <c r="DRW11" s="314" t="s">
        <v>203</v>
      </c>
      <c r="DRX11" s="314" t="s">
        <v>203</v>
      </c>
      <c r="DRY11" s="314" t="s">
        <v>203</v>
      </c>
      <c r="DRZ11" s="314" t="s">
        <v>203</v>
      </c>
      <c r="DSA11" s="314" t="s">
        <v>203</v>
      </c>
      <c r="DSB11" s="314" t="s">
        <v>203</v>
      </c>
      <c r="DSC11" s="314" t="s">
        <v>203</v>
      </c>
      <c r="DSD11" s="314" t="s">
        <v>203</v>
      </c>
      <c r="DSE11" s="314" t="s">
        <v>203</v>
      </c>
      <c r="DSF11" s="314" t="s">
        <v>203</v>
      </c>
      <c r="DSG11" s="314" t="s">
        <v>203</v>
      </c>
      <c r="DSH11" s="314" t="s">
        <v>203</v>
      </c>
      <c r="DSI11" s="314" t="s">
        <v>203</v>
      </c>
      <c r="DSJ11" s="314" t="s">
        <v>203</v>
      </c>
      <c r="DSK11" s="314" t="s">
        <v>203</v>
      </c>
      <c r="DSL11" s="314" t="s">
        <v>203</v>
      </c>
      <c r="DSM11" s="314" t="s">
        <v>203</v>
      </c>
      <c r="DSN11" s="314" t="s">
        <v>203</v>
      </c>
      <c r="DSO11" s="314" t="s">
        <v>203</v>
      </c>
      <c r="DSP11" s="314" t="s">
        <v>203</v>
      </c>
      <c r="DSQ11" s="314" t="s">
        <v>203</v>
      </c>
      <c r="DSR11" s="314" t="s">
        <v>203</v>
      </c>
      <c r="DSS11" s="314" t="s">
        <v>203</v>
      </c>
      <c r="DST11" s="314" t="s">
        <v>203</v>
      </c>
      <c r="DSU11" s="314" t="s">
        <v>203</v>
      </c>
      <c r="DSV11" s="314" t="s">
        <v>203</v>
      </c>
      <c r="DSW11" s="314" t="s">
        <v>203</v>
      </c>
      <c r="DSX11" s="314" t="s">
        <v>203</v>
      </c>
      <c r="DSY11" s="314" t="s">
        <v>203</v>
      </c>
      <c r="DSZ11" s="314" t="s">
        <v>203</v>
      </c>
      <c r="DTA11" s="314" t="s">
        <v>203</v>
      </c>
      <c r="DTB11" s="314" t="s">
        <v>203</v>
      </c>
      <c r="DTC11" s="314" t="s">
        <v>203</v>
      </c>
      <c r="DTD11" s="314" t="s">
        <v>203</v>
      </c>
      <c r="DTE11" s="314" t="s">
        <v>203</v>
      </c>
      <c r="DTF11" s="314" t="s">
        <v>203</v>
      </c>
      <c r="DTG11" s="314" t="s">
        <v>203</v>
      </c>
      <c r="DTH11" s="314" t="s">
        <v>203</v>
      </c>
      <c r="DTI11" s="314" t="s">
        <v>203</v>
      </c>
      <c r="DTJ11" s="314" t="s">
        <v>203</v>
      </c>
      <c r="DTK11" s="314" t="s">
        <v>203</v>
      </c>
      <c r="DTL11" s="314" t="s">
        <v>203</v>
      </c>
      <c r="DTM11" s="314" t="s">
        <v>203</v>
      </c>
      <c r="DTN11" s="314" t="s">
        <v>203</v>
      </c>
      <c r="DTO11" s="314" t="s">
        <v>203</v>
      </c>
      <c r="DTP11" s="314" t="s">
        <v>203</v>
      </c>
      <c r="DTQ11" s="314" t="s">
        <v>203</v>
      </c>
      <c r="DTR11" s="314" t="s">
        <v>203</v>
      </c>
      <c r="DTS11" s="314" t="s">
        <v>203</v>
      </c>
      <c r="DTT11" s="314" t="s">
        <v>203</v>
      </c>
      <c r="DTU11" s="314" t="s">
        <v>203</v>
      </c>
      <c r="DTV11" s="314" t="s">
        <v>203</v>
      </c>
      <c r="DTW11" s="314" t="s">
        <v>203</v>
      </c>
      <c r="DTX11" s="314" t="s">
        <v>203</v>
      </c>
      <c r="DTY11" s="314" t="s">
        <v>203</v>
      </c>
      <c r="DTZ11" s="314" t="s">
        <v>203</v>
      </c>
      <c r="DUA11" s="314" t="s">
        <v>203</v>
      </c>
      <c r="DUB11" s="314" t="s">
        <v>203</v>
      </c>
      <c r="DUC11" s="314" t="s">
        <v>203</v>
      </c>
      <c r="DUD11" s="314" t="s">
        <v>203</v>
      </c>
      <c r="DUE11" s="314" t="s">
        <v>203</v>
      </c>
      <c r="DUF11" s="314" t="s">
        <v>203</v>
      </c>
      <c r="DUG11" s="314" t="s">
        <v>203</v>
      </c>
      <c r="DUH11" s="314" t="s">
        <v>203</v>
      </c>
      <c r="DUI11" s="314" t="s">
        <v>203</v>
      </c>
      <c r="DUJ11" s="314" t="s">
        <v>203</v>
      </c>
      <c r="DUK11" s="314" t="s">
        <v>203</v>
      </c>
      <c r="DUL11" s="314" t="s">
        <v>203</v>
      </c>
      <c r="DUM11" s="314" t="s">
        <v>203</v>
      </c>
      <c r="DUN11" s="314" t="s">
        <v>203</v>
      </c>
      <c r="DUO11" s="314" t="s">
        <v>203</v>
      </c>
      <c r="DUP11" s="314" t="s">
        <v>203</v>
      </c>
      <c r="DUQ11" s="314" t="s">
        <v>203</v>
      </c>
      <c r="DUR11" s="314" t="s">
        <v>203</v>
      </c>
      <c r="DUS11" s="314" t="s">
        <v>203</v>
      </c>
      <c r="DUT11" s="314" t="s">
        <v>203</v>
      </c>
      <c r="DUU11" s="314" t="s">
        <v>203</v>
      </c>
      <c r="DUV11" s="314" t="s">
        <v>203</v>
      </c>
      <c r="DUW11" s="314" t="s">
        <v>203</v>
      </c>
      <c r="DUX11" s="314" t="s">
        <v>203</v>
      </c>
      <c r="DUY11" s="314" t="s">
        <v>203</v>
      </c>
      <c r="DUZ11" s="314" t="s">
        <v>203</v>
      </c>
      <c r="DVA11" s="314" t="s">
        <v>203</v>
      </c>
      <c r="DVB11" s="314" t="s">
        <v>203</v>
      </c>
      <c r="DVC11" s="314" t="s">
        <v>203</v>
      </c>
      <c r="DVD11" s="314" t="s">
        <v>203</v>
      </c>
      <c r="DVE11" s="314" t="s">
        <v>203</v>
      </c>
      <c r="DVF11" s="314" t="s">
        <v>203</v>
      </c>
      <c r="DVG11" s="314" t="s">
        <v>203</v>
      </c>
      <c r="DVH11" s="314" t="s">
        <v>203</v>
      </c>
      <c r="DVI11" s="314" t="s">
        <v>203</v>
      </c>
      <c r="DVJ11" s="314" t="s">
        <v>203</v>
      </c>
      <c r="DVK11" s="314" t="s">
        <v>203</v>
      </c>
      <c r="DVL11" s="314" t="s">
        <v>203</v>
      </c>
      <c r="DVM11" s="314" t="s">
        <v>203</v>
      </c>
      <c r="DVN11" s="314" t="s">
        <v>203</v>
      </c>
      <c r="DVO11" s="314" t="s">
        <v>203</v>
      </c>
      <c r="DVP11" s="314" t="s">
        <v>203</v>
      </c>
      <c r="DVQ11" s="314" t="s">
        <v>203</v>
      </c>
      <c r="DVR11" s="314" t="s">
        <v>203</v>
      </c>
      <c r="DVS11" s="314" t="s">
        <v>203</v>
      </c>
      <c r="DVT11" s="314" t="s">
        <v>203</v>
      </c>
      <c r="DVU11" s="314" t="s">
        <v>203</v>
      </c>
      <c r="DVV11" s="314" t="s">
        <v>203</v>
      </c>
      <c r="DVW11" s="314" t="s">
        <v>203</v>
      </c>
      <c r="DVX11" s="314" t="s">
        <v>203</v>
      </c>
      <c r="DVY11" s="314" t="s">
        <v>203</v>
      </c>
      <c r="DVZ11" s="314" t="s">
        <v>203</v>
      </c>
      <c r="DWA11" s="314" t="s">
        <v>203</v>
      </c>
      <c r="DWB11" s="314" t="s">
        <v>203</v>
      </c>
      <c r="DWC11" s="314" t="s">
        <v>203</v>
      </c>
      <c r="DWD11" s="314" t="s">
        <v>203</v>
      </c>
      <c r="DWE11" s="314" t="s">
        <v>203</v>
      </c>
      <c r="DWF11" s="314" t="s">
        <v>203</v>
      </c>
      <c r="DWG11" s="314" t="s">
        <v>203</v>
      </c>
      <c r="DWH11" s="314" t="s">
        <v>203</v>
      </c>
      <c r="DWI11" s="314" t="s">
        <v>203</v>
      </c>
      <c r="DWJ11" s="314" t="s">
        <v>203</v>
      </c>
      <c r="DWK11" s="314" t="s">
        <v>203</v>
      </c>
      <c r="DWL11" s="314" t="s">
        <v>203</v>
      </c>
      <c r="DWM11" s="314" t="s">
        <v>203</v>
      </c>
      <c r="DWN11" s="314" t="s">
        <v>203</v>
      </c>
      <c r="DWO11" s="314" t="s">
        <v>203</v>
      </c>
      <c r="DWP11" s="314" t="s">
        <v>203</v>
      </c>
      <c r="DWQ11" s="314" t="s">
        <v>203</v>
      </c>
      <c r="DWR11" s="314" t="s">
        <v>203</v>
      </c>
      <c r="DWS11" s="314" t="s">
        <v>203</v>
      </c>
      <c r="DWT11" s="314" t="s">
        <v>203</v>
      </c>
      <c r="DWU11" s="314" t="s">
        <v>203</v>
      </c>
      <c r="DWV11" s="314" t="s">
        <v>203</v>
      </c>
      <c r="DWW11" s="314" t="s">
        <v>203</v>
      </c>
      <c r="DWX11" s="314" t="s">
        <v>203</v>
      </c>
      <c r="DWY11" s="314" t="s">
        <v>203</v>
      </c>
      <c r="DWZ11" s="314" t="s">
        <v>203</v>
      </c>
      <c r="DXA11" s="314" t="s">
        <v>203</v>
      </c>
      <c r="DXB11" s="314" t="s">
        <v>203</v>
      </c>
      <c r="DXC11" s="314" t="s">
        <v>203</v>
      </c>
      <c r="DXD11" s="314" t="s">
        <v>203</v>
      </c>
      <c r="DXE11" s="314" t="s">
        <v>203</v>
      </c>
      <c r="DXF11" s="314" t="s">
        <v>203</v>
      </c>
      <c r="DXG11" s="314" t="s">
        <v>203</v>
      </c>
      <c r="DXH11" s="314" t="s">
        <v>203</v>
      </c>
      <c r="DXI11" s="314" t="s">
        <v>203</v>
      </c>
      <c r="DXJ11" s="314" t="s">
        <v>203</v>
      </c>
      <c r="DXK11" s="314" t="s">
        <v>203</v>
      </c>
      <c r="DXL11" s="314" t="s">
        <v>203</v>
      </c>
      <c r="DXM11" s="314" t="s">
        <v>203</v>
      </c>
      <c r="DXN11" s="314" t="s">
        <v>203</v>
      </c>
      <c r="DXO11" s="314" t="s">
        <v>203</v>
      </c>
      <c r="DXP11" s="314" t="s">
        <v>203</v>
      </c>
      <c r="DXQ11" s="314" t="s">
        <v>203</v>
      </c>
      <c r="DXR11" s="314" t="s">
        <v>203</v>
      </c>
      <c r="DXS11" s="314" t="s">
        <v>203</v>
      </c>
      <c r="DXT11" s="314" t="s">
        <v>203</v>
      </c>
      <c r="DXU11" s="314" t="s">
        <v>203</v>
      </c>
      <c r="DXV11" s="314" t="s">
        <v>203</v>
      </c>
      <c r="DXW11" s="314" t="s">
        <v>203</v>
      </c>
      <c r="DXX11" s="314" t="s">
        <v>203</v>
      </c>
      <c r="DXY11" s="314" t="s">
        <v>203</v>
      </c>
      <c r="DXZ11" s="314" t="s">
        <v>203</v>
      </c>
      <c r="DYA11" s="314" t="s">
        <v>203</v>
      </c>
      <c r="DYB11" s="314" t="s">
        <v>203</v>
      </c>
      <c r="DYC11" s="314" t="s">
        <v>203</v>
      </c>
      <c r="DYD11" s="314" t="s">
        <v>203</v>
      </c>
      <c r="DYE11" s="314" t="s">
        <v>203</v>
      </c>
      <c r="DYF11" s="314" t="s">
        <v>203</v>
      </c>
      <c r="DYG11" s="314" t="s">
        <v>203</v>
      </c>
      <c r="DYH11" s="314" t="s">
        <v>203</v>
      </c>
      <c r="DYI11" s="314" t="s">
        <v>203</v>
      </c>
      <c r="DYJ11" s="314" t="s">
        <v>203</v>
      </c>
      <c r="DYK11" s="314" t="s">
        <v>203</v>
      </c>
      <c r="DYL11" s="314" t="s">
        <v>203</v>
      </c>
      <c r="DYM11" s="314" t="s">
        <v>203</v>
      </c>
      <c r="DYN11" s="314" t="s">
        <v>203</v>
      </c>
      <c r="DYO11" s="314" t="s">
        <v>203</v>
      </c>
      <c r="DYP11" s="314" t="s">
        <v>203</v>
      </c>
      <c r="DYQ11" s="314" t="s">
        <v>203</v>
      </c>
      <c r="DYR11" s="314" t="s">
        <v>203</v>
      </c>
      <c r="DYS11" s="314" t="s">
        <v>203</v>
      </c>
      <c r="DYT11" s="314" t="s">
        <v>203</v>
      </c>
      <c r="DYU11" s="314" t="s">
        <v>203</v>
      </c>
      <c r="DYV11" s="314" t="s">
        <v>203</v>
      </c>
      <c r="DYW11" s="314" t="s">
        <v>203</v>
      </c>
      <c r="DYX11" s="314" t="s">
        <v>203</v>
      </c>
      <c r="DYY11" s="314" t="s">
        <v>203</v>
      </c>
      <c r="DYZ11" s="314" t="s">
        <v>203</v>
      </c>
      <c r="DZA11" s="314" t="s">
        <v>203</v>
      </c>
      <c r="DZB11" s="314" t="s">
        <v>203</v>
      </c>
      <c r="DZC11" s="314" t="s">
        <v>203</v>
      </c>
      <c r="DZD11" s="314" t="s">
        <v>203</v>
      </c>
      <c r="DZE11" s="314" t="s">
        <v>203</v>
      </c>
      <c r="DZF11" s="314" t="s">
        <v>203</v>
      </c>
      <c r="DZG11" s="314" t="s">
        <v>203</v>
      </c>
      <c r="DZH11" s="314" t="s">
        <v>203</v>
      </c>
      <c r="DZI11" s="314" t="s">
        <v>203</v>
      </c>
      <c r="DZJ11" s="314" t="s">
        <v>203</v>
      </c>
      <c r="DZK11" s="314" t="s">
        <v>203</v>
      </c>
      <c r="DZL11" s="314" t="s">
        <v>203</v>
      </c>
      <c r="DZM11" s="314" t="s">
        <v>203</v>
      </c>
      <c r="DZN11" s="314" t="s">
        <v>203</v>
      </c>
      <c r="DZO11" s="314" t="s">
        <v>203</v>
      </c>
      <c r="DZP11" s="314" t="s">
        <v>203</v>
      </c>
      <c r="DZQ11" s="314" t="s">
        <v>203</v>
      </c>
      <c r="DZR11" s="314" t="s">
        <v>203</v>
      </c>
      <c r="DZS11" s="314" t="s">
        <v>203</v>
      </c>
      <c r="DZT11" s="314" t="s">
        <v>203</v>
      </c>
      <c r="DZU11" s="314" t="s">
        <v>203</v>
      </c>
      <c r="DZV11" s="314" t="s">
        <v>203</v>
      </c>
      <c r="DZW11" s="314" t="s">
        <v>203</v>
      </c>
      <c r="DZX11" s="314" t="s">
        <v>203</v>
      </c>
      <c r="DZY11" s="314" t="s">
        <v>203</v>
      </c>
      <c r="DZZ11" s="314" t="s">
        <v>203</v>
      </c>
      <c r="EAA11" s="314" t="s">
        <v>203</v>
      </c>
      <c r="EAB11" s="314" t="s">
        <v>203</v>
      </c>
      <c r="EAC11" s="314" t="s">
        <v>203</v>
      </c>
      <c r="EAD11" s="314" t="s">
        <v>203</v>
      </c>
      <c r="EAE11" s="314" t="s">
        <v>203</v>
      </c>
      <c r="EAF11" s="314" t="s">
        <v>203</v>
      </c>
      <c r="EAG11" s="314" t="s">
        <v>203</v>
      </c>
      <c r="EAH11" s="314" t="s">
        <v>203</v>
      </c>
      <c r="EAI11" s="314" t="s">
        <v>203</v>
      </c>
      <c r="EAJ11" s="314" t="s">
        <v>203</v>
      </c>
      <c r="EAK11" s="314" t="s">
        <v>203</v>
      </c>
      <c r="EAL11" s="314" t="s">
        <v>203</v>
      </c>
      <c r="EAM11" s="314" t="s">
        <v>203</v>
      </c>
      <c r="EAN11" s="314" t="s">
        <v>203</v>
      </c>
      <c r="EAO11" s="314" t="s">
        <v>203</v>
      </c>
      <c r="EAP11" s="314" t="s">
        <v>203</v>
      </c>
      <c r="EAQ11" s="314" t="s">
        <v>203</v>
      </c>
      <c r="EAR11" s="314" t="s">
        <v>203</v>
      </c>
      <c r="EAS11" s="314" t="s">
        <v>203</v>
      </c>
      <c r="EAT11" s="314" t="s">
        <v>203</v>
      </c>
      <c r="EAU11" s="314" t="s">
        <v>203</v>
      </c>
      <c r="EAV11" s="314" t="s">
        <v>203</v>
      </c>
      <c r="EAW11" s="314" t="s">
        <v>203</v>
      </c>
      <c r="EAX11" s="314" t="s">
        <v>203</v>
      </c>
      <c r="EAY11" s="314" t="s">
        <v>203</v>
      </c>
      <c r="EAZ11" s="314" t="s">
        <v>203</v>
      </c>
      <c r="EBA11" s="314" t="s">
        <v>203</v>
      </c>
      <c r="EBB11" s="314" t="s">
        <v>203</v>
      </c>
      <c r="EBC11" s="314" t="s">
        <v>203</v>
      </c>
      <c r="EBD11" s="314" t="s">
        <v>203</v>
      </c>
      <c r="EBE11" s="314" t="s">
        <v>203</v>
      </c>
      <c r="EBF11" s="314" t="s">
        <v>203</v>
      </c>
      <c r="EBG11" s="314" t="s">
        <v>203</v>
      </c>
      <c r="EBH11" s="314" t="s">
        <v>203</v>
      </c>
      <c r="EBI11" s="314" t="s">
        <v>203</v>
      </c>
      <c r="EBJ11" s="314" t="s">
        <v>203</v>
      </c>
      <c r="EBK11" s="314" t="s">
        <v>203</v>
      </c>
      <c r="EBL11" s="314" t="s">
        <v>203</v>
      </c>
      <c r="EBM11" s="314" t="s">
        <v>203</v>
      </c>
      <c r="EBN11" s="314" t="s">
        <v>203</v>
      </c>
      <c r="EBO11" s="314" t="s">
        <v>203</v>
      </c>
      <c r="EBP11" s="314" t="s">
        <v>203</v>
      </c>
      <c r="EBQ11" s="314" t="s">
        <v>203</v>
      </c>
      <c r="EBR11" s="314" t="s">
        <v>203</v>
      </c>
      <c r="EBS11" s="314" t="s">
        <v>203</v>
      </c>
      <c r="EBT11" s="314" t="s">
        <v>203</v>
      </c>
      <c r="EBU11" s="314" t="s">
        <v>203</v>
      </c>
      <c r="EBV11" s="314" t="s">
        <v>203</v>
      </c>
      <c r="EBW11" s="314" t="s">
        <v>203</v>
      </c>
      <c r="EBX11" s="314" t="s">
        <v>203</v>
      </c>
      <c r="EBY11" s="314" t="s">
        <v>203</v>
      </c>
      <c r="EBZ11" s="314" t="s">
        <v>203</v>
      </c>
      <c r="ECA11" s="314" t="s">
        <v>203</v>
      </c>
      <c r="ECB11" s="314" t="s">
        <v>203</v>
      </c>
      <c r="ECC11" s="314" t="s">
        <v>203</v>
      </c>
      <c r="ECD11" s="314" t="s">
        <v>203</v>
      </c>
      <c r="ECE11" s="314" t="s">
        <v>203</v>
      </c>
      <c r="ECF11" s="314" t="s">
        <v>203</v>
      </c>
      <c r="ECG11" s="314" t="s">
        <v>203</v>
      </c>
      <c r="ECH11" s="314" t="s">
        <v>203</v>
      </c>
      <c r="ECI11" s="314" t="s">
        <v>203</v>
      </c>
      <c r="ECJ11" s="314" t="s">
        <v>203</v>
      </c>
      <c r="ECK11" s="314" t="s">
        <v>203</v>
      </c>
      <c r="ECL11" s="314" t="s">
        <v>203</v>
      </c>
      <c r="ECM11" s="314" t="s">
        <v>203</v>
      </c>
      <c r="ECN11" s="314" t="s">
        <v>203</v>
      </c>
      <c r="ECO11" s="314" t="s">
        <v>203</v>
      </c>
      <c r="ECP11" s="314" t="s">
        <v>203</v>
      </c>
      <c r="ECQ11" s="314" t="s">
        <v>203</v>
      </c>
      <c r="ECR11" s="314" t="s">
        <v>203</v>
      </c>
      <c r="ECS11" s="314" t="s">
        <v>203</v>
      </c>
      <c r="ECT11" s="314" t="s">
        <v>203</v>
      </c>
      <c r="ECU11" s="314" t="s">
        <v>203</v>
      </c>
      <c r="ECV11" s="314" t="s">
        <v>203</v>
      </c>
      <c r="ECW11" s="314" t="s">
        <v>203</v>
      </c>
      <c r="ECX11" s="314" t="s">
        <v>203</v>
      </c>
      <c r="ECY11" s="314" t="s">
        <v>203</v>
      </c>
      <c r="ECZ11" s="314" t="s">
        <v>203</v>
      </c>
      <c r="EDA11" s="314" t="s">
        <v>203</v>
      </c>
      <c r="EDB11" s="314" t="s">
        <v>203</v>
      </c>
      <c r="EDC11" s="314" t="s">
        <v>203</v>
      </c>
      <c r="EDD11" s="314" t="s">
        <v>203</v>
      </c>
      <c r="EDE11" s="314" t="s">
        <v>203</v>
      </c>
      <c r="EDF11" s="314" t="s">
        <v>203</v>
      </c>
      <c r="EDG11" s="314" t="s">
        <v>203</v>
      </c>
      <c r="EDH11" s="314" t="s">
        <v>203</v>
      </c>
      <c r="EDI11" s="314" t="s">
        <v>203</v>
      </c>
      <c r="EDJ11" s="314" t="s">
        <v>203</v>
      </c>
      <c r="EDK11" s="314" t="s">
        <v>203</v>
      </c>
      <c r="EDL11" s="314" t="s">
        <v>203</v>
      </c>
      <c r="EDM11" s="314" t="s">
        <v>203</v>
      </c>
      <c r="EDN11" s="314" t="s">
        <v>203</v>
      </c>
      <c r="EDO11" s="314" t="s">
        <v>203</v>
      </c>
      <c r="EDP11" s="314" t="s">
        <v>203</v>
      </c>
      <c r="EDQ11" s="314" t="s">
        <v>203</v>
      </c>
      <c r="EDR11" s="314" t="s">
        <v>203</v>
      </c>
      <c r="EDS11" s="314" t="s">
        <v>203</v>
      </c>
      <c r="EDT11" s="314" t="s">
        <v>203</v>
      </c>
      <c r="EDU11" s="314" t="s">
        <v>203</v>
      </c>
      <c r="EDV11" s="314" t="s">
        <v>203</v>
      </c>
      <c r="EDW11" s="314" t="s">
        <v>203</v>
      </c>
      <c r="EDX11" s="314" t="s">
        <v>203</v>
      </c>
      <c r="EDY11" s="314" t="s">
        <v>203</v>
      </c>
      <c r="EDZ11" s="314" t="s">
        <v>203</v>
      </c>
      <c r="EEA11" s="314" t="s">
        <v>203</v>
      </c>
      <c r="EEB11" s="314" t="s">
        <v>203</v>
      </c>
      <c r="EEC11" s="314" t="s">
        <v>203</v>
      </c>
      <c r="EED11" s="314" t="s">
        <v>203</v>
      </c>
      <c r="EEE11" s="314" t="s">
        <v>203</v>
      </c>
      <c r="EEF11" s="314" t="s">
        <v>203</v>
      </c>
      <c r="EEG11" s="314" t="s">
        <v>203</v>
      </c>
      <c r="EEH11" s="314" t="s">
        <v>203</v>
      </c>
      <c r="EEI11" s="314" t="s">
        <v>203</v>
      </c>
      <c r="EEJ11" s="314" t="s">
        <v>203</v>
      </c>
      <c r="EEK11" s="314" t="s">
        <v>203</v>
      </c>
      <c r="EEL11" s="314" t="s">
        <v>203</v>
      </c>
      <c r="EEM11" s="314" t="s">
        <v>203</v>
      </c>
      <c r="EEN11" s="314" t="s">
        <v>203</v>
      </c>
      <c r="EEO11" s="314" t="s">
        <v>203</v>
      </c>
      <c r="EEP11" s="314" t="s">
        <v>203</v>
      </c>
      <c r="EEQ11" s="314" t="s">
        <v>203</v>
      </c>
      <c r="EER11" s="314" t="s">
        <v>203</v>
      </c>
      <c r="EES11" s="314" t="s">
        <v>203</v>
      </c>
      <c r="EET11" s="314" t="s">
        <v>203</v>
      </c>
      <c r="EEU11" s="314" t="s">
        <v>203</v>
      </c>
      <c r="EEV11" s="314" t="s">
        <v>203</v>
      </c>
      <c r="EEW11" s="314" t="s">
        <v>203</v>
      </c>
      <c r="EEX11" s="314" t="s">
        <v>203</v>
      </c>
      <c r="EEY11" s="314" t="s">
        <v>203</v>
      </c>
      <c r="EEZ11" s="314" t="s">
        <v>203</v>
      </c>
      <c r="EFA11" s="314" t="s">
        <v>203</v>
      </c>
      <c r="EFB11" s="314" t="s">
        <v>203</v>
      </c>
      <c r="EFC11" s="314" t="s">
        <v>203</v>
      </c>
      <c r="EFD11" s="314" t="s">
        <v>203</v>
      </c>
      <c r="EFE11" s="314" t="s">
        <v>203</v>
      </c>
      <c r="EFF11" s="314" t="s">
        <v>203</v>
      </c>
      <c r="EFG11" s="314" t="s">
        <v>203</v>
      </c>
      <c r="EFH11" s="314" t="s">
        <v>203</v>
      </c>
      <c r="EFI11" s="314" t="s">
        <v>203</v>
      </c>
      <c r="EFJ11" s="314" t="s">
        <v>203</v>
      </c>
      <c r="EFK11" s="314" t="s">
        <v>203</v>
      </c>
      <c r="EFL11" s="314" t="s">
        <v>203</v>
      </c>
      <c r="EFM11" s="314" t="s">
        <v>203</v>
      </c>
      <c r="EFN11" s="314" t="s">
        <v>203</v>
      </c>
      <c r="EFO11" s="314" t="s">
        <v>203</v>
      </c>
      <c r="EFP11" s="314" t="s">
        <v>203</v>
      </c>
      <c r="EFQ11" s="314" t="s">
        <v>203</v>
      </c>
      <c r="EFR11" s="314" t="s">
        <v>203</v>
      </c>
      <c r="EFS11" s="314" t="s">
        <v>203</v>
      </c>
      <c r="EFT11" s="314" t="s">
        <v>203</v>
      </c>
      <c r="EFU11" s="314" t="s">
        <v>203</v>
      </c>
      <c r="EFV11" s="314" t="s">
        <v>203</v>
      </c>
      <c r="EFW11" s="314" t="s">
        <v>203</v>
      </c>
      <c r="EFX11" s="314" t="s">
        <v>203</v>
      </c>
      <c r="EFY11" s="314" t="s">
        <v>203</v>
      </c>
      <c r="EFZ11" s="314" t="s">
        <v>203</v>
      </c>
      <c r="EGA11" s="314" t="s">
        <v>203</v>
      </c>
      <c r="EGB11" s="314" t="s">
        <v>203</v>
      </c>
      <c r="EGC11" s="314" t="s">
        <v>203</v>
      </c>
      <c r="EGD11" s="314" t="s">
        <v>203</v>
      </c>
      <c r="EGE11" s="314" t="s">
        <v>203</v>
      </c>
      <c r="EGF11" s="314" t="s">
        <v>203</v>
      </c>
      <c r="EGG11" s="314" t="s">
        <v>203</v>
      </c>
      <c r="EGH11" s="314" t="s">
        <v>203</v>
      </c>
      <c r="EGI11" s="314" t="s">
        <v>203</v>
      </c>
      <c r="EGJ11" s="314" t="s">
        <v>203</v>
      </c>
      <c r="EGK11" s="314" t="s">
        <v>203</v>
      </c>
      <c r="EGL11" s="314" t="s">
        <v>203</v>
      </c>
      <c r="EGM11" s="314" t="s">
        <v>203</v>
      </c>
      <c r="EGN11" s="314" t="s">
        <v>203</v>
      </c>
      <c r="EGO11" s="314" t="s">
        <v>203</v>
      </c>
      <c r="EGP11" s="314" t="s">
        <v>203</v>
      </c>
      <c r="EGQ11" s="314" t="s">
        <v>203</v>
      </c>
      <c r="EGR11" s="314" t="s">
        <v>203</v>
      </c>
      <c r="EGS11" s="314" t="s">
        <v>203</v>
      </c>
      <c r="EGT11" s="314" t="s">
        <v>203</v>
      </c>
      <c r="EGU11" s="314" t="s">
        <v>203</v>
      </c>
      <c r="EGV11" s="314" t="s">
        <v>203</v>
      </c>
      <c r="EGW11" s="314" t="s">
        <v>203</v>
      </c>
      <c r="EGX11" s="314" t="s">
        <v>203</v>
      </c>
      <c r="EGY11" s="314" t="s">
        <v>203</v>
      </c>
      <c r="EGZ11" s="314" t="s">
        <v>203</v>
      </c>
      <c r="EHA11" s="314" t="s">
        <v>203</v>
      </c>
      <c r="EHB11" s="314" t="s">
        <v>203</v>
      </c>
      <c r="EHC11" s="314" t="s">
        <v>203</v>
      </c>
      <c r="EHD11" s="314" t="s">
        <v>203</v>
      </c>
      <c r="EHE11" s="314" t="s">
        <v>203</v>
      </c>
      <c r="EHF11" s="314" t="s">
        <v>203</v>
      </c>
      <c r="EHG11" s="314" t="s">
        <v>203</v>
      </c>
      <c r="EHH11" s="314" t="s">
        <v>203</v>
      </c>
      <c r="EHI11" s="314" t="s">
        <v>203</v>
      </c>
      <c r="EHJ11" s="314" t="s">
        <v>203</v>
      </c>
      <c r="EHK11" s="314" t="s">
        <v>203</v>
      </c>
      <c r="EHL11" s="314" t="s">
        <v>203</v>
      </c>
      <c r="EHM11" s="314" t="s">
        <v>203</v>
      </c>
      <c r="EHN11" s="314" t="s">
        <v>203</v>
      </c>
      <c r="EHO11" s="314" t="s">
        <v>203</v>
      </c>
      <c r="EHP11" s="314" t="s">
        <v>203</v>
      </c>
      <c r="EHQ11" s="314" t="s">
        <v>203</v>
      </c>
      <c r="EHR11" s="314" t="s">
        <v>203</v>
      </c>
      <c r="EHS11" s="314" t="s">
        <v>203</v>
      </c>
      <c r="EHT11" s="314" t="s">
        <v>203</v>
      </c>
      <c r="EHU11" s="314" t="s">
        <v>203</v>
      </c>
      <c r="EHV11" s="314" t="s">
        <v>203</v>
      </c>
      <c r="EHW11" s="314" t="s">
        <v>203</v>
      </c>
      <c r="EHX11" s="314" t="s">
        <v>203</v>
      </c>
      <c r="EHY11" s="314" t="s">
        <v>203</v>
      </c>
      <c r="EHZ11" s="314" t="s">
        <v>203</v>
      </c>
      <c r="EIA11" s="314" t="s">
        <v>203</v>
      </c>
      <c r="EIB11" s="314" t="s">
        <v>203</v>
      </c>
      <c r="EIC11" s="314" t="s">
        <v>203</v>
      </c>
      <c r="EID11" s="314" t="s">
        <v>203</v>
      </c>
      <c r="EIE11" s="314" t="s">
        <v>203</v>
      </c>
      <c r="EIF11" s="314" t="s">
        <v>203</v>
      </c>
      <c r="EIG11" s="314" t="s">
        <v>203</v>
      </c>
      <c r="EIH11" s="314" t="s">
        <v>203</v>
      </c>
      <c r="EII11" s="314" t="s">
        <v>203</v>
      </c>
      <c r="EIJ11" s="314" t="s">
        <v>203</v>
      </c>
      <c r="EIK11" s="314" t="s">
        <v>203</v>
      </c>
      <c r="EIL11" s="314" t="s">
        <v>203</v>
      </c>
      <c r="EIM11" s="314" t="s">
        <v>203</v>
      </c>
      <c r="EIN11" s="314" t="s">
        <v>203</v>
      </c>
      <c r="EIO11" s="314" t="s">
        <v>203</v>
      </c>
      <c r="EIP11" s="314" t="s">
        <v>203</v>
      </c>
      <c r="EIQ11" s="314" t="s">
        <v>203</v>
      </c>
      <c r="EIR11" s="314" t="s">
        <v>203</v>
      </c>
      <c r="EIS11" s="314" t="s">
        <v>203</v>
      </c>
      <c r="EIT11" s="314" t="s">
        <v>203</v>
      </c>
      <c r="EIU11" s="314" t="s">
        <v>203</v>
      </c>
      <c r="EIV11" s="314" t="s">
        <v>203</v>
      </c>
      <c r="EIW11" s="314" t="s">
        <v>203</v>
      </c>
      <c r="EIX11" s="314" t="s">
        <v>203</v>
      </c>
      <c r="EIY11" s="314" t="s">
        <v>203</v>
      </c>
      <c r="EIZ11" s="314" t="s">
        <v>203</v>
      </c>
      <c r="EJA11" s="314" t="s">
        <v>203</v>
      </c>
      <c r="EJB11" s="314" t="s">
        <v>203</v>
      </c>
      <c r="EJC11" s="314" t="s">
        <v>203</v>
      </c>
      <c r="EJD11" s="314" t="s">
        <v>203</v>
      </c>
      <c r="EJE11" s="314" t="s">
        <v>203</v>
      </c>
      <c r="EJF11" s="314" t="s">
        <v>203</v>
      </c>
      <c r="EJG11" s="314" t="s">
        <v>203</v>
      </c>
      <c r="EJH11" s="314" t="s">
        <v>203</v>
      </c>
      <c r="EJI11" s="314" t="s">
        <v>203</v>
      </c>
      <c r="EJJ11" s="314" t="s">
        <v>203</v>
      </c>
      <c r="EJK11" s="314" t="s">
        <v>203</v>
      </c>
      <c r="EJL11" s="314" t="s">
        <v>203</v>
      </c>
      <c r="EJM11" s="314" t="s">
        <v>203</v>
      </c>
      <c r="EJN11" s="314" t="s">
        <v>203</v>
      </c>
      <c r="EJO11" s="314" t="s">
        <v>203</v>
      </c>
      <c r="EJP11" s="314" t="s">
        <v>203</v>
      </c>
      <c r="EJQ11" s="314" t="s">
        <v>203</v>
      </c>
      <c r="EJR11" s="314" t="s">
        <v>203</v>
      </c>
      <c r="EJS11" s="314" t="s">
        <v>203</v>
      </c>
      <c r="EJT11" s="314" t="s">
        <v>203</v>
      </c>
      <c r="EJU11" s="314" t="s">
        <v>203</v>
      </c>
      <c r="EJV11" s="314" t="s">
        <v>203</v>
      </c>
      <c r="EJW11" s="314" t="s">
        <v>203</v>
      </c>
      <c r="EJX11" s="314" t="s">
        <v>203</v>
      </c>
      <c r="EJY11" s="314" t="s">
        <v>203</v>
      </c>
      <c r="EJZ11" s="314" t="s">
        <v>203</v>
      </c>
      <c r="EKA11" s="314" t="s">
        <v>203</v>
      </c>
      <c r="EKB11" s="314" t="s">
        <v>203</v>
      </c>
      <c r="EKC11" s="314" t="s">
        <v>203</v>
      </c>
      <c r="EKD11" s="314" t="s">
        <v>203</v>
      </c>
      <c r="EKE11" s="314" t="s">
        <v>203</v>
      </c>
      <c r="EKF11" s="314" t="s">
        <v>203</v>
      </c>
      <c r="EKG11" s="314" t="s">
        <v>203</v>
      </c>
      <c r="EKH11" s="314" t="s">
        <v>203</v>
      </c>
      <c r="EKI11" s="314" t="s">
        <v>203</v>
      </c>
      <c r="EKJ11" s="314" t="s">
        <v>203</v>
      </c>
      <c r="EKK11" s="314" t="s">
        <v>203</v>
      </c>
      <c r="EKL11" s="314" t="s">
        <v>203</v>
      </c>
      <c r="EKM11" s="314" t="s">
        <v>203</v>
      </c>
      <c r="EKN11" s="314" t="s">
        <v>203</v>
      </c>
      <c r="EKO11" s="314" t="s">
        <v>203</v>
      </c>
      <c r="EKP11" s="314" t="s">
        <v>203</v>
      </c>
      <c r="EKQ11" s="314" t="s">
        <v>203</v>
      </c>
      <c r="EKR11" s="314" t="s">
        <v>203</v>
      </c>
      <c r="EKS11" s="314" t="s">
        <v>203</v>
      </c>
      <c r="EKT11" s="314" t="s">
        <v>203</v>
      </c>
      <c r="EKU11" s="314" t="s">
        <v>203</v>
      </c>
      <c r="EKV11" s="314" t="s">
        <v>203</v>
      </c>
      <c r="EKW11" s="314" t="s">
        <v>203</v>
      </c>
      <c r="EKX11" s="314" t="s">
        <v>203</v>
      </c>
      <c r="EKY11" s="314" t="s">
        <v>203</v>
      </c>
      <c r="EKZ11" s="314" t="s">
        <v>203</v>
      </c>
      <c r="ELA11" s="314" t="s">
        <v>203</v>
      </c>
      <c r="ELB11" s="314" t="s">
        <v>203</v>
      </c>
      <c r="ELC11" s="314" t="s">
        <v>203</v>
      </c>
      <c r="ELD11" s="314" t="s">
        <v>203</v>
      </c>
      <c r="ELE11" s="314" t="s">
        <v>203</v>
      </c>
      <c r="ELF11" s="314" t="s">
        <v>203</v>
      </c>
      <c r="ELG11" s="314" t="s">
        <v>203</v>
      </c>
      <c r="ELH11" s="314" t="s">
        <v>203</v>
      </c>
      <c r="ELI11" s="314" t="s">
        <v>203</v>
      </c>
      <c r="ELJ11" s="314" t="s">
        <v>203</v>
      </c>
      <c r="ELK11" s="314" t="s">
        <v>203</v>
      </c>
      <c r="ELL11" s="314" t="s">
        <v>203</v>
      </c>
      <c r="ELM11" s="314" t="s">
        <v>203</v>
      </c>
      <c r="ELN11" s="314" t="s">
        <v>203</v>
      </c>
      <c r="ELO11" s="314" t="s">
        <v>203</v>
      </c>
      <c r="ELP11" s="314" t="s">
        <v>203</v>
      </c>
      <c r="ELQ11" s="314" t="s">
        <v>203</v>
      </c>
      <c r="ELR11" s="314" t="s">
        <v>203</v>
      </c>
      <c r="ELS11" s="314" t="s">
        <v>203</v>
      </c>
      <c r="ELT11" s="314" t="s">
        <v>203</v>
      </c>
      <c r="ELU11" s="314" t="s">
        <v>203</v>
      </c>
      <c r="ELV11" s="314" t="s">
        <v>203</v>
      </c>
      <c r="ELW11" s="314" t="s">
        <v>203</v>
      </c>
      <c r="ELX11" s="314" t="s">
        <v>203</v>
      </c>
      <c r="ELY11" s="314" t="s">
        <v>203</v>
      </c>
      <c r="ELZ11" s="314" t="s">
        <v>203</v>
      </c>
      <c r="EMA11" s="314" t="s">
        <v>203</v>
      </c>
      <c r="EMB11" s="314" t="s">
        <v>203</v>
      </c>
      <c r="EMC11" s="314" t="s">
        <v>203</v>
      </c>
      <c r="EMD11" s="314" t="s">
        <v>203</v>
      </c>
      <c r="EME11" s="314" t="s">
        <v>203</v>
      </c>
      <c r="EMF11" s="314" t="s">
        <v>203</v>
      </c>
      <c r="EMG11" s="314" t="s">
        <v>203</v>
      </c>
      <c r="EMH11" s="314" t="s">
        <v>203</v>
      </c>
      <c r="EMI11" s="314" t="s">
        <v>203</v>
      </c>
      <c r="EMJ11" s="314" t="s">
        <v>203</v>
      </c>
      <c r="EMK11" s="314" t="s">
        <v>203</v>
      </c>
      <c r="EML11" s="314" t="s">
        <v>203</v>
      </c>
      <c r="EMM11" s="314" t="s">
        <v>203</v>
      </c>
      <c r="EMN11" s="314" t="s">
        <v>203</v>
      </c>
      <c r="EMO11" s="314" t="s">
        <v>203</v>
      </c>
      <c r="EMP11" s="314" t="s">
        <v>203</v>
      </c>
      <c r="EMQ11" s="314" t="s">
        <v>203</v>
      </c>
      <c r="EMR11" s="314" t="s">
        <v>203</v>
      </c>
      <c r="EMS11" s="314" t="s">
        <v>203</v>
      </c>
      <c r="EMT11" s="314" t="s">
        <v>203</v>
      </c>
      <c r="EMU11" s="314" t="s">
        <v>203</v>
      </c>
      <c r="EMV11" s="314" t="s">
        <v>203</v>
      </c>
      <c r="EMW11" s="314" t="s">
        <v>203</v>
      </c>
      <c r="EMX11" s="314" t="s">
        <v>203</v>
      </c>
      <c r="EMY11" s="314" t="s">
        <v>203</v>
      </c>
      <c r="EMZ11" s="314" t="s">
        <v>203</v>
      </c>
      <c r="ENA11" s="314" t="s">
        <v>203</v>
      </c>
      <c r="ENB11" s="314" t="s">
        <v>203</v>
      </c>
      <c r="ENC11" s="314" t="s">
        <v>203</v>
      </c>
      <c r="END11" s="314" t="s">
        <v>203</v>
      </c>
      <c r="ENE11" s="314" t="s">
        <v>203</v>
      </c>
      <c r="ENF11" s="314" t="s">
        <v>203</v>
      </c>
      <c r="ENG11" s="314" t="s">
        <v>203</v>
      </c>
      <c r="ENH11" s="314" t="s">
        <v>203</v>
      </c>
      <c r="ENI11" s="314" t="s">
        <v>203</v>
      </c>
      <c r="ENJ11" s="314" t="s">
        <v>203</v>
      </c>
      <c r="ENK11" s="314" t="s">
        <v>203</v>
      </c>
      <c r="ENL11" s="314" t="s">
        <v>203</v>
      </c>
      <c r="ENM11" s="314" t="s">
        <v>203</v>
      </c>
      <c r="ENN11" s="314" t="s">
        <v>203</v>
      </c>
      <c r="ENO11" s="314" t="s">
        <v>203</v>
      </c>
      <c r="ENP11" s="314" t="s">
        <v>203</v>
      </c>
      <c r="ENQ11" s="314" t="s">
        <v>203</v>
      </c>
      <c r="ENR11" s="314" t="s">
        <v>203</v>
      </c>
      <c r="ENS11" s="314" t="s">
        <v>203</v>
      </c>
      <c r="ENT11" s="314" t="s">
        <v>203</v>
      </c>
      <c r="ENU11" s="314" t="s">
        <v>203</v>
      </c>
      <c r="ENV11" s="314" t="s">
        <v>203</v>
      </c>
      <c r="ENW11" s="314" t="s">
        <v>203</v>
      </c>
      <c r="ENX11" s="314" t="s">
        <v>203</v>
      </c>
      <c r="ENY11" s="314" t="s">
        <v>203</v>
      </c>
      <c r="ENZ11" s="314" t="s">
        <v>203</v>
      </c>
      <c r="EOA11" s="314" t="s">
        <v>203</v>
      </c>
      <c r="EOB11" s="314" t="s">
        <v>203</v>
      </c>
      <c r="EOC11" s="314" t="s">
        <v>203</v>
      </c>
      <c r="EOD11" s="314" t="s">
        <v>203</v>
      </c>
      <c r="EOE11" s="314" t="s">
        <v>203</v>
      </c>
      <c r="EOF11" s="314" t="s">
        <v>203</v>
      </c>
      <c r="EOG11" s="314" t="s">
        <v>203</v>
      </c>
      <c r="EOH11" s="314" t="s">
        <v>203</v>
      </c>
      <c r="EOI11" s="314" t="s">
        <v>203</v>
      </c>
      <c r="EOJ11" s="314" t="s">
        <v>203</v>
      </c>
      <c r="EOK11" s="314" t="s">
        <v>203</v>
      </c>
      <c r="EOL11" s="314" t="s">
        <v>203</v>
      </c>
      <c r="EOM11" s="314" t="s">
        <v>203</v>
      </c>
      <c r="EON11" s="314" t="s">
        <v>203</v>
      </c>
      <c r="EOO11" s="314" t="s">
        <v>203</v>
      </c>
      <c r="EOP11" s="314" t="s">
        <v>203</v>
      </c>
      <c r="EOQ11" s="314" t="s">
        <v>203</v>
      </c>
      <c r="EOR11" s="314" t="s">
        <v>203</v>
      </c>
      <c r="EOS11" s="314" t="s">
        <v>203</v>
      </c>
      <c r="EOT11" s="314" t="s">
        <v>203</v>
      </c>
      <c r="EOU11" s="314" t="s">
        <v>203</v>
      </c>
      <c r="EOV11" s="314" t="s">
        <v>203</v>
      </c>
      <c r="EOW11" s="314" t="s">
        <v>203</v>
      </c>
      <c r="EOX11" s="314" t="s">
        <v>203</v>
      </c>
      <c r="EOY11" s="314" t="s">
        <v>203</v>
      </c>
      <c r="EOZ11" s="314" t="s">
        <v>203</v>
      </c>
      <c r="EPA11" s="314" t="s">
        <v>203</v>
      </c>
      <c r="EPB11" s="314" t="s">
        <v>203</v>
      </c>
      <c r="EPC11" s="314" t="s">
        <v>203</v>
      </c>
      <c r="EPD11" s="314" t="s">
        <v>203</v>
      </c>
      <c r="EPE11" s="314" t="s">
        <v>203</v>
      </c>
      <c r="EPF11" s="314" t="s">
        <v>203</v>
      </c>
      <c r="EPG11" s="314" t="s">
        <v>203</v>
      </c>
      <c r="EPH11" s="314" t="s">
        <v>203</v>
      </c>
      <c r="EPI11" s="314" t="s">
        <v>203</v>
      </c>
      <c r="EPJ11" s="314" t="s">
        <v>203</v>
      </c>
      <c r="EPK11" s="314" t="s">
        <v>203</v>
      </c>
      <c r="EPL11" s="314" t="s">
        <v>203</v>
      </c>
      <c r="EPM11" s="314" t="s">
        <v>203</v>
      </c>
      <c r="EPN11" s="314" t="s">
        <v>203</v>
      </c>
      <c r="EPO11" s="314" t="s">
        <v>203</v>
      </c>
      <c r="EPP11" s="314" t="s">
        <v>203</v>
      </c>
      <c r="EPQ11" s="314" t="s">
        <v>203</v>
      </c>
      <c r="EPR11" s="314" t="s">
        <v>203</v>
      </c>
      <c r="EPS11" s="314" t="s">
        <v>203</v>
      </c>
      <c r="EPT11" s="314" t="s">
        <v>203</v>
      </c>
      <c r="EPU11" s="314" t="s">
        <v>203</v>
      </c>
      <c r="EPV11" s="314" t="s">
        <v>203</v>
      </c>
      <c r="EPW11" s="314" t="s">
        <v>203</v>
      </c>
      <c r="EPX11" s="314" t="s">
        <v>203</v>
      </c>
      <c r="EPY11" s="314" t="s">
        <v>203</v>
      </c>
      <c r="EPZ11" s="314" t="s">
        <v>203</v>
      </c>
      <c r="EQA11" s="314" t="s">
        <v>203</v>
      </c>
      <c r="EQB11" s="314" t="s">
        <v>203</v>
      </c>
      <c r="EQC11" s="314" t="s">
        <v>203</v>
      </c>
      <c r="EQD11" s="314" t="s">
        <v>203</v>
      </c>
      <c r="EQE11" s="314" t="s">
        <v>203</v>
      </c>
      <c r="EQF11" s="314" t="s">
        <v>203</v>
      </c>
      <c r="EQG11" s="314" t="s">
        <v>203</v>
      </c>
      <c r="EQH11" s="314" t="s">
        <v>203</v>
      </c>
      <c r="EQI11" s="314" t="s">
        <v>203</v>
      </c>
      <c r="EQJ11" s="314" t="s">
        <v>203</v>
      </c>
      <c r="EQK11" s="314" t="s">
        <v>203</v>
      </c>
      <c r="EQL11" s="314" t="s">
        <v>203</v>
      </c>
      <c r="EQM11" s="314" t="s">
        <v>203</v>
      </c>
      <c r="EQN11" s="314" t="s">
        <v>203</v>
      </c>
      <c r="EQO11" s="314" t="s">
        <v>203</v>
      </c>
      <c r="EQP11" s="314" t="s">
        <v>203</v>
      </c>
      <c r="EQQ11" s="314" t="s">
        <v>203</v>
      </c>
      <c r="EQR11" s="314" t="s">
        <v>203</v>
      </c>
      <c r="EQS11" s="314" t="s">
        <v>203</v>
      </c>
      <c r="EQT11" s="314" t="s">
        <v>203</v>
      </c>
      <c r="EQU11" s="314" t="s">
        <v>203</v>
      </c>
      <c r="EQV11" s="314" t="s">
        <v>203</v>
      </c>
      <c r="EQW11" s="314" t="s">
        <v>203</v>
      </c>
      <c r="EQX11" s="314" t="s">
        <v>203</v>
      </c>
      <c r="EQY11" s="314" t="s">
        <v>203</v>
      </c>
      <c r="EQZ11" s="314" t="s">
        <v>203</v>
      </c>
      <c r="ERA11" s="314" t="s">
        <v>203</v>
      </c>
      <c r="ERB11" s="314" t="s">
        <v>203</v>
      </c>
      <c r="ERC11" s="314" t="s">
        <v>203</v>
      </c>
      <c r="ERD11" s="314" t="s">
        <v>203</v>
      </c>
      <c r="ERE11" s="314" t="s">
        <v>203</v>
      </c>
      <c r="ERF11" s="314" t="s">
        <v>203</v>
      </c>
      <c r="ERG11" s="314" t="s">
        <v>203</v>
      </c>
      <c r="ERH11" s="314" t="s">
        <v>203</v>
      </c>
      <c r="ERI11" s="314" t="s">
        <v>203</v>
      </c>
      <c r="ERJ11" s="314" t="s">
        <v>203</v>
      </c>
      <c r="ERK11" s="314" t="s">
        <v>203</v>
      </c>
      <c r="ERL11" s="314" t="s">
        <v>203</v>
      </c>
      <c r="ERM11" s="314" t="s">
        <v>203</v>
      </c>
      <c r="ERN11" s="314" t="s">
        <v>203</v>
      </c>
      <c r="ERO11" s="314" t="s">
        <v>203</v>
      </c>
      <c r="ERP11" s="314" t="s">
        <v>203</v>
      </c>
      <c r="ERQ11" s="314" t="s">
        <v>203</v>
      </c>
      <c r="ERR11" s="314" t="s">
        <v>203</v>
      </c>
      <c r="ERS11" s="314" t="s">
        <v>203</v>
      </c>
      <c r="ERT11" s="314" t="s">
        <v>203</v>
      </c>
      <c r="ERU11" s="314" t="s">
        <v>203</v>
      </c>
      <c r="ERV11" s="314" t="s">
        <v>203</v>
      </c>
      <c r="ERW11" s="314" t="s">
        <v>203</v>
      </c>
      <c r="ERX11" s="314" t="s">
        <v>203</v>
      </c>
      <c r="ERY11" s="314" t="s">
        <v>203</v>
      </c>
      <c r="ERZ11" s="314" t="s">
        <v>203</v>
      </c>
      <c r="ESA11" s="314" t="s">
        <v>203</v>
      </c>
      <c r="ESB11" s="314" t="s">
        <v>203</v>
      </c>
      <c r="ESC11" s="314" t="s">
        <v>203</v>
      </c>
      <c r="ESD11" s="314" t="s">
        <v>203</v>
      </c>
      <c r="ESE11" s="314" t="s">
        <v>203</v>
      </c>
      <c r="ESF11" s="314" t="s">
        <v>203</v>
      </c>
      <c r="ESG11" s="314" t="s">
        <v>203</v>
      </c>
      <c r="ESH11" s="314" t="s">
        <v>203</v>
      </c>
      <c r="ESI11" s="314" t="s">
        <v>203</v>
      </c>
      <c r="ESJ11" s="314" t="s">
        <v>203</v>
      </c>
      <c r="ESK11" s="314" t="s">
        <v>203</v>
      </c>
      <c r="ESL11" s="314" t="s">
        <v>203</v>
      </c>
      <c r="ESM11" s="314" t="s">
        <v>203</v>
      </c>
      <c r="ESN11" s="314" t="s">
        <v>203</v>
      </c>
      <c r="ESO11" s="314" t="s">
        <v>203</v>
      </c>
      <c r="ESP11" s="314" t="s">
        <v>203</v>
      </c>
      <c r="ESQ11" s="314" t="s">
        <v>203</v>
      </c>
      <c r="ESR11" s="314" t="s">
        <v>203</v>
      </c>
      <c r="ESS11" s="314" t="s">
        <v>203</v>
      </c>
      <c r="EST11" s="314" t="s">
        <v>203</v>
      </c>
      <c r="ESU11" s="314" t="s">
        <v>203</v>
      </c>
      <c r="ESV11" s="314" t="s">
        <v>203</v>
      </c>
      <c r="ESW11" s="314" t="s">
        <v>203</v>
      </c>
      <c r="ESX11" s="314" t="s">
        <v>203</v>
      </c>
      <c r="ESY11" s="314" t="s">
        <v>203</v>
      </c>
      <c r="ESZ11" s="314" t="s">
        <v>203</v>
      </c>
      <c r="ETA11" s="314" t="s">
        <v>203</v>
      </c>
      <c r="ETB11" s="314" t="s">
        <v>203</v>
      </c>
      <c r="ETC11" s="314" t="s">
        <v>203</v>
      </c>
      <c r="ETD11" s="314" t="s">
        <v>203</v>
      </c>
      <c r="ETE11" s="314" t="s">
        <v>203</v>
      </c>
      <c r="ETF11" s="314" t="s">
        <v>203</v>
      </c>
      <c r="ETG11" s="314" t="s">
        <v>203</v>
      </c>
      <c r="ETH11" s="314" t="s">
        <v>203</v>
      </c>
      <c r="ETI11" s="314" t="s">
        <v>203</v>
      </c>
      <c r="ETJ11" s="314" t="s">
        <v>203</v>
      </c>
      <c r="ETK11" s="314" t="s">
        <v>203</v>
      </c>
      <c r="ETL11" s="314" t="s">
        <v>203</v>
      </c>
      <c r="ETM11" s="314" t="s">
        <v>203</v>
      </c>
      <c r="ETN11" s="314" t="s">
        <v>203</v>
      </c>
      <c r="ETO11" s="314" t="s">
        <v>203</v>
      </c>
      <c r="ETP11" s="314" t="s">
        <v>203</v>
      </c>
      <c r="ETQ11" s="314" t="s">
        <v>203</v>
      </c>
      <c r="ETR11" s="314" t="s">
        <v>203</v>
      </c>
      <c r="ETS11" s="314" t="s">
        <v>203</v>
      </c>
      <c r="ETT11" s="314" t="s">
        <v>203</v>
      </c>
      <c r="ETU11" s="314" t="s">
        <v>203</v>
      </c>
      <c r="ETV11" s="314" t="s">
        <v>203</v>
      </c>
      <c r="ETW11" s="314" t="s">
        <v>203</v>
      </c>
      <c r="ETX11" s="314" t="s">
        <v>203</v>
      </c>
      <c r="ETY11" s="314" t="s">
        <v>203</v>
      </c>
      <c r="ETZ11" s="314" t="s">
        <v>203</v>
      </c>
      <c r="EUA11" s="314" t="s">
        <v>203</v>
      </c>
      <c r="EUB11" s="314" t="s">
        <v>203</v>
      </c>
      <c r="EUC11" s="314" t="s">
        <v>203</v>
      </c>
      <c r="EUD11" s="314" t="s">
        <v>203</v>
      </c>
      <c r="EUE11" s="314" t="s">
        <v>203</v>
      </c>
      <c r="EUF11" s="314" t="s">
        <v>203</v>
      </c>
      <c r="EUG11" s="314" t="s">
        <v>203</v>
      </c>
      <c r="EUH11" s="314" t="s">
        <v>203</v>
      </c>
      <c r="EUI11" s="314" t="s">
        <v>203</v>
      </c>
      <c r="EUJ11" s="314" t="s">
        <v>203</v>
      </c>
      <c r="EUK11" s="314" t="s">
        <v>203</v>
      </c>
      <c r="EUL11" s="314" t="s">
        <v>203</v>
      </c>
      <c r="EUM11" s="314" t="s">
        <v>203</v>
      </c>
      <c r="EUN11" s="314" t="s">
        <v>203</v>
      </c>
      <c r="EUO11" s="314" t="s">
        <v>203</v>
      </c>
      <c r="EUP11" s="314" t="s">
        <v>203</v>
      </c>
      <c r="EUQ11" s="314" t="s">
        <v>203</v>
      </c>
      <c r="EUR11" s="314" t="s">
        <v>203</v>
      </c>
      <c r="EUS11" s="314" t="s">
        <v>203</v>
      </c>
      <c r="EUT11" s="314" t="s">
        <v>203</v>
      </c>
      <c r="EUU11" s="314" t="s">
        <v>203</v>
      </c>
      <c r="EUV11" s="314" t="s">
        <v>203</v>
      </c>
      <c r="EUW11" s="314" t="s">
        <v>203</v>
      </c>
      <c r="EUX11" s="314" t="s">
        <v>203</v>
      </c>
      <c r="EUY11" s="314" t="s">
        <v>203</v>
      </c>
      <c r="EUZ11" s="314" t="s">
        <v>203</v>
      </c>
      <c r="EVA11" s="314" t="s">
        <v>203</v>
      </c>
      <c r="EVB11" s="314" t="s">
        <v>203</v>
      </c>
      <c r="EVC11" s="314" t="s">
        <v>203</v>
      </c>
      <c r="EVD11" s="314" t="s">
        <v>203</v>
      </c>
      <c r="EVE11" s="314" t="s">
        <v>203</v>
      </c>
      <c r="EVF11" s="314" t="s">
        <v>203</v>
      </c>
      <c r="EVG11" s="314" t="s">
        <v>203</v>
      </c>
      <c r="EVH11" s="314" t="s">
        <v>203</v>
      </c>
      <c r="EVI11" s="314" t="s">
        <v>203</v>
      </c>
      <c r="EVJ11" s="314" t="s">
        <v>203</v>
      </c>
      <c r="EVK11" s="314" t="s">
        <v>203</v>
      </c>
      <c r="EVL11" s="314" t="s">
        <v>203</v>
      </c>
      <c r="EVM11" s="314" t="s">
        <v>203</v>
      </c>
      <c r="EVN11" s="314" t="s">
        <v>203</v>
      </c>
      <c r="EVO11" s="314" t="s">
        <v>203</v>
      </c>
      <c r="EVP11" s="314" t="s">
        <v>203</v>
      </c>
      <c r="EVQ11" s="314" t="s">
        <v>203</v>
      </c>
      <c r="EVR11" s="314" t="s">
        <v>203</v>
      </c>
      <c r="EVS11" s="314" t="s">
        <v>203</v>
      </c>
      <c r="EVT11" s="314" t="s">
        <v>203</v>
      </c>
      <c r="EVU11" s="314" t="s">
        <v>203</v>
      </c>
      <c r="EVV11" s="314" t="s">
        <v>203</v>
      </c>
      <c r="EVW11" s="314" t="s">
        <v>203</v>
      </c>
      <c r="EVX11" s="314" t="s">
        <v>203</v>
      </c>
      <c r="EVY11" s="314" t="s">
        <v>203</v>
      </c>
      <c r="EVZ11" s="314" t="s">
        <v>203</v>
      </c>
      <c r="EWA11" s="314" t="s">
        <v>203</v>
      </c>
      <c r="EWB11" s="314" t="s">
        <v>203</v>
      </c>
      <c r="EWC11" s="314" t="s">
        <v>203</v>
      </c>
      <c r="EWD11" s="314" t="s">
        <v>203</v>
      </c>
      <c r="EWE11" s="314" t="s">
        <v>203</v>
      </c>
      <c r="EWF11" s="314" t="s">
        <v>203</v>
      </c>
      <c r="EWG11" s="314" t="s">
        <v>203</v>
      </c>
      <c r="EWH11" s="314" t="s">
        <v>203</v>
      </c>
      <c r="EWI11" s="314" t="s">
        <v>203</v>
      </c>
      <c r="EWJ11" s="314" t="s">
        <v>203</v>
      </c>
      <c r="EWK11" s="314" t="s">
        <v>203</v>
      </c>
      <c r="EWL11" s="314" t="s">
        <v>203</v>
      </c>
      <c r="EWM11" s="314" t="s">
        <v>203</v>
      </c>
      <c r="EWN11" s="314" t="s">
        <v>203</v>
      </c>
      <c r="EWO11" s="314" t="s">
        <v>203</v>
      </c>
      <c r="EWP11" s="314" t="s">
        <v>203</v>
      </c>
      <c r="EWQ11" s="314" t="s">
        <v>203</v>
      </c>
      <c r="EWR11" s="314" t="s">
        <v>203</v>
      </c>
      <c r="EWS11" s="314" t="s">
        <v>203</v>
      </c>
      <c r="EWT11" s="314" t="s">
        <v>203</v>
      </c>
      <c r="EWU11" s="314" t="s">
        <v>203</v>
      </c>
      <c r="EWV11" s="314" t="s">
        <v>203</v>
      </c>
      <c r="EWW11" s="314" t="s">
        <v>203</v>
      </c>
      <c r="EWX11" s="314" t="s">
        <v>203</v>
      </c>
      <c r="EWY11" s="314" t="s">
        <v>203</v>
      </c>
      <c r="EWZ11" s="314" t="s">
        <v>203</v>
      </c>
      <c r="EXA11" s="314" t="s">
        <v>203</v>
      </c>
      <c r="EXB11" s="314" t="s">
        <v>203</v>
      </c>
      <c r="EXC11" s="314" t="s">
        <v>203</v>
      </c>
      <c r="EXD11" s="314" t="s">
        <v>203</v>
      </c>
      <c r="EXE11" s="314" t="s">
        <v>203</v>
      </c>
      <c r="EXF11" s="314" t="s">
        <v>203</v>
      </c>
      <c r="EXG11" s="314" t="s">
        <v>203</v>
      </c>
      <c r="EXH11" s="314" t="s">
        <v>203</v>
      </c>
      <c r="EXI11" s="314" t="s">
        <v>203</v>
      </c>
      <c r="EXJ11" s="314" t="s">
        <v>203</v>
      </c>
      <c r="EXK11" s="314" t="s">
        <v>203</v>
      </c>
      <c r="EXL11" s="314" t="s">
        <v>203</v>
      </c>
      <c r="EXM11" s="314" t="s">
        <v>203</v>
      </c>
      <c r="EXN11" s="314" t="s">
        <v>203</v>
      </c>
      <c r="EXO11" s="314" t="s">
        <v>203</v>
      </c>
      <c r="EXP11" s="314" t="s">
        <v>203</v>
      </c>
      <c r="EXQ11" s="314" t="s">
        <v>203</v>
      </c>
      <c r="EXR11" s="314" t="s">
        <v>203</v>
      </c>
      <c r="EXS11" s="314" t="s">
        <v>203</v>
      </c>
      <c r="EXT11" s="314" t="s">
        <v>203</v>
      </c>
      <c r="EXU11" s="314" t="s">
        <v>203</v>
      </c>
      <c r="EXV11" s="314" t="s">
        <v>203</v>
      </c>
      <c r="EXW11" s="314" t="s">
        <v>203</v>
      </c>
      <c r="EXX11" s="314" t="s">
        <v>203</v>
      </c>
      <c r="EXY11" s="314" t="s">
        <v>203</v>
      </c>
      <c r="EXZ11" s="314" t="s">
        <v>203</v>
      </c>
      <c r="EYA11" s="314" t="s">
        <v>203</v>
      </c>
      <c r="EYB11" s="314" t="s">
        <v>203</v>
      </c>
      <c r="EYC11" s="314" t="s">
        <v>203</v>
      </c>
      <c r="EYD11" s="314" t="s">
        <v>203</v>
      </c>
      <c r="EYE11" s="314" t="s">
        <v>203</v>
      </c>
      <c r="EYF11" s="314" t="s">
        <v>203</v>
      </c>
      <c r="EYG11" s="314" t="s">
        <v>203</v>
      </c>
      <c r="EYH11" s="314" t="s">
        <v>203</v>
      </c>
      <c r="EYI11" s="314" t="s">
        <v>203</v>
      </c>
      <c r="EYJ11" s="314" t="s">
        <v>203</v>
      </c>
      <c r="EYK11" s="314" t="s">
        <v>203</v>
      </c>
      <c r="EYL11" s="314" t="s">
        <v>203</v>
      </c>
      <c r="EYM11" s="314" t="s">
        <v>203</v>
      </c>
      <c r="EYN11" s="314" t="s">
        <v>203</v>
      </c>
      <c r="EYO11" s="314" t="s">
        <v>203</v>
      </c>
      <c r="EYP11" s="314" t="s">
        <v>203</v>
      </c>
      <c r="EYQ11" s="314" t="s">
        <v>203</v>
      </c>
      <c r="EYR11" s="314" t="s">
        <v>203</v>
      </c>
      <c r="EYS11" s="314" t="s">
        <v>203</v>
      </c>
      <c r="EYT11" s="314" t="s">
        <v>203</v>
      </c>
      <c r="EYU11" s="314" t="s">
        <v>203</v>
      </c>
      <c r="EYV11" s="314" t="s">
        <v>203</v>
      </c>
      <c r="EYW11" s="314" t="s">
        <v>203</v>
      </c>
      <c r="EYX11" s="314" t="s">
        <v>203</v>
      </c>
      <c r="EYY11" s="314" t="s">
        <v>203</v>
      </c>
      <c r="EYZ11" s="314" t="s">
        <v>203</v>
      </c>
      <c r="EZA11" s="314" t="s">
        <v>203</v>
      </c>
      <c r="EZB11" s="314" t="s">
        <v>203</v>
      </c>
      <c r="EZC11" s="314" t="s">
        <v>203</v>
      </c>
      <c r="EZD11" s="314" t="s">
        <v>203</v>
      </c>
      <c r="EZE11" s="314" t="s">
        <v>203</v>
      </c>
      <c r="EZF11" s="314" t="s">
        <v>203</v>
      </c>
      <c r="EZG11" s="314" t="s">
        <v>203</v>
      </c>
      <c r="EZH11" s="314" t="s">
        <v>203</v>
      </c>
      <c r="EZI11" s="314" t="s">
        <v>203</v>
      </c>
      <c r="EZJ11" s="314" t="s">
        <v>203</v>
      </c>
      <c r="EZK11" s="314" t="s">
        <v>203</v>
      </c>
      <c r="EZL11" s="314" t="s">
        <v>203</v>
      </c>
      <c r="EZM11" s="314" t="s">
        <v>203</v>
      </c>
      <c r="EZN11" s="314" t="s">
        <v>203</v>
      </c>
      <c r="EZO11" s="314" t="s">
        <v>203</v>
      </c>
      <c r="EZP11" s="314" t="s">
        <v>203</v>
      </c>
      <c r="EZQ11" s="314" t="s">
        <v>203</v>
      </c>
      <c r="EZR11" s="314" t="s">
        <v>203</v>
      </c>
      <c r="EZS11" s="314" t="s">
        <v>203</v>
      </c>
      <c r="EZT11" s="314" t="s">
        <v>203</v>
      </c>
      <c r="EZU11" s="314" t="s">
        <v>203</v>
      </c>
      <c r="EZV11" s="314" t="s">
        <v>203</v>
      </c>
      <c r="EZW11" s="314" t="s">
        <v>203</v>
      </c>
      <c r="EZX11" s="314" t="s">
        <v>203</v>
      </c>
      <c r="EZY11" s="314" t="s">
        <v>203</v>
      </c>
      <c r="EZZ11" s="314" t="s">
        <v>203</v>
      </c>
      <c r="FAA11" s="314" t="s">
        <v>203</v>
      </c>
      <c r="FAB11" s="314" t="s">
        <v>203</v>
      </c>
      <c r="FAC11" s="314" t="s">
        <v>203</v>
      </c>
      <c r="FAD11" s="314" t="s">
        <v>203</v>
      </c>
      <c r="FAE11" s="314" t="s">
        <v>203</v>
      </c>
      <c r="FAF11" s="314" t="s">
        <v>203</v>
      </c>
      <c r="FAG11" s="314" t="s">
        <v>203</v>
      </c>
      <c r="FAH11" s="314" t="s">
        <v>203</v>
      </c>
      <c r="FAI11" s="314" t="s">
        <v>203</v>
      </c>
      <c r="FAJ11" s="314" t="s">
        <v>203</v>
      </c>
      <c r="FAK11" s="314" t="s">
        <v>203</v>
      </c>
      <c r="FAL11" s="314" t="s">
        <v>203</v>
      </c>
      <c r="FAM11" s="314" t="s">
        <v>203</v>
      </c>
      <c r="FAN11" s="314" t="s">
        <v>203</v>
      </c>
      <c r="FAO11" s="314" t="s">
        <v>203</v>
      </c>
      <c r="FAP11" s="314" t="s">
        <v>203</v>
      </c>
      <c r="FAQ11" s="314" t="s">
        <v>203</v>
      </c>
      <c r="FAR11" s="314" t="s">
        <v>203</v>
      </c>
      <c r="FAS11" s="314" t="s">
        <v>203</v>
      </c>
      <c r="FAT11" s="314" t="s">
        <v>203</v>
      </c>
      <c r="FAU11" s="314" t="s">
        <v>203</v>
      </c>
      <c r="FAV11" s="314" t="s">
        <v>203</v>
      </c>
      <c r="FAW11" s="314" t="s">
        <v>203</v>
      </c>
      <c r="FAX11" s="314" t="s">
        <v>203</v>
      </c>
      <c r="FAY11" s="314" t="s">
        <v>203</v>
      </c>
      <c r="FAZ11" s="314" t="s">
        <v>203</v>
      </c>
      <c r="FBA11" s="314" t="s">
        <v>203</v>
      </c>
      <c r="FBB11" s="314" t="s">
        <v>203</v>
      </c>
      <c r="FBC11" s="314" t="s">
        <v>203</v>
      </c>
      <c r="FBD11" s="314" t="s">
        <v>203</v>
      </c>
      <c r="FBE11" s="314" t="s">
        <v>203</v>
      </c>
      <c r="FBF11" s="314" t="s">
        <v>203</v>
      </c>
      <c r="FBG11" s="314" t="s">
        <v>203</v>
      </c>
      <c r="FBH11" s="314" t="s">
        <v>203</v>
      </c>
      <c r="FBI11" s="314" t="s">
        <v>203</v>
      </c>
      <c r="FBJ11" s="314" t="s">
        <v>203</v>
      </c>
      <c r="FBK11" s="314" t="s">
        <v>203</v>
      </c>
      <c r="FBL11" s="314" t="s">
        <v>203</v>
      </c>
      <c r="FBM11" s="314" t="s">
        <v>203</v>
      </c>
      <c r="FBN11" s="314" t="s">
        <v>203</v>
      </c>
      <c r="FBO11" s="314" t="s">
        <v>203</v>
      </c>
      <c r="FBP11" s="314" t="s">
        <v>203</v>
      </c>
      <c r="FBQ11" s="314" t="s">
        <v>203</v>
      </c>
      <c r="FBR11" s="314" t="s">
        <v>203</v>
      </c>
      <c r="FBS11" s="314" t="s">
        <v>203</v>
      </c>
      <c r="FBT11" s="314" t="s">
        <v>203</v>
      </c>
      <c r="FBU11" s="314" t="s">
        <v>203</v>
      </c>
      <c r="FBV11" s="314" t="s">
        <v>203</v>
      </c>
      <c r="FBW11" s="314" t="s">
        <v>203</v>
      </c>
      <c r="FBX11" s="314" t="s">
        <v>203</v>
      </c>
      <c r="FBY11" s="314" t="s">
        <v>203</v>
      </c>
      <c r="FBZ11" s="314" t="s">
        <v>203</v>
      </c>
      <c r="FCA11" s="314" t="s">
        <v>203</v>
      </c>
      <c r="FCB11" s="314" t="s">
        <v>203</v>
      </c>
      <c r="FCC11" s="314" t="s">
        <v>203</v>
      </c>
      <c r="FCD11" s="314" t="s">
        <v>203</v>
      </c>
      <c r="FCE11" s="314" t="s">
        <v>203</v>
      </c>
      <c r="FCF11" s="314" t="s">
        <v>203</v>
      </c>
      <c r="FCG11" s="314" t="s">
        <v>203</v>
      </c>
      <c r="FCH11" s="314" t="s">
        <v>203</v>
      </c>
      <c r="FCI11" s="314" t="s">
        <v>203</v>
      </c>
      <c r="FCJ11" s="314" t="s">
        <v>203</v>
      </c>
      <c r="FCK11" s="314" t="s">
        <v>203</v>
      </c>
      <c r="FCL11" s="314" t="s">
        <v>203</v>
      </c>
      <c r="FCM11" s="314" t="s">
        <v>203</v>
      </c>
      <c r="FCN11" s="314" t="s">
        <v>203</v>
      </c>
      <c r="FCO11" s="314" t="s">
        <v>203</v>
      </c>
      <c r="FCP11" s="314" t="s">
        <v>203</v>
      </c>
      <c r="FCQ11" s="314" t="s">
        <v>203</v>
      </c>
      <c r="FCR11" s="314" t="s">
        <v>203</v>
      </c>
      <c r="FCS11" s="314" t="s">
        <v>203</v>
      </c>
      <c r="FCT11" s="314" t="s">
        <v>203</v>
      </c>
      <c r="FCU11" s="314" t="s">
        <v>203</v>
      </c>
      <c r="FCV11" s="314" t="s">
        <v>203</v>
      </c>
      <c r="FCW11" s="314" t="s">
        <v>203</v>
      </c>
      <c r="FCX11" s="314" t="s">
        <v>203</v>
      </c>
      <c r="FCY11" s="314" t="s">
        <v>203</v>
      </c>
      <c r="FCZ11" s="314" t="s">
        <v>203</v>
      </c>
      <c r="FDA11" s="314" t="s">
        <v>203</v>
      </c>
      <c r="FDB11" s="314" t="s">
        <v>203</v>
      </c>
      <c r="FDC11" s="314" t="s">
        <v>203</v>
      </c>
      <c r="FDD11" s="314" t="s">
        <v>203</v>
      </c>
      <c r="FDE11" s="314" t="s">
        <v>203</v>
      </c>
      <c r="FDF11" s="314" t="s">
        <v>203</v>
      </c>
      <c r="FDG11" s="314" t="s">
        <v>203</v>
      </c>
      <c r="FDH11" s="314" t="s">
        <v>203</v>
      </c>
      <c r="FDI11" s="314" t="s">
        <v>203</v>
      </c>
      <c r="FDJ11" s="314" t="s">
        <v>203</v>
      </c>
      <c r="FDK11" s="314" t="s">
        <v>203</v>
      </c>
      <c r="FDL11" s="314" t="s">
        <v>203</v>
      </c>
      <c r="FDM11" s="314" t="s">
        <v>203</v>
      </c>
      <c r="FDN11" s="314" t="s">
        <v>203</v>
      </c>
      <c r="FDO11" s="314" t="s">
        <v>203</v>
      </c>
      <c r="FDP11" s="314" t="s">
        <v>203</v>
      </c>
      <c r="FDQ11" s="314" t="s">
        <v>203</v>
      </c>
      <c r="FDR11" s="314" t="s">
        <v>203</v>
      </c>
      <c r="FDS11" s="314" t="s">
        <v>203</v>
      </c>
      <c r="FDT11" s="314" t="s">
        <v>203</v>
      </c>
      <c r="FDU11" s="314" t="s">
        <v>203</v>
      </c>
      <c r="FDV11" s="314" t="s">
        <v>203</v>
      </c>
      <c r="FDW11" s="314" t="s">
        <v>203</v>
      </c>
      <c r="FDX11" s="314" t="s">
        <v>203</v>
      </c>
      <c r="FDY11" s="314" t="s">
        <v>203</v>
      </c>
      <c r="FDZ11" s="314" t="s">
        <v>203</v>
      </c>
      <c r="FEA11" s="314" t="s">
        <v>203</v>
      </c>
      <c r="FEB11" s="314" t="s">
        <v>203</v>
      </c>
      <c r="FEC11" s="314" t="s">
        <v>203</v>
      </c>
      <c r="FED11" s="314" t="s">
        <v>203</v>
      </c>
      <c r="FEE11" s="314" t="s">
        <v>203</v>
      </c>
      <c r="FEF11" s="314" t="s">
        <v>203</v>
      </c>
      <c r="FEG11" s="314" t="s">
        <v>203</v>
      </c>
      <c r="FEH11" s="314" t="s">
        <v>203</v>
      </c>
      <c r="FEI11" s="314" t="s">
        <v>203</v>
      </c>
      <c r="FEJ11" s="314" t="s">
        <v>203</v>
      </c>
      <c r="FEK11" s="314" t="s">
        <v>203</v>
      </c>
      <c r="FEL11" s="314" t="s">
        <v>203</v>
      </c>
      <c r="FEM11" s="314" t="s">
        <v>203</v>
      </c>
      <c r="FEN11" s="314" t="s">
        <v>203</v>
      </c>
      <c r="FEO11" s="314" t="s">
        <v>203</v>
      </c>
      <c r="FEP11" s="314" t="s">
        <v>203</v>
      </c>
      <c r="FEQ11" s="314" t="s">
        <v>203</v>
      </c>
      <c r="FER11" s="314" t="s">
        <v>203</v>
      </c>
      <c r="FES11" s="314" t="s">
        <v>203</v>
      </c>
      <c r="FET11" s="314" t="s">
        <v>203</v>
      </c>
      <c r="FEU11" s="314" t="s">
        <v>203</v>
      </c>
      <c r="FEV11" s="314" t="s">
        <v>203</v>
      </c>
      <c r="FEW11" s="314" t="s">
        <v>203</v>
      </c>
      <c r="FEX11" s="314" t="s">
        <v>203</v>
      </c>
      <c r="FEY11" s="314" t="s">
        <v>203</v>
      </c>
      <c r="FEZ11" s="314" t="s">
        <v>203</v>
      </c>
      <c r="FFA11" s="314" t="s">
        <v>203</v>
      </c>
      <c r="FFB11" s="314" t="s">
        <v>203</v>
      </c>
      <c r="FFC11" s="314" t="s">
        <v>203</v>
      </c>
      <c r="FFD11" s="314" t="s">
        <v>203</v>
      </c>
      <c r="FFE11" s="314" t="s">
        <v>203</v>
      </c>
      <c r="FFF11" s="314" t="s">
        <v>203</v>
      </c>
      <c r="FFG11" s="314" t="s">
        <v>203</v>
      </c>
      <c r="FFH11" s="314" t="s">
        <v>203</v>
      </c>
      <c r="FFI11" s="314" t="s">
        <v>203</v>
      </c>
      <c r="FFJ11" s="314" t="s">
        <v>203</v>
      </c>
      <c r="FFK11" s="314" t="s">
        <v>203</v>
      </c>
      <c r="FFL11" s="314" t="s">
        <v>203</v>
      </c>
      <c r="FFM11" s="314" t="s">
        <v>203</v>
      </c>
      <c r="FFN11" s="314" t="s">
        <v>203</v>
      </c>
      <c r="FFO11" s="314" t="s">
        <v>203</v>
      </c>
      <c r="FFP11" s="314" t="s">
        <v>203</v>
      </c>
      <c r="FFQ11" s="314" t="s">
        <v>203</v>
      </c>
      <c r="FFR11" s="314" t="s">
        <v>203</v>
      </c>
      <c r="FFS11" s="314" t="s">
        <v>203</v>
      </c>
      <c r="FFT11" s="314" t="s">
        <v>203</v>
      </c>
      <c r="FFU11" s="314" t="s">
        <v>203</v>
      </c>
      <c r="FFV11" s="314" t="s">
        <v>203</v>
      </c>
      <c r="FFW11" s="314" t="s">
        <v>203</v>
      </c>
      <c r="FFX11" s="314" t="s">
        <v>203</v>
      </c>
      <c r="FFY11" s="314" t="s">
        <v>203</v>
      </c>
      <c r="FFZ11" s="314" t="s">
        <v>203</v>
      </c>
      <c r="FGA11" s="314" t="s">
        <v>203</v>
      </c>
      <c r="FGB11" s="314" t="s">
        <v>203</v>
      </c>
      <c r="FGC11" s="314" t="s">
        <v>203</v>
      </c>
      <c r="FGD11" s="314" t="s">
        <v>203</v>
      </c>
      <c r="FGE11" s="314" t="s">
        <v>203</v>
      </c>
      <c r="FGF11" s="314" t="s">
        <v>203</v>
      </c>
      <c r="FGG11" s="314" t="s">
        <v>203</v>
      </c>
      <c r="FGH11" s="314" t="s">
        <v>203</v>
      </c>
      <c r="FGI11" s="314" t="s">
        <v>203</v>
      </c>
      <c r="FGJ11" s="314" t="s">
        <v>203</v>
      </c>
      <c r="FGK11" s="314" t="s">
        <v>203</v>
      </c>
      <c r="FGL11" s="314" t="s">
        <v>203</v>
      </c>
      <c r="FGM11" s="314" t="s">
        <v>203</v>
      </c>
      <c r="FGN11" s="314" t="s">
        <v>203</v>
      </c>
      <c r="FGO11" s="314" t="s">
        <v>203</v>
      </c>
      <c r="FGP11" s="314" t="s">
        <v>203</v>
      </c>
      <c r="FGQ11" s="314" t="s">
        <v>203</v>
      </c>
      <c r="FGR11" s="314" t="s">
        <v>203</v>
      </c>
      <c r="FGS11" s="314" t="s">
        <v>203</v>
      </c>
      <c r="FGT11" s="314" t="s">
        <v>203</v>
      </c>
      <c r="FGU11" s="314" t="s">
        <v>203</v>
      </c>
      <c r="FGV11" s="314" t="s">
        <v>203</v>
      </c>
      <c r="FGW11" s="314" t="s">
        <v>203</v>
      </c>
      <c r="FGX11" s="314" t="s">
        <v>203</v>
      </c>
      <c r="FGY11" s="314" t="s">
        <v>203</v>
      </c>
      <c r="FGZ11" s="314" t="s">
        <v>203</v>
      </c>
      <c r="FHA11" s="314" t="s">
        <v>203</v>
      </c>
      <c r="FHB11" s="314" t="s">
        <v>203</v>
      </c>
      <c r="FHC11" s="314" t="s">
        <v>203</v>
      </c>
      <c r="FHD11" s="314" t="s">
        <v>203</v>
      </c>
      <c r="FHE11" s="314" t="s">
        <v>203</v>
      </c>
      <c r="FHF11" s="314" t="s">
        <v>203</v>
      </c>
      <c r="FHG11" s="314" t="s">
        <v>203</v>
      </c>
      <c r="FHH11" s="314" t="s">
        <v>203</v>
      </c>
      <c r="FHI11" s="314" t="s">
        <v>203</v>
      </c>
      <c r="FHJ11" s="314" t="s">
        <v>203</v>
      </c>
      <c r="FHK11" s="314" t="s">
        <v>203</v>
      </c>
      <c r="FHL11" s="314" t="s">
        <v>203</v>
      </c>
      <c r="FHM11" s="314" t="s">
        <v>203</v>
      </c>
      <c r="FHN11" s="314" t="s">
        <v>203</v>
      </c>
      <c r="FHO11" s="314" t="s">
        <v>203</v>
      </c>
      <c r="FHP11" s="314" t="s">
        <v>203</v>
      </c>
      <c r="FHQ11" s="314" t="s">
        <v>203</v>
      </c>
      <c r="FHR11" s="314" t="s">
        <v>203</v>
      </c>
      <c r="FHS11" s="314" t="s">
        <v>203</v>
      </c>
      <c r="FHT11" s="314" t="s">
        <v>203</v>
      </c>
      <c r="FHU11" s="314" t="s">
        <v>203</v>
      </c>
      <c r="FHV11" s="314" t="s">
        <v>203</v>
      </c>
      <c r="FHW11" s="314" t="s">
        <v>203</v>
      </c>
      <c r="FHX11" s="314" t="s">
        <v>203</v>
      </c>
      <c r="FHY11" s="314" t="s">
        <v>203</v>
      </c>
      <c r="FHZ11" s="314" t="s">
        <v>203</v>
      </c>
      <c r="FIA11" s="314" t="s">
        <v>203</v>
      </c>
      <c r="FIB11" s="314" t="s">
        <v>203</v>
      </c>
      <c r="FIC11" s="314" t="s">
        <v>203</v>
      </c>
      <c r="FID11" s="314" t="s">
        <v>203</v>
      </c>
      <c r="FIE11" s="314" t="s">
        <v>203</v>
      </c>
      <c r="FIF11" s="314" t="s">
        <v>203</v>
      </c>
      <c r="FIG11" s="314" t="s">
        <v>203</v>
      </c>
      <c r="FIH11" s="314" t="s">
        <v>203</v>
      </c>
      <c r="FII11" s="314" t="s">
        <v>203</v>
      </c>
      <c r="FIJ11" s="314" t="s">
        <v>203</v>
      </c>
      <c r="FIK11" s="314" t="s">
        <v>203</v>
      </c>
      <c r="FIL11" s="314" t="s">
        <v>203</v>
      </c>
      <c r="FIM11" s="314" t="s">
        <v>203</v>
      </c>
      <c r="FIN11" s="314" t="s">
        <v>203</v>
      </c>
      <c r="FIO11" s="314" t="s">
        <v>203</v>
      </c>
      <c r="FIP11" s="314" t="s">
        <v>203</v>
      </c>
      <c r="FIQ11" s="314" t="s">
        <v>203</v>
      </c>
      <c r="FIR11" s="314" t="s">
        <v>203</v>
      </c>
      <c r="FIS11" s="314" t="s">
        <v>203</v>
      </c>
      <c r="FIT11" s="314" t="s">
        <v>203</v>
      </c>
      <c r="FIU11" s="314" t="s">
        <v>203</v>
      </c>
      <c r="FIV11" s="314" t="s">
        <v>203</v>
      </c>
      <c r="FIW11" s="314" t="s">
        <v>203</v>
      </c>
      <c r="FIX11" s="314" t="s">
        <v>203</v>
      </c>
      <c r="FIY11" s="314" t="s">
        <v>203</v>
      </c>
      <c r="FIZ11" s="314" t="s">
        <v>203</v>
      </c>
      <c r="FJA11" s="314" t="s">
        <v>203</v>
      </c>
      <c r="FJB11" s="314" t="s">
        <v>203</v>
      </c>
      <c r="FJC11" s="314" t="s">
        <v>203</v>
      </c>
      <c r="FJD11" s="314" t="s">
        <v>203</v>
      </c>
      <c r="FJE11" s="314" t="s">
        <v>203</v>
      </c>
      <c r="FJF11" s="314" t="s">
        <v>203</v>
      </c>
      <c r="FJG11" s="314" t="s">
        <v>203</v>
      </c>
      <c r="FJH11" s="314" t="s">
        <v>203</v>
      </c>
      <c r="FJI11" s="314" t="s">
        <v>203</v>
      </c>
      <c r="FJJ11" s="314" t="s">
        <v>203</v>
      </c>
      <c r="FJK11" s="314" t="s">
        <v>203</v>
      </c>
      <c r="FJL11" s="314" t="s">
        <v>203</v>
      </c>
      <c r="FJM11" s="314" t="s">
        <v>203</v>
      </c>
      <c r="FJN11" s="314" t="s">
        <v>203</v>
      </c>
      <c r="FJO11" s="314" t="s">
        <v>203</v>
      </c>
      <c r="FJP11" s="314" t="s">
        <v>203</v>
      </c>
      <c r="FJQ11" s="314" t="s">
        <v>203</v>
      </c>
      <c r="FJR11" s="314" t="s">
        <v>203</v>
      </c>
      <c r="FJS11" s="314" t="s">
        <v>203</v>
      </c>
      <c r="FJT11" s="314" t="s">
        <v>203</v>
      </c>
      <c r="FJU11" s="314" t="s">
        <v>203</v>
      </c>
      <c r="FJV11" s="314" t="s">
        <v>203</v>
      </c>
      <c r="FJW11" s="314" t="s">
        <v>203</v>
      </c>
      <c r="FJX11" s="314" t="s">
        <v>203</v>
      </c>
      <c r="FJY11" s="314" t="s">
        <v>203</v>
      </c>
      <c r="FJZ11" s="314" t="s">
        <v>203</v>
      </c>
      <c r="FKA11" s="314" t="s">
        <v>203</v>
      </c>
      <c r="FKB11" s="314" t="s">
        <v>203</v>
      </c>
      <c r="FKC11" s="314" t="s">
        <v>203</v>
      </c>
      <c r="FKD11" s="314" t="s">
        <v>203</v>
      </c>
      <c r="FKE11" s="314" t="s">
        <v>203</v>
      </c>
      <c r="FKF11" s="314" t="s">
        <v>203</v>
      </c>
      <c r="FKG11" s="314" t="s">
        <v>203</v>
      </c>
      <c r="FKH11" s="314" t="s">
        <v>203</v>
      </c>
      <c r="FKI11" s="314" t="s">
        <v>203</v>
      </c>
      <c r="FKJ11" s="314" t="s">
        <v>203</v>
      </c>
      <c r="FKK11" s="314" t="s">
        <v>203</v>
      </c>
      <c r="FKL11" s="314" t="s">
        <v>203</v>
      </c>
      <c r="FKM11" s="314" t="s">
        <v>203</v>
      </c>
      <c r="FKN11" s="314" t="s">
        <v>203</v>
      </c>
      <c r="FKO11" s="314" t="s">
        <v>203</v>
      </c>
      <c r="FKP11" s="314" t="s">
        <v>203</v>
      </c>
      <c r="FKQ11" s="314" t="s">
        <v>203</v>
      </c>
      <c r="FKR11" s="314" t="s">
        <v>203</v>
      </c>
      <c r="FKS11" s="314" t="s">
        <v>203</v>
      </c>
      <c r="FKT11" s="314" t="s">
        <v>203</v>
      </c>
      <c r="FKU11" s="314" t="s">
        <v>203</v>
      </c>
      <c r="FKV11" s="314" t="s">
        <v>203</v>
      </c>
      <c r="FKW11" s="314" t="s">
        <v>203</v>
      </c>
      <c r="FKX11" s="314" t="s">
        <v>203</v>
      </c>
      <c r="FKY11" s="314" t="s">
        <v>203</v>
      </c>
      <c r="FKZ11" s="314" t="s">
        <v>203</v>
      </c>
      <c r="FLA11" s="314" t="s">
        <v>203</v>
      </c>
      <c r="FLB11" s="314" t="s">
        <v>203</v>
      </c>
      <c r="FLC11" s="314" t="s">
        <v>203</v>
      </c>
      <c r="FLD11" s="314" t="s">
        <v>203</v>
      </c>
      <c r="FLE11" s="314" t="s">
        <v>203</v>
      </c>
      <c r="FLF11" s="314" t="s">
        <v>203</v>
      </c>
      <c r="FLG11" s="314" t="s">
        <v>203</v>
      </c>
      <c r="FLH11" s="314" t="s">
        <v>203</v>
      </c>
      <c r="FLI11" s="314" t="s">
        <v>203</v>
      </c>
      <c r="FLJ11" s="314" t="s">
        <v>203</v>
      </c>
      <c r="FLK11" s="314" t="s">
        <v>203</v>
      </c>
      <c r="FLL11" s="314" t="s">
        <v>203</v>
      </c>
      <c r="FLM11" s="314" t="s">
        <v>203</v>
      </c>
      <c r="FLN11" s="314" t="s">
        <v>203</v>
      </c>
      <c r="FLO11" s="314" t="s">
        <v>203</v>
      </c>
      <c r="FLP11" s="314" t="s">
        <v>203</v>
      </c>
      <c r="FLQ11" s="314" t="s">
        <v>203</v>
      </c>
      <c r="FLR11" s="314" t="s">
        <v>203</v>
      </c>
      <c r="FLS11" s="314" t="s">
        <v>203</v>
      </c>
      <c r="FLT11" s="314" t="s">
        <v>203</v>
      </c>
      <c r="FLU11" s="314" t="s">
        <v>203</v>
      </c>
      <c r="FLV11" s="314" t="s">
        <v>203</v>
      </c>
      <c r="FLW11" s="314" t="s">
        <v>203</v>
      </c>
      <c r="FLX11" s="314" t="s">
        <v>203</v>
      </c>
      <c r="FLY11" s="314" t="s">
        <v>203</v>
      </c>
      <c r="FLZ11" s="314" t="s">
        <v>203</v>
      </c>
      <c r="FMA11" s="314" t="s">
        <v>203</v>
      </c>
      <c r="FMB11" s="314" t="s">
        <v>203</v>
      </c>
      <c r="FMC11" s="314" t="s">
        <v>203</v>
      </c>
      <c r="FMD11" s="314" t="s">
        <v>203</v>
      </c>
      <c r="FME11" s="314" t="s">
        <v>203</v>
      </c>
      <c r="FMF11" s="314" t="s">
        <v>203</v>
      </c>
      <c r="FMG11" s="314" t="s">
        <v>203</v>
      </c>
      <c r="FMH11" s="314" t="s">
        <v>203</v>
      </c>
      <c r="FMI11" s="314" t="s">
        <v>203</v>
      </c>
      <c r="FMJ11" s="314" t="s">
        <v>203</v>
      </c>
      <c r="FMK11" s="314" t="s">
        <v>203</v>
      </c>
      <c r="FML11" s="314" t="s">
        <v>203</v>
      </c>
      <c r="FMM11" s="314" t="s">
        <v>203</v>
      </c>
      <c r="FMN11" s="314" t="s">
        <v>203</v>
      </c>
      <c r="FMO11" s="314" t="s">
        <v>203</v>
      </c>
      <c r="FMP11" s="314" t="s">
        <v>203</v>
      </c>
      <c r="FMQ11" s="314" t="s">
        <v>203</v>
      </c>
      <c r="FMR11" s="314" t="s">
        <v>203</v>
      </c>
      <c r="FMS11" s="314" t="s">
        <v>203</v>
      </c>
      <c r="FMT11" s="314" t="s">
        <v>203</v>
      </c>
      <c r="FMU11" s="314" t="s">
        <v>203</v>
      </c>
      <c r="FMV11" s="314" t="s">
        <v>203</v>
      </c>
      <c r="FMW11" s="314" t="s">
        <v>203</v>
      </c>
      <c r="FMX11" s="314" t="s">
        <v>203</v>
      </c>
      <c r="FMY11" s="314" t="s">
        <v>203</v>
      </c>
      <c r="FMZ11" s="314" t="s">
        <v>203</v>
      </c>
      <c r="FNA11" s="314" t="s">
        <v>203</v>
      </c>
      <c r="FNB11" s="314" t="s">
        <v>203</v>
      </c>
      <c r="FNC11" s="314" t="s">
        <v>203</v>
      </c>
      <c r="FND11" s="314" t="s">
        <v>203</v>
      </c>
      <c r="FNE11" s="314" t="s">
        <v>203</v>
      </c>
      <c r="FNF11" s="314" t="s">
        <v>203</v>
      </c>
      <c r="FNG11" s="314" t="s">
        <v>203</v>
      </c>
      <c r="FNH11" s="314" t="s">
        <v>203</v>
      </c>
      <c r="FNI11" s="314" t="s">
        <v>203</v>
      </c>
      <c r="FNJ11" s="314" t="s">
        <v>203</v>
      </c>
      <c r="FNK11" s="314" t="s">
        <v>203</v>
      </c>
      <c r="FNL11" s="314" t="s">
        <v>203</v>
      </c>
      <c r="FNM11" s="314" t="s">
        <v>203</v>
      </c>
      <c r="FNN11" s="314" t="s">
        <v>203</v>
      </c>
      <c r="FNO11" s="314" t="s">
        <v>203</v>
      </c>
      <c r="FNP11" s="314" t="s">
        <v>203</v>
      </c>
      <c r="FNQ11" s="314" t="s">
        <v>203</v>
      </c>
      <c r="FNR11" s="314" t="s">
        <v>203</v>
      </c>
      <c r="FNS11" s="314" t="s">
        <v>203</v>
      </c>
      <c r="FNT11" s="314" t="s">
        <v>203</v>
      </c>
      <c r="FNU11" s="314" t="s">
        <v>203</v>
      </c>
      <c r="FNV11" s="314" t="s">
        <v>203</v>
      </c>
      <c r="FNW11" s="314" t="s">
        <v>203</v>
      </c>
      <c r="FNX11" s="314" t="s">
        <v>203</v>
      </c>
      <c r="FNY11" s="314" t="s">
        <v>203</v>
      </c>
      <c r="FNZ11" s="314" t="s">
        <v>203</v>
      </c>
      <c r="FOA11" s="314" t="s">
        <v>203</v>
      </c>
      <c r="FOB11" s="314" t="s">
        <v>203</v>
      </c>
      <c r="FOC11" s="314" t="s">
        <v>203</v>
      </c>
      <c r="FOD11" s="314" t="s">
        <v>203</v>
      </c>
      <c r="FOE11" s="314" t="s">
        <v>203</v>
      </c>
      <c r="FOF11" s="314" t="s">
        <v>203</v>
      </c>
      <c r="FOG11" s="314" t="s">
        <v>203</v>
      </c>
      <c r="FOH11" s="314" t="s">
        <v>203</v>
      </c>
      <c r="FOI11" s="314" t="s">
        <v>203</v>
      </c>
      <c r="FOJ11" s="314" t="s">
        <v>203</v>
      </c>
      <c r="FOK11" s="314" t="s">
        <v>203</v>
      </c>
      <c r="FOL11" s="314" t="s">
        <v>203</v>
      </c>
      <c r="FOM11" s="314" t="s">
        <v>203</v>
      </c>
      <c r="FON11" s="314" t="s">
        <v>203</v>
      </c>
      <c r="FOO11" s="314" t="s">
        <v>203</v>
      </c>
      <c r="FOP11" s="314" t="s">
        <v>203</v>
      </c>
      <c r="FOQ11" s="314" t="s">
        <v>203</v>
      </c>
      <c r="FOR11" s="314" t="s">
        <v>203</v>
      </c>
      <c r="FOS11" s="314" t="s">
        <v>203</v>
      </c>
      <c r="FOT11" s="314" t="s">
        <v>203</v>
      </c>
      <c r="FOU11" s="314" t="s">
        <v>203</v>
      </c>
      <c r="FOV11" s="314" t="s">
        <v>203</v>
      </c>
      <c r="FOW11" s="314" t="s">
        <v>203</v>
      </c>
      <c r="FOX11" s="314" t="s">
        <v>203</v>
      </c>
      <c r="FOY11" s="314" t="s">
        <v>203</v>
      </c>
      <c r="FOZ11" s="314" t="s">
        <v>203</v>
      </c>
      <c r="FPA11" s="314" t="s">
        <v>203</v>
      </c>
      <c r="FPB11" s="314" t="s">
        <v>203</v>
      </c>
      <c r="FPC11" s="314" t="s">
        <v>203</v>
      </c>
      <c r="FPD11" s="314" t="s">
        <v>203</v>
      </c>
      <c r="FPE11" s="314" t="s">
        <v>203</v>
      </c>
      <c r="FPF11" s="314" t="s">
        <v>203</v>
      </c>
      <c r="FPG11" s="314" t="s">
        <v>203</v>
      </c>
      <c r="FPH11" s="314" t="s">
        <v>203</v>
      </c>
      <c r="FPI11" s="314" t="s">
        <v>203</v>
      </c>
      <c r="FPJ11" s="314" t="s">
        <v>203</v>
      </c>
      <c r="FPK11" s="314" t="s">
        <v>203</v>
      </c>
      <c r="FPL11" s="314" t="s">
        <v>203</v>
      </c>
      <c r="FPM11" s="314" t="s">
        <v>203</v>
      </c>
      <c r="FPN11" s="314" t="s">
        <v>203</v>
      </c>
      <c r="FPO11" s="314" t="s">
        <v>203</v>
      </c>
      <c r="FPP11" s="314" t="s">
        <v>203</v>
      </c>
      <c r="FPQ11" s="314" t="s">
        <v>203</v>
      </c>
      <c r="FPR11" s="314" t="s">
        <v>203</v>
      </c>
      <c r="FPS11" s="314" t="s">
        <v>203</v>
      </c>
      <c r="FPT11" s="314" t="s">
        <v>203</v>
      </c>
      <c r="FPU11" s="314" t="s">
        <v>203</v>
      </c>
      <c r="FPV11" s="314" t="s">
        <v>203</v>
      </c>
      <c r="FPW11" s="314" t="s">
        <v>203</v>
      </c>
      <c r="FPX11" s="314" t="s">
        <v>203</v>
      </c>
      <c r="FPY11" s="314" t="s">
        <v>203</v>
      </c>
      <c r="FPZ11" s="314" t="s">
        <v>203</v>
      </c>
      <c r="FQA11" s="314" t="s">
        <v>203</v>
      </c>
      <c r="FQB11" s="314" t="s">
        <v>203</v>
      </c>
      <c r="FQC11" s="314" t="s">
        <v>203</v>
      </c>
      <c r="FQD11" s="314" t="s">
        <v>203</v>
      </c>
      <c r="FQE11" s="314" t="s">
        <v>203</v>
      </c>
      <c r="FQF11" s="314" t="s">
        <v>203</v>
      </c>
      <c r="FQG11" s="314" t="s">
        <v>203</v>
      </c>
      <c r="FQH11" s="314" t="s">
        <v>203</v>
      </c>
      <c r="FQI11" s="314" t="s">
        <v>203</v>
      </c>
      <c r="FQJ11" s="314" t="s">
        <v>203</v>
      </c>
      <c r="FQK11" s="314" t="s">
        <v>203</v>
      </c>
      <c r="FQL11" s="314" t="s">
        <v>203</v>
      </c>
      <c r="FQM11" s="314" t="s">
        <v>203</v>
      </c>
      <c r="FQN11" s="314" t="s">
        <v>203</v>
      </c>
      <c r="FQO11" s="314" t="s">
        <v>203</v>
      </c>
      <c r="FQP11" s="314" t="s">
        <v>203</v>
      </c>
      <c r="FQQ11" s="314" t="s">
        <v>203</v>
      </c>
      <c r="FQR11" s="314" t="s">
        <v>203</v>
      </c>
      <c r="FQS11" s="314" t="s">
        <v>203</v>
      </c>
      <c r="FQT11" s="314" t="s">
        <v>203</v>
      </c>
      <c r="FQU11" s="314" t="s">
        <v>203</v>
      </c>
      <c r="FQV11" s="314" t="s">
        <v>203</v>
      </c>
      <c r="FQW11" s="314" t="s">
        <v>203</v>
      </c>
      <c r="FQX11" s="314" t="s">
        <v>203</v>
      </c>
      <c r="FQY11" s="314" t="s">
        <v>203</v>
      </c>
      <c r="FQZ11" s="314" t="s">
        <v>203</v>
      </c>
      <c r="FRA11" s="314" t="s">
        <v>203</v>
      </c>
      <c r="FRB11" s="314" t="s">
        <v>203</v>
      </c>
      <c r="FRC11" s="314" t="s">
        <v>203</v>
      </c>
      <c r="FRD11" s="314" t="s">
        <v>203</v>
      </c>
      <c r="FRE11" s="314" t="s">
        <v>203</v>
      </c>
      <c r="FRF11" s="314" t="s">
        <v>203</v>
      </c>
      <c r="FRG11" s="314" t="s">
        <v>203</v>
      </c>
      <c r="FRH11" s="314" t="s">
        <v>203</v>
      </c>
      <c r="FRI11" s="314" t="s">
        <v>203</v>
      </c>
      <c r="FRJ11" s="314" t="s">
        <v>203</v>
      </c>
      <c r="FRK11" s="314" t="s">
        <v>203</v>
      </c>
      <c r="FRL11" s="314" t="s">
        <v>203</v>
      </c>
      <c r="FRM11" s="314" t="s">
        <v>203</v>
      </c>
      <c r="FRN11" s="314" t="s">
        <v>203</v>
      </c>
      <c r="FRO11" s="314" t="s">
        <v>203</v>
      </c>
      <c r="FRP11" s="314" t="s">
        <v>203</v>
      </c>
      <c r="FRQ11" s="314" t="s">
        <v>203</v>
      </c>
      <c r="FRR11" s="314" t="s">
        <v>203</v>
      </c>
      <c r="FRS11" s="314" t="s">
        <v>203</v>
      </c>
      <c r="FRT11" s="314" t="s">
        <v>203</v>
      </c>
      <c r="FRU11" s="314" t="s">
        <v>203</v>
      </c>
      <c r="FRV11" s="314" t="s">
        <v>203</v>
      </c>
      <c r="FRW11" s="314" t="s">
        <v>203</v>
      </c>
      <c r="FRX11" s="314" t="s">
        <v>203</v>
      </c>
      <c r="FRY11" s="314" t="s">
        <v>203</v>
      </c>
      <c r="FRZ11" s="314" t="s">
        <v>203</v>
      </c>
      <c r="FSA11" s="314" t="s">
        <v>203</v>
      </c>
      <c r="FSB11" s="314" t="s">
        <v>203</v>
      </c>
      <c r="FSC11" s="314" t="s">
        <v>203</v>
      </c>
      <c r="FSD11" s="314" t="s">
        <v>203</v>
      </c>
      <c r="FSE11" s="314" t="s">
        <v>203</v>
      </c>
      <c r="FSF11" s="314" t="s">
        <v>203</v>
      </c>
      <c r="FSG11" s="314" t="s">
        <v>203</v>
      </c>
      <c r="FSH11" s="314" t="s">
        <v>203</v>
      </c>
      <c r="FSI11" s="314" t="s">
        <v>203</v>
      </c>
      <c r="FSJ11" s="314" t="s">
        <v>203</v>
      </c>
      <c r="FSK11" s="314" t="s">
        <v>203</v>
      </c>
      <c r="FSL11" s="314" t="s">
        <v>203</v>
      </c>
      <c r="FSM11" s="314" t="s">
        <v>203</v>
      </c>
      <c r="FSN11" s="314" t="s">
        <v>203</v>
      </c>
      <c r="FSO11" s="314" t="s">
        <v>203</v>
      </c>
      <c r="FSP11" s="314" t="s">
        <v>203</v>
      </c>
      <c r="FSQ11" s="314" t="s">
        <v>203</v>
      </c>
      <c r="FSR11" s="314" t="s">
        <v>203</v>
      </c>
      <c r="FSS11" s="314" t="s">
        <v>203</v>
      </c>
      <c r="FST11" s="314" t="s">
        <v>203</v>
      </c>
      <c r="FSU11" s="314" t="s">
        <v>203</v>
      </c>
      <c r="FSV11" s="314" t="s">
        <v>203</v>
      </c>
      <c r="FSW11" s="314" t="s">
        <v>203</v>
      </c>
      <c r="FSX11" s="314" t="s">
        <v>203</v>
      </c>
      <c r="FSY11" s="314" t="s">
        <v>203</v>
      </c>
      <c r="FSZ11" s="314" t="s">
        <v>203</v>
      </c>
      <c r="FTA11" s="314" t="s">
        <v>203</v>
      </c>
      <c r="FTB11" s="314" t="s">
        <v>203</v>
      </c>
      <c r="FTC11" s="314" t="s">
        <v>203</v>
      </c>
      <c r="FTD11" s="314" t="s">
        <v>203</v>
      </c>
      <c r="FTE11" s="314" t="s">
        <v>203</v>
      </c>
      <c r="FTF11" s="314" t="s">
        <v>203</v>
      </c>
      <c r="FTG11" s="314" t="s">
        <v>203</v>
      </c>
      <c r="FTH11" s="314" t="s">
        <v>203</v>
      </c>
      <c r="FTI11" s="314" t="s">
        <v>203</v>
      </c>
      <c r="FTJ11" s="314" t="s">
        <v>203</v>
      </c>
      <c r="FTK11" s="314" t="s">
        <v>203</v>
      </c>
      <c r="FTL11" s="314" t="s">
        <v>203</v>
      </c>
      <c r="FTM11" s="314" t="s">
        <v>203</v>
      </c>
      <c r="FTN11" s="314" t="s">
        <v>203</v>
      </c>
      <c r="FTO11" s="314" t="s">
        <v>203</v>
      </c>
      <c r="FTP11" s="314" t="s">
        <v>203</v>
      </c>
      <c r="FTQ11" s="314" t="s">
        <v>203</v>
      </c>
      <c r="FTR11" s="314" t="s">
        <v>203</v>
      </c>
      <c r="FTS11" s="314" t="s">
        <v>203</v>
      </c>
      <c r="FTT11" s="314" t="s">
        <v>203</v>
      </c>
      <c r="FTU11" s="314" t="s">
        <v>203</v>
      </c>
      <c r="FTV11" s="314" t="s">
        <v>203</v>
      </c>
      <c r="FTW11" s="314" t="s">
        <v>203</v>
      </c>
      <c r="FTX11" s="314" t="s">
        <v>203</v>
      </c>
      <c r="FTY11" s="314" t="s">
        <v>203</v>
      </c>
      <c r="FTZ11" s="314" t="s">
        <v>203</v>
      </c>
      <c r="FUA11" s="314" t="s">
        <v>203</v>
      </c>
      <c r="FUB11" s="314" t="s">
        <v>203</v>
      </c>
      <c r="FUC11" s="314" t="s">
        <v>203</v>
      </c>
      <c r="FUD11" s="314" t="s">
        <v>203</v>
      </c>
      <c r="FUE11" s="314" t="s">
        <v>203</v>
      </c>
      <c r="FUF11" s="314" t="s">
        <v>203</v>
      </c>
      <c r="FUG11" s="314" t="s">
        <v>203</v>
      </c>
      <c r="FUH11" s="314" t="s">
        <v>203</v>
      </c>
      <c r="FUI11" s="314" t="s">
        <v>203</v>
      </c>
      <c r="FUJ11" s="314" t="s">
        <v>203</v>
      </c>
      <c r="FUK11" s="314" t="s">
        <v>203</v>
      </c>
      <c r="FUL11" s="314" t="s">
        <v>203</v>
      </c>
      <c r="FUM11" s="314" t="s">
        <v>203</v>
      </c>
      <c r="FUN11" s="314" t="s">
        <v>203</v>
      </c>
      <c r="FUO11" s="314" t="s">
        <v>203</v>
      </c>
      <c r="FUP11" s="314" t="s">
        <v>203</v>
      </c>
      <c r="FUQ11" s="314" t="s">
        <v>203</v>
      </c>
      <c r="FUR11" s="314" t="s">
        <v>203</v>
      </c>
      <c r="FUS11" s="314" t="s">
        <v>203</v>
      </c>
      <c r="FUT11" s="314" t="s">
        <v>203</v>
      </c>
      <c r="FUU11" s="314" t="s">
        <v>203</v>
      </c>
      <c r="FUV11" s="314" t="s">
        <v>203</v>
      </c>
      <c r="FUW11" s="314" t="s">
        <v>203</v>
      </c>
      <c r="FUX11" s="314" t="s">
        <v>203</v>
      </c>
      <c r="FUY11" s="314" t="s">
        <v>203</v>
      </c>
      <c r="FUZ11" s="314" t="s">
        <v>203</v>
      </c>
      <c r="FVA11" s="314" t="s">
        <v>203</v>
      </c>
      <c r="FVB11" s="314" t="s">
        <v>203</v>
      </c>
      <c r="FVC11" s="314" t="s">
        <v>203</v>
      </c>
      <c r="FVD11" s="314" t="s">
        <v>203</v>
      </c>
      <c r="FVE11" s="314" t="s">
        <v>203</v>
      </c>
      <c r="FVF11" s="314" t="s">
        <v>203</v>
      </c>
      <c r="FVG11" s="314" t="s">
        <v>203</v>
      </c>
      <c r="FVH11" s="314" t="s">
        <v>203</v>
      </c>
      <c r="FVI11" s="314" t="s">
        <v>203</v>
      </c>
      <c r="FVJ11" s="314" t="s">
        <v>203</v>
      </c>
      <c r="FVK11" s="314" t="s">
        <v>203</v>
      </c>
      <c r="FVL11" s="314" t="s">
        <v>203</v>
      </c>
      <c r="FVM11" s="314" t="s">
        <v>203</v>
      </c>
      <c r="FVN11" s="314" t="s">
        <v>203</v>
      </c>
      <c r="FVO11" s="314" t="s">
        <v>203</v>
      </c>
      <c r="FVP11" s="314" t="s">
        <v>203</v>
      </c>
      <c r="FVQ11" s="314" t="s">
        <v>203</v>
      </c>
      <c r="FVR11" s="314" t="s">
        <v>203</v>
      </c>
      <c r="FVS11" s="314" t="s">
        <v>203</v>
      </c>
      <c r="FVT11" s="314" t="s">
        <v>203</v>
      </c>
      <c r="FVU11" s="314" t="s">
        <v>203</v>
      </c>
      <c r="FVV11" s="314" t="s">
        <v>203</v>
      </c>
      <c r="FVW11" s="314" t="s">
        <v>203</v>
      </c>
      <c r="FVX11" s="314" t="s">
        <v>203</v>
      </c>
      <c r="FVY11" s="314" t="s">
        <v>203</v>
      </c>
      <c r="FVZ11" s="314" t="s">
        <v>203</v>
      </c>
      <c r="FWA11" s="314" t="s">
        <v>203</v>
      </c>
      <c r="FWB11" s="314" t="s">
        <v>203</v>
      </c>
      <c r="FWC11" s="314" t="s">
        <v>203</v>
      </c>
      <c r="FWD11" s="314" t="s">
        <v>203</v>
      </c>
      <c r="FWE11" s="314" t="s">
        <v>203</v>
      </c>
      <c r="FWF11" s="314" t="s">
        <v>203</v>
      </c>
      <c r="FWG11" s="314" t="s">
        <v>203</v>
      </c>
      <c r="FWH11" s="314" t="s">
        <v>203</v>
      </c>
      <c r="FWI11" s="314" t="s">
        <v>203</v>
      </c>
      <c r="FWJ11" s="314" t="s">
        <v>203</v>
      </c>
      <c r="FWK11" s="314" t="s">
        <v>203</v>
      </c>
      <c r="FWL11" s="314" t="s">
        <v>203</v>
      </c>
      <c r="FWM11" s="314" t="s">
        <v>203</v>
      </c>
      <c r="FWN11" s="314" t="s">
        <v>203</v>
      </c>
      <c r="FWO11" s="314" t="s">
        <v>203</v>
      </c>
      <c r="FWP11" s="314" t="s">
        <v>203</v>
      </c>
      <c r="FWQ11" s="314" t="s">
        <v>203</v>
      </c>
      <c r="FWR11" s="314" t="s">
        <v>203</v>
      </c>
      <c r="FWS11" s="314" t="s">
        <v>203</v>
      </c>
      <c r="FWT11" s="314" t="s">
        <v>203</v>
      </c>
      <c r="FWU11" s="314" t="s">
        <v>203</v>
      </c>
      <c r="FWV11" s="314" t="s">
        <v>203</v>
      </c>
      <c r="FWW11" s="314" t="s">
        <v>203</v>
      </c>
      <c r="FWX11" s="314" t="s">
        <v>203</v>
      </c>
      <c r="FWY11" s="314" t="s">
        <v>203</v>
      </c>
      <c r="FWZ11" s="314" t="s">
        <v>203</v>
      </c>
      <c r="FXA11" s="314" t="s">
        <v>203</v>
      </c>
      <c r="FXB11" s="314" t="s">
        <v>203</v>
      </c>
      <c r="FXC11" s="314" t="s">
        <v>203</v>
      </c>
      <c r="FXD11" s="314" t="s">
        <v>203</v>
      </c>
      <c r="FXE11" s="314" t="s">
        <v>203</v>
      </c>
      <c r="FXF11" s="314" t="s">
        <v>203</v>
      </c>
      <c r="FXG11" s="314" t="s">
        <v>203</v>
      </c>
      <c r="FXH11" s="314" t="s">
        <v>203</v>
      </c>
      <c r="FXI11" s="314" t="s">
        <v>203</v>
      </c>
      <c r="FXJ11" s="314" t="s">
        <v>203</v>
      </c>
      <c r="FXK11" s="314" t="s">
        <v>203</v>
      </c>
      <c r="FXL11" s="314" t="s">
        <v>203</v>
      </c>
      <c r="FXM11" s="314" t="s">
        <v>203</v>
      </c>
      <c r="FXN11" s="314" t="s">
        <v>203</v>
      </c>
      <c r="FXO11" s="314" t="s">
        <v>203</v>
      </c>
      <c r="FXP11" s="314" t="s">
        <v>203</v>
      </c>
      <c r="FXQ11" s="314" t="s">
        <v>203</v>
      </c>
      <c r="FXR11" s="314" t="s">
        <v>203</v>
      </c>
      <c r="FXS11" s="314" t="s">
        <v>203</v>
      </c>
      <c r="FXT11" s="314" t="s">
        <v>203</v>
      </c>
      <c r="FXU11" s="314" t="s">
        <v>203</v>
      </c>
      <c r="FXV11" s="314" t="s">
        <v>203</v>
      </c>
      <c r="FXW11" s="314" t="s">
        <v>203</v>
      </c>
      <c r="FXX11" s="314" t="s">
        <v>203</v>
      </c>
      <c r="FXY11" s="314" t="s">
        <v>203</v>
      </c>
      <c r="FXZ11" s="314" t="s">
        <v>203</v>
      </c>
      <c r="FYA11" s="314" t="s">
        <v>203</v>
      </c>
      <c r="FYB11" s="314" t="s">
        <v>203</v>
      </c>
      <c r="FYC11" s="314" t="s">
        <v>203</v>
      </c>
      <c r="FYD11" s="314" t="s">
        <v>203</v>
      </c>
      <c r="FYE11" s="314" t="s">
        <v>203</v>
      </c>
      <c r="FYF11" s="314" t="s">
        <v>203</v>
      </c>
      <c r="FYG11" s="314" t="s">
        <v>203</v>
      </c>
      <c r="FYH11" s="314" t="s">
        <v>203</v>
      </c>
      <c r="FYI11" s="314" t="s">
        <v>203</v>
      </c>
      <c r="FYJ11" s="314" t="s">
        <v>203</v>
      </c>
      <c r="FYK11" s="314" t="s">
        <v>203</v>
      </c>
      <c r="FYL11" s="314" t="s">
        <v>203</v>
      </c>
      <c r="FYM11" s="314" t="s">
        <v>203</v>
      </c>
      <c r="FYN11" s="314" t="s">
        <v>203</v>
      </c>
      <c r="FYO11" s="314" t="s">
        <v>203</v>
      </c>
      <c r="FYP11" s="314" t="s">
        <v>203</v>
      </c>
      <c r="FYQ11" s="314" t="s">
        <v>203</v>
      </c>
      <c r="FYR11" s="314" t="s">
        <v>203</v>
      </c>
      <c r="FYS11" s="314" t="s">
        <v>203</v>
      </c>
      <c r="FYT11" s="314" t="s">
        <v>203</v>
      </c>
      <c r="FYU11" s="314" t="s">
        <v>203</v>
      </c>
      <c r="FYV11" s="314" t="s">
        <v>203</v>
      </c>
      <c r="FYW11" s="314" t="s">
        <v>203</v>
      </c>
      <c r="FYX11" s="314" t="s">
        <v>203</v>
      </c>
      <c r="FYY11" s="314" t="s">
        <v>203</v>
      </c>
      <c r="FYZ11" s="314" t="s">
        <v>203</v>
      </c>
      <c r="FZA11" s="314" t="s">
        <v>203</v>
      </c>
      <c r="FZB11" s="314" t="s">
        <v>203</v>
      </c>
      <c r="FZC11" s="314" t="s">
        <v>203</v>
      </c>
      <c r="FZD11" s="314" t="s">
        <v>203</v>
      </c>
      <c r="FZE11" s="314" t="s">
        <v>203</v>
      </c>
      <c r="FZF11" s="314" t="s">
        <v>203</v>
      </c>
      <c r="FZG11" s="314" t="s">
        <v>203</v>
      </c>
      <c r="FZH11" s="314" t="s">
        <v>203</v>
      </c>
      <c r="FZI11" s="314" t="s">
        <v>203</v>
      </c>
      <c r="FZJ11" s="314" t="s">
        <v>203</v>
      </c>
      <c r="FZK11" s="314" t="s">
        <v>203</v>
      </c>
      <c r="FZL11" s="314" t="s">
        <v>203</v>
      </c>
      <c r="FZM11" s="314" t="s">
        <v>203</v>
      </c>
      <c r="FZN11" s="314" t="s">
        <v>203</v>
      </c>
      <c r="FZO11" s="314" t="s">
        <v>203</v>
      </c>
      <c r="FZP11" s="314" t="s">
        <v>203</v>
      </c>
      <c r="FZQ11" s="314" t="s">
        <v>203</v>
      </c>
      <c r="FZR11" s="314" t="s">
        <v>203</v>
      </c>
      <c r="FZS11" s="314" t="s">
        <v>203</v>
      </c>
      <c r="FZT11" s="314" t="s">
        <v>203</v>
      </c>
      <c r="FZU11" s="314" t="s">
        <v>203</v>
      </c>
      <c r="FZV11" s="314" t="s">
        <v>203</v>
      </c>
      <c r="FZW11" s="314" t="s">
        <v>203</v>
      </c>
      <c r="FZX11" s="314" t="s">
        <v>203</v>
      </c>
      <c r="FZY11" s="314" t="s">
        <v>203</v>
      </c>
      <c r="FZZ11" s="314" t="s">
        <v>203</v>
      </c>
      <c r="GAA11" s="314" t="s">
        <v>203</v>
      </c>
      <c r="GAB11" s="314" t="s">
        <v>203</v>
      </c>
      <c r="GAC11" s="314" t="s">
        <v>203</v>
      </c>
      <c r="GAD11" s="314" t="s">
        <v>203</v>
      </c>
      <c r="GAE11" s="314" t="s">
        <v>203</v>
      </c>
      <c r="GAF11" s="314" t="s">
        <v>203</v>
      </c>
      <c r="GAG11" s="314" t="s">
        <v>203</v>
      </c>
      <c r="GAH11" s="314" t="s">
        <v>203</v>
      </c>
      <c r="GAI11" s="314" t="s">
        <v>203</v>
      </c>
      <c r="GAJ11" s="314" t="s">
        <v>203</v>
      </c>
      <c r="GAK11" s="314" t="s">
        <v>203</v>
      </c>
      <c r="GAL11" s="314" t="s">
        <v>203</v>
      </c>
      <c r="GAM11" s="314" t="s">
        <v>203</v>
      </c>
      <c r="GAN11" s="314" t="s">
        <v>203</v>
      </c>
      <c r="GAO11" s="314" t="s">
        <v>203</v>
      </c>
      <c r="GAP11" s="314" t="s">
        <v>203</v>
      </c>
      <c r="GAQ11" s="314" t="s">
        <v>203</v>
      </c>
      <c r="GAR11" s="314" t="s">
        <v>203</v>
      </c>
      <c r="GAS11" s="314" t="s">
        <v>203</v>
      </c>
      <c r="GAT11" s="314" t="s">
        <v>203</v>
      </c>
      <c r="GAU11" s="314" t="s">
        <v>203</v>
      </c>
      <c r="GAV11" s="314" t="s">
        <v>203</v>
      </c>
      <c r="GAW11" s="314" t="s">
        <v>203</v>
      </c>
      <c r="GAX11" s="314" t="s">
        <v>203</v>
      </c>
      <c r="GAY11" s="314" t="s">
        <v>203</v>
      </c>
      <c r="GAZ11" s="314" t="s">
        <v>203</v>
      </c>
      <c r="GBA11" s="314" t="s">
        <v>203</v>
      </c>
      <c r="GBB11" s="314" t="s">
        <v>203</v>
      </c>
      <c r="GBC11" s="314" t="s">
        <v>203</v>
      </c>
      <c r="GBD11" s="314" t="s">
        <v>203</v>
      </c>
      <c r="GBE11" s="314" t="s">
        <v>203</v>
      </c>
      <c r="GBF11" s="314" t="s">
        <v>203</v>
      </c>
      <c r="GBG11" s="314" t="s">
        <v>203</v>
      </c>
      <c r="GBH11" s="314" t="s">
        <v>203</v>
      </c>
      <c r="GBI11" s="314" t="s">
        <v>203</v>
      </c>
      <c r="GBJ11" s="314" t="s">
        <v>203</v>
      </c>
      <c r="GBK11" s="314" t="s">
        <v>203</v>
      </c>
      <c r="GBL11" s="314" t="s">
        <v>203</v>
      </c>
      <c r="GBM11" s="314" t="s">
        <v>203</v>
      </c>
      <c r="GBN11" s="314" t="s">
        <v>203</v>
      </c>
      <c r="GBO11" s="314" t="s">
        <v>203</v>
      </c>
      <c r="GBP11" s="314" t="s">
        <v>203</v>
      </c>
      <c r="GBQ11" s="314" t="s">
        <v>203</v>
      </c>
      <c r="GBR11" s="314" t="s">
        <v>203</v>
      </c>
      <c r="GBS11" s="314" t="s">
        <v>203</v>
      </c>
      <c r="GBT11" s="314" t="s">
        <v>203</v>
      </c>
      <c r="GBU11" s="314" t="s">
        <v>203</v>
      </c>
      <c r="GBV11" s="314" t="s">
        <v>203</v>
      </c>
      <c r="GBW11" s="314" t="s">
        <v>203</v>
      </c>
      <c r="GBX11" s="314" t="s">
        <v>203</v>
      </c>
      <c r="GBY11" s="314" t="s">
        <v>203</v>
      </c>
      <c r="GBZ11" s="314" t="s">
        <v>203</v>
      </c>
      <c r="GCA11" s="314" t="s">
        <v>203</v>
      </c>
      <c r="GCB11" s="314" t="s">
        <v>203</v>
      </c>
      <c r="GCC11" s="314" t="s">
        <v>203</v>
      </c>
      <c r="GCD11" s="314" t="s">
        <v>203</v>
      </c>
      <c r="GCE11" s="314" t="s">
        <v>203</v>
      </c>
      <c r="GCF11" s="314" t="s">
        <v>203</v>
      </c>
      <c r="GCG11" s="314" t="s">
        <v>203</v>
      </c>
      <c r="GCH11" s="314" t="s">
        <v>203</v>
      </c>
      <c r="GCI11" s="314" t="s">
        <v>203</v>
      </c>
      <c r="GCJ11" s="314" t="s">
        <v>203</v>
      </c>
      <c r="GCK11" s="314" t="s">
        <v>203</v>
      </c>
      <c r="GCL11" s="314" t="s">
        <v>203</v>
      </c>
      <c r="GCM11" s="314" t="s">
        <v>203</v>
      </c>
      <c r="GCN11" s="314" t="s">
        <v>203</v>
      </c>
      <c r="GCO11" s="314" t="s">
        <v>203</v>
      </c>
      <c r="GCP11" s="314" t="s">
        <v>203</v>
      </c>
      <c r="GCQ11" s="314" t="s">
        <v>203</v>
      </c>
      <c r="GCR11" s="314" t="s">
        <v>203</v>
      </c>
      <c r="GCS11" s="314" t="s">
        <v>203</v>
      </c>
      <c r="GCT11" s="314" t="s">
        <v>203</v>
      </c>
      <c r="GCU11" s="314" t="s">
        <v>203</v>
      </c>
      <c r="GCV11" s="314" t="s">
        <v>203</v>
      </c>
      <c r="GCW11" s="314" t="s">
        <v>203</v>
      </c>
      <c r="GCX11" s="314" t="s">
        <v>203</v>
      </c>
      <c r="GCY11" s="314" t="s">
        <v>203</v>
      </c>
      <c r="GCZ11" s="314" t="s">
        <v>203</v>
      </c>
      <c r="GDA11" s="314" t="s">
        <v>203</v>
      </c>
      <c r="GDB11" s="314" t="s">
        <v>203</v>
      </c>
      <c r="GDC11" s="314" t="s">
        <v>203</v>
      </c>
      <c r="GDD11" s="314" t="s">
        <v>203</v>
      </c>
      <c r="GDE11" s="314" t="s">
        <v>203</v>
      </c>
      <c r="GDF11" s="314" t="s">
        <v>203</v>
      </c>
      <c r="GDG11" s="314" t="s">
        <v>203</v>
      </c>
      <c r="GDH11" s="314" t="s">
        <v>203</v>
      </c>
      <c r="GDI11" s="314" t="s">
        <v>203</v>
      </c>
      <c r="GDJ11" s="314" t="s">
        <v>203</v>
      </c>
      <c r="GDK11" s="314" t="s">
        <v>203</v>
      </c>
      <c r="GDL11" s="314" t="s">
        <v>203</v>
      </c>
      <c r="GDM11" s="314" t="s">
        <v>203</v>
      </c>
      <c r="GDN11" s="314" t="s">
        <v>203</v>
      </c>
      <c r="GDO11" s="314" t="s">
        <v>203</v>
      </c>
      <c r="GDP11" s="314" t="s">
        <v>203</v>
      </c>
      <c r="GDQ11" s="314" t="s">
        <v>203</v>
      </c>
      <c r="GDR11" s="314" t="s">
        <v>203</v>
      </c>
      <c r="GDS11" s="314" t="s">
        <v>203</v>
      </c>
      <c r="GDT11" s="314" t="s">
        <v>203</v>
      </c>
      <c r="GDU11" s="314" t="s">
        <v>203</v>
      </c>
      <c r="GDV11" s="314" t="s">
        <v>203</v>
      </c>
      <c r="GDW11" s="314" t="s">
        <v>203</v>
      </c>
      <c r="GDX11" s="314" t="s">
        <v>203</v>
      </c>
      <c r="GDY11" s="314" t="s">
        <v>203</v>
      </c>
      <c r="GDZ11" s="314" t="s">
        <v>203</v>
      </c>
      <c r="GEA11" s="314" t="s">
        <v>203</v>
      </c>
      <c r="GEB11" s="314" t="s">
        <v>203</v>
      </c>
      <c r="GEC11" s="314" t="s">
        <v>203</v>
      </c>
      <c r="GED11" s="314" t="s">
        <v>203</v>
      </c>
      <c r="GEE11" s="314" t="s">
        <v>203</v>
      </c>
      <c r="GEF11" s="314" t="s">
        <v>203</v>
      </c>
      <c r="GEG11" s="314" t="s">
        <v>203</v>
      </c>
      <c r="GEH11" s="314" t="s">
        <v>203</v>
      </c>
      <c r="GEI11" s="314" t="s">
        <v>203</v>
      </c>
      <c r="GEJ11" s="314" t="s">
        <v>203</v>
      </c>
      <c r="GEK11" s="314" t="s">
        <v>203</v>
      </c>
      <c r="GEL11" s="314" t="s">
        <v>203</v>
      </c>
      <c r="GEM11" s="314" t="s">
        <v>203</v>
      </c>
      <c r="GEN11" s="314" t="s">
        <v>203</v>
      </c>
      <c r="GEO11" s="314" t="s">
        <v>203</v>
      </c>
      <c r="GEP11" s="314" t="s">
        <v>203</v>
      </c>
      <c r="GEQ11" s="314" t="s">
        <v>203</v>
      </c>
      <c r="GER11" s="314" t="s">
        <v>203</v>
      </c>
      <c r="GES11" s="314" t="s">
        <v>203</v>
      </c>
      <c r="GET11" s="314" t="s">
        <v>203</v>
      </c>
      <c r="GEU11" s="314" t="s">
        <v>203</v>
      </c>
      <c r="GEV11" s="314" t="s">
        <v>203</v>
      </c>
      <c r="GEW11" s="314" t="s">
        <v>203</v>
      </c>
      <c r="GEX11" s="314" t="s">
        <v>203</v>
      </c>
      <c r="GEY11" s="314" t="s">
        <v>203</v>
      </c>
      <c r="GEZ11" s="314" t="s">
        <v>203</v>
      </c>
      <c r="GFA11" s="314" t="s">
        <v>203</v>
      </c>
      <c r="GFB11" s="314" t="s">
        <v>203</v>
      </c>
      <c r="GFC11" s="314" t="s">
        <v>203</v>
      </c>
      <c r="GFD11" s="314" t="s">
        <v>203</v>
      </c>
      <c r="GFE11" s="314" t="s">
        <v>203</v>
      </c>
      <c r="GFF11" s="314" t="s">
        <v>203</v>
      </c>
      <c r="GFG11" s="314" t="s">
        <v>203</v>
      </c>
      <c r="GFH11" s="314" t="s">
        <v>203</v>
      </c>
      <c r="GFI11" s="314" t="s">
        <v>203</v>
      </c>
      <c r="GFJ11" s="314" t="s">
        <v>203</v>
      </c>
      <c r="GFK11" s="314" t="s">
        <v>203</v>
      </c>
      <c r="GFL11" s="314" t="s">
        <v>203</v>
      </c>
      <c r="GFM11" s="314" t="s">
        <v>203</v>
      </c>
      <c r="GFN11" s="314" t="s">
        <v>203</v>
      </c>
      <c r="GFO11" s="314" t="s">
        <v>203</v>
      </c>
      <c r="GFP11" s="314" t="s">
        <v>203</v>
      </c>
      <c r="GFQ11" s="314" t="s">
        <v>203</v>
      </c>
      <c r="GFR11" s="314" t="s">
        <v>203</v>
      </c>
      <c r="GFS11" s="314" t="s">
        <v>203</v>
      </c>
      <c r="GFT11" s="314" t="s">
        <v>203</v>
      </c>
      <c r="GFU11" s="314" t="s">
        <v>203</v>
      </c>
      <c r="GFV11" s="314" t="s">
        <v>203</v>
      </c>
      <c r="GFW11" s="314" t="s">
        <v>203</v>
      </c>
      <c r="GFX11" s="314" t="s">
        <v>203</v>
      </c>
      <c r="GFY11" s="314" t="s">
        <v>203</v>
      </c>
      <c r="GFZ11" s="314" t="s">
        <v>203</v>
      </c>
      <c r="GGA11" s="314" t="s">
        <v>203</v>
      </c>
      <c r="GGB11" s="314" t="s">
        <v>203</v>
      </c>
      <c r="GGC11" s="314" t="s">
        <v>203</v>
      </c>
      <c r="GGD11" s="314" t="s">
        <v>203</v>
      </c>
      <c r="GGE11" s="314" t="s">
        <v>203</v>
      </c>
      <c r="GGF11" s="314" t="s">
        <v>203</v>
      </c>
      <c r="GGG11" s="314" t="s">
        <v>203</v>
      </c>
      <c r="GGH11" s="314" t="s">
        <v>203</v>
      </c>
      <c r="GGI11" s="314" t="s">
        <v>203</v>
      </c>
      <c r="GGJ11" s="314" t="s">
        <v>203</v>
      </c>
      <c r="GGK11" s="314" t="s">
        <v>203</v>
      </c>
      <c r="GGL11" s="314" t="s">
        <v>203</v>
      </c>
      <c r="GGM11" s="314" t="s">
        <v>203</v>
      </c>
      <c r="GGN11" s="314" t="s">
        <v>203</v>
      </c>
      <c r="GGO11" s="314" t="s">
        <v>203</v>
      </c>
      <c r="GGP11" s="314" t="s">
        <v>203</v>
      </c>
      <c r="GGQ11" s="314" t="s">
        <v>203</v>
      </c>
      <c r="GGR11" s="314" t="s">
        <v>203</v>
      </c>
      <c r="GGS11" s="314" t="s">
        <v>203</v>
      </c>
      <c r="GGT11" s="314" t="s">
        <v>203</v>
      </c>
      <c r="GGU11" s="314" t="s">
        <v>203</v>
      </c>
      <c r="GGV11" s="314" t="s">
        <v>203</v>
      </c>
      <c r="GGW11" s="314" t="s">
        <v>203</v>
      </c>
      <c r="GGX11" s="314" t="s">
        <v>203</v>
      </c>
      <c r="GGY11" s="314" t="s">
        <v>203</v>
      </c>
      <c r="GGZ11" s="314" t="s">
        <v>203</v>
      </c>
      <c r="GHA11" s="314" t="s">
        <v>203</v>
      </c>
      <c r="GHB11" s="314" t="s">
        <v>203</v>
      </c>
      <c r="GHC11" s="314" t="s">
        <v>203</v>
      </c>
      <c r="GHD11" s="314" t="s">
        <v>203</v>
      </c>
      <c r="GHE11" s="314" t="s">
        <v>203</v>
      </c>
      <c r="GHF11" s="314" t="s">
        <v>203</v>
      </c>
      <c r="GHG11" s="314" t="s">
        <v>203</v>
      </c>
      <c r="GHH11" s="314" t="s">
        <v>203</v>
      </c>
      <c r="GHI11" s="314" t="s">
        <v>203</v>
      </c>
      <c r="GHJ11" s="314" t="s">
        <v>203</v>
      </c>
      <c r="GHK11" s="314" t="s">
        <v>203</v>
      </c>
      <c r="GHL11" s="314" t="s">
        <v>203</v>
      </c>
      <c r="GHM11" s="314" t="s">
        <v>203</v>
      </c>
      <c r="GHN11" s="314" t="s">
        <v>203</v>
      </c>
      <c r="GHO11" s="314" t="s">
        <v>203</v>
      </c>
      <c r="GHP11" s="314" t="s">
        <v>203</v>
      </c>
      <c r="GHQ11" s="314" t="s">
        <v>203</v>
      </c>
      <c r="GHR11" s="314" t="s">
        <v>203</v>
      </c>
      <c r="GHS11" s="314" t="s">
        <v>203</v>
      </c>
      <c r="GHT11" s="314" t="s">
        <v>203</v>
      </c>
      <c r="GHU11" s="314" t="s">
        <v>203</v>
      </c>
      <c r="GHV11" s="314" t="s">
        <v>203</v>
      </c>
      <c r="GHW11" s="314" t="s">
        <v>203</v>
      </c>
      <c r="GHX11" s="314" t="s">
        <v>203</v>
      </c>
      <c r="GHY11" s="314" t="s">
        <v>203</v>
      </c>
      <c r="GHZ11" s="314" t="s">
        <v>203</v>
      </c>
      <c r="GIA11" s="314" t="s">
        <v>203</v>
      </c>
      <c r="GIB11" s="314" t="s">
        <v>203</v>
      </c>
      <c r="GIC11" s="314" t="s">
        <v>203</v>
      </c>
      <c r="GID11" s="314" t="s">
        <v>203</v>
      </c>
      <c r="GIE11" s="314" t="s">
        <v>203</v>
      </c>
      <c r="GIF11" s="314" t="s">
        <v>203</v>
      </c>
      <c r="GIG11" s="314" t="s">
        <v>203</v>
      </c>
      <c r="GIH11" s="314" t="s">
        <v>203</v>
      </c>
      <c r="GII11" s="314" t="s">
        <v>203</v>
      </c>
      <c r="GIJ11" s="314" t="s">
        <v>203</v>
      </c>
      <c r="GIK11" s="314" t="s">
        <v>203</v>
      </c>
      <c r="GIL11" s="314" t="s">
        <v>203</v>
      </c>
      <c r="GIM11" s="314" t="s">
        <v>203</v>
      </c>
      <c r="GIN11" s="314" t="s">
        <v>203</v>
      </c>
      <c r="GIO11" s="314" t="s">
        <v>203</v>
      </c>
      <c r="GIP11" s="314" t="s">
        <v>203</v>
      </c>
      <c r="GIQ11" s="314" t="s">
        <v>203</v>
      </c>
      <c r="GIR11" s="314" t="s">
        <v>203</v>
      </c>
      <c r="GIS11" s="314" t="s">
        <v>203</v>
      </c>
      <c r="GIT11" s="314" t="s">
        <v>203</v>
      </c>
      <c r="GIU11" s="314" t="s">
        <v>203</v>
      </c>
      <c r="GIV11" s="314" t="s">
        <v>203</v>
      </c>
      <c r="GIW11" s="314" t="s">
        <v>203</v>
      </c>
      <c r="GIX11" s="314" t="s">
        <v>203</v>
      </c>
      <c r="GIY11" s="314" t="s">
        <v>203</v>
      </c>
      <c r="GIZ11" s="314" t="s">
        <v>203</v>
      </c>
      <c r="GJA11" s="314" t="s">
        <v>203</v>
      </c>
      <c r="GJB11" s="314" t="s">
        <v>203</v>
      </c>
      <c r="GJC11" s="314" t="s">
        <v>203</v>
      </c>
      <c r="GJD11" s="314" t="s">
        <v>203</v>
      </c>
      <c r="GJE11" s="314" t="s">
        <v>203</v>
      </c>
      <c r="GJF11" s="314" t="s">
        <v>203</v>
      </c>
      <c r="GJG11" s="314" t="s">
        <v>203</v>
      </c>
      <c r="GJH11" s="314" t="s">
        <v>203</v>
      </c>
      <c r="GJI11" s="314" t="s">
        <v>203</v>
      </c>
      <c r="GJJ11" s="314" t="s">
        <v>203</v>
      </c>
      <c r="GJK11" s="314" t="s">
        <v>203</v>
      </c>
      <c r="GJL11" s="314" t="s">
        <v>203</v>
      </c>
      <c r="GJM11" s="314" t="s">
        <v>203</v>
      </c>
      <c r="GJN11" s="314" t="s">
        <v>203</v>
      </c>
      <c r="GJO11" s="314" t="s">
        <v>203</v>
      </c>
      <c r="GJP11" s="314" t="s">
        <v>203</v>
      </c>
      <c r="GJQ11" s="314" t="s">
        <v>203</v>
      </c>
      <c r="GJR11" s="314" t="s">
        <v>203</v>
      </c>
      <c r="GJS11" s="314" t="s">
        <v>203</v>
      </c>
      <c r="GJT11" s="314" t="s">
        <v>203</v>
      </c>
      <c r="GJU11" s="314" t="s">
        <v>203</v>
      </c>
      <c r="GJV11" s="314" t="s">
        <v>203</v>
      </c>
      <c r="GJW11" s="314" t="s">
        <v>203</v>
      </c>
      <c r="GJX11" s="314" t="s">
        <v>203</v>
      </c>
      <c r="GJY11" s="314" t="s">
        <v>203</v>
      </c>
      <c r="GJZ11" s="314" t="s">
        <v>203</v>
      </c>
      <c r="GKA11" s="314" t="s">
        <v>203</v>
      </c>
      <c r="GKB11" s="314" t="s">
        <v>203</v>
      </c>
      <c r="GKC11" s="314" t="s">
        <v>203</v>
      </c>
      <c r="GKD11" s="314" t="s">
        <v>203</v>
      </c>
      <c r="GKE11" s="314" t="s">
        <v>203</v>
      </c>
      <c r="GKF11" s="314" t="s">
        <v>203</v>
      </c>
      <c r="GKG11" s="314" t="s">
        <v>203</v>
      </c>
      <c r="GKH11" s="314" t="s">
        <v>203</v>
      </c>
      <c r="GKI11" s="314" t="s">
        <v>203</v>
      </c>
      <c r="GKJ11" s="314" t="s">
        <v>203</v>
      </c>
      <c r="GKK11" s="314" t="s">
        <v>203</v>
      </c>
      <c r="GKL11" s="314" t="s">
        <v>203</v>
      </c>
      <c r="GKM11" s="314" t="s">
        <v>203</v>
      </c>
      <c r="GKN11" s="314" t="s">
        <v>203</v>
      </c>
      <c r="GKO11" s="314" t="s">
        <v>203</v>
      </c>
      <c r="GKP11" s="314" t="s">
        <v>203</v>
      </c>
      <c r="GKQ11" s="314" t="s">
        <v>203</v>
      </c>
      <c r="GKR11" s="314" t="s">
        <v>203</v>
      </c>
      <c r="GKS11" s="314" t="s">
        <v>203</v>
      </c>
      <c r="GKT11" s="314" t="s">
        <v>203</v>
      </c>
      <c r="GKU11" s="314" t="s">
        <v>203</v>
      </c>
      <c r="GKV11" s="314" t="s">
        <v>203</v>
      </c>
      <c r="GKW11" s="314" t="s">
        <v>203</v>
      </c>
      <c r="GKX11" s="314" t="s">
        <v>203</v>
      </c>
      <c r="GKY11" s="314" t="s">
        <v>203</v>
      </c>
      <c r="GKZ11" s="314" t="s">
        <v>203</v>
      </c>
      <c r="GLA11" s="314" t="s">
        <v>203</v>
      </c>
      <c r="GLB11" s="314" t="s">
        <v>203</v>
      </c>
      <c r="GLC11" s="314" t="s">
        <v>203</v>
      </c>
      <c r="GLD11" s="314" t="s">
        <v>203</v>
      </c>
      <c r="GLE11" s="314" t="s">
        <v>203</v>
      </c>
      <c r="GLF11" s="314" t="s">
        <v>203</v>
      </c>
      <c r="GLG11" s="314" t="s">
        <v>203</v>
      </c>
      <c r="GLH11" s="314" t="s">
        <v>203</v>
      </c>
      <c r="GLI11" s="314" t="s">
        <v>203</v>
      </c>
      <c r="GLJ11" s="314" t="s">
        <v>203</v>
      </c>
      <c r="GLK11" s="314" t="s">
        <v>203</v>
      </c>
      <c r="GLL11" s="314" t="s">
        <v>203</v>
      </c>
      <c r="GLM11" s="314" t="s">
        <v>203</v>
      </c>
      <c r="GLN11" s="314" t="s">
        <v>203</v>
      </c>
      <c r="GLO11" s="314" t="s">
        <v>203</v>
      </c>
      <c r="GLP11" s="314" t="s">
        <v>203</v>
      </c>
      <c r="GLQ11" s="314" t="s">
        <v>203</v>
      </c>
      <c r="GLR11" s="314" t="s">
        <v>203</v>
      </c>
      <c r="GLS11" s="314" t="s">
        <v>203</v>
      </c>
      <c r="GLT11" s="314" t="s">
        <v>203</v>
      </c>
      <c r="GLU11" s="314" t="s">
        <v>203</v>
      </c>
      <c r="GLV11" s="314" t="s">
        <v>203</v>
      </c>
      <c r="GLW11" s="314" t="s">
        <v>203</v>
      </c>
      <c r="GLX11" s="314" t="s">
        <v>203</v>
      </c>
      <c r="GLY11" s="314" t="s">
        <v>203</v>
      </c>
      <c r="GLZ11" s="314" t="s">
        <v>203</v>
      </c>
      <c r="GMA11" s="314" t="s">
        <v>203</v>
      </c>
      <c r="GMB11" s="314" t="s">
        <v>203</v>
      </c>
      <c r="GMC11" s="314" t="s">
        <v>203</v>
      </c>
      <c r="GMD11" s="314" t="s">
        <v>203</v>
      </c>
      <c r="GME11" s="314" t="s">
        <v>203</v>
      </c>
      <c r="GMF11" s="314" t="s">
        <v>203</v>
      </c>
      <c r="GMG11" s="314" t="s">
        <v>203</v>
      </c>
      <c r="GMH11" s="314" t="s">
        <v>203</v>
      </c>
      <c r="GMI11" s="314" t="s">
        <v>203</v>
      </c>
      <c r="GMJ11" s="314" t="s">
        <v>203</v>
      </c>
      <c r="GMK11" s="314" t="s">
        <v>203</v>
      </c>
      <c r="GML11" s="314" t="s">
        <v>203</v>
      </c>
      <c r="GMM11" s="314" t="s">
        <v>203</v>
      </c>
      <c r="GMN11" s="314" t="s">
        <v>203</v>
      </c>
      <c r="GMO11" s="314" t="s">
        <v>203</v>
      </c>
      <c r="GMP11" s="314" t="s">
        <v>203</v>
      </c>
      <c r="GMQ11" s="314" t="s">
        <v>203</v>
      </c>
      <c r="GMR11" s="314" t="s">
        <v>203</v>
      </c>
      <c r="GMS11" s="314" t="s">
        <v>203</v>
      </c>
      <c r="GMT11" s="314" t="s">
        <v>203</v>
      </c>
      <c r="GMU11" s="314" t="s">
        <v>203</v>
      </c>
      <c r="GMV11" s="314" t="s">
        <v>203</v>
      </c>
      <c r="GMW11" s="314" t="s">
        <v>203</v>
      </c>
      <c r="GMX11" s="314" t="s">
        <v>203</v>
      </c>
      <c r="GMY11" s="314" t="s">
        <v>203</v>
      </c>
      <c r="GMZ11" s="314" t="s">
        <v>203</v>
      </c>
      <c r="GNA11" s="314" t="s">
        <v>203</v>
      </c>
      <c r="GNB11" s="314" t="s">
        <v>203</v>
      </c>
      <c r="GNC11" s="314" t="s">
        <v>203</v>
      </c>
      <c r="GND11" s="314" t="s">
        <v>203</v>
      </c>
      <c r="GNE11" s="314" t="s">
        <v>203</v>
      </c>
      <c r="GNF11" s="314" t="s">
        <v>203</v>
      </c>
      <c r="GNG11" s="314" t="s">
        <v>203</v>
      </c>
      <c r="GNH11" s="314" t="s">
        <v>203</v>
      </c>
      <c r="GNI11" s="314" t="s">
        <v>203</v>
      </c>
      <c r="GNJ11" s="314" t="s">
        <v>203</v>
      </c>
      <c r="GNK11" s="314" t="s">
        <v>203</v>
      </c>
      <c r="GNL11" s="314" t="s">
        <v>203</v>
      </c>
      <c r="GNM11" s="314" t="s">
        <v>203</v>
      </c>
      <c r="GNN11" s="314" t="s">
        <v>203</v>
      </c>
      <c r="GNO11" s="314" t="s">
        <v>203</v>
      </c>
      <c r="GNP11" s="314" t="s">
        <v>203</v>
      </c>
      <c r="GNQ11" s="314" t="s">
        <v>203</v>
      </c>
      <c r="GNR11" s="314" t="s">
        <v>203</v>
      </c>
      <c r="GNS11" s="314" t="s">
        <v>203</v>
      </c>
      <c r="GNT11" s="314" t="s">
        <v>203</v>
      </c>
      <c r="GNU11" s="314" t="s">
        <v>203</v>
      </c>
      <c r="GNV11" s="314" t="s">
        <v>203</v>
      </c>
      <c r="GNW11" s="314" t="s">
        <v>203</v>
      </c>
      <c r="GNX11" s="314" t="s">
        <v>203</v>
      </c>
      <c r="GNY11" s="314" t="s">
        <v>203</v>
      </c>
      <c r="GNZ11" s="314" t="s">
        <v>203</v>
      </c>
      <c r="GOA11" s="314" t="s">
        <v>203</v>
      </c>
      <c r="GOB11" s="314" t="s">
        <v>203</v>
      </c>
      <c r="GOC11" s="314" t="s">
        <v>203</v>
      </c>
      <c r="GOD11" s="314" t="s">
        <v>203</v>
      </c>
      <c r="GOE11" s="314" t="s">
        <v>203</v>
      </c>
      <c r="GOF11" s="314" t="s">
        <v>203</v>
      </c>
      <c r="GOG11" s="314" t="s">
        <v>203</v>
      </c>
      <c r="GOH11" s="314" t="s">
        <v>203</v>
      </c>
      <c r="GOI11" s="314" t="s">
        <v>203</v>
      </c>
      <c r="GOJ11" s="314" t="s">
        <v>203</v>
      </c>
      <c r="GOK11" s="314" t="s">
        <v>203</v>
      </c>
      <c r="GOL11" s="314" t="s">
        <v>203</v>
      </c>
      <c r="GOM11" s="314" t="s">
        <v>203</v>
      </c>
      <c r="GON11" s="314" t="s">
        <v>203</v>
      </c>
      <c r="GOO11" s="314" t="s">
        <v>203</v>
      </c>
      <c r="GOP11" s="314" t="s">
        <v>203</v>
      </c>
      <c r="GOQ11" s="314" t="s">
        <v>203</v>
      </c>
      <c r="GOR11" s="314" t="s">
        <v>203</v>
      </c>
      <c r="GOS11" s="314" t="s">
        <v>203</v>
      </c>
      <c r="GOT11" s="314" t="s">
        <v>203</v>
      </c>
      <c r="GOU11" s="314" t="s">
        <v>203</v>
      </c>
      <c r="GOV11" s="314" t="s">
        <v>203</v>
      </c>
      <c r="GOW11" s="314" t="s">
        <v>203</v>
      </c>
      <c r="GOX11" s="314" t="s">
        <v>203</v>
      </c>
      <c r="GOY11" s="314" t="s">
        <v>203</v>
      </c>
      <c r="GOZ11" s="314" t="s">
        <v>203</v>
      </c>
      <c r="GPA11" s="314" t="s">
        <v>203</v>
      </c>
      <c r="GPB11" s="314" t="s">
        <v>203</v>
      </c>
      <c r="GPC11" s="314" t="s">
        <v>203</v>
      </c>
      <c r="GPD11" s="314" t="s">
        <v>203</v>
      </c>
      <c r="GPE11" s="314" t="s">
        <v>203</v>
      </c>
      <c r="GPF11" s="314" t="s">
        <v>203</v>
      </c>
      <c r="GPG11" s="314" t="s">
        <v>203</v>
      </c>
      <c r="GPH11" s="314" t="s">
        <v>203</v>
      </c>
      <c r="GPI11" s="314" t="s">
        <v>203</v>
      </c>
      <c r="GPJ11" s="314" t="s">
        <v>203</v>
      </c>
      <c r="GPK11" s="314" t="s">
        <v>203</v>
      </c>
      <c r="GPL11" s="314" t="s">
        <v>203</v>
      </c>
      <c r="GPM11" s="314" t="s">
        <v>203</v>
      </c>
      <c r="GPN11" s="314" t="s">
        <v>203</v>
      </c>
      <c r="GPO11" s="314" t="s">
        <v>203</v>
      </c>
      <c r="GPP11" s="314" t="s">
        <v>203</v>
      </c>
      <c r="GPQ11" s="314" t="s">
        <v>203</v>
      </c>
      <c r="GPR11" s="314" t="s">
        <v>203</v>
      </c>
      <c r="GPS11" s="314" t="s">
        <v>203</v>
      </c>
      <c r="GPT11" s="314" t="s">
        <v>203</v>
      </c>
      <c r="GPU11" s="314" t="s">
        <v>203</v>
      </c>
      <c r="GPV11" s="314" t="s">
        <v>203</v>
      </c>
      <c r="GPW11" s="314" t="s">
        <v>203</v>
      </c>
      <c r="GPX11" s="314" t="s">
        <v>203</v>
      </c>
      <c r="GPY11" s="314" t="s">
        <v>203</v>
      </c>
      <c r="GPZ11" s="314" t="s">
        <v>203</v>
      </c>
      <c r="GQA11" s="314" t="s">
        <v>203</v>
      </c>
      <c r="GQB11" s="314" t="s">
        <v>203</v>
      </c>
      <c r="GQC11" s="314" t="s">
        <v>203</v>
      </c>
      <c r="GQD11" s="314" t="s">
        <v>203</v>
      </c>
      <c r="GQE11" s="314" t="s">
        <v>203</v>
      </c>
      <c r="GQF11" s="314" t="s">
        <v>203</v>
      </c>
      <c r="GQG11" s="314" t="s">
        <v>203</v>
      </c>
      <c r="GQH11" s="314" t="s">
        <v>203</v>
      </c>
      <c r="GQI11" s="314" t="s">
        <v>203</v>
      </c>
      <c r="GQJ11" s="314" t="s">
        <v>203</v>
      </c>
      <c r="GQK11" s="314" t="s">
        <v>203</v>
      </c>
      <c r="GQL11" s="314" t="s">
        <v>203</v>
      </c>
      <c r="GQM11" s="314" t="s">
        <v>203</v>
      </c>
      <c r="GQN11" s="314" t="s">
        <v>203</v>
      </c>
      <c r="GQO11" s="314" t="s">
        <v>203</v>
      </c>
      <c r="GQP11" s="314" t="s">
        <v>203</v>
      </c>
      <c r="GQQ11" s="314" t="s">
        <v>203</v>
      </c>
      <c r="GQR11" s="314" t="s">
        <v>203</v>
      </c>
      <c r="GQS11" s="314" t="s">
        <v>203</v>
      </c>
      <c r="GQT11" s="314" t="s">
        <v>203</v>
      </c>
      <c r="GQU11" s="314" t="s">
        <v>203</v>
      </c>
      <c r="GQV11" s="314" t="s">
        <v>203</v>
      </c>
      <c r="GQW11" s="314" t="s">
        <v>203</v>
      </c>
      <c r="GQX11" s="314" t="s">
        <v>203</v>
      </c>
      <c r="GQY11" s="314" t="s">
        <v>203</v>
      </c>
      <c r="GQZ11" s="314" t="s">
        <v>203</v>
      </c>
      <c r="GRA11" s="314" t="s">
        <v>203</v>
      </c>
      <c r="GRB11" s="314" t="s">
        <v>203</v>
      </c>
      <c r="GRC11" s="314" t="s">
        <v>203</v>
      </c>
      <c r="GRD11" s="314" t="s">
        <v>203</v>
      </c>
      <c r="GRE11" s="314" t="s">
        <v>203</v>
      </c>
      <c r="GRF11" s="314" t="s">
        <v>203</v>
      </c>
      <c r="GRG11" s="314" t="s">
        <v>203</v>
      </c>
      <c r="GRH11" s="314" t="s">
        <v>203</v>
      </c>
      <c r="GRI11" s="314" t="s">
        <v>203</v>
      </c>
      <c r="GRJ11" s="314" t="s">
        <v>203</v>
      </c>
      <c r="GRK11" s="314" t="s">
        <v>203</v>
      </c>
      <c r="GRL11" s="314" t="s">
        <v>203</v>
      </c>
      <c r="GRM11" s="314" t="s">
        <v>203</v>
      </c>
      <c r="GRN11" s="314" t="s">
        <v>203</v>
      </c>
      <c r="GRO11" s="314" t="s">
        <v>203</v>
      </c>
      <c r="GRP11" s="314" t="s">
        <v>203</v>
      </c>
      <c r="GRQ11" s="314" t="s">
        <v>203</v>
      </c>
      <c r="GRR11" s="314" t="s">
        <v>203</v>
      </c>
      <c r="GRS11" s="314" t="s">
        <v>203</v>
      </c>
      <c r="GRT11" s="314" t="s">
        <v>203</v>
      </c>
      <c r="GRU11" s="314" t="s">
        <v>203</v>
      </c>
      <c r="GRV11" s="314" t="s">
        <v>203</v>
      </c>
      <c r="GRW11" s="314" t="s">
        <v>203</v>
      </c>
      <c r="GRX11" s="314" t="s">
        <v>203</v>
      </c>
      <c r="GRY11" s="314" t="s">
        <v>203</v>
      </c>
      <c r="GRZ11" s="314" t="s">
        <v>203</v>
      </c>
      <c r="GSA11" s="314" t="s">
        <v>203</v>
      </c>
      <c r="GSB11" s="314" t="s">
        <v>203</v>
      </c>
      <c r="GSC11" s="314" t="s">
        <v>203</v>
      </c>
      <c r="GSD11" s="314" t="s">
        <v>203</v>
      </c>
      <c r="GSE11" s="314" t="s">
        <v>203</v>
      </c>
      <c r="GSF11" s="314" t="s">
        <v>203</v>
      </c>
      <c r="GSG11" s="314" t="s">
        <v>203</v>
      </c>
      <c r="GSH11" s="314" t="s">
        <v>203</v>
      </c>
      <c r="GSI11" s="314" t="s">
        <v>203</v>
      </c>
      <c r="GSJ11" s="314" t="s">
        <v>203</v>
      </c>
      <c r="GSK11" s="314" t="s">
        <v>203</v>
      </c>
      <c r="GSL11" s="314" t="s">
        <v>203</v>
      </c>
      <c r="GSM11" s="314" t="s">
        <v>203</v>
      </c>
      <c r="GSN11" s="314" t="s">
        <v>203</v>
      </c>
      <c r="GSO11" s="314" t="s">
        <v>203</v>
      </c>
      <c r="GSP11" s="314" t="s">
        <v>203</v>
      </c>
      <c r="GSQ11" s="314" t="s">
        <v>203</v>
      </c>
      <c r="GSR11" s="314" t="s">
        <v>203</v>
      </c>
      <c r="GSS11" s="314" t="s">
        <v>203</v>
      </c>
      <c r="GST11" s="314" t="s">
        <v>203</v>
      </c>
      <c r="GSU11" s="314" t="s">
        <v>203</v>
      </c>
      <c r="GSV11" s="314" t="s">
        <v>203</v>
      </c>
      <c r="GSW11" s="314" t="s">
        <v>203</v>
      </c>
      <c r="GSX11" s="314" t="s">
        <v>203</v>
      </c>
      <c r="GSY11" s="314" t="s">
        <v>203</v>
      </c>
      <c r="GSZ11" s="314" t="s">
        <v>203</v>
      </c>
      <c r="GTA11" s="314" t="s">
        <v>203</v>
      </c>
      <c r="GTB11" s="314" t="s">
        <v>203</v>
      </c>
      <c r="GTC11" s="314" t="s">
        <v>203</v>
      </c>
      <c r="GTD11" s="314" t="s">
        <v>203</v>
      </c>
      <c r="GTE11" s="314" t="s">
        <v>203</v>
      </c>
      <c r="GTF11" s="314" t="s">
        <v>203</v>
      </c>
      <c r="GTG11" s="314" t="s">
        <v>203</v>
      </c>
      <c r="GTH11" s="314" t="s">
        <v>203</v>
      </c>
      <c r="GTI11" s="314" t="s">
        <v>203</v>
      </c>
      <c r="GTJ11" s="314" t="s">
        <v>203</v>
      </c>
      <c r="GTK11" s="314" t="s">
        <v>203</v>
      </c>
      <c r="GTL11" s="314" t="s">
        <v>203</v>
      </c>
      <c r="GTM11" s="314" t="s">
        <v>203</v>
      </c>
      <c r="GTN11" s="314" t="s">
        <v>203</v>
      </c>
      <c r="GTO11" s="314" t="s">
        <v>203</v>
      </c>
      <c r="GTP11" s="314" t="s">
        <v>203</v>
      </c>
      <c r="GTQ11" s="314" t="s">
        <v>203</v>
      </c>
      <c r="GTR11" s="314" t="s">
        <v>203</v>
      </c>
      <c r="GTS11" s="314" t="s">
        <v>203</v>
      </c>
      <c r="GTT11" s="314" t="s">
        <v>203</v>
      </c>
      <c r="GTU11" s="314" t="s">
        <v>203</v>
      </c>
      <c r="GTV11" s="314" t="s">
        <v>203</v>
      </c>
      <c r="GTW11" s="314" t="s">
        <v>203</v>
      </c>
      <c r="GTX11" s="314" t="s">
        <v>203</v>
      </c>
      <c r="GTY11" s="314" t="s">
        <v>203</v>
      </c>
      <c r="GTZ11" s="314" t="s">
        <v>203</v>
      </c>
      <c r="GUA11" s="314" t="s">
        <v>203</v>
      </c>
      <c r="GUB11" s="314" t="s">
        <v>203</v>
      </c>
      <c r="GUC11" s="314" t="s">
        <v>203</v>
      </c>
      <c r="GUD11" s="314" t="s">
        <v>203</v>
      </c>
      <c r="GUE11" s="314" t="s">
        <v>203</v>
      </c>
      <c r="GUF11" s="314" t="s">
        <v>203</v>
      </c>
      <c r="GUG11" s="314" t="s">
        <v>203</v>
      </c>
      <c r="GUH11" s="314" t="s">
        <v>203</v>
      </c>
      <c r="GUI11" s="314" t="s">
        <v>203</v>
      </c>
      <c r="GUJ11" s="314" t="s">
        <v>203</v>
      </c>
      <c r="GUK11" s="314" t="s">
        <v>203</v>
      </c>
      <c r="GUL11" s="314" t="s">
        <v>203</v>
      </c>
      <c r="GUM11" s="314" t="s">
        <v>203</v>
      </c>
      <c r="GUN11" s="314" t="s">
        <v>203</v>
      </c>
      <c r="GUO11" s="314" t="s">
        <v>203</v>
      </c>
      <c r="GUP11" s="314" t="s">
        <v>203</v>
      </c>
      <c r="GUQ11" s="314" t="s">
        <v>203</v>
      </c>
      <c r="GUR11" s="314" t="s">
        <v>203</v>
      </c>
      <c r="GUS11" s="314" t="s">
        <v>203</v>
      </c>
      <c r="GUT11" s="314" t="s">
        <v>203</v>
      </c>
      <c r="GUU11" s="314" t="s">
        <v>203</v>
      </c>
      <c r="GUV11" s="314" t="s">
        <v>203</v>
      </c>
      <c r="GUW11" s="314" t="s">
        <v>203</v>
      </c>
      <c r="GUX11" s="314" t="s">
        <v>203</v>
      </c>
      <c r="GUY11" s="314" t="s">
        <v>203</v>
      </c>
      <c r="GUZ11" s="314" t="s">
        <v>203</v>
      </c>
      <c r="GVA11" s="314" t="s">
        <v>203</v>
      </c>
      <c r="GVB11" s="314" t="s">
        <v>203</v>
      </c>
      <c r="GVC11" s="314" t="s">
        <v>203</v>
      </c>
      <c r="GVD11" s="314" t="s">
        <v>203</v>
      </c>
      <c r="GVE11" s="314" t="s">
        <v>203</v>
      </c>
      <c r="GVF11" s="314" t="s">
        <v>203</v>
      </c>
      <c r="GVG11" s="314" t="s">
        <v>203</v>
      </c>
      <c r="GVH11" s="314" t="s">
        <v>203</v>
      </c>
      <c r="GVI11" s="314" t="s">
        <v>203</v>
      </c>
      <c r="GVJ11" s="314" t="s">
        <v>203</v>
      </c>
      <c r="GVK11" s="314" t="s">
        <v>203</v>
      </c>
      <c r="GVL11" s="314" t="s">
        <v>203</v>
      </c>
      <c r="GVM11" s="314" t="s">
        <v>203</v>
      </c>
      <c r="GVN11" s="314" t="s">
        <v>203</v>
      </c>
      <c r="GVO11" s="314" t="s">
        <v>203</v>
      </c>
      <c r="GVP11" s="314" t="s">
        <v>203</v>
      </c>
      <c r="GVQ11" s="314" t="s">
        <v>203</v>
      </c>
      <c r="GVR11" s="314" t="s">
        <v>203</v>
      </c>
      <c r="GVS11" s="314" t="s">
        <v>203</v>
      </c>
      <c r="GVT11" s="314" t="s">
        <v>203</v>
      </c>
      <c r="GVU11" s="314" t="s">
        <v>203</v>
      </c>
      <c r="GVV11" s="314" t="s">
        <v>203</v>
      </c>
      <c r="GVW11" s="314" t="s">
        <v>203</v>
      </c>
      <c r="GVX11" s="314" t="s">
        <v>203</v>
      </c>
      <c r="GVY11" s="314" t="s">
        <v>203</v>
      </c>
      <c r="GVZ11" s="314" t="s">
        <v>203</v>
      </c>
      <c r="GWA11" s="314" t="s">
        <v>203</v>
      </c>
      <c r="GWB11" s="314" t="s">
        <v>203</v>
      </c>
      <c r="GWC11" s="314" t="s">
        <v>203</v>
      </c>
      <c r="GWD11" s="314" t="s">
        <v>203</v>
      </c>
      <c r="GWE11" s="314" t="s">
        <v>203</v>
      </c>
      <c r="GWF11" s="314" t="s">
        <v>203</v>
      </c>
      <c r="GWG11" s="314" t="s">
        <v>203</v>
      </c>
      <c r="GWH11" s="314" t="s">
        <v>203</v>
      </c>
      <c r="GWI11" s="314" t="s">
        <v>203</v>
      </c>
      <c r="GWJ11" s="314" t="s">
        <v>203</v>
      </c>
      <c r="GWK11" s="314" t="s">
        <v>203</v>
      </c>
      <c r="GWL11" s="314" t="s">
        <v>203</v>
      </c>
      <c r="GWM11" s="314" t="s">
        <v>203</v>
      </c>
      <c r="GWN11" s="314" t="s">
        <v>203</v>
      </c>
      <c r="GWO11" s="314" t="s">
        <v>203</v>
      </c>
      <c r="GWP11" s="314" t="s">
        <v>203</v>
      </c>
      <c r="GWQ11" s="314" t="s">
        <v>203</v>
      </c>
      <c r="GWR11" s="314" t="s">
        <v>203</v>
      </c>
      <c r="GWS11" s="314" t="s">
        <v>203</v>
      </c>
      <c r="GWT11" s="314" t="s">
        <v>203</v>
      </c>
      <c r="GWU11" s="314" t="s">
        <v>203</v>
      </c>
      <c r="GWV11" s="314" t="s">
        <v>203</v>
      </c>
      <c r="GWW11" s="314" t="s">
        <v>203</v>
      </c>
      <c r="GWX11" s="314" t="s">
        <v>203</v>
      </c>
      <c r="GWY11" s="314" t="s">
        <v>203</v>
      </c>
      <c r="GWZ11" s="314" t="s">
        <v>203</v>
      </c>
      <c r="GXA11" s="314" t="s">
        <v>203</v>
      </c>
      <c r="GXB11" s="314" t="s">
        <v>203</v>
      </c>
      <c r="GXC11" s="314" t="s">
        <v>203</v>
      </c>
      <c r="GXD11" s="314" t="s">
        <v>203</v>
      </c>
      <c r="GXE11" s="314" t="s">
        <v>203</v>
      </c>
      <c r="GXF11" s="314" t="s">
        <v>203</v>
      </c>
      <c r="GXG11" s="314" t="s">
        <v>203</v>
      </c>
      <c r="GXH11" s="314" t="s">
        <v>203</v>
      </c>
      <c r="GXI11" s="314" t="s">
        <v>203</v>
      </c>
      <c r="GXJ11" s="314" t="s">
        <v>203</v>
      </c>
      <c r="GXK11" s="314" t="s">
        <v>203</v>
      </c>
      <c r="GXL11" s="314" t="s">
        <v>203</v>
      </c>
      <c r="GXM11" s="314" t="s">
        <v>203</v>
      </c>
      <c r="GXN11" s="314" t="s">
        <v>203</v>
      </c>
      <c r="GXO11" s="314" t="s">
        <v>203</v>
      </c>
      <c r="GXP11" s="314" t="s">
        <v>203</v>
      </c>
      <c r="GXQ11" s="314" t="s">
        <v>203</v>
      </c>
      <c r="GXR11" s="314" t="s">
        <v>203</v>
      </c>
      <c r="GXS11" s="314" t="s">
        <v>203</v>
      </c>
      <c r="GXT11" s="314" t="s">
        <v>203</v>
      </c>
      <c r="GXU11" s="314" t="s">
        <v>203</v>
      </c>
      <c r="GXV11" s="314" t="s">
        <v>203</v>
      </c>
      <c r="GXW11" s="314" t="s">
        <v>203</v>
      </c>
      <c r="GXX11" s="314" t="s">
        <v>203</v>
      </c>
      <c r="GXY11" s="314" t="s">
        <v>203</v>
      </c>
      <c r="GXZ11" s="314" t="s">
        <v>203</v>
      </c>
      <c r="GYA11" s="314" t="s">
        <v>203</v>
      </c>
      <c r="GYB11" s="314" t="s">
        <v>203</v>
      </c>
      <c r="GYC11" s="314" t="s">
        <v>203</v>
      </c>
      <c r="GYD11" s="314" t="s">
        <v>203</v>
      </c>
      <c r="GYE11" s="314" t="s">
        <v>203</v>
      </c>
      <c r="GYF11" s="314" t="s">
        <v>203</v>
      </c>
      <c r="GYG11" s="314" t="s">
        <v>203</v>
      </c>
      <c r="GYH11" s="314" t="s">
        <v>203</v>
      </c>
      <c r="GYI11" s="314" t="s">
        <v>203</v>
      </c>
      <c r="GYJ11" s="314" t="s">
        <v>203</v>
      </c>
      <c r="GYK11" s="314" t="s">
        <v>203</v>
      </c>
      <c r="GYL11" s="314" t="s">
        <v>203</v>
      </c>
      <c r="GYM11" s="314" t="s">
        <v>203</v>
      </c>
      <c r="GYN11" s="314" t="s">
        <v>203</v>
      </c>
      <c r="GYO11" s="314" t="s">
        <v>203</v>
      </c>
      <c r="GYP11" s="314" t="s">
        <v>203</v>
      </c>
      <c r="GYQ11" s="314" t="s">
        <v>203</v>
      </c>
      <c r="GYR11" s="314" t="s">
        <v>203</v>
      </c>
      <c r="GYS11" s="314" t="s">
        <v>203</v>
      </c>
      <c r="GYT11" s="314" t="s">
        <v>203</v>
      </c>
      <c r="GYU11" s="314" t="s">
        <v>203</v>
      </c>
      <c r="GYV11" s="314" t="s">
        <v>203</v>
      </c>
      <c r="GYW11" s="314" t="s">
        <v>203</v>
      </c>
      <c r="GYX11" s="314" t="s">
        <v>203</v>
      </c>
      <c r="GYY11" s="314" t="s">
        <v>203</v>
      </c>
      <c r="GYZ11" s="314" t="s">
        <v>203</v>
      </c>
      <c r="GZA11" s="314" t="s">
        <v>203</v>
      </c>
      <c r="GZB11" s="314" t="s">
        <v>203</v>
      </c>
      <c r="GZC11" s="314" t="s">
        <v>203</v>
      </c>
      <c r="GZD11" s="314" t="s">
        <v>203</v>
      </c>
      <c r="GZE11" s="314" t="s">
        <v>203</v>
      </c>
      <c r="GZF11" s="314" t="s">
        <v>203</v>
      </c>
      <c r="GZG11" s="314" t="s">
        <v>203</v>
      </c>
      <c r="GZH11" s="314" t="s">
        <v>203</v>
      </c>
      <c r="GZI11" s="314" t="s">
        <v>203</v>
      </c>
      <c r="GZJ11" s="314" t="s">
        <v>203</v>
      </c>
      <c r="GZK11" s="314" t="s">
        <v>203</v>
      </c>
      <c r="GZL11" s="314" t="s">
        <v>203</v>
      </c>
      <c r="GZM11" s="314" t="s">
        <v>203</v>
      </c>
      <c r="GZN11" s="314" t="s">
        <v>203</v>
      </c>
      <c r="GZO11" s="314" t="s">
        <v>203</v>
      </c>
      <c r="GZP11" s="314" t="s">
        <v>203</v>
      </c>
      <c r="GZQ11" s="314" t="s">
        <v>203</v>
      </c>
      <c r="GZR11" s="314" t="s">
        <v>203</v>
      </c>
      <c r="GZS11" s="314" t="s">
        <v>203</v>
      </c>
      <c r="GZT11" s="314" t="s">
        <v>203</v>
      </c>
      <c r="GZU11" s="314" t="s">
        <v>203</v>
      </c>
      <c r="GZV11" s="314" t="s">
        <v>203</v>
      </c>
      <c r="GZW11" s="314" t="s">
        <v>203</v>
      </c>
      <c r="GZX11" s="314" t="s">
        <v>203</v>
      </c>
      <c r="GZY11" s="314" t="s">
        <v>203</v>
      </c>
      <c r="GZZ11" s="314" t="s">
        <v>203</v>
      </c>
      <c r="HAA11" s="314" t="s">
        <v>203</v>
      </c>
      <c r="HAB11" s="314" t="s">
        <v>203</v>
      </c>
      <c r="HAC11" s="314" t="s">
        <v>203</v>
      </c>
      <c r="HAD11" s="314" t="s">
        <v>203</v>
      </c>
      <c r="HAE11" s="314" t="s">
        <v>203</v>
      </c>
      <c r="HAF11" s="314" t="s">
        <v>203</v>
      </c>
      <c r="HAG11" s="314" t="s">
        <v>203</v>
      </c>
      <c r="HAH11" s="314" t="s">
        <v>203</v>
      </c>
      <c r="HAI11" s="314" t="s">
        <v>203</v>
      </c>
      <c r="HAJ11" s="314" t="s">
        <v>203</v>
      </c>
      <c r="HAK11" s="314" t="s">
        <v>203</v>
      </c>
      <c r="HAL11" s="314" t="s">
        <v>203</v>
      </c>
      <c r="HAM11" s="314" t="s">
        <v>203</v>
      </c>
      <c r="HAN11" s="314" t="s">
        <v>203</v>
      </c>
      <c r="HAO11" s="314" t="s">
        <v>203</v>
      </c>
      <c r="HAP11" s="314" t="s">
        <v>203</v>
      </c>
      <c r="HAQ11" s="314" t="s">
        <v>203</v>
      </c>
      <c r="HAR11" s="314" t="s">
        <v>203</v>
      </c>
      <c r="HAS11" s="314" t="s">
        <v>203</v>
      </c>
      <c r="HAT11" s="314" t="s">
        <v>203</v>
      </c>
      <c r="HAU11" s="314" t="s">
        <v>203</v>
      </c>
      <c r="HAV11" s="314" t="s">
        <v>203</v>
      </c>
      <c r="HAW11" s="314" t="s">
        <v>203</v>
      </c>
      <c r="HAX11" s="314" t="s">
        <v>203</v>
      </c>
      <c r="HAY11" s="314" t="s">
        <v>203</v>
      </c>
      <c r="HAZ11" s="314" t="s">
        <v>203</v>
      </c>
      <c r="HBA11" s="314" t="s">
        <v>203</v>
      </c>
      <c r="HBB11" s="314" t="s">
        <v>203</v>
      </c>
      <c r="HBC11" s="314" t="s">
        <v>203</v>
      </c>
      <c r="HBD11" s="314" t="s">
        <v>203</v>
      </c>
      <c r="HBE11" s="314" t="s">
        <v>203</v>
      </c>
      <c r="HBF11" s="314" t="s">
        <v>203</v>
      </c>
      <c r="HBG11" s="314" t="s">
        <v>203</v>
      </c>
      <c r="HBH11" s="314" t="s">
        <v>203</v>
      </c>
      <c r="HBI11" s="314" t="s">
        <v>203</v>
      </c>
      <c r="HBJ11" s="314" t="s">
        <v>203</v>
      </c>
      <c r="HBK11" s="314" t="s">
        <v>203</v>
      </c>
      <c r="HBL11" s="314" t="s">
        <v>203</v>
      </c>
      <c r="HBM11" s="314" t="s">
        <v>203</v>
      </c>
      <c r="HBN11" s="314" t="s">
        <v>203</v>
      </c>
      <c r="HBO11" s="314" t="s">
        <v>203</v>
      </c>
      <c r="HBP11" s="314" t="s">
        <v>203</v>
      </c>
      <c r="HBQ11" s="314" t="s">
        <v>203</v>
      </c>
      <c r="HBR11" s="314" t="s">
        <v>203</v>
      </c>
      <c r="HBS11" s="314" t="s">
        <v>203</v>
      </c>
      <c r="HBT11" s="314" t="s">
        <v>203</v>
      </c>
      <c r="HBU11" s="314" t="s">
        <v>203</v>
      </c>
      <c r="HBV11" s="314" t="s">
        <v>203</v>
      </c>
      <c r="HBW11" s="314" t="s">
        <v>203</v>
      </c>
      <c r="HBX11" s="314" t="s">
        <v>203</v>
      </c>
      <c r="HBY11" s="314" t="s">
        <v>203</v>
      </c>
      <c r="HBZ11" s="314" t="s">
        <v>203</v>
      </c>
      <c r="HCA11" s="314" t="s">
        <v>203</v>
      </c>
      <c r="HCB11" s="314" t="s">
        <v>203</v>
      </c>
      <c r="HCC11" s="314" t="s">
        <v>203</v>
      </c>
      <c r="HCD11" s="314" t="s">
        <v>203</v>
      </c>
      <c r="HCE11" s="314" t="s">
        <v>203</v>
      </c>
      <c r="HCF11" s="314" t="s">
        <v>203</v>
      </c>
      <c r="HCG11" s="314" t="s">
        <v>203</v>
      </c>
      <c r="HCH11" s="314" t="s">
        <v>203</v>
      </c>
      <c r="HCI11" s="314" t="s">
        <v>203</v>
      </c>
      <c r="HCJ11" s="314" t="s">
        <v>203</v>
      </c>
      <c r="HCK11" s="314" t="s">
        <v>203</v>
      </c>
      <c r="HCL11" s="314" t="s">
        <v>203</v>
      </c>
      <c r="HCM11" s="314" t="s">
        <v>203</v>
      </c>
      <c r="HCN11" s="314" t="s">
        <v>203</v>
      </c>
      <c r="HCO11" s="314" t="s">
        <v>203</v>
      </c>
      <c r="HCP11" s="314" t="s">
        <v>203</v>
      </c>
      <c r="HCQ11" s="314" t="s">
        <v>203</v>
      </c>
      <c r="HCR11" s="314" t="s">
        <v>203</v>
      </c>
      <c r="HCS11" s="314" t="s">
        <v>203</v>
      </c>
      <c r="HCT11" s="314" t="s">
        <v>203</v>
      </c>
      <c r="HCU11" s="314" t="s">
        <v>203</v>
      </c>
      <c r="HCV11" s="314" t="s">
        <v>203</v>
      </c>
      <c r="HCW11" s="314" t="s">
        <v>203</v>
      </c>
      <c r="HCX11" s="314" t="s">
        <v>203</v>
      </c>
      <c r="HCY11" s="314" t="s">
        <v>203</v>
      </c>
      <c r="HCZ11" s="314" t="s">
        <v>203</v>
      </c>
      <c r="HDA11" s="314" t="s">
        <v>203</v>
      </c>
      <c r="HDB11" s="314" t="s">
        <v>203</v>
      </c>
      <c r="HDC11" s="314" t="s">
        <v>203</v>
      </c>
      <c r="HDD11" s="314" t="s">
        <v>203</v>
      </c>
      <c r="HDE11" s="314" t="s">
        <v>203</v>
      </c>
      <c r="HDF11" s="314" t="s">
        <v>203</v>
      </c>
      <c r="HDG11" s="314" t="s">
        <v>203</v>
      </c>
      <c r="HDH11" s="314" t="s">
        <v>203</v>
      </c>
      <c r="HDI11" s="314" t="s">
        <v>203</v>
      </c>
      <c r="HDJ11" s="314" t="s">
        <v>203</v>
      </c>
      <c r="HDK11" s="314" t="s">
        <v>203</v>
      </c>
      <c r="HDL11" s="314" t="s">
        <v>203</v>
      </c>
      <c r="HDM11" s="314" t="s">
        <v>203</v>
      </c>
      <c r="HDN11" s="314" t="s">
        <v>203</v>
      </c>
      <c r="HDO11" s="314" t="s">
        <v>203</v>
      </c>
      <c r="HDP11" s="314" t="s">
        <v>203</v>
      </c>
      <c r="HDQ11" s="314" t="s">
        <v>203</v>
      </c>
      <c r="HDR11" s="314" t="s">
        <v>203</v>
      </c>
      <c r="HDS11" s="314" t="s">
        <v>203</v>
      </c>
      <c r="HDT11" s="314" t="s">
        <v>203</v>
      </c>
      <c r="HDU11" s="314" t="s">
        <v>203</v>
      </c>
      <c r="HDV11" s="314" t="s">
        <v>203</v>
      </c>
      <c r="HDW11" s="314" t="s">
        <v>203</v>
      </c>
      <c r="HDX11" s="314" t="s">
        <v>203</v>
      </c>
      <c r="HDY11" s="314" t="s">
        <v>203</v>
      </c>
      <c r="HDZ11" s="314" t="s">
        <v>203</v>
      </c>
      <c r="HEA11" s="314" t="s">
        <v>203</v>
      </c>
      <c r="HEB11" s="314" t="s">
        <v>203</v>
      </c>
      <c r="HEC11" s="314" t="s">
        <v>203</v>
      </c>
      <c r="HED11" s="314" t="s">
        <v>203</v>
      </c>
      <c r="HEE11" s="314" t="s">
        <v>203</v>
      </c>
      <c r="HEF11" s="314" t="s">
        <v>203</v>
      </c>
      <c r="HEG11" s="314" t="s">
        <v>203</v>
      </c>
      <c r="HEH11" s="314" t="s">
        <v>203</v>
      </c>
      <c r="HEI11" s="314" t="s">
        <v>203</v>
      </c>
      <c r="HEJ11" s="314" t="s">
        <v>203</v>
      </c>
      <c r="HEK11" s="314" t="s">
        <v>203</v>
      </c>
      <c r="HEL11" s="314" t="s">
        <v>203</v>
      </c>
      <c r="HEM11" s="314" t="s">
        <v>203</v>
      </c>
      <c r="HEN11" s="314" t="s">
        <v>203</v>
      </c>
      <c r="HEO11" s="314" t="s">
        <v>203</v>
      </c>
      <c r="HEP11" s="314" t="s">
        <v>203</v>
      </c>
      <c r="HEQ11" s="314" t="s">
        <v>203</v>
      </c>
      <c r="HER11" s="314" t="s">
        <v>203</v>
      </c>
      <c r="HES11" s="314" t="s">
        <v>203</v>
      </c>
      <c r="HET11" s="314" t="s">
        <v>203</v>
      </c>
      <c r="HEU11" s="314" t="s">
        <v>203</v>
      </c>
      <c r="HEV11" s="314" t="s">
        <v>203</v>
      </c>
      <c r="HEW11" s="314" t="s">
        <v>203</v>
      </c>
      <c r="HEX11" s="314" t="s">
        <v>203</v>
      </c>
      <c r="HEY11" s="314" t="s">
        <v>203</v>
      </c>
      <c r="HEZ11" s="314" t="s">
        <v>203</v>
      </c>
      <c r="HFA11" s="314" t="s">
        <v>203</v>
      </c>
      <c r="HFB11" s="314" t="s">
        <v>203</v>
      </c>
      <c r="HFC11" s="314" t="s">
        <v>203</v>
      </c>
      <c r="HFD11" s="314" t="s">
        <v>203</v>
      </c>
      <c r="HFE11" s="314" t="s">
        <v>203</v>
      </c>
      <c r="HFF11" s="314" t="s">
        <v>203</v>
      </c>
      <c r="HFG11" s="314" t="s">
        <v>203</v>
      </c>
      <c r="HFH11" s="314" t="s">
        <v>203</v>
      </c>
      <c r="HFI11" s="314" t="s">
        <v>203</v>
      </c>
      <c r="HFJ11" s="314" t="s">
        <v>203</v>
      </c>
      <c r="HFK11" s="314" t="s">
        <v>203</v>
      </c>
      <c r="HFL11" s="314" t="s">
        <v>203</v>
      </c>
      <c r="HFM11" s="314" t="s">
        <v>203</v>
      </c>
      <c r="HFN11" s="314" t="s">
        <v>203</v>
      </c>
      <c r="HFO11" s="314" t="s">
        <v>203</v>
      </c>
      <c r="HFP11" s="314" t="s">
        <v>203</v>
      </c>
      <c r="HFQ11" s="314" t="s">
        <v>203</v>
      </c>
      <c r="HFR11" s="314" t="s">
        <v>203</v>
      </c>
      <c r="HFS11" s="314" t="s">
        <v>203</v>
      </c>
      <c r="HFT11" s="314" t="s">
        <v>203</v>
      </c>
      <c r="HFU11" s="314" t="s">
        <v>203</v>
      </c>
      <c r="HFV11" s="314" t="s">
        <v>203</v>
      </c>
      <c r="HFW11" s="314" t="s">
        <v>203</v>
      </c>
      <c r="HFX11" s="314" t="s">
        <v>203</v>
      </c>
      <c r="HFY11" s="314" t="s">
        <v>203</v>
      </c>
      <c r="HFZ11" s="314" t="s">
        <v>203</v>
      </c>
      <c r="HGA11" s="314" t="s">
        <v>203</v>
      </c>
      <c r="HGB11" s="314" t="s">
        <v>203</v>
      </c>
      <c r="HGC11" s="314" t="s">
        <v>203</v>
      </c>
      <c r="HGD11" s="314" t="s">
        <v>203</v>
      </c>
      <c r="HGE11" s="314" t="s">
        <v>203</v>
      </c>
      <c r="HGF11" s="314" t="s">
        <v>203</v>
      </c>
      <c r="HGG11" s="314" t="s">
        <v>203</v>
      </c>
      <c r="HGH11" s="314" t="s">
        <v>203</v>
      </c>
      <c r="HGI11" s="314" t="s">
        <v>203</v>
      </c>
      <c r="HGJ11" s="314" t="s">
        <v>203</v>
      </c>
      <c r="HGK11" s="314" t="s">
        <v>203</v>
      </c>
      <c r="HGL11" s="314" t="s">
        <v>203</v>
      </c>
      <c r="HGM11" s="314" t="s">
        <v>203</v>
      </c>
      <c r="HGN11" s="314" t="s">
        <v>203</v>
      </c>
      <c r="HGO11" s="314" t="s">
        <v>203</v>
      </c>
      <c r="HGP11" s="314" t="s">
        <v>203</v>
      </c>
      <c r="HGQ11" s="314" t="s">
        <v>203</v>
      </c>
      <c r="HGR11" s="314" t="s">
        <v>203</v>
      </c>
      <c r="HGS11" s="314" t="s">
        <v>203</v>
      </c>
      <c r="HGT11" s="314" t="s">
        <v>203</v>
      </c>
      <c r="HGU11" s="314" t="s">
        <v>203</v>
      </c>
      <c r="HGV11" s="314" t="s">
        <v>203</v>
      </c>
      <c r="HGW11" s="314" t="s">
        <v>203</v>
      </c>
      <c r="HGX11" s="314" t="s">
        <v>203</v>
      </c>
      <c r="HGY11" s="314" t="s">
        <v>203</v>
      </c>
      <c r="HGZ11" s="314" t="s">
        <v>203</v>
      </c>
      <c r="HHA11" s="314" t="s">
        <v>203</v>
      </c>
      <c r="HHB11" s="314" t="s">
        <v>203</v>
      </c>
      <c r="HHC11" s="314" t="s">
        <v>203</v>
      </c>
      <c r="HHD11" s="314" t="s">
        <v>203</v>
      </c>
      <c r="HHE11" s="314" t="s">
        <v>203</v>
      </c>
      <c r="HHF11" s="314" t="s">
        <v>203</v>
      </c>
      <c r="HHG11" s="314" t="s">
        <v>203</v>
      </c>
      <c r="HHH11" s="314" t="s">
        <v>203</v>
      </c>
      <c r="HHI11" s="314" t="s">
        <v>203</v>
      </c>
      <c r="HHJ11" s="314" t="s">
        <v>203</v>
      </c>
      <c r="HHK11" s="314" t="s">
        <v>203</v>
      </c>
      <c r="HHL11" s="314" t="s">
        <v>203</v>
      </c>
      <c r="HHM11" s="314" t="s">
        <v>203</v>
      </c>
      <c r="HHN11" s="314" t="s">
        <v>203</v>
      </c>
      <c r="HHO11" s="314" t="s">
        <v>203</v>
      </c>
      <c r="HHP11" s="314" t="s">
        <v>203</v>
      </c>
      <c r="HHQ11" s="314" t="s">
        <v>203</v>
      </c>
      <c r="HHR11" s="314" t="s">
        <v>203</v>
      </c>
      <c r="HHS11" s="314" t="s">
        <v>203</v>
      </c>
      <c r="HHT11" s="314" t="s">
        <v>203</v>
      </c>
      <c r="HHU11" s="314" t="s">
        <v>203</v>
      </c>
      <c r="HHV11" s="314" t="s">
        <v>203</v>
      </c>
      <c r="HHW11" s="314" t="s">
        <v>203</v>
      </c>
      <c r="HHX11" s="314" t="s">
        <v>203</v>
      </c>
      <c r="HHY11" s="314" t="s">
        <v>203</v>
      </c>
      <c r="HHZ11" s="314" t="s">
        <v>203</v>
      </c>
      <c r="HIA11" s="314" t="s">
        <v>203</v>
      </c>
      <c r="HIB11" s="314" t="s">
        <v>203</v>
      </c>
      <c r="HIC11" s="314" t="s">
        <v>203</v>
      </c>
      <c r="HID11" s="314" t="s">
        <v>203</v>
      </c>
      <c r="HIE11" s="314" t="s">
        <v>203</v>
      </c>
      <c r="HIF11" s="314" t="s">
        <v>203</v>
      </c>
      <c r="HIG11" s="314" t="s">
        <v>203</v>
      </c>
      <c r="HIH11" s="314" t="s">
        <v>203</v>
      </c>
      <c r="HII11" s="314" t="s">
        <v>203</v>
      </c>
      <c r="HIJ11" s="314" t="s">
        <v>203</v>
      </c>
      <c r="HIK11" s="314" t="s">
        <v>203</v>
      </c>
      <c r="HIL11" s="314" t="s">
        <v>203</v>
      </c>
      <c r="HIM11" s="314" t="s">
        <v>203</v>
      </c>
      <c r="HIN11" s="314" t="s">
        <v>203</v>
      </c>
      <c r="HIO11" s="314" t="s">
        <v>203</v>
      </c>
      <c r="HIP11" s="314" t="s">
        <v>203</v>
      </c>
      <c r="HIQ11" s="314" t="s">
        <v>203</v>
      </c>
      <c r="HIR11" s="314" t="s">
        <v>203</v>
      </c>
      <c r="HIS11" s="314" t="s">
        <v>203</v>
      </c>
      <c r="HIT11" s="314" t="s">
        <v>203</v>
      </c>
      <c r="HIU11" s="314" t="s">
        <v>203</v>
      </c>
      <c r="HIV11" s="314" t="s">
        <v>203</v>
      </c>
      <c r="HIW11" s="314" t="s">
        <v>203</v>
      </c>
      <c r="HIX11" s="314" t="s">
        <v>203</v>
      </c>
      <c r="HIY11" s="314" t="s">
        <v>203</v>
      </c>
      <c r="HIZ11" s="314" t="s">
        <v>203</v>
      </c>
      <c r="HJA11" s="314" t="s">
        <v>203</v>
      </c>
      <c r="HJB11" s="314" t="s">
        <v>203</v>
      </c>
      <c r="HJC11" s="314" t="s">
        <v>203</v>
      </c>
      <c r="HJD11" s="314" t="s">
        <v>203</v>
      </c>
      <c r="HJE11" s="314" t="s">
        <v>203</v>
      </c>
      <c r="HJF11" s="314" t="s">
        <v>203</v>
      </c>
      <c r="HJG11" s="314" t="s">
        <v>203</v>
      </c>
      <c r="HJH11" s="314" t="s">
        <v>203</v>
      </c>
      <c r="HJI11" s="314" t="s">
        <v>203</v>
      </c>
      <c r="HJJ11" s="314" t="s">
        <v>203</v>
      </c>
      <c r="HJK11" s="314" t="s">
        <v>203</v>
      </c>
      <c r="HJL11" s="314" t="s">
        <v>203</v>
      </c>
      <c r="HJM11" s="314" t="s">
        <v>203</v>
      </c>
      <c r="HJN11" s="314" t="s">
        <v>203</v>
      </c>
      <c r="HJO11" s="314" t="s">
        <v>203</v>
      </c>
      <c r="HJP11" s="314" t="s">
        <v>203</v>
      </c>
      <c r="HJQ11" s="314" t="s">
        <v>203</v>
      </c>
      <c r="HJR11" s="314" t="s">
        <v>203</v>
      </c>
      <c r="HJS11" s="314" t="s">
        <v>203</v>
      </c>
      <c r="HJT11" s="314" t="s">
        <v>203</v>
      </c>
      <c r="HJU11" s="314" t="s">
        <v>203</v>
      </c>
      <c r="HJV11" s="314" t="s">
        <v>203</v>
      </c>
      <c r="HJW11" s="314" t="s">
        <v>203</v>
      </c>
      <c r="HJX11" s="314" t="s">
        <v>203</v>
      </c>
      <c r="HJY11" s="314" t="s">
        <v>203</v>
      </c>
      <c r="HJZ11" s="314" t="s">
        <v>203</v>
      </c>
      <c r="HKA11" s="314" t="s">
        <v>203</v>
      </c>
      <c r="HKB11" s="314" t="s">
        <v>203</v>
      </c>
      <c r="HKC11" s="314" t="s">
        <v>203</v>
      </c>
      <c r="HKD11" s="314" t="s">
        <v>203</v>
      </c>
      <c r="HKE11" s="314" t="s">
        <v>203</v>
      </c>
      <c r="HKF11" s="314" t="s">
        <v>203</v>
      </c>
      <c r="HKG11" s="314" t="s">
        <v>203</v>
      </c>
      <c r="HKH11" s="314" t="s">
        <v>203</v>
      </c>
      <c r="HKI11" s="314" t="s">
        <v>203</v>
      </c>
      <c r="HKJ11" s="314" t="s">
        <v>203</v>
      </c>
      <c r="HKK11" s="314" t="s">
        <v>203</v>
      </c>
      <c r="HKL11" s="314" t="s">
        <v>203</v>
      </c>
      <c r="HKM11" s="314" t="s">
        <v>203</v>
      </c>
      <c r="HKN11" s="314" t="s">
        <v>203</v>
      </c>
      <c r="HKO11" s="314" t="s">
        <v>203</v>
      </c>
      <c r="HKP11" s="314" t="s">
        <v>203</v>
      </c>
      <c r="HKQ11" s="314" t="s">
        <v>203</v>
      </c>
      <c r="HKR11" s="314" t="s">
        <v>203</v>
      </c>
      <c r="HKS11" s="314" t="s">
        <v>203</v>
      </c>
      <c r="HKT11" s="314" t="s">
        <v>203</v>
      </c>
      <c r="HKU11" s="314" t="s">
        <v>203</v>
      </c>
      <c r="HKV11" s="314" t="s">
        <v>203</v>
      </c>
      <c r="HKW11" s="314" t="s">
        <v>203</v>
      </c>
      <c r="HKX11" s="314" t="s">
        <v>203</v>
      </c>
      <c r="HKY11" s="314" t="s">
        <v>203</v>
      </c>
      <c r="HKZ11" s="314" t="s">
        <v>203</v>
      </c>
      <c r="HLA11" s="314" t="s">
        <v>203</v>
      </c>
      <c r="HLB11" s="314" t="s">
        <v>203</v>
      </c>
      <c r="HLC11" s="314" t="s">
        <v>203</v>
      </c>
      <c r="HLD11" s="314" t="s">
        <v>203</v>
      </c>
      <c r="HLE11" s="314" t="s">
        <v>203</v>
      </c>
      <c r="HLF11" s="314" t="s">
        <v>203</v>
      </c>
      <c r="HLG11" s="314" t="s">
        <v>203</v>
      </c>
      <c r="HLH11" s="314" t="s">
        <v>203</v>
      </c>
      <c r="HLI11" s="314" t="s">
        <v>203</v>
      </c>
      <c r="HLJ11" s="314" t="s">
        <v>203</v>
      </c>
      <c r="HLK11" s="314" t="s">
        <v>203</v>
      </c>
      <c r="HLL11" s="314" t="s">
        <v>203</v>
      </c>
      <c r="HLM11" s="314" t="s">
        <v>203</v>
      </c>
      <c r="HLN11" s="314" t="s">
        <v>203</v>
      </c>
      <c r="HLO11" s="314" t="s">
        <v>203</v>
      </c>
      <c r="HLP11" s="314" t="s">
        <v>203</v>
      </c>
      <c r="HLQ11" s="314" t="s">
        <v>203</v>
      </c>
      <c r="HLR11" s="314" t="s">
        <v>203</v>
      </c>
      <c r="HLS11" s="314" t="s">
        <v>203</v>
      </c>
      <c r="HLT11" s="314" t="s">
        <v>203</v>
      </c>
      <c r="HLU11" s="314" t="s">
        <v>203</v>
      </c>
      <c r="HLV11" s="314" t="s">
        <v>203</v>
      </c>
      <c r="HLW11" s="314" t="s">
        <v>203</v>
      </c>
      <c r="HLX11" s="314" t="s">
        <v>203</v>
      </c>
      <c r="HLY11" s="314" t="s">
        <v>203</v>
      </c>
      <c r="HLZ11" s="314" t="s">
        <v>203</v>
      </c>
      <c r="HMA11" s="314" t="s">
        <v>203</v>
      </c>
      <c r="HMB11" s="314" t="s">
        <v>203</v>
      </c>
      <c r="HMC11" s="314" t="s">
        <v>203</v>
      </c>
      <c r="HMD11" s="314" t="s">
        <v>203</v>
      </c>
      <c r="HME11" s="314" t="s">
        <v>203</v>
      </c>
      <c r="HMF11" s="314" t="s">
        <v>203</v>
      </c>
      <c r="HMG11" s="314" t="s">
        <v>203</v>
      </c>
      <c r="HMH11" s="314" t="s">
        <v>203</v>
      </c>
      <c r="HMI11" s="314" t="s">
        <v>203</v>
      </c>
      <c r="HMJ11" s="314" t="s">
        <v>203</v>
      </c>
      <c r="HMK11" s="314" t="s">
        <v>203</v>
      </c>
      <c r="HML11" s="314" t="s">
        <v>203</v>
      </c>
      <c r="HMM11" s="314" t="s">
        <v>203</v>
      </c>
      <c r="HMN11" s="314" t="s">
        <v>203</v>
      </c>
      <c r="HMO11" s="314" t="s">
        <v>203</v>
      </c>
      <c r="HMP11" s="314" t="s">
        <v>203</v>
      </c>
      <c r="HMQ11" s="314" t="s">
        <v>203</v>
      </c>
      <c r="HMR11" s="314" t="s">
        <v>203</v>
      </c>
      <c r="HMS11" s="314" t="s">
        <v>203</v>
      </c>
      <c r="HMT11" s="314" t="s">
        <v>203</v>
      </c>
      <c r="HMU11" s="314" t="s">
        <v>203</v>
      </c>
      <c r="HMV11" s="314" t="s">
        <v>203</v>
      </c>
      <c r="HMW11" s="314" t="s">
        <v>203</v>
      </c>
      <c r="HMX11" s="314" t="s">
        <v>203</v>
      </c>
      <c r="HMY11" s="314" t="s">
        <v>203</v>
      </c>
      <c r="HMZ11" s="314" t="s">
        <v>203</v>
      </c>
      <c r="HNA11" s="314" t="s">
        <v>203</v>
      </c>
      <c r="HNB11" s="314" t="s">
        <v>203</v>
      </c>
      <c r="HNC11" s="314" t="s">
        <v>203</v>
      </c>
      <c r="HND11" s="314" t="s">
        <v>203</v>
      </c>
      <c r="HNE11" s="314" t="s">
        <v>203</v>
      </c>
      <c r="HNF11" s="314" t="s">
        <v>203</v>
      </c>
      <c r="HNG11" s="314" t="s">
        <v>203</v>
      </c>
      <c r="HNH11" s="314" t="s">
        <v>203</v>
      </c>
      <c r="HNI11" s="314" t="s">
        <v>203</v>
      </c>
      <c r="HNJ11" s="314" t="s">
        <v>203</v>
      </c>
      <c r="HNK11" s="314" t="s">
        <v>203</v>
      </c>
      <c r="HNL11" s="314" t="s">
        <v>203</v>
      </c>
      <c r="HNM11" s="314" t="s">
        <v>203</v>
      </c>
      <c r="HNN11" s="314" t="s">
        <v>203</v>
      </c>
      <c r="HNO11" s="314" t="s">
        <v>203</v>
      </c>
      <c r="HNP11" s="314" t="s">
        <v>203</v>
      </c>
      <c r="HNQ11" s="314" t="s">
        <v>203</v>
      </c>
      <c r="HNR11" s="314" t="s">
        <v>203</v>
      </c>
      <c r="HNS11" s="314" t="s">
        <v>203</v>
      </c>
      <c r="HNT11" s="314" t="s">
        <v>203</v>
      </c>
      <c r="HNU11" s="314" t="s">
        <v>203</v>
      </c>
      <c r="HNV11" s="314" t="s">
        <v>203</v>
      </c>
      <c r="HNW11" s="314" t="s">
        <v>203</v>
      </c>
      <c r="HNX11" s="314" t="s">
        <v>203</v>
      </c>
      <c r="HNY11" s="314" t="s">
        <v>203</v>
      </c>
      <c r="HNZ11" s="314" t="s">
        <v>203</v>
      </c>
      <c r="HOA11" s="314" t="s">
        <v>203</v>
      </c>
      <c r="HOB11" s="314" t="s">
        <v>203</v>
      </c>
      <c r="HOC11" s="314" t="s">
        <v>203</v>
      </c>
      <c r="HOD11" s="314" t="s">
        <v>203</v>
      </c>
      <c r="HOE11" s="314" t="s">
        <v>203</v>
      </c>
      <c r="HOF11" s="314" t="s">
        <v>203</v>
      </c>
      <c r="HOG11" s="314" t="s">
        <v>203</v>
      </c>
      <c r="HOH11" s="314" t="s">
        <v>203</v>
      </c>
      <c r="HOI11" s="314" t="s">
        <v>203</v>
      </c>
      <c r="HOJ11" s="314" t="s">
        <v>203</v>
      </c>
      <c r="HOK11" s="314" t="s">
        <v>203</v>
      </c>
      <c r="HOL11" s="314" t="s">
        <v>203</v>
      </c>
      <c r="HOM11" s="314" t="s">
        <v>203</v>
      </c>
      <c r="HON11" s="314" t="s">
        <v>203</v>
      </c>
      <c r="HOO11" s="314" t="s">
        <v>203</v>
      </c>
      <c r="HOP11" s="314" t="s">
        <v>203</v>
      </c>
      <c r="HOQ11" s="314" t="s">
        <v>203</v>
      </c>
      <c r="HOR11" s="314" t="s">
        <v>203</v>
      </c>
      <c r="HOS11" s="314" t="s">
        <v>203</v>
      </c>
      <c r="HOT11" s="314" t="s">
        <v>203</v>
      </c>
      <c r="HOU11" s="314" t="s">
        <v>203</v>
      </c>
      <c r="HOV11" s="314" t="s">
        <v>203</v>
      </c>
      <c r="HOW11" s="314" t="s">
        <v>203</v>
      </c>
      <c r="HOX11" s="314" t="s">
        <v>203</v>
      </c>
      <c r="HOY11" s="314" t="s">
        <v>203</v>
      </c>
      <c r="HOZ11" s="314" t="s">
        <v>203</v>
      </c>
      <c r="HPA11" s="314" t="s">
        <v>203</v>
      </c>
      <c r="HPB11" s="314" t="s">
        <v>203</v>
      </c>
      <c r="HPC11" s="314" t="s">
        <v>203</v>
      </c>
      <c r="HPD11" s="314" t="s">
        <v>203</v>
      </c>
      <c r="HPE11" s="314" t="s">
        <v>203</v>
      </c>
      <c r="HPF11" s="314" t="s">
        <v>203</v>
      </c>
      <c r="HPG11" s="314" t="s">
        <v>203</v>
      </c>
      <c r="HPH11" s="314" t="s">
        <v>203</v>
      </c>
      <c r="HPI11" s="314" t="s">
        <v>203</v>
      </c>
      <c r="HPJ11" s="314" t="s">
        <v>203</v>
      </c>
      <c r="HPK11" s="314" t="s">
        <v>203</v>
      </c>
      <c r="HPL11" s="314" t="s">
        <v>203</v>
      </c>
      <c r="HPM11" s="314" t="s">
        <v>203</v>
      </c>
      <c r="HPN11" s="314" t="s">
        <v>203</v>
      </c>
      <c r="HPO11" s="314" t="s">
        <v>203</v>
      </c>
      <c r="HPP11" s="314" t="s">
        <v>203</v>
      </c>
      <c r="HPQ11" s="314" t="s">
        <v>203</v>
      </c>
      <c r="HPR11" s="314" t="s">
        <v>203</v>
      </c>
      <c r="HPS11" s="314" t="s">
        <v>203</v>
      </c>
      <c r="HPT11" s="314" t="s">
        <v>203</v>
      </c>
      <c r="HPU11" s="314" t="s">
        <v>203</v>
      </c>
      <c r="HPV11" s="314" t="s">
        <v>203</v>
      </c>
      <c r="HPW11" s="314" t="s">
        <v>203</v>
      </c>
      <c r="HPX11" s="314" t="s">
        <v>203</v>
      </c>
      <c r="HPY11" s="314" t="s">
        <v>203</v>
      </c>
      <c r="HPZ11" s="314" t="s">
        <v>203</v>
      </c>
      <c r="HQA11" s="314" t="s">
        <v>203</v>
      </c>
      <c r="HQB11" s="314" t="s">
        <v>203</v>
      </c>
      <c r="HQC11" s="314" t="s">
        <v>203</v>
      </c>
      <c r="HQD11" s="314" t="s">
        <v>203</v>
      </c>
      <c r="HQE11" s="314" t="s">
        <v>203</v>
      </c>
      <c r="HQF11" s="314" t="s">
        <v>203</v>
      </c>
      <c r="HQG11" s="314" t="s">
        <v>203</v>
      </c>
      <c r="HQH11" s="314" t="s">
        <v>203</v>
      </c>
      <c r="HQI11" s="314" t="s">
        <v>203</v>
      </c>
      <c r="HQJ11" s="314" t="s">
        <v>203</v>
      </c>
      <c r="HQK11" s="314" t="s">
        <v>203</v>
      </c>
      <c r="HQL11" s="314" t="s">
        <v>203</v>
      </c>
      <c r="HQM11" s="314" t="s">
        <v>203</v>
      </c>
      <c r="HQN11" s="314" t="s">
        <v>203</v>
      </c>
      <c r="HQO11" s="314" t="s">
        <v>203</v>
      </c>
      <c r="HQP11" s="314" t="s">
        <v>203</v>
      </c>
      <c r="HQQ11" s="314" t="s">
        <v>203</v>
      </c>
      <c r="HQR11" s="314" t="s">
        <v>203</v>
      </c>
      <c r="HQS11" s="314" t="s">
        <v>203</v>
      </c>
      <c r="HQT11" s="314" t="s">
        <v>203</v>
      </c>
      <c r="HQU11" s="314" t="s">
        <v>203</v>
      </c>
      <c r="HQV11" s="314" t="s">
        <v>203</v>
      </c>
      <c r="HQW11" s="314" t="s">
        <v>203</v>
      </c>
      <c r="HQX11" s="314" t="s">
        <v>203</v>
      </c>
      <c r="HQY11" s="314" t="s">
        <v>203</v>
      </c>
      <c r="HQZ11" s="314" t="s">
        <v>203</v>
      </c>
      <c r="HRA11" s="314" t="s">
        <v>203</v>
      </c>
      <c r="HRB11" s="314" t="s">
        <v>203</v>
      </c>
      <c r="HRC11" s="314" t="s">
        <v>203</v>
      </c>
      <c r="HRD11" s="314" t="s">
        <v>203</v>
      </c>
      <c r="HRE11" s="314" t="s">
        <v>203</v>
      </c>
      <c r="HRF11" s="314" t="s">
        <v>203</v>
      </c>
      <c r="HRG11" s="314" t="s">
        <v>203</v>
      </c>
      <c r="HRH11" s="314" t="s">
        <v>203</v>
      </c>
      <c r="HRI11" s="314" t="s">
        <v>203</v>
      </c>
      <c r="HRJ11" s="314" t="s">
        <v>203</v>
      </c>
      <c r="HRK11" s="314" t="s">
        <v>203</v>
      </c>
      <c r="HRL11" s="314" t="s">
        <v>203</v>
      </c>
      <c r="HRM11" s="314" t="s">
        <v>203</v>
      </c>
      <c r="HRN11" s="314" t="s">
        <v>203</v>
      </c>
      <c r="HRO11" s="314" t="s">
        <v>203</v>
      </c>
      <c r="HRP11" s="314" t="s">
        <v>203</v>
      </c>
      <c r="HRQ11" s="314" t="s">
        <v>203</v>
      </c>
      <c r="HRR11" s="314" t="s">
        <v>203</v>
      </c>
      <c r="HRS11" s="314" t="s">
        <v>203</v>
      </c>
      <c r="HRT11" s="314" t="s">
        <v>203</v>
      </c>
      <c r="HRU11" s="314" t="s">
        <v>203</v>
      </c>
      <c r="HRV11" s="314" t="s">
        <v>203</v>
      </c>
      <c r="HRW11" s="314" t="s">
        <v>203</v>
      </c>
      <c r="HRX11" s="314" t="s">
        <v>203</v>
      </c>
      <c r="HRY11" s="314" t="s">
        <v>203</v>
      </c>
      <c r="HRZ11" s="314" t="s">
        <v>203</v>
      </c>
      <c r="HSA11" s="314" t="s">
        <v>203</v>
      </c>
      <c r="HSB11" s="314" t="s">
        <v>203</v>
      </c>
      <c r="HSC11" s="314" t="s">
        <v>203</v>
      </c>
      <c r="HSD11" s="314" t="s">
        <v>203</v>
      </c>
      <c r="HSE11" s="314" t="s">
        <v>203</v>
      </c>
      <c r="HSF11" s="314" t="s">
        <v>203</v>
      </c>
      <c r="HSG11" s="314" t="s">
        <v>203</v>
      </c>
      <c r="HSH11" s="314" t="s">
        <v>203</v>
      </c>
      <c r="HSI11" s="314" t="s">
        <v>203</v>
      </c>
      <c r="HSJ11" s="314" t="s">
        <v>203</v>
      </c>
      <c r="HSK11" s="314" t="s">
        <v>203</v>
      </c>
      <c r="HSL11" s="314" t="s">
        <v>203</v>
      </c>
      <c r="HSM11" s="314" t="s">
        <v>203</v>
      </c>
      <c r="HSN11" s="314" t="s">
        <v>203</v>
      </c>
      <c r="HSO11" s="314" t="s">
        <v>203</v>
      </c>
      <c r="HSP11" s="314" t="s">
        <v>203</v>
      </c>
      <c r="HSQ11" s="314" t="s">
        <v>203</v>
      </c>
      <c r="HSR11" s="314" t="s">
        <v>203</v>
      </c>
      <c r="HSS11" s="314" t="s">
        <v>203</v>
      </c>
      <c r="HST11" s="314" t="s">
        <v>203</v>
      </c>
      <c r="HSU11" s="314" t="s">
        <v>203</v>
      </c>
      <c r="HSV11" s="314" t="s">
        <v>203</v>
      </c>
      <c r="HSW11" s="314" t="s">
        <v>203</v>
      </c>
      <c r="HSX11" s="314" t="s">
        <v>203</v>
      </c>
      <c r="HSY11" s="314" t="s">
        <v>203</v>
      </c>
      <c r="HSZ11" s="314" t="s">
        <v>203</v>
      </c>
      <c r="HTA11" s="314" t="s">
        <v>203</v>
      </c>
      <c r="HTB11" s="314" t="s">
        <v>203</v>
      </c>
      <c r="HTC11" s="314" t="s">
        <v>203</v>
      </c>
      <c r="HTD11" s="314" t="s">
        <v>203</v>
      </c>
      <c r="HTE11" s="314" t="s">
        <v>203</v>
      </c>
      <c r="HTF11" s="314" t="s">
        <v>203</v>
      </c>
      <c r="HTG11" s="314" t="s">
        <v>203</v>
      </c>
      <c r="HTH11" s="314" t="s">
        <v>203</v>
      </c>
      <c r="HTI11" s="314" t="s">
        <v>203</v>
      </c>
      <c r="HTJ11" s="314" t="s">
        <v>203</v>
      </c>
      <c r="HTK11" s="314" t="s">
        <v>203</v>
      </c>
      <c r="HTL11" s="314" t="s">
        <v>203</v>
      </c>
      <c r="HTM11" s="314" t="s">
        <v>203</v>
      </c>
      <c r="HTN11" s="314" t="s">
        <v>203</v>
      </c>
      <c r="HTO11" s="314" t="s">
        <v>203</v>
      </c>
      <c r="HTP11" s="314" t="s">
        <v>203</v>
      </c>
      <c r="HTQ11" s="314" t="s">
        <v>203</v>
      </c>
      <c r="HTR11" s="314" t="s">
        <v>203</v>
      </c>
      <c r="HTS11" s="314" t="s">
        <v>203</v>
      </c>
      <c r="HTT11" s="314" t="s">
        <v>203</v>
      </c>
      <c r="HTU11" s="314" t="s">
        <v>203</v>
      </c>
      <c r="HTV11" s="314" t="s">
        <v>203</v>
      </c>
      <c r="HTW11" s="314" t="s">
        <v>203</v>
      </c>
      <c r="HTX11" s="314" t="s">
        <v>203</v>
      </c>
      <c r="HTY11" s="314" t="s">
        <v>203</v>
      </c>
      <c r="HTZ11" s="314" t="s">
        <v>203</v>
      </c>
      <c r="HUA11" s="314" t="s">
        <v>203</v>
      </c>
      <c r="HUB11" s="314" t="s">
        <v>203</v>
      </c>
      <c r="HUC11" s="314" t="s">
        <v>203</v>
      </c>
      <c r="HUD11" s="314" t="s">
        <v>203</v>
      </c>
      <c r="HUE11" s="314" t="s">
        <v>203</v>
      </c>
      <c r="HUF11" s="314" t="s">
        <v>203</v>
      </c>
      <c r="HUG11" s="314" t="s">
        <v>203</v>
      </c>
      <c r="HUH11" s="314" t="s">
        <v>203</v>
      </c>
      <c r="HUI11" s="314" t="s">
        <v>203</v>
      </c>
      <c r="HUJ11" s="314" t="s">
        <v>203</v>
      </c>
      <c r="HUK11" s="314" t="s">
        <v>203</v>
      </c>
      <c r="HUL11" s="314" t="s">
        <v>203</v>
      </c>
      <c r="HUM11" s="314" t="s">
        <v>203</v>
      </c>
      <c r="HUN11" s="314" t="s">
        <v>203</v>
      </c>
      <c r="HUO11" s="314" t="s">
        <v>203</v>
      </c>
      <c r="HUP11" s="314" t="s">
        <v>203</v>
      </c>
      <c r="HUQ11" s="314" t="s">
        <v>203</v>
      </c>
      <c r="HUR11" s="314" t="s">
        <v>203</v>
      </c>
      <c r="HUS11" s="314" t="s">
        <v>203</v>
      </c>
      <c r="HUT11" s="314" t="s">
        <v>203</v>
      </c>
      <c r="HUU11" s="314" t="s">
        <v>203</v>
      </c>
      <c r="HUV11" s="314" t="s">
        <v>203</v>
      </c>
      <c r="HUW11" s="314" t="s">
        <v>203</v>
      </c>
      <c r="HUX11" s="314" t="s">
        <v>203</v>
      </c>
      <c r="HUY11" s="314" t="s">
        <v>203</v>
      </c>
      <c r="HUZ11" s="314" t="s">
        <v>203</v>
      </c>
      <c r="HVA11" s="314" t="s">
        <v>203</v>
      </c>
      <c r="HVB11" s="314" t="s">
        <v>203</v>
      </c>
      <c r="HVC11" s="314" t="s">
        <v>203</v>
      </c>
      <c r="HVD11" s="314" t="s">
        <v>203</v>
      </c>
      <c r="HVE11" s="314" t="s">
        <v>203</v>
      </c>
      <c r="HVF11" s="314" t="s">
        <v>203</v>
      </c>
      <c r="HVG11" s="314" t="s">
        <v>203</v>
      </c>
      <c r="HVH11" s="314" t="s">
        <v>203</v>
      </c>
      <c r="HVI11" s="314" t="s">
        <v>203</v>
      </c>
      <c r="HVJ11" s="314" t="s">
        <v>203</v>
      </c>
      <c r="HVK11" s="314" t="s">
        <v>203</v>
      </c>
      <c r="HVL11" s="314" t="s">
        <v>203</v>
      </c>
      <c r="HVM11" s="314" t="s">
        <v>203</v>
      </c>
      <c r="HVN11" s="314" t="s">
        <v>203</v>
      </c>
      <c r="HVO11" s="314" t="s">
        <v>203</v>
      </c>
      <c r="HVP11" s="314" t="s">
        <v>203</v>
      </c>
      <c r="HVQ11" s="314" t="s">
        <v>203</v>
      </c>
      <c r="HVR11" s="314" t="s">
        <v>203</v>
      </c>
      <c r="HVS11" s="314" t="s">
        <v>203</v>
      </c>
      <c r="HVT11" s="314" t="s">
        <v>203</v>
      </c>
      <c r="HVU11" s="314" t="s">
        <v>203</v>
      </c>
      <c r="HVV11" s="314" t="s">
        <v>203</v>
      </c>
      <c r="HVW11" s="314" t="s">
        <v>203</v>
      </c>
      <c r="HVX11" s="314" t="s">
        <v>203</v>
      </c>
      <c r="HVY11" s="314" t="s">
        <v>203</v>
      </c>
      <c r="HVZ11" s="314" t="s">
        <v>203</v>
      </c>
      <c r="HWA11" s="314" t="s">
        <v>203</v>
      </c>
      <c r="HWB11" s="314" t="s">
        <v>203</v>
      </c>
      <c r="HWC11" s="314" t="s">
        <v>203</v>
      </c>
      <c r="HWD11" s="314" t="s">
        <v>203</v>
      </c>
      <c r="HWE11" s="314" t="s">
        <v>203</v>
      </c>
      <c r="HWF11" s="314" t="s">
        <v>203</v>
      </c>
      <c r="HWG11" s="314" t="s">
        <v>203</v>
      </c>
      <c r="HWH11" s="314" t="s">
        <v>203</v>
      </c>
      <c r="HWI11" s="314" t="s">
        <v>203</v>
      </c>
      <c r="HWJ11" s="314" t="s">
        <v>203</v>
      </c>
      <c r="HWK11" s="314" t="s">
        <v>203</v>
      </c>
      <c r="HWL11" s="314" t="s">
        <v>203</v>
      </c>
      <c r="HWM11" s="314" t="s">
        <v>203</v>
      </c>
      <c r="HWN11" s="314" t="s">
        <v>203</v>
      </c>
      <c r="HWO11" s="314" t="s">
        <v>203</v>
      </c>
      <c r="HWP11" s="314" t="s">
        <v>203</v>
      </c>
      <c r="HWQ11" s="314" t="s">
        <v>203</v>
      </c>
      <c r="HWR11" s="314" t="s">
        <v>203</v>
      </c>
      <c r="HWS11" s="314" t="s">
        <v>203</v>
      </c>
      <c r="HWT11" s="314" t="s">
        <v>203</v>
      </c>
      <c r="HWU11" s="314" t="s">
        <v>203</v>
      </c>
      <c r="HWV11" s="314" t="s">
        <v>203</v>
      </c>
      <c r="HWW11" s="314" t="s">
        <v>203</v>
      </c>
      <c r="HWX11" s="314" t="s">
        <v>203</v>
      </c>
      <c r="HWY11" s="314" t="s">
        <v>203</v>
      </c>
      <c r="HWZ11" s="314" t="s">
        <v>203</v>
      </c>
      <c r="HXA11" s="314" t="s">
        <v>203</v>
      </c>
      <c r="HXB11" s="314" t="s">
        <v>203</v>
      </c>
      <c r="HXC11" s="314" t="s">
        <v>203</v>
      </c>
      <c r="HXD11" s="314" t="s">
        <v>203</v>
      </c>
      <c r="HXE11" s="314" t="s">
        <v>203</v>
      </c>
      <c r="HXF11" s="314" t="s">
        <v>203</v>
      </c>
      <c r="HXG11" s="314" t="s">
        <v>203</v>
      </c>
      <c r="HXH11" s="314" t="s">
        <v>203</v>
      </c>
      <c r="HXI11" s="314" t="s">
        <v>203</v>
      </c>
      <c r="HXJ11" s="314" t="s">
        <v>203</v>
      </c>
      <c r="HXK11" s="314" t="s">
        <v>203</v>
      </c>
      <c r="HXL11" s="314" t="s">
        <v>203</v>
      </c>
      <c r="HXM11" s="314" t="s">
        <v>203</v>
      </c>
      <c r="HXN11" s="314" t="s">
        <v>203</v>
      </c>
      <c r="HXO11" s="314" t="s">
        <v>203</v>
      </c>
      <c r="HXP11" s="314" t="s">
        <v>203</v>
      </c>
      <c r="HXQ11" s="314" t="s">
        <v>203</v>
      </c>
      <c r="HXR11" s="314" t="s">
        <v>203</v>
      </c>
      <c r="HXS11" s="314" t="s">
        <v>203</v>
      </c>
      <c r="HXT11" s="314" t="s">
        <v>203</v>
      </c>
      <c r="HXU11" s="314" t="s">
        <v>203</v>
      </c>
      <c r="HXV11" s="314" t="s">
        <v>203</v>
      </c>
      <c r="HXW11" s="314" t="s">
        <v>203</v>
      </c>
      <c r="HXX11" s="314" t="s">
        <v>203</v>
      </c>
      <c r="HXY11" s="314" t="s">
        <v>203</v>
      </c>
      <c r="HXZ11" s="314" t="s">
        <v>203</v>
      </c>
      <c r="HYA11" s="314" t="s">
        <v>203</v>
      </c>
      <c r="HYB11" s="314" t="s">
        <v>203</v>
      </c>
      <c r="HYC11" s="314" t="s">
        <v>203</v>
      </c>
      <c r="HYD11" s="314" t="s">
        <v>203</v>
      </c>
      <c r="HYE11" s="314" t="s">
        <v>203</v>
      </c>
      <c r="HYF11" s="314" t="s">
        <v>203</v>
      </c>
      <c r="HYG11" s="314" t="s">
        <v>203</v>
      </c>
      <c r="HYH11" s="314" t="s">
        <v>203</v>
      </c>
      <c r="HYI11" s="314" t="s">
        <v>203</v>
      </c>
      <c r="HYJ11" s="314" t="s">
        <v>203</v>
      </c>
      <c r="HYK11" s="314" t="s">
        <v>203</v>
      </c>
      <c r="HYL11" s="314" t="s">
        <v>203</v>
      </c>
      <c r="HYM11" s="314" t="s">
        <v>203</v>
      </c>
      <c r="HYN11" s="314" t="s">
        <v>203</v>
      </c>
      <c r="HYO11" s="314" t="s">
        <v>203</v>
      </c>
      <c r="HYP11" s="314" t="s">
        <v>203</v>
      </c>
      <c r="HYQ11" s="314" t="s">
        <v>203</v>
      </c>
      <c r="HYR11" s="314" t="s">
        <v>203</v>
      </c>
      <c r="HYS11" s="314" t="s">
        <v>203</v>
      </c>
      <c r="HYT11" s="314" t="s">
        <v>203</v>
      </c>
      <c r="HYU11" s="314" t="s">
        <v>203</v>
      </c>
      <c r="HYV11" s="314" t="s">
        <v>203</v>
      </c>
      <c r="HYW11" s="314" t="s">
        <v>203</v>
      </c>
      <c r="HYX11" s="314" t="s">
        <v>203</v>
      </c>
      <c r="HYY11" s="314" t="s">
        <v>203</v>
      </c>
      <c r="HYZ11" s="314" t="s">
        <v>203</v>
      </c>
      <c r="HZA11" s="314" t="s">
        <v>203</v>
      </c>
      <c r="HZB11" s="314" t="s">
        <v>203</v>
      </c>
      <c r="HZC11" s="314" t="s">
        <v>203</v>
      </c>
      <c r="HZD11" s="314" t="s">
        <v>203</v>
      </c>
      <c r="HZE11" s="314" t="s">
        <v>203</v>
      </c>
      <c r="HZF11" s="314" t="s">
        <v>203</v>
      </c>
      <c r="HZG11" s="314" t="s">
        <v>203</v>
      </c>
      <c r="HZH11" s="314" t="s">
        <v>203</v>
      </c>
      <c r="HZI11" s="314" t="s">
        <v>203</v>
      </c>
      <c r="HZJ11" s="314" t="s">
        <v>203</v>
      </c>
      <c r="HZK11" s="314" t="s">
        <v>203</v>
      </c>
      <c r="HZL11" s="314" t="s">
        <v>203</v>
      </c>
      <c r="HZM11" s="314" t="s">
        <v>203</v>
      </c>
      <c r="HZN11" s="314" t="s">
        <v>203</v>
      </c>
      <c r="HZO11" s="314" t="s">
        <v>203</v>
      </c>
      <c r="HZP11" s="314" t="s">
        <v>203</v>
      </c>
      <c r="HZQ11" s="314" t="s">
        <v>203</v>
      </c>
      <c r="HZR11" s="314" t="s">
        <v>203</v>
      </c>
      <c r="HZS11" s="314" t="s">
        <v>203</v>
      </c>
      <c r="HZT11" s="314" t="s">
        <v>203</v>
      </c>
      <c r="HZU11" s="314" t="s">
        <v>203</v>
      </c>
      <c r="HZV11" s="314" t="s">
        <v>203</v>
      </c>
      <c r="HZW11" s="314" t="s">
        <v>203</v>
      </c>
      <c r="HZX11" s="314" t="s">
        <v>203</v>
      </c>
      <c r="HZY11" s="314" t="s">
        <v>203</v>
      </c>
      <c r="HZZ11" s="314" t="s">
        <v>203</v>
      </c>
      <c r="IAA11" s="314" t="s">
        <v>203</v>
      </c>
      <c r="IAB11" s="314" t="s">
        <v>203</v>
      </c>
      <c r="IAC11" s="314" t="s">
        <v>203</v>
      </c>
      <c r="IAD11" s="314" t="s">
        <v>203</v>
      </c>
      <c r="IAE11" s="314" t="s">
        <v>203</v>
      </c>
      <c r="IAF11" s="314" t="s">
        <v>203</v>
      </c>
      <c r="IAG11" s="314" t="s">
        <v>203</v>
      </c>
      <c r="IAH11" s="314" t="s">
        <v>203</v>
      </c>
      <c r="IAI11" s="314" t="s">
        <v>203</v>
      </c>
      <c r="IAJ11" s="314" t="s">
        <v>203</v>
      </c>
      <c r="IAK11" s="314" t="s">
        <v>203</v>
      </c>
      <c r="IAL11" s="314" t="s">
        <v>203</v>
      </c>
      <c r="IAM11" s="314" t="s">
        <v>203</v>
      </c>
      <c r="IAN11" s="314" t="s">
        <v>203</v>
      </c>
      <c r="IAO11" s="314" t="s">
        <v>203</v>
      </c>
      <c r="IAP11" s="314" t="s">
        <v>203</v>
      </c>
      <c r="IAQ11" s="314" t="s">
        <v>203</v>
      </c>
      <c r="IAR11" s="314" t="s">
        <v>203</v>
      </c>
      <c r="IAS11" s="314" t="s">
        <v>203</v>
      </c>
      <c r="IAT11" s="314" t="s">
        <v>203</v>
      </c>
      <c r="IAU11" s="314" t="s">
        <v>203</v>
      </c>
      <c r="IAV11" s="314" t="s">
        <v>203</v>
      </c>
      <c r="IAW11" s="314" t="s">
        <v>203</v>
      </c>
      <c r="IAX11" s="314" t="s">
        <v>203</v>
      </c>
      <c r="IAY11" s="314" t="s">
        <v>203</v>
      </c>
      <c r="IAZ11" s="314" t="s">
        <v>203</v>
      </c>
      <c r="IBA11" s="314" t="s">
        <v>203</v>
      </c>
      <c r="IBB11" s="314" t="s">
        <v>203</v>
      </c>
      <c r="IBC11" s="314" t="s">
        <v>203</v>
      </c>
      <c r="IBD11" s="314" t="s">
        <v>203</v>
      </c>
      <c r="IBE11" s="314" t="s">
        <v>203</v>
      </c>
      <c r="IBF11" s="314" t="s">
        <v>203</v>
      </c>
      <c r="IBG11" s="314" t="s">
        <v>203</v>
      </c>
      <c r="IBH11" s="314" t="s">
        <v>203</v>
      </c>
      <c r="IBI11" s="314" t="s">
        <v>203</v>
      </c>
      <c r="IBJ11" s="314" t="s">
        <v>203</v>
      </c>
      <c r="IBK11" s="314" t="s">
        <v>203</v>
      </c>
      <c r="IBL11" s="314" t="s">
        <v>203</v>
      </c>
      <c r="IBM11" s="314" t="s">
        <v>203</v>
      </c>
      <c r="IBN11" s="314" t="s">
        <v>203</v>
      </c>
      <c r="IBO11" s="314" t="s">
        <v>203</v>
      </c>
      <c r="IBP11" s="314" t="s">
        <v>203</v>
      </c>
      <c r="IBQ11" s="314" t="s">
        <v>203</v>
      </c>
      <c r="IBR11" s="314" t="s">
        <v>203</v>
      </c>
      <c r="IBS11" s="314" t="s">
        <v>203</v>
      </c>
      <c r="IBT11" s="314" t="s">
        <v>203</v>
      </c>
      <c r="IBU11" s="314" t="s">
        <v>203</v>
      </c>
      <c r="IBV11" s="314" t="s">
        <v>203</v>
      </c>
      <c r="IBW11" s="314" t="s">
        <v>203</v>
      </c>
      <c r="IBX11" s="314" t="s">
        <v>203</v>
      </c>
      <c r="IBY11" s="314" t="s">
        <v>203</v>
      </c>
      <c r="IBZ11" s="314" t="s">
        <v>203</v>
      </c>
      <c r="ICA11" s="314" t="s">
        <v>203</v>
      </c>
      <c r="ICB11" s="314" t="s">
        <v>203</v>
      </c>
      <c r="ICC11" s="314" t="s">
        <v>203</v>
      </c>
      <c r="ICD11" s="314" t="s">
        <v>203</v>
      </c>
      <c r="ICE11" s="314" t="s">
        <v>203</v>
      </c>
      <c r="ICF11" s="314" t="s">
        <v>203</v>
      </c>
      <c r="ICG11" s="314" t="s">
        <v>203</v>
      </c>
      <c r="ICH11" s="314" t="s">
        <v>203</v>
      </c>
      <c r="ICI11" s="314" t="s">
        <v>203</v>
      </c>
      <c r="ICJ11" s="314" t="s">
        <v>203</v>
      </c>
      <c r="ICK11" s="314" t="s">
        <v>203</v>
      </c>
      <c r="ICL11" s="314" t="s">
        <v>203</v>
      </c>
      <c r="ICM11" s="314" t="s">
        <v>203</v>
      </c>
      <c r="ICN11" s="314" t="s">
        <v>203</v>
      </c>
      <c r="ICO11" s="314" t="s">
        <v>203</v>
      </c>
      <c r="ICP11" s="314" t="s">
        <v>203</v>
      </c>
      <c r="ICQ11" s="314" t="s">
        <v>203</v>
      </c>
      <c r="ICR11" s="314" t="s">
        <v>203</v>
      </c>
      <c r="ICS11" s="314" t="s">
        <v>203</v>
      </c>
      <c r="ICT11" s="314" t="s">
        <v>203</v>
      </c>
      <c r="ICU11" s="314" t="s">
        <v>203</v>
      </c>
      <c r="ICV11" s="314" t="s">
        <v>203</v>
      </c>
      <c r="ICW11" s="314" t="s">
        <v>203</v>
      </c>
      <c r="ICX11" s="314" t="s">
        <v>203</v>
      </c>
      <c r="ICY11" s="314" t="s">
        <v>203</v>
      </c>
      <c r="ICZ11" s="314" t="s">
        <v>203</v>
      </c>
      <c r="IDA11" s="314" t="s">
        <v>203</v>
      </c>
      <c r="IDB11" s="314" t="s">
        <v>203</v>
      </c>
      <c r="IDC11" s="314" t="s">
        <v>203</v>
      </c>
      <c r="IDD11" s="314" t="s">
        <v>203</v>
      </c>
      <c r="IDE11" s="314" t="s">
        <v>203</v>
      </c>
      <c r="IDF11" s="314" t="s">
        <v>203</v>
      </c>
      <c r="IDG11" s="314" t="s">
        <v>203</v>
      </c>
      <c r="IDH11" s="314" t="s">
        <v>203</v>
      </c>
      <c r="IDI11" s="314" t="s">
        <v>203</v>
      </c>
      <c r="IDJ11" s="314" t="s">
        <v>203</v>
      </c>
      <c r="IDK11" s="314" t="s">
        <v>203</v>
      </c>
      <c r="IDL11" s="314" t="s">
        <v>203</v>
      </c>
      <c r="IDM11" s="314" t="s">
        <v>203</v>
      </c>
      <c r="IDN11" s="314" t="s">
        <v>203</v>
      </c>
      <c r="IDO11" s="314" t="s">
        <v>203</v>
      </c>
      <c r="IDP11" s="314" t="s">
        <v>203</v>
      </c>
      <c r="IDQ11" s="314" t="s">
        <v>203</v>
      </c>
      <c r="IDR11" s="314" t="s">
        <v>203</v>
      </c>
      <c r="IDS11" s="314" t="s">
        <v>203</v>
      </c>
      <c r="IDT11" s="314" t="s">
        <v>203</v>
      </c>
      <c r="IDU11" s="314" t="s">
        <v>203</v>
      </c>
      <c r="IDV11" s="314" t="s">
        <v>203</v>
      </c>
      <c r="IDW11" s="314" t="s">
        <v>203</v>
      </c>
      <c r="IDX11" s="314" t="s">
        <v>203</v>
      </c>
      <c r="IDY11" s="314" t="s">
        <v>203</v>
      </c>
      <c r="IDZ11" s="314" t="s">
        <v>203</v>
      </c>
      <c r="IEA11" s="314" t="s">
        <v>203</v>
      </c>
      <c r="IEB11" s="314" t="s">
        <v>203</v>
      </c>
      <c r="IEC11" s="314" t="s">
        <v>203</v>
      </c>
      <c r="IED11" s="314" t="s">
        <v>203</v>
      </c>
      <c r="IEE11" s="314" t="s">
        <v>203</v>
      </c>
      <c r="IEF11" s="314" t="s">
        <v>203</v>
      </c>
      <c r="IEG11" s="314" t="s">
        <v>203</v>
      </c>
      <c r="IEH11" s="314" t="s">
        <v>203</v>
      </c>
      <c r="IEI11" s="314" t="s">
        <v>203</v>
      </c>
      <c r="IEJ11" s="314" t="s">
        <v>203</v>
      </c>
      <c r="IEK11" s="314" t="s">
        <v>203</v>
      </c>
      <c r="IEL11" s="314" t="s">
        <v>203</v>
      </c>
      <c r="IEM11" s="314" t="s">
        <v>203</v>
      </c>
      <c r="IEN11" s="314" t="s">
        <v>203</v>
      </c>
      <c r="IEO11" s="314" t="s">
        <v>203</v>
      </c>
      <c r="IEP11" s="314" t="s">
        <v>203</v>
      </c>
      <c r="IEQ11" s="314" t="s">
        <v>203</v>
      </c>
      <c r="IER11" s="314" t="s">
        <v>203</v>
      </c>
      <c r="IES11" s="314" t="s">
        <v>203</v>
      </c>
      <c r="IET11" s="314" t="s">
        <v>203</v>
      </c>
      <c r="IEU11" s="314" t="s">
        <v>203</v>
      </c>
      <c r="IEV11" s="314" t="s">
        <v>203</v>
      </c>
      <c r="IEW11" s="314" t="s">
        <v>203</v>
      </c>
      <c r="IEX11" s="314" t="s">
        <v>203</v>
      </c>
      <c r="IEY11" s="314" t="s">
        <v>203</v>
      </c>
      <c r="IEZ11" s="314" t="s">
        <v>203</v>
      </c>
      <c r="IFA11" s="314" t="s">
        <v>203</v>
      </c>
      <c r="IFB11" s="314" t="s">
        <v>203</v>
      </c>
      <c r="IFC11" s="314" t="s">
        <v>203</v>
      </c>
      <c r="IFD11" s="314" t="s">
        <v>203</v>
      </c>
      <c r="IFE11" s="314" t="s">
        <v>203</v>
      </c>
      <c r="IFF11" s="314" t="s">
        <v>203</v>
      </c>
      <c r="IFG11" s="314" t="s">
        <v>203</v>
      </c>
      <c r="IFH11" s="314" t="s">
        <v>203</v>
      </c>
      <c r="IFI11" s="314" t="s">
        <v>203</v>
      </c>
      <c r="IFJ11" s="314" t="s">
        <v>203</v>
      </c>
      <c r="IFK11" s="314" t="s">
        <v>203</v>
      </c>
      <c r="IFL11" s="314" t="s">
        <v>203</v>
      </c>
      <c r="IFM11" s="314" t="s">
        <v>203</v>
      </c>
      <c r="IFN11" s="314" t="s">
        <v>203</v>
      </c>
      <c r="IFO11" s="314" t="s">
        <v>203</v>
      </c>
      <c r="IFP11" s="314" t="s">
        <v>203</v>
      </c>
      <c r="IFQ11" s="314" t="s">
        <v>203</v>
      </c>
      <c r="IFR11" s="314" t="s">
        <v>203</v>
      </c>
      <c r="IFS11" s="314" t="s">
        <v>203</v>
      </c>
      <c r="IFT11" s="314" t="s">
        <v>203</v>
      </c>
      <c r="IFU11" s="314" t="s">
        <v>203</v>
      </c>
      <c r="IFV11" s="314" t="s">
        <v>203</v>
      </c>
      <c r="IFW11" s="314" t="s">
        <v>203</v>
      </c>
      <c r="IFX11" s="314" t="s">
        <v>203</v>
      </c>
      <c r="IFY11" s="314" t="s">
        <v>203</v>
      </c>
      <c r="IFZ11" s="314" t="s">
        <v>203</v>
      </c>
      <c r="IGA11" s="314" t="s">
        <v>203</v>
      </c>
      <c r="IGB11" s="314" t="s">
        <v>203</v>
      </c>
      <c r="IGC11" s="314" t="s">
        <v>203</v>
      </c>
      <c r="IGD11" s="314" t="s">
        <v>203</v>
      </c>
      <c r="IGE11" s="314" t="s">
        <v>203</v>
      </c>
      <c r="IGF11" s="314" t="s">
        <v>203</v>
      </c>
      <c r="IGG11" s="314" t="s">
        <v>203</v>
      </c>
      <c r="IGH11" s="314" t="s">
        <v>203</v>
      </c>
      <c r="IGI11" s="314" t="s">
        <v>203</v>
      </c>
      <c r="IGJ11" s="314" t="s">
        <v>203</v>
      </c>
      <c r="IGK11" s="314" t="s">
        <v>203</v>
      </c>
      <c r="IGL11" s="314" t="s">
        <v>203</v>
      </c>
      <c r="IGM11" s="314" t="s">
        <v>203</v>
      </c>
      <c r="IGN11" s="314" t="s">
        <v>203</v>
      </c>
      <c r="IGO11" s="314" t="s">
        <v>203</v>
      </c>
      <c r="IGP11" s="314" t="s">
        <v>203</v>
      </c>
      <c r="IGQ11" s="314" t="s">
        <v>203</v>
      </c>
      <c r="IGR11" s="314" t="s">
        <v>203</v>
      </c>
      <c r="IGS11" s="314" t="s">
        <v>203</v>
      </c>
      <c r="IGT11" s="314" t="s">
        <v>203</v>
      </c>
      <c r="IGU11" s="314" t="s">
        <v>203</v>
      </c>
      <c r="IGV11" s="314" t="s">
        <v>203</v>
      </c>
      <c r="IGW11" s="314" t="s">
        <v>203</v>
      </c>
      <c r="IGX11" s="314" t="s">
        <v>203</v>
      </c>
      <c r="IGY11" s="314" t="s">
        <v>203</v>
      </c>
      <c r="IGZ11" s="314" t="s">
        <v>203</v>
      </c>
      <c r="IHA11" s="314" t="s">
        <v>203</v>
      </c>
      <c r="IHB11" s="314" t="s">
        <v>203</v>
      </c>
      <c r="IHC11" s="314" t="s">
        <v>203</v>
      </c>
      <c r="IHD11" s="314" t="s">
        <v>203</v>
      </c>
      <c r="IHE11" s="314" t="s">
        <v>203</v>
      </c>
      <c r="IHF11" s="314" t="s">
        <v>203</v>
      </c>
      <c r="IHG11" s="314" t="s">
        <v>203</v>
      </c>
      <c r="IHH11" s="314" t="s">
        <v>203</v>
      </c>
      <c r="IHI11" s="314" t="s">
        <v>203</v>
      </c>
      <c r="IHJ11" s="314" t="s">
        <v>203</v>
      </c>
      <c r="IHK11" s="314" t="s">
        <v>203</v>
      </c>
      <c r="IHL11" s="314" t="s">
        <v>203</v>
      </c>
      <c r="IHM11" s="314" t="s">
        <v>203</v>
      </c>
      <c r="IHN11" s="314" t="s">
        <v>203</v>
      </c>
      <c r="IHO11" s="314" t="s">
        <v>203</v>
      </c>
      <c r="IHP11" s="314" t="s">
        <v>203</v>
      </c>
      <c r="IHQ11" s="314" t="s">
        <v>203</v>
      </c>
      <c r="IHR11" s="314" t="s">
        <v>203</v>
      </c>
      <c r="IHS11" s="314" t="s">
        <v>203</v>
      </c>
      <c r="IHT11" s="314" t="s">
        <v>203</v>
      </c>
      <c r="IHU11" s="314" t="s">
        <v>203</v>
      </c>
      <c r="IHV11" s="314" t="s">
        <v>203</v>
      </c>
      <c r="IHW11" s="314" t="s">
        <v>203</v>
      </c>
      <c r="IHX11" s="314" t="s">
        <v>203</v>
      </c>
      <c r="IHY11" s="314" t="s">
        <v>203</v>
      </c>
      <c r="IHZ11" s="314" t="s">
        <v>203</v>
      </c>
      <c r="IIA11" s="314" t="s">
        <v>203</v>
      </c>
      <c r="IIB11" s="314" t="s">
        <v>203</v>
      </c>
      <c r="IIC11" s="314" t="s">
        <v>203</v>
      </c>
      <c r="IID11" s="314" t="s">
        <v>203</v>
      </c>
      <c r="IIE11" s="314" t="s">
        <v>203</v>
      </c>
      <c r="IIF11" s="314" t="s">
        <v>203</v>
      </c>
      <c r="IIG11" s="314" t="s">
        <v>203</v>
      </c>
      <c r="IIH11" s="314" t="s">
        <v>203</v>
      </c>
      <c r="III11" s="314" t="s">
        <v>203</v>
      </c>
      <c r="IIJ11" s="314" t="s">
        <v>203</v>
      </c>
      <c r="IIK11" s="314" t="s">
        <v>203</v>
      </c>
      <c r="IIL11" s="314" t="s">
        <v>203</v>
      </c>
      <c r="IIM11" s="314" t="s">
        <v>203</v>
      </c>
      <c r="IIN11" s="314" t="s">
        <v>203</v>
      </c>
      <c r="IIO11" s="314" t="s">
        <v>203</v>
      </c>
      <c r="IIP11" s="314" t="s">
        <v>203</v>
      </c>
      <c r="IIQ11" s="314" t="s">
        <v>203</v>
      </c>
      <c r="IIR11" s="314" t="s">
        <v>203</v>
      </c>
      <c r="IIS11" s="314" t="s">
        <v>203</v>
      </c>
      <c r="IIT11" s="314" t="s">
        <v>203</v>
      </c>
      <c r="IIU11" s="314" t="s">
        <v>203</v>
      </c>
      <c r="IIV11" s="314" t="s">
        <v>203</v>
      </c>
      <c r="IIW11" s="314" t="s">
        <v>203</v>
      </c>
      <c r="IIX11" s="314" t="s">
        <v>203</v>
      </c>
      <c r="IIY11" s="314" t="s">
        <v>203</v>
      </c>
      <c r="IIZ11" s="314" t="s">
        <v>203</v>
      </c>
      <c r="IJA11" s="314" t="s">
        <v>203</v>
      </c>
      <c r="IJB11" s="314" t="s">
        <v>203</v>
      </c>
      <c r="IJC11" s="314" t="s">
        <v>203</v>
      </c>
      <c r="IJD11" s="314" t="s">
        <v>203</v>
      </c>
      <c r="IJE11" s="314" t="s">
        <v>203</v>
      </c>
      <c r="IJF11" s="314" t="s">
        <v>203</v>
      </c>
      <c r="IJG11" s="314" t="s">
        <v>203</v>
      </c>
      <c r="IJH11" s="314" t="s">
        <v>203</v>
      </c>
      <c r="IJI11" s="314" t="s">
        <v>203</v>
      </c>
      <c r="IJJ11" s="314" t="s">
        <v>203</v>
      </c>
      <c r="IJK11" s="314" t="s">
        <v>203</v>
      </c>
      <c r="IJL11" s="314" t="s">
        <v>203</v>
      </c>
      <c r="IJM11" s="314" t="s">
        <v>203</v>
      </c>
      <c r="IJN11" s="314" t="s">
        <v>203</v>
      </c>
      <c r="IJO11" s="314" t="s">
        <v>203</v>
      </c>
      <c r="IJP11" s="314" t="s">
        <v>203</v>
      </c>
      <c r="IJQ11" s="314" t="s">
        <v>203</v>
      </c>
      <c r="IJR11" s="314" t="s">
        <v>203</v>
      </c>
      <c r="IJS11" s="314" t="s">
        <v>203</v>
      </c>
      <c r="IJT11" s="314" t="s">
        <v>203</v>
      </c>
      <c r="IJU11" s="314" t="s">
        <v>203</v>
      </c>
      <c r="IJV11" s="314" t="s">
        <v>203</v>
      </c>
      <c r="IJW11" s="314" t="s">
        <v>203</v>
      </c>
      <c r="IJX11" s="314" t="s">
        <v>203</v>
      </c>
      <c r="IJY11" s="314" t="s">
        <v>203</v>
      </c>
      <c r="IJZ11" s="314" t="s">
        <v>203</v>
      </c>
      <c r="IKA11" s="314" t="s">
        <v>203</v>
      </c>
      <c r="IKB11" s="314" t="s">
        <v>203</v>
      </c>
      <c r="IKC11" s="314" t="s">
        <v>203</v>
      </c>
      <c r="IKD11" s="314" t="s">
        <v>203</v>
      </c>
      <c r="IKE11" s="314" t="s">
        <v>203</v>
      </c>
      <c r="IKF11" s="314" t="s">
        <v>203</v>
      </c>
      <c r="IKG11" s="314" t="s">
        <v>203</v>
      </c>
      <c r="IKH11" s="314" t="s">
        <v>203</v>
      </c>
      <c r="IKI11" s="314" t="s">
        <v>203</v>
      </c>
      <c r="IKJ11" s="314" t="s">
        <v>203</v>
      </c>
      <c r="IKK11" s="314" t="s">
        <v>203</v>
      </c>
      <c r="IKL11" s="314" t="s">
        <v>203</v>
      </c>
      <c r="IKM11" s="314" t="s">
        <v>203</v>
      </c>
      <c r="IKN11" s="314" t="s">
        <v>203</v>
      </c>
      <c r="IKO11" s="314" t="s">
        <v>203</v>
      </c>
      <c r="IKP11" s="314" t="s">
        <v>203</v>
      </c>
      <c r="IKQ11" s="314" t="s">
        <v>203</v>
      </c>
      <c r="IKR11" s="314" t="s">
        <v>203</v>
      </c>
      <c r="IKS11" s="314" t="s">
        <v>203</v>
      </c>
      <c r="IKT11" s="314" t="s">
        <v>203</v>
      </c>
      <c r="IKU11" s="314" t="s">
        <v>203</v>
      </c>
      <c r="IKV11" s="314" t="s">
        <v>203</v>
      </c>
      <c r="IKW11" s="314" t="s">
        <v>203</v>
      </c>
      <c r="IKX11" s="314" t="s">
        <v>203</v>
      </c>
      <c r="IKY11" s="314" t="s">
        <v>203</v>
      </c>
      <c r="IKZ11" s="314" t="s">
        <v>203</v>
      </c>
      <c r="ILA11" s="314" t="s">
        <v>203</v>
      </c>
      <c r="ILB11" s="314" t="s">
        <v>203</v>
      </c>
      <c r="ILC11" s="314" t="s">
        <v>203</v>
      </c>
      <c r="ILD11" s="314" t="s">
        <v>203</v>
      </c>
      <c r="ILE11" s="314" t="s">
        <v>203</v>
      </c>
      <c r="ILF11" s="314" t="s">
        <v>203</v>
      </c>
      <c r="ILG11" s="314" t="s">
        <v>203</v>
      </c>
      <c r="ILH11" s="314" t="s">
        <v>203</v>
      </c>
      <c r="ILI11" s="314" t="s">
        <v>203</v>
      </c>
      <c r="ILJ11" s="314" t="s">
        <v>203</v>
      </c>
      <c r="ILK11" s="314" t="s">
        <v>203</v>
      </c>
      <c r="ILL11" s="314" t="s">
        <v>203</v>
      </c>
      <c r="ILM11" s="314" t="s">
        <v>203</v>
      </c>
      <c r="ILN11" s="314" t="s">
        <v>203</v>
      </c>
      <c r="ILO11" s="314" t="s">
        <v>203</v>
      </c>
      <c r="ILP11" s="314" t="s">
        <v>203</v>
      </c>
      <c r="ILQ11" s="314" t="s">
        <v>203</v>
      </c>
      <c r="ILR11" s="314" t="s">
        <v>203</v>
      </c>
      <c r="ILS11" s="314" t="s">
        <v>203</v>
      </c>
      <c r="ILT11" s="314" t="s">
        <v>203</v>
      </c>
      <c r="ILU11" s="314" t="s">
        <v>203</v>
      </c>
      <c r="ILV11" s="314" t="s">
        <v>203</v>
      </c>
      <c r="ILW11" s="314" t="s">
        <v>203</v>
      </c>
      <c r="ILX11" s="314" t="s">
        <v>203</v>
      </c>
      <c r="ILY11" s="314" t="s">
        <v>203</v>
      </c>
      <c r="ILZ11" s="314" t="s">
        <v>203</v>
      </c>
      <c r="IMA11" s="314" t="s">
        <v>203</v>
      </c>
      <c r="IMB11" s="314" t="s">
        <v>203</v>
      </c>
      <c r="IMC11" s="314" t="s">
        <v>203</v>
      </c>
      <c r="IMD11" s="314" t="s">
        <v>203</v>
      </c>
      <c r="IME11" s="314" t="s">
        <v>203</v>
      </c>
      <c r="IMF11" s="314" t="s">
        <v>203</v>
      </c>
      <c r="IMG11" s="314" t="s">
        <v>203</v>
      </c>
      <c r="IMH11" s="314" t="s">
        <v>203</v>
      </c>
      <c r="IMI11" s="314" t="s">
        <v>203</v>
      </c>
      <c r="IMJ11" s="314" t="s">
        <v>203</v>
      </c>
      <c r="IMK11" s="314" t="s">
        <v>203</v>
      </c>
      <c r="IML11" s="314" t="s">
        <v>203</v>
      </c>
      <c r="IMM11" s="314" t="s">
        <v>203</v>
      </c>
      <c r="IMN11" s="314" t="s">
        <v>203</v>
      </c>
      <c r="IMO11" s="314" t="s">
        <v>203</v>
      </c>
      <c r="IMP11" s="314" t="s">
        <v>203</v>
      </c>
      <c r="IMQ11" s="314" t="s">
        <v>203</v>
      </c>
      <c r="IMR11" s="314" t="s">
        <v>203</v>
      </c>
      <c r="IMS11" s="314" t="s">
        <v>203</v>
      </c>
      <c r="IMT11" s="314" t="s">
        <v>203</v>
      </c>
      <c r="IMU11" s="314" t="s">
        <v>203</v>
      </c>
      <c r="IMV11" s="314" t="s">
        <v>203</v>
      </c>
      <c r="IMW11" s="314" t="s">
        <v>203</v>
      </c>
      <c r="IMX11" s="314" t="s">
        <v>203</v>
      </c>
      <c r="IMY11" s="314" t="s">
        <v>203</v>
      </c>
      <c r="IMZ11" s="314" t="s">
        <v>203</v>
      </c>
      <c r="INA11" s="314" t="s">
        <v>203</v>
      </c>
      <c r="INB11" s="314" t="s">
        <v>203</v>
      </c>
      <c r="INC11" s="314" t="s">
        <v>203</v>
      </c>
      <c r="IND11" s="314" t="s">
        <v>203</v>
      </c>
      <c r="INE11" s="314" t="s">
        <v>203</v>
      </c>
      <c r="INF11" s="314" t="s">
        <v>203</v>
      </c>
      <c r="ING11" s="314" t="s">
        <v>203</v>
      </c>
      <c r="INH11" s="314" t="s">
        <v>203</v>
      </c>
      <c r="INI11" s="314" t="s">
        <v>203</v>
      </c>
      <c r="INJ11" s="314" t="s">
        <v>203</v>
      </c>
      <c r="INK11" s="314" t="s">
        <v>203</v>
      </c>
      <c r="INL11" s="314" t="s">
        <v>203</v>
      </c>
      <c r="INM11" s="314" t="s">
        <v>203</v>
      </c>
      <c r="INN11" s="314" t="s">
        <v>203</v>
      </c>
      <c r="INO11" s="314" t="s">
        <v>203</v>
      </c>
      <c r="INP11" s="314" t="s">
        <v>203</v>
      </c>
      <c r="INQ11" s="314" t="s">
        <v>203</v>
      </c>
      <c r="INR11" s="314" t="s">
        <v>203</v>
      </c>
      <c r="INS11" s="314" t="s">
        <v>203</v>
      </c>
      <c r="INT11" s="314" t="s">
        <v>203</v>
      </c>
      <c r="INU11" s="314" t="s">
        <v>203</v>
      </c>
      <c r="INV11" s="314" t="s">
        <v>203</v>
      </c>
      <c r="INW11" s="314" t="s">
        <v>203</v>
      </c>
      <c r="INX11" s="314" t="s">
        <v>203</v>
      </c>
      <c r="INY11" s="314" t="s">
        <v>203</v>
      </c>
      <c r="INZ11" s="314" t="s">
        <v>203</v>
      </c>
      <c r="IOA11" s="314" t="s">
        <v>203</v>
      </c>
      <c r="IOB11" s="314" t="s">
        <v>203</v>
      </c>
      <c r="IOC11" s="314" t="s">
        <v>203</v>
      </c>
      <c r="IOD11" s="314" t="s">
        <v>203</v>
      </c>
      <c r="IOE11" s="314" t="s">
        <v>203</v>
      </c>
      <c r="IOF11" s="314" t="s">
        <v>203</v>
      </c>
      <c r="IOG11" s="314" t="s">
        <v>203</v>
      </c>
      <c r="IOH11" s="314" t="s">
        <v>203</v>
      </c>
      <c r="IOI11" s="314" t="s">
        <v>203</v>
      </c>
      <c r="IOJ11" s="314" t="s">
        <v>203</v>
      </c>
      <c r="IOK11" s="314" t="s">
        <v>203</v>
      </c>
      <c r="IOL11" s="314" t="s">
        <v>203</v>
      </c>
      <c r="IOM11" s="314" t="s">
        <v>203</v>
      </c>
      <c r="ION11" s="314" t="s">
        <v>203</v>
      </c>
      <c r="IOO11" s="314" t="s">
        <v>203</v>
      </c>
      <c r="IOP11" s="314" t="s">
        <v>203</v>
      </c>
      <c r="IOQ11" s="314" t="s">
        <v>203</v>
      </c>
      <c r="IOR11" s="314" t="s">
        <v>203</v>
      </c>
      <c r="IOS11" s="314" t="s">
        <v>203</v>
      </c>
      <c r="IOT11" s="314" t="s">
        <v>203</v>
      </c>
      <c r="IOU11" s="314" t="s">
        <v>203</v>
      </c>
      <c r="IOV11" s="314" t="s">
        <v>203</v>
      </c>
      <c r="IOW11" s="314" t="s">
        <v>203</v>
      </c>
      <c r="IOX11" s="314" t="s">
        <v>203</v>
      </c>
      <c r="IOY11" s="314" t="s">
        <v>203</v>
      </c>
      <c r="IOZ11" s="314" t="s">
        <v>203</v>
      </c>
      <c r="IPA11" s="314" t="s">
        <v>203</v>
      </c>
      <c r="IPB11" s="314" t="s">
        <v>203</v>
      </c>
      <c r="IPC11" s="314" t="s">
        <v>203</v>
      </c>
      <c r="IPD11" s="314" t="s">
        <v>203</v>
      </c>
      <c r="IPE11" s="314" t="s">
        <v>203</v>
      </c>
      <c r="IPF11" s="314" t="s">
        <v>203</v>
      </c>
      <c r="IPG11" s="314" t="s">
        <v>203</v>
      </c>
      <c r="IPH11" s="314" t="s">
        <v>203</v>
      </c>
      <c r="IPI11" s="314" t="s">
        <v>203</v>
      </c>
      <c r="IPJ11" s="314" t="s">
        <v>203</v>
      </c>
      <c r="IPK11" s="314" t="s">
        <v>203</v>
      </c>
      <c r="IPL11" s="314" t="s">
        <v>203</v>
      </c>
      <c r="IPM11" s="314" t="s">
        <v>203</v>
      </c>
      <c r="IPN11" s="314" t="s">
        <v>203</v>
      </c>
      <c r="IPO11" s="314" t="s">
        <v>203</v>
      </c>
      <c r="IPP11" s="314" t="s">
        <v>203</v>
      </c>
      <c r="IPQ11" s="314" t="s">
        <v>203</v>
      </c>
      <c r="IPR11" s="314" t="s">
        <v>203</v>
      </c>
      <c r="IPS11" s="314" t="s">
        <v>203</v>
      </c>
      <c r="IPT11" s="314" t="s">
        <v>203</v>
      </c>
      <c r="IPU11" s="314" t="s">
        <v>203</v>
      </c>
      <c r="IPV11" s="314" t="s">
        <v>203</v>
      </c>
      <c r="IPW11" s="314" t="s">
        <v>203</v>
      </c>
      <c r="IPX11" s="314" t="s">
        <v>203</v>
      </c>
      <c r="IPY11" s="314" t="s">
        <v>203</v>
      </c>
      <c r="IPZ11" s="314" t="s">
        <v>203</v>
      </c>
      <c r="IQA11" s="314" t="s">
        <v>203</v>
      </c>
      <c r="IQB11" s="314" t="s">
        <v>203</v>
      </c>
      <c r="IQC11" s="314" t="s">
        <v>203</v>
      </c>
      <c r="IQD11" s="314" t="s">
        <v>203</v>
      </c>
      <c r="IQE11" s="314" t="s">
        <v>203</v>
      </c>
      <c r="IQF11" s="314" t="s">
        <v>203</v>
      </c>
      <c r="IQG11" s="314" t="s">
        <v>203</v>
      </c>
      <c r="IQH11" s="314" t="s">
        <v>203</v>
      </c>
      <c r="IQI11" s="314" t="s">
        <v>203</v>
      </c>
      <c r="IQJ11" s="314" t="s">
        <v>203</v>
      </c>
      <c r="IQK11" s="314" t="s">
        <v>203</v>
      </c>
      <c r="IQL11" s="314" t="s">
        <v>203</v>
      </c>
      <c r="IQM11" s="314" t="s">
        <v>203</v>
      </c>
      <c r="IQN11" s="314" t="s">
        <v>203</v>
      </c>
      <c r="IQO11" s="314" t="s">
        <v>203</v>
      </c>
      <c r="IQP11" s="314" t="s">
        <v>203</v>
      </c>
      <c r="IQQ11" s="314" t="s">
        <v>203</v>
      </c>
      <c r="IQR11" s="314" t="s">
        <v>203</v>
      </c>
      <c r="IQS11" s="314" t="s">
        <v>203</v>
      </c>
      <c r="IQT11" s="314" t="s">
        <v>203</v>
      </c>
      <c r="IQU11" s="314" t="s">
        <v>203</v>
      </c>
      <c r="IQV11" s="314" t="s">
        <v>203</v>
      </c>
      <c r="IQW11" s="314" t="s">
        <v>203</v>
      </c>
      <c r="IQX11" s="314" t="s">
        <v>203</v>
      </c>
      <c r="IQY11" s="314" t="s">
        <v>203</v>
      </c>
      <c r="IQZ11" s="314" t="s">
        <v>203</v>
      </c>
      <c r="IRA11" s="314" t="s">
        <v>203</v>
      </c>
      <c r="IRB11" s="314" t="s">
        <v>203</v>
      </c>
      <c r="IRC11" s="314" t="s">
        <v>203</v>
      </c>
      <c r="IRD11" s="314" t="s">
        <v>203</v>
      </c>
      <c r="IRE11" s="314" t="s">
        <v>203</v>
      </c>
      <c r="IRF11" s="314" t="s">
        <v>203</v>
      </c>
      <c r="IRG11" s="314" t="s">
        <v>203</v>
      </c>
      <c r="IRH11" s="314" t="s">
        <v>203</v>
      </c>
      <c r="IRI11" s="314" t="s">
        <v>203</v>
      </c>
      <c r="IRJ11" s="314" t="s">
        <v>203</v>
      </c>
      <c r="IRK11" s="314" t="s">
        <v>203</v>
      </c>
      <c r="IRL11" s="314" t="s">
        <v>203</v>
      </c>
      <c r="IRM11" s="314" t="s">
        <v>203</v>
      </c>
      <c r="IRN11" s="314" t="s">
        <v>203</v>
      </c>
      <c r="IRO11" s="314" t="s">
        <v>203</v>
      </c>
      <c r="IRP11" s="314" t="s">
        <v>203</v>
      </c>
      <c r="IRQ11" s="314" t="s">
        <v>203</v>
      </c>
      <c r="IRR11" s="314" t="s">
        <v>203</v>
      </c>
      <c r="IRS11" s="314" t="s">
        <v>203</v>
      </c>
      <c r="IRT11" s="314" t="s">
        <v>203</v>
      </c>
      <c r="IRU11" s="314" t="s">
        <v>203</v>
      </c>
      <c r="IRV11" s="314" t="s">
        <v>203</v>
      </c>
      <c r="IRW11" s="314" t="s">
        <v>203</v>
      </c>
      <c r="IRX11" s="314" t="s">
        <v>203</v>
      </c>
      <c r="IRY11" s="314" t="s">
        <v>203</v>
      </c>
      <c r="IRZ11" s="314" t="s">
        <v>203</v>
      </c>
      <c r="ISA11" s="314" t="s">
        <v>203</v>
      </c>
      <c r="ISB11" s="314" t="s">
        <v>203</v>
      </c>
      <c r="ISC11" s="314" t="s">
        <v>203</v>
      </c>
      <c r="ISD11" s="314" t="s">
        <v>203</v>
      </c>
      <c r="ISE11" s="314" t="s">
        <v>203</v>
      </c>
      <c r="ISF11" s="314" t="s">
        <v>203</v>
      </c>
      <c r="ISG11" s="314" t="s">
        <v>203</v>
      </c>
      <c r="ISH11" s="314" t="s">
        <v>203</v>
      </c>
      <c r="ISI11" s="314" t="s">
        <v>203</v>
      </c>
      <c r="ISJ11" s="314" t="s">
        <v>203</v>
      </c>
      <c r="ISK11" s="314" t="s">
        <v>203</v>
      </c>
      <c r="ISL11" s="314" t="s">
        <v>203</v>
      </c>
      <c r="ISM11" s="314" t="s">
        <v>203</v>
      </c>
      <c r="ISN11" s="314" t="s">
        <v>203</v>
      </c>
      <c r="ISO11" s="314" t="s">
        <v>203</v>
      </c>
      <c r="ISP11" s="314" t="s">
        <v>203</v>
      </c>
      <c r="ISQ11" s="314" t="s">
        <v>203</v>
      </c>
      <c r="ISR11" s="314" t="s">
        <v>203</v>
      </c>
      <c r="ISS11" s="314" t="s">
        <v>203</v>
      </c>
      <c r="IST11" s="314" t="s">
        <v>203</v>
      </c>
      <c r="ISU11" s="314" t="s">
        <v>203</v>
      </c>
      <c r="ISV11" s="314" t="s">
        <v>203</v>
      </c>
      <c r="ISW11" s="314" t="s">
        <v>203</v>
      </c>
      <c r="ISX11" s="314" t="s">
        <v>203</v>
      </c>
      <c r="ISY11" s="314" t="s">
        <v>203</v>
      </c>
      <c r="ISZ11" s="314" t="s">
        <v>203</v>
      </c>
      <c r="ITA11" s="314" t="s">
        <v>203</v>
      </c>
      <c r="ITB11" s="314" t="s">
        <v>203</v>
      </c>
      <c r="ITC11" s="314" t="s">
        <v>203</v>
      </c>
      <c r="ITD11" s="314" t="s">
        <v>203</v>
      </c>
      <c r="ITE11" s="314" t="s">
        <v>203</v>
      </c>
      <c r="ITF11" s="314" t="s">
        <v>203</v>
      </c>
      <c r="ITG11" s="314" t="s">
        <v>203</v>
      </c>
      <c r="ITH11" s="314" t="s">
        <v>203</v>
      </c>
      <c r="ITI11" s="314" t="s">
        <v>203</v>
      </c>
      <c r="ITJ11" s="314" t="s">
        <v>203</v>
      </c>
      <c r="ITK11" s="314" t="s">
        <v>203</v>
      </c>
      <c r="ITL11" s="314" t="s">
        <v>203</v>
      </c>
      <c r="ITM11" s="314" t="s">
        <v>203</v>
      </c>
      <c r="ITN11" s="314" t="s">
        <v>203</v>
      </c>
      <c r="ITO11" s="314" t="s">
        <v>203</v>
      </c>
      <c r="ITP11" s="314" t="s">
        <v>203</v>
      </c>
      <c r="ITQ11" s="314" t="s">
        <v>203</v>
      </c>
      <c r="ITR11" s="314" t="s">
        <v>203</v>
      </c>
      <c r="ITS11" s="314" t="s">
        <v>203</v>
      </c>
      <c r="ITT11" s="314" t="s">
        <v>203</v>
      </c>
      <c r="ITU11" s="314" t="s">
        <v>203</v>
      </c>
      <c r="ITV11" s="314" t="s">
        <v>203</v>
      </c>
      <c r="ITW11" s="314" t="s">
        <v>203</v>
      </c>
      <c r="ITX11" s="314" t="s">
        <v>203</v>
      </c>
      <c r="ITY11" s="314" t="s">
        <v>203</v>
      </c>
      <c r="ITZ11" s="314" t="s">
        <v>203</v>
      </c>
      <c r="IUA11" s="314" t="s">
        <v>203</v>
      </c>
      <c r="IUB11" s="314" t="s">
        <v>203</v>
      </c>
      <c r="IUC11" s="314" t="s">
        <v>203</v>
      </c>
      <c r="IUD11" s="314" t="s">
        <v>203</v>
      </c>
      <c r="IUE11" s="314" t="s">
        <v>203</v>
      </c>
      <c r="IUF11" s="314" t="s">
        <v>203</v>
      </c>
      <c r="IUG11" s="314" t="s">
        <v>203</v>
      </c>
      <c r="IUH11" s="314" t="s">
        <v>203</v>
      </c>
      <c r="IUI11" s="314" t="s">
        <v>203</v>
      </c>
      <c r="IUJ11" s="314" t="s">
        <v>203</v>
      </c>
      <c r="IUK11" s="314" t="s">
        <v>203</v>
      </c>
      <c r="IUL11" s="314" t="s">
        <v>203</v>
      </c>
      <c r="IUM11" s="314" t="s">
        <v>203</v>
      </c>
      <c r="IUN11" s="314" t="s">
        <v>203</v>
      </c>
      <c r="IUO11" s="314" t="s">
        <v>203</v>
      </c>
      <c r="IUP11" s="314" t="s">
        <v>203</v>
      </c>
      <c r="IUQ11" s="314" t="s">
        <v>203</v>
      </c>
      <c r="IUR11" s="314" t="s">
        <v>203</v>
      </c>
      <c r="IUS11" s="314" t="s">
        <v>203</v>
      </c>
      <c r="IUT11" s="314" t="s">
        <v>203</v>
      </c>
      <c r="IUU11" s="314" t="s">
        <v>203</v>
      </c>
      <c r="IUV11" s="314" t="s">
        <v>203</v>
      </c>
      <c r="IUW11" s="314" t="s">
        <v>203</v>
      </c>
      <c r="IUX11" s="314" t="s">
        <v>203</v>
      </c>
      <c r="IUY11" s="314" t="s">
        <v>203</v>
      </c>
      <c r="IUZ11" s="314" t="s">
        <v>203</v>
      </c>
      <c r="IVA11" s="314" t="s">
        <v>203</v>
      </c>
      <c r="IVB11" s="314" t="s">
        <v>203</v>
      </c>
      <c r="IVC11" s="314" t="s">
        <v>203</v>
      </c>
      <c r="IVD11" s="314" t="s">
        <v>203</v>
      </c>
      <c r="IVE11" s="314" t="s">
        <v>203</v>
      </c>
      <c r="IVF11" s="314" t="s">
        <v>203</v>
      </c>
      <c r="IVG11" s="314" t="s">
        <v>203</v>
      </c>
      <c r="IVH11" s="314" t="s">
        <v>203</v>
      </c>
      <c r="IVI11" s="314" t="s">
        <v>203</v>
      </c>
      <c r="IVJ11" s="314" t="s">
        <v>203</v>
      </c>
      <c r="IVK11" s="314" t="s">
        <v>203</v>
      </c>
      <c r="IVL11" s="314" t="s">
        <v>203</v>
      </c>
      <c r="IVM11" s="314" t="s">
        <v>203</v>
      </c>
      <c r="IVN11" s="314" t="s">
        <v>203</v>
      </c>
      <c r="IVO11" s="314" t="s">
        <v>203</v>
      </c>
      <c r="IVP11" s="314" t="s">
        <v>203</v>
      </c>
      <c r="IVQ11" s="314" t="s">
        <v>203</v>
      </c>
      <c r="IVR11" s="314" t="s">
        <v>203</v>
      </c>
      <c r="IVS11" s="314" t="s">
        <v>203</v>
      </c>
      <c r="IVT11" s="314" t="s">
        <v>203</v>
      </c>
      <c r="IVU11" s="314" t="s">
        <v>203</v>
      </c>
      <c r="IVV11" s="314" t="s">
        <v>203</v>
      </c>
      <c r="IVW11" s="314" t="s">
        <v>203</v>
      </c>
      <c r="IVX11" s="314" t="s">
        <v>203</v>
      </c>
      <c r="IVY11" s="314" t="s">
        <v>203</v>
      </c>
      <c r="IVZ11" s="314" t="s">
        <v>203</v>
      </c>
      <c r="IWA11" s="314" t="s">
        <v>203</v>
      </c>
      <c r="IWB11" s="314" t="s">
        <v>203</v>
      </c>
      <c r="IWC11" s="314" t="s">
        <v>203</v>
      </c>
      <c r="IWD11" s="314" t="s">
        <v>203</v>
      </c>
      <c r="IWE11" s="314" t="s">
        <v>203</v>
      </c>
      <c r="IWF11" s="314" t="s">
        <v>203</v>
      </c>
      <c r="IWG11" s="314" t="s">
        <v>203</v>
      </c>
      <c r="IWH11" s="314" t="s">
        <v>203</v>
      </c>
      <c r="IWI11" s="314" t="s">
        <v>203</v>
      </c>
      <c r="IWJ11" s="314" t="s">
        <v>203</v>
      </c>
      <c r="IWK11" s="314" t="s">
        <v>203</v>
      </c>
      <c r="IWL11" s="314" t="s">
        <v>203</v>
      </c>
      <c r="IWM11" s="314" t="s">
        <v>203</v>
      </c>
      <c r="IWN11" s="314" t="s">
        <v>203</v>
      </c>
      <c r="IWO11" s="314" t="s">
        <v>203</v>
      </c>
      <c r="IWP11" s="314" t="s">
        <v>203</v>
      </c>
      <c r="IWQ11" s="314" t="s">
        <v>203</v>
      </c>
      <c r="IWR11" s="314" t="s">
        <v>203</v>
      </c>
      <c r="IWS11" s="314" t="s">
        <v>203</v>
      </c>
      <c r="IWT11" s="314" t="s">
        <v>203</v>
      </c>
      <c r="IWU11" s="314" t="s">
        <v>203</v>
      </c>
      <c r="IWV11" s="314" t="s">
        <v>203</v>
      </c>
      <c r="IWW11" s="314" t="s">
        <v>203</v>
      </c>
      <c r="IWX11" s="314" t="s">
        <v>203</v>
      </c>
      <c r="IWY11" s="314" t="s">
        <v>203</v>
      </c>
      <c r="IWZ11" s="314" t="s">
        <v>203</v>
      </c>
      <c r="IXA11" s="314" t="s">
        <v>203</v>
      </c>
      <c r="IXB11" s="314" t="s">
        <v>203</v>
      </c>
      <c r="IXC11" s="314" t="s">
        <v>203</v>
      </c>
      <c r="IXD11" s="314" t="s">
        <v>203</v>
      </c>
      <c r="IXE11" s="314" t="s">
        <v>203</v>
      </c>
      <c r="IXF11" s="314" t="s">
        <v>203</v>
      </c>
      <c r="IXG11" s="314" t="s">
        <v>203</v>
      </c>
      <c r="IXH11" s="314" t="s">
        <v>203</v>
      </c>
      <c r="IXI11" s="314" t="s">
        <v>203</v>
      </c>
      <c r="IXJ11" s="314" t="s">
        <v>203</v>
      </c>
      <c r="IXK11" s="314" t="s">
        <v>203</v>
      </c>
      <c r="IXL11" s="314" t="s">
        <v>203</v>
      </c>
      <c r="IXM11" s="314" t="s">
        <v>203</v>
      </c>
      <c r="IXN11" s="314" t="s">
        <v>203</v>
      </c>
      <c r="IXO11" s="314" t="s">
        <v>203</v>
      </c>
      <c r="IXP11" s="314" t="s">
        <v>203</v>
      </c>
      <c r="IXQ11" s="314" t="s">
        <v>203</v>
      </c>
      <c r="IXR11" s="314" t="s">
        <v>203</v>
      </c>
      <c r="IXS11" s="314" t="s">
        <v>203</v>
      </c>
      <c r="IXT11" s="314" t="s">
        <v>203</v>
      </c>
      <c r="IXU11" s="314" t="s">
        <v>203</v>
      </c>
      <c r="IXV11" s="314" t="s">
        <v>203</v>
      </c>
      <c r="IXW11" s="314" t="s">
        <v>203</v>
      </c>
      <c r="IXX11" s="314" t="s">
        <v>203</v>
      </c>
      <c r="IXY11" s="314" t="s">
        <v>203</v>
      </c>
      <c r="IXZ11" s="314" t="s">
        <v>203</v>
      </c>
      <c r="IYA11" s="314" t="s">
        <v>203</v>
      </c>
      <c r="IYB11" s="314" t="s">
        <v>203</v>
      </c>
      <c r="IYC11" s="314" t="s">
        <v>203</v>
      </c>
      <c r="IYD11" s="314" t="s">
        <v>203</v>
      </c>
      <c r="IYE11" s="314" t="s">
        <v>203</v>
      </c>
      <c r="IYF11" s="314" t="s">
        <v>203</v>
      </c>
      <c r="IYG11" s="314" t="s">
        <v>203</v>
      </c>
      <c r="IYH11" s="314" t="s">
        <v>203</v>
      </c>
      <c r="IYI11" s="314" t="s">
        <v>203</v>
      </c>
      <c r="IYJ11" s="314" t="s">
        <v>203</v>
      </c>
      <c r="IYK11" s="314" t="s">
        <v>203</v>
      </c>
      <c r="IYL11" s="314" t="s">
        <v>203</v>
      </c>
      <c r="IYM11" s="314" t="s">
        <v>203</v>
      </c>
      <c r="IYN11" s="314" t="s">
        <v>203</v>
      </c>
      <c r="IYO11" s="314" t="s">
        <v>203</v>
      </c>
      <c r="IYP11" s="314" t="s">
        <v>203</v>
      </c>
      <c r="IYQ11" s="314" t="s">
        <v>203</v>
      </c>
      <c r="IYR11" s="314" t="s">
        <v>203</v>
      </c>
      <c r="IYS11" s="314" t="s">
        <v>203</v>
      </c>
      <c r="IYT11" s="314" t="s">
        <v>203</v>
      </c>
      <c r="IYU11" s="314" t="s">
        <v>203</v>
      </c>
      <c r="IYV11" s="314" t="s">
        <v>203</v>
      </c>
      <c r="IYW11" s="314" t="s">
        <v>203</v>
      </c>
      <c r="IYX11" s="314" t="s">
        <v>203</v>
      </c>
      <c r="IYY11" s="314" t="s">
        <v>203</v>
      </c>
      <c r="IYZ11" s="314" t="s">
        <v>203</v>
      </c>
      <c r="IZA11" s="314" t="s">
        <v>203</v>
      </c>
      <c r="IZB11" s="314" t="s">
        <v>203</v>
      </c>
      <c r="IZC11" s="314" t="s">
        <v>203</v>
      </c>
      <c r="IZD11" s="314" t="s">
        <v>203</v>
      </c>
      <c r="IZE11" s="314" t="s">
        <v>203</v>
      </c>
      <c r="IZF11" s="314" t="s">
        <v>203</v>
      </c>
      <c r="IZG11" s="314" t="s">
        <v>203</v>
      </c>
      <c r="IZH11" s="314" t="s">
        <v>203</v>
      </c>
      <c r="IZI11" s="314" t="s">
        <v>203</v>
      </c>
      <c r="IZJ11" s="314" t="s">
        <v>203</v>
      </c>
      <c r="IZK11" s="314" t="s">
        <v>203</v>
      </c>
      <c r="IZL11" s="314" t="s">
        <v>203</v>
      </c>
      <c r="IZM11" s="314" t="s">
        <v>203</v>
      </c>
      <c r="IZN11" s="314" t="s">
        <v>203</v>
      </c>
      <c r="IZO11" s="314" t="s">
        <v>203</v>
      </c>
      <c r="IZP11" s="314" t="s">
        <v>203</v>
      </c>
      <c r="IZQ11" s="314" t="s">
        <v>203</v>
      </c>
      <c r="IZR11" s="314" t="s">
        <v>203</v>
      </c>
      <c r="IZS11" s="314" t="s">
        <v>203</v>
      </c>
      <c r="IZT11" s="314" t="s">
        <v>203</v>
      </c>
      <c r="IZU11" s="314" t="s">
        <v>203</v>
      </c>
      <c r="IZV11" s="314" t="s">
        <v>203</v>
      </c>
      <c r="IZW11" s="314" t="s">
        <v>203</v>
      </c>
      <c r="IZX11" s="314" t="s">
        <v>203</v>
      </c>
      <c r="IZY11" s="314" t="s">
        <v>203</v>
      </c>
      <c r="IZZ11" s="314" t="s">
        <v>203</v>
      </c>
      <c r="JAA11" s="314" t="s">
        <v>203</v>
      </c>
      <c r="JAB11" s="314" t="s">
        <v>203</v>
      </c>
      <c r="JAC11" s="314" t="s">
        <v>203</v>
      </c>
      <c r="JAD11" s="314" t="s">
        <v>203</v>
      </c>
      <c r="JAE11" s="314" t="s">
        <v>203</v>
      </c>
      <c r="JAF11" s="314" t="s">
        <v>203</v>
      </c>
      <c r="JAG11" s="314" t="s">
        <v>203</v>
      </c>
      <c r="JAH11" s="314" t="s">
        <v>203</v>
      </c>
      <c r="JAI11" s="314" t="s">
        <v>203</v>
      </c>
      <c r="JAJ11" s="314" t="s">
        <v>203</v>
      </c>
      <c r="JAK11" s="314" t="s">
        <v>203</v>
      </c>
      <c r="JAL11" s="314" t="s">
        <v>203</v>
      </c>
      <c r="JAM11" s="314" t="s">
        <v>203</v>
      </c>
      <c r="JAN11" s="314" t="s">
        <v>203</v>
      </c>
      <c r="JAO11" s="314" t="s">
        <v>203</v>
      </c>
      <c r="JAP11" s="314" t="s">
        <v>203</v>
      </c>
      <c r="JAQ11" s="314" t="s">
        <v>203</v>
      </c>
      <c r="JAR11" s="314" t="s">
        <v>203</v>
      </c>
      <c r="JAS11" s="314" t="s">
        <v>203</v>
      </c>
      <c r="JAT11" s="314" t="s">
        <v>203</v>
      </c>
      <c r="JAU11" s="314" t="s">
        <v>203</v>
      </c>
      <c r="JAV11" s="314" t="s">
        <v>203</v>
      </c>
      <c r="JAW11" s="314" t="s">
        <v>203</v>
      </c>
      <c r="JAX11" s="314" t="s">
        <v>203</v>
      </c>
      <c r="JAY11" s="314" t="s">
        <v>203</v>
      </c>
      <c r="JAZ11" s="314" t="s">
        <v>203</v>
      </c>
      <c r="JBA11" s="314" t="s">
        <v>203</v>
      </c>
      <c r="JBB11" s="314" t="s">
        <v>203</v>
      </c>
      <c r="JBC11" s="314" t="s">
        <v>203</v>
      </c>
      <c r="JBD11" s="314" t="s">
        <v>203</v>
      </c>
      <c r="JBE11" s="314" t="s">
        <v>203</v>
      </c>
      <c r="JBF11" s="314" t="s">
        <v>203</v>
      </c>
      <c r="JBG11" s="314" t="s">
        <v>203</v>
      </c>
      <c r="JBH11" s="314" t="s">
        <v>203</v>
      </c>
      <c r="JBI11" s="314" t="s">
        <v>203</v>
      </c>
      <c r="JBJ11" s="314" t="s">
        <v>203</v>
      </c>
      <c r="JBK11" s="314" t="s">
        <v>203</v>
      </c>
      <c r="JBL11" s="314" t="s">
        <v>203</v>
      </c>
      <c r="JBM11" s="314" t="s">
        <v>203</v>
      </c>
      <c r="JBN11" s="314" t="s">
        <v>203</v>
      </c>
      <c r="JBO11" s="314" t="s">
        <v>203</v>
      </c>
      <c r="JBP11" s="314" t="s">
        <v>203</v>
      </c>
      <c r="JBQ11" s="314" t="s">
        <v>203</v>
      </c>
      <c r="JBR11" s="314" t="s">
        <v>203</v>
      </c>
      <c r="JBS11" s="314" t="s">
        <v>203</v>
      </c>
      <c r="JBT11" s="314" t="s">
        <v>203</v>
      </c>
      <c r="JBU11" s="314" t="s">
        <v>203</v>
      </c>
      <c r="JBV11" s="314" t="s">
        <v>203</v>
      </c>
      <c r="JBW11" s="314" t="s">
        <v>203</v>
      </c>
      <c r="JBX11" s="314" t="s">
        <v>203</v>
      </c>
      <c r="JBY11" s="314" t="s">
        <v>203</v>
      </c>
      <c r="JBZ11" s="314" t="s">
        <v>203</v>
      </c>
      <c r="JCA11" s="314" t="s">
        <v>203</v>
      </c>
      <c r="JCB11" s="314" t="s">
        <v>203</v>
      </c>
      <c r="JCC11" s="314" t="s">
        <v>203</v>
      </c>
      <c r="JCD11" s="314" t="s">
        <v>203</v>
      </c>
      <c r="JCE11" s="314" t="s">
        <v>203</v>
      </c>
      <c r="JCF11" s="314" t="s">
        <v>203</v>
      </c>
      <c r="JCG11" s="314" t="s">
        <v>203</v>
      </c>
      <c r="JCH11" s="314" t="s">
        <v>203</v>
      </c>
      <c r="JCI11" s="314" t="s">
        <v>203</v>
      </c>
      <c r="JCJ11" s="314" t="s">
        <v>203</v>
      </c>
      <c r="JCK11" s="314" t="s">
        <v>203</v>
      </c>
      <c r="JCL11" s="314" t="s">
        <v>203</v>
      </c>
      <c r="JCM11" s="314" t="s">
        <v>203</v>
      </c>
      <c r="JCN11" s="314" t="s">
        <v>203</v>
      </c>
      <c r="JCO11" s="314" t="s">
        <v>203</v>
      </c>
      <c r="JCP11" s="314" t="s">
        <v>203</v>
      </c>
      <c r="JCQ11" s="314" t="s">
        <v>203</v>
      </c>
      <c r="JCR11" s="314" t="s">
        <v>203</v>
      </c>
      <c r="JCS11" s="314" t="s">
        <v>203</v>
      </c>
      <c r="JCT11" s="314" t="s">
        <v>203</v>
      </c>
      <c r="JCU11" s="314" t="s">
        <v>203</v>
      </c>
      <c r="JCV11" s="314" t="s">
        <v>203</v>
      </c>
      <c r="JCW11" s="314" t="s">
        <v>203</v>
      </c>
      <c r="JCX11" s="314" t="s">
        <v>203</v>
      </c>
      <c r="JCY11" s="314" t="s">
        <v>203</v>
      </c>
      <c r="JCZ11" s="314" t="s">
        <v>203</v>
      </c>
      <c r="JDA11" s="314" t="s">
        <v>203</v>
      </c>
      <c r="JDB11" s="314" t="s">
        <v>203</v>
      </c>
      <c r="JDC11" s="314" t="s">
        <v>203</v>
      </c>
      <c r="JDD11" s="314" t="s">
        <v>203</v>
      </c>
      <c r="JDE11" s="314" t="s">
        <v>203</v>
      </c>
      <c r="JDF11" s="314" t="s">
        <v>203</v>
      </c>
      <c r="JDG11" s="314" t="s">
        <v>203</v>
      </c>
      <c r="JDH11" s="314" t="s">
        <v>203</v>
      </c>
      <c r="JDI11" s="314" t="s">
        <v>203</v>
      </c>
      <c r="JDJ11" s="314" t="s">
        <v>203</v>
      </c>
      <c r="JDK11" s="314" t="s">
        <v>203</v>
      </c>
      <c r="JDL11" s="314" t="s">
        <v>203</v>
      </c>
      <c r="JDM11" s="314" t="s">
        <v>203</v>
      </c>
      <c r="JDN11" s="314" t="s">
        <v>203</v>
      </c>
      <c r="JDO11" s="314" t="s">
        <v>203</v>
      </c>
      <c r="JDP11" s="314" t="s">
        <v>203</v>
      </c>
      <c r="JDQ11" s="314" t="s">
        <v>203</v>
      </c>
      <c r="JDR11" s="314" t="s">
        <v>203</v>
      </c>
      <c r="JDS11" s="314" t="s">
        <v>203</v>
      </c>
      <c r="JDT11" s="314" t="s">
        <v>203</v>
      </c>
      <c r="JDU11" s="314" t="s">
        <v>203</v>
      </c>
      <c r="JDV11" s="314" t="s">
        <v>203</v>
      </c>
      <c r="JDW11" s="314" t="s">
        <v>203</v>
      </c>
      <c r="JDX11" s="314" t="s">
        <v>203</v>
      </c>
      <c r="JDY11" s="314" t="s">
        <v>203</v>
      </c>
      <c r="JDZ11" s="314" t="s">
        <v>203</v>
      </c>
      <c r="JEA11" s="314" t="s">
        <v>203</v>
      </c>
      <c r="JEB11" s="314" t="s">
        <v>203</v>
      </c>
      <c r="JEC11" s="314" t="s">
        <v>203</v>
      </c>
      <c r="JED11" s="314" t="s">
        <v>203</v>
      </c>
      <c r="JEE11" s="314" t="s">
        <v>203</v>
      </c>
      <c r="JEF11" s="314" t="s">
        <v>203</v>
      </c>
      <c r="JEG11" s="314" t="s">
        <v>203</v>
      </c>
      <c r="JEH11" s="314" t="s">
        <v>203</v>
      </c>
      <c r="JEI11" s="314" t="s">
        <v>203</v>
      </c>
      <c r="JEJ11" s="314" t="s">
        <v>203</v>
      </c>
      <c r="JEK11" s="314" t="s">
        <v>203</v>
      </c>
      <c r="JEL11" s="314" t="s">
        <v>203</v>
      </c>
      <c r="JEM11" s="314" t="s">
        <v>203</v>
      </c>
      <c r="JEN11" s="314" t="s">
        <v>203</v>
      </c>
      <c r="JEO11" s="314" t="s">
        <v>203</v>
      </c>
      <c r="JEP11" s="314" t="s">
        <v>203</v>
      </c>
      <c r="JEQ11" s="314" t="s">
        <v>203</v>
      </c>
      <c r="JER11" s="314" t="s">
        <v>203</v>
      </c>
      <c r="JES11" s="314" t="s">
        <v>203</v>
      </c>
      <c r="JET11" s="314" t="s">
        <v>203</v>
      </c>
      <c r="JEU11" s="314" t="s">
        <v>203</v>
      </c>
      <c r="JEV11" s="314" t="s">
        <v>203</v>
      </c>
      <c r="JEW11" s="314" t="s">
        <v>203</v>
      </c>
      <c r="JEX11" s="314" t="s">
        <v>203</v>
      </c>
      <c r="JEY11" s="314" t="s">
        <v>203</v>
      </c>
      <c r="JEZ11" s="314" t="s">
        <v>203</v>
      </c>
      <c r="JFA11" s="314" t="s">
        <v>203</v>
      </c>
      <c r="JFB11" s="314" t="s">
        <v>203</v>
      </c>
      <c r="JFC11" s="314" t="s">
        <v>203</v>
      </c>
      <c r="JFD11" s="314" t="s">
        <v>203</v>
      </c>
      <c r="JFE11" s="314" t="s">
        <v>203</v>
      </c>
      <c r="JFF11" s="314" t="s">
        <v>203</v>
      </c>
      <c r="JFG11" s="314" t="s">
        <v>203</v>
      </c>
      <c r="JFH11" s="314" t="s">
        <v>203</v>
      </c>
      <c r="JFI11" s="314" t="s">
        <v>203</v>
      </c>
      <c r="JFJ11" s="314" t="s">
        <v>203</v>
      </c>
      <c r="JFK11" s="314" t="s">
        <v>203</v>
      </c>
      <c r="JFL11" s="314" t="s">
        <v>203</v>
      </c>
      <c r="JFM11" s="314" t="s">
        <v>203</v>
      </c>
      <c r="JFN11" s="314" t="s">
        <v>203</v>
      </c>
      <c r="JFO11" s="314" t="s">
        <v>203</v>
      </c>
      <c r="JFP11" s="314" t="s">
        <v>203</v>
      </c>
      <c r="JFQ11" s="314" t="s">
        <v>203</v>
      </c>
      <c r="JFR11" s="314" t="s">
        <v>203</v>
      </c>
      <c r="JFS11" s="314" t="s">
        <v>203</v>
      </c>
      <c r="JFT11" s="314" t="s">
        <v>203</v>
      </c>
      <c r="JFU11" s="314" t="s">
        <v>203</v>
      </c>
      <c r="JFV11" s="314" t="s">
        <v>203</v>
      </c>
      <c r="JFW11" s="314" t="s">
        <v>203</v>
      </c>
      <c r="JFX11" s="314" t="s">
        <v>203</v>
      </c>
      <c r="JFY11" s="314" t="s">
        <v>203</v>
      </c>
      <c r="JFZ11" s="314" t="s">
        <v>203</v>
      </c>
      <c r="JGA11" s="314" t="s">
        <v>203</v>
      </c>
      <c r="JGB11" s="314" t="s">
        <v>203</v>
      </c>
      <c r="JGC11" s="314" t="s">
        <v>203</v>
      </c>
      <c r="JGD11" s="314" t="s">
        <v>203</v>
      </c>
      <c r="JGE11" s="314" t="s">
        <v>203</v>
      </c>
      <c r="JGF11" s="314" t="s">
        <v>203</v>
      </c>
      <c r="JGG11" s="314" t="s">
        <v>203</v>
      </c>
      <c r="JGH11" s="314" t="s">
        <v>203</v>
      </c>
      <c r="JGI11" s="314" t="s">
        <v>203</v>
      </c>
      <c r="JGJ11" s="314" t="s">
        <v>203</v>
      </c>
      <c r="JGK11" s="314" t="s">
        <v>203</v>
      </c>
      <c r="JGL11" s="314" t="s">
        <v>203</v>
      </c>
      <c r="JGM11" s="314" t="s">
        <v>203</v>
      </c>
      <c r="JGN11" s="314" t="s">
        <v>203</v>
      </c>
      <c r="JGO11" s="314" t="s">
        <v>203</v>
      </c>
      <c r="JGP11" s="314" t="s">
        <v>203</v>
      </c>
      <c r="JGQ11" s="314" t="s">
        <v>203</v>
      </c>
      <c r="JGR11" s="314" t="s">
        <v>203</v>
      </c>
      <c r="JGS11" s="314" t="s">
        <v>203</v>
      </c>
      <c r="JGT11" s="314" t="s">
        <v>203</v>
      </c>
      <c r="JGU11" s="314" t="s">
        <v>203</v>
      </c>
      <c r="JGV11" s="314" t="s">
        <v>203</v>
      </c>
      <c r="JGW11" s="314" t="s">
        <v>203</v>
      </c>
      <c r="JGX11" s="314" t="s">
        <v>203</v>
      </c>
      <c r="JGY11" s="314" t="s">
        <v>203</v>
      </c>
      <c r="JGZ11" s="314" t="s">
        <v>203</v>
      </c>
      <c r="JHA11" s="314" t="s">
        <v>203</v>
      </c>
      <c r="JHB11" s="314" t="s">
        <v>203</v>
      </c>
      <c r="JHC11" s="314" t="s">
        <v>203</v>
      </c>
      <c r="JHD11" s="314" t="s">
        <v>203</v>
      </c>
      <c r="JHE11" s="314" t="s">
        <v>203</v>
      </c>
      <c r="JHF11" s="314" t="s">
        <v>203</v>
      </c>
      <c r="JHG11" s="314" t="s">
        <v>203</v>
      </c>
      <c r="JHH11" s="314" t="s">
        <v>203</v>
      </c>
      <c r="JHI11" s="314" t="s">
        <v>203</v>
      </c>
      <c r="JHJ11" s="314" t="s">
        <v>203</v>
      </c>
      <c r="JHK11" s="314" t="s">
        <v>203</v>
      </c>
      <c r="JHL11" s="314" t="s">
        <v>203</v>
      </c>
      <c r="JHM11" s="314" t="s">
        <v>203</v>
      </c>
      <c r="JHN11" s="314" t="s">
        <v>203</v>
      </c>
      <c r="JHO11" s="314" t="s">
        <v>203</v>
      </c>
      <c r="JHP11" s="314" t="s">
        <v>203</v>
      </c>
      <c r="JHQ11" s="314" t="s">
        <v>203</v>
      </c>
      <c r="JHR11" s="314" t="s">
        <v>203</v>
      </c>
      <c r="JHS11" s="314" t="s">
        <v>203</v>
      </c>
      <c r="JHT11" s="314" t="s">
        <v>203</v>
      </c>
      <c r="JHU11" s="314" t="s">
        <v>203</v>
      </c>
      <c r="JHV11" s="314" t="s">
        <v>203</v>
      </c>
      <c r="JHW11" s="314" t="s">
        <v>203</v>
      </c>
      <c r="JHX11" s="314" t="s">
        <v>203</v>
      </c>
      <c r="JHY11" s="314" t="s">
        <v>203</v>
      </c>
      <c r="JHZ11" s="314" t="s">
        <v>203</v>
      </c>
      <c r="JIA11" s="314" t="s">
        <v>203</v>
      </c>
      <c r="JIB11" s="314" t="s">
        <v>203</v>
      </c>
      <c r="JIC11" s="314" t="s">
        <v>203</v>
      </c>
      <c r="JID11" s="314" t="s">
        <v>203</v>
      </c>
      <c r="JIE11" s="314" t="s">
        <v>203</v>
      </c>
      <c r="JIF11" s="314" t="s">
        <v>203</v>
      </c>
      <c r="JIG11" s="314" t="s">
        <v>203</v>
      </c>
      <c r="JIH11" s="314" t="s">
        <v>203</v>
      </c>
      <c r="JII11" s="314" t="s">
        <v>203</v>
      </c>
      <c r="JIJ11" s="314" t="s">
        <v>203</v>
      </c>
      <c r="JIK11" s="314" t="s">
        <v>203</v>
      </c>
      <c r="JIL11" s="314" t="s">
        <v>203</v>
      </c>
      <c r="JIM11" s="314" t="s">
        <v>203</v>
      </c>
      <c r="JIN11" s="314" t="s">
        <v>203</v>
      </c>
      <c r="JIO11" s="314" t="s">
        <v>203</v>
      </c>
      <c r="JIP11" s="314" t="s">
        <v>203</v>
      </c>
      <c r="JIQ11" s="314" t="s">
        <v>203</v>
      </c>
      <c r="JIR11" s="314" t="s">
        <v>203</v>
      </c>
      <c r="JIS11" s="314" t="s">
        <v>203</v>
      </c>
      <c r="JIT11" s="314" t="s">
        <v>203</v>
      </c>
      <c r="JIU11" s="314" t="s">
        <v>203</v>
      </c>
      <c r="JIV11" s="314" t="s">
        <v>203</v>
      </c>
      <c r="JIW11" s="314" t="s">
        <v>203</v>
      </c>
      <c r="JIX11" s="314" t="s">
        <v>203</v>
      </c>
      <c r="JIY11" s="314" t="s">
        <v>203</v>
      </c>
      <c r="JIZ11" s="314" t="s">
        <v>203</v>
      </c>
      <c r="JJA11" s="314" t="s">
        <v>203</v>
      </c>
      <c r="JJB11" s="314" t="s">
        <v>203</v>
      </c>
      <c r="JJC11" s="314" t="s">
        <v>203</v>
      </c>
      <c r="JJD11" s="314" t="s">
        <v>203</v>
      </c>
      <c r="JJE11" s="314" t="s">
        <v>203</v>
      </c>
      <c r="JJF11" s="314" t="s">
        <v>203</v>
      </c>
      <c r="JJG11" s="314" t="s">
        <v>203</v>
      </c>
      <c r="JJH11" s="314" t="s">
        <v>203</v>
      </c>
      <c r="JJI11" s="314" t="s">
        <v>203</v>
      </c>
      <c r="JJJ11" s="314" t="s">
        <v>203</v>
      </c>
      <c r="JJK11" s="314" t="s">
        <v>203</v>
      </c>
      <c r="JJL11" s="314" t="s">
        <v>203</v>
      </c>
      <c r="JJM11" s="314" t="s">
        <v>203</v>
      </c>
      <c r="JJN11" s="314" t="s">
        <v>203</v>
      </c>
      <c r="JJO11" s="314" t="s">
        <v>203</v>
      </c>
      <c r="JJP11" s="314" t="s">
        <v>203</v>
      </c>
      <c r="JJQ11" s="314" t="s">
        <v>203</v>
      </c>
      <c r="JJR11" s="314" t="s">
        <v>203</v>
      </c>
      <c r="JJS11" s="314" t="s">
        <v>203</v>
      </c>
      <c r="JJT11" s="314" t="s">
        <v>203</v>
      </c>
      <c r="JJU11" s="314" t="s">
        <v>203</v>
      </c>
      <c r="JJV11" s="314" t="s">
        <v>203</v>
      </c>
      <c r="JJW11" s="314" t="s">
        <v>203</v>
      </c>
      <c r="JJX11" s="314" t="s">
        <v>203</v>
      </c>
      <c r="JJY11" s="314" t="s">
        <v>203</v>
      </c>
      <c r="JJZ11" s="314" t="s">
        <v>203</v>
      </c>
      <c r="JKA11" s="314" t="s">
        <v>203</v>
      </c>
      <c r="JKB11" s="314" t="s">
        <v>203</v>
      </c>
      <c r="JKC11" s="314" t="s">
        <v>203</v>
      </c>
      <c r="JKD11" s="314" t="s">
        <v>203</v>
      </c>
      <c r="JKE11" s="314" t="s">
        <v>203</v>
      </c>
      <c r="JKF11" s="314" t="s">
        <v>203</v>
      </c>
      <c r="JKG11" s="314" t="s">
        <v>203</v>
      </c>
      <c r="JKH11" s="314" t="s">
        <v>203</v>
      </c>
      <c r="JKI11" s="314" t="s">
        <v>203</v>
      </c>
      <c r="JKJ11" s="314" t="s">
        <v>203</v>
      </c>
      <c r="JKK11" s="314" t="s">
        <v>203</v>
      </c>
      <c r="JKL11" s="314" t="s">
        <v>203</v>
      </c>
      <c r="JKM11" s="314" t="s">
        <v>203</v>
      </c>
      <c r="JKN11" s="314" t="s">
        <v>203</v>
      </c>
      <c r="JKO11" s="314" t="s">
        <v>203</v>
      </c>
      <c r="JKP11" s="314" t="s">
        <v>203</v>
      </c>
      <c r="JKQ11" s="314" t="s">
        <v>203</v>
      </c>
      <c r="JKR11" s="314" t="s">
        <v>203</v>
      </c>
      <c r="JKS11" s="314" t="s">
        <v>203</v>
      </c>
      <c r="JKT11" s="314" t="s">
        <v>203</v>
      </c>
      <c r="JKU11" s="314" t="s">
        <v>203</v>
      </c>
      <c r="JKV11" s="314" t="s">
        <v>203</v>
      </c>
      <c r="JKW11" s="314" t="s">
        <v>203</v>
      </c>
      <c r="JKX11" s="314" t="s">
        <v>203</v>
      </c>
      <c r="JKY11" s="314" t="s">
        <v>203</v>
      </c>
      <c r="JKZ11" s="314" t="s">
        <v>203</v>
      </c>
      <c r="JLA11" s="314" t="s">
        <v>203</v>
      </c>
      <c r="JLB11" s="314" t="s">
        <v>203</v>
      </c>
      <c r="JLC11" s="314" t="s">
        <v>203</v>
      </c>
      <c r="JLD11" s="314" t="s">
        <v>203</v>
      </c>
      <c r="JLE11" s="314" t="s">
        <v>203</v>
      </c>
      <c r="JLF11" s="314" t="s">
        <v>203</v>
      </c>
      <c r="JLG11" s="314" t="s">
        <v>203</v>
      </c>
      <c r="JLH11" s="314" t="s">
        <v>203</v>
      </c>
      <c r="JLI11" s="314" t="s">
        <v>203</v>
      </c>
      <c r="JLJ11" s="314" t="s">
        <v>203</v>
      </c>
      <c r="JLK11" s="314" t="s">
        <v>203</v>
      </c>
      <c r="JLL11" s="314" t="s">
        <v>203</v>
      </c>
      <c r="JLM11" s="314" t="s">
        <v>203</v>
      </c>
      <c r="JLN11" s="314" t="s">
        <v>203</v>
      </c>
      <c r="JLO11" s="314" t="s">
        <v>203</v>
      </c>
      <c r="JLP11" s="314" t="s">
        <v>203</v>
      </c>
      <c r="JLQ11" s="314" t="s">
        <v>203</v>
      </c>
      <c r="JLR11" s="314" t="s">
        <v>203</v>
      </c>
      <c r="JLS11" s="314" t="s">
        <v>203</v>
      </c>
      <c r="JLT11" s="314" t="s">
        <v>203</v>
      </c>
      <c r="JLU11" s="314" t="s">
        <v>203</v>
      </c>
      <c r="JLV11" s="314" t="s">
        <v>203</v>
      </c>
      <c r="JLW11" s="314" t="s">
        <v>203</v>
      </c>
      <c r="JLX11" s="314" t="s">
        <v>203</v>
      </c>
      <c r="JLY11" s="314" t="s">
        <v>203</v>
      </c>
      <c r="JLZ11" s="314" t="s">
        <v>203</v>
      </c>
      <c r="JMA11" s="314" t="s">
        <v>203</v>
      </c>
      <c r="JMB11" s="314" t="s">
        <v>203</v>
      </c>
      <c r="JMC11" s="314" t="s">
        <v>203</v>
      </c>
      <c r="JMD11" s="314" t="s">
        <v>203</v>
      </c>
      <c r="JME11" s="314" t="s">
        <v>203</v>
      </c>
      <c r="JMF11" s="314" t="s">
        <v>203</v>
      </c>
      <c r="JMG11" s="314" t="s">
        <v>203</v>
      </c>
      <c r="JMH11" s="314" t="s">
        <v>203</v>
      </c>
      <c r="JMI11" s="314" t="s">
        <v>203</v>
      </c>
      <c r="JMJ11" s="314" t="s">
        <v>203</v>
      </c>
      <c r="JMK11" s="314" t="s">
        <v>203</v>
      </c>
      <c r="JML11" s="314" t="s">
        <v>203</v>
      </c>
      <c r="JMM11" s="314" t="s">
        <v>203</v>
      </c>
      <c r="JMN11" s="314" t="s">
        <v>203</v>
      </c>
      <c r="JMO11" s="314" t="s">
        <v>203</v>
      </c>
      <c r="JMP11" s="314" t="s">
        <v>203</v>
      </c>
      <c r="JMQ11" s="314" t="s">
        <v>203</v>
      </c>
      <c r="JMR11" s="314" t="s">
        <v>203</v>
      </c>
      <c r="JMS11" s="314" t="s">
        <v>203</v>
      </c>
      <c r="JMT11" s="314" t="s">
        <v>203</v>
      </c>
      <c r="JMU11" s="314" t="s">
        <v>203</v>
      </c>
      <c r="JMV11" s="314" t="s">
        <v>203</v>
      </c>
      <c r="JMW11" s="314" t="s">
        <v>203</v>
      </c>
      <c r="JMX11" s="314" t="s">
        <v>203</v>
      </c>
      <c r="JMY11" s="314" t="s">
        <v>203</v>
      </c>
      <c r="JMZ11" s="314" t="s">
        <v>203</v>
      </c>
      <c r="JNA11" s="314" t="s">
        <v>203</v>
      </c>
      <c r="JNB11" s="314" t="s">
        <v>203</v>
      </c>
      <c r="JNC11" s="314" t="s">
        <v>203</v>
      </c>
      <c r="JND11" s="314" t="s">
        <v>203</v>
      </c>
      <c r="JNE11" s="314" t="s">
        <v>203</v>
      </c>
      <c r="JNF11" s="314" t="s">
        <v>203</v>
      </c>
      <c r="JNG11" s="314" t="s">
        <v>203</v>
      </c>
      <c r="JNH11" s="314" t="s">
        <v>203</v>
      </c>
      <c r="JNI11" s="314" t="s">
        <v>203</v>
      </c>
      <c r="JNJ11" s="314" t="s">
        <v>203</v>
      </c>
      <c r="JNK11" s="314" t="s">
        <v>203</v>
      </c>
      <c r="JNL11" s="314" t="s">
        <v>203</v>
      </c>
      <c r="JNM11" s="314" t="s">
        <v>203</v>
      </c>
      <c r="JNN11" s="314" t="s">
        <v>203</v>
      </c>
      <c r="JNO11" s="314" t="s">
        <v>203</v>
      </c>
      <c r="JNP11" s="314" t="s">
        <v>203</v>
      </c>
      <c r="JNQ11" s="314" t="s">
        <v>203</v>
      </c>
      <c r="JNR11" s="314" t="s">
        <v>203</v>
      </c>
      <c r="JNS11" s="314" t="s">
        <v>203</v>
      </c>
      <c r="JNT11" s="314" t="s">
        <v>203</v>
      </c>
      <c r="JNU11" s="314" t="s">
        <v>203</v>
      </c>
      <c r="JNV11" s="314" t="s">
        <v>203</v>
      </c>
      <c r="JNW11" s="314" t="s">
        <v>203</v>
      </c>
      <c r="JNX11" s="314" t="s">
        <v>203</v>
      </c>
      <c r="JNY11" s="314" t="s">
        <v>203</v>
      </c>
      <c r="JNZ11" s="314" t="s">
        <v>203</v>
      </c>
      <c r="JOA11" s="314" t="s">
        <v>203</v>
      </c>
      <c r="JOB11" s="314" t="s">
        <v>203</v>
      </c>
      <c r="JOC11" s="314" t="s">
        <v>203</v>
      </c>
      <c r="JOD11" s="314" t="s">
        <v>203</v>
      </c>
      <c r="JOE11" s="314" t="s">
        <v>203</v>
      </c>
      <c r="JOF11" s="314" t="s">
        <v>203</v>
      </c>
      <c r="JOG11" s="314" t="s">
        <v>203</v>
      </c>
      <c r="JOH11" s="314" t="s">
        <v>203</v>
      </c>
      <c r="JOI11" s="314" t="s">
        <v>203</v>
      </c>
      <c r="JOJ11" s="314" t="s">
        <v>203</v>
      </c>
      <c r="JOK11" s="314" t="s">
        <v>203</v>
      </c>
      <c r="JOL11" s="314" t="s">
        <v>203</v>
      </c>
      <c r="JOM11" s="314" t="s">
        <v>203</v>
      </c>
      <c r="JON11" s="314" t="s">
        <v>203</v>
      </c>
      <c r="JOO11" s="314" t="s">
        <v>203</v>
      </c>
      <c r="JOP11" s="314" t="s">
        <v>203</v>
      </c>
      <c r="JOQ11" s="314" t="s">
        <v>203</v>
      </c>
      <c r="JOR11" s="314" t="s">
        <v>203</v>
      </c>
      <c r="JOS11" s="314" t="s">
        <v>203</v>
      </c>
      <c r="JOT11" s="314" t="s">
        <v>203</v>
      </c>
      <c r="JOU11" s="314" t="s">
        <v>203</v>
      </c>
      <c r="JOV11" s="314" t="s">
        <v>203</v>
      </c>
      <c r="JOW11" s="314" t="s">
        <v>203</v>
      </c>
      <c r="JOX11" s="314" t="s">
        <v>203</v>
      </c>
      <c r="JOY11" s="314" t="s">
        <v>203</v>
      </c>
      <c r="JOZ11" s="314" t="s">
        <v>203</v>
      </c>
      <c r="JPA11" s="314" t="s">
        <v>203</v>
      </c>
      <c r="JPB11" s="314" t="s">
        <v>203</v>
      </c>
      <c r="JPC11" s="314" t="s">
        <v>203</v>
      </c>
      <c r="JPD11" s="314" t="s">
        <v>203</v>
      </c>
      <c r="JPE11" s="314" t="s">
        <v>203</v>
      </c>
      <c r="JPF11" s="314" t="s">
        <v>203</v>
      </c>
      <c r="JPG11" s="314" t="s">
        <v>203</v>
      </c>
      <c r="JPH11" s="314" t="s">
        <v>203</v>
      </c>
      <c r="JPI11" s="314" t="s">
        <v>203</v>
      </c>
      <c r="JPJ11" s="314" t="s">
        <v>203</v>
      </c>
      <c r="JPK11" s="314" t="s">
        <v>203</v>
      </c>
      <c r="JPL11" s="314" t="s">
        <v>203</v>
      </c>
      <c r="JPM11" s="314" t="s">
        <v>203</v>
      </c>
      <c r="JPN11" s="314" t="s">
        <v>203</v>
      </c>
      <c r="JPO11" s="314" t="s">
        <v>203</v>
      </c>
      <c r="JPP11" s="314" t="s">
        <v>203</v>
      </c>
      <c r="JPQ11" s="314" t="s">
        <v>203</v>
      </c>
      <c r="JPR11" s="314" t="s">
        <v>203</v>
      </c>
      <c r="JPS11" s="314" t="s">
        <v>203</v>
      </c>
      <c r="JPT11" s="314" t="s">
        <v>203</v>
      </c>
      <c r="JPU11" s="314" t="s">
        <v>203</v>
      </c>
      <c r="JPV11" s="314" t="s">
        <v>203</v>
      </c>
      <c r="JPW11" s="314" t="s">
        <v>203</v>
      </c>
      <c r="JPX11" s="314" t="s">
        <v>203</v>
      </c>
      <c r="JPY11" s="314" t="s">
        <v>203</v>
      </c>
      <c r="JPZ11" s="314" t="s">
        <v>203</v>
      </c>
      <c r="JQA11" s="314" t="s">
        <v>203</v>
      </c>
      <c r="JQB11" s="314" t="s">
        <v>203</v>
      </c>
      <c r="JQC11" s="314" t="s">
        <v>203</v>
      </c>
      <c r="JQD11" s="314" t="s">
        <v>203</v>
      </c>
      <c r="JQE11" s="314" t="s">
        <v>203</v>
      </c>
      <c r="JQF11" s="314" t="s">
        <v>203</v>
      </c>
      <c r="JQG11" s="314" t="s">
        <v>203</v>
      </c>
      <c r="JQH11" s="314" t="s">
        <v>203</v>
      </c>
      <c r="JQI11" s="314" t="s">
        <v>203</v>
      </c>
      <c r="JQJ11" s="314" t="s">
        <v>203</v>
      </c>
      <c r="JQK11" s="314" t="s">
        <v>203</v>
      </c>
      <c r="JQL11" s="314" t="s">
        <v>203</v>
      </c>
      <c r="JQM11" s="314" t="s">
        <v>203</v>
      </c>
      <c r="JQN11" s="314" t="s">
        <v>203</v>
      </c>
      <c r="JQO11" s="314" t="s">
        <v>203</v>
      </c>
      <c r="JQP11" s="314" t="s">
        <v>203</v>
      </c>
      <c r="JQQ11" s="314" t="s">
        <v>203</v>
      </c>
      <c r="JQR11" s="314" t="s">
        <v>203</v>
      </c>
      <c r="JQS11" s="314" t="s">
        <v>203</v>
      </c>
      <c r="JQT11" s="314" t="s">
        <v>203</v>
      </c>
      <c r="JQU11" s="314" t="s">
        <v>203</v>
      </c>
      <c r="JQV11" s="314" t="s">
        <v>203</v>
      </c>
      <c r="JQW11" s="314" t="s">
        <v>203</v>
      </c>
      <c r="JQX11" s="314" t="s">
        <v>203</v>
      </c>
      <c r="JQY11" s="314" t="s">
        <v>203</v>
      </c>
      <c r="JQZ11" s="314" t="s">
        <v>203</v>
      </c>
      <c r="JRA11" s="314" t="s">
        <v>203</v>
      </c>
      <c r="JRB11" s="314" t="s">
        <v>203</v>
      </c>
      <c r="JRC11" s="314" t="s">
        <v>203</v>
      </c>
      <c r="JRD11" s="314" t="s">
        <v>203</v>
      </c>
      <c r="JRE11" s="314" t="s">
        <v>203</v>
      </c>
      <c r="JRF11" s="314" t="s">
        <v>203</v>
      </c>
      <c r="JRG11" s="314" t="s">
        <v>203</v>
      </c>
      <c r="JRH11" s="314" t="s">
        <v>203</v>
      </c>
      <c r="JRI11" s="314" t="s">
        <v>203</v>
      </c>
      <c r="JRJ11" s="314" t="s">
        <v>203</v>
      </c>
      <c r="JRK11" s="314" t="s">
        <v>203</v>
      </c>
      <c r="JRL11" s="314" t="s">
        <v>203</v>
      </c>
      <c r="JRM11" s="314" t="s">
        <v>203</v>
      </c>
      <c r="JRN11" s="314" t="s">
        <v>203</v>
      </c>
      <c r="JRO11" s="314" t="s">
        <v>203</v>
      </c>
      <c r="JRP11" s="314" t="s">
        <v>203</v>
      </c>
      <c r="JRQ11" s="314" t="s">
        <v>203</v>
      </c>
      <c r="JRR11" s="314" t="s">
        <v>203</v>
      </c>
      <c r="JRS11" s="314" t="s">
        <v>203</v>
      </c>
      <c r="JRT11" s="314" t="s">
        <v>203</v>
      </c>
      <c r="JRU11" s="314" t="s">
        <v>203</v>
      </c>
      <c r="JRV11" s="314" t="s">
        <v>203</v>
      </c>
      <c r="JRW11" s="314" t="s">
        <v>203</v>
      </c>
      <c r="JRX11" s="314" t="s">
        <v>203</v>
      </c>
      <c r="JRY11" s="314" t="s">
        <v>203</v>
      </c>
      <c r="JRZ11" s="314" t="s">
        <v>203</v>
      </c>
      <c r="JSA11" s="314" t="s">
        <v>203</v>
      </c>
      <c r="JSB11" s="314" t="s">
        <v>203</v>
      </c>
      <c r="JSC11" s="314" t="s">
        <v>203</v>
      </c>
      <c r="JSD11" s="314" t="s">
        <v>203</v>
      </c>
      <c r="JSE11" s="314" t="s">
        <v>203</v>
      </c>
      <c r="JSF11" s="314" t="s">
        <v>203</v>
      </c>
      <c r="JSG11" s="314" t="s">
        <v>203</v>
      </c>
      <c r="JSH11" s="314" t="s">
        <v>203</v>
      </c>
      <c r="JSI11" s="314" t="s">
        <v>203</v>
      </c>
      <c r="JSJ11" s="314" t="s">
        <v>203</v>
      </c>
      <c r="JSK11" s="314" t="s">
        <v>203</v>
      </c>
      <c r="JSL11" s="314" t="s">
        <v>203</v>
      </c>
      <c r="JSM11" s="314" t="s">
        <v>203</v>
      </c>
      <c r="JSN11" s="314" t="s">
        <v>203</v>
      </c>
      <c r="JSO11" s="314" t="s">
        <v>203</v>
      </c>
      <c r="JSP11" s="314" t="s">
        <v>203</v>
      </c>
      <c r="JSQ11" s="314" t="s">
        <v>203</v>
      </c>
      <c r="JSR11" s="314" t="s">
        <v>203</v>
      </c>
      <c r="JSS11" s="314" t="s">
        <v>203</v>
      </c>
      <c r="JST11" s="314" t="s">
        <v>203</v>
      </c>
      <c r="JSU11" s="314" t="s">
        <v>203</v>
      </c>
      <c r="JSV11" s="314" t="s">
        <v>203</v>
      </c>
      <c r="JSW11" s="314" t="s">
        <v>203</v>
      </c>
      <c r="JSX11" s="314" t="s">
        <v>203</v>
      </c>
      <c r="JSY11" s="314" t="s">
        <v>203</v>
      </c>
      <c r="JSZ11" s="314" t="s">
        <v>203</v>
      </c>
      <c r="JTA11" s="314" t="s">
        <v>203</v>
      </c>
      <c r="JTB11" s="314" t="s">
        <v>203</v>
      </c>
      <c r="JTC11" s="314" t="s">
        <v>203</v>
      </c>
      <c r="JTD11" s="314" t="s">
        <v>203</v>
      </c>
      <c r="JTE11" s="314" t="s">
        <v>203</v>
      </c>
      <c r="JTF11" s="314" t="s">
        <v>203</v>
      </c>
      <c r="JTG11" s="314" t="s">
        <v>203</v>
      </c>
      <c r="JTH11" s="314" t="s">
        <v>203</v>
      </c>
      <c r="JTI11" s="314" t="s">
        <v>203</v>
      </c>
      <c r="JTJ11" s="314" t="s">
        <v>203</v>
      </c>
      <c r="JTK11" s="314" t="s">
        <v>203</v>
      </c>
      <c r="JTL11" s="314" t="s">
        <v>203</v>
      </c>
      <c r="JTM11" s="314" t="s">
        <v>203</v>
      </c>
      <c r="JTN11" s="314" t="s">
        <v>203</v>
      </c>
      <c r="JTO11" s="314" t="s">
        <v>203</v>
      </c>
      <c r="JTP11" s="314" t="s">
        <v>203</v>
      </c>
      <c r="JTQ11" s="314" t="s">
        <v>203</v>
      </c>
      <c r="JTR11" s="314" t="s">
        <v>203</v>
      </c>
      <c r="JTS11" s="314" t="s">
        <v>203</v>
      </c>
      <c r="JTT11" s="314" t="s">
        <v>203</v>
      </c>
      <c r="JTU11" s="314" t="s">
        <v>203</v>
      </c>
      <c r="JTV11" s="314" t="s">
        <v>203</v>
      </c>
      <c r="JTW11" s="314" t="s">
        <v>203</v>
      </c>
      <c r="JTX11" s="314" t="s">
        <v>203</v>
      </c>
      <c r="JTY11" s="314" t="s">
        <v>203</v>
      </c>
      <c r="JTZ11" s="314" t="s">
        <v>203</v>
      </c>
      <c r="JUA11" s="314" t="s">
        <v>203</v>
      </c>
      <c r="JUB11" s="314" t="s">
        <v>203</v>
      </c>
      <c r="JUC11" s="314" t="s">
        <v>203</v>
      </c>
      <c r="JUD11" s="314" t="s">
        <v>203</v>
      </c>
      <c r="JUE11" s="314" t="s">
        <v>203</v>
      </c>
      <c r="JUF11" s="314" t="s">
        <v>203</v>
      </c>
      <c r="JUG11" s="314" t="s">
        <v>203</v>
      </c>
      <c r="JUH11" s="314" t="s">
        <v>203</v>
      </c>
      <c r="JUI11" s="314" t="s">
        <v>203</v>
      </c>
      <c r="JUJ11" s="314" t="s">
        <v>203</v>
      </c>
      <c r="JUK11" s="314" t="s">
        <v>203</v>
      </c>
      <c r="JUL11" s="314" t="s">
        <v>203</v>
      </c>
      <c r="JUM11" s="314" t="s">
        <v>203</v>
      </c>
      <c r="JUN11" s="314" t="s">
        <v>203</v>
      </c>
      <c r="JUO11" s="314" t="s">
        <v>203</v>
      </c>
      <c r="JUP11" s="314" t="s">
        <v>203</v>
      </c>
      <c r="JUQ11" s="314" t="s">
        <v>203</v>
      </c>
      <c r="JUR11" s="314" t="s">
        <v>203</v>
      </c>
      <c r="JUS11" s="314" t="s">
        <v>203</v>
      </c>
      <c r="JUT11" s="314" t="s">
        <v>203</v>
      </c>
      <c r="JUU11" s="314" t="s">
        <v>203</v>
      </c>
      <c r="JUV11" s="314" t="s">
        <v>203</v>
      </c>
      <c r="JUW11" s="314" t="s">
        <v>203</v>
      </c>
      <c r="JUX11" s="314" t="s">
        <v>203</v>
      </c>
      <c r="JUY11" s="314" t="s">
        <v>203</v>
      </c>
      <c r="JUZ11" s="314" t="s">
        <v>203</v>
      </c>
      <c r="JVA11" s="314" t="s">
        <v>203</v>
      </c>
      <c r="JVB11" s="314" t="s">
        <v>203</v>
      </c>
      <c r="JVC11" s="314" t="s">
        <v>203</v>
      </c>
      <c r="JVD11" s="314" t="s">
        <v>203</v>
      </c>
      <c r="JVE11" s="314" t="s">
        <v>203</v>
      </c>
      <c r="JVF11" s="314" t="s">
        <v>203</v>
      </c>
      <c r="JVG11" s="314" t="s">
        <v>203</v>
      </c>
      <c r="JVH11" s="314" t="s">
        <v>203</v>
      </c>
      <c r="JVI11" s="314" t="s">
        <v>203</v>
      </c>
      <c r="JVJ11" s="314" t="s">
        <v>203</v>
      </c>
      <c r="JVK11" s="314" t="s">
        <v>203</v>
      </c>
      <c r="JVL11" s="314" t="s">
        <v>203</v>
      </c>
      <c r="JVM11" s="314" t="s">
        <v>203</v>
      </c>
      <c r="JVN11" s="314" t="s">
        <v>203</v>
      </c>
      <c r="JVO11" s="314" t="s">
        <v>203</v>
      </c>
      <c r="JVP11" s="314" t="s">
        <v>203</v>
      </c>
      <c r="JVQ11" s="314" t="s">
        <v>203</v>
      </c>
      <c r="JVR11" s="314" t="s">
        <v>203</v>
      </c>
      <c r="JVS11" s="314" t="s">
        <v>203</v>
      </c>
      <c r="JVT11" s="314" t="s">
        <v>203</v>
      </c>
      <c r="JVU11" s="314" t="s">
        <v>203</v>
      </c>
      <c r="JVV11" s="314" t="s">
        <v>203</v>
      </c>
      <c r="JVW11" s="314" t="s">
        <v>203</v>
      </c>
      <c r="JVX11" s="314" t="s">
        <v>203</v>
      </c>
      <c r="JVY11" s="314" t="s">
        <v>203</v>
      </c>
      <c r="JVZ11" s="314" t="s">
        <v>203</v>
      </c>
      <c r="JWA11" s="314" t="s">
        <v>203</v>
      </c>
      <c r="JWB11" s="314" t="s">
        <v>203</v>
      </c>
      <c r="JWC11" s="314" t="s">
        <v>203</v>
      </c>
      <c r="JWD11" s="314" t="s">
        <v>203</v>
      </c>
      <c r="JWE11" s="314" t="s">
        <v>203</v>
      </c>
      <c r="JWF11" s="314" t="s">
        <v>203</v>
      </c>
      <c r="JWG11" s="314" t="s">
        <v>203</v>
      </c>
      <c r="JWH11" s="314" t="s">
        <v>203</v>
      </c>
      <c r="JWI11" s="314" t="s">
        <v>203</v>
      </c>
      <c r="JWJ11" s="314" t="s">
        <v>203</v>
      </c>
      <c r="JWK11" s="314" t="s">
        <v>203</v>
      </c>
      <c r="JWL11" s="314" t="s">
        <v>203</v>
      </c>
      <c r="JWM11" s="314" t="s">
        <v>203</v>
      </c>
      <c r="JWN11" s="314" t="s">
        <v>203</v>
      </c>
      <c r="JWO11" s="314" t="s">
        <v>203</v>
      </c>
      <c r="JWP11" s="314" t="s">
        <v>203</v>
      </c>
      <c r="JWQ11" s="314" t="s">
        <v>203</v>
      </c>
      <c r="JWR11" s="314" t="s">
        <v>203</v>
      </c>
      <c r="JWS11" s="314" t="s">
        <v>203</v>
      </c>
      <c r="JWT11" s="314" t="s">
        <v>203</v>
      </c>
      <c r="JWU11" s="314" t="s">
        <v>203</v>
      </c>
      <c r="JWV11" s="314" t="s">
        <v>203</v>
      </c>
      <c r="JWW11" s="314" t="s">
        <v>203</v>
      </c>
      <c r="JWX11" s="314" t="s">
        <v>203</v>
      </c>
      <c r="JWY11" s="314" t="s">
        <v>203</v>
      </c>
      <c r="JWZ11" s="314" t="s">
        <v>203</v>
      </c>
      <c r="JXA11" s="314" t="s">
        <v>203</v>
      </c>
      <c r="JXB11" s="314" t="s">
        <v>203</v>
      </c>
      <c r="JXC11" s="314" t="s">
        <v>203</v>
      </c>
      <c r="JXD11" s="314" t="s">
        <v>203</v>
      </c>
      <c r="JXE11" s="314" t="s">
        <v>203</v>
      </c>
      <c r="JXF11" s="314" t="s">
        <v>203</v>
      </c>
      <c r="JXG11" s="314" t="s">
        <v>203</v>
      </c>
      <c r="JXH11" s="314" t="s">
        <v>203</v>
      </c>
      <c r="JXI11" s="314" t="s">
        <v>203</v>
      </c>
      <c r="JXJ11" s="314" t="s">
        <v>203</v>
      </c>
      <c r="JXK11" s="314" t="s">
        <v>203</v>
      </c>
      <c r="JXL11" s="314" t="s">
        <v>203</v>
      </c>
      <c r="JXM11" s="314" t="s">
        <v>203</v>
      </c>
      <c r="JXN11" s="314" t="s">
        <v>203</v>
      </c>
      <c r="JXO11" s="314" t="s">
        <v>203</v>
      </c>
      <c r="JXP11" s="314" t="s">
        <v>203</v>
      </c>
      <c r="JXQ11" s="314" t="s">
        <v>203</v>
      </c>
      <c r="JXR11" s="314" t="s">
        <v>203</v>
      </c>
      <c r="JXS11" s="314" t="s">
        <v>203</v>
      </c>
      <c r="JXT11" s="314" t="s">
        <v>203</v>
      </c>
      <c r="JXU11" s="314" t="s">
        <v>203</v>
      </c>
      <c r="JXV11" s="314" t="s">
        <v>203</v>
      </c>
      <c r="JXW11" s="314" t="s">
        <v>203</v>
      </c>
      <c r="JXX11" s="314" t="s">
        <v>203</v>
      </c>
      <c r="JXY11" s="314" t="s">
        <v>203</v>
      </c>
      <c r="JXZ11" s="314" t="s">
        <v>203</v>
      </c>
      <c r="JYA11" s="314" t="s">
        <v>203</v>
      </c>
      <c r="JYB11" s="314" t="s">
        <v>203</v>
      </c>
      <c r="JYC11" s="314" t="s">
        <v>203</v>
      </c>
      <c r="JYD11" s="314" t="s">
        <v>203</v>
      </c>
      <c r="JYE11" s="314" t="s">
        <v>203</v>
      </c>
      <c r="JYF11" s="314" t="s">
        <v>203</v>
      </c>
      <c r="JYG11" s="314" t="s">
        <v>203</v>
      </c>
      <c r="JYH11" s="314" t="s">
        <v>203</v>
      </c>
      <c r="JYI11" s="314" t="s">
        <v>203</v>
      </c>
      <c r="JYJ11" s="314" t="s">
        <v>203</v>
      </c>
      <c r="JYK11" s="314" t="s">
        <v>203</v>
      </c>
      <c r="JYL11" s="314" t="s">
        <v>203</v>
      </c>
      <c r="JYM11" s="314" t="s">
        <v>203</v>
      </c>
      <c r="JYN11" s="314" t="s">
        <v>203</v>
      </c>
      <c r="JYO11" s="314" t="s">
        <v>203</v>
      </c>
      <c r="JYP11" s="314" t="s">
        <v>203</v>
      </c>
      <c r="JYQ11" s="314" t="s">
        <v>203</v>
      </c>
      <c r="JYR11" s="314" t="s">
        <v>203</v>
      </c>
      <c r="JYS11" s="314" t="s">
        <v>203</v>
      </c>
      <c r="JYT11" s="314" t="s">
        <v>203</v>
      </c>
      <c r="JYU11" s="314" t="s">
        <v>203</v>
      </c>
      <c r="JYV11" s="314" t="s">
        <v>203</v>
      </c>
      <c r="JYW11" s="314" t="s">
        <v>203</v>
      </c>
      <c r="JYX11" s="314" t="s">
        <v>203</v>
      </c>
      <c r="JYY11" s="314" t="s">
        <v>203</v>
      </c>
      <c r="JYZ11" s="314" t="s">
        <v>203</v>
      </c>
      <c r="JZA11" s="314" t="s">
        <v>203</v>
      </c>
      <c r="JZB11" s="314" t="s">
        <v>203</v>
      </c>
      <c r="JZC11" s="314" t="s">
        <v>203</v>
      </c>
      <c r="JZD11" s="314" t="s">
        <v>203</v>
      </c>
      <c r="JZE11" s="314" t="s">
        <v>203</v>
      </c>
      <c r="JZF11" s="314" t="s">
        <v>203</v>
      </c>
      <c r="JZG11" s="314" t="s">
        <v>203</v>
      </c>
      <c r="JZH11" s="314" t="s">
        <v>203</v>
      </c>
      <c r="JZI11" s="314" t="s">
        <v>203</v>
      </c>
      <c r="JZJ11" s="314" t="s">
        <v>203</v>
      </c>
      <c r="JZK11" s="314" t="s">
        <v>203</v>
      </c>
      <c r="JZL11" s="314" t="s">
        <v>203</v>
      </c>
      <c r="JZM11" s="314" t="s">
        <v>203</v>
      </c>
      <c r="JZN11" s="314" t="s">
        <v>203</v>
      </c>
      <c r="JZO11" s="314" t="s">
        <v>203</v>
      </c>
      <c r="JZP11" s="314" t="s">
        <v>203</v>
      </c>
      <c r="JZQ11" s="314" t="s">
        <v>203</v>
      </c>
      <c r="JZR11" s="314" t="s">
        <v>203</v>
      </c>
      <c r="JZS11" s="314" t="s">
        <v>203</v>
      </c>
      <c r="JZT11" s="314" t="s">
        <v>203</v>
      </c>
      <c r="JZU11" s="314" t="s">
        <v>203</v>
      </c>
      <c r="JZV11" s="314" t="s">
        <v>203</v>
      </c>
      <c r="JZW11" s="314" t="s">
        <v>203</v>
      </c>
      <c r="JZX11" s="314" t="s">
        <v>203</v>
      </c>
      <c r="JZY11" s="314" t="s">
        <v>203</v>
      </c>
      <c r="JZZ11" s="314" t="s">
        <v>203</v>
      </c>
      <c r="KAA11" s="314" t="s">
        <v>203</v>
      </c>
      <c r="KAB11" s="314" t="s">
        <v>203</v>
      </c>
      <c r="KAC11" s="314" t="s">
        <v>203</v>
      </c>
      <c r="KAD11" s="314" t="s">
        <v>203</v>
      </c>
      <c r="KAE11" s="314" t="s">
        <v>203</v>
      </c>
      <c r="KAF11" s="314" t="s">
        <v>203</v>
      </c>
      <c r="KAG11" s="314" t="s">
        <v>203</v>
      </c>
      <c r="KAH11" s="314" t="s">
        <v>203</v>
      </c>
      <c r="KAI11" s="314" t="s">
        <v>203</v>
      </c>
      <c r="KAJ11" s="314" t="s">
        <v>203</v>
      </c>
      <c r="KAK11" s="314" t="s">
        <v>203</v>
      </c>
      <c r="KAL11" s="314" t="s">
        <v>203</v>
      </c>
      <c r="KAM11" s="314" t="s">
        <v>203</v>
      </c>
      <c r="KAN11" s="314" t="s">
        <v>203</v>
      </c>
      <c r="KAO11" s="314" t="s">
        <v>203</v>
      </c>
      <c r="KAP11" s="314" t="s">
        <v>203</v>
      </c>
      <c r="KAQ11" s="314" t="s">
        <v>203</v>
      </c>
      <c r="KAR11" s="314" t="s">
        <v>203</v>
      </c>
      <c r="KAS11" s="314" t="s">
        <v>203</v>
      </c>
      <c r="KAT11" s="314" t="s">
        <v>203</v>
      </c>
      <c r="KAU11" s="314" t="s">
        <v>203</v>
      </c>
      <c r="KAV11" s="314" t="s">
        <v>203</v>
      </c>
      <c r="KAW11" s="314" t="s">
        <v>203</v>
      </c>
      <c r="KAX11" s="314" t="s">
        <v>203</v>
      </c>
      <c r="KAY11" s="314" t="s">
        <v>203</v>
      </c>
      <c r="KAZ11" s="314" t="s">
        <v>203</v>
      </c>
      <c r="KBA11" s="314" t="s">
        <v>203</v>
      </c>
      <c r="KBB11" s="314" t="s">
        <v>203</v>
      </c>
      <c r="KBC11" s="314" t="s">
        <v>203</v>
      </c>
      <c r="KBD11" s="314" t="s">
        <v>203</v>
      </c>
      <c r="KBE11" s="314" t="s">
        <v>203</v>
      </c>
      <c r="KBF11" s="314" t="s">
        <v>203</v>
      </c>
      <c r="KBG11" s="314" t="s">
        <v>203</v>
      </c>
      <c r="KBH11" s="314" t="s">
        <v>203</v>
      </c>
      <c r="KBI11" s="314" t="s">
        <v>203</v>
      </c>
      <c r="KBJ11" s="314" t="s">
        <v>203</v>
      </c>
      <c r="KBK11" s="314" t="s">
        <v>203</v>
      </c>
      <c r="KBL11" s="314" t="s">
        <v>203</v>
      </c>
      <c r="KBM11" s="314" t="s">
        <v>203</v>
      </c>
      <c r="KBN11" s="314" t="s">
        <v>203</v>
      </c>
      <c r="KBO11" s="314" t="s">
        <v>203</v>
      </c>
      <c r="KBP11" s="314" t="s">
        <v>203</v>
      </c>
      <c r="KBQ11" s="314" t="s">
        <v>203</v>
      </c>
      <c r="KBR11" s="314" t="s">
        <v>203</v>
      </c>
      <c r="KBS11" s="314" t="s">
        <v>203</v>
      </c>
      <c r="KBT11" s="314" t="s">
        <v>203</v>
      </c>
      <c r="KBU11" s="314" t="s">
        <v>203</v>
      </c>
      <c r="KBV11" s="314" t="s">
        <v>203</v>
      </c>
      <c r="KBW11" s="314" t="s">
        <v>203</v>
      </c>
      <c r="KBX11" s="314" t="s">
        <v>203</v>
      </c>
      <c r="KBY11" s="314" t="s">
        <v>203</v>
      </c>
      <c r="KBZ11" s="314" t="s">
        <v>203</v>
      </c>
      <c r="KCA11" s="314" t="s">
        <v>203</v>
      </c>
      <c r="KCB11" s="314" t="s">
        <v>203</v>
      </c>
      <c r="KCC11" s="314" t="s">
        <v>203</v>
      </c>
      <c r="KCD11" s="314" t="s">
        <v>203</v>
      </c>
      <c r="KCE11" s="314" t="s">
        <v>203</v>
      </c>
      <c r="KCF11" s="314" t="s">
        <v>203</v>
      </c>
      <c r="KCG11" s="314" t="s">
        <v>203</v>
      </c>
      <c r="KCH11" s="314" t="s">
        <v>203</v>
      </c>
      <c r="KCI11" s="314" t="s">
        <v>203</v>
      </c>
      <c r="KCJ11" s="314" t="s">
        <v>203</v>
      </c>
      <c r="KCK11" s="314" t="s">
        <v>203</v>
      </c>
      <c r="KCL11" s="314" t="s">
        <v>203</v>
      </c>
      <c r="KCM11" s="314" t="s">
        <v>203</v>
      </c>
      <c r="KCN11" s="314" t="s">
        <v>203</v>
      </c>
      <c r="KCO11" s="314" t="s">
        <v>203</v>
      </c>
      <c r="KCP11" s="314" t="s">
        <v>203</v>
      </c>
      <c r="KCQ11" s="314" t="s">
        <v>203</v>
      </c>
      <c r="KCR11" s="314" t="s">
        <v>203</v>
      </c>
      <c r="KCS11" s="314" t="s">
        <v>203</v>
      </c>
      <c r="KCT11" s="314" t="s">
        <v>203</v>
      </c>
      <c r="KCU11" s="314" t="s">
        <v>203</v>
      </c>
      <c r="KCV11" s="314" t="s">
        <v>203</v>
      </c>
      <c r="KCW11" s="314" t="s">
        <v>203</v>
      </c>
      <c r="KCX11" s="314" t="s">
        <v>203</v>
      </c>
      <c r="KCY11" s="314" t="s">
        <v>203</v>
      </c>
      <c r="KCZ11" s="314" t="s">
        <v>203</v>
      </c>
      <c r="KDA11" s="314" t="s">
        <v>203</v>
      </c>
      <c r="KDB11" s="314" t="s">
        <v>203</v>
      </c>
      <c r="KDC11" s="314" t="s">
        <v>203</v>
      </c>
      <c r="KDD11" s="314" t="s">
        <v>203</v>
      </c>
      <c r="KDE11" s="314" t="s">
        <v>203</v>
      </c>
      <c r="KDF11" s="314" t="s">
        <v>203</v>
      </c>
      <c r="KDG11" s="314" t="s">
        <v>203</v>
      </c>
      <c r="KDH11" s="314" t="s">
        <v>203</v>
      </c>
      <c r="KDI11" s="314" t="s">
        <v>203</v>
      </c>
      <c r="KDJ11" s="314" t="s">
        <v>203</v>
      </c>
      <c r="KDK11" s="314" t="s">
        <v>203</v>
      </c>
      <c r="KDL11" s="314" t="s">
        <v>203</v>
      </c>
      <c r="KDM11" s="314" t="s">
        <v>203</v>
      </c>
      <c r="KDN11" s="314" t="s">
        <v>203</v>
      </c>
      <c r="KDO11" s="314" t="s">
        <v>203</v>
      </c>
      <c r="KDP11" s="314" t="s">
        <v>203</v>
      </c>
      <c r="KDQ11" s="314" t="s">
        <v>203</v>
      </c>
      <c r="KDR11" s="314" t="s">
        <v>203</v>
      </c>
      <c r="KDS11" s="314" t="s">
        <v>203</v>
      </c>
      <c r="KDT11" s="314" t="s">
        <v>203</v>
      </c>
      <c r="KDU11" s="314" t="s">
        <v>203</v>
      </c>
      <c r="KDV11" s="314" t="s">
        <v>203</v>
      </c>
      <c r="KDW11" s="314" t="s">
        <v>203</v>
      </c>
      <c r="KDX11" s="314" t="s">
        <v>203</v>
      </c>
      <c r="KDY11" s="314" t="s">
        <v>203</v>
      </c>
      <c r="KDZ11" s="314" t="s">
        <v>203</v>
      </c>
      <c r="KEA11" s="314" t="s">
        <v>203</v>
      </c>
      <c r="KEB11" s="314" t="s">
        <v>203</v>
      </c>
      <c r="KEC11" s="314" t="s">
        <v>203</v>
      </c>
      <c r="KED11" s="314" t="s">
        <v>203</v>
      </c>
      <c r="KEE11" s="314" t="s">
        <v>203</v>
      </c>
      <c r="KEF11" s="314" t="s">
        <v>203</v>
      </c>
      <c r="KEG11" s="314" t="s">
        <v>203</v>
      </c>
      <c r="KEH11" s="314" t="s">
        <v>203</v>
      </c>
      <c r="KEI11" s="314" t="s">
        <v>203</v>
      </c>
      <c r="KEJ11" s="314" t="s">
        <v>203</v>
      </c>
      <c r="KEK11" s="314" t="s">
        <v>203</v>
      </c>
      <c r="KEL11" s="314" t="s">
        <v>203</v>
      </c>
      <c r="KEM11" s="314" t="s">
        <v>203</v>
      </c>
      <c r="KEN11" s="314" t="s">
        <v>203</v>
      </c>
      <c r="KEO11" s="314" t="s">
        <v>203</v>
      </c>
      <c r="KEP11" s="314" t="s">
        <v>203</v>
      </c>
      <c r="KEQ11" s="314" t="s">
        <v>203</v>
      </c>
      <c r="KER11" s="314" t="s">
        <v>203</v>
      </c>
      <c r="KES11" s="314" t="s">
        <v>203</v>
      </c>
      <c r="KET11" s="314" t="s">
        <v>203</v>
      </c>
      <c r="KEU11" s="314" t="s">
        <v>203</v>
      </c>
      <c r="KEV11" s="314" t="s">
        <v>203</v>
      </c>
      <c r="KEW11" s="314" t="s">
        <v>203</v>
      </c>
      <c r="KEX11" s="314" t="s">
        <v>203</v>
      </c>
      <c r="KEY11" s="314" t="s">
        <v>203</v>
      </c>
      <c r="KEZ11" s="314" t="s">
        <v>203</v>
      </c>
      <c r="KFA11" s="314" t="s">
        <v>203</v>
      </c>
      <c r="KFB11" s="314" t="s">
        <v>203</v>
      </c>
      <c r="KFC11" s="314" t="s">
        <v>203</v>
      </c>
      <c r="KFD11" s="314" t="s">
        <v>203</v>
      </c>
      <c r="KFE11" s="314" t="s">
        <v>203</v>
      </c>
      <c r="KFF11" s="314" t="s">
        <v>203</v>
      </c>
      <c r="KFG11" s="314" t="s">
        <v>203</v>
      </c>
      <c r="KFH11" s="314" t="s">
        <v>203</v>
      </c>
      <c r="KFI11" s="314" t="s">
        <v>203</v>
      </c>
      <c r="KFJ11" s="314" t="s">
        <v>203</v>
      </c>
      <c r="KFK11" s="314" t="s">
        <v>203</v>
      </c>
      <c r="KFL11" s="314" t="s">
        <v>203</v>
      </c>
      <c r="KFM11" s="314" t="s">
        <v>203</v>
      </c>
      <c r="KFN11" s="314" t="s">
        <v>203</v>
      </c>
      <c r="KFO11" s="314" t="s">
        <v>203</v>
      </c>
      <c r="KFP11" s="314" t="s">
        <v>203</v>
      </c>
      <c r="KFQ11" s="314" t="s">
        <v>203</v>
      </c>
      <c r="KFR11" s="314" t="s">
        <v>203</v>
      </c>
      <c r="KFS11" s="314" t="s">
        <v>203</v>
      </c>
      <c r="KFT11" s="314" t="s">
        <v>203</v>
      </c>
      <c r="KFU11" s="314" t="s">
        <v>203</v>
      </c>
      <c r="KFV11" s="314" t="s">
        <v>203</v>
      </c>
      <c r="KFW11" s="314" t="s">
        <v>203</v>
      </c>
      <c r="KFX11" s="314" t="s">
        <v>203</v>
      </c>
      <c r="KFY11" s="314" t="s">
        <v>203</v>
      </c>
      <c r="KFZ11" s="314" t="s">
        <v>203</v>
      </c>
      <c r="KGA11" s="314" t="s">
        <v>203</v>
      </c>
      <c r="KGB11" s="314" t="s">
        <v>203</v>
      </c>
      <c r="KGC11" s="314" t="s">
        <v>203</v>
      </c>
      <c r="KGD11" s="314" t="s">
        <v>203</v>
      </c>
      <c r="KGE11" s="314" t="s">
        <v>203</v>
      </c>
      <c r="KGF11" s="314" t="s">
        <v>203</v>
      </c>
      <c r="KGG11" s="314" t="s">
        <v>203</v>
      </c>
      <c r="KGH11" s="314" t="s">
        <v>203</v>
      </c>
      <c r="KGI11" s="314" t="s">
        <v>203</v>
      </c>
      <c r="KGJ11" s="314" t="s">
        <v>203</v>
      </c>
      <c r="KGK11" s="314" t="s">
        <v>203</v>
      </c>
      <c r="KGL11" s="314" t="s">
        <v>203</v>
      </c>
      <c r="KGM11" s="314" t="s">
        <v>203</v>
      </c>
      <c r="KGN11" s="314" t="s">
        <v>203</v>
      </c>
      <c r="KGO11" s="314" t="s">
        <v>203</v>
      </c>
      <c r="KGP11" s="314" t="s">
        <v>203</v>
      </c>
      <c r="KGQ11" s="314" t="s">
        <v>203</v>
      </c>
      <c r="KGR11" s="314" t="s">
        <v>203</v>
      </c>
      <c r="KGS11" s="314" t="s">
        <v>203</v>
      </c>
      <c r="KGT11" s="314" t="s">
        <v>203</v>
      </c>
      <c r="KGU11" s="314" t="s">
        <v>203</v>
      </c>
      <c r="KGV11" s="314" t="s">
        <v>203</v>
      </c>
      <c r="KGW11" s="314" t="s">
        <v>203</v>
      </c>
      <c r="KGX11" s="314" t="s">
        <v>203</v>
      </c>
      <c r="KGY11" s="314" t="s">
        <v>203</v>
      </c>
      <c r="KGZ11" s="314" t="s">
        <v>203</v>
      </c>
      <c r="KHA11" s="314" t="s">
        <v>203</v>
      </c>
      <c r="KHB11" s="314" t="s">
        <v>203</v>
      </c>
      <c r="KHC11" s="314" t="s">
        <v>203</v>
      </c>
      <c r="KHD11" s="314" t="s">
        <v>203</v>
      </c>
      <c r="KHE11" s="314" t="s">
        <v>203</v>
      </c>
      <c r="KHF11" s="314" t="s">
        <v>203</v>
      </c>
      <c r="KHG11" s="314" t="s">
        <v>203</v>
      </c>
      <c r="KHH11" s="314" t="s">
        <v>203</v>
      </c>
      <c r="KHI11" s="314" t="s">
        <v>203</v>
      </c>
      <c r="KHJ11" s="314" t="s">
        <v>203</v>
      </c>
      <c r="KHK11" s="314" t="s">
        <v>203</v>
      </c>
      <c r="KHL11" s="314" t="s">
        <v>203</v>
      </c>
      <c r="KHM11" s="314" t="s">
        <v>203</v>
      </c>
      <c r="KHN11" s="314" t="s">
        <v>203</v>
      </c>
      <c r="KHO11" s="314" t="s">
        <v>203</v>
      </c>
      <c r="KHP11" s="314" t="s">
        <v>203</v>
      </c>
      <c r="KHQ11" s="314" t="s">
        <v>203</v>
      </c>
      <c r="KHR11" s="314" t="s">
        <v>203</v>
      </c>
      <c r="KHS11" s="314" t="s">
        <v>203</v>
      </c>
      <c r="KHT11" s="314" t="s">
        <v>203</v>
      </c>
      <c r="KHU11" s="314" t="s">
        <v>203</v>
      </c>
      <c r="KHV11" s="314" t="s">
        <v>203</v>
      </c>
      <c r="KHW11" s="314" t="s">
        <v>203</v>
      </c>
      <c r="KHX11" s="314" t="s">
        <v>203</v>
      </c>
      <c r="KHY11" s="314" t="s">
        <v>203</v>
      </c>
      <c r="KHZ11" s="314" t="s">
        <v>203</v>
      </c>
      <c r="KIA11" s="314" t="s">
        <v>203</v>
      </c>
      <c r="KIB11" s="314" t="s">
        <v>203</v>
      </c>
      <c r="KIC11" s="314" t="s">
        <v>203</v>
      </c>
      <c r="KID11" s="314" t="s">
        <v>203</v>
      </c>
      <c r="KIE11" s="314" t="s">
        <v>203</v>
      </c>
      <c r="KIF11" s="314" t="s">
        <v>203</v>
      </c>
      <c r="KIG11" s="314" t="s">
        <v>203</v>
      </c>
      <c r="KIH11" s="314" t="s">
        <v>203</v>
      </c>
      <c r="KII11" s="314" t="s">
        <v>203</v>
      </c>
      <c r="KIJ11" s="314" t="s">
        <v>203</v>
      </c>
      <c r="KIK11" s="314" t="s">
        <v>203</v>
      </c>
      <c r="KIL11" s="314" t="s">
        <v>203</v>
      </c>
      <c r="KIM11" s="314" t="s">
        <v>203</v>
      </c>
      <c r="KIN11" s="314" t="s">
        <v>203</v>
      </c>
      <c r="KIO11" s="314" t="s">
        <v>203</v>
      </c>
      <c r="KIP11" s="314" t="s">
        <v>203</v>
      </c>
      <c r="KIQ11" s="314" t="s">
        <v>203</v>
      </c>
      <c r="KIR11" s="314" t="s">
        <v>203</v>
      </c>
      <c r="KIS11" s="314" t="s">
        <v>203</v>
      </c>
      <c r="KIT11" s="314" t="s">
        <v>203</v>
      </c>
      <c r="KIU11" s="314" t="s">
        <v>203</v>
      </c>
      <c r="KIV11" s="314" t="s">
        <v>203</v>
      </c>
      <c r="KIW11" s="314" t="s">
        <v>203</v>
      </c>
      <c r="KIX11" s="314" t="s">
        <v>203</v>
      </c>
      <c r="KIY11" s="314" t="s">
        <v>203</v>
      </c>
      <c r="KIZ11" s="314" t="s">
        <v>203</v>
      </c>
      <c r="KJA11" s="314" t="s">
        <v>203</v>
      </c>
      <c r="KJB11" s="314" t="s">
        <v>203</v>
      </c>
      <c r="KJC11" s="314" t="s">
        <v>203</v>
      </c>
      <c r="KJD11" s="314" t="s">
        <v>203</v>
      </c>
      <c r="KJE11" s="314" t="s">
        <v>203</v>
      </c>
      <c r="KJF11" s="314" t="s">
        <v>203</v>
      </c>
      <c r="KJG11" s="314" t="s">
        <v>203</v>
      </c>
      <c r="KJH11" s="314" t="s">
        <v>203</v>
      </c>
      <c r="KJI11" s="314" t="s">
        <v>203</v>
      </c>
      <c r="KJJ11" s="314" t="s">
        <v>203</v>
      </c>
      <c r="KJK11" s="314" t="s">
        <v>203</v>
      </c>
      <c r="KJL11" s="314" t="s">
        <v>203</v>
      </c>
      <c r="KJM11" s="314" t="s">
        <v>203</v>
      </c>
      <c r="KJN11" s="314" t="s">
        <v>203</v>
      </c>
      <c r="KJO11" s="314" t="s">
        <v>203</v>
      </c>
      <c r="KJP11" s="314" t="s">
        <v>203</v>
      </c>
      <c r="KJQ11" s="314" t="s">
        <v>203</v>
      </c>
      <c r="KJR11" s="314" t="s">
        <v>203</v>
      </c>
      <c r="KJS11" s="314" t="s">
        <v>203</v>
      </c>
      <c r="KJT11" s="314" t="s">
        <v>203</v>
      </c>
      <c r="KJU11" s="314" t="s">
        <v>203</v>
      </c>
      <c r="KJV11" s="314" t="s">
        <v>203</v>
      </c>
      <c r="KJW11" s="314" t="s">
        <v>203</v>
      </c>
      <c r="KJX11" s="314" t="s">
        <v>203</v>
      </c>
      <c r="KJY11" s="314" t="s">
        <v>203</v>
      </c>
      <c r="KJZ11" s="314" t="s">
        <v>203</v>
      </c>
      <c r="KKA11" s="314" t="s">
        <v>203</v>
      </c>
      <c r="KKB11" s="314" t="s">
        <v>203</v>
      </c>
      <c r="KKC11" s="314" t="s">
        <v>203</v>
      </c>
      <c r="KKD11" s="314" t="s">
        <v>203</v>
      </c>
      <c r="KKE11" s="314" t="s">
        <v>203</v>
      </c>
      <c r="KKF11" s="314" t="s">
        <v>203</v>
      </c>
      <c r="KKG11" s="314" t="s">
        <v>203</v>
      </c>
      <c r="KKH11" s="314" t="s">
        <v>203</v>
      </c>
      <c r="KKI11" s="314" t="s">
        <v>203</v>
      </c>
      <c r="KKJ11" s="314" t="s">
        <v>203</v>
      </c>
      <c r="KKK11" s="314" t="s">
        <v>203</v>
      </c>
      <c r="KKL11" s="314" t="s">
        <v>203</v>
      </c>
      <c r="KKM11" s="314" t="s">
        <v>203</v>
      </c>
      <c r="KKN11" s="314" t="s">
        <v>203</v>
      </c>
      <c r="KKO11" s="314" t="s">
        <v>203</v>
      </c>
      <c r="KKP11" s="314" t="s">
        <v>203</v>
      </c>
      <c r="KKQ11" s="314" t="s">
        <v>203</v>
      </c>
      <c r="KKR11" s="314" t="s">
        <v>203</v>
      </c>
      <c r="KKS11" s="314" t="s">
        <v>203</v>
      </c>
      <c r="KKT11" s="314" t="s">
        <v>203</v>
      </c>
      <c r="KKU11" s="314" t="s">
        <v>203</v>
      </c>
      <c r="KKV11" s="314" t="s">
        <v>203</v>
      </c>
      <c r="KKW11" s="314" t="s">
        <v>203</v>
      </c>
      <c r="KKX11" s="314" t="s">
        <v>203</v>
      </c>
      <c r="KKY11" s="314" t="s">
        <v>203</v>
      </c>
      <c r="KKZ11" s="314" t="s">
        <v>203</v>
      </c>
      <c r="KLA11" s="314" t="s">
        <v>203</v>
      </c>
      <c r="KLB11" s="314" t="s">
        <v>203</v>
      </c>
      <c r="KLC11" s="314" t="s">
        <v>203</v>
      </c>
      <c r="KLD11" s="314" t="s">
        <v>203</v>
      </c>
      <c r="KLE11" s="314" t="s">
        <v>203</v>
      </c>
      <c r="KLF11" s="314" t="s">
        <v>203</v>
      </c>
      <c r="KLG11" s="314" t="s">
        <v>203</v>
      </c>
      <c r="KLH11" s="314" t="s">
        <v>203</v>
      </c>
      <c r="KLI11" s="314" t="s">
        <v>203</v>
      </c>
      <c r="KLJ11" s="314" t="s">
        <v>203</v>
      </c>
      <c r="KLK11" s="314" t="s">
        <v>203</v>
      </c>
      <c r="KLL11" s="314" t="s">
        <v>203</v>
      </c>
      <c r="KLM11" s="314" t="s">
        <v>203</v>
      </c>
      <c r="KLN11" s="314" t="s">
        <v>203</v>
      </c>
      <c r="KLO11" s="314" t="s">
        <v>203</v>
      </c>
      <c r="KLP11" s="314" t="s">
        <v>203</v>
      </c>
      <c r="KLQ11" s="314" t="s">
        <v>203</v>
      </c>
      <c r="KLR11" s="314" t="s">
        <v>203</v>
      </c>
      <c r="KLS11" s="314" t="s">
        <v>203</v>
      </c>
      <c r="KLT11" s="314" t="s">
        <v>203</v>
      </c>
      <c r="KLU11" s="314" t="s">
        <v>203</v>
      </c>
      <c r="KLV11" s="314" t="s">
        <v>203</v>
      </c>
      <c r="KLW11" s="314" t="s">
        <v>203</v>
      </c>
      <c r="KLX11" s="314" t="s">
        <v>203</v>
      </c>
      <c r="KLY11" s="314" t="s">
        <v>203</v>
      </c>
      <c r="KLZ11" s="314" t="s">
        <v>203</v>
      </c>
      <c r="KMA11" s="314" t="s">
        <v>203</v>
      </c>
      <c r="KMB11" s="314" t="s">
        <v>203</v>
      </c>
      <c r="KMC11" s="314" t="s">
        <v>203</v>
      </c>
      <c r="KMD11" s="314" t="s">
        <v>203</v>
      </c>
      <c r="KME11" s="314" t="s">
        <v>203</v>
      </c>
      <c r="KMF11" s="314" t="s">
        <v>203</v>
      </c>
      <c r="KMG11" s="314" t="s">
        <v>203</v>
      </c>
      <c r="KMH11" s="314" t="s">
        <v>203</v>
      </c>
      <c r="KMI11" s="314" t="s">
        <v>203</v>
      </c>
      <c r="KMJ11" s="314" t="s">
        <v>203</v>
      </c>
      <c r="KMK11" s="314" t="s">
        <v>203</v>
      </c>
      <c r="KML11" s="314" t="s">
        <v>203</v>
      </c>
      <c r="KMM11" s="314" t="s">
        <v>203</v>
      </c>
      <c r="KMN11" s="314" t="s">
        <v>203</v>
      </c>
      <c r="KMO11" s="314" t="s">
        <v>203</v>
      </c>
      <c r="KMP11" s="314" t="s">
        <v>203</v>
      </c>
      <c r="KMQ11" s="314" t="s">
        <v>203</v>
      </c>
      <c r="KMR11" s="314" t="s">
        <v>203</v>
      </c>
      <c r="KMS11" s="314" t="s">
        <v>203</v>
      </c>
      <c r="KMT11" s="314" t="s">
        <v>203</v>
      </c>
      <c r="KMU11" s="314" t="s">
        <v>203</v>
      </c>
      <c r="KMV11" s="314" t="s">
        <v>203</v>
      </c>
      <c r="KMW11" s="314" t="s">
        <v>203</v>
      </c>
      <c r="KMX11" s="314" t="s">
        <v>203</v>
      </c>
      <c r="KMY11" s="314" t="s">
        <v>203</v>
      </c>
      <c r="KMZ11" s="314" t="s">
        <v>203</v>
      </c>
      <c r="KNA11" s="314" t="s">
        <v>203</v>
      </c>
      <c r="KNB11" s="314" t="s">
        <v>203</v>
      </c>
      <c r="KNC11" s="314" t="s">
        <v>203</v>
      </c>
      <c r="KND11" s="314" t="s">
        <v>203</v>
      </c>
      <c r="KNE11" s="314" t="s">
        <v>203</v>
      </c>
      <c r="KNF11" s="314" t="s">
        <v>203</v>
      </c>
      <c r="KNG11" s="314" t="s">
        <v>203</v>
      </c>
      <c r="KNH11" s="314" t="s">
        <v>203</v>
      </c>
      <c r="KNI11" s="314" t="s">
        <v>203</v>
      </c>
      <c r="KNJ11" s="314" t="s">
        <v>203</v>
      </c>
      <c r="KNK11" s="314" t="s">
        <v>203</v>
      </c>
      <c r="KNL11" s="314" t="s">
        <v>203</v>
      </c>
      <c r="KNM11" s="314" t="s">
        <v>203</v>
      </c>
      <c r="KNN11" s="314" t="s">
        <v>203</v>
      </c>
      <c r="KNO11" s="314" t="s">
        <v>203</v>
      </c>
      <c r="KNP11" s="314" t="s">
        <v>203</v>
      </c>
      <c r="KNQ11" s="314" t="s">
        <v>203</v>
      </c>
      <c r="KNR11" s="314" t="s">
        <v>203</v>
      </c>
      <c r="KNS11" s="314" t="s">
        <v>203</v>
      </c>
      <c r="KNT11" s="314" t="s">
        <v>203</v>
      </c>
      <c r="KNU11" s="314" t="s">
        <v>203</v>
      </c>
      <c r="KNV11" s="314" t="s">
        <v>203</v>
      </c>
      <c r="KNW11" s="314" t="s">
        <v>203</v>
      </c>
      <c r="KNX11" s="314" t="s">
        <v>203</v>
      </c>
      <c r="KNY11" s="314" t="s">
        <v>203</v>
      </c>
      <c r="KNZ11" s="314" t="s">
        <v>203</v>
      </c>
      <c r="KOA11" s="314" t="s">
        <v>203</v>
      </c>
      <c r="KOB11" s="314" t="s">
        <v>203</v>
      </c>
      <c r="KOC11" s="314" t="s">
        <v>203</v>
      </c>
      <c r="KOD11" s="314" t="s">
        <v>203</v>
      </c>
      <c r="KOE11" s="314" t="s">
        <v>203</v>
      </c>
      <c r="KOF11" s="314" t="s">
        <v>203</v>
      </c>
      <c r="KOG11" s="314" t="s">
        <v>203</v>
      </c>
      <c r="KOH11" s="314" t="s">
        <v>203</v>
      </c>
      <c r="KOI11" s="314" t="s">
        <v>203</v>
      </c>
      <c r="KOJ11" s="314" t="s">
        <v>203</v>
      </c>
      <c r="KOK11" s="314" t="s">
        <v>203</v>
      </c>
      <c r="KOL11" s="314" t="s">
        <v>203</v>
      </c>
      <c r="KOM11" s="314" t="s">
        <v>203</v>
      </c>
      <c r="KON11" s="314" t="s">
        <v>203</v>
      </c>
      <c r="KOO11" s="314" t="s">
        <v>203</v>
      </c>
      <c r="KOP11" s="314" t="s">
        <v>203</v>
      </c>
      <c r="KOQ11" s="314" t="s">
        <v>203</v>
      </c>
      <c r="KOR11" s="314" t="s">
        <v>203</v>
      </c>
      <c r="KOS11" s="314" t="s">
        <v>203</v>
      </c>
      <c r="KOT11" s="314" t="s">
        <v>203</v>
      </c>
      <c r="KOU11" s="314" t="s">
        <v>203</v>
      </c>
      <c r="KOV11" s="314" t="s">
        <v>203</v>
      </c>
      <c r="KOW11" s="314" t="s">
        <v>203</v>
      </c>
      <c r="KOX11" s="314" t="s">
        <v>203</v>
      </c>
      <c r="KOY11" s="314" t="s">
        <v>203</v>
      </c>
      <c r="KOZ11" s="314" t="s">
        <v>203</v>
      </c>
      <c r="KPA11" s="314" t="s">
        <v>203</v>
      </c>
      <c r="KPB11" s="314" t="s">
        <v>203</v>
      </c>
      <c r="KPC11" s="314" t="s">
        <v>203</v>
      </c>
      <c r="KPD11" s="314" t="s">
        <v>203</v>
      </c>
      <c r="KPE11" s="314" t="s">
        <v>203</v>
      </c>
      <c r="KPF11" s="314" t="s">
        <v>203</v>
      </c>
      <c r="KPG11" s="314" t="s">
        <v>203</v>
      </c>
      <c r="KPH11" s="314" t="s">
        <v>203</v>
      </c>
      <c r="KPI11" s="314" t="s">
        <v>203</v>
      </c>
      <c r="KPJ11" s="314" t="s">
        <v>203</v>
      </c>
      <c r="KPK11" s="314" t="s">
        <v>203</v>
      </c>
      <c r="KPL11" s="314" t="s">
        <v>203</v>
      </c>
      <c r="KPM11" s="314" t="s">
        <v>203</v>
      </c>
      <c r="KPN11" s="314" t="s">
        <v>203</v>
      </c>
      <c r="KPO11" s="314" t="s">
        <v>203</v>
      </c>
      <c r="KPP11" s="314" t="s">
        <v>203</v>
      </c>
      <c r="KPQ11" s="314" t="s">
        <v>203</v>
      </c>
      <c r="KPR11" s="314" t="s">
        <v>203</v>
      </c>
      <c r="KPS11" s="314" t="s">
        <v>203</v>
      </c>
      <c r="KPT11" s="314" t="s">
        <v>203</v>
      </c>
      <c r="KPU11" s="314" t="s">
        <v>203</v>
      </c>
      <c r="KPV11" s="314" t="s">
        <v>203</v>
      </c>
      <c r="KPW11" s="314" t="s">
        <v>203</v>
      </c>
      <c r="KPX11" s="314" t="s">
        <v>203</v>
      </c>
      <c r="KPY11" s="314" t="s">
        <v>203</v>
      </c>
      <c r="KPZ11" s="314" t="s">
        <v>203</v>
      </c>
      <c r="KQA11" s="314" t="s">
        <v>203</v>
      </c>
      <c r="KQB11" s="314" t="s">
        <v>203</v>
      </c>
      <c r="KQC11" s="314" t="s">
        <v>203</v>
      </c>
      <c r="KQD11" s="314" t="s">
        <v>203</v>
      </c>
      <c r="KQE11" s="314" t="s">
        <v>203</v>
      </c>
      <c r="KQF11" s="314" t="s">
        <v>203</v>
      </c>
      <c r="KQG11" s="314" t="s">
        <v>203</v>
      </c>
      <c r="KQH11" s="314" t="s">
        <v>203</v>
      </c>
      <c r="KQI11" s="314" t="s">
        <v>203</v>
      </c>
      <c r="KQJ11" s="314" t="s">
        <v>203</v>
      </c>
      <c r="KQK11" s="314" t="s">
        <v>203</v>
      </c>
      <c r="KQL11" s="314" t="s">
        <v>203</v>
      </c>
      <c r="KQM11" s="314" t="s">
        <v>203</v>
      </c>
      <c r="KQN11" s="314" t="s">
        <v>203</v>
      </c>
      <c r="KQO11" s="314" t="s">
        <v>203</v>
      </c>
      <c r="KQP11" s="314" t="s">
        <v>203</v>
      </c>
      <c r="KQQ11" s="314" t="s">
        <v>203</v>
      </c>
      <c r="KQR11" s="314" t="s">
        <v>203</v>
      </c>
      <c r="KQS11" s="314" t="s">
        <v>203</v>
      </c>
      <c r="KQT11" s="314" t="s">
        <v>203</v>
      </c>
      <c r="KQU11" s="314" t="s">
        <v>203</v>
      </c>
      <c r="KQV11" s="314" t="s">
        <v>203</v>
      </c>
      <c r="KQW11" s="314" t="s">
        <v>203</v>
      </c>
      <c r="KQX11" s="314" t="s">
        <v>203</v>
      </c>
      <c r="KQY11" s="314" t="s">
        <v>203</v>
      </c>
      <c r="KQZ11" s="314" t="s">
        <v>203</v>
      </c>
      <c r="KRA11" s="314" t="s">
        <v>203</v>
      </c>
      <c r="KRB11" s="314" t="s">
        <v>203</v>
      </c>
      <c r="KRC11" s="314" t="s">
        <v>203</v>
      </c>
      <c r="KRD11" s="314" t="s">
        <v>203</v>
      </c>
      <c r="KRE11" s="314" t="s">
        <v>203</v>
      </c>
      <c r="KRF11" s="314" t="s">
        <v>203</v>
      </c>
      <c r="KRG11" s="314" t="s">
        <v>203</v>
      </c>
      <c r="KRH11" s="314" t="s">
        <v>203</v>
      </c>
      <c r="KRI11" s="314" t="s">
        <v>203</v>
      </c>
      <c r="KRJ11" s="314" t="s">
        <v>203</v>
      </c>
      <c r="KRK11" s="314" t="s">
        <v>203</v>
      </c>
      <c r="KRL11" s="314" t="s">
        <v>203</v>
      </c>
      <c r="KRM11" s="314" t="s">
        <v>203</v>
      </c>
      <c r="KRN11" s="314" t="s">
        <v>203</v>
      </c>
      <c r="KRO11" s="314" t="s">
        <v>203</v>
      </c>
      <c r="KRP11" s="314" t="s">
        <v>203</v>
      </c>
      <c r="KRQ11" s="314" t="s">
        <v>203</v>
      </c>
      <c r="KRR11" s="314" t="s">
        <v>203</v>
      </c>
      <c r="KRS11" s="314" t="s">
        <v>203</v>
      </c>
      <c r="KRT11" s="314" t="s">
        <v>203</v>
      </c>
      <c r="KRU11" s="314" t="s">
        <v>203</v>
      </c>
      <c r="KRV11" s="314" t="s">
        <v>203</v>
      </c>
      <c r="KRW11" s="314" t="s">
        <v>203</v>
      </c>
      <c r="KRX11" s="314" t="s">
        <v>203</v>
      </c>
      <c r="KRY11" s="314" t="s">
        <v>203</v>
      </c>
      <c r="KRZ11" s="314" t="s">
        <v>203</v>
      </c>
      <c r="KSA11" s="314" t="s">
        <v>203</v>
      </c>
      <c r="KSB11" s="314" t="s">
        <v>203</v>
      </c>
      <c r="KSC11" s="314" t="s">
        <v>203</v>
      </c>
      <c r="KSD11" s="314" t="s">
        <v>203</v>
      </c>
      <c r="KSE11" s="314" t="s">
        <v>203</v>
      </c>
      <c r="KSF11" s="314" t="s">
        <v>203</v>
      </c>
      <c r="KSG11" s="314" t="s">
        <v>203</v>
      </c>
      <c r="KSH11" s="314" t="s">
        <v>203</v>
      </c>
      <c r="KSI11" s="314" t="s">
        <v>203</v>
      </c>
      <c r="KSJ11" s="314" t="s">
        <v>203</v>
      </c>
      <c r="KSK11" s="314" t="s">
        <v>203</v>
      </c>
      <c r="KSL11" s="314" t="s">
        <v>203</v>
      </c>
      <c r="KSM11" s="314" t="s">
        <v>203</v>
      </c>
      <c r="KSN11" s="314" t="s">
        <v>203</v>
      </c>
      <c r="KSO11" s="314" t="s">
        <v>203</v>
      </c>
      <c r="KSP11" s="314" t="s">
        <v>203</v>
      </c>
      <c r="KSQ11" s="314" t="s">
        <v>203</v>
      </c>
      <c r="KSR11" s="314" t="s">
        <v>203</v>
      </c>
      <c r="KSS11" s="314" t="s">
        <v>203</v>
      </c>
      <c r="KST11" s="314" t="s">
        <v>203</v>
      </c>
      <c r="KSU11" s="314" t="s">
        <v>203</v>
      </c>
      <c r="KSV11" s="314" t="s">
        <v>203</v>
      </c>
      <c r="KSW11" s="314" t="s">
        <v>203</v>
      </c>
      <c r="KSX11" s="314" t="s">
        <v>203</v>
      </c>
      <c r="KSY11" s="314" t="s">
        <v>203</v>
      </c>
      <c r="KSZ11" s="314" t="s">
        <v>203</v>
      </c>
      <c r="KTA11" s="314" t="s">
        <v>203</v>
      </c>
      <c r="KTB11" s="314" t="s">
        <v>203</v>
      </c>
      <c r="KTC11" s="314" t="s">
        <v>203</v>
      </c>
      <c r="KTD11" s="314" t="s">
        <v>203</v>
      </c>
      <c r="KTE11" s="314" t="s">
        <v>203</v>
      </c>
      <c r="KTF11" s="314" t="s">
        <v>203</v>
      </c>
      <c r="KTG11" s="314" t="s">
        <v>203</v>
      </c>
      <c r="KTH11" s="314" t="s">
        <v>203</v>
      </c>
      <c r="KTI11" s="314" t="s">
        <v>203</v>
      </c>
      <c r="KTJ11" s="314" t="s">
        <v>203</v>
      </c>
      <c r="KTK11" s="314" t="s">
        <v>203</v>
      </c>
      <c r="KTL11" s="314" t="s">
        <v>203</v>
      </c>
      <c r="KTM11" s="314" t="s">
        <v>203</v>
      </c>
      <c r="KTN11" s="314" t="s">
        <v>203</v>
      </c>
      <c r="KTO11" s="314" t="s">
        <v>203</v>
      </c>
      <c r="KTP11" s="314" t="s">
        <v>203</v>
      </c>
      <c r="KTQ11" s="314" t="s">
        <v>203</v>
      </c>
      <c r="KTR11" s="314" t="s">
        <v>203</v>
      </c>
      <c r="KTS11" s="314" t="s">
        <v>203</v>
      </c>
      <c r="KTT11" s="314" t="s">
        <v>203</v>
      </c>
      <c r="KTU11" s="314" t="s">
        <v>203</v>
      </c>
      <c r="KTV11" s="314" t="s">
        <v>203</v>
      </c>
      <c r="KTW11" s="314" t="s">
        <v>203</v>
      </c>
      <c r="KTX11" s="314" t="s">
        <v>203</v>
      </c>
      <c r="KTY11" s="314" t="s">
        <v>203</v>
      </c>
      <c r="KTZ11" s="314" t="s">
        <v>203</v>
      </c>
      <c r="KUA11" s="314" t="s">
        <v>203</v>
      </c>
      <c r="KUB11" s="314" t="s">
        <v>203</v>
      </c>
      <c r="KUC11" s="314" t="s">
        <v>203</v>
      </c>
      <c r="KUD11" s="314" t="s">
        <v>203</v>
      </c>
      <c r="KUE11" s="314" t="s">
        <v>203</v>
      </c>
      <c r="KUF11" s="314" t="s">
        <v>203</v>
      </c>
      <c r="KUG11" s="314" t="s">
        <v>203</v>
      </c>
      <c r="KUH11" s="314" t="s">
        <v>203</v>
      </c>
      <c r="KUI11" s="314" t="s">
        <v>203</v>
      </c>
      <c r="KUJ11" s="314" t="s">
        <v>203</v>
      </c>
      <c r="KUK11" s="314" t="s">
        <v>203</v>
      </c>
      <c r="KUL11" s="314" t="s">
        <v>203</v>
      </c>
      <c r="KUM11" s="314" t="s">
        <v>203</v>
      </c>
      <c r="KUN11" s="314" t="s">
        <v>203</v>
      </c>
      <c r="KUO11" s="314" t="s">
        <v>203</v>
      </c>
      <c r="KUP11" s="314" t="s">
        <v>203</v>
      </c>
      <c r="KUQ11" s="314" t="s">
        <v>203</v>
      </c>
      <c r="KUR11" s="314" t="s">
        <v>203</v>
      </c>
      <c r="KUS11" s="314" t="s">
        <v>203</v>
      </c>
      <c r="KUT11" s="314" t="s">
        <v>203</v>
      </c>
      <c r="KUU11" s="314" t="s">
        <v>203</v>
      </c>
      <c r="KUV11" s="314" t="s">
        <v>203</v>
      </c>
      <c r="KUW11" s="314" t="s">
        <v>203</v>
      </c>
      <c r="KUX11" s="314" t="s">
        <v>203</v>
      </c>
      <c r="KUY11" s="314" t="s">
        <v>203</v>
      </c>
      <c r="KUZ11" s="314" t="s">
        <v>203</v>
      </c>
      <c r="KVA11" s="314" t="s">
        <v>203</v>
      </c>
      <c r="KVB11" s="314" t="s">
        <v>203</v>
      </c>
      <c r="KVC11" s="314" t="s">
        <v>203</v>
      </c>
      <c r="KVD11" s="314" t="s">
        <v>203</v>
      </c>
      <c r="KVE11" s="314" t="s">
        <v>203</v>
      </c>
      <c r="KVF11" s="314" t="s">
        <v>203</v>
      </c>
      <c r="KVG11" s="314" t="s">
        <v>203</v>
      </c>
      <c r="KVH11" s="314" t="s">
        <v>203</v>
      </c>
      <c r="KVI11" s="314" t="s">
        <v>203</v>
      </c>
      <c r="KVJ11" s="314" t="s">
        <v>203</v>
      </c>
      <c r="KVK11" s="314" t="s">
        <v>203</v>
      </c>
      <c r="KVL11" s="314" t="s">
        <v>203</v>
      </c>
      <c r="KVM11" s="314" t="s">
        <v>203</v>
      </c>
      <c r="KVN11" s="314" t="s">
        <v>203</v>
      </c>
      <c r="KVO11" s="314" t="s">
        <v>203</v>
      </c>
      <c r="KVP11" s="314" t="s">
        <v>203</v>
      </c>
      <c r="KVQ11" s="314" t="s">
        <v>203</v>
      </c>
      <c r="KVR11" s="314" t="s">
        <v>203</v>
      </c>
      <c r="KVS11" s="314" t="s">
        <v>203</v>
      </c>
      <c r="KVT11" s="314" t="s">
        <v>203</v>
      </c>
      <c r="KVU11" s="314" t="s">
        <v>203</v>
      </c>
      <c r="KVV11" s="314" t="s">
        <v>203</v>
      </c>
      <c r="KVW11" s="314" t="s">
        <v>203</v>
      </c>
      <c r="KVX11" s="314" t="s">
        <v>203</v>
      </c>
      <c r="KVY11" s="314" t="s">
        <v>203</v>
      </c>
      <c r="KVZ11" s="314" t="s">
        <v>203</v>
      </c>
      <c r="KWA11" s="314" t="s">
        <v>203</v>
      </c>
      <c r="KWB11" s="314" t="s">
        <v>203</v>
      </c>
      <c r="KWC11" s="314" t="s">
        <v>203</v>
      </c>
      <c r="KWD11" s="314" t="s">
        <v>203</v>
      </c>
      <c r="KWE11" s="314" t="s">
        <v>203</v>
      </c>
      <c r="KWF11" s="314" t="s">
        <v>203</v>
      </c>
      <c r="KWG11" s="314" t="s">
        <v>203</v>
      </c>
      <c r="KWH11" s="314" t="s">
        <v>203</v>
      </c>
      <c r="KWI11" s="314" t="s">
        <v>203</v>
      </c>
      <c r="KWJ11" s="314" t="s">
        <v>203</v>
      </c>
      <c r="KWK11" s="314" t="s">
        <v>203</v>
      </c>
      <c r="KWL11" s="314" t="s">
        <v>203</v>
      </c>
      <c r="KWM11" s="314" t="s">
        <v>203</v>
      </c>
      <c r="KWN11" s="314" t="s">
        <v>203</v>
      </c>
      <c r="KWO11" s="314" t="s">
        <v>203</v>
      </c>
      <c r="KWP11" s="314" t="s">
        <v>203</v>
      </c>
      <c r="KWQ11" s="314" t="s">
        <v>203</v>
      </c>
      <c r="KWR11" s="314" t="s">
        <v>203</v>
      </c>
      <c r="KWS11" s="314" t="s">
        <v>203</v>
      </c>
      <c r="KWT11" s="314" t="s">
        <v>203</v>
      </c>
      <c r="KWU11" s="314" t="s">
        <v>203</v>
      </c>
      <c r="KWV11" s="314" t="s">
        <v>203</v>
      </c>
      <c r="KWW11" s="314" t="s">
        <v>203</v>
      </c>
      <c r="KWX11" s="314" t="s">
        <v>203</v>
      </c>
      <c r="KWY11" s="314" t="s">
        <v>203</v>
      </c>
      <c r="KWZ11" s="314" t="s">
        <v>203</v>
      </c>
      <c r="KXA11" s="314" t="s">
        <v>203</v>
      </c>
      <c r="KXB11" s="314" t="s">
        <v>203</v>
      </c>
      <c r="KXC11" s="314" t="s">
        <v>203</v>
      </c>
      <c r="KXD11" s="314" t="s">
        <v>203</v>
      </c>
      <c r="KXE11" s="314" t="s">
        <v>203</v>
      </c>
      <c r="KXF11" s="314" t="s">
        <v>203</v>
      </c>
      <c r="KXG11" s="314" t="s">
        <v>203</v>
      </c>
      <c r="KXH11" s="314" t="s">
        <v>203</v>
      </c>
      <c r="KXI11" s="314" t="s">
        <v>203</v>
      </c>
      <c r="KXJ11" s="314" t="s">
        <v>203</v>
      </c>
      <c r="KXK11" s="314" t="s">
        <v>203</v>
      </c>
      <c r="KXL11" s="314" t="s">
        <v>203</v>
      </c>
      <c r="KXM11" s="314" t="s">
        <v>203</v>
      </c>
      <c r="KXN11" s="314" t="s">
        <v>203</v>
      </c>
      <c r="KXO11" s="314" t="s">
        <v>203</v>
      </c>
      <c r="KXP11" s="314" t="s">
        <v>203</v>
      </c>
      <c r="KXQ11" s="314" t="s">
        <v>203</v>
      </c>
      <c r="KXR11" s="314" t="s">
        <v>203</v>
      </c>
      <c r="KXS11" s="314" t="s">
        <v>203</v>
      </c>
      <c r="KXT11" s="314" t="s">
        <v>203</v>
      </c>
      <c r="KXU11" s="314" t="s">
        <v>203</v>
      </c>
      <c r="KXV11" s="314" t="s">
        <v>203</v>
      </c>
      <c r="KXW11" s="314" t="s">
        <v>203</v>
      </c>
      <c r="KXX11" s="314" t="s">
        <v>203</v>
      </c>
      <c r="KXY11" s="314" t="s">
        <v>203</v>
      </c>
      <c r="KXZ11" s="314" t="s">
        <v>203</v>
      </c>
      <c r="KYA11" s="314" t="s">
        <v>203</v>
      </c>
      <c r="KYB11" s="314" t="s">
        <v>203</v>
      </c>
      <c r="KYC11" s="314" t="s">
        <v>203</v>
      </c>
      <c r="KYD11" s="314" t="s">
        <v>203</v>
      </c>
      <c r="KYE11" s="314" t="s">
        <v>203</v>
      </c>
      <c r="KYF11" s="314" t="s">
        <v>203</v>
      </c>
      <c r="KYG11" s="314" t="s">
        <v>203</v>
      </c>
      <c r="KYH11" s="314" t="s">
        <v>203</v>
      </c>
      <c r="KYI11" s="314" t="s">
        <v>203</v>
      </c>
      <c r="KYJ11" s="314" t="s">
        <v>203</v>
      </c>
      <c r="KYK11" s="314" t="s">
        <v>203</v>
      </c>
      <c r="KYL11" s="314" t="s">
        <v>203</v>
      </c>
      <c r="KYM11" s="314" t="s">
        <v>203</v>
      </c>
      <c r="KYN11" s="314" t="s">
        <v>203</v>
      </c>
      <c r="KYO11" s="314" t="s">
        <v>203</v>
      </c>
      <c r="KYP11" s="314" t="s">
        <v>203</v>
      </c>
      <c r="KYQ11" s="314" t="s">
        <v>203</v>
      </c>
      <c r="KYR11" s="314" t="s">
        <v>203</v>
      </c>
      <c r="KYS11" s="314" t="s">
        <v>203</v>
      </c>
      <c r="KYT11" s="314" t="s">
        <v>203</v>
      </c>
      <c r="KYU11" s="314" t="s">
        <v>203</v>
      </c>
      <c r="KYV11" s="314" t="s">
        <v>203</v>
      </c>
      <c r="KYW11" s="314" t="s">
        <v>203</v>
      </c>
      <c r="KYX11" s="314" t="s">
        <v>203</v>
      </c>
      <c r="KYY11" s="314" t="s">
        <v>203</v>
      </c>
      <c r="KYZ11" s="314" t="s">
        <v>203</v>
      </c>
      <c r="KZA11" s="314" t="s">
        <v>203</v>
      </c>
      <c r="KZB11" s="314" t="s">
        <v>203</v>
      </c>
      <c r="KZC11" s="314" t="s">
        <v>203</v>
      </c>
      <c r="KZD11" s="314" t="s">
        <v>203</v>
      </c>
      <c r="KZE11" s="314" t="s">
        <v>203</v>
      </c>
      <c r="KZF11" s="314" t="s">
        <v>203</v>
      </c>
      <c r="KZG11" s="314" t="s">
        <v>203</v>
      </c>
      <c r="KZH11" s="314" t="s">
        <v>203</v>
      </c>
      <c r="KZI11" s="314" t="s">
        <v>203</v>
      </c>
      <c r="KZJ11" s="314" t="s">
        <v>203</v>
      </c>
      <c r="KZK11" s="314" t="s">
        <v>203</v>
      </c>
      <c r="KZL11" s="314" t="s">
        <v>203</v>
      </c>
      <c r="KZM11" s="314" t="s">
        <v>203</v>
      </c>
      <c r="KZN11" s="314" t="s">
        <v>203</v>
      </c>
      <c r="KZO11" s="314" t="s">
        <v>203</v>
      </c>
      <c r="KZP11" s="314" t="s">
        <v>203</v>
      </c>
      <c r="KZQ11" s="314" t="s">
        <v>203</v>
      </c>
      <c r="KZR11" s="314" t="s">
        <v>203</v>
      </c>
      <c r="KZS11" s="314" t="s">
        <v>203</v>
      </c>
      <c r="KZT11" s="314" t="s">
        <v>203</v>
      </c>
      <c r="KZU11" s="314" t="s">
        <v>203</v>
      </c>
      <c r="KZV11" s="314" t="s">
        <v>203</v>
      </c>
      <c r="KZW11" s="314" t="s">
        <v>203</v>
      </c>
      <c r="KZX11" s="314" t="s">
        <v>203</v>
      </c>
      <c r="KZY11" s="314" t="s">
        <v>203</v>
      </c>
      <c r="KZZ11" s="314" t="s">
        <v>203</v>
      </c>
      <c r="LAA11" s="314" t="s">
        <v>203</v>
      </c>
      <c r="LAB11" s="314" t="s">
        <v>203</v>
      </c>
      <c r="LAC11" s="314" t="s">
        <v>203</v>
      </c>
      <c r="LAD11" s="314" t="s">
        <v>203</v>
      </c>
      <c r="LAE11" s="314" t="s">
        <v>203</v>
      </c>
      <c r="LAF11" s="314" t="s">
        <v>203</v>
      </c>
      <c r="LAG11" s="314" t="s">
        <v>203</v>
      </c>
      <c r="LAH11" s="314" t="s">
        <v>203</v>
      </c>
      <c r="LAI11" s="314" t="s">
        <v>203</v>
      </c>
      <c r="LAJ11" s="314" t="s">
        <v>203</v>
      </c>
      <c r="LAK11" s="314" t="s">
        <v>203</v>
      </c>
      <c r="LAL11" s="314" t="s">
        <v>203</v>
      </c>
      <c r="LAM11" s="314" t="s">
        <v>203</v>
      </c>
      <c r="LAN11" s="314" t="s">
        <v>203</v>
      </c>
      <c r="LAO11" s="314" t="s">
        <v>203</v>
      </c>
      <c r="LAP11" s="314" t="s">
        <v>203</v>
      </c>
      <c r="LAQ11" s="314" t="s">
        <v>203</v>
      </c>
      <c r="LAR11" s="314" t="s">
        <v>203</v>
      </c>
      <c r="LAS11" s="314" t="s">
        <v>203</v>
      </c>
      <c r="LAT11" s="314" t="s">
        <v>203</v>
      </c>
      <c r="LAU11" s="314" t="s">
        <v>203</v>
      </c>
      <c r="LAV11" s="314" t="s">
        <v>203</v>
      </c>
      <c r="LAW11" s="314" t="s">
        <v>203</v>
      </c>
      <c r="LAX11" s="314" t="s">
        <v>203</v>
      </c>
      <c r="LAY11" s="314" t="s">
        <v>203</v>
      </c>
      <c r="LAZ11" s="314" t="s">
        <v>203</v>
      </c>
      <c r="LBA11" s="314" t="s">
        <v>203</v>
      </c>
      <c r="LBB11" s="314" t="s">
        <v>203</v>
      </c>
      <c r="LBC11" s="314" t="s">
        <v>203</v>
      </c>
      <c r="LBD11" s="314" t="s">
        <v>203</v>
      </c>
      <c r="LBE11" s="314" t="s">
        <v>203</v>
      </c>
      <c r="LBF11" s="314" t="s">
        <v>203</v>
      </c>
      <c r="LBG11" s="314" t="s">
        <v>203</v>
      </c>
      <c r="LBH11" s="314" t="s">
        <v>203</v>
      </c>
      <c r="LBI11" s="314" t="s">
        <v>203</v>
      </c>
      <c r="LBJ11" s="314" t="s">
        <v>203</v>
      </c>
      <c r="LBK11" s="314" t="s">
        <v>203</v>
      </c>
      <c r="LBL11" s="314" t="s">
        <v>203</v>
      </c>
      <c r="LBM11" s="314" t="s">
        <v>203</v>
      </c>
      <c r="LBN11" s="314" t="s">
        <v>203</v>
      </c>
      <c r="LBO11" s="314" t="s">
        <v>203</v>
      </c>
      <c r="LBP11" s="314" t="s">
        <v>203</v>
      </c>
      <c r="LBQ11" s="314" t="s">
        <v>203</v>
      </c>
      <c r="LBR11" s="314" t="s">
        <v>203</v>
      </c>
      <c r="LBS11" s="314" t="s">
        <v>203</v>
      </c>
      <c r="LBT11" s="314" t="s">
        <v>203</v>
      </c>
      <c r="LBU11" s="314" t="s">
        <v>203</v>
      </c>
      <c r="LBV11" s="314" t="s">
        <v>203</v>
      </c>
      <c r="LBW11" s="314" t="s">
        <v>203</v>
      </c>
      <c r="LBX11" s="314" t="s">
        <v>203</v>
      </c>
      <c r="LBY11" s="314" t="s">
        <v>203</v>
      </c>
      <c r="LBZ11" s="314" t="s">
        <v>203</v>
      </c>
      <c r="LCA11" s="314" t="s">
        <v>203</v>
      </c>
      <c r="LCB11" s="314" t="s">
        <v>203</v>
      </c>
      <c r="LCC11" s="314" t="s">
        <v>203</v>
      </c>
      <c r="LCD11" s="314" t="s">
        <v>203</v>
      </c>
      <c r="LCE11" s="314" t="s">
        <v>203</v>
      </c>
      <c r="LCF11" s="314" t="s">
        <v>203</v>
      </c>
      <c r="LCG11" s="314" t="s">
        <v>203</v>
      </c>
      <c r="LCH11" s="314" t="s">
        <v>203</v>
      </c>
      <c r="LCI11" s="314" t="s">
        <v>203</v>
      </c>
      <c r="LCJ11" s="314" t="s">
        <v>203</v>
      </c>
      <c r="LCK11" s="314" t="s">
        <v>203</v>
      </c>
      <c r="LCL11" s="314" t="s">
        <v>203</v>
      </c>
      <c r="LCM11" s="314" t="s">
        <v>203</v>
      </c>
      <c r="LCN11" s="314" t="s">
        <v>203</v>
      </c>
      <c r="LCO11" s="314" t="s">
        <v>203</v>
      </c>
      <c r="LCP11" s="314" t="s">
        <v>203</v>
      </c>
      <c r="LCQ11" s="314" t="s">
        <v>203</v>
      </c>
      <c r="LCR11" s="314" t="s">
        <v>203</v>
      </c>
      <c r="LCS11" s="314" t="s">
        <v>203</v>
      </c>
      <c r="LCT11" s="314" t="s">
        <v>203</v>
      </c>
      <c r="LCU11" s="314" t="s">
        <v>203</v>
      </c>
      <c r="LCV11" s="314" t="s">
        <v>203</v>
      </c>
      <c r="LCW11" s="314" t="s">
        <v>203</v>
      </c>
      <c r="LCX11" s="314" t="s">
        <v>203</v>
      </c>
      <c r="LCY11" s="314" t="s">
        <v>203</v>
      </c>
      <c r="LCZ11" s="314" t="s">
        <v>203</v>
      </c>
      <c r="LDA11" s="314" t="s">
        <v>203</v>
      </c>
      <c r="LDB11" s="314" t="s">
        <v>203</v>
      </c>
      <c r="LDC11" s="314" t="s">
        <v>203</v>
      </c>
      <c r="LDD11" s="314" t="s">
        <v>203</v>
      </c>
      <c r="LDE11" s="314" t="s">
        <v>203</v>
      </c>
      <c r="LDF11" s="314" t="s">
        <v>203</v>
      </c>
      <c r="LDG11" s="314" t="s">
        <v>203</v>
      </c>
      <c r="LDH11" s="314" t="s">
        <v>203</v>
      </c>
      <c r="LDI11" s="314" t="s">
        <v>203</v>
      </c>
      <c r="LDJ11" s="314" t="s">
        <v>203</v>
      </c>
      <c r="LDK11" s="314" t="s">
        <v>203</v>
      </c>
      <c r="LDL11" s="314" t="s">
        <v>203</v>
      </c>
      <c r="LDM11" s="314" t="s">
        <v>203</v>
      </c>
      <c r="LDN11" s="314" t="s">
        <v>203</v>
      </c>
      <c r="LDO11" s="314" t="s">
        <v>203</v>
      </c>
      <c r="LDP11" s="314" t="s">
        <v>203</v>
      </c>
      <c r="LDQ11" s="314" t="s">
        <v>203</v>
      </c>
      <c r="LDR11" s="314" t="s">
        <v>203</v>
      </c>
      <c r="LDS11" s="314" t="s">
        <v>203</v>
      </c>
      <c r="LDT11" s="314" t="s">
        <v>203</v>
      </c>
      <c r="LDU11" s="314" t="s">
        <v>203</v>
      </c>
      <c r="LDV11" s="314" t="s">
        <v>203</v>
      </c>
      <c r="LDW11" s="314" t="s">
        <v>203</v>
      </c>
      <c r="LDX11" s="314" t="s">
        <v>203</v>
      </c>
      <c r="LDY11" s="314" t="s">
        <v>203</v>
      </c>
      <c r="LDZ11" s="314" t="s">
        <v>203</v>
      </c>
      <c r="LEA11" s="314" t="s">
        <v>203</v>
      </c>
      <c r="LEB11" s="314" t="s">
        <v>203</v>
      </c>
      <c r="LEC11" s="314" t="s">
        <v>203</v>
      </c>
      <c r="LED11" s="314" t="s">
        <v>203</v>
      </c>
      <c r="LEE11" s="314" t="s">
        <v>203</v>
      </c>
      <c r="LEF11" s="314" t="s">
        <v>203</v>
      </c>
      <c r="LEG11" s="314" t="s">
        <v>203</v>
      </c>
      <c r="LEH11" s="314" t="s">
        <v>203</v>
      </c>
      <c r="LEI11" s="314" t="s">
        <v>203</v>
      </c>
      <c r="LEJ11" s="314" t="s">
        <v>203</v>
      </c>
      <c r="LEK11" s="314" t="s">
        <v>203</v>
      </c>
      <c r="LEL11" s="314" t="s">
        <v>203</v>
      </c>
      <c r="LEM11" s="314" t="s">
        <v>203</v>
      </c>
      <c r="LEN11" s="314" t="s">
        <v>203</v>
      </c>
      <c r="LEO11" s="314" t="s">
        <v>203</v>
      </c>
      <c r="LEP11" s="314" t="s">
        <v>203</v>
      </c>
      <c r="LEQ11" s="314" t="s">
        <v>203</v>
      </c>
      <c r="LER11" s="314" t="s">
        <v>203</v>
      </c>
      <c r="LES11" s="314" t="s">
        <v>203</v>
      </c>
      <c r="LET11" s="314" t="s">
        <v>203</v>
      </c>
      <c r="LEU11" s="314" t="s">
        <v>203</v>
      </c>
      <c r="LEV11" s="314" t="s">
        <v>203</v>
      </c>
      <c r="LEW11" s="314" t="s">
        <v>203</v>
      </c>
      <c r="LEX11" s="314" t="s">
        <v>203</v>
      </c>
      <c r="LEY11" s="314" t="s">
        <v>203</v>
      </c>
      <c r="LEZ11" s="314" t="s">
        <v>203</v>
      </c>
      <c r="LFA11" s="314" t="s">
        <v>203</v>
      </c>
      <c r="LFB11" s="314" t="s">
        <v>203</v>
      </c>
      <c r="LFC11" s="314" t="s">
        <v>203</v>
      </c>
      <c r="LFD11" s="314" t="s">
        <v>203</v>
      </c>
      <c r="LFE11" s="314" t="s">
        <v>203</v>
      </c>
      <c r="LFF11" s="314" t="s">
        <v>203</v>
      </c>
      <c r="LFG11" s="314" t="s">
        <v>203</v>
      </c>
      <c r="LFH11" s="314" t="s">
        <v>203</v>
      </c>
      <c r="LFI11" s="314" t="s">
        <v>203</v>
      </c>
      <c r="LFJ11" s="314" t="s">
        <v>203</v>
      </c>
      <c r="LFK11" s="314" t="s">
        <v>203</v>
      </c>
      <c r="LFL11" s="314" t="s">
        <v>203</v>
      </c>
      <c r="LFM11" s="314" t="s">
        <v>203</v>
      </c>
      <c r="LFN11" s="314" t="s">
        <v>203</v>
      </c>
      <c r="LFO11" s="314" t="s">
        <v>203</v>
      </c>
      <c r="LFP11" s="314" t="s">
        <v>203</v>
      </c>
      <c r="LFQ11" s="314" t="s">
        <v>203</v>
      </c>
      <c r="LFR11" s="314" t="s">
        <v>203</v>
      </c>
      <c r="LFS11" s="314" t="s">
        <v>203</v>
      </c>
      <c r="LFT11" s="314" t="s">
        <v>203</v>
      </c>
      <c r="LFU11" s="314" t="s">
        <v>203</v>
      </c>
      <c r="LFV11" s="314" t="s">
        <v>203</v>
      </c>
      <c r="LFW11" s="314" t="s">
        <v>203</v>
      </c>
      <c r="LFX11" s="314" t="s">
        <v>203</v>
      </c>
      <c r="LFY11" s="314" t="s">
        <v>203</v>
      </c>
      <c r="LFZ11" s="314" t="s">
        <v>203</v>
      </c>
      <c r="LGA11" s="314" t="s">
        <v>203</v>
      </c>
      <c r="LGB11" s="314" t="s">
        <v>203</v>
      </c>
      <c r="LGC11" s="314" t="s">
        <v>203</v>
      </c>
      <c r="LGD11" s="314" t="s">
        <v>203</v>
      </c>
      <c r="LGE11" s="314" t="s">
        <v>203</v>
      </c>
      <c r="LGF11" s="314" t="s">
        <v>203</v>
      </c>
      <c r="LGG11" s="314" t="s">
        <v>203</v>
      </c>
      <c r="LGH11" s="314" t="s">
        <v>203</v>
      </c>
      <c r="LGI11" s="314" t="s">
        <v>203</v>
      </c>
      <c r="LGJ11" s="314" t="s">
        <v>203</v>
      </c>
      <c r="LGK11" s="314" t="s">
        <v>203</v>
      </c>
      <c r="LGL11" s="314" t="s">
        <v>203</v>
      </c>
      <c r="LGM11" s="314" t="s">
        <v>203</v>
      </c>
      <c r="LGN11" s="314" t="s">
        <v>203</v>
      </c>
      <c r="LGO11" s="314" t="s">
        <v>203</v>
      </c>
      <c r="LGP11" s="314" t="s">
        <v>203</v>
      </c>
      <c r="LGQ11" s="314" t="s">
        <v>203</v>
      </c>
      <c r="LGR11" s="314" t="s">
        <v>203</v>
      </c>
      <c r="LGS11" s="314" t="s">
        <v>203</v>
      </c>
      <c r="LGT11" s="314" t="s">
        <v>203</v>
      </c>
      <c r="LGU11" s="314" t="s">
        <v>203</v>
      </c>
      <c r="LGV11" s="314" t="s">
        <v>203</v>
      </c>
      <c r="LGW11" s="314" t="s">
        <v>203</v>
      </c>
      <c r="LGX11" s="314" t="s">
        <v>203</v>
      </c>
      <c r="LGY11" s="314" t="s">
        <v>203</v>
      </c>
      <c r="LGZ11" s="314" t="s">
        <v>203</v>
      </c>
      <c r="LHA11" s="314" t="s">
        <v>203</v>
      </c>
      <c r="LHB11" s="314" t="s">
        <v>203</v>
      </c>
      <c r="LHC11" s="314" t="s">
        <v>203</v>
      </c>
      <c r="LHD11" s="314" t="s">
        <v>203</v>
      </c>
      <c r="LHE11" s="314" t="s">
        <v>203</v>
      </c>
      <c r="LHF11" s="314" t="s">
        <v>203</v>
      </c>
      <c r="LHG11" s="314" t="s">
        <v>203</v>
      </c>
      <c r="LHH11" s="314" t="s">
        <v>203</v>
      </c>
      <c r="LHI11" s="314" t="s">
        <v>203</v>
      </c>
      <c r="LHJ11" s="314" t="s">
        <v>203</v>
      </c>
      <c r="LHK11" s="314" t="s">
        <v>203</v>
      </c>
      <c r="LHL11" s="314" t="s">
        <v>203</v>
      </c>
      <c r="LHM11" s="314" t="s">
        <v>203</v>
      </c>
      <c r="LHN11" s="314" t="s">
        <v>203</v>
      </c>
      <c r="LHO11" s="314" t="s">
        <v>203</v>
      </c>
      <c r="LHP11" s="314" t="s">
        <v>203</v>
      </c>
      <c r="LHQ11" s="314" t="s">
        <v>203</v>
      </c>
      <c r="LHR11" s="314" t="s">
        <v>203</v>
      </c>
      <c r="LHS11" s="314" t="s">
        <v>203</v>
      </c>
      <c r="LHT11" s="314" t="s">
        <v>203</v>
      </c>
      <c r="LHU11" s="314" t="s">
        <v>203</v>
      </c>
      <c r="LHV11" s="314" t="s">
        <v>203</v>
      </c>
      <c r="LHW11" s="314" t="s">
        <v>203</v>
      </c>
      <c r="LHX11" s="314" t="s">
        <v>203</v>
      </c>
      <c r="LHY11" s="314" t="s">
        <v>203</v>
      </c>
      <c r="LHZ11" s="314" t="s">
        <v>203</v>
      </c>
      <c r="LIA11" s="314" t="s">
        <v>203</v>
      </c>
      <c r="LIB11" s="314" t="s">
        <v>203</v>
      </c>
      <c r="LIC11" s="314" t="s">
        <v>203</v>
      </c>
      <c r="LID11" s="314" t="s">
        <v>203</v>
      </c>
      <c r="LIE11" s="314" t="s">
        <v>203</v>
      </c>
      <c r="LIF11" s="314" t="s">
        <v>203</v>
      </c>
      <c r="LIG11" s="314" t="s">
        <v>203</v>
      </c>
      <c r="LIH11" s="314" t="s">
        <v>203</v>
      </c>
      <c r="LII11" s="314" t="s">
        <v>203</v>
      </c>
      <c r="LIJ11" s="314" t="s">
        <v>203</v>
      </c>
      <c r="LIK11" s="314" t="s">
        <v>203</v>
      </c>
      <c r="LIL11" s="314" t="s">
        <v>203</v>
      </c>
      <c r="LIM11" s="314" t="s">
        <v>203</v>
      </c>
      <c r="LIN11" s="314" t="s">
        <v>203</v>
      </c>
      <c r="LIO11" s="314" t="s">
        <v>203</v>
      </c>
      <c r="LIP11" s="314" t="s">
        <v>203</v>
      </c>
      <c r="LIQ11" s="314" t="s">
        <v>203</v>
      </c>
      <c r="LIR11" s="314" t="s">
        <v>203</v>
      </c>
      <c r="LIS11" s="314" t="s">
        <v>203</v>
      </c>
      <c r="LIT11" s="314" t="s">
        <v>203</v>
      </c>
      <c r="LIU11" s="314" t="s">
        <v>203</v>
      </c>
      <c r="LIV11" s="314" t="s">
        <v>203</v>
      </c>
      <c r="LIW11" s="314" t="s">
        <v>203</v>
      </c>
      <c r="LIX11" s="314" t="s">
        <v>203</v>
      </c>
      <c r="LIY11" s="314" t="s">
        <v>203</v>
      </c>
      <c r="LIZ11" s="314" t="s">
        <v>203</v>
      </c>
      <c r="LJA11" s="314" t="s">
        <v>203</v>
      </c>
      <c r="LJB11" s="314" t="s">
        <v>203</v>
      </c>
      <c r="LJC11" s="314" t="s">
        <v>203</v>
      </c>
      <c r="LJD11" s="314" t="s">
        <v>203</v>
      </c>
      <c r="LJE11" s="314" t="s">
        <v>203</v>
      </c>
      <c r="LJF11" s="314" t="s">
        <v>203</v>
      </c>
      <c r="LJG11" s="314" t="s">
        <v>203</v>
      </c>
      <c r="LJH11" s="314" t="s">
        <v>203</v>
      </c>
      <c r="LJI11" s="314" t="s">
        <v>203</v>
      </c>
      <c r="LJJ11" s="314" t="s">
        <v>203</v>
      </c>
      <c r="LJK11" s="314" t="s">
        <v>203</v>
      </c>
      <c r="LJL11" s="314" t="s">
        <v>203</v>
      </c>
      <c r="LJM11" s="314" t="s">
        <v>203</v>
      </c>
      <c r="LJN11" s="314" t="s">
        <v>203</v>
      </c>
      <c r="LJO11" s="314" t="s">
        <v>203</v>
      </c>
      <c r="LJP11" s="314" t="s">
        <v>203</v>
      </c>
      <c r="LJQ11" s="314" t="s">
        <v>203</v>
      </c>
      <c r="LJR11" s="314" t="s">
        <v>203</v>
      </c>
      <c r="LJS11" s="314" t="s">
        <v>203</v>
      </c>
      <c r="LJT11" s="314" t="s">
        <v>203</v>
      </c>
      <c r="LJU11" s="314" t="s">
        <v>203</v>
      </c>
      <c r="LJV11" s="314" t="s">
        <v>203</v>
      </c>
      <c r="LJW11" s="314" t="s">
        <v>203</v>
      </c>
      <c r="LJX11" s="314" t="s">
        <v>203</v>
      </c>
      <c r="LJY11" s="314" t="s">
        <v>203</v>
      </c>
      <c r="LJZ11" s="314" t="s">
        <v>203</v>
      </c>
      <c r="LKA11" s="314" t="s">
        <v>203</v>
      </c>
      <c r="LKB11" s="314" t="s">
        <v>203</v>
      </c>
      <c r="LKC11" s="314" t="s">
        <v>203</v>
      </c>
      <c r="LKD11" s="314" t="s">
        <v>203</v>
      </c>
      <c r="LKE11" s="314" t="s">
        <v>203</v>
      </c>
      <c r="LKF11" s="314" t="s">
        <v>203</v>
      </c>
      <c r="LKG11" s="314" t="s">
        <v>203</v>
      </c>
      <c r="LKH11" s="314" t="s">
        <v>203</v>
      </c>
      <c r="LKI11" s="314" t="s">
        <v>203</v>
      </c>
      <c r="LKJ11" s="314" t="s">
        <v>203</v>
      </c>
      <c r="LKK11" s="314" t="s">
        <v>203</v>
      </c>
      <c r="LKL11" s="314" t="s">
        <v>203</v>
      </c>
      <c r="LKM11" s="314" t="s">
        <v>203</v>
      </c>
      <c r="LKN11" s="314" t="s">
        <v>203</v>
      </c>
      <c r="LKO11" s="314" t="s">
        <v>203</v>
      </c>
      <c r="LKP11" s="314" t="s">
        <v>203</v>
      </c>
      <c r="LKQ11" s="314" t="s">
        <v>203</v>
      </c>
      <c r="LKR11" s="314" t="s">
        <v>203</v>
      </c>
      <c r="LKS11" s="314" t="s">
        <v>203</v>
      </c>
      <c r="LKT11" s="314" t="s">
        <v>203</v>
      </c>
      <c r="LKU11" s="314" t="s">
        <v>203</v>
      </c>
      <c r="LKV11" s="314" t="s">
        <v>203</v>
      </c>
      <c r="LKW11" s="314" t="s">
        <v>203</v>
      </c>
      <c r="LKX11" s="314" t="s">
        <v>203</v>
      </c>
      <c r="LKY11" s="314" t="s">
        <v>203</v>
      </c>
      <c r="LKZ11" s="314" t="s">
        <v>203</v>
      </c>
      <c r="LLA11" s="314" t="s">
        <v>203</v>
      </c>
      <c r="LLB11" s="314" t="s">
        <v>203</v>
      </c>
      <c r="LLC11" s="314" t="s">
        <v>203</v>
      </c>
      <c r="LLD11" s="314" t="s">
        <v>203</v>
      </c>
      <c r="LLE11" s="314" t="s">
        <v>203</v>
      </c>
      <c r="LLF11" s="314" t="s">
        <v>203</v>
      </c>
      <c r="LLG11" s="314" t="s">
        <v>203</v>
      </c>
      <c r="LLH11" s="314" t="s">
        <v>203</v>
      </c>
      <c r="LLI11" s="314" t="s">
        <v>203</v>
      </c>
      <c r="LLJ11" s="314" t="s">
        <v>203</v>
      </c>
      <c r="LLK11" s="314" t="s">
        <v>203</v>
      </c>
      <c r="LLL11" s="314" t="s">
        <v>203</v>
      </c>
      <c r="LLM11" s="314" t="s">
        <v>203</v>
      </c>
      <c r="LLN11" s="314" t="s">
        <v>203</v>
      </c>
      <c r="LLO11" s="314" t="s">
        <v>203</v>
      </c>
      <c r="LLP11" s="314" t="s">
        <v>203</v>
      </c>
      <c r="LLQ11" s="314" t="s">
        <v>203</v>
      </c>
      <c r="LLR11" s="314" t="s">
        <v>203</v>
      </c>
      <c r="LLS11" s="314" t="s">
        <v>203</v>
      </c>
      <c r="LLT11" s="314" t="s">
        <v>203</v>
      </c>
      <c r="LLU11" s="314" t="s">
        <v>203</v>
      </c>
      <c r="LLV11" s="314" t="s">
        <v>203</v>
      </c>
      <c r="LLW11" s="314" t="s">
        <v>203</v>
      </c>
      <c r="LLX11" s="314" t="s">
        <v>203</v>
      </c>
      <c r="LLY11" s="314" t="s">
        <v>203</v>
      </c>
      <c r="LLZ11" s="314" t="s">
        <v>203</v>
      </c>
      <c r="LMA11" s="314" t="s">
        <v>203</v>
      </c>
      <c r="LMB11" s="314" t="s">
        <v>203</v>
      </c>
      <c r="LMC11" s="314" t="s">
        <v>203</v>
      </c>
      <c r="LMD11" s="314" t="s">
        <v>203</v>
      </c>
      <c r="LME11" s="314" t="s">
        <v>203</v>
      </c>
      <c r="LMF11" s="314" t="s">
        <v>203</v>
      </c>
      <c r="LMG11" s="314" t="s">
        <v>203</v>
      </c>
      <c r="LMH11" s="314" t="s">
        <v>203</v>
      </c>
      <c r="LMI11" s="314" t="s">
        <v>203</v>
      </c>
      <c r="LMJ11" s="314" t="s">
        <v>203</v>
      </c>
      <c r="LMK11" s="314" t="s">
        <v>203</v>
      </c>
      <c r="LML11" s="314" t="s">
        <v>203</v>
      </c>
      <c r="LMM11" s="314" t="s">
        <v>203</v>
      </c>
      <c r="LMN11" s="314" t="s">
        <v>203</v>
      </c>
      <c r="LMO11" s="314" t="s">
        <v>203</v>
      </c>
      <c r="LMP11" s="314" t="s">
        <v>203</v>
      </c>
      <c r="LMQ11" s="314" t="s">
        <v>203</v>
      </c>
      <c r="LMR11" s="314" t="s">
        <v>203</v>
      </c>
      <c r="LMS11" s="314" t="s">
        <v>203</v>
      </c>
      <c r="LMT11" s="314" t="s">
        <v>203</v>
      </c>
      <c r="LMU11" s="314" t="s">
        <v>203</v>
      </c>
      <c r="LMV11" s="314" t="s">
        <v>203</v>
      </c>
      <c r="LMW11" s="314" t="s">
        <v>203</v>
      </c>
      <c r="LMX11" s="314" t="s">
        <v>203</v>
      </c>
      <c r="LMY11" s="314" t="s">
        <v>203</v>
      </c>
      <c r="LMZ11" s="314" t="s">
        <v>203</v>
      </c>
      <c r="LNA11" s="314" t="s">
        <v>203</v>
      </c>
      <c r="LNB11" s="314" t="s">
        <v>203</v>
      </c>
      <c r="LNC11" s="314" t="s">
        <v>203</v>
      </c>
      <c r="LND11" s="314" t="s">
        <v>203</v>
      </c>
      <c r="LNE11" s="314" t="s">
        <v>203</v>
      </c>
      <c r="LNF11" s="314" t="s">
        <v>203</v>
      </c>
      <c r="LNG11" s="314" t="s">
        <v>203</v>
      </c>
      <c r="LNH11" s="314" t="s">
        <v>203</v>
      </c>
      <c r="LNI11" s="314" t="s">
        <v>203</v>
      </c>
      <c r="LNJ11" s="314" t="s">
        <v>203</v>
      </c>
      <c r="LNK11" s="314" t="s">
        <v>203</v>
      </c>
      <c r="LNL11" s="314" t="s">
        <v>203</v>
      </c>
      <c r="LNM11" s="314" t="s">
        <v>203</v>
      </c>
      <c r="LNN11" s="314" t="s">
        <v>203</v>
      </c>
      <c r="LNO11" s="314" t="s">
        <v>203</v>
      </c>
      <c r="LNP11" s="314" t="s">
        <v>203</v>
      </c>
      <c r="LNQ11" s="314" t="s">
        <v>203</v>
      </c>
      <c r="LNR11" s="314" t="s">
        <v>203</v>
      </c>
      <c r="LNS11" s="314" t="s">
        <v>203</v>
      </c>
      <c r="LNT11" s="314" t="s">
        <v>203</v>
      </c>
      <c r="LNU11" s="314" t="s">
        <v>203</v>
      </c>
      <c r="LNV11" s="314" t="s">
        <v>203</v>
      </c>
      <c r="LNW11" s="314" t="s">
        <v>203</v>
      </c>
      <c r="LNX11" s="314" t="s">
        <v>203</v>
      </c>
      <c r="LNY11" s="314" t="s">
        <v>203</v>
      </c>
      <c r="LNZ11" s="314" t="s">
        <v>203</v>
      </c>
      <c r="LOA11" s="314" t="s">
        <v>203</v>
      </c>
      <c r="LOB11" s="314" t="s">
        <v>203</v>
      </c>
      <c r="LOC11" s="314" t="s">
        <v>203</v>
      </c>
      <c r="LOD11" s="314" t="s">
        <v>203</v>
      </c>
      <c r="LOE11" s="314" t="s">
        <v>203</v>
      </c>
      <c r="LOF11" s="314" t="s">
        <v>203</v>
      </c>
      <c r="LOG11" s="314" t="s">
        <v>203</v>
      </c>
      <c r="LOH11" s="314" t="s">
        <v>203</v>
      </c>
      <c r="LOI11" s="314" t="s">
        <v>203</v>
      </c>
      <c r="LOJ11" s="314" t="s">
        <v>203</v>
      </c>
      <c r="LOK11" s="314" t="s">
        <v>203</v>
      </c>
      <c r="LOL11" s="314" t="s">
        <v>203</v>
      </c>
      <c r="LOM11" s="314" t="s">
        <v>203</v>
      </c>
      <c r="LON11" s="314" t="s">
        <v>203</v>
      </c>
      <c r="LOO11" s="314" t="s">
        <v>203</v>
      </c>
      <c r="LOP11" s="314" t="s">
        <v>203</v>
      </c>
      <c r="LOQ11" s="314" t="s">
        <v>203</v>
      </c>
      <c r="LOR11" s="314" t="s">
        <v>203</v>
      </c>
      <c r="LOS11" s="314" t="s">
        <v>203</v>
      </c>
      <c r="LOT11" s="314" t="s">
        <v>203</v>
      </c>
      <c r="LOU11" s="314" t="s">
        <v>203</v>
      </c>
      <c r="LOV11" s="314" t="s">
        <v>203</v>
      </c>
      <c r="LOW11" s="314" t="s">
        <v>203</v>
      </c>
      <c r="LOX11" s="314" t="s">
        <v>203</v>
      </c>
      <c r="LOY11" s="314" t="s">
        <v>203</v>
      </c>
      <c r="LOZ11" s="314" t="s">
        <v>203</v>
      </c>
      <c r="LPA11" s="314" t="s">
        <v>203</v>
      </c>
      <c r="LPB11" s="314" t="s">
        <v>203</v>
      </c>
      <c r="LPC11" s="314" t="s">
        <v>203</v>
      </c>
      <c r="LPD11" s="314" t="s">
        <v>203</v>
      </c>
      <c r="LPE11" s="314" t="s">
        <v>203</v>
      </c>
      <c r="LPF11" s="314" t="s">
        <v>203</v>
      </c>
      <c r="LPG11" s="314" t="s">
        <v>203</v>
      </c>
      <c r="LPH11" s="314" t="s">
        <v>203</v>
      </c>
      <c r="LPI11" s="314" t="s">
        <v>203</v>
      </c>
      <c r="LPJ11" s="314" t="s">
        <v>203</v>
      </c>
      <c r="LPK11" s="314" t="s">
        <v>203</v>
      </c>
      <c r="LPL11" s="314" t="s">
        <v>203</v>
      </c>
      <c r="LPM11" s="314" t="s">
        <v>203</v>
      </c>
      <c r="LPN11" s="314" t="s">
        <v>203</v>
      </c>
      <c r="LPO11" s="314" t="s">
        <v>203</v>
      </c>
      <c r="LPP11" s="314" t="s">
        <v>203</v>
      </c>
      <c r="LPQ11" s="314" t="s">
        <v>203</v>
      </c>
      <c r="LPR11" s="314" t="s">
        <v>203</v>
      </c>
      <c r="LPS11" s="314" t="s">
        <v>203</v>
      </c>
      <c r="LPT11" s="314" t="s">
        <v>203</v>
      </c>
      <c r="LPU11" s="314" t="s">
        <v>203</v>
      </c>
      <c r="LPV11" s="314" t="s">
        <v>203</v>
      </c>
      <c r="LPW11" s="314" t="s">
        <v>203</v>
      </c>
      <c r="LPX11" s="314" t="s">
        <v>203</v>
      </c>
      <c r="LPY11" s="314" t="s">
        <v>203</v>
      </c>
      <c r="LPZ11" s="314" t="s">
        <v>203</v>
      </c>
      <c r="LQA11" s="314" t="s">
        <v>203</v>
      </c>
      <c r="LQB11" s="314" t="s">
        <v>203</v>
      </c>
      <c r="LQC11" s="314" t="s">
        <v>203</v>
      </c>
      <c r="LQD11" s="314" t="s">
        <v>203</v>
      </c>
      <c r="LQE11" s="314" t="s">
        <v>203</v>
      </c>
      <c r="LQF11" s="314" t="s">
        <v>203</v>
      </c>
      <c r="LQG11" s="314" t="s">
        <v>203</v>
      </c>
      <c r="LQH11" s="314" t="s">
        <v>203</v>
      </c>
      <c r="LQI11" s="314" t="s">
        <v>203</v>
      </c>
      <c r="LQJ11" s="314" t="s">
        <v>203</v>
      </c>
      <c r="LQK11" s="314" t="s">
        <v>203</v>
      </c>
      <c r="LQL11" s="314" t="s">
        <v>203</v>
      </c>
      <c r="LQM11" s="314" t="s">
        <v>203</v>
      </c>
      <c r="LQN11" s="314" t="s">
        <v>203</v>
      </c>
      <c r="LQO11" s="314" t="s">
        <v>203</v>
      </c>
      <c r="LQP11" s="314" t="s">
        <v>203</v>
      </c>
      <c r="LQQ11" s="314" t="s">
        <v>203</v>
      </c>
      <c r="LQR11" s="314" t="s">
        <v>203</v>
      </c>
      <c r="LQS11" s="314" t="s">
        <v>203</v>
      </c>
      <c r="LQT11" s="314" t="s">
        <v>203</v>
      </c>
      <c r="LQU11" s="314" t="s">
        <v>203</v>
      </c>
      <c r="LQV11" s="314" t="s">
        <v>203</v>
      </c>
      <c r="LQW11" s="314" t="s">
        <v>203</v>
      </c>
      <c r="LQX11" s="314" t="s">
        <v>203</v>
      </c>
      <c r="LQY11" s="314" t="s">
        <v>203</v>
      </c>
      <c r="LQZ11" s="314" t="s">
        <v>203</v>
      </c>
      <c r="LRA11" s="314" t="s">
        <v>203</v>
      </c>
      <c r="LRB11" s="314" t="s">
        <v>203</v>
      </c>
      <c r="LRC11" s="314" t="s">
        <v>203</v>
      </c>
      <c r="LRD11" s="314" t="s">
        <v>203</v>
      </c>
      <c r="LRE11" s="314" t="s">
        <v>203</v>
      </c>
      <c r="LRF11" s="314" t="s">
        <v>203</v>
      </c>
      <c r="LRG11" s="314" t="s">
        <v>203</v>
      </c>
      <c r="LRH11" s="314" t="s">
        <v>203</v>
      </c>
      <c r="LRI11" s="314" t="s">
        <v>203</v>
      </c>
      <c r="LRJ11" s="314" t="s">
        <v>203</v>
      </c>
      <c r="LRK11" s="314" t="s">
        <v>203</v>
      </c>
      <c r="LRL11" s="314" t="s">
        <v>203</v>
      </c>
      <c r="LRM11" s="314" t="s">
        <v>203</v>
      </c>
      <c r="LRN11" s="314" t="s">
        <v>203</v>
      </c>
      <c r="LRO11" s="314" t="s">
        <v>203</v>
      </c>
      <c r="LRP11" s="314" t="s">
        <v>203</v>
      </c>
      <c r="LRQ11" s="314" t="s">
        <v>203</v>
      </c>
      <c r="LRR11" s="314" t="s">
        <v>203</v>
      </c>
      <c r="LRS11" s="314" t="s">
        <v>203</v>
      </c>
      <c r="LRT11" s="314" t="s">
        <v>203</v>
      </c>
      <c r="LRU11" s="314" t="s">
        <v>203</v>
      </c>
      <c r="LRV11" s="314" t="s">
        <v>203</v>
      </c>
      <c r="LRW11" s="314" t="s">
        <v>203</v>
      </c>
      <c r="LRX11" s="314" t="s">
        <v>203</v>
      </c>
      <c r="LRY11" s="314" t="s">
        <v>203</v>
      </c>
      <c r="LRZ11" s="314" t="s">
        <v>203</v>
      </c>
      <c r="LSA11" s="314" t="s">
        <v>203</v>
      </c>
      <c r="LSB11" s="314" t="s">
        <v>203</v>
      </c>
      <c r="LSC11" s="314" t="s">
        <v>203</v>
      </c>
      <c r="LSD11" s="314" t="s">
        <v>203</v>
      </c>
      <c r="LSE11" s="314" t="s">
        <v>203</v>
      </c>
      <c r="LSF11" s="314" t="s">
        <v>203</v>
      </c>
      <c r="LSG11" s="314" t="s">
        <v>203</v>
      </c>
      <c r="LSH11" s="314" t="s">
        <v>203</v>
      </c>
      <c r="LSI11" s="314" t="s">
        <v>203</v>
      </c>
      <c r="LSJ11" s="314" t="s">
        <v>203</v>
      </c>
      <c r="LSK11" s="314" t="s">
        <v>203</v>
      </c>
      <c r="LSL11" s="314" t="s">
        <v>203</v>
      </c>
      <c r="LSM11" s="314" t="s">
        <v>203</v>
      </c>
      <c r="LSN11" s="314" t="s">
        <v>203</v>
      </c>
      <c r="LSO11" s="314" t="s">
        <v>203</v>
      </c>
      <c r="LSP11" s="314" t="s">
        <v>203</v>
      </c>
      <c r="LSQ11" s="314" t="s">
        <v>203</v>
      </c>
      <c r="LSR11" s="314" t="s">
        <v>203</v>
      </c>
      <c r="LSS11" s="314" t="s">
        <v>203</v>
      </c>
      <c r="LST11" s="314" t="s">
        <v>203</v>
      </c>
      <c r="LSU11" s="314" t="s">
        <v>203</v>
      </c>
      <c r="LSV11" s="314" t="s">
        <v>203</v>
      </c>
      <c r="LSW11" s="314" t="s">
        <v>203</v>
      </c>
      <c r="LSX11" s="314" t="s">
        <v>203</v>
      </c>
      <c r="LSY11" s="314" t="s">
        <v>203</v>
      </c>
      <c r="LSZ11" s="314" t="s">
        <v>203</v>
      </c>
      <c r="LTA11" s="314" t="s">
        <v>203</v>
      </c>
      <c r="LTB11" s="314" t="s">
        <v>203</v>
      </c>
      <c r="LTC11" s="314" t="s">
        <v>203</v>
      </c>
      <c r="LTD11" s="314" t="s">
        <v>203</v>
      </c>
      <c r="LTE11" s="314" t="s">
        <v>203</v>
      </c>
      <c r="LTF11" s="314" t="s">
        <v>203</v>
      </c>
      <c r="LTG11" s="314" t="s">
        <v>203</v>
      </c>
      <c r="LTH11" s="314" t="s">
        <v>203</v>
      </c>
      <c r="LTI11" s="314" t="s">
        <v>203</v>
      </c>
      <c r="LTJ11" s="314" t="s">
        <v>203</v>
      </c>
      <c r="LTK11" s="314" t="s">
        <v>203</v>
      </c>
      <c r="LTL11" s="314" t="s">
        <v>203</v>
      </c>
      <c r="LTM11" s="314" t="s">
        <v>203</v>
      </c>
      <c r="LTN11" s="314" t="s">
        <v>203</v>
      </c>
      <c r="LTO11" s="314" t="s">
        <v>203</v>
      </c>
      <c r="LTP11" s="314" t="s">
        <v>203</v>
      </c>
      <c r="LTQ11" s="314" t="s">
        <v>203</v>
      </c>
      <c r="LTR11" s="314" t="s">
        <v>203</v>
      </c>
      <c r="LTS11" s="314" t="s">
        <v>203</v>
      </c>
      <c r="LTT11" s="314" t="s">
        <v>203</v>
      </c>
      <c r="LTU11" s="314" t="s">
        <v>203</v>
      </c>
      <c r="LTV11" s="314" t="s">
        <v>203</v>
      </c>
      <c r="LTW11" s="314" t="s">
        <v>203</v>
      </c>
      <c r="LTX11" s="314" t="s">
        <v>203</v>
      </c>
      <c r="LTY11" s="314" t="s">
        <v>203</v>
      </c>
      <c r="LTZ11" s="314" t="s">
        <v>203</v>
      </c>
      <c r="LUA11" s="314" t="s">
        <v>203</v>
      </c>
      <c r="LUB11" s="314" t="s">
        <v>203</v>
      </c>
      <c r="LUC11" s="314" t="s">
        <v>203</v>
      </c>
      <c r="LUD11" s="314" t="s">
        <v>203</v>
      </c>
      <c r="LUE11" s="314" t="s">
        <v>203</v>
      </c>
      <c r="LUF11" s="314" t="s">
        <v>203</v>
      </c>
      <c r="LUG11" s="314" t="s">
        <v>203</v>
      </c>
      <c r="LUH11" s="314" t="s">
        <v>203</v>
      </c>
      <c r="LUI11" s="314" t="s">
        <v>203</v>
      </c>
      <c r="LUJ11" s="314" t="s">
        <v>203</v>
      </c>
      <c r="LUK11" s="314" t="s">
        <v>203</v>
      </c>
      <c r="LUL11" s="314" t="s">
        <v>203</v>
      </c>
      <c r="LUM11" s="314" t="s">
        <v>203</v>
      </c>
      <c r="LUN11" s="314" t="s">
        <v>203</v>
      </c>
      <c r="LUO11" s="314" t="s">
        <v>203</v>
      </c>
      <c r="LUP11" s="314" t="s">
        <v>203</v>
      </c>
      <c r="LUQ11" s="314" t="s">
        <v>203</v>
      </c>
      <c r="LUR11" s="314" t="s">
        <v>203</v>
      </c>
      <c r="LUS11" s="314" t="s">
        <v>203</v>
      </c>
      <c r="LUT11" s="314" t="s">
        <v>203</v>
      </c>
      <c r="LUU11" s="314" t="s">
        <v>203</v>
      </c>
      <c r="LUV11" s="314" t="s">
        <v>203</v>
      </c>
      <c r="LUW11" s="314" t="s">
        <v>203</v>
      </c>
      <c r="LUX11" s="314" t="s">
        <v>203</v>
      </c>
      <c r="LUY11" s="314" t="s">
        <v>203</v>
      </c>
      <c r="LUZ11" s="314" t="s">
        <v>203</v>
      </c>
      <c r="LVA11" s="314" t="s">
        <v>203</v>
      </c>
      <c r="LVB11" s="314" t="s">
        <v>203</v>
      </c>
      <c r="LVC11" s="314" t="s">
        <v>203</v>
      </c>
      <c r="LVD11" s="314" t="s">
        <v>203</v>
      </c>
      <c r="LVE11" s="314" t="s">
        <v>203</v>
      </c>
      <c r="LVF11" s="314" t="s">
        <v>203</v>
      </c>
      <c r="LVG11" s="314" t="s">
        <v>203</v>
      </c>
      <c r="LVH11" s="314" t="s">
        <v>203</v>
      </c>
      <c r="LVI11" s="314" t="s">
        <v>203</v>
      </c>
      <c r="LVJ11" s="314" t="s">
        <v>203</v>
      </c>
      <c r="LVK11" s="314" t="s">
        <v>203</v>
      </c>
      <c r="LVL11" s="314" t="s">
        <v>203</v>
      </c>
      <c r="LVM11" s="314" t="s">
        <v>203</v>
      </c>
      <c r="LVN11" s="314" t="s">
        <v>203</v>
      </c>
      <c r="LVO11" s="314" t="s">
        <v>203</v>
      </c>
      <c r="LVP11" s="314" t="s">
        <v>203</v>
      </c>
      <c r="LVQ11" s="314" t="s">
        <v>203</v>
      </c>
      <c r="LVR11" s="314" t="s">
        <v>203</v>
      </c>
      <c r="LVS11" s="314" t="s">
        <v>203</v>
      </c>
      <c r="LVT11" s="314" t="s">
        <v>203</v>
      </c>
      <c r="LVU11" s="314" t="s">
        <v>203</v>
      </c>
      <c r="LVV11" s="314" t="s">
        <v>203</v>
      </c>
      <c r="LVW11" s="314" t="s">
        <v>203</v>
      </c>
      <c r="LVX11" s="314" t="s">
        <v>203</v>
      </c>
      <c r="LVY11" s="314" t="s">
        <v>203</v>
      </c>
      <c r="LVZ11" s="314" t="s">
        <v>203</v>
      </c>
      <c r="LWA11" s="314" t="s">
        <v>203</v>
      </c>
      <c r="LWB11" s="314" t="s">
        <v>203</v>
      </c>
      <c r="LWC11" s="314" t="s">
        <v>203</v>
      </c>
      <c r="LWD11" s="314" t="s">
        <v>203</v>
      </c>
      <c r="LWE11" s="314" t="s">
        <v>203</v>
      </c>
      <c r="LWF11" s="314" t="s">
        <v>203</v>
      </c>
      <c r="LWG11" s="314" t="s">
        <v>203</v>
      </c>
      <c r="LWH11" s="314" t="s">
        <v>203</v>
      </c>
      <c r="LWI11" s="314" t="s">
        <v>203</v>
      </c>
      <c r="LWJ11" s="314" t="s">
        <v>203</v>
      </c>
      <c r="LWK11" s="314" t="s">
        <v>203</v>
      </c>
      <c r="LWL11" s="314" t="s">
        <v>203</v>
      </c>
      <c r="LWM11" s="314" t="s">
        <v>203</v>
      </c>
      <c r="LWN11" s="314" t="s">
        <v>203</v>
      </c>
      <c r="LWO11" s="314" t="s">
        <v>203</v>
      </c>
      <c r="LWP11" s="314" t="s">
        <v>203</v>
      </c>
      <c r="LWQ11" s="314" t="s">
        <v>203</v>
      </c>
      <c r="LWR11" s="314" t="s">
        <v>203</v>
      </c>
      <c r="LWS11" s="314" t="s">
        <v>203</v>
      </c>
      <c r="LWT11" s="314" t="s">
        <v>203</v>
      </c>
      <c r="LWU11" s="314" t="s">
        <v>203</v>
      </c>
      <c r="LWV11" s="314" t="s">
        <v>203</v>
      </c>
      <c r="LWW11" s="314" t="s">
        <v>203</v>
      </c>
      <c r="LWX11" s="314" t="s">
        <v>203</v>
      </c>
      <c r="LWY11" s="314" t="s">
        <v>203</v>
      </c>
      <c r="LWZ11" s="314" t="s">
        <v>203</v>
      </c>
      <c r="LXA11" s="314" t="s">
        <v>203</v>
      </c>
      <c r="LXB11" s="314" t="s">
        <v>203</v>
      </c>
      <c r="LXC11" s="314" t="s">
        <v>203</v>
      </c>
      <c r="LXD11" s="314" t="s">
        <v>203</v>
      </c>
      <c r="LXE11" s="314" t="s">
        <v>203</v>
      </c>
      <c r="LXF11" s="314" t="s">
        <v>203</v>
      </c>
      <c r="LXG11" s="314" t="s">
        <v>203</v>
      </c>
      <c r="LXH11" s="314" t="s">
        <v>203</v>
      </c>
      <c r="LXI11" s="314" t="s">
        <v>203</v>
      </c>
      <c r="LXJ11" s="314" t="s">
        <v>203</v>
      </c>
      <c r="LXK11" s="314" t="s">
        <v>203</v>
      </c>
      <c r="LXL11" s="314" t="s">
        <v>203</v>
      </c>
      <c r="LXM11" s="314" t="s">
        <v>203</v>
      </c>
      <c r="LXN11" s="314" t="s">
        <v>203</v>
      </c>
      <c r="LXO11" s="314" t="s">
        <v>203</v>
      </c>
      <c r="LXP11" s="314" t="s">
        <v>203</v>
      </c>
      <c r="LXQ11" s="314" t="s">
        <v>203</v>
      </c>
      <c r="LXR11" s="314" t="s">
        <v>203</v>
      </c>
      <c r="LXS11" s="314" t="s">
        <v>203</v>
      </c>
      <c r="LXT11" s="314" t="s">
        <v>203</v>
      </c>
      <c r="LXU11" s="314" t="s">
        <v>203</v>
      </c>
      <c r="LXV11" s="314" t="s">
        <v>203</v>
      </c>
      <c r="LXW11" s="314" t="s">
        <v>203</v>
      </c>
      <c r="LXX11" s="314" t="s">
        <v>203</v>
      </c>
      <c r="LXY11" s="314" t="s">
        <v>203</v>
      </c>
      <c r="LXZ11" s="314" t="s">
        <v>203</v>
      </c>
      <c r="LYA11" s="314" t="s">
        <v>203</v>
      </c>
      <c r="LYB11" s="314" t="s">
        <v>203</v>
      </c>
      <c r="LYC11" s="314" t="s">
        <v>203</v>
      </c>
      <c r="LYD11" s="314" t="s">
        <v>203</v>
      </c>
      <c r="LYE11" s="314" t="s">
        <v>203</v>
      </c>
      <c r="LYF11" s="314" t="s">
        <v>203</v>
      </c>
      <c r="LYG11" s="314" t="s">
        <v>203</v>
      </c>
      <c r="LYH11" s="314" t="s">
        <v>203</v>
      </c>
      <c r="LYI11" s="314" t="s">
        <v>203</v>
      </c>
      <c r="LYJ11" s="314" t="s">
        <v>203</v>
      </c>
      <c r="LYK11" s="314" t="s">
        <v>203</v>
      </c>
      <c r="LYL11" s="314" t="s">
        <v>203</v>
      </c>
      <c r="LYM11" s="314" t="s">
        <v>203</v>
      </c>
      <c r="LYN11" s="314" t="s">
        <v>203</v>
      </c>
      <c r="LYO11" s="314" t="s">
        <v>203</v>
      </c>
      <c r="LYP11" s="314" t="s">
        <v>203</v>
      </c>
      <c r="LYQ11" s="314" t="s">
        <v>203</v>
      </c>
      <c r="LYR11" s="314" t="s">
        <v>203</v>
      </c>
      <c r="LYS11" s="314" t="s">
        <v>203</v>
      </c>
      <c r="LYT11" s="314" t="s">
        <v>203</v>
      </c>
      <c r="LYU11" s="314" t="s">
        <v>203</v>
      </c>
      <c r="LYV11" s="314" t="s">
        <v>203</v>
      </c>
      <c r="LYW11" s="314" t="s">
        <v>203</v>
      </c>
      <c r="LYX11" s="314" t="s">
        <v>203</v>
      </c>
      <c r="LYY11" s="314" t="s">
        <v>203</v>
      </c>
      <c r="LYZ11" s="314" t="s">
        <v>203</v>
      </c>
      <c r="LZA11" s="314" t="s">
        <v>203</v>
      </c>
      <c r="LZB11" s="314" t="s">
        <v>203</v>
      </c>
      <c r="LZC11" s="314" t="s">
        <v>203</v>
      </c>
      <c r="LZD11" s="314" t="s">
        <v>203</v>
      </c>
      <c r="LZE11" s="314" t="s">
        <v>203</v>
      </c>
      <c r="LZF11" s="314" t="s">
        <v>203</v>
      </c>
      <c r="LZG11" s="314" t="s">
        <v>203</v>
      </c>
      <c r="LZH11" s="314" t="s">
        <v>203</v>
      </c>
      <c r="LZI11" s="314" t="s">
        <v>203</v>
      </c>
      <c r="LZJ11" s="314" t="s">
        <v>203</v>
      </c>
      <c r="LZK11" s="314" t="s">
        <v>203</v>
      </c>
      <c r="LZL11" s="314" t="s">
        <v>203</v>
      </c>
      <c r="LZM11" s="314" t="s">
        <v>203</v>
      </c>
      <c r="LZN11" s="314" t="s">
        <v>203</v>
      </c>
      <c r="LZO11" s="314" t="s">
        <v>203</v>
      </c>
      <c r="LZP11" s="314" t="s">
        <v>203</v>
      </c>
      <c r="LZQ11" s="314" t="s">
        <v>203</v>
      </c>
      <c r="LZR11" s="314" t="s">
        <v>203</v>
      </c>
      <c r="LZS11" s="314" t="s">
        <v>203</v>
      </c>
      <c r="LZT11" s="314" t="s">
        <v>203</v>
      </c>
      <c r="LZU11" s="314" t="s">
        <v>203</v>
      </c>
      <c r="LZV11" s="314" t="s">
        <v>203</v>
      </c>
      <c r="LZW11" s="314" t="s">
        <v>203</v>
      </c>
      <c r="LZX11" s="314" t="s">
        <v>203</v>
      </c>
      <c r="LZY11" s="314" t="s">
        <v>203</v>
      </c>
      <c r="LZZ11" s="314" t="s">
        <v>203</v>
      </c>
      <c r="MAA11" s="314" t="s">
        <v>203</v>
      </c>
      <c r="MAB11" s="314" t="s">
        <v>203</v>
      </c>
      <c r="MAC11" s="314" t="s">
        <v>203</v>
      </c>
      <c r="MAD11" s="314" t="s">
        <v>203</v>
      </c>
      <c r="MAE11" s="314" t="s">
        <v>203</v>
      </c>
      <c r="MAF11" s="314" t="s">
        <v>203</v>
      </c>
      <c r="MAG11" s="314" t="s">
        <v>203</v>
      </c>
      <c r="MAH11" s="314" t="s">
        <v>203</v>
      </c>
      <c r="MAI11" s="314" t="s">
        <v>203</v>
      </c>
      <c r="MAJ11" s="314" t="s">
        <v>203</v>
      </c>
      <c r="MAK11" s="314" t="s">
        <v>203</v>
      </c>
      <c r="MAL11" s="314" t="s">
        <v>203</v>
      </c>
      <c r="MAM11" s="314" t="s">
        <v>203</v>
      </c>
      <c r="MAN11" s="314" t="s">
        <v>203</v>
      </c>
      <c r="MAO11" s="314" t="s">
        <v>203</v>
      </c>
      <c r="MAP11" s="314" t="s">
        <v>203</v>
      </c>
      <c r="MAQ11" s="314" t="s">
        <v>203</v>
      </c>
      <c r="MAR11" s="314" t="s">
        <v>203</v>
      </c>
      <c r="MAS11" s="314" t="s">
        <v>203</v>
      </c>
      <c r="MAT11" s="314" t="s">
        <v>203</v>
      </c>
      <c r="MAU11" s="314" t="s">
        <v>203</v>
      </c>
      <c r="MAV11" s="314" t="s">
        <v>203</v>
      </c>
      <c r="MAW11" s="314" t="s">
        <v>203</v>
      </c>
      <c r="MAX11" s="314" t="s">
        <v>203</v>
      </c>
      <c r="MAY11" s="314" t="s">
        <v>203</v>
      </c>
      <c r="MAZ11" s="314" t="s">
        <v>203</v>
      </c>
      <c r="MBA11" s="314" t="s">
        <v>203</v>
      </c>
      <c r="MBB11" s="314" t="s">
        <v>203</v>
      </c>
      <c r="MBC11" s="314" t="s">
        <v>203</v>
      </c>
      <c r="MBD11" s="314" t="s">
        <v>203</v>
      </c>
      <c r="MBE11" s="314" t="s">
        <v>203</v>
      </c>
      <c r="MBF11" s="314" t="s">
        <v>203</v>
      </c>
      <c r="MBG11" s="314" t="s">
        <v>203</v>
      </c>
      <c r="MBH11" s="314" t="s">
        <v>203</v>
      </c>
      <c r="MBI11" s="314" t="s">
        <v>203</v>
      </c>
      <c r="MBJ11" s="314" t="s">
        <v>203</v>
      </c>
      <c r="MBK11" s="314" t="s">
        <v>203</v>
      </c>
      <c r="MBL11" s="314" t="s">
        <v>203</v>
      </c>
      <c r="MBM11" s="314" t="s">
        <v>203</v>
      </c>
      <c r="MBN11" s="314" t="s">
        <v>203</v>
      </c>
      <c r="MBO11" s="314" t="s">
        <v>203</v>
      </c>
      <c r="MBP11" s="314" t="s">
        <v>203</v>
      </c>
      <c r="MBQ11" s="314" t="s">
        <v>203</v>
      </c>
      <c r="MBR11" s="314" t="s">
        <v>203</v>
      </c>
      <c r="MBS11" s="314" t="s">
        <v>203</v>
      </c>
      <c r="MBT11" s="314" t="s">
        <v>203</v>
      </c>
      <c r="MBU11" s="314" t="s">
        <v>203</v>
      </c>
      <c r="MBV11" s="314" t="s">
        <v>203</v>
      </c>
      <c r="MBW11" s="314" t="s">
        <v>203</v>
      </c>
      <c r="MBX11" s="314" t="s">
        <v>203</v>
      </c>
      <c r="MBY11" s="314" t="s">
        <v>203</v>
      </c>
      <c r="MBZ11" s="314" t="s">
        <v>203</v>
      </c>
      <c r="MCA11" s="314" t="s">
        <v>203</v>
      </c>
      <c r="MCB11" s="314" t="s">
        <v>203</v>
      </c>
      <c r="MCC11" s="314" t="s">
        <v>203</v>
      </c>
      <c r="MCD11" s="314" t="s">
        <v>203</v>
      </c>
      <c r="MCE11" s="314" t="s">
        <v>203</v>
      </c>
      <c r="MCF11" s="314" t="s">
        <v>203</v>
      </c>
      <c r="MCG11" s="314" t="s">
        <v>203</v>
      </c>
      <c r="MCH11" s="314" t="s">
        <v>203</v>
      </c>
      <c r="MCI11" s="314" t="s">
        <v>203</v>
      </c>
      <c r="MCJ11" s="314" t="s">
        <v>203</v>
      </c>
      <c r="MCK11" s="314" t="s">
        <v>203</v>
      </c>
      <c r="MCL11" s="314" t="s">
        <v>203</v>
      </c>
      <c r="MCM11" s="314" t="s">
        <v>203</v>
      </c>
      <c r="MCN11" s="314" t="s">
        <v>203</v>
      </c>
      <c r="MCO11" s="314" t="s">
        <v>203</v>
      </c>
      <c r="MCP11" s="314" t="s">
        <v>203</v>
      </c>
      <c r="MCQ11" s="314" t="s">
        <v>203</v>
      </c>
      <c r="MCR11" s="314" t="s">
        <v>203</v>
      </c>
      <c r="MCS11" s="314" t="s">
        <v>203</v>
      </c>
      <c r="MCT11" s="314" t="s">
        <v>203</v>
      </c>
      <c r="MCU11" s="314" t="s">
        <v>203</v>
      </c>
      <c r="MCV11" s="314" t="s">
        <v>203</v>
      </c>
      <c r="MCW11" s="314" t="s">
        <v>203</v>
      </c>
      <c r="MCX11" s="314" t="s">
        <v>203</v>
      </c>
      <c r="MCY11" s="314" t="s">
        <v>203</v>
      </c>
      <c r="MCZ11" s="314" t="s">
        <v>203</v>
      </c>
      <c r="MDA11" s="314" t="s">
        <v>203</v>
      </c>
      <c r="MDB11" s="314" t="s">
        <v>203</v>
      </c>
      <c r="MDC11" s="314" t="s">
        <v>203</v>
      </c>
      <c r="MDD11" s="314" t="s">
        <v>203</v>
      </c>
      <c r="MDE11" s="314" t="s">
        <v>203</v>
      </c>
      <c r="MDF11" s="314" t="s">
        <v>203</v>
      </c>
      <c r="MDG11" s="314" t="s">
        <v>203</v>
      </c>
      <c r="MDH11" s="314" t="s">
        <v>203</v>
      </c>
      <c r="MDI11" s="314" t="s">
        <v>203</v>
      </c>
      <c r="MDJ11" s="314" t="s">
        <v>203</v>
      </c>
      <c r="MDK11" s="314" t="s">
        <v>203</v>
      </c>
      <c r="MDL11" s="314" t="s">
        <v>203</v>
      </c>
      <c r="MDM11" s="314" t="s">
        <v>203</v>
      </c>
      <c r="MDN11" s="314" t="s">
        <v>203</v>
      </c>
      <c r="MDO11" s="314" t="s">
        <v>203</v>
      </c>
      <c r="MDP11" s="314" t="s">
        <v>203</v>
      </c>
      <c r="MDQ11" s="314" t="s">
        <v>203</v>
      </c>
      <c r="MDR11" s="314" t="s">
        <v>203</v>
      </c>
      <c r="MDS11" s="314" t="s">
        <v>203</v>
      </c>
      <c r="MDT11" s="314" t="s">
        <v>203</v>
      </c>
      <c r="MDU11" s="314" t="s">
        <v>203</v>
      </c>
      <c r="MDV11" s="314" t="s">
        <v>203</v>
      </c>
      <c r="MDW11" s="314" t="s">
        <v>203</v>
      </c>
      <c r="MDX11" s="314" t="s">
        <v>203</v>
      </c>
      <c r="MDY11" s="314" t="s">
        <v>203</v>
      </c>
      <c r="MDZ11" s="314" t="s">
        <v>203</v>
      </c>
      <c r="MEA11" s="314" t="s">
        <v>203</v>
      </c>
      <c r="MEB11" s="314" t="s">
        <v>203</v>
      </c>
      <c r="MEC11" s="314" t="s">
        <v>203</v>
      </c>
      <c r="MED11" s="314" t="s">
        <v>203</v>
      </c>
      <c r="MEE11" s="314" t="s">
        <v>203</v>
      </c>
      <c r="MEF11" s="314" t="s">
        <v>203</v>
      </c>
      <c r="MEG11" s="314" t="s">
        <v>203</v>
      </c>
      <c r="MEH11" s="314" t="s">
        <v>203</v>
      </c>
      <c r="MEI11" s="314" t="s">
        <v>203</v>
      </c>
      <c r="MEJ11" s="314" t="s">
        <v>203</v>
      </c>
      <c r="MEK11" s="314" t="s">
        <v>203</v>
      </c>
      <c r="MEL11" s="314" t="s">
        <v>203</v>
      </c>
      <c r="MEM11" s="314" t="s">
        <v>203</v>
      </c>
      <c r="MEN11" s="314" t="s">
        <v>203</v>
      </c>
      <c r="MEO11" s="314" t="s">
        <v>203</v>
      </c>
      <c r="MEP11" s="314" t="s">
        <v>203</v>
      </c>
      <c r="MEQ11" s="314" t="s">
        <v>203</v>
      </c>
      <c r="MER11" s="314" t="s">
        <v>203</v>
      </c>
      <c r="MES11" s="314" t="s">
        <v>203</v>
      </c>
      <c r="MET11" s="314" t="s">
        <v>203</v>
      </c>
      <c r="MEU11" s="314" t="s">
        <v>203</v>
      </c>
      <c r="MEV11" s="314" t="s">
        <v>203</v>
      </c>
      <c r="MEW11" s="314" t="s">
        <v>203</v>
      </c>
      <c r="MEX11" s="314" t="s">
        <v>203</v>
      </c>
      <c r="MEY11" s="314" t="s">
        <v>203</v>
      </c>
      <c r="MEZ11" s="314" t="s">
        <v>203</v>
      </c>
      <c r="MFA11" s="314" t="s">
        <v>203</v>
      </c>
      <c r="MFB11" s="314" t="s">
        <v>203</v>
      </c>
      <c r="MFC11" s="314" t="s">
        <v>203</v>
      </c>
      <c r="MFD11" s="314" t="s">
        <v>203</v>
      </c>
      <c r="MFE11" s="314" t="s">
        <v>203</v>
      </c>
      <c r="MFF11" s="314" t="s">
        <v>203</v>
      </c>
      <c r="MFG11" s="314" t="s">
        <v>203</v>
      </c>
      <c r="MFH11" s="314" t="s">
        <v>203</v>
      </c>
      <c r="MFI11" s="314" t="s">
        <v>203</v>
      </c>
      <c r="MFJ11" s="314" t="s">
        <v>203</v>
      </c>
      <c r="MFK11" s="314" t="s">
        <v>203</v>
      </c>
      <c r="MFL11" s="314" t="s">
        <v>203</v>
      </c>
      <c r="MFM11" s="314" t="s">
        <v>203</v>
      </c>
      <c r="MFN11" s="314" t="s">
        <v>203</v>
      </c>
      <c r="MFO11" s="314" t="s">
        <v>203</v>
      </c>
      <c r="MFP11" s="314" t="s">
        <v>203</v>
      </c>
      <c r="MFQ11" s="314" t="s">
        <v>203</v>
      </c>
      <c r="MFR11" s="314" t="s">
        <v>203</v>
      </c>
      <c r="MFS11" s="314" t="s">
        <v>203</v>
      </c>
      <c r="MFT11" s="314" t="s">
        <v>203</v>
      </c>
      <c r="MFU11" s="314" t="s">
        <v>203</v>
      </c>
      <c r="MFV11" s="314" t="s">
        <v>203</v>
      </c>
      <c r="MFW11" s="314" t="s">
        <v>203</v>
      </c>
      <c r="MFX11" s="314" t="s">
        <v>203</v>
      </c>
      <c r="MFY11" s="314" t="s">
        <v>203</v>
      </c>
      <c r="MFZ11" s="314" t="s">
        <v>203</v>
      </c>
      <c r="MGA11" s="314" t="s">
        <v>203</v>
      </c>
      <c r="MGB11" s="314" t="s">
        <v>203</v>
      </c>
      <c r="MGC11" s="314" t="s">
        <v>203</v>
      </c>
      <c r="MGD11" s="314" t="s">
        <v>203</v>
      </c>
      <c r="MGE11" s="314" t="s">
        <v>203</v>
      </c>
      <c r="MGF11" s="314" t="s">
        <v>203</v>
      </c>
      <c r="MGG11" s="314" t="s">
        <v>203</v>
      </c>
      <c r="MGH11" s="314" t="s">
        <v>203</v>
      </c>
      <c r="MGI11" s="314" t="s">
        <v>203</v>
      </c>
      <c r="MGJ11" s="314" t="s">
        <v>203</v>
      </c>
      <c r="MGK11" s="314" t="s">
        <v>203</v>
      </c>
      <c r="MGL11" s="314" t="s">
        <v>203</v>
      </c>
      <c r="MGM11" s="314" t="s">
        <v>203</v>
      </c>
      <c r="MGN11" s="314" t="s">
        <v>203</v>
      </c>
      <c r="MGO11" s="314" t="s">
        <v>203</v>
      </c>
      <c r="MGP11" s="314" t="s">
        <v>203</v>
      </c>
      <c r="MGQ11" s="314" t="s">
        <v>203</v>
      </c>
      <c r="MGR11" s="314" t="s">
        <v>203</v>
      </c>
      <c r="MGS11" s="314" t="s">
        <v>203</v>
      </c>
      <c r="MGT11" s="314" t="s">
        <v>203</v>
      </c>
      <c r="MGU11" s="314" t="s">
        <v>203</v>
      </c>
      <c r="MGV11" s="314" t="s">
        <v>203</v>
      </c>
      <c r="MGW11" s="314" t="s">
        <v>203</v>
      </c>
      <c r="MGX11" s="314" t="s">
        <v>203</v>
      </c>
      <c r="MGY11" s="314" t="s">
        <v>203</v>
      </c>
      <c r="MGZ11" s="314" t="s">
        <v>203</v>
      </c>
      <c r="MHA11" s="314" t="s">
        <v>203</v>
      </c>
      <c r="MHB11" s="314" t="s">
        <v>203</v>
      </c>
      <c r="MHC11" s="314" t="s">
        <v>203</v>
      </c>
      <c r="MHD11" s="314" t="s">
        <v>203</v>
      </c>
      <c r="MHE11" s="314" t="s">
        <v>203</v>
      </c>
      <c r="MHF11" s="314" t="s">
        <v>203</v>
      </c>
      <c r="MHG11" s="314" t="s">
        <v>203</v>
      </c>
      <c r="MHH11" s="314" t="s">
        <v>203</v>
      </c>
      <c r="MHI11" s="314" t="s">
        <v>203</v>
      </c>
      <c r="MHJ11" s="314" t="s">
        <v>203</v>
      </c>
      <c r="MHK11" s="314" t="s">
        <v>203</v>
      </c>
      <c r="MHL11" s="314" t="s">
        <v>203</v>
      </c>
      <c r="MHM11" s="314" t="s">
        <v>203</v>
      </c>
      <c r="MHN11" s="314" t="s">
        <v>203</v>
      </c>
      <c r="MHO11" s="314" t="s">
        <v>203</v>
      </c>
      <c r="MHP11" s="314" t="s">
        <v>203</v>
      </c>
      <c r="MHQ11" s="314" t="s">
        <v>203</v>
      </c>
      <c r="MHR11" s="314" t="s">
        <v>203</v>
      </c>
      <c r="MHS11" s="314" t="s">
        <v>203</v>
      </c>
      <c r="MHT11" s="314" t="s">
        <v>203</v>
      </c>
      <c r="MHU11" s="314" t="s">
        <v>203</v>
      </c>
      <c r="MHV11" s="314" t="s">
        <v>203</v>
      </c>
      <c r="MHW11" s="314" t="s">
        <v>203</v>
      </c>
      <c r="MHX11" s="314" t="s">
        <v>203</v>
      </c>
      <c r="MHY11" s="314" t="s">
        <v>203</v>
      </c>
      <c r="MHZ11" s="314" t="s">
        <v>203</v>
      </c>
      <c r="MIA11" s="314" t="s">
        <v>203</v>
      </c>
      <c r="MIB11" s="314" t="s">
        <v>203</v>
      </c>
      <c r="MIC11" s="314" t="s">
        <v>203</v>
      </c>
      <c r="MID11" s="314" t="s">
        <v>203</v>
      </c>
      <c r="MIE11" s="314" t="s">
        <v>203</v>
      </c>
      <c r="MIF11" s="314" t="s">
        <v>203</v>
      </c>
      <c r="MIG11" s="314" t="s">
        <v>203</v>
      </c>
      <c r="MIH11" s="314" t="s">
        <v>203</v>
      </c>
      <c r="MII11" s="314" t="s">
        <v>203</v>
      </c>
      <c r="MIJ11" s="314" t="s">
        <v>203</v>
      </c>
      <c r="MIK11" s="314" t="s">
        <v>203</v>
      </c>
      <c r="MIL11" s="314" t="s">
        <v>203</v>
      </c>
      <c r="MIM11" s="314" t="s">
        <v>203</v>
      </c>
      <c r="MIN11" s="314" t="s">
        <v>203</v>
      </c>
      <c r="MIO11" s="314" t="s">
        <v>203</v>
      </c>
      <c r="MIP11" s="314" t="s">
        <v>203</v>
      </c>
      <c r="MIQ11" s="314" t="s">
        <v>203</v>
      </c>
      <c r="MIR11" s="314" t="s">
        <v>203</v>
      </c>
      <c r="MIS11" s="314" t="s">
        <v>203</v>
      </c>
      <c r="MIT11" s="314" t="s">
        <v>203</v>
      </c>
      <c r="MIU11" s="314" t="s">
        <v>203</v>
      </c>
      <c r="MIV11" s="314" t="s">
        <v>203</v>
      </c>
      <c r="MIW11" s="314" t="s">
        <v>203</v>
      </c>
      <c r="MIX11" s="314" t="s">
        <v>203</v>
      </c>
      <c r="MIY11" s="314" t="s">
        <v>203</v>
      </c>
      <c r="MIZ11" s="314" t="s">
        <v>203</v>
      </c>
      <c r="MJA11" s="314" t="s">
        <v>203</v>
      </c>
      <c r="MJB11" s="314" t="s">
        <v>203</v>
      </c>
      <c r="MJC11" s="314" t="s">
        <v>203</v>
      </c>
      <c r="MJD11" s="314" t="s">
        <v>203</v>
      </c>
      <c r="MJE11" s="314" t="s">
        <v>203</v>
      </c>
      <c r="MJF11" s="314" t="s">
        <v>203</v>
      </c>
      <c r="MJG11" s="314" t="s">
        <v>203</v>
      </c>
      <c r="MJH11" s="314" t="s">
        <v>203</v>
      </c>
      <c r="MJI11" s="314" t="s">
        <v>203</v>
      </c>
      <c r="MJJ11" s="314" t="s">
        <v>203</v>
      </c>
      <c r="MJK11" s="314" t="s">
        <v>203</v>
      </c>
      <c r="MJL11" s="314" t="s">
        <v>203</v>
      </c>
      <c r="MJM11" s="314" t="s">
        <v>203</v>
      </c>
      <c r="MJN11" s="314" t="s">
        <v>203</v>
      </c>
      <c r="MJO11" s="314" t="s">
        <v>203</v>
      </c>
      <c r="MJP11" s="314" t="s">
        <v>203</v>
      </c>
      <c r="MJQ11" s="314" t="s">
        <v>203</v>
      </c>
      <c r="MJR11" s="314" t="s">
        <v>203</v>
      </c>
      <c r="MJS11" s="314" t="s">
        <v>203</v>
      </c>
      <c r="MJT11" s="314" t="s">
        <v>203</v>
      </c>
      <c r="MJU11" s="314" t="s">
        <v>203</v>
      </c>
      <c r="MJV11" s="314" t="s">
        <v>203</v>
      </c>
      <c r="MJW11" s="314" t="s">
        <v>203</v>
      </c>
      <c r="MJX11" s="314" t="s">
        <v>203</v>
      </c>
      <c r="MJY11" s="314" t="s">
        <v>203</v>
      </c>
      <c r="MJZ11" s="314" t="s">
        <v>203</v>
      </c>
      <c r="MKA11" s="314" t="s">
        <v>203</v>
      </c>
      <c r="MKB11" s="314" t="s">
        <v>203</v>
      </c>
      <c r="MKC11" s="314" t="s">
        <v>203</v>
      </c>
      <c r="MKD11" s="314" t="s">
        <v>203</v>
      </c>
      <c r="MKE11" s="314" t="s">
        <v>203</v>
      </c>
      <c r="MKF11" s="314" t="s">
        <v>203</v>
      </c>
      <c r="MKG11" s="314" t="s">
        <v>203</v>
      </c>
      <c r="MKH11" s="314" t="s">
        <v>203</v>
      </c>
      <c r="MKI11" s="314" t="s">
        <v>203</v>
      </c>
      <c r="MKJ11" s="314" t="s">
        <v>203</v>
      </c>
      <c r="MKK11" s="314" t="s">
        <v>203</v>
      </c>
      <c r="MKL11" s="314" t="s">
        <v>203</v>
      </c>
      <c r="MKM11" s="314" t="s">
        <v>203</v>
      </c>
      <c r="MKN11" s="314" t="s">
        <v>203</v>
      </c>
      <c r="MKO11" s="314" t="s">
        <v>203</v>
      </c>
      <c r="MKP11" s="314" t="s">
        <v>203</v>
      </c>
      <c r="MKQ11" s="314" t="s">
        <v>203</v>
      </c>
      <c r="MKR11" s="314" t="s">
        <v>203</v>
      </c>
      <c r="MKS11" s="314" t="s">
        <v>203</v>
      </c>
      <c r="MKT11" s="314" t="s">
        <v>203</v>
      </c>
      <c r="MKU11" s="314" t="s">
        <v>203</v>
      </c>
      <c r="MKV11" s="314" t="s">
        <v>203</v>
      </c>
      <c r="MKW11" s="314" t="s">
        <v>203</v>
      </c>
      <c r="MKX11" s="314" t="s">
        <v>203</v>
      </c>
      <c r="MKY11" s="314" t="s">
        <v>203</v>
      </c>
      <c r="MKZ11" s="314" t="s">
        <v>203</v>
      </c>
      <c r="MLA11" s="314" t="s">
        <v>203</v>
      </c>
      <c r="MLB11" s="314" t="s">
        <v>203</v>
      </c>
      <c r="MLC11" s="314" t="s">
        <v>203</v>
      </c>
      <c r="MLD11" s="314" t="s">
        <v>203</v>
      </c>
      <c r="MLE11" s="314" t="s">
        <v>203</v>
      </c>
      <c r="MLF11" s="314" t="s">
        <v>203</v>
      </c>
      <c r="MLG11" s="314" t="s">
        <v>203</v>
      </c>
      <c r="MLH11" s="314" t="s">
        <v>203</v>
      </c>
      <c r="MLI11" s="314" t="s">
        <v>203</v>
      </c>
      <c r="MLJ11" s="314" t="s">
        <v>203</v>
      </c>
      <c r="MLK11" s="314" t="s">
        <v>203</v>
      </c>
      <c r="MLL11" s="314" t="s">
        <v>203</v>
      </c>
      <c r="MLM11" s="314" t="s">
        <v>203</v>
      </c>
      <c r="MLN11" s="314" t="s">
        <v>203</v>
      </c>
      <c r="MLO11" s="314" t="s">
        <v>203</v>
      </c>
      <c r="MLP11" s="314" t="s">
        <v>203</v>
      </c>
      <c r="MLQ11" s="314" t="s">
        <v>203</v>
      </c>
      <c r="MLR11" s="314" t="s">
        <v>203</v>
      </c>
      <c r="MLS11" s="314" t="s">
        <v>203</v>
      </c>
      <c r="MLT11" s="314" t="s">
        <v>203</v>
      </c>
      <c r="MLU11" s="314" t="s">
        <v>203</v>
      </c>
      <c r="MLV11" s="314" t="s">
        <v>203</v>
      </c>
      <c r="MLW11" s="314" t="s">
        <v>203</v>
      </c>
      <c r="MLX11" s="314" t="s">
        <v>203</v>
      </c>
      <c r="MLY11" s="314" t="s">
        <v>203</v>
      </c>
      <c r="MLZ11" s="314" t="s">
        <v>203</v>
      </c>
      <c r="MMA11" s="314" t="s">
        <v>203</v>
      </c>
      <c r="MMB11" s="314" t="s">
        <v>203</v>
      </c>
      <c r="MMC11" s="314" t="s">
        <v>203</v>
      </c>
      <c r="MMD11" s="314" t="s">
        <v>203</v>
      </c>
      <c r="MME11" s="314" t="s">
        <v>203</v>
      </c>
      <c r="MMF11" s="314" t="s">
        <v>203</v>
      </c>
      <c r="MMG11" s="314" t="s">
        <v>203</v>
      </c>
      <c r="MMH11" s="314" t="s">
        <v>203</v>
      </c>
      <c r="MMI11" s="314" t="s">
        <v>203</v>
      </c>
      <c r="MMJ11" s="314" t="s">
        <v>203</v>
      </c>
      <c r="MMK11" s="314" t="s">
        <v>203</v>
      </c>
      <c r="MML11" s="314" t="s">
        <v>203</v>
      </c>
      <c r="MMM11" s="314" t="s">
        <v>203</v>
      </c>
      <c r="MMN11" s="314" t="s">
        <v>203</v>
      </c>
      <c r="MMO11" s="314" t="s">
        <v>203</v>
      </c>
      <c r="MMP11" s="314" t="s">
        <v>203</v>
      </c>
      <c r="MMQ11" s="314" t="s">
        <v>203</v>
      </c>
      <c r="MMR11" s="314" t="s">
        <v>203</v>
      </c>
      <c r="MMS11" s="314" t="s">
        <v>203</v>
      </c>
      <c r="MMT11" s="314" t="s">
        <v>203</v>
      </c>
      <c r="MMU11" s="314" t="s">
        <v>203</v>
      </c>
      <c r="MMV11" s="314" t="s">
        <v>203</v>
      </c>
      <c r="MMW11" s="314" t="s">
        <v>203</v>
      </c>
      <c r="MMX11" s="314" t="s">
        <v>203</v>
      </c>
      <c r="MMY11" s="314" t="s">
        <v>203</v>
      </c>
      <c r="MMZ11" s="314" t="s">
        <v>203</v>
      </c>
      <c r="MNA11" s="314" t="s">
        <v>203</v>
      </c>
      <c r="MNB11" s="314" t="s">
        <v>203</v>
      </c>
      <c r="MNC11" s="314" t="s">
        <v>203</v>
      </c>
      <c r="MND11" s="314" t="s">
        <v>203</v>
      </c>
      <c r="MNE11" s="314" t="s">
        <v>203</v>
      </c>
      <c r="MNF11" s="314" t="s">
        <v>203</v>
      </c>
      <c r="MNG11" s="314" t="s">
        <v>203</v>
      </c>
      <c r="MNH11" s="314" t="s">
        <v>203</v>
      </c>
      <c r="MNI11" s="314" t="s">
        <v>203</v>
      </c>
      <c r="MNJ11" s="314" t="s">
        <v>203</v>
      </c>
      <c r="MNK11" s="314" t="s">
        <v>203</v>
      </c>
      <c r="MNL11" s="314" t="s">
        <v>203</v>
      </c>
      <c r="MNM11" s="314" t="s">
        <v>203</v>
      </c>
      <c r="MNN11" s="314" t="s">
        <v>203</v>
      </c>
      <c r="MNO11" s="314" t="s">
        <v>203</v>
      </c>
      <c r="MNP11" s="314" t="s">
        <v>203</v>
      </c>
      <c r="MNQ11" s="314" t="s">
        <v>203</v>
      </c>
      <c r="MNR11" s="314" t="s">
        <v>203</v>
      </c>
      <c r="MNS11" s="314" t="s">
        <v>203</v>
      </c>
      <c r="MNT11" s="314" t="s">
        <v>203</v>
      </c>
      <c r="MNU11" s="314" t="s">
        <v>203</v>
      </c>
      <c r="MNV11" s="314" t="s">
        <v>203</v>
      </c>
      <c r="MNW11" s="314" t="s">
        <v>203</v>
      </c>
      <c r="MNX11" s="314" t="s">
        <v>203</v>
      </c>
      <c r="MNY11" s="314" t="s">
        <v>203</v>
      </c>
      <c r="MNZ11" s="314" t="s">
        <v>203</v>
      </c>
      <c r="MOA11" s="314" t="s">
        <v>203</v>
      </c>
      <c r="MOB11" s="314" t="s">
        <v>203</v>
      </c>
      <c r="MOC11" s="314" t="s">
        <v>203</v>
      </c>
      <c r="MOD11" s="314" t="s">
        <v>203</v>
      </c>
      <c r="MOE11" s="314" t="s">
        <v>203</v>
      </c>
      <c r="MOF11" s="314" t="s">
        <v>203</v>
      </c>
      <c r="MOG11" s="314" t="s">
        <v>203</v>
      </c>
      <c r="MOH11" s="314" t="s">
        <v>203</v>
      </c>
      <c r="MOI11" s="314" t="s">
        <v>203</v>
      </c>
      <c r="MOJ11" s="314" t="s">
        <v>203</v>
      </c>
      <c r="MOK11" s="314" t="s">
        <v>203</v>
      </c>
      <c r="MOL11" s="314" t="s">
        <v>203</v>
      </c>
      <c r="MOM11" s="314" t="s">
        <v>203</v>
      </c>
      <c r="MON11" s="314" t="s">
        <v>203</v>
      </c>
      <c r="MOO11" s="314" t="s">
        <v>203</v>
      </c>
      <c r="MOP11" s="314" t="s">
        <v>203</v>
      </c>
      <c r="MOQ11" s="314" t="s">
        <v>203</v>
      </c>
      <c r="MOR11" s="314" t="s">
        <v>203</v>
      </c>
      <c r="MOS11" s="314" t="s">
        <v>203</v>
      </c>
      <c r="MOT11" s="314" t="s">
        <v>203</v>
      </c>
      <c r="MOU11" s="314" t="s">
        <v>203</v>
      </c>
      <c r="MOV11" s="314" t="s">
        <v>203</v>
      </c>
      <c r="MOW11" s="314" t="s">
        <v>203</v>
      </c>
      <c r="MOX11" s="314" t="s">
        <v>203</v>
      </c>
      <c r="MOY11" s="314" t="s">
        <v>203</v>
      </c>
      <c r="MOZ11" s="314" t="s">
        <v>203</v>
      </c>
      <c r="MPA11" s="314" t="s">
        <v>203</v>
      </c>
      <c r="MPB11" s="314" t="s">
        <v>203</v>
      </c>
      <c r="MPC11" s="314" t="s">
        <v>203</v>
      </c>
      <c r="MPD11" s="314" t="s">
        <v>203</v>
      </c>
      <c r="MPE11" s="314" t="s">
        <v>203</v>
      </c>
      <c r="MPF11" s="314" t="s">
        <v>203</v>
      </c>
      <c r="MPG11" s="314" t="s">
        <v>203</v>
      </c>
      <c r="MPH11" s="314" t="s">
        <v>203</v>
      </c>
      <c r="MPI11" s="314" t="s">
        <v>203</v>
      </c>
      <c r="MPJ11" s="314" t="s">
        <v>203</v>
      </c>
      <c r="MPK11" s="314" t="s">
        <v>203</v>
      </c>
      <c r="MPL11" s="314" t="s">
        <v>203</v>
      </c>
      <c r="MPM11" s="314" t="s">
        <v>203</v>
      </c>
      <c r="MPN11" s="314" t="s">
        <v>203</v>
      </c>
      <c r="MPO11" s="314" t="s">
        <v>203</v>
      </c>
      <c r="MPP11" s="314" t="s">
        <v>203</v>
      </c>
      <c r="MPQ11" s="314" t="s">
        <v>203</v>
      </c>
      <c r="MPR11" s="314" t="s">
        <v>203</v>
      </c>
      <c r="MPS11" s="314" t="s">
        <v>203</v>
      </c>
      <c r="MPT11" s="314" t="s">
        <v>203</v>
      </c>
      <c r="MPU11" s="314" t="s">
        <v>203</v>
      </c>
      <c r="MPV11" s="314" t="s">
        <v>203</v>
      </c>
      <c r="MPW11" s="314" t="s">
        <v>203</v>
      </c>
      <c r="MPX11" s="314" t="s">
        <v>203</v>
      </c>
      <c r="MPY11" s="314" t="s">
        <v>203</v>
      </c>
      <c r="MPZ11" s="314" t="s">
        <v>203</v>
      </c>
      <c r="MQA11" s="314" t="s">
        <v>203</v>
      </c>
      <c r="MQB11" s="314" t="s">
        <v>203</v>
      </c>
      <c r="MQC11" s="314" t="s">
        <v>203</v>
      </c>
      <c r="MQD11" s="314" t="s">
        <v>203</v>
      </c>
      <c r="MQE11" s="314" t="s">
        <v>203</v>
      </c>
      <c r="MQF11" s="314" t="s">
        <v>203</v>
      </c>
      <c r="MQG11" s="314" t="s">
        <v>203</v>
      </c>
      <c r="MQH11" s="314" t="s">
        <v>203</v>
      </c>
      <c r="MQI11" s="314" t="s">
        <v>203</v>
      </c>
      <c r="MQJ11" s="314" t="s">
        <v>203</v>
      </c>
      <c r="MQK11" s="314" t="s">
        <v>203</v>
      </c>
      <c r="MQL11" s="314" t="s">
        <v>203</v>
      </c>
      <c r="MQM11" s="314" t="s">
        <v>203</v>
      </c>
      <c r="MQN11" s="314" t="s">
        <v>203</v>
      </c>
      <c r="MQO11" s="314" t="s">
        <v>203</v>
      </c>
      <c r="MQP11" s="314" t="s">
        <v>203</v>
      </c>
      <c r="MQQ11" s="314" t="s">
        <v>203</v>
      </c>
      <c r="MQR11" s="314" t="s">
        <v>203</v>
      </c>
      <c r="MQS11" s="314" t="s">
        <v>203</v>
      </c>
      <c r="MQT11" s="314" t="s">
        <v>203</v>
      </c>
      <c r="MQU11" s="314" t="s">
        <v>203</v>
      </c>
      <c r="MQV11" s="314" t="s">
        <v>203</v>
      </c>
      <c r="MQW11" s="314" t="s">
        <v>203</v>
      </c>
      <c r="MQX11" s="314" t="s">
        <v>203</v>
      </c>
      <c r="MQY11" s="314" t="s">
        <v>203</v>
      </c>
      <c r="MQZ11" s="314" t="s">
        <v>203</v>
      </c>
      <c r="MRA11" s="314" t="s">
        <v>203</v>
      </c>
      <c r="MRB11" s="314" t="s">
        <v>203</v>
      </c>
      <c r="MRC11" s="314" t="s">
        <v>203</v>
      </c>
      <c r="MRD11" s="314" t="s">
        <v>203</v>
      </c>
      <c r="MRE11" s="314" t="s">
        <v>203</v>
      </c>
      <c r="MRF11" s="314" t="s">
        <v>203</v>
      </c>
      <c r="MRG11" s="314" t="s">
        <v>203</v>
      </c>
      <c r="MRH11" s="314" t="s">
        <v>203</v>
      </c>
      <c r="MRI11" s="314" t="s">
        <v>203</v>
      </c>
      <c r="MRJ11" s="314" t="s">
        <v>203</v>
      </c>
      <c r="MRK11" s="314" t="s">
        <v>203</v>
      </c>
      <c r="MRL11" s="314" t="s">
        <v>203</v>
      </c>
      <c r="MRM11" s="314" t="s">
        <v>203</v>
      </c>
      <c r="MRN11" s="314" t="s">
        <v>203</v>
      </c>
      <c r="MRO11" s="314" t="s">
        <v>203</v>
      </c>
      <c r="MRP11" s="314" t="s">
        <v>203</v>
      </c>
      <c r="MRQ11" s="314" t="s">
        <v>203</v>
      </c>
      <c r="MRR11" s="314" t="s">
        <v>203</v>
      </c>
      <c r="MRS11" s="314" t="s">
        <v>203</v>
      </c>
      <c r="MRT11" s="314" t="s">
        <v>203</v>
      </c>
      <c r="MRU11" s="314" t="s">
        <v>203</v>
      </c>
      <c r="MRV11" s="314" t="s">
        <v>203</v>
      </c>
      <c r="MRW11" s="314" t="s">
        <v>203</v>
      </c>
      <c r="MRX11" s="314" t="s">
        <v>203</v>
      </c>
      <c r="MRY11" s="314" t="s">
        <v>203</v>
      </c>
      <c r="MRZ11" s="314" t="s">
        <v>203</v>
      </c>
      <c r="MSA11" s="314" t="s">
        <v>203</v>
      </c>
      <c r="MSB11" s="314" t="s">
        <v>203</v>
      </c>
      <c r="MSC11" s="314" t="s">
        <v>203</v>
      </c>
      <c r="MSD11" s="314" t="s">
        <v>203</v>
      </c>
      <c r="MSE11" s="314" t="s">
        <v>203</v>
      </c>
      <c r="MSF11" s="314" t="s">
        <v>203</v>
      </c>
      <c r="MSG11" s="314" t="s">
        <v>203</v>
      </c>
      <c r="MSH11" s="314" t="s">
        <v>203</v>
      </c>
      <c r="MSI11" s="314" t="s">
        <v>203</v>
      </c>
      <c r="MSJ11" s="314" t="s">
        <v>203</v>
      </c>
      <c r="MSK11" s="314" t="s">
        <v>203</v>
      </c>
      <c r="MSL11" s="314" t="s">
        <v>203</v>
      </c>
      <c r="MSM11" s="314" t="s">
        <v>203</v>
      </c>
      <c r="MSN11" s="314" t="s">
        <v>203</v>
      </c>
      <c r="MSO11" s="314" t="s">
        <v>203</v>
      </c>
      <c r="MSP11" s="314" t="s">
        <v>203</v>
      </c>
      <c r="MSQ11" s="314" t="s">
        <v>203</v>
      </c>
      <c r="MSR11" s="314" t="s">
        <v>203</v>
      </c>
      <c r="MSS11" s="314" t="s">
        <v>203</v>
      </c>
      <c r="MST11" s="314" t="s">
        <v>203</v>
      </c>
      <c r="MSU11" s="314" t="s">
        <v>203</v>
      </c>
      <c r="MSV11" s="314" t="s">
        <v>203</v>
      </c>
      <c r="MSW11" s="314" t="s">
        <v>203</v>
      </c>
      <c r="MSX11" s="314" t="s">
        <v>203</v>
      </c>
      <c r="MSY11" s="314" t="s">
        <v>203</v>
      </c>
      <c r="MSZ11" s="314" t="s">
        <v>203</v>
      </c>
      <c r="MTA11" s="314" t="s">
        <v>203</v>
      </c>
      <c r="MTB11" s="314" t="s">
        <v>203</v>
      </c>
      <c r="MTC11" s="314" t="s">
        <v>203</v>
      </c>
      <c r="MTD11" s="314" t="s">
        <v>203</v>
      </c>
      <c r="MTE11" s="314" t="s">
        <v>203</v>
      </c>
      <c r="MTF11" s="314" t="s">
        <v>203</v>
      </c>
      <c r="MTG11" s="314" t="s">
        <v>203</v>
      </c>
      <c r="MTH11" s="314" t="s">
        <v>203</v>
      </c>
      <c r="MTI11" s="314" t="s">
        <v>203</v>
      </c>
      <c r="MTJ11" s="314" t="s">
        <v>203</v>
      </c>
      <c r="MTK11" s="314" t="s">
        <v>203</v>
      </c>
      <c r="MTL11" s="314" t="s">
        <v>203</v>
      </c>
      <c r="MTM11" s="314" t="s">
        <v>203</v>
      </c>
      <c r="MTN11" s="314" t="s">
        <v>203</v>
      </c>
      <c r="MTO11" s="314" t="s">
        <v>203</v>
      </c>
      <c r="MTP11" s="314" t="s">
        <v>203</v>
      </c>
      <c r="MTQ11" s="314" t="s">
        <v>203</v>
      </c>
      <c r="MTR11" s="314" t="s">
        <v>203</v>
      </c>
      <c r="MTS11" s="314" t="s">
        <v>203</v>
      </c>
      <c r="MTT11" s="314" t="s">
        <v>203</v>
      </c>
      <c r="MTU11" s="314" t="s">
        <v>203</v>
      </c>
      <c r="MTV11" s="314" t="s">
        <v>203</v>
      </c>
      <c r="MTW11" s="314" t="s">
        <v>203</v>
      </c>
      <c r="MTX11" s="314" t="s">
        <v>203</v>
      </c>
      <c r="MTY11" s="314" t="s">
        <v>203</v>
      </c>
      <c r="MTZ11" s="314" t="s">
        <v>203</v>
      </c>
      <c r="MUA11" s="314" t="s">
        <v>203</v>
      </c>
      <c r="MUB11" s="314" t="s">
        <v>203</v>
      </c>
      <c r="MUC11" s="314" t="s">
        <v>203</v>
      </c>
      <c r="MUD11" s="314" t="s">
        <v>203</v>
      </c>
      <c r="MUE11" s="314" t="s">
        <v>203</v>
      </c>
      <c r="MUF11" s="314" t="s">
        <v>203</v>
      </c>
      <c r="MUG11" s="314" t="s">
        <v>203</v>
      </c>
      <c r="MUH11" s="314" t="s">
        <v>203</v>
      </c>
      <c r="MUI11" s="314" t="s">
        <v>203</v>
      </c>
      <c r="MUJ11" s="314" t="s">
        <v>203</v>
      </c>
      <c r="MUK11" s="314" t="s">
        <v>203</v>
      </c>
      <c r="MUL11" s="314" t="s">
        <v>203</v>
      </c>
      <c r="MUM11" s="314" t="s">
        <v>203</v>
      </c>
      <c r="MUN11" s="314" t="s">
        <v>203</v>
      </c>
      <c r="MUO11" s="314" t="s">
        <v>203</v>
      </c>
      <c r="MUP11" s="314" t="s">
        <v>203</v>
      </c>
      <c r="MUQ11" s="314" t="s">
        <v>203</v>
      </c>
      <c r="MUR11" s="314" t="s">
        <v>203</v>
      </c>
      <c r="MUS11" s="314" t="s">
        <v>203</v>
      </c>
      <c r="MUT11" s="314" t="s">
        <v>203</v>
      </c>
      <c r="MUU11" s="314" t="s">
        <v>203</v>
      </c>
      <c r="MUV11" s="314" t="s">
        <v>203</v>
      </c>
      <c r="MUW11" s="314" t="s">
        <v>203</v>
      </c>
      <c r="MUX11" s="314" t="s">
        <v>203</v>
      </c>
      <c r="MUY11" s="314" t="s">
        <v>203</v>
      </c>
      <c r="MUZ11" s="314" t="s">
        <v>203</v>
      </c>
      <c r="MVA11" s="314" t="s">
        <v>203</v>
      </c>
      <c r="MVB11" s="314" t="s">
        <v>203</v>
      </c>
      <c r="MVC11" s="314" t="s">
        <v>203</v>
      </c>
      <c r="MVD11" s="314" t="s">
        <v>203</v>
      </c>
      <c r="MVE11" s="314" t="s">
        <v>203</v>
      </c>
      <c r="MVF11" s="314" t="s">
        <v>203</v>
      </c>
      <c r="MVG11" s="314" t="s">
        <v>203</v>
      </c>
      <c r="MVH11" s="314" t="s">
        <v>203</v>
      </c>
      <c r="MVI11" s="314" t="s">
        <v>203</v>
      </c>
      <c r="MVJ11" s="314" t="s">
        <v>203</v>
      </c>
      <c r="MVK11" s="314" t="s">
        <v>203</v>
      </c>
      <c r="MVL11" s="314" t="s">
        <v>203</v>
      </c>
      <c r="MVM11" s="314" t="s">
        <v>203</v>
      </c>
      <c r="MVN11" s="314" t="s">
        <v>203</v>
      </c>
      <c r="MVO11" s="314" t="s">
        <v>203</v>
      </c>
      <c r="MVP11" s="314" t="s">
        <v>203</v>
      </c>
      <c r="MVQ11" s="314" t="s">
        <v>203</v>
      </c>
      <c r="MVR11" s="314" t="s">
        <v>203</v>
      </c>
      <c r="MVS11" s="314" t="s">
        <v>203</v>
      </c>
      <c r="MVT11" s="314" t="s">
        <v>203</v>
      </c>
      <c r="MVU11" s="314" t="s">
        <v>203</v>
      </c>
      <c r="MVV11" s="314" t="s">
        <v>203</v>
      </c>
      <c r="MVW11" s="314" t="s">
        <v>203</v>
      </c>
      <c r="MVX11" s="314" t="s">
        <v>203</v>
      </c>
      <c r="MVY11" s="314" t="s">
        <v>203</v>
      </c>
      <c r="MVZ11" s="314" t="s">
        <v>203</v>
      </c>
      <c r="MWA11" s="314" t="s">
        <v>203</v>
      </c>
      <c r="MWB11" s="314" t="s">
        <v>203</v>
      </c>
      <c r="MWC11" s="314" t="s">
        <v>203</v>
      </c>
      <c r="MWD11" s="314" t="s">
        <v>203</v>
      </c>
      <c r="MWE11" s="314" t="s">
        <v>203</v>
      </c>
      <c r="MWF11" s="314" t="s">
        <v>203</v>
      </c>
      <c r="MWG11" s="314" t="s">
        <v>203</v>
      </c>
      <c r="MWH11" s="314" t="s">
        <v>203</v>
      </c>
      <c r="MWI11" s="314" t="s">
        <v>203</v>
      </c>
      <c r="MWJ11" s="314" t="s">
        <v>203</v>
      </c>
      <c r="MWK11" s="314" t="s">
        <v>203</v>
      </c>
      <c r="MWL11" s="314" t="s">
        <v>203</v>
      </c>
      <c r="MWM11" s="314" t="s">
        <v>203</v>
      </c>
      <c r="MWN11" s="314" t="s">
        <v>203</v>
      </c>
      <c r="MWO11" s="314" t="s">
        <v>203</v>
      </c>
      <c r="MWP11" s="314" t="s">
        <v>203</v>
      </c>
      <c r="MWQ11" s="314" t="s">
        <v>203</v>
      </c>
      <c r="MWR11" s="314" t="s">
        <v>203</v>
      </c>
      <c r="MWS11" s="314" t="s">
        <v>203</v>
      </c>
      <c r="MWT11" s="314" t="s">
        <v>203</v>
      </c>
      <c r="MWU11" s="314" t="s">
        <v>203</v>
      </c>
      <c r="MWV11" s="314" t="s">
        <v>203</v>
      </c>
      <c r="MWW11" s="314" t="s">
        <v>203</v>
      </c>
      <c r="MWX11" s="314" t="s">
        <v>203</v>
      </c>
      <c r="MWY11" s="314" t="s">
        <v>203</v>
      </c>
      <c r="MWZ11" s="314" t="s">
        <v>203</v>
      </c>
      <c r="MXA11" s="314" t="s">
        <v>203</v>
      </c>
      <c r="MXB11" s="314" t="s">
        <v>203</v>
      </c>
      <c r="MXC11" s="314" t="s">
        <v>203</v>
      </c>
      <c r="MXD11" s="314" t="s">
        <v>203</v>
      </c>
      <c r="MXE11" s="314" t="s">
        <v>203</v>
      </c>
      <c r="MXF11" s="314" t="s">
        <v>203</v>
      </c>
      <c r="MXG11" s="314" t="s">
        <v>203</v>
      </c>
      <c r="MXH11" s="314" t="s">
        <v>203</v>
      </c>
      <c r="MXI11" s="314" t="s">
        <v>203</v>
      </c>
      <c r="MXJ11" s="314" t="s">
        <v>203</v>
      </c>
      <c r="MXK11" s="314" t="s">
        <v>203</v>
      </c>
      <c r="MXL11" s="314" t="s">
        <v>203</v>
      </c>
      <c r="MXM11" s="314" t="s">
        <v>203</v>
      </c>
      <c r="MXN11" s="314" t="s">
        <v>203</v>
      </c>
      <c r="MXO11" s="314" t="s">
        <v>203</v>
      </c>
      <c r="MXP11" s="314" t="s">
        <v>203</v>
      </c>
      <c r="MXQ11" s="314" t="s">
        <v>203</v>
      </c>
      <c r="MXR11" s="314" t="s">
        <v>203</v>
      </c>
      <c r="MXS11" s="314" t="s">
        <v>203</v>
      </c>
      <c r="MXT11" s="314" t="s">
        <v>203</v>
      </c>
      <c r="MXU11" s="314" t="s">
        <v>203</v>
      </c>
      <c r="MXV11" s="314" t="s">
        <v>203</v>
      </c>
      <c r="MXW11" s="314" t="s">
        <v>203</v>
      </c>
      <c r="MXX11" s="314" t="s">
        <v>203</v>
      </c>
      <c r="MXY11" s="314" t="s">
        <v>203</v>
      </c>
      <c r="MXZ11" s="314" t="s">
        <v>203</v>
      </c>
      <c r="MYA11" s="314" t="s">
        <v>203</v>
      </c>
      <c r="MYB11" s="314" t="s">
        <v>203</v>
      </c>
      <c r="MYC11" s="314" t="s">
        <v>203</v>
      </c>
      <c r="MYD11" s="314" t="s">
        <v>203</v>
      </c>
      <c r="MYE11" s="314" t="s">
        <v>203</v>
      </c>
      <c r="MYF11" s="314" t="s">
        <v>203</v>
      </c>
      <c r="MYG11" s="314" t="s">
        <v>203</v>
      </c>
      <c r="MYH11" s="314" t="s">
        <v>203</v>
      </c>
      <c r="MYI11" s="314" t="s">
        <v>203</v>
      </c>
      <c r="MYJ11" s="314" t="s">
        <v>203</v>
      </c>
      <c r="MYK11" s="314" t="s">
        <v>203</v>
      </c>
      <c r="MYL11" s="314" t="s">
        <v>203</v>
      </c>
      <c r="MYM11" s="314" t="s">
        <v>203</v>
      </c>
      <c r="MYN11" s="314" t="s">
        <v>203</v>
      </c>
      <c r="MYO11" s="314" t="s">
        <v>203</v>
      </c>
      <c r="MYP11" s="314" t="s">
        <v>203</v>
      </c>
      <c r="MYQ11" s="314" t="s">
        <v>203</v>
      </c>
      <c r="MYR11" s="314" t="s">
        <v>203</v>
      </c>
      <c r="MYS11" s="314" t="s">
        <v>203</v>
      </c>
      <c r="MYT11" s="314" t="s">
        <v>203</v>
      </c>
      <c r="MYU11" s="314" t="s">
        <v>203</v>
      </c>
      <c r="MYV11" s="314" t="s">
        <v>203</v>
      </c>
      <c r="MYW11" s="314" t="s">
        <v>203</v>
      </c>
      <c r="MYX11" s="314" t="s">
        <v>203</v>
      </c>
      <c r="MYY11" s="314" t="s">
        <v>203</v>
      </c>
      <c r="MYZ11" s="314" t="s">
        <v>203</v>
      </c>
      <c r="MZA11" s="314" t="s">
        <v>203</v>
      </c>
      <c r="MZB11" s="314" t="s">
        <v>203</v>
      </c>
      <c r="MZC11" s="314" t="s">
        <v>203</v>
      </c>
      <c r="MZD11" s="314" t="s">
        <v>203</v>
      </c>
      <c r="MZE11" s="314" t="s">
        <v>203</v>
      </c>
      <c r="MZF11" s="314" t="s">
        <v>203</v>
      </c>
      <c r="MZG11" s="314" t="s">
        <v>203</v>
      </c>
      <c r="MZH11" s="314" t="s">
        <v>203</v>
      </c>
      <c r="MZI11" s="314" t="s">
        <v>203</v>
      </c>
      <c r="MZJ11" s="314" t="s">
        <v>203</v>
      </c>
      <c r="MZK11" s="314" t="s">
        <v>203</v>
      </c>
      <c r="MZL11" s="314" t="s">
        <v>203</v>
      </c>
      <c r="MZM11" s="314" t="s">
        <v>203</v>
      </c>
      <c r="MZN11" s="314" t="s">
        <v>203</v>
      </c>
      <c r="MZO11" s="314" t="s">
        <v>203</v>
      </c>
      <c r="MZP11" s="314" t="s">
        <v>203</v>
      </c>
      <c r="MZQ11" s="314" t="s">
        <v>203</v>
      </c>
      <c r="MZR11" s="314" t="s">
        <v>203</v>
      </c>
      <c r="MZS11" s="314" t="s">
        <v>203</v>
      </c>
      <c r="MZT11" s="314" t="s">
        <v>203</v>
      </c>
      <c r="MZU11" s="314" t="s">
        <v>203</v>
      </c>
      <c r="MZV11" s="314" t="s">
        <v>203</v>
      </c>
      <c r="MZW11" s="314" t="s">
        <v>203</v>
      </c>
      <c r="MZX11" s="314" t="s">
        <v>203</v>
      </c>
      <c r="MZY11" s="314" t="s">
        <v>203</v>
      </c>
      <c r="MZZ11" s="314" t="s">
        <v>203</v>
      </c>
      <c r="NAA11" s="314" t="s">
        <v>203</v>
      </c>
      <c r="NAB11" s="314" t="s">
        <v>203</v>
      </c>
      <c r="NAC11" s="314" t="s">
        <v>203</v>
      </c>
      <c r="NAD11" s="314" t="s">
        <v>203</v>
      </c>
      <c r="NAE11" s="314" t="s">
        <v>203</v>
      </c>
      <c r="NAF11" s="314" t="s">
        <v>203</v>
      </c>
      <c r="NAG11" s="314" t="s">
        <v>203</v>
      </c>
      <c r="NAH11" s="314" t="s">
        <v>203</v>
      </c>
      <c r="NAI11" s="314" t="s">
        <v>203</v>
      </c>
      <c r="NAJ11" s="314" t="s">
        <v>203</v>
      </c>
      <c r="NAK11" s="314" t="s">
        <v>203</v>
      </c>
      <c r="NAL11" s="314" t="s">
        <v>203</v>
      </c>
      <c r="NAM11" s="314" t="s">
        <v>203</v>
      </c>
      <c r="NAN11" s="314" t="s">
        <v>203</v>
      </c>
      <c r="NAO11" s="314" t="s">
        <v>203</v>
      </c>
      <c r="NAP11" s="314" t="s">
        <v>203</v>
      </c>
      <c r="NAQ11" s="314" t="s">
        <v>203</v>
      </c>
      <c r="NAR11" s="314" t="s">
        <v>203</v>
      </c>
      <c r="NAS11" s="314" t="s">
        <v>203</v>
      </c>
      <c r="NAT11" s="314" t="s">
        <v>203</v>
      </c>
      <c r="NAU11" s="314" t="s">
        <v>203</v>
      </c>
      <c r="NAV11" s="314" t="s">
        <v>203</v>
      </c>
      <c r="NAW11" s="314" t="s">
        <v>203</v>
      </c>
      <c r="NAX11" s="314" t="s">
        <v>203</v>
      </c>
      <c r="NAY11" s="314" t="s">
        <v>203</v>
      </c>
      <c r="NAZ11" s="314" t="s">
        <v>203</v>
      </c>
      <c r="NBA11" s="314" t="s">
        <v>203</v>
      </c>
      <c r="NBB11" s="314" t="s">
        <v>203</v>
      </c>
      <c r="NBC11" s="314" t="s">
        <v>203</v>
      </c>
      <c r="NBD11" s="314" t="s">
        <v>203</v>
      </c>
      <c r="NBE11" s="314" t="s">
        <v>203</v>
      </c>
      <c r="NBF11" s="314" t="s">
        <v>203</v>
      </c>
      <c r="NBG11" s="314" t="s">
        <v>203</v>
      </c>
      <c r="NBH11" s="314" t="s">
        <v>203</v>
      </c>
      <c r="NBI11" s="314" t="s">
        <v>203</v>
      </c>
      <c r="NBJ11" s="314" t="s">
        <v>203</v>
      </c>
      <c r="NBK11" s="314" t="s">
        <v>203</v>
      </c>
      <c r="NBL11" s="314" t="s">
        <v>203</v>
      </c>
      <c r="NBM11" s="314" t="s">
        <v>203</v>
      </c>
      <c r="NBN11" s="314" t="s">
        <v>203</v>
      </c>
      <c r="NBO11" s="314" t="s">
        <v>203</v>
      </c>
      <c r="NBP11" s="314" t="s">
        <v>203</v>
      </c>
      <c r="NBQ11" s="314" t="s">
        <v>203</v>
      </c>
      <c r="NBR11" s="314" t="s">
        <v>203</v>
      </c>
      <c r="NBS11" s="314" t="s">
        <v>203</v>
      </c>
      <c r="NBT11" s="314" t="s">
        <v>203</v>
      </c>
      <c r="NBU11" s="314" t="s">
        <v>203</v>
      </c>
      <c r="NBV11" s="314" t="s">
        <v>203</v>
      </c>
      <c r="NBW11" s="314" t="s">
        <v>203</v>
      </c>
      <c r="NBX11" s="314" t="s">
        <v>203</v>
      </c>
      <c r="NBY11" s="314" t="s">
        <v>203</v>
      </c>
      <c r="NBZ11" s="314" t="s">
        <v>203</v>
      </c>
      <c r="NCA11" s="314" t="s">
        <v>203</v>
      </c>
      <c r="NCB11" s="314" t="s">
        <v>203</v>
      </c>
      <c r="NCC11" s="314" t="s">
        <v>203</v>
      </c>
      <c r="NCD11" s="314" t="s">
        <v>203</v>
      </c>
      <c r="NCE11" s="314" t="s">
        <v>203</v>
      </c>
      <c r="NCF11" s="314" t="s">
        <v>203</v>
      </c>
      <c r="NCG11" s="314" t="s">
        <v>203</v>
      </c>
      <c r="NCH11" s="314" t="s">
        <v>203</v>
      </c>
      <c r="NCI11" s="314" t="s">
        <v>203</v>
      </c>
      <c r="NCJ11" s="314" t="s">
        <v>203</v>
      </c>
      <c r="NCK11" s="314" t="s">
        <v>203</v>
      </c>
      <c r="NCL11" s="314" t="s">
        <v>203</v>
      </c>
      <c r="NCM11" s="314" t="s">
        <v>203</v>
      </c>
      <c r="NCN11" s="314" t="s">
        <v>203</v>
      </c>
      <c r="NCO11" s="314" t="s">
        <v>203</v>
      </c>
      <c r="NCP11" s="314" t="s">
        <v>203</v>
      </c>
      <c r="NCQ11" s="314" t="s">
        <v>203</v>
      </c>
      <c r="NCR11" s="314" t="s">
        <v>203</v>
      </c>
      <c r="NCS11" s="314" t="s">
        <v>203</v>
      </c>
      <c r="NCT11" s="314" t="s">
        <v>203</v>
      </c>
      <c r="NCU11" s="314" t="s">
        <v>203</v>
      </c>
      <c r="NCV11" s="314" t="s">
        <v>203</v>
      </c>
      <c r="NCW11" s="314" t="s">
        <v>203</v>
      </c>
      <c r="NCX11" s="314" t="s">
        <v>203</v>
      </c>
      <c r="NCY11" s="314" t="s">
        <v>203</v>
      </c>
      <c r="NCZ11" s="314" t="s">
        <v>203</v>
      </c>
      <c r="NDA11" s="314" t="s">
        <v>203</v>
      </c>
      <c r="NDB11" s="314" t="s">
        <v>203</v>
      </c>
      <c r="NDC11" s="314" t="s">
        <v>203</v>
      </c>
      <c r="NDD11" s="314" t="s">
        <v>203</v>
      </c>
      <c r="NDE11" s="314" t="s">
        <v>203</v>
      </c>
      <c r="NDF11" s="314" t="s">
        <v>203</v>
      </c>
      <c r="NDG11" s="314" t="s">
        <v>203</v>
      </c>
      <c r="NDH11" s="314" t="s">
        <v>203</v>
      </c>
      <c r="NDI11" s="314" t="s">
        <v>203</v>
      </c>
      <c r="NDJ11" s="314" t="s">
        <v>203</v>
      </c>
      <c r="NDK11" s="314" t="s">
        <v>203</v>
      </c>
      <c r="NDL11" s="314" t="s">
        <v>203</v>
      </c>
      <c r="NDM11" s="314" t="s">
        <v>203</v>
      </c>
      <c r="NDN11" s="314" t="s">
        <v>203</v>
      </c>
      <c r="NDO11" s="314" t="s">
        <v>203</v>
      </c>
      <c r="NDP11" s="314" t="s">
        <v>203</v>
      </c>
      <c r="NDQ11" s="314" t="s">
        <v>203</v>
      </c>
      <c r="NDR11" s="314" t="s">
        <v>203</v>
      </c>
      <c r="NDS11" s="314" t="s">
        <v>203</v>
      </c>
      <c r="NDT11" s="314" t="s">
        <v>203</v>
      </c>
      <c r="NDU11" s="314" t="s">
        <v>203</v>
      </c>
      <c r="NDV11" s="314" t="s">
        <v>203</v>
      </c>
      <c r="NDW11" s="314" t="s">
        <v>203</v>
      </c>
      <c r="NDX11" s="314" t="s">
        <v>203</v>
      </c>
      <c r="NDY11" s="314" t="s">
        <v>203</v>
      </c>
      <c r="NDZ11" s="314" t="s">
        <v>203</v>
      </c>
      <c r="NEA11" s="314" t="s">
        <v>203</v>
      </c>
      <c r="NEB11" s="314" t="s">
        <v>203</v>
      </c>
      <c r="NEC11" s="314" t="s">
        <v>203</v>
      </c>
      <c r="NED11" s="314" t="s">
        <v>203</v>
      </c>
      <c r="NEE11" s="314" t="s">
        <v>203</v>
      </c>
      <c r="NEF11" s="314" t="s">
        <v>203</v>
      </c>
      <c r="NEG11" s="314" t="s">
        <v>203</v>
      </c>
      <c r="NEH11" s="314" t="s">
        <v>203</v>
      </c>
      <c r="NEI11" s="314" t="s">
        <v>203</v>
      </c>
      <c r="NEJ11" s="314" t="s">
        <v>203</v>
      </c>
      <c r="NEK11" s="314" t="s">
        <v>203</v>
      </c>
      <c r="NEL11" s="314" t="s">
        <v>203</v>
      </c>
      <c r="NEM11" s="314" t="s">
        <v>203</v>
      </c>
      <c r="NEN11" s="314" t="s">
        <v>203</v>
      </c>
      <c r="NEO11" s="314" t="s">
        <v>203</v>
      </c>
      <c r="NEP11" s="314" t="s">
        <v>203</v>
      </c>
      <c r="NEQ11" s="314" t="s">
        <v>203</v>
      </c>
      <c r="NER11" s="314" t="s">
        <v>203</v>
      </c>
      <c r="NES11" s="314" t="s">
        <v>203</v>
      </c>
      <c r="NET11" s="314" t="s">
        <v>203</v>
      </c>
      <c r="NEU11" s="314" t="s">
        <v>203</v>
      </c>
      <c r="NEV11" s="314" t="s">
        <v>203</v>
      </c>
      <c r="NEW11" s="314" t="s">
        <v>203</v>
      </c>
      <c r="NEX11" s="314" t="s">
        <v>203</v>
      </c>
      <c r="NEY11" s="314" t="s">
        <v>203</v>
      </c>
      <c r="NEZ11" s="314" t="s">
        <v>203</v>
      </c>
      <c r="NFA11" s="314" t="s">
        <v>203</v>
      </c>
      <c r="NFB11" s="314" t="s">
        <v>203</v>
      </c>
      <c r="NFC11" s="314" t="s">
        <v>203</v>
      </c>
      <c r="NFD11" s="314" t="s">
        <v>203</v>
      </c>
      <c r="NFE11" s="314" t="s">
        <v>203</v>
      </c>
      <c r="NFF11" s="314" t="s">
        <v>203</v>
      </c>
      <c r="NFG11" s="314" t="s">
        <v>203</v>
      </c>
      <c r="NFH11" s="314" t="s">
        <v>203</v>
      </c>
      <c r="NFI11" s="314" t="s">
        <v>203</v>
      </c>
      <c r="NFJ11" s="314" t="s">
        <v>203</v>
      </c>
      <c r="NFK11" s="314" t="s">
        <v>203</v>
      </c>
      <c r="NFL11" s="314" t="s">
        <v>203</v>
      </c>
      <c r="NFM11" s="314" t="s">
        <v>203</v>
      </c>
      <c r="NFN11" s="314" t="s">
        <v>203</v>
      </c>
      <c r="NFO11" s="314" t="s">
        <v>203</v>
      </c>
      <c r="NFP11" s="314" t="s">
        <v>203</v>
      </c>
      <c r="NFQ11" s="314" t="s">
        <v>203</v>
      </c>
      <c r="NFR11" s="314" t="s">
        <v>203</v>
      </c>
      <c r="NFS11" s="314" t="s">
        <v>203</v>
      </c>
      <c r="NFT11" s="314" t="s">
        <v>203</v>
      </c>
      <c r="NFU11" s="314" t="s">
        <v>203</v>
      </c>
      <c r="NFV11" s="314" t="s">
        <v>203</v>
      </c>
      <c r="NFW11" s="314" t="s">
        <v>203</v>
      </c>
      <c r="NFX11" s="314" t="s">
        <v>203</v>
      </c>
      <c r="NFY11" s="314" t="s">
        <v>203</v>
      </c>
      <c r="NFZ11" s="314" t="s">
        <v>203</v>
      </c>
      <c r="NGA11" s="314" t="s">
        <v>203</v>
      </c>
      <c r="NGB11" s="314" t="s">
        <v>203</v>
      </c>
      <c r="NGC11" s="314" t="s">
        <v>203</v>
      </c>
      <c r="NGD11" s="314" t="s">
        <v>203</v>
      </c>
      <c r="NGE11" s="314" t="s">
        <v>203</v>
      </c>
      <c r="NGF11" s="314" t="s">
        <v>203</v>
      </c>
      <c r="NGG11" s="314" t="s">
        <v>203</v>
      </c>
      <c r="NGH11" s="314" t="s">
        <v>203</v>
      </c>
      <c r="NGI11" s="314" t="s">
        <v>203</v>
      </c>
      <c r="NGJ11" s="314" t="s">
        <v>203</v>
      </c>
      <c r="NGK11" s="314" t="s">
        <v>203</v>
      </c>
      <c r="NGL11" s="314" t="s">
        <v>203</v>
      </c>
      <c r="NGM11" s="314" t="s">
        <v>203</v>
      </c>
      <c r="NGN11" s="314" t="s">
        <v>203</v>
      </c>
      <c r="NGO11" s="314" t="s">
        <v>203</v>
      </c>
      <c r="NGP11" s="314" t="s">
        <v>203</v>
      </c>
      <c r="NGQ11" s="314" t="s">
        <v>203</v>
      </c>
      <c r="NGR11" s="314" t="s">
        <v>203</v>
      </c>
      <c r="NGS11" s="314" t="s">
        <v>203</v>
      </c>
      <c r="NGT11" s="314" t="s">
        <v>203</v>
      </c>
      <c r="NGU11" s="314" t="s">
        <v>203</v>
      </c>
      <c r="NGV11" s="314" t="s">
        <v>203</v>
      </c>
      <c r="NGW11" s="314" t="s">
        <v>203</v>
      </c>
      <c r="NGX11" s="314" t="s">
        <v>203</v>
      </c>
      <c r="NGY11" s="314" t="s">
        <v>203</v>
      </c>
      <c r="NGZ11" s="314" t="s">
        <v>203</v>
      </c>
      <c r="NHA11" s="314" t="s">
        <v>203</v>
      </c>
      <c r="NHB11" s="314" t="s">
        <v>203</v>
      </c>
      <c r="NHC11" s="314" t="s">
        <v>203</v>
      </c>
      <c r="NHD11" s="314" t="s">
        <v>203</v>
      </c>
      <c r="NHE11" s="314" t="s">
        <v>203</v>
      </c>
      <c r="NHF11" s="314" t="s">
        <v>203</v>
      </c>
      <c r="NHG11" s="314" t="s">
        <v>203</v>
      </c>
      <c r="NHH11" s="314" t="s">
        <v>203</v>
      </c>
      <c r="NHI11" s="314" t="s">
        <v>203</v>
      </c>
      <c r="NHJ11" s="314" t="s">
        <v>203</v>
      </c>
      <c r="NHK11" s="314" t="s">
        <v>203</v>
      </c>
      <c r="NHL11" s="314" t="s">
        <v>203</v>
      </c>
      <c r="NHM11" s="314" t="s">
        <v>203</v>
      </c>
      <c r="NHN11" s="314" t="s">
        <v>203</v>
      </c>
      <c r="NHO11" s="314" t="s">
        <v>203</v>
      </c>
      <c r="NHP11" s="314" t="s">
        <v>203</v>
      </c>
      <c r="NHQ11" s="314" t="s">
        <v>203</v>
      </c>
      <c r="NHR11" s="314" t="s">
        <v>203</v>
      </c>
      <c r="NHS11" s="314" t="s">
        <v>203</v>
      </c>
      <c r="NHT11" s="314" t="s">
        <v>203</v>
      </c>
      <c r="NHU11" s="314" t="s">
        <v>203</v>
      </c>
      <c r="NHV11" s="314" t="s">
        <v>203</v>
      </c>
      <c r="NHW11" s="314" t="s">
        <v>203</v>
      </c>
      <c r="NHX11" s="314" t="s">
        <v>203</v>
      </c>
      <c r="NHY11" s="314" t="s">
        <v>203</v>
      </c>
      <c r="NHZ11" s="314" t="s">
        <v>203</v>
      </c>
      <c r="NIA11" s="314" t="s">
        <v>203</v>
      </c>
      <c r="NIB11" s="314" t="s">
        <v>203</v>
      </c>
      <c r="NIC11" s="314" t="s">
        <v>203</v>
      </c>
      <c r="NID11" s="314" t="s">
        <v>203</v>
      </c>
      <c r="NIE11" s="314" t="s">
        <v>203</v>
      </c>
      <c r="NIF11" s="314" t="s">
        <v>203</v>
      </c>
      <c r="NIG11" s="314" t="s">
        <v>203</v>
      </c>
      <c r="NIH11" s="314" t="s">
        <v>203</v>
      </c>
      <c r="NII11" s="314" t="s">
        <v>203</v>
      </c>
      <c r="NIJ11" s="314" t="s">
        <v>203</v>
      </c>
      <c r="NIK11" s="314" t="s">
        <v>203</v>
      </c>
      <c r="NIL11" s="314" t="s">
        <v>203</v>
      </c>
      <c r="NIM11" s="314" t="s">
        <v>203</v>
      </c>
      <c r="NIN11" s="314" t="s">
        <v>203</v>
      </c>
      <c r="NIO11" s="314" t="s">
        <v>203</v>
      </c>
      <c r="NIP11" s="314" t="s">
        <v>203</v>
      </c>
      <c r="NIQ11" s="314" t="s">
        <v>203</v>
      </c>
      <c r="NIR11" s="314" t="s">
        <v>203</v>
      </c>
      <c r="NIS11" s="314" t="s">
        <v>203</v>
      </c>
      <c r="NIT11" s="314" t="s">
        <v>203</v>
      </c>
      <c r="NIU11" s="314" t="s">
        <v>203</v>
      </c>
      <c r="NIV11" s="314" t="s">
        <v>203</v>
      </c>
      <c r="NIW11" s="314" t="s">
        <v>203</v>
      </c>
      <c r="NIX11" s="314" t="s">
        <v>203</v>
      </c>
      <c r="NIY11" s="314" t="s">
        <v>203</v>
      </c>
      <c r="NIZ11" s="314" t="s">
        <v>203</v>
      </c>
      <c r="NJA11" s="314" t="s">
        <v>203</v>
      </c>
      <c r="NJB11" s="314" t="s">
        <v>203</v>
      </c>
      <c r="NJC11" s="314" t="s">
        <v>203</v>
      </c>
      <c r="NJD11" s="314" t="s">
        <v>203</v>
      </c>
      <c r="NJE11" s="314" t="s">
        <v>203</v>
      </c>
      <c r="NJF11" s="314" t="s">
        <v>203</v>
      </c>
      <c r="NJG11" s="314" t="s">
        <v>203</v>
      </c>
      <c r="NJH11" s="314" t="s">
        <v>203</v>
      </c>
      <c r="NJI11" s="314" t="s">
        <v>203</v>
      </c>
      <c r="NJJ11" s="314" t="s">
        <v>203</v>
      </c>
      <c r="NJK11" s="314" t="s">
        <v>203</v>
      </c>
      <c r="NJL11" s="314" t="s">
        <v>203</v>
      </c>
      <c r="NJM11" s="314" t="s">
        <v>203</v>
      </c>
      <c r="NJN11" s="314" t="s">
        <v>203</v>
      </c>
      <c r="NJO11" s="314" t="s">
        <v>203</v>
      </c>
      <c r="NJP11" s="314" t="s">
        <v>203</v>
      </c>
      <c r="NJQ11" s="314" t="s">
        <v>203</v>
      </c>
      <c r="NJR11" s="314" t="s">
        <v>203</v>
      </c>
      <c r="NJS11" s="314" t="s">
        <v>203</v>
      </c>
      <c r="NJT11" s="314" t="s">
        <v>203</v>
      </c>
      <c r="NJU11" s="314" t="s">
        <v>203</v>
      </c>
      <c r="NJV11" s="314" t="s">
        <v>203</v>
      </c>
      <c r="NJW11" s="314" t="s">
        <v>203</v>
      </c>
      <c r="NJX11" s="314" t="s">
        <v>203</v>
      </c>
      <c r="NJY11" s="314" t="s">
        <v>203</v>
      </c>
      <c r="NJZ11" s="314" t="s">
        <v>203</v>
      </c>
      <c r="NKA11" s="314" t="s">
        <v>203</v>
      </c>
      <c r="NKB11" s="314" t="s">
        <v>203</v>
      </c>
      <c r="NKC11" s="314" t="s">
        <v>203</v>
      </c>
      <c r="NKD11" s="314" t="s">
        <v>203</v>
      </c>
      <c r="NKE11" s="314" t="s">
        <v>203</v>
      </c>
      <c r="NKF11" s="314" t="s">
        <v>203</v>
      </c>
      <c r="NKG11" s="314" t="s">
        <v>203</v>
      </c>
      <c r="NKH11" s="314" t="s">
        <v>203</v>
      </c>
      <c r="NKI11" s="314" t="s">
        <v>203</v>
      </c>
      <c r="NKJ11" s="314" t="s">
        <v>203</v>
      </c>
      <c r="NKK11" s="314" t="s">
        <v>203</v>
      </c>
      <c r="NKL11" s="314" t="s">
        <v>203</v>
      </c>
      <c r="NKM11" s="314" t="s">
        <v>203</v>
      </c>
      <c r="NKN11" s="314" t="s">
        <v>203</v>
      </c>
      <c r="NKO11" s="314" t="s">
        <v>203</v>
      </c>
      <c r="NKP11" s="314" t="s">
        <v>203</v>
      </c>
      <c r="NKQ11" s="314" t="s">
        <v>203</v>
      </c>
      <c r="NKR11" s="314" t="s">
        <v>203</v>
      </c>
      <c r="NKS11" s="314" t="s">
        <v>203</v>
      </c>
      <c r="NKT11" s="314" t="s">
        <v>203</v>
      </c>
      <c r="NKU11" s="314" t="s">
        <v>203</v>
      </c>
      <c r="NKV11" s="314" t="s">
        <v>203</v>
      </c>
      <c r="NKW11" s="314" t="s">
        <v>203</v>
      </c>
      <c r="NKX11" s="314" t="s">
        <v>203</v>
      </c>
      <c r="NKY11" s="314" t="s">
        <v>203</v>
      </c>
      <c r="NKZ11" s="314" t="s">
        <v>203</v>
      </c>
      <c r="NLA11" s="314" t="s">
        <v>203</v>
      </c>
      <c r="NLB11" s="314" t="s">
        <v>203</v>
      </c>
      <c r="NLC11" s="314" t="s">
        <v>203</v>
      </c>
      <c r="NLD11" s="314" t="s">
        <v>203</v>
      </c>
      <c r="NLE11" s="314" t="s">
        <v>203</v>
      </c>
      <c r="NLF11" s="314" t="s">
        <v>203</v>
      </c>
      <c r="NLG11" s="314" t="s">
        <v>203</v>
      </c>
      <c r="NLH11" s="314" t="s">
        <v>203</v>
      </c>
      <c r="NLI11" s="314" t="s">
        <v>203</v>
      </c>
      <c r="NLJ11" s="314" t="s">
        <v>203</v>
      </c>
      <c r="NLK11" s="314" t="s">
        <v>203</v>
      </c>
      <c r="NLL11" s="314" t="s">
        <v>203</v>
      </c>
      <c r="NLM11" s="314" t="s">
        <v>203</v>
      </c>
      <c r="NLN11" s="314" t="s">
        <v>203</v>
      </c>
      <c r="NLO11" s="314" t="s">
        <v>203</v>
      </c>
      <c r="NLP11" s="314" t="s">
        <v>203</v>
      </c>
      <c r="NLQ11" s="314" t="s">
        <v>203</v>
      </c>
      <c r="NLR11" s="314" t="s">
        <v>203</v>
      </c>
      <c r="NLS11" s="314" t="s">
        <v>203</v>
      </c>
      <c r="NLT11" s="314" t="s">
        <v>203</v>
      </c>
      <c r="NLU11" s="314" t="s">
        <v>203</v>
      </c>
      <c r="NLV11" s="314" t="s">
        <v>203</v>
      </c>
      <c r="NLW11" s="314" t="s">
        <v>203</v>
      </c>
      <c r="NLX11" s="314" t="s">
        <v>203</v>
      </c>
      <c r="NLY11" s="314" t="s">
        <v>203</v>
      </c>
      <c r="NLZ11" s="314" t="s">
        <v>203</v>
      </c>
      <c r="NMA11" s="314" t="s">
        <v>203</v>
      </c>
      <c r="NMB11" s="314" t="s">
        <v>203</v>
      </c>
      <c r="NMC11" s="314" t="s">
        <v>203</v>
      </c>
      <c r="NMD11" s="314" t="s">
        <v>203</v>
      </c>
      <c r="NME11" s="314" t="s">
        <v>203</v>
      </c>
      <c r="NMF11" s="314" t="s">
        <v>203</v>
      </c>
      <c r="NMG11" s="314" t="s">
        <v>203</v>
      </c>
      <c r="NMH11" s="314" t="s">
        <v>203</v>
      </c>
      <c r="NMI11" s="314" t="s">
        <v>203</v>
      </c>
      <c r="NMJ11" s="314" t="s">
        <v>203</v>
      </c>
      <c r="NMK11" s="314" t="s">
        <v>203</v>
      </c>
      <c r="NML11" s="314" t="s">
        <v>203</v>
      </c>
      <c r="NMM11" s="314" t="s">
        <v>203</v>
      </c>
      <c r="NMN11" s="314" t="s">
        <v>203</v>
      </c>
      <c r="NMO11" s="314" t="s">
        <v>203</v>
      </c>
      <c r="NMP11" s="314" t="s">
        <v>203</v>
      </c>
      <c r="NMQ11" s="314" t="s">
        <v>203</v>
      </c>
      <c r="NMR11" s="314" t="s">
        <v>203</v>
      </c>
      <c r="NMS11" s="314" t="s">
        <v>203</v>
      </c>
      <c r="NMT11" s="314" t="s">
        <v>203</v>
      </c>
      <c r="NMU11" s="314" t="s">
        <v>203</v>
      </c>
      <c r="NMV11" s="314" t="s">
        <v>203</v>
      </c>
      <c r="NMW11" s="314" t="s">
        <v>203</v>
      </c>
      <c r="NMX11" s="314" t="s">
        <v>203</v>
      </c>
      <c r="NMY11" s="314" t="s">
        <v>203</v>
      </c>
      <c r="NMZ11" s="314" t="s">
        <v>203</v>
      </c>
      <c r="NNA11" s="314" t="s">
        <v>203</v>
      </c>
      <c r="NNB11" s="314" t="s">
        <v>203</v>
      </c>
      <c r="NNC11" s="314" t="s">
        <v>203</v>
      </c>
      <c r="NND11" s="314" t="s">
        <v>203</v>
      </c>
      <c r="NNE11" s="314" t="s">
        <v>203</v>
      </c>
      <c r="NNF11" s="314" t="s">
        <v>203</v>
      </c>
      <c r="NNG11" s="314" t="s">
        <v>203</v>
      </c>
      <c r="NNH11" s="314" t="s">
        <v>203</v>
      </c>
      <c r="NNI11" s="314" t="s">
        <v>203</v>
      </c>
      <c r="NNJ11" s="314" t="s">
        <v>203</v>
      </c>
      <c r="NNK11" s="314" t="s">
        <v>203</v>
      </c>
      <c r="NNL11" s="314" t="s">
        <v>203</v>
      </c>
      <c r="NNM11" s="314" t="s">
        <v>203</v>
      </c>
      <c r="NNN11" s="314" t="s">
        <v>203</v>
      </c>
      <c r="NNO11" s="314" t="s">
        <v>203</v>
      </c>
      <c r="NNP11" s="314" t="s">
        <v>203</v>
      </c>
      <c r="NNQ11" s="314" t="s">
        <v>203</v>
      </c>
      <c r="NNR11" s="314" t="s">
        <v>203</v>
      </c>
      <c r="NNS11" s="314" t="s">
        <v>203</v>
      </c>
      <c r="NNT11" s="314" t="s">
        <v>203</v>
      </c>
      <c r="NNU11" s="314" t="s">
        <v>203</v>
      </c>
      <c r="NNV11" s="314" t="s">
        <v>203</v>
      </c>
      <c r="NNW11" s="314" t="s">
        <v>203</v>
      </c>
      <c r="NNX11" s="314" t="s">
        <v>203</v>
      </c>
      <c r="NNY11" s="314" t="s">
        <v>203</v>
      </c>
      <c r="NNZ11" s="314" t="s">
        <v>203</v>
      </c>
      <c r="NOA11" s="314" t="s">
        <v>203</v>
      </c>
      <c r="NOB11" s="314" t="s">
        <v>203</v>
      </c>
      <c r="NOC11" s="314" t="s">
        <v>203</v>
      </c>
      <c r="NOD11" s="314" t="s">
        <v>203</v>
      </c>
      <c r="NOE11" s="314" t="s">
        <v>203</v>
      </c>
      <c r="NOF11" s="314" t="s">
        <v>203</v>
      </c>
      <c r="NOG11" s="314" t="s">
        <v>203</v>
      </c>
      <c r="NOH11" s="314" t="s">
        <v>203</v>
      </c>
      <c r="NOI11" s="314" t="s">
        <v>203</v>
      </c>
      <c r="NOJ11" s="314" t="s">
        <v>203</v>
      </c>
      <c r="NOK11" s="314" t="s">
        <v>203</v>
      </c>
      <c r="NOL11" s="314" t="s">
        <v>203</v>
      </c>
      <c r="NOM11" s="314" t="s">
        <v>203</v>
      </c>
      <c r="NON11" s="314" t="s">
        <v>203</v>
      </c>
      <c r="NOO11" s="314" t="s">
        <v>203</v>
      </c>
      <c r="NOP11" s="314" t="s">
        <v>203</v>
      </c>
      <c r="NOQ11" s="314" t="s">
        <v>203</v>
      </c>
      <c r="NOR11" s="314" t="s">
        <v>203</v>
      </c>
      <c r="NOS11" s="314" t="s">
        <v>203</v>
      </c>
      <c r="NOT11" s="314" t="s">
        <v>203</v>
      </c>
      <c r="NOU11" s="314" t="s">
        <v>203</v>
      </c>
      <c r="NOV11" s="314" t="s">
        <v>203</v>
      </c>
      <c r="NOW11" s="314" t="s">
        <v>203</v>
      </c>
      <c r="NOX11" s="314" t="s">
        <v>203</v>
      </c>
      <c r="NOY11" s="314" t="s">
        <v>203</v>
      </c>
      <c r="NOZ11" s="314" t="s">
        <v>203</v>
      </c>
      <c r="NPA11" s="314" t="s">
        <v>203</v>
      </c>
      <c r="NPB11" s="314" t="s">
        <v>203</v>
      </c>
      <c r="NPC11" s="314" t="s">
        <v>203</v>
      </c>
      <c r="NPD11" s="314" t="s">
        <v>203</v>
      </c>
      <c r="NPE11" s="314" t="s">
        <v>203</v>
      </c>
      <c r="NPF11" s="314" t="s">
        <v>203</v>
      </c>
      <c r="NPG11" s="314" t="s">
        <v>203</v>
      </c>
      <c r="NPH11" s="314" t="s">
        <v>203</v>
      </c>
      <c r="NPI11" s="314" t="s">
        <v>203</v>
      </c>
      <c r="NPJ11" s="314" t="s">
        <v>203</v>
      </c>
      <c r="NPK11" s="314" t="s">
        <v>203</v>
      </c>
      <c r="NPL11" s="314" t="s">
        <v>203</v>
      </c>
      <c r="NPM11" s="314" t="s">
        <v>203</v>
      </c>
      <c r="NPN11" s="314" t="s">
        <v>203</v>
      </c>
      <c r="NPO11" s="314" t="s">
        <v>203</v>
      </c>
      <c r="NPP11" s="314" t="s">
        <v>203</v>
      </c>
      <c r="NPQ11" s="314" t="s">
        <v>203</v>
      </c>
      <c r="NPR11" s="314" t="s">
        <v>203</v>
      </c>
      <c r="NPS11" s="314" t="s">
        <v>203</v>
      </c>
      <c r="NPT11" s="314" t="s">
        <v>203</v>
      </c>
      <c r="NPU11" s="314" t="s">
        <v>203</v>
      </c>
      <c r="NPV11" s="314" t="s">
        <v>203</v>
      </c>
      <c r="NPW11" s="314" t="s">
        <v>203</v>
      </c>
      <c r="NPX11" s="314" t="s">
        <v>203</v>
      </c>
      <c r="NPY11" s="314" t="s">
        <v>203</v>
      </c>
      <c r="NPZ11" s="314" t="s">
        <v>203</v>
      </c>
      <c r="NQA11" s="314" t="s">
        <v>203</v>
      </c>
      <c r="NQB11" s="314" t="s">
        <v>203</v>
      </c>
      <c r="NQC11" s="314" t="s">
        <v>203</v>
      </c>
      <c r="NQD11" s="314" t="s">
        <v>203</v>
      </c>
      <c r="NQE11" s="314" t="s">
        <v>203</v>
      </c>
      <c r="NQF11" s="314" t="s">
        <v>203</v>
      </c>
      <c r="NQG11" s="314" t="s">
        <v>203</v>
      </c>
      <c r="NQH11" s="314" t="s">
        <v>203</v>
      </c>
      <c r="NQI11" s="314" t="s">
        <v>203</v>
      </c>
      <c r="NQJ11" s="314" t="s">
        <v>203</v>
      </c>
      <c r="NQK11" s="314" t="s">
        <v>203</v>
      </c>
      <c r="NQL11" s="314" t="s">
        <v>203</v>
      </c>
      <c r="NQM11" s="314" t="s">
        <v>203</v>
      </c>
      <c r="NQN11" s="314" t="s">
        <v>203</v>
      </c>
      <c r="NQO11" s="314" t="s">
        <v>203</v>
      </c>
      <c r="NQP11" s="314" t="s">
        <v>203</v>
      </c>
      <c r="NQQ11" s="314" t="s">
        <v>203</v>
      </c>
      <c r="NQR11" s="314" t="s">
        <v>203</v>
      </c>
      <c r="NQS11" s="314" t="s">
        <v>203</v>
      </c>
      <c r="NQT11" s="314" t="s">
        <v>203</v>
      </c>
      <c r="NQU11" s="314" t="s">
        <v>203</v>
      </c>
      <c r="NQV11" s="314" t="s">
        <v>203</v>
      </c>
      <c r="NQW11" s="314" t="s">
        <v>203</v>
      </c>
      <c r="NQX11" s="314" t="s">
        <v>203</v>
      </c>
      <c r="NQY11" s="314" t="s">
        <v>203</v>
      </c>
      <c r="NQZ11" s="314" t="s">
        <v>203</v>
      </c>
      <c r="NRA11" s="314" t="s">
        <v>203</v>
      </c>
      <c r="NRB11" s="314" t="s">
        <v>203</v>
      </c>
      <c r="NRC11" s="314" t="s">
        <v>203</v>
      </c>
      <c r="NRD11" s="314" t="s">
        <v>203</v>
      </c>
      <c r="NRE11" s="314" t="s">
        <v>203</v>
      </c>
      <c r="NRF11" s="314" t="s">
        <v>203</v>
      </c>
      <c r="NRG11" s="314" t="s">
        <v>203</v>
      </c>
      <c r="NRH11" s="314" t="s">
        <v>203</v>
      </c>
      <c r="NRI11" s="314" t="s">
        <v>203</v>
      </c>
      <c r="NRJ11" s="314" t="s">
        <v>203</v>
      </c>
      <c r="NRK11" s="314" t="s">
        <v>203</v>
      </c>
      <c r="NRL11" s="314" t="s">
        <v>203</v>
      </c>
      <c r="NRM11" s="314" t="s">
        <v>203</v>
      </c>
      <c r="NRN11" s="314" t="s">
        <v>203</v>
      </c>
      <c r="NRO11" s="314" t="s">
        <v>203</v>
      </c>
      <c r="NRP11" s="314" t="s">
        <v>203</v>
      </c>
      <c r="NRQ11" s="314" t="s">
        <v>203</v>
      </c>
      <c r="NRR11" s="314" t="s">
        <v>203</v>
      </c>
      <c r="NRS11" s="314" t="s">
        <v>203</v>
      </c>
      <c r="NRT11" s="314" t="s">
        <v>203</v>
      </c>
      <c r="NRU11" s="314" t="s">
        <v>203</v>
      </c>
      <c r="NRV11" s="314" t="s">
        <v>203</v>
      </c>
      <c r="NRW11" s="314" t="s">
        <v>203</v>
      </c>
      <c r="NRX11" s="314" t="s">
        <v>203</v>
      </c>
      <c r="NRY11" s="314" t="s">
        <v>203</v>
      </c>
      <c r="NRZ11" s="314" t="s">
        <v>203</v>
      </c>
      <c r="NSA11" s="314" t="s">
        <v>203</v>
      </c>
      <c r="NSB11" s="314" t="s">
        <v>203</v>
      </c>
      <c r="NSC11" s="314" t="s">
        <v>203</v>
      </c>
      <c r="NSD11" s="314" t="s">
        <v>203</v>
      </c>
      <c r="NSE11" s="314" t="s">
        <v>203</v>
      </c>
      <c r="NSF11" s="314" t="s">
        <v>203</v>
      </c>
      <c r="NSG11" s="314" t="s">
        <v>203</v>
      </c>
      <c r="NSH11" s="314" t="s">
        <v>203</v>
      </c>
      <c r="NSI11" s="314" t="s">
        <v>203</v>
      </c>
      <c r="NSJ11" s="314" t="s">
        <v>203</v>
      </c>
      <c r="NSK11" s="314" t="s">
        <v>203</v>
      </c>
      <c r="NSL11" s="314" t="s">
        <v>203</v>
      </c>
      <c r="NSM11" s="314" t="s">
        <v>203</v>
      </c>
      <c r="NSN11" s="314" t="s">
        <v>203</v>
      </c>
      <c r="NSO11" s="314" t="s">
        <v>203</v>
      </c>
      <c r="NSP11" s="314" t="s">
        <v>203</v>
      </c>
      <c r="NSQ11" s="314" t="s">
        <v>203</v>
      </c>
      <c r="NSR11" s="314" t="s">
        <v>203</v>
      </c>
      <c r="NSS11" s="314" t="s">
        <v>203</v>
      </c>
      <c r="NST11" s="314" t="s">
        <v>203</v>
      </c>
      <c r="NSU11" s="314" t="s">
        <v>203</v>
      </c>
      <c r="NSV11" s="314" t="s">
        <v>203</v>
      </c>
      <c r="NSW11" s="314" t="s">
        <v>203</v>
      </c>
      <c r="NSX11" s="314" t="s">
        <v>203</v>
      </c>
      <c r="NSY11" s="314" t="s">
        <v>203</v>
      </c>
      <c r="NSZ11" s="314" t="s">
        <v>203</v>
      </c>
      <c r="NTA11" s="314" t="s">
        <v>203</v>
      </c>
      <c r="NTB11" s="314" t="s">
        <v>203</v>
      </c>
      <c r="NTC11" s="314" t="s">
        <v>203</v>
      </c>
      <c r="NTD11" s="314" t="s">
        <v>203</v>
      </c>
      <c r="NTE11" s="314" t="s">
        <v>203</v>
      </c>
      <c r="NTF11" s="314" t="s">
        <v>203</v>
      </c>
      <c r="NTG11" s="314" t="s">
        <v>203</v>
      </c>
      <c r="NTH11" s="314" t="s">
        <v>203</v>
      </c>
      <c r="NTI11" s="314" t="s">
        <v>203</v>
      </c>
      <c r="NTJ11" s="314" t="s">
        <v>203</v>
      </c>
      <c r="NTK11" s="314" t="s">
        <v>203</v>
      </c>
      <c r="NTL11" s="314" t="s">
        <v>203</v>
      </c>
      <c r="NTM11" s="314" t="s">
        <v>203</v>
      </c>
      <c r="NTN11" s="314" t="s">
        <v>203</v>
      </c>
      <c r="NTO11" s="314" t="s">
        <v>203</v>
      </c>
      <c r="NTP11" s="314" t="s">
        <v>203</v>
      </c>
      <c r="NTQ11" s="314" t="s">
        <v>203</v>
      </c>
      <c r="NTR11" s="314" t="s">
        <v>203</v>
      </c>
      <c r="NTS11" s="314" t="s">
        <v>203</v>
      </c>
      <c r="NTT11" s="314" t="s">
        <v>203</v>
      </c>
      <c r="NTU11" s="314" t="s">
        <v>203</v>
      </c>
      <c r="NTV11" s="314" t="s">
        <v>203</v>
      </c>
      <c r="NTW11" s="314" t="s">
        <v>203</v>
      </c>
      <c r="NTX11" s="314" t="s">
        <v>203</v>
      </c>
      <c r="NTY11" s="314" t="s">
        <v>203</v>
      </c>
      <c r="NTZ11" s="314" t="s">
        <v>203</v>
      </c>
      <c r="NUA11" s="314" t="s">
        <v>203</v>
      </c>
      <c r="NUB11" s="314" t="s">
        <v>203</v>
      </c>
      <c r="NUC11" s="314" t="s">
        <v>203</v>
      </c>
      <c r="NUD11" s="314" t="s">
        <v>203</v>
      </c>
      <c r="NUE11" s="314" t="s">
        <v>203</v>
      </c>
      <c r="NUF11" s="314" t="s">
        <v>203</v>
      </c>
      <c r="NUG11" s="314" t="s">
        <v>203</v>
      </c>
      <c r="NUH11" s="314" t="s">
        <v>203</v>
      </c>
      <c r="NUI11" s="314" t="s">
        <v>203</v>
      </c>
      <c r="NUJ11" s="314" t="s">
        <v>203</v>
      </c>
      <c r="NUK11" s="314" t="s">
        <v>203</v>
      </c>
      <c r="NUL11" s="314" t="s">
        <v>203</v>
      </c>
      <c r="NUM11" s="314" t="s">
        <v>203</v>
      </c>
      <c r="NUN11" s="314" t="s">
        <v>203</v>
      </c>
      <c r="NUO11" s="314" t="s">
        <v>203</v>
      </c>
      <c r="NUP11" s="314" t="s">
        <v>203</v>
      </c>
      <c r="NUQ11" s="314" t="s">
        <v>203</v>
      </c>
      <c r="NUR11" s="314" t="s">
        <v>203</v>
      </c>
      <c r="NUS11" s="314" t="s">
        <v>203</v>
      </c>
      <c r="NUT11" s="314" t="s">
        <v>203</v>
      </c>
      <c r="NUU11" s="314" t="s">
        <v>203</v>
      </c>
      <c r="NUV11" s="314" t="s">
        <v>203</v>
      </c>
      <c r="NUW11" s="314" t="s">
        <v>203</v>
      </c>
      <c r="NUX11" s="314" t="s">
        <v>203</v>
      </c>
      <c r="NUY11" s="314" t="s">
        <v>203</v>
      </c>
      <c r="NUZ11" s="314" t="s">
        <v>203</v>
      </c>
      <c r="NVA11" s="314" t="s">
        <v>203</v>
      </c>
      <c r="NVB11" s="314" t="s">
        <v>203</v>
      </c>
      <c r="NVC11" s="314" t="s">
        <v>203</v>
      </c>
      <c r="NVD11" s="314" t="s">
        <v>203</v>
      </c>
      <c r="NVE11" s="314" t="s">
        <v>203</v>
      </c>
      <c r="NVF11" s="314" t="s">
        <v>203</v>
      </c>
      <c r="NVG11" s="314" t="s">
        <v>203</v>
      </c>
      <c r="NVH11" s="314" t="s">
        <v>203</v>
      </c>
      <c r="NVI11" s="314" t="s">
        <v>203</v>
      </c>
      <c r="NVJ11" s="314" t="s">
        <v>203</v>
      </c>
      <c r="NVK11" s="314" t="s">
        <v>203</v>
      </c>
      <c r="NVL11" s="314" t="s">
        <v>203</v>
      </c>
      <c r="NVM11" s="314" t="s">
        <v>203</v>
      </c>
      <c r="NVN11" s="314" t="s">
        <v>203</v>
      </c>
      <c r="NVO11" s="314" t="s">
        <v>203</v>
      </c>
      <c r="NVP11" s="314" t="s">
        <v>203</v>
      </c>
      <c r="NVQ11" s="314" t="s">
        <v>203</v>
      </c>
      <c r="NVR11" s="314" t="s">
        <v>203</v>
      </c>
      <c r="NVS11" s="314" t="s">
        <v>203</v>
      </c>
      <c r="NVT11" s="314" t="s">
        <v>203</v>
      </c>
      <c r="NVU11" s="314" t="s">
        <v>203</v>
      </c>
      <c r="NVV11" s="314" t="s">
        <v>203</v>
      </c>
      <c r="NVW11" s="314" t="s">
        <v>203</v>
      </c>
      <c r="NVX11" s="314" t="s">
        <v>203</v>
      </c>
      <c r="NVY11" s="314" t="s">
        <v>203</v>
      </c>
      <c r="NVZ11" s="314" t="s">
        <v>203</v>
      </c>
      <c r="NWA11" s="314" t="s">
        <v>203</v>
      </c>
      <c r="NWB11" s="314" t="s">
        <v>203</v>
      </c>
      <c r="NWC11" s="314" t="s">
        <v>203</v>
      </c>
      <c r="NWD11" s="314" t="s">
        <v>203</v>
      </c>
      <c r="NWE11" s="314" t="s">
        <v>203</v>
      </c>
      <c r="NWF11" s="314" t="s">
        <v>203</v>
      </c>
      <c r="NWG11" s="314" t="s">
        <v>203</v>
      </c>
      <c r="NWH11" s="314" t="s">
        <v>203</v>
      </c>
      <c r="NWI11" s="314" t="s">
        <v>203</v>
      </c>
      <c r="NWJ11" s="314" t="s">
        <v>203</v>
      </c>
      <c r="NWK11" s="314" t="s">
        <v>203</v>
      </c>
      <c r="NWL11" s="314" t="s">
        <v>203</v>
      </c>
      <c r="NWM11" s="314" t="s">
        <v>203</v>
      </c>
      <c r="NWN11" s="314" t="s">
        <v>203</v>
      </c>
      <c r="NWO11" s="314" t="s">
        <v>203</v>
      </c>
      <c r="NWP11" s="314" t="s">
        <v>203</v>
      </c>
      <c r="NWQ11" s="314" t="s">
        <v>203</v>
      </c>
      <c r="NWR11" s="314" t="s">
        <v>203</v>
      </c>
      <c r="NWS11" s="314" t="s">
        <v>203</v>
      </c>
      <c r="NWT11" s="314" t="s">
        <v>203</v>
      </c>
      <c r="NWU11" s="314" t="s">
        <v>203</v>
      </c>
      <c r="NWV11" s="314" t="s">
        <v>203</v>
      </c>
      <c r="NWW11" s="314" t="s">
        <v>203</v>
      </c>
      <c r="NWX11" s="314" t="s">
        <v>203</v>
      </c>
      <c r="NWY11" s="314" t="s">
        <v>203</v>
      </c>
      <c r="NWZ11" s="314" t="s">
        <v>203</v>
      </c>
      <c r="NXA11" s="314" t="s">
        <v>203</v>
      </c>
      <c r="NXB11" s="314" t="s">
        <v>203</v>
      </c>
      <c r="NXC11" s="314" t="s">
        <v>203</v>
      </c>
      <c r="NXD11" s="314" t="s">
        <v>203</v>
      </c>
      <c r="NXE11" s="314" t="s">
        <v>203</v>
      </c>
      <c r="NXF11" s="314" t="s">
        <v>203</v>
      </c>
      <c r="NXG11" s="314" t="s">
        <v>203</v>
      </c>
      <c r="NXH11" s="314" t="s">
        <v>203</v>
      </c>
      <c r="NXI11" s="314" t="s">
        <v>203</v>
      </c>
      <c r="NXJ11" s="314" t="s">
        <v>203</v>
      </c>
      <c r="NXK11" s="314" t="s">
        <v>203</v>
      </c>
      <c r="NXL11" s="314" t="s">
        <v>203</v>
      </c>
      <c r="NXM11" s="314" t="s">
        <v>203</v>
      </c>
      <c r="NXN11" s="314" t="s">
        <v>203</v>
      </c>
      <c r="NXO11" s="314" t="s">
        <v>203</v>
      </c>
      <c r="NXP11" s="314" t="s">
        <v>203</v>
      </c>
      <c r="NXQ11" s="314" t="s">
        <v>203</v>
      </c>
      <c r="NXR11" s="314" t="s">
        <v>203</v>
      </c>
      <c r="NXS11" s="314" t="s">
        <v>203</v>
      </c>
      <c r="NXT11" s="314" t="s">
        <v>203</v>
      </c>
      <c r="NXU11" s="314" t="s">
        <v>203</v>
      </c>
      <c r="NXV11" s="314" t="s">
        <v>203</v>
      </c>
      <c r="NXW11" s="314" t="s">
        <v>203</v>
      </c>
      <c r="NXX11" s="314" t="s">
        <v>203</v>
      </c>
      <c r="NXY11" s="314" t="s">
        <v>203</v>
      </c>
      <c r="NXZ11" s="314" t="s">
        <v>203</v>
      </c>
      <c r="NYA11" s="314" t="s">
        <v>203</v>
      </c>
      <c r="NYB11" s="314" t="s">
        <v>203</v>
      </c>
      <c r="NYC11" s="314" t="s">
        <v>203</v>
      </c>
      <c r="NYD11" s="314" t="s">
        <v>203</v>
      </c>
      <c r="NYE11" s="314" t="s">
        <v>203</v>
      </c>
      <c r="NYF11" s="314" t="s">
        <v>203</v>
      </c>
      <c r="NYG11" s="314" t="s">
        <v>203</v>
      </c>
      <c r="NYH11" s="314" t="s">
        <v>203</v>
      </c>
      <c r="NYI11" s="314" t="s">
        <v>203</v>
      </c>
      <c r="NYJ11" s="314" t="s">
        <v>203</v>
      </c>
      <c r="NYK11" s="314" t="s">
        <v>203</v>
      </c>
      <c r="NYL11" s="314" t="s">
        <v>203</v>
      </c>
      <c r="NYM11" s="314" t="s">
        <v>203</v>
      </c>
      <c r="NYN11" s="314" t="s">
        <v>203</v>
      </c>
      <c r="NYO11" s="314" t="s">
        <v>203</v>
      </c>
      <c r="NYP11" s="314" t="s">
        <v>203</v>
      </c>
      <c r="NYQ11" s="314" t="s">
        <v>203</v>
      </c>
      <c r="NYR11" s="314" t="s">
        <v>203</v>
      </c>
      <c r="NYS11" s="314" t="s">
        <v>203</v>
      </c>
      <c r="NYT11" s="314" t="s">
        <v>203</v>
      </c>
      <c r="NYU11" s="314" t="s">
        <v>203</v>
      </c>
      <c r="NYV11" s="314" t="s">
        <v>203</v>
      </c>
      <c r="NYW11" s="314" t="s">
        <v>203</v>
      </c>
      <c r="NYX11" s="314" t="s">
        <v>203</v>
      </c>
      <c r="NYY11" s="314" t="s">
        <v>203</v>
      </c>
      <c r="NYZ11" s="314" t="s">
        <v>203</v>
      </c>
      <c r="NZA11" s="314" t="s">
        <v>203</v>
      </c>
      <c r="NZB11" s="314" t="s">
        <v>203</v>
      </c>
      <c r="NZC11" s="314" t="s">
        <v>203</v>
      </c>
      <c r="NZD11" s="314" t="s">
        <v>203</v>
      </c>
      <c r="NZE11" s="314" t="s">
        <v>203</v>
      </c>
      <c r="NZF11" s="314" t="s">
        <v>203</v>
      </c>
      <c r="NZG11" s="314" t="s">
        <v>203</v>
      </c>
      <c r="NZH11" s="314" t="s">
        <v>203</v>
      </c>
      <c r="NZI11" s="314" t="s">
        <v>203</v>
      </c>
      <c r="NZJ11" s="314" t="s">
        <v>203</v>
      </c>
      <c r="NZK11" s="314" t="s">
        <v>203</v>
      </c>
      <c r="NZL11" s="314" t="s">
        <v>203</v>
      </c>
      <c r="NZM11" s="314" t="s">
        <v>203</v>
      </c>
      <c r="NZN11" s="314" t="s">
        <v>203</v>
      </c>
      <c r="NZO11" s="314" t="s">
        <v>203</v>
      </c>
      <c r="NZP11" s="314" t="s">
        <v>203</v>
      </c>
      <c r="NZQ11" s="314" t="s">
        <v>203</v>
      </c>
      <c r="NZR11" s="314" t="s">
        <v>203</v>
      </c>
      <c r="NZS11" s="314" t="s">
        <v>203</v>
      </c>
      <c r="NZT11" s="314" t="s">
        <v>203</v>
      </c>
      <c r="NZU11" s="314" t="s">
        <v>203</v>
      </c>
      <c r="NZV11" s="314" t="s">
        <v>203</v>
      </c>
      <c r="NZW11" s="314" t="s">
        <v>203</v>
      </c>
      <c r="NZX11" s="314" t="s">
        <v>203</v>
      </c>
      <c r="NZY11" s="314" t="s">
        <v>203</v>
      </c>
      <c r="NZZ11" s="314" t="s">
        <v>203</v>
      </c>
      <c r="OAA11" s="314" t="s">
        <v>203</v>
      </c>
      <c r="OAB11" s="314" t="s">
        <v>203</v>
      </c>
      <c r="OAC11" s="314" t="s">
        <v>203</v>
      </c>
      <c r="OAD11" s="314" t="s">
        <v>203</v>
      </c>
      <c r="OAE11" s="314" t="s">
        <v>203</v>
      </c>
      <c r="OAF11" s="314" t="s">
        <v>203</v>
      </c>
      <c r="OAG11" s="314" t="s">
        <v>203</v>
      </c>
      <c r="OAH11" s="314" t="s">
        <v>203</v>
      </c>
      <c r="OAI11" s="314" t="s">
        <v>203</v>
      </c>
      <c r="OAJ11" s="314" t="s">
        <v>203</v>
      </c>
      <c r="OAK11" s="314" t="s">
        <v>203</v>
      </c>
      <c r="OAL11" s="314" t="s">
        <v>203</v>
      </c>
      <c r="OAM11" s="314" t="s">
        <v>203</v>
      </c>
      <c r="OAN11" s="314" t="s">
        <v>203</v>
      </c>
      <c r="OAO11" s="314" t="s">
        <v>203</v>
      </c>
      <c r="OAP11" s="314" t="s">
        <v>203</v>
      </c>
      <c r="OAQ11" s="314" t="s">
        <v>203</v>
      </c>
      <c r="OAR11" s="314" t="s">
        <v>203</v>
      </c>
      <c r="OAS11" s="314" t="s">
        <v>203</v>
      </c>
      <c r="OAT11" s="314" t="s">
        <v>203</v>
      </c>
      <c r="OAU11" s="314" t="s">
        <v>203</v>
      </c>
      <c r="OAV11" s="314" t="s">
        <v>203</v>
      </c>
      <c r="OAW11" s="314" t="s">
        <v>203</v>
      </c>
      <c r="OAX11" s="314" t="s">
        <v>203</v>
      </c>
      <c r="OAY11" s="314" t="s">
        <v>203</v>
      </c>
      <c r="OAZ11" s="314" t="s">
        <v>203</v>
      </c>
      <c r="OBA11" s="314" t="s">
        <v>203</v>
      </c>
      <c r="OBB11" s="314" t="s">
        <v>203</v>
      </c>
      <c r="OBC11" s="314" t="s">
        <v>203</v>
      </c>
      <c r="OBD11" s="314" t="s">
        <v>203</v>
      </c>
      <c r="OBE11" s="314" t="s">
        <v>203</v>
      </c>
      <c r="OBF11" s="314" t="s">
        <v>203</v>
      </c>
      <c r="OBG11" s="314" t="s">
        <v>203</v>
      </c>
      <c r="OBH11" s="314" t="s">
        <v>203</v>
      </c>
      <c r="OBI11" s="314" t="s">
        <v>203</v>
      </c>
      <c r="OBJ11" s="314" t="s">
        <v>203</v>
      </c>
      <c r="OBK11" s="314" t="s">
        <v>203</v>
      </c>
      <c r="OBL11" s="314" t="s">
        <v>203</v>
      </c>
      <c r="OBM11" s="314" t="s">
        <v>203</v>
      </c>
      <c r="OBN11" s="314" t="s">
        <v>203</v>
      </c>
      <c r="OBO11" s="314" t="s">
        <v>203</v>
      </c>
      <c r="OBP11" s="314" t="s">
        <v>203</v>
      </c>
      <c r="OBQ11" s="314" t="s">
        <v>203</v>
      </c>
      <c r="OBR11" s="314" t="s">
        <v>203</v>
      </c>
      <c r="OBS11" s="314" t="s">
        <v>203</v>
      </c>
      <c r="OBT11" s="314" t="s">
        <v>203</v>
      </c>
      <c r="OBU11" s="314" t="s">
        <v>203</v>
      </c>
      <c r="OBV11" s="314" t="s">
        <v>203</v>
      </c>
      <c r="OBW11" s="314" t="s">
        <v>203</v>
      </c>
      <c r="OBX11" s="314" t="s">
        <v>203</v>
      </c>
      <c r="OBY11" s="314" t="s">
        <v>203</v>
      </c>
      <c r="OBZ11" s="314" t="s">
        <v>203</v>
      </c>
      <c r="OCA11" s="314" t="s">
        <v>203</v>
      </c>
      <c r="OCB11" s="314" t="s">
        <v>203</v>
      </c>
      <c r="OCC11" s="314" t="s">
        <v>203</v>
      </c>
      <c r="OCD11" s="314" t="s">
        <v>203</v>
      </c>
      <c r="OCE11" s="314" t="s">
        <v>203</v>
      </c>
      <c r="OCF11" s="314" t="s">
        <v>203</v>
      </c>
      <c r="OCG11" s="314" t="s">
        <v>203</v>
      </c>
      <c r="OCH11" s="314" t="s">
        <v>203</v>
      </c>
      <c r="OCI11" s="314" t="s">
        <v>203</v>
      </c>
      <c r="OCJ11" s="314" t="s">
        <v>203</v>
      </c>
      <c r="OCK11" s="314" t="s">
        <v>203</v>
      </c>
      <c r="OCL11" s="314" t="s">
        <v>203</v>
      </c>
      <c r="OCM11" s="314" t="s">
        <v>203</v>
      </c>
      <c r="OCN11" s="314" t="s">
        <v>203</v>
      </c>
      <c r="OCO11" s="314" t="s">
        <v>203</v>
      </c>
      <c r="OCP11" s="314" t="s">
        <v>203</v>
      </c>
      <c r="OCQ11" s="314" t="s">
        <v>203</v>
      </c>
      <c r="OCR11" s="314" t="s">
        <v>203</v>
      </c>
      <c r="OCS11" s="314" t="s">
        <v>203</v>
      </c>
      <c r="OCT11" s="314" t="s">
        <v>203</v>
      </c>
      <c r="OCU11" s="314" t="s">
        <v>203</v>
      </c>
      <c r="OCV11" s="314" t="s">
        <v>203</v>
      </c>
      <c r="OCW11" s="314" t="s">
        <v>203</v>
      </c>
      <c r="OCX11" s="314" t="s">
        <v>203</v>
      </c>
      <c r="OCY11" s="314" t="s">
        <v>203</v>
      </c>
      <c r="OCZ11" s="314" t="s">
        <v>203</v>
      </c>
      <c r="ODA11" s="314" t="s">
        <v>203</v>
      </c>
      <c r="ODB11" s="314" t="s">
        <v>203</v>
      </c>
      <c r="ODC11" s="314" t="s">
        <v>203</v>
      </c>
      <c r="ODD11" s="314" t="s">
        <v>203</v>
      </c>
      <c r="ODE11" s="314" t="s">
        <v>203</v>
      </c>
      <c r="ODF11" s="314" t="s">
        <v>203</v>
      </c>
      <c r="ODG11" s="314" t="s">
        <v>203</v>
      </c>
      <c r="ODH11" s="314" t="s">
        <v>203</v>
      </c>
      <c r="ODI11" s="314" t="s">
        <v>203</v>
      </c>
      <c r="ODJ11" s="314" t="s">
        <v>203</v>
      </c>
      <c r="ODK11" s="314" t="s">
        <v>203</v>
      </c>
      <c r="ODL11" s="314" t="s">
        <v>203</v>
      </c>
      <c r="ODM11" s="314" t="s">
        <v>203</v>
      </c>
      <c r="ODN11" s="314" t="s">
        <v>203</v>
      </c>
      <c r="ODO11" s="314" t="s">
        <v>203</v>
      </c>
      <c r="ODP11" s="314" t="s">
        <v>203</v>
      </c>
      <c r="ODQ11" s="314" t="s">
        <v>203</v>
      </c>
      <c r="ODR11" s="314" t="s">
        <v>203</v>
      </c>
      <c r="ODS11" s="314" t="s">
        <v>203</v>
      </c>
      <c r="ODT11" s="314" t="s">
        <v>203</v>
      </c>
      <c r="ODU11" s="314" t="s">
        <v>203</v>
      </c>
      <c r="ODV11" s="314" t="s">
        <v>203</v>
      </c>
      <c r="ODW11" s="314" t="s">
        <v>203</v>
      </c>
      <c r="ODX11" s="314" t="s">
        <v>203</v>
      </c>
      <c r="ODY11" s="314" t="s">
        <v>203</v>
      </c>
      <c r="ODZ11" s="314" t="s">
        <v>203</v>
      </c>
      <c r="OEA11" s="314" t="s">
        <v>203</v>
      </c>
      <c r="OEB11" s="314" t="s">
        <v>203</v>
      </c>
      <c r="OEC11" s="314" t="s">
        <v>203</v>
      </c>
      <c r="OED11" s="314" t="s">
        <v>203</v>
      </c>
      <c r="OEE11" s="314" t="s">
        <v>203</v>
      </c>
      <c r="OEF11" s="314" t="s">
        <v>203</v>
      </c>
      <c r="OEG11" s="314" t="s">
        <v>203</v>
      </c>
      <c r="OEH11" s="314" t="s">
        <v>203</v>
      </c>
      <c r="OEI11" s="314" t="s">
        <v>203</v>
      </c>
      <c r="OEJ11" s="314" t="s">
        <v>203</v>
      </c>
      <c r="OEK11" s="314" t="s">
        <v>203</v>
      </c>
      <c r="OEL11" s="314" t="s">
        <v>203</v>
      </c>
      <c r="OEM11" s="314" t="s">
        <v>203</v>
      </c>
      <c r="OEN11" s="314" t="s">
        <v>203</v>
      </c>
      <c r="OEO11" s="314" t="s">
        <v>203</v>
      </c>
      <c r="OEP11" s="314" t="s">
        <v>203</v>
      </c>
      <c r="OEQ11" s="314" t="s">
        <v>203</v>
      </c>
      <c r="OER11" s="314" t="s">
        <v>203</v>
      </c>
      <c r="OES11" s="314" t="s">
        <v>203</v>
      </c>
      <c r="OET11" s="314" t="s">
        <v>203</v>
      </c>
      <c r="OEU11" s="314" t="s">
        <v>203</v>
      </c>
      <c r="OEV11" s="314" t="s">
        <v>203</v>
      </c>
      <c r="OEW11" s="314" t="s">
        <v>203</v>
      </c>
      <c r="OEX11" s="314" t="s">
        <v>203</v>
      </c>
      <c r="OEY11" s="314" t="s">
        <v>203</v>
      </c>
      <c r="OEZ11" s="314" t="s">
        <v>203</v>
      </c>
      <c r="OFA11" s="314" t="s">
        <v>203</v>
      </c>
      <c r="OFB11" s="314" t="s">
        <v>203</v>
      </c>
      <c r="OFC11" s="314" t="s">
        <v>203</v>
      </c>
      <c r="OFD11" s="314" t="s">
        <v>203</v>
      </c>
      <c r="OFE11" s="314" t="s">
        <v>203</v>
      </c>
      <c r="OFF11" s="314" t="s">
        <v>203</v>
      </c>
      <c r="OFG11" s="314" t="s">
        <v>203</v>
      </c>
      <c r="OFH11" s="314" t="s">
        <v>203</v>
      </c>
      <c r="OFI11" s="314" t="s">
        <v>203</v>
      </c>
      <c r="OFJ11" s="314" t="s">
        <v>203</v>
      </c>
      <c r="OFK11" s="314" t="s">
        <v>203</v>
      </c>
      <c r="OFL11" s="314" t="s">
        <v>203</v>
      </c>
      <c r="OFM11" s="314" t="s">
        <v>203</v>
      </c>
      <c r="OFN11" s="314" t="s">
        <v>203</v>
      </c>
      <c r="OFO11" s="314" t="s">
        <v>203</v>
      </c>
      <c r="OFP11" s="314" t="s">
        <v>203</v>
      </c>
      <c r="OFQ11" s="314" t="s">
        <v>203</v>
      </c>
      <c r="OFR11" s="314" t="s">
        <v>203</v>
      </c>
      <c r="OFS11" s="314" t="s">
        <v>203</v>
      </c>
      <c r="OFT11" s="314" t="s">
        <v>203</v>
      </c>
      <c r="OFU11" s="314" t="s">
        <v>203</v>
      </c>
      <c r="OFV11" s="314" t="s">
        <v>203</v>
      </c>
      <c r="OFW11" s="314" t="s">
        <v>203</v>
      </c>
      <c r="OFX11" s="314" t="s">
        <v>203</v>
      </c>
      <c r="OFY11" s="314" t="s">
        <v>203</v>
      </c>
      <c r="OFZ11" s="314" t="s">
        <v>203</v>
      </c>
      <c r="OGA11" s="314" t="s">
        <v>203</v>
      </c>
      <c r="OGB11" s="314" t="s">
        <v>203</v>
      </c>
      <c r="OGC11" s="314" t="s">
        <v>203</v>
      </c>
      <c r="OGD11" s="314" t="s">
        <v>203</v>
      </c>
      <c r="OGE11" s="314" t="s">
        <v>203</v>
      </c>
      <c r="OGF11" s="314" t="s">
        <v>203</v>
      </c>
      <c r="OGG11" s="314" t="s">
        <v>203</v>
      </c>
      <c r="OGH11" s="314" t="s">
        <v>203</v>
      </c>
      <c r="OGI11" s="314" t="s">
        <v>203</v>
      </c>
      <c r="OGJ11" s="314" t="s">
        <v>203</v>
      </c>
      <c r="OGK11" s="314" t="s">
        <v>203</v>
      </c>
      <c r="OGL11" s="314" t="s">
        <v>203</v>
      </c>
      <c r="OGM11" s="314" t="s">
        <v>203</v>
      </c>
      <c r="OGN11" s="314" t="s">
        <v>203</v>
      </c>
      <c r="OGO11" s="314" t="s">
        <v>203</v>
      </c>
      <c r="OGP11" s="314" t="s">
        <v>203</v>
      </c>
      <c r="OGQ11" s="314" t="s">
        <v>203</v>
      </c>
      <c r="OGR11" s="314" t="s">
        <v>203</v>
      </c>
      <c r="OGS11" s="314" t="s">
        <v>203</v>
      </c>
      <c r="OGT11" s="314" t="s">
        <v>203</v>
      </c>
      <c r="OGU11" s="314" t="s">
        <v>203</v>
      </c>
      <c r="OGV11" s="314" t="s">
        <v>203</v>
      </c>
      <c r="OGW11" s="314" t="s">
        <v>203</v>
      </c>
      <c r="OGX11" s="314" t="s">
        <v>203</v>
      </c>
      <c r="OGY11" s="314" t="s">
        <v>203</v>
      </c>
      <c r="OGZ11" s="314" t="s">
        <v>203</v>
      </c>
      <c r="OHA11" s="314" t="s">
        <v>203</v>
      </c>
      <c r="OHB11" s="314" t="s">
        <v>203</v>
      </c>
      <c r="OHC11" s="314" t="s">
        <v>203</v>
      </c>
      <c r="OHD11" s="314" t="s">
        <v>203</v>
      </c>
      <c r="OHE11" s="314" t="s">
        <v>203</v>
      </c>
      <c r="OHF11" s="314" t="s">
        <v>203</v>
      </c>
      <c r="OHG11" s="314" t="s">
        <v>203</v>
      </c>
      <c r="OHH11" s="314" t="s">
        <v>203</v>
      </c>
      <c r="OHI11" s="314" t="s">
        <v>203</v>
      </c>
      <c r="OHJ11" s="314" t="s">
        <v>203</v>
      </c>
      <c r="OHK11" s="314" t="s">
        <v>203</v>
      </c>
      <c r="OHL11" s="314" t="s">
        <v>203</v>
      </c>
      <c r="OHM11" s="314" t="s">
        <v>203</v>
      </c>
      <c r="OHN11" s="314" t="s">
        <v>203</v>
      </c>
      <c r="OHO11" s="314" t="s">
        <v>203</v>
      </c>
      <c r="OHP11" s="314" t="s">
        <v>203</v>
      </c>
      <c r="OHQ11" s="314" t="s">
        <v>203</v>
      </c>
      <c r="OHR11" s="314" t="s">
        <v>203</v>
      </c>
      <c r="OHS11" s="314" t="s">
        <v>203</v>
      </c>
      <c r="OHT11" s="314" t="s">
        <v>203</v>
      </c>
      <c r="OHU11" s="314" t="s">
        <v>203</v>
      </c>
      <c r="OHV11" s="314" t="s">
        <v>203</v>
      </c>
      <c r="OHW11" s="314" t="s">
        <v>203</v>
      </c>
      <c r="OHX11" s="314" t="s">
        <v>203</v>
      </c>
      <c r="OHY11" s="314" t="s">
        <v>203</v>
      </c>
      <c r="OHZ11" s="314" t="s">
        <v>203</v>
      </c>
      <c r="OIA11" s="314" t="s">
        <v>203</v>
      </c>
      <c r="OIB11" s="314" t="s">
        <v>203</v>
      </c>
      <c r="OIC11" s="314" t="s">
        <v>203</v>
      </c>
      <c r="OID11" s="314" t="s">
        <v>203</v>
      </c>
      <c r="OIE11" s="314" t="s">
        <v>203</v>
      </c>
      <c r="OIF11" s="314" t="s">
        <v>203</v>
      </c>
      <c r="OIG11" s="314" t="s">
        <v>203</v>
      </c>
      <c r="OIH11" s="314" t="s">
        <v>203</v>
      </c>
      <c r="OII11" s="314" t="s">
        <v>203</v>
      </c>
      <c r="OIJ11" s="314" t="s">
        <v>203</v>
      </c>
      <c r="OIK11" s="314" t="s">
        <v>203</v>
      </c>
      <c r="OIL11" s="314" t="s">
        <v>203</v>
      </c>
      <c r="OIM11" s="314" t="s">
        <v>203</v>
      </c>
      <c r="OIN11" s="314" t="s">
        <v>203</v>
      </c>
      <c r="OIO11" s="314" t="s">
        <v>203</v>
      </c>
      <c r="OIP11" s="314" t="s">
        <v>203</v>
      </c>
      <c r="OIQ11" s="314" t="s">
        <v>203</v>
      </c>
      <c r="OIR11" s="314" t="s">
        <v>203</v>
      </c>
      <c r="OIS11" s="314" t="s">
        <v>203</v>
      </c>
      <c r="OIT11" s="314" t="s">
        <v>203</v>
      </c>
      <c r="OIU11" s="314" t="s">
        <v>203</v>
      </c>
      <c r="OIV11" s="314" t="s">
        <v>203</v>
      </c>
      <c r="OIW11" s="314" t="s">
        <v>203</v>
      </c>
      <c r="OIX11" s="314" t="s">
        <v>203</v>
      </c>
      <c r="OIY11" s="314" t="s">
        <v>203</v>
      </c>
      <c r="OIZ11" s="314" t="s">
        <v>203</v>
      </c>
      <c r="OJA11" s="314" t="s">
        <v>203</v>
      </c>
      <c r="OJB11" s="314" t="s">
        <v>203</v>
      </c>
      <c r="OJC11" s="314" t="s">
        <v>203</v>
      </c>
      <c r="OJD11" s="314" t="s">
        <v>203</v>
      </c>
      <c r="OJE11" s="314" t="s">
        <v>203</v>
      </c>
      <c r="OJF11" s="314" t="s">
        <v>203</v>
      </c>
      <c r="OJG11" s="314" t="s">
        <v>203</v>
      </c>
      <c r="OJH11" s="314" t="s">
        <v>203</v>
      </c>
      <c r="OJI11" s="314" t="s">
        <v>203</v>
      </c>
      <c r="OJJ11" s="314" t="s">
        <v>203</v>
      </c>
      <c r="OJK11" s="314" t="s">
        <v>203</v>
      </c>
      <c r="OJL11" s="314" t="s">
        <v>203</v>
      </c>
      <c r="OJM11" s="314" t="s">
        <v>203</v>
      </c>
      <c r="OJN11" s="314" t="s">
        <v>203</v>
      </c>
      <c r="OJO11" s="314" t="s">
        <v>203</v>
      </c>
      <c r="OJP11" s="314" t="s">
        <v>203</v>
      </c>
      <c r="OJQ11" s="314" t="s">
        <v>203</v>
      </c>
      <c r="OJR11" s="314" t="s">
        <v>203</v>
      </c>
      <c r="OJS11" s="314" t="s">
        <v>203</v>
      </c>
      <c r="OJT11" s="314" t="s">
        <v>203</v>
      </c>
      <c r="OJU11" s="314" t="s">
        <v>203</v>
      </c>
      <c r="OJV11" s="314" t="s">
        <v>203</v>
      </c>
      <c r="OJW11" s="314" t="s">
        <v>203</v>
      </c>
      <c r="OJX11" s="314" t="s">
        <v>203</v>
      </c>
      <c r="OJY11" s="314" t="s">
        <v>203</v>
      </c>
      <c r="OJZ11" s="314" t="s">
        <v>203</v>
      </c>
      <c r="OKA11" s="314" t="s">
        <v>203</v>
      </c>
      <c r="OKB11" s="314" t="s">
        <v>203</v>
      </c>
      <c r="OKC11" s="314" t="s">
        <v>203</v>
      </c>
      <c r="OKD11" s="314" t="s">
        <v>203</v>
      </c>
      <c r="OKE11" s="314" t="s">
        <v>203</v>
      </c>
      <c r="OKF11" s="314" t="s">
        <v>203</v>
      </c>
      <c r="OKG11" s="314" t="s">
        <v>203</v>
      </c>
      <c r="OKH11" s="314" t="s">
        <v>203</v>
      </c>
      <c r="OKI11" s="314" t="s">
        <v>203</v>
      </c>
      <c r="OKJ11" s="314" t="s">
        <v>203</v>
      </c>
      <c r="OKK11" s="314" t="s">
        <v>203</v>
      </c>
      <c r="OKL11" s="314" t="s">
        <v>203</v>
      </c>
      <c r="OKM11" s="314" t="s">
        <v>203</v>
      </c>
      <c r="OKN11" s="314" t="s">
        <v>203</v>
      </c>
      <c r="OKO11" s="314" t="s">
        <v>203</v>
      </c>
      <c r="OKP11" s="314" t="s">
        <v>203</v>
      </c>
      <c r="OKQ11" s="314" t="s">
        <v>203</v>
      </c>
      <c r="OKR11" s="314" t="s">
        <v>203</v>
      </c>
      <c r="OKS11" s="314" t="s">
        <v>203</v>
      </c>
      <c r="OKT11" s="314" t="s">
        <v>203</v>
      </c>
      <c r="OKU11" s="314" t="s">
        <v>203</v>
      </c>
      <c r="OKV11" s="314" t="s">
        <v>203</v>
      </c>
      <c r="OKW11" s="314" t="s">
        <v>203</v>
      </c>
      <c r="OKX11" s="314" t="s">
        <v>203</v>
      </c>
      <c r="OKY11" s="314" t="s">
        <v>203</v>
      </c>
      <c r="OKZ11" s="314" t="s">
        <v>203</v>
      </c>
      <c r="OLA11" s="314" t="s">
        <v>203</v>
      </c>
      <c r="OLB11" s="314" t="s">
        <v>203</v>
      </c>
      <c r="OLC11" s="314" t="s">
        <v>203</v>
      </c>
      <c r="OLD11" s="314" t="s">
        <v>203</v>
      </c>
      <c r="OLE11" s="314" t="s">
        <v>203</v>
      </c>
      <c r="OLF11" s="314" t="s">
        <v>203</v>
      </c>
      <c r="OLG11" s="314" t="s">
        <v>203</v>
      </c>
      <c r="OLH11" s="314" t="s">
        <v>203</v>
      </c>
      <c r="OLI11" s="314" t="s">
        <v>203</v>
      </c>
      <c r="OLJ11" s="314" t="s">
        <v>203</v>
      </c>
      <c r="OLK11" s="314" t="s">
        <v>203</v>
      </c>
      <c r="OLL11" s="314" t="s">
        <v>203</v>
      </c>
      <c r="OLM11" s="314" t="s">
        <v>203</v>
      </c>
      <c r="OLN11" s="314" t="s">
        <v>203</v>
      </c>
      <c r="OLO11" s="314" t="s">
        <v>203</v>
      </c>
      <c r="OLP11" s="314" t="s">
        <v>203</v>
      </c>
      <c r="OLQ11" s="314" t="s">
        <v>203</v>
      </c>
      <c r="OLR11" s="314" t="s">
        <v>203</v>
      </c>
      <c r="OLS11" s="314" t="s">
        <v>203</v>
      </c>
      <c r="OLT11" s="314" t="s">
        <v>203</v>
      </c>
      <c r="OLU11" s="314" t="s">
        <v>203</v>
      </c>
      <c r="OLV11" s="314" t="s">
        <v>203</v>
      </c>
      <c r="OLW11" s="314" t="s">
        <v>203</v>
      </c>
      <c r="OLX11" s="314" t="s">
        <v>203</v>
      </c>
      <c r="OLY11" s="314" t="s">
        <v>203</v>
      </c>
      <c r="OLZ11" s="314" t="s">
        <v>203</v>
      </c>
      <c r="OMA11" s="314" t="s">
        <v>203</v>
      </c>
      <c r="OMB11" s="314" t="s">
        <v>203</v>
      </c>
      <c r="OMC11" s="314" t="s">
        <v>203</v>
      </c>
      <c r="OMD11" s="314" t="s">
        <v>203</v>
      </c>
      <c r="OME11" s="314" t="s">
        <v>203</v>
      </c>
      <c r="OMF11" s="314" t="s">
        <v>203</v>
      </c>
      <c r="OMG11" s="314" t="s">
        <v>203</v>
      </c>
      <c r="OMH11" s="314" t="s">
        <v>203</v>
      </c>
      <c r="OMI11" s="314" t="s">
        <v>203</v>
      </c>
      <c r="OMJ11" s="314" t="s">
        <v>203</v>
      </c>
      <c r="OMK11" s="314" t="s">
        <v>203</v>
      </c>
      <c r="OML11" s="314" t="s">
        <v>203</v>
      </c>
      <c r="OMM11" s="314" t="s">
        <v>203</v>
      </c>
      <c r="OMN11" s="314" t="s">
        <v>203</v>
      </c>
      <c r="OMO11" s="314" t="s">
        <v>203</v>
      </c>
      <c r="OMP11" s="314" t="s">
        <v>203</v>
      </c>
      <c r="OMQ11" s="314" t="s">
        <v>203</v>
      </c>
      <c r="OMR11" s="314" t="s">
        <v>203</v>
      </c>
      <c r="OMS11" s="314" t="s">
        <v>203</v>
      </c>
      <c r="OMT11" s="314" t="s">
        <v>203</v>
      </c>
      <c r="OMU11" s="314" t="s">
        <v>203</v>
      </c>
      <c r="OMV11" s="314" t="s">
        <v>203</v>
      </c>
      <c r="OMW11" s="314" t="s">
        <v>203</v>
      </c>
      <c r="OMX11" s="314" t="s">
        <v>203</v>
      </c>
      <c r="OMY11" s="314" t="s">
        <v>203</v>
      </c>
      <c r="OMZ11" s="314" t="s">
        <v>203</v>
      </c>
      <c r="ONA11" s="314" t="s">
        <v>203</v>
      </c>
      <c r="ONB11" s="314" t="s">
        <v>203</v>
      </c>
      <c r="ONC11" s="314" t="s">
        <v>203</v>
      </c>
      <c r="OND11" s="314" t="s">
        <v>203</v>
      </c>
      <c r="ONE11" s="314" t="s">
        <v>203</v>
      </c>
      <c r="ONF11" s="314" t="s">
        <v>203</v>
      </c>
      <c r="ONG11" s="314" t="s">
        <v>203</v>
      </c>
      <c r="ONH11" s="314" t="s">
        <v>203</v>
      </c>
      <c r="ONI11" s="314" t="s">
        <v>203</v>
      </c>
      <c r="ONJ11" s="314" t="s">
        <v>203</v>
      </c>
      <c r="ONK11" s="314" t="s">
        <v>203</v>
      </c>
      <c r="ONL11" s="314" t="s">
        <v>203</v>
      </c>
      <c r="ONM11" s="314" t="s">
        <v>203</v>
      </c>
      <c r="ONN11" s="314" t="s">
        <v>203</v>
      </c>
      <c r="ONO11" s="314" t="s">
        <v>203</v>
      </c>
      <c r="ONP11" s="314" t="s">
        <v>203</v>
      </c>
      <c r="ONQ11" s="314" t="s">
        <v>203</v>
      </c>
      <c r="ONR11" s="314" t="s">
        <v>203</v>
      </c>
      <c r="ONS11" s="314" t="s">
        <v>203</v>
      </c>
      <c r="ONT11" s="314" t="s">
        <v>203</v>
      </c>
      <c r="ONU11" s="314" t="s">
        <v>203</v>
      </c>
      <c r="ONV11" s="314" t="s">
        <v>203</v>
      </c>
      <c r="ONW11" s="314" t="s">
        <v>203</v>
      </c>
      <c r="ONX11" s="314" t="s">
        <v>203</v>
      </c>
      <c r="ONY11" s="314" t="s">
        <v>203</v>
      </c>
      <c r="ONZ11" s="314" t="s">
        <v>203</v>
      </c>
      <c r="OOA11" s="314" t="s">
        <v>203</v>
      </c>
      <c r="OOB11" s="314" t="s">
        <v>203</v>
      </c>
      <c r="OOC11" s="314" t="s">
        <v>203</v>
      </c>
      <c r="OOD11" s="314" t="s">
        <v>203</v>
      </c>
      <c r="OOE11" s="314" t="s">
        <v>203</v>
      </c>
      <c r="OOF11" s="314" t="s">
        <v>203</v>
      </c>
      <c r="OOG11" s="314" t="s">
        <v>203</v>
      </c>
      <c r="OOH11" s="314" t="s">
        <v>203</v>
      </c>
      <c r="OOI11" s="314" t="s">
        <v>203</v>
      </c>
      <c r="OOJ11" s="314" t="s">
        <v>203</v>
      </c>
      <c r="OOK11" s="314" t="s">
        <v>203</v>
      </c>
      <c r="OOL11" s="314" t="s">
        <v>203</v>
      </c>
      <c r="OOM11" s="314" t="s">
        <v>203</v>
      </c>
      <c r="OON11" s="314" t="s">
        <v>203</v>
      </c>
      <c r="OOO11" s="314" t="s">
        <v>203</v>
      </c>
      <c r="OOP11" s="314" t="s">
        <v>203</v>
      </c>
      <c r="OOQ11" s="314" t="s">
        <v>203</v>
      </c>
      <c r="OOR11" s="314" t="s">
        <v>203</v>
      </c>
      <c r="OOS11" s="314" t="s">
        <v>203</v>
      </c>
      <c r="OOT11" s="314" t="s">
        <v>203</v>
      </c>
      <c r="OOU11" s="314" t="s">
        <v>203</v>
      </c>
      <c r="OOV11" s="314" t="s">
        <v>203</v>
      </c>
      <c r="OOW11" s="314" t="s">
        <v>203</v>
      </c>
      <c r="OOX11" s="314" t="s">
        <v>203</v>
      </c>
      <c r="OOY11" s="314" t="s">
        <v>203</v>
      </c>
      <c r="OOZ11" s="314" t="s">
        <v>203</v>
      </c>
      <c r="OPA11" s="314" t="s">
        <v>203</v>
      </c>
      <c r="OPB11" s="314" t="s">
        <v>203</v>
      </c>
      <c r="OPC11" s="314" t="s">
        <v>203</v>
      </c>
      <c r="OPD11" s="314" t="s">
        <v>203</v>
      </c>
      <c r="OPE11" s="314" t="s">
        <v>203</v>
      </c>
      <c r="OPF11" s="314" t="s">
        <v>203</v>
      </c>
      <c r="OPG11" s="314" t="s">
        <v>203</v>
      </c>
      <c r="OPH11" s="314" t="s">
        <v>203</v>
      </c>
      <c r="OPI11" s="314" t="s">
        <v>203</v>
      </c>
      <c r="OPJ11" s="314" t="s">
        <v>203</v>
      </c>
      <c r="OPK11" s="314" t="s">
        <v>203</v>
      </c>
      <c r="OPL11" s="314" t="s">
        <v>203</v>
      </c>
      <c r="OPM11" s="314" t="s">
        <v>203</v>
      </c>
      <c r="OPN11" s="314" t="s">
        <v>203</v>
      </c>
      <c r="OPO11" s="314" t="s">
        <v>203</v>
      </c>
      <c r="OPP11" s="314" t="s">
        <v>203</v>
      </c>
      <c r="OPQ11" s="314" t="s">
        <v>203</v>
      </c>
      <c r="OPR11" s="314" t="s">
        <v>203</v>
      </c>
      <c r="OPS11" s="314" t="s">
        <v>203</v>
      </c>
      <c r="OPT11" s="314" t="s">
        <v>203</v>
      </c>
      <c r="OPU11" s="314" t="s">
        <v>203</v>
      </c>
      <c r="OPV11" s="314" t="s">
        <v>203</v>
      </c>
      <c r="OPW11" s="314" t="s">
        <v>203</v>
      </c>
      <c r="OPX11" s="314" t="s">
        <v>203</v>
      </c>
      <c r="OPY11" s="314" t="s">
        <v>203</v>
      </c>
      <c r="OPZ11" s="314" t="s">
        <v>203</v>
      </c>
      <c r="OQA11" s="314" t="s">
        <v>203</v>
      </c>
      <c r="OQB11" s="314" t="s">
        <v>203</v>
      </c>
      <c r="OQC11" s="314" t="s">
        <v>203</v>
      </c>
      <c r="OQD11" s="314" t="s">
        <v>203</v>
      </c>
      <c r="OQE11" s="314" t="s">
        <v>203</v>
      </c>
      <c r="OQF11" s="314" t="s">
        <v>203</v>
      </c>
      <c r="OQG11" s="314" t="s">
        <v>203</v>
      </c>
      <c r="OQH11" s="314" t="s">
        <v>203</v>
      </c>
      <c r="OQI11" s="314" t="s">
        <v>203</v>
      </c>
      <c r="OQJ11" s="314" t="s">
        <v>203</v>
      </c>
      <c r="OQK11" s="314" t="s">
        <v>203</v>
      </c>
      <c r="OQL11" s="314" t="s">
        <v>203</v>
      </c>
      <c r="OQM11" s="314" t="s">
        <v>203</v>
      </c>
      <c r="OQN11" s="314" t="s">
        <v>203</v>
      </c>
      <c r="OQO11" s="314" t="s">
        <v>203</v>
      </c>
      <c r="OQP11" s="314" t="s">
        <v>203</v>
      </c>
      <c r="OQQ11" s="314" t="s">
        <v>203</v>
      </c>
      <c r="OQR11" s="314" t="s">
        <v>203</v>
      </c>
      <c r="OQS11" s="314" t="s">
        <v>203</v>
      </c>
      <c r="OQT11" s="314" t="s">
        <v>203</v>
      </c>
      <c r="OQU11" s="314" t="s">
        <v>203</v>
      </c>
      <c r="OQV11" s="314" t="s">
        <v>203</v>
      </c>
      <c r="OQW11" s="314" t="s">
        <v>203</v>
      </c>
      <c r="OQX11" s="314" t="s">
        <v>203</v>
      </c>
      <c r="OQY11" s="314" t="s">
        <v>203</v>
      </c>
      <c r="OQZ11" s="314" t="s">
        <v>203</v>
      </c>
      <c r="ORA11" s="314" t="s">
        <v>203</v>
      </c>
      <c r="ORB11" s="314" t="s">
        <v>203</v>
      </c>
      <c r="ORC11" s="314" t="s">
        <v>203</v>
      </c>
      <c r="ORD11" s="314" t="s">
        <v>203</v>
      </c>
      <c r="ORE11" s="314" t="s">
        <v>203</v>
      </c>
      <c r="ORF11" s="314" t="s">
        <v>203</v>
      </c>
      <c r="ORG11" s="314" t="s">
        <v>203</v>
      </c>
      <c r="ORH11" s="314" t="s">
        <v>203</v>
      </c>
      <c r="ORI11" s="314" t="s">
        <v>203</v>
      </c>
      <c r="ORJ11" s="314" t="s">
        <v>203</v>
      </c>
      <c r="ORK11" s="314" t="s">
        <v>203</v>
      </c>
      <c r="ORL11" s="314" t="s">
        <v>203</v>
      </c>
      <c r="ORM11" s="314" t="s">
        <v>203</v>
      </c>
      <c r="ORN11" s="314" t="s">
        <v>203</v>
      </c>
      <c r="ORO11" s="314" t="s">
        <v>203</v>
      </c>
      <c r="ORP11" s="314" t="s">
        <v>203</v>
      </c>
      <c r="ORQ11" s="314" t="s">
        <v>203</v>
      </c>
      <c r="ORR11" s="314" t="s">
        <v>203</v>
      </c>
      <c r="ORS11" s="314" t="s">
        <v>203</v>
      </c>
      <c r="ORT11" s="314" t="s">
        <v>203</v>
      </c>
      <c r="ORU11" s="314" t="s">
        <v>203</v>
      </c>
      <c r="ORV11" s="314" t="s">
        <v>203</v>
      </c>
      <c r="ORW11" s="314" t="s">
        <v>203</v>
      </c>
      <c r="ORX11" s="314" t="s">
        <v>203</v>
      </c>
      <c r="ORY11" s="314" t="s">
        <v>203</v>
      </c>
      <c r="ORZ11" s="314" t="s">
        <v>203</v>
      </c>
      <c r="OSA11" s="314" t="s">
        <v>203</v>
      </c>
      <c r="OSB11" s="314" t="s">
        <v>203</v>
      </c>
      <c r="OSC11" s="314" t="s">
        <v>203</v>
      </c>
      <c r="OSD11" s="314" t="s">
        <v>203</v>
      </c>
      <c r="OSE11" s="314" t="s">
        <v>203</v>
      </c>
      <c r="OSF11" s="314" t="s">
        <v>203</v>
      </c>
      <c r="OSG11" s="314" t="s">
        <v>203</v>
      </c>
      <c r="OSH11" s="314" t="s">
        <v>203</v>
      </c>
      <c r="OSI11" s="314" t="s">
        <v>203</v>
      </c>
      <c r="OSJ11" s="314" t="s">
        <v>203</v>
      </c>
      <c r="OSK11" s="314" t="s">
        <v>203</v>
      </c>
      <c r="OSL11" s="314" t="s">
        <v>203</v>
      </c>
      <c r="OSM11" s="314" t="s">
        <v>203</v>
      </c>
      <c r="OSN11" s="314" t="s">
        <v>203</v>
      </c>
      <c r="OSO11" s="314" t="s">
        <v>203</v>
      </c>
      <c r="OSP11" s="314" t="s">
        <v>203</v>
      </c>
      <c r="OSQ11" s="314" t="s">
        <v>203</v>
      </c>
      <c r="OSR11" s="314" t="s">
        <v>203</v>
      </c>
      <c r="OSS11" s="314" t="s">
        <v>203</v>
      </c>
      <c r="OST11" s="314" t="s">
        <v>203</v>
      </c>
      <c r="OSU11" s="314" t="s">
        <v>203</v>
      </c>
      <c r="OSV11" s="314" t="s">
        <v>203</v>
      </c>
      <c r="OSW11" s="314" t="s">
        <v>203</v>
      </c>
      <c r="OSX11" s="314" t="s">
        <v>203</v>
      </c>
      <c r="OSY11" s="314" t="s">
        <v>203</v>
      </c>
      <c r="OSZ11" s="314" t="s">
        <v>203</v>
      </c>
      <c r="OTA11" s="314" t="s">
        <v>203</v>
      </c>
      <c r="OTB11" s="314" t="s">
        <v>203</v>
      </c>
      <c r="OTC11" s="314" t="s">
        <v>203</v>
      </c>
      <c r="OTD11" s="314" t="s">
        <v>203</v>
      </c>
      <c r="OTE11" s="314" t="s">
        <v>203</v>
      </c>
      <c r="OTF11" s="314" t="s">
        <v>203</v>
      </c>
      <c r="OTG11" s="314" t="s">
        <v>203</v>
      </c>
      <c r="OTH11" s="314" t="s">
        <v>203</v>
      </c>
      <c r="OTI11" s="314" t="s">
        <v>203</v>
      </c>
      <c r="OTJ11" s="314" t="s">
        <v>203</v>
      </c>
      <c r="OTK11" s="314" t="s">
        <v>203</v>
      </c>
      <c r="OTL11" s="314" t="s">
        <v>203</v>
      </c>
      <c r="OTM11" s="314" t="s">
        <v>203</v>
      </c>
      <c r="OTN11" s="314" t="s">
        <v>203</v>
      </c>
      <c r="OTO11" s="314" t="s">
        <v>203</v>
      </c>
      <c r="OTP11" s="314" t="s">
        <v>203</v>
      </c>
      <c r="OTQ11" s="314" t="s">
        <v>203</v>
      </c>
      <c r="OTR11" s="314" t="s">
        <v>203</v>
      </c>
      <c r="OTS11" s="314" t="s">
        <v>203</v>
      </c>
      <c r="OTT11" s="314" t="s">
        <v>203</v>
      </c>
      <c r="OTU11" s="314" t="s">
        <v>203</v>
      </c>
      <c r="OTV11" s="314" t="s">
        <v>203</v>
      </c>
      <c r="OTW11" s="314" t="s">
        <v>203</v>
      </c>
      <c r="OTX11" s="314" t="s">
        <v>203</v>
      </c>
      <c r="OTY11" s="314" t="s">
        <v>203</v>
      </c>
      <c r="OTZ11" s="314" t="s">
        <v>203</v>
      </c>
      <c r="OUA11" s="314" t="s">
        <v>203</v>
      </c>
      <c r="OUB11" s="314" t="s">
        <v>203</v>
      </c>
      <c r="OUC11" s="314" t="s">
        <v>203</v>
      </c>
      <c r="OUD11" s="314" t="s">
        <v>203</v>
      </c>
      <c r="OUE11" s="314" t="s">
        <v>203</v>
      </c>
      <c r="OUF11" s="314" t="s">
        <v>203</v>
      </c>
      <c r="OUG11" s="314" t="s">
        <v>203</v>
      </c>
      <c r="OUH11" s="314" t="s">
        <v>203</v>
      </c>
      <c r="OUI11" s="314" t="s">
        <v>203</v>
      </c>
      <c r="OUJ11" s="314" t="s">
        <v>203</v>
      </c>
      <c r="OUK11" s="314" t="s">
        <v>203</v>
      </c>
      <c r="OUL11" s="314" t="s">
        <v>203</v>
      </c>
      <c r="OUM11" s="314" t="s">
        <v>203</v>
      </c>
      <c r="OUN11" s="314" t="s">
        <v>203</v>
      </c>
      <c r="OUO11" s="314" t="s">
        <v>203</v>
      </c>
      <c r="OUP11" s="314" t="s">
        <v>203</v>
      </c>
      <c r="OUQ11" s="314" t="s">
        <v>203</v>
      </c>
      <c r="OUR11" s="314" t="s">
        <v>203</v>
      </c>
      <c r="OUS11" s="314" t="s">
        <v>203</v>
      </c>
      <c r="OUT11" s="314" t="s">
        <v>203</v>
      </c>
      <c r="OUU11" s="314" t="s">
        <v>203</v>
      </c>
      <c r="OUV11" s="314" t="s">
        <v>203</v>
      </c>
      <c r="OUW11" s="314" t="s">
        <v>203</v>
      </c>
      <c r="OUX11" s="314" t="s">
        <v>203</v>
      </c>
      <c r="OUY11" s="314" t="s">
        <v>203</v>
      </c>
      <c r="OUZ11" s="314" t="s">
        <v>203</v>
      </c>
      <c r="OVA11" s="314" t="s">
        <v>203</v>
      </c>
      <c r="OVB11" s="314" t="s">
        <v>203</v>
      </c>
      <c r="OVC11" s="314" t="s">
        <v>203</v>
      </c>
      <c r="OVD11" s="314" t="s">
        <v>203</v>
      </c>
      <c r="OVE11" s="314" t="s">
        <v>203</v>
      </c>
      <c r="OVF11" s="314" t="s">
        <v>203</v>
      </c>
      <c r="OVG11" s="314" t="s">
        <v>203</v>
      </c>
      <c r="OVH11" s="314" t="s">
        <v>203</v>
      </c>
      <c r="OVI11" s="314" t="s">
        <v>203</v>
      </c>
      <c r="OVJ11" s="314" t="s">
        <v>203</v>
      </c>
      <c r="OVK11" s="314" t="s">
        <v>203</v>
      </c>
      <c r="OVL11" s="314" t="s">
        <v>203</v>
      </c>
      <c r="OVM11" s="314" t="s">
        <v>203</v>
      </c>
      <c r="OVN11" s="314" t="s">
        <v>203</v>
      </c>
      <c r="OVO11" s="314" t="s">
        <v>203</v>
      </c>
      <c r="OVP11" s="314" t="s">
        <v>203</v>
      </c>
      <c r="OVQ11" s="314" t="s">
        <v>203</v>
      </c>
      <c r="OVR11" s="314" t="s">
        <v>203</v>
      </c>
      <c r="OVS11" s="314" t="s">
        <v>203</v>
      </c>
      <c r="OVT11" s="314" t="s">
        <v>203</v>
      </c>
      <c r="OVU11" s="314" t="s">
        <v>203</v>
      </c>
      <c r="OVV11" s="314" t="s">
        <v>203</v>
      </c>
      <c r="OVW11" s="314" t="s">
        <v>203</v>
      </c>
      <c r="OVX11" s="314" t="s">
        <v>203</v>
      </c>
      <c r="OVY11" s="314" t="s">
        <v>203</v>
      </c>
      <c r="OVZ11" s="314" t="s">
        <v>203</v>
      </c>
      <c r="OWA11" s="314" t="s">
        <v>203</v>
      </c>
      <c r="OWB11" s="314" t="s">
        <v>203</v>
      </c>
      <c r="OWC11" s="314" t="s">
        <v>203</v>
      </c>
      <c r="OWD11" s="314" t="s">
        <v>203</v>
      </c>
      <c r="OWE11" s="314" t="s">
        <v>203</v>
      </c>
      <c r="OWF11" s="314" t="s">
        <v>203</v>
      </c>
      <c r="OWG11" s="314" t="s">
        <v>203</v>
      </c>
      <c r="OWH11" s="314" t="s">
        <v>203</v>
      </c>
      <c r="OWI11" s="314" t="s">
        <v>203</v>
      </c>
      <c r="OWJ11" s="314" t="s">
        <v>203</v>
      </c>
      <c r="OWK11" s="314" t="s">
        <v>203</v>
      </c>
      <c r="OWL11" s="314" t="s">
        <v>203</v>
      </c>
      <c r="OWM11" s="314" t="s">
        <v>203</v>
      </c>
      <c r="OWN11" s="314" t="s">
        <v>203</v>
      </c>
      <c r="OWO11" s="314" t="s">
        <v>203</v>
      </c>
      <c r="OWP11" s="314" t="s">
        <v>203</v>
      </c>
      <c r="OWQ11" s="314" t="s">
        <v>203</v>
      </c>
      <c r="OWR11" s="314" t="s">
        <v>203</v>
      </c>
      <c r="OWS11" s="314" t="s">
        <v>203</v>
      </c>
      <c r="OWT11" s="314" t="s">
        <v>203</v>
      </c>
      <c r="OWU11" s="314" t="s">
        <v>203</v>
      </c>
      <c r="OWV11" s="314" t="s">
        <v>203</v>
      </c>
      <c r="OWW11" s="314" t="s">
        <v>203</v>
      </c>
      <c r="OWX11" s="314" t="s">
        <v>203</v>
      </c>
      <c r="OWY11" s="314" t="s">
        <v>203</v>
      </c>
      <c r="OWZ11" s="314" t="s">
        <v>203</v>
      </c>
      <c r="OXA11" s="314" t="s">
        <v>203</v>
      </c>
      <c r="OXB11" s="314" t="s">
        <v>203</v>
      </c>
      <c r="OXC11" s="314" t="s">
        <v>203</v>
      </c>
      <c r="OXD11" s="314" t="s">
        <v>203</v>
      </c>
      <c r="OXE11" s="314" t="s">
        <v>203</v>
      </c>
      <c r="OXF11" s="314" t="s">
        <v>203</v>
      </c>
      <c r="OXG11" s="314" t="s">
        <v>203</v>
      </c>
      <c r="OXH11" s="314" t="s">
        <v>203</v>
      </c>
      <c r="OXI11" s="314" t="s">
        <v>203</v>
      </c>
      <c r="OXJ11" s="314" t="s">
        <v>203</v>
      </c>
      <c r="OXK11" s="314" t="s">
        <v>203</v>
      </c>
      <c r="OXL11" s="314" t="s">
        <v>203</v>
      </c>
      <c r="OXM11" s="314" t="s">
        <v>203</v>
      </c>
      <c r="OXN11" s="314" t="s">
        <v>203</v>
      </c>
      <c r="OXO11" s="314" t="s">
        <v>203</v>
      </c>
      <c r="OXP11" s="314" t="s">
        <v>203</v>
      </c>
      <c r="OXQ11" s="314" t="s">
        <v>203</v>
      </c>
      <c r="OXR11" s="314" t="s">
        <v>203</v>
      </c>
      <c r="OXS11" s="314" t="s">
        <v>203</v>
      </c>
      <c r="OXT11" s="314" t="s">
        <v>203</v>
      </c>
      <c r="OXU11" s="314" t="s">
        <v>203</v>
      </c>
      <c r="OXV11" s="314" t="s">
        <v>203</v>
      </c>
      <c r="OXW11" s="314" t="s">
        <v>203</v>
      </c>
      <c r="OXX11" s="314" t="s">
        <v>203</v>
      </c>
      <c r="OXY11" s="314" t="s">
        <v>203</v>
      </c>
      <c r="OXZ11" s="314" t="s">
        <v>203</v>
      </c>
      <c r="OYA11" s="314" t="s">
        <v>203</v>
      </c>
      <c r="OYB11" s="314" t="s">
        <v>203</v>
      </c>
      <c r="OYC11" s="314" t="s">
        <v>203</v>
      </c>
      <c r="OYD11" s="314" t="s">
        <v>203</v>
      </c>
      <c r="OYE11" s="314" t="s">
        <v>203</v>
      </c>
      <c r="OYF11" s="314" t="s">
        <v>203</v>
      </c>
      <c r="OYG11" s="314" t="s">
        <v>203</v>
      </c>
      <c r="OYH11" s="314" t="s">
        <v>203</v>
      </c>
      <c r="OYI11" s="314" t="s">
        <v>203</v>
      </c>
      <c r="OYJ11" s="314" t="s">
        <v>203</v>
      </c>
      <c r="OYK11" s="314" t="s">
        <v>203</v>
      </c>
      <c r="OYL11" s="314" t="s">
        <v>203</v>
      </c>
      <c r="OYM11" s="314" t="s">
        <v>203</v>
      </c>
      <c r="OYN11" s="314" t="s">
        <v>203</v>
      </c>
      <c r="OYO11" s="314" t="s">
        <v>203</v>
      </c>
      <c r="OYP11" s="314" t="s">
        <v>203</v>
      </c>
      <c r="OYQ11" s="314" t="s">
        <v>203</v>
      </c>
      <c r="OYR11" s="314" t="s">
        <v>203</v>
      </c>
      <c r="OYS11" s="314" t="s">
        <v>203</v>
      </c>
      <c r="OYT11" s="314" t="s">
        <v>203</v>
      </c>
      <c r="OYU11" s="314" t="s">
        <v>203</v>
      </c>
      <c r="OYV11" s="314" t="s">
        <v>203</v>
      </c>
      <c r="OYW11" s="314" t="s">
        <v>203</v>
      </c>
      <c r="OYX11" s="314" t="s">
        <v>203</v>
      </c>
      <c r="OYY11" s="314" t="s">
        <v>203</v>
      </c>
      <c r="OYZ11" s="314" t="s">
        <v>203</v>
      </c>
      <c r="OZA11" s="314" t="s">
        <v>203</v>
      </c>
      <c r="OZB11" s="314" t="s">
        <v>203</v>
      </c>
      <c r="OZC11" s="314" t="s">
        <v>203</v>
      </c>
      <c r="OZD11" s="314" t="s">
        <v>203</v>
      </c>
      <c r="OZE11" s="314" t="s">
        <v>203</v>
      </c>
      <c r="OZF11" s="314" t="s">
        <v>203</v>
      </c>
      <c r="OZG11" s="314" t="s">
        <v>203</v>
      </c>
      <c r="OZH11" s="314" t="s">
        <v>203</v>
      </c>
      <c r="OZI11" s="314" t="s">
        <v>203</v>
      </c>
      <c r="OZJ11" s="314" t="s">
        <v>203</v>
      </c>
      <c r="OZK11" s="314" t="s">
        <v>203</v>
      </c>
      <c r="OZL11" s="314" t="s">
        <v>203</v>
      </c>
      <c r="OZM11" s="314" t="s">
        <v>203</v>
      </c>
      <c r="OZN11" s="314" t="s">
        <v>203</v>
      </c>
      <c r="OZO11" s="314" t="s">
        <v>203</v>
      </c>
      <c r="OZP11" s="314" t="s">
        <v>203</v>
      </c>
      <c r="OZQ11" s="314" t="s">
        <v>203</v>
      </c>
      <c r="OZR11" s="314" t="s">
        <v>203</v>
      </c>
      <c r="OZS11" s="314" t="s">
        <v>203</v>
      </c>
      <c r="OZT11" s="314" t="s">
        <v>203</v>
      </c>
      <c r="OZU11" s="314" t="s">
        <v>203</v>
      </c>
      <c r="OZV11" s="314" t="s">
        <v>203</v>
      </c>
      <c r="OZW11" s="314" t="s">
        <v>203</v>
      </c>
      <c r="OZX11" s="314" t="s">
        <v>203</v>
      </c>
      <c r="OZY11" s="314" t="s">
        <v>203</v>
      </c>
      <c r="OZZ11" s="314" t="s">
        <v>203</v>
      </c>
      <c r="PAA11" s="314" t="s">
        <v>203</v>
      </c>
      <c r="PAB11" s="314" t="s">
        <v>203</v>
      </c>
      <c r="PAC11" s="314" t="s">
        <v>203</v>
      </c>
      <c r="PAD11" s="314" t="s">
        <v>203</v>
      </c>
      <c r="PAE11" s="314" t="s">
        <v>203</v>
      </c>
      <c r="PAF11" s="314" t="s">
        <v>203</v>
      </c>
      <c r="PAG11" s="314" t="s">
        <v>203</v>
      </c>
      <c r="PAH11" s="314" t="s">
        <v>203</v>
      </c>
      <c r="PAI11" s="314" t="s">
        <v>203</v>
      </c>
      <c r="PAJ11" s="314" t="s">
        <v>203</v>
      </c>
      <c r="PAK11" s="314" t="s">
        <v>203</v>
      </c>
      <c r="PAL11" s="314" t="s">
        <v>203</v>
      </c>
      <c r="PAM11" s="314" t="s">
        <v>203</v>
      </c>
      <c r="PAN11" s="314" t="s">
        <v>203</v>
      </c>
      <c r="PAO11" s="314" t="s">
        <v>203</v>
      </c>
      <c r="PAP11" s="314" t="s">
        <v>203</v>
      </c>
      <c r="PAQ11" s="314" t="s">
        <v>203</v>
      </c>
      <c r="PAR11" s="314" t="s">
        <v>203</v>
      </c>
      <c r="PAS11" s="314" t="s">
        <v>203</v>
      </c>
      <c r="PAT11" s="314" t="s">
        <v>203</v>
      </c>
      <c r="PAU11" s="314" t="s">
        <v>203</v>
      </c>
      <c r="PAV11" s="314" t="s">
        <v>203</v>
      </c>
      <c r="PAW11" s="314" t="s">
        <v>203</v>
      </c>
      <c r="PAX11" s="314" t="s">
        <v>203</v>
      </c>
      <c r="PAY11" s="314" t="s">
        <v>203</v>
      </c>
      <c r="PAZ11" s="314" t="s">
        <v>203</v>
      </c>
      <c r="PBA11" s="314" t="s">
        <v>203</v>
      </c>
      <c r="PBB11" s="314" t="s">
        <v>203</v>
      </c>
      <c r="PBC11" s="314" t="s">
        <v>203</v>
      </c>
      <c r="PBD11" s="314" t="s">
        <v>203</v>
      </c>
      <c r="PBE11" s="314" t="s">
        <v>203</v>
      </c>
      <c r="PBF11" s="314" t="s">
        <v>203</v>
      </c>
      <c r="PBG11" s="314" t="s">
        <v>203</v>
      </c>
      <c r="PBH11" s="314" t="s">
        <v>203</v>
      </c>
      <c r="PBI11" s="314" t="s">
        <v>203</v>
      </c>
      <c r="PBJ11" s="314" t="s">
        <v>203</v>
      </c>
      <c r="PBK11" s="314" t="s">
        <v>203</v>
      </c>
      <c r="PBL11" s="314" t="s">
        <v>203</v>
      </c>
      <c r="PBM11" s="314" t="s">
        <v>203</v>
      </c>
      <c r="PBN11" s="314" t="s">
        <v>203</v>
      </c>
      <c r="PBO11" s="314" t="s">
        <v>203</v>
      </c>
      <c r="PBP11" s="314" t="s">
        <v>203</v>
      </c>
      <c r="PBQ11" s="314" t="s">
        <v>203</v>
      </c>
      <c r="PBR11" s="314" t="s">
        <v>203</v>
      </c>
      <c r="PBS11" s="314" t="s">
        <v>203</v>
      </c>
      <c r="PBT11" s="314" t="s">
        <v>203</v>
      </c>
      <c r="PBU11" s="314" t="s">
        <v>203</v>
      </c>
      <c r="PBV11" s="314" t="s">
        <v>203</v>
      </c>
      <c r="PBW11" s="314" t="s">
        <v>203</v>
      </c>
      <c r="PBX11" s="314" t="s">
        <v>203</v>
      </c>
      <c r="PBY11" s="314" t="s">
        <v>203</v>
      </c>
      <c r="PBZ11" s="314" t="s">
        <v>203</v>
      </c>
      <c r="PCA11" s="314" t="s">
        <v>203</v>
      </c>
      <c r="PCB11" s="314" t="s">
        <v>203</v>
      </c>
      <c r="PCC11" s="314" t="s">
        <v>203</v>
      </c>
      <c r="PCD11" s="314" t="s">
        <v>203</v>
      </c>
      <c r="PCE11" s="314" t="s">
        <v>203</v>
      </c>
      <c r="PCF11" s="314" t="s">
        <v>203</v>
      </c>
      <c r="PCG11" s="314" t="s">
        <v>203</v>
      </c>
      <c r="PCH11" s="314" t="s">
        <v>203</v>
      </c>
      <c r="PCI11" s="314" t="s">
        <v>203</v>
      </c>
      <c r="PCJ11" s="314" t="s">
        <v>203</v>
      </c>
      <c r="PCK11" s="314" t="s">
        <v>203</v>
      </c>
      <c r="PCL11" s="314" t="s">
        <v>203</v>
      </c>
      <c r="PCM11" s="314" t="s">
        <v>203</v>
      </c>
      <c r="PCN11" s="314" t="s">
        <v>203</v>
      </c>
      <c r="PCO11" s="314" t="s">
        <v>203</v>
      </c>
      <c r="PCP11" s="314" t="s">
        <v>203</v>
      </c>
      <c r="PCQ11" s="314" t="s">
        <v>203</v>
      </c>
      <c r="PCR11" s="314" t="s">
        <v>203</v>
      </c>
      <c r="PCS11" s="314" t="s">
        <v>203</v>
      </c>
      <c r="PCT11" s="314" t="s">
        <v>203</v>
      </c>
      <c r="PCU11" s="314" t="s">
        <v>203</v>
      </c>
      <c r="PCV11" s="314" t="s">
        <v>203</v>
      </c>
      <c r="PCW11" s="314" t="s">
        <v>203</v>
      </c>
      <c r="PCX11" s="314" t="s">
        <v>203</v>
      </c>
      <c r="PCY11" s="314" t="s">
        <v>203</v>
      </c>
      <c r="PCZ11" s="314" t="s">
        <v>203</v>
      </c>
      <c r="PDA11" s="314" t="s">
        <v>203</v>
      </c>
      <c r="PDB11" s="314" t="s">
        <v>203</v>
      </c>
      <c r="PDC11" s="314" t="s">
        <v>203</v>
      </c>
      <c r="PDD11" s="314" t="s">
        <v>203</v>
      </c>
      <c r="PDE11" s="314" t="s">
        <v>203</v>
      </c>
      <c r="PDF11" s="314" t="s">
        <v>203</v>
      </c>
      <c r="PDG11" s="314" t="s">
        <v>203</v>
      </c>
      <c r="PDH11" s="314" t="s">
        <v>203</v>
      </c>
      <c r="PDI11" s="314" t="s">
        <v>203</v>
      </c>
      <c r="PDJ11" s="314" t="s">
        <v>203</v>
      </c>
      <c r="PDK11" s="314" t="s">
        <v>203</v>
      </c>
      <c r="PDL11" s="314" t="s">
        <v>203</v>
      </c>
      <c r="PDM11" s="314" t="s">
        <v>203</v>
      </c>
      <c r="PDN11" s="314" t="s">
        <v>203</v>
      </c>
      <c r="PDO11" s="314" t="s">
        <v>203</v>
      </c>
      <c r="PDP11" s="314" t="s">
        <v>203</v>
      </c>
      <c r="PDQ11" s="314" t="s">
        <v>203</v>
      </c>
      <c r="PDR11" s="314" t="s">
        <v>203</v>
      </c>
      <c r="PDS11" s="314" t="s">
        <v>203</v>
      </c>
      <c r="PDT11" s="314" t="s">
        <v>203</v>
      </c>
      <c r="PDU11" s="314" t="s">
        <v>203</v>
      </c>
      <c r="PDV11" s="314" t="s">
        <v>203</v>
      </c>
      <c r="PDW11" s="314" t="s">
        <v>203</v>
      </c>
      <c r="PDX11" s="314" t="s">
        <v>203</v>
      </c>
      <c r="PDY11" s="314" t="s">
        <v>203</v>
      </c>
      <c r="PDZ11" s="314" t="s">
        <v>203</v>
      </c>
      <c r="PEA11" s="314" t="s">
        <v>203</v>
      </c>
      <c r="PEB11" s="314" t="s">
        <v>203</v>
      </c>
      <c r="PEC11" s="314" t="s">
        <v>203</v>
      </c>
      <c r="PED11" s="314" t="s">
        <v>203</v>
      </c>
      <c r="PEE11" s="314" t="s">
        <v>203</v>
      </c>
      <c r="PEF11" s="314" t="s">
        <v>203</v>
      </c>
      <c r="PEG11" s="314" t="s">
        <v>203</v>
      </c>
      <c r="PEH11" s="314" t="s">
        <v>203</v>
      </c>
      <c r="PEI11" s="314" t="s">
        <v>203</v>
      </c>
      <c r="PEJ11" s="314" t="s">
        <v>203</v>
      </c>
      <c r="PEK11" s="314" t="s">
        <v>203</v>
      </c>
      <c r="PEL11" s="314" t="s">
        <v>203</v>
      </c>
      <c r="PEM11" s="314" t="s">
        <v>203</v>
      </c>
      <c r="PEN11" s="314" t="s">
        <v>203</v>
      </c>
      <c r="PEO11" s="314" t="s">
        <v>203</v>
      </c>
      <c r="PEP11" s="314" t="s">
        <v>203</v>
      </c>
      <c r="PEQ11" s="314" t="s">
        <v>203</v>
      </c>
      <c r="PER11" s="314" t="s">
        <v>203</v>
      </c>
      <c r="PES11" s="314" t="s">
        <v>203</v>
      </c>
      <c r="PET11" s="314" t="s">
        <v>203</v>
      </c>
      <c r="PEU11" s="314" t="s">
        <v>203</v>
      </c>
      <c r="PEV11" s="314" t="s">
        <v>203</v>
      </c>
      <c r="PEW11" s="314" t="s">
        <v>203</v>
      </c>
      <c r="PEX11" s="314" t="s">
        <v>203</v>
      </c>
      <c r="PEY11" s="314" t="s">
        <v>203</v>
      </c>
      <c r="PEZ11" s="314" t="s">
        <v>203</v>
      </c>
      <c r="PFA11" s="314" t="s">
        <v>203</v>
      </c>
      <c r="PFB11" s="314" t="s">
        <v>203</v>
      </c>
      <c r="PFC11" s="314" t="s">
        <v>203</v>
      </c>
      <c r="PFD11" s="314" t="s">
        <v>203</v>
      </c>
      <c r="PFE11" s="314" t="s">
        <v>203</v>
      </c>
      <c r="PFF11" s="314" t="s">
        <v>203</v>
      </c>
      <c r="PFG11" s="314" t="s">
        <v>203</v>
      </c>
      <c r="PFH11" s="314" t="s">
        <v>203</v>
      </c>
      <c r="PFI11" s="314" t="s">
        <v>203</v>
      </c>
      <c r="PFJ11" s="314" t="s">
        <v>203</v>
      </c>
      <c r="PFK11" s="314" t="s">
        <v>203</v>
      </c>
      <c r="PFL11" s="314" t="s">
        <v>203</v>
      </c>
      <c r="PFM11" s="314" t="s">
        <v>203</v>
      </c>
      <c r="PFN11" s="314" t="s">
        <v>203</v>
      </c>
      <c r="PFO11" s="314" t="s">
        <v>203</v>
      </c>
      <c r="PFP11" s="314" t="s">
        <v>203</v>
      </c>
      <c r="PFQ11" s="314" t="s">
        <v>203</v>
      </c>
      <c r="PFR11" s="314" t="s">
        <v>203</v>
      </c>
      <c r="PFS11" s="314" t="s">
        <v>203</v>
      </c>
      <c r="PFT11" s="314" t="s">
        <v>203</v>
      </c>
      <c r="PFU11" s="314" t="s">
        <v>203</v>
      </c>
      <c r="PFV11" s="314" t="s">
        <v>203</v>
      </c>
      <c r="PFW11" s="314" t="s">
        <v>203</v>
      </c>
      <c r="PFX11" s="314" t="s">
        <v>203</v>
      </c>
      <c r="PFY11" s="314" t="s">
        <v>203</v>
      </c>
      <c r="PFZ11" s="314" t="s">
        <v>203</v>
      </c>
      <c r="PGA11" s="314" t="s">
        <v>203</v>
      </c>
      <c r="PGB11" s="314" t="s">
        <v>203</v>
      </c>
      <c r="PGC11" s="314" t="s">
        <v>203</v>
      </c>
      <c r="PGD11" s="314" t="s">
        <v>203</v>
      </c>
      <c r="PGE11" s="314" t="s">
        <v>203</v>
      </c>
      <c r="PGF11" s="314" t="s">
        <v>203</v>
      </c>
      <c r="PGG11" s="314" t="s">
        <v>203</v>
      </c>
      <c r="PGH11" s="314" t="s">
        <v>203</v>
      </c>
      <c r="PGI11" s="314" t="s">
        <v>203</v>
      </c>
      <c r="PGJ11" s="314" t="s">
        <v>203</v>
      </c>
      <c r="PGK11" s="314" t="s">
        <v>203</v>
      </c>
      <c r="PGL11" s="314" t="s">
        <v>203</v>
      </c>
      <c r="PGM11" s="314" t="s">
        <v>203</v>
      </c>
      <c r="PGN11" s="314" t="s">
        <v>203</v>
      </c>
      <c r="PGO11" s="314" t="s">
        <v>203</v>
      </c>
      <c r="PGP11" s="314" t="s">
        <v>203</v>
      </c>
      <c r="PGQ11" s="314" t="s">
        <v>203</v>
      </c>
      <c r="PGR11" s="314" t="s">
        <v>203</v>
      </c>
      <c r="PGS11" s="314" t="s">
        <v>203</v>
      </c>
      <c r="PGT11" s="314" t="s">
        <v>203</v>
      </c>
      <c r="PGU11" s="314" t="s">
        <v>203</v>
      </c>
      <c r="PGV11" s="314" t="s">
        <v>203</v>
      </c>
      <c r="PGW11" s="314" t="s">
        <v>203</v>
      </c>
      <c r="PGX11" s="314" t="s">
        <v>203</v>
      </c>
      <c r="PGY11" s="314" t="s">
        <v>203</v>
      </c>
      <c r="PGZ11" s="314" t="s">
        <v>203</v>
      </c>
      <c r="PHA11" s="314" t="s">
        <v>203</v>
      </c>
      <c r="PHB11" s="314" t="s">
        <v>203</v>
      </c>
      <c r="PHC11" s="314" t="s">
        <v>203</v>
      </c>
      <c r="PHD11" s="314" t="s">
        <v>203</v>
      </c>
      <c r="PHE11" s="314" t="s">
        <v>203</v>
      </c>
      <c r="PHF11" s="314" t="s">
        <v>203</v>
      </c>
      <c r="PHG11" s="314" t="s">
        <v>203</v>
      </c>
      <c r="PHH11" s="314" t="s">
        <v>203</v>
      </c>
      <c r="PHI11" s="314" t="s">
        <v>203</v>
      </c>
      <c r="PHJ11" s="314" t="s">
        <v>203</v>
      </c>
      <c r="PHK11" s="314" t="s">
        <v>203</v>
      </c>
      <c r="PHL11" s="314" t="s">
        <v>203</v>
      </c>
      <c r="PHM11" s="314" t="s">
        <v>203</v>
      </c>
      <c r="PHN11" s="314" t="s">
        <v>203</v>
      </c>
      <c r="PHO11" s="314" t="s">
        <v>203</v>
      </c>
      <c r="PHP11" s="314" t="s">
        <v>203</v>
      </c>
      <c r="PHQ11" s="314" t="s">
        <v>203</v>
      </c>
      <c r="PHR11" s="314" t="s">
        <v>203</v>
      </c>
      <c r="PHS11" s="314" t="s">
        <v>203</v>
      </c>
      <c r="PHT11" s="314" t="s">
        <v>203</v>
      </c>
      <c r="PHU11" s="314" t="s">
        <v>203</v>
      </c>
      <c r="PHV11" s="314" t="s">
        <v>203</v>
      </c>
      <c r="PHW11" s="314" t="s">
        <v>203</v>
      </c>
      <c r="PHX11" s="314" t="s">
        <v>203</v>
      </c>
      <c r="PHY11" s="314" t="s">
        <v>203</v>
      </c>
      <c r="PHZ11" s="314" t="s">
        <v>203</v>
      </c>
      <c r="PIA11" s="314" t="s">
        <v>203</v>
      </c>
      <c r="PIB11" s="314" t="s">
        <v>203</v>
      </c>
      <c r="PIC11" s="314" t="s">
        <v>203</v>
      </c>
      <c r="PID11" s="314" t="s">
        <v>203</v>
      </c>
      <c r="PIE11" s="314" t="s">
        <v>203</v>
      </c>
      <c r="PIF11" s="314" t="s">
        <v>203</v>
      </c>
      <c r="PIG11" s="314" t="s">
        <v>203</v>
      </c>
      <c r="PIH11" s="314" t="s">
        <v>203</v>
      </c>
      <c r="PII11" s="314" t="s">
        <v>203</v>
      </c>
      <c r="PIJ11" s="314" t="s">
        <v>203</v>
      </c>
      <c r="PIK11" s="314" t="s">
        <v>203</v>
      </c>
      <c r="PIL11" s="314" t="s">
        <v>203</v>
      </c>
      <c r="PIM11" s="314" t="s">
        <v>203</v>
      </c>
      <c r="PIN11" s="314" t="s">
        <v>203</v>
      </c>
      <c r="PIO11" s="314" t="s">
        <v>203</v>
      </c>
      <c r="PIP11" s="314" t="s">
        <v>203</v>
      </c>
      <c r="PIQ11" s="314" t="s">
        <v>203</v>
      </c>
      <c r="PIR11" s="314" t="s">
        <v>203</v>
      </c>
      <c r="PIS11" s="314" t="s">
        <v>203</v>
      </c>
      <c r="PIT11" s="314" t="s">
        <v>203</v>
      </c>
      <c r="PIU11" s="314" t="s">
        <v>203</v>
      </c>
      <c r="PIV11" s="314" t="s">
        <v>203</v>
      </c>
      <c r="PIW11" s="314" t="s">
        <v>203</v>
      </c>
      <c r="PIX11" s="314" t="s">
        <v>203</v>
      </c>
      <c r="PIY11" s="314" t="s">
        <v>203</v>
      </c>
      <c r="PIZ11" s="314" t="s">
        <v>203</v>
      </c>
      <c r="PJA11" s="314" t="s">
        <v>203</v>
      </c>
      <c r="PJB11" s="314" t="s">
        <v>203</v>
      </c>
      <c r="PJC11" s="314" t="s">
        <v>203</v>
      </c>
      <c r="PJD11" s="314" t="s">
        <v>203</v>
      </c>
      <c r="PJE11" s="314" t="s">
        <v>203</v>
      </c>
      <c r="PJF11" s="314" t="s">
        <v>203</v>
      </c>
      <c r="PJG11" s="314" t="s">
        <v>203</v>
      </c>
      <c r="PJH11" s="314" t="s">
        <v>203</v>
      </c>
      <c r="PJI11" s="314" t="s">
        <v>203</v>
      </c>
      <c r="PJJ11" s="314" t="s">
        <v>203</v>
      </c>
      <c r="PJK11" s="314" t="s">
        <v>203</v>
      </c>
      <c r="PJL11" s="314" t="s">
        <v>203</v>
      </c>
      <c r="PJM11" s="314" t="s">
        <v>203</v>
      </c>
      <c r="PJN11" s="314" t="s">
        <v>203</v>
      </c>
      <c r="PJO11" s="314" t="s">
        <v>203</v>
      </c>
      <c r="PJP11" s="314" t="s">
        <v>203</v>
      </c>
      <c r="PJQ11" s="314" t="s">
        <v>203</v>
      </c>
      <c r="PJR11" s="314" t="s">
        <v>203</v>
      </c>
      <c r="PJS11" s="314" t="s">
        <v>203</v>
      </c>
      <c r="PJT11" s="314" t="s">
        <v>203</v>
      </c>
      <c r="PJU11" s="314" t="s">
        <v>203</v>
      </c>
      <c r="PJV11" s="314" t="s">
        <v>203</v>
      </c>
      <c r="PJW11" s="314" t="s">
        <v>203</v>
      </c>
      <c r="PJX11" s="314" t="s">
        <v>203</v>
      </c>
      <c r="PJY11" s="314" t="s">
        <v>203</v>
      </c>
      <c r="PJZ11" s="314" t="s">
        <v>203</v>
      </c>
      <c r="PKA11" s="314" t="s">
        <v>203</v>
      </c>
      <c r="PKB11" s="314" t="s">
        <v>203</v>
      </c>
      <c r="PKC11" s="314" t="s">
        <v>203</v>
      </c>
      <c r="PKD11" s="314" t="s">
        <v>203</v>
      </c>
      <c r="PKE11" s="314" t="s">
        <v>203</v>
      </c>
      <c r="PKF11" s="314" t="s">
        <v>203</v>
      </c>
      <c r="PKG11" s="314" t="s">
        <v>203</v>
      </c>
      <c r="PKH11" s="314" t="s">
        <v>203</v>
      </c>
      <c r="PKI11" s="314" t="s">
        <v>203</v>
      </c>
      <c r="PKJ11" s="314" t="s">
        <v>203</v>
      </c>
      <c r="PKK11" s="314" t="s">
        <v>203</v>
      </c>
      <c r="PKL11" s="314" t="s">
        <v>203</v>
      </c>
      <c r="PKM11" s="314" t="s">
        <v>203</v>
      </c>
      <c r="PKN11" s="314" t="s">
        <v>203</v>
      </c>
      <c r="PKO11" s="314" t="s">
        <v>203</v>
      </c>
      <c r="PKP11" s="314" t="s">
        <v>203</v>
      </c>
      <c r="PKQ11" s="314" t="s">
        <v>203</v>
      </c>
      <c r="PKR11" s="314" t="s">
        <v>203</v>
      </c>
      <c r="PKS11" s="314" t="s">
        <v>203</v>
      </c>
      <c r="PKT11" s="314" t="s">
        <v>203</v>
      </c>
      <c r="PKU11" s="314" t="s">
        <v>203</v>
      </c>
      <c r="PKV11" s="314" t="s">
        <v>203</v>
      </c>
      <c r="PKW11" s="314" t="s">
        <v>203</v>
      </c>
      <c r="PKX11" s="314" t="s">
        <v>203</v>
      </c>
      <c r="PKY11" s="314" t="s">
        <v>203</v>
      </c>
      <c r="PKZ11" s="314" t="s">
        <v>203</v>
      </c>
      <c r="PLA11" s="314" t="s">
        <v>203</v>
      </c>
      <c r="PLB11" s="314" t="s">
        <v>203</v>
      </c>
      <c r="PLC11" s="314" t="s">
        <v>203</v>
      </c>
      <c r="PLD11" s="314" t="s">
        <v>203</v>
      </c>
      <c r="PLE11" s="314" t="s">
        <v>203</v>
      </c>
      <c r="PLF11" s="314" t="s">
        <v>203</v>
      </c>
      <c r="PLG11" s="314" t="s">
        <v>203</v>
      </c>
      <c r="PLH11" s="314" t="s">
        <v>203</v>
      </c>
      <c r="PLI11" s="314" t="s">
        <v>203</v>
      </c>
      <c r="PLJ11" s="314" t="s">
        <v>203</v>
      </c>
      <c r="PLK11" s="314" t="s">
        <v>203</v>
      </c>
      <c r="PLL11" s="314" t="s">
        <v>203</v>
      </c>
      <c r="PLM11" s="314" t="s">
        <v>203</v>
      </c>
      <c r="PLN11" s="314" t="s">
        <v>203</v>
      </c>
      <c r="PLO11" s="314" t="s">
        <v>203</v>
      </c>
      <c r="PLP11" s="314" t="s">
        <v>203</v>
      </c>
      <c r="PLQ11" s="314" t="s">
        <v>203</v>
      </c>
      <c r="PLR11" s="314" t="s">
        <v>203</v>
      </c>
      <c r="PLS11" s="314" t="s">
        <v>203</v>
      </c>
      <c r="PLT11" s="314" t="s">
        <v>203</v>
      </c>
      <c r="PLU11" s="314" t="s">
        <v>203</v>
      </c>
      <c r="PLV11" s="314" t="s">
        <v>203</v>
      </c>
      <c r="PLW11" s="314" t="s">
        <v>203</v>
      </c>
      <c r="PLX11" s="314" t="s">
        <v>203</v>
      </c>
      <c r="PLY11" s="314" t="s">
        <v>203</v>
      </c>
      <c r="PLZ11" s="314" t="s">
        <v>203</v>
      </c>
      <c r="PMA11" s="314" t="s">
        <v>203</v>
      </c>
      <c r="PMB11" s="314" t="s">
        <v>203</v>
      </c>
      <c r="PMC11" s="314" t="s">
        <v>203</v>
      </c>
      <c r="PMD11" s="314" t="s">
        <v>203</v>
      </c>
      <c r="PME11" s="314" t="s">
        <v>203</v>
      </c>
      <c r="PMF11" s="314" t="s">
        <v>203</v>
      </c>
      <c r="PMG11" s="314" t="s">
        <v>203</v>
      </c>
      <c r="PMH11" s="314" t="s">
        <v>203</v>
      </c>
      <c r="PMI11" s="314" t="s">
        <v>203</v>
      </c>
      <c r="PMJ11" s="314" t="s">
        <v>203</v>
      </c>
      <c r="PMK11" s="314" t="s">
        <v>203</v>
      </c>
      <c r="PML11" s="314" t="s">
        <v>203</v>
      </c>
      <c r="PMM11" s="314" t="s">
        <v>203</v>
      </c>
      <c r="PMN11" s="314" t="s">
        <v>203</v>
      </c>
      <c r="PMO11" s="314" t="s">
        <v>203</v>
      </c>
      <c r="PMP11" s="314" t="s">
        <v>203</v>
      </c>
      <c r="PMQ11" s="314" t="s">
        <v>203</v>
      </c>
      <c r="PMR11" s="314" t="s">
        <v>203</v>
      </c>
      <c r="PMS11" s="314" t="s">
        <v>203</v>
      </c>
      <c r="PMT11" s="314" t="s">
        <v>203</v>
      </c>
      <c r="PMU11" s="314" t="s">
        <v>203</v>
      </c>
      <c r="PMV11" s="314" t="s">
        <v>203</v>
      </c>
      <c r="PMW11" s="314" t="s">
        <v>203</v>
      </c>
      <c r="PMX11" s="314" t="s">
        <v>203</v>
      </c>
      <c r="PMY11" s="314" t="s">
        <v>203</v>
      </c>
      <c r="PMZ11" s="314" t="s">
        <v>203</v>
      </c>
      <c r="PNA11" s="314" t="s">
        <v>203</v>
      </c>
      <c r="PNB11" s="314" t="s">
        <v>203</v>
      </c>
      <c r="PNC11" s="314" t="s">
        <v>203</v>
      </c>
      <c r="PND11" s="314" t="s">
        <v>203</v>
      </c>
      <c r="PNE11" s="314" t="s">
        <v>203</v>
      </c>
      <c r="PNF11" s="314" t="s">
        <v>203</v>
      </c>
      <c r="PNG11" s="314" t="s">
        <v>203</v>
      </c>
      <c r="PNH11" s="314" t="s">
        <v>203</v>
      </c>
      <c r="PNI11" s="314" t="s">
        <v>203</v>
      </c>
      <c r="PNJ11" s="314" t="s">
        <v>203</v>
      </c>
      <c r="PNK11" s="314" t="s">
        <v>203</v>
      </c>
      <c r="PNL11" s="314" t="s">
        <v>203</v>
      </c>
      <c r="PNM11" s="314" t="s">
        <v>203</v>
      </c>
      <c r="PNN11" s="314" t="s">
        <v>203</v>
      </c>
      <c r="PNO11" s="314" t="s">
        <v>203</v>
      </c>
      <c r="PNP11" s="314" t="s">
        <v>203</v>
      </c>
      <c r="PNQ11" s="314" t="s">
        <v>203</v>
      </c>
      <c r="PNR11" s="314" t="s">
        <v>203</v>
      </c>
      <c r="PNS11" s="314" t="s">
        <v>203</v>
      </c>
      <c r="PNT11" s="314" t="s">
        <v>203</v>
      </c>
      <c r="PNU11" s="314" t="s">
        <v>203</v>
      </c>
      <c r="PNV11" s="314" t="s">
        <v>203</v>
      </c>
      <c r="PNW11" s="314" t="s">
        <v>203</v>
      </c>
      <c r="PNX11" s="314" t="s">
        <v>203</v>
      </c>
      <c r="PNY11" s="314" t="s">
        <v>203</v>
      </c>
      <c r="PNZ11" s="314" t="s">
        <v>203</v>
      </c>
      <c r="POA11" s="314" t="s">
        <v>203</v>
      </c>
      <c r="POB11" s="314" t="s">
        <v>203</v>
      </c>
      <c r="POC11" s="314" t="s">
        <v>203</v>
      </c>
      <c r="POD11" s="314" t="s">
        <v>203</v>
      </c>
      <c r="POE11" s="314" t="s">
        <v>203</v>
      </c>
      <c r="POF11" s="314" t="s">
        <v>203</v>
      </c>
      <c r="POG11" s="314" t="s">
        <v>203</v>
      </c>
      <c r="POH11" s="314" t="s">
        <v>203</v>
      </c>
      <c r="POI11" s="314" t="s">
        <v>203</v>
      </c>
      <c r="POJ11" s="314" t="s">
        <v>203</v>
      </c>
      <c r="POK11" s="314" t="s">
        <v>203</v>
      </c>
      <c r="POL11" s="314" t="s">
        <v>203</v>
      </c>
      <c r="POM11" s="314" t="s">
        <v>203</v>
      </c>
      <c r="PON11" s="314" t="s">
        <v>203</v>
      </c>
      <c r="POO11" s="314" t="s">
        <v>203</v>
      </c>
      <c r="POP11" s="314" t="s">
        <v>203</v>
      </c>
      <c r="POQ11" s="314" t="s">
        <v>203</v>
      </c>
      <c r="POR11" s="314" t="s">
        <v>203</v>
      </c>
      <c r="POS11" s="314" t="s">
        <v>203</v>
      </c>
      <c r="POT11" s="314" t="s">
        <v>203</v>
      </c>
      <c r="POU11" s="314" t="s">
        <v>203</v>
      </c>
      <c r="POV11" s="314" t="s">
        <v>203</v>
      </c>
      <c r="POW11" s="314" t="s">
        <v>203</v>
      </c>
      <c r="POX11" s="314" t="s">
        <v>203</v>
      </c>
      <c r="POY11" s="314" t="s">
        <v>203</v>
      </c>
      <c r="POZ11" s="314" t="s">
        <v>203</v>
      </c>
      <c r="PPA11" s="314" t="s">
        <v>203</v>
      </c>
      <c r="PPB11" s="314" t="s">
        <v>203</v>
      </c>
      <c r="PPC11" s="314" t="s">
        <v>203</v>
      </c>
      <c r="PPD11" s="314" t="s">
        <v>203</v>
      </c>
      <c r="PPE11" s="314" t="s">
        <v>203</v>
      </c>
      <c r="PPF11" s="314" t="s">
        <v>203</v>
      </c>
      <c r="PPG11" s="314" t="s">
        <v>203</v>
      </c>
      <c r="PPH11" s="314" t="s">
        <v>203</v>
      </c>
      <c r="PPI11" s="314" t="s">
        <v>203</v>
      </c>
      <c r="PPJ11" s="314" t="s">
        <v>203</v>
      </c>
      <c r="PPK11" s="314" t="s">
        <v>203</v>
      </c>
      <c r="PPL11" s="314" t="s">
        <v>203</v>
      </c>
      <c r="PPM11" s="314" t="s">
        <v>203</v>
      </c>
      <c r="PPN11" s="314" t="s">
        <v>203</v>
      </c>
      <c r="PPO11" s="314" t="s">
        <v>203</v>
      </c>
      <c r="PPP11" s="314" t="s">
        <v>203</v>
      </c>
      <c r="PPQ11" s="314" t="s">
        <v>203</v>
      </c>
      <c r="PPR11" s="314" t="s">
        <v>203</v>
      </c>
      <c r="PPS11" s="314" t="s">
        <v>203</v>
      </c>
      <c r="PPT11" s="314" t="s">
        <v>203</v>
      </c>
      <c r="PPU11" s="314" t="s">
        <v>203</v>
      </c>
      <c r="PPV11" s="314" t="s">
        <v>203</v>
      </c>
      <c r="PPW11" s="314" t="s">
        <v>203</v>
      </c>
      <c r="PPX11" s="314" t="s">
        <v>203</v>
      </c>
      <c r="PPY11" s="314" t="s">
        <v>203</v>
      </c>
      <c r="PPZ11" s="314" t="s">
        <v>203</v>
      </c>
      <c r="PQA11" s="314" t="s">
        <v>203</v>
      </c>
      <c r="PQB11" s="314" t="s">
        <v>203</v>
      </c>
      <c r="PQC11" s="314" t="s">
        <v>203</v>
      </c>
      <c r="PQD11" s="314" t="s">
        <v>203</v>
      </c>
      <c r="PQE11" s="314" t="s">
        <v>203</v>
      </c>
      <c r="PQF11" s="314" t="s">
        <v>203</v>
      </c>
      <c r="PQG11" s="314" t="s">
        <v>203</v>
      </c>
      <c r="PQH11" s="314" t="s">
        <v>203</v>
      </c>
      <c r="PQI11" s="314" t="s">
        <v>203</v>
      </c>
      <c r="PQJ11" s="314" t="s">
        <v>203</v>
      </c>
      <c r="PQK11" s="314" t="s">
        <v>203</v>
      </c>
      <c r="PQL11" s="314" t="s">
        <v>203</v>
      </c>
      <c r="PQM11" s="314" t="s">
        <v>203</v>
      </c>
      <c r="PQN11" s="314" t="s">
        <v>203</v>
      </c>
      <c r="PQO11" s="314" t="s">
        <v>203</v>
      </c>
      <c r="PQP11" s="314" t="s">
        <v>203</v>
      </c>
      <c r="PQQ11" s="314" t="s">
        <v>203</v>
      </c>
      <c r="PQR11" s="314" t="s">
        <v>203</v>
      </c>
      <c r="PQS11" s="314" t="s">
        <v>203</v>
      </c>
      <c r="PQT11" s="314" t="s">
        <v>203</v>
      </c>
      <c r="PQU11" s="314" t="s">
        <v>203</v>
      </c>
      <c r="PQV11" s="314" t="s">
        <v>203</v>
      </c>
      <c r="PQW11" s="314" t="s">
        <v>203</v>
      </c>
      <c r="PQX11" s="314" t="s">
        <v>203</v>
      </c>
      <c r="PQY11" s="314" t="s">
        <v>203</v>
      </c>
      <c r="PQZ11" s="314" t="s">
        <v>203</v>
      </c>
      <c r="PRA11" s="314" t="s">
        <v>203</v>
      </c>
      <c r="PRB11" s="314" t="s">
        <v>203</v>
      </c>
      <c r="PRC11" s="314" t="s">
        <v>203</v>
      </c>
      <c r="PRD11" s="314" t="s">
        <v>203</v>
      </c>
      <c r="PRE11" s="314" t="s">
        <v>203</v>
      </c>
      <c r="PRF11" s="314" t="s">
        <v>203</v>
      </c>
      <c r="PRG11" s="314" t="s">
        <v>203</v>
      </c>
      <c r="PRH11" s="314" t="s">
        <v>203</v>
      </c>
      <c r="PRI11" s="314" t="s">
        <v>203</v>
      </c>
      <c r="PRJ11" s="314" t="s">
        <v>203</v>
      </c>
      <c r="PRK11" s="314" t="s">
        <v>203</v>
      </c>
      <c r="PRL11" s="314" t="s">
        <v>203</v>
      </c>
      <c r="PRM11" s="314" t="s">
        <v>203</v>
      </c>
      <c r="PRN11" s="314" t="s">
        <v>203</v>
      </c>
      <c r="PRO11" s="314" t="s">
        <v>203</v>
      </c>
      <c r="PRP11" s="314" t="s">
        <v>203</v>
      </c>
      <c r="PRQ11" s="314" t="s">
        <v>203</v>
      </c>
      <c r="PRR11" s="314" t="s">
        <v>203</v>
      </c>
      <c r="PRS11" s="314" t="s">
        <v>203</v>
      </c>
      <c r="PRT11" s="314" t="s">
        <v>203</v>
      </c>
      <c r="PRU11" s="314" t="s">
        <v>203</v>
      </c>
      <c r="PRV11" s="314" t="s">
        <v>203</v>
      </c>
      <c r="PRW11" s="314" t="s">
        <v>203</v>
      </c>
      <c r="PRX11" s="314" t="s">
        <v>203</v>
      </c>
      <c r="PRY11" s="314" t="s">
        <v>203</v>
      </c>
      <c r="PRZ11" s="314" t="s">
        <v>203</v>
      </c>
      <c r="PSA11" s="314" t="s">
        <v>203</v>
      </c>
      <c r="PSB11" s="314" t="s">
        <v>203</v>
      </c>
      <c r="PSC11" s="314" t="s">
        <v>203</v>
      </c>
      <c r="PSD11" s="314" t="s">
        <v>203</v>
      </c>
      <c r="PSE11" s="314" t="s">
        <v>203</v>
      </c>
      <c r="PSF11" s="314" t="s">
        <v>203</v>
      </c>
      <c r="PSG11" s="314" t="s">
        <v>203</v>
      </c>
      <c r="PSH11" s="314" t="s">
        <v>203</v>
      </c>
      <c r="PSI11" s="314" t="s">
        <v>203</v>
      </c>
      <c r="PSJ11" s="314" t="s">
        <v>203</v>
      </c>
      <c r="PSK11" s="314" t="s">
        <v>203</v>
      </c>
      <c r="PSL11" s="314" t="s">
        <v>203</v>
      </c>
      <c r="PSM11" s="314" t="s">
        <v>203</v>
      </c>
      <c r="PSN11" s="314" t="s">
        <v>203</v>
      </c>
      <c r="PSO11" s="314" t="s">
        <v>203</v>
      </c>
      <c r="PSP11" s="314" t="s">
        <v>203</v>
      </c>
      <c r="PSQ11" s="314" t="s">
        <v>203</v>
      </c>
      <c r="PSR11" s="314" t="s">
        <v>203</v>
      </c>
      <c r="PSS11" s="314" t="s">
        <v>203</v>
      </c>
      <c r="PST11" s="314" t="s">
        <v>203</v>
      </c>
      <c r="PSU11" s="314" t="s">
        <v>203</v>
      </c>
      <c r="PSV11" s="314" t="s">
        <v>203</v>
      </c>
      <c r="PSW11" s="314" t="s">
        <v>203</v>
      </c>
      <c r="PSX11" s="314" t="s">
        <v>203</v>
      </c>
      <c r="PSY11" s="314" t="s">
        <v>203</v>
      </c>
      <c r="PSZ11" s="314" t="s">
        <v>203</v>
      </c>
      <c r="PTA11" s="314" t="s">
        <v>203</v>
      </c>
      <c r="PTB11" s="314" t="s">
        <v>203</v>
      </c>
      <c r="PTC11" s="314" t="s">
        <v>203</v>
      </c>
      <c r="PTD11" s="314" t="s">
        <v>203</v>
      </c>
      <c r="PTE11" s="314" t="s">
        <v>203</v>
      </c>
      <c r="PTF11" s="314" t="s">
        <v>203</v>
      </c>
      <c r="PTG11" s="314" t="s">
        <v>203</v>
      </c>
      <c r="PTH11" s="314" t="s">
        <v>203</v>
      </c>
      <c r="PTI11" s="314" t="s">
        <v>203</v>
      </c>
      <c r="PTJ11" s="314" t="s">
        <v>203</v>
      </c>
      <c r="PTK11" s="314" t="s">
        <v>203</v>
      </c>
      <c r="PTL11" s="314" t="s">
        <v>203</v>
      </c>
      <c r="PTM11" s="314" t="s">
        <v>203</v>
      </c>
      <c r="PTN11" s="314" t="s">
        <v>203</v>
      </c>
      <c r="PTO11" s="314" t="s">
        <v>203</v>
      </c>
      <c r="PTP11" s="314" t="s">
        <v>203</v>
      </c>
      <c r="PTQ11" s="314" t="s">
        <v>203</v>
      </c>
      <c r="PTR11" s="314" t="s">
        <v>203</v>
      </c>
      <c r="PTS11" s="314" t="s">
        <v>203</v>
      </c>
      <c r="PTT11" s="314" t="s">
        <v>203</v>
      </c>
      <c r="PTU11" s="314" t="s">
        <v>203</v>
      </c>
      <c r="PTV11" s="314" t="s">
        <v>203</v>
      </c>
      <c r="PTW11" s="314" t="s">
        <v>203</v>
      </c>
      <c r="PTX11" s="314" t="s">
        <v>203</v>
      </c>
      <c r="PTY11" s="314" t="s">
        <v>203</v>
      </c>
      <c r="PTZ11" s="314" t="s">
        <v>203</v>
      </c>
      <c r="PUA11" s="314" t="s">
        <v>203</v>
      </c>
      <c r="PUB11" s="314" t="s">
        <v>203</v>
      </c>
      <c r="PUC11" s="314" t="s">
        <v>203</v>
      </c>
      <c r="PUD11" s="314" t="s">
        <v>203</v>
      </c>
      <c r="PUE11" s="314" t="s">
        <v>203</v>
      </c>
      <c r="PUF11" s="314" t="s">
        <v>203</v>
      </c>
      <c r="PUG11" s="314" t="s">
        <v>203</v>
      </c>
      <c r="PUH11" s="314" t="s">
        <v>203</v>
      </c>
      <c r="PUI11" s="314" t="s">
        <v>203</v>
      </c>
      <c r="PUJ11" s="314" t="s">
        <v>203</v>
      </c>
      <c r="PUK11" s="314" t="s">
        <v>203</v>
      </c>
      <c r="PUL11" s="314" t="s">
        <v>203</v>
      </c>
      <c r="PUM11" s="314" t="s">
        <v>203</v>
      </c>
      <c r="PUN11" s="314" t="s">
        <v>203</v>
      </c>
      <c r="PUO11" s="314" t="s">
        <v>203</v>
      </c>
      <c r="PUP11" s="314" t="s">
        <v>203</v>
      </c>
      <c r="PUQ11" s="314" t="s">
        <v>203</v>
      </c>
      <c r="PUR11" s="314" t="s">
        <v>203</v>
      </c>
      <c r="PUS11" s="314" t="s">
        <v>203</v>
      </c>
      <c r="PUT11" s="314" t="s">
        <v>203</v>
      </c>
      <c r="PUU11" s="314" t="s">
        <v>203</v>
      </c>
      <c r="PUV11" s="314" t="s">
        <v>203</v>
      </c>
      <c r="PUW11" s="314" t="s">
        <v>203</v>
      </c>
      <c r="PUX11" s="314" t="s">
        <v>203</v>
      </c>
      <c r="PUY11" s="314" t="s">
        <v>203</v>
      </c>
      <c r="PUZ11" s="314" t="s">
        <v>203</v>
      </c>
      <c r="PVA11" s="314" t="s">
        <v>203</v>
      </c>
      <c r="PVB11" s="314" t="s">
        <v>203</v>
      </c>
      <c r="PVC11" s="314" t="s">
        <v>203</v>
      </c>
      <c r="PVD11" s="314" t="s">
        <v>203</v>
      </c>
      <c r="PVE11" s="314" t="s">
        <v>203</v>
      </c>
      <c r="PVF11" s="314" t="s">
        <v>203</v>
      </c>
      <c r="PVG11" s="314" t="s">
        <v>203</v>
      </c>
      <c r="PVH11" s="314" t="s">
        <v>203</v>
      </c>
      <c r="PVI11" s="314" t="s">
        <v>203</v>
      </c>
      <c r="PVJ11" s="314" t="s">
        <v>203</v>
      </c>
      <c r="PVK11" s="314" t="s">
        <v>203</v>
      </c>
      <c r="PVL11" s="314" t="s">
        <v>203</v>
      </c>
      <c r="PVM11" s="314" t="s">
        <v>203</v>
      </c>
      <c r="PVN11" s="314" t="s">
        <v>203</v>
      </c>
      <c r="PVO11" s="314" t="s">
        <v>203</v>
      </c>
      <c r="PVP11" s="314" t="s">
        <v>203</v>
      </c>
      <c r="PVQ11" s="314" t="s">
        <v>203</v>
      </c>
      <c r="PVR11" s="314" t="s">
        <v>203</v>
      </c>
      <c r="PVS11" s="314" t="s">
        <v>203</v>
      </c>
      <c r="PVT11" s="314" t="s">
        <v>203</v>
      </c>
      <c r="PVU11" s="314" t="s">
        <v>203</v>
      </c>
      <c r="PVV11" s="314" t="s">
        <v>203</v>
      </c>
      <c r="PVW11" s="314" t="s">
        <v>203</v>
      </c>
      <c r="PVX11" s="314" t="s">
        <v>203</v>
      </c>
      <c r="PVY11" s="314" t="s">
        <v>203</v>
      </c>
      <c r="PVZ11" s="314" t="s">
        <v>203</v>
      </c>
      <c r="PWA11" s="314" t="s">
        <v>203</v>
      </c>
      <c r="PWB11" s="314" t="s">
        <v>203</v>
      </c>
      <c r="PWC11" s="314" t="s">
        <v>203</v>
      </c>
      <c r="PWD11" s="314" t="s">
        <v>203</v>
      </c>
      <c r="PWE11" s="314" t="s">
        <v>203</v>
      </c>
      <c r="PWF11" s="314" t="s">
        <v>203</v>
      </c>
      <c r="PWG11" s="314" t="s">
        <v>203</v>
      </c>
      <c r="PWH11" s="314" t="s">
        <v>203</v>
      </c>
      <c r="PWI11" s="314" t="s">
        <v>203</v>
      </c>
      <c r="PWJ11" s="314" t="s">
        <v>203</v>
      </c>
      <c r="PWK11" s="314" t="s">
        <v>203</v>
      </c>
      <c r="PWL11" s="314" t="s">
        <v>203</v>
      </c>
      <c r="PWM11" s="314" t="s">
        <v>203</v>
      </c>
      <c r="PWN11" s="314" t="s">
        <v>203</v>
      </c>
      <c r="PWO11" s="314" t="s">
        <v>203</v>
      </c>
      <c r="PWP11" s="314" t="s">
        <v>203</v>
      </c>
      <c r="PWQ11" s="314" t="s">
        <v>203</v>
      </c>
      <c r="PWR11" s="314" t="s">
        <v>203</v>
      </c>
      <c r="PWS11" s="314" t="s">
        <v>203</v>
      </c>
      <c r="PWT11" s="314" t="s">
        <v>203</v>
      </c>
      <c r="PWU11" s="314" t="s">
        <v>203</v>
      </c>
      <c r="PWV11" s="314" t="s">
        <v>203</v>
      </c>
      <c r="PWW11" s="314" t="s">
        <v>203</v>
      </c>
      <c r="PWX11" s="314" t="s">
        <v>203</v>
      </c>
      <c r="PWY11" s="314" t="s">
        <v>203</v>
      </c>
      <c r="PWZ11" s="314" t="s">
        <v>203</v>
      </c>
      <c r="PXA11" s="314" t="s">
        <v>203</v>
      </c>
      <c r="PXB11" s="314" t="s">
        <v>203</v>
      </c>
      <c r="PXC11" s="314" t="s">
        <v>203</v>
      </c>
      <c r="PXD11" s="314" t="s">
        <v>203</v>
      </c>
      <c r="PXE11" s="314" t="s">
        <v>203</v>
      </c>
      <c r="PXF11" s="314" t="s">
        <v>203</v>
      </c>
      <c r="PXG11" s="314" t="s">
        <v>203</v>
      </c>
      <c r="PXH11" s="314" t="s">
        <v>203</v>
      </c>
      <c r="PXI11" s="314" t="s">
        <v>203</v>
      </c>
      <c r="PXJ11" s="314" t="s">
        <v>203</v>
      </c>
      <c r="PXK11" s="314" t="s">
        <v>203</v>
      </c>
      <c r="PXL11" s="314" t="s">
        <v>203</v>
      </c>
      <c r="PXM11" s="314" t="s">
        <v>203</v>
      </c>
      <c r="PXN11" s="314" t="s">
        <v>203</v>
      </c>
      <c r="PXO11" s="314" t="s">
        <v>203</v>
      </c>
      <c r="PXP11" s="314" t="s">
        <v>203</v>
      </c>
      <c r="PXQ11" s="314" t="s">
        <v>203</v>
      </c>
      <c r="PXR11" s="314" t="s">
        <v>203</v>
      </c>
      <c r="PXS11" s="314" t="s">
        <v>203</v>
      </c>
      <c r="PXT11" s="314" t="s">
        <v>203</v>
      </c>
      <c r="PXU11" s="314" t="s">
        <v>203</v>
      </c>
      <c r="PXV11" s="314" t="s">
        <v>203</v>
      </c>
      <c r="PXW11" s="314" t="s">
        <v>203</v>
      </c>
      <c r="PXX11" s="314" t="s">
        <v>203</v>
      </c>
      <c r="PXY11" s="314" t="s">
        <v>203</v>
      </c>
      <c r="PXZ11" s="314" t="s">
        <v>203</v>
      </c>
      <c r="PYA11" s="314" t="s">
        <v>203</v>
      </c>
      <c r="PYB11" s="314" t="s">
        <v>203</v>
      </c>
      <c r="PYC11" s="314" t="s">
        <v>203</v>
      </c>
      <c r="PYD11" s="314" t="s">
        <v>203</v>
      </c>
      <c r="PYE11" s="314" t="s">
        <v>203</v>
      </c>
      <c r="PYF11" s="314" t="s">
        <v>203</v>
      </c>
      <c r="PYG11" s="314" t="s">
        <v>203</v>
      </c>
      <c r="PYH11" s="314" t="s">
        <v>203</v>
      </c>
      <c r="PYI11" s="314" t="s">
        <v>203</v>
      </c>
      <c r="PYJ11" s="314" t="s">
        <v>203</v>
      </c>
      <c r="PYK11" s="314" t="s">
        <v>203</v>
      </c>
      <c r="PYL11" s="314" t="s">
        <v>203</v>
      </c>
      <c r="PYM11" s="314" t="s">
        <v>203</v>
      </c>
      <c r="PYN11" s="314" t="s">
        <v>203</v>
      </c>
      <c r="PYO11" s="314" t="s">
        <v>203</v>
      </c>
      <c r="PYP11" s="314" t="s">
        <v>203</v>
      </c>
      <c r="PYQ11" s="314" t="s">
        <v>203</v>
      </c>
      <c r="PYR11" s="314" t="s">
        <v>203</v>
      </c>
      <c r="PYS11" s="314" t="s">
        <v>203</v>
      </c>
      <c r="PYT11" s="314" t="s">
        <v>203</v>
      </c>
      <c r="PYU11" s="314" t="s">
        <v>203</v>
      </c>
      <c r="PYV11" s="314" t="s">
        <v>203</v>
      </c>
      <c r="PYW11" s="314" t="s">
        <v>203</v>
      </c>
      <c r="PYX11" s="314" t="s">
        <v>203</v>
      </c>
      <c r="PYY11" s="314" t="s">
        <v>203</v>
      </c>
      <c r="PYZ11" s="314" t="s">
        <v>203</v>
      </c>
      <c r="PZA11" s="314" t="s">
        <v>203</v>
      </c>
      <c r="PZB11" s="314" t="s">
        <v>203</v>
      </c>
      <c r="PZC11" s="314" t="s">
        <v>203</v>
      </c>
      <c r="PZD11" s="314" t="s">
        <v>203</v>
      </c>
      <c r="PZE11" s="314" t="s">
        <v>203</v>
      </c>
      <c r="PZF11" s="314" t="s">
        <v>203</v>
      </c>
      <c r="PZG11" s="314" t="s">
        <v>203</v>
      </c>
      <c r="PZH11" s="314" t="s">
        <v>203</v>
      </c>
      <c r="PZI11" s="314" t="s">
        <v>203</v>
      </c>
      <c r="PZJ11" s="314" t="s">
        <v>203</v>
      </c>
      <c r="PZK11" s="314" t="s">
        <v>203</v>
      </c>
      <c r="PZL11" s="314" t="s">
        <v>203</v>
      </c>
      <c r="PZM11" s="314" t="s">
        <v>203</v>
      </c>
      <c r="PZN11" s="314" t="s">
        <v>203</v>
      </c>
      <c r="PZO11" s="314" t="s">
        <v>203</v>
      </c>
      <c r="PZP11" s="314" t="s">
        <v>203</v>
      </c>
      <c r="PZQ11" s="314" t="s">
        <v>203</v>
      </c>
      <c r="PZR11" s="314" t="s">
        <v>203</v>
      </c>
      <c r="PZS11" s="314" t="s">
        <v>203</v>
      </c>
      <c r="PZT11" s="314" t="s">
        <v>203</v>
      </c>
      <c r="PZU11" s="314" t="s">
        <v>203</v>
      </c>
      <c r="PZV11" s="314" t="s">
        <v>203</v>
      </c>
      <c r="PZW11" s="314" t="s">
        <v>203</v>
      </c>
      <c r="PZX11" s="314" t="s">
        <v>203</v>
      </c>
      <c r="PZY11" s="314" t="s">
        <v>203</v>
      </c>
      <c r="PZZ11" s="314" t="s">
        <v>203</v>
      </c>
      <c r="QAA11" s="314" t="s">
        <v>203</v>
      </c>
      <c r="QAB11" s="314" t="s">
        <v>203</v>
      </c>
      <c r="QAC11" s="314" t="s">
        <v>203</v>
      </c>
      <c r="QAD11" s="314" t="s">
        <v>203</v>
      </c>
      <c r="QAE11" s="314" t="s">
        <v>203</v>
      </c>
      <c r="QAF11" s="314" t="s">
        <v>203</v>
      </c>
      <c r="QAG11" s="314" t="s">
        <v>203</v>
      </c>
      <c r="QAH11" s="314" t="s">
        <v>203</v>
      </c>
      <c r="QAI11" s="314" t="s">
        <v>203</v>
      </c>
      <c r="QAJ11" s="314" t="s">
        <v>203</v>
      </c>
      <c r="QAK11" s="314" t="s">
        <v>203</v>
      </c>
      <c r="QAL11" s="314" t="s">
        <v>203</v>
      </c>
      <c r="QAM11" s="314" t="s">
        <v>203</v>
      </c>
      <c r="QAN11" s="314" t="s">
        <v>203</v>
      </c>
      <c r="QAO11" s="314" t="s">
        <v>203</v>
      </c>
      <c r="QAP11" s="314" t="s">
        <v>203</v>
      </c>
      <c r="QAQ11" s="314" t="s">
        <v>203</v>
      </c>
      <c r="QAR11" s="314" t="s">
        <v>203</v>
      </c>
      <c r="QAS11" s="314" t="s">
        <v>203</v>
      </c>
      <c r="QAT11" s="314" t="s">
        <v>203</v>
      </c>
      <c r="QAU11" s="314" t="s">
        <v>203</v>
      </c>
      <c r="QAV11" s="314" t="s">
        <v>203</v>
      </c>
      <c r="QAW11" s="314" t="s">
        <v>203</v>
      </c>
      <c r="QAX11" s="314" t="s">
        <v>203</v>
      </c>
      <c r="QAY11" s="314" t="s">
        <v>203</v>
      </c>
      <c r="QAZ11" s="314" t="s">
        <v>203</v>
      </c>
      <c r="QBA11" s="314" t="s">
        <v>203</v>
      </c>
      <c r="QBB11" s="314" t="s">
        <v>203</v>
      </c>
      <c r="QBC11" s="314" t="s">
        <v>203</v>
      </c>
      <c r="QBD11" s="314" t="s">
        <v>203</v>
      </c>
      <c r="QBE11" s="314" t="s">
        <v>203</v>
      </c>
      <c r="QBF11" s="314" t="s">
        <v>203</v>
      </c>
      <c r="QBG11" s="314" t="s">
        <v>203</v>
      </c>
      <c r="QBH11" s="314" t="s">
        <v>203</v>
      </c>
      <c r="QBI11" s="314" t="s">
        <v>203</v>
      </c>
      <c r="QBJ11" s="314" t="s">
        <v>203</v>
      </c>
      <c r="QBK11" s="314" t="s">
        <v>203</v>
      </c>
      <c r="QBL11" s="314" t="s">
        <v>203</v>
      </c>
      <c r="QBM11" s="314" t="s">
        <v>203</v>
      </c>
      <c r="QBN11" s="314" t="s">
        <v>203</v>
      </c>
      <c r="QBO11" s="314" t="s">
        <v>203</v>
      </c>
      <c r="QBP11" s="314" t="s">
        <v>203</v>
      </c>
      <c r="QBQ11" s="314" t="s">
        <v>203</v>
      </c>
      <c r="QBR11" s="314" t="s">
        <v>203</v>
      </c>
      <c r="QBS11" s="314" t="s">
        <v>203</v>
      </c>
      <c r="QBT11" s="314" t="s">
        <v>203</v>
      </c>
      <c r="QBU11" s="314" t="s">
        <v>203</v>
      </c>
      <c r="QBV11" s="314" t="s">
        <v>203</v>
      </c>
      <c r="QBW11" s="314" t="s">
        <v>203</v>
      </c>
      <c r="QBX11" s="314" t="s">
        <v>203</v>
      </c>
      <c r="QBY11" s="314" t="s">
        <v>203</v>
      </c>
      <c r="QBZ11" s="314" t="s">
        <v>203</v>
      </c>
      <c r="QCA11" s="314" t="s">
        <v>203</v>
      </c>
      <c r="QCB11" s="314" t="s">
        <v>203</v>
      </c>
      <c r="QCC11" s="314" t="s">
        <v>203</v>
      </c>
      <c r="QCD11" s="314" t="s">
        <v>203</v>
      </c>
      <c r="QCE11" s="314" t="s">
        <v>203</v>
      </c>
      <c r="QCF11" s="314" t="s">
        <v>203</v>
      </c>
      <c r="QCG11" s="314" t="s">
        <v>203</v>
      </c>
      <c r="QCH11" s="314" t="s">
        <v>203</v>
      </c>
      <c r="QCI11" s="314" t="s">
        <v>203</v>
      </c>
      <c r="QCJ11" s="314" t="s">
        <v>203</v>
      </c>
      <c r="QCK11" s="314" t="s">
        <v>203</v>
      </c>
      <c r="QCL11" s="314" t="s">
        <v>203</v>
      </c>
      <c r="QCM11" s="314" t="s">
        <v>203</v>
      </c>
      <c r="QCN11" s="314" t="s">
        <v>203</v>
      </c>
      <c r="QCO11" s="314" t="s">
        <v>203</v>
      </c>
      <c r="QCP11" s="314" t="s">
        <v>203</v>
      </c>
      <c r="QCQ11" s="314" t="s">
        <v>203</v>
      </c>
      <c r="QCR11" s="314" t="s">
        <v>203</v>
      </c>
      <c r="QCS11" s="314" t="s">
        <v>203</v>
      </c>
      <c r="QCT11" s="314" t="s">
        <v>203</v>
      </c>
      <c r="QCU11" s="314" t="s">
        <v>203</v>
      </c>
      <c r="QCV11" s="314" t="s">
        <v>203</v>
      </c>
      <c r="QCW11" s="314" t="s">
        <v>203</v>
      </c>
      <c r="QCX11" s="314" t="s">
        <v>203</v>
      </c>
      <c r="QCY11" s="314" t="s">
        <v>203</v>
      </c>
      <c r="QCZ11" s="314" t="s">
        <v>203</v>
      </c>
      <c r="QDA11" s="314" t="s">
        <v>203</v>
      </c>
      <c r="QDB11" s="314" t="s">
        <v>203</v>
      </c>
      <c r="QDC11" s="314" t="s">
        <v>203</v>
      </c>
      <c r="QDD11" s="314" t="s">
        <v>203</v>
      </c>
      <c r="QDE11" s="314" t="s">
        <v>203</v>
      </c>
      <c r="QDF11" s="314" t="s">
        <v>203</v>
      </c>
      <c r="QDG11" s="314" t="s">
        <v>203</v>
      </c>
      <c r="QDH11" s="314" t="s">
        <v>203</v>
      </c>
      <c r="QDI11" s="314" t="s">
        <v>203</v>
      </c>
      <c r="QDJ11" s="314" t="s">
        <v>203</v>
      </c>
      <c r="QDK11" s="314" t="s">
        <v>203</v>
      </c>
      <c r="QDL11" s="314" t="s">
        <v>203</v>
      </c>
      <c r="QDM11" s="314" t="s">
        <v>203</v>
      </c>
      <c r="QDN11" s="314" t="s">
        <v>203</v>
      </c>
      <c r="QDO11" s="314" t="s">
        <v>203</v>
      </c>
      <c r="QDP11" s="314" t="s">
        <v>203</v>
      </c>
      <c r="QDQ11" s="314" t="s">
        <v>203</v>
      </c>
      <c r="QDR11" s="314" t="s">
        <v>203</v>
      </c>
      <c r="QDS11" s="314" t="s">
        <v>203</v>
      </c>
      <c r="QDT11" s="314" t="s">
        <v>203</v>
      </c>
      <c r="QDU11" s="314" t="s">
        <v>203</v>
      </c>
      <c r="QDV11" s="314" t="s">
        <v>203</v>
      </c>
      <c r="QDW11" s="314" t="s">
        <v>203</v>
      </c>
      <c r="QDX11" s="314" t="s">
        <v>203</v>
      </c>
      <c r="QDY11" s="314" t="s">
        <v>203</v>
      </c>
      <c r="QDZ11" s="314" t="s">
        <v>203</v>
      </c>
      <c r="QEA11" s="314" t="s">
        <v>203</v>
      </c>
      <c r="QEB11" s="314" t="s">
        <v>203</v>
      </c>
      <c r="QEC11" s="314" t="s">
        <v>203</v>
      </c>
      <c r="QED11" s="314" t="s">
        <v>203</v>
      </c>
      <c r="QEE11" s="314" t="s">
        <v>203</v>
      </c>
      <c r="QEF11" s="314" t="s">
        <v>203</v>
      </c>
      <c r="QEG11" s="314" t="s">
        <v>203</v>
      </c>
      <c r="QEH11" s="314" t="s">
        <v>203</v>
      </c>
      <c r="QEI11" s="314" t="s">
        <v>203</v>
      </c>
      <c r="QEJ11" s="314" t="s">
        <v>203</v>
      </c>
      <c r="QEK11" s="314" t="s">
        <v>203</v>
      </c>
      <c r="QEL11" s="314" t="s">
        <v>203</v>
      </c>
      <c r="QEM11" s="314" t="s">
        <v>203</v>
      </c>
      <c r="QEN11" s="314" t="s">
        <v>203</v>
      </c>
      <c r="QEO11" s="314" t="s">
        <v>203</v>
      </c>
      <c r="QEP11" s="314" t="s">
        <v>203</v>
      </c>
      <c r="QEQ11" s="314" t="s">
        <v>203</v>
      </c>
      <c r="QER11" s="314" t="s">
        <v>203</v>
      </c>
      <c r="QES11" s="314" t="s">
        <v>203</v>
      </c>
      <c r="QET11" s="314" t="s">
        <v>203</v>
      </c>
      <c r="QEU11" s="314" t="s">
        <v>203</v>
      </c>
      <c r="QEV11" s="314" t="s">
        <v>203</v>
      </c>
      <c r="QEW11" s="314" t="s">
        <v>203</v>
      </c>
      <c r="QEX11" s="314" t="s">
        <v>203</v>
      </c>
      <c r="QEY11" s="314" t="s">
        <v>203</v>
      </c>
      <c r="QEZ11" s="314" t="s">
        <v>203</v>
      </c>
      <c r="QFA11" s="314" t="s">
        <v>203</v>
      </c>
      <c r="QFB11" s="314" t="s">
        <v>203</v>
      </c>
      <c r="QFC11" s="314" t="s">
        <v>203</v>
      </c>
      <c r="QFD11" s="314" t="s">
        <v>203</v>
      </c>
      <c r="QFE11" s="314" t="s">
        <v>203</v>
      </c>
      <c r="QFF11" s="314" t="s">
        <v>203</v>
      </c>
      <c r="QFG11" s="314" t="s">
        <v>203</v>
      </c>
      <c r="QFH11" s="314" t="s">
        <v>203</v>
      </c>
      <c r="QFI11" s="314" t="s">
        <v>203</v>
      </c>
      <c r="QFJ11" s="314" t="s">
        <v>203</v>
      </c>
      <c r="QFK11" s="314" t="s">
        <v>203</v>
      </c>
      <c r="QFL11" s="314" t="s">
        <v>203</v>
      </c>
      <c r="QFM11" s="314" t="s">
        <v>203</v>
      </c>
      <c r="QFN11" s="314" t="s">
        <v>203</v>
      </c>
      <c r="QFO11" s="314" t="s">
        <v>203</v>
      </c>
      <c r="QFP11" s="314" t="s">
        <v>203</v>
      </c>
      <c r="QFQ11" s="314" t="s">
        <v>203</v>
      </c>
      <c r="QFR11" s="314" t="s">
        <v>203</v>
      </c>
      <c r="QFS11" s="314" t="s">
        <v>203</v>
      </c>
      <c r="QFT11" s="314" t="s">
        <v>203</v>
      </c>
      <c r="QFU11" s="314" t="s">
        <v>203</v>
      </c>
      <c r="QFV11" s="314" t="s">
        <v>203</v>
      </c>
      <c r="QFW11" s="314" t="s">
        <v>203</v>
      </c>
      <c r="QFX11" s="314" t="s">
        <v>203</v>
      </c>
      <c r="QFY11" s="314" t="s">
        <v>203</v>
      </c>
      <c r="QFZ11" s="314" t="s">
        <v>203</v>
      </c>
      <c r="QGA11" s="314" t="s">
        <v>203</v>
      </c>
      <c r="QGB11" s="314" t="s">
        <v>203</v>
      </c>
      <c r="QGC11" s="314" t="s">
        <v>203</v>
      </c>
      <c r="QGD11" s="314" t="s">
        <v>203</v>
      </c>
      <c r="QGE11" s="314" t="s">
        <v>203</v>
      </c>
      <c r="QGF11" s="314" t="s">
        <v>203</v>
      </c>
      <c r="QGG11" s="314" t="s">
        <v>203</v>
      </c>
      <c r="QGH11" s="314" t="s">
        <v>203</v>
      </c>
      <c r="QGI11" s="314" t="s">
        <v>203</v>
      </c>
      <c r="QGJ11" s="314" t="s">
        <v>203</v>
      </c>
      <c r="QGK11" s="314" t="s">
        <v>203</v>
      </c>
      <c r="QGL11" s="314" t="s">
        <v>203</v>
      </c>
      <c r="QGM11" s="314" t="s">
        <v>203</v>
      </c>
      <c r="QGN11" s="314" t="s">
        <v>203</v>
      </c>
      <c r="QGO11" s="314" t="s">
        <v>203</v>
      </c>
      <c r="QGP11" s="314" t="s">
        <v>203</v>
      </c>
      <c r="QGQ11" s="314" t="s">
        <v>203</v>
      </c>
      <c r="QGR11" s="314" t="s">
        <v>203</v>
      </c>
      <c r="QGS11" s="314" t="s">
        <v>203</v>
      </c>
      <c r="QGT11" s="314" t="s">
        <v>203</v>
      </c>
      <c r="QGU11" s="314" t="s">
        <v>203</v>
      </c>
      <c r="QGV11" s="314" t="s">
        <v>203</v>
      </c>
      <c r="QGW11" s="314" t="s">
        <v>203</v>
      </c>
      <c r="QGX11" s="314" t="s">
        <v>203</v>
      </c>
      <c r="QGY11" s="314" t="s">
        <v>203</v>
      </c>
      <c r="QGZ11" s="314" t="s">
        <v>203</v>
      </c>
      <c r="QHA11" s="314" t="s">
        <v>203</v>
      </c>
      <c r="QHB11" s="314" t="s">
        <v>203</v>
      </c>
      <c r="QHC11" s="314" t="s">
        <v>203</v>
      </c>
      <c r="QHD11" s="314" t="s">
        <v>203</v>
      </c>
      <c r="QHE11" s="314" t="s">
        <v>203</v>
      </c>
      <c r="QHF11" s="314" t="s">
        <v>203</v>
      </c>
      <c r="QHG11" s="314" t="s">
        <v>203</v>
      </c>
      <c r="QHH11" s="314" t="s">
        <v>203</v>
      </c>
      <c r="QHI11" s="314" t="s">
        <v>203</v>
      </c>
      <c r="QHJ11" s="314" t="s">
        <v>203</v>
      </c>
      <c r="QHK11" s="314" t="s">
        <v>203</v>
      </c>
      <c r="QHL11" s="314" t="s">
        <v>203</v>
      </c>
      <c r="QHM11" s="314" t="s">
        <v>203</v>
      </c>
      <c r="QHN11" s="314" t="s">
        <v>203</v>
      </c>
      <c r="QHO11" s="314" t="s">
        <v>203</v>
      </c>
      <c r="QHP11" s="314" t="s">
        <v>203</v>
      </c>
      <c r="QHQ11" s="314" t="s">
        <v>203</v>
      </c>
      <c r="QHR11" s="314" t="s">
        <v>203</v>
      </c>
      <c r="QHS11" s="314" t="s">
        <v>203</v>
      </c>
      <c r="QHT11" s="314" t="s">
        <v>203</v>
      </c>
      <c r="QHU11" s="314" t="s">
        <v>203</v>
      </c>
      <c r="QHV11" s="314" t="s">
        <v>203</v>
      </c>
      <c r="QHW11" s="314" t="s">
        <v>203</v>
      </c>
      <c r="QHX11" s="314" t="s">
        <v>203</v>
      </c>
      <c r="QHY11" s="314" t="s">
        <v>203</v>
      </c>
      <c r="QHZ11" s="314" t="s">
        <v>203</v>
      </c>
      <c r="QIA11" s="314" t="s">
        <v>203</v>
      </c>
      <c r="QIB11" s="314" t="s">
        <v>203</v>
      </c>
      <c r="QIC11" s="314" t="s">
        <v>203</v>
      </c>
      <c r="QID11" s="314" t="s">
        <v>203</v>
      </c>
      <c r="QIE11" s="314" t="s">
        <v>203</v>
      </c>
      <c r="QIF11" s="314" t="s">
        <v>203</v>
      </c>
      <c r="QIG11" s="314" t="s">
        <v>203</v>
      </c>
      <c r="QIH11" s="314" t="s">
        <v>203</v>
      </c>
      <c r="QII11" s="314" t="s">
        <v>203</v>
      </c>
      <c r="QIJ11" s="314" t="s">
        <v>203</v>
      </c>
      <c r="QIK11" s="314" t="s">
        <v>203</v>
      </c>
      <c r="QIL11" s="314" t="s">
        <v>203</v>
      </c>
      <c r="QIM11" s="314" t="s">
        <v>203</v>
      </c>
      <c r="QIN11" s="314" t="s">
        <v>203</v>
      </c>
      <c r="QIO11" s="314" t="s">
        <v>203</v>
      </c>
      <c r="QIP11" s="314" t="s">
        <v>203</v>
      </c>
      <c r="QIQ11" s="314" t="s">
        <v>203</v>
      </c>
      <c r="QIR11" s="314" t="s">
        <v>203</v>
      </c>
      <c r="QIS11" s="314" t="s">
        <v>203</v>
      </c>
      <c r="QIT11" s="314" t="s">
        <v>203</v>
      </c>
      <c r="QIU11" s="314" t="s">
        <v>203</v>
      </c>
      <c r="QIV11" s="314" t="s">
        <v>203</v>
      </c>
      <c r="QIW11" s="314" t="s">
        <v>203</v>
      </c>
      <c r="QIX11" s="314" t="s">
        <v>203</v>
      </c>
      <c r="QIY11" s="314" t="s">
        <v>203</v>
      </c>
      <c r="QIZ11" s="314" t="s">
        <v>203</v>
      </c>
      <c r="QJA11" s="314" t="s">
        <v>203</v>
      </c>
      <c r="QJB11" s="314" t="s">
        <v>203</v>
      </c>
      <c r="QJC11" s="314" t="s">
        <v>203</v>
      </c>
      <c r="QJD11" s="314" t="s">
        <v>203</v>
      </c>
      <c r="QJE11" s="314" t="s">
        <v>203</v>
      </c>
      <c r="QJF11" s="314" t="s">
        <v>203</v>
      </c>
      <c r="QJG11" s="314" t="s">
        <v>203</v>
      </c>
      <c r="QJH11" s="314" t="s">
        <v>203</v>
      </c>
      <c r="QJI11" s="314" t="s">
        <v>203</v>
      </c>
      <c r="QJJ11" s="314" t="s">
        <v>203</v>
      </c>
      <c r="QJK11" s="314" t="s">
        <v>203</v>
      </c>
      <c r="QJL11" s="314" t="s">
        <v>203</v>
      </c>
      <c r="QJM11" s="314" t="s">
        <v>203</v>
      </c>
      <c r="QJN11" s="314" t="s">
        <v>203</v>
      </c>
      <c r="QJO11" s="314" t="s">
        <v>203</v>
      </c>
      <c r="QJP11" s="314" t="s">
        <v>203</v>
      </c>
      <c r="QJQ11" s="314" t="s">
        <v>203</v>
      </c>
      <c r="QJR11" s="314" t="s">
        <v>203</v>
      </c>
      <c r="QJS11" s="314" t="s">
        <v>203</v>
      </c>
      <c r="QJT11" s="314" t="s">
        <v>203</v>
      </c>
      <c r="QJU11" s="314" t="s">
        <v>203</v>
      </c>
      <c r="QJV11" s="314" t="s">
        <v>203</v>
      </c>
      <c r="QJW11" s="314" t="s">
        <v>203</v>
      </c>
      <c r="QJX11" s="314" t="s">
        <v>203</v>
      </c>
      <c r="QJY11" s="314" t="s">
        <v>203</v>
      </c>
      <c r="QJZ11" s="314" t="s">
        <v>203</v>
      </c>
      <c r="QKA11" s="314" t="s">
        <v>203</v>
      </c>
      <c r="QKB11" s="314" t="s">
        <v>203</v>
      </c>
      <c r="QKC11" s="314" t="s">
        <v>203</v>
      </c>
      <c r="QKD11" s="314" t="s">
        <v>203</v>
      </c>
      <c r="QKE11" s="314" t="s">
        <v>203</v>
      </c>
      <c r="QKF11" s="314" t="s">
        <v>203</v>
      </c>
      <c r="QKG11" s="314" t="s">
        <v>203</v>
      </c>
      <c r="QKH11" s="314" t="s">
        <v>203</v>
      </c>
      <c r="QKI11" s="314" t="s">
        <v>203</v>
      </c>
      <c r="QKJ11" s="314" t="s">
        <v>203</v>
      </c>
      <c r="QKK11" s="314" t="s">
        <v>203</v>
      </c>
      <c r="QKL11" s="314" t="s">
        <v>203</v>
      </c>
      <c r="QKM11" s="314" t="s">
        <v>203</v>
      </c>
      <c r="QKN11" s="314" t="s">
        <v>203</v>
      </c>
      <c r="QKO11" s="314" t="s">
        <v>203</v>
      </c>
      <c r="QKP11" s="314" t="s">
        <v>203</v>
      </c>
      <c r="QKQ11" s="314" t="s">
        <v>203</v>
      </c>
      <c r="QKR11" s="314" t="s">
        <v>203</v>
      </c>
      <c r="QKS11" s="314" t="s">
        <v>203</v>
      </c>
      <c r="QKT11" s="314" t="s">
        <v>203</v>
      </c>
      <c r="QKU11" s="314" t="s">
        <v>203</v>
      </c>
      <c r="QKV11" s="314" t="s">
        <v>203</v>
      </c>
      <c r="QKW11" s="314" t="s">
        <v>203</v>
      </c>
      <c r="QKX11" s="314" t="s">
        <v>203</v>
      </c>
      <c r="QKY11" s="314" t="s">
        <v>203</v>
      </c>
      <c r="QKZ11" s="314" t="s">
        <v>203</v>
      </c>
      <c r="QLA11" s="314" t="s">
        <v>203</v>
      </c>
      <c r="QLB11" s="314" t="s">
        <v>203</v>
      </c>
      <c r="QLC11" s="314" t="s">
        <v>203</v>
      </c>
      <c r="QLD11" s="314" t="s">
        <v>203</v>
      </c>
      <c r="QLE11" s="314" t="s">
        <v>203</v>
      </c>
      <c r="QLF11" s="314" t="s">
        <v>203</v>
      </c>
      <c r="QLG11" s="314" t="s">
        <v>203</v>
      </c>
      <c r="QLH11" s="314" t="s">
        <v>203</v>
      </c>
      <c r="QLI11" s="314" t="s">
        <v>203</v>
      </c>
      <c r="QLJ11" s="314" t="s">
        <v>203</v>
      </c>
      <c r="QLK11" s="314" t="s">
        <v>203</v>
      </c>
      <c r="QLL11" s="314" t="s">
        <v>203</v>
      </c>
      <c r="QLM11" s="314" t="s">
        <v>203</v>
      </c>
      <c r="QLN11" s="314" t="s">
        <v>203</v>
      </c>
      <c r="QLO11" s="314" t="s">
        <v>203</v>
      </c>
      <c r="QLP11" s="314" t="s">
        <v>203</v>
      </c>
      <c r="QLQ11" s="314" t="s">
        <v>203</v>
      </c>
      <c r="QLR11" s="314" t="s">
        <v>203</v>
      </c>
      <c r="QLS11" s="314" t="s">
        <v>203</v>
      </c>
      <c r="QLT11" s="314" t="s">
        <v>203</v>
      </c>
      <c r="QLU11" s="314" t="s">
        <v>203</v>
      </c>
      <c r="QLV11" s="314" t="s">
        <v>203</v>
      </c>
      <c r="QLW11" s="314" t="s">
        <v>203</v>
      </c>
      <c r="QLX11" s="314" t="s">
        <v>203</v>
      </c>
      <c r="QLY11" s="314" t="s">
        <v>203</v>
      </c>
      <c r="QLZ11" s="314" t="s">
        <v>203</v>
      </c>
      <c r="QMA11" s="314" t="s">
        <v>203</v>
      </c>
      <c r="QMB11" s="314" t="s">
        <v>203</v>
      </c>
      <c r="QMC11" s="314" t="s">
        <v>203</v>
      </c>
      <c r="QMD11" s="314" t="s">
        <v>203</v>
      </c>
      <c r="QME11" s="314" t="s">
        <v>203</v>
      </c>
      <c r="QMF11" s="314" t="s">
        <v>203</v>
      </c>
      <c r="QMG11" s="314" t="s">
        <v>203</v>
      </c>
      <c r="QMH11" s="314" t="s">
        <v>203</v>
      </c>
      <c r="QMI11" s="314" t="s">
        <v>203</v>
      </c>
      <c r="QMJ11" s="314" t="s">
        <v>203</v>
      </c>
      <c r="QMK11" s="314" t="s">
        <v>203</v>
      </c>
      <c r="QML11" s="314" t="s">
        <v>203</v>
      </c>
      <c r="QMM11" s="314" t="s">
        <v>203</v>
      </c>
      <c r="QMN11" s="314" t="s">
        <v>203</v>
      </c>
      <c r="QMO11" s="314" t="s">
        <v>203</v>
      </c>
      <c r="QMP11" s="314" t="s">
        <v>203</v>
      </c>
      <c r="QMQ11" s="314" t="s">
        <v>203</v>
      </c>
      <c r="QMR11" s="314" t="s">
        <v>203</v>
      </c>
      <c r="QMS11" s="314" t="s">
        <v>203</v>
      </c>
      <c r="QMT11" s="314" t="s">
        <v>203</v>
      </c>
      <c r="QMU11" s="314" t="s">
        <v>203</v>
      </c>
      <c r="QMV11" s="314" t="s">
        <v>203</v>
      </c>
      <c r="QMW11" s="314" t="s">
        <v>203</v>
      </c>
      <c r="QMX11" s="314" t="s">
        <v>203</v>
      </c>
      <c r="QMY11" s="314" t="s">
        <v>203</v>
      </c>
      <c r="QMZ11" s="314" t="s">
        <v>203</v>
      </c>
      <c r="QNA11" s="314" t="s">
        <v>203</v>
      </c>
      <c r="QNB11" s="314" t="s">
        <v>203</v>
      </c>
      <c r="QNC11" s="314" t="s">
        <v>203</v>
      </c>
      <c r="QND11" s="314" t="s">
        <v>203</v>
      </c>
      <c r="QNE11" s="314" t="s">
        <v>203</v>
      </c>
      <c r="QNF11" s="314" t="s">
        <v>203</v>
      </c>
      <c r="QNG11" s="314" t="s">
        <v>203</v>
      </c>
      <c r="QNH11" s="314" t="s">
        <v>203</v>
      </c>
      <c r="QNI11" s="314" t="s">
        <v>203</v>
      </c>
      <c r="QNJ11" s="314" t="s">
        <v>203</v>
      </c>
      <c r="QNK11" s="314" t="s">
        <v>203</v>
      </c>
      <c r="QNL11" s="314" t="s">
        <v>203</v>
      </c>
      <c r="QNM11" s="314" t="s">
        <v>203</v>
      </c>
      <c r="QNN11" s="314" t="s">
        <v>203</v>
      </c>
      <c r="QNO11" s="314" t="s">
        <v>203</v>
      </c>
      <c r="QNP11" s="314" t="s">
        <v>203</v>
      </c>
      <c r="QNQ11" s="314" t="s">
        <v>203</v>
      </c>
      <c r="QNR11" s="314" t="s">
        <v>203</v>
      </c>
      <c r="QNS11" s="314" t="s">
        <v>203</v>
      </c>
      <c r="QNT11" s="314" t="s">
        <v>203</v>
      </c>
      <c r="QNU11" s="314" t="s">
        <v>203</v>
      </c>
      <c r="QNV11" s="314" t="s">
        <v>203</v>
      </c>
      <c r="QNW11" s="314" t="s">
        <v>203</v>
      </c>
      <c r="QNX11" s="314" t="s">
        <v>203</v>
      </c>
      <c r="QNY11" s="314" t="s">
        <v>203</v>
      </c>
      <c r="QNZ11" s="314" t="s">
        <v>203</v>
      </c>
      <c r="QOA11" s="314" t="s">
        <v>203</v>
      </c>
      <c r="QOB11" s="314" t="s">
        <v>203</v>
      </c>
      <c r="QOC11" s="314" t="s">
        <v>203</v>
      </c>
      <c r="QOD11" s="314" t="s">
        <v>203</v>
      </c>
      <c r="QOE11" s="314" t="s">
        <v>203</v>
      </c>
      <c r="QOF11" s="314" t="s">
        <v>203</v>
      </c>
      <c r="QOG11" s="314" t="s">
        <v>203</v>
      </c>
      <c r="QOH11" s="314" t="s">
        <v>203</v>
      </c>
      <c r="QOI11" s="314" t="s">
        <v>203</v>
      </c>
      <c r="QOJ11" s="314" t="s">
        <v>203</v>
      </c>
      <c r="QOK11" s="314" t="s">
        <v>203</v>
      </c>
      <c r="QOL11" s="314" t="s">
        <v>203</v>
      </c>
      <c r="QOM11" s="314" t="s">
        <v>203</v>
      </c>
      <c r="QON11" s="314" t="s">
        <v>203</v>
      </c>
      <c r="QOO11" s="314" t="s">
        <v>203</v>
      </c>
      <c r="QOP11" s="314" t="s">
        <v>203</v>
      </c>
      <c r="QOQ11" s="314" t="s">
        <v>203</v>
      </c>
      <c r="QOR11" s="314" t="s">
        <v>203</v>
      </c>
      <c r="QOS11" s="314" t="s">
        <v>203</v>
      </c>
      <c r="QOT11" s="314" t="s">
        <v>203</v>
      </c>
      <c r="QOU11" s="314" t="s">
        <v>203</v>
      </c>
      <c r="QOV11" s="314" t="s">
        <v>203</v>
      </c>
      <c r="QOW11" s="314" t="s">
        <v>203</v>
      </c>
      <c r="QOX11" s="314" t="s">
        <v>203</v>
      </c>
      <c r="QOY11" s="314" t="s">
        <v>203</v>
      </c>
      <c r="QOZ11" s="314" t="s">
        <v>203</v>
      </c>
      <c r="QPA11" s="314" t="s">
        <v>203</v>
      </c>
      <c r="QPB11" s="314" t="s">
        <v>203</v>
      </c>
      <c r="QPC11" s="314" t="s">
        <v>203</v>
      </c>
      <c r="QPD11" s="314" t="s">
        <v>203</v>
      </c>
      <c r="QPE11" s="314" t="s">
        <v>203</v>
      </c>
      <c r="QPF11" s="314" t="s">
        <v>203</v>
      </c>
      <c r="QPG11" s="314" t="s">
        <v>203</v>
      </c>
      <c r="QPH11" s="314" t="s">
        <v>203</v>
      </c>
      <c r="QPI11" s="314" t="s">
        <v>203</v>
      </c>
      <c r="QPJ11" s="314" t="s">
        <v>203</v>
      </c>
      <c r="QPK11" s="314" t="s">
        <v>203</v>
      </c>
      <c r="QPL11" s="314" t="s">
        <v>203</v>
      </c>
      <c r="QPM11" s="314" t="s">
        <v>203</v>
      </c>
      <c r="QPN11" s="314" t="s">
        <v>203</v>
      </c>
      <c r="QPO11" s="314" t="s">
        <v>203</v>
      </c>
      <c r="QPP11" s="314" t="s">
        <v>203</v>
      </c>
      <c r="QPQ11" s="314" t="s">
        <v>203</v>
      </c>
      <c r="QPR11" s="314" t="s">
        <v>203</v>
      </c>
      <c r="QPS11" s="314" t="s">
        <v>203</v>
      </c>
      <c r="QPT11" s="314" t="s">
        <v>203</v>
      </c>
      <c r="QPU11" s="314" t="s">
        <v>203</v>
      </c>
      <c r="QPV11" s="314" t="s">
        <v>203</v>
      </c>
      <c r="QPW11" s="314" t="s">
        <v>203</v>
      </c>
      <c r="QPX11" s="314" t="s">
        <v>203</v>
      </c>
      <c r="QPY11" s="314" t="s">
        <v>203</v>
      </c>
      <c r="QPZ11" s="314" t="s">
        <v>203</v>
      </c>
      <c r="QQA11" s="314" t="s">
        <v>203</v>
      </c>
      <c r="QQB11" s="314" t="s">
        <v>203</v>
      </c>
      <c r="QQC11" s="314" t="s">
        <v>203</v>
      </c>
      <c r="QQD11" s="314" t="s">
        <v>203</v>
      </c>
      <c r="QQE11" s="314" t="s">
        <v>203</v>
      </c>
      <c r="QQF11" s="314" t="s">
        <v>203</v>
      </c>
      <c r="QQG11" s="314" t="s">
        <v>203</v>
      </c>
      <c r="QQH11" s="314" t="s">
        <v>203</v>
      </c>
      <c r="QQI11" s="314" t="s">
        <v>203</v>
      </c>
      <c r="QQJ11" s="314" t="s">
        <v>203</v>
      </c>
      <c r="QQK11" s="314" t="s">
        <v>203</v>
      </c>
      <c r="QQL11" s="314" t="s">
        <v>203</v>
      </c>
      <c r="QQM11" s="314" t="s">
        <v>203</v>
      </c>
      <c r="QQN11" s="314" t="s">
        <v>203</v>
      </c>
      <c r="QQO11" s="314" t="s">
        <v>203</v>
      </c>
      <c r="QQP11" s="314" t="s">
        <v>203</v>
      </c>
      <c r="QQQ11" s="314" t="s">
        <v>203</v>
      </c>
      <c r="QQR11" s="314" t="s">
        <v>203</v>
      </c>
      <c r="QQS11" s="314" t="s">
        <v>203</v>
      </c>
      <c r="QQT11" s="314" t="s">
        <v>203</v>
      </c>
      <c r="QQU11" s="314" t="s">
        <v>203</v>
      </c>
      <c r="QQV11" s="314" t="s">
        <v>203</v>
      </c>
      <c r="QQW11" s="314" t="s">
        <v>203</v>
      </c>
      <c r="QQX11" s="314" t="s">
        <v>203</v>
      </c>
      <c r="QQY11" s="314" t="s">
        <v>203</v>
      </c>
      <c r="QQZ11" s="314" t="s">
        <v>203</v>
      </c>
      <c r="QRA11" s="314" t="s">
        <v>203</v>
      </c>
      <c r="QRB11" s="314" t="s">
        <v>203</v>
      </c>
      <c r="QRC11" s="314" t="s">
        <v>203</v>
      </c>
      <c r="QRD11" s="314" t="s">
        <v>203</v>
      </c>
      <c r="QRE11" s="314" t="s">
        <v>203</v>
      </c>
      <c r="QRF11" s="314" t="s">
        <v>203</v>
      </c>
      <c r="QRG11" s="314" t="s">
        <v>203</v>
      </c>
      <c r="QRH11" s="314" t="s">
        <v>203</v>
      </c>
      <c r="QRI11" s="314" t="s">
        <v>203</v>
      </c>
      <c r="QRJ11" s="314" t="s">
        <v>203</v>
      </c>
      <c r="QRK11" s="314" t="s">
        <v>203</v>
      </c>
      <c r="QRL11" s="314" t="s">
        <v>203</v>
      </c>
      <c r="QRM11" s="314" t="s">
        <v>203</v>
      </c>
      <c r="QRN11" s="314" t="s">
        <v>203</v>
      </c>
      <c r="QRO11" s="314" t="s">
        <v>203</v>
      </c>
      <c r="QRP11" s="314" t="s">
        <v>203</v>
      </c>
      <c r="QRQ11" s="314" t="s">
        <v>203</v>
      </c>
      <c r="QRR11" s="314" t="s">
        <v>203</v>
      </c>
      <c r="QRS11" s="314" t="s">
        <v>203</v>
      </c>
      <c r="QRT11" s="314" t="s">
        <v>203</v>
      </c>
      <c r="QRU11" s="314" t="s">
        <v>203</v>
      </c>
      <c r="QRV11" s="314" t="s">
        <v>203</v>
      </c>
      <c r="QRW11" s="314" t="s">
        <v>203</v>
      </c>
      <c r="QRX11" s="314" t="s">
        <v>203</v>
      </c>
      <c r="QRY11" s="314" t="s">
        <v>203</v>
      </c>
      <c r="QRZ11" s="314" t="s">
        <v>203</v>
      </c>
      <c r="QSA11" s="314" t="s">
        <v>203</v>
      </c>
      <c r="QSB11" s="314" t="s">
        <v>203</v>
      </c>
      <c r="QSC11" s="314" t="s">
        <v>203</v>
      </c>
      <c r="QSD11" s="314" t="s">
        <v>203</v>
      </c>
      <c r="QSE11" s="314" t="s">
        <v>203</v>
      </c>
      <c r="QSF11" s="314" t="s">
        <v>203</v>
      </c>
      <c r="QSG11" s="314" t="s">
        <v>203</v>
      </c>
      <c r="QSH11" s="314" t="s">
        <v>203</v>
      </c>
      <c r="QSI11" s="314" t="s">
        <v>203</v>
      </c>
      <c r="QSJ11" s="314" t="s">
        <v>203</v>
      </c>
      <c r="QSK11" s="314" t="s">
        <v>203</v>
      </c>
      <c r="QSL11" s="314" t="s">
        <v>203</v>
      </c>
      <c r="QSM11" s="314" t="s">
        <v>203</v>
      </c>
      <c r="QSN11" s="314" t="s">
        <v>203</v>
      </c>
      <c r="QSO11" s="314" t="s">
        <v>203</v>
      </c>
      <c r="QSP11" s="314" t="s">
        <v>203</v>
      </c>
      <c r="QSQ11" s="314" t="s">
        <v>203</v>
      </c>
      <c r="QSR11" s="314" t="s">
        <v>203</v>
      </c>
      <c r="QSS11" s="314" t="s">
        <v>203</v>
      </c>
      <c r="QST11" s="314" t="s">
        <v>203</v>
      </c>
      <c r="QSU11" s="314" t="s">
        <v>203</v>
      </c>
      <c r="QSV11" s="314" t="s">
        <v>203</v>
      </c>
      <c r="QSW11" s="314" t="s">
        <v>203</v>
      </c>
      <c r="QSX11" s="314" t="s">
        <v>203</v>
      </c>
      <c r="QSY11" s="314" t="s">
        <v>203</v>
      </c>
      <c r="QSZ11" s="314" t="s">
        <v>203</v>
      </c>
      <c r="QTA11" s="314" t="s">
        <v>203</v>
      </c>
      <c r="QTB11" s="314" t="s">
        <v>203</v>
      </c>
      <c r="QTC11" s="314" t="s">
        <v>203</v>
      </c>
      <c r="QTD11" s="314" t="s">
        <v>203</v>
      </c>
      <c r="QTE11" s="314" t="s">
        <v>203</v>
      </c>
      <c r="QTF11" s="314" t="s">
        <v>203</v>
      </c>
      <c r="QTG11" s="314" t="s">
        <v>203</v>
      </c>
      <c r="QTH11" s="314" t="s">
        <v>203</v>
      </c>
      <c r="QTI11" s="314" t="s">
        <v>203</v>
      </c>
      <c r="QTJ11" s="314" t="s">
        <v>203</v>
      </c>
      <c r="QTK11" s="314" t="s">
        <v>203</v>
      </c>
      <c r="QTL11" s="314" t="s">
        <v>203</v>
      </c>
      <c r="QTM11" s="314" t="s">
        <v>203</v>
      </c>
      <c r="QTN11" s="314" t="s">
        <v>203</v>
      </c>
      <c r="QTO11" s="314" t="s">
        <v>203</v>
      </c>
      <c r="QTP11" s="314" t="s">
        <v>203</v>
      </c>
      <c r="QTQ11" s="314" t="s">
        <v>203</v>
      </c>
      <c r="QTR11" s="314" t="s">
        <v>203</v>
      </c>
      <c r="QTS11" s="314" t="s">
        <v>203</v>
      </c>
      <c r="QTT11" s="314" t="s">
        <v>203</v>
      </c>
      <c r="QTU11" s="314" t="s">
        <v>203</v>
      </c>
      <c r="QTV11" s="314" t="s">
        <v>203</v>
      </c>
      <c r="QTW11" s="314" t="s">
        <v>203</v>
      </c>
      <c r="QTX11" s="314" t="s">
        <v>203</v>
      </c>
      <c r="QTY11" s="314" t="s">
        <v>203</v>
      </c>
      <c r="QTZ11" s="314" t="s">
        <v>203</v>
      </c>
      <c r="QUA11" s="314" t="s">
        <v>203</v>
      </c>
      <c r="QUB11" s="314" t="s">
        <v>203</v>
      </c>
      <c r="QUC11" s="314" t="s">
        <v>203</v>
      </c>
      <c r="QUD11" s="314" t="s">
        <v>203</v>
      </c>
      <c r="QUE11" s="314" t="s">
        <v>203</v>
      </c>
      <c r="QUF11" s="314" t="s">
        <v>203</v>
      </c>
      <c r="QUG11" s="314" t="s">
        <v>203</v>
      </c>
      <c r="QUH11" s="314" t="s">
        <v>203</v>
      </c>
      <c r="QUI11" s="314" t="s">
        <v>203</v>
      </c>
      <c r="QUJ11" s="314" t="s">
        <v>203</v>
      </c>
      <c r="QUK11" s="314" t="s">
        <v>203</v>
      </c>
      <c r="QUL11" s="314" t="s">
        <v>203</v>
      </c>
      <c r="QUM11" s="314" t="s">
        <v>203</v>
      </c>
      <c r="QUN11" s="314" t="s">
        <v>203</v>
      </c>
      <c r="QUO11" s="314" t="s">
        <v>203</v>
      </c>
      <c r="QUP11" s="314" t="s">
        <v>203</v>
      </c>
      <c r="QUQ11" s="314" t="s">
        <v>203</v>
      </c>
      <c r="QUR11" s="314" t="s">
        <v>203</v>
      </c>
      <c r="QUS11" s="314" t="s">
        <v>203</v>
      </c>
      <c r="QUT11" s="314" t="s">
        <v>203</v>
      </c>
      <c r="QUU11" s="314" t="s">
        <v>203</v>
      </c>
      <c r="QUV11" s="314" t="s">
        <v>203</v>
      </c>
      <c r="QUW11" s="314" t="s">
        <v>203</v>
      </c>
      <c r="QUX11" s="314" t="s">
        <v>203</v>
      </c>
      <c r="QUY11" s="314" t="s">
        <v>203</v>
      </c>
      <c r="QUZ11" s="314" t="s">
        <v>203</v>
      </c>
      <c r="QVA11" s="314" t="s">
        <v>203</v>
      </c>
      <c r="QVB11" s="314" t="s">
        <v>203</v>
      </c>
      <c r="QVC11" s="314" t="s">
        <v>203</v>
      </c>
      <c r="QVD11" s="314" t="s">
        <v>203</v>
      </c>
      <c r="QVE11" s="314" t="s">
        <v>203</v>
      </c>
      <c r="QVF11" s="314" t="s">
        <v>203</v>
      </c>
      <c r="QVG11" s="314" t="s">
        <v>203</v>
      </c>
      <c r="QVH11" s="314" t="s">
        <v>203</v>
      </c>
      <c r="QVI11" s="314" t="s">
        <v>203</v>
      </c>
      <c r="QVJ11" s="314" t="s">
        <v>203</v>
      </c>
      <c r="QVK11" s="314" t="s">
        <v>203</v>
      </c>
      <c r="QVL11" s="314" t="s">
        <v>203</v>
      </c>
      <c r="QVM11" s="314" t="s">
        <v>203</v>
      </c>
      <c r="QVN11" s="314" t="s">
        <v>203</v>
      </c>
      <c r="QVO11" s="314" t="s">
        <v>203</v>
      </c>
      <c r="QVP11" s="314" t="s">
        <v>203</v>
      </c>
      <c r="QVQ11" s="314" t="s">
        <v>203</v>
      </c>
      <c r="QVR11" s="314" t="s">
        <v>203</v>
      </c>
      <c r="QVS11" s="314" t="s">
        <v>203</v>
      </c>
      <c r="QVT11" s="314" t="s">
        <v>203</v>
      </c>
      <c r="QVU11" s="314" t="s">
        <v>203</v>
      </c>
      <c r="QVV11" s="314" t="s">
        <v>203</v>
      </c>
      <c r="QVW11" s="314" t="s">
        <v>203</v>
      </c>
      <c r="QVX11" s="314" t="s">
        <v>203</v>
      </c>
      <c r="QVY11" s="314" t="s">
        <v>203</v>
      </c>
      <c r="QVZ11" s="314" t="s">
        <v>203</v>
      </c>
      <c r="QWA11" s="314" t="s">
        <v>203</v>
      </c>
      <c r="QWB11" s="314" t="s">
        <v>203</v>
      </c>
      <c r="QWC11" s="314" t="s">
        <v>203</v>
      </c>
      <c r="QWD11" s="314" t="s">
        <v>203</v>
      </c>
      <c r="QWE11" s="314" t="s">
        <v>203</v>
      </c>
      <c r="QWF11" s="314" t="s">
        <v>203</v>
      </c>
      <c r="QWG11" s="314" t="s">
        <v>203</v>
      </c>
      <c r="QWH11" s="314" t="s">
        <v>203</v>
      </c>
      <c r="QWI11" s="314" t="s">
        <v>203</v>
      </c>
      <c r="QWJ11" s="314" t="s">
        <v>203</v>
      </c>
      <c r="QWK11" s="314" t="s">
        <v>203</v>
      </c>
      <c r="QWL11" s="314" t="s">
        <v>203</v>
      </c>
      <c r="QWM11" s="314" t="s">
        <v>203</v>
      </c>
      <c r="QWN11" s="314" t="s">
        <v>203</v>
      </c>
      <c r="QWO11" s="314" t="s">
        <v>203</v>
      </c>
      <c r="QWP11" s="314" t="s">
        <v>203</v>
      </c>
      <c r="QWQ11" s="314" t="s">
        <v>203</v>
      </c>
      <c r="QWR11" s="314" t="s">
        <v>203</v>
      </c>
      <c r="QWS11" s="314" t="s">
        <v>203</v>
      </c>
      <c r="QWT11" s="314" t="s">
        <v>203</v>
      </c>
      <c r="QWU11" s="314" t="s">
        <v>203</v>
      </c>
      <c r="QWV11" s="314" t="s">
        <v>203</v>
      </c>
      <c r="QWW11" s="314" t="s">
        <v>203</v>
      </c>
      <c r="QWX11" s="314" t="s">
        <v>203</v>
      </c>
      <c r="QWY11" s="314" t="s">
        <v>203</v>
      </c>
      <c r="QWZ11" s="314" t="s">
        <v>203</v>
      </c>
      <c r="QXA11" s="314" t="s">
        <v>203</v>
      </c>
      <c r="QXB11" s="314" t="s">
        <v>203</v>
      </c>
      <c r="QXC11" s="314" t="s">
        <v>203</v>
      </c>
      <c r="QXD11" s="314" t="s">
        <v>203</v>
      </c>
      <c r="QXE11" s="314" t="s">
        <v>203</v>
      </c>
      <c r="QXF11" s="314" t="s">
        <v>203</v>
      </c>
      <c r="QXG11" s="314" t="s">
        <v>203</v>
      </c>
      <c r="QXH11" s="314" t="s">
        <v>203</v>
      </c>
      <c r="QXI11" s="314" t="s">
        <v>203</v>
      </c>
      <c r="QXJ11" s="314" t="s">
        <v>203</v>
      </c>
      <c r="QXK11" s="314" t="s">
        <v>203</v>
      </c>
      <c r="QXL11" s="314" t="s">
        <v>203</v>
      </c>
      <c r="QXM11" s="314" t="s">
        <v>203</v>
      </c>
      <c r="QXN11" s="314" t="s">
        <v>203</v>
      </c>
      <c r="QXO11" s="314" t="s">
        <v>203</v>
      </c>
      <c r="QXP11" s="314" t="s">
        <v>203</v>
      </c>
      <c r="QXQ11" s="314" t="s">
        <v>203</v>
      </c>
      <c r="QXR11" s="314" t="s">
        <v>203</v>
      </c>
      <c r="QXS11" s="314" t="s">
        <v>203</v>
      </c>
      <c r="QXT11" s="314" t="s">
        <v>203</v>
      </c>
      <c r="QXU11" s="314" t="s">
        <v>203</v>
      </c>
      <c r="QXV11" s="314" t="s">
        <v>203</v>
      </c>
      <c r="QXW11" s="314" t="s">
        <v>203</v>
      </c>
      <c r="QXX11" s="314" t="s">
        <v>203</v>
      </c>
      <c r="QXY11" s="314" t="s">
        <v>203</v>
      </c>
      <c r="QXZ11" s="314" t="s">
        <v>203</v>
      </c>
      <c r="QYA11" s="314" t="s">
        <v>203</v>
      </c>
      <c r="QYB11" s="314" t="s">
        <v>203</v>
      </c>
      <c r="QYC11" s="314" t="s">
        <v>203</v>
      </c>
      <c r="QYD11" s="314" t="s">
        <v>203</v>
      </c>
      <c r="QYE11" s="314" t="s">
        <v>203</v>
      </c>
      <c r="QYF11" s="314" t="s">
        <v>203</v>
      </c>
      <c r="QYG11" s="314" t="s">
        <v>203</v>
      </c>
      <c r="QYH11" s="314" t="s">
        <v>203</v>
      </c>
      <c r="QYI11" s="314" t="s">
        <v>203</v>
      </c>
      <c r="QYJ11" s="314" t="s">
        <v>203</v>
      </c>
      <c r="QYK11" s="314" t="s">
        <v>203</v>
      </c>
      <c r="QYL11" s="314" t="s">
        <v>203</v>
      </c>
      <c r="QYM11" s="314" t="s">
        <v>203</v>
      </c>
      <c r="QYN11" s="314" t="s">
        <v>203</v>
      </c>
      <c r="QYO11" s="314" t="s">
        <v>203</v>
      </c>
      <c r="QYP11" s="314" t="s">
        <v>203</v>
      </c>
      <c r="QYQ11" s="314" t="s">
        <v>203</v>
      </c>
      <c r="QYR11" s="314" t="s">
        <v>203</v>
      </c>
      <c r="QYS11" s="314" t="s">
        <v>203</v>
      </c>
      <c r="QYT11" s="314" t="s">
        <v>203</v>
      </c>
      <c r="QYU11" s="314" t="s">
        <v>203</v>
      </c>
      <c r="QYV11" s="314" t="s">
        <v>203</v>
      </c>
      <c r="QYW11" s="314" t="s">
        <v>203</v>
      </c>
      <c r="QYX11" s="314" t="s">
        <v>203</v>
      </c>
      <c r="QYY11" s="314" t="s">
        <v>203</v>
      </c>
      <c r="QYZ11" s="314" t="s">
        <v>203</v>
      </c>
      <c r="QZA11" s="314" t="s">
        <v>203</v>
      </c>
      <c r="QZB11" s="314" t="s">
        <v>203</v>
      </c>
      <c r="QZC11" s="314" t="s">
        <v>203</v>
      </c>
      <c r="QZD11" s="314" t="s">
        <v>203</v>
      </c>
      <c r="QZE11" s="314" t="s">
        <v>203</v>
      </c>
      <c r="QZF11" s="314" t="s">
        <v>203</v>
      </c>
      <c r="QZG11" s="314" t="s">
        <v>203</v>
      </c>
      <c r="QZH11" s="314" t="s">
        <v>203</v>
      </c>
      <c r="QZI11" s="314" t="s">
        <v>203</v>
      </c>
      <c r="QZJ11" s="314" t="s">
        <v>203</v>
      </c>
      <c r="QZK11" s="314" t="s">
        <v>203</v>
      </c>
      <c r="QZL11" s="314" t="s">
        <v>203</v>
      </c>
      <c r="QZM11" s="314" t="s">
        <v>203</v>
      </c>
      <c r="QZN11" s="314" t="s">
        <v>203</v>
      </c>
      <c r="QZO11" s="314" t="s">
        <v>203</v>
      </c>
      <c r="QZP11" s="314" t="s">
        <v>203</v>
      </c>
      <c r="QZQ11" s="314" t="s">
        <v>203</v>
      </c>
      <c r="QZR11" s="314" t="s">
        <v>203</v>
      </c>
      <c r="QZS11" s="314" t="s">
        <v>203</v>
      </c>
      <c r="QZT11" s="314" t="s">
        <v>203</v>
      </c>
      <c r="QZU11" s="314" t="s">
        <v>203</v>
      </c>
      <c r="QZV11" s="314" t="s">
        <v>203</v>
      </c>
      <c r="QZW11" s="314" t="s">
        <v>203</v>
      </c>
      <c r="QZX11" s="314" t="s">
        <v>203</v>
      </c>
      <c r="QZY11" s="314" t="s">
        <v>203</v>
      </c>
      <c r="QZZ11" s="314" t="s">
        <v>203</v>
      </c>
      <c r="RAA11" s="314" t="s">
        <v>203</v>
      </c>
      <c r="RAB11" s="314" t="s">
        <v>203</v>
      </c>
      <c r="RAC11" s="314" t="s">
        <v>203</v>
      </c>
      <c r="RAD11" s="314" t="s">
        <v>203</v>
      </c>
      <c r="RAE11" s="314" t="s">
        <v>203</v>
      </c>
      <c r="RAF11" s="314" t="s">
        <v>203</v>
      </c>
      <c r="RAG11" s="314" t="s">
        <v>203</v>
      </c>
      <c r="RAH11" s="314" t="s">
        <v>203</v>
      </c>
      <c r="RAI11" s="314" t="s">
        <v>203</v>
      </c>
      <c r="RAJ11" s="314" t="s">
        <v>203</v>
      </c>
      <c r="RAK11" s="314" t="s">
        <v>203</v>
      </c>
      <c r="RAL11" s="314" t="s">
        <v>203</v>
      </c>
      <c r="RAM11" s="314" t="s">
        <v>203</v>
      </c>
      <c r="RAN11" s="314" t="s">
        <v>203</v>
      </c>
      <c r="RAO11" s="314" t="s">
        <v>203</v>
      </c>
      <c r="RAP11" s="314" t="s">
        <v>203</v>
      </c>
      <c r="RAQ11" s="314" t="s">
        <v>203</v>
      </c>
      <c r="RAR11" s="314" t="s">
        <v>203</v>
      </c>
      <c r="RAS11" s="314" t="s">
        <v>203</v>
      </c>
      <c r="RAT11" s="314" t="s">
        <v>203</v>
      </c>
      <c r="RAU11" s="314" t="s">
        <v>203</v>
      </c>
      <c r="RAV11" s="314" t="s">
        <v>203</v>
      </c>
      <c r="RAW11" s="314" t="s">
        <v>203</v>
      </c>
      <c r="RAX11" s="314" t="s">
        <v>203</v>
      </c>
      <c r="RAY11" s="314" t="s">
        <v>203</v>
      </c>
      <c r="RAZ11" s="314" t="s">
        <v>203</v>
      </c>
      <c r="RBA11" s="314" t="s">
        <v>203</v>
      </c>
      <c r="RBB11" s="314" t="s">
        <v>203</v>
      </c>
      <c r="RBC11" s="314" t="s">
        <v>203</v>
      </c>
      <c r="RBD11" s="314" t="s">
        <v>203</v>
      </c>
      <c r="RBE11" s="314" t="s">
        <v>203</v>
      </c>
      <c r="RBF11" s="314" t="s">
        <v>203</v>
      </c>
      <c r="RBG11" s="314" t="s">
        <v>203</v>
      </c>
      <c r="RBH11" s="314" t="s">
        <v>203</v>
      </c>
      <c r="RBI11" s="314" t="s">
        <v>203</v>
      </c>
      <c r="RBJ11" s="314" t="s">
        <v>203</v>
      </c>
      <c r="RBK11" s="314" t="s">
        <v>203</v>
      </c>
      <c r="RBL11" s="314" t="s">
        <v>203</v>
      </c>
      <c r="RBM11" s="314" t="s">
        <v>203</v>
      </c>
      <c r="RBN11" s="314" t="s">
        <v>203</v>
      </c>
      <c r="RBO11" s="314" t="s">
        <v>203</v>
      </c>
      <c r="RBP11" s="314" t="s">
        <v>203</v>
      </c>
      <c r="RBQ11" s="314" t="s">
        <v>203</v>
      </c>
      <c r="RBR11" s="314" t="s">
        <v>203</v>
      </c>
      <c r="RBS11" s="314" t="s">
        <v>203</v>
      </c>
      <c r="RBT11" s="314" t="s">
        <v>203</v>
      </c>
      <c r="RBU11" s="314" t="s">
        <v>203</v>
      </c>
      <c r="RBV11" s="314" t="s">
        <v>203</v>
      </c>
      <c r="RBW11" s="314" t="s">
        <v>203</v>
      </c>
      <c r="RBX11" s="314" t="s">
        <v>203</v>
      </c>
      <c r="RBY11" s="314" t="s">
        <v>203</v>
      </c>
      <c r="RBZ11" s="314" t="s">
        <v>203</v>
      </c>
      <c r="RCA11" s="314" t="s">
        <v>203</v>
      </c>
      <c r="RCB11" s="314" t="s">
        <v>203</v>
      </c>
      <c r="RCC11" s="314" t="s">
        <v>203</v>
      </c>
      <c r="RCD11" s="314" t="s">
        <v>203</v>
      </c>
      <c r="RCE11" s="314" t="s">
        <v>203</v>
      </c>
      <c r="RCF11" s="314" t="s">
        <v>203</v>
      </c>
      <c r="RCG11" s="314" t="s">
        <v>203</v>
      </c>
      <c r="RCH11" s="314" t="s">
        <v>203</v>
      </c>
      <c r="RCI11" s="314" t="s">
        <v>203</v>
      </c>
      <c r="RCJ11" s="314" t="s">
        <v>203</v>
      </c>
      <c r="RCK11" s="314" t="s">
        <v>203</v>
      </c>
      <c r="RCL11" s="314" t="s">
        <v>203</v>
      </c>
      <c r="RCM11" s="314" t="s">
        <v>203</v>
      </c>
      <c r="RCN11" s="314" t="s">
        <v>203</v>
      </c>
      <c r="RCO11" s="314" t="s">
        <v>203</v>
      </c>
      <c r="RCP11" s="314" t="s">
        <v>203</v>
      </c>
      <c r="RCQ11" s="314" t="s">
        <v>203</v>
      </c>
      <c r="RCR11" s="314" t="s">
        <v>203</v>
      </c>
      <c r="RCS11" s="314" t="s">
        <v>203</v>
      </c>
      <c r="RCT11" s="314" t="s">
        <v>203</v>
      </c>
      <c r="RCU11" s="314" t="s">
        <v>203</v>
      </c>
      <c r="RCV11" s="314" t="s">
        <v>203</v>
      </c>
      <c r="RCW11" s="314" t="s">
        <v>203</v>
      </c>
      <c r="RCX11" s="314" t="s">
        <v>203</v>
      </c>
      <c r="RCY11" s="314" t="s">
        <v>203</v>
      </c>
      <c r="RCZ11" s="314" t="s">
        <v>203</v>
      </c>
      <c r="RDA11" s="314" t="s">
        <v>203</v>
      </c>
      <c r="RDB11" s="314" t="s">
        <v>203</v>
      </c>
      <c r="RDC11" s="314" t="s">
        <v>203</v>
      </c>
      <c r="RDD11" s="314" t="s">
        <v>203</v>
      </c>
      <c r="RDE11" s="314" t="s">
        <v>203</v>
      </c>
      <c r="RDF11" s="314" t="s">
        <v>203</v>
      </c>
      <c r="RDG11" s="314" t="s">
        <v>203</v>
      </c>
      <c r="RDH11" s="314" t="s">
        <v>203</v>
      </c>
      <c r="RDI11" s="314" t="s">
        <v>203</v>
      </c>
      <c r="RDJ11" s="314" t="s">
        <v>203</v>
      </c>
      <c r="RDK11" s="314" t="s">
        <v>203</v>
      </c>
      <c r="RDL11" s="314" t="s">
        <v>203</v>
      </c>
      <c r="RDM11" s="314" t="s">
        <v>203</v>
      </c>
      <c r="RDN11" s="314" t="s">
        <v>203</v>
      </c>
      <c r="RDO11" s="314" t="s">
        <v>203</v>
      </c>
      <c r="RDP11" s="314" t="s">
        <v>203</v>
      </c>
      <c r="RDQ11" s="314" t="s">
        <v>203</v>
      </c>
      <c r="RDR11" s="314" t="s">
        <v>203</v>
      </c>
      <c r="RDS11" s="314" t="s">
        <v>203</v>
      </c>
      <c r="RDT11" s="314" t="s">
        <v>203</v>
      </c>
      <c r="RDU11" s="314" t="s">
        <v>203</v>
      </c>
      <c r="RDV11" s="314" t="s">
        <v>203</v>
      </c>
      <c r="RDW11" s="314" t="s">
        <v>203</v>
      </c>
      <c r="RDX11" s="314" t="s">
        <v>203</v>
      </c>
      <c r="RDY11" s="314" t="s">
        <v>203</v>
      </c>
      <c r="RDZ11" s="314" t="s">
        <v>203</v>
      </c>
      <c r="REA11" s="314" t="s">
        <v>203</v>
      </c>
      <c r="REB11" s="314" t="s">
        <v>203</v>
      </c>
      <c r="REC11" s="314" t="s">
        <v>203</v>
      </c>
      <c r="RED11" s="314" t="s">
        <v>203</v>
      </c>
      <c r="REE11" s="314" t="s">
        <v>203</v>
      </c>
      <c r="REF11" s="314" t="s">
        <v>203</v>
      </c>
      <c r="REG11" s="314" t="s">
        <v>203</v>
      </c>
      <c r="REH11" s="314" t="s">
        <v>203</v>
      </c>
      <c r="REI11" s="314" t="s">
        <v>203</v>
      </c>
      <c r="REJ11" s="314" t="s">
        <v>203</v>
      </c>
      <c r="REK11" s="314" t="s">
        <v>203</v>
      </c>
      <c r="REL11" s="314" t="s">
        <v>203</v>
      </c>
      <c r="REM11" s="314" t="s">
        <v>203</v>
      </c>
      <c r="REN11" s="314" t="s">
        <v>203</v>
      </c>
      <c r="REO11" s="314" t="s">
        <v>203</v>
      </c>
      <c r="REP11" s="314" t="s">
        <v>203</v>
      </c>
      <c r="REQ11" s="314" t="s">
        <v>203</v>
      </c>
      <c r="RER11" s="314" t="s">
        <v>203</v>
      </c>
      <c r="RES11" s="314" t="s">
        <v>203</v>
      </c>
      <c r="RET11" s="314" t="s">
        <v>203</v>
      </c>
      <c r="REU11" s="314" t="s">
        <v>203</v>
      </c>
      <c r="REV11" s="314" t="s">
        <v>203</v>
      </c>
      <c r="REW11" s="314" t="s">
        <v>203</v>
      </c>
      <c r="REX11" s="314" t="s">
        <v>203</v>
      </c>
      <c r="REY11" s="314" t="s">
        <v>203</v>
      </c>
      <c r="REZ11" s="314" t="s">
        <v>203</v>
      </c>
      <c r="RFA11" s="314" t="s">
        <v>203</v>
      </c>
      <c r="RFB11" s="314" t="s">
        <v>203</v>
      </c>
      <c r="RFC11" s="314" t="s">
        <v>203</v>
      </c>
      <c r="RFD11" s="314" t="s">
        <v>203</v>
      </c>
      <c r="RFE11" s="314" t="s">
        <v>203</v>
      </c>
      <c r="RFF11" s="314" t="s">
        <v>203</v>
      </c>
      <c r="RFG11" s="314" t="s">
        <v>203</v>
      </c>
      <c r="RFH11" s="314" t="s">
        <v>203</v>
      </c>
      <c r="RFI11" s="314" t="s">
        <v>203</v>
      </c>
      <c r="RFJ11" s="314" t="s">
        <v>203</v>
      </c>
      <c r="RFK11" s="314" t="s">
        <v>203</v>
      </c>
      <c r="RFL11" s="314" t="s">
        <v>203</v>
      </c>
      <c r="RFM11" s="314" t="s">
        <v>203</v>
      </c>
      <c r="RFN11" s="314" t="s">
        <v>203</v>
      </c>
      <c r="RFO11" s="314" t="s">
        <v>203</v>
      </c>
      <c r="RFP11" s="314" t="s">
        <v>203</v>
      </c>
      <c r="RFQ11" s="314" t="s">
        <v>203</v>
      </c>
      <c r="RFR11" s="314" t="s">
        <v>203</v>
      </c>
      <c r="RFS11" s="314" t="s">
        <v>203</v>
      </c>
      <c r="RFT11" s="314" t="s">
        <v>203</v>
      </c>
      <c r="RFU11" s="314" t="s">
        <v>203</v>
      </c>
      <c r="RFV11" s="314" t="s">
        <v>203</v>
      </c>
      <c r="RFW11" s="314" t="s">
        <v>203</v>
      </c>
      <c r="RFX11" s="314" t="s">
        <v>203</v>
      </c>
      <c r="RFY11" s="314" t="s">
        <v>203</v>
      </c>
      <c r="RFZ11" s="314" t="s">
        <v>203</v>
      </c>
      <c r="RGA11" s="314" t="s">
        <v>203</v>
      </c>
      <c r="RGB11" s="314" t="s">
        <v>203</v>
      </c>
      <c r="RGC11" s="314" t="s">
        <v>203</v>
      </c>
      <c r="RGD11" s="314" t="s">
        <v>203</v>
      </c>
      <c r="RGE11" s="314" t="s">
        <v>203</v>
      </c>
      <c r="RGF11" s="314" t="s">
        <v>203</v>
      </c>
      <c r="RGG11" s="314" t="s">
        <v>203</v>
      </c>
      <c r="RGH11" s="314" t="s">
        <v>203</v>
      </c>
      <c r="RGI11" s="314" t="s">
        <v>203</v>
      </c>
      <c r="RGJ11" s="314" t="s">
        <v>203</v>
      </c>
      <c r="RGK11" s="314" t="s">
        <v>203</v>
      </c>
      <c r="RGL11" s="314" t="s">
        <v>203</v>
      </c>
      <c r="RGM11" s="314" t="s">
        <v>203</v>
      </c>
      <c r="RGN11" s="314" t="s">
        <v>203</v>
      </c>
      <c r="RGO11" s="314" t="s">
        <v>203</v>
      </c>
      <c r="RGP11" s="314" t="s">
        <v>203</v>
      </c>
      <c r="RGQ11" s="314" t="s">
        <v>203</v>
      </c>
      <c r="RGR11" s="314" t="s">
        <v>203</v>
      </c>
      <c r="RGS11" s="314" t="s">
        <v>203</v>
      </c>
      <c r="RGT11" s="314" t="s">
        <v>203</v>
      </c>
      <c r="RGU11" s="314" t="s">
        <v>203</v>
      </c>
      <c r="RGV11" s="314" t="s">
        <v>203</v>
      </c>
      <c r="RGW11" s="314" t="s">
        <v>203</v>
      </c>
      <c r="RGX11" s="314" t="s">
        <v>203</v>
      </c>
      <c r="RGY11" s="314" t="s">
        <v>203</v>
      </c>
      <c r="RGZ11" s="314" t="s">
        <v>203</v>
      </c>
      <c r="RHA11" s="314" t="s">
        <v>203</v>
      </c>
      <c r="RHB11" s="314" t="s">
        <v>203</v>
      </c>
      <c r="RHC11" s="314" t="s">
        <v>203</v>
      </c>
      <c r="RHD11" s="314" t="s">
        <v>203</v>
      </c>
      <c r="RHE11" s="314" t="s">
        <v>203</v>
      </c>
      <c r="RHF11" s="314" t="s">
        <v>203</v>
      </c>
      <c r="RHG11" s="314" t="s">
        <v>203</v>
      </c>
      <c r="RHH11" s="314" t="s">
        <v>203</v>
      </c>
      <c r="RHI11" s="314" t="s">
        <v>203</v>
      </c>
      <c r="RHJ11" s="314" t="s">
        <v>203</v>
      </c>
      <c r="RHK11" s="314" t="s">
        <v>203</v>
      </c>
      <c r="RHL11" s="314" t="s">
        <v>203</v>
      </c>
      <c r="RHM11" s="314" t="s">
        <v>203</v>
      </c>
      <c r="RHN11" s="314" t="s">
        <v>203</v>
      </c>
      <c r="RHO11" s="314" t="s">
        <v>203</v>
      </c>
      <c r="RHP11" s="314" t="s">
        <v>203</v>
      </c>
      <c r="RHQ11" s="314" t="s">
        <v>203</v>
      </c>
      <c r="RHR11" s="314" t="s">
        <v>203</v>
      </c>
      <c r="RHS11" s="314" t="s">
        <v>203</v>
      </c>
      <c r="RHT11" s="314" t="s">
        <v>203</v>
      </c>
      <c r="RHU11" s="314" t="s">
        <v>203</v>
      </c>
      <c r="RHV11" s="314" t="s">
        <v>203</v>
      </c>
      <c r="RHW11" s="314" t="s">
        <v>203</v>
      </c>
      <c r="RHX11" s="314" t="s">
        <v>203</v>
      </c>
      <c r="RHY11" s="314" t="s">
        <v>203</v>
      </c>
      <c r="RHZ11" s="314" t="s">
        <v>203</v>
      </c>
      <c r="RIA11" s="314" t="s">
        <v>203</v>
      </c>
      <c r="RIB11" s="314" t="s">
        <v>203</v>
      </c>
      <c r="RIC11" s="314" t="s">
        <v>203</v>
      </c>
      <c r="RID11" s="314" t="s">
        <v>203</v>
      </c>
      <c r="RIE11" s="314" t="s">
        <v>203</v>
      </c>
      <c r="RIF11" s="314" t="s">
        <v>203</v>
      </c>
      <c r="RIG11" s="314" t="s">
        <v>203</v>
      </c>
      <c r="RIH11" s="314" t="s">
        <v>203</v>
      </c>
      <c r="RII11" s="314" t="s">
        <v>203</v>
      </c>
      <c r="RIJ11" s="314" t="s">
        <v>203</v>
      </c>
      <c r="RIK11" s="314" t="s">
        <v>203</v>
      </c>
      <c r="RIL11" s="314" t="s">
        <v>203</v>
      </c>
      <c r="RIM11" s="314" t="s">
        <v>203</v>
      </c>
      <c r="RIN11" s="314" t="s">
        <v>203</v>
      </c>
      <c r="RIO11" s="314" t="s">
        <v>203</v>
      </c>
      <c r="RIP11" s="314" t="s">
        <v>203</v>
      </c>
      <c r="RIQ11" s="314" t="s">
        <v>203</v>
      </c>
      <c r="RIR11" s="314" t="s">
        <v>203</v>
      </c>
      <c r="RIS11" s="314" t="s">
        <v>203</v>
      </c>
      <c r="RIT11" s="314" t="s">
        <v>203</v>
      </c>
      <c r="RIU11" s="314" t="s">
        <v>203</v>
      </c>
      <c r="RIV11" s="314" t="s">
        <v>203</v>
      </c>
      <c r="RIW11" s="314" t="s">
        <v>203</v>
      </c>
      <c r="RIX11" s="314" t="s">
        <v>203</v>
      </c>
      <c r="RIY11" s="314" t="s">
        <v>203</v>
      </c>
      <c r="RIZ11" s="314" t="s">
        <v>203</v>
      </c>
      <c r="RJA11" s="314" t="s">
        <v>203</v>
      </c>
      <c r="RJB11" s="314" t="s">
        <v>203</v>
      </c>
      <c r="RJC11" s="314" t="s">
        <v>203</v>
      </c>
      <c r="RJD11" s="314" t="s">
        <v>203</v>
      </c>
      <c r="RJE11" s="314" t="s">
        <v>203</v>
      </c>
      <c r="RJF11" s="314" t="s">
        <v>203</v>
      </c>
      <c r="RJG11" s="314" t="s">
        <v>203</v>
      </c>
      <c r="RJH11" s="314" t="s">
        <v>203</v>
      </c>
      <c r="RJI11" s="314" t="s">
        <v>203</v>
      </c>
      <c r="RJJ11" s="314" t="s">
        <v>203</v>
      </c>
      <c r="RJK11" s="314" t="s">
        <v>203</v>
      </c>
      <c r="RJL11" s="314" t="s">
        <v>203</v>
      </c>
      <c r="RJM11" s="314" t="s">
        <v>203</v>
      </c>
      <c r="RJN11" s="314" t="s">
        <v>203</v>
      </c>
      <c r="RJO11" s="314" t="s">
        <v>203</v>
      </c>
      <c r="RJP11" s="314" t="s">
        <v>203</v>
      </c>
      <c r="RJQ11" s="314" t="s">
        <v>203</v>
      </c>
      <c r="RJR11" s="314" t="s">
        <v>203</v>
      </c>
      <c r="RJS11" s="314" t="s">
        <v>203</v>
      </c>
      <c r="RJT11" s="314" t="s">
        <v>203</v>
      </c>
      <c r="RJU11" s="314" t="s">
        <v>203</v>
      </c>
      <c r="RJV11" s="314" t="s">
        <v>203</v>
      </c>
      <c r="RJW11" s="314" t="s">
        <v>203</v>
      </c>
      <c r="RJX11" s="314" t="s">
        <v>203</v>
      </c>
      <c r="RJY11" s="314" t="s">
        <v>203</v>
      </c>
      <c r="RJZ11" s="314" t="s">
        <v>203</v>
      </c>
      <c r="RKA11" s="314" t="s">
        <v>203</v>
      </c>
      <c r="RKB11" s="314" t="s">
        <v>203</v>
      </c>
      <c r="RKC11" s="314" t="s">
        <v>203</v>
      </c>
      <c r="RKD11" s="314" t="s">
        <v>203</v>
      </c>
      <c r="RKE11" s="314" t="s">
        <v>203</v>
      </c>
      <c r="RKF11" s="314" t="s">
        <v>203</v>
      </c>
      <c r="RKG11" s="314" t="s">
        <v>203</v>
      </c>
      <c r="RKH11" s="314" t="s">
        <v>203</v>
      </c>
      <c r="RKI11" s="314" t="s">
        <v>203</v>
      </c>
      <c r="RKJ11" s="314" t="s">
        <v>203</v>
      </c>
      <c r="RKK11" s="314" t="s">
        <v>203</v>
      </c>
      <c r="RKL11" s="314" t="s">
        <v>203</v>
      </c>
      <c r="RKM11" s="314" t="s">
        <v>203</v>
      </c>
      <c r="RKN11" s="314" t="s">
        <v>203</v>
      </c>
      <c r="RKO11" s="314" t="s">
        <v>203</v>
      </c>
      <c r="RKP11" s="314" t="s">
        <v>203</v>
      </c>
      <c r="RKQ11" s="314" t="s">
        <v>203</v>
      </c>
      <c r="RKR11" s="314" t="s">
        <v>203</v>
      </c>
      <c r="RKS11" s="314" t="s">
        <v>203</v>
      </c>
      <c r="RKT11" s="314" t="s">
        <v>203</v>
      </c>
      <c r="RKU11" s="314" t="s">
        <v>203</v>
      </c>
      <c r="RKV11" s="314" t="s">
        <v>203</v>
      </c>
      <c r="RKW11" s="314" t="s">
        <v>203</v>
      </c>
      <c r="RKX11" s="314" t="s">
        <v>203</v>
      </c>
      <c r="RKY11" s="314" t="s">
        <v>203</v>
      </c>
      <c r="RKZ11" s="314" t="s">
        <v>203</v>
      </c>
      <c r="RLA11" s="314" t="s">
        <v>203</v>
      </c>
      <c r="RLB11" s="314" t="s">
        <v>203</v>
      </c>
      <c r="RLC11" s="314" t="s">
        <v>203</v>
      </c>
      <c r="RLD11" s="314" t="s">
        <v>203</v>
      </c>
      <c r="RLE11" s="314" t="s">
        <v>203</v>
      </c>
      <c r="RLF11" s="314" t="s">
        <v>203</v>
      </c>
      <c r="RLG11" s="314" t="s">
        <v>203</v>
      </c>
      <c r="RLH11" s="314" t="s">
        <v>203</v>
      </c>
      <c r="RLI11" s="314" t="s">
        <v>203</v>
      </c>
      <c r="RLJ11" s="314" t="s">
        <v>203</v>
      </c>
      <c r="RLK11" s="314" t="s">
        <v>203</v>
      </c>
      <c r="RLL11" s="314" t="s">
        <v>203</v>
      </c>
      <c r="RLM11" s="314" t="s">
        <v>203</v>
      </c>
      <c r="RLN11" s="314" t="s">
        <v>203</v>
      </c>
      <c r="RLO11" s="314" t="s">
        <v>203</v>
      </c>
      <c r="RLP11" s="314" t="s">
        <v>203</v>
      </c>
      <c r="RLQ11" s="314" t="s">
        <v>203</v>
      </c>
      <c r="RLR11" s="314" t="s">
        <v>203</v>
      </c>
      <c r="RLS11" s="314" t="s">
        <v>203</v>
      </c>
      <c r="RLT11" s="314" t="s">
        <v>203</v>
      </c>
      <c r="RLU11" s="314" t="s">
        <v>203</v>
      </c>
      <c r="RLV11" s="314" t="s">
        <v>203</v>
      </c>
      <c r="RLW11" s="314" t="s">
        <v>203</v>
      </c>
      <c r="RLX11" s="314" t="s">
        <v>203</v>
      </c>
      <c r="RLY11" s="314" t="s">
        <v>203</v>
      </c>
      <c r="RLZ11" s="314" t="s">
        <v>203</v>
      </c>
      <c r="RMA11" s="314" t="s">
        <v>203</v>
      </c>
      <c r="RMB11" s="314" t="s">
        <v>203</v>
      </c>
      <c r="RMC11" s="314" t="s">
        <v>203</v>
      </c>
      <c r="RMD11" s="314" t="s">
        <v>203</v>
      </c>
      <c r="RME11" s="314" t="s">
        <v>203</v>
      </c>
      <c r="RMF11" s="314" t="s">
        <v>203</v>
      </c>
      <c r="RMG11" s="314" t="s">
        <v>203</v>
      </c>
      <c r="RMH11" s="314" t="s">
        <v>203</v>
      </c>
      <c r="RMI11" s="314" t="s">
        <v>203</v>
      </c>
      <c r="RMJ11" s="314" t="s">
        <v>203</v>
      </c>
      <c r="RMK11" s="314" t="s">
        <v>203</v>
      </c>
      <c r="RML11" s="314" t="s">
        <v>203</v>
      </c>
      <c r="RMM11" s="314" t="s">
        <v>203</v>
      </c>
      <c r="RMN11" s="314" t="s">
        <v>203</v>
      </c>
      <c r="RMO11" s="314" t="s">
        <v>203</v>
      </c>
      <c r="RMP11" s="314" t="s">
        <v>203</v>
      </c>
      <c r="RMQ11" s="314" t="s">
        <v>203</v>
      </c>
      <c r="RMR11" s="314" t="s">
        <v>203</v>
      </c>
      <c r="RMS11" s="314" t="s">
        <v>203</v>
      </c>
      <c r="RMT11" s="314" t="s">
        <v>203</v>
      </c>
      <c r="RMU11" s="314" t="s">
        <v>203</v>
      </c>
      <c r="RMV11" s="314" t="s">
        <v>203</v>
      </c>
      <c r="RMW11" s="314" t="s">
        <v>203</v>
      </c>
      <c r="RMX11" s="314" t="s">
        <v>203</v>
      </c>
      <c r="RMY11" s="314" t="s">
        <v>203</v>
      </c>
      <c r="RMZ11" s="314" t="s">
        <v>203</v>
      </c>
      <c r="RNA11" s="314" t="s">
        <v>203</v>
      </c>
      <c r="RNB11" s="314" t="s">
        <v>203</v>
      </c>
      <c r="RNC11" s="314" t="s">
        <v>203</v>
      </c>
      <c r="RND11" s="314" t="s">
        <v>203</v>
      </c>
      <c r="RNE11" s="314" t="s">
        <v>203</v>
      </c>
      <c r="RNF11" s="314" t="s">
        <v>203</v>
      </c>
      <c r="RNG11" s="314" t="s">
        <v>203</v>
      </c>
      <c r="RNH11" s="314" t="s">
        <v>203</v>
      </c>
      <c r="RNI11" s="314" t="s">
        <v>203</v>
      </c>
      <c r="RNJ11" s="314" t="s">
        <v>203</v>
      </c>
      <c r="RNK11" s="314" t="s">
        <v>203</v>
      </c>
      <c r="RNL11" s="314" t="s">
        <v>203</v>
      </c>
      <c r="RNM11" s="314" t="s">
        <v>203</v>
      </c>
      <c r="RNN11" s="314" t="s">
        <v>203</v>
      </c>
      <c r="RNO11" s="314" t="s">
        <v>203</v>
      </c>
      <c r="RNP11" s="314" t="s">
        <v>203</v>
      </c>
      <c r="RNQ11" s="314" t="s">
        <v>203</v>
      </c>
      <c r="RNR11" s="314" t="s">
        <v>203</v>
      </c>
      <c r="RNS11" s="314" t="s">
        <v>203</v>
      </c>
      <c r="RNT11" s="314" t="s">
        <v>203</v>
      </c>
      <c r="RNU11" s="314" t="s">
        <v>203</v>
      </c>
      <c r="RNV11" s="314" t="s">
        <v>203</v>
      </c>
      <c r="RNW11" s="314" t="s">
        <v>203</v>
      </c>
      <c r="RNX11" s="314" t="s">
        <v>203</v>
      </c>
      <c r="RNY11" s="314" t="s">
        <v>203</v>
      </c>
      <c r="RNZ11" s="314" t="s">
        <v>203</v>
      </c>
      <c r="ROA11" s="314" t="s">
        <v>203</v>
      </c>
      <c r="ROB11" s="314" t="s">
        <v>203</v>
      </c>
      <c r="ROC11" s="314" t="s">
        <v>203</v>
      </c>
      <c r="ROD11" s="314" t="s">
        <v>203</v>
      </c>
      <c r="ROE11" s="314" t="s">
        <v>203</v>
      </c>
      <c r="ROF11" s="314" t="s">
        <v>203</v>
      </c>
      <c r="ROG11" s="314" t="s">
        <v>203</v>
      </c>
      <c r="ROH11" s="314" t="s">
        <v>203</v>
      </c>
      <c r="ROI11" s="314" t="s">
        <v>203</v>
      </c>
      <c r="ROJ11" s="314" t="s">
        <v>203</v>
      </c>
      <c r="ROK11" s="314" t="s">
        <v>203</v>
      </c>
      <c r="ROL11" s="314" t="s">
        <v>203</v>
      </c>
      <c r="ROM11" s="314" t="s">
        <v>203</v>
      </c>
      <c r="RON11" s="314" t="s">
        <v>203</v>
      </c>
      <c r="ROO11" s="314" t="s">
        <v>203</v>
      </c>
      <c r="ROP11" s="314" t="s">
        <v>203</v>
      </c>
      <c r="ROQ11" s="314" t="s">
        <v>203</v>
      </c>
      <c r="ROR11" s="314" t="s">
        <v>203</v>
      </c>
      <c r="ROS11" s="314" t="s">
        <v>203</v>
      </c>
      <c r="ROT11" s="314" t="s">
        <v>203</v>
      </c>
      <c r="ROU11" s="314" t="s">
        <v>203</v>
      </c>
      <c r="ROV11" s="314" t="s">
        <v>203</v>
      </c>
      <c r="ROW11" s="314" t="s">
        <v>203</v>
      </c>
      <c r="ROX11" s="314" t="s">
        <v>203</v>
      </c>
      <c r="ROY11" s="314" t="s">
        <v>203</v>
      </c>
      <c r="ROZ11" s="314" t="s">
        <v>203</v>
      </c>
      <c r="RPA11" s="314" t="s">
        <v>203</v>
      </c>
      <c r="RPB11" s="314" t="s">
        <v>203</v>
      </c>
      <c r="RPC11" s="314" t="s">
        <v>203</v>
      </c>
      <c r="RPD11" s="314" t="s">
        <v>203</v>
      </c>
      <c r="RPE11" s="314" t="s">
        <v>203</v>
      </c>
      <c r="RPF11" s="314" t="s">
        <v>203</v>
      </c>
      <c r="RPG11" s="314" t="s">
        <v>203</v>
      </c>
      <c r="RPH11" s="314" t="s">
        <v>203</v>
      </c>
      <c r="RPI11" s="314" t="s">
        <v>203</v>
      </c>
      <c r="RPJ11" s="314" t="s">
        <v>203</v>
      </c>
      <c r="RPK11" s="314" t="s">
        <v>203</v>
      </c>
      <c r="RPL11" s="314" t="s">
        <v>203</v>
      </c>
      <c r="RPM11" s="314" t="s">
        <v>203</v>
      </c>
      <c r="RPN11" s="314" t="s">
        <v>203</v>
      </c>
      <c r="RPO11" s="314" t="s">
        <v>203</v>
      </c>
      <c r="RPP11" s="314" t="s">
        <v>203</v>
      </c>
      <c r="RPQ11" s="314" t="s">
        <v>203</v>
      </c>
      <c r="RPR11" s="314" t="s">
        <v>203</v>
      </c>
      <c r="RPS11" s="314" t="s">
        <v>203</v>
      </c>
      <c r="RPT11" s="314" t="s">
        <v>203</v>
      </c>
      <c r="RPU11" s="314" t="s">
        <v>203</v>
      </c>
      <c r="RPV11" s="314" t="s">
        <v>203</v>
      </c>
      <c r="RPW11" s="314" t="s">
        <v>203</v>
      </c>
      <c r="RPX11" s="314" t="s">
        <v>203</v>
      </c>
      <c r="RPY11" s="314" t="s">
        <v>203</v>
      </c>
      <c r="RPZ11" s="314" t="s">
        <v>203</v>
      </c>
      <c r="RQA11" s="314" t="s">
        <v>203</v>
      </c>
      <c r="RQB11" s="314" t="s">
        <v>203</v>
      </c>
      <c r="RQC11" s="314" t="s">
        <v>203</v>
      </c>
      <c r="RQD11" s="314" t="s">
        <v>203</v>
      </c>
      <c r="RQE11" s="314" t="s">
        <v>203</v>
      </c>
      <c r="RQF11" s="314" t="s">
        <v>203</v>
      </c>
      <c r="RQG11" s="314" t="s">
        <v>203</v>
      </c>
      <c r="RQH11" s="314" t="s">
        <v>203</v>
      </c>
      <c r="RQI11" s="314" t="s">
        <v>203</v>
      </c>
      <c r="RQJ11" s="314" t="s">
        <v>203</v>
      </c>
      <c r="RQK11" s="314" t="s">
        <v>203</v>
      </c>
      <c r="RQL11" s="314" t="s">
        <v>203</v>
      </c>
      <c r="RQM11" s="314" t="s">
        <v>203</v>
      </c>
      <c r="RQN11" s="314" t="s">
        <v>203</v>
      </c>
      <c r="RQO11" s="314" t="s">
        <v>203</v>
      </c>
      <c r="RQP11" s="314" t="s">
        <v>203</v>
      </c>
      <c r="RQQ11" s="314" t="s">
        <v>203</v>
      </c>
      <c r="RQR11" s="314" t="s">
        <v>203</v>
      </c>
      <c r="RQS11" s="314" t="s">
        <v>203</v>
      </c>
      <c r="RQT11" s="314" t="s">
        <v>203</v>
      </c>
      <c r="RQU11" s="314" t="s">
        <v>203</v>
      </c>
      <c r="RQV11" s="314" t="s">
        <v>203</v>
      </c>
      <c r="RQW11" s="314" t="s">
        <v>203</v>
      </c>
      <c r="RQX11" s="314" t="s">
        <v>203</v>
      </c>
      <c r="RQY11" s="314" t="s">
        <v>203</v>
      </c>
      <c r="RQZ11" s="314" t="s">
        <v>203</v>
      </c>
      <c r="RRA11" s="314" t="s">
        <v>203</v>
      </c>
      <c r="RRB11" s="314" t="s">
        <v>203</v>
      </c>
      <c r="RRC11" s="314" t="s">
        <v>203</v>
      </c>
      <c r="RRD11" s="314" t="s">
        <v>203</v>
      </c>
      <c r="RRE11" s="314" t="s">
        <v>203</v>
      </c>
      <c r="RRF11" s="314" t="s">
        <v>203</v>
      </c>
      <c r="RRG11" s="314" t="s">
        <v>203</v>
      </c>
      <c r="RRH11" s="314" t="s">
        <v>203</v>
      </c>
      <c r="RRI11" s="314" t="s">
        <v>203</v>
      </c>
      <c r="RRJ11" s="314" t="s">
        <v>203</v>
      </c>
      <c r="RRK11" s="314" t="s">
        <v>203</v>
      </c>
      <c r="RRL11" s="314" t="s">
        <v>203</v>
      </c>
      <c r="RRM11" s="314" t="s">
        <v>203</v>
      </c>
      <c r="RRN11" s="314" t="s">
        <v>203</v>
      </c>
      <c r="RRO11" s="314" t="s">
        <v>203</v>
      </c>
      <c r="RRP11" s="314" t="s">
        <v>203</v>
      </c>
      <c r="RRQ11" s="314" t="s">
        <v>203</v>
      </c>
      <c r="RRR11" s="314" t="s">
        <v>203</v>
      </c>
      <c r="RRS11" s="314" t="s">
        <v>203</v>
      </c>
      <c r="RRT11" s="314" t="s">
        <v>203</v>
      </c>
      <c r="RRU11" s="314" t="s">
        <v>203</v>
      </c>
      <c r="RRV11" s="314" t="s">
        <v>203</v>
      </c>
      <c r="RRW11" s="314" t="s">
        <v>203</v>
      </c>
      <c r="RRX11" s="314" t="s">
        <v>203</v>
      </c>
      <c r="RRY11" s="314" t="s">
        <v>203</v>
      </c>
      <c r="RRZ11" s="314" t="s">
        <v>203</v>
      </c>
      <c r="RSA11" s="314" t="s">
        <v>203</v>
      </c>
      <c r="RSB11" s="314" t="s">
        <v>203</v>
      </c>
      <c r="RSC11" s="314" t="s">
        <v>203</v>
      </c>
      <c r="RSD11" s="314" t="s">
        <v>203</v>
      </c>
      <c r="RSE11" s="314" t="s">
        <v>203</v>
      </c>
      <c r="RSF11" s="314" t="s">
        <v>203</v>
      </c>
      <c r="RSG11" s="314" t="s">
        <v>203</v>
      </c>
      <c r="RSH11" s="314" t="s">
        <v>203</v>
      </c>
      <c r="RSI11" s="314" t="s">
        <v>203</v>
      </c>
      <c r="RSJ11" s="314" t="s">
        <v>203</v>
      </c>
      <c r="RSK11" s="314" t="s">
        <v>203</v>
      </c>
      <c r="RSL11" s="314" t="s">
        <v>203</v>
      </c>
      <c r="RSM11" s="314" t="s">
        <v>203</v>
      </c>
      <c r="RSN11" s="314" t="s">
        <v>203</v>
      </c>
      <c r="RSO11" s="314" t="s">
        <v>203</v>
      </c>
      <c r="RSP11" s="314" t="s">
        <v>203</v>
      </c>
      <c r="RSQ11" s="314" t="s">
        <v>203</v>
      </c>
      <c r="RSR11" s="314" t="s">
        <v>203</v>
      </c>
      <c r="RSS11" s="314" t="s">
        <v>203</v>
      </c>
      <c r="RST11" s="314" t="s">
        <v>203</v>
      </c>
      <c r="RSU11" s="314" t="s">
        <v>203</v>
      </c>
      <c r="RSV11" s="314" t="s">
        <v>203</v>
      </c>
      <c r="RSW11" s="314" t="s">
        <v>203</v>
      </c>
      <c r="RSX11" s="314" t="s">
        <v>203</v>
      </c>
      <c r="RSY11" s="314" t="s">
        <v>203</v>
      </c>
      <c r="RSZ11" s="314" t="s">
        <v>203</v>
      </c>
      <c r="RTA11" s="314" t="s">
        <v>203</v>
      </c>
      <c r="RTB11" s="314" t="s">
        <v>203</v>
      </c>
      <c r="RTC11" s="314" t="s">
        <v>203</v>
      </c>
      <c r="RTD11" s="314" t="s">
        <v>203</v>
      </c>
      <c r="RTE11" s="314" t="s">
        <v>203</v>
      </c>
      <c r="RTF11" s="314" t="s">
        <v>203</v>
      </c>
      <c r="RTG11" s="314" t="s">
        <v>203</v>
      </c>
      <c r="RTH11" s="314" t="s">
        <v>203</v>
      </c>
      <c r="RTI11" s="314" t="s">
        <v>203</v>
      </c>
      <c r="RTJ11" s="314" t="s">
        <v>203</v>
      </c>
      <c r="RTK11" s="314" t="s">
        <v>203</v>
      </c>
      <c r="RTL11" s="314" t="s">
        <v>203</v>
      </c>
      <c r="RTM11" s="314" t="s">
        <v>203</v>
      </c>
      <c r="RTN11" s="314" t="s">
        <v>203</v>
      </c>
      <c r="RTO11" s="314" t="s">
        <v>203</v>
      </c>
      <c r="RTP11" s="314" t="s">
        <v>203</v>
      </c>
      <c r="RTQ11" s="314" t="s">
        <v>203</v>
      </c>
      <c r="RTR11" s="314" t="s">
        <v>203</v>
      </c>
      <c r="RTS11" s="314" t="s">
        <v>203</v>
      </c>
      <c r="RTT11" s="314" t="s">
        <v>203</v>
      </c>
      <c r="RTU11" s="314" t="s">
        <v>203</v>
      </c>
      <c r="RTV11" s="314" t="s">
        <v>203</v>
      </c>
      <c r="RTW11" s="314" t="s">
        <v>203</v>
      </c>
      <c r="RTX11" s="314" t="s">
        <v>203</v>
      </c>
      <c r="RTY11" s="314" t="s">
        <v>203</v>
      </c>
      <c r="RTZ11" s="314" t="s">
        <v>203</v>
      </c>
      <c r="RUA11" s="314" t="s">
        <v>203</v>
      </c>
      <c r="RUB11" s="314" t="s">
        <v>203</v>
      </c>
      <c r="RUC11" s="314" t="s">
        <v>203</v>
      </c>
      <c r="RUD11" s="314" t="s">
        <v>203</v>
      </c>
      <c r="RUE11" s="314" t="s">
        <v>203</v>
      </c>
      <c r="RUF11" s="314" t="s">
        <v>203</v>
      </c>
      <c r="RUG11" s="314" t="s">
        <v>203</v>
      </c>
      <c r="RUH11" s="314" t="s">
        <v>203</v>
      </c>
      <c r="RUI11" s="314" t="s">
        <v>203</v>
      </c>
      <c r="RUJ11" s="314" t="s">
        <v>203</v>
      </c>
      <c r="RUK11" s="314" t="s">
        <v>203</v>
      </c>
      <c r="RUL11" s="314" t="s">
        <v>203</v>
      </c>
      <c r="RUM11" s="314" t="s">
        <v>203</v>
      </c>
      <c r="RUN11" s="314" t="s">
        <v>203</v>
      </c>
      <c r="RUO11" s="314" t="s">
        <v>203</v>
      </c>
      <c r="RUP11" s="314" t="s">
        <v>203</v>
      </c>
      <c r="RUQ11" s="314" t="s">
        <v>203</v>
      </c>
      <c r="RUR11" s="314" t="s">
        <v>203</v>
      </c>
      <c r="RUS11" s="314" t="s">
        <v>203</v>
      </c>
      <c r="RUT11" s="314" t="s">
        <v>203</v>
      </c>
      <c r="RUU11" s="314" t="s">
        <v>203</v>
      </c>
      <c r="RUV11" s="314" t="s">
        <v>203</v>
      </c>
      <c r="RUW11" s="314" t="s">
        <v>203</v>
      </c>
      <c r="RUX11" s="314" t="s">
        <v>203</v>
      </c>
      <c r="RUY11" s="314" t="s">
        <v>203</v>
      </c>
      <c r="RUZ11" s="314" t="s">
        <v>203</v>
      </c>
      <c r="RVA11" s="314" t="s">
        <v>203</v>
      </c>
      <c r="RVB11" s="314" t="s">
        <v>203</v>
      </c>
      <c r="RVC11" s="314" t="s">
        <v>203</v>
      </c>
      <c r="RVD11" s="314" t="s">
        <v>203</v>
      </c>
      <c r="RVE11" s="314" t="s">
        <v>203</v>
      </c>
      <c r="RVF11" s="314" t="s">
        <v>203</v>
      </c>
      <c r="RVG11" s="314" t="s">
        <v>203</v>
      </c>
      <c r="RVH11" s="314" t="s">
        <v>203</v>
      </c>
      <c r="RVI11" s="314" t="s">
        <v>203</v>
      </c>
      <c r="RVJ11" s="314" t="s">
        <v>203</v>
      </c>
      <c r="RVK11" s="314" t="s">
        <v>203</v>
      </c>
      <c r="RVL11" s="314" t="s">
        <v>203</v>
      </c>
      <c r="RVM11" s="314" t="s">
        <v>203</v>
      </c>
      <c r="RVN11" s="314" t="s">
        <v>203</v>
      </c>
      <c r="RVO11" s="314" t="s">
        <v>203</v>
      </c>
      <c r="RVP11" s="314" t="s">
        <v>203</v>
      </c>
      <c r="RVQ11" s="314" t="s">
        <v>203</v>
      </c>
      <c r="RVR11" s="314" t="s">
        <v>203</v>
      </c>
      <c r="RVS11" s="314" t="s">
        <v>203</v>
      </c>
      <c r="RVT11" s="314" t="s">
        <v>203</v>
      </c>
      <c r="RVU11" s="314" t="s">
        <v>203</v>
      </c>
      <c r="RVV11" s="314" t="s">
        <v>203</v>
      </c>
      <c r="RVW11" s="314" t="s">
        <v>203</v>
      </c>
      <c r="RVX11" s="314" t="s">
        <v>203</v>
      </c>
      <c r="RVY11" s="314" t="s">
        <v>203</v>
      </c>
      <c r="RVZ11" s="314" t="s">
        <v>203</v>
      </c>
      <c r="RWA11" s="314" t="s">
        <v>203</v>
      </c>
      <c r="RWB11" s="314" t="s">
        <v>203</v>
      </c>
      <c r="RWC11" s="314" t="s">
        <v>203</v>
      </c>
      <c r="RWD11" s="314" t="s">
        <v>203</v>
      </c>
      <c r="RWE11" s="314" t="s">
        <v>203</v>
      </c>
      <c r="RWF11" s="314" t="s">
        <v>203</v>
      </c>
      <c r="RWG11" s="314" t="s">
        <v>203</v>
      </c>
      <c r="RWH11" s="314" t="s">
        <v>203</v>
      </c>
      <c r="RWI11" s="314" t="s">
        <v>203</v>
      </c>
      <c r="RWJ11" s="314" t="s">
        <v>203</v>
      </c>
      <c r="RWK11" s="314" t="s">
        <v>203</v>
      </c>
      <c r="RWL11" s="314" t="s">
        <v>203</v>
      </c>
      <c r="RWM11" s="314" t="s">
        <v>203</v>
      </c>
      <c r="RWN11" s="314" t="s">
        <v>203</v>
      </c>
      <c r="RWO11" s="314" t="s">
        <v>203</v>
      </c>
      <c r="RWP11" s="314" t="s">
        <v>203</v>
      </c>
      <c r="RWQ11" s="314" t="s">
        <v>203</v>
      </c>
      <c r="RWR11" s="314" t="s">
        <v>203</v>
      </c>
      <c r="RWS11" s="314" t="s">
        <v>203</v>
      </c>
      <c r="RWT11" s="314" t="s">
        <v>203</v>
      </c>
      <c r="RWU11" s="314" t="s">
        <v>203</v>
      </c>
      <c r="RWV11" s="314" t="s">
        <v>203</v>
      </c>
      <c r="RWW11" s="314" t="s">
        <v>203</v>
      </c>
      <c r="RWX11" s="314" t="s">
        <v>203</v>
      </c>
      <c r="RWY11" s="314" t="s">
        <v>203</v>
      </c>
      <c r="RWZ11" s="314" t="s">
        <v>203</v>
      </c>
      <c r="RXA11" s="314" t="s">
        <v>203</v>
      </c>
      <c r="RXB11" s="314" t="s">
        <v>203</v>
      </c>
      <c r="RXC11" s="314" t="s">
        <v>203</v>
      </c>
      <c r="RXD11" s="314" t="s">
        <v>203</v>
      </c>
      <c r="RXE11" s="314" t="s">
        <v>203</v>
      </c>
      <c r="RXF11" s="314" t="s">
        <v>203</v>
      </c>
      <c r="RXG11" s="314" t="s">
        <v>203</v>
      </c>
      <c r="RXH11" s="314" t="s">
        <v>203</v>
      </c>
      <c r="RXI11" s="314" t="s">
        <v>203</v>
      </c>
      <c r="RXJ11" s="314" t="s">
        <v>203</v>
      </c>
      <c r="RXK11" s="314" t="s">
        <v>203</v>
      </c>
      <c r="RXL11" s="314" t="s">
        <v>203</v>
      </c>
      <c r="RXM11" s="314" t="s">
        <v>203</v>
      </c>
      <c r="RXN11" s="314" t="s">
        <v>203</v>
      </c>
      <c r="RXO11" s="314" t="s">
        <v>203</v>
      </c>
      <c r="RXP11" s="314" t="s">
        <v>203</v>
      </c>
      <c r="RXQ11" s="314" t="s">
        <v>203</v>
      </c>
      <c r="RXR11" s="314" t="s">
        <v>203</v>
      </c>
      <c r="RXS11" s="314" t="s">
        <v>203</v>
      </c>
      <c r="RXT11" s="314" t="s">
        <v>203</v>
      </c>
      <c r="RXU11" s="314" t="s">
        <v>203</v>
      </c>
      <c r="RXV11" s="314" t="s">
        <v>203</v>
      </c>
      <c r="RXW11" s="314" t="s">
        <v>203</v>
      </c>
      <c r="RXX11" s="314" t="s">
        <v>203</v>
      </c>
      <c r="RXY11" s="314" t="s">
        <v>203</v>
      </c>
      <c r="RXZ11" s="314" t="s">
        <v>203</v>
      </c>
      <c r="RYA11" s="314" t="s">
        <v>203</v>
      </c>
      <c r="RYB11" s="314" t="s">
        <v>203</v>
      </c>
      <c r="RYC11" s="314" t="s">
        <v>203</v>
      </c>
      <c r="RYD11" s="314" t="s">
        <v>203</v>
      </c>
      <c r="RYE11" s="314" t="s">
        <v>203</v>
      </c>
      <c r="RYF11" s="314" t="s">
        <v>203</v>
      </c>
      <c r="RYG11" s="314" t="s">
        <v>203</v>
      </c>
      <c r="RYH11" s="314" t="s">
        <v>203</v>
      </c>
      <c r="RYI11" s="314" t="s">
        <v>203</v>
      </c>
      <c r="RYJ11" s="314" t="s">
        <v>203</v>
      </c>
      <c r="RYK11" s="314" t="s">
        <v>203</v>
      </c>
      <c r="RYL11" s="314" t="s">
        <v>203</v>
      </c>
      <c r="RYM11" s="314" t="s">
        <v>203</v>
      </c>
      <c r="RYN11" s="314" t="s">
        <v>203</v>
      </c>
      <c r="RYO11" s="314" t="s">
        <v>203</v>
      </c>
      <c r="RYP11" s="314" t="s">
        <v>203</v>
      </c>
      <c r="RYQ11" s="314" t="s">
        <v>203</v>
      </c>
      <c r="RYR11" s="314" t="s">
        <v>203</v>
      </c>
      <c r="RYS11" s="314" t="s">
        <v>203</v>
      </c>
      <c r="RYT11" s="314" t="s">
        <v>203</v>
      </c>
      <c r="RYU11" s="314" t="s">
        <v>203</v>
      </c>
      <c r="RYV11" s="314" t="s">
        <v>203</v>
      </c>
      <c r="RYW11" s="314" t="s">
        <v>203</v>
      </c>
      <c r="RYX11" s="314" t="s">
        <v>203</v>
      </c>
      <c r="RYY11" s="314" t="s">
        <v>203</v>
      </c>
      <c r="RYZ11" s="314" t="s">
        <v>203</v>
      </c>
      <c r="RZA11" s="314" t="s">
        <v>203</v>
      </c>
      <c r="RZB11" s="314" t="s">
        <v>203</v>
      </c>
      <c r="RZC11" s="314" t="s">
        <v>203</v>
      </c>
      <c r="RZD11" s="314" t="s">
        <v>203</v>
      </c>
      <c r="RZE11" s="314" t="s">
        <v>203</v>
      </c>
      <c r="RZF11" s="314" t="s">
        <v>203</v>
      </c>
      <c r="RZG11" s="314" t="s">
        <v>203</v>
      </c>
      <c r="RZH11" s="314" t="s">
        <v>203</v>
      </c>
      <c r="RZI11" s="314" t="s">
        <v>203</v>
      </c>
      <c r="RZJ11" s="314" t="s">
        <v>203</v>
      </c>
      <c r="RZK11" s="314" t="s">
        <v>203</v>
      </c>
      <c r="RZL11" s="314" t="s">
        <v>203</v>
      </c>
      <c r="RZM11" s="314" t="s">
        <v>203</v>
      </c>
      <c r="RZN11" s="314" t="s">
        <v>203</v>
      </c>
      <c r="RZO11" s="314" t="s">
        <v>203</v>
      </c>
      <c r="RZP11" s="314" t="s">
        <v>203</v>
      </c>
      <c r="RZQ11" s="314" t="s">
        <v>203</v>
      </c>
      <c r="RZR11" s="314" t="s">
        <v>203</v>
      </c>
      <c r="RZS11" s="314" t="s">
        <v>203</v>
      </c>
      <c r="RZT11" s="314" t="s">
        <v>203</v>
      </c>
      <c r="RZU11" s="314" t="s">
        <v>203</v>
      </c>
      <c r="RZV11" s="314" t="s">
        <v>203</v>
      </c>
      <c r="RZW11" s="314" t="s">
        <v>203</v>
      </c>
      <c r="RZX11" s="314" t="s">
        <v>203</v>
      </c>
      <c r="RZY11" s="314" t="s">
        <v>203</v>
      </c>
      <c r="RZZ11" s="314" t="s">
        <v>203</v>
      </c>
      <c r="SAA11" s="314" t="s">
        <v>203</v>
      </c>
      <c r="SAB11" s="314" t="s">
        <v>203</v>
      </c>
      <c r="SAC11" s="314" t="s">
        <v>203</v>
      </c>
      <c r="SAD11" s="314" t="s">
        <v>203</v>
      </c>
      <c r="SAE11" s="314" t="s">
        <v>203</v>
      </c>
      <c r="SAF11" s="314" t="s">
        <v>203</v>
      </c>
      <c r="SAG11" s="314" t="s">
        <v>203</v>
      </c>
      <c r="SAH11" s="314" t="s">
        <v>203</v>
      </c>
      <c r="SAI11" s="314" t="s">
        <v>203</v>
      </c>
      <c r="SAJ11" s="314" t="s">
        <v>203</v>
      </c>
      <c r="SAK11" s="314" t="s">
        <v>203</v>
      </c>
      <c r="SAL11" s="314" t="s">
        <v>203</v>
      </c>
      <c r="SAM11" s="314" t="s">
        <v>203</v>
      </c>
      <c r="SAN11" s="314" t="s">
        <v>203</v>
      </c>
      <c r="SAO11" s="314" t="s">
        <v>203</v>
      </c>
      <c r="SAP11" s="314" t="s">
        <v>203</v>
      </c>
      <c r="SAQ11" s="314" t="s">
        <v>203</v>
      </c>
      <c r="SAR11" s="314" t="s">
        <v>203</v>
      </c>
      <c r="SAS11" s="314" t="s">
        <v>203</v>
      </c>
      <c r="SAT11" s="314" t="s">
        <v>203</v>
      </c>
      <c r="SAU11" s="314" t="s">
        <v>203</v>
      </c>
      <c r="SAV11" s="314" t="s">
        <v>203</v>
      </c>
      <c r="SAW11" s="314" t="s">
        <v>203</v>
      </c>
      <c r="SAX11" s="314" t="s">
        <v>203</v>
      </c>
      <c r="SAY11" s="314" t="s">
        <v>203</v>
      </c>
      <c r="SAZ11" s="314" t="s">
        <v>203</v>
      </c>
      <c r="SBA11" s="314" t="s">
        <v>203</v>
      </c>
      <c r="SBB11" s="314" t="s">
        <v>203</v>
      </c>
      <c r="SBC11" s="314" t="s">
        <v>203</v>
      </c>
      <c r="SBD11" s="314" t="s">
        <v>203</v>
      </c>
      <c r="SBE11" s="314" t="s">
        <v>203</v>
      </c>
      <c r="SBF11" s="314" t="s">
        <v>203</v>
      </c>
      <c r="SBG11" s="314" t="s">
        <v>203</v>
      </c>
      <c r="SBH11" s="314" t="s">
        <v>203</v>
      </c>
      <c r="SBI11" s="314" t="s">
        <v>203</v>
      </c>
      <c r="SBJ11" s="314" t="s">
        <v>203</v>
      </c>
      <c r="SBK11" s="314" t="s">
        <v>203</v>
      </c>
      <c r="SBL11" s="314" t="s">
        <v>203</v>
      </c>
      <c r="SBM11" s="314" t="s">
        <v>203</v>
      </c>
      <c r="SBN11" s="314" t="s">
        <v>203</v>
      </c>
      <c r="SBO11" s="314" t="s">
        <v>203</v>
      </c>
      <c r="SBP11" s="314" t="s">
        <v>203</v>
      </c>
      <c r="SBQ11" s="314" t="s">
        <v>203</v>
      </c>
      <c r="SBR11" s="314" t="s">
        <v>203</v>
      </c>
      <c r="SBS11" s="314" t="s">
        <v>203</v>
      </c>
      <c r="SBT11" s="314" t="s">
        <v>203</v>
      </c>
      <c r="SBU11" s="314" t="s">
        <v>203</v>
      </c>
      <c r="SBV11" s="314" t="s">
        <v>203</v>
      </c>
      <c r="SBW11" s="314" t="s">
        <v>203</v>
      </c>
      <c r="SBX11" s="314" t="s">
        <v>203</v>
      </c>
      <c r="SBY11" s="314" t="s">
        <v>203</v>
      </c>
      <c r="SBZ11" s="314" t="s">
        <v>203</v>
      </c>
      <c r="SCA11" s="314" t="s">
        <v>203</v>
      </c>
      <c r="SCB11" s="314" t="s">
        <v>203</v>
      </c>
      <c r="SCC11" s="314" t="s">
        <v>203</v>
      </c>
      <c r="SCD11" s="314" t="s">
        <v>203</v>
      </c>
      <c r="SCE11" s="314" t="s">
        <v>203</v>
      </c>
      <c r="SCF11" s="314" t="s">
        <v>203</v>
      </c>
      <c r="SCG11" s="314" t="s">
        <v>203</v>
      </c>
      <c r="SCH11" s="314" t="s">
        <v>203</v>
      </c>
      <c r="SCI11" s="314" t="s">
        <v>203</v>
      </c>
      <c r="SCJ11" s="314" t="s">
        <v>203</v>
      </c>
      <c r="SCK11" s="314" t="s">
        <v>203</v>
      </c>
      <c r="SCL11" s="314" t="s">
        <v>203</v>
      </c>
      <c r="SCM11" s="314" t="s">
        <v>203</v>
      </c>
      <c r="SCN11" s="314" t="s">
        <v>203</v>
      </c>
      <c r="SCO11" s="314" t="s">
        <v>203</v>
      </c>
      <c r="SCP11" s="314" t="s">
        <v>203</v>
      </c>
      <c r="SCQ11" s="314" t="s">
        <v>203</v>
      </c>
      <c r="SCR11" s="314" t="s">
        <v>203</v>
      </c>
      <c r="SCS11" s="314" t="s">
        <v>203</v>
      </c>
      <c r="SCT11" s="314" t="s">
        <v>203</v>
      </c>
      <c r="SCU11" s="314" t="s">
        <v>203</v>
      </c>
      <c r="SCV11" s="314" t="s">
        <v>203</v>
      </c>
      <c r="SCW11" s="314" t="s">
        <v>203</v>
      </c>
      <c r="SCX11" s="314" t="s">
        <v>203</v>
      </c>
      <c r="SCY11" s="314" t="s">
        <v>203</v>
      </c>
      <c r="SCZ11" s="314" t="s">
        <v>203</v>
      </c>
      <c r="SDA11" s="314" t="s">
        <v>203</v>
      </c>
      <c r="SDB11" s="314" t="s">
        <v>203</v>
      </c>
      <c r="SDC11" s="314" t="s">
        <v>203</v>
      </c>
      <c r="SDD11" s="314" t="s">
        <v>203</v>
      </c>
      <c r="SDE11" s="314" t="s">
        <v>203</v>
      </c>
      <c r="SDF11" s="314" t="s">
        <v>203</v>
      </c>
      <c r="SDG11" s="314" t="s">
        <v>203</v>
      </c>
      <c r="SDH11" s="314" t="s">
        <v>203</v>
      </c>
      <c r="SDI11" s="314" t="s">
        <v>203</v>
      </c>
      <c r="SDJ11" s="314" t="s">
        <v>203</v>
      </c>
      <c r="SDK11" s="314" t="s">
        <v>203</v>
      </c>
      <c r="SDL11" s="314" t="s">
        <v>203</v>
      </c>
      <c r="SDM11" s="314" t="s">
        <v>203</v>
      </c>
      <c r="SDN11" s="314" t="s">
        <v>203</v>
      </c>
      <c r="SDO11" s="314" t="s">
        <v>203</v>
      </c>
      <c r="SDP11" s="314" t="s">
        <v>203</v>
      </c>
      <c r="SDQ11" s="314" t="s">
        <v>203</v>
      </c>
      <c r="SDR11" s="314" t="s">
        <v>203</v>
      </c>
      <c r="SDS11" s="314" t="s">
        <v>203</v>
      </c>
      <c r="SDT11" s="314" t="s">
        <v>203</v>
      </c>
      <c r="SDU11" s="314" t="s">
        <v>203</v>
      </c>
      <c r="SDV11" s="314" t="s">
        <v>203</v>
      </c>
      <c r="SDW11" s="314" t="s">
        <v>203</v>
      </c>
      <c r="SDX11" s="314" t="s">
        <v>203</v>
      </c>
      <c r="SDY11" s="314" t="s">
        <v>203</v>
      </c>
      <c r="SDZ11" s="314" t="s">
        <v>203</v>
      </c>
      <c r="SEA11" s="314" t="s">
        <v>203</v>
      </c>
      <c r="SEB11" s="314" t="s">
        <v>203</v>
      </c>
      <c r="SEC11" s="314" t="s">
        <v>203</v>
      </c>
      <c r="SED11" s="314" t="s">
        <v>203</v>
      </c>
      <c r="SEE11" s="314" t="s">
        <v>203</v>
      </c>
      <c r="SEF11" s="314" t="s">
        <v>203</v>
      </c>
      <c r="SEG11" s="314" t="s">
        <v>203</v>
      </c>
      <c r="SEH11" s="314" t="s">
        <v>203</v>
      </c>
      <c r="SEI11" s="314" t="s">
        <v>203</v>
      </c>
      <c r="SEJ11" s="314" t="s">
        <v>203</v>
      </c>
      <c r="SEK11" s="314" t="s">
        <v>203</v>
      </c>
      <c r="SEL11" s="314" t="s">
        <v>203</v>
      </c>
      <c r="SEM11" s="314" t="s">
        <v>203</v>
      </c>
      <c r="SEN11" s="314" t="s">
        <v>203</v>
      </c>
      <c r="SEO11" s="314" t="s">
        <v>203</v>
      </c>
      <c r="SEP11" s="314" t="s">
        <v>203</v>
      </c>
      <c r="SEQ11" s="314" t="s">
        <v>203</v>
      </c>
      <c r="SER11" s="314" t="s">
        <v>203</v>
      </c>
      <c r="SES11" s="314" t="s">
        <v>203</v>
      </c>
      <c r="SET11" s="314" t="s">
        <v>203</v>
      </c>
      <c r="SEU11" s="314" t="s">
        <v>203</v>
      </c>
      <c r="SEV11" s="314" t="s">
        <v>203</v>
      </c>
      <c r="SEW11" s="314" t="s">
        <v>203</v>
      </c>
      <c r="SEX11" s="314" t="s">
        <v>203</v>
      </c>
      <c r="SEY11" s="314" t="s">
        <v>203</v>
      </c>
      <c r="SEZ11" s="314" t="s">
        <v>203</v>
      </c>
      <c r="SFA11" s="314" t="s">
        <v>203</v>
      </c>
      <c r="SFB11" s="314" t="s">
        <v>203</v>
      </c>
      <c r="SFC11" s="314" t="s">
        <v>203</v>
      </c>
      <c r="SFD11" s="314" t="s">
        <v>203</v>
      </c>
      <c r="SFE11" s="314" t="s">
        <v>203</v>
      </c>
      <c r="SFF11" s="314" t="s">
        <v>203</v>
      </c>
      <c r="SFG11" s="314" t="s">
        <v>203</v>
      </c>
      <c r="SFH11" s="314" t="s">
        <v>203</v>
      </c>
      <c r="SFI11" s="314" t="s">
        <v>203</v>
      </c>
      <c r="SFJ11" s="314" t="s">
        <v>203</v>
      </c>
      <c r="SFK11" s="314" t="s">
        <v>203</v>
      </c>
      <c r="SFL11" s="314" t="s">
        <v>203</v>
      </c>
      <c r="SFM11" s="314" t="s">
        <v>203</v>
      </c>
      <c r="SFN11" s="314" t="s">
        <v>203</v>
      </c>
      <c r="SFO11" s="314" t="s">
        <v>203</v>
      </c>
      <c r="SFP11" s="314" t="s">
        <v>203</v>
      </c>
      <c r="SFQ11" s="314" t="s">
        <v>203</v>
      </c>
      <c r="SFR11" s="314" t="s">
        <v>203</v>
      </c>
      <c r="SFS11" s="314" t="s">
        <v>203</v>
      </c>
      <c r="SFT11" s="314" t="s">
        <v>203</v>
      </c>
      <c r="SFU11" s="314" t="s">
        <v>203</v>
      </c>
      <c r="SFV11" s="314" t="s">
        <v>203</v>
      </c>
      <c r="SFW11" s="314" t="s">
        <v>203</v>
      </c>
      <c r="SFX11" s="314" t="s">
        <v>203</v>
      </c>
      <c r="SFY11" s="314" t="s">
        <v>203</v>
      </c>
      <c r="SFZ11" s="314" t="s">
        <v>203</v>
      </c>
      <c r="SGA11" s="314" t="s">
        <v>203</v>
      </c>
      <c r="SGB11" s="314" t="s">
        <v>203</v>
      </c>
      <c r="SGC11" s="314" t="s">
        <v>203</v>
      </c>
      <c r="SGD11" s="314" t="s">
        <v>203</v>
      </c>
      <c r="SGE11" s="314" t="s">
        <v>203</v>
      </c>
      <c r="SGF11" s="314" t="s">
        <v>203</v>
      </c>
      <c r="SGG11" s="314" t="s">
        <v>203</v>
      </c>
      <c r="SGH11" s="314" t="s">
        <v>203</v>
      </c>
      <c r="SGI11" s="314" t="s">
        <v>203</v>
      </c>
      <c r="SGJ11" s="314" t="s">
        <v>203</v>
      </c>
      <c r="SGK11" s="314" t="s">
        <v>203</v>
      </c>
      <c r="SGL11" s="314" t="s">
        <v>203</v>
      </c>
      <c r="SGM11" s="314" t="s">
        <v>203</v>
      </c>
      <c r="SGN11" s="314" t="s">
        <v>203</v>
      </c>
      <c r="SGO11" s="314" t="s">
        <v>203</v>
      </c>
      <c r="SGP11" s="314" t="s">
        <v>203</v>
      </c>
      <c r="SGQ11" s="314" t="s">
        <v>203</v>
      </c>
      <c r="SGR11" s="314" t="s">
        <v>203</v>
      </c>
      <c r="SGS11" s="314" t="s">
        <v>203</v>
      </c>
      <c r="SGT11" s="314" t="s">
        <v>203</v>
      </c>
      <c r="SGU11" s="314" t="s">
        <v>203</v>
      </c>
      <c r="SGV11" s="314" t="s">
        <v>203</v>
      </c>
      <c r="SGW11" s="314" t="s">
        <v>203</v>
      </c>
      <c r="SGX11" s="314" t="s">
        <v>203</v>
      </c>
      <c r="SGY11" s="314" t="s">
        <v>203</v>
      </c>
      <c r="SGZ11" s="314" t="s">
        <v>203</v>
      </c>
      <c r="SHA11" s="314" t="s">
        <v>203</v>
      </c>
      <c r="SHB11" s="314" t="s">
        <v>203</v>
      </c>
      <c r="SHC11" s="314" t="s">
        <v>203</v>
      </c>
      <c r="SHD11" s="314" t="s">
        <v>203</v>
      </c>
      <c r="SHE11" s="314" t="s">
        <v>203</v>
      </c>
      <c r="SHF11" s="314" t="s">
        <v>203</v>
      </c>
      <c r="SHG11" s="314" t="s">
        <v>203</v>
      </c>
      <c r="SHH11" s="314" t="s">
        <v>203</v>
      </c>
      <c r="SHI11" s="314" t="s">
        <v>203</v>
      </c>
      <c r="SHJ11" s="314" t="s">
        <v>203</v>
      </c>
      <c r="SHK11" s="314" t="s">
        <v>203</v>
      </c>
      <c r="SHL11" s="314" t="s">
        <v>203</v>
      </c>
      <c r="SHM11" s="314" t="s">
        <v>203</v>
      </c>
      <c r="SHN11" s="314" t="s">
        <v>203</v>
      </c>
      <c r="SHO11" s="314" t="s">
        <v>203</v>
      </c>
      <c r="SHP11" s="314" t="s">
        <v>203</v>
      </c>
      <c r="SHQ11" s="314" t="s">
        <v>203</v>
      </c>
      <c r="SHR11" s="314" t="s">
        <v>203</v>
      </c>
      <c r="SHS11" s="314" t="s">
        <v>203</v>
      </c>
      <c r="SHT11" s="314" t="s">
        <v>203</v>
      </c>
      <c r="SHU11" s="314" t="s">
        <v>203</v>
      </c>
      <c r="SHV11" s="314" t="s">
        <v>203</v>
      </c>
      <c r="SHW11" s="314" t="s">
        <v>203</v>
      </c>
      <c r="SHX11" s="314" t="s">
        <v>203</v>
      </c>
      <c r="SHY11" s="314" t="s">
        <v>203</v>
      </c>
      <c r="SHZ11" s="314" t="s">
        <v>203</v>
      </c>
      <c r="SIA11" s="314" t="s">
        <v>203</v>
      </c>
      <c r="SIB11" s="314" t="s">
        <v>203</v>
      </c>
      <c r="SIC11" s="314" t="s">
        <v>203</v>
      </c>
      <c r="SID11" s="314" t="s">
        <v>203</v>
      </c>
      <c r="SIE11" s="314" t="s">
        <v>203</v>
      </c>
      <c r="SIF11" s="314" t="s">
        <v>203</v>
      </c>
      <c r="SIG11" s="314" t="s">
        <v>203</v>
      </c>
      <c r="SIH11" s="314" t="s">
        <v>203</v>
      </c>
      <c r="SII11" s="314" t="s">
        <v>203</v>
      </c>
      <c r="SIJ11" s="314" t="s">
        <v>203</v>
      </c>
      <c r="SIK11" s="314" t="s">
        <v>203</v>
      </c>
      <c r="SIL11" s="314" t="s">
        <v>203</v>
      </c>
      <c r="SIM11" s="314" t="s">
        <v>203</v>
      </c>
      <c r="SIN11" s="314" t="s">
        <v>203</v>
      </c>
      <c r="SIO11" s="314" t="s">
        <v>203</v>
      </c>
      <c r="SIP11" s="314" t="s">
        <v>203</v>
      </c>
      <c r="SIQ11" s="314" t="s">
        <v>203</v>
      </c>
      <c r="SIR11" s="314" t="s">
        <v>203</v>
      </c>
      <c r="SIS11" s="314" t="s">
        <v>203</v>
      </c>
      <c r="SIT11" s="314" t="s">
        <v>203</v>
      </c>
      <c r="SIU11" s="314" t="s">
        <v>203</v>
      </c>
      <c r="SIV11" s="314" t="s">
        <v>203</v>
      </c>
      <c r="SIW11" s="314" t="s">
        <v>203</v>
      </c>
      <c r="SIX11" s="314" t="s">
        <v>203</v>
      </c>
      <c r="SIY11" s="314" t="s">
        <v>203</v>
      </c>
      <c r="SIZ11" s="314" t="s">
        <v>203</v>
      </c>
      <c r="SJA11" s="314" t="s">
        <v>203</v>
      </c>
      <c r="SJB11" s="314" t="s">
        <v>203</v>
      </c>
      <c r="SJC11" s="314" t="s">
        <v>203</v>
      </c>
      <c r="SJD11" s="314" t="s">
        <v>203</v>
      </c>
      <c r="SJE11" s="314" t="s">
        <v>203</v>
      </c>
      <c r="SJF11" s="314" t="s">
        <v>203</v>
      </c>
      <c r="SJG11" s="314" t="s">
        <v>203</v>
      </c>
      <c r="SJH11" s="314" t="s">
        <v>203</v>
      </c>
      <c r="SJI11" s="314" t="s">
        <v>203</v>
      </c>
      <c r="SJJ11" s="314" t="s">
        <v>203</v>
      </c>
      <c r="SJK11" s="314" t="s">
        <v>203</v>
      </c>
      <c r="SJL11" s="314" t="s">
        <v>203</v>
      </c>
      <c r="SJM11" s="314" t="s">
        <v>203</v>
      </c>
      <c r="SJN11" s="314" t="s">
        <v>203</v>
      </c>
      <c r="SJO11" s="314" t="s">
        <v>203</v>
      </c>
      <c r="SJP11" s="314" t="s">
        <v>203</v>
      </c>
      <c r="SJQ11" s="314" t="s">
        <v>203</v>
      </c>
      <c r="SJR11" s="314" t="s">
        <v>203</v>
      </c>
      <c r="SJS11" s="314" t="s">
        <v>203</v>
      </c>
      <c r="SJT11" s="314" t="s">
        <v>203</v>
      </c>
      <c r="SJU11" s="314" t="s">
        <v>203</v>
      </c>
      <c r="SJV11" s="314" t="s">
        <v>203</v>
      </c>
      <c r="SJW11" s="314" t="s">
        <v>203</v>
      </c>
      <c r="SJX11" s="314" t="s">
        <v>203</v>
      </c>
      <c r="SJY11" s="314" t="s">
        <v>203</v>
      </c>
      <c r="SJZ11" s="314" t="s">
        <v>203</v>
      </c>
      <c r="SKA11" s="314" t="s">
        <v>203</v>
      </c>
      <c r="SKB11" s="314" t="s">
        <v>203</v>
      </c>
      <c r="SKC11" s="314" t="s">
        <v>203</v>
      </c>
      <c r="SKD11" s="314" t="s">
        <v>203</v>
      </c>
      <c r="SKE11" s="314" t="s">
        <v>203</v>
      </c>
      <c r="SKF11" s="314" t="s">
        <v>203</v>
      </c>
      <c r="SKG11" s="314" t="s">
        <v>203</v>
      </c>
      <c r="SKH11" s="314" t="s">
        <v>203</v>
      </c>
      <c r="SKI11" s="314" t="s">
        <v>203</v>
      </c>
      <c r="SKJ11" s="314" t="s">
        <v>203</v>
      </c>
      <c r="SKK11" s="314" t="s">
        <v>203</v>
      </c>
      <c r="SKL11" s="314" t="s">
        <v>203</v>
      </c>
      <c r="SKM11" s="314" t="s">
        <v>203</v>
      </c>
      <c r="SKN11" s="314" t="s">
        <v>203</v>
      </c>
      <c r="SKO11" s="314" t="s">
        <v>203</v>
      </c>
      <c r="SKP11" s="314" t="s">
        <v>203</v>
      </c>
      <c r="SKQ11" s="314" t="s">
        <v>203</v>
      </c>
      <c r="SKR11" s="314" t="s">
        <v>203</v>
      </c>
      <c r="SKS11" s="314" t="s">
        <v>203</v>
      </c>
      <c r="SKT11" s="314" t="s">
        <v>203</v>
      </c>
      <c r="SKU11" s="314" t="s">
        <v>203</v>
      </c>
      <c r="SKV11" s="314" t="s">
        <v>203</v>
      </c>
      <c r="SKW11" s="314" t="s">
        <v>203</v>
      </c>
      <c r="SKX11" s="314" t="s">
        <v>203</v>
      </c>
      <c r="SKY11" s="314" t="s">
        <v>203</v>
      </c>
      <c r="SKZ11" s="314" t="s">
        <v>203</v>
      </c>
      <c r="SLA11" s="314" t="s">
        <v>203</v>
      </c>
      <c r="SLB11" s="314" t="s">
        <v>203</v>
      </c>
      <c r="SLC11" s="314" t="s">
        <v>203</v>
      </c>
      <c r="SLD11" s="314" t="s">
        <v>203</v>
      </c>
      <c r="SLE11" s="314" t="s">
        <v>203</v>
      </c>
      <c r="SLF11" s="314" t="s">
        <v>203</v>
      </c>
      <c r="SLG11" s="314" t="s">
        <v>203</v>
      </c>
      <c r="SLH11" s="314" t="s">
        <v>203</v>
      </c>
      <c r="SLI11" s="314" t="s">
        <v>203</v>
      </c>
      <c r="SLJ11" s="314" t="s">
        <v>203</v>
      </c>
      <c r="SLK11" s="314" t="s">
        <v>203</v>
      </c>
      <c r="SLL11" s="314" t="s">
        <v>203</v>
      </c>
      <c r="SLM11" s="314" t="s">
        <v>203</v>
      </c>
      <c r="SLN11" s="314" t="s">
        <v>203</v>
      </c>
      <c r="SLO11" s="314" t="s">
        <v>203</v>
      </c>
      <c r="SLP11" s="314" t="s">
        <v>203</v>
      </c>
      <c r="SLQ11" s="314" t="s">
        <v>203</v>
      </c>
      <c r="SLR11" s="314" t="s">
        <v>203</v>
      </c>
      <c r="SLS11" s="314" t="s">
        <v>203</v>
      </c>
      <c r="SLT11" s="314" t="s">
        <v>203</v>
      </c>
      <c r="SLU11" s="314" t="s">
        <v>203</v>
      </c>
      <c r="SLV11" s="314" t="s">
        <v>203</v>
      </c>
      <c r="SLW11" s="314" t="s">
        <v>203</v>
      </c>
      <c r="SLX11" s="314" t="s">
        <v>203</v>
      </c>
      <c r="SLY11" s="314" t="s">
        <v>203</v>
      </c>
      <c r="SLZ11" s="314" t="s">
        <v>203</v>
      </c>
      <c r="SMA11" s="314" t="s">
        <v>203</v>
      </c>
      <c r="SMB11" s="314" t="s">
        <v>203</v>
      </c>
      <c r="SMC11" s="314" t="s">
        <v>203</v>
      </c>
      <c r="SMD11" s="314" t="s">
        <v>203</v>
      </c>
      <c r="SME11" s="314" t="s">
        <v>203</v>
      </c>
      <c r="SMF11" s="314" t="s">
        <v>203</v>
      </c>
      <c r="SMG11" s="314" t="s">
        <v>203</v>
      </c>
      <c r="SMH11" s="314" t="s">
        <v>203</v>
      </c>
      <c r="SMI11" s="314" t="s">
        <v>203</v>
      </c>
      <c r="SMJ11" s="314" t="s">
        <v>203</v>
      </c>
      <c r="SMK11" s="314" t="s">
        <v>203</v>
      </c>
      <c r="SML11" s="314" t="s">
        <v>203</v>
      </c>
      <c r="SMM11" s="314" t="s">
        <v>203</v>
      </c>
      <c r="SMN11" s="314" t="s">
        <v>203</v>
      </c>
      <c r="SMO11" s="314" t="s">
        <v>203</v>
      </c>
      <c r="SMP11" s="314" t="s">
        <v>203</v>
      </c>
      <c r="SMQ11" s="314" t="s">
        <v>203</v>
      </c>
      <c r="SMR11" s="314" t="s">
        <v>203</v>
      </c>
      <c r="SMS11" s="314" t="s">
        <v>203</v>
      </c>
      <c r="SMT11" s="314" t="s">
        <v>203</v>
      </c>
      <c r="SMU11" s="314" t="s">
        <v>203</v>
      </c>
      <c r="SMV11" s="314" t="s">
        <v>203</v>
      </c>
      <c r="SMW11" s="314" t="s">
        <v>203</v>
      </c>
      <c r="SMX11" s="314" t="s">
        <v>203</v>
      </c>
      <c r="SMY11" s="314" t="s">
        <v>203</v>
      </c>
      <c r="SMZ11" s="314" t="s">
        <v>203</v>
      </c>
      <c r="SNA11" s="314" t="s">
        <v>203</v>
      </c>
      <c r="SNB11" s="314" t="s">
        <v>203</v>
      </c>
      <c r="SNC11" s="314" t="s">
        <v>203</v>
      </c>
      <c r="SND11" s="314" t="s">
        <v>203</v>
      </c>
      <c r="SNE11" s="314" t="s">
        <v>203</v>
      </c>
      <c r="SNF11" s="314" t="s">
        <v>203</v>
      </c>
      <c r="SNG11" s="314" t="s">
        <v>203</v>
      </c>
      <c r="SNH11" s="314" t="s">
        <v>203</v>
      </c>
      <c r="SNI11" s="314" t="s">
        <v>203</v>
      </c>
      <c r="SNJ11" s="314" t="s">
        <v>203</v>
      </c>
      <c r="SNK11" s="314" t="s">
        <v>203</v>
      </c>
      <c r="SNL11" s="314" t="s">
        <v>203</v>
      </c>
      <c r="SNM11" s="314" t="s">
        <v>203</v>
      </c>
      <c r="SNN11" s="314" t="s">
        <v>203</v>
      </c>
      <c r="SNO11" s="314" t="s">
        <v>203</v>
      </c>
      <c r="SNP11" s="314" t="s">
        <v>203</v>
      </c>
      <c r="SNQ11" s="314" t="s">
        <v>203</v>
      </c>
      <c r="SNR11" s="314" t="s">
        <v>203</v>
      </c>
      <c r="SNS11" s="314" t="s">
        <v>203</v>
      </c>
      <c r="SNT11" s="314" t="s">
        <v>203</v>
      </c>
      <c r="SNU11" s="314" t="s">
        <v>203</v>
      </c>
      <c r="SNV11" s="314" t="s">
        <v>203</v>
      </c>
      <c r="SNW11" s="314" t="s">
        <v>203</v>
      </c>
      <c r="SNX11" s="314" t="s">
        <v>203</v>
      </c>
      <c r="SNY11" s="314" t="s">
        <v>203</v>
      </c>
      <c r="SNZ11" s="314" t="s">
        <v>203</v>
      </c>
      <c r="SOA11" s="314" t="s">
        <v>203</v>
      </c>
      <c r="SOB11" s="314" t="s">
        <v>203</v>
      </c>
      <c r="SOC11" s="314" t="s">
        <v>203</v>
      </c>
      <c r="SOD11" s="314" t="s">
        <v>203</v>
      </c>
      <c r="SOE11" s="314" t="s">
        <v>203</v>
      </c>
      <c r="SOF11" s="314" t="s">
        <v>203</v>
      </c>
      <c r="SOG11" s="314" t="s">
        <v>203</v>
      </c>
      <c r="SOH11" s="314" t="s">
        <v>203</v>
      </c>
      <c r="SOI11" s="314" t="s">
        <v>203</v>
      </c>
      <c r="SOJ11" s="314" t="s">
        <v>203</v>
      </c>
      <c r="SOK11" s="314" t="s">
        <v>203</v>
      </c>
      <c r="SOL11" s="314" t="s">
        <v>203</v>
      </c>
      <c r="SOM11" s="314" t="s">
        <v>203</v>
      </c>
      <c r="SON11" s="314" t="s">
        <v>203</v>
      </c>
      <c r="SOO11" s="314" t="s">
        <v>203</v>
      </c>
      <c r="SOP11" s="314" t="s">
        <v>203</v>
      </c>
      <c r="SOQ11" s="314" t="s">
        <v>203</v>
      </c>
      <c r="SOR11" s="314" t="s">
        <v>203</v>
      </c>
      <c r="SOS11" s="314" t="s">
        <v>203</v>
      </c>
      <c r="SOT11" s="314" t="s">
        <v>203</v>
      </c>
      <c r="SOU11" s="314" t="s">
        <v>203</v>
      </c>
      <c r="SOV11" s="314" t="s">
        <v>203</v>
      </c>
      <c r="SOW11" s="314" t="s">
        <v>203</v>
      </c>
      <c r="SOX11" s="314" t="s">
        <v>203</v>
      </c>
      <c r="SOY11" s="314" t="s">
        <v>203</v>
      </c>
      <c r="SOZ11" s="314" t="s">
        <v>203</v>
      </c>
      <c r="SPA11" s="314" t="s">
        <v>203</v>
      </c>
      <c r="SPB11" s="314" t="s">
        <v>203</v>
      </c>
      <c r="SPC11" s="314" t="s">
        <v>203</v>
      </c>
      <c r="SPD11" s="314" t="s">
        <v>203</v>
      </c>
      <c r="SPE11" s="314" t="s">
        <v>203</v>
      </c>
      <c r="SPF11" s="314" t="s">
        <v>203</v>
      </c>
      <c r="SPG11" s="314" t="s">
        <v>203</v>
      </c>
      <c r="SPH11" s="314" t="s">
        <v>203</v>
      </c>
      <c r="SPI11" s="314" t="s">
        <v>203</v>
      </c>
      <c r="SPJ11" s="314" t="s">
        <v>203</v>
      </c>
      <c r="SPK11" s="314" t="s">
        <v>203</v>
      </c>
      <c r="SPL11" s="314" t="s">
        <v>203</v>
      </c>
      <c r="SPM11" s="314" t="s">
        <v>203</v>
      </c>
      <c r="SPN11" s="314" t="s">
        <v>203</v>
      </c>
      <c r="SPO11" s="314" t="s">
        <v>203</v>
      </c>
      <c r="SPP11" s="314" t="s">
        <v>203</v>
      </c>
      <c r="SPQ11" s="314" t="s">
        <v>203</v>
      </c>
      <c r="SPR11" s="314" t="s">
        <v>203</v>
      </c>
      <c r="SPS11" s="314" t="s">
        <v>203</v>
      </c>
      <c r="SPT11" s="314" t="s">
        <v>203</v>
      </c>
      <c r="SPU11" s="314" t="s">
        <v>203</v>
      </c>
      <c r="SPV11" s="314" t="s">
        <v>203</v>
      </c>
      <c r="SPW11" s="314" t="s">
        <v>203</v>
      </c>
      <c r="SPX11" s="314" t="s">
        <v>203</v>
      </c>
      <c r="SPY11" s="314" t="s">
        <v>203</v>
      </c>
      <c r="SPZ11" s="314" t="s">
        <v>203</v>
      </c>
      <c r="SQA11" s="314" t="s">
        <v>203</v>
      </c>
      <c r="SQB11" s="314" t="s">
        <v>203</v>
      </c>
      <c r="SQC11" s="314" t="s">
        <v>203</v>
      </c>
      <c r="SQD11" s="314" t="s">
        <v>203</v>
      </c>
      <c r="SQE11" s="314" t="s">
        <v>203</v>
      </c>
      <c r="SQF11" s="314" t="s">
        <v>203</v>
      </c>
      <c r="SQG11" s="314" t="s">
        <v>203</v>
      </c>
      <c r="SQH11" s="314" t="s">
        <v>203</v>
      </c>
      <c r="SQI11" s="314" t="s">
        <v>203</v>
      </c>
      <c r="SQJ11" s="314" t="s">
        <v>203</v>
      </c>
      <c r="SQK11" s="314" t="s">
        <v>203</v>
      </c>
      <c r="SQL11" s="314" t="s">
        <v>203</v>
      </c>
      <c r="SQM11" s="314" t="s">
        <v>203</v>
      </c>
      <c r="SQN11" s="314" t="s">
        <v>203</v>
      </c>
      <c r="SQO11" s="314" t="s">
        <v>203</v>
      </c>
      <c r="SQP11" s="314" t="s">
        <v>203</v>
      </c>
      <c r="SQQ11" s="314" t="s">
        <v>203</v>
      </c>
      <c r="SQR11" s="314" t="s">
        <v>203</v>
      </c>
      <c r="SQS11" s="314" t="s">
        <v>203</v>
      </c>
      <c r="SQT11" s="314" t="s">
        <v>203</v>
      </c>
      <c r="SQU11" s="314" t="s">
        <v>203</v>
      </c>
      <c r="SQV11" s="314" t="s">
        <v>203</v>
      </c>
      <c r="SQW11" s="314" t="s">
        <v>203</v>
      </c>
      <c r="SQX11" s="314" t="s">
        <v>203</v>
      </c>
      <c r="SQY11" s="314" t="s">
        <v>203</v>
      </c>
      <c r="SQZ11" s="314" t="s">
        <v>203</v>
      </c>
      <c r="SRA11" s="314" t="s">
        <v>203</v>
      </c>
      <c r="SRB11" s="314" t="s">
        <v>203</v>
      </c>
      <c r="SRC11" s="314" t="s">
        <v>203</v>
      </c>
      <c r="SRD11" s="314" t="s">
        <v>203</v>
      </c>
      <c r="SRE11" s="314" t="s">
        <v>203</v>
      </c>
      <c r="SRF11" s="314" t="s">
        <v>203</v>
      </c>
      <c r="SRG11" s="314" t="s">
        <v>203</v>
      </c>
      <c r="SRH11" s="314" t="s">
        <v>203</v>
      </c>
      <c r="SRI11" s="314" t="s">
        <v>203</v>
      </c>
      <c r="SRJ11" s="314" t="s">
        <v>203</v>
      </c>
      <c r="SRK11" s="314" t="s">
        <v>203</v>
      </c>
      <c r="SRL11" s="314" t="s">
        <v>203</v>
      </c>
      <c r="SRM11" s="314" t="s">
        <v>203</v>
      </c>
      <c r="SRN11" s="314" t="s">
        <v>203</v>
      </c>
      <c r="SRO11" s="314" t="s">
        <v>203</v>
      </c>
      <c r="SRP11" s="314" t="s">
        <v>203</v>
      </c>
      <c r="SRQ11" s="314" t="s">
        <v>203</v>
      </c>
      <c r="SRR11" s="314" t="s">
        <v>203</v>
      </c>
      <c r="SRS11" s="314" t="s">
        <v>203</v>
      </c>
      <c r="SRT11" s="314" t="s">
        <v>203</v>
      </c>
      <c r="SRU11" s="314" t="s">
        <v>203</v>
      </c>
      <c r="SRV11" s="314" t="s">
        <v>203</v>
      </c>
      <c r="SRW11" s="314" t="s">
        <v>203</v>
      </c>
      <c r="SRX11" s="314" t="s">
        <v>203</v>
      </c>
      <c r="SRY11" s="314" t="s">
        <v>203</v>
      </c>
      <c r="SRZ11" s="314" t="s">
        <v>203</v>
      </c>
      <c r="SSA11" s="314" t="s">
        <v>203</v>
      </c>
      <c r="SSB11" s="314" t="s">
        <v>203</v>
      </c>
      <c r="SSC11" s="314" t="s">
        <v>203</v>
      </c>
      <c r="SSD11" s="314" t="s">
        <v>203</v>
      </c>
      <c r="SSE11" s="314" t="s">
        <v>203</v>
      </c>
      <c r="SSF11" s="314" t="s">
        <v>203</v>
      </c>
      <c r="SSG11" s="314" t="s">
        <v>203</v>
      </c>
      <c r="SSH11" s="314" t="s">
        <v>203</v>
      </c>
      <c r="SSI11" s="314" t="s">
        <v>203</v>
      </c>
      <c r="SSJ11" s="314" t="s">
        <v>203</v>
      </c>
      <c r="SSK11" s="314" t="s">
        <v>203</v>
      </c>
      <c r="SSL11" s="314" t="s">
        <v>203</v>
      </c>
      <c r="SSM11" s="314" t="s">
        <v>203</v>
      </c>
      <c r="SSN11" s="314" t="s">
        <v>203</v>
      </c>
      <c r="SSO11" s="314" t="s">
        <v>203</v>
      </c>
      <c r="SSP11" s="314" t="s">
        <v>203</v>
      </c>
      <c r="SSQ11" s="314" t="s">
        <v>203</v>
      </c>
      <c r="SSR11" s="314" t="s">
        <v>203</v>
      </c>
      <c r="SSS11" s="314" t="s">
        <v>203</v>
      </c>
      <c r="SST11" s="314" t="s">
        <v>203</v>
      </c>
      <c r="SSU11" s="314" t="s">
        <v>203</v>
      </c>
      <c r="SSV11" s="314" t="s">
        <v>203</v>
      </c>
      <c r="SSW11" s="314" t="s">
        <v>203</v>
      </c>
      <c r="SSX11" s="314" t="s">
        <v>203</v>
      </c>
      <c r="SSY11" s="314" t="s">
        <v>203</v>
      </c>
      <c r="SSZ11" s="314" t="s">
        <v>203</v>
      </c>
      <c r="STA11" s="314" t="s">
        <v>203</v>
      </c>
      <c r="STB11" s="314" t="s">
        <v>203</v>
      </c>
      <c r="STC11" s="314" t="s">
        <v>203</v>
      </c>
      <c r="STD11" s="314" t="s">
        <v>203</v>
      </c>
      <c r="STE11" s="314" t="s">
        <v>203</v>
      </c>
      <c r="STF11" s="314" t="s">
        <v>203</v>
      </c>
      <c r="STG11" s="314" t="s">
        <v>203</v>
      </c>
      <c r="STH11" s="314" t="s">
        <v>203</v>
      </c>
      <c r="STI11" s="314" t="s">
        <v>203</v>
      </c>
      <c r="STJ11" s="314" t="s">
        <v>203</v>
      </c>
      <c r="STK11" s="314" t="s">
        <v>203</v>
      </c>
      <c r="STL11" s="314" t="s">
        <v>203</v>
      </c>
      <c r="STM11" s="314" t="s">
        <v>203</v>
      </c>
      <c r="STN11" s="314" t="s">
        <v>203</v>
      </c>
      <c r="STO11" s="314" t="s">
        <v>203</v>
      </c>
      <c r="STP11" s="314" t="s">
        <v>203</v>
      </c>
      <c r="STQ11" s="314" t="s">
        <v>203</v>
      </c>
      <c r="STR11" s="314" t="s">
        <v>203</v>
      </c>
      <c r="STS11" s="314" t="s">
        <v>203</v>
      </c>
      <c r="STT11" s="314" t="s">
        <v>203</v>
      </c>
      <c r="STU11" s="314" t="s">
        <v>203</v>
      </c>
      <c r="STV11" s="314" t="s">
        <v>203</v>
      </c>
      <c r="STW11" s="314" t="s">
        <v>203</v>
      </c>
      <c r="STX11" s="314" t="s">
        <v>203</v>
      </c>
      <c r="STY11" s="314" t="s">
        <v>203</v>
      </c>
      <c r="STZ11" s="314" t="s">
        <v>203</v>
      </c>
      <c r="SUA11" s="314" t="s">
        <v>203</v>
      </c>
      <c r="SUB11" s="314" t="s">
        <v>203</v>
      </c>
      <c r="SUC11" s="314" t="s">
        <v>203</v>
      </c>
      <c r="SUD11" s="314" t="s">
        <v>203</v>
      </c>
      <c r="SUE11" s="314" t="s">
        <v>203</v>
      </c>
      <c r="SUF11" s="314" t="s">
        <v>203</v>
      </c>
      <c r="SUG11" s="314" t="s">
        <v>203</v>
      </c>
      <c r="SUH11" s="314" t="s">
        <v>203</v>
      </c>
      <c r="SUI11" s="314" t="s">
        <v>203</v>
      </c>
      <c r="SUJ11" s="314" t="s">
        <v>203</v>
      </c>
      <c r="SUK11" s="314" t="s">
        <v>203</v>
      </c>
      <c r="SUL11" s="314" t="s">
        <v>203</v>
      </c>
      <c r="SUM11" s="314" t="s">
        <v>203</v>
      </c>
      <c r="SUN11" s="314" t="s">
        <v>203</v>
      </c>
      <c r="SUO11" s="314" t="s">
        <v>203</v>
      </c>
      <c r="SUP11" s="314" t="s">
        <v>203</v>
      </c>
      <c r="SUQ11" s="314" t="s">
        <v>203</v>
      </c>
      <c r="SUR11" s="314" t="s">
        <v>203</v>
      </c>
      <c r="SUS11" s="314" t="s">
        <v>203</v>
      </c>
      <c r="SUT11" s="314" t="s">
        <v>203</v>
      </c>
      <c r="SUU11" s="314" t="s">
        <v>203</v>
      </c>
      <c r="SUV11" s="314" t="s">
        <v>203</v>
      </c>
      <c r="SUW11" s="314" t="s">
        <v>203</v>
      </c>
      <c r="SUX11" s="314" t="s">
        <v>203</v>
      </c>
      <c r="SUY11" s="314" t="s">
        <v>203</v>
      </c>
      <c r="SUZ11" s="314" t="s">
        <v>203</v>
      </c>
      <c r="SVA11" s="314" t="s">
        <v>203</v>
      </c>
      <c r="SVB11" s="314" t="s">
        <v>203</v>
      </c>
      <c r="SVC11" s="314" t="s">
        <v>203</v>
      </c>
      <c r="SVD11" s="314" t="s">
        <v>203</v>
      </c>
      <c r="SVE11" s="314" t="s">
        <v>203</v>
      </c>
      <c r="SVF11" s="314" t="s">
        <v>203</v>
      </c>
      <c r="SVG11" s="314" t="s">
        <v>203</v>
      </c>
      <c r="SVH11" s="314" t="s">
        <v>203</v>
      </c>
      <c r="SVI11" s="314" t="s">
        <v>203</v>
      </c>
      <c r="SVJ11" s="314" t="s">
        <v>203</v>
      </c>
      <c r="SVK11" s="314" t="s">
        <v>203</v>
      </c>
      <c r="SVL11" s="314" t="s">
        <v>203</v>
      </c>
      <c r="SVM11" s="314" t="s">
        <v>203</v>
      </c>
      <c r="SVN11" s="314" t="s">
        <v>203</v>
      </c>
      <c r="SVO11" s="314" t="s">
        <v>203</v>
      </c>
      <c r="SVP11" s="314" t="s">
        <v>203</v>
      </c>
      <c r="SVQ11" s="314" t="s">
        <v>203</v>
      </c>
      <c r="SVR11" s="314" t="s">
        <v>203</v>
      </c>
      <c r="SVS11" s="314" t="s">
        <v>203</v>
      </c>
      <c r="SVT11" s="314" t="s">
        <v>203</v>
      </c>
      <c r="SVU11" s="314" t="s">
        <v>203</v>
      </c>
      <c r="SVV11" s="314" t="s">
        <v>203</v>
      </c>
      <c r="SVW11" s="314" t="s">
        <v>203</v>
      </c>
      <c r="SVX11" s="314" t="s">
        <v>203</v>
      </c>
      <c r="SVY11" s="314" t="s">
        <v>203</v>
      </c>
      <c r="SVZ11" s="314" t="s">
        <v>203</v>
      </c>
      <c r="SWA11" s="314" t="s">
        <v>203</v>
      </c>
      <c r="SWB11" s="314" t="s">
        <v>203</v>
      </c>
      <c r="SWC11" s="314" t="s">
        <v>203</v>
      </c>
      <c r="SWD11" s="314" t="s">
        <v>203</v>
      </c>
      <c r="SWE11" s="314" t="s">
        <v>203</v>
      </c>
      <c r="SWF11" s="314" t="s">
        <v>203</v>
      </c>
      <c r="SWG11" s="314" t="s">
        <v>203</v>
      </c>
      <c r="SWH11" s="314" t="s">
        <v>203</v>
      </c>
      <c r="SWI11" s="314" t="s">
        <v>203</v>
      </c>
      <c r="SWJ11" s="314" t="s">
        <v>203</v>
      </c>
      <c r="SWK11" s="314" t="s">
        <v>203</v>
      </c>
      <c r="SWL11" s="314" t="s">
        <v>203</v>
      </c>
      <c r="SWM11" s="314" t="s">
        <v>203</v>
      </c>
      <c r="SWN11" s="314" t="s">
        <v>203</v>
      </c>
      <c r="SWO11" s="314" t="s">
        <v>203</v>
      </c>
      <c r="SWP11" s="314" t="s">
        <v>203</v>
      </c>
      <c r="SWQ11" s="314" t="s">
        <v>203</v>
      </c>
      <c r="SWR11" s="314" t="s">
        <v>203</v>
      </c>
      <c r="SWS11" s="314" t="s">
        <v>203</v>
      </c>
      <c r="SWT11" s="314" t="s">
        <v>203</v>
      </c>
      <c r="SWU11" s="314" t="s">
        <v>203</v>
      </c>
      <c r="SWV11" s="314" t="s">
        <v>203</v>
      </c>
      <c r="SWW11" s="314" t="s">
        <v>203</v>
      </c>
      <c r="SWX11" s="314" t="s">
        <v>203</v>
      </c>
      <c r="SWY11" s="314" t="s">
        <v>203</v>
      </c>
      <c r="SWZ11" s="314" t="s">
        <v>203</v>
      </c>
      <c r="SXA11" s="314" t="s">
        <v>203</v>
      </c>
      <c r="SXB11" s="314" t="s">
        <v>203</v>
      </c>
      <c r="SXC11" s="314" t="s">
        <v>203</v>
      </c>
      <c r="SXD11" s="314" t="s">
        <v>203</v>
      </c>
      <c r="SXE11" s="314" t="s">
        <v>203</v>
      </c>
      <c r="SXF11" s="314" t="s">
        <v>203</v>
      </c>
      <c r="SXG11" s="314" t="s">
        <v>203</v>
      </c>
      <c r="SXH11" s="314" t="s">
        <v>203</v>
      </c>
      <c r="SXI11" s="314" t="s">
        <v>203</v>
      </c>
      <c r="SXJ11" s="314" t="s">
        <v>203</v>
      </c>
      <c r="SXK11" s="314" t="s">
        <v>203</v>
      </c>
      <c r="SXL11" s="314" t="s">
        <v>203</v>
      </c>
      <c r="SXM11" s="314" t="s">
        <v>203</v>
      </c>
      <c r="SXN11" s="314" t="s">
        <v>203</v>
      </c>
      <c r="SXO11" s="314" t="s">
        <v>203</v>
      </c>
      <c r="SXP11" s="314" t="s">
        <v>203</v>
      </c>
      <c r="SXQ11" s="314" t="s">
        <v>203</v>
      </c>
      <c r="SXR11" s="314" t="s">
        <v>203</v>
      </c>
      <c r="SXS11" s="314" t="s">
        <v>203</v>
      </c>
      <c r="SXT11" s="314" t="s">
        <v>203</v>
      </c>
      <c r="SXU11" s="314" t="s">
        <v>203</v>
      </c>
      <c r="SXV11" s="314" t="s">
        <v>203</v>
      </c>
      <c r="SXW11" s="314" t="s">
        <v>203</v>
      </c>
      <c r="SXX11" s="314" t="s">
        <v>203</v>
      </c>
      <c r="SXY11" s="314" t="s">
        <v>203</v>
      </c>
      <c r="SXZ11" s="314" t="s">
        <v>203</v>
      </c>
      <c r="SYA11" s="314" t="s">
        <v>203</v>
      </c>
      <c r="SYB11" s="314" t="s">
        <v>203</v>
      </c>
      <c r="SYC11" s="314" t="s">
        <v>203</v>
      </c>
      <c r="SYD11" s="314" t="s">
        <v>203</v>
      </c>
      <c r="SYE11" s="314" t="s">
        <v>203</v>
      </c>
      <c r="SYF11" s="314" t="s">
        <v>203</v>
      </c>
      <c r="SYG11" s="314" t="s">
        <v>203</v>
      </c>
      <c r="SYH11" s="314" t="s">
        <v>203</v>
      </c>
      <c r="SYI11" s="314" t="s">
        <v>203</v>
      </c>
      <c r="SYJ11" s="314" t="s">
        <v>203</v>
      </c>
      <c r="SYK11" s="314" t="s">
        <v>203</v>
      </c>
      <c r="SYL11" s="314" t="s">
        <v>203</v>
      </c>
      <c r="SYM11" s="314" t="s">
        <v>203</v>
      </c>
      <c r="SYN11" s="314" t="s">
        <v>203</v>
      </c>
      <c r="SYO11" s="314" t="s">
        <v>203</v>
      </c>
      <c r="SYP11" s="314" t="s">
        <v>203</v>
      </c>
      <c r="SYQ11" s="314" t="s">
        <v>203</v>
      </c>
      <c r="SYR11" s="314" t="s">
        <v>203</v>
      </c>
      <c r="SYS11" s="314" t="s">
        <v>203</v>
      </c>
      <c r="SYT11" s="314" t="s">
        <v>203</v>
      </c>
      <c r="SYU11" s="314" t="s">
        <v>203</v>
      </c>
      <c r="SYV11" s="314" t="s">
        <v>203</v>
      </c>
      <c r="SYW11" s="314" t="s">
        <v>203</v>
      </c>
      <c r="SYX11" s="314" t="s">
        <v>203</v>
      </c>
      <c r="SYY11" s="314" t="s">
        <v>203</v>
      </c>
      <c r="SYZ11" s="314" t="s">
        <v>203</v>
      </c>
      <c r="SZA11" s="314" t="s">
        <v>203</v>
      </c>
      <c r="SZB11" s="314" t="s">
        <v>203</v>
      </c>
      <c r="SZC11" s="314" t="s">
        <v>203</v>
      </c>
      <c r="SZD11" s="314" t="s">
        <v>203</v>
      </c>
      <c r="SZE11" s="314" t="s">
        <v>203</v>
      </c>
      <c r="SZF11" s="314" t="s">
        <v>203</v>
      </c>
      <c r="SZG11" s="314" t="s">
        <v>203</v>
      </c>
      <c r="SZH11" s="314" t="s">
        <v>203</v>
      </c>
      <c r="SZI11" s="314" t="s">
        <v>203</v>
      </c>
      <c r="SZJ11" s="314" t="s">
        <v>203</v>
      </c>
      <c r="SZK11" s="314" t="s">
        <v>203</v>
      </c>
      <c r="SZL11" s="314" t="s">
        <v>203</v>
      </c>
      <c r="SZM11" s="314" t="s">
        <v>203</v>
      </c>
      <c r="SZN11" s="314" t="s">
        <v>203</v>
      </c>
      <c r="SZO11" s="314" t="s">
        <v>203</v>
      </c>
      <c r="SZP11" s="314" t="s">
        <v>203</v>
      </c>
      <c r="SZQ11" s="314" t="s">
        <v>203</v>
      </c>
      <c r="SZR11" s="314" t="s">
        <v>203</v>
      </c>
      <c r="SZS11" s="314" t="s">
        <v>203</v>
      </c>
      <c r="SZT11" s="314" t="s">
        <v>203</v>
      </c>
      <c r="SZU11" s="314" t="s">
        <v>203</v>
      </c>
      <c r="SZV11" s="314" t="s">
        <v>203</v>
      </c>
      <c r="SZW11" s="314" t="s">
        <v>203</v>
      </c>
      <c r="SZX11" s="314" t="s">
        <v>203</v>
      </c>
      <c r="SZY11" s="314" t="s">
        <v>203</v>
      </c>
      <c r="SZZ11" s="314" t="s">
        <v>203</v>
      </c>
      <c r="TAA11" s="314" t="s">
        <v>203</v>
      </c>
      <c r="TAB11" s="314" t="s">
        <v>203</v>
      </c>
      <c r="TAC11" s="314" t="s">
        <v>203</v>
      </c>
      <c r="TAD11" s="314" t="s">
        <v>203</v>
      </c>
      <c r="TAE11" s="314" t="s">
        <v>203</v>
      </c>
      <c r="TAF11" s="314" t="s">
        <v>203</v>
      </c>
      <c r="TAG11" s="314" t="s">
        <v>203</v>
      </c>
      <c r="TAH11" s="314" t="s">
        <v>203</v>
      </c>
      <c r="TAI11" s="314" t="s">
        <v>203</v>
      </c>
      <c r="TAJ11" s="314" t="s">
        <v>203</v>
      </c>
      <c r="TAK11" s="314" t="s">
        <v>203</v>
      </c>
      <c r="TAL11" s="314" t="s">
        <v>203</v>
      </c>
      <c r="TAM11" s="314" t="s">
        <v>203</v>
      </c>
      <c r="TAN11" s="314" t="s">
        <v>203</v>
      </c>
      <c r="TAO11" s="314" t="s">
        <v>203</v>
      </c>
      <c r="TAP11" s="314" t="s">
        <v>203</v>
      </c>
      <c r="TAQ11" s="314" t="s">
        <v>203</v>
      </c>
      <c r="TAR11" s="314" t="s">
        <v>203</v>
      </c>
      <c r="TAS11" s="314" t="s">
        <v>203</v>
      </c>
      <c r="TAT11" s="314" t="s">
        <v>203</v>
      </c>
      <c r="TAU11" s="314" t="s">
        <v>203</v>
      </c>
      <c r="TAV11" s="314" t="s">
        <v>203</v>
      </c>
      <c r="TAW11" s="314" t="s">
        <v>203</v>
      </c>
      <c r="TAX11" s="314" t="s">
        <v>203</v>
      </c>
      <c r="TAY11" s="314" t="s">
        <v>203</v>
      </c>
      <c r="TAZ11" s="314" t="s">
        <v>203</v>
      </c>
      <c r="TBA11" s="314" t="s">
        <v>203</v>
      </c>
      <c r="TBB11" s="314" t="s">
        <v>203</v>
      </c>
      <c r="TBC11" s="314" t="s">
        <v>203</v>
      </c>
      <c r="TBD11" s="314" t="s">
        <v>203</v>
      </c>
      <c r="TBE11" s="314" t="s">
        <v>203</v>
      </c>
      <c r="TBF11" s="314" t="s">
        <v>203</v>
      </c>
      <c r="TBG11" s="314" t="s">
        <v>203</v>
      </c>
      <c r="TBH11" s="314" t="s">
        <v>203</v>
      </c>
      <c r="TBI11" s="314" t="s">
        <v>203</v>
      </c>
      <c r="TBJ11" s="314" t="s">
        <v>203</v>
      </c>
      <c r="TBK11" s="314" t="s">
        <v>203</v>
      </c>
      <c r="TBL11" s="314" t="s">
        <v>203</v>
      </c>
      <c r="TBM11" s="314" t="s">
        <v>203</v>
      </c>
      <c r="TBN11" s="314" t="s">
        <v>203</v>
      </c>
      <c r="TBO11" s="314" t="s">
        <v>203</v>
      </c>
      <c r="TBP11" s="314" t="s">
        <v>203</v>
      </c>
      <c r="TBQ11" s="314" t="s">
        <v>203</v>
      </c>
      <c r="TBR11" s="314" t="s">
        <v>203</v>
      </c>
      <c r="TBS11" s="314" t="s">
        <v>203</v>
      </c>
      <c r="TBT11" s="314" t="s">
        <v>203</v>
      </c>
      <c r="TBU11" s="314" t="s">
        <v>203</v>
      </c>
      <c r="TBV11" s="314" t="s">
        <v>203</v>
      </c>
      <c r="TBW11" s="314" t="s">
        <v>203</v>
      </c>
      <c r="TBX11" s="314" t="s">
        <v>203</v>
      </c>
      <c r="TBY11" s="314" t="s">
        <v>203</v>
      </c>
      <c r="TBZ11" s="314" t="s">
        <v>203</v>
      </c>
      <c r="TCA11" s="314" t="s">
        <v>203</v>
      </c>
      <c r="TCB11" s="314" t="s">
        <v>203</v>
      </c>
      <c r="TCC11" s="314" t="s">
        <v>203</v>
      </c>
      <c r="TCD11" s="314" t="s">
        <v>203</v>
      </c>
      <c r="TCE11" s="314" t="s">
        <v>203</v>
      </c>
      <c r="TCF11" s="314" t="s">
        <v>203</v>
      </c>
      <c r="TCG11" s="314" t="s">
        <v>203</v>
      </c>
      <c r="TCH11" s="314" t="s">
        <v>203</v>
      </c>
      <c r="TCI11" s="314" t="s">
        <v>203</v>
      </c>
      <c r="TCJ11" s="314" t="s">
        <v>203</v>
      </c>
      <c r="TCK11" s="314" t="s">
        <v>203</v>
      </c>
      <c r="TCL11" s="314" t="s">
        <v>203</v>
      </c>
      <c r="TCM11" s="314" t="s">
        <v>203</v>
      </c>
      <c r="TCN11" s="314" t="s">
        <v>203</v>
      </c>
      <c r="TCO11" s="314" t="s">
        <v>203</v>
      </c>
      <c r="TCP11" s="314" t="s">
        <v>203</v>
      </c>
      <c r="TCQ11" s="314" t="s">
        <v>203</v>
      </c>
      <c r="TCR11" s="314" t="s">
        <v>203</v>
      </c>
      <c r="TCS11" s="314" t="s">
        <v>203</v>
      </c>
      <c r="TCT11" s="314" t="s">
        <v>203</v>
      </c>
      <c r="TCU11" s="314" t="s">
        <v>203</v>
      </c>
      <c r="TCV11" s="314" t="s">
        <v>203</v>
      </c>
      <c r="TCW11" s="314" t="s">
        <v>203</v>
      </c>
      <c r="TCX11" s="314" t="s">
        <v>203</v>
      </c>
      <c r="TCY11" s="314" t="s">
        <v>203</v>
      </c>
      <c r="TCZ11" s="314" t="s">
        <v>203</v>
      </c>
      <c r="TDA11" s="314" t="s">
        <v>203</v>
      </c>
      <c r="TDB11" s="314" t="s">
        <v>203</v>
      </c>
      <c r="TDC11" s="314" t="s">
        <v>203</v>
      </c>
      <c r="TDD11" s="314" t="s">
        <v>203</v>
      </c>
      <c r="TDE11" s="314" t="s">
        <v>203</v>
      </c>
      <c r="TDF11" s="314" t="s">
        <v>203</v>
      </c>
      <c r="TDG11" s="314" t="s">
        <v>203</v>
      </c>
      <c r="TDH11" s="314" t="s">
        <v>203</v>
      </c>
      <c r="TDI11" s="314" t="s">
        <v>203</v>
      </c>
      <c r="TDJ11" s="314" t="s">
        <v>203</v>
      </c>
      <c r="TDK11" s="314" t="s">
        <v>203</v>
      </c>
      <c r="TDL11" s="314" t="s">
        <v>203</v>
      </c>
      <c r="TDM11" s="314" t="s">
        <v>203</v>
      </c>
      <c r="TDN11" s="314" t="s">
        <v>203</v>
      </c>
      <c r="TDO11" s="314" t="s">
        <v>203</v>
      </c>
      <c r="TDP11" s="314" t="s">
        <v>203</v>
      </c>
      <c r="TDQ11" s="314" t="s">
        <v>203</v>
      </c>
      <c r="TDR11" s="314" t="s">
        <v>203</v>
      </c>
      <c r="TDS11" s="314" t="s">
        <v>203</v>
      </c>
      <c r="TDT11" s="314" t="s">
        <v>203</v>
      </c>
      <c r="TDU11" s="314" t="s">
        <v>203</v>
      </c>
      <c r="TDV11" s="314" t="s">
        <v>203</v>
      </c>
      <c r="TDW11" s="314" t="s">
        <v>203</v>
      </c>
      <c r="TDX11" s="314" t="s">
        <v>203</v>
      </c>
      <c r="TDY11" s="314" t="s">
        <v>203</v>
      </c>
      <c r="TDZ11" s="314" t="s">
        <v>203</v>
      </c>
      <c r="TEA11" s="314" t="s">
        <v>203</v>
      </c>
      <c r="TEB11" s="314" t="s">
        <v>203</v>
      </c>
      <c r="TEC11" s="314" t="s">
        <v>203</v>
      </c>
      <c r="TED11" s="314" t="s">
        <v>203</v>
      </c>
      <c r="TEE11" s="314" t="s">
        <v>203</v>
      </c>
      <c r="TEF11" s="314" t="s">
        <v>203</v>
      </c>
      <c r="TEG11" s="314" t="s">
        <v>203</v>
      </c>
      <c r="TEH11" s="314" t="s">
        <v>203</v>
      </c>
      <c r="TEI11" s="314" t="s">
        <v>203</v>
      </c>
      <c r="TEJ11" s="314" t="s">
        <v>203</v>
      </c>
      <c r="TEK11" s="314" t="s">
        <v>203</v>
      </c>
      <c r="TEL11" s="314" t="s">
        <v>203</v>
      </c>
      <c r="TEM11" s="314" t="s">
        <v>203</v>
      </c>
      <c r="TEN11" s="314" t="s">
        <v>203</v>
      </c>
      <c r="TEO11" s="314" t="s">
        <v>203</v>
      </c>
      <c r="TEP11" s="314" t="s">
        <v>203</v>
      </c>
      <c r="TEQ11" s="314" t="s">
        <v>203</v>
      </c>
      <c r="TER11" s="314" t="s">
        <v>203</v>
      </c>
      <c r="TES11" s="314" t="s">
        <v>203</v>
      </c>
      <c r="TET11" s="314" t="s">
        <v>203</v>
      </c>
      <c r="TEU11" s="314" t="s">
        <v>203</v>
      </c>
      <c r="TEV11" s="314" t="s">
        <v>203</v>
      </c>
      <c r="TEW11" s="314" t="s">
        <v>203</v>
      </c>
      <c r="TEX11" s="314" t="s">
        <v>203</v>
      </c>
      <c r="TEY11" s="314" t="s">
        <v>203</v>
      </c>
      <c r="TEZ11" s="314" t="s">
        <v>203</v>
      </c>
      <c r="TFA11" s="314" t="s">
        <v>203</v>
      </c>
      <c r="TFB11" s="314" t="s">
        <v>203</v>
      </c>
      <c r="TFC11" s="314" t="s">
        <v>203</v>
      </c>
      <c r="TFD11" s="314" t="s">
        <v>203</v>
      </c>
      <c r="TFE11" s="314" t="s">
        <v>203</v>
      </c>
      <c r="TFF11" s="314" t="s">
        <v>203</v>
      </c>
      <c r="TFG11" s="314" t="s">
        <v>203</v>
      </c>
      <c r="TFH11" s="314" t="s">
        <v>203</v>
      </c>
      <c r="TFI11" s="314" t="s">
        <v>203</v>
      </c>
      <c r="TFJ11" s="314" t="s">
        <v>203</v>
      </c>
      <c r="TFK11" s="314" t="s">
        <v>203</v>
      </c>
      <c r="TFL11" s="314" t="s">
        <v>203</v>
      </c>
      <c r="TFM11" s="314" t="s">
        <v>203</v>
      </c>
      <c r="TFN11" s="314" t="s">
        <v>203</v>
      </c>
      <c r="TFO11" s="314" t="s">
        <v>203</v>
      </c>
      <c r="TFP11" s="314" t="s">
        <v>203</v>
      </c>
      <c r="TFQ11" s="314" t="s">
        <v>203</v>
      </c>
      <c r="TFR11" s="314" t="s">
        <v>203</v>
      </c>
      <c r="TFS11" s="314" t="s">
        <v>203</v>
      </c>
      <c r="TFT11" s="314" t="s">
        <v>203</v>
      </c>
      <c r="TFU11" s="314" t="s">
        <v>203</v>
      </c>
      <c r="TFV11" s="314" t="s">
        <v>203</v>
      </c>
      <c r="TFW11" s="314" t="s">
        <v>203</v>
      </c>
      <c r="TFX11" s="314" t="s">
        <v>203</v>
      </c>
      <c r="TFY11" s="314" t="s">
        <v>203</v>
      </c>
      <c r="TFZ11" s="314" t="s">
        <v>203</v>
      </c>
      <c r="TGA11" s="314" t="s">
        <v>203</v>
      </c>
      <c r="TGB11" s="314" t="s">
        <v>203</v>
      </c>
      <c r="TGC11" s="314" t="s">
        <v>203</v>
      </c>
      <c r="TGD11" s="314" t="s">
        <v>203</v>
      </c>
      <c r="TGE11" s="314" t="s">
        <v>203</v>
      </c>
      <c r="TGF11" s="314" t="s">
        <v>203</v>
      </c>
      <c r="TGG11" s="314" t="s">
        <v>203</v>
      </c>
      <c r="TGH11" s="314" t="s">
        <v>203</v>
      </c>
      <c r="TGI11" s="314" t="s">
        <v>203</v>
      </c>
      <c r="TGJ11" s="314" t="s">
        <v>203</v>
      </c>
      <c r="TGK11" s="314" t="s">
        <v>203</v>
      </c>
      <c r="TGL11" s="314" t="s">
        <v>203</v>
      </c>
      <c r="TGM11" s="314" t="s">
        <v>203</v>
      </c>
      <c r="TGN11" s="314" t="s">
        <v>203</v>
      </c>
      <c r="TGO11" s="314" t="s">
        <v>203</v>
      </c>
      <c r="TGP11" s="314" t="s">
        <v>203</v>
      </c>
      <c r="TGQ11" s="314" t="s">
        <v>203</v>
      </c>
      <c r="TGR11" s="314" t="s">
        <v>203</v>
      </c>
      <c r="TGS11" s="314" t="s">
        <v>203</v>
      </c>
      <c r="TGT11" s="314" t="s">
        <v>203</v>
      </c>
      <c r="TGU11" s="314" t="s">
        <v>203</v>
      </c>
      <c r="TGV11" s="314" t="s">
        <v>203</v>
      </c>
      <c r="TGW11" s="314" t="s">
        <v>203</v>
      </c>
      <c r="TGX11" s="314" t="s">
        <v>203</v>
      </c>
      <c r="TGY11" s="314" t="s">
        <v>203</v>
      </c>
      <c r="TGZ11" s="314" t="s">
        <v>203</v>
      </c>
      <c r="THA11" s="314" t="s">
        <v>203</v>
      </c>
      <c r="THB11" s="314" t="s">
        <v>203</v>
      </c>
      <c r="THC11" s="314" t="s">
        <v>203</v>
      </c>
      <c r="THD11" s="314" t="s">
        <v>203</v>
      </c>
      <c r="THE11" s="314" t="s">
        <v>203</v>
      </c>
      <c r="THF11" s="314" t="s">
        <v>203</v>
      </c>
      <c r="THG11" s="314" t="s">
        <v>203</v>
      </c>
      <c r="THH11" s="314" t="s">
        <v>203</v>
      </c>
      <c r="THI11" s="314" t="s">
        <v>203</v>
      </c>
      <c r="THJ11" s="314" t="s">
        <v>203</v>
      </c>
      <c r="THK11" s="314" t="s">
        <v>203</v>
      </c>
      <c r="THL11" s="314" t="s">
        <v>203</v>
      </c>
      <c r="THM11" s="314" t="s">
        <v>203</v>
      </c>
      <c r="THN11" s="314" t="s">
        <v>203</v>
      </c>
      <c r="THO11" s="314" t="s">
        <v>203</v>
      </c>
      <c r="THP11" s="314" t="s">
        <v>203</v>
      </c>
      <c r="THQ11" s="314" t="s">
        <v>203</v>
      </c>
      <c r="THR11" s="314" t="s">
        <v>203</v>
      </c>
      <c r="THS11" s="314" t="s">
        <v>203</v>
      </c>
      <c r="THT11" s="314" t="s">
        <v>203</v>
      </c>
      <c r="THU11" s="314" t="s">
        <v>203</v>
      </c>
      <c r="THV11" s="314" t="s">
        <v>203</v>
      </c>
      <c r="THW11" s="314" t="s">
        <v>203</v>
      </c>
      <c r="THX11" s="314" t="s">
        <v>203</v>
      </c>
      <c r="THY11" s="314" t="s">
        <v>203</v>
      </c>
      <c r="THZ11" s="314" t="s">
        <v>203</v>
      </c>
      <c r="TIA11" s="314" t="s">
        <v>203</v>
      </c>
      <c r="TIB11" s="314" t="s">
        <v>203</v>
      </c>
      <c r="TIC11" s="314" t="s">
        <v>203</v>
      </c>
      <c r="TID11" s="314" t="s">
        <v>203</v>
      </c>
      <c r="TIE11" s="314" t="s">
        <v>203</v>
      </c>
      <c r="TIF11" s="314" t="s">
        <v>203</v>
      </c>
      <c r="TIG11" s="314" t="s">
        <v>203</v>
      </c>
      <c r="TIH11" s="314" t="s">
        <v>203</v>
      </c>
      <c r="TII11" s="314" t="s">
        <v>203</v>
      </c>
      <c r="TIJ11" s="314" t="s">
        <v>203</v>
      </c>
      <c r="TIK11" s="314" t="s">
        <v>203</v>
      </c>
      <c r="TIL11" s="314" t="s">
        <v>203</v>
      </c>
      <c r="TIM11" s="314" t="s">
        <v>203</v>
      </c>
      <c r="TIN11" s="314" t="s">
        <v>203</v>
      </c>
      <c r="TIO11" s="314" t="s">
        <v>203</v>
      </c>
      <c r="TIP11" s="314" t="s">
        <v>203</v>
      </c>
      <c r="TIQ11" s="314" t="s">
        <v>203</v>
      </c>
      <c r="TIR11" s="314" t="s">
        <v>203</v>
      </c>
      <c r="TIS11" s="314" t="s">
        <v>203</v>
      </c>
      <c r="TIT11" s="314" t="s">
        <v>203</v>
      </c>
      <c r="TIU11" s="314" t="s">
        <v>203</v>
      </c>
      <c r="TIV11" s="314" t="s">
        <v>203</v>
      </c>
      <c r="TIW11" s="314" t="s">
        <v>203</v>
      </c>
      <c r="TIX11" s="314" t="s">
        <v>203</v>
      </c>
      <c r="TIY11" s="314" t="s">
        <v>203</v>
      </c>
      <c r="TIZ11" s="314" t="s">
        <v>203</v>
      </c>
      <c r="TJA11" s="314" t="s">
        <v>203</v>
      </c>
      <c r="TJB11" s="314" t="s">
        <v>203</v>
      </c>
      <c r="TJC11" s="314" t="s">
        <v>203</v>
      </c>
      <c r="TJD11" s="314" t="s">
        <v>203</v>
      </c>
      <c r="TJE11" s="314" t="s">
        <v>203</v>
      </c>
      <c r="TJF11" s="314" t="s">
        <v>203</v>
      </c>
      <c r="TJG11" s="314" t="s">
        <v>203</v>
      </c>
      <c r="TJH11" s="314" t="s">
        <v>203</v>
      </c>
      <c r="TJI11" s="314" t="s">
        <v>203</v>
      </c>
      <c r="TJJ11" s="314" t="s">
        <v>203</v>
      </c>
      <c r="TJK11" s="314" t="s">
        <v>203</v>
      </c>
      <c r="TJL11" s="314" t="s">
        <v>203</v>
      </c>
      <c r="TJM11" s="314" t="s">
        <v>203</v>
      </c>
      <c r="TJN11" s="314" t="s">
        <v>203</v>
      </c>
      <c r="TJO11" s="314" t="s">
        <v>203</v>
      </c>
      <c r="TJP11" s="314" t="s">
        <v>203</v>
      </c>
      <c r="TJQ11" s="314" t="s">
        <v>203</v>
      </c>
      <c r="TJR11" s="314" t="s">
        <v>203</v>
      </c>
      <c r="TJS11" s="314" t="s">
        <v>203</v>
      </c>
      <c r="TJT11" s="314" t="s">
        <v>203</v>
      </c>
      <c r="TJU11" s="314" t="s">
        <v>203</v>
      </c>
      <c r="TJV11" s="314" t="s">
        <v>203</v>
      </c>
      <c r="TJW11" s="314" t="s">
        <v>203</v>
      </c>
      <c r="TJX11" s="314" t="s">
        <v>203</v>
      </c>
      <c r="TJY11" s="314" t="s">
        <v>203</v>
      </c>
      <c r="TJZ11" s="314" t="s">
        <v>203</v>
      </c>
      <c r="TKA11" s="314" t="s">
        <v>203</v>
      </c>
      <c r="TKB11" s="314" t="s">
        <v>203</v>
      </c>
      <c r="TKC11" s="314" t="s">
        <v>203</v>
      </c>
      <c r="TKD11" s="314" t="s">
        <v>203</v>
      </c>
      <c r="TKE11" s="314" t="s">
        <v>203</v>
      </c>
      <c r="TKF11" s="314" t="s">
        <v>203</v>
      </c>
      <c r="TKG11" s="314" t="s">
        <v>203</v>
      </c>
      <c r="TKH11" s="314" t="s">
        <v>203</v>
      </c>
      <c r="TKI11" s="314" t="s">
        <v>203</v>
      </c>
      <c r="TKJ11" s="314" t="s">
        <v>203</v>
      </c>
      <c r="TKK11" s="314" t="s">
        <v>203</v>
      </c>
      <c r="TKL11" s="314" t="s">
        <v>203</v>
      </c>
      <c r="TKM11" s="314" t="s">
        <v>203</v>
      </c>
      <c r="TKN11" s="314" t="s">
        <v>203</v>
      </c>
      <c r="TKO11" s="314" t="s">
        <v>203</v>
      </c>
      <c r="TKP11" s="314" t="s">
        <v>203</v>
      </c>
      <c r="TKQ11" s="314" t="s">
        <v>203</v>
      </c>
      <c r="TKR11" s="314" t="s">
        <v>203</v>
      </c>
      <c r="TKS11" s="314" t="s">
        <v>203</v>
      </c>
      <c r="TKT11" s="314" t="s">
        <v>203</v>
      </c>
      <c r="TKU11" s="314" t="s">
        <v>203</v>
      </c>
      <c r="TKV11" s="314" t="s">
        <v>203</v>
      </c>
      <c r="TKW11" s="314" t="s">
        <v>203</v>
      </c>
      <c r="TKX11" s="314" t="s">
        <v>203</v>
      </c>
      <c r="TKY11" s="314" t="s">
        <v>203</v>
      </c>
      <c r="TKZ11" s="314" t="s">
        <v>203</v>
      </c>
      <c r="TLA11" s="314" t="s">
        <v>203</v>
      </c>
      <c r="TLB11" s="314" t="s">
        <v>203</v>
      </c>
      <c r="TLC11" s="314" t="s">
        <v>203</v>
      </c>
      <c r="TLD11" s="314" t="s">
        <v>203</v>
      </c>
      <c r="TLE11" s="314" t="s">
        <v>203</v>
      </c>
      <c r="TLF11" s="314" t="s">
        <v>203</v>
      </c>
      <c r="TLG11" s="314" t="s">
        <v>203</v>
      </c>
      <c r="TLH11" s="314" t="s">
        <v>203</v>
      </c>
      <c r="TLI11" s="314" t="s">
        <v>203</v>
      </c>
      <c r="TLJ11" s="314" t="s">
        <v>203</v>
      </c>
      <c r="TLK11" s="314" t="s">
        <v>203</v>
      </c>
      <c r="TLL11" s="314" t="s">
        <v>203</v>
      </c>
      <c r="TLM11" s="314" t="s">
        <v>203</v>
      </c>
      <c r="TLN11" s="314" t="s">
        <v>203</v>
      </c>
      <c r="TLO11" s="314" t="s">
        <v>203</v>
      </c>
      <c r="TLP11" s="314" t="s">
        <v>203</v>
      </c>
      <c r="TLQ11" s="314" t="s">
        <v>203</v>
      </c>
      <c r="TLR11" s="314" t="s">
        <v>203</v>
      </c>
      <c r="TLS11" s="314" t="s">
        <v>203</v>
      </c>
      <c r="TLT11" s="314" t="s">
        <v>203</v>
      </c>
      <c r="TLU11" s="314" t="s">
        <v>203</v>
      </c>
      <c r="TLV11" s="314" t="s">
        <v>203</v>
      </c>
      <c r="TLW11" s="314" t="s">
        <v>203</v>
      </c>
      <c r="TLX11" s="314" t="s">
        <v>203</v>
      </c>
      <c r="TLY11" s="314" t="s">
        <v>203</v>
      </c>
      <c r="TLZ11" s="314" t="s">
        <v>203</v>
      </c>
      <c r="TMA11" s="314" t="s">
        <v>203</v>
      </c>
      <c r="TMB11" s="314" t="s">
        <v>203</v>
      </c>
      <c r="TMC11" s="314" t="s">
        <v>203</v>
      </c>
      <c r="TMD11" s="314" t="s">
        <v>203</v>
      </c>
      <c r="TME11" s="314" t="s">
        <v>203</v>
      </c>
      <c r="TMF11" s="314" t="s">
        <v>203</v>
      </c>
      <c r="TMG11" s="314" t="s">
        <v>203</v>
      </c>
      <c r="TMH11" s="314" t="s">
        <v>203</v>
      </c>
      <c r="TMI11" s="314" t="s">
        <v>203</v>
      </c>
      <c r="TMJ11" s="314" t="s">
        <v>203</v>
      </c>
      <c r="TMK11" s="314" t="s">
        <v>203</v>
      </c>
      <c r="TML11" s="314" t="s">
        <v>203</v>
      </c>
      <c r="TMM11" s="314" t="s">
        <v>203</v>
      </c>
      <c r="TMN11" s="314" t="s">
        <v>203</v>
      </c>
      <c r="TMO11" s="314" t="s">
        <v>203</v>
      </c>
      <c r="TMP11" s="314" t="s">
        <v>203</v>
      </c>
      <c r="TMQ11" s="314" t="s">
        <v>203</v>
      </c>
      <c r="TMR11" s="314" t="s">
        <v>203</v>
      </c>
      <c r="TMS11" s="314" t="s">
        <v>203</v>
      </c>
      <c r="TMT11" s="314" t="s">
        <v>203</v>
      </c>
      <c r="TMU11" s="314" t="s">
        <v>203</v>
      </c>
      <c r="TMV11" s="314" t="s">
        <v>203</v>
      </c>
      <c r="TMW11" s="314" t="s">
        <v>203</v>
      </c>
      <c r="TMX11" s="314" t="s">
        <v>203</v>
      </c>
      <c r="TMY11" s="314" t="s">
        <v>203</v>
      </c>
      <c r="TMZ11" s="314" t="s">
        <v>203</v>
      </c>
      <c r="TNA11" s="314" t="s">
        <v>203</v>
      </c>
      <c r="TNB11" s="314" t="s">
        <v>203</v>
      </c>
      <c r="TNC11" s="314" t="s">
        <v>203</v>
      </c>
      <c r="TND11" s="314" t="s">
        <v>203</v>
      </c>
      <c r="TNE11" s="314" t="s">
        <v>203</v>
      </c>
      <c r="TNF11" s="314" t="s">
        <v>203</v>
      </c>
      <c r="TNG11" s="314" t="s">
        <v>203</v>
      </c>
      <c r="TNH11" s="314" t="s">
        <v>203</v>
      </c>
      <c r="TNI11" s="314" t="s">
        <v>203</v>
      </c>
      <c r="TNJ11" s="314" t="s">
        <v>203</v>
      </c>
      <c r="TNK11" s="314" t="s">
        <v>203</v>
      </c>
      <c r="TNL11" s="314" t="s">
        <v>203</v>
      </c>
      <c r="TNM11" s="314" t="s">
        <v>203</v>
      </c>
      <c r="TNN11" s="314" t="s">
        <v>203</v>
      </c>
      <c r="TNO11" s="314" t="s">
        <v>203</v>
      </c>
      <c r="TNP11" s="314" t="s">
        <v>203</v>
      </c>
      <c r="TNQ11" s="314" t="s">
        <v>203</v>
      </c>
      <c r="TNR11" s="314" t="s">
        <v>203</v>
      </c>
      <c r="TNS11" s="314" t="s">
        <v>203</v>
      </c>
      <c r="TNT11" s="314" t="s">
        <v>203</v>
      </c>
      <c r="TNU11" s="314" t="s">
        <v>203</v>
      </c>
      <c r="TNV11" s="314" t="s">
        <v>203</v>
      </c>
      <c r="TNW11" s="314" t="s">
        <v>203</v>
      </c>
      <c r="TNX11" s="314" t="s">
        <v>203</v>
      </c>
      <c r="TNY11" s="314" t="s">
        <v>203</v>
      </c>
      <c r="TNZ11" s="314" t="s">
        <v>203</v>
      </c>
      <c r="TOA11" s="314" t="s">
        <v>203</v>
      </c>
      <c r="TOB11" s="314" t="s">
        <v>203</v>
      </c>
      <c r="TOC11" s="314" t="s">
        <v>203</v>
      </c>
      <c r="TOD11" s="314" t="s">
        <v>203</v>
      </c>
      <c r="TOE11" s="314" t="s">
        <v>203</v>
      </c>
      <c r="TOF11" s="314" t="s">
        <v>203</v>
      </c>
      <c r="TOG11" s="314" t="s">
        <v>203</v>
      </c>
      <c r="TOH11" s="314" t="s">
        <v>203</v>
      </c>
      <c r="TOI11" s="314" t="s">
        <v>203</v>
      </c>
      <c r="TOJ11" s="314" t="s">
        <v>203</v>
      </c>
      <c r="TOK11" s="314" t="s">
        <v>203</v>
      </c>
      <c r="TOL11" s="314" t="s">
        <v>203</v>
      </c>
      <c r="TOM11" s="314" t="s">
        <v>203</v>
      </c>
      <c r="TON11" s="314" t="s">
        <v>203</v>
      </c>
      <c r="TOO11" s="314" t="s">
        <v>203</v>
      </c>
      <c r="TOP11" s="314" t="s">
        <v>203</v>
      </c>
      <c r="TOQ11" s="314" t="s">
        <v>203</v>
      </c>
      <c r="TOR11" s="314" t="s">
        <v>203</v>
      </c>
      <c r="TOS11" s="314" t="s">
        <v>203</v>
      </c>
      <c r="TOT11" s="314" t="s">
        <v>203</v>
      </c>
      <c r="TOU11" s="314" t="s">
        <v>203</v>
      </c>
      <c r="TOV11" s="314" t="s">
        <v>203</v>
      </c>
      <c r="TOW11" s="314" t="s">
        <v>203</v>
      </c>
      <c r="TOX11" s="314" t="s">
        <v>203</v>
      </c>
      <c r="TOY11" s="314" t="s">
        <v>203</v>
      </c>
      <c r="TOZ11" s="314" t="s">
        <v>203</v>
      </c>
      <c r="TPA11" s="314" t="s">
        <v>203</v>
      </c>
      <c r="TPB11" s="314" t="s">
        <v>203</v>
      </c>
      <c r="TPC11" s="314" t="s">
        <v>203</v>
      </c>
      <c r="TPD11" s="314" t="s">
        <v>203</v>
      </c>
      <c r="TPE11" s="314" t="s">
        <v>203</v>
      </c>
      <c r="TPF11" s="314" t="s">
        <v>203</v>
      </c>
      <c r="TPG11" s="314" t="s">
        <v>203</v>
      </c>
      <c r="TPH11" s="314" t="s">
        <v>203</v>
      </c>
      <c r="TPI11" s="314" t="s">
        <v>203</v>
      </c>
      <c r="TPJ11" s="314" t="s">
        <v>203</v>
      </c>
      <c r="TPK11" s="314" t="s">
        <v>203</v>
      </c>
      <c r="TPL11" s="314" t="s">
        <v>203</v>
      </c>
      <c r="TPM11" s="314" t="s">
        <v>203</v>
      </c>
      <c r="TPN11" s="314" t="s">
        <v>203</v>
      </c>
      <c r="TPO11" s="314" t="s">
        <v>203</v>
      </c>
      <c r="TPP11" s="314" t="s">
        <v>203</v>
      </c>
      <c r="TPQ11" s="314" t="s">
        <v>203</v>
      </c>
      <c r="TPR11" s="314" t="s">
        <v>203</v>
      </c>
      <c r="TPS11" s="314" t="s">
        <v>203</v>
      </c>
      <c r="TPT11" s="314" t="s">
        <v>203</v>
      </c>
      <c r="TPU11" s="314" t="s">
        <v>203</v>
      </c>
      <c r="TPV11" s="314" t="s">
        <v>203</v>
      </c>
      <c r="TPW11" s="314" t="s">
        <v>203</v>
      </c>
      <c r="TPX11" s="314" t="s">
        <v>203</v>
      </c>
      <c r="TPY11" s="314" t="s">
        <v>203</v>
      </c>
      <c r="TPZ11" s="314" t="s">
        <v>203</v>
      </c>
      <c r="TQA11" s="314" t="s">
        <v>203</v>
      </c>
      <c r="TQB11" s="314" t="s">
        <v>203</v>
      </c>
      <c r="TQC11" s="314" t="s">
        <v>203</v>
      </c>
      <c r="TQD11" s="314" t="s">
        <v>203</v>
      </c>
      <c r="TQE11" s="314" t="s">
        <v>203</v>
      </c>
      <c r="TQF11" s="314" t="s">
        <v>203</v>
      </c>
      <c r="TQG11" s="314" t="s">
        <v>203</v>
      </c>
      <c r="TQH11" s="314" t="s">
        <v>203</v>
      </c>
      <c r="TQI11" s="314" t="s">
        <v>203</v>
      </c>
      <c r="TQJ11" s="314" t="s">
        <v>203</v>
      </c>
      <c r="TQK11" s="314" t="s">
        <v>203</v>
      </c>
      <c r="TQL11" s="314" t="s">
        <v>203</v>
      </c>
      <c r="TQM11" s="314" t="s">
        <v>203</v>
      </c>
      <c r="TQN11" s="314" t="s">
        <v>203</v>
      </c>
      <c r="TQO11" s="314" t="s">
        <v>203</v>
      </c>
      <c r="TQP11" s="314" t="s">
        <v>203</v>
      </c>
      <c r="TQQ11" s="314" t="s">
        <v>203</v>
      </c>
      <c r="TQR11" s="314" t="s">
        <v>203</v>
      </c>
      <c r="TQS11" s="314" t="s">
        <v>203</v>
      </c>
      <c r="TQT11" s="314" t="s">
        <v>203</v>
      </c>
      <c r="TQU11" s="314" t="s">
        <v>203</v>
      </c>
      <c r="TQV11" s="314" t="s">
        <v>203</v>
      </c>
      <c r="TQW11" s="314" t="s">
        <v>203</v>
      </c>
      <c r="TQX11" s="314" t="s">
        <v>203</v>
      </c>
      <c r="TQY11" s="314" t="s">
        <v>203</v>
      </c>
      <c r="TQZ11" s="314" t="s">
        <v>203</v>
      </c>
      <c r="TRA11" s="314" t="s">
        <v>203</v>
      </c>
      <c r="TRB11" s="314" t="s">
        <v>203</v>
      </c>
      <c r="TRC11" s="314" t="s">
        <v>203</v>
      </c>
      <c r="TRD11" s="314" t="s">
        <v>203</v>
      </c>
      <c r="TRE11" s="314" t="s">
        <v>203</v>
      </c>
      <c r="TRF11" s="314" t="s">
        <v>203</v>
      </c>
      <c r="TRG11" s="314" t="s">
        <v>203</v>
      </c>
      <c r="TRH11" s="314" t="s">
        <v>203</v>
      </c>
      <c r="TRI11" s="314" t="s">
        <v>203</v>
      </c>
      <c r="TRJ11" s="314" t="s">
        <v>203</v>
      </c>
      <c r="TRK11" s="314" t="s">
        <v>203</v>
      </c>
      <c r="TRL11" s="314" t="s">
        <v>203</v>
      </c>
      <c r="TRM11" s="314" t="s">
        <v>203</v>
      </c>
      <c r="TRN11" s="314" t="s">
        <v>203</v>
      </c>
      <c r="TRO11" s="314" t="s">
        <v>203</v>
      </c>
      <c r="TRP11" s="314" t="s">
        <v>203</v>
      </c>
      <c r="TRQ11" s="314" t="s">
        <v>203</v>
      </c>
      <c r="TRR11" s="314" t="s">
        <v>203</v>
      </c>
      <c r="TRS11" s="314" t="s">
        <v>203</v>
      </c>
      <c r="TRT11" s="314" t="s">
        <v>203</v>
      </c>
      <c r="TRU11" s="314" t="s">
        <v>203</v>
      </c>
      <c r="TRV11" s="314" t="s">
        <v>203</v>
      </c>
      <c r="TRW11" s="314" t="s">
        <v>203</v>
      </c>
      <c r="TRX11" s="314" t="s">
        <v>203</v>
      </c>
      <c r="TRY11" s="314" t="s">
        <v>203</v>
      </c>
      <c r="TRZ11" s="314" t="s">
        <v>203</v>
      </c>
      <c r="TSA11" s="314" t="s">
        <v>203</v>
      </c>
      <c r="TSB11" s="314" t="s">
        <v>203</v>
      </c>
      <c r="TSC11" s="314" t="s">
        <v>203</v>
      </c>
      <c r="TSD11" s="314" t="s">
        <v>203</v>
      </c>
      <c r="TSE11" s="314" t="s">
        <v>203</v>
      </c>
      <c r="TSF11" s="314" t="s">
        <v>203</v>
      </c>
      <c r="TSG11" s="314" t="s">
        <v>203</v>
      </c>
      <c r="TSH11" s="314" t="s">
        <v>203</v>
      </c>
      <c r="TSI11" s="314" t="s">
        <v>203</v>
      </c>
      <c r="TSJ11" s="314" t="s">
        <v>203</v>
      </c>
      <c r="TSK11" s="314" t="s">
        <v>203</v>
      </c>
      <c r="TSL11" s="314" t="s">
        <v>203</v>
      </c>
      <c r="TSM11" s="314" t="s">
        <v>203</v>
      </c>
      <c r="TSN11" s="314" t="s">
        <v>203</v>
      </c>
      <c r="TSO11" s="314" t="s">
        <v>203</v>
      </c>
      <c r="TSP11" s="314" t="s">
        <v>203</v>
      </c>
      <c r="TSQ11" s="314" t="s">
        <v>203</v>
      </c>
      <c r="TSR11" s="314" t="s">
        <v>203</v>
      </c>
      <c r="TSS11" s="314" t="s">
        <v>203</v>
      </c>
      <c r="TST11" s="314" t="s">
        <v>203</v>
      </c>
      <c r="TSU11" s="314" t="s">
        <v>203</v>
      </c>
      <c r="TSV11" s="314" t="s">
        <v>203</v>
      </c>
      <c r="TSW11" s="314" t="s">
        <v>203</v>
      </c>
      <c r="TSX11" s="314" t="s">
        <v>203</v>
      </c>
      <c r="TSY11" s="314" t="s">
        <v>203</v>
      </c>
      <c r="TSZ11" s="314" t="s">
        <v>203</v>
      </c>
      <c r="TTA11" s="314" t="s">
        <v>203</v>
      </c>
      <c r="TTB11" s="314" t="s">
        <v>203</v>
      </c>
      <c r="TTC11" s="314" t="s">
        <v>203</v>
      </c>
      <c r="TTD11" s="314" t="s">
        <v>203</v>
      </c>
      <c r="TTE11" s="314" t="s">
        <v>203</v>
      </c>
      <c r="TTF11" s="314" t="s">
        <v>203</v>
      </c>
      <c r="TTG11" s="314" t="s">
        <v>203</v>
      </c>
      <c r="TTH11" s="314" t="s">
        <v>203</v>
      </c>
      <c r="TTI11" s="314" t="s">
        <v>203</v>
      </c>
      <c r="TTJ11" s="314" t="s">
        <v>203</v>
      </c>
      <c r="TTK11" s="314" t="s">
        <v>203</v>
      </c>
      <c r="TTL11" s="314" t="s">
        <v>203</v>
      </c>
      <c r="TTM11" s="314" t="s">
        <v>203</v>
      </c>
      <c r="TTN11" s="314" t="s">
        <v>203</v>
      </c>
      <c r="TTO11" s="314" t="s">
        <v>203</v>
      </c>
      <c r="TTP11" s="314" t="s">
        <v>203</v>
      </c>
      <c r="TTQ11" s="314" t="s">
        <v>203</v>
      </c>
      <c r="TTR11" s="314" t="s">
        <v>203</v>
      </c>
      <c r="TTS11" s="314" t="s">
        <v>203</v>
      </c>
      <c r="TTT11" s="314" t="s">
        <v>203</v>
      </c>
      <c r="TTU11" s="314" t="s">
        <v>203</v>
      </c>
      <c r="TTV11" s="314" t="s">
        <v>203</v>
      </c>
      <c r="TTW11" s="314" t="s">
        <v>203</v>
      </c>
      <c r="TTX11" s="314" t="s">
        <v>203</v>
      </c>
      <c r="TTY11" s="314" t="s">
        <v>203</v>
      </c>
      <c r="TTZ11" s="314" t="s">
        <v>203</v>
      </c>
      <c r="TUA11" s="314" t="s">
        <v>203</v>
      </c>
      <c r="TUB11" s="314" t="s">
        <v>203</v>
      </c>
      <c r="TUC11" s="314" t="s">
        <v>203</v>
      </c>
      <c r="TUD11" s="314" t="s">
        <v>203</v>
      </c>
      <c r="TUE11" s="314" t="s">
        <v>203</v>
      </c>
      <c r="TUF11" s="314" t="s">
        <v>203</v>
      </c>
      <c r="TUG11" s="314" t="s">
        <v>203</v>
      </c>
      <c r="TUH11" s="314" t="s">
        <v>203</v>
      </c>
      <c r="TUI11" s="314" t="s">
        <v>203</v>
      </c>
      <c r="TUJ11" s="314" t="s">
        <v>203</v>
      </c>
      <c r="TUK11" s="314" t="s">
        <v>203</v>
      </c>
      <c r="TUL11" s="314" t="s">
        <v>203</v>
      </c>
      <c r="TUM11" s="314" t="s">
        <v>203</v>
      </c>
      <c r="TUN11" s="314" t="s">
        <v>203</v>
      </c>
      <c r="TUO11" s="314" t="s">
        <v>203</v>
      </c>
      <c r="TUP11" s="314" t="s">
        <v>203</v>
      </c>
      <c r="TUQ11" s="314" t="s">
        <v>203</v>
      </c>
      <c r="TUR11" s="314" t="s">
        <v>203</v>
      </c>
      <c r="TUS11" s="314" t="s">
        <v>203</v>
      </c>
      <c r="TUT11" s="314" t="s">
        <v>203</v>
      </c>
      <c r="TUU11" s="314" t="s">
        <v>203</v>
      </c>
      <c r="TUV11" s="314" t="s">
        <v>203</v>
      </c>
      <c r="TUW11" s="314" t="s">
        <v>203</v>
      </c>
      <c r="TUX11" s="314" t="s">
        <v>203</v>
      </c>
      <c r="TUY11" s="314" t="s">
        <v>203</v>
      </c>
      <c r="TUZ11" s="314" t="s">
        <v>203</v>
      </c>
      <c r="TVA11" s="314" t="s">
        <v>203</v>
      </c>
      <c r="TVB11" s="314" t="s">
        <v>203</v>
      </c>
      <c r="TVC11" s="314" t="s">
        <v>203</v>
      </c>
      <c r="TVD11" s="314" t="s">
        <v>203</v>
      </c>
      <c r="TVE11" s="314" t="s">
        <v>203</v>
      </c>
      <c r="TVF11" s="314" t="s">
        <v>203</v>
      </c>
      <c r="TVG11" s="314" t="s">
        <v>203</v>
      </c>
      <c r="TVH11" s="314" t="s">
        <v>203</v>
      </c>
      <c r="TVI11" s="314" t="s">
        <v>203</v>
      </c>
      <c r="TVJ11" s="314" t="s">
        <v>203</v>
      </c>
      <c r="TVK11" s="314" t="s">
        <v>203</v>
      </c>
      <c r="TVL11" s="314" t="s">
        <v>203</v>
      </c>
      <c r="TVM11" s="314" t="s">
        <v>203</v>
      </c>
      <c r="TVN11" s="314" t="s">
        <v>203</v>
      </c>
      <c r="TVO11" s="314" t="s">
        <v>203</v>
      </c>
      <c r="TVP11" s="314" t="s">
        <v>203</v>
      </c>
      <c r="TVQ11" s="314" t="s">
        <v>203</v>
      </c>
      <c r="TVR11" s="314" t="s">
        <v>203</v>
      </c>
      <c r="TVS11" s="314" t="s">
        <v>203</v>
      </c>
      <c r="TVT11" s="314" t="s">
        <v>203</v>
      </c>
      <c r="TVU11" s="314" t="s">
        <v>203</v>
      </c>
      <c r="TVV11" s="314" t="s">
        <v>203</v>
      </c>
      <c r="TVW11" s="314" t="s">
        <v>203</v>
      </c>
      <c r="TVX11" s="314" t="s">
        <v>203</v>
      </c>
      <c r="TVY11" s="314" t="s">
        <v>203</v>
      </c>
      <c r="TVZ11" s="314" t="s">
        <v>203</v>
      </c>
      <c r="TWA11" s="314" t="s">
        <v>203</v>
      </c>
      <c r="TWB11" s="314" t="s">
        <v>203</v>
      </c>
      <c r="TWC11" s="314" t="s">
        <v>203</v>
      </c>
      <c r="TWD11" s="314" t="s">
        <v>203</v>
      </c>
      <c r="TWE11" s="314" t="s">
        <v>203</v>
      </c>
      <c r="TWF11" s="314" t="s">
        <v>203</v>
      </c>
      <c r="TWG11" s="314" t="s">
        <v>203</v>
      </c>
      <c r="TWH11" s="314" t="s">
        <v>203</v>
      </c>
      <c r="TWI11" s="314" t="s">
        <v>203</v>
      </c>
      <c r="TWJ11" s="314" t="s">
        <v>203</v>
      </c>
      <c r="TWK11" s="314" t="s">
        <v>203</v>
      </c>
      <c r="TWL11" s="314" t="s">
        <v>203</v>
      </c>
      <c r="TWM11" s="314" t="s">
        <v>203</v>
      </c>
      <c r="TWN11" s="314" t="s">
        <v>203</v>
      </c>
      <c r="TWO11" s="314" t="s">
        <v>203</v>
      </c>
      <c r="TWP11" s="314" t="s">
        <v>203</v>
      </c>
      <c r="TWQ11" s="314" t="s">
        <v>203</v>
      </c>
      <c r="TWR11" s="314" t="s">
        <v>203</v>
      </c>
      <c r="TWS11" s="314" t="s">
        <v>203</v>
      </c>
      <c r="TWT11" s="314" t="s">
        <v>203</v>
      </c>
      <c r="TWU11" s="314" t="s">
        <v>203</v>
      </c>
      <c r="TWV11" s="314" t="s">
        <v>203</v>
      </c>
      <c r="TWW11" s="314" t="s">
        <v>203</v>
      </c>
      <c r="TWX11" s="314" t="s">
        <v>203</v>
      </c>
      <c r="TWY11" s="314" t="s">
        <v>203</v>
      </c>
      <c r="TWZ11" s="314" t="s">
        <v>203</v>
      </c>
      <c r="TXA11" s="314" t="s">
        <v>203</v>
      </c>
      <c r="TXB11" s="314" t="s">
        <v>203</v>
      </c>
      <c r="TXC11" s="314" t="s">
        <v>203</v>
      </c>
      <c r="TXD11" s="314" t="s">
        <v>203</v>
      </c>
      <c r="TXE11" s="314" t="s">
        <v>203</v>
      </c>
      <c r="TXF11" s="314" t="s">
        <v>203</v>
      </c>
      <c r="TXG11" s="314" t="s">
        <v>203</v>
      </c>
      <c r="TXH11" s="314" t="s">
        <v>203</v>
      </c>
      <c r="TXI11" s="314" t="s">
        <v>203</v>
      </c>
      <c r="TXJ11" s="314" t="s">
        <v>203</v>
      </c>
      <c r="TXK11" s="314" t="s">
        <v>203</v>
      </c>
      <c r="TXL11" s="314" t="s">
        <v>203</v>
      </c>
      <c r="TXM11" s="314" t="s">
        <v>203</v>
      </c>
      <c r="TXN11" s="314" t="s">
        <v>203</v>
      </c>
      <c r="TXO11" s="314" t="s">
        <v>203</v>
      </c>
      <c r="TXP11" s="314" t="s">
        <v>203</v>
      </c>
      <c r="TXQ11" s="314" t="s">
        <v>203</v>
      </c>
      <c r="TXR11" s="314" t="s">
        <v>203</v>
      </c>
      <c r="TXS11" s="314" t="s">
        <v>203</v>
      </c>
      <c r="TXT11" s="314" t="s">
        <v>203</v>
      </c>
      <c r="TXU11" s="314" t="s">
        <v>203</v>
      </c>
      <c r="TXV11" s="314" t="s">
        <v>203</v>
      </c>
      <c r="TXW11" s="314" t="s">
        <v>203</v>
      </c>
      <c r="TXX11" s="314" t="s">
        <v>203</v>
      </c>
      <c r="TXY11" s="314" t="s">
        <v>203</v>
      </c>
      <c r="TXZ11" s="314" t="s">
        <v>203</v>
      </c>
      <c r="TYA11" s="314" t="s">
        <v>203</v>
      </c>
      <c r="TYB11" s="314" t="s">
        <v>203</v>
      </c>
      <c r="TYC11" s="314" t="s">
        <v>203</v>
      </c>
      <c r="TYD11" s="314" t="s">
        <v>203</v>
      </c>
      <c r="TYE11" s="314" t="s">
        <v>203</v>
      </c>
      <c r="TYF11" s="314" t="s">
        <v>203</v>
      </c>
      <c r="TYG11" s="314" t="s">
        <v>203</v>
      </c>
      <c r="TYH11" s="314" t="s">
        <v>203</v>
      </c>
      <c r="TYI11" s="314" t="s">
        <v>203</v>
      </c>
      <c r="TYJ11" s="314" t="s">
        <v>203</v>
      </c>
      <c r="TYK11" s="314" t="s">
        <v>203</v>
      </c>
      <c r="TYL11" s="314" t="s">
        <v>203</v>
      </c>
      <c r="TYM11" s="314" t="s">
        <v>203</v>
      </c>
      <c r="TYN11" s="314" t="s">
        <v>203</v>
      </c>
      <c r="TYO11" s="314" t="s">
        <v>203</v>
      </c>
      <c r="TYP11" s="314" t="s">
        <v>203</v>
      </c>
      <c r="TYQ11" s="314" t="s">
        <v>203</v>
      </c>
      <c r="TYR11" s="314" t="s">
        <v>203</v>
      </c>
      <c r="TYS11" s="314" t="s">
        <v>203</v>
      </c>
      <c r="TYT11" s="314" t="s">
        <v>203</v>
      </c>
      <c r="TYU11" s="314" t="s">
        <v>203</v>
      </c>
      <c r="TYV11" s="314" t="s">
        <v>203</v>
      </c>
      <c r="TYW11" s="314" t="s">
        <v>203</v>
      </c>
      <c r="TYX11" s="314" t="s">
        <v>203</v>
      </c>
      <c r="TYY11" s="314" t="s">
        <v>203</v>
      </c>
      <c r="TYZ11" s="314" t="s">
        <v>203</v>
      </c>
      <c r="TZA11" s="314" t="s">
        <v>203</v>
      </c>
      <c r="TZB11" s="314" t="s">
        <v>203</v>
      </c>
      <c r="TZC11" s="314" t="s">
        <v>203</v>
      </c>
      <c r="TZD11" s="314" t="s">
        <v>203</v>
      </c>
      <c r="TZE11" s="314" t="s">
        <v>203</v>
      </c>
      <c r="TZF11" s="314" t="s">
        <v>203</v>
      </c>
      <c r="TZG11" s="314" t="s">
        <v>203</v>
      </c>
      <c r="TZH11" s="314" t="s">
        <v>203</v>
      </c>
      <c r="TZI11" s="314" t="s">
        <v>203</v>
      </c>
      <c r="TZJ11" s="314" t="s">
        <v>203</v>
      </c>
      <c r="TZK11" s="314" t="s">
        <v>203</v>
      </c>
      <c r="TZL11" s="314" t="s">
        <v>203</v>
      </c>
      <c r="TZM11" s="314" t="s">
        <v>203</v>
      </c>
      <c r="TZN11" s="314" t="s">
        <v>203</v>
      </c>
      <c r="TZO11" s="314" t="s">
        <v>203</v>
      </c>
      <c r="TZP11" s="314" t="s">
        <v>203</v>
      </c>
      <c r="TZQ11" s="314" t="s">
        <v>203</v>
      </c>
      <c r="TZR11" s="314" t="s">
        <v>203</v>
      </c>
      <c r="TZS11" s="314" t="s">
        <v>203</v>
      </c>
      <c r="TZT11" s="314" t="s">
        <v>203</v>
      </c>
      <c r="TZU11" s="314" t="s">
        <v>203</v>
      </c>
      <c r="TZV11" s="314" t="s">
        <v>203</v>
      </c>
      <c r="TZW11" s="314" t="s">
        <v>203</v>
      </c>
      <c r="TZX11" s="314" t="s">
        <v>203</v>
      </c>
      <c r="TZY11" s="314" t="s">
        <v>203</v>
      </c>
      <c r="TZZ11" s="314" t="s">
        <v>203</v>
      </c>
      <c r="UAA11" s="314" t="s">
        <v>203</v>
      </c>
      <c r="UAB11" s="314" t="s">
        <v>203</v>
      </c>
      <c r="UAC11" s="314" t="s">
        <v>203</v>
      </c>
      <c r="UAD11" s="314" t="s">
        <v>203</v>
      </c>
      <c r="UAE11" s="314" t="s">
        <v>203</v>
      </c>
      <c r="UAF11" s="314" t="s">
        <v>203</v>
      </c>
      <c r="UAG11" s="314" t="s">
        <v>203</v>
      </c>
      <c r="UAH11" s="314" t="s">
        <v>203</v>
      </c>
      <c r="UAI11" s="314" t="s">
        <v>203</v>
      </c>
      <c r="UAJ11" s="314" t="s">
        <v>203</v>
      </c>
      <c r="UAK11" s="314" t="s">
        <v>203</v>
      </c>
      <c r="UAL11" s="314" t="s">
        <v>203</v>
      </c>
      <c r="UAM11" s="314" t="s">
        <v>203</v>
      </c>
      <c r="UAN11" s="314" t="s">
        <v>203</v>
      </c>
      <c r="UAO11" s="314" t="s">
        <v>203</v>
      </c>
      <c r="UAP11" s="314" t="s">
        <v>203</v>
      </c>
      <c r="UAQ11" s="314" t="s">
        <v>203</v>
      </c>
      <c r="UAR11" s="314" t="s">
        <v>203</v>
      </c>
      <c r="UAS11" s="314" t="s">
        <v>203</v>
      </c>
      <c r="UAT11" s="314" t="s">
        <v>203</v>
      </c>
      <c r="UAU11" s="314" t="s">
        <v>203</v>
      </c>
      <c r="UAV11" s="314" t="s">
        <v>203</v>
      </c>
      <c r="UAW11" s="314" t="s">
        <v>203</v>
      </c>
      <c r="UAX11" s="314" t="s">
        <v>203</v>
      </c>
      <c r="UAY11" s="314" t="s">
        <v>203</v>
      </c>
      <c r="UAZ11" s="314" t="s">
        <v>203</v>
      </c>
      <c r="UBA11" s="314" t="s">
        <v>203</v>
      </c>
      <c r="UBB11" s="314" t="s">
        <v>203</v>
      </c>
      <c r="UBC11" s="314" t="s">
        <v>203</v>
      </c>
      <c r="UBD11" s="314" t="s">
        <v>203</v>
      </c>
      <c r="UBE11" s="314" t="s">
        <v>203</v>
      </c>
      <c r="UBF11" s="314" t="s">
        <v>203</v>
      </c>
      <c r="UBG11" s="314" t="s">
        <v>203</v>
      </c>
      <c r="UBH11" s="314" t="s">
        <v>203</v>
      </c>
      <c r="UBI11" s="314" t="s">
        <v>203</v>
      </c>
      <c r="UBJ11" s="314" t="s">
        <v>203</v>
      </c>
      <c r="UBK11" s="314" t="s">
        <v>203</v>
      </c>
      <c r="UBL11" s="314" t="s">
        <v>203</v>
      </c>
      <c r="UBM11" s="314" t="s">
        <v>203</v>
      </c>
      <c r="UBN11" s="314" t="s">
        <v>203</v>
      </c>
      <c r="UBO11" s="314" t="s">
        <v>203</v>
      </c>
      <c r="UBP11" s="314" t="s">
        <v>203</v>
      </c>
      <c r="UBQ11" s="314" t="s">
        <v>203</v>
      </c>
      <c r="UBR11" s="314" t="s">
        <v>203</v>
      </c>
      <c r="UBS11" s="314" t="s">
        <v>203</v>
      </c>
      <c r="UBT11" s="314" t="s">
        <v>203</v>
      </c>
      <c r="UBU11" s="314" t="s">
        <v>203</v>
      </c>
      <c r="UBV11" s="314" t="s">
        <v>203</v>
      </c>
      <c r="UBW11" s="314" t="s">
        <v>203</v>
      </c>
      <c r="UBX11" s="314" t="s">
        <v>203</v>
      </c>
      <c r="UBY11" s="314" t="s">
        <v>203</v>
      </c>
      <c r="UBZ11" s="314" t="s">
        <v>203</v>
      </c>
      <c r="UCA11" s="314" t="s">
        <v>203</v>
      </c>
      <c r="UCB11" s="314" t="s">
        <v>203</v>
      </c>
      <c r="UCC11" s="314" t="s">
        <v>203</v>
      </c>
      <c r="UCD11" s="314" t="s">
        <v>203</v>
      </c>
      <c r="UCE11" s="314" t="s">
        <v>203</v>
      </c>
      <c r="UCF11" s="314" t="s">
        <v>203</v>
      </c>
      <c r="UCG11" s="314" t="s">
        <v>203</v>
      </c>
      <c r="UCH11" s="314" t="s">
        <v>203</v>
      </c>
      <c r="UCI11" s="314" t="s">
        <v>203</v>
      </c>
      <c r="UCJ11" s="314" t="s">
        <v>203</v>
      </c>
      <c r="UCK11" s="314" t="s">
        <v>203</v>
      </c>
      <c r="UCL11" s="314" t="s">
        <v>203</v>
      </c>
      <c r="UCM11" s="314" t="s">
        <v>203</v>
      </c>
      <c r="UCN11" s="314" t="s">
        <v>203</v>
      </c>
      <c r="UCO11" s="314" t="s">
        <v>203</v>
      </c>
      <c r="UCP11" s="314" t="s">
        <v>203</v>
      </c>
      <c r="UCQ11" s="314" t="s">
        <v>203</v>
      </c>
      <c r="UCR11" s="314" t="s">
        <v>203</v>
      </c>
      <c r="UCS11" s="314" t="s">
        <v>203</v>
      </c>
      <c r="UCT11" s="314" t="s">
        <v>203</v>
      </c>
      <c r="UCU11" s="314" t="s">
        <v>203</v>
      </c>
      <c r="UCV11" s="314" t="s">
        <v>203</v>
      </c>
      <c r="UCW11" s="314" t="s">
        <v>203</v>
      </c>
      <c r="UCX11" s="314" t="s">
        <v>203</v>
      </c>
      <c r="UCY11" s="314" t="s">
        <v>203</v>
      </c>
      <c r="UCZ11" s="314" t="s">
        <v>203</v>
      </c>
      <c r="UDA11" s="314" t="s">
        <v>203</v>
      </c>
      <c r="UDB11" s="314" t="s">
        <v>203</v>
      </c>
      <c r="UDC11" s="314" t="s">
        <v>203</v>
      </c>
      <c r="UDD11" s="314" t="s">
        <v>203</v>
      </c>
      <c r="UDE11" s="314" t="s">
        <v>203</v>
      </c>
      <c r="UDF11" s="314" t="s">
        <v>203</v>
      </c>
      <c r="UDG11" s="314" t="s">
        <v>203</v>
      </c>
      <c r="UDH11" s="314" t="s">
        <v>203</v>
      </c>
      <c r="UDI11" s="314" t="s">
        <v>203</v>
      </c>
      <c r="UDJ11" s="314" t="s">
        <v>203</v>
      </c>
      <c r="UDK11" s="314" t="s">
        <v>203</v>
      </c>
      <c r="UDL11" s="314" t="s">
        <v>203</v>
      </c>
      <c r="UDM11" s="314" t="s">
        <v>203</v>
      </c>
      <c r="UDN11" s="314" t="s">
        <v>203</v>
      </c>
      <c r="UDO11" s="314" t="s">
        <v>203</v>
      </c>
      <c r="UDP11" s="314" t="s">
        <v>203</v>
      </c>
      <c r="UDQ11" s="314" t="s">
        <v>203</v>
      </c>
      <c r="UDR11" s="314" t="s">
        <v>203</v>
      </c>
      <c r="UDS11" s="314" t="s">
        <v>203</v>
      </c>
      <c r="UDT11" s="314" t="s">
        <v>203</v>
      </c>
      <c r="UDU11" s="314" t="s">
        <v>203</v>
      </c>
      <c r="UDV11" s="314" t="s">
        <v>203</v>
      </c>
      <c r="UDW11" s="314" t="s">
        <v>203</v>
      </c>
      <c r="UDX11" s="314" t="s">
        <v>203</v>
      </c>
      <c r="UDY11" s="314" t="s">
        <v>203</v>
      </c>
      <c r="UDZ11" s="314" t="s">
        <v>203</v>
      </c>
      <c r="UEA11" s="314" t="s">
        <v>203</v>
      </c>
      <c r="UEB11" s="314" t="s">
        <v>203</v>
      </c>
      <c r="UEC11" s="314" t="s">
        <v>203</v>
      </c>
      <c r="UED11" s="314" t="s">
        <v>203</v>
      </c>
      <c r="UEE11" s="314" t="s">
        <v>203</v>
      </c>
      <c r="UEF11" s="314" t="s">
        <v>203</v>
      </c>
      <c r="UEG11" s="314" t="s">
        <v>203</v>
      </c>
      <c r="UEH11" s="314" t="s">
        <v>203</v>
      </c>
      <c r="UEI11" s="314" t="s">
        <v>203</v>
      </c>
      <c r="UEJ11" s="314" t="s">
        <v>203</v>
      </c>
      <c r="UEK11" s="314" t="s">
        <v>203</v>
      </c>
      <c r="UEL11" s="314" t="s">
        <v>203</v>
      </c>
      <c r="UEM11" s="314" t="s">
        <v>203</v>
      </c>
      <c r="UEN11" s="314" t="s">
        <v>203</v>
      </c>
      <c r="UEO11" s="314" t="s">
        <v>203</v>
      </c>
      <c r="UEP11" s="314" t="s">
        <v>203</v>
      </c>
      <c r="UEQ11" s="314" t="s">
        <v>203</v>
      </c>
      <c r="UER11" s="314" t="s">
        <v>203</v>
      </c>
      <c r="UES11" s="314" t="s">
        <v>203</v>
      </c>
      <c r="UET11" s="314" t="s">
        <v>203</v>
      </c>
      <c r="UEU11" s="314" t="s">
        <v>203</v>
      </c>
      <c r="UEV11" s="314" t="s">
        <v>203</v>
      </c>
      <c r="UEW11" s="314" t="s">
        <v>203</v>
      </c>
      <c r="UEX11" s="314" t="s">
        <v>203</v>
      </c>
      <c r="UEY11" s="314" t="s">
        <v>203</v>
      </c>
      <c r="UEZ11" s="314" t="s">
        <v>203</v>
      </c>
      <c r="UFA11" s="314" t="s">
        <v>203</v>
      </c>
      <c r="UFB11" s="314" t="s">
        <v>203</v>
      </c>
      <c r="UFC11" s="314" t="s">
        <v>203</v>
      </c>
      <c r="UFD11" s="314" t="s">
        <v>203</v>
      </c>
      <c r="UFE11" s="314" t="s">
        <v>203</v>
      </c>
      <c r="UFF11" s="314" t="s">
        <v>203</v>
      </c>
      <c r="UFG11" s="314" t="s">
        <v>203</v>
      </c>
      <c r="UFH11" s="314" t="s">
        <v>203</v>
      </c>
      <c r="UFI11" s="314" t="s">
        <v>203</v>
      </c>
      <c r="UFJ11" s="314" t="s">
        <v>203</v>
      </c>
      <c r="UFK11" s="314" t="s">
        <v>203</v>
      </c>
      <c r="UFL11" s="314" t="s">
        <v>203</v>
      </c>
      <c r="UFM11" s="314" t="s">
        <v>203</v>
      </c>
      <c r="UFN11" s="314" t="s">
        <v>203</v>
      </c>
      <c r="UFO11" s="314" t="s">
        <v>203</v>
      </c>
      <c r="UFP11" s="314" t="s">
        <v>203</v>
      </c>
      <c r="UFQ11" s="314" t="s">
        <v>203</v>
      </c>
      <c r="UFR11" s="314" t="s">
        <v>203</v>
      </c>
      <c r="UFS11" s="314" t="s">
        <v>203</v>
      </c>
      <c r="UFT11" s="314" t="s">
        <v>203</v>
      </c>
      <c r="UFU11" s="314" t="s">
        <v>203</v>
      </c>
      <c r="UFV11" s="314" t="s">
        <v>203</v>
      </c>
      <c r="UFW11" s="314" t="s">
        <v>203</v>
      </c>
      <c r="UFX11" s="314" t="s">
        <v>203</v>
      </c>
      <c r="UFY11" s="314" t="s">
        <v>203</v>
      </c>
      <c r="UFZ11" s="314" t="s">
        <v>203</v>
      </c>
      <c r="UGA11" s="314" t="s">
        <v>203</v>
      </c>
      <c r="UGB11" s="314" t="s">
        <v>203</v>
      </c>
      <c r="UGC11" s="314" t="s">
        <v>203</v>
      </c>
      <c r="UGD11" s="314" t="s">
        <v>203</v>
      </c>
      <c r="UGE11" s="314" t="s">
        <v>203</v>
      </c>
      <c r="UGF11" s="314" t="s">
        <v>203</v>
      </c>
      <c r="UGG11" s="314" t="s">
        <v>203</v>
      </c>
      <c r="UGH11" s="314" t="s">
        <v>203</v>
      </c>
      <c r="UGI11" s="314" t="s">
        <v>203</v>
      </c>
      <c r="UGJ11" s="314" t="s">
        <v>203</v>
      </c>
      <c r="UGK11" s="314" t="s">
        <v>203</v>
      </c>
      <c r="UGL11" s="314" t="s">
        <v>203</v>
      </c>
      <c r="UGM11" s="314" t="s">
        <v>203</v>
      </c>
      <c r="UGN11" s="314" t="s">
        <v>203</v>
      </c>
      <c r="UGO11" s="314" t="s">
        <v>203</v>
      </c>
      <c r="UGP11" s="314" t="s">
        <v>203</v>
      </c>
      <c r="UGQ11" s="314" t="s">
        <v>203</v>
      </c>
      <c r="UGR11" s="314" t="s">
        <v>203</v>
      </c>
      <c r="UGS11" s="314" t="s">
        <v>203</v>
      </c>
      <c r="UGT11" s="314" t="s">
        <v>203</v>
      </c>
      <c r="UGU11" s="314" t="s">
        <v>203</v>
      </c>
      <c r="UGV11" s="314" t="s">
        <v>203</v>
      </c>
      <c r="UGW11" s="314" t="s">
        <v>203</v>
      </c>
      <c r="UGX11" s="314" t="s">
        <v>203</v>
      </c>
      <c r="UGY11" s="314" t="s">
        <v>203</v>
      </c>
      <c r="UGZ11" s="314" t="s">
        <v>203</v>
      </c>
      <c r="UHA11" s="314" t="s">
        <v>203</v>
      </c>
      <c r="UHB11" s="314" t="s">
        <v>203</v>
      </c>
      <c r="UHC11" s="314" t="s">
        <v>203</v>
      </c>
      <c r="UHD11" s="314" t="s">
        <v>203</v>
      </c>
      <c r="UHE11" s="314" t="s">
        <v>203</v>
      </c>
      <c r="UHF11" s="314" t="s">
        <v>203</v>
      </c>
      <c r="UHG11" s="314" t="s">
        <v>203</v>
      </c>
      <c r="UHH11" s="314" t="s">
        <v>203</v>
      </c>
      <c r="UHI11" s="314" t="s">
        <v>203</v>
      </c>
      <c r="UHJ11" s="314" t="s">
        <v>203</v>
      </c>
      <c r="UHK11" s="314" t="s">
        <v>203</v>
      </c>
      <c r="UHL11" s="314" t="s">
        <v>203</v>
      </c>
      <c r="UHM11" s="314" t="s">
        <v>203</v>
      </c>
      <c r="UHN11" s="314" t="s">
        <v>203</v>
      </c>
      <c r="UHO11" s="314" t="s">
        <v>203</v>
      </c>
      <c r="UHP11" s="314" t="s">
        <v>203</v>
      </c>
      <c r="UHQ11" s="314" t="s">
        <v>203</v>
      </c>
      <c r="UHR11" s="314" t="s">
        <v>203</v>
      </c>
      <c r="UHS11" s="314" t="s">
        <v>203</v>
      </c>
      <c r="UHT11" s="314" t="s">
        <v>203</v>
      </c>
      <c r="UHU11" s="314" t="s">
        <v>203</v>
      </c>
      <c r="UHV11" s="314" t="s">
        <v>203</v>
      </c>
      <c r="UHW11" s="314" t="s">
        <v>203</v>
      </c>
      <c r="UHX11" s="314" t="s">
        <v>203</v>
      </c>
      <c r="UHY11" s="314" t="s">
        <v>203</v>
      </c>
      <c r="UHZ11" s="314" t="s">
        <v>203</v>
      </c>
      <c r="UIA11" s="314" t="s">
        <v>203</v>
      </c>
      <c r="UIB11" s="314" t="s">
        <v>203</v>
      </c>
      <c r="UIC11" s="314" t="s">
        <v>203</v>
      </c>
      <c r="UID11" s="314" t="s">
        <v>203</v>
      </c>
      <c r="UIE11" s="314" t="s">
        <v>203</v>
      </c>
      <c r="UIF11" s="314" t="s">
        <v>203</v>
      </c>
      <c r="UIG11" s="314" t="s">
        <v>203</v>
      </c>
      <c r="UIH11" s="314" t="s">
        <v>203</v>
      </c>
      <c r="UII11" s="314" t="s">
        <v>203</v>
      </c>
      <c r="UIJ11" s="314" t="s">
        <v>203</v>
      </c>
      <c r="UIK11" s="314" t="s">
        <v>203</v>
      </c>
      <c r="UIL11" s="314" t="s">
        <v>203</v>
      </c>
      <c r="UIM11" s="314" t="s">
        <v>203</v>
      </c>
      <c r="UIN11" s="314" t="s">
        <v>203</v>
      </c>
      <c r="UIO11" s="314" t="s">
        <v>203</v>
      </c>
      <c r="UIP11" s="314" t="s">
        <v>203</v>
      </c>
      <c r="UIQ11" s="314" t="s">
        <v>203</v>
      </c>
      <c r="UIR11" s="314" t="s">
        <v>203</v>
      </c>
      <c r="UIS11" s="314" t="s">
        <v>203</v>
      </c>
      <c r="UIT11" s="314" t="s">
        <v>203</v>
      </c>
      <c r="UIU11" s="314" t="s">
        <v>203</v>
      </c>
      <c r="UIV11" s="314" t="s">
        <v>203</v>
      </c>
      <c r="UIW11" s="314" t="s">
        <v>203</v>
      </c>
      <c r="UIX11" s="314" t="s">
        <v>203</v>
      </c>
      <c r="UIY11" s="314" t="s">
        <v>203</v>
      </c>
      <c r="UIZ11" s="314" t="s">
        <v>203</v>
      </c>
      <c r="UJA11" s="314" t="s">
        <v>203</v>
      </c>
      <c r="UJB11" s="314" t="s">
        <v>203</v>
      </c>
      <c r="UJC11" s="314" t="s">
        <v>203</v>
      </c>
      <c r="UJD11" s="314" t="s">
        <v>203</v>
      </c>
      <c r="UJE11" s="314" t="s">
        <v>203</v>
      </c>
      <c r="UJF11" s="314" t="s">
        <v>203</v>
      </c>
      <c r="UJG11" s="314" t="s">
        <v>203</v>
      </c>
      <c r="UJH11" s="314" t="s">
        <v>203</v>
      </c>
      <c r="UJI11" s="314" t="s">
        <v>203</v>
      </c>
      <c r="UJJ11" s="314" t="s">
        <v>203</v>
      </c>
      <c r="UJK11" s="314" t="s">
        <v>203</v>
      </c>
      <c r="UJL11" s="314" t="s">
        <v>203</v>
      </c>
      <c r="UJM11" s="314" t="s">
        <v>203</v>
      </c>
      <c r="UJN11" s="314" t="s">
        <v>203</v>
      </c>
      <c r="UJO11" s="314" t="s">
        <v>203</v>
      </c>
      <c r="UJP11" s="314" t="s">
        <v>203</v>
      </c>
      <c r="UJQ11" s="314" t="s">
        <v>203</v>
      </c>
      <c r="UJR11" s="314" t="s">
        <v>203</v>
      </c>
      <c r="UJS11" s="314" t="s">
        <v>203</v>
      </c>
      <c r="UJT11" s="314" t="s">
        <v>203</v>
      </c>
      <c r="UJU11" s="314" t="s">
        <v>203</v>
      </c>
      <c r="UJV11" s="314" t="s">
        <v>203</v>
      </c>
      <c r="UJW11" s="314" t="s">
        <v>203</v>
      </c>
      <c r="UJX11" s="314" t="s">
        <v>203</v>
      </c>
      <c r="UJY11" s="314" t="s">
        <v>203</v>
      </c>
      <c r="UJZ11" s="314" t="s">
        <v>203</v>
      </c>
      <c r="UKA11" s="314" t="s">
        <v>203</v>
      </c>
      <c r="UKB11" s="314" t="s">
        <v>203</v>
      </c>
      <c r="UKC11" s="314" t="s">
        <v>203</v>
      </c>
      <c r="UKD11" s="314" t="s">
        <v>203</v>
      </c>
      <c r="UKE11" s="314" t="s">
        <v>203</v>
      </c>
      <c r="UKF11" s="314" t="s">
        <v>203</v>
      </c>
      <c r="UKG11" s="314" t="s">
        <v>203</v>
      </c>
      <c r="UKH11" s="314" t="s">
        <v>203</v>
      </c>
      <c r="UKI11" s="314" t="s">
        <v>203</v>
      </c>
      <c r="UKJ11" s="314" t="s">
        <v>203</v>
      </c>
      <c r="UKK11" s="314" t="s">
        <v>203</v>
      </c>
      <c r="UKL11" s="314" t="s">
        <v>203</v>
      </c>
      <c r="UKM11" s="314" t="s">
        <v>203</v>
      </c>
      <c r="UKN11" s="314" t="s">
        <v>203</v>
      </c>
      <c r="UKO11" s="314" t="s">
        <v>203</v>
      </c>
      <c r="UKP11" s="314" t="s">
        <v>203</v>
      </c>
      <c r="UKQ11" s="314" t="s">
        <v>203</v>
      </c>
      <c r="UKR11" s="314" t="s">
        <v>203</v>
      </c>
      <c r="UKS11" s="314" t="s">
        <v>203</v>
      </c>
      <c r="UKT11" s="314" t="s">
        <v>203</v>
      </c>
      <c r="UKU11" s="314" t="s">
        <v>203</v>
      </c>
      <c r="UKV11" s="314" t="s">
        <v>203</v>
      </c>
      <c r="UKW11" s="314" t="s">
        <v>203</v>
      </c>
      <c r="UKX11" s="314" t="s">
        <v>203</v>
      </c>
      <c r="UKY11" s="314" t="s">
        <v>203</v>
      </c>
      <c r="UKZ11" s="314" t="s">
        <v>203</v>
      </c>
      <c r="ULA11" s="314" t="s">
        <v>203</v>
      </c>
      <c r="ULB11" s="314" t="s">
        <v>203</v>
      </c>
      <c r="ULC11" s="314" t="s">
        <v>203</v>
      </c>
      <c r="ULD11" s="314" t="s">
        <v>203</v>
      </c>
      <c r="ULE11" s="314" t="s">
        <v>203</v>
      </c>
      <c r="ULF11" s="314" t="s">
        <v>203</v>
      </c>
      <c r="ULG11" s="314" t="s">
        <v>203</v>
      </c>
      <c r="ULH11" s="314" t="s">
        <v>203</v>
      </c>
      <c r="ULI11" s="314" t="s">
        <v>203</v>
      </c>
      <c r="ULJ11" s="314" t="s">
        <v>203</v>
      </c>
      <c r="ULK11" s="314" t="s">
        <v>203</v>
      </c>
      <c r="ULL11" s="314" t="s">
        <v>203</v>
      </c>
      <c r="ULM11" s="314" t="s">
        <v>203</v>
      </c>
      <c r="ULN11" s="314" t="s">
        <v>203</v>
      </c>
      <c r="ULO11" s="314" t="s">
        <v>203</v>
      </c>
      <c r="ULP11" s="314" t="s">
        <v>203</v>
      </c>
      <c r="ULQ11" s="314" t="s">
        <v>203</v>
      </c>
      <c r="ULR11" s="314" t="s">
        <v>203</v>
      </c>
      <c r="ULS11" s="314" t="s">
        <v>203</v>
      </c>
      <c r="ULT11" s="314" t="s">
        <v>203</v>
      </c>
      <c r="ULU11" s="314" t="s">
        <v>203</v>
      </c>
      <c r="ULV11" s="314" t="s">
        <v>203</v>
      </c>
      <c r="ULW11" s="314" t="s">
        <v>203</v>
      </c>
      <c r="ULX11" s="314" t="s">
        <v>203</v>
      </c>
      <c r="ULY11" s="314" t="s">
        <v>203</v>
      </c>
      <c r="ULZ11" s="314" t="s">
        <v>203</v>
      </c>
      <c r="UMA11" s="314" t="s">
        <v>203</v>
      </c>
      <c r="UMB11" s="314" t="s">
        <v>203</v>
      </c>
      <c r="UMC11" s="314" t="s">
        <v>203</v>
      </c>
      <c r="UMD11" s="314" t="s">
        <v>203</v>
      </c>
      <c r="UME11" s="314" t="s">
        <v>203</v>
      </c>
      <c r="UMF11" s="314" t="s">
        <v>203</v>
      </c>
      <c r="UMG11" s="314" t="s">
        <v>203</v>
      </c>
      <c r="UMH11" s="314" t="s">
        <v>203</v>
      </c>
      <c r="UMI11" s="314" t="s">
        <v>203</v>
      </c>
      <c r="UMJ11" s="314" t="s">
        <v>203</v>
      </c>
      <c r="UMK11" s="314" t="s">
        <v>203</v>
      </c>
      <c r="UML11" s="314" t="s">
        <v>203</v>
      </c>
      <c r="UMM11" s="314" t="s">
        <v>203</v>
      </c>
      <c r="UMN11" s="314" t="s">
        <v>203</v>
      </c>
      <c r="UMO11" s="314" t="s">
        <v>203</v>
      </c>
      <c r="UMP11" s="314" t="s">
        <v>203</v>
      </c>
      <c r="UMQ11" s="314" t="s">
        <v>203</v>
      </c>
      <c r="UMR11" s="314" t="s">
        <v>203</v>
      </c>
      <c r="UMS11" s="314" t="s">
        <v>203</v>
      </c>
      <c r="UMT11" s="314" t="s">
        <v>203</v>
      </c>
      <c r="UMU11" s="314" t="s">
        <v>203</v>
      </c>
      <c r="UMV11" s="314" t="s">
        <v>203</v>
      </c>
      <c r="UMW11" s="314" t="s">
        <v>203</v>
      </c>
      <c r="UMX11" s="314" t="s">
        <v>203</v>
      </c>
      <c r="UMY11" s="314" t="s">
        <v>203</v>
      </c>
      <c r="UMZ11" s="314" t="s">
        <v>203</v>
      </c>
      <c r="UNA11" s="314" t="s">
        <v>203</v>
      </c>
      <c r="UNB11" s="314" t="s">
        <v>203</v>
      </c>
      <c r="UNC11" s="314" t="s">
        <v>203</v>
      </c>
      <c r="UND11" s="314" t="s">
        <v>203</v>
      </c>
      <c r="UNE11" s="314" t="s">
        <v>203</v>
      </c>
      <c r="UNF11" s="314" t="s">
        <v>203</v>
      </c>
      <c r="UNG11" s="314" t="s">
        <v>203</v>
      </c>
      <c r="UNH11" s="314" t="s">
        <v>203</v>
      </c>
      <c r="UNI11" s="314" t="s">
        <v>203</v>
      </c>
      <c r="UNJ11" s="314" t="s">
        <v>203</v>
      </c>
      <c r="UNK11" s="314" t="s">
        <v>203</v>
      </c>
      <c r="UNL11" s="314" t="s">
        <v>203</v>
      </c>
      <c r="UNM11" s="314" t="s">
        <v>203</v>
      </c>
      <c r="UNN11" s="314" t="s">
        <v>203</v>
      </c>
      <c r="UNO11" s="314" t="s">
        <v>203</v>
      </c>
      <c r="UNP11" s="314" t="s">
        <v>203</v>
      </c>
      <c r="UNQ11" s="314" t="s">
        <v>203</v>
      </c>
      <c r="UNR11" s="314" t="s">
        <v>203</v>
      </c>
      <c r="UNS11" s="314" t="s">
        <v>203</v>
      </c>
      <c r="UNT11" s="314" t="s">
        <v>203</v>
      </c>
      <c r="UNU11" s="314" t="s">
        <v>203</v>
      </c>
      <c r="UNV11" s="314" t="s">
        <v>203</v>
      </c>
      <c r="UNW11" s="314" t="s">
        <v>203</v>
      </c>
      <c r="UNX11" s="314" t="s">
        <v>203</v>
      </c>
      <c r="UNY11" s="314" t="s">
        <v>203</v>
      </c>
      <c r="UNZ11" s="314" t="s">
        <v>203</v>
      </c>
      <c r="UOA11" s="314" t="s">
        <v>203</v>
      </c>
      <c r="UOB11" s="314" t="s">
        <v>203</v>
      </c>
      <c r="UOC11" s="314" t="s">
        <v>203</v>
      </c>
      <c r="UOD11" s="314" t="s">
        <v>203</v>
      </c>
      <c r="UOE11" s="314" t="s">
        <v>203</v>
      </c>
      <c r="UOF11" s="314" t="s">
        <v>203</v>
      </c>
      <c r="UOG11" s="314" t="s">
        <v>203</v>
      </c>
      <c r="UOH11" s="314" t="s">
        <v>203</v>
      </c>
      <c r="UOI11" s="314" t="s">
        <v>203</v>
      </c>
      <c r="UOJ11" s="314" t="s">
        <v>203</v>
      </c>
      <c r="UOK11" s="314" t="s">
        <v>203</v>
      </c>
      <c r="UOL11" s="314" t="s">
        <v>203</v>
      </c>
      <c r="UOM11" s="314" t="s">
        <v>203</v>
      </c>
      <c r="UON11" s="314" t="s">
        <v>203</v>
      </c>
      <c r="UOO11" s="314" t="s">
        <v>203</v>
      </c>
      <c r="UOP11" s="314" t="s">
        <v>203</v>
      </c>
      <c r="UOQ11" s="314" t="s">
        <v>203</v>
      </c>
      <c r="UOR11" s="314" t="s">
        <v>203</v>
      </c>
      <c r="UOS11" s="314" t="s">
        <v>203</v>
      </c>
      <c r="UOT11" s="314" t="s">
        <v>203</v>
      </c>
      <c r="UOU11" s="314" t="s">
        <v>203</v>
      </c>
      <c r="UOV11" s="314" t="s">
        <v>203</v>
      </c>
      <c r="UOW11" s="314" t="s">
        <v>203</v>
      </c>
      <c r="UOX11" s="314" t="s">
        <v>203</v>
      </c>
      <c r="UOY11" s="314" t="s">
        <v>203</v>
      </c>
      <c r="UOZ11" s="314" t="s">
        <v>203</v>
      </c>
      <c r="UPA11" s="314" t="s">
        <v>203</v>
      </c>
      <c r="UPB11" s="314" t="s">
        <v>203</v>
      </c>
      <c r="UPC11" s="314" t="s">
        <v>203</v>
      </c>
      <c r="UPD11" s="314" t="s">
        <v>203</v>
      </c>
      <c r="UPE11" s="314" t="s">
        <v>203</v>
      </c>
      <c r="UPF11" s="314" t="s">
        <v>203</v>
      </c>
      <c r="UPG11" s="314" t="s">
        <v>203</v>
      </c>
      <c r="UPH11" s="314" t="s">
        <v>203</v>
      </c>
      <c r="UPI11" s="314" t="s">
        <v>203</v>
      </c>
      <c r="UPJ11" s="314" t="s">
        <v>203</v>
      </c>
      <c r="UPK11" s="314" t="s">
        <v>203</v>
      </c>
      <c r="UPL11" s="314" t="s">
        <v>203</v>
      </c>
      <c r="UPM11" s="314" t="s">
        <v>203</v>
      </c>
      <c r="UPN11" s="314" t="s">
        <v>203</v>
      </c>
      <c r="UPO11" s="314" t="s">
        <v>203</v>
      </c>
      <c r="UPP11" s="314" t="s">
        <v>203</v>
      </c>
      <c r="UPQ11" s="314" t="s">
        <v>203</v>
      </c>
      <c r="UPR11" s="314" t="s">
        <v>203</v>
      </c>
      <c r="UPS11" s="314" t="s">
        <v>203</v>
      </c>
      <c r="UPT11" s="314" t="s">
        <v>203</v>
      </c>
      <c r="UPU11" s="314" t="s">
        <v>203</v>
      </c>
      <c r="UPV11" s="314" t="s">
        <v>203</v>
      </c>
      <c r="UPW11" s="314" t="s">
        <v>203</v>
      </c>
      <c r="UPX11" s="314" t="s">
        <v>203</v>
      </c>
      <c r="UPY11" s="314" t="s">
        <v>203</v>
      </c>
      <c r="UPZ11" s="314" t="s">
        <v>203</v>
      </c>
      <c r="UQA11" s="314" t="s">
        <v>203</v>
      </c>
      <c r="UQB11" s="314" t="s">
        <v>203</v>
      </c>
      <c r="UQC11" s="314" t="s">
        <v>203</v>
      </c>
      <c r="UQD11" s="314" t="s">
        <v>203</v>
      </c>
      <c r="UQE11" s="314" t="s">
        <v>203</v>
      </c>
      <c r="UQF11" s="314" t="s">
        <v>203</v>
      </c>
      <c r="UQG11" s="314" t="s">
        <v>203</v>
      </c>
      <c r="UQH11" s="314" t="s">
        <v>203</v>
      </c>
      <c r="UQI11" s="314" t="s">
        <v>203</v>
      </c>
      <c r="UQJ11" s="314" t="s">
        <v>203</v>
      </c>
      <c r="UQK11" s="314" t="s">
        <v>203</v>
      </c>
      <c r="UQL11" s="314" t="s">
        <v>203</v>
      </c>
      <c r="UQM11" s="314" t="s">
        <v>203</v>
      </c>
      <c r="UQN11" s="314" t="s">
        <v>203</v>
      </c>
      <c r="UQO11" s="314" t="s">
        <v>203</v>
      </c>
      <c r="UQP11" s="314" t="s">
        <v>203</v>
      </c>
      <c r="UQQ11" s="314" t="s">
        <v>203</v>
      </c>
      <c r="UQR11" s="314" t="s">
        <v>203</v>
      </c>
      <c r="UQS11" s="314" t="s">
        <v>203</v>
      </c>
      <c r="UQT11" s="314" t="s">
        <v>203</v>
      </c>
      <c r="UQU11" s="314" t="s">
        <v>203</v>
      </c>
      <c r="UQV11" s="314" t="s">
        <v>203</v>
      </c>
      <c r="UQW11" s="314" t="s">
        <v>203</v>
      </c>
      <c r="UQX11" s="314" t="s">
        <v>203</v>
      </c>
      <c r="UQY11" s="314" t="s">
        <v>203</v>
      </c>
      <c r="UQZ11" s="314" t="s">
        <v>203</v>
      </c>
      <c r="URA11" s="314" t="s">
        <v>203</v>
      </c>
      <c r="URB11" s="314" t="s">
        <v>203</v>
      </c>
      <c r="URC11" s="314" t="s">
        <v>203</v>
      </c>
      <c r="URD11" s="314" t="s">
        <v>203</v>
      </c>
      <c r="URE11" s="314" t="s">
        <v>203</v>
      </c>
      <c r="URF11" s="314" t="s">
        <v>203</v>
      </c>
      <c r="URG11" s="314" t="s">
        <v>203</v>
      </c>
      <c r="URH11" s="314" t="s">
        <v>203</v>
      </c>
      <c r="URI11" s="314" t="s">
        <v>203</v>
      </c>
      <c r="URJ11" s="314" t="s">
        <v>203</v>
      </c>
      <c r="URK11" s="314" t="s">
        <v>203</v>
      </c>
      <c r="URL11" s="314" t="s">
        <v>203</v>
      </c>
      <c r="URM11" s="314" t="s">
        <v>203</v>
      </c>
      <c r="URN11" s="314" t="s">
        <v>203</v>
      </c>
      <c r="URO11" s="314" t="s">
        <v>203</v>
      </c>
      <c r="URP11" s="314" t="s">
        <v>203</v>
      </c>
      <c r="URQ11" s="314" t="s">
        <v>203</v>
      </c>
      <c r="URR11" s="314" t="s">
        <v>203</v>
      </c>
      <c r="URS11" s="314" t="s">
        <v>203</v>
      </c>
      <c r="URT11" s="314" t="s">
        <v>203</v>
      </c>
      <c r="URU11" s="314" t="s">
        <v>203</v>
      </c>
      <c r="URV11" s="314" t="s">
        <v>203</v>
      </c>
      <c r="URW11" s="314" t="s">
        <v>203</v>
      </c>
      <c r="URX11" s="314" t="s">
        <v>203</v>
      </c>
      <c r="URY11" s="314" t="s">
        <v>203</v>
      </c>
      <c r="URZ11" s="314" t="s">
        <v>203</v>
      </c>
      <c r="USA11" s="314" t="s">
        <v>203</v>
      </c>
      <c r="USB11" s="314" t="s">
        <v>203</v>
      </c>
      <c r="USC11" s="314" t="s">
        <v>203</v>
      </c>
      <c r="USD11" s="314" t="s">
        <v>203</v>
      </c>
      <c r="USE11" s="314" t="s">
        <v>203</v>
      </c>
      <c r="USF11" s="314" t="s">
        <v>203</v>
      </c>
      <c r="USG11" s="314" t="s">
        <v>203</v>
      </c>
      <c r="USH11" s="314" t="s">
        <v>203</v>
      </c>
      <c r="USI11" s="314" t="s">
        <v>203</v>
      </c>
      <c r="USJ11" s="314" t="s">
        <v>203</v>
      </c>
      <c r="USK11" s="314" t="s">
        <v>203</v>
      </c>
      <c r="USL11" s="314" t="s">
        <v>203</v>
      </c>
      <c r="USM11" s="314" t="s">
        <v>203</v>
      </c>
      <c r="USN11" s="314" t="s">
        <v>203</v>
      </c>
      <c r="USO11" s="314" t="s">
        <v>203</v>
      </c>
      <c r="USP11" s="314" t="s">
        <v>203</v>
      </c>
      <c r="USQ11" s="314" t="s">
        <v>203</v>
      </c>
      <c r="USR11" s="314" t="s">
        <v>203</v>
      </c>
      <c r="USS11" s="314" t="s">
        <v>203</v>
      </c>
      <c r="UST11" s="314" t="s">
        <v>203</v>
      </c>
      <c r="USU11" s="314" t="s">
        <v>203</v>
      </c>
      <c r="USV11" s="314" t="s">
        <v>203</v>
      </c>
      <c r="USW11" s="314" t="s">
        <v>203</v>
      </c>
      <c r="USX11" s="314" t="s">
        <v>203</v>
      </c>
      <c r="USY11" s="314" t="s">
        <v>203</v>
      </c>
      <c r="USZ11" s="314" t="s">
        <v>203</v>
      </c>
      <c r="UTA11" s="314" t="s">
        <v>203</v>
      </c>
      <c r="UTB11" s="314" t="s">
        <v>203</v>
      </c>
      <c r="UTC11" s="314" t="s">
        <v>203</v>
      </c>
      <c r="UTD11" s="314" t="s">
        <v>203</v>
      </c>
      <c r="UTE11" s="314" t="s">
        <v>203</v>
      </c>
      <c r="UTF11" s="314" t="s">
        <v>203</v>
      </c>
      <c r="UTG11" s="314" t="s">
        <v>203</v>
      </c>
      <c r="UTH11" s="314" t="s">
        <v>203</v>
      </c>
      <c r="UTI11" s="314" t="s">
        <v>203</v>
      </c>
      <c r="UTJ11" s="314" t="s">
        <v>203</v>
      </c>
      <c r="UTK11" s="314" t="s">
        <v>203</v>
      </c>
      <c r="UTL11" s="314" t="s">
        <v>203</v>
      </c>
      <c r="UTM11" s="314" t="s">
        <v>203</v>
      </c>
      <c r="UTN11" s="314" t="s">
        <v>203</v>
      </c>
      <c r="UTO11" s="314" t="s">
        <v>203</v>
      </c>
      <c r="UTP11" s="314" t="s">
        <v>203</v>
      </c>
      <c r="UTQ11" s="314" t="s">
        <v>203</v>
      </c>
      <c r="UTR11" s="314" t="s">
        <v>203</v>
      </c>
      <c r="UTS11" s="314" t="s">
        <v>203</v>
      </c>
      <c r="UTT11" s="314" t="s">
        <v>203</v>
      </c>
      <c r="UTU11" s="314" t="s">
        <v>203</v>
      </c>
      <c r="UTV11" s="314" t="s">
        <v>203</v>
      </c>
      <c r="UTW11" s="314" t="s">
        <v>203</v>
      </c>
      <c r="UTX11" s="314" t="s">
        <v>203</v>
      </c>
      <c r="UTY11" s="314" t="s">
        <v>203</v>
      </c>
      <c r="UTZ11" s="314" t="s">
        <v>203</v>
      </c>
      <c r="UUA11" s="314" t="s">
        <v>203</v>
      </c>
      <c r="UUB11" s="314" t="s">
        <v>203</v>
      </c>
      <c r="UUC11" s="314" t="s">
        <v>203</v>
      </c>
      <c r="UUD11" s="314" t="s">
        <v>203</v>
      </c>
      <c r="UUE11" s="314" t="s">
        <v>203</v>
      </c>
      <c r="UUF11" s="314" t="s">
        <v>203</v>
      </c>
      <c r="UUG11" s="314" t="s">
        <v>203</v>
      </c>
      <c r="UUH11" s="314" t="s">
        <v>203</v>
      </c>
      <c r="UUI11" s="314" t="s">
        <v>203</v>
      </c>
      <c r="UUJ11" s="314" t="s">
        <v>203</v>
      </c>
      <c r="UUK11" s="314" t="s">
        <v>203</v>
      </c>
      <c r="UUL11" s="314" t="s">
        <v>203</v>
      </c>
      <c r="UUM11" s="314" t="s">
        <v>203</v>
      </c>
      <c r="UUN11" s="314" t="s">
        <v>203</v>
      </c>
      <c r="UUO11" s="314" t="s">
        <v>203</v>
      </c>
      <c r="UUP11" s="314" t="s">
        <v>203</v>
      </c>
      <c r="UUQ11" s="314" t="s">
        <v>203</v>
      </c>
      <c r="UUR11" s="314" t="s">
        <v>203</v>
      </c>
      <c r="UUS11" s="314" t="s">
        <v>203</v>
      </c>
      <c r="UUT11" s="314" t="s">
        <v>203</v>
      </c>
      <c r="UUU11" s="314" t="s">
        <v>203</v>
      </c>
      <c r="UUV11" s="314" t="s">
        <v>203</v>
      </c>
      <c r="UUW11" s="314" t="s">
        <v>203</v>
      </c>
      <c r="UUX11" s="314" t="s">
        <v>203</v>
      </c>
      <c r="UUY11" s="314" t="s">
        <v>203</v>
      </c>
      <c r="UUZ11" s="314" t="s">
        <v>203</v>
      </c>
      <c r="UVA11" s="314" t="s">
        <v>203</v>
      </c>
      <c r="UVB11" s="314" t="s">
        <v>203</v>
      </c>
      <c r="UVC11" s="314" t="s">
        <v>203</v>
      </c>
      <c r="UVD11" s="314" t="s">
        <v>203</v>
      </c>
      <c r="UVE11" s="314" t="s">
        <v>203</v>
      </c>
      <c r="UVF11" s="314" t="s">
        <v>203</v>
      </c>
      <c r="UVG11" s="314" t="s">
        <v>203</v>
      </c>
      <c r="UVH11" s="314" t="s">
        <v>203</v>
      </c>
      <c r="UVI11" s="314" t="s">
        <v>203</v>
      </c>
      <c r="UVJ11" s="314" t="s">
        <v>203</v>
      </c>
      <c r="UVK11" s="314" t="s">
        <v>203</v>
      </c>
      <c r="UVL11" s="314" t="s">
        <v>203</v>
      </c>
      <c r="UVM11" s="314" t="s">
        <v>203</v>
      </c>
      <c r="UVN11" s="314" t="s">
        <v>203</v>
      </c>
      <c r="UVO11" s="314" t="s">
        <v>203</v>
      </c>
      <c r="UVP11" s="314" t="s">
        <v>203</v>
      </c>
      <c r="UVQ11" s="314" t="s">
        <v>203</v>
      </c>
      <c r="UVR11" s="314" t="s">
        <v>203</v>
      </c>
      <c r="UVS11" s="314" t="s">
        <v>203</v>
      </c>
      <c r="UVT11" s="314" t="s">
        <v>203</v>
      </c>
      <c r="UVU11" s="314" t="s">
        <v>203</v>
      </c>
      <c r="UVV11" s="314" t="s">
        <v>203</v>
      </c>
      <c r="UVW11" s="314" t="s">
        <v>203</v>
      </c>
      <c r="UVX11" s="314" t="s">
        <v>203</v>
      </c>
      <c r="UVY11" s="314" t="s">
        <v>203</v>
      </c>
      <c r="UVZ11" s="314" t="s">
        <v>203</v>
      </c>
      <c r="UWA11" s="314" t="s">
        <v>203</v>
      </c>
      <c r="UWB11" s="314" t="s">
        <v>203</v>
      </c>
      <c r="UWC11" s="314" t="s">
        <v>203</v>
      </c>
      <c r="UWD11" s="314" t="s">
        <v>203</v>
      </c>
      <c r="UWE11" s="314" t="s">
        <v>203</v>
      </c>
      <c r="UWF11" s="314" t="s">
        <v>203</v>
      </c>
      <c r="UWG11" s="314" t="s">
        <v>203</v>
      </c>
      <c r="UWH11" s="314" t="s">
        <v>203</v>
      </c>
      <c r="UWI11" s="314" t="s">
        <v>203</v>
      </c>
      <c r="UWJ11" s="314" t="s">
        <v>203</v>
      </c>
      <c r="UWK11" s="314" t="s">
        <v>203</v>
      </c>
      <c r="UWL11" s="314" t="s">
        <v>203</v>
      </c>
      <c r="UWM11" s="314" t="s">
        <v>203</v>
      </c>
      <c r="UWN11" s="314" t="s">
        <v>203</v>
      </c>
      <c r="UWO11" s="314" t="s">
        <v>203</v>
      </c>
      <c r="UWP11" s="314" t="s">
        <v>203</v>
      </c>
      <c r="UWQ11" s="314" t="s">
        <v>203</v>
      </c>
      <c r="UWR11" s="314" t="s">
        <v>203</v>
      </c>
      <c r="UWS11" s="314" t="s">
        <v>203</v>
      </c>
      <c r="UWT11" s="314" t="s">
        <v>203</v>
      </c>
      <c r="UWU11" s="314" t="s">
        <v>203</v>
      </c>
      <c r="UWV11" s="314" t="s">
        <v>203</v>
      </c>
      <c r="UWW11" s="314" t="s">
        <v>203</v>
      </c>
      <c r="UWX11" s="314" t="s">
        <v>203</v>
      </c>
      <c r="UWY11" s="314" t="s">
        <v>203</v>
      </c>
      <c r="UWZ11" s="314" t="s">
        <v>203</v>
      </c>
      <c r="UXA11" s="314" t="s">
        <v>203</v>
      </c>
      <c r="UXB11" s="314" t="s">
        <v>203</v>
      </c>
      <c r="UXC11" s="314" t="s">
        <v>203</v>
      </c>
      <c r="UXD11" s="314" t="s">
        <v>203</v>
      </c>
      <c r="UXE11" s="314" t="s">
        <v>203</v>
      </c>
      <c r="UXF11" s="314" t="s">
        <v>203</v>
      </c>
      <c r="UXG11" s="314" t="s">
        <v>203</v>
      </c>
      <c r="UXH11" s="314" t="s">
        <v>203</v>
      </c>
      <c r="UXI11" s="314" t="s">
        <v>203</v>
      </c>
      <c r="UXJ11" s="314" t="s">
        <v>203</v>
      </c>
      <c r="UXK11" s="314" t="s">
        <v>203</v>
      </c>
      <c r="UXL11" s="314" t="s">
        <v>203</v>
      </c>
      <c r="UXM11" s="314" t="s">
        <v>203</v>
      </c>
      <c r="UXN11" s="314" t="s">
        <v>203</v>
      </c>
      <c r="UXO11" s="314" t="s">
        <v>203</v>
      </c>
      <c r="UXP11" s="314" t="s">
        <v>203</v>
      </c>
      <c r="UXQ11" s="314" t="s">
        <v>203</v>
      </c>
      <c r="UXR11" s="314" t="s">
        <v>203</v>
      </c>
      <c r="UXS11" s="314" t="s">
        <v>203</v>
      </c>
      <c r="UXT11" s="314" t="s">
        <v>203</v>
      </c>
      <c r="UXU11" s="314" t="s">
        <v>203</v>
      </c>
      <c r="UXV11" s="314" t="s">
        <v>203</v>
      </c>
      <c r="UXW11" s="314" t="s">
        <v>203</v>
      </c>
      <c r="UXX11" s="314" t="s">
        <v>203</v>
      </c>
      <c r="UXY11" s="314" t="s">
        <v>203</v>
      </c>
      <c r="UXZ11" s="314" t="s">
        <v>203</v>
      </c>
      <c r="UYA11" s="314" t="s">
        <v>203</v>
      </c>
      <c r="UYB11" s="314" t="s">
        <v>203</v>
      </c>
      <c r="UYC11" s="314" t="s">
        <v>203</v>
      </c>
      <c r="UYD11" s="314" t="s">
        <v>203</v>
      </c>
      <c r="UYE11" s="314" t="s">
        <v>203</v>
      </c>
      <c r="UYF11" s="314" t="s">
        <v>203</v>
      </c>
      <c r="UYG11" s="314" t="s">
        <v>203</v>
      </c>
      <c r="UYH11" s="314" t="s">
        <v>203</v>
      </c>
      <c r="UYI11" s="314" t="s">
        <v>203</v>
      </c>
      <c r="UYJ11" s="314" t="s">
        <v>203</v>
      </c>
      <c r="UYK11" s="314" t="s">
        <v>203</v>
      </c>
      <c r="UYL11" s="314" t="s">
        <v>203</v>
      </c>
      <c r="UYM11" s="314" t="s">
        <v>203</v>
      </c>
      <c r="UYN11" s="314" t="s">
        <v>203</v>
      </c>
      <c r="UYO11" s="314" t="s">
        <v>203</v>
      </c>
      <c r="UYP11" s="314" t="s">
        <v>203</v>
      </c>
      <c r="UYQ11" s="314" t="s">
        <v>203</v>
      </c>
      <c r="UYR11" s="314" t="s">
        <v>203</v>
      </c>
      <c r="UYS11" s="314" t="s">
        <v>203</v>
      </c>
      <c r="UYT11" s="314" t="s">
        <v>203</v>
      </c>
      <c r="UYU11" s="314" t="s">
        <v>203</v>
      </c>
      <c r="UYV11" s="314" t="s">
        <v>203</v>
      </c>
      <c r="UYW11" s="314" t="s">
        <v>203</v>
      </c>
      <c r="UYX11" s="314" t="s">
        <v>203</v>
      </c>
      <c r="UYY11" s="314" t="s">
        <v>203</v>
      </c>
      <c r="UYZ11" s="314" t="s">
        <v>203</v>
      </c>
      <c r="UZA11" s="314" t="s">
        <v>203</v>
      </c>
      <c r="UZB11" s="314" t="s">
        <v>203</v>
      </c>
      <c r="UZC11" s="314" t="s">
        <v>203</v>
      </c>
      <c r="UZD11" s="314" t="s">
        <v>203</v>
      </c>
      <c r="UZE11" s="314" t="s">
        <v>203</v>
      </c>
      <c r="UZF11" s="314" t="s">
        <v>203</v>
      </c>
      <c r="UZG11" s="314" t="s">
        <v>203</v>
      </c>
      <c r="UZH11" s="314" t="s">
        <v>203</v>
      </c>
      <c r="UZI11" s="314" t="s">
        <v>203</v>
      </c>
      <c r="UZJ11" s="314" t="s">
        <v>203</v>
      </c>
      <c r="UZK11" s="314" t="s">
        <v>203</v>
      </c>
      <c r="UZL11" s="314" t="s">
        <v>203</v>
      </c>
      <c r="UZM11" s="314" t="s">
        <v>203</v>
      </c>
      <c r="UZN11" s="314" t="s">
        <v>203</v>
      </c>
      <c r="UZO11" s="314" t="s">
        <v>203</v>
      </c>
      <c r="UZP11" s="314" t="s">
        <v>203</v>
      </c>
      <c r="UZQ11" s="314" t="s">
        <v>203</v>
      </c>
      <c r="UZR11" s="314" t="s">
        <v>203</v>
      </c>
      <c r="UZS11" s="314" t="s">
        <v>203</v>
      </c>
      <c r="UZT11" s="314" t="s">
        <v>203</v>
      </c>
      <c r="UZU11" s="314" t="s">
        <v>203</v>
      </c>
      <c r="UZV11" s="314" t="s">
        <v>203</v>
      </c>
      <c r="UZW11" s="314" t="s">
        <v>203</v>
      </c>
      <c r="UZX11" s="314" t="s">
        <v>203</v>
      </c>
      <c r="UZY11" s="314" t="s">
        <v>203</v>
      </c>
      <c r="UZZ11" s="314" t="s">
        <v>203</v>
      </c>
      <c r="VAA11" s="314" t="s">
        <v>203</v>
      </c>
      <c r="VAB11" s="314" t="s">
        <v>203</v>
      </c>
      <c r="VAC11" s="314" t="s">
        <v>203</v>
      </c>
      <c r="VAD11" s="314" t="s">
        <v>203</v>
      </c>
      <c r="VAE11" s="314" t="s">
        <v>203</v>
      </c>
      <c r="VAF11" s="314" t="s">
        <v>203</v>
      </c>
      <c r="VAG11" s="314" t="s">
        <v>203</v>
      </c>
      <c r="VAH11" s="314" t="s">
        <v>203</v>
      </c>
      <c r="VAI11" s="314" t="s">
        <v>203</v>
      </c>
      <c r="VAJ11" s="314" t="s">
        <v>203</v>
      </c>
      <c r="VAK11" s="314" t="s">
        <v>203</v>
      </c>
      <c r="VAL11" s="314" t="s">
        <v>203</v>
      </c>
      <c r="VAM11" s="314" t="s">
        <v>203</v>
      </c>
      <c r="VAN11" s="314" t="s">
        <v>203</v>
      </c>
      <c r="VAO11" s="314" t="s">
        <v>203</v>
      </c>
      <c r="VAP11" s="314" t="s">
        <v>203</v>
      </c>
      <c r="VAQ11" s="314" t="s">
        <v>203</v>
      </c>
      <c r="VAR11" s="314" t="s">
        <v>203</v>
      </c>
      <c r="VAS11" s="314" t="s">
        <v>203</v>
      </c>
      <c r="VAT11" s="314" t="s">
        <v>203</v>
      </c>
      <c r="VAU11" s="314" t="s">
        <v>203</v>
      </c>
      <c r="VAV11" s="314" t="s">
        <v>203</v>
      </c>
      <c r="VAW11" s="314" t="s">
        <v>203</v>
      </c>
      <c r="VAX11" s="314" t="s">
        <v>203</v>
      </c>
      <c r="VAY11" s="314" t="s">
        <v>203</v>
      </c>
      <c r="VAZ11" s="314" t="s">
        <v>203</v>
      </c>
      <c r="VBA11" s="314" t="s">
        <v>203</v>
      </c>
      <c r="VBB11" s="314" t="s">
        <v>203</v>
      </c>
      <c r="VBC11" s="314" t="s">
        <v>203</v>
      </c>
      <c r="VBD11" s="314" t="s">
        <v>203</v>
      </c>
      <c r="VBE11" s="314" t="s">
        <v>203</v>
      </c>
      <c r="VBF11" s="314" t="s">
        <v>203</v>
      </c>
      <c r="VBG11" s="314" t="s">
        <v>203</v>
      </c>
      <c r="VBH11" s="314" t="s">
        <v>203</v>
      </c>
      <c r="VBI11" s="314" t="s">
        <v>203</v>
      </c>
      <c r="VBJ11" s="314" t="s">
        <v>203</v>
      </c>
      <c r="VBK11" s="314" t="s">
        <v>203</v>
      </c>
      <c r="VBL11" s="314" t="s">
        <v>203</v>
      </c>
      <c r="VBM11" s="314" t="s">
        <v>203</v>
      </c>
      <c r="VBN11" s="314" t="s">
        <v>203</v>
      </c>
      <c r="VBO11" s="314" t="s">
        <v>203</v>
      </c>
      <c r="VBP11" s="314" t="s">
        <v>203</v>
      </c>
      <c r="VBQ11" s="314" t="s">
        <v>203</v>
      </c>
      <c r="VBR11" s="314" t="s">
        <v>203</v>
      </c>
      <c r="VBS11" s="314" t="s">
        <v>203</v>
      </c>
      <c r="VBT11" s="314" t="s">
        <v>203</v>
      </c>
      <c r="VBU11" s="314" t="s">
        <v>203</v>
      </c>
      <c r="VBV11" s="314" t="s">
        <v>203</v>
      </c>
      <c r="VBW11" s="314" t="s">
        <v>203</v>
      </c>
      <c r="VBX11" s="314" t="s">
        <v>203</v>
      </c>
      <c r="VBY11" s="314" t="s">
        <v>203</v>
      </c>
      <c r="VBZ11" s="314" t="s">
        <v>203</v>
      </c>
      <c r="VCA11" s="314" t="s">
        <v>203</v>
      </c>
      <c r="VCB11" s="314" t="s">
        <v>203</v>
      </c>
      <c r="VCC11" s="314" t="s">
        <v>203</v>
      </c>
      <c r="VCD11" s="314" t="s">
        <v>203</v>
      </c>
      <c r="VCE11" s="314" t="s">
        <v>203</v>
      </c>
      <c r="VCF11" s="314" t="s">
        <v>203</v>
      </c>
      <c r="VCG11" s="314" t="s">
        <v>203</v>
      </c>
      <c r="VCH11" s="314" t="s">
        <v>203</v>
      </c>
      <c r="VCI11" s="314" t="s">
        <v>203</v>
      </c>
      <c r="VCJ11" s="314" t="s">
        <v>203</v>
      </c>
      <c r="VCK11" s="314" t="s">
        <v>203</v>
      </c>
      <c r="VCL11" s="314" t="s">
        <v>203</v>
      </c>
      <c r="VCM11" s="314" t="s">
        <v>203</v>
      </c>
      <c r="VCN11" s="314" t="s">
        <v>203</v>
      </c>
      <c r="VCO11" s="314" t="s">
        <v>203</v>
      </c>
      <c r="VCP11" s="314" t="s">
        <v>203</v>
      </c>
      <c r="VCQ11" s="314" t="s">
        <v>203</v>
      </c>
      <c r="VCR11" s="314" t="s">
        <v>203</v>
      </c>
      <c r="VCS11" s="314" t="s">
        <v>203</v>
      </c>
      <c r="VCT11" s="314" t="s">
        <v>203</v>
      </c>
      <c r="VCU11" s="314" t="s">
        <v>203</v>
      </c>
      <c r="VCV11" s="314" t="s">
        <v>203</v>
      </c>
      <c r="VCW11" s="314" t="s">
        <v>203</v>
      </c>
      <c r="VCX11" s="314" t="s">
        <v>203</v>
      </c>
      <c r="VCY11" s="314" t="s">
        <v>203</v>
      </c>
      <c r="VCZ11" s="314" t="s">
        <v>203</v>
      </c>
      <c r="VDA11" s="314" t="s">
        <v>203</v>
      </c>
      <c r="VDB11" s="314" t="s">
        <v>203</v>
      </c>
      <c r="VDC11" s="314" t="s">
        <v>203</v>
      </c>
      <c r="VDD11" s="314" t="s">
        <v>203</v>
      </c>
      <c r="VDE11" s="314" t="s">
        <v>203</v>
      </c>
      <c r="VDF11" s="314" t="s">
        <v>203</v>
      </c>
      <c r="VDG11" s="314" t="s">
        <v>203</v>
      </c>
      <c r="VDH11" s="314" t="s">
        <v>203</v>
      </c>
      <c r="VDI11" s="314" t="s">
        <v>203</v>
      </c>
      <c r="VDJ11" s="314" t="s">
        <v>203</v>
      </c>
      <c r="VDK11" s="314" t="s">
        <v>203</v>
      </c>
      <c r="VDL11" s="314" t="s">
        <v>203</v>
      </c>
      <c r="VDM11" s="314" t="s">
        <v>203</v>
      </c>
      <c r="VDN11" s="314" t="s">
        <v>203</v>
      </c>
      <c r="VDO11" s="314" t="s">
        <v>203</v>
      </c>
      <c r="VDP11" s="314" t="s">
        <v>203</v>
      </c>
      <c r="VDQ11" s="314" t="s">
        <v>203</v>
      </c>
      <c r="VDR11" s="314" t="s">
        <v>203</v>
      </c>
      <c r="VDS11" s="314" t="s">
        <v>203</v>
      </c>
      <c r="VDT11" s="314" t="s">
        <v>203</v>
      </c>
      <c r="VDU11" s="314" t="s">
        <v>203</v>
      </c>
      <c r="VDV11" s="314" t="s">
        <v>203</v>
      </c>
      <c r="VDW11" s="314" t="s">
        <v>203</v>
      </c>
      <c r="VDX11" s="314" t="s">
        <v>203</v>
      </c>
      <c r="VDY11" s="314" t="s">
        <v>203</v>
      </c>
      <c r="VDZ11" s="314" t="s">
        <v>203</v>
      </c>
      <c r="VEA11" s="314" t="s">
        <v>203</v>
      </c>
      <c r="VEB11" s="314" t="s">
        <v>203</v>
      </c>
      <c r="VEC11" s="314" t="s">
        <v>203</v>
      </c>
      <c r="VED11" s="314" t="s">
        <v>203</v>
      </c>
      <c r="VEE11" s="314" t="s">
        <v>203</v>
      </c>
      <c r="VEF11" s="314" t="s">
        <v>203</v>
      </c>
      <c r="VEG11" s="314" t="s">
        <v>203</v>
      </c>
      <c r="VEH11" s="314" t="s">
        <v>203</v>
      </c>
      <c r="VEI11" s="314" t="s">
        <v>203</v>
      </c>
      <c r="VEJ11" s="314" t="s">
        <v>203</v>
      </c>
      <c r="VEK11" s="314" t="s">
        <v>203</v>
      </c>
      <c r="VEL11" s="314" t="s">
        <v>203</v>
      </c>
      <c r="VEM11" s="314" t="s">
        <v>203</v>
      </c>
      <c r="VEN11" s="314" t="s">
        <v>203</v>
      </c>
      <c r="VEO11" s="314" t="s">
        <v>203</v>
      </c>
      <c r="VEP11" s="314" t="s">
        <v>203</v>
      </c>
      <c r="VEQ11" s="314" t="s">
        <v>203</v>
      </c>
      <c r="VER11" s="314" t="s">
        <v>203</v>
      </c>
      <c r="VES11" s="314" t="s">
        <v>203</v>
      </c>
      <c r="VET11" s="314" t="s">
        <v>203</v>
      </c>
      <c r="VEU11" s="314" t="s">
        <v>203</v>
      </c>
      <c r="VEV11" s="314" t="s">
        <v>203</v>
      </c>
      <c r="VEW11" s="314" t="s">
        <v>203</v>
      </c>
      <c r="VEX11" s="314" t="s">
        <v>203</v>
      </c>
      <c r="VEY11" s="314" t="s">
        <v>203</v>
      </c>
      <c r="VEZ11" s="314" t="s">
        <v>203</v>
      </c>
      <c r="VFA11" s="314" t="s">
        <v>203</v>
      </c>
      <c r="VFB11" s="314" t="s">
        <v>203</v>
      </c>
      <c r="VFC11" s="314" t="s">
        <v>203</v>
      </c>
      <c r="VFD11" s="314" t="s">
        <v>203</v>
      </c>
      <c r="VFE11" s="314" t="s">
        <v>203</v>
      </c>
      <c r="VFF11" s="314" t="s">
        <v>203</v>
      </c>
      <c r="VFG11" s="314" t="s">
        <v>203</v>
      </c>
      <c r="VFH11" s="314" t="s">
        <v>203</v>
      </c>
      <c r="VFI11" s="314" t="s">
        <v>203</v>
      </c>
      <c r="VFJ11" s="314" t="s">
        <v>203</v>
      </c>
      <c r="VFK11" s="314" t="s">
        <v>203</v>
      </c>
      <c r="VFL11" s="314" t="s">
        <v>203</v>
      </c>
      <c r="VFM11" s="314" t="s">
        <v>203</v>
      </c>
      <c r="VFN11" s="314" t="s">
        <v>203</v>
      </c>
      <c r="VFO11" s="314" t="s">
        <v>203</v>
      </c>
      <c r="VFP11" s="314" t="s">
        <v>203</v>
      </c>
      <c r="VFQ11" s="314" t="s">
        <v>203</v>
      </c>
      <c r="VFR11" s="314" t="s">
        <v>203</v>
      </c>
      <c r="VFS11" s="314" t="s">
        <v>203</v>
      </c>
      <c r="VFT11" s="314" t="s">
        <v>203</v>
      </c>
      <c r="VFU11" s="314" t="s">
        <v>203</v>
      </c>
      <c r="VFV11" s="314" t="s">
        <v>203</v>
      </c>
      <c r="VFW11" s="314" t="s">
        <v>203</v>
      </c>
      <c r="VFX11" s="314" t="s">
        <v>203</v>
      </c>
      <c r="VFY11" s="314" t="s">
        <v>203</v>
      </c>
      <c r="VFZ11" s="314" t="s">
        <v>203</v>
      </c>
      <c r="VGA11" s="314" t="s">
        <v>203</v>
      </c>
      <c r="VGB11" s="314" t="s">
        <v>203</v>
      </c>
      <c r="VGC11" s="314" t="s">
        <v>203</v>
      </c>
      <c r="VGD11" s="314" t="s">
        <v>203</v>
      </c>
      <c r="VGE11" s="314" t="s">
        <v>203</v>
      </c>
      <c r="VGF11" s="314" t="s">
        <v>203</v>
      </c>
      <c r="VGG11" s="314" t="s">
        <v>203</v>
      </c>
      <c r="VGH11" s="314" t="s">
        <v>203</v>
      </c>
      <c r="VGI11" s="314" t="s">
        <v>203</v>
      </c>
      <c r="VGJ11" s="314" t="s">
        <v>203</v>
      </c>
      <c r="VGK11" s="314" t="s">
        <v>203</v>
      </c>
      <c r="VGL11" s="314" t="s">
        <v>203</v>
      </c>
      <c r="VGM11" s="314" t="s">
        <v>203</v>
      </c>
      <c r="VGN11" s="314" t="s">
        <v>203</v>
      </c>
      <c r="VGO11" s="314" t="s">
        <v>203</v>
      </c>
      <c r="VGP11" s="314" t="s">
        <v>203</v>
      </c>
      <c r="VGQ11" s="314" t="s">
        <v>203</v>
      </c>
      <c r="VGR11" s="314" t="s">
        <v>203</v>
      </c>
      <c r="VGS11" s="314" t="s">
        <v>203</v>
      </c>
      <c r="VGT11" s="314" t="s">
        <v>203</v>
      </c>
      <c r="VGU11" s="314" t="s">
        <v>203</v>
      </c>
      <c r="VGV11" s="314" t="s">
        <v>203</v>
      </c>
      <c r="VGW11" s="314" t="s">
        <v>203</v>
      </c>
      <c r="VGX11" s="314" t="s">
        <v>203</v>
      </c>
      <c r="VGY11" s="314" t="s">
        <v>203</v>
      </c>
      <c r="VGZ11" s="314" t="s">
        <v>203</v>
      </c>
      <c r="VHA11" s="314" t="s">
        <v>203</v>
      </c>
      <c r="VHB11" s="314" t="s">
        <v>203</v>
      </c>
      <c r="VHC11" s="314" t="s">
        <v>203</v>
      </c>
      <c r="VHD11" s="314" t="s">
        <v>203</v>
      </c>
      <c r="VHE11" s="314" t="s">
        <v>203</v>
      </c>
      <c r="VHF11" s="314" t="s">
        <v>203</v>
      </c>
      <c r="VHG11" s="314" t="s">
        <v>203</v>
      </c>
      <c r="VHH11" s="314" t="s">
        <v>203</v>
      </c>
      <c r="VHI11" s="314" t="s">
        <v>203</v>
      </c>
      <c r="VHJ11" s="314" t="s">
        <v>203</v>
      </c>
      <c r="VHK11" s="314" t="s">
        <v>203</v>
      </c>
      <c r="VHL11" s="314" t="s">
        <v>203</v>
      </c>
      <c r="VHM11" s="314" t="s">
        <v>203</v>
      </c>
      <c r="VHN11" s="314" t="s">
        <v>203</v>
      </c>
      <c r="VHO11" s="314" t="s">
        <v>203</v>
      </c>
      <c r="VHP11" s="314" t="s">
        <v>203</v>
      </c>
      <c r="VHQ11" s="314" t="s">
        <v>203</v>
      </c>
      <c r="VHR11" s="314" t="s">
        <v>203</v>
      </c>
      <c r="VHS11" s="314" t="s">
        <v>203</v>
      </c>
      <c r="VHT11" s="314" t="s">
        <v>203</v>
      </c>
      <c r="VHU11" s="314" t="s">
        <v>203</v>
      </c>
      <c r="VHV11" s="314" t="s">
        <v>203</v>
      </c>
      <c r="VHW11" s="314" t="s">
        <v>203</v>
      </c>
      <c r="VHX11" s="314" t="s">
        <v>203</v>
      </c>
      <c r="VHY11" s="314" t="s">
        <v>203</v>
      </c>
      <c r="VHZ11" s="314" t="s">
        <v>203</v>
      </c>
      <c r="VIA11" s="314" t="s">
        <v>203</v>
      </c>
      <c r="VIB11" s="314" t="s">
        <v>203</v>
      </c>
      <c r="VIC11" s="314" t="s">
        <v>203</v>
      </c>
      <c r="VID11" s="314" t="s">
        <v>203</v>
      </c>
      <c r="VIE11" s="314" t="s">
        <v>203</v>
      </c>
      <c r="VIF11" s="314" t="s">
        <v>203</v>
      </c>
      <c r="VIG11" s="314" t="s">
        <v>203</v>
      </c>
      <c r="VIH11" s="314" t="s">
        <v>203</v>
      </c>
      <c r="VII11" s="314" t="s">
        <v>203</v>
      </c>
      <c r="VIJ11" s="314" t="s">
        <v>203</v>
      </c>
      <c r="VIK11" s="314" t="s">
        <v>203</v>
      </c>
      <c r="VIL11" s="314" t="s">
        <v>203</v>
      </c>
      <c r="VIM11" s="314" t="s">
        <v>203</v>
      </c>
      <c r="VIN11" s="314" t="s">
        <v>203</v>
      </c>
      <c r="VIO11" s="314" t="s">
        <v>203</v>
      </c>
      <c r="VIP11" s="314" t="s">
        <v>203</v>
      </c>
      <c r="VIQ11" s="314" t="s">
        <v>203</v>
      </c>
      <c r="VIR11" s="314" t="s">
        <v>203</v>
      </c>
      <c r="VIS11" s="314" t="s">
        <v>203</v>
      </c>
      <c r="VIT11" s="314" t="s">
        <v>203</v>
      </c>
      <c r="VIU11" s="314" t="s">
        <v>203</v>
      </c>
      <c r="VIV11" s="314" t="s">
        <v>203</v>
      </c>
      <c r="VIW11" s="314" t="s">
        <v>203</v>
      </c>
      <c r="VIX11" s="314" t="s">
        <v>203</v>
      </c>
      <c r="VIY11" s="314" t="s">
        <v>203</v>
      </c>
      <c r="VIZ11" s="314" t="s">
        <v>203</v>
      </c>
      <c r="VJA11" s="314" t="s">
        <v>203</v>
      </c>
      <c r="VJB11" s="314" t="s">
        <v>203</v>
      </c>
      <c r="VJC11" s="314" t="s">
        <v>203</v>
      </c>
      <c r="VJD11" s="314" t="s">
        <v>203</v>
      </c>
      <c r="VJE11" s="314" t="s">
        <v>203</v>
      </c>
      <c r="VJF11" s="314" t="s">
        <v>203</v>
      </c>
      <c r="VJG11" s="314" t="s">
        <v>203</v>
      </c>
      <c r="VJH11" s="314" t="s">
        <v>203</v>
      </c>
      <c r="VJI11" s="314" t="s">
        <v>203</v>
      </c>
      <c r="VJJ11" s="314" t="s">
        <v>203</v>
      </c>
      <c r="VJK11" s="314" t="s">
        <v>203</v>
      </c>
      <c r="VJL11" s="314" t="s">
        <v>203</v>
      </c>
      <c r="VJM11" s="314" t="s">
        <v>203</v>
      </c>
      <c r="VJN11" s="314" t="s">
        <v>203</v>
      </c>
      <c r="VJO11" s="314" t="s">
        <v>203</v>
      </c>
      <c r="VJP11" s="314" t="s">
        <v>203</v>
      </c>
      <c r="VJQ11" s="314" t="s">
        <v>203</v>
      </c>
      <c r="VJR11" s="314" t="s">
        <v>203</v>
      </c>
      <c r="VJS11" s="314" t="s">
        <v>203</v>
      </c>
      <c r="VJT11" s="314" t="s">
        <v>203</v>
      </c>
      <c r="VJU11" s="314" t="s">
        <v>203</v>
      </c>
      <c r="VJV11" s="314" t="s">
        <v>203</v>
      </c>
      <c r="VJW11" s="314" t="s">
        <v>203</v>
      </c>
      <c r="VJX11" s="314" t="s">
        <v>203</v>
      </c>
      <c r="VJY11" s="314" t="s">
        <v>203</v>
      </c>
      <c r="VJZ11" s="314" t="s">
        <v>203</v>
      </c>
      <c r="VKA11" s="314" t="s">
        <v>203</v>
      </c>
      <c r="VKB11" s="314" t="s">
        <v>203</v>
      </c>
      <c r="VKC11" s="314" t="s">
        <v>203</v>
      </c>
      <c r="VKD11" s="314" t="s">
        <v>203</v>
      </c>
      <c r="VKE11" s="314" t="s">
        <v>203</v>
      </c>
      <c r="VKF11" s="314" t="s">
        <v>203</v>
      </c>
      <c r="VKG11" s="314" t="s">
        <v>203</v>
      </c>
      <c r="VKH11" s="314" t="s">
        <v>203</v>
      </c>
      <c r="VKI11" s="314" t="s">
        <v>203</v>
      </c>
      <c r="VKJ11" s="314" t="s">
        <v>203</v>
      </c>
      <c r="VKK11" s="314" t="s">
        <v>203</v>
      </c>
      <c r="VKL11" s="314" t="s">
        <v>203</v>
      </c>
      <c r="VKM11" s="314" t="s">
        <v>203</v>
      </c>
      <c r="VKN11" s="314" t="s">
        <v>203</v>
      </c>
      <c r="VKO11" s="314" t="s">
        <v>203</v>
      </c>
      <c r="VKP11" s="314" t="s">
        <v>203</v>
      </c>
      <c r="VKQ11" s="314" t="s">
        <v>203</v>
      </c>
      <c r="VKR11" s="314" t="s">
        <v>203</v>
      </c>
      <c r="VKS11" s="314" t="s">
        <v>203</v>
      </c>
      <c r="VKT11" s="314" t="s">
        <v>203</v>
      </c>
      <c r="VKU11" s="314" t="s">
        <v>203</v>
      </c>
      <c r="VKV11" s="314" t="s">
        <v>203</v>
      </c>
      <c r="VKW11" s="314" t="s">
        <v>203</v>
      </c>
      <c r="VKX11" s="314" t="s">
        <v>203</v>
      </c>
      <c r="VKY11" s="314" t="s">
        <v>203</v>
      </c>
      <c r="VKZ11" s="314" t="s">
        <v>203</v>
      </c>
      <c r="VLA11" s="314" t="s">
        <v>203</v>
      </c>
      <c r="VLB11" s="314" t="s">
        <v>203</v>
      </c>
      <c r="VLC11" s="314" t="s">
        <v>203</v>
      </c>
      <c r="VLD11" s="314" t="s">
        <v>203</v>
      </c>
      <c r="VLE11" s="314" t="s">
        <v>203</v>
      </c>
      <c r="VLF11" s="314" t="s">
        <v>203</v>
      </c>
      <c r="VLG11" s="314" t="s">
        <v>203</v>
      </c>
      <c r="VLH11" s="314" t="s">
        <v>203</v>
      </c>
      <c r="VLI11" s="314" t="s">
        <v>203</v>
      </c>
      <c r="VLJ11" s="314" t="s">
        <v>203</v>
      </c>
      <c r="VLK11" s="314" t="s">
        <v>203</v>
      </c>
      <c r="VLL11" s="314" t="s">
        <v>203</v>
      </c>
      <c r="VLM11" s="314" t="s">
        <v>203</v>
      </c>
      <c r="VLN11" s="314" t="s">
        <v>203</v>
      </c>
      <c r="VLO11" s="314" t="s">
        <v>203</v>
      </c>
      <c r="VLP11" s="314" t="s">
        <v>203</v>
      </c>
      <c r="VLQ11" s="314" t="s">
        <v>203</v>
      </c>
      <c r="VLR11" s="314" t="s">
        <v>203</v>
      </c>
      <c r="VLS11" s="314" t="s">
        <v>203</v>
      </c>
      <c r="VLT11" s="314" t="s">
        <v>203</v>
      </c>
      <c r="VLU11" s="314" t="s">
        <v>203</v>
      </c>
      <c r="VLV11" s="314" t="s">
        <v>203</v>
      </c>
      <c r="VLW11" s="314" t="s">
        <v>203</v>
      </c>
      <c r="VLX11" s="314" t="s">
        <v>203</v>
      </c>
      <c r="VLY11" s="314" t="s">
        <v>203</v>
      </c>
      <c r="VLZ11" s="314" t="s">
        <v>203</v>
      </c>
      <c r="VMA11" s="314" t="s">
        <v>203</v>
      </c>
      <c r="VMB11" s="314" t="s">
        <v>203</v>
      </c>
      <c r="VMC11" s="314" t="s">
        <v>203</v>
      </c>
      <c r="VMD11" s="314" t="s">
        <v>203</v>
      </c>
      <c r="VME11" s="314" t="s">
        <v>203</v>
      </c>
      <c r="VMF11" s="314" t="s">
        <v>203</v>
      </c>
      <c r="VMG11" s="314" t="s">
        <v>203</v>
      </c>
      <c r="VMH11" s="314" t="s">
        <v>203</v>
      </c>
      <c r="VMI11" s="314" t="s">
        <v>203</v>
      </c>
      <c r="VMJ11" s="314" t="s">
        <v>203</v>
      </c>
      <c r="VMK11" s="314" t="s">
        <v>203</v>
      </c>
      <c r="VML11" s="314" t="s">
        <v>203</v>
      </c>
      <c r="VMM11" s="314" t="s">
        <v>203</v>
      </c>
      <c r="VMN11" s="314" t="s">
        <v>203</v>
      </c>
      <c r="VMO11" s="314" t="s">
        <v>203</v>
      </c>
      <c r="VMP11" s="314" t="s">
        <v>203</v>
      </c>
      <c r="VMQ11" s="314" t="s">
        <v>203</v>
      </c>
      <c r="VMR11" s="314" t="s">
        <v>203</v>
      </c>
      <c r="VMS11" s="314" t="s">
        <v>203</v>
      </c>
      <c r="VMT11" s="314" t="s">
        <v>203</v>
      </c>
      <c r="VMU11" s="314" t="s">
        <v>203</v>
      </c>
      <c r="VMV11" s="314" t="s">
        <v>203</v>
      </c>
      <c r="VMW11" s="314" t="s">
        <v>203</v>
      </c>
      <c r="VMX11" s="314" t="s">
        <v>203</v>
      </c>
      <c r="VMY11" s="314" t="s">
        <v>203</v>
      </c>
      <c r="VMZ11" s="314" t="s">
        <v>203</v>
      </c>
      <c r="VNA11" s="314" t="s">
        <v>203</v>
      </c>
      <c r="VNB11" s="314" t="s">
        <v>203</v>
      </c>
      <c r="VNC11" s="314" t="s">
        <v>203</v>
      </c>
      <c r="VND11" s="314" t="s">
        <v>203</v>
      </c>
      <c r="VNE11" s="314" t="s">
        <v>203</v>
      </c>
      <c r="VNF11" s="314" t="s">
        <v>203</v>
      </c>
      <c r="VNG11" s="314" t="s">
        <v>203</v>
      </c>
      <c r="VNH11" s="314" t="s">
        <v>203</v>
      </c>
      <c r="VNI11" s="314" t="s">
        <v>203</v>
      </c>
      <c r="VNJ11" s="314" t="s">
        <v>203</v>
      </c>
      <c r="VNK11" s="314" t="s">
        <v>203</v>
      </c>
      <c r="VNL11" s="314" t="s">
        <v>203</v>
      </c>
      <c r="VNM11" s="314" t="s">
        <v>203</v>
      </c>
      <c r="VNN11" s="314" t="s">
        <v>203</v>
      </c>
      <c r="VNO11" s="314" t="s">
        <v>203</v>
      </c>
      <c r="VNP11" s="314" t="s">
        <v>203</v>
      </c>
      <c r="VNQ11" s="314" t="s">
        <v>203</v>
      </c>
      <c r="VNR11" s="314" t="s">
        <v>203</v>
      </c>
      <c r="VNS11" s="314" t="s">
        <v>203</v>
      </c>
      <c r="VNT11" s="314" t="s">
        <v>203</v>
      </c>
      <c r="VNU11" s="314" t="s">
        <v>203</v>
      </c>
      <c r="VNV11" s="314" t="s">
        <v>203</v>
      </c>
      <c r="VNW11" s="314" t="s">
        <v>203</v>
      </c>
      <c r="VNX11" s="314" t="s">
        <v>203</v>
      </c>
      <c r="VNY11" s="314" t="s">
        <v>203</v>
      </c>
      <c r="VNZ11" s="314" t="s">
        <v>203</v>
      </c>
      <c r="VOA11" s="314" t="s">
        <v>203</v>
      </c>
      <c r="VOB11" s="314" t="s">
        <v>203</v>
      </c>
      <c r="VOC11" s="314" t="s">
        <v>203</v>
      </c>
      <c r="VOD11" s="314" t="s">
        <v>203</v>
      </c>
      <c r="VOE11" s="314" t="s">
        <v>203</v>
      </c>
      <c r="VOF11" s="314" t="s">
        <v>203</v>
      </c>
      <c r="VOG11" s="314" t="s">
        <v>203</v>
      </c>
      <c r="VOH11" s="314" t="s">
        <v>203</v>
      </c>
      <c r="VOI11" s="314" t="s">
        <v>203</v>
      </c>
      <c r="VOJ11" s="314" t="s">
        <v>203</v>
      </c>
      <c r="VOK11" s="314" t="s">
        <v>203</v>
      </c>
      <c r="VOL11" s="314" t="s">
        <v>203</v>
      </c>
      <c r="VOM11" s="314" t="s">
        <v>203</v>
      </c>
      <c r="VON11" s="314" t="s">
        <v>203</v>
      </c>
      <c r="VOO11" s="314" t="s">
        <v>203</v>
      </c>
      <c r="VOP11" s="314" t="s">
        <v>203</v>
      </c>
      <c r="VOQ11" s="314" t="s">
        <v>203</v>
      </c>
      <c r="VOR11" s="314" t="s">
        <v>203</v>
      </c>
      <c r="VOS11" s="314" t="s">
        <v>203</v>
      </c>
      <c r="VOT11" s="314" t="s">
        <v>203</v>
      </c>
      <c r="VOU11" s="314" t="s">
        <v>203</v>
      </c>
      <c r="VOV11" s="314" t="s">
        <v>203</v>
      </c>
      <c r="VOW11" s="314" t="s">
        <v>203</v>
      </c>
      <c r="VOX11" s="314" t="s">
        <v>203</v>
      </c>
      <c r="VOY11" s="314" t="s">
        <v>203</v>
      </c>
      <c r="VOZ11" s="314" t="s">
        <v>203</v>
      </c>
      <c r="VPA11" s="314" t="s">
        <v>203</v>
      </c>
      <c r="VPB11" s="314" t="s">
        <v>203</v>
      </c>
      <c r="VPC11" s="314" t="s">
        <v>203</v>
      </c>
      <c r="VPD11" s="314" t="s">
        <v>203</v>
      </c>
      <c r="VPE11" s="314" t="s">
        <v>203</v>
      </c>
      <c r="VPF11" s="314" t="s">
        <v>203</v>
      </c>
      <c r="VPG11" s="314" t="s">
        <v>203</v>
      </c>
      <c r="VPH11" s="314" t="s">
        <v>203</v>
      </c>
      <c r="VPI11" s="314" t="s">
        <v>203</v>
      </c>
      <c r="VPJ11" s="314" t="s">
        <v>203</v>
      </c>
      <c r="VPK11" s="314" t="s">
        <v>203</v>
      </c>
      <c r="VPL11" s="314" t="s">
        <v>203</v>
      </c>
      <c r="VPM11" s="314" t="s">
        <v>203</v>
      </c>
      <c r="VPN11" s="314" t="s">
        <v>203</v>
      </c>
      <c r="VPO11" s="314" t="s">
        <v>203</v>
      </c>
      <c r="VPP11" s="314" t="s">
        <v>203</v>
      </c>
      <c r="VPQ11" s="314" t="s">
        <v>203</v>
      </c>
      <c r="VPR11" s="314" t="s">
        <v>203</v>
      </c>
      <c r="VPS11" s="314" t="s">
        <v>203</v>
      </c>
      <c r="VPT11" s="314" t="s">
        <v>203</v>
      </c>
      <c r="VPU11" s="314" t="s">
        <v>203</v>
      </c>
      <c r="VPV11" s="314" t="s">
        <v>203</v>
      </c>
      <c r="VPW11" s="314" t="s">
        <v>203</v>
      </c>
      <c r="VPX11" s="314" t="s">
        <v>203</v>
      </c>
      <c r="VPY11" s="314" t="s">
        <v>203</v>
      </c>
      <c r="VPZ11" s="314" t="s">
        <v>203</v>
      </c>
      <c r="VQA11" s="314" t="s">
        <v>203</v>
      </c>
      <c r="VQB11" s="314" t="s">
        <v>203</v>
      </c>
      <c r="VQC11" s="314" t="s">
        <v>203</v>
      </c>
      <c r="VQD11" s="314" t="s">
        <v>203</v>
      </c>
      <c r="VQE11" s="314" t="s">
        <v>203</v>
      </c>
      <c r="VQF11" s="314" t="s">
        <v>203</v>
      </c>
      <c r="VQG11" s="314" t="s">
        <v>203</v>
      </c>
      <c r="VQH11" s="314" t="s">
        <v>203</v>
      </c>
      <c r="VQI11" s="314" t="s">
        <v>203</v>
      </c>
      <c r="VQJ11" s="314" t="s">
        <v>203</v>
      </c>
      <c r="VQK11" s="314" t="s">
        <v>203</v>
      </c>
      <c r="VQL11" s="314" t="s">
        <v>203</v>
      </c>
      <c r="VQM11" s="314" t="s">
        <v>203</v>
      </c>
      <c r="VQN11" s="314" t="s">
        <v>203</v>
      </c>
      <c r="VQO11" s="314" t="s">
        <v>203</v>
      </c>
      <c r="VQP11" s="314" t="s">
        <v>203</v>
      </c>
      <c r="VQQ11" s="314" t="s">
        <v>203</v>
      </c>
      <c r="VQR11" s="314" t="s">
        <v>203</v>
      </c>
      <c r="VQS11" s="314" t="s">
        <v>203</v>
      </c>
      <c r="VQT11" s="314" t="s">
        <v>203</v>
      </c>
      <c r="VQU11" s="314" t="s">
        <v>203</v>
      </c>
      <c r="VQV11" s="314" t="s">
        <v>203</v>
      </c>
      <c r="VQW11" s="314" t="s">
        <v>203</v>
      </c>
      <c r="VQX11" s="314" t="s">
        <v>203</v>
      </c>
      <c r="VQY11" s="314" t="s">
        <v>203</v>
      </c>
      <c r="VQZ11" s="314" t="s">
        <v>203</v>
      </c>
      <c r="VRA11" s="314" t="s">
        <v>203</v>
      </c>
      <c r="VRB11" s="314" t="s">
        <v>203</v>
      </c>
      <c r="VRC11" s="314" t="s">
        <v>203</v>
      </c>
      <c r="VRD11" s="314" t="s">
        <v>203</v>
      </c>
      <c r="VRE11" s="314" t="s">
        <v>203</v>
      </c>
      <c r="VRF11" s="314" t="s">
        <v>203</v>
      </c>
      <c r="VRG11" s="314" t="s">
        <v>203</v>
      </c>
      <c r="VRH11" s="314" t="s">
        <v>203</v>
      </c>
      <c r="VRI11" s="314" t="s">
        <v>203</v>
      </c>
      <c r="VRJ11" s="314" t="s">
        <v>203</v>
      </c>
      <c r="VRK11" s="314" t="s">
        <v>203</v>
      </c>
      <c r="VRL11" s="314" t="s">
        <v>203</v>
      </c>
      <c r="VRM11" s="314" t="s">
        <v>203</v>
      </c>
      <c r="VRN11" s="314" t="s">
        <v>203</v>
      </c>
      <c r="VRO11" s="314" t="s">
        <v>203</v>
      </c>
      <c r="VRP11" s="314" t="s">
        <v>203</v>
      </c>
      <c r="VRQ11" s="314" t="s">
        <v>203</v>
      </c>
      <c r="VRR11" s="314" t="s">
        <v>203</v>
      </c>
      <c r="VRS11" s="314" t="s">
        <v>203</v>
      </c>
      <c r="VRT11" s="314" t="s">
        <v>203</v>
      </c>
      <c r="VRU11" s="314" t="s">
        <v>203</v>
      </c>
      <c r="VRV11" s="314" t="s">
        <v>203</v>
      </c>
      <c r="VRW11" s="314" t="s">
        <v>203</v>
      </c>
      <c r="VRX11" s="314" t="s">
        <v>203</v>
      </c>
      <c r="VRY11" s="314" t="s">
        <v>203</v>
      </c>
      <c r="VRZ11" s="314" t="s">
        <v>203</v>
      </c>
      <c r="VSA11" s="314" t="s">
        <v>203</v>
      </c>
      <c r="VSB11" s="314" t="s">
        <v>203</v>
      </c>
      <c r="VSC11" s="314" t="s">
        <v>203</v>
      </c>
      <c r="VSD11" s="314" t="s">
        <v>203</v>
      </c>
      <c r="VSE11" s="314" t="s">
        <v>203</v>
      </c>
      <c r="VSF11" s="314" t="s">
        <v>203</v>
      </c>
      <c r="VSG11" s="314" t="s">
        <v>203</v>
      </c>
      <c r="VSH11" s="314" t="s">
        <v>203</v>
      </c>
      <c r="VSI11" s="314" t="s">
        <v>203</v>
      </c>
      <c r="VSJ11" s="314" t="s">
        <v>203</v>
      </c>
      <c r="VSK11" s="314" t="s">
        <v>203</v>
      </c>
      <c r="VSL11" s="314" t="s">
        <v>203</v>
      </c>
      <c r="VSM11" s="314" t="s">
        <v>203</v>
      </c>
      <c r="VSN11" s="314" t="s">
        <v>203</v>
      </c>
      <c r="VSO11" s="314" t="s">
        <v>203</v>
      </c>
      <c r="VSP11" s="314" t="s">
        <v>203</v>
      </c>
      <c r="VSQ11" s="314" t="s">
        <v>203</v>
      </c>
      <c r="VSR11" s="314" t="s">
        <v>203</v>
      </c>
      <c r="VSS11" s="314" t="s">
        <v>203</v>
      </c>
      <c r="VST11" s="314" t="s">
        <v>203</v>
      </c>
      <c r="VSU11" s="314" t="s">
        <v>203</v>
      </c>
      <c r="VSV11" s="314" t="s">
        <v>203</v>
      </c>
      <c r="VSW11" s="314" t="s">
        <v>203</v>
      </c>
      <c r="VSX11" s="314" t="s">
        <v>203</v>
      </c>
      <c r="VSY11" s="314" t="s">
        <v>203</v>
      </c>
      <c r="VSZ11" s="314" t="s">
        <v>203</v>
      </c>
      <c r="VTA11" s="314" t="s">
        <v>203</v>
      </c>
      <c r="VTB11" s="314" t="s">
        <v>203</v>
      </c>
      <c r="VTC11" s="314" t="s">
        <v>203</v>
      </c>
      <c r="VTD11" s="314" t="s">
        <v>203</v>
      </c>
      <c r="VTE11" s="314" t="s">
        <v>203</v>
      </c>
      <c r="VTF11" s="314" t="s">
        <v>203</v>
      </c>
      <c r="VTG11" s="314" t="s">
        <v>203</v>
      </c>
      <c r="VTH11" s="314" t="s">
        <v>203</v>
      </c>
      <c r="VTI11" s="314" t="s">
        <v>203</v>
      </c>
      <c r="VTJ11" s="314" t="s">
        <v>203</v>
      </c>
      <c r="VTK11" s="314" t="s">
        <v>203</v>
      </c>
      <c r="VTL11" s="314" t="s">
        <v>203</v>
      </c>
      <c r="VTM11" s="314" t="s">
        <v>203</v>
      </c>
      <c r="VTN11" s="314" t="s">
        <v>203</v>
      </c>
      <c r="VTO11" s="314" t="s">
        <v>203</v>
      </c>
      <c r="VTP11" s="314" t="s">
        <v>203</v>
      </c>
      <c r="VTQ11" s="314" t="s">
        <v>203</v>
      </c>
      <c r="VTR11" s="314" t="s">
        <v>203</v>
      </c>
      <c r="VTS11" s="314" t="s">
        <v>203</v>
      </c>
      <c r="VTT11" s="314" t="s">
        <v>203</v>
      </c>
      <c r="VTU11" s="314" t="s">
        <v>203</v>
      </c>
      <c r="VTV11" s="314" t="s">
        <v>203</v>
      </c>
      <c r="VTW11" s="314" t="s">
        <v>203</v>
      </c>
      <c r="VTX11" s="314" t="s">
        <v>203</v>
      </c>
      <c r="VTY11" s="314" t="s">
        <v>203</v>
      </c>
      <c r="VTZ11" s="314" t="s">
        <v>203</v>
      </c>
      <c r="VUA11" s="314" t="s">
        <v>203</v>
      </c>
      <c r="VUB11" s="314" t="s">
        <v>203</v>
      </c>
      <c r="VUC11" s="314" t="s">
        <v>203</v>
      </c>
      <c r="VUD11" s="314" t="s">
        <v>203</v>
      </c>
      <c r="VUE11" s="314" t="s">
        <v>203</v>
      </c>
      <c r="VUF11" s="314" t="s">
        <v>203</v>
      </c>
      <c r="VUG11" s="314" t="s">
        <v>203</v>
      </c>
      <c r="VUH11" s="314" t="s">
        <v>203</v>
      </c>
      <c r="VUI11" s="314" t="s">
        <v>203</v>
      </c>
      <c r="VUJ11" s="314" t="s">
        <v>203</v>
      </c>
      <c r="VUK11" s="314" t="s">
        <v>203</v>
      </c>
      <c r="VUL11" s="314" t="s">
        <v>203</v>
      </c>
      <c r="VUM11" s="314" t="s">
        <v>203</v>
      </c>
      <c r="VUN11" s="314" t="s">
        <v>203</v>
      </c>
      <c r="VUO11" s="314" t="s">
        <v>203</v>
      </c>
      <c r="VUP11" s="314" t="s">
        <v>203</v>
      </c>
      <c r="VUQ11" s="314" t="s">
        <v>203</v>
      </c>
      <c r="VUR11" s="314" t="s">
        <v>203</v>
      </c>
      <c r="VUS11" s="314" t="s">
        <v>203</v>
      </c>
      <c r="VUT11" s="314" t="s">
        <v>203</v>
      </c>
      <c r="VUU11" s="314" t="s">
        <v>203</v>
      </c>
      <c r="VUV11" s="314" t="s">
        <v>203</v>
      </c>
      <c r="VUW11" s="314" t="s">
        <v>203</v>
      </c>
      <c r="VUX11" s="314" t="s">
        <v>203</v>
      </c>
      <c r="VUY11" s="314" t="s">
        <v>203</v>
      </c>
      <c r="VUZ11" s="314" t="s">
        <v>203</v>
      </c>
      <c r="VVA11" s="314" t="s">
        <v>203</v>
      </c>
      <c r="VVB11" s="314" t="s">
        <v>203</v>
      </c>
      <c r="VVC11" s="314" t="s">
        <v>203</v>
      </c>
      <c r="VVD11" s="314" t="s">
        <v>203</v>
      </c>
      <c r="VVE11" s="314" t="s">
        <v>203</v>
      </c>
      <c r="VVF11" s="314" t="s">
        <v>203</v>
      </c>
      <c r="VVG11" s="314" t="s">
        <v>203</v>
      </c>
      <c r="VVH11" s="314" t="s">
        <v>203</v>
      </c>
      <c r="VVI11" s="314" t="s">
        <v>203</v>
      </c>
      <c r="VVJ11" s="314" t="s">
        <v>203</v>
      </c>
      <c r="VVK11" s="314" t="s">
        <v>203</v>
      </c>
      <c r="VVL11" s="314" t="s">
        <v>203</v>
      </c>
      <c r="VVM11" s="314" t="s">
        <v>203</v>
      </c>
      <c r="VVN11" s="314" t="s">
        <v>203</v>
      </c>
      <c r="VVO11" s="314" t="s">
        <v>203</v>
      </c>
      <c r="VVP11" s="314" t="s">
        <v>203</v>
      </c>
      <c r="VVQ11" s="314" t="s">
        <v>203</v>
      </c>
      <c r="VVR11" s="314" t="s">
        <v>203</v>
      </c>
      <c r="VVS11" s="314" t="s">
        <v>203</v>
      </c>
      <c r="VVT11" s="314" t="s">
        <v>203</v>
      </c>
      <c r="VVU11" s="314" t="s">
        <v>203</v>
      </c>
      <c r="VVV11" s="314" t="s">
        <v>203</v>
      </c>
      <c r="VVW11" s="314" t="s">
        <v>203</v>
      </c>
      <c r="VVX11" s="314" t="s">
        <v>203</v>
      </c>
      <c r="VVY11" s="314" t="s">
        <v>203</v>
      </c>
      <c r="VVZ11" s="314" t="s">
        <v>203</v>
      </c>
      <c r="VWA11" s="314" t="s">
        <v>203</v>
      </c>
      <c r="VWB11" s="314" t="s">
        <v>203</v>
      </c>
      <c r="VWC11" s="314" t="s">
        <v>203</v>
      </c>
      <c r="VWD11" s="314" t="s">
        <v>203</v>
      </c>
      <c r="VWE11" s="314" t="s">
        <v>203</v>
      </c>
      <c r="VWF11" s="314" t="s">
        <v>203</v>
      </c>
      <c r="VWG11" s="314" t="s">
        <v>203</v>
      </c>
      <c r="VWH11" s="314" t="s">
        <v>203</v>
      </c>
      <c r="VWI11" s="314" t="s">
        <v>203</v>
      </c>
      <c r="VWJ11" s="314" t="s">
        <v>203</v>
      </c>
      <c r="VWK11" s="314" t="s">
        <v>203</v>
      </c>
      <c r="VWL11" s="314" t="s">
        <v>203</v>
      </c>
      <c r="VWM11" s="314" t="s">
        <v>203</v>
      </c>
      <c r="VWN11" s="314" t="s">
        <v>203</v>
      </c>
      <c r="VWO11" s="314" t="s">
        <v>203</v>
      </c>
      <c r="VWP11" s="314" t="s">
        <v>203</v>
      </c>
      <c r="VWQ11" s="314" t="s">
        <v>203</v>
      </c>
      <c r="VWR11" s="314" t="s">
        <v>203</v>
      </c>
      <c r="VWS11" s="314" t="s">
        <v>203</v>
      </c>
      <c r="VWT11" s="314" t="s">
        <v>203</v>
      </c>
      <c r="VWU11" s="314" t="s">
        <v>203</v>
      </c>
      <c r="VWV11" s="314" t="s">
        <v>203</v>
      </c>
      <c r="VWW11" s="314" t="s">
        <v>203</v>
      </c>
      <c r="VWX11" s="314" t="s">
        <v>203</v>
      </c>
      <c r="VWY11" s="314" t="s">
        <v>203</v>
      </c>
      <c r="VWZ11" s="314" t="s">
        <v>203</v>
      </c>
      <c r="VXA11" s="314" t="s">
        <v>203</v>
      </c>
      <c r="VXB11" s="314" t="s">
        <v>203</v>
      </c>
      <c r="VXC11" s="314" t="s">
        <v>203</v>
      </c>
      <c r="VXD11" s="314" t="s">
        <v>203</v>
      </c>
      <c r="VXE11" s="314" t="s">
        <v>203</v>
      </c>
      <c r="VXF11" s="314" t="s">
        <v>203</v>
      </c>
      <c r="VXG11" s="314" t="s">
        <v>203</v>
      </c>
      <c r="VXH11" s="314" t="s">
        <v>203</v>
      </c>
      <c r="VXI11" s="314" t="s">
        <v>203</v>
      </c>
      <c r="VXJ11" s="314" t="s">
        <v>203</v>
      </c>
      <c r="VXK11" s="314" t="s">
        <v>203</v>
      </c>
      <c r="VXL11" s="314" t="s">
        <v>203</v>
      </c>
      <c r="VXM11" s="314" t="s">
        <v>203</v>
      </c>
      <c r="VXN11" s="314" t="s">
        <v>203</v>
      </c>
      <c r="VXO11" s="314" t="s">
        <v>203</v>
      </c>
      <c r="VXP11" s="314" t="s">
        <v>203</v>
      </c>
      <c r="VXQ11" s="314" t="s">
        <v>203</v>
      </c>
      <c r="VXR11" s="314" t="s">
        <v>203</v>
      </c>
      <c r="VXS11" s="314" t="s">
        <v>203</v>
      </c>
      <c r="VXT11" s="314" t="s">
        <v>203</v>
      </c>
      <c r="VXU11" s="314" t="s">
        <v>203</v>
      </c>
      <c r="VXV11" s="314" t="s">
        <v>203</v>
      </c>
      <c r="VXW11" s="314" t="s">
        <v>203</v>
      </c>
      <c r="VXX11" s="314" t="s">
        <v>203</v>
      </c>
      <c r="VXY11" s="314" t="s">
        <v>203</v>
      </c>
      <c r="VXZ11" s="314" t="s">
        <v>203</v>
      </c>
      <c r="VYA11" s="314" t="s">
        <v>203</v>
      </c>
      <c r="VYB11" s="314" t="s">
        <v>203</v>
      </c>
      <c r="VYC11" s="314" t="s">
        <v>203</v>
      </c>
      <c r="VYD11" s="314" t="s">
        <v>203</v>
      </c>
      <c r="VYE11" s="314" t="s">
        <v>203</v>
      </c>
      <c r="VYF11" s="314" t="s">
        <v>203</v>
      </c>
      <c r="VYG11" s="314" t="s">
        <v>203</v>
      </c>
      <c r="VYH11" s="314" t="s">
        <v>203</v>
      </c>
      <c r="VYI11" s="314" t="s">
        <v>203</v>
      </c>
      <c r="VYJ11" s="314" t="s">
        <v>203</v>
      </c>
      <c r="VYK11" s="314" t="s">
        <v>203</v>
      </c>
      <c r="VYL11" s="314" t="s">
        <v>203</v>
      </c>
      <c r="VYM11" s="314" t="s">
        <v>203</v>
      </c>
      <c r="VYN11" s="314" t="s">
        <v>203</v>
      </c>
      <c r="VYO11" s="314" t="s">
        <v>203</v>
      </c>
      <c r="VYP11" s="314" t="s">
        <v>203</v>
      </c>
      <c r="VYQ11" s="314" t="s">
        <v>203</v>
      </c>
      <c r="VYR11" s="314" t="s">
        <v>203</v>
      </c>
      <c r="VYS11" s="314" t="s">
        <v>203</v>
      </c>
      <c r="VYT11" s="314" t="s">
        <v>203</v>
      </c>
      <c r="VYU11" s="314" t="s">
        <v>203</v>
      </c>
      <c r="VYV11" s="314" t="s">
        <v>203</v>
      </c>
      <c r="VYW11" s="314" t="s">
        <v>203</v>
      </c>
      <c r="VYX11" s="314" t="s">
        <v>203</v>
      </c>
      <c r="VYY11" s="314" t="s">
        <v>203</v>
      </c>
      <c r="VYZ11" s="314" t="s">
        <v>203</v>
      </c>
      <c r="VZA11" s="314" t="s">
        <v>203</v>
      </c>
      <c r="VZB11" s="314" t="s">
        <v>203</v>
      </c>
      <c r="VZC11" s="314" t="s">
        <v>203</v>
      </c>
      <c r="VZD11" s="314" t="s">
        <v>203</v>
      </c>
      <c r="VZE11" s="314" t="s">
        <v>203</v>
      </c>
      <c r="VZF11" s="314" t="s">
        <v>203</v>
      </c>
      <c r="VZG11" s="314" t="s">
        <v>203</v>
      </c>
      <c r="VZH11" s="314" t="s">
        <v>203</v>
      </c>
      <c r="VZI11" s="314" t="s">
        <v>203</v>
      </c>
      <c r="VZJ11" s="314" t="s">
        <v>203</v>
      </c>
      <c r="VZK11" s="314" t="s">
        <v>203</v>
      </c>
      <c r="VZL11" s="314" t="s">
        <v>203</v>
      </c>
      <c r="VZM11" s="314" t="s">
        <v>203</v>
      </c>
      <c r="VZN11" s="314" t="s">
        <v>203</v>
      </c>
      <c r="VZO11" s="314" t="s">
        <v>203</v>
      </c>
      <c r="VZP11" s="314" t="s">
        <v>203</v>
      </c>
      <c r="VZQ11" s="314" t="s">
        <v>203</v>
      </c>
      <c r="VZR11" s="314" t="s">
        <v>203</v>
      </c>
      <c r="VZS11" s="314" t="s">
        <v>203</v>
      </c>
      <c r="VZT11" s="314" t="s">
        <v>203</v>
      </c>
      <c r="VZU11" s="314" t="s">
        <v>203</v>
      </c>
      <c r="VZV11" s="314" t="s">
        <v>203</v>
      </c>
      <c r="VZW11" s="314" t="s">
        <v>203</v>
      </c>
      <c r="VZX11" s="314" t="s">
        <v>203</v>
      </c>
      <c r="VZY11" s="314" t="s">
        <v>203</v>
      </c>
      <c r="VZZ11" s="314" t="s">
        <v>203</v>
      </c>
      <c r="WAA11" s="314" t="s">
        <v>203</v>
      </c>
      <c r="WAB11" s="314" t="s">
        <v>203</v>
      </c>
      <c r="WAC11" s="314" t="s">
        <v>203</v>
      </c>
      <c r="WAD11" s="314" t="s">
        <v>203</v>
      </c>
      <c r="WAE11" s="314" t="s">
        <v>203</v>
      </c>
      <c r="WAF11" s="314" t="s">
        <v>203</v>
      </c>
      <c r="WAG11" s="314" t="s">
        <v>203</v>
      </c>
      <c r="WAH11" s="314" t="s">
        <v>203</v>
      </c>
      <c r="WAI11" s="314" t="s">
        <v>203</v>
      </c>
      <c r="WAJ11" s="314" t="s">
        <v>203</v>
      </c>
      <c r="WAK11" s="314" t="s">
        <v>203</v>
      </c>
      <c r="WAL11" s="314" t="s">
        <v>203</v>
      </c>
      <c r="WAM11" s="314" t="s">
        <v>203</v>
      </c>
      <c r="WAN11" s="314" t="s">
        <v>203</v>
      </c>
      <c r="WAO11" s="314" t="s">
        <v>203</v>
      </c>
      <c r="WAP11" s="314" t="s">
        <v>203</v>
      </c>
      <c r="WAQ11" s="314" t="s">
        <v>203</v>
      </c>
      <c r="WAR11" s="314" t="s">
        <v>203</v>
      </c>
      <c r="WAS11" s="314" t="s">
        <v>203</v>
      </c>
      <c r="WAT11" s="314" t="s">
        <v>203</v>
      </c>
      <c r="WAU11" s="314" t="s">
        <v>203</v>
      </c>
      <c r="WAV11" s="314" t="s">
        <v>203</v>
      </c>
      <c r="WAW11" s="314" t="s">
        <v>203</v>
      </c>
      <c r="WAX11" s="314" t="s">
        <v>203</v>
      </c>
      <c r="WAY11" s="314" t="s">
        <v>203</v>
      </c>
      <c r="WAZ11" s="314" t="s">
        <v>203</v>
      </c>
      <c r="WBA11" s="314" t="s">
        <v>203</v>
      </c>
      <c r="WBB11" s="314" t="s">
        <v>203</v>
      </c>
      <c r="WBC11" s="314" t="s">
        <v>203</v>
      </c>
      <c r="WBD11" s="314" t="s">
        <v>203</v>
      </c>
      <c r="WBE11" s="314" t="s">
        <v>203</v>
      </c>
      <c r="WBF11" s="314" t="s">
        <v>203</v>
      </c>
      <c r="WBG11" s="314" t="s">
        <v>203</v>
      </c>
      <c r="WBH11" s="314" t="s">
        <v>203</v>
      </c>
      <c r="WBI11" s="314" t="s">
        <v>203</v>
      </c>
      <c r="WBJ11" s="314" t="s">
        <v>203</v>
      </c>
      <c r="WBK11" s="314" t="s">
        <v>203</v>
      </c>
      <c r="WBL11" s="314" t="s">
        <v>203</v>
      </c>
      <c r="WBM11" s="314" t="s">
        <v>203</v>
      </c>
      <c r="WBN11" s="314" t="s">
        <v>203</v>
      </c>
      <c r="WBO11" s="314" t="s">
        <v>203</v>
      </c>
      <c r="WBP11" s="314" t="s">
        <v>203</v>
      </c>
      <c r="WBQ11" s="314" t="s">
        <v>203</v>
      </c>
      <c r="WBR11" s="314" t="s">
        <v>203</v>
      </c>
      <c r="WBS11" s="314" t="s">
        <v>203</v>
      </c>
      <c r="WBT11" s="314" t="s">
        <v>203</v>
      </c>
      <c r="WBU11" s="314" t="s">
        <v>203</v>
      </c>
      <c r="WBV11" s="314" t="s">
        <v>203</v>
      </c>
      <c r="WBW11" s="314" t="s">
        <v>203</v>
      </c>
      <c r="WBX11" s="314" t="s">
        <v>203</v>
      </c>
      <c r="WBY11" s="314" t="s">
        <v>203</v>
      </c>
      <c r="WBZ11" s="314" t="s">
        <v>203</v>
      </c>
      <c r="WCA11" s="314" t="s">
        <v>203</v>
      </c>
      <c r="WCB11" s="314" t="s">
        <v>203</v>
      </c>
      <c r="WCC11" s="314" t="s">
        <v>203</v>
      </c>
      <c r="WCD11" s="314" t="s">
        <v>203</v>
      </c>
      <c r="WCE11" s="314" t="s">
        <v>203</v>
      </c>
      <c r="WCF11" s="314" t="s">
        <v>203</v>
      </c>
      <c r="WCG11" s="314" t="s">
        <v>203</v>
      </c>
      <c r="WCH11" s="314" t="s">
        <v>203</v>
      </c>
      <c r="WCI11" s="314" t="s">
        <v>203</v>
      </c>
      <c r="WCJ11" s="314" t="s">
        <v>203</v>
      </c>
      <c r="WCK11" s="314" t="s">
        <v>203</v>
      </c>
      <c r="WCL11" s="314" t="s">
        <v>203</v>
      </c>
      <c r="WCM11" s="314" t="s">
        <v>203</v>
      </c>
      <c r="WCN11" s="314" t="s">
        <v>203</v>
      </c>
      <c r="WCO11" s="314" t="s">
        <v>203</v>
      </c>
      <c r="WCP11" s="314" t="s">
        <v>203</v>
      </c>
      <c r="WCQ11" s="314" t="s">
        <v>203</v>
      </c>
      <c r="WCR11" s="314" t="s">
        <v>203</v>
      </c>
      <c r="WCS11" s="314" t="s">
        <v>203</v>
      </c>
      <c r="WCT11" s="314" t="s">
        <v>203</v>
      </c>
      <c r="WCU11" s="314" t="s">
        <v>203</v>
      </c>
      <c r="WCV11" s="314" t="s">
        <v>203</v>
      </c>
      <c r="WCW11" s="314" t="s">
        <v>203</v>
      </c>
      <c r="WCX11" s="314" t="s">
        <v>203</v>
      </c>
      <c r="WCY11" s="314" t="s">
        <v>203</v>
      </c>
      <c r="WCZ11" s="314" t="s">
        <v>203</v>
      </c>
      <c r="WDA11" s="314" t="s">
        <v>203</v>
      </c>
      <c r="WDB11" s="314" t="s">
        <v>203</v>
      </c>
      <c r="WDC11" s="314" t="s">
        <v>203</v>
      </c>
      <c r="WDD11" s="314" t="s">
        <v>203</v>
      </c>
      <c r="WDE11" s="314" t="s">
        <v>203</v>
      </c>
      <c r="WDF11" s="314" t="s">
        <v>203</v>
      </c>
      <c r="WDG11" s="314" t="s">
        <v>203</v>
      </c>
      <c r="WDH11" s="314" t="s">
        <v>203</v>
      </c>
      <c r="WDI11" s="314" t="s">
        <v>203</v>
      </c>
      <c r="WDJ11" s="314" t="s">
        <v>203</v>
      </c>
      <c r="WDK11" s="314" t="s">
        <v>203</v>
      </c>
      <c r="WDL11" s="314" t="s">
        <v>203</v>
      </c>
      <c r="WDM11" s="314" t="s">
        <v>203</v>
      </c>
      <c r="WDN11" s="314" t="s">
        <v>203</v>
      </c>
      <c r="WDO11" s="314" t="s">
        <v>203</v>
      </c>
      <c r="WDP11" s="314" t="s">
        <v>203</v>
      </c>
      <c r="WDQ11" s="314" t="s">
        <v>203</v>
      </c>
      <c r="WDR11" s="314" t="s">
        <v>203</v>
      </c>
      <c r="WDS11" s="314" t="s">
        <v>203</v>
      </c>
      <c r="WDT11" s="314" t="s">
        <v>203</v>
      </c>
      <c r="WDU11" s="314" t="s">
        <v>203</v>
      </c>
      <c r="WDV11" s="314" t="s">
        <v>203</v>
      </c>
      <c r="WDW11" s="314" t="s">
        <v>203</v>
      </c>
      <c r="WDX11" s="314" t="s">
        <v>203</v>
      </c>
      <c r="WDY11" s="314" t="s">
        <v>203</v>
      </c>
      <c r="WDZ11" s="314" t="s">
        <v>203</v>
      </c>
      <c r="WEA11" s="314" t="s">
        <v>203</v>
      </c>
      <c r="WEB11" s="314" t="s">
        <v>203</v>
      </c>
      <c r="WEC11" s="314" t="s">
        <v>203</v>
      </c>
      <c r="WED11" s="314" t="s">
        <v>203</v>
      </c>
      <c r="WEE11" s="314" t="s">
        <v>203</v>
      </c>
      <c r="WEF11" s="314" t="s">
        <v>203</v>
      </c>
      <c r="WEG11" s="314" t="s">
        <v>203</v>
      </c>
      <c r="WEH11" s="314" t="s">
        <v>203</v>
      </c>
      <c r="WEI11" s="314" t="s">
        <v>203</v>
      </c>
      <c r="WEJ11" s="314" t="s">
        <v>203</v>
      </c>
      <c r="WEK11" s="314" t="s">
        <v>203</v>
      </c>
      <c r="WEL11" s="314" t="s">
        <v>203</v>
      </c>
      <c r="WEM11" s="314" t="s">
        <v>203</v>
      </c>
      <c r="WEN11" s="314" t="s">
        <v>203</v>
      </c>
      <c r="WEO11" s="314" t="s">
        <v>203</v>
      </c>
      <c r="WEP11" s="314" t="s">
        <v>203</v>
      </c>
      <c r="WEQ11" s="314" t="s">
        <v>203</v>
      </c>
      <c r="WER11" s="314" t="s">
        <v>203</v>
      </c>
      <c r="WES11" s="314" t="s">
        <v>203</v>
      </c>
      <c r="WET11" s="314" t="s">
        <v>203</v>
      </c>
      <c r="WEU11" s="314" t="s">
        <v>203</v>
      </c>
      <c r="WEV11" s="314" t="s">
        <v>203</v>
      </c>
      <c r="WEW11" s="314" t="s">
        <v>203</v>
      </c>
      <c r="WEX11" s="314" t="s">
        <v>203</v>
      </c>
      <c r="WEY11" s="314" t="s">
        <v>203</v>
      </c>
      <c r="WEZ11" s="314" t="s">
        <v>203</v>
      </c>
      <c r="WFA11" s="314" t="s">
        <v>203</v>
      </c>
      <c r="WFB11" s="314" t="s">
        <v>203</v>
      </c>
      <c r="WFC11" s="314" t="s">
        <v>203</v>
      </c>
      <c r="WFD11" s="314" t="s">
        <v>203</v>
      </c>
      <c r="WFE11" s="314" t="s">
        <v>203</v>
      </c>
      <c r="WFF11" s="314" t="s">
        <v>203</v>
      </c>
      <c r="WFG11" s="314" t="s">
        <v>203</v>
      </c>
      <c r="WFH11" s="314" t="s">
        <v>203</v>
      </c>
      <c r="WFI11" s="314" t="s">
        <v>203</v>
      </c>
      <c r="WFJ11" s="314" t="s">
        <v>203</v>
      </c>
      <c r="WFK11" s="314" t="s">
        <v>203</v>
      </c>
      <c r="WFL11" s="314" t="s">
        <v>203</v>
      </c>
      <c r="WFM11" s="314" t="s">
        <v>203</v>
      </c>
      <c r="WFN11" s="314" t="s">
        <v>203</v>
      </c>
      <c r="WFO11" s="314" t="s">
        <v>203</v>
      </c>
      <c r="WFP11" s="314" t="s">
        <v>203</v>
      </c>
      <c r="WFQ11" s="314" t="s">
        <v>203</v>
      </c>
      <c r="WFR11" s="314" t="s">
        <v>203</v>
      </c>
      <c r="WFS11" s="314" t="s">
        <v>203</v>
      </c>
      <c r="WFT11" s="314" t="s">
        <v>203</v>
      </c>
      <c r="WFU11" s="314" t="s">
        <v>203</v>
      </c>
      <c r="WFV11" s="314" t="s">
        <v>203</v>
      </c>
      <c r="WFW11" s="314" t="s">
        <v>203</v>
      </c>
      <c r="WFX11" s="314" t="s">
        <v>203</v>
      </c>
      <c r="WFY11" s="314" t="s">
        <v>203</v>
      </c>
      <c r="WFZ11" s="314" t="s">
        <v>203</v>
      </c>
      <c r="WGA11" s="314" t="s">
        <v>203</v>
      </c>
      <c r="WGB11" s="314" t="s">
        <v>203</v>
      </c>
      <c r="WGC11" s="314" t="s">
        <v>203</v>
      </c>
      <c r="WGD11" s="314" t="s">
        <v>203</v>
      </c>
      <c r="WGE11" s="314" t="s">
        <v>203</v>
      </c>
      <c r="WGF11" s="314" t="s">
        <v>203</v>
      </c>
      <c r="WGG11" s="314" t="s">
        <v>203</v>
      </c>
      <c r="WGH11" s="314" t="s">
        <v>203</v>
      </c>
      <c r="WGI11" s="314" t="s">
        <v>203</v>
      </c>
      <c r="WGJ11" s="314" t="s">
        <v>203</v>
      </c>
      <c r="WGK11" s="314" t="s">
        <v>203</v>
      </c>
      <c r="WGL11" s="314" t="s">
        <v>203</v>
      </c>
      <c r="WGM11" s="314" t="s">
        <v>203</v>
      </c>
      <c r="WGN11" s="314" t="s">
        <v>203</v>
      </c>
      <c r="WGO11" s="314" t="s">
        <v>203</v>
      </c>
      <c r="WGP11" s="314" t="s">
        <v>203</v>
      </c>
      <c r="WGQ11" s="314" t="s">
        <v>203</v>
      </c>
      <c r="WGR11" s="314" t="s">
        <v>203</v>
      </c>
      <c r="WGS11" s="314" t="s">
        <v>203</v>
      </c>
      <c r="WGT11" s="314" t="s">
        <v>203</v>
      </c>
      <c r="WGU11" s="314" t="s">
        <v>203</v>
      </c>
      <c r="WGV11" s="314" t="s">
        <v>203</v>
      </c>
      <c r="WGW11" s="314" t="s">
        <v>203</v>
      </c>
      <c r="WGX11" s="314" t="s">
        <v>203</v>
      </c>
      <c r="WGY11" s="314" t="s">
        <v>203</v>
      </c>
      <c r="WGZ11" s="314" t="s">
        <v>203</v>
      </c>
      <c r="WHA11" s="314" t="s">
        <v>203</v>
      </c>
      <c r="WHB11" s="314" t="s">
        <v>203</v>
      </c>
      <c r="WHC11" s="314" t="s">
        <v>203</v>
      </c>
      <c r="WHD11" s="314" t="s">
        <v>203</v>
      </c>
      <c r="WHE11" s="314" t="s">
        <v>203</v>
      </c>
      <c r="WHF11" s="314" t="s">
        <v>203</v>
      </c>
      <c r="WHG11" s="314" t="s">
        <v>203</v>
      </c>
      <c r="WHH11" s="314" t="s">
        <v>203</v>
      </c>
      <c r="WHI11" s="314" t="s">
        <v>203</v>
      </c>
      <c r="WHJ11" s="314" t="s">
        <v>203</v>
      </c>
      <c r="WHK11" s="314" t="s">
        <v>203</v>
      </c>
      <c r="WHL11" s="314" t="s">
        <v>203</v>
      </c>
      <c r="WHM11" s="314" t="s">
        <v>203</v>
      </c>
      <c r="WHN11" s="314" t="s">
        <v>203</v>
      </c>
      <c r="WHO11" s="314" t="s">
        <v>203</v>
      </c>
      <c r="WHP11" s="314" t="s">
        <v>203</v>
      </c>
      <c r="WHQ11" s="314" t="s">
        <v>203</v>
      </c>
      <c r="WHR11" s="314" t="s">
        <v>203</v>
      </c>
      <c r="WHS11" s="314" t="s">
        <v>203</v>
      </c>
      <c r="WHT11" s="314" t="s">
        <v>203</v>
      </c>
      <c r="WHU11" s="314" t="s">
        <v>203</v>
      </c>
      <c r="WHV11" s="314" t="s">
        <v>203</v>
      </c>
      <c r="WHW11" s="314" t="s">
        <v>203</v>
      </c>
      <c r="WHX11" s="314" t="s">
        <v>203</v>
      </c>
      <c r="WHY11" s="314" t="s">
        <v>203</v>
      </c>
      <c r="WHZ11" s="314" t="s">
        <v>203</v>
      </c>
      <c r="WIA11" s="314" t="s">
        <v>203</v>
      </c>
      <c r="WIB11" s="314" t="s">
        <v>203</v>
      </c>
      <c r="WIC11" s="314" t="s">
        <v>203</v>
      </c>
      <c r="WID11" s="314" t="s">
        <v>203</v>
      </c>
      <c r="WIE11" s="314" t="s">
        <v>203</v>
      </c>
      <c r="WIF11" s="314" t="s">
        <v>203</v>
      </c>
      <c r="WIG11" s="314" t="s">
        <v>203</v>
      </c>
      <c r="WIH11" s="314" t="s">
        <v>203</v>
      </c>
      <c r="WII11" s="314" t="s">
        <v>203</v>
      </c>
      <c r="WIJ11" s="314" t="s">
        <v>203</v>
      </c>
      <c r="WIK11" s="314" t="s">
        <v>203</v>
      </c>
      <c r="WIL11" s="314" t="s">
        <v>203</v>
      </c>
      <c r="WIM11" s="314" t="s">
        <v>203</v>
      </c>
      <c r="WIN11" s="314" t="s">
        <v>203</v>
      </c>
      <c r="WIO11" s="314" t="s">
        <v>203</v>
      </c>
      <c r="WIP11" s="314" t="s">
        <v>203</v>
      </c>
      <c r="WIQ11" s="314" t="s">
        <v>203</v>
      </c>
      <c r="WIR11" s="314" t="s">
        <v>203</v>
      </c>
      <c r="WIS11" s="314" t="s">
        <v>203</v>
      </c>
      <c r="WIT11" s="314" t="s">
        <v>203</v>
      </c>
      <c r="WIU11" s="314" t="s">
        <v>203</v>
      </c>
      <c r="WIV11" s="314" t="s">
        <v>203</v>
      </c>
      <c r="WIW11" s="314" t="s">
        <v>203</v>
      </c>
      <c r="WIX11" s="314" t="s">
        <v>203</v>
      </c>
      <c r="WIY11" s="314" t="s">
        <v>203</v>
      </c>
      <c r="WIZ11" s="314" t="s">
        <v>203</v>
      </c>
      <c r="WJA11" s="314" t="s">
        <v>203</v>
      </c>
      <c r="WJB11" s="314" t="s">
        <v>203</v>
      </c>
      <c r="WJC11" s="314" t="s">
        <v>203</v>
      </c>
      <c r="WJD11" s="314" t="s">
        <v>203</v>
      </c>
      <c r="WJE11" s="314" t="s">
        <v>203</v>
      </c>
      <c r="WJF11" s="314" t="s">
        <v>203</v>
      </c>
      <c r="WJG11" s="314" t="s">
        <v>203</v>
      </c>
      <c r="WJH11" s="314" t="s">
        <v>203</v>
      </c>
      <c r="WJI11" s="314" t="s">
        <v>203</v>
      </c>
      <c r="WJJ11" s="314" t="s">
        <v>203</v>
      </c>
      <c r="WJK11" s="314" t="s">
        <v>203</v>
      </c>
      <c r="WJL11" s="314" t="s">
        <v>203</v>
      </c>
      <c r="WJM11" s="314" t="s">
        <v>203</v>
      </c>
      <c r="WJN11" s="314" t="s">
        <v>203</v>
      </c>
      <c r="WJO11" s="314" t="s">
        <v>203</v>
      </c>
      <c r="WJP11" s="314" t="s">
        <v>203</v>
      </c>
      <c r="WJQ11" s="314" t="s">
        <v>203</v>
      </c>
      <c r="WJR11" s="314" t="s">
        <v>203</v>
      </c>
      <c r="WJS11" s="314" t="s">
        <v>203</v>
      </c>
      <c r="WJT11" s="314" t="s">
        <v>203</v>
      </c>
      <c r="WJU11" s="314" t="s">
        <v>203</v>
      </c>
      <c r="WJV11" s="314" t="s">
        <v>203</v>
      </c>
      <c r="WJW11" s="314" t="s">
        <v>203</v>
      </c>
      <c r="WJX11" s="314" t="s">
        <v>203</v>
      </c>
      <c r="WJY11" s="314" t="s">
        <v>203</v>
      </c>
      <c r="WJZ11" s="314" t="s">
        <v>203</v>
      </c>
      <c r="WKA11" s="314" t="s">
        <v>203</v>
      </c>
      <c r="WKB11" s="314" t="s">
        <v>203</v>
      </c>
      <c r="WKC11" s="314" t="s">
        <v>203</v>
      </c>
      <c r="WKD11" s="314" t="s">
        <v>203</v>
      </c>
      <c r="WKE11" s="314" t="s">
        <v>203</v>
      </c>
      <c r="WKF11" s="314" t="s">
        <v>203</v>
      </c>
      <c r="WKG11" s="314" t="s">
        <v>203</v>
      </c>
      <c r="WKH11" s="314" t="s">
        <v>203</v>
      </c>
      <c r="WKI11" s="314" t="s">
        <v>203</v>
      </c>
      <c r="WKJ11" s="314" t="s">
        <v>203</v>
      </c>
      <c r="WKK11" s="314" t="s">
        <v>203</v>
      </c>
      <c r="WKL11" s="314" t="s">
        <v>203</v>
      </c>
      <c r="WKM11" s="314" t="s">
        <v>203</v>
      </c>
      <c r="WKN11" s="314" t="s">
        <v>203</v>
      </c>
      <c r="WKO11" s="314" t="s">
        <v>203</v>
      </c>
      <c r="WKP11" s="314" t="s">
        <v>203</v>
      </c>
      <c r="WKQ11" s="314" t="s">
        <v>203</v>
      </c>
      <c r="WKR11" s="314" t="s">
        <v>203</v>
      </c>
      <c r="WKS11" s="314" t="s">
        <v>203</v>
      </c>
      <c r="WKT11" s="314" t="s">
        <v>203</v>
      </c>
      <c r="WKU11" s="314" t="s">
        <v>203</v>
      </c>
      <c r="WKV11" s="314" t="s">
        <v>203</v>
      </c>
      <c r="WKW11" s="314" t="s">
        <v>203</v>
      </c>
      <c r="WKX11" s="314" t="s">
        <v>203</v>
      </c>
      <c r="WKY11" s="314" t="s">
        <v>203</v>
      </c>
      <c r="WKZ11" s="314" t="s">
        <v>203</v>
      </c>
      <c r="WLA11" s="314" t="s">
        <v>203</v>
      </c>
      <c r="WLB11" s="314" t="s">
        <v>203</v>
      </c>
      <c r="WLC11" s="314" t="s">
        <v>203</v>
      </c>
      <c r="WLD11" s="314" t="s">
        <v>203</v>
      </c>
      <c r="WLE11" s="314" t="s">
        <v>203</v>
      </c>
      <c r="WLF11" s="314" t="s">
        <v>203</v>
      </c>
      <c r="WLG11" s="314" t="s">
        <v>203</v>
      </c>
      <c r="WLH11" s="314" t="s">
        <v>203</v>
      </c>
      <c r="WLI11" s="314" t="s">
        <v>203</v>
      </c>
      <c r="WLJ11" s="314" t="s">
        <v>203</v>
      </c>
      <c r="WLK11" s="314" t="s">
        <v>203</v>
      </c>
      <c r="WLL11" s="314" t="s">
        <v>203</v>
      </c>
      <c r="WLM11" s="314" t="s">
        <v>203</v>
      </c>
      <c r="WLN11" s="314" t="s">
        <v>203</v>
      </c>
      <c r="WLO11" s="314" t="s">
        <v>203</v>
      </c>
      <c r="WLP11" s="314" t="s">
        <v>203</v>
      </c>
      <c r="WLQ11" s="314" t="s">
        <v>203</v>
      </c>
      <c r="WLR11" s="314" t="s">
        <v>203</v>
      </c>
      <c r="WLS11" s="314" t="s">
        <v>203</v>
      </c>
      <c r="WLT11" s="314" t="s">
        <v>203</v>
      </c>
      <c r="WLU11" s="314" t="s">
        <v>203</v>
      </c>
      <c r="WLV11" s="314" t="s">
        <v>203</v>
      </c>
      <c r="WLW11" s="314" t="s">
        <v>203</v>
      </c>
      <c r="WLX11" s="314" t="s">
        <v>203</v>
      </c>
      <c r="WLY11" s="314" t="s">
        <v>203</v>
      </c>
      <c r="WLZ11" s="314" t="s">
        <v>203</v>
      </c>
      <c r="WMA11" s="314" t="s">
        <v>203</v>
      </c>
      <c r="WMB11" s="314" t="s">
        <v>203</v>
      </c>
      <c r="WMC11" s="314" t="s">
        <v>203</v>
      </c>
      <c r="WMD11" s="314" t="s">
        <v>203</v>
      </c>
      <c r="WME11" s="314" t="s">
        <v>203</v>
      </c>
      <c r="WMF11" s="314" t="s">
        <v>203</v>
      </c>
      <c r="WMG11" s="314" t="s">
        <v>203</v>
      </c>
      <c r="WMH11" s="314" t="s">
        <v>203</v>
      </c>
      <c r="WMI11" s="314" t="s">
        <v>203</v>
      </c>
      <c r="WMJ11" s="314" t="s">
        <v>203</v>
      </c>
      <c r="WMK11" s="314" t="s">
        <v>203</v>
      </c>
      <c r="WML11" s="314" t="s">
        <v>203</v>
      </c>
      <c r="WMM11" s="314" t="s">
        <v>203</v>
      </c>
      <c r="WMN11" s="314" t="s">
        <v>203</v>
      </c>
      <c r="WMO11" s="314" t="s">
        <v>203</v>
      </c>
      <c r="WMP11" s="314" t="s">
        <v>203</v>
      </c>
      <c r="WMQ11" s="314" t="s">
        <v>203</v>
      </c>
      <c r="WMR11" s="314" t="s">
        <v>203</v>
      </c>
      <c r="WMS11" s="314" t="s">
        <v>203</v>
      </c>
      <c r="WMT11" s="314" t="s">
        <v>203</v>
      </c>
      <c r="WMU11" s="314" t="s">
        <v>203</v>
      </c>
      <c r="WMV11" s="314" t="s">
        <v>203</v>
      </c>
      <c r="WMW11" s="314" t="s">
        <v>203</v>
      </c>
      <c r="WMX11" s="314" t="s">
        <v>203</v>
      </c>
      <c r="WMY11" s="314" t="s">
        <v>203</v>
      </c>
      <c r="WMZ11" s="314" t="s">
        <v>203</v>
      </c>
      <c r="WNA11" s="314" t="s">
        <v>203</v>
      </c>
      <c r="WNB11" s="314" t="s">
        <v>203</v>
      </c>
      <c r="WNC11" s="314" t="s">
        <v>203</v>
      </c>
      <c r="WND11" s="314" t="s">
        <v>203</v>
      </c>
      <c r="WNE11" s="314" t="s">
        <v>203</v>
      </c>
      <c r="WNF11" s="314" t="s">
        <v>203</v>
      </c>
      <c r="WNG11" s="314" t="s">
        <v>203</v>
      </c>
      <c r="WNH11" s="314" t="s">
        <v>203</v>
      </c>
      <c r="WNI11" s="314" t="s">
        <v>203</v>
      </c>
      <c r="WNJ11" s="314" t="s">
        <v>203</v>
      </c>
      <c r="WNK11" s="314" t="s">
        <v>203</v>
      </c>
      <c r="WNL11" s="314" t="s">
        <v>203</v>
      </c>
      <c r="WNM11" s="314" t="s">
        <v>203</v>
      </c>
      <c r="WNN11" s="314" t="s">
        <v>203</v>
      </c>
      <c r="WNO11" s="314" t="s">
        <v>203</v>
      </c>
      <c r="WNP11" s="314" t="s">
        <v>203</v>
      </c>
      <c r="WNQ11" s="314" t="s">
        <v>203</v>
      </c>
      <c r="WNR11" s="314" t="s">
        <v>203</v>
      </c>
      <c r="WNS11" s="314" t="s">
        <v>203</v>
      </c>
      <c r="WNT11" s="314" t="s">
        <v>203</v>
      </c>
      <c r="WNU11" s="314" t="s">
        <v>203</v>
      </c>
      <c r="WNV11" s="314" t="s">
        <v>203</v>
      </c>
      <c r="WNW11" s="314" t="s">
        <v>203</v>
      </c>
      <c r="WNX11" s="314" t="s">
        <v>203</v>
      </c>
      <c r="WNY11" s="314" t="s">
        <v>203</v>
      </c>
      <c r="WNZ11" s="314" t="s">
        <v>203</v>
      </c>
      <c r="WOA11" s="314" t="s">
        <v>203</v>
      </c>
      <c r="WOB11" s="314" t="s">
        <v>203</v>
      </c>
      <c r="WOC11" s="314" t="s">
        <v>203</v>
      </c>
      <c r="WOD11" s="314" t="s">
        <v>203</v>
      </c>
      <c r="WOE11" s="314" t="s">
        <v>203</v>
      </c>
      <c r="WOF11" s="314" t="s">
        <v>203</v>
      </c>
      <c r="WOG11" s="314" t="s">
        <v>203</v>
      </c>
      <c r="WOH11" s="314" t="s">
        <v>203</v>
      </c>
      <c r="WOI11" s="314" t="s">
        <v>203</v>
      </c>
      <c r="WOJ11" s="314" t="s">
        <v>203</v>
      </c>
      <c r="WOK11" s="314" t="s">
        <v>203</v>
      </c>
      <c r="WOL11" s="314" t="s">
        <v>203</v>
      </c>
      <c r="WOM11" s="314" t="s">
        <v>203</v>
      </c>
      <c r="WON11" s="314" t="s">
        <v>203</v>
      </c>
      <c r="WOO11" s="314" t="s">
        <v>203</v>
      </c>
      <c r="WOP11" s="314" t="s">
        <v>203</v>
      </c>
      <c r="WOQ11" s="314" t="s">
        <v>203</v>
      </c>
      <c r="WOR11" s="314" t="s">
        <v>203</v>
      </c>
      <c r="WOS11" s="314" t="s">
        <v>203</v>
      </c>
      <c r="WOT11" s="314" t="s">
        <v>203</v>
      </c>
      <c r="WOU11" s="314" t="s">
        <v>203</v>
      </c>
      <c r="WOV11" s="314" t="s">
        <v>203</v>
      </c>
      <c r="WOW11" s="314" t="s">
        <v>203</v>
      </c>
      <c r="WOX11" s="314" t="s">
        <v>203</v>
      </c>
      <c r="WOY11" s="314" t="s">
        <v>203</v>
      </c>
      <c r="WOZ11" s="314" t="s">
        <v>203</v>
      </c>
      <c r="WPA11" s="314" t="s">
        <v>203</v>
      </c>
      <c r="WPB11" s="314" t="s">
        <v>203</v>
      </c>
      <c r="WPC11" s="314" t="s">
        <v>203</v>
      </c>
      <c r="WPD11" s="314" t="s">
        <v>203</v>
      </c>
      <c r="WPE11" s="314" t="s">
        <v>203</v>
      </c>
      <c r="WPF11" s="314" t="s">
        <v>203</v>
      </c>
      <c r="WPG11" s="314" t="s">
        <v>203</v>
      </c>
      <c r="WPH11" s="314" t="s">
        <v>203</v>
      </c>
      <c r="WPI11" s="314" t="s">
        <v>203</v>
      </c>
      <c r="WPJ11" s="314" t="s">
        <v>203</v>
      </c>
      <c r="WPK11" s="314" t="s">
        <v>203</v>
      </c>
      <c r="WPL11" s="314" t="s">
        <v>203</v>
      </c>
      <c r="WPM11" s="314" t="s">
        <v>203</v>
      </c>
      <c r="WPN11" s="314" t="s">
        <v>203</v>
      </c>
      <c r="WPO11" s="314" t="s">
        <v>203</v>
      </c>
      <c r="WPP11" s="314" t="s">
        <v>203</v>
      </c>
      <c r="WPQ11" s="314" t="s">
        <v>203</v>
      </c>
      <c r="WPR11" s="314" t="s">
        <v>203</v>
      </c>
      <c r="WPS11" s="314" t="s">
        <v>203</v>
      </c>
      <c r="WPT11" s="314" t="s">
        <v>203</v>
      </c>
      <c r="WPU11" s="314" t="s">
        <v>203</v>
      </c>
      <c r="WPV11" s="314" t="s">
        <v>203</v>
      </c>
      <c r="WPW11" s="314" t="s">
        <v>203</v>
      </c>
      <c r="WPX11" s="314" t="s">
        <v>203</v>
      </c>
      <c r="WPY11" s="314" t="s">
        <v>203</v>
      </c>
      <c r="WPZ11" s="314" t="s">
        <v>203</v>
      </c>
      <c r="WQA11" s="314" t="s">
        <v>203</v>
      </c>
      <c r="WQB11" s="314" t="s">
        <v>203</v>
      </c>
      <c r="WQC11" s="314" t="s">
        <v>203</v>
      </c>
      <c r="WQD11" s="314" t="s">
        <v>203</v>
      </c>
      <c r="WQE11" s="314" t="s">
        <v>203</v>
      </c>
      <c r="WQF11" s="314" t="s">
        <v>203</v>
      </c>
      <c r="WQG11" s="314" t="s">
        <v>203</v>
      </c>
      <c r="WQH11" s="314" t="s">
        <v>203</v>
      </c>
      <c r="WQI11" s="314" t="s">
        <v>203</v>
      </c>
      <c r="WQJ11" s="314" t="s">
        <v>203</v>
      </c>
      <c r="WQK11" s="314" t="s">
        <v>203</v>
      </c>
      <c r="WQL11" s="314" t="s">
        <v>203</v>
      </c>
      <c r="WQM11" s="314" t="s">
        <v>203</v>
      </c>
      <c r="WQN11" s="314" t="s">
        <v>203</v>
      </c>
      <c r="WQO11" s="314" t="s">
        <v>203</v>
      </c>
      <c r="WQP11" s="314" t="s">
        <v>203</v>
      </c>
      <c r="WQQ11" s="314" t="s">
        <v>203</v>
      </c>
      <c r="WQR11" s="314" t="s">
        <v>203</v>
      </c>
      <c r="WQS11" s="314" t="s">
        <v>203</v>
      </c>
      <c r="WQT11" s="314" t="s">
        <v>203</v>
      </c>
      <c r="WQU11" s="314" t="s">
        <v>203</v>
      </c>
      <c r="WQV11" s="314" t="s">
        <v>203</v>
      </c>
      <c r="WQW11" s="314" t="s">
        <v>203</v>
      </c>
      <c r="WQX11" s="314" t="s">
        <v>203</v>
      </c>
      <c r="WQY11" s="314" t="s">
        <v>203</v>
      </c>
      <c r="WQZ11" s="314" t="s">
        <v>203</v>
      </c>
      <c r="WRA11" s="314" t="s">
        <v>203</v>
      </c>
      <c r="WRB11" s="314" t="s">
        <v>203</v>
      </c>
      <c r="WRC11" s="314" t="s">
        <v>203</v>
      </c>
      <c r="WRD11" s="314" t="s">
        <v>203</v>
      </c>
      <c r="WRE11" s="314" t="s">
        <v>203</v>
      </c>
      <c r="WRF11" s="314" t="s">
        <v>203</v>
      </c>
      <c r="WRG11" s="314" t="s">
        <v>203</v>
      </c>
      <c r="WRH11" s="314" t="s">
        <v>203</v>
      </c>
      <c r="WRI11" s="314" t="s">
        <v>203</v>
      </c>
      <c r="WRJ11" s="314" t="s">
        <v>203</v>
      </c>
      <c r="WRK11" s="314" t="s">
        <v>203</v>
      </c>
      <c r="WRL11" s="314" t="s">
        <v>203</v>
      </c>
      <c r="WRM11" s="314" t="s">
        <v>203</v>
      </c>
      <c r="WRN11" s="314" t="s">
        <v>203</v>
      </c>
      <c r="WRO11" s="314" t="s">
        <v>203</v>
      </c>
      <c r="WRP11" s="314" t="s">
        <v>203</v>
      </c>
      <c r="WRQ11" s="314" t="s">
        <v>203</v>
      </c>
      <c r="WRR11" s="314" t="s">
        <v>203</v>
      </c>
      <c r="WRS11" s="314" t="s">
        <v>203</v>
      </c>
      <c r="WRT11" s="314" t="s">
        <v>203</v>
      </c>
      <c r="WRU11" s="314" t="s">
        <v>203</v>
      </c>
      <c r="WRV11" s="314" t="s">
        <v>203</v>
      </c>
      <c r="WRW11" s="314" t="s">
        <v>203</v>
      </c>
      <c r="WRX11" s="314" t="s">
        <v>203</v>
      </c>
      <c r="WRY11" s="314" t="s">
        <v>203</v>
      </c>
      <c r="WRZ11" s="314" t="s">
        <v>203</v>
      </c>
      <c r="WSA11" s="314" t="s">
        <v>203</v>
      </c>
      <c r="WSB11" s="314" t="s">
        <v>203</v>
      </c>
      <c r="WSC11" s="314" t="s">
        <v>203</v>
      </c>
      <c r="WSD11" s="314" t="s">
        <v>203</v>
      </c>
      <c r="WSE11" s="314" t="s">
        <v>203</v>
      </c>
      <c r="WSF11" s="314" t="s">
        <v>203</v>
      </c>
      <c r="WSG11" s="314" t="s">
        <v>203</v>
      </c>
      <c r="WSH11" s="314" t="s">
        <v>203</v>
      </c>
      <c r="WSI11" s="314" t="s">
        <v>203</v>
      </c>
      <c r="WSJ11" s="314" t="s">
        <v>203</v>
      </c>
      <c r="WSK11" s="314" t="s">
        <v>203</v>
      </c>
      <c r="WSL11" s="314" t="s">
        <v>203</v>
      </c>
      <c r="WSM11" s="314" t="s">
        <v>203</v>
      </c>
      <c r="WSN11" s="314" t="s">
        <v>203</v>
      </c>
      <c r="WSO11" s="314" t="s">
        <v>203</v>
      </c>
      <c r="WSP11" s="314" t="s">
        <v>203</v>
      </c>
      <c r="WSQ11" s="314" t="s">
        <v>203</v>
      </c>
      <c r="WSR11" s="314" t="s">
        <v>203</v>
      </c>
      <c r="WSS11" s="314" t="s">
        <v>203</v>
      </c>
      <c r="WST11" s="314" t="s">
        <v>203</v>
      </c>
      <c r="WSU11" s="314" t="s">
        <v>203</v>
      </c>
      <c r="WSV11" s="314" t="s">
        <v>203</v>
      </c>
      <c r="WSW11" s="314" t="s">
        <v>203</v>
      </c>
      <c r="WSX11" s="314" t="s">
        <v>203</v>
      </c>
      <c r="WSY11" s="314" t="s">
        <v>203</v>
      </c>
      <c r="WSZ11" s="314" t="s">
        <v>203</v>
      </c>
      <c r="WTA11" s="314" t="s">
        <v>203</v>
      </c>
      <c r="WTB11" s="314" t="s">
        <v>203</v>
      </c>
      <c r="WTC11" s="314" t="s">
        <v>203</v>
      </c>
      <c r="WTD11" s="314" t="s">
        <v>203</v>
      </c>
      <c r="WTE11" s="314" t="s">
        <v>203</v>
      </c>
      <c r="WTF11" s="314" t="s">
        <v>203</v>
      </c>
      <c r="WTG11" s="314" t="s">
        <v>203</v>
      </c>
      <c r="WTH11" s="314" t="s">
        <v>203</v>
      </c>
      <c r="WTI11" s="314" t="s">
        <v>203</v>
      </c>
      <c r="WTJ11" s="314" t="s">
        <v>203</v>
      </c>
      <c r="WTK11" s="314" t="s">
        <v>203</v>
      </c>
      <c r="WTL11" s="314" t="s">
        <v>203</v>
      </c>
      <c r="WTM11" s="314" t="s">
        <v>203</v>
      </c>
      <c r="WTN11" s="314" t="s">
        <v>203</v>
      </c>
      <c r="WTO11" s="314" t="s">
        <v>203</v>
      </c>
      <c r="WTP11" s="314" t="s">
        <v>203</v>
      </c>
      <c r="WTQ11" s="314" t="s">
        <v>203</v>
      </c>
      <c r="WTR11" s="314" t="s">
        <v>203</v>
      </c>
      <c r="WTS11" s="314" t="s">
        <v>203</v>
      </c>
      <c r="WTT11" s="314" t="s">
        <v>203</v>
      </c>
      <c r="WTU11" s="314" t="s">
        <v>203</v>
      </c>
      <c r="WTV11" s="314" t="s">
        <v>203</v>
      </c>
      <c r="WTW11" s="314" t="s">
        <v>203</v>
      </c>
      <c r="WTX11" s="314" t="s">
        <v>203</v>
      </c>
      <c r="WTY11" s="314" t="s">
        <v>203</v>
      </c>
      <c r="WTZ11" s="314" t="s">
        <v>203</v>
      </c>
      <c r="WUA11" s="314" t="s">
        <v>203</v>
      </c>
      <c r="WUB11" s="314" t="s">
        <v>203</v>
      </c>
      <c r="WUC11" s="314" t="s">
        <v>203</v>
      </c>
      <c r="WUD11" s="314" t="s">
        <v>203</v>
      </c>
      <c r="WUE11" s="314" t="s">
        <v>203</v>
      </c>
      <c r="WUF11" s="314" t="s">
        <v>203</v>
      </c>
      <c r="WUG11" s="314" t="s">
        <v>203</v>
      </c>
      <c r="WUH11" s="314" t="s">
        <v>203</v>
      </c>
      <c r="WUI11" s="314" t="s">
        <v>203</v>
      </c>
      <c r="WUJ11" s="314" t="s">
        <v>203</v>
      </c>
      <c r="WUK11" s="314" t="s">
        <v>203</v>
      </c>
      <c r="WUL11" s="314" t="s">
        <v>203</v>
      </c>
      <c r="WUM11" s="314" t="s">
        <v>203</v>
      </c>
      <c r="WUN11" s="314" t="s">
        <v>203</v>
      </c>
      <c r="WUO11" s="314" t="s">
        <v>203</v>
      </c>
      <c r="WUP11" s="314" t="s">
        <v>203</v>
      </c>
      <c r="WUQ11" s="314" t="s">
        <v>203</v>
      </c>
      <c r="WUR11" s="314" t="s">
        <v>203</v>
      </c>
      <c r="WUS11" s="314" t="s">
        <v>203</v>
      </c>
      <c r="WUT11" s="314" t="s">
        <v>203</v>
      </c>
      <c r="WUU11" s="314" t="s">
        <v>203</v>
      </c>
      <c r="WUV11" s="314" t="s">
        <v>203</v>
      </c>
      <c r="WUW11" s="314" t="s">
        <v>203</v>
      </c>
      <c r="WUX11" s="314" t="s">
        <v>203</v>
      </c>
      <c r="WUY11" s="314" t="s">
        <v>203</v>
      </c>
      <c r="WUZ11" s="314" t="s">
        <v>203</v>
      </c>
      <c r="WVA11" s="314" t="s">
        <v>203</v>
      </c>
      <c r="WVB11" s="314" t="s">
        <v>203</v>
      </c>
      <c r="WVC11" s="314" t="s">
        <v>203</v>
      </c>
      <c r="WVD11" s="314" t="s">
        <v>203</v>
      </c>
      <c r="WVE11" s="314" t="s">
        <v>203</v>
      </c>
      <c r="WVF11" s="314" t="s">
        <v>203</v>
      </c>
      <c r="WVG11" s="314" t="s">
        <v>203</v>
      </c>
      <c r="WVH11" s="314" t="s">
        <v>203</v>
      </c>
      <c r="WVI11" s="314" t="s">
        <v>203</v>
      </c>
      <c r="WVJ11" s="314" t="s">
        <v>203</v>
      </c>
      <c r="WVK11" s="314" t="s">
        <v>203</v>
      </c>
      <c r="WVL11" s="314" t="s">
        <v>203</v>
      </c>
      <c r="WVM11" s="314" t="s">
        <v>203</v>
      </c>
      <c r="WVN11" s="314" t="s">
        <v>203</v>
      </c>
      <c r="WVO11" s="314" t="s">
        <v>203</v>
      </c>
      <c r="WVP11" s="314" t="s">
        <v>203</v>
      </c>
      <c r="WVQ11" s="314" t="s">
        <v>203</v>
      </c>
      <c r="WVR11" s="314" t="s">
        <v>203</v>
      </c>
      <c r="WVS11" s="314" t="s">
        <v>203</v>
      </c>
      <c r="WVT11" s="314" t="s">
        <v>203</v>
      </c>
      <c r="WVU11" s="314" t="s">
        <v>203</v>
      </c>
      <c r="WVV11" s="314" t="s">
        <v>203</v>
      </c>
      <c r="WVW11" s="314" t="s">
        <v>203</v>
      </c>
      <c r="WVX11" s="314" t="s">
        <v>203</v>
      </c>
      <c r="WVY11" s="314" t="s">
        <v>203</v>
      </c>
      <c r="WVZ11" s="314" t="s">
        <v>203</v>
      </c>
      <c r="WWA11" s="314" t="s">
        <v>203</v>
      </c>
      <c r="WWB11" s="314" t="s">
        <v>203</v>
      </c>
      <c r="WWC11" s="314" t="s">
        <v>203</v>
      </c>
      <c r="WWD11" s="314" t="s">
        <v>203</v>
      </c>
      <c r="WWE11" s="314" t="s">
        <v>203</v>
      </c>
      <c r="WWF11" s="314" t="s">
        <v>203</v>
      </c>
      <c r="WWG11" s="314" t="s">
        <v>203</v>
      </c>
      <c r="WWH11" s="314" t="s">
        <v>203</v>
      </c>
      <c r="WWI11" s="314" t="s">
        <v>203</v>
      </c>
      <c r="WWJ11" s="314" t="s">
        <v>203</v>
      </c>
      <c r="WWK11" s="314" t="s">
        <v>203</v>
      </c>
      <c r="WWL11" s="314" t="s">
        <v>203</v>
      </c>
      <c r="WWM11" s="314" t="s">
        <v>203</v>
      </c>
      <c r="WWN11" s="314" t="s">
        <v>203</v>
      </c>
      <c r="WWO11" s="314" t="s">
        <v>203</v>
      </c>
      <c r="WWP11" s="314" t="s">
        <v>203</v>
      </c>
      <c r="WWQ11" s="314" t="s">
        <v>203</v>
      </c>
      <c r="WWR11" s="314" t="s">
        <v>203</v>
      </c>
      <c r="WWS11" s="314" t="s">
        <v>203</v>
      </c>
      <c r="WWT11" s="314" t="s">
        <v>203</v>
      </c>
      <c r="WWU11" s="314" t="s">
        <v>203</v>
      </c>
      <c r="WWV11" s="314" t="s">
        <v>203</v>
      </c>
      <c r="WWW11" s="314" t="s">
        <v>203</v>
      </c>
      <c r="WWX11" s="314" t="s">
        <v>203</v>
      </c>
      <c r="WWY11" s="314" t="s">
        <v>203</v>
      </c>
      <c r="WWZ11" s="314" t="s">
        <v>203</v>
      </c>
      <c r="WXA11" s="314" t="s">
        <v>203</v>
      </c>
      <c r="WXB11" s="314" t="s">
        <v>203</v>
      </c>
      <c r="WXC11" s="314" t="s">
        <v>203</v>
      </c>
      <c r="WXD11" s="314" t="s">
        <v>203</v>
      </c>
      <c r="WXE11" s="314" t="s">
        <v>203</v>
      </c>
      <c r="WXF11" s="314" t="s">
        <v>203</v>
      </c>
      <c r="WXG11" s="314" t="s">
        <v>203</v>
      </c>
      <c r="WXH11" s="314" t="s">
        <v>203</v>
      </c>
      <c r="WXI11" s="314" t="s">
        <v>203</v>
      </c>
      <c r="WXJ11" s="314" t="s">
        <v>203</v>
      </c>
      <c r="WXK11" s="314" t="s">
        <v>203</v>
      </c>
      <c r="WXL11" s="314" t="s">
        <v>203</v>
      </c>
      <c r="WXM11" s="314" t="s">
        <v>203</v>
      </c>
      <c r="WXN11" s="314" t="s">
        <v>203</v>
      </c>
      <c r="WXO11" s="314" t="s">
        <v>203</v>
      </c>
      <c r="WXP11" s="314" t="s">
        <v>203</v>
      </c>
      <c r="WXQ11" s="314" t="s">
        <v>203</v>
      </c>
      <c r="WXR11" s="314" t="s">
        <v>203</v>
      </c>
      <c r="WXS11" s="314" t="s">
        <v>203</v>
      </c>
      <c r="WXT11" s="314" t="s">
        <v>203</v>
      </c>
      <c r="WXU11" s="314" t="s">
        <v>203</v>
      </c>
      <c r="WXV11" s="314" t="s">
        <v>203</v>
      </c>
      <c r="WXW11" s="314" t="s">
        <v>203</v>
      </c>
      <c r="WXX11" s="314" t="s">
        <v>203</v>
      </c>
      <c r="WXY11" s="314" t="s">
        <v>203</v>
      </c>
      <c r="WXZ11" s="314" t="s">
        <v>203</v>
      </c>
      <c r="WYA11" s="314" t="s">
        <v>203</v>
      </c>
      <c r="WYB11" s="314" t="s">
        <v>203</v>
      </c>
      <c r="WYC11" s="314" t="s">
        <v>203</v>
      </c>
      <c r="WYD11" s="314" t="s">
        <v>203</v>
      </c>
      <c r="WYE11" s="314" t="s">
        <v>203</v>
      </c>
      <c r="WYF11" s="314" t="s">
        <v>203</v>
      </c>
      <c r="WYG11" s="314" t="s">
        <v>203</v>
      </c>
      <c r="WYH11" s="314" t="s">
        <v>203</v>
      </c>
      <c r="WYI11" s="314" t="s">
        <v>203</v>
      </c>
      <c r="WYJ11" s="314" t="s">
        <v>203</v>
      </c>
      <c r="WYK11" s="314" t="s">
        <v>203</v>
      </c>
      <c r="WYL11" s="314" t="s">
        <v>203</v>
      </c>
      <c r="WYM11" s="314" t="s">
        <v>203</v>
      </c>
      <c r="WYN11" s="314" t="s">
        <v>203</v>
      </c>
      <c r="WYO11" s="314" t="s">
        <v>203</v>
      </c>
      <c r="WYP11" s="314" t="s">
        <v>203</v>
      </c>
      <c r="WYQ11" s="314" t="s">
        <v>203</v>
      </c>
      <c r="WYR11" s="314" t="s">
        <v>203</v>
      </c>
      <c r="WYS11" s="314" t="s">
        <v>203</v>
      </c>
      <c r="WYT11" s="314" t="s">
        <v>203</v>
      </c>
      <c r="WYU11" s="314" t="s">
        <v>203</v>
      </c>
      <c r="WYV11" s="314" t="s">
        <v>203</v>
      </c>
      <c r="WYW11" s="314" t="s">
        <v>203</v>
      </c>
      <c r="WYX11" s="314" t="s">
        <v>203</v>
      </c>
      <c r="WYY11" s="314" t="s">
        <v>203</v>
      </c>
      <c r="WYZ11" s="314" t="s">
        <v>203</v>
      </c>
      <c r="WZA11" s="314" t="s">
        <v>203</v>
      </c>
      <c r="WZB11" s="314" t="s">
        <v>203</v>
      </c>
      <c r="WZC11" s="314" t="s">
        <v>203</v>
      </c>
      <c r="WZD11" s="314" t="s">
        <v>203</v>
      </c>
      <c r="WZE11" s="314" t="s">
        <v>203</v>
      </c>
      <c r="WZF11" s="314" t="s">
        <v>203</v>
      </c>
      <c r="WZG11" s="314" t="s">
        <v>203</v>
      </c>
      <c r="WZH11" s="314" t="s">
        <v>203</v>
      </c>
      <c r="WZI11" s="314" t="s">
        <v>203</v>
      </c>
      <c r="WZJ11" s="314" t="s">
        <v>203</v>
      </c>
      <c r="WZK11" s="314" t="s">
        <v>203</v>
      </c>
      <c r="WZL11" s="314" t="s">
        <v>203</v>
      </c>
      <c r="WZM11" s="314" t="s">
        <v>203</v>
      </c>
      <c r="WZN11" s="314" t="s">
        <v>203</v>
      </c>
      <c r="WZO11" s="314" t="s">
        <v>203</v>
      </c>
      <c r="WZP11" s="314" t="s">
        <v>203</v>
      </c>
      <c r="WZQ11" s="314" t="s">
        <v>203</v>
      </c>
      <c r="WZR11" s="314" t="s">
        <v>203</v>
      </c>
      <c r="WZS11" s="314" t="s">
        <v>203</v>
      </c>
      <c r="WZT11" s="314" t="s">
        <v>203</v>
      </c>
      <c r="WZU11" s="314" t="s">
        <v>203</v>
      </c>
      <c r="WZV11" s="314" t="s">
        <v>203</v>
      </c>
      <c r="WZW11" s="314" t="s">
        <v>203</v>
      </c>
      <c r="WZX11" s="314" t="s">
        <v>203</v>
      </c>
      <c r="WZY11" s="314" t="s">
        <v>203</v>
      </c>
      <c r="WZZ11" s="314" t="s">
        <v>203</v>
      </c>
      <c r="XAA11" s="314" t="s">
        <v>203</v>
      </c>
      <c r="XAB11" s="314" t="s">
        <v>203</v>
      </c>
      <c r="XAC11" s="314" t="s">
        <v>203</v>
      </c>
      <c r="XAD11" s="314" t="s">
        <v>203</v>
      </c>
      <c r="XAE11" s="314" t="s">
        <v>203</v>
      </c>
      <c r="XAF11" s="314" t="s">
        <v>203</v>
      </c>
      <c r="XAG11" s="314" t="s">
        <v>203</v>
      </c>
      <c r="XAH11" s="314" t="s">
        <v>203</v>
      </c>
      <c r="XAI11" s="314" t="s">
        <v>203</v>
      </c>
      <c r="XAJ11" s="314" t="s">
        <v>203</v>
      </c>
      <c r="XAK11" s="314" t="s">
        <v>203</v>
      </c>
      <c r="XAL11" s="314" t="s">
        <v>203</v>
      </c>
      <c r="XAM11" s="314" t="s">
        <v>203</v>
      </c>
      <c r="XAN11" s="314" t="s">
        <v>203</v>
      </c>
      <c r="XAO11" s="314" t="s">
        <v>203</v>
      </c>
      <c r="XAP11" s="314" t="s">
        <v>203</v>
      </c>
      <c r="XAQ11" s="314" t="s">
        <v>203</v>
      </c>
      <c r="XAR11" s="314" t="s">
        <v>203</v>
      </c>
      <c r="XAS11" s="314" t="s">
        <v>203</v>
      </c>
      <c r="XAT11" s="314" t="s">
        <v>203</v>
      </c>
      <c r="XAU11" s="314" t="s">
        <v>203</v>
      </c>
      <c r="XAV11" s="314" t="s">
        <v>203</v>
      </c>
      <c r="XAW11" s="314" t="s">
        <v>203</v>
      </c>
      <c r="XAX11" s="314" t="s">
        <v>203</v>
      </c>
      <c r="XAY11" s="314" t="s">
        <v>203</v>
      </c>
      <c r="XAZ11" s="314" t="s">
        <v>203</v>
      </c>
      <c r="XBA11" s="314" t="s">
        <v>203</v>
      </c>
      <c r="XBB11" s="314" t="s">
        <v>203</v>
      </c>
      <c r="XBC11" s="314" t="s">
        <v>203</v>
      </c>
      <c r="XBD11" s="314" t="s">
        <v>203</v>
      </c>
      <c r="XBE11" s="314" t="s">
        <v>203</v>
      </c>
      <c r="XBF11" s="314" t="s">
        <v>203</v>
      </c>
      <c r="XBG11" s="314" t="s">
        <v>203</v>
      </c>
      <c r="XBH11" s="314" t="s">
        <v>203</v>
      </c>
      <c r="XBI11" s="314" t="s">
        <v>203</v>
      </c>
      <c r="XBJ11" s="314" t="s">
        <v>203</v>
      </c>
      <c r="XBK11" s="314" t="s">
        <v>203</v>
      </c>
      <c r="XBL11" s="314" t="s">
        <v>203</v>
      </c>
      <c r="XBM11" s="314" t="s">
        <v>203</v>
      </c>
      <c r="XBN11" s="314" t="s">
        <v>203</v>
      </c>
      <c r="XBO11" s="314" t="s">
        <v>203</v>
      </c>
      <c r="XBP11" s="314" t="s">
        <v>203</v>
      </c>
      <c r="XBQ11" s="314" t="s">
        <v>203</v>
      </c>
      <c r="XBR11" s="314" t="s">
        <v>203</v>
      </c>
      <c r="XBS11" s="314" t="s">
        <v>203</v>
      </c>
      <c r="XBT11" s="314" t="s">
        <v>203</v>
      </c>
      <c r="XBU11" s="314" t="s">
        <v>203</v>
      </c>
      <c r="XBV11" s="314" t="s">
        <v>203</v>
      </c>
      <c r="XBW11" s="314" t="s">
        <v>203</v>
      </c>
      <c r="XBX11" s="314" t="s">
        <v>203</v>
      </c>
      <c r="XBY11" s="314" t="s">
        <v>203</v>
      </c>
      <c r="XBZ11" s="314" t="s">
        <v>203</v>
      </c>
      <c r="XCA11" s="314" t="s">
        <v>203</v>
      </c>
      <c r="XCB11" s="314" t="s">
        <v>203</v>
      </c>
      <c r="XCC11" s="314" t="s">
        <v>203</v>
      </c>
      <c r="XCD11" s="314" t="s">
        <v>203</v>
      </c>
      <c r="XCE11" s="314" t="s">
        <v>203</v>
      </c>
      <c r="XCF11" s="314" t="s">
        <v>203</v>
      </c>
      <c r="XCG11" s="314" t="s">
        <v>203</v>
      </c>
      <c r="XCH11" s="314" t="s">
        <v>203</v>
      </c>
      <c r="XCI11" s="314" t="s">
        <v>203</v>
      </c>
      <c r="XCJ11" s="314" t="s">
        <v>203</v>
      </c>
      <c r="XCK11" s="314" t="s">
        <v>203</v>
      </c>
      <c r="XCL11" s="314" t="s">
        <v>203</v>
      </c>
      <c r="XCM11" s="314" t="s">
        <v>203</v>
      </c>
      <c r="XCN11" s="314" t="s">
        <v>203</v>
      </c>
      <c r="XCO11" s="314" t="s">
        <v>203</v>
      </c>
      <c r="XCP11" s="314" t="s">
        <v>203</v>
      </c>
      <c r="XCQ11" s="314" t="s">
        <v>203</v>
      </c>
      <c r="XCR11" s="314" t="s">
        <v>203</v>
      </c>
      <c r="XCS11" s="314" t="s">
        <v>203</v>
      </c>
      <c r="XCT11" s="314" t="s">
        <v>203</v>
      </c>
      <c r="XCU11" s="314" t="s">
        <v>203</v>
      </c>
      <c r="XCV11" s="314" t="s">
        <v>203</v>
      </c>
      <c r="XCW11" s="314" t="s">
        <v>203</v>
      </c>
      <c r="XCX11" s="314" t="s">
        <v>203</v>
      </c>
      <c r="XCY11" s="314" t="s">
        <v>203</v>
      </c>
      <c r="XCZ11" s="314" t="s">
        <v>203</v>
      </c>
      <c r="XDA11" s="314" t="s">
        <v>203</v>
      </c>
      <c r="XDB11" s="314" t="s">
        <v>203</v>
      </c>
      <c r="XDC11" s="314" t="s">
        <v>203</v>
      </c>
      <c r="XDD11" s="314" t="s">
        <v>203</v>
      </c>
      <c r="XDE11" s="314" t="s">
        <v>203</v>
      </c>
      <c r="XDF11" s="314" t="s">
        <v>203</v>
      </c>
      <c r="XDG11" s="314" t="s">
        <v>203</v>
      </c>
      <c r="XDH11" s="314" t="s">
        <v>203</v>
      </c>
      <c r="XDI11" s="314" t="s">
        <v>203</v>
      </c>
      <c r="XDJ11" s="314" t="s">
        <v>203</v>
      </c>
      <c r="XDK11" s="314" t="s">
        <v>203</v>
      </c>
      <c r="XDL11" s="314" t="s">
        <v>203</v>
      </c>
      <c r="XDM11" s="314" t="s">
        <v>203</v>
      </c>
      <c r="XDN11" s="314" t="s">
        <v>203</v>
      </c>
      <c r="XDO11" s="314" t="s">
        <v>203</v>
      </c>
      <c r="XDP11" s="314" t="s">
        <v>203</v>
      </c>
      <c r="XDQ11" s="314" t="s">
        <v>203</v>
      </c>
      <c r="XDR11" s="314" t="s">
        <v>203</v>
      </c>
      <c r="XDS11" s="314" t="s">
        <v>203</v>
      </c>
      <c r="XDT11" s="314" t="s">
        <v>203</v>
      </c>
      <c r="XDU11" s="314" t="s">
        <v>203</v>
      </c>
      <c r="XDV11" s="314" t="s">
        <v>203</v>
      </c>
      <c r="XDW11" s="314" t="s">
        <v>203</v>
      </c>
      <c r="XDX11" s="314" t="s">
        <v>203</v>
      </c>
      <c r="XDY11" s="314" t="s">
        <v>203</v>
      </c>
      <c r="XDZ11" s="314" t="s">
        <v>203</v>
      </c>
      <c r="XEA11" s="314" t="s">
        <v>203</v>
      </c>
      <c r="XEB11" s="314" t="s">
        <v>203</v>
      </c>
      <c r="XEC11" s="314" t="s">
        <v>203</v>
      </c>
      <c r="XED11" s="314" t="s">
        <v>203</v>
      </c>
      <c r="XEE11" s="314" t="s">
        <v>203</v>
      </c>
      <c r="XEF11" s="314" t="s">
        <v>203</v>
      </c>
      <c r="XEG11" s="314" t="s">
        <v>203</v>
      </c>
      <c r="XEH11" s="314" t="s">
        <v>203</v>
      </c>
      <c r="XEI11" s="314" t="s">
        <v>203</v>
      </c>
      <c r="XEJ11" s="314" t="s">
        <v>203</v>
      </c>
      <c r="XEK11" s="314" t="s">
        <v>203</v>
      </c>
      <c r="XEL11" s="314" t="s">
        <v>203</v>
      </c>
      <c r="XEM11" s="314" t="s">
        <v>203</v>
      </c>
      <c r="XEN11" s="314" t="s">
        <v>203</v>
      </c>
      <c r="XEO11" s="314" t="s">
        <v>203</v>
      </c>
      <c r="XEP11" s="314" t="s">
        <v>203</v>
      </c>
      <c r="XEQ11" s="314" t="s">
        <v>203</v>
      </c>
      <c r="XER11" s="314" t="s">
        <v>203</v>
      </c>
      <c r="XES11" s="314" t="s">
        <v>203</v>
      </c>
      <c r="XET11" s="314" t="s">
        <v>203</v>
      </c>
      <c r="XEU11" s="314" t="s">
        <v>203</v>
      </c>
      <c r="XEV11" s="314" t="s">
        <v>203</v>
      </c>
      <c r="XEW11" s="314" t="s">
        <v>203</v>
      </c>
      <c r="XEX11" s="314" t="s">
        <v>203</v>
      </c>
      <c r="XEY11" s="314" t="s">
        <v>203</v>
      </c>
    </row>
    <row r="12" spans="1:16379" s="314" customFormat="1" ht="16.5" customHeight="1" x14ac:dyDescent="0.2">
      <c r="A12" s="729" t="s">
        <v>345</v>
      </c>
      <c r="B12" s="607">
        <v>45902</v>
      </c>
      <c r="C12" s="608"/>
      <c r="D12" s="608"/>
      <c r="E12" s="609"/>
      <c r="F12" s="609"/>
      <c r="G12" s="609"/>
      <c r="H12" s="607" t="s">
        <v>213</v>
      </c>
      <c r="I12" s="609" t="s">
        <v>47</v>
      </c>
      <c r="J12" s="610">
        <v>1518</v>
      </c>
      <c r="K12" s="610"/>
      <c r="L12" s="609"/>
      <c r="M12" s="611"/>
      <c r="N12" s="609"/>
      <c r="O12" s="528">
        <v>607</v>
      </c>
      <c r="P12" s="674"/>
      <c r="Q12" s="674"/>
      <c r="R12" s="528"/>
      <c r="S12" s="611"/>
      <c r="T12" s="611"/>
      <c r="U12" s="613" t="s">
        <v>346</v>
      </c>
      <c r="V12" s="660"/>
      <c r="W12" s="323"/>
      <c r="X12" s="698"/>
      <c r="Y12" s="323"/>
      <c r="Z12" s="699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3"/>
    </row>
    <row r="13" spans="1:16379" s="319" customFormat="1" x14ac:dyDescent="0.25">
      <c r="A13" s="447" t="s">
        <v>357</v>
      </c>
      <c r="B13" s="561">
        <v>45999</v>
      </c>
      <c r="C13" s="562"/>
      <c r="D13" s="562"/>
      <c r="E13" s="563"/>
      <c r="F13" s="563"/>
      <c r="G13" s="563"/>
      <c r="H13" s="573" t="s">
        <v>120</v>
      </c>
      <c r="I13" s="573" t="s">
        <v>78</v>
      </c>
      <c r="J13" s="567">
        <v>1758</v>
      </c>
      <c r="K13" s="567">
        <v>200</v>
      </c>
      <c r="L13" s="563"/>
      <c r="M13" s="571"/>
      <c r="N13" s="563"/>
      <c r="O13" s="572"/>
      <c r="P13" s="676"/>
      <c r="Q13" s="676">
        <v>46059</v>
      </c>
      <c r="R13" s="572"/>
      <c r="S13" s="571"/>
      <c r="T13" s="571">
        <f>1758/30*5</f>
        <v>293</v>
      </c>
      <c r="U13" s="573">
        <v>31997214917</v>
      </c>
      <c r="V13" s="289"/>
      <c r="X13" s="700"/>
      <c r="Z13" s="701"/>
    </row>
    <row r="14" spans="1:16379" s="319" customFormat="1" x14ac:dyDescent="0.25">
      <c r="A14" s="447" t="s">
        <v>361</v>
      </c>
      <c r="B14" s="561">
        <v>46027</v>
      </c>
      <c r="C14" s="562"/>
      <c r="D14" s="562"/>
      <c r="E14" s="563"/>
      <c r="F14" s="563"/>
      <c r="G14" s="563"/>
      <c r="H14" s="573"/>
      <c r="I14" s="573"/>
      <c r="J14" s="567">
        <v>1758</v>
      </c>
      <c r="K14" s="567"/>
      <c r="L14" s="563"/>
      <c r="M14" s="571"/>
      <c r="N14" s="563"/>
      <c r="O14" s="572" t="s">
        <v>379</v>
      </c>
      <c r="P14" s="676"/>
      <c r="Q14" s="676">
        <v>46059</v>
      </c>
      <c r="R14" s="572"/>
      <c r="S14" s="571"/>
      <c r="T14" s="571"/>
      <c r="U14" s="573">
        <v>31984051015</v>
      </c>
      <c r="V14" s="289"/>
      <c r="X14" s="700"/>
      <c r="Z14" s="701"/>
    </row>
    <row r="15" spans="1:16379" s="319" customFormat="1" x14ac:dyDescent="0.25">
      <c r="A15" s="718" t="s">
        <v>354</v>
      </c>
      <c r="B15" s="561">
        <v>45979</v>
      </c>
      <c r="C15" s="562"/>
      <c r="D15" s="562"/>
      <c r="E15" s="563"/>
      <c r="F15" s="563"/>
      <c r="G15" s="563"/>
      <c r="H15" s="573"/>
      <c r="I15" s="573"/>
      <c r="J15" s="567">
        <v>1733.05</v>
      </c>
      <c r="K15" s="567"/>
      <c r="L15" s="563"/>
      <c r="M15" s="571"/>
      <c r="N15" s="563"/>
      <c r="O15" s="572">
        <v>694</v>
      </c>
      <c r="P15" s="676"/>
      <c r="Q15" s="676"/>
      <c r="R15" s="572"/>
      <c r="S15" s="571"/>
      <c r="T15" s="571"/>
      <c r="U15" s="573">
        <v>13957522650</v>
      </c>
      <c r="V15" s="289"/>
      <c r="X15" s="700"/>
      <c r="Z15" s="701"/>
    </row>
    <row r="16" spans="1:16379" s="319" customFormat="1" ht="12" customHeight="1" x14ac:dyDescent="0.25">
      <c r="A16" s="447" t="s">
        <v>330</v>
      </c>
      <c r="B16" s="561">
        <v>45937</v>
      </c>
      <c r="C16" s="562"/>
      <c r="D16" s="562"/>
      <c r="E16" s="563"/>
      <c r="F16" s="563"/>
      <c r="G16" s="563"/>
      <c r="H16" s="573" t="s">
        <v>120</v>
      </c>
      <c r="I16" s="573" t="s">
        <v>78</v>
      </c>
      <c r="J16" s="567">
        <v>1733.05</v>
      </c>
      <c r="K16" s="567">
        <v>200</v>
      </c>
      <c r="L16" s="563"/>
      <c r="M16" s="571"/>
      <c r="N16" s="563"/>
      <c r="O16" s="572">
        <v>694</v>
      </c>
      <c r="P16" s="676"/>
      <c r="Q16" s="676"/>
      <c r="R16" s="572"/>
      <c r="S16" s="571"/>
      <c r="T16" s="571"/>
      <c r="U16" s="691">
        <v>14177020605</v>
      </c>
      <c r="V16" s="289"/>
      <c r="X16" s="700"/>
      <c r="Z16" s="701"/>
    </row>
    <row r="17" spans="1:26" ht="28.5" customHeight="1" thickBot="1" x14ac:dyDescent="0.3">
      <c r="A17" s="447" t="s">
        <v>288</v>
      </c>
      <c r="B17" s="561"/>
      <c r="C17" s="562">
        <v>45901</v>
      </c>
      <c r="D17" s="562"/>
      <c r="E17" s="563"/>
      <c r="F17" s="563"/>
      <c r="G17" s="563"/>
      <c r="H17" s="573" t="s">
        <v>257</v>
      </c>
      <c r="I17" s="573" t="s">
        <v>206</v>
      </c>
      <c r="J17" s="567">
        <v>1758</v>
      </c>
      <c r="K17" s="567">
        <v>200</v>
      </c>
      <c r="L17" s="563"/>
      <c r="M17" s="571"/>
      <c r="N17" s="563"/>
      <c r="O17" s="572">
        <v>704</v>
      </c>
      <c r="P17" s="676"/>
      <c r="Q17" s="733"/>
      <c r="R17" s="572"/>
      <c r="S17" s="571"/>
      <c r="T17" s="571"/>
      <c r="U17" s="604" t="s">
        <v>289</v>
      </c>
      <c r="V17" s="25"/>
      <c r="X17" s="704"/>
      <c r="Y17" s="705"/>
      <c r="Z17" s="706"/>
    </row>
    <row r="18" spans="1:26" x14ac:dyDescent="0.25">
      <c r="A18" s="447" t="s">
        <v>283</v>
      </c>
      <c r="B18" s="561">
        <v>45885</v>
      </c>
      <c r="C18" s="562">
        <v>45883</v>
      </c>
      <c r="D18" s="562"/>
      <c r="E18" s="563"/>
      <c r="F18" s="563"/>
      <c r="G18" s="563"/>
      <c r="H18" s="573" t="s">
        <v>282</v>
      </c>
      <c r="I18" s="573" t="s">
        <v>78</v>
      </c>
      <c r="J18" s="571">
        <v>1733.05</v>
      </c>
      <c r="K18" s="571"/>
      <c r="L18" s="563"/>
      <c r="M18" s="571"/>
      <c r="N18" s="563"/>
      <c r="O18" s="572">
        <v>694</v>
      </c>
      <c r="P18" s="676"/>
      <c r="Q18" s="676"/>
      <c r="R18" s="572"/>
      <c r="S18" s="571"/>
      <c r="T18" s="571"/>
      <c r="U18" s="573">
        <v>31986345542</v>
      </c>
      <c r="V18" s="35"/>
    </row>
    <row r="19" spans="1:26" x14ac:dyDescent="0.25">
      <c r="A19" s="603" t="s">
        <v>286</v>
      </c>
      <c r="B19" s="535">
        <v>45897</v>
      </c>
      <c r="C19" s="535">
        <v>45897</v>
      </c>
      <c r="D19" s="536"/>
      <c r="E19" s="537"/>
      <c r="F19" s="537"/>
      <c r="G19" s="537"/>
      <c r="H19" s="321" t="s">
        <v>285</v>
      </c>
      <c r="I19" s="321" t="s">
        <v>74</v>
      </c>
      <c r="J19" s="545">
        <v>1758</v>
      </c>
      <c r="K19" s="545"/>
      <c r="L19" s="537"/>
      <c r="M19" s="545">
        <v>17.350000000000001</v>
      </c>
      <c r="N19" s="537"/>
      <c r="O19" s="545">
        <v>704</v>
      </c>
      <c r="P19" s="692">
        <v>46058</v>
      </c>
      <c r="Q19" s="692"/>
      <c r="R19" s="592"/>
      <c r="S19" s="545"/>
      <c r="T19" s="545"/>
      <c r="U19" s="321">
        <v>31991858383</v>
      </c>
      <c r="V19" s="25"/>
    </row>
    <row r="20" spans="1:26" x14ac:dyDescent="0.25">
      <c r="A20" s="603" t="s">
        <v>309</v>
      </c>
      <c r="B20" s="535">
        <v>45923</v>
      </c>
      <c r="C20" s="535"/>
      <c r="D20" s="536"/>
      <c r="E20" s="537"/>
      <c r="F20" s="537"/>
      <c r="G20" s="537"/>
      <c r="H20" s="321" t="s">
        <v>310</v>
      </c>
      <c r="I20" s="321" t="s">
        <v>74</v>
      </c>
      <c r="J20" s="545">
        <v>1758</v>
      </c>
      <c r="K20" s="545">
        <v>200</v>
      </c>
      <c r="L20" s="537"/>
      <c r="M20" s="545"/>
      <c r="N20" s="537"/>
      <c r="O20" s="545">
        <v>704</v>
      </c>
      <c r="P20" s="692" t="s">
        <v>378</v>
      </c>
      <c r="Q20" s="692"/>
      <c r="R20" s="592"/>
      <c r="S20" s="545"/>
      <c r="T20" s="545"/>
      <c r="U20" s="321">
        <v>17857955620</v>
      </c>
      <c r="V20" s="25"/>
    </row>
    <row r="21" spans="1:26" x14ac:dyDescent="0.25">
      <c r="A21" s="603" t="s">
        <v>232</v>
      </c>
      <c r="B21" s="535"/>
      <c r="C21" s="535"/>
      <c r="D21" s="536"/>
      <c r="E21" s="537"/>
      <c r="F21" s="537"/>
      <c r="G21" s="537"/>
      <c r="H21" s="321" t="s">
        <v>339</v>
      </c>
      <c r="I21" s="321" t="s">
        <v>221</v>
      </c>
      <c r="J21" s="545">
        <v>4000</v>
      </c>
      <c r="K21" s="545"/>
      <c r="L21" s="537"/>
      <c r="M21" s="545"/>
      <c r="N21" s="537"/>
      <c r="O21" s="545"/>
      <c r="P21" s="692"/>
      <c r="Q21" s="692"/>
      <c r="R21" s="592"/>
      <c r="S21" s="545"/>
      <c r="T21" s="545"/>
      <c r="U21" s="321"/>
      <c r="V21" s="25"/>
    </row>
    <row r="22" spans="1:26" x14ac:dyDescent="0.25">
      <c r="A22" s="603" t="s">
        <v>338</v>
      </c>
      <c r="B22" s="535"/>
      <c r="C22" s="535"/>
      <c r="D22" s="536"/>
      <c r="E22" s="537"/>
      <c r="F22" s="537"/>
      <c r="G22" s="537"/>
      <c r="H22" s="321" t="s">
        <v>96</v>
      </c>
      <c r="I22" s="321" t="s">
        <v>222</v>
      </c>
      <c r="J22" s="545">
        <v>2400</v>
      </c>
      <c r="K22" s="545"/>
      <c r="L22" s="537"/>
      <c r="M22" s="545">
        <v>60</v>
      </c>
      <c r="N22" s="537"/>
      <c r="O22" s="545"/>
      <c r="P22" s="692"/>
      <c r="Q22" s="692"/>
      <c r="R22" s="592"/>
      <c r="S22" s="545"/>
      <c r="T22" s="545"/>
      <c r="U22" s="321"/>
      <c r="V22" s="25"/>
    </row>
    <row r="23" spans="1:26" x14ac:dyDescent="0.25">
      <c r="A23" s="603" t="s">
        <v>355</v>
      </c>
      <c r="B23" s="535"/>
      <c r="C23" s="535"/>
      <c r="D23" s="536"/>
      <c r="E23" s="537"/>
      <c r="F23" s="537"/>
      <c r="G23" s="537"/>
      <c r="H23" s="321" t="s">
        <v>356</v>
      </c>
      <c r="I23" s="321" t="s">
        <v>74</v>
      </c>
      <c r="J23" s="545"/>
      <c r="K23" s="545"/>
      <c r="L23" s="537"/>
      <c r="M23" s="545"/>
      <c r="N23" s="537"/>
      <c r="O23" s="545"/>
      <c r="P23" s="692"/>
      <c r="Q23" s="692"/>
      <c r="R23" s="592"/>
      <c r="S23" s="545"/>
      <c r="T23" s="545"/>
      <c r="U23" s="321"/>
      <c r="V23" s="25"/>
    </row>
    <row r="24" spans="1:26" x14ac:dyDescent="0.25">
      <c r="A24" s="603"/>
      <c r="B24" s="535"/>
      <c r="C24" s="535"/>
      <c r="D24" s="536"/>
      <c r="E24" s="537"/>
      <c r="F24" s="537"/>
      <c r="G24" s="537"/>
      <c r="H24" s="321"/>
      <c r="I24" s="321"/>
      <c r="J24" s="545"/>
      <c r="K24" s="723"/>
      <c r="L24" s="719"/>
      <c r="M24" s="720"/>
      <c r="N24" s="537"/>
      <c r="O24" s="545"/>
      <c r="P24" s="692"/>
      <c r="Q24" s="692"/>
      <c r="R24" s="592"/>
      <c r="S24" s="545"/>
      <c r="T24" s="545"/>
      <c r="U24" s="321"/>
      <c r="V24" s="25"/>
    </row>
    <row r="25" spans="1:26" x14ac:dyDescent="0.25">
      <c r="A25" s="603"/>
      <c r="B25" s="535"/>
      <c r="C25" s="535"/>
      <c r="D25" s="536"/>
      <c r="E25" s="537"/>
      <c r="F25" s="537"/>
      <c r="G25" s="537"/>
      <c r="H25" s="321"/>
      <c r="I25" s="321"/>
      <c r="J25" s="545"/>
      <c r="K25" s="719"/>
      <c r="L25" s="719"/>
      <c r="M25" s="720"/>
      <c r="N25" s="537"/>
      <c r="O25" s="545"/>
      <c r="P25" s="692"/>
      <c r="Q25" s="692"/>
      <c r="R25" s="592"/>
      <c r="S25" s="545"/>
      <c r="T25" s="545"/>
      <c r="U25" s="321"/>
      <c r="V25" s="25"/>
    </row>
    <row r="26" spans="1:26" x14ac:dyDescent="0.25">
      <c r="A26" s="710" t="s">
        <v>275</v>
      </c>
      <c r="B26" s="711"/>
      <c r="C26" s="711"/>
      <c r="D26" s="711"/>
      <c r="E26" s="711"/>
      <c r="F26" s="711"/>
      <c r="G26" s="711"/>
      <c r="H26" s="711"/>
      <c r="I26" s="711"/>
      <c r="J26" s="711"/>
      <c r="K26" s="711"/>
      <c r="L26" s="711"/>
      <c r="M26" s="712"/>
      <c r="N26" s="25"/>
      <c r="O26" s="380">
        <v>10362</v>
      </c>
      <c r="P26" s="380"/>
      <c r="Q26" s="694"/>
      <c r="R26" s="694"/>
      <c r="S26" s="380"/>
      <c r="T26" s="380">
        <f>SUM(T3:T25)</f>
        <v>293</v>
      </c>
      <c r="U26" s="208"/>
      <c r="V26" s="25"/>
    </row>
    <row r="27" spans="1:26" x14ac:dyDescent="0.25">
      <c r="T27" s="27"/>
    </row>
    <row r="28" spans="1:26" x14ac:dyDescent="0.25">
      <c r="U28" s="616"/>
    </row>
    <row r="30" spans="1:26" x14ac:dyDescent="0.25">
      <c r="V30" s="272"/>
    </row>
  </sheetData>
  <autoFilter ref="H1:H26" xr:uid="{6A25047E-EEC9-4EB5-8E39-790574A310E0}"/>
  <hyperlinks>
    <hyperlink ref="U17" r:id="rId1" xr:uid="{D396893D-3D4E-4DC0-BB51-7B2756ABBD5F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714D-0A00-4898-9E63-325CF69203FA}">
  <sheetPr codeName="Planilha8"/>
  <dimension ref="A1:R89"/>
  <sheetViews>
    <sheetView topLeftCell="A59" workbookViewId="0">
      <selection activeCell="L97" sqref="L97"/>
    </sheetView>
  </sheetViews>
  <sheetFormatPr defaultRowHeight="15" x14ac:dyDescent="0.25"/>
  <cols>
    <col min="1" max="1" width="32" bestFit="1" customWidth="1"/>
    <col min="2" max="2" width="22" customWidth="1"/>
    <col min="3" max="3" width="18.28515625" style="707" customWidth="1"/>
    <col min="4" max="4" width="40" hidden="1" customWidth="1"/>
    <col min="5" max="5" width="16" hidden="1" customWidth="1"/>
    <col min="6" max="6" width="18.28515625" hidden="1" customWidth="1"/>
    <col min="7" max="7" width="20.5703125" hidden="1" customWidth="1"/>
    <col min="8" max="8" width="14.85546875" hidden="1" customWidth="1"/>
    <col min="9" max="9" width="12.140625" hidden="1" customWidth="1"/>
    <col min="10" max="10" width="16" customWidth="1"/>
    <col min="11" max="11" width="11.7109375" customWidth="1"/>
    <col min="12" max="12" width="16" customWidth="1"/>
    <col min="13" max="13" width="24" customWidth="1"/>
    <col min="14" max="14" width="48.7109375" customWidth="1"/>
    <col min="15" max="15" width="9.140625" style="707"/>
    <col min="18" max="18" width="26.85546875" bestFit="1" customWidth="1"/>
  </cols>
  <sheetData>
    <row r="1" spans="1:18" hidden="1" x14ac:dyDescent="0.25">
      <c r="D1" s="791" t="s">
        <v>211</v>
      </c>
      <c r="E1" s="791"/>
      <c r="F1" s="791"/>
      <c r="G1" s="791"/>
      <c r="H1" s="791"/>
      <c r="I1" s="791"/>
      <c r="J1" s="238"/>
      <c r="K1" s="238"/>
      <c r="L1" s="238"/>
      <c r="M1" s="238"/>
    </row>
    <row r="2" spans="1:18" ht="30" hidden="1" x14ac:dyDescent="0.25">
      <c r="A2" t="s">
        <v>214</v>
      </c>
      <c r="D2" s="52" t="s">
        <v>1</v>
      </c>
      <c r="E2" s="52"/>
      <c r="F2" s="52" t="s">
        <v>114</v>
      </c>
      <c r="G2" s="52" t="s">
        <v>115</v>
      </c>
      <c r="H2" s="52"/>
      <c r="I2" s="52" t="s">
        <v>116</v>
      </c>
      <c r="J2" s="52"/>
      <c r="K2" s="52"/>
      <c r="L2" s="52"/>
      <c r="M2" s="52" t="s">
        <v>176</v>
      </c>
      <c r="R2" s="219"/>
    </row>
    <row r="3" spans="1:18" hidden="1" x14ac:dyDescent="0.25">
      <c r="D3" s="229" t="s">
        <v>117</v>
      </c>
      <c r="E3" s="227" t="s">
        <v>54</v>
      </c>
      <c r="F3" s="235">
        <f>6.8*2</f>
        <v>13.6</v>
      </c>
      <c r="G3" s="223">
        <v>23</v>
      </c>
      <c r="H3" s="223" t="s">
        <v>118</v>
      </c>
      <c r="I3" s="236">
        <f t="shared" ref="I3:I19" si="0">G3*F3</f>
        <v>312.8</v>
      </c>
      <c r="J3" s="236"/>
      <c r="K3" s="236"/>
      <c r="L3" s="236"/>
      <c r="M3" s="236"/>
      <c r="R3" s="105"/>
    </row>
    <row r="4" spans="1:18" hidden="1" x14ac:dyDescent="0.25">
      <c r="D4" s="239" t="s">
        <v>119</v>
      </c>
      <c r="E4" s="240" t="s">
        <v>120</v>
      </c>
      <c r="F4" s="241">
        <f>6.8*2</f>
        <v>13.6</v>
      </c>
      <c r="G4" s="242">
        <v>25</v>
      </c>
      <c r="H4" s="242">
        <v>5457907</v>
      </c>
      <c r="I4" s="243">
        <f t="shared" si="0"/>
        <v>340</v>
      </c>
      <c r="J4" s="243"/>
      <c r="K4" s="243"/>
      <c r="L4" s="243"/>
      <c r="M4" s="243">
        <v>260</v>
      </c>
      <c r="R4" s="105"/>
    </row>
    <row r="5" spans="1:18" hidden="1" x14ac:dyDescent="0.25">
      <c r="D5" s="231" t="s">
        <v>173</v>
      </c>
      <c r="E5" s="227" t="s">
        <v>120</v>
      </c>
      <c r="F5" s="224">
        <f>6.8*2</f>
        <v>13.6</v>
      </c>
      <c r="G5" s="223">
        <v>16</v>
      </c>
      <c r="H5" s="223">
        <v>596587</v>
      </c>
      <c r="I5" s="236">
        <f t="shared" si="0"/>
        <v>217.6</v>
      </c>
      <c r="J5" s="236"/>
      <c r="K5" s="236"/>
      <c r="L5" s="236"/>
      <c r="M5" s="236"/>
      <c r="R5" s="105"/>
    </row>
    <row r="6" spans="1:18" hidden="1" x14ac:dyDescent="0.25">
      <c r="D6" s="230" t="s">
        <v>122</v>
      </c>
      <c r="E6" s="227" t="s">
        <v>24</v>
      </c>
      <c r="F6" s="224">
        <v>11.75</v>
      </c>
      <c r="G6" s="223"/>
      <c r="H6" s="223">
        <v>4107754</v>
      </c>
      <c r="I6" s="236">
        <f t="shared" si="0"/>
        <v>0</v>
      </c>
      <c r="J6" s="236"/>
      <c r="K6" s="236"/>
      <c r="L6" s="236"/>
      <c r="M6" s="236"/>
      <c r="R6" s="105"/>
    </row>
    <row r="7" spans="1:18" hidden="1" x14ac:dyDescent="0.25">
      <c r="D7" s="230"/>
      <c r="E7" s="227" t="s">
        <v>123</v>
      </c>
      <c r="F7" s="224">
        <f>8.4*2</f>
        <v>16.8</v>
      </c>
      <c r="G7" s="223"/>
      <c r="H7" s="223" t="s">
        <v>124</v>
      </c>
      <c r="I7" s="236">
        <f t="shared" si="0"/>
        <v>0</v>
      </c>
      <c r="J7" s="236"/>
      <c r="K7" s="236"/>
      <c r="L7" s="236"/>
      <c r="M7" s="236"/>
      <c r="R7" s="105"/>
    </row>
    <row r="8" spans="1:18" hidden="1" x14ac:dyDescent="0.25">
      <c r="D8" s="230" t="s">
        <v>125</v>
      </c>
      <c r="E8" s="227" t="s">
        <v>24</v>
      </c>
      <c r="F8" s="224">
        <v>22</v>
      </c>
      <c r="G8" s="223">
        <v>25</v>
      </c>
      <c r="H8" s="223" t="s">
        <v>118</v>
      </c>
      <c r="I8" s="236">
        <f t="shared" si="0"/>
        <v>550</v>
      </c>
      <c r="J8" s="236"/>
      <c r="K8" s="236"/>
      <c r="L8" s="236"/>
      <c r="M8" s="236"/>
      <c r="R8" s="13"/>
    </row>
    <row r="9" spans="1:18" hidden="1" x14ac:dyDescent="0.25">
      <c r="D9" s="230" t="s">
        <v>126</v>
      </c>
      <c r="E9" s="227" t="s">
        <v>68</v>
      </c>
      <c r="F9" s="224">
        <v>13.6</v>
      </c>
      <c r="G9" s="223">
        <v>16</v>
      </c>
      <c r="H9" s="223" t="s">
        <v>118</v>
      </c>
      <c r="I9" s="236">
        <f t="shared" si="0"/>
        <v>217.6</v>
      </c>
      <c r="J9" s="236"/>
      <c r="K9" s="236"/>
      <c r="L9" s="236"/>
      <c r="M9" s="236"/>
      <c r="R9" s="66"/>
    </row>
    <row r="10" spans="1:18" hidden="1" x14ac:dyDescent="0.25">
      <c r="D10" s="230" t="s">
        <v>127</v>
      </c>
      <c r="E10" s="227" t="s">
        <v>68</v>
      </c>
      <c r="F10" s="224">
        <f>16</f>
        <v>16</v>
      </c>
      <c r="G10" s="223">
        <v>25</v>
      </c>
      <c r="H10" s="223" t="s">
        <v>118</v>
      </c>
      <c r="I10" s="236">
        <f t="shared" si="0"/>
        <v>400</v>
      </c>
      <c r="J10" s="236"/>
      <c r="K10" s="236"/>
      <c r="L10" s="236"/>
      <c r="M10" s="236"/>
      <c r="N10" t="s">
        <v>187</v>
      </c>
      <c r="R10" s="220"/>
    </row>
    <row r="11" spans="1:18" hidden="1" x14ac:dyDescent="0.25">
      <c r="D11" s="244" t="s">
        <v>41</v>
      </c>
      <c r="E11" s="240" t="s">
        <v>121</v>
      </c>
      <c r="F11" s="245">
        <f>6.4*2+5.5*2</f>
        <v>23.8</v>
      </c>
      <c r="G11" s="242">
        <v>25</v>
      </c>
      <c r="H11" s="246">
        <v>5965800</v>
      </c>
      <c r="I11" s="243">
        <f t="shared" si="0"/>
        <v>595</v>
      </c>
      <c r="J11" s="243"/>
      <c r="K11" s="243"/>
      <c r="L11" s="243"/>
      <c r="M11" s="243">
        <v>16</v>
      </c>
      <c r="R11" s="105"/>
    </row>
    <row r="12" spans="1:18" hidden="1" x14ac:dyDescent="0.25">
      <c r="D12" s="232" t="s">
        <v>39</v>
      </c>
      <c r="E12" s="227" t="s">
        <v>128</v>
      </c>
      <c r="F12" s="235">
        <f>6.4*2</f>
        <v>12.8</v>
      </c>
      <c r="G12" s="223">
        <v>16</v>
      </c>
      <c r="H12" s="223" t="s">
        <v>118</v>
      </c>
      <c r="I12" s="236">
        <f t="shared" si="0"/>
        <v>204.8</v>
      </c>
      <c r="J12" s="236"/>
      <c r="K12" s="236"/>
      <c r="L12" s="236"/>
      <c r="M12" s="236"/>
      <c r="R12" s="87"/>
    </row>
    <row r="13" spans="1:18" hidden="1" x14ac:dyDescent="0.25">
      <c r="D13" s="233" t="s">
        <v>67</v>
      </c>
      <c r="E13" s="227" t="s">
        <v>128</v>
      </c>
      <c r="F13" s="235">
        <f>7.7*2</f>
        <v>15.4</v>
      </c>
      <c r="G13" s="223">
        <v>16</v>
      </c>
      <c r="H13" s="223" t="s">
        <v>118</v>
      </c>
      <c r="I13" s="236">
        <f t="shared" si="0"/>
        <v>246.4</v>
      </c>
      <c r="J13" s="236"/>
      <c r="K13" s="236"/>
      <c r="L13" s="236"/>
      <c r="M13" s="236"/>
      <c r="R13" s="221"/>
    </row>
    <row r="14" spans="1:18" hidden="1" x14ac:dyDescent="0.25">
      <c r="D14" s="232" t="s">
        <v>95</v>
      </c>
      <c r="E14" s="227" t="s">
        <v>120</v>
      </c>
      <c r="F14" s="235">
        <f>6.4*2</f>
        <v>12.8</v>
      </c>
      <c r="G14" s="223">
        <v>16</v>
      </c>
      <c r="H14" s="223" t="s">
        <v>118</v>
      </c>
      <c r="I14" s="236">
        <f t="shared" si="0"/>
        <v>204.8</v>
      </c>
      <c r="J14" s="236"/>
      <c r="K14" s="236"/>
      <c r="L14" s="236"/>
      <c r="M14" s="236"/>
      <c r="R14" s="213"/>
    </row>
    <row r="15" spans="1:18" hidden="1" x14ac:dyDescent="0.25">
      <c r="D15" s="252" t="s">
        <v>129</v>
      </c>
      <c r="E15" s="253" t="s">
        <v>24</v>
      </c>
      <c r="F15" s="247">
        <f>5.5*2</f>
        <v>11</v>
      </c>
      <c r="G15" s="248">
        <v>25</v>
      </c>
      <c r="H15" s="248">
        <v>4071927</v>
      </c>
      <c r="I15" s="243">
        <f t="shared" si="0"/>
        <v>275</v>
      </c>
      <c r="J15" s="243"/>
      <c r="K15" s="243"/>
      <c r="L15" s="243"/>
      <c r="M15" s="243">
        <v>220</v>
      </c>
      <c r="R15" s="213"/>
    </row>
    <row r="16" spans="1:18" hidden="1" x14ac:dyDescent="0.25">
      <c r="D16" s="252" t="s">
        <v>130</v>
      </c>
      <c r="E16" s="253" t="s">
        <v>174</v>
      </c>
      <c r="F16" s="247">
        <v>11</v>
      </c>
      <c r="G16" s="248">
        <v>16</v>
      </c>
      <c r="H16" s="248">
        <v>4071929</v>
      </c>
      <c r="I16" s="243">
        <f t="shared" si="0"/>
        <v>176</v>
      </c>
      <c r="J16" s="243"/>
      <c r="K16" s="243"/>
      <c r="L16" s="243"/>
      <c r="M16" s="243">
        <v>210</v>
      </c>
      <c r="R16" s="222"/>
    </row>
    <row r="17" spans="1:18" hidden="1" x14ac:dyDescent="0.25">
      <c r="D17" s="795" t="s">
        <v>167</v>
      </c>
      <c r="E17" s="787" t="s">
        <v>104</v>
      </c>
      <c r="F17" s="237">
        <f>6.8*2</f>
        <v>13.6</v>
      </c>
      <c r="G17" s="225">
        <v>16</v>
      </c>
      <c r="H17" s="225"/>
      <c r="I17" s="236">
        <f t="shared" si="0"/>
        <v>217.6</v>
      </c>
      <c r="J17" s="236"/>
      <c r="K17" s="236"/>
      <c r="L17" s="236"/>
      <c r="M17" s="236"/>
      <c r="R17" s="222"/>
    </row>
    <row r="18" spans="1:18" hidden="1" x14ac:dyDescent="0.25">
      <c r="D18" s="796"/>
      <c r="E18" s="788"/>
      <c r="F18" s="247">
        <f>5.5*2</f>
        <v>11</v>
      </c>
      <c r="G18" s="248">
        <v>16</v>
      </c>
      <c r="H18" s="248">
        <v>5514392</v>
      </c>
      <c r="I18" s="243">
        <f t="shared" si="0"/>
        <v>176</v>
      </c>
      <c r="J18" s="243"/>
      <c r="K18" s="243"/>
      <c r="L18" s="243"/>
      <c r="M18" s="243">
        <v>270</v>
      </c>
      <c r="R18" s="158"/>
    </row>
    <row r="19" spans="1:18" hidden="1" x14ac:dyDescent="0.25">
      <c r="D19" s="234" t="s">
        <v>175</v>
      </c>
      <c r="E19" s="228" t="s">
        <v>54</v>
      </c>
      <c r="F19" s="237">
        <f>6.8*2</f>
        <v>13.6</v>
      </c>
      <c r="G19" s="225">
        <v>23</v>
      </c>
      <c r="H19" s="225"/>
      <c r="I19" s="236">
        <f t="shared" si="0"/>
        <v>312.8</v>
      </c>
      <c r="J19" s="236"/>
      <c r="K19" s="236"/>
      <c r="L19" s="236"/>
      <c r="M19" s="236"/>
      <c r="R19" s="158"/>
    </row>
    <row r="20" spans="1:18" hidden="1" x14ac:dyDescent="0.25">
      <c r="D20" s="234" t="s">
        <v>166</v>
      </c>
      <c r="E20" s="228" t="s">
        <v>54</v>
      </c>
      <c r="F20" s="237">
        <f>6.8*2</f>
        <v>13.6</v>
      </c>
      <c r="G20" s="225">
        <v>22</v>
      </c>
      <c r="H20" s="225"/>
      <c r="I20" s="236">
        <f>G20*F20</f>
        <v>299.2</v>
      </c>
      <c r="J20" s="236"/>
      <c r="K20" s="236"/>
      <c r="L20" s="236"/>
      <c r="M20" s="236"/>
      <c r="R20" s="158"/>
    </row>
    <row r="21" spans="1:18" hidden="1" x14ac:dyDescent="0.25">
      <c r="D21" s="250" t="s">
        <v>168</v>
      </c>
      <c r="E21" s="251" t="s">
        <v>104</v>
      </c>
      <c r="F21" s="247">
        <v>11</v>
      </c>
      <c r="G21" s="248">
        <v>15</v>
      </c>
      <c r="H21" s="248">
        <v>4071928</v>
      </c>
      <c r="I21" s="243">
        <f>F21*G21</f>
        <v>165</v>
      </c>
      <c r="J21" s="243"/>
      <c r="K21" s="243"/>
      <c r="L21" s="243"/>
      <c r="M21" s="243">
        <v>236</v>
      </c>
      <c r="R21" s="158"/>
    </row>
    <row r="22" spans="1:18" hidden="1" x14ac:dyDescent="0.25">
      <c r="D22" s="256" t="s">
        <v>188</v>
      </c>
      <c r="E22" s="257"/>
      <c r="F22" s="237">
        <v>20</v>
      </c>
      <c r="G22" s="225">
        <v>25</v>
      </c>
      <c r="H22" s="225" t="s">
        <v>118</v>
      </c>
      <c r="I22" s="236">
        <f>G22*F22</f>
        <v>500</v>
      </c>
      <c r="J22" s="236"/>
      <c r="K22" s="236"/>
      <c r="L22" s="236"/>
      <c r="M22" s="236"/>
      <c r="R22" s="158"/>
    </row>
    <row r="23" spans="1:18" hidden="1" x14ac:dyDescent="0.25">
      <c r="D23" s="256" t="s">
        <v>192</v>
      </c>
      <c r="E23" s="257"/>
      <c r="F23" s="237">
        <v>11</v>
      </c>
      <c r="G23" s="225">
        <v>16</v>
      </c>
      <c r="H23" s="225">
        <v>107795</v>
      </c>
      <c r="I23" s="236">
        <f>G23*F23</f>
        <v>176</v>
      </c>
      <c r="J23" s="236"/>
      <c r="K23" s="236"/>
      <c r="L23" s="236"/>
      <c r="M23" s="236"/>
      <c r="R23" s="158"/>
    </row>
    <row r="24" spans="1:18" hidden="1" x14ac:dyDescent="0.25">
      <c r="D24" s="256" t="s">
        <v>193</v>
      </c>
      <c r="E24" s="257"/>
      <c r="F24" s="237">
        <v>16.5</v>
      </c>
      <c r="G24" s="225">
        <v>25</v>
      </c>
      <c r="H24" s="225"/>
      <c r="I24" s="236">
        <f>G24*F24</f>
        <v>412.5</v>
      </c>
      <c r="J24" s="236"/>
      <c r="K24" s="236"/>
      <c r="L24" s="236"/>
      <c r="M24" s="236"/>
      <c r="R24" s="158"/>
    </row>
    <row r="25" spans="1:18" hidden="1" x14ac:dyDescent="0.25">
      <c r="D25" s="792">
        <v>50</v>
      </c>
      <c r="E25" s="793"/>
      <c r="F25" s="794"/>
      <c r="G25" s="225"/>
      <c r="H25" s="225"/>
      <c r="I25" s="226">
        <f>SUM(I3:I24)</f>
        <v>5999.1</v>
      </c>
      <c r="J25" s="226"/>
      <c r="K25" s="226"/>
      <c r="L25" s="226"/>
      <c r="M25" s="226"/>
    </row>
    <row r="26" spans="1:18" hidden="1" x14ac:dyDescent="0.25">
      <c r="D26" s="89"/>
      <c r="E26" s="218"/>
      <c r="F26" s="218"/>
      <c r="G26" s="217"/>
      <c r="H26" s="217"/>
      <c r="I26" s="217"/>
      <c r="J26" s="217"/>
      <c r="K26" s="217"/>
      <c r="L26" s="217"/>
      <c r="M26" s="217"/>
      <c r="N26" s="216"/>
      <c r="O26" s="85"/>
      <c r="P26" s="214"/>
    </row>
    <row r="27" spans="1:18" hidden="1" x14ac:dyDescent="0.25"/>
    <row r="28" spans="1:18" hidden="1" x14ac:dyDescent="0.25"/>
    <row r="29" spans="1:18" hidden="1" x14ac:dyDescent="0.25">
      <c r="D29" s="791" t="s">
        <v>210</v>
      </c>
      <c r="E29" s="791"/>
      <c r="F29" s="791"/>
      <c r="G29" s="791"/>
      <c r="H29" s="791"/>
      <c r="I29" s="791"/>
      <c r="J29" s="238"/>
      <c r="K29" s="238"/>
      <c r="L29" s="238"/>
      <c r="M29" s="238"/>
    </row>
    <row r="30" spans="1:18" ht="30" hidden="1" x14ac:dyDescent="0.25">
      <c r="A30" t="s">
        <v>215</v>
      </c>
      <c r="D30" s="52" t="s">
        <v>1</v>
      </c>
      <c r="E30" s="52"/>
      <c r="F30" s="52" t="s">
        <v>114</v>
      </c>
      <c r="G30" s="52" t="s">
        <v>115</v>
      </c>
      <c r="H30" s="52"/>
      <c r="I30" s="52" t="s">
        <v>116</v>
      </c>
      <c r="J30" s="52"/>
      <c r="K30" s="52"/>
      <c r="L30" s="52"/>
      <c r="M30" s="52" t="s">
        <v>176</v>
      </c>
    </row>
    <row r="31" spans="1:18" hidden="1" x14ac:dyDescent="0.25">
      <c r="D31" s="229" t="s">
        <v>117</v>
      </c>
      <c r="E31" s="227" t="s">
        <v>54</v>
      </c>
      <c r="F31" s="235">
        <f>6.8*2</f>
        <v>13.6</v>
      </c>
      <c r="G31" s="223">
        <v>22</v>
      </c>
      <c r="H31" s="223" t="s">
        <v>118</v>
      </c>
      <c r="I31" s="236">
        <f t="shared" ref="I31:I47" si="1">G31*F31</f>
        <v>299.2</v>
      </c>
      <c r="J31" s="236"/>
      <c r="K31" s="236"/>
      <c r="L31" s="236"/>
      <c r="M31" s="236"/>
    </row>
    <row r="32" spans="1:18" hidden="1" x14ac:dyDescent="0.25">
      <c r="D32" s="239" t="s">
        <v>119</v>
      </c>
      <c r="E32" s="240" t="s">
        <v>120</v>
      </c>
      <c r="F32" s="241">
        <f>6.8*2</f>
        <v>13.6</v>
      </c>
      <c r="G32" s="242">
        <v>25</v>
      </c>
      <c r="H32" s="242">
        <v>5457907</v>
      </c>
      <c r="I32" s="243">
        <f t="shared" si="1"/>
        <v>340</v>
      </c>
      <c r="J32" s="243"/>
      <c r="K32" s="243"/>
      <c r="L32" s="243"/>
      <c r="M32" s="243"/>
    </row>
    <row r="33" spans="4:14" hidden="1" x14ac:dyDescent="0.25">
      <c r="D33" s="231" t="s">
        <v>173</v>
      </c>
      <c r="E33" s="227" t="s">
        <v>120</v>
      </c>
      <c r="F33" s="224">
        <f>6.8*2</f>
        <v>13.6</v>
      </c>
      <c r="G33" s="223">
        <v>15</v>
      </c>
      <c r="H33" s="223" t="s">
        <v>118</v>
      </c>
      <c r="I33" s="236">
        <f t="shared" si="1"/>
        <v>204</v>
      </c>
      <c r="J33" s="236"/>
      <c r="K33" s="236"/>
      <c r="L33" s="236"/>
      <c r="M33" s="236"/>
    </row>
    <row r="34" spans="4:14" hidden="1" x14ac:dyDescent="0.25">
      <c r="D34" s="230"/>
      <c r="E34" s="227"/>
      <c r="F34" s="224"/>
      <c r="G34" s="223"/>
      <c r="H34" s="223"/>
      <c r="I34" s="236"/>
      <c r="J34" s="236"/>
      <c r="K34" s="236"/>
      <c r="L34" s="236"/>
      <c r="M34" s="236"/>
    </row>
    <row r="35" spans="4:14" hidden="1" x14ac:dyDescent="0.25">
      <c r="D35" s="230"/>
      <c r="E35" s="227" t="s">
        <v>123</v>
      </c>
      <c r="F35" s="224">
        <f>8.4*2</f>
        <v>16.8</v>
      </c>
      <c r="G35" s="223"/>
      <c r="H35" s="223"/>
      <c r="I35" s="236">
        <f t="shared" si="1"/>
        <v>0</v>
      </c>
      <c r="J35" s="236"/>
      <c r="K35" s="236"/>
      <c r="L35" s="236"/>
      <c r="M35" s="236"/>
    </row>
    <row r="36" spans="4:14" hidden="1" x14ac:dyDescent="0.25">
      <c r="D36" s="230"/>
      <c r="E36" s="227"/>
      <c r="F36" s="224"/>
      <c r="G36" s="223"/>
      <c r="H36" s="223"/>
      <c r="I36" s="236"/>
      <c r="J36" s="236"/>
      <c r="K36" s="236"/>
      <c r="L36" s="236"/>
      <c r="M36" s="236"/>
    </row>
    <row r="37" spans="4:14" hidden="1" x14ac:dyDescent="0.25">
      <c r="D37" s="230" t="s">
        <v>126</v>
      </c>
      <c r="E37" s="227" t="s">
        <v>68</v>
      </c>
      <c r="F37" s="224">
        <v>13.6</v>
      </c>
      <c r="G37" s="223">
        <v>16</v>
      </c>
      <c r="H37" s="223" t="s">
        <v>118</v>
      </c>
      <c r="I37" s="236">
        <f t="shared" si="1"/>
        <v>217.6</v>
      </c>
      <c r="J37" s="236"/>
      <c r="K37" s="236"/>
      <c r="L37" s="236"/>
      <c r="M37" s="236"/>
    </row>
    <row r="38" spans="4:14" hidden="1" x14ac:dyDescent="0.25">
      <c r="D38" s="230" t="s">
        <v>127</v>
      </c>
      <c r="E38" s="227" t="s">
        <v>68</v>
      </c>
      <c r="F38" s="224">
        <v>16</v>
      </c>
      <c r="G38" s="223">
        <v>24</v>
      </c>
      <c r="H38" s="223" t="s">
        <v>118</v>
      </c>
      <c r="I38" s="236">
        <f t="shared" si="1"/>
        <v>384</v>
      </c>
      <c r="J38" s="236"/>
      <c r="K38" s="236"/>
      <c r="L38" s="236"/>
      <c r="M38" s="236"/>
      <c r="N38">
        <f>16*24-91.9</f>
        <v>292.10000000000002</v>
      </c>
    </row>
    <row r="39" spans="4:14" hidden="1" x14ac:dyDescent="0.25">
      <c r="D39" s="244" t="s">
        <v>41</v>
      </c>
      <c r="E39" s="240" t="s">
        <v>121</v>
      </c>
      <c r="F39" s="245">
        <f>6.8*2</f>
        <v>13.6</v>
      </c>
      <c r="G39" s="242">
        <v>22</v>
      </c>
      <c r="H39" s="246">
        <v>5965800</v>
      </c>
      <c r="I39" s="243">
        <f t="shared" si="1"/>
        <v>299.2</v>
      </c>
      <c r="J39" s="243"/>
      <c r="K39" s="243"/>
      <c r="L39" s="243"/>
      <c r="M39" s="243"/>
    </row>
    <row r="40" spans="4:14" hidden="1" x14ac:dyDescent="0.25">
      <c r="D40" s="232" t="s">
        <v>39</v>
      </c>
      <c r="E40" s="227" t="s">
        <v>128</v>
      </c>
      <c r="F40" s="235">
        <f>6.4*2</f>
        <v>12.8</v>
      </c>
      <c r="G40" s="223">
        <v>15</v>
      </c>
      <c r="H40" s="223" t="s">
        <v>118</v>
      </c>
      <c r="I40" s="236">
        <f t="shared" si="1"/>
        <v>192</v>
      </c>
      <c r="J40" s="236"/>
      <c r="K40" s="236"/>
      <c r="L40" s="236"/>
      <c r="M40" s="236"/>
    </row>
    <row r="41" spans="4:14" hidden="1" x14ac:dyDescent="0.25">
      <c r="D41" s="233"/>
      <c r="E41" s="227"/>
      <c r="F41" s="235"/>
      <c r="G41" s="223"/>
      <c r="H41" s="223"/>
      <c r="I41" s="236"/>
      <c r="J41" s="236"/>
      <c r="K41" s="236"/>
      <c r="L41" s="236"/>
      <c r="M41" s="236"/>
    </row>
    <row r="42" spans="4:14" hidden="1" x14ac:dyDescent="0.25">
      <c r="D42" s="232" t="s">
        <v>95</v>
      </c>
      <c r="E42" s="227" t="s">
        <v>120</v>
      </c>
      <c r="F42" s="235">
        <f>6.4*2</f>
        <v>12.8</v>
      </c>
      <c r="G42" s="223">
        <v>15</v>
      </c>
      <c r="H42" s="223" t="s">
        <v>118</v>
      </c>
      <c r="I42" s="236">
        <f t="shared" si="1"/>
        <v>192</v>
      </c>
      <c r="J42" s="236"/>
      <c r="K42" s="236"/>
      <c r="L42" s="236"/>
      <c r="M42" s="236"/>
    </row>
    <row r="43" spans="4:14" hidden="1" x14ac:dyDescent="0.25">
      <c r="D43" s="252" t="s">
        <v>129</v>
      </c>
      <c r="E43" s="253" t="s">
        <v>24</v>
      </c>
      <c r="F43" s="247">
        <f>5.5*2</f>
        <v>11</v>
      </c>
      <c r="G43" s="248">
        <v>24</v>
      </c>
      <c r="H43" s="248">
        <v>4071927</v>
      </c>
      <c r="I43" s="243">
        <f t="shared" si="1"/>
        <v>264</v>
      </c>
      <c r="J43" s="243"/>
      <c r="K43" s="243"/>
      <c r="L43" s="243"/>
      <c r="M43" s="243">
        <v>25</v>
      </c>
    </row>
    <row r="44" spans="4:14" hidden="1" x14ac:dyDescent="0.25">
      <c r="D44" s="289" t="s">
        <v>207</v>
      </c>
      <c r="E44" s="290" t="s">
        <v>174</v>
      </c>
      <c r="F44" s="237">
        <v>25</v>
      </c>
      <c r="G44" s="225">
        <v>24</v>
      </c>
      <c r="H44" s="225" t="s">
        <v>118</v>
      </c>
      <c r="I44" s="236">
        <f t="shared" si="1"/>
        <v>600</v>
      </c>
      <c r="J44" s="236"/>
      <c r="K44" s="236"/>
      <c r="L44" s="236"/>
      <c r="M44" s="236"/>
      <c r="N44">
        <f>25*6</f>
        <v>150</v>
      </c>
    </row>
    <row r="45" spans="4:14" hidden="1" x14ac:dyDescent="0.25">
      <c r="D45" s="795" t="s">
        <v>167</v>
      </c>
      <c r="E45" s="787" t="s">
        <v>104</v>
      </c>
      <c r="F45" s="237">
        <f>6.8*2</f>
        <v>13.6</v>
      </c>
      <c r="G45" s="225">
        <v>15</v>
      </c>
      <c r="H45" s="225"/>
      <c r="I45" s="236">
        <f t="shared" si="1"/>
        <v>204</v>
      </c>
      <c r="J45" s="236"/>
      <c r="K45" s="236"/>
      <c r="L45" s="236"/>
      <c r="M45" s="236"/>
    </row>
    <row r="46" spans="4:14" hidden="1" x14ac:dyDescent="0.25">
      <c r="D46" s="796"/>
      <c r="E46" s="788"/>
      <c r="F46" s="247">
        <f>5.5*2</f>
        <v>11</v>
      </c>
      <c r="G46" s="248">
        <v>15</v>
      </c>
      <c r="H46" s="248">
        <v>5514392</v>
      </c>
      <c r="I46" s="243">
        <f t="shared" si="1"/>
        <v>165</v>
      </c>
      <c r="J46" s="243"/>
      <c r="K46" s="243"/>
      <c r="L46" s="243"/>
      <c r="M46" s="243">
        <v>240</v>
      </c>
    </row>
    <row r="47" spans="4:14" hidden="1" x14ac:dyDescent="0.25">
      <c r="D47" s="234" t="s">
        <v>175</v>
      </c>
      <c r="E47" s="228" t="s">
        <v>54</v>
      </c>
      <c r="F47" s="237">
        <f>6.8*2</f>
        <v>13.6</v>
      </c>
      <c r="G47" s="225">
        <v>22</v>
      </c>
      <c r="H47" s="225"/>
      <c r="I47" s="236">
        <f t="shared" si="1"/>
        <v>299.2</v>
      </c>
      <c r="J47" s="236"/>
      <c r="K47" s="236"/>
      <c r="L47" s="236"/>
      <c r="M47" s="236"/>
    </row>
    <row r="48" spans="4:14" hidden="1" x14ac:dyDescent="0.25">
      <c r="D48" s="234" t="s">
        <v>166</v>
      </c>
      <c r="E48" s="228" t="s">
        <v>54</v>
      </c>
      <c r="F48" s="237">
        <f>6.8*2</f>
        <v>13.6</v>
      </c>
      <c r="G48" s="225">
        <v>21</v>
      </c>
      <c r="H48" s="225"/>
      <c r="I48" s="236">
        <f>G48*F48</f>
        <v>285.59999999999997</v>
      </c>
      <c r="J48" s="236"/>
      <c r="K48" s="236"/>
      <c r="L48" s="236"/>
      <c r="M48" s="236"/>
    </row>
    <row r="49" spans="1:15" hidden="1" x14ac:dyDescent="0.25">
      <c r="D49" s="250" t="s">
        <v>168</v>
      </c>
      <c r="E49" s="251" t="s">
        <v>104</v>
      </c>
      <c r="F49" s="247">
        <v>11</v>
      </c>
      <c r="G49" s="248">
        <v>15</v>
      </c>
      <c r="H49" s="248">
        <v>4071928</v>
      </c>
      <c r="I49" s="243">
        <f>F49*G49</f>
        <v>165</v>
      </c>
      <c r="J49" s="243"/>
      <c r="K49" s="243"/>
      <c r="L49" s="243"/>
      <c r="M49" s="243">
        <v>243</v>
      </c>
    </row>
    <row r="50" spans="1:15" hidden="1" x14ac:dyDescent="0.25">
      <c r="D50" s="256" t="s">
        <v>227</v>
      </c>
      <c r="E50" s="257"/>
      <c r="F50" s="237">
        <f>6.4*2</f>
        <v>12.8</v>
      </c>
      <c r="G50" s="225">
        <v>15</v>
      </c>
      <c r="H50" s="225"/>
      <c r="I50" s="236"/>
      <c r="J50" s="236"/>
      <c r="K50" s="236"/>
      <c r="L50" s="236"/>
      <c r="M50" s="236"/>
      <c r="N50" t="s">
        <v>228</v>
      </c>
    </row>
    <row r="51" spans="1:15" hidden="1" x14ac:dyDescent="0.25">
      <c r="D51" s="256" t="s">
        <v>223</v>
      </c>
      <c r="E51" s="257"/>
      <c r="F51" s="237">
        <f>6.25*2</f>
        <v>12.5</v>
      </c>
      <c r="G51" s="225">
        <v>24</v>
      </c>
      <c r="H51" s="225"/>
      <c r="I51" s="236"/>
      <c r="J51" s="236"/>
      <c r="K51" s="236"/>
      <c r="L51" s="236"/>
      <c r="M51" s="236"/>
    </row>
    <row r="52" spans="1:15" hidden="1" x14ac:dyDescent="0.25">
      <c r="D52" s="289" t="s">
        <v>229</v>
      </c>
      <c r="E52" s="289"/>
      <c r="F52" s="237">
        <f>6.4*2</f>
        <v>12.8</v>
      </c>
      <c r="G52" s="225">
        <f>15</f>
        <v>15</v>
      </c>
      <c r="H52" s="225"/>
      <c r="I52" s="226"/>
      <c r="J52" s="226"/>
      <c r="K52" s="226"/>
      <c r="L52" s="226"/>
      <c r="M52" s="226"/>
    </row>
    <row r="53" spans="1:15" hidden="1" x14ac:dyDescent="0.25">
      <c r="D53" s="89"/>
      <c r="E53" s="218"/>
      <c r="F53" s="334"/>
      <c r="G53" s="217"/>
      <c r="H53" s="217"/>
      <c r="I53" s="217"/>
      <c r="J53" s="217"/>
      <c r="K53" s="217"/>
      <c r="L53" s="217"/>
      <c r="M53" s="217"/>
    </row>
    <row r="54" spans="1:15" hidden="1" x14ac:dyDescent="0.25">
      <c r="D54" s="789" t="s">
        <v>213</v>
      </c>
      <c r="E54" s="790"/>
      <c r="F54" s="790"/>
      <c r="G54" s="790"/>
      <c r="H54" s="790"/>
      <c r="I54" s="790"/>
      <c r="J54" s="790"/>
      <c r="K54" s="790"/>
      <c r="L54" s="790"/>
      <c r="M54" s="790"/>
    </row>
    <row r="55" spans="1:15" hidden="1" x14ac:dyDescent="0.25">
      <c r="D55" s="286" t="s">
        <v>201</v>
      </c>
      <c r="E55" s="287"/>
      <c r="F55" s="287">
        <v>11.9</v>
      </c>
      <c r="G55" s="287">
        <v>24</v>
      </c>
      <c r="H55" s="288">
        <v>314138</v>
      </c>
      <c r="I55" s="287"/>
      <c r="J55" s="287"/>
      <c r="K55" s="287"/>
      <c r="L55" s="287"/>
      <c r="M55" s="287">
        <v>45</v>
      </c>
    </row>
    <row r="56" spans="1:15" hidden="1" x14ac:dyDescent="0.25">
      <c r="D56" s="286" t="s">
        <v>202</v>
      </c>
      <c r="E56" s="287"/>
      <c r="F56" s="287">
        <v>11.9</v>
      </c>
      <c r="G56" s="287">
        <v>24</v>
      </c>
      <c r="H56" s="288">
        <v>314140</v>
      </c>
      <c r="I56" s="287"/>
      <c r="J56" s="287"/>
      <c r="K56" s="287"/>
      <c r="L56" s="287"/>
      <c r="M56" s="287">
        <v>85</v>
      </c>
    </row>
    <row r="57" spans="1:15" hidden="1" x14ac:dyDescent="0.25">
      <c r="D57" s="287" t="s">
        <v>212</v>
      </c>
      <c r="E57" s="287"/>
      <c r="F57" s="287">
        <v>11.9</v>
      </c>
      <c r="G57" s="287">
        <v>24</v>
      </c>
      <c r="H57" s="287" t="s">
        <v>84</v>
      </c>
      <c r="I57" s="287"/>
      <c r="J57" s="287"/>
      <c r="K57" s="287"/>
      <c r="L57" s="287"/>
      <c r="M57" s="287"/>
    </row>
    <row r="58" spans="1:15" hidden="1" x14ac:dyDescent="0.25"/>
    <row r="60" spans="1:15" ht="28.5" x14ac:dyDescent="0.45">
      <c r="A60" s="785" t="s">
        <v>306</v>
      </c>
      <c r="B60" s="786"/>
      <c r="C60" s="786"/>
      <c r="D60" s="786"/>
      <c r="E60" s="786"/>
      <c r="F60" s="786"/>
      <c r="G60" s="786"/>
      <c r="H60" s="786"/>
      <c r="I60" s="786"/>
      <c r="J60" s="786"/>
      <c r="K60" s="786"/>
      <c r="L60" s="786"/>
      <c r="M60" s="786"/>
      <c r="N60" s="786"/>
    </row>
    <row r="61" spans="1:15" ht="69" customHeight="1" x14ac:dyDescent="0.25">
      <c r="A61" s="52" t="s">
        <v>304</v>
      </c>
      <c r="B61" s="52" t="s">
        <v>114</v>
      </c>
      <c r="C61" s="52" t="s">
        <v>305</v>
      </c>
      <c r="D61" s="52" t="s">
        <v>1</v>
      </c>
      <c r="E61" s="52" t="s">
        <v>114</v>
      </c>
      <c r="F61" s="52" t="s">
        <v>115</v>
      </c>
      <c r="G61" s="52"/>
      <c r="H61" s="52" t="s">
        <v>116</v>
      </c>
      <c r="I61" s="52" t="s">
        <v>176</v>
      </c>
      <c r="J61" s="52" t="s">
        <v>115</v>
      </c>
      <c r="K61" s="622" t="s">
        <v>176</v>
      </c>
      <c r="L61" s="622" t="s">
        <v>307</v>
      </c>
      <c r="M61" s="52" t="s">
        <v>177</v>
      </c>
      <c r="N61" s="52" t="s">
        <v>22</v>
      </c>
    </row>
    <row r="62" spans="1:15" x14ac:dyDescent="0.25">
      <c r="A62" s="629" t="s">
        <v>38</v>
      </c>
      <c r="B62" s="630">
        <v>13.6</v>
      </c>
      <c r="C62" s="650" t="s">
        <v>315</v>
      </c>
      <c r="D62" s="249" t="s">
        <v>117</v>
      </c>
      <c r="E62" s="631">
        <v>13.6</v>
      </c>
      <c r="F62" s="249">
        <v>24</v>
      </c>
      <c r="G62" s="249" t="s">
        <v>118</v>
      </c>
      <c r="H62" s="631">
        <f>E62*F62</f>
        <v>326.39999999999998</v>
      </c>
      <c r="I62" s="631"/>
      <c r="J62" s="632">
        <v>24</v>
      </c>
      <c r="K62" s="631"/>
      <c r="L62" s="631">
        <v>300</v>
      </c>
      <c r="M62" s="631">
        <f t="shared" ref="M62:M89" si="2">K62-L62</f>
        <v>-300</v>
      </c>
      <c r="N62" s="633">
        <v>31981052930</v>
      </c>
      <c r="O62" s="707" t="s">
        <v>93</v>
      </c>
    </row>
    <row r="63" spans="1:15" x14ac:dyDescent="0.25">
      <c r="A63" s="629" t="s">
        <v>39</v>
      </c>
      <c r="B63" s="630">
        <v>13.6</v>
      </c>
      <c r="C63" s="650" t="s">
        <v>315</v>
      </c>
      <c r="D63" s="249" t="s">
        <v>119</v>
      </c>
      <c r="E63" s="631">
        <v>12</v>
      </c>
      <c r="F63" s="249">
        <v>26</v>
      </c>
      <c r="G63" s="249" t="s">
        <v>118</v>
      </c>
      <c r="H63" s="631">
        <f>E63*F63</f>
        <v>312</v>
      </c>
      <c r="I63" s="631"/>
      <c r="J63" s="632">
        <v>16</v>
      </c>
      <c r="K63" s="631"/>
      <c r="L63" s="631">
        <v>218</v>
      </c>
      <c r="M63" s="631">
        <f t="shared" si="2"/>
        <v>-218</v>
      </c>
      <c r="N63" s="633" t="s">
        <v>40</v>
      </c>
      <c r="O63" s="707" t="s">
        <v>93</v>
      </c>
    </row>
    <row r="64" spans="1:15" ht="15" hidden="1" customHeight="1" x14ac:dyDescent="0.25">
      <c r="A64" s="629" t="s">
        <v>225</v>
      </c>
      <c r="B64" s="630"/>
      <c r="C64" s="650"/>
      <c r="D64" s="249" t="s">
        <v>173</v>
      </c>
      <c r="E64" s="631">
        <v>13.6</v>
      </c>
      <c r="F64" s="249"/>
      <c r="G64" s="249" t="s">
        <v>118</v>
      </c>
      <c r="H64" s="631">
        <f>E64*F64</f>
        <v>0</v>
      </c>
      <c r="I64" s="631"/>
      <c r="J64" s="632"/>
      <c r="K64" s="631"/>
      <c r="L64" s="631">
        <f t="shared" ref="L64:L86" si="3">J64*B64</f>
        <v>0</v>
      </c>
      <c r="M64" s="631">
        <f t="shared" si="2"/>
        <v>0</v>
      </c>
      <c r="N64" s="633">
        <v>14983169644</v>
      </c>
    </row>
    <row r="65" spans="1:15" ht="15" customHeight="1" x14ac:dyDescent="0.25">
      <c r="A65" s="629" t="s">
        <v>303</v>
      </c>
      <c r="B65" s="630">
        <v>13.6</v>
      </c>
      <c r="C65" s="650" t="s">
        <v>118</v>
      </c>
      <c r="D65" s="249"/>
      <c r="E65" s="631"/>
      <c r="F65" s="249"/>
      <c r="G65" s="249"/>
      <c r="H65" s="631"/>
      <c r="I65" s="631"/>
      <c r="J65" s="632">
        <v>16</v>
      </c>
      <c r="K65" s="631"/>
      <c r="L65" s="631">
        <v>218</v>
      </c>
      <c r="M65" s="631">
        <f t="shared" si="2"/>
        <v>-218</v>
      </c>
      <c r="N65" s="633" t="s">
        <v>277</v>
      </c>
      <c r="O65" s="707" t="s">
        <v>93</v>
      </c>
    </row>
    <row r="66" spans="1:15" hidden="1" x14ac:dyDescent="0.25">
      <c r="A66" s="623" t="s">
        <v>46</v>
      </c>
      <c r="B66" s="624">
        <v>13.6</v>
      </c>
      <c r="C66" s="651" t="s">
        <v>314</v>
      </c>
      <c r="D66" s="625" t="s">
        <v>126</v>
      </c>
      <c r="E66" s="626">
        <v>13.6</v>
      </c>
      <c r="F66" s="625">
        <v>26</v>
      </c>
      <c r="G66" s="625" t="s">
        <v>118</v>
      </c>
      <c r="H66" s="626">
        <f>E66*F66</f>
        <v>353.59999999999997</v>
      </c>
      <c r="I66" s="626"/>
      <c r="J66" s="627">
        <v>23</v>
      </c>
      <c r="K66" s="626"/>
      <c r="L66" s="631">
        <f t="shared" si="3"/>
        <v>312.8</v>
      </c>
      <c r="M66" s="631">
        <f t="shared" si="2"/>
        <v>-312.8</v>
      </c>
      <c r="N66" s="628">
        <v>11282952617</v>
      </c>
    </row>
    <row r="67" spans="1:15" hidden="1" x14ac:dyDescent="0.25">
      <c r="A67" s="623" t="s">
        <v>301</v>
      </c>
      <c r="B67" s="624">
        <v>13.6</v>
      </c>
      <c r="C67" s="651" t="s">
        <v>314</v>
      </c>
      <c r="D67" s="625" t="s">
        <v>127</v>
      </c>
      <c r="E67" s="626">
        <v>13.6</v>
      </c>
      <c r="F67" s="625">
        <v>21</v>
      </c>
      <c r="G67" s="625" t="s">
        <v>118</v>
      </c>
      <c r="H67" s="626">
        <f>E67*F67-160-50</f>
        <v>75.599999999999966</v>
      </c>
      <c r="I67" s="626"/>
      <c r="J67" s="627">
        <v>23</v>
      </c>
      <c r="K67" s="626"/>
      <c r="L67" s="631">
        <f t="shared" si="3"/>
        <v>312.8</v>
      </c>
      <c r="M67" s="631">
        <f t="shared" si="2"/>
        <v>-312.8</v>
      </c>
      <c r="N67" s="628" t="s">
        <v>87</v>
      </c>
      <c r="O67" s="707" t="s">
        <v>93</v>
      </c>
    </row>
    <row r="68" spans="1:15" x14ac:dyDescent="0.25">
      <c r="A68" s="343" t="s">
        <v>53</v>
      </c>
      <c r="B68" s="620">
        <f>7.25*2</f>
        <v>14.5</v>
      </c>
      <c r="C68" s="652" t="s">
        <v>118</v>
      </c>
      <c r="D68" s="634" t="s">
        <v>39</v>
      </c>
      <c r="E68" s="635">
        <v>12.8</v>
      </c>
      <c r="F68" s="634">
        <v>10</v>
      </c>
      <c r="G68" s="634" t="s">
        <v>118</v>
      </c>
      <c r="H68" s="635">
        <f t="shared" ref="H68:H77" si="4">E68*F68</f>
        <v>128</v>
      </c>
      <c r="I68" s="635"/>
      <c r="J68" s="636">
        <v>16</v>
      </c>
      <c r="K68" s="635"/>
      <c r="L68" s="631">
        <f t="shared" si="3"/>
        <v>232</v>
      </c>
      <c r="M68" s="631">
        <f t="shared" si="2"/>
        <v>-232</v>
      </c>
      <c r="N68" s="321">
        <v>31982397405</v>
      </c>
    </row>
    <row r="69" spans="1:15" x14ac:dyDescent="0.25">
      <c r="A69" s="637" t="s">
        <v>166</v>
      </c>
      <c r="B69" s="620">
        <f>7.25*2</f>
        <v>14.5</v>
      </c>
      <c r="C69" s="652" t="s">
        <v>118</v>
      </c>
      <c r="D69" s="634" t="s">
        <v>207</v>
      </c>
      <c r="E69" s="635">
        <f>6.4*4</f>
        <v>25.6</v>
      </c>
      <c r="F69" s="634">
        <v>26</v>
      </c>
      <c r="G69" s="634" t="s">
        <v>118</v>
      </c>
      <c r="H69" s="635">
        <f t="shared" si="4"/>
        <v>665.6</v>
      </c>
      <c r="I69" s="635"/>
      <c r="J69" s="636">
        <v>21</v>
      </c>
      <c r="K69" s="635"/>
      <c r="L69" s="631">
        <v>299.8</v>
      </c>
      <c r="M69" s="631">
        <f t="shared" si="2"/>
        <v>-299.8</v>
      </c>
      <c r="N69" s="321">
        <v>31991288601</v>
      </c>
    </row>
    <row r="70" spans="1:15" hidden="1" x14ac:dyDescent="0.25">
      <c r="A70" s="501" t="s">
        <v>168</v>
      </c>
      <c r="B70" s="617">
        <v>12</v>
      </c>
      <c r="C70" s="653" t="s">
        <v>269</v>
      </c>
      <c r="D70" s="638" t="s">
        <v>267</v>
      </c>
      <c r="E70" s="639">
        <v>12.8</v>
      </c>
      <c r="F70" s="638">
        <v>16</v>
      </c>
      <c r="G70" s="638">
        <v>5514392</v>
      </c>
      <c r="H70" s="639">
        <f t="shared" si="4"/>
        <v>204.8</v>
      </c>
      <c r="I70" s="639">
        <v>0</v>
      </c>
      <c r="J70" s="640">
        <v>16</v>
      </c>
      <c r="K70" s="639">
        <v>222</v>
      </c>
      <c r="L70" s="631">
        <f t="shared" si="3"/>
        <v>192</v>
      </c>
      <c r="M70" s="631">
        <f t="shared" si="2"/>
        <v>30</v>
      </c>
      <c r="N70" s="502">
        <v>70278968694</v>
      </c>
    </row>
    <row r="71" spans="1:15" hidden="1" x14ac:dyDescent="0.25">
      <c r="A71" s="443" t="s">
        <v>233</v>
      </c>
      <c r="B71" s="618">
        <v>26.4</v>
      </c>
      <c r="C71" s="654" t="s">
        <v>302</v>
      </c>
      <c r="D71" s="638" t="s">
        <v>175</v>
      </c>
      <c r="E71" s="639">
        <v>13.6</v>
      </c>
      <c r="F71" s="638">
        <v>24</v>
      </c>
      <c r="G71" s="638" t="s">
        <v>118</v>
      </c>
      <c r="H71" s="639">
        <f t="shared" si="4"/>
        <v>326.39999999999998</v>
      </c>
      <c r="I71" s="639"/>
      <c r="J71" s="640">
        <v>16</v>
      </c>
      <c r="K71" s="639">
        <v>420</v>
      </c>
      <c r="L71" s="631">
        <f t="shared" si="3"/>
        <v>422.4</v>
      </c>
      <c r="M71" s="631">
        <f t="shared" si="2"/>
        <v>-2.3999999999999773</v>
      </c>
      <c r="N71" s="502">
        <v>15825441662</v>
      </c>
    </row>
    <row r="72" spans="1:15" hidden="1" x14ac:dyDescent="0.25">
      <c r="A72" s="443" t="s">
        <v>299</v>
      </c>
      <c r="B72" s="618">
        <f>12.1*2</f>
        <v>24.2</v>
      </c>
      <c r="C72" s="654" t="s">
        <v>314</v>
      </c>
      <c r="D72" s="638" t="s">
        <v>166</v>
      </c>
      <c r="E72" s="639">
        <v>13.6</v>
      </c>
      <c r="F72" s="638">
        <v>22</v>
      </c>
      <c r="G72" s="638" t="s">
        <v>118</v>
      </c>
      <c r="H72" s="639">
        <f t="shared" si="4"/>
        <v>299.2</v>
      </c>
      <c r="I72" s="639"/>
      <c r="J72" s="640">
        <v>25</v>
      </c>
      <c r="K72" s="639"/>
      <c r="L72" s="631">
        <f t="shared" si="3"/>
        <v>605</v>
      </c>
      <c r="M72" s="631">
        <f t="shared" si="2"/>
        <v>-605</v>
      </c>
      <c r="N72" s="502" t="s">
        <v>300</v>
      </c>
    </row>
    <row r="73" spans="1:15" x14ac:dyDescent="0.25">
      <c r="A73" s="518" t="s">
        <v>203</v>
      </c>
      <c r="B73" s="619">
        <v>12.5</v>
      </c>
      <c r="C73" s="655" t="s">
        <v>118</v>
      </c>
      <c r="D73" s="641" t="s">
        <v>239</v>
      </c>
      <c r="E73" s="590">
        <v>11.6</v>
      </c>
      <c r="F73" s="588">
        <v>16</v>
      </c>
      <c r="G73" s="642">
        <v>6850004071929</v>
      </c>
      <c r="H73" s="590">
        <f t="shared" si="4"/>
        <v>185.6</v>
      </c>
      <c r="I73" s="590">
        <v>0</v>
      </c>
      <c r="J73" s="643">
        <v>23</v>
      </c>
      <c r="K73" s="590"/>
      <c r="L73" s="631">
        <v>290</v>
      </c>
      <c r="M73" s="631">
        <f t="shared" si="2"/>
        <v>-290</v>
      </c>
      <c r="N73" s="529">
        <v>31991443051</v>
      </c>
    </row>
    <row r="74" spans="1:15" x14ac:dyDescent="0.25">
      <c r="A74" s="518" t="s">
        <v>249</v>
      </c>
      <c r="B74" s="619">
        <v>12.5</v>
      </c>
      <c r="C74" s="655">
        <v>3252631303</v>
      </c>
      <c r="D74" s="588" t="s">
        <v>212</v>
      </c>
      <c r="E74" s="590">
        <v>11.9</v>
      </c>
      <c r="F74" s="588">
        <v>26</v>
      </c>
      <c r="G74" s="588" t="s">
        <v>84</v>
      </c>
      <c r="H74" s="590">
        <f t="shared" si="4"/>
        <v>309.40000000000003</v>
      </c>
      <c r="I74" s="590"/>
      <c r="J74" s="643">
        <v>24</v>
      </c>
      <c r="K74" s="590">
        <v>0</v>
      </c>
      <c r="L74" s="631">
        <v>290</v>
      </c>
      <c r="M74" s="631">
        <f t="shared" si="2"/>
        <v>-290</v>
      </c>
      <c r="N74" s="519">
        <v>31983923994</v>
      </c>
      <c r="O74" s="707" t="s">
        <v>93</v>
      </c>
    </row>
    <row r="75" spans="1:15" s="760" customFormat="1" x14ac:dyDescent="0.25">
      <c r="A75" s="751" t="s">
        <v>288</v>
      </c>
      <c r="B75" s="752">
        <f>8.95*2</f>
        <v>17.899999999999999</v>
      </c>
      <c r="C75" s="753" t="s">
        <v>314</v>
      </c>
      <c r="D75" s="754" t="s">
        <v>270</v>
      </c>
      <c r="E75" s="755">
        <v>11.5</v>
      </c>
      <c r="F75" s="756">
        <v>25</v>
      </c>
      <c r="G75" s="756">
        <v>68500041074621</v>
      </c>
      <c r="H75" s="755">
        <f t="shared" si="4"/>
        <v>287.5</v>
      </c>
      <c r="I75" s="755"/>
      <c r="J75" s="757">
        <v>24</v>
      </c>
      <c r="K75" s="755" t="s">
        <v>375</v>
      </c>
      <c r="L75" s="755">
        <f>J75*B75/3</f>
        <v>143.19999999999999</v>
      </c>
      <c r="M75" s="755" t="e">
        <f t="shared" si="2"/>
        <v>#VALUE!</v>
      </c>
      <c r="N75" s="758" t="s">
        <v>289</v>
      </c>
      <c r="O75" s="759" t="s">
        <v>93</v>
      </c>
    </row>
    <row r="76" spans="1:15" x14ac:dyDescent="0.25">
      <c r="A76" s="648" t="s">
        <v>283</v>
      </c>
      <c r="B76" s="649">
        <f>6.75*2</f>
        <v>13.5</v>
      </c>
      <c r="C76" s="656">
        <v>5965805</v>
      </c>
      <c r="D76" s="644" t="s">
        <v>286</v>
      </c>
      <c r="E76" s="645">
        <v>22.6</v>
      </c>
      <c r="F76" s="644">
        <v>26</v>
      </c>
      <c r="G76" s="644" t="s">
        <v>271</v>
      </c>
      <c r="H76" s="645">
        <f t="shared" si="4"/>
        <v>587.6</v>
      </c>
      <c r="I76" s="645"/>
      <c r="J76" s="646">
        <v>16</v>
      </c>
      <c r="K76" s="645" t="s">
        <v>374</v>
      </c>
      <c r="L76" s="631"/>
      <c r="M76" s="631" t="e">
        <f t="shared" si="2"/>
        <v>#VALUE!</v>
      </c>
      <c r="N76" s="647">
        <v>31986345542</v>
      </c>
      <c r="O76" s="707" t="s">
        <v>93</v>
      </c>
    </row>
    <row r="77" spans="1:15" hidden="1" x14ac:dyDescent="0.25">
      <c r="A77" s="537" t="s">
        <v>327</v>
      </c>
      <c r="B77" s="592">
        <v>11.75</v>
      </c>
      <c r="C77" s="657">
        <v>6850004107754</v>
      </c>
      <c r="D77" s="25" t="s">
        <v>295</v>
      </c>
      <c r="E77" s="25">
        <v>25</v>
      </c>
      <c r="F77" s="589">
        <v>16</v>
      </c>
      <c r="G77" s="25"/>
      <c r="H77" s="591">
        <f t="shared" si="4"/>
        <v>400</v>
      </c>
      <c r="I77" s="25"/>
      <c r="J77" s="714">
        <v>25</v>
      </c>
      <c r="K77" s="713"/>
      <c r="L77" s="631">
        <f t="shared" si="3"/>
        <v>293.75</v>
      </c>
      <c r="M77" s="631">
        <f t="shared" si="2"/>
        <v>-293.75</v>
      </c>
      <c r="N77" s="271">
        <v>31997199898</v>
      </c>
      <c r="O77" s="707" t="s">
        <v>93</v>
      </c>
    </row>
    <row r="78" spans="1:15" x14ac:dyDescent="0.25">
      <c r="A78" s="603" t="s">
        <v>286</v>
      </c>
      <c r="B78" s="621">
        <v>24.6</v>
      </c>
      <c r="C78" s="658">
        <v>5457906</v>
      </c>
      <c r="D78" s="25"/>
      <c r="E78" s="25"/>
      <c r="F78" s="25"/>
      <c r="G78" s="25"/>
      <c r="H78" s="25"/>
      <c r="I78" s="25"/>
      <c r="J78" s="714">
        <v>24</v>
      </c>
      <c r="K78" s="735"/>
      <c r="L78" s="631">
        <f>B78*J78</f>
        <v>590.40000000000009</v>
      </c>
      <c r="M78" s="631"/>
      <c r="N78" s="271">
        <v>31992545075</v>
      </c>
      <c r="O78" s="707" t="s">
        <v>93</v>
      </c>
    </row>
    <row r="79" spans="1:15" ht="36.75" x14ac:dyDescent="0.25">
      <c r="A79" s="603" t="s">
        <v>311</v>
      </c>
      <c r="B79" s="621">
        <f>8.95*2</f>
        <v>17.899999999999999</v>
      </c>
      <c r="C79" s="658" t="s">
        <v>380</v>
      </c>
      <c r="D79" s="25"/>
      <c r="E79" s="25"/>
      <c r="F79" s="25"/>
      <c r="G79" s="25"/>
      <c r="H79" s="25"/>
      <c r="I79" s="25"/>
      <c r="J79" s="714">
        <v>24</v>
      </c>
      <c r="K79" s="713">
        <v>66</v>
      </c>
      <c r="L79" s="631"/>
      <c r="M79" s="631">
        <f>J79*B79</f>
        <v>429.59999999999997</v>
      </c>
      <c r="N79" s="271" t="s">
        <v>308</v>
      </c>
      <c r="O79" s="707" t="s">
        <v>93</v>
      </c>
    </row>
    <row r="80" spans="1:15" hidden="1" x14ac:dyDescent="0.25">
      <c r="A80" s="713" t="s">
        <v>326</v>
      </c>
      <c r="B80" s="724">
        <v>13.5</v>
      </c>
      <c r="C80" s="714" t="s">
        <v>348</v>
      </c>
      <c r="D80" s="713"/>
      <c r="E80" s="713"/>
      <c r="F80" s="713"/>
      <c r="G80" s="713"/>
      <c r="H80" s="713"/>
      <c r="I80" s="713"/>
      <c r="J80" s="714">
        <v>24</v>
      </c>
      <c r="K80" s="713"/>
      <c r="L80" s="631">
        <f t="shared" si="3"/>
        <v>324</v>
      </c>
      <c r="M80" s="631">
        <f t="shared" si="2"/>
        <v>-324</v>
      </c>
      <c r="N80" s="271"/>
    </row>
    <row r="81" spans="1:16" s="748" customFormat="1" ht="19.5" customHeight="1" x14ac:dyDescent="0.25">
      <c r="A81" s="742" t="s">
        <v>329</v>
      </c>
      <c r="B81" s="743">
        <v>13.5</v>
      </c>
      <c r="C81" s="744" t="s">
        <v>348</v>
      </c>
      <c r="D81" s="745"/>
      <c r="E81" s="745"/>
      <c r="F81" s="745"/>
      <c r="G81" s="745"/>
      <c r="H81" s="745"/>
      <c r="I81" s="745"/>
      <c r="J81" s="746">
        <v>24</v>
      </c>
      <c r="K81" s="745">
        <v>222</v>
      </c>
      <c r="L81" s="645"/>
      <c r="M81" s="645">
        <f t="shared" si="2"/>
        <v>222</v>
      </c>
      <c r="N81" s="745"/>
      <c r="O81" s="747"/>
    </row>
    <row r="82" spans="1:16" hidden="1" x14ac:dyDescent="0.25">
      <c r="A82" s="716" t="s">
        <v>333</v>
      </c>
      <c r="B82" s="717">
        <v>16.399999999999999</v>
      </c>
      <c r="C82" s="715" t="s">
        <v>348</v>
      </c>
      <c r="D82" s="713"/>
      <c r="E82" s="713"/>
      <c r="F82" s="713"/>
      <c r="G82" s="713"/>
      <c r="H82" s="713"/>
      <c r="I82" s="713"/>
      <c r="J82" s="714">
        <v>25</v>
      </c>
      <c r="K82" s="713"/>
      <c r="L82" s="631">
        <f t="shared" si="3"/>
        <v>409.99999999999994</v>
      </c>
      <c r="M82" s="631">
        <f t="shared" si="2"/>
        <v>-409.99999999999994</v>
      </c>
      <c r="N82" s="713"/>
    </row>
    <row r="83" spans="1:16" hidden="1" x14ac:dyDescent="0.25">
      <c r="A83" s="716" t="s">
        <v>336</v>
      </c>
      <c r="B83" s="717">
        <v>10</v>
      </c>
      <c r="C83" s="715" t="s">
        <v>118</v>
      </c>
      <c r="D83" s="713"/>
      <c r="E83" s="713"/>
      <c r="F83" s="713"/>
      <c r="G83" s="713"/>
      <c r="H83" s="713"/>
      <c r="I83" s="713"/>
      <c r="J83" s="714">
        <v>24</v>
      </c>
      <c r="K83" s="713"/>
      <c r="L83" s="631">
        <f t="shared" si="3"/>
        <v>240</v>
      </c>
      <c r="M83" s="631">
        <f t="shared" si="2"/>
        <v>-240</v>
      </c>
      <c r="N83" s="713"/>
    </row>
    <row r="84" spans="1:16" hidden="1" x14ac:dyDescent="0.25">
      <c r="A84" s="716" t="s">
        <v>343</v>
      </c>
      <c r="B84" s="724">
        <f>12.8</f>
        <v>12.8</v>
      </c>
      <c r="C84" s="715" t="s">
        <v>344</v>
      </c>
      <c r="D84" s="713"/>
      <c r="E84" s="713"/>
      <c r="F84" s="713"/>
      <c r="G84" s="713"/>
      <c r="H84" s="713"/>
      <c r="I84" s="713"/>
      <c r="J84" s="714">
        <v>15</v>
      </c>
      <c r="K84" s="713"/>
      <c r="L84" s="631">
        <f t="shared" si="3"/>
        <v>192</v>
      </c>
      <c r="M84" s="631">
        <f t="shared" si="2"/>
        <v>-192</v>
      </c>
      <c r="N84" s="713"/>
    </row>
    <row r="85" spans="1:16" s="741" customFormat="1" x14ac:dyDescent="0.25">
      <c r="A85" s="736" t="s">
        <v>349</v>
      </c>
      <c r="B85" s="737">
        <v>12.5</v>
      </c>
      <c r="C85" s="738" t="s">
        <v>118</v>
      </c>
      <c r="D85" s="739"/>
      <c r="E85" s="739"/>
      <c r="F85" s="739"/>
      <c r="G85" s="739"/>
      <c r="H85" s="739"/>
      <c r="I85" s="739"/>
      <c r="J85" s="60">
        <v>24</v>
      </c>
      <c r="K85" s="739">
        <v>0</v>
      </c>
      <c r="L85" s="590"/>
      <c r="M85" s="590">
        <f t="shared" si="2"/>
        <v>0</v>
      </c>
      <c r="N85" s="739"/>
      <c r="O85" s="740"/>
    </row>
    <row r="86" spans="1:16" s="748" customFormat="1" x14ac:dyDescent="0.25">
      <c r="A86" s="749" t="s">
        <v>350</v>
      </c>
      <c r="B86" s="743">
        <f>9.55*2</f>
        <v>19.100000000000001</v>
      </c>
      <c r="C86" s="746" t="s">
        <v>118</v>
      </c>
      <c r="D86" s="745"/>
      <c r="E86" s="745"/>
      <c r="F86" s="745"/>
      <c r="G86" s="745"/>
      <c r="H86" s="745"/>
      <c r="I86" s="745"/>
      <c r="J86" s="746">
        <v>16</v>
      </c>
      <c r="K86" s="745">
        <v>0</v>
      </c>
      <c r="L86" s="645">
        <f t="shared" si="3"/>
        <v>305.60000000000002</v>
      </c>
      <c r="M86" s="645">
        <f t="shared" si="2"/>
        <v>-305.60000000000002</v>
      </c>
      <c r="N86" s="745"/>
      <c r="O86" s="747" t="s">
        <v>93</v>
      </c>
      <c r="P86" s="750">
        <v>0.06</v>
      </c>
    </row>
    <row r="87" spans="1:16" x14ac:dyDescent="0.25">
      <c r="A87" s="716" t="s">
        <v>357</v>
      </c>
      <c r="B87" s="724">
        <v>69</v>
      </c>
      <c r="C87" s="714" t="s">
        <v>118</v>
      </c>
      <c r="D87" s="713"/>
      <c r="E87" s="713"/>
      <c r="F87" s="713"/>
      <c r="G87" s="713"/>
      <c r="H87" s="713"/>
      <c r="I87" s="713"/>
      <c r="J87" s="713"/>
      <c r="K87" s="713" t="s">
        <v>376</v>
      </c>
      <c r="L87" s="631">
        <v>69</v>
      </c>
      <c r="M87" s="631" t="e">
        <f t="shared" si="2"/>
        <v>#VALUE!</v>
      </c>
      <c r="N87" s="713"/>
    </row>
    <row r="88" spans="1:16" x14ac:dyDescent="0.25">
      <c r="A88" s="721" t="s">
        <v>361</v>
      </c>
      <c r="B88" s="272">
        <v>14.5</v>
      </c>
      <c r="C88" s="707" t="s">
        <v>364</v>
      </c>
      <c r="J88" s="722">
        <v>24</v>
      </c>
      <c r="K88">
        <v>0</v>
      </c>
      <c r="L88" s="631"/>
      <c r="M88" s="631">
        <f t="shared" si="2"/>
        <v>0</v>
      </c>
    </row>
    <row r="89" spans="1:16" x14ac:dyDescent="0.25">
      <c r="A89" s="721" t="s">
        <v>301</v>
      </c>
      <c r="B89" s="731">
        <v>14.5</v>
      </c>
      <c r="C89" s="707" t="s">
        <v>118</v>
      </c>
      <c r="J89" s="722">
        <v>21</v>
      </c>
      <c r="L89" s="732">
        <v>299.8</v>
      </c>
      <c r="M89" s="732">
        <f t="shared" si="2"/>
        <v>-299.8</v>
      </c>
    </row>
  </sheetData>
  <mergeCells count="9">
    <mergeCell ref="A60:N60"/>
    <mergeCell ref="E45:E46"/>
    <mergeCell ref="D54:M54"/>
    <mergeCell ref="D1:I1"/>
    <mergeCell ref="D25:F25"/>
    <mergeCell ref="E17:E18"/>
    <mergeCell ref="D29:I29"/>
    <mergeCell ref="D45:D46"/>
    <mergeCell ref="D17:D18"/>
  </mergeCells>
  <hyperlinks>
    <hyperlink ref="N75" r:id="rId1" xr:uid="{DB8FBF40-3005-4F5B-8F41-F3D6415886D4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C7E9-8B4C-445C-9B75-09538E7D9379}">
  <dimension ref="A1:C6"/>
  <sheetViews>
    <sheetView workbookViewId="0">
      <selection activeCell="G31" sqref="G31"/>
    </sheetView>
  </sheetViews>
  <sheetFormatPr defaultRowHeight="15" x14ac:dyDescent="0.25"/>
  <cols>
    <col min="1" max="1" width="45" bestFit="1" customWidth="1"/>
    <col min="2" max="2" width="8.85546875" bestFit="1" customWidth="1"/>
    <col min="3" max="3" width="27" bestFit="1" customWidth="1"/>
  </cols>
  <sheetData>
    <row r="1" spans="1:3" x14ac:dyDescent="0.25">
      <c r="A1" s="25" t="s">
        <v>179</v>
      </c>
      <c r="B1" s="25" t="s">
        <v>180</v>
      </c>
      <c r="C1" s="25" t="s">
        <v>181</v>
      </c>
    </row>
    <row r="2" spans="1:3" x14ac:dyDescent="0.25">
      <c r="A2" s="25" t="s">
        <v>182</v>
      </c>
      <c r="B2" s="254">
        <v>-1431.73</v>
      </c>
      <c r="C2" s="255">
        <v>45773</v>
      </c>
    </row>
    <row r="3" spans="1:3" x14ac:dyDescent="0.25">
      <c r="A3" s="25" t="s">
        <v>183</v>
      </c>
      <c r="B3" s="254">
        <v>-3800</v>
      </c>
      <c r="C3" s="255">
        <v>45775</v>
      </c>
    </row>
    <row r="4" spans="1:3" x14ac:dyDescent="0.25">
      <c r="A4" s="25" t="s">
        <v>184</v>
      </c>
      <c r="B4" s="254">
        <v>500</v>
      </c>
      <c r="C4" s="255">
        <v>45776</v>
      </c>
    </row>
    <row r="5" spans="1:3" x14ac:dyDescent="0.25">
      <c r="A5" s="25" t="s">
        <v>185</v>
      </c>
      <c r="B5" s="25">
        <v>-466.67</v>
      </c>
      <c r="C5" s="255">
        <v>45772</v>
      </c>
    </row>
    <row r="6" spans="1:3" x14ac:dyDescent="0.25">
      <c r="A6" s="25" t="s">
        <v>186</v>
      </c>
      <c r="B6" s="25">
        <v>-104.13</v>
      </c>
      <c r="C6" s="255">
        <v>45775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D23F-8E83-407F-9EA4-2E6CC799D0B9}">
  <sheetPr codeName="Planilha7"/>
  <dimension ref="A1"/>
  <sheetViews>
    <sheetView workbookViewId="0">
      <selection activeCell="J35" sqref="J3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9D4C-5A35-4BA0-AAC4-629F8C8D430D}">
  <sheetPr codeName="Planilha9"/>
  <dimension ref="A1:F9"/>
  <sheetViews>
    <sheetView workbookViewId="0">
      <selection activeCell="C37" sqref="C37"/>
    </sheetView>
  </sheetViews>
  <sheetFormatPr defaultRowHeight="15" x14ac:dyDescent="0.25"/>
  <cols>
    <col min="1" max="1" width="35" bestFit="1" customWidth="1"/>
    <col min="2" max="2" width="15.85546875" customWidth="1"/>
    <col min="3" max="3" width="10.85546875" customWidth="1"/>
    <col min="4" max="4" width="15.85546875" customWidth="1"/>
    <col min="5" max="5" width="16.140625" customWidth="1"/>
    <col min="6" max="6" width="18" customWidth="1"/>
  </cols>
  <sheetData>
    <row r="1" spans="1:6" x14ac:dyDescent="0.25">
      <c r="A1" t="s">
        <v>132</v>
      </c>
    </row>
    <row r="2" spans="1:6" ht="36.75" thickBot="1" x14ac:dyDescent="0.3">
      <c r="A2" s="55" t="s">
        <v>1</v>
      </c>
      <c r="B2" s="55" t="s">
        <v>133</v>
      </c>
      <c r="C2" s="55" t="s">
        <v>134</v>
      </c>
      <c r="D2" s="55" t="s">
        <v>135</v>
      </c>
      <c r="E2" s="55" t="s">
        <v>136</v>
      </c>
      <c r="F2" s="55" t="s">
        <v>131</v>
      </c>
    </row>
    <row r="3" spans="1:6" ht="15.75" thickBot="1" x14ac:dyDescent="0.3">
      <c r="A3" s="6" t="s">
        <v>43</v>
      </c>
      <c r="B3" s="5">
        <v>45</v>
      </c>
      <c r="C3" s="2">
        <v>5</v>
      </c>
      <c r="D3" s="2">
        <v>5</v>
      </c>
      <c r="E3" s="5">
        <f>B3*D3</f>
        <v>225</v>
      </c>
      <c r="F3" s="53">
        <f t="shared" ref="F3:F9" si="0">B3*C3-E3</f>
        <v>0</v>
      </c>
    </row>
    <row r="4" spans="1:6" ht="15.75" thickBot="1" x14ac:dyDescent="0.3">
      <c r="A4" s="57" t="s">
        <v>49</v>
      </c>
      <c r="B4" s="58">
        <v>20</v>
      </c>
      <c r="C4" s="56">
        <v>5</v>
      </c>
      <c r="D4" s="56"/>
      <c r="E4" s="58">
        <f t="shared" ref="E4:E9" si="1">B4*D4</f>
        <v>0</v>
      </c>
      <c r="F4" s="59">
        <f t="shared" si="0"/>
        <v>100</v>
      </c>
    </row>
    <row r="5" spans="1:6" ht="15.75" thickBot="1" x14ac:dyDescent="0.3">
      <c r="A5" s="57" t="s">
        <v>50</v>
      </c>
      <c r="B5" s="58">
        <v>20</v>
      </c>
      <c r="C5" s="56">
        <v>5</v>
      </c>
      <c r="D5" s="56"/>
      <c r="E5" s="58">
        <f t="shared" si="1"/>
        <v>0</v>
      </c>
      <c r="F5" s="59">
        <f t="shared" si="0"/>
        <v>100</v>
      </c>
    </row>
    <row r="6" spans="1:6" ht="15.75" thickBot="1" x14ac:dyDescent="0.3">
      <c r="A6" s="57" t="s">
        <v>52</v>
      </c>
      <c r="B6" s="58">
        <v>20</v>
      </c>
      <c r="C6" s="56">
        <v>5</v>
      </c>
      <c r="D6" s="56"/>
      <c r="E6" s="58">
        <f t="shared" si="1"/>
        <v>0</v>
      </c>
      <c r="F6" s="59">
        <f t="shared" si="0"/>
        <v>100</v>
      </c>
    </row>
    <row r="7" spans="1:6" ht="15.75" thickBot="1" x14ac:dyDescent="0.3">
      <c r="A7" s="6" t="s">
        <v>63</v>
      </c>
      <c r="B7" s="5">
        <v>20</v>
      </c>
      <c r="C7" s="2">
        <v>3</v>
      </c>
      <c r="D7" s="2"/>
      <c r="E7" s="5">
        <f t="shared" si="1"/>
        <v>0</v>
      </c>
      <c r="F7" s="53">
        <f t="shared" si="0"/>
        <v>60</v>
      </c>
    </row>
    <row r="8" spans="1:6" x14ac:dyDescent="0.25">
      <c r="A8" s="56" t="s">
        <v>64</v>
      </c>
      <c r="B8" s="58">
        <v>33.6</v>
      </c>
      <c r="C8" s="56">
        <v>5</v>
      </c>
      <c r="D8" s="56"/>
      <c r="E8" s="58">
        <f t="shared" si="1"/>
        <v>0</v>
      </c>
      <c r="F8" s="59">
        <f t="shared" si="0"/>
        <v>168</v>
      </c>
    </row>
    <row r="9" spans="1:6" x14ac:dyDescent="0.25">
      <c r="A9" s="60" t="s">
        <v>137</v>
      </c>
      <c r="B9" s="61">
        <v>28</v>
      </c>
      <c r="C9" s="62">
        <v>3</v>
      </c>
      <c r="D9" s="62"/>
      <c r="E9" s="58">
        <f t="shared" si="1"/>
        <v>0</v>
      </c>
      <c r="F9" s="59">
        <f t="shared" si="0"/>
        <v>84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C381-69B4-41CD-B32C-134B6E1604BB}">
  <sheetPr codeName="Planilha10"/>
  <dimension ref="A1:C33"/>
  <sheetViews>
    <sheetView workbookViewId="0">
      <selection activeCell="H26" sqref="H26"/>
    </sheetView>
  </sheetViews>
  <sheetFormatPr defaultRowHeight="15" x14ac:dyDescent="0.25"/>
  <cols>
    <col min="1" max="1" width="23.42578125" bestFit="1" customWidth="1"/>
    <col min="2" max="2" width="23" bestFit="1" customWidth="1"/>
    <col min="3" max="3" width="22.42578125" bestFit="1" customWidth="1"/>
  </cols>
  <sheetData>
    <row r="1" spans="1:3" x14ac:dyDescent="0.25">
      <c r="A1" s="39" t="s">
        <v>41</v>
      </c>
      <c r="B1" s="804" t="s">
        <v>42</v>
      </c>
      <c r="C1" s="804" t="s">
        <v>138</v>
      </c>
    </row>
    <row r="2" spans="1:3" ht="24.75" x14ac:dyDescent="0.25">
      <c r="A2" s="40" t="s">
        <v>46</v>
      </c>
      <c r="B2" s="804"/>
      <c r="C2" s="804"/>
    </row>
    <row r="3" spans="1:3" x14ac:dyDescent="0.25">
      <c r="A3" s="40" t="s">
        <v>139</v>
      </c>
      <c r="B3" s="804"/>
      <c r="C3" s="804"/>
    </row>
    <row r="4" spans="1:3" ht="24.75" x14ac:dyDescent="0.25">
      <c r="A4" s="40" t="s">
        <v>57</v>
      </c>
      <c r="B4" s="804"/>
      <c r="C4" s="804"/>
    </row>
    <row r="5" spans="1:3" x14ac:dyDescent="0.25">
      <c r="A5" s="805"/>
      <c r="B5" s="805"/>
      <c r="C5" s="805"/>
    </row>
    <row r="6" spans="1:3" x14ac:dyDescent="0.25">
      <c r="A6" s="806" t="s">
        <v>140</v>
      </c>
      <c r="B6" s="807"/>
      <c r="C6" s="808"/>
    </row>
    <row r="7" spans="1:3" ht="24.75" x14ac:dyDescent="0.25">
      <c r="A7" s="41" t="s">
        <v>43</v>
      </c>
      <c r="B7" s="809" t="s">
        <v>54</v>
      </c>
      <c r="C7" s="209" t="s">
        <v>141</v>
      </c>
    </row>
    <row r="8" spans="1:3" ht="24.75" x14ac:dyDescent="0.25">
      <c r="A8" s="41" t="s">
        <v>50</v>
      </c>
      <c r="B8" s="809"/>
      <c r="C8" s="209" t="s">
        <v>142</v>
      </c>
    </row>
    <row r="9" spans="1:3" ht="24.75" x14ac:dyDescent="0.25">
      <c r="A9" s="41" t="s">
        <v>52</v>
      </c>
      <c r="B9" s="809"/>
      <c r="C9" s="209" t="s">
        <v>142</v>
      </c>
    </row>
    <row r="10" spans="1:3" x14ac:dyDescent="0.25">
      <c r="A10" s="41" t="s">
        <v>143</v>
      </c>
      <c r="B10" s="809"/>
      <c r="C10" s="209" t="s">
        <v>144</v>
      </c>
    </row>
    <row r="11" spans="1:3" ht="24.75" x14ac:dyDescent="0.25">
      <c r="A11" s="41" t="s">
        <v>59</v>
      </c>
      <c r="B11" s="809"/>
      <c r="C11" s="209" t="s">
        <v>142</v>
      </c>
    </row>
    <row r="12" spans="1:3" ht="24.75" x14ac:dyDescent="0.25">
      <c r="A12" s="41" t="s">
        <v>63</v>
      </c>
      <c r="B12" s="809"/>
      <c r="C12" s="209" t="s">
        <v>142</v>
      </c>
    </row>
    <row r="13" spans="1:3" x14ac:dyDescent="0.25">
      <c r="A13" s="42" t="s">
        <v>145</v>
      </c>
      <c r="B13" s="809"/>
      <c r="C13" s="209" t="s">
        <v>142</v>
      </c>
    </row>
    <row r="14" spans="1:3" x14ac:dyDescent="0.25">
      <c r="A14" s="42" t="s">
        <v>64</v>
      </c>
      <c r="B14" s="809"/>
      <c r="C14" s="209" t="s">
        <v>142</v>
      </c>
    </row>
    <row r="15" spans="1:3" x14ac:dyDescent="0.25">
      <c r="A15" s="810" t="s">
        <v>146</v>
      </c>
      <c r="B15" s="810"/>
      <c r="C15" s="810"/>
    </row>
    <row r="16" spans="1:3" x14ac:dyDescent="0.25">
      <c r="A16" s="43" t="s">
        <v>53</v>
      </c>
      <c r="B16" s="811" t="s">
        <v>147</v>
      </c>
      <c r="C16" s="210" t="s">
        <v>148</v>
      </c>
    </row>
    <row r="17" spans="1:3" x14ac:dyDescent="0.25">
      <c r="A17" s="43" t="s">
        <v>76</v>
      </c>
      <c r="B17" s="811"/>
      <c r="C17" s="210" t="s">
        <v>144</v>
      </c>
    </row>
    <row r="18" spans="1:3" x14ac:dyDescent="0.25">
      <c r="A18" s="812" t="s">
        <v>149</v>
      </c>
      <c r="B18" s="812"/>
      <c r="C18" s="812"/>
    </row>
    <row r="19" spans="1:3" x14ac:dyDescent="0.25">
      <c r="A19" s="812" t="s">
        <v>150</v>
      </c>
      <c r="B19" s="812"/>
      <c r="C19" s="812"/>
    </row>
    <row r="20" spans="1:3" x14ac:dyDescent="0.25">
      <c r="A20" s="44" t="s">
        <v>151</v>
      </c>
      <c r="B20" s="813" t="s">
        <v>152</v>
      </c>
      <c r="C20" s="211" t="s">
        <v>153</v>
      </c>
    </row>
    <row r="21" spans="1:3" x14ac:dyDescent="0.25">
      <c r="A21" s="44" t="s">
        <v>62</v>
      </c>
      <c r="B21" s="813"/>
      <c r="C21" s="211" t="s">
        <v>154</v>
      </c>
    </row>
    <row r="22" spans="1:3" x14ac:dyDescent="0.25">
      <c r="A22" s="813" t="s">
        <v>155</v>
      </c>
      <c r="B22" s="813"/>
      <c r="C22" s="813"/>
    </row>
    <row r="23" spans="1:3" ht="24.75" x14ac:dyDescent="0.25">
      <c r="A23" s="45" t="s">
        <v>23</v>
      </c>
      <c r="B23" s="814" t="s">
        <v>156</v>
      </c>
      <c r="C23" s="46" t="s">
        <v>157</v>
      </c>
    </row>
    <row r="24" spans="1:3" ht="24.75" x14ac:dyDescent="0.25">
      <c r="A24" s="45" t="s">
        <v>26</v>
      </c>
      <c r="B24" s="814"/>
      <c r="C24" s="46" t="s">
        <v>158</v>
      </c>
    </row>
    <row r="25" spans="1:3" ht="24.75" x14ac:dyDescent="0.25">
      <c r="A25" s="45" t="s">
        <v>29</v>
      </c>
      <c r="B25" s="814"/>
      <c r="C25" s="46" t="s">
        <v>138</v>
      </c>
    </row>
    <row r="26" spans="1:3" ht="24.75" x14ac:dyDescent="0.25">
      <c r="A26" s="45" t="s">
        <v>30</v>
      </c>
      <c r="B26" s="814"/>
      <c r="C26" s="46" t="s">
        <v>138</v>
      </c>
    </row>
    <row r="27" spans="1:3" x14ac:dyDescent="0.25">
      <c r="A27" s="797" t="s">
        <v>159</v>
      </c>
      <c r="B27" s="798"/>
      <c r="C27" s="799"/>
    </row>
    <row r="28" spans="1:3" x14ac:dyDescent="0.25">
      <c r="A28" s="47" t="s">
        <v>32</v>
      </c>
      <c r="B28" s="37" t="s">
        <v>33</v>
      </c>
      <c r="C28" s="37"/>
    </row>
    <row r="29" spans="1:3" x14ac:dyDescent="0.25">
      <c r="A29" s="800" t="s">
        <v>160</v>
      </c>
      <c r="B29" s="800"/>
      <c r="C29" s="800"/>
    </row>
    <row r="30" spans="1:3" ht="24.75" x14ac:dyDescent="0.25">
      <c r="A30" s="48" t="s">
        <v>34</v>
      </c>
      <c r="B30" s="801" t="s">
        <v>161</v>
      </c>
      <c r="C30" s="49" t="s">
        <v>162</v>
      </c>
    </row>
    <row r="31" spans="1:3" x14ac:dyDescent="0.25">
      <c r="A31" s="50" t="s">
        <v>39</v>
      </c>
      <c r="B31" s="802"/>
      <c r="C31" s="49" t="s">
        <v>138</v>
      </c>
    </row>
    <row r="32" spans="1:3" x14ac:dyDescent="0.25">
      <c r="A32" s="51" t="s">
        <v>163</v>
      </c>
      <c r="B32" s="38"/>
      <c r="C32" s="36" t="s">
        <v>164</v>
      </c>
    </row>
    <row r="33" spans="1:3" x14ac:dyDescent="0.25">
      <c r="A33" s="803" t="s">
        <v>165</v>
      </c>
      <c r="B33" s="803"/>
      <c r="C33" s="803"/>
    </row>
  </sheetData>
  <mergeCells count="16">
    <mergeCell ref="A27:C27"/>
    <mergeCell ref="A29:C29"/>
    <mergeCell ref="B30:B31"/>
    <mergeCell ref="A33:C33"/>
    <mergeCell ref="B1:B4"/>
    <mergeCell ref="C1:C4"/>
    <mergeCell ref="A5:C5"/>
    <mergeCell ref="A6:C6"/>
    <mergeCell ref="B7:B14"/>
    <mergeCell ref="A15:C15"/>
    <mergeCell ref="B16:B17"/>
    <mergeCell ref="A18:C18"/>
    <mergeCell ref="A19:C19"/>
    <mergeCell ref="B20:B21"/>
    <mergeCell ref="A22:C22"/>
    <mergeCell ref="B23:B26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FOLHA dezembro</vt:lpstr>
      <vt:lpstr>13º whats </vt:lpstr>
      <vt:lpstr>FOLHA janeiro</vt:lpstr>
      <vt:lpstr>FOLHA FEV</vt:lpstr>
      <vt:lpstr>FOLHA MAR</vt:lpstr>
      <vt:lpstr>FOLHA ABR</vt:lpstr>
      <vt:lpstr>FOLHA MAIO</vt:lpstr>
      <vt:lpstr>FOLHA JUNHO</vt:lpstr>
      <vt:lpstr>FOLHA JULHO</vt:lpstr>
      <vt:lpstr>FOLHA AGOSTO</vt:lpstr>
      <vt:lpstr>SETEMBRO</vt:lpstr>
      <vt:lpstr>OUTUBRO</vt:lpstr>
      <vt:lpstr>NOV</vt:lpstr>
      <vt:lpstr>DEZ</vt:lpstr>
      <vt:lpstr>JAN -26</vt:lpstr>
      <vt:lpstr>FEV - 26 </vt:lpstr>
      <vt:lpstr>VALE TRANSPORTE</vt:lpstr>
      <vt:lpstr>Planilha2</vt:lpstr>
      <vt:lpstr>Planilha1</vt:lpstr>
      <vt:lpstr>AJUDA CUSTO TIM</vt:lpstr>
      <vt:lpstr>HORARIOS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Sarah Silva Franca Linhares</dc:creator>
  <cp:keywords/>
  <dc:description/>
  <cp:lastModifiedBy>Jennifer Sarah Silva Franca Linhares</cp:lastModifiedBy>
  <cp:revision/>
  <cp:lastPrinted>2026-02-06T13:14:09Z</cp:lastPrinted>
  <dcterms:created xsi:type="dcterms:W3CDTF">2024-12-16T12:51:16Z</dcterms:created>
  <dcterms:modified xsi:type="dcterms:W3CDTF">2026-02-11T14:10:32Z</dcterms:modified>
  <cp:category/>
  <cp:contentStatus/>
</cp:coreProperties>
</file>